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540" tabRatio="600" firstSheet="0" activeTab="0" autoFilterDateGrouping="1"/>
  </bookViews>
  <sheets>
    <sheet xmlns:r="http://schemas.openxmlformats.org/officeDocument/2006/relationships" name="NHNCK" sheetId="1" state="visible" r:id="rId1"/>
    <sheet xmlns:r="http://schemas.openxmlformats.org/officeDocument/2006/relationships" name="Copy of NHNCK" sheetId="2" state="hidden" r:id="rId2"/>
    <sheet xmlns:r="http://schemas.openxmlformats.org/officeDocument/2006/relationships" name="QLKD (Ver01)" sheetId="3" state="hidden" r:id="rId3"/>
    <sheet xmlns:r="http://schemas.openxmlformats.org/officeDocument/2006/relationships" name="Copy of TK 1" sheetId="4" state="hidden" r:id="rId4"/>
    <sheet xmlns:r="http://schemas.openxmlformats.org/officeDocument/2006/relationships" name="Copy of TK" sheetId="5" state="hidden" r:id="rId5"/>
  </sheets>
  <definedNames>
    <definedName name="_xlnm._FilterDatabase" localSheetId="0" hidden="1">'NHNCK'!$A$2:$AD$115</definedName>
    <definedName name="Z_849CBBD5_57AC_4D4F_A95F_579DBC0898DC_.wvu.FilterData" localSheetId="2" hidden="1">'QLKD (Ver01)'!$A$1:$X$4042</definedName>
    <definedName name="_xlnm._FilterDatabase" localSheetId="2" hidden="1">'QLKD (Ver01)'!$A$1:$X$4042</definedName>
    <definedName name="_xlnm._FilterDatabase" localSheetId="3" hidden="1">'Copy of TK 1'!$A$1:$M$1895</definedName>
    <definedName name="_xlnm._FilterDatabase" localSheetId="4" hidden="1">'Copy of TK'!$A$1:$L$1857</definedName>
  </definedNames>
  <calcPr calcId="191029" fullCalcOnLoad="1"/>
</workbook>
</file>

<file path=xl/styles.xml><?xml version="1.0" encoding="utf-8"?>
<styleSheet xmlns="http://schemas.openxmlformats.org/spreadsheetml/2006/main">
  <numFmts count="0"/>
  <fonts count="71">
    <font>
      <name val="Arial"/>
      <color rgb="FF000000"/>
      <sz val="10"/>
      <scheme val="minor"/>
    </font>
    <font>
      <name val="Arial"/>
      <family val="2"/>
      <b val="1"/>
      <color theme="1"/>
      <sz val="10"/>
      <scheme val="minor"/>
    </font>
    <font>
      <name val="Arial"/>
      <family val="2"/>
      <sz val="10"/>
    </font>
    <font>
      <name val="Arial"/>
      <family val="2"/>
      <color theme="1"/>
      <sz val="10"/>
      <scheme val="minor"/>
    </font>
    <font>
      <name val="Arial"/>
      <family val="2"/>
      <color rgb="FF0000FF"/>
      <sz val="10"/>
      <scheme val="minor"/>
    </font>
    <font>
      <name val="Arial"/>
      <family val="2"/>
      <color rgb="FFFF0000"/>
      <sz val="10"/>
      <scheme val="minor"/>
    </font>
    <font>
      <name val="Arial"/>
      <family val="2"/>
      <b val="1"/>
      <color rgb="FF000000"/>
      <sz val="10"/>
      <scheme val="minor"/>
    </font>
    <font>
      <name val="Arial"/>
      <family val="2"/>
      <color theme="1"/>
      <sz val="10"/>
      <scheme val="minor"/>
    </font>
    <font>
      <name val="Arial"/>
      <family val="2"/>
      <b val="1"/>
      <color theme="1"/>
      <sz val="10"/>
      <scheme val="minor"/>
    </font>
    <font>
      <name val="Arial"/>
      <family val="2"/>
      <b val="1"/>
      <color rgb="FFFFFFFF"/>
      <sz val="10"/>
      <scheme val="minor"/>
    </font>
    <font>
      <name val="Arial"/>
      <family val="2"/>
      <i val="1"/>
      <color rgb="FF0000FF"/>
      <sz val="10"/>
      <scheme val="minor"/>
    </font>
    <font>
      <name val="Arial"/>
      <family val="2"/>
      <strike val="1"/>
      <color theme="1"/>
      <sz val="10"/>
      <scheme val="minor"/>
    </font>
    <font>
      <name val="Arial"/>
      <family val="2"/>
      <color rgb="FF000000"/>
      <sz val="10"/>
    </font>
    <font>
      <name val="Arial"/>
      <family val="2"/>
      <color theme="1"/>
      <sz val="10"/>
    </font>
    <font>
      <name val="Times New Roman"/>
      <family val="1"/>
      <b val="1"/>
      <color theme="1"/>
      <sz val="13"/>
    </font>
    <font>
      <name val="Arial"/>
      <family val="2"/>
      <b val="1"/>
      <color rgb="FFFFFFFF"/>
      <sz val="10"/>
    </font>
    <font>
      <name val="&quot;Times New Roman&quot;"/>
      <color theme="1"/>
      <sz val="13"/>
    </font>
    <font>
      <name val="Times New Roman"/>
      <family val="1"/>
      <color theme="1"/>
      <sz val="12"/>
    </font>
    <font>
      <name val="Arial"/>
      <family val="2"/>
      <color rgb="FFFF0000"/>
      <sz val="10"/>
      <scheme val="minor"/>
    </font>
    <font>
      <name val="Arial"/>
      <family val="2"/>
      <color rgb="FFFF0000"/>
      <sz val="10"/>
    </font>
    <font>
      <name val="Arial"/>
      <family val="2"/>
      <color rgb="FF000000"/>
      <sz val="10"/>
      <scheme val="minor"/>
    </font>
    <font>
      <name val="Arial"/>
      <family val="2"/>
      <b val="1"/>
      <color theme="1"/>
      <sz val="10"/>
    </font>
    <font>
      <name val="Arial"/>
      <family val="2"/>
      <strike val="1"/>
      <color rgb="FF000000"/>
      <sz val="10"/>
      <scheme val="minor"/>
    </font>
    <font>
      <name val="Arial"/>
      <family val="2"/>
      <b val="1"/>
      <color rgb="FF000000"/>
      <sz val="10"/>
      <scheme val="minor"/>
    </font>
    <font>
      <name val="Arial"/>
      <family val="2"/>
      <i val="1"/>
      <color rgb="FF0000FF"/>
      <sz val="10"/>
      <scheme val="minor"/>
    </font>
    <font>
      <name val="'Times New Roman'"/>
      <color rgb="FF000000"/>
      <sz val="13"/>
    </font>
    <font>
      <name val="'Times New Roman'"/>
      <b val="1"/>
      <color rgb="FF000000"/>
      <sz val="13"/>
    </font>
    <font>
      <name val="Arial"/>
      <family val="2"/>
      <color theme="1"/>
      <sz val="11"/>
    </font>
    <font>
      <name val="Aptos Narrow"/>
      <color theme="1"/>
      <sz val="11"/>
    </font>
    <font>
      <name val="Arial"/>
      <family val="2"/>
      <b val="1"/>
      <color rgb="FFFF0000"/>
      <sz val="10"/>
    </font>
    <font>
      <name val="Arial"/>
      <family val="2"/>
      <i val="1"/>
      <color rgb="FF0000FF"/>
      <sz val="10"/>
    </font>
    <font>
      <name val="Arial"/>
      <family val="2"/>
      <color rgb="FF9900FF"/>
      <sz val="10"/>
      <scheme val="minor"/>
    </font>
    <font>
      <name val="Arial"/>
      <family val="2"/>
      <color rgb="FFFF9900"/>
      <sz val="10"/>
      <scheme val="minor"/>
    </font>
    <font>
      <name val="Arial"/>
      <family val="2"/>
      <color rgb="FFFF9900"/>
      <sz val="11"/>
      <scheme val="minor"/>
    </font>
    <font>
      <name val="Arial"/>
      <family val="2"/>
      <color rgb="FF0000FF"/>
      <sz val="10"/>
      <scheme val="minor"/>
    </font>
    <font>
      <name val="Arial"/>
      <family val="2"/>
      <color rgb="FF9900FF"/>
      <sz val="10"/>
    </font>
    <font>
      <name val="Arial"/>
      <family val="2"/>
      <color rgb="FF0000FF"/>
      <sz val="10"/>
    </font>
    <font>
      <name val="Arial"/>
      <family val="2"/>
      <color rgb="FF0000FF"/>
      <sz val="10"/>
      <u val="single"/>
    </font>
    <font>
      <name val="Arial"/>
      <family val="2"/>
      <color rgb="FFFF9900"/>
      <sz val="10"/>
    </font>
    <font>
      <name val="&quot;Times New Roman&quot;"/>
      <b val="1"/>
      <color rgb="FF000000"/>
      <sz val="12"/>
    </font>
    <font>
      <name val="&quot;Times New Roman&quot;"/>
      <color rgb="FF000000"/>
      <sz val="12"/>
    </font>
    <font>
      <name val="&quot;Times New Roman&quot;"/>
      <color rgb="FFFF0000"/>
      <sz val="12"/>
    </font>
    <font>
      <name val="&quot;Times New Roman&quot;"/>
      <color rgb="FF000000"/>
      <sz val="13"/>
    </font>
    <font>
      <name val="&quot;Times New Roman&quot;"/>
      <b val="1"/>
      <i val="1"/>
      <color rgb="FF000000"/>
      <sz val="12"/>
    </font>
    <font>
      <name val="Caudex"/>
      <color theme="1"/>
      <sz val="13"/>
    </font>
    <font>
      <name val="&quot;Times New Roman&quot;"/>
      <b val="1"/>
      <color rgb="FF000000"/>
      <sz val="11"/>
    </font>
    <font>
      <name val="&quot;Times New Roman&quot;"/>
      <b val="1"/>
      <color rgb="FFFF0000"/>
      <sz val="12"/>
    </font>
    <font>
      <name val="&quot;Google Sans&quot;"/>
      <color rgb="FF222222"/>
      <sz val="11"/>
    </font>
    <font>
      <name val="&quot;Times New Roman&quot;"/>
      <color theme="1"/>
      <sz val="11"/>
    </font>
    <font>
      <name val="&quot;Times New Roman&quot;"/>
      <i val="1"/>
      <color rgb="FF000000"/>
      <sz val="12"/>
    </font>
    <font>
      <name val="Times New Roman"/>
      <family val="1"/>
      <color theme="1"/>
      <sz val="13"/>
    </font>
    <font>
      <name val="Aptos Narrow"/>
      <b val="1"/>
      <color theme="1"/>
      <sz val="11"/>
    </font>
    <font>
      <name val="Times New Roman"/>
      <family val="1"/>
      <b val="1"/>
      <color theme="1"/>
      <sz val="12"/>
    </font>
    <font>
      <name val="Aptos Narrow"/>
      <b val="1"/>
      <color theme="1"/>
      <sz val="12"/>
    </font>
    <font>
      <name val="Times New Roman"/>
      <family val="1"/>
      <b val="1"/>
      <color theme="1"/>
      <sz val="11"/>
    </font>
    <font>
      <name val="Aptos Narrow"/>
      <color theme="1"/>
      <sz val="12"/>
    </font>
    <font>
      <name val="Arial"/>
      <family val="2"/>
      <b val="1"/>
      <color theme="1"/>
      <sz val="12"/>
    </font>
    <font>
      <name val="Arial"/>
      <family val="2"/>
      <color theme="1"/>
      <sz val="12"/>
    </font>
    <font>
      <name val="Times New Roman"/>
      <family val="1"/>
      <b val="1"/>
      <i val="1"/>
      <color theme="1"/>
      <sz val="12"/>
    </font>
    <font>
      <name val="Times New Roman"/>
      <family val="1"/>
      <i val="1"/>
      <color theme="1"/>
      <sz val="12"/>
    </font>
    <font>
      <name val="&quot;Times New Roman&quot;"/>
      <i val="1"/>
      <color rgb="FF000000"/>
      <sz val="11"/>
    </font>
    <font>
      <name val="&quot;Times New Roman&quot;"/>
      <color rgb="FF000000"/>
      <sz val="11"/>
    </font>
    <font>
      <name val="&quot;Times New Roman&quot;"/>
      <b val="1"/>
      <color rgb="FF000000"/>
      <sz val="11"/>
      <u val="single"/>
    </font>
    <font>
      <name val="Arial"/>
      <family val="2"/>
      <color rgb="FF000000"/>
      <sz val="11"/>
    </font>
    <font>
      <name val="&quot;Aptos Narrow&quot;"/>
      <color rgb="FF000000"/>
      <sz val="11"/>
    </font>
    <font>
      <name val="&quot;Times New Roman&quot;"/>
      <b val="1"/>
      <color rgb="FF000000"/>
      <sz val="11"/>
      <u val="single"/>
    </font>
    <font>
      <name val="Times New Roman"/>
      <family val="1"/>
      <color theme="1"/>
      <sz val="11"/>
    </font>
    <font>
      <name val="Arial"/>
      <family val="2"/>
      <color rgb="FF1155CC"/>
      <sz val="10"/>
      <u val="single"/>
    </font>
    <font>
      <name val="Arial"/>
      <family val="2"/>
      <b val="1"/>
      <strike val="1"/>
      <color theme="1"/>
      <sz val="10"/>
    </font>
    <font>
      <name val="&quot;Times New Roman&quot;, serif"/>
      <color rgb="FF000000"/>
      <sz val="11"/>
    </font>
    <font>
      <name val="Arial"/>
      <family val="2"/>
      <b val="1"/>
      <color rgb="FF1155CC"/>
      <sz val="12"/>
      <u val="single"/>
      <scheme val="minor"/>
    </font>
  </fonts>
  <fills count="25">
    <fill>
      <patternFill/>
    </fill>
    <fill>
      <patternFill patternType="gray125"/>
    </fill>
    <fill>
      <patternFill patternType="solid">
        <fgColor rgb="FFFFD966"/>
        <bgColor rgb="FFFFD966"/>
      </patternFill>
    </fill>
    <fill>
      <patternFill patternType="solid">
        <fgColor rgb="FFEA9999"/>
        <bgColor rgb="FFEA9999"/>
      </patternFill>
    </fill>
    <fill>
      <patternFill patternType="solid">
        <fgColor rgb="FFD5A6BD"/>
        <bgColor rgb="FFD5A6BD"/>
      </patternFill>
    </fill>
    <fill>
      <patternFill patternType="solid">
        <fgColor rgb="FFD0E0E3"/>
        <bgColor rgb="FFD0E0E3"/>
      </patternFill>
    </fill>
    <fill>
      <patternFill patternType="solid">
        <fgColor rgb="FFCFE2F3"/>
        <bgColor rgb="FFCFE2F3"/>
      </patternFill>
    </fill>
    <fill>
      <patternFill patternType="solid">
        <fgColor rgb="FF6AA84F"/>
        <bgColor rgb="FF6AA84F"/>
      </patternFill>
    </fill>
    <fill>
      <patternFill patternType="solid">
        <fgColor rgb="FFFFE599"/>
        <bgColor rgb="FFFFE599"/>
      </patternFill>
    </fill>
    <fill>
      <patternFill patternType="solid">
        <fgColor rgb="FF59B4BB"/>
        <bgColor rgb="FF59B4BB"/>
      </patternFill>
    </fill>
    <fill>
      <patternFill patternType="solid">
        <fgColor rgb="FFFFFFFF"/>
        <bgColor rgb="FFFFFFFF"/>
      </patternFill>
    </fill>
    <fill>
      <patternFill patternType="solid">
        <fgColor rgb="FF1F4E79"/>
        <bgColor rgb="FF1F4E79"/>
      </patternFill>
    </fill>
    <fill>
      <patternFill patternType="solid">
        <fgColor rgb="FFFFFF00"/>
        <bgColor rgb="FFFFFF00"/>
      </patternFill>
    </fill>
    <fill>
      <patternFill patternType="solid">
        <fgColor rgb="FFF6F8F9"/>
        <bgColor rgb="FFF6F8F9"/>
      </patternFill>
    </fill>
    <fill>
      <patternFill patternType="solid">
        <fgColor theme="0"/>
        <bgColor theme="0"/>
      </patternFill>
    </fill>
    <fill>
      <patternFill patternType="solid">
        <fgColor rgb="FFC9DAF8"/>
        <bgColor rgb="FFC9DAF8"/>
      </patternFill>
    </fill>
    <fill>
      <patternFill patternType="solid">
        <fgColor rgb="FFFFF2CC"/>
        <bgColor rgb="FFFFF2CC"/>
      </patternFill>
    </fill>
    <fill>
      <patternFill patternType="solid">
        <fgColor rgb="FFD9D2E9"/>
        <bgColor rgb="FFD9D2E9"/>
      </patternFill>
    </fill>
    <fill>
      <patternFill patternType="solid">
        <fgColor rgb="FFD9EAD3"/>
        <bgColor rgb="FFD9EAD3"/>
      </patternFill>
    </fill>
    <fill>
      <patternFill patternType="solid">
        <fgColor rgb="FFEAD1DC"/>
        <bgColor rgb="FFEAD1DC"/>
      </patternFill>
    </fill>
    <fill>
      <patternFill patternType="solid">
        <fgColor rgb="FFEFEFEF"/>
        <bgColor rgb="FFEFEFEF"/>
      </patternFill>
    </fill>
    <fill>
      <patternFill patternType="solid">
        <fgColor rgb="FFF4CCCC"/>
        <bgColor rgb="FFF4CCCC"/>
      </patternFill>
    </fill>
    <fill>
      <patternFill patternType="solid">
        <fgColor rgb="FFFCE5CD"/>
        <bgColor rgb="FFFCE5CD"/>
      </patternFill>
    </fill>
    <fill>
      <patternFill patternType="solid">
        <fgColor rgb="FF99CCFF"/>
        <bgColor rgb="FF99CCFF"/>
      </patternFill>
    </fill>
    <fill>
      <patternFill patternType="solid">
        <fgColor rgb="FFE1E9F7"/>
        <bgColor rgb="FFE1E9F7"/>
      </patternFill>
    </fill>
  </fills>
  <borders count="19">
    <border>
      <left/>
      <right/>
      <top/>
      <bottom/>
      <diagonal/>
    </border>
    <border>
      <left style="hair">
        <color rgb="FF000000"/>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FF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style="thin">
        <color rgb="FF0000FF"/>
      </bottom>
      <diagonal/>
    </border>
    <border>
      <left/>
      <right/>
      <top/>
      <bottom style="thin">
        <color rgb="FF000000"/>
      </bottom>
      <diagonal/>
    </border>
    <border>
      <left/>
      <right/>
      <top style="thin">
        <color rgb="FF000000"/>
      </top>
      <bottom/>
      <diagonal/>
    </border>
    <border>
      <left style="thin">
        <color rgb="FF000000"/>
      </left>
      <right/>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999999"/>
      </left>
      <right style="thin">
        <color rgb="FF999999"/>
      </right>
      <top style="thin">
        <color rgb="FF999999"/>
      </top>
      <bottom style="thin">
        <color rgb="FF999999"/>
      </bottom>
      <diagonal/>
    </border>
    <border>
      <left/>
      <right/>
      <top style="hair">
        <color rgb="FF000000"/>
      </top>
      <bottom/>
      <diagonal/>
    </border>
    <border>
      <left/>
      <right style="hair">
        <color rgb="FF000000"/>
      </right>
      <top style="hair">
        <color rgb="FF000000"/>
      </top>
      <bottom/>
      <diagonal/>
    </border>
  </borders>
  <cellStyleXfs count="1">
    <xf numFmtId="0" fontId="0" fillId="0" borderId="0"/>
  </cellStyleXfs>
  <cellXfs count="445">
    <xf numFmtId="0" fontId="0" fillId="0" borderId="0" pivotButton="0" quotePrefix="0" xfId="0"/>
    <xf numFmtId="0" fontId="3" fillId="0" borderId="0" applyAlignment="1" pivotButton="0" quotePrefix="0" xfId="0">
      <alignment vertical="center"/>
    </xf>
    <xf numFmtId="0" fontId="1" fillId="4" borderId="1" applyAlignment="1" pivotButton="0" quotePrefix="0" xfId="0">
      <alignment horizontal="center" vertical="center" wrapText="1"/>
    </xf>
    <xf numFmtId="0" fontId="3" fillId="0" borderId="0" applyAlignment="1" pivotButton="0" quotePrefix="0" xfId="0">
      <alignment vertical="center" wrapText="1"/>
    </xf>
    <xf numFmtId="0" fontId="3" fillId="0" borderId="0" pivotButton="0" quotePrefix="0" xfId="0"/>
    <xf numFmtId="0" fontId="6" fillId="7" borderId="0" applyAlignment="1" pivotButton="0" quotePrefix="0" xfId="0">
      <alignment horizontal="center" vertical="center" wrapText="1"/>
    </xf>
    <xf numFmtId="0" fontId="8" fillId="7" borderId="0" applyAlignment="1" pivotButton="0" quotePrefix="0" xfId="0">
      <alignment vertical="center"/>
    </xf>
    <xf numFmtId="0" fontId="7" fillId="10" borderId="0" applyAlignment="1" pivotButton="0" quotePrefix="0" xfId="0">
      <alignment vertical="center" wrapText="1"/>
    </xf>
    <xf numFmtId="0" fontId="9" fillId="11" borderId="0" applyAlignment="1" pivotButton="0" quotePrefix="0" xfId="0">
      <alignment horizontal="center" vertical="center" wrapText="1"/>
    </xf>
    <xf numFmtId="0" fontId="7" fillId="0" borderId="0" applyAlignment="1" pivotButton="0" quotePrefix="0" xfId="0">
      <alignment vertical="center"/>
    </xf>
    <xf numFmtId="0" fontId="7" fillId="12" borderId="0" applyAlignment="1" pivotButton="0" quotePrefix="0" xfId="0">
      <alignment vertical="center" wrapText="1"/>
    </xf>
    <xf numFmtId="0" fontId="7" fillId="0" borderId="0" applyAlignment="1" pivotButton="0" quotePrefix="0" xfId="0">
      <alignment vertical="center" wrapText="1"/>
    </xf>
    <xf numFmtId="0" fontId="0" fillId="0" borderId="0" applyAlignment="1" pivotButton="0" quotePrefix="0" xfId="0">
      <alignment vertical="center" wrapText="1"/>
    </xf>
    <xf numFmtId="0" fontId="7" fillId="13" borderId="0" applyAlignment="1" pivotButton="0" quotePrefix="0" xfId="0">
      <alignment vertical="center"/>
    </xf>
    <xf numFmtId="0" fontId="7" fillId="13" borderId="7" applyAlignment="1" pivotButton="0" quotePrefix="0" xfId="0">
      <alignment vertical="center"/>
    </xf>
    <xf numFmtId="0" fontId="7" fillId="14" borderId="0" applyAlignment="1" pivotButton="0" quotePrefix="0" xfId="0">
      <alignment vertical="center" wrapText="1"/>
    </xf>
    <xf numFmtId="0" fontId="13" fillId="0" borderId="0" applyAlignment="1" pivotButton="0" quotePrefix="0" xfId="0">
      <alignment wrapText="1"/>
    </xf>
    <xf numFmtId="0" fontId="3" fillId="0" borderId="0" applyAlignment="1" pivotButton="0" quotePrefix="0" xfId="0">
      <alignment wrapText="1"/>
    </xf>
    <xf numFmtId="0" fontId="8" fillId="7" borderId="0" applyAlignment="1" pivotButton="0" quotePrefix="0" xfId="0">
      <alignment horizontal="left" vertical="center"/>
    </xf>
    <xf numFmtId="0" fontId="3" fillId="12" borderId="0" applyAlignment="1" pivotButton="0" quotePrefix="0" xfId="0">
      <alignment vertical="center" wrapText="1"/>
    </xf>
    <xf numFmtId="0" fontId="18" fillId="0" borderId="0" applyAlignment="1" pivotButton="0" quotePrefix="0" xfId="0">
      <alignment vertical="center" wrapText="1"/>
    </xf>
    <xf numFmtId="0" fontId="0" fillId="0" borderId="0" applyAlignment="1" pivotButton="0" quotePrefix="0" xfId="0">
      <alignment horizontal="left" vertical="center" wrapText="1"/>
    </xf>
    <xf numFmtId="0" fontId="13" fillId="0" borderId="0" pivotButton="0" quotePrefix="0" xfId="0"/>
    <xf numFmtId="0" fontId="13" fillId="10" borderId="0" pivotButton="0" quotePrefix="0" xfId="0"/>
    <xf numFmtId="0" fontId="3" fillId="10" borderId="0" pivotButton="0" quotePrefix="0" xfId="0"/>
    <xf numFmtId="0" fontId="13" fillId="12" borderId="0" applyAlignment="1" pivotButton="0" quotePrefix="0" xfId="0">
      <alignment wrapText="1"/>
    </xf>
    <xf numFmtId="0" fontId="13" fillId="12" borderId="0" pivotButton="0" quotePrefix="0" xfId="0"/>
    <xf numFmtId="0" fontId="3" fillId="12" borderId="0" pivotButton="0" quotePrefix="0" xfId="0"/>
    <xf numFmtId="0" fontId="3" fillId="12" borderId="0" applyAlignment="1" pivotButton="0" quotePrefix="0" xfId="0">
      <alignment vertical="center"/>
    </xf>
    <xf numFmtId="0" fontId="12" fillId="0" borderId="0" applyAlignment="1" pivotButton="0" quotePrefix="0" xfId="0">
      <alignment horizontal="left" wrapText="1"/>
    </xf>
    <xf numFmtId="0" fontId="12" fillId="0" borderId="0" applyAlignment="1" pivotButton="0" quotePrefix="0" xfId="0">
      <alignment wrapText="1"/>
    </xf>
    <xf numFmtId="0" fontId="13" fillId="8" borderId="0" applyAlignment="1" pivotButton="0" quotePrefix="0" xfId="0">
      <alignment vertical="center" wrapText="1"/>
    </xf>
    <xf numFmtId="0" fontId="13" fillId="8" borderId="0" pivotButton="0" quotePrefix="0" xfId="0"/>
    <xf numFmtId="0" fontId="21" fillId="8" borderId="0" applyAlignment="1" pivotButton="0" quotePrefix="0" xfId="0">
      <alignment horizontal="center" vertical="center" wrapText="1"/>
    </xf>
    <xf numFmtId="0" fontId="10" fillId="0" borderId="0" applyAlignment="1" pivotButton="0" quotePrefix="0" xfId="0">
      <alignment vertical="center"/>
    </xf>
    <xf numFmtId="0" fontId="7" fillId="0" borderId="0" applyAlignment="1" pivotButton="0" quotePrefix="0" xfId="0">
      <alignment horizontal="center" vertical="center" wrapText="1"/>
    </xf>
    <xf numFmtId="0" fontId="7" fillId="0" borderId="10" applyAlignment="1" pivotButton="0" quotePrefix="0" xfId="0">
      <alignment vertical="center"/>
    </xf>
    <xf numFmtId="0" fontId="7" fillId="0" borderId="7" applyAlignment="1" pivotButton="0" quotePrefix="0" xfId="0">
      <alignment vertical="center"/>
    </xf>
    <xf numFmtId="0" fontId="7" fillId="13" borderId="10" applyAlignment="1" pivotButton="0" quotePrefix="0" xfId="0">
      <alignment vertical="center"/>
    </xf>
    <xf numFmtId="0" fontId="7" fillId="2" borderId="0" applyAlignment="1" pivotButton="0" quotePrefix="0" xfId="0">
      <alignment vertical="center" wrapText="1"/>
    </xf>
    <xf numFmtId="0" fontId="6" fillId="0" borderId="0" applyAlignment="1" pivotButton="0" quotePrefix="0" xfId="0">
      <alignment vertical="center" wrapText="1"/>
    </xf>
    <xf numFmtId="0" fontId="8" fillId="0" borderId="0" applyAlignment="1" pivotButton="0" quotePrefix="0" xfId="0">
      <alignment vertical="center" wrapText="1"/>
    </xf>
    <xf numFmtId="0" fontId="11" fillId="0" borderId="0" applyAlignment="1" pivotButton="0" quotePrefix="0" xfId="0">
      <alignment vertical="center" wrapText="1"/>
    </xf>
    <xf numFmtId="0" fontId="22" fillId="0" borderId="0" applyAlignment="1" pivotButton="0" quotePrefix="0" xfId="0">
      <alignment vertical="center" wrapText="1"/>
    </xf>
    <xf numFmtId="0" fontId="11" fillId="14" borderId="0" applyAlignment="1" pivotButton="0" quotePrefix="0" xfId="0">
      <alignment vertical="center" wrapText="1"/>
    </xf>
    <xf numFmtId="0" fontId="11" fillId="0" borderId="0" applyAlignment="1" pivotButton="0" quotePrefix="0" xfId="0">
      <alignment horizontal="center" vertical="center" wrapText="1"/>
    </xf>
    <xf numFmtId="0" fontId="7" fillId="8" borderId="0" applyAlignment="1" pivotButton="0" quotePrefix="0" xfId="0">
      <alignment vertical="center" wrapText="1"/>
    </xf>
    <xf numFmtId="0" fontId="7" fillId="0" borderId="0" applyAlignment="1" pivotButton="0" quotePrefix="0" xfId="0">
      <alignment vertical="top"/>
    </xf>
    <xf numFmtId="0" fontId="13" fillId="0" borderId="0" applyAlignment="1" pivotButton="0" quotePrefix="0" xfId="0">
      <alignment vertical="top" wrapText="1"/>
    </xf>
    <xf numFmtId="0" fontId="15" fillId="11" borderId="0" applyAlignment="1" pivotButton="0" quotePrefix="0" xfId="0">
      <alignment horizontal="center" vertical="center" wrapText="1"/>
    </xf>
    <xf numFmtId="0" fontId="23" fillId="7" borderId="0" applyAlignment="1" pivotButton="0" quotePrefix="0" xfId="0">
      <alignment horizontal="center"/>
    </xf>
    <xf numFmtId="0" fontId="23" fillId="7" borderId="0" applyAlignment="1" pivotButton="0" quotePrefix="0" xfId="0">
      <alignment horizontal="center" wrapText="1"/>
    </xf>
    <xf numFmtId="0" fontId="24" fillId="0" borderId="0" pivotButton="0" quotePrefix="0" xfId="0"/>
    <xf numFmtId="0" fontId="24" fillId="0" borderId="0" applyAlignment="1" pivotButton="0" quotePrefix="0" xfId="0">
      <alignment wrapText="1"/>
    </xf>
    <xf numFmtId="0" fontId="25" fillId="0" borderId="0" applyAlignment="1" pivotButton="0" quotePrefix="0" xfId="0">
      <alignment wrapText="1"/>
    </xf>
    <xf numFmtId="0" fontId="3" fillId="14" borderId="0" pivotButton="0" quotePrefix="0" xfId="0"/>
    <xf numFmtId="0" fontId="25" fillId="12" borderId="0" applyAlignment="1" pivotButton="0" quotePrefix="0" xfId="0">
      <alignment wrapText="1"/>
    </xf>
    <xf numFmtId="0" fontId="26" fillId="0" borderId="0" pivotButton="0" quotePrefix="0" xfId="0"/>
    <xf numFmtId="0" fontId="25" fillId="0" borderId="0" applyAlignment="1" pivotButton="0" quotePrefix="0" xfId="0">
      <alignment horizontal="left" wrapText="1"/>
    </xf>
    <xf numFmtId="0" fontId="12" fillId="0" borderId="0" applyAlignment="1" pivotButton="0" quotePrefix="0" xfId="0">
      <alignment horizontal="left" vertical="top" wrapText="1"/>
    </xf>
    <xf numFmtId="0" fontId="6" fillId="7" borderId="0" applyAlignment="1" pivotButton="0" quotePrefix="0" xfId="0">
      <alignment horizontal="center" vertical="center"/>
    </xf>
    <xf numFmtId="0" fontId="13" fillId="0" borderId="0" applyAlignment="1" pivotButton="0" quotePrefix="0" xfId="0">
      <alignment vertical="center" wrapText="1"/>
    </xf>
    <xf numFmtId="0" fontId="0" fillId="7" borderId="0" applyAlignment="1" pivotButton="0" quotePrefix="0" xfId="0">
      <alignment horizontal="center" vertical="center"/>
    </xf>
    <xf numFmtId="0" fontId="1" fillId="7" borderId="0" applyAlignment="1" pivotButton="0" quotePrefix="0" xfId="0">
      <alignment horizontal="center" vertical="center" wrapText="1"/>
    </xf>
    <xf numFmtId="0" fontId="29" fillId="8" borderId="0" applyAlignment="1" pivotButton="0" quotePrefix="0" xfId="0">
      <alignment horizontal="center" vertical="center" wrapText="1"/>
    </xf>
    <xf numFmtId="0" fontId="10" fillId="0" borderId="11" applyAlignment="1" pivotButton="0" quotePrefix="0" xfId="0">
      <alignment horizontal="center" vertical="center"/>
    </xf>
    <xf numFmtId="0" fontId="10" fillId="0" borderId="11" applyAlignment="1" pivotButton="0" quotePrefix="0" xfId="0">
      <alignment vertical="center" wrapText="1"/>
    </xf>
    <xf numFmtId="0" fontId="10" fillId="0" borderId="11" applyAlignment="1" pivotButton="0" quotePrefix="0" xfId="0">
      <alignment vertical="center"/>
    </xf>
    <xf numFmtId="0" fontId="7" fillId="0" borderId="11" applyAlignment="1" pivotButton="0" quotePrefix="0" xfId="0">
      <alignment vertical="center" wrapText="1"/>
    </xf>
    <xf numFmtId="0" fontId="7" fillId="0" borderId="11" applyAlignment="1" pivotButton="0" quotePrefix="0" xfId="0">
      <alignment vertical="center"/>
    </xf>
    <xf numFmtId="0" fontId="30" fillId="0" borderId="11" applyAlignment="1" pivotButton="0" quotePrefix="0" xfId="0">
      <alignment vertical="center" wrapText="1"/>
    </xf>
    <xf numFmtId="0" fontId="3" fillId="10" borderId="11" applyAlignment="1" pivotButton="0" quotePrefix="0" xfId="0">
      <alignment vertical="center"/>
    </xf>
    <xf numFmtId="0" fontId="3" fillId="10" borderId="11" applyAlignment="1" pivotButton="0" quotePrefix="0" xfId="0">
      <alignment vertical="center" wrapText="1"/>
    </xf>
    <xf numFmtId="0" fontId="7" fillId="16" borderId="0" applyAlignment="1" pivotButton="0" quotePrefix="0" xfId="0">
      <alignment horizontal="center" vertical="center"/>
    </xf>
    <xf numFmtId="0" fontId="31" fillId="0" borderId="12" applyAlignment="1" pivotButton="0" quotePrefix="0" xfId="0">
      <alignment vertical="center" wrapText="1"/>
    </xf>
    <xf numFmtId="0" fontId="0" fillId="0" borderId="12" applyAlignment="1" pivotButton="0" quotePrefix="0" xfId="0">
      <alignment vertical="center" wrapText="1"/>
    </xf>
    <xf numFmtId="0" fontId="7" fillId="0" borderId="12" applyAlignment="1" pivotButton="0" quotePrefix="0" xfId="0">
      <alignment vertical="center" wrapText="1"/>
    </xf>
    <xf numFmtId="0" fontId="7" fillId="0" borderId="12" applyAlignment="1" pivotButton="0" quotePrefix="0" xfId="0">
      <alignment vertical="center"/>
    </xf>
    <xf numFmtId="0" fontId="13" fillId="0" borderId="0" applyAlignment="1" pivotButton="0" quotePrefix="0" xfId="0">
      <alignment vertical="center"/>
    </xf>
    <xf numFmtId="0" fontId="32" fillId="0" borderId="0" applyAlignment="1" pivotButton="0" quotePrefix="0" xfId="0">
      <alignment vertical="center" wrapText="1"/>
    </xf>
    <xf numFmtId="0" fontId="32" fillId="0" borderId="0" applyAlignment="1" pivotButton="0" quotePrefix="0" xfId="0">
      <alignment vertical="center"/>
    </xf>
    <xf numFmtId="0" fontId="31" fillId="0" borderId="0" applyAlignment="1" pivotButton="0" quotePrefix="0" xfId="0">
      <alignment vertical="center" wrapText="1"/>
    </xf>
    <xf numFmtId="0" fontId="19" fillId="0" borderId="0" applyAlignment="1" pivotButton="0" quotePrefix="0" xfId="0">
      <alignment vertical="center" wrapText="1"/>
    </xf>
    <xf numFmtId="0" fontId="7" fillId="16" borderId="11" applyAlignment="1" pivotButton="0" quotePrefix="0" xfId="0">
      <alignment horizontal="center" vertical="center"/>
    </xf>
    <xf numFmtId="0" fontId="0" fillId="0" borderId="11" applyAlignment="1" pivotButton="0" quotePrefix="0" xfId="0">
      <alignment vertical="center" wrapText="1"/>
    </xf>
    <xf numFmtId="0" fontId="13" fillId="0" borderId="11" applyAlignment="1" pivotButton="0" quotePrefix="0" xfId="0">
      <alignment vertical="center"/>
    </xf>
    <xf numFmtId="0" fontId="32" fillId="0" borderId="11" applyAlignment="1" pivotButton="0" quotePrefix="0" xfId="0">
      <alignment vertical="center"/>
    </xf>
    <xf numFmtId="0" fontId="32" fillId="0" borderId="11" applyAlignment="1" pivotButton="0" quotePrefix="0" xfId="0">
      <alignment vertical="center" wrapText="1"/>
    </xf>
    <xf numFmtId="0" fontId="7" fillId="17" borderId="0" applyAlignment="1" pivotButton="0" quotePrefix="0" xfId="0">
      <alignment horizontal="center" vertical="center"/>
    </xf>
    <xf numFmtId="0" fontId="7" fillId="17" borderId="11" applyAlignment="1" pivotButton="0" quotePrefix="0" xfId="0">
      <alignment horizontal="center" vertical="center"/>
    </xf>
    <xf numFmtId="0" fontId="7" fillId="6" borderId="0" applyAlignment="1" pivotButton="0" quotePrefix="0" xfId="0">
      <alignment horizontal="center" vertical="center"/>
    </xf>
    <xf numFmtId="0" fontId="7" fillId="6" borderId="11" applyAlignment="1" pivotButton="0" quotePrefix="0" xfId="0">
      <alignment horizontal="center" vertical="center"/>
    </xf>
    <xf numFmtId="0" fontId="7" fillId="18" borderId="0" applyAlignment="1" pivotButton="0" quotePrefix="0" xfId="0">
      <alignment horizontal="center" vertical="center"/>
    </xf>
    <xf numFmtId="0" fontId="13" fillId="0" borderId="12" applyAlignment="1" pivotButton="0" quotePrefix="0" xfId="0">
      <alignment vertical="center"/>
    </xf>
    <xf numFmtId="0" fontId="0" fillId="18" borderId="0" applyAlignment="1" pivotButton="0" quotePrefix="0" xfId="0">
      <alignment horizontal="center" vertical="center"/>
    </xf>
    <xf numFmtId="0" fontId="33" fillId="0" borderId="0" applyAlignment="1" pivotButton="0" quotePrefix="0" xfId="0">
      <alignment vertical="center" wrapText="1"/>
    </xf>
    <xf numFmtId="0" fontId="0" fillId="18" borderId="11" applyAlignment="1" pivotButton="0" quotePrefix="0" xfId="0">
      <alignment horizontal="center" vertical="center"/>
    </xf>
    <xf numFmtId="0" fontId="7" fillId="13" borderId="11" applyAlignment="1" pivotButton="0" quotePrefix="0" xfId="0">
      <alignment vertical="center"/>
    </xf>
    <xf numFmtId="0" fontId="0" fillId="6" borderId="0" applyAlignment="1" pivotButton="0" quotePrefix="0" xfId="0">
      <alignment horizontal="center" vertical="center"/>
    </xf>
    <xf numFmtId="0" fontId="0" fillId="6" borderId="11" applyAlignment="1" pivotButton="0" quotePrefix="0" xfId="0">
      <alignment horizontal="center" vertical="center"/>
    </xf>
    <xf numFmtId="0" fontId="34" fillId="0" borderId="12" applyAlignment="1" pivotButton="0" quotePrefix="0" xfId="0">
      <alignment vertical="center" wrapText="1"/>
    </xf>
    <xf numFmtId="0" fontId="3" fillId="12" borderId="12" applyAlignment="1" pivotButton="0" quotePrefix="0" xfId="0">
      <alignment vertical="center" wrapText="1"/>
    </xf>
    <xf numFmtId="0" fontId="3" fillId="12" borderId="12" applyAlignment="1" pivotButton="0" quotePrefix="0" xfId="0">
      <alignment vertical="center"/>
    </xf>
    <xf numFmtId="0" fontId="13" fillId="0" borderId="12" applyAlignment="1" pivotButton="0" quotePrefix="0" xfId="0">
      <alignment vertical="center" wrapText="1"/>
    </xf>
    <xf numFmtId="0" fontId="3" fillId="0" borderId="12" applyAlignment="1" pivotButton="0" quotePrefix="0" xfId="0">
      <alignment vertical="center"/>
    </xf>
    <xf numFmtId="0" fontId="19" fillId="0" borderId="12" applyAlignment="1" pivotButton="0" quotePrefix="0" xfId="0">
      <alignment vertical="center" wrapText="1"/>
    </xf>
    <xf numFmtId="0" fontId="13" fillId="12" borderId="0" applyAlignment="1" pivotButton="0" quotePrefix="0" xfId="0">
      <alignment vertical="center" wrapText="1"/>
    </xf>
    <xf numFmtId="0" fontId="13" fillId="12" borderId="0" applyAlignment="1" pivotButton="0" quotePrefix="0" xfId="0">
      <alignment vertical="center"/>
    </xf>
    <xf numFmtId="0" fontId="7" fillId="19" borderId="0" applyAlignment="1" pivotButton="0" quotePrefix="0" xfId="0">
      <alignment horizontal="center" vertical="center"/>
    </xf>
    <xf numFmtId="0" fontId="13" fillId="12" borderId="12" applyAlignment="1" pivotButton="0" quotePrefix="0" xfId="0">
      <alignment vertical="center" wrapText="1"/>
    </xf>
    <xf numFmtId="0" fontId="13" fillId="12" borderId="12" applyAlignment="1" pivotButton="0" quotePrefix="0" xfId="0">
      <alignment vertical="center"/>
    </xf>
    <xf numFmtId="0" fontId="7" fillId="19" borderId="11" applyAlignment="1" pivotButton="0" quotePrefix="0" xfId="0">
      <alignment horizontal="center" vertical="center"/>
    </xf>
    <xf numFmtId="0" fontId="7" fillId="5" borderId="0" applyAlignment="1" pivotButton="0" quotePrefix="0" xfId="0">
      <alignment horizontal="center" vertical="center"/>
    </xf>
    <xf numFmtId="0" fontId="7" fillId="5" borderId="11" applyAlignment="1" pivotButton="0" quotePrefix="0" xfId="0">
      <alignment horizontal="center" vertical="center"/>
    </xf>
    <xf numFmtId="0" fontId="7" fillId="0" borderId="12" applyAlignment="1" pivotButton="0" quotePrefix="0" xfId="0">
      <alignment vertical="top"/>
    </xf>
    <xf numFmtId="0" fontId="12" fillId="0" borderId="12" applyAlignment="1" pivotButton="0" quotePrefix="0" xfId="0">
      <alignment horizontal="left" vertical="center" wrapText="1"/>
    </xf>
    <xf numFmtId="0" fontId="12" fillId="0" borderId="12" applyAlignment="1" pivotButton="0" quotePrefix="0" xfId="0">
      <alignment horizontal="left" wrapText="1"/>
    </xf>
    <xf numFmtId="0" fontId="12" fillId="0" borderId="12" applyAlignment="1" pivotButton="0" quotePrefix="0" xfId="0">
      <alignment wrapText="1"/>
    </xf>
    <xf numFmtId="0" fontId="12" fillId="0" borderId="0" applyAlignment="1" pivotButton="0" quotePrefix="0" xfId="0">
      <alignment horizontal="left" vertical="center" wrapText="1"/>
    </xf>
    <xf numFmtId="0" fontId="12" fillId="0" borderId="0" applyAlignment="1" pivotButton="0" quotePrefix="0" xfId="0">
      <alignment horizontal="left" vertical="center"/>
    </xf>
    <xf numFmtId="0" fontId="12" fillId="0" borderId="11" applyAlignment="1" pivotButton="0" quotePrefix="0" xfId="0">
      <alignment horizontal="left" vertical="center"/>
    </xf>
    <xf numFmtId="0" fontId="12" fillId="0" borderId="11" applyAlignment="1" pivotButton="0" quotePrefix="0" xfId="0">
      <alignment horizontal="left" vertical="center" wrapText="1"/>
    </xf>
    <xf numFmtId="0" fontId="34" fillId="0" borderId="0" applyAlignment="1" pivotButton="0" quotePrefix="0" xfId="0">
      <alignment vertical="center" wrapText="1"/>
    </xf>
    <xf numFmtId="0" fontId="19" fillId="0" borderId="0" applyAlignment="1" pivotButton="0" quotePrefix="0" xfId="0">
      <alignment horizontal="left" vertical="center" wrapText="1"/>
    </xf>
    <xf numFmtId="0" fontId="19" fillId="0" borderId="11" applyAlignment="1" pivotButton="0" quotePrefix="0" xfId="0">
      <alignment horizontal="left" vertical="center" wrapText="1"/>
    </xf>
    <xf numFmtId="0" fontId="18" fillId="0" borderId="11" applyAlignment="1" pivotButton="0" quotePrefix="0" xfId="0">
      <alignment vertical="center" wrapText="1"/>
    </xf>
    <xf numFmtId="0" fontId="13" fillId="16" borderId="0" applyAlignment="1" pivotButton="0" quotePrefix="0" xfId="0">
      <alignment horizontal="center" vertical="center"/>
    </xf>
    <xf numFmtId="0" fontId="35" fillId="0" borderId="0" applyAlignment="1" pivotButton="0" quotePrefix="0" xfId="0">
      <alignment vertical="center" wrapText="1"/>
    </xf>
    <xf numFmtId="0" fontId="13" fillId="16" borderId="11" applyAlignment="1" pivotButton="0" quotePrefix="0" xfId="0">
      <alignment horizontal="center" vertical="center"/>
    </xf>
    <xf numFmtId="0" fontId="13" fillId="0" borderId="11" applyAlignment="1" pivotButton="0" quotePrefix="0" xfId="0">
      <alignment vertical="center" wrapText="1"/>
    </xf>
    <xf numFmtId="0" fontId="13" fillId="0" borderId="11" pivotButton="0" quotePrefix="0" xfId="0"/>
    <xf numFmtId="0" fontId="13" fillId="0" borderId="11" applyAlignment="1" pivotButton="0" quotePrefix="0" xfId="0">
      <alignment wrapText="1"/>
    </xf>
    <xf numFmtId="0" fontId="21" fillId="0" borderId="0" applyAlignment="1" pivotButton="0" quotePrefix="0" xfId="0">
      <alignment vertical="center" wrapText="1"/>
    </xf>
    <xf numFmtId="0" fontId="21" fillId="0" borderId="0" applyAlignment="1" pivotButton="0" quotePrefix="0" xfId="0">
      <alignment vertical="center"/>
    </xf>
    <xf numFmtId="0" fontId="21" fillId="0" borderId="11" applyAlignment="1" pivotButton="0" quotePrefix="0" xfId="0">
      <alignment vertical="center" wrapText="1"/>
    </xf>
    <xf numFmtId="0" fontId="21" fillId="0" borderId="11" applyAlignment="1" pivotButton="0" quotePrefix="0" xfId="0">
      <alignment vertical="center"/>
    </xf>
    <xf numFmtId="0" fontId="19" fillId="0" borderId="0" applyAlignment="1" pivotButton="0" quotePrefix="0" xfId="0">
      <alignment vertical="center"/>
    </xf>
    <xf numFmtId="0" fontId="19" fillId="0" borderId="11" applyAlignment="1" pivotButton="0" quotePrefix="0" xfId="0">
      <alignment vertical="center" wrapText="1"/>
    </xf>
    <xf numFmtId="0" fontId="19" fillId="0" borderId="11" applyAlignment="1" pivotButton="0" quotePrefix="0" xfId="0">
      <alignment vertical="center"/>
    </xf>
    <xf numFmtId="0" fontId="13" fillId="19" borderId="0" applyAlignment="1" pivotButton="0" quotePrefix="0" xfId="0">
      <alignment horizontal="center" vertical="center"/>
    </xf>
    <xf numFmtId="0" fontId="36" fillId="0" borderId="0" applyAlignment="1" pivotButton="0" quotePrefix="0" xfId="0">
      <alignment vertical="center" wrapText="1"/>
    </xf>
    <xf numFmtId="0" fontId="13" fillId="0" borderId="12" pivotButton="0" quotePrefix="0" xfId="0"/>
    <xf numFmtId="0" fontId="13" fillId="0" borderId="12" applyAlignment="1" pivotButton="0" quotePrefix="0" xfId="0">
      <alignment wrapText="1"/>
    </xf>
    <xf numFmtId="0" fontId="13" fillId="19" borderId="11" applyAlignment="1" pivotButton="0" quotePrefix="0" xfId="0">
      <alignment horizontal="center" vertical="center"/>
    </xf>
    <xf numFmtId="0" fontId="13" fillId="18" borderId="0" applyAlignment="1" pivotButton="0" quotePrefix="0" xfId="0">
      <alignment horizontal="center" vertical="center"/>
    </xf>
    <xf numFmtId="0" fontId="13" fillId="18" borderId="11" applyAlignment="1" pivotButton="0" quotePrefix="0" xfId="0">
      <alignment horizontal="center" vertical="center"/>
    </xf>
    <xf numFmtId="0" fontId="13" fillId="20" borderId="0" applyAlignment="1" pivotButton="0" quotePrefix="0" xfId="0">
      <alignment horizontal="center" vertical="center"/>
    </xf>
    <xf numFmtId="0" fontId="13" fillId="20" borderId="11" applyAlignment="1" pivotButton="0" quotePrefix="0" xfId="0">
      <alignment horizontal="center" vertical="center"/>
    </xf>
    <xf numFmtId="0" fontId="13" fillId="6" borderId="0" applyAlignment="1" pivotButton="0" quotePrefix="0" xfId="0">
      <alignment horizontal="center" vertical="center"/>
    </xf>
    <xf numFmtId="0" fontId="13" fillId="6" borderId="11" applyAlignment="1" pivotButton="0" quotePrefix="0" xfId="0">
      <alignment horizontal="center" vertical="center"/>
    </xf>
    <xf numFmtId="0" fontId="21" fillId="0" borderId="0" applyAlignment="1" pivotButton="0" quotePrefix="0" xfId="0">
      <alignment horizontal="right" vertical="center"/>
    </xf>
    <xf numFmtId="0" fontId="13" fillId="0" borderId="0" applyAlignment="1" pivotButton="0" quotePrefix="0" xfId="0">
      <alignment horizontal="right" vertical="center"/>
    </xf>
    <xf numFmtId="0" fontId="21" fillId="0" borderId="11" applyAlignment="1" pivotButton="0" quotePrefix="0" xfId="0">
      <alignment horizontal="right" vertical="center"/>
    </xf>
    <xf numFmtId="0" fontId="13" fillId="5" borderId="0" applyAlignment="1" pivotButton="0" quotePrefix="0" xfId="0">
      <alignment horizontal="center" vertical="center"/>
    </xf>
    <xf numFmtId="0" fontId="35" fillId="0" borderId="0" applyAlignment="1" pivotButton="0" quotePrefix="0" xfId="0">
      <alignment wrapText="1"/>
    </xf>
    <xf numFmtId="0" fontId="38" fillId="0" borderId="0" applyAlignment="1" pivotButton="0" quotePrefix="0" xfId="0">
      <alignment vertical="center"/>
    </xf>
    <xf numFmtId="0" fontId="13" fillId="5" borderId="11" applyAlignment="1" pivotButton="0" quotePrefix="0" xfId="0">
      <alignment horizontal="center" vertical="center"/>
    </xf>
    <xf numFmtId="0" fontId="38" fillId="0" borderId="11" applyAlignment="1" pivotButton="0" quotePrefix="0" xfId="0">
      <alignment vertical="center"/>
    </xf>
    <xf numFmtId="0" fontId="13" fillId="21" borderId="12" applyAlignment="1" pivotButton="0" quotePrefix="0" xfId="0">
      <alignment horizontal="center" vertical="center"/>
    </xf>
    <xf numFmtId="0" fontId="35" fillId="0" borderId="12" applyAlignment="1" pivotButton="0" quotePrefix="0" xfId="0">
      <alignment vertical="center" wrapText="1"/>
    </xf>
    <xf numFmtId="0" fontId="13" fillId="21" borderId="0" applyAlignment="1" pivotButton="0" quotePrefix="0" xfId="0">
      <alignment horizontal="center" vertical="center"/>
    </xf>
    <xf numFmtId="0" fontId="13" fillId="21" borderId="11" applyAlignment="1" pivotButton="0" quotePrefix="0" xfId="0">
      <alignment horizontal="center" vertical="center"/>
    </xf>
    <xf numFmtId="0" fontId="13" fillId="17" borderId="0" applyAlignment="1" pivotButton="0" quotePrefix="0" xfId="0">
      <alignment horizontal="center" vertical="center"/>
    </xf>
    <xf numFmtId="0" fontId="13" fillId="17" borderId="11" applyAlignment="1" pivotButton="0" quotePrefix="0" xfId="0">
      <alignment horizontal="center" vertical="center"/>
    </xf>
    <xf numFmtId="0" fontId="13" fillId="22" borderId="0" applyAlignment="1" pivotButton="0" quotePrefix="0" xfId="0">
      <alignment horizontal="center" vertical="center"/>
    </xf>
    <xf numFmtId="0" fontId="13" fillId="22" borderId="11" applyAlignment="1" pivotButton="0" quotePrefix="0" xfId="0">
      <alignment horizontal="center" vertical="center"/>
    </xf>
    <xf numFmtId="0" fontId="13" fillId="0" borderId="0" applyAlignment="1" pivotButton="0" quotePrefix="0" xfId="0">
      <alignment horizontal="center" vertical="center"/>
    </xf>
    <xf numFmtId="0" fontId="36" fillId="0" borderId="5" pivotButton="0" quotePrefix="0" xfId="0"/>
    <xf numFmtId="0" fontId="19" fillId="0" borderId="5" applyAlignment="1" pivotButton="0" quotePrefix="0" xfId="0">
      <alignment horizontal="right" wrapText="1"/>
    </xf>
    <xf numFmtId="0" fontId="21" fillId="3" borderId="1" applyAlignment="1" pivotButton="0" quotePrefix="0" xfId="0">
      <alignment horizontal="center" vertical="center" wrapText="1"/>
    </xf>
    <xf numFmtId="0" fontId="21" fillId="4" borderId="1" applyAlignment="1" pivotButton="0" quotePrefix="0" xfId="0">
      <alignment horizontal="center" vertical="center" wrapText="1"/>
    </xf>
    <xf numFmtId="0" fontId="13" fillId="0" borderId="1" applyAlignment="1" pivotButton="0" quotePrefix="0" xfId="0">
      <alignment horizontal="center" wrapText="1"/>
    </xf>
    <xf numFmtId="4" fontId="36" fillId="0" borderId="1" applyAlignment="1" pivotButton="0" quotePrefix="0" xfId="0">
      <alignment horizontal="center" wrapText="1"/>
    </xf>
    <xf numFmtId="0" fontId="3" fillId="0" borderId="1" applyAlignment="1" pivotButton="0" quotePrefix="0" xfId="0">
      <alignment horizontal="center" vertical="center" wrapText="1"/>
    </xf>
    <xf numFmtId="4" fontId="4" fillId="0" borderId="1" applyAlignment="1" pivotButton="0" quotePrefix="0" xfId="0">
      <alignment horizontal="center"/>
    </xf>
    <xf numFmtId="4" fontId="4" fillId="0" borderId="0" applyAlignment="1" pivotButton="0" quotePrefix="0" xfId="0">
      <alignment vertical="center" wrapText="1"/>
    </xf>
    <xf numFmtId="0" fontId="29" fillId="0" borderId="6" applyAlignment="1" pivotButton="0" quotePrefix="0" xfId="0">
      <alignment wrapText="1"/>
    </xf>
    <xf numFmtId="0" fontId="29" fillId="0" borderId="6" applyAlignment="1" pivotButton="0" quotePrefix="0" xfId="0">
      <alignment horizontal="right" wrapText="1"/>
    </xf>
    <xf numFmtId="0" fontId="31" fillId="0" borderId="11" applyAlignment="1" pivotButton="0" quotePrefix="0" xfId="0">
      <alignment vertical="center" wrapText="1"/>
    </xf>
    <xf numFmtId="0" fontId="5" fillId="0" borderId="11" applyAlignment="1" pivotButton="0" quotePrefix="0" xfId="0">
      <alignment vertical="center" wrapText="1"/>
    </xf>
    <xf numFmtId="0" fontId="20" fillId="7" borderId="0" applyAlignment="1" pivotButton="0" quotePrefix="0" xfId="0">
      <alignment horizontal="center"/>
    </xf>
    <xf numFmtId="0" fontId="20" fillId="7" borderId="0" applyAlignment="1" pivotButton="0" quotePrefix="0" xfId="0">
      <alignment horizontal="center" wrapText="1"/>
    </xf>
    <xf numFmtId="0" fontId="20" fillId="12" borderId="0" applyAlignment="1" pivotButton="0" quotePrefix="0" xfId="0">
      <alignment horizontal="center"/>
    </xf>
    <xf numFmtId="0" fontId="3" fillId="5" borderId="0" applyAlignment="1" pivotButton="0" quotePrefix="0" xfId="0">
      <alignment horizontal="center"/>
    </xf>
    <xf numFmtId="0" fontId="3" fillId="5" borderId="0" pivotButton="0" quotePrefix="0" xfId="0"/>
    <xf numFmtId="0" fontId="39" fillId="5" borderId="0" applyAlignment="1" pivotButton="0" quotePrefix="0" xfId="0">
      <alignment horizontal="left" vertical="top" wrapText="1"/>
    </xf>
    <xf numFmtId="0" fontId="39" fillId="5" borderId="0" applyAlignment="1" pivotButton="0" quotePrefix="0" xfId="0">
      <alignment horizontal="left" wrapText="1"/>
    </xf>
    <xf numFmtId="0" fontId="39" fillId="5" borderId="5" applyAlignment="1" pivotButton="0" quotePrefix="0" xfId="0">
      <alignment horizontal="left" wrapText="1"/>
    </xf>
    <xf numFmtId="0" fontId="39" fillId="0" borderId="5" applyAlignment="1" pivotButton="0" quotePrefix="0" xfId="0">
      <alignment horizontal="left" wrapText="1"/>
    </xf>
    <xf numFmtId="0" fontId="40" fillId="0" borderId="5" applyAlignment="1" pivotButton="0" quotePrefix="0" xfId="0">
      <alignment horizontal="left" wrapText="1"/>
    </xf>
    <xf numFmtId="0" fontId="41" fillId="0" borderId="5" applyAlignment="1" pivotButton="0" quotePrefix="0" xfId="0">
      <alignment horizontal="right" wrapText="1"/>
    </xf>
    <xf numFmtId="0" fontId="41" fillId="0" borderId="5" applyAlignment="1" pivotButton="0" quotePrefix="0" xfId="0">
      <alignment horizontal="left" wrapText="1"/>
    </xf>
    <xf numFmtId="0" fontId="42" fillId="0" borderId="0" pivotButton="0" quotePrefix="0" xfId="0"/>
    <xf numFmtId="0" fontId="43" fillId="0" borderId="5" applyAlignment="1" pivotButton="0" quotePrefix="0" xfId="0">
      <alignment horizontal="left" wrapText="1"/>
    </xf>
    <xf numFmtId="0" fontId="16" fillId="0" borderId="0" pivotButton="0" quotePrefix="0" xfId="0"/>
    <xf numFmtId="0" fontId="44" fillId="0" borderId="0" pivotButton="0" quotePrefix="0" xfId="0"/>
    <xf numFmtId="0" fontId="40" fillId="0" borderId="5" applyAlignment="1" pivotButton="0" quotePrefix="1" xfId="0">
      <alignment horizontal="left" wrapText="1"/>
    </xf>
    <xf numFmtId="0" fontId="40" fillId="0" borderId="5" applyAlignment="1" pivotButton="0" quotePrefix="0" xfId="0">
      <alignment horizontal="right" wrapText="1"/>
    </xf>
    <xf numFmtId="0" fontId="40" fillId="0" borderId="5" applyAlignment="1" pivotButton="0" quotePrefix="0" xfId="0">
      <alignment horizontal="left"/>
    </xf>
    <xf numFmtId="0" fontId="45" fillId="0" borderId="0" applyAlignment="1" pivotButton="0" quotePrefix="0" xfId="0">
      <alignment horizontal="left" wrapText="1"/>
    </xf>
    <xf numFmtId="0" fontId="46" fillId="0" borderId="5" applyAlignment="1" pivotButton="0" quotePrefix="0" xfId="0">
      <alignment horizontal="left" wrapText="1"/>
    </xf>
    <xf numFmtId="0" fontId="47" fillId="5" borderId="0" pivotButton="0" quotePrefix="0" xfId="0"/>
    <xf numFmtId="0" fontId="3" fillId="5" borderId="0" applyAlignment="1" pivotButton="0" quotePrefix="0" xfId="0">
      <alignment wrapText="1"/>
    </xf>
    <xf numFmtId="0" fontId="3" fillId="15" borderId="0" applyAlignment="1" pivotButton="0" quotePrefix="0" xfId="0">
      <alignment horizontal="center"/>
    </xf>
    <xf numFmtId="0" fontId="48" fillId="15" borderId="5" applyAlignment="1" pivotButton="0" quotePrefix="0" xfId="0">
      <alignment horizontal="left"/>
    </xf>
    <xf numFmtId="0" fontId="39" fillId="15" borderId="5" applyAlignment="1" pivotButton="0" quotePrefix="0" xfId="0">
      <alignment horizontal="left" wrapText="1"/>
    </xf>
    <xf numFmtId="0" fontId="3" fillId="15" borderId="0" pivotButton="0" quotePrefix="0" xfId="0"/>
    <xf numFmtId="0" fontId="48" fillId="0" borderId="5" applyAlignment="1" pivotButton="0" quotePrefix="0" xfId="0">
      <alignment horizontal="left"/>
    </xf>
    <xf numFmtId="0" fontId="49" fillId="0" borderId="5" applyAlignment="1" pivotButton="0" quotePrefix="0" xfId="0">
      <alignment horizontal="left" wrapText="1"/>
    </xf>
    <xf numFmtId="0" fontId="17" fillId="10" borderId="5" applyAlignment="1" pivotButton="0" quotePrefix="0" xfId="0">
      <alignment wrapText="1"/>
    </xf>
    <xf numFmtId="0" fontId="17" fillId="12" borderId="5" applyAlignment="1" pivotButton="0" quotePrefix="0" xfId="0">
      <alignment horizontal="right" wrapText="1"/>
    </xf>
    <xf numFmtId="0" fontId="1" fillId="0" borderId="0" pivotButton="0" quotePrefix="0" xfId="0"/>
    <xf numFmtId="0" fontId="1" fillId="0" borderId="0" applyAlignment="1" pivotButton="0" quotePrefix="0" xfId="0">
      <alignment wrapText="1"/>
    </xf>
    <xf numFmtId="0" fontId="50" fillId="0" borderId="0" pivotButton="0" quotePrefix="0" xfId="0"/>
    <xf numFmtId="0" fontId="14" fillId="0" borderId="0" applyAlignment="1" pivotButton="0" quotePrefix="0" xfId="0">
      <alignment wrapText="1"/>
    </xf>
    <xf numFmtId="0" fontId="50" fillId="0" borderId="0" applyAlignment="1" pivotButton="0" quotePrefix="0" xfId="0">
      <alignment wrapText="1"/>
    </xf>
    <xf numFmtId="0" fontId="28" fillId="0" borderId="0" pivotButton="0" quotePrefix="0" xfId="0"/>
    <xf numFmtId="0" fontId="51" fillId="0" borderId="0" applyAlignment="1" pivotButton="0" quotePrefix="0" xfId="0">
      <alignment wrapText="1"/>
    </xf>
    <xf numFmtId="0" fontId="28" fillId="0" borderId="0" applyAlignment="1" pivotButton="0" quotePrefix="0" xfId="0">
      <alignment wrapText="1"/>
    </xf>
    <xf numFmtId="0" fontId="52" fillId="5" borderId="0" applyAlignment="1" pivotButton="0" quotePrefix="0" xfId="0">
      <alignment horizontal="left"/>
    </xf>
    <xf numFmtId="0" fontId="52" fillId="5" borderId="0" applyAlignment="1" pivotButton="0" quotePrefix="0" xfId="0">
      <alignment horizontal="left" wrapText="1"/>
    </xf>
    <xf numFmtId="0" fontId="52" fillId="23" borderId="0" applyAlignment="1" pivotButton="0" quotePrefix="0" xfId="0">
      <alignment horizontal="left"/>
    </xf>
    <xf numFmtId="0" fontId="52" fillId="23" borderId="0" applyAlignment="1" pivotButton="0" quotePrefix="0" xfId="0">
      <alignment horizontal="left" wrapText="1"/>
    </xf>
    <xf numFmtId="0" fontId="27" fillId="0" borderId="0" applyAlignment="1" pivotButton="0" quotePrefix="0" xfId="0">
      <alignment wrapText="1"/>
    </xf>
    <xf numFmtId="0" fontId="53" fillId="12" borderId="0" pivotButton="0" quotePrefix="0" xfId="0"/>
    <xf numFmtId="0" fontId="53" fillId="12" borderId="0" applyAlignment="1" pivotButton="0" quotePrefix="0" xfId="0">
      <alignment wrapText="1"/>
    </xf>
    <xf numFmtId="0" fontId="53" fillId="10" borderId="0" pivotButton="0" quotePrefix="0" xfId="0"/>
    <xf numFmtId="0" fontId="53" fillId="10" borderId="0" applyAlignment="1" pivotButton="0" quotePrefix="0" xfId="0">
      <alignment wrapText="1"/>
    </xf>
    <xf numFmtId="0" fontId="48" fillId="5" borderId="5" applyAlignment="1" pivotButton="0" quotePrefix="0" xfId="0">
      <alignment horizontal="left"/>
    </xf>
    <xf numFmtId="49" fontId="52" fillId="5" borderId="5" applyAlignment="1" pivotButton="0" quotePrefix="0" xfId="0">
      <alignment wrapText="1"/>
    </xf>
    <xf numFmtId="0" fontId="48" fillId="14" borderId="5" applyAlignment="1" pivotButton="0" quotePrefix="0" xfId="0">
      <alignment horizontal="left"/>
    </xf>
    <xf numFmtId="49" fontId="17" fillId="0" borderId="5" applyAlignment="1" pivotButton="0" quotePrefix="0" xfId="0">
      <alignment wrapText="1"/>
    </xf>
    <xf numFmtId="49" fontId="52" fillId="0" borderId="5" applyAlignment="1" pivotButton="0" quotePrefix="0" xfId="0">
      <alignment wrapText="1"/>
    </xf>
    <xf numFmtId="0" fontId="17" fillId="10" borderId="5" applyAlignment="1" pivotButton="0" quotePrefix="0" xfId="0">
      <alignment horizontal="right" wrapText="1"/>
    </xf>
    <xf numFmtId="0" fontId="17" fillId="0" borderId="5" applyAlignment="1" pivotButton="0" quotePrefix="0" xfId="0">
      <alignment wrapText="1"/>
    </xf>
    <xf numFmtId="0" fontId="54" fillId="0" borderId="5" applyAlignment="1" pivotButton="0" quotePrefix="0" xfId="0">
      <alignment wrapText="1"/>
    </xf>
    <xf numFmtId="0" fontId="53" fillId="5" borderId="0" pivotButton="0" quotePrefix="0" xfId="0"/>
    <xf numFmtId="0" fontId="53" fillId="5" borderId="0" applyAlignment="1" pivotButton="0" quotePrefix="0" xfId="0">
      <alignment wrapText="1"/>
    </xf>
    <xf numFmtId="0" fontId="13" fillId="5" borderId="0" pivotButton="0" quotePrefix="0" xfId="0"/>
    <xf numFmtId="0" fontId="55" fillId="0" borderId="0" applyAlignment="1" pivotButton="0" quotePrefix="0" xfId="0">
      <alignment wrapText="1"/>
    </xf>
    <xf numFmtId="0" fontId="53" fillId="0" borderId="0" applyAlignment="1" pivotButton="0" quotePrefix="0" xfId="0">
      <alignment wrapText="1"/>
    </xf>
    <xf numFmtId="0" fontId="55" fillId="10" borderId="0" applyAlignment="1" pivotButton="0" quotePrefix="0" xfId="0">
      <alignment wrapText="1"/>
    </xf>
    <xf numFmtId="0" fontId="56" fillId="10" borderId="0" applyAlignment="1" pivotButton="0" quotePrefix="0" xfId="0">
      <alignment wrapText="1"/>
    </xf>
    <xf numFmtId="0" fontId="57" fillId="10" borderId="0" applyAlignment="1" pivotButton="0" quotePrefix="0" xfId="0">
      <alignment horizontal="right" wrapText="1"/>
    </xf>
    <xf numFmtId="0" fontId="27" fillId="5" borderId="0" pivotButton="0" quotePrefix="0" xfId="0"/>
    <xf numFmtId="0" fontId="27" fillId="5" borderId="0" applyAlignment="1" pivotButton="0" quotePrefix="0" xfId="0">
      <alignment wrapText="1"/>
    </xf>
    <xf numFmtId="0" fontId="27" fillId="0" borderId="0" pivotButton="0" quotePrefix="0" xfId="0"/>
    <xf numFmtId="49" fontId="52" fillId="15" borderId="0" applyAlignment="1" pivotButton="0" quotePrefix="0" xfId="0">
      <alignment vertical="top" wrapText="1"/>
    </xf>
    <xf numFmtId="49" fontId="52" fillId="15" borderId="0" applyAlignment="1" pivotButton="0" quotePrefix="0" xfId="0">
      <alignment wrapText="1"/>
    </xf>
    <xf numFmtId="49" fontId="52" fillId="15" borderId="5" applyAlignment="1" pivotButton="0" quotePrefix="0" xfId="0">
      <alignment wrapText="1"/>
    </xf>
    <xf numFmtId="49" fontId="58" fillId="0" borderId="5" applyAlignment="1" pivotButton="0" quotePrefix="0" xfId="0">
      <alignment wrapText="1"/>
    </xf>
    <xf numFmtId="49" fontId="59" fillId="0" borderId="5" applyAlignment="1" pivotButton="0" quotePrefix="0" xfId="0">
      <alignment wrapText="1"/>
    </xf>
    <xf numFmtId="49" fontId="17" fillId="0" borderId="5" applyAlignment="1" pivotButton="0" quotePrefix="0" xfId="0">
      <alignment horizontal="right" wrapText="1"/>
    </xf>
    <xf numFmtId="49" fontId="52" fillId="10" borderId="5" applyAlignment="1" pivotButton="0" quotePrefix="0" xfId="0">
      <alignment wrapText="1"/>
    </xf>
    <xf numFmtId="49" fontId="58" fillId="10" borderId="5" applyAlignment="1" pivotButton="0" quotePrefix="0" xfId="0">
      <alignment wrapText="1"/>
    </xf>
    <xf numFmtId="0" fontId="58" fillId="10" borderId="5" applyAlignment="1" pivotButton="0" quotePrefix="0" xfId="0">
      <alignment wrapText="1"/>
    </xf>
    <xf numFmtId="0" fontId="58" fillId="0" borderId="5" applyAlignment="1" pivotButton="0" quotePrefix="0" xfId="0">
      <alignment wrapText="1"/>
    </xf>
    <xf numFmtId="0" fontId="52" fillId="0" borderId="0" applyAlignment="1" pivotButton="0" quotePrefix="0" xfId="0">
      <alignment wrapText="1"/>
    </xf>
    <xf numFmtId="0" fontId="52" fillId="10" borderId="5" applyAlignment="1" pivotButton="0" quotePrefix="0" xfId="0">
      <alignment wrapText="1"/>
    </xf>
    <xf numFmtId="0" fontId="52" fillId="0" borderId="5" applyAlignment="1" pivotButton="0" quotePrefix="0" xfId="0">
      <alignment wrapText="1"/>
    </xf>
    <xf numFmtId="0" fontId="45" fillId="5" borderId="5" applyAlignment="1" pivotButton="0" quotePrefix="0" xfId="0">
      <alignment horizontal="left"/>
    </xf>
    <xf numFmtId="0" fontId="45" fillId="5" borderId="5" applyAlignment="1" pivotButton="0" quotePrefix="0" xfId="0">
      <alignment horizontal="left" wrapText="1"/>
    </xf>
    <xf numFmtId="0" fontId="60" fillId="0" borderId="5" applyAlignment="1" pivotButton="0" quotePrefix="0" xfId="0">
      <alignment horizontal="left"/>
    </xf>
    <xf numFmtId="0" fontId="60" fillId="0" borderId="5" applyAlignment="1" pivotButton="0" quotePrefix="0" xfId="0">
      <alignment horizontal="left" wrapText="1"/>
    </xf>
    <xf numFmtId="0" fontId="40" fillId="0" borderId="5" applyAlignment="1" pivotButton="0" quotePrefix="0" xfId="0">
      <alignment horizontal="right"/>
    </xf>
    <xf numFmtId="0" fontId="45" fillId="0" borderId="5" applyAlignment="1" pivotButton="0" quotePrefix="0" xfId="0">
      <alignment horizontal="left"/>
    </xf>
    <xf numFmtId="0" fontId="45" fillId="0" borderId="5" applyAlignment="1" pivotButton="0" quotePrefix="0" xfId="0">
      <alignment horizontal="left" wrapText="1"/>
    </xf>
    <xf numFmtId="0" fontId="45" fillId="0" borderId="13" applyAlignment="1" pivotButton="0" quotePrefix="0" xfId="0">
      <alignment horizontal="left" vertical="top"/>
    </xf>
    <xf numFmtId="0" fontId="45" fillId="0" borderId="13" applyAlignment="1" pivotButton="0" quotePrefix="0" xfId="0">
      <alignment horizontal="left" vertical="top" wrapText="1"/>
    </xf>
    <xf numFmtId="0" fontId="61" fillId="0" borderId="8" applyAlignment="1" pivotButton="0" quotePrefix="0" xfId="0">
      <alignment horizontal="left" vertical="top"/>
    </xf>
    <xf numFmtId="0" fontId="61" fillId="0" borderId="8" applyAlignment="1" pivotButton="0" quotePrefix="0" xfId="0">
      <alignment horizontal="left" vertical="top" wrapText="1"/>
    </xf>
    <xf numFmtId="0" fontId="61" fillId="0" borderId="8" applyAlignment="1" pivotButton="0" quotePrefix="0" xfId="0">
      <alignment horizontal="left"/>
    </xf>
    <xf numFmtId="0" fontId="61" fillId="0" borderId="8" applyAlignment="1" pivotButton="0" quotePrefix="0" xfId="0">
      <alignment horizontal="left" wrapText="1"/>
    </xf>
    <xf numFmtId="0" fontId="61" fillId="0" borderId="8" applyAlignment="1" pivotButton="0" quotePrefix="0" xfId="0">
      <alignment horizontal="right"/>
    </xf>
    <xf numFmtId="0" fontId="61" fillId="0" borderId="8" applyAlignment="1" pivotButton="0" quotePrefix="0" xfId="0">
      <alignment horizontal="right" wrapText="1"/>
    </xf>
    <xf numFmtId="0" fontId="45" fillId="0" borderId="8" applyAlignment="1" pivotButton="0" quotePrefix="0" xfId="0">
      <alignment horizontal="left"/>
    </xf>
    <xf numFmtId="0" fontId="45" fillId="0" borderId="8" applyAlignment="1" pivotButton="0" quotePrefix="0" xfId="0">
      <alignment horizontal="left" wrapText="1"/>
    </xf>
    <xf numFmtId="0" fontId="61" fillId="0" borderId="0" applyAlignment="1" pivotButton="0" quotePrefix="0" xfId="0">
      <alignment horizontal="left"/>
    </xf>
    <xf numFmtId="0" fontId="61" fillId="0" borderId="13" applyAlignment="1" pivotButton="0" quotePrefix="0" xfId="0">
      <alignment horizontal="right"/>
    </xf>
    <xf numFmtId="0" fontId="61" fillId="0" borderId="13" applyAlignment="1" pivotButton="0" quotePrefix="0" xfId="0">
      <alignment horizontal="right" wrapText="1"/>
    </xf>
    <xf numFmtId="0" fontId="45" fillId="0" borderId="14" applyAlignment="1" pivotButton="0" quotePrefix="0" xfId="0">
      <alignment horizontal="left"/>
    </xf>
    <xf numFmtId="0" fontId="45" fillId="0" borderId="14" applyAlignment="1" pivotButton="0" quotePrefix="0" xfId="0">
      <alignment horizontal="left" wrapText="1"/>
    </xf>
    <xf numFmtId="0" fontId="61" fillId="0" borderId="5" applyAlignment="1" pivotButton="0" quotePrefix="0" xfId="0">
      <alignment horizontal="left" vertical="top"/>
    </xf>
    <xf numFmtId="0" fontId="61" fillId="0" borderId="5" applyAlignment="1" pivotButton="0" quotePrefix="0" xfId="0">
      <alignment horizontal="left" vertical="top" wrapText="1"/>
    </xf>
    <xf numFmtId="0" fontId="61" fillId="0" borderId="5" applyAlignment="1" pivotButton="0" quotePrefix="0" xfId="0">
      <alignment horizontal="left"/>
    </xf>
    <xf numFmtId="0" fontId="61" fillId="0" borderId="5" applyAlignment="1" pivotButton="0" quotePrefix="1" xfId="0">
      <alignment horizontal="left" wrapText="1"/>
    </xf>
    <xf numFmtId="0" fontId="61" fillId="0" borderId="5" applyAlignment="1" pivotButton="0" quotePrefix="0" xfId="0">
      <alignment horizontal="right"/>
    </xf>
    <xf numFmtId="0" fontId="61" fillId="0" borderId="5" applyAlignment="1" pivotButton="0" quotePrefix="0" xfId="0">
      <alignment horizontal="right" wrapText="1"/>
    </xf>
    <xf numFmtId="0" fontId="45" fillId="0" borderId="15" applyAlignment="1" pivotButton="0" quotePrefix="0" xfId="0">
      <alignment horizontal="left"/>
    </xf>
    <xf numFmtId="0" fontId="45" fillId="0" borderId="15" applyAlignment="1" pivotButton="0" quotePrefix="0" xfId="0">
      <alignment horizontal="left" wrapText="1"/>
    </xf>
    <xf numFmtId="0" fontId="61" fillId="0" borderId="5" applyAlignment="1" pivotButton="0" quotePrefix="0" xfId="0">
      <alignment horizontal="left" wrapText="1"/>
    </xf>
    <xf numFmtId="0" fontId="45" fillId="0" borderId="5" applyAlignment="1" pivotButton="0" quotePrefix="0" xfId="0">
      <alignment horizontal="right"/>
    </xf>
    <xf numFmtId="0" fontId="45" fillId="0" borderId="5" applyAlignment="1" pivotButton="0" quotePrefix="0" xfId="0">
      <alignment horizontal="right" wrapText="1"/>
    </xf>
    <xf numFmtId="0" fontId="62" fillId="0" borderId="5" applyAlignment="1" pivotButton="0" quotePrefix="0" xfId="0">
      <alignment horizontal="right" wrapText="1"/>
    </xf>
    <xf numFmtId="0" fontId="45" fillId="5" borderId="0" applyAlignment="1" pivotButton="0" quotePrefix="0" xfId="0">
      <alignment horizontal="left" vertical="top"/>
    </xf>
    <xf numFmtId="0" fontId="45" fillId="5" borderId="8" applyAlignment="1" pivotButton="0" quotePrefix="0" xfId="0">
      <alignment horizontal="left" vertical="top" wrapText="1"/>
    </xf>
    <xf numFmtId="0" fontId="45" fillId="0" borderId="0" applyAlignment="1" pivotButton="0" quotePrefix="0" xfId="0">
      <alignment horizontal="left" vertical="top"/>
    </xf>
    <xf numFmtId="0" fontId="45" fillId="0" borderId="8" applyAlignment="1" pivotButton="0" quotePrefix="0" xfId="0">
      <alignment horizontal="left" vertical="top" wrapText="1"/>
    </xf>
    <xf numFmtId="0" fontId="61" fillId="0" borderId="0" applyAlignment="1" pivotButton="0" quotePrefix="0" xfId="0">
      <alignment horizontal="left" vertical="top"/>
    </xf>
    <xf numFmtId="0" fontId="60" fillId="0" borderId="0" applyAlignment="1" pivotButton="0" quotePrefix="0" xfId="0">
      <alignment horizontal="left" vertical="top"/>
    </xf>
    <xf numFmtId="0" fontId="60" fillId="0" borderId="8" applyAlignment="1" pivotButton="0" quotePrefix="0" xfId="0">
      <alignment horizontal="left" vertical="top" wrapText="1"/>
    </xf>
    <xf numFmtId="0" fontId="60" fillId="0" borderId="8" applyAlignment="1" pivotButton="0" quotePrefix="1" xfId="0">
      <alignment horizontal="left" vertical="top" wrapText="1"/>
    </xf>
    <xf numFmtId="0" fontId="45" fillId="0" borderId="0" applyAlignment="1" pivotButton="0" quotePrefix="0" xfId="0">
      <alignment horizontal="left"/>
    </xf>
    <xf numFmtId="0" fontId="45" fillId="0" borderId="9" applyAlignment="1" pivotButton="0" quotePrefix="0" xfId="0">
      <alignment horizontal="left" vertical="top" wrapText="1"/>
    </xf>
    <xf numFmtId="0" fontId="45" fillId="0" borderId="5" applyAlignment="1" pivotButton="0" quotePrefix="0" xfId="0">
      <alignment horizontal="left" vertical="top" wrapText="1"/>
    </xf>
    <xf numFmtId="0" fontId="40" fillId="5" borderId="5" applyAlignment="1" pivotButton="0" quotePrefix="0" xfId="0">
      <alignment horizontal="left" wrapText="1"/>
    </xf>
    <xf numFmtId="0" fontId="64" fillId="5" borderId="0" applyAlignment="1" pivotButton="0" quotePrefix="0" xfId="0">
      <alignment horizontal="left" wrapText="1"/>
    </xf>
    <xf numFmtId="0" fontId="64" fillId="0" borderId="0" applyAlignment="1" pivotButton="0" quotePrefix="0" xfId="0">
      <alignment horizontal="left" wrapText="1"/>
    </xf>
    <xf numFmtId="0" fontId="63" fillId="0" borderId="0" applyAlignment="1" pivotButton="0" quotePrefix="0" xfId="0">
      <alignment horizontal="right" wrapText="1"/>
    </xf>
    <xf numFmtId="0" fontId="63" fillId="0" borderId="0" applyAlignment="1" pivotButton="0" quotePrefix="0" xfId="0">
      <alignment horizontal="left"/>
    </xf>
    <xf numFmtId="0" fontId="64" fillId="15" borderId="0" applyAlignment="1" pivotButton="0" quotePrefix="0" xfId="0">
      <alignment horizontal="left" wrapText="1"/>
    </xf>
    <xf numFmtId="0" fontId="61" fillId="15" borderId="0" applyAlignment="1" pivotButton="0" quotePrefix="0" xfId="0">
      <alignment horizontal="left" wrapText="1"/>
    </xf>
    <xf numFmtId="0" fontId="61" fillId="0" borderId="0" applyAlignment="1" pivotButton="0" quotePrefix="0" xfId="0">
      <alignment horizontal="left" wrapText="1"/>
    </xf>
    <xf numFmtId="0" fontId="61" fillId="0" borderId="0" applyAlignment="1" pivotButton="0" quotePrefix="0" xfId="0">
      <alignment horizontal="right" wrapText="1"/>
    </xf>
    <xf numFmtId="0" fontId="61" fillId="10" borderId="0" applyAlignment="1" pivotButton="0" quotePrefix="0" xfId="0">
      <alignment horizontal="left" wrapText="1"/>
    </xf>
    <xf numFmtId="0" fontId="61" fillId="10" borderId="0" applyAlignment="1" pivotButton="0" quotePrefix="0" xfId="0">
      <alignment horizontal="right" wrapText="1"/>
    </xf>
    <xf numFmtId="0" fontId="61" fillId="12" borderId="0" applyAlignment="1" pivotButton="0" quotePrefix="0" xfId="0">
      <alignment horizontal="left" wrapText="1"/>
    </xf>
    <xf numFmtId="0" fontId="61" fillId="12" borderId="0" applyAlignment="1" pivotButton="0" quotePrefix="0" xfId="0">
      <alignment horizontal="right" wrapText="1"/>
    </xf>
    <xf numFmtId="0" fontId="64" fillId="5" borderId="0" applyAlignment="1" pivotButton="0" quotePrefix="0" xfId="0">
      <alignment horizontal="left"/>
    </xf>
    <xf numFmtId="0" fontId="64" fillId="0" borderId="0" applyAlignment="1" pivotButton="0" quotePrefix="0" xfId="0">
      <alignment horizontal="left"/>
    </xf>
    <xf numFmtId="0" fontId="28" fillId="5" borderId="0" pivotButton="0" quotePrefix="0" xfId="0"/>
    <xf numFmtId="0" fontId="28" fillId="5" borderId="0" applyAlignment="1" pivotButton="0" quotePrefix="0" xfId="0">
      <alignment wrapText="1"/>
    </xf>
    <xf numFmtId="0" fontId="3" fillId="12" borderId="0" applyAlignment="1" pivotButton="0" quotePrefix="0" xfId="0">
      <alignment wrapText="1"/>
    </xf>
    <xf numFmtId="0" fontId="47" fillId="15" borderId="0" pivotButton="0" quotePrefix="0" xfId="0"/>
    <xf numFmtId="0" fontId="1" fillId="15" borderId="0" pivotButton="0" quotePrefix="0" xfId="0"/>
    <xf numFmtId="0" fontId="1" fillId="15" borderId="0" applyAlignment="1" pivotButton="0" quotePrefix="0" xfId="0">
      <alignment wrapText="1"/>
    </xf>
    <xf numFmtId="0" fontId="28" fillId="10" borderId="0" pivotButton="0" quotePrefix="0" xfId="0"/>
    <xf numFmtId="0" fontId="28" fillId="10" borderId="0" applyAlignment="1" pivotButton="0" quotePrefix="0" xfId="0">
      <alignment wrapText="1"/>
    </xf>
    <xf numFmtId="0" fontId="28" fillId="10" borderId="0" applyAlignment="1" pivotButton="0" quotePrefix="0" xfId="0">
      <alignment horizontal="center"/>
    </xf>
    <xf numFmtId="0" fontId="28" fillId="10" borderId="0" applyAlignment="1" pivotButton="0" quotePrefix="0" xfId="0">
      <alignment horizontal="center" wrapText="1"/>
    </xf>
    <xf numFmtId="0" fontId="52" fillId="10" borderId="0" pivotButton="0" quotePrefix="0" xfId="0"/>
    <xf numFmtId="0" fontId="52" fillId="10" borderId="0" applyAlignment="1" pivotButton="0" quotePrefix="0" xfId="0">
      <alignment wrapText="1"/>
    </xf>
    <xf numFmtId="0" fontId="58" fillId="10" borderId="0" pivotButton="0" quotePrefix="0" xfId="0"/>
    <xf numFmtId="0" fontId="58" fillId="10" borderId="0" applyAlignment="1" pivotButton="0" quotePrefix="0" xfId="0">
      <alignment wrapText="1"/>
    </xf>
    <xf numFmtId="0" fontId="17" fillId="10" borderId="0" pivotButton="0" quotePrefix="0" xfId="0"/>
    <xf numFmtId="0" fontId="17" fillId="10" borderId="0" applyAlignment="1" pivotButton="0" quotePrefix="0" xfId="0">
      <alignment wrapText="1"/>
    </xf>
    <xf numFmtId="0" fontId="39" fillId="5" borderId="5" applyAlignment="1" pivotButton="0" quotePrefix="0" xfId="0">
      <alignment horizontal="left"/>
    </xf>
    <xf numFmtId="0" fontId="39" fillId="0" borderId="5" applyAlignment="1" pivotButton="0" quotePrefix="0" xfId="0">
      <alignment horizontal="left"/>
    </xf>
    <xf numFmtId="0" fontId="41" fillId="0" borderId="5" applyAlignment="1" pivotButton="0" quotePrefix="0" xfId="0">
      <alignment horizontal="right"/>
    </xf>
    <xf numFmtId="0" fontId="41" fillId="0" borderId="5" applyAlignment="1" pivotButton="0" quotePrefix="0" xfId="0">
      <alignment horizontal="left"/>
    </xf>
    <xf numFmtId="0" fontId="43" fillId="0" borderId="5" applyAlignment="1" pivotButton="0" quotePrefix="0" xfId="0">
      <alignment horizontal="left"/>
    </xf>
    <xf numFmtId="0" fontId="40" fillId="0" borderId="5" applyAlignment="1" pivotButton="0" quotePrefix="1" xfId="0">
      <alignment horizontal="left"/>
    </xf>
    <xf numFmtId="0" fontId="46" fillId="0" borderId="5" applyAlignment="1" pivotButton="0" quotePrefix="0" xfId="0">
      <alignment horizontal="left"/>
    </xf>
    <xf numFmtId="0" fontId="58" fillId="0" borderId="5" pivotButton="0" quotePrefix="0" xfId="0"/>
    <xf numFmtId="0" fontId="52" fillId="0" borderId="0" pivotButton="0" quotePrefix="0" xfId="0"/>
    <xf numFmtId="0" fontId="52" fillId="10" borderId="5" pivotButton="0" quotePrefix="0" xfId="0"/>
    <xf numFmtId="0" fontId="39" fillId="15" borderId="5" applyAlignment="1" pivotButton="0" quotePrefix="0" xfId="0">
      <alignment horizontal="left"/>
    </xf>
    <xf numFmtId="0" fontId="49" fillId="0" borderId="5" applyAlignment="1" pivotButton="0" quotePrefix="0" xfId="0">
      <alignment horizontal="left"/>
    </xf>
    <xf numFmtId="0" fontId="54" fillId="0" borderId="5" pivotButton="0" quotePrefix="0" xfId="0"/>
    <xf numFmtId="0" fontId="52" fillId="0" borderId="5" pivotButton="0" quotePrefix="0" xfId="0"/>
    <xf numFmtId="0" fontId="61" fillId="0" borderId="5" applyAlignment="1" pivotButton="0" quotePrefix="1" xfId="0">
      <alignment horizontal="left"/>
    </xf>
    <xf numFmtId="0" fontId="65" fillId="0" borderId="5" applyAlignment="1" pivotButton="0" quotePrefix="0" xfId="0">
      <alignment horizontal="right"/>
    </xf>
    <xf numFmtId="0" fontId="45" fillId="5" borderId="8" applyAlignment="1" pivotButton="0" quotePrefix="0" xfId="0">
      <alignment horizontal="left" vertical="top"/>
    </xf>
    <xf numFmtId="0" fontId="45" fillId="0" borderId="8" applyAlignment="1" pivotButton="0" quotePrefix="0" xfId="0">
      <alignment horizontal="left" vertical="top"/>
    </xf>
    <xf numFmtId="0" fontId="60" fillId="0" borderId="8" applyAlignment="1" pivotButton="0" quotePrefix="0" xfId="0">
      <alignment horizontal="left" vertical="top"/>
    </xf>
    <xf numFmtId="0" fontId="60" fillId="0" borderId="8" applyAlignment="1" pivotButton="0" quotePrefix="1" xfId="0">
      <alignment horizontal="left" vertical="top"/>
    </xf>
    <xf numFmtId="0" fontId="45" fillId="0" borderId="9" applyAlignment="1" pivotButton="0" quotePrefix="0" xfId="0">
      <alignment horizontal="left" vertical="top"/>
    </xf>
    <xf numFmtId="0" fontId="45" fillId="0" borderId="5" applyAlignment="1" pivotButton="0" quotePrefix="0" xfId="0">
      <alignment horizontal="left" vertical="top"/>
    </xf>
    <xf numFmtId="0" fontId="40" fillId="5" borderId="5" applyAlignment="1" pivotButton="0" quotePrefix="0" xfId="0">
      <alignment horizontal="left"/>
    </xf>
    <xf numFmtId="0" fontId="63" fillId="0" borderId="0" applyAlignment="1" pivotButton="0" quotePrefix="0" xfId="0">
      <alignment horizontal="right"/>
    </xf>
    <xf numFmtId="0" fontId="64" fillId="15" borderId="0" applyAlignment="1" pivotButton="0" quotePrefix="0" xfId="0">
      <alignment horizontal="left"/>
    </xf>
    <xf numFmtId="0" fontId="61" fillId="15" borderId="0" applyAlignment="1" pivotButton="0" quotePrefix="0" xfId="0">
      <alignment horizontal="left"/>
    </xf>
    <xf numFmtId="0" fontId="61" fillId="0" borderId="0" applyAlignment="1" pivotButton="0" quotePrefix="0" xfId="0">
      <alignment horizontal="right"/>
    </xf>
    <xf numFmtId="0" fontId="61" fillId="10" borderId="0" applyAlignment="1" pivotButton="0" quotePrefix="0" xfId="0">
      <alignment horizontal="left"/>
    </xf>
    <xf numFmtId="0" fontId="61" fillId="10" borderId="0" applyAlignment="1" pivotButton="0" quotePrefix="0" xfId="0">
      <alignment horizontal="right"/>
    </xf>
    <xf numFmtId="0" fontId="61" fillId="12" borderId="0" applyAlignment="1" pivotButton="0" quotePrefix="0" xfId="0">
      <alignment horizontal="left"/>
    </xf>
    <xf numFmtId="0" fontId="61" fillId="12" borderId="0" applyAlignment="1" pivotButton="0" quotePrefix="0" xfId="0">
      <alignment horizontal="right"/>
    </xf>
    <xf numFmtId="0" fontId="52" fillId="5" borderId="0" pivotButton="0" quotePrefix="0" xfId="0"/>
    <xf numFmtId="0" fontId="17" fillId="0" borderId="0" pivotButton="0" quotePrefix="0" xfId="0"/>
    <xf numFmtId="0" fontId="17" fillId="0" borderId="0" applyAlignment="1" pivotButton="0" quotePrefix="0" xfId="0">
      <alignment horizontal="right"/>
    </xf>
    <xf numFmtId="0" fontId="66" fillId="0" borderId="0" applyAlignment="1" pivotButton="0" quotePrefix="0" xfId="0">
      <alignment horizontal="right"/>
    </xf>
    <xf numFmtId="0" fontId="54" fillId="0" borderId="0" pivotButton="0" quotePrefix="0" xfId="0"/>
    <xf numFmtId="0" fontId="17" fillId="14" borderId="0" applyAlignment="1" pivotButton="0" quotePrefix="0" xfId="0">
      <alignment horizontal="right"/>
    </xf>
    <xf numFmtId="0" fontId="66" fillId="5" borderId="0" pivotButton="0" quotePrefix="0" xfId="0"/>
    <xf numFmtId="0" fontId="66" fillId="0" borderId="0" pivotButton="0" quotePrefix="0" xfId="0"/>
    <xf numFmtId="0" fontId="66" fillId="0" borderId="0" applyAlignment="1" pivotButton="0" quotePrefix="0" xfId="0">
      <alignment wrapText="1"/>
    </xf>
    <xf numFmtId="0" fontId="66" fillId="0" borderId="16" applyAlignment="1" pivotButton="0" quotePrefix="0" xfId="0">
      <alignment wrapText="1"/>
    </xf>
    <xf numFmtId="0" fontId="47" fillId="24" borderId="0" pivotButton="0" quotePrefix="0" xfId="0"/>
    <xf numFmtId="0" fontId="2" fillId="0" borderId="3" pivotButton="0" quotePrefix="0" xfId="0"/>
    <xf numFmtId="0" fontId="2" fillId="0" borderId="4" pivotButton="0" quotePrefix="0" xfId="0"/>
    <xf numFmtId="0" fontId="0" fillId="0" borderId="0" pivotButton="0" quotePrefix="0" xfId="0"/>
    <xf numFmtId="0" fontId="2" fillId="0" borderId="9" pivotButton="0" quotePrefix="0" xfId="0"/>
    <xf numFmtId="0" fontId="21" fillId="9" borderId="0" applyAlignment="1" pivotButton="0" quotePrefix="0" xfId="0">
      <alignment horizontal="center" wrapText="1"/>
    </xf>
    <xf numFmtId="0" fontId="21" fillId="9" borderId="0" applyAlignment="1" pivotButton="0" quotePrefix="0" xfId="0">
      <alignment horizontal="center" vertical="center" wrapText="1"/>
    </xf>
    <xf numFmtId="0" fontId="7" fillId="0" borderId="0" applyAlignment="1" pivotButton="0" quotePrefix="0" xfId="0">
      <alignment vertical="top" wrapText="1"/>
    </xf>
    <xf numFmtId="0" fontId="12" fillId="0" borderId="0" applyAlignment="1" pivotButton="0" quotePrefix="0" xfId="0">
      <alignment horizontal="left" vertical="top" wrapText="1"/>
    </xf>
    <xf numFmtId="0" fontId="7" fillId="0" borderId="0" applyAlignment="1" pivotButton="0" quotePrefix="0" xfId="0">
      <alignment vertical="center" wrapText="1"/>
    </xf>
    <xf numFmtId="0" fontId="2" fillId="0" borderId="11" pivotButton="0" quotePrefix="0" xfId="0"/>
    <xf numFmtId="0" fontId="32" fillId="0" borderId="0" applyAlignment="1" pivotButton="0" quotePrefix="0" xfId="0">
      <alignment vertical="top" wrapText="1"/>
    </xf>
    <xf numFmtId="0" fontId="13" fillId="0" borderId="0" applyAlignment="1" pivotButton="0" quotePrefix="0" xfId="0">
      <alignment vertical="top" wrapText="1"/>
    </xf>
    <xf numFmtId="0" fontId="13" fillId="0" borderId="0" applyAlignment="1" pivotButton="0" quotePrefix="0" xfId="0">
      <alignment vertical="center" wrapText="1"/>
    </xf>
    <xf numFmtId="0" fontId="37" fillId="0" borderId="0" applyAlignment="1" pivotButton="0" quotePrefix="0" xfId="0">
      <alignment vertical="top" wrapText="1"/>
    </xf>
    <xf numFmtId="0" fontId="38" fillId="0" borderId="0" applyAlignment="1" pivotButton="0" quotePrefix="0" xfId="0">
      <alignment vertical="top" wrapText="1"/>
    </xf>
    <xf numFmtId="0" fontId="3" fillId="0" borderId="0" applyAlignment="1" pivotButton="0" quotePrefix="0" xfId="0">
      <alignment vertical="center"/>
    </xf>
    <xf numFmtId="0" fontId="3" fillId="0" borderId="0" applyAlignment="1" pivotButton="0" quotePrefix="0" xfId="0">
      <alignment vertical="top" wrapText="1"/>
    </xf>
    <xf numFmtId="0" fontId="7" fillId="0" borderId="0" applyAlignment="1" pivotButton="0" quotePrefix="0" xfId="0">
      <alignment vertical="center"/>
    </xf>
    <xf numFmtId="0" fontId="3" fillId="0" borderId="0" applyAlignment="1" pivotButton="0" quotePrefix="0" xfId="0">
      <alignment vertical="center" wrapText="1"/>
    </xf>
    <xf numFmtId="0" fontId="32" fillId="0" borderId="0" applyAlignment="1" pivotButton="0" quotePrefix="0" xfId="0">
      <alignment vertical="center"/>
    </xf>
    <xf numFmtId="0" fontId="32" fillId="0" borderId="0" applyAlignment="1" pivotButton="0" quotePrefix="0" xfId="0">
      <alignment vertical="top"/>
    </xf>
    <xf numFmtId="0" fontId="7" fillId="0" borderId="0" applyAlignment="1" pivotButton="0" quotePrefix="0" xfId="0">
      <alignment vertical="top"/>
    </xf>
    <xf numFmtId="0" fontId="7" fillId="0" borderId="12" applyAlignment="1" pivotButton="0" quotePrefix="0" xfId="0">
      <alignment vertical="center" wrapText="1"/>
    </xf>
    <xf numFmtId="0" fontId="13" fillId="0" borderId="0" applyAlignment="1" pivotButton="0" quotePrefix="0" xfId="0">
      <alignment vertical="center"/>
    </xf>
    <xf numFmtId="0" fontId="13" fillId="0" borderId="0" applyAlignment="1" pivotButton="0" quotePrefix="0" xfId="0">
      <alignment vertical="top"/>
    </xf>
    <xf numFmtId="0" fontId="13" fillId="0" borderId="12" applyAlignment="1" pivotButton="0" quotePrefix="0" xfId="0">
      <alignment vertical="center" wrapText="1"/>
    </xf>
    <xf numFmtId="0" fontId="13" fillId="0" borderId="12" applyAlignment="1" pivotButton="0" quotePrefix="0" xfId="0">
      <alignment vertical="center"/>
    </xf>
    <xf numFmtId="0" fontId="7" fillId="0" borderId="12" applyAlignment="1" pivotButton="0" quotePrefix="0" xfId="0">
      <alignment vertical="center"/>
    </xf>
    <xf numFmtId="0" fontId="12" fillId="0" borderId="0" applyAlignment="1" pivotButton="0" quotePrefix="0" xfId="0">
      <alignment horizontal="left" wrapText="1"/>
    </xf>
    <xf numFmtId="0" fontId="21" fillId="4" borderId="2" applyAlignment="1" pivotButton="0" quotePrefix="0" xfId="0">
      <alignment horizontal="center" vertical="center" wrapText="1"/>
    </xf>
    <xf numFmtId="0" fontId="3" fillId="0" borderId="2" applyAlignment="1" pivotButton="0" quotePrefix="0" xfId="0">
      <alignment horizontal="center"/>
    </xf>
    <xf numFmtId="0" fontId="21" fillId="2" borderId="2" applyAlignment="1" pivotButton="0" quotePrefix="0" xfId="0">
      <alignment horizontal="center" vertical="center" wrapText="1"/>
    </xf>
    <xf numFmtId="0" fontId="21" fillId="2" borderId="2" applyAlignment="1" pivotButton="0" quotePrefix="0" xfId="0">
      <alignment horizontal="center" wrapText="1"/>
    </xf>
    <xf numFmtId="0" fontId="13" fillId="0" borderId="12" applyAlignment="1" pivotButton="0" quotePrefix="0" xfId="0">
      <alignment vertical="top"/>
    </xf>
    <xf numFmtId="0" fontId="38" fillId="0" borderId="0" applyAlignment="1" pivotButton="0" quotePrefix="0" xfId="0">
      <alignment vertical="top"/>
    </xf>
    <xf numFmtId="0" fontId="63" fillId="15" borderId="0" applyAlignment="1" pivotButton="0" quotePrefix="0" xfId="0">
      <alignment horizontal="center" vertical="center" wrapText="1"/>
    </xf>
    <xf numFmtId="0" fontId="63" fillId="15" borderId="0" applyAlignment="1" pivotButton="0" quotePrefix="0" xfId="0">
      <alignment horizontal="left" wrapText="1"/>
    </xf>
    <xf numFmtId="0" fontId="61" fillId="15" borderId="0" applyAlignment="1" pivotButton="0" quotePrefix="0" xfId="0">
      <alignment horizontal="center" vertical="top" wrapText="1"/>
    </xf>
    <xf numFmtId="0" fontId="63" fillId="5" borderId="0" applyAlignment="1" pivotButton="0" quotePrefix="0" xfId="0">
      <alignment horizontal="left" vertical="top" wrapText="1"/>
    </xf>
    <xf numFmtId="0" fontId="3" fillId="5" borderId="0" applyAlignment="1" pivotButton="0" quotePrefix="0" xfId="0">
      <alignment vertical="top" wrapText="1"/>
    </xf>
    <xf numFmtId="0" fontId="39" fillId="5" borderId="0" applyAlignment="1" pivotButton="0" quotePrefix="0" xfId="0">
      <alignment horizontal="left" vertical="top" wrapText="1"/>
    </xf>
    <xf numFmtId="0" fontId="39" fillId="15" borderId="6" applyAlignment="1" pivotButton="0" quotePrefix="0" xfId="0">
      <alignment horizontal="left" vertical="top" wrapText="1"/>
    </xf>
    <xf numFmtId="0" fontId="2" fillId="0" borderId="8" pivotButton="0" quotePrefix="0" xfId="0"/>
    <xf numFmtId="49" fontId="52" fillId="5" borderId="6" applyAlignment="1" pivotButton="0" quotePrefix="0" xfId="0">
      <alignment vertical="top" wrapText="1"/>
    </xf>
    <xf numFmtId="49" fontId="52" fillId="15" borderId="0" applyAlignment="1" pivotButton="0" quotePrefix="0" xfId="0">
      <alignment vertical="top" wrapText="1"/>
    </xf>
    <xf numFmtId="0" fontId="40" fillId="5" borderId="0" applyAlignment="1" pivotButton="0" quotePrefix="0" xfId="0">
      <alignment horizontal="left" vertical="center" wrapText="1"/>
    </xf>
    <xf numFmtId="0" fontId="63" fillId="5" borderId="0" applyAlignment="1" pivotButton="0" quotePrefix="0" xfId="0">
      <alignment horizontal="left" vertical="center" wrapText="1"/>
    </xf>
    <xf numFmtId="0" fontId="7" fillId="0" borderId="11" applyAlignment="1" pivotButton="0" quotePrefix="0" xfId="0">
      <alignment vertical="top" wrapText="1"/>
    </xf>
    <xf numFmtId="0" fontId="0" fillId="0" borderId="11" pivotButton="0" quotePrefix="0" xfId="0"/>
    <xf numFmtId="0" fontId="7" fillId="0" borderId="11" applyAlignment="1" pivotButton="0" quotePrefix="0" xfId="0">
      <alignment vertical="top"/>
    </xf>
    <xf numFmtId="0" fontId="32" fillId="0" borderId="11" applyAlignment="1" pivotButton="0" quotePrefix="0" xfId="0">
      <alignment vertical="top"/>
    </xf>
    <xf numFmtId="0" fontId="32" fillId="0" borderId="11" applyAlignment="1" pivotButton="0" quotePrefix="0" xfId="0">
      <alignment vertical="top" wrapText="1"/>
    </xf>
    <xf numFmtId="0" fontId="12" fillId="0" borderId="11" applyAlignment="1" pivotButton="0" quotePrefix="0" xfId="0">
      <alignment horizontal="left" vertical="top" wrapText="1"/>
    </xf>
    <xf numFmtId="0" fontId="13" fillId="0" borderId="11" applyAlignment="1" pivotButton="0" quotePrefix="0" xfId="0">
      <alignment vertical="top"/>
    </xf>
    <xf numFmtId="0" fontId="13" fillId="0" borderId="11" applyAlignment="1" pivotButton="0" quotePrefix="0" xfId="0">
      <alignment vertical="top" wrapText="1"/>
    </xf>
    <xf numFmtId="0" fontId="37" fillId="0" borderId="11" applyAlignment="1" pivotButton="0" quotePrefix="0" xfId="0">
      <alignment vertical="top" wrapText="1"/>
    </xf>
    <xf numFmtId="0" fontId="38" fillId="0" borderId="11" applyAlignment="1" pivotButton="0" quotePrefix="0" xfId="0">
      <alignment vertical="top"/>
    </xf>
    <xf numFmtId="0" fontId="38" fillId="0" borderId="11" applyAlignment="1" pivotButton="0" quotePrefix="0" xfId="0">
      <alignment vertical="top" wrapText="1"/>
    </xf>
    <xf numFmtId="0" fontId="21" fillId="2" borderId="1" applyAlignment="1" pivotButton="0" quotePrefix="0" xfId="0">
      <alignment horizontal="center" vertical="center" wrapText="1"/>
    </xf>
    <xf numFmtId="0" fontId="0" fillId="0" borderId="3" pivotButton="0" quotePrefix="0" xfId="0"/>
    <xf numFmtId="0" fontId="0" fillId="0" borderId="4" pivotButton="0" quotePrefix="0" xfId="0"/>
    <xf numFmtId="0" fontId="21" fillId="2" borderId="1" applyAlignment="1" pivotButton="0" quotePrefix="0" xfId="0">
      <alignment horizontal="center" wrapText="1"/>
    </xf>
    <xf numFmtId="0" fontId="3" fillId="0" borderId="1" applyAlignment="1" pivotButton="0" quotePrefix="0" xfId="0">
      <alignment horizontal="center"/>
    </xf>
    <xf numFmtId="0" fontId="39" fillId="15" borderId="5" applyAlignment="1" pivotButton="0" quotePrefix="0" xfId="0">
      <alignment horizontal="left" vertical="top" wrapText="1"/>
    </xf>
    <xf numFmtId="0" fontId="0" fillId="0" borderId="8" pivotButton="0" quotePrefix="0" xfId="0"/>
    <xf numFmtId="0" fontId="0" fillId="0" borderId="9" pivotButton="0" quotePrefix="0" xfId="0"/>
    <xf numFmtId="49" fontId="52" fillId="5" borderId="5" applyAlignment="1" pivotButton="0" quotePrefix="0" xfId="0">
      <alignment vertical="top" wrapText="1"/>
    </xf>
  </cellXfs>
  <cellStyles count="1">
    <cellStyle name="Normal" xfId="0" builtinId="0"/>
  </cellStyles>
  <dxfs count="2">
    <dxf>
      <fill>
        <patternFill patternType="solid">
          <fgColor rgb="FFF6F8F9"/>
          <bgColor rgb="FFF6F8F9"/>
        </patternFill>
      </fill>
    </dxf>
    <dxf>
      <fill>
        <patternFill patternType="solid">
          <fgColor rgb="FFFFFFFF"/>
          <bgColor rgb="FFFFFFFF"/>
        </patternFill>
      </fill>
    </dxf>
  </dxfs>
  <tableStyles count="1" defaultTableStyle="TableStyleMedium9" defaultPivotStyle="PivotStyleLight16">
    <tableStyle name="SMY-style" pivot="0" count="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tc={f0b32ed5-3cc8-4dea-bc85-76d6c257045f}</author>
    <author>tc={d175e673-3a47-4dca-b706-e2dc1bd92695}</author>
    <author>tc={d3778420-0fa0-4cb9-bd06-be658c743cf2}</author>
    <author>tc={d43952a5-5616-4c84-8abe-135998f30c01}</author>
    <author>tc={e8e7bd64-a2d7-48f9-8b6a-707b8c0f7e97}</author>
    <author>tc={01f211ec-0d54-418d-b5bc-bf1993a8e87b}</author>
    <author>tc={5a3a621a-3dc3-4b11-9261-cd5daee75ac6}</author>
    <author>tc={094573be-7105-48b9-83de-ca00dae296c1}</author>
  </authors>
  <commentList>
    <comment ref="Q2" authorId="0" shapeId="0">
      <text>
        <t>[Threaded comment]
Your version of Excel allows you to read this threaded comment; however, any edits to it will get removed if the file is opened in a newer version of Excel. Learn more: https://go.microsoft.com/fwlink/?linkid=870924
Comment:
    Từ nguồn lên
Dev mapping model &lt;&gt; Mapping cho DMT</t>
      </text>
    </comment>
    <comment ref="Q40" authorId="1" shapeId="0">
      <text>
        <t>[Threaded comment]
Your version of Excel allows you to read this threaded comment; however, any edits to it will get removed if the file is opened in a newer version of Excel. Learn more: https://go.microsoft.com/fwlink/?linkid=870924
Comment:
    Trạng thái làm việc (1: Hành nghề, 0: Chưa hành nghề, 2: Thu hồi cho cấp lại, 3: Thu hồi không cấp lại, 4: Hành nghề có thời hạn)
Reply:
    Nên hỏi lại HTTT: Trạng thái NHNCK gồm những gì, lấy ở trường nào/ bảng nào? 
Đơn vị công tác+ chức vụ/ vai trò đang lấy ở bảng OrganizationReports nhưng bảng này lại không có trường trạng thái NHNCK</t>
      </text>
    </comment>
    <comment ref="Q43" authorId="2" shapeId="0">
      <text>
        <t>[Threaded comment]
Your version of Excel allows you to read this threaded comment; however, any edits to it will get removed if the file is opened in a newer version of Excel. Learn more: https://go.microsoft.com/fwlink/?linkid=870924
Comment:
    nối qua ProfessionalId</t>
      </text>
    </comment>
    <comment ref="Q46" authorId="3" shapeId="0">
      <text>
        <t>[Threaded comment]
Your version of Excel allows you to read this threaded comment; however, any edits to it will get removed if the file is opened in a newer version of Excel. Learn more: https://go.microsoft.com/fwlink/?linkid=870924
Comment:
    Có thể dựa vào trường Professionals.IdentityId và ProfessionalRelationships.IdentityId để xác định được vai trò, chức vụ của người có liên quan không?</t>
      </text>
    </comment>
    <comment ref="M75" authorId="4" shapeId="0">
      <text>
        <t>[Threaded comment]
Your version of Excel allows you to read this threaded comment; however, any edits to it will get removed if the file is opened in a newer version of Excel. Learn more: https://go.microsoft.com/fwlink/?linkid=870924
Comment:
    Trạng thái làm việc (1: Hành nghề, 0: Chưa hành nghề, 2: Thu hồi cho cấp lại, 3: Thu hồi không cấp lại, 4: Hành nghề có thời hạn)</t>
      </text>
    </comment>
    <comment ref="Q75" authorId="5" shapeId="0">
      <text>
        <t>[Threaded comment]
Your version of Excel allows you to read this threaded comment; however, any edits to it will get removed if the file is opened in a newer version of Excel. Learn more: https://go.microsoft.com/fwlink/?linkid=870924
Comment:
    Nếu 'Đến tháng" null thì "Đang làm việc", nếu đến tháng có giá trị thì cập nhật "đã nghỉ/ Không còn làm việc"</t>
      </text>
    </comment>
    <comment ref="Q92" authorId="6" shapeId="0">
      <text>
        <t>[Threaded comment]
Your version of Excel allows you to read this threaded comment; however, any edits to it will get removed if the file is opened in a newer version of Excel. Learn more: https://go.microsoft.com/fwlink/?linkid=870924
Comment:
    Kết quả thi (1: Đạt, 0: Không đạt)</t>
      </text>
    </comment>
    <comment ref="Q103" authorId="7" shapeId="0">
      <text>
        <t>[Threaded comment]
Your version of Excel allows you to read this threaded comment; however, any edits to it will get removed if the file is opened in a newer version of Excel. Learn more: https://go.microsoft.com/fwlink/?linkid=870924
Comment:
    Trạng thái (1: Hoạt động, 0: Không hoạt động, -1: Đã xóa)</t>
      </text>
    </comment>
  </commentList>
</comments>
</file>

<file path=xl/comments/comment2.xml><?xml version="1.0" encoding="utf-8"?>
<comments xmlns="http://schemas.openxmlformats.org/spreadsheetml/2006/main">
  <authors>
    <author>None</author>
  </authors>
  <commentList>
    <comment ref="J4047" authorId="0" shapeId="0">
      <text>
        <t>Có tính trùng</t>
      </text>
    </comment>
    <comment ref="M4047" authorId="0" shapeId="0">
      <text>
        <t>Có tính trùng</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b.id/"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www.google.com/search?q=Ph%C3%A1t+h%C3%A0nh+tr%C3%A1i+phi%E1%BA%BFu&amp;sca_esv=3d359356975f5722&amp;rlz=1C1CHBD_viVN1106VN1106&amp;biw=1440&amp;bih=731&amp;sxsrf=ANbL-n6o-2og5VCwL8Hmqox729LuR5x9bw%3A1773383819229&amp;ei=i7CzafqvDYKl2roP--iByQE&amp;ved=2ahUKEwisz73doZyTAxVAzTQHHSv3Os8QgK4QegQIAxAH&amp;uact=5&amp;oq=h%C3%ACnh+th%E1%BB%A9c+huy+%C4%91%E1%BB%99ng+t%C4%83ng+v%E1%BB%91n+tr%C3%AAn+th%E1%BB%8B+tr%C6%B0%E1%BB%9Dng+ch%E1%BB%A9ng+kho%C3%A1n&amp;gs_lp=Egxnd3Mtd2l6LXNlcnAiSWjDrG5oIHRo4bupYyBodXkgxJHhu5luZyB0xINuZyB24buRbiB0csOqbiB0aOG7iyB0csaw4budbmcgY2jhu6luZyBraG_DoW4yCBAAGIAEGKIEMgUQABjvBTIFEAAY7wUyCBAAGIAEGKIEMgUQABjvBUjJkQFQkzhYg4gBcAp4AJABA5gBggGgAc4UqgEEMS4yMrgBA8gBAPgBAZgCG6AC7w_CAgsQABiABBiwAxiiBMICCBAAGLADGO8FwgIEECEYCpgDAIgGAZAGBZIHBTEwLjE3oAfadbIHBDAuMTe4B88PwgcHMC4xNS4xMsgHRoAIAA&amp;sclient=gws-wiz-serp&amp;mstk=AUtExfDBGUV0jht1y219a1j9DTS9AWvh_P91GHviKz9_e7A2wMNxHTLDH7_3GQj9T8R_HJxmRbW1omOms_S7jZRHSldRWrOXpPLvlGjMwZtEk_jjr7OaF3OaqpprpfEHwWD60TvenJlGhFpmi82wP1zDUTfLYJ_stpGoTD6qRbwTajs2bKa36XNOdeT_fRD_QNe3gJ2f&amp;csui=3" TargetMode="External" Id="rId1"/></Relationships>
</file>

<file path=xl/worksheets/_rels/sheet5.xml.rels><Relationships xmlns="http://schemas.openxmlformats.org/package/2006/relationships"><Relationship Type="http://schemas.openxmlformats.org/officeDocument/2006/relationships/hyperlink" Target="https://www.google.com/search?q=Ph%C3%A1t+h%C3%A0nh+tr%C3%A1i+phi%E1%BA%BFu&amp;sca_esv=3d359356975f5722&amp;rlz=1C1CHBD_viVN1106VN1106&amp;biw=1440&amp;bih=731&amp;sxsrf=ANbL-n6o-2og5VCwL8Hmqox729LuR5x9bw%3A1773383819229&amp;ei=i7CzafqvDYKl2roP--iByQE&amp;ved=2ahUKEwisz73doZyTAxVAzTQHHSv3Os8QgK4QegQIAxAH&amp;uact=5&amp;oq=h%C3%ACnh+th%E1%BB%A9c+huy+%C4%91%E1%BB%99ng+t%C4%83ng+v%E1%BB%91n+tr%C3%AAn+th%E1%BB%8B+tr%C6%B0%E1%BB%9Dng+ch%E1%BB%A9ng+kho%C3%A1n&amp;gs_lp=Egxnd3Mtd2l6LXNlcnAiSWjDrG5oIHRo4bupYyBodXkgxJHhu5luZyB0xINuZyB24buRbiB0csOqbiB0aOG7iyB0csaw4budbmcgY2jhu6luZyBraG_DoW4yCBAAGIAEGKIEMgUQABjvBTIFEAAY7wUyCBAAGIAEGKIEMgUQABjvBUjJkQFQkzhYg4gBcAp4AJABA5gBggGgAc4UqgEEMS4yMrgBA8gBAPgBAZgCG6AC7w_CAgsQABiABBiwAxiiBMICCBAAGLADGO8FwgIEECEYCpgDAIgGAZAGBZIHBTEwLjE3oAfadbIHBDAuMTe4B88PwgcHMC4xNS4xMsgHRoAIAA&amp;sclient=gws-wiz-serp&amp;mstk=AUtExfDBGUV0jht1y219a1j9DTS9AWvh_P91GHviKz9_e7A2wMNxHTLDH7_3GQj9T8R_HJxmRbW1omOms_S7jZRHSldRWrOXpPLvlGjMwZtEk_jjr7OaF3OaqpprpfEHwWD60TvenJlGhFpmi82wP1zDUTfLYJ_stpGoTD6qRbwTajs2bKa36XNOdeT_fRD_QNe3gJ2f&amp;csui=3" TargetMode="External" Id="rId1"/></Relationships>
</file>

<file path=xl/worksheets/sheet1.xml><?xml version="1.0" encoding="utf-8"?>
<worksheet xmlns="http://schemas.openxmlformats.org/spreadsheetml/2006/main">
  <sheetPr>
    <outlinePr summaryBelow="0" summaryRight="0"/>
    <pageSetUpPr/>
  </sheetPr>
  <dimension ref="A1:AD115"/>
  <sheetViews>
    <sheetView tabSelected="1" workbookViewId="0">
      <pane xSplit="4" ySplit="2" topLeftCell="K10" activePane="bottomRight" state="frozen"/>
      <selection pane="topRight" activeCell="E1" sqref="E1"/>
      <selection pane="bottomLeft" activeCell="A3" sqref="A3"/>
      <selection pane="bottomRight" activeCell="T11" sqref="T11"/>
    </sheetView>
  </sheetViews>
  <sheetFormatPr baseColWidth="10" defaultColWidth="12.6640625" defaultRowHeight="15.75" customHeight="1"/>
  <cols>
    <col width="6.83203125" customWidth="1" style="380" min="1" max="1"/>
    <col width="5.83203125" customWidth="1" style="380" min="2" max="2"/>
    <col width="22.33203125" customWidth="1" style="380" min="3" max="3"/>
    <col width="18.1640625" customWidth="1" style="380" min="4" max="4"/>
    <col width="19.1640625" customWidth="1" style="380" min="5" max="5"/>
    <col width="19" customWidth="1" style="380" min="6" max="6"/>
    <col width="23.33203125" customWidth="1" style="380" min="7" max="7"/>
    <col width="6.33203125" customWidth="1" style="380" min="8" max="8"/>
    <col width="10" customWidth="1" style="380" min="9" max="9"/>
    <col width="8.1640625" customWidth="1" style="380" min="11" max="11"/>
    <col width="7.1640625" customWidth="1" style="380" min="12" max="12"/>
    <col width="11" customWidth="1" style="380" min="14" max="14"/>
    <col width="24.1640625" customWidth="1" style="380" min="15" max="15"/>
    <col width="18.6640625" customWidth="1" style="380" min="16" max="16"/>
    <col width="32.33203125" customWidth="1" style="380" min="17" max="17"/>
    <col width="25.83203125" customWidth="1" style="380" min="18" max="18"/>
    <col width="15.6640625" customWidth="1" style="380" min="19" max="19"/>
    <col width="16.5" customWidth="1" style="380" min="24" max="24"/>
  </cols>
  <sheetData>
    <row r="1" ht="13" customHeight="1" s="380">
      <c r="A1" s="5" t="n"/>
      <c r="B1" s="5" t="n"/>
      <c r="C1" s="5" t="n"/>
      <c r="D1" s="5" t="n"/>
      <c r="E1" s="5" t="n"/>
      <c r="F1" s="5" t="n"/>
      <c r="G1" s="5" t="n"/>
      <c r="H1" s="5" t="n"/>
      <c r="I1" s="31" t="n"/>
      <c r="J1" s="31" t="n"/>
      <c r="K1" s="31" t="n"/>
      <c r="L1" s="31" t="n"/>
      <c r="M1" s="32" t="n"/>
      <c r="N1" s="32" t="n"/>
      <c r="O1" s="32" t="n"/>
      <c r="P1" s="382" t="inlineStr">
        <is>
          <t>Khai thác nguồn</t>
        </is>
      </c>
      <c r="U1" s="5" t="n"/>
      <c r="V1" s="5" t="n"/>
      <c r="W1" s="5" t="n"/>
      <c r="X1" s="6" t="n"/>
      <c r="Y1" s="386" t="n"/>
      <c r="Z1" s="386" t="n"/>
      <c r="AA1" s="386" t="n"/>
      <c r="AB1" s="386" t="n"/>
      <c r="AC1" s="386" t="n"/>
      <c r="AD1" s="386" t="n"/>
    </row>
    <row r="2" ht="42" customHeight="1" s="380">
      <c r="A2" s="5" t="inlineStr">
        <is>
          <t>STT</t>
        </is>
      </c>
      <c r="B2" s="5" t="inlineStr">
        <is>
          <t>Mã</t>
        </is>
      </c>
      <c r="C2" s="5" t="inlineStr">
        <is>
          <t>Dashboard/báo cáo</t>
        </is>
      </c>
      <c r="D2" s="5" t="inlineStr">
        <is>
          <t>Thông tin</t>
        </is>
      </c>
      <c r="E2" s="5" t="inlineStr">
        <is>
          <t>Mô tả</t>
        </is>
      </c>
      <c r="F2" s="5" t="inlineStr">
        <is>
          <t>Nhóm yêu cầu</t>
        </is>
      </c>
      <c r="G2" s="5" t="inlineStr">
        <is>
          <t>Phân loại</t>
        </is>
      </c>
      <c r="H2" s="5" t="inlineStr">
        <is>
          <t>Đánh giá</t>
        </is>
      </c>
      <c r="I2" s="33" t="inlineStr">
        <is>
          <t>Độ chi tiết</t>
        </is>
      </c>
      <c r="J2" s="33" t="inlineStr">
        <is>
          <t>Nguồn</t>
        </is>
      </c>
      <c r="K2" s="33" t="inlineStr">
        <is>
          <t>Cần phân tích?</t>
        </is>
      </c>
      <c r="L2" s="33" t="inlineStr">
        <is>
          <t>Cần test?</t>
        </is>
      </c>
      <c r="M2" s="33" t="inlineStr">
        <is>
          <t>DL lịch sử?</t>
        </is>
      </c>
      <c r="N2" s="33" t="inlineStr">
        <is>
          <t>Trạng thái mapping</t>
        </is>
      </c>
      <c r="O2" s="33" t="inlineStr">
        <is>
          <t>Mapping (nghiệp vụ)</t>
        </is>
      </c>
      <c r="P2" s="8" t="inlineStr">
        <is>
          <t>Bảng nguồn</t>
        </is>
      </c>
      <c r="Q2" s="8" t="inlineStr">
        <is>
          <t>Trường nguồn</t>
        </is>
      </c>
      <c r="R2" s="8" t="inlineStr">
        <is>
          <t xml:space="preserve">Điều kiện chung </t>
        </is>
      </c>
      <c r="S2" s="8" t="inlineStr">
        <is>
          <t>Câu lệnh tham khảo</t>
        </is>
      </c>
      <c r="T2" s="8" t="inlineStr">
        <is>
          <t>Note</t>
        </is>
      </c>
      <c r="U2" s="5" t="inlineStr">
        <is>
          <t>Kết quả Test</t>
        </is>
      </c>
      <c r="V2" s="5" t="inlineStr">
        <is>
          <t>Model</t>
        </is>
      </c>
      <c r="W2" s="5" t="inlineStr">
        <is>
          <t>DMT</t>
        </is>
      </c>
      <c r="X2" s="18" t="inlineStr">
        <is>
          <t>Hoàn thành DEV</t>
        </is>
      </c>
      <c r="Y2" s="386" t="n"/>
      <c r="Z2" s="386" t="n"/>
      <c r="AA2" s="386" t="n"/>
      <c r="AB2" s="386" t="n"/>
      <c r="AC2" s="386" t="n"/>
      <c r="AD2" s="386" t="n"/>
    </row>
    <row r="3" ht="15.75" customHeight="1" s="380">
      <c r="A3" s="34" t="n"/>
      <c r="B3" s="34" t="n"/>
      <c r="C3" s="34" t="n"/>
      <c r="D3" s="34" t="inlineStr">
        <is>
          <t>Tên chiều/chỉ tiêu/thuộc tính</t>
        </is>
      </c>
      <c r="E3" s="34" t="n"/>
      <c r="F3" s="34" t="inlineStr">
        <is>
          <t>Dashboard/báo cáo/Data Explorer</t>
        </is>
      </c>
      <c r="G3" s="34" t="inlineStr">
        <is>
          <t>Chiều/Chỉ tiêu cơ sở/Chỉ tiêu phái sinh</t>
        </is>
      </c>
      <c r="H3" s="34" t="inlineStr">
        <is>
          <t>Dễ: lấy 1: 1 từ nguồn
TB: có tính toán tổng hợp
Khó: Có logic phức tạp và lấy nhiều mốc thời gian
Trùng: Trong phạm vi ban của mình làm đã có tính thông tin này rồi</t>
        </is>
      </c>
      <c r="I3" s="395" t="n"/>
      <c r="J3" s="395" t="n"/>
      <c r="K3" s="395" t="n"/>
      <c r="L3" s="395" t="n"/>
      <c r="M3" s="22" t="n"/>
      <c r="N3" s="22" t="n"/>
      <c r="O3" s="22" t="n"/>
      <c r="P3" s="22" t="n"/>
      <c r="Q3" s="22" t="n"/>
      <c r="R3" s="22" t="n"/>
      <c r="S3" s="22" t="n"/>
      <c r="T3" s="22" t="n"/>
      <c r="U3" s="22" t="n"/>
      <c r="V3" s="22" t="n"/>
      <c r="W3" s="22" t="n"/>
      <c r="X3" s="395" t="n"/>
      <c r="Y3" s="395" t="n"/>
      <c r="Z3" s="395" t="n"/>
      <c r="AA3" s="395" t="n"/>
      <c r="AB3" s="395" t="n"/>
      <c r="AC3" s="395" t="n"/>
      <c r="AD3" s="395" t="n"/>
    </row>
    <row r="4" ht="70" customHeight="1" s="380">
      <c r="A4" s="386" t="n"/>
      <c r="B4" s="386" t="n"/>
      <c r="C4" s="386" t="inlineStr">
        <is>
          <t>Dashboard tổng quan của Người hành nghề chứng khoán toàn thị trường/Các chỉ tiêu tổng hợp thông tin chung</t>
        </is>
      </c>
      <c r="D4" s="12" t="inlineStr">
        <is>
          <t>Tổng người hành nghề</t>
        </is>
      </c>
      <c r="E4" s="12" t="inlineStr">
        <is>
          <t>Tổng số cá nhân có ít nhất 1 CCHN lũy kế đến ngày cuối cùng năm đã chọn</t>
        </is>
      </c>
      <c r="F4" s="386" t="inlineStr">
        <is>
          <t>Dashboard</t>
        </is>
      </c>
      <c r="G4" s="15" t="inlineStr">
        <is>
          <t>Chỉ tiêu phái sinh</t>
        </is>
      </c>
      <c r="H4" s="386" t="inlineStr">
        <is>
          <t>TB</t>
        </is>
      </c>
      <c r="I4" s="386" t="inlineStr">
        <is>
          <t>Mã người hành nghề</t>
        </is>
      </c>
      <c r="J4" s="386" t="inlineStr">
        <is>
          <t>NHNCK</t>
        </is>
      </c>
      <c r="K4" s="35" t="inlineStr">
        <is>
          <t>x</t>
        </is>
      </c>
      <c r="L4" s="35" t="inlineStr">
        <is>
          <t>x</t>
        </is>
      </c>
      <c r="M4" s="386" t="n"/>
      <c r="N4" s="386" t="inlineStr">
        <is>
          <t>Done</t>
        </is>
      </c>
      <c r="O4" s="386" t="n"/>
      <c r="P4" s="386" t="inlineStr">
        <is>
          <t>PROFESSIONALS</t>
        </is>
      </c>
      <c r="Q4" s="386" t="inlineStr">
        <is>
          <t>Count distinct ProfessionalsID from Professionals</t>
        </is>
      </c>
      <c r="R4" s="386" t="n"/>
      <c r="S4" s="386" t="n"/>
      <c r="T4" s="386" t="n"/>
      <c r="U4" s="386" t="n"/>
      <c r="V4" s="386" t="n"/>
      <c r="W4" s="386" t="n"/>
      <c r="X4" s="395" t="inlineStr">
        <is>
          <t>Done</t>
        </is>
      </c>
      <c r="Y4" s="386" t="n"/>
      <c r="Z4" s="386" t="n"/>
      <c r="AA4" s="386" t="n"/>
      <c r="AB4" s="386" t="n"/>
      <c r="AC4" s="386" t="n"/>
      <c r="AD4" s="386" t="n"/>
    </row>
    <row r="5" ht="70" customHeight="1" s="380">
      <c r="A5" s="386" t="n"/>
      <c r="B5" s="386" t="n"/>
      <c r="C5" s="386" t="inlineStr">
        <is>
          <t>Dashboard tổng quan của Người hành nghề chứng khoán toàn thị trường/Các chỉ tiêu tổng hợp thông tin chung</t>
        </is>
      </c>
      <c r="D5" s="12" t="inlineStr">
        <is>
          <t>Chứng chỉ cấp mới (YTD)</t>
        </is>
      </c>
      <c r="E5" s="12" t="inlineStr">
        <is>
          <t>Số CCHN được cấp mới trong năm hiện tại</t>
        </is>
      </c>
      <c r="F5" s="386" t="inlineStr">
        <is>
          <t>Dashboard</t>
        </is>
      </c>
      <c r="G5" s="15" t="inlineStr">
        <is>
          <t>Chỉ tiêu phái sinh</t>
        </is>
      </c>
      <c r="H5" s="386" t="inlineStr">
        <is>
          <t>TB</t>
        </is>
      </c>
      <c r="I5" s="386" t="inlineStr">
        <is>
          <t>Số CCHN</t>
        </is>
      </c>
      <c r="J5" s="386" t="inlineStr">
        <is>
          <t>NHNCK</t>
        </is>
      </c>
      <c r="K5" s="35" t="inlineStr">
        <is>
          <t>x</t>
        </is>
      </c>
      <c r="L5" s="35" t="inlineStr">
        <is>
          <t>x</t>
        </is>
      </c>
      <c r="M5" s="386" t="n"/>
      <c r="N5" s="386" t="inlineStr">
        <is>
          <t>Done</t>
        </is>
      </c>
      <c r="O5" s="386" t="n"/>
      <c r="P5" s="386" t="inlineStr">
        <is>
          <t>APPLICATIONS</t>
        </is>
      </c>
      <c r="Q5" s="386" t="inlineStr">
        <is>
          <t>Count distinct CertificateNumber from Applications where IssueDate (ngày cấp chứng chỉ) trong năm</t>
        </is>
      </c>
      <c r="R5" s="386" t="n"/>
      <c r="S5" s="386" t="n"/>
      <c r="T5" s="386" t="n"/>
      <c r="U5" s="386" t="n"/>
      <c r="V5" s="386" t="n"/>
      <c r="W5" s="386" t="n"/>
      <c r="X5" s="395" t="inlineStr">
        <is>
          <t>Done</t>
        </is>
      </c>
      <c r="Y5" s="386" t="n"/>
      <c r="Z5" s="386" t="n"/>
      <c r="AA5" s="386" t="n"/>
      <c r="AB5" s="386" t="n"/>
      <c r="AC5" s="386" t="n"/>
      <c r="AD5" s="386" t="n"/>
    </row>
    <row r="6" ht="84" customHeight="1" s="380">
      <c r="A6" s="386" t="n"/>
      <c r="B6" s="386" t="n"/>
      <c r="C6" s="386" t="inlineStr">
        <is>
          <t>Dashboard tổng quan của Người hành nghề chứng khoán toàn thị trường/Các chỉ tiêu tổng hợp thông tin chung</t>
        </is>
      </c>
      <c r="D6" s="12" t="inlineStr">
        <is>
          <t>Cấp mới</t>
        </is>
      </c>
      <c r="E6" s="12" t="inlineStr">
        <is>
          <t>Số chứng chỉ cấp lần đầu</t>
        </is>
      </c>
      <c r="F6" s="386" t="inlineStr">
        <is>
          <t>Dashboard</t>
        </is>
      </c>
      <c r="G6" s="15" t="inlineStr">
        <is>
          <t>Chỉ tiêu phái sinh</t>
        </is>
      </c>
      <c r="H6" s="386" t="inlineStr">
        <is>
          <t>TB</t>
        </is>
      </c>
      <c r="I6" s="386" t="inlineStr">
        <is>
          <t>Số CCHN</t>
        </is>
      </c>
      <c r="J6" s="386" t="inlineStr">
        <is>
          <t>NHNCK</t>
        </is>
      </c>
      <c r="K6" s="35" t="inlineStr">
        <is>
          <t>x</t>
        </is>
      </c>
      <c r="L6" s="35" t="inlineStr">
        <is>
          <t>x</t>
        </is>
      </c>
      <c r="M6" s="386" t="n"/>
      <c r="N6" s="386" t="inlineStr">
        <is>
          <t>Done</t>
        </is>
      </c>
      <c r="O6" s="386" t="n"/>
      <c r="P6" s="386" t="inlineStr">
        <is>
          <t>APPLICATIONS</t>
        </is>
      </c>
      <c r="Q6" s="386" t="inlineStr">
        <is>
          <t>Count distinct CertificateNumber from Applications where Applications .ApplicationType (loại hồ sơ) = 'Hồ sơ cấp mới'
and IssueDate (ngày cấp chứng chỉ) trong năm</t>
        </is>
      </c>
      <c r="R6" s="386" t="n"/>
      <c r="S6" s="386" t="n"/>
      <c r="T6" s="386" t="n"/>
      <c r="U6" s="386" t="n"/>
      <c r="V6" s="386" t="n"/>
      <c r="W6" s="386" t="n"/>
      <c r="X6" s="395" t="inlineStr">
        <is>
          <t>Done</t>
        </is>
      </c>
      <c r="Y6" s="386" t="n"/>
      <c r="Z6" s="386" t="n"/>
      <c r="AA6" s="386" t="n"/>
      <c r="AB6" s="386" t="n"/>
      <c r="AC6" s="386" t="n"/>
      <c r="AD6" s="386" t="n"/>
    </row>
    <row r="7" ht="112" customHeight="1" s="380">
      <c r="A7" s="386" t="n"/>
      <c r="B7" s="386" t="n"/>
      <c r="C7" s="386" t="inlineStr">
        <is>
          <t>Dashboard tổng quan của Người hành nghề chứng khoán toàn thị trường/Các chỉ tiêu tổng hợp thông tin chung</t>
        </is>
      </c>
      <c r="D7" s="12" t="inlineStr">
        <is>
          <t>Cấp lại</t>
        </is>
      </c>
      <c r="E7" s="12" t="inlineStr">
        <is>
          <t>Số chứng chỉ cấp lại</t>
        </is>
      </c>
      <c r="F7" s="386" t="inlineStr">
        <is>
          <t>Dashboard</t>
        </is>
      </c>
      <c r="G7" s="15" t="inlineStr">
        <is>
          <t>Chỉ tiêu phái sinh</t>
        </is>
      </c>
      <c r="H7" s="386" t="inlineStr">
        <is>
          <t>TB</t>
        </is>
      </c>
      <c r="I7" s="386" t="inlineStr">
        <is>
          <t>Số CCHN</t>
        </is>
      </c>
      <c r="J7" s="386" t="inlineStr">
        <is>
          <t>NHNCK</t>
        </is>
      </c>
      <c r="K7" s="35" t="inlineStr">
        <is>
          <t>x</t>
        </is>
      </c>
      <c r="L7" s="35" t="inlineStr">
        <is>
          <t>x</t>
        </is>
      </c>
      <c r="M7" s="386" t="n"/>
      <c r="N7" s="386" t="inlineStr">
        <is>
          <t>Done</t>
        </is>
      </c>
      <c r="O7" s="386" t="n"/>
      <c r="P7" s="386" t="inlineStr">
        <is>
          <t>APPLICATIONS</t>
        </is>
      </c>
      <c r="Q7" s="386" t="inlineStr">
        <is>
          <t>Count distinct CertificateNumber from Applications a where a.ApplicationType (loại hồ sơ) in (Hồ sơ cấp lại do thu hồi | Hồ sơ cấp lại do hỏng mất | Hồ sơ cấp lại do thay đổi thông tin)
and a.IssueDate (ngày cấp chứng chỉ) trong năm</t>
        </is>
      </c>
      <c r="R7" s="386" t="n"/>
      <c r="S7" s="386" t="n"/>
      <c r="T7" s="386" t="n"/>
      <c r="U7" s="386" t="n"/>
      <c r="V7" s="386" t="n"/>
      <c r="W7" s="386" t="n"/>
      <c r="X7" s="395" t="inlineStr">
        <is>
          <t>Done</t>
        </is>
      </c>
      <c r="Y7" s="386" t="n"/>
      <c r="Z7" s="386" t="n"/>
      <c r="AA7" s="386" t="n"/>
      <c r="AB7" s="386" t="n"/>
      <c r="AC7" s="386" t="n"/>
      <c r="AD7" s="386" t="n"/>
    </row>
    <row r="8" ht="70" customHeight="1" s="380">
      <c r="A8" s="386" t="n"/>
      <c r="B8" s="386" t="n"/>
      <c r="C8" s="386" t="inlineStr">
        <is>
          <t>Dashboard tổng quan của Người hành nghề chứng khoán toàn thị trường/Các chỉ tiêu tổng hợp thông tin chung</t>
        </is>
      </c>
      <c r="D8" s="12" t="inlineStr">
        <is>
          <t>Bị thu hồi</t>
        </is>
      </c>
      <c r="E8" s="12" t="inlineStr">
        <is>
          <t>Tổng số CCHN bị thu hồi lũy kế đến ngày cuối cùng năm đã chọn</t>
        </is>
      </c>
      <c r="F8" s="386" t="inlineStr">
        <is>
          <t>Dashboard</t>
        </is>
      </c>
      <c r="G8" s="15" t="inlineStr">
        <is>
          <t>Chỉ tiêu phái sinh</t>
        </is>
      </c>
      <c r="H8" s="386" t="inlineStr">
        <is>
          <t>TB</t>
        </is>
      </c>
      <c r="I8" s="386" t="inlineStr">
        <is>
          <t>Số CCHN</t>
        </is>
      </c>
      <c r="J8" s="386" t="inlineStr">
        <is>
          <t>NHNCK</t>
        </is>
      </c>
      <c r="K8" s="35" t="inlineStr">
        <is>
          <t>x</t>
        </is>
      </c>
      <c r="L8" s="35" t="inlineStr">
        <is>
          <t>x</t>
        </is>
      </c>
      <c r="M8" s="386" t="n"/>
      <c r="N8" s="386" t="inlineStr">
        <is>
          <t>Done</t>
        </is>
      </c>
      <c r="O8" s="386" t="n"/>
      <c r="P8" s="386" t="inlineStr">
        <is>
          <t>CERTIFICATE_RECORDS</t>
        </is>
      </c>
      <c r="Q8" s="386" t="inlineStr">
        <is>
          <t>Count distinct CertificateNumber from  CertificateRecords  t where t.Status = " 2 -Thu hồi" 
and t.RevocationDate (ngày thu hồi) lũy kế thời gian đã chọn</t>
        </is>
      </c>
      <c r="R8" s="386" t="n"/>
      <c r="S8" s="386" t="n"/>
      <c r="T8" s="386" t="n"/>
      <c r="U8" s="386" t="n"/>
      <c r="V8" s="386" t="n"/>
      <c r="W8" s="386" t="n"/>
      <c r="X8" s="395" t="inlineStr">
        <is>
          <t>Done</t>
        </is>
      </c>
      <c r="Y8" s="386" t="n"/>
      <c r="Z8" s="386" t="n"/>
      <c r="AA8" s="386" t="n"/>
      <c r="AB8" s="386" t="n"/>
      <c r="AC8" s="386" t="n"/>
      <c r="AD8" s="386" t="n"/>
    </row>
    <row r="9" ht="70" customHeight="1" s="380">
      <c r="A9" s="386" t="n"/>
      <c r="B9" s="386" t="n"/>
      <c r="C9" s="386" t="inlineStr">
        <is>
          <t>Dashboard tổng quan của Người hành nghề chứng khoán toàn thị trường/Các chỉ tiêu tổng hợp thông tin chung</t>
        </is>
      </c>
      <c r="D9" s="12" t="inlineStr">
        <is>
          <t>CCHN đang hoạt động</t>
        </is>
      </c>
      <c r="E9" s="12" t="inlineStr">
        <is>
          <t>Số CCHN trạng thái hoạt động lũy kế đến ngày cuối cùng năm đã chọn</t>
        </is>
      </c>
      <c r="F9" s="386" t="inlineStr">
        <is>
          <t>Dashboard</t>
        </is>
      </c>
      <c r="G9" s="15" t="inlineStr">
        <is>
          <t>Chỉ tiêu phái sinh</t>
        </is>
      </c>
      <c r="H9" s="386" t="inlineStr">
        <is>
          <t>TB</t>
        </is>
      </c>
      <c r="I9" s="386" t="inlineStr">
        <is>
          <t>Số CCHN</t>
        </is>
      </c>
      <c r="J9" s="386" t="inlineStr">
        <is>
          <t>NHNCK</t>
        </is>
      </c>
      <c r="K9" s="35" t="inlineStr">
        <is>
          <t>x</t>
        </is>
      </c>
      <c r="L9" s="35" t="inlineStr">
        <is>
          <t>x</t>
        </is>
      </c>
      <c r="M9" s="386" t="n"/>
      <c r="N9" s="386" t="inlineStr">
        <is>
          <t>Done</t>
        </is>
      </c>
      <c r="O9" s="386" t="n"/>
      <c r="P9" s="386" t="inlineStr">
        <is>
          <t>CERTIFICATE_RECORDS</t>
        </is>
      </c>
      <c r="Q9" s="386" t="inlineStr">
        <is>
          <t>Count distinct CertificateNumber from  CertificateRecords  t where t.Status = " 1: Đang sử dụng" 
and t.RevocationDate (ngày thu hồi) lũy kế đến thời gian đã chọn</t>
        </is>
      </c>
      <c r="R9" s="386" t="n"/>
      <c r="S9" s="386" t="n"/>
      <c r="T9" s="386" t="n"/>
      <c r="U9" s="386" t="n"/>
      <c r="V9" s="386" t="n"/>
      <c r="W9" s="386" t="n"/>
      <c r="X9" s="395" t="inlineStr">
        <is>
          <t>Done</t>
        </is>
      </c>
      <c r="Y9" s="386" t="n"/>
      <c r="Z9" s="386" t="n"/>
      <c r="AA9" s="386" t="n"/>
      <c r="AB9" s="386" t="n"/>
      <c r="AC9" s="386" t="n"/>
      <c r="AD9" s="386" t="n"/>
    </row>
    <row r="10" ht="98" customHeight="1" s="380">
      <c r="A10" s="386" t="n"/>
      <c r="B10" s="386" t="n"/>
      <c r="C10" s="386" t="inlineStr">
        <is>
          <t>Dashboard tổng quan của Người hành nghề chứng khoán toàn thị trường/Các chỉ tiêu tổng hợp thông tin chung</t>
        </is>
      </c>
      <c r="D10" s="12" t="inlineStr">
        <is>
          <t>Thu hồi trong 3 năm</t>
        </is>
      </c>
      <c r="E10" s="12" t="inlineStr">
        <is>
          <t>Số CCHN bị thu hồi có thời hạn 3 năm lũy kế đến ngày cuối cùng năm đã chọn</t>
        </is>
      </c>
      <c r="F10" s="386" t="inlineStr">
        <is>
          <t>Dashboard</t>
        </is>
      </c>
      <c r="G10" s="15" t="inlineStr">
        <is>
          <t>Chỉ tiêu phái sinh</t>
        </is>
      </c>
      <c r="H10" s="386" t="inlineStr">
        <is>
          <t>TB</t>
        </is>
      </c>
      <c r="I10" s="386" t="inlineStr">
        <is>
          <t>Số CCHN</t>
        </is>
      </c>
      <c r="J10" s="386" t="inlineStr">
        <is>
          <t>NHNCK</t>
        </is>
      </c>
      <c r="K10" s="35" t="inlineStr">
        <is>
          <t>x</t>
        </is>
      </c>
      <c r="L10" s="35" t="inlineStr">
        <is>
          <t>x</t>
        </is>
      </c>
      <c r="M10" s="386" t="n"/>
      <c r="N10" s="386" t="inlineStr">
        <is>
          <t>Done</t>
        </is>
      </c>
      <c r="O10" s="386" t="n"/>
      <c r="P10" s="386" t="inlineStr">
        <is>
          <t>CERTIFICATE_RECORDS</t>
        </is>
      </c>
      <c r="Q10" s="386" t="inlineStr">
        <is>
          <t>Count distinct CertificateNumber from  CertificateRecords  t where t.Status = " 2 -Thu hồi" 
and t.AllowReissue = "1: Cho phép cấp lại"
and t.RevocationDate (ngày thu hồi) thuộc 3 năm so với thời gian đã chọn</t>
        </is>
      </c>
      <c r="R10" s="386" t="n"/>
      <c r="S10" s="386" t="n"/>
      <c r="T10" s="386" t="n"/>
      <c r="U10" s="386" t="n"/>
      <c r="V10" s="386" t="n"/>
      <c r="W10" s="386" t="n"/>
      <c r="X10" s="395" t="inlineStr">
        <is>
          <t>Done</t>
        </is>
      </c>
      <c r="Y10" s="386" t="n"/>
      <c r="Z10" s="386" t="n"/>
      <c r="AA10" s="386" t="n"/>
      <c r="AB10" s="386" t="n"/>
      <c r="AC10" s="386" t="n"/>
      <c r="AD10" s="386" t="n"/>
    </row>
    <row r="11" ht="98" customHeight="1" s="380">
      <c r="A11" s="386" t="n"/>
      <c r="B11" s="386" t="n"/>
      <c r="C11" s="386" t="inlineStr">
        <is>
          <t>Dashboard tổng quan của Người hành nghề chứng khoán toàn thị trường/Các chỉ tiêu tổng hợp thông tin chung</t>
        </is>
      </c>
      <c r="D11" s="12" t="inlineStr">
        <is>
          <t>Thu hồi vĩnh viễn</t>
        </is>
      </c>
      <c r="E11" s="12" t="inlineStr">
        <is>
          <t>Số CCHN thu hồi không thời hạn lũy kế đến ngày cuối cùng năm đã chọn</t>
        </is>
      </c>
      <c r="F11" s="386" t="inlineStr">
        <is>
          <t>Dashboard</t>
        </is>
      </c>
      <c r="G11" s="15" t="inlineStr">
        <is>
          <t>Chỉ tiêu phái sinh</t>
        </is>
      </c>
      <c r="H11" s="386" t="inlineStr">
        <is>
          <t>TB</t>
        </is>
      </c>
      <c r="I11" s="386" t="inlineStr">
        <is>
          <t>Số CCHN</t>
        </is>
      </c>
      <c r="J11" s="386" t="inlineStr">
        <is>
          <t>NHNCK</t>
        </is>
      </c>
      <c r="K11" s="35" t="inlineStr">
        <is>
          <t>x</t>
        </is>
      </c>
      <c r="L11" s="35" t="inlineStr">
        <is>
          <t>x</t>
        </is>
      </c>
      <c r="M11" s="386" t="n"/>
      <c r="N11" s="386" t="inlineStr">
        <is>
          <t>Done</t>
        </is>
      </c>
      <c r="O11" s="386" t="n"/>
      <c r="P11" s="386" t="inlineStr">
        <is>
          <t>CERTIFICATE_RECORDS</t>
        </is>
      </c>
      <c r="Q11" s="386" t="inlineStr">
        <is>
          <t>Count distinct CertificateNumber from  CertificateRecords  t where t.Status = " 2 -Thu hồi" 
and t.AllowReissue = "0: Không cho phép cấp lại"
and t.RevocationDate (ngày thu hồi) = thời gian lũy kế đến thời gian chọn</t>
        </is>
      </c>
      <c r="R11" s="386" t="n"/>
      <c r="S11" s="386" t="n"/>
      <c r="T11" s="386" t="n"/>
      <c r="U11" s="386" t="n"/>
      <c r="V11" s="386" t="n"/>
      <c r="W11" s="386" t="n"/>
      <c r="X11" s="36" t="inlineStr">
        <is>
          <t>Done</t>
        </is>
      </c>
      <c r="Y11" s="386" t="n"/>
      <c r="Z11" s="386" t="n"/>
      <c r="AA11" s="386" t="n"/>
      <c r="AB11" s="386" t="n"/>
      <c r="AC11" s="386" t="n"/>
      <c r="AD11" s="386" t="n"/>
    </row>
    <row r="12" ht="98" customHeight="1" s="380">
      <c r="A12" s="386" t="n"/>
      <c r="B12" s="386" t="n"/>
      <c r="C12" s="386" t="inlineStr">
        <is>
          <t>Dashboard tổng quan của Người hành nghề chứng khoán toàn thị trường/Các chỉ tiêu tổng hợp thông tin chung</t>
        </is>
      </c>
      <c r="D12" s="12" t="inlineStr">
        <is>
          <t>Đã bị hủy</t>
        </is>
      </c>
      <c r="E12" s="12" t="inlineStr">
        <is>
          <t>Số CCHN bị hủy lũy kế đến ngày cuối cùng năm đã chọn</t>
        </is>
      </c>
      <c r="F12" s="386" t="inlineStr">
        <is>
          <t>Dashboard</t>
        </is>
      </c>
      <c r="G12" s="15" t="inlineStr">
        <is>
          <t>Chỉ tiêu phái sinh</t>
        </is>
      </c>
      <c r="H12" s="386" t="inlineStr">
        <is>
          <t>TB</t>
        </is>
      </c>
      <c r="I12" s="386" t="inlineStr">
        <is>
          <t>Số CCHN</t>
        </is>
      </c>
      <c r="J12" s="386" t="inlineStr">
        <is>
          <t>NHNCK</t>
        </is>
      </c>
      <c r="K12" s="35" t="inlineStr">
        <is>
          <t>x</t>
        </is>
      </c>
      <c r="L12" s="35" t="inlineStr">
        <is>
          <t>x</t>
        </is>
      </c>
      <c r="M12" s="386" t="n"/>
      <c r="N12" s="386" t="inlineStr">
        <is>
          <t>Done</t>
        </is>
      </c>
      <c r="O12" s="386" t="n"/>
      <c r="P12" s="386" t="inlineStr">
        <is>
          <t>CERTIFICATE_RECORDS</t>
        </is>
      </c>
      <c r="Q12" s="386" t="inlineStr">
        <is>
          <t>Count distinct CertificateNumber from  CertificateRecords  t where t.Status = " 2 -Thu hồi" 
and t.AllowReissue = "0: Không cho phép cấp lại"
and t.RevocationDate (ngày thu hồi) = thời gian lũy kế đến thời gian chọn</t>
        </is>
      </c>
      <c r="R12" s="386" t="n"/>
      <c r="S12" s="386" t="n"/>
      <c r="T12" s="386" t="n"/>
      <c r="U12" s="386" t="n"/>
      <c r="V12" s="386" t="n"/>
      <c r="W12" s="386" t="n"/>
      <c r="X12" s="395" t="inlineStr">
        <is>
          <t>Done</t>
        </is>
      </c>
      <c r="Y12" s="386" t="n"/>
      <c r="Z12" s="386" t="n"/>
      <c r="AA12" s="386" t="n"/>
      <c r="AB12" s="386" t="n"/>
      <c r="AC12" s="386" t="n"/>
      <c r="AD12" s="386" t="n"/>
    </row>
    <row r="13" ht="70" customHeight="1" s="380">
      <c r="A13" s="386" t="n"/>
      <c r="B13" s="386" t="n"/>
      <c r="C13" s="386" t="inlineStr">
        <is>
          <t>Dashboard tổng quan của Người hành nghề chứng khoán toàn thị trường/Các chỉ tiêu tổng hợp thông tin chung</t>
        </is>
      </c>
      <c r="D13" s="12" t="inlineStr">
        <is>
          <t>Cảnh báo NHNCK</t>
        </is>
      </c>
      <c r="E13" s="12" t="inlineStr">
        <is>
          <t>Số NHN có vi phạm lũy kế đến ngày cuối cùng năm đã chọn</t>
        </is>
      </c>
      <c r="F13" s="386" t="inlineStr">
        <is>
          <t>Dashboard</t>
        </is>
      </c>
      <c r="G13" s="15" t="inlineStr">
        <is>
          <t>Chỉ tiêu phái sinh</t>
        </is>
      </c>
      <c r="H13" s="386" t="inlineStr">
        <is>
          <t>TB</t>
        </is>
      </c>
      <c r="I13" s="386" t="inlineStr">
        <is>
          <t>Mã người hành nghề</t>
        </is>
      </c>
      <c r="J13" s="386" t="inlineStr">
        <is>
          <t>NHNCK</t>
        </is>
      </c>
      <c r="K13" s="35" t="inlineStr">
        <is>
          <t>x</t>
        </is>
      </c>
      <c r="L13" s="35" t="inlineStr">
        <is>
          <t>x</t>
        </is>
      </c>
      <c r="M13" s="386" t="n"/>
      <c r="N13" s="386" t="inlineStr">
        <is>
          <t>Done</t>
        </is>
      </c>
      <c r="O13" s="386" t="n"/>
      <c r="P13" s="386" t="inlineStr">
        <is>
          <t>PROFESSIONALS, VIOLATIONS</t>
        </is>
      </c>
      <c r="Q13" s="386" t="inlineStr">
        <is>
          <t>select count distinct a.IdentityId (mã định danh NHN)
from  Professionals a
join Violations v on a.ProfessionalId = v.ProfessionalId</t>
        </is>
      </c>
      <c r="R13" s="386" t="n"/>
      <c r="S13" s="386" t="n"/>
      <c r="T13" s="386" t="n"/>
      <c r="U13" s="386" t="n"/>
      <c r="V13" s="386" t="n"/>
      <c r="W13" s="386" t="n"/>
      <c r="X13" s="395" t="inlineStr">
        <is>
          <t>Done</t>
        </is>
      </c>
      <c r="Y13" s="386" t="n"/>
      <c r="Z13" s="386" t="n"/>
      <c r="AA13" s="386" t="n"/>
      <c r="AB13" s="386" t="n"/>
      <c r="AC13" s="386" t="n"/>
      <c r="AD13" s="386" t="n"/>
    </row>
    <row r="14" ht="126" customHeight="1" s="380">
      <c r="A14" s="386" t="n"/>
      <c r="B14" s="386" t="n"/>
      <c r="C14" s="386" t="inlineStr">
        <is>
          <t>Dashboard tổng quan của Người hành nghề chứng khoán toàn thị trường/Biểu đồ Trình độ chuyên môn</t>
        </is>
      </c>
      <c r="D14" s="12" t="inlineStr">
        <is>
          <t>Số lượng Tiến sĩ</t>
        </is>
      </c>
      <c r="E14" s="12" t="inlineStr">
        <is>
          <t>Số lượng NHN trình độ Tiến sĩ</t>
        </is>
      </c>
      <c r="F14" s="386" t="inlineStr">
        <is>
          <t>Dashboard</t>
        </is>
      </c>
      <c r="G14" s="15" t="inlineStr">
        <is>
          <t>Chỉ tiêu phái sinh</t>
        </is>
      </c>
      <c r="H14" s="386" t="inlineStr">
        <is>
          <t>TB</t>
        </is>
      </c>
      <c r="I14" s="386" t="inlineStr">
        <is>
          <t>Mã người hành nghề</t>
        </is>
      </c>
      <c r="J14" s="386" t="inlineStr">
        <is>
          <t>NHNCK</t>
        </is>
      </c>
      <c r="K14" s="35" t="inlineStr">
        <is>
          <t>x</t>
        </is>
      </c>
      <c r="L14" s="35" t="inlineStr">
        <is>
          <t>x</t>
        </is>
      </c>
      <c r="M14" s="386" t="n"/>
      <c r="N14" s="386" t="inlineStr">
        <is>
          <t>Done</t>
        </is>
      </c>
      <c r="O14" s="386" t="n"/>
      <c r="P14" s="386" t="inlineStr">
        <is>
          <t>EDUCATION_LEVELS, PROFESSIONALS, PROFESSIONAL_HISTORIES</t>
        </is>
      </c>
      <c r="Q14" s="386" t="inlineStr">
        <is>
          <t>select count distinct a.IdentityId (mã định danh NHN)
from   Professionals a
join ProfessionalHistories  b on a.ProfessionalId = b.ProfessionalId
join EducationLevels e on b.EducationLevelId = e.EducationLevelId
where  e.LevelName = 'Tiến sĩ'</t>
        </is>
      </c>
      <c r="R14" s="386" t="n"/>
      <c r="S14" s="386" t="n"/>
      <c r="T14" s="386" t="n"/>
      <c r="U14" s="386" t="n"/>
      <c r="V14" s="386" t="n"/>
      <c r="W14" s="386" t="n"/>
      <c r="X14" s="395" t="inlineStr">
        <is>
          <t>Done</t>
        </is>
      </c>
      <c r="Y14" s="386" t="n"/>
      <c r="Z14" s="386" t="n"/>
      <c r="AA14" s="386" t="n"/>
      <c r="AB14" s="386" t="n"/>
      <c r="AC14" s="386" t="n"/>
      <c r="AD14" s="386" t="n"/>
    </row>
    <row r="15" ht="126" customHeight="1" s="380">
      <c r="A15" s="386" t="n"/>
      <c r="B15" s="386" t="n"/>
      <c r="C15" s="386" t="inlineStr">
        <is>
          <t>Dashboard tổng quan của Người hành nghề chứng khoán toàn thị trường/Biểu đồ Trình độ chuyên môn</t>
        </is>
      </c>
      <c r="D15" s="12" t="inlineStr">
        <is>
          <t>Số lượng Thạc sĩ</t>
        </is>
      </c>
      <c r="E15" s="12" t="inlineStr">
        <is>
          <t>Số lượng NHN trình độ Thạc sĩ</t>
        </is>
      </c>
      <c r="F15" s="386" t="inlineStr">
        <is>
          <t>Dashboard</t>
        </is>
      </c>
      <c r="G15" s="15" t="inlineStr">
        <is>
          <t>Chỉ tiêu phái sinh</t>
        </is>
      </c>
      <c r="H15" s="386" t="inlineStr">
        <is>
          <t>TB</t>
        </is>
      </c>
      <c r="I15" s="386" t="inlineStr">
        <is>
          <t>Mã người hành nghề</t>
        </is>
      </c>
      <c r="J15" s="386" t="inlineStr">
        <is>
          <t>NHNCK</t>
        </is>
      </c>
      <c r="K15" s="35" t="inlineStr">
        <is>
          <t>x</t>
        </is>
      </c>
      <c r="L15" s="35" t="inlineStr">
        <is>
          <t>x</t>
        </is>
      </c>
      <c r="M15" s="386" t="n"/>
      <c r="N15" s="386" t="inlineStr">
        <is>
          <t>Done</t>
        </is>
      </c>
      <c r="O15" s="386" t="n"/>
      <c r="P15" s="386" t="inlineStr">
        <is>
          <t>EDUCATION_LEVELS, PROFESSIONALS, PROFESSIONAL_HISTORIES</t>
        </is>
      </c>
      <c r="Q15" s="386" t="inlineStr">
        <is>
          <t>select count distinct a.IdentityId (mã định danh NHN)
from   Professionals a
join ProfessionalHistories  b on a.ProfessionalId = b.ProfessionalId
join EducationLevels e on b.EducationLevelId = e.EducationLevelId
where  e.LevelName = 'Thạc sĩ'</t>
        </is>
      </c>
      <c r="R15" s="386" t="n"/>
      <c r="S15" s="386" t="n"/>
      <c r="T15" s="386" t="n"/>
      <c r="U15" s="386" t="n"/>
      <c r="V15" s="386" t="n"/>
      <c r="W15" s="386" t="n"/>
      <c r="X15" s="395" t="inlineStr">
        <is>
          <t>Done</t>
        </is>
      </c>
      <c r="Y15" s="386" t="n"/>
      <c r="Z15" s="386" t="n"/>
      <c r="AA15" s="386" t="n"/>
      <c r="AB15" s="386" t="n"/>
      <c r="AC15" s="386" t="n"/>
      <c r="AD15" s="386" t="n"/>
    </row>
    <row r="16" ht="126" customHeight="1" s="380">
      <c r="A16" s="386" t="n"/>
      <c r="B16" s="386" t="n"/>
      <c r="C16" s="386" t="inlineStr">
        <is>
          <t>Dashboard tổng quan của Người hành nghề chứng khoán toàn thị trường/Biểu đồ Trình độ chuyên môn</t>
        </is>
      </c>
      <c r="D16" s="12" t="inlineStr">
        <is>
          <t>Số lượng Đại học</t>
        </is>
      </c>
      <c r="E16" s="12" t="inlineStr">
        <is>
          <t>Số lượng NHN trình độ Đại học</t>
        </is>
      </c>
      <c r="F16" s="386" t="inlineStr">
        <is>
          <t>Dashboard</t>
        </is>
      </c>
      <c r="G16" s="15" t="inlineStr">
        <is>
          <t>Chỉ tiêu phái sinh</t>
        </is>
      </c>
      <c r="H16" s="386" t="inlineStr">
        <is>
          <t>TB</t>
        </is>
      </c>
      <c r="I16" s="386" t="inlineStr">
        <is>
          <t>Mã người hành nghề</t>
        </is>
      </c>
      <c r="J16" s="386" t="inlineStr">
        <is>
          <t>NHNCK</t>
        </is>
      </c>
      <c r="K16" s="35" t="inlineStr">
        <is>
          <t>x</t>
        </is>
      </c>
      <c r="L16" s="35" t="inlineStr">
        <is>
          <t>x</t>
        </is>
      </c>
      <c r="M16" s="386" t="n"/>
      <c r="N16" s="386" t="inlineStr">
        <is>
          <t>Done</t>
        </is>
      </c>
      <c r="O16" s="386" t="n"/>
      <c r="P16" s="386" t="inlineStr">
        <is>
          <t>EDUCATION_LEVELS, PROFESSIONALS, PROFESSIONAL_HISTORIES</t>
        </is>
      </c>
      <c r="Q16" s="386" t="inlineStr">
        <is>
          <t>select count distinct a.IdentityId (mã định danh NHN)
from   Professionals a
join ProfessionalHistories  b on a.ProfessionalId = b.ProfessionalId
join EducationLevels e on b.EducationLevelId = e.EducationLevelId
where  e.LevelName = 'Đại học'</t>
        </is>
      </c>
      <c r="R16" s="386" t="n"/>
      <c r="S16" s="386" t="n"/>
      <c r="T16" s="386" t="n"/>
      <c r="U16" s="386" t="n"/>
      <c r="V16" s="386" t="n"/>
      <c r="W16" s="386" t="n"/>
      <c r="X16" s="395" t="inlineStr">
        <is>
          <t>Done</t>
        </is>
      </c>
      <c r="Y16" s="386" t="n"/>
      <c r="Z16" s="386" t="n"/>
      <c r="AA16" s="386" t="n"/>
      <c r="AB16" s="386" t="n"/>
      <c r="AC16" s="386" t="n"/>
      <c r="AD16" s="386" t="n"/>
    </row>
    <row r="17" ht="70" customHeight="1" s="380">
      <c r="A17" s="386" t="n"/>
      <c r="B17" s="386" t="n"/>
      <c r="C17" s="386" t="inlineStr">
        <is>
          <t>Dashboard tổng quan của Người hành nghề chứng khoán toàn thị trường/Biểu đồ Trình độ chuyên môn</t>
        </is>
      </c>
      <c r="D17" s="12" t="inlineStr">
        <is>
          <t>Tỷ lệ Tiến sĩ (%)</t>
        </is>
      </c>
      <c r="E17" s="12" t="inlineStr">
        <is>
          <t>Tỷ lệ NHN trình độ Tiến sĩ/ Tổng số NHN</t>
        </is>
      </c>
      <c r="F17" s="386" t="inlineStr">
        <is>
          <t>Dashboard</t>
        </is>
      </c>
      <c r="G17" s="15" t="inlineStr">
        <is>
          <t>Chỉ tiêu phái sinh</t>
        </is>
      </c>
      <c r="H17" s="386" t="inlineStr">
        <is>
          <t>Dễ</t>
        </is>
      </c>
      <c r="I17" s="386" t="inlineStr">
        <is>
          <t>Mã người hành nghề</t>
        </is>
      </c>
      <c r="J17" s="386" t="inlineStr">
        <is>
          <t>NHNCK</t>
        </is>
      </c>
      <c r="K17" s="35" t="inlineStr">
        <is>
          <t>x</t>
        </is>
      </c>
      <c r="L17" s="35" t="inlineStr">
        <is>
          <t>x</t>
        </is>
      </c>
      <c r="M17" s="386" t="n"/>
      <c r="N17" s="386" t="inlineStr">
        <is>
          <t>Done</t>
        </is>
      </c>
      <c r="O17" s="386" t="n"/>
      <c r="P17" s="12" t="inlineStr">
        <is>
          <t>EDUCATION_LEVELS, PROFESSIONALS, PROFESSIONAL_HISTORIES</t>
        </is>
      </c>
      <c r="Q17" s="12" t="inlineStr">
        <is>
          <t>Tỷ lệ NHN trình độ Tiến sĩ/ Tổng số NHN</t>
        </is>
      </c>
      <c r="R17" s="386" t="n"/>
      <c r="S17" s="386" t="n"/>
      <c r="T17" s="386" t="n"/>
      <c r="U17" s="386" t="n"/>
      <c r="V17" s="386" t="n"/>
      <c r="W17" s="386" t="n"/>
      <c r="X17" s="395" t="n"/>
      <c r="Y17" s="386" t="n"/>
      <c r="Z17" s="386" t="n"/>
      <c r="AA17" s="386" t="n"/>
      <c r="AB17" s="386" t="n"/>
      <c r="AC17" s="386" t="n"/>
      <c r="AD17" s="386" t="n"/>
    </row>
    <row r="18" ht="70" customHeight="1" s="380">
      <c r="A18" s="386" t="n"/>
      <c r="B18" s="386" t="n"/>
      <c r="C18" s="386" t="inlineStr">
        <is>
          <t>Dashboard tổng quan của Người hành nghề chứng khoán toàn thị trường/Biểu đồ Trình độ chuyên môn</t>
        </is>
      </c>
      <c r="D18" s="12" t="inlineStr">
        <is>
          <t>Tỷ lệ Thạc sĩ (%)</t>
        </is>
      </c>
      <c r="E18" s="12" t="inlineStr">
        <is>
          <t>Tỷ lệ NHN trình độ Thạc sĩ/ Tổng số NHN</t>
        </is>
      </c>
      <c r="F18" s="386" t="inlineStr">
        <is>
          <t>Dashboard</t>
        </is>
      </c>
      <c r="G18" s="15" t="inlineStr">
        <is>
          <t>Chỉ tiêu phái sinh</t>
        </is>
      </c>
      <c r="H18" s="386" t="inlineStr">
        <is>
          <t>Dễ</t>
        </is>
      </c>
      <c r="I18" s="386" t="inlineStr">
        <is>
          <t>Mã người hành nghề</t>
        </is>
      </c>
      <c r="J18" s="386" t="inlineStr">
        <is>
          <t>NHNCK</t>
        </is>
      </c>
      <c r="K18" s="35" t="inlineStr">
        <is>
          <t>x</t>
        </is>
      </c>
      <c r="L18" s="35" t="inlineStr">
        <is>
          <t>x</t>
        </is>
      </c>
      <c r="M18" s="386" t="n"/>
      <c r="N18" s="386" t="inlineStr">
        <is>
          <t>Done</t>
        </is>
      </c>
      <c r="O18" s="386" t="n"/>
      <c r="P18" s="12" t="inlineStr">
        <is>
          <t>EDUCATION_LEVELS, PROFESSIONALS, PROFESSIONAL_HISTORIES</t>
        </is>
      </c>
      <c r="Q18" s="12" t="inlineStr">
        <is>
          <t>Tỷ lệ NHN trình độ Thạc sĩ/ Tổng số NHN</t>
        </is>
      </c>
      <c r="R18" s="386" t="n"/>
      <c r="S18" s="386" t="n"/>
      <c r="T18" s="386" t="n"/>
      <c r="U18" s="386" t="n"/>
      <c r="V18" s="386" t="n"/>
      <c r="W18" s="386" t="n"/>
      <c r="X18" s="37" t="n"/>
      <c r="Y18" s="386" t="n"/>
      <c r="Z18" s="386" t="n"/>
      <c r="AA18" s="386" t="n"/>
      <c r="AB18" s="386" t="n"/>
      <c r="AC18" s="386" t="n"/>
      <c r="AD18" s="386" t="n"/>
    </row>
    <row r="19" ht="70" customHeight="1" s="380">
      <c r="A19" s="386" t="n"/>
      <c r="B19" s="386" t="n"/>
      <c r="C19" s="386" t="inlineStr">
        <is>
          <t>Dashboard tổng quan của Người hành nghề chứng khoán toàn thị trường/Biểu đồ Trình độ chuyên môn</t>
        </is>
      </c>
      <c r="D19" s="12" t="inlineStr">
        <is>
          <t>Tỷ lệ Đại học (%)</t>
        </is>
      </c>
      <c r="E19" s="12" t="inlineStr">
        <is>
          <t>Tỷ lệ NHN trình độ Đại học/ Tổng số NHN</t>
        </is>
      </c>
      <c r="F19" s="386" t="inlineStr">
        <is>
          <t>Dashboard</t>
        </is>
      </c>
      <c r="G19" s="15" t="inlineStr">
        <is>
          <t>Chỉ tiêu phái sinh</t>
        </is>
      </c>
      <c r="H19" s="386" t="inlineStr">
        <is>
          <t>Dễ</t>
        </is>
      </c>
      <c r="I19" s="386" t="inlineStr">
        <is>
          <t>Mã người hành nghề</t>
        </is>
      </c>
      <c r="J19" s="386" t="inlineStr">
        <is>
          <t>NHNCK</t>
        </is>
      </c>
      <c r="K19" s="35" t="inlineStr">
        <is>
          <t>x</t>
        </is>
      </c>
      <c r="L19" s="35" t="inlineStr">
        <is>
          <t>x</t>
        </is>
      </c>
      <c r="M19" s="386" t="n"/>
      <c r="N19" s="386" t="inlineStr">
        <is>
          <t>Done</t>
        </is>
      </c>
      <c r="O19" s="386" t="n"/>
      <c r="P19" s="12" t="inlineStr">
        <is>
          <t>EDUCATION_LEVELS, PROFESSIONALS, PROFESSIONAL_HISTORIES</t>
        </is>
      </c>
      <c r="Q19" s="12" t="inlineStr">
        <is>
          <t>Tỷ lệ NHN trình độ Đại học/ Tổng số NHN</t>
        </is>
      </c>
      <c r="R19" s="386" t="n"/>
      <c r="S19" s="386" t="n"/>
      <c r="T19" s="386" t="n"/>
      <c r="U19" s="386" t="n"/>
      <c r="V19" s="386" t="n"/>
      <c r="W19" s="386" t="n"/>
      <c r="X19" s="395" t="n"/>
      <c r="Y19" s="386" t="n"/>
      <c r="Z19" s="386" t="n"/>
      <c r="AA19" s="386" t="n"/>
      <c r="AB19" s="386" t="n"/>
      <c r="AC19" s="386" t="n"/>
      <c r="AD19" s="386" t="n"/>
    </row>
    <row r="20" ht="98" customHeight="1" s="380">
      <c r="A20" s="386" t="n"/>
      <c r="B20" s="386" t="n"/>
      <c r="C20" s="386" t="inlineStr">
        <is>
          <t>Dashboard tổng quan của Người hành nghề chứng khoán toàn thị trường/Biểu đồ Biểu đồ Cơ cấu theo loại hình CCHN</t>
        </is>
      </c>
      <c r="D20" s="386" t="inlineStr">
        <is>
          <t>Số lượng CCHN là Môi giới</t>
        </is>
      </c>
      <c r="E20" s="12" t="inlineStr">
        <is>
          <t>Số lượng CCHN là Môi giới</t>
        </is>
      </c>
      <c r="F20" s="386" t="inlineStr">
        <is>
          <t>Dashboard</t>
        </is>
      </c>
      <c r="G20" s="15" t="inlineStr">
        <is>
          <t>Chỉ tiêu phái sinh</t>
        </is>
      </c>
      <c r="H20" s="386" t="inlineStr">
        <is>
          <t>TB</t>
        </is>
      </c>
      <c r="I20" s="386" t="inlineStr">
        <is>
          <t>Mã người hành nghề</t>
        </is>
      </c>
      <c r="J20" s="386" t="inlineStr">
        <is>
          <t>NHNCK</t>
        </is>
      </c>
      <c r="K20" s="35" t="inlineStr">
        <is>
          <t>x</t>
        </is>
      </c>
      <c r="L20" s="35" t="inlineStr">
        <is>
          <t>x</t>
        </is>
      </c>
      <c r="M20" s="386" t="n"/>
      <c r="N20" s="386" t="inlineStr">
        <is>
          <t>Done</t>
        </is>
      </c>
      <c r="O20" s="386" t="n"/>
      <c r="P20" s="386" t="inlineStr">
        <is>
          <t>CERTIFICATES, CERTIFICATE_RECORDS</t>
        </is>
      </c>
      <c r="Q20" s="386" t="inlineStr">
        <is>
          <t>select count distinct a.CertificateNumber, b.CertificateCode
from   CertificateRecords a
join Certificates  b on a.CertificateId = b.CertificateId
---where CertificateCode = Môi giới CK
group by CertificateCode</t>
        </is>
      </c>
      <c r="R20" s="386" t="n"/>
      <c r="S20" s="386" t="n"/>
      <c r="T20" s="386" t="n"/>
      <c r="U20" s="386" t="n"/>
      <c r="V20" s="386" t="n"/>
      <c r="W20" s="386" t="n"/>
      <c r="X20" s="395" t="inlineStr">
        <is>
          <t>Done</t>
        </is>
      </c>
      <c r="Y20" s="386" t="n"/>
      <c r="Z20" s="386" t="n"/>
      <c r="AA20" s="386" t="n"/>
      <c r="AB20" s="386" t="n"/>
      <c r="AC20" s="386" t="n"/>
      <c r="AD20" s="386" t="n"/>
    </row>
    <row r="21" ht="112" customHeight="1" s="380">
      <c r="A21" s="386" t="n"/>
      <c r="B21" s="386" t="n"/>
      <c r="C21" s="386" t="inlineStr">
        <is>
          <t>Dashboard tổng quan của Người hành nghề chứng khoán toàn thị trường/Biểu đồ Biểu đồ Cơ cấu theo loại hình CCHN</t>
        </is>
      </c>
      <c r="D21" s="386" t="inlineStr">
        <is>
          <t>Số lượng CCHN là Phân tích</t>
        </is>
      </c>
      <c r="E21" s="12" t="inlineStr">
        <is>
          <t>Số lượng CCHN là Phân tích</t>
        </is>
      </c>
      <c r="F21" s="386" t="inlineStr">
        <is>
          <t>Dashboard</t>
        </is>
      </c>
      <c r="G21" s="15" t="inlineStr">
        <is>
          <t>Chỉ tiêu phái sinh</t>
        </is>
      </c>
      <c r="H21" s="386" t="inlineStr">
        <is>
          <t>TB</t>
        </is>
      </c>
      <c r="I21" s="386" t="inlineStr">
        <is>
          <t>Mã người hành nghề</t>
        </is>
      </c>
      <c r="J21" s="386" t="inlineStr">
        <is>
          <t>NHNCK</t>
        </is>
      </c>
      <c r="K21" s="35" t="inlineStr">
        <is>
          <t>x</t>
        </is>
      </c>
      <c r="L21" s="35" t="inlineStr">
        <is>
          <t>x</t>
        </is>
      </c>
      <c r="M21" s="386" t="n"/>
      <c r="N21" s="386" t="inlineStr">
        <is>
          <t>Done</t>
        </is>
      </c>
      <c r="O21" s="386" t="n"/>
      <c r="P21" s="386" t="inlineStr">
        <is>
          <t>CERTIFICATES, CERTIFICATE_RECORDS</t>
        </is>
      </c>
      <c r="Q21" s="386" t="inlineStr">
        <is>
          <t>select count distinct a.CertificateNumber, b.CertificateCode
from   CertificateRecords a
join Certificates  b on a.CertificateId = b.CertificateId
---where CertificateCode = phân tích CK
group by CertificateCode</t>
        </is>
      </c>
      <c r="R21" s="386" t="n"/>
      <c r="S21" s="386" t="n"/>
      <c r="T21" s="386" t="n"/>
      <c r="U21" s="386" t="n"/>
      <c r="V21" s="386" t="n"/>
      <c r="W21" s="386" t="n"/>
      <c r="X21" s="13" t="inlineStr">
        <is>
          <t>Done</t>
        </is>
      </c>
      <c r="Y21" s="386" t="n"/>
      <c r="Z21" s="386" t="n"/>
      <c r="AA21" s="386" t="n"/>
      <c r="AB21" s="386" t="n"/>
      <c r="AC21" s="386" t="n"/>
      <c r="AD21" s="386" t="n"/>
    </row>
    <row r="22" ht="98" customHeight="1" s="380">
      <c r="A22" s="386" t="n"/>
      <c r="B22" s="386" t="n"/>
      <c r="C22" s="386" t="inlineStr">
        <is>
          <t>Dashboard tổng quan của Người hành nghề chứng khoán toàn thị trường/Biểu đồ Biểu đồ Cơ cấu theo loại hình CCHN</t>
        </is>
      </c>
      <c r="D22" s="386" t="inlineStr">
        <is>
          <t>Số lượng CCHN là QLQ</t>
        </is>
      </c>
      <c r="E22" s="12" t="inlineStr">
        <is>
          <t>Số lượng CCHN là QLQ</t>
        </is>
      </c>
      <c r="F22" s="386" t="inlineStr">
        <is>
          <t>Dashboard</t>
        </is>
      </c>
      <c r="G22" s="15" t="inlineStr">
        <is>
          <t>Chỉ tiêu phái sinh</t>
        </is>
      </c>
      <c r="H22" s="386" t="inlineStr">
        <is>
          <t>TB</t>
        </is>
      </c>
      <c r="I22" s="386" t="inlineStr">
        <is>
          <t>Mã người hành nghề</t>
        </is>
      </c>
      <c r="J22" s="386" t="inlineStr">
        <is>
          <t>NHNCK</t>
        </is>
      </c>
      <c r="K22" s="35" t="inlineStr">
        <is>
          <t>x</t>
        </is>
      </c>
      <c r="L22" s="35" t="inlineStr">
        <is>
          <t>x</t>
        </is>
      </c>
      <c r="M22" s="386" t="n"/>
      <c r="N22" s="386" t="inlineStr">
        <is>
          <t>Done</t>
        </is>
      </c>
      <c r="O22" s="386" t="n"/>
      <c r="P22" s="386" t="inlineStr">
        <is>
          <t>CERTIFICATES, CERTIFICATE_RECORDS</t>
        </is>
      </c>
      <c r="Q22" s="386" t="inlineStr">
        <is>
          <t>select count distinct a.CertificateNumber, b.CertificateCode
from   CertificateRecords a
join Certificates  b on a.CertificateId = b.CertificateId
---where CertificateCode = QLQ
group by CertificateCode</t>
        </is>
      </c>
      <c r="R22" s="386" t="n"/>
      <c r="S22" s="386" t="n"/>
      <c r="T22" s="386" t="n"/>
      <c r="U22" s="386" t="n"/>
      <c r="V22" s="386" t="n"/>
      <c r="W22" s="386" t="n"/>
      <c r="X22" s="13" t="inlineStr">
        <is>
          <t>Done</t>
        </is>
      </c>
      <c r="Y22" s="386" t="n"/>
      <c r="Z22" s="386" t="n"/>
      <c r="AA22" s="386" t="n"/>
      <c r="AB22" s="386" t="n"/>
      <c r="AC22" s="386" t="n"/>
      <c r="AD22" s="386" t="n"/>
    </row>
    <row r="23" ht="84" customHeight="1" s="380">
      <c r="A23" s="386" t="n"/>
      <c r="B23" s="386" t="n"/>
      <c r="C23" s="386" t="inlineStr">
        <is>
          <t xml:space="preserve">Dashboard tổng quan của Người hành nghề chứng khoán toàn thị trường/Biểu đồ Phân bổ độ tuổi
</t>
        </is>
      </c>
      <c r="D23" s="386" t="inlineStr">
        <is>
          <t>Số lượng NHN có độ tuổi 18–21 quốc tịch VN</t>
        </is>
      </c>
      <c r="E23" s="12" t="inlineStr">
        <is>
          <t>Số lượng NHN có độ tuổi 18–21 quốc tịch VN</t>
        </is>
      </c>
      <c r="F23" s="386" t="inlineStr">
        <is>
          <t>Dashboard</t>
        </is>
      </c>
      <c r="G23" s="15" t="inlineStr">
        <is>
          <t>Chỉ tiêu phái sinh</t>
        </is>
      </c>
      <c r="H23" s="386" t="inlineStr">
        <is>
          <t>TB</t>
        </is>
      </c>
      <c r="I23" s="386" t="inlineStr">
        <is>
          <t>Mã người hành nghề</t>
        </is>
      </c>
      <c r="J23" s="386" t="inlineStr">
        <is>
          <t>NHNCK</t>
        </is>
      </c>
      <c r="K23" s="35" t="inlineStr">
        <is>
          <t>x</t>
        </is>
      </c>
      <c r="L23" s="35" t="inlineStr">
        <is>
          <t>x</t>
        </is>
      </c>
      <c r="M23" s="386" t="n"/>
      <c r="N23" s="386" t="inlineStr">
        <is>
          <t>Done</t>
        </is>
      </c>
      <c r="O23" s="386" t="n"/>
      <c r="P23" s="386" t="inlineStr">
        <is>
          <t>PROFESSIONALS</t>
        </is>
      </c>
      <c r="Q23" s="386" t="inlineStr">
        <is>
          <t>Select count distinct Professionals.IdentityId
From Professionals
Where Professionals.CountryId = 'VN"
and Tuổi &gt;=18 and Tuổi &lt;=21</t>
        </is>
      </c>
      <c r="R23" s="386" t="n"/>
      <c r="S23" s="386" t="n"/>
      <c r="T23" s="386" t="n"/>
      <c r="U23" s="386" t="n"/>
      <c r="V23" s="386" t="n"/>
      <c r="W23" s="386" t="n"/>
      <c r="X23" s="13" t="inlineStr">
        <is>
          <t>Done</t>
        </is>
      </c>
      <c r="Y23" s="386" t="n"/>
      <c r="Z23" s="386" t="n"/>
      <c r="AA23" s="386" t="n"/>
      <c r="AB23" s="386" t="n"/>
      <c r="AC23" s="386" t="n"/>
      <c r="AD23" s="386" t="n"/>
    </row>
    <row r="24" ht="84" customHeight="1" s="380">
      <c r="A24" s="386" t="n"/>
      <c r="B24" s="386" t="n"/>
      <c r="C24" s="386" t="inlineStr">
        <is>
          <t xml:space="preserve">Dashboard tổng quan của Người hành nghề chứng khoán toàn thị trường/Biểu đồ Phân bổ độ tuổi
</t>
        </is>
      </c>
      <c r="D24" s="386" t="inlineStr">
        <is>
          <t>Số lượng NHN có độ tuổi 22–30 quốc tịch VN</t>
        </is>
      </c>
      <c r="E24" s="12" t="inlineStr">
        <is>
          <t>So luong NHN</t>
        </is>
      </c>
      <c r="F24" s="386" t="inlineStr">
        <is>
          <t>Dashboard</t>
        </is>
      </c>
      <c r="G24" s="15" t="inlineStr">
        <is>
          <t>Chỉ tiêu phái sinh</t>
        </is>
      </c>
      <c r="H24" s="386" t="inlineStr">
        <is>
          <t>TB</t>
        </is>
      </c>
      <c r="I24" s="386" t="inlineStr">
        <is>
          <t>Mã người hành nghề</t>
        </is>
      </c>
      <c r="J24" s="386" t="inlineStr">
        <is>
          <t>NHNCK</t>
        </is>
      </c>
      <c r="K24" s="35" t="inlineStr">
        <is>
          <t>x</t>
        </is>
      </c>
      <c r="L24" s="35" t="inlineStr">
        <is>
          <t>x</t>
        </is>
      </c>
      <c r="M24" s="386" t="n"/>
      <c r="N24" s="386" t="inlineStr">
        <is>
          <t>Done</t>
        </is>
      </c>
      <c r="O24" s="386" t="n"/>
      <c r="P24" s="386" t="inlineStr">
        <is>
          <t>PROFESSIONALS</t>
        </is>
      </c>
      <c r="Q24" s="386" t="inlineStr">
        <is>
          <t>Select count distinct Professionals.IdentityId
From Professionals
Where Professionals.CountryId = 'VN"
and Tuổi &gt;=22 and Tuổi &lt;=30</t>
        </is>
      </c>
      <c r="R24" s="386" t="n"/>
      <c r="S24" s="386" t="n"/>
      <c r="T24" s="386" t="n"/>
      <c r="U24" s="386" t="n"/>
      <c r="V24" s="386" t="n"/>
      <c r="W24" s="386" t="n"/>
      <c r="X24" s="13" t="inlineStr">
        <is>
          <t>Done</t>
        </is>
      </c>
      <c r="Y24" s="386" t="n"/>
      <c r="Z24" s="386" t="n"/>
      <c r="AA24" s="386" t="n"/>
      <c r="AB24" s="386" t="n"/>
      <c r="AC24" s="386" t="n"/>
      <c r="AD24" s="386" t="n"/>
    </row>
    <row r="25" ht="84" customHeight="1" s="380">
      <c r="A25" s="386" t="n"/>
      <c r="B25" s="386" t="n"/>
      <c r="C25" s="386" t="inlineStr">
        <is>
          <t xml:space="preserve">Dashboard tổng quan của Người hành nghề chứng khoán toàn thị trường/Biểu đồ Phân bổ độ tuổi
</t>
        </is>
      </c>
      <c r="D25" s="386" t="inlineStr">
        <is>
          <t>Số lượng NHN có độ tuổi 31–40 quốc tịch VN</t>
        </is>
      </c>
      <c r="E25" s="12" t="inlineStr">
        <is>
          <t>Chieu do tuoi NHN</t>
        </is>
      </c>
      <c r="F25" s="386" t="inlineStr">
        <is>
          <t>Dashboard</t>
        </is>
      </c>
      <c r="G25" s="15" t="inlineStr">
        <is>
          <t>Chỉ tiêu phái sinh</t>
        </is>
      </c>
      <c r="H25" s="386" t="inlineStr">
        <is>
          <t>TB</t>
        </is>
      </c>
      <c r="I25" s="386" t="inlineStr">
        <is>
          <t>Mã người hành nghề</t>
        </is>
      </c>
      <c r="J25" s="386" t="inlineStr">
        <is>
          <t>NHNCK</t>
        </is>
      </c>
      <c r="K25" s="35" t="inlineStr">
        <is>
          <t>x</t>
        </is>
      </c>
      <c r="L25" s="35" t="inlineStr">
        <is>
          <t>x</t>
        </is>
      </c>
      <c r="M25" s="386" t="n"/>
      <c r="N25" s="386" t="inlineStr">
        <is>
          <t>Done</t>
        </is>
      </c>
      <c r="O25" s="386" t="n"/>
      <c r="P25" s="386" t="inlineStr">
        <is>
          <t>PROFESSIONALS</t>
        </is>
      </c>
      <c r="Q25" s="386" t="inlineStr">
        <is>
          <t>Select count distinct Professionals.IdentityId
From Professionals
Where Professionals.CountryId = 'VN"
and Tuổi &gt;=31 and Tuổi &lt;=40</t>
        </is>
      </c>
      <c r="R25" s="386" t="n"/>
      <c r="S25" s="386" t="n"/>
      <c r="T25" s="386" t="n"/>
      <c r="U25" s="386" t="n"/>
      <c r="V25" s="386" t="n"/>
      <c r="W25" s="386" t="n"/>
      <c r="X25" s="13" t="inlineStr">
        <is>
          <t>Done</t>
        </is>
      </c>
      <c r="Y25" s="386" t="n"/>
      <c r="Z25" s="386" t="n"/>
      <c r="AA25" s="386" t="n"/>
      <c r="AB25" s="386" t="n"/>
      <c r="AC25" s="386" t="n"/>
      <c r="AD25" s="386" t="n"/>
    </row>
    <row r="26" ht="84" customHeight="1" s="380">
      <c r="A26" s="386" t="n"/>
      <c r="B26" s="386" t="n"/>
      <c r="C26" s="386" t="inlineStr">
        <is>
          <t xml:space="preserve">Dashboard tổng quan của Người hành nghề chứng khoán toàn thị trường/Biểu đồ Phân bổ độ tuổi
</t>
        </is>
      </c>
      <c r="D26" s="386" t="inlineStr">
        <is>
          <t>Số lượng NHN có độ tuổi 41–50 quốc tịch VN</t>
        </is>
      </c>
      <c r="E26" s="12" t="inlineStr">
        <is>
          <t>Số lượng NHN có độ tuổi 22–30 quốc tịch VN</t>
        </is>
      </c>
      <c r="F26" s="386" t="inlineStr">
        <is>
          <t>Dashboard</t>
        </is>
      </c>
      <c r="G26" s="15" t="inlineStr">
        <is>
          <t>Chỉ tiêu phái sinh</t>
        </is>
      </c>
      <c r="H26" s="386" t="inlineStr">
        <is>
          <t>TB</t>
        </is>
      </c>
      <c r="I26" s="386" t="inlineStr">
        <is>
          <t>Mã người hành nghề</t>
        </is>
      </c>
      <c r="J26" s="386" t="inlineStr">
        <is>
          <t>NHNCK</t>
        </is>
      </c>
      <c r="K26" s="35" t="inlineStr">
        <is>
          <t>x</t>
        </is>
      </c>
      <c r="L26" s="35" t="inlineStr">
        <is>
          <t>x</t>
        </is>
      </c>
      <c r="M26" s="386" t="n"/>
      <c r="N26" s="386" t="inlineStr">
        <is>
          <t>Done</t>
        </is>
      </c>
      <c r="O26" s="386" t="n"/>
      <c r="P26" s="386" t="inlineStr">
        <is>
          <t>PROFESSIONALS</t>
        </is>
      </c>
      <c r="Q26" s="386" t="inlineStr">
        <is>
          <t>Select count distinct Professionals.IdentityId
From Professionals
Where Professionals.CountryId = 'VN"
and Tuổi &gt;=41 and Tuổi &lt;=50</t>
        </is>
      </c>
      <c r="R26" s="386" t="n"/>
      <c r="S26" s="386" t="n"/>
      <c r="T26" s="386" t="n"/>
      <c r="U26" s="386" t="n"/>
      <c r="V26" s="386" t="n"/>
      <c r="W26" s="386" t="n"/>
      <c r="X26" s="13" t="inlineStr">
        <is>
          <t>Done</t>
        </is>
      </c>
      <c r="Y26" s="386" t="n"/>
      <c r="Z26" s="386" t="n"/>
      <c r="AA26" s="386" t="n"/>
      <c r="AB26" s="386" t="n"/>
      <c r="AC26" s="386" t="n"/>
      <c r="AD26" s="386" t="n"/>
    </row>
    <row r="27" ht="84" customHeight="1" s="380">
      <c r="A27" s="386" t="n"/>
      <c r="B27" s="386" t="n"/>
      <c r="C27" s="386" t="inlineStr">
        <is>
          <t xml:space="preserve">Dashboard tổng quan của Người hành nghề chứng khoán toàn thị trường/Biểu đồ Phân bổ độ tuổi
</t>
        </is>
      </c>
      <c r="D27" s="386" t="inlineStr">
        <is>
          <t>Số lượng NHN có độ tuổi 50+ quốc tịch VN</t>
        </is>
      </c>
      <c r="E27" s="12" t="inlineStr">
        <is>
          <t>Số lượng NHN có độ tuổi 31–40 quốc tịch VN</t>
        </is>
      </c>
      <c r="F27" s="386" t="inlineStr">
        <is>
          <t>Dashboard</t>
        </is>
      </c>
      <c r="G27" s="15" t="inlineStr">
        <is>
          <t>Chỉ tiêu phái sinh</t>
        </is>
      </c>
      <c r="H27" s="386" t="inlineStr">
        <is>
          <t>TB</t>
        </is>
      </c>
      <c r="I27" s="386" t="inlineStr">
        <is>
          <t>Mã người hành nghề</t>
        </is>
      </c>
      <c r="J27" s="386" t="inlineStr">
        <is>
          <t>NHNCK</t>
        </is>
      </c>
      <c r="K27" s="35" t="inlineStr">
        <is>
          <t>x</t>
        </is>
      </c>
      <c r="L27" s="35" t="inlineStr">
        <is>
          <t>x</t>
        </is>
      </c>
      <c r="M27" s="386" t="n"/>
      <c r="N27" s="386" t="inlineStr">
        <is>
          <t>Done</t>
        </is>
      </c>
      <c r="O27" s="386" t="n"/>
      <c r="P27" s="386" t="inlineStr">
        <is>
          <t>PROFESSIONALS</t>
        </is>
      </c>
      <c r="Q27" s="386" t="inlineStr">
        <is>
          <t>Select count distinct Professionals.IdentityId
From Professionals
Where Professionals.CountryId = 'VN"
and Tuổi &gt;50</t>
        </is>
      </c>
      <c r="R27" s="386" t="n"/>
      <c r="S27" s="386" t="n"/>
      <c r="T27" s="386" t="n"/>
      <c r="U27" s="386" t="n"/>
      <c r="V27" s="386" t="n"/>
      <c r="W27" s="386" t="n"/>
      <c r="X27" s="13" t="inlineStr">
        <is>
          <t>Done</t>
        </is>
      </c>
      <c r="Y27" s="386" t="n"/>
      <c r="Z27" s="386" t="n"/>
      <c r="AA27" s="386" t="n"/>
      <c r="AB27" s="386" t="n"/>
      <c r="AC27" s="386" t="n"/>
      <c r="AD27" s="386" t="n"/>
    </row>
    <row r="28" ht="84" customHeight="1" s="380">
      <c r="A28" s="386" t="n"/>
      <c r="B28" s="386" t="n"/>
      <c r="C28" s="386" t="inlineStr">
        <is>
          <t xml:space="preserve">Dashboard tổng quan của Người hành nghề chứng khoán toàn thị trường/Biểu đồ Phân bổ độ tuổi
</t>
        </is>
      </c>
      <c r="D28" s="386" t="inlineStr">
        <is>
          <t>Số lượng NHN có độ tuổi 18–21 quốc tịch nước ngoài</t>
        </is>
      </c>
      <c r="E28" s="12" t="inlineStr">
        <is>
          <t>Số lượng NHN có độ tuổi 41–50 quốc tịch VN</t>
        </is>
      </c>
      <c r="F28" s="386" t="inlineStr">
        <is>
          <t>Dashboard</t>
        </is>
      </c>
      <c r="G28" s="15" t="inlineStr">
        <is>
          <t>Chỉ tiêu phái sinh</t>
        </is>
      </c>
      <c r="H28" s="386" t="inlineStr">
        <is>
          <t>TB</t>
        </is>
      </c>
      <c r="I28" s="386" t="inlineStr">
        <is>
          <t>Mã người hành nghề</t>
        </is>
      </c>
      <c r="J28" s="386" t="inlineStr">
        <is>
          <t>NHNCK</t>
        </is>
      </c>
      <c r="K28" s="35" t="inlineStr">
        <is>
          <t>x</t>
        </is>
      </c>
      <c r="L28" s="35" t="inlineStr">
        <is>
          <t>x</t>
        </is>
      </c>
      <c r="M28" s="386" t="n"/>
      <c r="N28" s="386" t="inlineStr">
        <is>
          <t>Done</t>
        </is>
      </c>
      <c r="O28" s="386" t="n"/>
      <c r="P28" s="386" t="inlineStr">
        <is>
          <t>PROFESSIONALS</t>
        </is>
      </c>
      <c r="Q28" s="386" t="inlineStr">
        <is>
          <t>Select count distinct Professionals.IdentityId
From Professionals
Where Professionals.CountryId = 'VN"
and Tuổi &gt;=18 and Tuổi &lt;=21</t>
        </is>
      </c>
      <c r="R28" s="386" t="n"/>
      <c r="S28" s="386" t="n"/>
      <c r="T28" s="386" t="n"/>
      <c r="U28" s="386" t="n"/>
      <c r="V28" s="386" t="n"/>
      <c r="W28" s="386" t="n"/>
      <c r="X28" s="13" t="inlineStr">
        <is>
          <t>Done</t>
        </is>
      </c>
      <c r="Y28" s="386" t="n"/>
      <c r="Z28" s="386" t="n"/>
      <c r="AA28" s="386" t="n"/>
      <c r="AB28" s="386" t="n"/>
      <c r="AC28" s="386" t="n"/>
      <c r="AD28" s="386" t="n"/>
    </row>
    <row r="29" ht="84" customHeight="1" s="380">
      <c r="A29" s="386" t="n"/>
      <c r="B29" s="386" t="n"/>
      <c r="C29" s="386" t="inlineStr">
        <is>
          <t xml:space="preserve">Dashboard tổng quan của Người hành nghề chứng khoán toàn thị trường/Biểu đồ Phân bổ độ tuổi
</t>
        </is>
      </c>
      <c r="D29" s="386" t="inlineStr">
        <is>
          <t>Số lượng NHN có độ tuổi 22–30 quốc tịch nước ngoài</t>
        </is>
      </c>
      <c r="E29" s="12" t="inlineStr">
        <is>
          <t>Số lượng NHN có độ tuổi 50+ quốc tịch VN</t>
        </is>
      </c>
      <c r="F29" s="386" t="inlineStr">
        <is>
          <t>Dashboard</t>
        </is>
      </c>
      <c r="G29" s="15" t="inlineStr">
        <is>
          <t>Chỉ tiêu phái sinh</t>
        </is>
      </c>
      <c r="H29" s="386" t="inlineStr">
        <is>
          <t>TB</t>
        </is>
      </c>
      <c r="I29" s="386" t="inlineStr">
        <is>
          <t>Mã người hành nghề</t>
        </is>
      </c>
      <c r="J29" s="386" t="inlineStr">
        <is>
          <t>NHNCK</t>
        </is>
      </c>
      <c r="K29" s="35" t="inlineStr">
        <is>
          <t>x</t>
        </is>
      </c>
      <c r="L29" s="35" t="inlineStr">
        <is>
          <t>x</t>
        </is>
      </c>
      <c r="M29" s="386" t="n"/>
      <c r="N29" s="386" t="inlineStr">
        <is>
          <t>Done</t>
        </is>
      </c>
      <c r="O29" s="386" t="n"/>
      <c r="P29" s="386" t="inlineStr">
        <is>
          <t>PROFESSIONALS</t>
        </is>
      </c>
      <c r="Q29" s="386" t="inlineStr">
        <is>
          <t>Select count distinct Professionals.IdentityId
From Professionals
Where Professionals.CountryId &lt;&gt; 'VN"
and Tuổi &gt;=22 and Tuổi &lt;=30</t>
        </is>
      </c>
      <c r="R29" s="386" t="n"/>
      <c r="S29" s="386" t="n"/>
      <c r="T29" s="386" t="n"/>
      <c r="U29" s="386" t="n"/>
      <c r="V29" s="386" t="n"/>
      <c r="W29" s="386" t="n"/>
      <c r="X29" s="13" t="inlineStr">
        <is>
          <t>Done</t>
        </is>
      </c>
      <c r="Y29" s="386" t="n"/>
      <c r="Z29" s="386" t="n"/>
      <c r="AA29" s="386" t="n"/>
      <c r="AB29" s="386" t="n"/>
      <c r="AC29" s="386" t="n"/>
      <c r="AD29" s="386" t="n"/>
    </row>
    <row r="30" ht="84" customHeight="1" s="380">
      <c r="A30" s="386" t="n"/>
      <c r="B30" s="386" t="n"/>
      <c r="C30" s="386" t="inlineStr">
        <is>
          <t xml:space="preserve">Dashboard tổng quan của Người hành nghề chứng khoán toàn thị trường/Biểu đồ Phân bổ độ tuổi
</t>
        </is>
      </c>
      <c r="D30" s="386" t="inlineStr">
        <is>
          <t>Số lượng NHN có độ tuổi 31–40 quốc tịch nước ngoài</t>
        </is>
      </c>
      <c r="E30" s="12" t="inlineStr">
        <is>
          <t>Số lượng NHN có độ tuổi 18–21 quốc tịch nước ngoài</t>
        </is>
      </c>
      <c r="F30" s="386" t="inlineStr">
        <is>
          <t>Dashboard</t>
        </is>
      </c>
      <c r="G30" s="15" t="inlineStr">
        <is>
          <t>Chỉ tiêu phái sinh</t>
        </is>
      </c>
      <c r="H30" s="386" t="inlineStr">
        <is>
          <t>TB</t>
        </is>
      </c>
      <c r="I30" s="386" t="inlineStr">
        <is>
          <t>Mã người hành nghề</t>
        </is>
      </c>
      <c r="J30" s="386" t="inlineStr">
        <is>
          <t>NHNCK</t>
        </is>
      </c>
      <c r="K30" s="35" t="inlineStr">
        <is>
          <t>x</t>
        </is>
      </c>
      <c r="L30" s="35" t="inlineStr">
        <is>
          <t>x</t>
        </is>
      </c>
      <c r="M30" s="386" t="n"/>
      <c r="N30" s="386" t="inlineStr">
        <is>
          <t>Done</t>
        </is>
      </c>
      <c r="O30" s="386" t="n"/>
      <c r="P30" s="386" t="inlineStr">
        <is>
          <t>PROFESSIONALS</t>
        </is>
      </c>
      <c r="Q30" s="386" t="inlineStr">
        <is>
          <t>Select count distinct Professionals.IdentityId
From Professionals
Where Professionals.CountryId &lt;&gt;'VN"
and Tuổi &gt;=31 and Tuổi &lt;=40</t>
        </is>
      </c>
      <c r="R30" s="386" t="n"/>
      <c r="S30" s="386" t="n"/>
      <c r="T30" s="386" t="n"/>
      <c r="U30" s="386" t="n"/>
      <c r="V30" s="386" t="n"/>
      <c r="W30" s="386" t="n"/>
      <c r="X30" s="13" t="inlineStr">
        <is>
          <t>Done</t>
        </is>
      </c>
      <c r="Y30" s="386" t="n"/>
      <c r="Z30" s="386" t="n"/>
      <c r="AA30" s="386" t="n"/>
      <c r="AB30" s="386" t="n"/>
      <c r="AC30" s="386" t="n"/>
      <c r="AD30" s="386" t="n"/>
    </row>
    <row r="31" ht="84" customHeight="1" s="380">
      <c r="A31" s="386" t="n"/>
      <c r="B31" s="386" t="n"/>
      <c r="C31" s="386" t="inlineStr">
        <is>
          <t xml:space="preserve">Dashboard tổng quan của Người hành nghề chứng khoán toàn thị trường/Biểu đồ Phân bổ độ tuổi
</t>
        </is>
      </c>
      <c r="D31" s="386" t="inlineStr">
        <is>
          <t>Số lượng NHN có độ tuổi 41–50 quốc tịch nước ngoài</t>
        </is>
      </c>
      <c r="E31" s="12" t="inlineStr">
        <is>
          <t>Số lượng NHN có độ tuổi 22–30 quốc tịch nước ngoài</t>
        </is>
      </c>
      <c r="F31" s="386" t="inlineStr">
        <is>
          <t>Dashboard</t>
        </is>
      </c>
      <c r="G31" s="15" t="inlineStr">
        <is>
          <t>Chỉ tiêu phái sinh</t>
        </is>
      </c>
      <c r="H31" s="386" t="inlineStr">
        <is>
          <t>TB</t>
        </is>
      </c>
      <c r="I31" s="386" t="inlineStr">
        <is>
          <t>Mã người hành nghề</t>
        </is>
      </c>
      <c r="J31" s="386" t="inlineStr">
        <is>
          <t>NHNCK</t>
        </is>
      </c>
      <c r="K31" s="35" t="inlineStr">
        <is>
          <t>x</t>
        </is>
      </c>
      <c r="L31" s="35" t="inlineStr">
        <is>
          <t>x</t>
        </is>
      </c>
      <c r="M31" s="386" t="n"/>
      <c r="N31" s="386" t="inlineStr">
        <is>
          <t>Done</t>
        </is>
      </c>
      <c r="O31" s="386" t="n"/>
      <c r="P31" s="386" t="inlineStr">
        <is>
          <t>PROFESSIONALS</t>
        </is>
      </c>
      <c r="Q31" s="386" t="inlineStr">
        <is>
          <t>Select count distinct Professionals.IdentityId
From Professionals
Where Professionals.CountryId &lt;&gt; 'VN"
and Tuổi &gt;=41 and Tuổi &lt;=50</t>
        </is>
      </c>
      <c r="R31" s="386" t="n"/>
      <c r="S31" s="386" t="n"/>
      <c r="T31" s="386" t="n"/>
      <c r="U31" s="386" t="n"/>
      <c r="V31" s="386" t="n"/>
      <c r="W31" s="386" t="n"/>
      <c r="X31" s="38" t="inlineStr">
        <is>
          <t>Done</t>
        </is>
      </c>
      <c r="Y31" s="386" t="n"/>
      <c r="Z31" s="386" t="n"/>
      <c r="AA31" s="386" t="n"/>
      <c r="AB31" s="386" t="n"/>
      <c r="AC31" s="386" t="n"/>
      <c r="AD31" s="386" t="n"/>
    </row>
    <row r="32" ht="84" customHeight="1" s="380">
      <c r="A32" s="386" t="n"/>
      <c r="B32" s="386" t="n"/>
      <c r="C32" s="386" t="inlineStr">
        <is>
          <t xml:space="preserve">Dashboard tổng quan của Người hành nghề chứng khoán toàn thị trường/Biểu đồ Phân bổ độ tuổi
</t>
        </is>
      </c>
      <c r="D32" s="386" t="inlineStr">
        <is>
          <t>Số lượng NHN có độ tuổi 50+ quốc tịch nước ngoài</t>
        </is>
      </c>
      <c r="E32" s="12" t="inlineStr">
        <is>
          <t>Số lượng NHN có độ tuổi 31–40 quốc tịch nước ngoài</t>
        </is>
      </c>
      <c r="F32" s="386" t="inlineStr">
        <is>
          <t>Dashboard</t>
        </is>
      </c>
      <c r="G32" s="15" t="inlineStr">
        <is>
          <t>Chỉ tiêu phái sinh</t>
        </is>
      </c>
      <c r="H32" s="386" t="inlineStr">
        <is>
          <t>TB</t>
        </is>
      </c>
      <c r="I32" s="386" t="inlineStr">
        <is>
          <t>Mã người hành nghề</t>
        </is>
      </c>
      <c r="J32" s="386" t="inlineStr">
        <is>
          <t>NHNCK</t>
        </is>
      </c>
      <c r="K32" s="35" t="inlineStr">
        <is>
          <t>x</t>
        </is>
      </c>
      <c r="L32" s="35" t="inlineStr">
        <is>
          <t>x</t>
        </is>
      </c>
      <c r="M32" s="386" t="n"/>
      <c r="N32" s="386" t="inlineStr">
        <is>
          <t>Done</t>
        </is>
      </c>
      <c r="O32" s="386" t="n"/>
      <c r="P32" s="386" t="inlineStr">
        <is>
          <t>PROFESSIONALS</t>
        </is>
      </c>
      <c r="Q32" s="386" t="inlineStr">
        <is>
          <t>Select count distinct Professionals.IdentityId
From Professionals
Where Professionals.CountryId &lt;&gt; 'VN"
and Tuổi &gt;50</t>
        </is>
      </c>
      <c r="R32" s="386" t="n"/>
      <c r="S32" s="386" t="n"/>
      <c r="T32" s="386" t="n"/>
      <c r="U32" s="386" t="n"/>
      <c r="V32" s="386" t="n"/>
      <c r="W32" s="386" t="n"/>
      <c r="X32" s="13" t="inlineStr">
        <is>
          <t>Done</t>
        </is>
      </c>
      <c r="Y32" s="386" t="n"/>
      <c r="Z32" s="386" t="n"/>
      <c r="AA32" s="386" t="n"/>
      <c r="AB32" s="386" t="n"/>
      <c r="AC32" s="386" t="n"/>
      <c r="AD32" s="386" t="n"/>
    </row>
    <row r="33" ht="28" customHeight="1" s="380">
      <c r="A33" s="386" t="n"/>
      <c r="B33" s="386" t="n"/>
      <c r="C33" s="386" t="inlineStr">
        <is>
          <t>Dashboard Tra cứu hồ sơ 360</t>
        </is>
      </c>
      <c r="D33" s="386" t="inlineStr">
        <is>
          <t>Họ tên</t>
        </is>
      </c>
      <c r="E33" s="12" t="inlineStr">
        <is>
          <t>Họ tên của NHNCK</t>
        </is>
      </c>
      <c r="F33" s="386" t="inlineStr">
        <is>
          <t>Dashboard</t>
        </is>
      </c>
      <c r="G33" s="15" t="inlineStr">
        <is>
          <t>Chỉ tiêu cơ sở</t>
        </is>
      </c>
      <c r="H33" s="386" t="inlineStr">
        <is>
          <t>Dễ</t>
        </is>
      </c>
      <c r="I33" s="386" t="inlineStr">
        <is>
          <t>Mã người hành nghề</t>
        </is>
      </c>
      <c r="J33" s="386" t="inlineStr">
        <is>
          <t>NHNCK</t>
        </is>
      </c>
      <c r="K33" s="35" t="inlineStr">
        <is>
          <t>x</t>
        </is>
      </c>
      <c r="L33" s="35" t="inlineStr">
        <is>
          <t>x</t>
        </is>
      </c>
      <c r="M33" s="386" t="n"/>
      <c r="N33" s="386" t="inlineStr">
        <is>
          <t>Done</t>
        </is>
      </c>
      <c r="O33" s="386" t="n"/>
      <c r="P33" s="386" t="inlineStr">
        <is>
          <t>ORGANIZATION_REPORTS, PROFESSIONALS</t>
        </is>
      </c>
      <c r="Q33" s="386" t="inlineStr">
        <is>
          <t>Professionals.FullName
/ OrganizationReports.FullName</t>
        </is>
      </c>
      <c r="R33" s="386" t="n"/>
      <c r="S33" s="386" t="n"/>
      <c r="T33" s="386" t="n"/>
      <c r="U33" s="386" t="n"/>
      <c r="V33" s="386" t="n"/>
      <c r="W33" s="386" t="n"/>
      <c r="X33" s="13" t="inlineStr">
        <is>
          <t>Done</t>
        </is>
      </c>
      <c r="Y33" s="386" t="n"/>
      <c r="Z33" s="386" t="n"/>
      <c r="AA33" s="386" t="n"/>
      <c r="AB33" s="386" t="n"/>
      <c r="AC33" s="386" t="n"/>
      <c r="AD33" s="386" t="n"/>
    </row>
    <row r="34" ht="28" customHeight="1" s="380">
      <c r="A34" s="386" t="n"/>
      <c r="B34" s="386" t="n"/>
      <c r="C34" s="386" t="inlineStr">
        <is>
          <t>Dashboard Tra cứu hồ sơ 360</t>
        </is>
      </c>
      <c r="D34" s="386" t="inlineStr">
        <is>
          <t>Ngày sinh</t>
        </is>
      </c>
      <c r="E34" s="12" t="inlineStr">
        <is>
          <t>Ngày sinh của NHNCK</t>
        </is>
      </c>
      <c r="F34" s="386" t="inlineStr">
        <is>
          <t>Dashboard</t>
        </is>
      </c>
      <c r="G34" s="15" t="inlineStr">
        <is>
          <t>Chỉ tiêu cơ sở</t>
        </is>
      </c>
      <c r="H34" s="386" t="inlineStr">
        <is>
          <t>Dễ</t>
        </is>
      </c>
      <c r="I34" s="386" t="inlineStr">
        <is>
          <t>Mã người hành nghề</t>
        </is>
      </c>
      <c r="J34" s="386" t="inlineStr">
        <is>
          <t>NHNCK</t>
        </is>
      </c>
      <c r="K34" s="35" t="inlineStr">
        <is>
          <t>x</t>
        </is>
      </c>
      <c r="L34" s="35" t="inlineStr">
        <is>
          <t>x</t>
        </is>
      </c>
      <c r="M34" s="386" t="n"/>
      <c r="N34" s="386" t="inlineStr">
        <is>
          <t>Done</t>
        </is>
      </c>
      <c r="O34" s="386" t="n"/>
      <c r="P34" s="386" t="inlineStr">
        <is>
          <t>ORGANIZATION_REPORTS</t>
        </is>
      </c>
      <c r="Q34" s="386" t="inlineStr">
        <is>
          <t>OrganizationReports.BirthDate</t>
        </is>
      </c>
      <c r="R34" s="386" t="n"/>
      <c r="S34" s="386" t="n"/>
      <c r="T34" s="386" t="n"/>
      <c r="U34" s="386" t="n"/>
      <c r="V34" s="386" t="n"/>
      <c r="W34" s="386" t="n"/>
      <c r="X34" s="13" t="inlineStr">
        <is>
          <t>Done</t>
        </is>
      </c>
      <c r="Y34" s="386" t="n"/>
      <c r="Z34" s="386" t="n"/>
      <c r="AA34" s="386" t="n"/>
      <c r="AB34" s="386" t="n"/>
      <c r="AC34" s="386" t="n"/>
      <c r="AD34" s="386" t="n"/>
    </row>
    <row r="35" ht="28" customHeight="1" s="380">
      <c r="A35" s="386" t="n"/>
      <c r="B35" s="386" t="n"/>
      <c r="C35" s="386" t="inlineStr">
        <is>
          <t>Dashboard Tra cứu hồ sơ 360</t>
        </is>
      </c>
      <c r="D35" s="386" t="inlineStr">
        <is>
          <t>Tuổi</t>
        </is>
      </c>
      <c r="E35" s="12" t="inlineStr">
        <is>
          <t>Tuổi của NHNCK</t>
        </is>
      </c>
      <c r="F35" s="386" t="inlineStr">
        <is>
          <t>Dashboard</t>
        </is>
      </c>
      <c r="G35" s="15" t="inlineStr">
        <is>
          <t>Chỉ tiêu phái sinh</t>
        </is>
      </c>
      <c r="H35" s="386" t="inlineStr">
        <is>
          <t>Dễ</t>
        </is>
      </c>
      <c r="I35" s="386" t="inlineStr">
        <is>
          <t>Mã người hành nghề</t>
        </is>
      </c>
      <c r="J35" s="386" t="inlineStr">
        <is>
          <t>NHNCK</t>
        </is>
      </c>
      <c r="K35" s="35" t="inlineStr">
        <is>
          <t>x</t>
        </is>
      </c>
      <c r="L35" s="35" t="inlineStr">
        <is>
          <t>x</t>
        </is>
      </c>
      <c r="M35" s="386" t="n"/>
      <c r="N35" s="386" t="inlineStr">
        <is>
          <t>Done</t>
        </is>
      </c>
      <c r="O35" s="386" t="n"/>
      <c r="P35" s="39" t="inlineStr">
        <is>
          <t>PROFESSIONALS</t>
        </is>
      </c>
      <c r="Q35" s="39" t="inlineStr">
        <is>
          <t>Hệ thống tự tính</t>
        </is>
      </c>
      <c r="R35" s="386" t="n"/>
      <c r="S35" s="386" t="n"/>
      <c r="T35" s="386" t="n"/>
      <c r="U35" s="386" t="n"/>
      <c r="V35" s="386" t="n"/>
      <c r="W35" s="386" t="n"/>
      <c r="X35" s="13" t="inlineStr">
        <is>
          <t>Done</t>
        </is>
      </c>
      <c r="Y35" s="386" t="n"/>
      <c r="Z35" s="386" t="n"/>
      <c r="AA35" s="386" t="n"/>
      <c r="AB35" s="386" t="n"/>
      <c r="AC35" s="386" t="n"/>
      <c r="AD35" s="386" t="n"/>
    </row>
    <row r="36" ht="28" customHeight="1" s="380">
      <c r="A36" s="386" t="n"/>
      <c r="B36" s="386" t="n"/>
      <c r="C36" s="386" t="inlineStr">
        <is>
          <t>Dashboard Tra cứu hồ sơ 360</t>
        </is>
      </c>
      <c r="D36" s="386" t="inlineStr">
        <is>
          <t>Quốc tịch</t>
        </is>
      </c>
      <c r="E36" s="12" t="inlineStr">
        <is>
          <t>Quốc tịch của NHNCK</t>
        </is>
      </c>
      <c r="F36" s="386" t="inlineStr">
        <is>
          <t>Dashboard</t>
        </is>
      </c>
      <c r="G36" s="15" t="inlineStr">
        <is>
          <t>Chỉ tiêu cơ sở</t>
        </is>
      </c>
      <c r="H36" s="386" t="inlineStr">
        <is>
          <t>Dễ</t>
        </is>
      </c>
      <c r="I36" s="386" t="inlineStr">
        <is>
          <t>Mã người hành nghề</t>
        </is>
      </c>
      <c r="J36" s="386" t="inlineStr">
        <is>
          <t>NHNCK</t>
        </is>
      </c>
      <c r="K36" s="35" t="inlineStr">
        <is>
          <t>x</t>
        </is>
      </c>
      <c r="L36" s="35" t="inlineStr">
        <is>
          <t>x</t>
        </is>
      </c>
      <c r="M36" s="386" t="n"/>
      <c r="N36" s="386" t="inlineStr">
        <is>
          <t>Done</t>
        </is>
      </c>
      <c r="O36" s="386" t="n"/>
      <c r="P36" s="386" t="inlineStr">
        <is>
          <t>PROFESSIONALS</t>
        </is>
      </c>
      <c r="Q36" s="386" t="inlineStr">
        <is>
          <t>Professionals.CountryId</t>
        </is>
      </c>
      <c r="R36" s="386" t="n"/>
      <c r="S36" s="386" t="n"/>
      <c r="T36" s="386" t="n"/>
      <c r="U36" s="386" t="n"/>
      <c r="V36" s="386" t="n"/>
      <c r="W36" s="386" t="n"/>
      <c r="X36" s="13" t="inlineStr">
        <is>
          <t>Done</t>
        </is>
      </c>
      <c r="Y36" s="386" t="n"/>
      <c r="Z36" s="386" t="n"/>
      <c r="AA36" s="386" t="n"/>
      <c r="AB36" s="386" t="n"/>
      <c r="AC36" s="386" t="n"/>
      <c r="AD36" s="386" t="n"/>
    </row>
    <row r="37" ht="28" customHeight="1" s="380">
      <c r="A37" s="386" t="n"/>
      <c r="B37" s="386" t="n"/>
      <c r="C37" s="386" t="inlineStr">
        <is>
          <t>Dashboard Tra cứu hồ sơ 360</t>
        </is>
      </c>
      <c r="D37" s="386" t="inlineStr">
        <is>
          <t>Số định danh cá nhân/ Số hộ chiếu</t>
        </is>
      </c>
      <c r="E37" s="12" t="inlineStr">
        <is>
          <t>Số định danh cá nhân hoặc số hộ chiếu</t>
        </is>
      </c>
      <c r="F37" s="386" t="inlineStr">
        <is>
          <t>Dashboard</t>
        </is>
      </c>
      <c r="G37" s="15" t="inlineStr">
        <is>
          <t>Chỉ tiêu cơ sở</t>
        </is>
      </c>
      <c r="H37" s="386" t="inlineStr">
        <is>
          <t>Dễ</t>
        </is>
      </c>
      <c r="I37" s="386" t="inlineStr">
        <is>
          <t>Mã người hành nghề</t>
        </is>
      </c>
      <c r="J37" s="386" t="inlineStr">
        <is>
          <t>NHNCK</t>
        </is>
      </c>
      <c r="K37" s="35" t="inlineStr">
        <is>
          <t>x</t>
        </is>
      </c>
      <c r="L37" s="35" t="inlineStr">
        <is>
          <t>x</t>
        </is>
      </c>
      <c r="M37" s="386" t="n"/>
      <c r="N37" s="386" t="inlineStr">
        <is>
          <t>Done</t>
        </is>
      </c>
      <c r="O37" s="386" t="n"/>
      <c r="P37" s="386" t="inlineStr">
        <is>
          <t>PROFESSIONALS</t>
        </is>
      </c>
      <c r="Q37" s="386" t="inlineStr">
        <is>
          <t>Professionals.IdentityId</t>
        </is>
      </c>
      <c r="R37" s="386" t="n"/>
      <c r="S37" s="386" t="n"/>
      <c r="T37" s="386" t="n"/>
      <c r="U37" s="386" t="n"/>
      <c r="V37" s="386" t="n"/>
      <c r="W37" s="386" t="n"/>
      <c r="X37" s="14" t="inlineStr">
        <is>
          <t>Done</t>
        </is>
      </c>
      <c r="Y37" s="386" t="n"/>
      <c r="Z37" s="386" t="n"/>
      <c r="AA37" s="386" t="n"/>
      <c r="AB37" s="386" t="n"/>
      <c r="AC37" s="386" t="n"/>
      <c r="AD37" s="386" t="n"/>
    </row>
    <row r="38" ht="56" customHeight="1" s="380">
      <c r="A38" s="386" t="n"/>
      <c r="B38" s="386" t="n"/>
      <c r="C38" s="386" t="inlineStr">
        <is>
          <t>Dashboard Tra cứu hồ sơ 360</t>
        </is>
      </c>
      <c r="D38" s="20" t="inlineStr">
        <is>
          <t>Nơi công tác hiện tại</t>
        </is>
      </c>
      <c r="E38" s="20" t="inlineStr">
        <is>
          <t>Nơi công tác hiện tại</t>
        </is>
      </c>
      <c r="F38" s="386" t="inlineStr">
        <is>
          <t>Dashboard</t>
        </is>
      </c>
      <c r="G38" s="15" t="inlineStr">
        <is>
          <t>Chỉ tiêu cơ sở</t>
        </is>
      </c>
      <c r="H38" s="386" t="inlineStr">
        <is>
          <t>Dễ</t>
        </is>
      </c>
      <c r="I38" s="386" t="inlineStr">
        <is>
          <t>Mã người hành nghề</t>
        </is>
      </c>
      <c r="J38" s="386" t="inlineStr">
        <is>
          <t>NHNCK</t>
        </is>
      </c>
      <c r="K38" s="35" t="inlineStr">
        <is>
          <t>x</t>
        </is>
      </c>
      <c r="L38" s="35" t="inlineStr">
        <is>
          <t>x</t>
        </is>
      </c>
      <c r="M38" s="386" t="n"/>
      <c r="N38" s="386" t="inlineStr">
        <is>
          <t>Done</t>
        </is>
      </c>
      <c r="O38" s="386" t="n"/>
      <c r="P38" s="386" t="inlineStr">
        <is>
          <t>ORGANIZATIONS, PROFESSIONALS</t>
        </is>
      </c>
      <c r="Q38" s="386" t="inlineStr">
        <is>
          <t>Professionals.Workplace
hoặc
Organizations.OrganizationCode
Organizations.OrganizationName</t>
        </is>
      </c>
      <c r="R38" s="386" t="n"/>
      <c r="S38" s="386" t="n"/>
      <c r="T38" s="386" t="n"/>
      <c r="U38" s="386" t="n"/>
      <c r="V38" s="386" t="n"/>
      <c r="W38" s="386" t="n"/>
      <c r="X38" s="13" t="inlineStr">
        <is>
          <t>Done</t>
        </is>
      </c>
      <c r="Y38" s="386" t="n"/>
      <c r="Z38" s="386" t="n"/>
      <c r="AA38" s="386" t="n"/>
      <c r="AB38" s="386" t="n"/>
      <c r="AC38" s="386" t="n"/>
      <c r="AD38" s="386" t="n"/>
    </row>
    <row r="39" ht="28" customHeight="1" s="380">
      <c r="A39" s="386" t="n"/>
      <c r="B39" s="386" t="n"/>
      <c r="C39" s="386" t="inlineStr">
        <is>
          <t>Dashboard Tra cứu hồ sơ 360</t>
        </is>
      </c>
      <c r="D39" s="20" t="inlineStr">
        <is>
          <t>Loại CCHN</t>
        </is>
      </c>
      <c r="E39" s="20" t="inlineStr">
        <is>
          <t>Loại CCHN</t>
        </is>
      </c>
      <c r="F39" s="386" t="inlineStr">
        <is>
          <t>Dashboard</t>
        </is>
      </c>
      <c r="G39" s="15" t="inlineStr">
        <is>
          <t>Chỉ tiêu cơ sở</t>
        </is>
      </c>
      <c r="H39" s="386" t="inlineStr">
        <is>
          <t>Dễ</t>
        </is>
      </c>
      <c r="I39" s="386" t="inlineStr">
        <is>
          <t>Mã người hành nghề</t>
        </is>
      </c>
      <c r="J39" s="386" t="inlineStr">
        <is>
          <t>NHNCK</t>
        </is>
      </c>
      <c r="K39" s="35" t="inlineStr">
        <is>
          <t>x</t>
        </is>
      </c>
      <c r="L39" s="35" t="inlineStr">
        <is>
          <t>x</t>
        </is>
      </c>
      <c r="M39" s="386" t="n"/>
      <c r="N39" s="386" t="inlineStr">
        <is>
          <t>Done</t>
        </is>
      </c>
      <c r="O39" s="386" t="n"/>
      <c r="P39" s="386" t="inlineStr">
        <is>
          <t>CERTIFICATES</t>
        </is>
      </c>
      <c r="Q39" s="386" t="inlineStr">
        <is>
          <t>Certificates.CertificateCode
Certificates.CertificateName</t>
        </is>
      </c>
      <c r="R39" s="386" t="n"/>
      <c r="S39" s="386" t="n"/>
      <c r="T39" s="386" t="n"/>
      <c r="U39" s="386" t="n"/>
      <c r="V39" s="386" t="n"/>
      <c r="W39" s="386" t="n"/>
      <c r="X39" s="14" t="inlineStr">
        <is>
          <t>Done</t>
        </is>
      </c>
      <c r="Y39" s="386" t="n"/>
      <c r="Z39" s="386" t="n"/>
      <c r="AA39" s="386" t="n"/>
      <c r="AB39" s="386" t="n"/>
      <c r="AC39" s="386" t="n"/>
      <c r="AD39" s="386" t="n"/>
    </row>
    <row r="40" ht="42" customHeight="1" s="380">
      <c r="A40" s="386" t="n"/>
      <c r="B40" s="386" t="n"/>
      <c r="C40" s="386" t="inlineStr">
        <is>
          <t>Dashboard Tra cứu hồ sơ 360</t>
        </is>
      </c>
      <c r="D40" s="20" t="inlineStr">
        <is>
          <t>Trạng thái NHNCK</t>
        </is>
      </c>
      <c r="E40" s="12" t="inlineStr">
        <is>
          <t>Trạng thái NHNCK:
- Đang hành nghề
- Chưa hành nghề</t>
        </is>
      </c>
      <c r="F40" s="386" t="inlineStr">
        <is>
          <t>Dashboard</t>
        </is>
      </c>
      <c r="G40" s="15" t="inlineStr">
        <is>
          <t>Chỉ tiêu cơ sở</t>
        </is>
      </c>
      <c r="H40" s="386" t="inlineStr">
        <is>
          <t>Dễ</t>
        </is>
      </c>
      <c r="I40" s="386" t="inlineStr">
        <is>
          <t>Mã người hành nghề</t>
        </is>
      </c>
      <c r="J40" s="386" t="inlineStr">
        <is>
          <t>NHNCK</t>
        </is>
      </c>
      <c r="K40" s="35" t="inlineStr">
        <is>
          <t>x</t>
        </is>
      </c>
      <c r="L40" s="35" t="inlineStr">
        <is>
          <t>x</t>
        </is>
      </c>
      <c r="M40" s="386" t="n"/>
      <c r="N40" s="386" t="inlineStr">
        <is>
          <t>Done</t>
        </is>
      </c>
      <c r="O40" s="386" t="n"/>
      <c r="P40" s="39" t="inlineStr">
        <is>
          <t>PROFESSIONAL_HISTORIES</t>
        </is>
      </c>
      <c r="Q40" s="39" t="inlineStr">
        <is>
          <t>ProfessionalHistories.StatusWork</t>
        </is>
      </c>
      <c r="R40" s="386" t="n"/>
      <c r="S40" s="386" t="n"/>
      <c r="T40" s="386" t="n"/>
      <c r="U40" s="386" t="n"/>
      <c r="V40" s="386" t="n"/>
      <c r="W40" s="386" t="n"/>
      <c r="X40" s="13" t="inlineStr">
        <is>
          <t>Done</t>
        </is>
      </c>
      <c r="Y40" s="386" t="n"/>
      <c r="Z40" s="386" t="n"/>
      <c r="AA40" s="386" t="n"/>
      <c r="AB40" s="386" t="n"/>
      <c r="AC40" s="386" t="n"/>
      <c r="AD40" s="386" t="n"/>
    </row>
    <row r="41" ht="84" customHeight="1" s="380">
      <c r="A41" s="386" t="n"/>
      <c r="B41" s="12" t="n"/>
      <c r="C41" s="12" t="inlineStr">
        <is>
          <t>Dashboard Mạng lưới của NHNCK</t>
        </is>
      </c>
      <c r="D41" s="386" t="inlineStr">
        <is>
          <t>Đơn vị công tác</t>
        </is>
      </c>
      <c r="E41" s="12" t="inlineStr">
        <is>
          <t>Tên DN niêm yết/ đăng ký giao dịch (UPCOM) mà NHN tham gia trong bộ máy quản trị doanh nghiệp hoặc cổ đông lớn</t>
        </is>
      </c>
      <c r="F41" s="386" t="inlineStr">
        <is>
          <t>Dashboard</t>
        </is>
      </c>
      <c r="G41" s="15" t="inlineStr">
        <is>
          <t>Chỉ tiêu cơ sở</t>
        </is>
      </c>
      <c r="H41" s="386" t="inlineStr">
        <is>
          <t>Dễ</t>
        </is>
      </c>
      <c r="I41" s="386" t="inlineStr">
        <is>
          <t>Mã người hành nghề</t>
        </is>
      </c>
      <c r="J41" s="386" t="inlineStr">
        <is>
          <t>NHNCK</t>
        </is>
      </c>
      <c r="K41" s="35" t="inlineStr">
        <is>
          <t>x</t>
        </is>
      </c>
      <c r="L41" s="35" t="inlineStr">
        <is>
          <t>x</t>
        </is>
      </c>
      <c r="M41" s="386" t="n"/>
      <c r="N41" s="386" t="inlineStr">
        <is>
          <t>Done</t>
        </is>
      </c>
      <c r="O41" s="386" t="n"/>
      <c r="P41" s="39" t="inlineStr">
        <is>
          <t>ORGANIZATION_REPORTS, PROFESSIONAL_HISTORIES</t>
        </is>
      </c>
      <c r="Q41" s="39" t="inlineStr">
        <is>
          <t>ProfessionalHistories.Workplace
/ OrganizationReports.Workplace</t>
        </is>
      </c>
      <c r="R41" s="386" t="n"/>
      <c r="S41" s="386" t="n"/>
      <c r="T41" s="386" t="n"/>
      <c r="U41" s="386" t="n"/>
      <c r="V41" s="386" t="n"/>
      <c r="W41" s="386" t="n"/>
      <c r="X41" s="14" t="inlineStr">
        <is>
          <t>Done</t>
        </is>
      </c>
      <c r="Y41" s="386" t="n"/>
      <c r="Z41" s="386" t="n"/>
      <c r="AA41" s="386" t="n"/>
      <c r="AB41" s="386" t="n"/>
      <c r="AC41" s="386" t="n"/>
      <c r="AD41" s="386" t="n"/>
    </row>
    <row r="42" ht="84" customHeight="1" s="380">
      <c r="A42" s="386" t="n"/>
      <c r="B42" s="12" t="n"/>
      <c r="C42" s="12" t="inlineStr">
        <is>
          <t>Dashboard Mạng lưới của NHNCK</t>
        </is>
      </c>
      <c r="D42" s="386" t="inlineStr">
        <is>
          <t>Chức vụ, vai trò</t>
        </is>
      </c>
      <c r="E42" s="12" t="inlineStr">
        <is>
          <t>Chức vụ, vai trò trong bộ máy quản trị doanh nghiệp hoặc cổ đông lớn của DN niêm yết/ đăng ký giao dịch (UPCOM)</t>
        </is>
      </c>
      <c r="F42" s="386" t="inlineStr">
        <is>
          <t>Dashboard</t>
        </is>
      </c>
      <c r="G42" s="15" t="inlineStr">
        <is>
          <t>Chỉ tiêu cơ sở</t>
        </is>
      </c>
      <c r="H42" s="386" t="inlineStr">
        <is>
          <t>Dễ</t>
        </is>
      </c>
      <c r="I42" s="386" t="inlineStr">
        <is>
          <t>Mã người hành nghề</t>
        </is>
      </c>
      <c r="J42" s="386" t="inlineStr">
        <is>
          <t>NHNCK</t>
        </is>
      </c>
      <c r="K42" s="35" t="inlineStr">
        <is>
          <t>x</t>
        </is>
      </c>
      <c r="L42" s="35" t="inlineStr">
        <is>
          <t>x</t>
        </is>
      </c>
      <c r="M42" s="386" t="n"/>
      <c r="N42" s="386" t="inlineStr">
        <is>
          <t>Done</t>
        </is>
      </c>
      <c r="O42" s="386" t="n"/>
      <c r="P42" s="386" t="inlineStr">
        <is>
          <t>ORGANIZATION_REPORTS</t>
        </is>
      </c>
      <c r="Q42" s="386" t="inlineStr">
        <is>
          <t>OrganizationReports.Position</t>
        </is>
      </c>
      <c r="R42" s="386" t="n"/>
      <c r="S42" s="386" t="n"/>
      <c r="T42" s="386" t="n"/>
      <c r="U42" s="386" t="n"/>
      <c r="V42" s="386" t="n"/>
      <c r="W42" s="386" t="n"/>
      <c r="X42" s="13" t="inlineStr">
        <is>
          <t>Done</t>
        </is>
      </c>
      <c r="Y42" s="386" t="n"/>
      <c r="Z42" s="386" t="n"/>
      <c r="AA42" s="386" t="n"/>
      <c r="AB42" s="386" t="n"/>
      <c r="AC42" s="386" t="n"/>
      <c r="AD42" s="386" t="n"/>
    </row>
    <row r="43" ht="42" customHeight="1" s="380">
      <c r="A43" s="386" t="n"/>
      <c r="B43" s="12" t="n"/>
      <c r="C43" s="12" t="inlineStr">
        <is>
          <t>Dashboard Mạng lưới của NHNCK</t>
        </is>
      </c>
      <c r="D43" s="12" t="inlineStr">
        <is>
          <t>Họ tên người có liên quan</t>
        </is>
      </c>
      <c r="E43" s="12" t="inlineStr">
        <is>
          <t>Họ tên người có liên quan: anh chị em, bố mẹ, …</t>
        </is>
      </c>
      <c r="F43" s="386" t="inlineStr">
        <is>
          <t>Dashboard</t>
        </is>
      </c>
      <c r="G43" s="15" t="inlineStr">
        <is>
          <t>Chỉ tiêu cơ sở</t>
        </is>
      </c>
      <c r="H43" s="386" t="inlineStr">
        <is>
          <t>Dễ</t>
        </is>
      </c>
      <c r="I43" s="386" t="inlineStr">
        <is>
          <t>Mã người hành nghề</t>
        </is>
      </c>
      <c r="J43" s="386" t="inlineStr">
        <is>
          <t>NHNCK</t>
        </is>
      </c>
      <c r="K43" s="35" t="inlineStr">
        <is>
          <t>x</t>
        </is>
      </c>
      <c r="L43" s="35" t="inlineStr">
        <is>
          <t>x</t>
        </is>
      </c>
      <c r="M43" s="386" t="n"/>
      <c r="N43" s="386" t="inlineStr">
        <is>
          <t>Done</t>
        </is>
      </c>
      <c r="O43" s="386" t="n"/>
      <c r="P43" s="386" t="inlineStr">
        <is>
          <t>PROFESSIONAL_RELATIONSHIPS</t>
        </is>
      </c>
      <c r="Q43" s="386" t="inlineStr">
        <is>
          <t>ProfessionalRelationships.FullName</t>
        </is>
      </c>
      <c r="R43" s="386" t="n"/>
      <c r="S43" s="386" t="n"/>
      <c r="T43" s="386" t="n"/>
      <c r="U43" s="386" t="n"/>
      <c r="V43" s="386" t="n"/>
      <c r="W43" s="386" t="n"/>
      <c r="X43" s="14" t="inlineStr">
        <is>
          <t>Done</t>
        </is>
      </c>
      <c r="Y43" s="386" t="n"/>
      <c r="Z43" s="386" t="n"/>
      <c r="AA43" s="386" t="n"/>
      <c r="AB43" s="386" t="n"/>
      <c r="AC43" s="386" t="n"/>
      <c r="AD43" s="386" t="n"/>
    </row>
    <row r="44" ht="98" customHeight="1" s="380">
      <c r="A44" s="386" t="n"/>
      <c r="B44" s="12" t="n"/>
      <c r="C44" s="12" t="inlineStr">
        <is>
          <t>Dashboard Mạng lưới của NHNCK</t>
        </is>
      </c>
      <c r="D44" s="12" t="inlineStr">
        <is>
          <t>Mối quan hệ</t>
        </is>
      </c>
      <c r="E44" s="12" t="inlineStr">
        <is>
          <t>Mối quan hệ của người có liên quan với NHN
Quan hệ (1: Vợ/Chồng, 2: Con, 3: Bố, 4: Mẹ, 5: Ông, 6: Bà)</t>
        </is>
      </c>
      <c r="F44" s="386" t="inlineStr">
        <is>
          <t>Dashboard</t>
        </is>
      </c>
      <c r="G44" s="15" t="inlineStr">
        <is>
          <t>Chỉ tiêu cơ sở</t>
        </is>
      </c>
      <c r="H44" s="386" t="inlineStr">
        <is>
          <t>Dễ</t>
        </is>
      </c>
      <c r="I44" s="386" t="inlineStr">
        <is>
          <t>Mã người hành nghề</t>
        </is>
      </c>
      <c r="J44" s="386" t="inlineStr">
        <is>
          <t>NHNCK</t>
        </is>
      </c>
      <c r="K44" s="35" t="inlineStr">
        <is>
          <t>x</t>
        </is>
      </c>
      <c r="L44" s="35" t="inlineStr">
        <is>
          <t>x</t>
        </is>
      </c>
      <c r="M44" s="386" t="n"/>
      <c r="N44" s="386" t="inlineStr">
        <is>
          <t>Done</t>
        </is>
      </c>
      <c r="O44" s="386" t="n"/>
      <c r="P44" s="386" t="inlineStr">
        <is>
          <t>PROFESSIONAL_RELATIONSHIPS</t>
        </is>
      </c>
      <c r="Q44" s="386" t="inlineStr">
        <is>
          <t>ProfessionalRelationships.RelationshipType</t>
        </is>
      </c>
      <c r="R44" s="386" t="n"/>
      <c r="S44" s="386" t="n"/>
      <c r="T44" s="386" t="n"/>
      <c r="U44" s="386" t="n"/>
      <c r="V44" s="386" t="n"/>
      <c r="W44" s="386" t="n"/>
      <c r="X44" s="13" t="inlineStr">
        <is>
          <t>Done</t>
        </is>
      </c>
      <c r="Y44" s="386" t="n"/>
      <c r="Z44" s="386" t="n"/>
      <c r="AA44" s="386" t="n"/>
      <c r="AB44" s="386" t="n"/>
      <c r="AC44" s="386" t="n"/>
      <c r="AD44" s="386" t="n"/>
    </row>
    <row r="45" ht="98" customHeight="1" s="380">
      <c r="A45" s="386" t="n"/>
      <c r="B45" s="12" t="n"/>
      <c r="C45" s="12" t="inlineStr">
        <is>
          <t>Dashboard Mạng lưới của NHNCK</t>
        </is>
      </c>
      <c r="D45" s="386" t="inlineStr">
        <is>
          <t>Đơn vị công tác của người có liên quan</t>
        </is>
      </c>
      <c r="E45" s="12" t="inlineStr">
        <is>
          <t>DN niêm yết/ đăng ký giao dịch (UPCOM) mà người có liên quan tham gia trong bộ máy quản trị doanh nghiệp hoặc cổ đông lớn</t>
        </is>
      </c>
      <c r="F45" s="386" t="inlineStr">
        <is>
          <t>Dashboard</t>
        </is>
      </c>
      <c r="G45" s="15" t="inlineStr">
        <is>
          <t>Chỉ tiêu cơ sở</t>
        </is>
      </c>
      <c r="H45" s="386" t="inlineStr">
        <is>
          <t>Dễ</t>
        </is>
      </c>
      <c r="I45" s="386" t="inlineStr">
        <is>
          <t>Mã người hành nghề</t>
        </is>
      </c>
      <c r="J45" s="386" t="inlineStr">
        <is>
          <t>NHNCK</t>
        </is>
      </c>
      <c r="K45" s="35" t="inlineStr">
        <is>
          <t>x</t>
        </is>
      </c>
      <c r="L45" s="35" t="inlineStr">
        <is>
          <t>x</t>
        </is>
      </c>
      <c r="M45" s="386" t="n"/>
      <c r="N45" s="386" t="inlineStr">
        <is>
          <t>Done</t>
        </is>
      </c>
      <c r="O45" s="386" t="n"/>
      <c r="P45" s="386" t="inlineStr">
        <is>
          <t>PROFESSIONAL_RELATIONSHIPS</t>
        </is>
      </c>
      <c r="Q45" s="386" t="inlineStr">
        <is>
          <t>ProfessionalRelationships.Workplace</t>
        </is>
      </c>
      <c r="R45" s="386" t="n"/>
      <c r="S45" s="386" t="n"/>
      <c r="T45" s="386" t="n"/>
      <c r="U45" s="386" t="n"/>
      <c r="V45" s="386" t="n"/>
      <c r="W45" s="386" t="n"/>
      <c r="X45" s="14" t="inlineStr">
        <is>
          <t>Done</t>
        </is>
      </c>
      <c r="Y45" s="386" t="n"/>
      <c r="Z45" s="386" t="n"/>
      <c r="AA45" s="386" t="n"/>
      <c r="AB45" s="386" t="n"/>
      <c r="AC45" s="386" t="n"/>
      <c r="AD45" s="386" t="n"/>
    </row>
    <row r="46" ht="98" customHeight="1" s="380">
      <c r="A46" s="386" t="n"/>
      <c r="B46" s="12" t="n"/>
      <c r="C46" s="12" t="inlineStr">
        <is>
          <t>Dashboard Mạng lưới của NHNCK</t>
        </is>
      </c>
      <c r="D46" s="386" t="inlineStr">
        <is>
          <t>Chức vụ, vai trò của người có liên quan</t>
        </is>
      </c>
      <c r="E46" s="12" t="inlineStr">
        <is>
          <t>Chức vụ, vai trò của người có liên quan trong bộ máy quản trị doanh nghiệp hoặc cổ đông lớn của DN niêm yết/ đăng ký giao dịch (UPCOM)</t>
        </is>
      </c>
      <c r="F46" s="386" t="inlineStr">
        <is>
          <t>Dashboard</t>
        </is>
      </c>
      <c r="G46" s="15" t="inlineStr">
        <is>
          <t>Chỉ tiêu cơ sở</t>
        </is>
      </c>
      <c r="H46" s="386" t="inlineStr">
        <is>
          <t>Dễ</t>
        </is>
      </c>
      <c r="I46" s="386" t="inlineStr">
        <is>
          <t>Mã người hành nghề</t>
        </is>
      </c>
      <c r="J46" s="386" t="inlineStr">
        <is>
          <t>NHNCK</t>
        </is>
      </c>
      <c r="K46" s="35" t="inlineStr">
        <is>
          <t>x</t>
        </is>
      </c>
      <c r="L46" s="35" t="inlineStr">
        <is>
          <t>x</t>
        </is>
      </c>
      <c r="M46" s="386" t="n"/>
      <c r="N46" s="386" t="inlineStr">
        <is>
          <t>Done</t>
        </is>
      </c>
      <c r="O46" s="386" t="n"/>
      <c r="P46" s="39" t="inlineStr">
        <is>
          <t>PROFESSIONAL_RELATIONSHIPS</t>
        </is>
      </c>
      <c r="Q46" s="39" t="inlineStr">
        <is>
          <t>Hỏi lại HTTT
ProfessionalRelationships.Occupation</t>
        </is>
      </c>
      <c r="R46" s="386" t="n"/>
      <c r="S46" s="386" t="n"/>
      <c r="T46" s="386" t="n"/>
      <c r="U46" s="386" t="n"/>
      <c r="V46" s="386" t="n"/>
      <c r="W46" s="386" t="n"/>
      <c r="X46" s="13" t="inlineStr">
        <is>
          <t>Done</t>
        </is>
      </c>
      <c r="Y46" s="386" t="n"/>
      <c r="Z46" s="386" t="n"/>
      <c r="AA46" s="386" t="n"/>
      <c r="AB46" s="386" t="n"/>
      <c r="AC46" s="386" t="n"/>
      <c r="AD46" s="386" t="n"/>
    </row>
    <row r="47" ht="28" customHeight="1" s="380">
      <c r="A47" s="386" t="n"/>
      <c r="B47" s="12" t="n"/>
      <c r="C47" s="12" t="n"/>
      <c r="D47" s="12" t="inlineStr">
        <is>
          <t>Nghề nghiệp của người có liên quan</t>
        </is>
      </c>
      <c r="E47" s="12" t="n"/>
      <c r="F47" s="386" t="inlineStr">
        <is>
          <t>Dashboard</t>
        </is>
      </c>
      <c r="G47" s="15" t="inlineStr">
        <is>
          <t>Chỉ tiêu cơ sở</t>
        </is>
      </c>
      <c r="H47" s="386" t="inlineStr">
        <is>
          <t>Dễ</t>
        </is>
      </c>
      <c r="I47" s="386" t="inlineStr">
        <is>
          <t>Mã người hành nghề</t>
        </is>
      </c>
      <c r="J47" s="386" t="inlineStr">
        <is>
          <t>NHNCK</t>
        </is>
      </c>
      <c r="K47" s="35" t="n"/>
      <c r="L47" s="35" t="n"/>
      <c r="M47" s="386" t="n"/>
      <c r="N47" s="386" t="inlineStr">
        <is>
          <t>Done</t>
        </is>
      </c>
      <c r="O47" s="386" t="n"/>
      <c r="P47" s="386" t="inlineStr">
        <is>
          <t>PROFESSIONAL_RELATIONSHIPS</t>
        </is>
      </c>
      <c r="Q47" s="386" t="inlineStr">
        <is>
          <t>ProfessionalRelationships.Occupation</t>
        </is>
      </c>
      <c r="R47" s="386" t="n"/>
      <c r="S47" s="386" t="n"/>
      <c r="T47" s="386" t="n"/>
      <c r="U47" s="386" t="n"/>
      <c r="V47" s="386" t="n"/>
      <c r="W47" s="386" t="n"/>
      <c r="X47" s="14" t="n"/>
      <c r="Y47" s="386" t="n"/>
      <c r="Z47" s="386" t="n"/>
      <c r="AA47" s="386" t="n"/>
      <c r="AB47" s="386" t="n"/>
      <c r="AC47" s="386" t="n"/>
      <c r="AD47" s="386" t="n"/>
    </row>
    <row r="48" ht="28" customHeight="1" s="380">
      <c r="A48" s="386" t="n"/>
      <c r="B48" s="12" t="n"/>
      <c r="C48" s="12" t="n"/>
      <c r="D48" s="12" t="inlineStr">
        <is>
          <t>Mã định danh của người có liên quan</t>
        </is>
      </c>
      <c r="E48" s="12" t="n"/>
      <c r="F48" s="386" t="inlineStr">
        <is>
          <t>Dashboard</t>
        </is>
      </c>
      <c r="G48" s="15" t="inlineStr">
        <is>
          <t>Chỉ tiêu cơ sở</t>
        </is>
      </c>
      <c r="H48" s="386" t="inlineStr">
        <is>
          <t>Dễ</t>
        </is>
      </c>
      <c r="I48" s="386" t="inlineStr">
        <is>
          <t>Mã người hành nghề</t>
        </is>
      </c>
      <c r="J48" s="386" t="inlineStr">
        <is>
          <t>NHNCK</t>
        </is>
      </c>
      <c r="K48" s="35" t="n"/>
      <c r="L48" s="35" t="n"/>
      <c r="M48" s="386" t="n"/>
      <c r="N48" s="386" t="inlineStr">
        <is>
          <t>Done</t>
        </is>
      </c>
      <c r="O48" s="386" t="n"/>
      <c r="P48" s="386" t="inlineStr">
        <is>
          <t>PROFESSIONAL_RELATIONSHIPS</t>
        </is>
      </c>
      <c r="Q48" s="386" t="inlineStr">
        <is>
          <t>ProfessionalRelationships.IdentityId</t>
        </is>
      </c>
      <c r="R48" s="386" t="n"/>
      <c r="S48" s="386" t="n"/>
      <c r="T48" s="386" t="n"/>
      <c r="U48" s="386" t="n"/>
      <c r="V48" s="386" t="n"/>
      <c r="W48" s="386" t="n"/>
      <c r="X48" s="13" t="n"/>
      <c r="Y48" s="386" t="n"/>
      <c r="Z48" s="386" t="n"/>
      <c r="AA48" s="386" t="n"/>
      <c r="AB48" s="386" t="n"/>
      <c r="AC48" s="386" t="n"/>
      <c r="AD48" s="386" t="n"/>
    </row>
    <row r="49" ht="28" customHeight="1" s="380">
      <c r="A49" s="386" t="n"/>
      <c r="B49" s="12" t="n"/>
      <c r="C49" s="12" t="n"/>
      <c r="D49" s="12" t="inlineStr">
        <is>
          <t>Quốc tịch của người có liên quan</t>
        </is>
      </c>
      <c r="E49" s="12" t="n"/>
      <c r="F49" s="386" t="inlineStr">
        <is>
          <t>Dashboard</t>
        </is>
      </c>
      <c r="G49" s="15" t="inlineStr">
        <is>
          <t>Chỉ tiêu cơ sở</t>
        </is>
      </c>
      <c r="H49" s="386" t="inlineStr">
        <is>
          <t>Dễ</t>
        </is>
      </c>
      <c r="I49" s="386" t="inlineStr">
        <is>
          <t>Mã người hành nghề</t>
        </is>
      </c>
      <c r="J49" s="386" t="inlineStr">
        <is>
          <t>NHNCK</t>
        </is>
      </c>
      <c r="K49" s="35" t="n"/>
      <c r="L49" s="35" t="n"/>
      <c r="M49" s="386" t="n"/>
      <c r="N49" s="386" t="inlineStr">
        <is>
          <t>Done</t>
        </is>
      </c>
      <c r="O49" s="386" t="n"/>
      <c r="P49" s="386" t="inlineStr">
        <is>
          <t>PROFESSIONAL_RELATIONSHIPS</t>
        </is>
      </c>
      <c r="Q49" s="386" t="inlineStr">
        <is>
          <t>ProfessionalRelationships.CountryId</t>
        </is>
      </c>
      <c r="R49" s="386" t="n"/>
      <c r="S49" s="386" t="n"/>
      <c r="T49" s="386" t="n"/>
      <c r="U49" s="386" t="n"/>
      <c r="V49" s="386" t="n"/>
      <c r="W49" s="386" t="n"/>
      <c r="X49" s="14" t="n"/>
      <c r="Y49" s="386" t="n"/>
      <c r="Z49" s="386" t="n"/>
      <c r="AA49" s="386" t="n"/>
      <c r="AB49" s="386" t="n"/>
      <c r="AC49" s="386" t="n"/>
      <c r="AD49" s="386" t="n"/>
    </row>
    <row r="50" ht="28" customHeight="1" s="380">
      <c r="A50" s="386" t="n"/>
      <c r="B50" s="12" t="n"/>
      <c r="C50" s="12" t="n"/>
      <c r="D50" s="12" t="inlineStr">
        <is>
          <t>Địa chỉ người có liên quan</t>
        </is>
      </c>
      <c r="E50" s="12" t="n"/>
      <c r="F50" s="386" t="inlineStr">
        <is>
          <t>Dashboard</t>
        </is>
      </c>
      <c r="G50" s="15" t="inlineStr">
        <is>
          <t>Chỉ tiêu cơ sở</t>
        </is>
      </c>
      <c r="H50" s="386" t="inlineStr">
        <is>
          <t>Dễ</t>
        </is>
      </c>
      <c r="I50" s="386" t="inlineStr">
        <is>
          <t>Mã người hành nghề</t>
        </is>
      </c>
      <c r="J50" s="386" t="inlineStr">
        <is>
          <t>NHNCK</t>
        </is>
      </c>
      <c r="K50" s="35" t="n"/>
      <c r="L50" s="35" t="n"/>
      <c r="M50" s="386" t="n"/>
      <c r="N50" s="386" t="inlineStr">
        <is>
          <t>Done</t>
        </is>
      </c>
      <c r="O50" s="386" t="n"/>
      <c r="P50" s="386" t="inlineStr">
        <is>
          <t>PROFESSIONAL_RELATIONSHIPS</t>
        </is>
      </c>
      <c r="Q50" s="386" t="inlineStr">
        <is>
          <t>ProfessionalRelationships.Address</t>
        </is>
      </c>
      <c r="R50" s="386" t="n"/>
      <c r="S50" s="386" t="n"/>
      <c r="T50" s="386" t="n"/>
      <c r="U50" s="386" t="n"/>
      <c r="V50" s="386" t="n"/>
      <c r="W50" s="386" t="n"/>
      <c r="X50" s="13" t="n"/>
      <c r="Y50" s="386" t="n"/>
      <c r="Z50" s="386" t="n"/>
      <c r="AA50" s="386" t="n"/>
      <c r="AB50" s="386" t="n"/>
      <c r="AC50" s="386" t="n"/>
      <c r="AD50" s="386" t="n"/>
    </row>
    <row r="51" ht="66" customHeight="1" s="380">
      <c r="A51" s="386" t="inlineStr">
        <is>
          <t>3.2.2.3</t>
        </is>
      </c>
      <c r="B51" s="12" t="n"/>
      <c r="C51" s="12" t="inlineStr">
        <is>
          <t>Dashboard Hồ sơ &amp; Danh mục của NHNCK</t>
        </is>
      </c>
      <c r="D51" s="40" t="inlineStr">
        <is>
          <t>Danh sách Vai trò của NHNCK tại DN niêm yết/ đăng ký giao dịch (UPCOM)</t>
        </is>
      </c>
      <c r="E51" s="12" t="n"/>
      <c r="F51" s="386" t="n"/>
      <c r="G51" s="386" t="n"/>
      <c r="H51" s="386" t="n"/>
      <c r="I51" s="386" t="inlineStr">
        <is>
          <t>Mã người hành nghề</t>
        </is>
      </c>
      <c r="J51" s="386" t="n"/>
      <c r="K51" s="35" t="n"/>
      <c r="L51" s="35" t="n"/>
      <c r="M51" s="386" t="n"/>
      <c r="N51" s="386" t="inlineStr">
        <is>
          <t>Done</t>
        </is>
      </c>
      <c r="O51" s="386" t="n"/>
      <c r="P51" s="386" t="n"/>
      <c r="Q51" s="386" t="n"/>
      <c r="R51" s="386" t="n"/>
      <c r="S51" s="386" t="n"/>
      <c r="T51" s="386" t="n"/>
      <c r="U51" s="386" t="n"/>
      <c r="V51" s="386" t="n"/>
      <c r="W51" s="386" t="n"/>
      <c r="X51" s="14" t="n"/>
      <c r="Y51" s="386" t="n"/>
      <c r="Z51" s="386" t="n"/>
      <c r="AA51" s="386" t="n"/>
      <c r="AB51" s="386" t="n"/>
      <c r="AC51" s="386" t="n"/>
      <c r="AD51" s="386" t="n"/>
    </row>
    <row r="52" ht="84" customHeight="1" s="380">
      <c r="A52" s="386" t="inlineStr">
        <is>
          <t>3.2.2.3</t>
        </is>
      </c>
      <c r="B52" s="12" t="n"/>
      <c r="C52" s="12" t="inlineStr">
        <is>
          <t>Dashboard Hồ sơ &amp; Danh mục của NHNCK</t>
        </is>
      </c>
      <c r="D52" s="12" t="inlineStr">
        <is>
          <t>Tên DN niêm yết/ đăng ký giao dịch (UPCOM)</t>
        </is>
      </c>
      <c r="E52" s="12" t="inlineStr">
        <is>
          <t>Tên DN niêm yết/ đăng ký giao dịch (UPCOM) mà NHN tham gia trong bộ máy quản trị doanh nghiệp hoặc cổ đông lớn</t>
        </is>
      </c>
      <c r="F52" s="386" t="inlineStr">
        <is>
          <t>Dashboard</t>
        </is>
      </c>
      <c r="G52" s="15" t="inlineStr">
        <is>
          <t>Chỉ tiêu cơ sở</t>
        </is>
      </c>
      <c r="H52" s="386" t="inlineStr">
        <is>
          <t>Dễ</t>
        </is>
      </c>
      <c r="I52" s="386" t="inlineStr">
        <is>
          <t>Mã người hành nghề</t>
        </is>
      </c>
      <c r="J52" s="386" t="inlineStr">
        <is>
          <t>NHNCK</t>
        </is>
      </c>
      <c r="K52" s="35" t="inlineStr">
        <is>
          <t>x</t>
        </is>
      </c>
      <c r="L52" s="35" t="inlineStr">
        <is>
          <t>x</t>
        </is>
      </c>
      <c r="M52" s="386" t="n"/>
      <c r="N52" s="386" t="inlineStr">
        <is>
          <t>Done</t>
        </is>
      </c>
      <c r="O52" s="386" t="n"/>
      <c r="P52" s="386" t="inlineStr">
        <is>
          <t>ORGANIZATION_REPORTS</t>
        </is>
      </c>
      <c r="Q52" s="386" t="inlineStr">
        <is>
          <t>OrganizationReports.OrganizationId/ Workplace</t>
        </is>
      </c>
      <c r="R52" s="386" t="n"/>
      <c r="S52" s="386" t="n"/>
      <c r="T52" s="386" t="n"/>
      <c r="U52" s="386" t="n"/>
      <c r="V52" s="386" t="n"/>
      <c r="W52" s="386" t="n"/>
      <c r="X52" s="13" t="inlineStr">
        <is>
          <t>Chưa có SQL</t>
        </is>
      </c>
      <c r="Y52" s="386" t="n"/>
      <c r="Z52" s="386" t="n"/>
      <c r="AA52" s="386" t="n"/>
      <c r="AB52" s="386" t="n"/>
      <c r="AC52" s="386" t="n"/>
      <c r="AD52" s="386" t="n"/>
    </row>
    <row r="53" ht="84" customHeight="1" s="380">
      <c r="A53" s="386" t="inlineStr">
        <is>
          <t>3.2.2.3</t>
        </is>
      </c>
      <c r="B53" s="12" t="n"/>
      <c r="C53" s="12" t="inlineStr">
        <is>
          <t>Dashboard Hồ sơ &amp; Danh mục của NHNCK</t>
        </is>
      </c>
      <c r="D53" s="12" t="inlineStr">
        <is>
          <t>Vai trò</t>
        </is>
      </c>
      <c r="E53" s="12" t="inlineStr">
        <is>
          <t>Chức vụ, vai trò trong bộ máy quản trị doanh nghiệp hoặc cổ đông lớn của DN niêm yết/ đăng ký giao dịch (UPCOM)</t>
        </is>
      </c>
      <c r="F53" s="386" t="inlineStr">
        <is>
          <t>Dashboard</t>
        </is>
      </c>
      <c r="G53" s="15" t="inlineStr">
        <is>
          <t>Chỉ tiêu cơ sở</t>
        </is>
      </c>
      <c r="H53" s="386" t="inlineStr">
        <is>
          <t>Dễ</t>
        </is>
      </c>
      <c r="I53" s="386" t="inlineStr">
        <is>
          <t>Mã người hành nghề</t>
        </is>
      </c>
      <c r="J53" s="386" t="inlineStr">
        <is>
          <t>NHNCK</t>
        </is>
      </c>
      <c r="K53" s="35" t="inlineStr">
        <is>
          <t>x</t>
        </is>
      </c>
      <c r="L53" s="35" t="inlineStr">
        <is>
          <t>x</t>
        </is>
      </c>
      <c r="M53" s="386" t="n"/>
      <c r="N53" s="386" t="inlineStr">
        <is>
          <t>Done</t>
        </is>
      </c>
      <c r="O53" s="386" t="n"/>
      <c r="P53" s="386" t="inlineStr">
        <is>
          <t>ORGANIZATION_REPORTS</t>
        </is>
      </c>
      <c r="Q53" s="386" t="inlineStr">
        <is>
          <t>OrganizationReports.Position</t>
        </is>
      </c>
      <c r="R53" s="386" t="n"/>
      <c r="S53" s="386" t="n"/>
      <c r="T53" s="386" t="n"/>
      <c r="U53" s="386" t="n"/>
      <c r="V53" s="386" t="n"/>
      <c r="W53" s="386" t="n"/>
      <c r="X53" s="14" t="inlineStr">
        <is>
          <t>Chưa có SQL</t>
        </is>
      </c>
      <c r="Y53" s="386" t="n"/>
      <c r="Z53" s="386" t="n"/>
      <c r="AA53" s="386" t="n"/>
      <c r="AB53" s="386" t="n"/>
      <c r="AC53" s="386" t="n"/>
      <c r="AD53" s="386" t="n"/>
    </row>
    <row r="54" ht="70" customHeight="1" s="380">
      <c r="A54" s="386" t="inlineStr">
        <is>
          <t>3.2.2.3</t>
        </is>
      </c>
      <c r="B54" s="12" t="n"/>
      <c r="C54" s="12" t="inlineStr">
        <is>
          <t>Dashboard Hồ sơ &amp; Danh mục của NHNCK</t>
        </is>
      </c>
      <c r="D54" s="12" t="inlineStr">
        <is>
          <t>Trạng thái</t>
        </is>
      </c>
      <c r="E54" s="12" t="inlineStr">
        <is>
          <t>Trạng thái hiện tại</t>
        </is>
      </c>
      <c r="F54" s="386" t="inlineStr">
        <is>
          <t>Dashboard</t>
        </is>
      </c>
      <c r="G54" s="15" t="inlineStr">
        <is>
          <t>Chỉ tiêu cơ sở</t>
        </is>
      </c>
      <c r="H54" s="386" t="inlineStr">
        <is>
          <t>Dễ</t>
        </is>
      </c>
      <c r="I54" s="386" t="inlineStr">
        <is>
          <t>Mã người hành nghề</t>
        </is>
      </c>
      <c r="J54" s="386" t="inlineStr">
        <is>
          <t>NHNCK</t>
        </is>
      </c>
      <c r="K54" s="35" t="inlineStr">
        <is>
          <t>x</t>
        </is>
      </c>
      <c r="L54" s="35" t="inlineStr">
        <is>
          <t>x</t>
        </is>
      </c>
      <c r="M54" s="39" t="inlineStr">
        <is>
          <t>ProfessionalHistories.StatusWork</t>
        </is>
      </c>
      <c r="N54" s="386" t="inlineStr">
        <is>
          <t>Done</t>
        </is>
      </c>
      <c r="O54" s="386" t="n"/>
      <c r="P54" s="386" t="inlineStr">
        <is>
          <t>PROFESSIONAL_HISTORIES</t>
        </is>
      </c>
      <c r="Q54" s="39" t="inlineStr">
        <is>
          <t>Hệ thống tự tính: Nếu 'Đến tháng" null thì "Đang làm việc", nếu đến tháng có giá trị thì cập nhật "đã nghỉ/ Không còn làm việc"
ProfessionalHistories.StatusWork</t>
        </is>
      </c>
      <c r="R54" s="386" t="n"/>
      <c r="S54" s="386" t="n"/>
      <c r="T54" s="386" t="n"/>
      <c r="U54" s="386" t="n"/>
      <c r="V54" s="386" t="n"/>
      <c r="W54" s="386" t="n"/>
      <c r="X54" s="13" t="inlineStr">
        <is>
          <t>Chưa có SQL</t>
        </is>
      </c>
      <c r="Y54" s="386" t="n"/>
      <c r="Z54" s="386" t="n"/>
      <c r="AA54" s="386" t="n"/>
      <c r="AB54" s="386" t="n"/>
      <c r="AC54" s="386" t="n"/>
      <c r="AD54" s="386" t="n"/>
    </row>
    <row r="55" ht="84" customHeight="1" s="380">
      <c r="A55" s="386" t="inlineStr">
        <is>
          <t>3.2.2.3</t>
        </is>
      </c>
      <c r="B55" s="12" t="n"/>
      <c r="C55" s="12" t="inlineStr">
        <is>
          <t>Dashboard Hồ sơ &amp; Danh mục của NHNCK</t>
        </is>
      </c>
      <c r="D55" s="12" t="inlineStr">
        <is>
          <t>Số lượng cổ phiếu sở hữu</t>
        </is>
      </c>
      <c r="E55" s="12" t="inlineStr">
        <is>
          <t>Số lượng cổ phiếu sở hữu của NHN tại DN niêm yết/ đăng ký giao dịch (UPCOM)
Nối thông tin qua CCCD và mã CK</t>
        </is>
      </c>
      <c r="F55" s="386" t="inlineStr">
        <is>
          <t>Dashboard</t>
        </is>
      </c>
      <c r="G55" s="15" t="inlineStr">
        <is>
          <t>Chỉ tiêu phái sinh</t>
        </is>
      </c>
      <c r="H55" s="386" t="inlineStr">
        <is>
          <t>TB</t>
        </is>
      </c>
      <c r="I55" s="386" t="inlineStr">
        <is>
          <t>Mã người hành nghề</t>
        </is>
      </c>
      <c r="J55" s="386" t="inlineStr">
        <is>
          <t>VSDC</t>
        </is>
      </c>
      <c r="K55" s="35" t="inlineStr">
        <is>
          <t>x</t>
        </is>
      </c>
      <c r="L55" s="35" t="inlineStr">
        <is>
          <t>x</t>
        </is>
      </c>
      <c r="M55" s="386" t="n"/>
      <c r="N55" s="386" t="inlineStr">
        <is>
          <t>Pending</t>
        </is>
      </c>
      <c r="O55" s="386" t="n"/>
      <c r="P55" s="386" t="n"/>
      <c r="Q55" s="386" t="n"/>
      <c r="R55" s="386" t="n"/>
      <c r="S55" s="386" t="n"/>
      <c r="T55" s="386" t="n"/>
      <c r="U55" s="386" t="n"/>
      <c r="V55" s="386" t="n"/>
      <c r="W55" s="386" t="n"/>
      <c r="X55" s="14" t="inlineStr">
        <is>
          <t>Chưa có SQL</t>
        </is>
      </c>
      <c r="Y55" s="386" t="n"/>
      <c r="Z55" s="386" t="n"/>
      <c r="AA55" s="386" t="n"/>
      <c r="AB55" s="386" t="n"/>
      <c r="AC55" s="386" t="n"/>
      <c r="AD55" s="386" t="n"/>
    </row>
    <row r="56" ht="28" customHeight="1" s="380">
      <c r="A56" s="386" t="inlineStr">
        <is>
          <t>3.2.2.3</t>
        </is>
      </c>
      <c r="B56" s="12" t="n"/>
      <c r="C56" s="12" t="inlineStr">
        <is>
          <t>Dashboard Hồ sơ &amp; Danh mục của NHNCK</t>
        </is>
      </c>
      <c r="D56" s="41" t="inlineStr">
        <is>
          <t>Mạng lưới người có liên quan NHNCK</t>
        </is>
      </c>
      <c r="E56" s="12" t="n"/>
      <c r="F56" s="386" t="n"/>
      <c r="G56" s="386" t="n"/>
      <c r="H56" s="386" t="n"/>
      <c r="I56" s="386" t="inlineStr">
        <is>
          <t>Mã người hành nghề</t>
        </is>
      </c>
      <c r="J56" s="386" t="n"/>
      <c r="K56" s="35" t="n"/>
      <c r="L56" s="35" t="n"/>
      <c r="M56" s="386" t="n"/>
      <c r="N56" s="386" t="n"/>
      <c r="O56" s="386" t="n"/>
      <c r="P56" s="386" t="n"/>
      <c r="Q56" s="386" t="n"/>
      <c r="R56" s="386" t="n"/>
      <c r="S56" s="386" t="n"/>
      <c r="T56" s="386" t="n"/>
      <c r="U56" s="386" t="n"/>
      <c r="V56" s="386" t="n"/>
      <c r="W56" s="386" t="n"/>
      <c r="X56" s="13" t="n"/>
      <c r="Y56" s="386" t="n"/>
      <c r="Z56" s="386" t="n"/>
      <c r="AA56" s="386" t="n"/>
      <c r="AB56" s="386" t="n"/>
      <c r="AC56" s="386" t="n"/>
      <c r="AD56" s="386" t="n"/>
    </row>
    <row r="57" ht="28" customHeight="1" s="380">
      <c r="A57" s="386" t="inlineStr">
        <is>
          <t>3.2.2.3</t>
        </is>
      </c>
      <c r="B57" s="12" t="n"/>
      <c r="C57" s="12" t="inlineStr">
        <is>
          <t>Dashboard Hồ sơ &amp; Danh mục của NHNCK</t>
        </is>
      </c>
      <c r="D57" s="12" t="inlineStr">
        <is>
          <t>Họ và tên</t>
        </is>
      </c>
      <c r="E57" s="12" t="inlineStr">
        <is>
          <t>Họ và tên của người có liên quan</t>
        </is>
      </c>
      <c r="F57" s="386" t="inlineStr">
        <is>
          <t>Dashboard</t>
        </is>
      </c>
      <c r="G57" s="15" t="inlineStr">
        <is>
          <t>Chỉ tiêu cơ sở</t>
        </is>
      </c>
      <c r="H57" s="386" t="inlineStr">
        <is>
          <t>Dễ</t>
        </is>
      </c>
      <c r="I57" s="386" t="inlineStr">
        <is>
          <t>Mã người hành nghề</t>
        </is>
      </c>
      <c r="J57" s="386" t="inlineStr">
        <is>
          <t>NHNCK</t>
        </is>
      </c>
      <c r="K57" s="35" t="inlineStr">
        <is>
          <t>x</t>
        </is>
      </c>
      <c r="L57" s="35" t="inlineStr">
        <is>
          <t>x</t>
        </is>
      </c>
      <c r="M57" s="386" t="n"/>
      <c r="N57" s="386" t="inlineStr">
        <is>
          <t>Done</t>
        </is>
      </c>
      <c r="O57" s="386" t="n"/>
      <c r="P57" s="386" t="inlineStr">
        <is>
          <t>PROFESSIONAL_RELATIONSHIPS</t>
        </is>
      </c>
      <c r="Q57" s="386" t="inlineStr">
        <is>
          <t>ProfessionalRelationships.FullName</t>
        </is>
      </c>
      <c r="R57" s="386" t="n"/>
      <c r="S57" s="386" t="n"/>
      <c r="T57" s="386" t="n"/>
      <c r="U57" s="386" t="n"/>
      <c r="V57" s="386" t="n"/>
      <c r="W57" s="386" t="n"/>
      <c r="X57" s="14" t="inlineStr">
        <is>
          <t>Done</t>
        </is>
      </c>
      <c r="Y57" s="386" t="n"/>
      <c r="Z57" s="386" t="n"/>
      <c r="AA57" s="386" t="n"/>
      <c r="AB57" s="386" t="n"/>
      <c r="AC57" s="386" t="n"/>
      <c r="AD57" s="386" t="n"/>
    </row>
    <row r="58" ht="42" customHeight="1" s="380">
      <c r="A58" s="386" t="inlineStr">
        <is>
          <t>3.2.2.3</t>
        </is>
      </c>
      <c r="B58" s="12" t="n"/>
      <c r="C58" s="12" t="inlineStr">
        <is>
          <t>Dashboard Hồ sơ &amp; Danh mục của NHNCK</t>
        </is>
      </c>
      <c r="D58" s="12" t="inlineStr">
        <is>
          <t>Mối quan hệ</t>
        </is>
      </c>
      <c r="E58" s="12" t="inlineStr">
        <is>
          <t>Mối quan hệ của người có liên quan với NHNCK</t>
        </is>
      </c>
      <c r="F58" s="386" t="inlineStr">
        <is>
          <t>Dashboard</t>
        </is>
      </c>
      <c r="G58" s="15" t="inlineStr">
        <is>
          <t>Chỉ tiêu cơ sở</t>
        </is>
      </c>
      <c r="H58" s="386" t="inlineStr">
        <is>
          <t>Dễ</t>
        </is>
      </c>
      <c r="I58" s="386" t="inlineStr">
        <is>
          <t>Mã người hành nghề</t>
        </is>
      </c>
      <c r="J58" s="386" t="inlineStr">
        <is>
          <t>NHNCK</t>
        </is>
      </c>
      <c r="K58" s="35" t="inlineStr">
        <is>
          <t>x</t>
        </is>
      </c>
      <c r="L58" s="35" t="inlineStr">
        <is>
          <t>x</t>
        </is>
      </c>
      <c r="M58" s="386" t="n"/>
      <c r="N58" s="386" t="inlineStr">
        <is>
          <t>Done</t>
        </is>
      </c>
      <c r="O58" s="386" t="n"/>
      <c r="P58" s="386" t="inlineStr">
        <is>
          <t>PROFESSIONAL_RELATIONSHIPS</t>
        </is>
      </c>
      <c r="Q58" s="386" t="inlineStr">
        <is>
          <t>ProfessionalRelationships.RelationshipType</t>
        </is>
      </c>
      <c r="R58" s="386" t="n"/>
      <c r="S58" s="386" t="n"/>
      <c r="T58" s="386" t="n"/>
      <c r="U58" s="386" t="n"/>
      <c r="V58" s="386" t="n"/>
      <c r="W58" s="386" t="n"/>
      <c r="X58" s="13" t="inlineStr">
        <is>
          <t>Done</t>
        </is>
      </c>
      <c r="Y58" s="386" t="n"/>
      <c r="Z58" s="386" t="n"/>
      <c r="AA58" s="386" t="n"/>
      <c r="AB58" s="386" t="n"/>
      <c r="AC58" s="386" t="n"/>
      <c r="AD58" s="386" t="n"/>
    </row>
    <row r="59" ht="28" customHeight="1" s="380">
      <c r="A59" s="386" t="inlineStr">
        <is>
          <t>3.2.2.3</t>
        </is>
      </c>
      <c r="B59" s="12" t="n"/>
      <c r="C59" s="12" t="inlineStr">
        <is>
          <t>Dashboard Hồ sơ &amp; Danh mục của NHNCK</t>
        </is>
      </c>
      <c r="D59" s="12" t="inlineStr">
        <is>
          <t>Nghề nghiệp</t>
        </is>
      </c>
      <c r="E59" s="12" t="inlineStr">
        <is>
          <t>Nghề nghiệp của người có liên quan</t>
        </is>
      </c>
      <c r="F59" s="386" t="inlineStr">
        <is>
          <t>Dashboard</t>
        </is>
      </c>
      <c r="G59" s="15" t="inlineStr">
        <is>
          <t>Chỉ tiêu cơ sở</t>
        </is>
      </c>
      <c r="H59" s="386" t="inlineStr">
        <is>
          <t>Dễ</t>
        </is>
      </c>
      <c r="I59" s="386" t="inlineStr">
        <is>
          <t>Mã người hành nghề</t>
        </is>
      </c>
      <c r="J59" s="386" t="inlineStr">
        <is>
          <t>NHNCK</t>
        </is>
      </c>
      <c r="K59" s="35" t="inlineStr">
        <is>
          <t>x</t>
        </is>
      </c>
      <c r="L59" s="35" t="inlineStr">
        <is>
          <t>x</t>
        </is>
      </c>
      <c r="M59" s="386" t="n"/>
      <c r="N59" s="386" t="inlineStr">
        <is>
          <t>Done</t>
        </is>
      </c>
      <c r="O59" s="386" t="n"/>
      <c r="P59" s="386" t="inlineStr">
        <is>
          <t>PROFESSIONAL_RELATIONSHIPS</t>
        </is>
      </c>
      <c r="Q59" s="386" t="inlineStr">
        <is>
          <t>ProfessionalRelationships.Occupation</t>
        </is>
      </c>
      <c r="R59" s="386" t="n"/>
      <c r="S59" s="386" t="n"/>
      <c r="T59" s="386" t="n"/>
      <c r="U59" s="386" t="n"/>
      <c r="V59" s="386" t="n"/>
      <c r="W59" s="386" t="n"/>
      <c r="X59" s="14" t="inlineStr">
        <is>
          <t>Done</t>
        </is>
      </c>
      <c r="Y59" s="386" t="n"/>
      <c r="Z59" s="386" t="n"/>
      <c r="AA59" s="386" t="n"/>
      <c r="AB59" s="386" t="n"/>
      <c r="AC59" s="386" t="n"/>
      <c r="AD59" s="386" t="n"/>
    </row>
    <row r="60" ht="28" customHeight="1" s="380">
      <c r="A60" s="386" t="inlineStr">
        <is>
          <t>3.2.2.3</t>
        </is>
      </c>
      <c r="B60" s="12" t="n"/>
      <c r="C60" s="12" t="inlineStr">
        <is>
          <t>Dashboard Hồ sơ &amp; Danh mục của NHNCK</t>
        </is>
      </c>
      <c r="D60" s="12" t="inlineStr">
        <is>
          <t>CCCD/CMND/HC</t>
        </is>
      </c>
      <c r="E60" s="12" t="inlineStr">
        <is>
          <t>CCCD/CMND/HC của người có liên quan</t>
        </is>
      </c>
      <c r="F60" s="386" t="inlineStr">
        <is>
          <t>Dashboard</t>
        </is>
      </c>
      <c r="G60" s="15" t="inlineStr">
        <is>
          <t>Chỉ tiêu cơ sở</t>
        </is>
      </c>
      <c r="H60" s="386" t="inlineStr">
        <is>
          <t>Dễ</t>
        </is>
      </c>
      <c r="I60" s="386" t="inlineStr">
        <is>
          <t>Mã người hành nghề</t>
        </is>
      </c>
      <c r="J60" s="386" t="inlineStr">
        <is>
          <t>NHNCK</t>
        </is>
      </c>
      <c r="K60" s="35" t="inlineStr">
        <is>
          <t>x</t>
        </is>
      </c>
      <c r="L60" s="35" t="inlineStr">
        <is>
          <t>x</t>
        </is>
      </c>
      <c r="M60" s="386" t="n"/>
      <c r="N60" s="386" t="inlineStr">
        <is>
          <t>Done</t>
        </is>
      </c>
      <c r="O60" s="386" t="n"/>
      <c r="P60" s="386" t="inlineStr">
        <is>
          <t>PROFESSIONAL_RELATIONSHIPS</t>
        </is>
      </c>
      <c r="Q60" s="386" t="inlineStr">
        <is>
          <t>ProfessionalRelationships.IdentityId</t>
        </is>
      </c>
      <c r="R60" s="386" t="n"/>
      <c r="S60" s="386" t="n"/>
      <c r="T60" s="386" t="n"/>
      <c r="U60" s="386" t="n"/>
      <c r="V60" s="386" t="n"/>
      <c r="W60" s="386" t="n"/>
      <c r="X60" s="13" t="n"/>
      <c r="Y60" s="386" t="n"/>
      <c r="Z60" s="386" t="n"/>
      <c r="AA60" s="386" t="n"/>
      <c r="AB60" s="386" t="n"/>
      <c r="AC60" s="386" t="n"/>
      <c r="AD60" s="386" t="n"/>
    </row>
    <row r="61" ht="28" customHeight="1" s="380">
      <c r="A61" s="386" t="inlineStr">
        <is>
          <t>3.2.2.3</t>
        </is>
      </c>
      <c r="B61" s="12" t="n"/>
      <c r="C61" s="12" t="inlineStr">
        <is>
          <t>Dashboard Hồ sơ &amp; Danh mục của NHNCK</t>
        </is>
      </c>
      <c r="D61" s="41" t="inlineStr">
        <is>
          <t>Tài khoản &amp; số dư</t>
        </is>
      </c>
      <c r="E61" s="12" t="n"/>
      <c r="F61" s="386" t="n"/>
      <c r="G61" s="386" t="n"/>
      <c r="H61" s="386" t="n"/>
      <c r="I61" s="386" t="n"/>
      <c r="J61" s="386" t="n"/>
      <c r="K61" s="35" t="n"/>
      <c r="L61" s="35" t="n"/>
      <c r="M61" s="386" t="n"/>
      <c r="N61" s="386" t="n"/>
      <c r="O61" s="386" t="n"/>
      <c r="P61" s="386" t="n"/>
      <c r="Q61" s="386" t="n"/>
      <c r="R61" s="386" t="n"/>
      <c r="S61" s="386" t="n"/>
      <c r="T61" s="386" t="n"/>
      <c r="U61" s="386" t="n"/>
      <c r="V61" s="386" t="n"/>
      <c r="W61" s="386" t="n"/>
      <c r="X61" s="14" t="n"/>
      <c r="Y61" s="386" t="n"/>
      <c r="Z61" s="386" t="n"/>
      <c r="AA61" s="386" t="n"/>
      <c r="AB61" s="386" t="n"/>
      <c r="AC61" s="386" t="n"/>
      <c r="AD61" s="386" t="n"/>
    </row>
    <row r="62" ht="42" customHeight="1" s="380">
      <c r="A62" s="386" t="inlineStr">
        <is>
          <t>3.2.2.3</t>
        </is>
      </c>
      <c r="B62" s="12" t="n"/>
      <c r="C62" s="12" t="inlineStr">
        <is>
          <t>Dashboard Hồ sơ &amp; Danh mục của NHNCK</t>
        </is>
      </c>
      <c r="D62" s="12" t="inlineStr">
        <is>
          <t>Mã CTCK</t>
        </is>
      </c>
      <c r="E62" s="12" t="inlineStr">
        <is>
          <t>Tên viết tắt của CTCK mà NHN mở tài khoản</t>
        </is>
      </c>
      <c r="F62" s="386" t="inlineStr">
        <is>
          <t>Dashboard</t>
        </is>
      </c>
      <c r="G62" s="15" t="inlineStr">
        <is>
          <t>Chỉ tiêu phái sinh</t>
        </is>
      </c>
      <c r="H62" s="386" t="inlineStr">
        <is>
          <t>Dễ</t>
        </is>
      </c>
      <c r="I62" s="386" t="inlineStr">
        <is>
          <t>Mã người hành nghề</t>
        </is>
      </c>
      <c r="J62" s="386" t="inlineStr">
        <is>
          <t>NHNCK</t>
        </is>
      </c>
      <c r="K62" s="35" t="inlineStr">
        <is>
          <t>x</t>
        </is>
      </c>
      <c r="L62" s="35" t="inlineStr">
        <is>
          <t>x</t>
        </is>
      </c>
      <c r="M62" s="386" t="n"/>
      <c r="N62" s="386" t="inlineStr">
        <is>
          <t>Done</t>
        </is>
      </c>
      <c r="O62" s="386" t="n"/>
      <c r="P62" s="386" t="inlineStr">
        <is>
          <t>ORGANIZATIONS</t>
        </is>
      </c>
      <c r="Q62" s="386" t="inlineStr">
        <is>
          <t>Organizations.OrganizationCode</t>
        </is>
      </c>
      <c r="R62" s="386" t="inlineStr">
        <is>
          <t>Where Organizations.OrganizationTypeId =1</t>
        </is>
      </c>
      <c r="S62" s="386" t="n"/>
      <c r="T62" s="386" t="n"/>
      <c r="U62" s="386" t="n"/>
      <c r="V62" s="386" t="n"/>
      <c r="W62" s="386" t="n"/>
      <c r="X62" s="13" t="inlineStr">
        <is>
          <t>Chưa có SQL</t>
        </is>
      </c>
      <c r="Y62" s="386" t="n"/>
      <c r="Z62" s="386" t="n"/>
      <c r="AA62" s="386" t="n"/>
      <c r="AB62" s="386" t="n"/>
      <c r="AC62" s="386" t="n"/>
      <c r="AD62" s="386" t="n"/>
    </row>
    <row r="63" ht="42" customHeight="1" s="380">
      <c r="A63" s="386" t="n"/>
      <c r="B63" s="12" t="n"/>
      <c r="C63" s="12" t="n"/>
      <c r="D63" s="12" t="inlineStr">
        <is>
          <t>Phân loại tổ chức</t>
        </is>
      </c>
      <c r="E63" s="12" t="inlineStr">
        <is>
          <t>Mã loại tổ chức (1: CTCK, 2: QLQ, 3: Ngân hàng, 4: Khác)</t>
        </is>
      </c>
      <c r="F63" s="386" t="inlineStr">
        <is>
          <t>Dashboard</t>
        </is>
      </c>
      <c r="G63" s="15" t="inlineStr">
        <is>
          <t>Chỉ tiêu cơ sở</t>
        </is>
      </c>
      <c r="H63" s="386" t="inlineStr">
        <is>
          <t>Dễ</t>
        </is>
      </c>
      <c r="I63" s="386" t="inlineStr">
        <is>
          <t>Mã người hành nghề</t>
        </is>
      </c>
      <c r="J63" s="386" t="inlineStr">
        <is>
          <t>NHNCK</t>
        </is>
      </c>
      <c r="K63" s="35" t="n"/>
      <c r="L63" s="35" t="n"/>
      <c r="M63" s="386" t="n"/>
      <c r="N63" s="386" t="inlineStr">
        <is>
          <t>Done</t>
        </is>
      </c>
      <c r="O63" s="386" t="n"/>
      <c r="P63" s="386" t="inlineStr">
        <is>
          <t>ORGANIZATIONS</t>
        </is>
      </c>
      <c r="Q63" s="386" t="inlineStr">
        <is>
          <t>Organizations.OrganizationTypeId</t>
        </is>
      </c>
      <c r="R63" s="386" t="n"/>
      <c r="S63" s="386" t="n"/>
      <c r="T63" s="386" t="n"/>
      <c r="U63" s="386" t="n"/>
      <c r="V63" s="386" t="n"/>
      <c r="W63" s="386" t="n"/>
      <c r="X63" s="14" t="inlineStr">
        <is>
          <t>Chưa có SQL</t>
        </is>
      </c>
      <c r="Y63" s="386" t="n"/>
      <c r="Z63" s="386" t="n"/>
      <c r="AA63" s="386" t="n"/>
      <c r="AB63" s="386" t="n"/>
      <c r="AC63" s="386" t="n"/>
      <c r="AD63" s="386" t="n"/>
    </row>
    <row r="64" ht="28" customHeight="1" s="380">
      <c r="A64" s="386" t="inlineStr">
        <is>
          <t>3.2.2.3</t>
        </is>
      </c>
      <c r="B64" s="12" t="n"/>
      <c r="C64" s="12" t="inlineStr">
        <is>
          <t>Dashboard Hồ sơ &amp; Danh mục của NHNCK</t>
        </is>
      </c>
      <c r="D64" s="12" t="inlineStr">
        <is>
          <t>Số tài khoản</t>
        </is>
      </c>
      <c r="E64" s="12" t="inlineStr">
        <is>
          <t>Số tài khoản của NHN đã mở</t>
        </is>
      </c>
      <c r="F64" s="386" t="inlineStr">
        <is>
          <t>Dashboard</t>
        </is>
      </c>
      <c r="G64" s="15" t="inlineStr">
        <is>
          <t>Chỉ tiêu cơ sở</t>
        </is>
      </c>
      <c r="H64" s="386" t="inlineStr">
        <is>
          <t>Dễ</t>
        </is>
      </c>
      <c r="I64" s="386" t="inlineStr">
        <is>
          <t>Mã người hành nghề</t>
        </is>
      </c>
      <c r="J64" s="386" t="inlineStr">
        <is>
          <t>VSDC, MSS</t>
        </is>
      </c>
      <c r="K64" s="35" t="inlineStr">
        <is>
          <t>x</t>
        </is>
      </c>
      <c r="L64" s="35" t="inlineStr">
        <is>
          <t>x</t>
        </is>
      </c>
      <c r="M64" s="386" t="n"/>
      <c r="N64" s="386" t="inlineStr">
        <is>
          <t>Pending</t>
        </is>
      </c>
      <c r="O64" s="386" t="n"/>
      <c r="P64" s="386" t="n"/>
      <c r="Q64" s="386" t="n"/>
      <c r="R64" s="386" t="n"/>
      <c r="S64" s="386" t="n"/>
      <c r="T64" s="386" t="n"/>
      <c r="U64" s="386" t="n"/>
      <c r="V64" s="386" t="n"/>
      <c r="W64" s="386" t="n"/>
      <c r="X64" s="13" t="inlineStr">
        <is>
          <t>Chưa có SQL</t>
        </is>
      </c>
      <c r="Y64" s="386" t="n"/>
      <c r="Z64" s="386" t="n"/>
      <c r="AA64" s="386" t="n"/>
      <c r="AB64" s="386" t="n"/>
      <c r="AC64" s="386" t="n"/>
      <c r="AD64" s="386" t="n"/>
    </row>
    <row r="65" ht="28" customHeight="1" s="380">
      <c r="A65" s="386" t="inlineStr">
        <is>
          <t>3.2.2.3</t>
        </is>
      </c>
      <c r="B65" s="12" t="n"/>
      <c r="C65" s="12" t="inlineStr">
        <is>
          <t>Dashboard Hồ sơ &amp; Danh mục của NHNCK</t>
        </is>
      </c>
      <c r="D65" s="12" t="inlineStr">
        <is>
          <t>Tên chủ tài khoản</t>
        </is>
      </c>
      <c r="E65" s="12" t="inlineStr">
        <is>
          <t>Tên chủ tài khoản</t>
        </is>
      </c>
      <c r="F65" s="386" t="inlineStr">
        <is>
          <t>Dashboard</t>
        </is>
      </c>
      <c r="G65" s="15" t="inlineStr">
        <is>
          <t>Chỉ tiêu cơ sở</t>
        </is>
      </c>
      <c r="H65" s="386" t="inlineStr">
        <is>
          <t>Dễ</t>
        </is>
      </c>
      <c r="I65" s="386" t="inlineStr">
        <is>
          <t>Mã người hành nghề</t>
        </is>
      </c>
      <c r="J65" s="386" t="inlineStr">
        <is>
          <t>VSDC, MSS</t>
        </is>
      </c>
      <c r="K65" s="35" t="inlineStr">
        <is>
          <t>x</t>
        </is>
      </c>
      <c r="L65" s="35" t="inlineStr">
        <is>
          <t>x</t>
        </is>
      </c>
      <c r="M65" s="386" t="n"/>
      <c r="N65" s="386" t="inlineStr">
        <is>
          <t>Pending</t>
        </is>
      </c>
      <c r="O65" s="386" t="n"/>
      <c r="P65" s="386" t="n"/>
      <c r="Q65" s="386" t="n"/>
      <c r="R65" s="386" t="n"/>
      <c r="S65" s="386" t="n"/>
      <c r="T65" s="386" t="n"/>
      <c r="U65" s="386" t="n"/>
      <c r="V65" s="386" t="n"/>
      <c r="W65" s="386" t="n"/>
      <c r="X65" s="14" t="inlineStr">
        <is>
          <t>Chưa có SQL</t>
        </is>
      </c>
      <c r="Y65" s="386" t="n"/>
      <c r="Z65" s="386" t="n"/>
      <c r="AA65" s="386" t="n"/>
      <c r="AB65" s="386" t="n"/>
      <c r="AC65" s="386" t="n"/>
      <c r="AD65" s="386" t="n"/>
    </row>
    <row r="66" ht="28" customHeight="1" s="380">
      <c r="A66" s="386" t="inlineStr">
        <is>
          <t>3.2.2.3</t>
        </is>
      </c>
      <c r="B66" s="12" t="n"/>
      <c r="C66" s="12" t="inlineStr">
        <is>
          <t>Dashboard Hồ sơ &amp; Danh mục của NHNCK</t>
        </is>
      </c>
      <c r="D66" s="12" t="inlineStr">
        <is>
          <t>Mã CK nắm giữ chính</t>
        </is>
      </c>
      <c r="E66" s="12" t="inlineStr">
        <is>
          <t>Tối đa 2 mã CK nắm giữ có giá trị lớn nhất</t>
        </is>
      </c>
      <c r="F66" s="386" t="inlineStr">
        <is>
          <t>Dashboard</t>
        </is>
      </c>
      <c r="G66" s="15" t="inlineStr">
        <is>
          <t>Chỉ tiêu cơ sở</t>
        </is>
      </c>
      <c r="H66" s="386" t="inlineStr">
        <is>
          <t>Dễ</t>
        </is>
      </c>
      <c r="I66" s="386" t="inlineStr">
        <is>
          <t>Mã người hành nghề</t>
        </is>
      </c>
      <c r="J66" s="386" t="inlineStr">
        <is>
          <t>VSDC</t>
        </is>
      </c>
      <c r="K66" s="35" t="inlineStr">
        <is>
          <t>x</t>
        </is>
      </c>
      <c r="L66" s="35" t="inlineStr">
        <is>
          <t>x</t>
        </is>
      </c>
      <c r="M66" s="386" t="n"/>
      <c r="N66" s="386" t="inlineStr">
        <is>
          <t>Pending</t>
        </is>
      </c>
      <c r="O66" s="386" t="n"/>
      <c r="P66" s="386" t="n"/>
      <c r="Q66" s="386" t="n"/>
      <c r="R66" s="386" t="n"/>
      <c r="S66" s="386" t="n"/>
      <c r="T66" s="386" t="n"/>
      <c r="U66" s="386" t="n"/>
      <c r="V66" s="386" t="n"/>
      <c r="W66" s="386" t="n"/>
      <c r="X66" s="13" t="inlineStr">
        <is>
          <t>Chưa có SQL</t>
        </is>
      </c>
      <c r="Y66" s="386" t="n"/>
      <c r="Z66" s="386" t="n"/>
      <c r="AA66" s="386" t="n"/>
      <c r="AB66" s="386" t="n"/>
      <c r="AC66" s="386" t="n"/>
      <c r="AD66" s="386" t="n"/>
    </row>
    <row r="67" ht="42" customHeight="1" s="380">
      <c r="A67" s="42" t="inlineStr">
        <is>
          <t>3.2.2.3</t>
        </is>
      </c>
      <c r="B67" s="43" t="n"/>
      <c r="C67" s="43" t="inlineStr">
        <is>
          <t>Dashboard Hồ sơ &amp; Danh mục của NHNCK</t>
        </is>
      </c>
      <c r="D67" s="43" t="inlineStr">
        <is>
          <t>Số dư tài khoản (tỷ VNĐ)</t>
        </is>
      </c>
      <c r="E67" s="42" t="inlineStr">
        <is>
          <t>Tổng giá trị tài sản tại thời điểm hiện tại, đơn vị tỷ đồng</t>
        </is>
      </c>
      <c r="F67" s="42" t="inlineStr">
        <is>
          <t>Dashboard</t>
        </is>
      </c>
      <c r="G67" s="44" t="inlineStr">
        <is>
          <t>Chỉ tiêu cơ sở</t>
        </is>
      </c>
      <c r="H67" s="42" t="inlineStr">
        <is>
          <t>Dễ</t>
        </is>
      </c>
      <c r="I67" s="386" t="inlineStr">
        <is>
          <t>Mã người hành nghề</t>
        </is>
      </c>
      <c r="J67" s="42" t="inlineStr">
        <is>
          <t>NHNCK</t>
        </is>
      </c>
      <c r="K67" s="45" t="inlineStr">
        <is>
          <t>x</t>
        </is>
      </c>
      <c r="L67" s="45" t="inlineStr">
        <is>
          <t>x</t>
        </is>
      </c>
      <c r="M67" s="42" t="n"/>
      <c r="N67" s="386" t="n"/>
      <c r="O67" s="42" t="n"/>
      <c r="P67" s="42" t="n"/>
      <c r="Q67" s="42" t="n"/>
      <c r="R67" s="42" t="n"/>
      <c r="S67" s="42" t="n"/>
      <c r="T67" s="42" t="n"/>
      <c r="U67" s="42" t="n"/>
      <c r="V67" s="42" t="n"/>
      <c r="W67" s="42" t="n"/>
      <c r="X67" s="14" t="n"/>
      <c r="Y67" s="42" t="n"/>
      <c r="Z67" s="42" t="n"/>
      <c r="AA67" s="42" t="n"/>
      <c r="AB67" s="42" t="n"/>
      <c r="AC67" s="42" t="n"/>
      <c r="AD67" s="42" t="n"/>
    </row>
    <row r="68" ht="41.25" customHeight="1" s="380">
      <c r="A68" s="386" t="inlineStr">
        <is>
          <t>3.2.2.4</t>
        </is>
      </c>
      <c r="B68" s="386" t="n"/>
      <c r="C68" s="386" t="inlineStr">
        <is>
          <t>Dashboard Quá trình hành nghề của NHNCK</t>
        </is>
      </c>
      <c r="D68" s="12" t="inlineStr">
        <is>
          <t>Tổ chức</t>
        </is>
      </c>
      <c r="E68" s="12" t="inlineStr">
        <is>
          <t>Tên tổ chức (CTCK, CTQLQ, Chi nhánh CTCK nước ngoài, chi nhánh Cty QLQ nước ngoài) mà NHN đã/ đang công tác</t>
        </is>
      </c>
      <c r="F68" s="386" t="inlineStr">
        <is>
          <t>Dashboard</t>
        </is>
      </c>
      <c r="G68" s="15" t="inlineStr">
        <is>
          <t>Chỉ tiêu cơ sở</t>
        </is>
      </c>
      <c r="H68" s="386" t="inlineStr">
        <is>
          <t>Dễ</t>
        </is>
      </c>
      <c r="I68" s="386" t="inlineStr">
        <is>
          <t>Mã người hành nghề</t>
        </is>
      </c>
      <c r="J68" s="386" t="inlineStr">
        <is>
          <t>NHNCK</t>
        </is>
      </c>
      <c r="K68" s="35" t="inlineStr">
        <is>
          <t>x</t>
        </is>
      </c>
      <c r="L68" s="35" t="inlineStr">
        <is>
          <t>x</t>
        </is>
      </c>
      <c r="M68" s="386" t="n"/>
      <c r="N68" s="386" t="inlineStr">
        <is>
          <t>Done</t>
        </is>
      </c>
      <c r="O68" s="386" t="n"/>
      <c r="P68" s="386" t="inlineStr">
        <is>
          <t>ORGANIZATIONS</t>
        </is>
      </c>
      <c r="Q68" s="386" t="inlineStr">
        <is>
          <t xml:space="preserve">Organizations.OrganizationCode
Organizations.OrganizationName
</t>
        </is>
      </c>
      <c r="R68" s="386" t="n"/>
      <c r="S68" s="386" t="n"/>
      <c r="T68" s="386" t="n"/>
      <c r="U68" s="386" t="n"/>
      <c r="V68" s="386" t="n"/>
      <c r="W68" s="386" t="n"/>
      <c r="X68" s="13" t="inlineStr">
        <is>
          <t>Done</t>
        </is>
      </c>
      <c r="Y68" s="386" t="n"/>
      <c r="Z68" s="386" t="n"/>
      <c r="AA68" s="386" t="n"/>
      <c r="AB68" s="386" t="n"/>
      <c r="AC68" s="386" t="n"/>
      <c r="AD68" s="386" t="n"/>
    </row>
    <row r="69" ht="36" customHeight="1" s="380">
      <c r="A69" s="386" t="n"/>
      <c r="B69" s="386" t="n"/>
      <c r="C69" s="386" t="inlineStr">
        <is>
          <t>Dashboard Quá trình hành nghề của NHNCK</t>
        </is>
      </c>
      <c r="D69" s="12" t="inlineStr">
        <is>
          <t>Phân loại tổ chức</t>
        </is>
      </c>
      <c r="E69" s="12" t="inlineStr">
        <is>
          <t>Phân loại tổ chức mà NHNCK làm việc:
Mã loại tổ chức (1: CTCK, 2: QLQ, 3: Ngân hàng, 4: Khác)</t>
        </is>
      </c>
      <c r="F69" s="386" t="inlineStr">
        <is>
          <t>Dashboard</t>
        </is>
      </c>
      <c r="G69" s="15" t="inlineStr">
        <is>
          <t>Chỉ tiêu cơ sở</t>
        </is>
      </c>
      <c r="H69" s="386" t="inlineStr">
        <is>
          <t>Dễ</t>
        </is>
      </c>
      <c r="I69" s="386" t="inlineStr">
        <is>
          <t>Mã người hành nghề</t>
        </is>
      </c>
      <c r="J69" s="386" t="inlineStr">
        <is>
          <t>NHNCK</t>
        </is>
      </c>
      <c r="K69" s="35" t="n"/>
      <c r="L69" s="35" t="n"/>
      <c r="M69" s="386" t="n"/>
      <c r="N69" s="386" t="inlineStr">
        <is>
          <t>Done</t>
        </is>
      </c>
      <c r="O69" s="386" t="n"/>
      <c r="P69" s="386" t="inlineStr">
        <is>
          <t>ORGANIZATIONS</t>
        </is>
      </c>
      <c r="Q69" s="386" t="inlineStr">
        <is>
          <t>Organizations.OrganizationTypeId</t>
        </is>
      </c>
      <c r="R69" s="386" t="n"/>
      <c r="S69" s="386" t="n"/>
      <c r="T69" s="386" t="n"/>
      <c r="U69" s="386" t="n"/>
      <c r="V69" s="386" t="n"/>
      <c r="W69" s="386" t="n"/>
      <c r="X69" s="14" t="n"/>
      <c r="Y69" s="386" t="n"/>
      <c r="Z69" s="386" t="n"/>
      <c r="AA69" s="386" t="n"/>
      <c r="AB69" s="386" t="n"/>
      <c r="AC69" s="386" t="n"/>
      <c r="AD69" s="386" t="n"/>
    </row>
    <row r="70" ht="28" customHeight="1" s="380">
      <c r="A70" s="386" t="n"/>
      <c r="B70" s="386" t="n"/>
      <c r="C70" s="386" t="inlineStr">
        <is>
          <t>Dashboard Quá trình hành nghề của NHNCK</t>
        </is>
      </c>
      <c r="D70" s="20" t="inlineStr">
        <is>
          <t>Nơi công tác</t>
        </is>
      </c>
      <c r="E70" s="12" t="n"/>
      <c r="F70" s="386" t="inlineStr">
        <is>
          <t>Dashboard</t>
        </is>
      </c>
      <c r="G70" s="15" t="inlineStr">
        <is>
          <t>Chỉ tiêu cơ sở</t>
        </is>
      </c>
      <c r="H70" s="386" t="inlineStr">
        <is>
          <t>Dễ</t>
        </is>
      </c>
      <c r="I70" s="386" t="inlineStr">
        <is>
          <t>Mã người hành nghề</t>
        </is>
      </c>
      <c r="J70" s="386" t="inlineStr">
        <is>
          <t>NHNCK</t>
        </is>
      </c>
      <c r="K70" s="35" t="n"/>
      <c r="L70" s="35" t="n"/>
      <c r="M70" s="386" t="n"/>
      <c r="N70" s="386" t="inlineStr">
        <is>
          <t>Done</t>
        </is>
      </c>
      <c r="O70" s="386" t="n"/>
      <c r="P70" s="20" t="inlineStr">
        <is>
          <t>ORGANIZATION_REPORTS</t>
        </is>
      </c>
      <c r="Q70" s="20" t="inlineStr">
        <is>
          <t>OrganizationReports.Workplace</t>
        </is>
      </c>
      <c r="R70" s="386" t="n"/>
      <c r="S70" s="386" t="n"/>
      <c r="T70" s="386" t="n"/>
      <c r="U70" s="386" t="n"/>
      <c r="V70" s="386" t="n"/>
      <c r="W70" s="386" t="n"/>
      <c r="X70" s="13" t="n"/>
      <c r="Y70" s="386" t="n"/>
      <c r="Z70" s="386" t="n"/>
      <c r="AA70" s="386" t="n"/>
      <c r="AB70" s="386" t="n"/>
      <c r="AC70" s="386" t="n"/>
      <c r="AD70" s="386" t="n"/>
    </row>
    <row r="71" ht="28" customHeight="1" s="380">
      <c r="A71" s="386" t="inlineStr">
        <is>
          <t>3.2.2.4</t>
        </is>
      </c>
      <c r="B71" s="386" t="n"/>
      <c r="C71" s="386" t="inlineStr">
        <is>
          <t>Dashboard Quá trình hành nghề của NHNCK</t>
        </is>
      </c>
      <c r="D71" s="12" t="inlineStr">
        <is>
          <t>Vị trí</t>
        </is>
      </c>
      <c r="E71" s="12" t="inlineStr">
        <is>
          <t>Vị trí công tác</t>
        </is>
      </c>
      <c r="F71" s="386" t="inlineStr">
        <is>
          <t>Dashboard</t>
        </is>
      </c>
      <c r="G71" s="15" t="inlineStr">
        <is>
          <t>Chỉ tiêu cơ sở</t>
        </is>
      </c>
      <c r="H71" s="386" t="inlineStr">
        <is>
          <t>Dễ</t>
        </is>
      </c>
      <c r="I71" s="386" t="inlineStr">
        <is>
          <t>Mã người hành nghề</t>
        </is>
      </c>
      <c r="J71" s="386" t="inlineStr">
        <is>
          <t>NHNCK</t>
        </is>
      </c>
      <c r="K71" s="35" t="inlineStr">
        <is>
          <t>x</t>
        </is>
      </c>
      <c r="L71" s="35" t="inlineStr">
        <is>
          <t>x</t>
        </is>
      </c>
      <c r="M71" s="386" t="n"/>
      <c r="N71" s="386" t="inlineStr">
        <is>
          <t>Done</t>
        </is>
      </c>
      <c r="O71" s="386" t="n"/>
      <c r="P71" s="20" t="inlineStr">
        <is>
          <t>ORGANIZATION_REPORTS</t>
        </is>
      </c>
      <c r="Q71" s="20" t="inlineStr">
        <is>
          <t>OrganizationReports.Position</t>
        </is>
      </c>
      <c r="R71" s="386" t="n"/>
      <c r="S71" s="386" t="n"/>
      <c r="T71" s="386" t="n"/>
      <c r="U71" s="386" t="n"/>
      <c r="V71" s="386" t="n"/>
      <c r="W71" s="386" t="n"/>
      <c r="X71" s="14" t="inlineStr">
        <is>
          <t>Done</t>
        </is>
      </c>
      <c r="Y71" s="386" t="n"/>
      <c r="Z71" s="386" t="n"/>
      <c r="AA71" s="386" t="n"/>
      <c r="AB71" s="386" t="n"/>
      <c r="AC71" s="386" t="n"/>
      <c r="AD71" s="386" t="n"/>
    </row>
    <row r="72" ht="28" customHeight="1" s="380">
      <c r="A72" s="386" t="n"/>
      <c r="B72" s="386" t="n"/>
      <c r="C72" s="386" t="inlineStr">
        <is>
          <t>Dashboard Quá trình hành nghề của NHNCK</t>
        </is>
      </c>
      <c r="D72" s="20" t="inlineStr">
        <is>
          <t>Phòng ban</t>
        </is>
      </c>
      <c r="E72" s="12" t="n"/>
      <c r="F72" s="386" t="inlineStr">
        <is>
          <t>Dashboard</t>
        </is>
      </c>
      <c r="G72" s="15" t="inlineStr">
        <is>
          <t>Chỉ tiêu cơ sở</t>
        </is>
      </c>
      <c r="H72" s="386" t="inlineStr">
        <is>
          <t>Dễ</t>
        </is>
      </c>
      <c r="I72" s="386" t="inlineStr">
        <is>
          <t>Mã người hành nghề</t>
        </is>
      </c>
      <c r="J72" s="386" t="inlineStr">
        <is>
          <t>NHNCK</t>
        </is>
      </c>
      <c r="K72" s="35" t="n"/>
      <c r="L72" s="35" t="n"/>
      <c r="M72" s="386" t="n"/>
      <c r="N72" s="386" t="inlineStr">
        <is>
          <t>Done</t>
        </is>
      </c>
      <c r="O72" s="386" t="n"/>
      <c r="P72" s="20" t="inlineStr">
        <is>
          <t>ORGANIZATION_REPORTS</t>
        </is>
      </c>
      <c r="Q72" s="20" t="inlineStr">
        <is>
          <t>OrganizationReports.Department</t>
        </is>
      </c>
      <c r="R72" s="386" t="n"/>
      <c r="S72" s="386" t="n"/>
      <c r="T72" s="386" t="n"/>
      <c r="U72" s="386" t="n"/>
      <c r="V72" s="386" t="n"/>
      <c r="W72" s="386" t="n"/>
      <c r="X72" s="13" t="n"/>
      <c r="Y72" s="386" t="n"/>
      <c r="Z72" s="386" t="n"/>
      <c r="AA72" s="386" t="n"/>
      <c r="AB72" s="386" t="n"/>
      <c r="AC72" s="386" t="n"/>
      <c r="AD72" s="386" t="n"/>
    </row>
    <row r="73" ht="28" customHeight="1" s="380">
      <c r="A73" s="386" t="inlineStr">
        <is>
          <t>3.2.2.4</t>
        </is>
      </c>
      <c r="B73" s="386" t="n"/>
      <c r="C73" s="386" t="inlineStr">
        <is>
          <t>Dashboard Quá trình hành nghề của NHNCK</t>
        </is>
      </c>
      <c r="D73" s="12" t="inlineStr">
        <is>
          <t>Từ tháng</t>
        </is>
      </c>
      <c r="E73" s="12" t="inlineStr">
        <is>
          <t>Thời gian bắt đầu làm việc/ Ngày tiếp nhận</t>
        </is>
      </c>
      <c r="F73" s="386" t="inlineStr">
        <is>
          <t>Dashboard</t>
        </is>
      </c>
      <c r="G73" s="15" t="inlineStr">
        <is>
          <t>Chỉ tiêu cơ sở</t>
        </is>
      </c>
      <c r="H73" s="386" t="inlineStr">
        <is>
          <t>Dễ</t>
        </is>
      </c>
      <c r="I73" s="386" t="inlineStr">
        <is>
          <t>Mã người hành nghề</t>
        </is>
      </c>
      <c r="J73" s="386" t="inlineStr">
        <is>
          <t>NHNCK</t>
        </is>
      </c>
      <c r="K73" s="35" t="inlineStr">
        <is>
          <t>x</t>
        </is>
      </c>
      <c r="L73" s="35" t="inlineStr">
        <is>
          <t>x</t>
        </is>
      </c>
      <c r="M73" s="386" t="n"/>
      <c r="N73" s="386" t="inlineStr">
        <is>
          <t>Done</t>
        </is>
      </c>
      <c r="O73" s="386" t="n"/>
      <c r="P73" s="20" t="inlineStr">
        <is>
          <t>ORGANIZATION_REPORTS</t>
        </is>
      </c>
      <c r="Q73" s="20" t="inlineStr">
        <is>
          <t>OrganizationReports.HireDate</t>
        </is>
      </c>
      <c r="R73" s="386" t="n"/>
      <c r="S73" s="386" t="n"/>
      <c r="T73" s="386" t="n"/>
      <c r="U73" s="386" t="n"/>
      <c r="V73" s="386" t="n"/>
      <c r="W73" s="386" t="n"/>
      <c r="X73" s="14" t="inlineStr">
        <is>
          <t>Done</t>
        </is>
      </c>
      <c r="Y73" s="386" t="n"/>
      <c r="Z73" s="386" t="n"/>
      <c r="AA73" s="386" t="n"/>
      <c r="AB73" s="386" t="n"/>
      <c r="AC73" s="386" t="n"/>
      <c r="AD73" s="386" t="n"/>
    </row>
    <row r="74" ht="37.5" customHeight="1" s="380">
      <c r="A74" s="386" t="inlineStr">
        <is>
          <t>3.2.2.4</t>
        </is>
      </c>
      <c r="B74" s="386" t="n"/>
      <c r="C74" s="386" t="inlineStr">
        <is>
          <t>Dashboard Quá trình hành nghề của NHNCK</t>
        </is>
      </c>
      <c r="D74" s="12" t="inlineStr">
        <is>
          <t>Đến tháng</t>
        </is>
      </c>
      <c r="E74" s="12" t="inlineStr">
        <is>
          <t>Thời gian kết thúc làm việc, nếu còn đang làm việc thì hiển thị “Hiện nay”</t>
        </is>
      </c>
      <c r="F74" s="386" t="inlineStr">
        <is>
          <t>Dashboard</t>
        </is>
      </c>
      <c r="G74" s="15" t="inlineStr">
        <is>
          <t>Chỉ tiêu cơ sở</t>
        </is>
      </c>
      <c r="H74" s="386" t="inlineStr">
        <is>
          <t>Dễ</t>
        </is>
      </c>
      <c r="I74" s="386" t="inlineStr">
        <is>
          <t>Mã người hành nghề</t>
        </is>
      </c>
      <c r="J74" s="386" t="inlineStr">
        <is>
          <t>NHNCK</t>
        </is>
      </c>
      <c r="K74" s="35" t="inlineStr">
        <is>
          <t>x</t>
        </is>
      </c>
      <c r="L74" s="35" t="inlineStr">
        <is>
          <t>x</t>
        </is>
      </c>
      <c r="M74" s="386" t="n"/>
      <c r="N74" s="386" t="inlineStr">
        <is>
          <t>Done</t>
        </is>
      </c>
      <c r="O74" s="386" t="n"/>
      <c r="P74" s="386" t="inlineStr">
        <is>
          <t>ORGANIZATION_REPORTS</t>
        </is>
      </c>
      <c r="Q74" s="386" t="inlineStr">
        <is>
          <t>OrganizationReports.TerminationDate</t>
        </is>
      </c>
      <c r="R74" s="386" t="inlineStr">
        <is>
          <t>If OrganizationReports.TerminationDate is null then "Hiện nay"</t>
        </is>
      </c>
      <c r="S74" s="386" t="n"/>
      <c r="T74" s="386" t="n"/>
      <c r="U74" s="386" t="n"/>
      <c r="V74" s="386" t="n"/>
      <c r="W74" s="386" t="n"/>
      <c r="X74" s="13" t="inlineStr">
        <is>
          <t>Done</t>
        </is>
      </c>
      <c r="Y74" s="386" t="n"/>
      <c r="Z74" s="386" t="n"/>
      <c r="AA74" s="386" t="n"/>
      <c r="AB74" s="386" t="n"/>
      <c r="AC74" s="386" t="n"/>
      <c r="AD74" s="386" t="n"/>
    </row>
    <row r="75" ht="32.25" customHeight="1" s="380">
      <c r="A75" s="386" t="inlineStr">
        <is>
          <t>3.2.2.4</t>
        </is>
      </c>
      <c r="B75" s="386" t="n"/>
      <c r="C75" s="386" t="inlineStr">
        <is>
          <t>Dashboard Quá trình hành nghề của NHNCK</t>
        </is>
      </c>
      <c r="D75" s="12" t="inlineStr">
        <is>
          <t>Trạng thái</t>
        </is>
      </c>
      <c r="E75" s="12" t="inlineStr">
        <is>
          <t>Trạng thái làm việc tại từng nơi công tác:
- Quá khứ: Không còn làm việc
- Hiện tại: Đang làm việc</t>
        </is>
      </c>
      <c r="F75" s="386" t="inlineStr">
        <is>
          <t>Dashboard</t>
        </is>
      </c>
      <c r="G75" s="15" t="inlineStr">
        <is>
          <t>Chỉ tiêu phái sinh</t>
        </is>
      </c>
      <c r="H75" s="386" t="inlineStr">
        <is>
          <t>Dễ</t>
        </is>
      </c>
      <c r="I75" s="386" t="inlineStr">
        <is>
          <t>Mã người hành nghề</t>
        </is>
      </c>
      <c r="J75" s="386" t="inlineStr">
        <is>
          <t>NHNCK</t>
        </is>
      </c>
      <c r="K75" s="35" t="inlineStr">
        <is>
          <t>x</t>
        </is>
      </c>
      <c r="L75" s="35" t="inlineStr">
        <is>
          <t>x</t>
        </is>
      </c>
      <c r="M75" s="39" t="inlineStr">
        <is>
          <t>ProfessionalHistories.StatusWork</t>
        </is>
      </c>
      <c r="N75" s="386" t="inlineStr">
        <is>
          <t>Done</t>
        </is>
      </c>
      <c r="O75" s="386" t="n"/>
      <c r="P75" s="39" t="inlineStr">
        <is>
          <t>ORGANIZATION_REPORTS</t>
        </is>
      </c>
      <c r="Q75" s="39" t="inlineStr">
        <is>
          <t>Hệ thống tự tính: Nếu 'Đến tháng" null thì "Đang làm việc", nếu đến tháng có giá trị thì cập nhật "đã nghỉ/ Không còn làm việc"</t>
        </is>
      </c>
      <c r="R75" s="386" t="n"/>
      <c r="S75" s="386" t="n"/>
      <c r="T75" s="386" t="n"/>
      <c r="U75" s="386" t="n"/>
      <c r="V75" s="386" t="n"/>
      <c r="W75" s="386" t="n"/>
      <c r="X75" s="14" t="inlineStr">
        <is>
          <t>Done</t>
        </is>
      </c>
      <c r="Y75" s="386" t="n"/>
      <c r="Z75" s="386" t="n"/>
      <c r="AA75" s="386" t="n"/>
      <c r="AB75" s="386" t="n"/>
      <c r="AC75" s="386" t="n"/>
      <c r="AD75" s="386" t="n"/>
    </row>
    <row r="76" ht="28" customHeight="1" s="380">
      <c r="A76" s="386" t="inlineStr">
        <is>
          <t>3.2.2.5</t>
        </is>
      </c>
      <c r="B76" s="386" t="n"/>
      <c r="C76" s="386" t="inlineStr">
        <is>
          <t>Dashboard Lịch sử cấp chứng chỉ của NHNCK</t>
        </is>
      </c>
      <c r="D76" s="12" t="inlineStr">
        <is>
          <t>Số CCHN</t>
        </is>
      </c>
      <c r="E76" s="12" t="inlineStr">
        <is>
          <t>Thông tin số CCHN đã cấp</t>
        </is>
      </c>
      <c r="F76" s="386" t="inlineStr">
        <is>
          <t>Dashboard</t>
        </is>
      </c>
      <c r="G76" s="15" t="inlineStr">
        <is>
          <t>Chỉ tiêu cơ sở</t>
        </is>
      </c>
      <c r="H76" s="386" t="inlineStr">
        <is>
          <t>Dễ</t>
        </is>
      </c>
      <c r="I76" s="386" t="inlineStr">
        <is>
          <t>Mã người hành nghề</t>
        </is>
      </c>
      <c r="J76" s="386" t="inlineStr">
        <is>
          <t>NHNCK</t>
        </is>
      </c>
      <c r="K76" s="35" t="inlineStr">
        <is>
          <t>x</t>
        </is>
      </c>
      <c r="L76" s="35" t="inlineStr">
        <is>
          <t>x</t>
        </is>
      </c>
      <c r="M76" s="386" t="n"/>
      <c r="N76" s="386" t="inlineStr">
        <is>
          <t>Done</t>
        </is>
      </c>
      <c r="O76" s="386" t="n"/>
      <c r="P76" s="386" t="inlineStr">
        <is>
          <t>ORGANIZATION_REPORTS</t>
        </is>
      </c>
      <c r="Q76" s="386" t="inlineStr">
        <is>
          <t>OrganizationReports.CertificateNumber</t>
        </is>
      </c>
      <c r="R76" s="386" t="n"/>
      <c r="S76" s="386" t="n"/>
      <c r="T76" s="386" t="n"/>
      <c r="U76" s="386" t="n"/>
      <c r="V76" s="386" t="n"/>
      <c r="W76" s="386" t="n"/>
      <c r="X76" s="13" t="inlineStr">
        <is>
          <t>Done</t>
        </is>
      </c>
      <c r="Y76" s="386" t="n"/>
      <c r="Z76" s="386" t="n"/>
      <c r="AA76" s="386" t="n"/>
      <c r="AB76" s="386" t="n"/>
      <c r="AC76" s="386" t="n"/>
      <c r="AD76" s="386" t="n"/>
    </row>
    <row r="77" ht="28" customHeight="1" s="380">
      <c r="A77" s="386" t="inlineStr">
        <is>
          <t>3.2.2.5</t>
        </is>
      </c>
      <c r="B77" s="386" t="n"/>
      <c r="C77" s="386" t="inlineStr">
        <is>
          <t>Dashboard Lịch sử cấp chứng chỉ của NHNCK</t>
        </is>
      </c>
      <c r="D77" s="12" t="inlineStr">
        <is>
          <t>Loại hình</t>
        </is>
      </c>
      <c r="E77" s="12" t="inlineStr">
        <is>
          <t>Loại hình hành nghề được cấp</t>
        </is>
      </c>
      <c r="F77" s="386" t="inlineStr">
        <is>
          <t>Dashboard</t>
        </is>
      </c>
      <c r="G77" s="15" t="inlineStr">
        <is>
          <t>Chỉ tiêu cơ sở</t>
        </is>
      </c>
      <c r="H77" s="386" t="inlineStr">
        <is>
          <t>Dễ</t>
        </is>
      </c>
      <c r="I77" s="386" t="inlineStr">
        <is>
          <t>Mã người hành nghề</t>
        </is>
      </c>
      <c r="J77" s="386" t="inlineStr">
        <is>
          <t>NHNCK</t>
        </is>
      </c>
      <c r="K77" s="35" t="inlineStr">
        <is>
          <t>x</t>
        </is>
      </c>
      <c r="L77" s="35" t="inlineStr">
        <is>
          <t>x</t>
        </is>
      </c>
      <c r="M77" s="386" t="n"/>
      <c r="N77" s="386" t="inlineStr">
        <is>
          <t>Done</t>
        </is>
      </c>
      <c r="O77" s="386" t="n"/>
      <c r="P77" s="386" t="inlineStr">
        <is>
          <t>CERTIFICATES</t>
        </is>
      </c>
      <c r="Q77" s="386" t="inlineStr">
        <is>
          <t>Certificates.CertificateCode
Certificates.CertificateName</t>
        </is>
      </c>
      <c r="R77" s="386" t="n"/>
      <c r="S77" s="386" t="n"/>
      <c r="T77" s="386" t="n"/>
      <c r="U77" s="386" t="n"/>
      <c r="V77" s="386" t="n"/>
      <c r="W77" s="386" t="n"/>
      <c r="X77" s="14" t="inlineStr">
        <is>
          <t>Done</t>
        </is>
      </c>
      <c r="Y77" s="386" t="n"/>
      <c r="Z77" s="386" t="n"/>
      <c r="AA77" s="386" t="n"/>
      <c r="AB77" s="386" t="n"/>
      <c r="AC77" s="386" t="n"/>
      <c r="AD77" s="386" t="n"/>
    </row>
    <row r="78" ht="28" customHeight="1" s="380">
      <c r="A78" s="386" t="inlineStr">
        <is>
          <t>3.2.2.5</t>
        </is>
      </c>
      <c r="B78" s="386" t="n"/>
      <c r="C78" s="386" t="inlineStr">
        <is>
          <t>Dashboard Lịch sử cấp chứng chỉ của NHNCK</t>
        </is>
      </c>
      <c r="D78" s="12" t="inlineStr">
        <is>
          <t>Ngày cấp</t>
        </is>
      </c>
      <c r="E78" s="12" t="inlineStr">
        <is>
          <t>Ngày cấp CCHN</t>
        </is>
      </c>
      <c r="F78" s="386" t="inlineStr">
        <is>
          <t>Dashboard</t>
        </is>
      </c>
      <c r="G78" s="15" t="inlineStr">
        <is>
          <t>Chỉ tiêu cơ sở</t>
        </is>
      </c>
      <c r="H78" s="386" t="inlineStr">
        <is>
          <t>Dễ</t>
        </is>
      </c>
      <c r="I78" s="386" t="inlineStr">
        <is>
          <t>Mã người hành nghề</t>
        </is>
      </c>
      <c r="J78" s="386" t="inlineStr">
        <is>
          <t>NHNCK</t>
        </is>
      </c>
      <c r="K78" s="35" t="inlineStr">
        <is>
          <t>x</t>
        </is>
      </c>
      <c r="L78" s="35" t="inlineStr">
        <is>
          <t>x</t>
        </is>
      </c>
      <c r="M78" s="386" t="n"/>
      <c r="N78" s="386" t="inlineStr">
        <is>
          <t>Done</t>
        </is>
      </c>
      <c r="O78" s="386" t="n"/>
      <c r="P78" s="386" t="inlineStr">
        <is>
          <t>ORGANIZATION_REPORTS</t>
        </is>
      </c>
      <c r="Q78" s="386" t="inlineStr">
        <is>
          <t>OrganizationReports.IssueDate</t>
        </is>
      </c>
      <c r="R78" s="386" t="n"/>
      <c r="S78" s="386" t="n"/>
      <c r="T78" s="386" t="n"/>
      <c r="U78" s="386" t="n"/>
      <c r="V78" s="386" t="n"/>
      <c r="W78" s="386" t="n"/>
      <c r="X78" s="13" t="inlineStr">
        <is>
          <t>Done</t>
        </is>
      </c>
      <c r="Y78" s="386" t="n"/>
      <c r="Z78" s="386" t="n"/>
      <c r="AA78" s="386" t="n"/>
      <c r="AB78" s="386" t="n"/>
      <c r="AC78" s="386" t="n"/>
      <c r="AD78" s="386" t="n"/>
    </row>
    <row r="79" ht="28" customHeight="1" s="380">
      <c r="A79" s="386" t="inlineStr">
        <is>
          <t>3.2.2.5</t>
        </is>
      </c>
      <c r="B79" s="386" t="n"/>
      <c r="C79" s="386" t="inlineStr">
        <is>
          <t>Dashboard Lịch sử cấp chứng chỉ của NHNCK</t>
        </is>
      </c>
      <c r="D79" s="12" t="inlineStr">
        <is>
          <t>Ngày thu hồi</t>
        </is>
      </c>
      <c r="E79" s="12" t="inlineStr">
        <is>
          <t>Ngày thu hồi CCHN (nếu có)</t>
        </is>
      </c>
      <c r="F79" s="386" t="inlineStr">
        <is>
          <t>Dashboard</t>
        </is>
      </c>
      <c r="G79" s="15" t="inlineStr">
        <is>
          <t>Chỉ tiêu cơ sở</t>
        </is>
      </c>
      <c r="H79" s="386" t="inlineStr">
        <is>
          <t>Dễ</t>
        </is>
      </c>
      <c r="I79" s="386" t="inlineStr">
        <is>
          <t>Mã người hành nghề</t>
        </is>
      </c>
      <c r="J79" s="386" t="inlineStr">
        <is>
          <t>NHNCK</t>
        </is>
      </c>
      <c r="K79" s="35" t="inlineStr">
        <is>
          <t>x</t>
        </is>
      </c>
      <c r="L79" s="35" t="inlineStr">
        <is>
          <t>x</t>
        </is>
      </c>
      <c r="M79" s="386" t="n"/>
      <c r="N79" s="386" t="inlineStr">
        <is>
          <t>Done</t>
        </is>
      </c>
      <c r="O79" s="386" t="n"/>
      <c r="P79" s="386" t="inlineStr">
        <is>
          <t>CERTIFICATE_RECORDS</t>
        </is>
      </c>
      <c r="Q79" s="386" t="inlineStr">
        <is>
          <t>CertificateRecords.RevocationDate</t>
        </is>
      </c>
      <c r="R79" s="386" t="n"/>
      <c r="S79" s="386" t="n"/>
      <c r="T79" s="386" t="n"/>
      <c r="U79" s="386" t="n"/>
      <c r="V79" s="386" t="n"/>
      <c r="W79" s="386" t="n"/>
      <c r="X79" s="14" t="inlineStr">
        <is>
          <t>Done</t>
        </is>
      </c>
      <c r="Y79" s="386" t="n"/>
      <c r="Z79" s="386" t="n"/>
      <c r="AA79" s="386" t="n"/>
      <c r="AB79" s="386" t="n"/>
      <c r="AC79" s="386" t="n"/>
      <c r="AD79" s="386" t="n"/>
    </row>
    <row r="80" ht="28" customHeight="1" s="380">
      <c r="A80" s="386" t="inlineStr">
        <is>
          <t>3.2.2.5</t>
        </is>
      </c>
      <c r="B80" s="386" t="n"/>
      <c r="C80" s="386" t="inlineStr">
        <is>
          <t>Dashboard Lịch sử cấp chứng chỉ của NHNCK</t>
        </is>
      </c>
      <c r="D80" s="12" t="inlineStr">
        <is>
          <t>Quyết định</t>
        </is>
      </c>
      <c r="E80" s="12" t="inlineStr">
        <is>
          <t>Số quyết định cấp CCHN</t>
        </is>
      </c>
      <c r="F80" s="386" t="inlineStr">
        <is>
          <t>Dashboard</t>
        </is>
      </c>
      <c r="G80" s="15" t="inlineStr">
        <is>
          <t>Chỉ tiêu cơ sở</t>
        </is>
      </c>
      <c r="H80" s="386" t="inlineStr">
        <is>
          <t>Dễ</t>
        </is>
      </c>
      <c r="I80" s="386" t="inlineStr">
        <is>
          <t>Mã người hành nghề</t>
        </is>
      </c>
      <c r="J80" s="386" t="inlineStr">
        <is>
          <t>NHNCK</t>
        </is>
      </c>
      <c r="K80" s="35" t="inlineStr">
        <is>
          <t>x</t>
        </is>
      </c>
      <c r="L80" s="35" t="inlineStr">
        <is>
          <t>x</t>
        </is>
      </c>
      <c r="M80" s="386" t="n"/>
      <c r="N80" s="386" t="inlineStr">
        <is>
          <t>Done</t>
        </is>
      </c>
      <c r="O80" s="386" t="n"/>
      <c r="P80" s="386" t="inlineStr">
        <is>
          <t>CERTIFICATE_RECORDS</t>
        </is>
      </c>
      <c r="Q80" s="386" t="inlineStr">
        <is>
          <t>CertificateRecords.IssueDecisionId</t>
        </is>
      </c>
      <c r="R80" s="386" t="n"/>
      <c r="S80" s="386" t="n"/>
      <c r="T80" s="386" t="n"/>
      <c r="U80" s="386" t="n"/>
      <c r="V80" s="386" t="n"/>
      <c r="W80" s="386" t="n"/>
      <c r="X80" s="13" t="inlineStr">
        <is>
          <t>Done</t>
        </is>
      </c>
      <c r="Y80" s="386" t="n"/>
      <c r="Z80" s="386" t="n"/>
      <c r="AA80" s="386" t="n"/>
      <c r="AB80" s="386" t="n"/>
      <c r="AC80" s="386" t="n"/>
      <c r="AD80" s="386" t="n"/>
    </row>
    <row r="81" ht="98" customHeight="1" s="380">
      <c r="A81" s="386" t="inlineStr">
        <is>
          <t>3.2.2.5</t>
        </is>
      </c>
      <c r="B81" s="386" t="n"/>
      <c r="C81" s="386" t="inlineStr">
        <is>
          <t>Dashboard Lịch sử cấp chứng chỉ của NHNCK</t>
        </is>
      </c>
      <c r="D81" s="12" t="inlineStr">
        <is>
          <t>Trạng thái</t>
        </is>
      </c>
      <c r="E81" s="12" t="inlineStr">
        <is>
          <t>Trạng thái gồm:
Chưa hành nghề | Đang hành nghề | Cấm hành nghề có thời hạn | Thu hồi có cấp lại | Thu hồi không cấp lại</t>
        </is>
      </c>
      <c r="F81" s="386" t="inlineStr">
        <is>
          <t>Dashboard</t>
        </is>
      </c>
      <c r="G81" s="15" t="inlineStr">
        <is>
          <t>Chỉ tiêu cơ sở</t>
        </is>
      </c>
      <c r="H81" s="386" t="inlineStr">
        <is>
          <t>Dễ</t>
        </is>
      </c>
      <c r="I81" s="386" t="inlineStr">
        <is>
          <t>Mã người hành nghề</t>
        </is>
      </c>
      <c r="J81" s="386" t="inlineStr">
        <is>
          <t>NHNCK</t>
        </is>
      </c>
      <c r="K81" s="35" t="inlineStr">
        <is>
          <t>x</t>
        </is>
      </c>
      <c r="L81" s="35" t="inlineStr">
        <is>
          <t>x</t>
        </is>
      </c>
      <c r="M81" s="386" t="n"/>
      <c r="N81" s="386" t="inlineStr">
        <is>
          <t>Done</t>
        </is>
      </c>
      <c r="O81" s="386" t="n"/>
      <c r="P81" s="386" t="inlineStr">
        <is>
          <t>CERTIFICATE_RECORDS</t>
        </is>
      </c>
      <c r="Q81" s="386" t="inlineStr">
        <is>
          <t>CertificateRecords.Status</t>
        </is>
      </c>
      <c r="R81" s="386" t="n"/>
      <c r="S81" s="386" t="n"/>
      <c r="T81" s="386" t="n"/>
      <c r="U81" s="386" t="n"/>
      <c r="V81" s="386" t="n"/>
      <c r="W81" s="386" t="n"/>
      <c r="X81" s="14" t="inlineStr">
        <is>
          <t>Done</t>
        </is>
      </c>
      <c r="Y81" s="386" t="n"/>
      <c r="Z81" s="386" t="n"/>
      <c r="AA81" s="386" t="n"/>
      <c r="AB81" s="386" t="n"/>
      <c r="AC81" s="386" t="n"/>
      <c r="AD81" s="386" t="n"/>
    </row>
    <row r="82" ht="42" customHeight="1" s="380">
      <c r="A82" s="386" t="inlineStr">
        <is>
          <t>3.2.2.6</t>
        </is>
      </c>
      <c r="B82" s="40" t="n"/>
      <c r="C82" s="40" t="inlineStr">
        <is>
          <t>Dashboard Đợt thi sát hạch của NHNCK</t>
        </is>
      </c>
      <c r="D82" s="12" t="inlineStr">
        <is>
          <t>Đợt thi</t>
        </is>
      </c>
      <c r="E82" s="12" t="inlineStr">
        <is>
          <t>Đợt thi NHN đã tham gia</t>
        </is>
      </c>
      <c r="F82" s="386" t="inlineStr">
        <is>
          <t>Dashboard</t>
        </is>
      </c>
      <c r="G82" s="15" t="inlineStr">
        <is>
          <t>Chỉ tiêu cơ sở</t>
        </is>
      </c>
      <c r="H82" s="386" t="inlineStr">
        <is>
          <t>Dễ</t>
        </is>
      </c>
      <c r="I82" s="386" t="inlineStr">
        <is>
          <t>Mã người hành nghề</t>
        </is>
      </c>
      <c r="J82" s="386" t="inlineStr">
        <is>
          <t>NHNCK</t>
        </is>
      </c>
      <c r="K82" s="35" t="inlineStr">
        <is>
          <t>x</t>
        </is>
      </c>
      <c r="L82" s="35" t="inlineStr">
        <is>
          <t>x</t>
        </is>
      </c>
      <c r="M82" s="386" t="n"/>
      <c r="N82" s="386" t="inlineStr">
        <is>
          <t>Done</t>
        </is>
      </c>
      <c r="O82" s="386" t="n"/>
      <c r="P82" s="386" t="inlineStr">
        <is>
          <t>EXAM_SESSIONS</t>
        </is>
      </c>
      <c r="Q82" s="386" t="inlineStr">
        <is>
          <t>ExamSessions.Code
ExamSessions.Name
ExamSessions.Session</t>
        </is>
      </c>
      <c r="R82" s="386" t="n"/>
      <c r="S82" s="386" t="n"/>
      <c r="T82" s="386" t="n"/>
      <c r="U82" s="386" t="n"/>
      <c r="V82" s="386" t="n"/>
      <c r="W82" s="386" t="n"/>
      <c r="X82" s="13" t="inlineStr">
        <is>
          <t>Done</t>
        </is>
      </c>
      <c r="Y82" s="386" t="n"/>
      <c r="Z82" s="386" t="n"/>
      <c r="AA82" s="386" t="n"/>
      <c r="AB82" s="386" t="n"/>
      <c r="AC82" s="386" t="n"/>
      <c r="AD82" s="386" t="n"/>
    </row>
    <row r="83" ht="28" customHeight="1" s="380">
      <c r="A83" s="386" t="n"/>
      <c r="B83" s="12" t="n"/>
      <c r="C83" s="12" t="inlineStr">
        <is>
          <t>Dashboard Đợt thi sát hạch của NHNCK</t>
        </is>
      </c>
      <c r="D83" s="12" t="inlineStr">
        <is>
          <t>Loại chứng chỉ mỗi đợt thi</t>
        </is>
      </c>
      <c r="E83" s="12" t="n"/>
      <c r="F83" s="386" t="n"/>
      <c r="G83" s="15" t="n"/>
      <c r="H83" s="386" t="n"/>
      <c r="I83" s="386" t="inlineStr">
        <is>
          <t>Mã người hành nghề</t>
        </is>
      </c>
      <c r="J83" s="386" t="inlineStr">
        <is>
          <t>NHNCK</t>
        </is>
      </c>
      <c r="K83" s="35" t="n"/>
      <c r="L83" s="35" t="n"/>
      <c r="M83" s="386" t="n"/>
      <c r="N83" s="386" t="inlineStr">
        <is>
          <t>Done</t>
        </is>
      </c>
      <c r="O83" s="386" t="n"/>
      <c r="P83" s="386" t="inlineStr">
        <is>
          <t>EXAM_SESSION_FEES</t>
        </is>
      </c>
      <c r="Q83" s="386" t="inlineStr">
        <is>
          <t>ExamSessionFees.CertificateId</t>
        </is>
      </c>
      <c r="R83" s="386" t="n"/>
      <c r="S83" s="386" t="n"/>
      <c r="T83" s="386" t="n"/>
      <c r="U83" s="386" t="n"/>
      <c r="V83" s="386" t="n"/>
      <c r="W83" s="386" t="n"/>
      <c r="X83" s="14" t="n"/>
      <c r="Y83" s="386" t="n"/>
      <c r="Z83" s="386" t="n"/>
      <c r="AA83" s="386" t="n"/>
      <c r="AB83" s="386" t="n"/>
      <c r="AC83" s="386" t="n"/>
      <c r="AD83" s="386" t="n"/>
    </row>
    <row r="84" ht="28" customHeight="1" s="380">
      <c r="A84" s="386" t="inlineStr">
        <is>
          <t>3.2.2.6</t>
        </is>
      </c>
      <c r="B84" s="12" t="n"/>
      <c r="C84" s="12" t="inlineStr">
        <is>
          <t>Dashboard Đợt thi sát hạch của NHNCK</t>
        </is>
      </c>
      <c r="D84" s="12" t="inlineStr">
        <is>
          <t>Ngày thi</t>
        </is>
      </c>
      <c r="E84" s="12" t="inlineStr">
        <is>
          <t>Ngày thi NHN đã tham gia</t>
        </is>
      </c>
      <c r="F84" s="386" t="inlineStr">
        <is>
          <t>Dashboard</t>
        </is>
      </c>
      <c r="G84" s="15" t="inlineStr">
        <is>
          <t>Chỉ tiêu cơ sở</t>
        </is>
      </c>
      <c r="H84" s="386" t="inlineStr">
        <is>
          <t>Dễ</t>
        </is>
      </c>
      <c r="I84" s="386" t="inlineStr">
        <is>
          <t>Mã người hành nghề</t>
        </is>
      </c>
      <c r="J84" s="386" t="inlineStr">
        <is>
          <t>NHNCK</t>
        </is>
      </c>
      <c r="K84" s="35" t="inlineStr">
        <is>
          <t>x</t>
        </is>
      </c>
      <c r="L84" s="35" t="inlineStr">
        <is>
          <t>x</t>
        </is>
      </c>
      <c r="M84" s="386" t="n"/>
      <c r="N84" s="386" t="inlineStr">
        <is>
          <t>Done</t>
        </is>
      </c>
      <c r="O84" s="386" t="n"/>
      <c r="P84" s="386" t="inlineStr">
        <is>
          <t>EXAM_SESSIONS</t>
        </is>
      </c>
      <c r="Q84" s="386" t="inlineStr">
        <is>
          <t>ExamSessions.ExamStartDate
ExamSessions.ExamEndDate</t>
        </is>
      </c>
      <c r="R84" s="386" t="n"/>
      <c r="S84" s="386" t="n"/>
      <c r="T84" s="386" t="n"/>
      <c r="U84" s="386" t="n"/>
      <c r="V84" s="386" t="n"/>
      <c r="W84" s="386" t="n"/>
      <c r="X84" s="13" t="inlineStr">
        <is>
          <t>Done</t>
        </is>
      </c>
      <c r="Y84" s="386" t="n"/>
      <c r="Z84" s="386" t="n"/>
      <c r="AA84" s="386" t="n"/>
      <c r="AB84" s="386" t="n"/>
      <c r="AC84" s="386" t="n"/>
      <c r="AD84" s="386" t="n"/>
    </row>
    <row r="85" ht="28" customHeight="1" s="380">
      <c r="A85" s="386" t="inlineStr">
        <is>
          <t>3.2.2.6</t>
        </is>
      </c>
      <c r="B85" s="12" t="n"/>
      <c r="C85" s="12" t="inlineStr">
        <is>
          <t>Dashboard Đợt thi sát hạch của NHNCK</t>
        </is>
      </c>
      <c r="D85" s="12" t="inlineStr">
        <is>
          <t>Điểm thi</t>
        </is>
      </c>
      <c r="E85" s="12" t="inlineStr">
        <is>
          <t>Điểm thi chuyên môn NHN đã tham gia</t>
        </is>
      </c>
      <c r="F85" s="386" t="inlineStr">
        <is>
          <t>Dashboard</t>
        </is>
      </c>
      <c r="G85" s="15" t="inlineStr">
        <is>
          <t>Chỉ tiêu cơ sở</t>
        </is>
      </c>
      <c r="H85" s="386" t="inlineStr">
        <is>
          <t>Dễ</t>
        </is>
      </c>
      <c r="I85" s="386" t="inlineStr">
        <is>
          <t>Mã người hành nghề</t>
        </is>
      </c>
      <c r="J85" s="386" t="inlineStr">
        <is>
          <t>NHNCK</t>
        </is>
      </c>
      <c r="K85" s="35" t="inlineStr">
        <is>
          <t>x</t>
        </is>
      </c>
      <c r="L85" s="35" t="inlineStr">
        <is>
          <t>x</t>
        </is>
      </c>
      <c r="M85" s="386" t="n"/>
      <c r="N85" s="386" t="inlineStr">
        <is>
          <t>Done</t>
        </is>
      </c>
      <c r="O85" s="386" t="n"/>
      <c r="P85" s="386" t="inlineStr">
        <is>
          <t>EXAM_DETAILS</t>
        </is>
      </c>
      <c r="Q85" s="386" t="inlineStr">
        <is>
          <t>ExamDetails.SpecializationScore</t>
        </is>
      </c>
      <c r="R85" s="386" t="n"/>
      <c r="S85" s="386" t="n"/>
      <c r="T85" s="386" t="n"/>
      <c r="U85" s="386" t="n"/>
      <c r="V85" s="386" t="n"/>
      <c r="W85" s="386" t="n"/>
      <c r="X85" s="14" t="inlineStr">
        <is>
          <t>Done</t>
        </is>
      </c>
      <c r="Y85" s="386" t="n"/>
      <c r="Z85" s="386" t="n"/>
      <c r="AA85" s="386" t="n"/>
      <c r="AB85" s="386" t="n"/>
      <c r="AC85" s="386" t="n"/>
      <c r="AD85" s="386" t="n"/>
    </row>
    <row r="86" ht="28" customHeight="1" s="380">
      <c r="A86" s="386" t="n"/>
      <c r="B86" s="12" t="n"/>
      <c r="C86" s="12" t="inlineStr">
        <is>
          <t>Dashboard Đợt thi sát hạch của NHNCK</t>
        </is>
      </c>
      <c r="D86" s="12" t="inlineStr">
        <is>
          <t>Điểm thi luật</t>
        </is>
      </c>
      <c r="E86" s="12" t="inlineStr">
        <is>
          <t>Điểm thi luật</t>
        </is>
      </c>
      <c r="F86" s="386" t="inlineStr">
        <is>
          <t>Dashboard</t>
        </is>
      </c>
      <c r="G86" s="15" t="inlineStr">
        <is>
          <t>Chỉ tiêu cơ sở</t>
        </is>
      </c>
      <c r="H86" s="386" t="inlineStr">
        <is>
          <t>Dễ</t>
        </is>
      </c>
      <c r="I86" s="386" t="inlineStr">
        <is>
          <t>Mã người hành nghề</t>
        </is>
      </c>
      <c r="J86" s="386" t="inlineStr">
        <is>
          <t>NHNCK</t>
        </is>
      </c>
      <c r="K86" s="35" t="n"/>
      <c r="L86" s="35" t="n"/>
      <c r="M86" s="386" t="n"/>
      <c r="N86" s="386" t="inlineStr">
        <is>
          <t>Done</t>
        </is>
      </c>
      <c r="O86" s="386" t="n"/>
      <c r="P86" s="386" t="inlineStr">
        <is>
          <t>EXAM_DETAILS</t>
        </is>
      </c>
      <c r="Q86" s="386" t="inlineStr">
        <is>
          <t>ExamDetails.LawScore</t>
        </is>
      </c>
      <c r="R86" s="386" t="n"/>
      <c r="S86" s="386" t="n"/>
      <c r="T86" s="386" t="n"/>
      <c r="U86" s="386" t="n"/>
      <c r="V86" s="386" t="n"/>
      <c r="W86" s="386" t="n"/>
      <c r="X86" s="13" t="n"/>
      <c r="Y86" s="386" t="n"/>
      <c r="Z86" s="386" t="n"/>
      <c r="AA86" s="386" t="n"/>
      <c r="AB86" s="386" t="n"/>
      <c r="AC86" s="386" t="n"/>
      <c r="AD86" s="386" t="n"/>
    </row>
    <row r="87" ht="28" customHeight="1" s="380">
      <c r="A87" s="386" t="n"/>
      <c r="B87" s="12" t="n"/>
      <c r="C87" s="12" t="inlineStr">
        <is>
          <t>Dashboard Đợt thi sát hạch của NHNCK</t>
        </is>
      </c>
      <c r="D87" s="12" t="inlineStr">
        <is>
          <t>Kết quả thi luật</t>
        </is>
      </c>
      <c r="E87" s="12" t="inlineStr">
        <is>
          <t>Kết quả luật (1: Đạt, 0: Không đạt)</t>
        </is>
      </c>
      <c r="F87" s="386" t="inlineStr">
        <is>
          <t>Dashboard</t>
        </is>
      </c>
      <c r="G87" s="15" t="inlineStr">
        <is>
          <t>Chỉ tiêu cơ sở</t>
        </is>
      </c>
      <c r="H87" s="386" t="inlineStr">
        <is>
          <t>Dễ</t>
        </is>
      </c>
      <c r="I87" s="386" t="inlineStr">
        <is>
          <t>Mã người hành nghề</t>
        </is>
      </c>
      <c r="J87" s="386" t="inlineStr">
        <is>
          <t>NHNCK</t>
        </is>
      </c>
      <c r="K87" s="35" t="n"/>
      <c r="L87" s="35" t="n"/>
      <c r="M87" s="386" t="n"/>
      <c r="N87" s="386" t="inlineStr">
        <is>
          <t>Done</t>
        </is>
      </c>
      <c r="O87" s="386" t="n"/>
      <c r="P87" s="386" t="inlineStr">
        <is>
          <t>EXAM_DETAILS</t>
        </is>
      </c>
      <c r="Q87" s="386" t="inlineStr">
        <is>
          <t>ExamDetails.LawResult</t>
        </is>
      </c>
      <c r="R87" s="386" t="n"/>
      <c r="S87" s="386" t="n"/>
      <c r="T87" s="386" t="n"/>
      <c r="U87" s="386" t="n"/>
      <c r="V87" s="386" t="n"/>
      <c r="W87" s="386" t="n"/>
      <c r="X87" s="14" t="n"/>
      <c r="Y87" s="386" t="n"/>
      <c r="Z87" s="386" t="n"/>
      <c r="AA87" s="386" t="n"/>
      <c r="AB87" s="386" t="n"/>
      <c r="AC87" s="386" t="n"/>
      <c r="AD87" s="386" t="n"/>
    </row>
    <row r="88" ht="28" customHeight="1" s="380">
      <c r="A88" s="386" t="n"/>
      <c r="B88" s="12" t="n"/>
      <c r="C88" s="12" t="inlineStr">
        <is>
          <t>Dashboard Đợt thi sát hạch của NHNCK</t>
        </is>
      </c>
      <c r="D88" s="12" t="inlineStr">
        <is>
          <t>Kết quả thi chuyên môn</t>
        </is>
      </c>
      <c r="E88" s="12" t="inlineStr">
        <is>
          <t>Kết quả chuyên môn (1: Đạt, 0: Không đạt)</t>
        </is>
      </c>
      <c r="F88" s="386" t="inlineStr">
        <is>
          <t>Dashboard</t>
        </is>
      </c>
      <c r="G88" s="15" t="inlineStr">
        <is>
          <t>Chỉ tiêu cơ sở</t>
        </is>
      </c>
      <c r="H88" s="386" t="inlineStr">
        <is>
          <t>Dễ</t>
        </is>
      </c>
      <c r="I88" s="386" t="inlineStr">
        <is>
          <t>Mã người hành nghề</t>
        </is>
      </c>
      <c r="J88" s="386" t="inlineStr">
        <is>
          <t>NHNCK</t>
        </is>
      </c>
      <c r="K88" s="35" t="n"/>
      <c r="L88" s="35" t="n"/>
      <c r="M88" s="386" t="n"/>
      <c r="N88" s="386" t="inlineStr">
        <is>
          <t>Done</t>
        </is>
      </c>
      <c r="O88" s="386" t="n"/>
      <c r="P88" s="386" t="inlineStr">
        <is>
          <t>EXAM_DETAILS</t>
        </is>
      </c>
      <c r="Q88" s="386" t="inlineStr">
        <is>
          <t>ExamDetails.SpecializationResult</t>
        </is>
      </c>
      <c r="R88" s="386" t="n"/>
      <c r="S88" s="386" t="n"/>
      <c r="T88" s="386" t="n"/>
      <c r="U88" s="386" t="n"/>
      <c r="V88" s="386" t="n"/>
      <c r="W88" s="386" t="n"/>
      <c r="X88" s="13" t="n"/>
      <c r="Y88" s="386" t="n"/>
      <c r="Z88" s="386" t="n"/>
      <c r="AA88" s="386" t="n"/>
      <c r="AB88" s="386" t="n"/>
      <c r="AC88" s="386" t="n"/>
      <c r="AD88" s="386" t="n"/>
    </row>
    <row r="89" ht="112" customHeight="1" s="380">
      <c r="A89" s="386" t="inlineStr">
        <is>
          <t>3.2.2.6</t>
        </is>
      </c>
      <c r="B89" s="12" t="n"/>
      <c r="C89" s="12" t="inlineStr">
        <is>
          <t>Dashboard Đợt thi sát hạch của NHNCK</t>
        </is>
      </c>
      <c r="D89" s="12" t="inlineStr">
        <is>
          <t>Số quyết định công bố</t>
        </is>
      </c>
      <c r="E89" s="12" t="inlineStr">
        <is>
          <t>Số quyết định công bố xác nhận danh sách thí sinh đạt / không đạt, điểm thi chính thức, làm căn cứ để cấp chứng chỉ chuyên môn chứng khoán</t>
        </is>
      </c>
      <c r="F89" s="386" t="inlineStr">
        <is>
          <t>Dashboard</t>
        </is>
      </c>
      <c r="G89" s="15" t="inlineStr">
        <is>
          <t>Chỉ tiêu cơ sở</t>
        </is>
      </c>
      <c r="H89" s="386" t="inlineStr">
        <is>
          <t>Dễ</t>
        </is>
      </c>
      <c r="I89" s="386" t="inlineStr">
        <is>
          <t>Mã người hành nghề</t>
        </is>
      </c>
      <c r="J89" s="386" t="inlineStr">
        <is>
          <t>NHNCK</t>
        </is>
      </c>
      <c r="K89" s="35" t="inlineStr">
        <is>
          <t>x</t>
        </is>
      </c>
      <c r="L89" s="35" t="inlineStr">
        <is>
          <t>x</t>
        </is>
      </c>
      <c r="M89" s="386" t="n"/>
      <c r="N89" s="386" t="inlineStr">
        <is>
          <t>Done</t>
        </is>
      </c>
      <c r="O89" s="386" t="n"/>
      <c r="P89" s="386" t="inlineStr">
        <is>
          <t>DECISIONS, EXAM_SESSIONS</t>
        </is>
      </c>
      <c r="Q89" s="386" t="inlineStr">
        <is>
          <t>ExamSessions.DecisionId
/ 
Decisions.DecisionNumber</t>
        </is>
      </c>
      <c r="R89" s="386" t="inlineStr">
        <is>
          <t>where Decisions.TypeId ...</t>
        </is>
      </c>
      <c r="S89" s="386" t="n"/>
      <c r="T89" s="386" t="n"/>
      <c r="U89" s="386" t="n"/>
      <c r="V89" s="386" t="n"/>
      <c r="W89" s="386" t="n"/>
      <c r="X89" s="14" t="inlineStr">
        <is>
          <t>Done</t>
        </is>
      </c>
      <c r="Y89" s="386" t="n"/>
      <c r="Z89" s="386" t="n"/>
      <c r="AA89" s="386" t="n"/>
      <c r="AB89" s="386" t="n"/>
      <c r="AC89" s="386" t="n"/>
      <c r="AD89" s="386" t="n"/>
    </row>
    <row r="90" ht="28" customHeight="1" s="380">
      <c r="A90" s="386" t="inlineStr">
        <is>
          <t>3.2.2.6</t>
        </is>
      </c>
      <c r="B90" s="12" t="n"/>
      <c r="C90" s="12" t="inlineStr">
        <is>
          <t>Dashboard Đợt thi sát hạch của NHNCK</t>
        </is>
      </c>
      <c r="D90" s="12" t="inlineStr">
        <is>
          <t>Trạng thái</t>
        </is>
      </c>
      <c r="E90" s="12" t="inlineStr">
        <is>
          <t>Trạng thái Đạt/Không đạt</t>
        </is>
      </c>
      <c r="F90" s="386" t="inlineStr">
        <is>
          <t>Dashboard</t>
        </is>
      </c>
      <c r="G90" s="15" t="inlineStr">
        <is>
          <t>Chỉ tiêu cơ sở</t>
        </is>
      </c>
      <c r="H90" s="386" t="inlineStr">
        <is>
          <t>Dễ</t>
        </is>
      </c>
      <c r="I90" s="386" t="inlineStr">
        <is>
          <t>Mã người hành nghề</t>
        </is>
      </c>
      <c r="J90" s="386" t="inlineStr">
        <is>
          <t>NHNCK</t>
        </is>
      </c>
      <c r="K90" s="35" t="inlineStr">
        <is>
          <t>x</t>
        </is>
      </c>
      <c r="L90" s="35" t="inlineStr">
        <is>
          <t>x</t>
        </is>
      </c>
      <c r="M90" s="386" t="n"/>
      <c r="N90" s="386" t="inlineStr">
        <is>
          <t>Done</t>
        </is>
      </c>
      <c r="O90" s="386" t="n"/>
      <c r="P90" s="386" t="inlineStr">
        <is>
          <t>EXAM_SESSIONS</t>
        </is>
      </c>
      <c r="Q90" s="386" t="inlineStr">
        <is>
          <t>ExamSessions.Status</t>
        </is>
      </c>
      <c r="R90" s="386" t="n"/>
      <c r="S90" s="386" t="n"/>
      <c r="T90" s="386" t="n"/>
      <c r="U90" s="386" t="n"/>
      <c r="V90" s="386" t="n"/>
      <c r="W90" s="386" t="n"/>
      <c r="X90" s="13" t="inlineStr">
        <is>
          <t>Done</t>
        </is>
      </c>
      <c r="Y90" s="386" t="n"/>
      <c r="Z90" s="386" t="n"/>
      <c r="AA90" s="386" t="n"/>
      <c r="AB90" s="386" t="n"/>
      <c r="AC90" s="386" t="n"/>
      <c r="AD90" s="386" t="n"/>
    </row>
    <row r="91" ht="70" customHeight="1" s="380">
      <c r="A91" s="386" t="n"/>
      <c r="B91" s="12" t="n"/>
      <c r="C91" s="12" t="inlineStr">
        <is>
          <t>Dashboard Đợt thi sát hạch của NHNCK</t>
        </is>
      </c>
      <c r="D91" s="386" t="inlineStr">
        <is>
          <t>Kết quả tổng</t>
        </is>
      </c>
      <c r="E91" s="386" t="inlineStr">
        <is>
          <t>Kết quả để xét duyệt việc thi có đạt, không đạt dựa trên kết quả thi luật và thi chuyên môn</t>
        </is>
      </c>
      <c r="F91" s="386" t="n"/>
      <c r="G91" s="15" t="n"/>
      <c r="H91" s="386" t="n"/>
      <c r="I91" s="386" t="inlineStr">
        <is>
          <t>Mã người hành nghề</t>
        </is>
      </c>
      <c r="J91" s="386" t="inlineStr">
        <is>
          <t>NHNCK</t>
        </is>
      </c>
      <c r="K91" s="35" t="n"/>
      <c r="L91" s="35" t="n"/>
      <c r="M91" s="386" t="n"/>
      <c r="N91" s="386" t="inlineStr">
        <is>
          <t>Done</t>
        </is>
      </c>
      <c r="O91" s="386" t="n"/>
      <c r="P91" s="386" t="inlineStr">
        <is>
          <t>EXAM_DETAILS</t>
        </is>
      </c>
      <c r="Q91" s="386" t="inlineStr">
        <is>
          <t>ExamDetails.Result</t>
        </is>
      </c>
      <c r="R91" s="386" t="n"/>
      <c r="S91" s="386" t="n"/>
      <c r="T91" s="386" t="n"/>
      <c r="U91" s="386" t="n"/>
      <c r="V91" s="386" t="n"/>
      <c r="W91" s="386" t="n"/>
      <c r="X91" s="14" t="n"/>
      <c r="Y91" s="386" t="n"/>
      <c r="Z91" s="386" t="n"/>
      <c r="AA91" s="386" t="n"/>
      <c r="AB91" s="386" t="n"/>
      <c r="AC91" s="386" t="n"/>
      <c r="AD91" s="386" t="n"/>
    </row>
    <row r="92" ht="28" customHeight="1" s="380">
      <c r="A92" s="386" t="inlineStr">
        <is>
          <t>3.2.2.7</t>
        </is>
      </c>
      <c r="B92" s="41" t="n"/>
      <c r="C92" s="41" t="inlineStr">
        <is>
          <t>Dashboard Cập nhật kiến thức của NHNCK</t>
        </is>
      </c>
      <c r="D92" s="386" t="inlineStr">
        <is>
          <t>Kết quả kiểm tra, phân loại (nếu có)</t>
        </is>
      </c>
      <c r="E92" s="386" t="inlineStr">
        <is>
          <t>Xác định theo kết quả bài kiểm tra cuối khóa</t>
        </is>
      </c>
      <c r="F92" s="386" t="inlineStr">
        <is>
          <t>Dashboard</t>
        </is>
      </c>
      <c r="G92" s="15" t="inlineStr">
        <is>
          <t>Chỉ tiêu phái sinh</t>
        </is>
      </c>
      <c r="H92" s="386" t="inlineStr">
        <is>
          <t>TB</t>
        </is>
      </c>
      <c r="I92" s="386" t="inlineStr">
        <is>
          <t>Mã người hành nghề</t>
        </is>
      </c>
      <c r="J92" s="386" t="inlineStr">
        <is>
          <t>NHNCK</t>
        </is>
      </c>
      <c r="K92" s="35" t="inlineStr">
        <is>
          <t>x</t>
        </is>
      </c>
      <c r="L92" s="35" t="inlineStr">
        <is>
          <t>x</t>
        </is>
      </c>
      <c r="M92" s="386" t="n"/>
      <c r="N92" s="386" t="inlineStr">
        <is>
          <t>Done</t>
        </is>
      </c>
      <c r="O92" s="386" t="n"/>
      <c r="P92" s="46" t="inlineStr">
        <is>
          <t>SPECIALIZATION_COURSE_DETAILS</t>
        </is>
      </c>
      <c r="Q92" s="46" t="inlineStr">
        <is>
          <t>SpecializationCourseDetails.Result</t>
        </is>
      </c>
      <c r="R92" s="386" t="n"/>
      <c r="S92" s="386" t="n"/>
      <c r="T92" s="386" t="n"/>
      <c r="U92" s="386" t="n"/>
      <c r="V92" s="386" t="n"/>
      <c r="W92" s="386" t="n"/>
      <c r="X92" s="13" t="inlineStr">
        <is>
          <t>Done</t>
        </is>
      </c>
      <c r="Y92" s="386" t="n"/>
      <c r="Z92" s="386" t="n"/>
      <c r="AA92" s="386" t="n"/>
      <c r="AB92" s="386" t="n"/>
      <c r="AC92" s="386" t="n"/>
      <c r="AD92" s="386" t="n"/>
    </row>
    <row r="93" ht="56" customHeight="1" s="380">
      <c r="A93" s="386" t="inlineStr">
        <is>
          <t>3.2.2.7</t>
        </is>
      </c>
      <c r="B93" s="386" t="n"/>
      <c r="C93" s="386" t="inlineStr">
        <is>
          <t>Dashboard Cập nhật kiến thức của NHNCK</t>
        </is>
      </c>
      <c r="D93" s="386" t="inlineStr">
        <is>
          <t>Trạng thái đã đủ 8h hay chưa</t>
        </is>
      </c>
      <c r="E93" s="386" t="inlineStr">
        <is>
          <t>Đã đủ 8h: Số giờ cập nhật 1 năm &gt;= 8h
 Chưa đủ 8h: Số giờ cập nhật 1 năm &lt; 8h</t>
        </is>
      </c>
      <c r="F93" s="386" t="inlineStr">
        <is>
          <t>Dashboard</t>
        </is>
      </c>
      <c r="G93" s="15" t="inlineStr">
        <is>
          <t>Chỉ tiêu phái sinh</t>
        </is>
      </c>
      <c r="H93" s="386" t="inlineStr">
        <is>
          <t>TB</t>
        </is>
      </c>
      <c r="I93" s="386" t="inlineStr">
        <is>
          <t>Mã người hành nghề</t>
        </is>
      </c>
      <c r="J93" s="386" t="inlineStr">
        <is>
          <t>NHNCK</t>
        </is>
      </c>
      <c r="K93" s="35" t="inlineStr">
        <is>
          <t>x</t>
        </is>
      </c>
      <c r="L93" s="35" t="inlineStr">
        <is>
          <t>x</t>
        </is>
      </c>
      <c r="M93" s="386" t="n"/>
      <c r="N93" s="386" t="inlineStr">
        <is>
          <t>Done</t>
        </is>
      </c>
      <c r="O93" s="386" t="n"/>
      <c r="P93" s="46" t="inlineStr">
        <is>
          <t>POST_CERT_TRAINING_COURSES</t>
        </is>
      </c>
      <c r="Q93" s="46" t="inlineStr">
        <is>
          <t>Chưa biết tính như nào ra số giờ</t>
        </is>
      </c>
      <c r="R93" s="386" t="n"/>
      <c r="S93" s="386" t="n"/>
      <c r="T93" s="386" t="n"/>
      <c r="U93" s="386" t="n"/>
      <c r="V93" s="386" t="n"/>
      <c r="W93" s="386" t="n"/>
      <c r="X93" s="14" t="inlineStr">
        <is>
          <t>Chưa có SQL</t>
        </is>
      </c>
      <c r="Y93" s="386" t="n"/>
      <c r="Z93" s="386" t="n"/>
      <c r="AA93" s="386" t="n"/>
      <c r="AB93" s="386" t="n"/>
      <c r="AC93" s="386" t="n"/>
      <c r="AD93" s="386" t="n"/>
    </row>
    <row r="94" ht="28" customHeight="1" s="380">
      <c r="A94" s="386" t="n"/>
      <c r="B94" s="40" t="n"/>
      <c r="C94" s="40" t="n"/>
      <c r="D94" s="12" t="inlineStr">
        <is>
          <t>Mã khóa học chuyên môn</t>
        </is>
      </c>
      <c r="E94" s="12" t="n"/>
      <c r="F94" s="386" t="inlineStr">
        <is>
          <t>Dashboard</t>
        </is>
      </c>
      <c r="G94" s="15" t="inlineStr">
        <is>
          <t>Chỉ tiêu cơ sở</t>
        </is>
      </c>
      <c r="H94" s="386" t="inlineStr">
        <is>
          <t>Dễ</t>
        </is>
      </c>
      <c r="I94" s="386" t="inlineStr">
        <is>
          <t>Mã người hành nghề</t>
        </is>
      </c>
      <c r="J94" s="386" t="inlineStr">
        <is>
          <t>NHNCK</t>
        </is>
      </c>
      <c r="K94" s="35" t="n"/>
      <c r="L94" s="35" t="n"/>
      <c r="M94" s="386" t="n"/>
      <c r="N94" s="386" t="inlineStr">
        <is>
          <t>Done</t>
        </is>
      </c>
      <c r="O94" s="386" t="n"/>
      <c r="P94" s="386" t="inlineStr">
        <is>
          <t>SPECIALIZATION_COURSES</t>
        </is>
      </c>
      <c r="Q94" s="386" t="inlineStr">
        <is>
          <t>SpecializationCourses.CourseCode</t>
        </is>
      </c>
      <c r="R94" s="386" t="n"/>
      <c r="S94" s="386" t="n"/>
      <c r="T94" s="386" t="n"/>
      <c r="U94" s="386" t="n"/>
      <c r="V94" s="386" t="n"/>
      <c r="W94" s="386" t="n"/>
      <c r="X94" s="13" t="n"/>
      <c r="Y94" s="386" t="n"/>
      <c r="Z94" s="386" t="n"/>
      <c r="AA94" s="386" t="n"/>
      <c r="AB94" s="386" t="n"/>
      <c r="AC94" s="386" t="n"/>
      <c r="AD94" s="386" t="n"/>
    </row>
    <row r="95" ht="28" customHeight="1" s="380">
      <c r="A95" s="386" t="n"/>
      <c r="B95" s="40" t="n"/>
      <c r="C95" s="40" t="n"/>
      <c r="D95" s="12" t="inlineStr">
        <is>
          <t>Tên khóa học chuyên môn</t>
        </is>
      </c>
      <c r="E95" s="12" t="n"/>
      <c r="F95" s="386" t="inlineStr">
        <is>
          <t>Dashboard</t>
        </is>
      </c>
      <c r="G95" s="15" t="inlineStr">
        <is>
          <t>Chỉ tiêu cơ sở</t>
        </is>
      </c>
      <c r="H95" s="386" t="inlineStr">
        <is>
          <t>Dễ</t>
        </is>
      </c>
      <c r="I95" s="386" t="inlineStr">
        <is>
          <t>Mã người hành nghề</t>
        </is>
      </c>
      <c r="J95" s="386" t="inlineStr">
        <is>
          <t>NHNCK</t>
        </is>
      </c>
      <c r="K95" s="35" t="n"/>
      <c r="L95" s="35" t="n"/>
      <c r="M95" s="386" t="n"/>
      <c r="N95" s="386" t="inlineStr">
        <is>
          <t>Done</t>
        </is>
      </c>
      <c r="O95" s="386" t="n"/>
      <c r="P95" s="386" t="inlineStr">
        <is>
          <t>SPECIALIZATION_COURSES</t>
        </is>
      </c>
      <c r="Q95" s="386" t="inlineStr">
        <is>
          <t>SpecializationCourses.CourseName</t>
        </is>
      </c>
      <c r="R95" s="386" t="n"/>
      <c r="S95" s="386" t="n"/>
      <c r="T95" s="386" t="n"/>
      <c r="U95" s="386" t="n"/>
      <c r="V95" s="386" t="n"/>
      <c r="W95" s="386" t="n"/>
      <c r="X95" s="14" t="n"/>
      <c r="Y95" s="386" t="n"/>
      <c r="Z95" s="386" t="n"/>
      <c r="AA95" s="386" t="n"/>
      <c r="AB95" s="386" t="n"/>
      <c r="AC95" s="386" t="n"/>
      <c r="AD95" s="386" t="n"/>
    </row>
    <row r="96" ht="28" customHeight="1" s="380">
      <c r="A96" s="386" t="n"/>
      <c r="B96" s="40" t="n"/>
      <c r="C96" s="40" t="n"/>
      <c r="D96" s="12" t="inlineStr">
        <is>
          <t>Ngày thi</t>
        </is>
      </c>
      <c r="E96" s="12" t="n"/>
      <c r="F96" s="386" t="inlineStr">
        <is>
          <t>Dashboard</t>
        </is>
      </c>
      <c r="G96" s="15" t="inlineStr">
        <is>
          <t>Chỉ tiêu cơ sở</t>
        </is>
      </c>
      <c r="H96" s="386" t="inlineStr">
        <is>
          <t>Dễ</t>
        </is>
      </c>
      <c r="I96" s="386" t="inlineStr">
        <is>
          <t>Mã người hành nghề</t>
        </is>
      </c>
      <c r="J96" s="386" t="inlineStr">
        <is>
          <t>NHNCK</t>
        </is>
      </c>
      <c r="K96" s="35" t="n"/>
      <c r="L96" s="35" t="n"/>
      <c r="M96" s="386" t="n"/>
      <c r="N96" s="386" t="inlineStr">
        <is>
          <t>Done</t>
        </is>
      </c>
      <c r="O96" s="386" t="n"/>
      <c r="P96" s="386" t="inlineStr">
        <is>
          <t>SPECIALIZATION_COURSES</t>
        </is>
      </c>
      <c r="Q96" s="386" t="inlineStr">
        <is>
          <t>SpecializationCourses.ExamDate</t>
        </is>
      </c>
      <c r="R96" s="386" t="n"/>
      <c r="S96" s="386" t="n"/>
      <c r="T96" s="386" t="n"/>
      <c r="U96" s="386" t="n"/>
      <c r="V96" s="386" t="n"/>
      <c r="W96" s="386" t="n"/>
      <c r="X96" s="13" t="n"/>
      <c r="Y96" s="386" t="n"/>
      <c r="Z96" s="386" t="n"/>
      <c r="AA96" s="386" t="n"/>
      <c r="AB96" s="386" t="n"/>
      <c r="AC96" s="386" t="n"/>
      <c r="AD96" s="386" t="n"/>
    </row>
    <row r="97" ht="28" customHeight="1" s="380">
      <c r="A97" s="386" t="n"/>
      <c r="B97" s="40" t="n"/>
      <c r="C97" s="40" t="n"/>
      <c r="D97" s="12" t="inlineStr">
        <is>
          <t>Điểm thi</t>
        </is>
      </c>
      <c r="E97" s="12" t="n"/>
      <c r="F97" s="386" t="inlineStr">
        <is>
          <t>Dashboard</t>
        </is>
      </c>
      <c r="G97" s="15" t="inlineStr">
        <is>
          <t>Chỉ tiêu cơ sở</t>
        </is>
      </c>
      <c r="H97" s="386" t="inlineStr">
        <is>
          <t>Dễ</t>
        </is>
      </c>
      <c r="I97" s="386" t="inlineStr">
        <is>
          <t>Mã người hành nghề</t>
        </is>
      </c>
      <c r="J97" s="386" t="inlineStr">
        <is>
          <t>NHNCK</t>
        </is>
      </c>
      <c r="K97" s="35" t="n"/>
      <c r="L97" s="35" t="n"/>
      <c r="M97" s="386" t="n"/>
      <c r="N97" s="386" t="inlineStr">
        <is>
          <t>Done</t>
        </is>
      </c>
      <c r="O97" s="386" t="n"/>
      <c r="P97" s="386" t="inlineStr">
        <is>
          <t>SPECIALIZATION_COURSE_DETAILS</t>
        </is>
      </c>
      <c r="Q97" s="386" t="inlineStr">
        <is>
          <t>SpecializationCourseDetails.ExamScore</t>
        </is>
      </c>
      <c r="R97" s="386" t="n"/>
      <c r="S97" s="386" t="n"/>
      <c r="T97" s="386" t="n"/>
      <c r="U97" s="386" t="n"/>
      <c r="V97" s="386" t="n"/>
      <c r="W97" s="386" t="n"/>
      <c r="X97" s="14" t="n"/>
      <c r="Y97" s="386" t="n"/>
      <c r="Z97" s="386" t="n"/>
      <c r="AA97" s="386" t="n"/>
      <c r="AB97" s="386" t="n"/>
      <c r="AC97" s="386" t="n"/>
      <c r="AD97" s="386" t="n"/>
    </row>
    <row r="98" ht="28" customHeight="1" s="380">
      <c r="A98" s="386" t="n"/>
      <c r="B98" s="40" t="n"/>
      <c r="C98" s="40" t="n"/>
      <c r="D98" s="12" t="inlineStr">
        <is>
          <t>Kết quả thi</t>
        </is>
      </c>
      <c r="E98" s="12" t="inlineStr">
        <is>
          <t>Kết quả thi (1: Đạt, 0: Không đạt)</t>
        </is>
      </c>
      <c r="F98" s="386" t="inlineStr">
        <is>
          <t>Dashboard</t>
        </is>
      </c>
      <c r="G98" s="15" t="inlineStr">
        <is>
          <t>Chỉ tiêu cơ sở</t>
        </is>
      </c>
      <c r="H98" s="386" t="inlineStr">
        <is>
          <t>Dễ</t>
        </is>
      </c>
      <c r="I98" s="386" t="inlineStr">
        <is>
          <t>Mã người hành nghề</t>
        </is>
      </c>
      <c r="J98" s="386" t="inlineStr">
        <is>
          <t>NHNCK</t>
        </is>
      </c>
      <c r="K98" s="35" t="n"/>
      <c r="L98" s="35" t="n"/>
      <c r="M98" s="386" t="n"/>
      <c r="N98" s="386" t="inlineStr">
        <is>
          <t>Done</t>
        </is>
      </c>
      <c r="O98" s="386" t="n"/>
      <c r="P98" s="386" t="inlineStr">
        <is>
          <t>SPECIALIZATION_COURSE_DETAILS</t>
        </is>
      </c>
      <c r="Q98" s="386" t="inlineStr">
        <is>
          <t>SpecializationCourseDetails.Result</t>
        </is>
      </c>
      <c r="R98" s="386" t="n"/>
      <c r="S98" s="386" t="n"/>
      <c r="T98" s="386" t="n"/>
      <c r="U98" s="386" t="n"/>
      <c r="V98" s="386" t="n"/>
      <c r="W98" s="386" t="n"/>
      <c r="X98" s="13" t="n"/>
      <c r="Y98" s="386" t="n"/>
      <c r="Z98" s="386" t="n"/>
      <c r="AA98" s="386" t="n"/>
      <c r="AB98" s="386" t="n"/>
      <c r="AC98" s="386" t="n"/>
      <c r="AD98" s="386" t="n"/>
    </row>
    <row r="99" ht="28" customHeight="1" s="380">
      <c r="A99" s="386" t="inlineStr">
        <is>
          <t>3.2.2.8</t>
        </is>
      </c>
      <c r="B99" s="40" t="n"/>
      <c r="C99" s="40" t="inlineStr">
        <is>
          <t>Dashboard Lịch sử vi phạm của NHNCK</t>
        </is>
      </c>
      <c r="D99" s="12" t="inlineStr">
        <is>
          <t>Số quyết định</t>
        </is>
      </c>
      <c r="E99" s="12" t="inlineStr">
        <is>
          <t>Số quyết định xử phạt</t>
        </is>
      </c>
      <c r="F99" s="386" t="inlineStr">
        <is>
          <t>Dashboard</t>
        </is>
      </c>
      <c r="G99" s="15" t="inlineStr">
        <is>
          <t>Chỉ tiêu cơ sở</t>
        </is>
      </c>
      <c r="H99" s="386" t="inlineStr">
        <is>
          <t>Dễ</t>
        </is>
      </c>
      <c r="I99" s="386" t="inlineStr">
        <is>
          <t>Mã người hành nghề</t>
        </is>
      </c>
      <c r="J99" s="386" t="inlineStr">
        <is>
          <t>NHNCK</t>
        </is>
      </c>
      <c r="K99" s="35" t="inlineStr">
        <is>
          <t>x</t>
        </is>
      </c>
      <c r="L99" s="35" t="inlineStr">
        <is>
          <t>x</t>
        </is>
      </c>
      <c r="M99" s="386" t="n"/>
      <c r="N99" s="386" t="inlineStr">
        <is>
          <t>Done</t>
        </is>
      </c>
      <c r="O99" s="386" t="n"/>
      <c r="P99" s="386" t="inlineStr">
        <is>
          <t>VIOLATIONS</t>
        </is>
      </c>
      <c r="Q99" s="386" t="inlineStr">
        <is>
          <t>Violations.DecisionId</t>
        </is>
      </c>
      <c r="R99" s="386" t="n"/>
      <c r="S99" s="386" t="n"/>
      <c r="T99" s="386" t="n"/>
      <c r="U99" s="386" t="n"/>
      <c r="V99" s="386" t="n"/>
      <c r="W99" s="386" t="n"/>
      <c r="X99" s="14" t="inlineStr">
        <is>
          <t>Done</t>
        </is>
      </c>
      <c r="Y99" s="386" t="n"/>
      <c r="Z99" s="386" t="n"/>
      <c r="AA99" s="386" t="n"/>
      <c r="AB99" s="386" t="n"/>
      <c r="AC99" s="386" t="n"/>
      <c r="AD99" s="386" t="n"/>
    </row>
    <row r="100" ht="28" customHeight="1" s="380">
      <c r="A100" s="386" t="inlineStr">
        <is>
          <t>3.2.2.8</t>
        </is>
      </c>
      <c r="B100" s="40" t="n"/>
      <c r="C100" s="40" t="inlineStr">
        <is>
          <t>Dashboard Lịch sử vi phạm của NHNCK</t>
        </is>
      </c>
      <c r="D100" s="12" t="inlineStr">
        <is>
          <t>Ngày quyết định</t>
        </is>
      </c>
      <c r="E100" s="12" t="inlineStr">
        <is>
          <t>Ngày quyết định xử phạt</t>
        </is>
      </c>
      <c r="F100" s="386" t="inlineStr">
        <is>
          <t>Dashboard</t>
        </is>
      </c>
      <c r="G100" s="15" t="inlineStr">
        <is>
          <t>Chỉ tiêu cơ sở</t>
        </is>
      </c>
      <c r="H100" s="386" t="inlineStr">
        <is>
          <t>Dễ</t>
        </is>
      </c>
      <c r="I100" s="386" t="inlineStr">
        <is>
          <t>Mã người hành nghề</t>
        </is>
      </c>
      <c r="J100" s="386" t="inlineStr">
        <is>
          <t>NHNCK</t>
        </is>
      </c>
      <c r="K100" s="35" t="inlineStr">
        <is>
          <t>x</t>
        </is>
      </c>
      <c r="L100" s="35" t="inlineStr">
        <is>
          <t>x</t>
        </is>
      </c>
      <c r="M100" s="386" t="n"/>
      <c r="N100" s="386" t="inlineStr">
        <is>
          <t>Done</t>
        </is>
      </c>
      <c r="O100" s="386" t="n"/>
      <c r="P100" s="39" t="inlineStr">
        <is>
          <t>VIOLATIONS</t>
        </is>
      </c>
      <c r="Q100" s="39" t="inlineStr">
        <is>
          <t>Không tìm thấy =&gt; Hỏi HTTT
Chỉ thấy giá trị CreatedAt: ngày tạo</t>
        </is>
      </c>
      <c r="R100" s="386" t="n"/>
      <c r="S100" s="386" t="n"/>
      <c r="T100" s="386" t="n"/>
      <c r="U100" s="386" t="n"/>
      <c r="V100" s="386" t="n"/>
      <c r="W100" s="386" t="n"/>
      <c r="X100" s="13" t="inlineStr">
        <is>
          <t>Done</t>
        </is>
      </c>
      <c r="Y100" s="386" t="n"/>
      <c r="Z100" s="386" t="n"/>
      <c r="AA100" s="386" t="n"/>
      <c r="AB100" s="386" t="n"/>
      <c r="AC100" s="386" t="n"/>
      <c r="AD100" s="386" t="n"/>
    </row>
    <row r="101" ht="28" customHeight="1" s="380">
      <c r="A101" s="386" t="inlineStr">
        <is>
          <t>3.2.2.8</t>
        </is>
      </c>
      <c r="B101" s="40" t="n"/>
      <c r="C101" s="40" t="inlineStr">
        <is>
          <t>Dashboard Lịch sử vi phạm của NHNCK</t>
        </is>
      </c>
      <c r="D101" s="12" t="inlineStr">
        <is>
          <t>Nội dung vi phạm</t>
        </is>
      </c>
      <c r="E101" s="12" t="inlineStr">
        <is>
          <t>Nội dung vi phạm</t>
        </is>
      </c>
      <c r="F101" s="386" t="inlineStr">
        <is>
          <t>Dashboard</t>
        </is>
      </c>
      <c r="G101" s="15" t="inlineStr">
        <is>
          <t>Chỉ tiêu cơ sở</t>
        </is>
      </c>
      <c r="H101" s="386" t="inlineStr">
        <is>
          <t>Dễ</t>
        </is>
      </c>
      <c r="I101" s="386" t="inlineStr">
        <is>
          <t>Mã người hành nghề</t>
        </is>
      </c>
      <c r="J101" s="386" t="inlineStr">
        <is>
          <t>NHNCK</t>
        </is>
      </c>
      <c r="K101" s="35" t="inlineStr">
        <is>
          <t>x</t>
        </is>
      </c>
      <c r="L101" s="35" t="inlineStr">
        <is>
          <t>x</t>
        </is>
      </c>
      <c r="M101" s="386" t="n"/>
      <c r="N101" s="386" t="inlineStr">
        <is>
          <t>Done</t>
        </is>
      </c>
      <c r="O101" s="386" t="n"/>
      <c r="P101" s="39" t="inlineStr">
        <is>
          <t>VIOLATIONS</t>
        </is>
      </c>
      <c r="Q101" s="39" t="inlineStr">
        <is>
          <t>Violations.Note =&gt; Hỏi lại HTTT</t>
        </is>
      </c>
      <c r="R101" s="386" t="n"/>
      <c r="S101" s="386" t="n"/>
      <c r="T101" s="386" t="n"/>
      <c r="U101" s="386" t="n"/>
      <c r="V101" s="386" t="n"/>
      <c r="W101" s="386" t="n"/>
      <c r="X101" s="14" t="inlineStr">
        <is>
          <t>Done</t>
        </is>
      </c>
      <c r="Y101" s="386" t="n"/>
      <c r="Z101" s="386" t="n"/>
      <c r="AA101" s="386" t="n"/>
      <c r="AB101" s="386" t="n"/>
      <c r="AC101" s="386" t="n"/>
      <c r="AD101" s="386" t="n"/>
    </row>
    <row r="102" ht="28" customHeight="1" s="380">
      <c r="A102" s="386" t="inlineStr">
        <is>
          <t>3.2.2.8</t>
        </is>
      </c>
      <c r="B102" s="40" t="n"/>
      <c r="C102" s="40" t="inlineStr">
        <is>
          <t>Dashboard Lịch sử vi phạm của NHNCK</t>
        </is>
      </c>
      <c r="D102" s="12" t="inlineStr">
        <is>
          <t>Hình thức xử phạt</t>
        </is>
      </c>
      <c r="E102" s="12" t="inlineStr">
        <is>
          <t>Loại vi phạm (1: Hành chính, 2: Pháp luật)</t>
        </is>
      </c>
      <c r="F102" s="386" t="inlineStr">
        <is>
          <t>Dashboard</t>
        </is>
      </c>
      <c r="G102" s="15" t="inlineStr">
        <is>
          <t>Chỉ tiêu cơ sở</t>
        </is>
      </c>
      <c r="H102" s="386" t="inlineStr">
        <is>
          <t>Dễ</t>
        </is>
      </c>
      <c r="I102" s="386" t="inlineStr">
        <is>
          <t>Mã người hành nghề</t>
        </is>
      </c>
      <c r="J102" s="386" t="inlineStr">
        <is>
          <t>NHNCK</t>
        </is>
      </c>
      <c r="K102" s="35" t="inlineStr">
        <is>
          <t>x</t>
        </is>
      </c>
      <c r="L102" s="35" t="inlineStr">
        <is>
          <t>x</t>
        </is>
      </c>
      <c r="M102" s="386" t="n"/>
      <c r="N102" s="386" t="inlineStr">
        <is>
          <t>Done</t>
        </is>
      </c>
      <c r="O102" s="386" t="n"/>
      <c r="P102" s="386" t="inlineStr">
        <is>
          <t>VIOLATIONS</t>
        </is>
      </c>
      <c r="Q102" s="386" t="inlineStr">
        <is>
          <t>Violations.Type</t>
        </is>
      </c>
      <c r="R102" s="386" t="n"/>
      <c r="S102" s="386" t="n"/>
      <c r="T102" s="386" t="n"/>
      <c r="U102" s="386" t="n"/>
      <c r="V102" s="386" t="n"/>
      <c r="W102" s="386" t="n"/>
      <c r="X102" s="13" t="inlineStr">
        <is>
          <t>Done</t>
        </is>
      </c>
      <c r="Y102" s="386" t="n"/>
      <c r="Z102" s="386" t="n"/>
      <c r="AA102" s="386" t="n"/>
      <c r="AB102" s="386" t="n"/>
      <c r="AC102" s="386" t="n"/>
      <c r="AD102" s="386" t="n"/>
    </row>
    <row r="103" ht="126" customHeight="1" s="380">
      <c r="A103" s="386" t="inlineStr">
        <is>
          <t>3.2.2.8</t>
        </is>
      </c>
      <c r="B103" s="40" t="n"/>
      <c r="C103" s="40" t="inlineStr">
        <is>
          <t>Dashboard Lịch sử vi phạm của NHNCK</t>
        </is>
      </c>
      <c r="D103" s="12" t="inlineStr">
        <is>
          <t>Trạng thái</t>
        </is>
      </c>
      <c r="E103" s="12" t="inlineStr">
        <is>
          <t>Trạng thái thực thi quyết định: Chưa thực thi, Đã thực thi, Cưỡng chế thi hành, Đang thực thi, Đã hoàn thành (đối với đình chỉ), Đã ban hành (đối với Cảnh báo)</t>
        </is>
      </c>
      <c r="F103" s="386" t="inlineStr">
        <is>
          <t>Dashboard</t>
        </is>
      </c>
      <c r="G103" s="15" t="inlineStr">
        <is>
          <t>Chỉ tiêu cơ sở</t>
        </is>
      </c>
      <c r="H103" s="386" t="inlineStr">
        <is>
          <t>Dễ</t>
        </is>
      </c>
      <c r="I103" s="386" t="inlineStr">
        <is>
          <t>Mã người hành nghề</t>
        </is>
      </c>
      <c r="J103" s="386" t="inlineStr">
        <is>
          <t>NHNCK</t>
        </is>
      </c>
      <c r="K103" s="35" t="inlineStr">
        <is>
          <t>x</t>
        </is>
      </c>
      <c r="L103" s="35" t="inlineStr">
        <is>
          <t>x</t>
        </is>
      </c>
      <c r="M103" s="386" t="n"/>
      <c r="N103" s="386" t="inlineStr">
        <is>
          <t>Done</t>
        </is>
      </c>
      <c r="O103" s="386" t="n"/>
      <c r="P103" s="386" t="inlineStr">
        <is>
          <t>VIOLATIONS</t>
        </is>
      </c>
      <c r="Q103" s="386" t="inlineStr">
        <is>
          <t>Violations.Status</t>
        </is>
      </c>
      <c r="R103" s="386" t="n"/>
      <c r="S103" s="386" t="n"/>
      <c r="T103" s="386" t="n"/>
      <c r="U103" s="386" t="n"/>
      <c r="V103" s="386" t="n"/>
      <c r="W103" s="386" t="n"/>
      <c r="X103" s="14" t="inlineStr">
        <is>
          <t>Done</t>
        </is>
      </c>
      <c r="Y103" s="386" t="n"/>
      <c r="Z103" s="386" t="n"/>
      <c r="AA103" s="386" t="n"/>
      <c r="AB103" s="386" t="n"/>
      <c r="AC103" s="386" t="n"/>
      <c r="AD103" s="386" t="n"/>
    </row>
    <row r="104" ht="28" customHeight="1" s="380">
      <c r="A104" s="35" t="n">
        <v>3.3</v>
      </c>
      <c r="B104" s="386" t="n"/>
      <c r="C104" s="386" t="inlineStr">
        <is>
          <t>Yêu cầu khai thác dữ liệu (Data Explorer)</t>
        </is>
      </c>
      <c r="D104" s="12" t="inlineStr">
        <is>
          <t>Tên NHN</t>
        </is>
      </c>
      <c r="E104" s="12" t="inlineStr">
        <is>
          <t>Tên NHNCK</t>
        </is>
      </c>
      <c r="F104" s="386" t="inlineStr">
        <is>
          <t>Data Explorer</t>
        </is>
      </c>
      <c r="G104" s="15" t="inlineStr">
        <is>
          <t>Chỉ tiêu cơ sở</t>
        </is>
      </c>
      <c r="H104" s="386" t="inlineStr">
        <is>
          <t>Dễ</t>
        </is>
      </c>
      <c r="I104" s="386" t="inlineStr">
        <is>
          <t>Mã người hành nghề</t>
        </is>
      </c>
      <c r="J104" s="386" t="inlineStr">
        <is>
          <t>NHNCK</t>
        </is>
      </c>
      <c r="K104" s="35" t="inlineStr">
        <is>
          <t>x</t>
        </is>
      </c>
      <c r="L104" s="35" t="inlineStr">
        <is>
          <t>x</t>
        </is>
      </c>
      <c r="M104" s="7" t="n"/>
      <c r="N104" s="386" t="inlineStr">
        <is>
          <t>Done</t>
        </is>
      </c>
      <c r="O104" s="7" t="n"/>
      <c r="P104" s="386" t="inlineStr">
        <is>
          <t>CERTIFICATE_RECORDS</t>
        </is>
      </c>
      <c r="Q104" s="386" t="inlineStr">
        <is>
          <t>CertificateRecords.ProfessionalFullName</t>
        </is>
      </c>
      <c r="R104" s="7" t="n"/>
      <c r="S104" s="7" t="n"/>
      <c r="T104" s="7" t="n"/>
      <c r="U104" s="7" t="n"/>
      <c r="V104" s="7" t="n"/>
      <c r="W104" s="7" t="n"/>
      <c r="X104" s="13" t="inlineStr">
        <is>
          <t>Done</t>
        </is>
      </c>
      <c r="Y104" s="386" t="n"/>
      <c r="Z104" s="386" t="n"/>
      <c r="AA104" s="386" t="n"/>
      <c r="AB104" s="386" t="n"/>
      <c r="AC104" s="386" t="n"/>
      <c r="AD104" s="386" t="n"/>
    </row>
    <row r="105" ht="28" customHeight="1" s="380">
      <c r="A105" s="35" t="n">
        <v>3.3</v>
      </c>
      <c r="B105" s="386" t="n"/>
      <c r="C105" s="386" t="inlineStr">
        <is>
          <t>Yêu cầu khai thác dữ liệu (Data Explorer)</t>
        </is>
      </c>
      <c r="D105" s="12" t="inlineStr">
        <is>
          <t>Số CCHN</t>
        </is>
      </c>
      <c r="E105" s="12" t="inlineStr">
        <is>
          <t>Số CCHN của NHNCK</t>
        </is>
      </c>
      <c r="F105" s="386" t="inlineStr">
        <is>
          <t>Data Explorer</t>
        </is>
      </c>
      <c r="G105" s="15" t="inlineStr">
        <is>
          <t>Chỉ tiêu cơ sở</t>
        </is>
      </c>
      <c r="H105" s="386" t="inlineStr">
        <is>
          <t>Dễ</t>
        </is>
      </c>
      <c r="I105" s="386" t="inlineStr">
        <is>
          <t>Mã người hành nghề</t>
        </is>
      </c>
      <c r="J105" s="386" t="inlineStr">
        <is>
          <t>NHNCK</t>
        </is>
      </c>
      <c r="K105" s="35" t="inlineStr">
        <is>
          <t>x</t>
        </is>
      </c>
      <c r="L105" s="35" t="inlineStr">
        <is>
          <t>x</t>
        </is>
      </c>
      <c r="M105" s="386" t="n"/>
      <c r="N105" s="386" t="inlineStr">
        <is>
          <t>Done</t>
        </is>
      </c>
      <c r="O105" s="386" t="n"/>
      <c r="P105" s="386" t="inlineStr">
        <is>
          <t>CERTIFICATE_RECORDS</t>
        </is>
      </c>
      <c r="Q105" s="386" t="inlineStr">
        <is>
          <t>CertificateRecords.CertificateNumber</t>
        </is>
      </c>
      <c r="R105" s="386" t="n"/>
      <c r="S105" s="386" t="n"/>
      <c r="T105" s="386" t="n"/>
      <c r="U105" s="386" t="n"/>
      <c r="V105" s="386" t="n"/>
      <c r="W105" s="386" t="n"/>
      <c r="X105" s="14" t="inlineStr">
        <is>
          <t>Done</t>
        </is>
      </c>
      <c r="Y105" s="386" t="n"/>
      <c r="Z105" s="386" t="n"/>
      <c r="AA105" s="386" t="n"/>
      <c r="AB105" s="386" t="n"/>
      <c r="AC105" s="386" t="n"/>
      <c r="AD105" s="386" t="n"/>
    </row>
    <row r="106" ht="42" customHeight="1" s="380">
      <c r="A106" s="35" t="n">
        <v>3.3</v>
      </c>
      <c r="B106" s="386" t="n"/>
      <c r="C106" s="386" t="inlineStr">
        <is>
          <t>Yêu cầu khai thác dữ liệu (Data Explorer)</t>
        </is>
      </c>
      <c r="D106" s="12" t="inlineStr">
        <is>
          <t>Loại hình</t>
        </is>
      </c>
      <c r="E106" s="12" t="inlineStr">
        <is>
          <t>Loại hình nghiệp vụ được cấp phép/ Loại chứng chỉ hành nghề</t>
        </is>
      </c>
      <c r="F106" s="386" t="inlineStr">
        <is>
          <t>Data Explorer</t>
        </is>
      </c>
      <c r="G106" s="15" t="inlineStr">
        <is>
          <t>Chỉ tiêu cơ sở</t>
        </is>
      </c>
      <c r="H106" s="386" t="inlineStr">
        <is>
          <t>Dễ</t>
        </is>
      </c>
      <c r="I106" s="386" t="inlineStr">
        <is>
          <t>Mã người hành nghề</t>
        </is>
      </c>
      <c r="J106" s="386" t="inlineStr">
        <is>
          <t>NHNCK</t>
        </is>
      </c>
      <c r="K106" s="35" t="inlineStr">
        <is>
          <t>x</t>
        </is>
      </c>
      <c r="L106" s="35" t="inlineStr">
        <is>
          <t>x</t>
        </is>
      </c>
      <c r="M106" s="386" t="n"/>
      <c r="N106" s="386" t="inlineStr">
        <is>
          <t>Done</t>
        </is>
      </c>
      <c r="O106" s="386" t="n"/>
      <c r="P106" s="386" t="inlineStr">
        <is>
          <t>CERTIFICATES</t>
        </is>
      </c>
      <c r="Q106" s="386" t="inlineStr">
        <is>
          <t>Certificates.CertificateCode
Certificates.CertificateName</t>
        </is>
      </c>
      <c r="R106" s="386" t="n"/>
      <c r="S106" s="386" t="n"/>
      <c r="T106" s="386" t="n"/>
      <c r="U106" s="386" t="n"/>
      <c r="V106" s="386" t="n"/>
      <c r="W106" s="386" t="n"/>
      <c r="X106" s="13" t="inlineStr">
        <is>
          <t>Done</t>
        </is>
      </c>
      <c r="Y106" s="386" t="n"/>
      <c r="Z106" s="386" t="n"/>
      <c r="AA106" s="386" t="n"/>
      <c r="AB106" s="386" t="n"/>
      <c r="AC106" s="386" t="n"/>
      <c r="AD106" s="386" t="n"/>
    </row>
    <row r="107" ht="28" customHeight="1" s="380">
      <c r="A107" s="35" t="n">
        <v>3.3</v>
      </c>
      <c r="B107" s="386" t="n"/>
      <c r="C107" s="386" t="inlineStr">
        <is>
          <t>Yêu cầu khai thác dữ liệu (Data Explorer)</t>
        </is>
      </c>
      <c r="D107" s="12" t="inlineStr">
        <is>
          <t>Tổ chức</t>
        </is>
      </c>
      <c r="E107" s="12" t="inlineStr">
        <is>
          <t>Tổ chức đang làm việc</t>
        </is>
      </c>
      <c r="F107" s="386" t="inlineStr">
        <is>
          <t>Data Explorer</t>
        </is>
      </c>
      <c r="G107" s="15" t="inlineStr">
        <is>
          <t>Chỉ tiêu cơ sở</t>
        </is>
      </c>
      <c r="H107" s="386" t="inlineStr">
        <is>
          <t>Dễ</t>
        </is>
      </c>
      <c r="I107" s="386" t="inlineStr">
        <is>
          <t>Mã người hành nghề</t>
        </is>
      </c>
      <c r="J107" s="386" t="inlineStr">
        <is>
          <t>NHNCK</t>
        </is>
      </c>
      <c r="K107" s="35" t="inlineStr">
        <is>
          <t>x</t>
        </is>
      </c>
      <c r="L107" s="35" t="inlineStr">
        <is>
          <t>x</t>
        </is>
      </c>
      <c r="M107" s="386" t="n"/>
      <c r="N107" s="386" t="inlineStr">
        <is>
          <t>Done</t>
        </is>
      </c>
      <c r="O107" s="386" t="n"/>
      <c r="P107" s="386" t="inlineStr">
        <is>
          <t>PROFESSIONALS</t>
        </is>
      </c>
      <c r="Q107" s="386" t="inlineStr">
        <is>
          <t>Professionals.Workplace</t>
        </is>
      </c>
      <c r="R107" s="386" t="n"/>
      <c r="S107" s="386" t="n"/>
      <c r="T107" s="386" t="n"/>
      <c r="U107" s="386" t="n"/>
      <c r="V107" s="386" t="n"/>
      <c r="W107" s="386" t="n"/>
      <c r="X107" s="14" t="inlineStr">
        <is>
          <t>Done</t>
        </is>
      </c>
      <c r="Y107" s="386" t="n"/>
      <c r="Z107" s="386" t="n"/>
      <c r="AA107" s="386" t="n"/>
      <c r="AB107" s="386" t="n"/>
      <c r="AC107" s="386" t="n"/>
      <c r="AD107" s="386" t="n"/>
    </row>
    <row r="108" ht="28" customHeight="1" s="380">
      <c r="A108" s="35" t="n">
        <v>3.3</v>
      </c>
      <c r="B108" s="386" t="n"/>
      <c r="C108" s="386" t="inlineStr">
        <is>
          <t>Yêu cầu khai thác dữ liệu (Data Explorer)</t>
        </is>
      </c>
      <c r="D108" s="12" t="inlineStr">
        <is>
          <t>Ngày cấp</t>
        </is>
      </c>
      <c r="E108" s="12" t="inlineStr">
        <is>
          <t>Ngày cấp CCHN</t>
        </is>
      </c>
      <c r="F108" s="386" t="inlineStr">
        <is>
          <t>Data Explorer</t>
        </is>
      </c>
      <c r="G108" s="15" t="inlineStr">
        <is>
          <t>Chỉ tiêu cơ sở</t>
        </is>
      </c>
      <c r="H108" s="386" t="inlineStr">
        <is>
          <t>Dễ</t>
        </is>
      </c>
      <c r="I108" s="386" t="inlineStr">
        <is>
          <t>Mã người hành nghề</t>
        </is>
      </c>
      <c r="J108" s="386" t="inlineStr">
        <is>
          <t>NHNCK</t>
        </is>
      </c>
      <c r="K108" s="35" t="inlineStr">
        <is>
          <t>x</t>
        </is>
      </c>
      <c r="L108" s="35" t="inlineStr">
        <is>
          <t>x</t>
        </is>
      </c>
      <c r="M108" s="386" t="n"/>
      <c r="N108" s="386" t="inlineStr">
        <is>
          <t>Done</t>
        </is>
      </c>
      <c r="O108" s="386" t="n"/>
      <c r="P108" s="386" t="inlineStr">
        <is>
          <t>CERTIFICATE_RECORDS</t>
        </is>
      </c>
      <c r="Q108" s="386" t="inlineStr">
        <is>
          <t>CertificateRecords.IssueDate</t>
        </is>
      </c>
      <c r="R108" s="386" t="n"/>
      <c r="S108" s="386" t="n"/>
      <c r="T108" s="386" t="n"/>
      <c r="U108" s="386" t="n"/>
      <c r="V108" s="386" t="n"/>
      <c r="W108" s="386" t="n"/>
      <c r="X108" s="13" t="inlineStr">
        <is>
          <t>Done</t>
        </is>
      </c>
      <c r="Y108" s="386" t="n"/>
      <c r="Z108" s="386" t="n"/>
      <c r="AA108" s="386" t="n"/>
      <c r="AB108" s="386" t="n"/>
      <c r="AC108" s="386" t="n"/>
      <c r="AD108" s="386" t="n"/>
    </row>
    <row r="109" ht="42" customHeight="1" s="380">
      <c r="A109" s="35" t="n">
        <v>3.3</v>
      </c>
      <c r="B109" s="386" t="n"/>
      <c r="C109" s="386" t="inlineStr">
        <is>
          <t>Yêu cầu khai thác dữ liệu (Data Explorer)</t>
        </is>
      </c>
      <c r="D109" s="12" t="inlineStr">
        <is>
          <t>Trạng thái</t>
        </is>
      </c>
      <c r="E109" s="12" t="inlineStr">
        <is>
          <t>Trạng thái NHNCK:
- Đang hành nghề
- Chưa hành nghề</t>
        </is>
      </c>
      <c r="F109" s="386" t="inlineStr">
        <is>
          <t>Data Explorer</t>
        </is>
      </c>
      <c r="G109" s="15" t="inlineStr">
        <is>
          <t>Chỉ tiêu cơ sở</t>
        </is>
      </c>
      <c r="H109" s="386" t="inlineStr">
        <is>
          <t>Dễ</t>
        </is>
      </c>
      <c r="I109" s="386" t="inlineStr">
        <is>
          <t>Mã người hành nghề</t>
        </is>
      </c>
      <c r="J109" s="386" t="inlineStr">
        <is>
          <t>NHNCK</t>
        </is>
      </c>
      <c r="K109" s="35" t="inlineStr">
        <is>
          <t>x</t>
        </is>
      </c>
      <c r="L109" s="35" t="inlineStr">
        <is>
          <t>x</t>
        </is>
      </c>
      <c r="M109" s="386" t="n"/>
      <c r="N109" s="386" t="inlineStr">
        <is>
          <t>Done</t>
        </is>
      </c>
      <c r="O109" s="386" t="n"/>
      <c r="P109" s="39" t="inlineStr">
        <is>
          <t>PROFESSIONAL_HISTORIES</t>
        </is>
      </c>
      <c r="Q109" s="39" t="inlineStr">
        <is>
          <t>ProfessionalHistories.StatusWork</t>
        </is>
      </c>
      <c r="R109" s="386" t="n"/>
      <c r="S109" s="386" t="n"/>
      <c r="T109" s="386" t="n"/>
      <c r="U109" s="386" t="n"/>
      <c r="V109" s="386" t="n"/>
      <c r="W109" s="386" t="n"/>
      <c r="X109" s="14" t="inlineStr">
        <is>
          <t>Done</t>
        </is>
      </c>
      <c r="Y109" s="386" t="n"/>
      <c r="Z109" s="386" t="n"/>
      <c r="AA109" s="386" t="n"/>
      <c r="AB109" s="386" t="n"/>
      <c r="AC109" s="386" t="n"/>
      <c r="AD109" s="386" t="n"/>
    </row>
    <row r="110" ht="28" customHeight="1" s="380">
      <c r="A110" s="35" t="n">
        <v>3.3</v>
      </c>
      <c r="B110" s="386" t="n"/>
      <c r="C110" s="386" t="inlineStr">
        <is>
          <t>Yêu cầu khai thác dữ liệu (Data Explorer)</t>
        </is>
      </c>
      <c r="D110" s="12" t="inlineStr">
        <is>
          <t>Điều kiện lọc: Loại hình</t>
        </is>
      </c>
      <c r="E110" s="12" t="inlineStr">
        <is>
          <t>Chiều/ Loại chứng chỉ hành nghề</t>
        </is>
      </c>
      <c r="F110" s="386" t="inlineStr">
        <is>
          <t>Data Explorer</t>
        </is>
      </c>
      <c r="G110" s="386" t="inlineStr">
        <is>
          <t>Chiều</t>
        </is>
      </c>
      <c r="H110" s="386" t="inlineStr">
        <is>
          <t>Dễ</t>
        </is>
      </c>
      <c r="I110" s="386" t="inlineStr">
        <is>
          <t>Mã người hành nghề</t>
        </is>
      </c>
      <c r="J110" s="386" t="inlineStr">
        <is>
          <t>NHNCK</t>
        </is>
      </c>
      <c r="K110" s="35" t="inlineStr">
        <is>
          <t>x</t>
        </is>
      </c>
      <c r="L110" s="35" t="inlineStr">
        <is>
          <t>x</t>
        </is>
      </c>
      <c r="M110" s="386" t="n"/>
      <c r="N110" s="386" t="inlineStr">
        <is>
          <t>Done</t>
        </is>
      </c>
      <c r="O110" s="386" t="n"/>
      <c r="P110" s="386" t="inlineStr">
        <is>
          <t>CERTIFICATES</t>
        </is>
      </c>
      <c r="Q110" s="386" t="inlineStr">
        <is>
          <t>Certificates.CertificateCode
Certificates.CertificateName</t>
        </is>
      </c>
      <c r="R110" s="386" t="n"/>
      <c r="S110" s="386" t="n"/>
      <c r="T110" s="386" t="n"/>
      <c r="U110" s="386" t="n"/>
      <c r="V110" s="386" t="n"/>
      <c r="W110" s="386" t="n"/>
      <c r="X110" s="13" t="inlineStr">
        <is>
          <t>Done</t>
        </is>
      </c>
      <c r="Y110" s="386" t="n"/>
      <c r="Z110" s="386" t="n"/>
      <c r="AA110" s="386" t="n"/>
      <c r="AB110" s="386" t="n"/>
      <c r="AC110" s="386" t="n"/>
      <c r="AD110" s="386" t="n"/>
    </row>
    <row r="111" ht="28" customHeight="1" s="380">
      <c r="A111" s="35" t="n">
        <v>3.3</v>
      </c>
      <c r="B111" s="386" t="n"/>
      <c r="C111" s="386" t="inlineStr">
        <is>
          <t>Yêu cầu khai thác dữ liệu (Data Explorer)</t>
        </is>
      </c>
      <c r="D111" s="12" t="inlineStr">
        <is>
          <t>Điều kiện lọc:Trạng thái</t>
        </is>
      </c>
      <c r="E111" s="12" t="inlineStr">
        <is>
          <t>Chiều/ Trạng thái NHNCK</t>
        </is>
      </c>
      <c r="F111" s="386" t="inlineStr">
        <is>
          <t>Data Explorer</t>
        </is>
      </c>
      <c r="G111" s="386" t="inlineStr">
        <is>
          <t>Chiều</t>
        </is>
      </c>
      <c r="H111" s="386" t="inlineStr">
        <is>
          <t>Dễ</t>
        </is>
      </c>
      <c r="I111" s="386" t="inlineStr">
        <is>
          <t>Mã người hành nghề</t>
        </is>
      </c>
      <c r="J111" s="386" t="inlineStr">
        <is>
          <t>NHNCK</t>
        </is>
      </c>
      <c r="K111" s="35" t="inlineStr">
        <is>
          <t>x</t>
        </is>
      </c>
      <c r="L111" s="35" t="inlineStr">
        <is>
          <t>x</t>
        </is>
      </c>
      <c r="M111" s="386" t="n"/>
      <c r="N111" s="386" t="inlineStr">
        <is>
          <t>Done</t>
        </is>
      </c>
      <c r="O111" s="386" t="n"/>
      <c r="P111" s="39" t="inlineStr">
        <is>
          <t>PROFESSIONAL_HISTORIES</t>
        </is>
      </c>
      <c r="Q111" s="39" t="inlineStr">
        <is>
          <t>ProfessionalHistories.StatusWork</t>
        </is>
      </c>
      <c r="R111" s="386" t="n"/>
      <c r="S111" s="386" t="n"/>
      <c r="T111" s="386" t="n"/>
      <c r="U111" s="386" t="n"/>
      <c r="V111" s="386" t="n"/>
      <c r="W111" s="386" t="n"/>
      <c r="X111" s="14" t="inlineStr">
        <is>
          <t>Done</t>
        </is>
      </c>
      <c r="Y111" s="386" t="n"/>
      <c r="Z111" s="386" t="n"/>
      <c r="AA111" s="386" t="n"/>
      <c r="AB111" s="386" t="n"/>
      <c r="AC111" s="386" t="n"/>
      <c r="AD111" s="386" t="n"/>
    </row>
    <row r="112" ht="28" customHeight="1" s="380">
      <c r="A112" s="386" t="n"/>
      <c r="B112" s="386" t="n"/>
      <c r="C112" s="386" t="n"/>
      <c r="D112" s="386" t="inlineStr">
        <is>
          <t xml:space="preserve">Mã định danh </t>
        </is>
      </c>
      <c r="E112" s="386" t="inlineStr">
        <is>
          <t>Mã định danh NHNCK</t>
        </is>
      </c>
      <c r="F112" s="386" t="inlineStr">
        <is>
          <t>Data Explorer</t>
        </is>
      </c>
      <c r="G112" s="15" t="inlineStr">
        <is>
          <t>Chỉ tiêu cơ sở</t>
        </is>
      </c>
      <c r="H112" s="386" t="inlineStr">
        <is>
          <t>Dễ</t>
        </is>
      </c>
      <c r="I112" s="386" t="inlineStr">
        <is>
          <t>Mã người hành nghề</t>
        </is>
      </c>
      <c r="J112" s="386" t="inlineStr">
        <is>
          <t>NHNCK</t>
        </is>
      </c>
      <c r="K112" s="386" t="n"/>
      <c r="L112" s="35" t="n"/>
      <c r="M112" s="386" t="n"/>
      <c r="N112" s="386" t="inlineStr">
        <is>
          <t>Done</t>
        </is>
      </c>
      <c r="O112" s="386" t="n"/>
      <c r="P112" s="7" t="inlineStr">
        <is>
          <t>PROFESSIONALS</t>
        </is>
      </c>
      <c r="Q112" s="7" t="inlineStr">
        <is>
          <t>Professionals.IdentityId</t>
        </is>
      </c>
      <c r="R112" s="386" t="n"/>
      <c r="S112" s="386" t="n"/>
      <c r="T112" s="386" t="n"/>
      <c r="U112" s="386" t="n"/>
      <c r="V112" s="386" t="n"/>
      <c r="W112" s="386" t="n"/>
      <c r="X112" s="13" t="n"/>
      <c r="Y112" s="386" t="n"/>
      <c r="Z112" s="386" t="n"/>
      <c r="AA112" s="386" t="n"/>
      <c r="AB112" s="386" t="n"/>
      <c r="AC112" s="386" t="n"/>
      <c r="AD112" s="386" t="n"/>
    </row>
    <row r="113" ht="28" customHeight="1" s="380">
      <c r="A113" s="386" t="n"/>
      <c r="B113" s="386" t="n"/>
      <c r="C113" s="386" t="n"/>
      <c r="D113" s="386" t="inlineStr">
        <is>
          <t>Mã người hành nghề</t>
        </is>
      </c>
      <c r="E113" s="386" t="inlineStr">
        <is>
          <t>Mã người hành nghề</t>
        </is>
      </c>
      <c r="F113" s="386" t="inlineStr">
        <is>
          <t>Data Explorer</t>
        </is>
      </c>
      <c r="G113" s="15" t="inlineStr">
        <is>
          <t>Chỉ tiêu cơ sở</t>
        </is>
      </c>
      <c r="H113" s="386" t="inlineStr">
        <is>
          <t>Dễ</t>
        </is>
      </c>
      <c r="I113" s="386" t="inlineStr">
        <is>
          <t>Mã người hành nghề</t>
        </is>
      </c>
      <c r="J113" s="386" t="inlineStr">
        <is>
          <t>NHNCK</t>
        </is>
      </c>
      <c r="K113" s="386" t="n"/>
      <c r="L113" s="386" t="n"/>
      <c r="M113" s="386" t="n"/>
      <c r="N113" s="386" t="inlineStr">
        <is>
          <t>Done</t>
        </is>
      </c>
      <c r="O113" s="386" t="n"/>
      <c r="P113" s="386" t="inlineStr">
        <is>
          <t>APPLICATIONS, CERTIFICATE_RECORDS</t>
        </is>
      </c>
      <c r="Q113" s="386" t="inlineStr">
        <is>
          <t>Applications.ProfessionalId
CertificateRecords. ProfessionalId</t>
        </is>
      </c>
      <c r="R113" s="386" t="n"/>
      <c r="S113" s="386" t="n"/>
      <c r="T113" s="386" t="n"/>
      <c r="U113" s="386" t="n"/>
      <c r="V113" s="386" t="n"/>
      <c r="W113" s="386" t="n"/>
      <c r="X113" s="14" t="n"/>
      <c r="Y113" s="386" t="n"/>
      <c r="Z113" s="386" t="n"/>
      <c r="AA113" s="386" t="n"/>
      <c r="AB113" s="386" t="n"/>
      <c r="AC113" s="386" t="n"/>
      <c r="AD113" s="386" t="n"/>
    </row>
    <row r="114" ht="28" customHeight="1" s="380">
      <c r="A114" s="386" t="n"/>
      <c r="B114" s="386" t="n"/>
      <c r="C114" s="386" t="n"/>
      <c r="D114" s="386" t="inlineStr">
        <is>
          <t>Mã CCHN</t>
        </is>
      </c>
      <c r="E114" s="386" t="inlineStr">
        <is>
          <t>Mã CCHN</t>
        </is>
      </c>
      <c r="F114" s="386" t="inlineStr">
        <is>
          <t>Data Explorer</t>
        </is>
      </c>
      <c r="G114" s="15" t="inlineStr">
        <is>
          <t>Chỉ tiêu cơ sở</t>
        </is>
      </c>
      <c r="H114" s="386" t="inlineStr">
        <is>
          <t>Dễ</t>
        </is>
      </c>
      <c r="I114" s="386" t="inlineStr">
        <is>
          <t>Mã người hành nghề</t>
        </is>
      </c>
      <c r="J114" s="386" t="inlineStr">
        <is>
          <t>NHNCK</t>
        </is>
      </c>
      <c r="K114" s="386" t="n"/>
      <c r="L114" s="386" t="n"/>
      <c r="M114" s="386" t="n"/>
      <c r="N114" s="386" t="inlineStr">
        <is>
          <t>Done</t>
        </is>
      </c>
      <c r="O114" s="386" t="n"/>
      <c r="P114" s="386" t="inlineStr">
        <is>
          <t>APPLICATIONS, CERTIFICATE_RECORDS</t>
        </is>
      </c>
      <c r="Q114" s="386" t="inlineStr">
        <is>
          <t>Applications..CertificateRecordId</t>
        </is>
      </c>
      <c r="R114" s="386" t="n"/>
      <c r="S114" s="386" t="n"/>
      <c r="T114" s="386" t="n"/>
      <c r="U114" s="386" t="n"/>
      <c r="V114" s="386" t="n"/>
      <c r="W114" s="386" t="n"/>
      <c r="X114" s="13" t="n"/>
      <c r="Y114" s="386" t="n"/>
      <c r="Z114" s="386" t="n"/>
      <c r="AA114" s="386" t="n"/>
      <c r="AB114" s="386" t="n"/>
      <c r="AC114" s="386" t="n"/>
      <c r="AD114" s="386" t="n"/>
    </row>
    <row r="115" ht="70" customHeight="1" s="380">
      <c r="A115" s="386" t="n"/>
      <c r="B115" s="386" t="n"/>
      <c r="C115" s="386" t="n"/>
      <c r="D115" s="386" t="inlineStr">
        <is>
          <t>Trạng thái CCHN</t>
        </is>
      </c>
      <c r="E115" s="386" t="inlineStr">
        <is>
          <t>Trạng thái CCHN: Trạng thái (0: Chưa sử dụng, 1: Đang sử dụng, 2: Thu hồi, 3: Đã hủy)</t>
        </is>
      </c>
      <c r="F115" s="386" t="inlineStr">
        <is>
          <t>Data Explorer</t>
        </is>
      </c>
      <c r="G115" s="15" t="inlineStr">
        <is>
          <t>Chỉ tiêu cơ sở</t>
        </is>
      </c>
      <c r="H115" s="386" t="inlineStr">
        <is>
          <t>Dễ</t>
        </is>
      </c>
      <c r="I115" s="386" t="inlineStr">
        <is>
          <t>Mã người hành nghề</t>
        </is>
      </c>
      <c r="J115" s="386" t="inlineStr">
        <is>
          <t>NHNCK</t>
        </is>
      </c>
      <c r="K115" s="386" t="n"/>
      <c r="L115" s="386" t="n"/>
      <c r="M115" s="386" t="n"/>
      <c r="N115" s="386" t="inlineStr">
        <is>
          <t>Done</t>
        </is>
      </c>
      <c r="O115" s="386" t="n"/>
      <c r="P115" s="386" t="inlineStr">
        <is>
          <t>CERTIFICATE_RECORDS</t>
        </is>
      </c>
      <c r="Q115" s="386" t="inlineStr">
        <is>
          <t>CertificateRecords.Status</t>
        </is>
      </c>
      <c r="R115" s="386" t="n"/>
      <c r="S115" s="386" t="n"/>
      <c r="T115" s="386" t="n"/>
      <c r="U115" s="386" t="n"/>
      <c r="V115" s="386" t="n"/>
      <c r="W115" s="386" t="n"/>
      <c r="X115" s="14" t="n"/>
      <c r="Y115" s="386" t="n"/>
      <c r="Z115" s="386" t="n"/>
      <c r="AA115" s="386" t="n"/>
      <c r="AB115" s="386" t="n"/>
      <c r="AC115" s="386" t="n"/>
      <c r="AD115" s="386" t="n"/>
    </row>
  </sheetData>
  <autoFilter ref="A2:AD115"/>
  <mergeCells count="1">
    <mergeCell ref="P1:T1"/>
  </mergeCells>
  <dataValidations count="2">
    <dataValidation sqref="N4:N115" showDropDown="0" showInputMessage="0" showErrorMessage="1" allowBlank="1" type="list">
      <formula1>"Done,Doing,Pending"</formula1>
    </dataValidation>
    <dataValidation sqref="X4:X115" showDropDown="0" showInputMessage="0" showErrorMessage="1" allowBlank="1" type="list">
      <formula1>"Done,Chưa có SQL,Vướng vì lí do khác"</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G98"/>
  <sheetViews>
    <sheetView workbookViewId="0">
      <pane ySplit="1" topLeftCell="A2" activePane="bottomLeft" state="frozen"/>
      <selection pane="bottomLeft" activeCell="B3" sqref="B3"/>
    </sheetView>
  </sheetViews>
  <sheetFormatPr baseColWidth="10" defaultColWidth="12.6640625" defaultRowHeight="15.75" customHeight="1"/>
  <cols>
    <col width="8.5" customWidth="1" style="380" min="1" max="1"/>
    <col width="44.6640625" customWidth="1" style="380" min="2" max="2"/>
    <col width="25.1640625" customWidth="1" style="380" min="3" max="3"/>
    <col width="46" customWidth="1" style="380" min="4" max="4"/>
    <col width="24.1640625" customWidth="1" style="380" min="7" max="7"/>
  </cols>
  <sheetData>
    <row r="1" ht="15.75" customHeight="1" s="380">
      <c r="A1" s="50" t="inlineStr">
        <is>
          <t>STT</t>
        </is>
      </c>
      <c r="B1" s="51" t="inlineStr">
        <is>
          <t>Dashboard/báo cáo</t>
        </is>
      </c>
      <c r="C1" s="50" t="inlineStr">
        <is>
          <t>Thông tin</t>
        </is>
      </c>
      <c r="D1" s="50" t="inlineStr">
        <is>
          <t>Mô tả</t>
        </is>
      </c>
      <c r="E1" s="50" t="inlineStr">
        <is>
          <t>Nhóm yêu cầu</t>
        </is>
      </c>
      <c r="F1" s="50" t="inlineStr">
        <is>
          <t>Phân loại</t>
        </is>
      </c>
      <c r="G1" s="50" t="inlineStr">
        <is>
          <t>Đánh giá</t>
        </is>
      </c>
    </row>
    <row r="2" ht="15.75" customHeight="1" s="380">
      <c r="A2" s="52" t="n"/>
      <c r="B2" s="52" t="n"/>
      <c r="C2" s="53" t="inlineStr">
        <is>
          <t>Tên chiều/chỉ tiêu/thuộc tính</t>
        </is>
      </c>
      <c r="D2" s="53" t="n"/>
      <c r="E2" s="53" t="inlineStr">
        <is>
          <t>Dashboard/báo cáo/Data Explorer</t>
        </is>
      </c>
      <c r="F2" s="53" t="inlineStr">
        <is>
          <t>Chiều/Chỉ tiêu cơ sở/Chỉ tiêu phái sinh</t>
        </is>
      </c>
      <c r="G2" s="52" t="inlineStr">
        <is>
          <t>Dễ: lấy 1: 1 từ nguồn
TB: có tính toán tổng hợp
Khó: Có logic phức tạp và lấy nhiều mốc thời gian
Trùng: Trong phạm vi ban của mình làm đã có tính thông tin này rồi</t>
        </is>
      </c>
    </row>
    <row r="3">
      <c r="B3" s="4" t="inlineStr">
        <is>
          <t>Dashboard tổng quan của Người hành nghề chứng khoán toàn thị trường/Các chỉ tiêu tổng hợp thông tin chung</t>
        </is>
      </c>
      <c r="C3" s="54" t="inlineStr">
        <is>
          <t>Tổng người hành nghề</t>
        </is>
      </c>
      <c r="D3" s="54" t="inlineStr">
        <is>
          <t>Tổng số cá nhân có ít nhất 1 CCHN lũy kế đến ngày cuối cùng năm đã chọn</t>
        </is>
      </c>
      <c r="E3" s="4" t="inlineStr">
        <is>
          <t>Dashboard</t>
        </is>
      </c>
      <c r="F3" s="55" t="inlineStr">
        <is>
          <t>Chỉ tiêu cơ sở</t>
        </is>
      </c>
      <c r="G3" s="4" t="inlineStr">
        <is>
          <t>TB</t>
        </is>
      </c>
    </row>
    <row r="4">
      <c r="B4" s="4" t="inlineStr">
        <is>
          <t>Dashboard tổng quan của Người hành nghề chứng khoán toàn thị trường/Các chỉ tiêu tổng hợp thông tin chung</t>
        </is>
      </c>
      <c r="C4" s="54" t="inlineStr">
        <is>
          <t>Chứng chỉ cấp mới (YTD)</t>
        </is>
      </c>
      <c r="D4" s="54" t="inlineStr">
        <is>
          <t>Số CCHN được cấp mới trong năm hiện tại</t>
        </is>
      </c>
      <c r="E4" s="4" t="inlineStr">
        <is>
          <t>Dashboard</t>
        </is>
      </c>
      <c r="F4" s="55" t="inlineStr">
        <is>
          <t>Chỉ tiêu cơ sở</t>
        </is>
      </c>
      <c r="G4" s="4" t="inlineStr">
        <is>
          <t>TB</t>
        </is>
      </c>
    </row>
    <row r="5">
      <c r="B5" s="4" t="inlineStr">
        <is>
          <t>Dashboard tổng quan của Người hành nghề chứng khoán toàn thị trường/Các chỉ tiêu tổng hợp thông tin chung</t>
        </is>
      </c>
      <c r="C5" s="54" t="inlineStr">
        <is>
          <t>Cấp mới</t>
        </is>
      </c>
      <c r="D5" s="54" t="inlineStr">
        <is>
          <t>Số chứng chỉ cấp lần đầu</t>
        </is>
      </c>
      <c r="E5" s="4" t="inlineStr">
        <is>
          <t>Dashboard</t>
        </is>
      </c>
      <c r="F5" s="55" t="inlineStr">
        <is>
          <t>Chỉ tiêu cơ sở</t>
        </is>
      </c>
      <c r="G5" s="4" t="inlineStr">
        <is>
          <t>Dễ</t>
        </is>
      </c>
    </row>
    <row r="6">
      <c r="B6" s="4" t="inlineStr">
        <is>
          <t>Dashboard tổng quan của Người hành nghề chứng khoán toàn thị trường/Các chỉ tiêu tổng hợp thông tin chung</t>
        </is>
      </c>
      <c r="C6" s="54" t="inlineStr">
        <is>
          <t>Cấp lại</t>
        </is>
      </c>
      <c r="D6" s="54" t="inlineStr">
        <is>
          <t>Số chứng chỉ cấp lại</t>
        </is>
      </c>
      <c r="E6" s="4" t="inlineStr">
        <is>
          <t>Dashboard</t>
        </is>
      </c>
      <c r="F6" s="55" t="inlineStr">
        <is>
          <t>Chỉ tiêu cơ sở</t>
        </is>
      </c>
      <c r="G6" s="4" t="inlineStr">
        <is>
          <t>Dễ</t>
        </is>
      </c>
    </row>
    <row r="7">
      <c r="B7" s="4" t="inlineStr">
        <is>
          <t>Dashboard tổng quan của Người hành nghề chứng khoán toàn thị trường/Các chỉ tiêu tổng hợp thông tin chung</t>
        </is>
      </c>
      <c r="C7" s="54" t="inlineStr">
        <is>
          <t>Bị thu hồi</t>
        </is>
      </c>
      <c r="D7" s="54" t="inlineStr">
        <is>
          <t>Tổng số CCHN bị thu hồi lũy kế đến ngày cuối cùng năm đã chọn</t>
        </is>
      </c>
      <c r="E7" s="4" t="inlineStr">
        <is>
          <t>Dashboard</t>
        </is>
      </c>
      <c r="F7" s="55" t="inlineStr">
        <is>
          <t>Chỉ tiêu cơ sở</t>
        </is>
      </c>
      <c r="G7" s="4" t="inlineStr">
        <is>
          <t>Dễ</t>
        </is>
      </c>
    </row>
    <row r="8">
      <c r="B8" s="4" t="inlineStr">
        <is>
          <t>Dashboard tổng quan của Người hành nghề chứng khoán toàn thị trường/Các chỉ tiêu tổng hợp thông tin chung</t>
        </is>
      </c>
      <c r="C8" s="54" t="inlineStr">
        <is>
          <t>CCHN đang hoạt động</t>
        </is>
      </c>
      <c r="D8" s="54" t="inlineStr">
        <is>
          <t>Số CCHN trạng thái hoạt động lũy kế đến ngày cuối cùng năm đã chọn</t>
        </is>
      </c>
      <c r="E8" s="4" t="inlineStr">
        <is>
          <t>Dashboard</t>
        </is>
      </c>
      <c r="F8" s="55" t="inlineStr">
        <is>
          <t>Chỉ tiêu cơ sở</t>
        </is>
      </c>
      <c r="G8" s="4" t="inlineStr">
        <is>
          <t>Dễ</t>
        </is>
      </c>
    </row>
    <row r="9">
      <c r="B9" s="4" t="inlineStr">
        <is>
          <t>Dashboard tổng quan của Người hành nghề chứng khoán toàn thị trường/Các chỉ tiêu tổng hợp thông tin chung</t>
        </is>
      </c>
      <c r="C9" s="54" t="inlineStr">
        <is>
          <t>Thu hồi trong 3 năm</t>
        </is>
      </c>
      <c r="D9" s="54" t="inlineStr">
        <is>
          <t>Số CCHN bị thu hồi có thời hạn 3 năm lũy kế đến ngày cuối cùng năm đã chọn</t>
        </is>
      </c>
      <c r="E9" s="4" t="inlineStr">
        <is>
          <t>Dashboard</t>
        </is>
      </c>
      <c r="F9" s="55" t="inlineStr">
        <is>
          <t>Chỉ tiêu cơ sở</t>
        </is>
      </c>
      <c r="G9" s="4" t="inlineStr">
        <is>
          <t>TB</t>
        </is>
      </c>
    </row>
    <row r="10">
      <c r="B10" s="4" t="inlineStr">
        <is>
          <t>Dashboard tổng quan của Người hành nghề chứng khoán toàn thị trường/Các chỉ tiêu tổng hợp thông tin chung</t>
        </is>
      </c>
      <c r="C10" s="54" t="inlineStr">
        <is>
          <t>Thu hồi vĩnh viễn</t>
        </is>
      </c>
      <c r="D10" s="54" t="inlineStr">
        <is>
          <t>Số CCHN thu hồi không thời hạn lũy kế đến ngày cuối cùng năm đã chọn</t>
        </is>
      </c>
      <c r="E10" s="4" t="inlineStr">
        <is>
          <t>Dashboard</t>
        </is>
      </c>
      <c r="F10" s="55" t="inlineStr">
        <is>
          <t>Chỉ tiêu cơ sở</t>
        </is>
      </c>
      <c r="G10" s="4" t="inlineStr">
        <is>
          <t>TB</t>
        </is>
      </c>
    </row>
    <row r="11">
      <c r="B11" s="4" t="inlineStr">
        <is>
          <t>Dashboard tổng quan của Người hành nghề chứng khoán toàn thị trường/Các chỉ tiêu tổng hợp thông tin chung</t>
        </is>
      </c>
      <c r="C11" s="54" t="inlineStr">
        <is>
          <t>Đã bị hủy</t>
        </is>
      </c>
      <c r="D11" s="54" t="inlineStr">
        <is>
          <t>Số CCHN bị hủy lũy kế đến ngày cuối cùng năm đã chọn</t>
        </is>
      </c>
      <c r="E11" s="4" t="inlineStr">
        <is>
          <t>Dashboard</t>
        </is>
      </c>
      <c r="F11" s="55" t="inlineStr">
        <is>
          <t>Chỉ tiêu cơ sở</t>
        </is>
      </c>
      <c r="G11" s="4" t="inlineStr">
        <is>
          <t>TB</t>
        </is>
      </c>
    </row>
    <row r="12">
      <c r="B12" s="4" t="inlineStr">
        <is>
          <t>Dashboard tổng quan của Người hành nghề chứng khoán toàn thị trường/Các chỉ tiêu tổng hợp thông tin chung</t>
        </is>
      </c>
      <c r="C12" s="54" t="inlineStr">
        <is>
          <t>Cảnh báo NHNCK</t>
        </is>
      </c>
      <c r="D12" s="54" t="inlineStr">
        <is>
          <t>Số NHN có vi phạm lũy kế đến ngày cuối cùng năm đã chọn</t>
        </is>
      </c>
      <c r="E12" s="4" t="inlineStr">
        <is>
          <t>Dashboard</t>
        </is>
      </c>
      <c r="F12" s="55" t="inlineStr">
        <is>
          <t>Chỉ tiêu cơ sở</t>
        </is>
      </c>
      <c r="G12" s="4" t="inlineStr">
        <is>
          <t>TB</t>
        </is>
      </c>
    </row>
    <row r="13">
      <c r="B13" s="4" t="inlineStr">
        <is>
          <t>Dashboard tổng quan của Người hành nghề chứng khoán toàn thị trường/Các chỉ tiêu tổng hợp thông tin chung</t>
        </is>
      </c>
      <c r="C13" s="56" t="inlineStr">
        <is>
          <t>SSCK: Tổng người hành nghề</t>
        </is>
      </c>
      <c r="D13" s="54" t="inlineStr">
        <is>
          <t>So sánh cùng kỳ năm trước đối với chỉ tiêu: Tổng người hành nghề</t>
        </is>
      </c>
      <c r="E13" s="4" t="inlineStr">
        <is>
          <t>Dashboard</t>
        </is>
      </c>
      <c r="G13" s="4" t="inlineStr">
        <is>
          <t>Dễ</t>
        </is>
      </c>
    </row>
    <row r="14">
      <c r="B14" s="4" t="inlineStr">
        <is>
          <t>Dashboard tổng quan của Người hành nghề chứng khoán toàn thị trường/Các chỉ tiêu tổng hợp thông tin chung</t>
        </is>
      </c>
      <c r="C14" s="56" t="inlineStr">
        <is>
          <t>SSCK: Chứng chỉ cấp mới (YTD)</t>
        </is>
      </c>
      <c r="D14" s="54" t="inlineStr">
        <is>
          <t>So sánh cùng kỳ năm trước đối với chỉ tiêu: Chứng chỉ cấp mới (YTD)</t>
        </is>
      </c>
      <c r="E14" s="4" t="inlineStr">
        <is>
          <t>Dashboard</t>
        </is>
      </c>
      <c r="G14" s="4" t="inlineStr">
        <is>
          <t>Dễ</t>
        </is>
      </c>
    </row>
    <row r="15">
      <c r="B15" s="4" t="inlineStr">
        <is>
          <t>Dashboard tổng quan của Người hành nghề chứng khoán toàn thị trường/Các chỉ tiêu tổng hợp thông tin chung</t>
        </is>
      </c>
      <c r="C15" s="56" t="inlineStr">
        <is>
          <t>SSCK: Bị thu hồi</t>
        </is>
      </c>
      <c r="D15" s="54" t="inlineStr">
        <is>
          <t>So sánh cùng kỳ năm trước đối với chỉ tiêu: Bị thu hồi</t>
        </is>
      </c>
      <c r="E15" s="4" t="inlineStr">
        <is>
          <t>Dashboard</t>
        </is>
      </c>
      <c r="G15" s="4" t="inlineStr">
        <is>
          <t>Dễ</t>
        </is>
      </c>
    </row>
    <row r="16">
      <c r="B16" s="4" t="inlineStr">
        <is>
          <t>Dashboard tổng quan của Người hành nghề chứng khoán toàn thị trường/Các chỉ tiêu tổng hợp thông tin chung</t>
        </is>
      </c>
      <c r="C16" s="56" t="inlineStr">
        <is>
          <t>SSCK: CCHN đang hoạt động</t>
        </is>
      </c>
      <c r="D16" s="54" t="inlineStr">
        <is>
          <t>So sánh cùng kỳ năm trước đối với chỉ tiêu: CCHN đang hoạt động</t>
        </is>
      </c>
      <c r="E16" s="4" t="inlineStr">
        <is>
          <t>Dashboard</t>
        </is>
      </c>
      <c r="G16" s="4" t="inlineStr">
        <is>
          <t>Dễ</t>
        </is>
      </c>
    </row>
    <row r="17">
      <c r="B17" s="4" t="inlineStr">
        <is>
          <t>Dashboard tổng quan của Người hành nghề chứng khoán toàn thị trường/Các chỉ tiêu tổng hợp thông tin chung</t>
        </is>
      </c>
      <c r="C17" s="56" t="inlineStr">
        <is>
          <t>SSCK: Thu hồi trong 3 năm</t>
        </is>
      </c>
      <c r="D17" s="54" t="inlineStr">
        <is>
          <t>So sánh cùng kỳ năm trước đối với chỉ tiêu: Thu hồi trong 3 năm</t>
        </is>
      </c>
      <c r="E17" s="4" t="inlineStr">
        <is>
          <t>Dashboard</t>
        </is>
      </c>
      <c r="G17" s="4" t="inlineStr">
        <is>
          <t>Dễ</t>
        </is>
      </c>
    </row>
    <row r="18">
      <c r="B18" s="4" t="inlineStr">
        <is>
          <t>Dashboard tổng quan của Người hành nghề chứng khoán toàn thị trường/Các chỉ tiêu tổng hợp thông tin chung</t>
        </is>
      </c>
      <c r="C18" s="56" t="inlineStr">
        <is>
          <t>SSCK: Thu hồi vĩnh viễn</t>
        </is>
      </c>
      <c r="D18" s="54" t="inlineStr">
        <is>
          <t>So sánh cùng kỳ năm trước đối với chỉ tiêu: Thu hồi vĩnh viễn</t>
        </is>
      </c>
      <c r="E18" s="4" t="inlineStr">
        <is>
          <t>Dashboard</t>
        </is>
      </c>
      <c r="G18" s="4" t="inlineStr">
        <is>
          <t>Dễ</t>
        </is>
      </c>
    </row>
    <row r="19">
      <c r="B19" s="4" t="inlineStr">
        <is>
          <t>Dashboard tổng quan của Người hành nghề chứng khoán toàn thị trường/Các chỉ tiêu tổng hợp thông tin chung</t>
        </is>
      </c>
      <c r="C19" s="56" t="inlineStr">
        <is>
          <t>SSCK: Đã bị hủy</t>
        </is>
      </c>
      <c r="D19" s="54" t="inlineStr">
        <is>
          <t>So sánh cùng kỳ năm trước đối với chỉ tiêu: Đã bị hủy</t>
        </is>
      </c>
      <c r="E19" s="4" t="inlineStr">
        <is>
          <t>Dashboard</t>
        </is>
      </c>
      <c r="G19" s="4" t="inlineStr">
        <is>
          <t>Dễ</t>
        </is>
      </c>
    </row>
    <row r="20">
      <c r="B20" s="4" t="inlineStr">
        <is>
          <t>Dashboard tổng quan của Người hành nghề chứng khoán toàn thị trường/Các chỉ tiêu tổng hợp thông tin chung</t>
        </is>
      </c>
      <c r="C20" s="56" t="inlineStr">
        <is>
          <t>SSCK: Cảnh báo NHNCK</t>
        </is>
      </c>
      <c r="D20" s="54" t="inlineStr">
        <is>
          <t>So sánh cùng kỳ năm trước đối với chỉ tiêu: Cảnh báo NHNCK</t>
        </is>
      </c>
      <c r="E20" s="4" t="inlineStr">
        <is>
          <t>Dashboard</t>
        </is>
      </c>
      <c r="G20" s="4" t="inlineStr">
        <is>
          <t>Dễ</t>
        </is>
      </c>
    </row>
    <row r="21">
      <c r="B21" s="4" t="inlineStr">
        <is>
          <t>Dashboard tổng quan của Người hành nghề chứng khoán toàn thị trường/Biểu đồ Trình độ chuyên môn</t>
        </is>
      </c>
      <c r="C21" s="54" t="inlineStr">
        <is>
          <t>Số lượng Tiến sĩ</t>
        </is>
      </c>
      <c r="D21" s="54" t="inlineStr">
        <is>
          <t>Số lượng NHN trình độ Tiến sĩ</t>
        </is>
      </c>
      <c r="E21" s="4" t="inlineStr">
        <is>
          <t>Dashboard</t>
        </is>
      </c>
      <c r="G21" s="4" t="inlineStr">
        <is>
          <t>TB</t>
        </is>
      </c>
    </row>
    <row r="22">
      <c r="B22" s="4" t="inlineStr">
        <is>
          <t>Dashboard tổng quan của Người hành nghề chứng khoán toàn thị trường/Biểu đồ Trình độ chuyên môn</t>
        </is>
      </c>
      <c r="C22" s="54" t="inlineStr">
        <is>
          <t>Số lượng Thạc sĩ</t>
        </is>
      </c>
      <c r="D22" s="54" t="inlineStr">
        <is>
          <t>Số lượng NHN trình độ Thạc sĩ</t>
        </is>
      </c>
      <c r="E22" s="4" t="inlineStr">
        <is>
          <t>Dashboard</t>
        </is>
      </c>
      <c r="G22" s="4" t="inlineStr">
        <is>
          <t>TB</t>
        </is>
      </c>
    </row>
    <row r="23">
      <c r="B23" s="4" t="inlineStr">
        <is>
          <t>Dashboard tổng quan của Người hành nghề chứng khoán toàn thị trường/Biểu đồ Trình độ chuyên môn</t>
        </is>
      </c>
      <c r="C23" s="54" t="inlineStr">
        <is>
          <t>Số lượng Đại học</t>
        </is>
      </c>
      <c r="D23" s="54" t="inlineStr">
        <is>
          <t>Số lượng NHN trình độ Đại học</t>
        </is>
      </c>
      <c r="E23" s="4" t="inlineStr">
        <is>
          <t>Dashboard</t>
        </is>
      </c>
      <c r="G23" s="4" t="inlineStr">
        <is>
          <t>TB</t>
        </is>
      </c>
    </row>
    <row r="24">
      <c r="B24" s="4" t="inlineStr">
        <is>
          <t>Dashboard tổng quan của Người hành nghề chứng khoán toàn thị trường/Biểu đồ Trình độ chuyên môn</t>
        </is>
      </c>
      <c r="C24" s="54" t="inlineStr">
        <is>
          <t>Tỷ lệ Tiến sĩ (%)</t>
        </is>
      </c>
      <c r="D24" s="54" t="inlineStr">
        <is>
          <t>Tỷ lệ NHN trình độ Tiến sĩ/ Tổng số NHN</t>
        </is>
      </c>
      <c r="E24" s="4" t="inlineStr">
        <is>
          <t>Dashboard</t>
        </is>
      </c>
      <c r="G24" s="4" t="inlineStr">
        <is>
          <t>Dễ</t>
        </is>
      </c>
    </row>
    <row r="25">
      <c r="B25" s="4" t="inlineStr">
        <is>
          <t>Dashboard tổng quan của Người hành nghề chứng khoán toàn thị trường/Biểu đồ Trình độ chuyên môn</t>
        </is>
      </c>
      <c r="C25" s="54" t="inlineStr">
        <is>
          <t>Tỷ lệ Thạc sĩ (%)</t>
        </is>
      </c>
      <c r="D25" s="54" t="inlineStr">
        <is>
          <t>Tỷ lệ NHN trình độ Thạc sĩ/ Tổng số NHN</t>
        </is>
      </c>
      <c r="E25" s="4" t="inlineStr">
        <is>
          <t>Dashboard</t>
        </is>
      </c>
      <c r="G25" s="4" t="inlineStr">
        <is>
          <t>Dễ</t>
        </is>
      </c>
    </row>
    <row r="26">
      <c r="B26" s="4" t="inlineStr">
        <is>
          <t>Dashboard tổng quan của Người hành nghề chứng khoán toàn thị trường/Biểu đồ Trình độ chuyên môn</t>
        </is>
      </c>
      <c r="C26" s="54" t="inlineStr">
        <is>
          <t>Tỷ lệ Đại học (%)</t>
        </is>
      </c>
      <c r="D26" s="54" t="inlineStr">
        <is>
          <t>Tỷ lệ NHN trình độ Đại học/ Tổng số NHN</t>
        </is>
      </c>
      <c r="E26" s="4" t="inlineStr">
        <is>
          <t>Dashboard</t>
        </is>
      </c>
      <c r="G26" s="4" t="inlineStr">
        <is>
          <t>Dễ</t>
        </is>
      </c>
    </row>
    <row r="27">
      <c r="B27" s="4" t="inlineStr">
        <is>
          <t>Dashboard tổng quan của Người hành nghề chứng khoán toàn thị trường/Biểu đồ Biểu đồ Cơ cấu theo loại hình CCHN</t>
        </is>
      </c>
      <c r="C27" s="54" t="inlineStr">
        <is>
          <t>Số lượng CCHN là Môi giới</t>
        </is>
      </c>
      <c r="D27" s="54" t="inlineStr">
        <is>
          <t>Số lượng CCHN là Môi giới</t>
        </is>
      </c>
      <c r="E27" s="4" t="inlineStr">
        <is>
          <t>Dashboard</t>
        </is>
      </c>
      <c r="G27" s="4" t="inlineStr">
        <is>
          <t>TB</t>
        </is>
      </c>
    </row>
    <row r="28">
      <c r="B28" s="4" t="inlineStr">
        <is>
          <t>Dashboard tổng quan của Người hành nghề chứng khoán toàn thị trường/Biểu đồ Biểu đồ Cơ cấu theo loại hình CCHN</t>
        </is>
      </c>
      <c r="C28" s="54" t="inlineStr">
        <is>
          <t>Số lượng CCHN là Phân tích</t>
        </is>
      </c>
      <c r="D28" s="54" t="inlineStr">
        <is>
          <t>Số lượng CCHN là Phân tích</t>
        </is>
      </c>
      <c r="E28" s="4" t="inlineStr">
        <is>
          <t>Dashboard</t>
        </is>
      </c>
      <c r="G28" s="4" t="inlineStr">
        <is>
          <t>TB</t>
        </is>
      </c>
    </row>
    <row r="29">
      <c r="B29" s="4" t="inlineStr">
        <is>
          <t>Dashboard tổng quan của Người hành nghề chứng khoán toàn thị trường/Biểu đồ Biểu đồ Cơ cấu theo loại hình CCHN</t>
        </is>
      </c>
      <c r="C29" s="54" t="inlineStr">
        <is>
          <t>Số lượng CCHN là QLQ</t>
        </is>
      </c>
      <c r="D29" s="54" t="inlineStr">
        <is>
          <t>Số lượng CCHN là QLQ</t>
        </is>
      </c>
      <c r="E29" s="4" t="inlineStr">
        <is>
          <t>Dashboard</t>
        </is>
      </c>
      <c r="G29" s="4" t="inlineStr">
        <is>
          <t>TB</t>
        </is>
      </c>
    </row>
    <row r="30">
      <c r="B30" s="4" t="inlineStr">
        <is>
          <t xml:space="preserve">Dashboard tổng quan của Người hành nghề chứng khoán toàn thị trường/Biểu đồ Phân bổ độ tuổi
</t>
        </is>
      </c>
      <c r="C30" s="54" t="inlineStr">
        <is>
          <t>Số lượng NHN có độ tuổi 18–21 quốc tịch VN</t>
        </is>
      </c>
      <c r="D30" s="54" t="inlineStr">
        <is>
          <t>Số lượng NHN có độ tuổi 18–21 quốc tịch VN</t>
        </is>
      </c>
      <c r="E30" s="4" t="inlineStr">
        <is>
          <t>Dashboard</t>
        </is>
      </c>
      <c r="G30" s="4" t="inlineStr">
        <is>
          <t>Trung</t>
        </is>
      </c>
    </row>
    <row r="31">
      <c r="B31" s="4" t="inlineStr">
        <is>
          <t xml:space="preserve">Dashboard tổng quan của Người hành nghề chứng khoán toàn thị trường/Biểu đồ Phân bổ độ tuổi
</t>
        </is>
      </c>
      <c r="C31" s="54" t="n"/>
      <c r="D31" s="54" t="inlineStr">
        <is>
          <t>So luong NHN</t>
        </is>
      </c>
      <c r="E31" s="4" t="inlineStr">
        <is>
          <t>Dashboard</t>
        </is>
      </c>
      <c r="F31" s="4" t="inlineStr">
        <is>
          <t>Chi tieu</t>
        </is>
      </c>
      <c r="G31" s="4" t="inlineStr">
        <is>
          <t>TB</t>
        </is>
      </c>
    </row>
    <row r="32">
      <c r="B32" s="4" t="inlineStr">
        <is>
          <t xml:space="preserve">Dashboard tổng quan của Người hành nghề chứng khoán toàn thị trường/Biểu đồ Phân bổ độ tuổi
</t>
        </is>
      </c>
      <c r="C32" s="54" t="n"/>
      <c r="D32" s="54" t="inlineStr">
        <is>
          <t>Chieu do tuoi NHN</t>
        </is>
      </c>
      <c r="E32" s="4" t="inlineStr">
        <is>
          <t>Dashboard</t>
        </is>
      </c>
      <c r="F32" s="4" t="inlineStr">
        <is>
          <t>Chieu</t>
        </is>
      </c>
      <c r="G32" s="4" t="inlineStr">
        <is>
          <t>TB</t>
        </is>
      </c>
    </row>
    <row r="33">
      <c r="B33" s="4" t="inlineStr">
        <is>
          <t xml:space="preserve">Dashboard tổng quan của Người hành nghề chứng khoán toàn thị trường/Biểu đồ Phân bổ độ tuổi
</t>
        </is>
      </c>
      <c r="C33" s="54" t="inlineStr">
        <is>
          <t>Số lượng NHN có độ tuổi 22–30 quốc tịch VN</t>
        </is>
      </c>
      <c r="D33" s="54" t="inlineStr">
        <is>
          <t>Số lượng NHN có độ tuổi 22–30 quốc tịch VN</t>
        </is>
      </c>
      <c r="E33" s="4" t="inlineStr">
        <is>
          <t>Dashboard</t>
        </is>
      </c>
      <c r="G33" s="4" t="inlineStr">
        <is>
          <t>Trung</t>
        </is>
      </c>
    </row>
    <row r="34">
      <c r="B34" s="4" t="inlineStr">
        <is>
          <t xml:space="preserve">Dashboard tổng quan của Người hành nghề chứng khoán toàn thị trường/Biểu đồ Phân bổ độ tuổi
</t>
        </is>
      </c>
      <c r="C34" s="54" t="inlineStr">
        <is>
          <t>Số lượng NHN có độ tuổi 31–40 quốc tịch VN</t>
        </is>
      </c>
      <c r="D34" s="54" t="inlineStr">
        <is>
          <t>Số lượng NHN có độ tuổi 31–40 quốc tịch VN</t>
        </is>
      </c>
      <c r="E34" s="4" t="inlineStr">
        <is>
          <t>Dashboard</t>
        </is>
      </c>
      <c r="G34" s="4" t="inlineStr">
        <is>
          <t>Trung</t>
        </is>
      </c>
    </row>
    <row r="35">
      <c r="B35" s="4" t="inlineStr">
        <is>
          <t xml:space="preserve">Dashboard tổng quan của Người hành nghề chứng khoán toàn thị trường/Biểu đồ Phân bổ độ tuổi
</t>
        </is>
      </c>
      <c r="C35" s="54" t="inlineStr">
        <is>
          <t>Số lượng NHN có độ tuổi 41–50 quốc tịch VN</t>
        </is>
      </c>
      <c r="D35" s="54" t="inlineStr">
        <is>
          <t>Số lượng NHN có độ tuổi 41–50 quốc tịch VN</t>
        </is>
      </c>
      <c r="E35" s="4" t="inlineStr">
        <is>
          <t>Dashboard</t>
        </is>
      </c>
      <c r="G35" s="4" t="inlineStr">
        <is>
          <t>Trung</t>
        </is>
      </c>
    </row>
    <row r="36">
      <c r="B36" s="4" t="inlineStr">
        <is>
          <t xml:space="preserve">Dashboard tổng quan của Người hành nghề chứng khoán toàn thị trường/Biểu đồ Phân bổ độ tuổi
</t>
        </is>
      </c>
      <c r="C36" s="54" t="inlineStr">
        <is>
          <t>Số lượng NHN có độ tuổi 50+ quốc tịch VN</t>
        </is>
      </c>
      <c r="D36" s="54" t="inlineStr">
        <is>
          <t>Số lượng NHN có độ tuổi 50+ quốc tịch VN</t>
        </is>
      </c>
      <c r="E36" s="4" t="inlineStr">
        <is>
          <t>Dashboard</t>
        </is>
      </c>
      <c r="G36" s="4" t="inlineStr">
        <is>
          <t>Trung</t>
        </is>
      </c>
    </row>
    <row r="37">
      <c r="B37" s="4" t="inlineStr">
        <is>
          <t xml:space="preserve">Dashboard tổng quan của Người hành nghề chứng khoán toàn thị trường/Biểu đồ Phân bổ độ tuổi
</t>
        </is>
      </c>
      <c r="C37" s="54" t="inlineStr">
        <is>
          <t>Số lượng NHN có độ tuổi 18–21 quốc tịch nước ngoài</t>
        </is>
      </c>
      <c r="D37" s="54" t="inlineStr">
        <is>
          <t>Số lượng NHN có độ tuổi 18–21 quốc tịch nước ngoài</t>
        </is>
      </c>
      <c r="E37" s="4" t="inlineStr">
        <is>
          <t>Dashboard</t>
        </is>
      </c>
      <c r="G37" s="4" t="inlineStr">
        <is>
          <t>Trung</t>
        </is>
      </c>
    </row>
    <row r="38">
      <c r="B38" s="4" t="inlineStr">
        <is>
          <t xml:space="preserve">Dashboard tổng quan của Người hành nghề chứng khoán toàn thị trường/Biểu đồ Phân bổ độ tuổi
</t>
        </is>
      </c>
      <c r="C38" s="54" t="inlineStr">
        <is>
          <t>Số lượng NHN có độ tuổi 22–30 quốc tịch nước ngoài</t>
        </is>
      </c>
      <c r="D38" s="54" t="inlineStr">
        <is>
          <t>Số lượng NHN có độ tuổi 22–30 quốc tịch nước ngoài</t>
        </is>
      </c>
      <c r="E38" s="4" t="inlineStr">
        <is>
          <t>Dashboard</t>
        </is>
      </c>
      <c r="G38" s="4" t="inlineStr">
        <is>
          <t>Trung</t>
        </is>
      </c>
    </row>
    <row r="39">
      <c r="B39" s="4" t="inlineStr">
        <is>
          <t xml:space="preserve">Dashboard tổng quan của Người hành nghề chứng khoán toàn thị trường/Biểu đồ Phân bổ độ tuổi
</t>
        </is>
      </c>
      <c r="C39" s="54" t="inlineStr">
        <is>
          <t>Số lượng NHN có độ tuổi 31–40 quốc tịch nước ngoài</t>
        </is>
      </c>
      <c r="D39" s="54" t="inlineStr">
        <is>
          <t>Số lượng NHN có độ tuổi 31–40 quốc tịch nước ngoài</t>
        </is>
      </c>
      <c r="E39" s="4" t="inlineStr">
        <is>
          <t>Dashboard</t>
        </is>
      </c>
      <c r="G39" s="4" t="inlineStr">
        <is>
          <t>Trung</t>
        </is>
      </c>
    </row>
    <row r="40">
      <c r="B40" s="4" t="inlineStr">
        <is>
          <t xml:space="preserve">Dashboard tổng quan của Người hành nghề chứng khoán toàn thị trường/Biểu đồ Phân bổ độ tuổi
</t>
        </is>
      </c>
      <c r="C40" s="54" t="inlineStr">
        <is>
          <t>Số lượng NHN có độ tuổi 41–50 quốc tịch nước ngoài</t>
        </is>
      </c>
      <c r="D40" s="54" t="inlineStr">
        <is>
          <t>Số lượng NHN có độ tuổi 41–50 quốc tịch nước ngoài</t>
        </is>
      </c>
      <c r="E40" s="4" t="inlineStr">
        <is>
          <t>Dashboard</t>
        </is>
      </c>
      <c r="G40" s="4" t="inlineStr">
        <is>
          <t>Trung</t>
        </is>
      </c>
    </row>
    <row r="41">
      <c r="B41" s="4" t="inlineStr">
        <is>
          <t xml:space="preserve">Dashboard tổng quan của Người hành nghề chứng khoán toàn thị trường/Biểu đồ Phân bổ độ tuổi
</t>
        </is>
      </c>
      <c r="C41" s="54" t="inlineStr">
        <is>
          <t>Số lượng NHN có độ tuổi 50+ quốc tịch nước ngoài</t>
        </is>
      </c>
      <c r="D41" s="54" t="inlineStr">
        <is>
          <t>Số lượng NHN có độ tuổi 50+ quốc tịch nước ngoài</t>
        </is>
      </c>
      <c r="E41" s="4" t="inlineStr">
        <is>
          <t>Dashboard</t>
        </is>
      </c>
      <c r="G41" s="4" t="inlineStr">
        <is>
          <t>Trung</t>
        </is>
      </c>
    </row>
    <row r="42">
      <c r="B42" s="4" t="inlineStr">
        <is>
          <t>Dashboard Tra cứu hồ sơ 360</t>
        </is>
      </c>
      <c r="C42" s="54" t="inlineStr">
        <is>
          <t>Họ tên</t>
        </is>
      </c>
      <c r="D42" s="54" t="inlineStr">
        <is>
          <t>Họ tên của NHNCK</t>
        </is>
      </c>
      <c r="E42" s="4" t="inlineStr">
        <is>
          <t>Dashboard</t>
        </is>
      </c>
      <c r="G42" s="4" t="inlineStr">
        <is>
          <t>Dễ</t>
        </is>
      </c>
    </row>
    <row r="43">
      <c r="B43" s="4" t="inlineStr">
        <is>
          <t>Dashboard Tra cứu hồ sơ 360</t>
        </is>
      </c>
      <c r="C43" s="54" t="inlineStr">
        <is>
          <t>Ngày sinh</t>
        </is>
      </c>
      <c r="D43" s="54" t="inlineStr">
        <is>
          <t>Ngày sinh của NHNCK</t>
        </is>
      </c>
      <c r="E43" s="4" t="inlineStr">
        <is>
          <t>Dashboard</t>
        </is>
      </c>
      <c r="G43" s="4" t="inlineStr">
        <is>
          <t>Dễ</t>
        </is>
      </c>
    </row>
    <row r="44">
      <c r="B44" s="4" t="inlineStr">
        <is>
          <t>Dashboard Tra cứu hồ sơ 360</t>
        </is>
      </c>
      <c r="C44" s="54" t="inlineStr">
        <is>
          <t>Tuổi</t>
        </is>
      </c>
      <c r="D44" s="54" t="inlineStr">
        <is>
          <t>Tuổi của NHNCK</t>
        </is>
      </c>
      <c r="E44" s="4" t="inlineStr">
        <is>
          <t>Dashboard</t>
        </is>
      </c>
      <c r="G44" s="4" t="inlineStr">
        <is>
          <t>Dễ</t>
        </is>
      </c>
    </row>
    <row r="45">
      <c r="B45" s="4" t="inlineStr">
        <is>
          <t>Dashboard Tra cứu hồ sơ 360</t>
        </is>
      </c>
      <c r="C45" s="54" t="inlineStr">
        <is>
          <t>Quốc tịch</t>
        </is>
      </c>
      <c r="D45" s="54" t="inlineStr">
        <is>
          <t>Quốc tịch của NHNCK</t>
        </is>
      </c>
      <c r="E45" s="4" t="inlineStr">
        <is>
          <t>Dashboard</t>
        </is>
      </c>
      <c r="G45" s="4" t="inlineStr">
        <is>
          <t>Dễ</t>
        </is>
      </c>
    </row>
    <row r="46">
      <c r="B46" s="4" t="inlineStr">
        <is>
          <t>Dashboard Tra cứu hồ sơ 360</t>
        </is>
      </c>
      <c r="C46" s="54" t="inlineStr">
        <is>
          <t>Số định danh cá nhân/ Số hộ chiếu</t>
        </is>
      </c>
      <c r="D46" s="54" t="inlineStr">
        <is>
          <t>Số định danh cá nhân hoặc số hộ chiếu</t>
        </is>
      </c>
      <c r="E46" s="4" t="inlineStr">
        <is>
          <t>Dashboard</t>
        </is>
      </c>
      <c r="G46" s="4" t="inlineStr">
        <is>
          <t>Dễ</t>
        </is>
      </c>
    </row>
    <row r="47">
      <c r="B47" s="57" t="inlineStr">
        <is>
          <t>Dashboard Mạng lưới của NHNCK</t>
        </is>
      </c>
      <c r="C47" s="58" t="inlineStr">
        <is>
          <t>Tên DN niêm yết/ đăng ký giao dịch (UPCOM) mà NHN tham gia</t>
        </is>
      </c>
      <c r="D47" s="54" t="inlineStr">
        <is>
          <t>Tên DN niêm yết/ đăng ký giao dịch (UPCOM) mà NHN tham gia trong bộ máy quản trị doanh nghiệp hoặc cổ đông lớn</t>
        </is>
      </c>
      <c r="E47" s="4" t="inlineStr">
        <is>
          <t>Dashboard</t>
        </is>
      </c>
      <c r="G47" s="4" t="inlineStr">
        <is>
          <t>Dễ</t>
        </is>
      </c>
    </row>
    <row r="48">
      <c r="B48" s="57" t="inlineStr">
        <is>
          <t>Dashboard Mạng lưới của NHNCK</t>
        </is>
      </c>
      <c r="C48" s="54" t="inlineStr">
        <is>
          <t>Chức vụ, vai trò</t>
        </is>
      </c>
      <c r="D48" s="54" t="inlineStr">
        <is>
          <t>Chức vụ, vai trò trong bộ máy quản trị doanh nghiệp hoặc cổ đông lớn của DN niêm yết/ đăng ký giao dịch (UPCOM)</t>
        </is>
      </c>
      <c r="E48" s="4" t="inlineStr">
        <is>
          <t>Dashboard</t>
        </is>
      </c>
      <c r="G48" s="4" t="inlineStr">
        <is>
          <t>Dễ</t>
        </is>
      </c>
    </row>
    <row r="49">
      <c r="B49" s="57" t="inlineStr">
        <is>
          <t>Dashboard Mạng lưới của NHNCK</t>
        </is>
      </c>
      <c r="C49" s="54" t="inlineStr">
        <is>
          <t>Họ tên người có liên quan</t>
        </is>
      </c>
      <c r="D49" s="54" t="inlineStr">
        <is>
          <t>Họ tên người có liên quan: anh chị em, bố mẹ, …</t>
        </is>
      </c>
      <c r="E49" s="4" t="inlineStr">
        <is>
          <t>Dashboard</t>
        </is>
      </c>
      <c r="G49" s="4" t="inlineStr">
        <is>
          <t>Dễ</t>
        </is>
      </c>
    </row>
    <row r="50">
      <c r="B50" s="57" t="inlineStr">
        <is>
          <t>Dashboard Mạng lưới của NHNCK</t>
        </is>
      </c>
      <c r="C50" s="54" t="inlineStr">
        <is>
          <t>Mối quan hệ</t>
        </is>
      </c>
      <c r="D50" s="54" t="inlineStr">
        <is>
          <t>Mối quan hệ của người có liên quan với NHN</t>
        </is>
      </c>
      <c r="E50" s="4" t="inlineStr">
        <is>
          <t>Dashboard</t>
        </is>
      </c>
      <c r="G50" s="4" t="inlineStr">
        <is>
          <t>Dễ</t>
        </is>
      </c>
    </row>
    <row r="51">
      <c r="B51" s="57" t="inlineStr">
        <is>
          <t>Dashboard Mạng lưới của NHNCK</t>
        </is>
      </c>
      <c r="C51" s="54" t="inlineStr">
        <is>
          <t>Đơn vị công tác của người có liên quan</t>
        </is>
      </c>
      <c r="D51" s="54" t="inlineStr">
        <is>
          <t>DN niêm yết/ đăng ký giao dịch (UPCOM) mà người có liên quan tham gia trong bộ máy quản trị doanh nghiệp hoặc cổ đông lớn</t>
        </is>
      </c>
      <c r="E51" s="4" t="inlineStr">
        <is>
          <t>Dashboard</t>
        </is>
      </c>
      <c r="G51" s="4" t="inlineStr">
        <is>
          <t>Dễ</t>
        </is>
      </c>
    </row>
    <row r="52">
      <c r="B52" s="57" t="inlineStr">
        <is>
          <t>Dashboard Mạng lưới của NHNCK</t>
        </is>
      </c>
      <c r="C52" s="54" t="inlineStr">
        <is>
          <t>Chức vụ, vai trò của người có liên quan</t>
        </is>
      </c>
      <c r="D52" s="54" t="inlineStr">
        <is>
          <t>Chức vụ, vai trò của người có liên quan trong bộ máy quản trị doanh nghiệp hoặc cổ đông lớn của DN niêm yết/ đăng ký giao dịch (UPCOM)</t>
        </is>
      </c>
      <c r="E52" s="4" t="inlineStr">
        <is>
          <t>Dashboard</t>
        </is>
      </c>
      <c r="G52" s="4" t="inlineStr">
        <is>
          <t>Dễ</t>
        </is>
      </c>
    </row>
    <row r="53" ht="54" customHeight="1" s="380">
      <c r="B53" s="57" t="inlineStr">
        <is>
          <t>Dashboard Hồ sơ &amp; Danh mục của NHNCK</t>
        </is>
      </c>
      <c r="C53" s="54" t="inlineStr">
        <is>
          <t>Tên DN niêm yết/ đăng ký giao dịch (UPCOM)</t>
        </is>
      </c>
      <c r="D53" s="54" t="inlineStr">
        <is>
          <t>Tên DN niêm yết/ đăng ký giao dịch (UPCOM) mà NHN tham gia trong bộ máy quản trị doanh nghiệp hoặc cổ đông lớn</t>
        </is>
      </c>
      <c r="E53" s="4" t="inlineStr">
        <is>
          <t>Dashboard</t>
        </is>
      </c>
      <c r="G53" s="4" t="inlineStr">
        <is>
          <t>Dễ</t>
        </is>
      </c>
    </row>
    <row r="54" ht="54" customHeight="1" s="380">
      <c r="B54" s="57" t="inlineStr">
        <is>
          <t>Dashboard Hồ sơ &amp; Danh mục của NHNCK</t>
        </is>
      </c>
      <c r="C54" s="54" t="inlineStr">
        <is>
          <t>Vai trò</t>
        </is>
      </c>
      <c r="D54" s="54" t="inlineStr">
        <is>
          <t>Chức vụ, vai trò trong bộ máy quản trị doanh nghiệp hoặc cổ đông lớn của DN niêm yết/ đăng ký giao dịch (UPCOM)</t>
        </is>
      </c>
      <c r="E54" s="4" t="inlineStr">
        <is>
          <t>Dashboard</t>
        </is>
      </c>
      <c r="G54" s="4" t="inlineStr">
        <is>
          <t>Dễ</t>
        </is>
      </c>
    </row>
    <row r="55" ht="18" customHeight="1" s="380">
      <c r="B55" s="57" t="inlineStr">
        <is>
          <t>Dashboard Hồ sơ &amp; Danh mục của NHNCK</t>
        </is>
      </c>
      <c r="C55" s="54" t="inlineStr">
        <is>
          <t>Trạng thái</t>
        </is>
      </c>
      <c r="D55" s="54" t="inlineStr">
        <is>
          <t>Trạng thái hiện tại</t>
        </is>
      </c>
      <c r="E55" s="4" t="inlineStr">
        <is>
          <t>Dashboard</t>
        </is>
      </c>
      <c r="G55" s="4" t="inlineStr">
        <is>
          <t>Dễ</t>
        </is>
      </c>
    </row>
    <row r="56" ht="36" customHeight="1" s="380">
      <c r="B56" s="57" t="inlineStr">
        <is>
          <t>Dashboard Hồ sơ &amp; Danh mục của NHNCK</t>
        </is>
      </c>
      <c r="C56" s="54" t="inlineStr">
        <is>
          <t>Số lượng cổ phiếu sở hữu</t>
        </is>
      </c>
      <c r="D56" s="54" t="inlineStr">
        <is>
          <t>Số lượng cổ phiếu sở hữu của NHN tại DN niêm yết/ đăng ký giao dịch (UPCOM)</t>
        </is>
      </c>
      <c r="E56" s="4" t="inlineStr">
        <is>
          <t>Dashboard</t>
        </is>
      </c>
      <c r="G56" s="4" t="inlineStr">
        <is>
          <t>Dễ</t>
        </is>
      </c>
    </row>
    <row r="57" ht="18" customHeight="1" s="380">
      <c r="B57" s="57" t="inlineStr">
        <is>
          <t>Dashboard Hồ sơ &amp; Danh mục của NHNCK</t>
        </is>
      </c>
      <c r="C57" s="54" t="inlineStr">
        <is>
          <t>Họ và tên</t>
        </is>
      </c>
      <c r="D57" s="54" t="inlineStr">
        <is>
          <t>Họ và tên của người có liên quan</t>
        </is>
      </c>
      <c r="E57" s="4" t="inlineStr">
        <is>
          <t>Dashboard</t>
        </is>
      </c>
      <c r="G57" s="4" t="inlineStr">
        <is>
          <t>Dễ</t>
        </is>
      </c>
    </row>
    <row r="58" ht="36" customHeight="1" s="380">
      <c r="B58" s="57" t="inlineStr">
        <is>
          <t>Dashboard Hồ sơ &amp; Danh mục của NHNCK</t>
        </is>
      </c>
      <c r="C58" s="54" t="inlineStr">
        <is>
          <t>Mối quan hệ</t>
        </is>
      </c>
      <c r="D58" s="54" t="inlineStr">
        <is>
          <t>Mối quan hệ của người có liên quan với NHNCK</t>
        </is>
      </c>
      <c r="E58" s="4" t="inlineStr">
        <is>
          <t>Dashboard</t>
        </is>
      </c>
      <c r="G58" s="4" t="inlineStr">
        <is>
          <t>Dễ</t>
        </is>
      </c>
    </row>
    <row r="59" ht="18" customHeight="1" s="380">
      <c r="B59" s="57" t="inlineStr">
        <is>
          <t>Dashboard Hồ sơ &amp; Danh mục của NHNCK</t>
        </is>
      </c>
      <c r="C59" s="54" t="inlineStr">
        <is>
          <t>Nghề nghiệp</t>
        </is>
      </c>
      <c r="D59" s="54" t="inlineStr">
        <is>
          <t>Nghề nghiệp của người có liên quan</t>
        </is>
      </c>
      <c r="E59" s="4" t="inlineStr">
        <is>
          <t>Dashboard</t>
        </is>
      </c>
      <c r="G59" s="4" t="inlineStr">
        <is>
          <t>Dễ</t>
        </is>
      </c>
    </row>
    <row r="60" ht="18" customHeight="1" s="380">
      <c r="B60" s="57" t="inlineStr">
        <is>
          <t>Dashboard Hồ sơ &amp; Danh mục của NHNCK</t>
        </is>
      </c>
      <c r="C60" s="54" t="inlineStr">
        <is>
          <t>CCCD/CMND/HC</t>
        </is>
      </c>
      <c r="D60" s="54" t="inlineStr">
        <is>
          <t>CCCD/CMND/HC của người có liên quan</t>
        </is>
      </c>
      <c r="E60" s="4" t="inlineStr">
        <is>
          <t>Dashboard</t>
        </is>
      </c>
      <c r="G60" s="4" t="inlineStr">
        <is>
          <t>Dễ</t>
        </is>
      </c>
    </row>
    <row r="61" ht="18" customHeight="1" s="380">
      <c r="B61" s="57" t="inlineStr">
        <is>
          <t>Dashboard Hồ sơ &amp; Danh mục của NHNCK</t>
        </is>
      </c>
      <c r="C61" s="54" t="inlineStr">
        <is>
          <t>Mã CTCK</t>
        </is>
      </c>
      <c r="D61" s="54" t="inlineStr">
        <is>
          <t>Tên viết tắt của CTCK mà NHN mở tài khoản</t>
        </is>
      </c>
      <c r="E61" s="4" t="inlineStr">
        <is>
          <t>Dashboard</t>
        </is>
      </c>
      <c r="G61" s="4" t="inlineStr">
        <is>
          <t>Dễ</t>
        </is>
      </c>
    </row>
    <row r="62" ht="18" customHeight="1" s="380">
      <c r="B62" s="57" t="inlineStr">
        <is>
          <t>Dashboard Hồ sơ &amp; Danh mục của NHNCK</t>
        </is>
      </c>
      <c r="C62" s="54" t="inlineStr">
        <is>
          <t>Số tài khoản</t>
        </is>
      </c>
      <c r="D62" s="54" t="inlineStr">
        <is>
          <t>Số tài khoản của NHN đã mở</t>
        </is>
      </c>
      <c r="E62" s="4" t="inlineStr">
        <is>
          <t>Dashboard</t>
        </is>
      </c>
      <c r="G62" s="4" t="inlineStr">
        <is>
          <t>Dễ</t>
        </is>
      </c>
    </row>
    <row r="63" ht="18" customHeight="1" s="380">
      <c r="B63" s="57" t="inlineStr">
        <is>
          <t>Dashboard Hồ sơ &amp; Danh mục của NHNCK</t>
        </is>
      </c>
      <c r="C63" s="54" t="inlineStr">
        <is>
          <t>Tên chủ tài khoản</t>
        </is>
      </c>
      <c r="D63" s="54" t="inlineStr">
        <is>
          <t>Tên chủ tài khoản</t>
        </is>
      </c>
      <c r="E63" s="4" t="inlineStr">
        <is>
          <t>Dashboard</t>
        </is>
      </c>
      <c r="G63" s="4" t="inlineStr">
        <is>
          <t>Dễ</t>
        </is>
      </c>
    </row>
    <row r="64" ht="18" customHeight="1" s="380">
      <c r="B64" s="57" t="inlineStr">
        <is>
          <t>Dashboard Hồ sơ &amp; Danh mục của NHNCK</t>
        </is>
      </c>
      <c r="C64" s="54" t="inlineStr">
        <is>
          <t>Mã CK nắm giữ chính</t>
        </is>
      </c>
      <c r="D64" s="54" t="inlineStr">
        <is>
          <t>Tối đa 2 mã CK nắm giữ có giá trị lớn nhất</t>
        </is>
      </c>
      <c r="E64" s="4" t="inlineStr">
        <is>
          <t>Dashboard</t>
        </is>
      </c>
      <c r="G64" s="4" t="inlineStr">
        <is>
          <t>Dễ</t>
        </is>
      </c>
    </row>
    <row r="65" ht="54" customHeight="1" s="380">
      <c r="B65" s="4" t="inlineStr">
        <is>
          <t>Dashboard Quá trình hành nghề của NHNCK</t>
        </is>
      </c>
      <c r="C65" s="54" t="inlineStr">
        <is>
          <t>Tổ chức</t>
        </is>
      </c>
      <c r="D65" s="54" t="inlineStr">
        <is>
          <t>Tên tổ chức (CTCK, CTQLQ, Chi nhánh CTCK nước ngoài, chi nhánh Cty QLQ nước ngoài) mà NHN đã/ đang công tác</t>
        </is>
      </c>
      <c r="E65" s="4" t="inlineStr">
        <is>
          <t>Dashboard</t>
        </is>
      </c>
      <c r="G65" s="4" t="inlineStr">
        <is>
          <t>Dễ</t>
        </is>
      </c>
    </row>
    <row r="66" ht="18" customHeight="1" s="380">
      <c r="B66" s="4" t="inlineStr">
        <is>
          <t>Dashboard Quá trình hành nghề của NHNCK</t>
        </is>
      </c>
      <c r="C66" s="54" t="inlineStr">
        <is>
          <t>Vị trí</t>
        </is>
      </c>
      <c r="D66" s="54" t="inlineStr">
        <is>
          <t>Vị trí công tác</t>
        </is>
      </c>
      <c r="E66" s="4" t="inlineStr">
        <is>
          <t>Dashboard</t>
        </is>
      </c>
      <c r="G66" s="4" t="inlineStr">
        <is>
          <t>Dễ</t>
        </is>
      </c>
    </row>
    <row r="67" ht="18" customHeight="1" s="380">
      <c r="B67" s="4" t="inlineStr">
        <is>
          <t>Dashboard Quá trình hành nghề của NHNCK</t>
        </is>
      </c>
      <c r="C67" s="54" t="inlineStr">
        <is>
          <t>Từ tháng</t>
        </is>
      </c>
      <c r="D67" s="54" t="inlineStr">
        <is>
          <t>Thời gian bắt đầu làm việc</t>
        </is>
      </c>
      <c r="E67" s="4" t="inlineStr">
        <is>
          <t>Dashboard</t>
        </is>
      </c>
      <c r="G67" s="4" t="inlineStr">
        <is>
          <t>Dễ</t>
        </is>
      </c>
    </row>
    <row r="68" ht="36" customHeight="1" s="380">
      <c r="B68" s="4" t="inlineStr">
        <is>
          <t>Dashboard Quá trình hành nghề của NHNCK</t>
        </is>
      </c>
      <c r="C68" s="54" t="inlineStr">
        <is>
          <t>Đến tháng</t>
        </is>
      </c>
      <c r="D68" s="54" t="inlineStr">
        <is>
          <t>Thời gian kết thúc làm việc, nếu còn đang làm việc thì hiển thị “Hiện nay”</t>
        </is>
      </c>
      <c r="E68" s="4" t="inlineStr">
        <is>
          <t>Dashboard</t>
        </is>
      </c>
      <c r="G68" s="4" t="inlineStr">
        <is>
          <t>Dễ</t>
        </is>
      </c>
    </row>
    <row r="69" ht="54" customHeight="1" s="380">
      <c r="B69" s="4" t="inlineStr">
        <is>
          <t>Dashboard Quá trình hành nghề của NHNCK</t>
        </is>
      </c>
      <c r="C69" s="54" t="inlineStr">
        <is>
          <t>Trạng thái</t>
        </is>
      </c>
      <c r="D69" s="54" t="inlineStr">
        <is>
          <t>Trạng thái làm việc:
- Quá khứ: Không còn làm việc nữa
- Hiện tại: Đang làm việc</t>
        </is>
      </c>
      <c r="E69" s="4" t="inlineStr">
        <is>
          <t>Dashboard</t>
        </is>
      </c>
      <c r="G69" s="4" t="inlineStr">
        <is>
          <t>Dễ</t>
        </is>
      </c>
    </row>
    <row r="70" ht="18" customHeight="1" s="380">
      <c r="B70" s="4" t="inlineStr">
        <is>
          <t>Dashboard Lịch sử cấp chứng chỉ của NHNCK</t>
        </is>
      </c>
      <c r="C70" s="54" t="inlineStr">
        <is>
          <t>Số CCHN</t>
        </is>
      </c>
      <c r="D70" s="54" t="inlineStr">
        <is>
          <t>Thông tin số CCHN đã cấp</t>
        </is>
      </c>
      <c r="E70" s="4" t="inlineStr">
        <is>
          <t>Dashboard</t>
        </is>
      </c>
      <c r="G70" s="4" t="inlineStr">
        <is>
          <t>Dễ</t>
        </is>
      </c>
    </row>
    <row r="71" ht="18" customHeight="1" s="380">
      <c r="B71" s="4" t="inlineStr">
        <is>
          <t>Dashboard Lịch sử cấp chứng chỉ của NHNCK</t>
        </is>
      </c>
      <c r="C71" s="54" t="inlineStr">
        <is>
          <t>Loại hình</t>
        </is>
      </c>
      <c r="D71" s="54" t="inlineStr">
        <is>
          <t>Loại hình hành nghề được cấp</t>
        </is>
      </c>
      <c r="E71" s="4" t="inlineStr">
        <is>
          <t>Dashboard</t>
        </is>
      </c>
      <c r="G71" s="4" t="inlineStr">
        <is>
          <t>Dễ</t>
        </is>
      </c>
    </row>
    <row r="72" ht="18" customHeight="1" s="380">
      <c r="B72" s="4" t="inlineStr">
        <is>
          <t>Dashboard Lịch sử cấp chứng chỉ của NHNCK</t>
        </is>
      </c>
      <c r="C72" s="54" t="inlineStr">
        <is>
          <t>Ngày cấp</t>
        </is>
      </c>
      <c r="D72" s="54" t="inlineStr">
        <is>
          <t>Ngày cấp CCHN</t>
        </is>
      </c>
      <c r="E72" s="4" t="inlineStr">
        <is>
          <t>Dashboard</t>
        </is>
      </c>
      <c r="G72" s="4" t="inlineStr">
        <is>
          <t>Dễ</t>
        </is>
      </c>
    </row>
    <row r="73" ht="18" customHeight="1" s="380">
      <c r="B73" s="4" t="inlineStr">
        <is>
          <t>Dashboard Lịch sử cấp chứng chỉ của NHNCK</t>
        </is>
      </c>
      <c r="C73" s="54" t="inlineStr">
        <is>
          <t>Ngày thu hồi</t>
        </is>
      </c>
      <c r="D73" s="54" t="inlineStr">
        <is>
          <t>Ngày thu hồi CCHN (nếu có)</t>
        </is>
      </c>
      <c r="E73" s="4" t="inlineStr">
        <is>
          <t>Dashboard</t>
        </is>
      </c>
      <c r="G73" s="4" t="inlineStr">
        <is>
          <t>Dễ</t>
        </is>
      </c>
    </row>
    <row r="74" ht="18" customHeight="1" s="380">
      <c r="B74" s="4" t="inlineStr">
        <is>
          <t>Dashboard Lịch sử cấp chứng chỉ của NHNCK</t>
        </is>
      </c>
      <c r="C74" s="54" t="inlineStr">
        <is>
          <t>Quyết định</t>
        </is>
      </c>
      <c r="D74" s="54" t="inlineStr">
        <is>
          <t>Số quyết định cấp CCHN</t>
        </is>
      </c>
      <c r="E74" s="4" t="inlineStr">
        <is>
          <t>Dashboard</t>
        </is>
      </c>
      <c r="G74" s="4" t="inlineStr">
        <is>
          <t>Dễ</t>
        </is>
      </c>
    </row>
    <row r="75" ht="90" customHeight="1" s="380">
      <c r="B75" s="4" t="inlineStr">
        <is>
          <t>Dashboard Lịch sử cấp chứng chỉ của NHNCK</t>
        </is>
      </c>
      <c r="C75" s="54" t="inlineStr">
        <is>
          <t>Trạng thái</t>
        </is>
      </c>
      <c r="D75" s="54" t="inlineStr">
        <is>
          <t>Trạng thái gồm:
- Đang hoạt động
- Thu hồi 3 năm
- Thu hồi vĩnh viễn
- Bị hủy</t>
        </is>
      </c>
      <c r="E75" s="4" t="inlineStr">
        <is>
          <t>Dashboard</t>
        </is>
      </c>
      <c r="G75" s="4" t="inlineStr">
        <is>
          <t>Dễ</t>
        </is>
      </c>
    </row>
    <row r="76" ht="18" customHeight="1" s="380">
      <c r="B76" s="57" t="inlineStr">
        <is>
          <t>Dashboard Đợt thi sát hạch của NHNCK</t>
        </is>
      </c>
      <c r="C76" s="54" t="inlineStr">
        <is>
          <t>Đợt thi</t>
        </is>
      </c>
      <c r="D76" s="54" t="inlineStr">
        <is>
          <t>Đợt thi NHN đã tham gia</t>
        </is>
      </c>
      <c r="E76" s="4" t="inlineStr">
        <is>
          <t>Dashboard</t>
        </is>
      </c>
      <c r="G76" s="4" t="inlineStr">
        <is>
          <t>Dễ</t>
        </is>
      </c>
    </row>
    <row r="77" ht="18" customHeight="1" s="380">
      <c r="B77" s="57" t="inlineStr">
        <is>
          <t>Dashboard Đợt thi sát hạch của NHNCK</t>
        </is>
      </c>
      <c r="C77" s="54" t="inlineStr">
        <is>
          <t>Ngày thi</t>
        </is>
      </c>
      <c r="D77" s="54" t="inlineStr">
        <is>
          <t>Ngày thi NHN đã tham gia</t>
        </is>
      </c>
      <c r="E77" s="4" t="inlineStr">
        <is>
          <t>Dashboard</t>
        </is>
      </c>
      <c r="G77" s="4" t="inlineStr">
        <is>
          <t>Dễ</t>
        </is>
      </c>
    </row>
    <row r="78" ht="18" customHeight="1" s="380">
      <c r="B78" s="57" t="inlineStr">
        <is>
          <t>Dashboard Đợt thi sát hạch của NHNCK</t>
        </is>
      </c>
      <c r="C78" s="54" t="inlineStr">
        <is>
          <t>Điểm thi</t>
        </is>
      </c>
      <c r="D78" s="54" t="inlineStr">
        <is>
          <t>Điểm thi NHN đã tham gia</t>
        </is>
      </c>
      <c r="E78" s="4" t="inlineStr">
        <is>
          <t>Dashboard</t>
        </is>
      </c>
      <c r="G78" s="4" t="inlineStr">
        <is>
          <t>Dễ</t>
        </is>
      </c>
    </row>
    <row r="79" ht="72" customHeight="1" s="380">
      <c r="B79" s="57" t="inlineStr">
        <is>
          <t>Dashboard Đợt thi sát hạch của NHNCK</t>
        </is>
      </c>
      <c r="C79" s="54" t="inlineStr">
        <is>
          <t>Số quyết định công bố</t>
        </is>
      </c>
      <c r="D79" s="54" t="inlineStr">
        <is>
          <t>Số quyết định công bố xác nhận danh sách thí sinh đạt / không đạt, điểm thi chính thức, làm căn cứ để cấp chứng chỉ chuyên môn chứng khoán</t>
        </is>
      </c>
      <c r="E79" s="4" t="inlineStr">
        <is>
          <t>Dashboard</t>
        </is>
      </c>
      <c r="G79" s="4" t="inlineStr">
        <is>
          <t>Dễ</t>
        </is>
      </c>
    </row>
    <row r="80" ht="18" customHeight="1" s="380">
      <c r="B80" s="57" t="inlineStr">
        <is>
          <t>Dashboard Đợt thi sát hạch của NHNCK</t>
        </is>
      </c>
      <c r="C80" s="54" t="inlineStr">
        <is>
          <t>Trạng thái</t>
        </is>
      </c>
      <c r="D80" s="54" t="inlineStr">
        <is>
          <t>Trạng thái Đạt/Không đạt</t>
        </is>
      </c>
      <c r="E80" s="4" t="inlineStr">
        <is>
          <t>Dashboard</t>
        </is>
      </c>
      <c r="G80" s="4" t="inlineStr">
        <is>
          <t>Dễ</t>
        </is>
      </c>
    </row>
    <row r="81" ht="18" customHeight="1" s="380">
      <c r="B81" s="4" t="inlineStr">
        <is>
          <t>Dashboard Cập nhật kiến thức của NHNCK</t>
        </is>
      </c>
      <c r="C81" s="54" t="inlineStr">
        <is>
          <t>Ngày cập nhật</t>
        </is>
      </c>
      <c r="D81" s="54" t="inlineStr">
        <is>
          <t>Ngày cập nhật kiến thức của NHN</t>
        </is>
      </c>
      <c r="E81" s="4" t="inlineStr">
        <is>
          <t>Dashboard</t>
        </is>
      </c>
      <c r="G81" s="4" t="inlineStr">
        <is>
          <t>Dễ</t>
        </is>
      </c>
    </row>
    <row r="82" ht="18" customHeight="1" s="380">
      <c r="B82" s="4" t="inlineStr">
        <is>
          <t>Dashboard Cập nhật kiến thức của NHNCK</t>
        </is>
      </c>
      <c r="C82" s="54" t="inlineStr">
        <is>
          <t>Nơi cập nhật</t>
        </is>
      </c>
      <c r="D82" s="54" t="inlineStr">
        <is>
          <t>Nơi Cập nhật: HNX/ UBCKNN</t>
        </is>
      </c>
      <c r="E82" s="4" t="inlineStr">
        <is>
          <t>Dashboard</t>
        </is>
      </c>
      <c r="G82" s="4" t="inlineStr">
        <is>
          <t>Dễ</t>
        </is>
      </c>
    </row>
    <row r="83" ht="18" customHeight="1" s="380">
      <c r="B83" s="4" t="inlineStr">
        <is>
          <t>Dashboard Cập nhật kiến thức của NHNCK</t>
        </is>
      </c>
      <c r="C83" s="54" t="inlineStr">
        <is>
          <t>Số giờ cập nhật của 1 đợt</t>
        </is>
      </c>
      <c r="D83" s="54" t="inlineStr">
        <is>
          <t>Số giờ cập nhật của 1 đợt cập nhật kiến thức</t>
        </is>
      </c>
      <c r="E83" s="4" t="inlineStr">
        <is>
          <t>Dashboard</t>
        </is>
      </c>
      <c r="G83" s="4" t="inlineStr">
        <is>
          <t>Dễ</t>
        </is>
      </c>
    </row>
    <row r="84" ht="18" customHeight="1" s="380">
      <c r="B84" s="4" t="inlineStr">
        <is>
          <t>Dashboard Cập nhật kiến thức của NHNCK</t>
        </is>
      </c>
      <c r="C84" s="54" t="inlineStr">
        <is>
          <t>Số giờ cập nhật 1 năm</t>
        </is>
      </c>
      <c r="D84" s="54" t="inlineStr">
        <is>
          <t>Tổng số giờ cập nhật kiến thức theo từng năm</t>
        </is>
      </c>
      <c r="E84" s="4" t="inlineStr">
        <is>
          <t>Dashboard</t>
        </is>
      </c>
      <c r="G84" s="4" t="inlineStr">
        <is>
          <t>Dễ</t>
        </is>
      </c>
    </row>
    <row r="85" ht="36" customHeight="1" s="380">
      <c r="B85" s="4" t="inlineStr">
        <is>
          <t>Dashboard Cập nhật kiến thức của NHNCK</t>
        </is>
      </c>
      <c r="C85" s="54" t="inlineStr">
        <is>
          <t>Trạng thái đã đủ 8h hay chưa</t>
        </is>
      </c>
      <c r="D85" s="54" t="inlineStr">
        <is>
          <t>Đã đủ 8h chưa: gồm các giá trị Đã đủ 8h/Chưa đủ 8h</t>
        </is>
      </c>
      <c r="E85" s="4" t="inlineStr">
        <is>
          <t>Dashboard</t>
        </is>
      </c>
      <c r="G85" s="4" t="inlineStr">
        <is>
          <t>Dễ</t>
        </is>
      </c>
    </row>
    <row r="86" ht="18" customHeight="1" s="380">
      <c r="B86" s="57" t="inlineStr">
        <is>
          <t>Dashboard Lịch sử vi phạm của NHNCK</t>
        </is>
      </c>
      <c r="C86" s="54" t="inlineStr">
        <is>
          <t>Số quyết định</t>
        </is>
      </c>
      <c r="D86" s="54" t="inlineStr">
        <is>
          <t>Số quyết định xử phạt</t>
        </is>
      </c>
      <c r="E86" s="4" t="inlineStr">
        <is>
          <t>Dashboard</t>
        </is>
      </c>
      <c r="G86" s="4" t="inlineStr">
        <is>
          <t>Dễ</t>
        </is>
      </c>
    </row>
    <row r="87" ht="18" customHeight="1" s="380">
      <c r="B87" s="57" t="inlineStr">
        <is>
          <t>Dashboard Lịch sử vi phạm của NHNCK</t>
        </is>
      </c>
      <c r="C87" s="54" t="inlineStr">
        <is>
          <t>Ngày quyết định</t>
        </is>
      </c>
      <c r="D87" s="54" t="inlineStr">
        <is>
          <t>Ngày quyết định xử phạt</t>
        </is>
      </c>
      <c r="E87" s="4" t="inlineStr">
        <is>
          <t>Dashboard</t>
        </is>
      </c>
      <c r="G87" s="4" t="inlineStr">
        <is>
          <t>Dễ</t>
        </is>
      </c>
    </row>
    <row r="88" ht="18" customHeight="1" s="380">
      <c r="B88" s="57" t="inlineStr">
        <is>
          <t>Dashboard Lịch sử vi phạm của NHNCK</t>
        </is>
      </c>
      <c r="C88" s="54" t="inlineStr">
        <is>
          <t>Nội dung vi phạm</t>
        </is>
      </c>
      <c r="D88" s="54" t="inlineStr">
        <is>
          <t>Nội dung vi phạm</t>
        </is>
      </c>
      <c r="E88" s="4" t="inlineStr">
        <is>
          <t>Dashboard</t>
        </is>
      </c>
      <c r="G88" s="4" t="inlineStr">
        <is>
          <t>Dễ</t>
        </is>
      </c>
    </row>
    <row r="89" ht="18" customHeight="1" s="380">
      <c r="B89" s="57" t="inlineStr">
        <is>
          <t>Dashboard Lịch sử vi phạm của NHNCK</t>
        </is>
      </c>
      <c r="C89" s="54" t="inlineStr">
        <is>
          <t>Hình thức xử phạt</t>
        </is>
      </c>
      <c r="D89" s="54" t="inlineStr">
        <is>
          <t>Hình thức xử phạt</t>
        </is>
      </c>
      <c r="E89" s="4" t="inlineStr">
        <is>
          <t>Dashboard</t>
        </is>
      </c>
      <c r="G89" s="4" t="inlineStr">
        <is>
          <t>Dễ</t>
        </is>
      </c>
    </row>
    <row r="90" ht="72" customHeight="1" s="380">
      <c r="B90" s="57" t="inlineStr">
        <is>
          <t>Dashboard Lịch sử vi phạm của NHNCK</t>
        </is>
      </c>
      <c r="C90" s="54" t="inlineStr">
        <is>
          <t>Trạng thái</t>
        </is>
      </c>
      <c r="D90" s="54" t="inlineStr">
        <is>
          <t>Trạng thái thực thi quyết định: Chưa thực thi, Đã thực thi, Cưỡng chế thi hành, Đang thực thi, Đã hoàn thành (đối với đình chỉ), Đã ban hành (đối với Cảnh báo)</t>
        </is>
      </c>
      <c r="E90" s="4" t="inlineStr">
        <is>
          <t>Dashboard</t>
        </is>
      </c>
      <c r="G90" s="4" t="inlineStr">
        <is>
          <t>Dễ</t>
        </is>
      </c>
    </row>
    <row r="91" ht="18" customHeight="1" s="380">
      <c r="B91" s="4" t="inlineStr">
        <is>
          <t>Yêu cầu khai thác dữ liệu (Data Explorer)</t>
        </is>
      </c>
      <c r="C91" s="54" t="inlineStr">
        <is>
          <t>Tên NHN</t>
        </is>
      </c>
      <c r="D91" s="54" t="inlineStr">
        <is>
          <t>Tên NHNCK</t>
        </is>
      </c>
      <c r="E91" s="4" t="inlineStr">
        <is>
          <t>Data Explorer</t>
        </is>
      </c>
      <c r="G91" s="4" t="inlineStr">
        <is>
          <t>Dễ</t>
        </is>
      </c>
    </row>
    <row r="92" ht="18" customHeight="1" s="380">
      <c r="B92" s="4" t="inlineStr">
        <is>
          <t>Yêu cầu khai thác dữ liệu (Data Explorer)</t>
        </is>
      </c>
      <c r="C92" s="54" t="inlineStr">
        <is>
          <t>Số CCHN</t>
        </is>
      </c>
      <c r="D92" s="54" t="inlineStr">
        <is>
          <t>Số CCHN của NHNCK</t>
        </is>
      </c>
      <c r="E92" s="4" t="inlineStr">
        <is>
          <t>Data Explorer</t>
        </is>
      </c>
      <c r="G92" s="4" t="inlineStr">
        <is>
          <t>Dễ</t>
        </is>
      </c>
    </row>
    <row r="93" ht="18" customHeight="1" s="380">
      <c r="B93" s="4" t="inlineStr">
        <is>
          <t>Yêu cầu khai thác dữ liệu (Data Explorer)</t>
        </is>
      </c>
      <c r="C93" s="54" t="inlineStr">
        <is>
          <t>Loại hình</t>
        </is>
      </c>
      <c r="D93" s="54" t="inlineStr">
        <is>
          <t>Loại hình nghiệp vụ được cấp phép</t>
        </is>
      </c>
      <c r="E93" s="4" t="inlineStr">
        <is>
          <t>Data Explorer</t>
        </is>
      </c>
      <c r="G93" s="4" t="inlineStr">
        <is>
          <t>Dễ</t>
        </is>
      </c>
    </row>
    <row r="94" ht="18" customHeight="1" s="380">
      <c r="B94" s="4" t="inlineStr">
        <is>
          <t>Yêu cầu khai thác dữ liệu (Data Explorer)</t>
        </is>
      </c>
      <c r="C94" s="54" t="inlineStr">
        <is>
          <t>Tổ chức</t>
        </is>
      </c>
      <c r="D94" s="54" t="inlineStr">
        <is>
          <t>Tổ chức đang làm việc</t>
        </is>
      </c>
      <c r="E94" s="4" t="inlineStr">
        <is>
          <t>Data Explorer</t>
        </is>
      </c>
      <c r="G94" s="4" t="inlineStr">
        <is>
          <t>Dễ</t>
        </is>
      </c>
    </row>
    <row r="95" ht="18" customHeight="1" s="380">
      <c r="B95" s="4" t="inlineStr">
        <is>
          <t>Yêu cầu khai thác dữ liệu (Data Explorer)</t>
        </is>
      </c>
      <c r="C95" s="54" t="inlineStr">
        <is>
          <t>Ngày cấp</t>
        </is>
      </c>
      <c r="D95" s="54" t="inlineStr">
        <is>
          <t>Ngày cấp CCHN</t>
        </is>
      </c>
      <c r="E95" s="4" t="inlineStr">
        <is>
          <t>Data Explorer</t>
        </is>
      </c>
      <c r="G95" s="4" t="inlineStr">
        <is>
          <t>Dễ</t>
        </is>
      </c>
    </row>
    <row r="96" ht="18" customHeight="1" s="380">
      <c r="B96" s="4" t="inlineStr">
        <is>
          <t>Yêu cầu khai thác dữ liệu (Data Explorer)</t>
        </is>
      </c>
      <c r="C96" s="54" t="inlineStr">
        <is>
          <t>Trạng thái</t>
        </is>
      </c>
      <c r="D96" s="54" t="inlineStr">
        <is>
          <t>Trạng thái NHNCK</t>
        </is>
      </c>
      <c r="E96" s="4" t="inlineStr">
        <is>
          <t>Data Explorer</t>
        </is>
      </c>
      <c r="G96" s="4" t="inlineStr">
        <is>
          <t>Dễ</t>
        </is>
      </c>
    </row>
    <row r="97" ht="18" customHeight="1" s="380">
      <c r="B97" s="4" t="inlineStr">
        <is>
          <t>Yêu cầu khai thác dữ liệu (Data Explorer)</t>
        </is>
      </c>
      <c r="C97" s="54" t="inlineStr">
        <is>
          <t>Loại hình</t>
        </is>
      </c>
      <c r="D97" s="54" t="inlineStr">
        <is>
          <t>Loại hình nghiệp vụ được cấp phép</t>
        </is>
      </c>
      <c r="E97" s="4" t="inlineStr">
        <is>
          <t>Data Explorer</t>
        </is>
      </c>
      <c r="G97" s="4" t="inlineStr">
        <is>
          <t>Dễ</t>
        </is>
      </c>
    </row>
    <row r="98" ht="18" customHeight="1" s="380">
      <c r="B98" s="4" t="inlineStr">
        <is>
          <t>Yêu cầu khai thác dữ liệu (Data Explorer)</t>
        </is>
      </c>
      <c r="C98" s="54" t="inlineStr">
        <is>
          <t>Trạng thái</t>
        </is>
      </c>
      <c r="D98" s="54" t="inlineStr">
        <is>
          <t>Trạng thái NHNCK</t>
        </is>
      </c>
      <c r="E98" s="4" t="inlineStr">
        <is>
          <t>Data Explorer</t>
        </is>
      </c>
      <c r="G98" s="4" t="inlineStr">
        <is>
          <t>Dễ</t>
        </is>
      </c>
    </row>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A1:AE4049"/>
  <sheetViews>
    <sheetView workbookViewId="0">
      <pane xSplit="5" ySplit="2" topLeftCell="F3" activePane="bottomRight" state="frozen"/>
      <selection pane="topRight" activeCell="F1" sqref="F1"/>
      <selection pane="bottomLeft" activeCell="A3" sqref="A3"/>
      <selection pane="bottomRight" activeCell="F3" sqref="F3"/>
    </sheetView>
  </sheetViews>
  <sheetFormatPr baseColWidth="10" defaultColWidth="12.6640625" defaultRowHeight="15.75" customHeight="1"/>
  <cols>
    <col width="5.5" customWidth="1" style="380" min="1" max="1"/>
    <col width="7.1640625" customWidth="1" style="380" min="2" max="2"/>
    <col width="22.83203125" customWidth="1" style="380" min="3" max="3"/>
    <col width="21.6640625" customWidth="1" style="380" min="4" max="4"/>
    <col width="27.33203125" customWidth="1" style="380" min="5" max="5"/>
    <col width="16" customWidth="1" style="380" min="6" max="6"/>
    <col width="19.33203125" customWidth="1" style="380" min="7" max="7"/>
    <col width="13.6640625" customWidth="1" style="380" min="9" max="9"/>
    <col width="14.1640625" customWidth="1" style="380" min="10" max="10"/>
    <col width="11.1640625" customWidth="1" style="380" min="11" max="11"/>
    <col width="7.6640625" customWidth="1" style="380" min="12" max="12"/>
    <col width="9.1640625" customWidth="1" style="380" min="13" max="13"/>
    <col width="13.1640625" customWidth="1" style="380" min="14" max="16"/>
    <col width="40.6640625" customWidth="1" style="380" min="17" max="17"/>
    <col width="17.33203125" customWidth="1" style="380" min="18" max="18"/>
    <col width="16.6640625" customWidth="1" style="380" min="19" max="19"/>
    <col width="37.83203125" customWidth="1" style="380" min="20" max="20"/>
    <col width="26.83203125" customWidth="1" style="380" min="21" max="21"/>
    <col width="14.33203125" customWidth="1" style="380" min="22" max="22"/>
    <col width="13.6640625" customWidth="1" style="380" min="23" max="23"/>
    <col width="16.5" customWidth="1" style="380" min="25" max="25"/>
  </cols>
  <sheetData>
    <row r="1" ht="13" customHeight="1" s="380">
      <c r="A1" s="62" t="n"/>
      <c r="B1" s="5" t="n"/>
      <c r="C1" s="5" t="n"/>
      <c r="D1" s="5" t="n"/>
      <c r="E1" s="5" t="n"/>
      <c r="F1" s="60" t="n"/>
      <c r="G1" s="60" t="n"/>
      <c r="H1" s="60" t="n"/>
      <c r="I1" s="31" t="n"/>
      <c r="J1" s="31" t="n"/>
      <c r="K1" s="31" t="n"/>
      <c r="L1" s="31" t="n"/>
      <c r="M1" s="31" t="n"/>
      <c r="N1" s="31" t="n"/>
      <c r="O1" s="31" t="n"/>
      <c r="P1" s="31" t="n"/>
      <c r="Q1" s="383" t="inlineStr">
        <is>
          <t>Khai thác nguồn</t>
        </is>
      </c>
      <c r="V1" s="63" t="n"/>
      <c r="W1" s="63" t="n"/>
      <c r="X1" s="63" t="n"/>
      <c r="Y1" s="6" t="n"/>
      <c r="Z1" s="395" t="n"/>
      <c r="AA1" s="395" t="n"/>
      <c r="AB1" s="395" t="n"/>
      <c r="AC1" s="395" t="n"/>
      <c r="AD1" s="395" t="n"/>
      <c r="AE1" s="395" t="n"/>
    </row>
    <row r="2" ht="28" customHeight="1" s="380">
      <c r="A2" s="62" t="inlineStr">
        <is>
          <t>STT</t>
        </is>
      </c>
      <c r="B2" s="5" t="inlineStr">
        <is>
          <t>PIC</t>
        </is>
      </c>
      <c r="C2" s="5" t="inlineStr">
        <is>
          <t>Dashboard/báo cáo</t>
        </is>
      </c>
      <c r="D2" s="5" t="inlineStr">
        <is>
          <t>Thông tin</t>
        </is>
      </c>
      <c r="E2" s="5" t="inlineStr">
        <is>
          <t>Mô tả</t>
        </is>
      </c>
      <c r="F2" s="60" t="inlineStr">
        <is>
          <t>Nhóm yêu cầu</t>
        </is>
      </c>
      <c r="G2" s="60" t="inlineStr">
        <is>
          <t>Phân loại</t>
        </is>
      </c>
      <c r="H2" s="60" t="inlineStr">
        <is>
          <t>Đánh giá</t>
        </is>
      </c>
      <c r="I2" s="33" t="inlineStr">
        <is>
          <t>Độ chi tiết</t>
        </is>
      </c>
      <c r="J2" s="33" t="inlineStr">
        <is>
          <t>Nguồn</t>
        </is>
      </c>
      <c r="K2" s="33" t="inlineStr">
        <is>
          <t>Cần phân tích?</t>
        </is>
      </c>
      <c r="L2" s="33" t="inlineStr">
        <is>
          <t>Cần test?</t>
        </is>
      </c>
      <c r="M2" s="33" t="inlineStr">
        <is>
          <t>DL lịch sử?</t>
        </is>
      </c>
      <c r="N2" s="33" t="inlineStr">
        <is>
          <t>Trạng thái mapping</t>
        </is>
      </c>
      <c r="O2" s="64" t="inlineStr">
        <is>
          <t>Map lần 2</t>
        </is>
      </c>
      <c r="P2" s="33" t="inlineStr">
        <is>
          <t>Mapping (nghiệp vụ)</t>
        </is>
      </c>
      <c r="Q2" s="49" t="inlineStr">
        <is>
          <t>Bảng nguồn</t>
        </is>
      </c>
      <c r="R2" s="49" t="inlineStr">
        <is>
          <t>Trường nguồn</t>
        </is>
      </c>
      <c r="S2" s="49" t="inlineStr">
        <is>
          <t>Điều kiện</t>
        </is>
      </c>
      <c r="T2" s="49" t="inlineStr">
        <is>
          <t>Câu lệnh tham khảo</t>
        </is>
      </c>
      <c r="U2" s="49" t="inlineStr">
        <is>
          <t>Note</t>
        </is>
      </c>
      <c r="V2" s="63" t="inlineStr">
        <is>
          <t>Kết quả Test</t>
        </is>
      </c>
      <c r="W2" s="63" t="inlineStr">
        <is>
          <t>Model</t>
        </is>
      </c>
      <c r="X2" s="63" t="inlineStr">
        <is>
          <t>DMT</t>
        </is>
      </c>
      <c r="Y2" s="6" t="inlineStr">
        <is>
          <t>Hoàn thành DEV</t>
        </is>
      </c>
      <c r="Z2" s="395" t="n"/>
      <c r="AA2" s="395" t="n"/>
      <c r="AB2" s="395" t="n"/>
      <c r="AC2" s="395" t="n"/>
      <c r="AD2" s="395" t="n"/>
      <c r="AE2" s="395" t="n"/>
    </row>
    <row r="3" ht="57.75" customHeight="1" s="380">
      <c r="A3" s="65" t="n"/>
      <c r="B3" s="66" t="n"/>
      <c r="C3" s="66" t="n"/>
      <c r="D3" s="66" t="inlineStr">
        <is>
          <t>Tên chiều/chỉ tiêu/thuộc tính</t>
        </is>
      </c>
      <c r="E3" s="66" t="n"/>
      <c r="F3" s="66" t="inlineStr">
        <is>
          <t>Dashboard/báo cáo/Data Explorer</t>
        </is>
      </c>
      <c r="G3" s="66" t="inlineStr">
        <is>
          <t>Chiều/Chỉ tiêu cơ sở/Chỉ tiêu phái sinh</t>
        </is>
      </c>
      <c r="H3" s="67" t="inlineStr">
        <is>
          <t>Dễ: lấy 1: 1 từ nguồn
TB: có tính toán tổng hợp
Khó: Có logic phức tạp và lấy nhiều mốc thời gian
Trùng: Trong phạm vi ban của mình làm đã có tính thông tin này rồi</t>
        </is>
      </c>
      <c r="I3" s="68" t="n"/>
      <c r="J3" s="69" t="n"/>
      <c r="K3" s="69" t="n"/>
      <c r="L3" s="69" t="n"/>
      <c r="M3" s="69" t="n"/>
      <c r="N3" s="69" t="n"/>
      <c r="O3" s="70" t="inlineStr">
        <is>
          <t>Theo TK CSDL mới (tiếng Anh)</t>
        </is>
      </c>
      <c r="P3" s="69" t="n"/>
      <c r="Q3" s="71" t="n"/>
      <c r="R3" s="71" t="n"/>
      <c r="S3" s="71" t="n"/>
      <c r="T3" s="72" t="inlineStr">
        <is>
          <t>Từ nguồn lên
Dev mapping model &lt;&gt; Mapping cho DMT</t>
        </is>
      </c>
      <c r="U3" s="72" t="n"/>
      <c r="V3" s="69" t="n"/>
      <c r="W3" s="69" t="n"/>
      <c r="X3" s="69" t="n"/>
      <c r="Y3" s="395" t="n"/>
      <c r="Z3" s="69" t="n"/>
      <c r="AA3" s="69" t="n"/>
      <c r="AB3" s="69" t="n"/>
      <c r="AC3" s="69" t="n"/>
      <c r="AD3" s="69" t="n"/>
      <c r="AE3" s="69" t="n"/>
    </row>
    <row r="4" ht="51" customHeight="1" s="380">
      <c r="A4" s="73" t="n">
        <v>1</v>
      </c>
      <c r="B4" s="74" t="n"/>
      <c r="C4" s="74" t="inlineStr">
        <is>
          <t>Dashboard Tổng quan công ty chứng khoán toàn thị trường &gt;&gt; Các chỉ tiêu thống kê chung</t>
        </is>
      </c>
      <c r="D4" s="75" t="inlineStr">
        <is>
          <t>Chiều Trạng thái công ty</t>
        </is>
      </c>
      <c r="E4" s="75" t="inlineStr">
        <is>
          <t>Gồm các trạng thái:
đã bị thu hồi
đang hoạt động bình thường
thuộc diện cảnh báo
thuộc diện kiểm soát
thuộc diện kiểm soát đặc biệt
đình chỉ hoạt động
... (trạng thái khác các trạng thái trên)</t>
        </is>
      </c>
      <c r="F4" s="400" t="inlineStr">
        <is>
          <t>Dashboard</t>
        </is>
      </c>
      <c r="G4" s="400" t="inlineStr">
        <is>
          <t>Chiều</t>
        </is>
      </c>
      <c r="H4" s="400" t="inlineStr">
        <is>
          <t>Dễ</t>
        </is>
      </c>
      <c r="I4" s="400" t="n"/>
      <c r="J4" s="400" t="inlineStr">
        <is>
          <t>SCMS</t>
        </is>
      </c>
      <c r="K4" s="405" t="inlineStr">
        <is>
          <t>X</t>
        </is>
      </c>
      <c r="L4" s="405" t="inlineStr">
        <is>
          <t>X</t>
        </is>
      </c>
      <c r="M4" s="405" t="n"/>
      <c r="N4" s="395" t="inlineStr">
        <is>
          <t>Done</t>
        </is>
      </c>
      <c r="O4" s="401" t="n"/>
      <c r="P4" s="395" t="n"/>
      <c r="Q4" s="396" t="inlineStr">
        <is>
          <t>SCMS.CTCK_THONG_TIN</t>
        </is>
      </c>
      <c r="R4" s="393" t="inlineStr">
        <is>
          <t>TRANG_THAI</t>
        </is>
      </c>
      <c r="S4" s="4" t="n"/>
      <c r="T4" s="396" t="inlineStr">
        <is>
          <t>-- Chiều: Trạng thái công ty
SELECT DISTINCT
    CASE
        WHEN LOWER(TRANG_THAI) LIKE '%thu hồi%' THEN 'Đã bị thu hồi'
        WHEN LOWER(TRANG_THAI) LIKE '%bình thường%' THEN 'Hoạt động bình thường'
        WHEN LOWER(TRANG_THAI) LIKE '%kiểm soát đặc biệt%' THEN 'Kiểm soát đặc biệt'
        WHEN LOWER(TRANG_THAI) LIKE '%kiểm soát%' THEN 'Kiểm soát'
        WHEN LOWER(TRANG_THAI) LIKE '%cảnh báo%' THEN 'Cảnh báo'
        WHEN LOWER(TRANG_THAI) LIKE '%đình chỉ%' THEN 'Đình chỉ hoạt động'
        ELSE 'Trạng thái khác'
    END AS trang_thai_ctck
FROM SCMS.CTCK_THONG_TIN
ORDER BY 1;</t>
        </is>
      </c>
      <c r="U4" s="17" t="n"/>
      <c r="V4" s="405" t="n"/>
      <c r="W4" s="405" t="n"/>
      <c r="X4" s="405" t="n"/>
      <c r="Y4" s="395" t="inlineStr">
        <is>
          <t>Done</t>
        </is>
      </c>
      <c r="Z4" s="405" t="n"/>
      <c r="AA4" s="405" t="n"/>
      <c r="AB4" s="405" t="n"/>
      <c r="AC4" s="405" t="n"/>
      <c r="AD4" s="405" t="n"/>
      <c r="AE4" s="405" t="n"/>
    </row>
    <row r="5" ht="56" customHeight="1" s="380">
      <c r="A5" s="73" t="n">
        <v>1</v>
      </c>
      <c r="B5" s="12" t="n"/>
      <c r="C5" s="12" t="inlineStr">
        <is>
          <t>Dashboard Tổng quan công ty chứng khoán toàn thị trường &gt;&gt; Các chỉ tiêu thống kê chung</t>
        </is>
      </c>
      <c r="D5" s="12" t="inlineStr">
        <is>
          <t>Chiều thời gian theo ngày</t>
        </is>
      </c>
      <c r="E5" s="12" t="inlineStr">
        <is>
          <t>Chiều thời gian theo ngày</t>
        </is>
      </c>
      <c r="F5" s="386" t="inlineStr">
        <is>
          <t>Dashboard</t>
        </is>
      </c>
      <c r="G5" s="386" t="inlineStr">
        <is>
          <t>Chiều</t>
        </is>
      </c>
      <c r="H5" s="386" t="inlineStr">
        <is>
          <t>TB</t>
        </is>
      </c>
      <c r="I5" s="386" t="n"/>
      <c r="J5" s="386" t="inlineStr">
        <is>
          <t>SCMS</t>
        </is>
      </c>
      <c r="K5" s="395" t="n"/>
      <c r="L5" s="395" t="inlineStr">
        <is>
          <t>X</t>
        </is>
      </c>
      <c r="M5" s="395" t="n"/>
      <c r="N5" s="395" t="inlineStr">
        <is>
          <t>Done</t>
        </is>
      </c>
      <c r="O5" s="401" t="n"/>
      <c r="P5" s="395" t="n"/>
      <c r="Q5" s="20" t="inlineStr">
        <is>
          <t>Ngày dữ liệu</t>
        </is>
      </c>
      <c r="R5" s="395" t="n"/>
      <c r="S5" s="395" t="n"/>
      <c r="T5" s="4" t="inlineStr">
        <is>
          <t>-- Chiều thời gian theo ngày
SELECT TRUNC(min_ngay) + LEVEL - 1 AS ngay
FROM (SELECT MIN(NGAY_SO_LIEU) AS min_ngay FROM SCMS.BC_THANH_VIEN)
CONNECT BY TRUNC(min_ngay) + LEVEL - 1 &lt;= TRUNC(SYSDATE)
ORDER BY ngay;</t>
        </is>
      </c>
      <c r="U5" s="386" t="n"/>
      <c r="V5" s="395" t="n"/>
      <c r="W5" s="395" t="n"/>
      <c r="X5" s="395" t="n"/>
      <c r="Y5" s="395" t="inlineStr">
        <is>
          <t>Done</t>
        </is>
      </c>
      <c r="Z5" s="395" t="n"/>
      <c r="AA5" s="395" t="n"/>
      <c r="AB5" s="395" t="n"/>
      <c r="AC5" s="395" t="n"/>
      <c r="AD5" s="395" t="n"/>
      <c r="AE5" s="395" t="n"/>
    </row>
    <row r="6" ht="37.5" customHeight="1" s="380">
      <c r="A6" s="73" t="n">
        <v>1</v>
      </c>
      <c r="B6" s="12" t="n"/>
      <c r="C6" s="12" t="inlineStr">
        <is>
          <t>Dashboard Tổng quan công ty chứng khoán toàn thị trường &gt;&gt; Các chỉ tiêu thống kê chung</t>
        </is>
      </c>
      <c r="D6" s="12" t="inlineStr">
        <is>
          <t>So sánh cùng kỳ tổng số lượng CTCK đã được cấp phép</t>
        </is>
      </c>
      <c r="E6" s="12" t="inlineStr">
        <is>
          <t>So sánh cùng kỳ năm trước tổng số lượng CTCK đã được cấp phép</t>
        </is>
      </c>
      <c r="F6" s="386" t="inlineStr">
        <is>
          <t>Dashboard</t>
        </is>
      </c>
      <c r="G6" s="386" t="inlineStr">
        <is>
          <t>Chỉ tiêu phái sinh</t>
        </is>
      </c>
      <c r="H6" s="386" t="inlineStr">
        <is>
          <t>TB</t>
        </is>
      </c>
      <c r="I6" s="386" t="inlineStr">
        <is>
          <t>ngày</t>
        </is>
      </c>
      <c r="J6" s="386" t="inlineStr">
        <is>
          <t>SCMS</t>
        </is>
      </c>
      <c r="K6" s="395" t="n"/>
      <c r="L6" s="395" t="inlineStr">
        <is>
          <t>X</t>
        </is>
      </c>
      <c r="M6" s="395" t="inlineStr">
        <is>
          <t>X</t>
        </is>
      </c>
      <c r="N6" s="395" t="inlineStr">
        <is>
          <t>Done</t>
        </is>
      </c>
      <c r="O6" s="401" t="n"/>
      <c r="P6" s="395" t="n"/>
      <c r="Q6" s="386" t="inlineStr">
        <is>
          <t>SCMS.CTCK_THONG_TIN</t>
        </is>
      </c>
      <c r="R6" s="386" t="inlineStr">
        <is>
          <t>c.ID, c.NGAY_CAP_GPKD, c.IS_BANG_TAM</t>
        </is>
      </c>
      <c r="S6" s="395" t="n"/>
      <c r="T6" s="386" t="inlineStr">
        <is>
          <t>-- So sánh cùng kỳ năm trước tổng số lượng CTCK đã được cấp phép
WITH base AS (
    SELECT
        nd.ngay,
        COUNT(c.ID) AS tong_ctck
    FROM (
        SELECT TRUNC(min_ngay) + LEVEL - 1 AS ngay
        FROM (
            SELECT MIN(NGAY_CAP_GPKD) AS min_ngay
            FROM SCMS.CTCK_THONG_TIN
            WHERE IS_BANG_TAM    = 1
              AND NGAY_CAP_GPKD IS NOT NULL
        )
        CONNECT BY TRUNC(min_ngay) + LEVEL - 1 &lt;= TRUNC(SYSDATE)
    ) nd
    LEFT JOIN SCMS.CTCK_THONG_TIN c
        ON  c.IS_BANG_TAM    = 1
        AND c.NGAY_CAP_GPKD IS NOT NULL
        AND TRUNC(c.NGAY_CAP_GPKD) &lt;= nd.ngay
    GROUP BY nd.ngay
)
SELECT
    b1.ngay,
--    b1.tong_ctck AS tong_ctck_nam_nay,
--    b2.tong_ctck AS tong_ctck_nam_truoc,
    ROUND(
        CASE
            WHEN b2.tong_ctck = 0 OR b2.tong_ctck IS NULL THEN NULL
            ELSE b1.tong_ctck / b2.tong_ctck * 100
        END
    , 2)                           AS ty_le_so_sanh_cung_ky
FROM base b1
LEFT JOIN base b2
    ON b2.ngay = ADD_MONTHS(b1.ngay, -12)
ORDER BY b1.ngay;</t>
        </is>
      </c>
      <c r="U6" s="386" t="n"/>
      <c r="V6" s="395" t="n"/>
      <c r="W6" s="395" t="n"/>
      <c r="X6" s="395" t="n"/>
      <c r="Y6" s="395" t="inlineStr">
        <is>
          <t>Done</t>
        </is>
      </c>
      <c r="Z6" s="395" t="n"/>
      <c r="AA6" s="395" t="n"/>
      <c r="AB6" s="395" t="n"/>
      <c r="AC6" s="395" t="n"/>
      <c r="AD6" s="395" t="n"/>
      <c r="AE6" s="395" t="n"/>
    </row>
    <row r="7" ht="55.5" customHeight="1" s="380">
      <c r="A7" s="73" t="n">
        <v>1</v>
      </c>
      <c r="B7" s="12" t="n"/>
      <c r="C7" s="12" t="inlineStr">
        <is>
          <t>Dashboard Tổng quan công ty chứng khoán toàn thị trường &gt;&gt; Các chỉ tiêu thống kê chung</t>
        </is>
      </c>
      <c r="D7" s="12" t="inlineStr">
        <is>
          <t>Tổng số lượng CTCK đã được cấp phép</t>
        </is>
      </c>
      <c r="E7" s="12" t="inlineStr">
        <is>
          <t>Tổng số lượng CTCK đã được cấp phép</t>
        </is>
      </c>
      <c r="F7" s="386" t="inlineStr">
        <is>
          <t>Dashboard</t>
        </is>
      </c>
      <c r="G7" s="386" t="inlineStr">
        <is>
          <t>Chỉ tiêu cơ sở</t>
        </is>
      </c>
      <c r="H7" s="386" t="inlineStr">
        <is>
          <t>TB</t>
        </is>
      </c>
      <c r="I7" s="386" t="inlineStr">
        <is>
          <t>ngày</t>
        </is>
      </c>
      <c r="J7" s="386" t="inlineStr">
        <is>
          <t>SCMS</t>
        </is>
      </c>
      <c r="K7" s="395" t="inlineStr">
        <is>
          <t>X</t>
        </is>
      </c>
      <c r="L7" s="395" t="inlineStr">
        <is>
          <t>X</t>
        </is>
      </c>
      <c r="M7" s="395" t="n"/>
      <c r="N7" s="395" t="inlineStr">
        <is>
          <t>Done</t>
        </is>
      </c>
      <c r="O7" s="401" t="n"/>
      <c r="P7" s="395" t="n"/>
      <c r="Q7" s="386" t="inlineStr">
        <is>
          <t>SCMS.CTCK_THONG_TIN</t>
        </is>
      </c>
      <c r="R7" s="386" t="inlineStr">
        <is>
          <t>c.ID, c.NGAY_CAP_GPKD, c.IS_BANG_TAM</t>
        </is>
      </c>
      <c r="S7" s="395" t="n"/>
      <c r="T7" s="386" t="inlineStr">
        <is>
          <t>-- Tổng số lượng CTCK đã được cấp phép
SELECT
    nd.ngay,
    COUNT(c.ID) AS tong_ctck_duoc_cap_phep
FROM (
    SELECT TRUNC(min_ngay) + LEVEL - 1 AS ngay
    FROM (
        SELECT MIN(NGAY_CAP_GPKD) AS min_ngay
        FROM SCMS.CTCK_THONG_TIN
        WHERE IS_BANG_TAM    = 1
          AND NGAY_CAP_GPKD IS NOT NULL
    )
    CONNECT BY TRUNC(min_ngay) + LEVEL - 1 &lt;= TRUNC(SYSDATE)
) nd
LEFT JOIN SCMS.CTCK_THONG_TIN c
    ON  c.IS_BANG_TAM    = 1
    AND c.NGAY_CAP_GPKD IS NOT NULL
    AND TRUNC(c.NGAY_CAP_GPKD) &lt;= nd.ngay
GROUP BY nd.ngay
ORDER BY nd.ngay;</t>
        </is>
      </c>
      <c r="U7" s="386" t="n"/>
      <c r="V7" s="395" t="n"/>
      <c r="W7" s="395" t="n"/>
      <c r="X7" s="395" t="n"/>
      <c r="Y7" s="395" t="inlineStr">
        <is>
          <t>Done</t>
        </is>
      </c>
      <c r="Z7" s="395" t="n"/>
      <c r="AA7" s="395" t="n"/>
      <c r="AB7" s="395" t="n"/>
      <c r="AC7" s="395" t="n"/>
      <c r="AD7" s="395" t="n"/>
      <c r="AE7" s="395" t="n"/>
    </row>
    <row r="8" ht="64.5" customHeight="1" s="380">
      <c r="A8" s="73" t="n">
        <v>1</v>
      </c>
      <c r="B8" s="12" t="n"/>
      <c r="C8" s="12" t="inlineStr">
        <is>
          <t>Dashboard Tổng quan công ty chứng khoán toàn thị trường &gt;&gt; Các chỉ tiêu thống kê chung</t>
        </is>
      </c>
      <c r="D8" s="12" t="inlineStr">
        <is>
          <t>Số lượng CTCK đã bị thu hồi</t>
        </is>
      </c>
      <c r="E8" s="12" t="inlineStr">
        <is>
          <t>Số lượng CTCK đã bị thu hồi</t>
        </is>
      </c>
      <c r="F8" s="386" t="inlineStr">
        <is>
          <t>Dashboard</t>
        </is>
      </c>
      <c r="G8" s="386" t="inlineStr">
        <is>
          <t>Chỉ tiêu cơ sở</t>
        </is>
      </c>
      <c r="H8" s="386" t="inlineStr">
        <is>
          <t>TB</t>
        </is>
      </c>
      <c r="I8" s="386" t="inlineStr">
        <is>
          <t>ngày, trạng thái CTCK</t>
        </is>
      </c>
      <c r="J8" s="386" t="inlineStr">
        <is>
          <t>SCMS</t>
        </is>
      </c>
      <c r="K8" s="395" t="inlineStr">
        <is>
          <t>X</t>
        </is>
      </c>
      <c r="L8" s="395" t="inlineStr">
        <is>
          <t>X</t>
        </is>
      </c>
      <c r="M8" s="395" t="n"/>
      <c r="N8" s="395" t="inlineStr">
        <is>
          <t>Done</t>
        </is>
      </c>
      <c r="O8" s="401" t="n"/>
      <c r="P8" s="395" t="n"/>
      <c r="Q8" s="395" t="inlineStr">
        <is>
          <t>SCMS.CTCK_THONG_TIN
SCMS.DM_TRANG_THAI_CTCK</t>
        </is>
      </c>
      <c r="R8" s="395" t="inlineStr">
        <is>
          <t>c.ID,
c.TRANG_THAI,
c.IS_BANG_TAM,
c.NGAY_CAP_GPKD,
d.ID,
d.TEN_TRANG_THAI_CTCK</t>
        </is>
      </c>
      <c r="S8" s="395" t="n"/>
      <c r="T8" s="386" t="inlineStr">
        <is>
          <t>-- Số lượng CTCK đã bị thu hồi
SELECT
    nd.ngay,
    COUNT(c.ID) AS so_ctck_thu_hoi
FROM (
    SELECT TRUNC(min_ngay) + LEVEL - 1 AS ngay
    FROM (
        SELECT MIN(NGAY_CAP_GPKD) AS min_ngay
        FROM SCMS.CTCK_THONG_TIN
        WHERE IS_BANG_TAM    = 1
          AND NGAY_CAP_GPKD IS NOT NULL
    )
    CONNECT BY TRUNC(min_ngay) + LEVEL - 1 &lt;= TRUNC(SYSDATE)
) nd
LEFT JOIN SCMS.CTCK_THONG_TIN c
    JOIN SCMS.DM_TRANG_THAI_CTCK d
        ON d.ID = c.TRANG_THAI              -- Check lại có phải join qua ID?
    ON  c.IS_BANG_TAM    = 1
    AND c.NGAY_CAP_GPKD IS NOT NULL
    AND LOWER(d.TEN_TRANG_THAI_CTCK) LIKE '%thu hồi%'
    AND TRUNC(c.NGAY_CAP_GPKD) &lt;= nd.ngay
GROUP BY nd.ngay
ORDER BY nd.ngay;</t>
        </is>
      </c>
      <c r="U8" s="10" t="n"/>
      <c r="V8" s="395" t="n"/>
      <c r="W8" s="395" t="n"/>
      <c r="X8" s="395" t="n"/>
      <c r="Y8" s="395" t="inlineStr">
        <is>
          <t>Done</t>
        </is>
      </c>
      <c r="Z8" s="395" t="n"/>
      <c r="AA8" s="395" t="n"/>
      <c r="AB8" s="395" t="n"/>
      <c r="AC8" s="395" t="n"/>
      <c r="AD8" s="395" t="n"/>
      <c r="AE8" s="395" t="n"/>
    </row>
    <row r="9" ht="67.5" customHeight="1" s="380">
      <c r="A9" s="73" t="n">
        <v>1</v>
      </c>
      <c r="B9" s="12" t="n"/>
      <c r="C9" s="12" t="inlineStr">
        <is>
          <t>Dashboard Tổng quan công ty chứng khoán toàn thị trường &gt;&gt; Các chỉ tiêu thống kê chung</t>
        </is>
      </c>
      <c r="D9" s="12" t="inlineStr">
        <is>
          <t>Số lượng CTCK đang hoạt động bình thường</t>
        </is>
      </c>
      <c r="E9" s="12" t="inlineStr">
        <is>
          <t>Số lượng CTCK đang hoạt động bình thường</t>
        </is>
      </c>
      <c r="F9" s="386" t="inlineStr">
        <is>
          <t>Dashboard</t>
        </is>
      </c>
      <c r="G9" s="386" t="inlineStr">
        <is>
          <t>Chỉ tiêu cơ sở</t>
        </is>
      </c>
      <c r="H9" s="386" t="inlineStr">
        <is>
          <t>TB</t>
        </is>
      </c>
      <c r="I9" s="386" t="inlineStr">
        <is>
          <t>ngày, trạng thái CTCK</t>
        </is>
      </c>
      <c r="J9" s="386" t="inlineStr">
        <is>
          <t>SCMS</t>
        </is>
      </c>
      <c r="K9" s="395" t="inlineStr">
        <is>
          <t>X</t>
        </is>
      </c>
      <c r="L9" s="395" t="inlineStr">
        <is>
          <t>X</t>
        </is>
      </c>
      <c r="M9" s="395" t="n"/>
      <c r="N9" s="395" t="inlineStr">
        <is>
          <t>Done</t>
        </is>
      </c>
      <c r="O9" s="401" t="n"/>
      <c r="P9" s="395" t="n"/>
      <c r="Q9" s="395" t="inlineStr">
        <is>
          <t>SCMS.CTCK_THONG_TIN
SCMS.DM_TRANG_THAI_CTCK</t>
        </is>
      </c>
      <c r="R9" s="395" t="inlineStr">
        <is>
          <t>c.ID,
c.TRANG_THAI,
c.IS_BANG_TAM,
c.NGAY_CAP_GPKD,
d.ID,
d.TEN_TRANG_THAI_CTCK</t>
        </is>
      </c>
      <c r="S9" s="395" t="n"/>
      <c r="T9" s="386" t="inlineStr">
        <is>
          <t>-- Số lượng CTCK đang hoạt động bình thường
SELECT
    nd.ngay,
    COUNT(c.ID) AS so_ctck_dang_hoat_dong_binh_thuong
FROM (
    SELECT TRUNC(min_ngay) + LEVEL - 1 AS ngay
    FROM (
        SELECT MIN(NGAY_CAP_GPKD) AS min_ngay
        FROM SCMS.CTCK_THONG_TIN
        WHERE IS_BANG_TAM    = 1
          AND NGAY_CAP_GPKD IS NOT NULL
    )
    CONNECT BY TRUNC(min_ngay) + LEVEL - 1 &lt;= TRUNC(SYSDATE)
) nd
LEFT JOIN SCMS.CTCK_THONG_TIN c
    JOIN SCMS.DM_TRANG_THAI_CTCK d
        ON d.ID = c.TRANG_THAI              -- Check lại có phải join qua ID?
    ON  c.IS_BANG_TAM    = 1
    AND c.NGAY_CAP_GPKD IS NOT NULL
    AND LOWER(d.TEN_TRANG_THAI_CTCK) LIKE '%hoạt động%'
    AND TRUNC(c.NGAY_CAP_GPKD) &lt;= nd.ngay
GROUP BY nd.ngay
ORDER BY nd.ngay;</t>
        </is>
      </c>
      <c r="U9" s="386" t="n"/>
      <c r="V9" s="395" t="n"/>
      <c r="W9" s="395" t="n"/>
      <c r="X9" s="395" t="n"/>
      <c r="Y9" s="395" t="inlineStr">
        <is>
          <t>Done</t>
        </is>
      </c>
      <c r="Z9" s="395" t="n"/>
      <c r="AA9" s="395" t="n"/>
      <c r="AB9" s="395" t="n"/>
      <c r="AC9" s="395" t="n"/>
      <c r="AD9" s="395" t="n"/>
      <c r="AE9" s="395" t="n"/>
    </row>
    <row r="10" ht="63" customHeight="1" s="380">
      <c r="A10" s="73" t="n">
        <v>1</v>
      </c>
      <c r="B10" s="12" t="n"/>
      <c r="C10" s="12" t="inlineStr">
        <is>
          <t>Dashboard Tổng quan công ty chứng khoán toàn thị trường &gt;&gt; Các chỉ tiêu thống kê chung</t>
        </is>
      </c>
      <c r="D10" s="12" t="inlineStr">
        <is>
          <t>Số lượng CTCK thuộc diện cảnh báo</t>
        </is>
      </c>
      <c r="E10" s="12" t="inlineStr">
        <is>
          <t>Số lượng CTCK thuộc diện cảnh báo</t>
        </is>
      </c>
      <c r="F10" s="386" t="inlineStr">
        <is>
          <t>Dashboard</t>
        </is>
      </c>
      <c r="G10" s="386" t="inlineStr">
        <is>
          <t>Chỉ tiêu cơ sở</t>
        </is>
      </c>
      <c r="H10" s="386" t="inlineStr">
        <is>
          <t>TB</t>
        </is>
      </c>
      <c r="I10" s="386" t="inlineStr">
        <is>
          <t>ngày, trạng thái CTCK</t>
        </is>
      </c>
      <c r="J10" s="386" t="inlineStr">
        <is>
          <t>SCMS</t>
        </is>
      </c>
      <c r="K10" s="395" t="inlineStr">
        <is>
          <t>X</t>
        </is>
      </c>
      <c r="L10" s="395" t="inlineStr">
        <is>
          <t>X</t>
        </is>
      </c>
      <c r="M10" s="395" t="n"/>
      <c r="N10" s="395" t="inlineStr">
        <is>
          <t>Done</t>
        </is>
      </c>
      <c r="O10" s="401" t="n"/>
      <c r="P10" s="395" t="n"/>
      <c r="Q10" s="395" t="inlineStr">
        <is>
          <t>SCMS.CTCK_THONG_TIN
SCMS.DM_TRANG_THAI_CTCK</t>
        </is>
      </c>
      <c r="R10" s="395" t="inlineStr">
        <is>
          <t>c.ID,
c.TRANG_THAI,
c.IS_BANG_TAM,
c.NGAY_CAP_GPKD,
d.ID,
d.TEN_TRANG_THAI_CTCK</t>
        </is>
      </c>
      <c r="S10" s="395" t="n"/>
      <c r="T10" s="386" t="inlineStr">
        <is>
          <t>-- Số lượng CTCK thuộc diện cảnh báo
SELECT
    nd.ngay,
    COUNT(c.ID) AS so_ctck_bi_canh_bao
FROM (
    SELECT TRUNC(min_ngay) + LEVEL - 1 AS ngay
    FROM (
        SELECT MIN(NGAY_CAP_GPKD) AS min_ngay
        FROM SCMS.CTCK_THONG_TIN
        WHERE IS_BANG_TAM    = 1
          AND NGAY_CAP_GPKD IS NOT NULL
    )
    CONNECT BY TRUNC(min_ngay) + LEVEL - 1 &lt;= TRUNC(SYSDATE)
) nd
LEFT JOIN SCMS.CTCK_THONG_TIN c
    JOIN SCMS.DM_TRANG_THAI_CTCK d
        ON d.ID = c.TRANG_THAI              -- Check lại có phải join qua ID?
    ON  c.IS_BANG_TAM    = 1
    AND c.NGAY_CAP_GPKD IS NOT NULL
    AND LOWER(d.TEN_TRANG_THAI_CTCK) LIKE '%cảnh báo%'
    AND TRUNC(c.NGAY_CAP_GPKD) &lt;= nd.ngay
GROUP BY nd.ngay
ORDER BY nd.ngay;</t>
        </is>
      </c>
      <c r="U10" s="386" t="n"/>
      <c r="V10" s="395" t="n"/>
      <c r="W10" s="395" t="n"/>
      <c r="X10" s="395" t="n"/>
      <c r="Y10" s="395" t="inlineStr">
        <is>
          <t>Done</t>
        </is>
      </c>
      <c r="Z10" s="395" t="n"/>
      <c r="AA10" s="395" t="n"/>
      <c r="AB10" s="395" t="n"/>
      <c r="AC10" s="395" t="n"/>
      <c r="AD10" s="395" t="n"/>
      <c r="AE10" s="395" t="n"/>
    </row>
    <row r="11" ht="64.5" customHeight="1" s="380">
      <c r="A11" s="73" t="n">
        <v>1</v>
      </c>
      <c r="B11" s="12" t="n"/>
      <c r="C11" s="12" t="inlineStr">
        <is>
          <t>Dashboard Tổng quan công ty chứng khoán toàn thị trường &gt;&gt; Các chỉ tiêu thống kê chung</t>
        </is>
      </c>
      <c r="D11" s="12" t="inlineStr">
        <is>
          <t>Số lượng CTCK thuộc diện kiểm soát</t>
        </is>
      </c>
      <c r="E11" s="12" t="inlineStr">
        <is>
          <t>Số lượng CTCK thuộc diện kiểm soát</t>
        </is>
      </c>
      <c r="F11" s="386" t="inlineStr">
        <is>
          <t>Dashboard</t>
        </is>
      </c>
      <c r="G11" s="386" t="inlineStr">
        <is>
          <t>Chỉ tiêu cơ sở</t>
        </is>
      </c>
      <c r="H11" s="386" t="inlineStr">
        <is>
          <t>TB</t>
        </is>
      </c>
      <c r="I11" s="386" t="inlineStr">
        <is>
          <t>ngày, trạng thái CTCK</t>
        </is>
      </c>
      <c r="J11" s="386" t="inlineStr">
        <is>
          <t>SCMS</t>
        </is>
      </c>
      <c r="K11" s="395" t="inlineStr">
        <is>
          <t>X</t>
        </is>
      </c>
      <c r="L11" s="395" t="inlineStr">
        <is>
          <t>X</t>
        </is>
      </c>
      <c r="M11" s="395" t="n"/>
      <c r="N11" s="395" t="inlineStr">
        <is>
          <t>Done</t>
        </is>
      </c>
      <c r="O11" s="401" t="n"/>
      <c r="P11" s="395" t="n"/>
      <c r="Q11" s="395" t="inlineStr">
        <is>
          <t>SCMS.CTCK_THONG_TIN
SCMS.DM_TRANG_THAI_CTCK</t>
        </is>
      </c>
      <c r="R11" s="395" t="inlineStr">
        <is>
          <t>c.ID,
c.TRANG_THAI,
c.IS_BANG_TAM,
c.NGAY_CAP_GPKD,
d.ID,
d.TEN_TRANG_THAI_CTCK</t>
        </is>
      </c>
      <c r="S11" s="395" t="n"/>
      <c r="T11" s="386" t="inlineStr">
        <is>
          <t>-- Số lượng CTCK thuộc diện kiểm soát
SELECT
    nd.ngay,
    COUNT(c.ID) AS so_ctck_bi_kiem_soat
FROM (
    SELECT TRUNC(min_ngay) + LEVEL - 1 AS ngay
    FROM (
        SELECT MIN(NGAY_CAP_GPKD) AS min_ngay
        FROM SCMS.CTCK_THONG_TIN
        WHERE IS_BANG_TAM    = 1
          AND NGAY_CAP_GPKD IS NOT NULL
    )
    CONNECT BY TRUNC(min_ngay) + LEVEL - 1 &lt;= TRUNC(SYSDATE)
) nd
LEFT JOIN SCMS.CTCK_THONG_TIN c
    JOIN SCMS.DM_TRANG_THAI_CTCK d
        ON d.ID = c.TRANG_THAI              -- Check lại có phải join qua ID?
    ON  c.IS_BANG_TAM    = 1
    AND c.NGAY_CAP_GPKD IS NOT NULL
    AND LOWER(d.TEN_TRANG_THAI_CTCK) LIKE '%kiểm soát%'
    AND LOWER(d.TEN_TRANG_THAI_CTCK) NOT LIKE '%đặc biệt%'  -- loại trừ "kiểm soát đặc biệt"
    AND TRUNC(c.NGAY_CAP_GPKD) &lt;= nd.ngay
GROUP BY nd.ngay
ORDER BY nd.ngay;</t>
        </is>
      </c>
      <c r="U11" s="386" t="n"/>
      <c r="V11" s="395" t="n"/>
      <c r="W11" s="395" t="n"/>
      <c r="X11" s="395" t="n"/>
      <c r="Y11" s="395" t="inlineStr">
        <is>
          <t>Done</t>
        </is>
      </c>
      <c r="Z11" s="395" t="n"/>
      <c r="AA11" s="395" t="n"/>
      <c r="AB11" s="395" t="n"/>
      <c r="AC11" s="395" t="n"/>
      <c r="AD11" s="395" t="n"/>
      <c r="AE11" s="395" t="n"/>
    </row>
    <row r="12" ht="64.5" customHeight="1" s="380">
      <c r="A12" s="73" t="n">
        <v>1</v>
      </c>
      <c r="B12" s="12" t="n"/>
      <c r="C12" s="12" t="inlineStr">
        <is>
          <t>Dashboard Tổng quan công ty chứng khoán toàn thị trường &gt;&gt; Các chỉ tiêu thống kê chung</t>
        </is>
      </c>
      <c r="D12" s="12" t="inlineStr">
        <is>
          <t>Số lượng CTCK thuộc diện kiểm soát đặc biệt</t>
        </is>
      </c>
      <c r="E12" s="12" t="inlineStr">
        <is>
          <t>Số lượng CTCK thuộc diện kiểm soát đặc biệt</t>
        </is>
      </c>
      <c r="F12" s="386" t="inlineStr">
        <is>
          <t>Dashboard</t>
        </is>
      </c>
      <c r="G12" s="386" t="inlineStr">
        <is>
          <t>Chỉ tiêu cơ sở</t>
        </is>
      </c>
      <c r="H12" s="386" t="inlineStr">
        <is>
          <t>TB</t>
        </is>
      </c>
      <c r="I12" s="386" t="inlineStr">
        <is>
          <t>ngày, trạng thái CTCK</t>
        </is>
      </c>
      <c r="J12" s="386" t="inlineStr">
        <is>
          <t>SCMS</t>
        </is>
      </c>
      <c r="K12" s="395" t="inlineStr">
        <is>
          <t>X</t>
        </is>
      </c>
      <c r="L12" s="395" t="inlineStr">
        <is>
          <t>X</t>
        </is>
      </c>
      <c r="M12" s="395" t="n"/>
      <c r="N12" s="395" t="inlineStr">
        <is>
          <t>Done</t>
        </is>
      </c>
      <c r="O12" s="401" t="n"/>
      <c r="P12" s="395" t="n"/>
      <c r="Q12" s="395" t="inlineStr">
        <is>
          <t>SCMS.CTCK_THONG_TIN
SCMS.DM_TRANG_THAI_CTCK</t>
        </is>
      </c>
      <c r="R12" s="395" t="inlineStr">
        <is>
          <t>c.ID,
c.TRANG_THAI,
c.IS_BANG_TAM,
c.NGAY_CAP_GPKD,
d.ID,
d.TEN_TRANG_THAI_CTCK</t>
        </is>
      </c>
      <c r="S12" s="395" t="n"/>
      <c r="T12" s="386" t="inlineStr">
        <is>
          <t>-- Số lượng CTCK thuộc diện kiểm soát đặc biệt
SELECT
    nd.ngay,
    COUNT(c.ID) AS so_ctck_kiem_soat_dac_biet
FROM (
    SELECT TRUNC(min_ngay) + LEVEL - 1 AS ngay
    FROM (
        SELECT MIN(NGAY_CAP_GPKD) AS min_ngay
        FROM SCMS.CTCK_THONG_TIN
        WHERE IS_BANG_TAM    = 1
          AND NGAY_CAP_GPKD IS NOT NULL
    )
    CONNECT BY TRUNC(min_ngay) + LEVEL - 1 &lt;= TRUNC(SYSDATE)
) nd
LEFT JOIN SCMS.CTCK_THONG_TIN c
    JOIN SCMS.DM_TRANG_THAI_CTCK d
        ON d.ID = c.TRANG_THAI              -- Check lại có phải join qua ID?
    ON  c.IS_BANG_TAM    = 1
    AND c.NGAY_CAP_GPKD IS NOT NULL
    AND LOWER(d.TEN_TRANG_THAI_CTCK) LIKE '%kiểm soát đặc biệt%'
    AND TRUNC(c.NGAY_CAP_GPKD) &lt;= nd.ngay
GROUP BY nd.ngay
ORDER BY nd.ngay;</t>
        </is>
      </c>
      <c r="U12" s="386" t="n"/>
      <c r="V12" s="395" t="n"/>
      <c r="W12" s="395" t="n"/>
      <c r="X12" s="395" t="n"/>
      <c r="Y12" s="395" t="inlineStr">
        <is>
          <t>Done</t>
        </is>
      </c>
      <c r="Z12" s="395" t="n"/>
      <c r="AA12" s="395" t="n"/>
      <c r="AB12" s="395" t="n"/>
      <c r="AC12" s="395" t="n"/>
      <c r="AD12" s="395" t="n"/>
      <c r="AE12" s="395" t="n"/>
    </row>
    <row r="13" ht="61.5" customHeight="1" s="380">
      <c r="A13" s="73" t="n">
        <v>1</v>
      </c>
      <c r="B13" s="12" t="n"/>
      <c r="C13" s="12" t="inlineStr">
        <is>
          <t>Dashboard Tổng quan công ty chứng khoán toàn thị trường &gt;&gt; Các chỉ tiêu thống kê chung</t>
        </is>
      </c>
      <c r="D13" s="12" t="inlineStr">
        <is>
          <t>Số lượng CTCK đình chỉ hoạt động</t>
        </is>
      </c>
      <c r="E13" s="12" t="inlineStr">
        <is>
          <t>Số lượng CTCK đình chỉ hoạt động</t>
        </is>
      </c>
      <c r="F13" s="386" t="inlineStr">
        <is>
          <t>Dashboard</t>
        </is>
      </c>
      <c r="G13" s="386" t="inlineStr">
        <is>
          <t>Chỉ tiêu cơ sở</t>
        </is>
      </c>
      <c r="H13" s="386" t="inlineStr">
        <is>
          <t>TB</t>
        </is>
      </c>
      <c r="I13" s="386" t="inlineStr">
        <is>
          <t>ngày, trạng thái CTCK</t>
        </is>
      </c>
      <c r="J13" s="386" t="inlineStr">
        <is>
          <t>SCMS</t>
        </is>
      </c>
      <c r="K13" s="395" t="inlineStr">
        <is>
          <t>X</t>
        </is>
      </c>
      <c r="L13" s="395" t="inlineStr">
        <is>
          <t>X</t>
        </is>
      </c>
      <c r="M13" s="395" t="n"/>
      <c r="N13" s="395" t="inlineStr">
        <is>
          <t>Done</t>
        </is>
      </c>
      <c r="O13" s="401" t="n"/>
      <c r="P13" s="395" t="n"/>
      <c r="Q13" s="395" t="inlineStr">
        <is>
          <t>SCMS.CTCK_THONG_TIN
SCMS.DM_TRANG_THAI_CTCK</t>
        </is>
      </c>
      <c r="R13" s="395" t="inlineStr">
        <is>
          <t>c.ID,
c.TRANG_THAI,
c.IS_BANG_TAM,
c.NGAY_CAP_GPKD,
d.ID,
d.TEN_TRANG_THAI_CTCK</t>
        </is>
      </c>
      <c r="S13" s="395" t="n"/>
      <c r="T13" s="386" t="inlineStr">
        <is>
          <t>-- Số lượng CTCK đình chỉ hoạt động
SELECT
    nd.ngay,
    COUNT(c.ID) AS so_ctck_dinh_chi_hoat_dong
FROM (
    SELECT TRUNC(min_ngay) + LEVEL - 1 AS ngay
    FROM (
        SELECT MIN(NGAY_CAP_GPKD) AS min_ngay
        FROM SCMS.CTCK_THONG_TIN
        WHERE IS_BANG_TAM    = 1
          AND NGAY_CAP_GPKD IS NOT NULL
    )
    CONNECT BY TRUNC(min_ngay) + LEVEL - 1 &lt;= TRUNC(SYSDATE)
) nd
LEFT JOIN SCMS.CTCK_THONG_TIN c
    JOIN SCMS.DM_TRANG_THAI_CTCK d
        ON d.ID = c.TRANG_THAI              -- Check lại có phải join qua ID?
    ON  c.IS_BANG_TAM    = 1
    AND c.NGAY_CAP_GPKD IS NOT NULL
    AND LOWER(d.TEN_TRANG_THAI_CTCK) LIKE '%đình chỉ%'
    AND TRUNC(c.NGAY_CAP_GPKD) &lt;= nd.ngay
GROUP BY nd.ngay
ORDER BY nd.ngay;</t>
        </is>
      </c>
      <c r="U13" s="386" t="n"/>
      <c r="V13" s="395" t="n"/>
      <c r="W13" s="395" t="n"/>
      <c r="X13" s="395" t="n"/>
      <c r="Y13" s="395" t="inlineStr">
        <is>
          <t>Done</t>
        </is>
      </c>
      <c r="Z13" s="395" t="n"/>
      <c r="AA13" s="395" t="n"/>
      <c r="AB13" s="395" t="n"/>
      <c r="AC13" s="395" t="n"/>
      <c r="AD13" s="395" t="n"/>
      <c r="AE13" s="395" t="n"/>
    </row>
    <row r="14" ht="74.25" customHeight="1" s="380">
      <c r="A14" s="73" t="n">
        <v>1</v>
      </c>
      <c r="B14" s="12" t="n"/>
      <c r="C14" s="12" t="inlineStr">
        <is>
          <t>Dashboard Tổng quan công ty chứng khoán toàn thị trường &gt;&gt; Các chỉ tiêu thống kê chung</t>
        </is>
      </c>
      <c r="D14" s="12" t="inlineStr">
        <is>
          <t>Số lượng CTCK trạng thái khác</t>
        </is>
      </c>
      <c r="E14" s="12" t="inlineStr">
        <is>
          <t>Số lượng CTCK trạng thái khác</t>
        </is>
      </c>
      <c r="F14" s="386" t="inlineStr">
        <is>
          <t>Dashboard</t>
        </is>
      </c>
      <c r="G14" s="386" t="inlineStr">
        <is>
          <t>Chỉ tiêu cơ sở</t>
        </is>
      </c>
      <c r="H14" s="386" t="inlineStr">
        <is>
          <t>TB</t>
        </is>
      </c>
      <c r="I14" s="386" t="inlineStr">
        <is>
          <t>ngày, trạng thái CTCK</t>
        </is>
      </c>
      <c r="J14" s="386" t="inlineStr">
        <is>
          <t>SCMS</t>
        </is>
      </c>
      <c r="K14" s="395" t="inlineStr">
        <is>
          <t>X</t>
        </is>
      </c>
      <c r="L14" s="395" t="inlineStr">
        <is>
          <t>X</t>
        </is>
      </c>
      <c r="M14" s="395" t="n"/>
      <c r="N14" s="395" t="inlineStr">
        <is>
          <t>Done</t>
        </is>
      </c>
      <c r="O14" s="401" t="n"/>
      <c r="P14" s="395" t="n"/>
      <c r="Q14" s="395" t="inlineStr">
        <is>
          <t>SCMS.CTCK_THONG_TIN
SCMS.DM_TRANG_THAI_CTCK</t>
        </is>
      </c>
      <c r="R14" s="395" t="inlineStr">
        <is>
          <t>c.ID,
c.TRANG_THAI,
c.IS_BANG_TAM,
c.NGAY_CAP_GPKD,
d.ID,
d.TEN_TRANG_THAI_CTCK</t>
        </is>
      </c>
      <c r="S14" s="395" t="n"/>
      <c r="T14" s="386" t="inlineStr">
        <is>
          <t>-- Số lượng CTCK trạng thái khác
SELECT
    nd.ngay,
    COUNT(c.ID) AS so_ctck_trang_thai_khac
FROM (
    SELECT TRUNC(min_ngay) + LEVEL - 1 AS ngay
    FROM (
        SELECT MIN(NGAY_CAP_GPKD) AS min_ngay
        FROM SCMS.CTCK_THONG_TIN
        WHERE IS_BANG_TAM    = 1
          AND NGAY_CAP_GPKD IS NOT NULL
    )
    CONNECT BY TRUNC(min_ngay) + LEVEL - 1 &lt;= TRUNC(SYSDATE)
) nd
LEFT JOIN SCMS.CTCK_THONG_TIN c
    JOIN SCMS.DM_TRANG_THAI_CTCK d
        ON d.ID = c.TRANG_THAI              -- Check lại có phải join qua ID?
    ON  c.IS_BANG_TAM    = 1
    AND c.NGAY_CAP_GPKD IS NOT NULL
    AND LOWER(d.TEN_TRANG_THAI_CTCK) NOT LIKE '%thu hồi%'
    AND LOWER(d.TEN_TRANG_THAI_CTCK) NOT LIKE '%hoạt động%'
    AND LOWER(d.TEN_TRANG_THAI_CTCK) NOT LIKE '%cảnh báo%'
    AND LOWER(d.TEN_TRANG_THAI_CTCK) NOT LIKE '%kiểm soát%'  -- loại cả "kiểm soát" và "kiểm soát đặc biệt"
    AND LOWER(d.TEN_TRANG_THAI_CTCK) NOT LIKE '%đình chỉ%'
    AND TRUNC(c.NGAY_CAP_GPKD) &lt;= nd.ngay
GROUP BY nd.ngay
ORDER BY nd.ngay;</t>
        </is>
      </c>
      <c r="U14" s="386" t="n"/>
      <c r="V14" s="395" t="n"/>
      <c r="W14" s="395" t="n"/>
      <c r="X14" s="395" t="n"/>
      <c r="Y14" s="395" t="inlineStr">
        <is>
          <t>Done</t>
        </is>
      </c>
      <c r="Z14" s="395" t="n"/>
      <c r="AA14" s="395" t="n"/>
      <c r="AB14" s="395" t="n"/>
      <c r="AC14" s="395" t="n"/>
      <c r="AD14" s="395" t="n"/>
      <c r="AE14" s="395" t="n"/>
    </row>
    <row r="15" ht="63.75" customHeight="1" s="380">
      <c r="A15" s="73" t="n">
        <v>1</v>
      </c>
      <c r="B15" s="12" t="n"/>
      <c r="C15" s="12" t="inlineStr">
        <is>
          <t>Dashboard Tổng quan công ty chứng khoán toàn thị trường &gt;&gt; Các chỉ tiêu thống kê chung</t>
        </is>
      </c>
      <c r="D15" s="12" t="inlineStr">
        <is>
          <t>Số tài khoản có phát sinh giao dịch.</t>
        </is>
      </c>
      <c r="E15" s="79" t="inlineStr">
        <is>
          <t>Số tài khoản có phát sinh giao dịch</t>
        </is>
      </c>
      <c r="F15" s="386" t="inlineStr">
        <is>
          <t>Dashboard</t>
        </is>
      </c>
      <c r="G15" s="386" t="inlineStr">
        <is>
          <t>Chỉ tiêu cơ sở</t>
        </is>
      </c>
      <c r="H15" s="386" t="inlineStr">
        <is>
          <t>TB</t>
        </is>
      </c>
      <c r="I15" s="386" t="inlineStr">
        <is>
          <t>Ngày</t>
        </is>
      </c>
      <c r="J15" s="386" t="inlineStr">
        <is>
          <t>SCMS</t>
        </is>
      </c>
      <c r="K15" s="395" t="inlineStr">
        <is>
          <t>X</t>
        </is>
      </c>
      <c r="L15" s="395" t="inlineStr">
        <is>
          <t>X</t>
        </is>
      </c>
      <c r="M15" s="395" t="n"/>
      <c r="N15" s="395" t="inlineStr">
        <is>
          <t>Done</t>
        </is>
      </c>
      <c r="O15" s="401" t="n"/>
      <c r="P15" s="395" t="n"/>
      <c r="Q15" s="397" t="inlineStr">
        <is>
          <t>SCMS.BC_BAO_CAO_GT
SCMS.DM_CHI_TIEU</t>
        </is>
      </c>
      <c r="R15" s="397" t="inlineStr">
        <is>
          <t>gt.NGAY_SO_LIEU,
gt.GIA_TRI,
gt.DM_CHI_TIEU_ID,
dct.ID,
dct.MA_CHI_TIEU</t>
        </is>
      </c>
      <c r="S15" s="397" t="n"/>
      <c r="T15" s="79" t="inlineStr">
        <is>
          <t>-- Số tài khoản có phát sinh giao dịch
SELECT
    nd.ngay,
    SUM(TO_NUMBER(gt.GIA_TRI)) AS so_tk_phat_sinh_giao_dich
FROM (
    SELECT TRUNC(min_ngay) + LEVEL - 1 AS ngay
    FROM (
        SELECT MIN(gt.NGAY_SO_LIEU) AS min_ngay
        FROM SCMS.BC_BAO_CAO_GT gt
        JOIN SCMS.DM_CHI_TIEU dct ON dct.ID = gt.DM_CHI_TIEU_ID
        WHERE dct.MA_CHI_TIEU = 'SO_TAI_KHOAN_PHAT_SINH_GIAO_DICH'  -- xác nhận lại có tồn tại chỉ tiêu này ko, sửa đúng tên MA_CHI_TIEU
    )
    CONNECT BY TRUNC(min_ngay) + LEVEL - 1 &lt;= TRUNC(SYSDATE)
) nd
LEFT JOIN SCMS.BC_BAO_CAO_GT gt
    JOIN SCMS.DM_CHI_TIEU dct ON dct.ID = gt.DM_CHI_TIEU_ID
    ON  dct.MA_CHI_TIEU        = 'SO_TAI_KHOAN_PHAT_SINH_GIAO_DICH'  -- xác nhận lại có tồn tại chỉ tiêu này ko, sửa đúng tên MA_CHI_TIEU
    AND TRUNC(gt.NGAY_SO_LIEU) = nd.ngay
GROUP BY nd.ngay
ORDER BY nd.ngay;</t>
        </is>
      </c>
      <c r="U15" s="20" t="inlineStr">
        <is>
          <t>Hỏi bên phân hệ xem lưu ở bảng nào, cột nào, dòng nào?</t>
        </is>
      </c>
      <c r="V15" s="395" t="n"/>
      <c r="W15" s="395" t="n"/>
      <c r="X15" s="395" t="n"/>
      <c r="Y15" s="395" t="inlineStr">
        <is>
          <t>Done</t>
        </is>
      </c>
      <c r="Z15" s="395" t="n"/>
      <c r="AA15" s="395" t="n"/>
      <c r="AB15" s="395" t="n"/>
      <c r="AC15" s="395" t="n"/>
      <c r="AD15" s="395" t="n"/>
      <c r="AE15" s="395" t="n"/>
    </row>
    <row r="16" ht="60.75" customHeight="1" s="380">
      <c r="A16" s="73" t="n">
        <v>1</v>
      </c>
      <c r="B16" s="12" t="n"/>
      <c r="C16" s="12" t="inlineStr">
        <is>
          <t>Dashboard Tổng quan công ty chứng khoán toàn thị trường &gt;&gt; Các chỉ tiêu thống kê chung</t>
        </is>
      </c>
      <c r="D16" s="12" t="inlineStr">
        <is>
          <t>Số dư tiền gửi giao dịch</t>
        </is>
      </c>
      <c r="E16" s="79" t="inlineStr">
        <is>
          <t>Số dư tiền gửi giao dịch</t>
        </is>
      </c>
      <c r="F16" s="386" t="inlineStr">
        <is>
          <t>Dashboard</t>
        </is>
      </c>
      <c r="G16" s="386" t="inlineStr">
        <is>
          <t>Chỉ tiêu cơ sở</t>
        </is>
      </c>
      <c r="H16" s="386" t="inlineStr">
        <is>
          <t>TB</t>
        </is>
      </c>
      <c r="I16" s="386" t="inlineStr">
        <is>
          <t>Ngày</t>
        </is>
      </c>
      <c r="J16" s="386" t="inlineStr">
        <is>
          <t>SCMS</t>
        </is>
      </c>
      <c r="K16" s="395" t="inlineStr">
        <is>
          <t>X</t>
        </is>
      </c>
      <c r="L16" s="395" t="inlineStr">
        <is>
          <t>X</t>
        </is>
      </c>
      <c r="M16" s="395" t="n"/>
      <c r="N16" s="395" t="inlineStr">
        <is>
          <t>Done</t>
        </is>
      </c>
      <c r="O16" s="401" t="n"/>
      <c r="P16" s="395" t="n"/>
      <c r="Q16" s="397" t="inlineStr">
        <is>
          <t>SCMS.BC_BAO_CAO_GT
SCMS.DM_CHI_TIEU</t>
        </is>
      </c>
      <c r="R16" s="397" t="inlineStr">
        <is>
          <t>gt.NGAY_SO_LIEU,
gt.GIA_TRI,
gt.DM_CHI_TIEU_ID,
dct.ID,
dct.MA_CHI_TIEU</t>
        </is>
      </c>
      <c r="S16" s="397" t="n"/>
      <c r="T16" s="79" t="inlineStr">
        <is>
          <t>-- Số dư tiền gửi giao dịch
SELECT
    nd.ngay,
    SUM(TO_NUMBER(DBMS_LOB.SUBSTR(gt.GIA_TRI, 4000, 1))) AS so_du_tien_gui_giao_dich
FROM (
    SELECT TRUNC(min_ngay) + LEVEL - 1 AS ngay
    FROM (
        SELECT MIN(gt.NGAY_SO_LIEU) AS min_ngay
        FROM SCMS.BC_BAO_CAO_GT gt
        JOIN SCMS.DM_CHI_TIEU dct ON dct.ID = gt.DM_CHI_TIEU_ID
        WHERE dct.MA_CHI_TIEU = 'SO_DU_TIEN_GUI_GIAO_DICH'  -- xác nhận lại có tồn tại chỉ tiêu này ko, sửa đúng tên MA_CHI_TIEU
    )
    CONNECT BY TRUNC(min_ngay) + LEVEL - 1 &lt;= TRUNC(SYSDATE)
) nd
LEFT JOIN SCMS.BC_BAO_CAO_GT gt
    JOIN SCMS.DM_CHI_TIEU dct ON dct.ID = gt.DM_CHI_TIEU_ID
    ON  dct.MA_CHI_TIEU        = 'SO_DU_TIEN_GUI_GIAO_DICH'  -- xác nhận lại có tồn tại chỉ tiêu này ko, sửa đúng tên MA_CHI_TIEU
    AND TRUNC(gt.NGAY_SO_LIEU) = nd.ngay
GROUP BY nd.ngay
ORDER BY nd.ngay;</t>
        </is>
      </c>
      <c r="U16" s="20" t="inlineStr">
        <is>
          <t>Hỏi bên phân hệ xem lưu ở bảng nào, cột nào, dòng nào?</t>
        </is>
      </c>
      <c r="V16" s="395" t="n"/>
      <c r="W16" s="395" t="n"/>
      <c r="X16" s="395" t="n"/>
      <c r="Y16" s="395" t="inlineStr">
        <is>
          <t>Done</t>
        </is>
      </c>
      <c r="Z16" s="395" t="n"/>
      <c r="AA16" s="395" t="n"/>
      <c r="AB16" s="395" t="n"/>
      <c r="AC16" s="395" t="n"/>
      <c r="AD16" s="395" t="n"/>
      <c r="AE16" s="395" t="n"/>
    </row>
    <row r="17" ht="56" customHeight="1" s="380">
      <c r="A17" s="73" t="n">
        <v>2</v>
      </c>
      <c r="B17" s="81" t="n"/>
      <c r="C17" s="81" t="inlineStr">
        <is>
          <t>Dashboard Tổng quan công ty chứng khoán toàn thị trường &gt;&gt; Biểu đồ Nghiệp vụ</t>
        </is>
      </c>
      <c r="D17" s="12" t="inlineStr">
        <is>
          <t>Chiều thời gian theo ngày</t>
        </is>
      </c>
      <c r="E17" s="12" t="inlineStr">
        <is>
          <t>Chiều thời gian theo ngày</t>
        </is>
      </c>
      <c r="F17" s="386" t="inlineStr">
        <is>
          <t>Dashboard</t>
        </is>
      </c>
      <c r="G17" s="386" t="inlineStr">
        <is>
          <t>Chiều</t>
        </is>
      </c>
      <c r="H17" s="386" t="inlineStr">
        <is>
          <t>Trùng</t>
        </is>
      </c>
      <c r="I17" s="386" t="n"/>
      <c r="J17" s="386" t="inlineStr">
        <is>
          <t>SCMS</t>
        </is>
      </c>
      <c r="K17" s="395" t="n"/>
      <c r="L17" s="395" t="inlineStr">
        <is>
          <t>X</t>
        </is>
      </c>
      <c r="M17" s="395" t="n"/>
      <c r="N17" s="395" t="inlineStr">
        <is>
          <t>Done</t>
        </is>
      </c>
      <c r="O17" s="401" t="n"/>
      <c r="P17" s="395" t="n"/>
      <c r="Q17" s="20" t="inlineStr">
        <is>
          <t>Ngày dữ liệu</t>
        </is>
      </c>
      <c r="R17" s="395" t="n"/>
      <c r="S17" s="395" t="n"/>
      <c r="T17" s="4" t="inlineStr">
        <is>
          <t>-- Chiều thời gian theo ngày
SELECT TRUNC(min_ngay) + LEVEL - 1 AS ngay
FROM (SELECT MIN(NGAY_SO_LIEU) AS min_ngay FROM SCMS.BC_THANH_VIEN)
CONNECT BY TRUNC(min_ngay) + LEVEL - 1 &lt;= TRUNC(SYSDATE)
ORDER BY ngay;</t>
        </is>
      </c>
      <c r="U17" s="386" t="n"/>
      <c r="V17" s="395" t="n"/>
      <c r="W17" s="395" t="n"/>
      <c r="X17" s="395" t="n"/>
      <c r="Y17" s="395" t="inlineStr">
        <is>
          <t>Done</t>
        </is>
      </c>
      <c r="Z17" s="395" t="n"/>
      <c r="AA17" s="395" t="n"/>
      <c r="AB17" s="395" t="n"/>
      <c r="AC17" s="395" t="n"/>
      <c r="AD17" s="395" t="n"/>
      <c r="AE17" s="395" t="n"/>
    </row>
    <row r="18" ht="73.5" customHeight="1" s="380">
      <c r="A18" s="73" t="n">
        <v>2</v>
      </c>
      <c r="B18" s="386" t="n"/>
      <c r="C18" s="386" t="inlineStr">
        <is>
          <t>Dashboard Tổng quan công ty chứng khoán toàn thị trường &gt;&gt; Biểu đồ nghiệp vụ</t>
        </is>
      </c>
      <c r="D18" s="12" t="inlineStr">
        <is>
          <t>Chiều nghiệp vụ kinh doanh chứng khoán</t>
        </is>
      </c>
      <c r="E18" s="12" t="inlineStr">
        <is>
          <t>Nghiệp vụ Môi giới chứng khoán, Bảo lãnh phát hành, Tư vấn đầu tư chứng khoán, Tự doanh chứng khoán</t>
        </is>
      </c>
      <c r="F18" s="386" t="inlineStr">
        <is>
          <t>Dashboard</t>
        </is>
      </c>
      <c r="G18" s="386" t="inlineStr">
        <is>
          <t>Chiều</t>
        </is>
      </c>
      <c r="H18" s="386" t="inlineStr">
        <is>
          <t>Dễ</t>
        </is>
      </c>
      <c r="I18" s="386" t="n"/>
      <c r="J18" s="386" t="inlineStr">
        <is>
          <t>SCMS</t>
        </is>
      </c>
      <c r="K18" s="395" t="n"/>
      <c r="L18" s="395" t="inlineStr">
        <is>
          <t>X</t>
        </is>
      </c>
      <c r="M18" s="395" t="n"/>
      <c r="N18" s="395" t="inlineStr">
        <is>
          <t>Done</t>
        </is>
      </c>
      <c r="O18" s="401" t="n"/>
      <c r="P18" s="395" t="n"/>
      <c r="Q18" s="396" t="inlineStr">
        <is>
          <t>SCMS.CTCK_DICH_VU
SCMS.DM_DICH_VU</t>
        </is>
      </c>
      <c r="R18" s="395" t="inlineStr">
        <is>
          <t>dd.ID,
dd.TEN_DICH_VU,
dv.DM_DICH_VU_ID,
dv.TRANG_THAI</t>
        </is>
      </c>
      <c r="S18" s="395" t="n"/>
      <c r="T18" s="386" t="inlineStr">
        <is>
          <t>-- Chiều: Nghiệp vụ kinh doanh chứng khoán
SELECT DISTINCT
    CASE
        WHEN LOWER(dd.TEN_DICH_VU) LIKE '%môi giới%' THEN 'Môi giới chứng khoán'
        WHEN LOWER(dd.TEN_DICH_VU) LIKE '%tự doanh%' THEN 'Tự doanh chứng khoán'
        WHEN LOWER(dd.TEN_DICH_VU) LIKE '%bảo lãnh%' THEN 'Bảo lãnh phát hành chứng khoán'
        WHEN LOWER(dd.TEN_DICH_VU) LIKE '%tư vấn%'   THEN 'Tư vấn đầu tư chứng khoán'
    END AS nghiep_vu_kinh_doanh
FROM SCMS.CTCK_DICH_VU dv
JOIN SCMS.DM_DICH_VU dd ON dd.ID = dv.DM_DICH_VU_ID
WHERE dv.TRANG_THAI = 1
ORDER BY 1;</t>
        </is>
      </c>
      <c r="U18" s="386" t="n"/>
      <c r="V18" s="395" t="n"/>
      <c r="W18" s="395" t="n"/>
      <c r="X18" s="395" t="n"/>
      <c r="Y18" s="395" t="inlineStr">
        <is>
          <t>Done</t>
        </is>
      </c>
      <c r="Z18" s="395" t="n"/>
      <c r="AA18" s="395" t="n"/>
      <c r="AB18" s="395" t="n"/>
      <c r="AC18" s="395" t="n"/>
      <c r="AD18" s="395" t="n"/>
      <c r="AE18" s="395" t="n"/>
    </row>
    <row r="19" ht="61.5" customHeight="1" s="380">
      <c r="A19" s="73" t="n">
        <v>2</v>
      </c>
      <c r="B19" s="386" t="n"/>
      <c r="C19" s="386" t="inlineStr">
        <is>
          <t>Dashboard Tổng quan công ty chứng khoán toàn thị trường &gt;&gt; Biểu đồ nghiệp vụ</t>
        </is>
      </c>
      <c r="D19" s="12" t="inlineStr">
        <is>
          <t>Số lượng CTCK theo nghiệp vụ môi giới</t>
        </is>
      </c>
      <c r="E19" s="12" t="inlineStr">
        <is>
          <t>Số lượng CTCK theo nghiệp vụ môi giới</t>
        </is>
      </c>
      <c r="F19" s="386" t="inlineStr">
        <is>
          <t>Dashboard</t>
        </is>
      </c>
      <c r="G19" s="386" t="inlineStr">
        <is>
          <t>Chỉ tiêu cơ sở</t>
        </is>
      </c>
      <c r="H19" s="386" t="inlineStr">
        <is>
          <t>TB</t>
        </is>
      </c>
      <c r="I19" s="386" t="inlineStr">
        <is>
          <t>Ngày, Danh mục nghiệp vụ</t>
        </is>
      </c>
      <c r="J19" s="386" t="inlineStr">
        <is>
          <t>SCMS</t>
        </is>
      </c>
      <c r="K19" s="395" t="inlineStr">
        <is>
          <t>X</t>
        </is>
      </c>
      <c r="L19" s="395" t="inlineStr">
        <is>
          <t>X</t>
        </is>
      </c>
      <c r="M19" s="395" t="n"/>
      <c r="N19" s="395" t="inlineStr">
        <is>
          <t>Done</t>
        </is>
      </c>
      <c r="O19" s="401" t="n"/>
      <c r="P19" s="395" t="n"/>
      <c r="Q19" s="395" t="inlineStr">
        <is>
          <t>SCMS.CTCK_DICH_VU
SCMS.DM_DICH_VU</t>
        </is>
      </c>
      <c r="R19" s="395" t="inlineStr">
        <is>
          <t>dv.NGAY_DANG_KY,
dv.ID,
dv.DM_DICH_VU_ID,
dv.IS_BANG_TAM,
dv.TRANG_THAI,
dv.NGAY_KET_THUC,
dd.ID,
dd.TEN_DICH_VU</t>
        </is>
      </c>
      <c r="S19" s="395" t="n"/>
      <c r="T19" s="386" t="inlineStr">
        <is>
          <t>-- Số lượng CTCK theo nghiệp vụ môi giới
SELECT
    nd.ngay,
    COUNT(dv.ID) AS so_ctck_nv_moi_gioi
FROM (
    SELECT TRUNC(min_ngay) + LEVEL - 1 AS ngay
    FROM (
        SELECT MIN(dv.NGAY_DANG_KY) AS min_ngay
        FROM SCMS.CTCK_DICH_VU dv
        JOIN SCMS.DM_DICH_VU dd ON dd.ID = dv.DM_DICH_VU_ID
        WHERE dv.IS_BANG_TAM = 1
          AND dv.TRANG_THAI  = 1
          AND LOWER(dd.TEN_DICH_VU) LIKE '%môi giới%'
    )
    CONNECT BY TRUNC(min_ngay) + LEVEL - 1 &lt;= TRUNC(SYSDATE)
) nd
LEFT JOIN SCMS.CTCK_DICH_VU dv
    JOIN SCMS.DM_DICH_VU dd ON dd.ID = dv.DM_DICH_VU_ID
    ON  dv.IS_BANG_TAM = 1
    AND dv.TRANG_THAI = 1
    AND LOWER(dd.TEN_DICH_VU) LIKE '%môi giới%'
    AND TRUNC(dv.NGAY_DANG_KY) &lt;= nd.ngay        -- đã đăng ký tính đến ngày đó
    AND (
        dv.NGAY_KET_THUC IS NULL
        OR dv.NGAY_KET_THUC &gt; nd.ngay        -- còn hiệu lực tại ngày đó
    )
GROUP BY nd.ngay
ORDER BY nd.ngay;</t>
        </is>
      </c>
      <c r="U19" s="20" t="inlineStr">
        <is>
          <t>Không thấy bảng DM nghiệp vụ</t>
        </is>
      </c>
      <c r="V19" s="395" t="n"/>
      <c r="W19" s="395" t="n"/>
      <c r="X19" s="395" t="n"/>
      <c r="Y19" s="395" t="inlineStr">
        <is>
          <t>Done</t>
        </is>
      </c>
      <c r="Z19" s="395" t="n"/>
      <c r="AA19" s="395" t="n"/>
      <c r="AB19" s="395" t="n"/>
      <c r="AC19" s="395" t="n"/>
      <c r="AD19" s="395" t="n"/>
      <c r="AE19" s="395" t="n"/>
    </row>
    <row r="20" ht="61.5" customHeight="1" s="380">
      <c r="A20" s="73" t="n">
        <v>2</v>
      </c>
      <c r="B20" s="386" t="n"/>
      <c r="C20" s="386" t="inlineStr">
        <is>
          <t>Dashboard Tổng quan công ty chứng khoán toàn thị trường &gt;&gt; Biểu đồ nghiệp vụ</t>
        </is>
      </c>
      <c r="D20" s="12" t="inlineStr">
        <is>
          <t>Số lượng CTCK theo nghiệp vụ bảo lãnh</t>
        </is>
      </c>
      <c r="E20" s="12" t="inlineStr">
        <is>
          <t>Số lượng CTCK theo nghiệp vụ bảo lãnh</t>
        </is>
      </c>
      <c r="F20" s="386" t="inlineStr">
        <is>
          <t>Dashboard</t>
        </is>
      </c>
      <c r="G20" s="386" t="inlineStr">
        <is>
          <t>Chỉ tiêu cơ sở</t>
        </is>
      </c>
      <c r="H20" s="386" t="inlineStr">
        <is>
          <t>TB</t>
        </is>
      </c>
      <c r="I20" s="386" t="inlineStr">
        <is>
          <t>Ngày, Danh mục nghiệp vụ</t>
        </is>
      </c>
      <c r="J20" s="386" t="inlineStr">
        <is>
          <t>SCMS</t>
        </is>
      </c>
      <c r="K20" s="395" t="inlineStr">
        <is>
          <t>X</t>
        </is>
      </c>
      <c r="L20" s="395" t="inlineStr">
        <is>
          <t>X</t>
        </is>
      </c>
      <c r="M20" s="395" t="n"/>
      <c r="N20" s="395" t="inlineStr">
        <is>
          <t>Done</t>
        </is>
      </c>
      <c r="O20" s="401" t="n"/>
      <c r="P20" s="395" t="n"/>
      <c r="Q20" s="395" t="inlineStr">
        <is>
          <t>SCMS.CTCK_DICH_VU
SCMS.DM_DICH_VU</t>
        </is>
      </c>
      <c r="R20" s="395" t="inlineStr">
        <is>
          <t>dv.NGAY_DANG_KY,
dv.ID,
dv.DM_DICH_VU_ID,
dv.IS_BANG_TAM,
dv.TRANG_THAI,
dv.NGAY_KET_THUC,
dd.ID,
dd.TEN_DICH_VU</t>
        </is>
      </c>
      <c r="S20" s="395" t="n"/>
      <c r="T20" s="386" t="inlineStr">
        <is>
          <t>-- Số lượng CTCK theo nghiệp vụ bảo lãnh
SELECT
    nd.ngay,
    COUNT(dv.ID) AS so_ctck_nv_bao_lanh
FROM (
    SELECT TRUNC(min_ngay) + LEVEL - 1 AS ngay
    FROM (
        SELECT MIN(dv.NGAY_DANG_KY) AS min_ngay
        FROM SCMS.CTCK_DICH_VU dv
        JOIN SCMS.DM_DICH_VU dd ON dd.ID = dv.DM_DICH_VU_ID
        WHERE dv.IS_BANG_TAM = 1
          AND dv.TRANG_THAI  = 1
          AND LOWER(dd.TEN_DICH_VU) LIKE '%bảo lãnh%'
    )
    CONNECT BY TRUNC(min_ngay) + LEVEL - 1 &lt;= TRUNC(SYSDATE)
) nd
LEFT JOIN SCMS.CTCK_DICH_VU dv
    JOIN SCMS.DM_DICH_VU dd ON dd.ID = dv.DM_DICH_VU_ID
    ON  dv.IS_BANG_TAM = 1
    AND dv.TRANG_THAI = 1
    AND LOWER(dd.TEN_DICH_VU) LIKE '%bảo lãnh%'
    AND TRUNC(dv.NGAY_DANG_KY) &lt;= nd.ngay        -- đã đăng ký tính đến ngày đó
    AND (
        dv.NGAY_KET_THUC IS NULL
        OR dv.NGAY_KET_THUC &gt; nd.ngay        -- còn hiệu lực tại ngày đó
    )
GROUP BY nd.ngay
ORDER BY nd.ngay;</t>
        </is>
      </c>
      <c r="U20" s="20" t="inlineStr">
        <is>
          <t>Không thấy bảng DM nghiệp vụ</t>
        </is>
      </c>
      <c r="V20" s="395" t="n"/>
      <c r="W20" s="395" t="n"/>
      <c r="X20" s="395" t="n"/>
      <c r="Y20" s="395" t="inlineStr">
        <is>
          <t>Done</t>
        </is>
      </c>
      <c r="Z20" s="395" t="n"/>
      <c r="AA20" s="395" t="n"/>
      <c r="AB20" s="395" t="n"/>
      <c r="AC20" s="395" t="n"/>
      <c r="AD20" s="395" t="n"/>
      <c r="AE20" s="395" t="n"/>
    </row>
    <row r="21" ht="63.75" customHeight="1" s="380">
      <c r="A21" s="73" t="n">
        <v>2</v>
      </c>
      <c r="B21" s="386" t="n"/>
      <c r="C21" s="386" t="inlineStr">
        <is>
          <t>Dashboard Tổng quan công ty chứng khoán toàn thị trường &gt;&gt; Biểu đồ nghiệp vụ</t>
        </is>
      </c>
      <c r="D21" s="12" t="inlineStr">
        <is>
          <t>Số lượng CTCK theo nghiệp vụ tư vấn</t>
        </is>
      </c>
      <c r="E21" s="12" t="inlineStr">
        <is>
          <t>Số lượng CTCK theo nghiệp vụ tư vấn</t>
        </is>
      </c>
      <c r="F21" s="386" t="inlineStr">
        <is>
          <t>Dashboard</t>
        </is>
      </c>
      <c r="G21" s="386" t="inlineStr">
        <is>
          <t>Chỉ tiêu cơ sở</t>
        </is>
      </c>
      <c r="H21" s="386" t="inlineStr">
        <is>
          <t>TB</t>
        </is>
      </c>
      <c r="I21" s="386" t="inlineStr">
        <is>
          <t>Ngày, Danh mục nghiệp vụ</t>
        </is>
      </c>
      <c r="J21" s="386" t="inlineStr">
        <is>
          <t>SCMS</t>
        </is>
      </c>
      <c r="K21" s="395" t="inlineStr">
        <is>
          <t>X</t>
        </is>
      </c>
      <c r="L21" s="395" t="inlineStr">
        <is>
          <t>X</t>
        </is>
      </c>
      <c r="M21" s="395" t="n"/>
      <c r="N21" s="395" t="inlineStr">
        <is>
          <t>Done</t>
        </is>
      </c>
      <c r="O21" s="401" t="n"/>
      <c r="P21" s="395" t="n"/>
      <c r="Q21" s="395" t="inlineStr">
        <is>
          <t>SCMS.CTCK_DICH_VU
SCMS.DM_DICH_VU</t>
        </is>
      </c>
      <c r="R21" s="395" t="inlineStr">
        <is>
          <t>dv.NGAY_DANG_KY,
dv.ID,
dv.DM_DICH_VU_ID,
dv.IS_BANG_TAM,
dv.TRANG_THAI,
dv.NGAY_KET_THUC,
dd.ID,
dd.TEN_DICH_VU</t>
        </is>
      </c>
      <c r="S21" s="395" t="n"/>
      <c r="T21" s="386" t="inlineStr">
        <is>
          <t>-- Số lượng CTCK theo nghiệp vụ tư vấn
SELECT
    nd.ngay,
    COUNT(dv.ID) AS so_ctck_nv_tu_van
FROM (
    SELECT TRUNC(min_ngay) + LEVEL - 1 AS ngay
    FROM (
        SELECT MIN(dv.NGAY_DANG_KY) AS min_ngay
        FROM SCMS.CTCK_DICH_VU dv
        JOIN SCMS.DM_DICH_VU dd ON dd.ID = dv.DM_DICH_VU_ID
        WHERE dv.IS_BANG_TAM = 1
          AND dv.TRANG_THAI  = 1
          AND LOWER(dd.TEN_DICH_VU) LIKE '%tư vấn%'
          AND LOWER(dd.TEN_DICH_VU) NOT LIKE '%phái sinh%'  -- loại trừ "tư vấn phái sinh"
    )
    CONNECT BY TRUNC(min_ngay) + LEVEL - 1 &lt;= TRUNC(SYSDATE)
) nd
LEFT JOIN SCMS.CTCK_DICH_VU dv
    JOIN SCMS.DM_DICH_VU dd ON dd.ID = dv.DM_DICH_VU_ID
    ON  dv.IS_BANG_TAM = 1
    AND dv.TRANG_THAI = 1
    AND LOWER(dd.TEN_DICH_VU) LIKE '%tư vấn%'
    AND LOWER(dd.TEN_DICH_VU) NOT LIKE '%phái sinh%'
    AND TRUNC(dv.NGAY_DANG_KY) &lt;= nd.ngay        -- đã đăng ký tính đến ngày đó
    AND (
        dv.NGAY_KET_THUC IS NULL
        OR dv.NGAY_KET_THUC &gt; nd.ngay        -- còn hiệu lực tại ngày đó
    )
GROUP BY nd.ngay
ORDER BY nd.ngay;</t>
        </is>
      </c>
      <c r="U21" s="20" t="inlineStr">
        <is>
          <t>Không thấy bảng DM nghiệp vụ</t>
        </is>
      </c>
      <c r="V21" s="395" t="n"/>
      <c r="W21" s="395" t="n"/>
      <c r="X21" s="395" t="n"/>
      <c r="Y21" s="395" t="inlineStr">
        <is>
          <t>Done</t>
        </is>
      </c>
      <c r="Z21" s="395" t="n"/>
      <c r="AA21" s="395" t="n"/>
      <c r="AB21" s="395" t="n"/>
      <c r="AC21" s="395" t="n"/>
      <c r="AD21" s="395" t="n"/>
      <c r="AE21" s="395" t="n"/>
    </row>
    <row r="22" ht="61.5" customHeight="1" s="380">
      <c r="A22" s="73" t="n">
        <v>2</v>
      </c>
      <c r="B22" s="386" t="n"/>
      <c r="C22" s="386" t="inlineStr">
        <is>
          <t>Dashboard Tổng quan công ty chứng khoán toàn thị trường &gt;&gt; Biểu đồ nghiệp vụ</t>
        </is>
      </c>
      <c r="D22" s="12" t="inlineStr">
        <is>
          <t>Số lượng CTCK theo nghiệp vụ tự doanh</t>
        </is>
      </c>
      <c r="E22" s="12" t="inlineStr">
        <is>
          <t>Số lượng CTCK theo nghiệp vụ tự doanh</t>
        </is>
      </c>
      <c r="F22" s="386" t="inlineStr">
        <is>
          <t>Dashboard</t>
        </is>
      </c>
      <c r="G22" s="386" t="inlineStr">
        <is>
          <t>Chỉ tiêu cơ sở</t>
        </is>
      </c>
      <c r="H22" s="386" t="inlineStr">
        <is>
          <t>TB</t>
        </is>
      </c>
      <c r="I22" s="386" t="inlineStr">
        <is>
          <t>Ngày, Danh mục nghiệp vụ</t>
        </is>
      </c>
      <c r="J22" s="386" t="inlineStr">
        <is>
          <t>SCMS</t>
        </is>
      </c>
      <c r="K22" s="395" t="inlineStr">
        <is>
          <t>X</t>
        </is>
      </c>
      <c r="L22" s="395" t="inlineStr">
        <is>
          <t>X</t>
        </is>
      </c>
      <c r="M22" s="395" t="n"/>
      <c r="N22" s="395" t="inlineStr">
        <is>
          <t>Done</t>
        </is>
      </c>
      <c r="O22" s="401" t="n"/>
      <c r="P22" s="395" t="n"/>
      <c r="Q22" s="395" t="inlineStr">
        <is>
          <t>SCMS.CTCK_DICH_VU
SCMS.DM_DICH_VU</t>
        </is>
      </c>
      <c r="R22" s="395" t="inlineStr">
        <is>
          <t>dv.NGAY_DANG_KY,
dv.ID,
dv.DM_DICH_VU_ID,
dv.IS_BANG_TAM,
dv.TRANG_THAI,
dv.NGAY_KET_THUC,
dd.ID,
dd.TEN_DICH_VU</t>
        </is>
      </c>
      <c r="S22" s="395" t="n"/>
      <c r="T22" s="386" t="inlineStr">
        <is>
          <t>-- Số lượng CTCK theo nghiệp vụ tự doanh
SELECT
    nd.ngay,
    COUNT(dv.ID) AS so_ctck_nv_tu_doanh
FROM (
    SELECT TRUNC(min_ngay) + LEVEL - 1 AS ngay
    FROM (
        SELECT MIN(dv.NGAY_DANG_KY) AS min_ngay
        FROM SCMS.CTCK_DICH_VU dv
        JOIN SCMS.DM_DICH_VU dd ON dd.ID = dv.DM_DICH_VU_ID
        WHERE dv.IS_BANG_TAM = 1
          AND dv.TRANG_THAI  = 1
          AND LOWER(dd.TEN_DICH_VU) LIKE '%tự doanh%'
          AND LOWER(dd.TEN_DICH_VU) NOT LIKE '%phái sinh%'  -- loại trừ "tự doanh phái sinh"
    )
    CONNECT BY TRUNC(min_ngay) + LEVEL - 1 &lt;= TRUNC(SYSDATE)
) nd
LEFT JOIN SCMS.CTCK_DICH_VU dv
    JOIN SCMS.DM_DICH_VU dd ON dd.ID = dv.DM_DICH_VU_ID
    ON  dv.IS_BANG_TAM = 1
    AND dv.TRANG_THAI = 1
    AND LOWER(dd.TEN_DICH_VU) LIKE '%tự doanh%'
    AND LOWER(dd.TEN_DICH_VU) NOT LIKE '%phái sinh%'
    AND TRUNC(dv.NGAY_DANG_KY) &lt;= nd.ngay        -- đã đăng ký tính đến ngày đó
    AND (
        dv.NGAY_KET_THUC IS NULL
        OR dv.NGAY_KET_THUC &gt; nd.ngay        -- còn hiệu lực tại ngày đó
    )
GROUP BY nd.ngay
ORDER BY nd.ngay;</t>
        </is>
      </c>
      <c r="U22" s="20" t="inlineStr">
        <is>
          <t>Không thấy bảng DM nghiệp vụ</t>
        </is>
      </c>
      <c r="V22" s="395" t="n"/>
      <c r="W22" s="395" t="n"/>
      <c r="X22" s="395" t="n"/>
      <c r="Y22" s="395" t="inlineStr">
        <is>
          <t>Done</t>
        </is>
      </c>
      <c r="Z22" s="395" t="n"/>
      <c r="AA22" s="395" t="n"/>
      <c r="AB22" s="395" t="n"/>
      <c r="AC22" s="395" t="n"/>
      <c r="AD22" s="395" t="n"/>
      <c r="AE22" s="395" t="n"/>
    </row>
    <row r="23" ht="56" customHeight="1" s="380">
      <c r="A23" s="73" t="n">
        <v>3</v>
      </c>
      <c r="B23" s="81" t="n"/>
      <c r="C23" s="81" t="inlineStr">
        <is>
          <t>Dashboard Tổng quan công ty chứng khoán toàn thị trường &gt;&gt; Biểu đồ Dịch vụ</t>
        </is>
      </c>
      <c r="D23" s="12" t="inlineStr">
        <is>
          <t>Chiều thời gian theo ngày</t>
        </is>
      </c>
      <c r="E23" s="12" t="inlineStr">
        <is>
          <t>Chiều thời gian theo ngày</t>
        </is>
      </c>
      <c r="F23" s="386" t="inlineStr">
        <is>
          <t>Dashboard</t>
        </is>
      </c>
      <c r="G23" s="386" t="inlineStr">
        <is>
          <t>Chiều</t>
        </is>
      </c>
      <c r="H23" s="386" t="inlineStr">
        <is>
          <t>Trùng</t>
        </is>
      </c>
      <c r="I23" s="386" t="n"/>
      <c r="J23" s="386" t="inlineStr">
        <is>
          <t>SCMS</t>
        </is>
      </c>
      <c r="K23" s="395" t="n"/>
      <c r="L23" s="395" t="inlineStr">
        <is>
          <t>X</t>
        </is>
      </c>
      <c r="M23" s="395" t="n"/>
      <c r="N23" s="395" t="inlineStr">
        <is>
          <t>Done</t>
        </is>
      </c>
      <c r="O23" s="401" t="n"/>
      <c r="P23" s="395" t="n"/>
      <c r="Q23" s="20" t="inlineStr">
        <is>
          <t>Ngày dữ liệu</t>
        </is>
      </c>
      <c r="R23" s="395" t="n"/>
      <c r="S23" s="395" t="n"/>
      <c r="T23" s="4" t="inlineStr">
        <is>
          <t>-- Chiều thời gian theo ngày
SELECT TRUNC(min_ngay) + LEVEL - 1 AS ngay
FROM (SELECT MIN(NGAY_SO_LIEU) AS min_ngay FROM SCMS.BC_THANH_VIEN)
CONNECT BY TRUNC(min_ngay) + LEVEL - 1 &lt;= TRUNC(SYSDATE)
ORDER BY ngay;</t>
        </is>
      </c>
      <c r="U23" s="386" t="n"/>
      <c r="V23" s="395" t="n"/>
      <c r="W23" s="395" t="n"/>
      <c r="X23" s="395" t="n"/>
      <c r="Y23" s="395" t="inlineStr">
        <is>
          <t>Done</t>
        </is>
      </c>
      <c r="Z23" s="395" t="n"/>
      <c r="AA23" s="395" t="n"/>
      <c r="AB23" s="395" t="n"/>
      <c r="AC23" s="395" t="n"/>
      <c r="AD23" s="395" t="n"/>
      <c r="AE23" s="395" t="n"/>
    </row>
    <row r="24" ht="61.5" customHeight="1" s="380">
      <c r="A24" s="73" t="n">
        <v>3</v>
      </c>
      <c r="B24" s="12" t="n"/>
      <c r="C24" s="12" t="inlineStr">
        <is>
          <t>Dashboard Tổng quan công ty chứng khoán toàn thị trường &gt;&gt; Biểu đồ Dịch vụ</t>
        </is>
      </c>
      <c r="D24" s="12" t="inlineStr">
        <is>
          <t>Chiều dịch vụ kinh doanh chứng khoán</t>
        </is>
      </c>
      <c r="E24" s="12" t="inlineStr">
        <is>
          <t>Dịch vụ Giao dịch ký quỹ, Ứng trước tiền bán, Lưu ký</t>
        </is>
      </c>
      <c r="F24" s="386" t="inlineStr">
        <is>
          <t>Dashboard</t>
        </is>
      </c>
      <c r="G24" s="386" t="inlineStr">
        <is>
          <t>Chiều</t>
        </is>
      </c>
      <c r="H24" s="386" t="inlineStr">
        <is>
          <t>Dễ</t>
        </is>
      </c>
      <c r="I24" s="386" t="n"/>
      <c r="J24" s="386" t="inlineStr">
        <is>
          <t>SCMS</t>
        </is>
      </c>
      <c r="K24" s="395" t="n"/>
      <c r="L24" s="395" t="inlineStr">
        <is>
          <t>X</t>
        </is>
      </c>
      <c r="M24" s="395" t="n"/>
      <c r="N24" s="395" t="inlineStr">
        <is>
          <t>Done</t>
        </is>
      </c>
      <c r="O24" s="401" t="n"/>
      <c r="P24" s="395" t="n"/>
      <c r="Q24" s="396" t="inlineStr">
        <is>
          <t>SCMS.CTCK_DICH_VU
SCMS.DM_DICH_VU</t>
        </is>
      </c>
      <c r="R24" s="395" t="inlineStr">
        <is>
          <t>dd.ID,
dd.TEN_DICH_VU,
dv.DM_DICH_VU_ID,
dv.TRANG_THAI</t>
        </is>
      </c>
      <c r="S24" s="395" t="n"/>
      <c r="T24" s="386" t="inlineStr">
        <is>
          <t>-- Chiều: Dịch vụ kinh doanh chứng khoán
SELECT DISTINCT
    CASE
        WHEN LOWER(dd.TEN_DICH_VU) LIKE '%giao dịch ký quỹ%' THEN 'Giao dịch ký quỹ'
        WHEN LOWER(dd.TEN_DICH_VU) LIKE '%ứng trước tiền bán%' THEN 'Ứng trước tiền bán'
        WHEN LOWER(dd.TEN_DICH_VU) LIKE '%lưu ký%' THEN 'Lưu ký'
    END AS dich_vu_kinh_doanh
FROM SCMS.CTCK_DICH_VU dv
JOIN SCMS.DM_DICH_VU dd ON dd.ID = dv.DM_DICH_VU_ID
WHERE dv.TRANG_THAI = 1
ORDER BY 1;</t>
        </is>
      </c>
      <c r="U24" s="386" t="n"/>
      <c r="V24" s="395" t="n"/>
      <c r="W24" s="395" t="n"/>
      <c r="X24" s="395" t="n"/>
      <c r="Y24" s="395" t="inlineStr">
        <is>
          <t>Done</t>
        </is>
      </c>
      <c r="Z24" s="395" t="n"/>
      <c r="AA24" s="395" t="n"/>
      <c r="AB24" s="395" t="n"/>
      <c r="AC24" s="395" t="n"/>
      <c r="AD24" s="395" t="n"/>
      <c r="AE24" s="395" t="n"/>
    </row>
    <row r="25" ht="63" customHeight="1" s="380">
      <c r="A25" s="73" t="n">
        <v>3</v>
      </c>
      <c r="B25" s="12" t="n"/>
      <c r="C25" s="12" t="inlineStr">
        <is>
          <t>Dashboard Tổng quan công ty chứng khoán toàn thị trường &gt;&gt; Biểu đồ Dịch vụ</t>
        </is>
      </c>
      <c r="D25" s="12" t="inlineStr">
        <is>
          <t>Số lượng CTCK theo dịch vụ giao dịch ký quỹ</t>
        </is>
      </c>
      <c r="E25" s="12" t="inlineStr">
        <is>
          <t>Số lượng CTCK theo dịch vụ giao dịch ký quỹ</t>
        </is>
      </c>
      <c r="F25" s="386" t="inlineStr">
        <is>
          <t>Dashboard</t>
        </is>
      </c>
      <c r="G25" s="386" t="inlineStr">
        <is>
          <t>Chỉ tiêu cơ sở</t>
        </is>
      </c>
      <c r="H25" s="386" t="inlineStr">
        <is>
          <t>TB</t>
        </is>
      </c>
      <c r="I25" s="386" t="inlineStr">
        <is>
          <t>Ngày, Danh mục dịch vụ</t>
        </is>
      </c>
      <c r="J25" s="386" t="inlineStr">
        <is>
          <t>SCMS</t>
        </is>
      </c>
      <c r="K25" s="395" t="inlineStr">
        <is>
          <t>X</t>
        </is>
      </c>
      <c r="L25" s="395" t="inlineStr">
        <is>
          <t>X</t>
        </is>
      </c>
      <c r="M25" s="395" t="n"/>
      <c r="N25" s="395" t="inlineStr">
        <is>
          <t>Done</t>
        </is>
      </c>
      <c r="O25" s="401" t="n"/>
      <c r="P25" s="395" t="n"/>
      <c r="Q25" s="395" t="inlineStr">
        <is>
          <t>SCMS.CTCK_DICH_VU
SCMS.DM_DICH_VU</t>
        </is>
      </c>
      <c r="R25" s="395" t="inlineStr">
        <is>
          <t>dv.NGAY_DANG_KY,
dv.ID,
dv.DM_DICH_VU_ID,
dv.IS_BANG_TAM,
dv.TRANG_THAI,
dv.NGAY_KET_THUC,
dd.ID,
dd.TEN_DICH_VU</t>
        </is>
      </c>
      <c r="S25" s="395" t="n"/>
      <c r="T25" s="386" t="inlineStr">
        <is>
          <t>-- Số lượng CTCK theo dịch vụ giao dịch ký quỹ
SELECT
    nd.ngay,
    COUNT(dv.ID) AS so_ctck_dv_giao_dich_ky_quy
FROM (
    SELECT TRUNC(min_ngay) + LEVEL - 1 AS ngay
    FROM (
        SELECT MIN(dv.NGAY_DANG_KY) AS min_ngay
        FROM SCMS.CTCK_DICH_VU dv
        JOIN SCMS.DM_DICH_VU dd ON dd.ID = dv.DM_DICH_VU_ID
        WHERE dv.IS_BANG_TAM = 1
          AND dv.TRANG_THAI  = 1
          AND LOWER(dd.TEN_DICH_VU) LIKE '%giao dịch ký quỹ%'
    )
    CONNECT BY TRUNC(min_ngay) + LEVEL - 1 &lt;= TRUNC(SYSDATE)
) nd
LEFT JOIN SCMS.CTCK_DICH_VU dv
    JOIN SCMS.DM_DICH_VU dd ON dd.ID = dv.DM_DICH_VU_ID
    ON  dv.IS_BANG_TAM = 1
    AND dv.TRANG_THAI = 1
    AND LOWER(dd.TEN_DICH_VU) LIKE '%giao dịch ký quỹ%'
    AND TRUNC(dv.NGAY_DANG_KY) &lt;= nd.ngay        -- đã đăng ký tính đến ngày đó
    AND (
        dv.NGAY_KET_THUC IS NULL
        OR dv.NGAY_KET_THUC &gt; nd.ngay        -- còn hiệu lực tại ngày đó
    )
GROUP BY nd.ngay
ORDER BY nd.ngay;</t>
        </is>
      </c>
      <c r="U25" s="20" t="inlineStr">
        <is>
          <t>Bảng DM dịch vụ không khớp với danh sách dịch vụ này (đang so với data cũ)</t>
        </is>
      </c>
      <c r="V25" s="395" t="n"/>
      <c r="W25" s="395" t="n"/>
      <c r="X25" s="395" t="n"/>
      <c r="Y25" s="395" t="inlineStr">
        <is>
          <t>Done</t>
        </is>
      </c>
      <c r="Z25" s="395" t="n"/>
      <c r="AA25" s="395" t="n"/>
      <c r="AB25" s="395" t="n"/>
      <c r="AC25" s="395" t="n"/>
      <c r="AD25" s="395" t="n"/>
      <c r="AE25" s="395" t="n"/>
    </row>
    <row r="26" ht="60.75" customHeight="1" s="380">
      <c r="A26" s="73" t="n">
        <v>3</v>
      </c>
      <c r="B26" s="12" t="n"/>
      <c r="C26" s="12" t="inlineStr">
        <is>
          <t>Dashboard Tổng quan công ty chứng khoán toàn thị trường &gt;&gt; Biểu đồ Dịch vụ</t>
        </is>
      </c>
      <c r="D26" s="12" t="inlineStr">
        <is>
          <t>Số lượng CTCK theo dịch vụ ứng trước tiền bán</t>
        </is>
      </c>
      <c r="E26" s="12" t="inlineStr">
        <is>
          <t>Số lượng CTCK theo dịch vụ ứng trước tiền bán</t>
        </is>
      </c>
      <c r="F26" s="386" t="inlineStr">
        <is>
          <t>Dashboard</t>
        </is>
      </c>
      <c r="G26" s="386" t="inlineStr">
        <is>
          <t>Chỉ tiêu cơ sở</t>
        </is>
      </c>
      <c r="H26" s="386" t="inlineStr">
        <is>
          <t>TB</t>
        </is>
      </c>
      <c r="I26" s="386" t="inlineStr">
        <is>
          <t>Ngày, Danh mục dịch vụ</t>
        </is>
      </c>
      <c r="J26" s="386" t="inlineStr">
        <is>
          <t>SCMS</t>
        </is>
      </c>
      <c r="K26" s="395" t="inlineStr">
        <is>
          <t>X</t>
        </is>
      </c>
      <c r="L26" s="395" t="inlineStr">
        <is>
          <t>X</t>
        </is>
      </c>
      <c r="M26" s="395" t="n"/>
      <c r="N26" s="395" t="inlineStr">
        <is>
          <t>Done</t>
        </is>
      </c>
      <c r="O26" s="401" t="n"/>
      <c r="P26" s="395" t="n"/>
      <c r="Q26" s="395" t="inlineStr">
        <is>
          <t>SCMS.CTCK_DICH_VU
SCMS.DM_DICH_VU</t>
        </is>
      </c>
      <c r="R26" s="395" t="inlineStr">
        <is>
          <t>dv.NGAY_DANG_KY,
dv.ID,
dv.DM_DICH_VU_ID,
dv.IS_BANG_TAM,
dv.TRANG_THAI,
dv.NGAY_KET_THUC,
dd.ID,
dd.TEN_DICH_VU</t>
        </is>
      </c>
      <c r="S26" s="395" t="n"/>
      <c r="T26" s="386" t="inlineStr">
        <is>
          <t>-- Số lượng CTCK theo dịch vụ ứng trước tiền bán
SELECT
    nd.ngay,
    COUNT(dv.ID) AS so_ctck_dv_ung_truoc_tien_ban
FROM (
    SELECT TRUNC(min_ngay) + LEVEL - 1 AS ngay
    FROM (
        SELECT MIN(dv.NGAY_DANG_KY) AS min_ngay
        FROM SCMS.CTCK_DICH_VU dv
        JOIN SCMS.DM_DICH_VU dd ON dd.ID = dv.DM_DICH_VU_ID
        WHERE dv.IS_BANG_TAM = 1
          AND dv.TRANG_THAI  = 1
          AND LOWER(dd.TEN_DICH_VU) LIKE '%ứng trước tiền bán%'
    )
    CONNECT BY TRUNC(min_ngay) + LEVEL - 1 &lt;= TRUNC(SYSDATE)
) nd
LEFT JOIN SCMS.CTCK_DICH_VU dv
    JOIN SCMS.DM_DICH_VU dd ON dd.ID = dv.DM_DICH_VU_ID
    ON  dv.IS_BANG_TAM = 1
    AND dv.TRANG_THAI = 1
    AND LOWER(dd.TEN_DICH_VU) LIKE '%ứng trước tiền bán%'
    AND TRUNC(dv.NGAY_DANG_KY) &lt;= nd.ngay        -- đã đăng ký tính đến ngày đó
    AND (
        dv.NGAY_KET_THUC IS NULL
        OR dv.NGAY_KET_THUC &gt; nd.ngay        -- còn hiệu lực tại ngày đó
    )
GROUP BY nd.ngay
ORDER BY nd.ngay;</t>
        </is>
      </c>
      <c r="U26" s="20" t="inlineStr">
        <is>
          <t>Bảng DM dịch vụ không khớp với danh sách dịch vụ này (đang so với data cũ)</t>
        </is>
      </c>
      <c r="V26" s="395" t="n"/>
      <c r="W26" s="395" t="n"/>
      <c r="X26" s="395" t="n"/>
      <c r="Y26" s="395" t="inlineStr">
        <is>
          <t>Done</t>
        </is>
      </c>
      <c r="Z26" s="395" t="n"/>
      <c r="AA26" s="395" t="n"/>
      <c r="AB26" s="395" t="n"/>
      <c r="AC26" s="395" t="n"/>
      <c r="AD26" s="395" t="n"/>
      <c r="AE26" s="395" t="n"/>
    </row>
    <row r="27" ht="61.5" customHeight="1" s="380">
      <c r="A27" s="73" t="n">
        <v>3</v>
      </c>
      <c r="B27" s="12" t="n"/>
      <c r="C27" s="12" t="inlineStr">
        <is>
          <t>Dashboard Tổng quan công ty chứng khoán toàn thị trường &gt;&gt; Biểu đồ Dịch vụ</t>
        </is>
      </c>
      <c r="D27" s="12" t="inlineStr">
        <is>
          <t>Số lượng CTCK theo dịch vụ lưu ký</t>
        </is>
      </c>
      <c r="E27" s="12" t="inlineStr">
        <is>
          <t>Số lượng CTCK theo dịch vụ lưu ký</t>
        </is>
      </c>
      <c r="F27" s="386" t="inlineStr">
        <is>
          <t>Dashboard</t>
        </is>
      </c>
      <c r="G27" s="386" t="inlineStr">
        <is>
          <t>Chỉ tiêu cơ sở</t>
        </is>
      </c>
      <c r="H27" s="386" t="inlineStr">
        <is>
          <t>TB</t>
        </is>
      </c>
      <c r="I27" s="386" t="inlineStr">
        <is>
          <t>Ngày, Danh mục dịch vụ</t>
        </is>
      </c>
      <c r="J27" s="386" t="inlineStr">
        <is>
          <t>SCMS</t>
        </is>
      </c>
      <c r="K27" s="395" t="inlineStr">
        <is>
          <t>X</t>
        </is>
      </c>
      <c r="L27" s="395" t="inlineStr">
        <is>
          <t>X</t>
        </is>
      </c>
      <c r="M27" s="395" t="n"/>
      <c r="N27" s="395" t="inlineStr">
        <is>
          <t>Done</t>
        </is>
      </c>
      <c r="O27" s="401" t="n"/>
      <c r="P27" s="395" t="n"/>
      <c r="Q27" s="395" t="inlineStr">
        <is>
          <t>SCMS.CTCK_DICH_VU
SCMS.DM_DICH_VU</t>
        </is>
      </c>
      <c r="R27" s="395" t="inlineStr">
        <is>
          <t>dv.NGAY_DANG_KY,
dv.ID,
dv.DM_DICH_VU_ID,
dv.IS_BANG_TAM,
dv.TRANG_THAI,
dv.NGAY_KET_THUC,
dd.ID,
dd.TEN_DICH_VU</t>
        </is>
      </c>
      <c r="S27" s="395" t="n"/>
      <c r="T27" s="386" t="inlineStr">
        <is>
          <t>-- Số lượng CTCK theo dịch vụ lưu ký
SELECT
    nd.ngay,
    COUNT(dv.ID) AS so_ctck_dv_luu_ky
FROM (
    SELECT TRUNC(min_ngay) + LEVEL - 1 AS ngay
    FROM (
        SELECT MIN(dv.NGAY_DANG_KY) AS min_ngay
        FROM SCMS.CTCK_DICH_VU dv
        JOIN SCMS.DM_DICH_VU dd ON dd.ID = dv.DM_DICH_VU_ID
        WHERE dv.IS_BANG_TAM = 1
          AND dv.TRANG_THAI  = 1
          AND LOWER(dd.TEN_DICH_VU) LIKE '%lưu ký%'
    )
    CONNECT BY TRUNC(min_ngay) + LEVEL - 1 &lt;= TRUNC(SYSDATE)
) nd
LEFT JOIN SCMS.CTCK_DICH_VU dv
    JOIN SCMS.DM_DICH_VU dd ON dd.ID = dv.DM_DICH_VU_ID
    ON  dv.IS_BANG_TAM = 1
    AND dv.TRANG_THAI = 1
    AND LOWER(dd.TEN_DICH_VU) LIKE '%lưu ký%'
    AND TRUNC(dv.NGAY_DANG_KY) &lt;= nd.ngay        -- đã đăng ký tính đến ngày đó
    AND (
        dv.NGAY_KET_THUC IS NULL
        OR dv.NGAY_KET_THUC &gt; nd.ngay        -- còn hiệu lực tại ngày đó
    )
GROUP BY nd.ngay
ORDER BY nd.ngay;</t>
        </is>
      </c>
      <c r="U27" s="20" t="inlineStr">
        <is>
          <t>Bảng DM dịch vụ không khớp với danh sách dịch vụ này (đang so với data cũ)</t>
        </is>
      </c>
      <c r="V27" s="395" t="n"/>
      <c r="W27" s="395" t="n"/>
      <c r="X27" s="395" t="n"/>
      <c r="Y27" s="395" t="inlineStr">
        <is>
          <t>Done</t>
        </is>
      </c>
      <c r="Z27" s="395" t="n"/>
      <c r="AA27" s="395" t="n"/>
      <c r="AB27" s="395" t="n"/>
      <c r="AC27" s="395" t="n"/>
      <c r="AD27" s="395" t="n"/>
      <c r="AE27" s="395" t="n"/>
    </row>
    <row r="28" ht="56" customHeight="1" s="380">
      <c r="A28" s="73" t="n">
        <v>4</v>
      </c>
      <c r="B28" s="81" t="n"/>
      <c r="C28" s="81" t="inlineStr">
        <is>
          <t>Dashboard Tổng quan công ty chứng khoán toàn thị trường &gt;&gt; Biểu đồ Dịch vụ phái sinh</t>
        </is>
      </c>
      <c r="D28" s="12" t="inlineStr">
        <is>
          <t>Chiều thời gian theo ngày</t>
        </is>
      </c>
      <c r="E28" s="12" t="inlineStr">
        <is>
          <t>Chiều thời gian theo ngày</t>
        </is>
      </c>
      <c r="F28" s="386" t="inlineStr">
        <is>
          <t>Dashboard</t>
        </is>
      </c>
      <c r="G28" s="386" t="inlineStr">
        <is>
          <t>Chiều</t>
        </is>
      </c>
      <c r="H28" s="386" t="inlineStr">
        <is>
          <t>Trùng</t>
        </is>
      </c>
      <c r="I28" s="386" t="n"/>
      <c r="J28" s="386" t="inlineStr">
        <is>
          <t>SCMS</t>
        </is>
      </c>
      <c r="K28" s="395" t="n"/>
      <c r="L28" s="395" t="inlineStr">
        <is>
          <t>X</t>
        </is>
      </c>
      <c r="M28" s="395" t="n"/>
      <c r="N28" s="395" t="inlineStr">
        <is>
          <t>Done</t>
        </is>
      </c>
      <c r="O28" s="401" t="n"/>
      <c r="P28" s="395" t="n"/>
      <c r="Q28" s="20" t="inlineStr">
        <is>
          <t>Ngày dữ liệu</t>
        </is>
      </c>
      <c r="R28" s="395" t="n"/>
      <c r="S28" s="395" t="n"/>
      <c r="T28" s="4" t="inlineStr">
        <is>
          <t>-- Chiều thời gian theo ngày
SELECT TRUNC(min_ngay) + LEVEL - 1 AS ngay
FROM (SELECT MIN(NGAY_SO_LIEU) AS min_ngay FROM SCMS.BC_THANH_VIEN)
CONNECT BY TRUNC(min_ngay) + LEVEL - 1 &lt;= TRUNC(SYSDATE)
ORDER BY ngay;</t>
        </is>
      </c>
      <c r="U28" s="386" t="n"/>
      <c r="V28" s="395" t="n"/>
      <c r="W28" s="395" t="n"/>
      <c r="X28" s="395" t="n"/>
      <c r="Y28" s="395" t="inlineStr">
        <is>
          <t>Done</t>
        </is>
      </c>
      <c r="Z28" s="395" t="n"/>
      <c r="AA28" s="395" t="n"/>
      <c r="AB28" s="395" t="n"/>
      <c r="AC28" s="395" t="n"/>
      <c r="AD28" s="395" t="n"/>
      <c r="AE28" s="395" t="n"/>
    </row>
    <row r="29" ht="63.75" customHeight="1" s="380">
      <c r="A29" s="73" t="n">
        <v>4</v>
      </c>
      <c r="B29" s="386" t="n"/>
      <c r="C29" s="386" t="inlineStr">
        <is>
          <t>Dashboard Tổng quan công ty chứng khoán toàn thị trường &gt;&gt; Biểu đồ dịch vụ phái sinh</t>
        </is>
      </c>
      <c r="D29" s="12" t="inlineStr">
        <is>
          <t>Chiều Dịch vụ phái sinh</t>
        </is>
      </c>
      <c r="E29" s="12" t="inlineStr">
        <is>
          <t>Dịch vụ phái sinh: Môi giới phái sinh, Tư vấn phái sinh, Tự doanh phái sinh</t>
        </is>
      </c>
      <c r="F29" s="386" t="inlineStr">
        <is>
          <t>Dashboard</t>
        </is>
      </c>
      <c r="G29" s="386" t="inlineStr">
        <is>
          <t>Chiều</t>
        </is>
      </c>
      <c r="H29" s="386" t="inlineStr">
        <is>
          <t>Dễ</t>
        </is>
      </c>
      <c r="I29" s="386" t="n"/>
      <c r="J29" s="386" t="inlineStr">
        <is>
          <t>SCMS</t>
        </is>
      </c>
      <c r="K29" s="395" t="n"/>
      <c r="L29" s="395" t="inlineStr">
        <is>
          <t>X</t>
        </is>
      </c>
      <c r="M29" s="395" t="n"/>
      <c r="N29" s="395" t="inlineStr">
        <is>
          <t>Done</t>
        </is>
      </c>
      <c r="O29" s="401" t="n"/>
      <c r="P29" s="395" t="n"/>
      <c r="Q29" s="390" t="inlineStr">
        <is>
          <t>SCMS.CTCK_DICH_VU
SCMS.DM_DICH_VU</t>
        </is>
      </c>
      <c r="R29" s="401" t="inlineStr">
        <is>
          <t>dd.ID,
dd.TEN_DICH_VU,
dv.DM_DICH_VU_ID,
dv.TRANG_THAI</t>
        </is>
      </c>
      <c r="S29" s="395" t="n"/>
      <c r="T29" s="386" t="inlineStr">
        <is>
          <t>-- Chiều: Dịch vụ phái sinh
SELECT DISTINCT
    CASE
        WHEN LOWER(dd.TEN_DICH_VU) LIKE '%môi giới%' THEN 'Môi giới phái sinh'
        WHEN LOWER(dd.TEN_DICH_VU) LIKE '%tư vấn%' THEN 'Tư vấn phái sinh'
        WHEN LOWER(dd.TEN_DICH_VU) LIKE '%tự doanh%' THEN 'Tự doanh phái sinh'
    END AS dich_vu_phai_sinh
FROM SCMS.CTCK_DICH_VU dv
JOIN SCMS.DM_DICH_VU dd ON dd.ID = dv.DM_DICH_VU_ID
WHERE dv.TRANG_THAI = 1
  AND LOWER(dd.TEN_DICH_VU) LIKE '%phái sinh%'
ORDER BY 1;</t>
        </is>
      </c>
      <c r="U29" s="386" t="n"/>
      <c r="V29" s="395" t="n"/>
      <c r="W29" s="395" t="n"/>
      <c r="X29" s="395" t="n"/>
      <c r="Y29" s="395" t="inlineStr">
        <is>
          <t>Done</t>
        </is>
      </c>
      <c r="Z29" s="395" t="n"/>
      <c r="AA29" s="395" t="n"/>
      <c r="AB29" s="395" t="n"/>
      <c r="AC29" s="395" t="n"/>
      <c r="AD29" s="395" t="n"/>
      <c r="AE29" s="395" t="n"/>
    </row>
    <row r="30" ht="63.75" customHeight="1" s="380">
      <c r="A30" s="73" t="n">
        <v>4</v>
      </c>
      <c r="B30" s="12" t="n"/>
      <c r="C30" s="12" t="inlineStr">
        <is>
          <t>Dashboard Tổng quan công ty chứng khoán toàn thị trường &gt;&gt; Biểu đồ dịch vụ phái sinh</t>
        </is>
      </c>
      <c r="D30" s="12" t="inlineStr">
        <is>
          <t>Số lượng CTCK liên quan CK phái sinh theo dịch vụ môi giới</t>
        </is>
      </c>
      <c r="E30" s="12" t="inlineStr">
        <is>
          <t>Số lượng CTCK liên quan CK phái sinh theo dịch vụ môi giới</t>
        </is>
      </c>
      <c r="F30" s="386" t="inlineStr">
        <is>
          <t>Dashboard</t>
        </is>
      </c>
      <c r="G30" s="386" t="inlineStr">
        <is>
          <t>Chỉ tiêu cơ sở</t>
        </is>
      </c>
      <c r="H30" s="386" t="inlineStr">
        <is>
          <t>TB</t>
        </is>
      </c>
      <c r="I30" s="386" t="inlineStr">
        <is>
          <t>Ngày, Danh mục dịch vụ phái sinh</t>
        </is>
      </c>
      <c r="J30" s="386" t="inlineStr">
        <is>
          <t>SCMS</t>
        </is>
      </c>
      <c r="K30" s="395" t="inlineStr">
        <is>
          <t>X</t>
        </is>
      </c>
      <c r="L30" s="395" t="inlineStr">
        <is>
          <t>X</t>
        </is>
      </c>
      <c r="M30" s="395" t="n"/>
      <c r="N30" s="395" t="inlineStr">
        <is>
          <t>Done</t>
        </is>
      </c>
      <c r="O30" s="401" t="n"/>
      <c r="P30" s="395" t="n"/>
      <c r="Q30" s="395" t="inlineStr">
        <is>
          <t>SCMS.CTCK_DICH_VU
SCMS.DM_DICH_VU</t>
        </is>
      </c>
      <c r="R30" s="395" t="inlineStr">
        <is>
          <t>dv.NGAY_DANG_KY,
dv.ID,
dv.DM_DICH_VU_ID,
dv.IS_BANG_TAM,
dv.TRANG_THAI,
dv.NGAY_KET_THUC,
dd.ID,
dd.TEN_DICH_VU</t>
        </is>
      </c>
      <c r="S30" s="395" t="n"/>
      <c r="T30" s="386" t="inlineStr">
        <is>
          <t>-- Số lượng CTCK liên quan CK phái sinh theo dịch vụ môi giới
SELECT
    nd.ngay,
    COUNT(dv.ID) AS so_ctck_dvps_moi_gioi
FROM (
    SELECT TRUNC(min_ngay) + LEVEL - 1 AS ngay
    FROM (
        SELECT MIN(dv.NGAY_DANG_KY) AS min_ngay
        FROM SCMS.CTCK_DICH_VU dv
        JOIN SCMS.DM_DICH_VU dd ON dd.ID = dv.DM_DICH_VU_ID
        WHERE dv.IS_BANG_TAM = 1
          AND dv.TRANG_THAI  = 1
          AND LOWER(dd.TEN_DICH_VU) LIKE '%phái sinh%'
          AND LOWER(dd.TEN_DICH_VU) LIKE '%môi giới%'
    )
    CONNECT BY TRUNC(min_ngay) + LEVEL - 1 &lt;= TRUNC(SYSDATE)
) nd
LEFT JOIN SCMS.CTCK_DICH_VU dv
    JOIN SCMS.DM_DICH_VU dd ON dd.ID = dv.DM_DICH_VU_ID
    ON  dv.IS_BANG_TAM = 1
    AND dv.TRANG_THAI = 1
    AND LOWER(dd.TEN_DICH_VU) LIKE '%phái sinh%'
    AND LOWER(dd.TEN_DICH_VU) LIKE '%môi giới%'
    AND TRUNC(dv.NGAY_DANG_KY) &lt;= nd.ngay        -- đã đăng ký tính đến ngày đó
    AND (
        dv.NGAY_KET_THUC IS NULL
        OR dv.NGAY_KET_THUC &gt; nd.ngay        -- còn hiệu lực tại ngày đó
    )
GROUP BY nd.ngay
ORDER BY nd.ngay;</t>
        </is>
      </c>
      <c r="U30" s="20" t="inlineStr">
        <is>
          <t>Bảng DM dịch vụ không khớp với danh sách dịch vụ này (đang so với data cũ)</t>
        </is>
      </c>
      <c r="V30" s="395" t="n"/>
      <c r="W30" s="395" t="n"/>
      <c r="X30" s="395" t="n"/>
      <c r="Y30" s="395" t="inlineStr">
        <is>
          <t>Done</t>
        </is>
      </c>
      <c r="Z30" s="395" t="n"/>
      <c r="AA30" s="395" t="n"/>
      <c r="AB30" s="395" t="n"/>
      <c r="AC30" s="395" t="n"/>
      <c r="AD30" s="395" t="n"/>
      <c r="AE30" s="395" t="n"/>
    </row>
    <row r="31" ht="60.75" customHeight="1" s="380">
      <c r="A31" s="73" t="n">
        <v>4</v>
      </c>
      <c r="B31" s="12" t="n"/>
      <c r="C31" s="12" t="inlineStr">
        <is>
          <t>Dashboard Tổng quan công ty chứng khoán toàn thị trường &gt;&gt; Biểu đồ dịch vụ phái sinh</t>
        </is>
      </c>
      <c r="D31" s="12" t="inlineStr">
        <is>
          <t>Số lượng CTCK liên quan CK phái sinh theo dịch vụ tư vấn</t>
        </is>
      </c>
      <c r="E31" s="12" t="inlineStr">
        <is>
          <t>Số lượng CTCK liên quan CK phái sinh theo dịch vụ tư vấn</t>
        </is>
      </c>
      <c r="F31" s="386" t="inlineStr">
        <is>
          <t>Dashboard</t>
        </is>
      </c>
      <c r="G31" s="386" t="inlineStr">
        <is>
          <t>Chỉ tiêu cơ sở</t>
        </is>
      </c>
      <c r="H31" s="386" t="inlineStr">
        <is>
          <t>TB</t>
        </is>
      </c>
      <c r="I31" s="386" t="inlineStr">
        <is>
          <t>Ngày, Danh mục dịch vụ phái sinh</t>
        </is>
      </c>
      <c r="J31" s="386" t="inlineStr">
        <is>
          <t>SCMS</t>
        </is>
      </c>
      <c r="K31" s="395" t="inlineStr">
        <is>
          <t>X</t>
        </is>
      </c>
      <c r="L31" s="395" t="inlineStr">
        <is>
          <t>X</t>
        </is>
      </c>
      <c r="M31" s="395" t="n"/>
      <c r="N31" s="395" t="inlineStr">
        <is>
          <t>Done</t>
        </is>
      </c>
      <c r="O31" s="401" t="n"/>
      <c r="P31" s="395" t="n"/>
      <c r="Q31" s="395" t="inlineStr">
        <is>
          <t>SCMS.CTCK_DICH_VU
SCMS.DM_DICH_VU</t>
        </is>
      </c>
      <c r="R31" s="395" t="inlineStr">
        <is>
          <t>dv.NGAY_DANG_KY,
dv.ID,
dv.DM_DICH_VU_ID,
dv.IS_BANG_TAM,
dv.TRANG_THAI,
dv.NGAY_KET_THUC,
dd.ID,
dd.TEN_DICH_VU</t>
        </is>
      </c>
      <c r="S31" s="395" t="n"/>
      <c r="T31" s="386" t="inlineStr">
        <is>
          <t>-- Số lượng CTCK liên quan CK phái sinh theo dịch vụ tư vấn
SELECT
    nd.ngay,
    COUNT(dv.ID) AS so_ctck_dvps_tu_van
FROM (
    SELECT TRUNC(min_ngay) + LEVEL - 1 AS ngay
    FROM (
        SELECT MIN(dv.NGAY_DANG_KY) AS min_ngay
        FROM SCMS.CTCK_DICH_VU dv
        JOIN SCMS.DM_DICH_VU dd ON dd.ID = dv.DM_DICH_VU_ID
        WHERE dv.IS_BANG_TAM = 1
          AND dv.TRANG_THAI  = 1
          AND LOWER(dd.TEN_DICH_VU) LIKE '%phái sinh%'
          AND LOWER(dd.TEN_DICH_VU) LIKE '%tư vấn%'
    )
    CONNECT BY TRUNC(min_ngay) + LEVEL - 1 &lt;= TRUNC(SYSDATE)
) nd
LEFT JOIN SCMS.CTCK_DICH_VU dv
    JOIN SCMS.DM_DICH_VU dd ON dd.ID = dv.DM_DICH_VU_ID
    ON  dv.IS_BANG_TAM = 1
    AND dv.TRANG_THAI = 1
    AND LOWER(dd.TEN_DICH_VU) LIKE '%phái sinh%'
    AND LOWER(dd.TEN_DICH_VU) LIKE '%tư vấn%'
    AND TRUNC(dv.NGAY_DANG_KY) &lt;= nd.ngay        -- đã đăng ký tính đến ngày đó
    AND (
        dv.NGAY_KET_THUC IS NULL
        OR dv.NGAY_KET_THUC &gt; nd.ngay        -- còn hiệu lực tại ngày đó
    )
GROUP BY nd.ngay
ORDER BY nd.ngay;</t>
        </is>
      </c>
      <c r="U31" s="20" t="inlineStr">
        <is>
          <t>Bảng DM dịch vụ không khớp với danh sách dịch vụ này (đang so với data cũ)</t>
        </is>
      </c>
      <c r="V31" s="395" t="n"/>
      <c r="W31" s="395" t="n"/>
      <c r="X31" s="395" t="n"/>
      <c r="Y31" s="395" t="inlineStr">
        <is>
          <t>Done</t>
        </is>
      </c>
      <c r="Z31" s="395" t="n"/>
      <c r="AA31" s="395" t="n"/>
      <c r="AB31" s="395" t="n"/>
      <c r="AC31" s="395" t="n"/>
      <c r="AD31" s="395" t="n"/>
      <c r="AE31" s="395" t="n"/>
    </row>
    <row r="32" ht="60" customHeight="1" s="380">
      <c r="A32" s="73" t="n">
        <v>4</v>
      </c>
      <c r="B32" s="12" t="n"/>
      <c r="C32" s="12" t="inlineStr">
        <is>
          <t>Dashboard Tổng quan công ty chứng khoán toàn thị trường &gt;&gt; Biểu đồ dịch vụ phái sinh</t>
        </is>
      </c>
      <c r="D32" s="12" t="inlineStr">
        <is>
          <t>Số lượng CTCK liên quan CK phái sinh theo dịch vụ tự doanh</t>
        </is>
      </c>
      <c r="E32" s="12" t="inlineStr">
        <is>
          <t>Số lượng CTCK liên quan CK phái sinh theo dịch vụ tự doanh</t>
        </is>
      </c>
      <c r="F32" s="386" t="inlineStr">
        <is>
          <t>Dashboard</t>
        </is>
      </c>
      <c r="G32" s="386" t="inlineStr">
        <is>
          <t>Chỉ tiêu cơ sở</t>
        </is>
      </c>
      <c r="H32" s="386" t="inlineStr">
        <is>
          <t>TB</t>
        </is>
      </c>
      <c r="I32" s="386" t="inlineStr">
        <is>
          <t>Ngày, Danh mục dịch vụ phái sinh</t>
        </is>
      </c>
      <c r="J32" s="386" t="inlineStr">
        <is>
          <t>SCMS</t>
        </is>
      </c>
      <c r="K32" s="395" t="inlineStr">
        <is>
          <t>X</t>
        </is>
      </c>
      <c r="L32" s="395" t="inlineStr">
        <is>
          <t>X</t>
        </is>
      </c>
      <c r="M32" s="395" t="n"/>
      <c r="N32" s="395" t="inlineStr">
        <is>
          <t>Done</t>
        </is>
      </c>
      <c r="O32" s="401" t="n"/>
      <c r="P32" s="395" t="n"/>
      <c r="Q32" s="395" t="inlineStr">
        <is>
          <t>SCMS.CTCK_DICH_VU
SCMS.DM_DICH_VU</t>
        </is>
      </c>
      <c r="R32" s="395" t="inlineStr">
        <is>
          <t>dv.NGAY_DANG_KY,
dv.ID,
dv.DM_DICH_VU_ID,
dv.IS_BANG_TAM,
dv.TRANG_THAI,
dv.NGAY_KET_THUC,
dd.ID,
dd.TEN_DICH_VU</t>
        </is>
      </c>
      <c r="S32" s="395" t="n"/>
      <c r="T32" s="386" t="inlineStr">
        <is>
          <t>-- Số lượng CTCK liên quan CK phái sinh theo dịch vụ tự doanh
SELECT
    nd.ngay,
    COUNT(dv.ID) AS so_ctck_dvps_tu_doanh
FROM (
    SELECT TRUNC(min_ngay) + LEVEL - 1 AS ngay
    FROM (
        SELECT MIN(dv.NGAY_DANG_KY) AS min_ngay
        FROM SCMS.CTCK_DICH_VU dv
        JOIN SCMS.DM_DICH_VU dd ON dd.ID = dv.DM_DICH_VU_ID
        WHERE dv.IS_BANG_TAM = 1
          AND dv.TRANG_THAI  = 1
          AND LOWER(dd.TEN_DICH_VU) LIKE '%phái sinh%'
          AND LOWER(dd.TEN_DICH_VU) LIKE '%tự doanh%'
    )
    CONNECT BY TRUNC(min_ngay) + LEVEL - 1 &lt;= TRUNC(SYSDATE)
) nd
LEFT JOIN SCMS.CTCK_DICH_VU dv
    JOIN SCMS.DM_DICH_VU dd ON dd.ID = dv.DM_DICH_VU_ID
    ON  dv.IS_BANG_TAM = 1
    AND dv.TRANG_THAI = 1
    AND LOWER(dd.TEN_DICH_VU) LIKE '%phái sinh%'
    AND LOWER(dd.TEN_DICH_VU) LIKE '%tự doanh%'
    AND TRUNC(dv.NGAY_DANG_KY) &lt;= nd.ngay        -- đã đăng ký tính đến ngày đó
    AND (
        dv.NGAY_KET_THUC IS NULL
        OR dv.NGAY_KET_THUC &gt; nd.ngay        -- còn hiệu lực tại ngày đó
    )
GROUP BY nd.ngay
ORDER BY nd.ngay;</t>
        </is>
      </c>
      <c r="U32" s="20" t="inlineStr">
        <is>
          <t>Bảng DM dịch vụ không khớp với danh sách dịch vụ này (đang so với data cũ)</t>
        </is>
      </c>
      <c r="V32" s="395" t="n"/>
      <c r="W32" s="395" t="n"/>
      <c r="X32" s="395" t="n"/>
      <c r="Y32" s="395" t="inlineStr">
        <is>
          <t>Done</t>
        </is>
      </c>
      <c r="Z32" s="395" t="n"/>
      <c r="AA32" s="395" t="n"/>
      <c r="AB32" s="395" t="n"/>
      <c r="AC32" s="395" t="n"/>
      <c r="AD32" s="395" t="n"/>
      <c r="AE32" s="395" t="n"/>
    </row>
    <row r="33" ht="70" customHeight="1" s="380">
      <c r="A33" s="73" t="n">
        <v>5</v>
      </c>
      <c r="B33" s="81" t="n"/>
      <c r="C33" s="81" t="inlineStr">
        <is>
          <t>Dashboard Tổng quan công ty chứng khoán toàn thị trường &gt;&gt; Biểu đồ Duy trì điều kiện cấp phép - Giấy phép hoạt động</t>
        </is>
      </c>
      <c r="D33" s="12" t="inlineStr">
        <is>
          <t>Chiều thời gian theo ngày</t>
        </is>
      </c>
      <c r="E33" s="12" t="inlineStr">
        <is>
          <t>Chiều thời gian theo ngày</t>
        </is>
      </c>
      <c r="F33" s="386" t="inlineStr">
        <is>
          <t>Dashboard</t>
        </is>
      </c>
      <c r="G33" s="386" t="inlineStr">
        <is>
          <t>Chiều</t>
        </is>
      </c>
      <c r="H33" s="386" t="inlineStr">
        <is>
          <t>Trùng</t>
        </is>
      </c>
      <c r="I33" s="386" t="n"/>
      <c r="J33" s="386" t="inlineStr">
        <is>
          <t>SCMS</t>
        </is>
      </c>
      <c r="K33" s="395" t="n"/>
      <c r="L33" s="395" t="inlineStr">
        <is>
          <t>X</t>
        </is>
      </c>
      <c r="M33" s="395" t="n"/>
      <c r="N33" s="395" t="inlineStr">
        <is>
          <t>Done</t>
        </is>
      </c>
      <c r="O33" s="401" t="n"/>
      <c r="P33" s="395" t="n"/>
      <c r="Q33" s="20" t="inlineStr">
        <is>
          <t>Ngày dữ liệu</t>
        </is>
      </c>
      <c r="R33" s="395" t="n"/>
      <c r="S33" s="395" t="n"/>
      <c r="T33" s="4" t="inlineStr">
        <is>
          <t>-- Chiều thời gian theo ngày
SELECT TRUNC(min_ngay) + LEVEL - 1 AS ngay
FROM (SELECT MIN(NGAY_SO_LIEU) AS min_ngay FROM SCMS.BC_THANH_VIEN)
CONNECT BY TRUNC(min_ngay) + LEVEL - 1 &lt;= TRUNC(SYSDATE)
ORDER BY ngay;</t>
        </is>
      </c>
      <c r="U33" s="386" t="n"/>
      <c r="V33" s="395" t="n"/>
      <c r="W33" s="395" t="n"/>
      <c r="X33" s="395" t="n"/>
      <c r="Y33" s="395" t="inlineStr">
        <is>
          <t>Done</t>
        </is>
      </c>
      <c r="Z33" s="395" t="n"/>
      <c r="AA33" s="395" t="n"/>
      <c r="AB33" s="395" t="n"/>
      <c r="AC33" s="395" t="n"/>
      <c r="AD33" s="395" t="n"/>
      <c r="AE33" s="395" t="n"/>
    </row>
    <row r="34" ht="62.25" customHeight="1" s="380">
      <c r="A34" s="73" t="n">
        <v>5</v>
      </c>
      <c r="B34" s="12" t="n"/>
      <c r="C34" s="12" t="inlineStr">
        <is>
          <t>Dashboard Tổng quan công ty chứng khoán toàn thị trường &gt;&gt; Biểu đồ Duy trì điều kiện cấp phép - Giấy phép hoạt động</t>
        </is>
      </c>
      <c r="D34" s="12" t="inlineStr">
        <is>
          <t>Các loại duy trì điều kiện cấp phép</t>
        </is>
      </c>
      <c r="E34" s="12" t="inlineStr">
        <is>
          <t>Đang duy trì tốt, Gần đến giới hạn duy trì, Không duy trì điều kiện cấp phép</t>
        </is>
      </c>
      <c r="F34" s="386" t="inlineStr">
        <is>
          <t>Dashboard</t>
        </is>
      </c>
      <c r="G34" s="386" t="inlineStr">
        <is>
          <t>Chiều</t>
        </is>
      </c>
      <c r="H34" s="386" t="inlineStr">
        <is>
          <t>Dễ</t>
        </is>
      </c>
      <c r="I34" s="386" t="n"/>
      <c r="J34" s="386" t="inlineStr">
        <is>
          <t>SCMS</t>
        </is>
      </c>
      <c r="K34" s="395" t="n"/>
      <c r="L34" s="395" t="inlineStr">
        <is>
          <t>X</t>
        </is>
      </c>
      <c r="M34" s="395" t="n"/>
      <c r="N34" s="395" t="inlineStr">
        <is>
          <t>Done</t>
        </is>
      </c>
      <c r="O34" s="401" t="n"/>
      <c r="P34" s="395" t="n"/>
      <c r="Q34" s="396" t="inlineStr">
        <is>
          <t>SCMS.DM_CANH_BAO
SCMS.BM_BAO_CAO</t>
        </is>
      </c>
      <c r="R34" s="395" t="inlineStr">
        <is>
          <t>dm.CAP_DO,
dm.BM_BAO_CAO_ID,
bm.ID,
bm.MA_BAO_CAO</t>
        </is>
      </c>
      <c r="S34" s="395" t="n"/>
      <c r="T34" s="386" t="inlineStr">
        <is>
          <t>-- Chiều: Các loại duy trì điều kiện cấp phép
SELECT DISTINCT
    CASE
        WHEN dm.CAP_DO = 1 THEN 'Đang duy trì tốt'
        WHEN dm.CAP_DO = 2 THEN 'Gần đến giới hạn duy trì'
        WHEN dm.CAP_DO = 3 THEN 'Không duy trì điều kiện cấp phép'
    END AS loai_duy_tri_dkcp
FROM SCMS.DM_CANH_BAO dm
JOIN SCMS.BM_BAO_CAO  bm ON bm.ID = dm.BM_BAO_CAO_ID
WHERE bm.MA_BAO_CAO = 'DUY_TRI_DKCP_GPKD'
  AND dm.CAP_DO IS NOT NULL
ORDER BY 1;</t>
        </is>
      </c>
      <c r="U34" s="386" t="n"/>
      <c r="V34" s="395" t="n"/>
      <c r="W34" s="395" t="n"/>
      <c r="X34" s="395" t="n"/>
      <c r="Y34" s="395" t="inlineStr">
        <is>
          <t>Done</t>
        </is>
      </c>
      <c r="Z34" s="395" t="n"/>
      <c r="AA34" s="395" t="n"/>
      <c r="AB34" s="395" t="n"/>
      <c r="AC34" s="395" t="n"/>
      <c r="AD34" s="395" t="n"/>
      <c r="AE34" s="395" t="n"/>
    </row>
    <row r="35" ht="75" customHeight="1" s="380">
      <c r="A35" s="73" t="n">
        <v>5</v>
      </c>
      <c r="B35" s="12" t="n"/>
      <c r="C35" s="12" t="inlineStr">
        <is>
          <t>Dashboard Tổng quan công ty chứng khoán toàn thị trường &gt;&gt; Biểu đồ Duy trì điều kiện cấp phép - Giấy phép hoạt động</t>
        </is>
      </c>
      <c r="D35" s="12" t="inlineStr">
        <is>
          <t>Số lượng CTCK đang duy trì tốt</t>
        </is>
      </c>
      <c r="E35" s="79" t="inlineStr">
        <is>
          <t>Số lượng CTCK đang duy trì tốt</t>
        </is>
      </c>
      <c r="F35" s="386" t="inlineStr">
        <is>
          <t>Dashboard</t>
        </is>
      </c>
      <c r="G35" s="386" t="inlineStr">
        <is>
          <t>Chỉ tiêu cơ sở</t>
        </is>
      </c>
      <c r="H35" s="386" t="inlineStr">
        <is>
          <t>TB</t>
        </is>
      </c>
      <c r="I35" s="386" t="inlineStr">
        <is>
          <t>Ngày, phân loại điều kiện duy trì</t>
        </is>
      </c>
      <c r="J35" s="386" t="inlineStr">
        <is>
          <t>SCMS</t>
        </is>
      </c>
      <c r="K35" s="395" t="inlineStr">
        <is>
          <t>X</t>
        </is>
      </c>
      <c r="L35" s="395" t="inlineStr">
        <is>
          <t>X</t>
        </is>
      </c>
      <c r="M35" s="395" t="n"/>
      <c r="N35" s="395" t="inlineStr">
        <is>
          <t>Done</t>
        </is>
      </c>
      <c r="O35" s="401" t="n"/>
      <c r="P35" s="395" t="n"/>
      <c r="Q35" s="393" t="inlineStr">
        <is>
          <t>SCMS.BC_CANH_BAO
SCMS.BC_THANH_VIEN
SCMS.DM_CANH_BAO
SCMS.BM_BAO_CAO</t>
        </is>
      </c>
      <c r="R35" s="393" t="inlineStr">
        <is>
          <t>bt.ID,
bt.NGAY_SO_LIEU,
bt.CTCK_THONG_TIN_ID,
bt.TRANG_THAI,
bt.XOA_DU_LIEU,
dm.ID,
dm.CAP_DO,
dm.BM_BAO_CAO_ID</t>
        </is>
      </c>
      <c r="T35" s="394" t="inlineStr">
        <is>
          <t>-- Biểu đồ Duy trì điều kiện cấp phép - Giấy phép hoạt động
  -- Số lượng CTCK đang duy trì tốt, Số lượng CTCK gần đến giới hạn duy trì, Số lượng CTCK không duy trì điều kiện cấp phép
WITH duy_tri_dk_cap_phep AS (
    SELECT
        bt.CTCK_THONG_TIN_ID,
        dm.CAP_DO,
        ROW_NUMBER() OVER (
            PARTITION BY bt.CTCK_THONG_TIN_ID
            ORDER BY bt.NGAY_SO_LIEU DESC
        ) AS rn
    FROM SCMS.BC_CANH_BAO      cb
    JOIN SCMS.BC_THANH_VIEN bt ON bt.ID = cb.BC_THANH_VIEN_ID
    JOIN SCMS.DM_CANH_BAO   dm ON dm.ID = cb.DM_CANH_BAO_ID
    JOIN SCMS.BM_BAO_CAO    bm ON bm.ID = dm.BM_BAO_CAO_ID
    WHERE bm.MA_BAO_CAO    = 'DUY_TRI_DKCP_GPKD'   -- Thay bằng mã báo cáo
      AND bt.TRANG_THAI   IN (4, 6)         -- 4 = Đã gửi; 6 = Đã gửi lại
      AND bt.XOA_DU_LIEU   = 0
)
SELECT
    TRUNC(SYSDATE) AS ngay,
    COUNT(CASE WHEN CAP_DO = 1 THEN 1 END) AS so_ctck_duy_tri_tot,
    COUNT(CASE WHEN CAP_DO = 2 THEN 1 END) AS so_ctck_gan_den_gioi_han,
    COUNT(CASE WHEN CAP_DO = 3 THEN 1 END) AS so_ctck_khong_duy_tri
FROM duy_tri_dk_cap_phep
WHERE rn = 1;</t>
        </is>
      </c>
      <c r="U35" s="20" t="inlineStr">
        <is>
          <t>Hỏi bên phân hệ xem lưu ở bảng nào, cột nào, dòng nào?</t>
        </is>
      </c>
      <c r="V35" s="395" t="n"/>
      <c r="W35" s="395" t="n"/>
      <c r="X35" s="395" t="n"/>
      <c r="Y35" s="395" t="inlineStr">
        <is>
          <t>Done</t>
        </is>
      </c>
      <c r="Z35" s="395" t="n"/>
      <c r="AA35" s="395" t="n"/>
      <c r="AB35" s="395" t="n"/>
      <c r="AC35" s="395" t="n"/>
      <c r="AD35" s="395" t="n"/>
      <c r="AE35" s="395" t="n"/>
    </row>
    <row r="36" ht="75" customHeight="1" s="380">
      <c r="A36" s="73" t="n">
        <v>5</v>
      </c>
      <c r="B36" s="12" t="n"/>
      <c r="C36" s="12" t="inlineStr">
        <is>
          <t>Dashboard Tổng quan công ty chứng khoán toàn thị trường &gt;&gt; Biểu đồ Duy trì điều kiện cấp phép - Giấy phép hoạt động</t>
        </is>
      </c>
      <c r="D36" s="12" t="inlineStr">
        <is>
          <t>Số lượng CTCK gần đến giới hạn duy trì</t>
        </is>
      </c>
      <c r="E36" s="79" t="inlineStr">
        <is>
          <t>Số lượng CTCK gần đến giới hạn duy trì</t>
        </is>
      </c>
      <c r="F36" s="386" t="inlineStr">
        <is>
          <t>Dashboard</t>
        </is>
      </c>
      <c r="G36" s="386" t="inlineStr">
        <is>
          <t>Chỉ tiêu cơ sở</t>
        </is>
      </c>
      <c r="H36" s="386" t="inlineStr">
        <is>
          <t>TB</t>
        </is>
      </c>
      <c r="I36" s="386" t="inlineStr">
        <is>
          <t>Ngày, phân loại điều kiện duy trì</t>
        </is>
      </c>
      <c r="J36" s="386" t="inlineStr">
        <is>
          <t>SCMS</t>
        </is>
      </c>
      <c r="K36" s="395" t="inlineStr">
        <is>
          <t>X</t>
        </is>
      </c>
      <c r="L36" s="395" t="inlineStr">
        <is>
          <t>X</t>
        </is>
      </c>
      <c r="M36" s="395" t="n"/>
      <c r="N36" s="395" t="inlineStr">
        <is>
          <t>Done</t>
        </is>
      </c>
      <c r="O36" s="401" t="n"/>
      <c r="P36" s="395" t="n"/>
      <c r="U36" s="20" t="inlineStr">
        <is>
          <t>Hỏi bên phân hệ xem lưu ở bảng nào, cột nào, dòng nào?</t>
        </is>
      </c>
      <c r="V36" s="395" t="n"/>
      <c r="W36" s="395" t="n"/>
      <c r="X36" s="395" t="n"/>
      <c r="Y36" s="395" t="inlineStr">
        <is>
          <t>Done</t>
        </is>
      </c>
      <c r="Z36" s="395" t="n"/>
      <c r="AA36" s="395" t="n"/>
      <c r="AB36" s="395" t="n"/>
      <c r="AC36" s="395" t="n"/>
      <c r="AD36" s="395" t="n"/>
      <c r="AE36" s="395" t="n"/>
    </row>
    <row r="37" ht="73.5" customHeight="1" s="380">
      <c r="A37" s="73" t="n">
        <v>5</v>
      </c>
      <c r="B37" s="12" t="n"/>
      <c r="C37" s="12" t="inlineStr">
        <is>
          <t>Dashboard Tổng quan công ty chứng khoán toàn thị trường &gt;&gt; Biểu đồ Duy trì điều kiện cấp phép - Giấy phép hoạt động</t>
        </is>
      </c>
      <c r="D37" s="12" t="inlineStr">
        <is>
          <t>Số lượng CTCK không duy trì điều kiện cấp phép</t>
        </is>
      </c>
      <c r="E37" s="79" t="inlineStr">
        <is>
          <t>Số lượng CTCK không duy trì điều kiện cấp phép</t>
        </is>
      </c>
      <c r="F37" s="386" t="inlineStr">
        <is>
          <t>Dashboard</t>
        </is>
      </c>
      <c r="G37" s="386" t="inlineStr">
        <is>
          <t>Chỉ tiêu cơ sở</t>
        </is>
      </c>
      <c r="H37" s="386" t="inlineStr">
        <is>
          <t>TB</t>
        </is>
      </c>
      <c r="I37" s="386" t="inlineStr">
        <is>
          <t>Ngày, phân loại điều kiện duy trì</t>
        </is>
      </c>
      <c r="J37" s="386" t="inlineStr">
        <is>
          <t>SCMS</t>
        </is>
      </c>
      <c r="K37" s="395" t="inlineStr">
        <is>
          <t>X</t>
        </is>
      </c>
      <c r="L37" s="395" t="inlineStr">
        <is>
          <t>X</t>
        </is>
      </c>
      <c r="M37" s="395" t="n"/>
      <c r="N37" s="395" t="inlineStr">
        <is>
          <t>Done</t>
        </is>
      </c>
      <c r="O37" s="401" t="n"/>
      <c r="P37" s="395" t="n"/>
      <c r="U37" s="20" t="inlineStr">
        <is>
          <t>Hỏi bên phân hệ xem lưu ở bảng nào, cột nào, dòng nào?</t>
        </is>
      </c>
      <c r="V37" s="395" t="n"/>
      <c r="W37" s="395" t="n"/>
      <c r="X37" s="395" t="n"/>
      <c r="Y37" s="395" t="inlineStr">
        <is>
          <t>Done</t>
        </is>
      </c>
      <c r="Z37" s="395" t="n"/>
      <c r="AA37" s="395" t="n"/>
      <c r="AB37" s="395" t="n"/>
      <c r="AC37" s="395" t="n"/>
      <c r="AD37" s="395" t="n"/>
      <c r="AE37" s="395" t="n"/>
    </row>
    <row r="38" ht="98" customHeight="1" s="380">
      <c r="A38" s="73" t="n">
        <v>6</v>
      </c>
      <c r="B38" s="81" t="n"/>
      <c r="C38" s="81" t="inlineStr">
        <is>
          <t xml:space="preserve">Dashboard Tổng quan công ty chứng khoán toàn thị trường &gt;&gt; Biểu đồ Duy trì điều kiện cấp phép – Phái sinh: dịch vụ là kinh doanh chứng khoán phái sinh </t>
        </is>
      </c>
      <c r="D38" s="12" t="inlineStr">
        <is>
          <t>Chiều thời gian theo ngày</t>
        </is>
      </c>
      <c r="E38" s="12" t="inlineStr">
        <is>
          <t>Chiều thời gian theo ngày</t>
        </is>
      </c>
      <c r="F38" s="386" t="inlineStr">
        <is>
          <t>Dashboard</t>
        </is>
      </c>
      <c r="G38" s="386" t="inlineStr">
        <is>
          <t>Chiều</t>
        </is>
      </c>
      <c r="H38" s="386" t="inlineStr">
        <is>
          <t>Trùng</t>
        </is>
      </c>
      <c r="I38" s="386" t="n"/>
      <c r="J38" s="386" t="inlineStr">
        <is>
          <t>SCMS</t>
        </is>
      </c>
      <c r="K38" s="395" t="n"/>
      <c r="L38" s="395" t="inlineStr">
        <is>
          <t>X</t>
        </is>
      </c>
      <c r="M38" s="395" t="n"/>
      <c r="N38" s="395" t="inlineStr">
        <is>
          <t>Done</t>
        </is>
      </c>
      <c r="O38" s="401" t="n"/>
      <c r="P38" s="395" t="n"/>
      <c r="Q38" s="20" t="inlineStr">
        <is>
          <t>Ngày dữ liệu</t>
        </is>
      </c>
      <c r="R38" s="395" t="n"/>
      <c r="S38" s="395" t="n"/>
      <c r="T38" s="393" t="inlineStr">
        <is>
          <t>-- Chiều thời gian theo ngày
SELECT TRUNC(min_ngay) + LEVEL - 1 AS ngay
FROM (SELECT MIN(NGAY_SO_LIEU) AS min_ngay FROM SCMS.BC_THANH_VIEN)
CONNECT BY TRUNC(min_ngay) + LEVEL - 1 &lt;= TRUNC(SYSDATE)
ORDER BY ngay;</t>
        </is>
      </c>
      <c r="U38" s="386" t="n"/>
      <c r="V38" s="395" t="n"/>
      <c r="W38" s="395" t="n"/>
      <c r="X38" s="395" t="n"/>
      <c r="Y38" s="395" t="inlineStr">
        <is>
          <t>Done</t>
        </is>
      </c>
      <c r="Z38" s="395" t="n"/>
      <c r="AA38" s="395" t="n"/>
      <c r="AB38" s="395" t="n"/>
      <c r="AC38" s="395" t="n"/>
      <c r="AD38" s="395" t="n"/>
      <c r="AE38" s="395" t="n"/>
    </row>
    <row r="39" ht="98" customHeight="1" s="380">
      <c r="A39" s="73" t="n">
        <v>6</v>
      </c>
      <c r="B39" s="386" t="n"/>
      <c r="C39" s="386" t="inlineStr">
        <is>
          <t xml:space="preserve">Dashboard Tổng quan công ty chứng khoán toàn thị trường &gt;&gt; Biểu đồ Duy trì điều kiện cấp phép – Phái sinh: dịch vụ là kinh doanh chứng khoán phái sinh </t>
        </is>
      </c>
      <c r="D39" s="12" t="inlineStr">
        <is>
          <t>Số lượng công ty đang duy trì tốt</t>
        </is>
      </c>
      <c r="E39" s="79" t="inlineStr">
        <is>
          <t>Số lượng CTCK phái sinh, dịch vụ là kinh doanh CKPS đang duy trì tốt</t>
        </is>
      </c>
      <c r="F39" s="386" t="inlineStr">
        <is>
          <t>Dashboard</t>
        </is>
      </c>
      <c r="G39" s="386" t="inlineStr">
        <is>
          <t>Chỉ tiêu cơ sở</t>
        </is>
      </c>
      <c r="H39" s="386" t="inlineStr">
        <is>
          <t>TB</t>
        </is>
      </c>
      <c r="I39" s="386" t="inlineStr">
        <is>
          <t>Ngày, phân loại điều kiện duy trì</t>
        </is>
      </c>
      <c r="J39" s="386" t="inlineStr">
        <is>
          <t>SCMS</t>
        </is>
      </c>
      <c r="K39" s="395" t="inlineStr">
        <is>
          <t>X</t>
        </is>
      </c>
      <c r="L39" s="395" t="inlineStr">
        <is>
          <t>X</t>
        </is>
      </c>
      <c r="M39" s="395" t="n"/>
      <c r="N39" s="395" t="inlineStr">
        <is>
          <t>Done</t>
        </is>
      </c>
      <c r="O39" s="401" t="n"/>
      <c r="P39" s="395" t="n"/>
      <c r="Q39" s="393" t="inlineStr">
        <is>
          <t>SCMS.BC_CANH_BAO
SCMS.BC_THANH_VIEN
SCMS.DM_CANH_BAO
SCMS.BM_BAO_CAO</t>
        </is>
      </c>
      <c r="R39" s="393" t="inlineStr">
        <is>
          <t>bt.ID,
bt.NGAY_SO_LIEU,
bt.CTCK_THONG_TIN_ID,
bt.TRANG_THAI,
bt.XOA_DU_LIEU,
dm.ID,
dm.CAP_DO,
dm.BM_BAO_CAO_ID</t>
        </is>
      </c>
      <c r="T39" s="394" t="inlineStr">
        <is>
          <t>-- Biểu đồ Duy trì điều kiện cấp phép – Phái sinh: dịch vụ là kinh doanh chứng khoán phái sinh
  -- Số lượng CTCK phái sinh, dịch vụ là kinh doanh CKPS đang duy trì tốt
  -- Số lượng CTCK phái sinh, dịch vụ là kinh doanh CKPS gần đến giới hạn duy trì
  -- Số lượng CTCK phái sinh, dịch vụ là kinh doanh CKPS không duy trì điều kiện cấp phép
WITH duy_tri_dk_cap_phep_ckps AS (
    SELECT
        bt.CTCK_THONG_TIN_ID,
        dm.CAP_DO,
        ROW_NUMBER() OVER (
            PARTITION BY bt.CTCK_THONG_TIN_ID
            ORDER BY bt.NGAY_SO_LIEU DESC
        ) AS rn
    FROM SCMS.BC_CANH_BAO      cb
    JOIN SCMS.BC_THANH_VIEN bt ON bt.ID = cb.BC_THANH_VIEN_ID
    JOIN SCMS.DM_CANH_BAO   dm ON dm.ID = cb.DM_CANH_BAO_ID
    JOIN SCMS.BM_BAO_CAO    bm ON bm.ID = dm.BM_BAO_CAO_ID
    WHERE bm.MA_BAO_CAO    = 'DUY_TRI_DKCP_CKPS_KD'   -- Thay bằng mã báo cáo
      AND bt.TRANG_THAI   IN (4, 6)         -- 4 = Đã gửi; 6 = Đã gửi lại
      AND bt.XOA_DU_LIEU   = 0
)
SELECT
    TRUNC(SYSDATE) AS ngay,
    COUNT(CASE WHEN CAP_DO = 1 THEN 1 END) AS so_ctck_ckps_kd_duy_tri_tot,
    COUNT(CASE WHEN CAP_DO = 2 THEN 1 END) AS so_ctck_ckps_kd_gan_den_gioi_han,
    COUNT(CASE WHEN CAP_DO = 3 THEN 1 END) AS so_ctck_ckps_kd_khong_duy_tri
FROM duy_tri_dk_cap_phep_ckps
WHERE rn = 1;</t>
        </is>
      </c>
      <c r="U39" s="20" t="inlineStr">
        <is>
          <t>Hỏi bên phân hệ xem lưu ở bảng nào, cột nào, dòng nào?</t>
        </is>
      </c>
      <c r="V39" s="395" t="n"/>
      <c r="W39" s="395" t="n"/>
      <c r="X39" s="395" t="n"/>
      <c r="Y39" s="395" t="inlineStr">
        <is>
          <t>Done</t>
        </is>
      </c>
      <c r="Z39" s="395" t="n"/>
      <c r="AA39" s="395" t="n"/>
      <c r="AB39" s="395" t="n"/>
      <c r="AC39" s="395" t="n"/>
      <c r="AD39" s="395" t="n"/>
      <c r="AE39" s="395" t="n"/>
    </row>
    <row r="40" ht="98" customHeight="1" s="380">
      <c r="A40" s="73" t="n">
        <v>6</v>
      </c>
      <c r="B40" s="386" t="n"/>
      <c r="C40" s="386" t="inlineStr">
        <is>
          <t xml:space="preserve">Dashboard Tổng quan công ty chứng khoán toàn thị trường &gt;&gt; Biểu đồ Duy trì điều kiện cấp phép – Phái sinh: dịch vụ là kinh doanh chứng khoán phái sinh </t>
        </is>
      </c>
      <c r="D40" s="12" t="inlineStr">
        <is>
          <t>Số lượng công ty gần đến giới hạn duy trì</t>
        </is>
      </c>
      <c r="E40" s="79" t="inlineStr">
        <is>
          <t>Số lượng CTCK phái sinh, dịch vụ là kinh doanh CKPS gần đến giới hạn duy trì</t>
        </is>
      </c>
      <c r="F40" s="386" t="inlineStr">
        <is>
          <t>Dashboard</t>
        </is>
      </c>
      <c r="G40" s="386" t="inlineStr">
        <is>
          <t>Chỉ tiêu cơ sở</t>
        </is>
      </c>
      <c r="H40" s="386" t="inlineStr">
        <is>
          <t>TB</t>
        </is>
      </c>
      <c r="I40" s="386" t="inlineStr">
        <is>
          <t>Ngày, phân loại điều kiện duy trì</t>
        </is>
      </c>
      <c r="J40" s="386" t="inlineStr">
        <is>
          <t>SCMS</t>
        </is>
      </c>
      <c r="K40" s="395" t="inlineStr">
        <is>
          <t>X</t>
        </is>
      </c>
      <c r="L40" s="395" t="inlineStr">
        <is>
          <t>X</t>
        </is>
      </c>
      <c r="M40" s="395" t="n"/>
      <c r="N40" s="395" t="inlineStr">
        <is>
          <t>Done</t>
        </is>
      </c>
      <c r="O40" s="401" t="n"/>
      <c r="P40" s="395" t="n"/>
      <c r="U40" s="20" t="inlineStr">
        <is>
          <t>Hỏi bên phân hệ xem lưu ở bảng nào, cột nào, dòng nào?</t>
        </is>
      </c>
      <c r="V40" s="395" t="n"/>
      <c r="W40" s="395" t="n"/>
      <c r="X40" s="395" t="n"/>
      <c r="Y40" s="395" t="inlineStr">
        <is>
          <t>Done</t>
        </is>
      </c>
      <c r="Z40" s="395" t="n"/>
      <c r="AA40" s="395" t="n"/>
      <c r="AB40" s="395" t="n"/>
      <c r="AC40" s="395" t="n"/>
      <c r="AD40" s="395" t="n"/>
      <c r="AE40" s="395" t="n"/>
    </row>
    <row r="41" ht="98" customHeight="1" s="380">
      <c r="A41" s="73" t="n">
        <v>6</v>
      </c>
      <c r="B41" s="386" t="n"/>
      <c r="C41" s="386" t="inlineStr">
        <is>
          <t xml:space="preserve">Dashboard Tổng quan công ty chứng khoán toàn thị trường &gt;&gt; Biểu đồ Duy trì điều kiện cấp phép – Phái sinh: dịch vụ là kinh doanh chứng khoán phái sinh </t>
        </is>
      </c>
      <c r="D41" s="12" t="inlineStr">
        <is>
          <t>Số lượng công ty không duy trì điều kiện cấp phép</t>
        </is>
      </c>
      <c r="E41" s="79" t="inlineStr">
        <is>
          <t>Số lượng CTCK phái sinh, dịch vụ là kinh doanh CKPS không duy trì điều kiện cấp phép</t>
        </is>
      </c>
      <c r="F41" s="386" t="inlineStr">
        <is>
          <t>Dashboard</t>
        </is>
      </c>
      <c r="G41" s="386" t="inlineStr">
        <is>
          <t>Chỉ tiêu cơ sở</t>
        </is>
      </c>
      <c r="H41" s="386" t="inlineStr">
        <is>
          <t>TB</t>
        </is>
      </c>
      <c r="I41" s="386" t="inlineStr">
        <is>
          <t>Ngày, phân loại điều kiện duy trì</t>
        </is>
      </c>
      <c r="J41" s="386" t="inlineStr">
        <is>
          <t>SCMS</t>
        </is>
      </c>
      <c r="K41" s="395" t="inlineStr">
        <is>
          <t>X</t>
        </is>
      </c>
      <c r="L41" s="395" t="inlineStr">
        <is>
          <t>X</t>
        </is>
      </c>
      <c r="M41" s="395" t="n"/>
      <c r="N41" s="395" t="inlineStr">
        <is>
          <t>Done</t>
        </is>
      </c>
      <c r="O41" s="401" t="n"/>
      <c r="P41" s="395" t="n"/>
      <c r="U41" s="20" t="inlineStr">
        <is>
          <t>Hỏi bên phân hệ xem lưu ở bảng nào, cột nào, dòng nào?</t>
        </is>
      </c>
      <c r="V41" s="395" t="n"/>
      <c r="W41" s="395" t="n"/>
      <c r="X41" s="395" t="n"/>
      <c r="Y41" s="395" t="inlineStr">
        <is>
          <t>Done</t>
        </is>
      </c>
      <c r="Z41" s="395" t="n"/>
      <c r="AA41" s="395" t="n"/>
      <c r="AB41" s="395" t="n"/>
      <c r="AC41" s="395" t="n"/>
      <c r="AD41" s="395" t="n"/>
      <c r="AE41" s="395" t="n"/>
    </row>
    <row r="42" ht="98" customHeight="1" s="380">
      <c r="A42" s="73" t="n">
        <v>7</v>
      </c>
      <c r="B42" s="81" t="n"/>
      <c r="C42" s="81" t="inlineStr">
        <is>
          <t>Dashboard Tổng quan công ty chứng khoán toàn thị trường &gt;&gt; Biểu đồ Duy trì điều kiện cấp phép – Phái sinh: dịch vụ là bù trừ, thanh toán giao dịch chứng khoán phái sinh</t>
        </is>
      </c>
      <c r="D42" s="12" t="inlineStr">
        <is>
          <t>Chiều thời gian theo ngày</t>
        </is>
      </c>
      <c r="E42" s="12" t="inlineStr">
        <is>
          <t>Chiều thời gian theo ngày</t>
        </is>
      </c>
      <c r="F42" s="386" t="inlineStr">
        <is>
          <t>Dashboard</t>
        </is>
      </c>
      <c r="G42" s="386" t="inlineStr">
        <is>
          <t>Chiều</t>
        </is>
      </c>
      <c r="H42" s="386" t="inlineStr">
        <is>
          <t>Trùng</t>
        </is>
      </c>
      <c r="I42" s="386" t="n"/>
      <c r="J42" s="386" t="inlineStr">
        <is>
          <t>SCMS</t>
        </is>
      </c>
      <c r="K42" s="395" t="n"/>
      <c r="L42" s="395" t="inlineStr">
        <is>
          <t>X</t>
        </is>
      </c>
      <c r="M42" s="395" t="n"/>
      <c r="N42" s="395" t="inlineStr">
        <is>
          <t>Done</t>
        </is>
      </c>
      <c r="O42" s="401" t="n"/>
      <c r="P42" s="395" t="n"/>
      <c r="Q42" s="20" t="inlineStr">
        <is>
          <t>Ngày dữ liệu</t>
        </is>
      </c>
      <c r="R42" s="395" t="n"/>
      <c r="S42" s="395" t="n"/>
      <c r="T42" s="393" t="inlineStr">
        <is>
          <t>-- Chiều thời gian theo ngày
SELECT TRUNC(min_ngay) + LEVEL - 1 AS ngay
FROM (SELECT MIN(NGAY_SO_LIEU) AS min_ngay FROM SCMS.BC_THANH_VIEN)
CONNECT BY TRUNC(min_ngay) + LEVEL - 1 &lt;= TRUNC(SYSDATE)
ORDER BY ngay;</t>
        </is>
      </c>
      <c r="U42" s="386" t="n"/>
      <c r="V42" s="395" t="n"/>
      <c r="W42" s="395" t="n"/>
      <c r="X42" s="395" t="n"/>
      <c r="Y42" s="395" t="inlineStr">
        <is>
          <t>Done</t>
        </is>
      </c>
      <c r="Z42" s="395" t="n"/>
      <c r="AA42" s="395" t="n"/>
      <c r="AB42" s="395" t="n"/>
      <c r="AC42" s="395" t="n"/>
      <c r="AD42" s="395" t="n"/>
      <c r="AE42" s="395" t="n"/>
    </row>
    <row r="43" ht="98" customHeight="1" s="380">
      <c r="A43" s="73" t="n">
        <v>7</v>
      </c>
      <c r="B43" s="386" t="n"/>
      <c r="C43" s="386" t="inlineStr">
        <is>
          <t>Dashboard Tổng quan công ty chứng khoán toàn thị trường &gt;&gt; Biểu đồ Duy trì điều kiện cấp phép – Phái sinh: dịch vụ là bù trừ, thanh toán giao dịch chứng khoán phái sinh</t>
        </is>
      </c>
      <c r="D43" s="12" t="inlineStr">
        <is>
          <t>Số lượng công ty đang duy trì tốt</t>
        </is>
      </c>
      <c r="E43" s="79" t="inlineStr">
        <is>
          <t>Số lượng CTCK phái sinh, dịch vụ là bù trừ, thanh toán giao dịch CKPS đang duy trì tốt</t>
        </is>
      </c>
      <c r="F43" s="386" t="inlineStr">
        <is>
          <t>Dashboard</t>
        </is>
      </c>
      <c r="G43" s="386" t="inlineStr">
        <is>
          <t>Chỉ tiêu cơ sở</t>
        </is>
      </c>
      <c r="H43" s="386" t="inlineStr">
        <is>
          <t>TB</t>
        </is>
      </c>
      <c r="I43" s="386" t="inlineStr">
        <is>
          <t>Ngày, phân loại điều kiện duy trì</t>
        </is>
      </c>
      <c r="J43" s="386" t="inlineStr">
        <is>
          <t>SCMS</t>
        </is>
      </c>
      <c r="K43" s="395" t="inlineStr">
        <is>
          <t>X</t>
        </is>
      </c>
      <c r="L43" s="395" t="inlineStr">
        <is>
          <t>X</t>
        </is>
      </c>
      <c r="M43" s="395" t="n"/>
      <c r="N43" s="395" t="inlineStr">
        <is>
          <t>Done</t>
        </is>
      </c>
      <c r="O43" s="401" t="n"/>
      <c r="P43" s="395" t="n"/>
      <c r="Q43" s="393" t="inlineStr">
        <is>
          <t>SCMS.BC_CANH_BAO
SCMS.BC_THANH_VIEN
SCMS.DM_CANH_BAO
SCMS.BM_BAO_CAO</t>
        </is>
      </c>
      <c r="R43" s="393" t="inlineStr">
        <is>
          <t>bt.ID,
bt.NGAY_SO_LIEU,
bt.CTCK_THONG_TIN_ID,
bt.TRANG_THAI,
bt.XOA_DU_LIEU,
dm.ID,
dm.CAP_DO,
dm.BM_BAO_CAO_ID</t>
        </is>
      </c>
      <c r="T43" s="396" t="inlineStr">
        <is>
          <t>-- Biểu đồ Duy trì điều kiện cấp phép – Phái sinh: dịch vụ là bù trừ, thanh toán giao dịch chứng khoán phái sinh
  -- Số lượng CTCK phái sinh, dịch vụ là bù trừ, thanh toán giao dịch CKPS đang duy trì tốt
  -- Số lượng CTCK phái sinh, dịch vụ là bù trừ, thanh toán giao dịch CKPS gần đến giới hạn duy trì
  -- Số lượng CTCK phái sinh, dịch vụ là bù trừ, thanh toán giao dịch CKPS không duy trì điều kiện cấp phép
WITH duy_tri_dkcp_ctckps_bu_tru AS (
    SELECT
        bt.CTCK_THONG_TIN_ID,
        dm.CAP_DO,
        ROW_NUMBER() OVER (
            PARTITION BY bt.CTCK_THONG_TIN_ID
            ORDER BY bt.NGAY_SO_LIEU DESC
        ) AS rn
    FROM SCMS.BC_CANH_BAO      cb
    JOIN SCMS.BC_THANH_VIEN bt ON bt.ID = cb.BC_THANH_VIEN_ID
    JOIN SCMS.DM_CANH_BAO   dm ON dm.ID = cb.DM_CANH_BAO_ID
    JOIN SCMS.BM_BAO_CAO    bm ON bm.ID = dm.BM_BAO_CAO_ID
    WHERE bm.MA_BAO_CAO    = 'DUY_TRI_DKCP_CKPS_BU_TRU'   -- Thay bằng mã báo cáo
      AND bt.TRANG_THAI   IN (4, 6)         -- 4 = Đã gửi; 6 = Đã gửi lại
      AND bt.XOA_DU_LIEU   = 0
)
SELECT
    TRUNC(SYSDATE) AS ngay,
    COUNT(CASE WHEN CAP_DO = 1 THEN 1 END) AS so_ctckps_dich_vu_bu_tru_duy_tri_tot,
    COUNT(CASE WHEN CAP_DO = 2 THEN 1 END) AS so_ctckps_dich_vu_bu_tru_gan_den_gioi_han,
    COUNT(CASE WHEN CAP_DO = 3 THEN 1 END) AS so_ctckps_dich_vu_bu_tru_khong_duy_tri
FROM duy_tri_dkcp_ctckps_bu_tru
WHERE rn = 1;</t>
        </is>
      </c>
      <c r="U43" s="20" t="inlineStr">
        <is>
          <t>Hỏi bên phân hệ xem lưu ở bảng nào, cột nào, dòng nào?</t>
        </is>
      </c>
      <c r="V43" s="395" t="n"/>
      <c r="W43" s="395" t="n"/>
      <c r="X43" s="395" t="n"/>
      <c r="Y43" s="395" t="inlineStr">
        <is>
          <t>Done</t>
        </is>
      </c>
      <c r="Z43" s="395" t="n"/>
      <c r="AA43" s="395" t="n"/>
      <c r="AB43" s="395" t="n"/>
      <c r="AC43" s="395" t="n"/>
      <c r="AD43" s="395" t="n"/>
      <c r="AE43" s="395" t="n"/>
    </row>
    <row r="44" ht="98" customHeight="1" s="380">
      <c r="A44" s="73" t="n">
        <v>7</v>
      </c>
      <c r="B44" s="386" t="n"/>
      <c r="C44" s="386" t="inlineStr">
        <is>
          <t>Dashboard Tổng quan công ty chứng khoán toàn thị trường &gt;&gt; Biểu đồ Duy trì điều kiện cấp phép – Phái sinh: dịch vụ là bù trừ, thanh toán giao dịch chứng khoán phái sinh</t>
        </is>
      </c>
      <c r="D44" s="12" t="inlineStr">
        <is>
          <t>Số lượng công ty gần đến giới hạn duy trì</t>
        </is>
      </c>
      <c r="E44" s="79" t="inlineStr">
        <is>
          <t>Số lượng CTCK phái sinh, dịch vụ là bù trừ, thanh toán giao dịch CKPS gần đến giới hạn duy trì</t>
        </is>
      </c>
      <c r="F44" s="386" t="inlineStr">
        <is>
          <t>Dashboard</t>
        </is>
      </c>
      <c r="G44" s="386" t="inlineStr">
        <is>
          <t>Chỉ tiêu cơ sở</t>
        </is>
      </c>
      <c r="H44" s="386" t="inlineStr">
        <is>
          <t>TB</t>
        </is>
      </c>
      <c r="I44" s="386" t="inlineStr">
        <is>
          <t>Ngày, phân loại điều kiện duy trì</t>
        </is>
      </c>
      <c r="J44" s="386" t="inlineStr">
        <is>
          <t>SCMS</t>
        </is>
      </c>
      <c r="K44" s="395" t="inlineStr">
        <is>
          <t>X</t>
        </is>
      </c>
      <c r="L44" s="395" t="inlineStr">
        <is>
          <t>X</t>
        </is>
      </c>
      <c r="M44" s="395" t="n"/>
      <c r="N44" s="395" t="inlineStr">
        <is>
          <t>Done</t>
        </is>
      </c>
      <c r="O44" s="401" t="n"/>
      <c r="P44" s="395" t="n"/>
      <c r="U44" s="20" t="inlineStr">
        <is>
          <t>Hỏi bên phân hệ xem lưu ở bảng nào, cột nào, dòng nào?</t>
        </is>
      </c>
      <c r="V44" s="395" t="n"/>
      <c r="W44" s="395" t="n"/>
      <c r="X44" s="395" t="n"/>
      <c r="Y44" s="395" t="inlineStr">
        <is>
          <t>Done</t>
        </is>
      </c>
      <c r="Z44" s="395" t="n"/>
      <c r="AA44" s="395" t="n"/>
      <c r="AB44" s="395" t="n"/>
      <c r="AC44" s="395" t="n"/>
      <c r="AD44" s="395" t="n"/>
      <c r="AE44" s="395" t="n"/>
    </row>
    <row r="45" ht="98" customHeight="1" s="380">
      <c r="A45" s="73" t="n">
        <v>7</v>
      </c>
      <c r="B45" s="386" t="n"/>
      <c r="C45" s="386" t="inlineStr">
        <is>
          <t>Dashboard Tổng quan công ty chứng khoán toàn thị trường &gt;&gt; Biểu đồ Duy trì điều kiện cấp phép – Phái sinh: dịch vụ là bù trừ, thanh toán giao dịch chứng khoán phái sinh</t>
        </is>
      </c>
      <c r="D45" s="12" t="inlineStr">
        <is>
          <t>Số lượng công ty không duy trì điều kiện cấp phép</t>
        </is>
      </c>
      <c r="E45" s="79" t="inlineStr">
        <is>
          <t>Số lượng CTCK phái sinh, dịch vụ là bù trừ, thanh toán giao dịch CKPS không duy trì điều kiện cấp phép</t>
        </is>
      </c>
      <c r="F45" s="386" t="inlineStr">
        <is>
          <t>Dashboard</t>
        </is>
      </c>
      <c r="G45" s="386" t="inlineStr">
        <is>
          <t>Chỉ tiêu cơ sở</t>
        </is>
      </c>
      <c r="H45" s="386" t="inlineStr">
        <is>
          <t>TB</t>
        </is>
      </c>
      <c r="I45" s="386" t="inlineStr">
        <is>
          <t>Ngày, phân loại điều kiện duy trì</t>
        </is>
      </c>
      <c r="J45" s="386" t="inlineStr">
        <is>
          <t>SCMS</t>
        </is>
      </c>
      <c r="K45" s="395" t="inlineStr">
        <is>
          <t>X</t>
        </is>
      </c>
      <c r="L45" s="395" t="inlineStr">
        <is>
          <t>X</t>
        </is>
      </c>
      <c r="M45" s="395" t="n"/>
      <c r="N45" s="395" t="inlineStr">
        <is>
          <t>Done</t>
        </is>
      </c>
      <c r="O45" s="401" t="n"/>
      <c r="P45" s="395" t="n"/>
      <c r="U45" s="20" t="inlineStr">
        <is>
          <t>Hỏi bên phân hệ xem lưu ở bảng nào, cột nào, dòng nào?</t>
        </is>
      </c>
      <c r="V45" s="395" t="n"/>
      <c r="W45" s="395" t="n"/>
      <c r="X45" s="395" t="n"/>
      <c r="Y45" s="395" t="inlineStr">
        <is>
          <t>Done</t>
        </is>
      </c>
      <c r="Z45" s="395" t="n"/>
      <c r="AA45" s="395" t="n"/>
      <c r="AB45" s="395" t="n"/>
      <c r="AC45" s="395" t="n"/>
      <c r="AD45" s="395" t="n"/>
      <c r="AE45" s="395" t="n"/>
    </row>
    <row r="46" ht="49.5" customHeight="1" s="380">
      <c r="A46" s="73" t="n">
        <v>8</v>
      </c>
      <c r="B46" s="81" t="n"/>
      <c r="C46" s="81" t="inlineStr">
        <is>
          <t>Dashboard Tổng quan công ty chứng khoán toàn thị trường &gt;&gt; Biểu đồ cơ cấu tài sản</t>
        </is>
      </c>
      <c r="D46" s="12" t="inlineStr">
        <is>
          <t>Chiều thời gian theo quý</t>
        </is>
      </c>
      <c r="E46" s="12" t="inlineStr">
        <is>
          <t>Chiều thời gian theo quý</t>
        </is>
      </c>
      <c r="F46" s="386" t="inlineStr">
        <is>
          <t>Dashboard</t>
        </is>
      </c>
      <c r="G46" s="386" t="inlineStr">
        <is>
          <t>Chiều</t>
        </is>
      </c>
      <c r="H46" s="386" t="inlineStr">
        <is>
          <t>Trùng</t>
        </is>
      </c>
      <c r="I46" s="386" t="n"/>
      <c r="J46" s="386" t="inlineStr">
        <is>
          <t>SCMS</t>
        </is>
      </c>
      <c r="K46" s="395" t="n"/>
      <c r="L46" s="395" t="inlineStr">
        <is>
          <t>X</t>
        </is>
      </c>
      <c r="M46" s="395" t="n"/>
      <c r="N46" s="395" t="inlineStr">
        <is>
          <t>Done</t>
        </is>
      </c>
      <c r="O46" s="401" t="n"/>
      <c r="P46" s="395" t="n"/>
      <c r="Q46" s="20" t="inlineStr">
        <is>
          <t>Ngày dữ liệu</t>
        </is>
      </c>
      <c r="R46" s="20" t="n"/>
      <c r="S46" s="395" t="n"/>
      <c r="T46" s="386" t="inlineStr">
        <is>
          <t>-- Chiều thời gian theo quý
SELECT DISTINCT
    ADD_MONTHS(TRUNC(min_ngay, 'Q'), (LEVEL - 1) * 3) AS quy
FROM (SELECT MIN(NGAY_SO_LIEU) AS min_ngay FROM SCMS.BC_THANH_VIEN)
CONNECT BY ADD_MONTHS(TRUNC(min_ngay, 'Q'), (LEVEL - 1) * 3) &lt;= TRUNC(SYSDATE, 'Q')
ORDER BY quy;</t>
        </is>
      </c>
      <c r="U46" s="386" t="n"/>
      <c r="V46" s="395" t="n"/>
      <c r="W46" s="395" t="n"/>
      <c r="X46" s="395" t="n"/>
      <c r="Y46" s="395" t="inlineStr">
        <is>
          <t>Done</t>
        </is>
      </c>
      <c r="Z46" s="395" t="n"/>
      <c r="AA46" s="395" t="n"/>
      <c r="AB46" s="395" t="n"/>
      <c r="AC46" s="395" t="n"/>
      <c r="AD46" s="395" t="n"/>
      <c r="AE46" s="395" t="n"/>
    </row>
    <row r="47" ht="63.75" customHeight="1" s="380">
      <c r="A47" s="73" t="n">
        <v>8</v>
      </c>
      <c r="B47" s="386" t="n"/>
      <c r="C47" s="386" t="inlineStr">
        <is>
          <t>Dashboard Tổng quan công ty chứng khoán toàn thị trường &gt;&gt; Biểu đồ cơ cấu tài sản</t>
        </is>
      </c>
      <c r="D47" s="12" t="inlineStr">
        <is>
          <t>Tiền và tương đương tiền</t>
        </is>
      </c>
      <c r="E47" s="79" t="inlineStr">
        <is>
          <t>Chỉ tiêu Tiền và tương đương tiền trên toàn thị trường</t>
        </is>
      </c>
      <c r="F47" s="386" t="inlineStr">
        <is>
          <t>Dashboard</t>
        </is>
      </c>
      <c r="G47" s="386" t="inlineStr">
        <is>
          <t>Chỉ tiêu cơ sở</t>
        </is>
      </c>
      <c r="H47" s="386" t="inlineStr">
        <is>
          <t>TB</t>
        </is>
      </c>
      <c r="I47" s="386" t="inlineStr">
        <is>
          <t>Ngày, danh mục chỉ tiêu BCTC</t>
        </is>
      </c>
      <c r="J47" s="386" t="inlineStr">
        <is>
          <t>SCMS</t>
        </is>
      </c>
      <c r="K47" s="395" t="inlineStr">
        <is>
          <t>X</t>
        </is>
      </c>
      <c r="L47" s="395" t="inlineStr">
        <is>
          <t>X</t>
        </is>
      </c>
      <c r="M47" s="395" t="inlineStr">
        <is>
          <t>X</t>
        </is>
      </c>
      <c r="N47" s="395" t="inlineStr">
        <is>
          <t>Done</t>
        </is>
      </c>
      <c r="O47" s="401" t="n"/>
      <c r="P47" s="395" t="n"/>
      <c r="Q47" s="397" t="inlineStr">
        <is>
          <t>SCMS.BC_BAO_CAO_GT
SCMS.DM_CHI_TIEU</t>
        </is>
      </c>
      <c r="R47" s="397" t="inlineStr">
        <is>
          <t>gt.NGAY_SO_LIEU,
gt.DM_CHI_TIEU_ID,
gt.GIA_TRI,
dct.ID,
dct.MA_CHI_TIEU</t>
        </is>
      </c>
      <c r="S47" s="397" t="n"/>
      <c r="T47" s="79" t="inlineStr">
        <is>
          <t>-- Chỉ tiêu Tiền và tương đương tiền trên toàn thị trường
SELECT
    nd.ngay,
    SUM(TO_NUMBER(gt.GIA_TRI)) AS tien_va_tuong_duong_tien
FROM (
    SELECT TRUNC(min_ngay) + LEVEL - 1 AS ngay
    FROM (
        SELECT MIN(gt.NGAY_SO_LIEU) AS min_ngay
        FROM SCMS.BC_BAO_CAO_GT gt
        JOIN SCMS.DM_CHI_TIEU dct ON dct.ID = gt.DM_CHI_TIEU_ID
        WHERE dct.MA_CHI_TIEU = 'TIEN_TDT'  -- xác nhận lại
    )
    CONNECT BY TRUNC(min_ngay) + LEVEL - 1 &lt;= TRUNC(SYSDATE)
) nd
LEFT JOIN SCMS.BC_BAO_CAO_GT gt
    JOIN SCMS.DM_CHI_TIEU dct ON dct.ID = gt.DM_CHI_TIEU_ID
    ON  dct.MA_CHI_TIEU        = 'TIEN_TDT'  -- xác nhận lại
    AND TRUNC(gt.NGAY_SO_LIEU) = nd.ngay
GROUP BY nd.ngay
ORDER BY nd.ngay;</t>
        </is>
      </c>
      <c r="U47" s="20" t="inlineStr">
        <is>
          <t>Hỏi bên phân hệ xem lưu ở bảng nào, cột nào, dòng nào?</t>
        </is>
      </c>
      <c r="V47" s="395" t="n"/>
      <c r="W47" s="395" t="n"/>
      <c r="X47" s="395" t="n"/>
      <c r="Y47" s="395" t="inlineStr">
        <is>
          <t>Done</t>
        </is>
      </c>
      <c r="Z47" s="395" t="n"/>
      <c r="AA47" s="395" t="n"/>
      <c r="AB47" s="395" t="n"/>
      <c r="AC47" s="395" t="n"/>
      <c r="AD47" s="395" t="n"/>
      <c r="AE47" s="395" t="n"/>
    </row>
    <row r="48" ht="61.5" customHeight="1" s="380">
      <c r="A48" s="73" t="n">
        <v>8</v>
      </c>
      <c r="B48" s="386" t="n"/>
      <c r="C48" s="386" t="inlineStr">
        <is>
          <t>Dashboard Tổng quan công ty chứng khoán toàn thị trường &gt;&gt; Biểu đồ cơ cấu tài sản</t>
        </is>
      </c>
      <c r="D48" s="12" t="inlineStr">
        <is>
          <t>Tài sản tài chính ghi nhận thông qua lãi/lỗ</t>
        </is>
      </c>
      <c r="E48" s="79" t="inlineStr">
        <is>
          <t>Chỉ tiêu Tài sản tài chính ghi nhận thông qua lãi/lỗ trên toàn thị trường</t>
        </is>
      </c>
      <c r="F48" s="386" t="inlineStr">
        <is>
          <t>Dashboard</t>
        </is>
      </c>
      <c r="G48" s="386" t="inlineStr">
        <is>
          <t>Chỉ tiêu cơ sở</t>
        </is>
      </c>
      <c r="H48" s="386" t="inlineStr">
        <is>
          <t>TB</t>
        </is>
      </c>
      <c r="I48" s="386" t="inlineStr">
        <is>
          <t>Ngày, danh mục chỉ tiêu BCTC</t>
        </is>
      </c>
      <c r="J48" s="386" t="inlineStr">
        <is>
          <t>SCMS</t>
        </is>
      </c>
      <c r="K48" s="395" t="inlineStr">
        <is>
          <t>X</t>
        </is>
      </c>
      <c r="L48" s="395" t="inlineStr">
        <is>
          <t>X</t>
        </is>
      </c>
      <c r="M48" s="395" t="inlineStr">
        <is>
          <t>X</t>
        </is>
      </c>
      <c r="N48" s="395" t="inlineStr">
        <is>
          <t>Done</t>
        </is>
      </c>
      <c r="O48" s="401" t="n"/>
      <c r="P48" s="395" t="n"/>
      <c r="Q48" s="397" t="inlineStr">
        <is>
          <t>SCMS.BC_BAO_CAO_GT
SCMS.DM_CHI_TIEU</t>
        </is>
      </c>
      <c r="R48" s="397" t="inlineStr">
        <is>
          <t>gt.NGAY_SO_LIEU,
gt.DM_CHI_TIEU_ID,
gt.GIA_TRI,
dct.ID,
dct.MA_CHI_TIEU</t>
        </is>
      </c>
      <c r="S48" s="397" t="n"/>
      <c r="T48" s="79" t="inlineStr">
        <is>
          <t>-- Chỉ tiêu Tài sản tài chính ghi nhận thông qua lãi/lỗ trên toàn thị trường
SELECT
    nd.ngay,
    SUM(TO_NUMBER(gt.GIA_TRI)) AS tai_san_tai_chinh_qua_lai_lo
FROM (
    SELECT TRUNC(min_ngay) + LEVEL - 1 AS ngay
    FROM (
        SELECT MIN(gt.NGAY_SO_LIEU) AS min_ngay
        FROM SCMS.BC_BAO_CAO_GT gt
        JOIN SCMS.DM_CHI_TIEU dct ON dct.ID = gt.DM_CHI_TIEU_ID
        WHERE dct.MA_CHI_TIEU = 'TAI_SAN_TAI_CHINH_QUA_LAI_LO'  -- xác nhận lại
    )
    CONNECT BY TRUNC(min_ngay) + LEVEL - 1 &lt;= TRUNC(SYSDATE)
) nd
LEFT JOIN SCMS.BC_BAO_CAO_GT gt
    JOIN SCMS.DM_CHI_TIEU dct ON dct.ID = gt.DM_CHI_TIEU_ID
    ON  dct.MA_CHI_TIEU        = 'TAI_SAN_TAI_CHINH_QUA_LAI_LO'  -- xác nhận lại
    AND TRUNC(gt.NGAY_SO_LIEU) = nd.ngay
GROUP BY nd.ngay
ORDER BY nd.ngay;</t>
        </is>
      </c>
      <c r="U48" s="20" t="inlineStr">
        <is>
          <t>Hỏi bên phân hệ xem lưu ở bảng nào, cột nào, dòng nào?</t>
        </is>
      </c>
      <c r="V48" s="395" t="n"/>
      <c r="W48" s="395" t="n"/>
      <c r="X48" s="395" t="n"/>
      <c r="Y48" s="395" t="inlineStr">
        <is>
          <t>Done</t>
        </is>
      </c>
      <c r="Z48" s="395" t="n"/>
      <c r="AA48" s="395" t="n"/>
      <c r="AB48" s="395" t="n"/>
      <c r="AC48" s="395" t="n"/>
      <c r="AD48" s="395" t="n"/>
      <c r="AE48" s="395" t="n"/>
    </row>
    <row r="49" ht="62.25" customHeight="1" s="380">
      <c r="A49" s="73" t="n">
        <v>8</v>
      </c>
      <c r="B49" s="386" t="n"/>
      <c r="C49" s="386" t="inlineStr">
        <is>
          <t>Dashboard Tổng quan công ty chứng khoán toàn thị trường &gt;&gt; Biểu đồ cơ cấu tài sản</t>
        </is>
      </c>
      <c r="D49" s="12" t="inlineStr">
        <is>
          <t>Các khoản đầu tư nắm giữ đến ngày đáo hạn</t>
        </is>
      </c>
      <c r="E49" s="79" t="inlineStr">
        <is>
          <t>Chỉ tiêu Các khoản đầu tư nắm giữ đến ngày đáo hạn trên toàn thị trường</t>
        </is>
      </c>
      <c r="F49" s="386" t="inlineStr">
        <is>
          <t>Dashboard</t>
        </is>
      </c>
      <c r="G49" s="386" t="inlineStr">
        <is>
          <t>Chỉ tiêu cơ sở</t>
        </is>
      </c>
      <c r="H49" s="386" t="inlineStr">
        <is>
          <t>TB</t>
        </is>
      </c>
      <c r="I49" s="386" t="inlineStr">
        <is>
          <t>Ngày, danh mục chỉ tiêu BCTC</t>
        </is>
      </c>
      <c r="J49" s="386" t="inlineStr">
        <is>
          <t>SCMS</t>
        </is>
      </c>
      <c r="K49" s="395" t="inlineStr">
        <is>
          <t>X</t>
        </is>
      </c>
      <c r="L49" s="395" t="inlineStr">
        <is>
          <t>X</t>
        </is>
      </c>
      <c r="M49" s="395" t="inlineStr">
        <is>
          <t>X</t>
        </is>
      </c>
      <c r="N49" s="395" t="inlineStr">
        <is>
          <t>Done</t>
        </is>
      </c>
      <c r="O49" s="401" t="n"/>
      <c r="P49" s="395" t="n"/>
      <c r="Q49" s="397" t="inlineStr">
        <is>
          <t>SCMS.BC_BAO_CAO_GT
SCMS.DM_CHI_TIEU</t>
        </is>
      </c>
      <c r="R49" s="397" t="inlineStr">
        <is>
          <t>gt.NGAY_SO_LIEU,
gt.DM_CHI_TIEU_ID,
gt.GIA_TRI,
dct.ID,
dct.MA_CHI_TIEU</t>
        </is>
      </c>
      <c r="S49" s="397" t="n"/>
      <c r="T49" s="79" t="inlineStr">
        <is>
          <t>-- Chỉ tiêu Các khoản đầu tư nắm giữ đến ngày đáo hạn trên toàn thị trường
SELECT
    nd.ngay,
    SUM(TO_NUMBER(gt.GIA_TRI)) AS dau_tu_nam_giu_den_ngay_dao_han
FROM (
    SELECT TRUNC(min_ngay) + LEVEL - 1 AS ngay
    FROM (
        SELECT MIN(gt.NGAY_SO_LIEU) AS min_ngay
        FROM SCMS.BC_BAO_CAO_GT gt
        JOIN SCMS.DM_CHI_TIEU dct ON dct.ID = gt.DM_CHI_TIEU_ID
        WHERE dct.MA_CHI_TIEU = 'DAU_TU_NAM_GIU_DEN_NGAY_DAO_HAN'  -- xác nhận lại
    )
    CONNECT BY TRUNC(min_ngay) + LEVEL - 1 &lt;= TRUNC(SYSDATE)
) nd
LEFT JOIN SCMS.BC_BAO_CAO_GT gt
    JOIN SCMS.DM_CHI_TIEU dct ON dct.ID = gt.DM_CHI_TIEU_ID
    ON  dct.MA_CHI_TIEU        = 'DAU_TU_NAM_GIU_DEN_NGAY_DAO_HAN'  -- xác nhận lại
    AND TRUNC(gt.NGAY_SO_LIEU) = nd.ngay
GROUP BY nd.ngay
ORDER BY nd.ngay;</t>
        </is>
      </c>
      <c r="U49" s="20" t="inlineStr">
        <is>
          <t>Hỏi bên phân hệ xem lưu ở bảng nào, cột nào, dòng nào?</t>
        </is>
      </c>
      <c r="V49" s="395" t="n"/>
      <c r="W49" s="395" t="n"/>
      <c r="X49" s="395" t="n"/>
      <c r="Y49" s="395" t="inlineStr">
        <is>
          <t>Done</t>
        </is>
      </c>
      <c r="Z49" s="395" t="n"/>
      <c r="AA49" s="395" t="n"/>
      <c r="AB49" s="395" t="n"/>
      <c r="AC49" s="395" t="n"/>
      <c r="AD49" s="395" t="n"/>
      <c r="AE49" s="395" t="n"/>
    </row>
    <row r="50" ht="63.75" customHeight="1" s="380">
      <c r="A50" s="73" t="n">
        <v>8</v>
      </c>
      <c r="B50" s="386" t="n"/>
      <c r="C50" s="386" t="inlineStr">
        <is>
          <t>Dashboard Tổng quan công ty chứng khoán toàn thị trường &gt;&gt; Biểu đồ cơ cấu tài sản</t>
        </is>
      </c>
      <c r="D50" s="12" t="inlineStr">
        <is>
          <t>Tài sản tài chính sẵn sàng để bán</t>
        </is>
      </c>
      <c r="E50" s="79" t="inlineStr">
        <is>
          <t>Chỉ tiêu Tài sản tài chính sẵn sàng để bán trên toàn thị trường</t>
        </is>
      </c>
      <c r="F50" s="386" t="inlineStr">
        <is>
          <t>Dashboard</t>
        </is>
      </c>
      <c r="G50" s="386" t="inlineStr">
        <is>
          <t>Chỉ tiêu cơ sở</t>
        </is>
      </c>
      <c r="H50" s="386" t="inlineStr">
        <is>
          <t>TB</t>
        </is>
      </c>
      <c r="I50" s="386" t="inlineStr">
        <is>
          <t>Ngày, danh mục chỉ tiêu BCTC</t>
        </is>
      </c>
      <c r="J50" s="386" t="inlineStr">
        <is>
          <t>SCMS</t>
        </is>
      </c>
      <c r="K50" s="395" t="inlineStr">
        <is>
          <t>X</t>
        </is>
      </c>
      <c r="L50" s="395" t="inlineStr">
        <is>
          <t>X</t>
        </is>
      </c>
      <c r="M50" s="395" t="inlineStr">
        <is>
          <t>X</t>
        </is>
      </c>
      <c r="N50" s="395" t="inlineStr">
        <is>
          <t>Done</t>
        </is>
      </c>
      <c r="O50" s="401" t="n"/>
      <c r="P50" s="395" t="n"/>
      <c r="Q50" s="397" t="inlineStr">
        <is>
          <t>SCMS.BC_BAO_CAO_GT
SCMS.DM_CHI_TIEU</t>
        </is>
      </c>
      <c r="R50" s="397" t="inlineStr">
        <is>
          <t>gt.NGAY_SO_LIEU,
gt.DM_CHI_TIEU_ID,
gt.GIA_TRI,
dct.ID,
dct.MA_CHI_TIEU</t>
        </is>
      </c>
      <c r="S50" s="397" t="n"/>
      <c r="T50" s="79" t="inlineStr">
        <is>
          <t>-- Chỉ tiêu Tài sản tài chính sẵn sàng để bán trên toàn thị trường
SELECT
    nd.ngay,
    SUM(TO_NUMBER(gt.GIA_TRI)) AS TS_tai_chinh_san_sang_de_ban
FROM (
    SELECT TRUNC(min_ngay) + LEVEL - 1 AS ngay
    FROM (
        SELECT MIN(gt.NGAY_SO_LIEU) AS min_ngay
        FROM SCMS.BC_BAO_CAO_GT gt
        JOIN SCMS.DM_CHI_TIEU dct ON dct.ID = gt.DM_CHI_TIEU_ID
        WHERE dct.MA_CHI_TIEU = 'TAI_SAN_TAI_CHINH_SAN_SANG_DE_BAN'  -- xác nhận lại
    )
    CONNECT BY TRUNC(min_ngay) + LEVEL - 1 &lt;= TRUNC(SYSDATE)
) nd
LEFT JOIN SCMS.BC_BAO_CAO_GT gt
    JOIN SCMS.DM_CHI_TIEU dct ON dct.ID = gt.DM_CHI_TIEU_ID
    ON  dct.MA_CHI_TIEU        = 'TAI_SAN_TAI_CHINH_SAN_SANG_DE_BAN'  -- xác nhận lại
    AND TRUNC(gt.NGAY_SO_LIEU) = nd.ngay
GROUP BY nd.ngay
ORDER BY nd.ngay;</t>
        </is>
      </c>
      <c r="U50" s="20" t="inlineStr">
        <is>
          <t>Hỏi bên phân hệ xem lưu ở bảng nào, cột nào, dòng nào?</t>
        </is>
      </c>
      <c r="V50" s="395" t="n"/>
      <c r="W50" s="395" t="n"/>
      <c r="X50" s="395" t="n"/>
      <c r="Y50" s="395" t="inlineStr">
        <is>
          <t>Done</t>
        </is>
      </c>
      <c r="Z50" s="395" t="n"/>
      <c r="AA50" s="395" t="n"/>
      <c r="AB50" s="395" t="n"/>
      <c r="AC50" s="395" t="n"/>
      <c r="AD50" s="395" t="n"/>
      <c r="AE50" s="395" t="n"/>
    </row>
    <row r="51" ht="63.75" customHeight="1" s="380">
      <c r="A51" s="73" t="n">
        <v>8</v>
      </c>
      <c r="B51" s="386" t="n"/>
      <c r="C51" s="386" t="inlineStr">
        <is>
          <t>Dashboard Tổng quan công ty chứng khoán toàn thị trường &gt;&gt; Biểu đồ cơ cấu tài sản</t>
        </is>
      </c>
      <c r="D51" s="12" t="inlineStr">
        <is>
          <t>Các khoản cho vay</t>
        </is>
      </c>
      <c r="E51" s="79" t="inlineStr">
        <is>
          <t>Thông tin Các khoản cho vay trên toàn thị trường</t>
        </is>
      </c>
      <c r="F51" s="386" t="inlineStr">
        <is>
          <t>Dashboard</t>
        </is>
      </c>
      <c r="G51" s="386" t="inlineStr">
        <is>
          <t>Chỉ tiêu cơ sở</t>
        </is>
      </c>
      <c r="H51" s="386" t="inlineStr">
        <is>
          <t>TB</t>
        </is>
      </c>
      <c r="I51" s="386" t="inlineStr">
        <is>
          <t>Ngày, danh mục chỉ tiêu BCTC</t>
        </is>
      </c>
      <c r="J51" s="386" t="inlineStr">
        <is>
          <t>SCMS</t>
        </is>
      </c>
      <c r="K51" s="395" t="inlineStr">
        <is>
          <t>X</t>
        </is>
      </c>
      <c r="L51" s="395" t="inlineStr">
        <is>
          <t>X</t>
        </is>
      </c>
      <c r="M51" s="395" t="inlineStr">
        <is>
          <t>X</t>
        </is>
      </c>
      <c r="N51" s="395" t="inlineStr">
        <is>
          <t>Done</t>
        </is>
      </c>
      <c r="O51" s="401" t="n"/>
      <c r="P51" s="395" t="n"/>
      <c r="Q51" s="397" t="inlineStr">
        <is>
          <t>SCMS.BC_BAO_CAO_GT
SCMS.DM_CHI_TIEU</t>
        </is>
      </c>
      <c r="R51" s="397" t="inlineStr">
        <is>
          <t>gt.NGAY_SO_LIEU,
gt.DM_CHI_TIEU_ID,
gt.GIA_TRI,
dct.ID,
dct.MA_CHI_TIEU</t>
        </is>
      </c>
      <c r="S51" s="397" t="n"/>
      <c r="T51" s="79" t="inlineStr">
        <is>
          <t>-- Thông tin Các khoản cho vay trên toàn thị trường
SELECT
    nd.ngay,
    SUM(TO_NUMBER(gt.GIA_TRI)) AS cac_khoan_cho_vay
FROM (
    SELECT TRUNC(min_ngay) + LEVEL - 1 AS ngay
    FROM (
        SELECT MIN(gt.NGAY_SO_LIEU) AS min_ngay
        FROM SCMS.BC_BAO_CAO_GT gt
        JOIN SCMS.DM_CHI_TIEU dct ON dct.ID = gt.DM_CHI_TIEU_ID
        WHERE dct.MA_CHI_TIEU = 'CAC_KHOAN_CHO_VAY'  -- xác nhận lại
    )
    CONNECT BY TRUNC(min_ngay) + LEVEL - 1 &lt;= TRUNC(SYSDATE)
) nd
LEFT JOIN SCMS.BC_BAO_CAO_GT gt
    JOIN SCMS.DM_CHI_TIEU dct ON dct.ID = gt.DM_CHI_TIEU_ID
    ON  dct.MA_CHI_TIEU        = 'CAC_KHOAN_CHO_VAY'  -- xác nhận lại
    AND TRUNC(gt.NGAY_SO_LIEU) = nd.ngay
GROUP BY nd.ngay
ORDER BY nd.ngay;</t>
        </is>
      </c>
      <c r="U51" s="20" t="inlineStr">
        <is>
          <t>Hỏi bên phân hệ xem lưu ở bảng nào, cột nào, dòng nào?</t>
        </is>
      </c>
      <c r="V51" s="395" t="n"/>
      <c r="W51" s="395" t="n"/>
      <c r="X51" s="395" t="n"/>
      <c r="Y51" s="395" t="inlineStr">
        <is>
          <t>Done</t>
        </is>
      </c>
      <c r="Z51" s="395" t="n"/>
      <c r="AA51" s="395" t="n"/>
      <c r="AB51" s="395" t="n"/>
      <c r="AC51" s="395" t="n"/>
      <c r="AD51" s="395" t="n"/>
      <c r="AE51" s="395" t="n"/>
    </row>
    <row r="52" ht="72.75" customHeight="1" s="380">
      <c r="A52" s="73" t="n">
        <v>8</v>
      </c>
      <c r="B52" s="386" t="n"/>
      <c r="C52" s="386" t="inlineStr">
        <is>
          <t>Dashboard Tổng quan công ty chứng khoán toàn thị trường &gt;&gt; Biểu đồ cơ cấu tài sản</t>
        </is>
      </c>
      <c r="D52" s="12" t="inlineStr">
        <is>
          <t>Khác</t>
        </is>
      </c>
      <c r="E52" s="79" t="inlineStr">
        <is>
          <t>Thông tin tổng tài sản – các mục trên trên toàn thị trường</t>
        </is>
      </c>
      <c r="F52" s="386" t="inlineStr">
        <is>
          <t>Dashboard</t>
        </is>
      </c>
      <c r="G52" s="386" t="inlineStr">
        <is>
          <t>Chỉ tiêu cơ sở</t>
        </is>
      </c>
      <c r="H52" s="386" t="inlineStr">
        <is>
          <t>TB</t>
        </is>
      </c>
      <c r="I52" s="386" t="inlineStr">
        <is>
          <t>Ngày, danh mục chỉ tiêu BCTC</t>
        </is>
      </c>
      <c r="J52" s="386" t="inlineStr">
        <is>
          <t>SCMS</t>
        </is>
      </c>
      <c r="K52" s="395" t="inlineStr">
        <is>
          <t>X</t>
        </is>
      </c>
      <c r="L52" s="395" t="inlineStr">
        <is>
          <t>X</t>
        </is>
      </c>
      <c r="M52" s="395" t="inlineStr">
        <is>
          <t>X</t>
        </is>
      </c>
      <c r="N52" s="395" t="inlineStr">
        <is>
          <t>Done</t>
        </is>
      </c>
      <c r="O52" s="401" t="n"/>
      <c r="P52" s="395" t="n"/>
      <c r="Q52" s="397" t="inlineStr">
        <is>
          <t>SCMS.BC_BAO_CAO_GT
SCMS.DM_CHI_TIEU</t>
        </is>
      </c>
      <c r="R52" s="397" t="inlineStr">
        <is>
          <t>gt.NGAY_SO_LIEU,
gt.DM_CHI_TIEU_ID,
gt.GIA_TRI,
dct.ID,
dct.MA_CHI_TIEU</t>
        </is>
      </c>
      <c r="S52" s="397" t="n"/>
      <c r="T52" s="79" t="inlineStr">
        <is>
          <t>-- Thông tin tài sản – các mục trên trên toàn thị trường
SELECT
    nd.ngay,
    SUM(CASE WHEN dct.MA_CHI_TIEU = 'TONG_TAI_SAN' THEN TO_NUMBER(gt.GIA_TRI) ELSE 0 END)
    - SUM(CASE WHEN dct.MA_CHI_TIEU = 'TIEN_TDT' THEN TO_NUMBER(gt.GIA_TRI) ELSE 0 END)
    - SUM(CASE WHEN dct.MA_CHI_TIEU = 'TAI_SAN_TAI_CHINH_QUA_LAI_LO' THEN TO_NUMBER(gt.GIA_TRI) ELSE 0 END)
    - SUM(CASE WHEN dct.MA_CHI_TIEU = 'DAU_TU_NAM_GIU_DEN_NGAY_DAO_HAN' THEN TO_NUMBER(gt.GIA_TRI) ELSE 0 END)
    - SUM(CASE WHEN dct.MA_CHI_TIEU = 'TAI_SAN_TAI_CHINH_SAN_SANG_DE_BAN' THEN TO_NUMBER(gt.GIA_TRI) ELSE 0 END)
    - SUM(CASE WHEN dct.MA_CHI_TIEU = 'CAC_KHOAN_CHO_VAY' THEN TO_NUMBER(gt.GIA_TRI) ELSE 0 END)
    AS tai_san_khac
FROM (
    SELECT TRUNC(min_ngay) + LEVEL - 1 AS ngay
    FROM (
        SELECT MIN(gt.NGAY_SO_LIEU) AS min_ngay
        FROM SCMS.BC_BAO_CAO_GT gt
        JOIN SCMS.DM_CHI_TIEU dct ON dct.ID = gt.DM_CHI_TIEU_ID
        WHERE dct.MA_CHI_TIEU = 'TONG_TAI_SAN'  -- xác nhận lại
    )
    CONNECT BY TRUNC(min_ngay) + LEVEL - 1 &lt;= TRUNC(SYSDATE)
) nd
LEFT JOIN SCMS.BC_BAO_CAO_GT gt
    JOIN SCMS.DM_CHI_TIEU dct ON dct.ID = gt.DM_CHI_TIEU_ID
    ON  dct.MA_CHI_TIEU IN (
            'TONG_TAI_SAN',
            'TIEN_TDT',
            'TAI_SAN_TAI_CHINH_QUA_LAI_LO',
            'DAU_TU_NAM_GIU_DEN_NGAY_DAO_HAN',
            'TAI_SAN_TAI_CHINH_SAN_SANG_DE_BAN',
            'CAC_KHOAN_CHO_VAY'
        )
    AND TRUNC(gt.NGAY_SO_LIEU) = nd.ngay
GROUP BY nd.ngay
ORDER BY nd.ngay;</t>
        </is>
      </c>
      <c r="U52" s="20" t="inlineStr">
        <is>
          <t>Hỏi bên phân hệ xem lưu ở bảng nào, cột nào, dòng nào?</t>
        </is>
      </c>
      <c r="V52" s="395" t="n"/>
      <c r="W52" s="395" t="n"/>
      <c r="X52" s="395" t="n"/>
      <c r="Y52" s="395" t="inlineStr">
        <is>
          <t>Done</t>
        </is>
      </c>
      <c r="Z52" s="395" t="n"/>
      <c r="AA52" s="395" t="n"/>
      <c r="AB52" s="395" t="n"/>
      <c r="AC52" s="395" t="n"/>
      <c r="AD52" s="395" t="n"/>
      <c r="AE52" s="395" t="n"/>
    </row>
    <row r="53" ht="54" customHeight="1" s="380">
      <c r="A53" s="83" t="n">
        <v>9</v>
      </c>
      <c r="B53" s="178" t="n"/>
      <c r="C53" s="178" t="inlineStr">
        <is>
          <t>Dashboard Tổng quan công ty chứng khoán toàn thị trường &gt;&gt; Biểu đồ cơ cấu nguồn vốn</t>
        </is>
      </c>
      <c r="D53" s="84" t="inlineStr">
        <is>
          <t>Chiều thời gian theo quý</t>
        </is>
      </c>
      <c r="E53" s="84" t="inlineStr">
        <is>
          <t>Chiều thời gian theo quý</t>
        </is>
      </c>
      <c r="F53" s="68" t="inlineStr">
        <is>
          <t>Dashboard</t>
        </is>
      </c>
      <c r="G53" s="68" t="inlineStr">
        <is>
          <t>Chiều</t>
        </is>
      </c>
      <c r="H53" s="68" t="inlineStr">
        <is>
          <t>Trùng</t>
        </is>
      </c>
      <c r="I53" s="68" t="n"/>
      <c r="J53" s="68" t="inlineStr">
        <is>
          <t>SCMS</t>
        </is>
      </c>
      <c r="K53" s="69" t="n"/>
      <c r="L53" s="69" t="inlineStr">
        <is>
          <t>X</t>
        </is>
      </c>
      <c r="M53" s="69" t="n"/>
      <c r="N53" s="69" t="inlineStr">
        <is>
          <t>Done</t>
        </is>
      </c>
      <c r="O53" s="85" t="n"/>
      <c r="P53" s="69" t="n"/>
      <c r="Q53" s="179" t="inlineStr">
        <is>
          <t>Ngày dữ liệu</t>
        </is>
      </c>
      <c r="R53" s="69" t="n"/>
      <c r="S53" s="69" t="n"/>
      <c r="T53" s="68" t="inlineStr">
        <is>
          <t>-- Chiều thời gian theo quý
SELECT DISTINCT
    ADD_MONTHS(TRUNC(min_ngay, 'Q'), (LEVEL - 1) * 3) AS quy
FROM (SELECT MIN(NGAY_SO_LIEU) AS min_ngay FROM SCMS.BC_THANH_VIEN)
CONNECT BY ADD_MONTHS(TRUNC(min_ngay, 'Q'), (LEVEL - 1) * 3) &lt;= TRUNC(SYSDATE, 'Q')
ORDER BY quy;</t>
        </is>
      </c>
      <c r="U53" s="68" t="n"/>
      <c r="V53" s="69" t="n"/>
      <c r="W53" s="69" t="n"/>
      <c r="X53" s="69" t="n"/>
      <c r="Y53" s="69" t="inlineStr">
        <is>
          <t>Done</t>
        </is>
      </c>
      <c r="Z53" s="69" t="n"/>
      <c r="AA53" s="69" t="n"/>
      <c r="AB53" s="69" t="n"/>
      <c r="AC53" s="69" t="n"/>
      <c r="AD53" s="69" t="n"/>
      <c r="AE53" s="69" t="n"/>
    </row>
    <row r="54" ht="64.5" customHeight="1" s="380">
      <c r="A54" s="73" t="n">
        <v>9</v>
      </c>
      <c r="B54" s="386" t="n"/>
      <c r="C54" s="386" t="inlineStr">
        <is>
          <t>Dashboard Tổng quan công ty chứng khoán toàn thị trường &gt;&gt; Biểu đồ cơ cấu nguồn vốn</t>
        </is>
      </c>
      <c r="D54" s="12" t="inlineStr">
        <is>
          <t>Vay và nợ thuê tài chính ngắn hạn</t>
        </is>
      </c>
      <c r="E54" s="12" t="inlineStr">
        <is>
          <t>Chỉ tiêu Vay và nợ thuê tài chính ngắn hạn trên toàn thị trường</t>
        </is>
      </c>
      <c r="F54" s="386" t="inlineStr">
        <is>
          <t>Dashboard</t>
        </is>
      </c>
      <c r="G54" s="386" t="inlineStr">
        <is>
          <t>Chỉ tiêu cơ sở</t>
        </is>
      </c>
      <c r="H54" s="386" t="inlineStr">
        <is>
          <t>TB</t>
        </is>
      </c>
      <c r="I54" s="386" t="inlineStr">
        <is>
          <t>Ngày, danh mục chỉ tiêu BCTC</t>
        </is>
      </c>
      <c r="J54" s="386" t="inlineStr">
        <is>
          <t>SCMS</t>
        </is>
      </c>
      <c r="K54" s="395" t="inlineStr">
        <is>
          <t>X</t>
        </is>
      </c>
      <c r="L54" s="395" t="inlineStr">
        <is>
          <t>X</t>
        </is>
      </c>
      <c r="M54" s="395" t="inlineStr">
        <is>
          <t>X</t>
        </is>
      </c>
      <c r="N54" s="395" t="inlineStr">
        <is>
          <t>Done</t>
        </is>
      </c>
      <c r="O54" s="401" t="n"/>
      <c r="P54" s="395" t="n"/>
      <c r="Q54" s="397" t="inlineStr">
        <is>
          <t>SCMS.BC_BAO_CAO_GT
SCMS.DM_CHI_TIEU</t>
        </is>
      </c>
      <c r="R54" s="397" t="inlineStr">
        <is>
          <t>gt.NGAY_SO_LIEU,
gt.DM_CHI_TIEU_ID,
gt.GIA_TRI,
dct.ID,
dct.MA_CHI_TIEU</t>
        </is>
      </c>
      <c r="S54" s="397" t="n"/>
      <c r="T54" s="79" t="inlineStr">
        <is>
          <t>-- Vay và nợ thuê tài chính ngắn hạn
SELECT
    nd.ngay,
    SUM(TO_NUMBER(gt.GIA_TRI)) AS vay_va_no_ngan_han
FROM (
    SELECT TRUNC(min_ngay) + LEVEL - 1 AS ngay
    FROM (
        SELECT MIN(gt.NGAY_SO_LIEU) AS min_ngay
        FROM SCMS.BC_BAO_CAO_GT gt
        JOIN SCMS.DM_CHI_TIEU dct ON dct.ID = gt.DM_CHI_TIEU_ID
        WHERE dct.MA_CHI_TIEU = 'VAY_VA_NO_NGAN_HAN'  -- xác nhận lại
    )
    CONNECT BY TRUNC(min_ngay) + LEVEL - 1 &lt;= TRUNC(SYSDATE)
) nd
LEFT JOIN SCMS.BC_BAO_CAO_GT gt
    JOIN SCMS.DM_CHI_TIEU dct ON dct.ID = gt.DM_CHI_TIEU_ID
    ON  dct.MA_CHI_TIEU        = 'VAY_VA_NO_NGAN_HAN'  -- xác nhận lại
    AND TRUNC(gt.NGAY_SO_LIEU) = nd.ngay
GROUP BY nd.ngay
ORDER BY nd.ngay;</t>
        </is>
      </c>
      <c r="U54" s="386" t="n"/>
      <c r="V54" s="395" t="n"/>
      <c r="W54" s="395" t="n"/>
      <c r="X54" s="395" t="n"/>
      <c r="Y54" s="395" t="inlineStr">
        <is>
          <t>Done</t>
        </is>
      </c>
      <c r="Z54" s="395" t="n"/>
      <c r="AA54" s="395" t="n"/>
      <c r="AB54" s="395" t="n"/>
      <c r="AC54" s="395" t="n"/>
      <c r="AD54" s="395" t="n"/>
      <c r="AE54" s="395" t="n"/>
    </row>
    <row r="55" ht="61.5" customHeight="1" s="380">
      <c r="A55" s="73" t="n">
        <v>9</v>
      </c>
      <c r="B55" s="386" t="n"/>
      <c r="C55" s="386" t="inlineStr">
        <is>
          <t>Dashboard Tổng quan công ty chứng khoán toàn thị trường &gt;&gt; Biểu đồ cơ cấu nguồn vốn</t>
        </is>
      </c>
      <c r="D55" s="12" t="inlineStr">
        <is>
          <t>Nợ phải trả dài hạn</t>
        </is>
      </c>
      <c r="E55" s="12" t="inlineStr">
        <is>
          <t>Chỉ tiêu Nợ phải trả dài hạn trên toàn thị trường</t>
        </is>
      </c>
      <c r="F55" s="386" t="inlineStr">
        <is>
          <t>Dashboard</t>
        </is>
      </c>
      <c r="G55" s="386" t="inlineStr">
        <is>
          <t>Chỉ tiêu cơ sở</t>
        </is>
      </c>
      <c r="H55" s="386" t="inlineStr">
        <is>
          <t>TB</t>
        </is>
      </c>
      <c r="I55" s="386" t="inlineStr">
        <is>
          <t>Ngày, danh mục chỉ tiêu BCTC</t>
        </is>
      </c>
      <c r="J55" s="386" t="inlineStr">
        <is>
          <t>SCMS</t>
        </is>
      </c>
      <c r="K55" s="395" t="inlineStr">
        <is>
          <t>X</t>
        </is>
      </c>
      <c r="L55" s="395" t="inlineStr">
        <is>
          <t>X</t>
        </is>
      </c>
      <c r="M55" s="395" t="inlineStr">
        <is>
          <t>X</t>
        </is>
      </c>
      <c r="N55" s="395" t="inlineStr">
        <is>
          <t>Done</t>
        </is>
      </c>
      <c r="O55" s="401" t="n"/>
      <c r="P55" s="395" t="n"/>
      <c r="Q55" s="397" t="inlineStr">
        <is>
          <t>SCMS.BC_BAO_CAO_GT
SCMS.DM_CHI_TIEU</t>
        </is>
      </c>
      <c r="R55" s="397" t="inlineStr">
        <is>
          <t>gt.NGAY_SO_LIEU,
gt.DM_CHI_TIEU_ID,
gt.GIA_TRI,
dct.ID,
dct.MA_CHI_TIEU</t>
        </is>
      </c>
      <c r="S55" s="397" t="n"/>
      <c r="T55" s="79" t="inlineStr">
        <is>
          <t>-- Nợ phải trả dài hạn
SELECT
    nd.ngay,
    SUM(TO_NUMBER(gt.GIA_TRI)) AS no_phai_tra_dai_han
FROM (
    SELECT TRUNC(min_ngay) + LEVEL - 1 AS ngay
    FROM (
        SELECT MIN(gt.NGAY_SO_LIEU) AS min_ngay
        FROM SCMS.BC_BAO_CAO_GT gt
        JOIN SCMS.DM_CHI_TIEU dct ON dct.ID = gt.DM_CHI_TIEU_ID
        WHERE dct.MA_CHI_TIEU = 'NO_PHAI_TRA_DAI_HAN'  -- xác nhận lại
    )
    CONNECT BY TRUNC(min_ngay) + LEVEL - 1 &lt;= TRUNC(SYSDATE)
) nd
LEFT JOIN SCMS.BC_BAO_CAO_GT gt
    JOIN SCMS.DM_CHI_TIEU dct ON dct.ID = gt.DM_CHI_TIEU_ID
    ON  dct.MA_CHI_TIEU        = 'NO_PHAI_TRA_DAI_HAN'  -- xác nhận lại
    AND TRUNC(gt.NGAY_SO_LIEU) = nd.ngay
GROUP BY nd.ngay
ORDER BY nd.ngay;</t>
        </is>
      </c>
      <c r="U55" s="386" t="n"/>
      <c r="V55" s="395" t="n"/>
      <c r="W55" s="395" t="n"/>
      <c r="X55" s="395" t="n"/>
      <c r="Y55" s="395" t="inlineStr">
        <is>
          <t>Done</t>
        </is>
      </c>
      <c r="Z55" s="395" t="n"/>
      <c r="AA55" s="395" t="n"/>
      <c r="AB55" s="395" t="n"/>
      <c r="AC55" s="395" t="n"/>
      <c r="AD55" s="395" t="n"/>
      <c r="AE55" s="395" t="n"/>
    </row>
    <row r="56" ht="61.5" customHeight="1" s="380">
      <c r="A56" s="73" t="n">
        <v>9</v>
      </c>
      <c r="B56" s="386" t="n"/>
      <c r="C56" s="386" t="inlineStr">
        <is>
          <t>Dashboard Tổng quan công ty chứng khoán toàn thị trường &gt;&gt; Biểu đồ cơ cấu nguồn vốn</t>
        </is>
      </c>
      <c r="D56" s="12" t="inlineStr">
        <is>
          <t>Vốn chủ sở hữu</t>
        </is>
      </c>
      <c r="E56" s="12" t="inlineStr">
        <is>
          <t>Chỉ tiêu Vốn chủ sở hữu trên toàn thị trường</t>
        </is>
      </c>
      <c r="F56" s="386" t="inlineStr">
        <is>
          <t>Dashboard</t>
        </is>
      </c>
      <c r="G56" s="386" t="inlineStr">
        <is>
          <t>Chỉ tiêu cơ sở</t>
        </is>
      </c>
      <c r="H56" s="386" t="inlineStr">
        <is>
          <t>TB</t>
        </is>
      </c>
      <c r="I56" s="386" t="inlineStr">
        <is>
          <t>Ngày, danh mục chỉ tiêu BCTC</t>
        </is>
      </c>
      <c r="J56" s="386" t="inlineStr">
        <is>
          <t>SCMS</t>
        </is>
      </c>
      <c r="K56" s="395" t="inlineStr">
        <is>
          <t>X</t>
        </is>
      </c>
      <c r="L56" s="395" t="inlineStr">
        <is>
          <t>X</t>
        </is>
      </c>
      <c r="M56" s="395" t="inlineStr">
        <is>
          <t>X</t>
        </is>
      </c>
      <c r="N56" s="395" t="inlineStr">
        <is>
          <t>Done</t>
        </is>
      </c>
      <c r="O56" s="401" t="n"/>
      <c r="P56" s="395" t="n"/>
      <c r="Q56" s="397" t="inlineStr">
        <is>
          <t>SCMS.BC_BAO_CAO_GT
SCMS.DM_CHI_TIEU</t>
        </is>
      </c>
      <c r="R56" s="397" t="inlineStr">
        <is>
          <t>gt.NGAY_SO_LIEU,
gt.DM_CHI_TIEU_ID,
gt.GIA_TRI,
dct.ID,
dct.MA_CHI_TIEU</t>
        </is>
      </c>
      <c r="S56" s="397" t="n"/>
      <c r="T56" s="79" t="inlineStr">
        <is>
          <t>-- Vốn chủ sở hữu
SELECT
    nd.ngay,
    SUM(TO_NUMBER(gt.GIA_TRI)) AS von_chu_so_huu
FROM (
    SELECT TRUNC(min_ngay) + LEVEL - 1 AS ngay
    FROM (
        SELECT MIN(gt.NGAY_SO_LIEU) AS min_ngay
        FROM SCMS.BC_BAO_CAO_GT gt
        JOIN SCMS.DM_CHI_TIEU dct ON dct.ID = gt.DM_CHI_TIEU_ID
        WHERE dct.MA_CHI_TIEU = 'VON_CHU_SO_HUU'  -- xác nhận lại
    )
    CONNECT BY TRUNC(min_ngay) + LEVEL - 1 &lt;= TRUNC(SYSDATE)
) nd
LEFT JOIN SCMS.BC_BAO_CAO_GT gt
    JOIN SCMS.DM_CHI_TIEU dct ON dct.ID = gt.DM_CHI_TIEU_ID
    ON  dct.MA_CHI_TIEU        = 'VON_CHU_SO_HUU'  -- xác nhận lại
    AND TRUNC(gt.NGAY_SO_LIEU) = nd.ngay
GROUP BY nd.ngay
ORDER BY nd.ngay;</t>
        </is>
      </c>
      <c r="U56" s="386" t="n"/>
      <c r="V56" s="395" t="n"/>
      <c r="W56" s="395" t="n"/>
      <c r="X56" s="395" t="n"/>
      <c r="Y56" s="395" t="inlineStr">
        <is>
          <t>Done</t>
        </is>
      </c>
      <c r="Z56" s="395" t="n"/>
      <c r="AA56" s="395" t="n"/>
      <c r="AB56" s="395" t="n"/>
      <c r="AC56" s="395" t="n"/>
      <c r="AD56" s="395" t="n"/>
      <c r="AE56" s="395" t="n"/>
    </row>
    <row r="57" ht="72" customHeight="1" s="380">
      <c r="A57" s="83" t="n">
        <v>9</v>
      </c>
      <c r="B57" s="68" t="n"/>
      <c r="C57" s="68" t="inlineStr">
        <is>
          <t>Dashboard Tổng quan công ty chứng khoán toàn thị trường &gt;&gt; Biểu đồ cơ cấu nguồn vốn</t>
        </is>
      </c>
      <c r="D57" s="84" t="inlineStr">
        <is>
          <t>Khác</t>
        </is>
      </c>
      <c r="E57" s="84" t="inlineStr">
        <is>
          <t>Chỉ tiêu nguồn vốn - các mục trên trên toàn thị trường</t>
        </is>
      </c>
      <c r="F57" s="68" t="inlineStr">
        <is>
          <t>Dashboard</t>
        </is>
      </c>
      <c r="G57" s="68" t="inlineStr">
        <is>
          <t>Chỉ tiêu cơ sở</t>
        </is>
      </c>
      <c r="H57" s="68" t="inlineStr">
        <is>
          <t>TB</t>
        </is>
      </c>
      <c r="I57" s="68" t="inlineStr">
        <is>
          <t>Ngày, danh mục chỉ tiêu BCTC</t>
        </is>
      </c>
      <c r="J57" s="68" t="inlineStr">
        <is>
          <t>SCMS</t>
        </is>
      </c>
      <c r="K57" s="69" t="inlineStr">
        <is>
          <t>X</t>
        </is>
      </c>
      <c r="L57" s="69" t="inlineStr">
        <is>
          <t>X</t>
        </is>
      </c>
      <c r="M57" s="69" t="inlineStr">
        <is>
          <t>X</t>
        </is>
      </c>
      <c r="N57" s="69" t="inlineStr">
        <is>
          <t>Done</t>
        </is>
      </c>
      <c r="O57" s="85" t="n"/>
      <c r="P57" s="69" t="n"/>
      <c r="Q57" s="86" t="inlineStr">
        <is>
          <t>SCMS.BC_BAO_CAO_GT
SCMS.DM_CHI_TIEU</t>
        </is>
      </c>
      <c r="R57" s="86" t="inlineStr">
        <is>
          <t>gt.NGAY_SO_LIEU,
gt.DM_CHI_TIEU_ID,
gt.GIA_TRI,
dct.ID,
dct.MA_CHI_TIEU</t>
        </is>
      </c>
      <c r="S57" s="86" t="n"/>
      <c r="T57" s="87" t="inlineStr">
        <is>
          <t>-- Khác: Chỉ tiêu nguồn vốn - các mục trên trên toàn thị trường
SELECT
    nd.ngay,
    SUM(CASE WHEN dct.MA_CHI_TIEU = 'TONG_NGUON_VON' THEN TO_NUMBER(gt.GIA_TRI) ELSE 0 END)
    - SUM(CASE WHEN dct.MA_CHI_TIEU = 'VAY_VA_NO_NGAN_HAN' THEN TO_NUMBER(gt.GIA_TRI) ELSE 0 END)
    - SUM(CASE WHEN dct.MA_CHI_TIEU = 'NO_PHAI_TRA_DAI_HAN' THEN TO_NUMBER(gt.GIA_TRI) ELSE 0 END)
    - SUM(CASE WHEN dct.MA_CHI_TIEU = 'VON_CHU_SO_HUU' THEN TO_NUMBER(gt.GIA_TRI) ELSE 0 END)
    AS nguon_von_khac
FROM (
    SELECT TRUNC(min_ngay) + LEVEL - 1 AS ngay
    FROM (
        SELECT MIN(gt.NGAY_SO_LIEU) AS min_ngay
        FROM SCMS.BC_BAO_CAO_GT gt
        JOIN SCMS.DM_CHI_TIEU dct ON dct.ID = gt.DM_CHI_TIEU_ID
        WHERE dct.MA_CHI_TIEU = 'TONG_NGUON_VON'  -- xác nhận lại
    )
    CONNECT BY TRUNC(min_ngay) + LEVEL - 1 &lt;= TRUNC(SYSDATE)
) nd
LEFT JOIN SCMS.BC_BAO_CAO_GT gt
    JOIN SCMS.DM_CHI_TIEU dct ON dct.ID = gt.DM_CHI_TIEU_ID
    ON  dct.MA_CHI_TIEU IN (
            'TONG_NGUON_VON',
            'VAY_VA_NO_NGAN_HAN',
            'NO_PHAI_TRA_DAI_HAN',
            'VON_CHU_SO_HUU'
        )
    AND TRUNC(gt.NGAY_SO_LIEU) = nd.ngay
GROUP BY nd.ngay
ORDER BY nd.ngay;</t>
        </is>
      </c>
      <c r="U57" s="68" t="n"/>
      <c r="V57" s="69" t="n"/>
      <c r="W57" s="69" t="n"/>
      <c r="X57" s="69" t="n"/>
      <c r="Y57" s="69" t="inlineStr">
        <is>
          <t>Done</t>
        </is>
      </c>
      <c r="Z57" s="69" t="n"/>
      <c r="AA57" s="69" t="n"/>
      <c r="AB57" s="69" t="n"/>
      <c r="AC57" s="69" t="n"/>
      <c r="AD57" s="69" t="n"/>
      <c r="AE57" s="69" t="n"/>
    </row>
    <row r="58" ht="42" customHeight="1" s="380">
      <c r="A58" s="88" t="n">
        <v>10</v>
      </c>
      <c r="B58" s="81" t="n"/>
      <c r="C58" s="81" t="inlineStr">
        <is>
          <t>Dashboard Giám sát tuân thủ của công ty chứng khoán toàn thị trường</t>
        </is>
      </c>
      <c r="D58" s="75" t="inlineStr">
        <is>
          <t>Chiều thời gian theo ngày</t>
        </is>
      </c>
      <c r="E58" s="75" t="inlineStr">
        <is>
          <t>Chiều thời gian theo ngày</t>
        </is>
      </c>
      <c r="F58" s="400" t="inlineStr">
        <is>
          <t>Dashboard</t>
        </is>
      </c>
      <c r="G58" s="400" t="inlineStr">
        <is>
          <t>Chiều</t>
        </is>
      </c>
      <c r="H58" s="400" t="inlineStr">
        <is>
          <t>Trùng</t>
        </is>
      </c>
      <c r="I58" s="400" t="n"/>
      <c r="J58" s="400" t="inlineStr">
        <is>
          <t>SCMS</t>
        </is>
      </c>
      <c r="K58" s="405" t="n"/>
      <c r="L58" s="405" t="inlineStr">
        <is>
          <t>X</t>
        </is>
      </c>
      <c r="M58" s="405" t="n"/>
      <c r="N58" s="405" t="inlineStr">
        <is>
          <t>Done</t>
        </is>
      </c>
      <c r="O58" s="404" t="n"/>
      <c r="P58" s="405" t="n"/>
      <c r="Q58" s="20" t="inlineStr">
        <is>
          <t>Ngày dữ liệu</t>
        </is>
      </c>
      <c r="R58" s="405" t="n"/>
      <c r="S58" s="405" t="n"/>
      <c r="T58" s="4" t="inlineStr">
        <is>
          <t>-- Chiều thời gian theo ngày
SELECT TRUNC(min_ngay) + LEVEL - 1 AS ngay
FROM (SELECT MIN(NGAY_SO_LIEU) AS min_ngay FROM SCMS.BC_THANH_VIEN)
CONNECT BY TRUNC(min_ngay) + LEVEL - 1 &lt;= TRUNC(SYSDATE)
ORDER BY ngay;</t>
        </is>
      </c>
      <c r="U58" s="400" t="n"/>
      <c r="V58" s="405" t="n"/>
      <c r="W58" s="405" t="n"/>
      <c r="X58" s="405" t="n"/>
      <c r="Y58" s="395" t="inlineStr">
        <is>
          <t>Done</t>
        </is>
      </c>
      <c r="Z58" s="405" t="n"/>
      <c r="AA58" s="405" t="n"/>
      <c r="AB58" s="405" t="n"/>
      <c r="AC58" s="405" t="n"/>
      <c r="AD58" s="405" t="n"/>
      <c r="AE58" s="405" t="n"/>
    </row>
    <row r="59" ht="75" customHeight="1" s="380">
      <c r="A59" s="88" t="n">
        <v>10</v>
      </c>
      <c r="B59" s="12" t="n"/>
      <c r="C59" s="12" t="inlineStr">
        <is>
          <t>Dashboard Giám sát tuân thủ của công ty chứng khoán toàn thị trường</t>
        </is>
      </c>
      <c r="D59" s="12" t="inlineStr">
        <is>
          <t>Trạng thái nộp báo cáo</t>
        </is>
      </c>
      <c r="E59" s="12" t="inlineStr">
        <is>
          <t>Đúng hạn; Nộp chậm; Chưa nộp</t>
        </is>
      </c>
      <c r="F59" s="386" t="inlineStr">
        <is>
          <t>Dashboard</t>
        </is>
      </c>
      <c r="G59" s="386" t="inlineStr">
        <is>
          <t>Chiều</t>
        </is>
      </c>
      <c r="H59" s="386" t="inlineStr">
        <is>
          <t>Dễ</t>
        </is>
      </c>
      <c r="I59" s="386" t="n"/>
      <c r="J59" s="386" t="inlineStr">
        <is>
          <t>SCMS</t>
        </is>
      </c>
      <c r="K59" s="395" t="n"/>
      <c r="L59" s="395" t="inlineStr">
        <is>
          <t>X</t>
        </is>
      </c>
      <c r="M59" s="395" t="n"/>
      <c r="N59" s="395" t="inlineStr">
        <is>
          <t>Done</t>
        </is>
      </c>
      <c r="O59" s="401" t="n"/>
      <c r="P59" s="395" t="n"/>
      <c r="Q59" s="396" t="inlineStr">
        <is>
          <t>SCMS.BC_THANH_VIEN</t>
        </is>
      </c>
      <c r="R59" s="395" t="inlineStr">
        <is>
          <t>TRANG_THAI,
XOA_DU_LIEU</t>
        </is>
      </c>
      <c r="S59" s="395" t="n"/>
      <c r="T59" s="386" t="inlineStr">
        <is>
          <t>-- Trạng thái nộp báo cáo
SELECT DISTINCT
    CASE
        WHEN TRANG_THAI = 2 THEN 'Đúng hạn'
        WHEN TRANG_THAI = 3 THEN 'Nộp chậm'
        WHEN TRANG_THAI = 1 THEN 'Chưa nộp'
    END AS trang_thai_nop_bao_cao
FROM SCMS.BC_THANH_VIEN
WHERE XOA_DU_LIEU = 0
ORDER BY 1;</t>
        </is>
      </c>
      <c r="U59" s="386" t="n"/>
      <c r="V59" s="395" t="n"/>
      <c r="W59" s="395" t="n"/>
      <c r="X59" s="395" t="n"/>
      <c r="Y59" s="395" t="inlineStr">
        <is>
          <t>Done</t>
        </is>
      </c>
      <c r="Z59" s="395" t="n"/>
      <c r="AA59" s="395" t="n"/>
      <c r="AB59" s="395" t="n"/>
      <c r="AC59" s="395" t="n"/>
      <c r="AD59" s="395" t="n"/>
      <c r="AE59" s="395" t="n"/>
    </row>
    <row r="60" ht="63.75" customHeight="1" s="380">
      <c r="A60" s="88" t="n">
        <v>10</v>
      </c>
      <c r="B60" s="12" t="n"/>
      <c r="C60" s="12" t="inlineStr">
        <is>
          <t>Dashboard Giám sát tuân thủ của công ty chứng khoán toàn thị trường</t>
        </is>
      </c>
      <c r="D60" s="12" t="inlineStr">
        <is>
          <t>Số lượng báo cáo của CTCK đúng hạn</t>
        </is>
      </c>
      <c r="E60" s="12" t="inlineStr">
        <is>
          <t>Số lượng báo cáo của CTCK đã nộp đúng hạn</t>
        </is>
      </c>
      <c r="F60" s="386" t="inlineStr">
        <is>
          <t>Dashboard</t>
        </is>
      </c>
      <c r="G60" s="386" t="inlineStr">
        <is>
          <t>Chỉ tiêu cơ sở</t>
        </is>
      </c>
      <c r="H60" s="386" t="inlineStr">
        <is>
          <t>TB</t>
        </is>
      </c>
      <c r="I60" s="386" t="inlineStr">
        <is>
          <t>Ngày</t>
        </is>
      </c>
      <c r="J60" s="386" t="inlineStr">
        <is>
          <t>SCMS</t>
        </is>
      </c>
      <c r="K60" s="395" t="inlineStr">
        <is>
          <t>X</t>
        </is>
      </c>
      <c r="L60" s="395" t="inlineStr">
        <is>
          <t>X</t>
        </is>
      </c>
      <c r="M60" s="395" t="n"/>
      <c r="N60" s="395" t="inlineStr">
        <is>
          <t>Done</t>
        </is>
      </c>
      <c r="O60" s="401" t="n"/>
      <c r="P60" s="395" t="n"/>
      <c r="Q60" s="397" t="inlineStr">
        <is>
          <t>SCMS.BC_THANH_VIEN</t>
        </is>
      </c>
      <c r="R60" s="397" t="inlineStr">
        <is>
          <t>btv.ID,
btv.TRANG_THAI,
btv.NGAY_GUI</t>
        </is>
      </c>
      <c r="S60" s="397" t="n"/>
      <c r="T60" s="79" t="inlineStr">
        <is>
          <t>-- Số lượng báo cáo của CTCK đã nộp đúng hạn
SELECT
    nd.ngay,
    COUNT(btv.ID) AS so_bc_nop_dung_han
FROM (
    SELECT TRUNC(min_ngay) + LEVEL - 1 AS ngay
    FROM (
        SELECT MIN(NGAY_GUI) AS min_ngay
        FROM SCMS.BC_THANH_VIEN
        WHERE TRANG_THAI = 2
          AND NGAY_GUI   IS NOT NULL
    )
    CONNECT BY TRUNC(min_ngay) + LEVEL - 1 &lt;= TRUNC(SYSDATE)
) nd
LEFT JOIN SCMS.BC_THANH_VIEN btv
    ON  btv.TRANG_THAI      = 2           -- Đã nộp đúng hạn (2: Đã gửi)
    AND btv.NGAY_GUI        IS NOT NULL
    AND TRUNC(btv.NGAY_GUI) &lt;= nd.ngay
GROUP BY nd.ngay
ORDER BY nd.ngay;</t>
        </is>
      </c>
      <c r="U60" s="386" t="n"/>
      <c r="V60" s="395" t="n"/>
      <c r="W60" s="395" t="n"/>
      <c r="X60" s="395" t="n"/>
      <c r="Y60" s="395" t="inlineStr">
        <is>
          <t>Done</t>
        </is>
      </c>
      <c r="Z60" s="395" t="n"/>
      <c r="AA60" s="395" t="n"/>
      <c r="AB60" s="395" t="n"/>
      <c r="AC60" s="395" t="n"/>
      <c r="AD60" s="395" t="n"/>
      <c r="AE60" s="395" t="n"/>
    </row>
    <row r="61" ht="63.75" customHeight="1" s="380">
      <c r="A61" s="88" t="n">
        <v>10</v>
      </c>
      <c r="B61" s="12" t="n"/>
      <c r="C61" s="12" t="inlineStr">
        <is>
          <t>Dashboard Giám sát tuân thủ của công ty chứng khoán toàn thị trường</t>
        </is>
      </c>
      <c r="D61" s="12" t="inlineStr">
        <is>
          <t>Số lượng báo cáo của CTCK chậm</t>
        </is>
      </c>
      <c r="E61" s="12" t="inlineStr">
        <is>
          <t>Số lượng báo cáo của CTCK đã nộp chậm</t>
        </is>
      </c>
      <c r="F61" s="386" t="inlineStr">
        <is>
          <t>Dashboard</t>
        </is>
      </c>
      <c r="G61" s="386" t="inlineStr">
        <is>
          <t>Chỉ tiêu cơ sở</t>
        </is>
      </c>
      <c r="H61" s="386" t="inlineStr">
        <is>
          <t>TB</t>
        </is>
      </c>
      <c r="I61" s="386" t="inlineStr">
        <is>
          <t>Ngày</t>
        </is>
      </c>
      <c r="J61" s="386" t="inlineStr">
        <is>
          <t>SCMS</t>
        </is>
      </c>
      <c r="K61" s="395" t="inlineStr">
        <is>
          <t>X</t>
        </is>
      </c>
      <c r="L61" s="395" t="inlineStr">
        <is>
          <t>X</t>
        </is>
      </c>
      <c r="M61" s="395" t="n"/>
      <c r="N61" s="395" t="inlineStr">
        <is>
          <t>Done</t>
        </is>
      </c>
      <c r="O61" s="401" t="n"/>
      <c r="P61" s="395" t="n"/>
      <c r="Q61" s="397" t="inlineStr">
        <is>
          <t>SCMS.BC_THANH_VIEN</t>
        </is>
      </c>
      <c r="R61" s="397" t="inlineStr">
        <is>
          <t>btv.ID,
btv.TRANG_THAI,
btv.NGAY_GUI</t>
        </is>
      </c>
      <c r="S61" s="397" t="n"/>
      <c r="T61" s="79" t="inlineStr">
        <is>
          <t>-- Số lượng báo cáo của CTCK đã nộp chậm
SELECT
    nd.ngay,
    COUNT(btv.ID) AS so_bc_nop_cham
FROM (
    SELECT TRUNC(min_ngay) + LEVEL - 1 AS ngay
    FROM (
        SELECT MIN(NGAY_GUI) AS min_ngay
        FROM SCMS.BC_THANH_VIEN
        WHERE TRANG_THAI = 3
          AND NGAY_GUI   IS NOT NULL
    )
    CONNECT BY TRUNC(min_ngay) + LEVEL - 1 &lt;= TRUNC(SYSDATE)
) nd
LEFT JOIN SCMS.BC_THANH_VIEN btv
    ON  btv.TRANG_THAI      = 3           -- Đã nộp chậm (3: Gửi muộn)
    AND btv.NGAY_GUI        IS NOT NULL
    AND TRUNC(btv.NGAY_GUI) &lt;= nd.ngay
GROUP BY nd.ngay
ORDER BY nd.ngay;</t>
        </is>
      </c>
      <c r="U61" s="386" t="n"/>
      <c r="V61" s="395" t="n"/>
      <c r="W61" s="395" t="n"/>
      <c r="X61" s="395" t="n"/>
      <c r="Y61" s="395" t="inlineStr">
        <is>
          <t>Done</t>
        </is>
      </c>
      <c r="Z61" s="395" t="n"/>
      <c r="AA61" s="395" t="n"/>
      <c r="AB61" s="395" t="n"/>
      <c r="AC61" s="395" t="n"/>
      <c r="AD61" s="395" t="n"/>
      <c r="AE61" s="395" t="n"/>
    </row>
    <row r="62" ht="61.5" customHeight="1" s="380">
      <c r="A62" s="88" t="n">
        <v>10</v>
      </c>
      <c r="B62" s="12" t="n"/>
      <c r="C62" s="12" t="inlineStr">
        <is>
          <t>Dashboard Giám sát tuân thủ của công ty chứng khoán toàn thị trường</t>
        </is>
      </c>
      <c r="D62" s="12" t="inlineStr">
        <is>
          <t>Số lượng báo cáo của CTCK chưa báo cáo</t>
        </is>
      </c>
      <c r="E62" s="12" t="inlineStr">
        <is>
          <t>Số lượng báo cáo của CTCK đã đến hạn mà chưa nộp</t>
        </is>
      </c>
      <c r="F62" s="386" t="inlineStr">
        <is>
          <t>Dashboard</t>
        </is>
      </c>
      <c r="G62" s="386" t="inlineStr">
        <is>
          <t>Chỉ tiêu cơ sở</t>
        </is>
      </c>
      <c r="H62" s="386" t="inlineStr">
        <is>
          <t>TB</t>
        </is>
      </c>
      <c r="I62" s="386" t="inlineStr">
        <is>
          <t>Ngày</t>
        </is>
      </c>
      <c r="J62" s="386" t="inlineStr">
        <is>
          <t>SCMS</t>
        </is>
      </c>
      <c r="K62" s="395" t="inlineStr">
        <is>
          <t>X</t>
        </is>
      </c>
      <c r="L62" s="395" t="inlineStr">
        <is>
          <t>X</t>
        </is>
      </c>
      <c r="M62" s="395" t="n"/>
      <c r="N62" s="395" t="inlineStr">
        <is>
          <t>Done</t>
        </is>
      </c>
      <c r="O62" s="401" t="n"/>
      <c r="P62" s="395" t="n"/>
      <c r="Q62" s="397" t="inlineStr">
        <is>
          <t>SCMS.BC_THANH_VIEN
SCMS.BM_BAO_CAO_DINH_KY</t>
        </is>
      </c>
      <c r="R62" s="397" t="inlineStr">
        <is>
          <t xml:space="preserve">btv.ID,
btv.TRANG_THAI,
btv.BM_BAO_CAO_DINH_KY_ID,
bmdk.ID,
bmdk.THOI_GIAN_MUON_NHAT,
bmdk.SU_DUNG
</t>
        </is>
      </c>
      <c r="S62" s="397" t="n"/>
      <c r="T62" s="79" t="inlineStr">
        <is>
          <t>-- Số lượng báo cáo của CTCK đã đến hạn mà chưa nộp
SELECT
    nd.ngay,
    COUNT(btv.ID) AS so_bc_chua_nop
FROM (
    SELECT TRUNC(min_ngay) + LEVEL - 1 AS ngay
    FROM (
        SELECT MIN(NGAY_TAO) AS min_ngay
        FROM SCMS.BC_THANH_VIEN
        WHERE TRANG_THAI = 1
    )
    CONNECT BY TRUNC(min_ngay) + LEVEL - 1 &lt;= TRUNC(SYSDATE)
) nd
LEFT JOIN SCMS.BC_THANH_VIEN btv
    JOIN SCMS.BM_BAO_CAO_DINH_KY bmdk
        ON bmdk.ID = btv.BM_BAO_CAO_DINH_KY_ID
    ON  btv.TRANG_THAI = 1        -- Chưa gửi
    AND TO_DATE(bmdk.THOI_GIAN_MUON_NHAT, 'J') &lt;= nd.ngay  -- Đã quá hạn nộp tại ngày đó (kiểm tra lại kiểu dữ liệu)
    AND bmdk.SU_DUNG = 1
GROUP BY nd.ngay
ORDER BY nd.ngay;</t>
        </is>
      </c>
      <c r="U62" s="386" t="n"/>
      <c r="V62" s="395" t="n"/>
      <c r="W62" s="395" t="n"/>
      <c r="X62" s="395" t="n"/>
      <c r="Y62" s="395" t="inlineStr">
        <is>
          <t>Done</t>
        </is>
      </c>
      <c r="Z62" s="395" t="n"/>
      <c r="AA62" s="395" t="n"/>
      <c r="AB62" s="395" t="n"/>
      <c r="AC62" s="395" t="n"/>
      <c r="AD62" s="395" t="n"/>
      <c r="AE62" s="395" t="n"/>
    </row>
    <row r="63" ht="63" customHeight="1" s="380">
      <c r="A63" s="89" t="n">
        <v>10</v>
      </c>
      <c r="B63" s="84" t="n"/>
      <c r="C63" s="84" t="inlineStr">
        <is>
          <t>Dashboard Giám sát tuân thủ của công ty chứng khoán toàn thị trường</t>
        </is>
      </c>
      <c r="D63" s="84" t="inlineStr">
        <is>
          <t>Tỷ lệ tuân thủ</t>
        </is>
      </c>
      <c r="E63" s="84" t="inlineStr">
        <is>
          <t>Số lượng báo cáo đúng hạn/Số lượng báo cáo phải nộp</t>
        </is>
      </c>
      <c r="F63" s="68" t="inlineStr">
        <is>
          <t>Dashboard</t>
        </is>
      </c>
      <c r="G63" s="68" t="inlineStr">
        <is>
          <t>Chỉ tiêu phái sinh</t>
        </is>
      </c>
      <c r="H63" s="68" t="inlineStr">
        <is>
          <t>Trùng</t>
        </is>
      </c>
      <c r="I63" s="68" t="inlineStr">
        <is>
          <t>Ngày</t>
        </is>
      </c>
      <c r="J63" s="68" t="inlineStr">
        <is>
          <t>SCMS</t>
        </is>
      </c>
      <c r="K63" s="69" t="n"/>
      <c r="L63" s="69" t="inlineStr">
        <is>
          <t>X</t>
        </is>
      </c>
      <c r="M63" s="69" t="n"/>
      <c r="N63" s="69" t="inlineStr">
        <is>
          <t>Done</t>
        </is>
      </c>
      <c r="O63" s="85" t="n"/>
      <c r="P63" s="69" t="n"/>
      <c r="Q63" s="86" t="inlineStr">
        <is>
          <t>SCMS.BC_THANH_VIEN
SCMS.BM_BAO_CAO_DINH_KY</t>
        </is>
      </c>
      <c r="R63" s="86" t="inlineStr">
        <is>
          <t>btv.ID,
btv.TRANG_THAI,
btv.BM_BAO_CAO_DINH_KY_ID,
btv.NGAY_GUI,
bmdk.ID,
bmdk.THOI_GIAN_MUON_NHAT,
bmdk.SU_DUNG</t>
        </is>
      </c>
      <c r="S63" s="86" t="n"/>
      <c r="T63" s="87" t="inlineStr">
        <is>
          <t>-- Tỷ lệ tuân thủ: Số lượng báo cáo đúng hạn/Số lượng báo cáo phải nộp
SELECT
    nd.ngay,
--    COUNT(CASE WHEN btv.TRANG_THAI = 2 THEN 1 END) AS so_bc_dung_han,
--    COUNT(btv.ID) AS so_bc_phai_nop,
    ROUND(
        COUNT(CASE WHEN btv.TRANG_THAI = 2 THEN 1 END)
        / NULLIF(COUNT(btv.ID), 0) * 100
    , 2) AS ty_le_tuan_thu
FROM (
    SELECT TRUNC(min_ngay) + LEVEL - 1 AS ngay
    FROM (
        SELECT MIN(NGAY_GUI) AS min_ngay
        FROM SCMS.BC_THANH_VIEN
        WHERE NGAY_GUI IS NOT NULL
    )
    CONNECT BY TRUNC(min_ngay) + LEVEL - 1 &lt;= TRUNC(SYSDATE)
) nd
LEFT JOIN SCMS.BC_THANH_VIEN btv
    JOIN SCMS.BM_BAO_CAO_DINH_KY bmdk
        ON bmdk.ID = btv.BM_BAO_CAO_DINH_KY_ID
    ON TO_DATE(bmdk.THOI_GIAN_MUON_NHAT, 'J') &lt;= nd.ngay    -- Đã quá hạn nộp tại ngày đó (kiểm tra lại kiểu dữ liệu)
    AND bmdk.SU_DUNG            = 1
GROUP BY nd.ngay
ORDER BY nd.ngay;</t>
        </is>
      </c>
      <c r="U63" s="68" t="n"/>
      <c r="V63" s="69" t="n"/>
      <c r="W63" s="69" t="n"/>
      <c r="X63" s="69" t="n"/>
      <c r="Y63" s="69" t="inlineStr">
        <is>
          <t>Done</t>
        </is>
      </c>
      <c r="Z63" s="69" t="n"/>
      <c r="AA63" s="69" t="n"/>
      <c r="AB63" s="69" t="n"/>
      <c r="AC63" s="69" t="n"/>
      <c r="AD63" s="69" t="n"/>
      <c r="AE63" s="69" t="n"/>
    </row>
    <row r="64" ht="49.5" customHeight="1" s="380">
      <c r="A64" s="90" t="n">
        <v>11</v>
      </c>
      <c r="B64" s="74" t="n"/>
      <c r="C64" s="74" t="inlineStr">
        <is>
          <t>Dashboard Giám sát tình hình hoạt động của công ty chứng khoán toàn thị trường &gt;&gt; Biểu đồ Cơ cấu vốn chủ sở hữu</t>
        </is>
      </c>
      <c r="D64" s="75" t="inlineStr">
        <is>
          <t>Chiều thời gian theo quý</t>
        </is>
      </c>
      <c r="E64" s="75" t="inlineStr">
        <is>
          <t>Chiều thời gian theo quý</t>
        </is>
      </c>
      <c r="F64" s="400" t="inlineStr">
        <is>
          <t>Dashboard</t>
        </is>
      </c>
      <c r="G64" s="400" t="inlineStr">
        <is>
          <t>Chiều</t>
        </is>
      </c>
      <c r="H64" s="400" t="inlineStr">
        <is>
          <t>Trùng</t>
        </is>
      </c>
      <c r="I64" s="400" t="n"/>
      <c r="J64" s="400" t="inlineStr">
        <is>
          <t>SCMS</t>
        </is>
      </c>
      <c r="K64" s="405" t="n"/>
      <c r="L64" s="405" t="inlineStr">
        <is>
          <t>X</t>
        </is>
      </c>
      <c r="M64" s="405" t="n"/>
      <c r="N64" s="405" t="inlineStr">
        <is>
          <t>Done</t>
        </is>
      </c>
      <c r="O64" s="404" t="n"/>
      <c r="P64" s="405" t="n"/>
      <c r="Q64" s="20" t="inlineStr">
        <is>
          <t>Ngày dữ liệu</t>
        </is>
      </c>
      <c r="R64" s="405" t="n"/>
      <c r="S64" s="405" t="n"/>
      <c r="T64" s="386" t="inlineStr">
        <is>
          <t>-- Chiều thời gian theo quý
SELECT DISTINCT
    ADD_MONTHS(TRUNC(min_ngay, 'Q'), (LEVEL - 1) * 3) AS quy
FROM (SELECT MIN(NGAY_SO_LIEU) AS min_ngay FROM SCMS.BC_THANH_VIEN)
CONNECT BY ADD_MONTHS(TRUNC(min_ngay, 'Q'), (LEVEL - 1) * 3) &lt;= TRUNC(SYSDATE, 'Q')
ORDER BY quy;</t>
        </is>
      </c>
      <c r="U64" s="400" t="n"/>
      <c r="V64" s="405" t="n"/>
      <c r="W64" s="405" t="n"/>
      <c r="X64" s="405" t="n"/>
      <c r="Y64" s="395" t="inlineStr">
        <is>
          <t>Done</t>
        </is>
      </c>
      <c r="Z64" s="405" t="n"/>
      <c r="AA64" s="405" t="n"/>
      <c r="AB64" s="405" t="n"/>
      <c r="AC64" s="405" t="n"/>
      <c r="AD64" s="405" t="n"/>
      <c r="AE64" s="405" t="n"/>
    </row>
    <row r="65" ht="61.5" customHeight="1" s="380">
      <c r="A65" s="90" t="n">
        <v>11</v>
      </c>
      <c r="B65" s="386" t="n"/>
      <c r="C65" s="386" t="inlineStr">
        <is>
          <t>Dashboard Giám sát tình hình hoạt động của công ty chứng khoán toàn thị trường &gt;&gt; Biểu đồ Cơ cấu vốn chủ sở hữu</t>
        </is>
      </c>
      <c r="D65" s="12" t="inlineStr">
        <is>
          <t>Vốn đầu tư của chủ sở hữu</t>
        </is>
      </c>
      <c r="E65" s="79" t="inlineStr">
        <is>
          <t>Chỉ tiêu Vốn góp chủ sở hữu trên toàn thị trường</t>
        </is>
      </c>
      <c r="F65" s="386" t="inlineStr">
        <is>
          <t>Dashboard</t>
        </is>
      </c>
      <c r="G65" s="386" t="inlineStr">
        <is>
          <t>Chỉ tiêu cơ sở</t>
        </is>
      </c>
      <c r="H65" s="386" t="inlineStr">
        <is>
          <t>TB</t>
        </is>
      </c>
      <c r="I65" s="386" t="inlineStr">
        <is>
          <t>Ngày, danh mục chỉ tiêu BCTC</t>
        </is>
      </c>
      <c r="J65" s="386" t="inlineStr">
        <is>
          <t>SCMS</t>
        </is>
      </c>
      <c r="K65" s="395" t="inlineStr">
        <is>
          <t>X</t>
        </is>
      </c>
      <c r="L65" s="395" t="inlineStr">
        <is>
          <t>X</t>
        </is>
      </c>
      <c r="M65" s="395" t="inlineStr">
        <is>
          <t>X</t>
        </is>
      </c>
      <c r="N65" s="395" t="inlineStr">
        <is>
          <t>Done</t>
        </is>
      </c>
      <c r="O65" s="401" t="n"/>
      <c r="P65" s="395" t="n"/>
      <c r="Q65" s="397" t="inlineStr">
        <is>
          <t>SCMS.BC_BAO_CAO_GT
SCMS.DM_CHI_TIEU</t>
        </is>
      </c>
      <c r="R65" s="397" t="inlineStr">
        <is>
          <t>gt.NGAY_SO_LIEU,
gt.DM_CHI_TIEU_ID,
gt.GIA_TRI,
dct.ID,
dct.MA_CHI_TIEU</t>
        </is>
      </c>
      <c r="S65" s="395" t="n"/>
      <c r="T65" s="79" t="inlineStr">
        <is>
          <t>-- Vốn đầu tư của chủ sở hữu
SELECT
    nd.ngay,
    SUM(TO_NUMBER(gt.GIA_TRI)) AS von_dau_tu_csh
FROM (
    SELECT TRUNC(min_ngay) + LEVEL - 1 AS ngay
    FROM (
        SELECT MIN(gt.NGAY_SO_LIEU) AS min_ngay
        FROM SCMS.BC_BAO_CAO_GT gt
        JOIN SCMS.DM_CHI_TIEU dct ON dct.ID = gt.DM_CHI_TIEU_ID
        WHERE dct.MA_CHI_TIEU = 'VON_DAU_TU_CSH'  -- xác nhận lại
    )
    CONNECT BY TRUNC(min_ngay) + LEVEL - 1 &lt;= TRUNC(SYSDATE)
) nd
LEFT JOIN SCMS.BC_BAO_CAO_GT gt
    JOIN SCMS.DM_CHI_TIEU dct ON dct.ID = gt.DM_CHI_TIEU_ID
    ON  dct.MA_CHI_TIEU        = 'VON_DAU_TU_CSH'  -- xác nhận lại
    AND TRUNC(gt.NGAY_SO_LIEU) = nd.ngay
GROUP BY nd.ngay
ORDER BY nd.ngay;</t>
        </is>
      </c>
      <c r="U65" s="386" t="n"/>
      <c r="V65" s="395" t="n"/>
      <c r="W65" s="395" t="n"/>
      <c r="X65" s="395" t="n"/>
      <c r="Y65" s="395" t="inlineStr">
        <is>
          <t>Done</t>
        </is>
      </c>
      <c r="Z65" s="395" t="n"/>
      <c r="AA65" s="395" t="n"/>
      <c r="AB65" s="395" t="n"/>
      <c r="AC65" s="395" t="n"/>
      <c r="AD65" s="395" t="n"/>
      <c r="AE65" s="395" t="n"/>
    </row>
    <row r="66" ht="63.75" customHeight="1" s="380">
      <c r="A66" s="90" t="n">
        <v>11</v>
      </c>
      <c r="B66" s="386" t="n"/>
      <c r="C66" s="386" t="inlineStr">
        <is>
          <t>Dashboard Giám sát tình hình hoạt động của công ty chứng khoán toàn thị trường &gt;&gt; Biểu đồ Cơ cấu vốn chủ sở hữu</t>
        </is>
      </c>
      <c r="D66" s="12" t="inlineStr">
        <is>
          <t>Lợi nhuận sau thuế chưa PP</t>
        </is>
      </c>
      <c r="E66" s="79" t="inlineStr">
        <is>
          <t>Chỉ tiêu lợi nhuận sau thuế chưa phân phối</t>
        </is>
      </c>
      <c r="F66" s="386" t="inlineStr">
        <is>
          <t>Dashboard</t>
        </is>
      </c>
      <c r="G66" s="386" t="inlineStr">
        <is>
          <t>Chỉ tiêu cơ sở</t>
        </is>
      </c>
      <c r="H66" s="386" t="inlineStr">
        <is>
          <t>TB</t>
        </is>
      </c>
      <c r="I66" s="386" t="inlineStr">
        <is>
          <t>Ngày, danh mục chỉ tiêu BCTC</t>
        </is>
      </c>
      <c r="J66" s="386" t="inlineStr">
        <is>
          <t>SCMS</t>
        </is>
      </c>
      <c r="K66" s="395" t="inlineStr">
        <is>
          <t>X</t>
        </is>
      </c>
      <c r="L66" s="395" t="inlineStr">
        <is>
          <t>X</t>
        </is>
      </c>
      <c r="M66" s="395" t="inlineStr">
        <is>
          <t>X</t>
        </is>
      </c>
      <c r="N66" s="395" t="inlineStr">
        <is>
          <t>Done</t>
        </is>
      </c>
      <c r="O66" s="401" t="n"/>
      <c r="P66" s="395" t="n"/>
      <c r="Q66" s="397" t="inlineStr">
        <is>
          <t>SCMS.BC_BAO_CAO_GT
SCMS.DM_CHI_TIEU</t>
        </is>
      </c>
      <c r="R66" s="397" t="inlineStr">
        <is>
          <t>gt.NGAY_SO_LIEU,
gt.DM_CHI_TIEU_ID,
gt.GIA_TRI,
dct.ID,
dct.MA_CHI_TIEU</t>
        </is>
      </c>
      <c r="S66" s="395" t="n"/>
      <c r="T66" s="79" t="inlineStr">
        <is>
          <t>-- Lợi nhuận sau thuế chưa PP
SELECT
    nd.ngay,
    SUM(TO_NUMBER(gt.GIA_TRI)) AS loi_nhuan_sau_thue_chua_pp
FROM (
    SELECT TRUNC(min_ngay) + LEVEL - 1 AS ngay
    FROM (
        SELECT MIN(gt.NGAY_SO_LIEU) AS min_ngay
        FROM SCMS.BC_BAO_CAO_GT gt
        JOIN SCMS.DM_CHI_TIEU dct ON dct.ID = gt.DM_CHI_TIEU_ID
        WHERE dct.MA_CHI_TIEU = 'LOI_NHUAN_SAU_THUE_CHUA_PP'  -- xác nhận lại
    )
    CONNECT BY TRUNC(min_ngay) + LEVEL - 1 &lt;= TRUNC(SYSDATE)
) nd
LEFT JOIN SCMS.BC_BAO_CAO_GT gt
    JOIN SCMS.DM_CHI_TIEU dct ON dct.ID = gt.DM_CHI_TIEU_ID
    ON  dct.MA_CHI_TIEU        = 'LOI_NHUAN_SAU_THUE_CHUA_PP'  -- xác nhận lại
    AND TRUNC(gt.NGAY_SO_LIEU) = nd.ngay
GROUP BY nd.ngay
ORDER BY nd.ngay;</t>
        </is>
      </c>
      <c r="U66" s="386" t="n"/>
      <c r="V66" s="395" t="n"/>
      <c r="W66" s="395" t="n"/>
      <c r="X66" s="395" t="n"/>
      <c r="Y66" s="395" t="inlineStr">
        <is>
          <t>Done</t>
        </is>
      </c>
      <c r="Z66" s="395" t="n"/>
      <c r="AA66" s="395" t="n"/>
      <c r="AB66" s="395" t="n"/>
      <c r="AC66" s="395" t="n"/>
      <c r="AD66" s="395" t="n"/>
      <c r="AE66" s="395" t="n"/>
    </row>
    <row r="67" ht="62.25" customHeight="1" s="380">
      <c r="A67" s="90" t="n">
        <v>11</v>
      </c>
      <c r="B67" s="386" t="n"/>
      <c r="C67" s="386" t="inlineStr">
        <is>
          <t>Dashboard Giám sát tình hình hoạt động của công ty chứng khoán toàn thị trường &gt;&gt; Biểu đồ Cơ cấu vốn chủ sở hữu</t>
        </is>
      </c>
      <c r="D67" s="12" t="inlineStr">
        <is>
          <t>Quỹ, thặng dư vốn cổ phần</t>
        </is>
      </c>
      <c r="E67" s="79" t="inlineStr">
        <is>
          <t>Chỉ tiêu các quỹ và thặng dư vốn cổ phần</t>
        </is>
      </c>
      <c r="F67" s="386" t="inlineStr">
        <is>
          <t>Dashboard</t>
        </is>
      </c>
      <c r="G67" s="386" t="inlineStr">
        <is>
          <t>Chỉ tiêu cơ sở</t>
        </is>
      </c>
      <c r="H67" s="386" t="inlineStr">
        <is>
          <t>TB</t>
        </is>
      </c>
      <c r="I67" s="386" t="inlineStr">
        <is>
          <t>Ngày, danh mục chỉ tiêu BCTC</t>
        </is>
      </c>
      <c r="J67" s="386" t="inlineStr">
        <is>
          <t>SCMS</t>
        </is>
      </c>
      <c r="K67" s="395" t="inlineStr">
        <is>
          <t>X</t>
        </is>
      </c>
      <c r="L67" s="395" t="inlineStr">
        <is>
          <t>X</t>
        </is>
      </c>
      <c r="M67" s="395" t="inlineStr">
        <is>
          <t>X</t>
        </is>
      </c>
      <c r="N67" s="395" t="inlineStr">
        <is>
          <t>Done</t>
        </is>
      </c>
      <c r="O67" s="401" t="n"/>
      <c r="P67" s="395" t="n"/>
      <c r="Q67" s="397" t="inlineStr">
        <is>
          <t>SCMS.BC_BAO_CAO_GT
SCMS.DM_CHI_TIEU</t>
        </is>
      </c>
      <c r="R67" s="397" t="inlineStr">
        <is>
          <t>gt.NGAY_SO_LIEU,
gt.DM_CHI_TIEU_ID,
gt.GIA_TRI,
dct.ID,
dct.MA_CHI_TIEU</t>
        </is>
      </c>
      <c r="S67" s="395" t="n"/>
      <c r="T67" s="79" t="inlineStr">
        <is>
          <t>-- Quỹ, thặng dư vốn cổ phần
SELECT
    nd.ngay,
    SUM(TO_NUMBER(gt.GIA_TRI)) AS quy_thang_du_von_cp
FROM (
    SELECT TRUNC(min_ngay) + LEVEL - 1 AS ngay
    FROM (
        SELECT MIN(gt.NGAY_SO_LIEU) AS min_ngay
        FROM SCMS.BC_BAO_CAO_GT gt
        JOIN SCMS.DM_CHI_TIEU dct ON dct.ID = gt.DM_CHI_TIEU_ID
        WHERE dct.MA_CHI_TIEU = 'QUY_THANG_DU_VON_CP'  -- xác nhận lại
    )
    CONNECT BY TRUNC(min_ngay) + LEVEL - 1 &lt;= TRUNC(SYSDATE)
) nd
LEFT JOIN SCMS.BC_BAO_CAO_GT gt
    JOIN SCMS.DM_CHI_TIEU dct ON dct.ID = gt.DM_CHI_TIEU_ID
    ON  dct.MA_CHI_TIEU        = 'QUY_THANG_DU_VON_CP'  -- xác nhận lại
    AND TRUNC(gt.NGAY_SO_LIEU) = nd.ngay
GROUP BY nd.ngay
ORDER BY nd.ngay;</t>
        </is>
      </c>
      <c r="U67" s="386" t="n"/>
      <c r="V67" s="395" t="n"/>
      <c r="W67" s="395" t="n"/>
      <c r="X67" s="395" t="n"/>
      <c r="Y67" s="395" t="inlineStr">
        <is>
          <t>Done</t>
        </is>
      </c>
      <c r="Z67" s="395" t="n"/>
      <c r="AA67" s="395" t="n"/>
      <c r="AB67" s="395" t="n"/>
      <c r="AC67" s="395" t="n"/>
      <c r="AD67" s="395" t="n"/>
      <c r="AE67" s="395" t="n"/>
    </row>
    <row r="68" ht="96.75" customHeight="1" s="380">
      <c r="A68" s="90" t="n">
        <v>11</v>
      </c>
      <c r="B68" s="386" t="n"/>
      <c r="C68" s="386" t="inlineStr">
        <is>
          <t>Dashboard Giám sát tình hình hoạt động của công ty chứng khoán toàn thị trường &gt;&gt; Biểu đồ Cơ cấu vốn chủ sở hữu</t>
        </is>
      </c>
      <c r="D68" s="12" t="inlineStr">
        <is>
          <t>Vốn khác</t>
        </is>
      </c>
      <c r="E68" s="79" t="inlineStr">
        <is>
          <t>Chỉ tiêu Vốn chủ sở hữu - các mục trên</t>
        </is>
      </c>
      <c r="F68" s="386" t="inlineStr">
        <is>
          <t>Dashboard</t>
        </is>
      </c>
      <c r="G68" s="386" t="inlineStr">
        <is>
          <t>Chỉ tiêu cơ sở</t>
        </is>
      </c>
      <c r="H68" s="386" t="inlineStr">
        <is>
          <t>TB</t>
        </is>
      </c>
      <c r="I68" s="386" t="inlineStr">
        <is>
          <t>Ngày, danh mục chỉ tiêu BCTC</t>
        </is>
      </c>
      <c r="J68" s="386" t="inlineStr">
        <is>
          <t>SCMS</t>
        </is>
      </c>
      <c r="K68" s="395" t="inlineStr">
        <is>
          <t>X</t>
        </is>
      </c>
      <c r="L68" s="395" t="inlineStr">
        <is>
          <t>X</t>
        </is>
      </c>
      <c r="M68" s="395" t="inlineStr">
        <is>
          <t>X</t>
        </is>
      </c>
      <c r="N68" s="395" t="inlineStr">
        <is>
          <t>Done</t>
        </is>
      </c>
      <c r="O68" s="401" t="n"/>
      <c r="P68" s="395" t="n"/>
      <c r="Q68" s="397" t="inlineStr">
        <is>
          <t>SCMS.BC_BAO_CAO_GT
SCMS.DM_CHI_TIEU</t>
        </is>
      </c>
      <c r="R68" s="397" t="inlineStr">
        <is>
          <t>gt.NGAY_SO_LIEU,
gt.DM_CHI_TIEU_ID,
gt.GIA_TRI,
dct.ID,
dct.MA_CHI_TIEU</t>
        </is>
      </c>
      <c r="S68" s="395" t="n"/>
      <c r="T68" s="79" t="inlineStr">
        <is>
          <t>-- Vốn khác: Chỉ tiêu Vốn chủ sở hữu - các mục trên
SELECT
    nd.ngay,
    SUM(CASE WHEN dct.MA_CHI_TIEU = 'VON_CHU_SO_HUU' THEN TO_NUMBER(gt.GIA_TRI) ELSE 0 END)
    - SUM(CASE WHEN dct.MA_CHI_TIEU = 'VON_DAU_TU_CSH' THEN TO_NUMBER(gt.GIA_TRI) ELSE 0 END)
    - SUM(CASE WHEN dct.MA_CHI_TIEU = 'LOI_NHUAN_SAU_THUE_CHUA_PP' THEN TO_NUMBER(gt.GIA_TRI) ELSE 0 END)
    - SUM(CASE WHEN dct.MA_CHI_TIEU = 'QUY_THANG_DU_VON_CP' THEN TO_NUMBER(gt.GIA_TRI) ELSE 0 END)
    AS von_khac
FROM (
    SELECT TRUNC(min_ngay) + LEVEL - 1 AS ngay
    FROM (
        SELECT MIN(gt.NGAY_SO_LIEU) AS min_ngay
        FROM SCMS.BC_BAO_CAO_GT gt
        JOIN SCMS.DM_CHI_TIEU dct ON dct.ID = gt.DM_CHI_TIEU_ID
        WHERE dct.MA_CHI_TIEU = 'VON_CHU_SO_HUU'  -- xác nhận lại
    )
    CONNECT BY TRUNC(min_ngay) + LEVEL - 1 &lt;= TRUNC(SYSDATE)
) nd
LEFT JOIN SCMS.BC_BAO_CAO_GT gt
    JOIN SCMS.DM_CHI_TIEU dct ON dct.ID = gt.DM_CHI_TIEU_ID
    ON  dct.MA_CHI_TIEU IN (
            'VON_CHU_SO_HUU',
            'VON_DAU_TU_CSH',
            'LOI_NHUAN_SAU_THUE_CHUA_PP',
            'QUY_THANG_DU_VON_CP'
        )
    AND TRUNC(gt.NGAY_SO_LIEU) = nd.ngay
GROUP BY nd.ngay
ORDER BY nd.ngay;</t>
        </is>
      </c>
      <c r="U68" s="386" t="n"/>
      <c r="V68" s="395" t="n"/>
      <c r="W68" s="395" t="n"/>
      <c r="X68" s="395" t="n"/>
      <c r="Y68" s="395" t="inlineStr">
        <is>
          <t>Done</t>
        </is>
      </c>
      <c r="Z68" s="395" t="n"/>
      <c r="AA68" s="395" t="n"/>
      <c r="AB68" s="395" t="n"/>
      <c r="AC68" s="395" t="n"/>
      <c r="AD68" s="395" t="n"/>
      <c r="AE68" s="395" t="n"/>
    </row>
    <row r="69" ht="49.5" customHeight="1" s="380">
      <c r="A69" s="90" t="n">
        <v>12</v>
      </c>
      <c r="B69" s="81" t="n"/>
      <c r="C69" s="81" t="inlineStr">
        <is>
          <t>Dashboard Giám sát tình hình hoạt động của công ty chứng khoán toàn thị trường &gt;&gt; Biểu đồ đường về biến động vốn đầu tư của chủ sở hữu toàn thị trường</t>
        </is>
      </c>
      <c r="D69" s="12" t="inlineStr">
        <is>
          <t>Chiều thời gian theo quý</t>
        </is>
      </c>
      <c r="E69" s="12" t="inlineStr">
        <is>
          <t>Chiều thời gian theo quý</t>
        </is>
      </c>
      <c r="F69" s="386" t="inlineStr">
        <is>
          <t>Dashboard</t>
        </is>
      </c>
      <c r="G69" s="386" t="inlineStr">
        <is>
          <t>Chiều</t>
        </is>
      </c>
      <c r="H69" s="386" t="inlineStr">
        <is>
          <t>Trùng</t>
        </is>
      </c>
      <c r="I69" s="386" t="n"/>
      <c r="J69" s="386" t="inlineStr">
        <is>
          <t>SCMS</t>
        </is>
      </c>
      <c r="K69" s="395" t="n"/>
      <c r="L69" s="395" t="inlineStr">
        <is>
          <t>X</t>
        </is>
      </c>
      <c r="M69" s="395" t="n"/>
      <c r="N69" s="395" t="inlineStr">
        <is>
          <t>Done</t>
        </is>
      </c>
      <c r="O69" s="401" t="n"/>
      <c r="P69" s="395" t="n"/>
      <c r="Q69" s="20" t="inlineStr">
        <is>
          <t>Ngày dữ liệu</t>
        </is>
      </c>
      <c r="R69" s="395" t="n"/>
      <c r="S69" s="395" t="n"/>
      <c r="T69" s="386" t="inlineStr">
        <is>
          <t>-- Chiều thời gian theo quý
SELECT DISTINCT
    ADD_MONTHS(TRUNC(min_ngay, 'Q'), (LEVEL - 1) * 3) AS quy
FROM (SELECT MIN(NGAY_SO_LIEU) AS min_ngay FROM SCMS.BC_THANH_VIEN)
CONNECT BY ADD_MONTHS(TRUNC(min_ngay, 'Q'), (LEVEL - 1) * 3) &lt;= TRUNC(SYSDATE, 'Q')
ORDER BY quy;</t>
        </is>
      </c>
      <c r="U69" s="386" t="n"/>
      <c r="V69" s="395" t="n"/>
      <c r="W69" s="395" t="n"/>
      <c r="X69" s="395" t="n"/>
      <c r="Y69" s="395" t="inlineStr">
        <is>
          <t>Done</t>
        </is>
      </c>
      <c r="Z69" s="395" t="n"/>
      <c r="AA69" s="395" t="n"/>
      <c r="AB69" s="395" t="n"/>
      <c r="AC69" s="395" t="n"/>
      <c r="AD69" s="395" t="n"/>
      <c r="AE69" s="395" t="n"/>
    </row>
    <row r="70" ht="61.5" customHeight="1" s="380">
      <c r="A70" s="90" t="n">
        <v>12</v>
      </c>
      <c r="B70" s="12" t="n"/>
      <c r="C70" s="12" t="inlineStr">
        <is>
          <t>Dashboard Giám sát tình hình hoạt động của công ty chứng khoán toàn thị trường &gt;&gt; Biểu đồ đường về biến động vốn đầu tư của chủ sở hữu toàn thị trường</t>
        </is>
      </c>
      <c r="D70" s="12" t="inlineStr">
        <is>
          <t>Chỉ tiêu vốn góp của CSH trên BCTC</t>
        </is>
      </c>
      <c r="E70" s="79" t="inlineStr">
        <is>
          <t>Chỉ tiêu vốn góp của CSH trên BCTC</t>
        </is>
      </c>
      <c r="F70" s="386" t="inlineStr">
        <is>
          <t>Dashboard</t>
        </is>
      </c>
      <c r="G70" s="386" t="inlineStr">
        <is>
          <t>Chỉ tiêu cơ sở</t>
        </is>
      </c>
      <c r="H70" s="386" t="inlineStr">
        <is>
          <t>Trùng</t>
        </is>
      </c>
      <c r="I70" s="386" t="inlineStr">
        <is>
          <t>Ngày, danh mục chỉ tiêu BCTC</t>
        </is>
      </c>
      <c r="J70" s="386" t="inlineStr">
        <is>
          <t>SCMS</t>
        </is>
      </c>
      <c r="K70" s="395" t="n"/>
      <c r="L70" s="395" t="inlineStr">
        <is>
          <t>X</t>
        </is>
      </c>
      <c r="M70" s="395" t="inlineStr">
        <is>
          <t>X</t>
        </is>
      </c>
      <c r="N70" s="395" t="inlineStr">
        <is>
          <t>Done</t>
        </is>
      </c>
      <c r="O70" s="401" t="n"/>
      <c r="P70" s="395" t="n"/>
      <c r="Q70" s="397" t="inlineStr">
        <is>
          <t>SCMS.BC_BAO_CAO_GT
SCMS.DM_CHI_TIEU</t>
        </is>
      </c>
      <c r="R70" s="397" t="inlineStr">
        <is>
          <t>gt.NGAY_SO_LIEU,
gt.DM_CHI_TIEU_ID,
gt.GIA_TRI,
dct.ID,
dct.MA_CHI_TIEU</t>
        </is>
      </c>
      <c r="S70" s="395" t="n"/>
      <c r="T70" s="79" t="inlineStr">
        <is>
          <t>-- Chỉ tiêu vốn góp của CSH trên BCTC
SELECT
    nd.ngay,
    SUM(TO_NUMBER(gt.GIA_TRI)) AS von_gop_cua_csh
FROM (
    SELECT TRUNC(min_ngay) + LEVEL - 1 AS ngay
    FROM (
        SELECT MIN(gt.NGAY_SO_LIEU) AS min_ngay
        FROM SCMS.BC_BAO_CAO_GT gt
        JOIN SCMS.DM_CHI_TIEU dct ON dct.ID = gt.DM_CHI_TIEU_ID
        WHERE dct.MA_CHI_TIEU = 'VON_GOP_CUA_CSH'  -- xác nhận lại
    )
    CONNECT BY TRUNC(min_ngay) + LEVEL - 1 &lt;= TRUNC(SYSDATE)
) nd
LEFT JOIN SCMS.BC_BAO_CAO_GT gt
    JOIN SCMS.DM_CHI_TIEU dct ON dct.ID = gt.DM_CHI_TIEU_ID
    ON  dct.MA_CHI_TIEU        = 'VON_GOP_CUA_CSH'  -- xác nhận lại
    AND TRUNC(gt.NGAY_SO_LIEU) = nd.ngay
GROUP BY nd.ngay
ORDER BY nd.ngay;</t>
        </is>
      </c>
      <c r="U70" s="386" t="n"/>
      <c r="V70" s="395" t="n"/>
      <c r="W70" s="395" t="n"/>
      <c r="X70" s="395" t="n"/>
      <c r="Y70" s="395" t="inlineStr">
        <is>
          <t>Done</t>
        </is>
      </c>
      <c r="Z70" s="395" t="n"/>
      <c r="AA70" s="395" t="n"/>
      <c r="AB70" s="395" t="n"/>
      <c r="AC70" s="395" t="n"/>
      <c r="AD70" s="395" t="n"/>
      <c r="AE70" s="395" t="n"/>
    </row>
    <row r="71" ht="60.75" customHeight="1" s="380">
      <c r="A71" s="90" t="n">
        <v>13</v>
      </c>
      <c r="B71" s="81" t="n"/>
      <c r="C71" s="81" t="inlineStr">
        <is>
          <t>Dashboard Giám sát tình hình hoạt động của công ty chứng khoán toàn thị trường &gt;&gt; Biểu đồ Nguồn vốn tăng thêm trong kỳ</t>
        </is>
      </c>
      <c r="D71" s="12" t="inlineStr">
        <is>
          <t>chiều thời gian theo Tháng</t>
        </is>
      </c>
      <c r="E71" s="12" t="inlineStr">
        <is>
          <t>chiều thời gian theo Tháng</t>
        </is>
      </c>
      <c r="F71" s="386" t="inlineStr">
        <is>
          <t>Dashboard</t>
        </is>
      </c>
      <c r="G71" s="386" t="inlineStr">
        <is>
          <t>Chiều</t>
        </is>
      </c>
      <c r="H71" s="386" t="inlineStr">
        <is>
          <t>Trùng</t>
        </is>
      </c>
      <c r="I71" s="386" t="n"/>
      <c r="J71" s="386" t="inlineStr">
        <is>
          <t>SCMS</t>
        </is>
      </c>
      <c r="K71" s="395" t="n"/>
      <c r="L71" s="395" t="inlineStr">
        <is>
          <t>X</t>
        </is>
      </c>
      <c r="M71" s="395" t="n"/>
      <c r="N71" s="395" t="inlineStr">
        <is>
          <t>Done</t>
        </is>
      </c>
      <c r="O71" s="401" t="n"/>
      <c r="P71" s="395" t="n"/>
      <c r="Q71" s="20" t="inlineStr">
        <is>
          <t>Ngày dữ liệu</t>
        </is>
      </c>
      <c r="R71" s="395" t="n"/>
      <c r="S71" s="395" t="n"/>
      <c r="T71" s="386" t="inlineStr">
        <is>
          <t>-- Chiều thời gian theo tháng
SELECT DISTINCT
    ADD_MONTHS(TRUNC(min_ngay, 'MM'), LEVEL - 1) AS thang
FROM (SELECT MIN(NGAY_SO_LIEU) AS min_ngay FROM SCMS.BC_THANH_VIEN)
CONNECT BY ADD_MONTHS(TRUNC(min_ngay, 'MM'), LEVEL - 1) &lt;= TRUNC(SYSDATE, 'MM')
ORDER BY thang;</t>
        </is>
      </c>
      <c r="U71" s="386" t="n"/>
      <c r="V71" s="395" t="n"/>
      <c r="W71" s="395" t="n"/>
      <c r="X71" s="395" t="n"/>
      <c r="Y71" s="395" t="inlineStr">
        <is>
          <t>Done</t>
        </is>
      </c>
      <c r="Z71" s="395" t="n"/>
      <c r="AA71" s="395" t="n"/>
      <c r="AB71" s="395" t="n"/>
      <c r="AC71" s="395" t="n"/>
      <c r="AD71" s="395" t="n"/>
      <c r="AE71" s="395" t="n"/>
    </row>
    <row r="72" ht="61.5" customHeight="1" s="380">
      <c r="A72" s="90" t="n">
        <v>13</v>
      </c>
      <c r="B72" s="12" t="n"/>
      <c r="C72" s="12" t="inlineStr">
        <is>
          <t>Dashboard Giám sát tình hình hoạt động của công ty chứng khoán toàn thị trường &gt;&gt; Biểu đồ Nguồn vốn tăng thêm trong kỳ</t>
        </is>
      </c>
      <c r="D72" s="12" t="inlineStr">
        <is>
          <t>Phân loại hình thức tăng vốn</t>
        </is>
      </c>
      <c r="E72" s="12" t="inlineStr">
        <is>
          <t>Chào bán công chúng; Chào bán riêng lẻ; Chào bán khác; Phát hành trái phiếu riêng lẻ; Phát hành trái phiếu ra công chúng</t>
        </is>
      </c>
      <c r="F72" s="386" t="inlineStr">
        <is>
          <t>Dashboard</t>
        </is>
      </c>
      <c r="G72" s="386" t="inlineStr">
        <is>
          <t>Chiều</t>
        </is>
      </c>
      <c r="H72" s="386" t="inlineStr">
        <is>
          <t>Dễ</t>
        </is>
      </c>
      <c r="I72" s="386" t="n"/>
      <c r="J72" s="386" t="inlineStr">
        <is>
          <t>SCMS</t>
        </is>
      </c>
      <c r="K72" s="395" t="inlineStr">
        <is>
          <t>X</t>
        </is>
      </c>
      <c r="L72" s="395" t="inlineStr">
        <is>
          <t>X</t>
        </is>
      </c>
      <c r="M72" s="395" t="n"/>
      <c r="N72" s="395" t="inlineStr">
        <is>
          <t>Done</t>
        </is>
      </c>
      <c r="O72" s="401" t="n"/>
      <c r="P72" s="395" t="n"/>
      <c r="Q72" s="396" t="inlineStr">
        <is>
          <t>SCMS.CBTT_CHAO_BAN_CHUNG_KHOAN</t>
        </is>
      </c>
      <c r="R72" s="395" t="inlineStr">
        <is>
          <t>HINH_THUC_CHAO_BAN</t>
        </is>
      </c>
      <c r="S72" s="395" t="n"/>
      <c r="T72" s="386" t="inlineStr">
        <is>
          <t>-- Phân loại hình thức tăng vốn
SELECT DISTINCT
    CASE
        WHEN LOWER(HINH_THUC_CHAO_BAN) LIKE '%công chúng%' AND LOWER(HINH_THUC_CHAO_BAN) NOT LIKE '%trái phiếu%' THEN 'Chào bán công chúng'
        WHEN LOWER(HINH_THUC_CHAO_BAN) LIKE '%riêng lẻ%' AND LOWER(HINH_THUC_CHAO_BAN) NOT LIKE '%trái phiếu%' THEN 'Chào bán riêng lẻ'
        WHEN LOWER(HINH_THUC_CHAO_BAN) LIKE '%trái phiếu%' AND LOWER(HINH_THUC_CHAO_BAN) LIKE '%riêng lẻ%' THEN 'Phát hành trái phiếu riêng lẻ'
        WHEN LOWER(HINH_THUC_CHAO_BAN) LIKE '%trái phiếu%' AND LOWER(HINH_THUC_CHAO_BAN) LIKE '%công chúng%' THEN 'Phát hành trái phiếu ra công chúng'
        ELSE 'Chào bán khác'
    END AS hinh_thuc_tang_von
FROM SCMS.CBTT_CHAO_BAN_CHUNG_KHOAN
WHERE HINH_THUC_CHAO_BAN IS NOT NULL
ORDER BY 1;</t>
        </is>
      </c>
      <c r="U72" s="386" t="n"/>
      <c r="V72" s="395" t="n"/>
      <c r="W72" s="395" t="n"/>
      <c r="X72" s="395" t="n"/>
      <c r="Y72" s="395" t="inlineStr">
        <is>
          <t>Done</t>
        </is>
      </c>
      <c r="Z72" s="395" t="n"/>
      <c r="AA72" s="395" t="n"/>
      <c r="AB72" s="395" t="n"/>
      <c r="AC72" s="395" t="n"/>
      <c r="AD72" s="395" t="n"/>
      <c r="AE72" s="395" t="n"/>
    </row>
    <row r="73" ht="61.5" customHeight="1" s="380">
      <c r="A73" s="90" t="n">
        <v>13</v>
      </c>
      <c r="B73" s="12" t="n"/>
      <c r="C73" s="12" t="inlineStr">
        <is>
          <t>Dashboard Giám sát tình hình hoạt động của công ty chứng khoán toàn thị trường &gt;&gt; Biểu đồ Nguồn vốn tăng thêm trong kỳ</t>
        </is>
      </c>
      <c r="D73" s="12" t="inlineStr">
        <is>
          <t>Vốn tăng thêm do chào bán ra công chúng</t>
        </is>
      </c>
      <c r="E73" s="12" t="inlineStr">
        <is>
          <t>Vốn tăng thêm do chào bán ra công chúng</t>
        </is>
      </c>
      <c r="F73" s="386" t="inlineStr">
        <is>
          <t>Dashboard</t>
        </is>
      </c>
      <c r="G73" s="386" t="inlineStr">
        <is>
          <t>Chỉ tiêu cơ sở</t>
        </is>
      </c>
      <c r="H73" s="386" t="inlineStr">
        <is>
          <t>TB</t>
        </is>
      </c>
      <c r="I73" s="386" t="inlineStr">
        <is>
          <t>Ngày, hình thức tăng vốn</t>
        </is>
      </c>
      <c r="J73" s="386" t="inlineStr">
        <is>
          <t>SCMS</t>
        </is>
      </c>
      <c r="K73" s="395" t="inlineStr">
        <is>
          <t>X</t>
        </is>
      </c>
      <c r="L73" s="395" t="inlineStr">
        <is>
          <t>X</t>
        </is>
      </c>
      <c r="M73" s="395" t="inlineStr">
        <is>
          <t>X</t>
        </is>
      </c>
      <c r="N73" s="395" t="inlineStr">
        <is>
          <t>Done</t>
        </is>
      </c>
      <c r="O73" s="401" t="n"/>
      <c r="P73" s="395" t="n"/>
      <c r="Q73" s="395" t="inlineStr">
        <is>
          <t>SCMS.CBTT_CHAO_BAN_CHUNG_KHOAN</t>
        </is>
      </c>
      <c r="R73" s="395" t="inlineStr">
        <is>
          <t>c.NGAY_CHAO_BAN,
c.GIA_TRI,
c.TRANG_THAI,
c.HINH_THUC_CHAO_BAN</t>
        </is>
      </c>
      <c r="S73" s="395" t="n"/>
      <c r="T73" s="386" t="inlineStr">
        <is>
          <t>-- Vốn tăng thêm do chào bán ra công chúng
SELECT
    nd.ngay,
    SUM(c.GIA_TRI) AS von_tang_chao_ban_cong_chung
FROM (
    SELECT TRUNC(min_ngay) + LEVEL - 1 AS ngay
    FROM (
        SELECT MIN(NGAY_CHAO_BAN) AS min_ngay
        FROM SCMS.CBTT_CHAO_BAN_CHUNG_KHOAN
        WHERE TRANG_THAI = 1
          AND NGAY_CHAO_BAN IS NOT NULL
          AND LOWER(HINH_THUC_CHAO_BAN) LIKE '%công chúng%'
          AND LOWER(HINH_THUC_CHAO_BAN) NOT LIKE '%trái phiếu%'
    )
    CONNECT BY TRUNC(min_ngay) + LEVEL - 1 &lt;= TRUNC(SYSDATE)
) nd
LEFT JOIN SCMS.CBTT_CHAO_BAN_CHUNG_KHOAN c
    ON  TRUNC(c.NGAY_CHAO_BAN) = nd.ngay
    AND c.TRANG_THAI = 1
    AND c.GIA_TRI IS NOT NULL
    AND LOWER(c.HINH_THUC_CHAO_BAN) LIKE '%công chúng%'
    AND LOWER(c.HINH_THUC_CHAO_BAN) NOT LIKE '%trái phiếu%'
GROUP BY nd.ngay
ORDER BY nd.ngay;</t>
        </is>
      </c>
      <c r="U73" s="386" t="n"/>
      <c r="V73" s="395" t="n"/>
      <c r="W73" s="395" t="n"/>
      <c r="X73" s="395" t="n"/>
      <c r="Y73" s="395" t="inlineStr">
        <is>
          <t>Done</t>
        </is>
      </c>
      <c r="Z73" s="395" t="n"/>
      <c r="AA73" s="395" t="n"/>
      <c r="AB73" s="395" t="n"/>
      <c r="AC73" s="395" t="n"/>
      <c r="AD73" s="395" t="n"/>
      <c r="AE73" s="395" t="n"/>
    </row>
    <row r="74" ht="63" customHeight="1" s="380">
      <c r="A74" s="90" t="n">
        <v>13</v>
      </c>
      <c r="B74" s="12" t="n"/>
      <c r="C74" s="12" t="inlineStr">
        <is>
          <t>Dashboard Giám sát tình hình hoạt động của công ty chứng khoán toàn thị trường &gt;&gt; Biểu đồ Nguồn vốn tăng thêm trong kỳ</t>
        </is>
      </c>
      <c r="D74" s="12" t="inlineStr">
        <is>
          <t>Vốn tăng thêm do chào bán riêng lẻ</t>
        </is>
      </c>
      <c r="E74" s="12" t="inlineStr">
        <is>
          <t>Vốn tăng thêm do chào bán riêng lẻ</t>
        </is>
      </c>
      <c r="F74" s="386" t="inlineStr">
        <is>
          <t>Dashboard</t>
        </is>
      </c>
      <c r="G74" s="386" t="inlineStr">
        <is>
          <t>Chỉ tiêu cơ sở</t>
        </is>
      </c>
      <c r="H74" s="386" t="inlineStr">
        <is>
          <t>TB</t>
        </is>
      </c>
      <c r="I74" s="386" t="inlineStr">
        <is>
          <t>Ngày, hình thức tăng vốn</t>
        </is>
      </c>
      <c r="J74" s="386" t="inlineStr">
        <is>
          <t>SCMS</t>
        </is>
      </c>
      <c r="K74" s="395" t="inlineStr">
        <is>
          <t>X</t>
        </is>
      </c>
      <c r="L74" s="395" t="inlineStr">
        <is>
          <t>X</t>
        </is>
      </c>
      <c r="M74" s="395" t="inlineStr">
        <is>
          <t>X</t>
        </is>
      </c>
      <c r="N74" s="395" t="inlineStr">
        <is>
          <t>Done</t>
        </is>
      </c>
      <c r="O74" s="401" t="n"/>
      <c r="P74" s="395" t="n"/>
      <c r="Q74" s="395" t="inlineStr">
        <is>
          <t>SCMS.CBTT_CHAO_BAN_CHUNG_KHOAN</t>
        </is>
      </c>
      <c r="R74" s="395" t="inlineStr">
        <is>
          <t>c.NGAY_CHAO_BAN,
c.GIA_TRI,
c.TRANG_THAI,
c.HINH_THUC_CHAO_BAN</t>
        </is>
      </c>
      <c r="S74" s="395" t="n"/>
      <c r="T74" s="386" t="inlineStr">
        <is>
          <t>-- Vốn tăng thêm do chào bán riêng lẻ
SELECT
    nd.ngay,
    SUM(c.GIA_TRI) AS von_tang_chao_ban_rieng_le
FROM (
    SELECT TRUNC(min_ngay) + LEVEL - 1 AS ngay
    FROM (
        SELECT MIN(NGAY_CHAO_BAN) AS min_ngay
        FROM SCMS.CBTT_CHAO_BAN_CHUNG_KHOAN
        WHERE TRANG_THAI = 1
          AND NGAY_CHAO_BAN IS NOT NULL
          AND LOWER(HINH_THUC_CHAO_BAN) LIKE '%riêng lẻ%'
          AND LOWER(HINH_THUC_CHAO_BAN) NOT LIKE '%trái phiếu%'
    )
    CONNECT BY TRUNC(min_ngay) + LEVEL - 1 &lt;= TRUNC(SYSDATE)
) nd
LEFT JOIN SCMS.CBTT_CHAO_BAN_CHUNG_KHOAN c
    ON  TRUNC(c.NGAY_CHAO_BAN) = nd.ngay
    AND c.TRANG_THAI = 1
    AND c.GIA_TRI IS NOT NULL
    AND LOWER(c.HINH_THUC_CHAO_BAN) LIKE '%riêng lẻ%'
    AND LOWER(c.HINH_THUC_CHAO_BAN) NOT LIKE '%trái phiếu%'
GROUP BY nd.ngay
ORDER BY nd.ngay;</t>
        </is>
      </c>
      <c r="U74" s="386" t="n"/>
      <c r="V74" s="395" t="n"/>
      <c r="W74" s="395" t="n"/>
      <c r="X74" s="395" t="n"/>
      <c r="Y74" s="395" t="inlineStr">
        <is>
          <t>Done</t>
        </is>
      </c>
      <c r="Z74" s="395" t="n"/>
      <c r="AA74" s="395" t="n"/>
      <c r="AB74" s="395" t="n"/>
      <c r="AC74" s="395" t="n"/>
      <c r="AD74" s="395" t="n"/>
      <c r="AE74" s="395" t="n"/>
    </row>
    <row r="75" ht="60.75" customHeight="1" s="380">
      <c r="A75" s="90" t="n">
        <v>13</v>
      </c>
      <c r="B75" s="12" t="n"/>
      <c r="C75" s="12" t="inlineStr">
        <is>
          <t>Dashboard Giám sát tình hình hoạt động của công ty chứng khoán toàn thị trường &gt;&gt; Biểu đồ Nguồn vốn tăng thêm trong kỳ</t>
        </is>
      </c>
      <c r="D75" s="12" t="inlineStr">
        <is>
          <t>Vốn tăng thêm do chào bán khác</t>
        </is>
      </c>
      <c r="E75" s="12" t="inlineStr">
        <is>
          <t>Vốn tăng thêm do chào bán khác</t>
        </is>
      </c>
      <c r="F75" s="386" t="inlineStr">
        <is>
          <t>Dashboard</t>
        </is>
      </c>
      <c r="G75" s="386" t="inlineStr">
        <is>
          <t>Chỉ tiêu cơ sở</t>
        </is>
      </c>
      <c r="H75" s="386" t="inlineStr">
        <is>
          <t>TB</t>
        </is>
      </c>
      <c r="I75" s="386" t="inlineStr">
        <is>
          <t>Ngày, hình thức tăng vốn</t>
        </is>
      </c>
      <c r="J75" s="386" t="inlineStr">
        <is>
          <t>SCMS</t>
        </is>
      </c>
      <c r="K75" s="395" t="inlineStr">
        <is>
          <t>X</t>
        </is>
      </c>
      <c r="L75" s="395" t="inlineStr">
        <is>
          <t>X</t>
        </is>
      </c>
      <c r="M75" s="395" t="inlineStr">
        <is>
          <t>X</t>
        </is>
      </c>
      <c r="N75" s="395" t="inlineStr">
        <is>
          <t>Done</t>
        </is>
      </c>
      <c r="O75" s="401" t="n"/>
      <c r="P75" s="395" t="n"/>
      <c r="Q75" s="395" t="inlineStr">
        <is>
          <t>SCMS.CBTT_CHAO_BAN_CHUNG_KHOAN</t>
        </is>
      </c>
      <c r="R75" s="395" t="inlineStr">
        <is>
          <t>c.NGAY_CHAO_BAN,
c.GIA_TRI,
c.TRANG_THAI,
c.HINH_THUC_CHAO_BAN</t>
        </is>
      </c>
      <c r="S75" s="395" t="n"/>
      <c r="T75" s="386" t="inlineStr">
        <is>
          <t>-- Vốn tăng thêm do chào bán khác
SELECT
    nd.ngay,
    SUM(c.GIA_TRI) AS von_tang_chao_ban_khac
FROM (
    SELECT TRUNC(min_ngay) + LEVEL - 1 AS ngay
    FROM (
        SELECT MIN(NGAY_CHAO_BAN) AS min_ngay
        FROM SCMS.CBTT_CHAO_BAN_CHUNG_KHOAN
        WHERE TRANG_THAI = 1
          AND NGAY_CHAO_BAN IS NOT NULL
          AND LOWER(HINH_THUC_CHAO_BAN) NOT LIKE '%công chúng%'
          AND LOWER(HINH_THUC_CHAO_BAN) NOT LIKE '%riêng lẻ%'
          AND LOWER(HINH_THUC_CHAO_BAN) NOT LIKE '%trái phiếu%'
    )
    CONNECT BY TRUNC(min_ngay) + LEVEL - 1 &lt;= TRUNC(SYSDATE)
) nd
LEFT JOIN SCMS.CBTT_CHAO_BAN_CHUNG_KHOAN c
    ON  TRUNC(c.NGAY_CHAO_BAN) = nd.ngay
    AND c.TRANG_THAI = 1
    AND c.GIA_TRI IS NOT NULL
    AND LOWER(c.HINH_THUC_CHAO_BAN) NOT LIKE '%công chúng%'
    AND LOWER(c.HINH_THUC_CHAO_BAN) NOT LIKE '%riêng lẻ%'
    AND LOWER(c.HINH_THUC_CHAO_BAN) NOT LIKE '%trái phiếu%'
GROUP BY nd.ngay
ORDER BY nd.ngay;</t>
        </is>
      </c>
      <c r="U75" s="386" t="n"/>
      <c r="V75" s="395" t="n"/>
      <c r="W75" s="395" t="n"/>
      <c r="X75" s="395" t="n"/>
      <c r="Y75" s="395" t="inlineStr">
        <is>
          <t>Done</t>
        </is>
      </c>
      <c r="Z75" s="395" t="n"/>
      <c r="AA75" s="395" t="n"/>
      <c r="AB75" s="395" t="n"/>
      <c r="AC75" s="395" t="n"/>
      <c r="AD75" s="395" t="n"/>
      <c r="AE75" s="395" t="n"/>
    </row>
    <row r="76" ht="61.5" customHeight="1" s="380">
      <c r="A76" s="90" t="n">
        <v>13</v>
      </c>
      <c r="B76" s="12" t="n"/>
      <c r="C76" s="12" t="inlineStr">
        <is>
          <t>Dashboard Giám sát tình hình hoạt động của công ty chứng khoán toàn thị trường &gt;&gt; Biểu đồ Nguồn vốn tăng thêm trong kỳ</t>
        </is>
      </c>
      <c r="D76" s="12" t="inlineStr">
        <is>
          <t>Vốn tăng thêm do phát hành trái phiếu riêng lẻ</t>
        </is>
      </c>
      <c r="E76" s="12" t="inlineStr">
        <is>
          <t>Vốn tăng thêm do phát hành trái phiếu riêng lẻ</t>
        </is>
      </c>
      <c r="F76" s="386" t="inlineStr">
        <is>
          <t>Dashboard</t>
        </is>
      </c>
      <c r="G76" s="386" t="inlineStr">
        <is>
          <t>Chỉ tiêu cơ sở</t>
        </is>
      </c>
      <c r="H76" s="386" t="inlineStr">
        <is>
          <t>TB</t>
        </is>
      </c>
      <c r="I76" s="386" t="inlineStr">
        <is>
          <t>Ngày, hình thức tăng vốn</t>
        </is>
      </c>
      <c r="J76" s="386" t="inlineStr">
        <is>
          <t>SCMS</t>
        </is>
      </c>
      <c r="K76" s="395" t="inlineStr">
        <is>
          <t>X</t>
        </is>
      </c>
      <c r="L76" s="395" t="inlineStr">
        <is>
          <t>X</t>
        </is>
      </c>
      <c r="M76" s="395" t="inlineStr">
        <is>
          <t>X</t>
        </is>
      </c>
      <c r="N76" s="395" t="inlineStr">
        <is>
          <t>Done</t>
        </is>
      </c>
      <c r="O76" s="401" t="n"/>
      <c r="P76" s="395" t="n"/>
      <c r="Q76" s="395" t="inlineStr">
        <is>
          <t>SCMS.CBTT_CHAO_BAN_CHUNG_KHOAN</t>
        </is>
      </c>
      <c r="R76" s="395" t="inlineStr">
        <is>
          <t>c.NGAY_CHAO_BAN,
c.GIA_TRI,
c.TRANG_THAI,
c.HINH_THUC_CHAO_BAN</t>
        </is>
      </c>
      <c r="S76" s="395" t="n"/>
      <c r="T76" s="386" t="inlineStr">
        <is>
          <t>-- Vốn tăng thêm do phát hành trái phiếu riêng lẻ
SELECT
    nd.ngay,
    SUM(c.GIA_TRI) AS von_tang_trai_phieu_rieng_le
FROM (
    SELECT TRUNC(min_ngay) + LEVEL - 1 AS ngay
    FROM (
        SELECT MIN(NGAY_CHAO_BAN) AS min_ngay
        FROM SCMS.CBTT_CHAO_BAN_CHUNG_KHOAN
        WHERE TRANG_THAI = 1
          AND NGAY_CHAO_BAN IS NOT NULL
          AND LOWER(HINH_THUC_CHAO_BAN) LIKE '%trái phiếu riêng lẻ%'
    )
    CONNECT BY TRUNC(min_ngay) + LEVEL - 1 &lt;= TRUNC(SYSDATE)
) nd
LEFT JOIN SCMS.CBTT_CHAO_BAN_CHUNG_KHOAN c
    ON  TRUNC(c.NGAY_CHAO_BAN) = nd.ngay
    AND c.TRANG_THAI = 1
    AND c.GIA_TRI IS NOT NULL
    AND LOWER(c.HINH_THUC_CHAO_BAN) LIKE '%trái phiếu riêng lẻ%'
GROUP BY nd.ngay
ORDER BY nd.ngay;</t>
        </is>
      </c>
      <c r="U76" s="386" t="n"/>
      <c r="V76" s="395" t="n"/>
      <c r="W76" s="395" t="n"/>
      <c r="X76" s="395" t="n"/>
      <c r="Y76" s="395" t="inlineStr">
        <is>
          <t>Done</t>
        </is>
      </c>
      <c r="Z76" s="395" t="n"/>
      <c r="AA76" s="395" t="n"/>
      <c r="AB76" s="395" t="n"/>
      <c r="AC76" s="395" t="n"/>
      <c r="AD76" s="395" t="n"/>
      <c r="AE76" s="395" t="n"/>
    </row>
    <row r="77" ht="63.75" customHeight="1" s="380">
      <c r="A77" s="90" t="n">
        <v>13</v>
      </c>
      <c r="B77" s="12" t="n"/>
      <c r="C77" s="12" t="inlineStr">
        <is>
          <t>Dashboard Giám sát tình hình hoạt động của công ty chứng khoán toàn thị trường &gt;&gt; Biểu đồ Nguồn vốn tăng thêm trong kỳ</t>
        </is>
      </c>
      <c r="D77" s="12" t="inlineStr">
        <is>
          <t>Vốn tăng thêm do phát hành trái phiếu ra công chúng</t>
        </is>
      </c>
      <c r="E77" s="12" t="inlineStr">
        <is>
          <t>Vốn tăng thêm do phát hành trái phiếu ra công chúng</t>
        </is>
      </c>
      <c r="F77" s="386" t="inlineStr">
        <is>
          <t>Dashboard</t>
        </is>
      </c>
      <c r="G77" s="386" t="inlineStr">
        <is>
          <t>Chỉ tiêu cơ sở</t>
        </is>
      </c>
      <c r="H77" s="386" t="inlineStr">
        <is>
          <t>TB</t>
        </is>
      </c>
      <c r="I77" s="386" t="inlineStr">
        <is>
          <t>Ngày, hình thức tăng vốn</t>
        </is>
      </c>
      <c r="J77" s="386" t="inlineStr">
        <is>
          <t>SCMS</t>
        </is>
      </c>
      <c r="K77" s="395" t="inlineStr">
        <is>
          <t>X</t>
        </is>
      </c>
      <c r="L77" s="395" t="inlineStr">
        <is>
          <t>X</t>
        </is>
      </c>
      <c r="M77" s="395" t="inlineStr">
        <is>
          <t>X</t>
        </is>
      </c>
      <c r="N77" s="395" t="inlineStr">
        <is>
          <t>Done</t>
        </is>
      </c>
      <c r="O77" s="401" t="n"/>
      <c r="P77" s="395" t="n"/>
      <c r="Q77" s="395" t="inlineStr">
        <is>
          <t>SCMS.CBTT_CHAO_BAN_CHUNG_KHOAN</t>
        </is>
      </c>
      <c r="R77" s="395" t="inlineStr">
        <is>
          <t>c.NGAY_CHAO_BAN,
c.GIA_TRI,
c.TRANG_THAI,
c.HINH_THUC_CHAO_BAN</t>
        </is>
      </c>
      <c r="S77" s="395" t="n"/>
      <c r="T77" s="386" t="inlineStr">
        <is>
          <t>-- Vốn tăng thêm do phát hành trái phiếu ra công chúng
SELECT
    nd.ngay,
    SUM(c.GIA_TRI) AS von_tang_trai_phieu_ra_cong_chung
FROM (
    SELECT TRUNC(min_ngay) + LEVEL - 1 AS ngay
    FROM (
        SELECT MIN(NGAY_CHAO_BAN) AS min_ngay
        FROM SCMS.CBTT_CHAO_BAN_CHUNG_KHOAN
        WHERE TRANG_THAI = 1
          AND NGAY_CHAO_BAN IS NOT NULL
          AND LOWER(HINH_THUC_CHAO_BAN) LIKE '%trái phiếu%'
          AND LOWER(HINH_THUC_CHAO_BAN) LIKE '%công chúng%'
    )
    CONNECT BY TRUNC(min_ngay) + LEVEL - 1 &lt;= TRUNC(SYSDATE)
) nd
LEFT JOIN SCMS.CBTT_CHAO_BAN_CHUNG_KHOAN c
    ON  TRUNC(c.NGAY_CHAO_BAN) = nd.ngay
    AND c.TRANG_THAI = 1
    AND c.GIA_TRI IS NOT NULL
    AND LOWER(c.HINH_THUC_CHAO_BAN) LIKE '%trái phiếu%'
    AND LOWER(HINH_THUC_CHAO_BAN) LIKE '%công chúng%'
GROUP BY nd.ngay
ORDER BY nd.ngay;</t>
        </is>
      </c>
      <c r="U77" s="386" t="n"/>
      <c r="V77" s="395" t="n"/>
      <c r="W77" s="395" t="n"/>
      <c r="X77" s="395" t="n"/>
      <c r="Y77" s="395" t="inlineStr">
        <is>
          <t>Done</t>
        </is>
      </c>
      <c r="Z77" s="395" t="n"/>
      <c r="AA77" s="395" t="n"/>
      <c r="AB77" s="395" t="n"/>
      <c r="AC77" s="395" t="n"/>
      <c r="AD77" s="395" t="n"/>
      <c r="AE77" s="395" t="n"/>
    </row>
    <row r="78" ht="63.75" customHeight="1" s="380">
      <c r="A78" s="90" t="n">
        <v>14</v>
      </c>
      <c r="B78" s="81" t="n"/>
      <c r="C78" s="81" t="inlineStr">
        <is>
          <t>Dashboard Giám sát tình hình hoạt động của công ty chứng khoán toàn thị trường &gt;&gt; Biểu đồ Tỷ lệ vốn khả dụng hàng tháng</t>
        </is>
      </c>
      <c r="D78" s="12" t="inlineStr">
        <is>
          <t>chiều thời gian theo Tháng</t>
        </is>
      </c>
      <c r="E78" s="12" t="inlineStr">
        <is>
          <t>chiều thời gian theo Tháng</t>
        </is>
      </c>
      <c r="F78" s="386" t="inlineStr">
        <is>
          <t>Dashboard</t>
        </is>
      </c>
      <c r="G78" s="386" t="inlineStr">
        <is>
          <t>Chiều</t>
        </is>
      </c>
      <c r="H78" s="386" t="inlineStr">
        <is>
          <t>Trùng</t>
        </is>
      </c>
      <c r="I78" s="386" t="n"/>
      <c r="J78" s="386" t="inlineStr">
        <is>
          <t>SCMS</t>
        </is>
      </c>
      <c r="K78" s="395" t="n"/>
      <c r="L78" s="395" t="inlineStr">
        <is>
          <t>X</t>
        </is>
      </c>
      <c r="M78" s="395" t="n"/>
      <c r="N78" s="395" t="inlineStr">
        <is>
          <t>Done</t>
        </is>
      </c>
      <c r="O78" s="401" t="n"/>
      <c r="P78" s="395" t="n"/>
      <c r="Q78" s="20" t="inlineStr">
        <is>
          <t>Ngày dữ liệu</t>
        </is>
      </c>
      <c r="R78" s="395" t="n"/>
      <c r="S78" s="395" t="n"/>
      <c r="T78" s="386" t="inlineStr">
        <is>
          <t>-- Chiều thời gian theo tháng
SELECT DISTINCT
    ADD_MONTHS(TRUNC(min_ngay, 'MM'), LEVEL - 1) AS thang
FROM (SELECT MIN(NGAY_SO_LIEU) AS min_ngay FROM SCMS.BC_THANH_VIEN)
CONNECT BY ADD_MONTHS(TRUNC(min_ngay, 'MM'), LEVEL - 1) &lt;= TRUNC(SYSDATE, 'MM')
ORDER BY thang;</t>
        </is>
      </c>
      <c r="U78" s="386" t="n"/>
      <c r="V78" s="395" t="n"/>
      <c r="W78" s="395" t="n"/>
      <c r="X78" s="395" t="n"/>
      <c r="Y78" s="395" t="inlineStr">
        <is>
          <t>Done</t>
        </is>
      </c>
      <c r="Z78" s="395" t="n"/>
      <c r="AA78" s="395" t="n"/>
      <c r="AB78" s="395" t="n"/>
      <c r="AC78" s="395" t="n"/>
      <c r="AD78" s="395" t="n"/>
      <c r="AE78" s="395" t="n"/>
    </row>
    <row r="79" ht="73.5" customHeight="1" s="380">
      <c r="A79" s="90" t="n">
        <v>14</v>
      </c>
      <c r="B79" s="12" t="n"/>
      <c r="C79" s="12" t="inlineStr">
        <is>
          <t>Dashboard Giám sát tình hình hoạt động của công ty chứng khoán toàn thị trường &gt;&gt; Biểu đồ Tỷ lệ vốn khả dụng hàng tháng</t>
        </is>
      </c>
      <c r="D79" s="12" t="inlineStr">
        <is>
          <t>Phân loại tỷ lệ vốn khả dụng</t>
        </is>
      </c>
      <c r="E79" s="12" t="inlineStr">
        <is>
          <t>Mức cao; Mức trung bình; Mức thấp</t>
        </is>
      </c>
      <c r="F79" s="386" t="inlineStr">
        <is>
          <t>Dashboard</t>
        </is>
      </c>
      <c r="G79" s="386" t="inlineStr">
        <is>
          <t>Chiều</t>
        </is>
      </c>
      <c r="H79" s="386" t="inlineStr">
        <is>
          <t>Dễ</t>
        </is>
      </c>
      <c r="I79" s="386" t="n"/>
      <c r="J79" s="386" t="inlineStr">
        <is>
          <t>SCMS</t>
        </is>
      </c>
      <c r="K79" s="395" t="n"/>
      <c r="L79" s="395" t="inlineStr">
        <is>
          <t>X</t>
        </is>
      </c>
      <c r="M79" s="395" t="n"/>
      <c r="N79" s="395" t="inlineStr">
        <is>
          <t>Done</t>
        </is>
      </c>
      <c r="O79" s="401" t="n"/>
      <c r="P79" s="395" t="n"/>
      <c r="Q79" s="396" t="inlineStr">
        <is>
          <t>SCMS.BC_BAO_CAO_GT
SCMS.DM_CHI_TIEU</t>
        </is>
      </c>
      <c r="R79" s="395" t="inlineStr">
        <is>
          <t>gt.GIA_TRI,
gt.DM_CHI_TIEU_ID,
dct.ID,
dct.MA_CHI_TIEU</t>
        </is>
      </c>
      <c r="S79" s="395" t="n"/>
      <c r="T79" s="386" t="inlineStr">
        <is>
          <t>-- Phân loại tỷ lệ vốn khả dụng
SELECT DISTINCT
    CASE
        WHEN TO_NUMBER(gt.GIA_TRI) &gt;  150 THEN 'Mức cao'
        WHEN TO_NUMBER(gt.GIA_TRI) &gt;= 120 AND TO_NUMBER(gt.GIA_TRI) &lt;= 150 THEN 'Mức trung bình'
        WHEN TO_NUMBER(gt.GIA_TRI) &lt;  120 THEN 'Mức thấp'
    END AS phan_loai_tlvkd
FROM SCMS.BC_BAO_CAO_GT gt
JOIN SCMS.DM_CHI_TIEU dct ON dct.ID = gt.DM_CHI_TIEU_ID
WHERE dct.MA_CHI_TIEU = 'TY_LE_VON_KHA_DUNG'  -- Xác nhận lại
  AND gt.GIA_TRI IS NOT NULL
ORDER BY 1;</t>
        </is>
      </c>
      <c r="U79" s="386" t="n"/>
      <c r="V79" s="395" t="n"/>
      <c r="W79" s="395" t="n"/>
      <c r="X79" s="395" t="n"/>
      <c r="Y79" s="395" t="inlineStr">
        <is>
          <t>Done</t>
        </is>
      </c>
      <c r="Z79" s="395" t="n"/>
      <c r="AA79" s="395" t="n"/>
      <c r="AB79" s="395" t="n"/>
      <c r="AC79" s="395" t="n"/>
      <c r="AD79" s="395" t="n"/>
      <c r="AE79" s="395" t="n"/>
    </row>
    <row r="80" ht="63" customHeight="1" s="380">
      <c r="A80" s="90" t="n">
        <v>14</v>
      </c>
      <c r="B80" s="12" t="n"/>
      <c r="C80" s="12" t="inlineStr">
        <is>
          <t>Dashboard Giám sát tình hình hoạt động của công ty chứng khoán toàn thị trường &gt;&gt; Biểu đồ Tỷ lệ vốn khả dụng hàng tháng</t>
        </is>
      </c>
      <c r="D80" s="12" t="inlineStr">
        <is>
          <t>Số lượng CTCK tỷ lệ vốn khả dụng ở mức cao</t>
        </is>
      </c>
      <c r="E80" s="12" t="inlineStr">
        <is>
          <t>Số lượng CTCK tỷ lệ vốn khả dụng ở mức cao</t>
        </is>
      </c>
      <c r="F80" s="386" t="inlineStr">
        <is>
          <t>Dashboard</t>
        </is>
      </c>
      <c r="G80" s="386" t="inlineStr">
        <is>
          <t>Chỉ tiêu cơ sở</t>
        </is>
      </c>
      <c r="H80" s="386" t="inlineStr">
        <is>
          <t>Trùng</t>
        </is>
      </c>
      <c r="I80" s="386" t="inlineStr">
        <is>
          <t>Ngày, Phân loại tỷ lệ vốn khả dụng</t>
        </is>
      </c>
      <c r="J80" s="386" t="inlineStr">
        <is>
          <t>SCMS</t>
        </is>
      </c>
      <c r="K80" s="395" t="inlineStr">
        <is>
          <t>x</t>
        </is>
      </c>
      <c r="L80" s="395" t="inlineStr">
        <is>
          <t>X</t>
        </is>
      </c>
      <c r="M80" s="395" t="inlineStr">
        <is>
          <t>X</t>
        </is>
      </c>
      <c r="N80" s="395" t="inlineStr">
        <is>
          <t>Done</t>
        </is>
      </c>
      <c r="O80" s="401" t="n"/>
      <c r="P80" s="395" t="n"/>
      <c r="Q80" s="397" t="inlineStr">
        <is>
          <t>SCMS.BC_CANH_BAO
SCMS.BC_THANH_VIEN
SCMS.DM_CANH_BAO
SCMS.BM_BAO_CAO</t>
        </is>
      </c>
      <c r="R80" s="397" t="inlineStr">
        <is>
          <t>bt.NGAY_SO_LIEU,
bt.ID,
bt.CTCK_THONG_TIN_ID,
bt.TRANG_THAI,
bt.XOA_DU_LIEU,
cb.BC_THANH_VIEN_ID,
cb.DM_CANH_BAO_ID,
dm.ID,
dm.BM_BAO_CAO_ID,
dm.CAP_DO,
bm.ID,
bm.MA_BAO_CAO</t>
        </is>
      </c>
      <c r="S80" s="397" t="n"/>
      <c r="T80" s="79" t="inlineStr">
        <is>
          <t>-- Số lượng CTCK tỷ lệ vốn khả dụng ở mức cao
SELECT
    nd.ngay,
    COUNT(gt.CTCK_THONG_TIN_ID) AS so_ctck_tlvkd_muc_cao
FROM (
    SELECT TRUNC(min_ngay) + LEVEL - 1 AS ngay
    FROM (
        SELECT MIN(gt.NGAY_SO_LIEU) AS min_ngay
        FROM SCMS.BC_BAO_CAO_GT gt
        JOIN SCMS.DM_CHI_TIEU  dct ON dct.ID = gt.DM_CHI_TIEU_ID
        WHERE dct.MA_CHI_TIEU = 'TY_LE_VON_KHA_DUNG'  -- Xác nhận lại
    )
    CONNECT BY TRUNC(min_ngay) + LEVEL - 1 &lt;= TRUNC(SYSDATE)
) nd
LEFT JOIN (
    SELECT
        gt.CTCK_THONG_TIN_ID,
        TRUNC(gt.NGAY_SO_LIEU) AS ngay_so_lieu,
        TO_NUMBER(gt.GIA_TRI)  AS tlvkd,
        ROW_NUMBER() OVER (
            PARTITION BY gt.CTCK_THONG_TIN_ID, TRUNC(gt.NGAY_SO_LIEU)
            ORDER BY gt.NGAY_SO_LIEU DESC
        ) AS rn
    FROM SCMS.BC_BAO_CAO_GT gt
    JOIN SCMS.DM_CHI_TIEU  dct ON dct.ID = gt.DM_CHI_TIEU_ID
    WHERE dct.MA_CHI_TIEU = 'TY_LE_VON_KHA_DUNG'  -- Xác nhận lại
) gt ON TRUNC(gt.ngay_so_lieu) = nd.ngay
    AND gt.rn    = 1
    AND gt.tlvkd &gt;  150   -- Mức cao: TLVKD &gt; 150%
GROUP BY nd.ngay
ORDER BY nd.ngay;</t>
        </is>
      </c>
      <c r="U80" s="20" t="inlineStr">
        <is>
          <t>Hỏi bên phân hệ xem lưu ở bảng nào, cột nào, dòng nào?</t>
        </is>
      </c>
      <c r="V80" s="395" t="n"/>
      <c r="W80" s="395" t="n"/>
      <c r="X80" s="395" t="n"/>
      <c r="Y80" s="395" t="inlineStr">
        <is>
          <t>Done</t>
        </is>
      </c>
      <c r="Z80" s="395" t="n"/>
      <c r="AA80" s="395" t="n"/>
      <c r="AB80" s="395" t="n"/>
      <c r="AC80" s="395" t="n"/>
      <c r="AD80" s="395" t="n"/>
      <c r="AE80" s="395" t="n"/>
    </row>
    <row r="81" ht="63.75" customHeight="1" s="380">
      <c r="A81" s="90" t="n">
        <v>14</v>
      </c>
      <c r="B81" s="12" t="n"/>
      <c r="C81" s="12" t="inlineStr">
        <is>
          <t>Dashboard Giám sát tình hình hoạt động của công ty chứng khoán toàn thị trường &gt;&gt; Biểu đồ Tỷ lệ vốn khả dụng hàng tháng</t>
        </is>
      </c>
      <c r="D81" s="12" t="inlineStr">
        <is>
          <t>Số lượng CTCK tỷ lệ vốn khả dụng ở mức trung bình</t>
        </is>
      </c>
      <c r="E81" s="12" t="inlineStr">
        <is>
          <t>Số lượng CTCK tỷ lệ vốn khả dụng ở mức trung bình</t>
        </is>
      </c>
      <c r="F81" s="386" t="inlineStr">
        <is>
          <t>Dashboard</t>
        </is>
      </c>
      <c r="G81" s="386" t="inlineStr">
        <is>
          <t>Chỉ tiêu cơ sở</t>
        </is>
      </c>
      <c r="H81" s="386" t="inlineStr">
        <is>
          <t>Trùng</t>
        </is>
      </c>
      <c r="I81" s="386" t="inlineStr">
        <is>
          <t>Ngày, Phân loại tỷ lệ vốn khả dụng</t>
        </is>
      </c>
      <c r="J81" s="386" t="inlineStr">
        <is>
          <t>SCMS</t>
        </is>
      </c>
      <c r="K81" s="395" t="inlineStr">
        <is>
          <t>x</t>
        </is>
      </c>
      <c r="L81" s="395" t="inlineStr">
        <is>
          <t>X</t>
        </is>
      </c>
      <c r="M81" s="395" t="inlineStr">
        <is>
          <t>X</t>
        </is>
      </c>
      <c r="N81" s="395" t="inlineStr">
        <is>
          <t>Done</t>
        </is>
      </c>
      <c r="O81" s="401" t="n"/>
      <c r="P81" s="395" t="n"/>
      <c r="Q81" s="397" t="inlineStr">
        <is>
          <t>SCMS.BC_CANH_BAO
SCMS.BC_THANH_VIEN
SCMS.DM_CANH_BAO
SCMS.BM_BAO_CAO</t>
        </is>
      </c>
      <c r="R81" s="397" t="inlineStr">
        <is>
          <t>bt.NGAY_SO_LIEU,
bt.ID,
bt.CTCK_THONG_TIN_ID,
bt.TRANG_THAI,
bt.XOA_DU_LIEU,
cb.BC_THANH_VIEN_ID,
cb.DM_CANH_BAO_ID,
dm.ID,
dm.BM_BAO_CAO_ID,
dm.CAP_DO,
bm.ID,
bm.MA_BAO_CAO</t>
        </is>
      </c>
      <c r="S81" s="397" t="n"/>
      <c r="T81" s="79" t="inlineStr">
        <is>
          <t>-- Số lượng CTCK tỷ lệ vốn khả dụng ở mức trung bình
SELECT
    nd.ngay,
    COUNT(gt.CTCK_THONG_TIN_ID) AS so_ctck_tlvkd_muc_trung_binh
FROM (
    SELECT TRUNC(min_ngay) + LEVEL - 1 AS ngay
    FROM (
        SELECT MIN(gt.NGAY_SO_LIEU) AS min_ngay
        FROM SCMS.BC_BAO_CAO_GT gt
        JOIN SCMS.DM_CHI_TIEU  dct ON dct.ID = gt.DM_CHI_TIEU_ID
        WHERE dct.MA_CHI_TIEU = 'TY_LE_VON_KHA_DUNG'  -- Xác nhận lại
    )
    CONNECT BY TRUNC(min_ngay) + LEVEL - 1 &lt;= TRUNC(SYSDATE)
) nd
LEFT JOIN (
    SELECT
        gt.CTCK_THONG_TIN_ID,
        TRUNC(gt.NGAY_SO_LIEU) AS ngay_so_lieu,
        TO_NUMBER(gt.GIA_TRI)  AS tlvkd,
        ROW_NUMBER() OVER (
            PARTITION BY gt.CTCK_THONG_TIN_ID, TRUNC(gt.NGAY_SO_LIEU)
            ORDER BY gt.NGAY_SO_LIEU DESC
        ) AS rn
    FROM SCMS.BC_BAO_CAO_GT gt
    JOIN SCMS.DM_CHI_TIEU  dct ON dct.ID = gt.DM_CHI_TIEU_ID
    WHERE dct.MA_CHI_TIEU = 'TY_LE_VON_KHA_DUNG'  -- Xác nhận lại
) gt ON TRUNC(gt.ngay_so_lieu) = nd.ngay
    AND gt.rn    = 1
    AND gt.tlvkd &gt;= 120
    AND gt.tlvkd &lt;= 150  -- Mức trung bình: 120% &lt;= TLVKD &lt;= 150%
GROUP BY nd.ngay
ORDER BY nd.ngay;</t>
        </is>
      </c>
      <c r="U81" s="20" t="inlineStr">
        <is>
          <t>Hỏi bên phân hệ xem lưu ở bảng nào, cột nào, dòng nào?</t>
        </is>
      </c>
      <c r="V81" s="395" t="n"/>
      <c r="W81" s="395" t="n"/>
      <c r="X81" s="395" t="n"/>
      <c r="Y81" s="395" t="inlineStr">
        <is>
          <t>Done</t>
        </is>
      </c>
      <c r="Z81" s="395" t="n"/>
      <c r="AA81" s="395" t="n"/>
      <c r="AB81" s="395" t="n"/>
      <c r="AC81" s="395" t="n"/>
      <c r="AD81" s="395" t="n"/>
      <c r="AE81" s="395" t="n"/>
    </row>
    <row r="82" ht="61.5" customHeight="1" s="380">
      <c r="A82" s="90" t="n">
        <v>14</v>
      </c>
      <c r="B82" s="12" t="n"/>
      <c r="C82" s="12" t="inlineStr">
        <is>
          <t>Dashboard Giám sát tình hình hoạt động của công ty chứng khoán toàn thị trường &gt;&gt; Biểu đồ Tỷ lệ vốn khả dụng hàng tháng</t>
        </is>
      </c>
      <c r="D82" s="12" t="inlineStr">
        <is>
          <t>Số lượng CTCK tỷ lệ vốn khả dụng ở mức thấp</t>
        </is>
      </c>
      <c r="E82" s="12" t="inlineStr">
        <is>
          <t>Số lượng CTCK tỷ lệ vốn khả dụng ở mức thấp</t>
        </is>
      </c>
      <c r="F82" s="386" t="inlineStr">
        <is>
          <t>Dashboard</t>
        </is>
      </c>
      <c r="G82" s="386" t="inlineStr">
        <is>
          <t>Chỉ tiêu cơ sở</t>
        </is>
      </c>
      <c r="H82" s="386" t="inlineStr">
        <is>
          <t>Trùng</t>
        </is>
      </c>
      <c r="I82" s="386" t="inlineStr">
        <is>
          <t>Ngày, Phân loại tỷ lệ vốn khả dụng</t>
        </is>
      </c>
      <c r="J82" s="386" t="inlineStr">
        <is>
          <t>SCMS</t>
        </is>
      </c>
      <c r="K82" s="395" t="inlineStr">
        <is>
          <t>x</t>
        </is>
      </c>
      <c r="L82" s="395" t="inlineStr">
        <is>
          <t>X</t>
        </is>
      </c>
      <c r="M82" s="395" t="inlineStr">
        <is>
          <t>X</t>
        </is>
      </c>
      <c r="N82" s="395" t="inlineStr">
        <is>
          <t>Done</t>
        </is>
      </c>
      <c r="O82" s="401" t="n"/>
      <c r="P82" s="395" t="n"/>
      <c r="Q82" s="397" t="inlineStr">
        <is>
          <t>SCMS.BC_CANH_BAO
SCMS.BC_THANH_VIEN
SCMS.DM_CANH_BAO
SCMS.BM_BAO_CAO</t>
        </is>
      </c>
      <c r="R82" s="397" t="inlineStr">
        <is>
          <t>bt.NGAY_SO_LIEU,
bt.ID,
bt.CTCK_THONG_TIN_ID,
bt.TRANG_THAI,
bt.XOA_DU_LIEU,
cb.BC_THANH_VIEN_ID,
cb.DM_CANH_BAO_ID,
dm.ID,
dm.BM_BAO_CAO_ID,
dm.CAP_DO,
bm.ID,
bm.MA_BAO_CAO</t>
        </is>
      </c>
      <c r="S82" s="397" t="n"/>
      <c r="T82" s="79" t="inlineStr">
        <is>
          <t>-- Số lượng CTCK tỷ lệ vốn khả dụng ở mức thấp
SELECT
    nd.ngay,
    COUNT(gt.CTCK_THONG_TIN_ID) AS so_ctck_tlvkd_muc_thap
FROM (
    SELECT TRUNC(min_ngay) + LEVEL - 1 AS ngay
    FROM (
        SELECT MIN(gt.NGAY_SO_LIEU) AS min_ngay
        FROM SCMS.BC_BAO_CAO_GT gt
        JOIN SCMS.DM_CHI_TIEU  dct ON dct.ID = gt.DM_CHI_TIEU_ID
        WHERE dct.MA_CHI_TIEU = 'TY_LE_VON_KHA_DUNG'  -- Xác nhận lại
    )
    CONNECT BY TRUNC(min_ngay) + LEVEL - 1 &lt;= TRUNC(SYSDATE)
) nd
LEFT JOIN (
    SELECT
        gt.CTCK_THONG_TIN_ID,
        TRUNC(gt.NGAY_SO_LIEU) AS ngay_so_lieu,
        TO_NUMBER(gt.GIA_TRI)  AS tlvkd,
        ROW_NUMBER() OVER (
            PARTITION BY gt.CTCK_THONG_TIN_ID, TRUNC(gt.NGAY_SO_LIEU)
            ORDER BY gt.NGAY_SO_LIEU DESC
        ) AS rn
    FROM SCMS.BC_BAO_CAO_GT gt
    JOIN SCMS.DM_CHI_TIEU  dct ON dct.ID = gt.DM_CHI_TIEU_ID
    WHERE dct.MA_CHI_TIEU = 'TY_LE_VON_KHA_DUNG'  -- Xác nhận lại
) gt ON TRUNC(gt.ngay_so_lieu) = nd.ngay
    AND gt.rn    = 1
    AND gt.tlvkd &lt; 120  -- Mức thấp: &lt; 120%
GROUP BY nd.ngay
ORDER BY nd.ngay;</t>
        </is>
      </c>
      <c r="U82" s="20" t="inlineStr">
        <is>
          <t>Hỏi bên phân hệ xem lưu ở bảng nào, cột nào, dòng nào?</t>
        </is>
      </c>
      <c r="V82" s="395" t="n"/>
      <c r="W82" s="395" t="n"/>
      <c r="X82" s="395" t="n"/>
      <c r="Y82" s="395" t="inlineStr">
        <is>
          <t>Done</t>
        </is>
      </c>
      <c r="Z82" s="395" t="n"/>
      <c r="AA82" s="395" t="n"/>
      <c r="AB82" s="395" t="n"/>
      <c r="AC82" s="395" t="n"/>
      <c r="AD82" s="395" t="n"/>
      <c r="AE82" s="395" t="n"/>
    </row>
    <row r="83" ht="49.5" customHeight="1" s="380">
      <c r="A83" s="90" t="n">
        <v>15</v>
      </c>
      <c r="B83" s="81" t="n"/>
      <c r="C83" s="81" t="inlineStr">
        <is>
          <t>Dashboard Giám sát tình hình hoạt động của công ty chứng khoán toàn thị trường &gt;&gt; Biểu đồ Doanh thu và lợi nhuận</t>
        </is>
      </c>
      <c r="D83" s="12" t="inlineStr">
        <is>
          <t>Chiều thời gian theo quý</t>
        </is>
      </c>
      <c r="E83" s="12" t="inlineStr">
        <is>
          <t>Chiều thời gian theo quý</t>
        </is>
      </c>
      <c r="F83" s="386" t="inlineStr">
        <is>
          <t>Dashboard</t>
        </is>
      </c>
      <c r="G83" s="386" t="inlineStr">
        <is>
          <t>Chiều</t>
        </is>
      </c>
      <c r="H83" s="386" t="inlineStr">
        <is>
          <t>Trùng</t>
        </is>
      </c>
      <c r="I83" s="386" t="n"/>
      <c r="J83" s="386" t="inlineStr">
        <is>
          <t>SCMS</t>
        </is>
      </c>
      <c r="K83" s="395" t="n"/>
      <c r="L83" s="395" t="inlineStr">
        <is>
          <t>X</t>
        </is>
      </c>
      <c r="M83" s="395" t="n"/>
      <c r="N83" s="395" t="inlineStr">
        <is>
          <t>Done</t>
        </is>
      </c>
      <c r="O83" s="401" t="n"/>
      <c r="P83" s="395" t="n"/>
      <c r="Q83" s="20" t="inlineStr">
        <is>
          <t>Ngày dữ liệu</t>
        </is>
      </c>
      <c r="R83" s="395" t="n"/>
      <c r="S83" s="395" t="n"/>
      <c r="T83" s="386" t="inlineStr">
        <is>
          <t>-- Chiều thời gian theo quý
SELECT DISTINCT
    ADD_MONTHS(TRUNC(min_ngay, 'Q'), (LEVEL - 1) * 3) AS quy
FROM (SELECT MIN(NGAY_SO_LIEU) AS min_ngay FROM SCMS.BC_THANH_VIEN)
CONNECT BY ADD_MONTHS(TRUNC(min_ngay, 'Q'), (LEVEL - 1) * 3) &lt;= TRUNC(SYSDATE, 'Q')
ORDER BY quy;</t>
        </is>
      </c>
      <c r="U83" s="386" t="n"/>
      <c r="V83" s="395" t="n"/>
      <c r="W83" s="395" t="n"/>
      <c r="X83" s="395" t="n"/>
      <c r="Y83" s="395" t="inlineStr">
        <is>
          <t>Done</t>
        </is>
      </c>
      <c r="Z83" s="395" t="n"/>
      <c r="AA83" s="395" t="n"/>
      <c r="AB83" s="395" t="n"/>
      <c r="AC83" s="395" t="n"/>
      <c r="AD83" s="395" t="n"/>
      <c r="AE83" s="395" t="n"/>
    </row>
    <row r="84" ht="62.25" customHeight="1" s="380">
      <c r="A84" s="90" t="n">
        <v>15</v>
      </c>
      <c r="B84" s="12" t="n"/>
      <c r="C84" s="12" t="inlineStr">
        <is>
          <t>Dashboard Giám sát tình hình hoạt động của công ty chứng khoán toàn thị trường &gt;&gt; Biểu đồ Doanh thu và lợi nhuận</t>
        </is>
      </c>
      <c r="D84" s="12" t="inlineStr">
        <is>
          <t>Doanh thu</t>
        </is>
      </c>
      <c r="E84" s="12" t="inlineStr">
        <is>
          <t>Doanh thu trên BCTC của CTCK</t>
        </is>
      </c>
      <c r="F84" s="386" t="inlineStr">
        <is>
          <t>Dashboard</t>
        </is>
      </c>
      <c r="G84" s="386" t="inlineStr">
        <is>
          <t>Chỉ tiêu cơ sở</t>
        </is>
      </c>
      <c r="H84" s="386" t="inlineStr">
        <is>
          <t>TB</t>
        </is>
      </c>
      <c r="I84" s="386" t="inlineStr">
        <is>
          <t>Ngày</t>
        </is>
      </c>
      <c r="J84" s="386" t="inlineStr">
        <is>
          <t>SCMS</t>
        </is>
      </c>
      <c r="K84" s="395" t="inlineStr">
        <is>
          <t>X</t>
        </is>
      </c>
      <c r="L84" s="395" t="inlineStr">
        <is>
          <t>X</t>
        </is>
      </c>
      <c r="M84" s="395" t="inlineStr">
        <is>
          <t>X</t>
        </is>
      </c>
      <c r="N84" s="395" t="inlineStr">
        <is>
          <t>Done</t>
        </is>
      </c>
      <c r="O84" s="401" t="n"/>
      <c r="P84" s="395" t="n"/>
      <c r="Q84" s="395" t="inlineStr">
        <is>
          <t>SCMS.BC_BAO_CAO_GT
SCMS.DM_CHI_TIEU</t>
        </is>
      </c>
      <c r="R84" s="395" t="inlineStr">
        <is>
          <t>gt.NGAY_SO_LIEU,
gt.DM_CHI_TIEU_ID,
gt.GIA_TRI,
dct.ID,
dct.MA_CHI_TIEU</t>
        </is>
      </c>
      <c r="S84" s="395" t="n"/>
      <c r="T84" s="386" t="inlineStr">
        <is>
          <t>-- Doanh thu
SELECT
    nd.ngay,
    SUM(TO_NUMBER(gt.GIA_TRI)) AS doanh_thu
FROM (
    SELECT TRUNC(min_ngay) + LEVEL - 1 AS ngay
    FROM (
        SELECT MIN(gt.NGAY_SO_LIEU) AS min_ngay
        FROM SCMS.BC_BAO_CAO_GT gt
        JOIN SCMS.DM_CHI_TIEU   dct ON dct.ID = gt.DM_CHI_TIEU_ID
        WHERE dct.MA_CHI_TIEU = 'TONG_DOANH_THU'  -- Xác nhận lại
    )
    CONNECT BY TRUNC(min_ngay) + LEVEL - 1 &lt;= TRUNC(SYSDATE)
) nd
LEFT JOIN SCMS.BC_BAO_CAO_GT gt
    JOIN SCMS.DM_CHI_TIEU    dct ON dct.ID = gt.DM_CHI_TIEU_ID
    ON  dct.MA_CHI_TIEU        = 'TONG_DOANH_THU'  -- Xác nhận lại
    AND TRUNC(gt.NGAY_SO_LIEU) = nd.ngay
GROUP BY nd.ngay
ORDER BY nd.ngay;</t>
        </is>
      </c>
      <c r="U84" s="386" t="n"/>
      <c r="V84" s="395" t="n"/>
      <c r="W84" s="395" t="n"/>
      <c r="X84" s="395" t="n"/>
      <c r="Y84" s="395" t="inlineStr">
        <is>
          <t>Done</t>
        </is>
      </c>
      <c r="Z84" s="395" t="n"/>
      <c r="AA84" s="395" t="n"/>
      <c r="AB84" s="395" t="n"/>
      <c r="AC84" s="395" t="n"/>
      <c r="AD84" s="395" t="n"/>
      <c r="AE84" s="395" t="n"/>
    </row>
    <row r="85" ht="61.5" customHeight="1" s="380">
      <c r="A85" s="90" t="n">
        <v>15</v>
      </c>
      <c r="B85" s="12" t="n"/>
      <c r="C85" s="12" t="inlineStr">
        <is>
          <t>Dashboard Giám sát tình hình hoạt động của công ty chứng khoán toàn thị trường &gt;&gt; Biểu đồ Doanh thu và lợi nhuận</t>
        </is>
      </c>
      <c r="D85" s="12" t="inlineStr">
        <is>
          <t>Lợi nhuận sau thuế</t>
        </is>
      </c>
      <c r="E85" s="12" t="inlineStr">
        <is>
          <t>Lợi nhuận sau thuế trên BCTC của CTCK</t>
        </is>
      </c>
      <c r="F85" s="386" t="inlineStr">
        <is>
          <t>Dashboard</t>
        </is>
      </c>
      <c r="G85" s="386" t="inlineStr">
        <is>
          <t>Chỉ tiêu cơ sở</t>
        </is>
      </c>
      <c r="H85" s="386" t="inlineStr">
        <is>
          <t>TB</t>
        </is>
      </c>
      <c r="I85" s="386" t="inlineStr">
        <is>
          <t>Ngày</t>
        </is>
      </c>
      <c r="J85" s="386" t="inlineStr">
        <is>
          <t>SCMS</t>
        </is>
      </c>
      <c r="K85" s="395" t="inlineStr">
        <is>
          <t>X</t>
        </is>
      </c>
      <c r="L85" s="395" t="inlineStr">
        <is>
          <t>X</t>
        </is>
      </c>
      <c r="M85" s="395" t="inlineStr">
        <is>
          <t>X</t>
        </is>
      </c>
      <c r="N85" s="395" t="inlineStr">
        <is>
          <t>Done</t>
        </is>
      </c>
      <c r="O85" s="401" t="n"/>
      <c r="P85" s="395" t="n"/>
      <c r="Q85" s="395" t="inlineStr">
        <is>
          <t>SCMS.BC_BAO_CAO_GT
SCMS.DM_CHI_TIEU</t>
        </is>
      </c>
      <c r="R85" s="395" t="inlineStr">
        <is>
          <t>gt.NGAY_SO_LIEU,
gt.DM_CHI_TIEU_ID,
gt.GIA_TRI,
dct.ID,
dct.MA_CHI_TIEU</t>
        </is>
      </c>
      <c r="S85" s="395" t="n"/>
      <c r="T85" s="386" t="inlineStr">
        <is>
          <t>-- Lợi nhuận sau thuế
SELECT
    nd.ngay,
    SUM(TO_NUMBER(gt.GIA_TRI)) AS loi_nhuan_sau_thue
FROM (
    SELECT TRUNC(min_ngay) + LEVEL - 1 AS ngay
    FROM (
        SELECT MIN(gt.NGAY_SO_LIEU) AS min_ngay
        FROM SCMS.BC_BAO_CAO_GT gt
        JOIN SCMS.DM_CHI_TIEU   dct ON dct.ID = gt.DM_CHI_TIEU_ID
        WHERE dct.MA_CHI_TIEU = 'LOI_NHUAN_SAU_THUE'  -- Xác nhận lại
    )
    CONNECT BY TRUNC(min_ngay) + LEVEL - 1 &lt;= TRUNC(SYSDATE)
) nd
LEFT JOIN SCMS.BC_BAO_CAO_GT gt
    JOIN SCMS.DM_CHI_TIEU    dct ON dct.ID = gt.DM_CHI_TIEU_ID
    ON  dct.MA_CHI_TIEU        = 'LOI_NHUAN_SAU_THUE'  -- Xác nhận lại
    AND TRUNC(gt.NGAY_SO_LIEU) = nd.ngay
GROUP BY nd.ngay
ORDER BY nd.ngay;</t>
        </is>
      </c>
      <c r="U85" s="386" t="n"/>
      <c r="V85" s="395" t="n"/>
      <c r="W85" s="395" t="n"/>
      <c r="X85" s="395" t="n"/>
      <c r="Y85" s="395" t="inlineStr">
        <is>
          <t>Done</t>
        </is>
      </c>
      <c r="Z85" s="395" t="n"/>
      <c r="AA85" s="395" t="n"/>
      <c r="AB85" s="395" t="n"/>
      <c r="AC85" s="395" t="n"/>
      <c r="AD85" s="395" t="n"/>
      <c r="AE85" s="395" t="n"/>
    </row>
    <row r="86" ht="62.25" customHeight="1" s="380">
      <c r="A86" s="90" t="n">
        <v>15</v>
      </c>
      <c r="B86" s="12" t="n"/>
      <c r="C86" s="12" t="inlineStr">
        <is>
          <t>Dashboard Giám sát tình hình hoạt động của công ty chứng khoán toàn thị trường &gt;&gt; Biểu đồ Doanh thu và lợi nhuận</t>
        </is>
      </c>
      <c r="D86" s="386" t="inlineStr">
        <is>
          <t>Cơ cấu doanh thu theo nghiệp vụ môi giới</t>
        </is>
      </c>
      <c r="E86" s="395" t="inlineStr">
        <is>
          <t>Tổng doanh thu trên BCTC của CTCK theo nghiệp vụ môi giới của các quý đã chọn trong điều kiện tra cứu.
 Chỉ tiêu 1.6. Doanh thu môi giới chứng khoán</t>
        </is>
      </c>
      <c r="F86" s="386" t="inlineStr">
        <is>
          <t>Dashboard</t>
        </is>
      </c>
      <c r="G86" s="386" t="inlineStr">
        <is>
          <t>Chỉ tiêu cơ sở</t>
        </is>
      </c>
      <c r="H86" s="386" t="inlineStr">
        <is>
          <t>TB</t>
        </is>
      </c>
      <c r="I86" s="386" t="inlineStr">
        <is>
          <t>Ngày</t>
        </is>
      </c>
      <c r="J86" s="386" t="inlineStr">
        <is>
          <t>SCMS</t>
        </is>
      </c>
      <c r="K86" s="395" t="inlineStr">
        <is>
          <t>X</t>
        </is>
      </c>
      <c r="L86" s="395" t="inlineStr">
        <is>
          <t>X</t>
        </is>
      </c>
      <c r="M86" s="395" t="inlineStr">
        <is>
          <t>X</t>
        </is>
      </c>
      <c r="N86" s="395" t="inlineStr">
        <is>
          <t>Done</t>
        </is>
      </c>
      <c r="O86" s="401" t="n"/>
      <c r="P86" s="395" t="n"/>
      <c r="Q86" s="395" t="inlineStr">
        <is>
          <t>SCMS.BC_BAO_CAO_GT
SCMS.DM_CHI_TIEU</t>
        </is>
      </c>
      <c r="R86" s="395" t="inlineStr">
        <is>
          <t>gt.NGAY_SO_LIEU,
gt.DM_CHI_TIEU_ID,
gt.GIA_TRI,
dct.ID,
dct.TEN_CHI_TIEU</t>
        </is>
      </c>
      <c r="S86" s="395" t="n"/>
      <c r="T86" s="386" t="inlineStr">
        <is>
          <t>-- Cơ cấu doanh thu theo nghiệp vụ môi giới
SELECT
    nd.ngay,
    SUM(TO_NUMBER(gt.GIA_TRI)) AS doanh_thu_nghiep_vu_moi_gioi
FROM (
    SELECT TRUNC(min_ngay) + LEVEL - 1 AS ngay
    FROM (
        SELECT MIN(gt.NGAY_SO_LIEU) AS min_ngay
        FROM SCMS.BC_BAO_CAO_GT gt
        JOIN SCMS.DM_CHI_TIEU   dct ON dct.ID = gt.DM_CHI_TIEU_ID
        WHERE dct.TEN_CHI_TIEU = 'Doanh thu nghiệp vụ môi giới chứng khoán'  -- Báo cáo tài chính - Sheet Báo cáo kết quả hoạt động riêng, chỉ tiêu 1.6
    )
    CONNECT BY TRUNC(min_ngay) + LEVEL - 1 &lt;= TRUNC(SYSDATE)
) nd
LEFT JOIN SCMS.BC_BAO_CAO_GT gt
    JOIN SCMS.DM_CHI_TIEU    dct ON dct.ID = gt.DM_CHI_TIEU_ID
    ON  dct.TEN_CHI_TIEU = 'Doanh thu nghiệp vụ môi giới chứng khoán'  -- Báo cáo tài chính - Sheet Báo cáo kết quả hoạt động riêng, chỉ tiêu 1.6
    AND TRUNC(gt.NGAY_SO_LIEU) = nd.ngay
GROUP BY nd.ngay
ORDER BY nd.ngay;</t>
        </is>
      </c>
      <c r="U86" s="386" t="n"/>
      <c r="V86" s="395" t="n"/>
      <c r="W86" s="395" t="n"/>
      <c r="X86" s="395" t="n"/>
      <c r="Y86" s="395" t="inlineStr">
        <is>
          <t>Done</t>
        </is>
      </c>
      <c r="Z86" s="395" t="n"/>
      <c r="AA86" s="395" t="n"/>
      <c r="AB86" s="395" t="n"/>
      <c r="AC86" s="395" t="n"/>
      <c r="AD86" s="395" t="n"/>
      <c r="AE86" s="395" t="n"/>
    </row>
    <row r="87" ht="61.5" customHeight="1" s="380">
      <c r="A87" s="90" t="n">
        <v>15</v>
      </c>
      <c r="B87" s="12" t="n"/>
      <c r="C87" s="12" t="inlineStr">
        <is>
          <t>Dashboard Giám sát tình hình hoạt động của công ty chứng khoán toàn thị trường &gt;&gt; Biểu đồ Doanh thu và lợi nhuận</t>
        </is>
      </c>
      <c r="D87" s="386" t="inlineStr">
        <is>
          <t>Cơ cấu doanh thu theo nghiệp vụ tự doanh</t>
        </is>
      </c>
      <c r="E87" s="395" t="inlineStr">
        <is>
          <t>Tổng doanh thu trên BCTC của CTCK theo nghiệp vụ tự doanh của các quý đã chọn trong điều kiện tra cứu.
 Doanh thu tự doanh =1.1+1.2+1.4+1.5 (Báo cáo kết quả hoạt động kinh doanh)</t>
        </is>
      </c>
      <c r="F87" s="386" t="inlineStr">
        <is>
          <t>Dashboard</t>
        </is>
      </c>
      <c r="G87" s="386" t="inlineStr">
        <is>
          <t>Chỉ tiêu cơ sở</t>
        </is>
      </c>
      <c r="H87" s="386" t="inlineStr">
        <is>
          <t>TB</t>
        </is>
      </c>
      <c r="I87" s="386" t="inlineStr">
        <is>
          <t>Ngày</t>
        </is>
      </c>
      <c r="J87" s="386" t="inlineStr">
        <is>
          <t>SCMS</t>
        </is>
      </c>
      <c r="K87" s="395" t="inlineStr">
        <is>
          <t>X</t>
        </is>
      </c>
      <c r="L87" s="395" t="inlineStr">
        <is>
          <t>X</t>
        </is>
      </c>
      <c r="M87" s="395" t="inlineStr">
        <is>
          <t>X</t>
        </is>
      </c>
      <c r="N87" s="395" t="inlineStr">
        <is>
          <t>Done</t>
        </is>
      </c>
      <c r="O87" s="401" t="n"/>
      <c r="P87" s="395" t="n"/>
      <c r="Q87" s="395" t="inlineStr">
        <is>
          <t>SCMS.BC_BAO_CAO_GT
SCMS.DM_CHI_TIEU</t>
        </is>
      </c>
      <c r="R87" s="395" t="inlineStr">
        <is>
          <t>gt.NGAY_SO_LIEU,
gt.DM_CHI_TIEU_ID,
gt.GIA_TRI,
dct.ID,
dct.TEN_CHI_TIEU</t>
        </is>
      </c>
      <c r="S87" s="395" t="n"/>
      <c r="T87" s="386" t="inlineStr">
        <is>
          <t>-- Cơ cấu doanh thu theo nghiệp vụ tự doanh
SELECT
    nd.ngay,
    SUM(TO_NUMBER(gt.GIA_TRI)) AS doanh_thu_nghiep_vu_tu_doanh
FROM (
    SELECT TRUNC(min_ngay) + LEVEL - 1 AS ngay
    FROM (
        SELECT MIN(gt.NGAY_SO_LIEU) AS min_ngay
        FROM SCMS.BC_BAO_CAO_GT gt
        JOIN SCMS.DM_CHI_TIEU   dct ON dct.ID = gt.DM_CHI_TIEU_ID
        WHERE dct.TEN_CHI_TIEU IN (
                'Lãi từ các tài sản tài chính ghi nhận thông qua lãi/lỗ (FVTPL)',  -- Chỉ tiêu 1.1
                'Lãi từ các khoản đầu tư nắm giữ đến ngày đáo hạn (HTM)',  -- Chỉ tiêu 1.2
                'Lãi từ tài sản tài chính sẵn sàng để bán (AFS)',  -- Chỉ tiêu 1.4
                'Lãi từ các công cụ phái sinh phòng ngừa rủi ro'  -- Chỉ tiêu 1.5
        )
    )
    CONNECT BY TRUNC(min_ngay) + LEVEL - 1 &lt;= TRUNC(SYSDATE)
) nd
LEFT JOIN SCMS.BC_BAO_CAO_GT gt
    JOIN SCMS.DM_CHI_TIEU    dct ON dct.ID = gt.DM_CHI_TIEU_ID
    ON  dct.TEN_CHI_TIEU IN (
            'Lãi từ các tài sản tài chính ghi nhận thông qua lãi/lỗ (FVTPL)',  -- Chỉ tiêu 1.1
            'Lãi từ các khoản đầu tư nắm giữ đến ngày đáo hạn (HTM)',  -- Chỉ tiêu 1.2
            'Lãi từ tài sản tài chính sẵn sàng để bán (AFS)',  -- Chỉ tiêu 1.4
            'Lãi từ các công cụ phái sinh phòng ngừa rủi ro'  -- Chỉ tiêu 1.5
    )
    AND TRUNC(gt.NGAY_SO_LIEU) = nd.ngay
GROUP BY nd.ngay
ORDER BY nd.ngay;</t>
        </is>
      </c>
      <c r="U87" s="386" t="n"/>
      <c r="V87" s="395" t="n"/>
      <c r="W87" s="395" t="n"/>
      <c r="X87" s="395" t="n"/>
      <c r="Y87" s="395" t="inlineStr">
        <is>
          <t>Done</t>
        </is>
      </c>
      <c r="Z87" s="395" t="n"/>
      <c r="AA87" s="395" t="n"/>
      <c r="AB87" s="395" t="n"/>
      <c r="AC87" s="395" t="n"/>
      <c r="AD87" s="395" t="n"/>
      <c r="AE87" s="395" t="n"/>
    </row>
    <row r="88" ht="61.5" customHeight="1" s="380">
      <c r="A88" s="90" t="n">
        <v>15</v>
      </c>
      <c r="B88" s="12" t="n"/>
      <c r="C88" s="12" t="inlineStr">
        <is>
          <t>Dashboard Giám sát tình hình hoạt động của công ty chứng khoán toàn thị trường &gt;&gt; Biểu đồ Doanh thu và lợi nhuận</t>
        </is>
      </c>
      <c r="D88" s="386" t="inlineStr">
        <is>
          <t>Cơ cấu doanh thu theo nghiệp vụ tư vấn</t>
        </is>
      </c>
      <c r="E88" s="395" t="inlineStr">
        <is>
          <t>Tổng doanh thu trên BCTC của CTCK theo nghiệp vụ tư vấn của các quý đã chọn trong điều kiện tra cứu.
 Doanh thu tư vấn= 1.8+1.10</t>
        </is>
      </c>
      <c r="F88" s="386" t="inlineStr">
        <is>
          <t>Dashboard</t>
        </is>
      </c>
      <c r="G88" s="386" t="inlineStr">
        <is>
          <t>Chỉ tiêu cơ sở</t>
        </is>
      </c>
      <c r="H88" s="386" t="inlineStr">
        <is>
          <t>TB</t>
        </is>
      </c>
      <c r="I88" s="386" t="inlineStr">
        <is>
          <t>Ngày</t>
        </is>
      </c>
      <c r="J88" s="386" t="inlineStr">
        <is>
          <t>SCMS</t>
        </is>
      </c>
      <c r="K88" s="395" t="inlineStr">
        <is>
          <t>X</t>
        </is>
      </c>
      <c r="L88" s="395" t="inlineStr">
        <is>
          <t>X</t>
        </is>
      </c>
      <c r="M88" s="395" t="inlineStr">
        <is>
          <t>X</t>
        </is>
      </c>
      <c r="N88" s="395" t="inlineStr">
        <is>
          <t>Done</t>
        </is>
      </c>
      <c r="O88" s="401" t="n"/>
      <c r="P88" s="395" t="n"/>
      <c r="Q88" s="395" t="inlineStr">
        <is>
          <t>SCMS.BC_BAO_CAO_GT
SCMS.DM_CHI_TIEU</t>
        </is>
      </c>
      <c r="R88" s="395" t="inlineStr">
        <is>
          <t>gt.NGAY_SO_LIEU,
gt.DM_CHI_TIEU_ID,
gt.GIA_TRI,
dct.ID,
dct.TEN_CHI_TIEU</t>
        </is>
      </c>
      <c r="S88" s="395" t="n"/>
      <c r="T88" s="386" t="inlineStr">
        <is>
          <t>-- Cơ cấu doanh thu theo nghiệp vụ tư vấn
SELECT
    nd.ngay,
    SUM(TO_NUMBER(gt.GIA_TRI)) AS doanh_thu_nghiep_vu_tu_van
FROM (
    SELECT TRUNC(min_ngay) + LEVEL - 1 AS ngay
    FROM (
        SELECT MIN(gt.NGAY_SO_LIEU) AS min_ngay
        FROM SCMS.BC_BAO_CAO_GT gt
        JOIN SCMS.DM_CHI_TIEU   dct ON dct.ID = gt.DM_CHI_TIEU_ID
        WHERE dct.TEN_CHI_TIEU IN (
        	'Doanh thu nghiệp vụ tư vấn đầu tư chứng khoán',  -- Chỉ tiêu 1.8
        	'Doanh thu hoạt động tư vấn tài chính'  -- Chỉ tiêu 1.10
        )
    )
    CONNECT BY TRUNC(min_ngay) + LEVEL - 1 &lt;= TRUNC(SYSDATE)
) nd
LEFT JOIN SCMS.BC_BAO_CAO_GT gt
    JOIN SCMS.DM_CHI_TIEU    dct ON dct.ID = gt.DM_CHI_TIEU_ID
    ON dct.TEN_CHI_TIEU IN (
        	'Doanh thu nghiệp vụ tư vấn đầu tư chứng khoán',  -- Chỉ tiêu 1.8
        	'Doanh thu hoạt động tư vấn tài chính'  -- Chỉ tiêu 1.10
        )
    AND TRUNC(gt.NGAY_SO_LIEU) = nd.ngay
GROUP BY nd.ngay
ORDER BY nd.ngay;</t>
        </is>
      </c>
      <c r="U88" s="386" t="n"/>
      <c r="V88" s="395" t="n"/>
      <c r="W88" s="395" t="n"/>
      <c r="X88" s="395" t="n"/>
      <c r="Y88" s="395" t="inlineStr">
        <is>
          <t>Done</t>
        </is>
      </c>
      <c r="Z88" s="395" t="n"/>
      <c r="AA88" s="395" t="n"/>
      <c r="AB88" s="395" t="n"/>
      <c r="AC88" s="395" t="n"/>
      <c r="AD88" s="395" t="n"/>
      <c r="AE88" s="395" t="n"/>
    </row>
    <row r="89" ht="62.25" customHeight="1" s="380">
      <c r="A89" s="90" t="n">
        <v>15</v>
      </c>
      <c r="B89" s="12" t="n"/>
      <c r="C89" s="12" t="inlineStr">
        <is>
          <t>Dashboard Giám sát tình hình hoạt động của công ty chứng khoán toàn thị trường &gt;&gt; Biểu đồ Doanh thu và lợi nhuận</t>
        </is>
      </c>
      <c r="D89" s="386" t="inlineStr">
        <is>
          <t>Cơ cấu doanh thu theo nghiệp vụ bảo lãnh</t>
        </is>
      </c>
      <c r="E89" s="395" t="inlineStr">
        <is>
          <t>Tổng doanh thu trên BCTC của CTCK theo nghiệp vụ bảo lãnh của các quý đã chọn trong điều kiện tra cứu.
  = Chỉ tiêu 1.7</t>
        </is>
      </c>
      <c r="F89" s="386" t="inlineStr">
        <is>
          <t>Dashboard</t>
        </is>
      </c>
      <c r="G89" s="386" t="inlineStr">
        <is>
          <t>Chỉ tiêu cơ sở</t>
        </is>
      </c>
      <c r="H89" s="386" t="inlineStr">
        <is>
          <t>TB</t>
        </is>
      </c>
      <c r="I89" s="386" t="inlineStr">
        <is>
          <t>Ngày</t>
        </is>
      </c>
      <c r="J89" s="386" t="inlineStr">
        <is>
          <t>SCMS</t>
        </is>
      </c>
      <c r="K89" s="395" t="inlineStr">
        <is>
          <t>X</t>
        </is>
      </c>
      <c r="L89" s="395" t="inlineStr">
        <is>
          <t>X</t>
        </is>
      </c>
      <c r="M89" s="395" t="inlineStr">
        <is>
          <t>X</t>
        </is>
      </c>
      <c r="N89" s="395" t="inlineStr">
        <is>
          <t>Done</t>
        </is>
      </c>
      <c r="O89" s="401" t="n"/>
      <c r="P89" s="395" t="n"/>
      <c r="Q89" s="395" t="inlineStr">
        <is>
          <t>SCMS.BC_BAO_CAO_GT
SCMS.DM_CHI_TIEU</t>
        </is>
      </c>
      <c r="R89" s="395" t="inlineStr">
        <is>
          <t>gt.NGAY_SO_LIEU,
gt.DM_CHI_TIEU_ID,
gt.GIA_TRI,
dct.ID,
dct.TEN_CHI_TIEU</t>
        </is>
      </c>
      <c r="S89" s="395" t="n"/>
      <c r="T89" s="386" t="inlineStr">
        <is>
          <t>-- Cơ cấu doanh thu theo nghiệp vụ bảo lãnh
SELECT
    nd.ngay,
    SUM(TO_NUMBER(gt.GIA_TRI)) AS doanh_thu_nghiep_vu_bao_lanh
FROM (
    SELECT TRUNC(min_ngay) + LEVEL - 1 AS ngay
    FROM (
        SELECT MIN(gt.NGAY_SO_LIEU) AS min_ngay
        FROM SCMS.BC_BAO_CAO_GT gt
        JOIN SCMS.DM_CHI_TIEU   dct ON dct.ID = gt.DM_CHI_TIEU_ID
        WHERE dct.TEN_CHI_TIEU IN (
        	'Doanh thu nghiệp vụ bảo lãnh, đại lý phát hành chứng khoán'  -- Chỉ tiêu 1.7
        )
    )
    CONNECT BY TRUNC(min_ngay) + LEVEL - 1 &lt;= TRUNC(SYSDATE)
) nd
LEFT JOIN SCMS.BC_BAO_CAO_GT gt
    JOIN SCMS.DM_CHI_TIEU    dct ON dct.ID = gt.DM_CHI_TIEU_ID
    ON  dct.TEN_CHI_TIEU IN (
        	'Doanh thu nghiệp vụ bảo lãnh, đại lý phát hành chứng khoán'  -- Chỉ tiêu 1.7
        )
    AND TRUNC(gt.NGAY_SO_LIEU) = nd.ngay
GROUP BY nd.ngay
ORDER BY nd.ngay;</t>
        </is>
      </c>
      <c r="U89" s="386" t="n"/>
      <c r="V89" s="395" t="n"/>
      <c r="W89" s="395" t="n"/>
      <c r="X89" s="395" t="n"/>
      <c r="Y89" s="395" t="inlineStr">
        <is>
          <t>Done</t>
        </is>
      </c>
      <c r="Z89" s="395" t="n"/>
      <c r="AA89" s="395" t="n"/>
      <c r="AB89" s="395" t="n"/>
      <c r="AC89" s="395" t="n"/>
      <c r="AD89" s="395" t="n"/>
      <c r="AE89" s="395" t="n"/>
    </row>
    <row r="90" ht="63" customHeight="1" s="380">
      <c r="A90" s="90" t="n">
        <v>15</v>
      </c>
      <c r="B90" s="12" t="n"/>
      <c r="C90" s="12" t="inlineStr">
        <is>
          <t>Dashboard Giám sát tình hình hoạt động của công ty chứng khoán toàn thị trường &gt;&gt; Biểu đồ Doanh thu và lợi nhuận</t>
        </is>
      </c>
      <c r="D90" s="386" t="inlineStr">
        <is>
          <t>Cơ cấu doanh thu theo nghiệp vụ khác</t>
        </is>
      </c>
      <c r="E90" s="395" t="inlineStr">
        <is>
          <t>“Doanh thu từ hoạt động khác” = Khoản 1.3 (Lãi từ các khoản cho vay và phải thu)+ 1.11 (thu nhập từ hoạt động khác) + 1.9 (DT nghiệp vụ lưu ký)</t>
        </is>
      </c>
      <c r="F90" s="386" t="inlineStr">
        <is>
          <t>Dashboard</t>
        </is>
      </c>
      <c r="G90" s="386" t="inlineStr">
        <is>
          <t>Chỉ tiêu cơ sở</t>
        </is>
      </c>
      <c r="H90" s="386" t="inlineStr">
        <is>
          <t>TB</t>
        </is>
      </c>
      <c r="I90" s="386" t="inlineStr">
        <is>
          <t>Ngày</t>
        </is>
      </c>
      <c r="J90" s="386" t="inlineStr">
        <is>
          <t>SCMS</t>
        </is>
      </c>
      <c r="K90" s="395" t="inlineStr">
        <is>
          <t>X</t>
        </is>
      </c>
      <c r="L90" s="395" t="inlineStr">
        <is>
          <t>X</t>
        </is>
      </c>
      <c r="M90" s="395" t="inlineStr">
        <is>
          <t>X</t>
        </is>
      </c>
      <c r="N90" s="395" t="inlineStr">
        <is>
          <t>Done</t>
        </is>
      </c>
      <c r="O90" s="401" t="n"/>
      <c r="P90" s="395" t="n"/>
      <c r="Q90" s="395" t="inlineStr">
        <is>
          <t>SCMS.BC_BAO_CAO_GT
SCMS.DM_CHI_TIEU</t>
        </is>
      </c>
      <c r="R90" s="395" t="inlineStr">
        <is>
          <t>gt.NGAY_SO_LIEU,
gt.DM_CHI_TIEU_ID,
gt.GIA_TRI,
dct.ID,
dct.TEN_CHI_TIEU</t>
        </is>
      </c>
      <c r="S90" s="395" t="n"/>
      <c r="T90" s="386" t="inlineStr">
        <is>
          <t>-- Cơ cấu doanh thu theo nghiệp vụ khác
SELECT
    nd.ngay,
    SUM(TO_NUMBER(gt.GIA_TRI)) AS doanh_thu_nghiep_vu_khac
FROM (
    SELECT TRUNC(min_ngay) + LEVEL - 1 AS ngay
    FROM (
        SELECT MIN(gt.NGAY_SO_LIEU) AS min_ngay
        FROM SCMS.BC_BAO_CAO_GT gt
        JOIN SCMS.DM_CHI_TIEU   dct ON dct.ID = gt.DM_CHI_TIEU_ID
        WHERE dct.TEN_CHI_TIEU IN (
        	'Lãi từ các khoản cho vay và phải thu',  -- Chỉ tiêu 1.3
        	'Doanh thu nghiệp vụ lưu ký chứng khoán',  -- Chỉ tiêu 1.9
        	'Thu nhập hoạt động khác'  -- Chỉ tiêu 1.11
        )
    )
    CONNECT BY TRUNC(min_ngay) + LEVEL - 1 &lt;= TRUNC(SYSDATE)
) nd
LEFT JOIN SCMS.BC_BAO_CAO_GT gt
    JOIN SCMS.DM_CHI_TIEU    dct ON dct.ID = gt.DM_CHI_TIEU_ID
    ON dct.TEN_CHI_TIEU IN (
        	'Lãi từ các khoản cho vay và phải thu',  -- Chỉ tiêu 1.3
        	'Doanh thu nghiệp vụ lưu ký chứng khoán',  -- Chỉ tiêu 1.9
        	'Thu nhập hoạt động khác'  -- Chỉ tiêu 1.11
        )
    AND TRUNC(gt.NGAY_SO_LIEU) = nd.ngay
GROUP BY nd.ngay
ORDER BY nd.ngay;</t>
        </is>
      </c>
      <c r="U90" s="386" t="n"/>
      <c r="V90" s="395" t="n"/>
      <c r="W90" s="395" t="n"/>
      <c r="X90" s="395" t="n"/>
      <c r="Y90" s="395" t="inlineStr">
        <is>
          <t>Done</t>
        </is>
      </c>
      <c r="Z90" s="395" t="n"/>
      <c r="AA90" s="395" t="n"/>
      <c r="AB90" s="395" t="n"/>
      <c r="AC90" s="395" t="n"/>
      <c r="AD90" s="395" t="n"/>
      <c r="AE90" s="395" t="n"/>
    </row>
    <row r="91" ht="51" customHeight="1" s="380">
      <c r="A91" s="90" t="n">
        <v>16</v>
      </c>
      <c r="B91" s="81" t="n"/>
      <c r="C91" s="81" t="inlineStr">
        <is>
          <t>Dashboard Giám sát tình hình hoạt động của công ty chứng khoán toàn thị trường &gt;&gt; Biểu đồ biến động dư nợ margin và diễn biến thị trường</t>
        </is>
      </c>
      <c r="D91" s="12" t="inlineStr">
        <is>
          <t>chiều thời gian theo Tháng</t>
        </is>
      </c>
      <c r="E91" s="12" t="inlineStr">
        <is>
          <t>chiều thời gian theo Tháng</t>
        </is>
      </c>
      <c r="F91" s="386" t="inlineStr">
        <is>
          <t>Dashboard</t>
        </is>
      </c>
      <c r="G91" s="386" t="inlineStr">
        <is>
          <t>Chiều</t>
        </is>
      </c>
      <c r="H91" s="386" t="inlineStr">
        <is>
          <t>Trùng</t>
        </is>
      </c>
      <c r="I91" s="386" t="n"/>
      <c r="J91" s="386" t="inlineStr">
        <is>
          <t>SCMS</t>
        </is>
      </c>
      <c r="K91" s="395" t="n"/>
      <c r="L91" s="395" t="inlineStr">
        <is>
          <t>X</t>
        </is>
      </c>
      <c r="M91" s="395" t="n"/>
      <c r="N91" s="395" t="inlineStr">
        <is>
          <t>Done</t>
        </is>
      </c>
      <c r="O91" s="401" t="n"/>
      <c r="P91" s="395" t="n"/>
      <c r="Q91" s="20" t="inlineStr">
        <is>
          <t>Ngày dữ liệu</t>
        </is>
      </c>
      <c r="R91" s="395" t="n"/>
      <c r="S91" s="395" t="n"/>
      <c r="T91" s="386" t="inlineStr">
        <is>
          <t>-- Chiều thời gian theo tháng
SELECT DISTINCT
    ADD_MONTHS(TRUNC(min_ngay, 'MM'), LEVEL - 1) AS thang
FROM (SELECT MIN(NGAY_SO_LIEU) AS min_ngay FROM SCMS.BC_THANH_VIEN)
CONNECT BY ADD_MONTHS(TRUNC(min_ngay, 'MM'), LEVEL - 1) &lt;= TRUNC(SYSDATE, 'MM')
ORDER BY thang;</t>
        </is>
      </c>
      <c r="U91" s="386" t="n"/>
      <c r="V91" s="395" t="n"/>
      <c r="W91" s="395" t="n"/>
      <c r="X91" s="395" t="n"/>
      <c r="Y91" s="13" t="inlineStr">
        <is>
          <t>Done</t>
        </is>
      </c>
      <c r="Z91" s="395" t="n"/>
      <c r="AA91" s="395" t="n"/>
      <c r="AB91" s="395" t="n"/>
      <c r="AC91" s="395" t="n"/>
      <c r="AD91" s="395" t="n"/>
      <c r="AE91" s="395" t="n"/>
    </row>
    <row r="92" ht="61.5" customHeight="1" s="380">
      <c r="A92" s="90" t="n">
        <v>16</v>
      </c>
      <c r="B92" s="12" t="n"/>
      <c r="C92" s="12" t="inlineStr">
        <is>
          <t>Dashboard Giám sát tình hình hoạt động của công ty chứng khoán toàn thị trường &gt;&gt; Biểu đồ biến động dư nợ margin và diễn biến thị trường</t>
        </is>
      </c>
      <c r="D92" s="12" t="inlineStr">
        <is>
          <t>Dư nợ margin</t>
        </is>
      </c>
      <c r="E92" s="12" t="inlineStr">
        <is>
          <t>Dư nợ margin trên báo cáo tháng của các CTCK</t>
        </is>
      </c>
      <c r="F92" s="386" t="inlineStr">
        <is>
          <t>Dashboard</t>
        </is>
      </c>
      <c r="G92" s="386" t="inlineStr">
        <is>
          <t>Chỉ tiêu cơ sở</t>
        </is>
      </c>
      <c r="H92" s="386" t="inlineStr">
        <is>
          <t>TB</t>
        </is>
      </c>
      <c r="I92" s="386" t="inlineStr">
        <is>
          <t>Ngày</t>
        </is>
      </c>
      <c r="J92" s="386" t="inlineStr">
        <is>
          <t>SCMS</t>
        </is>
      </c>
      <c r="K92" s="395" t="inlineStr">
        <is>
          <t>X</t>
        </is>
      </c>
      <c r="L92" s="395" t="inlineStr">
        <is>
          <t>X</t>
        </is>
      </c>
      <c r="M92" s="395" t="inlineStr">
        <is>
          <t>X</t>
        </is>
      </c>
      <c r="N92" s="395" t="inlineStr">
        <is>
          <t>Done</t>
        </is>
      </c>
      <c r="O92" s="401" t="n"/>
      <c r="P92" s="395" t="n"/>
      <c r="Q92" s="395" t="inlineStr">
        <is>
          <t>SCMS.BC_BAO_CAO_GT
SCMS.DM_CHI_TIEU</t>
        </is>
      </c>
      <c r="R92" s="395" t="inlineStr">
        <is>
          <t>gt.NGAY_SO_LIEU,
gt.DM_CHI_TIEU_ID,
gt.GIA_TRI,
dct.ID,
dct.TEN_CHI_TIEU</t>
        </is>
      </c>
      <c r="S92" s="395" t="n"/>
      <c r="T92" s="386" t="inlineStr">
        <is>
          <t>-- Dư nợ margin
SELECT
    nd.ngay,
    SUM(TO_NUMBER(gt.GIA_TRI)) AS du_no_margin
FROM (
    SELECT TRUNC(min_ngay) + LEVEL - 1 AS ngay
    FROM (
        SELECT MIN(gt.NGAY_SO_LIEU) AS min_ngay
        FROM SCMS.BC_BAO_CAO_GT gt
        JOIN SCMS.DM_CHI_TIEU   dct ON dct.ID = gt.DM_CHI_TIEU_ID
        WHERE dct.TEN_CHI_TIEU = 'Giá trị chứng khoán ký quỹ'  -- Check
    )
    CONNECT BY TRUNC(min_ngay) + LEVEL - 1 &lt;= TRUNC(SYSDATE)
) nd
LEFT JOIN SCMS.BC_BAO_CAO_GT gt
    JOIN SCMS.DM_CHI_TIEU    dct ON dct.ID = gt.DM_CHI_TIEU_ID
    ON  dct.TEN_CHI_TIEU       = 'Giá trị chứng khoán ký quỹ'  -- Check
    AND TRUNC(gt.NGAY_SO_LIEU) = nd.ngay
GROUP BY nd.ngay
ORDER BY nd.ngay;</t>
        </is>
      </c>
      <c r="U92" s="386" t="n"/>
      <c r="V92" s="395" t="n"/>
      <c r="W92" s="395" t="n"/>
      <c r="X92" s="395" t="n"/>
      <c r="Y92" s="13" t="inlineStr">
        <is>
          <t>Done</t>
        </is>
      </c>
      <c r="Z92" s="395" t="n"/>
      <c r="AA92" s="395" t="n"/>
      <c r="AB92" s="395" t="n"/>
      <c r="AC92" s="395" t="n"/>
      <c r="AD92" s="395" t="n"/>
      <c r="AE92" s="395" t="n"/>
    </row>
    <row r="93" ht="63" customHeight="1" s="380">
      <c r="A93" s="90" t="n">
        <v>16</v>
      </c>
      <c r="B93" s="12" t="n"/>
      <c r="C93" s="12" t="inlineStr">
        <is>
          <t>Dashboard Giám sát tình hình hoạt động của công ty chứng khoán toàn thị trường &gt;&gt; Biểu đồ biến động dư nợ margin và diễn biến thị trường</t>
        </is>
      </c>
      <c r="D93" s="12" t="inlineStr">
        <is>
          <t>Chỉ số Vn-index</t>
        </is>
      </c>
      <c r="E93" s="12" t="inlineStr">
        <is>
          <t>Chỉ số Vn-index theo từng tháng tại ngày cuối cùng của tháng</t>
        </is>
      </c>
      <c r="F93" s="386" t="inlineStr">
        <is>
          <t>Dashboard</t>
        </is>
      </c>
      <c r="G93" s="386" t="inlineStr">
        <is>
          <t>Chỉ tiêu cơ sở</t>
        </is>
      </c>
      <c r="H93" s="386" t="inlineStr">
        <is>
          <t>TB</t>
        </is>
      </c>
      <c r="I93" s="386" t="inlineStr">
        <is>
          <t>Ngày, chỉ số chứng khoán</t>
        </is>
      </c>
      <c r="J93" s="386" t="inlineStr">
        <is>
          <t>MSS</t>
        </is>
      </c>
      <c r="K93" s="395" t="inlineStr">
        <is>
          <t>X</t>
        </is>
      </c>
      <c r="L93" s="395" t="inlineStr">
        <is>
          <t>X</t>
        </is>
      </c>
      <c r="M93" s="395" t="inlineStr">
        <is>
          <t>X</t>
        </is>
      </c>
      <c r="N93" s="395" t="inlineStr">
        <is>
          <t>Done</t>
        </is>
      </c>
      <c r="O93" s="401" t="n"/>
      <c r="P93" s="395" t="n"/>
      <c r="Q93" s="395" t="inlineStr">
        <is>
          <t>FSSTRAINING.PUBLIC_MARKETINFOR</t>
        </is>
      </c>
      <c r="R93" s="395" t="inlineStr">
        <is>
          <t>"marketIndex",
"tradingdate",
"indexTime",
"marketCode"</t>
        </is>
      </c>
      <c r="S93" s="395" t="n"/>
      <c r="T93" s="386" t="inlineStr">
        <is>
          <t>-- Chỉ số Vn-index (DB: dwh)
SELECT
    TO_CHAR(nd.thang, 'YYYY-MM') AS thang,
    idx."marketIndex" AS chi_so_vn_index
FROM (
    SELECT ADD_MONTHS(TO_DATE(:p_nam_tu || TO_CHAR(:p_thang_tu, 'FM00') || '01', 'YYYYMMDD'), LEVEL - 1
           ) AS thang
    FROM DUAL
    CONNECT BY ADD_MONTHS(TO_DATE(:p_nam_tu || TO_CHAR(:p_thang_tu, 'FM00') || '01', 'YYYYMMDD'), LEVEL - 1)
               &lt;= TO_DATE(:p_nam_den || TO_CHAR(:p_thang_den, 'FM00') || '01', 'YYYYMMDD')
) nd
LEFT JOIN (
    SELECT
        TRUNC(TO_DATE("tradingdate", 'DD/MM/YYYY'), 'MM') AS thang,
        "marketIndex",
        ROW_NUMBER() OVER (
            PARTITION BY TRUNC(TO_DATE("tradingdate", 'DD/MM/YYYY'), 'MM')
            ORDER BY TO_DATE("tradingdate", 'DD/MM/YYYY') DESC, "indexTime" DESC
        ) AS rn
    FROM FSSTRAINING.PUBLIC_MARKETINFOR
    WHERE "marketCode" = 'HOSE'
) idx ON idx.thang = nd.thang
     AND idx.rn     = 1
ORDER BY nd.thang;</t>
        </is>
      </c>
      <c r="U93" s="386" t="n"/>
      <c r="V93" s="395" t="n"/>
      <c r="W93" s="395" t="n"/>
      <c r="X93" s="395" t="n"/>
      <c r="Y93" s="13" t="inlineStr">
        <is>
          <t>Done</t>
        </is>
      </c>
      <c r="Z93" s="395" t="n"/>
      <c r="AA93" s="395" t="n"/>
      <c r="AB93" s="395" t="n"/>
      <c r="AC93" s="395" t="n"/>
      <c r="AD93" s="395" t="n"/>
      <c r="AE93" s="395" t="n"/>
    </row>
    <row r="94" ht="61.5" customHeight="1" s="380">
      <c r="A94" s="90" t="n">
        <v>16</v>
      </c>
      <c r="B94" s="12" t="n"/>
      <c r="C94" s="12" t="inlineStr">
        <is>
          <t>Dashboard Giám sát tình hình hoạt động của công ty chứng khoán toàn thị trường &gt;&gt; Biểu đồ biến động dư nợ margin và diễn biến thị trường</t>
        </is>
      </c>
      <c r="D94" s="12" t="inlineStr">
        <is>
          <t>Chỉ số HNX index</t>
        </is>
      </c>
      <c r="E94" s="12" t="inlineStr">
        <is>
          <t>Chỉ số HNX index theo từng tháng tại ngày cuối cùng của tháng</t>
        </is>
      </c>
      <c r="F94" s="386" t="inlineStr">
        <is>
          <t>Dashboard</t>
        </is>
      </c>
      <c r="G94" s="386" t="inlineStr">
        <is>
          <t>Chỉ tiêu cơ sở</t>
        </is>
      </c>
      <c r="H94" s="386" t="inlineStr">
        <is>
          <t>TB</t>
        </is>
      </c>
      <c r="I94" s="386" t="inlineStr">
        <is>
          <t>Ngày, chỉ số chứng khoán</t>
        </is>
      </c>
      <c r="J94" s="386" t="inlineStr">
        <is>
          <t>MSS</t>
        </is>
      </c>
      <c r="K94" s="395" t="inlineStr">
        <is>
          <t>X</t>
        </is>
      </c>
      <c r="L94" s="395" t="inlineStr">
        <is>
          <t>X</t>
        </is>
      </c>
      <c r="M94" s="395" t="inlineStr">
        <is>
          <t>X</t>
        </is>
      </c>
      <c r="N94" s="395" t="inlineStr">
        <is>
          <t>Done</t>
        </is>
      </c>
      <c r="O94" s="401" t="n"/>
      <c r="P94" s="395" t="n"/>
      <c r="Q94" s="395" t="inlineStr">
        <is>
          <t>FSSTRAINING.PUBLIC_MARKETINFOR</t>
        </is>
      </c>
      <c r="R94" s="395" t="inlineStr">
        <is>
          <t>"marketIndex",
"tradingdate",
"indexTime",
"marketCode"</t>
        </is>
      </c>
      <c r="S94" s="395" t="n"/>
      <c r="T94" s="386" t="inlineStr">
        <is>
          <t>-- Chỉ số HNX index (DB: dwh)
SELECT
    TO_CHAR(nd.thang, 'YYYY-MM') AS thang,
    idx."marketIndex" AS chi_so_vn_index
FROM (
    SELECT ADD_MONTHS(TO_DATE(:p_nam_tu || TO_CHAR(:p_thang_tu, 'FM00') || '01', 'YYYYMMDD'), LEVEL - 1
           ) AS thang
    FROM DUAL
    CONNECT BY ADD_MONTHS(TO_DATE(:p_nam_tu || TO_CHAR(:p_thang_tu, 'FM00') || '01', 'YYYYMMDD'), LEVEL - 1)
               &lt;= TO_DATE(:p_nam_den || TO_CHAR(:p_thang_den, 'FM00') || '01', 'YYYYMMDD')
) nd
LEFT JOIN (
    SELECT
        TRUNC(TO_DATE("tradingdate", 'DD/MM/YYYY'), 'MM') AS thang,
        "marketIndex",
        ROW_NUMBER() OVER (
            PARTITION BY TRUNC(TO_DATE("tradingdate", 'DD/MM/YYYY'), 'MM')
            ORDER BY TO_DATE("tradingdate", 'DD/MM/YYYY') DESC, "indexTime" DESC
        ) AS rn
    FROM FSSTRAINING.PUBLIC_MARKETINFOR
    WHERE "marketCode" = 'HNX'
) idx ON idx.thang = nd.thang
     AND idx.rn     = 1
ORDER BY nd.thang;</t>
        </is>
      </c>
      <c r="U94" s="386" t="n"/>
      <c r="V94" s="395" t="n"/>
      <c r="W94" s="395" t="n"/>
      <c r="X94" s="395" t="n"/>
      <c r="Y94" s="13" t="inlineStr">
        <is>
          <t>Done</t>
        </is>
      </c>
      <c r="Z94" s="395" t="n"/>
      <c r="AA94" s="395" t="n"/>
      <c r="AB94" s="395" t="n"/>
      <c r="AC94" s="395" t="n"/>
      <c r="AD94" s="395" t="n"/>
      <c r="AE94" s="395" t="n"/>
    </row>
    <row r="95" ht="61.5" customHeight="1" s="380">
      <c r="A95" s="90" t="n">
        <v>16</v>
      </c>
      <c r="B95" s="12" t="n"/>
      <c r="C95" s="12" t="inlineStr">
        <is>
          <t>Dashboard Giám sát tình hình hoạt động của công ty chứng khoán toàn thị trường &gt;&gt; Biểu đồ biến động dư nợ margin và diễn biến thị trường</t>
        </is>
      </c>
      <c r="D95" s="12" t="inlineStr">
        <is>
          <t>Chỉ số Upcom-index</t>
        </is>
      </c>
      <c r="E95" s="12" t="inlineStr">
        <is>
          <t>Chỉ số Upcom-index theo từng tháng tại ngày cuối cùng của tháng</t>
        </is>
      </c>
      <c r="F95" s="386" t="inlineStr">
        <is>
          <t>Dashboard</t>
        </is>
      </c>
      <c r="G95" s="386" t="inlineStr">
        <is>
          <t>Chỉ tiêu cơ sở</t>
        </is>
      </c>
      <c r="H95" s="386" t="inlineStr">
        <is>
          <t>TB</t>
        </is>
      </c>
      <c r="I95" s="386" t="inlineStr">
        <is>
          <t>Ngày, chỉ số chứng khoán</t>
        </is>
      </c>
      <c r="J95" s="386" t="inlineStr">
        <is>
          <t>MSS</t>
        </is>
      </c>
      <c r="K95" s="395" t="inlineStr">
        <is>
          <t>X</t>
        </is>
      </c>
      <c r="L95" s="395" t="inlineStr">
        <is>
          <t>X</t>
        </is>
      </c>
      <c r="M95" s="395" t="inlineStr">
        <is>
          <t>X</t>
        </is>
      </c>
      <c r="N95" s="395" t="inlineStr">
        <is>
          <t>Done</t>
        </is>
      </c>
      <c r="O95" s="401" t="n"/>
      <c r="P95" s="395" t="n"/>
      <c r="Q95" s="395" t="inlineStr">
        <is>
          <t>FSSTRAINING.PUBLIC_MARKETINFOR</t>
        </is>
      </c>
      <c r="R95" s="395" t="inlineStr">
        <is>
          <t>"marketIndex",
"tradingdate",
"indexTime",
"marketCode"</t>
        </is>
      </c>
      <c r="S95" s="395" t="n"/>
      <c r="T95" s="386" t="inlineStr">
        <is>
          <t>-- Chỉ số Upcom-INDEX (DB: dwh)
SELECT
    TO_CHAR(nd.thang, 'YYYY-MM') AS thang,
    idx."marketIndex" AS chi_so_vn_index
FROM (
    SELECT ADD_MONTHS(TO_DATE(:p_nam_tu || TO_CHAR(:p_thang_tu, 'FM00') || '01', 'YYYYMMDD'), LEVEL - 1
           ) AS thang
    FROM DUAL
    CONNECT BY ADD_MONTHS(TO_DATE(:p_nam_tu || TO_CHAR(:p_thang_tu, 'FM00') || '01', 'YYYYMMDD'), LEVEL - 1)
               &lt;= TO_DATE(:p_nam_den || TO_CHAR(:p_thang_den, 'FM00') || '01', 'YYYYMMDD')
) nd
LEFT JOIN (
    SELECT
        TRUNC(TO_DATE("tradingdate", 'DD/MM/YYYY'), 'MM') AS thang,
        "marketIndex",
        ROW_NUMBER() OVER (
            PARTITION BY TRUNC(TO_DATE("tradingdate", 'DD/MM/YYYY'), 'MM')
            ORDER BY TO_DATE("tradingdate", 'DD/MM/YYYY') DESC, "indexTime" DESC
        ) AS rn
    FROM FSSTRAINING.PUBLIC_MARKETINFOR
    WHERE "marketCode" = 'UPCOM'
) idx ON idx.thang = nd.thang
     AND idx.rn     = 1
ORDER BY nd.thang;</t>
        </is>
      </c>
      <c r="U95" s="386" t="n"/>
      <c r="V95" s="395" t="n"/>
      <c r="W95" s="395" t="n"/>
      <c r="X95" s="395" t="n"/>
      <c r="Y95" s="13" t="inlineStr">
        <is>
          <t>Done</t>
        </is>
      </c>
      <c r="Z95" s="395" t="n"/>
      <c r="AA95" s="395" t="n"/>
      <c r="AB95" s="395" t="n"/>
      <c r="AC95" s="395" t="n"/>
      <c r="AD95" s="395" t="n"/>
      <c r="AE95" s="395" t="n"/>
    </row>
    <row r="96" ht="63.75" customHeight="1" s="380">
      <c r="A96" s="90" t="n">
        <v>16</v>
      </c>
      <c r="B96" s="12" t="n"/>
      <c r="C96" s="12" t="inlineStr">
        <is>
          <t>Dashboard Giám sát tình hình hoạt động của công ty chứng khoán toàn thị trường &gt;&gt; Biểu đồ biến động dư nợ margin và diễn biến thị trường</t>
        </is>
      </c>
      <c r="D96" s="12" t="inlineStr">
        <is>
          <t>Chỉ số Vn 30</t>
        </is>
      </c>
      <c r="E96" s="12" t="inlineStr">
        <is>
          <t>Chỉ số Vn 30 theo từng tháng tại ngày cuối cùng của tháng</t>
        </is>
      </c>
      <c r="F96" s="386" t="inlineStr">
        <is>
          <t>Dashboard</t>
        </is>
      </c>
      <c r="G96" s="386" t="inlineStr">
        <is>
          <t>Chỉ tiêu cơ sở</t>
        </is>
      </c>
      <c r="H96" s="386" t="inlineStr">
        <is>
          <t>TB</t>
        </is>
      </c>
      <c r="I96" s="386" t="inlineStr">
        <is>
          <t>Ngày, chỉ số chứng khoán</t>
        </is>
      </c>
      <c r="J96" s="386" t="inlineStr">
        <is>
          <t>MSS</t>
        </is>
      </c>
      <c r="K96" s="395" t="inlineStr">
        <is>
          <t>X</t>
        </is>
      </c>
      <c r="L96" s="395" t="inlineStr">
        <is>
          <t>X</t>
        </is>
      </c>
      <c r="M96" s="395" t="inlineStr">
        <is>
          <t>X</t>
        </is>
      </c>
      <c r="N96" s="395" t="inlineStr">
        <is>
          <t>Done</t>
        </is>
      </c>
      <c r="O96" s="401" t="n"/>
      <c r="P96" s="395" t="n"/>
      <c r="Q96" s="395" t="inlineStr">
        <is>
          <t>FSSTRAINING.PUBLIC_MARKETINFOR</t>
        </is>
      </c>
      <c r="R96" s="395" t="inlineStr">
        <is>
          <t>"marketIndex",
"tradingdate",
"indexTime",
"marketCode"</t>
        </is>
      </c>
      <c r="S96" s="395" t="n"/>
      <c r="T96" s="386" t="inlineStr">
        <is>
          <t>-- Chỉ số Vn 30 (DB: dwh)
SELECT
    TO_CHAR(nd.thang, 'YYYY-MM') AS thang,
    idx."marketIndex" AS chi_so_vn_index
FROM (
    SELECT ADD_MONTHS(TO_DATE(:p_nam_tu || TO_CHAR(:p_thang_tu, 'FM00') || '01', 'YYYYMMDD'), LEVEL - 1
           ) AS thang
    FROM DUAL
    CONNECT BY ADD_MONTHS(TO_DATE(:p_nam_tu || TO_CHAR(:p_thang_tu, 'FM00') || '01', 'YYYYMMDD'), LEVEL - 1)
               &lt;= TO_DATE(:p_nam_den || TO_CHAR(:p_thang_den, 'FM00') || '01', 'YYYYMMDD')
) nd
LEFT JOIN (
    SELECT
        TRUNC(TO_DATE("tradingdate", 'DD/MM/YYYY'), 'MM') AS thang,
        "marketIndex",
        ROW_NUMBER() OVER (
            PARTITION BY TRUNC(TO_DATE("tradingdate", 'DD/MM/YYYY'), 'MM')
            ORDER BY TO_DATE("tradingdate", 'DD/MM/YYYY') DESC, "indexTime" DESC
        ) AS rn
    FROM FSSTRAINING.PUBLIC_MARKETINFOR
    WHERE "marketCode" = '30'
) idx ON idx.thang = nd.thang
     AND idx.rn     = 1
ORDER BY nd.thang;</t>
        </is>
      </c>
      <c r="U96" s="386" t="n"/>
      <c r="V96" s="395" t="n"/>
      <c r="W96" s="395" t="n"/>
      <c r="X96" s="395" t="n"/>
      <c r="Y96" s="13" t="inlineStr">
        <is>
          <t>Done</t>
        </is>
      </c>
      <c r="Z96" s="395" t="n"/>
      <c r="AA96" s="395" t="n"/>
      <c r="AB96" s="395" t="n"/>
      <c r="AC96" s="395" t="n"/>
      <c r="AD96" s="395" t="n"/>
      <c r="AE96" s="395" t="n"/>
    </row>
    <row r="97" ht="51" customHeight="1" s="380">
      <c r="A97" s="90" t="n">
        <v>17</v>
      </c>
      <c r="B97" s="81" t="n"/>
      <c r="C97" s="81" t="inlineStr">
        <is>
          <t>Dashboard Giám sát tình hình hoạt động của công ty chứng khoán toàn thị trường &gt;&gt; Biểu đồ thị phần môi giới</t>
        </is>
      </c>
      <c r="D97" s="12" t="inlineStr">
        <is>
          <t>Chiều thời gian theo quý</t>
        </is>
      </c>
      <c r="E97" s="12" t="inlineStr">
        <is>
          <t>Chiều thời gian theo quý</t>
        </is>
      </c>
      <c r="F97" s="386" t="inlineStr">
        <is>
          <t>Dashboard</t>
        </is>
      </c>
      <c r="G97" s="386" t="inlineStr">
        <is>
          <t>Chiều</t>
        </is>
      </c>
      <c r="H97" s="386" t="inlineStr">
        <is>
          <t>Trùng</t>
        </is>
      </c>
      <c r="I97" s="386" t="n"/>
      <c r="J97" s="386" t="inlineStr">
        <is>
          <t>SCMS</t>
        </is>
      </c>
      <c r="K97" s="395" t="n"/>
      <c r="L97" s="395" t="inlineStr">
        <is>
          <t>X</t>
        </is>
      </c>
      <c r="M97" s="395" t="n"/>
      <c r="N97" s="395" t="inlineStr">
        <is>
          <t>Done</t>
        </is>
      </c>
      <c r="O97" s="401" t="n"/>
      <c r="P97" s="395" t="n"/>
      <c r="Q97" s="20" t="inlineStr">
        <is>
          <t>Ngày dữ liệu</t>
        </is>
      </c>
      <c r="R97" s="395" t="n"/>
      <c r="S97" s="395" t="inlineStr">
        <is>
          <t>AND TRUNC(bt.NGAY_SO_LIEU, 'Q') BETWEEN :p_quy_tu AND :p_quy_den (thêm vào WHERE của query chính)</t>
        </is>
      </c>
      <c r="T97" s="386" t="inlineStr">
        <is>
          <t>-- Chiều thời gian theo quý
SELECT DISTINCT
    ADD_MONTHS(TRUNC(min_ngay, 'Q'), (LEVEL - 1) * 3) AS quy
FROM (SELECT MIN(NGAY_SO_LIEU) AS min_ngay FROM SCMS.BC_THANH_VIEN)
CONNECT BY ADD_MONTHS(TRUNC(min_ngay, 'Q'), (LEVEL - 1) * 3) &lt;= TRUNC(SYSDATE, 'Q')
ORDER BY quy;</t>
        </is>
      </c>
      <c r="U97" s="386" t="n"/>
      <c r="V97" s="395" t="n"/>
      <c r="W97" s="395" t="n"/>
      <c r="X97" s="395" t="n"/>
      <c r="Y97" s="14" t="inlineStr">
        <is>
          <t>Done</t>
        </is>
      </c>
      <c r="Z97" s="395" t="n"/>
      <c r="AA97" s="395" t="n"/>
      <c r="AB97" s="395" t="n"/>
      <c r="AC97" s="395" t="n"/>
      <c r="AD97" s="395" t="n"/>
      <c r="AE97" s="395" t="n"/>
    </row>
    <row r="98" ht="75" customHeight="1" s="380">
      <c r="A98" s="90" t="n">
        <v>17</v>
      </c>
      <c r="B98" s="12" t="n"/>
      <c r="C98" s="12" t="inlineStr">
        <is>
          <t>Dashboard Giám sát tình hình hoạt động của công ty chứng khoán toàn thị trường &gt;&gt; Biểu đồ thị phần môi giới</t>
        </is>
      </c>
      <c r="D98" s="12" t="inlineStr">
        <is>
          <t>Chiều sàn giao dịch</t>
        </is>
      </c>
      <c r="E98" s="12" t="inlineStr">
        <is>
          <t>HOSE, HNX, UPCOM, Tất cả</t>
        </is>
      </c>
      <c r="F98" s="386" t="inlineStr">
        <is>
          <t>Dashboard</t>
        </is>
      </c>
      <c r="G98" s="386" t="inlineStr">
        <is>
          <t>Chiều</t>
        </is>
      </c>
      <c r="H98" s="386" t="inlineStr">
        <is>
          <t>Trùng</t>
        </is>
      </c>
      <c r="I98" s="386" t="n"/>
      <c r="J98" s="386" t="inlineStr">
        <is>
          <t>SCMS</t>
        </is>
      </c>
      <c r="K98" s="395" t="n"/>
      <c r="L98" s="395" t="inlineStr">
        <is>
          <t>X</t>
        </is>
      </c>
      <c r="M98" s="395" t="n"/>
      <c r="N98" s="395" t="inlineStr">
        <is>
          <t>Done</t>
        </is>
      </c>
      <c r="O98" s="401" t="n"/>
      <c r="P98" s="395" t="n"/>
      <c r="Q98" s="396" t="inlineStr">
        <is>
          <t>SCMS.CTCK_THONG_TIN</t>
        </is>
      </c>
      <c r="R98" s="395" t="inlineStr">
        <is>
          <t>SAN_NIEM_YET</t>
        </is>
      </c>
      <c r="S98" s="395" t="inlineStr">
        <is>
          <t>AND (
       :p_san IS NULL                              -- Tất cả sàn
       OR dct.MA_CHI_TIEU LIKE '%' || :p_san || '%'
   )</t>
        </is>
      </c>
      <c r="T98" s="386" t="inlineStr">
        <is>
          <t>-- Chiều sàn giao dịch
SELECT san_giao_dich FROM (
    SELECT DISTINCT
        CASE
            WHEN LOWER(TO_CHAR(SAN_NIEM_YET)) LIKE '%hose%'  THEN 'HOSE'
            WHEN LOWER(TO_CHAR(SAN_NIEM_YET)) LIKE '%hnx%'   THEN 'HNX'
            WHEN LOWER(TO_CHAR(SAN_NIEM_YET)) LIKE '%upcom%' THEN 'UPCOM'
        END AS san_giao_dich
    FROM SCMS.CTCK_THONG_TIN
    WHERE SAN_NIEM_YET IS NOT NULL
    UNION ALL
    SELECT 'Tất cả' FROM DUAL
)
ORDER BY 1;</t>
        </is>
      </c>
      <c r="U98" s="386" t="n"/>
      <c r="V98" s="395" t="n"/>
      <c r="W98" s="395" t="n"/>
      <c r="X98" s="395" t="n"/>
      <c r="Y98" s="14" t="inlineStr">
        <is>
          <t>Done</t>
        </is>
      </c>
      <c r="Z98" s="395" t="n"/>
      <c r="AA98" s="395" t="n"/>
      <c r="AB98" s="395" t="n"/>
      <c r="AC98" s="395" t="n"/>
      <c r="AD98" s="395" t="n"/>
      <c r="AE98" s="395" t="n"/>
    </row>
    <row r="99" ht="49.5" customHeight="1" s="380">
      <c r="A99" s="90" t="n">
        <v>17</v>
      </c>
      <c r="B99" s="12" t="n"/>
      <c r="C99" s="12" t="inlineStr">
        <is>
          <t>Dashboard Giám sát tình hình hoạt động của công ty chứng khoán toàn thị trường &gt;&gt; Biểu đồ thị phần môi giới</t>
        </is>
      </c>
      <c r="D99" s="12" t="inlineStr">
        <is>
          <t>Chiều top CTCK có thị phần cao nhất</t>
        </is>
      </c>
      <c r="E99" s="12" t="inlineStr">
        <is>
          <t>Top 3, 5, 6, 8, 10</t>
        </is>
      </c>
      <c r="F99" s="386" t="inlineStr">
        <is>
          <t>Dashboard</t>
        </is>
      </c>
      <c r="G99" s="386" t="inlineStr">
        <is>
          <t>Chiều</t>
        </is>
      </c>
      <c r="H99" s="386" t="inlineStr">
        <is>
          <t>Dễ</t>
        </is>
      </c>
      <c r="I99" s="386" t="n"/>
      <c r="J99" s="386" t="inlineStr">
        <is>
          <t>SCMS</t>
        </is>
      </c>
      <c r="K99" s="395" t="n"/>
      <c r="L99" s="395" t="inlineStr">
        <is>
          <t>X</t>
        </is>
      </c>
      <c r="M99" s="395" t="n"/>
      <c r="N99" s="395" t="inlineStr">
        <is>
          <t>Done</t>
        </is>
      </c>
      <c r="O99" s="401" t="n"/>
      <c r="P99" s="395" t="n"/>
      <c r="Q99" s="396" t="inlineStr">
        <is>
          <t>Danh sách cố định, tham số lọc do người dùng chọn</t>
        </is>
      </c>
      <c r="R99" s="395" t="n"/>
      <c r="S99" s="395" t="inlineStr">
        <is>
          <t>WHERE xep_hang &lt;= :p_top_n
ORDER BY quy, xep_hang;</t>
        </is>
      </c>
      <c r="T99" s="386" t="inlineStr">
        <is>
          <t>-- Chiều top CTCK có thị phần cao nhất
SELECT top_ctck FROM (
    SELECT 'Top 3'  AS top_ctck, 1 AS stt FROM DUAL UNION ALL
    SELECT 'Top 5', 2 FROM DUAL UNION ALL
    SELECT 'Top 6', 3 FROM DUAL UNION ALL
    SELECT 'Top 8', 4 FROM DUAL UNION ALL
    SELECT 'Top 10', 5 FROM DUAL
)
ORDER BY stt;</t>
        </is>
      </c>
      <c r="U99" s="386" t="n"/>
      <c r="V99" s="395" t="n"/>
      <c r="W99" s="395" t="n"/>
      <c r="X99" s="395" t="n"/>
      <c r="Y99" s="14" t="inlineStr">
        <is>
          <t>Done</t>
        </is>
      </c>
      <c r="Z99" s="395" t="n"/>
      <c r="AA99" s="395" t="n"/>
      <c r="AB99" s="395" t="n"/>
      <c r="AC99" s="395" t="n"/>
      <c r="AD99" s="395" t="n"/>
      <c r="AE99" s="395" t="n"/>
    </row>
    <row r="100" ht="111" customHeight="1" s="380">
      <c r="A100" s="90" t="n">
        <v>17</v>
      </c>
      <c r="B100" s="12" t="n"/>
      <c r="C100" s="12" t="inlineStr">
        <is>
          <t>Dashboard Giám sát tình hình hoạt động của công ty chứng khoán toàn thị trường &gt;&gt; Biểu đồ thị phần môi giới</t>
        </is>
      </c>
      <c r="D100" s="12" t="inlineStr">
        <is>
          <t>Thị phần môi giới của các CTCK</t>
        </is>
      </c>
      <c r="E100" s="12" t="inlineStr">
        <is>
          <t>Thị phần môi giới của các CTCK</t>
        </is>
      </c>
      <c r="F100" s="386" t="inlineStr">
        <is>
          <t>Dashboard</t>
        </is>
      </c>
      <c r="G100" s="386" t="inlineStr">
        <is>
          <t>Chỉ tiêu cơ sở</t>
        </is>
      </c>
      <c r="H100" s="386" t="inlineStr">
        <is>
          <t>TB</t>
        </is>
      </c>
      <c r="I100" s="386" t="inlineStr">
        <is>
          <t>Ngày, sàn giao dịch</t>
        </is>
      </c>
      <c r="J100" s="386" t="inlineStr">
        <is>
          <t>SCMS</t>
        </is>
      </c>
      <c r="K100" s="395" t="inlineStr">
        <is>
          <t>X</t>
        </is>
      </c>
      <c r="L100" s="395" t="inlineStr">
        <is>
          <t>X</t>
        </is>
      </c>
      <c r="M100" s="395" t="inlineStr">
        <is>
          <t>X</t>
        </is>
      </c>
      <c r="N100" s="395" t="inlineStr">
        <is>
          <t>Done</t>
        </is>
      </c>
      <c r="O100" s="401" t="n"/>
      <c r="P100" s="395" t="n"/>
      <c r="Q100" s="395" t="inlineStr">
        <is>
          <t>SCMS.BC_BAO_CAO_GT
SCMS.DM_CHI_TIEU
SCMS.BC_THANH_VIEN
SCMS.CTCK_THONG_TIN</t>
        </is>
      </c>
      <c r="R100" s="395" t="inlineStr">
        <is>
          <t>gt.DM_CHI_TIEU_ID,
gt.GIA_TRI,
gt.BC_THANH_VIEN_ID,
bt.ID,
bt.NGAY_SO_LIEU,
bt.TRANG_THAI,
bt.XOA_DU_LIEU,
bt.CTCK_THONG_TIN_ID,
dct.ID,
dct.MA_CHI_TIEU,
c.ID,
c.TEN_VIET_TAT</t>
        </is>
      </c>
      <c r="S100" s="395" t="n"/>
      <c r="T100" s="386" t="inlineStr">
        <is>
          <t>-- Thị phần môi giới của các CTCK
SELECT
    nd.ngay,
    c.TEN_VIET_TAT,
    TO_NUMBER(gt.GIA_TRI) AS thi_phan_moi_gioi
FROM (
    SELECT TRUNC(min_ngay) + LEVEL - 1 AS ngay
    FROM (
        SELECT MIN(bt.NGAY_SO_LIEU) AS min_ngay
        FROM SCMS.BC_BAO_CAO_GT   gt
        JOIN SCMS.DM_CHI_TIEU     dct ON dct.ID = gt.DM_CHI_TIEU_ID
        JOIN SCMS.BC_THANH_VIEN   bt  ON bt.ID  = gt.BC_THANH_VIEN_ID
        WHERE dct.MA_CHI_TIEU = 'THI_PHAN_MOI_GIOI'  -- Xác nhận lại
          AND bt.TRANG_THAI  IN (4, 6)
          AND bt.XOA_DU_LIEU  = 0
    )
    CONNECT BY TRUNC(min_ngay) + LEVEL - 1 &lt;= TRUNC(SYSDATE)
) nd
LEFT JOIN SCMS.BC_BAO_CAO_GT   gt
    JOIN SCMS.DM_CHI_TIEU      dct ON dct.ID = gt.DM_CHI_TIEU_ID
    JOIN SCMS.BC_THANH_VIEN    bt  ON bt.ID  = gt.BC_THANH_VIEN_ID
    JOIN SCMS.CTCK_THONG_TIN   c   ON c.ID   = bt.CTCK_THONG_TIN_ID
    ON  dct.MA_CHI_TIEU        = 'THI_PHAN_MOI_GIOI'  -- Xác nhận lại
    AND TRUNC(bt.NGAY_SO_LIEU) = nd.ngay
    AND bt.TRANG_THAI          IN (4, 6)
    AND bt.XOA_DU_LIEU         = 0
ORDER BY nd.ngay, thi_phan_moi_gioi DESC;</t>
        </is>
      </c>
      <c r="U100" s="386" t="n"/>
      <c r="V100" s="395" t="n"/>
      <c r="W100" s="395" t="n"/>
      <c r="X100" s="395" t="n"/>
      <c r="Y100" s="14" t="inlineStr">
        <is>
          <t>Done</t>
        </is>
      </c>
      <c r="Z100" s="395" t="n"/>
      <c r="AA100" s="395" t="n"/>
      <c r="AB100" s="395" t="n"/>
      <c r="AC100" s="395" t="n"/>
      <c r="AD100" s="395" t="n"/>
      <c r="AE100" s="395" t="n"/>
    </row>
    <row r="101" ht="123.75" customHeight="1" s="380">
      <c r="A101" s="90" t="n">
        <v>17</v>
      </c>
      <c r="B101" s="12" t="n"/>
      <c r="C101" s="12" t="inlineStr">
        <is>
          <t>Dashboard Giám sát tình hình hoạt động của công ty chứng khoán toàn thị trường &gt;&gt; Biểu đồ thị phần môi giới</t>
        </is>
      </c>
      <c r="D101" s="12" t="inlineStr">
        <is>
          <t>Xếp hạng thị phần môi giới</t>
        </is>
      </c>
      <c r="E101" s="12" t="inlineStr">
        <is>
          <t>Xếp hạng thị phần môi giới từ cao nhất đến thấp nhất để xác định top n</t>
        </is>
      </c>
      <c r="F101" s="386" t="inlineStr">
        <is>
          <t>Dashboard</t>
        </is>
      </c>
      <c r="G101" s="386" t="inlineStr">
        <is>
          <t>Chỉ tiêu cơ sở</t>
        </is>
      </c>
      <c r="H101" s="386" t="inlineStr">
        <is>
          <t>TB</t>
        </is>
      </c>
      <c r="I101" s="386" t="inlineStr">
        <is>
          <t>Ngày, sàn giao dịch</t>
        </is>
      </c>
      <c r="J101" s="386" t="inlineStr">
        <is>
          <t>SCMS</t>
        </is>
      </c>
      <c r="K101" s="395" t="inlineStr">
        <is>
          <t>X</t>
        </is>
      </c>
      <c r="L101" s="395" t="inlineStr">
        <is>
          <t>X</t>
        </is>
      </c>
      <c r="M101" s="395" t="inlineStr">
        <is>
          <t>X</t>
        </is>
      </c>
      <c r="N101" s="395" t="inlineStr">
        <is>
          <t>Done</t>
        </is>
      </c>
      <c r="O101" s="401" t="n"/>
      <c r="P101" s="395" t="n"/>
      <c r="Q101" s="395" t="inlineStr">
        <is>
          <t>SCMS.BC_BAO_CAO_GT
SCMS.DM_CHI_TIEU
SCMS.BC_THANH_VIEN
SCMS.CTCK_THONG_TIN</t>
        </is>
      </c>
      <c r="R101" s="395" t="inlineStr">
        <is>
          <t>gt.DM_CHI_TIEU_ID,
gt.GIA_TRI,
gt.BC_THANH_VIEN_ID,
bt.ID,
bt.NGAY_SO_LIEU,
bt.TRANG_THAI,
bt.XOA_DU_LIEU,
bt.CTCK_THONG_TIN_ID,
dct.ID,
dct.MA_CHI_TIEU,
c.ID,
c.TEN_VIET_TAT</t>
        </is>
      </c>
      <c r="S101" s="395" t="n"/>
      <c r="T101" s="386" t="inlineStr">
        <is>
          <t>-- Xếp hạng thị phần môi giới
SELECT
    nd.ngay,
    c.TEN_VIET_TAT,
    TO_NUMBER(gt.GIA_TRI) AS thi_phan_moi_gioi,
    RANK() OVER (
        PARTITION BY nd.ngay
        ORDER BY TO_NUMBER(gt.GIA_TRI) DESC
    ) AS xep_hang
FROM (
    SELECT TRUNC(min_ngay) + LEVEL - 1 AS ngay
    FROM (
        SELECT MIN(bt.NGAY_SO_LIEU) AS min_ngay
        FROM SCMS.BC_BAO_CAO_GT   gt
        JOIN SCMS.DM_CHI_TIEU     dct ON dct.ID = gt.DM_CHI_TIEU_ID
        JOIN SCMS.BC_THANH_VIEN   bt  ON bt.ID  = gt.BC_THANH_VIEN_ID
        WHERE dct.MA_CHI_TIEU = 'THI_PHAN_MOI_GIOI'  -- Xác nhận lại
          AND bt.TRANG_THAI  IN (4, 6)
          AND bt.XOA_DU_LIEU  = 0
    )
    CONNECT BY TRUNC(min_ngay) + LEVEL - 1 &lt;= TRUNC(SYSDATE)
) nd
LEFT JOIN SCMS.BC_BAO_CAO_GT   gt
    JOIN SCMS.DM_CHI_TIEU      dct ON dct.ID = gt.DM_CHI_TIEU_ID
    JOIN SCMS.BC_THANH_VIEN    bt  ON bt.ID  = gt.BC_THANH_VIEN_ID
    JOIN SCMS.CTCK_THONG_TIN   c   ON c.ID   = bt.CTCK_THONG_TIN_ID
    ON  dct.MA_CHI_TIEU        = 'THI_PHAN_MOI_GIOI'  -- Xác nhận lại
    AND TRUNC(bt.NGAY_SO_LIEU) = nd.ngay
    AND bt.TRANG_THAI          IN (4, 6)
    AND bt.XOA_DU_LIEU         = 0
ORDER BY nd.ngay, xep_hang;</t>
        </is>
      </c>
      <c r="U101" s="386" t="n"/>
      <c r="V101" s="395" t="n"/>
      <c r="W101" s="395" t="n"/>
      <c r="X101" s="395" t="n"/>
      <c r="Y101" s="13" t="inlineStr">
        <is>
          <t>Done</t>
        </is>
      </c>
      <c r="Z101" s="395" t="n"/>
      <c r="AA101" s="395" t="n"/>
      <c r="AB101" s="395" t="n"/>
      <c r="AC101" s="395" t="n"/>
      <c r="AD101" s="395" t="n"/>
      <c r="AE101" s="395" t="n"/>
    </row>
    <row r="102" ht="98" customHeight="1" s="380">
      <c r="A102" s="90" t="n">
        <v>18</v>
      </c>
      <c r="B102" s="81" t="n"/>
      <c r="C102" s="81" t="inlineStr">
        <is>
          <t>Dashboard Giám sát tình hình hoạt động của công ty chứng khoán toàn thị trường &gt;&gt; Biểu đồ Lưu chuyển tiền thuần từ hoạt động sản xuất kinh doanh (CFO)</t>
        </is>
      </c>
      <c r="D102" s="12" t="inlineStr">
        <is>
          <t>Chiều mã CTCK</t>
        </is>
      </c>
      <c r="E102" s="12" t="inlineStr">
        <is>
          <t>Chiều mã CTCK</t>
        </is>
      </c>
      <c r="F102" s="386" t="inlineStr">
        <is>
          <t>Dashboard</t>
        </is>
      </c>
      <c r="G102" s="386" t="inlineStr">
        <is>
          <t>Chiều</t>
        </is>
      </c>
      <c r="H102" s="386" t="inlineStr">
        <is>
          <t>Dễ</t>
        </is>
      </c>
      <c r="I102" s="386" t="n"/>
      <c r="J102" s="386" t="inlineStr">
        <is>
          <t>SCMS</t>
        </is>
      </c>
      <c r="K102" s="395" t="inlineStr">
        <is>
          <t>x</t>
        </is>
      </c>
      <c r="L102" s="395" t="inlineStr">
        <is>
          <t>x</t>
        </is>
      </c>
      <c r="M102" s="395" t="n"/>
      <c r="N102" s="395" t="inlineStr">
        <is>
          <t>Done</t>
        </is>
      </c>
      <c r="O102" s="401" t="n"/>
      <c r="P102" s="395" t="n"/>
      <c r="Q102" s="396" t="inlineStr">
        <is>
          <t>SCMS.CTCK_THONG_TIN</t>
        </is>
      </c>
      <c r="R102" s="395" t="inlineStr">
        <is>
          <t>TEN_VIET_TAT,
TRANG_THAI</t>
        </is>
      </c>
      <c r="S102" s="395" t="n"/>
      <c r="T102" s="386" t="inlineStr">
        <is>
          <t>-- Chiều mã CTCK
SELECT DISTINCT TEN_VIET_TAT AS ma_ctck
FROM SCMS.CTCK_THONG_TIN
WHERE TEN_VIET_TAT IS NOT NULL
ORDER BY 1;</t>
        </is>
      </c>
      <c r="U102" s="386" t="n"/>
      <c r="V102" s="395" t="n"/>
      <c r="W102" s="395" t="n"/>
      <c r="X102" s="395" t="n"/>
      <c r="Y102" s="13" t="inlineStr">
        <is>
          <t>Done</t>
        </is>
      </c>
      <c r="Z102" s="395" t="n"/>
      <c r="AA102" s="395" t="n"/>
      <c r="AB102" s="395" t="n"/>
      <c r="AC102" s="395" t="n"/>
      <c r="AD102" s="395" t="n"/>
      <c r="AE102" s="395" t="n"/>
    </row>
    <row r="103" ht="73.5" customHeight="1" s="380">
      <c r="A103" s="90" t="n">
        <v>18</v>
      </c>
      <c r="B103" s="12" t="n"/>
      <c r="C103" s="12" t="inlineStr">
        <is>
          <t>Dashboard Giám sát tình hình hoạt động của công ty chứng khoán toàn thị trường &gt;&gt; Biểu đồ Lưu chuyển tiền thuần từ hoạt động sản xuất kinh doanh (CFO)</t>
        </is>
      </c>
      <c r="D103" s="12" t="inlineStr">
        <is>
          <t>LNST</t>
        </is>
      </c>
      <c r="E103" s="12" t="inlineStr">
        <is>
          <t>Chỉ tiêu lợi nhuận sau thuế trên BCTC mới nhất</t>
        </is>
      </c>
      <c r="F103" s="386" t="inlineStr">
        <is>
          <t>Dashboard</t>
        </is>
      </c>
      <c r="G103" s="386" t="inlineStr">
        <is>
          <t>Chỉ tiêu cơ sở</t>
        </is>
      </c>
      <c r="H103" s="386" t="inlineStr">
        <is>
          <t>TB</t>
        </is>
      </c>
      <c r="I103" s="386" t="inlineStr">
        <is>
          <t>Ngày, CTCK</t>
        </is>
      </c>
      <c r="J103" s="386" t="inlineStr">
        <is>
          <t>SCMS</t>
        </is>
      </c>
      <c r="K103" s="395" t="inlineStr">
        <is>
          <t>X</t>
        </is>
      </c>
      <c r="L103" s="395" t="inlineStr">
        <is>
          <t>X</t>
        </is>
      </c>
      <c r="M103" s="395" t="n"/>
      <c r="N103" s="395" t="inlineStr">
        <is>
          <t>Done</t>
        </is>
      </c>
      <c r="O103" s="401" t="n"/>
      <c r="P103" s="395" t="n"/>
      <c r="Q103" s="395" t="inlineStr">
        <is>
          <t>SCMS.BC_BAO_CAO_GT
SCMS.DM_CHI_TIEU
SCMS.BC_THANH_VIEN
SCMS.CTCK_THONG_TIN</t>
        </is>
      </c>
      <c r="R103" s="395" t="inlineStr">
        <is>
          <t>gt.DM_CHI_TIEU_ID,
gt.GIA_TRI,
gt.BC_THANH_VIEN_ID,
bt.ID,
bt.NGAY_SO_LIEU,
bt.TRANG_THAI,
bt.XOA_DU_LIEU,
bt.CTCK_THONG_TIN_ID,
dct.ID,
dct.MA_CHI_TIEU,
c.ID,
c.TEN_VIET_TAT</t>
        </is>
      </c>
      <c r="S103" s="395" t="n"/>
      <c r="T103" s="386" t="inlineStr">
        <is>
          <t>-- Chỉ tiêu lợi nhuận sau thuế trên BCTC mới nhất
SELECT
    nd.ngay,
    c.TEN_VIET_TAT,
    TO_NUMBER(lnst.gia_tri) AS lnst_moi_nhat
FROM (
    SELECT TRUNC(min_ngay) + LEVEL - 1 AS ngay
    FROM (
        SELECT MIN(bt.NGAY_SO_LIEU) AS min_ngay
        FROM SCMS.BC_BAO_CAO_GT   gt
        JOIN SCMS.DM_CHI_TIEU     dct ON dct.ID = gt.DM_CHI_TIEU_ID
        JOIN SCMS.BC_THANH_VIEN   bt  ON bt.ID  = gt.BC_THANH_VIEN_ID
        WHERE dct.MA_CHI_TIEU = 'LOI_NHUAN_SAU_THUE'  -- Xác nhận lại
          AND bt.TRANG_THAI  IN (4, 6)
          AND bt.XOA_DU_LIEU  = 0
    )
    CONNECT BY TRUNC(min_ngay) + LEVEL - 1 &lt;= TRUNC(SYSDATE)
) nd
LEFT JOIN (
    SELECT
        bt.CTCK_THONG_TIN_ID    AS ctck_id,
        TRUNC(bt.NGAY_SO_LIEU)  AS ngay_so_lieu,
        gt.GIA_TRI              AS gia_tri,
        ROW_NUMBER() OVER (
            PARTITION BY bt.CTCK_THONG_TIN_ID
            ORDER BY bt.NGAY_SO_LIEU DESC
        ) AS rn
    FROM SCMS.BC_BAO_CAO_GT   gt
    JOIN SCMS.DM_CHI_TIEU     dct ON dct.ID = gt.DM_CHI_TIEU_ID
    JOIN SCMS.BC_THANH_VIEN   bt  ON bt.ID  = gt.BC_THANH_VIEN_ID
    WHERE dct.MA_CHI_TIEU = 'LOI_NHUAN_SAU_THUE'  -- Xác nhận lại
      AND bt.TRANG_THAI  IN (4, 6)
      AND bt.XOA_DU_LIEU  = 0
) lnst ON lnst.ngay_so_lieu = nd.ngay AND lnst.rn = 1
JOIN SCMS.CTCK_THONG_TIN c ON c.ID = lnst.ctck_id
ORDER BY nd.ngay, TO_NUMBER(lnst.gia_tri) DESC;</t>
        </is>
      </c>
      <c r="U103" s="386" t="n"/>
      <c r="V103" s="395" t="n"/>
      <c r="W103" s="395" t="n"/>
      <c r="X103" s="395" t="n"/>
      <c r="Y103" s="14" t="inlineStr">
        <is>
          <t>Done</t>
        </is>
      </c>
      <c r="Z103" s="395" t="n"/>
      <c r="AA103" s="395" t="n"/>
      <c r="AB103" s="395" t="n"/>
      <c r="AC103" s="395" t="n"/>
      <c r="AD103" s="395" t="n"/>
      <c r="AE103" s="395" t="n"/>
    </row>
    <row r="104" ht="75.75" customHeight="1" s="380">
      <c r="A104" s="91" t="n">
        <v>18</v>
      </c>
      <c r="B104" s="84" t="n"/>
      <c r="C104" s="84" t="inlineStr">
        <is>
          <t>Dashboard Giám sát tình hình hoạt động của công ty chứng khoán toàn thị trường &gt;&gt; Biểu đồ Lưu chuyển tiền thuần từ hoạt động sản xuất kinh doanh (CFO)</t>
        </is>
      </c>
      <c r="D104" s="84" t="inlineStr">
        <is>
          <t>CFO (dòng tiền hoạt động kinh doanh)</t>
        </is>
      </c>
      <c r="E104" s="84" t="inlineStr">
        <is>
          <t>Lưu chuyển tiền thuần từ hoạt động kinh doanh trên Báo cáo lưu chuyển tiền tệ của BCTC</t>
        </is>
      </c>
      <c r="F104" s="68" t="inlineStr">
        <is>
          <t>Dashboard</t>
        </is>
      </c>
      <c r="G104" s="68" t="inlineStr">
        <is>
          <t>Chỉ tiêu cơ sở</t>
        </is>
      </c>
      <c r="H104" s="68" t="inlineStr">
        <is>
          <t>TB</t>
        </is>
      </c>
      <c r="I104" s="68" t="inlineStr">
        <is>
          <t>Ngày, CTCK</t>
        </is>
      </c>
      <c r="J104" s="68" t="inlineStr">
        <is>
          <t>SCMS</t>
        </is>
      </c>
      <c r="K104" s="69" t="inlineStr">
        <is>
          <t>X</t>
        </is>
      </c>
      <c r="L104" s="69" t="inlineStr">
        <is>
          <t>X</t>
        </is>
      </c>
      <c r="M104" s="69" t="n"/>
      <c r="N104" s="69" t="inlineStr">
        <is>
          <t>Done</t>
        </is>
      </c>
      <c r="O104" s="85" t="n"/>
      <c r="P104" s="69" t="n"/>
      <c r="Q104" s="69" t="inlineStr">
        <is>
          <t>SCMS.BC_BAO_CAO_GT
SCMS.DM_CHI_TIEU
SCMS.BC_THANH_VIEN
SCMS.CTCK_THONG_TIN</t>
        </is>
      </c>
      <c r="R104" s="69" t="inlineStr">
        <is>
          <t>gt.DM_CHI_TIEU_ID,
gt.GIA_TRI,
gt.BC_THANH_VIEN_ID,
bt.ID,
bt.NGAY_SO_LIEU,
bt.TRANG_THAI,
bt.XOA_DU_LIEU,
bt.CTCK_THONG_TIN_ID,
dct.ID,
dct.MA_CHI_TIEU,
c.ID,
c.TEN_VIET_TAT</t>
        </is>
      </c>
      <c r="S104" s="69" t="n"/>
      <c r="T104" s="68" t="inlineStr">
        <is>
          <t>-- CFO (dòng tiền hoạt động kinh doanh)
SELECT
    nd.ngay,
    c.TEN_VIET_TAT,
    TO_NUMBER(cfo.gia_tri) AS cfo
FROM (
    SELECT TRUNC(min_ngay) + LEVEL - 1 AS ngay
    FROM (
        SELECT MIN(bt.NGAY_SO_LIEU) AS min_ngay
        FROM SCMS.BC_BAO_CAO_GT   gt
        JOIN SCMS.DM_CHI_TIEU     dct ON dct.ID = gt.DM_CHI_TIEU_ID
        JOIN SCMS.BC_THANH_VIEN   bt  ON bt.ID  = gt.BC_THANH_VIEN_ID
        WHERE dct.MA_CHI_TIEU = 'CFO'  -- Xác nhận lại
          AND bt.TRANG_THAI  IN (4, 6)
          AND bt.XOA_DU_LIEU  = 0
    )
    CONNECT BY TRUNC(min_ngay) + LEVEL - 1 &lt;= TRUNC(SYSDATE)
) nd
LEFT JOIN (
    SELECT
        bt.CTCK_THONG_TIN_ID    AS ctck_id,
        TRUNC(bt.NGAY_SO_LIEU)  AS ngay_so_lieu,
        gt.GIA_TRI              AS gia_tri,
        ROW_NUMBER() OVER (
            PARTITION BY bt.CTCK_THONG_TIN_ID
            ORDER BY bt.NGAY_SO_LIEU DESC
        ) AS rn
    FROM SCMS.BC_BAO_CAO_GT   gt
    JOIN SCMS.DM_CHI_TIEU     dct ON dct.ID = gt.DM_CHI_TIEU_ID
    JOIN SCMS.BC_THANH_VIEN   bt  ON bt.ID  = gt.BC_THANH_VIEN_ID
    WHERE dct.MA_CHI_TIEU = 'CFO'  -- Xác nhận lại
      AND bt.TRANG_THAI  IN (4, 6)
      AND bt.XOA_DU_LIEU  = 0
) cfo ON cfo.ngay_so_lieu = nd.ngay AND cfo.rn = 1
JOIN SCMS.CTCK_THONG_TIN c ON c.ID = cfo.ctck_id
ORDER BY nd.ngay, TO_NUMBER(cfo.gia_tri) DESC;</t>
        </is>
      </c>
      <c r="U104" s="68" t="n"/>
      <c r="V104" s="69" t="n"/>
      <c r="W104" s="69" t="n"/>
      <c r="X104" s="69" t="n"/>
      <c r="Y104" s="14" t="inlineStr">
        <is>
          <t>Done</t>
        </is>
      </c>
      <c r="Z104" s="69" t="n"/>
      <c r="AA104" s="69" t="n"/>
      <c r="AB104" s="69" t="n"/>
      <c r="AC104" s="69" t="n"/>
      <c r="AD104" s="69" t="n"/>
      <c r="AE104" s="69" t="n"/>
    </row>
    <row r="105" ht="84" customHeight="1" s="380">
      <c r="A105" s="92" t="n">
        <v>19</v>
      </c>
      <c r="B105" s="81" t="n"/>
      <c r="C105" s="81" t="inlineStr">
        <is>
          <t>Dashboard Tra cứu hồ sơ 360 CTCK &gt;&gt; Dashboard tổng quan 360 của CTCK &gt;&gt; Biểu đồ Thống kê chung</t>
        </is>
      </c>
      <c r="D105" s="75" t="inlineStr">
        <is>
          <t>Chiều mã CTCK</t>
        </is>
      </c>
      <c r="E105" s="75" t="inlineStr">
        <is>
          <t>Chiều mã CTCK</t>
        </is>
      </c>
      <c r="F105" s="400" t="inlineStr">
        <is>
          <t>Dashboard</t>
        </is>
      </c>
      <c r="G105" s="400" t="inlineStr">
        <is>
          <t>Chiều</t>
        </is>
      </c>
      <c r="H105" s="400" t="inlineStr">
        <is>
          <t>Trùng</t>
        </is>
      </c>
      <c r="I105" s="400" t="n"/>
      <c r="J105" s="400" t="inlineStr">
        <is>
          <t>SCMS</t>
        </is>
      </c>
      <c r="K105" s="405" t="n"/>
      <c r="L105" s="405" t="inlineStr">
        <is>
          <t>X</t>
        </is>
      </c>
      <c r="M105" s="405" t="n"/>
      <c r="N105" s="405" t="inlineStr">
        <is>
          <t>Done</t>
        </is>
      </c>
      <c r="O105" s="404" t="n"/>
      <c r="P105" s="405" t="n"/>
      <c r="Q105" s="396" t="inlineStr">
        <is>
          <t>SCMS.CTCK_THONG_TIN</t>
        </is>
      </c>
      <c r="R105" s="395" t="inlineStr">
        <is>
          <t>TEN_VIET_TAT,
TRANG_THAI</t>
        </is>
      </c>
      <c r="S105" s="405" t="n"/>
      <c r="T105" s="400" t="inlineStr">
        <is>
          <t>-- Chiều mã CTCK
SELECT DISTINCT TEN_VIET_TAT AS ma_ctck
FROM SCMS.CTCK_THONG_TIN
WHERE TEN_VIET_TAT IS NOT NULL
ORDER BY 1;</t>
        </is>
      </c>
      <c r="U105" s="400" t="n"/>
      <c r="V105" s="405" t="n"/>
      <c r="W105" s="405" t="n"/>
      <c r="X105" s="405" t="n"/>
      <c r="Y105" s="14" t="inlineStr">
        <is>
          <t>Done</t>
        </is>
      </c>
      <c r="Z105" s="405" t="n"/>
      <c r="AA105" s="405" t="n"/>
      <c r="AB105" s="405" t="n"/>
      <c r="AC105" s="405" t="n"/>
      <c r="AD105" s="405" t="n"/>
      <c r="AE105" s="405" t="n"/>
    </row>
    <row r="106" ht="48.75" customHeight="1" s="380">
      <c r="A106" s="92" t="n">
        <v>19</v>
      </c>
      <c r="B106" s="386" t="n"/>
      <c r="C106" s="386" t="inlineStr">
        <is>
          <t>Dashboard Tra cứu hồ sơ 360 CTCK &gt;&gt; Dashboard tổng quan 360 của CTCK &gt;&gt; Biểu đồ Thống kê chung</t>
        </is>
      </c>
      <c r="D106" s="12" t="inlineStr">
        <is>
          <t>Chiều thời gian theo tháng</t>
        </is>
      </c>
      <c r="E106" s="12" t="inlineStr">
        <is>
          <t>Chiều thời gian theo tháng</t>
        </is>
      </c>
      <c r="F106" s="386" t="inlineStr">
        <is>
          <t>Dashboard</t>
        </is>
      </c>
      <c r="G106" s="386" t="inlineStr">
        <is>
          <t>Chiều</t>
        </is>
      </c>
      <c r="H106" s="386" t="inlineStr">
        <is>
          <t>Trùng</t>
        </is>
      </c>
      <c r="I106" s="386" t="n"/>
      <c r="J106" s="386" t="inlineStr">
        <is>
          <t>SCMS</t>
        </is>
      </c>
      <c r="K106" s="395" t="n"/>
      <c r="L106" s="395" t="inlineStr">
        <is>
          <t>X</t>
        </is>
      </c>
      <c r="M106" s="395" t="n"/>
      <c r="N106" s="395" t="inlineStr">
        <is>
          <t>Done</t>
        </is>
      </c>
      <c r="O106" s="401" t="n"/>
      <c r="P106" s="395" t="n"/>
      <c r="Q106" s="20" t="inlineStr">
        <is>
          <t>Ngày dữ liệu</t>
        </is>
      </c>
      <c r="R106" s="395" t="n"/>
      <c r="S106" s="395" t="n"/>
      <c r="T106" s="386" t="inlineStr">
        <is>
          <t>-- Chiều thời gian theo tháng
SELECT DISTINCT
    ADD_MONTHS(TRUNC(min_ngay, 'MM'), LEVEL - 1) AS thang
FROM (SELECT MIN(NGAY_SO_LIEU) AS min_ngay FROM SCMS.BC_THANH_VIEN)
CONNECT BY ADD_MONTHS(TRUNC(min_ngay, 'MM'), LEVEL - 1) &lt;= TRUNC(SYSDATE, 'MM')
ORDER BY thang;</t>
        </is>
      </c>
      <c r="U106" s="386" t="n"/>
      <c r="V106" s="395" t="n"/>
      <c r="W106" s="395" t="n"/>
      <c r="X106" s="395" t="n"/>
      <c r="Y106" s="14" t="inlineStr">
        <is>
          <t>Done</t>
        </is>
      </c>
      <c r="Z106" s="395" t="n"/>
      <c r="AA106" s="395" t="n"/>
      <c r="AB106" s="395" t="n"/>
      <c r="AC106" s="395" t="n"/>
      <c r="AD106" s="395" t="n"/>
      <c r="AE106" s="395" t="n"/>
    </row>
    <row r="107" ht="61.5" customHeight="1" s="380">
      <c r="A107" s="92" t="n">
        <v>19</v>
      </c>
      <c r="B107" s="386" t="n"/>
      <c r="C107" s="386" t="inlineStr">
        <is>
          <t>Dashboard Tra cứu hồ sơ 360 CTCK &gt;&gt; Dashboard tổng quan 360 của CTCK &gt;&gt; Biểu đồ Thống kê chung</t>
        </is>
      </c>
      <c r="D107" s="12" t="inlineStr">
        <is>
          <t>Vốn chủ sở hữu</t>
        </is>
      </c>
      <c r="E107" s="12" t="inlineStr">
        <is>
          <t>Tổng Vốn chủ sở hữu thông tin tại tháng đã chọn</t>
        </is>
      </c>
      <c r="F107" s="386" t="inlineStr">
        <is>
          <t>Dashboard</t>
        </is>
      </c>
      <c r="G107" s="386" t="inlineStr">
        <is>
          <t>Chỉ tiêu cơ sở</t>
        </is>
      </c>
      <c r="H107" s="386" t="inlineStr">
        <is>
          <t>TB</t>
        </is>
      </c>
      <c r="I107" s="386" t="inlineStr">
        <is>
          <t>CTCK</t>
        </is>
      </c>
      <c r="J107" s="386" t="inlineStr">
        <is>
          <t>SCMS</t>
        </is>
      </c>
      <c r="K107" s="395" t="inlineStr">
        <is>
          <t>X</t>
        </is>
      </c>
      <c r="L107" s="395" t="inlineStr">
        <is>
          <t>X</t>
        </is>
      </c>
      <c r="M107" s="395" t="n"/>
      <c r="N107" s="395" t="inlineStr">
        <is>
          <t>Done</t>
        </is>
      </c>
      <c r="O107" s="401" t="n"/>
      <c r="P107" s="395" t="n"/>
      <c r="Q107" s="397" t="inlineStr">
        <is>
          <t>SCMS.BC_BAO_CAO_GT
SCMS.DM_CHI_TIEU
SCMS.BC_THANH_VIEN</t>
        </is>
      </c>
      <c r="R107" s="397" t="inlineStr">
        <is>
          <t>gt.GIA_TRI,
gt.DM_CHI_TIEU_ID,
gt.BC_THANH_VIEN_ID,
bt.ID,
bt.NGAY_SO_LIEU,
bt.TRANG_THAI,
bt.XOA_DU_LIEU,
dct.ID,
dct.MA_CHI_TIEU</t>
        </is>
      </c>
      <c r="S107" s="395" t="n"/>
      <c r="T107" s="79" t="inlineStr">
        <is>
          <t>-- Vốn chủ sở hữu
SELECT
    nd.ngay,
    TO_NUMBER(gt.GIA_TRI) AS von_chu_so_huu
FROM (
    SELECT TRUNC(min_ngay) + LEVEL - 1 AS ngay
    FROM (
        SELECT MIN(bt.NGAY_SO_LIEU) AS min_ngay
        FROM SCMS.BC_BAO_CAO_GT   gt
        JOIN SCMS.DM_CHI_TIEU     dct ON dct.ID = gt.DM_CHI_TIEU_ID
        JOIN SCMS.BC_THANH_VIEN   bt  ON bt.ID  = gt.BC_THANH_VIEN_ID
        WHERE dct.MA_CHI_TIEU    = 'VON_CHU_SO_HUU'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'VON_CHU_SO_HUU'  -- Xác nhận lại
    AND TRUNC(bt.NGAY_SO_LIEU)   = LAST_DAY(ADD_MONTHS(TRUNC(nd.ngay, 'Q'), 2))
--    AND bt.CTCK_THONG_TIN_ID     = :p_ctck_id
    AND bt.TRANG_THAI            IN (4, 6)
    AND bt.XOA_DU_LIEU            = 0
ORDER BY nd.ngay;</t>
        </is>
      </c>
      <c r="U107" s="386" t="n"/>
      <c r="V107" s="395" t="n"/>
      <c r="W107" s="395" t="n"/>
      <c r="X107" s="395" t="n"/>
      <c r="Y107" s="14" t="inlineStr">
        <is>
          <t>Done</t>
        </is>
      </c>
      <c r="Z107" s="395" t="n"/>
      <c r="AA107" s="395" t="n"/>
      <c r="AB107" s="395" t="n"/>
      <c r="AC107" s="395" t="n"/>
      <c r="AD107" s="395" t="n"/>
      <c r="AE107" s="395" t="n"/>
    </row>
    <row r="108" ht="60.75" customHeight="1" s="380">
      <c r="A108" s="92" t="n">
        <v>19</v>
      </c>
      <c r="B108" s="386" t="n"/>
      <c r="C108" s="386" t="inlineStr">
        <is>
          <t>Dashboard Tra cứu hồ sơ 360 CTCK &gt;&gt; Dashboard tổng quan 360 của CTCK &gt;&gt; Biểu đồ Thống kê chung</t>
        </is>
      </c>
      <c r="D108" s="12" t="inlineStr">
        <is>
          <t>Dư nợ margin</t>
        </is>
      </c>
      <c r="E108" s="12" t="inlineStr">
        <is>
          <t>Tổng dư nợ margin thông tin tại tháng đã chọn</t>
        </is>
      </c>
      <c r="F108" s="386" t="inlineStr">
        <is>
          <t>Dashboard</t>
        </is>
      </c>
      <c r="G108" s="386" t="inlineStr">
        <is>
          <t>Chỉ tiêu cơ sở</t>
        </is>
      </c>
      <c r="H108" s="386" t="inlineStr">
        <is>
          <t>TB</t>
        </is>
      </c>
      <c r="I108" s="386" t="inlineStr">
        <is>
          <t>CTCK</t>
        </is>
      </c>
      <c r="J108" s="386" t="inlineStr">
        <is>
          <t>SCMS</t>
        </is>
      </c>
      <c r="K108" s="395" t="inlineStr">
        <is>
          <t>X</t>
        </is>
      </c>
      <c r="L108" s="395" t="inlineStr">
        <is>
          <t>X</t>
        </is>
      </c>
      <c r="M108" s="395" t="n"/>
      <c r="N108" s="395" t="inlineStr">
        <is>
          <t>Done</t>
        </is>
      </c>
      <c r="O108" s="401" t="n"/>
      <c r="P108" s="395" t="n"/>
      <c r="Q108" s="397" t="inlineStr">
        <is>
          <t>SCMS.BC_BAO_CAO_GT
SCMS.DM_CHI_TIEU
SCMS.BC_THANH_VIEN</t>
        </is>
      </c>
      <c r="R108" s="397" t="inlineStr">
        <is>
          <t>gt.GIA_TRI,
gt.DM_CHI_TIEU_ID,
gt.BC_THANH_VIEN_ID,
bt.ID,
bt.NGAY_SO_LIEU,
bt.TRANG_THAI,
bt.XOA_DU_LIEU,
dct.ID,
dct.MA_CHI_TIEU</t>
        </is>
      </c>
      <c r="S108" s="395" t="n"/>
      <c r="T108" s="79" t="inlineStr">
        <is>
          <t>-- Dư nợ margin
SELECT
    nd.ngay,
    TO_NUMBER(gt.GIA_TRI) AS du_no_margin
FROM (
    SELECT TRUNC(min_ngay) + LEVEL - 1 AS ngay
    FROM (
        SELECT MIN(bt.NGAY_SO_LIEU) AS min_ngay
        FROM SCMS.BC_BAO_CAO_GT   gt
        JOIN SCMS.DM_CHI_TIEU     dct ON dct.ID = gt.DM_CHI_TIEU_ID
        JOIN SCMS.BC_THANH_VIEN   bt  ON bt.ID  = gt.BC_THANH_VIEN_ID
        WHERE dct.MA_CHI_TIEU    = 'DU_NO_MARGIN'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'DU_NO_MARGIN'  -- Xác nhận lại
    AND TRUNC(bt.NGAY_SO_LIEU)   = nd.ngay
--    AND bt.CTCK_THONG_TIN_ID     = :p_ctck_id
    AND bt.TRANG_THAI            IN (4, 6)
    AND bt.XOA_DU_LIEU            = 0
ORDER BY nd.ngay;</t>
        </is>
      </c>
      <c r="U108" s="386" t="n"/>
      <c r="V108" s="395" t="n"/>
      <c r="W108" s="395" t="n"/>
      <c r="X108" s="395" t="n"/>
      <c r="Y108" s="14" t="inlineStr">
        <is>
          <t>Done</t>
        </is>
      </c>
      <c r="Z108" s="395" t="n"/>
      <c r="AA108" s="395" t="n"/>
      <c r="AB108" s="395" t="n"/>
      <c r="AC108" s="395" t="n"/>
      <c r="AD108" s="395" t="n"/>
      <c r="AE108" s="395" t="n"/>
    </row>
    <row r="109" ht="63.75" customHeight="1" s="380">
      <c r="A109" s="92" t="n">
        <v>19</v>
      </c>
      <c r="B109" s="386" t="n"/>
      <c r="C109" s="386" t="inlineStr">
        <is>
          <t>Dashboard Tra cứu hồ sơ 360 CTCK &gt;&gt; Dashboard tổng quan 360 của CTCK &gt;&gt; Biểu đồ Thống kê chung</t>
        </is>
      </c>
      <c r="D109" s="12" t="inlineStr">
        <is>
          <t>Tỷ lệ ATTC</t>
        </is>
      </c>
      <c r="E109" s="12" t="inlineStr">
        <is>
          <t>Tỷ lệ ATTC tại tháng đã chọn</t>
        </is>
      </c>
      <c r="F109" s="386" t="inlineStr">
        <is>
          <t>Dashboard</t>
        </is>
      </c>
      <c r="G109" s="386" t="inlineStr">
        <is>
          <t>Chỉ tiêu cơ sở</t>
        </is>
      </c>
      <c r="H109" s="386" t="inlineStr">
        <is>
          <t>TB</t>
        </is>
      </c>
      <c r="I109" s="386" t="inlineStr">
        <is>
          <t>CTCK</t>
        </is>
      </c>
      <c r="J109" s="386" t="inlineStr">
        <is>
          <t>SCMS</t>
        </is>
      </c>
      <c r="K109" s="395" t="inlineStr">
        <is>
          <t>X</t>
        </is>
      </c>
      <c r="L109" s="395" t="inlineStr">
        <is>
          <t>X</t>
        </is>
      </c>
      <c r="M109" s="395" t="n"/>
      <c r="N109" s="395" t="inlineStr">
        <is>
          <t>Done</t>
        </is>
      </c>
      <c r="O109" s="401" t="n"/>
      <c r="P109" s="395" t="n"/>
      <c r="Q109" s="397" t="inlineStr">
        <is>
          <t>SCMS.BC_BAO_CAO_GT
SCMS.DM_CHI_TIEU
SCMS.BC_THANH_VIEN</t>
        </is>
      </c>
      <c r="R109" s="397" t="inlineStr">
        <is>
          <t>gt.GIA_TRI,
gt.DM_CHI_TIEU_ID,
gt.BC_THANH_VIEN_ID,
bt.ID,
bt.NGAY_SO_LIEU,
bt.TRANG_THAI,
bt.XOA_DU_LIEU,
dct.ID,
dct.MA_CHI_TIEU</t>
        </is>
      </c>
      <c r="S109" s="395" t="n"/>
      <c r="T109" s="79" t="inlineStr">
        <is>
          <t>-- Tỷ lệ ATTC
SELECT
    nd.ngay,
    TO_NUMBER(gt.GIA_TRI) AS ty_le_attc
FROM (
    SELECT TRUNC(min_ngay) + LEVEL - 1 AS ngay
    FROM (
        SELECT MIN(bt.NGAY_SO_LIEU) AS min_ngay
        FROM SCMS.BC_BAO_CAO_GT   gt
        JOIN SCMS.DM_CHI_TIEU     dct ON dct.ID = gt.DM_CHI_TIEU_ID
        JOIN SCMS.BC_THANH_VIEN   bt  ON bt.ID  = gt.BC_THANH_VIEN_ID
        WHERE dct.MA_CHI_TIEU    = 'TY_LE_VON_KHA_DUNG'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'TY_LE_VON_KHA_DUNG'  -- Xác nhận lại
    AND TRUNC(bt.NGAY_SO_LIEU)   = nd.ngay
--    AND bt.CTCK_THONG_TIN_ID     = :p_ctck_id
    AND bt.TRANG_THAI            IN (4, 6)
    AND bt.XOA_DU_LIEU            = 0
ORDER BY nd.ngay;</t>
        </is>
      </c>
      <c r="U109" s="386" t="n"/>
      <c r="V109" s="395" t="n"/>
      <c r="W109" s="395" t="n"/>
      <c r="X109" s="395" t="n"/>
      <c r="Y109" s="14" t="inlineStr">
        <is>
          <t>Done</t>
        </is>
      </c>
      <c r="Z109" s="395" t="n"/>
      <c r="AA109" s="395" t="n"/>
      <c r="AB109" s="395" t="n"/>
      <c r="AC109" s="395" t="n"/>
      <c r="AD109" s="395" t="n"/>
      <c r="AE109" s="395" t="n"/>
    </row>
    <row r="110" ht="61.5" customHeight="1" s="380">
      <c r="A110" s="92" t="n">
        <v>19</v>
      </c>
      <c r="B110" s="386" t="n"/>
      <c r="C110" s="386" t="inlineStr">
        <is>
          <t>Dashboard Tra cứu hồ sơ 360 CTCK &gt;&gt; Dashboard tổng quan 360 của CTCK &gt;&gt; Biểu đồ Thống kê chung</t>
        </is>
      </c>
      <c r="D110" s="12" t="inlineStr">
        <is>
          <t>Số nhân viên</t>
        </is>
      </c>
      <c r="E110" s="12" t="inlineStr">
        <is>
          <t>Số nhân viên làm việc tại tháng đã chọn</t>
        </is>
      </c>
      <c r="F110" s="386" t="inlineStr">
        <is>
          <t>Dashboard</t>
        </is>
      </c>
      <c r="G110" s="386" t="inlineStr">
        <is>
          <t>Chỉ tiêu cơ sở</t>
        </is>
      </c>
      <c r="H110" s="386" t="inlineStr">
        <is>
          <t>TB</t>
        </is>
      </c>
      <c r="I110" s="386" t="inlineStr">
        <is>
          <t>CTCK</t>
        </is>
      </c>
      <c r="J110" s="386" t="inlineStr">
        <is>
          <t>SCMS</t>
        </is>
      </c>
      <c r="K110" s="395" t="inlineStr">
        <is>
          <t>X</t>
        </is>
      </c>
      <c r="L110" s="395" t="inlineStr">
        <is>
          <t>X</t>
        </is>
      </c>
      <c r="M110" s="395" t="n"/>
      <c r="N110" s="395" t="inlineStr">
        <is>
          <t>Done</t>
        </is>
      </c>
      <c r="O110" s="401" t="n"/>
      <c r="P110" s="395" t="n"/>
      <c r="Q110" s="397" t="inlineStr">
        <is>
          <t>SCMS.BC_BAO_CAO_GT
SCMS.DM_CHI_TIEU
SCMS.BC_THANH_VIEN</t>
        </is>
      </c>
      <c r="R110" s="397" t="inlineStr">
        <is>
          <t>gt.GIA_TRI,
gt.DM_CHI_TIEU_ID,
gt.BC_THANH_VIEN_ID,
bt.ID,
bt.NGAY_SO_LIEU,
bt.TRANG_THAI,
bt.XOA_DU_LIEU,
dct.ID,
dct.MA_CHI_TIEU</t>
        </is>
      </c>
      <c r="S110" s="395" t="n"/>
      <c r="T110" s="79" t="inlineStr">
        <is>
          <t>-- Số nhân viên
SELECT
    nd.ngay,
    TO_NUMBER(gt.GIA_TRI) AS so_nhan_vien
FROM (
    SELECT TRUNC(min_ngay) + LEVEL - 1 AS ngay
    FROM (
        SELECT MIN(bt.NGAY_SO_LIEU) AS min_ngay
        FROM SCMS.BC_BAO_CAO_GT   gt
        JOIN SCMS.DM_CHI_TIEU     dct ON dct.ID = gt.DM_CHI_TIEU_ID
        JOIN SCMS.BC_THANH_VIEN   bt  ON bt.ID  = gt.BC_THANH_VIEN_ID
        WHERE dct.MA_CHI_TIEU    = 'TONG_SO_LAO_DONG'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'TONG_SO_LAO_DONG'  -- Xác nhận lại
    AND TRUNC(bt.NGAY_SO_LIEU)   = nd.ngay
--    AND bt.CTCK_THONG_TIN_ID     = :p_ctck_id
    AND bt.TRANG_THAI            IN (4, 6)
    AND bt.XOA_DU_LIEU            = 0
ORDER BY nd.ngay;</t>
        </is>
      </c>
      <c r="U110" s="386" t="n"/>
      <c r="V110" s="395" t="n"/>
      <c r="W110" s="395" t="n"/>
      <c r="X110" s="395" t="n"/>
      <c r="Y110" s="14" t="inlineStr">
        <is>
          <t>Done</t>
        </is>
      </c>
      <c r="Z110" s="395" t="n"/>
      <c r="AA110" s="395" t="n"/>
      <c r="AB110" s="395" t="n"/>
      <c r="AC110" s="395" t="n"/>
      <c r="AD110" s="395" t="n"/>
      <c r="AE110" s="395" t="n"/>
    </row>
    <row r="111" ht="63.75" customHeight="1" s="380">
      <c r="A111" s="92" t="n">
        <v>19</v>
      </c>
      <c r="B111" s="386" t="n"/>
      <c r="C111" s="386" t="inlineStr">
        <is>
          <t>Dashboard Tra cứu hồ sơ 360 CTCK &gt;&gt; Dashboard tổng quan 360 của CTCK &gt;&gt; Biểu đồ Thống kê chung</t>
        </is>
      </c>
      <c r="D111" s="12" t="inlineStr">
        <is>
          <t>Vốn điều lệ</t>
        </is>
      </c>
      <c r="E111" s="12" t="inlineStr">
        <is>
          <t>Vốn điều lệ của CTCK tại tháng đã chọn</t>
        </is>
      </c>
      <c r="F111" s="386" t="inlineStr">
        <is>
          <t>Dashboard</t>
        </is>
      </c>
      <c r="G111" s="386" t="inlineStr">
        <is>
          <t>Chỉ tiêu cơ sở</t>
        </is>
      </c>
      <c r="H111" s="386" t="inlineStr">
        <is>
          <t>TB</t>
        </is>
      </c>
      <c r="I111" s="386" t="inlineStr">
        <is>
          <t>CTCK</t>
        </is>
      </c>
      <c r="J111" s="386" t="inlineStr">
        <is>
          <t>SCMS</t>
        </is>
      </c>
      <c r="K111" s="395" t="inlineStr">
        <is>
          <t>X</t>
        </is>
      </c>
      <c r="L111" s="395" t="inlineStr">
        <is>
          <t>X</t>
        </is>
      </c>
      <c r="M111" s="395" t="n"/>
      <c r="N111" s="395" t="inlineStr">
        <is>
          <t>Done</t>
        </is>
      </c>
      <c r="O111" s="401" t="n"/>
      <c r="P111" s="395" t="n"/>
      <c r="Q111" s="395" t="inlineStr">
        <is>
          <t>SCMS.CTCK_THONG_TIN</t>
        </is>
      </c>
      <c r="R111" s="395" t="inlineStr">
        <is>
          <t>c.ID,
NGAY_CAP_GPKD,
c.VON_DIEU_LE,
c.IS_BANG_TAM</t>
        </is>
      </c>
      <c r="S111" s="395" t="n"/>
      <c r="T111" s="386" t="inlineStr">
        <is>
          <t>-- Vốn điều lệ
SELECT
    nd.ngay,
    c.VON_DIEU_LE AS von_dieu_le
FROM (
    SELECT TRUNC(min_ngay) + LEVEL - 1 AS ngay
    FROM (
        SELECT MIN(NGAY_CAP_GPKD) AS min_ngay
        FROM SCMS.CTCK_THONG_TIN
        WHERE 1 = 1
--          AND ID = :p_ctck_id
          AND IS_BANG_TAM = 1
    )
    CONNECT BY TRUNC(min_ngay) + LEVEL - 1 &lt;= TRUNC(SYSDATE)
) nd
LEFT JOIN SCMS.CTCK_THONG_TIN c
    ON c.IS_BANG_TAM = 1
--  AND c.ID = :p_ctck_id
ORDER BY nd.ngay;</t>
        </is>
      </c>
      <c r="U111" s="386" t="n"/>
      <c r="V111" s="395" t="n"/>
      <c r="W111" s="395" t="n"/>
      <c r="X111" s="395" t="n"/>
      <c r="Y111" s="14" t="inlineStr">
        <is>
          <t>Done</t>
        </is>
      </c>
      <c r="Z111" s="395" t="n"/>
      <c r="AA111" s="395" t="n"/>
      <c r="AB111" s="395" t="n"/>
      <c r="AC111" s="395" t="n"/>
      <c r="AD111" s="395" t="n"/>
      <c r="AE111" s="395" t="n"/>
    </row>
    <row r="112" ht="63.75" customHeight="1" s="380">
      <c r="A112" s="92" t="n">
        <v>20</v>
      </c>
      <c r="B112" s="81" t="n"/>
      <c r="C112" s="81" t="inlineStr">
        <is>
          <t>Dashboard Tra cứu hồ sơ 360 CTCK &gt;&gt; Dashboard tổng quan 360 của CTCK &gt;&gt; Biểu đồ Biến động vốn CSH</t>
        </is>
      </c>
      <c r="D112" s="12" t="inlineStr">
        <is>
          <t>Chỉ tiêu vốn CSH trên BCTC</t>
        </is>
      </c>
      <c r="E112" s="12" t="inlineStr">
        <is>
          <t>Tổng Chỉ tiêu vốn CSH trên BCTC theo từng kỳ quý</t>
        </is>
      </c>
      <c r="F112" s="386" t="inlineStr">
        <is>
          <t>Dashboard</t>
        </is>
      </c>
      <c r="G112" s="386" t="inlineStr">
        <is>
          <t>Chỉ tiêu cơ sở</t>
        </is>
      </c>
      <c r="H112" s="386" t="inlineStr">
        <is>
          <t>TB</t>
        </is>
      </c>
      <c r="I112" s="386" t="inlineStr">
        <is>
          <t>Ngày, CTCK</t>
        </is>
      </c>
      <c r="J112" s="386" t="inlineStr">
        <is>
          <t>SCMS</t>
        </is>
      </c>
      <c r="K112" s="395" t="inlineStr">
        <is>
          <t>X</t>
        </is>
      </c>
      <c r="L112" s="395" t="inlineStr">
        <is>
          <t>X</t>
        </is>
      </c>
      <c r="M112" s="395" t="n"/>
      <c r="N112" s="395" t="inlineStr">
        <is>
          <t>Done</t>
        </is>
      </c>
      <c r="O112" s="401" t="n"/>
      <c r="P112" s="395" t="n"/>
      <c r="Q112" s="397" t="inlineStr">
        <is>
          <t>SCMS.BC_BAO_CAO_GT
SCMS.DM_CHI_TIEU
SCMS.BC_THANH_VIEN</t>
        </is>
      </c>
      <c r="R112" s="397" t="inlineStr">
        <is>
          <t>gt.GIA_TRI,
gt.DM_CHI_TIEU_ID,
gt.BC_THANH_VIEN_ID,
bt.ID,
bt.NGAY_SO_LIEU,
bt.TRANG_THAI,
bt.XOA_DU_LIEU,
dct.ID,
dct.MA_CHI_TIEU</t>
        </is>
      </c>
      <c r="S112" s="395" t="n"/>
      <c r="T112" s="79" t="inlineStr">
        <is>
          <t>-- Chỉ tiêu vốn CSH trên BCTC
SELECT
    nd.ngay,
    TO_NUMBER(gt.GIA_TRI) AS von_csh
FROM (
    SELECT TRUNC(min_ngay) + LEVEL - 1 AS ngay
    FROM (
        SELECT MIN(bt.NGAY_SO_LIEU) AS min_ngay
        FROM SCMS.BC_BAO_CAO_GT   gt
        JOIN SCMS.DM_CHI_TIEU     dct ON dct.ID = gt.DM_CHI_TIEU_ID
        JOIN SCMS.BC_THANH_VIEN   bt  ON bt.ID  = gt.BC_THANH_VIEN_ID
        WHERE dct.MA_CHI_TIEU      = 'VON_CHU_SO_HUU'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'VON_CHU_SO_HUU'  -- Xác nhận lại
    AND TRUNC(bt.NGAY_SO_LIEU)   = nd.ngay
--    AND bt.CTCK_THONG_TIN_ID     = :p_ctck_id
    AND bt.TRANG_THAI            IN (4, 6)
    AND bt.XOA_DU_LIEU            = 0
ORDER BY nd.ngay;</t>
        </is>
      </c>
      <c r="U112" s="386" t="n"/>
      <c r="V112" s="395" t="n"/>
      <c r="W112" s="395" t="n"/>
      <c r="X112" s="395" t="n"/>
      <c r="Y112" s="14" t="inlineStr">
        <is>
          <t>Done</t>
        </is>
      </c>
      <c r="Z112" s="395" t="n"/>
      <c r="AA112" s="395" t="n"/>
      <c r="AB112" s="395" t="n"/>
      <c r="AC112" s="395" t="n"/>
      <c r="AD112" s="395" t="n"/>
      <c r="AE112" s="395" t="n"/>
    </row>
    <row r="113" ht="51" customHeight="1" s="380">
      <c r="A113" s="92" t="n">
        <v>21</v>
      </c>
      <c r="B113" s="81" t="n"/>
      <c r="C113" s="81" t="inlineStr">
        <is>
          <t>Dashboard Tra cứu hồ sơ 360 CTCK &gt;&gt; Dashboard tổng quan 360 của CTCK &gt;&gt; Biểu đồ cơ cấu tổng tài sản CTCK</t>
        </is>
      </c>
      <c r="D113" s="12" t="inlineStr">
        <is>
          <t>Chiều thời gian theo quý</t>
        </is>
      </c>
      <c r="E113" s="12" t="inlineStr">
        <is>
          <t>Chiều thời gian theo quý</t>
        </is>
      </c>
      <c r="F113" s="386" t="inlineStr">
        <is>
          <t>Dashboard</t>
        </is>
      </c>
      <c r="G113" s="386" t="inlineStr">
        <is>
          <t>Chiều</t>
        </is>
      </c>
      <c r="H113" s="386" t="inlineStr">
        <is>
          <t>Trùng</t>
        </is>
      </c>
      <c r="I113" s="386" t="n"/>
      <c r="J113" s="386" t="inlineStr">
        <is>
          <t>SCMS</t>
        </is>
      </c>
      <c r="K113" s="395" t="n"/>
      <c r="L113" s="395" t="inlineStr">
        <is>
          <t>X</t>
        </is>
      </c>
      <c r="M113" s="395" t="n"/>
      <c r="N113" s="395" t="inlineStr">
        <is>
          <t>Done</t>
        </is>
      </c>
      <c r="O113" s="401" t="n"/>
      <c r="P113" s="395" t="n"/>
      <c r="Q113" s="20" t="inlineStr">
        <is>
          <t>Ngày dữ liệu</t>
        </is>
      </c>
      <c r="R113" s="395" t="n"/>
      <c r="S113" s="395" t="n"/>
      <c r="T113" s="386" t="inlineStr">
        <is>
          <t>-- Chiều thời gian theo quý
SELECT DISTINCT
    ADD_MONTHS(TRUNC(min_ngay, 'Q'), (LEVEL - 1) * 3) AS quy
FROM (SELECT MIN(NGAY_SO_LIEU) AS min_ngay FROM SCMS.BC_THANH_VIEN)
CONNECT BY ADD_MONTHS(TRUNC(min_ngay, 'Q'), (LEVEL - 1) * 3) &lt;= TRUNC(SYSDATE, 'Q')
ORDER BY quy;</t>
        </is>
      </c>
      <c r="U113" s="386" t="n"/>
      <c r="V113" s="395" t="n"/>
      <c r="W113" s="395" t="n"/>
      <c r="X113" s="395" t="n"/>
      <c r="Y113" s="14" t="inlineStr">
        <is>
          <t>Done</t>
        </is>
      </c>
      <c r="Z113" s="395" t="n"/>
      <c r="AA113" s="395" t="n"/>
      <c r="AB113" s="395" t="n"/>
      <c r="AC113" s="395" t="n"/>
      <c r="AD113" s="395" t="n"/>
      <c r="AE113" s="395" t="n"/>
    </row>
    <row r="114" ht="61.5" customHeight="1" s="380">
      <c r="A114" s="92" t="n">
        <v>21</v>
      </c>
      <c r="B114" s="386" t="n"/>
      <c r="C114" s="386" t="inlineStr">
        <is>
          <t>Dashboard Tra cứu hồ sơ 360 CTCK &gt;&gt; Dashboard tổng quan 360 của CTCK &gt;&gt; Biểu đồ cơ cấu tổng tài sản CTCK</t>
        </is>
      </c>
      <c r="D114" s="12" t="inlineStr">
        <is>
          <t>Tiền và tương đương tiền</t>
        </is>
      </c>
      <c r="E114" s="12" t="inlineStr">
        <is>
          <t>Tiền và tương đương tiền</t>
        </is>
      </c>
      <c r="F114" s="386" t="inlineStr">
        <is>
          <t>Dashboard</t>
        </is>
      </c>
      <c r="G114" s="386" t="inlineStr">
        <is>
          <t>Chỉ tiêu cơ sở</t>
        </is>
      </c>
      <c r="H114" s="386" t="inlineStr">
        <is>
          <t>TB</t>
        </is>
      </c>
      <c r="I114" s="386" t="inlineStr">
        <is>
          <t>Ngày, CTCK</t>
        </is>
      </c>
      <c r="J114" s="386" t="inlineStr">
        <is>
          <t>SCMS</t>
        </is>
      </c>
      <c r="K114" s="395" t="inlineStr">
        <is>
          <t>X</t>
        </is>
      </c>
      <c r="L114" s="395" t="inlineStr">
        <is>
          <t>X</t>
        </is>
      </c>
      <c r="M114" s="395" t="n"/>
      <c r="N114" s="395" t="inlineStr">
        <is>
          <t>Done</t>
        </is>
      </c>
      <c r="O114" s="401" t="n"/>
      <c r="P114" s="395" t="n"/>
      <c r="Q114" s="397" t="inlineStr">
        <is>
          <t>SCMS.BC_BAO_CAO_GT
SCMS.DM_CHI_TIEU
SCMS.BC_THANH_VIEN</t>
        </is>
      </c>
      <c r="R114" s="397" t="inlineStr">
        <is>
          <t>gt.GIA_TRI,
gt.DM_CHI_TIEU_ID,
gt.BC_THANH_VIEN_ID,
bt.ID,
bt.NGAY_SO_LIEU,
bt.TRANG_THAI,
bt.XOA_DU_LIEU,
dct.ID,
dct.MA_CHI_TIEU</t>
        </is>
      </c>
      <c r="S114" s="395" t="n"/>
      <c r="T114" s="79" t="inlineStr">
        <is>
          <t>-- Tiền và tương đương tiền
SELECT
    nd.ngay,
    TO_NUMBER(gt.GIA_TRI) AS tien_va_tuong_duong_tien
FROM (
    SELECT TRUNC(min_ngay) + LEVEL - 1 AS ngay
    FROM (
        SELECT MIN(bt.NGAY_SO_LIEU) AS min_ngay
        FROM SCMS.BC_BAO_CAO_GT   gt
        JOIN SCMS.DM_CHI_TIEU     dct ON dct.ID = gt.DM_CHI_TIEU_ID
        JOIN SCMS.BC_THANH_VIEN   bt  ON bt.ID  = gt.BC_THANH_VIEN_ID
        WHERE dct.MA_CHI_TIEU      = 'TIEN_VA_TUONG_DUONG_TIEN'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'TIEN_VA_TUONG_DUONG_TIEN'  -- Xác nhận lại
    AND TRUNC(bt.NGAY_SO_LIEU)   = nd.ngay
--    AND bt.CTCK_THONG_TIN_ID     = :p_ctck_id
    AND bt.TRANG_THAI            IN (4, 6)
    AND bt.XOA_DU_LIEU            = 0
ORDER BY nd.ngay;</t>
        </is>
      </c>
      <c r="U114" s="386" t="n"/>
      <c r="V114" s="395" t="n"/>
      <c r="W114" s="395" t="n"/>
      <c r="X114" s="395" t="n"/>
      <c r="Y114" s="14" t="inlineStr">
        <is>
          <t>Done</t>
        </is>
      </c>
      <c r="Z114" s="395" t="n"/>
      <c r="AA114" s="395" t="n"/>
      <c r="AB114" s="395" t="n"/>
      <c r="AC114" s="395" t="n"/>
      <c r="AD114" s="395" t="n"/>
      <c r="AE114" s="395" t="n"/>
    </row>
    <row r="115" ht="61.5" customHeight="1" s="380">
      <c r="A115" s="92" t="n">
        <v>21</v>
      </c>
      <c r="B115" s="386" t="n"/>
      <c r="C115" s="386" t="inlineStr">
        <is>
          <t>Dashboard Tra cứu hồ sơ 360 CTCK &gt;&gt; Dashboard tổng quan 360 của CTCK &gt;&gt; Biểu đồ cơ cấu tổng tài sản CTCK</t>
        </is>
      </c>
      <c r="D115" s="12" t="inlineStr">
        <is>
          <t>Tài sản tài chính ghi nhận thông qua lãi/lỗ</t>
        </is>
      </c>
      <c r="E115" s="12" t="inlineStr">
        <is>
          <t>Tài sản tài chính ghi nhận thông qua lãi/lỗ</t>
        </is>
      </c>
      <c r="F115" s="386" t="inlineStr">
        <is>
          <t>Dashboard</t>
        </is>
      </c>
      <c r="G115" s="386" t="inlineStr">
        <is>
          <t>Chỉ tiêu cơ sở</t>
        </is>
      </c>
      <c r="H115" s="386" t="inlineStr">
        <is>
          <t>TB</t>
        </is>
      </c>
      <c r="I115" s="386" t="inlineStr">
        <is>
          <t>Ngày, CTCK</t>
        </is>
      </c>
      <c r="J115" s="386" t="inlineStr">
        <is>
          <t>SCMS</t>
        </is>
      </c>
      <c r="K115" s="395" t="inlineStr">
        <is>
          <t>X</t>
        </is>
      </c>
      <c r="L115" s="395" t="inlineStr">
        <is>
          <t>X</t>
        </is>
      </c>
      <c r="M115" s="395" t="n"/>
      <c r="N115" s="395" t="inlineStr">
        <is>
          <t>Done</t>
        </is>
      </c>
      <c r="O115" s="401" t="n"/>
      <c r="P115" s="395" t="n"/>
      <c r="Q115" s="397" t="inlineStr">
        <is>
          <t>SCMS.BC_BAO_CAO_GT
SCMS.DM_CHI_TIEU
SCMS.BC_THANH_VIEN</t>
        </is>
      </c>
      <c r="R115" s="397" t="inlineStr">
        <is>
          <t>gt.GIA_TRI,
gt.DM_CHI_TIEU_ID,
gt.BC_THANH_VIEN_ID,
bt.ID,
bt.NGAY_SO_LIEU,
bt.TRANG_THAI,
bt.XOA_DU_LIEU,
dct.ID,
dct.MA_CHI_TIEU</t>
        </is>
      </c>
      <c r="S115" s="395" t="n"/>
      <c r="T115" s="79" t="inlineStr">
        <is>
          <t>-- Tài sản tài chính ghi nhận thông qua lãi/lỗ
SELECT
    nd.ngay,
    TO_NUMBER(gt.GIA_TRI) AS tsts_qua_lai_lo
FROM (
    SELECT TRUNC(min_ngay) + LEVEL - 1 AS ngay
    FROM (
        SELECT MIN(bt.NGAY_SO_LIEU) AS min_ngay
        FROM SCMS.BC_BAO_CAO_GT   gt
        JOIN SCMS.DM_CHI_TIEU     dct ON dct.ID = gt.DM_CHI_TIEU_ID
        JOIN SCMS.BC_THANH_VIEN   bt  ON bt.ID  = gt.BC_THANH_VIEN_ID
        WHERE dct.MA_CHI_TIEU      = 'TSTC_THONG_QUA_LAI_LO'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'TSTC_THONG_QUA_LAI_LO'  -- Xác nhận lại
    AND TRUNC(bt.NGAY_SO_LIEU)   = nd.ngay
--    AND bt.CTCK_THONG_TIN_ID     = :p_ctck_id
    AND bt.TRANG_THAI            IN (4, 6)
    AND bt.XOA_DU_LIEU            = 0
ORDER BY nd.ngay;</t>
        </is>
      </c>
      <c r="U115" s="386" t="n"/>
      <c r="V115" s="395" t="n"/>
      <c r="W115" s="395" t="n"/>
      <c r="X115" s="395" t="n"/>
      <c r="Y115" s="14" t="inlineStr">
        <is>
          <t>Done</t>
        </is>
      </c>
      <c r="Z115" s="395" t="n"/>
      <c r="AA115" s="395" t="n"/>
      <c r="AB115" s="395" t="n"/>
      <c r="AC115" s="395" t="n"/>
      <c r="AD115" s="395" t="n"/>
      <c r="AE115" s="395" t="n"/>
    </row>
    <row r="116" ht="61.5" customHeight="1" s="380">
      <c r="A116" s="92" t="n">
        <v>21</v>
      </c>
      <c r="B116" s="386" t="n"/>
      <c r="C116" s="386" t="inlineStr">
        <is>
          <t>Dashboard Tra cứu hồ sơ 360 CTCK &gt;&gt; Dashboard tổng quan 360 của CTCK &gt;&gt; Biểu đồ cơ cấu tổng tài sản CTCK</t>
        </is>
      </c>
      <c r="D116" s="12" t="inlineStr">
        <is>
          <t>Các khoản đầu tư nắm giữ đến ngày đáo hạn</t>
        </is>
      </c>
      <c r="E116" s="12" t="inlineStr">
        <is>
          <t>Các khoản đầu tư nắm giữ đến ngày đáo hạn</t>
        </is>
      </c>
      <c r="F116" s="386" t="inlineStr">
        <is>
          <t>Dashboard</t>
        </is>
      </c>
      <c r="G116" s="386" t="inlineStr">
        <is>
          <t>Chỉ tiêu cơ sở</t>
        </is>
      </c>
      <c r="H116" s="386" t="inlineStr">
        <is>
          <t>TB</t>
        </is>
      </c>
      <c r="I116" s="386" t="inlineStr">
        <is>
          <t>Ngày, CTCK</t>
        </is>
      </c>
      <c r="J116" s="386" t="inlineStr">
        <is>
          <t>SCMS</t>
        </is>
      </c>
      <c r="K116" s="395" t="inlineStr">
        <is>
          <t>X</t>
        </is>
      </c>
      <c r="L116" s="395" t="inlineStr">
        <is>
          <t>X</t>
        </is>
      </c>
      <c r="M116" s="395" t="n"/>
      <c r="N116" s="395" t="inlineStr">
        <is>
          <t>Done</t>
        </is>
      </c>
      <c r="O116" s="401" t="n"/>
      <c r="P116" s="395" t="n"/>
      <c r="Q116" s="397" t="inlineStr">
        <is>
          <t>SCMS.BC_BAO_CAO_GT
SCMS.DM_CHI_TIEU
SCMS.BC_THANH_VIEN</t>
        </is>
      </c>
      <c r="R116" s="397" t="inlineStr">
        <is>
          <t>gt.GIA_TRI,
gt.DM_CHI_TIEU_ID,
gt.BC_THANH_VIEN_ID,
bt.ID,
bt.NGAY_SO_LIEU,
bt.TRANG_THAI,
bt.XOA_DU_LIEU,
dct.ID,
dct.MA_CHI_TIEU</t>
        </is>
      </c>
      <c r="S116" s="395" t="n"/>
      <c r="T116" s="79" t="inlineStr">
        <is>
          <t>-- Các khoản đầu tư nắm giữ đến ngày đáo hạn
SELECT
    nd.ngay,
    TO_NUMBER(gt.GIA_TRI) AS dau_tu_htm
FROM (
    SELECT TRUNC(min_ngay) + LEVEL - 1 AS ngay
    FROM (
        SELECT MIN(bt.NGAY_SO_LIEU) AS min_ngay
        FROM SCMS.BC_BAO_CAO_GT   gt
        JOIN SCMS.DM_CHI_TIEU     dct ON dct.ID = gt.DM_CHI_TIEU_ID
        JOIN SCMS.BC_THANH_VIEN   bt  ON bt.ID  = gt.BC_THANH_VIEN_ID
        WHERE dct.MA_CHI_TIEU      = 'DAU_TU_HTM'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'DAU_TU_HTM'  -- Xác nhận lại
    AND TRUNC(bt.NGAY_SO_LIEU)   = nd.ngay
--    AND bt.CTCK_THONG_TIN_ID     = :p_ctck_id
    AND bt.TRANG_THAI            IN (4, 6)
    AND bt.XOA_DU_LIEU            = 0
ORDER BY nd.ngay;</t>
        </is>
      </c>
      <c r="U116" s="386" t="n"/>
      <c r="V116" s="395" t="n"/>
      <c r="W116" s="395" t="n"/>
      <c r="X116" s="395" t="n"/>
      <c r="Y116" s="14" t="inlineStr">
        <is>
          <t>Done</t>
        </is>
      </c>
      <c r="Z116" s="395" t="n"/>
      <c r="AA116" s="395" t="n"/>
      <c r="AB116" s="395" t="n"/>
      <c r="AC116" s="395" t="n"/>
      <c r="AD116" s="395" t="n"/>
      <c r="AE116" s="395" t="n"/>
    </row>
    <row r="117" ht="63" customHeight="1" s="380">
      <c r="A117" s="92" t="n">
        <v>21</v>
      </c>
      <c r="B117" s="386" t="n"/>
      <c r="C117" s="386" t="inlineStr">
        <is>
          <t>Dashboard Tra cứu hồ sơ 360 CTCK &gt;&gt; Dashboard tổng quan 360 của CTCK &gt;&gt; Biểu đồ cơ cấu tổng tài sản CTCK</t>
        </is>
      </c>
      <c r="D117" s="12" t="inlineStr">
        <is>
          <t>Tài sản tài chính sẵn sàng để bán</t>
        </is>
      </c>
      <c r="E117" s="12" t="inlineStr">
        <is>
          <t>Chỉ tiêu Tài sản tài chính sẵn sàng để bán trên toàn thị trường</t>
        </is>
      </c>
      <c r="F117" s="386" t="inlineStr">
        <is>
          <t>Dashboard</t>
        </is>
      </c>
      <c r="G117" s="386" t="inlineStr">
        <is>
          <t>Chỉ tiêu cơ sở</t>
        </is>
      </c>
      <c r="H117" s="386" t="inlineStr">
        <is>
          <t>TB</t>
        </is>
      </c>
      <c r="I117" s="386" t="inlineStr">
        <is>
          <t>Ngày, CTCK</t>
        </is>
      </c>
      <c r="J117" s="386" t="inlineStr">
        <is>
          <t>SCMS</t>
        </is>
      </c>
      <c r="K117" s="395" t="inlineStr">
        <is>
          <t>X</t>
        </is>
      </c>
      <c r="L117" s="395" t="inlineStr">
        <is>
          <t>X</t>
        </is>
      </c>
      <c r="M117" s="395" t="n"/>
      <c r="N117" s="395" t="inlineStr">
        <is>
          <t>Done</t>
        </is>
      </c>
      <c r="O117" s="401" t="n"/>
      <c r="P117" s="395" t="n"/>
      <c r="Q117" s="397" t="inlineStr">
        <is>
          <t>SCMS.BC_BAO_CAO_GT
SCMS.DM_CHI_TIEU
SCMS.BC_THANH_VIEN</t>
        </is>
      </c>
      <c r="R117" s="397" t="inlineStr">
        <is>
          <t>gt.GIA_TRI,
gt.DM_CHI_TIEU_ID,
gt.BC_THANH_VIEN_ID,
bt.ID,
bt.NGAY_SO_LIEU,
bt.TRANG_THAI,
bt.XOA_DU_LIEU,
dct.ID,
dct.MA_CHI_TIEU</t>
        </is>
      </c>
      <c r="S117" s="395" t="n"/>
      <c r="T117" s="79" t="inlineStr">
        <is>
          <t>-- Tài sản tài chính sẵn sàng để bán
SELECT
    nd.ngay,
    TO_NUMBER(gt.GIA_TRI) AS tstc_san_sang_ban
FROM (
    SELECT TRUNC(min_ngay) + LEVEL - 1 AS ngay
    FROM (
        SELECT MIN(bt.NGAY_SO_LIEU) AS min_ngay
        FROM SCMS.BC_BAO_CAO_GT   gt
        JOIN SCMS.DM_CHI_TIEU     dct ON dct.ID = gt.DM_CHI_TIEU_ID
        JOIN SCMS.BC_THANH_VIEN   bt  ON bt.ID  = gt.BC_THANH_VIEN_ID
        WHERE dct.MA_CHI_TIEU      = 'TSTC_SAN_SANG_BAN'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'TSTC_SAN_SANG_BAN'  -- Xác nhận lại
    AND TRUNC(bt.NGAY_SO_LIEU)   = nd.ngay
--    AND bt.CTCK_THONG_TIN_ID     = :p_ctck_id
    AND bt.TRANG_THAI            IN (4, 6)
    AND bt.XOA_DU_LIEU            = 0
ORDER BY nd.ngay;</t>
        </is>
      </c>
      <c r="U117" s="386" t="n"/>
      <c r="V117" s="395" t="n"/>
      <c r="W117" s="395" t="n"/>
      <c r="X117" s="395" t="n"/>
      <c r="Y117" s="14" t="inlineStr">
        <is>
          <t>Done</t>
        </is>
      </c>
      <c r="Z117" s="395" t="n"/>
      <c r="AA117" s="395" t="n"/>
      <c r="AB117" s="395" t="n"/>
      <c r="AC117" s="395" t="n"/>
      <c r="AD117" s="395" t="n"/>
      <c r="AE117" s="395" t="n"/>
    </row>
    <row r="118" ht="61.5" customHeight="1" s="380">
      <c r="A118" s="92" t="n">
        <v>21</v>
      </c>
      <c r="B118" s="386" t="n"/>
      <c r="C118" s="386" t="inlineStr">
        <is>
          <t>Dashboard Tra cứu hồ sơ 360 CTCK &gt;&gt; Dashboard tổng quan 360 của CTCK &gt;&gt; Biểu đồ cơ cấu tổng tài sản CTCK</t>
        </is>
      </c>
      <c r="D118" s="12" t="inlineStr">
        <is>
          <t>Các khoản cho vay</t>
        </is>
      </c>
      <c r="E118" s="12" t="inlineStr">
        <is>
          <t>Các khoản cho vay</t>
        </is>
      </c>
      <c r="F118" s="386" t="inlineStr">
        <is>
          <t>Dashboard</t>
        </is>
      </c>
      <c r="G118" s="386" t="inlineStr">
        <is>
          <t>Chỉ tiêu cơ sở</t>
        </is>
      </c>
      <c r="H118" s="386" t="inlineStr">
        <is>
          <t>TB</t>
        </is>
      </c>
      <c r="I118" s="386" t="inlineStr">
        <is>
          <t>Ngày, CTCK</t>
        </is>
      </c>
      <c r="J118" s="386" t="inlineStr">
        <is>
          <t>SCMS</t>
        </is>
      </c>
      <c r="K118" s="395" t="inlineStr">
        <is>
          <t>X</t>
        </is>
      </c>
      <c r="L118" s="395" t="inlineStr">
        <is>
          <t>X</t>
        </is>
      </c>
      <c r="M118" s="395" t="n"/>
      <c r="N118" s="395" t="inlineStr">
        <is>
          <t>Done</t>
        </is>
      </c>
      <c r="O118" s="401" t="n"/>
      <c r="P118" s="395" t="n"/>
      <c r="Q118" s="397" t="inlineStr">
        <is>
          <t>SCMS.BC_BAO_CAO_GT
SCMS.DM_CHI_TIEU
SCMS.BC_THANH_VIEN</t>
        </is>
      </c>
      <c r="R118" s="397" t="inlineStr">
        <is>
          <t>gt.GIA_TRI,
gt.DM_CHI_TIEU_ID,
gt.BC_THANH_VIEN_ID,
bt.ID,
bt.NGAY_SO_LIEU,
bt.TRANG_THAI,
bt.XOA_DU_LIEU,
dct.ID,
dct.MA_CHI_TIEU</t>
        </is>
      </c>
      <c r="S118" s="395" t="n"/>
      <c r="T118" s="79" t="inlineStr">
        <is>
          <t>-- Các khoản cho vay
SELECT
    nd.ngay,
    TO_NUMBER(gt.GIA_TRI) AS khoan_cho_vay
FROM (
    SELECT TRUNC(min_ngay) + LEVEL - 1 AS ngay
    FROM (
        SELECT MIN(bt.NGAY_SO_LIEU) AS min_ngay
        FROM SCMS.BC_BAO_CAO_GT   gt
        JOIN SCMS.DM_CHI_TIEU     dct ON dct.ID = gt.DM_CHI_TIEU_ID
        JOIN SCMS.BC_THANH_VIEN   bt  ON bt.ID  = gt.BC_THANH_VIEN_ID
        WHERE dct.MA_CHI_TIEU      = 'KHOAN_CHO_VAY'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'KHOAN_CHO_VAY'  -- Xác nhận lại
    AND TRUNC(bt.NGAY_SO_LIEU)   = nd.ngay
--    AND bt.CTCK_THONG_TIN_ID     = :p_ctck_id
    AND bt.TRANG_THAI            IN (4, 6)
    AND bt.XOA_DU_LIEU            = 0
ORDER BY nd.ngay;</t>
        </is>
      </c>
      <c r="U118" s="386" t="n"/>
      <c r="V118" s="395" t="n"/>
      <c r="W118" s="395" t="n"/>
      <c r="X118" s="395" t="n"/>
      <c r="Y118" s="14" t="inlineStr">
        <is>
          <t>Done</t>
        </is>
      </c>
      <c r="Z118" s="395" t="n"/>
      <c r="AA118" s="395" t="n"/>
      <c r="AB118" s="395" t="n"/>
      <c r="AC118" s="395" t="n"/>
      <c r="AD118" s="395" t="n"/>
      <c r="AE118" s="395" t="n"/>
    </row>
    <row r="119" ht="84.75" customHeight="1" s="380">
      <c r="A119" s="92" t="n">
        <v>21</v>
      </c>
      <c r="B119" s="386" t="n"/>
      <c r="C119" s="386" t="inlineStr">
        <is>
          <t>Dashboard Tra cứu hồ sơ 360 CTCK &gt;&gt; Dashboard tổng quan 360 của CTCK &gt;&gt; Biểu đồ cơ cấu tổng tài sản CTCK</t>
        </is>
      </c>
      <c r="D119" s="12" t="inlineStr">
        <is>
          <t>Khác</t>
        </is>
      </c>
      <c r="E119" s="12" t="inlineStr">
        <is>
          <t>Thông tin tổng tài sản – các mục trên</t>
        </is>
      </c>
      <c r="F119" s="386" t="inlineStr">
        <is>
          <t>Dashboard</t>
        </is>
      </c>
      <c r="G119" s="386" t="inlineStr">
        <is>
          <t>Chỉ tiêu cơ sở</t>
        </is>
      </c>
      <c r="H119" s="386" t="inlineStr">
        <is>
          <t>TB</t>
        </is>
      </c>
      <c r="I119" s="386" t="inlineStr">
        <is>
          <t>Ngày, CTCK</t>
        </is>
      </c>
      <c r="J119" s="386" t="inlineStr">
        <is>
          <t>SCMS</t>
        </is>
      </c>
      <c r="K119" s="395" t="inlineStr">
        <is>
          <t>X</t>
        </is>
      </c>
      <c r="L119" s="395" t="inlineStr">
        <is>
          <t>X</t>
        </is>
      </c>
      <c r="M119" s="395" t="n"/>
      <c r="N119" s="395" t="inlineStr">
        <is>
          <t>Done</t>
        </is>
      </c>
      <c r="O119" s="401" t="n"/>
      <c r="P119" s="395" t="n"/>
      <c r="Q119" s="397" t="inlineStr">
        <is>
          <t>SCMS.BC_BAO_CAO_GT
SCMS.DM_CHI_TIEU
SCMS.BC_THANH_VIEN</t>
        </is>
      </c>
      <c r="R119" s="397" t="inlineStr">
        <is>
          <t>gt.GIA_TRI,
gt.DM_CHI_TIEU_ID,
gt.BC_THANH_VIEN_ID,
bt.ID,
bt.NGAY_SO_LIEU,
bt.TRANG_THAI,
bt.XOA_DU_LIEU,
dct.ID,
dct.MA_CHI_TIEU</t>
        </is>
      </c>
      <c r="S119" s="395" t="n"/>
      <c r="T119" s="79" t="inlineStr">
        <is>
          <t>-- Khác
SELECT
    nd.ngay,
    SUM(CASE WHEN dct.MA_CHI_TIEU = 'TONG_TAI_SAN'
             THEN TO_NUMBER(gt.GIA_TRI) ELSE 0 END)
    - SUM(CASE WHEN dct.MA_CHI_TIEU = 'TIEN_VA_TUONG_DUONG_TIEN'
               THEN TO_NUMBER(gt.GIA_TRI) ELSE 0 END)
    - SUM(CASE WHEN dct.MA_CHI_TIEU = 'TSTC_THONG_QUA_LAI_LO'
               THEN TO_NUMBER(gt.GIA_TRI) ELSE 0 END)
    - SUM(CASE WHEN dct.MA_CHI_TIEU = 'DAU_TU_HTM'
               THEN TO_NUMBER(gt.GIA_TRI) ELSE 0 END)
    - SUM(CASE WHEN dct.MA_CHI_TIEU = 'TSTC_SAN_SANG_BAN'
               THEN TO_NUMBER(gt.GIA_TRI) ELSE 0 END)
    - SUM(CASE WHEN dct.MA_CHI_TIEU = 'KHOAN_CHO_VAY'
               THEN TO_NUMBER(gt.GIA_TRI) ELSE 0 END)  AS tai_san_khac
FROM (
    SELECT TRUNC(min_ngay) + LEVEL - 1 AS ngay
    FROM (
        SELECT MIN(bt.NGAY_SO_LIEU) AS min_ngay
        FROM SCMS.BC_BAO_CAO_GT   gt
        JOIN SCMS.DM_CHI_TIEU     dct ON dct.ID = gt.DM_CHI_TIEU_ID
        JOIN SCMS.BC_THANH_VIEN   bt  ON bt.ID  = gt.BC_THANH_VIEN_ID
        WHERE dct.MA_CHI_TIEU     IN (
                  'TONG_TAI_SAN',
                  'TIEN_VA_TUONG_DUONG_TIEN',
                  'TSTC_THONG_QUA_LAI_LO',
                  'DAU_TU_HTM',
                  'TSTC_SAN_SANG_BAN',
                  'KHOAN_CHO_VAY'
              )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IN (
            'TONG_TAI_SAN',
            'TIEN_VA_TUONG_DUONG_TIEN',
            'TSTC_THONG_QUA_LAI_LO',
            'DAU_TU_HTM',
            'TSTC_SAN_SANG_BAN',
            'KHOAN_CHO_VAY'
        )                                                -- Xác nhận lại
    AND TRUNC(bt.NGAY_SO_LIEU)   = nd.ngay
--    AND bt.CTCK_THONG_TIN_ID     = :p_ctck_id
    AND bt.TRANG_THAI            IN (4, 6)
    AND bt.XOA_DU_LIEU            = 0
GROUP BY nd.ngay
ORDER BY nd.ngay;</t>
        </is>
      </c>
      <c r="U119" s="386" t="n"/>
      <c r="V119" s="395" t="n"/>
      <c r="W119" s="395" t="n"/>
      <c r="X119" s="395" t="n"/>
      <c r="Y119" s="14" t="inlineStr">
        <is>
          <t>Done</t>
        </is>
      </c>
      <c r="Z119" s="395" t="n"/>
      <c r="AA119" s="395" t="n"/>
      <c r="AB119" s="395" t="n"/>
      <c r="AC119" s="395" t="n"/>
      <c r="AD119" s="395" t="n"/>
      <c r="AE119" s="395" t="n"/>
    </row>
    <row r="120" ht="51.75" customHeight="1" s="380">
      <c r="A120" s="92" t="n">
        <v>22</v>
      </c>
      <c r="B120" s="81" t="n"/>
      <c r="C120" s="81" t="inlineStr">
        <is>
          <t>Dashboard Tra cứu hồ sơ 360 CTCK &gt;&gt; Dashboard tổng quan 360 của CTCK &gt;&gt; Biểu đồ cơ cấu nguồn vốn CTCK</t>
        </is>
      </c>
      <c r="D120" s="12" t="inlineStr">
        <is>
          <t>Chiều thời gian theo quý</t>
        </is>
      </c>
      <c r="E120" s="12" t="inlineStr">
        <is>
          <t>Chiều thời gian theo quý</t>
        </is>
      </c>
      <c r="F120" s="386" t="inlineStr">
        <is>
          <t>Dashboard</t>
        </is>
      </c>
      <c r="G120" s="386" t="inlineStr">
        <is>
          <t>Chiều</t>
        </is>
      </c>
      <c r="H120" s="386" t="inlineStr">
        <is>
          <t>Trùng</t>
        </is>
      </c>
      <c r="I120" s="386" t="n"/>
      <c r="J120" s="386" t="inlineStr">
        <is>
          <t>SCMS</t>
        </is>
      </c>
      <c r="K120" s="395" t="n"/>
      <c r="L120" s="395" t="inlineStr">
        <is>
          <t>X</t>
        </is>
      </c>
      <c r="M120" s="395" t="n"/>
      <c r="N120" s="395" t="inlineStr">
        <is>
          <t>Done</t>
        </is>
      </c>
      <c r="O120" s="401" t="n"/>
      <c r="P120" s="395" t="n"/>
      <c r="Q120" s="20" t="inlineStr">
        <is>
          <t>Ngày dữ liệu</t>
        </is>
      </c>
      <c r="R120" s="395" t="n"/>
      <c r="S120" s="395" t="n"/>
      <c r="T120" s="386" t="inlineStr">
        <is>
          <t>-- Chiều thời gian theo quý
SELECT DISTINCT
    ADD_MONTHS(TRUNC(min_ngay, 'Q'), (LEVEL - 1) * 3) AS quy
FROM (SELECT MIN(NGAY_SO_LIEU) AS min_ngay FROM SCMS.BC_THANH_VIEN)
CONNECT BY ADD_MONTHS(TRUNC(min_ngay, 'Q'), (LEVEL - 1) * 3) &lt;= TRUNC(SYSDATE, 'Q')
ORDER BY quy;</t>
        </is>
      </c>
      <c r="U120" s="386" t="n"/>
      <c r="V120" s="395" t="n"/>
      <c r="W120" s="395" t="n"/>
      <c r="X120" s="395" t="n"/>
      <c r="Y120" s="14" t="inlineStr">
        <is>
          <t>Done</t>
        </is>
      </c>
      <c r="Z120" s="395" t="n"/>
      <c r="AA120" s="395" t="n"/>
      <c r="AB120" s="395" t="n"/>
      <c r="AC120" s="395" t="n"/>
      <c r="AD120" s="395" t="n"/>
      <c r="AE120" s="395" t="n"/>
    </row>
    <row r="121" ht="63.75" customHeight="1" s="380">
      <c r="A121" s="92" t="n">
        <v>22</v>
      </c>
      <c r="B121" s="386" t="n"/>
      <c r="C121" s="386" t="inlineStr">
        <is>
          <t>Dashboard Tra cứu hồ sơ 360 CTCK &gt;&gt; Dashboard tổng quan 360 của CTCK &gt;&gt; Biểu đồ cơ cấu nguồn vốn CTCK</t>
        </is>
      </c>
      <c r="D121" s="12" t="inlineStr">
        <is>
          <t>Vay và nợ thuê tài chính ngắn hạn</t>
        </is>
      </c>
      <c r="E121" s="12" t="inlineStr">
        <is>
          <t>Thông tin Vay và nợ thuê tài chính ngắn hạn</t>
        </is>
      </c>
      <c r="F121" s="386" t="inlineStr">
        <is>
          <t>Dashboard</t>
        </is>
      </c>
      <c r="G121" s="386" t="inlineStr">
        <is>
          <t>Chỉ tiêu cơ sở</t>
        </is>
      </c>
      <c r="H121" s="386" t="inlineStr">
        <is>
          <t>TB</t>
        </is>
      </c>
      <c r="I121" s="386" t="inlineStr">
        <is>
          <t>Ngày, CTCK</t>
        </is>
      </c>
      <c r="J121" s="386" t="inlineStr">
        <is>
          <t>SCMS</t>
        </is>
      </c>
      <c r="K121" s="395" t="inlineStr">
        <is>
          <t>X</t>
        </is>
      </c>
      <c r="L121" s="395" t="inlineStr">
        <is>
          <t>X</t>
        </is>
      </c>
      <c r="M121" s="395" t="n"/>
      <c r="N121" s="395" t="inlineStr">
        <is>
          <t>Done</t>
        </is>
      </c>
      <c r="O121" s="401" t="n"/>
      <c r="P121" s="395" t="n"/>
      <c r="Q121" s="397" t="inlineStr">
        <is>
          <t>SCMS.BC_BAO_CAO_GT
SCMS.DM_CHI_TIEU
SCMS.BC_THANH_VIEN</t>
        </is>
      </c>
      <c r="R121" s="397" t="inlineStr">
        <is>
          <t>gt.GIA_TRI,
gt.DM_CHI_TIEU_ID,
gt.BC_THANH_VIEN_ID,
bt.ID,
bt.NGAY_SO_LIEU,
bt.TRANG_THAI,
bt.XOA_DU_LIEU,
dct.ID,
dct.MA_CHI_TIEU</t>
        </is>
      </c>
      <c r="S121" s="395" t="n"/>
      <c r="T121" s="79" t="inlineStr">
        <is>
          <t>-- Vay và nợ thuê tài chính ngắn hạn
SELECT
    nd.ngay,
    TO_NUMBER(gt.GIA_TRI) AS vay_ngan_han
FROM (
    SELECT TRUNC(min_ngay) + LEVEL - 1 AS ngay
    FROM (
        SELECT MIN(bt.NGAY_SO_LIEU) AS min_ngay
        FROM SCMS.BC_BAO_CAO_GT   gt
        JOIN SCMS.DM_CHI_TIEU     dct ON dct.ID = gt.DM_CHI_TIEU_ID
        JOIN SCMS.BC_THANH_VIEN   bt  ON bt.ID  = gt.BC_THANH_VIEN_ID
        WHERE dct.MA_CHI_TIEU      = 'VAY_NGAN_HAN'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'VAY_NGAN_HAN'  -- Xác nhận lại
    AND TRUNC(bt.NGAY_SO_LIEU)   = nd.ngay
--    AND bt.CTCK_THONG_TIN_ID     = :p_ctck_id
    AND bt.TRANG_THAI            IN (4, 6)
    AND bt.XOA_DU_LIEU            = 0
ORDER BY nd.ngay;</t>
        </is>
      </c>
      <c r="U121" s="386" t="n"/>
      <c r="V121" s="395" t="n"/>
      <c r="W121" s="395" t="n"/>
      <c r="X121" s="395" t="n"/>
      <c r="Y121" s="14" t="inlineStr">
        <is>
          <t>Done</t>
        </is>
      </c>
      <c r="Z121" s="395" t="n"/>
      <c r="AA121" s="395" t="n"/>
      <c r="AB121" s="395" t="n"/>
      <c r="AC121" s="395" t="n"/>
      <c r="AD121" s="395" t="n"/>
      <c r="AE121" s="395" t="n"/>
    </row>
    <row r="122" ht="61.5" customHeight="1" s="380">
      <c r="A122" s="92" t="n">
        <v>22</v>
      </c>
      <c r="B122" s="386" t="n"/>
      <c r="C122" s="386" t="inlineStr">
        <is>
          <t>Dashboard Tra cứu hồ sơ 360 CTCK &gt;&gt; Dashboard tổng quan 360 của CTCK &gt;&gt; Biểu đồ cơ cấu nguồn vốn CTCK</t>
        </is>
      </c>
      <c r="D122" s="12" t="inlineStr">
        <is>
          <t>Nợ phải trả dài hạn</t>
        </is>
      </c>
      <c r="E122" s="12" t="inlineStr">
        <is>
          <t>Thông tin Nợ phải trả dài hạn</t>
        </is>
      </c>
      <c r="F122" s="386" t="inlineStr">
        <is>
          <t>Dashboard</t>
        </is>
      </c>
      <c r="G122" s="386" t="inlineStr">
        <is>
          <t>Chỉ tiêu cơ sở</t>
        </is>
      </c>
      <c r="H122" s="386" t="inlineStr">
        <is>
          <t>TB</t>
        </is>
      </c>
      <c r="I122" s="386" t="inlineStr">
        <is>
          <t>Ngày, CTCK</t>
        </is>
      </c>
      <c r="J122" s="386" t="inlineStr">
        <is>
          <t>SCMS</t>
        </is>
      </c>
      <c r="K122" s="395" t="inlineStr">
        <is>
          <t>X</t>
        </is>
      </c>
      <c r="L122" s="395" t="inlineStr">
        <is>
          <t>X</t>
        </is>
      </c>
      <c r="M122" s="395" t="n"/>
      <c r="N122" s="395" t="inlineStr">
        <is>
          <t>Done</t>
        </is>
      </c>
      <c r="O122" s="401" t="n"/>
      <c r="P122" s="395" t="n"/>
      <c r="Q122" s="397" t="inlineStr">
        <is>
          <t>SCMS.BC_BAO_CAO_GT
SCMS.DM_CHI_TIEU
SCMS.BC_THANH_VIEN</t>
        </is>
      </c>
      <c r="R122" s="397" t="inlineStr">
        <is>
          <t>gt.GIA_TRI,
gt.DM_CHI_TIEU_ID,
gt.BC_THANH_VIEN_ID,
bt.ID,
bt.NGAY_SO_LIEU,
bt.TRANG_THAI,
bt.XOA_DU_LIEU,
dct.ID,
dct.MA_CHI_TIEU</t>
        </is>
      </c>
      <c r="S122" s="395" t="n"/>
      <c r="T122" s="79" t="inlineStr">
        <is>
          <t>-- Nợ phải trả dài hạn
SELECT
    nd.ngay,
    TO_NUMBER(gt.GIA_TRI) AS no_dai_han
FROM (
    SELECT TRUNC(min_ngay) + LEVEL - 1 AS ngay
    FROM (
        SELECT MIN(bt.NGAY_SO_LIEU) AS min_ngay
        FROM SCMS.BC_BAO_CAO_GT   gt
        JOIN SCMS.DM_CHI_TIEU     dct ON dct.ID = gt.DM_CHI_TIEU_ID
        JOIN SCMS.BC_THANH_VIEN   bt  ON bt.ID  = gt.BC_THANH_VIEN_ID
        WHERE dct.MA_CHI_TIEU      = 'NO_DAI_HAN'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'NO_DAI_HAN'  -- Xác nhận lại
    AND TRUNC(bt.NGAY_SO_LIEU)   = nd.ngay
--    AND bt.CTCK_THONG_TIN_ID     = :p_ctck_id
    AND bt.TRANG_THAI            IN (4, 6)
    AND bt.XOA_DU_LIEU            = 0
ORDER BY nd.ngay;</t>
        </is>
      </c>
      <c r="U122" s="386" t="n"/>
      <c r="V122" s="395" t="n"/>
      <c r="W122" s="395" t="n"/>
      <c r="X122" s="395" t="n"/>
      <c r="Y122" s="14" t="inlineStr">
        <is>
          <t>Done</t>
        </is>
      </c>
      <c r="Z122" s="395" t="n"/>
      <c r="AA122" s="395" t="n"/>
      <c r="AB122" s="395" t="n"/>
      <c r="AC122" s="395" t="n"/>
      <c r="AD122" s="395" t="n"/>
      <c r="AE122" s="395" t="n"/>
    </row>
    <row r="123" ht="63" customHeight="1" s="380">
      <c r="A123" s="92" t="n">
        <v>22</v>
      </c>
      <c r="B123" s="386" t="n"/>
      <c r="C123" s="386" t="inlineStr">
        <is>
          <t>Dashboard Tra cứu hồ sơ 360 CTCK &gt;&gt; Dashboard tổng quan 360 của CTCK &gt;&gt; Biểu đồ cơ cấu nguồn vốn CTCK</t>
        </is>
      </c>
      <c r="D123" s="12" t="inlineStr">
        <is>
          <t>Vốn chủ sở hữu</t>
        </is>
      </c>
      <c r="E123" s="12" t="inlineStr">
        <is>
          <t>Chỉ tiêu Vốn chủ sở hữu</t>
        </is>
      </c>
      <c r="F123" s="386" t="inlineStr">
        <is>
          <t>Dashboard</t>
        </is>
      </c>
      <c r="G123" s="386" t="inlineStr">
        <is>
          <t>Chỉ tiêu cơ sở</t>
        </is>
      </c>
      <c r="H123" s="386" t="inlineStr">
        <is>
          <t>TB</t>
        </is>
      </c>
      <c r="I123" s="386" t="inlineStr">
        <is>
          <t>Ngày, CTCK</t>
        </is>
      </c>
      <c r="J123" s="386" t="inlineStr">
        <is>
          <t>SCMS</t>
        </is>
      </c>
      <c r="K123" s="395" t="inlineStr">
        <is>
          <t>X</t>
        </is>
      </c>
      <c r="L123" s="395" t="inlineStr">
        <is>
          <t>X</t>
        </is>
      </c>
      <c r="M123" s="395" t="n"/>
      <c r="N123" s="395" t="inlineStr">
        <is>
          <t>Done</t>
        </is>
      </c>
      <c r="O123" s="401" t="n"/>
      <c r="P123" s="395" t="n"/>
      <c r="Q123" s="397" t="inlineStr">
        <is>
          <t>SCMS.BC_BAO_CAO_GT
SCMS.DM_CHI_TIEU
SCMS.BC_THANH_VIEN</t>
        </is>
      </c>
      <c r="R123" s="397" t="inlineStr">
        <is>
          <t>gt.GIA_TRI,
gt.DM_CHI_TIEU_ID,
gt.BC_THANH_VIEN_ID,
bt.ID,
bt.NGAY_SO_LIEU,
bt.TRANG_THAI,
bt.XOA_DU_LIEU,
dct.ID,
dct.MA_CHI_TIEU</t>
        </is>
      </c>
      <c r="S123" s="395" t="n"/>
      <c r="T123" s="79" t="inlineStr">
        <is>
          <t>-- Vốn chủ sở hữu
SELECT
    nd.ngay,
    TO_NUMBER(gt.GIA_TRI) AS von_csh
FROM (
    SELECT TRUNC(min_ngay) + LEVEL - 1 AS ngay
    FROM (
        SELECT MIN(bt.NGAY_SO_LIEU) AS min_ngay
        FROM SCMS.BC_BAO_CAO_GT   gt
        JOIN SCMS.DM_CHI_TIEU     dct ON dct.ID = gt.DM_CHI_TIEU_ID
        JOIN SCMS.BC_THANH_VIEN   bt  ON bt.ID  = gt.BC_THANH_VIEN_ID
        WHERE dct.MA_CHI_TIEU      = 'VON_CSH'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'VON_CSH'  -- Xác nhận lại
    AND TRUNC(bt.NGAY_SO_LIEU)   = nd.ngay
--    AND bt.CTCK_THONG_TIN_ID     = :p_ctck_id
    AND bt.TRANG_THAI            IN (4, 6)
    AND bt.XOA_DU_LIEU            = 0
ORDER BY nd.ngay;</t>
        </is>
      </c>
      <c r="U123" s="386" t="n"/>
      <c r="V123" s="395" t="n"/>
      <c r="W123" s="395" t="n"/>
      <c r="X123" s="395" t="n"/>
      <c r="Y123" s="14" t="inlineStr">
        <is>
          <t>Done</t>
        </is>
      </c>
      <c r="Z123" s="395" t="n"/>
      <c r="AA123" s="395" t="n"/>
      <c r="AB123" s="395" t="n"/>
      <c r="AC123" s="395" t="n"/>
      <c r="AD123" s="395" t="n"/>
      <c r="AE123" s="395" t="n"/>
    </row>
    <row r="124" ht="87.75" customHeight="1" s="380">
      <c r="A124" s="92" t="n">
        <v>22</v>
      </c>
      <c r="B124" s="386" t="n"/>
      <c r="C124" s="386" t="inlineStr">
        <is>
          <t>Dashboard Tra cứu hồ sơ 360 CTCK &gt;&gt; Dashboard tổng quan 360 của CTCK &gt;&gt; Biểu đồ cơ cấu nguồn vốn CTCK</t>
        </is>
      </c>
      <c r="D124" s="12" t="inlineStr">
        <is>
          <t>Khác</t>
        </is>
      </c>
      <c r="E124" s="12" t="inlineStr">
        <is>
          <t>Thông tin tổng nợ phải trả - các mục trên</t>
        </is>
      </c>
      <c r="F124" s="386" t="inlineStr">
        <is>
          <t>Dashboard</t>
        </is>
      </c>
      <c r="G124" s="386" t="inlineStr">
        <is>
          <t>Chỉ tiêu cơ sở</t>
        </is>
      </c>
      <c r="H124" s="386" t="inlineStr">
        <is>
          <t>TB</t>
        </is>
      </c>
      <c r="I124" s="386" t="inlineStr">
        <is>
          <t>Ngày, CTCK</t>
        </is>
      </c>
      <c r="J124" s="386" t="inlineStr">
        <is>
          <t>SCMS</t>
        </is>
      </c>
      <c r="K124" s="395" t="inlineStr">
        <is>
          <t>X</t>
        </is>
      </c>
      <c r="L124" s="395" t="inlineStr">
        <is>
          <t>X</t>
        </is>
      </c>
      <c r="M124" s="395" t="n"/>
      <c r="N124" s="395" t="inlineStr">
        <is>
          <t>Done</t>
        </is>
      </c>
      <c r="O124" s="401" t="n"/>
      <c r="P124" s="395" t="n"/>
      <c r="Q124" s="397" t="inlineStr">
        <is>
          <t>SCMS.BC_BAO_CAO_GT
SCMS.DM_CHI_TIEU
SCMS.BC_THANH_VIEN</t>
        </is>
      </c>
      <c r="R124" s="397" t="inlineStr">
        <is>
          <t>gt.GIA_TRI,
gt.DM_CHI_TIEU_ID,
gt.BC_THANH_VIEN_ID,
bt.ID,
bt.NGAY_SO_LIEU,
bt.TRANG_THAI,
bt.XOA_DU_LIEU,
dct.ID,
dct.MA_CHI_TIEU</t>
        </is>
      </c>
      <c r="S124" s="395" t="n"/>
      <c r="T124" s="79" t="inlineStr">
        <is>
          <t>-- Khác
SELECT
    nd.ngay,
    SUM(CASE WHEN dct.MA_CHI_TIEU = 'TONG_NO_PHAI_TRA'
             THEN TO_NUMBER(gt.GIA_TRI) ELSE 0 END)
    - SUM(CASE WHEN dct.MA_CHI_TIEU = 'VAY_NGAN_HAN'
               THEN TO_NUMBER(gt.GIA_TRI) ELSE 0 END)
    - SUM(CASE WHEN dct.MA_CHI_TIEU = 'NO_DAI_HAN'
               THEN TO_NUMBER(gt.GIA_TRI) ELSE 0 END)
    - SUM(CASE WHEN dct.MA_CHI_TIEU = 'VON_CSH'
               THEN TO_NUMBER(gt.GIA_TRI) ELSE 0 END)  AS nguon_von_khac
FROM (
    SELECT TRUNC(min_ngay) + LEVEL - 1 AS ngay
    FROM (
        SELECT MIN(bt.NGAY_SO_LIEU) AS min_ngay
        FROM SCMS.BC_BAO_CAO_GT   gt
        JOIN SCMS.DM_CHI_TIEU     dct ON dct.ID = gt.DM_CHI_TIEU_ID
        JOIN SCMS.BC_THANH_VIEN   bt  ON bt.ID  = gt.BC_THANH_VIEN_ID
        WHERE dct.MA_CHI_TIEU     IN (
                  'TONG_TAI_SAN',
                  'VAY_NGAN_HAN',
                  'NO_DAI_HAN',
                  'VON_CSH'
              )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IN (
            'TONG_TAI_SAN',
            'VAY_NGAN_HAN',
            'NO_DAI_HAN',
            'VON_CSH'
    )                                                -- Xác nhận lại
    AND TRUNC(bt.NGAY_SO_LIEU)   = nd.ngay
--    AND bt.CTCK_THONG_TIN_ID     = :p_ctck_id
    AND bt.TRANG_THAI            IN (4, 6)
    AND bt.XOA_DU_LIEU            = 0
GROUP BY nd.ngay
ORDER BY nd.ngay;</t>
        </is>
      </c>
      <c r="U124" s="386" t="n"/>
      <c r="V124" s="395" t="n"/>
      <c r="W124" s="395" t="n"/>
      <c r="X124" s="395" t="n"/>
      <c r="Y124" s="14" t="inlineStr">
        <is>
          <t>Done</t>
        </is>
      </c>
      <c r="Z124" s="395" t="n"/>
      <c r="AA124" s="395" t="n"/>
      <c r="AB124" s="395" t="n"/>
      <c r="AC124" s="395" t="n"/>
      <c r="AD124" s="395" t="n"/>
      <c r="AE124" s="395" t="n"/>
    </row>
    <row r="125" ht="51" customHeight="1" s="380">
      <c r="A125" s="92" t="n">
        <v>23</v>
      </c>
      <c r="B125" s="81" t="n"/>
      <c r="C125" s="81" t="inlineStr">
        <is>
          <t>Dashboard Tra cứu hồ sơ 360 CTCK &gt;&gt; Dashboard tổng quan 360 của CTCK &gt;&gt; Biểu đồ Doanh thu, lợi nhuận sau thuế</t>
        </is>
      </c>
      <c r="D125" s="12" t="inlineStr">
        <is>
          <t>Chiều thời gian theo quý</t>
        </is>
      </c>
      <c r="E125" s="12" t="inlineStr">
        <is>
          <t>Chiều thời gian theo quý</t>
        </is>
      </c>
      <c r="F125" s="386" t="inlineStr">
        <is>
          <t>Dashboard</t>
        </is>
      </c>
      <c r="G125" s="386" t="inlineStr">
        <is>
          <t>Chiều</t>
        </is>
      </c>
      <c r="H125" s="386" t="inlineStr">
        <is>
          <t>Trùng</t>
        </is>
      </c>
      <c r="I125" s="386" t="n"/>
      <c r="J125" s="386" t="inlineStr">
        <is>
          <t>SCMS</t>
        </is>
      </c>
      <c r="K125" s="395" t="n"/>
      <c r="L125" s="395" t="inlineStr">
        <is>
          <t>X</t>
        </is>
      </c>
      <c r="M125" s="395" t="n"/>
      <c r="N125" s="395" t="inlineStr">
        <is>
          <t>Done</t>
        </is>
      </c>
      <c r="O125" s="401" t="n"/>
      <c r="P125" s="395" t="n"/>
      <c r="Q125" s="20" t="inlineStr">
        <is>
          <t>Ngày dữ liệu</t>
        </is>
      </c>
      <c r="R125" s="395" t="n"/>
      <c r="S125" s="395" t="n"/>
      <c r="T125" s="386" t="inlineStr">
        <is>
          <t>-- Chiều thời gian theo quý
SELECT DISTINCT
    ADD_MONTHS(TRUNC(min_ngay, 'Q'), (LEVEL - 1) * 3) AS quy
FROM (SELECT MIN(NGAY_SO_LIEU) AS min_ngay FROM SCMS.BC_THANH_VIEN)
CONNECT BY ADD_MONTHS(TRUNC(min_ngay, 'Q'), (LEVEL - 1) * 3) &lt;= TRUNC(SYSDATE, 'Q')
ORDER BY quy;</t>
        </is>
      </c>
      <c r="U125" s="386" t="n"/>
      <c r="V125" s="395" t="n"/>
      <c r="W125" s="395" t="n"/>
      <c r="X125" s="395" t="n"/>
      <c r="Y125" s="14" t="inlineStr">
        <is>
          <t>Done</t>
        </is>
      </c>
      <c r="Z125" s="395" t="n"/>
      <c r="AA125" s="395" t="n"/>
      <c r="AB125" s="395" t="n"/>
      <c r="AC125" s="395" t="n"/>
      <c r="AD125" s="395" t="n"/>
      <c r="AE125" s="395" t="n"/>
    </row>
    <row r="126" ht="61.5" customHeight="1" s="380">
      <c r="A126" s="92" t="n">
        <v>23</v>
      </c>
      <c r="B126" s="386" t="n"/>
      <c r="C126" s="386" t="inlineStr">
        <is>
          <t>Dashboard Tra cứu hồ sơ 360 CTCK &gt;&gt; Dashboard tổng quan 360 của CTCK &gt;&gt; Biểu đồ Doanh thu, lợi nhuận sau thuế</t>
        </is>
      </c>
      <c r="D126" s="12" t="inlineStr">
        <is>
          <t>Cơ cấu doanh thu theo nghiệp vụ môi giới</t>
        </is>
      </c>
      <c r="E126" s="12" t="inlineStr">
        <is>
          <t>Cơ cấu doanh thu theo nghiệp vụ môi giới</t>
        </is>
      </c>
      <c r="F126" s="386" t="inlineStr">
        <is>
          <t>Dashboard</t>
        </is>
      </c>
      <c r="G126" s="386" t="inlineStr">
        <is>
          <t>Chỉ tiêu cơ sở</t>
        </is>
      </c>
      <c r="H126" s="386" t="inlineStr">
        <is>
          <t>TB</t>
        </is>
      </c>
      <c r="I126" s="386" t="inlineStr">
        <is>
          <t>Ngày, CTCK</t>
        </is>
      </c>
      <c r="J126" s="386" t="inlineStr">
        <is>
          <t>SCMS</t>
        </is>
      </c>
      <c r="K126" s="395" t="inlineStr">
        <is>
          <t>X</t>
        </is>
      </c>
      <c r="L126" s="395" t="inlineStr">
        <is>
          <t>X</t>
        </is>
      </c>
      <c r="M126" s="395" t="inlineStr">
        <is>
          <t>X</t>
        </is>
      </c>
      <c r="N126" s="395" t="inlineStr">
        <is>
          <t>Done</t>
        </is>
      </c>
      <c r="O126" s="401" t="n"/>
      <c r="P126" s="395" t="n"/>
      <c r="Q126" s="397" t="inlineStr">
        <is>
          <t>SCMS.BC_BAO_CAO_GT
SCMS.DM_CHI_TIEU
SCMS.BC_THANH_VIEN</t>
        </is>
      </c>
      <c r="R126" s="397" t="inlineStr">
        <is>
          <t>gt.GIA_TRI,
gt.DM_CHI_TIEU_ID,
gt.BC_THANH_VIEN_ID,
bt.ID,
bt.NGAY_SO_LIEU,
bt.TRANG_THAI,
bt.XOA_DU_LIEU,
dct.ID,
dct.MA_CHI_TIEU</t>
        </is>
      </c>
      <c r="S126" s="395" t="n"/>
      <c r="T126" s="79" t="inlineStr">
        <is>
          <t>-- Cơ cấu doanh thu theo nghiệp vụ môi giới
SELECT
    nd.ngay,
    TO_NUMBER(gt.GIA_TRI) AS doanh_thu_nghiep_vu_moi_gioi
FROM (
    SELECT TRUNC(min_ngay) + LEVEL - 1 AS ngay
    FROM (
        SELECT MIN(bt.NGAY_SO_LIEU) AS min_ngay
        FROM SCMS.BC_BAO_CAO_GT   gt
        JOIN SCMS.DM_CHI_TIEU     dct ON dct.ID = gt.DM_CHI_TIEU_ID
        JOIN SCMS.BC_THANH_VIEN   bt  ON bt.ID  = gt.BC_THANH_VIEN_ID
        WHERE dct.MA_CHI_TIEU      = 'DT_MOI_GIOI'  -- Xác nhận lại(chỉ tiêu 1.6)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'DT_MOI_GIOI'  -- Xác nhận lại
    AND TRUNC(bt.NGAY_SO_LIEU)   = nd.ngay
--    AND bt.CTCK_THONG_TIN_ID     = :p_ctck_id
    AND bt.TRANG_THAI            IN (4, 6)
    AND bt.XOA_DU_LIEU            = 0
ORDER BY nd.ngay;</t>
        </is>
      </c>
      <c r="U126" s="386" t="n"/>
      <c r="V126" s="395" t="n"/>
      <c r="W126" s="395" t="n"/>
      <c r="X126" s="395" t="n"/>
      <c r="Y126" s="14" t="inlineStr">
        <is>
          <t>Done</t>
        </is>
      </c>
      <c r="Z126" s="395" t="n"/>
      <c r="AA126" s="395" t="n"/>
      <c r="AB126" s="395" t="n"/>
      <c r="AC126" s="395" t="n"/>
      <c r="AD126" s="395" t="n"/>
      <c r="AE126" s="395" t="n"/>
    </row>
    <row r="127" ht="63.75" customHeight="1" s="380">
      <c r="A127" s="92" t="n">
        <v>23</v>
      </c>
      <c r="B127" s="386" t="n"/>
      <c r="C127" s="386" t="inlineStr">
        <is>
          <t>Dashboard Tra cứu hồ sơ 360 CTCK &gt;&gt; Dashboard tổng quan 360 của CTCK &gt;&gt; Biểu đồ Doanh thu, lợi nhuận sau thuế</t>
        </is>
      </c>
      <c r="D127" s="12" t="inlineStr">
        <is>
          <t>Cơ cấu doanh thu theo nghiệp vụ tự doanh</t>
        </is>
      </c>
      <c r="E127" s="12" t="inlineStr">
        <is>
          <t>Cơ cấu doanh thu theo nghiệp vụ tự doanh</t>
        </is>
      </c>
      <c r="F127" s="386" t="inlineStr">
        <is>
          <t>Dashboard</t>
        </is>
      </c>
      <c r="G127" s="386" t="inlineStr">
        <is>
          <t>Chỉ tiêu cơ sở</t>
        </is>
      </c>
      <c r="H127" s="386" t="inlineStr">
        <is>
          <t>TB</t>
        </is>
      </c>
      <c r="I127" s="386" t="inlineStr">
        <is>
          <t>Ngày, CTCK</t>
        </is>
      </c>
      <c r="J127" s="386" t="inlineStr">
        <is>
          <t>SCMS</t>
        </is>
      </c>
      <c r="K127" s="395" t="inlineStr">
        <is>
          <t>X</t>
        </is>
      </c>
      <c r="L127" s="395" t="inlineStr">
        <is>
          <t>X</t>
        </is>
      </c>
      <c r="M127" s="395" t="inlineStr">
        <is>
          <t>X</t>
        </is>
      </c>
      <c r="N127" s="395" t="inlineStr">
        <is>
          <t>Done</t>
        </is>
      </c>
      <c r="O127" s="401" t="n"/>
      <c r="P127" s="395" t="n"/>
      <c r="Q127" s="397" t="inlineStr">
        <is>
          <t>SCMS.BC_BAO_CAO_GT
SCMS.DM_CHI_TIEU
SCMS.BC_THANH_VIEN</t>
        </is>
      </c>
      <c r="R127" s="397" t="inlineStr">
        <is>
          <t>gt.GIA_TRI,
gt.DM_CHI_TIEU_ID,
gt.BC_THANH_VIEN_ID,
bt.ID,
bt.NGAY_SO_LIEU,
bt.TRANG_THAI,
bt.XOA_DU_LIEU,
dct.ID,
dct.MA_CHI_TIEU</t>
        </is>
      </c>
      <c r="S127" s="395" t="n"/>
      <c r="T127" s="79" t="inlineStr">
        <is>
          <t>-- Cơ cấu doanh thu theo nghiệp vụ tự doanh
SELECT
    nd.ngay,
    SUM(TO_NUMBER(gt.GIA_TRI)) AS doanh_thu_nghiep_vu_tu_doanh
FROM (
    SELECT TRUNC(min_ngay) + LEVEL - 1 AS ngay
    FROM (
        SELECT MIN(bt.NGAY_SO_LIEU) AS min_ngay
        FROM SCMS.BC_BAO_CAO_GT   gt
        JOIN SCMS.DM_CHI_TIEU     dct ON dct.ID = gt.DM_CHI_TIEU_ID
        JOIN SCMS.BC_THANH_VIEN   bt  ON bt.ID  = gt.BC_THANH_VIEN_ID
        WHERE dct.MA_CHI_TIEU     IN (
                  'LAI_FVTPL',      -- 1.1   Xác nhận lại
                  'LAI_HTM',        -- 1.2   Xác nhận lại
                  'LAI_AFS',        -- 1.4   Xác nhận lại
                  'LAI_PHAI_SINH'   -- 1.5   Xác nhận lại
              )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IN (
            'LAI_FVTPL',
            'LAI_HTM',
            'LAI_AFS',
            'LAI_PHAI_SINH'
        )
    AND TRUNC(bt.NGAY_SO_LIEU)   = nd.ngay
--    AND bt.CTCK_THONG_TIN_ID     = :p_ctck_id
    AND bt.TRANG_THAI            IN (4, 6)
    AND bt.XOA_DU_LIEU            = 0
GROUP BY nd.ngay
ORDER BY nd.ngay;</t>
        </is>
      </c>
      <c r="U127" s="386" t="n"/>
      <c r="V127" s="395" t="n"/>
      <c r="W127" s="395" t="n"/>
      <c r="X127" s="395" t="n"/>
      <c r="Y127" s="14" t="inlineStr">
        <is>
          <t>Done</t>
        </is>
      </c>
      <c r="Z127" s="395" t="n"/>
      <c r="AA127" s="395" t="n"/>
      <c r="AB127" s="395" t="n"/>
      <c r="AC127" s="395" t="n"/>
      <c r="AD127" s="395" t="n"/>
      <c r="AE127" s="395" t="n"/>
    </row>
    <row r="128" ht="63" customHeight="1" s="380">
      <c r="A128" s="92" t="n">
        <v>23</v>
      </c>
      <c r="B128" s="386" t="n"/>
      <c r="C128" s="386" t="inlineStr">
        <is>
          <t>Dashboard Tra cứu hồ sơ 360 CTCK &gt;&gt; Dashboard tổng quan 360 của CTCK &gt;&gt; Biểu đồ Doanh thu, lợi nhuận sau thuế</t>
        </is>
      </c>
      <c r="D128" s="12" t="inlineStr">
        <is>
          <t>Cơ cấu doanh thu theo nghiệp vụ tư vấn</t>
        </is>
      </c>
      <c r="E128" s="12" t="inlineStr">
        <is>
          <t>Cơ cấu doanh thu theo nghiệp vụ tư vấn</t>
        </is>
      </c>
      <c r="F128" s="386" t="inlineStr">
        <is>
          <t>Dashboard</t>
        </is>
      </c>
      <c r="G128" s="386" t="inlineStr">
        <is>
          <t>Chỉ tiêu cơ sở</t>
        </is>
      </c>
      <c r="H128" s="386" t="inlineStr">
        <is>
          <t>TB</t>
        </is>
      </c>
      <c r="I128" s="386" t="inlineStr">
        <is>
          <t>Ngày, CTCK</t>
        </is>
      </c>
      <c r="J128" s="386" t="inlineStr">
        <is>
          <t>SCMS</t>
        </is>
      </c>
      <c r="K128" s="395" t="inlineStr">
        <is>
          <t>X</t>
        </is>
      </c>
      <c r="L128" s="395" t="inlineStr">
        <is>
          <t>X</t>
        </is>
      </c>
      <c r="M128" s="395" t="inlineStr">
        <is>
          <t>X</t>
        </is>
      </c>
      <c r="N128" s="395" t="inlineStr">
        <is>
          <t>Done</t>
        </is>
      </c>
      <c r="O128" s="401" t="n"/>
      <c r="P128" s="395" t="n"/>
      <c r="Q128" s="397" t="inlineStr">
        <is>
          <t>SCMS.BC_BAO_CAO_GT
SCMS.DM_CHI_TIEU
SCMS.BC_THANH_VIEN</t>
        </is>
      </c>
      <c r="R128" s="397" t="inlineStr">
        <is>
          <t>gt.GIA_TRI,
gt.DM_CHI_TIEU_ID,
gt.BC_THANH_VIEN_ID,
bt.ID,
bt.NGAY_SO_LIEU,
bt.TRANG_THAI,
bt.XOA_DU_LIEU,
dct.ID,
dct.MA_CHI_TIEU</t>
        </is>
      </c>
      <c r="S128" s="395" t="n"/>
      <c r="T128" s="79" t="inlineStr">
        <is>
          <t>-- Cơ cấu doanh thu theo nghiệp vụ tư vấn
SELECT
    nd.ngay,
    SUM(TO_NUMBER(gt.GIA_TRI)) AS doanh_thu_nghiep_vu_tu_van
FROM (
    SELECT TRUNC(min_ngay) + LEVEL - 1 AS ngay
    FROM (
        SELECT MIN(bt.NGAY_SO_LIEU) AS min_ngay
        FROM SCMS.BC_BAO_CAO_GT   gt
        JOIN SCMS.DM_CHI_TIEU     dct ON dct.ID = gt.DM_CHI_TIEU_ID
        JOIN SCMS.BC_THANH_VIEN   bt  ON bt.ID  = gt.BC_THANH_VIEN_ID
        WHERE dct.MA_CHI_TIEU     IN (
                  'DT_TU_VAN_DAU_TU_CK',   -- 1.8   Xác nhận lại
                  'DT_TU_VAN_TAI_CHINH'    -- 1.10   Xác nhận lại
              )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IN (
            'DT_TU_VAN_DAU_TU_CK',
            'DT_TU_VAN_TAI_CHINH'
        )
    AND TRUNC(bt.NGAY_SO_LIEU)   = nd.ngay
--    AND bt.CTCK_THONG_TIN_ID     = :p_ctck_id
    AND bt.TRANG_THAI            IN (4, 6)
    AND bt.XOA_DU_LIEU            = 0
GROUP BY nd.ngay
ORDER BY nd.ngay;</t>
        </is>
      </c>
      <c r="U128" s="386" t="n"/>
      <c r="V128" s="395" t="n"/>
      <c r="W128" s="395" t="n"/>
      <c r="X128" s="395" t="n"/>
      <c r="Y128" s="14" t="inlineStr">
        <is>
          <t>Done</t>
        </is>
      </c>
      <c r="Z128" s="395" t="n"/>
      <c r="AA128" s="395" t="n"/>
      <c r="AB128" s="395" t="n"/>
      <c r="AC128" s="395" t="n"/>
      <c r="AD128" s="395" t="n"/>
      <c r="AE128" s="395" t="n"/>
    </row>
    <row r="129" ht="63" customHeight="1" s="380">
      <c r="A129" s="92" t="n">
        <v>23</v>
      </c>
      <c r="B129" s="386" t="n"/>
      <c r="C129" s="386" t="inlineStr">
        <is>
          <t>Dashboard Tra cứu hồ sơ 360 CTCK &gt;&gt; Dashboard tổng quan 360 của CTCK &gt;&gt; Biểu đồ Doanh thu, lợi nhuận sau thuế</t>
        </is>
      </c>
      <c r="D129" s="12" t="inlineStr">
        <is>
          <t>Cơ cấu doanh thu theo nghiệp vụ bảo lãnh</t>
        </is>
      </c>
      <c r="E129" s="12" t="inlineStr">
        <is>
          <t>Cơ cấu doanh thu theo nghiệp vụ bảo lãnh</t>
        </is>
      </c>
      <c r="F129" s="386" t="inlineStr">
        <is>
          <t>Dashboard</t>
        </is>
      </c>
      <c r="G129" s="386" t="inlineStr">
        <is>
          <t>Chỉ tiêu cơ sở</t>
        </is>
      </c>
      <c r="H129" s="386" t="inlineStr">
        <is>
          <t>TB</t>
        </is>
      </c>
      <c r="I129" s="386" t="inlineStr">
        <is>
          <t>Ngày, CTCK</t>
        </is>
      </c>
      <c r="J129" s="386" t="inlineStr">
        <is>
          <t>SCMS</t>
        </is>
      </c>
      <c r="K129" s="395" t="inlineStr">
        <is>
          <t>X</t>
        </is>
      </c>
      <c r="L129" s="395" t="inlineStr">
        <is>
          <t>X</t>
        </is>
      </c>
      <c r="M129" s="395" t="inlineStr">
        <is>
          <t>X</t>
        </is>
      </c>
      <c r="N129" s="395" t="inlineStr">
        <is>
          <t>Done</t>
        </is>
      </c>
      <c r="O129" s="401" t="n"/>
      <c r="P129" s="395" t="n"/>
      <c r="Q129" s="397" t="inlineStr">
        <is>
          <t>SCMS.BC_BAO_CAO_GT
SCMS.DM_CHI_TIEU
SCMS.BC_THANH_VIEN</t>
        </is>
      </c>
      <c r="R129" s="397" t="inlineStr">
        <is>
          <t>gt.GIA_TRI,
gt.DM_CHI_TIEU_ID,
gt.BC_THANH_VIEN_ID,
bt.ID,
bt.NGAY_SO_LIEU,
bt.TRANG_THAI,
bt.XOA_DU_LIEU,
dct.ID,
dct.MA_CHI_TIEU</t>
        </is>
      </c>
      <c r="S129" s="395" t="n"/>
      <c r="T129" s="79" t="inlineStr">
        <is>
          <t>-- Cơ cấu doanh thu theo nghiệp vụ bảo lãnh
SELECT
    nd.ngay,
    TO_NUMBER(gt.GIA_TRI) AS doanh_thu_nghiep_vu_bao_lanh
FROM (
    SELECT TRUNC(min_ngay) + LEVEL - 1 AS ngay
    FROM (
        SELECT MIN(bt.NGAY_SO_LIEU) AS min_ngay
        FROM SCMS.BC_BAO_CAO_GT   gt
        JOIN SCMS.DM_CHI_TIEU     dct ON dct.ID = gt.DM_CHI_TIEU_ID
        JOIN SCMS.BC_THANH_VIEN   bt  ON bt.ID  = gt.BC_THANH_VIEN_ID
        WHERE dct.MA_CHI_TIEU      = 'DT_BAO_LANH_PHAT_HANH'  -- Xác nhận lại (1.7)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'DT_BAO_LANH_PHAT_HANH'  -- Xác nhận lại
    AND TRUNC(bt.NGAY_SO_LIEU)   = nd.ngay
--    AND bt.CTCK_THONG_TIN_ID     = :p_ctck_id
    AND bt.TRANG_THAI            IN (4, 6)
    AND bt.XOA_DU_LIEU            = 0
ORDER BY nd.ngay;</t>
        </is>
      </c>
      <c r="U129" s="386" t="n"/>
      <c r="V129" s="395" t="n"/>
      <c r="W129" s="395" t="n"/>
      <c r="X129" s="395" t="n"/>
      <c r="Y129" s="14" t="inlineStr">
        <is>
          <t>Done</t>
        </is>
      </c>
      <c r="Z129" s="395" t="n"/>
      <c r="AA129" s="395" t="n"/>
      <c r="AB129" s="395" t="n"/>
      <c r="AC129" s="395" t="n"/>
      <c r="AD129" s="395" t="n"/>
      <c r="AE129" s="395" t="n"/>
    </row>
    <row r="130" ht="63.75" customHeight="1" s="380">
      <c r="A130" s="92" t="n">
        <v>23</v>
      </c>
      <c r="B130" s="386" t="n"/>
      <c r="C130" s="386" t="inlineStr">
        <is>
          <t>Dashboard Tra cứu hồ sơ 360 CTCK &gt;&gt; Dashboard tổng quan 360 của CTCK &gt;&gt; Biểu đồ Doanh thu, lợi nhuận sau thuế</t>
        </is>
      </c>
      <c r="D130" s="12" t="inlineStr">
        <is>
          <t>Doanh thu</t>
        </is>
      </c>
      <c r="E130" s="12" t="inlineStr">
        <is>
          <t>Doanh thu trên BCTC của CTCK</t>
        </is>
      </c>
      <c r="F130" s="386" t="inlineStr">
        <is>
          <t>Dashboard</t>
        </is>
      </c>
      <c r="G130" s="386" t="inlineStr">
        <is>
          <t>Chỉ tiêu cơ sở</t>
        </is>
      </c>
      <c r="H130" s="386" t="inlineStr">
        <is>
          <t>TB</t>
        </is>
      </c>
      <c r="I130" s="386" t="inlineStr">
        <is>
          <t>Ngày, CTCK</t>
        </is>
      </c>
      <c r="J130" s="386" t="inlineStr">
        <is>
          <t>SCMS</t>
        </is>
      </c>
      <c r="K130" s="395" t="inlineStr">
        <is>
          <t>X</t>
        </is>
      </c>
      <c r="L130" s="395" t="inlineStr">
        <is>
          <t>X</t>
        </is>
      </c>
      <c r="M130" s="395" t="inlineStr">
        <is>
          <t>X</t>
        </is>
      </c>
      <c r="N130" s="395" t="inlineStr">
        <is>
          <t>Done</t>
        </is>
      </c>
      <c r="O130" s="401" t="n"/>
      <c r="P130" s="395" t="n"/>
      <c r="Q130" s="397" t="inlineStr">
        <is>
          <t>SCMS.BC_BAO_CAO_GT
SCMS.DM_CHI_TIEU
SCMS.BC_THANH_VIEN</t>
        </is>
      </c>
      <c r="R130" s="397" t="inlineStr">
        <is>
          <t>gt.GIA_TRI,
gt.DM_CHI_TIEU_ID,
gt.BC_THANH_VIEN_ID,
bt.ID,
bt.NGAY_SO_LIEU,
bt.TRANG_THAI,
bt.XOA_DU_LIEU,
dct.ID,
dct.MA_CHI_TIEU</t>
        </is>
      </c>
      <c r="S130" s="395" t="n"/>
      <c r="T130" s="79" t="inlineStr">
        <is>
          <t>-- Doanh thu
SELECT
    nd.ngay,
    TO_NUMBER(gt.GIA_TRI) AS doanh_thu
FROM (
    SELECT TRUNC(min_ngay) + LEVEL - 1 AS ngay
    FROM (
        SELECT MIN(bt.NGAY_SO_LIEU) AS min_ngay
        FROM SCMS.BC_BAO_CAO_GT   gt
        JOIN SCMS.DM_CHI_TIEU     dct ON dct.ID = gt.DM_CHI_TIEU_ID
        JOIN SCMS.BC_THANH_VIEN   bt  ON bt.ID  = gt.BC_THANH_VIEN_ID
        WHERE dct.MA_CHI_TIEU      = 'DOANH_THU'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'DOANH_THU'  -- Xác nhận lại
    AND TRUNC(bt.NGAY_SO_LIEU)   = nd.ngay
--    AND bt.CTCK_THONG_TIN_ID     = :p_ctck_id
    AND bt.TRANG_THAI            IN (4, 6)
    AND bt.XOA_DU_LIEU            = 0
ORDER BY nd.ngay;</t>
        </is>
      </c>
      <c r="U130" s="386" t="n"/>
      <c r="V130" s="395" t="n"/>
      <c r="W130" s="395" t="n"/>
      <c r="X130" s="395" t="n"/>
      <c r="Y130" s="14" t="inlineStr">
        <is>
          <t>Done</t>
        </is>
      </c>
      <c r="Z130" s="395" t="n"/>
      <c r="AA130" s="395" t="n"/>
      <c r="AB130" s="395" t="n"/>
      <c r="AC130" s="395" t="n"/>
      <c r="AD130" s="395" t="n"/>
      <c r="AE130" s="395" t="n"/>
    </row>
    <row r="131" ht="63" customHeight="1" s="380">
      <c r="A131" s="92" t="n">
        <v>23</v>
      </c>
      <c r="B131" s="386" t="n"/>
      <c r="C131" s="386" t="inlineStr">
        <is>
          <t>Dashboard Tra cứu hồ sơ 360 CTCK &gt;&gt; Dashboard tổng quan 360 của CTCK &gt;&gt; Biểu đồ Doanh thu, lợi nhuận sau thuế</t>
        </is>
      </c>
      <c r="D131" s="12" t="inlineStr">
        <is>
          <t>Lợi nhuận sau thuế</t>
        </is>
      </c>
      <c r="E131" s="12" t="inlineStr">
        <is>
          <t>Lợi nhuận sau thuế trên BCTC của CTCK</t>
        </is>
      </c>
      <c r="F131" s="386" t="inlineStr">
        <is>
          <t>Dashboard</t>
        </is>
      </c>
      <c r="G131" s="386" t="inlineStr">
        <is>
          <t>Chỉ tiêu cơ sở</t>
        </is>
      </c>
      <c r="H131" s="386" t="inlineStr">
        <is>
          <t>TB</t>
        </is>
      </c>
      <c r="I131" s="386" t="inlineStr">
        <is>
          <t>Ngày, CTCK</t>
        </is>
      </c>
      <c r="J131" s="386" t="inlineStr">
        <is>
          <t>SCMS</t>
        </is>
      </c>
      <c r="K131" s="395" t="inlineStr">
        <is>
          <t>X</t>
        </is>
      </c>
      <c r="L131" s="395" t="inlineStr">
        <is>
          <t>X</t>
        </is>
      </c>
      <c r="M131" s="395" t="inlineStr">
        <is>
          <t>X</t>
        </is>
      </c>
      <c r="N131" s="395" t="inlineStr">
        <is>
          <t>Done</t>
        </is>
      </c>
      <c r="O131" s="401" t="n"/>
      <c r="P131" s="395" t="n"/>
      <c r="Q131" s="397" t="inlineStr">
        <is>
          <t>SCMS.BC_BAO_CAO_GT
SCMS.DM_CHI_TIEU
SCMS.BC_THANH_VIEN</t>
        </is>
      </c>
      <c r="R131" s="397" t="inlineStr">
        <is>
          <t>gt.GIA_TRI,
gt.DM_CHI_TIEU_ID,
gt.BC_THANH_VIEN_ID,
bt.ID,
bt.NGAY_SO_LIEU,
bt.TRANG_THAI,
bt.XOA_DU_LIEU,
dct.ID,
dct.MA_CHI_TIEU</t>
        </is>
      </c>
      <c r="S131" s="395" t="n"/>
      <c r="T131" s="79" t="inlineStr">
        <is>
          <t>-- Lợi nhuận sau thuế
SELECT
    nd.ngay,
    TO_NUMBER(gt.GIA_TRI) AS loi_nhuan_sau_thue
FROM (
    SELECT TRUNC(min_ngay) + LEVEL - 1 AS ngay
    FROM (
        SELECT MIN(bt.NGAY_SO_LIEU) AS min_ngay
        FROM SCMS.BC_BAO_CAO_GT   gt
        JOIN SCMS.DM_CHI_TIEU     dct ON dct.ID = gt.DM_CHI_TIEU_ID
        JOIN SCMS.BC_THANH_VIEN   bt  ON bt.ID  = gt.BC_THANH_VIEN_ID
        WHERE dct.MA_CHI_TIEU      = 'LOI_NHUAN_SAU_THUE'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'LOI_NHUAN_SAU_THUE'  -- Xác nhận lại
    AND TRUNC(bt.NGAY_SO_LIEU)   = nd.ngay
--    AND bt.CTCK_THONG_TIN_ID     = :p_ctck_id
    AND bt.TRANG_THAI            IN (4, 6)
    AND bt.XOA_DU_LIEU            = 0
ORDER BY nd.ngay;</t>
        </is>
      </c>
      <c r="U131" s="386" t="n"/>
      <c r="V131" s="395" t="n"/>
      <c r="W131" s="395" t="n"/>
      <c r="X131" s="395" t="n"/>
      <c r="Y131" s="14" t="inlineStr">
        <is>
          <t>Done</t>
        </is>
      </c>
      <c r="Z131" s="395" t="n"/>
      <c r="AA131" s="395" t="n"/>
      <c r="AB131" s="395" t="n"/>
      <c r="AC131" s="395" t="n"/>
      <c r="AD131" s="395" t="n"/>
      <c r="AE131" s="395" t="n"/>
    </row>
    <row r="132" ht="51" customHeight="1" s="380">
      <c r="A132" s="92" t="n">
        <v>24</v>
      </c>
      <c r="B132" s="81" t="n"/>
      <c r="C132" s="81" t="inlineStr">
        <is>
          <t>Dashboard Tra cứu hồ sơ 360 CTCK &gt;&gt; Dashboard tổng quan 360 của CTCK &gt;&gt; Biểu đồ Chỉ số dư nợ margin/vốn CSH CTCK</t>
        </is>
      </c>
      <c r="D132" s="12" t="inlineStr">
        <is>
          <t>Chiều thời gian theo tháng</t>
        </is>
      </c>
      <c r="E132" s="12" t="inlineStr">
        <is>
          <t>Chiều thời gian theo tháng</t>
        </is>
      </c>
      <c r="F132" s="386" t="inlineStr">
        <is>
          <t>Dashboard</t>
        </is>
      </c>
      <c r="G132" s="386" t="inlineStr">
        <is>
          <t>Chiều</t>
        </is>
      </c>
      <c r="H132" s="386" t="inlineStr">
        <is>
          <t>Trùng</t>
        </is>
      </c>
      <c r="I132" s="386" t="n"/>
      <c r="J132" s="386" t="inlineStr">
        <is>
          <t>SCMS</t>
        </is>
      </c>
      <c r="K132" s="395" t="n"/>
      <c r="L132" s="395" t="inlineStr">
        <is>
          <t>X</t>
        </is>
      </c>
      <c r="M132" s="395" t="n"/>
      <c r="N132" s="395" t="inlineStr">
        <is>
          <t>Done</t>
        </is>
      </c>
      <c r="O132" s="401" t="n"/>
      <c r="P132" s="395" t="n"/>
      <c r="Q132" s="20" t="inlineStr">
        <is>
          <t>Ngày dữ liệu</t>
        </is>
      </c>
      <c r="R132" s="395" t="n"/>
      <c r="S132" s="395" t="n"/>
      <c r="T132" s="386" t="inlineStr">
        <is>
          <t>-- Chiều thời gian theo tháng
SELECT DISTINCT
    ADD_MONTHS(TRUNC(min_ngay, 'MM'), LEVEL - 1) AS thang
FROM (SELECT MIN(NGAY_SO_LIEU) AS min_ngay FROM SCMS.BC_THANH_VIEN)
CONNECT BY ADD_MONTHS(TRUNC(min_ngay, 'MM'), LEVEL - 1) &lt;= TRUNC(SYSDATE, 'MM')
ORDER BY thang;</t>
        </is>
      </c>
      <c r="U132" s="386" t="n"/>
      <c r="V132" s="395" t="n"/>
      <c r="W132" s="395" t="n"/>
      <c r="X132" s="395" t="n"/>
      <c r="Y132" s="14" t="inlineStr">
        <is>
          <t>Done</t>
        </is>
      </c>
      <c r="Z132" s="395" t="n"/>
      <c r="AA132" s="395" t="n"/>
      <c r="AB132" s="395" t="n"/>
      <c r="AC132" s="395" t="n"/>
      <c r="AD132" s="395" t="n"/>
      <c r="AE132" s="395" t="n"/>
    </row>
    <row r="133" ht="74.25" customHeight="1" s="380">
      <c r="A133" s="92" t="n">
        <v>24</v>
      </c>
      <c r="B133" s="386" t="n"/>
      <c r="C133" s="386" t="inlineStr">
        <is>
          <t>Dashboard Tra cứu hồ sơ 360 CTCK &gt;&gt; Dashboard tổng quan 360 của CTCK &gt;&gt; Biểu đồ Chỉ số dư nợ margin/vốn CSH CTCK</t>
        </is>
      </c>
      <c r="D133" s="12" t="inlineStr">
        <is>
          <t>Margin/VCSH %</t>
        </is>
      </c>
      <c r="E133" s="12" t="inlineStr">
        <is>
          <t>Tỷ lệ dư nợ margin trên vốn chủ sở hữu của CTCK</t>
        </is>
      </c>
      <c r="F133" s="386" t="inlineStr">
        <is>
          <t>Dashboard</t>
        </is>
      </c>
      <c r="G133" s="386" t="inlineStr">
        <is>
          <t>Chỉ tiêu phái sinh</t>
        </is>
      </c>
      <c r="H133" s="386" t="inlineStr">
        <is>
          <t>Trùng</t>
        </is>
      </c>
      <c r="I133" s="386" t="inlineStr">
        <is>
          <t>Ngày, CTCK</t>
        </is>
      </c>
      <c r="J133" s="386" t="inlineStr">
        <is>
          <t>SCMS</t>
        </is>
      </c>
      <c r="K133" s="395" t="n"/>
      <c r="L133" s="395" t="inlineStr">
        <is>
          <t>X</t>
        </is>
      </c>
      <c r="M133" s="395" t="inlineStr">
        <is>
          <t>X</t>
        </is>
      </c>
      <c r="N133" s="395" t="inlineStr">
        <is>
          <t>Done</t>
        </is>
      </c>
      <c r="O133" s="401" t="n"/>
      <c r="P133" s="395" t="n"/>
      <c r="Q133" s="397" t="inlineStr">
        <is>
          <t>SCMS.BC_BAO_CAO_GT
SCMS.DM_CHI_TIEU
SCMS.BC_THANH_VIEN</t>
        </is>
      </c>
      <c r="R133" s="397" t="inlineStr">
        <is>
          <t>gt.GIA_TRI,
gt.DM_CHI_TIEU_ID,
gt.BC_THANH_VIEN_ID,
bt.ID,
bt.NGAY_SO_LIEU,
bt.TRANG_THAI,
bt.XOA_DU_LIEU,
dct.ID,
dct.MA_CHI_TIEU</t>
        </is>
      </c>
      <c r="S133" s="395" t="n"/>
      <c r="T133" s="79" t="inlineStr">
        <is>
          <t>-- Margin/VCSH %
WITH nd AS (
    SELECT TRUNC(min_ngay) + LEVEL - 1 AS ngay
    FROM (
        SELECT MIN(bt.NGAY_SO_LIEU) AS min_ngay
        FROM SCMS.BC_BAO_CAO_GT   gt
        JOIN SCMS.DM_CHI_TIEU     dct ON dct.ID = gt.DM_CHI_TIEU_ID
        JOIN SCMS.BC_THANH_VIEN   bt  ON bt.ID  = gt.BC_THANH_VIEN_ID
        WHERE dct.MA_CHI_TIEU      = 'DU_NO_MARGIN'  -- Xác nhận
--          AND bt.CTCK_THONG_TIN_ID = :p_ctck_id
          AND bt.TRANG_THAI       IN (4, 6)
          AND bt.XOA_DU_LIEU       = 0
    )
    CONNECT BY TRUNC(min_ngay) + LEVEL - 1 &lt;= TRUNC(SYSDATE)
)
SELECT
    nd.ngay,
    ROUND(TO_NUMBER(margin_gt.GIA_TRI) / NULLIF(TO_NUMBER(vcsh_gt.GIA_TRI), 0) * 100, 2) 
      AS ty_le_margin_tren_vcsh
FROM nd
LEFT JOIN (
    SELECT
        TRUNC(bt.NGAY_SO_LIEU) AS ngay,
        gt.GIA_TRI
    FROM SCMS.BC_BAO_CAO_GT   gt
    JOIN SCMS.DM_CHI_TIEU     dct ON dct.ID = gt.DM_CHI_TIEU_ID
    JOIN SCMS.BC_THANH_VIEN   bt  ON bt.ID  = gt.BC_THANH_VIEN_ID
    WHERE dct.MA_CHI_TIEU      = 'DU_NO_MARGIN'  -- Xác nhận
--      AND bt.CTCK_THONG_TIN_ID = :p_ctck_id
      AND bt.TRANG_THAI       IN (4, 6)
      AND bt.XOA_DU_LIEU       = 0
) margin_gt ON margin_gt.ngay = nd.ngay
LEFT JOIN (
    SELECT
        TRUNC(bt.NGAY_SO_LIEU) AS ngay,
        gt.GIA_TRI
    FROM SCMS.BC_BAO_CAO_GT   gt
    JOIN SCMS.DM_CHI_TIEU     dct ON dct.ID = gt.DM_CHI_TIEU_ID
    JOIN SCMS.BC_THANH_VIEN   bt  ON bt.ID  = gt.BC_THANH_VIEN_ID
    WHERE dct.MA_CHI_TIEU      = 'VON_CHU_SO_HUU'  -- Xác nhận
--      AND bt.CTCK_THONG_TIN_ID = :p_ctck_id
      AND bt.TRANG_THAI       IN (4, 6)
      AND bt.XOA_DU_LIEU       = 0
) vcsh_gt ON vcsh_gt.ngay = LAST_DAY(ADD_MONTHS(TRUNC(nd.ngay, 'Q'), 2))
ORDER BY nd.ngay;</t>
        </is>
      </c>
      <c r="U133" s="386" t="n"/>
      <c r="V133" s="395" t="n"/>
      <c r="W133" s="395" t="n"/>
      <c r="X133" s="395" t="n"/>
      <c r="Y133" s="14" t="inlineStr">
        <is>
          <t>Done</t>
        </is>
      </c>
      <c r="Z133" s="395" t="n"/>
      <c r="AA133" s="395" t="n"/>
      <c r="AB133" s="395" t="n"/>
      <c r="AC133" s="395" t="n"/>
      <c r="AD133" s="395" t="n"/>
      <c r="AE133" s="395" t="n"/>
    </row>
    <row r="134" ht="49.5" customHeight="1" s="380">
      <c r="A134" s="92" t="n">
        <v>25</v>
      </c>
      <c r="B134" s="81" t="n"/>
      <c r="C134" s="81" t="inlineStr">
        <is>
          <t>Dashboard Tra cứu hồ sơ 360 CTCK &gt;&gt; Dashboard tổng quan 360 của CTCK &gt;&gt; Biểu đồ Tỷ lệ an toàn tài chính</t>
        </is>
      </c>
      <c r="D134" s="12" t="inlineStr">
        <is>
          <t>Chiều thời gian theo tháng</t>
        </is>
      </c>
      <c r="E134" s="12" t="inlineStr">
        <is>
          <t>Chiều thời gian theo tháng</t>
        </is>
      </c>
      <c r="F134" s="386" t="inlineStr">
        <is>
          <t>Dashboard</t>
        </is>
      </c>
      <c r="G134" s="386" t="inlineStr">
        <is>
          <t>Chiều</t>
        </is>
      </c>
      <c r="H134" s="386" t="inlineStr">
        <is>
          <t>Trùng</t>
        </is>
      </c>
      <c r="I134" s="386" t="n"/>
      <c r="J134" s="386" t="inlineStr">
        <is>
          <t>SCMS</t>
        </is>
      </c>
      <c r="K134" s="395" t="n"/>
      <c r="L134" s="395" t="inlineStr">
        <is>
          <t>X</t>
        </is>
      </c>
      <c r="M134" s="395" t="n"/>
      <c r="N134" s="395" t="inlineStr">
        <is>
          <t>Done</t>
        </is>
      </c>
      <c r="O134" s="401" t="n"/>
      <c r="P134" s="395" t="n"/>
      <c r="Q134" s="20" t="inlineStr">
        <is>
          <t>Ngày dữ liệu</t>
        </is>
      </c>
      <c r="R134" s="395" t="n"/>
      <c r="S134" s="395" t="n"/>
      <c r="T134" s="386" t="inlineStr">
        <is>
          <t>-- Chiều thời gian theo tháng
SELECT DISTINCT
    ADD_MONTHS(TRUNC(min_ngay, 'MM'), LEVEL - 1) AS thang
FROM (SELECT MIN(NGAY_SO_LIEU) AS min_ngay FROM SCMS.BC_THANH_VIEN)
CONNECT BY ADD_MONTHS(TRUNC(min_ngay, 'MM'), LEVEL - 1) &lt;= TRUNC(SYSDATE, 'MM')
ORDER BY thang;</t>
        </is>
      </c>
      <c r="U134" s="386" t="n"/>
      <c r="V134" s="395" t="n"/>
      <c r="W134" s="395" t="n"/>
      <c r="X134" s="395" t="n"/>
      <c r="Y134" s="14" t="inlineStr">
        <is>
          <t>Done</t>
        </is>
      </c>
      <c r="Z134" s="395" t="n"/>
      <c r="AA134" s="395" t="n"/>
      <c r="AB134" s="395" t="n"/>
      <c r="AC134" s="395" t="n"/>
      <c r="AD134" s="395" t="n"/>
      <c r="AE134" s="395" t="n"/>
    </row>
    <row r="135" ht="63.75" customHeight="1" s="380">
      <c r="A135" s="92" t="n">
        <v>25</v>
      </c>
      <c r="B135" s="386" t="n"/>
      <c r="C135" s="386" t="inlineStr">
        <is>
          <t>Dashboard Tra cứu hồ sơ 360 CTCK &gt;&gt; Dashboard tổng quan 360 của CTCK &gt;&gt; Biểu đồ Tỷ lệ an toàn tài chính</t>
        </is>
      </c>
      <c r="D135" s="12" t="inlineStr">
        <is>
          <t>Tỷ lệ an toàn tài chính</t>
        </is>
      </c>
      <c r="E135" s="12" t="inlineStr">
        <is>
          <t>Tỷ lệ an toàn tài chính của CTCK theo từng tháng</t>
        </is>
      </c>
      <c r="F135" s="386" t="inlineStr">
        <is>
          <t>Dashboard</t>
        </is>
      </c>
      <c r="G135" s="386" t="inlineStr">
        <is>
          <t>Chỉ tiêu cơ sở</t>
        </is>
      </c>
      <c r="H135" s="386" t="inlineStr">
        <is>
          <t>TB</t>
        </is>
      </c>
      <c r="I135" s="386" t="inlineStr">
        <is>
          <t>Ngày, CTCK</t>
        </is>
      </c>
      <c r="J135" s="386" t="inlineStr">
        <is>
          <t>SCMS</t>
        </is>
      </c>
      <c r="K135" s="395" t="inlineStr">
        <is>
          <t>X</t>
        </is>
      </c>
      <c r="L135" s="395" t="inlineStr">
        <is>
          <t>X</t>
        </is>
      </c>
      <c r="M135" s="395" t="inlineStr">
        <is>
          <t>X</t>
        </is>
      </c>
      <c r="N135" s="395" t="inlineStr">
        <is>
          <t>Done</t>
        </is>
      </c>
      <c r="O135" s="401" t="n"/>
      <c r="P135" s="395" t="n"/>
      <c r="Q135" s="397" t="inlineStr">
        <is>
          <t>SCMS.BC_BAO_CAO_GT
SCMS.DM_CHI_TIEU
SCMS.BC_THANH_VIEN</t>
        </is>
      </c>
      <c r="R135" s="397" t="inlineStr">
        <is>
          <t>gt.GIA_TRI,
gt.DM_CHI_TIEU_ID,
gt.BC_THANH_VIEN_ID,
bt.ID,
bt.NGAY_SO_LIEU,
bt.TRANG_THAI,
bt.XOA_DU_LIEU,
dct.ID,
dct.MA_CHI_TIEU</t>
        </is>
      </c>
      <c r="S135" s="395" t="n"/>
      <c r="T135" s="79" t="inlineStr">
        <is>
          <t>-- Tỷ lệ an toàn tài chính
SELECT
    nd.ngay,
    TO_NUMBER(gt.GIA_TRI) AS ty_le_attc
FROM (
    SELECT TRUNC(min_ngay) + LEVEL - 1 AS ngay
    FROM (
        SELECT MIN(bt.NGAY_SO_LIEU) AS min_ngay
        FROM SCMS.BC_BAO_CAO_GT   gt
        JOIN SCMS.DM_CHI_TIEU     dct ON dct.ID = gt.DM_CHI_TIEU_ID
        JOIN SCMS.BC_THANH_VIEN   bt  ON bt.ID  = gt.BC_THANH_VIEN_ID
        WHERE dct.MA_CHI_TIEU      = 'TY_LE_VON_KHA_DUNG'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'TY_LE_VON_KHA_DUNG'  -- Xác nhận lại
    AND TRUNC(bt.NGAY_SO_LIEU)   = nd.ngay
--    AND bt.CTCK_THONG_TIN_ID     = :p_ctck_id
    AND bt.TRANG_THAI            IN (4, 6)
    AND bt.XOA_DU_LIEU            = 0
ORDER BY nd.ngay;</t>
        </is>
      </c>
      <c r="U135" s="386" t="n"/>
      <c r="V135" s="395" t="n"/>
      <c r="W135" s="395" t="n"/>
      <c r="X135" s="395" t="n"/>
      <c r="Y135" s="14" t="inlineStr">
        <is>
          <t>Done</t>
        </is>
      </c>
      <c r="Z135" s="395" t="n"/>
      <c r="AA135" s="395" t="n"/>
      <c r="AB135" s="395" t="n"/>
      <c r="AC135" s="395" t="n"/>
      <c r="AD135" s="395" t="n"/>
      <c r="AE135" s="395" t="n"/>
    </row>
    <row r="136" ht="51.75" customHeight="1" s="380">
      <c r="A136" s="94" t="n">
        <v>26</v>
      </c>
      <c r="B136" s="81" t="n"/>
      <c r="C136" s="81" t="inlineStr">
        <is>
          <t>Dashboard Tra cứu hồ sơ 360 CTCK &gt;&gt; Dashboard tình hình tài chính của CTCK &gt;&gt; Biểu đồ Các chỉ tiêu chung</t>
        </is>
      </c>
      <c r="D136" s="12" t="inlineStr">
        <is>
          <t>Chiều thời gian theo quý</t>
        </is>
      </c>
      <c r="E136" s="12" t="inlineStr">
        <is>
          <t>Chiều thời gian theo quý</t>
        </is>
      </c>
      <c r="F136" s="386" t="inlineStr">
        <is>
          <t>Dashboard</t>
        </is>
      </c>
      <c r="G136" s="386" t="inlineStr">
        <is>
          <t>Chiều</t>
        </is>
      </c>
      <c r="H136" s="386" t="inlineStr">
        <is>
          <t>Trùng</t>
        </is>
      </c>
      <c r="I136" s="386" t="n"/>
      <c r="J136" s="386" t="inlineStr">
        <is>
          <t>SCMS</t>
        </is>
      </c>
      <c r="K136" s="395" t="n"/>
      <c r="L136" s="395" t="inlineStr">
        <is>
          <t>X</t>
        </is>
      </c>
      <c r="M136" s="395" t="n"/>
      <c r="N136" s="395" t="inlineStr">
        <is>
          <t>Done</t>
        </is>
      </c>
      <c r="O136" s="401" t="n"/>
      <c r="P136" s="395" t="n"/>
      <c r="Q136" s="20" t="inlineStr">
        <is>
          <t>Ngày dữ liệu</t>
        </is>
      </c>
      <c r="R136" s="395" t="n"/>
      <c r="S136" s="395" t="n"/>
      <c r="T136" s="386" t="inlineStr">
        <is>
          <t>-- Chiều thời gian theo quý
SELECT DISTINCT
    ADD_MONTHS(TRUNC(min_ngay, 'Q'), (LEVEL - 1) * 3) AS quy
FROM (SELECT MIN(NGAY_SO_LIEU) AS min_ngay FROM SCMS.BC_THANH_VIEN)
CONNECT BY ADD_MONTHS(TRUNC(min_ngay, 'Q'), (LEVEL - 1) * 3) &lt;= TRUNC(SYSDATE, 'Q')
ORDER BY quy;</t>
        </is>
      </c>
      <c r="U136" s="386" t="n"/>
      <c r="V136" s="395" t="n"/>
      <c r="W136" s="395" t="n"/>
      <c r="X136" s="395" t="n"/>
      <c r="Y136" s="14" t="inlineStr">
        <is>
          <t>Done</t>
        </is>
      </c>
      <c r="Z136" s="395" t="n"/>
      <c r="AA136" s="395" t="n"/>
      <c r="AB136" s="395" t="n"/>
      <c r="AC136" s="395" t="n"/>
      <c r="AD136" s="395" t="n"/>
      <c r="AE136" s="395" t="n"/>
    </row>
    <row r="137" ht="63" customHeight="1" s="380">
      <c r="A137" s="94" t="n">
        <v>26</v>
      </c>
      <c r="B137" s="386" t="n"/>
      <c r="C137" s="386" t="inlineStr">
        <is>
          <t>Dashboard Tra cứu hồ sơ 360 CTCK &gt;&gt; Dashboard tình hình tài chính của CTCK &gt;&gt; Biểu đồ Các chỉ tiêu chung</t>
        </is>
      </c>
      <c r="D137" s="12" t="inlineStr">
        <is>
          <t>Doanh thu YTD</t>
        </is>
      </c>
      <c r="E137" s="12" t="inlineStr">
        <is>
          <t>Tổng doanh thu lũy kế</t>
        </is>
      </c>
      <c r="F137" s="386" t="inlineStr">
        <is>
          <t>Dashboard</t>
        </is>
      </c>
      <c r="G137" s="386" t="inlineStr">
        <is>
          <t>Chỉ tiêu cơ sở</t>
        </is>
      </c>
      <c r="H137" s="386" t="inlineStr">
        <is>
          <t>TB</t>
        </is>
      </c>
      <c r="I137" s="386" t="inlineStr">
        <is>
          <t>Ngày, CTCK</t>
        </is>
      </c>
      <c r="J137" s="386" t="inlineStr">
        <is>
          <t>SCMS</t>
        </is>
      </c>
      <c r="K137" s="395" t="inlineStr">
        <is>
          <t>X</t>
        </is>
      </c>
      <c r="L137" s="395" t="inlineStr">
        <is>
          <t>X</t>
        </is>
      </c>
      <c r="M137" s="395" t="n"/>
      <c r="N137" s="395" t="inlineStr">
        <is>
          <t>Done</t>
        </is>
      </c>
      <c r="O137" s="401" t="n"/>
      <c r="P137" s="395" t="n"/>
      <c r="Q137" s="397" t="inlineStr">
        <is>
          <t>SCMS.BC_BAO_CAO_GT
SCMS.DM_CHI_TIEU
SCMS.BC_THANH_VIEN</t>
        </is>
      </c>
      <c r="R137" s="397" t="inlineStr">
        <is>
          <t>gt.GIA_TRI,
gt.DM_CHI_TIEU_ID,
gt.BC_THANH_VIEN_ID,
bt.ID,
bt.NGAY_SO_LIEU,
bt.TRANG_THAI,
bt.XOA_DU_LIEU,
dct.ID,
dct.MA_CHI_TIEU</t>
        </is>
      </c>
      <c r="S137" s="395" t="n"/>
      <c r="T137" s="79" t="inlineStr">
        <is>
          <t>-- Doanh thu YTD
SELECT
    nd.ngay,
    TO_NUMBER(gt.GIA_TRI) AS doanh_thu_ytd
FROM (
    SELECT TRUNC(min_ngay) + LEVEL - 1 AS ngay
    FROM (
        SELECT MIN(bt.NGAY_SO_LIEU) AS min_ngay
        FROM SCMS.BC_BAO_CAO_GT   gt
        JOIN SCMS.DM_CHI_TIEU     dct ON dct.ID = gt.DM_CHI_TIEU_ID
        JOIN SCMS.BC_THANH_VIEN   bt  ON bt.ID  = gt.BC_THANH_VIEN_ID
        WHERE dct.MA_CHI_TIEU      = 'TONG_DOANH_THU'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'TONG_DOANH_THU'  -- Xác nhận
    AND TRUNC(bt.NGAY_SO_LIEU)   = nd.ngay
--    AND bt.CTCK_THONG_TIN_ID     = :p_ctck_id
    AND bt.TRANG_THAI            IN (4, 6)
    AND bt.XOA_DU_LIEU            = 0
--    AND TRUNC(bt.NGAY_SO_LIEU) BETWEEN TRUNC(:p_tu, 'Q') AND LAST_DAY(ADD_MONTHS(TRUNC(:p_den, 'Q'), 2))
ORDER BY nd.ngay;</t>
        </is>
      </c>
      <c r="U137" s="386" t="n"/>
      <c r="V137" s="395" t="n"/>
      <c r="W137" s="395" t="n"/>
      <c r="X137" s="395" t="n"/>
      <c r="Y137" s="14" t="inlineStr">
        <is>
          <t>Done</t>
        </is>
      </c>
      <c r="Z137" s="395" t="n"/>
      <c r="AA137" s="395" t="n"/>
      <c r="AB137" s="395" t="n"/>
      <c r="AC137" s="395" t="n"/>
      <c r="AD137" s="395" t="n"/>
      <c r="AE137" s="395" t="n"/>
    </row>
    <row r="138" ht="63.75" customHeight="1" s="380">
      <c r="A138" s="94" t="n">
        <v>26</v>
      </c>
      <c r="B138" s="386" t="n"/>
      <c r="C138" s="386" t="inlineStr">
        <is>
          <t>Dashboard Tra cứu hồ sơ 360 CTCK &gt;&gt; Dashboard tình hình tài chính của CTCK &gt;&gt; Biểu đồ Các chỉ tiêu chung</t>
        </is>
      </c>
      <c r="D138" s="12" t="inlineStr">
        <is>
          <t>Lợi nhuận sau thuế YTD</t>
        </is>
      </c>
      <c r="E138" s="12" t="inlineStr">
        <is>
          <t>Tổng lợi nhuận sau thuế lũy kế</t>
        </is>
      </c>
      <c r="F138" s="386" t="inlineStr">
        <is>
          <t>Dashboard</t>
        </is>
      </c>
      <c r="G138" s="386" t="inlineStr">
        <is>
          <t>Chỉ tiêu cơ sở</t>
        </is>
      </c>
      <c r="H138" s="386" t="inlineStr">
        <is>
          <t>TB</t>
        </is>
      </c>
      <c r="I138" s="386" t="inlineStr">
        <is>
          <t>Ngày, CTCK</t>
        </is>
      </c>
      <c r="J138" s="386" t="inlineStr">
        <is>
          <t>SCMS</t>
        </is>
      </c>
      <c r="K138" s="395" t="inlineStr">
        <is>
          <t>X</t>
        </is>
      </c>
      <c r="L138" s="395" t="inlineStr">
        <is>
          <t>X</t>
        </is>
      </c>
      <c r="M138" s="395" t="n"/>
      <c r="N138" s="395" t="inlineStr">
        <is>
          <t>Done</t>
        </is>
      </c>
      <c r="O138" s="401" t="n"/>
      <c r="P138" s="395" t="n"/>
      <c r="Q138" s="397" t="inlineStr">
        <is>
          <t>SCMS.BC_BAO_CAO_GT
SCMS.DM_CHI_TIEU
SCMS.BC_THANH_VIEN</t>
        </is>
      </c>
      <c r="R138" s="397" t="inlineStr">
        <is>
          <t>gt.GIA_TRI,
gt.DM_CHI_TIEU_ID,
gt.BC_THANH_VIEN_ID,
bt.ID,
bt.NGAY_SO_LIEU,
bt.TRANG_THAI,
bt.XOA_DU_LIEU,
dct.ID,
dct.MA_CHI_TIEU</t>
        </is>
      </c>
      <c r="S138" s="395" t="n"/>
      <c r="T138" s="79" t="inlineStr">
        <is>
          <t>-- Lợi nhuận sau thuế YTD
SELECT
    nd.ngay,
    TO_NUMBER(gt.GIA_TRI) AS lnst_ytd
FROM (
    SELECT TRUNC(min_ngay) + LEVEL - 1 AS ngay
    FROM (
        SELECT MIN(bt.NGAY_SO_LIEU) AS min_ngay
        FROM SCMS.BC_BAO_CAO_GT   gt
        JOIN SCMS.DM_CHI_TIEU     dct ON dct.ID = gt.DM_CHI_TIEU_ID
        JOIN SCMS.BC_THANH_VIEN   bt  ON bt.ID  = gt.BC_THANH_VIEN_ID
        WHERE dct.MA_CHI_TIEU      = 'LOI_NHUAN_SAU_THUE'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'LOI_NHUAN_SAU_THUE'  -- Xác nhận
    AND TRUNC(bt.NGAY_SO_LIEU)   = nd.ngay
--    AND bt.CTCK_THONG_TIN_ID     = :p_ctck_id
    AND bt.TRANG_THAI            IN (4, 6)
    AND bt.XOA_DU_LIEU            = 0
--    AND TRUNC(bt.NGAY_SO_LIEU) BETWEEN TRUNC(:p_tu, 'Q') AND LAST_DAY(ADD_MONTHS(TRUNC(:p_den, 'Q'), 2))
ORDER BY nd.ngay;</t>
        </is>
      </c>
      <c r="U138" s="386" t="n"/>
      <c r="V138" s="395" t="n"/>
      <c r="W138" s="395" t="n"/>
      <c r="X138" s="395" t="n"/>
      <c r="Y138" s="14" t="inlineStr">
        <is>
          <t>Done</t>
        </is>
      </c>
      <c r="Z138" s="395" t="n"/>
      <c r="AA138" s="395" t="n"/>
      <c r="AB138" s="395" t="n"/>
      <c r="AC138" s="395" t="n"/>
      <c r="AD138" s="395" t="n"/>
      <c r="AE138" s="395" t="n"/>
    </row>
    <row r="139" ht="87" customHeight="1" s="380">
      <c r="A139" s="94" t="n">
        <v>26</v>
      </c>
      <c r="B139" s="386" t="n"/>
      <c r="C139" s="386" t="inlineStr">
        <is>
          <t>Dashboard Tra cứu hồ sơ 360 CTCK &gt;&gt; Dashboard tình hình tài chính của CTCK &gt;&gt; Biểu đồ Các chỉ tiêu chung</t>
        </is>
      </c>
      <c r="D139" s="12" t="inlineStr">
        <is>
          <t>ROA (%)</t>
        </is>
      </c>
      <c r="E139" s="12" t="inlineStr">
        <is>
          <t>Tỷ lệ ROA trên số tổng</t>
        </is>
      </c>
      <c r="F139" s="386" t="inlineStr">
        <is>
          <t>Dashboard</t>
        </is>
      </c>
      <c r="G139" s="386" t="inlineStr">
        <is>
          <t>Chỉ tiêu phái sinh</t>
        </is>
      </c>
      <c r="H139" s="386" t="inlineStr">
        <is>
          <t>TB</t>
        </is>
      </c>
      <c r="I139" s="386" t="inlineStr">
        <is>
          <t>Ngày, CTCK</t>
        </is>
      </c>
      <c r="J139" s="386" t="inlineStr">
        <is>
          <t>SCMS</t>
        </is>
      </c>
      <c r="K139" s="395" t="n"/>
      <c r="L139" s="395" t="inlineStr">
        <is>
          <t>X</t>
        </is>
      </c>
      <c r="M139" s="395" t="n"/>
      <c r="N139" s="395" t="inlineStr">
        <is>
          <t>Done</t>
        </is>
      </c>
      <c r="O139" s="401" t="n"/>
      <c r="P139" s="395" t="n"/>
      <c r="Q139" s="397" t="inlineStr">
        <is>
          <t>SCMS.BC_BAO_CAO_GT
SCMS.DM_CHI_TIEU
SCMS.BC_THANH_VIEN</t>
        </is>
      </c>
      <c r="R139" s="397" t="inlineStr">
        <is>
          <t>gt.GIA_TRI,
gt.DM_CHI_TIEU_ID,
gt.BC_THANH_VIEN_ID,
bt.ID,
bt.NGAY_SO_LIEU,
bt.TRANG_THAI,
bt.XOA_DU_LIEU,
dct.ID,
dct.MA_CHI_TIEU</t>
        </is>
      </c>
      <c r="S139" s="395" t="n"/>
      <c r="T139" s="79" t="inlineStr">
        <is>
          <t>-- ROA (%)
WITH chiso AS (
    SELECT TRUNC(bt.NGAY_SO_LIEU) AS ngay, dct.MA_CHI_TIEU, TO_NUMBER(gt.GIA_TRI) AS gia_tri
    FROM SCMS.BC_BAO_CAO_GT gt
    JOIN SCMS.DM_CHI_TIEU   dct ON dct.ID = gt.DM_CHI_TIEU_ID
    JOIN SCMS.BC_THANH_VIEN bt  ON bt.ID  = gt.BC_THANH_VIEN_ID
    WHERE dct.MA_CHI_TIEU     IN ('LOI_NHUAN_SAU_THUE', 'TONG_TAI_SAN')  -- Xác nhận
--      AND bt.CTCK_THONG_TIN_ID = :p_ctck_id
      AND bt.TRANG_THAI        IN (4, 6)
      AND bt.XOA_DU_LIEU        = 0
)
SELECT
    nd.ngay,
    ROUND(lnst.gia_tri / NULLIF((ts_dau.gia_tri + ts_cuoi.gia_tri) / 2, 0) * 100, 2) AS roa_pct
FROM (
    SELECT TRUNC(min_ngay) + LEVEL - 1 AS ngay
    FROM (SELECT MIN(ngay) AS min_ngay FROM chiso WHERE MA_CHI_TIEU = 'LOI_NHUAN_SAU_THUE')
    CONNECT BY TRUNC(min_ngay) + LEVEL - 1 &lt;= TRUNC(SYSDATE)
) nd
LEFT JOIN chiso lnst    ON lnst.ngay    = nd.ngay
                       AND lnst.MA_CHI_TIEU    = 'LOI_NHUAN_SAU_THUE'
                       AND lnst.ngay    BETWEEN TRUNC(:p_tu, 'Q') AND LAST_DAY(ADD_MONTHS(TRUNC(:p_den, 'Q'), 2))
LEFT JOIN chiso ts_dau  ON ts_dau.ngay  = LAST_DAY(ADD_MONTHS(TRUNC(:p_tu, 'Q'), -1))
                       AND ts_dau.MA_CHI_TIEU  = 'TONG_TAI_SAN'
LEFT JOIN chiso ts_cuoi ON ts_cuoi.ngay = LAST_DAY(ADD_MONTHS(TRUNC(:p_den, 'Q'),  2))
                       AND ts_cuoi.MA_CHI_TIEU = 'TONG_TAI_SAN'
ORDER BY nd.ngay;</t>
        </is>
      </c>
      <c r="U139" s="386" t="n"/>
      <c r="V139" s="395" t="n"/>
      <c r="W139" s="395" t="n"/>
      <c r="X139" s="395" t="n"/>
      <c r="Y139" s="14" t="inlineStr">
        <is>
          <t>Done</t>
        </is>
      </c>
      <c r="Z139" s="395" t="n"/>
      <c r="AA139" s="395" t="n"/>
      <c r="AB139" s="395" t="n"/>
      <c r="AC139" s="395" t="n"/>
      <c r="AD139" s="395" t="n"/>
      <c r="AE139" s="395" t="n"/>
    </row>
    <row r="140" ht="87" customHeight="1" s="380">
      <c r="A140" s="94" t="n">
        <v>26</v>
      </c>
      <c r="B140" s="386" t="n"/>
      <c r="C140" s="386" t="inlineStr">
        <is>
          <t>Dashboard Tra cứu hồ sơ 360 CTCK &gt;&gt; Dashboard tình hình tài chính của CTCK &gt;&gt; Biểu đồ Các chỉ tiêu chung</t>
        </is>
      </c>
      <c r="D140" s="12" t="inlineStr">
        <is>
          <t>ROE (%)</t>
        </is>
      </c>
      <c r="E140" s="12" t="inlineStr">
        <is>
          <t>Tỷ lệ ROE trên số tổng</t>
        </is>
      </c>
      <c r="F140" s="386" t="inlineStr">
        <is>
          <t>Dashboard</t>
        </is>
      </c>
      <c r="G140" s="386" t="inlineStr">
        <is>
          <t>Chỉ tiêu phái sinh</t>
        </is>
      </c>
      <c r="H140" s="386" t="inlineStr">
        <is>
          <t>TB</t>
        </is>
      </c>
      <c r="I140" s="386" t="inlineStr">
        <is>
          <t>Ngày, CTCK</t>
        </is>
      </c>
      <c r="J140" s="386" t="inlineStr">
        <is>
          <t>SCMS</t>
        </is>
      </c>
      <c r="K140" s="395" t="n"/>
      <c r="L140" s="395" t="inlineStr">
        <is>
          <t>X</t>
        </is>
      </c>
      <c r="M140" s="395" t="n"/>
      <c r="N140" s="395" t="inlineStr">
        <is>
          <t>Done</t>
        </is>
      </c>
      <c r="O140" s="401" t="n"/>
      <c r="P140" s="395" t="n"/>
      <c r="Q140" s="397" t="inlineStr">
        <is>
          <t>SCMS.BC_BAO_CAO_GT
SCMS.DM_CHI_TIEU
SCMS.BC_THANH_VIEN</t>
        </is>
      </c>
      <c r="R140" s="397" t="inlineStr">
        <is>
          <t>gt.GIA_TRI,
gt.DM_CHI_TIEU_ID,
gt.BC_THANH_VIEN_ID,
bt.ID,
bt.NGAY_SO_LIEU,
bt.TRANG_THAI,
bt.XOA_DU_LIEU,
dct.ID,
dct.MA_CHI_TIEU</t>
        </is>
      </c>
      <c r="S140" s="395" t="n"/>
      <c r="T140" s="79" t="inlineStr">
        <is>
          <t>-- ROE (%)
WITH chiso AS (
    SELECT TRUNC(bt.NGAY_SO_LIEU) AS ngay, dct.MA_CHI_TIEU, TO_NUMBER(gt.GIA_TRI) AS gia_tri
    FROM SCMS.BC_BAO_CAO_GT gt
    JOIN SCMS.DM_CHI_TIEU   dct ON dct.ID = gt.DM_CHI_TIEU_ID
    JOIN SCMS.BC_THANH_VIEN bt  ON bt.ID  = gt.BC_THANH_VIEN_ID
    WHERE dct.MA_CHI_TIEU     IN ('LOI_NHUAN_SAU_THUE', 'VON_CHU_SO_HUU')  -- Xác nhận
--      AND bt.CTCK_THONG_TIN_ID = :p_ctck_id
      AND bt.TRANG_THAI        IN (4, 6)
      AND bt.XOA_DU_LIEU        = 0
)
SELECT
    nd.ngay,
    ROUND(lnst.gia_tri / NULLIF((vcsh_dau.gia_tri + vcsh_cuoi.gia_tri) / 2, 0) * 100, 2) AS roe_pct
FROM (
    SELECT TRUNC(min_ngay) + LEVEL - 1 AS ngay
    FROM (SELECT MIN(ngay) AS min_ngay FROM chiso WHERE MA_CHI_TIEU = 'LOI_NHUAN_SAU_THUE')
    CONNECT BY TRUNC(min_ngay) + LEVEL - 1 &lt;= TRUNC(SYSDATE)
) nd
LEFT JOIN chiso lnst      ON lnst.ngay      = nd.ngay
                         AND lnst.MA_CHI_TIEU      = 'LOI_NHUAN_SAU_THUE'
                         AND lnst.ngay      BETWEEN TRUNC(:p_tu, 'Q') AND LAST_DAY(ADD_MONTHS(TRUNC(:p_den, 'Q'), 2))
LEFT JOIN chiso vcsh_dau  ON vcsh_dau.ngay  = LAST_DAY(ADD_MONTHS(TRUNC(:p_tu, 'Q'), -1))
                         AND vcsh_dau.MA_CHI_TIEU  = 'VON_CHU_SO_HUU'
LEFT JOIN chiso vcsh_cuoi ON vcsh_cuoi.ngay = LAST_DAY(ADD_MONTHS(TRUNC(:p_den, 'Q'),  2))
                         AND vcsh_cuoi.MA_CHI_TIEU = 'VON_CHU_SO_HUU'
ORDER BY nd.ngay;</t>
        </is>
      </c>
      <c r="U140" s="386" t="n"/>
      <c r="V140" s="395" t="n"/>
      <c r="W140" s="395" t="n"/>
      <c r="X140" s="395" t="n"/>
      <c r="Y140" s="14" t="inlineStr">
        <is>
          <t>Done</t>
        </is>
      </c>
      <c r="Z140" s="395" t="n"/>
      <c r="AA140" s="395" t="n"/>
      <c r="AB140" s="395" t="n"/>
      <c r="AC140" s="395" t="n"/>
      <c r="AD140" s="395" t="n"/>
      <c r="AE140" s="395" t="n"/>
    </row>
    <row r="141" ht="49.5" customHeight="1" s="380">
      <c r="A141" s="94" t="n">
        <v>27</v>
      </c>
      <c r="B141" s="81" t="n"/>
      <c r="C141" s="81" t="inlineStr">
        <is>
          <t>Dashboard Tra cứu hồ sơ 360 CTCK &gt;&gt; Dashboard tình hình tài chính của CTCK &gt;&gt; Biểu đồ Lịch sử báo cáo tài chính</t>
        </is>
      </c>
      <c r="D141" s="12" t="inlineStr">
        <is>
          <t>Chiều thời gian theo quý</t>
        </is>
      </c>
      <c r="E141" s="12" t="inlineStr">
        <is>
          <t>Chiều thời gian theo quý</t>
        </is>
      </c>
      <c r="F141" s="386" t="inlineStr">
        <is>
          <t>Dashboard</t>
        </is>
      </c>
      <c r="G141" s="386" t="inlineStr">
        <is>
          <t>Chiều</t>
        </is>
      </c>
      <c r="H141" s="386" t="inlineStr">
        <is>
          <t>Trùng</t>
        </is>
      </c>
      <c r="I141" s="386" t="n"/>
      <c r="J141" s="386" t="inlineStr">
        <is>
          <t>SCMS</t>
        </is>
      </c>
      <c r="K141" s="395" t="n"/>
      <c r="L141" s="395" t="inlineStr">
        <is>
          <t>X</t>
        </is>
      </c>
      <c r="M141" s="395" t="n"/>
      <c r="N141" s="395" t="inlineStr">
        <is>
          <t>Done</t>
        </is>
      </c>
      <c r="O141" s="401" t="n"/>
      <c r="P141" s="395" t="n"/>
      <c r="Q141" s="20" t="inlineStr">
        <is>
          <t>Ngày dữ liệu</t>
        </is>
      </c>
      <c r="R141" s="395" t="n"/>
      <c r="S141" s="395" t="n"/>
      <c r="T141" s="386" t="inlineStr">
        <is>
          <t>-- Chiều thời gian theo quý
SELECT DISTINCT
    ADD_MONTHS(TRUNC(min_ngay, 'Q'), (LEVEL - 1) * 3) AS quy
FROM (SELECT MIN(NGAY_SO_LIEU) AS min_ngay FROM SCMS.BC_THANH_VIEN)
CONNECT BY ADD_MONTHS(TRUNC(min_ngay, 'Q'), (LEVEL - 1) * 3) &lt;= TRUNC(SYSDATE, 'Q')
ORDER BY quy;</t>
        </is>
      </c>
      <c r="U141" s="386" t="n"/>
      <c r="V141" s="395" t="n"/>
      <c r="W141" s="395" t="n"/>
      <c r="X141" s="395" t="n"/>
      <c r="Y141" s="14" t="inlineStr">
        <is>
          <t>Done</t>
        </is>
      </c>
      <c r="Z141" s="395" t="n"/>
      <c r="AA141" s="395" t="n"/>
      <c r="AB141" s="395" t="n"/>
      <c r="AC141" s="395" t="n"/>
      <c r="AD141" s="395" t="n"/>
      <c r="AE141" s="395" t="n"/>
    </row>
    <row r="142" ht="70" customHeight="1" s="380">
      <c r="A142" s="94" t="n">
        <v>27</v>
      </c>
      <c r="B142" s="386" t="n"/>
      <c r="C142" s="386" t="inlineStr">
        <is>
          <t>Dashboard Tra cứu hồ sơ 360 CTCK &gt;&gt; Dashboard tình hình tài chính của CTCK &gt;&gt; Biểu đồ Lịch sử báo cáo tài chính</t>
        </is>
      </c>
      <c r="D142" s="12" t="inlineStr">
        <is>
          <t>Kỳ báo cáo</t>
        </is>
      </c>
      <c r="E142" s="12" t="inlineStr">
        <is>
          <t>Kỳ báo cáo của BCTC đã nộp</t>
        </is>
      </c>
      <c r="F142" s="386" t="inlineStr">
        <is>
          <t>Dashboard</t>
        </is>
      </c>
      <c r="G142" s="386" t="inlineStr">
        <is>
          <t>Chỉ tiêu cơ sở</t>
        </is>
      </c>
      <c r="H142" s="386" t="inlineStr">
        <is>
          <t>TB</t>
        </is>
      </c>
      <c r="I142" s="386" t="inlineStr">
        <is>
          <t>Ngày, CTCK</t>
        </is>
      </c>
      <c r="J142" s="386" t="inlineStr">
        <is>
          <t>SCMS</t>
        </is>
      </c>
      <c r="K142" s="395" t="inlineStr">
        <is>
          <t>X</t>
        </is>
      </c>
      <c r="L142" s="395" t="inlineStr">
        <is>
          <t>X</t>
        </is>
      </c>
      <c r="M142" s="395" t="inlineStr">
        <is>
          <t>X</t>
        </is>
      </c>
      <c r="N142" s="395" t="inlineStr">
        <is>
          <t>Done</t>
        </is>
      </c>
      <c r="O142" s="401" t="n"/>
      <c r="P142" s="395" t="n"/>
      <c r="Q142" s="397" t="inlineStr">
        <is>
          <t>SCMS.BC_THANH_VIEN
SCMS.BM_BAO_CAO
SCMS.BM_BAO_CAO_DINH_KY
SCMS.BC_BAO_CAO_GT
SCMS.DM_CHI_TIEU</t>
        </is>
      </c>
      <c r="R142" s="397" t="inlineStr">
        <is>
          <t>bt.ID,
bt.NGAY_SO_LIEU,
bt.NGAY_GUI,
bt.BM_BAO_CAO_ID,
bt.BM_BAO_CAO_DINH_KY_ID,
bt.TRANG_THAI,
bt.XOA_DU_LIEU,
bdk.ID,
bdk.T,
bdk.THOI_GIAN,
bm.ID,
bm.MA_BAO_CAO,
dct.ID,
dct.MA_CHI_TIEU,
gt.GIA_TRI,
gt.DM_CHI_TIEU_ID,
gt.BC_THANH_VIEN_ID</t>
        </is>
      </c>
      <c r="S142" s="395" t="n"/>
      <c r="T142" s="388" t="inlineStr">
        <is>
          <t>-- Biểu đồ Lịch sử báo cáo tài chính
WITH
bctc AS (
    SELECT
        bt.ID AS bc_thanh_vien_id,
        bt.NGAY_SO_LIEU AS ky_bao_cao,
        bt.NGAY_GUI AS ngay_nop,
        CASE
            WHEN bt.NGAY_GUI &lt;= bt.NGAY_SO_LIEU + bdk.T + bdk.THOI_GIAN  -- THOI_GIAN_MUON_NHAT
            THEN 'Đúng hạn'
            ELSE 'Chậm'
        END AS trang_thai  -- Xác nhận công thức tính hạn nộp
    FROM SCMS.BC_THANH_VIEN       bt
    JOIN SCMS.BM_BAO_CAO          bm  ON bm.ID  = bt.BM_BAO_CAO_ID
    JOIN SCMS.BM_BAO_CAO_DINH_KY  bdk ON bdk.ID = bt.BM_BAO_CAO_DINH_KY_ID
    WHERE 1 = 1
--      AND bt.CTCK_THONG_TIN_ID = :p_ctck_id
      AND bt.TRANG_THAI        IN (4, 6)
      AND bt.XOA_DU_LIEU        = 0
      AND bm.MA_BAO_CAO        IN (
              'BCTC_HOAT_DONG',   -- Xác nhận: Báo cáo hoạt động BCTC
              'BCTC_CAN_DOI_KT'   -- Xác nhận: Bảng cân đối kế toán BCTC
          )
),
chiso AS (
    SELECT
        bt.ID AS bc_thanh_vien_id,
        dct.MA_CHI_TIEU,
        TO_NUMBER(gt.GIA_TRI) AS gia_tri
    FROM SCMS.BC_BAO_CAO_GT   gt
    JOIN SCMS.DM_CHI_TIEU     dct ON dct.ID = gt.DM_CHI_TIEU_ID
    JOIN SCMS.BC_THANH_VIEN   bt  ON bt.ID  = gt.BC_THANH_VIEN_ID
    WHERE dct.MA_CHI_TIEU     IN (
              'TONG_DOANH_THU',       -- Xác nhận
              'LOI_NHUAN_SAU_THUE',   -- Xác nhận
              'TONG_TAI_SAN',         -- Xác nhận
              'VON_CHU_SO_HUU'        -- Xác nhận
          )
--      AND bt.CTCK_THONG_TIN_ID = :p_ctck_id
      AND bt.TRANG_THAI        IN (4, 6)
      AND bt.XOA_DU_LIEU        = 0
)
SELECT
    b.ky_bao_cao,
    ROUND(SUM(CASE WHEN c.MA_CHI_TIEU = 'TONG_DOANH_THU'
                   THEN c.gia_tri END) / 1000000000, 2)  AS doanh_thu_ty_vnd,  -- Xác nhận đơn vị
    ROUND(SUM(CASE WHEN c.MA_CHI_TIEU = 'LOI_NHUAN_SAU_THUE'
                   THEN c.gia_tri END) / 1000000000, 2)  AS loi_nhuan_ty_vnd,
    ROUND(
        SUM(CASE WHEN c.MA_CHI_TIEU = 'LOI_NHUAN_SAU_THUE' THEN c.gia_tri END)
        / NULLIF(SUM(CASE WHEN c.MA_CHI_TIEU = 'TONG_TAI_SAN' THEN c.gia_tri END), 0)
        * 100
    , 2) AS roa_pct,
    ROUND(
        SUM(CASE WHEN c.MA_CHI_TIEU = 'LOI_NHUAN_SAU_THUE' THEN c.gia_tri END)
        / NULLIF(SUM(CASE WHEN c.MA_CHI_TIEU = 'VON_CHU_SO_HUU' THEN c.gia_tri END), 0)
        * 100
    , 2) AS roe_pct,
    b.ngay_nop,
    b.trang_thai
FROM bctc b
LEFT JOIN chiso c ON c.bc_thanh_vien_id = b.bc_thanh_vien_id
GROUP BY b.ky_bao_cao, b.ngay_nop, b.trang_thai
ORDER BY b.ky_bao_cao DESC;</t>
        </is>
      </c>
      <c r="U142" s="386" t="n"/>
      <c r="V142" s="395" t="n"/>
      <c r="W142" s="395" t="n"/>
      <c r="X142" s="395" t="n"/>
      <c r="Y142" s="14" t="inlineStr">
        <is>
          <t>Done</t>
        </is>
      </c>
      <c r="Z142" s="395" t="n"/>
      <c r="AA142" s="395" t="n"/>
      <c r="AB142" s="395" t="n"/>
      <c r="AC142" s="395" t="n"/>
      <c r="AD142" s="395" t="n"/>
      <c r="AE142" s="395" t="n"/>
    </row>
    <row r="143" ht="70" customHeight="1" s="380">
      <c r="A143" s="94" t="n">
        <v>27</v>
      </c>
      <c r="B143" s="386" t="n"/>
      <c r="C143" s="386" t="inlineStr">
        <is>
          <t>Dashboard Tra cứu hồ sơ 360 CTCK &gt;&gt; Dashboard tình hình tài chính của CTCK &gt;&gt; Biểu đồ Lịch sử báo cáo tài chính</t>
        </is>
      </c>
      <c r="D143" s="12" t="inlineStr">
        <is>
          <t>Doanh thu (tỷ VNĐ)</t>
        </is>
      </c>
      <c r="E143" s="12" t="inlineStr">
        <is>
          <t>Doanh thu (tỷ VNĐ) của từng BCTC đã nộp</t>
        </is>
      </c>
      <c r="F143" s="386" t="inlineStr">
        <is>
          <t>Dashboard</t>
        </is>
      </c>
      <c r="G143" s="386" t="inlineStr">
        <is>
          <t>Chỉ tiêu cơ sở</t>
        </is>
      </c>
      <c r="H143" s="386" t="inlineStr">
        <is>
          <t>TB</t>
        </is>
      </c>
      <c r="I143" s="386" t="inlineStr">
        <is>
          <t>Ngày, CTCK</t>
        </is>
      </c>
      <c r="J143" s="386" t="inlineStr">
        <is>
          <t>SCMS</t>
        </is>
      </c>
      <c r="K143" s="395" t="inlineStr">
        <is>
          <t>X</t>
        </is>
      </c>
      <c r="L143" s="395" t="inlineStr">
        <is>
          <t>X</t>
        </is>
      </c>
      <c r="M143" s="395" t="inlineStr">
        <is>
          <t>X</t>
        </is>
      </c>
      <c r="N143" s="395" t="inlineStr">
        <is>
          <t>Done</t>
        </is>
      </c>
      <c r="O143" s="401" t="n"/>
      <c r="P143" s="395" t="n"/>
      <c r="S143" s="395" t="n"/>
      <c r="U143" s="386" t="n"/>
      <c r="V143" s="395" t="n"/>
      <c r="W143" s="395" t="n"/>
      <c r="X143" s="395" t="n"/>
      <c r="Y143" s="14" t="inlineStr">
        <is>
          <t>Done</t>
        </is>
      </c>
      <c r="Z143" s="395" t="n"/>
      <c r="AA143" s="395" t="n"/>
      <c r="AB143" s="395" t="n"/>
      <c r="AC143" s="395" t="n"/>
      <c r="AD143" s="395" t="n"/>
      <c r="AE143" s="395" t="n"/>
    </row>
    <row r="144" ht="70" customHeight="1" s="380">
      <c r="A144" s="94" t="n">
        <v>27</v>
      </c>
      <c r="B144" s="386" t="n"/>
      <c r="C144" s="386" t="inlineStr">
        <is>
          <t>Dashboard Tra cứu hồ sơ 360 CTCK &gt;&gt; Dashboard tình hình tài chính của CTCK &gt;&gt; Biểu đồ Lịch sử báo cáo tài chính</t>
        </is>
      </c>
      <c r="D144" s="12" t="inlineStr">
        <is>
          <t>Lợi nhuận (tỷ VNĐ)</t>
        </is>
      </c>
      <c r="E144" s="12" t="inlineStr">
        <is>
          <t>Lợi nhuận (tỷ VNĐ) của từng BCTC đã nộp</t>
        </is>
      </c>
      <c r="F144" s="386" t="inlineStr">
        <is>
          <t>Dashboard</t>
        </is>
      </c>
      <c r="G144" s="386" t="inlineStr">
        <is>
          <t>Chỉ tiêu cơ sở</t>
        </is>
      </c>
      <c r="H144" s="386" t="inlineStr">
        <is>
          <t>TB</t>
        </is>
      </c>
      <c r="I144" s="386" t="inlineStr">
        <is>
          <t>Ngày, CTCK</t>
        </is>
      </c>
      <c r="J144" s="386" t="inlineStr">
        <is>
          <t>SCMS</t>
        </is>
      </c>
      <c r="K144" s="395" t="inlineStr">
        <is>
          <t>X</t>
        </is>
      </c>
      <c r="L144" s="395" t="inlineStr">
        <is>
          <t>X</t>
        </is>
      </c>
      <c r="M144" s="395" t="inlineStr">
        <is>
          <t>X</t>
        </is>
      </c>
      <c r="N144" s="395" t="inlineStr">
        <is>
          <t>Done</t>
        </is>
      </c>
      <c r="O144" s="401" t="n"/>
      <c r="P144" s="395" t="n"/>
      <c r="S144" s="395" t="n"/>
      <c r="U144" s="386" t="n"/>
      <c r="V144" s="395" t="n"/>
      <c r="W144" s="395" t="n"/>
      <c r="X144" s="395" t="n"/>
      <c r="Y144" s="14" t="inlineStr">
        <is>
          <t>Done</t>
        </is>
      </c>
      <c r="Z144" s="395" t="n"/>
      <c r="AA144" s="395" t="n"/>
      <c r="AB144" s="395" t="n"/>
      <c r="AC144" s="395" t="n"/>
      <c r="AD144" s="395" t="n"/>
      <c r="AE144" s="395" t="n"/>
    </row>
    <row r="145" ht="70" customHeight="1" s="380">
      <c r="A145" s="94" t="n">
        <v>27</v>
      </c>
      <c r="B145" s="386" t="n"/>
      <c r="C145" s="386" t="inlineStr">
        <is>
          <t>Dashboard Tra cứu hồ sơ 360 CTCK &gt;&gt; Dashboard tình hình tài chính của CTCK &gt;&gt; Biểu đồ Lịch sử báo cáo tài chính</t>
        </is>
      </c>
      <c r="D145" s="12" t="inlineStr">
        <is>
          <t>ROA (%)</t>
        </is>
      </c>
      <c r="E145" s="12" t="inlineStr">
        <is>
          <t>ROA (%) của từng BCTC đã nộp</t>
        </is>
      </c>
      <c r="F145" s="386" t="inlineStr">
        <is>
          <t>Dashboard</t>
        </is>
      </c>
      <c r="G145" s="386" t="inlineStr">
        <is>
          <t>Chỉ tiêu phái sinh</t>
        </is>
      </c>
      <c r="H145" s="386" t="inlineStr">
        <is>
          <t>TB</t>
        </is>
      </c>
      <c r="I145" s="386" t="inlineStr">
        <is>
          <t>Ngày, CTCK</t>
        </is>
      </c>
      <c r="J145" s="386" t="inlineStr">
        <is>
          <t>SCMS</t>
        </is>
      </c>
      <c r="K145" s="395" t="inlineStr">
        <is>
          <t>X</t>
        </is>
      </c>
      <c r="L145" s="395" t="inlineStr">
        <is>
          <t>X</t>
        </is>
      </c>
      <c r="M145" s="395" t="inlineStr">
        <is>
          <t>X</t>
        </is>
      </c>
      <c r="N145" s="395" t="inlineStr">
        <is>
          <t>Done</t>
        </is>
      </c>
      <c r="O145" s="401" t="n"/>
      <c r="P145" s="395" t="n"/>
      <c r="S145" s="395" t="n"/>
      <c r="U145" s="386" t="n"/>
      <c r="V145" s="395" t="n"/>
      <c r="W145" s="395" t="n"/>
      <c r="X145" s="395" t="n"/>
      <c r="Y145" s="14" t="inlineStr">
        <is>
          <t>Done</t>
        </is>
      </c>
      <c r="Z145" s="395" t="n"/>
      <c r="AA145" s="395" t="n"/>
      <c r="AB145" s="395" t="n"/>
      <c r="AC145" s="395" t="n"/>
      <c r="AD145" s="395" t="n"/>
      <c r="AE145" s="395" t="n"/>
    </row>
    <row r="146" ht="70" customHeight="1" s="380">
      <c r="A146" s="94" t="n">
        <v>27</v>
      </c>
      <c r="B146" s="386" t="n"/>
      <c r="C146" s="386" t="inlineStr">
        <is>
          <t>Dashboard Tra cứu hồ sơ 360 CTCK &gt;&gt; Dashboard tình hình tài chính của CTCK &gt;&gt; Biểu đồ Lịch sử báo cáo tài chính</t>
        </is>
      </c>
      <c r="D146" s="12" t="inlineStr">
        <is>
          <t>ROE (%)</t>
        </is>
      </c>
      <c r="E146" s="12" t="inlineStr">
        <is>
          <t>ROE (%) của từng BCTC đã nộp</t>
        </is>
      </c>
      <c r="F146" s="386" t="inlineStr">
        <is>
          <t>Dashboard</t>
        </is>
      </c>
      <c r="G146" s="386" t="inlineStr">
        <is>
          <t>Chỉ tiêu phái sinh</t>
        </is>
      </c>
      <c r="H146" s="386" t="inlineStr">
        <is>
          <t>TB</t>
        </is>
      </c>
      <c r="I146" s="386" t="inlineStr">
        <is>
          <t>Ngày, CTCK</t>
        </is>
      </c>
      <c r="J146" s="386" t="inlineStr">
        <is>
          <t>SCMS</t>
        </is>
      </c>
      <c r="K146" s="395" t="inlineStr">
        <is>
          <t>X</t>
        </is>
      </c>
      <c r="L146" s="395" t="inlineStr">
        <is>
          <t>X</t>
        </is>
      </c>
      <c r="M146" s="395" t="inlineStr">
        <is>
          <t>X</t>
        </is>
      </c>
      <c r="N146" s="395" t="inlineStr">
        <is>
          <t>Done</t>
        </is>
      </c>
      <c r="O146" s="401" t="n"/>
      <c r="P146" s="395" t="n"/>
      <c r="S146" s="395" t="n"/>
      <c r="U146" s="386" t="n"/>
      <c r="V146" s="395" t="n"/>
      <c r="W146" s="395" t="n"/>
      <c r="X146" s="395" t="n"/>
      <c r="Y146" s="14" t="inlineStr">
        <is>
          <t>Done</t>
        </is>
      </c>
      <c r="Z146" s="395" t="n"/>
      <c r="AA146" s="395" t="n"/>
      <c r="AB146" s="395" t="n"/>
      <c r="AC146" s="395" t="n"/>
      <c r="AD146" s="395" t="n"/>
      <c r="AE146" s="395" t="n"/>
    </row>
    <row r="147" ht="70" customHeight="1" s="380">
      <c r="A147" s="94" t="n">
        <v>27</v>
      </c>
      <c r="B147" s="386" t="n"/>
      <c r="C147" s="386" t="inlineStr">
        <is>
          <t>Dashboard Tra cứu hồ sơ 360 CTCK &gt;&gt; Dashboard tình hình tài chính của CTCK &gt;&gt; Biểu đồ Lịch sử báo cáo tài chính</t>
        </is>
      </c>
      <c r="D147" s="12" t="inlineStr">
        <is>
          <t>Ngày nộp</t>
        </is>
      </c>
      <c r="E147" s="12" t="inlineStr">
        <is>
          <t>Ngày nộp của từng BCTC đã nộp</t>
        </is>
      </c>
      <c r="F147" s="386" t="inlineStr">
        <is>
          <t>Dashboard</t>
        </is>
      </c>
      <c r="G147" s="386" t="inlineStr">
        <is>
          <t>Chỉ tiêu cơ sở</t>
        </is>
      </c>
      <c r="H147" s="386" t="inlineStr">
        <is>
          <t>TB</t>
        </is>
      </c>
      <c r="I147" s="386" t="inlineStr">
        <is>
          <t>Ngày, CTCK</t>
        </is>
      </c>
      <c r="J147" s="386" t="inlineStr">
        <is>
          <t>SCMS</t>
        </is>
      </c>
      <c r="K147" s="395" t="inlineStr">
        <is>
          <t>X</t>
        </is>
      </c>
      <c r="L147" s="395" t="inlineStr">
        <is>
          <t>X</t>
        </is>
      </c>
      <c r="M147" s="395" t="inlineStr">
        <is>
          <t>X</t>
        </is>
      </c>
      <c r="N147" s="395" t="inlineStr">
        <is>
          <t>Done</t>
        </is>
      </c>
      <c r="O147" s="401" t="n"/>
      <c r="P147" s="395" t="n"/>
      <c r="S147" s="395" t="n"/>
      <c r="U147" s="386" t="n"/>
      <c r="V147" s="395" t="n"/>
      <c r="W147" s="395" t="n"/>
      <c r="X147" s="395" t="n"/>
      <c r="Y147" s="14" t="inlineStr">
        <is>
          <t>Done</t>
        </is>
      </c>
      <c r="Z147" s="395" t="n"/>
      <c r="AA147" s="395" t="n"/>
      <c r="AB147" s="395" t="n"/>
      <c r="AC147" s="395" t="n"/>
      <c r="AD147" s="395" t="n"/>
      <c r="AE147" s="395" t="n"/>
    </row>
    <row r="148" ht="70" customHeight="1" s="380">
      <c r="A148" s="94" t="n">
        <v>27</v>
      </c>
      <c r="B148" s="386" t="n"/>
      <c r="C148" s="386" t="inlineStr">
        <is>
          <t>Dashboard Tra cứu hồ sơ 360 CTCK &gt;&gt; Dashboard tình hình tài chính của CTCK &gt;&gt; Biểu đồ Lịch sử báo cáo tài chính</t>
        </is>
      </c>
      <c r="D148" s="12" t="inlineStr">
        <is>
          <t>Trạng thái</t>
        </is>
      </c>
      <c r="E148" s="12" t="inlineStr">
        <is>
          <t>Trạng thái của từng BCTC đã nộp (chậm, đúng hạn)</t>
        </is>
      </c>
      <c r="F148" s="386" t="inlineStr">
        <is>
          <t>Dashboard</t>
        </is>
      </c>
      <c r="G148" s="386" t="inlineStr">
        <is>
          <t>Chỉ tiêu cơ sở</t>
        </is>
      </c>
      <c r="H148" s="386" t="inlineStr">
        <is>
          <t>TB</t>
        </is>
      </c>
      <c r="I148" s="386" t="inlineStr">
        <is>
          <t>Ngày, CTCK</t>
        </is>
      </c>
      <c r="J148" s="386" t="inlineStr">
        <is>
          <t>SCMS</t>
        </is>
      </c>
      <c r="K148" s="395" t="inlineStr">
        <is>
          <t>X</t>
        </is>
      </c>
      <c r="L148" s="395" t="inlineStr">
        <is>
          <t>X</t>
        </is>
      </c>
      <c r="M148" s="395" t="inlineStr">
        <is>
          <t>X</t>
        </is>
      </c>
      <c r="N148" s="395" t="inlineStr">
        <is>
          <t>Done</t>
        </is>
      </c>
      <c r="O148" s="401" t="n"/>
      <c r="P148" s="395" t="n"/>
      <c r="S148" s="395" t="n"/>
      <c r="U148" s="386" t="n"/>
      <c r="V148" s="395" t="n"/>
      <c r="W148" s="395" t="n"/>
      <c r="X148" s="395" t="n"/>
      <c r="Y148" s="14" t="inlineStr">
        <is>
          <t>Done</t>
        </is>
      </c>
      <c r="Z148" s="395" t="n"/>
      <c r="AA148" s="395" t="n"/>
      <c r="AB148" s="395" t="n"/>
      <c r="AC148" s="395" t="n"/>
      <c r="AD148" s="395" t="n"/>
      <c r="AE148" s="395" t="n"/>
    </row>
    <row r="149" ht="56" customHeight="1" s="380">
      <c r="A149" s="94" t="n">
        <v>28</v>
      </c>
      <c r="B149" s="81" t="n"/>
      <c r="C149" s="81" t="inlineStr">
        <is>
          <t>Dashboard Tra cứu hồ sơ 360 CTCK &gt;&gt; Dashboard NHNCK của CTCK &gt;&gt; Biểu đồ Các chỉ tiêu chung</t>
        </is>
      </c>
      <c r="D149" s="12" t="inlineStr">
        <is>
          <t>Chiều thời gian theo Ngày</t>
        </is>
      </c>
      <c r="E149" s="12" t="inlineStr">
        <is>
          <t>Chiều thời gian theo Ngày</t>
        </is>
      </c>
      <c r="F149" s="386" t="inlineStr">
        <is>
          <t>Dashboard</t>
        </is>
      </c>
      <c r="G149" s="386" t="inlineStr">
        <is>
          <t>Chiều</t>
        </is>
      </c>
      <c r="H149" s="386" t="inlineStr">
        <is>
          <t>Trùng</t>
        </is>
      </c>
      <c r="I149" s="386" t="n"/>
      <c r="J149" s="386" t="inlineStr">
        <is>
          <t>SCMS</t>
        </is>
      </c>
      <c r="K149" s="395" t="n"/>
      <c r="L149" s="395" t="inlineStr">
        <is>
          <t>X</t>
        </is>
      </c>
      <c r="M149" s="395" t="n"/>
      <c r="N149" s="395" t="inlineStr">
        <is>
          <t>Done</t>
        </is>
      </c>
      <c r="O149" s="401" t="n"/>
      <c r="P149" s="395" t="n"/>
      <c r="Q149" s="20" t="inlineStr">
        <is>
          <t>Ngày dữ liệu</t>
        </is>
      </c>
      <c r="R149" s="395" t="n"/>
      <c r="S149" s="395" t="n"/>
      <c r="T149" s="4" t="inlineStr">
        <is>
          <t>-- Chiều thời gian theo ngày
SELECT TRUNC(min_ngay) + LEVEL - 1 AS ngay
FROM (SELECT MIN(NGAY_SO_LIEU) AS min_ngay FROM SCMS.BC_THANH_VIEN)
CONNECT BY TRUNC(min_ngay) + LEVEL - 1 &lt;= TRUNC(SYSDATE)
ORDER BY ngay;</t>
        </is>
      </c>
      <c r="U149" s="386" t="n"/>
      <c r="V149" s="395" t="n"/>
      <c r="W149" s="395" t="n"/>
      <c r="X149" s="395" t="n"/>
      <c r="Y149" s="14" t="inlineStr">
        <is>
          <t>Done</t>
        </is>
      </c>
      <c r="Z149" s="395" t="n"/>
      <c r="AA149" s="395" t="n"/>
      <c r="AB149" s="395" t="n"/>
      <c r="AC149" s="395" t="n"/>
      <c r="AD149" s="395" t="n"/>
      <c r="AE149" s="395" t="n"/>
    </row>
    <row r="150" ht="61.5" customHeight="1" s="380">
      <c r="A150" s="94" t="n">
        <v>28</v>
      </c>
      <c r="B150" s="386" t="n"/>
      <c r="C150" s="386" t="inlineStr">
        <is>
          <t>Dashboard Tra cứu hồ sơ 360 CTCK &gt;&gt; Dashboard NHNCK của CTCK &gt;&gt; Biểu đồ Các chỉ tiêu chung</t>
        </is>
      </c>
      <c r="D150" s="12" t="inlineStr">
        <is>
          <t>Tổng số lượng lao động</t>
        </is>
      </c>
      <c r="E150" s="12" t="inlineStr">
        <is>
          <t>Tổng số lượng lao động</t>
        </is>
      </c>
      <c r="F150" s="386" t="inlineStr">
        <is>
          <t>Dashboard</t>
        </is>
      </c>
      <c r="G150" s="386" t="inlineStr">
        <is>
          <t>Chỉ tiêu cơ sở</t>
        </is>
      </c>
      <c r="H150" s="386" t="inlineStr">
        <is>
          <t>TB</t>
        </is>
      </c>
      <c r="I150" s="386" t="inlineStr">
        <is>
          <t>Ngày, CTCK</t>
        </is>
      </c>
      <c r="J150" s="386" t="inlineStr">
        <is>
          <t>SCMS, NHNCK</t>
        </is>
      </c>
      <c r="K150" s="395" t="inlineStr">
        <is>
          <t>X</t>
        </is>
      </c>
      <c r="L150" s="395" t="inlineStr">
        <is>
          <t>X</t>
        </is>
      </c>
      <c r="M150" s="395" t="n"/>
      <c r="N150" s="395" t="inlineStr">
        <is>
          <t>Done</t>
        </is>
      </c>
      <c r="O150" s="401" t="n"/>
      <c r="P150" s="395" t="n"/>
      <c r="Q150" s="397" t="inlineStr">
        <is>
          <t>SCMS.BC_BAO_CAO_GT
SCMS.DM_CHI_TIEU
SCMS.BC_THANH_VIEN</t>
        </is>
      </c>
      <c r="R150" s="397" t="inlineStr">
        <is>
          <t>gt.GIA_TRI,
gt.DM_CHI_TIEU_ID,
gt.BC_THANH_VIEN_ID,
bt.ID,
bt.NGAY_SO_LIEU,
bt.TRANG_THAI,
bt.XOA_DU_LIEU,
dct.ID,
dct.MA_CHI_TIEU</t>
        </is>
      </c>
      <c r="S150" s="395" t="n"/>
      <c r="T150" s="79" t="inlineStr">
        <is>
          <t>-- Tổng số lượng lao động
SELECT
    nd.ngay,
    TO_NUMBER(gt.GIA_TRI) AS tong_so_lao_dong
FROM (
    SELECT TRUNC(min_ngay) + LEVEL - 1 AS ngay
    FROM (
        SELECT MIN(bt.NGAY_SO_LIEU) AS min_ngay
        FROM SCMS.BC_BAO_CAO_GT   gt
        JOIN SCMS.DM_CHI_TIEU     dct ON dct.ID = gt.DM_CHI_TIEU_ID
        JOIN SCMS.BC_THANH_VIEN   bt  ON bt.ID  = gt.BC_THANH_VIEN_ID
        WHERE dct.MA_CHI_TIEU      = 'TONG_SO_LAO_DONG'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'TONG_SO_LAO_DONG'  -- Xác nhận
    AND TRUNC(bt.NGAY_SO_LIEU)   = nd.ngay
--    AND bt.CTCK_THONG_TIN_ID     = :p_ctck_id
    AND bt.TRANG_THAI            IN (4, 6)
    AND bt.XOA_DU_LIEU            = 0
ORDER BY nd.ngay;</t>
        </is>
      </c>
      <c r="U150" s="386" t="n"/>
      <c r="V150" s="395" t="n"/>
      <c r="W150" s="395" t="n"/>
      <c r="X150" s="395" t="n"/>
      <c r="Y150" s="14" t="inlineStr">
        <is>
          <t>Done</t>
        </is>
      </c>
      <c r="Z150" s="395" t="n"/>
      <c r="AA150" s="395" t="n"/>
      <c r="AB150" s="395" t="n"/>
      <c r="AC150" s="395" t="n"/>
      <c r="AD150" s="395" t="n"/>
      <c r="AE150" s="395" t="n"/>
    </row>
    <row r="151" ht="63" customHeight="1" s="380">
      <c r="A151" s="94" t="n">
        <v>28</v>
      </c>
      <c r="B151" s="386" t="n"/>
      <c r="C151" s="386" t="inlineStr">
        <is>
          <t>Dashboard Tra cứu hồ sơ 360 CTCK &gt;&gt; Dashboard NHNCK của CTCK &gt;&gt; Biểu đồ Các chỉ tiêu chung</t>
        </is>
      </c>
      <c r="D151" s="12" t="inlineStr">
        <is>
          <t>Tổng số lao động có CCHN</t>
        </is>
      </c>
      <c r="E151" s="12" t="inlineStr">
        <is>
          <t>Tổng số lao động có CCHN</t>
        </is>
      </c>
      <c r="F151" s="386" t="inlineStr">
        <is>
          <t>Dashboard</t>
        </is>
      </c>
      <c r="G151" s="386" t="inlineStr">
        <is>
          <t>Chỉ tiêu cơ sở</t>
        </is>
      </c>
      <c r="H151" s="386" t="inlineStr">
        <is>
          <t>TB</t>
        </is>
      </c>
      <c r="I151" s="386" t="inlineStr">
        <is>
          <t>Ngày, CTCK</t>
        </is>
      </c>
      <c r="J151" s="386" t="inlineStr">
        <is>
          <t>SCMS, NHNCK</t>
        </is>
      </c>
      <c r="K151" s="395" t="inlineStr">
        <is>
          <t>X</t>
        </is>
      </c>
      <c r="L151" s="395" t="inlineStr">
        <is>
          <t>X</t>
        </is>
      </c>
      <c r="M151" s="395" t="n"/>
      <c r="N151" s="395" t="inlineStr">
        <is>
          <t>Done</t>
        </is>
      </c>
      <c r="O151" s="401" t="n"/>
      <c r="P151" s="395" t="n"/>
      <c r="Q151" s="397" t="inlineStr">
        <is>
          <t>SCMS.CTCK_NGUOI_HANH_NGHE_CK</t>
        </is>
      </c>
      <c r="R151" s="395" t="inlineStr">
        <is>
          <t>nhn.ID,
nhn.TRANG_THAI,
nhn.SO_CHUNG_CHI_HNCK,
nhn.NGAYBATDAU,
nhn.NGAYKETTHUC</t>
        </is>
      </c>
      <c r="S151" s="395" t="n"/>
      <c r="T151" s="79" t="inlineStr">
        <is>
          <t>-- Tổng số lao động có CCHN
SELECT
    nd.ngay,
    COUNT(nhn.ID) AS tong_lao_dong_co_cchn
FROM (
    SELECT TRUNC(min_ngay) + LEVEL - 1 AS ngay
    FROM (
        SELECT TRUNC(MIN(NGAYBATDAU), 'MM') AS min_ngay  -- NGAY_BAT_DAU_LAM
        FROM SCMS.CTCK_NGUOI_HANH_NGHE_CK
        WHERE 1 = 1
--		  AND CTCK_THONG_TIN_ID = :p_ctck_id
          AND TRANG_THAI         = 1
          AND NGAYBATDAU  IS NOT NULL -- NGAY_BAT_DAU_LAM
    )
    CONNECT BY TRUNC(min_ngay) + LEVEL - 1 &lt;= TRUNC(SYSDATE)
) nd
LEFT JOIN SCMS.CTCK_NGUOI_HANH_NGHE_CK nhn
--    ON  nhn.CTCK_THONG_TIN_ID  = :p_ctck_id
    ON nhn.TRANG_THAI          = 1
    AND nhn.SO_CHUNG_CHI_HNCK  IS NOT NULL
    AND nhn.SO_CHUNG_CHI_HNCK  != ''
    AND TRUNC(nhn.NGAYBATDAU)   &lt;= LAST_DAY(nd.ngay)  -- NGAY_BAT_DAU_LAM
    AND (
        nhn.NGAYKETTHUC IS NULL  -- NGAY_NGHI_VIEC
        OR TRUNC(nhn.NGAYKETTHUC)   &gt; TRUNC(nd.ngay, 'MM')  -- NGAY_NGHI_VIEC
    )
GROUP BY nd.ngay
ORDER BY nd.ngay;</t>
        </is>
      </c>
      <c r="U151" s="20" t="inlineStr">
        <is>
          <t>DB cũ:
-- NGAY_BAT_DAU_LAM
-- NGAY_NGHI_VIEC</t>
        </is>
      </c>
      <c r="V151" s="395" t="n"/>
      <c r="W151" s="395" t="n"/>
      <c r="X151" s="395" t="n"/>
      <c r="Y151" s="14" t="inlineStr">
        <is>
          <t>Done</t>
        </is>
      </c>
      <c r="Z151" s="395" t="n"/>
      <c r="AA151" s="395" t="n"/>
      <c r="AB151" s="395" t="n"/>
      <c r="AC151" s="395" t="n"/>
      <c r="AD151" s="395" t="n"/>
      <c r="AE151" s="395" t="n"/>
    </row>
    <row r="152" ht="63" customHeight="1" s="380">
      <c r="A152" s="94" t="n">
        <v>28</v>
      </c>
      <c r="B152" s="386" t="n"/>
      <c r="C152" s="386" t="inlineStr">
        <is>
          <t>Dashboard Tra cứu hồ sơ 360 CTCK &gt;&gt; Dashboard NHNCK của CTCK &gt;&gt; Biểu đồ Các chỉ tiêu chung</t>
        </is>
      </c>
      <c r="D152" s="12" t="inlineStr">
        <is>
          <t>Tổng số lao động chưa có CCHN</t>
        </is>
      </c>
      <c r="E152" s="12" t="inlineStr">
        <is>
          <t>Tổng số lao động chưa có CCHN</t>
        </is>
      </c>
      <c r="F152" s="386" t="inlineStr">
        <is>
          <t>Dashboard</t>
        </is>
      </c>
      <c r="G152" s="386" t="inlineStr">
        <is>
          <t>Chỉ tiêu cơ sở</t>
        </is>
      </c>
      <c r="H152" s="386" t="inlineStr">
        <is>
          <t>TB</t>
        </is>
      </c>
      <c r="I152" s="386" t="inlineStr">
        <is>
          <t>Ngày, CTCK</t>
        </is>
      </c>
      <c r="J152" s="386" t="inlineStr">
        <is>
          <t>SCMS, NHNCK</t>
        </is>
      </c>
      <c r="K152" s="395" t="inlineStr">
        <is>
          <t>X</t>
        </is>
      </c>
      <c r="L152" s="395" t="inlineStr">
        <is>
          <t>X</t>
        </is>
      </c>
      <c r="M152" s="395" t="n"/>
      <c r="N152" s="395" t="inlineStr">
        <is>
          <t>Done</t>
        </is>
      </c>
      <c r="O152" s="401" t="n"/>
      <c r="P152" s="395" t="n"/>
      <c r="Q152" s="397" t="inlineStr">
        <is>
          <t>SCMS.CTCK_NGUOI_HANH_NGHE_CK</t>
        </is>
      </c>
      <c r="R152" s="395" t="inlineStr">
        <is>
          <t>nhn.ID,
nhn.TRANG_THAI,
nhn.SO_CHUNG_CHI_HNCK,
nhn.NGAYBATDAU,
nhn.NGAYKETTHUC</t>
        </is>
      </c>
      <c r="S152" s="395" t="n"/>
      <c r="T152" s="79" t="inlineStr">
        <is>
          <t>-- Tổng số lao động chưa có CCHN
WITH nd AS (
    SELECT TRUNC(min_ngay) + LEVEL - 1 AS ngay
    FROM (
        SELECT TRUNC(MIN(NGAYBATDAU), 'MM') AS min_ngay  -- NGAY_BAT_DAU_LAM
        FROM SCMS.CTCK_NGUOI_HANH_NGHE_CK
        WHERE 1 = 1
--          AND CTCK_THONG_TIN_ID = :p_ctck_id
          AND TRANG_THAI         = 1
          AND NGAYBATDAU  IS NOT NULL  -- NGAY_BAT_DAU_LAM
    )
    CONNECT BY TRUNC(min_ngay) + LEVEL - 1 &lt;= TRUNC(SYSDATE)
)
SELECT
    nd.ngay,
    COUNT(CASE
        WHEN nhn.SO_CHUNG_CHI_HNCK IS NULL
          OR nhn.SO_CHUNG_CHI_HNCK  = ''
        THEN 1
    END) AS chua_co_cchn
FROM nd
LEFT JOIN SCMS.CTCK_NGUOI_HANH_NGHE_CK nhn
--    ON  nhn.CTCK_THONG_TIN_ID  = :p_ctck_id
    ON nhn.TRANG_THAI          = 1
    AND TRUNC(nhn.NGAYBATDAU)   &lt;= LAST_DAY(nd.ngay)  -- NGAY_BAT_DAU_LAM
    AND (
        nhn.NGAYKETTHUC IS NULL  -- NGAY_NGHI_VIEC
        OR TRUNC(nhn.NGAYKETTHUC)   &gt; TRUNC(nd.ngay, 'MM')  -- NGAY_NGHI_VIEC
    )
GROUP BY nd.ngay
ORDER BY nd.ngay;</t>
        </is>
      </c>
      <c r="U152" s="386" t="n"/>
      <c r="V152" s="395" t="n"/>
      <c r="W152" s="395" t="n"/>
      <c r="X152" s="395" t="n"/>
      <c r="Y152" s="14" t="inlineStr">
        <is>
          <t>Done</t>
        </is>
      </c>
      <c r="Z152" s="395" t="n"/>
      <c r="AA152" s="395" t="n"/>
      <c r="AB152" s="395" t="n"/>
      <c r="AC152" s="395" t="n"/>
      <c r="AD152" s="395" t="n"/>
      <c r="AE152" s="395" t="n"/>
    </row>
    <row r="153" ht="49.5" customHeight="1" s="380">
      <c r="A153" s="94" t="n">
        <v>29</v>
      </c>
      <c r="B153" s="81" t="n"/>
      <c r="C153" s="81" t="inlineStr">
        <is>
          <t>Dashboard Tra cứu hồ sơ 360 CTCK &gt;&gt; Dashboard NHNCK của CTCK &gt;&gt; Biểu đồ Số lượng NHN theo nghiệp vụ</t>
        </is>
      </c>
      <c r="D153" s="12" t="inlineStr">
        <is>
          <t>Chiều thời gian theo Ngày</t>
        </is>
      </c>
      <c r="E153" s="12" t="inlineStr">
        <is>
          <t>Chiều thời gian theo Ngày</t>
        </is>
      </c>
      <c r="F153" s="386" t="inlineStr">
        <is>
          <t>Dashboard</t>
        </is>
      </c>
      <c r="G153" s="386" t="inlineStr">
        <is>
          <t>Chiều</t>
        </is>
      </c>
      <c r="H153" s="386" t="inlineStr">
        <is>
          <t>Trùng</t>
        </is>
      </c>
      <c r="I153" s="386" t="n"/>
      <c r="J153" s="386" t="inlineStr">
        <is>
          <t>SCMS</t>
        </is>
      </c>
      <c r="K153" s="395" t="n"/>
      <c r="L153" s="395" t="inlineStr">
        <is>
          <t>X</t>
        </is>
      </c>
      <c r="M153" s="395" t="n"/>
      <c r="N153" s="395" t="inlineStr">
        <is>
          <t>Done</t>
        </is>
      </c>
      <c r="O153" s="401" t="n"/>
      <c r="P153" s="395" t="n"/>
      <c r="Q153" s="20" t="inlineStr">
        <is>
          <t>Ngày dữ liệu</t>
        </is>
      </c>
      <c r="R153" s="395" t="n"/>
      <c r="S153" s="395" t="n"/>
      <c r="T153" s="4" t="inlineStr">
        <is>
          <t>-- Chiều thời gian theo ngày
SELECT TRUNC(min_ngay) + LEVEL - 1 AS ngay
FROM (SELECT MIN(NGAY_SO_LIEU) AS min_ngay FROM SCMS.BC_THANH_VIEN)
CONNECT BY TRUNC(min_ngay) + LEVEL - 1 &lt;= TRUNC(SYSDATE)
ORDER BY ngay;</t>
        </is>
      </c>
      <c r="U153" s="386" t="n"/>
      <c r="V153" s="395" t="n"/>
      <c r="W153" s="395" t="n"/>
      <c r="X153" s="395" t="n"/>
      <c r="Y153" s="14" t="inlineStr">
        <is>
          <t>Done</t>
        </is>
      </c>
      <c r="Z153" s="395" t="n"/>
      <c r="AA153" s="395" t="n"/>
      <c r="AB153" s="395" t="n"/>
      <c r="AC153" s="395" t="n"/>
      <c r="AD153" s="395" t="n"/>
      <c r="AE153" s="395" t="n"/>
    </row>
    <row r="154" ht="61.5" customHeight="1" s="380">
      <c r="A154" s="94" t="n">
        <v>29</v>
      </c>
      <c r="B154" s="386" t="n"/>
      <c r="C154" s="386" t="inlineStr">
        <is>
          <t>Dashboard Tra cứu hồ sơ 360 CTCK &gt;&gt; Dashboard NHNCK của CTCK &gt;&gt; Biểu đồ Số lượng NHN theo nghiệp vụ</t>
        </is>
      </c>
      <c r="D154" s="12" t="inlineStr">
        <is>
          <t>Chiều nghiệp vụ kinh doanh chứng khoán</t>
        </is>
      </c>
      <c r="E154" s="12" t="inlineStr">
        <is>
          <t>Chiều nghiệp vụ kinh doanh chứng khoán</t>
        </is>
      </c>
      <c r="F154" s="386" t="inlineStr">
        <is>
          <t>Dashboard</t>
        </is>
      </c>
      <c r="G154" s="386" t="inlineStr">
        <is>
          <t>Chiều</t>
        </is>
      </c>
      <c r="H154" s="386" t="inlineStr">
        <is>
          <t>Trùng</t>
        </is>
      </c>
      <c r="I154" s="386" t="n"/>
      <c r="J154" s="386" t="inlineStr">
        <is>
          <t>SCMS</t>
        </is>
      </c>
      <c r="K154" s="395" t="n"/>
      <c r="L154" s="395" t="inlineStr">
        <is>
          <t>X</t>
        </is>
      </c>
      <c r="M154" s="393" t="n"/>
      <c r="N154" s="395" t="inlineStr">
        <is>
          <t>Done</t>
        </is>
      </c>
      <c r="O154" s="401" t="n"/>
      <c r="P154" s="395" t="n"/>
      <c r="Q154" s="390" t="inlineStr">
        <is>
          <t>SCMS.CTCK_DICH_VU
SCMS.DM_DICH_VU</t>
        </is>
      </c>
      <c r="R154" s="401" t="inlineStr">
        <is>
          <t>dd.ID,
dd.TEN_DICH_VU,
dv.DM_DICH_VU_ID,
dv.TRANG_THAI</t>
        </is>
      </c>
      <c r="S154" s="401" t="n"/>
      <c r="T154" s="389" t="inlineStr">
        <is>
          <t>-- Chiều: Nghiệp vụ kinh doanh chứng khoán
SELECT DISTINCT
    CASE
        WHEN LOWER(dd.TEN_DICH_VU) LIKE '%môi giới%' THEN 'Môi giới chứng khoán'
        WHEN LOWER(dd.TEN_DICH_VU) LIKE '%tự doanh%' THEN 'Tự doanh chứng khoán'
        WHEN LOWER(dd.TEN_DICH_VU) LIKE '%bảo lãnh%' THEN 'Bảo lãnh phát hành chứng khoán'
        WHEN LOWER(dd.TEN_DICH_VU) LIKE '%tư vấn%'   THEN 'Tư vấn đầu tư chứng khoán'
    END AS nghiep_vu_kinh_doanh
FROM SCMS.CTCK_DICH_VU dv
JOIN SCMS.DM_DICH_VU dd ON dd.ID = dv.DM_DICH_VU_ID
WHERE dv.TRANG_THAI = 1
ORDER BY 1;</t>
        </is>
      </c>
      <c r="U154" s="386" t="n"/>
      <c r="V154" s="395" t="n"/>
      <c r="W154" s="395" t="n"/>
      <c r="X154" s="395" t="n"/>
      <c r="Y154" s="14" t="inlineStr">
        <is>
          <t>Done</t>
        </is>
      </c>
      <c r="Z154" s="395" t="n"/>
      <c r="AA154" s="395" t="n"/>
      <c r="AB154" s="395" t="n"/>
      <c r="AC154" s="395" t="n"/>
      <c r="AD154" s="395" t="n"/>
      <c r="AE154" s="395" t="n"/>
    </row>
    <row r="155" ht="61.5" customHeight="1" s="380">
      <c r="A155" s="94" t="n">
        <v>29</v>
      </c>
      <c r="B155" s="386" t="n"/>
      <c r="C155" s="386" t="inlineStr">
        <is>
          <t>Dashboard Tra cứu hồ sơ 360 CTCK &gt;&gt; Dashboard NHNCK của CTCK &gt;&gt; Biểu đồ Số lượng NHN theo nghiệp vụ</t>
        </is>
      </c>
      <c r="D155" s="12" t="inlineStr">
        <is>
          <t>Số lượng NHN theo nghiệp vụ môi giới</t>
        </is>
      </c>
      <c r="E155" s="12" t="inlineStr">
        <is>
          <t>Số lượng NHN theo nghiệp vụ môi giới</t>
        </is>
      </c>
      <c r="F155" s="386" t="inlineStr">
        <is>
          <t>Dashboard</t>
        </is>
      </c>
      <c r="G155" s="386" t="inlineStr">
        <is>
          <t>Chỉ tiêu cơ sở</t>
        </is>
      </c>
      <c r="H155" s="386" t="inlineStr">
        <is>
          <t>TB</t>
        </is>
      </c>
      <c r="I155" s="386" t="inlineStr">
        <is>
          <t>Ngày, CTCK, Danh mục nghiệp vụ</t>
        </is>
      </c>
      <c r="J155" s="386" t="inlineStr">
        <is>
          <t>SCMS, NHNCK</t>
        </is>
      </c>
      <c r="K155" s="395" t="inlineStr">
        <is>
          <t>X</t>
        </is>
      </c>
      <c r="L155" s="395" t="inlineStr">
        <is>
          <t>X</t>
        </is>
      </c>
      <c r="M155" s="395" t="n"/>
      <c r="N155" s="395" t="inlineStr">
        <is>
          <t>Done</t>
        </is>
      </c>
      <c r="O155" s="401" t="n"/>
      <c r="P155" s="395" t="n"/>
      <c r="Q155" s="397" t="inlineStr">
        <is>
          <t>SCMS.BC_BAO_CAO_GT
SCMS.DM_CHI_TIEU
SCMS.BC_THANH_VIEN</t>
        </is>
      </c>
      <c r="R155" s="397" t="inlineStr">
        <is>
          <t>gt.GIA_TRI,
gt.DM_CHI_TIEU_ID,
gt.BC_THANH_VIEN_ID,
bt.ID,
bt.NGAY_SO_LIEU,
bt.TRANG_THAI,
bt.XOA_DU_LIEU,
dct.ID,
dct.MA_CHI_TIEU</t>
        </is>
      </c>
      <c r="S155" s="395" t="n"/>
      <c r="T155" s="79" t="inlineStr">
        <is>
          <t>-- Số lượng NHN theo nghiệp vụ môi giới
SELECT
    nd.ngay,
    TO_NUMBER(gt.GIA_TRI) AS so_nhn_moi_gioi
FROM (
    SELECT TRUNC(min_ngay) + LEVEL - 1 AS ngay
    FROM (
        SELECT MIN(bt.NGAY_SO_LIEU) AS min_ngay
        FROM SCMS.BC_BAO_CAO_GT   gt
        JOIN SCMS.DM_CHI_TIEU     dct ON dct.ID = gt.DM_CHI_TIEU_ID
        JOIN SCMS.BC_THANH_VIEN   bt  ON bt.ID  = gt.BC_THANH_VIEN_ID
        WHERE dct.MA_CHI_TIEU      = 'SO_NHN_MOI_GIOI'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'SO_NHN_MOI_GIOI'  -- Xác nhận
    AND TRUNC(bt.NGAY_SO_LIEU)   = nd.ngay
--    AND bt.CTCK_THONG_TIN_ID     = :p_ctck_id
    AND bt.TRANG_THAI            IN (4, 6)
    AND bt.XOA_DU_LIEU            = 0
ORDER BY nd.ngay;</t>
        </is>
      </c>
      <c r="U155" s="386" t="n"/>
      <c r="V155" s="395" t="n"/>
      <c r="W155" s="395" t="n"/>
      <c r="X155" s="395" t="n"/>
      <c r="Y155" s="14" t="inlineStr">
        <is>
          <t>Done</t>
        </is>
      </c>
      <c r="Z155" s="395" t="n"/>
      <c r="AA155" s="395" t="n"/>
      <c r="AB155" s="395" t="n"/>
      <c r="AC155" s="395" t="n"/>
      <c r="AD155" s="395" t="n"/>
      <c r="AE155" s="395" t="n"/>
    </row>
    <row r="156" ht="61.5" customHeight="1" s="380">
      <c r="A156" s="94" t="n">
        <v>29</v>
      </c>
      <c r="B156" s="386" t="n"/>
      <c r="C156" s="386" t="inlineStr">
        <is>
          <t>Dashboard Tra cứu hồ sơ 360 CTCK &gt;&gt; Dashboard NHNCK của CTCK &gt;&gt; Biểu đồ Số lượng NHN theo nghiệp vụ</t>
        </is>
      </c>
      <c r="D156" s="12" t="inlineStr">
        <is>
          <t>Số lượng NHN theo nghiệp vụ bảo lãnh phát hành</t>
        </is>
      </c>
      <c r="E156" s="12" t="inlineStr">
        <is>
          <t>Số lượng NHN theo nghiệp vụ bảo lãnh phát hành</t>
        </is>
      </c>
      <c r="F156" s="386" t="inlineStr">
        <is>
          <t>Dashboard</t>
        </is>
      </c>
      <c r="G156" s="386" t="inlineStr">
        <is>
          <t>Chỉ tiêu cơ sở</t>
        </is>
      </c>
      <c r="H156" s="386" t="inlineStr">
        <is>
          <t>TB</t>
        </is>
      </c>
      <c r="I156" s="386" t="inlineStr">
        <is>
          <t>Ngày, CTCK, Danh mục nghiệp vụ</t>
        </is>
      </c>
      <c r="J156" s="386" t="inlineStr">
        <is>
          <t>SCMS, NHNCK</t>
        </is>
      </c>
      <c r="K156" s="395" t="inlineStr">
        <is>
          <t>X</t>
        </is>
      </c>
      <c r="L156" s="395" t="inlineStr">
        <is>
          <t>X</t>
        </is>
      </c>
      <c r="M156" s="395" t="n"/>
      <c r="N156" s="395" t="inlineStr">
        <is>
          <t>Done</t>
        </is>
      </c>
      <c r="O156" s="401" t="n"/>
      <c r="P156" s="395" t="n"/>
      <c r="Q156" s="397" t="inlineStr">
        <is>
          <t>SCMS.BC_BAO_CAO_GT
SCMS.DM_CHI_TIEU
SCMS.BC_THANH_VIEN</t>
        </is>
      </c>
      <c r="R156" s="397" t="inlineStr">
        <is>
          <t>gt.GIA_TRI,
gt.DM_CHI_TIEU_ID,
gt.BC_THANH_VIEN_ID,
bt.ID,
bt.NGAY_SO_LIEU,
bt.TRANG_THAI,
bt.XOA_DU_LIEU,
dct.ID,
dct.MA_CHI_TIEU</t>
        </is>
      </c>
      <c r="S156" s="395" t="n"/>
      <c r="T156" s="79" t="inlineStr">
        <is>
          <t>-- Số lượng NHN theo nghiệp vụ bảo lãnh phát hành
SELECT
    nd.ngay,
    TO_NUMBER(gt.GIA_TRI) AS so_nhn_bao_lanh
FROM (
    SELECT TRUNC(min_ngay) + LEVEL - 1 AS ngay
    FROM (
        SELECT MIN(bt.NGAY_SO_LIEU) AS min_ngay
        FROM SCMS.BC_BAO_CAO_GT   gt
        JOIN SCMS.DM_CHI_TIEU     dct ON dct.ID = gt.DM_CHI_TIEU_ID
        JOIN SCMS.BC_THANH_VIEN   bt  ON bt.ID  = gt.BC_THANH_VIEN_ID
        WHERE dct.MA_CHI_TIEU      = 'SO_NHN_BAO_LANH'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'SO_NHN_BAO_LANH'  -- Xác nhận
    AND TRUNC(bt.NGAY_SO_LIEU)   = nd.ngay
--    AND bt.CTCK_THONG_TIN_ID     = :p_ctck_id
    AND bt.TRANG_THAI            IN (4, 6)
    AND bt.XOA_DU_LIEU            = 0
ORDER BY nd.ngay;</t>
        </is>
      </c>
      <c r="U156" s="386" t="n"/>
      <c r="V156" s="395" t="n"/>
      <c r="W156" s="395" t="n"/>
      <c r="X156" s="395" t="n"/>
      <c r="Y156" s="14" t="inlineStr">
        <is>
          <t>Done</t>
        </is>
      </c>
      <c r="Z156" s="395" t="n"/>
      <c r="AA156" s="395" t="n"/>
      <c r="AB156" s="395" t="n"/>
      <c r="AC156" s="395" t="n"/>
      <c r="AD156" s="395" t="n"/>
      <c r="AE156" s="395" t="n"/>
    </row>
    <row r="157" ht="63" customHeight="1" s="380">
      <c r="A157" s="94" t="n">
        <v>29</v>
      </c>
      <c r="B157" s="386" t="n"/>
      <c r="C157" s="386" t="inlineStr">
        <is>
          <t>Dashboard Tra cứu hồ sơ 360 CTCK &gt;&gt; Dashboard NHNCK của CTCK &gt;&gt; Biểu đồ Số lượng NHN theo nghiệp vụ</t>
        </is>
      </c>
      <c r="D157" s="12" t="inlineStr">
        <is>
          <t>Số lượng NHN theo nghiệp vụ tư vấn</t>
        </is>
      </c>
      <c r="E157" s="12" t="inlineStr">
        <is>
          <t>Số lượng NHN theo nghiệp vụ tư vấn</t>
        </is>
      </c>
      <c r="F157" s="386" t="inlineStr">
        <is>
          <t>Dashboard</t>
        </is>
      </c>
      <c r="G157" s="386" t="inlineStr">
        <is>
          <t>Chỉ tiêu cơ sở</t>
        </is>
      </c>
      <c r="H157" s="386" t="inlineStr">
        <is>
          <t>TB</t>
        </is>
      </c>
      <c r="I157" s="386" t="inlineStr">
        <is>
          <t>Ngày, CTCK, Danh mục nghiệp vụ</t>
        </is>
      </c>
      <c r="J157" s="386" t="inlineStr">
        <is>
          <t>SCMS, NHNCK</t>
        </is>
      </c>
      <c r="K157" s="395" t="inlineStr">
        <is>
          <t>X</t>
        </is>
      </c>
      <c r="L157" s="395" t="inlineStr">
        <is>
          <t>X</t>
        </is>
      </c>
      <c r="M157" s="395" t="n"/>
      <c r="N157" s="395" t="inlineStr">
        <is>
          <t>Done</t>
        </is>
      </c>
      <c r="O157" s="401" t="n"/>
      <c r="P157" s="395" t="n"/>
      <c r="Q157" s="397" t="inlineStr">
        <is>
          <t>SCMS.BC_BAO_CAO_GT
SCMS.DM_CHI_TIEU
SCMS.BC_THANH_VIEN</t>
        </is>
      </c>
      <c r="R157" s="397" t="inlineStr">
        <is>
          <t>gt.GIA_TRI,
gt.DM_CHI_TIEU_ID,
gt.BC_THANH_VIEN_ID,
bt.ID,
bt.NGAY_SO_LIEU,
bt.TRANG_THAI,
bt.XOA_DU_LIEU,
dct.ID,
dct.MA_CHI_TIEU</t>
        </is>
      </c>
      <c r="S157" s="395" t="n"/>
      <c r="T157" s="79" t="inlineStr">
        <is>
          <t>-- Số lượng NHN theo nghiệp vụ tư vấn
SELECT
    nd.ngay,
    TO_NUMBER(gt.GIA_TRI) AS so_nhn_tu_van
FROM (
    SELECT TRUNC(min_ngay) + LEVEL - 1 AS ngay
    FROM (
        SELECT MIN(bt.NGAY_SO_LIEU) AS min_ngay
        FROM SCMS.BC_BAO_CAO_GT   gt
        JOIN SCMS.DM_CHI_TIEU     dct ON dct.ID = gt.DM_CHI_TIEU_ID
        JOIN SCMS.BC_THANH_VIEN   bt  ON bt.ID  = gt.BC_THANH_VIEN_ID
        WHERE dct.MA_CHI_TIEU      = 'SO_NHN_TU_VAN'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'SO_NHN_TU_VAN'  -- Xác nhận
    AND TRUNC(bt.NGAY_SO_LIEU)   = nd.ngay
--    AND bt.CTCK_THONG_TIN_ID     = :p_ctck_id
    AND bt.TRANG_THAI            IN (4, 6)
    AND bt.XOA_DU_LIEU            = 0
ORDER BY nd.ngay;</t>
        </is>
      </c>
      <c r="U157" s="386" t="n"/>
      <c r="V157" s="395" t="n"/>
      <c r="W157" s="395" t="n"/>
      <c r="X157" s="395" t="n"/>
      <c r="Y157" s="14" t="inlineStr">
        <is>
          <t>Done</t>
        </is>
      </c>
      <c r="Z157" s="395" t="n"/>
      <c r="AA157" s="395" t="n"/>
      <c r="AB157" s="395" t="n"/>
      <c r="AC157" s="395" t="n"/>
      <c r="AD157" s="395" t="n"/>
      <c r="AE157" s="395" t="n"/>
    </row>
    <row r="158" ht="61.5" customHeight="1" s="380">
      <c r="A158" s="94" t="n">
        <v>29</v>
      </c>
      <c r="B158" s="386" t="n"/>
      <c r="C158" s="386" t="inlineStr">
        <is>
          <t>Dashboard Tra cứu hồ sơ 360 CTCK &gt;&gt; Dashboard NHNCK của CTCK &gt;&gt; Biểu đồ Số lượng NHN theo nghiệp vụ</t>
        </is>
      </c>
      <c r="D158" s="12" t="inlineStr">
        <is>
          <t>Số lượng NHN theo nghiệp vụ tự doanh</t>
        </is>
      </c>
      <c r="E158" s="12" t="inlineStr">
        <is>
          <t>Số lượng NHN theo nghiệp vụ tự doanh</t>
        </is>
      </c>
      <c r="F158" s="386" t="inlineStr">
        <is>
          <t>Dashboard</t>
        </is>
      </c>
      <c r="G158" s="386" t="inlineStr">
        <is>
          <t>Chỉ tiêu cơ sở</t>
        </is>
      </c>
      <c r="H158" s="386" t="inlineStr">
        <is>
          <t>TB</t>
        </is>
      </c>
      <c r="I158" s="386" t="inlineStr">
        <is>
          <t>Ngày, CTCK, Danh mục nghiệp vụ</t>
        </is>
      </c>
      <c r="J158" s="386" t="inlineStr">
        <is>
          <t>SCMS, NHNCK</t>
        </is>
      </c>
      <c r="K158" s="395" t="inlineStr">
        <is>
          <t>X</t>
        </is>
      </c>
      <c r="L158" s="395" t="inlineStr">
        <is>
          <t>X</t>
        </is>
      </c>
      <c r="M158" s="395" t="n"/>
      <c r="N158" s="395" t="inlineStr">
        <is>
          <t>Done</t>
        </is>
      </c>
      <c r="O158" s="401" t="n"/>
      <c r="P158" s="395" t="n"/>
      <c r="Q158" s="397" t="inlineStr">
        <is>
          <t>SCMS.BC_BAO_CAO_GT
SCMS.DM_CHI_TIEU
SCMS.BC_THANH_VIEN</t>
        </is>
      </c>
      <c r="R158" s="397" t="inlineStr">
        <is>
          <t>gt.GIA_TRI,
gt.DM_CHI_TIEU_ID,
gt.BC_THANH_VIEN_ID,
bt.ID,
bt.NGAY_SO_LIEU,
bt.TRANG_THAI,
bt.XOA_DU_LIEU,
dct.ID,
dct.MA_CHI_TIEU</t>
        </is>
      </c>
      <c r="S158" s="395" t="n"/>
      <c r="T158" s="79" t="inlineStr">
        <is>
          <t>-- Số lượng NHN theo nghiệp vụ tự doanh
SELECT
    nd.ngay,
    TO_NUMBER(gt.GIA_TRI) AS so_nhn_tu_doanh
FROM (
    SELECT TRUNC(min_ngay) + LEVEL - 1 AS ngay
    FROM (
        SELECT MIN(bt.NGAY_SO_LIEU) AS min_ngay
        FROM SCMS.BC_BAO_CAO_GT   gt
        JOIN SCMS.DM_CHI_TIEU     dct ON dct.ID = gt.DM_CHI_TIEU_ID
        JOIN SCMS.BC_THANH_VIEN   bt  ON bt.ID  = gt.BC_THANH_VIEN_ID
        WHERE dct.MA_CHI_TIEU      = 'SO_NHN_TU_DOANH'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'SO_NHN_TU_DOANH'  -- Xác nhận
    AND TRUNC(bt.NGAY_SO_LIEU)   = nd.ngay
--    AND bt.CTCK_THONG_TIN_ID     = :p_ctck_id
    AND bt.TRANG_THAI            IN (4, 6)
    AND bt.XOA_DU_LIEU            = 0
ORDER BY nd.ngay;</t>
        </is>
      </c>
      <c r="U158" s="386" t="n"/>
      <c r="V158" s="395" t="n"/>
      <c r="W158" s="395" t="n"/>
      <c r="X158" s="395" t="n"/>
      <c r="Y158" s="14" t="inlineStr">
        <is>
          <t>Done</t>
        </is>
      </c>
      <c r="Z158" s="395" t="n"/>
      <c r="AA158" s="395" t="n"/>
      <c r="AB158" s="395" t="n"/>
      <c r="AC158" s="395" t="n"/>
      <c r="AD158" s="395" t="n"/>
      <c r="AE158" s="395" t="n"/>
    </row>
    <row r="159" ht="70" customHeight="1" s="380">
      <c r="A159" s="94" t="n">
        <v>30</v>
      </c>
      <c r="B159" s="81" t="n"/>
      <c r="C159" s="81" t="inlineStr">
        <is>
          <t>Dashboard Tra cứu hồ sơ 360 CTCK &gt;&gt; Dashboard NHNCK của CTCK &gt;&gt; Biểu đồ Số lượng NHN theo dịch vụ CKPS</t>
        </is>
      </c>
      <c r="D159" s="12" t="inlineStr">
        <is>
          <t>Chiều thời gian theo Ngày</t>
        </is>
      </c>
      <c r="E159" s="12" t="inlineStr">
        <is>
          <t>Chiều thời gian theo Ngày</t>
        </is>
      </c>
      <c r="F159" s="386" t="inlineStr">
        <is>
          <t>Dashboard</t>
        </is>
      </c>
      <c r="G159" s="386" t="inlineStr">
        <is>
          <t>Chiều</t>
        </is>
      </c>
      <c r="H159" s="386" t="inlineStr">
        <is>
          <t>Trùng</t>
        </is>
      </c>
      <c r="I159" s="386" t="n"/>
      <c r="J159" s="386" t="inlineStr">
        <is>
          <t>SCMS</t>
        </is>
      </c>
      <c r="K159" s="395" t="n"/>
      <c r="L159" s="395" t="inlineStr">
        <is>
          <t>X</t>
        </is>
      </c>
      <c r="M159" s="395" t="n"/>
      <c r="N159" s="395" t="inlineStr">
        <is>
          <t>Done</t>
        </is>
      </c>
      <c r="O159" s="401" t="n"/>
      <c r="P159" s="395" t="n"/>
      <c r="Q159" s="20" t="inlineStr">
        <is>
          <t>Ngày dữ liệu</t>
        </is>
      </c>
      <c r="R159" s="395" t="n"/>
      <c r="S159" s="395" t="n"/>
      <c r="T159" s="4" t="inlineStr">
        <is>
          <t>-- Chiều thời gian theo ngày
SELECT TRUNC(min_ngay) + LEVEL - 1 AS ngay
FROM (SELECT MIN(NGAY_SO_LIEU) AS min_ngay FROM SCMS.BC_THANH_VIEN)
CONNECT BY TRUNC(min_ngay) + LEVEL - 1 &lt;= TRUNC(SYSDATE)
ORDER BY ngay;</t>
        </is>
      </c>
      <c r="U159" s="386" t="n"/>
      <c r="V159" s="395" t="n"/>
      <c r="W159" s="395" t="n"/>
      <c r="X159" s="395" t="n"/>
      <c r="Y159" s="14" t="inlineStr">
        <is>
          <t>Done</t>
        </is>
      </c>
      <c r="Z159" s="395" t="n"/>
      <c r="AA159" s="395" t="n"/>
      <c r="AB159" s="395" t="n"/>
      <c r="AC159" s="395" t="n"/>
      <c r="AD159" s="395" t="n"/>
      <c r="AE159" s="395" t="n"/>
    </row>
    <row r="160" ht="73.5" customHeight="1" s="380">
      <c r="A160" s="94" t="n">
        <v>30</v>
      </c>
      <c r="B160" s="386" t="n"/>
      <c r="C160" s="386" t="inlineStr">
        <is>
          <t>Dashboard Tra cứu hồ sơ 360 CTCK &gt;&gt; Dashboard NHNCK của CTCK &gt;&gt; Biểu đồ Số lượng NHN theo dịch vụ CKPS</t>
        </is>
      </c>
      <c r="D160" s="12" t="inlineStr">
        <is>
          <t>Chiều Dịch vụ phái sinh</t>
        </is>
      </c>
      <c r="E160" s="12" t="inlineStr">
        <is>
          <t>Dịch vụ phái sinh: Môi giới phái sinh, Tư vấn phái sinh, Tự doanh phái sinh</t>
        </is>
      </c>
      <c r="F160" s="386" t="inlineStr">
        <is>
          <t>Dashboard</t>
        </is>
      </c>
      <c r="G160" s="386" t="inlineStr">
        <is>
          <t>Chiều</t>
        </is>
      </c>
      <c r="H160" s="386" t="inlineStr">
        <is>
          <t>Trùng</t>
        </is>
      </c>
      <c r="I160" s="386" t="n"/>
      <c r="J160" s="386" t="inlineStr">
        <is>
          <t>SCMS</t>
        </is>
      </c>
      <c r="K160" s="395" t="n"/>
      <c r="L160" s="395" t="inlineStr">
        <is>
          <t>X</t>
        </is>
      </c>
      <c r="M160" s="395" t="n"/>
      <c r="N160" s="395" t="inlineStr">
        <is>
          <t>Done</t>
        </is>
      </c>
      <c r="O160" s="401" t="n"/>
      <c r="P160" s="395" t="n"/>
      <c r="Q160" s="390" t="inlineStr">
        <is>
          <t>SCMS.CTCK_DICH_VU
SCMS.DM_DICH_VU</t>
        </is>
      </c>
      <c r="R160" s="401" t="inlineStr">
        <is>
          <t>dd.ID,
dd.TEN_DICH_VU,
dv.DM_DICH_VU_ID,
dv.TRANG_THAI</t>
        </is>
      </c>
      <c r="S160" s="395" t="n"/>
      <c r="T160" s="386" t="inlineStr">
        <is>
          <t>-- Chiều: Dịch vụ phái sinh
SELECT DISTINCT
    CASE
        WHEN LOWER(dd.TEN_DICH_VU) LIKE '%môi giới%' THEN 'Môi giới phái sinh'
        WHEN LOWER(dd.TEN_DICH_VU) LIKE '%tư vấn%' THEN 'Tư vấn phái sinh'
        WHEN LOWER(dd.TEN_DICH_VU) LIKE '%tự doanh%' THEN 'Tự doanh phái sinh'
    END AS dich_vu_phai_sinh
FROM SCMS.CTCK_DICH_VU dv
JOIN SCMS.DM_DICH_VU dd ON dd.ID = dv.DM_DICH_VU_ID
WHERE dv.TRANG_THAI = 1
  AND LOWER(dd.TEN_DICH_VU) LIKE '%phái sinh%'
ORDER BY 1;</t>
        </is>
      </c>
      <c r="U160" s="386" t="n"/>
      <c r="V160" s="395" t="n"/>
      <c r="W160" s="395" t="n"/>
      <c r="X160" s="395" t="n"/>
      <c r="Y160" s="14" t="inlineStr">
        <is>
          <t>Done</t>
        </is>
      </c>
      <c r="Z160" s="395" t="n"/>
      <c r="AA160" s="395" t="n"/>
      <c r="AB160" s="395" t="n"/>
      <c r="AC160" s="395" t="n"/>
      <c r="AD160" s="395" t="n"/>
      <c r="AE160" s="395" t="n"/>
    </row>
    <row r="161" ht="61.5" customHeight="1" s="380">
      <c r="A161" s="94" t="n">
        <v>30</v>
      </c>
      <c r="B161" s="386" t="n"/>
      <c r="C161" s="386" t="inlineStr">
        <is>
          <t>Dashboard Tra cứu hồ sơ 360 CTCK &gt;&gt; Dashboard NHNCK của CTCK &gt;&gt; Biểu đồ Số lượng NHN theo dịch vụ CKPS</t>
        </is>
      </c>
      <c r="D161" s="12" t="inlineStr">
        <is>
          <t>Số lượng NHN liên quan CK phái sinh theo dịch vụ môi giới</t>
        </is>
      </c>
      <c r="E161" s="12" t="inlineStr">
        <is>
          <t>Số lượng NHN liên quan CK phái sinh theo dịch vụ môi giới</t>
        </is>
      </c>
      <c r="F161" s="386" t="inlineStr">
        <is>
          <t>Dashboard</t>
        </is>
      </c>
      <c r="G161" s="386" t="inlineStr">
        <is>
          <t>Chỉ tiêu cơ sở</t>
        </is>
      </c>
      <c r="H161" s="386" t="inlineStr">
        <is>
          <t>TB</t>
        </is>
      </c>
      <c r="I161" s="386" t="inlineStr">
        <is>
          <t>Ngày, CTCK, Danh mục dịch vụ phái sinh</t>
        </is>
      </c>
      <c r="J161" s="386" t="inlineStr">
        <is>
          <t>SCMS, NHNCK</t>
        </is>
      </c>
      <c r="K161" s="395" t="inlineStr">
        <is>
          <t>X</t>
        </is>
      </c>
      <c r="L161" s="395" t="inlineStr">
        <is>
          <t>X</t>
        </is>
      </c>
      <c r="M161" s="395" t="n"/>
      <c r="N161" s="395" t="inlineStr">
        <is>
          <t>Done</t>
        </is>
      </c>
      <c r="O161" s="401" t="n"/>
      <c r="P161" s="395" t="n"/>
      <c r="Q161" s="397" t="inlineStr">
        <is>
          <t>SCMS.BC_BAO_CAO_GT
SCMS.DM_CHI_TIEU
SCMS.BC_THANH_VIEN</t>
        </is>
      </c>
      <c r="R161" s="397" t="inlineStr">
        <is>
          <t>gt.GIA_TRI,
gt.DM_CHI_TIEU_ID,
gt.BC_THANH_VIEN_ID,
bt.ID,
bt.NGAY_SO_LIEU,
bt.TRANG_THAI,
bt.XOA_DU_LIEU,
dct.ID,
dct.MA_CHI_TIEU</t>
        </is>
      </c>
      <c r="S161" s="395" t="n"/>
      <c r="T161" s="79" t="inlineStr">
        <is>
          <t>-- Số lượng NHN liên quan CK phái sinh theo dịch vụ môi giới
SELECT
    nd.ngay,
    TO_NUMBER(gt.GIA_TRI) AS so_nhn_ckps_moi_gioi
FROM (
    SELECT TRUNC(min_ngay) + LEVEL - 1 AS ngay
    FROM (
        SELECT MIN(bt.NGAY_SO_LIEU) AS min_ngay
        FROM SCMS.BC_BAO_CAO_GT   gt
        JOIN SCMS.DM_CHI_TIEU     dct ON dct.ID = gt.DM_CHI_TIEU_ID
        JOIN SCMS.BC_THANH_VIEN   bt  ON bt.ID  = gt.BC_THANH_VIEN_ID
        WHERE dct.MA_CHI_TIEU      = 'SO_NHN_CKPS_MOI_GIOI'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'SO_NHN_CKPS_MOI_GIOI'  -- Xác nhận
    AND TRUNC(bt.NGAY_SO_LIEU)   = nd.ngay
--    AND bt.CTCK_THONG_TIN_ID     = :p_ctck_id
    AND bt.TRANG_THAI            IN (4, 6)
    AND bt.XOA_DU_LIEU            = 0
ORDER BY nd.ngay;</t>
        </is>
      </c>
      <c r="U161" s="386" t="n"/>
      <c r="V161" s="395" t="n"/>
      <c r="W161" s="395" t="n"/>
      <c r="X161" s="395" t="n"/>
      <c r="Y161" s="14" t="inlineStr">
        <is>
          <t>Done</t>
        </is>
      </c>
      <c r="Z161" s="395" t="n"/>
      <c r="AA161" s="395" t="n"/>
      <c r="AB161" s="395" t="n"/>
      <c r="AC161" s="395" t="n"/>
      <c r="AD161" s="395" t="n"/>
      <c r="AE161" s="395" t="n"/>
    </row>
    <row r="162" ht="61.5" customHeight="1" s="380">
      <c r="A162" s="94" t="n">
        <v>30</v>
      </c>
      <c r="B162" s="386" t="n"/>
      <c r="C162" s="386" t="inlineStr">
        <is>
          <t>Dashboard Tra cứu hồ sơ 360 CTCK &gt;&gt; Dashboard NHNCK của CTCK &gt;&gt; Biểu đồ Số lượng NHN theo dịch vụ CKPS</t>
        </is>
      </c>
      <c r="D162" s="12" t="inlineStr">
        <is>
          <t>Số lượng NHN liên quan CK phái sinh theo dịch vụ tư vấn</t>
        </is>
      </c>
      <c r="E162" s="12" t="inlineStr">
        <is>
          <t>Số lượng NHN liên quan CK phái sinh theo dịch vụ tư vấn</t>
        </is>
      </c>
      <c r="F162" s="386" t="inlineStr">
        <is>
          <t>Dashboard</t>
        </is>
      </c>
      <c r="G162" s="386" t="inlineStr">
        <is>
          <t>Chỉ tiêu cơ sở</t>
        </is>
      </c>
      <c r="H162" s="386" t="inlineStr">
        <is>
          <t>TB</t>
        </is>
      </c>
      <c r="I162" s="386" t="inlineStr">
        <is>
          <t>Ngày, CTCK, Danh mục dịch vụ phái sinh</t>
        </is>
      </c>
      <c r="J162" s="386" t="inlineStr">
        <is>
          <t>SCMS, NHNCK</t>
        </is>
      </c>
      <c r="K162" s="395" t="inlineStr">
        <is>
          <t>X</t>
        </is>
      </c>
      <c r="L162" s="395" t="inlineStr">
        <is>
          <t>X</t>
        </is>
      </c>
      <c r="M162" s="395" t="n"/>
      <c r="N162" s="395" t="inlineStr">
        <is>
          <t>Done</t>
        </is>
      </c>
      <c r="O162" s="401" t="n"/>
      <c r="P162" s="395" t="n"/>
      <c r="Q162" s="397" t="inlineStr">
        <is>
          <t>SCMS.BC_BAO_CAO_GT
SCMS.DM_CHI_TIEU
SCMS.BC_THANH_VIEN</t>
        </is>
      </c>
      <c r="R162" s="397" t="inlineStr">
        <is>
          <t>gt.GIA_TRI,
gt.DM_CHI_TIEU_ID,
gt.BC_THANH_VIEN_ID,
bt.ID,
bt.NGAY_SO_LIEU,
bt.TRANG_THAI,
bt.XOA_DU_LIEU,
dct.ID,
dct.MA_CHI_TIEU</t>
        </is>
      </c>
      <c r="S162" s="395" t="n"/>
      <c r="T162" s="79" t="inlineStr">
        <is>
          <t>-- Số lượng NHN liên quan CK phái sinh theo dịch vụ tư vấn
SELECT
    nd.ngay,
    TO_NUMBER(gt.GIA_TRI) AS so_nhn_ckps_tu_van
FROM (
    SELECT TRUNC(min_ngay) + LEVEL - 1 AS ngay
    FROM (
        SELECT MIN(bt.NGAY_SO_LIEU) AS min_ngay
        FROM SCMS.BC_BAO_CAO_GT   gt
        JOIN SCMS.DM_CHI_TIEU     dct ON dct.ID = gt.DM_CHI_TIEU_ID
        JOIN SCMS.BC_THANH_VIEN   bt  ON bt.ID  = gt.BC_THANH_VIEN_ID
        WHERE dct.MA_CHI_TIEU      = 'SO_NHN_CKPS_TU_VAN'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'SO_NHN_CKPS_TU_VAN'  -- Xác nhận
    AND TRUNC(bt.NGAY_SO_LIEU)   = nd.ngay
--    AND bt.CTCK_THONG_TIN_ID     = :p_ctck_id
    AND bt.TRANG_THAI            IN (4, 6)
    AND bt.XOA_DU_LIEU            = 0
ORDER BY nd.ngay;</t>
        </is>
      </c>
      <c r="U162" s="386" t="n"/>
      <c r="V162" s="395" t="n"/>
      <c r="W162" s="395" t="n"/>
      <c r="X162" s="395" t="n"/>
      <c r="Y162" s="14" t="inlineStr">
        <is>
          <t>Done</t>
        </is>
      </c>
      <c r="Z162" s="395" t="n"/>
      <c r="AA162" s="395" t="n"/>
      <c r="AB162" s="395" t="n"/>
      <c r="AC162" s="395" t="n"/>
      <c r="AD162" s="395" t="n"/>
      <c r="AE162" s="395" t="n"/>
    </row>
    <row r="163" ht="63" customHeight="1" s="380">
      <c r="A163" s="94" t="n">
        <v>30</v>
      </c>
      <c r="B163" s="386" t="n"/>
      <c r="C163" s="386" t="inlineStr">
        <is>
          <t>Dashboard Tra cứu hồ sơ 360 CTCK &gt;&gt; Dashboard NHNCK của CTCK &gt;&gt; Biểu đồ Số lượng NHN theo dịch vụ CKPS</t>
        </is>
      </c>
      <c r="D163" s="12" t="inlineStr">
        <is>
          <t>Số lượng NHN liên quan CK phái sinh theo dịch vụ tự doanh</t>
        </is>
      </c>
      <c r="E163" s="12" t="inlineStr">
        <is>
          <t>Số lượng NHN liên quan CK phái sinh theo dịch vụ tự doanh</t>
        </is>
      </c>
      <c r="F163" s="386" t="inlineStr">
        <is>
          <t>Dashboard</t>
        </is>
      </c>
      <c r="G163" s="386" t="inlineStr">
        <is>
          <t>Chỉ tiêu cơ sở</t>
        </is>
      </c>
      <c r="H163" s="386" t="inlineStr">
        <is>
          <t>TB</t>
        </is>
      </c>
      <c r="I163" s="386" t="inlineStr">
        <is>
          <t>Ngày, CTCK, Danh mục dịch vụ phái sinh</t>
        </is>
      </c>
      <c r="J163" s="386" t="inlineStr">
        <is>
          <t>SCMS, NHNCK</t>
        </is>
      </c>
      <c r="K163" s="395" t="inlineStr">
        <is>
          <t>X</t>
        </is>
      </c>
      <c r="L163" s="395" t="inlineStr">
        <is>
          <t>X</t>
        </is>
      </c>
      <c r="M163" s="395" t="n"/>
      <c r="N163" s="395" t="inlineStr">
        <is>
          <t>Done</t>
        </is>
      </c>
      <c r="O163" s="401" t="n"/>
      <c r="P163" s="395" t="n"/>
      <c r="Q163" s="397" t="inlineStr">
        <is>
          <t>SCMS.BC_BAO_CAO_GT
SCMS.DM_CHI_TIEU
SCMS.BC_THANH_VIEN</t>
        </is>
      </c>
      <c r="R163" s="397" t="inlineStr">
        <is>
          <t>gt.GIA_TRI,
gt.DM_CHI_TIEU_ID,
gt.BC_THANH_VIEN_ID,
bt.ID,
bt.NGAY_SO_LIEU,
bt.TRANG_THAI,
bt.XOA_DU_LIEU,
dct.ID,
dct.MA_CHI_TIEU</t>
        </is>
      </c>
      <c r="S163" s="395" t="n"/>
      <c r="T163" s="79" t="inlineStr">
        <is>
          <t>-- Số lượng NHN liên quan CK phái sinh theo dịch vụ tự doanh
SELECT
    nd.ngay,
    TO_NUMBER(gt.GIA_TRI) AS so_nhn_ckps_tu_doanh
FROM (
    SELECT TRUNC(min_ngay) + LEVEL - 1 AS ngay
    FROM (
        SELECT MIN(bt.NGAY_SO_LIEU) AS min_ngay
        FROM SCMS.BC_BAO_CAO_GT   gt
        JOIN SCMS.DM_CHI_TIEU     dct ON dct.ID = gt.DM_CHI_TIEU_ID
        JOIN SCMS.BC_THANH_VIEN   bt  ON bt.ID  = gt.BC_THANH_VIEN_ID
        WHERE dct.MA_CHI_TIEU      = 'SO_NHN_CKPS_TU_DOANH'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'SO_NHN_CKPS_TU_DOANH'  -- Xác nhận
    AND TRUNC(bt.NGAY_SO_LIEU)   = nd.ngay
--    AND bt.CTCK_THONG_TIN_ID     = :p_ctck_id
    AND bt.TRANG_THAI            IN (4, 6)
    AND bt.XOA_DU_LIEU            = 0
ORDER BY nd.ngay;</t>
        </is>
      </c>
      <c r="U163" s="386" t="n"/>
      <c r="V163" s="395" t="n"/>
      <c r="W163" s="395" t="n"/>
      <c r="X163" s="395" t="n"/>
      <c r="Y163" s="14" t="inlineStr">
        <is>
          <t>Done</t>
        </is>
      </c>
      <c r="Z163" s="395" t="n"/>
      <c r="AA163" s="395" t="n"/>
      <c r="AB163" s="395" t="n"/>
      <c r="AC163" s="395" t="n"/>
      <c r="AD163" s="395" t="n"/>
      <c r="AE163" s="395" t="n"/>
    </row>
    <row r="164" ht="42" customHeight="1" s="380">
      <c r="A164" s="94" t="n">
        <v>31</v>
      </c>
      <c r="B164" s="81" t="n"/>
      <c r="C164" s="81" t="inlineStr">
        <is>
          <t>Dashboard Tra cứu hồ sơ 360 CTCK &gt;&gt; Dashboard nhân sự của CTCK</t>
        </is>
      </c>
      <c r="D164" s="12" t="inlineStr">
        <is>
          <t>Chiều thời gian theo Ngày</t>
        </is>
      </c>
      <c r="E164" s="12" t="inlineStr">
        <is>
          <t>Chiều thời gian theo Ngày</t>
        </is>
      </c>
      <c r="F164" s="386" t="inlineStr">
        <is>
          <t>Dashboard</t>
        </is>
      </c>
      <c r="G164" s="386" t="inlineStr">
        <is>
          <t>Chiều</t>
        </is>
      </c>
      <c r="H164" s="386" t="inlineStr">
        <is>
          <t>Trùng</t>
        </is>
      </c>
      <c r="I164" s="386" t="n"/>
      <c r="J164" s="386" t="inlineStr">
        <is>
          <t>SCMS</t>
        </is>
      </c>
      <c r="K164" s="395" t="n"/>
      <c r="L164" s="395" t="inlineStr">
        <is>
          <t>X</t>
        </is>
      </c>
      <c r="M164" s="395" t="n"/>
      <c r="N164" s="395" t="inlineStr">
        <is>
          <t>Done</t>
        </is>
      </c>
      <c r="O164" s="401" t="n"/>
      <c r="P164" s="395" t="n"/>
      <c r="Q164" s="20" t="inlineStr">
        <is>
          <t>Ngày dữ liệu</t>
        </is>
      </c>
      <c r="R164" s="395" t="n"/>
      <c r="S164" s="395" t="n"/>
      <c r="T164" s="4" t="inlineStr">
        <is>
          <t>-- Chiều thời gian theo ngày
SELECT TRUNC(min_ngay) + LEVEL - 1 AS ngay
FROM (SELECT MIN(NGAY_SO_LIEU) AS min_ngay FROM SCMS.BC_THANH_VIEN)
CONNECT BY TRUNC(min_ngay) + LEVEL - 1 &lt;= TRUNC(SYSDATE)
ORDER BY ngay;</t>
        </is>
      </c>
      <c r="U164" s="386" t="n"/>
      <c r="V164" s="395" t="n"/>
      <c r="W164" s="395" t="n"/>
      <c r="X164" s="395" t="n"/>
      <c r="Y164" s="14" t="inlineStr">
        <is>
          <t>Done</t>
        </is>
      </c>
      <c r="Z164" s="395" t="n"/>
      <c r="AA164" s="395" t="n"/>
      <c r="AB164" s="395" t="n"/>
      <c r="AC164" s="395" t="n"/>
      <c r="AD164" s="395" t="n"/>
      <c r="AE164" s="395" t="n"/>
    </row>
    <row r="165" ht="42" customHeight="1" s="380">
      <c r="A165" s="94" t="n">
        <v>31</v>
      </c>
      <c r="B165" s="386" t="n"/>
      <c r="C165" s="386" t="inlineStr">
        <is>
          <t>Dashboard Tra cứu hồ sơ 360 CTCK &gt;&gt; Dashboard nhân sự của CTCK</t>
        </is>
      </c>
      <c r="D165" s="12" t="inlineStr">
        <is>
          <t>Họ và tên</t>
        </is>
      </c>
      <c r="E165" s="12" t="inlineStr">
        <is>
          <t>Họ tên của nhân sự, dữ liệu hiện tại</t>
        </is>
      </c>
      <c r="F165" s="386" t="inlineStr">
        <is>
          <t>Dashboard</t>
        </is>
      </c>
      <c r="G165" s="386" t="inlineStr">
        <is>
          <t>Chỉ tiêu cơ sở</t>
        </is>
      </c>
      <c r="H165" s="386" t="inlineStr">
        <is>
          <t>Dễ</t>
        </is>
      </c>
      <c r="I165" s="386" t="inlineStr">
        <is>
          <t>Ngày, CTCK</t>
        </is>
      </c>
      <c r="J165" s="386" t="inlineStr">
        <is>
          <t>SCMS</t>
        </is>
      </c>
      <c r="K165" s="395" t="inlineStr">
        <is>
          <t>X</t>
        </is>
      </c>
      <c r="L165" s="395" t="inlineStr">
        <is>
          <t>X</t>
        </is>
      </c>
      <c r="M165" s="395" t="n"/>
      <c r="N165" s="395" t="inlineStr">
        <is>
          <t>Done</t>
        </is>
      </c>
      <c r="O165" s="401" t="n"/>
      <c r="P165" s="395" t="n"/>
      <c r="Q165" s="395" t="inlineStr">
        <is>
          <t>SCMS.CTCK_NHAN_SU_CAO_CAP
SCMS.DM_CHUC_VU</t>
        </is>
      </c>
      <c r="R165" s="395" t="inlineStr">
        <is>
          <t>ns.CHUC_VU_ID,
ns.HO_TEN,
ns.EMAIL,
ns.DIEN_THOAI,
ns.NGAY_TAO,
ns.IS_BANG_TAM,
ns.TRANG_THAI,
ns.NGAY_THOI_VIEC,
cv.MA_CHUC_VU,
cv.NHOM_CHUC_VU,
cv.TEN_CHUC_VU</t>
        </is>
      </c>
      <c r="S165" s="395" t="n"/>
      <c r="T165" s="384" t="inlineStr">
        <is>
          <t>-- Dashboard nhân sự của CTCK
SELECT
    ns.HO_TEN AS ho_ten,
    ns.EMAIL AS email,
    ns.DIEN_THOAI AS so_dien_thoai,
    cv.NHOM_CHUC_VU AS nhom_chuc_vu,  -- Nhóm Hội đồng Quản trị, Hội đồng Thành viên, Ban Kiểm soát / UB Kiểm toán, Ban Điều hành,...
    cv.TEN_CHUC_VU AS chuc_vu,
    TRUNC(ns.NGAY_TAO) AS ngay_bat_dau_lam_viec  -- Xác nhận lại
FROM SCMS.CTCK_NHAN_SU_CAO_CAP  ns
JOIN SCMS.DM_CHUC_VU  cv  ON cv.MA_CHUC_VU = ns.CHUC_VU_ID
WHERE 1 = 1
--  AND ns.CTCK_THONG_TIN_ID = :p_ctck_id
  AND ns.IS_BANG_TAM        = 1
  AND ns.TRANG_THAI         = 1
  -- Đang giữ chức vụ tại ngày đã chọn (chưa thôi việc):
  AND (
      ns.NGAY_THOI_VIEC IS NULL
      OR TRUNC(ns.NGAY_THOI_VIEC) &gt; TRUNC(NVL(:p_ngay, SYSDATE))
  )
ORDER BY cv.NHOM_CHUC_VU, ns.HO_TEN;</t>
        </is>
      </c>
      <c r="U165" s="386" t="n"/>
      <c r="V165" s="395" t="n"/>
      <c r="W165" s="395" t="n"/>
      <c r="X165" s="395" t="n"/>
      <c r="Y165" s="14" t="inlineStr">
        <is>
          <t>Done</t>
        </is>
      </c>
      <c r="Z165" s="395" t="n"/>
      <c r="AA165" s="395" t="n"/>
      <c r="AB165" s="395" t="n"/>
      <c r="AC165" s="395" t="n"/>
      <c r="AD165" s="395" t="n"/>
      <c r="AE165" s="395" t="n"/>
    </row>
    <row r="166" ht="42" customHeight="1" s="380">
      <c r="A166" s="94" t="n">
        <v>31</v>
      </c>
      <c r="B166" s="386" t="n"/>
      <c r="C166" s="386" t="inlineStr">
        <is>
          <t>Dashboard Tra cứu hồ sơ 360 CTCK &gt;&gt; Dashboard nhân sự của CTCK</t>
        </is>
      </c>
      <c r="D166" s="12" t="inlineStr">
        <is>
          <t>Email</t>
        </is>
      </c>
      <c r="E166" s="12" t="inlineStr">
        <is>
          <t>Email, dữ liệu hiện tại</t>
        </is>
      </c>
      <c r="F166" s="386" t="inlineStr">
        <is>
          <t>Dashboard</t>
        </is>
      </c>
      <c r="G166" s="386" t="inlineStr">
        <is>
          <t>Chỉ tiêu cơ sở</t>
        </is>
      </c>
      <c r="H166" s="386" t="inlineStr">
        <is>
          <t>Dễ</t>
        </is>
      </c>
      <c r="I166" s="386" t="inlineStr">
        <is>
          <t>Ngày, CTCK</t>
        </is>
      </c>
      <c r="J166" s="386" t="inlineStr">
        <is>
          <t>SCMS</t>
        </is>
      </c>
      <c r="K166" s="395" t="inlineStr">
        <is>
          <t>X</t>
        </is>
      </c>
      <c r="L166" s="395" t="inlineStr">
        <is>
          <t>X</t>
        </is>
      </c>
      <c r="M166" s="395" t="n"/>
      <c r="N166" s="395" t="inlineStr">
        <is>
          <t>Done</t>
        </is>
      </c>
      <c r="O166" s="401" t="n"/>
      <c r="P166" s="395" t="n"/>
      <c r="S166" s="395" t="n"/>
      <c r="U166" s="386" t="n"/>
      <c r="V166" s="395" t="n"/>
      <c r="W166" s="395" t="n"/>
      <c r="X166" s="395" t="n"/>
      <c r="Y166" s="14" t="inlineStr">
        <is>
          <t>Done</t>
        </is>
      </c>
      <c r="Z166" s="395" t="n"/>
      <c r="AA166" s="395" t="n"/>
      <c r="AB166" s="395" t="n"/>
      <c r="AC166" s="395" t="n"/>
      <c r="AD166" s="395" t="n"/>
      <c r="AE166" s="395" t="n"/>
    </row>
    <row r="167" ht="42" customHeight="1" s="380">
      <c r="A167" s="94" t="n">
        <v>31</v>
      </c>
      <c r="B167" s="386" t="n"/>
      <c r="C167" s="386" t="inlineStr">
        <is>
          <t>Dashboard Tra cứu hồ sơ 360 CTCK &gt;&gt; Dashboard nhân sự của CTCK</t>
        </is>
      </c>
      <c r="D167" s="12" t="inlineStr">
        <is>
          <t>Số điện thoại</t>
        </is>
      </c>
      <c r="E167" s="12" t="inlineStr">
        <is>
          <t>Số điện thoại, dữ liệu hiện tại</t>
        </is>
      </c>
      <c r="F167" s="386" t="inlineStr">
        <is>
          <t>Dashboard</t>
        </is>
      </c>
      <c r="G167" s="386" t="inlineStr">
        <is>
          <t>Chỉ tiêu cơ sở</t>
        </is>
      </c>
      <c r="H167" s="386" t="inlineStr">
        <is>
          <t>Dễ</t>
        </is>
      </c>
      <c r="I167" s="386" t="inlineStr">
        <is>
          <t>Ngày, CTCK</t>
        </is>
      </c>
      <c r="J167" s="386" t="inlineStr">
        <is>
          <t>SCMS</t>
        </is>
      </c>
      <c r="K167" s="395" t="inlineStr">
        <is>
          <t>X</t>
        </is>
      </c>
      <c r="L167" s="395" t="inlineStr">
        <is>
          <t>X</t>
        </is>
      </c>
      <c r="M167" s="395" t="n"/>
      <c r="N167" s="395" t="inlineStr">
        <is>
          <t>Done</t>
        </is>
      </c>
      <c r="O167" s="401" t="n"/>
      <c r="P167" s="395" t="n"/>
      <c r="S167" s="395" t="n"/>
      <c r="U167" s="386" t="n"/>
      <c r="V167" s="395" t="n"/>
      <c r="W167" s="395" t="n"/>
      <c r="X167" s="395" t="n"/>
      <c r="Y167" s="14" t="inlineStr">
        <is>
          <t>Done</t>
        </is>
      </c>
      <c r="Z167" s="395" t="n"/>
      <c r="AA167" s="395" t="n"/>
      <c r="AB167" s="395" t="n"/>
      <c r="AC167" s="395" t="n"/>
      <c r="AD167" s="395" t="n"/>
      <c r="AE167" s="395" t="n"/>
    </row>
    <row r="168" ht="42" customHeight="1" s="380">
      <c r="A168" s="94" t="n">
        <v>31</v>
      </c>
      <c r="B168" s="386" t="n"/>
      <c r="C168" s="386" t="inlineStr">
        <is>
          <t>Dashboard Tra cứu hồ sơ 360 CTCK &gt;&gt; Dashboard nhân sự của CTCK</t>
        </is>
      </c>
      <c r="D168" s="12" t="inlineStr">
        <is>
          <t>Chức vụ</t>
        </is>
      </c>
      <c r="E168" s="12" t="inlineStr">
        <is>
          <t>Chức vụ của nhân sự, dữ liệu hiện tại</t>
        </is>
      </c>
      <c r="F168" s="386" t="inlineStr">
        <is>
          <t>Dashboard</t>
        </is>
      </c>
      <c r="G168" s="386" t="inlineStr">
        <is>
          <t>Chỉ tiêu cơ sở</t>
        </is>
      </c>
      <c r="H168" s="386" t="inlineStr">
        <is>
          <t>Dễ</t>
        </is>
      </c>
      <c r="I168" s="386" t="inlineStr">
        <is>
          <t>Ngày, CTCK</t>
        </is>
      </c>
      <c r="J168" s="386" t="inlineStr">
        <is>
          <t>SCMS</t>
        </is>
      </c>
      <c r="K168" s="395" t="inlineStr">
        <is>
          <t>X</t>
        </is>
      </c>
      <c r="L168" s="395" t="inlineStr">
        <is>
          <t>X</t>
        </is>
      </c>
      <c r="M168" s="395" t="n"/>
      <c r="N168" s="395" t="inlineStr">
        <is>
          <t>Done</t>
        </is>
      </c>
      <c r="O168" s="401" t="n"/>
      <c r="P168" s="395" t="n"/>
      <c r="S168" s="395" t="n"/>
      <c r="U168" s="386" t="n"/>
      <c r="V168" s="395" t="n"/>
      <c r="W168" s="395" t="n"/>
      <c r="X168" s="395" t="n"/>
      <c r="Y168" s="14" t="inlineStr">
        <is>
          <t>Done</t>
        </is>
      </c>
      <c r="Z168" s="395" t="n"/>
      <c r="AA168" s="395" t="n"/>
      <c r="AB168" s="395" t="n"/>
      <c r="AC168" s="395" t="n"/>
      <c r="AD168" s="395" t="n"/>
      <c r="AE168" s="395" t="n"/>
    </row>
    <row r="169" ht="42" customHeight="1" s="380">
      <c r="A169" s="94" t="n">
        <v>31</v>
      </c>
      <c r="B169" s="386" t="n"/>
      <c r="C169" s="386" t="inlineStr">
        <is>
          <t>Dashboard Tra cứu hồ sơ 360 CTCK &gt;&gt; Dashboard nhân sự của CTCK</t>
        </is>
      </c>
      <c r="D169" s="12" t="inlineStr">
        <is>
          <t>Thời gian bắt đầu làm việc</t>
        </is>
      </c>
      <c r="E169" s="12" t="inlineStr">
        <is>
          <t>Thời gian bắt đầu làm việc, dữ liệu hiện tại</t>
        </is>
      </c>
      <c r="F169" s="386" t="inlineStr">
        <is>
          <t>Dashboard</t>
        </is>
      </c>
      <c r="G169" s="386" t="inlineStr">
        <is>
          <t>Chỉ tiêu cơ sở</t>
        </is>
      </c>
      <c r="H169" s="386" t="inlineStr">
        <is>
          <t>Dễ</t>
        </is>
      </c>
      <c r="I169" s="386" t="inlineStr">
        <is>
          <t>Ngày, CTCK</t>
        </is>
      </c>
      <c r="J169" s="386" t="inlineStr">
        <is>
          <t>SCMS</t>
        </is>
      </c>
      <c r="K169" s="395" t="inlineStr">
        <is>
          <t>X</t>
        </is>
      </c>
      <c r="L169" s="395" t="inlineStr">
        <is>
          <t>X</t>
        </is>
      </c>
      <c r="M169" s="395" t="n"/>
      <c r="N169" s="395" t="inlineStr">
        <is>
          <t>Done</t>
        </is>
      </c>
      <c r="O169" s="401" t="n"/>
      <c r="P169" s="395" t="n"/>
      <c r="S169" s="395" t="n"/>
      <c r="U169" s="386" t="n"/>
      <c r="V169" s="395" t="n"/>
      <c r="W169" s="395" t="n"/>
      <c r="X169" s="395" t="n"/>
      <c r="Y169" s="14" t="inlineStr">
        <is>
          <t>Done</t>
        </is>
      </c>
      <c r="Z169" s="395" t="n"/>
      <c r="AA169" s="395" t="n"/>
      <c r="AB169" s="395" t="n"/>
      <c r="AC169" s="395" t="n"/>
      <c r="AD169" s="395" t="n"/>
      <c r="AE169" s="395" t="n"/>
    </row>
    <row r="170" ht="70" customHeight="1" s="380">
      <c r="A170" s="94" t="n">
        <v>32</v>
      </c>
      <c r="B170" s="81" t="n"/>
      <c r="C170" s="81" t="inlineStr">
        <is>
          <t>Dashboard Tra cứu hồ sơ 360 CTCK &gt;&gt; Dashboard CN, PGD, VPĐD của CTCK &gt;&gt; Biểu đồ Các chỉ tiêu thống kê chung</t>
        </is>
      </c>
      <c r="D170" s="12" t="inlineStr">
        <is>
          <t>Chiều thời gian theo Ngày</t>
        </is>
      </c>
      <c r="E170" s="12" t="inlineStr">
        <is>
          <t>Chiều thời gian theo Ngày</t>
        </is>
      </c>
      <c r="F170" s="386" t="inlineStr">
        <is>
          <t>Dashboard</t>
        </is>
      </c>
      <c r="G170" s="386" t="inlineStr">
        <is>
          <t>Chiều</t>
        </is>
      </c>
      <c r="H170" s="386" t="inlineStr">
        <is>
          <t>Trùng</t>
        </is>
      </c>
      <c r="I170" s="386" t="n"/>
      <c r="J170" s="386" t="inlineStr">
        <is>
          <t>SCMS</t>
        </is>
      </c>
      <c r="K170" s="395" t="n"/>
      <c r="L170" s="395" t="inlineStr">
        <is>
          <t>X</t>
        </is>
      </c>
      <c r="M170" s="395" t="n"/>
      <c r="N170" s="395" t="inlineStr">
        <is>
          <t>Done</t>
        </is>
      </c>
      <c r="O170" s="401" t="n"/>
      <c r="P170" s="395" t="n"/>
      <c r="Q170" s="20" t="inlineStr">
        <is>
          <t>Ngày dữ liệu</t>
        </is>
      </c>
      <c r="R170" s="395" t="n"/>
      <c r="S170" s="395" t="n"/>
      <c r="T170" s="4" t="inlineStr">
        <is>
          <t>-- Chiều thời gian theo ngày
SELECT TRUNC(min_ngay) + LEVEL - 1 AS ngay
FROM (SELECT MIN(NGAY_SO_LIEU) AS min_ngay FROM SCMS.BC_THANH_VIEN)
CONNECT BY TRUNC(min_ngay) + LEVEL - 1 &lt;= TRUNC(SYSDATE)
ORDER BY ngay;</t>
        </is>
      </c>
      <c r="U170" s="386" t="n"/>
      <c r="V170" s="395" t="n"/>
      <c r="W170" s="395" t="n"/>
      <c r="X170" s="395" t="n"/>
      <c r="Y170" s="14" t="inlineStr">
        <is>
          <t>Done</t>
        </is>
      </c>
      <c r="Z170" s="395" t="n"/>
      <c r="AA170" s="395" t="n"/>
      <c r="AB170" s="395" t="n"/>
      <c r="AC170" s="395" t="n"/>
      <c r="AD170" s="395" t="n"/>
      <c r="AE170" s="395" t="n"/>
    </row>
    <row r="171" ht="63.75" customHeight="1" s="380">
      <c r="A171" s="94" t="n">
        <v>32</v>
      </c>
      <c r="B171" s="386" t="n"/>
      <c r="C171" s="386" t="inlineStr">
        <is>
          <t>Dashboard Tra cứu hồ sơ 360 CTCK &gt;&gt; Dashboard CN, PGD, VPĐD của CTCK &gt;&gt; Biểu đồ Các chỉ tiêu thống kê chung</t>
        </is>
      </c>
      <c r="D171" s="12" t="inlineStr">
        <is>
          <t>Số lượng CN</t>
        </is>
      </c>
      <c r="E171" s="12" t="inlineStr">
        <is>
          <t>Số lượng CN của CTCK đã được cấp phép</t>
        </is>
      </c>
      <c r="F171" s="386" t="inlineStr">
        <is>
          <t>Dashboard</t>
        </is>
      </c>
      <c r="G171" s="386" t="inlineStr">
        <is>
          <t>Chỉ tiêu cơ sở</t>
        </is>
      </c>
      <c r="H171" s="386" t="inlineStr">
        <is>
          <t>TB</t>
        </is>
      </c>
      <c r="I171" s="386" t="inlineStr">
        <is>
          <t>Ngày, CTCK</t>
        </is>
      </c>
      <c r="J171" s="386" t="inlineStr">
        <is>
          <t>SCMS</t>
        </is>
      </c>
      <c r="K171" s="395" t="inlineStr">
        <is>
          <t>X</t>
        </is>
      </c>
      <c r="L171" s="395" t="inlineStr">
        <is>
          <t>X</t>
        </is>
      </c>
      <c r="M171" s="395" t="n"/>
      <c r="N171" s="395" t="inlineStr">
        <is>
          <t>Done</t>
        </is>
      </c>
      <c r="O171" s="401" t="n"/>
      <c r="P171" s="395" t="n"/>
      <c r="Q171" s="395" t="inlineStr">
        <is>
          <t>SCMS.CTCK_CHI_NHANH</t>
        </is>
      </c>
      <c r="R171" s="395" t="inlineStr">
        <is>
          <t>cn.CTCK_THONG_TIN_ID,
cn.TRANG_THAI_CHI_NHANH,
cn.IS_BANG_TAM,
cn.TRANG_THAI,
cn.NGAY_QUYET_DINH</t>
        </is>
      </c>
      <c r="S171" s="395" t="n"/>
      <c r="T171" s="386" t="inlineStr">
        <is>
          <t>-- Số lượng CN của CTCK đã được cấp phép
SELECT
    COUNT(*) AS tong_cn_ctck,
    COUNT(CASE WHEN cn.TRANG_THAI_CHI_NHANH = 1          -- Xác nhận mã "đang hoạt động"
               THEN 1 END) AS cn_dang_hoat_dong
FROM SCMS.CTCK_CHI_NHANH cn
WHERE 1 = 1
  AND cn.CTCK_THONG_TIN_ID = :p_ctck_id
  AND cn.IS_BANG_TAM        = 1
  AND cn.TRANG_THAI         = 1
  AND TRUNC(cn.NGAY_QUYET_DINH) &lt;= TRUNC(NVL(:p_ngay, SYSDATE));</t>
        </is>
      </c>
      <c r="U171" s="386" t="n"/>
      <c r="V171" s="395" t="n"/>
      <c r="W171" s="395" t="n"/>
      <c r="X171" s="395" t="n"/>
      <c r="Y171" s="14" t="inlineStr">
        <is>
          <t>Done</t>
        </is>
      </c>
      <c r="Z171" s="395" t="n"/>
      <c r="AA171" s="395" t="n"/>
      <c r="AB171" s="395" t="n"/>
      <c r="AC171" s="395" t="n"/>
      <c r="AD171" s="395" t="n"/>
      <c r="AE171" s="395" t="n"/>
    </row>
    <row r="172" ht="61.5" customHeight="1" s="380">
      <c r="A172" s="94" t="n">
        <v>32</v>
      </c>
      <c r="B172" s="386" t="n"/>
      <c r="C172" s="386" t="inlineStr">
        <is>
          <t>Dashboard Tra cứu hồ sơ 360 CTCK &gt;&gt; Dashboard CN, PGD, VPĐD của CTCK &gt;&gt; Biểu đồ Các chỉ tiêu thống kê chung</t>
        </is>
      </c>
      <c r="D172" s="12" t="inlineStr">
        <is>
          <t>Số lượng PGD</t>
        </is>
      </c>
      <c r="E172" s="12" t="inlineStr">
        <is>
          <t>Số lượng PGD của CTCK đã được cấp phép</t>
        </is>
      </c>
      <c r="F172" s="386" t="inlineStr">
        <is>
          <t>Dashboard</t>
        </is>
      </c>
      <c r="G172" s="386" t="inlineStr">
        <is>
          <t>Chỉ tiêu cơ sở</t>
        </is>
      </c>
      <c r="H172" s="386" t="inlineStr">
        <is>
          <t>TB</t>
        </is>
      </c>
      <c r="I172" s="386" t="inlineStr">
        <is>
          <t>Ngày, CTCK</t>
        </is>
      </c>
      <c r="J172" s="386" t="inlineStr">
        <is>
          <t>SCMS</t>
        </is>
      </c>
      <c r="K172" s="395" t="inlineStr">
        <is>
          <t>X</t>
        </is>
      </c>
      <c r="L172" s="395" t="inlineStr">
        <is>
          <t>X</t>
        </is>
      </c>
      <c r="M172" s="395" t="n"/>
      <c r="N172" s="395" t="inlineStr">
        <is>
          <t>Done</t>
        </is>
      </c>
      <c r="O172" s="401" t="n"/>
      <c r="P172" s="395" t="n"/>
      <c r="Q172" s="395" t="inlineStr">
        <is>
          <t>SCMS.CTCK_PHONG_GIAO_DICH</t>
        </is>
      </c>
      <c r="R172" s="395" t="inlineStr">
        <is>
          <t>pgd.CTCK_THONG_TIN_ID,
pgd.TRANG_THAI_PGD,
pgd.IS_BANG_TAM,
pgd.TRANG_THAI,
pgd.NGAY_QUYET_DINH</t>
        </is>
      </c>
      <c r="S172" s="395" t="n"/>
      <c r="T172" s="386" t="inlineStr">
        <is>
          <t>-- Số lượng PGD của CTCK đã được cấp phép
SELECT
    COUNT(*) AS tong_pgd_ctck,
    COUNT(CASE WHEN pgd.TRANG_THAI_PGD = 1               -- Xác nhận mã "đang hoạt động"
               THEN 1 END) AS pgd_dang_hoat_dong
FROM SCMS.CTCK_PHONG_GIAO_DICH pgd
WHERE 1 = 1
  AND pgd.CTCK_THONG_TIN_ID = :p_ctck_id
  AND pgd.IS_BANG_TAM        = 1
  AND pgd.TRANG_THAI         = 1
  AND TRUNC(pgd.NGAY_QUYET_DINH) &lt;= TRUNC(NVL(:p_ngay, SYSDATE));</t>
        </is>
      </c>
      <c r="U172" s="386" t="n"/>
      <c r="V172" s="395" t="n"/>
      <c r="W172" s="395" t="n"/>
      <c r="X172" s="395" t="n"/>
      <c r="Y172" s="14" t="inlineStr">
        <is>
          <t>Done</t>
        </is>
      </c>
      <c r="Z172" s="395" t="n"/>
      <c r="AA172" s="395" t="n"/>
      <c r="AB172" s="395" t="n"/>
      <c r="AC172" s="395" t="n"/>
      <c r="AD172" s="395" t="n"/>
      <c r="AE172" s="395" t="n"/>
    </row>
    <row r="173" ht="61.5" customHeight="1" s="380">
      <c r="A173" s="94" t="n">
        <v>32</v>
      </c>
      <c r="B173" s="386" t="n"/>
      <c r="C173" s="386" t="inlineStr">
        <is>
          <t>Dashboard Tra cứu hồ sơ 360 CTCK &gt;&gt; Dashboard CN, PGD, VPĐD của CTCK &gt;&gt; Biểu đồ Các chỉ tiêu thống kê chung</t>
        </is>
      </c>
      <c r="D173" s="21" t="inlineStr">
        <is>
          <t>Số lượng VPĐD</t>
        </is>
      </c>
      <c r="E173" s="12" t="inlineStr">
        <is>
          <t>Số lượng VPĐD của CTCK đã được cấp phép</t>
        </is>
      </c>
      <c r="F173" s="386" t="inlineStr">
        <is>
          <t>Dashboard</t>
        </is>
      </c>
      <c r="G173" s="386" t="inlineStr">
        <is>
          <t>Chỉ tiêu cơ sở</t>
        </is>
      </c>
      <c r="H173" s="386" t="inlineStr">
        <is>
          <t>TB</t>
        </is>
      </c>
      <c r="I173" s="386" t="inlineStr">
        <is>
          <t>Ngày, CTCK</t>
        </is>
      </c>
      <c r="J173" s="386" t="inlineStr">
        <is>
          <t>SCMS</t>
        </is>
      </c>
      <c r="K173" s="395" t="inlineStr">
        <is>
          <t>X</t>
        </is>
      </c>
      <c r="L173" s="395" t="inlineStr">
        <is>
          <t>X</t>
        </is>
      </c>
      <c r="M173" s="395" t="n"/>
      <c r="N173" s="395" t="inlineStr">
        <is>
          <t>Done</t>
        </is>
      </c>
      <c r="O173" s="401" t="n"/>
      <c r="P173" s="395" t="n"/>
      <c r="Q173" s="395" t="inlineStr">
        <is>
          <t>SCMS.CTCK_VP_DAI_DIEN</t>
        </is>
      </c>
      <c r="R173" s="395" t="inlineStr">
        <is>
          <t>vpdd.CTCK_THONG_TIN_ID,
vpdd.TRANG_THAI_VPDD,
vpdd.IS_BANG_TAM,
vpdd.TRANG_THAI,
vpdd.NGAY_QUYET_DINH</t>
        </is>
      </c>
      <c r="S173" s="395" t="n"/>
      <c r="T173" s="386" t="inlineStr">
        <is>
          <t>-- Số lượng VPĐD của CTCK đã được cấp phép
SELECT
    COUNT(*) AS tong_vpdd_ctck,
    COUNT(CASE WHEN vpdd.TRANG_THAI_VPDD = 1             -- Xác nhận mã "đang hoạt động"
               THEN 1 END) AS vpdd_dang_hoat_dong
FROM SCMS.CTCK_VP_DAI_DIEN vpdd
WHERE 1 = 1
  AND vpdd.CTCK_THONG_TIN_ID = :p_ctck_id
  AND vpdd.IS_BANG_TAM        = 1
  AND vpdd.TRANG_THAI         = 1
  AND TRUNC(vpdd.NGAY_QUYET_DINH) &lt;= TRUNC(NVL(:p_ngay, SYSDATE));</t>
        </is>
      </c>
      <c r="U173" s="386" t="n"/>
      <c r="V173" s="395" t="n"/>
      <c r="W173" s="395" t="n"/>
      <c r="X173" s="395" t="n"/>
      <c r="Y173" s="14" t="inlineStr">
        <is>
          <t>Done</t>
        </is>
      </c>
      <c r="Z173" s="395" t="n"/>
      <c r="AA173" s="395" t="n"/>
      <c r="AB173" s="395" t="n"/>
      <c r="AC173" s="395" t="n"/>
      <c r="AD173" s="395" t="n"/>
      <c r="AE173" s="395" t="n"/>
    </row>
    <row r="174" ht="98" customHeight="1" s="380">
      <c r="A174" s="94" t="n">
        <v>33</v>
      </c>
      <c r="B174" s="81" t="n"/>
      <c r="C174" s="81" t="inlineStr">
        <is>
          <t>Dashboard Tra cứu hồ sơ 360 CTCK &gt;&gt; Dashboard CN, PGD, VPĐD của CTCK &gt;&gt; Biểu đồ Số lượng CN, PGD, VPĐD của CTCK theo từng nghiệp vụ</t>
        </is>
      </c>
      <c r="D174" s="12" t="inlineStr">
        <is>
          <t>Chiều thời gian theo Ngày</t>
        </is>
      </c>
      <c r="E174" s="12" t="inlineStr">
        <is>
          <t>Chiều thời gian theo Ngày</t>
        </is>
      </c>
      <c r="F174" s="386" t="inlineStr">
        <is>
          <t>Dashboard</t>
        </is>
      </c>
      <c r="G174" s="386" t="inlineStr">
        <is>
          <t>Chiều</t>
        </is>
      </c>
      <c r="H174" s="386" t="inlineStr">
        <is>
          <t>Trùng</t>
        </is>
      </c>
      <c r="I174" s="386" t="n"/>
      <c r="J174" s="386" t="inlineStr">
        <is>
          <t>SCMS</t>
        </is>
      </c>
      <c r="K174" s="395" t="n"/>
      <c r="L174" s="395" t="inlineStr">
        <is>
          <t>X</t>
        </is>
      </c>
      <c r="M174" s="395" t="n"/>
      <c r="N174" s="395" t="inlineStr">
        <is>
          <t>Done</t>
        </is>
      </c>
      <c r="O174" s="401" t="n"/>
      <c r="P174" s="395" t="n"/>
      <c r="Q174" s="20" t="inlineStr">
        <is>
          <t>Ngày dữ liệu</t>
        </is>
      </c>
      <c r="R174" s="395" t="n"/>
      <c r="S174" s="395" t="n"/>
      <c r="T174" s="393" t="inlineStr">
        <is>
          <t>-- Chiều thời gian theo ngày
SELECT TRUNC(min_ngay) + LEVEL - 1 AS ngay
FROM (SELECT MIN(NGAY_SO_LIEU) AS min_ngay FROM SCMS.BC_THANH_VIEN)
CONNECT BY TRUNC(min_ngay) + LEVEL - 1 &lt;= TRUNC(SYSDATE)
ORDER BY ngay;</t>
        </is>
      </c>
      <c r="U174" s="386" t="n"/>
      <c r="V174" s="395" t="n"/>
      <c r="W174" s="395" t="n"/>
      <c r="X174" s="395" t="n"/>
      <c r="Y174" s="14" t="inlineStr">
        <is>
          <t>Done</t>
        </is>
      </c>
      <c r="Z174" s="395" t="n"/>
      <c r="AA174" s="395" t="n"/>
      <c r="AB174" s="395" t="n"/>
      <c r="AC174" s="395" t="n"/>
      <c r="AD174" s="395" t="n"/>
      <c r="AE174" s="395" t="n"/>
    </row>
    <row r="175" ht="75.75" customHeight="1" s="380">
      <c r="A175" s="94" t="n">
        <v>33</v>
      </c>
      <c r="B175" s="386" t="n"/>
      <c r="C175" s="386" t="inlineStr">
        <is>
          <t>Dashboard Tra cứu hồ sơ 360 CTCK &gt;&gt; Dashboard CN, PGD, VPĐD của CTCK &gt;&gt; Biểu đồ Số lượng CN, PGD, VPĐD của CTCK theo từng nghiệp vụ</t>
        </is>
      </c>
      <c r="D175" s="21" t="inlineStr">
        <is>
          <t>Chiều nghiệp vụ kinh doanh chứng khoán</t>
        </is>
      </c>
      <c r="E175" s="21" t="inlineStr">
        <is>
          <t>Nghiệp vụ Môi giới chứng khoán, Bảo lãnh phát hành, Tư vấn đầu tư chứng khoán, Tự doanh chứng khoán</t>
        </is>
      </c>
      <c r="F175" s="386" t="inlineStr">
        <is>
          <t>Dashboard</t>
        </is>
      </c>
      <c r="G175" s="386" t="inlineStr">
        <is>
          <t>Chiều</t>
        </is>
      </c>
      <c r="H175" s="386" t="inlineStr">
        <is>
          <t>Trùng</t>
        </is>
      </c>
      <c r="I175" s="386" t="n"/>
      <c r="J175" s="386" t="inlineStr">
        <is>
          <t>SCMS</t>
        </is>
      </c>
      <c r="K175" s="395" t="n"/>
      <c r="L175" s="395" t="inlineStr">
        <is>
          <t>X</t>
        </is>
      </c>
      <c r="M175" s="395" t="n"/>
      <c r="N175" s="395" t="inlineStr">
        <is>
          <t>Done</t>
        </is>
      </c>
      <c r="O175" s="401" t="n"/>
      <c r="P175" s="395" t="n"/>
      <c r="Q175" s="390" t="inlineStr">
        <is>
          <t>SCMS.CTCK_DICH_VU
SCMS.DM_DICH_VU</t>
        </is>
      </c>
      <c r="R175" s="401" t="inlineStr">
        <is>
          <t>dd.ID,
dd.TEN_DICH_VU,
dv.DM_DICH_VU_ID,
dv.TRANG_THAI</t>
        </is>
      </c>
      <c r="S175" s="401" t="n"/>
      <c r="T175" s="389" t="inlineStr">
        <is>
          <t>-- Chiều: Nghiệp vụ kinh doanh chứng khoán
SELECT DISTINCT
    CASE
        WHEN LOWER(dd.TEN_DICH_VU) LIKE '%môi giới%' THEN 'Môi giới chứng khoán'
        WHEN LOWER(dd.TEN_DICH_VU) LIKE '%tự doanh%' THEN 'Tự doanh chứng khoán'
        WHEN LOWER(dd.TEN_DICH_VU) LIKE '%bảo lãnh%' THEN 'Bảo lãnh phát hành chứng khoán'
        WHEN LOWER(dd.TEN_DICH_VU) LIKE '%tư vấn%'   THEN 'Tư vấn đầu tư chứng khoán'
    END AS nghiep_vu_kinh_doanh
FROM SCMS.CTCK_DICH_VU dv
JOIN SCMS.DM_DICH_VU dd ON dd.ID = dv.DM_DICH_VU_ID
WHERE dv.TRANG_THAI = 1
ORDER BY 1;</t>
        </is>
      </c>
      <c r="U175" s="386" t="n"/>
      <c r="V175" s="395" t="n"/>
      <c r="W175" s="395" t="n"/>
      <c r="X175" s="395" t="n"/>
      <c r="Y175" s="14" t="inlineStr">
        <is>
          <t>Done</t>
        </is>
      </c>
      <c r="Z175" s="395" t="n"/>
      <c r="AA175" s="395" t="n"/>
      <c r="AB175" s="395" t="n"/>
      <c r="AC175" s="395" t="n"/>
      <c r="AD175" s="395" t="n"/>
      <c r="AE175" s="395" t="n"/>
    </row>
    <row r="176" ht="87" customHeight="1" s="380">
      <c r="A176" s="94" t="n">
        <v>33</v>
      </c>
      <c r="B176" s="386" t="n"/>
      <c r="C176" s="386" t="inlineStr">
        <is>
          <t>Dashboard Tra cứu hồ sơ 360 CTCK &gt;&gt; Dashboard CN, PGD, VPĐD của CTCK &gt;&gt; Biểu đồ Số lượng CN, PGD, VPĐD của CTCK theo từng nghiệp vụ</t>
        </is>
      </c>
      <c r="D176" s="12" t="inlineStr">
        <is>
          <t>Số lượng CN, PGD, VPĐD theo nghiệp vụ môi giới</t>
        </is>
      </c>
      <c r="E176" s="12" t="inlineStr">
        <is>
          <t>Số lượng CN, PGD, VPĐD theo nghiệp vụ môi giới</t>
        </is>
      </c>
      <c r="F176" s="386" t="inlineStr">
        <is>
          <t>Dashboard</t>
        </is>
      </c>
      <c r="G176" s="386" t="inlineStr">
        <is>
          <t>Chỉ tiêu cơ sở</t>
        </is>
      </c>
      <c r="H176" s="386" t="inlineStr">
        <is>
          <t>TB</t>
        </is>
      </c>
      <c r="I176" s="386" t="inlineStr">
        <is>
          <t>Ngày, CTCK, Danh mục nghiệp vụ</t>
        </is>
      </c>
      <c r="J176" s="386" t="inlineStr">
        <is>
          <t>SCMS</t>
        </is>
      </c>
      <c r="K176" s="395" t="inlineStr">
        <is>
          <t>X</t>
        </is>
      </c>
      <c r="L176" s="395" t="inlineStr">
        <is>
          <t>X</t>
        </is>
      </c>
      <c r="M176" s="395" t="n"/>
      <c r="N176" s="395" t="inlineStr">
        <is>
          <t>Done</t>
        </is>
      </c>
      <c r="O176" s="401" t="n"/>
      <c r="P176" s="395" t="n"/>
      <c r="Q176" s="397" t="inlineStr">
        <is>
          <t>SCMS.CTCK_CHI_NHANH
SCMS.CTCK_PHONG_GIAO_DICH
SCMS.CTCK_VP_DAI_DIEN
SCMS.CTCK_DICH_VU
SCMS.DM_DICH_VU</t>
        </is>
      </c>
      <c r="R176" s="397" t="inlineStr">
        <is>
          <t>NGAY_QUYET_DINH,
IS_BANG_TAM,
TRANG_THAI
ID,
CTCK_THONG_TIN_ID,
TRANG_THAI_CHI_NHANH,
TRANG_THAI_PGD,
TRANG_THAI_VPDD
dd.ID, 
dd.TEN_DICH_VU,
dv.DM_DICH_VU_ID,
dv.NGAY_DANG_KY,
dv.NGAY_KET_THUC</t>
        </is>
      </c>
      <c r="S176" s="397" t="n"/>
      <c r="T176" s="79" t="inlineStr">
        <is>
          <t>-- Số lượng CN, PGD, VPĐD theo nghiệp vụ môi giới
SELECT
    nd.ngay,
    COUNT(du.don_vi_id) AS so_cn_pgd_vpdd_moi_gioi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'%môi giới%'
          AND LOWER(dd.TEN_DICH_VU) NOT LIKE '%phái sinh%'
          AND TRUNC(dv.NGAY_DANG_KY) &lt;= nd.ngay
          AND (dv.NGAY_KET_THUC IS NULL OR TRUNC(dv.NGAY_KET_THUC) &gt; nd.ngay)
    )
GROUP BY nd.ngay
ORDER BY nd.ngay;</t>
        </is>
      </c>
      <c r="U176" s="386" t="n"/>
      <c r="V176" s="395" t="n"/>
      <c r="W176" s="395" t="n"/>
      <c r="X176" s="395" t="n"/>
      <c r="Y176" s="14" t="inlineStr">
        <is>
          <t>Done</t>
        </is>
      </c>
      <c r="Z176" s="395" t="n"/>
      <c r="AA176" s="395" t="n"/>
      <c r="AB176" s="395" t="n"/>
      <c r="AC176" s="395" t="n"/>
      <c r="AD176" s="395" t="n"/>
      <c r="AE176" s="395" t="n"/>
    </row>
    <row r="177" ht="86.25" customHeight="1" s="380">
      <c r="A177" s="94" t="n">
        <v>33</v>
      </c>
      <c r="B177" s="386" t="n"/>
      <c r="C177" s="386" t="inlineStr">
        <is>
          <t>Dashboard Tra cứu hồ sơ 360 CTCK &gt;&gt; Dashboard CN, PGD, VPĐD của CTCK &gt;&gt; Biểu đồ Số lượng CN, PGD, VPĐD của CTCK theo từng nghiệp vụ</t>
        </is>
      </c>
      <c r="D177" s="12" t="inlineStr">
        <is>
          <t>Số lượng CN, PGD, VPĐD theo nghiệp vụ bảo lãnh</t>
        </is>
      </c>
      <c r="E177" s="12" t="inlineStr">
        <is>
          <t>Số lượng CN, PGD, VPĐD theo nghiệp vụ bảo lãnh</t>
        </is>
      </c>
      <c r="F177" s="386" t="inlineStr">
        <is>
          <t>Dashboard</t>
        </is>
      </c>
      <c r="G177" s="386" t="inlineStr">
        <is>
          <t>Chỉ tiêu cơ sở</t>
        </is>
      </c>
      <c r="H177" s="386" t="inlineStr">
        <is>
          <t>TB</t>
        </is>
      </c>
      <c r="I177" s="386" t="inlineStr">
        <is>
          <t>Ngày, CTCK, Danh mục nghiệp vụ</t>
        </is>
      </c>
      <c r="J177" s="386" t="inlineStr">
        <is>
          <t>SCMS</t>
        </is>
      </c>
      <c r="K177" s="395" t="inlineStr">
        <is>
          <t>X</t>
        </is>
      </c>
      <c r="L177" s="395" t="inlineStr">
        <is>
          <t>X</t>
        </is>
      </c>
      <c r="M177" s="395" t="n"/>
      <c r="N177" s="395" t="inlineStr">
        <is>
          <t>Done</t>
        </is>
      </c>
      <c r="O177" s="401" t="n"/>
      <c r="P177" s="395" t="n"/>
      <c r="Q177" s="397" t="inlineStr">
        <is>
          <t>SCMS.CTCK_CHI_NHANH
SCMS.CTCK_PHONG_GIAO_DICH
SCMS.CTCK_VP_DAI_DIEN
SCMS.CTCK_DICH_VU
SCMS.DM_DICH_VU</t>
        </is>
      </c>
      <c r="R177" s="397" t="inlineStr">
        <is>
          <t>NGAY_QUYET_DINH,
IS_BANG_TAM,
TRANG_THAI
ID,
CTCK_THONG_TIN_ID,
TRANG_THAI_CHI_NHANH,
TRANG_THAI_PGD,
TRANG_THAI_VPDD
dd.ID, 
dd.TEN_DICH_VU,
dv.DM_DICH_VU_ID,
dv.NGAY_DANG_KY,
dv.NGAY_KET_THUC</t>
        </is>
      </c>
      <c r="S177" s="395" t="n"/>
      <c r="T177" s="79" t="inlineStr">
        <is>
          <t>-- Số lượng CN, PGD, VPĐD theo nghiệp vụ bảo lãnh
SELECT
    nd.ngay,
    COUNT(du.don_vi_id) AS so_cn_pgd_vpdd_bao_lanh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'%bảo lãnh%'
          AND TRUNC(dv.NGAY_DANG_KY) &lt;= nd.ngay
          AND (dv.NGAY_KET_THUC IS NULL OR TRUNC(dv.NGAY_KET_THUC) &gt; nd.ngay)
    )
GROUP BY nd.ngay
ORDER BY nd.ngay;</t>
        </is>
      </c>
      <c r="U177" s="386" t="n"/>
      <c r="V177" s="395" t="n"/>
      <c r="W177" s="395" t="n"/>
      <c r="X177" s="395" t="n"/>
      <c r="Y177" s="14" t="inlineStr">
        <is>
          <t>Done</t>
        </is>
      </c>
      <c r="Z177" s="395" t="n"/>
      <c r="AA177" s="395" t="n"/>
      <c r="AB177" s="395" t="n"/>
      <c r="AC177" s="395" t="n"/>
      <c r="AD177" s="395" t="n"/>
      <c r="AE177" s="395" t="n"/>
    </row>
    <row r="178" ht="85.5" customHeight="1" s="380">
      <c r="A178" s="94" t="n">
        <v>33</v>
      </c>
      <c r="B178" s="386" t="n"/>
      <c r="C178" s="386" t="inlineStr">
        <is>
          <t>Dashboard Tra cứu hồ sơ 360 CTCK &gt;&gt; Dashboard CN, PGD, VPĐD của CTCK &gt;&gt; Biểu đồ Số lượng CN, PGD, VPĐD của CTCK theo từng nghiệp vụ</t>
        </is>
      </c>
      <c r="D178" s="12" t="inlineStr">
        <is>
          <t>Số lượng CN, PGD, VPĐD theo nghiệp vụ tư vấn</t>
        </is>
      </c>
      <c r="E178" s="12" t="inlineStr">
        <is>
          <t>Số lượng CN, PGD, VPĐD theo nghiệp vụ tư vấn</t>
        </is>
      </c>
      <c r="F178" s="386" t="inlineStr">
        <is>
          <t>Dashboard</t>
        </is>
      </c>
      <c r="G178" s="386" t="inlineStr">
        <is>
          <t>Chỉ tiêu cơ sở</t>
        </is>
      </c>
      <c r="H178" s="386" t="inlineStr">
        <is>
          <t>TB</t>
        </is>
      </c>
      <c r="I178" s="386" t="inlineStr">
        <is>
          <t>Ngày, CTCK, Danh mục nghiệp vụ</t>
        </is>
      </c>
      <c r="J178" s="386" t="inlineStr">
        <is>
          <t>SCMS</t>
        </is>
      </c>
      <c r="K178" s="395" t="inlineStr">
        <is>
          <t>X</t>
        </is>
      </c>
      <c r="L178" s="395" t="inlineStr">
        <is>
          <t>X</t>
        </is>
      </c>
      <c r="M178" s="395" t="n"/>
      <c r="N178" s="395" t="inlineStr">
        <is>
          <t>Done</t>
        </is>
      </c>
      <c r="O178" s="401" t="n"/>
      <c r="P178" s="395" t="n"/>
      <c r="Q178" s="397" t="inlineStr">
        <is>
          <t>SCMS.CTCK_CHI_NHANH
SCMS.CTCK_PHONG_GIAO_DICH
SCMS.CTCK_VP_DAI_DIEN
SCMS.CTCK_DICH_VU
SCMS.DM_DICH_VU</t>
        </is>
      </c>
      <c r="R178" s="397" t="inlineStr">
        <is>
          <t>NGAY_QUYET_DINH,
IS_BANG_TAM,
TRANG_THAI
ID,
CTCK_THONG_TIN_ID,
TRANG_THAI_CHI_NHANH,
TRANG_THAI_PGD,
TRANG_THAI_VPDD
dd.ID, 
dd.TEN_DICH_VU,
dv.DM_DICH_VU_ID,
dv.NGAY_DANG_KY,
dv.NGAY_KET_THUC</t>
        </is>
      </c>
      <c r="S178" s="395" t="n"/>
      <c r="T178" s="79" t="inlineStr">
        <is>
          <t>-- Số lượng CN, PGD, VPĐD theo nghiệp vụ tư vấn
SELECT
    nd.ngay,
    COUNT(du.don_vi_id) AS so_cn_pgd_vpdd_tu_van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'%tư vấn%'
          AND LOWER(dd.TEN_DICH_VU) NOT LIKE '%phái sinh%'
          AND TRUNC(dv.NGAY_DANG_KY) &lt;= nd.ngay
          AND (dv.NGAY_KET_THUC IS NULL OR TRUNC(dv.NGAY_KET_THUC) &gt; nd.ngay)
    )
GROUP BY nd.ngay
ORDER BY nd.ngay;</t>
        </is>
      </c>
      <c r="U178" s="386" t="n"/>
      <c r="V178" s="395" t="n"/>
      <c r="W178" s="395" t="n"/>
      <c r="X178" s="395" t="n"/>
      <c r="Y178" s="14" t="inlineStr">
        <is>
          <t>Done</t>
        </is>
      </c>
      <c r="Z178" s="395" t="n"/>
      <c r="AA178" s="395" t="n"/>
      <c r="AB178" s="395" t="n"/>
      <c r="AC178" s="395" t="n"/>
      <c r="AD178" s="395" t="n"/>
      <c r="AE178" s="395" t="n"/>
    </row>
    <row r="179" ht="87" customHeight="1" s="380">
      <c r="A179" s="94" t="n">
        <v>33</v>
      </c>
      <c r="B179" s="386" t="n"/>
      <c r="C179" s="386" t="inlineStr">
        <is>
          <t>Dashboard Tra cứu hồ sơ 360 CTCK &gt;&gt; Dashboard CN, PGD, VPĐD của CTCK &gt;&gt; Biểu đồ Số lượng CN, PGD, VPĐD của CTCK theo từng nghiệp vụ</t>
        </is>
      </c>
      <c r="D179" s="12" t="inlineStr">
        <is>
          <t>Số lượng CN, PGD, VPĐD theo nghiệp vụ tự doanh</t>
        </is>
      </c>
      <c r="E179" s="12" t="inlineStr">
        <is>
          <t>Số lượng CN, PGD, VPĐD theo nghiệp vụ tự doanh</t>
        </is>
      </c>
      <c r="F179" s="386" t="inlineStr">
        <is>
          <t>Dashboard</t>
        </is>
      </c>
      <c r="G179" s="386" t="inlineStr">
        <is>
          <t>Chỉ tiêu cơ sở</t>
        </is>
      </c>
      <c r="H179" s="386" t="inlineStr">
        <is>
          <t>TB</t>
        </is>
      </c>
      <c r="I179" s="386" t="inlineStr">
        <is>
          <t>Ngày, CTCK, Danh mục nghiệp vụ</t>
        </is>
      </c>
      <c r="J179" s="386" t="inlineStr">
        <is>
          <t>SCMS</t>
        </is>
      </c>
      <c r="K179" s="395" t="inlineStr">
        <is>
          <t>X</t>
        </is>
      </c>
      <c r="L179" s="395" t="inlineStr">
        <is>
          <t>X</t>
        </is>
      </c>
      <c r="M179" s="395" t="n"/>
      <c r="N179" s="395" t="inlineStr">
        <is>
          <t>Done</t>
        </is>
      </c>
      <c r="O179" s="401" t="n"/>
      <c r="P179" s="395" t="n"/>
      <c r="Q179" s="397" t="inlineStr">
        <is>
          <t>SCMS.CTCK_CHI_NHANH
SCMS.CTCK_PHONG_GIAO_DICH
SCMS.CTCK_VP_DAI_DIEN
SCMS.CTCK_DICH_VU
SCMS.DM_DICH_VU</t>
        </is>
      </c>
      <c r="R179" s="397" t="inlineStr">
        <is>
          <t>NGAY_QUYET_DINH,
IS_BANG_TAM,
TRANG_THAI
ID,
CTCK_THONG_TIN_ID,
TRANG_THAI_CHI_NHANH,
TRANG_THAI_PGD,
TRANG_THAI_VPDD
dd.ID, 
dd.TEN_DICH_VU,
dv.DM_DICH_VU_ID,
dv.NGAY_DANG_KY,
dv.NGAY_KET_THUC</t>
        </is>
      </c>
      <c r="S179" s="395" t="n"/>
      <c r="T179" s="79" t="inlineStr">
        <is>
          <t>-- Số lượng CN, PGD, VPĐD theo nghiệp vụ tự doanh
SELECT
    nd.ngay,
    COUNT(du.don_vi_id) AS so_cn_pgd_vpdd_tu_doanh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'%tự doanh%'
          AND LOWER(dd.TEN_DICH_VU) NOT LIKE '%phái sinh%'
          AND TRUNC(dv.NGAY_DANG_KY) &lt;= nd.ngay
          AND (dv.NGAY_KET_THUC IS NULL OR TRUNC(dv.NGAY_KET_THUC) &gt; nd.ngay)
    )
GROUP BY nd.ngay
ORDER BY nd.ngay;</t>
        </is>
      </c>
      <c r="U179" s="386" t="n"/>
      <c r="V179" s="395" t="n"/>
      <c r="W179" s="395" t="n"/>
      <c r="X179" s="395" t="n"/>
      <c r="Y179" s="14" t="inlineStr">
        <is>
          <t>Done</t>
        </is>
      </c>
      <c r="Z179" s="395" t="n"/>
      <c r="AA179" s="395" t="n"/>
      <c r="AB179" s="395" t="n"/>
      <c r="AC179" s="395" t="n"/>
      <c r="AD179" s="395" t="n"/>
      <c r="AE179" s="395" t="n"/>
    </row>
    <row r="180" ht="126" customHeight="1" s="380">
      <c r="A180" s="94" t="n">
        <v>34</v>
      </c>
      <c r="B180" s="81" t="n"/>
      <c r="C180" s="81" t="inlineStr">
        <is>
          <t>Dashboard Tra cứu hồ sơ 360 CTCK &gt;&gt; Dashboard CN, PGD, VPĐD của CTCK &gt;&gt; Biểu đồ Số lượng CN, PGD, VPĐD của CTCK theo dịch vụ được chấp thuận: giao dịch ký quỹ, ứng trước tiền bán, lưu ký</t>
        </is>
      </c>
      <c r="D180" s="12" t="inlineStr">
        <is>
          <t>Chiều thời gian theo Ngày</t>
        </is>
      </c>
      <c r="E180" s="12" t="inlineStr">
        <is>
          <t>Chiều thời gian theo Ngày</t>
        </is>
      </c>
      <c r="F180" s="386" t="inlineStr">
        <is>
          <t>Dashboard</t>
        </is>
      </c>
      <c r="G180" s="386" t="inlineStr">
        <is>
          <t>Chiều</t>
        </is>
      </c>
      <c r="H180" s="386" t="inlineStr">
        <is>
          <t>Trùng</t>
        </is>
      </c>
      <c r="I180" s="386" t="n"/>
      <c r="J180" s="386" t="inlineStr">
        <is>
          <t>SCMS</t>
        </is>
      </c>
      <c r="K180" s="395" t="n"/>
      <c r="L180" s="395" t="inlineStr">
        <is>
          <t>X</t>
        </is>
      </c>
      <c r="M180" s="395" t="n"/>
      <c r="N180" s="395" t="inlineStr">
        <is>
          <t>Done</t>
        </is>
      </c>
      <c r="O180" s="401" t="n"/>
      <c r="P180" s="395" t="n"/>
      <c r="Q180" s="20" t="inlineStr">
        <is>
          <t>Ngày dữ liệu</t>
        </is>
      </c>
      <c r="R180" s="395" t="n"/>
      <c r="S180" s="395" t="n"/>
      <c r="T180" s="393" t="inlineStr">
        <is>
          <t>-- Chiều thời gian theo ngày
SELECT TRUNC(min_ngay) + LEVEL - 1 AS ngay
FROM (SELECT MIN(NGAY_SO_LIEU) AS min_ngay FROM SCMS.BC_THANH_VIEN)
CONNECT BY TRUNC(min_ngay) + LEVEL - 1 &lt;= TRUNC(SYSDATE)
ORDER BY ngay;</t>
        </is>
      </c>
      <c r="U180" s="386" t="n"/>
      <c r="V180" s="395" t="n"/>
      <c r="W180" s="395" t="n"/>
      <c r="X180" s="395" t="n"/>
      <c r="Y180" s="14" t="inlineStr">
        <is>
          <t>Done</t>
        </is>
      </c>
      <c r="Z180" s="395" t="n"/>
      <c r="AA180" s="395" t="n"/>
      <c r="AB180" s="395" t="n"/>
      <c r="AC180" s="395" t="n"/>
      <c r="AD180" s="395" t="n"/>
      <c r="AE180" s="395" t="n"/>
    </row>
    <row r="181" ht="73.5" customHeight="1" s="380">
      <c r="A181" s="94" t="n">
        <v>34</v>
      </c>
      <c r="B181" s="386" t="n"/>
      <c r="C181" s="386" t="inlineStr">
        <is>
          <t>Dashboard Tra cứu hồ sơ 360 CTCK &gt;&gt; Dashboard CN, PGD, VPĐD của CTCK &gt;&gt; Biểu đồ Số lượng CN, PGD, VPĐD của CTCK theo dịch vụ được chấp thuận: giao dịch ký quỹ, ứng trước tiền bán, lưu ký</t>
        </is>
      </c>
      <c r="D181" s="21" t="inlineStr">
        <is>
          <t>Chiều dịch vụ kinh doanh chứng khoán</t>
        </is>
      </c>
      <c r="E181" s="21" t="inlineStr">
        <is>
          <t>Dịch vụ Giao dịch ký quỹ, Ứng trước tiền bán, Lưu ký</t>
        </is>
      </c>
      <c r="F181" s="386" t="inlineStr">
        <is>
          <t>Dashboard</t>
        </is>
      </c>
      <c r="G181" s="386" t="inlineStr">
        <is>
          <t>Chiều</t>
        </is>
      </c>
      <c r="H181" s="386" t="inlineStr">
        <is>
          <t>Trùng</t>
        </is>
      </c>
      <c r="I181" s="386" t="n"/>
      <c r="J181" s="386" t="inlineStr">
        <is>
          <t>SCMS</t>
        </is>
      </c>
      <c r="K181" s="395" t="n"/>
      <c r="L181" s="395" t="inlineStr">
        <is>
          <t>X</t>
        </is>
      </c>
      <c r="M181" s="395" t="n"/>
      <c r="N181" s="395" t="inlineStr">
        <is>
          <t>Done</t>
        </is>
      </c>
      <c r="O181" s="401" t="n"/>
      <c r="P181" s="395" t="n"/>
      <c r="Q181" s="390" t="inlineStr">
        <is>
          <t>SCMS.CTCK_DICH_VU
SCMS.DM_DICH_VU</t>
        </is>
      </c>
      <c r="R181" s="401" t="inlineStr">
        <is>
          <t>dd.ID,
dd.TEN_DICH_VU,
dv.DM_DICH_VU_ID,
dv.TRANG_THAI</t>
        </is>
      </c>
      <c r="S181" s="401" t="n"/>
      <c r="T181" s="389" t="inlineStr">
        <is>
          <t>-- Chiều: Dịch vụ kinh doanh chứng khoán
SELECT DISTINCT
    CASE
        WHEN LOWER(dd.TEN_DICH_VU) LIKE '%giao dịch ký quỹ%' THEN 'Giao dịch ký quỹ'
        WHEN LOWER(dd.TEN_DICH_VU) LIKE '%ứng trước tiền bán%' THEN 'Ứng trước tiền bán'
        WHEN LOWER(dd.TEN_DICH_VU) LIKE '%lưu ký%' THEN 'Lưu ký'
    END AS dich_vu_kinh_doanh
FROM SCMS.CTCK_DICH_VU dv
JOIN SCMS.DM_DICH_VU dd ON dd.ID = dv.DM_DICH_VU_ID
WHERE dv.TRANG_THAI = 1
ORDER BY 1;</t>
        </is>
      </c>
      <c r="U181" s="386" t="n"/>
      <c r="V181" s="395" t="n"/>
      <c r="W181" s="395" t="n"/>
      <c r="X181" s="395" t="n"/>
      <c r="Y181" s="14" t="inlineStr">
        <is>
          <t>Done</t>
        </is>
      </c>
      <c r="Z181" s="395" t="n"/>
      <c r="AA181" s="395" t="n"/>
      <c r="AB181" s="395" t="n"/>
      <c r="AC181" s="395" t="n"/>
      <c r="AD181" s="395" t="n"/>
      <c r="AE181" s="395" t="n"/>
    </row>
    <row r="182" ht="87" customHeight="1" s="380">
      <c r="A182" s="94" t="n">
        <v>34</v>
      </c>
      <c r="B182" s="386" t="n"/>
      <c r="C182" s="386" t="inlineStr">
        <is>
          <t>Dashboard Tra cứu hồ sơ 360 CTCK &gt;&gt; Dashboard CN, PGD, VPĐD của CTCK &gt;&gt; Biểu đồ Số lượng CN, PGD, VPĐD của CTCK theo dịch vụ được chấp thuận: giao dịch ký quỹ, ứng trước tiền bán, lưu ký</t>
        </is>
      </c>
      <c r="D182" s="12" t="inlineStr">
        <is>
          <t>Số lượng CN, PGD, VPĐD theo dịch vụ giao dịch ký quỹ</t>
        </is>
      </c>
      <c r="E182" s="12" t="inlineStr">
        <is>
          <t>Số lượng CN, PGD, VPĐD theo dịch vụ giao dịch ký quỹ</t>
        </is>
      </c>
      <c r="F182" s="386" t="inlineStr">
        <is>
          <t>Dashboard</t>
        </is>
      </c>
      <c r="G182" s="386" t="inlineStr">
        <is>
          <t>Chỉ tiêu cơ sở</t>
        </is>
      </c>
      <c r="H182" s="386" t="inlineStr">
        <is>
          <t>TB</t>
        </is>
      </c>
      <c r="I182" s="386" t="inlineStr">
        <is>
          <t>Ngày, CTCK, Danh mục dịch vụ</t>
        </is>
      </c>
      <c r="J182" s="386" t="inlineStr">
        <is>
          <t>SCMS</t>
        </is>
      </c>
      <c r="K182" s="395" t="inlineStr">
        <is>
          <t>X</t>
        </is>
      </c>
      <c r="L182" s="395" t="inlineStr">
        <is>
          <t>X</t>
        </is>
      </c>
      <c r="M182" s="395" t="n"/>
      <c r="N182" s="395" t="inlineStr">
        <is>
          <t>Done</t>
        </is>
      </c>
      <c r="O182" s="401" t="n"/>
      <c r="P182" s="395" t="n"/>
      <c r="Q182" s="397" t="inlineStr">
        <is>
          <t>SCMS.CTCK_CHI_NHANH
SCMS.CTCK_PHONG_GIAO_DICH
SCMS.CTCK_VP_DAI_DIEN
SCMS.CTCK_DICH_VU
SCMS.DM_DICH_VU</t>
        </is>
      </c>
      <c r="R182" s="397" t="inlineStr">
        <is>
          <t>NGAY_QUYET_DINH,
IS_BANG_TAM,
TRANG_THAI
ID,
CTCK_THONG_TIN_ID,
TRANG_THAI_CHI_NHANH,
TRANG_THAI_PGD,
TRANG_THAI_VPDD
dd.ID, 
dd.TEN_DICH_VU,
dv.DM_DICH_VU_ID,
dv.NGAY_DANG_KY,
dv.NGAY_KET_THUC</t>
        </is>
      </c>
      <c r="S182" s="395" t="n"/>
      <c r="T182" s="79" t="inlineStr">
        <is>
          <t xml:space="preserve">-- Số lượng CN, PGD, VPĐD theo dịch vụ giao dịch ký quỹ
SELECT
    nd.ngay,
    COUNT(du.don_vi_id) AS so_cn_pgd_vpdd_giao_dich_ky_quy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'%giao dịch ký quỹ%'
          AND TRUNC(dv.NGAY_DANG_KY) &lt;= nd.ngay
          AND (dv.NGAY_KET_THUC IS NULL OR TRUNC(dv.NGAY_KET_THUC) &gt; nd.ngay)
    )
GROUP BY nd.ngay
ORDER BY nd.ngay;
</t>
        </is>
      </c>
      <c r="U182" s="386" t="n"/>
      <c r="V182" s="395" t="n"/>
      <c r="W182" s="395" t="n"/>
      <c r="X182" s="395" t="n"/>
      <c r="Y182" s="14" t="inlineStr">
        <is>
          <t>Done</t>
        </is>
      </c>
      <c r="Z182" s="395" t="n"/>
      <c r="AA182" s="395" t="n"/>
      <c r="AB182" s="395" t="n"/>
      <c r="AC182" s="395" t="n"/>
      <c r="AD182" s="395" t="n"/>
      <c r="AE182" s="395" t="n"/>
    </row>
    <row r="183" ht="72" customHeight="1" s="380">
      <c r="A183" s="94" t="n">
        <v>34</v>
      </c>
      <c r="B183" s="386" t="n"/>
      <c r="C183" s="386" t="inlineStr">
        <is>
          <t>Dashboard Tra cứu hồ sơ 360 CTCK &gt;&gt; Dashboard CN, PGD, VPĐD của CTCK &gt;&gt; Biểu đồ Số lượng CN, PGD, VPĐD của CTCK theo dịch vụ được chấp thuận: giao dịch ký quỹ, ứng trước tiền bán, lưu ký</t>
        </is>
      </c>
      <c r="D183" s="12" t="inlineStr">
        <is>
          <t>Số lượng CN, PGD, VPĐD theo dịch vụ ứng trước tiền bán</t>
        </is>
      </c>
      <c r="E183" s="12" t="inlineStr">
        <is>
          <t>Số lượng CN, PGD, VPĐD theo dịch vụ ứng trước tiền bán</t>
        </is>
      </c>
      <c r="F183" s="386" t="inlineStr">
        <is>
          <t>Dashboard</t>
        </is>
      </c>
      <c r="G183" s="386" t="inlineStr">
        <is>
          <t>Chỉ tiêu cơ sở</t>
        </is>
      </c>
      <c r="H183" s="386" t="inlineStr">
        <is>
          <t>TB</t>
        </is>
      </c>
      <c r="I183" s="386" t="inlineStr">
        <is>
          <t>Ngày, CTCK, Danh mục dịch vụ</t>
        </is>
      </c>
      <c r="J183" s="386" t="inlineStr">
        <is>
          <t>SCMS</t>
        </is>
      </c>
      <c r="K183" s="395" t="inlineStr">
        <is>
          <t>X</t>
        </is>
      </c>
      <c r="L183" s="395" t="inlineStr">
        <is>
          <t>X</t>
        </is>
      </c>
      <c r="M183" s="395" t="n"/>
      <c r="N183" s="395" t="inlineStr">
        <is>
          <t>Done</t>
        </is>
      </c>
      <c r="O183" s="401" t="n"/>
      <c r="P183" s="395" t="n"/>
      <c r="Q183" s="397" t="inlineStr">
        <is>
          <t>SCMS.CTCK_CHI_NHANH
SCMS.CTCK_PHONG_GIAO_DICH
SCMS.CTCK_VP_DAI_DIEN
SCMS.CTCK_DICH_VU
SCMS.DM_DICH_VU</t>
        </is>
      </c>
      <c r="R183" s="397" t="inlineStr">
        <is>
          <t>NGAY_QUYET_DINH,
IS_BANG_TAM,
TRANG_THAI
ID,
CTCK_THONG_TIN_ID,
TRANG_THAI_CHI_NHANH,
TRANG_THAI_PGD,
TRANG_THAI_VPDD
dd.ID, 
dd.TEN_DICH_VU,
dv.DM_DICH_VU_ID,
dv.NGAY_DANG_KY,
dv.NGAY_KET_THUC</t>
        </is>
      </c>
      <c r="S183" s="395" t="n"/>
      <c r="T183" s="79" t="inlineStr">
        <is>
          <t>-- Số lượng CN, PGD, VPĐD theo dịch vụ ứng trước tiền bán
SELECT
    nd.ngay,
    COUNT(du.don_vi_id) AS so_cn_pgd_vpdd_ung_truoc_tien_ban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'%ứng trước tiền bán%'
          AND TRUNC(dv.NGAY_DANG_KY) &lt;= nd.ngay
          AND (dv.NGAY_KET_THUC IS NULL OR TRUNC(dv.NGAY_KET_THUC) &gt; nd.ngay)
    )
GROUP BY nd.ngay
ORDER BY nd.ngay;</t>
        </is>
      </c>
      <c r="U183" s="386" t="n"/>
      <c r="V183" s="395" t="n"/>
      <c r="W183" s="395" t="n"/>
      <c r="X183" s="395" t="n"/>
      <c r="Y183" s="14" t="inlineStr">
        <is>
          <t>Done</t>
        </is>
      </c>
      <c r="Z183" s="395" t="n"/>
      <c r="AA183" s="395" t="n"/>
      <c r="AB183" s="395" t="n"/>
      <c r="AC183" s="395" t="n"/>
      <c r="AD183" s="395" t="n"/>
      <c r="AE183" s="395" t="n"/>
    </row>
    <row r="184" ht="87" customHeight="1" s="380">
      <c r="A184" s="94" t="n">
        <v>34</v>
      </c>
      <c r="B184" s="386" t="n"/>
      <c r="C184" s="386" t="inlineStr">
        <is>
          <t>Dashboard Tra cứu hồ sơ 360 CTCK &gt;&gt; Dashboard CN, PGD, VPĐD của CTCK &gt;&gt; Biểu đồ Số lượng CN, PGD, VPĐD của CTCK theo dịch vụ được chấp thuận: giao dịch ký quỹ, ứng trước tiền bán, lưu ký</t>
        </is>
      </c>
      <c r="D184" s="12" t="inlineStr">
        <is>
          <t>Số lượng CN, PGD, VPĐD theo dịch vụ lưu ký</t>
        </is>
      </c>
      <c r="E184" s="12" t="inlineStr">
        <is>
          <t>Số lượng CN, PGD, VPĐD theo dịch vụ lưu ký</t>
        </is>
      </c>
      <c r="F184" s="386" t="inlineStr">
        <is>
          <t>Dashboard</t>
        </is>
      </c>
      <c r="G184" s="386" t="inlineStr">
        <is>
          <t>Chỉ tiêu cơ sở</t>
        </is>
      </c>
      <c r="H184" s="386" t="inlineStr">
        <is>
          <t>TB</t>
        </is>
      </c>
      <c r="I184" s="386" t="inlineStr">
        <is>
          <t>Ngày, CTCK, Danh mục dịch vụ</t>
        </is>
      </c>
      <c r="J184" s="386" t="inlineStr">
        <is>
          <t>SCMS</t>
        </is>
      </c>
      <c r="K184" s="395" t="inlineStr">
        <is>
          <t>X</t>
        </is>
      </c>
      <c r="L184" s="395" t="inlineStr">
        <is>
          <t>X</t>
        </is>
      </c>
      <c r="M184" s="395" t="n"/>
      <c r="N184" s="395" t="inlineStr">
        <is>
          <t>Done</t>
        </is>
      </c>
      <c r="O184" s="401" t="n"/>
      <c r="P184" s="395" t="n"/>
      <c r="Q184" s="397" t="inlineStr">
        <is>
          <t>SCMS.CTCK_CHI_NHANH
SCMS.CTCK_PHONG_GIAO_DICH
SCMS.CTCK_VP_DAI_DIEN
SCMS.CTCK_DICH_VU
SCMS.DM_DICH_VU</t>
        </is>
      </c>
      <c r="R184" s="397" t="inlineStr">
        <is>
          <t>NGAY_QUYET_DINH,
IS_BANG_TAM,
TRANG_THAI
ID,
CTCK_THONG_TIN_ID,
TRANG_THAI_CHI_NHANH,
TRANG_THAI_PGD,
TRANG_THAI_VPDD
dd.ID, 
dd.TEN_DICH_VU,
dv.DM_DICH_VU_ID,
dv.NGAY_DANG_KY,
dv.NGAY_KET_THUC</t>
        </is>
      </c>
      <c r="S184" s="395" t="n"/>
      <c r="T184" s="79" t="inlineStr">
        <is>
          <t>-- Số lượng CN, PGD, VPĐD theo dịch vụ lưu ký
SELECT
    nd.ngay,
    COUNT(du.don_vi_id) AS so_cn_pgd_vpdd_luu_ky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'%lưu ký%'
          AND TRUNC(dv.NGAY_DANG_KY) &lt;= nd.ngay
          AND (dv.NGAY_KET_THUC IS NULL OR TRUNC(dv.NGAY_KET_THUC) &gt; nd.ngay)
    )
GROUP BY nd.ngay
ORDER BY nd.ngay;</t>
        </is>
      </c>
      <c r="U184" s="386" t="n"/>
      <c r="V184" s="395" t="n"/>
      <c r="W184" s="395" t="n"/>
      <c r="X184" s="395" t="n"/>
      <c r="Y184" s="14" t="inlineStr">
        <is>
          <t>Done</t>
        </is>
      </c>
      <c r="Z184" s="395" t="n"/>
      <c r="AA184" s="395" t="n"/>
      <c r="AB184" s="395" t="n"/>
      <c r="AC184" s="395" t="n"/>
      <c r="AD184" s="395" t="n"/>
      <c r="AE184" s="395" t="n"/>
    </row>
    <row r="185" ht="126" customHeight="1" s="380">
      <c r="A185" s="94" t="n">
        <v>35</v>
      </c>
      <c r="B185" s="81" t="n"/>
      <c r="C185" s="81" t="inlineStr">
        <is>
          <t>Dashboard Tra cứu hồ sơ 360 CTCK &gt;&gt; Dashboard CN, PGD, VPĐD của CTCK &gt;&gt; Biểu đồ Số lượng CN, PGD, VPĐD của CTCK được chấp thuận cung cấp dịch vụ liên quan chứng khoán phái sinh</t>
        </is>
      </c>
      <c r="D185" s="12" t="inlineStr">
        <is>
          <t>Chiều thời gian theo Ngày</t>
        </is>
      </c>
      <c r="E185" s="12" t="inlineStr">
        <is>
          <t>Chiều thời gian theo Ngày</t>
        </is>
      </c>
      <c r="F185" s="386" t="inlineStr">
        <is>
          <t>Dashboard</t>
        </is>
      </c>
      <c r="G185" s="386" t="inlineStr">
        <is>
          <t>Chiều</t>
        </is>
      </c>
      <c r="H185" s="386" t="inlineStr">
        <is>
          <t>Trùng</t>
        </is>
      </c>
      <c r="I185" s="386" t="n"/>
      <c r="J185" s="386" t="inlineStr">
        <is>
          <t>SCMS</t>
        </is>
      </c>
      <c r="K185" s="395" t="n"/>
      <c r="L185" s="395" t="inlineStr">
        <is>
          <t>X</t>
        </is>
      </c>
      <c r="M185" s="395" t="n"/>
      <c r="N185" s="395" t="inlineStr">
        <is>
          <t>Done</t>
        </is>
      </c>
      <c r="O185" s="401" t="n"/>
      <c r="P185" s="395" t="n"/>
      <c r="Q185" s="20" t="inlineStr">
        <is>
          <t>Ngày dữ liệu</t>
        </is>
      </c>
      <c r="R185" s="396" t="n"/>
      <c r="S185" s="395" t="n"/>
      <c r="T185" s="393" t="inlineStr">
        <is>
          <t>-- Chiều thời gian theo ngày
SELECT TRUNC(min_ngay) + LEVEL - 1 AS ngay
FROM (SELECT MIN(NGAY_SO_LIEU) AS min_ngay FROM SCMS.BC_THANH_VIEN)
CONNECT BY TRUNC(min_ngay) + LEVEL - 1 &lt;= TRUNC(SYSDATE)
ORDER BY ngay;</t>
        </is>
      </c>
      <c r="U185" s="386" t="n"/>
      <c r="V185" s="395" t="n"/>
      <c r="W185" s="395" t="n"/>
      <c r="X185" s="395" t="n"/>
      <c r="Y185" s="14" t="inlineStr">
        <is>
          <t>Done</t>
        </is>
      </c>
      <c r="Z185" s="395" t="n"/>
      <c r="AA185" s="395" t="n"/>
      <c r="AB185" s="395" t="n"/>
      <c r="AC185" s="395" t="n"/>
      <c r="AD185" s="395" t="n"/>
      <c r="AE185" s="395" t="n"/>
    </row>
    <row r="186" ht="73.5" customHeight="1" s="380">
      <c r="A186" s="94" t="n">
        <v>35</v>
      </c>
      <c r="B186" s="386" t="n"/>
      <c r="C186" s="386" t="inlineStr">
        <is>
          <t>Dashboard Tra cứu hồ sơ 360 CTCK &gt;&gt; Dashboard CN, PGD, VPĐD của CTCK &gt;&gt; Biểu đồ Số lượng CN, PGD, VPĐD của CTCK được chấp thuận cung cấp dịch vụ liên quan chứng khoán phái sinh</t>
        </is>
      </c>
      <c r="D186" s="21" t="inlineStr">
        <is>
          <t>Chiều Dịch vụ phái sinh</t>
        </is>
      </c>
      <c r="E186" s="21" t="inlineStr">
        <is>
          <t>Dịch vụ phái sinh: Môi giới phái sinh, Tư vấn phái sinh, Tự doanh phái sinh</t>
        </is>
      </c>
      <c r="F186" s="386" t="inlineStr">
        <is>
          <t>Dashboard</t>
        </is>
      </c>
      <c r="G186" s="386" t="inlineStr">
        <is>
          <t>Chiều</t>
        </is>
      </c>
      <c r="H186" s="386" t="inlineStr">
        <is>
          <t>Trùng</t>
        </is>
      </c>
      <c r="I186" s="386" t="n"/>
      <c r="J186" s="386" t="inlineStr">
        <is>
          <t>SCMS</t>
        </is>
      </c>
      <c r="K186" s="395" t="n"/>
      <c r="L186" s="395" t="inlineStr">
        <is>
          <t>X</t>
        </is>
      </c>
      <c r="M186" s="395" t="n"/>
      <c r="N186" s="395" t="inlineStr">
        <is>
          <t>Done</t>
        </is>
      </c>
      <c r="O186" s="401" t="n"/>
      <c r="P186" s="395" t="n"/>
      <c r="Q186" s="390" t="inlineStr">
        <is>
          <t>SCMS.CTCK_DICH_VU
SCMS.DM_DICH_VU</t>
        </is>
      </c>
      <c r="R186" s="401" t="inlineStr">
        <is>
          <t>dd.ID,
dd.TEN_DICH_VU,
dv.DM_DICH_VU_ID,
dv.TRANG_THAI</t>
        </is>
      </c>
      <c r="S186" s="401" t="n"/>
      <c r="T186" s="389" t="inlineStr">
        <is>
          <t>-- Chiều: Dịch vụ phái sinh
SELECT DISTINCT
    CASE
        WHEN LOWER(dd.TEN_DICH_VU) LIKE '%môi giới%' THEN 'Môi giới phái sinh'
        WHEN LOWER(dd.TEN_DICH_VU) LIKE '%tư vấn%' THEN 'Tư vấn phái sinh'
        WHEN LOWER(dd.TEN_DICH_VU) LIKE '%tự doanh%' THEN 'Tự doanh phái sinh'
    END AS dich_vu_phai_sinh
FROM SCMS.CTCK_DICH_VU dv
JOIN SCMS.DM_DICH_VU dd ON dd.ID = dv.DM_DICH_VU_ID
WHERE dv.TRANG_THAI = 1
  AND LOWER(dd.TEN_DICH_VU) LIKE '%phái sinh%'
ORDER BY 1;</t>
        </is>
      </c>
      <c r="U186" s="386" t="n"/>
      <c r="V186" s="395" t="n"/>
      <c r="W186" s="395" t="n"/>
      <c r="X186" s="395" t="n"/>
      <c r="Y186" s="14" t="inlineStr">
        <is>
          <t>Done</t>
        </is>
      </c>
      <c r="Z186" s="395" t="n"/>
      <c r="AA186" s="395" t="n"/>
      <c r="AB186" s="395" t="n"/>
      <c r="AC186" s="395" t="n"/>
      <c r="AD186" s="395" t="n"/>
      <c r="AE186" s="395" t="n"/>
    </row>
    <row r="187" ht="99" customHeight="1" s="380">
      <c r="A187" s="94" t="n">
        <v>35</v>
      </c>
      <c r="B187" s="386" t="n"/>
      <c r="C187" s="386" t="inlineStr">
        <is>
          <t>Dashboard Tra cứu hồ sơ 360 CTCK &gt;&gt; Dashboard CN, PGD, VPĐD của CTCK &gt;&gt; Biểu đồ Số lượng CN, PGD, VPĐD của CTCK được chấp thuận cung cấp dịch vụ liên quan chứng khoán phái sinh</t>
        </is>
      </c>
      <c r="D187" s="12" t="inlineStr">
        <is>
          <t>Số lượng CN, PGD, VPĐD liên quan CK phái sinh theo dịch vụ môi giới</t>
        </is>
      </c>
      <c r="E187" s="12" t="inlineStr">
        <is>
          <t>Số lượng CN, PGD, VPĐD liên quan CK phái sinh theo dịch vụ môi giới</t>
        </is>
      </c>
      <c r="F187" s="386" t="inlineStr">
        <is>
          <t>Dashboard</t>
        </is>
      </c>
      <c r="G187" s="386" t="inlineStr">
        <is>
          <t>Chỉ tiêu cơ sở</t>
        </is>
      </c>
      <c r="H187" s="386" t="inlineStr">
        <is>
          <t>TB</t>
        </is>
      </c>
      <c r="I187" s="386" t="inlineStr">
        <is>
          <t>Ngày, CTCK, Danh mục dịch vụ phái sinh</t>
        </is>
      </c>
      <c r="J187" s="386" t="inlineStr">
        <is>
          <t>SCMS</t>
        </is>
      </c>
      <c r="K187" s="395" t="inlineStr">
        <is>
          <t>X</t>
        </is>
      </c>
      <c r="L187" s="395" t="inlineStr">
        <is>
          <t>X</t>
        </is>
      </c>
      <c r="M187" s="395" t="n"/>
      <c r="N187" s="395" t="inlineStr">
        <is>
          <t>Done</t>
        </is>
      </c>
      <c r="O187" s="401" t="n"/>
      <c r="P187" s="395" t="n"/>
      <c r="Q187" s="397" t="inlineStr">
        <is>
          <t>SCMS.CTCK_CHI_NHANH
SCMS.CTCK_PHONG_GIAO_DICH
SCMS.CTCK_VP_DAI_DIEN
SCMS.CTCK_DICH_VU
SCMS.DM_DICH_VU</t>
        </is>
      </c>
      <c r="R187" s="397" t="inlineStr">
        <is>
          <t>NGAY_QUYET_DINH,
IS_BANG_TAM,
TRANG_THAI
ID,
CTCK_THONG_TIN_ID,
TRANG_THAI_CHI_NHANH,
TRANG_THAI_PGD,
TRANG_THAI_VPDD
dd.ID, 
dd.TEN_DICH_VU,
dv.DM_DICH_VU_ID,
dv.NGAY_DANG_KY,
dv.NGAY_KET_THUC</t>
        </is>
      </c>
      <c r="S187" s="395" t="n"/>
      <c r="T187" s="95" t="inlineStr">
        <is>
          <t>-- Số lượng CN, PGD, VPĐD liên quan CK phái sinh theo dịch vụ môi giới
SELECT
    nd.ngay,
    COUNT(du.don_vi_id) AS so_cn_pgd_vpdd_ckps_moi_gioi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'%phái sinh%'
          AND LOWER(dd.TEN_DICH_VU) LIKE '%môi giới%'
          AND TRUNC(dv.NGAY_DANG_KY) &lt;= nd.ngay
          AND (dv.NGAY_KET_THUC IS NULL OR TRUNC(dv.NGAY_KET_THUC) &gt; nd.ngay)
    )
GROUP BY nd.ngay
ORDER BY nd.ngay;</t>
        </is>
      </c>
      <c r="U187" s="386" t="n"/>
      <c r="V187" s="395" t="n"/>
      <c r="W187" s="395" t="n"/>
      <c r="X187" s="395" t="n"/>
      <c r="Y187" s="14" t="inlineStr">
        <is>
          <t>Done</t>
        </is>
      </c>
      <c r="Z187" s="395" t="n"/>
      <c r="AA187" s="395" t="n"/>
      <c r="AB187" s="395" t="n"/>
      <c r="AC187" s="395" t="n"/>
      <c r="AD187" s="395" t="n"/>
      <c r="AE187" s="395" t="n"/>
    </row>
    <row r="188" ht="84.75" customHeight="1" s="380">
      <c r="A188" s="94" t="n">
        <v>35</v>
      </c>
      <c r="B188" s="386" t="n"/>
      <c r="C188" s="386" t="inlineStr">
        <is>
          <t>Dashboard Tra cứu hồ sơ 360 CTCK &gt;&gt; Dashboard CN, PGD, VPĐD của CTCK &gt;&gt; Biểu đồ Số lượng CN, PGD, VPĐD của CTCK được chấp thuận cung cấp dịch vụ liên quan chứng khoán phái sinh</t>
        </is>
      </c>
      <c r="D188" s="12" t="inlineStr">
        <is>
          <t>Số lượng CN, PGD, VPĐD liên quan CK phái sinh theo dịch vụ tư vấn</t>
        </is>
      </c>
      <c r="E188" s="12" t="inlineStr">
        <is>
          <t>Số lượng CN, PGD, VPĐD liên quan CK phái sinh theo dịch vụ tư vấn</t>
        </is>
      </c>
      <c r="F188" s="386" t="inlineStr">
        <is>
          <t>Dashboard</t>
        </is>
      </c>
      <c r="G188" s="386" t="inlineStr">
        <is>
          <t>Chỉ tiêu cơ sở</t>
        </is>
      </c>
      <c r="H188" s="386" t="inlineStr">
        <is>
          <t>TB</t>
        </is>
      </c>
      <c r="I188" s="386" t="inlineStr">
        <is>
          <t>Ngày, CTCK, Danh mục dịch vụ phái sinh</t>
        </is>
      </c>
      <c r="J188" s="386" t="inlineStr">
        <is>
          <t>SCMS</t>
        </is>
      </c>
      <c r="K188" s="395" t="inlineStr">
        <is>
          <t>X</t>
        </is>
      </c>
      <c r="L188" s="395" t="inlineStr">
        <is>
          <t>X</t>
        </is>
      </c>
      <c r="M188" s="395" t="n"/>
      <c r="N188" s="395" t="inlineStr">
        <is>
          <t>Done</t>
        </is>
      </c>
      <c r="O188" s="401" t="n"/>
      <c r="P188" s="395" t="n"/>
      <c r="Q188" s="397" t="inlineStr">
        <is>
          <t>SCMS.CTCK_CHI_NHANH
SCMS.CTCK_PHONG_GIAO_DICH
SCMS.CTCK_VP_DAI_DIEN
SCMS.CTCK_DICH_VU
SCMS.DM_DICH_VU</t>
        </is>
      </c>
      <c r="R188" s="397" t="inlineStr">
        <is>
          <t>NGAY_QUYET_DINH,
IS_BANG_TAM,
TRANG_THAI
ID,
CTCK_THONG_TIN_ID,
TRANG_THAI_CHI_NHANH,
TRANG_THAI_PGD,
TRANG_THAI_VPDD
dd.ID, 
dd.TEN_DICH_VU,
dv.DM_DICH_VU_ID,
dv.NGAY_DANG_KY,
dv.NGAY_KET_THUC</t>
        </is>
      </c>
      <c r="S188" s="395" t="n"/>
      <c r="T188" s="79" t="inlineStr">
        <is>
          <t>-- Số lượng CN, PGD, VPĐD liên quan CK phái sinh theo dịch vụ tư vấn
SELECT
    nd.ngay,
    COUNT(du.don_vi_id) AS so_cn_pgd_vpdd_ckps_tu_van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'%phái sinh%'
          AND LOWER(dd.TEN_DICH_VU) LIKE '%tư vấn%'
          AND TRUNC(dv.NGAY_DANG_KY) &lt;= nd.ngay
          AND (dv.NGAY_KET_THUC IS NULL OR TRUNC(dv.NGAY_KET_THUC) &gt; nd.ngay)
    )
GROUP BY nd.ngay
ORDER BY nd.ngay;</t>
        </is>
      </c>
      <c r="U188" s="386" t="n"/>
      <c r="V188" s="395" t="n"/>
      <c r="W188" s="395" t="n"/>
      <c r="X188" s="395" t="n"/>
      <c r="Y188" s="14" t="inlineStr">
        <is>
          <t>Done</t>
        </is>
      </c>
      <c r="Z188" s="395" t="n"/>
      <c r="AA188" s="395" t="n"/>
      <c r="AB188" s="395" t="n"/>
      <c r="AC188" s="395" t="n"/>
      <c r="AD188" s="395" t="n"/>
      <c r="AE188" s="395" t="n"/>
    </row>
    <row r="189" ht="85.5" customHeight="1" s="380">
      <c r="A189" s="94" t="n">
        <v>35</v>
      </c>
      <c r="B189" s="386" t="n"/>
      <c r="C189" s="386" t="inlineStr">
        <is>
          <t>Dashboard Tra cứu hồ sơ 360 CTCK &gt;&gt; Dashboard CN, PGD, VPĐD của CTCK &gt;&gt; Biểu đồ Số lượng CN, PGD, VPĐD của CTCK được chấp thuận cung cấp dịch vụ liên quan chứng khoán phái sinh</t>
        </is>
      </c>
      <c r="D189" s="12" t="inlineStr">
        <is>
          <t>Số lượng CN, PGD, VPĐD liên quan CK phái sinh theo dịch vụ tự doanh</t>
        </is>
      </c>
      <c r="E189" s="12" t="inlineStr">
        <is>
          <t>Số lượng CN, PGD, VPĐD liên quan CK phái sinh theo dịch vụ tự doanh</t>
        </is>
      </c>
      <c r="F189" s="386" t="inlineStr">
        <is>
          <t>Dashboard</t>
        </is>
      </c>
      <c r="G189" s="386" t="inlineStr">
        <is>
          <t>Chỉ tiêu cơ sở</t>
        </is>
      </c>
      <c r="H189" s="386" t="inlineStr">
        <is>
          <t>TB</t>
        </is>
      </c>
      <c r="I189" s="386" t="inlineStr">
        <is>
          <t>Ngày, CTCK, Danh mục dịch vụ phái sinh</t>
        </is>
      </c>
      <c r="J189" s="386" t="inlineStr">
        <is>
          <t>SCMS</t>
        </is>
      </c>
      <c r="K189" s="395" t="inlineStr">
        <is>
          <t>X</t>
        </is>
      </c>
      <c r="L189" s="395" t="inlineStr">
        <is>
          <t>X</t>
        </is>
      </c>
      <c r="M189" s="395" t="n"/>
      <c r="N189" s="395" t="inlineStr">
        <is>
          <t>Done</t>
        </is>
      </c>
      <c r="O189" s="401" t="n"/>
      <c r="P189" s="395" t="n"/>
      <c r="Q189" s="397" t="inlineStr">
        <is>
          <t>SCMS.CTCK_CHI_NHANH
SCMS.CTCK_PHONG_GIAO_DICH
SCMS.CTCK_VP_DAI_DIEN
SCMS.CTCK_DICH_VU
SCMS.DM_DICH_VU</t>
        </is>
      </c>
      <c r="R189" s="397" t="inlineStr">
        <is>
          <t>NGAY_QUYET_DINH,
IS_BANG_TAM,
TRANG_THAI
ID,
CTCK_THONG_TIN_ID,
TRANG_THAI_CHI_NHANH,
TRANG_THAI_PGD,
TRANG_THAI_VPDD
dd.ID, 
dd.TEN_DICH_VU,
dv.DM_DICH_VU_ID,
dv.NGAY_DANG_KY,
dv.NGAY_KET_THUC</t>
        </is>
      </c>
      <c r="S189" s="395" t="n"/>
      <c r="T189" s="79" t="inlineStr">
        <is>
          <t>-- Số lượng CN, PGD, VPĐD liên quan CK phái sinh theo dịch vụ tự doanh
SELECT
    nd.ngay,
    COUNT(du.don_vi_id) AS so_cn_pgd_vpdd_ckps_tu_doanh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'%phái sinh%'
          AND LOWER(dd.TEN_DICH_VU) LIKE '%tự doanh%'
          AND TRUNC(dv.NGAY_DANG_KY) &lt;= nd.ngay
          AND (dv.NGAY_KET_THUC IS NULL OR TRUNC(dv.NGAY_KET_THUC) &gt; nd.ngay)
    )
GROUP BY nd.ngay
ORDER BY nd.ngay;</t>
        </is>
      </c>
      <c r="U189" s="386" t="n"/>
      <c r="V189" s="395" t="n"/>
      <c r="W189" s="395" t="n"/>
      <c r="X189" s="395" t="n"/>
      <c r="Y189" s="14" t="inlineStr">
        <is>
          <t>Done</t>
        </is>
      </c>
      <c r="Z189" s="395" t="n"/>
      <c r="AA189" s="395" t="n"/>
      <c r="AB189" s="395" t="n"/>
      <c r="AC189" s="395" t="n"/>
      <c r="AD189" s="395" t="n"/>
      <c r="AE189" s="395" t="n"/>
    </row>
    <row r="190" ht="70" customHeight="1" s="380">
      <c r="A190" s="94" t="n">
        <v>36</v>
      </c>
      <c r="B190" s="81" t="n"/>
      <c r="C190" s="81" t="inlineStr">
        <is>
          <t>Dashboard Tra cứu hồ sơ 360 CTCK &gt;&gt; Dashboard CN, PGD, VPĐD của CTCK &gt;&gt; Biểu đồ Duy trì điều kiện cấp phép</t>
        </is>
      </c>
      <c r="D190" s="12" t="inlineStr">
        <is>
          <t>Chiều thời gian theo Ngày</t>
        </is>
      </c>
      <c r="E190" s="12" t="inlineStr">
        <is>
          <t>Chiều thời gian theo Ngày</t>
        </is>
      </c>
      <c r="F190" s="386" t="inlineStr">
        <is>
          <t>Dashboard</t>
        </is>
      </c>
      <c r="G190" s="386" t="inlineStr">
        <is>
          <t>Chiều</t>
        </is>
      </c>
      <c r="H190" s="386" t="inlineStr">
        <is>
          <t>Trùng</t>
        </is>
      </c>
      <c r="I190" s="386" t="n"/>
      <c r="J190" s="386" t="inlineStr">
        <is>
          <t>SCMS</t>
        </is>
      </c>
      <c r="K190" s="395" t="n"/>
      <c r="L190" s="395" t="inlineStr">
        <is>
          <t>X</t>
        </is>
      </c>
      <c r="M190" s="395" t="n"/>
      <c r="N190" s="395" t="inlineStr">
        <is>
          <t>Done</t>
        </is>
      </c>
      <c r="O190" s="401" t="n"/>
      <c r="P190" s="395" t="n"/>
      <c r="Q190" s="20" t="inlineStr">
        <is>
          <t>Ngày dữ liệu</t>
        </is>
      </c>
      <c r="R190" s="395" t="n"/>
      <c r="S190" s="395" t="n"/>
      <c r="T190" s="393" t="inlineStr">
        <is>
          <t>-- Chiều thời gian theo ngày
SELECT TRUNC(min_ngay) + LEVEL - 1 AS ngay
FROM (SELECT MIN(NGAY_SO_LIEU) AS min_ngay FROM SCMS.BC_THANH_VIEN)
CONNECT BY TRUNC(min_ngay) + LEVEL - 1 &lt;= TRUNC(SYSDATE)
ORDER BY ngay;</t>
        </is>
      </c>
      <c r="U190" s="386" t="n"/>
      <c r="V190" s="395" t="n"/>
      <c r="W190" s="395" t="n"/>
      <c r="X190" s="395" t="n"/>
      <c r="Y190" s="14" t="inlineStr">
        <is>
          <t>Done</t>
        </is>
      </c>
      <c r="Z190" s="395" t="n"/>
      <c r="AA190" s="395" t="n"/>
      <c r="AB190" s="395" t="n"/>
      <c r="AC190" s="395" t="n"/>
      <c r="AD190" s="395" t="n"/>
      <c r="AE190" s="395" t="n"/>
    </row>
    <row r="191" ht="74.25" customHeight="1" s="380">
      <c r="A191" s="94" t="n">
        <v>36</v>
      </c>
      <c r="B191" s="386" t="n"/>
      <c r="C191" s="386" t="inlineStr">
        <is>
          <t>Dashboard Tra cứu hồ sơ 360 CTCK &gt;&gt; Dashboard CN, PGD, VPĐD của CTCK &gt;&gt; Biểu đồ Duy trì điều kiện cấp phép</t>
        </is>
      </c>
      <c r="D191" s="21" t="inlineStr">
        <is>
          <t>Các loại duy trì điều kiện cấp phép</t>
        </is>
      </c>
      <c r="E191" s="21" t="inlineStr">
        <is>
          <t>Đang duy trì tốt, Gần đến giới hạn duy trì, Không duy trì điều kiện cấp phép</t>
        </is>
      </c>
      <c r="F191" s="386" t="inlineStr">
        <is>
          <t>Dashboard</t>
        </is>
      </c>
      <c r="G191" s="386" t="inlineStr">
        <is>
          <t>Chiều</t>
        </is>
      </c>
      <c r="H191" s="386" t="inlineStr">
        <is>
          <t>Dễ</t>
        </is>
      </c>
      <c r="I191" s="386" t="n"/>
      <c r="J191" s="386" t="inlineStr">
        <is>
          <t>SCMS</t>
        </is>
      </c>
      <c r="K191" s="395" t="inlineStr">
        <is>
          <t>X</t>
        </is>
      </c>
      <c r="L191" s="395" t="inlineStr">
        <is>
          <t>X</t>
        </is>
      </c>
      <c r="M191" s="395" t="n"/>
      <c r="N191" s="395" t="inlineStr">
        <is>
          <t>Done</t>
        </is>
      </c>
      <c r="O191" s="401" t="n"/>
      <c r="P191" s="395" t="n"/>
      <c r="Q191" s="390" t="inlineStr">
        <is>
          <t>SCMS.DM_CANH_BAO
SCMS.BM_BAO_CAO</t>
        </is>
      </c>
      <c r="R191" s="401" t="inlineStr">
        <is>
          <t>dm.CAP_DO,
dm.BM_BAO_CAO_ID,
bm.ID,
bm.MA_BAO_CAO</t>
        </is>
      </c>
      <c r="S191" s="401" t="n"/>
      <c r="T191" s="389" t="inlineStr">
        <is>
          <t>-- Chiều: Các loại duy trì điều kiện cấp phép
SELECT DISTINCT
    CASE
        WHEN dm.CAP_DO = 1 THEN 'Đang duy trì tốt'
        WHEN dm.CAP_DO = 2 THEN 'Gần đến giới hạn duy trì'
        WHEN dm.CAP_DO = 3 THEN 'Không duy trì điều kiện cấp phép'
    END AS loai_duy_tri_dkcp
FROM SCMS.DM_CANH_BAO dm
JOIN SCMS.BM_BAO_CAO  bm ON bm.ID = dm.BM_BAO_CAO_ID
WHERE bm.MA_BAO_CAO = 'DUY_TRI_DKCP_GPKD'
  AND dm.CAP_DO IS NOT NULL
ORDER BY 1;</t>
        </is>
      </c>
      <c r="U191" s="386" t="n"/>
      <c r="V191" s="395" t="n"/>
      <c r="W191" s="395" t="n"/>
      <c r="X191" s="395" t="n"/>
      <c r="Y191" s="14" t="inlineStr">
        <is>
          <t>Done</t>
        </is>
      </c>
      <c r="Z191" s="395" t="n"/>
      <c r="AA191" s="395" t="n"/>
      <c r="AB191" s="395" t="n"/>
      <c r="AC191" s="395" t="n"/>
      <c r="AD191" s="395" t="n"/>
      <c r="AE191" s="395" t="n"/>
    </row>
    <row r="192" ht="70" customHeight="1" s="380">
      <c r="A192" s="94" t="n">
        <v>36</v>
      </c>
      <c r="B192" s="386" t="n"/>
      <c r="C192" s="386" t="inlineStr">
        <is>
          <t>Dashboard Tra cứu hồ sơ 360 CTCK &gt;&gt; Dashboard CN, PGD, VPĐD của CTCK &gt;&gt; Biểu đồ Duy trì điều kiện cấp phép</t>
        </is>
      </c>
      <c r="D192" s="12" t="inlineStr">
        <is>
          <t>Số lượng CN, PGD, VPDD đang duy trì tốt</t>
        </is>
      </c>
      <c r="E192" s="12" t="inlineStr">
        <is>
          <t>Số lượng CN, PGD, VPDD đang duy trì tốt</t>
        </is>
      </c>
      <c r="F192" s="386" t="inlineStr">
        <is>
          <t>Dashboard</t>
        </is>
      </c>
      <c r="G192" s="386" t="inlineStr">
        <is>
          <t>Chỉ tiêu cơ sở</t>
        </is>
      </c>
      <c r="H192" s="386" t="inlineStr">
        <is>
          <t>TB</t>
        </is>
      </c>
      <c r="I192" s="386" t="inlineStr">
        <is>
          <t>Ngày, CTCK, phân loại điều kiện duy trì</t>
        </is>
      </c>
      <c r="J192" s="386" t="inlineStr">
        <is>
          <t>SCMS</t>
        </is>
      </c>
      <c r="K192" s="395" t="inlineStr">
        <is>
          <t>X</t>
        </is>
      </c>
      <c r="L192" s="395" t="inlineStr">
        <is>
          <t>X</t>
        </is>
      </c>
      <c r="M192" s="395" t="n"/>
      <c r="N192" s="395" t="inlineStr">
        <is>
          <t>Done</t>
        </is>
      </c>
      <c r="O192" s="401" t="n"/>
      <c r="P192" s="395" t="n"/>
      <c r="Q192" s="397" t="inlineStr">
        <is>
          <t>SCMS.BC_CANH_BAO
SCMS.BC_THANH_VIEN
SCMS.DM_CANH_BAO
SCMS.BM_BAO_CAO
SCMS.CTCK_CHI_NHANH
SCMS.CTCK_PHONG_GIAO_DICH
SCMS.CTCK_VP_DAI_DIEN</t>
        </is>
      </c>
      <c r="R192" s="398" t="inlineStr">
        <is>
          <t>bt.ID,
bt.CTCK_THONG_TIN_ID,
bt.NGAY_SO_LIEU,
bt.TRANG_THAI,
bt.XOA_DU_LIEU,
dm.ID,
dm.CAP_DO,
dm.BM_BAO_CAO_ID,
cb.BC_THANH_VIEN_ID,
cb.DM_CANH_BAO_ID,
bm.ID,
bm.MA_BAO_CAO,
ID,
CTCK_THONG_TIN_ID,
NGAY_QUYET_DINH,
IS_BANG_TAM,
TRANG_THAI,
TRANG_THAI_CHI_NHANH,
TRANG_THAI_PGD,
TRANG_THAI_VPDD,
dt.CAP_DO</t>
        </is>
      </c>
      <c r="S192" s="395" t="n"/>
      <c r="T192" s="388" t="inlineStr">
        <is>
          <t>-- Biểu đồ Duy trì điều kiện cấp phép
 -- Số lượng CN, PGD, VPDD đang duy trì tốt
 -- Số lượng CN, PGD, VPDD gần đến giới hạn duy trì
 -- Số lượng CN, PGD, VPDD không duy trì điều kiện cấp phép
WITH duy_tri_dkcp AS (
    SELECT
        bt.CTCK_THONG_TIN_ID,
        dm.CAP_DO,
        ROW_NUMBER() OVER (
            PARTITION BY bt.CTCK_THONG_TIN_ID
            ORDER BY bt.NGAY_SO_LIEU DESC
        ) AS rn
    FROM SCMS.BC_CANH_BAO      cb   -- DB cũ không có bảng này
    JOIN SCMS.BC_THANH_VIEN bt ON bt.ID = cb.BC_THANH_VIEN_ID
    JOIN SCMS.DM_CANH_BAO   dm ON dm.ID = cb.DM_CANH_BAO_ID
    JOIN SCMS.BM_BAO_CAO    bm ON bm.ID = dm.BM_BAO_CAO_ID
    WHERE bm.MA_BAO_CAO          = 'DUY_TRI_DKCP'  -- Xác nhận
--      AND bt.CTCK_THONG_TIN_ID   = :p_ctck_id
      AND bt.TRANG_THAI          IN (4, 6)
      AND bt.XOA_DU_LIEU          = 0
),
don_vi AS (
    SELECT ID AS don_vi_id, CTCK_THONG_TIN_ID, TRUNC(NGAY_QUYET_DINH) AS ngay_cap_phep
    FROM SCMS.CTCK_CHI_NHANH
    WHERE 1 = 1
--            AND CTCK_THONG_TIN_ID = :p_ctck_id 
            AND IS_BANG_TAM = 1 AND TRANG_THAI = 1 AND TRANG_THAI_CHI_NHANH = 1
    UNION ALL
    SELECT ID, CTCK_THONG_TIN_ID, TRUNC(NGAY_QUYET_DINH) FROM SCMS.CTCK_PHONG_GIAO_DICH
    WHERE 1 = 1
--            AND CTCK_THONG_TIN_ID = :p_ctck_id 
            AND IS_BANG_TAM = 1 AND TRANG_THAI = 1 AND TRANG_THAI_PGD = 1
    UNION ALL
    SELECT ID, CTCK_THONG_TIN_ID, TRUNC(NGAY_QUYET_DINH) FROM SCMS.CTCK_VP_DAI_DIEN
    WHERE 1 = 1
--            AND CTCK_THONG_TIN_ID = :p_ctck_id 
            AND IS_BANG_TAM = 1 AND TRANG_THAI = 1 AND TRANG_THAI_VPDD = 1
)
SELECT
    TRUNC(SYSDATE) AS ngay,
    COUNT(CASE WHEN dt.CAP_DO = 1 THEN dv.don_vi_id END) AS so_cn_pgd_vpdd_duy_tri_tot,
    COUNT(CASE WHEN dt.CAP_DO = 2 THEN dv.don_vi_id END) AS so_cn_pgd_vpdd_gan_gioi_han,
    COUNT(CASE WHEN dt.CAP_DO = 3 THEN dv.don_vi_id END) AS so_cn_pgd_vpdd_khong_duy_tri
FROM don_vi dv
JOIN duy_tri_dkcp dt ON dt.CTCK_THONG_TIN_ID = dv.CTCK_THONG_TIN_ID
               AND dt.rn = 1
WHERE dv.ngay_cap_phep &lt;= TRUNC(SYSDATE);</t>
        </is>
      </c>
      <c r="U192" s="386" t="n"/>
      <c r="V192" s="395" t="n"/>
      <c r="W192" s="395" t="n"/>
      <c r="X192" s="395" t="n"/>
      <c r="Y192" s="14" t="inlineStr">
        <is>
          <t>Done</t>
        </is>
      </c>
      <c r="Z192" s="395" t="n"/>
      <c r="AA192" s="395" t="n"/>
      <c r="AB192" s="395" t="n"/>
      <c r="AC192" s="395" t="n"/>
      <c r="AD192" s="395" t="n"/>
      <c r="AE192" s="395" t="n"/>
    </row>
    <row r="193" ht="70" customHeight="1" s="380">
      <c r="A193" s="94" t="n">
        <v>36</v>
      </c>
      <c r="B193" s="386" t="n"/>
      <c r="C193" s="386" t="inlineStr">
        <is>
          <t>Dashboard Tra cứu hồ sơ 360 CTCK &gt;&gt; Dashboard CN, PGD, VPĐD của CTCK &gt;&gt; Biểu đồ Duy trì điều kiện cấp phép</t>
        </is>
      </c>
      <c r="D193" s="12" t="inlineStr">
        <is>
          <t>Số lượng CN, PGD, VPDD gần đến giới hạn duy trì</t>
        </is>
      </c>
      <c r="E193" s="12" t="inlineStr">
        <is>
          <t>Số lượng CN, PGD, VPDD gần đến giới hạn duy trì</t>
        </is>
      </c>
      <c r="F193" s="386" t="inlineStr">
        <is>
          <t>Dashboard</t>
        </is>
      </c>
      <c r="G193" s="386" t="inlineStr">
        <is>
          <t>Chỉ tiêu cơ sở</t>
        </is>
      </c>
      <c r="H193" s="386" t="inlineStr">
        <is>
          <t>TB</t>
        </is>
      </c>
      <c r="I193" s="386" t="inlineStr">
        <is>
          <t>Ngày, CTCK, phân loại điều kiện duy trì</t>
        </is>
      </c>
      <c r="J193" s="386" t="inlineStr">
        <is>
          <t>SCMS</t>
        </is>
      </c>
      <c r="K193" s="395" t="inlineStr">
        <is>
          <t>X</t>
        </is>
      </c>
      <c r="L193" s="395" t="inlineStr">
        <is>
          <t>X</t>
        </is>
      </c>
      <c r="M193" s="395" t="n"/>
      <c r="N193" s="395" t="inlineStr">
        <is>
          <t>Done</t>
        </is>
      </c>
      <c r="O193" s="401" t="n"/>
      <c r="P193" s="395" t="n"/>
      <c r="S193" s="395" t="n"/>
      <c r="U193" s="386" t="n"/>
      <c r="V193" s="395" t="n"/>
      <c r="W193" s="395" t="n"/>
      <c r="X193" s="395" t="n"/>
      <c r="Y193" s="14" t="inlineStr">
        <is>
          <t>Done</t>
        </is>
      </c>
      <c r="Z193" s="395" t="n"/>
      <c r="AA193" s="395" t="n"/>
      <c r="AB193" s="395" t="n"/>
      <c r="AC193" s="395" t="n"/>
      <c r="AD193" s="395" t="n"/>
      <c r="AE193" s="395" t="n"/>
    </row>
    <row r="194" ht="70" customHeight="1" s="380">
      <c r="A194" s="94" t="n">
        <v>36</v>
      </c>
      <c r="B194" s="386" t="n"/>
      <c r="C194" s="386" t="inlineStr">
        <is>
          <t>Dashboard Tra cứu hồ sơ 360 CTCK &gt;&gt; Dashboard CN, PGD, VPĐD của CTCK &gt;&gt; Biểu đồ Duy trì điều kiện cấp phép</t>
        </is>
      </c>
      <c r="D194" s="12" t="inlineStr">
        <is>
          <t>Số lượng CN, PGD, VPDD không duy trì điều kiện cấp phép</t>
        </is>
      </c>
      <c r="E194" s="12" t="inlineStr">
        <is>
          <t>Số lượng CN, PGD, VPDD không duy trì điều kiện cấp phép</t>
        </is>
      </c>
      <c r="F194" s="386" t="inlineStr">
        <is>
          <t>Dashboard</t>
        </is>
      </c>
      <c r="G194" s="386" t="inlineStr">
        <is>
          <t>Chỉ tiêu cơ sở</t>
        </is>
      </c>
      <c r="H194" s="386" t="inlineStr">
        <is>
          <t>TB</t>
        </is>
      </c>
      <c r="I194" s="386" t="inlineStr">
        <is>
          <t>Ngày, CTCK, phân loại điều kiện duy trì</t>
        </is>
      </c>
      <c r="J194" s="386" t="inlineStr">
        <is>
          <t>SCMS</t>
        </is>
      </c>
      <c r="K194" s="395" t="inlineStr">
        <is>
          <t>X</t>
        </is>
      </c>
      <c r="L194" s="395" t="inlineStr">
        <is>
          <t>X</t>
        </is>
      </c>
      <c r="M194" s="395" t="n"/>
      <c r="N194" s="395" t="inlineStr">
        <is>
          <t>Done</t>
        </is>
      </c>
      <c r="O194" s="401" t="n"/>
      <c r="P194" s="395" t="n"/>
      <c r="S194" s="395" t="n"/>
      <c r="U194" s="386" t="n"/>
      <c r="V194" s="395" t="n"/>
      <c r="W194" s="395" t="n"/>
      <c r="X194" s="395" t="n"/>
      <c r="Y194" s="14" t="inlineStr">
        <is>
          <t>Done</t>
        </is>
      </c>
      <c r="Z194" s="395" t="n"/>
      <c r="AA194" s="395" t="n"/>
      <c r="AB194" s="395" t="n"/>
      <c r="AC194" s="395" t="n"/>
      <c r="AD194" s="395" t="n"/>
      <c r="AE194" s="395" t="n"/>
    </row>
    <row r="195" ht="70" customHeight="1" s="380">
      <c r="A195" s="94" t="n">
        <v>37</v>
      </c>
      <c r="B195" s="81" t="n"/>
      <c r="C195" s="81" t="inlineStr">
        <is>
          <t>Dashboard Tra cứu hồ sơ 360 CTCK &gt;&gt; Dashboard CN, PGD, VPĐD của CTCK &gt;&gt; Danh sách CN, PGD, VPĐD</t>
        </is>
      </c>
      <c r="D195" s="12" t="inlineStr">
        <is>
          <t>Tên CN, PGD, VPĐD</t>
        </is>
      </c>
      <c r="E195" s="12" t="inlineStr">
        <is>
          <t>Tên CN, PGD, VPĐD</t>
        </is>
      </c>
      <c r="F195" s="386" t="inlineStr">
        <is>
          <t>Dashboard</t>
        </is>
      </c>
      <c r="G195" s="386" t="inlineStr">
        <is>
          <t>Chỉ tiêu cơ sở</t>
        </is>
      </c>
      <c r="H195" s="386" t="inlineStr">
        <is>
          <t>Dễ</t>
        </is>
      </c>
      <c r="I195" s="386" t="inlineStr">
        <is>
          <t>CTCK</t>
        </is>
      </c>
      <c r="J195" s="386" t="inlineStr">
        <is>
          <t>SCMS</t>
        </is>
      </c>
      <c r="K195" s="395" t="inlineStr">
        <is>
          <t>X</t>
        </is>
      </c>
      <c r="L195" s="395" t="inlineStr">
        <is>
          <t>X</t>
        </is>
      </c>
      <c r="M195" s="395" t="n"/>
      <c r="N195" s="395" t="inlineStr">
        <is>
          <t>Done</t>
        </is>
      </c>
      <c r="O195" s="401" t="n"/>
      <c r="P195" s="395" t="n"/>
      <c r="Q195" s="396" t="inlineStr">
        <is>
          <t>SCMS.CTCK_DICH_VU
SCMS.DM_DICH_VU
SCMS.CTCK_CHI_NHANH
SCMS.CTCK_PHONG_GIAO_DICH
SCMS.CTCK_VP_DAI_DIEN</t>
        </is>
      </c>
      <c r="R195" s="399" t="inlineStr">
        <is>
          <t>dv.CTCK_THONG_TIN_ID,
dv.DM_DICH_VU_ID,
dv.IS_BANG_TAM,
dv.TRANG_THAI,
dv.NGAY_KET_THUC,
dd.ID,
dd.TEN_DICH_VU,
cn.CTCK_THONG_TIN_ID,
cn.TEN_DAY_DU,
cn.DIA_CHI,
cn.NGAY_QUYET_DINH,
cn.GIAM_DOC,
cn.IS_BANG_TAM,
cn.TRANG_THAI,
cn.TRANG_THAI_CHI_NHANH,
pgd.CTCK_THONG_TIN_ID,
pgd.TEN_DAY_DU,
pgd.DIA_CHI,
pgd.NGAY_QUYET_DINH,
pgd.NGUOI_DAI_DIEN,
pgd.IS_BANG_TAM,
pgd.TRANG_THAI,
pgd.TRANG_THAI_PGD,
vpdd.CTCK_THONG_TIN_ID,
vpdd.TEN_DAY_DU,
vpdd.DIA_CHI,
vpdd.NGAY_QUYET_DINH,
vpdd.NGUOI_DAI_DIEN,
vpdd.IS_BANG_TAM,
vpdd.TRANG_THAI,
vpdd.TRANG_THAI_VPDD</t>
        </is>
      </c>
      <c r="S195" s="395" t="n"/>
      <c r="T195" s="384" t="inlineStr">
        <is>
          <t>-- Danh sách CN, PGD, VPĐD (Tên CN, PGD, VPĐD; Địa chỉ; Nghiệp vụ; Ngày thành lập; Giám đốc chi nhánh/Trưởng VPĐD)
WITH nghiep_vu AS (
    SELECT
        dv.CTCK_THONG_TIN_ID,
        LISTAGG(dd.TEN_DICH_VU, ', ') WITHIN GROUP (ORDER BY dd.TEN_DICH_VU) AS danh_sach_nghiep_vu
    FROM SCMS.CTCK_DICH_VU dv
    JOIN SCMS.DM_DICH_VU   dd ON dd.ID = dv.DM_DICH_VU_ID
    WHERE 1 = 1
--      AND dv.CTCK_THONG_TIN_ID = :p_ctck_id
      AND dv.IS_BANG_TAM        = 1
      AND dv.TRANG_THAI          = 1
      AND LOWER(dd.TEN_DICH_VU) NOT LIKE '%phái sinh%'  -- chỉ lấy nghiệp vụ cơ sở
      AND (dv.NGAY_KET_THUC IS NULL OR TRUNC(dv.NGAY_KET_THUC) &gt; TRUNC(SYSDATE))
    GROUP BY dv.CTCK_THONG_TIN_ID
)
SELECT
    'Chi nhánh'              AS loai,
    cn.TEN_DAY_DU            AS ten,
    cn.DIA_CHI               AS dia_chi,
    nv.danh_sach_nghiep_vu   AS nghiep_vu,
    TRUNC(cn.NGAY_QUYET_DINH) AS ngay_thanh_lap,
    cn.GIAM_DOC              AS giam_doc_hoac_truong_vpdd
FROM SCMS.CTCK_CHI_NHANH cn
LEFT JOIN nghiep_vu nv ON nv.CTCK_THONG_TIN_ID = cn.CTCK_THONG_TIN_ID
WHERE 1 = 1
--  AND cn.CTCK_THONG_TIN_ID = :p_ctck_id
  AND cn.IS_BANG_TAM        = 1
  AND cn.TRANG_THAI          = 1
  AND cn.TRANG_THAI_CHI_NHANH = 1
UNION ALL
SELECT
    'Phòng giao dịch'        AS loai,
    pgd.TEN_DAY_DU           AS ten,
    pgd.DIA_CHI              AS dia_chi,
    nv.danh_sach_nghiep_vu   AS nghiep_vu,
    TRUNC(pgd.NGAY_QUYET_DINH) AS ngay_thanh_lap,
    pgd.NGUOI_DAI_DIEN       AS giam_doc_hoac_truong_vpdd
FROM SCMS.CTCK_PHONG_GIAO_DICH pgd
LEFT JOIN nghiep_vu nv ON nv.CTCK_THONG_TIN_ID = pgd.CTCK_THONG_TIN_ID
WHERE 1 = 1
--  AND pgd.CTCK_THONG_TIN_ID = :p_ctck_id
  AND pgd.IS_BANG_TAM        = 1
  AND pgd.TRANG_THAI          = 1
  AND pgd.TRANG_THAI_PGD     = 1
UNION ALL
SELECT
    'Văn phòng đại diện'     AS loai,
    vpdd.TEN_DAY_DU          AS ten,
    vpdd.DIA_CHI             AS dia_chi,
    nv.danh_sach_nghiep_vu   AS nghiep_vu,
    TRUNC(vpdd.NGAY_QUYET_DINH) AS ngay_thanh_lap,
    vpdd.NGUOI_DAI_DIEN      AS giam_doc_hoac_truong_vpdd
FROM SCMS.CTCK_VP_DAI_DIEN vpdd
LEFT JOIN nghiep_vu nv ON nv.CTCK_THONG_TIN_ID = vpdd.CTCK_THONG_TIN_ID
WHERE  1 = 1
--  AND vpdd.CTCK_THONG_TIN_ID = :p_ctck_id
  AND vpdd.IS_BANG_TAM        = 1
  AND vpdd.TRANG_THAI          = 1
  AND vpdd.TRANG_THAI_VPDD    = 1
ORDER BY loai, ngay_thanh_lap;</t>
        </is>
      </c>
      <c r="U195" s="386" t="n"/>
      <c r="V195" s="395" t="n"/>
      <c r="W195" s="395" t="n"/>
      <c r="X195" s="395" t="n"/>
      <c r="Y195" s="14" t="inlineStr">
        <is>
          <t>Vướng vì lí do khác</t>
        </is>
      </c>
      <c r="Z195" s="395" t="n"/>
      <c r="AA195" s="395" t="n"/>
      <c r="AB195" s="395" t="n"/>
      <c r="AC195" s="395" t="n"/>
      <c r="AD195" s="395" t="n"/>
      <c r="AE195" s="395" t="n"/>
    </row>
    <row r="196" ht="70" customHeight="1" s="380">
      <c r="A196" s="94" t="n">
        <v>37</v>
      </c>
      <c r="B196" s="386" t="n"/>
      <c r="C196" s="386" t="inlineStr">
        <is>
          <t>Dashboard Tra cứu hồ sơ 360 CTCK &gt;&gt; Dashboard CN, PGD, VPĐD của CTCK &gt;&gt; Danh sách CN, PGD, VPĐD</t>
        </is>
      </c>
      <c r="D196" s="12" t="inlineStr">
        <is>
          <t>Địa chỉ CN, PGD, VPĐD</t>
        </is>
      </c>
      <c r="E196" s="12" t="inlineStr">
        <is>
          <t>Địa chỉ CN, PGD, VPĐD</t>
        </is>
      </c>
      <c r="F196" s="386" t="inlineStr">
        <is>
          <t>Dashboard</t>
        </is>
      </c>
      <c r="G196" s="386" t="inlineStr">
        <is>
          <t>Chỉ tiêu cơ sở</t>
        </is>
      </c>
      <c r="H196" s="386" t="inlineStr">
        <is>
          <t>Dễ</t>
        </is>
      </c>
      <c r="I196" s="386" t="inlineStr">
        <is>
          <t>CTCK</t>
        </is>
      </c>
      <c r="J196" s="386" t="inlineStr">
        <is>
          <t>SCMS</t>
        </is>
      </c>
      <c r="K196" s="395" t="inlineStr">
        <is>
          <t>X</t>
        </is>
      </c>
      <c r="L196" s="395" t="inlineStr">
        <is>
          <t>X</t>
        </is>
      </c>
      <c r="M196" s="395" t="n"/>
      <c r="N196" s="395" t="inlineStr">
        <is>
          <t>Done</t>
        </is>
      </c>
      <c r="O196" s="401" t="n"/>
      <c r="P196" s="395" t="n"/>
      <c r="S196" s="395" t="n"/>
      <c r="U196" s="386" t="n"/>
      <c r="V196" s="395" t="n"/>
      <c r="W196" s="395" t="n"/>
      <c r="X196" s="395" t="n"/>
      <c r="Y196" s="14" t="inlineStr">
        <is>
          <t>Vướng vì lí do khác</t>
        </is>
      </c>
      <c r="Z196" s="395" t="n"/>
      <c r="AA196" s="395" t="n"/>
      <c r="AB196" s="395" t="n"/>
      <c r="AC196" s="395" t="n"/>
      <c r="AD196" s="395" t="n"/>
      <c r="AE196" s="395" t="n"/>
    </row>
    <row r="197" ht="70" customHeight="1" s="380">
      <c r="A197" s="94" t="n">
        <v>37</v>
      </c>
      <c r="B197" s="386" t="n"/>
      <c r="C197" s="386" t="inlineStr">
        <is>
          <t>Dashboard Tra cứu hồ sơ 360 CTCK &gt;&gt; Dashboard CN, PGD, VPĐD của CTCK &gt;&gt; Danh sách CN, PGD, VPĐD</t>
        </is>
      </c>
      <c r="D197" s="12" t="inlineStr">
        <is>
          <t>Nghiệp vụ</t>
        </is>
      </c>
      <c r="E197" s="12" t="inlineStr">
        <is>
          <t>Nghiệp vụ được cấp phép CN, PGD, VPĐD</t>
        </is>
      </c>
      <c r="F197" s="386" t="inlineStr">
        <is>
          <t>Dashboard</t>
        </is>
      </c>
      <c r="G197" s="386" t="inlineStr">
        <is>
          <t>Chỉ tiêu cơ sở</t>
        </is>
      </c>
      <c r="H197" s="386" t="inlineStr">
        <is>
          <t>Dễ</t>
        </is>
      </c>
      <c r="I197" s="386" t="inlineStr">
        <is>
          <t>CTCK</t>
        </is>
      </c>
      <c r="J197" s="386" t="inlineStr">
        <is>
          <t>SCMS</t>
        </is>
      </c>
      <c r="K197" s="395" t="inlineStr">
        <is>
          <t>X</t>
        </is>
      </c>
      <c r="L197" s="395" t="inlineStr">
        <is>
          <t>X</t>
        </is>
      </c>
      <c r="M197" s="395" t="n"/>
      <c r="N197" s="395" t="inlineStr">
        <is>
          <t>Done</t>
        </is>
      </c>
      <c r="O197" s="401" t="n"/>
      <c r="P197" s="395" t="n"/>
      <c r="S197" s="395" t="n"/>
      <c r="U197" s="386" t="n"/>
      <c r="V197" s="395" t="n"/>
      <c r="W197" s="395" t="n"/>
      <c r="X197" s="395" t="n"/>
      <c r="Y197" s="14" t="inlineStr">
        <is>
          <t>Vướng vì lí do khác</t>
        </is>
      </c>
      <c r="Z197" s="395" t="n"/>
      <c r="AA197" s="395" t="n"/>
      <c r="AB197" s="395" t="n"/>
      <c r="AC197" s="395" t="n"/>
      <c r="AD197" s="395" t="n"/>
      <c r="AE197" s="395" t="n"/>
    </row>
    <row r="198" ht="70" customHeight="1" s="380">
      <c r="A198" s="94" t="n">
        <v>37</v>
      </c>
      <c r="B198" s="386" t="n"/>
      <c r="C198" s="386" t="inlineStr">
        <is>
          <t>Dashboard Tra cứu hồ sơ 360 CTCK &gt;&gt; Dashboard CN, PGD, VPĐD của CTCK &gt;&gt; Danh sách CN, PGD, VPĐD</t>
        </is>
      </c>
      <c r="D198" s="12" t="inlineStr">
        <is>
          <t>Ngày thành lập</t>
        </is>
      </c>
      <c r="E198" s="12" t="inlineStr">
        <is>
          <t>Ngày thành lập CN, PGD, VPĐD</t>
        </is>
      </c>
      <c r="F198" s="386" t="inlineStr">
        <is>
          <t>Dashboard</t>
        </is>
      </c>
      <c r="G198" s="386" t="inlineStr">
        <is>
          <t>Chỉ tiêu cơ sở</t>
        </is>
      </c>
      <c r="H198" s="386" t="inlineStr">
        <is>
          <t>Dễ</t>
        </is>
      </c>
      <c r="I198" s="386" t="inlineStr">
        <is>
          <t>CTCK</t>
        </is>
      </c>
      <c r="J198" s="386" t="inlineStr">
        <is>
          <t>SCMS</t>
        </is>
      </c>
      <c r="K198" s="395" t="inlineStr">
        <is>
          <t>X</t>
        </is>
      </c>
      <c r="L198" s="395" t="inlineStr">
        <is>
          <t>X</t>
        </is>
      </c>
      <c r="M198" s="395" t="n"/>
      <c r="N198" s="395" t="inlineStr">
        <is>
          <t>Done</t>
        </is>
      </c>
      <c r="O198" s="401" t="n"/>
      <c r="P198" s="395" t="n"/>
      <c r="S198" s="395" t="n"/>
      <c r="U198" s="386" t="n"/>
      <c r="V198" s="395" t="n"/>
      <c r="W198" s="395" t="n"/>
      <c r="X198" s="395" t="n"/>
      <c r="Y198" s="14" t="inlineStr">
        <is>
          <t>Vướng vì lí do khác</t>
        </is>
      </c>
      <c r="Z198" s="395" t="n"/>
      <c r="AA198" s="395" t="n"/>
      <c r="AB198" s="395" t="n"/>
      <c r="AC198" s="395" t="n"/>
      <c r="AD198" s="395" t="n"/>
      <c r="AE198" s="395" t="n"/>
    </row>
    <row r="199" ht="70" customHeight="1" s="380">
      <c r="A199" s="94" t="n">
        <v>37</v>
      </c>
      <c r="B199" s="386" t="n"/>
      <c r="C199" s="386" t="inlineStr">
        <is>
          <t>Dashboard Tra cứu hồ sơ 360 CTCK &gt;&gt; Dashboard CN, PGD, VPĐD của CTCK &gt;&gt; Danh sách CN, PGD, VPĐD</t>
        </is>
      </c>
      <c r="D199" s="12" t="inlineStr">
        <is>
          <t>Giám đốc chi nhánh/Trưởng VPĐD</t>
        </is>
      </c>
      <c r="E199" s="12" t="inlineStr">
        <is>
          <t>Thông tin Giám đốc chi nhánh, trưởng VPĐD</t>
        </is>
      </c>
      <c r="F199" s="386" t="inlineStr">
        <is>
          <t>Dashboard</t>
        </is>
      </c>
      <c r="G199" s="386" t="inlineStr">
        <is>
          <t>Chỉ tiêu cơ sở</t>
        </is>
      </c>
      <c r="H199" s="386" t="inlineStr">
        <is>
          <t>Dễ</t>
        </is>
      </c>
      <c r="I199" s="386" t="inlineStr">
        <is>
          <t>CTCK</t>
        </is>
      </c>
      <c r="J199" s="386" t="inlineStr">
        <is>
          <t>SCMS</t>
        </is>
      </c>
      <c r="K199" s="395" t="inlineStr">
        <is>
          <t>X</t>
        </is>
      </c>
      <c r="L199" s="395" t="inlineStr">
        <is>
          <t>X</t>
        </is>
      </c>
      <c r="M199" s="395" t="n"/>
      <c r="N199" s="395" t="inlineStr">
        <is>
          <t>Done</t>
        </is>
      </c>
      <c r="O199" s="401" t="n"/>
      <c r="P199" s="395" t="n"/>
      <c r="S199" s="395" t="n"/>
      <c r="U199" s="386" t="n"/>
      <c r="V199" s="395" t="n"/>
      <c r="W199" s="395" t="n"/>
      <c r="X199" s="395" t="n"/>
      <c r="Y199" s="14" t="inlineStr">
        <is>
          <t>Vướng vì lí do khác</t>
        </is>
      </c>
      <c r="Z199" s="395" t="n"/>
      <c r="AA199" s="395" t="n"/>
      <c r="AB199" s="395" t="n"/>
      <c r="AC199" s="395" t="n"/>
      <c r="AD199" s="395" t="n"/>
      <c r="AE199" s="395" t="n"/>
    </row>
    <row r="200" ht="84" customHeight="1" s="380">
      <c r="A200" s="94" t="n">
        <v>38</v>
      </c>
      <c r="B200" s="81" t="n"/>
      <c r="C200" s="81" t="inlineStr">
        <is>
          <t>Dashboard Tra cứu hồ sơ 360 CTCK &gt;&gt; Dashboard tình hình tuân thủ, vi phạm của công ty chứng khoán &gt;&gt; Biểu đồ Các chỉ tiêu chung</t>
        </is>
      </c>
      <c r="D200" s="12" t="inlineStr">
        <is>
          <t>Chiều thời gian theo Ngày</t>
        </is>
      </c>
      <c r="E200" s="12" t="inlineStr">
        <is>
          <t>Chiều thời gian theo Ngày</t>
        </is>
      </c>
      <c r="F200" s="386" t="inlineStr">
        <is>
          <t>Dashboard</t>
        </is>
      </c>
      <c r="G200" s="386" t="inlineStr">
        <is>
          <t>Chiều</t>
        </is>
      </c>
      <c r="H200" s="386" t="inlineStr">
        <is>
          <t>Trùng</t>
        </is>
      </c>
      <c r="I200" s="386" t="n"/>
      <c r="J200" s="386" t="inlineStr">
        <is>
          <t>SCMS</t>
        </is>
      </c>
      <c r="K200" s="395" t="n"/>
      <c r="L200" s="395" t="inlineStr">
        <is>
          <t>X</t>
        </is>
      </c>
      <c r="M200" s="395" t="n"/>
      <c r="N200" s="395" t="inlineStr">
        <is>
          <t>Done</t>
        </is>
      </c>
      <c r="O200" s="401" t="n"/>
      <c r="P200" s="395" t="n"/>
      <c r="Q200" s="20" t="inlineStr">
        <is>
          <t>Ngày dữ liệu</t>
        </is>
      </c>
      <c r="R200" s="395" t="n"/>
      <c r="S200" s="395" t="n"/>
      <c r="T200" s="393" t="inlineStr">
        <is>
          <t>-- Chiều thời gian theo ngày
SELECT TRUNC(min_ngay) + LEVEL - 1 AS ngay
FROM (SELECT MIN(NGAY_SO_LIEU) AS min_ngay FROM SCMS.BC_THANH_VIEN)
CONNECT BY TRUNC(min_ngay) + LEVEL - 1 &lt;= TRUNC(SYSDATE)
ORDER BY ngay;</t>
        </is>
      </c>
      <c r="U200" s="386" t="n"/>
      <c r="V200" s="395" t="n"/>
      <c r="W200" s="395" t="n"/>
      <c r="X200" s="395" t="n"/>
      <c r="Y200" s="13" t="inlineStr">
        <is>
          <t>Done</t>
        </is>
      </c>
      <c r="Z200" s="395" t="n"/>
      <c r="AA200" s="395" t="n"/>
      <c r="AB200" s="395" t="n"/>
      <c r="AC200" s="395" t="n"/>
      <c r="AD200" s="395" t="n"/>
      <c r="AE200" s="395" t="n"/>
    </row>
    <row r="201" ht="63.75" customHeight="1" s="380">
      <c r="A201" s="94" t="n">
        <v>38</v>
      </c>
      <c r="B201" s="386" t="n"/>
      <c r="C201" s="386" t="inlineStr">
        <is>
          <t>Dashboard Tra cứu hồ sơ 360 CTCK &gt;&gt; Dashboard tình hình tuân thủ, vi phạm của công ty chứng khoán &gt;&gt; Biểu đồ Các chỉ tiêu chung</t>
        </is>
      </c>
      <c r="D201" s="12" t="inlineStr">
        <is>
          <t>Báo cáo (YTD)</t>
        </is>
      </c>
      <c r="E201" s="12" t="inlineStr">
        <is>
          <t>Số lượng báo cáo đã nộp/ Số lượng báo cáo phải nộp</t>
        </is>
      </c>
      <c r="F201" s="386" t="inlineStr">
        <is>
          <t>Dashboard</t>
        </is>
      </c>
      <c r="G201" s="386" t="inlineStr">
        <is>
          <t>Chỉ tiêu cơ sở</t>
        </is>
      </c>
      <c r="H201" s="386" t="inlineStr">
        <is>
          <t>Dễ</t>
        </is>
      </c>
      <c r="I201" s="386" t="inlineStr">
        <is>
          <t>Ngày, CTCK</t>
        </is>
      </c>
      <c r="J201" s="386" t="inlineStr">
        <is>
          <t>SCMS</t>
        </is>
      </c>
      <c r="K201" s="395" t="inlineStr">
        <is>
          <t>X</t>
        </is>
      </c>
      <c r="L201" s="395" t="inlineStr">
        <is>
          <t>X</t>
        </is>
      </c>
      <c r="M201" s="395" t="n"/>
      <c r="N201" s="395" t="inlineStr">
        <is>
          <t>Done</t>
        </is>
      </c>
      <c r="O201" s="401" t="n"/>
      <c r="P201" s="395" t="n"/>
      <c r="Q201" s="397" t="inlineStr">
        <is>
          <t>SCMS.BC_THANH_VIEN</t>
        </is>
      </c>
      <c r="R201" s="397" t="inlineStr">
        <is>
          <t>bt.ID,
bt.TRANG_THAI,
bt.NGAY_SO_LIEU,
bt.XOA_DU_LIEU</t>
        </is>
      </c>
      <c r="S201" s="395" t="n"/>
      <c r="T201" s="79" t="inlineStr">
        <is>
          <t>-- Báo cáo (YTD): Số lượng báo cáo đã nộp/ Số lượng báo cáo phải nộp
SELECT
    nd.ngay,
    COUNT(CASE WHEN bt.TRANG_THAI IN (4, 6) THEN bt.ID END) AS so_bc_da_nop,
    COUNT(bt.ID) AS so_bc_phai_nop,
    COUNT(CASE WHEN bt.TRANG_THAI IN (4, 6) THEN bt.ID END) || '/' || COUNT(bt.ID) AS bao_cao_ytd
FROM (
    SELECT TRUNC(min_ngay) + LEVEL - 1 AS ngay
    FROM (
        SELECT MIN(bt.NGAY_SO_LIEU) AS min_ngay
        FROM SCMS.BC_THANH_VIEN bt
        WHERE 1 = 1
--          AND bt.CTCK_THONG_TIN_ID = :p_ctck_id
          AND bt.XOA_DU_LIEU = 0
    )
    CONNECT BY TRUNC(min_ngay) + LEVEL - 1 &lt;= TRUNC(SYSDATE)
) nd
LEFT JOIN SCMS.BC_THANH_VIEN bt
    ON  bt.XOA_DU_LIEU = 0
--    AND bt.CTCK_THONG_TIN_ID = :p_ctck_id
    AND TRUNC(bt.NGAY_SO_LIEU) &gt;= TRUNC(nd.ngay, 'YYYY')
    AND TRUNC(bt.NGAY_SO_LIEU) &lt;= nd.ngay
GROUP BY nd.ngay
ORDER BY nd.ngay;</t>
        </is>
      </c>
      <c r="U201" s="386" t="n"/>
      <c r="V201" s="395" t="n"/>
      <c r="W201" s="395" t="n"/>
      <c r="X201" s="395" t="n"/>
      <c r="Y201" s="13" t="inlineStr">
        <is>
          <t>Done</t>
        </is>
      </c>
      <c r="Z201" s="395" t="n"/>
      <c r="AA201" s="395" t="n"/>
      <c r="AB201" s="395" t="n"/>
      <c r="AC201" s="395" t="n"/>
      <c r="AD201" s="395" t="n"/>
      <c r="AE201" s="395" t="n"/>
    </row>
    <row r="202" ht="63.75" customHeight="1" s="380">
      <c r="A202" s="94" t="n">
        <v>38</v>
      </c>
      <c r="B202" s="386" t="n"/>
      <c r="C202" s="386" t="inlineStr">
        <is>
          <t>Dashboard Tra cứu hồ sơ 360 CTCK &gt;&gt; Dashboard tình hình tuân thủ, vi phạm của công ty chứng khoán &gt;&gt; Biểu đồ Các chỉ tiêu chung</t>
        </is>
      </c>
      <c r="D202" s="12" t="inlineStr">
        <is>
          <t>Số lượng quyết định xử phạt</t>
        </is>
      </c>
      <c r="E202" s="12" t="inlineStr">
        <is>
          <t>Số lượng quyết định xử phạt</t>
        </is>
      </c>
      <c r="F202" s="386" t="inlineStr">
        <is>
          <t>Dashboard</t>
        </is>
      </c>
      <c r="G202" s="386" t="inlineStr">
        <is>
          <t>Chỉ tiêu cơ sở</t>
        </is>
      </c>
      <c r="H202" s="386" t="inlineStr">
        <is>
          <t>Dễ</t>
        </is>
      </c>
      <c r="I202" s="386" t="inlineStr">
        <is>
          <t>Ngày, CTCK</t>
        </is>
      </c>
      <c r="J202" s="386" t="inlineStr">
        <is>
          <t>SCMS</t>
        </is>
      </c>
      <c r="K202" s="395" t="inlineStr">
        <is>
          <t>X</t>
        </is>
      </c>
      <c r="L202" s="395" t="inlineStr">
        <is>
          <t>X</t>
        </is>
      </c>
      <c r="M202" s="395" t="n"/>
      <c r="N202" s="395" t="inlineStr">
        <is>
          <t>Done</t>
        </is>
      </c>
      <c r="O202" s="401" t="n"/>
      <c r="P202" s="395" t="n"/>
      <c r="Q202" s="395" t="inlineStr">
        <is>
          <t>SCMS.CTCK_XU_LY_HANH_CHINH</t>
        </is>
      </c>
      <c r="R202" s="395" t="inlineStr">
        <is>
          <t>xp.ID,
xp.TRANG_THAI,
xp.NGAY_QUYET_DINH</t>
        </is>
      </c>
      <c r="S202" s="395" t="n"/>
      <c r="T202" s="386" t="inlineStr">
        <is>
          <t>-- Số lượng quyết định xử phạt
SELECT
    nd.ngay,
    COUNT(xp.ID) AS so_quyet_dinh_xu_phat
FROM (
    SELECT TRUNC(min_ngay) + LEVEL - 1 AS ngay
    FROM (
        SELECT MIN(NGAY_QUYET_DINH) AS min_ngay
        FROM SCMS.CTCK_XU_LY_HANH_CHINH
        WHERE TRANG_THAI = 1
--          AND CTCK_THONG_TIN_ID = :p_ctck_id
    )
    CONNECT BY TRUNC(min_ngay) + LEVEL - 1 &lt;= TRUNC(SYSDATE)
) nd
LEFT JOIN SCMS.CTCK_XU_LY_HANH_CHINH xp
    ON xp.TRANG_THAI = 1
--    AND xp.CTCK_THONG_TIN_ID = :p_ctck_id
    AND TRUNC(xp.NGAY_QUYET_DINH) &gt;= TRUNC(nd.ngay, 'YYYY')
    AND TRUNC(xp.NGAY_QUYET_DINH) &lt;= nd.ngay
GROUP BY nd.ngay
ORDER BY nd.ngay;</t>
        </is>
      </c>
      <c r="U202" s="386" t="n"/>
      <c r="V202" s="395" t="n"/>
      <c r="W202" s="395" t="n"/>
      <c r="X202" s="395" t="n"/>
      <c r="Y202" s="13" t="inlineStr">
        <is>
          <t>Done</t>
        </is>
      </c>
      <c r="Z202" s="395" t="n"/>
      <c r="AA202" s="395" t="n"/>
      <c r="AB202" s="395" t="n"/>
      <c r="AC202" s="395" t="n"/>
      <c r="AD202" s="395" t="n"/>
      <c r="AE202" s="395" t="n"/>
    </row>
    <row r="203" ht="84" customHeight="1" s="380">
      <c r="A203" s="94" t="n">
        <v>39</v>
      </c>
      <c r="B203" s="81" t="n"/>
      <c r="C203" s="81" t="inlineStr">
        <is>
          <t>Dashboard Tra cứu hồ sơ 360 CTCK &gt;&gt; Dashboard tình hình tuân thủ, vi phạm của công ty chứng khoán &gt;&gt; Lịch sử nộp báo cáo của CTCK</t>
        </is>
      </c>
      <c r="D203" s="12" t="inlineStr">
        <is>
          <t>Chiều thời gian theo Ngày</t>
        </is>
      </c>
      <c r="E203" s="12" t="inlineStr">
        <is>
          <t>Chiều thời gian theo Ngày</t>
        </is>
      </c>
      <c r="F203" s="386" t="inlineStr">
        <is>
          <t>Dashboard</t>
        </is>
      </c>
      <c r="G203" s="386" t="inlineStr">
        <is>
          <t>Chiều</t>
        </is>
      </c>
      <c r="H203" s="386" t="inlineStr">
        <is>
          <t>Trùng</t>
        </is>
      </c>
      <c r="I203" s="386" t="n"/>
      <c r="J203" s="386" t="inlineStr">
        <is>
          <t>SCMS</t>
        </is>
      </c>
      <c r="K203" s="395" t="n"/>
      <c r="L203" s="395" t="inlineStr">
        <is>
          <t>X</t>
        </is>
      </c>
      <c r="M203" s="395" t="n"/>
      <c r="N203" s="395" t="inlineStr">
        <is>
          <t>Done</t>
        </is>
      </c>
      <c r="O203" s="401" t="n"/>
      <c r="P203" s="395" t="n"/>
      <c r="Q203" s="20" t="inlineStr">
        <is>
          <t>Ngày dữ liệu</t>
        </is>
      </c>
      <c r="R203" s="395" t="n"/>
      <c r="S203" s="395" t="n"/>
      <c r="T203" s="393" t="inlineStr">
        <is>
          <t>-- Chiều thời gian theo ngày
SELECT TRUNC(min_ngay) + LEVEL - 1 AS ngay
FROM (SELECT MIN(NGAY_SO_LIEU) AS min_ngay FROM SCMS.BC_THANH_VIEN)
CONNECT BY TRUNC(min_ngay) + LEVEL - 1 &lt;= TRUNC(SYSDATE)
ORDER BY ngay;</t>
        </is>
      </c>
      <c r="U203" s="386" t="n"/>
      <c r="V203" s="395" t="n"/>
      <c r="W203" s="395" t="n"/>
      <c r="X203" s="395" t="n"/>
      <c r="Y203" s="13" t="inlineStr">
        <is>
          <t>Done</t>
        </is>
      </c>
      <c r="Z203" s="395" t="n"/>
      <c r="AA203" s="395" t="n"/>
      <c r="AB203" s="395" t="n"/>
      <c r="AC203" s="395" t="n"/>
      <c r="AD203" s="395" t="n"/>
      <c r="AE203" s="395" t="n"/>
    </row>
    <row r="204" ht="84" customHeight="1" s="380">
      <c r="A204" s="94" t="n">
        <v>39</v>
      </c>
      <c r="B204" s="386" t="n"/>
      <c r="C204" s="386" t="inlineStr">
        <is>
          <t>Dashboard Tra cứu hồ sơ 360 CTCK &gt;&gt; Dashboard tình hình tuân thủ, vi phạm của công ty chứng khoán &gt;&gt; Lịch sử nộp báo cáo của CTCK</t>
        </is>
      </c>
      <c r="D204" s="12" t="inlineStr">
        <is>
          <t>Loại báo cáo</t>
        </is>
      </c>
      <c r="E204" s="12" t="inlineStr">
        <is>
          <t>Loại báo cáo kê khai</t>
        </is>
      </c>
      <c r="F204" s="386" t="inlineStr">
        <is>
          <t>Dashboard</t>
        </is>
      </c>
      <c r="G204" s="386" t="inlineStr">
        <is>
          <t>Chỉ tiêu cơ sở</t>
        </is>
      </c>
      <c r="H204" s="386" t="inlineStr">
        <is>
          <t>Dễ</t>
        </is>
      </c>
      <c r="I204" s="386" t="inlineStr">
        <is>
          <t>Ngày, CTCK</t>
        </is>
      </c>
      <c r="J204" s="386" t="inlineStr">
        <is>
          <t>SCMS</t>
        </is>
      </c>
      <c r="K204" s="395" t="inlineStr">
        <is>
          <t>X</t>
        </is>
      </c>
      <c r="L204" s="395" t="inlineStr">
        <is>
          <t>X</t>
        </is>
      </c>
      <c r="M204" s="395" t="inlineStr">
        <is>
          <t>X</t>
        </is>
      </c>
      <c r="N204" s="395" t="inlineStr">
        <is>
          <t>Done</t>
        </is>
      </c>
      <c r="O204" s="401" t="n"/>
      <c r="P204" s="395" t="n"/>
      <c r="Q204" s="395" t="inlineStr">
        <is>
          <t>SCMS.BC_THANH_VIEN
SCMS.BM_BAO_CAO
SCMS.BM_BAO_CAO_DINH_KY</t>
        </is>
      </c>
      <c r="R204" s="395" t="inlineStr">
        <is>
          <t>bm.ID,
bm.TEN_BAO_CAO,
bdk.ID,
bdk.KY_BAO_CAO,
bdk.T,
bdk.THOI_GIAN,
bt.BM_BAO_CAO_ID,
bt.BM_BAO_CAO_DINH_KY_ID,
bt.NGAY_SO_LIEU,
bt.NGAY_GUI,
bt.TRANG_THAI,
bt.XOA_DU_LIEU</t>
        </is>
      </c>
      <c r="S204" s="395" t="n"/>
      <c r="T204" s="384" t="inlineStr">
        <is>
          <t>--  Lịch sử nộp báo cáo của CTCK (Loại báo cáo, Kỳ kê khai, Hạn nộp, Ngày nộp, Trạng thái)
SELECT
    bm.TEN_BAO_CAO AS loai_bao_cao,
    TRUNC(bdk.KY_BAO_CAO) AS ky_ke_khai,
    TRUNC(bt.NGAY_SO_LIEU) + bdk.T + bdk.THOI_GIAN AS han_nop,  -- DB cũ không có trường THOI_GIAN
    TRUNC(bt.NGAY_GUI) AS ngay_nop,
    CASE
        WHEN bt.NGAY_GUI &lt;= bt.NGAY_SO_LIEU + bdk.T + bdk.THOI_GIAN
        THEN 'Đúng hạn'
        ELSE 'Trễ hạn'
    END AS trang_thai
FROM SCMS.BC_THANH_VIEN        bt
JOIN SCMS.BM_BAO_CAO           bm  ON bm.ID  = bt.BM_BAO_CAO_ID
JOIN SCMS.BM_BAO_CAO_DINH_KY   bdk ON bdk.ID = bt.BM_BAO_CAO_DINH_KY_ID
WHERE 1 = 1
--  AND bt.CTCK_THONG_TIN_ID = :p_ctck_id
  AND bt.TRANG_THAI        IN (4, 6)
  AND bt.XOA_DU_LIEU        = 0
  AND TRUNC(bt.NGAY_SO_LIEU) &lt;= TRUNC(NVL(:p_ngay, SYSDATE))
ORDER BY bt.NGAY_SO_LIEU DESC, bm.TEN_BAO_CAO;</t>
        </is>
      </c>
      <c r="U204" s="386" t="n"/>
      <c r="V204" s="395" t="n"/>
      <c r="W204" s="395" t="n"/>
      <c r="X204" s="395" t="n"/>
      <c r="Y204" s="13" t="inlineStr">
        <is>
          <t>Done</t>
        </is>
      </c>
      <c r="Z204" s="395" t="n"/>
      <c r="AA204" s="395" t="n"/>
      <c r="AB204" s="395" t="n"/>
      <c r="AC204" s="395" t="n"/>
      <c r="AD204" s="395" t="n"/>
      <c r="AE204" s="395" t="n"/>
    </row>
    <row r="205" ht="84" customHeight="1" s="380">
      <c r="A205" s="94" t="n">
        <v>39</v>
      </c>
      <c r="B205" s="386" t="n"/>
      <c r="C205" s="386" t="inlineStr">
        <is>
          <t>Dashboard Tra cứu hồ sơ 360 CTCK &gt;&gt; Dashboard tình hình tuân thủ, vi phạm của công ty chứng khoán &gt;&gt; Lịch sử nộp báo cáo của CTCK</t>
        </is>
      </c>
      <c r="D205" s="12" t="inlineStr">
        <is>
          <t>Kỳ kê khai</t>
        </is>
      </c>
      <c r="E205" s="12" t="inlineStr">
        <is>
          <t>Kỳ kê khai</t>
        </is>
      </c>
      <c r="F205" s="386" t="inlineStr">
        <is>
          <t>Dashboard</t>
        </is>
      </c>
      <c r="G205" s="386" t="inlineStr">
        <is>
          <t>Chỉ tiêu cơ sở</t>
        </is>
      </c>
      <c r="H205" s="386" t="inlineStr">
        <is>
          <t>Dễ</t>
        </is>
      </c>
      <c r="I205" s="386" t="inlineStr">
        <is>
          <t>Ngày, CTCK</t>
        </is>
      </c>
      <c r="J205" s="386" t="inlineStr">
        <is>
          <t>SCMS</t>
        </is>
      </c>
      <c r="K205" s="395" t="inlineStr">
        <is>
          <t>X</t>
        </is>
      </c>
      <c r="L205" s="395" t="inlineStr">
        <is>
          <t>X</t>
        </is>
      </c>
      <c r="M205" s="395" t="inlineStr">
        <is>
          <t>X</t>
        </is>
      </c>
      <c r="N205" s="395" t="inlineStr">
        <is>
          <t>Done</t>
        </is>
      </c>
      <c r="O205" s="401" t="n"/>
      <c r="P205" s="395" t="n"/>
      <c r="S205" s="395" t="n"/>
      <c r="U205" s="386" t="n"/>
      <c r="V205" s="395" t="n"/>
      <c r="W205" s="395" t="n"/>
      <c r="X205" s="395" t="n"/>
      <c r="Y205" s="13" t="inlineStr">
        <is>
          <t>Done</t>
        </is>
      </c>
      <c r="Z205" s="395" t="n"/>
      <c r="AA205" s="395" t="n"/>
      <c r="AB205" s="395" t="n"/>
      <c r="AC205" s="395" t="n"/>
      <c r="AD205" s="395" t="n"/>
      <c r="AE205" s="395" t="n"/>
    </row>
    <row r="206" ht="84" customHeight="1" s="380">
      <c r="A206" s="94" t="n">
        <v>39</v>
      </c>
      <c r="B206" s="386" t="n"/>
      <c r="C206" s="386" t="inlineStr">
        <is>
          <t>Dashboard Tra cứu hồ sơ 360 CTCK &gt;&gt; Dashboard tình hình tuân thủ, vi phạm của công ty chứng khoán &gt;&gt; Lịch sử nộp báo cáo của CTCK</t>
        </is>
      </c>
      <c r="D206" s="12" t="inlineStr">
        <is>
          <t>Hạn nộp</t>
        </is>
      </c>
      <c r="E206" s="12" t="inlineStr">
        <is>
          <t>Hạn nộp</t>
        </is>
      </c>
      <c r="F206" s="386" t="inlineStr">
        <is>
          <t>Dashboard</t>
        </is>
      </c>
      <c r="G206" s="386" t="inlineStr">
        <is>
          <t>Chỉ tiêu cơ sở</t>
        </is>
      </c>
      <c r="H206" s="386" t="inlineStr">
        <is>
          <t>Dễ</t>
        </is>
      </c>
      <c r="I206" s="386" t="inlineStr">
        <is>
          <t>Ngày, CTCK</t>
        </is>
      </c>
      <c r="J206" s="386" t="inlineStr">
        <is>
          <t>SCMS</t>
        </is>
      </c>
      <c r="K206" s="395" t="inlineStr">
        <is>
          <t>X</t>
        </is>
      </c>
      <c r="L206" s="395" t="inlineStr">
        <is>
          <t>X</t>
        </is>
      </c>
      <c r="M206" s="395" t="inlineStr">
        <is>
          <t>X</t>
        </is>
      </c>
      <c r="N206" s="395" t="inlineStr">
        <is>
          <t>Done</t>
        </is>
      </c>
      <c r="O206" s="401" t="n"/>
      <c r="P206" s="395" t="n"/>
      <c r="S206" s="395" t="n"/>
      <c r="U206" s="386" t="n"/>
      <c r="V206" s="395" t="n"/>
      <c r="W206" s="395" t="n"/>
      <c r="X206" s="395" t="n"/>
      <c r="Y206" s="13" t="inlineStr">
        <is>
          <t>Done</t>
        </is>
      </c>
      <c r="Z206" s="395" t="n"/>
      <c r="AA206" s="395" t="n"/>
      <c r="AB206" s="395" t="n"/>
      <c r="AC206" s="395" t="n"/>
      <c r="AD206" s="395" t="n"/>
      <c r="AE206" s="395" t="n"/>
    </row>
    <row r="207" ht="84" customHeight="1" s="380">
      <c r="A207" s="94" t="n">
        <v>39</v>
      </c>
      <c r="B207" s="386" t="n"/>
      <c r="C207" s="386" t="inlineStr">
        <is>
          <t>Dashboard Tra cứu hồ sơ 360 CTCK &gt;&gt; Dashboard tình hình tuân thủ, vi phạm của công ty chứng khoán &gt;&gt; Lịch sử nộp báo cáo của CTCK</t>
        </is>
      </c>
      <c r="D207" s="12" t="inlineStr">
        <is>
          <t>Ngày nộp</t>
        </is>
      </c>
      <c r="E207" s="12" t="inlineStr">
        <is>
          <t>Ngày nộp</t>
        </is>
      </c>
      <c r="F207" s="386" t="inlineStr">
        <is>
          <t>Dashboard</t>
        </is>
      </c>
      <c r="G207" s="386" t="inlineStr">
        <is>
          <t>Chỉ tiêu cơ sở</t>
        </is>
      </c>
      <c r="H207" s="386" t="inlineStr">
        <is>
          <t>Dễ</t>
        </is>
      </c>
      <c r="I207" s="386" t="inlineStr">
        <is>
          <t>Ngày, CTCK</t>
        </is>
      </c>
      <c r="J207" s="386" t="inlineStr">
        <is>
          <t>SCMS</t>
        </is>
      </c>
      <c r="K207" s="395" t="inlineStr">
        <is>
          <t>X</t>
        </is>
      </c>
      <c r="L207" s="395" t="inlineStr">
        <is>
          <t>X</t>
        </is>
      </c>
      <c r="M207" s="395" t="inlineStr">
        <is>
          <t>X</t>
        </is>
      </c>
      <c r="N207" s="395" t="inlineStr">
        <is>
          <t>Done</t>
        </is>
      </c>
      <c r="O207" s="401" t="n"/>
      <c r="P207" s="395" t="n"/>
      <c r="S207" s="395" t="n"/>
      <c r="U207" s="386" t="n"/>
      <c r="V207" s="395" t="n"/>
      <c r="W207" s="395" t="n"/>
      <c r="X207" s="395" t="n"/>
      <c r="Y207" s="13" t="inlineStr">
        <is>
          <t>Done</t>
        </is>
      </c>
      <c r="Z207" s="395" t="n"/>
      <c r="AA207" s="395" t="n"/>
      <c r="AB207" s="395" t="n"/>
      <c r="AC207" s="395" t="n"/>
      <c r="AD207" s="395" t="n"/>
      <c r="AE207" s="395" t="n"/>
    </row>
    <row r="208" ht="84" customHeight="1" s="380">
      <c r="A208" s="94" t="n">
        <v>39</v>
      </c>
      <c r="B208" s="386" t="n"/>
      <c r="C208" s="386" t="inlineStr">
        <is>
          <t>Dashboard Tra cứu hồ sơ 360 CTCK &gt;&gt; Dashboard tình hình tuân thủ, vi phạm của công ty chứng khoán &gt;&gt; Lịch sử nộp báo cáo của CTCK</t>
        </is>
      </c>
      <c r="D208" s="12" t="inlineStr">
        <is>
          <t>Trạng thái</t>
        </is>
      </c>
      <c r="E208" s="12" t="inlineStr">
        <is>
          <t>Trạng thái: đúng hạn, trễ hạn</t>
        </is>
      </c>
      <c r="F208" s="386" t="inlineStr">
        <is>
          <t>Dashboard</t>
        </is>
      </c>
      <c r="G208" s="386" t="inlineStr">
        <is>
          <t>Chỉ tiêu cơ sở</t>
        </is>
      </c>
      <c r="H208" s="386" t="inlineStr">
        <is>
          <t>Dễ</t>
        </is>
      </c>
      <c r="I208" s="386" t="inlineStr">
        <is>
          <t>Ngày, CTCK</t>
        </is>
      </c>
      <c r="J208" s="386" t="inlineStr">
        <is>
          <t>SCMS</t>
        </is>
      </c>
      <c r="K208" s="395" t="inlineStr">
        <is>
          <t>X</t>
        </is>
      </c>
      <c r="L208" s="395" t="inlineStr">
        <is>
          <t>X</t>
        </is>
      </c>
      <c r="M208" s="395" t="inlineStr">
        <is>
          <t>X</t>
        </is>
      </c>
      <c r="N208" s="395" t="inlineStr">
        <is>
          <t>Done</t>
        </is>
      </c>
      <c r="O208" s="401" t="n"/>
      <c r="P208" s="395" t="n"/>
      <c r="S208" s="395" t="n"/>
      <c r="U208" s="386" t="n"/>
      <c r="V208" s="395" t="n"/>
      <c r="W208" s="395" t="n"/>
      <c r="X208" s="395" t="n"/>
      <c r="Y208" s="13" t="inlineStr">
        <is>
          <t>Done</t>
        </is>
      </c>
      <c r="Z208" s="395" t="n"/>
      <c r="AA208" s="395" t="n"/>
      <c r="AB208" s="395" t="n"/>
      <c r="AC208" s="395" t="n"/>
      <c r="AD208" s="395" t="n"/>
      <c r="AE208" s="395" t="n"/>
    </row>
    <row r="209" ht="98" customHeight="1" s="380">
      <c r="A209" s="94" t="n">
        <v>40</v>
      </c>
      <c r="B209" s="81" t="n"/>
      <c r="C209" s="81" t="inlineStr">
        <is>
          <t>Dashboard Tra cứu hồ sơ 360 CTCK &gt;&gt; Dashboard tình hình tuân thủ, vi phạm của công ty chứng khoán &gt;&gt; Lịch sử xử phạt, thanh tra, kiểm tra đối với CTCK</t>
        </is>
      </c>
      <c r="D209" s="12" t="inlineStr">
        <is>
          <t>Chiều thời gian theo Ngày</t>
        </is>
      </c>
      <c r="E209" s="12" t="inlineStr">
        <is>
          <t>Chiều thời gian theo Ngày</t>
        </is>
      </c>
      <c r="F209" s="386" t="inlineStr">
        <is>
          <t>Dashboard</t>
        </is>
      </c>
      <c r="G209" s="386" t="inlineStr">
        <is>
          <t>Chiều</t>
        </is>
      </c>
      <c r="H209" s="386" t="inlineStr">
        <is>
          <t>Trùng</t>
        </is>
      </c>
      <c r="I209" s="386" t="n"/>
      <c r="J209" s="386" t="inlineStr">
        <is>
          <t>Thanh tra</t>
        </is>
      </c>
      <c r="K209" s="395" t="n"/>
      <c r="L209" s="395" t="inlineStr">
        <is>
          <t>X</t>
        </is>
      </c>
      <c r="M209" s="395" t="n"/>
      <c r="N209" s="395" t="inlineStr">
        <is>
          <t>Done</t>
        </is>
      </c>
      <c r="O209" s="401" t="n"/>
      <c r="P209" s="395" t="n"/>
      <c r="Q209" s="20" t="inlineStr">
        <is>
          <t>Ngày dữ liệu</t>
        </is>
      </c>
      <c r="R209" s="395" t="n"/>
      <c r="S209" s="395" t="n"/>
      <c r="T209" s="393" t="inlineStr">
        <is>
          <t>-- Chiều thời gian theo ngày
SELECT TRUNC(min_ngay) + LEVEL - 1 AS ngay
FROM (SELECT MIN(NGAY_SO_LIEU) AS min_ngay FROM SCMS.BC_THANH_VIEN)
CONNECT BY TRUNC(min_ngay) + LEVEL - 1 &lt;= TRUNC(SYSDATE)
ORDER BY ngay;</t>
        </is>
      </c>
      <c r="U209" s="386" t="n"/>
      <c r="V209" s="395" t="n"/>
      <c r="W209" s="395" t="n"/>
      <c r="X209" s="395" t="n"/>
      <c r="Y209" s="13" t="inlineStr">
        <is>
          <t>Done</t>
        </is>
      </c>
      <c r="Z209" s="395" t="n"/>
      <c r="AA209" s="395" t="n"/>
      <c r="AB209" s="395" t="n"/>
      <c r="AC209" s="395" t="n"/>
      <c r="AD209" s="395" t="n"/>
      <c r="AE209" s="395" t="n"/>
    </row>
    <row r="210" ht="98" customHeight="1" s="380">
      <c r="A210" s="94" t="n">
        <v>40</v>
      </c>
      <c r="B210" s="386" t="n"/>
      <c r="C210" s="386" t="inlineStr">
        <is>
          <t>Dashboard Tra cứu hồ sơ 360 CTCK &gt;&gt; Dashboard tình hình tuân thủ, vi phạm của công ty chứng khoán &gt;&gt; Lịch sử xử phạt, thanh tra, kiểm tra đối với CTCK</t>
        </is>
      </c>
      <c r="D210" s="12" t="inlineStr">
        <is>
          <t>Loại thanh tra, kiểm tra</t>
        </is>
      </c>
      <c r="E210" s="12" t="inlineStr">
        <is>
          <t>Loại thanh tra/ kiểm tra, định kỳ/ đột xuất</t>
        </is>
      </c>
      <c r="F210" s="386" t="inlineStr">
        <is>
          <t>Dashboard</t>
        </is>
      </c>
      <c r="G210" s="386" t="inlineStr">
        <is>
          <t>Chỉ tiêu cơ sở</t>
        </is>
      </c>
      <c r="H210" s="386" t="inlineStr">
        <is>
          <t>Dễ</t>
        </is>
      </c>
      <c r="I210" s="386" t="inlineStr">
        <is>
          <t>Ngày, CTCK</t>
        </is>
      </c>
      <c r="J210" s="386" t="inlineStr">
        <is>
          <t>Thanh tra</t>
        </is>
      </c>
      <c r="K210" s="395" t="inlineStr">
        <is>
          <t>X</t>
        </is>
      </c>
      <c r="L210" s="395" t="inlineStr">
        <is>
          <t>X</t>
        </is>
      </c>
      <c r="M210" s="395" t="inlineStr">
        <is>
          <t>X</t>
        </is>
      </c>
      <c r="N210" s="395" t="inlineStr">
        <is>
          <t>Done</t>
        </is>
      </c>
      <c r="O210" s="401" t="n"/>
      <c r="P210" s="395" t="n"/>
      <c r="Q210" s="395" t="inlineStr">
        <is>
          <t>INSPECTION_TEAM
EXAMINATION_TEAM</t>
        </is>
      </c>
      <c r="R210" s="393" t="inlineStr">
        <is>
          <t>FORM_TYPE</t>
        </is>
      </c>
      <c r="S210" s="395" t="n"/>
      <c r="T210" s="425" t="inlineStr">
        <is>
          <t>SELECT CASE WHEN b.FORM_TYPE = 'PERIODIC' THEN 'Thanh tra định kỳ'   
                        WHEN b.FORM_TYPE = 'UNSCHEDULED' THEN 'Thanh tra đột xuất' 
                        ELSE NULL 
                        END "Loại hình thanh tra, kiểm tra",
c.DECISION_DATE "Ngày ban hành quyết định thanh tra, kiểm tra",
e.DECISION_NUMBER "Số quyết định xử phạt",
e.ISSUED_DATE "Ngày ban hành quyết định xử phạt",
g.NAME "Hành vi vi phạm",
CASE WHEN h.CATEGORY = 'SUPPLEMENTARY_PENALTY' THEN h.NAME ELSE NULL END "Hình thức xử phạt bổ sung",
CASE WHEN h.CATEGORY = 'REMEDIAL_MEASURE' THEN h.NAME ELSE NULL END "Biện pháp khắc phục"
FROM INSPECT.INSPECTION_TEAM_TARGET a
LEFT JOIN INSPECT.INSPECTION_TEAM b ON a.INSPECTION_TEAM_ID = b.ID 
LEFT JOIN INSPECT.INSPECTION_ANNUAL_PLAN c ON b.INSPECTION_ANNUAL_PLAN_ID = c.ID 
LEFT JOIN INSPECT.PENALTY_DECISION_SUBJECT d ON a.TARGET_NAME = d.SUBJECT_NAME 
LEFT JOIN INSPECT.PENALTY_DECISION e ON d.PENALTY_DECISION_ID = e.ID 
LEFT JOIN INSPECT.PENALTY_DECISION_SUBJECT_BEHAVIOR f ON d.ID = f.PENALTY_DECISION_SUBJECT_ID 
LEFT JOIN INSPECT.VIOLATION_BEHAVIOR g ON f.VIOLATION_BEHAVIOR_ID = g.ID 
LEFT JOIN INSPECT.PENALTY_TYPE h ON f.PENALTY_TYPE_ID = h.ID 
WHERE d.SUBJECT_TYPE = 'ORGANIZATION'
UNION
SELECT CASE WHEN b.FORM_TYPE = 'PERIODIC' THEN 'Kiểm tra định kỳ'   
                        WHEN b.FORM_TYPE = 'UNSCHEDULED' THEN 'Kiểm tra đột xuất' 
                        ELSE NULL 
                        END "Loại hình thanh tra, kiểm tra",
c.DECISION_DATE "Ngày ban hành quyết định thanh tra, kiểm tra",
e.DECISION_NUMBER "Số quyết định xử phạt",
e.ISSUED_DATE "Ngày ban hành quyết định xử phạt",
g.NAME "Hành vi vi phạm",
CASE WHEN h.CATEGORY = 'SUPPLEMENTARY_PENALTY' THEN h.NAME ELSE NULL END "Hình thức xử phạt bổ sung",
CASE WHEN h.CATEGORY = 'REMEDIAL_MEASURE' THEN h.NAME ELSE NULL END "Biện pháp khắc phục"
FROM INSPECT.EXAMINATION_TEAM_TARGET a
LEFT JOIN INSPECT.EXAMINATION_TEAM b ON a.EXAMINATION_TEAM_ID = b.ID 
LEFT JOIN INSPECT.EXAMINATION_ANNUAL_PLAN c ON b.EXAMINATION_ANNUAL_PLAN_ID  = c.ID 
LEFT JOIN INSPECT.PENALTY_DECISION_SUBJECT d ON a.TARGET_NAME = d.SUBJECT_NAME 
LEFT JOIN INSPECT.PENALTY_DECISION e ON d.PENALTY_DECISION_ID = e.ID 
LEFT JOIN INSPECT.PENALTY_DECISION_SUBJECT_BEHAVIOR f ON d.ID = f.PENALTY_DECISION_SUBJECT_ID 
LEFT JOIN INSPECT.VIOLATION_BEHAVIOR g ON f.VIOLATION_BEHAVIOR_ID = g.ID 
LEFT JOIN INSPECT.PENALTY_TYPE h ON f.PENALTY_TYPE_ID = h.ID 
WHERE d.SUBJECT_TYPE = 'ORGANIZATION'</t>
        </is>
      </c>
      <c r="U210" s="386" t="n"/>
      <c r="V210" s="395" t="n"/>
      <c r="W210" s="395" t="n"/>
      <c r="X210" s="395" t="n"/>
      <c r="Y210" s="13" t="inlineStr">
        <is>
          <t>Done</t>
        </is>
      </c>
      <c r="Z210" s="395" t="n"/>
      <c r="AA210" s="395" t="n"/>
      <c r="AB210" s="395" t="n"/>
      <c r="AC210" s="395" t="n"/>
      <c r="AD210" s="395" t="n"/>
      <c r="AE210" s="395" t="n"/>
    </row>
    <row r="211" ht="98" customHeight="1" s="380">
      <c r="A211" s="94" t="n">
        <v>40</v>
      </c>
      <c r="B211" s="386" t="n"/>
      <c r="C211" s="386" t="inlineStr">
        <is>
          <t>Dashboard Tra cứu hồ sơ 360 CTCK &gt;&gt; Dashboard tình hình tuân thủ, vi phạm của công ty chứng khoán &gt;&gt; Lịch sử xử phạt, thanh tra, kiểm tra đối với CTCK</t>
        </is>
      </c>
      <c r="D211" s="12" t="inlineStr">
        <is>
          <t>Ngày ban hành quyết định thanh tra kiểm tra</t>
        </is>
      </c>
      <c r="E211" s="12" t="inlineStr">
        <is>
          <t>Ngày ban hành quyết định thanh tra kiểm tra</t>
        </is>
      </c>
      <c r="F211" s="386" t="inlineStr">
        <is>
          <t>Dashboard</t>
        </is>
      </c>
      <c r="G211" s="386" t="inlineStr">
        <is>
          <t>Chỉ tiêu cơ sở</t>
        </is>
      </c>
      <c r="H211" s="386" t="inlineStr">
        <is>
          <t>Dễ</t>
        </is>
      </c>
      <c r="I211" s="386" t="inlineStr">
        <is>
          <t>Ngày, CTCK</t>
        </is>
      </c>
      <c r="J211" s="386" t="inlineStr">
        <is>
          <t>Thanh tra</t>
        </is>
      </c>
      <c r="K211" s="395" t="inlineStr">
        <is>
          <t>X</t>
        </is>
      </c>
      <c r="L211" s="395" t="inlineStr">
        <is>
          <t>X</t>
        </is>
      </c>
      <c r="M211" s="395" t="inlineStr">
        <is>
          <t>X</t>
        </is>
      </c>
      <c r="N211" s="395" t="inlineStr">
        <is>
          <t>Done</t>
        </is>
      </c>
      <c r="O211" s="401" t="n"/>
      <c r="P211" s="395" t="n"/>
      <c r="Q211" s="395" t="inlineStr">
        <is>
          <t>INSPECTION_ANNUAL_PLAN
EXAMINATION_ANNUAL_PLAN</t>
        </is>
      </c>
      <c r="R211" s="395" t="inlineStr">
        <is>
          <t>DECISION_DATE</t>
        </is>
      </c>
      <c r="S211" s="395" t="n"/>
      <c r="U211" s="386" t="n"/>
      <c r="V211" s="395" t="n"/>
      <c r="W211" s="395" t="n"/>
      <c r="X211" s="395" t="n"/>
      <c r="Y211" s="13" t="inlineStr">
        <is>
          <t>Done</t>
        </is>
      </c>
      <c r="Z211" s="395" t="n"/>
      <c r="AA211" s="395" t="n"/>
      <c r="AB211" s="395" t="n"/>
      <c r="AC211" s="395" t="n"/>
      <c r="AD211" s="395" t="n"/>
      <c r="AE211" s="395" t="n"/>
    </row>
    <row r="212" ht="98" customHeight="1" s="380">
      <c r="A212" s="94" t="n">
        <v>40</v>
      </c>
      <c r="B212" s="386" t="n"/>
      <c r="C212" s="386" t="inlineStr">
        <is>
          <t>Dashboard Tra cứu hồ sơ 360 CTCK &gt;&gt; Dashboard tình hình tuân thủ, vi phạm của công ty chứng khoán &gt;&gt; Lịch sử xử phạt, thanh tra, kiểm tra đối với CTCK</t>
        </is>
      </c>
      <c r="D212" s="12" t="inlineStr">
        <is>
          <t>Số quyết định xử phạt</t>
        </is>
      </c>
      <c r="E212" s="12" t="inlineStr">
        <is>
          <t>Số quyết định xử phạt</t>
        </is>
      </c>
      <c r="F212" s="386" t="inlineStr">
        <is>
          <t>Dashboard</t>
        </is>
      </c>
      <c r="G212" s="386" t="inlineStr">
        <is>
          <t>Chỉ tiêu cơ sở</t>
        </is>
      </c>
      <c r="H212" s="386" t="inlineStr">
        <is>
          <t>Dễ</t>
        </is>
      </c>
      <c r="I212" s="386" t="inlineStr">
        <is>
          <t>Ngày, CTCK</t>
        </is>
      </c>
      <c r="J212" s="386" t="inlineStr">
        <is>
          <t>Thanh tra</t>
        </is>
      </c>
      <c r="K212" s="395" t="inlineStr">
        <is>
          <t>X</t>
        </is>
      </c>
      <c r="L212" s="395" t="inlineStr">
        <is>
          <t>X</t>
        </is>
      </c>
      <c r="M212" s="395" t="inlineStr">
        <is>
          <t>X</t>
        </is>
      </c>
      <c r="N212" s="395" t="inlineStr">
        <is>
          <t>Done</t>
        </is>
      </c>
      <c r="O212" s="401" t="n"/>
      <c r="P212" s="395" t="n"/>
      <c r="Q212" s="395" t="inlineStr">
        <is>
          <t>PENALTY_DECISION</t>
        </is>
      </c>
      <c r="R212" s="395" t="inlineStr">
        <is>
          <t>DECISION_NUMBER</t>
        </is>
      </c>
      <c r="S212" s="395" t="n"/>
      <c r="U212" s="386" t="n"/>
      <c r="V212" s="395" t="n"/>
      <c r="W212" s="395" t="n"/>
      <c r="X212" s="395" t="n"/>
      <c r="Y212" s="13" t="inlineStr">
        <is>
          <t>Done</t>
        </is>
      </c>
      <c r="Z212" s="395" t="n"/>
      <c r="AA212" s="395" t="n"/>
      <c r="AB212" s="395" t="n"/>
      <c r="AC212" s="395" t="n"/>
      <c r="AD212" s="395" t="n"/>
      <c r="AE212" s="395" t="n"/>
    </row>
    <row r="213" ht="98" customHeight="1" s="380">
      <c r="A213" s="94" t="n">
        <v>40</v>
      </c>
      <c r="B213" s="386" t="n"/>
      <c r="C213" s="386" t="inlineStr">
        <is>
          <t>Dashboard Tra cứu hồ sơ 360 CTCK &gt;&gt; Dashboard tình hình tuân thủ, vi phạm của công ty chứng khoán &gt;&gt; Lịch sử xử phạt, thanh tra, kiểm tra đối với CTCK</t>
        </is>
      </c>
      <c r="D213" s="12" t="inlineStr">
        <is>
          <t>Ngày ban hành quyết định xử phạt</t>
        </is>
      </c>
      <c r="E213" s="12" t="inlineStr">
        <is>
          <t>Ngày ban hành quyết định xử phạt</t>
        </is>
      </c>
      <c r="F213" s="386" t="inlineStr">
        <is>
          <t>Dashboard</t>
        </is>
      </c>
      <c r="G213" s="386" t="inlineStr">
        <is>
          <t>Chỉ tiêu cơ sở</t>
        </is>
      </c>
      <c r="H213" s="386" t="inlineStr">
        <is>
          <t>Dễ</t>
        </is>
      </c>
      <c r="I213" s="386" t="inlineStr">
        <is>
          <t>Ngày, CTCK</t>
        </is>
      </c>
      <c r="J213" s="386" t="inlineStr">
        <is>
          <t>Thanh tra</t>
        </is>
      </c>
      <c r="K213" s="395" t="inlineStr">
        <is>
          <t>X</t>
        </is>
      </c>
      <c r="L213" s="395" t="inlineStr">
        <is>
          <t>X</t>
        </is>
      </c>
      <c r="M213" s="395" t="inlineStr">
        <is>
          <t>X</t>
        </is>
      </c>
      <c r="N213" s="395" t="inlineStr">
        <is>
          <t>Done</t>
        </is>
      </c>
      <c r="O213" s="401" t="n"/>
      <c r="P213" s="395" t="n"/>
      <c r="Q213" s="395" t="inlineStr">
        <is>
          <t>PENALTY_DECISION</t>
        </is>
      </c>
      <c r="R213" s="395" t="inlineStr">
        <is>
          <t>ISSUED_DATE</t>
        </is>
      </c>
      <c r="S213" s="395" t="n"/>
      <c r="U213" s="386" t="n"/>
      <c r="V213" s="395" t="n"/>
      <c r="W213" s="395" t="n"/>
      <c r="X213" s="395" t="n"/>
      <c r="Y213" s="13" t="inlineStr">
        <is>
          <t>Done</t>
        </is>
      </c>
      <c r="Z213" s="395" t="n"/>
      <c r="AA213" s="395" t="n"/>
      <c r="AB213" s="395" t="n"/>
      <c r="AC213" s="395" t="n"/>
      <c r="AD213" s="395" t="n"/>
      <c r="AE213" s="395" t="n"/>
    </row>
    <row r="214" ht="98" customHeight="1" s="380">
      <c r="A214" s="94" t="n">
        <v>40</v>
      </c>
      <c r="B214" s="386" t="n"/>
      <c r="C214" s="386" t="inlineStr">
        <is>
          <t>Dashboard Tra cứu hồ sơ 360 CTCK &gt;&gt; Dashboard tình hình tuân thủ, vi phạm của công ty chứng khoán &gt;&gt; Lịch sử xử phạt, thanh tra, kiểm tra đối với CTCK</t>
        </is>
      </c>
      <c r="D214" s="12" t="inlineStr">
        <is>
          <t>Hành vi vi phạm</t>
        </is>
      </c>
      <c r="E214" s="12" t="inlineStr">
        <is>
          <t>Hành vi vi phạm</t>
        </is>
      </c>
      <c r="F214" s="386" t="inlineStr">
        <is>
          <t>Dashboard</t>
        </is>
      </c>
      <c r="G214" s="386" t="inlineStr">
        <is>
          <t>Chỉ tiêu cơ sở</t>
        </is>
      </c>
      <c r="H214" s="386" t="inlineStr">
        <is>
          <t>Dễ</t>
        </is>
      </c>
      <c r="I214" s="386" t="inlineStr">
        <is>
          <t>Ngày, CTCK</t>
        </is>
      </c>
      <c r="J214" s="386" t="inlineStr">
        <is>
          <t>Thanh tra</t>
        </is>
      </c>
      <c r="K214" s="395" t="inlineStr">
        <is>
          <t>X</t>
        </is>
      </c>
      <c r="L214" s="395" t="inlineStr">
        <is>
          <t>X</t>
        </is>
      </c>
      <c r="M214" s="395" t="inlineStr">
        <is>
          <t>X</t>
        </is>
      </c>
      <c r="N214" s="395" t="inlineStr">
        <is>
          <t>Done</t>
        </is>
      </c>
      <c r="O214" s="401" t="n"/>
      <c r="P214" s="395" t="n"/>
      <c r="Q214" s="395" t="inlineStr">
        <is>
          <t>VIOLATION_BEHAVIOR</t>
        </is>
      </c>
      <c r="R214" s="395" t="inlineStr">
        <is>
          <t>NAME</t>
        </is>
      </c>
      <c r="S214" s="395" t="n"/>
      <c r="U214" s="386" t="n"/>
      <c r="V214" s="395" t="n"/>
      <c r="W214" s="395" t="n"/>
      <c r="X214" s="395" t="n"/>
      <c r="Y214" s="13" t="inlineStr">
        <is>
          <t>Done</t>
        </is>
      </c>
      <c r="Z214" s="395" t="n"/>
      <c r="AA214" s="395" t="n"/>
      <c r="AB214" s="395" t="n"/>
      <c r="AC214" s="395" t="n"/>
      <c r="AD214" s="395" t="n"/>
      <c r="AE214" s="395" t="n"/>
    </row>
    <row r="215" ht="98" customHeight="1" s="380">
      <c r="A215" s="94" t="n">
        <v>40</v>
      </c>
      <c r="B215" s="386" t="n"/>
      <c r="C215" s="386" t="inlineStr">
        <is>
          <t>Dashboard Tra cứu hồ sơ 360 CTCK &gt;&gt; Dashboard tình hình tuân thủ, vi phạm của công ty chứng khoán &gt;&gt; Lịch sử xử phạt, thanh tra, kiểm tra đối với CTCK</t>
        </is>
      </c>
      <c r="D215" s="12" t="inlineStr">
        <is>
          <t>Hình thức xử phạt bổ sung (nếu có)</t>
        </is>
      </c>
      <c r="E215" s="12" t="inlineStr">
        <is>
          <t>Hình thức xử phạt bổ sung (nếu có)</t>
        </is>
      </c>
      <c r="F215" s="386" t="inlineStr">
        <is>
          <t>Dashboard</t>
        </is>
      </c>
      <c r="G215" s="386" t="inlineStr">
        <is>
          <t>Chỉ tiêu cơ sở</t>
        </is>
      </c>
      <c r="H215" s="386" t="inlineStr">
        <is>
          <t>Dễ</t>
        </is>
      </c>
      <c r="I215" s="386" t="inlineStr">
        <is>
          <t>Ngày, CTCK</t>
        </is>
      </c>
      <c r="J215" s="386" t="inlineStr">
        <is>
          <t>Thanh tra</t>
        </is>
      </c>
      <c r="K215" s="395" t="inlineStr">
        <is>
          <t>X</t>
        </is>
      </c>
      <c r="L215" s="395" t="inlineStr">
        <is>
          <t>X</t>
        </is>
      </c>
      <c r="M215" s="395" t="inlineStr">
        <is>
          <t>X</t>
        </is>
      </c>
      <c r="N215" s="395" t="inlineStr">
        <is>
          <t>Done</t>
        </is>
      </c>
      <c r="O215" s="401" t="n"/>
      <c r="P215" s="395" t="n"/>
      <c r="Q215" s="395" t="inlineStr">
        <is>
          <t>PENALTY_TYPE</t>
        </is>
      </c>
      <c r="R215" s="395" t="inlineStr">
        <is>
          <t>CATEGORY</t>
        </is>
      </c>
      <c r="S215" s="395" t="n"/>
      <c r="U215" s="386" t="n"/>
      <c r="V215" s="395" t="n"/>
      <c r="W215" s="395" t="n"/>
      <c r="X215" s="395" t="n"/>
      <c r="Y215" s="13" t="inlineStr">
        <is>
          <t>Done</t>
        </is>
      </c>
      <c r="Z215" s="395" t="n"/>
      <c r="AA215" s="395" t="n"/>
      <c r="AB215" s="395" t="n"/>
      <c r="AC215" s="395" t="n"/>
      <c r="AD215" s="395" t="n"/>
      <c r="AE215" s="395" t="n"/>
    </row>
    <row r="216" ht="98" customHeight="1" s="380">
      <c r="A216" s="96" t="n">
        <v>40</v>
      </c>
      <c r="B216" s="68" t="n"/>
      <c r="C216" s="68" t="inlineStr">
        <is>
          <t>Dashboard Tra cứu hồ sơ 360 CTCK &gt;&gt; Dashboard tình hình tuân thủ, vi phạm của công ty chứng khoán &gt;&gt; Lịch sử xử phạt, thanh tra, kiểm tra đối với CTCK</t>
        </is>
      </c>
      <c r="D216" s="84" t="inlineStr">
        <is>
          <t>Biện pháp khắc phục (nếu có)</t>
        </is>
      </c>
      <c r="E216" s="84" t="inlineStr">
        <is>
          <t>Biện pháp khắc phục (nếu có)</t>
        </is>
      </c>
      <c r="F216" s="68" t="inlineStr">
        <is>
          <t>Dashboard</t>
        </is>
      </c>
      <c r="G216" s="68" t="inlineStr">
        <is>
          <t>Chỉ tiêu cơ sở</t>
        </is>
      </c>
      <c r="H216" s="68" t="inlineStr">
        <is>
          <t>Dễ</t>
        </is>
      </c>
      <c r="I216" s="68" t="inlineStr">
        <is>
          <t>Ngày, CTCK</t>
        </is>
      </c>
      <c r="J216" s="68" t="inlineStr">
        <is>
          <t>Thanh tra</t>
        </is>
      </c>
      <c r="K216" s="69" t="inlineStr">
        <is>
          <t>X</t>
        </is>
      </c>
      <c r="L216" s="69" t="inlineStr">
        <is>
          <t>X</t>
        </is>
      </c>
      <c r="M216" s="69" t="inlineStr">
        <is>
          <t>X</t>
        </is>
      </c>
      <c r="N216" s="69" t="inlineStr">
        <is>
          <t>Done</t>
        </is>
      </c>
      <c r="O216" s="85" t="n"/>
      <c r="P216" s="69" t="n"/>
      <c r="Q216" s="69" t="inlineStr">
        <is>
          <t>PENALTY_TYPE</t>
        </is>
      </c>
      <c r="R216" s="69" t="inlineStr">
        <is>
          <t>CATEGORY</t>
        </is>
      </c>
      <c r="S216" s="69" t="n"/>
      <c r="T216" s="426" t="n"/>
      <c r="U216" s="68" t="n"/>
      <c r="V216" s="69" t="n"/>
      <c r="W216" s="69" t="n"/>
      <c r="X216" s="69" t="n"/>
      <c r="Y216" s="97" t="inlineStr">
        <is>
          <t>Done</t>
        </is>
      </c>
      <c r="Z216" s="69" t="n"/>
      <c r="AA216" s="69" t="n"/>
      <c r="AB216" s="69" t="n"/>
      <c r="AC216" s="69" t="n"/>
      <c r="AD216" s="69" t="n"/>
      <c r="AE216" s="69" t="n"/>
    </row>
    <row r="217" ht="84" customHeight="1" s="380">
      <c r="A217" s="98" t="n">
        <v>41</v>
      </c>
      <c r="B217" s="81" t="n"/>
      <c r="C217" s="81" t="inlineStr">
        <is>
          <t>Dashboard Tra cứu cá nhân ban quản trị, điều hành, cổ đông &gt;&gt; Dashboard Mạng lưới của cá nhân ban quản trị, điều hành, cổ đông tại CTCK</t>
        </is>
      </c>
      <c r="D217" s="12" t="inlineStr">
        <is>
          <t>Chiều thời gian theo Ngày</t>
        </is>
      </c>
      <c r="E217" s="12" t="inlineStr">
        <is>
          <t>Chiều thời gian theo Ngày</t>
        </is>
      </c>
      <c r="F217" s="386" t="inlineStr">
        <is>
          <t>Dashboard</t>
        </is>
      </c>
      <c r="G217" s="386" t="inlineStr">
        <is>
          <t>Chiều</t>
        </is>
      </c>
      <c r="H217" s="386" t="inlineStr">
        <is>
          <t>Trùng</t>
        </is>
      </c>
      <c r="I217" s="386" t="n"/>
      <c r="J217" s="386" t="inlineStr">
        <is>
          <t>SCMS</t>
        </is>
      </c>
      <c r="K217" s="395" t="n"/>
      <c r="L217" s="395" t="inlineStr">
        <is>
          <t>X</t>
        </is>
      </c>
      <c r="M217" s="395" t="n"/>
      <c r="N217" s="395" t="inlineStr">
        <is>
          <t>Done</t>
        </is>
      </c>
      <c r="O217" s="401" t="n"/>
      <c r="P217" s="395" t="n"/>
      <c r="Q217" s="20" t="inlineStr">
        <is>
          <t>Ngày dữ liệu</t>
        </is>
      </c>
      <c r="R217" s="395" t="n"/>
      <c r="S217" s="395" t="n"/>
      <c r="T217" s="393" t="inlineStr">
        <is>
          <t>-- Chiều thời gian theo ngày
SELECT TRUNC(min_ngay) + LEVEL - 1 AS ngay
FROM (SELECT MIN(NGAY_SO_LIEU) AS min_ngay FROM SCMS.BC_THANH_VIEN)
CONNECT BY TRUNC(min_ngay) + LEVEL - 1 &lt;= TRUNC(SYSDATE)
ORDER BY ngay;</t>
        </is>
      </c>
      <c r="U217" s="386" t="n"/>
      <c r="V217" s="395" t="n"/>
      <c r="W217" s="395" t="n"/>
      <c r="X217" s="395" t="n"/>
      <c r="Y217" s="13" t="inlineStr">
        <is>
          <t>Done</t>
        </is>
      </c>
      <c r="Z217" s="395" t="n"/>
      <c r="AA217" s="395" t="n"/>
      <c r="AB217" s="395" t="n"/>
      <c r="AC217" s="395" t="n"/>
      <c r="AD217" s="395" t="n"/>
      <c r="AE217" s="395" t="n"/>
    </row>
    <row r="218" ht="84" customHeight="1" s="380">
      <c r="A218" s="98" t="n">
        <v>41</v>
      </c>
      <c r="B218" s="386" t="n"/>
      <c r="C218" s="386" t="inlineStr">
        <is>
          <t>Dashboard Tra cứu cá nhân ban quản trị, điều hành, cổ đông &gt;&gt; Dashboard Mạng lưới của cá nhân ban quản trị, điều hành, cổ đông tại CTCK</t>
        </is>
      </c>
      <c r="D218" s="12" t="inlineStr">
        <is>
          <t>Tên cá nhân</t>
        </is>
      </c>
      <c r="E218" s="12" t="inlineStr">
        <is>
          <t>Tên cá nhân</t>
        </is>
      </c>
      <c r="F218" s="386" t="inlineStr">
        <is>
          <t>Dashboard</t>
        </is>
      </c>
      <c r="G218" s="386" t="inlineStr">
        <is>
          <t>Chỉ tiêu cơ sở</t>
        </is>
      </c>
      <c r="H218" s="386" t="inlineStr">
        <is>
          <t>Dễ</t>
        </is>
      </c>
      <c r="I218" s="386" t="inlineStr">
        <is>
          <t>Ngày, CTCK</t>
        </is>
      </c>
      <c r="J218" s="386" t="inlineStr">
        <is>
          <t>SCMS</t>
        </is>
      </c>
      <c r="K218" s="395" t="inlineStr">
        <is>
          <t>X</t>
        </is>
      </c>
      <c r="L218" s="395" t="inlineStr">
        <is>
          <t>X</t>
        </is>
      </c>
      <c r="M218" s="395" t="n"/>
      <c r="N218" s="395" t="inlineStr">
        <is>
          <t>Done</t>
        </is>
      </c>
      <c r="O218" s="401" t="n"/>
      <c r="P218" s="395" t="n"/>
      <c r="Q218" s="395" t="inlineStr">
        <is>
          <t>SCMS.CTCK_CO_DONG
SCMS.CTCK_CD_MOI_QUAN_HE</t>
        </is>
      </c>
      <c r="R218" s="395" t="inlineStr">
        <is>
          <t>cd.ID,
cd.CTCK_THONG_TIN_ID,
cd.TEN_CO_DONG,
cd.VI_TRI_CONG_VIEC,
cd.SO_LUONG_NAM_GIU,
cd.TRANG_THAI,
cd.SO_CMND,
cd.NGAY_CAP_NHAT,
mqh.CTCK_CO_DONG_ID,
mqh.CTCK_THONG_TIN_ID,
mqh.SO_CMND,
mqh.HO_TEN,
mqh.MOI_QUAN_HE,
mqh.VI_TRI_CONG_VIEC,
mqh.SO_LUONG_CP,
mqh.TRANG_THAI,
mqh.NGAY_CAP_NHAT</t>
        </is>
      </c>
      <c r="S218" s="395" t="n"/>
      <c r="T218" s="384" t="inlineStr">
        <is>
          <t>-- Dashboard Mạng lưới của cá nhân ban quản trị, điều hành, cổ đông tại CTCK
SELECT
    cd.TEN_CO_DONG          AS ten_ca_nhan,
    cd.VI_TRI_CONG_VIEC     AS vai_tro,
    cd.SO_LUONG_NAM_GIU     AS co_phan_nam_giu,
    mqh.HO_TEN              AS ten_nguoi_lien_quan,
    mqh.MOI_QUAN_HE         AS moi_quan_he_nguoi_lien_quan,
    mqh.VI_TRI_CONG_VIEC    AS vai_tro_nguoi_lien_quan,
    mqh.SO_LUONG_CP         AS so_luong_co_phan
FROM (
    SELECT cd.*,
        ROW_NUMBER() OVER (
            PARTITION BY cd.SO_CMND, cd.CTCK_THONG_TIN_ID
            ORDER BY cd.NGAY_CAP_NHAT DESC
        ) AS rn
    FROM SCMS.CTCK_CO_DONG cd
    WHERE cd.TRANG_THAI    = 1
      AND TRUNC(cd.NGAY_CAP_NHAT) &lt;= TRUNC(NVL(:p_ngay, SYSDATE))
--  AND cd.TEN_CO_DONG     = :p_ten_co_dong
--  AND cd.SO_CMND         = :p_so_cmnd
) cd
JOIN (
    SELECT mqh.*,
        ROW_NUMBER() OVER (
            PARTITION BY mqh.CTCK_CO_DONG_ID, mqh.SO_CMND
            ORDER BY mqh.NGAY_CAP_NHAT DESC
        ) AS rn
    FROM SCMS.CTCK_CD_MOI_QUAN_HE mqh
    WHERE mqh.TRANG_THAI   = 1
      AND TRUNC(mqh.NGAY_CAP_NHAT) &lt;= TRUNC(NVL(:p_ngay, SYSDATE))
) mqh ON mqh.CTCK_CO_DONG_ID   = cd.ID
     AND mqh.CTCK_THONG_TIN_ID  = cd.CTCK_THONG_TIN_ID
     AND mqh.rn                  = 1
WHERE cd.rn = 1
ORDER BY cd.TEN_CO_DONG;</t>
        </is>
      </c>
      <c r="U218" s="386" t="n"/>
      <c r="V218" s="395" t="n"/>
      <c r="W218" s="395" t="n"/>
      <c r="X218" s="395" t="n"/>
      <c r="Y218" s="13" t="inlineStr">
        <is>
          <t>Done</t>
        </is>
      </c>
      <c r="Z218" s="395" t="n"/>
      <c r="AA218" s="395" t="n"/>
      <c r="AB218" s="395" t="n"/>
      <c r="AC218" s="395" t="n"/>
      <c r="AD218" s="395" t="n"/>
      <c r="AE218" s="395" t="n"/>
    </row>
    <row r="219" ht="84" customHeight="1" s="380">
      <c r="A219" s="98" t="n">
        <v>41</v>
      </c>
      <c r="B219" s="386" t="n"/>
      <c r="C219" s="386" t="inlineStr">
        <is>
          <t>Dashboard Tra cứu cá nhân ban quản trị, điều hành, cổ đông &gt;&gt; Dashboard Mạng lưới của cá nhân ban quản trị, điều hành, cổ đông tại CTCK</t>
        </is>
      </c>
      <c r="D219" s="12" t="inlineStr">
        <is>
          <t xml:space="preserve">Vai trò, chức vụ </t>
        </is>
      </c>
      <c r="E219" s="12" t="inlineStr">
        <is>
          <t>Vai trò, chức vụ của cá nhân trong tổ chức niêm yết/ đăng ký giao dịch, hoặc CTCK, CT QLQ</t>
        </is>
      </c>
      <c r="F219" s="386" t="inlineStr">
        <is>
          <t>Dashboard</t>
        </is>
      </c>
      <c r="G219" s="386" t="inlineStr">
        <is>
          <t>Chỉ tiêu cơ sở</t>
        </is>
      </c>
      <c r="H219" s="386" t="inlineStr">
        <is>
          <t>Dễ</t>
        </is>
      </c>
      <c r="I219" s="386" t="inlineStr">
        <is>
          <t>Ngày, CTCK</t>
        </is>
      </c>
      <c r="J219" s="386" t="inlineStr">
        <is>
          <t>SCMS</t>
        </is>
      </c>
      <c r="K219" s="395" t="inlineStr">
        <is>
          <t>X</t>
        </is>
      </c>
      <c r="L219" s="395" t="inlineStr">
        <is>
          <t>X</t>
        </is>
      </c>
      <c r="M219" s="395" t="n"/>
      <c r="N219" s="395" t="inlineStr">
        <is>
          <t>Done</t>
        </is>
      </c>
      <c r="O219" s="401" t="n"/>
      <c r="P219" s="395" t="n"/>
      <c r="S219" s="395" t="n"/>
      <c r="U219" s="386" t="n"/>
      <c r="V219" s="395" t="n"/>
      <c r="W219" s="395" t="n"/>
      <c r="X219" s="395" t="n"/>
      <c r="Y219" s="13" t="inlineStr">
        <is>
          <t>Done</t>
        </is>
      </c>
      <c r="Z219" s="395" t="n"/>
      <c r="AA219" s="395" t="n"/>
      <c r="AB219" s="395" t="n"/>
      <c r="AC219" s="395" t="n"/>
      <c r="AD219" s="395" t="n"/>
      <c r="AE219" s="395" t="n"/>
    </row>
    <row r="220" ht="84" customHeight="1" s="380">
      <c r="A220" s="98" t="n">
        <v>41</v>
      </c>
      <c r="B220" s="386" t="n"/>
      <c r="C220" s="386" t="inlineStr">
        <is>
          <t>Dashboard Tra cứu cá nhân ban quản trị, điều hành, cổ đông &gt;&gt; Dashboard Mạng lưới của cá nhân ban quản trị, điều hành, cổ đông tại CTCK</t>
        </is>
      </c>
      <c r="D220" s="12" t="inlineStr">
        <is>
          <t>Người có liên quan &gt;&gt; Tên người có liên quan</t>
        </is>
      </c>
      <c r="E220" s="12" t="inlineStr">
        <is>
          <t>Người có liên quan &gt;&gt; Tên người có liên quan</t>
        </is>
      </c>
      <c r="F220" s="386" t="inlineStr">
        <is>
          <t>Dashboard</t>
        </is>
      </c>
      <c r="G220" s="386" t="inlineStr">
        <is>
          <t>Chỉ tiêu cơ sở</t>
        </is>
      </c>
      <c r="H220" s="386" t="inlineStr">
        <is>
          <t>Dễ</t>
        </is>
      </c>
      <c r="I220" s="386" t="inlineStr">
        <is>
          <t>Ngày, CTCK</t>
        </is>
      </c>
      <c r="J220" s="386" t="inlineStr">
        <is>
          <t>SCMS</t>
        </is>
      </c>
      <c r="K220" s="395" t="inlineStr">
        <is>
          <t>X</t>
        </is>
      </c>
      <c r="L220" s="395" t="inlineStr">
        <is>
          <t>X</t>
        </is>
      </c>
      <c r="M220" s="395" t="n"/>
      <c r="N220" s="395" t="inlineStr">
        <is>
          <t>Done</t>
        </is>
      </c>
      <c r="O220" s="401" t="n"/>
      <c r="P220" s="395" t="n"/>
      <c r="S220" s="395" t="n"/>
      <c r="U220" s="386" t="n"/>
      <c r="V220" s="395" t="n"/>
      <c r="W220" s="395" t="n"/>
      <c r="X220" s="395" t="n"/>
      <c r="Y220" s="13" t="inlineStr">
        <is>
          <t>Done</t>
        </is>
      </c>
      <c r="Z220" s="395" t="n"/>
      <c r="AA220" s="395" t="n"/>
      <c r="AB220" s="395" t="n"/>
      <c r="AC220" s="395" t="n"/>
      <c r="AD220" s="395" t="n"/>
      <c r="AE220" s="395" t="n"/>
    </row>
    <row r="221" ht="84" customHeight="1" s="380">
      <c r="A221" s="98" t="n">
        <v>41</v>
      </c>
      <c r="B221" s="386" t="n"/>
      <c r="C221" s="386" t="inlineStr">
        <is>
          <t>Dashboard Tra cứu cá nhân ban quản trị, điều hành, cổ đông &gt;&gt; Dashboard Mạng lưới của cá nhân ban quản trị, điều hành, cổ đông tại CTCK</t>
        </is>
      </c>
      <c r="D221" s="12" t="inlineStr">
        <is>
          <t>Người có liên quan &gt;&gt; Mối quan hệ của người có liên quan</t>
        </is>
      </c>
      <c r="E221" s="12" t="inlineStr">
        <is>
          <t>Người có liên quan &gt;&gt; Mối quan hệ của người có liên quan</t>
        </is>
      </c>
      <c r="F221" s="386" t="inlineStr">
        <is>
          <t>Dashboard</t>
        </is>
      </c>
      <c r="G221" s="386" t="inlineStr">
        <is>
          <t>Chỉ tiêu cơ sở</t>
        </is>
      </c>
      <c r="H221" s="386" t="inlineStr">
        <is>
          <t>Dễ</t>
        </is>
      </c>
      <c r="I221" s="386" t="inlineStr">
        <is>
          <t>Ngày, CTCK</t>
        </is>
      </c>
      <c r="J221" s="386" t="inlineStr">
        <is>
          <t>SCMS</t>
        </is>
      </c>
      <c r="K221" s="395" t="inlineStr">
        <is>
          <t>X</t>
        </is>
      </c>
      <c r="L221" s="395" t="inlineStr">
        <is>
          <t>X</t>
        </is>
      </c>
      <c r="M221" s="395" t="n"/>
      <c r="N221" s="395" t="inlineStr">
        <is>
          <t>Done</t>
        </is>
      </c>
      <c r="O221" s="401" t="n"/>
      <c r="P221" s="395" t="n"/>
      <c r="S221" s="395" t="n"/>
      <c r="U221" s="386" t="n"/>
      <c r="V221" s="395" t="n"/>
      <c r="W221" s="395" t="n"/>
      <c r="X221" s="395" t="n"/>
      <c r="Y221" s="13" t="inlineStr">
        <is>
          <t>Done</t>
        </is>
      </c>
      <c r="Z221" s="395" t="n"/>
      <c r="AA221" s="395" t="n"/>
      <c r="AB221" s="395" t="n"/>
      <c r="AC221" s="395" t="n"/>
      <c r="AD221" s="395" t="n"/>
      <c r="AE221" s="395" t="n"/>
    </row>
    <row r="222" ht="84" customHeight="1" s="380">
      <c r="A222" s="98" t="n">
        <v>41</v>
      </c>
      <c r="B222" s="386" t="n"/>
      <c r="C222" s="386" t="inlineStr">
        <is>
          <t>Dashboard Tra cứu cá nhân ban quản trị, điều hành, cổ đông &gt;&gt; Dashboard Mạng lưới của cá nhân ban quản trị, điều hành, cổ đông tại CTCK</t>
        </is>
      </c>
      <c r="D222" s="12" t="inlineStr">
        <is>
          <t>Người có liên quan &gt;&gt; Vai trò, chức vụ của người có liên quan</t>
        </is>
      </c>
      <c r="E222" s="12" t="inlineStr">
        <is>
          <t>Vai trò, chức vụ của người có liên quan trong tổ chức niêm yết/ đăng ký giao dịch, hoặc CTCK, CT QLQ</t>
        </is>
      </c>
      <c r="F222" s="386" t="inlineStr">
        <is>
          <t>Dashboard</t>
        </is>
      </c>
      <c r="G222" s="386" t="inlineStr">
        <is>
          <t>Chỉ tiêu cơ sở</t>
        </is>
      </c>
      <c r="H222" s="386" t="inlineStr">
        <is>
          <t>Dễ</t>
        </is>
      </c>
      <c r="I222" s="386" t="inlineStr">
        <is>
          <t>Ngày, CTCK</t>
        </is>
      </c>
      <c r="J222" s="386" t="inlineStr">
        <is>
          <t>SCMS</t>
        </is>
      </c>
      <c r="K222" s="395" t="inlineStr">
        <is>
          <t>X</t>
        </is>
      </c>
      <c r="L222" s="395" t="inlineStr">
        <is>
          <t>X</t>
        </is>
      </c>
      <c r="M222" s="395" t="n"/>
      <c r="N222" s="395" t="inlineStr">
        <is>
          <t>Done</t>
        </is>
      </c>
      <c r="O222" s="401" t="n"/>
      <c r="P222" s="395" t="n"/>
      <c r="S222" s="395" t="n"/>
      <c r="U222" s="386" t="n"/>
      <c r="V222" s="395" t="n"/>
      <c r="W222" s="395" t="n"/>
      <c r="X222" s="395" t="n"/>
      <c r="Y222" s="13" t="inlineStr">
        <is>
          <t>Done</t>
        </is>
      </c>
      <c r="Z222" s="395" t="n"/>
      <c r="AA222" s="395" t="n"/>
      <c r="AB222" s="395" t="n"/>
      <c r="AC222" s="395" t="n"/>
      <c r="AD222" s="395" t="n"/>
      <c r="AE222" s="395" t="n"/>
    </row>
    <row r="223" ht="84" customHeight="1" s="380">
      <c r="A223" s="98" t="n">
        <v>41</v>
      </c>
      <c r="B223" s="386" t="n"/>
      <c r="C223" s="386" t="inlineStr">
        <is>
          <t>Dashboard Tra cứu cá nhân ban quản trị, điều hành, cổ đông &gt;&gt; Dashboard Mạng lưới của cá nhân ban quản trị, điều hành, cổ đông tại CTCK</t>
        </is>
      </c>
      <c r="D223" s="12" t="inlineStr">
        <is>
          <t>Tỷ lệ sở hữu cổ phần</t>
        </is>
      </c>
      <c r="E223" s="12" t="inlineStr">
        <is>
          <t>Tỷ lệ sở hữu cổ phần của cá nhân và người có liên quan</t>
        </is>
      </c>
      <c r="F223" s="386" t="inlineStr">
        <is>
          <t>Dashboard</t>
        </is>
      </c>
      <c r="G223" s="386" t="inlineStr">
        <is>
          <t>Chỉ tiêu cơ sở</t>
        </is>
      </c>
      <c r="H223" s="386" t="inlineStr">
        <is>
          <t>Dễ</t>
        </is>
      </c>
      <c r="I223" s="386" t="inlineStr">
        <is>
          <t>Ngày, CTCK</t>
        </is>
      </c>
      <c r="J223" s="386" t="inlineStr">
        <is>
          <t>SCMS, VSDC</t>
        </is>
      </c>
      <c r="K223" s="395" t="inlineStr">
        <is>
          <t>X</t>
        </is>
      </c>
      <c r="L223" s="395" t="inlineStr">
        <is>
          <t>X</t>
        </is>
      </c>
      <c r="M223" s="395" t="n"/>
      <c r="N223" s="395" t="inlineStr">
        <is>
          <t>Done</t>
        </is>
      </c>
      <c r="O223" s="401" t="n"/>
      <c r="P223" s="395" t="n"/>
      <c r="S223" s="395" t="n"/>
      <c r="U223" s="386" t="n"/>
      <c r="V223" s="395" t="n"/>
      <c r="W223" s="395" t="n"/>
      <c r="X223" s="395" t="n"/>
      <c r="Y223" s="13" t="inlineStr">
        <is>
          <t>Vướng vì lí do khác</t>
        </is>
      </c>
      <c r="Z223" s="395" t="n"/>
      <c r="AA223" s="395" t="n"/>
      <c r="AB223" s="395" t="n"/>
      <c r="AC223" s="395" t="n"/>
      <c r="AD223" s="395" t="n"/>
      <c r="AE223" s="395" t="n"/>
    </row>
    <row r="224" ht="98" customHeight="1" s="380">
      <c r="A224" s="98" t="n">
        <v>41</v>
      </c>
      <c r="B224" s="81" t="n"/>
      <c r="C224" s="81" t="inlineStr">
        <is>
          <t>Dashboard Tra cứu cá nhân ban quản trị, điều hành, cổ đông &gt;&gt; Dashboard Hồ sơ và danh mục của cá nhân ban quản trị, điều hành, cổ đông tại CTCK</t>
        </is>
      </c>
      <c r="D224" s="12" t="inlineStr">
        <is>
          <t>Chiều thời gian theo Ngày</t>
        </is>
      </c>
      <c r="E224" s="12" t="inlineStr">
        <is>
          <t>Chiều thời gian theo Ngày</t>
        </is>
      </c>
      <c r="F224" s="386" t="inlineStr">
        <is>
          <t>Dashboard</t>
        </is>
      </c>
      <c r="G224" s="386" t="inlineStr">
        <is>
          <t>Chiều</t>
        </is>
      </c>
      <c r="H224" s="386" t="inlineStr">
        <is>
          <t>Trùng</t>
        </is>
      </c>
      <c r="I224" s="386" t="n"/>
      <c r="J224" s="386" t="inlineStr">
        <is>
          <t>SCMS</t>
        </is>
      </c>
      <c r="K224" s="395" t="n"/>
      <c r="L224" s="395" t="inlineStr">
        <is>
          <t>X</t>
        </is>
      </c>
      <c r="M224" s="395" t="n"/>
      <c r="N224" s="395" t="inlineStr">
        <is>
          <t>Done</t>
        </is>
      </c>
      <c r="O224" s="401" t="n"/>
      <c r="P224" s="395" t="n"/>
      <c r="Q224" s="20" t="inlineStr">
        <is>
          <t>Ngày dữ liệu</t>
        </is>
      </c>
      <c r="R224" s="395" t="n"/>
      <c r="S224" s="395" t="n"/>
      <c r="T224" s="393" t="inlineStr">
        <is>
          <t>-- Chiều thời gian theo ngày
SELECT TRUNC(min_ngay) + LEVEL - 1 AS ngay
FROM (SELECT MIN(NGAY_SO_LIEU) AS min_ngay FROM SCMS.BC_THANH_VIEN)
CONNECT BY TRUNC(min_ngay) + LEVEL - 1 &lt;= TRUNC(SYSDATE)
ORDER BY ngay;</t>
        </is>
      </c>
      <c r="U224" s="386" t="n"/>
      <c r="V224" s="395" t="n"/>
      <c r="W224" s="395" t="n"/>
      <c r="X224" s="395" t="n"/>
      <c r="Y224" s="13" t="inlineStr">
        <is>
          <t>Done</t>
        </is>
      </c>
      <c r="Z224" s="395" t="n"/>
      <c r="AA224" s="395" t="n"/>
      <c r="AB224" s="395" t="n"/>
      <c r="AC224" s="395" t="n"/>
      <c r="AD224" s="395" t="n"/>
      <c r="AE224" s="395" t="n"/>
    </row>
    <row r="225" ht="63.75" customHeight="1" s="380">
      <c r="A225" s="98" t="n">
        <v>41</v>
      </c>
      <c r="B225" s="386" t="n"/>
      <c r="C225" s="386" t="inlineStr">
        <is>
          <t>Dashboard Tra cứu cá nhân ban quản trị, điều hành, cổ đông &gt;&gt; Dashboard Hồ sơ và danh mục của cá nhân ban quản trị, điều hành, cổ đông tại CTCK</t>
        </is>
      </c>
      <c r="D225" s="12" t="inlineStr">
        <is>
          <t>Vai trò tại DN niêm yết</t>
        </is>
      </c>
      <c r="E225" s="12" t="inlineStr">
        <is>
          <t>Vai trò tại DN niêm yết</t>
        </is>
      </c>
      <c r="F225" s="386" t="inlineStr">
        <is>
          <t>Dashboard</t>
        </is>
      </c>
      <c r="G225" s="386" t="inlineStr">
        <is>
          <t>Chỉ tiêu cơ sở</t>
        </is>
      </c>
      <c r="H225" s="386" t="inlineStr">
        <is>
          <t>Dễ</t>
        </is>
      </c>
      <c r="I225" s="386" t="inlineStr">
        <is>
          <t>Ngày, CTCK</t>
        </is>
      </c>
      <c r="J225" s="386" t="inlineStr">
        <is>
          <t>SCMS</t>
        </is>
      </c>
      <c r="K225" s="395" t="inlineStr">
        <is>
          <t>X</t>
        </is>
      </c>
      <c r="L225" s="395" t="inlineStr">
        <is>
          <t>X</t>
        </is>
      </c>
      <c r="M225" s="395" t="n"/>
      <c r="N225" s="395" t="inlineStr">
        <is>
          <t>Done</t>
        </is>
      </c>
      <c r="O225" s="401" t="n"/>
      <c r="P225" s="395" t="n"/>
      <c r="Q225" s="395" t="inlineStr">
        <is>
          <t>SCMS.CTCK_CO_DONG
SCMS.CTCK_THONG_TIN</t>
        </is>
      </c>
      <c r="R225" s="395" t="inlineStr">
        <is>
          <t>cd.CTCK_THONG_TIN_ID,
cd.TEN_CO_DONG,
cd.LOAI_CO_DONG,
cd.SO_LUONG_NAM_GIU,
cd.TRANG_THAI,
cd.SO_CMND,
cd.NGAY_CAP_NHAT,
c.ID,
c.TEN_VIET_TAT</t>
        </is>
      </c>
      <c r="S225" s="395" t="n"/>
      <c r="T225" s="386" t="inlineStr">
        <is>
          <t>-- Vai trò tại DN niêm yết
SELECT
    cd.TEN_CO_DONG      AS ten_ca_nhan,
    c.TEN_VIET_TAT      AS ten_to_chuc,
    cd.LOAI_CO_DONG     AS vai_tro,
    cd.SO_LUONG_NAM_GIU AS so_luong_co_phan,
    CASE WHEN cd.TRANG_THAI = 1 THEN 'Hoạt động'
         ELSE 'Không hoạt động'
    END  AS trang_thai
FROM (
    SELECT cd.*,
        ROW_NUMBER() OVER (
            PARTITION BY cd.SO_CMND, cd.CTCK_THONG_TIN_ID
            ORDER BY cd.NGAY_CAP_NHAT DESC
        ) AS rn
    FROM SCMS.CTCK_CO_DONG cd
    WHERE TRUNC(cd.NGAY_CAP_NHAT) &lt;= TRUNC(NVL(:p_ngay, SYSDATE))
--      AND cd.TEN_CO_DONG = :p_ten_co_dong
--      AND cd.SO_CMND = :p_so_cmnd
) cd
JOIN SCMS.CTCK_THONG_TIN c ON c.ID = cd.CTCK_THONG_TIN_ID
WHERE cd.rn = 1
ORDER BY c.TEN_VIET_TAT;</t>
        </is>
      </c>
      <c r="U225" s="386" t="n"/>
      <c r="V225" s="395" t="n"/>
      <c r="W225" s="395" t="n"/>
      <c r="X225" s="395" t="n"/>
      <c r="Y225" s="13" t="inlineStr">
        <is>
          <t>Done</t>
        </is>
      </c>
      <c r="Z225" s="395" t="n"/>
      <c r="AA225" s="395" t="n"/>
      <c r="AB225" s="395" t="n"/>
      <c r="AC225" s="395" t="n"/>
      <c r="AD225" s="395" t="n"/>
      <c r="AE225" s="395" t="n"/>
    </row>
    <row r="226" ht="63" customHeight="1" s="380">
      <c r="A226" s="98" t="n">
        <v>41</v>
      </c>
      <c r="B226" s="386" t="n"/>
      <c r="C226" s="386" t="inlineStr">
        <is>
          <t>Dashboard Tra cứu cá nhân ban quản trị, điều hành, cổ đông &gt;&gt; Dashboard Hồ sơ và danh mục của cá nhân ban quản trị, điều hành, cổ đông tại CTCK</t>
        </is>
      </c>
      <c r="D226" s="12" t="inlineStr">
        <is>
          <t>Mạng lưới người liên quan</t>
        </is>
      </c>
      <c r="E226" s="12" t="inlineStr">
        <is>
          <t>Thông tin người liên quan</t>
        </is>
      </c>
      <c r="F226" s="386" t="inlineStr">
        <is>
          <t>Dashboard</t>
        </is>
      </c>
      <c r="G226" s="386" t="inlineStr">
        <is>
          <t>Chỉ tiêu cơ sở</t>
        </is>
      </c>
      <c r="H226" s="386" t="inlineStr">
        <is>
          <t>Dễ</t>
        </is>
      </c>
      <c r="I226" s="386" t="inlineStr">
        <is>
          <t>Ngày, CTCK</t>
        </is>
      </c>
      <c r="J226" s="386" t="inlineStr">
        <is>
          <t>SCMS</t>
        </is>
      </c>
      <c r="K226" s="395" t="inlineStr">
        <is>
          <t>X</t>
        </is>
      </c>
      <c r="L226" s="395" t="inlineStr">
        <is>
          <t>X</t>
        </is>
      </c>
      <c r="M226" s="395" t="n"/>
      <c r="N226" s="395" t="inlineStr">
        <is>
          <t>Done</t>
        </is>
      </c>
      <c r="O226" s="401" t="n"/>
      <c r="P226" s="395" t="n"/>
      <c r="Q226" s="395" t="inlineStr">
        <is>
          <t>SCMS.CTCK_CO_DONG
SCMS.CTCK_CD_MOI_QUAN_HE</t>
        </is>
      </c>
      <c r="R226" s="395" t="inlineStr">
        <is>
          <t>cd.ID,
cd.SO_CMND,
cd.CTCK_THONG_TIN_ID,
cd.TEN_CO_DONG,
cd.NGAY_CAP_NHAT,
cd.TRANG_THAI,
mqh.CTCK_CO_DONG_ID,
mqh.CTCK_THONG_TIN_ID,
mqh.HO_TEN,
mqh.SO_CMND,
mqh.VI_TRI_CONG_VIEC,
mqh.MOI_QUAN_HE,
mqh.SO_LUONG_CP,
mqh.TY_LE_NAM_GIU,
mqh.NGAY_CAP_NHAT,
mqh.TRANG_THAI</t>
        </is>
      </c>
      <c r="S226" s="395" t="n"/>
      <c r="T226" s="386" t="inlineStr">
        <is>
          <t>-- Mạng lưới người liên quan
SELECT
    cd.TEN_CO_DONG          AS ten_ca_nhan,
    mqh.HO_TEN              AS ten_nguoi_lien_quan,
    mqh.SO_CMND             AS so_cccd,
    mqh.VI_TRI_CONG_VIEC    AS vi_tri_cong_viec,
    mqh.MOI_QUAN_HE         AS moi_quan_he_nguoi_lien_quan,
    mqh.SO_LUONG_CP         AS so_luong_co_phan,
    mqh.TY_LE_NAM_GIU       AS ty_le_nam_giu
FROM (
    SELECT cd.*,
        ROW_NUMBER() OVER (
            PARTITION BY cd.SO_CMND, cd.CTCK_THONG_TIN_ID
            ORDER BY cd.NGAY_CAP_NHAT DESC
        ) AS rn
    FROM SCMS.CTCK_CO_DONG cd
    WHERE cd.TRANG_THAI    = 1
      AND TRUNC(cd.NGAY_CAP_NHAT) &lt;= TRUNC(NVL(:p_ngay, SYSDATE))
--  AND cd.TEN_CO_DONG     = :p_ten_co_dong
--  AND cd.SO_CMND         = :p_so_cmnd
) cd
JOIN (
    SELECT mqh.*,
        ROW_NUMBER() OVER (
            PARTITION BY mqh.CTCK_CO_DONG_ID, mqh.SO_CMND
            ORDER BY mqh.NGAY_CAP_NHAT DESC
        ) AS rn
    FROM SCMS.CTCK_CD_MOI_QUAN_HE mqh
    WHERE mqh.TRANG_THAI   = 1
      AND TRUNC(mqh.NGAY_CAP_NHAT) &lt;= TRUNC(NVL(:p_ngay, SYSDATE))
) mqh ON mqh.CTCK_CO_DONG_ID   = cd.ID
     AND mqh.CTCK_THONG_TIN_ID  = cd.CTCK_THONG_TIN_ID
     AND mqh.rn = 1
WHERE cd.rn = 1
ORDER BY cd.TEN_CO_DONG;</t>
        </is>
      </c>
      <c r="U226" s="386" t="n"/>
      <c r="V226" s="395" t="n"/>
      <c r="W226" s="395" t="n"/>
      <c r="X226" s="395" t="n"/>
      <c r="Y226" s="13" t="inlineStr">
        <is>
          <t>Done</t>
        </is>
      </c>
      <c r="Z226" s="395" t="n"/>
      <c r="AA226" s="395" t="n"/>
      <c r="AB226" s="395" t="n"/>
      <c r="AC226" s="395" t="n"/>
      <c r="AD226" s="395" t="n"/>
      <c r="AE226" s="395" t="n"/>
    </row>
    <row r="227" ht="63" customHeight="1" s="380">
      <c r="A227" s="98" t="n">
        <v>41</v>
      </c>
      <c r="B227" s="386" t="n"/>
      <c r="C227" s="386" t="inlineStr">
        <is>
          <t>Dashboard Tra cứu cá nhân ban quản trị, điều hành, cổ đông &gt;&gt; Dashboard Hồ sơ và danh mục của cá nhân ban quản trị, điều hành, cổ đông tại CTCK</t>
        </is>
      </c>
      <c r="D227" s="393" t="inlineStr">
        <is>
          <t>Tài khoản</t>
        </is>
      </c>
      <c r="E227" s="396" t="inlineStr">
        <is>
          <t>Thông tin tài khoản của cá nhân đã mở, bao gồm:
- Mã CTCK
- Số tài khoản
- Tên chủ tài khoản
- Mã CK nắm giữ chính</t>
        </is>
      </c>
      <c r="F227" s="386" t="inlineStr">
        <is>
          <t>Dashboard</t>
        </is>
      </c>
      <c r="G227" s="386" t="inlineStr">
        <is>
          <t>Chỉ tiêu cơ sở</t>
        </is>
      </c>
      <c r="H227" s="386" t="inlineStr">
        <is>
          <t>Dễ</t>
        </is>
      </c>
      <c r="I227" s="386" t="inlineStr">
        <is>
          <t>Ngày, CTCK</t>
        </is>
      </c>
      <c r="J227" s="386" t="inlineStr">
        <is>
          <t>SCMS</t>
        </is>
      </c>
      <c r="K227" s="395" t="inlineStr">
        <is>
          <t>X</t>
        </is>
      </c>
      <c r="L227" s="395" t="inlineStr">
        <is>
          <t>X</t>
        </is>
      </c>
      <c r="M227" s="395" t="n"/>
      <c r="N227" s="395" t="inlineStr">
        <is>
          <t>Done</t>
        </is>
      </c>
      <c r="O227" s="401" t="n"/>
      <c r="P227" s="395" t="n"/>
      <c r="Q227" s="397" t="inlineStr">
        <is>
          <t>SCMS.CTCK_CO_DONG
SCMS.CTCK_THONG_TIN</t>
        </is>
      </c>
      <c r="R227" s="397" t="inlineStr">
        <is>
          <t>c.ID,
c.TEN_VIET_TAT,
c.MA_CHUNG_KHOAN,
cd.SO_CMND,
cd.CTCK_THONG_TIN_ID,
cd.TAI_KHOAN_GD,
cd.TEN_CO_DONG,
cd.NGAY_CAP_NHAT,
cd.TRANG_THAI</t>
        </is>
      </c>
      <c r="S227" s="395" t="n"/>
      <c r="T227" s="79" t="inlineStr">
        <is>
          <t>-- Tài khoản
SELECT
    c.TEN_VIET_TAT AS ma_ctck,
    cd.TAI_KHOAN_GD AS so_tai_khoan,
    cd.TEN_CO_DONG AS ten_chu_tai_khoan,  -- Xác nhận lại tên chủ tài khoản
    c.MA_CHUNG_KHOAN AS ma_ck_nam_giu_chinh  -- Xác nhận lại mã CK nắm giữ chính
FROM (
    SELECT cd.*,
        ROW_NUMBER() OVER (
            PARTITION BY cd.SO_CMND, cd.CTCK_THONG_TIN_ID
            ORDER BY cd.NGAY_CAP_NHAT DESC
        ) AS rn
    FROM SCMS.CTCK_CO_DONG cd
    WHERE 1 = 1
      AND TRUNC(cd.NGAY_CAP_NHAT) &lt;= TRUNC(NVL(:p_ngay, SYSDATE))
      AND cd.SO_CMND    = :p_so_cmnd
      AND cd.TRANG_THAI = 1
      AND cd.TAI_KHOAN_GD IS NOT NULL
) cd
JOIN SCMS.CTCK_THONG_TIN c ON c.ID = cd.CTCK_THONG_TIN_ID
WHERE cd.rn = 1
ORDER BY c.TEN_VIET_TAT;</t>
        </is>
      </c>
      <c r="U227" s="20" t="inlineStr">
        <is>
          <t>Mã CK nắm giữ chính lấy ở đâu?</t>
        </is>
      </c>
      <c r="V227" s="395" t="n"/>
      <c r="W227" s="395" t="n"/>
      <c r="X227" s="395" t="n"/>
      <c r="Y227" s="13" t="inlineStr">
        <is>
          <t>Done</t>
        </is>
      </c>
      <c r="Z227" s="395" t="n"/>
      <c r="AA227" s="395" t="n"/>
      <c r="AB227" s="395" t="n"/>
      <c r="AC227" s="395" t="n"/>
      <c r="AD227" s="395" t="n"/>
      <c r="AE227" s="395" t="n"/>
    </row>
    <row r="228" ht="98" customHeight="1" s="380">
      <c r="A228" s="98" t="n">
        <v>41</v>
      </c>
      <c r="B228" s="81" t="n"/>
      <c r="C228" s="81" t="inlineStr">
        <is>
          <t>Dashboard Tra cứu cá nhân ban quản trị, điều hành, cổ đông &gt;&gt; Dashboard Lịch sử công tác của cá nhân ban quản trị, điều hành, cổ đông tại CTCK</t>
        </is>
      </c>
      <c r="D228" s="12" t="inlineStr">
        <is>
          <t>Chiều thời gian theo Ngày</t>
        </is>
      </c>
      <c r="E228" s="12" t="inlineStr">
        <is>
          <t>Chiều thời gian theo Ngày</t>
        </is>
      </c>
      <c r="F228" s="386" t="inlineStr">
        <is>
          <t>Dashboard</t>
        </is>
      </c>
      <c r="G228" s="386" t="inlineStr">
        <is>
          <t>Chiều</t>
        </is>
      </c>
      <c r="H228" s="386" t="inlineStr">
        <is>
          <t>Trùng</t>
        </is>
      </c>
      <c r="I228" s="386" t="n"/>
      <c r="J228" s="386" t="inlineStr">
        <is>
          <t>SCMS</t>
        </is>
      </c>
      <c r="K228" s="395" t="n"/>
      <c r="L228" s="395" t="inlineStr">
        <is>
          <t>X</t>
        </is>
      </c>
      <c r="M228" s="395" t="n"/>
      <c r="N228" s="395" t="inlineStr">
        <is>
          <t>Done</t>
        </is>
      </c>
      <c r="O228" s="401" t="n"/>
      <c r="P228" s="395" t="n"/>
      <c r="Q228" s="20" t="inlineStr">
        <is>
          <t>Ngày dữ liệu</t>
        </is>
      </c>
      <c r="R228" s="395" t="n"/>
      <c r="S228" s="395" t="n"/>
      <c r="T228" s="393" t="inlineStr">
        <is>
          <t>-- Chiều thời gian theo ngày
SELECT TRUNC(min_ngay) + LEVEL - 1 AS ngay
FROM (SELECT MIN(NGAY_SO_LIEU) AS min_ngay FROM SCMS.BC_THANH_VIEN)
CONNECT BY TRUNC(min_ngay) + LEVEL - 1 &lt;= TRUNC(SYSDATE)
ORDER BY ngay;</t>
        </is>
      </c>
      <c r="U228" s="386" t="n"/>
      <c r="V228" s="395" t="n"/>
      <c r="W228" s="395" t="n"/>
      <c r="X228" s="395" t="n"/>
      <c r="Y228" s="13" t="inlineStr">
        <is>
          <t>Done</t>
        </is>
      </c>
      <c r="Z228" s="395" t="n"/>
      <c r="AA228" s="395" t="n"/>
      <c r="AB228" s="395" t="n"/>
      <c r="AC228" s="395" t="n"/>
      <c r="AD228" s="395" t="n"/>
      <c r="AE228" s="395" t="n"/>
    </row>
    <row r="229" ht="98" customHeight="1" s="380">
      <c r="A229" s="98" t="n">
        <v>41</v>
      </c>
      <c r="B229" s="386" t="n"/>
      <c r="C229" s="386" t="inlineStr">
        <is>
          <t>Dashboard Tra cứu cá nhân ban quản trị, điều hành, cổ đông &gt;&gt; Dashboard Lịch sử công tác của cá nhân ban quản trị, điều hành, cổ đông tại CTCK</t>
        </is>
      </c>
      <c r="D229" s="12" t="inlineStr">
        <is>
          <t>Tên công ty</t>
        </is>
      </c>
      <c r="E229" s="12" t="inlineStr">
        <is>
          <t>Tên công ty</t>
        </is>
      </c>
      <c r="F229" s="386" t="inlineStr">
        <is>
          <t>Dashboard</t>
        </is>
      </c>
      <c r="G229" s="386" t="inlineStr">
        <is>
          <t>Chỉ tiêu cơ sở</t>
        </is>
      </c>
      <c r="H229" s="386" t="inlineStr">
        <is>
          <t>Dễ</t>
        </is>
      </c>
      <c r="I229" s="386" t="inlineStr">
        <is>
          <t>Ngày, CTCK</t>
        </is>
      </c>
      <c r="J229" s="386" t="inlineStr">
        <is>
          <t>SCMS</t>
        </is>
      </c>
      <c r="K229" s="395" t="inlineStr">
        <is>
          <t>X</t>
        </is>
      </c>
      <c r="L229" s="395" t="inlineStr">
        <is>
          <t>X</t>
        </is>
      </c>
      <c r="M229" s="395" t="inlineStr">
        <is>
          <t>X</t>
        </is>
      </c>
      <c r="N229" s="395" t="inlineStr">
        <is>
          <t>Done</t>
        </is>
      </c>
      <c r="O229" s="401" t="n"/>
      <c r="P229" s="395" t="n"/>
      <c r="Q229" s="395" t="inlineStr">
        <is>
          <t>SCMS.CTCK_NHAN_SU_CAO_CAP
SCMS.DM_CHUC_VU
SCMS.CTCK_THONG_TIN</t>
        </is>
      </c>
      <c r="R229" s="395" t="inlineStr">
        <is>
          <t xml:space="preserve">c.ID,
c.TEN_TIENG_VIET,
cv.ID,
cv.TEN_CHUC_VU,
ns.CTCK_THONG_TIN_ID,
ns.CHUC_VU_ID,
ns.NGAY_TAO,
ns.NGAY_THOI_VIEC,
ns.IS_BANG_TAM,
ns.TRANG_THAI
</t>
        </is>
      </c>
      <c r="S229" s="395" t="n"/>
      <c r="T229" s="384" t="inlineStr">
        <is>
          <t>-- Dashboard Lịch sử công tác của cá nhân ban quản trị, điều hành, cổ đông tại CTCK
SELECT
    c.TEN_TIENG_VIET AS ten_cong_ty,
    cv.TEN_CHUC_VU AS chuc_vu,
    TRUNC(ns.NGAY_TAO) AS tu_ngay,   -- Xác nhận: NGAY_TAO hay có cột NGAY_BAT_DAU riêng
    TRUNC(ns.NGAY_THOI_VIEC) AS den_ngay,
    CASE
        WHEN ns.NGAY_THOI_VIEC IS NULL
--          OR TRUNC(ns.NGAY_THOI_VIEC) &gt; TRUNC(NVL(:p_ngay, SYSDATE))
        THEN 'Hiện tại'
        ELSE 'Quá khứ'
    END AS trang_thai
FROM SCMS.CTCK_NHAN_SU_CAO_CAP  ns
JOIN SCMS.DM_CHUC_VU  cv ON cv.ID = ns.CHUC_VU_ID
JOIN SCMS.CTCK_THONG_TIN  c  ON c.ID  = ns.CTCK_THONG_TIN_ID
WHERE 1 = 1
--  AND ns.SO_CMND       = :p_so_cmnd
  AND ns.IS_BANG_TAM   = 1
  AND ns.TRANG_THAI    = 1
--  AND TRUNC(ns.NGAY_TAO) &lt;= TRUNC(NVL(:p_ngay, SYSDATE))
ORDER BY ns.NGAY_TAO DESC;</t>
        </is>
      </c>
      <c r="U229" s="386" t="n"/>
      <c r="V229" s="395" t="n"/>
      <c r="W229" s="395" t="n"/>
      <c r="X229" s="395" t="n"/>
      <c r="Y229" s="13" t="inlineStr">
        <is>
          <t>Done</t>
        </is>
      </c>
      <c r="Z229" s="395" t="n"/>
      <c r="AA229" s="395" t="n"/>
      <c r="AB229" s="395" t="n"/>
      <c r="AC229" s="395" t="n"/>
      <c r="AD229" s="395" t="n"/>
      <c r="AE229" s="395" t="n"/>
    </row>
    <row r="230" ht="98" customHeight="1" s="380">
      <c r="A230" s="98" t="n">
        <v>41</v>
      </c>
      <c r="B230" s="386" t="n"/>
      <c r="C230" s="386" t="inlineStr">
        <is>
          <t>Dashboard Tra cứu cá nhân ban quản trị, điều hành, cổ đông &gt;&gt; Dashboard Lịch sử công tác của cá nhân ban quản trị, điều hành, cổ đông tại CTCK</t>
        </is>
      </c>
      <c r="D230" s="12" t="inlineStr">
        <is>
          <t>Chức vụ</t>
        </is>
      </c>
      <c r="E230" s="12" t="inlineStr">
        <is>
          <t>Chức vụ</t>
        </is>
      </c>
      <c r="F230" s="386" t="inlineStr">
        <is>
          <t>Dashboard</t>
        </is>
      </c>
      <c r="G230" s="386" t="inlineStr">
        <is>
          <t>Chỉ tiêu cơ sở</t>
        </is>
      </c>
      <c r="H230" s="386" t="inlineStr">
        <is>
          <t>Dễ</t>
        </is>
      </c>
      <c r="I230" s="386" t="inlineStr">
        <is>
          <t>Ngày, CTCK</t>
        </is>
      </c>
      <c r="J230" s="386" t="inlineStr">
        <is>
          <t>SCMS</t>
        </is>
      </c>
      <c r="K230" s="395" t="inlineStr">
        <is>
          <t>X</t>
        </is>
      </c>
      <c r="L230" s="395" t="inlineStr">
        <is>
          <t>X</t>
        </is>
      </c>
      <c r="M230" s="395" t="inlineStr">
        <is>
          <t>X</t>
        </is>
      </c>
      <c r="N230" s="395" t="inlineStr">
        <is>
          <t>Done</t>
        </is>
      </c>
      <c r="O230" s="401" t="n"/>
      <c r="P230" s="395" t="n"/>
      <c r="S230" s="395" t="n"/>
      <c r="U230" s="386" t="n"/>
      <c r="V230" s="395" t="n"/>
      <c r="W230" s="395" t="n"/>
      <c r="X230" s="395" t="n"/>
      <c r="Y230" s="13" t="inlineStr">
        <is>
          <t>Done</t>
        </is>
      </c>
      <c r="Z230" s="395" t="n"/>
      <c r="AA230" s="395" t="n"/>
      <c r="AB230" s="395" t="n"/>
      <c r="AC230" s="395" t="n"/>
      <c r="AD230" s="395" t="n"/>
      <c r="AE230" s="395" t="n"/>
    </row>
    <row r="231" ht="98" customHeight="1" s="380">
      <c r="A231" s="98" t="n">
        <v>41</v>
      </c>
      <c r="B231" s="386" t="n"/>
      <c r="C231" s="386" t="inlineStr">
        <is>
          <t>Dashboard Tra cứu cá nhân ban quản trị, điều hành, cổ đông &gt;&gt; Dashboard Lịch sử công tác của cá nhân ban quản trị, điều hành, cổ đông tại CTCK</t>
        </is>
      </c>
      <c r="D231" s="12" t="inlineStr">
        <is>
          <t xml:space="preserve">Thời gian làm việc </t>
        </is>
      </c>
      <c r="E231" s="12" t="inlineStr">
        <is>
          <t>Khoảng thời gian làm việc: Từ ngày – Đến ngày</t>
        </is>
      </c>
      <c r="F231" s="386" t="inlineStr">
        <is>
          <t>Dashboard</t>
        </is>
      </c>
      <c r="G231" s="386" t="inlineStr">
        <is>
          <t>Chỉ tiêu cơ sở</t>
        </is>
      </c>
      <c r="H231" s="386" t="inlineStr">
        <is>
          <t>Dễ</t>
        </is>
      </c>
      <c r="I231" s="386" t="inlineStr">
        <is>
          <t>Ngày, CTCK</t>
        </is>
      </c>
      <c r="J231" s="386" t="inlineStr">
        <is>
          <t>SCMS</t>
        </is>
      </c>
      <c r="K231" s="395" t="inlineStr">
        <is>
          <t>X</t>
        </is>
      </c>
      <c r="L231" s="395" t="inlineStr">
        <is>
          <t>X</t>
        </is>
      </c>
      <c r="M231" s="395" t="inlineStr">
        <is>
          <t>X</t>
        </is>
      </c>
      <c r="N231" s="395" t="inlineStr">
        <is>
          <t>Done</t>
        </is>
      </c>
      <c r="O231" s="401" t="n"/>
      <c r="P231" s="395" t="n"/>
      <c r="S231" s="395" t="n"/>
      <c r="U231" s="386" t="n"/>
      <c r="V231" s="395" t="n"/>
      <c r="W231" s="395" t="n"/>
      <c r="X231" s="395" t="n"/>
      <c r="Y231" s="13" t="inlineStr">
        <is>
          <t>Done</t>
        </is>
      </c>
      <c r="Z231" s="395" t="n"/>
      <c r="AA231" s="395" t="n"/>
      <c r="AB231" s="395" t="n"/>
      <c r="AC231" s="395" t="n"/>
      <c r="AD231" s="395" t="n"/>
      <c r="AE231" s="395" t="n"/>
    </row>
    <row r="232" ht="98" customHeight="1" s="380">
      <c r="A232" s="98" t="n">
        <v>41</v>
      </c>
      <c r="B232" s="386" t="n"/>
      <c r="C232" s="386" t="inlineStr">
        <is>
          <t>Dashboard Tra cứu cá nhân ban quản trị, điều hành, cổ đông &gt;&gt; Dashboard Lịch sử công tác của cá nhân ban quản trị, điều hành, cổ đông tại CTCK</t>
        </is>
      </c>
      <c r="D232" s="12" t="inlineStr">
        <is>
          <t xml:space="preserve">Trạng thái </t>
        </is>
      </c>
      <c r="E232" s="12" t="inlineStr">
        <is>
          <t>Trạng thái tại ngày đã chọn: Quá khứ/Hiện tại</t>
        </is>
      </c>
      <c r="F232" s="386" t="inlineStr">
        <is>
          <t>Dashboard</t>
        </is>
      </c>
      <c r="G232" s="386" t="inlineStr">
        <is>
          <t>Chỉ tiêu cơ sở</t>
        </is>
      </c>
      <c r="H232" s="386" t="inlineStr">
        <is>
          <t>Dễ</t>
        </is>
      </c>
      <c r="I232" s="386" t="inlineStr">
        <is>
          <t>Ngày, CTCK</t>
        </is>
      </c>
      <c r="J232" s="386" t="inlineStr">
        <is>
          <t>SCMS</t>
        </is>
      </c>
      <c r="K232" s="395" t="inlineStr">
        <is>
          <t>X</t>
        </is>
      </c>
      <c r="L232" s="395" t="inlineStr">
        <is>
          <t>X</t>
        </is>
      </c>
      <c r="M232" s="395" t="inlineStr">
        <is>
          <t>X</t>
        </is>
      </c>
      <c r="N232" s="395" t="inlineStr">
        <is>
          <t>Done</t>
        </is>
      </c>
      <c r="O232" s="401" t="n"/>
      <c r="P232" s="395" t="n"/>
      <c r="S232" s="395" t="n"/>
      <c r="U232" s="386" t="n"/>
      <c r="V232" s="395" t="n"/>
      <c r="W232" s="395" t="n"/>
      <c r="X232" s="395" t="n"/>
      <c r="Y232" s="13" t="inlineStr">
        <is>
          <t>Done</t>
        </is>
      </c>
      <c r="Z232" s="395" t="n"/>
      <c r="AA232" s="395" t="n"/>
      <c r="AB232" s="395" t="n"/>
      <c r="AC232" s="395" t="n"/>
      <c r="AD232" s="395" t="n"/>
      <c r="AE232" s="395" t="n"/>
    </row>
    <row r="233" ht="98" customHeight="1" s="380">
      <c r="A233" s="98" t="n">
        <v>41</v>
      </c>
      <c r="B233" s="81" t="n"/>
      <c r="C233" s="81" t="inlineStr">
        <is>
          <t>Dashboard Tra cứu cá nhân ban quản trị, điều hành, cổ đông &gt;&gt; Dashboard Lịch sử vi phạm của cá nhân ban quản trị, điều hành, cổ đông tại CTCK</t>
        </is>
      </c>
      <c r="D233" s="12" t="inlineStr">
        <is>
          <t>Chiều thời gian theo Ngày</t>
        </is>
      </c>
      <c r="E233" s="12" t="inlineStr">
        <is>
          <t>Chiều thời gian theo Ngày</t>
        </is>
      </c>
      <c r="F233" s="386" t="inlineStr">
        <is>
          <t>Dashboard</t>
        </is>
      </c>
      <c r="G233" s="386" t="inlineStr">
        <is>
          <t>Chiều</t>
        </is>
      </c>
      <c r="H233" s="386" t="inlineStr">
        <is>
          <t>Trùng</t>
        </is>
      </c>
      <c r="I233" s="386" t="n"/>
      <c r="J233" s="386" t="inlineStr">
        <is>
          <t>Thanh tra</t>
        </is>
      </c>
      <c r="K233" s="395" t="n"/>
      <c r="L233" s="395" t="inlineStr">
        <is>
          <t>X</t>
        </is>
      </c>
      <c r="M233" s="395" t="n"/>
      <c r="N233" s="395" t="inlineStr">
        <is>
          <t>Done</t>
        </is>
      </c>
      <c r="O233" s="401" t="n"/>
      <c r="P233" s="395" t="n"/>
      <c r="Q233" s="20" t="inlineStr">
        <is>
          <t>Ngày dữ liệu</t>
        </is>
      </c>
      <c r="R233" s="395" t="n"/>
      <c r="S233" s="395" t="n"/>
      <c r="T233" s="393" t="inlineStr">
        <is>
          <t>-- Chiều thời gian theo ngày
SELECT TRUNC(min_ngay) + LEVEL - 1 AS ngay
FROM (SELECT MIN(NGAY_SO_LIEU) AS min_ngay FROM SCMS.BC_THANH_VIEN)
CONNECT BY TRUNC(min_ngay) + LEVEL - 1 &lt;= TRUNC(SYSDATE)
ORDER BY ngay;</t>
        </is>
      </c>
      <c r="U233" s="386" t="n"/>
      <c r="V233" s="395" t="n"/>
      <c r="W233" s="395" t="n"/>
      <c r="X233" s="395" t="n"/>
      <c r="Y233" s="13" t="inlineStr">
        <is>
          <t>Done</t>
        </is>
      </c>
      <c r="Z233" s="395" t="n"/>
      <c r="AA233" s="395" t="n"/>
      <c r="AB233" s="395" t="n"/>
      <c r="AC233" s="395" t="n"/>
      <c r="AD233" s="395" t="n"/>
      <c r="AE233" s="395" t="n"/>
    </row>
    <row r="234" ht="98" customHeight="1" s="380">
      <c r="A234" s="98" t="n">
        <v>41</v>
      </c>
      <c r="B234" s="386" t="n"/>
      <c r="C234" s="386" t="inlineStr">
        <is>
          <t>Dashboard Tra cứu cá nhân ban quản trị, điều hành, cổ đông &gt;&gt; Dashboard Lịch sử vi phạm của cá nhân ban quản trị, điều hành, cổ đông tại CTCK</t>
        </is>
      </c>
      <c r="D234" s="12" t="inlineStr">
        <is>
          <t>Ngày quyết định</t>
        </is>
      </c>
      <c r="E234" s="12" t="inlineStr">
        <is>
          <t>Ngày quyết định</t>
        </is>
      </c>
      <c r="F234" s="386" t="inlineStr">
        <is>
          <t>Dashboard</t>
        </is>
      </c>
      <c r="G234" s="386" t="inlineStr">
        <is>
          <t>Chỉ tiêu cơ sở</t>
        </is>
      </c>
      <c r="H234" s="386" t="inlineStr">
        <is>
          <t>Dễ</t>
        </is>
      </c>
      <c r="I234" s="386" t="inlineStr">
        <is>
          <t>Ngày, CTCK</t>
        </is>
      </c>
      <c r="J234" s="386" t="inlineStr">
        <is>
          <t>Thanh tra</t>
        </is>
      </c>
      <c r="K234" s="395" t="inlineStr">
        <is>
          <t>X</t>
        </is>
      </c>
      <c r="L234" s="395" t="inlineStr">
        <is>
          <t>X</t>
        </is>
      </c>
      <c r="M234" s="395" t="inlineStr">
        <is>
          <t>X</t>
        </is>
      </c>
      <c r="N234" s="395" t="inlineStr">
        <is>
          <t>Done</t>
        </is>
      </c>
      <c r="O234" s="401" t="n"/>
      <c r="P234" s="395" t="n"/>
      <c r="Q234" s="395" t="inlineStr">
        <is>
          <t>PENALTY_DECISION</t>
        </is>
      </c>
      <c r="R234" s="395" t="inlineStr">
        <is>
          <t>ISSUED_DATE</t>
        </is>
      </c>
      <c r="S234" s="395" t="n"/>
      <c r="T234" s="425" t="inlineStr">
        <is>
          <t>SELECT b.ISSUED_DATE "Ngày quyết định",
b.DECISION_NUMBER "Số hiệu",
c.DESCRIPTION "Nội dung vi phạm",
d.NAME "Hình thức xử phạt",
e.STATUS "Trạng thái"
FROM INSPECT.PENALTY_DECISION_SUBJECT a
JOIN INSPECT.PENALTY_DECISION b ON a.PENALTY_DECISION_ID = b.ID 
JOIN INSPECT.PENALTY_DECISION_SUBJECT_BEHAVIOR c ON a.ID = c.PENALTY_DECISION_SUBJECT_ID 
JOIN INSPECT.PENALTY_TYPE d ON c.PENALTY_TYPE_ID = d.ID 
LEFT JOIN INSPECT.VIOLATION_CASE e ON b.VIOLATION_CASE_ID = e.ID 
WHERE a.SUBJECT_TYPE = 'INDIVIDUAL'
AND d.CATEGORY = 'PRIMARY_PENALTY'</t>
        </is>
      </c>
      <c r="U234" s="386" t="n"/>
      <c r="V234" s="395" t="n"/>
      <c r="W234" s="395" t="n"/>
      <c r="X234" s="395" t="n"/>
      <c r="Y234" s="13" t="inlineStr">
        <is>
          <t>Done</t>
        </is>
      </c>
      <c r="Z234" s="395" t="n"/>
      <c r="AA234" s="395" t="n"/>
      <c r="AB234" s="395" t="n"/>
      <c r="AC234" s="395" t="n"/>
      <c r="AD234" s="395" t="n"/>
      <c r="AE234" s="395" t="n"/>
    </row>
    <row r="235" ht="98" customHeight="1" s="380">
      <c r="A235" s="98" t="n">
        <v>41</v>
      </c>
      <c r="B235" s="386" t="n"/>
      <c r="C235" s="386" t="inlineStr">
        <is>
          <t>Dashboard Tra cứu cá nhân ban quản trị, điều hành, cổ đông &gt;&gt; Dashboard Lịch sử vi phạm của cá nhân ban quản trị, điều hành, cổ đông tại CTCK</t>
        </is>
      </c>
      <c r="D235" s="12" t="inlineStr">
        <is>
          <t>Số hiệu</t>
        </is>
      </c>
      <c r="E235" s="12" t="inlineStr">
        <is>
          <t>Số hiệu</t>
        </is>
      </c>
      <c r="F235" s="386" t="inlineStr">
        <is>
          <t>Dashboard</t>
        </is>
      </c>
      <c r="G235" s="386" t="inlineStr">
        <is>
          <t>Chỉ tiêu cơ sở</t>
        </is>
      </c>
      <c r="H235" s="386" t="inlineStr">
        <is>
          <t>Dễ</t>
        </is>
      </c>
      <c r="I235" s="386" t="inlineStr">
        <is>
          <t>Ngày, CTCK</t>
        </is>
      </c>
      <c r="J235" s="386" t="inlineStr">
        <is>
          <t>Thanh tra</t>
        </is>
      </c>
      <c r="K235" s="395" t="inlineStr">
        <is>
          <t>X</t>
        </is>
      </c>
      <c r="L235" s="395" t="inlineStr">
        <is>
          <t>X</t>
        </is>
      </c>
      <c r="M235" s="395" t="inlineStr">
        <is>
          <t>X</t>
        </is>
      </c>
      <c r="N235" s="395" t="inlineStr">
        <is>
          <t>Done</t>
        </is>
      </c>
      <c r="O235" s="401" t="n"/>
      <c r="P235" s="395" t="n"/>
      <c r="Q235" s="395" t="inlineStr">
        <is>
          <t>PENALTY_DECISION</t>
        </is>
      </c>
      <c r="R235" s="395" t="inlineStr">
        <is>
          <t>DECISION_NUMBER</t>
        </is>
      </c>
      <c r="S235" s="395" t="n"/>
      <c r="U235" s="386" t="n"/>
      <c r="V235" s="395" t="n"/>
      <c r="W235" s="395" t="n"/>
      <c r="X235" s="395" t="n"/>
      <c r="Y235" s="13" t="inlineStr">
        <is>
          <t>Done</t>
        </is>
      </c>
      <c r="Z235" s="395" t="n"/>
      <c r="AA235" s="395" t="n"/>
      <c r="AB235" s="395" t="n"/>
      <c r="AC235" s="395" t="n"/>
      <c r="AD235" s="395" t="n"/>
      <c r="AE235" s="395" t="n"/>
    </row>
    <row r="236" ht="98" customHeight="1" s="380">
      <c r="A236" s="98" t="n">
        <v>41</v>
      </c>
      <c r="B236" s="386" t="n"/>
      <c r="C236" s="386" t="inlineStr">
        <is>
          <t>Dashboard Tra cứu cá nhân ban quản trị, điều hành, cổ đông &gt;&gt; Dashboard Lịch sử vi phạm của cá nhân ban quản trị, điều hành, cổ đông tại CTCK</t>
        </is>
      </c>
      <c r="D236" s="12" t="inlineStr">
        <is>
          <t>Nội dung vi phạm</t>
        </is>
      </c>
      <c r="E236" s="12" t="inlineStr">
        <is>
          <t>Nội dung vi phạm</t>
        </is>
      </c>
      <c r="F236" s="386" t="inlineStr">
        <is>
          <t>Dashboard</t>
        </is>
      </c>
      <c r="G236" s="386" t="inlineStr">
        <is>
          <t>Chỉ tiêu cơ sở</t>
        </is>
      </c>
      <c r="H236" s="386" t="inlineStr">
        <is>
          <t>Dễ</t>
        </is>
      </c>
      <c r="I236" s="386" t="inlineStr">
        <is>
          <t>Ngày, CTCK</t>
        </is>
      </c>
      <c r="J236" s="386" t="inlineStr">
        <is>
          <t>Thanh tra</t>
        </is>
      </c>
      <c r="K236" s="395" t="inlineStr">
        <is>
          <t>X</t>
        </is>
      </c>
      <c r="L236" s="395" t="inlineStr">
        <is>
          <t>X</t>
        </is>
      </c>
      <c r="M236" s="395" t="inlineStr">
        <is>
          <t>X</t>
        </is>
      </c>
      <c r="N236" s="395" t="inlineStr">
        <is>
          <t>Done</t>
        </is>
      </c>
      <c r="O236" s="401" t="n"/>
      <c r="P236" s="395" t="n"/>
      <c r="Q236" s="395" t="inlineStr">
        <is>
          <t>PENALTY_DECISION_SUBJECT_BEHAVIOR</t>
        </is>
      </c>
      <c r="R236" s="395" t="inlineStr">
        <is>
          <t>DESCRIPTION</t>
        </is>
      </c>
      <c r="S236" s="395" t="n"/>
      <c r="U236" s="386" t="n"/>
      <c r="V236" s="395" t="n"/>
      <c r="W236" s="395" t="n"/>
      <c r="X236" s="395" t="n"/>
      <c r="Y236" s="13" t="inlineStr">
        <is>
          <t>Done</t>
        </is>
      </c>
      <c r="Z236" s="395" t="n"/>
      <c r="AA236" s="395" t="n"/>
      <c r="AB236" s="395" t="n"/>
      <c r="AC236" s="395" t="n"/>
      <c r="AD236" s="395" t="n"/>
      <c r="AE236" s="395" t="n"/>
    </row>
    <row r="237" ht="98" customHeight="1" s="380">
      <c r="A237" s="98" t="n">
        <v>41</v>
      </c>
      <c r="B237" s="386" t="n"/>
      <c r="C237" s="386" t="inlineStr">
        <is>
          <t>Dashboard Tra cứu cá nhân ban quản trị, điều hành, cổ đông &gt;&gt; Dashboard Lịch sử vi phạm của cá nhân ban quản trị, điều hành, cổ đông tại CTCK</t>
        </is>
      </c>
      <c r="D237" s="12" t="inlineStr">
        <is>
          <t xml:space="preserve">Hình thức xử phạt </t>
        </is>
      </c>
      <c r="E237" s="12" t="inlineStr">
        <is>
          <t xml:space="preserve">Hình thức xử phạt </t>
        </is>
      </c>
      <c r="F237" s="386" t="inlineStr">
        <is>
          <t>Dashboard</t>
        </is>
      </c>
      <c r="G237" s="386" t="inlineStr">
        <is>
          <t>Chỉ tiêu cơ sở</t>
        </is>
      </c>
      <c r="H237" s="386" t="inlineStr">
        <is>
          <t>Dễ</t>
        </is>
      </c>
      <c r="I237" s="386" t="inlineStr">
        <is>
          <t>Ngày, CTCK</t>
        </is>
      </c>
      <c r="J237" s="386" t="inlineStr">
        <is>
          <t>Thanh tra</t>
        </is>
      </c>
      <c r="K237" s="395" t="inlineStr">
        <is>
          <t>X</t>
        </is>
      </c>
      <c r="L237" s="395" t="inlineStr">
        <is>
          <t>X</t>
        </is>
      </c>
      <c r="M237" s="395" t="inlineStr">
        <is>
          <t>X</t>
        </is>
      </c>
      <c r="N237" s="395" t="inlineStr">
        <is>
          <t>Done</t>
        </is>
      </c>
      <c r="O237" s="401" t="n"/>
      <c r="P237" s="395" t="n"/>
      <c r="Q237" s="395" t="inlineStr">
        <is>
          <t>PENALTY_TYPE</t>
        </is>
      </c>
      <c r="R237" s="395" t="inlineStr">
        <is>
          <t>NAME</t>
        </is>
      </c>
      <c r="S237" s="395" t="n"/>
      <c r="U237" s="386" t="n"/>
      <c r="V237" s="395" t="n"/>
      <c r="W237" s="395" t="n"/>
      <c r="X237" s="395" t="n"/>
      <c r="Y237" s="13" t="inlineStr">
        <is>
          <t>Done</t>
        </is>
      </c>
      <c r="Z237" s="395" t="n"/>
      <c r="AA237" s="395" t="n"/>
      <c r="AB237" s="395" t="n"/>
      <c r="AC237" s="395" t="n"/>
      <c r="AD237" s="395" t="n"/>
      <c r="AE237" s="395" t="n"/>
    </row>
    <row r="238" ht="98" customHeight="1" s="380">
      <c r="A238" s="99" t="n">
        <v>41</v>
      </c>
      <c r="B238" s="68" t="n"/>
      <c r="C238" s="68" t="inlineStr">
        <is>
          <t>Dashboard Tra cứu cá nhân ban quản trị, điều hành, cổ đông &gt;&gt; Dashboard Lịch sử vi phạm của cá nhân ban quản trị, điều hành, cổ đông tại CTCK</t>
        </is>
      </c>
      <c r="D238" s="84" t="inlineStr">
        <is>
          <t>Trạng thái</t>
        </is>
      </c>
      <c r="E238" s="84" t="inlineStr">
        <is>
          <t>Trạng thái</t>
        </is>
      </c>
      <c r="F238" s="68" t="inlineStr">
        <is>
          <t>Dashboard</t>
        </is>
      </c>
      <c r="G238" s="68" t="inlineStr">
        <is>
          <t>Chỉ tiêu cơ sở</t>
        </is>
      </c>
      <c r="H238" s="68" t="inlineStr">
        <is>
          <t>Dễ</t>
        </is>
      </c>
      <c r="I238" s="68" t="inlineStr">
        <is>
          <t>Ngày, CTCK</t>
        </is>
      </c>
      <c r="J238" s="68" t="inlineStr">
        <is>
          <t>Thanh tra</t>
        </is>
      </c>
      <c r="K238" s="69" t="inlineStr">
        <is>
          <t>X</t>
        </is>
      </c>
      <c r="L238" s="69" t="inlineStr">
        <is>
          <t>X</t>
        </is>
      </c>
      <c r="M238" s="69" t="inlineStr">
        <is>
          <t>X</t>
        </is>
      </c>
      <c r="N238" s="69" t="inlineStr">
        <is>
          <t>Done</t>
        </is>
      </c>
      <c r="O238" s="85" t="n"/>
      <c r="P238" s="69" t="n"/>
      <c r="Q238" s="69" t="inlineStr">
        <is>
          <t>VIOLATION_CASE</t>
        </is>
      </c>
      <c r="R238" s="69" t="inlineStr">
        <is>
          <t>STATUS</t>
        </is>
      </c>
      <c r="S238" s="69" t="n"/>
      <c r="T238" s="426" t="n"/>
      <c r="U238" s="68" t="n"/>
      <c r="V238" s="69" t="n"/>
      <c r="W238" s="69" t="n"/>
      <c r="X238" s="69" t="n"/>
      <c r="Y238" s="97" t="inlineStr">
        <is>
          <t>Done</t>
        </is>
      </c>
      <c r="Z238" s="69" t="n"/>
      <c r="AA238" s="69" t="n"/>
      <c r="AB238" s="69" t="n"/>
      <c r="AC238" s="69" t="n"/>
      <c r="AD238" s="69" t="n"/>
      <c r="AE238" s="69" t="n"/>
    </row>
    <row r="239" ht="42" customHeight="1" s="380">
      <c r="A239" s="73" t="n">
        <v>42</v>
      </c>
      <c r="B239" s="100" t="inlineStr">
        <is>
          <t>Nga</t>
        </is>
      </c>
      <c r="C239" s="74" t="inlineStr">
        <is>
          <t>Chào bán phát hành &gt;&gt; Tổng hợp số liệu chào bán, phát hành cổ phiếu</t>
        </is>
      </c>
      <c r="D239" s="101" t="inlineStr">
        <is>
          <t>Loại báo cáo</t>
        </is>
      </c>
      <c r="E239" s="102" t="inlineStr">
        <is>
          <t>Loại báo cáo</t>
        </is>
      </c>
      <c r="F239" s="400" t="inlineStr">
        <is>
          <t>Data Explorer</t>
        </is>
      </c>
      <c r="G239" s="403" t="inlineStr">
        <is>
          <t>Chiều</t>
        </is>
      </c>
      <c r="H239" s="400" t="inlineStr">
        <is>
          <t>Dễ</t>
        </is>
      </c>
      <c r="I239" s="400" t="inlineStr">
        <is>
          <t>Ngày, CTCK</t>
        </is>
      </c>
      <c r="J239" s="405" t="inlineStr">
        <is>
          <t>SCMS</t>
        </is>
      </c>
      <c r="K239" s="405" t="inlineStr">
        <is>
          <t>X</t>
        </is>
      </c>
      <c r="L239" s="405" t="inlineStr">
        <is>
          <t>X</t>
        </is>
      </c>
      <c r="M239" s="104" t="n"/>
      <c r="N239" s="405" t="inlineStr">
        <is>
          <t>Pending</t>
        </is>
      </c>
      <c r="O239" s="404" t="n"/>
      <c r="P239" s="405" t="n"/>
      <c r="Q239" s="105" t="inlineStr">
        <is>
          <t>DB cũ không thấy biểu mẫu báo cáo này</t>
        </is>
      </c>
      <c r="R239" s="405" t="n"/>
      <c r="S239" s="405" t="n"/>
      <c r="T239" s="400" t="n"/>
      <c r="U239" s="400" t="n"/>
      <c r="V239" s="405" t="n"/>
      <c r="W239" s="405" t="n"/>
      <c r="X239" s="405" t="n"/>
      <c r="Y239" s="38" t="n"/>
      <c r="Z239" s="405" t="n"/>
      <c r="AA239" s="405" t="n"/>
      <c r="AB239" s="405" t="n"/>
      <c r="AC239" s="405" t="n"/>
      <c r="AD239" s="405" t="n"/>
      <c r="AE239" s="405" t="n"/>
    </row>
    <row r="240" ht="42" customHeight="1" s="380">
      <c r="A240" s="73" t="n">
        <v>42</v>
      </c>
      <c r="B240" s="386" t="n"/>
      <c r="C240" s="386" t="inlineStr">
        <is>
          <t>Chào bán phát hành &gt;&gt; Tổng hợp số liệu chào bán, phát hành cổ phiếu</t>
        </is>
      </c>
      <c r="D240" s="19" t="inlineStr">
        <is>
          <t>Kỳ báo cáo</t>
        </is>
      </c>
      <c r="E240" s="28" t="inlineStr">
        <is>
          <t>Kỳ báo cáo</t>
        </is>
      </c>
      <c r="F240" s="386" t="inlineStr">
        <is>
          <t>Data Explorer</t>
        </is>
      </c>
      <c r="G240" s="390" t="inlineStr">
        <is>
          <t>Chiều</t>
        </is>
      </c>
      <c r="H240" s="386" t="inlineStr">
        <is>
          <t>Dễ</t>
        </is>
      </c>
      <c r="I240" s="386" t="inlineStr">
        <is>
          <t>Ngày, CTCK</t>
        </is>
      </c>
      <c r="J240" s="395" t="inlineStr">
        <is>
          <t>SCMS</t>
        </is>
      </c>
      <c r="K240" s="395" t="inlineStr">
        <is>
          <t>X</t>
        </is>
      </c>
      <c r="L240" s="395" t="inlineStr">
        <is>
          <t>X</t>
        </is>
      </c>
      <c r="M240" s="393" t="n"/>
      <c r="N240" s="395" t="inlineStr">
        <is>
          <t>Pending</t>
        </is>
      </c>
      <c r="O240" s="401" t="n"/>
      <c r="P240" s="395" t="n"/>
      <c r="Q240" s="395" t="n"/>
      <c r="R240" s="395" t="n"/>
      <c r="S240" s="395" t="n"/>
      <c r="T240" s="386" t="n"/>
      <c r="U240" s="386" t="n"/>
      <c r="V240" s="395" t="n"/>
      <c r="W240" s="395" t="n"/>
      <c r="X240" s="395" t="n"/>
      <c r="Y240" s="13" t="n"/>
      <c r="Z240" s="395" t="n"/>
      <c r="AA240" s="395" t="n"/>
      <c r="AB240" s="395" t="n"/>
      <c r="AC240" s="395" t="n"/>
      <c r="AD240" s="395" t="n"/>
      <c r="AE240" s="395" t="n"/>
    </row>
    <row r="241" ht="42" customHeight="1" s="380">
      <c r="A241" s="73" t="n">
        <v>42</v>
      </c>
      <c r="B241" s="386" t="n"/>
      <c r="C241" s="386" t="inlineStr">
        <is>
          <t>Chào bán phát hành &gt;&gt; Tổng hợp số liệu chào bán, phát hành cổ phiếu</t>
        </is>
      </c>
      <c r="D241" s="19" t="inlineStr">
        <is>
          <t>Mã báo cáo</t>
        </is>
      </c>
      <c r="E241" s="28" t="inlineStr">
        <is>
          <t>Mã báo cáo</t>
        </is>
      </c>
      <c r="F241" s="386" t="inlineStr">
        <is>
          <t>Data Explorer</t>
        </is>
      </c>
      <c r="G241" s="390" t="inlineStr">
        <is>
          <t>Chiều</t>
        </is>
      </c>
      <c r="H241" s="386" t="inlineStr">
        <is>
          <t>Dễ</t>
        </is>
      </c>
      <c r="I241" s="386" t="inlineStr">
        <is>
          <t>Ngày, CTCK</t>
        </is>
      </c>
      <c r="J241" s="395" t="inlineStr">
        <is>
          <t>SCMS</t>
        </is>
      </c>
      <c r="K241" s="395" t="inlineStr">
        <is>
          <t>X</t>
        </is>
      </c>
      <c r="L241" s="395" t="inlineStr">
        <is>
          <t>X</t>
        </is>
      </c>
      <c r="M241" s="393" t="n"/>
      <c r="N241" s="395" t="inlineStr">
        <is>
          <t>Pending</t>
        </is>
      </c>
      <c r="O241" s="401" t="n"/>
      <c r="P241" s="395" t="n"/>
      <c r="Q241" s="395" t="n"/>
      <c r="R241" s="395" t="n"/>
      <c r="S241" s="395" t="n"/>
      <c r="T241" s="386" t="n"/>
      <c r="U241" s="386" t="n"/>
      <c r="V241" s="395" t="n"/>
      <c r="W241" s="395" t="n"/>
      <c r="X241" s="395" t="n"/>
      <c r="Y241" s="13" t="n"/>
      <c r="Z241" s="395" t="n"/>
      <c r="AA241" s="395" t="n"/>
      <c r="AB241" s="395" t="n"/>
      <c r="AC241" s="395" t="n"/>
      <c r="AD241" s="395" t="n"/>
      <c r="AE241" s="395" t="n"/>
    </row>
    <row r="242" ht="42" customHeight="1" s="380">
      <c r="A242" s="73" t="n">
        <v>42</v>
      </c>
      <c r="B242" s="386" t="n"/>
      <c r="C242" s="386" t="inlineStr">
        <is>
          <t>Chào bán phát hành &gt;&gt; Tổng hợp số liệu chào bán, phát hành cổ phiếu</t>
        </is>
      </c>
      <c r="D242" s="19" t="inlineStr">
        <is>
          <t>Tên báo cáo</t>
        </is>
      </c>
      <c r="E242" s="28" t="inlineStr">
        <is>
          <t>Tên báo cáo</t>
        </is>
      </c>
      <c r="F242" s="386" t="inlineStr">
        <is>
          <t>Data Explorer</t>
        </is>
      </c>
      <c r="G242" s="390" t="inlineStr">
        <is>
          <t>Chiều</t>
        </is>
      </c>
      <c r="H242" s="386" t="inlineStr">
        <is>
          <t>Dễ</t>
        </is>
      </c>
      <c r="I242" s="386" t="inlineStr">
        <is>
          <t>Ngày, CTCK</t>
        </is>
      </c>
      <c r="J242" s="395" t="inlineStr">
        <is>
          <t>SCMS</t>
        </is>
      </c>
      <c r="K242" s="395" t="inlineStr">
        <is>
          <t>X</t>
        </is>
      </c>
      <c r="L242" s="395" t="inlineStr">
        <is>
          <t>X</t>
        </is>
      </c>
      <c r="M242" s="393" t="n"/>
      <c r="N242" s="395" t="inlineStr">
        <is>
          <t>Pending</t>
        </is>
      </c>
      <c r="O242" s="401" t="n"/>
      <c r="P242" s="395" t="n"/>
      <c r="Q242" s="395" t="n"/>
      <c r="R242" s="395" t="n"/>
      <c r="S242" s="395" t="n"/>
      <c r="T242" s="386" t="n"/>
      <c r="U242" s="386" t="n"/>
      <c r="V242" s="395" t="n"/>
      <c r="W242" s="395" t="n"/>
      <c r="X242" s="395" t="n"/>
      <c r="Y242" s="13" t="n"/>
      <c r="Z242" s="395" t="n"/>
      <c r="AA242" s="395" t="n"/>
      <c r="AB242" s="395" t="n"/>
      <c r="AC242" s="395" t="n"/>
      <c r="AD242" s="395" t="n"/>
      <c r="AE242" s="395" t="n"/>
    </row>
    <row r="243" ht="42" customHeight="1" s="380">
      <c r="A243" s="73" t="n">
        <v>42</v>
      </c>
      <c r="B243" s="386" t="n"/>
      <c r="C243" s="386" t="inlineStr">
        <is>
          <t>Chào bán phát hành &gt;&gt; Tổng hợp số liệu chào bán, phát hành cổ phiếu</t>
        </is>
      </c>
      <c r="D243" s="106" t="inlineStr">
        <is>
          <t>Mã sheet</t>
        </is>
      </c>
      <c r="E243" s="106" t="inlineStr">
        <is>
          <t>Mã sheet</t>
        </is>
      </c>
      <c r="F243" s="386" t="inlineStr">
        <is>
          <t>Data Explorer</t>
        </is>
      </c>
      <c r="G243" s="390" t="inlineStr">
        <is>
          <t>Chiều</t>
        </is>
      </c>
      <c r="H243" s="386" t="inlineStr">
        <is>
          <t>Dễ</t>
        </is>
      </c>
      <c r="I243" s="386" t="inlineStr">
        <is>
          <t>Ngày, CTCK</t>
        </is>
      </c>
      <c r="J243" s="395" t="inlineStr">
        <is>
          <t>SCMS</t>
        </is>
      </c>
      <c r="K243" s="395" t="inlineStr">
        <is>
          <t>X</t>
        </is>
      </c>
      <c r="L243" s="395" t="inlineStr">
        <is>
          <t>X</t>
        </is>
      </c>
      <c r="M243" s="393" t="n"/>
      <c r="N243" s="395" t="inlineStr">
        <is>
          <t>Pending</t>
        </is>
      </c>
      <c r="O243" s="401" t="n"/>
      <c r="P243" s="395" t="n"/>
      <c r="Q243" s="395" t="n"/>
      <c r="R243" s="395" t="n"/>
      <c r="S243" s="395" t="n"/>
      <c r="T243" s="386" t="n"/>
      <c r="U243" s="386" t="n"/>
      <c r="V243" s="395" t="n"/>
      <c r="W243" s="395" t="n"/>
      <c r="X243" s="395" t="n"/>
      <c r="Y243" s="13" t="n"/>
      <c r="Z243" s="395" t="n"/>
      <c r="AA243" s="395" t="n"/>
      <c r="AB243" s="395" t="n"/>
      <c r="AC243" s="395" t="n"/>
      <c r="AD243" s="395" t="n"/>
      <c r="AE243" s="395" t="n"/>
    </row>
    <row r="244" ht="42" customHeight="1" s="380">
      <c r="A244" s="73" t="n">
        <v>42</v>
      </c>
      <c r="B244" s="386" t="n"/>
      <c r="C244" s="386" t="inlineStr">
        <is>
          <t>Chào bán phát hành &gt;&gt; Tổng hợp số liệu chào bán, phát hành cổ phiếu</t>
        </is>
      </c>
      <c r="D244" s="106" t="inlineStr">
        <is>
          <t>Tên sheet</t>
        </is>
      </c>
      <c r="E244" s="106" t="inlineStr">
        <is>
          <t>Tên sheet</t>
        </is>
      </c>
      <c r="F244" s="386" t="inlineStr">
        <is>
          <t>Data Explorer</t>
        </is>
      </c>
      <c r="G244" s="390" t="inlineStr">
        <is>
          <t>Chiều</t>
        </is>
      </c>
      <c r="H244" s="386" t="inlineStr">
        <is>
          <t>Dễ</t>
        </is>
      </c>
      <c r="I244" s="386" t="inlineStr">
        <is>
          <t>Ngày, CTCK</t>
        </is>
      </c>
      <c r="J244" s="395" t="inlineStr">
        <is>
          <t>SCMS</t>
        </is>
      </c>
      <c r="K244" s="395" t="inlineStr">
        <is>
          <t>X</t>
        </is>
      </c>
      <c r="L244" s="395" t="inlineStr">
        <is>
          <t>X</t>
        </is>
      </c>
      <c r="M244" s="393" t="n"/>
      <c r="N244" s="395" t="inlineStr">
        <is>
          <t>Pending</t>
        </is>
      </c>
      <c r="O244" s="401" t="n"/>
      <c r="P244" s="395" t="n"/>
      <c r="Q244" s="395" t="n"/>
      <c r="R244" s="395" t="n"/>
      <c r="S244" s="395" t="n"/>
      <c r="T244" s="386" t="n"/>
      <c r="U244" s="386" t="n"/>
      <c r="V244" s="395" t="n"/>
      <c r="W244" s="395" t="n"/>
      <c r="X244" s="395" t="n"/>
      <c r="Y244" s="13" t="n"/>
      <c r="Z244" s="395" t="n"/>
      <c r="AA244" s="395" t="n"/>
      <c r="AB244" s="395" t="n"/>
      <c r="AC244" s="395" t="n"/>
      <c r="AD244" s="395" t="n"/>
      <c r="AE244" s="395" t="n"/>
    </row>
    <row r="245" ht="42" customHeight="1" s="380">
      <c r="A245" s="73" t="n">
        <v>42</v>
      </c>
      <c r="B245" s="386" t="n"/>
      <c r="C245" s="386" t="inlineStr">
        <is>
          <t>Chào bán phát hành &gt;&gt; Tổng hợp số liệu chào bán, phát hành cổ phiếu</t>
        </is>
      </c>
      <c r="D245" s="19" t="inlineStr">
        <is>
          <t>Mã chỉ tiêu</t>
        </is>
      </c>
      <c r="E245" s="28" t="inlineStr">
        <is>
          <t>Mã chỉ tiêu</t>
        </is>
      </c>
      <c r="F245" s="386" t="inlineStr">
        <is>
          <t>Data Explorer</t>
        </is>
      </c>
      <c r="G245" s="390" t="inlineStr">
        <is>
          <t>Chiều</t>
        </is>
      </c>
      <c r="H245" s="386" t="inlineStr">
        <is>
          <t>Dễ</t>
        </is>
      </c>
      <c r="I245" s="386" t="inlineStr">
        <is>
          <t>Ngày, CTCK</t>
        </is>
      </c>
      <c r="J245" s="395" t="inlineStr">
        <is>
          <t>SCMS</t>
        </is>
      </c>
      <c r="K245" s="395" t="inlineStr">
        <is>
          <t>X</t>
        </is>
      </c>
      <c r="L245" s="395" t="inlineStr">
        <is>
          <t>X</t>
        </is>
      </c>
      <c r="M245" s="393" t="n"/>
      <c r="N245" s="395" t="inlineStr">
        <is>
          <t>Pending</t>
        </is>
      </c>
      <c r="O245" s="401" t="n"/>
      <c r="P245" s="395" t="n"/>
      <c r="Q245" s="395" t="n"/>
      <c r="R245" s="395" t="n"/>
      <c r="S245" s="395" t="n"/>
      <c r="T245" s="386" t="n"/>
      <c r="U245" s="386" t="n"/>
      <c r="V245" s="395" t="n"/>
      <c r="W245" s="395" t="n"/>
      <c r="X245" s="395" t="n"/>
      <c r="Y245" s="38" t="n"/>
      <c r="Z245" s="395" t="n"/>
      <c r="AA245" s="395" t="n"/>
      <c r="AB245" s="395" t="n"/>
      <c r="AC245" s="395" t="n"/>
      <c r="AD245" s="395" t="n"/>
      <c r="AE245" s="395" t="n"/>
    </row>
    <row r="246" ht="42" customHeight="1" s="380">
      <c r="A246" s="73" t="n">
        <v>42</v>
      </c>
      <c r="B246" s="386" t="n"/>
      <c r="C246" s="386" t="inlineStr">
        <is>
          <t>Chào bán phát hành &gt;&gt; Tổng hợp số liệu chào bán, phát hành cổ phiếu</t>
        </is>
      </c>
      <c r="D246" s="19" t="inlineStr">
        <is>
          <t>Tên chỉ tiêu</t>
        </is>
      </c>
      <c r="E246" s="28" t="inlineStr">
        <is>
          <t>Tên chỉ tiêu</t>
        </is>
      </c>
      <c r="F246" s="386" t="inlineStr">
        <is>
          <t>Data Explorer</t>
        </is>
      </c>
      <c r="G246" s="390" t="inlineStr">
        <is>
          <t>Chiều</t>
        </is>
      </c>
      <c r="H246" s="386" t="inlineStr">
        <is>
          <t>Dễ</t>
        </is>
      </c>
      <c r="I246" s="386" t="inlineStr">
        <is>
          <t>Ngày, CTCK</t>
        </is>
      </c>
      <c r="J246" s="395" t="inlineStr">
        <is>
          <t>SCMS</t>
        </is>
      </c>
      <c r="K246" s="395" t="inlineStr">
        <is>
          <t>X</t>
        </is>
      </c>
      <c r="L246" s="395" t="inlineStr">
        <is>
          <t>X</t>
        </is>
      </c>
      <c r="M246" s="393" t="n"/>
      <c r="N246" s="395" t="inlineStr">
        <is>
          <t>Pending</t>
        </is>
      </c>
      <c r="O246" s="401" t="n"/>
      <c r="P246" s="395" t="n"/>
      <c r="Q246" s="395" t="n"/>
      <c r="R246" s="395" t="n"/>
      <c r="S246" s="395" t="n"/>
      <c r="T246" s="386" t="n"/>
      <c r="U246" s="386" t="n"/>
      <c r="V246" s="395" t="n"/>
      <c r="W246" s="395" t="n"/>
      <c r="X246" s="395" t="n"/>
      <c r="Y246" s="13" t="n"/>
      <c r="Z246" s="395" t="n"/>
      <c r="AA246" s="395" t="n"/>
      <c r="AB246" s="395" t="n"/>
      <c r="AC246" s="395" t="n"/>
      <c r="AD246" s="395" t="n"/>
      <c r="AE246" s="395" t="n"/>
    </row>
    <row r="247" ht="42" customHeight="1" s="380">
      <c r="A247" s="73" t="n">
        <v>42</v>
      </c>
      <c r="B247" s="386" t="n"/>
      <c r="C247" s="386" t="inlineStr">
        <is>
          <t>Chào bán phát hành &gt;&gt; Tổng hợp số liệu chào bán, phát hành cổ phiếu</t>
        </is>
      </c>
      <c r="D247" s="386" t="inlineStr">
        <is>
          <t>Thời điểm báo cáo (tháng)</t>
        </is>
      </c>
      <c r="E247" s="395" t="inlineStr">
        <is>
          <t>Thời điểm báo cáo (tháng)</t>
        </is>
      </c>
      <c r="F247" s="386" t="inlineStr">
        <is>
          <t>Data Explorer</t>
        </is>
      </c>
      <c r="G247" s="386" t="inlineStr">
        <is>
          <t>Chỉ tiêu cơ sở</t>
        </is>
      </c>
      <c r="H247" s="386" t="inlineStr">
        <is>
          <t>Dễ</t>
        </is>
      </c>
      <c r="I247" s="386" t="inlineStr">
        <is>
          <t>Ngày, CTCK</t>
        </is>
      </c>
      <c r="J247" s="395" t="inlineStr">
        <is>
          <t>SCMS</t>
        </is>
      </c>
      <c r="K247" s="395" t="n"/>
      <c r="L247" s="395" t="inlineStr">
        <is>
          <t>X</t>
        </is>
      </c>
      <c r="M247" s="395" t="n"/>
      <c r="N247" s="395" t="inlineStr">
        <is>
          <t>Pending</t>
        </is>
      </c>
      <c r="O247" s="401" t="n"/>
      <c r="P247" s="395" t="n"/>
      <c r="Q247" s="395" t="n"/>
      <c r="R247" s="395" t="n"/>
      <c r="S247" s="395" t="n"/>
      <c r="T247" s="386" t="n"/>
      <c r="U247" s="386" t="n"/>
      <c r="V247" s="395" t="n"/>
      <c r="W247" s="395" t="n"/>
      <c r="X247" s="395" t="n"/>
      <c r="Y247" s="13" t="n"/>
      <c r="Z247" s="395" t="n"/>
      <c r="AA247" s="395" t="n"/>
      <c r="AB247" s="395" t="n"/>
      <c r="AC247" s="395" t="n"/>
      <c r="AD247" s="395" t="n"/>
      <c r="AE247" s="395" t="n"/>
    </row>
    <row r="248" ht="42" customHeight="1" s="380">
      <c r="A248" s="73" t="n">
        <v>42</v>
      </c>
      <c r="B248" s="386" t="n"/>
      <c r="C248" s="386" t="inlineStr">
        <is>
          <t>Chào bán phát hành &gt;&gt; Tổng hợp số liệu chào bán, phát hành cổ phiếu</t>
        </is>
      </c>
      <c r="D248" s="386" t="inlineStr">
        <is>
          <t>Tên công ty</t>
        </is>
      </c>
      <c r="E248" s="395" t="inlineStr">
        <is>
          <t>Tên công ty</t>
        </is>
      </c>
      <c r="F248" s="386" t="inlineStr">
        <is>
          <t>Data Explorer</t>
        </is>
      </c>
      <c r="G248" s="386" t="inlineStr">
        <is>
          <t>Chỉ tiêu cơ sở</t>
        </is>
      </c>
      <c r="H248" s="386" t="inlineStr">
        <is>
          <t>Dễ</t>
        </is>
      </c>
      <c r="I248" s="386" t="inlineStr">
        <is>
          <t>Ngày, CTCK</t>
        </is>
      </c>
      <c r="J248" s="395" t="inlineStr">
        <is>
          <t>SCMS</t>
        </is>
      </c>
      <c r="K248" s="395" t="n"/>
      <c r="L248" s="395" t="inlineStr">
        <is>
          <t>X</t>
        </is>
      </c>
      <c r="M248" s="395" t="n"/>
      <c r="N248" s="395" t="inlineStr">
        <is>
          <t>Pending</t>
        </is>
      </c>
      <c r="O248" s="401" t="n"/>
      <c r="P248" s="395" t="n"/>
      <c r="Q248" s="395" t="n"/>
      <c r="R248" s="395" t="n"/>
      <c r="S248" s="395" t="n"/>
      <c r="T248" s="386" t="n"/>
      <c r="U248" s="386" t="n"/>
      <c r="V248" s="395" t="n"/>
      <c r="W248" s="395" t="n"/>
      <c r="X248" s="395" t="n"/>
      <c r="Y248" s="13" t="n"/>
      <c r="Z248" s="395" t="n"/>
      <c r="AA248" s="395" t="n"/>
      <c r="AB248" s="395" t="n"/>
      <c r="AC248" s="395" t="n"/>
      <c r="AD248" s="395" t="n"/>
      <c r="AE248" s="395" t="n"/>
    </row>
    <row r="249" ht="42" customHeight="1" s="380">
      <c r="A249" s="73" t="n">
        <v>42</v>
      </c>
      <c r="B249" s="386" t="n"/>
      <c r="C249" s="386" t="inlineStr">
        <is>
          <t>Chào bán phát hành &gt;&gt; Tổng hợp số liệu chào bán, phát hành cổ phiếu</t>
        </is>
      </c>
      <c r="D249" s="386" t="inlineStr">
        <is>
          <t>Mã chứng khoán</t>
        </is>
      </c>
      <c r="E249" s="395" t="inlineStr">
        <is>
          <t>Mã chứng khoán</t>
        </is>
      </c>
      <c r="F249" s="386" t="inlineStr">
        <is>
          <t>Data Explorer</t>
        </is>
      </c>
      <c r="G249" s="386" t="inlineStr">
        <is>
          <t>Chỉ tiêu cơ sở</t>
        </is>
      </c>
      <c r="H249" s="386" t="inlineStr">
        <is>
          <t>Dễ</t>
        </is>
      </c>
      <c r="I249" s="386" t="inlineStr">
        <is>
          <t>Ngày, CTCK</t>
        </is>
      </c>
      <c r="J249" s="395" t="inlineStr">
        <is>
          <t>SCMS</t>
        </is>
      </c>
      <c r="K249" s="395" t="n"/>
      <c r="L249" s="395" t="inlineStr">
        <is>
          <t>X</t>
        </is>
      </c>
      <c r="M249" s="395" t="n"/>
      <c r="N249" s="395" t="inlineStr">
        <is>
          <t>Pending</t>
        </is>
      </c>
      <c r="O249" s="401" t="n"/>
      <c r="P249" s="395" t="n"/>
      <c r="Q249" s="395" t="n"/>
      <c r="R249" s="395" t="n"/>
      <c r="S249" s="395" t="n"/>
      <c r="T249" s="386" t="n"/>
      <c r="U249" s="386" t="n"/>
      <c r="V249" s="395" t="n"/>
      <c r="W249" s="395" t="n"/>
      <c r="X249" s="395" t="n"/>
      <c r="Y249" s="13" t="n"/>
      <c r="Z249" s="395" t="n"/>
      <c r="AA249" s="395" t="n"/>
      <c r="AB249" s="395" t="n"/>
      <c r="AC249" s="395" t="n"/>
      <c r="AD249" s="395" t="n"/>
      <c r="AE249" s="395" t="n"/>
    </row>
    <row r="250" ht="42" customHeight="1" s="380">
      <c r="A250" s="73" t="n">
        <v>42</v>
      </c>
      <c r="B250" s="386" t="n"/>
      <c r="C250" s="386" t="inlineStr">
        <is>
          <t>Chào bán phát hành &gt;&gt; Tổng hợp số liệu chào bán, phát hành cổ phiếu</t>
        </is>
      </c>
      <c r="D250" s="386" t="inlineStr">
        <is>
          <t>Sàn giao dịch</t>
        </is>
      </c>
      <c r="E250" s="395" t="inlineStr">
        <is>
          <t>Sàn giao dịch</t>
        </is>
      </c>
      <c r="F250" s="386" t="inlineStr">
        <is>
          <t>Data Explorer</t>
        </is>
      </c>
      <c r="G250" s="386" t="inlineStr">
        <is>
          <t>Chỉ tiêu cơ sở</t>
        </is>
      </c>
      <c r="H250" s="386" t="inlineStr">
        <is>
          <t>Dễ</t>
        </is>
      </c>
      <c r="I250" s="386" t="inlineStr">
        <is>
          <t>Ngày, CTCK</t>
        </is>
      </c>
      <c r="J250" s="395" t="inlineStr">
        <is>
          <t>SCMS</t>
        </is>
      </c>
      <c r="K250" s="395" t="n"/>
      <c r="L250" s="395" t="inlineStr">
        <is>
          <t>X</t>
        </is>
      </c>
      <c r="M250" s="395" t="n"/>
      <c r="N250" s="395" t="inlineStr">
        <is>
          <t>Pending</t>
        </is>
      </c>
      <c r="O250" s="401" t="n"/>
      <c r="P250" s="395" t="n"/>
      <c r="Q250" s="395" t="n"/>
      <c r="R250" s="395" t="n"/>
      <c r="S250" s="395" t="n"/>
      <c r="T250" s="386" t="n"/>
      <c r="U250" s="386" t="n"/>
      <c r="V250" s="395" t="n"/>
      <c r="W250" s="395" t="n"/>
      <c r="X250" s="395" t="n"/>
      <c r="Y250" s="13" t="n"/>
      <c r="Z250" s="395" t="n"/>
      <c r="AA250" s="395" t="n"/>
      <c r="AB250" s="395" t="n"/>
      <c r="AC250" s="395" t="n"/>
      <c r="AD250" s="395" t="n"/>
      <c r="AE250" s="395" t="n"/>
    </row>
    <row r="251" ht="42" customHeight="1" s="380">
      <c r="A251" s="73" t="n">
        <v>42</v>
      </c>
      <c r="B251" s="386" t="n"/>
      <c r="C251" s="386" t="inlineStr">
        <is>
          <t>Chào bán phát hành &gt;&gt; Tổng hợp số liệu chào bán, phát hành cổ phiếu</t>
        </is>
      </c>
      <c r="D251" s="386" t="inlineStr">
        <is>
          <t>Loại chứng khoán</t>
        </is>
      </c>
      <c r="E251" s="395" t="inlineStr">
        <is>
          <t>Loại chứng khoán</t>
        </is>
      </c>
      <c r="F251" s="386" t="inlineStr">
        <is>
          <t>Data Explorer</t>
        </is>
      </c>
      <c r="G251" s="386" t="inlineStr">
        <is>
          <t>Chỉ tiêu cơ sở</t>
        </is>
      </c>
      <c r="H251" s="386" t="inlineStr">
        <is>
          <t>Dễ</t>
        </is>
      </c>
      <c r="I251" s="386" t="inlineStr">
        <is>
          <t>Ngày, CTCK</t>
        </is>
      </c>
      <c r="J251" s="395" t="inlineStr">
        <is>
          <t>SCMS</t>
        </is>
      </c>
      <c r="K251" s="395" t="n"/>
      <c r="L251" s="395" t="inlineStr">
        <is>
          <t>X</t>
        </is>
      </c>
      <c r="M251" s="395" t="n"/>
      <c r="N251" s="395" t="inlineStr">
        <is>
          <t>Pending</t>
        </is>
      </c>
      <c r="O251" s="401" t="n"/>
      <c r="P251" s="395" t="n"/>
      <c r="Q251" s="395" t="n"/>
      <c r="R251" s="395" t="n"/>
      <c r="S251" s="395" t="n"/>
      <c r="T251" s="386" t="n"/>
      <c r="U251" s="386" t="n"/>
      <c r="V251" s="395" t="n"/>
      <c r="W251" s="395" t="n"/>
      <c r="X251" s="395" t="n"/>
      <c r="Y251" s="38" t="n"/>
      <c r="Z251" s="395" t="n"/>
      <c r="AA251" s="395" t="n"/>
      <c r="AB251" s="395" t="n"/>
      <c r="AC251" s="395" t="n"/>
      <c r="AD251" s="395" t="n"/>
      <c r="AE251" s="395" t="n"/>
    </row>
    <row r="252" ht="42" customHeight="1" s="380">
      <c r="A252" s="73" t="n">
        <v>42</v>
      </c>
      <c r="B252" s="386" t="n"/>
      <c r="C252" s="386" t="inlineStr">
        <is>
          <t>Chào bán phát hành &gt;&gt; Tổng hợp số liệu chào bán, phát hành cổ phiếu</t>
        </is>
      </c>
      <c r="D252" s="386" t="inlineStr">
        <is>
          <t>Số giấy phép thành lập và hoạt động</t>
        </is>
      </c>
      <c r="E252" s="395" t="inlineStr">
        <is>
          <t>Số giấy phép thành lập và hoạt động</t>
        </is>
      </c>
      <c r="F252" s="386" t="inlineStr">
        <is>
          <t>Data Explorer</t>
        </is>
      </c>
      <c r="G252" s="386" t="inlineStr">
        <is>
          <t>Chỉ tiêu cơ sở</t>
        </is>
      </c>
      <c r="H252" s="386" t="inlineStr">
        <is>
          <t>Dễ</t>
        </is>
      </c>
      <c r="I252" s="386" t="inlineStr">
        <is>
          <t>Ngày, CTCK</t>
        </is>
      </c>
      <c r="J252" s="395" t="inlineStr">
        <is>
          <t>SCMS</t>
        </is>
      </c>
      <c r="K252" s="395" t="n"/>
      <c r="L252" s="395" t="inlineStr">
        <is>
          <t>X</t>
        </is>
      </c>
      <c r="M252" s="395" t="n"/>
      <c r="N252" s="395" t="inlineStr">
        <is>
          <t>Pending</t>
        </is>
      </c>
      <c r="O252" s="401" t="n"/>
      <c r="P252" s="395" t="n"/>
      <c r="Q252" s="395" t="n"/>
      <c r="R252" s="395" t="n"/>
      <c r="S252" s="395" t="n"/>
      <c r="T252" s="386" t="n"/>
      <c r="U252" s="386" t="n"/>
      <c r="V252" s="395" t="n"/>
      <c r="W252" s="395" t="n"/>
      <c r="X252" s="395" t="n"/>
      <c r="Y252" s="13" t="n"/>
      <c r="Z252" s="395" t="n"/>
      <c r="AA252" s="395" t="n"/>
      <c r="AB252" s="395" t="n"/>
      <c r="AC252" s="395" t="n"/>
      <c r="AD252" s="395" t="n"/>
      <c r="AE252" s="395" t="n"/>
    </row>
    <row r="253" ht="42" customHeight="1" s="380">
      <c r="A253" s="73" t="n">
        <v>42</v>
      </c>
      <c r="B253" s="386" t="n"/>
      <c r="C253" s="386" t="inlineStr">
        <is>
          <t>Chào bán phát hành &gt;&gt; Tổng hợp số liệu chào bán, phát hành cổ phiếu</t>
        </is>
      </c>
      <c r="D253" s="386" t="inlineStr">
        <is>
          <t>Loại hình doanh nghiệp</t>
        </is>
      </c>
      <c r="E253" s="395" t="inlineStr">
        <is>
          <t>Loại hình doanh nghiệp</t>
        </is>
      </c>
      <c r="F253" s="386" t="inlineStr">
        <is>
          <t>Data Explorer</t>
        </is>
      </c>
      <c r="G253" s="386" t="inlineStr">
        <is>
          <t>Chỉ tiêu cơ sở</t>
        </is>
      </c>
      <c r="H253" s="386" t="inlineStr">
        <is>
          <t>Dễ</t>
        </is>
      </c>
      <c r="I253" s="386" t="inlineStr">
        <is>
          <t>Ngày, CTCK</t>
        </is>
      </c>
      <c r="J253" s="395" t="inlineStr">
        <is>
          <t>SCMS</t>
        </is>
      </c>
      <c r="K253" s="395" t="n"/>
      <c r="L253" s="395" t="inlineStr">
        <is>
          <t>X</t>
        </is>
      </c>
      <c r="M253" s="395" t="n"/>
      <c r="N253" s="395" t="inlineStr">
        <is>
          <t>Pending</t>
        </is>
      </c>
      <c r="O253" s="401" t="n"/>
      <c r="P253" s="395" t="n"/>
      <c r="Q253" s="395" t="n"/>
      <c r="R253" s="395" t="n"/>
      <c r="S253" s="395" t="n"/>
      <c r="T253" s="386" t="n"/>
      <c r="U253" s="386" t="n"/>
      <c r="V253" s="395" t="n"/>
      <c r="W253" s="395" t="n"/>
      <c r="X253" s="395" t="n"/>
      <c r="Y253" s="13" t="n"/>
      <c r="Z253" s="395" t="n"/>
      <c r="AA253" s="395" t="n"/>
      <c r="AB253" s="395" t="n"/>
      <c r="AC253" s="395" t="n"/>
      <c r="AD253" s="395" t="n"/>
      <c r="AE253" s="395" t="n"/>
    </row>
    <row r="254" ht="42" customHeight="1" s="380">
      <c r="A254" s="73" t="n">
        <v>42</v>
      </c>
      <c r="B254" s="386" t="n"/>
      <c r="C254" s="386" t="inlineStr">
        <is>
          <t>Chào bán phát hành &gt;&gt; Tổng hợp số liệu chào bán, phát hành cổ phiếu</t>
        </is>
      </c>
      <c r="D254" s="386" t="inlineStr">
        <is>
          <t>Công ty đại chúng (Có/không)</t>
        </is>
      </c>
      <c r="E254" s="395" t="inlineStr">
        <is>
          <t>Công ty đại chúng (Có/không)</t>
        </is>
      </c>
      <c r="F254" s="386" t="inlineStr">
        <is>
          <t>Data Explorer</t>
        </is>
      </c>
      <c r="G254" s="386" t="inlineStr">
        <is>
          <t>Chỉ tiêu cơ sở</t>
        </is>
      </c>
      <c r="H254" s="386" t="inlineStr">
        <is>
          <t>Dễ</t>
        </is>
      </c>
      <c r="I254" s="386" t="inlineStr">
        <is>
          <t>Ngày, CTCK</t>
        </is>
      </c>
      <c r="J254" s="395" t="inlineStr">
        <is>
          <t>SCMS</t>
        </is>
      </c>
      <c r="K254" s="395" t="n"/>
      <c r="L254" s="395" t="inlineStr">
        <is>
          <t>X</t>
        </is>
      </c>
      <c r="M254" s="395" t="n"/>
      <c r="N254" s="395" t="inlineStr">
        <is>
          <t>Pending</t>
        </is>
      </c>
      <c r="O254" s="401" t="n"/>
      <c r="P254" s="395" t="n"/>
      <c r="Q254" s="395" t="n"/>
      <c r="R254" s="395" t="n"/>
      <c r="S254" s="395" t="n"/>
      <c r="T254" s="386" t="n"/>
      <c r="U254" s="386" t="n"/>
      <c r="V254" s="395" t="n"/>
      <c r="W254" s="395" t="n"/>
      <c r="X254" s="395" t="n"/>
      <c r="Y254" s="13" t="n"/>
      <c r="Z254" s="395" t="n"/>
      <c r="AA254" s="395" t="n"/>
      <c r="AB254" s="395" t="n"/>
      <c r="AC254" s="395" t="n"/>
      <c r="AD254" s="395" t="n"/>
      <c r="AE254" s="395" t="n"/>
    </row>
    <row r="255" ht="56" customHeight="1" s="380">
      <c r="A255" s="73" t="n">
        <v>42</v>
      </c>
      <c r="B255" s="386" t="n"/>
      <c r="C255" s="386" t="inlineStr">
        <is>
          <t>Chào bán phát hành &gt;&gt; Tổng hợp số liệu chào bán, phát hành cổ phiếu</t>
        </is>
      </c>
      <c r="D255" s="386" t="inlineStr">
        <is>
          <t>Vốn điều lệ thực góp (đồng)
(trước thời điểm chào bán, phát hành, góp vốn)</t>
        </is>
      </c>
      <c r="E255" s="395" t="inlineStr">
        <is>
          <t>Vốn điều lệ thực góp (đồng)
(trước thời điểm chào bán, phát hành, góp vốn)</t>
        </is>
      </c>
      <c r="F255" s="386" t="inlineStr">
        <is>
          <t>Data Explorer</t>
        </is>
      </c>
      <c r="G255" s="386" t="inlineStr">
        <is>
          <t>Chỉ tiêu cơ sở</t>
        </is>
      </c>
      <c r="H255" s="386" t="inlineStr">
        <is>
          <t>TB</t>
        </is>
      </c>
      <c r="I255" s="386" t="inlineStr">
        <is>
          <t>Ngày, CTCK</t>
        </is>
      </c>
      <c r="J255" s="395" t="inlineStr">
        <is>
          <t>SCMS</t>
        </is>
      </c>
      <c r="K255" s="395" t="n"/>
      <c r="L255" s="395" t="inlineStr">
        <is>
          <t>X</t>
        </is>
      </c>
      <c r="M255" s="395" t="n"/>
      <c r="N255" s="395" t="inlineStr">
        <is>
          <t>Pending</t>
        </is>
      </c>
      <c r="O255" s="401" t="n"/>
      <c r="P255" s="395" t="n"/>
      <c r="Q255" s="395" t="n"/>
      <c r="R255" s="395" t="n"/>
      <c r="S255" s="395" t="n"/>
      <c r="T255" s="386" t="n"/>
      <c r="U255" s="386" t="n"/>
      <c r="V255" s="395" t="n"/>
      <c r="W255" s="395" t="n"/>
      <c r="X255" s="395" t="n"/>
      <c r="Y255" s="13" t="n"/>
      <c r="Z255" s="395" t="n"/>
      <c r="AA255" s="395" t="n"/>
      <c r="AB255" s="395" t="n"/>
      <c r="AC255" s="395" t="n"/>
      <c r="AD255" s="395" t="n"/>
      <c r="AE255" s="395" t="n"/>
    </row>
    <row r="256" ht="42" customHeight="1" s="380">
      <c r="A256" s="73" t="n">
        <v>42</v>
      </c>
      <c r="B256" s="386" t="n"/>
      <c r="C256" s="386" t="inlineStr">
        <is>
          <t>Chào bán phát hành &gt;&gt; Tổng hợp số liệu chào bán, phát hành cổ phiếu</t>
        </is>
      </c>
      <c r="D256" s="386" t="inlineStr">
        <is>
          <t>Số Giấy chứng nhận chào bán</t>
        </is>
      </c>
      <c r="E256" s="395" t="inlineStr">
        <is>
          <t>Số Giấy chứng nhận chào bán</t>
        </is>
      </c>
      <c r="F256" s="386" t="inlineStr">
        <is>
          <t>Data Explorer</t>
        </is>
      </c>
      <c r="G256" s="386" t="inlineStr">
        <is>
          <t>Chỉ tiêu cơ sở</t>
        </is>
      </c>
      <c r="H256" s="386" t="inlineStr">
        <is>
          <t>Dễ</t>
        </is>
      </c>
      <c r="I256" s="386" t="inlineStr">
        <is>
          <t>Ngày, CTCK</t>
        </is>
      </c>
      <c r="J256" s="395" t="inlineStr">
        <is>
          <t>SCMS</t>
        </is>
      </c>
      <c r="K256" s="395" t="n"/>
      <c r="L256" s="395" t="inlineStr">
        <is>
          <t>X</t>
        </is>
      </c>
      <c r="M256" s="395" t="n"/>
      <c r="N256" s="395" t="inlineStr">
        <is>
          <t>Pending</t>
        </is>
      </c>
      <c r="O256" s="401" t="n"/>
      <c r="P256" s="395" t="n"/>
      <c r="Q256" s="395" t="n"/>
      <c r="R256" s="395" t="n"/>
      <c r="S256" s="395" t="n"/>
      <c r="T256" s="386" t="n"/>
      <c r="U256" s="386" t="n"/>
      <c r="V256" s="395" t="n"/>
      <c r="W256" s="395" t="n"/>
      <c r="X256" s="395" t="n"/>
      <c r="Y256" s="13" t="n"/>
      <c r="Z256" s="395" t="n"/>
      <c r="AA256" s="395" t="n"/>
      <c r="AB256" s="395" t="n"/>
      <c r="AC256" s="395" t="n"/>
      <c r="AD256" s="395" t="n"/>
      <c r="AE256" s="395" t="n"/>
    </row>
    <row r="257" ht="42" customHeight="1" s="380">
      <c r="A257" s="73" t="n">
        <v>42</v>
      </c>
      <c r="B257" s="386" t="n"/>
      <c r="C257" s="386" t="inlineStr">
        <is>
          <t>Chào bán phát hành &gt;&gt; Tổng hợp số liệu chào bán, phát hành cổ phiếu</t>
        </is>
      </c>
      <c r="D257" s="386" t="inlineStr">
        <is>
          <t>Số công văn gửi Công ty</t>
        </is>
      </c>
      <c r="E257" s="395" t="inlineStr">
        <is>
          <t>Số công văn gửi Công ty</t>
        </is>
      </c>
      <c r="F257" s="386" t="inlineStr">
        <is>
          <t>Data Explorer</t>
        </is>
      </c>
      <c r="G257" s="386" t="inlineStr">
        <is>
          <t>Chỉ tiêu cơ sở</t>
        </is>
      </c>
      <c r="H257" s="386" t="inlineStr">
        <is>
          <t>Dễ</t>
        </is>
      </c>
      <c r="I257" s="386" t="inlineStr">
        <is>
          <t>Ngày, CTCK</t>
        </is>
      </c>
      <c r="J257" s="395" t="inlineStr">
        <is>
          <t>SCMS</t>
        </is>
      </c>
      <c r="K257" s="395" t="n"/>
      <c r="L257" s="395" t="inlineStr">
        <is>
          <t>X</t>
        </is>
      </c>
      <c r="M257" s="395" t="n"/>
      <c r="N257" s="395" t="inlineStr">
        <is>
          <t>Pending</t>
        </is>
      </c>
      <c r="O257" s="401" t="n"/>
      <c r="P257" s="395" t="n"/>
      <c r="Q257" s="395" t="n"/>
      <c r="R257" s="395" t="n"/>
      <c r="S257" s="395" t="n"/>
      <c r="T257" s="386" t="n"/>
      <c r="U257" s="386" t="n"/>
      <c r="V257" s="395" t="n"/>
      <c r="W257" s="395" t="n"/>
      <c r="X257" s="395" t="n"/>
      <c r="Y257" s="14" t="n"/>
      <c r="Z257" s="395" t="n"/>
      <c r="AA257" s="395" t="n"/>
      <c r="AB257" s="395" t="n"/>
      <c r="AC257" s="395" t="n"/>
      <c r="AD257" s="395" t="n"/>
      <c r="AE257" s="395" t="n"/>
    </row>
    <row r="258" ht="42" customHeight="1" s="380">
      <c r="A258" s="73" t="n">
        <v>42</v>
      </c>
      <c r="B258" s="386" t="n"/>
      <c r="C258" s="386" t="inlineStr">
        <is>
          <t>Chào bán phát hành &gt;&gt; Tổng hợp số liệu chào bán, phát hành cổ phiếu</t>
        </is>
      </c>
      <c r="D258" s="386" t="inlineStr">
        <is>
          <t>Ngày cấp GCN
(Ngày/tháng/năm)</t>
        </is>
      </c>
      <c r="E258" s="395" t="inlineStr">
        <is>
          <t>Ngày cấp GCN
(Ngày/tháng/năm)</t>
        </is>
      </c>
      <c r="F258" s="386" t="inlineStr">
        <is>
          <t>Data Explorer</t>
        </is>
      </c>
      <c r="G258" s="386" t="inlineStr">
        <is>
          <t>Chỉ tiêu cơ sở</t>
        </is>
      </c>
      <c r="H258" s="386" t="inlineStr">
        <is>
          <t>Dễ</t>
        </is>
      </c>
      <c r="I258" s="386" t="inlineStr">
        <is>
          <t>Ngày, CTCK</t>
        </is>
      </c>
      <c r="J258" s="395" t="inlineStr">
        <is>
          <t>SCMS</t>
        </is>
      </c>
      <c r="K258" s="395" t="n"/>
      <c r="L258" s="395" t="inlineStr">
        <is>
          <t>X</t>
        </is>
      </c>
      <c r="M258" s="395" t="n"/>
      <c r="N258" s="395" t="inlineStr">
        <is>
          <t>Pending</t>
        </is>
      </c>
      <c r="O258" s="401" t="n"/>
      <c r="P258" s="395" t="n"/>
      <c r="Q258" s="395" t="n"/>
      <c r="R258" s="395" t="n"/>
      <c r="S258" s="395" t="n"/>
      <c r="T258" s="386" t="n"/>
      <c r="U258" s="386" t="n"/>
      <c r="V258" s="395" t="n"/>
      <c r="W258" s="395" t="n"/>
      <c r="X258" s="395" t="n"/>
      <c r="Y258" s="6" t="n"/>
      <c r="Z258" s="395" t="n"/>
      <c r="AA258" s="395" t="n"/>
      <c r="AB258" s="395" t="n"/>
      <c r="AC258" s="395" t="n"/>
      <c r="AD258" s="395" t="n"/>
      <c r="AE258" s="395" t="n"/>
    </row>
    <row r="259" ht="42" customHeight="1" s="380">
      <c r="A259" s="73" t="n">
        <v>42</v>
      </c>
      <c r="B259" s="386" t="n"/>
      <c r="C259" s="386" t="inlineStr">
        <is>
          <t>Chào bán phát hành &gt;&gt; Tổng hợp số liệu chào bán, phát hành cổ phiếu</t>
        </is>
      </c>
      <c r="D259" s="386" t="inlineStr">
        <is>
          <t>Ngày công văn
(Ngày/tháng/năm)</t>
        </is>
      </c>
      <c r="E259" s="395" t="inlineStr">
        <is>
          <t>Ngày công văn
(Ngày/tháng/năm)</t>
        </is>
      </c>
      <c r="F259" s="386" t="inlineStr">
        <is>
          <t>Data Explorer</t>
        </is>
      </c>
      <c r="G259" s="386" t="inlineStr">
        <is>
          <t>Chỉ tiêu cơ sở</t>
        </is>
      </c>
      <c r="H259" s="386" t="inlineStr">
        <is>
          <t>Dễ</t>
        </is>
      </c>
      <c r="I259" s="386" t="inlineStr">
        <is>
          <t>Ngày, CTCK</t>
        </is>
      </c>
      <c r="J259" s="395" t="inlineStr">
        <is>
          <t>SCMS</t>
        </is>
      </c>
      <c r="K259" s="395" t="n"/>
      <c r="L259" s="395" t="inlineStr">
        <is>
          <t>X</t>
        </is>
      </c>
      <c r="M259" s="395" t="n"/>
      <c r="N259" s="395" t="inlineStr">
        <is>
          <t>Pending</t>
        </is>
      </c>
      <c r="O259" s="401" t="n"/>
      <c r="P259" s="395" t="n"/>
      <c r="Q259" s="395" t="n"/>
      <c r="R259" s="395" t="n"/>
      <c r="S259" s="395" t="n"/>
      <c r="T259" s="386" t="n"/>
      <c r="U259" s="386" t="n"/>
      <c r="V259" s="395" t="n"/>
      <c r="W259" s="395" t="n"/>
      <c r="X259" s="395" t="n"/>
      <c r="Y259" s="6" t="n"/>
      <c r="Z259" s="395" t="n"/>
      <c r="AA259" s="395" t="n"/>
      <c r="AB259" s="395" t="n"/>
      <c r="AC259" s="395" t="n"/>
      <c r="AD259" s="395" t="n"/>
      <c r="AE259" s="395" t="n"/>
    </row>
    <row r="260" ht="42" customHeight="1" s="380">
      <c r="A260" s="73" t="n">
        <v>42</v>
      </c>
      <c r="B260" s="386" t="n"/>
      <c r="C260" s="386" t="inlineStr">
        <is>
          <t>Chào bán phát hành &gt;&gt; Tổng hợp số liệu chào bán, phát hành cổ phiếu</t>
        </is>
      </c>
      <c r="D260" s="386" t="inlineStr">
        <is>
          <t>Đối tượng chào bán &gt;&gt; Cổ đông hiện hữu &gt;&gt; Ra công chúng &gt;&gt; Số lượng</t>
        </is>
      </c>
      <c r="E260" s="386" t="inlineStr">
        <is>
          <t>Đối tượng chào bán &gt;&gt; Cổ đông hiện hữu &gt;&gt; Ra công chúng &gt;&gt; Số lượng</t>
        </is>
      </c>
      <c r="F260" s="386" t="inlineStr">
        <is>
          <t>Data Explorer</t>
        </is>
      </c>
      <c r="G260" s="386" t="inlineStr">
        <is>
          <t>Chỉ tiêu cơ sở</t>
        </is>
      </c>
      <c r="H260" s="386" t="inlineStr">
        <is>
          <t>TB</t>
        </is>
      </c>
      <c r="I260" s="386" t="inlineStr">
        <is>
          <t>Ngày, CTCK</t>
        </is>
      </c>
      <c r="J260" s="395" t="inlineStr">
        <is>
          <t>SCMS</t>
        </is>
      </c>
      <c r="K260" s="395" t="n"/>
      <c r="L260" s="395" t="inlineStr">
        <is>
          <t>X</t>
        </is>
      </c>
      <c r="M260" s="395" t="n"/>
      <c r="N260" s="395" t="inlineStr">
        <is>
          <t>Pending</t>
        </is>
      </c>
      <c r="O260" s="401" t="n"/>
      <c r="P260" s="395" t="n"/>
      <c r="Q260" s="395" t="n"/>
      <c r="R260" s="395" t="n"/>
      <c r="S260" s="395" t="n"/>
      <c r="T260" s="386" t="n"/>
      <c r="U260" s="386" t="n"/>
      <c r="V260" s="395" t="n"/>
      <c r="W260" s="395" t="n"/>
      <c r="X260" s="395" t="n"/>
      <c r="Y260" s="395" t="n"/>
      <c r="Z260" s="395" t="n"/>
      <c r="AA260" s="395" t="n"/>
      <c r="AB260" s="395" t="n"/>
      <c r="AC260" s="395" t="n"/>
      <c r="AD260" s="395" t="n"/>
      <c r="AE260" s="395" t="n"/>
    </row>
    <row r="261" ht="56" customHeight="1" s="380">
      <c r="A261" s="73" t="n">
        <v>42</v>
      </c>
      <c r="B261" s="386" t="n"/>
      <c r="C261" s="386" t="inlineStr">
        <is>
          <t>Chào bán phát hành &gt;&gt; Tổng hợp số liệu chào bán, phát hành cổ phiếu</t>
        </is>
      </c>
      <c r="D261" s="386" t="inlineStr">
        <is>
          <t>Đối tượng chào bán &gt;&gt; Cổ đông hiện hữu &gt;&gt; Ra công chúng &gt;&gt; Giá (đồng)</t>
        </is>
      </c>
      <c r="E261" s="386" t="inlineStr">
        <is>
          <t>Đối tượng chào bán &gt;&gt; Cổ đông hiện hữu &gt;&gt; Ra công chúng &gt;&gt; Giá (đồng)</t>
        </is>
      </c>
      <c r="F261" s="386" t="inlineStr">
        <is>
          <t>Data Explorer</t>
        </is>
      </c>
      <c r="G261" s="386" t="inlineStr">
        <is>
          <t>Chỉ tiêu cơ sở</t>
        </is>
      </c>
      <c r="H261" s="386" t="inlineStr">
        <is>
          <t>TB</t>
        </is>
      </c>
      <c r="I261" s="386" t="inlineStr">
        <is>
          <t>Ngày, CTCK</t>
        </is>
      </c>
      <c r="J261" s="395" t="inlineStr">
        <is>
          <t>SCMS</t>
        </is>
      </c>
      <c r="K261" s="395" t="n"/>
      <c r="L261" s="395" t="inlineStr">
        <is>
          <t>X</t>
        </is>
      </c>
      <c r="M261" s="395" t="n"/>
      <c r="N261" s="395" t="inlineStr">
        <is>
          <t>Pending</t>
        </is>
      </c>
      <c r="O261" s="401" t="n"/>
      <c r="P261" s="395" t="n"/>
      <c r="Q261" s="395" t="n"/>
      <c r="R261" s="395" t="n"/>
      <c r="S261" s="395" t="n"/>
      <c r="T261" s="386" t="n"/>
      <c r="U261" s="386" t="n"/>
      <c r="V261" s="395" t="n"/>
      <c r="W261" s="395" t="n"/>
      <c r="X261" s="395" t="n"/>
      <c r="Y261" s="395" t="n"/>
      <c r="Z261" s="395" t="n"/>
      <c r="AA261" s="395" t="n"/>
      <c r="AB261" s="395" t="n"/>
      <c r="AC261" s="395" t="n"/>
      <c r="AD261" s="395" t="n"/>
      <c r="AE261" s="395" t="n"/>
    </row>
    <row r="262" ht="56" customHeight="1" s="380">
      <c r="A262" s="73" t="n">
        <v>42</v>
      </c>
      <c r="B262" s="386" t="n"/>
      <c r="C262" s="386" t="inlineStr">
        <is>
          <t>Chào bán phát hành &gt;&gt; Tổng hợp số liệu chào bán, phát hành cổ phiếu</t>
        </is>
      </c>
      <c r="D262" s="386" t="inlineStr">
        <is>
          <t>Đối tượng chào bán &gt;&gt; Cổ đông hiện hữu &gt;&gt; Ra công chúng &gt;&gt; Giá trị (đồng)</t>
        </is>
      </c>
      <c r="E262" s="386" t="inlineStr">
        <is>
          <t>Đối tượng chào bán &gt;&gt; Cổ đông hiện hữu &gt;&gt; Ra công chúng &gt;&gt; Giá trị (đồng)</t>
        </is>
      </c>
      <c r="F262" s="386" t="inlineStr">
        <is>
          <t>Data Explorer</t>
        </is>
      </c>
      <c r="G262" s="386" t="inlineStr">
        <is>
          <t>Chỉ tiêu cơ sở</t>
        </is>
      </c>
      <c r="H262" s="386" t="inlineStr">
        <is>
          <t>TB</t>
        </is>
      </c>
      <c r="I262" s="386" t="inlineStr">
        <is>
          <t>Ngày, CTCK</t>
        </is>
      </c>
      <c r="J262" s="395" t="inlineStr">
        <is>
          <t>SCMS</t>
        </is>
      </c>
      <c r="K262" s="395" t="n"/>
      <c r="L262" s="395" t="inlineStr">
        <is>
          <t>X</t>
        </is>
      </c>
      <c r="M262" s="395" t="n"/>
      <c r="N262" s="395" t="inlineStr">
        <is>
          <t>Pending</t>
        </is>
      </c>
      <c r="O262" s="401" t="n"/>
      <c r="P262" s="395" t="n"/>
      <c r="Q262" s="395" t="n"/>
      <c r="R262" s="395" t="n"/>
      <c r="S262" s="395" t="n"/>
      <c r="T262" s="386" t="n"/>
      <c r="U262" s="386" t="n"/>
      <c r="V262" s="395" t="n"/>
      <c r="W262" s="395" t="n"/>
      <c r="X262" s="395" t="n"/>
      <c r="Y262" s="395" t="n"/>
      <c r="Z262" s="395" t="n"/>
      <c r="AA262" s="395" t="n"/>
      <c r="AB262" s="395" t="n"/>
      <c r="AC262" s="395" t="n"/>
      <c r="AD262" s="395" t="n"/>
      <c r="AE262" s="395" t="n"/>
    </row>
    <row r="263" ht="42" customHeight="1" s="380">
      <c r="A263" s="73" t="n">
        <v>42</v>
      </c>
      <c r="B263" s="386" t="n"/>
      <c r="C263" s="386" t="inlineStr">
        <is>
          <t>Chào bán phát hành &gt;&gt; Tổng hợp số liệu chào bán, phát hành cổ phiếu</t>
        </is>
      </c>
      <c r="D263" s="386" t="inlineStr">
        <is>
          <t>Đối tượng chào bán &gt;&gt; Cổ đông hiện hữu &gt;&gt; CP Thưởng &gt;&gt; Số lượng</t>
        </is>
      </c>
      <c r="E263" s="386" t="inlineStr">
        <is>
          <t>Đối tượng chào bán &gt;&gt; Cổ đông hiện hữu &gt;&gt; CP Thưởng &gt;&gt; Số lượng</t>
        </is>
      </c>
      <c r="F263" s="386" t="inlineStr">
        <is>
          <t>Data Explorer</t>
        </is>
      </c>
      <c r="G263" s="386" t="inlineStr">
        <is>
          <t>Chỉ tiêu cơ sở</t>
        </is>
      </c>
      <c r="H263" s="386" t="inlineStr">
        <is>
          <t>TB</t>
        </is>
      </c>
      <c r="I263" s="386" t="inlineStr">
        <is>
          <t>Ngày, CTCK</t>
        </is>
      </c>
      <c r="J263" s="395" t="inlineStr">
        <is>
          <t>SCMS</t>
        </is>
      </c>
      <c r="K263" s="395" t="n"/>
      <c r="L263" s="395" t="inlineStr">
        <is>
          <t>X</t>
        </is>
      </c>
      <c r="M263" s="395" t="n"/>
      <c r="N263" s="395" t="inlineStr">
        <is>
          <t>Pending</t>
        </is>
      </c>
      <c r="O263" s="401" t="n"/>
      <c r="P263" s="395" t="n"/>
      <c r="Q263" s="395" t="n"/>
      <c r="R263" s="395" t="n"/>
      <c r="S263" s="395" t="n"/>
      <c r="T263" s="386" t="n"/>
      <c r="U263" s="386" t="n"/>
      <c r="V263" s="395" t="n"/>
      <c r="W263" s="395" t="n"/>
      <c r="X263" s="395" t="n"/>
      <c r="Y263" s="395" t="n"/>
      <c r="Z263" s="395" t="n"/>
      <c r="AA263" s="395" t="n"/>
      <c r="AB263" s="395" t="n"/>
      <c r="AC263" s="395" t="n"/>
      <c r="AD263" s="395" t="n"/>
      <c r="AE263" s="395" t="n"/>
    </row>
    <row r="264" ht="42" customHeight="1" s="380">
      <c r="A264" s="73" t="n">
        <v>42</v>
      </c>
      <c r="B264" s="386" t="n"/>
      <c r="C264" s="386" t="inlineStr">
        <is>
          <t>Chào bán phát hành &gt;&gt; Tổng hợp số liệu chào bán, phát hành cổ phiếu</t>
        </is>
      </c>
      <c r="D264" s="386" t="inlineStr">
        <is>
          <t>Đối tượng chào bán &gt;&gt; Cổ đông hiện hữu &gt;&gt; Trả Cổ tức = CP &gt;&gt; Số lượng</t>
        </is>
      </c>
      <c r="E264" s="386" t="inlineStr">
        <is>
          <t>Đối tượng chào bán &gt;&gt; Cổ đông hiện hữu &gt;&gt; Trả Cổ tức = CP &gt;&gt; Số lượng</t>
        </is>
      </c>
      <c r="F264" s="386" t="inlineStr">
        <is>
          <t>Data Explorer</t>
        </is>
      </c>
      <c r="G264" s="386" t="inlineStr">
        <is>
          <t>Chỉ tiêu cơ sở</t>
        </is>
      </c>
      <c r="H264" s="386" t="inlineStr">
        <is>
          <t>TB</t>
        </is>
      </c>
      <c r="I264" s="386" t="inlineStr">
        <is>
          <t>Ngày, CTCK</t>
        </is>
      </c>
      <c r="J264" s="395" t="inlineStr">
        <is>
          <t>SCMS</t>
        </is>
      </c>
      <c r="K264" s="395" t="n"/>
      <c r="L264" s="395" t="inlineStr">
        <is>
          <t>X</t>
        </is>
      </c>
      <c r="M264" s="395" t="n"/>
      <c r="N264" s="395" t="inlineStr">
        <is>
          <t>Pending</t>
        </is>
      </c>
      <c r="O264" s="401" t="n"/>
      <c r="P264" s="395" t="n"/>
      <c r="Q264" s="395" t="n"/>
      <c r="R264" s="395" t="n"/>
      <c r="S264" s="395" t="n"/>
      <c r="T264" s="386" t="n"/>
      <c r="U264" s="386" t="n"/>
      <c r="V264" s="395" t="n"/>
      <c r="W264" s="395" t="n"/>
      <c r="X264" s="395" t="n"/>
      <c r="Y264" s="395" t="n"/>
      <c r="Z264" s="395" t="n"/>
      <c r="AA264" s="395" t="n"/>
      <c r="AB264" s="395" t="n"/>
      <c r="AC264" s="395" t="n"/>
      <c r="AD264" s="395" t="n"/>
      <c r="AE264" s="395" t="n"/>
    </row>
    <row r="265" ht="56" customHeight="1" s="380">
      <c r="A265" s="73" t="n">
        <v>42</v>
      </c>
      <c r="B265" s="386" t="n"/>
      <c r="C265" s="386" t="inlineStr">
        <is>
          <t>Chào bán phát hành &gt;&gt; Tổng hợp số liệu chào bán, phát hành cổ phiếu</t>
        </is>
      </c>
      <c r="D265" s="386" t="inlineStr">
        <is>
          <t xml:space="preserve">Đối tượng chào bán &gt;&gt; Cán bộ CNV, HĐQT, BKS &gt;&gt; Phát hành có thu tiền &gt;&gt; Số lượng                </t>
        </is>
      </c>
      <c r="E265" s="386" t="inlineStr">
        <is>
          <t xml:space="preserve">Đối tượng chào bán &gt;&gt; Cán bộ CNV, HĐQT, BKS &gt;&gt; Phát hành có thu tiền &gt;&gt; Số lượng                </t>
        </is>
      </c>
      <c r="F265" s="386" t="inlineStr">
        <is>
          <t>Data Explorer</t>
        </is>
      </c>
      <c r="G265" s="386" t="inlineStr">
        <is>
          <t>Chỉ tiêu cơ sở</t>
        </is>
      </c>
      <c r="H265" s="386" t="inlineStr">
        <is>
          <t>TB</t>
        </is>
      </c>
      <c r="I265" s="386" t="inlineStr">
        <is>
          <t>Ngày, CTCK</t>
        </is>
      </c>
      <c r="J265" s="395" t="inlineStr">
        <is>
          <t>SCMS</t>
        </is>
      </c>
      <c r="K265" s="395" t="n"/>
      <c r="L265" s="395" t="inlineStr">
        <is>
          <t>X</t>
        </is>
      </c>
      <c r="M265" s="395" t="n"/>
      <c r="N265" s="395" t="inlineStr">
        <is>
          <t>Pending</t>
        </is>
      </c>
      <c r="O265" s="401" t="n"/>
      <c r="P265" s="395" t="n"/>
      <c r="Q265" s="395" t="n"/>
      <c r="R265" s="395" t="n"/>
      <c r="S265" s="395" t="n"/>
      <c r="T265" s="386" t="n"/>
      <c r="U265" s="386" t="n"/>
      <c r="V265" s="395" t="n"/>
      <c r="W265" s="395" t="n"/>
      <c r="X265" s="395" t="n"/>
      <c r="Y265" s="395" t="n"/>
      <c r="Z265" s="395" t="n"/>
      <c r="AA265" s="395" t="n"/>
      <c r="AB265" s="395" t="n"/>
      <c r="AC265" s="395" t="n"/>
      <c r="AD265" s="395" t="n"/>
      <c r="AE265" s="395" t="n"/>
    </row>
    <row r="266" ht="56" customHeight="1" s="380">
      <c r="A266" s="73" t="n">
        <v>42</v>
      </c>
      <c r="B266" s="386" t="n"/>
      <c r="C266" s="386" t="inlineStr">
        <is>
          <t>Chào bán phát hành &gt;&gt; Tổng hợp số liệu chào bán, phát hành cổ phiếu</t>
        </is>
      </c>
      <c r="D266" s="386" t="inlineStr">
        <is>
          <t xml:space="preserve">Đối tượng chào bán &gt;&gt; Cán bộ CNV, HĐQT, BKS &gt;&gt; Phát hành có thu tiền &gt;&gt; Giá (đồng)           </t>
        </is>
      </c>
      <c r="E266" s="386" t="inlineStr">
        <is>
          <t xml:space="preserve">Đối tượng chào bán &gt;&gt; Cán bộ CNV, HĐQT, BKS &gt;&gt; Phát hành có thu tiền &gt;&gt; Giá (đồng)           </t>
        </is>
      </c>
      <c r="F266" s="386" t="inlineStr">
        <is>
          <t>Data Explorer</t>
        </is>
      </c>
      <c r="G266" s="386" t="inlineStr">
        <is>
          <t>Chỉ tiêu cơ sở</t>
        </is>
      </c>
      <c r="H266" s="386" t="inlineStr">
        <is>
          <t>TB</t>
        </is>
      </c>
      <c r="I266" s="386" t="inlineStr">
        <is>
          <t>Ngày, CTCK</t>
        </is>
      </c>
      <c r="J266" s="395" t="inlineStr">
        <is>
          <t>SCMS</t>
        </is>
      </c>
      <c r="K266" s="395" t="n"/>
      <c r="L266" s="395" t="inlineStr">
        <is>
          <t>X</t>
        </is>
      </c>
      <c r="M266" s="395" t="n"/>
      <c r="N266" s="395" t="inlineStr">
        <is>
          <t>Pending</t>
        </is>
      </c>
      <c r="O266" s="401" t="n"/>
      <c r="P266" s="395" t="n"/>
      <c r="Q266" s="395" t="n"/>
      <c r="R266" s="395" t="n"/>
      <c r="S266" s="395" t="n"/>
      <c r="T266" s="386" t="n"/>
      <c r="U266" s="386" t="n"/>
      <c r="V266" s="395" t="n"/>
      <c r="W266" s="395" t="n"/>
      <c r="X266" s="395" t="n"/>
      <c r="Y266" s="395" t="n"/>
      <c r="Z266" s="395" t="n"/>
      <c r="AA266" s="395" t="n"/>
      <c r="AB266" s="395" t="n"/>
      <c r="AC266" s="395" t="n"/>
      <c r="AD266" s="395" t="n"/>
      <c r="AE266" s="395" t="n"/>
    </row>
    <row r="267" ht="56" customHeight="1" s="380">
      <c r="A267" s="73" t="n">
        <v>42</v>
      </c>
      <c r="B267" s="386" t="n"/>
      <c r="C267" s="386" t="inlineStr">
        <is>
          <t>Chào bán phát hành &gt;&gt; Tổng hợp số liệu chào bán, phát hành cổ phiếu</t>
        </is>
      </c>
      <c r="D267" s="386" t="inlineStr">
        <is>
          <t xml:space="preserve">Đối tượng chào bán &gt;&gt; Cán bộ CNV, HĐQT, BKS &gt;&gt; Phát hành có thu tiền &gt;&gt; Giá trị (đồng)           </t>
        </is>
      </c>
      <c r="E267" s="386" t="inlineStr">
        <is>
          <t xml:space="preserve">Đối tượng chào bán &gt;&gt; Cán bộ CNV, HĐQT, BKS &gt;&gt; Phát hành có thu tiền &gt;&gt; Giá trị (đồng)           </t>
        </is>
      </c>
      <c r="F267" s="386" t="inlineStr">
        <is>
          <t>Data Explorer</t>
        </is>
      </c>
      <c r="G267" s="386" t="inlineStr">
        <is>
          <t>Chỉ tiêu cơ sở</t>
        </is>
      </c>
      <c r="H267" s="386" t="inlineStr">
        <is>
          <t>TB</t>
        </is>
      </c>
      <c r="I267" s="386" t="inlineStr">
        <is>
          <t>Ngày, CTCK</t>
        </is>
      </c>
      <c r="J267" s="395" t="inlineStr">
        <is>
          <t>SCMS</t>
        </is>
      </c>
      <c r="K267" s="395" t="n"/>
      <c r="L267" s="395" t="inlineStr">
        <is>
          <t>X</t>
        </is>
      </c>
      <c r="M267" s="395" t="n"/>
      <c r="N267" s="395" t="inlineStr">
        <is>
          <t>Pending</t>
        </is>
      </c>
      <c r="O267" s="401" t="n"/>
      <c r="P267" s="395" t="n"/>
      <c r="Q267" s="395" t="n"/>
      <c r="R267" s="395" t="n"/>
      <c r="S267" s="395" t="n"/>
      <c r="T267" s="386" t="n"/>
      <c r="U267" s="386" t="n"/>
      <c r="V267" s="395" t="n"/>
      <c r="W267" s="395" t="n"/>
      <c r="X267" s="395" t="n"/>
      <c r="Y267" s="395" t="n"/>
      <c r="Z267" s="395" t="n"/>
      <c r="AA267" s="395" t="n"/>
      <c r="AB267" s="395" t="n"/>
      <c r="AC267" s="395" t="n"/>
      <c r="AD267" s="395" t="n"/>
      <c r="AE267" s="395" t="n"/>
    </row>
    <row r="268" ht="70" customHeight="1" s="380">
      <c r="A268" s="73" t="n">
        <v>42</v>
      </c>
      <c r="B268" s="386" t="n"/>
      <c r="C268" s="386" t="inlineStr">
        <is>
          <t>Chào bán phát hành &gt;&gt; Tổng hợp số liệu chào bán, phát hành cổ phiếu</t>
        </is>
      </c>
      <c r="D268" s="386" t="inlineStr">
        <is>
          <t xml:space="preserve">Đối tượng chào bán &gt;&gt; Cán bộ CNV, HĐQT, BKS &gt;&gt; Phát hành có thu tiền &gt;&gt; Số lượng người lao động         </t>
        </is>
      </c>
      <c r="E268" s="386" t="inlineStr">
        <is>
          <t xml:space="preserve">Đối tượng chào bán &gt;&gt; Cán bộ CNV, HĐQT, BKS &gt;&gt; Phát hành có thu tiền &gt;&gt; Số lượng người lao động         </t>
        </is>
      </c>
      <c r="F268" s="386" t="inlineStr">
        <is>
          <t>Data Explorer</t>
        </is>
      </c>
      <c r="G268" s="386" t="inlineStr">
        <is>
          <t>Chỉ tiêu cơ sở</t>
        </is>
      </c>
      <c r="H268" s="386" t="inlineStr">
        <is>
          <t>TB</t>
        </is>
      </c>
      <c r="I268" s="386" t="inlineStr">
        <is>
          <t>Ngày, CTCK</t>
        </is>
      </c>
      <c r="J268" s="395" t="inlineStr">
        <is>
          <t>SCMS</t>
        </is>
      </c>
      <c r="K268" s="395" t="n"/>
      <c r="L268" s="395" t="inlineStr">
        <is>
          <t>X</t>
        </is>
      </c>
      <c r="M268" s="395" t="n"/>
      <c r="N268" s="395" t="inlineStr">
        <is>
          <t>Pending</t>
        </is>
      </c>
      <c r="O268" s="401" t="n"/>
      <c r="P268" s="395" t="n"/>
      <c r="Q268" s="395" t="n"/>
      <c r="R268" s="395" t="n"/>
      <c r="S268" s="395" t="n"/>
      <c r="T268" s="386" t="n"/>
      <c r="U268" s="386" t="n"/>
      <c r="V268" s="395" t="n"/>
      <c r="W268" s="395" t="n"/>
      <c r="X268" s="395" t="n"/>
      <c r="Y268" s="395" t="n"/>
      <c r="Z268" s="395" t="n"/>
      <c r="AA268" s="395" t="n"/>
      <c r="AB268" s="395" t="n"/>
      <c r="AC268" s="395" t="n"/>
      <c r="AD268" s="395" t="n"/>
      <c r="AE268" s="395" t="n"/>
    </row>
    <row r="269" ht="56" customHeight="1" s="380">
      <c r="A269" s="73" t="n">
        <v>42</v>
      </c>
      <c r="B269" s="386" t="n"/>
      <c r="C269" s="386" t="inlineStr">
        <is>
          <t>Chào bán phát hành &gt;&gt; Tổng hợp số liệu chào bán, phát hành cổ phiếu</t>
        </is>
      </c>
      <c r="D269" s="386" t="inlineStr">
        <is>
          <t xml:space="preserve">Đối tượng chào bán &gt;&gt; Cán bộ CNV, HĐQT, BKS &gt;&gt; Cổ phiếu thưởng &gt;&gt; Số lượng </t>
        </is>
      </c>
      <c r="E269" s="386" t="inlineStr">
        <is>
          <t xml:space="preserve">Đối tượng chào bán &gt;&gt; Cán bộ CNV, HĐQT, BKS &gt;&gt; Cổ phiếu thưởng &gt;&gt; Số lượng </t>
        </is>
      </c>
      <c r="F269" s="386" t="inlineStr">
        <is>
          <t>Data Explorer</t>
        </is>
      </c>
      <c r="G269" s="386" t="inlineStr">
        <is>
          <t>Chỉ tiêu cơ sở</t>
        </is>
      </c>
      <c r="H269" s="386" t="inlineStr">
        <is>
          <t>TB</t>
        </is>
      </c>
      <c r="I269" s="386" t="inlineStr">
        <is>
          <t>Ngày, CTCK</t>
        </is>
      </c>
      <c r="J269" s="395" t="inlineStr">
        <is>
          <t>SCMS</t>
        </is>
      </c>
      <c r="K269" s="395" t="n"/>
      <c r="L269" s="395" t="inlineStr">
        <is>
          <t>X</t>
        </is>
      </c>
      <c r="M269" s="395" t="n"/>
      <c r="N269" s="395" t="inlineStr">
        <is>
          <t>Pending</t>
        </is>
      </c>
      <c r="O269" s="401" t="n"/>
      <c r="P269" s="395" t="n"/>
      <c r="Q269" s="395" t="n"/>
      <c r="R269" s="395" t="n"/>
      <c r="S269" s="395" t="n"/>
      <c r="T269" s="386" t="n"/>
      <c r="U269" s="386" t="n"/>
      <c r="V269" s="395" t="n"/>
      <c r="W269" s="395" t="n"/>
      <c r="X269" s="395" t="n"/>
      <c r="Y269" s="395" t="n"/>
      <c r="Z269" s="395" t="n"/>
      <c r="AA269" s="395" t="n"/>
      <c r="AB269" s="395" t="n"/>
      <c r="AC269" s="395" t="n"/>
      <c r="AD269" s="395" t="n"/>
      <c r="AE269" s="395" t="n"/>
    </row>
    <row r="270" ht="56" customHeight="1" s="380">
      <c r="A270" s="73" t="n">
        <v>42</v>
      </c>
      <c r="B270" s="386" t="n"/>
      <c r="C270" s="386" t="inlineStr">
        <is>
          <t>Chào bán phát hành &gt;&gt; Tổng hợp số liệu chào bán, phát hành cổ phiếu</t>
        </is>
      </c>
      <c r="D270" s="386" t="inlineStr">
        <is>
          <t>Đối tượng chào bán &gt;&gt; Cán bộ CNV, HĐQT, BKS &gt;&gt; Cổ phiếu thưởng &gt;&gt; Giá trị (đồng)</t>
        </is>
      </c>
      <c r="E270" s="386" t="inlineStr">
        <is>
          <t>Đối tượng chào bán &gt;&gt; Cán bộ CNV, HĐQT, BKS &gt;&gt; Cổ phiếu thưởng &gt;&gt; Giá trị (đồng)</t>
        </is>
      </c>
      <c r="F270" s="386" t="inlineStr">
        <is>
          <t>Data Explorer</t>
        </is>
      </c>
      <c r="G270" s="386" t="inlineStr">
        <is>
          <t>Chỉ tiêu cơ sở</t>
        </is>
      </c>
      <c r="H270" s="386" t="inlineStr">
        <is>
          <t>TB</t>
        </is>
      </c>
      <c r="I270" s="386" t="inlineStr">
        <is>
          <t>Ngày, CTCK</t>
        </is>
      </c>
      <c r="J270" s="395" t="inlineStr">
        <is>
          <t>SCMS</t>
        </is>
      </c>
      <c r="K270" s="395" t="n"/>
      <c r="L270" s="395" t="inlineStr">
        <is>
          <t>X</t>
        </is>
      </c>
      <c r="M270" s="395" t="n"/>
      <c r="N270" s="395" t="inlineStr">
        <is>
          <t>Pending</t>
        </is>
      </c>
      <c r="O270" s="401" t="n"/>
      <c r="P270" s="395" t="n"/>
      <c r="Q270" s="395" t="n"/>
      <c r="R270" s="395" t="n"/>
      <c r="S270" s="395" t="n"/>
      <c r="T270" s="386" t="n"/>
      <c r="U270" s="386" t="n"/>
      <c r="V270" s="395" t="n"/>
      <c r="W270" s="395" t="n"/>
      <c r="X270" s="395" t="n"/>
      <c r="Y270" s="395" t="n"/>
      <c r="Z270" s="395" t="n"/>
      <c r="AA270" s="395" t="n"/>
      <c r="AB270" s="395" t="n"/>
      <c r="AC270" s="395" t="n"/>
      <c r="AD270" s="395" t="n"/>
      <c r="AE270" s="395" t="n"/>
    </row>
    <row r="271" ht="56" customHeight="1" s="380">
      <c r="A271" s="73" t="n">
        <v>42</v>
      </c>
      <c r="B271" s="386" t="n"/>
      <c r="C271" s="386" t="inlineStr">
        <is>
          <t>Chào bán phát hành &gt;&gt; Tổng hợp số liệu chào bán, phát hành cổ phiếu</t>
        </is>
      </c>
      <c r="D271" s="386" t="inlineStr">
        <is>
          <t>Đối tượng chào bán &gt;&gt; Cán bộ CNV, HĐQT, BKS &gt;&gt; Cổ phiếu thưởng &gt;&gt; Nguồn</t>
        </is>
      </c>
      <c r="E271" s="386" t="inlineStr">
        <is>
          <t>Đối tượng chào bán &gt;&gt; Cán bộ CNV, HĐQT, BKS &gt;&gt; Cổ phiếu thưởng &gt;&gt; Nguồn</t>
        </is>
      </c>
      <c r="F271" s="386" t="inlineStr">
        <is>
          <t>Data Explorer</t>
        </is>
      </c>
      <c r="G271" s="386" t="inlineStr">
        <is>
          <t>Chỉ tiêu cơ sở</t>
        </is>
      </c>
      <c r="H271" s="386" t="inlineStr">
        <is>
          <t>TB</t>
        </is>
      </c>
      <c r="I271" s="386" t="inlineStr">
        <is>
          <t>Ngày, CTCK</t>
        </is>
      </c>
      <c r="J271" s="395" t="inlineStr">
        <is>
          <t>SCMS</t>
        </is>
      </c>
      <c r="K271" s="395" t="n"/>
      <c r="L271" s="395" t="inlineStr">
        <is>
          <t>X</t>
        </is>
      </c>
      <c r="M271" s="395" t="n"/>
      <c r="N271" s="395" t="inlineStr">
        <is>
          <t>Pending</t>
        </is>
      </c>
      <c r="O271" s="401" t="n"/>
      <c r="P271" s="395" t="n"/>
      <c r="Q271" s="395" t="n"/>
      <c r="R271" s="395" t="n"/>
      <c r="S271" s="395" t="n"/>
      <c r="T271" s="386" t="n"/>
      <c r="U271" s="386" t="n"/>
      <c r="V271" s="395" t="n"/>
      <c r="W271" s="395" t="n"/>
      <c r="X271" s="395" t="n"/>
      <c r="Y271" s="395" t="n"/>
      <c r="Z271" s="395" t="n"/>
      <c r="AA271" s="395" t="n"/>
      <c r="AB271" s="395" t="n"/>
      <c r="AC271" s="395" t="n"/>
      <c r="AD271" s="395" t="n"/>
      <c r="AE271" s="395" t="n"/>
    </row>
    <row r="272" ht="70" customHeight="1" s="380">
      <c r="A272" s="73" t="n">
        <v>42</v>
      </c>
      <c r="B272" s="386" t="n"/>
      <c r="C272" s="386" t="inlineStr">
        <is>
          <t>Chào bán phát hành &gt;&gt; Tổng hợp số liệu chào bán, phát hành cổ phiếu</t>
        </is>
      </c>
      <c r="D272" s="386" t="inlineStr">
        <is>
          <t>Đối tượng chào bán &gt;&gt; Cán bộ CNV, HĐQT, BKS &gt;&gt; Cổ phiếu thưởng &gt;&gt; Số lượng người lao động</t>
        </is>
      </c>
      <c r="E272" s="386" t="inlineStr">
        <is>
          <t>Đối tượng chào bán &gt;&gt; Cán bộ CNV, HĐQT, BKS &gt;&gt; Cổ phiếu thưởng &gt;&gt; Số lượng người lao động</t>
        </is>
      </c>
      <c r="F272" s="386" t="inlineStr">
        <is>
          <t>Data Explorer</t>
        </is>
      </c>
      <c r="G272" s="386" t="inlineStr">
        <is>
          <t>Chỉ tiêu cơ sở</t>
        </is>
      </c>
      <c r="H272" s="386" t="inlineStr">
        <is>
          <t>TB</t>
        </is>
      </c>
      <c r="I272" s="386" t="inlineStr">
        <is>
          <t>Ngày, CTCK</t>
        </is>
      </c>
      <c r="J272" s="395" t="inlineStr">
        <is>
          <t>SCMS</t>
        </is>
      </c>
      <c r="K272" s="395" t="n"/>
      <c r="L272" s="395" t="inlineStr">
        <is>
          <t>X</t>
        </is>
      </c>
      <c r="M272" s="395" t="n"/>
      <c r="N272" s="395" t="inlineStr">
        <is>
          <t>Pending</t>
        </is>
      </c>
      <c r="O272" s="401" t="n"/>
      <c r="P272" s="395" t="n"/>
      <c r="Q272" s="395" t="n"/>
      <c r="R272" s="395" t="n"/>
      <c r="S272" s="395" t="n"/>
      <c r="T272" s="386" t="n"/>
      <c r="U272" s="386" t="n"/>
      <c r="V272" s="395" t="n"/>
      <c r="W272" s="395" t="n"/>
      <c r="X272" s="395" t="n"/>
      <c r="Y272" s="395" t="n"/>
      <c r="Z272" s="395" t="n"/>
      <c r="AA272" s="395" t="n"/>
      <c r="AB272" s="395" t="n"/>
      <c r="AC272" s="395" t="n"/>
      <c r="AD272" s="395" t="n"/>
      <c r="AE272" s="395" t="n"/>
    </row>
    <row r="273" ht="42" customHeight="1" s="380">
      <c r="A273" s="73" t="n">
        <v>42</v>
      </c>
      <c r="B273" s="386" t="n"/>
      <c r="C273" s="386" t="inlineStr">
        <is>
          <t>Chào bán phát hành &gt;&gt; Tổng hợp số liệu chào bán, phát hành cổ phiếu</t>
        </is>
      </c>
      <c r="D273" s="386" t="inlineStr">
        <is>
          <t>Đối tượng chào bán &gt;&gt; Chào bán riêng lẻ &gt;&gt; Số lượng</t>
        </is>
      </c>
      <c r="E273" s="386" t="inlineStr">
        <is>
          <t>Đối tượng chào bán &gt;&gt; Chào bán riêng lẻ &gt;&gt; Số lượng</t>
        </is>
      </c>
      <c r="F273" s="386" t="inlineStr">
        <is>
          <t>Data Explorer</t>
        </is>
      </c>
      <c r="G273" s="386" t="inlineStr">
        <is>
          <t>Chỉ tiêu cơ sở</t>
        </is>
      </c>
      <c r="H273" s="386" t="inlineStr">
        <is>
          <t>TB</t>
        </is>
      </c>
      <c r="I273" s="386" t="inlineStr">
        <is>
          <t>Ngày, CTCK</t>
        </is>
      </c>
      <c r="J273" s="395" t="inlineStr">
        <is>
          <t>SCMS</t>
        </is>
      </c>
      <c r="K273" s="395" t="n"/>
      <c r="L273" s="395" t="inlineStr">
        <is>
          <t>X</t>
        </is>
      </c>
      <c r="M273" s="395" t="n"/>
      <c r="N273" s="395" t="inlineStr">
        <is>
          <t>Pending</t>
        </is>
      </c>
      <c r="O273" s="401" t="n"/>
      <c r="P273" s="395" t="n"/>
      <c r="Q273" s="395" t="n"/>
      <c r="R273" s="395" t="n"/>
      <c r="S273" s="395" t="n"/>
      <c r="T273" s="386" t="n"/>
      <c r="U273" s="386" t="n"/>
      <c r="V273" s="395" t="n"/>
      <c r="W273" s="395" t="n"/>
      <c r="X273" s="395" t="n"/>
      <c r="Y273" s="395" t="n"/>
      <c r="Z273" s="395" t="n"/>
      <c r="AA273" s="395" t="n"/>
      <c r="AB273" s="395" t="n"/>
      <c r="AC273" s="395" t="n"/>
      <c r="AD273" s="395" t="n"/>
      <c r="AE273" s="395" t="n"/>
    </row>
    <row r="274" ht="42" customHeight="1" s="380">
      <c r="A274" s="73" t="n">
        <v>42</v>
      </c>
      <c r="B274" s="386" t="n"/>
      <c r="C274" s="386" t="inlineStr">
        <is>
          <t>Chào bán phát hành &gt;&gt; Tổng hợp số liệu chào bán, phát hành cổ phiếu</t>
        </is>
      </c>
      <c r="D274" s="386" t="inlineStr">
        <is>
          <t>Đối tượng chào bán &gt;&gt; Chào bán riêng lẻ &gt;&gt; Giá (đồng)</t>
        </is>
      </c>
      <c r="E274" s="386" t="inlineStr">
        <is>
          <t>Đối tượng chào bán &gt;&gt; Chào bán riêng lẻ &gt;&gt; Giá (đồng)</t>
        </is>
      </c>
      <c r="F274" s="386" t="inlineStr">
        <is>
          <t>Data Explorer</t>
        </is>
      </c>
      <c r="G274" s="386" t="inlineStr">
        <is>
          <t>Chỉ tiêu cơ sở</t>
        </is>
      </c>
      <c r="H274" s="386" t="inlineStr">
        <is>
          <t>TB</t>
        </is>
      </c>
      <c r="I274" s="386" t="inlineStr">
        <is>
          <t>Ngày, CTCK</t>
        </is>
      </c>
      <c r="J274" s="395" t="inlineStr">
        <is>
          <t>SCMS</t>
        </is>
      </c>
      <c r="K274" s="395" t="n"/>
      <c r="L274" s="395" t="inlineStr">
        <is>
          <t>X</t>
        </is>
      </c>
      <c r="M274" s="395" t="n"/>
      <c r="N274" s="395" t="inlineStr">
        <is>
          <t>Pending</t>
        </is>
      </c>
      <c r="O274" s="401" t="n"/>
      <c r="P274" s="395" t="n"/>
      <c r="Q274" s="395" t="n"/>
      <c r="R274" s="395" t="n"/>
      <c r="S274" s="395" t="n"/>
      <c r="T274" s="386" t="n"/>
      <c r="U274" s="386" t="n"/>
      <c r="V274" s="395" t="n"/>
      <c r="W274" s="395" t="n"/>
      <c r="X274" s="395" t="n"/>
      <c r="Y274" s="395" t="n"/>
      <c r="Z274" s="395" t="n"/>
      <c r="AA274" s="395" t="n"/>
      <c r="AB274" s="395" t="n"/>
      <c r="AC274" s="395" t="n"/>
      <c r="AD274" s="395" t="n"/>
      <c r="AE274" s="395" t="n"/>
    </row>
    <row r="275" ht="42" customHeight="1" s="380">
      <c r="A275" s="73" t="n">
        <v>42</v>
      </c>
      <c r="B275" s="386" t="n"/>
      <c r="C275" s="386" t="inlineStr">
        <is>
          <t>Chào bán phát hành &gt;&gt; Tổng hợp số liệu chào bán, phát hành cổ phiếu</t>
        </is>
      </c>
      <c r="D275" s="386" t="inlineStr">
        <is>
          <t>Đối tượng chào bán &gt;&gt; Chào bán riêng lẻ &gt;&gt; Giá trị (đồng)</t>
        </is>
      </c>
      <c r="E275" s="386" t="inlineStr">
        <is>
          <t>Đối tượng chào bán &gt;&gt; Chào bán riêng lẻ &gt;&gt; Giá trị (đồng)</t>
        </is>
      </c>
      <c r="F275" s="386" t="inlineStr">
        <is>
          <t>Data Explorer</t>
        </is>
      </c>
      <c r="G275" s="386" t="inlineStr">
        <is>
          <t>Chỉ tiêu cơ sở</t>
        </is>
      </c>
      <c r="H275" s="386" t="inlineStr">
        <is>
          <t>TB</t>
        </is>
      </c>
      <c r="I275" s="386" t="inlineStr">
        <is>
          <t>Ngày, CTCK</t>
        </is>
      </c>
      <c r="J275" s="395" t="inlineStr">
        <is>
          <t>SCMS</t>
        </is>
      </c>
      <c r="K275" s="395" t="n"/>
      <c r="L275" s="395" t="inlineStr">
        <is>
          <t>X</t>
        </is>
      </c>
      <c r="M275" s="395" t="n"/>
      <c r="N275" s="395" t="inlineStr">
        <is>
          <t>Pending</t>
        </is>
      </c>
      <c r="O275" s="401" t="n"/>
      <c r="P275" s="395" t="n"/>
      <c r="Q275" s="395" t="n"/>
      <c r="R275" s="395" t="n"/>
      <c r="S275" s="395" t="n"/>
      <c r="T275" s="386" t="n"/>
      <c r="U275" s="386" t="n"/>
      <c r="V275" s="395" t="n"/>
      <c r="W275" s="395" t="n"/>
      <c r="X275" s="395" t="n"/>
      <c r="Y275" s="395" t="n"/>
      <c r="Z275" s="395" t="n"/>
      <c r="AA275" s="395" t="n"/>
      <c r="AB275" s="395" t="n"/>
      <c r="AC275" s="395" t="n"/>
      <c r="AD275" s="395" t="n"/>
      <c r="AE275" s="395" t="n"/>
    </row>
    <row r="276" ht="42" customHeight="1" s="380">
      <c r="A276" s="73" t="n">
        <v>42</v>
      </c>
      <c r="B276" s="386" t="n"/>
      <c r="C276" s="386" t="inlineStr">
        <is>
          <t>Chào bán phát hành &gt;&gt; Tổng hợp số liệu chào bán, phát hành cổ phiếu</t>
        </is>
      </c>
      <c r="D276" s="386" t="inlineStr">
        <is>
          <t>Đối tượng chào bán &gt;&gt; Chào bán riêng lẻ &gt;&gt; Đối tượng</t>
        </is>
      </c>
      <c r="E276" s="386" t="inlineStr">
        <is>
          <t>Đối tượng chào bán &gt;&gt; Chào bán riêng lẻ &gt;&gt; Đối tượng</t>
        </is>
      </c>
      <c r="F276" s="386" t="inlineStr">
        <is>
          <t>Data Explorer</t>
        </is>
      </c>
      <c r="G276" s="386" t="inlineStr">
        <is>
          <t>Chỉ tiêu cơ sở</t>
        </is>
      </c>
      <c r="H276" s="386" t="inlineStr">
        <is>
          <t>TB</t>
        </is>
      </c>
      <c r="I276" s="386" t="inlineStr">
        <is>
          <t>Ngày, CTCK</t>
        </is>
      </c>
      <c r="J276" s="395" t="inlineStr">
        <is>
          <t>SCMS</t>
        </is>
      </c>
      <c r="K276" s="395" t="n"/>
      <c r="L276" s="395" t="inlineStr">
        <is>
          <t>X</t>
        </is>
      </c>
      <c r="M276" s="395" t="n"/>
      <c r="N276" s="395" t="inlineStr">
        <is>
          <t>Pending</t>
        </is>
      </c>
      <c r="O276" s="401" t="n"/>
      <c r="P276" s="395" t="n"/>
      <c r="Q276" s="395" t="n"/>
      <c r="R276" s="395" t="n"/>
      <c r="S276" s="395" t="n"/>
      <c r="T276" s="386" t="n"/>
      <c r="U276" s="386" t="n"/>
      <c r="V276" s="395" t="n"/>
      <c r="W276" s="395" t="n"/>
      <c r="X276" s="395" t="n"/>
      <c r="Y276" s="395" t="n"/>
      <c r="Z276" s="395" t="n"/>
      <c r="AA276" s="395" t="n"/>
      <c r="AB276" s="395" t="n"/>
      <c r="AC276" s="395" t="n"/>
      <c r="AD276" s="395" t="n"/>
      <c r="AE276" s="395" t="n"/>
    </row>
    <row r="277" ht="42" customHeight="1" s="380">
      <c r="A277" s="73" t="n">
        <v>42</v>
      </c>
      <c r="B277" s="386" t="n"/>
      <c r="C277" s="386" t="inlineStr">
        <is>
          <t>Chào bán phát hành &gt;&gt; Tổng hợp số liệu chào bán, phát hành cổ phiếu</t>
        </is>
      </c>
      <c r="D277" s="386" t="inlineStr">
        <is>
          <t>Đối tượng chào bán &gt;&gt; Đối tượng khác &gt;&gt; Đấu giá &gt;&gt; Số lượng</t>
        </is>
      </c>
      <c r="E277" s="386" t="inlineStr">
        <is>
          <t>Đối tượng chào bán &gt;&gt; Đối tượng khác &gt;&gt; Đấu giá &gt;&gt; Số lượng</t>
        </is>
      </c>
      <c r="F277" s="386" t="inlineStr">
        <is>
          <t>Data Explorer</t>
        </is>
      </c>
      <c r="G277" s="386" t="inlineStr">
        <is>
          <t>Chỉ tiêu cơ sở</t>
        </is>
      </c>
      <c r="H277" s="386" t="inlineStr">
        <is>
          <t>TB</t>
        </is>
      </c>
      <c r="I277" s="386" t="inlineStr">
        <is>
          <t>Ngày, CTCK</t>
        </is>
      </c>
      <c r="J277" s="395" t="inlineStr">
        <is>
          <t>SCMS</t>
        </is>
      </c>
      <c r="K277" s="395" t="n"/>
      <c r="L277" s="395" t="inlineStr">
        <is>
          <t>X</t>
        </is>
      </c>
      <c r="M277" s="395" t="n"/>
      <c r="N277" s="395" t="inlineStr">
        <is>
          <t>Pending</t>
        </is>
      </c>
      <c r="O277" s="401" t="n"/>
      <c r="P277" s="395" t="n"/>
      <c r="Q277" s="395" t="n"/>
      <c r="R277" s="395" t="n"/>
      <c r="S277" s="395" t="n"/>
      <c r="T277" s="386" t="n"/>
      <c r="U277" s="386" t="n"/>
      <c r="V277" s="395" t="n"/>
      <c r="W277" s="395" t="n"/>
      <c r="X277" s="395" t="n"/>
      <c r="Y277" s="395" t="n"/>
      <c r="Z277" s="395" t="n"/>
      <c r="AA277" s="395" t="n"/>
      <c r="AB277" s="395" t="n"/>
      <c r="AC277" s="395" t="n"/>
      <c r="AD277" s="395" t="n"/>
      <c r="AE277" s="395" t="n"/>
    </row>
    <row r="278" ht="56" customHeight="1" s="380">
      <c r="A278" s="73" t="n">
        <v>42</v>
      </c>
      <c r="B278" s="386" t="n"/>
      <c r="C278" s="386" t="inlineStr">
        <is>
          <t>Chào bán phát hành &gt;&gt; Tổng hợp số liệu chào bán, phát hành cổ phiếu</t>
        </is>
      </c>
      <c r="D278" s="386" t="inlineStr">
        <is>
          <t>Đối tượng chào bán &gt;&gt; Đối tượng khác &gt;&gt; Đấu giá &gt;&gt; Giá khởi điểm (đồng)</t>
        </is>
      </c>
      <c r="E278" s="386" t="inlineStr">
        <is>
          <t>Đối tượng chào bán &gt;&gt; Đối tượng khác &gt;&gt; Đấu giá &gt;&gt; Giá khởi điểm (đồng)</t>
        </is>
      </c>
      <c r="F278" s="386" t="inlineStr">
        <is>
          <t>Data Explorer</t>
        </is>
      </c>
      <c r="G278" s="386" t="inlineStr">
        <is>
          <t>Chỉ tiêu cơ sở</t>
        </is>
      </c>
      <c r="H278" s="386" t="inlineStr">
        <is>
          <t>TB</t>
        </is>
      </c>
      <c r="I278" s="386" t="inlineStr">
        <is>
          <t>Ngày, CTCK</t>
        </is>
      </c>
      <c r="J278" s="395" t="inlineStr">
        <is>
          <t>SCMS</t>
        </is>
      </c>
      <c r="K278" s="395" t="n"/>
      <c r="L278" s="395" t="inlineStr">
        <is>
          <t>X</t>
        </is>
      </c>
      <c r="M278" s="395" t="n"/>
      <c r="N278" s="395" t="inlineStr">
        <is>
          <t>Pending</t>
        </is>
      </c>
      <c r="O278" s="401" t="n"/>
      <c r="P278" s="395" t="n"/>
      <c r="Q278" s="395" t="n"/>
      <c r="R278" s="395" t="n"/>
      <c r="S278" s="395" t="n"/>
      <c r="T278" s="386" t="n"/>
      <c r="U278" s="386" t="n"/>
      <c r="V278" s="395" t="n"/>
      <c r="W278" s="395" t="n"/>
      <c r="X278" s="395" t="n"/>
      <c r="Y278" s="395" t="n"/>
      <c r="Z278" s="395" t="n"/>
      <c r="AA278" s="395" t="n"/>
      <c r="AB278" s="395" t="n"/>
      <c r="AC278" s="395" t="n"/>
      <c r="AD278" s="395" t="n"/>
      <c r="AE278" s="395" t="n"/>
    </row>
    <row r="279" ht="42" customHeight="1" s="380">
      <c r="A279" s="73" t="n">
        <v>42</v>
      </c>
      <c r="B279" s="386" t="n"/>
      <c r="C279" s="386" t="inlineStr">
        <is>
          <t>Chào bán phát hành &gt;&gt; Tổng hợp số liệu chào bán, phát hành cổ phiếu</t>
        </is>
      </c>
      <c r="D279" s="386" t="inlineStr">
        <is>
          <t>Đối tượng chào bán &gt;&gt; Đối tượng khác &gt;&gt; Đấu giá &gt;&gt; Giá trị (đồng)</t>
        </is>
      </c>
      <c r="E279" s="386" t="inlineStr">
        <is>
          <t>Đối tượng chào bán &gt;&gt; Đối tượng khác &gt;&gt; Đấu giá &gt;&gt; Giá trị (đồng)</t>
        </is>
      </c>
      <c r="F279" s="386" t="inlineStr">
        <is>
          <t>Data Explorer</t>
        </is>
      </c>
      <c r="G279" s="386" t="inlineStr">
        <is>
          <t>Chỉ tiêu cơ sở</t>
        </is>
      </c>
      <c r="H279" s="386" t="inlineStr">
        <is>
          <t>TB</t>
        </is>
      </c>
      <c r="I279" s="386" t="inlineStr">
        <is>
          <t>Ngày, CTCK</t>
        </is>
      </c>
      <c r="J279" s="395" t="inlineStr">
        <is>
          <t>SCMS</t>
        </is>
      </c>
      <c r="K279" s="395" t="n"/>
      <c r="L279" s="395" t="inlineStr">
        <is>
          <t>X</t>
        </is>
      </c>
      <c r="M279" s="395" t="n"/>
      <c r="N279" s="395" t="inlineStr">
        <is>
          <t>Pending</t>
        </is>
      </c>
      <c r="O279" s="401" t="n"/>
      <c r="P279" s="395" t="n"/>
      <c r="Q279" s="395" t="n"/>
      <c r="R279" s="395" t="n"/>
      <c r="S279" s="395" t="n"/>
      <c r="T279" s="386" t="n"/>
      <c r="U279" s="386" t="n"/>
      <c r="V279" s="395" t="n"/>
      <c r="W279" s="395" t="n"/>
      <c r="X279" s="395" t="n"/>
      <c r="Y279" s="395" t="n"/>
      <c r="Z279" s="395" t="n"/>
      <c r="AA279" s="395" t="n"/>
      <c r="AB279" s="395" t="n"/>
      <c r="AC279" s="395" t="n"/>
      <c r="AD279" s="395" t="n"/>
      <c r="AE279" s="395" t="n"/>
    </row>
    <row r="280" ht="42" customHeight="1" s="380">
      <c r="A280" s="73" t="n">
        <v>42</v>
      </c>
      <c r="B280" s="386" t="n"/>
      <c r="C280" s="386" t="inlineStr">
        <is>
          <t>Chào bán phát hành &gt;&gt; Tổng hợp số liệu chào bán, phát hành cổ phiếu</t>
        </is>
      </c>
      <c r="D280" s="386" t="inlineStr">
        <is>
          <t>Đối tượng chào bán &gt;&gt; Đối tượng khác &gt;&gt; Khác &gt;&gt; Số lượng</t>
        </is>
      </c>
      <c r="E280" s="386" t="inlineStr">
        <is>
          <t>Đối tượng chào bán &gt;&gt; Đối tượng khác &gt;&gt; Khác &gt;&gt; Số lượng</t>
        </is>
      </c>
      <c r="F280" s="386" t="inlineStr">
        <is>
          <t>Data Explorer</t>
        </is>
      </c>
      <c r="G280" s="386" t="inlineStr">
        <is>
          <t>Chỉ tiêu cơ sở</t>
        </is>
      </c>
      <c r="H280" s="386" t="inlineStr">
        <is>
          <t>TB</t>
        </is>
      </c>
      <c r="I280" s="386" t="inlineStr">
        <is>
          <t>Ngày, CTCK</t>
        </is>
      </c>
      <c r="J280" s="395" t="inlineStr">
        <is>
          <t>SCMS</t>
        </is>
      </c>
      <c r="K280" s="395" t="n"/>
      <c r="L280" s="395" t="inlineStr">
        <is>
          <t>X</t>
        </is>
      </c>
      <c r="M280" s="395" t="n"/>
      <c r="N280" s="395" t="inlineStr">
        <is>
          <t>Pending</t>
        </is>
      </c>
      <c r="O280" s="401" t="n"/>
      <c r="P280" s="395" t="n"/>
      <c r="Q280" s="395" t="n"/>
      <c r="R280" s="395" t="n"/>
      <c r="S280" s="395" t="n"/>
      <c r="T280" s="386" t="n"/>
      <c r="U280" s="386" t="n"/>
      <c r="V280" s="395" t="n"/>
      <c r="W280" s="395" t="n"/>
      <c r="X280" s="395" t="n"/>
      <c r="Y280" s="395" t="n"/>
      <c r="Z280" s="395" t="n"/>
      <c r="AA280" s="395" t="n"/>
      <c r="AB280" s="395" t="n"/>
      <c r="AC280" s="395" t="n"/>
      <c r="AD280" s="395" t="n"/>
      <c r="AE280" s="395" t="n"/>
    </row>
    <row r="281" ht="42" customHeight="1" s="380">
      <c r="A281" s="73" t="n">
        <v>42</v>
      </c>
      <c r="B281" s="386" t="n"/>
      <c r="C281" s="386" t="inlineStr">
        <is>
          <t>Chào bán phát hành &gt;&gt; Tổng hợp số liệu chào bán, phát hành cổ phiếu</t>
        </is>
      </c>
      <c r="D281" s="386" t="inlineStr">
        <is>
          <t>Đối tượng chào bán &gt;&gt; Đối tượng khác &gt;&gt; Khác &gt;&gt; Giá (đồng)</t>
        </is>
      </c>
      <c r="E281" s="386" t="inlineStr">
        <is>
          <t>Đối tượng chào bán &gt;&gt; Đối tượng khác &gt;&gt; Khác &gt;&gt; Giá (đồng)</t>
        </is>
      </c>
      <c r="F281" s="386" t="inlineStr">
        <is>
          <t>Data Explorer</t>
        </is>
      </c>
      <c r="G281" s="386" t="inlineStr">
        <is>
          <t>Chỉ tiêu cơ sở</t>
        </is>
      </c>
      <c r="H281" s="386" t="inlineStr">
        <is>
          <t>TB</t>
        </is>
      </c>
      <c r="I281" s="386" t="inlineStr">
        <is>
          <t>Ngày, CTCK</t>
        </is>
      </c>
      <c r="J281" s="395" t="inlineStr">
        <is>
          <t>SCMS</t>
        </is>
      </c>
      <c r="K281" s="395" t="n"/>
      <c r="L281" s="395" t="inlineStr">
        <is>
          <t>X</t>
        </is>
      </c>
      <c r="M281" s="395" t="n"/>
      <c r="N281" s="395" t="inlineStr">
        <is>
          <t>Pending</t>
        </is>
      </c>
      <c r="O281" s="401" t="n"/>
      <c r="P281" s="395" t="n"/>
      <c r="Q281" s="395" t="n"/>
      <c r="R281" s="395" t="n"/>
      <c r="S281" s="395" t="n"/>
      <c r="T281" s="386" t="n"/>
      <c r="U281" s="386" t="n"/>
      <c r="V281" s="395" t="n"/>
      <c r="W281" s="395" t="n"/>
      <c r="X281" s="395" t="n"/>
      <c r="Y281" s="395" t="n"/>
      <c r="Z281" s="395" t="n"/>
      <c r="AA281" s="395" t="n"/>
      <c r="AB281" s="395" t="n"/>
      <c r="AC281" s="395" t="n"/>
      <c r="AD281" s="395" t="n"/>
      <c r="AE281" s="395" t="n"/>
    </row>
    <row r="282" ht="42" customHeight="1" s="380">
      <c r="A282" s="73" t="n">
        <v>42</v>
      </c>
      <c r="B282" s="386" t="n"/>
      <c r="C282" s="386" t="inlineStr">
        <is>
          <t>Chào bán phát hành &gt;&gt; Tổng hợp số liệu chào bán, phát hành cổ phiếu</t>
        </is>
      </c>
      <c r="D282" s="386" t="inlineStr">
        <is>
          <t>Đối tượng chào bán &gt;&gt; Đối tượng khác &gt;&gt; Khác &gt;&gt; Giá trị (đồng)</t>
        </is>
      </c>
      <c r="E282" s="386" t="inlineStr">
        <is>
          <t>Đối tượng chào bán &gt;&gt; Đối tượng khác &gt;&gt; Khác &gt;&gt; Giá trị (đồng)</t>
        </is>
      </c>
      <c r="F282" s="386" t="inlineStr">
        <is>
          <t>Data Explorer</t>
        </is>
      </c>
      <c r="G282" s="386" t="inlineStr">
        <is>
          <t>Chỉ tiêu cơ sở</t>
        </is>
      </c>
      <c r="H282" s="386" t="inlineStr">
        <is>
          <t>TB</t>
        </is>
      </c>
      <c r="I282" s="386" t="inlineStr">
        <is>
          <t>Ngày, CTCK</t>
        </is>
      </c>
      <c r="J282" s="395" t="inlineStr">
        <is>
          <t>SCMS</t>
        </is>
      </c>
      <c r="K282" s="395" t="n"/>
      <c r="L282" s="395" t="inlineStr">
        <is>
          <t>X</t>
        </is>
      </c>
      <c r="M282" s="395" t="n"/>
      <c r="N282" s="395" t="inlineStr">
        <is>
          <t>Pending</t>
        </is>
      </c>
      <c r="O282" s="401" t="n"/>
      <c r="P282" s="395" t="n"/>
      <c r="Q282" s="395" t="n"/>
      <c r="R282" s="395" t="n"/>
      <c r="S282" s="395" t="n"/>
      <c r="T282" s="386" t="n"/>
      <c r="U282" s="386" t="n"/>
      <c r="V282" s="395" t="n"/>
      <c r="W282" s="395" t="n"/>
      <c r="X282" s="395" t="n"/>
      <c r="Y282" s="395" t="n"/>
      <c r="Z282" s="395" t="n"/>
      <c r="AA282" s="395" t="n"/>
      <c r="AB282" s="395" t="n"/>
      <c r="AC282" s="395" t="n"/>
      <c r="AD282" s="395" t="n"/>
      <c r="AE282" s="395" t="n"/>
    </row>
    <row r="283" ht="42" customHeight="1" s="380">
      <c r="A283" s="73" t="n">
        <v>42</v>
      </c>
      <c r="B283" s="386" t="n"/>
      <c r="C283" s="386" t="inlineStr">
        <is>
          <t>Chào bán phát hành &gt;&gt; Tổng hợp số liệu chào bán, phát hành cổ phiếu</t>
        </is>
      </c>
      <c r="D283" s="386" t="inlineStr">
        <is>
          <t xml:space="preserve">Phát hành cổ phiếu để hoán đổi &gt;&gt; Số lượng </t>
        </is>
      </c>
      <c r="E283" s="386" t="inlineStr">
        <is>
          <t xml:space="preserve">Phát hành cổ phiếu để hoán đổi &gt;&gt; Số lượng </t>
        </is>
      </c>
      <c r="F283" s="386" t="inlineStr">
        <is>
          <t>Data Explorer</t>
        </is>
      </c>
      <c r="G283" s="386" t="inlineStr">
        <is>
          <t>Chỉ tiêu cơ sở</t>
        </is>
      </c>
      <c r="H283" s="386" t="inlineStr">
        <is>
          <t>TB</t>
        </is>
      </c>
      <c r="I283" s="386" t="inlineStr">
        <is>
          <t>Ngày, CTCK</t>
        </is>
      </c>
      <c r="J283" s="395" t="inlineStr">
        <is>
          <t>SCMS</t>
        </is>
      </c>
      <c r="K283" s="395" t="n"/>
      <c r="L283" s="395" t="inlineStr">
        <is>
          <t>X</t>
        </is>
      </c>
      <c r="M283" s="395" t="n"/>
      <c r="N283" s="395" t="inlineStr">
        <is>
          <t>Pending</t>
        </is>
      </c>
      <c r="O283" s="401" t="n"/>
      <c r="P283" s="395" t="n"/>
      <c r="Q283" s="395" t="n"/>
      <c r="R283" s="395" t="n"/>
      <c r="S283" s="395" t="n"/>
      <c r="T283" s="386" t="n"/>
      <c r="U283" s="386" t="n"/>
      <c r="V283" s="395" t="n"/>
      <c r="W283" s="395" t="n"/>
      <c r="X283" s="395" t="n"/>
      <c r="Y283" s="395" t="n"/>
      <c r="Z283" s="395" t="n"/>
      <c r="AA283" s="395" t="n"/>
      <c r="AB283" s="395" t="n"/>
      <c r="AC283" s="395" t="n"/>
      <c r="AD283" s="395" t="n"/>
      <c r="AE283" s="395" t="n"/>
    </row>
    <row r="284" ht="42" customHeight="1" s="380">
      <c r="A284" s="73" t="n">
        <v>42</v>
      </c>
      <c r="B284" s="386" t="n"/>
      <c r="C284" s="386" t="inlineStr">
        <is>
          <t>Chào bán phát hành &gt;&gt; Tổng hợp số liệu chào bán, phát hành cổ phiếu</t>
        </is>
      </c>
      <c r="D284" s="386" t="inlineStr">
        <is>
          <t>Phát hành cổ phiếu để hoán đổi &gt;&gt; Giá trị (đồng)</t>
        </is>
      </c>
      <c r="E284" s="386" t="inlineStr">
        <is>
          <t>Phát hành cổ phiếu để hoán đổi &gt;&gt; Giá trị (đồng)</t>
        </is>
      </c>
      <c r="F284" s="386" t="inlineStr">
        <is>
          <t>Data Explorer</t>
        </is>
      </c>
      <c r="G284" s="386" t="inlineStr">
        <is>
          <t>Chỉ tiêu cơ sở</t>
        </is>
      </c>
      <c r="H284" s="386" t="inlineStr">
        <is>
          <t>TB</t>
        </is>
      </c>
      <c r="I284" s="386" t="inlineStr">
        <is>
          <t>Ngày, CTCK</t>
        </is>
      </c>
      <c r="J284" s="395" t="inlineStr">
        <is>
          <t>SCMS</t>
        </is>
      </c>
      <c r="K284" s="395" t="n"/>
      <c r="L284" s="395" t="inlineStr">
        <is>
          <t>X</t>
        </is>
      </c>
      <c r="M284" s="395" t="n"/>
      <c r="N284" s="395" t="inlineStr">
        <is>
          <t>Pending</t>
        </is>
      </c>
      <c r="O284" s="401" t="n"/>
      <c r="P284" s="395" t="n"/>
      <c r="Q284" s="395" t="n"/>
      <c r="R284" s="395" t="n"/>
      <c r="S284" s="395" t="n"/>
      <c r="T284" s="386" t="n"/>
      <c r="U284" s="386" t="n"/>
      <c r="V284" s="395" t="n"/>
      <c r="W284" s="395" t="n"/>
      <c r="X284" s="395" t="n"/>
      <c r="Y284" s="395" t="n"/>
      <c r="Z284" s="395" t="n"/>
      <c r="AA284" s="395" t="n"/>
      <c r="AB284" s="395" t="n"/>
      <c r="AC284" s="395" t="n"/>
      <c r="AD284" s="395" t="n"/>
      <c r="AE284" s="395" t="n"/>
    </row>
    <row r="285" ht="42" customHeight="1" s="380">
      <c r="A285" s="73" t="n">
        <v>42</v>
      </c>
      <c r="B285" s="386" t="n"/>
      <c r="C285" s="386" t="inlineStr">
        <is>
          <t>Chào bán phát hành &gt;&gt; Tổng hợp số liệu chào bán, phát hành cổ phiếu</t>
        </is>
      </c>
      <c r="D285" s="386" t="inlineStr">
        <is>
          <t>Phát hành cổ phiếu để hoán đổi &gt;&gt; Mục đích</t>
        </is>
      </c>
      <c r="E285" s="386" t="inlineStr">
        <is>
          <t>Phát hành cổ phiếu để hoán đổi &gt;&gt; Mục đích</t>
        </is>
      </c>
      <c r="F285" s="386" t="inlineStr">
        <is>
          <t>Data Explorer</t>
        </is>
      </c>
      <c r="G285" s="386" t="inlineStr">
        <is>
          <t>Chỉ tiêu cơ sở</t>
        </is>
      </c>
      <c r="H285" s="386" t="inlineStr">
        <is>
          <t>TB</t>
        </is>
      </c>
      <c r="I285" s="386" t="inlineStr">
        <is>
          <t>Ngày, CTCK</t>
        </is>
      </c>
      <c r="J285" s="395" t="inlineStr">
        <is>
          <t>SCMS</t>
        </is>
      </c>
      <c r="K285" s="395" t="n"/>
      <c r="L285" s="395" t="inlineStr">
        <is>
          <t>X</t>
        </is>
      </c>
      <c r="M285" s="395" t="n"/>
      <c r="N285" s="395" t="inlineStr">
        <is>
          <t>Pending</t>
        </is>
      </c>
      <c r="O285" s="401" t="n"/>
      <c r="P285" s="395" t="n"/>
      <c r="Q285" s="395" t="n"/>
      <c r="R285" s="395" t="n"/>
      <c r="S285" s="395" t="n"/>
      <c r="T285" s="386" t="n"/>
      <c r="U285" s="386" t="n"/>
      <c r="V285" s="395" t="n"/>
      <c r="W285" s="395" t="n"/>
      <c r="X285" s="395" t="n"/>
      <c r="Y285" s="395" t="n"/>
      <c r="Z285" s="395" t="n"/>
      <c r="AA285" s="395" t="n"/>
      <c r="AB285" s="395" t="n"/>
      <c r="AC285" s="395" t="n"/>
      <c r="AD285" s="395" t="n"/>
      <c r="AE285" s="395" t="n"/>
    </row>
    <row r="286" ht="42" customHeight="1" s="380">
      <c r="A286" s="73" t="n">
        <v>42</v>
      </c>
      <c r="B286" s="386" t="n"/>
      <c r="C286" s="386" t="inlineStr">
        <is>
          <t>Chào bán phát hành &gt;&gt; Tổng hợp số liệu chào bán, phát hành cổ phiếu</t>
        </is>
      </c>
      <c r="D286" s="386" t="inlineStr">
        <is>
          <t>Chào bán của cổ đông lớn &gt;&gt; Số lượng</t>
        </is>
      </c>
      <c r="E286" s="395" t="inlineStr">
        <is>
          <t>Chào bán của cổ đông lớn &gt;&gt; Số lượng</t>
        </is>
      </c>
      <c r="F286" s="386" t="inlineStr">
        <is>
          <t>Data Explorer</t>
        </is>
      </c>
      <c r="G286" s="386" t="inlineStr">
        <is>
          <t>Chỉ tiêu cơ sở</t>
        </is>
      </c>
      <c r="H286" s="386" t="inlineStr">
        <is>
          <t>TB</t>
        </is>
      </c>
      <c r="I286" s="386" t="inlineStr">
        <is>
          <t>Ngày, CTCK</t>
        </is>
      </c>
      <c r="J286" s="395" t="inlineStr">
        <is>
          <t>SCMS</t>
        </is>
      </c>
      <c r="K286" s="395" t="n"/>
      <c r="L286" s="395" t="inlineStr">
        <is>
          <t>X</t>
        </is>
      </c>
      <c r="M286" s="395" t="n"/>
      <c r="N286" s="395" t="inlineStr">
        <is>
          <t>Pending</t>
        </is>
      </c>
      <c r="O286" s="401" t="n"/>
      <c r="P286" s="395" t="n"/>
      <c r="Q286" s="395" t="n"/>
      <c r="R286" s="395" t="n"/>
      <c r="S286" s="395" t="n"/>
      <c r="T286" s="386" t="n"/>
      <c r="U286" s="386" t="n"/>
      <c r="V286" s="395" t="n"/>
      <c r="W286" s="395" t="n"/>
      <c r="X286" s="395" t="n"/>
      <c r="Y286" s="395" t="n"/>
      <c r="Z286" s="395" t="n"/>
      <c r="AA286" s="395" t="n"/>
      <c r="AB286" s="395" t="n"/>
      <c r="AC286" s="395" t="n"/>
      <c r="AD286" s="395" t="n"/>
      <c r="AE286" s="395" t="n"/>
    </row>
    <row r="287" ht="42" customHeight="1" s="380">
      <c r="A287" s="73" t="n">
        <v>42</v>
      </c>
      <c r="B287" s="386" t="n"/>
      <c r="C287" s="386" t="inlineStr">
        <is>
          <t>Chào bán phát hành &gt;&gt; Tổng hợp số liệu chào bán, phát hành cổ phiếu</t>
        </is>
      </c>
      <c r="D287" s="386" t="inlineStr">
        <is>
          <t>Chào bán của cổ đông lớn &gt;&gt; Giá (đồng)</t>
        </is>
      </c>
      <c r="E287" s="395" t="inlineStr">
        <is>
          <t>Chào bán của cổ đông lớn &gt;&gt; Giá (đồng)</t>
        </is>
      </c>
      <c r="F287" s="386" t="inlineStr">
        <is>
          <t>Data Explorer</t>
        </is>
      </c>
      <c r="G287" s="386" t="inlineStr">
        <is>
          <t>Chỉ tiêu cơ sở</t>
        </is>
      </c>
      <c r="H287" s="386" t="inlineStr">
        <is>
          <t>TB</t>
        </is>
      </c>
      <c r="I287" s="386" t="inlineStr">
        <is>
          <t>Ngày, CTCK</t>
        </is>
      </c>
      <c r="J287" s="395" t="inlineStr">
        <is>
          <t>SCMS</t>
        </is>
      </c>
      <c r="K287" s="395" t="n"/>
      <c r="L287" s="395" t="inlineStr">
        <is>
          <t>X</t>
        </is>
      </c>
      <c r="M287" s="395" t="n"/>
      <c r="N287" s="395" t="inlineStr">
        <is>
          <t>Pending</t>
        </is>
      </c>
      <c r="O287" s="401" t="n"/>
      <c r="P287" s="395" t="n"/>
      <c r="Q287" s="395" t="n"/>
      <c r="R287" s="395" t="n"/>
      <c r="S287" s="395" t="n"/>
      <c r="T287" s="386" t="n"/>
      <c r="U287" s="386" t="n"/>
      <c r="V287" s="395" t="n"/>
      <c r="W287" s="395" t="n"/>
      <c r="X287" s="395" t="n"/>
      <c r="Y287" s="395" t="n"/>
      <c r="Z287" s="395" t="n"/>
      <c r="AA287" s="395" t="n"/>
      <c r="AB287" s="395" t="n"/>
      <c r="AC287" s="395" t="n"/>
      <c r="AD287" s="395" t="n"/>
      <c r="AE287" s="395" t="n"/>
    </row>
    <row r="288" ht="42" customHeight="1" s="380">
      <c r="A288" s="73" t="n">
        <v>42</v>
      </c>
      <c r="B288" s="386" t="n"/>
      <c r="C288" s="386" t="inlineStr">
        <is>
          <t>Chào bán phát hành &gt;&gt; Tổng hợp số liệu chào bán, phát hành cổ phiếu</t>
        </is>
      </c>
      <c r="D288" s="386" t="inlineStr">
        <is>
          <t>Chào bán của cổ đông lớn &gt;&gt; Giá trị (đồng)</t>
        </is>
      </c>
      <c r="E288" s="386" t="inlineStr">
        <is>
          <t>Chào bán của cổ đông lớn &gt;&gt; Giá trị (đồng)</t>
        </is>
      </c>
      <c r="F288" s="386" t="inlineStr">
        <is>
          <t>Data Explorer</t>
        </is>
      </c>
      <c r="G288" s="386" t="inlineStr">
        <is>
          <t>Chỉ tiêu cơ sở</t>
        </is>
      </c>
      <c r="H288" s="386" t="inlineStr">
        <is>
          <t>TB</t>
        </is>
      </c>
      <c r="I288" s="386" t="inlineStr">
        <is>
          <t>Ngày, CTCK</t>
        </is>
      </c>
      <c r="J288" s="395" t="inlineStr">
        <is>
          <t>SCMS</t>
        </is>
      </c>
      <c r="K288" s="395" t="n"/>
      <c r="L288" s="395" t="inlineStr">
        <is>
          <t>X</t>
        </is>
      </c>
      <c r="M288" s="395" t="n"/>
      <c r="N288" s="395" t="inlineStr">
        <is>
          <t>Pending</t>
        </is>
      </c>
      <c r="O288" s="401" t="n"/>
      <c r="P288" s="395" t="n"/>
      <c r="Q288" s="395" t="n"/>
      <c r="R288" s="395" t="n"/>
      <c r="S288" s="395" t="n"/>
      <c r="T288" s="386" t="n"/>
      <c r="U288" s="386" t="n"/>
      <c r="V288" s="395" t="n"/>
      <c r="W288" s="395" t="n"/>
      <c r="X288" s="395" t="n"/>
      <c r="Y288" s="395" t="n"/>
      <c r="Z288" s="395" t="n"/>
      <c r="AA288" s="395" t="n"/>
      <c r="AB288" s="395" t="n"/>
      <c r="AC288" s="395" t="n"/>
      <c r="AD288" s="395" t="n"/>
      <c r="AE288" s="395" t="n"/>
    </row>
    <row r="289" ht="42" customHeight="1" s="380">
      <c r="A289" s="73" t="n">
        <v>42</v>
      </c>
      <c r="B289" s="386" t="n"/>
      <c r="C289" s="386" t="inlineStr">
        <is>
          <t>Chào bán phát hành &gt;&gt; Tổng hợp số liệu chào bán, phát hành cổ phiếu</t>
        </is>
      </c>
      <c r="D289" s="386" t="inlineStr">
        <is>
          <t>Chủ sở hữu góp vốn &gt;&gt; Giá trị (đồng)</t>
        </is>
      </c>
      <c r="E289" s="395" t="inlineStr">
        <is>
          <t>Chủ sở hữu góp vốn &gt;&gt; Giá trị (đồng)</t>
        </is>
      </c>
      <c r="F289" s="386" t="inlineStr">
        <is>
          <t>Data Explorer</t>
        </is>
      </c>
      <c r="G289" s="386" t="inlineStr">
        <is>
          <t>Chỉ tiêu cơ sở</t>
        </is>
      </c>
      <c r="H289" s="386" t="inlineStr">
        <is>
          <t>TB</t>
        </is>
      </c>
      <c r="I289" s="386" t="inlineStr">
        <is>
          <t>Ngày, CTCK</t>
        </is>
      </c>
      <c r="J289" s="395" t="inlineStr">
        <is>
          <t>SCMS</t>
        </is>
      </c>
      <c r="K289" s="395" t="n"/>
      <c r="L289" s="395" t="inlineStr">
        <is>
          <t>X</t>
        </is>
      </c>
      <c r="M289" s="395" t="n"/>
      <c r="N289" s="395" t="inlineStr">
        <is>
          <t>Pending</t>
        </is>
      </c>
      <c r="O289" s="401" t="n"/>
      <c r="P289" s="395" t="n"/>
      <c r="Q289" s="395" t="n"/>
      <c r="R289" s="395" t="n"/>
      <c r="S289" s="395" t="n"/>
      <c r="T289" s="386" t="n"/>
      <c r="U289" s="386" t="n"/>
      <c r="V289" s="395" t="n"/>
      <c r="W289" s="395" t="n"/>
      <c r="X289" s="395" t="n"/>
      <c r="Y289" s="395" t="n"/>
      <c r="Z289" s="395" t="n"/>
      <c r="AA289" s="395" t="n"/>
      <c r="AB289" s="395" t="n"/>
      <c r="AC289" s="395" t="n"/>
      <c r="AD289" s="395" t="n"/>
      <c r="AE289" s="395" t="n"/>
    </row>
    <row r="290" ht="42" customHeight="1" s="380">
      <c r="A290" s="73" t="n">
        <v>42</v>
      </c>
      <c r="B290" s="386" t="n"/>
      <c r="C290" s="386" t="inlineStr">
        <is>
          <t>Chào bán phát hành &gt;&gt; Tổng hợp số liệu chào bán, phát hành cổ phiếu</t>
        </is>
      </c>
      <c r="D290" s="386" t="inlineStr">
        <is>
          <t>Tổng số lượng chứng khoán chào bán, phát hành</t>
        </is>
      </c>
      <c r="E290" s="386" t="inlineStr">
        <is>
          <t>Tổng số lượng chứng khoán chào bán, phát hành</t>
        </is>
      </c>
      <c r="F290" s="386" t="inlineStr">
        <is>
          <t>Data Explorer</t>
        </is>
      </c>
      <c r="G290" s="386" t="inlineStr">
        <is>
          <t>Chỉ tiêu cơ sở</t>
        </is>
      </c>
      <c r="H290" s="386" t="inlineStr">
        <is>
          <t>TB</t>
        </is>
      </c>
      <c r="I290" s="386" t="inlineStr">
        <is>
          <t>Ngày, CTCK</t>
        </is>
      </c>
      <c r="J290" s="395" t="inlineStr">
        <is>
          <t>SCMS</t>
        </is>
      </c>
      <c r="K290" s="395" t="n"/>
      <c r="L290" s="395" t="inlineStr">
        <is>
          <t>X</t>
        </is>
      </c>
      <c r="M290" s="395" t="n"/>
      <c r="N290" s="395" t="inlineStr">
        <is>
          <t>Pending</t>
        </is>
      </c>
      <c r="O290" s="401" t="n"/>
      <c r="P290" s="395" t="n"/>
      <c r="Q290" s="395" t="n"/>
      <c r="R290" s="395" t="n"/>
      <c r="S290" s="395" t="n"/>
      <c r="T290" s="386" t="n"/>
      <c r="U290" s="386" t="n"/>
      <c r="V290" s="395" t="n"/>
      <c r="W290" s="395" t="n"/>
      <c r="X290" s="395" t="n"/>
      <c r="Y290" s="395" t="n"/>
      <c r="Z290" s="395" t="n"/>
      <c r="AA290" s="395" t="n"/>
      <c r="AB290" s="395" t="n"/>
      <c r="AC290" s="395" t="n"/>
      <c r="AD290" s="395" t="n"/>
      <c r="AE290" s="395" t="n"/>
    </row>
    <row r="291" ht="42" customHeight="1" s="380">
      <c r="A291" s="73" t="n">
        <v>42</v>
      </c>
      <c r="B291" s="386" t="n"/>
      <c r="C291" s="386" t="inlineStr">
        <is>
          <t>Chào bán phát hành &gt;&gt; Tổng hợp số liệu chào bán, phát hành cổ phiếu</t>
        </is>
      </c>
      <c r="D291" s="386" t="inlineStr">
        <is>
          <t>Tổng số tiền dự kiến thu được
(đồng)</t>
        </is>
      </c>
      <c r="E291" s="395" t="inlineStr">
        <is>
          <t>Tổng số tiền dự kiến thu được
(đồng)</t>
        </is>
      </c>
      <c r="F291" s="386" t="inlineStr">
        <is>
          <t>Data Explorer</t>
        </is>
      </c>
      <c r="G291" s="386" t="inlineStr">
        <is>
          <t>Chỉ tiêu cơ sở</t>
        </is>
      </c>
      <c r="H291" s="386" t="inlineStr">
        <is>
          <t>TB</t>
        </is>
      </c>
      <c r="I291" s="386" t="inlineStr">
        <is>
          <t>Ngày, CTCK</t>
        </is>
      </c>
      <c r="J291" s="395" t="inlineStr">
        <is>
          <t>SCMS</t>
        </is>
      </c>
      <c r="K291" s="395" t="n"/>
      <c r="L291" s="395" t="inlineStr">
        <is>
          <t>X</t>
        </is>
      </c>
      <c r="M291" s="395" t="n"/>
      <c r="N291" s="395" t="inlineStr">
        <is>
          <t>Pending</t>
        </is>
      </c>
      <c r="O291" s="401" t="n"/>
      <c r="P291" s="395" t="n"/>
      <c r="Q291" s="395" t="n"/>
      <c r="R291" s="395" t="n"/>
      <c r="S291" s="395" t="n"/>
      <c r="T291" s="386" t="n"/>
      <c r="U291" s="386" t="n"/>
      <c r="V291" s="395" t="n"/>
      <c r="W291" s="395" t="n"/>
      <c r="X291" s="395" t="n"/>
      <c r="Y291" s="395" t="n"/>
      <c r="Z291" s="395" t="n"/>
      <c r="AA291" s="395" t="n"/>
      <c r="AB291" s="395" t="n"/>
      <c r="AC291" s="395" t="n"/>
      <c r="AD291" s="395" t="n"/>
      <c r="AE291" s="395" t="n"/>
    </row>
    <row r="292" ht="42" customHeight="1" s="380">
      <c r="A292" s="73" t="n">
        <v>42</v>
      </c>
      <c r="B292" s="386" t="n"/>
      <c r="C292" s="386" t="inlineStr">
        <is>
          <t>Chào bán phát hành &gt;&gt; Tổng hợp số liệu chào bán, phát hành cổ phiếu</t>
        </is>
      </c>
      <c r="D292" s="386" t="inlineStr">
        <is>
          <t>Ngày báo cáo kết quả
(Ngày/tháng/năm)</t>
        </is>
      </c>
      <c r="E292" s="395" t="inlineStr">
        <is>
          <t>Ngày báo cáo kết quả
(Ngày/tháng/năm)</t>
        </is>
      </c>
      <c r="F292" s="386" t="inlineStr">
        <is>
          <t>Data Explorer</t>
        </is>
      </c>
      <c r="G292" s="386" t="inlineStr">
        <is>
          <t>Chỉ tiêu cơ sở</t>
        </is>
      </c>
      <c r="H292" s="386" t="inlineStr">
        <is>
          <t>TB</t>
        </is>
      </c>
      <c r="I292" s="386" t="inlineStr">
        <is>
          <t>Ngày, CTCK</t>
        </is>
      </c>
      <c r="J292" s="395" t="inlineStr">
        <is>
          <t>SCMS</t>
        </is>
      </c>
      <c r="K292" s="395" t="n"/>
      <c r="L292" s="395" t="inlineStr">
        <is>
          <t>X</t>
        </is>
      </c>
      <c r="M292" s="395" t="n"/>
      <c r="N292" s="395" t="inlineStr">
        <is>
          <t>Pending</t>
        </is>
      </c>
      <c r="O292" s="401" t="n"/>
      <c r="P292" s="395" t="n"/>
      <c r="Q292" s="395" t="n"/>
      <c r="R292" s="395" t="n"/>
      <c r="S292" s="395" t="n"/>
      <c r="T292" s="386" t="n"/>
      <c r="U292" s="386" t="n"/>
      <c r="V292" s="395" t="n"/>
      <c r="W292" s="395" t="n"/>
      <c r="X292" s="395" t="n"/>
      <c r="Y292" s="395" t="n"/>
      <c r="Z292" s="395" t="n"/>
      <c r="AA292" s="395" t="n"/>
      <c r="AB292" s="395" t="n"/>
      <c r="AC292" s="395" t="n"/>
      <c r="AD292" s="395" t="n"/>
      <c r="AE292" s="395" t="n"/>
    </row>
    <row r="293" ht="42" customHeight="1" s="380">
      <c r="A293" s="73" t="n">
        <v>42</v>
      </c>
      <c r="B293" s="386" t="n"/>
      <c r="C293" s="386" t="inlineStr">
        <is>
          <t>Chào bán phát hành &gt;&gt; Tổng hợp số liệu chào bán, phát hành cổ phiếu</t>
        </is>
      </c>
      <c r="D293" s="386" t="inlineStr">
        <is>
          <t>Gia hạn đến ngày
(Ngày/tháng/năm)</t>
        </is>
      </c>
      <c r="E293" s="395" t="inlineStr">
        <is>
          <t>Gia hạn đến ngày
(Ngày/tháng/năm)</t>
        </is>
      </c>
      <c r="F293" s="386" t="inlineStr">
        <is>
          <t>Data Explorer</t>
        </is>
      </c>
      <c r="G293" s="386" t="inlineStr">
        <is>
          <t>Chỉ tiêu cơ sở</t>
        </is>
      </c>
      <c r="H293" s="386" t="inlineStr">
        <is>
          <t>TB</t>
        </is>
      </c>
      <c r="I293" s="386" t="inlineStr">
        <is>
          <t>Ngày, CTCK</t>
        </is>
      </c>
      <c r="J293" s="395" t="inlineStr">
        <is>
          <t>SCMS</t>
        </is>
      </c>
      <c r="K293" s="395" t="n"/>
      <c r="L293" s="395" t="inlineStr">
        <is>
          <t>X</t>
        </is>
      </c>
      <c r="M293" s="395" t="n"/>
      <c r="N293" s="395" t="inlineStr">
        <is>
          <t>Pending</t>
        </is>
      </c>
      <c r="O293" s="401" t="n"/>
      <c r="P293" s="395" t="n"/>
      <c r="Q293" s="395" t="n"/>
      <c r="R293" s="395" t="n"/>
      <c r="S293" s="395" t="n"/>
      <c r="T293" s="386" t="n"/>
      <c r="U293" s="386" t="n"/>
      <c r="V293" s="395" t="n"/>
      <c r="W293" s="395" t="n"/>
      <c r="X293" s="395" t="n"/>
      <c r="Y293" s="395" t="n"/>
      <c r="Z293" s="395" t="n"/>
      <c r="AA293" s="395" t="n"/>
      <c r="AB293" s="395" t="n"/>
      <c r="AC293" s="395" t="n"/>
      <c r="AD293" s="395" t="n"/>
      <c r="AE293" s="395" t="n"/>
    </row>
    <row r="294" ht="42" customHeight="1" s="380">
      <c r="A294" s="73" t="n">
        <v>42</v>
      </c>
      <c r="B294" s="386" t="n"/>
      <c r="C294" s="386" t="inlineStr">
        <is>
          <t>Chào bán phát hành &gt;&gt; Tổng hợp số liệu chào bán, phát hành cổ phiếu</t>
        </is>
      </c>
      <c r="D294" s="386" t="inlineStr">
        <is>
          <t>Đánh giá</t>
        </is>
      </c>
      <c r="E294" s="395" t="inlineStr">
        <is>
          <t>Đánh giá</t>
        </is>
      </c>
      <c r="F294" s="386" t="inlineStr">
        <is>
          <t>Data Explorer</t>
        </is>
      </c>
      <c r="G294" s="386" t="inlineStr">
        <is>
          <t>Chỉ tiêu cơ sở</t>
        </is>
      </c>
      <c r="H294" s="386" t="inlineStr">
        <is>
          <t>TB</t>
        </is>
      </c>
      <c r="I294" s="386" t="inlineStr">
        <is>
          <t>Ngày, CTCK</t>
        </is>
      </c>
      <c r="J294" s="395" t="inlineStr">
        <is>
          <t>SCMS</t>
        </is>
      </c>
      <c r="K294" s="395" t="n"/>
      <c r="L294" s="395" t="inlineStr">
        <is>
          <t>X</t>
        </is>
      </c>
      <c r="M294" s="395" t="n"/>
      <c r="N294" s="395" t="inlineStr">
        <is>
          <t>Pending</t>
        </is>
      </c>
      <c r="O294" s="401" t="n"/>
      <c r="P294" s="395" t="n"/>
      <c r="Q294" s="395" t="n"/>
      <c r="R294" s="395" t="n"/>
      <c r="S294" s="395" t="n"/>
      <c r="T294" s="386" t="n"/>
      <c r="U294" s="386" t="n"/>
      <c r="V294" s="395" t="n"/>
      <c r="W294" s="395" t="n"/>
      <c r="X294" s="395" t="n"/>
      <c r="Y294" s="395" t="n"/>
      <c r="Z294" s="395" t="n"/>
      <c r="AA294" s="395" t="n"/>
      <c r="AB294" s="395" t="n"/>
      <c r="AC294" s="395" t="n"/>
      <c r="AD294" s="395" t="n"/>
      <c r="AE294" s="395" t="n"/>
    </row>
    <row r="295" ht="56" customHeight="1" s="380">
      <c r="A295" s="73" t="n">
        <v>42</v>
      </c>
      <c r="B295" s="386" t="n"/>
      <c r="C295" s="386" t="inlineStr">
        <is>
          <t>Chào bán phát hành &gt;&gt; Tổng hợp số liệu chào bán, phát hành cổ phiếu</t>
        </is>
      </c>
      <c r="D295" s="386" t="inlineStr">
        <is>
          <t>Thực tế &gt;&gt; Đối tượng chào bán &gt;&gt; Cổ đông hiện hữu &gt;&gt; Ra công chúng &gt;&gt; Số lượng</t>
        </is>
      </c>
      <c r="E295" s="386" t="inlineStr">
        <is>
          <t>Thực tế &gt;&gt; Đối tượng chào bán &gt;&gt; Cổ đông hiện hữu &gt;&gt; Ra công chúng &gt;&gt; Số lượng</t>
        </is>
      </c>
      <c r="F295" s="386" t="inlineStr">
        <is>
          <t>Data Explorer</t>
        </is>
      </c>
      <c r="G295" s="386" t="inlineStr">
        <is>
          <t>Chỉ tiêu cơ sở</t>
        </is>
      </c>
      <c r="H295" s="386" t="inlineStr">
        <is>
          <t>TB</t>
        </is>
      </c>
      <c r="I295" s="386" t="inlineStr">
        <is>
          <t>Ngày, CTCK</t>
        </is>
      </c>
      <c r="J295" s="395" t="inlineStr">
        <is>
          <t>SCMS</t>
        </is>
      </c>
      <c r="K295" s="395" t="n"/>
      <c r="L295" s="395" t="inlineStr">
        <is>
          <t>X</t>
        </is>
      </c>
      <c r="M295" s="395" t="n"/>
      <c r="N295" s="395" t="inlineStr">
        <is>
          <t>Pending</t>
        </is>
      </c>
      <c r="O295" s="401" t="n"/>
      <c r="P295" s="395" t="n"/>
      <c r="Q295" s="395" t="n"/>
      <c r="R295" s="395" t="n"/>
      <c r="S295" s="395" t="n"/>
      <c r="T295" s="386" t="n"/>
      <c r="U295" s="386" t="n"/>
      <c r="V295" s="395" t="n"/>
      <c r="W295" s="395" t="n"/>
      <c r="X295" s="395" t="n"/>
      <c r="Y295" s="395" t="n"/>
      <c r="Z295" s="395" t="n"/>
      <c r="AA295" s="395" t="n"/>
      <c r="AB295" s="395" t="n"/>
      <c r="AC295" s="395" t="n"/>
      <c r="AD295" s="395" t="n"/>
      <c r="AE295" s="395" t="n"/>
    </row>
    <row r="296" ht="56" customHeight="1" s="380">
      <c r="A296" s="73" t="n">
        <v>42</v>
      </c>
      <c r="B296" s="386" t="n"/>
      <c r="C296" s="386" t="inlineStr">
        <is>
          <t>Chào bán phát hành &gt;&gt; Tổng hợp số liệu chào bán, phát hành cổ phiếu</t>
        </is>
      </c>
      <c r="D296" s="386" t="inlineStr">
        <is>
          <t>Thực tế &gt;&gt; Đối tượng chào bán &gt;&gt; Cổ đông hiện hữu &gt;&gt; Ra công chúng &gt;&gt; Giá (đồng)</t>
        </is>
      </c>
      <c r="E296" s="386" t="inlineStr">
        <is>
          <t>Thực tế &gt;&gt; Đối tượng chào bán &gt;&gt; Cổ đông hiện hữu &gt;&gt; Ra công chúng &gt;&gt; Giá (đồng)</t>
        </is>
      </c>
      <c r="F296" s="386" t="inlineStr">
        <is>
          <t>Data Explorer</t>
        </is>
      </c>
      <c r="G296" s="386" t="inlineStr">
        <is>
          <t>Chỉ tiêu cơ sở</t>
        </is>
      </c>
      <c r="H296" s="386" t="inlineStr">
        <is>
          <t>TB</t>
        </is>
      </c>
      <c r="I296" s="386" t="inlineStr">
        <is>
          <t>Ngày, CTCK</t>
        </is>
      </c>
      <c r="J296" s="395" t="inlineStr">
        <is>
          <t>SCMS</t>
        </is>
      </c>
      <c r="K296" s="395" t="n"/>
      <c r="L296" s="395" t="inlineStr">
        <is>
          <t>X</t>
        </is>
      </c>
      <c r="M296" s="395" t="n"/>
      <c r="N296" s="395" t="inlineStr">
        <is>
          <t>Pending</t>
        </is>
      </c>
      <c r="O296" s="401" t="n"/>
      <c r="P296" s="395" t="n"/>
      <c r="Q296" s="395" t="n"/>
      <c r="R296" s="395" t="n"/>
      <c r="S296" s="395" t="n"/>
      <c r="T296" s="386" t="n"/>
      <c r="U296" s="386" t="n"/>
      <c r="V296" s="395" t="n"/>
      <c r="W296" s="395" t="n"/>
      <c r="X296" s="395" t="n"/>
      <c r="Y296" s="36" t="n"/>
      <c r="Z296" s="395" t="n"/>
      <c r="AA296" s="395" t="n"/>
      <c r="AB296" s="395" t="n"/>
      <c r="AC296" s="395" t="n"/>
      <c r="AD296" s="395" t="n"/>
      <c r="AE296" s="395" t="n"/>
    </row>
    <row r="297" ht="56" customHeight="1" s="380">
      <c r="A297" s="73" t="n">
        <v>42</v>
      </c>
      <c r="B297" s="386" t="n"/>
      <c r="C297" s="386" t="inlineStr">
        <is>
          <t>Chào bán phát hành &gt;&gt; Tổng hợp số liệu chào bán, phát hành cổ phiếu</t>
        </is>
      </c>
      <c r="D297" s="386" t="inlineStr">
        <is>
          <t>Thực tế &gt;&gt; Đối tượng chào bán &gt;&gt; Cổ đông hiện hữu &gt;&gt; Ra công chúng &gt;&gt; Giá trị (đồng)</t>
        </is>
      </c>
      <c r="E297" s="386" t="inlineStr">
        <is>
          <t>Thực tế &gt;&gt; Đối tượng chào bán &gt;&gt; Cổ đông hiện hữu &gt;&gt; Ra công chúng &gt;&gt; Giá trị (đồng)</t>
        </is>
      </c>
      <c r="F297" s="386" t="inlineStr">
        <is>
          <t>Data Explorer</t>
        </is>
      </c>
      <c r="G297" s="386" t="inlineStr">
        <is>
          <t>Chỉ tiêu cơ sở</t>
        </is>
      </c>
      <c r="H297" s="386" t="inlineStr">
        <is>
          <t>TB</t>
        </is>
      </c>
      <c r="I297" s="386" t="inlineStr">
        <is>
          <t>Ngày, CTCK</t>
        </is>
      </c>
      <c r="J297" s="395" t="inlineStr">
        <is>
          <t>SCMS</t>
        </is>
      </c>
      <c r="K297" s="395" t="n"/>
      <c r="L297" s="395" t="inlineStr">
        <is>
          <t>X</t>
        </is>
      </c>
      <c r="M297" s="395" t="n"/>
      <c r="N297" s="395" t="inlineStr">
        <is>
          <t>Pending</t>
        </is>
      </c>
      <c r="O297" s="401" t="n"/>
      <c r="P297" s="395" t="n"/>
      <c r="Q297" s="395" t="n"/>
      <c r="R297" s="395" t="n"/>
      <c r="S297" s="395" t="n"/>
      <c r="T297" s="386" t="n"/>
      <c r="U297" s="386" t="n"/>
      <c r="V297" s="395" t="n"/>
      <c r="W297" s="395" t="n"/>
      <c r="X297" s="395" t="n"/>
      <c r="Y297" s="395" t="n"/>
      <c r="Z297" s="395" t="n"/>
      <c r="AA297" s="395" t="n"/>
      <c r="AB297" s="395" t="n"/>
      <c r="AC297" s="395" t="n"/>
      <c r="AD297" s="395" t="n"/>
      <c r="AE297" s="395" t="n"/>
    </row>
    <row r="298" ht="84" customHeight="1" s="380">
      <c r="A298" s="73" t="n">
        <v>42</v>
      </c>
      <c r="B298" s="386" t="n"/>
      <c r="C298" s="386" t="inlineStr">
        <is>
          <t>Chào bán phát hành &gt;&gt; Tổng hợp số liệu chào bán, phát hành cổ phiếu</t>
        </is>
      </c>
      <c r="D298" s="386" t="inlineStr">
        <is>
          <t>Thực tế &gt;&gt; Đối tượng chào bán &gt;&gt; Cổ đông hiện hữu &gt;&gt; Ra công chúng &gt;&gt; Số lượng nhà đầu tư nước ngoài tham gia</t>
        </is>
      </c>
      <c r="E298" s="386" t="inlineStr">
        <is>
          <t>Thực tế &gt;&gt; Đối tượng chào bán &gt;&gt; Cổ đông hiện hữu &gt;&gt; Ra công chúng &gt;&gt; Số lượng nhà đầu tư nước ngoài tham gia</t>
        </is>
      </c>
      <c r="F298" s="386" t="inlineStr">
        <is>
          <t>Data Explorer</t>
        </is>
      </c>
      <c r="G298" s="386" t="inlineStr">
        <is>
          <t>Chỉ tiêu cơ sở</t>
        </is>
      </c>
      <c r="H298" s="386" t="inlineStr">
        <is>
          <t>TB</t>
        </is>
      </c>
      <c r="I298" s="386" t="inlineStr">
        <is>
          <t>Ngày, CTCK</t>
        </is>
      </c>
      <c r="J298" s="395" t="inlineStr">
        <is>
          <t>SCMS</t>
        </is>
      </c>
      <c r="K298" s="395" t="n"/>
      <c r="L298" s="395" t="inlineStr">
        <is>
          <t>X</t>
        </is>
      </c>
      <c r="M298" s="395" t="n"/>
      <c r="N298" s="395" t="inlineStr">
        <is>
          <t>Pending</t>
        </is>
      </c>
      <c r="O298" s="401" t="n"/>
      <c r="P298" s="395" t="n"/>
      <c r="Q298" s="395" t="n"/>
      <c r="R298" s="395" t="n"/>
      <c r="S298" s="395" t="n"/>
      <c r="T298" s="386" t="n"/>
      <c r="U298" s="386" t="n"/>
      <c r="V298" s="395" t="n"/>
      <c r="W298" s="395" t="n"/>
      <c r="X298" s="395" t="n"/>
      <c r="Y298" s="395" t="n"/>
      <c r="Z298" s="395" t="n"/>
      <c r="AA298" s="395" t="n"/>
      <c r="AB298" s="395" t="n"/>
      <c r="AC298" s="395" t="n"/>
      <c r="AD298" s="395" t="n"/>
      <c r="AE298" s="395" t="n"/>
    </row>
    <row r="299" ht="84" customHeight="1" s="380">
      <c r="A299" s="73" t="n">
        <v>42</v>
      </c>
      <c r="B299" s="386" t="n"/>
      <c r="C299" s="386" t="inlineStr">
        <is>
          <t>Chào bán phát hành &gt;&gt; Tổng hợp số liệu chào bán, phát hành cổ phiếu</t>
        </is>
      </c>
      <c r="D299" s="386" t="inlineStr">
        <is>
          <t>Thực tế &gt;&gt; Đối tượng chào bán &gt;&gt; Cổ đông hiện hữu &gt;&gt; Ra công chúng &gt;&gt; Giá trị phát hành cho nhà đầu tư nước ngoài (đồng)</t>
        </is>
      </c>
      <c r="E299" s="386" t="inlineStr">
        <is>
          <t>Thực tế &gt;&gt; Đối tượng chào bán &gt;&gt; Cổ đông hiện hữu &gt;&gt; Ra công chúng &gt;&gt; Giá trị phát hành cho nhà đầu tư nước ngoài (đồng)</t>
        </is>
      </c>
      <c r="F299" s="386" t="inlineStr">
        <is>
          <t>Data Explorer</t>
        </is>
      </c>
      <c r="G299" s="386" t="inlineStr">
        <is>
          <t>Chỉ tiêu cơ sở</t>
        </is>
      </c>
      <c r="H299" s="386" t="inlineStr">
        <is>
          <t>TB</t>
        </is>
      </c>
      <c r="I299" s="386" t="inlineStr">
        <is>
          <t>Ngày, CTCK</t>
        </is>
      </c>
      <c r="J299" s="395" t="inlineStr">
        <is>
          <t>SCMS</t>
        </is>
      </c>
      <c r="K299" s="395" t="n"/>
      <c r="L299" s="395" t="inlineStr">
        <is>
          <t>X</t>
        </is>
      </c>
      <c r="M299" s="395" t="n"/>
      <c r="N299" s="395" t="inlineStr">
        <is>
          <t>Pending</t>
        </is>
      </c>
      <c r="O299" s="401" t="n"/>
      <c r="P299" s="395" t="n"/>
      <c r="Q299" s="395" t="n"/>
      <c r="R299" s="395" t="n"/>
      <c r="S299" s="395" t="n"/>
      <c r="T299" s="386" t="n"/>
      <c r="U299" s="386" t="n"/>
      <c r="V299" s="395" t="n"/>
      <c r="W299" s="395" t="n"/>
      <c r="X299" s="395" t="n"/>
      <c r="Y299" s="37" t="n"/>
      <c r="Z299" s="395" t="n"/>
      <c r="AA299" s="395" t="n"/>
      <c r="AB299" s="395" t="n"/>
      <c r="AC299" s="395" t="n"/>
      <c r="AD299" s="395" t="n"/>
      <c r="AE299" s="395" t="n"/>
    </row>
    <row r="300" ht="56" customHeight="1" s="380">
      <c r="A300" s="73" t="n">
        <v>42</v>
      </c>
      <c r="B300" s="386" t="n"/>
      <c r="C300" s="386" t="inlineStr">
        <is>
          <t>Chào bán phát hành &gt;&gt; Tổng hợp số liệu chào bán, phát hành cổ phiếu</t>
        </is>
      </c>
      <c r="D300" s="386" t="inlineStr">
        <is>
          <t>Thực tế &gt;&gt; Đối tượng chào bán &gt;&gt; Cổ đông hiện hữu &gt;&gt; CP Thưởng &gt;&gt; Số lượng</t>
        </is>
      </c>
      <c r="E300" s="386" t="inlineStr">
        <is>
          <t>Thực tế &gt;&gt; Đối tượng chào bán &gt;&gt; Cổ đông hiện hữu &gt;&gt; CP Thưởng &gt;&gt; Số lượng</t>
        </is>
      </c>
      <c r="F300" s="386" t="inlineStr">
        <is>
          <t>Data Explorer</t>
        </is>
      </c>
      <c r="G300" s="386" t="inlineStr">
        <is>
          <t>Chỉ tiêu cơ sở</t>
        </is>
      </c>
      <c r="H300" s="386" t="inlineStr">
        <is>
          <t>TB</t>
        </is>
      </c>
      <c r="I300" s="386" t="inlineStr">
        <is>
          <t>Ngày, CTCK</t>
        </is>
      </c>
      <c r="J300" s="395" t="inlineStr">
        <is>
          <t>SCMS</t>
        </is>
      </c>
      <c r="K300" s="395" t="n"/>
      <c r="L300" s="395" t="inlineStr">
        <is>
          <t>X</t>
        </is>
      </c>
      <c r="M300" s="395" t="n"/>
      <c r="N300" s="395" t="inlineStr">
        <is>
          <t>Pending</t>
        </is>
      </c>
      <c r="O300" s="401" t="n"/>
      <c r="P300" s="395" t="n"/>
      <c r="Q300" s="395" t="n"/>
      <c r="R300" s="395" t="n"/>
      <c r="S300" s="395" t="n"/>
      <c r="T300" s="386" t="n"/>
      <c r="U300" s="386" t="n"/>
      <c r="V300" s="395" t="n"/>
      <c r="W300" s="395" t="n"/>
      <c r="X300" s="395" t="n"/>
      <c r="Y300" s="395" t="n"/>
      <c r="Z300" s="395" t="n"/>
      <c r="AA300" s="395" t="n"/>
      <c r="AB300" s="395" t="n"/>
      <c r="AC300" s="395" t="n"/>
      <c r="AD300" s="395" t="n"/>
      <c r="AE300" s="395" t="n"/>
    </row>
    <row r="301" ht="56" customHeight="1" s="380">
      <c r="A301" s="73" t="n">
        <v>42</v>
      </c>
      <c r="B301" s="386" t="n"/>
      <c r="C301" s="386" t="inlineStr">
        <is>
          <t>Chào bán phát hành &gt;&gt; Tổng hợp số liệu chào bán, phát hành cổ phiếu</t>
        </is>
      </c>
      <c r="D301" s="386" t="inlineStr">
        <is>
          <t>Thực tế &gt;&gt; Đối tượng chào bán &gt;&gt; Cổ đông hiện hữu &gt;&gt; Trả Cổ tức = CP &gt;&gt; Số lượng</t>
        </is>
      </c>
      <c r="E301" s="386" t="inlineStr">
        <is>
          <t>Thực tế &gt;&gt; Đối tượng chào bán &gt;&gt; Cổ đông hiện hữu &gt;&gt; Trả Cổ tức = CP &gt;&gt; Số lượng</t>
        </is>
      </c>
      <c r="F301" s="386" t="inlineStr">
        <is>
          <t>Data Explorer</t>
        </is>
      </c>
      <c r="G301" s="386" t="inlineStr">
        <is>
          <t>Chỉ tiêu cơ sở</t>
        </is>
      </c>
      <c r="H301" s="386" t="inlineStr">
        <is>
          <t>TB</t>
        </is>
      </c>
      <c r="I301" s="386" t="inlineStr">
        <is>
          <t>Ngày, CTCK</t>
        </is>
      </c>
      <c r="J301" s="395" t="inlineStr">
        <is>
          <t>SCMS</t>
        </is>
      </c>
      <c r="K301" s="395" t="n"/>
      <c r="L301" s="395" t="inlineStr">
        <is>
          <t>X</t>
        </is>
      </c>
      <c r="M301" s="395" t="n"/>
      <c r="N301" s="395" t="inlineStr">
        <is>
          <t>Pending</t>
        </is>
      </c>
      <c r="O301" s="401" t="n"/>
      <c r="P301" s="395" t="n"/>
      <c r="Q301" s="395" t="n"/>
      <c r="R301" s="395" t="n"/>
      <c r="S301" s="395" t="n"/>
      <c r="T301" s="386" t="n"/>
      <c r="U301" s="386" t="n"/>
      <c r="V301" s="395" t="n"/>
      <c r="W301" s="395" t="n"/>
      <c r="X301" s="395" t="n"/>
      <c r="Y301" s="395" t="n"/>
      <c r="Z301" s="395" t="n"/>
      <c r="AA301" s="395" t="n"/>
      <c r="AB301" s="395" t="n"/>
      <c r="AC301" s="395" t="n"/>
      <c r="AD301" s="395" t="n"/>
      <c r="AE301" s="395" t="n"/>
    </row>
    <row r="302" ht="70" customHeight="1" s="380">
      <c r="A302" s="73" t="n">
        <v>42</v>
      </c>
      <c r="B302" s="386" t="n"/>
      <c r="C302" s="386" t="inlineStr">
        <is>
          <t>Chào bán phát hành &gt;&gt; Tổng hợp số liệu chào bán, phát hành cổ phiếu</t>
        </is>
      </c>
      <c r="D302" s="386" t="inlineStr">
        <is>
          <t>Thực tế &gt;&gt; Đối tượng chào bán &gt;&gt; Cán bộ CNV, HĐQT, BKS &gt;&gt; Phát hành có thu tiền &gt;&gt; Số lượng</t>
        </is>
      </c>
      <c r="E302" s="386" t="inlineStr">
        <is>
          <t>Thực tế &gt;&gt; Đối tượng chào bán &gt;&gt; Cán bộ CNV, HĐQT, BKS &gt;&gt; Phát hành có thu tiền &gt;&gt; Số lượng</t>
        </is>
      </c>
      <c r="F302" s="386" t="inlineStr">
        <is>
          <t>Data Explorer</t>
        </is>
      </c>
      <c r="G302" s="386" t="inlineStr">
        <is>
          <t>Chỉ tiêu cơ sở</t>
        </is>
      </c>
      <c r="H302" s="386" t="inlineStr">
        <is>
          <t>TB</t>
        </is>
      </c>
      <c r="I302" s="386" t="inlineStr">
        <is>
          <t>Ngày, CTCK</t>
        </is>
      </c>
      <c r="J302" s="395" t="inlineStr">
        <is>
          <t>SCMS</t>
        </is>
      </c>
      <c r="K302" s="395" t="n"/>
      <c r="L302" s="395" t="inlineStr">
        <is>
          <t>X</t>
        </is>
      </c>
      <c r="M302" s="395" t="n"/>
      <c r="N302" s="395" t="inlineStr">
        <is>
          <t>Pending</t>
        </is>
      </c>
      <c r="O302" s="401" t="n"/>
      <c r="P302" s="395" t="n"/>
      <c r="Q302" s="395" t="n"/>
      <c r="R302" s="395" t="n"/>
      <c r="S302" s="395" t="n"/>
      <c r="T302" s="386" t="n"/>
      <c r="U302" s="386" t="n"/>
      <c r="V302" s="395" t="n"/>
      <c r="W302" s="395" t="n"/>
      <c r="X302" s="395" t="n"/>
      <c r="Y302" s="395" t="n"/>
      <c r="Z302" s="395" t="n"/>
      <c r="AA302" s="395" t="n"/>
      <c r="AB302" s="395" t="n"/>
      <c r="AC302" s="395" t="n"/>
      <c r="AD302" s="395" t="n"/>
      <c r="AE302" s="395" t="n"/>
    </row>
    <row r="303" ht="70" customHeight="1" s="380">
      <c r="A303" s="73" t="n">
        <v>42</v>
      </c>
      <c r="B303" s="386" t="n"/>
      <c r="C303" s="386" t="inlineStr">
        <is>
          <t>Chào bán phát hành &gt;&gt; Tổng hợp số liệu chào bán, phát hành cổ phiếu</t>
        </is>
      </c>
      <c r="D303" s="386" t="inlineStr">
        <is>
          <t>Thực tế &gt;&gt; Đối tượng chào bán &gt;&gt; Cán bộ CNV, HĐQT, BKS &gt;&gt; Phát hành có thu tiền &gt;&gt; Giá (đồng)</t>
        </is>
      </c>
      <c r="E303" s="386" t="inlineStr">
        <is>
          <t>Thực tế &gt;&gt; Đối tượng chào bán &gt;&gt; Cán bộ CNV, HĐQT, BKS &gt;&gt; Phát hành có thu tiền &gt;&gt; Giá (đồng)</t>
        </is>
      </c>
      <c r="F303" s="386" t="inlineStr">
        <is>
          <t>Data Explorer</t>
        </is>
      </c>
      <c r="G303" s="386" t="inlineStr">
        <is>
          <t>Chỉ tiêu cơ sở</t>
        </is>
      </c>
      <c r="H303" s="386" t="inlineStr">
        <is>
          <t>TB</t>
        </is>
      </c>
      <c r="I303" s="386" t="inlineStr">
        <is>
          <t>Ngày, CTCK</t>
        </is>
      </c>
      <c r="J303" s="395" t="inlineStr">
        <is>
          <t>SCMS</t>
        </is>
      </c>
      <c r="K303" s="395" t="n"/>
      <c r="L303" s="395" t="inlineStr">
        <is>
          <t>X</t>
        </is>
      </c>
      <c r="M303" s="395" t="n"/>
      <c r="N303" s="395" t="inlineStr">
        <is>
          <t>Pending</t>
        </is>
      </c>
      <c r="O303" s="401" t="n"/>
      <c r="P303" s="395" t="n"/>
      <c r="Q303" s="395" t="n"/>
      <c r="R303" s="395" t="n"/>
      <c r="S303" s="395" t="n"/>
      <c r="T303" s="386" t="n"/>
      <c r="U303" s="386" t="n"/>
      <c r="V303" s="395" t="n"/>
      <c r="W303" s="395" t="n"/>
      <c r="X303" s="395" t="n"/>
      <c r="Y303" s="395" t="n"/>
      <c r="Z303" s="395" t="n"/>
      <c r="AA303" s="395" t="n"/>
      <c r="AB303" s="395" t="n"/>
      <c r="AC303" s="395" t="n"/>
      <c r="AD303" s="395" t="n"/>
      <c r="AE303" s="395" t="n"/>
    </row>
    <row r="304" ht="70" customHeight="1" s="380">
      <c r="A304" s="73" t="n">
        <v>42</v>
      </c>
      <c r="B304" s="386" t="n"/>
      <c r="C304" s="386" t="inlineStr">
        <is>
          <t>Chào bán phát hành &gt;&gt; Tổng hợp số liệu chào bán, phát hành cổ phiếu</t>
        </is>
      </c>
      <c r="D304" s="386" t="inlineStr">
        <is>
          <t>Thực tế &gt;&gt; Đối tượng chào bán &gt;&gt; Cán bộ CNV, HĐQT, BKS &gt;&gt; Phát hành có thu tiền &gt;&gt; Giá trị (đồng)</t>
        </is>
      </c>
      <c r="E304" s="386" t="inlineStr">
        <is>
          <t>Thực tế &gt;&gt; Đối tượng chào bán &gt;&gt; Cán bộ CNV, HĐQT, BKS &gt;&gt; Phát hành có thu tiền &gt;&gt; Giá trị (đồng)</t>
        </is>
      </c>
      <c r="F304" s="386" t="inlineStr">
        <is>
          <t>Data Explorer</t>
        </is>
      </c>
      <c r="G304" s="386" t="inlineStr">
        <is>
          <t>Chỉ tiêu cơ sở</t>
        </is>
      </c>
      <c r="H304" s="386" t="inlineStr">
        <is>
          <t>TB</t>
        </is>
      </c>
      <c r="I304" s="386" t="inlineStr">
        <is>
          <t>Ngày, CTCK</t>
        </is>
      </c>
      <c r="J304" s="395" t="inlineStr">
        <is>
          <t>SCMS</t>
        </is>
      </c>
      <c r="K304" s="395" t="n"/>
      <c r="L304" s="395" t="inlineStr">
        <is>
          <t>X</t>
        </is>
      </c>
      <c r="M304" s="395" t="n"/>
      <c r="N304" s="395" t="inlineStr">
        <is>
          <t>Pending</t>
        </is>
      </c>
      <c r="O304" s="401" t="n"/>
      <c r="P304" s="395" t="n"/>
      <c r="Q304" s="395" t="n"/>
      <c r="R304" s="395" t="n"/>
      <c r="S304" s="395" t="n"/>
      <c r="T304" s="386" t="n"/>
      <c r="U304" s="386" t="n"/>
      <c r="V304" s="395" t="n"/>
      <c r="W304" s="395" t="n"/>
      <c r="X304" s="395" t="n"/>
      <c r="Y304" s="395" t="n"/>
      <c r="Z304" s="395" t="n"/>
      <c r="AA304" s="395" t="n"/>
      <c r="AB304" s="395" t="n"/>
      <c r="AC304" s="395" t="n"/>
      <c r="AD304" s="395" t="n"/>
      <c r="AE304" s="395" t="n"/>
    </row>
    <row r="305" ht="70" customHeight="1" s="380">
      <c r="A305" s="73" t="n">
        <v>42</v>
      </c>
      <c r="B305" s="386" t="n"/>
      <c r="C305" s="386" t="inlineStr">
        <is>
          <t>Chào bán phát hành &gt;&gt; Tổng hợp số liệu chào bán, phát hành cổ phiếu</t>
        </is>
      </c>
      <c r="D305" s="386" t="inlineStr">
        <is>
          <t>Thực tế &gt;&gt; Đối tượng chào bán &gt;&gt; Cán bộ CNV, HĐQT, BKS &gt;&gt; Phát hành có thu tiền &gt;&gt; Số lượng người lao động</t>
        </is>
      </c>
      <c r="E305" s="386" t="inlineStr">
        <is>
          <t>Thực tế &gt;&gt; Đối tượng chào bán &gt;&gt; Cán bộ CNV, HĐQT, BKS &gt;&gt; Phát hành có thu tiền &gt;&gt; Số lượng người lao động</t>
        </is>
      </c>
      <c r="F305" s="386" t="inlineStr">
        <is>
          <t>Data Explorer</t>
        </is>
      </c>
      <c r="G305" s="386" t="inlineStr">
        <is>
          <t>Chỉ tiêu cơ sở</t>
        </is>
      </c>
      <c r="H305" s="386" t="inlineStr">
        <is>
          <t>TB</t>
        </is>
      </c>
      <c r="I305" s="386" t="inlineStr">
        <is>
          <t>Ngày, CTCK</t>
        </is>
      </c>
      <c r="J305" s="395" t="inlineStr">
        <is>
          <t>SCMS</t>
        </is>
      </c>
      <c r="K305" s="395" t="n"/>
      <c r="L305" s="395" t="inlineStr">
        <is>
          <t>X</t>
        </is>
      </c>
      <c r="M305" s="395" t="n"/>
      <c r="N305" s="395" t="inlineStr">
        <is>
          <t>Pending</t>
        </is>
      </c>
      <c r="O305" s="401" t="n"/>
      <c r="P305" s="395" t="n"/>
      <c r="Q305" s="395" t="n"/>
      <c r="R305" s="395" t="n"/>
      <c r="S305" s="395" t="n"/>
      <c r="T305" s="386" t="n"/>
      <c r="U305" s="386" t="n"/>
      <c r="V305" s="395" t="n"/>
      <c r="W305" s="395" t="n"/>
      <c r="X305" s="395" t="n"/>
      <c r="Y305" s="395" t="n"/>
      <c r="Z305" s="395" t="n"/>
      <c r="AA305" s="395" t="n"/>
      <c r="AB305" s="395" t="n"/>
      <c r="AC305" s="395" t="n"/>
      <c r="AD305" s="395" t="n"/>
      <c r="AE305" s="395" t="n"/>
    </row>
    <row r="306" ht="70" customHeight="1" s="380">
      <c r="A306" s="73" t="n">
        <v>42</v>
      </c>
      <c r="B306" s="386" t="n"/>
      <c r="C306" s="386" t="inlineStr">
        <is>
          <t>Chào bán phát hành &gt;&gt; Tổng hợp số liệu chào bán, phát hành cổ phiếu</t>
        </is>
      </c>
      <c r="D306" s="386" t="inlineStr">
        <is>
          <t>Thực tế &gt;&gt; Đối tượng chào bán &gt;&gt; Cán bộ CNV, HĐQT, BKS &gt;&gt; Cổ phiếu thưởng &gt;&gt; Số lượng</t>
        </is>
      </c>
      <c r="E306" s="386" t="inlineStr">
        <is>
          <t>Thực tế &gt;&gt; Đối tượng chào bán &gt;&gt; Cán bộ CNV, HĐQT, BKS &gt;&gt; Cổ phiếu thưởng &gt;&gt; Số lượng</t>
        </is>
      </c>
      <c r="F306" s="386" t="inlineStr">
        <is>
          <t>Data Explorer</t>
        </is>
      </c>
      <c r="G306" s="386" t="inlineStr">
        <is>
          <t>Chỉ tiêu cơ sở</t>
        </is>
      </c>
      <c r="H306" s="386" t="inlineStr">
        <is>
          <t>TB</t>
        </is>
      </c>
      <c r="I306" s="386" t="inlineStr">
        <is>
          <t>Ngày, CTCK</t>
        </is>
      </c>
      <c r="J306" s="395" t="inlineStr">
        <is>
          <t>SCMS</t>
        </is>
      </c>
      <c r="K306" s="395" t="n"/>
      <c r="L306" s="395" t="inlineStr">
        <is>
          <t>X</t>
        </is>
      </c>
      <c r="M306" s="395" t="n"/>
      <c r="N306" s="395" t="inlineStr">
        <is>
          <t>Pending</t>
        </is>
      </c>
      <c r="O306" s="401" t="n"/>
      <c r="P306" s="395" t="n"/>
      <c r="Q306" s="395" t="n"/>
      <c r="R306" s="395" t="n"/>
      <c r="S306" s="395" t="n"/>
      <c r="T306" s="386" t="n"/>
      <c r="U306" s="386" t="n"/>
      <c r="V306" s="395" t="n"/>
      <c r="W306" s="395" t="n"/>
      <c r="X306" s="395" t="n"/>
      <c r="Y306" s="36" t="n"/>
      <c r="Z306" s="395" t="n"/>
      <c r="AA306" s="395" t="n"/>
      <c r="AB306" s="395" t="n"/>
      <c r="AC306" s="395" t="n"/>
      <c r="AD306" s="395" t="n"/>
      <c r="AE306" s="395" t="n"/>
    </row>
    <row r="307" ht="70" customHeight="1" s="380">
      <c r="A307" s="73" t="n">
        <v>42</v>
      </c>
      <c r="B307" s="386" t="n"/>
      <c r="C307" s="386" t="inlineStr">
        <is>
          <t>Chào bán phát hành &gt;&gt; Tổng hợp số liệu chào bán, phát hành cổ phiếu</t>
        </is>
      </c>
      <c r="D307" s="386" t="inlineStr">
        <is>
          <t>Thực tế &gt;&gt; Đối tượng chào bán &gt;&gt; Cán bộ CNV, HĐQT, BKS &gt;&gt; Cổ phiếu thưởng &gt;&gt; Giá trị (đồng)</t>
        </is>
      </c>
      <c r="E307" s="386" t="inlineStr">
        <is>
          <t>Thực tế &gt;&gt; Đối tượng chào bán &gt;&gt; Cán bộ CNV, HĐQT, BKS &gt;&gt; Cổ phiếu thưởng &gt;&gt; Giá trị (đồng)</t>
        </is>
      </c>
      <c r="F307" s="386" t="inlineStr">
        <is>
          <t>Data Explorer</t>
        </is>
      </c>
      <c r="G307" s="386" t="inlineStr">
        <is>
          <t>Chỉ tiêu cơ sở</t>
        </is>
      </c>
      <c r="H307" s="386" t="inlineStr">
        <is>
          <t>TB</t>
        </is>
      </c>
      <c r="I307" s="386" t="inlineStr">
        <is>
          <t>Ngày, CTCK</t>
        </is>
      </c>
      <c r="J307" s="395" t="inlineStr">
        <is>
          <t>SCMS</t>
        </is>
      </c>
      <c r="K307" s="395" t="n"/>
      <c r="L307" s="395" t="inlineStr">
        <is>
          <t>X</t>
        </is>
      </c>
      <c r="M307" s="395" t="n"/>
      <c r="N307" s="395" t="inlineStr">
        <is>
          <t>Pending</t>
        </is>
      </c>
      <c r="O307" s="401" t="n"/>
      <c r="P307" s="395" t="n"/>
      <c r="Q307" s="395" t="n"/>
      <c r="R307" s="395" t="n"/>
      <c r="S307" s="395" t="n"/>
      <c r="T307" s="386" t="n"/>
      <c r="U307" s="386" t="n"/>
      <c r="V307" s="395" t="n"/>
      <c r="W307" s="395" t="n"/>
      <c r="X307" s="395" t="n"/>
      <c r="Y307" s="395" t="n"/>
      <c r="Z307" s="395" t="n"/>
      <c r="AA307" s="395" t="n"/>
      <c r="AB307" s="395" t="n"/>
      <c r="AC307" s="395" t="n"/>
      <c r="AD307" s="395" t="n"/>
      <c r="AE307" s="395" t="n"/>
    </row>
    <row r="308" ht="56" customHeight="1" s="380">
      <c r="A308" s="73" t="n">
        <v>42</v>
      </c>
      <c r="B308" s="386" t="n"/>
      <c r="C308" s="386" t="inlineStr">
        <is>
          <t>Chào bán phát hành &gt;&gt; Tổng hợp số liệu chào bán, phát hành cổ phiếu</t>
        </is>
      </c>
      <c r="D308" s="386" t="inlineStr">
        <is>
          <t>Thực tế &gt;&gt; Đối tượng chào bán &gt;&gt; Cán bộ CNV, HĐQT, BKS &gt;&gt; Cổ phiếu thưởng &gt;&gt; Nguồn</t>
        </is>
      </c>
      <c r="E308" s="386" t="inlineStr">
        <is>
          <t>Thực tế &gt;&gt; Đối tượng chào bán &gt;&gt; Cán bộ CNV, HĐQT, BKS &gt;&gt; Cổ phiếu thưởng &gt;&gt; Nguồn</t>
        </is>
      </c>
      <c r="F308" s="386" t="inlineStr">
        <is>
          <t>Data Explorer</t>
        </is>
      </c>
      <c r="G308" s="386" t="inlineStr">
        <is>
          <t>Chỉ tiêu cơ sở</t>
        </is>
      </c>
      <c r="H308" s="386" t="inlineStr">
        <is>
          <t>TB</t>
        </is>
      </c>
      <c r="I308" s="386" t="inlineStr">
        <is>
          <t>Ngày, CTCK</t>
        </is>
      </c>
      <c r="J308" s="395" t="inlineStr">
        <is>
          <t>SCMS</t>
        </is>
      </c>
      <c r="K308" s="395" t="n"/>
      <c r="L308" s="395" t="inlineStr">
        <is>
          <t>X</t>
        </is>
      </c>
      <c r="M308" s="395" t="n"/>
      <c r="N308" s="395" t="inlineStr">
        <is>
          <t>Pending</t>
        </is>
      </c>
      <c r="O308" s="401" t="n"/>
      <c r="P308" s="395" t="n"/>
      <c r="Q308" s="395" t="n"/>
      <c r="R308" s="395" t="n"/>
      <c r="S308" s="395" t="n"/>
      <c r="T308" s="386" t="n"/>
      <c r="U308" s="386" t="n"/>
      <c r="V308" s="395" t="n"/>
      <c r="W308" s="395" t="n"/>
      <c r="X308" s="395" t="n"/>
      <c r="Y308" s="395" t="n"/>
      <c r="Z308" s="395" t="n"/>
      <c r="AA308" s="395" t="n"/>
      <c r="AB308" s="395" t="n"/>
      <c r="AC308" s="395" t="n"/>
      <c r="AD308" s="395" t="n"/>
      <c r="AE308" s="395" t="n"/>
    </row>
    <row r="309" ht="70" customHeight="1" s="380">
      <c r="A309" s="73" t="n">
        <v>42</v>
      </c>
      <c r="B309" s="386" t="n"/>
      <c r="C309" s="386" t="inlineStr">
        <is>
          <t>Chào bán phát hành &gt;&gt; Tổng hợp số liệu chào bán, phát hành cổ phiếu</t>
        </is>
      </c>
      <c r="D309" s="386" t="inlineStr">
        <is>
          <t>Thực tế &gt;&gt; Đối tượng chào bán &gt;&gt; Cán bộ CNV, HĐQT, BKS &gt;&gt; Cổ phiếu thưởng &gt;&gt; Số lượng người lao động</t>
        </is>
      </c>
      <c r="E309" s="386" t="inlineStr">
        <is>
          <t>Thực tế &gt;&gt; Đối tượng chào bán &gt;&gt; Cán bộ CNV, HĐQT, BKS &gt;&gt; Cổ phiếu thưởng &gt;&gt; Số lượng người lao động</t>
        </is>
      </c>
      <c r="F309" s="386" t="inlineStr">
        <is>
          <t>Data Explorer</t>
        </is>
      </c>
      <c r="G309" s="386" t="inlineStr">
        <is>
          <t>Chỉ tiêu cơ sở</t>
        </is>
      </c>
      <c r="H309" s="386" t="inlineStr">
        <is>
          <t>TB</t>
        </is>
      </c>
      <c r="I309" s="386" t="inlineStr">
        <is>
          <t>Ngày, CTCK</t>
        </is>
      </c>
      <c r="J309" s="395" t="inlineStr">
        <is>
          <t>SCMS</t>
        </is>
      </c>
      <c r="K309" s="395" t="n"/>
      <c r="L309" s="395" t="inlineStr">
        <is>
          <t>X</t>
        </is>
      </c>
      <c r="M309" s="395" t="n"/>
      <c r="N309" s="395" t="inlineStr">
        <is>
          <t>Pending</t>
        </is>
      </c>
      <c r="O309" s="401" t="n"/>
      <c r="P309" s="395" t="n"/>
      <c r="Q309" s="395" t="n"/>
      <c r="R309" s="395" t="n"/>
      <c r="S309" s="395" t="n"/>
      <c r="T309" s="386" t="n"/>
      <c r="U309" s="386" t="n"/>
      <c r="V309" s="395" t="n"/>
      <c r="W309" s="395" t="n"/>
      <c r="X309" s="395" t="n"/>
      <c r="Y309" s="395" t="n"/>
      <c r="Z309" s="395" t="n"/>
      <c r="AA309" s="395" t="n"/>
      <c r="AB309" s="395" t="n"/>
      <c r="AC309" s="395" t="n"/>
      <c r="AD309" s="395" t="n"/>
      <c r="AE309" s="395" t="n"/>
    </row>
    <row r="310" ht="42" customHeight="1" s="380">
      <c r="A310" s="73" t="n">
        <v>42</v>
      </c>
      <c r="B310" s="386" t="n"/>
      <c r="C310" s="386" t="inlineStr">
        <is>
          <t>Chào bán phát hành &gt;&gt; Tổng hợp số liệu chào bán, phát hành cổ phiếu</t>
        </is>
      </c>
      <c r="D310" s="386" t="inlineStr">
        <is>
          <t>Thực tế &gt;&gt; Đối tượng chào bán &gt;&gt; Chào bán riêng lẻ &gt;&gt; Số lượng</t>
        </is>
      </c>
      <c r="E310" s="386" t="inlineStr">
        <is>
          <t>Thực tế &gt;&gt; Đối tượng chào bán &gt;&gt; Chào bán riêng lẻ &gt;&gt; Số lượng</t>
        </is>
      </c>
      <c r="F310" s="386" t="inlineStr">
        <is>
          <t>Data Explorer</t>
        </is>
      </c>
      <c r="G310" s="386" t="inlineStr">
        <is>
          <t>Chỉ tiêu cơ sở</t>
        </is>
      </c>
      <c r="H310" s="386" t="inlineStr">
        <is>
          <t>TB</t>
        </is>
      </c>
      <c r="I310" s="386" t="inlineStr">
        <is>
          <t>Ngày, CTCK</t>
        </is>
      </c>
      <c r="J310" s="395" t="inlineStr">
        <is>
          <t>SCMS</t>
        </is>
      </c>
      <c r="K310" s="395" t="n"/>
      <c r="L310" s="395" t="inlineStr">
        <is>
          <t>X</t>
        </is>
      </c>
      <c r="M310" s="395" t="n"/>
      <c r="N310" s="395" t="inlineStr">
        <is>
          <t>Pending</t>
        </is>
      </c>
      <c r="O310" s="401" t="n"/>
      <c r="P310" s="395" t="n"/>
      <c r="Q310" s="395" t="n"/>
      <c r="R310" s="395" t="n"/>
      <c r="S310" s="395" t="n"/>
      <c r="T310" s="386" t="n"/>
      <c r="U310" s="386" t="n"/>
      <c r="V310" s="395" t="n"/>
      <c r="W310" s="395" t="n"/>
      <c r="X310" s="395" t="n"/>
      <c r="Y310" s="395" t="n"/>
      <c r="Z310" s="395" t="n"/>
      <c r="AA310" s="395" t="n"/>
      <c r="AB310" s="395" t="n"/>
      <c r="AC310" s="395" t="n"/>
      <c r="AD310" s="395" t="n"/>
      <c r="AE310" s="395" t="n"/>
    </row>
    <row r="311" ht="42" customHeight="1" s="380">
      <c r="A311" s="73" t="n">
        <v>42</v>
      </c>
      <c r="B311" s="386" t="n"/>
      <c r="C311" s="386" t="inlineStr">
        <is>
          <t>Chào bán phát hành &gt;&gt; Tổng hợp số liệu chào bán, phát hành cổ phiếu</t>
        </is>
      </c>
      <c r="D311" s="386" t="inlineStr">
        <is>
          <t>Thực tế &gt;&gt; Đối tượng chào bán &gt;&gt; Chào bán riêng lẻ &gt;&gt; Giá (đồng)</t>
        </is>
      </c>
      <c r="E311" s="386" t="inlineStr">
        <is>
          <t>Thực tế &gt;&gt; Đối tượng chào bán &gt;&gt; Chào bán riêng lẻ &gt;&gt; Giá (đồng)</t>
        </is>
      </c>
      <c r="F311" s="386" t="inlineStr">
        <is>
          <t>Data Explorer</t>
        </is>
      </c>
      <c r="G311" s="386" t="inlineStr">
        <is>
          <t>Chỉ tiêu cơ sở</t>
        </is>
      </c>
      <c r="H311" s="386" t="inlineStr">
        <is>
          <t>TB</t>
        </is>
      </c>
      <c r="I311" s="386" t="inlineStr">
        <is>
          <t>Ngày, CTCK</t>
        </is>
      </c>
      <c r="J311" s="395" t="inlineStr">
        <is>
          <t>SCMS</t>
        </is>
      </c>
      <c r="K311" s="395" t="n"/>
      <c r="L311" s="395" t="inlineStr">
        <is>
          <t>X</t>
        </is>
      </c>
      <c r="M311" s="395" t="n"/>
      <c r="N311" s="395" t="inlineStr">
        <is>
          <t>Pending</t>
        </is>
      </c>
      <c r="O311" s="401" t="n"/>
      <c r="P311" s="395" t="n"/>
      <c r="Q311" s="395" t="n"/>
      <c r="R311" s="395" t="n"/>
      <c r="S311" s="395" t="n"/>
      <c r="T311" s="386" t="n"/>
      <c r="U311" s="386" t="n"/>
      <c r="V311" s="395" t="n"/>
      <c r="W311" s="395" t="n"/>
      <c r="X311" s="395" t="n"/>
      <c r="Y311" s="395" t="n"/>
      <c r="Z311" s="395" t="n"/>
      <c r="AA311" s="395" t="n"/>
      <c r="AB311" s="395" t="n"/>
      <c r="AC311" s="395" t="n"/>
      <c r="AD311" s="395" t="n"/>
      <c r="AE311" s="395" t="n"/>
    </row>
    <row r="312" ht="42" customHeight="1" s="380">
      <c r="A312" s="73" t="n">
        <v>42</v>
      </c>
      <c r="B312" s="386" t="n"/>
      <c r="C312" s="386" t="inlineStr">
        <is>
          <t>Chào bán phát hành &gt;&gt; Tổng hợp số liệu chào bán, phát hành cổ phiếu</t>
        </is>
      </c>
      <c r="D312" s="386" t="inlineStr">
        <is>
          <t>Thực tế &gt;&gt; Đối tượng chào bán &gt;&gt; Chào bán riêng lẻ &gt;&gt; Giá trị (đồng)</t>
        </is>
      </c>
      <c r="E312" s="386" t="inlineStr">
        <is>
          <t>Thực tế &gt;&gt; Đối tượng chào bán &gt;&gt; Chào bán riêng lẻ &gt;&gt; Giá trị (đồng)</t>
        </is>
      </c>
      <c r="F312" s="386" t="inlineStr">
        <is>
          <t>Data Explorer</t>
        </is>
      </c>
      <c r="G312" s="386" t="inlineStr">
        <is>
          <t>Chỉ tiêu cơ sở</t>
        </is>
      </c>
      <c r="H312" s="386" t="inlineStr">
        <is>
          <t>TB</t>
        </is>
      </c>
      <c r="I312" s="386" t="inlineStr">
        <is>
          <t>Ngày, CTCK</t>
        </is>
      </c>
      <c r="J312" s="395" t="inlineStr">
        <is>
          <t>SCMS</t>
        </is>
      </c>
      <c r="K312" s="395" t="n"/>
      <c r="L312" s="395" t="inlineStr">
        <is>
          <t>X</t>
        </is>
      </c>
      <c r="M312" s="395" t="n"/>
      <c r="N312" s="395" t="inlineStr">
        <is>
          <t>Pending</t>
        </is>
      </c>
      <c r="O312" s="401" t="n"/>
      <c r="P312" s="395" t="n"/>
      <c r="Q312" s="395" t="n"/>
      <c r="R312" s="395" t="n"/>
      <c r="S312" s="395" t="n"/>
      <c r="T312" s="386" t="n"/>
      <c r="U312" s="386" t="n"/>
      <c r="V312" s="395" t="n"/>
      <c r="W312" s="395" t="n"/>
      <c r="X312" s="395" t="n"/>
      <c r="Y312" s="395" t="n"/>
      <c r="Z312" s="395" t="n"/>
      <c r="AA312" s="395" t="n"/>
      <c r="AB312" s="395" t="n"/>
      <c r="AC312" s="395" t="n"/>
      <c r="AD312" s="395" t="n"/>
      <c r="AE312" s="395" t="n"/>
    </row>
    <row r="313" ht="42" customHeight="1" s="380">
      <c r="A313" s="73" t="n">
        <v>42</v>
      </c>
      <c r="B313" s="386" t="n"/>
      <c r="C313" s="386" t="inlineStr">
        <is>
          <t>Chào bán phát hành &gt;&gt; Tổng hợp số liệu chào bán, phát hành cổ phiếu</t>
        </is>
      </c>
      <c r="D313" s="386" t="inlineStr">
        <is>
          <t>Thực tế &gt;&gt; Đối tượng chào bán &gt;&gt; Chào bán riêng lẻ &gt;&gt; Đối tượng</t>
        </is>
      </c>
      <c r="E313" s="386" t="inlineStr">
        <is>
          <t>Thực tế &gt;&gt; Đối tượng chào bán &gt;&gt; Chào bán riêng lẻ &gt;&gt; Đối tượng</t>
        </is>
      </c>
      <c r="F313" s="386" t="inlineStr">
        <is>
          <t>Data Explorer</t>
        </is>
      </c>
      <c r="G313" s="386" t="inlineStr">
        <is>
          <t>Chỉ tiêu cơ sở</t>
        </is>
      </c>
      <c r="H313" s="386" t="inlineStr">
        <is>
          <t>TB</t>
        </is>
      </c>
      <c r="I313" s="386" t="inlineStr">
        <is>
          <t>Ngày, CTCK</t>
        </is>
      </c>
      <c r="J313" s="395" t="inlineStr">
        <is>
          <t>SCMS</t>
        </is>
      </c>
      <c r="K313" s="395" t="n"/>
      <c r="L313" s="395" t="inlineStr">
        <is>
          <t>X</t>
        </is>
      </c>
      <c r="M313" s="395" t="n"/>
      <c r="N313" s="395" t="inlineStr">
        <is>
          <t>Pending</t>
        </is>
      </c>
      <c r="O313" s="401" t="n"/>
      <c r="P313" s="395" t="n"/>
      <c r="Q313" s="395" t="n"/>
      <c r="R313" s="395" t="n"/>
      <c r="S313" s="395" t="n"/>
      <c r="T313" s="386" t="n"/>
      <c r="U313" s="386" t="n"/>
      <c r="V313" s="395" t="n"/>
      <c r="W313" s="395" t="n"/>
      <c r="X313" s="395" t="n"/>
      <c r="Y313" s="36" t="n"/>
      <c r="Z313" s="395" t="n"/>
      <c r="AA313" s="395" t="n"/>
      <c r="AB313" s="395" t="n"/>
      <c r="AC313" s="395" t="n"/>
      <c r="AD313" s="395" t="n"/>
      <c r="AE313" s="395" t="n"/>
    </row>
    <row r="314" ht="70" customHeight="1" s="380">
      <c r="A314" s="73" t="n">
        <v>42</v>
      </c>
      <c r="B314" s="386" t="n"/>
      <c r="C314" s="386" t="inlineStr">
        <is>
          <t>Chào bán phát hành &gt;&gt; Tổng hợp số liệu chào bán, phát hành cổ phiếu</t>
        </is>
      </c>
      <c r="D314" s="386" t="inlineStr">
        <is>
          <t>Thực tế &gt;&gt; Đối tượng chào bán &gt;&gt; Chào bán riêng lẻ &gt;&gt; Số lượng nhà đầu tư nước ngoài tham gia</t>
        </is>
      </c>
      <c r="E314" s="386" t="inlineStr">
        <is>
          <t>Thực tế &gt;&gt; Đối tượng chào bán &gt;&gt; Chào bán riêng lẻ &gt;&gt; Số lượng nhà đầu tư nước ngoài tham gia</t>
        </is>
      </c>
      <c r="F314" s="386" t="inlineStr">
        <is>
          <t>Data Explorer</t>
        </is>
      </c>
      <c r="G314" s="386" t="inlineStr">
        <is>
          <t>Chỉ tiêu cơ sở</t>
        </is>
      </c>
      <c r="H314" s="386" t="inlineStr">
        <is>
          <t>TB</t>
        </is>
      </c>
      <c r="I314" s="386" t="inlineStr">
        <is>
          <t>Ngày, CTCK</t>
        </is>
      </c>
      <c r="J314" s="395" t="inlineStr">
        <is>
          <t>SCMS</t>
        </is>
      </c>
      <c r="K314" s="395" t="n"/>
      <c r="L314" s="395" t="inlineStr">
        <is>
          <t>X</t>
        </is>
      </c>
      <c r="M314" s="395" t="n"/>
      <c r="N314" s="395" t="inlineStr">
        <is>
          <t>Pending</t>
        </is>
      </c>
      <c r="O314" s="401" t="n"/>
      <c r="P314" s="395" t="n"/>
      <c r="Q314" s="395" t="n"/>
      <c r="R314" s="395" t="n"/>
      <c r="S314" s="395" t="n"/>
      <c r="T314" s="386" t="n"/>
      <c r="U314" s="386" t="n"/>
      <c r="V314" s="395" t="n"/>
      <c r="W314" s="395" t="n"/>
      <c r="X314" s="395" t="n"/>
      <c r="Y314" s="395" t="n"/>
      <c r="Z314" s="395" t="n"/>
      <c r="AA314" s="395" t="n"/>
      <c r="AB314" s="395" t="n"/>
      <c r="AC314" s="395" t="n"/>
      <c r="AD314" s="395" t="n"/>
      <c r="AE314" s="395" t="n"/>
    </row>
    <row r="315" ht="70" customHeight="1" s="380">
      <c r="A315" s="73" t="n">
        <v>42</v>
      </c>
      <c r="B315" s="386" t="n"/>
      <c r="C315" s="386" t="inlineStr">
        <is>
          <t>Chào bán phát hành &gt;&gt; Tổng hợp số liệu chào bán, phát hành cổ phiếu</t>
        </is>
      </c>
      <c r="D315" s="386" t="inlineStr">
        <is>
          <t>Thực tế &gt;&gt; Đối tượng chào bán &gt;&gt; Chào bán riêng lẻ &gt;&gt; Giá trị phát hành cho nhà đầu tư nước ngoài (đồng)</t>
        </is>
      </c>
      <c r="E315" s="386" t="inlineStr">
        <is>
          <t>Thực tế &gt;&gt; Đối tượng chào bán &gt;&gt; Chào bán riêng lẻ &gt;&gt; Giá trị phát hành cho nhà đầu tư nước ngoài (đồng)</t>
        </is>
      </c>
      <c r="F315" s="386" t="inlineStr">
        <is>
          <t>Data Explorer</t>
        </is>
      </c>
      <c r="G315" s="386" t="inlineStr">
        <is>
          <t>Chỉ tiêu cơ sở</t>
        </is>
      </c>
      <c r="H315" s="386" t="inlineStr">
        <is>
          <t>TB</t>
        </is>
      </c>
      <c r="I315" s="386" t="inlineStr">
        <is>
          <t>Ngày, CTCK</t>
        </is>
      </c>
      <c r="J315" s="395" t="inlineStr">
        <is>
          <t>SCMS</t>
        </is>
      </c>
      <c r="K315" s="395" t="n"/>
      <c r="L315" s="395" t="inlineStr">
        <is>
          <t>X</t>
        </is>
      </c>
      <c r="M315" s="395" t="n"/>
      <c r="N315" s="395" t="inlineStr">
        <is>
          <t>Pending</t>
        </is>
      </c>
      <c r="O315" s="401" t="n"/>
      <c r="P315" s="395" t="n"/>
      <c r="Q315" s="395" t="n"/>
      <c r="R315" s="395" t="n"/>
      <c r="S315" s="395" t="n"/>
      <c r="T315" s="386" t="n"/>
      <c r="U315" s="386" t="n"/>
      <c r="V315" s="395" t="n"/>
      <c r="W315" s="395" t="n"/>
      <c r="X315" s="395" t="n"/>
      <c r="Y315" s="36" t="n"/>
      <c r="Z315" s="395" t="n"/>
      <c r="AA315" s="395" t="n"/>
      <c r="AB315" s="395" t="n"/>
      <c r="AC315" s="395" t="n"/>
      <c r="AD315" s="395" t="n"/>
      <c r="AE315" s="395" t="n"/>
    </row>
    <row r="316" ht="56" customHeight="1" s="380">
      <c r="A316" s="73" t="n">
        <v>42</v>
      </c>
      <c r="B316" s="386" t="n"/>
      <c r="C316" s="386" t="inlineStr">
        <is>
          <t>Chào bán phát hành &gt;&gt; Tổng hợp số liệu chào bán, phát hành cổ phiếu</t>
        </is>
      </c>
      <c r="D316" s="386" t="inlineStr">
        <is>
          <t>Thực tế &gt;&gt; Đối tượng chào bán &gt;&gt; Đối tượng khác &gt;&gt; Đấu giá &gt;&gt; Số lượng</t>
        </is>
      </c>
      <c r="E316" s="386" t="inlineStr">
        <is>
          <t>Thực tế &gt;&gt; Đối tượng chào bán &gt;&gt; Đối tượng khác &gt;&gt; Đấu giá &gt;&gt; Số lượng</t>
        </is>
      </c>
      <c r="F316" s="386" t="inlineStr">
        <is>
          <t>Data Explorer</t>
        </is>
      </c>
      <c r="G316" s="386" t="inlineStr">
        <is>
          <t>Chỉ tiêu cơ sở</t>
        </is>
      </c>
      <c r="H316" s="386" t="inlineStr">
        <is>
          <t>TB</t>
        </is>
      </c>
      <c r="I316" s="386" t="inlineStr">
        <is>
          <t>Ngày, CTCK</t>
        </is>
      </c>
      <c r="J316" s="395" t="inlineStr">
        <is>
          <t>SCMS</t>
        </is>
      </c>
      <c r="K316" s="395" t="n"/>
      <c r="L316" s="395" t="inlineStr">
        <is>
          <t>X</t>
        </is>
      </c>
      <c r="M316" s="395" t="n"/>
      <c r="N316" s="395" t="inlineStr">
        <is>
          <t>Pending</t>
        </is>
      </c>
      <c r="O316" s="401" t="n"/>
      <c r="P316" s="395" t="n"/>
      <c r="Q316" s="395" t="n"/>
      <c r="R316" s="395" t="n"/>
      <c r="S316" s="395" t="n"/>
      <c r="T316" s="386" t="n"/>
      <c r="U316" s="386" t="n"/>
      <c r="V316" s="395" t="n"/>
      <c r="W316" s="395" t="n"/>
      <c r="X316" s="395" t="n"/>
      <c r="Y316" s="395" t="n"/>
      <c r="Z316" s="395" t="n"/>
      <c r="AA316" s="395" t="n"/>
      <c r="AB316" s="395" t="n"/>
      <c r="AC316" s="395" t="n"/>
      <c r="AD316" s="395" t="n"/>
      <c r="AE316" s="395" t="n"/>
    </row>
    <row r="317" ht="56" customHeight="1" s="380">
      <c r="A317" s="73" t="n">
        <v>42</v>
      </c>
      <c r="B317" s="386" t="n"/>
      <c r="C317" s="386" t="inlineStr">
        <is>
          <t>Chào bán phát hành &gt;&gt; Tổng hợp số liệu chào bán, phát hành cổ phiếu</t>
        </is>
      </c>
      <c r="D317" s="386" t="inlineStr">
        <is>
          <t>Thực tế &gt;&gt; Đối tượng chào bán &gt;&gt; Đối tượng khác &gt;&gt; Đấu giá &gt;&gt; Giá khời điểm (đồng)</t>
        </is>
      </c>
      <c r="E317" s="386" t="inlineStr">
        <is>
          <t>Thực tế &gt;&gt; Đối tượng chào bán &gt;&gt; Đối tượng khác &gt;&gt; Đấu giá &gt;&gt; Giá khời điểm (đồng)</t>
        </is>
      </c>
      <c r="F317" s="386" t="inlineStr">
        <is>
          <t>Data Explorer</t>
        </is>
      </c>
      <c r="G317" s="386" t="inlineStr">
        <is>
          <t>Chỉ tiêu cơ sở</t>
        </is>
      </c>
      <c r="H317" s="386" t="inlineStr">
        <is>
          <t>TB</t>
        </is>
      </c>
      <c r="I317" s="386" t="inlineStr">
        <is>
          <t>Ngày, CTCK</t>
        </is>
      </c>
      <c r="J317" s="395" t="inlineStr">
        <is>
          <t>SCMS</t>
        </is>
      </c>
      <c r="K317" s="395" t="n"/>
      <c r="L317" s="395" t="inlineStr">
        <is>
          <t>X</t>
        </is>
      </c>
      <c r="M317" s="395" t="n"/>
      <c r="N317" s="395" t="inlineStr">
        <is>
          <t>Pending</t>
        </is>
      </c>
      <c r="O317" s="401" t="n"/>
      <c r="P317" s="395" t="n"/>
      <c r="Q317" s="395" t="n"/>
      <c r="R317" s="395" t="n"/>
      <c r="S317" s="395" t="n"/>
      <c r="T317" s="386" t="n"/>
      <c r="U317" s="386" t="n"/>
      <c r="V317" s="395" t="n"/>
      <c r="W317" s="395" t="n"/>
      <c r="X317" s="395" t="n"/>
      <c r="Y317" s="395" t="n"/>
      <c r="Z317" s="395" t="n"/>
      <c r="AA317" s="395" t="n"/>
      <c r="AB317" s="395" t="n"/>
      <c r="AC317" s="395" t="n"/>
      <c r="AD317" s="395" t="n"/>
      <c r="AE317" s="395" t="n"/>
    </row>
    <row r="318" ht="56" customHeight="1" s="380">
      <c r="A318" s="73" t="n">
        <v>42</v>
      </c>
      <c r="B318" s="386" t="n"/>
      <c r="C318" s="386" t="inlineStr">
        <is>
          <t>Chào bán phát hành &gt;&gt; Tổng hợp số liệu chào bán, phát hành cổ phiếu</t>
        </is>
      </c>
      <c r="D318" s="386" t="inlineStr">
        <is>
          <t>Thực tế &gt;&gt; Đối tượng chào bán &gt;&gt; Đối tượng khác &gt;&gt; Đấu giá &gt;&gt; Giá trị (đồng)</t>
        </is>
      </c>
      <c r="E318" s="386" t="inlineStr">
        <is>
          <t>Thực tế &gt;&gt; Đối tượng chào bán &gt;&gt; Đối tượng khác &gt;&gt; Đấu giá &gt;&gt; Giá trị (đồng)</t>
        </is>
      </c>
      <c r="F318" s="386" t="inlineStr">
        <is>
          <t>Data Explorer</t>
        </is>
      </c>
      <c r="G318" s="386" t="inlineStr">
        <is>
          <t>Chỉ tiêu cơ sở</t>
        </is>
      </c>
      <c r="H318" s="386" t="inlineStr">
        <is>
          <t>TB</t>
        </is>
      </c>
      <c r="I318" s="386" t="inlineStr">
        <is>
          <t>Ngày, CTCK</t>
        </is>
      </c>
      <c r="J318" s="395" t="inlineStr">
        <is>
          <t>SCMS</t>
        </is>
      </c>
      <c r="K318" s="395" t="n"/>
      <c r="L318" s="395" t="inlineStr">
        <is>
          <t>X</t>
        </is>
      </c>
      <c r="M318" s="395" t="n"/>
      <c r="N318" s="395" t="inlineStr">
        <is>
          <t>Pending</t>
        </is>
      </c>
      <c r="O318" s="401" t="n"/>
      <c r="P318" s="395" t="n"/>
      <c r="Q318" s="395" t="n"/>
      <c r="R318" s="395" t="n"/>
      <c r="S318" s="395" t="n"/>
      <c r="T318" s="386" t="n"/>
      <c r="U318" s="386" t="n"/>
      <c r="V318" s="395" t="n"/>
      <c r="W318" s="395" t="n"/>
      <c r="X318" s="395" t="n"/>
      <c r="Y318" s="395" t="n"/>
      <c r="Z318" s="395" t="n"/>
      <c r="AA318" s="395" t="n"/>
      <c r="AB318" s="395" t="n"/>
      <c r="AC318" s="395" t="n"/>
      <c r="AD318" s="395" t="n"/>
      <c r="AE318" s="395" t="n"/>
    </row>
    <row r="319" ht="56" customHeight="1" s="380">
      <c r="A319" s="73" t="n">
        <v>42</v>
      </c>
      <c r="B319" s="386" t="n"/>
      <c r="C319" s="386" t="inlineStr">
        <is>
          <t>Chào bán phát hành &gt;&gt; Tổng hợp số liệu chào bán, phát hành cổ phiếu</t>
        </is>
      </c>
      <c r="D319" s="386" t="inlineStr">
        <is>
          <t>Thực tế &gt;&gt; Đối tượng chào bán &gt;&gt; Đối tượng khác &gt;&gt; Khác &gt;&gt; Số lượng</t>
        </is>
      </c>
      <c r="E319" s="386" t="inlineStr">
        <is>
          <t>Thực tế &gt;&gt; Đối tượng chào bán &gt;&gt; Đối tượng khác &gt;&gt; Khác &gt;&gt; Số lượng</t>
        </is>
      </c>
      <c r="F319" s="386" t="inlineStr">
        <is>
          <t>Data Explorer</t>
        </is>
      </c>
      <c r="G319" s="386" t="inlineStr">
        <is>
          <t>Chỉ tiêu cơ sở</t>
        </is>
      </c>
      <c r="H319" s="386" t="inlineStr">
        <is>
          <t>TB</t>
        </is>
      </c>
      <c r="I319" s="386" t="inlineStr">
        <is>
          <t>Ngày, CTCK</t>
        </is>
      </c>
      <c r="J319" s="395" t="inlineStr">
        <is>
          <t>SCMS</t>
        </is>
      </c>
      <c r="K319" s="395" t="n"/>
      <c r="L319" s="395" t="inlineStr">
        <is>
          <t>X</t>
        </is>
      </c>
      <c r="M319" s="395" t="n"/>
      <c r="N319" s="395" t="inlineStr">
        <is>
          <t>Pending</t>
        </is>
      </c>
      <c r="O319" s="401" t="n"/>
      <c r="P319" s="395" t="n"/>
      <c r="Q319" s="395" t="n"/>
      <c r="R319" s="395" t="n"/>
      <c r="S319" s="395" t="n"/>
      <c r="T319" s="386" t="n"/>
      <c r="U319" s="386" t="n"/>
      <c r="V319" s="395" t="n"/>
      <c r="W319" s="395" t="n"/>
      <c r="X319" s="395" t="n"/>
      <c r="Y319" s="395" t="n"/>
      <c r="Z319" s="395" t="n"/>
      <c r="AA319" s="395" t="n"/>
      <c r="AB319" s="395" t="n"/>
      <c r="AC319" s="395" t="n"/>
      <c r="AD319" s="395" t="n"/>
      <c r="AE319" s="395" t="n"/>
    </row>
    <row r="320" ht="56" customHeight="1" s="380">
      <c r="A320" s="73" t="n">
        <v>42</v>
      </c>
      <c r="B320" s="386" t="n"/>
      <c r="C320" s="386" t="inlineStr">
        <is>
          <t>Chào bán phát hành &gt;&gt; Tổng hợp số liệu chào bán, phát hành cổ phiếu</t>
        </is>
      </c>
      <c r="D320" s="386" t="inlineStr">
        <is>
          <t>Thực tế &gt;&gt; Đối tượng chào bán &gt;&gt; Đối tượng khác &gt;&gt; Khác &gt;&gt; Giá (đồng)</t>
        </is>
      </c>
      <c r="E320" s="386" t="inlineStr">
        <is>
          <t>Thực tế &gt;&gt; Đối tượng chào bán &gt;&gt; Đối tượng khác &gt;&gt; Khác &gt;&gt; Giá (đồng)</t>
        </is>
      </c>
      <c r="F320" s="386" t="inlineStr">
        <is>
          <t>Data Explorer</t>
        </is>
      </c>
      <c r="G320" s="386" t="inlineStr">
        <is>
          <t>Chỉ tiêu cơ sở</t>
        </is>
      </c>
      <c r="H320" s="386" t="inlineStr">
        <is>
          <t>TB</t>
        </is>
      </c>
      <c r="I320" s="386" t="inlineStr">
        <is>
          <t>Ngày, CTCK</t>
        </is>
      </c>
      <c r="J320" s="395" t="inlineStr">
        <is>
          <t>SCMS</t>
        </is>
      </c>
      <c r="K320" s="395" t="n"/>
      <c r="L320" s="395" t="inlineStr">
        <is>
          <t>X</t>
        </is>
      </c>
      <c r="M320" s="395" t="n"/>
      <c r="N320" s="395" t="inlineStr">
        <is>
          <t>Pending</t>
        </is>
      </c>
      <c r="O320" s="401" t="n"/>
      <c r="P320" s="395" t="n"/>
      <c r="Q320" s="395" t="n"/>
      <c r="R320" s="395" t="n"/>
      <c r="S320" s="395" t="n"/>
      <c r="T320" s="386" t="n"/>
      <c r="U320" s="386" t="n"/>
      <c r="V320" s="395" t="n"/>
      <c r="W320" s="395" t="n"/>
      <c r="X320" s="395" t="n"/>
      <c r="Y320" s="36" t="n"/>
      <c r="Z320" s="395" t="n"/>
      <c r="AA320" s="395" t="n"/>
      <c r="AB320" s="395" t="n"/>
      <c r="AC320" s="395" t="n"/>
      <c r="AD320" s="395" t="n"/>
      <c r="AE320" s="395" t="n"/>
    </row>
    <row r="321" ht="56" customHeight="1" s="380">
      <c r="A321" s="73" t="n">
        <v>42</v>
      </c>
      <c r="B321" s="386" t="n"/>
      <c r="C321" s="386" t="inlineStr">
        <is>
          <t>Chào bán phát hành &gt;&gt; Tổng hợp số liệu chào bán, phát hành cổ phiếu</t>
        </is>
      </c>
      <c r="D321" s="386" t="inlineStr">
        <is>
          <t>Thực tế &gt;&gt; Đối tượng chào bán &gt;&gt; Đối tượng khác &gt;&gt; Khác &gt;&gt; Giá trị (đồng)</t>
        </is>
      </c>
      <c r="E321" s="386" t="inlineStr">
        <is>
          <t>Thực tế &gt;&gt; Đối tượng chào bán &gt;&gt; Đối tượng khác &gt;&gt; Khác &gt;&gt; Giá trị (đồng)</t>
        </is>
      </c>
      <c r="F321" s="386" t="inlineStr">
        <is>
          <t>Data Explorer</t>
        </is>
      </c>
      <c r="G321" s="386" t="inlineStr">
        <is>
          <t>Chỉ tiêu cơ sở</t>
        </is>
      </c>
      <c r="H321" s="386" t="inlineStr">
        <is>
          <t>TB</t>
        </is>
      </c>
      <c r="I321" s="386" t="inlineStr">
        <is>
          <t>Ngày, CTCK</t>
        </is>
      </c>
      <c r="J321" s="395" t="inlineStr">
        <is>
          <t>SCMS</t>
        </is>
      </c>
      <c r="K321" s="395" t="n"/>
      <c r="L321" s="395" t="inlineStr">
        <is>
          <t>X</t>
        </is>
      </c>
      <c r="M321" s="395" t="n"/>
      <c r="N321" s="395" t="inlineStr">
        <is>
          <t>Pending</t>
        </is>
      </c>
      <c r="O321" s="401" t="n"/>
      <c r="P321" s="395" t="n"/>
      <c r="Q321" s="395" t="n"/>
      <c r="R321" s="395" t="n"/>
      <c r="S321" s="395" t="n"/>
      <c r="T321" s="386" t="n"/>
      <c r="U321" s="386" t="n"/>
      <c r="V321" s="395" t="n"/>
      <c r="W321" s="395" t="n"/>
      <c r="X321" s="395" t="n"/>
      <c r="Y321" s="37" t="n"/>
      <c r="Z321" s="395" t="n"/>
      <c r="AA321" s="395" t="n"/>
      <c r="AB321" s="395" t="n"/>
      <c r="AC321" s="395" t="n"/>
      <c r="AD321" s="395" t="n"/>
      <c r="AE321" s="395" t="n"/>
    </row>
    <row r="322" ht="42" customHeight="1" s="380">
      <c r="A322" s="73" t="n">
        <v>42</v>
      </c>
      <c r="B322" s="386" t="n"/>
      <c r="C322" s="386" t="inlineStr">
        <is>
          <t>Chào bán phát hành &gt;&gt; Tổng hợp số liệu chào bán, phát hành cổ phiếu</t>
        </is>
      </c>
      <c r="D322" s="386" t="inlineStr">
        <is>
          <t>Thực tế &gt;&gt; Phát hành cổ phiếu để hoán đổi &gt;&gt; Số lượng</t>
        </is>
      </c>
      <c r="E322" s="386" t="inlineStr">
        <is>
          <t>Thực tế &gt;&gt; Phát hành cổ phiếu để hoán đổi &gt;&gt; Số lượng</t>
        </is>
      </c>
      <c r="F322" s="386" t="inlineStr">
        <is>
          <t>Data Explorer</t>
        </is>
      </c>
      <c r="G322" s="386" t="inlineStr">
        <is>
          <t>Chỉ tiêu cơ sở</t>
        </is>
      </c>
      <c r="H322" s="386" t="inlineStr">
        <is>
          <t>TB</t>
        </is>
      </c>
      <c r="I322" s="386" t="inlineStr">
        <is>
          <t>Ngày, CTCK</t>
        </is>
      </c>
      <c r="J322" s="395" t="inlineStr">
        <is>
          <t>SCMS</t>
        </is>
      </c>
      <c r="K322" s="395" t="n"/>
      <c r="L322" s="395" t="inlineStr">
        <is>
          <t>X</t>
        </is>
      </c>
      <c r="M322" s="395" t="n"/>
      <c r="N322" s="395" t="inlineStr">
        <is>
          <t>Pending</t>
        </is>
      </c>
      <c r="O322" s="401" t="n"/>
      <c r="P322" s="395" t="n"/>
      <c r="Q322" s="395" t="n"/>
      <c r="R322" s="395" t="n"/>
      <c r="S322" s="395" t="n"/>
      <c r="T322" s="386" t="n"/>
      <c r="U322" s="386" t="n"/>
      <c r="V322" s="395" t="n"/>
      <c r="W322" s="395" t="n"/>
      <c r="X322" s="395" t="n"/>
      <c r="Y322" s="395" t="n"/>
      <c r="Z322" s="395" t="n"/>
      <c r="AA322" s="395" t="n"/>
      <c r="AB322" s="395" t="n"/>
      <c r="AC322" s="395" t="n"/>
      <c r="AD322" s="395" t="n"/>
      <c r="AE322" s="395" t="n"/>
    </row>
    <row r="323" ht="42" customHeight="1" s="380">
      <c r="A323" s="73" t="n">
        <v>42</v>
      </c>
      <c r="B323" s="386" t="n"/>
      <c r="C323" s="386" t="inlineStr">
        <is>
          <t>Chào bán phát hành &gt;&gt; Tổng hợp số liệu chào bán, phát hành cổ phiếu</t>
        </is>
      </c>
      <c r="D323" s="386" t="inlineStr">
        <is>
          <t>Thực tế &gt;&gt; Phát hành cổ phiếu để hoán đổi &gt;&gt; Giá trị (đồng)</t>
        </is>
      </c>
      <c r="E323" s="386" t="inlineStr">
        <is>
          <t>Thực tế &gt;&gt; Phát hành cổ phiếu để hoán đổi &gt;&gt; Giá trị (đồng)</t>
        </is>
      </c>
      <c r="F323" s="386" t="inlineStr">
        <is>
          <t>Data Explorer</t>
        </is>
      </c>
      <c r="G323" s="386" t="inlineStr">
        <is>
          <t>Chỉ tiêu cơ sở</t>
        </is>
      </c>
      <c r="H323" s="386" t="inlineStr">
        <is>
          <t>TB</t>
        </is>
      </c>
      <c r="I323" s="386" t="inlineStr">
        <is>
          <t>Ngày, CTCK</t>
        </is>
      </c>
      <c r="J323" s="395" t="inlineStr">
        <is>
          <t>SCMS</t>
        </is>
      </c>
      <c r="K323" s="395" t="n"/>
      <c r="L323" s="395" t="inlineStr">
        <is>
          <t>X</t>
        </is>
      </c>
      <c r="M323" s="395" t="n"/>
      <c r="N323" s="395" t="inlineStr">
        <is>
          <t>Pending</t>
        </is>
      </c>
      <c r="O323" s="401" t="n"/>
      <c r="P323" s="395" t="n"/>
      <c r="Q323" s="395" t="n"/>
      <c r="R323" s="395" t="n"/>
      <c r="S323" s="395" t="n"/>
      <c r="T323" s="386" t="n"/>
      <c r="U323" s="386" t="n"/>
      <c r="V323" s="395" t="n"/>
      <c r="W323" s="395" t="n"/>
      <c r="X323" s="395" t="n"/>
      <c r="Y323" s="395" t="n"/>
      <c r="Z323" s="395" t="n"/>
      <c r="AA323" s="395" t="n"/>
      <c r="AB323" s="395" t="n"/>
      <c r="AC323" s="395" t="n"/>
      <c r="AD323" s="395" t="n"/>
      <c r="AE323" s="395" t="n"/>
    </row>
    <row r="324" ht="42" customHeight="1" s="380">
      <c r="A324" s="73" t="n">
        <v>42</v>
      </c>
      <c r="B324" s="386" t="n"/>
      <c r="C324" s="386" t="inlineStr">
        <is>
          <t>Chào bán phát hành &gt;&gt; Tổng hợp số liệu chào bán, phát hành cổ phiếu</t>
        </is>
      </c>
      <c r="D324" s="386" t="inlineStr">
        <is>
          <t>Thực tế &gt;&gt; Phát hành cổ phiếu để hoán đổi &gt;&gt; Mục đích</t>
        </is>
      </c>
      <c r="E324" s="386" t="inlineStr">
        <is>
          <t>Thực tế &gt;&gt; Phát hành cổ phiếu để hoán đổi &gt;&gt; Mục đích</t>
        </is>
      </c>
      <c r="F324" s="386" t="inlineStr">
        <is>
          <t>Data Explorer</t>
        </is>
      </c>
      <c r="G324" s="386" t="inlineStr">
        <is>
          <t>Chỉ tiêu cơ sở</t>
        </is>
      </c>
      <c r="H324" s="386" t="inlineStr">
        <is>
          <t>TB</t>
        </is>
      </c>
      <c r="I324" s="386" t="inlineStr">
        <is>
          <t>Ngày, CTCK</t>
        </is>
      </c>
      <c r="J324" s="395" t="inlineStr">
        <is>
          <t>SCMS</t>
        </is>
      </c>
      <c r="K324" s="395" t="n"/>
      <c r="L324" s="395" t="inlineStr">
        <is>
          <t>X</t>
        </is>
      </c>
      <c r="M324" s="395" t="n"/>
      <c r="N324" s="395" t="inlineStr">
        <is>
          <t>Pending</t>
        </is>
      </c>
      <c r="O324" s="401" t="n"/>
      <c r="P324" s="395" t="n"/>
      <c r="Q324" s="395" t="n"/>
      <c r="R324" s="395" t="n"/>
      <c r="S324" s="395" t="n"/>
      <c r="T324" s="386" t="n"/>
      <c r="U324" s="386" t="n"/>
      <c r="V324" s="395" t="n"/>
      <c r="W324" s="395" t="n"/>
      <c r="X324" s="395" t="n"/>
      <c r="Y324" s="395" t="n"/>
      <c r="Z324" s="395" t="n"/>
      <c r="AA324" s="395" t="n"/>
      <c r="AB324" s="395" t="n"/>
      <c r="AC324" s="395" t="n"/>
      <c r="AD324" s="395" t="n"/>
      <c r="AE324" s="395" t="n"/>
    </row>
    <row r="325" ht="42" customHeight="1" s="380">
      <c r="A325" s="73" t="n">
        <v>42</v>
      </c>
      <c r="B325" s="386" t="n"/>
      <c r="C325" s="386" t="inlineStr">
        <is>
          <t>Chào bán phát hành &gt;&gt; Tổng hợp số liệu chào bán, phát hành cổ phiếu</t>
        </is>
      </c>
      <c r="D325" s="386" t="inlineStr">
        <is>
          <t>Thực tế &gt;&gt; Chào bán của cổ đông lớn &gt;&gt; Số lượng</t>
        </is>
      </c>
      <c r="E325" s="386" t="inlineStr">
        <is>
          <t>Thực tế &gt;&gt; Chào bán của cổ đông lớn &gt;&gt; Số lượng</t>
        </is>
      </c>
      <c r="F325" s="386" t="inlineStr">
        <is>
          <t>Data Explorer</t>
        </is>
      </c>
      <c r="G325" s="386" t="inlineStr">
        <is>
          <t>Chỉ tiêu cơ sở</t>
        </is>
      </c>
      <c r="H325" s="386" t="inlineStr">
        <is>
          <t>TB</t>
        </is>
      </c>
      <c r="I325" s="386" t="inlineStr">
        <is>
          <t>Ngày, CTCK</t>
        </is>
      </c>
      <c r="J325" s="395" t="inlineStr">
        <is>
          <t>SCMS</t>
        </is>
      </c>
      <c r="K325" s="395" t="n"/>
      <c r="L325" s="395" t="inlineStr">
        <is>
          <t>X</t>
        </is>
      </c>
      <c r="M325" s="395" t="n"/>
      <c r="N325" s="395" t="inlineStr">
        <is>
          <t>Pending</t>
        </is>
      </c>
      <c r="O325" s="401" t="n"/>
      <c r="P325" s="395" t="n"/>
      <c r="Q325" s="395" t="n"/>
      <c r="R325" s="395" t="n"/>
      <c r="S325" s="395" t="n"/>
      <c r="T325" s="386" t="n"/>
      <c r="U325" s="386" t="n"/>
      <c r="V325" s="395" t="n"/>
      <c r="W325" s="395" t="n"/>
      <c r="X325" s="395" t="n"/>
      <c r="Y325" s="395" t="n"/>
      <c r="Z325" s="395" t="n"/>
      <c r="AA325" s="395" t="n"/>
      <c r="AB325" s="395" t="n"/>
      <c r="AC325" s="395" t="n"/>
      <c r="AD325" s="395" t="n"/>
      <c r="AE325" s="395" t="n"/>
    </row>
    <row r="326" ht="42" customHeight="1" s="380">
      <c r="A326" s="73" t="n">
        <v>42</v>
      </c>
      <c r="B326" s="386" t="n"/>
      <c r="C326" s="386" t="inlineStr">
        <is>
          <t>Chào bán phát hành &gt;&gt; Tổng hợp số liệu chào bán, phát hành cổ phiếu</t>
        </is>
      </c>
      <c r="D326" s="386" t="inlineStr">
        <is>
          <t>Thực tế &gt;&gt; Chào bán của cổ đông lớn &gt;&gt; Giá (đồng)</t>
        </is>
      </c>
      <c r="E326" s="386" t="inlineStr">
        <is>
          <t>Thực tế &gt;&gt; Chào bán của cổ đông lớn &gt;&gt; Giá (đồng)</t>
        </is>
      </c>
      <c r="F326" s="386" t="inlineStr">
        <is>
          <t>Data Explorer</t>
        </is>
      </c>
      <c r="G326" s="386" t="inlineStr">
        <is>
          <t>Chỉ tiêu cơ sở</t>
        </is>
      </c>
      <c r="H326" s="386" t="inlineStr">
        <is>
          <t>TB</t>
        </is>
      </c>
      <c r="I326" s="386" t="inlineStr">
        <is>
          <t>Ngày, CTCK</t>
        </is>
      </c>
      <c r="J326" s="395" t="inlineStr">
        <is>
          <t>SCMS</t>
        </is>
      </c>
      <c r="K326" s="395" t="n"/>
      <c r="L326" s="395" t="inlineStr">
        <is>
          <t>X</t>
        </is>
      </c>
      <c r="M326" s="395" t="n"/>
      <c r="N326" s="395" t="inlineStr">
        <is>
          <t>Pending</t>
        </is>
      </c>
      <c r="O326" s="401" t="n"/>
      <c r="P326" s="395" t="n"/>
      <c r="Q326" s="395" t="n"/>
      <c r="R326" s="395" t="n"/>
      <c r="S326" s="395" t="n"/>
      <c r="T326" s="386" t="n"/>
      <c r="U326" s="386" t="n"/>
      <c r="V326" s="395" t="n"/>
      <c r="W326" s="395" t="n"/>
      <c r="X326" s="395" t="n"/>
      <c r="Y326" s="36" t="n"/>
      <c r="Z326" s="395" t="n"/>
      <c r="AA326" s="395" t="n"/>
      <c r="AB326" s="395" t="n"/>
      <c r="AC326" s="395" t="n"/>
      <c r="AD326" s="395" t="n"/>
      <c r="AE326" s="395" t="n"/>
    </row>
    <row r="327" ht="42" customHeight="1" s="380">
      <c r="A327" s="73" t="n">
        <v>42</v>
      </c>
      <c r="B327" s="386" t="n"/>
      <c r="C327" s="386" t="inlineStr">
        <is>
          <t>Chào bán phát hành &gt;&gt; Tổng hợp số liệu chào bán, phát hành cổ phiếu</t>
        </is>
      </c>
      <c r="D327" s="386" t="inlineStr">
        <is>
          <t>Thực tế &gt;&gt; Chào bán của cổ đông lớn &gt;&gt; Giá trị (đồng)</t>
        </is>
      </c>
      <c r="E327" s="386" t="inlineStr">
        <is>
          <t>Thực tế &gt;&gt; Chào bán của cổ đông lớn &gt;&gt; Giá trị (đồng)</t>
        </is>
      </c>
      <c r="F327" s="386" t="inlineStr">
        <is>
          <t>Data Explorer</t>
        </is>
      </c>
      <c r="G327" s="386" t="inlineStr">
        <is>
          <t>Chỉ tiêu cơ sở</t>
        </is>
      </c>
      <c r="H327" s="386" t="inlineStr">
        <is>
          <t>TB</t>
        </is>
      </c>
      <c r="I327" s="386" t="inlineStr">
        <is>
          <t>Ngày, CTCK</t>
        </is>
      </c>
      <c r="J327" s="395" t="inlineStr">
        <is>
          <t>SCMS</t>
        </is>
      </c>
      <c r="K327" s="395" t="n"/>
      <c r="L327" s="395" t="inlineStr">
        <is>
          <t>X</t>
        </is>
      </c>
      <c r="M327" s="395" t="n"/>
      <c r="N327" s="395" t="inlineStr">
        <is>
          <t>Pending</t>
        </is>
      </c>
      <c r="O327" s="401" t="n"/>
      <c r="P327" s="395" t="n"/>
      <c r="Q327" s="395" t="n"/>
      <c r="R327" s="395" t="n"/>
      <c r="S327" s="395" t="n"/>
      <c r="T327" s="386" t="n"/>
      <c r="U327" s="386" t="n"/>
      <c r="V327" s="395" t="n"/>
      <c r="W327" s="395" t="n"/>
      <c r="X327" s="395" t="n"/>
      <c r="Y327" s="36" t="n"/>
      <c r="Z327" s="395" t="n"/>
      <c r="AA327" s="395" t="n"/>
      <c r="AB327" s="395" t="n"/>
      <c r="AC327" s="395" t="n"/>
      <c r="AD327" s="395" t="n"/>
      <c r="AE327" s="395" t="n"/>
    </row>
    <row r="328" ht="42" customHeight="1" s="380">
      <c r="A328" s="73" t="n">
        <v>42</v>
      </c>
      <c r="B328" s="386" t="n"/>
      <c r="C328" s="386" t="inlineStr">
        <is>
          <t>Chào bán phát hành &gt;&gt; Tổng hợp số liệu chào bán, phát hành cổ phiếu</t>
        </is>
      </c>
      <c r="D328" s="386" t="inlineStr">
        <is>
          <t>Thực tế &gt;&gt; Chủ sở hữu góp vốn &gt;&gt; Giá trị (đồng)</t>
        </is>
      </c>
      <c r="E328" s="386" t="inlineStr">
        <is>
          <t>Thực tế &gt;&gt; Chủ sở hữu góp vốn &gt;&gt; Giá trị (đồng)</t>
        </is>
      </c>
      <c r="F328" s="386" t="inlineStr">
        <is>
          <t>Data Explorer</t>
        </is>
      </c>
      <c r="G328" s="386" t="inlineStr">
        <is>
          <t>Chỉ tiêu cơ sở</t>
        </is>
      </c>
      <c r="H328" s="386" t="inlineStr">
        <is>
          <t>TB</t>
        </is>
      </c>
      <c r="I328" s="386" t="inlineStr">
        <is>
          <t>Ngày, CTCK</t>
        </is>
      </c>
      <c r="J328" s="395" t="inlineStr">
        <is>
          <t>SCMS</t>
        </is>
      </c>
      <c r="K328" s="395" t="n"/>
      <c r="L328" s="395" t="inlineStr">
        <is>
          <t>X</t>
        </is>
      </c>
      <c r="M328" s="395" t="n"/>
      <c r="N328" s="395" t="inlineStr">
        <is>
          <t>Pending</t>
        </is>
      </c>
      <c r="O328" s="401" t="n"/>
      <c r="P328" s="395" t="n"/>
      <c r="Q328" s="395" t="n"/>
      <c r="R328" s="395" t="n"/>
      <c r="S328" s="395" t="n"/>
      <c r="T328" s="386" t="n"/>
      <c r="U328" s="386" t="n"/>
      <c r="V328" s="395" t="n"/>
      <c r="W328" s="395" t="n"/>
      <c r="X328" s="395" t="n"/>
      <c r="Y328" s="395" t="n"/>
      <c r="Z328" s="395" t="n"/>
      <c r="AA328" s="395" t="n"/>
      <c r="AB328" s="395" t="n"/>
      <c r="AC328" s="395" t="n"/>
      <c r="AD328" s="395" t="n"/>
      <c r="AE328" s="395" t="n"/>
    </row>
    <row r="329" ht="42" customHeight="1" s="380">
      <c r="A329" s="73" t="n">
        <v>42</v>
      </c>
      <c r="B329" s="386" t="n"/>
      <c r="C329" s="386" t="inlineStr">
        <is>
          <t>Chào bán phát hành &gt;&gt; Tổng hợp số liệu chào bán, phát hành cổ phiếu</t>
        </is>
      </c>
      <c r="D329" s="386" t="inlineStr">
        <is>
          <t>Công ty thực hiện bảo lãnh</t>
        </is>
      </c>
      <c r="E329" s="395" t="inlineStr">
        <is>
          <t>Công ty thực hiện bảo lãnh</t>
        </is>
      </c>
      <c r="F329" s="386" t="inlineStr">
        <is>
          <t>Data Explorer</t>
        </is>
      </c>
      <c r="G329" s="386" t="inlineStr">
        <is>
          <t>Chỉ tiêu cơ sở</t>
        </is>
      </c>
      <c r="H329" s="386" t="inlineStr">
        <is>
          <t>Dễ</t>
        </is>
      </c>
      <c r="I329" s="386" t="inlineStr">
        <is>
          <t>Ngày, CTCK</t>
        </is>
      </c>
      <c r="J329" s="395" t="inlineStr">
        <is>
          <t>SCMS</t>
        </is>
      </c>
      <c r="K329" s="395" t="n"/>
      <c r="L329" s="395" t="inlineStr">
        <is>
          <t>X</t>
        </is>
      </c>
      <c r="M329" s="395" t="n"/>
      <c r="N329" s="395" t="inlineStr">
        <is>
          <t>Pending</t>
        </is>
      </c>
      <c r="O329" s="401" t="n"/>
      <c r="P329" s="395" t="n"/>
      <c r="Q329" s="395" t="n"/>
      <c r="R329" s="395" t="n"/>
      <c r="S329" s="395" t="n"/>
      <c r="T329" s="386" t="n"/>
      <c r="U329" s="386" t="n"/>
      <c r="V329" s="395" t="n"/>
      <c r="W329" s="395" t="n"/>
      <c r="X329" s="395" t="n"/>
      <c r="Y329" s="395" t="n"/>
      <c r="Z329" s="395" t="n"/>
      <c r="AA329" s="395" t="n"/>
      <c r="AB329" s="395" t="n"/>
      <c r="AC329" s="395" t="n"/>
      <c r="AD329" s="395" t="n"/>
      <c r="AE329" s="395" t="n"/>
    </row>
    <row r="330" ht="42" customHeight="1" s="380">
      <c r="A330" s="73" t="n">
        <v>42</v>
      </c>
      <c r="B330" s="386" t="n"/>
      <c r="C330" s="386" t="inlineStr">
        <is>
          <t>Chào bán phát hành &gt;&gt; Tổng hợp số liệu chào bán, phát hành cổ phiếu</t>
        </is>
      </c>
      <c r="D330" s="386" t="inlineStr">
        <is>
          <t>Tổng số lượng chứng khoán chào bán, phát hành</t>
        </is>
      </c>
      <c r="E330" s="386" t="inlineStr">
        <is>
          <t>Tổng số lượng chứng khoán chào bán, phát hành</t>
        </is>
      </c>
      <c r="F330" s="386" t="inlineStr">
        <is>
          <t>Data Explorer</t>
        </is>
      </c>
      <c r="G330" s="386" t="inlineStr">
        <is>
          <t>Chỉ tiêu cơ sở</t>
        </is>
      </c>
      <c r="H330" s="386" t="inlineStr">
        <is>
          <t>TB</t>
        </is>
      </c>
      <c r="I330" s="386" t="inlineStr">
        <is>
          <t>Ngày, CTCK</t>
        </is>
      </c>
      <c r="J330" s="395" t="inlineStr">
        <is>
          <t>SCMS</t>
        </is>
      </c>
      <c r="K330" s="395" t="n"/>
      <c r="L330" s="395" t="inlineStr">
        <is>
          <t>X</t>
        </is>
      </c>
      <c r="M330" s="395" t="n"/>
      <c r="N330" s="395" t="inlineStr">
        <is>
          <t>Pending</t>
        </is>
      </c>
      <c r="O330" s="401" t="n"/>
      <c r="P330" s="395" t="n"/>
      <c r="Q330" s="395" t="n"/>
      <c r="R330" s="395" t="n"/>
      <c r="S330" s="395" t="n"/>
      <c r="T330" s="386" t="n"/>
      <c r="U330" s="386" t="n"/>
      <c r="V330" s="395" t="n"/>
      <c r="W330" s="395" t="n"/>
      <c r="X330" s="395" t="n"/>
      <c r="Y330" s="395" t="n"/>
      <c r="Z330" s="395" t="n"/>
      <c r="AA330" s="395" t="n"/>
      <c r="AB330" s="395" t="n"/>
      <c r="AC330" s="395" t="n"/>
      <c r="AD330" s="395" t="n"/>
      <c r="AE330" s="395" t="n"/>
    </row>
    <row r="331" ht="56" customHeight="1" s="380">
      <c r="A331" s="73" t="n">
        <v>42</v>
      </c>
      <c r="B331" s="386" t="n"/>
      <c r="C331" s="386" t="inlineStr">
        <is>
          <t>Chào bán phát hành &gt;&gt; Tổng hợp số liệu chào bán, phát hành cổ phiếu</t>
        </is>
      </c>
      <c r="D331" s="386" t="inlineStr">
        <is>
          <t>Mục đích sử dụng vốn
(Đối với doanh nghiệp không phải là công ty chứng khoán)</t>
        </is>
      </c>
      <c r="E331" s="386" t="inlineStr">
        <is>
          <t>Mục đích sử dụng vốn
(Đối với doanh nghiệp không phải là công ty chứng khoán)</t>
        </is>
      </c>
      <c r="F331" s="386" t="inlineStr">
        <is>
          <t>Data Explorer</t>
        </is>
      </c>
      <c r="G331" s="386" t="inlineStr">
        <is>
          <t>Chỉ tiêu cơ sở</t>
        </is>
      </c>
      <c r="H331" s="386" t="inlineStr">
        <is>
          <t>TB</t>
        </is>
      </c>
      <c r="I331" s="386" t="inlineStr">
        <is>
          <t>Ngày, CTCK</t>
        </is>
      </c>
      <c r="J331" s="395" t="inlineStr">
        <is>
          <t>SCMS</t>
        </is>
      </c>
      <c r="K331" s="395" t="n"/>
      <c r="L331" s="395" t="inlineStr">
        <is>
          <t>X</t>
        </is>
      </c>
      <c r="M331" s="395" t="n"/>
      <c r="N331" s="395" t="inlineStr">
        <is>
          <t>Pending</t>
        </is>
      </c>
      <c r="O331" s="401" t="n"/>
      <c r="P331" s="395" t="n"/>
      <c r="Q331" s="395" t="n"/>
      <c r="R331" s="395" t="n"/>
      <c r="S331" s="395" t="n"/>
      <c r="T331" s="386" t="n"/>
      <c r="U331" s="386" t="n"/>
      <c r="V331" s="395" t="n"/>
      <c r="W331" s="395" t="n"/>
      <c r="X331" s="395" t="n"/>
      <c r="Y331" s="395" t="n"/>
      <c r="Z331" s="395" t="n"/>
      <c r="AA331" s="395" t="n"/>
      <c r="AB331" s="395" t="n"/>
      <c r="AC331" s="395" t="n"/>
      <c r="AD331" s="395" t="n"/>
      <c r="AE331" s="395" t="n"/>
    </row>
    <row r="332" ht="42" customHeight="1" s="380">
      <c r="A332" s="73" t="n">
        <v>42</v>
      </c>
      <c r="B332" s="386" t="n"/>
      <c r="C332" s="386" t="inlineStr">
        <is>
          <t>Chào bán phát hành &gt;&gt; Tổng hợp số liệu chào bán, phát hành cổ phiếu</t>
        </is>
      </c>
      <c r="D332" s="386" t="inlineStr">
        <is>
          <t>Tổng số tiền thu được (đồng)</t>
        </is>
      </c>
      <c r="E332" s="395" t="inlineStr">
        <is>
          <t>Tổng số tiền thu được (đồng)</t>
        </is>
      </c>
      <c r="F332" s="386" t="inlineStr">
        <is>
          <t>Data Explorer</t>
        </is>
      </c>
      <c r="G332" s="386" t="inlineStr">
        <is>
          <t>Chỉ tiêu cơ sở</t>
        </is>
      </c>
      <c r="H332" s="386" t="inlineStr">
        <is>
          <t>TB</t>
        </is>
      </c>
      <c r="I332" s="386" t="inlineStr">
        <is>
          <t>Ngày, CTCK</t>
        </is>
      </c>
      <c r="J332" s="395" t="inlineStr">
        <is>
          <t>SCMS</t>
        </is>
      </c>
      <c r="K332" s="395" t="n"/>
      <c r="L332" s="395" t="inlineStr">
        <is>
          <t>X</t>
        </is>
      </c>
      <c r="M332" s="395" t="n"/>
      <c r="N332" s="395" t="inlineStr">
        <is>
          <t>Pending</t>
        </is>
      </c>
      <c r="O332" s="401" t="n"/>
      <c r="P332" s="395" t="n"/>
      <c r="Q332" s="395" t="n"/>
      <c r="R332" s="395" t="n"/>
      <c r="S332" s="395" t="n"/>
      <c r="T332" s="386" t="n"/>
      <c r="U332" s="386" t="n"/>
      <c r="V332" s="395" t="n"/>
      <c r="W332" s="395" t="n"/>
      <c r="X332" s="395" t="n"/>
      <c r="Y332" s="37" t="n"/>
      <c r="Z332" s="395" t="n"/>
      <c r="AA332" s="395" t="n"/>
      <c r="AB332" s="395" t="n"/>
      <c r="AC332" s="395" t="n"/>
      <c r="AD332" s="395" t="n"/>
      <c r="AE332" s="395" t="n"/>
    </row>
    <row r="333" ht="42" customHeight="1" s="380">
      <c r="A333" s="73" t="n">
        <v>42</v>
      </c>
      <c r="B333" s="386" t="n"/>
      <c r="C333" s="386" t="inlineStr">
        <is>
          <t>Chào bán phát hành &gt;&gt; Tổng hợp số liệu chào bán, phát hành cổ phiếu</t>
        </is>
      </c>
      <c r="D333" s="386" t="inlineStr">
        <is>
          <t>Bổ sung vốn cho Môi giới chứng khoán
(đồng)</t>
        </is>
      </c>
      <c r="E333" s="395" t="inlineStr">
        <is>
          <t>Bổ sung vốn cho Môi giới chứng khoán
(đồng)</t>
        </is>
      </c>
      <c r="F333" s="386" t="inlineStr">
        <is>
          <t>Data Explorer</t>
        </is>
      </c>
      <c r="G333" s="386" t="inlineStr">
        <is>
          <t>Chỉ tiêu cơ sở</t>
        </is>
      </c>
      <c r="H333" s="386" t="inlineStr">
        <is>
          <t>TB</t>
        </is>
      </c>
      <c r="I333" s="386" t="inlineStr">
        <is>
          <t>Ngày, CTCK</t>
        </is>
      </c>
      <c r="J333" s="395" t="inlineStr">
        <is>
          <t>SCMS</t>
        </is>
      </c>
      <c r="K333" s="395" t="n"/>
      <c r="L333" s="395" t="inlineStr">
        <is>
          <t>X</t>
        </is>
      </c>
      <c r="M333" s="395" t="n"/>
      <c r="N333" s="395" t="inlineStr">
        <is>
          <t>Pending</t>
        </is>
      </c>
      <c r="O333" s="401" t="n"/>
      <c r="P333" s="395" t="n"/>
      <c r="Q333" s="395" t="n"/>
      <c r="R333" s="395" t="n"/>
      <c r="S333" s="395" t="n"/>
      <c r="T333" s="386" t="n"/>
      <c r="U333" s="386" t="n"/>
      <c r="V333" s="395" t="n"/>
      <c r="W333" s="395" t="n"/>
      <c r="X333" s="395" t="n"/>
      <c r="Y333" s="395" t="n"/>
      <c r="Z333" s="395" t="n"/>
      <c r="AA333" s="395" t="n"/>
      <c r="AB333" s="395" t="n"/>
      <c r="AC333" s="395" t="n"/>
      <c r="AD333" s="395" t="n"/>
      <c r="AE333" s="395" t="n"/>
    </row>
    <row r="334" ht="42" customHeight="1" s="380">
      <c r="A334" s="73" t="n">
        <v>42</v>
      </c>
      <c r="B334" s="386" t="n"/>
      <c r="C334" s="386" t="inlineStr">
        <is>
          <t>Chào bán phát hành &gt;&gt; Tổng hợp số liệu chào bán, phát hành cổ phiếu</t>
        </is>
      </c>
      <c r="D334" s="386" t="inlineStr">
        <is>
          <t>Bổ sung vốn cho Tự doanh chứng khoán
(đồng)</t>
        </is>
      </c>
      <c r="E334" s="395" t="inlineStr">
        <is>
          <t>Bổ sung vốn cho Tự doanh chứng khoán
(đồng)</t>
        </is>
      </c>
      <c r="F334" s="386" t="inlineStr">
        <is>
          <t>Data Explorer</t>
        </is>
      </c>
      <c r="G334" s="386" t="inlineStr">
        <is>
          <t>Chỉ tiêu cơ sở</t>
        </is>
      </c>
      <c r="H334" s="386" t="inlineStr">
        <is>
          <t>TB</t>
        </is>
      </c>
      <c r="I334" s="386" t="inlineStr">
        <is>
          <t>Ngày, CTCK</t>
        </is>
      </c>
      <c r="J334" s="395" t="inlineStr">
        <is>
          <t>SCMS</t>
        </is>
      </c>
      <c r="K334" s="395" t="n"/>
      <c r="L334" s="395" t="inlineStr">
        <is>
          <t>X</t>
        </is>
      </c>
      <c r="M334" s="395" t="n"/>
      <c r="N334" s="395" t="inlineStr">
        <is>
          <t>Pending</t>
        </is>
      </c>
      <c r="O334" s="401" t="n"/>
      <c r="P334" s="395" t="n"/>
      <c r="Q334" s="395" t="n"/>
      <c r="R334" s="395" t="n"/>
      <c r="S334" s="395" t="n"/>
      <c r="T334" s="386" t="n"/>
      <c r="U334" s="386" t="n"/>
      <c r="V334" s="395" t="n"/>
      <c r="W334" s="395" t="n"/>
      <c r="X334" s="395" t="n"/>
      <c r="Y334" s="13" t="n"/>
      <c r="Z334" s="395" t="n"/>
      <c r="AA334" s="395" t="n"/>
      <c r="AB334" s="395" t="n"/>
      <c r="AC334" s="395" t="n"/>
      <c r="AD334" s="395" t="n"/>
      <c r="AE334" s="395" t="n"/>
    </row>
    <row r="335" ht="42" customHeight="1" s="380">
      <c r="A335" s="73" t="n">
        <v>42</v>
      </c>
      <c r="B335" s="386" t="n"/>
      <c r="C335" s="386" t="inlineStr">
        <is>
          <t>Chào bán phát hành &gt;&gt; Tổng hợp số liệu chào bán, phát hành cổ phiếu</t>
        </is>
      </c>
      <c r="D335" s="386" t="inlineStr">
        <is>
          <t>Bổ sung vốn cho Bảo lãnh phát hành chứng khoán (đồng)</t>
        </is>
      </c>
      <c r="E335" s="386" t="inlineStr">
        <is>
          <t>Bổ sung vốn cho Bảo lãnh phát hành chứng khoán (đồng)</t>
        </is>
      </c>
      <c r="F335" s="386" t="inlineStr">
        <is>
          <t>Data Explorer</t>
        </is>
      </c>
      <c r="G335" s="386" t="inlineStr">
        <is>
          <t>Chỉ tiêu cơ sở</t>
        </is>
      </c>
      <c r="H335" s="386" t="inlineStr">
        <is>
          <t>TB</t>
        </is>
      </c>
      <c r="I335" s="386" t="inlineStr">
        <is>
          <t>Ngày, CTCK</t>
        </is>
      </c>
      <c r="J335" s="395" t="inlineStr">
        <is>
          <t>SCMS</t>
        </is>
      </c>
      <c r="K335" s="395" t="n"/>
      <c r="L335" s="395" t="inlineStr">
        <is>
          <t>X</t>
        </is>
      </c>
      <c r="M335" s="395" t="n"/>
      <c r="N335" s="395" t="inlineStr">
        <is>
          <t>Pending</t>
        </is>
      </c>
      <c r="O335" s="401" t="n"/>
      <c r="P335" s="395" t="n"/>
      <c r="Q335" s="395" t="n"/>
      <c r="R335" s="395" t="n"/>
      <c r="S335" s="395" t="n"/>
      <c r="T335" s="386" t="n"/>
      <c r="U335" s="386" t="n"/>
      <c r="V335" s="395" t="n"/>
      <c r="W335" s="395" t="n"/>
      <c r="X335" s="395" t="n"/>
      <c r="Y335" s="13" t="n"/>
      <c r="Z335" s="395" t="n"/>
      <c r="AA335" s="395" t="n"/>
      <c r="AB335" s="395" t="n"/>
      <c r="AC335" s="395" t="n"/>
      <c r="AD335" s="395" t="n"/>
      <c r="AE335" s="395" t="n"/>
    </row>
    <row r="336" ht="42" customHeight="1" s="380">
      <c r="A336" s="73" t="n">
        <v>42</v>
      </c>
      <c r="B336" s="386" t="n"/>
      <c r="C336" s="386" t="inlineStr">
        <is>
          <t>Chào bán phát hành &gt;&gt; Tổng hợp số liệu chào bán, phát hành cổ phiếu</t>
        </is>
      </c>
      <c r="D336" s="386" t="inlineStr">
        <is>
          <t>Bổ sung vốn cho Tư vấn đầu tư chứng khoán (đồng)</t>
        </is>
      </c>
      <c r="E336" s="386" t="inlineStr">
        <is>
          <t>Bổ sung vốn cho Tư vấn đầu tư chứng khoán (đồng)</t>
        </is>
      </c>
      <c r="F336" s="386" t="inlineStr">
        <is>
          <t>Data Explorer</t>
        </is>
      </c>
      <c r="G336" s="386" t="inlineStr">
        <is>
          <t>Chỉ tiêu cơ sở</t>
        </is>
      </c>
      <c r="H336" s="386" t="inlineStr">
        <is>
          <t>TB</t>
        </is>
      </c>
      <c r="I336" s="386" t="inlineStr">
        <is>
          <t>Ngày, CTCK</t>
        </is>
      </c>
      <c r="J336" s="395" t="inlineStr">
        <is>
          <t>SCMS</t>
        </is>
      </c>
      <c r="K336" s="395" t="n"/>
      <c r="L336" s="395" t="inlineStr">
        <is>
          <t>X</t>
        </is>
      </c>
      <c r="M336" s="395" t="n"/>
      <c r="N336" s="395" t="inlineStr">
        <is>
          <t>Pending</t>
        </is>
      </c>
      <c r="O336" s="401" t="n"/>
      <c r="P336" s="395" t="n"/>
      <c r="Q336" s="395" t="n"/>
      <c r="R336" s="395" t="n"/>
      <c r="S336" s="395" t="n"/>
      <c r="T336" s="386" t="n"/>
      <c r="U336" s="386" t="n"/>
      <c r="V336" s="395" t="n"/>
      <c r="W336" s="395" t="n"/>
      <c r="X336" s="395" t="n"/>
      <c r="Y336" s="13" t="n"/>
      <c r="Z336" s="395" t="n"/>
      <c r="AA336" s="395" t="n"/>
      <c r="AB336" s="395" t="n"/>
      <c r="AC336" s="395" t="n"/>
      <c r="AD336" s="395" t="n"/>
      <c r="AE336" s="395" t="n"/>
    </row>
    <row r="337" ht="42" customHeight="1" s="380">
      <c r="A337" s="73" t="n">
        <v>42</v>
      </c>
      <c r="B337" s="386" t="n"/>
      <c r="C337" s="386" t="inlineStr">
        <is>
          <t>Chào bán phát hành &gt;&gt; Tổng hợp số liệu chào bán, phát hành cổ phiếu</t>
        </is>
      </c>
      <c r="D337" s="386" t="inlineStr">
        <is>
          <t>Bổ sung vốn Cho vay margin (đồng)</t>
        </is>
      </c>
      <c r="E337" s="395" t="inlineStr">
        <is>
          <t>Bổ sung vốn Cho vay margin (đồng)</t>
        </is>
      </c>
      <c r="F337" s="386" t="inlineStr">
        <is>
          <t>Data Explorer</t>
        </is>
      </c>
      <c r="G337" s="386" t="inlineStr">
        <is>
          <t>Chỉ tiêu cơ sở</t>
        </is>
      </c>
      <c r="H337" s="386" t="inlineStr">
        <is>
          <t>TB</t>
        </is>
      </c>
      <c r="I337" s="386" t="inlineStr">
        <is>
          <t>Ngày, CTCK</t>
        </is>
      </c>
      <c r="J337" s="395" t="inlineStr">
        <is>
          <t>SCMS</t>
        </is>
      </c>
      <c r="K337" s="395" t="n"/>
      <c r="L337" s="395" t="inlineStr">
        <is>
          <t>X</t>
        </is>
      </c>
      <c r="M337" s="395" t="n"/>
      <c r="N337" s="395" t="inlineStr">
        <is>
          <t>Pending</t>
        </is>
      </c>
      <c r="O337" s="401" t="n"/>
      <c r="P337" s="395" t="n"/>
      <c r="Q337" s="395" t="n"/>
      <c r="R337" s="395" t="n"/>
      <c r="S337" s="395" t="n"/>
      <c r="T337" s="386" t="n"/>
      <c r="U337" s="386" t="n"/>
      <c r="V337" s="395" t="n"/>
      <c r="W337" s="395" t="n"/>
      <c r="X337" s="395" t="n"/>
      <c r="Y337" s="13" t="n"/>
      <c r="Z337" s="395" t="n"/>
      <c r="AA337" s="395" t="n"/>
      <c r="AB337" s="395" t="n"/>
      <c r="AC337" s="395" t="n"/>
      <c r="AD337" s="395" t="n"/>
      <c r="AE337" s="395" t="n"/>
    </row>
    <row r="338" ht="42" customHeight="1" s="380">
      <c r="A338" s="73" t="n">
        <v>42</v>
      </c>
      <c r="B338" s="386" t="n"/>
      <c r="C338" s="386" t="inlineStr">
        <is>
          <t>Chào bán phát hành &gt;&gt; Tổng hợp số liệu chào bán, phát hành cổ phiếu</t>
        </is>
      </c>
      <c r="D338" s="386" t="inlineStr">
        <is>
          <t>Bổ sung vốn cho Ứng trước tiền bán (đồng)</t>
        </is>
      </c>
      <c r="E338" s="386" t="inlineStr">
        <is>
          <t>Bổ sung vốn cho Ứng trước tiền bán (đồng)</t>
        </is>
      </c>
      <c r="F338" s="386" t="inlineStr">
        <is>
          <t>Data Explorer</t>
        </is>
      </c>
      <c r="G338" s="386" t="inlineStr">
        <is>
          <t>Chỉ tiêu cơ sở</t>
        </is>
      </c>
      <c r="H338" s="386" t="inlineStr">
        <is>
          <t>TB</t>
        </is>
      </c>
      <c r="I338" s="386" t="inlineStr">
        <is>
          <t>Ngày, CTCK</t>
        </is>
      </c>
      <c r="J338" s="395" t="inlineStr">
        <is>
          <t>SCMS</t>
        </is>
      </c>
      <c r="K338" s="395" t="n"/>
      <c r="L338" s="395" t="inlineStr">
        <is>
          <t>X</t>
        </is>
      </c>
      <c r="M338" s="395" t="n"/>
      <c r="N338" s="395" t="inlineStr">
        <is>
          <t>Pending</t>
        </is>
      </c>
      <c r="O338" s="401" t="n"/>
      <c r="P338" s="395" t="n"/>
      <c r="Q338" s="395" t="n"/>
      <c r="R338" s="395" t="n"/>
      <c r="S338" s="395" t="n"/>
      <c r="T338" s="386" t="n"/>
      <c r="U338" s="386" t="n"/>
      <c r="V338" s="395" t="n"/>
      <c r="W338" s="395" t="n"/>
      <c r="X338" s="395" t="n"/>
      <c r="Y338" s="13" t="n"/>
      <c r="Z338" s="395" t="n"/>
      <c r="AA338" s="395" t="n"/>
      <c r="AB338" s="395" t="n"/>
      <c r="AC338" s="395" t="n"/>
      <c r="AD338" s="395" t="n"/>
      <c r="AE338" s="395" t="n"/>
    </row>
    <row r="339" ht="42" customHeight="1" s="380">
      <c r="A339" s="73" t="n">
        <v>42</v>
      </c>
      <c r="B339" s="386" t="n"/>
      <c r="C339" s="386" t="inlineStr">
        <is>
          <t>Chào bán phát hành &gt;&gt; Tổng hợp số liệu chào bán, phát hành cổ phiếu</t>
        </is>
      </c>
      <c r="D339" s="386" t="inlineStr">
        <is>
          <t>Sử dụng vào mục đích khác (đồng)</t>
        </is>
      </c>
      <c r="E339" s="395" t="inlineStr">
        <is>
          <t>Sử dụng vào mục đích khác (đồng)</t>
        </is>
      </c>
      <c r="F339" s="386" t="inlineStr">
        <is>
          <t>Data Explorer</t>
        </is>
      </c>
      <c r="G339" s="386" t="inlineStr">
        <is>
          <t>Chỉ tiêu cơ sở</t>
        </is>
      </c>
      <c r="H339" s="386" t="inlineStr">
        <is>
          <t>TB</t>
        </is>
      </c>
      <c r="I339" s="386" t="inlineStr">
        <is>
          <t>Ngày, CTCK</t>
        </is>
      </c>
      <c r="J339" s="395" t="inlineStr">
        <is>
          <t>SCMS</t>
        </is>
      </c>
      <c r="K339" s="395" t="n"/>
      <c r="L339" s="395" t="inlineStr">
        <is>
          <t>X</t>
        </is>
      </c>
      <c r="M339" s="395" t="n"/>
      <c r="N339" s="395" t="inlineStr">
        <is>
          <t>Pending</t>
        </is>
      </c>
      <c r="O339" s="401" t="n"/>
      <c r="P339" s="395" t="n"/>
      <c r="Q339" s="395" t="n"/>
      <c r="R339" s="395" t="n"/>
      <c r="S339" s="395" t="n"/>
      <c r="T339" s="386" t="n"/>
      <c r="U339" s="386" t="n"/>
      <c r="V339" s="395" t="n"/>
      <c r="W339" s="395" t="n"/>
      <c r="X339" s="395" t="n"/>
      <c r="Y339" s="13" t="n"/>
      <c r="Z339" s="395" t="n"/>
      <c r="AA339" s="395" t="n"/>
      <c r="AB339" s="395" t="n"/>
      <c r="AC339" s="395" t="n"/>
      <c r="AD339" s="395" t="n"/>
      <c r="AE339" s="395" t="n"/>
    </row>
    <row r="340" ht="42" customHeight="1" s="380">
      <c r="A340" s="83" t="n">
        <v>42</v>
      </c>
      <c r="B340" s="68" t="n"/>
      <c r="C340" s="68" t="inlineStr">
        <is>
          <t>Chào bán phát hành &gt;&gt; Tổng hợp số liệu chào bán, phát hành cổ phiếu</t>
        </is>
      </c>
      <c r="D340" s="68" t="inlineStr">
        <is>
          <t>Ghi chú</t>
        </is>
      </c>
      <c r="E340" s="69" t="inlineStr">
        <is>
          <t>Ghi chú</t>
        </is>
      </c>
      <c r="F340" s="68" t="inlineStr">
        <is>
          <t>Data Explorer</t>
        </is>
      </c>
      <c r="G340" s="68" t="inlineStr">
        <is>
          <t>Chỉ tiêu cơ sở</t>
        </is>
      </c>
      <c r="H340" s="68" t="inlineStr">
        <is>
          <t>TB</t>
        </is>
      </c>
      <c r="I340" s="68" t="inlineStr">
        <is>
          <t>Ngày, CTCK</t>
        </is>
      </c>
      <c r="J340" s="69" t="inlineStr">
        <is>
          <t>SCMS</t>
        </is>
      </c>
      <c r="K340" s="69" t="n"/>
      <c r="L340" s="69" t="inlineStr">
        <is>
          <t>X</t>
        </is>
      </c>
      <c r="M340" s="69" t="n"/>
      <c r="N340" s="69" t="inlineStr">
        <is>
          <t>Pending</t>
        </is>
      </c>
      <c r="O340" s="85" t="n"/>
      <c r="P340" s="69" t="n"/>
      <c r="Q340" s="69" t="n"/>
      <c r="R340" s="69" t="n"/>
      <c r="S340" s="69" t="n"/>
      <c r="T340" s="68" t="n"/>
      <c r="U340" s="68" t="n"/>
      <c r="V340" s="69" t="n"/>
      <c r="W340" s="69" t="n"/>
      <c r="X340" s="69" t="n"/>
      <c r="Y340" s="13" t="n"/>
      <c r="Z340" s="69" t="n"/>
      <c r="AA340" s="69" t="n"/>
      <c r="AB340" s="69" t="n"/>
      <c r="AC340" s="69" t="n"/>
      <c r="AD340" s="69" t="n"/>
      <c r="AE340" s="69" t="n"/>
    </row>
    <row r="341" ht="42" customHeight="1" s="380">
      <c r="A341" s="73" t="n">
        <v>43</v>
      </c>
      <c r="B341" s="100" t="inlineStr">
        <is>
          <t>Nga</t>
        </is>
      </c>
      <c r="C341" s="81" t="inlineStr">
        <is>
          <t>Chào bán phát hành &gt;&gt; Tổng hợp số liệu chào bán trái phiếu</t>
        </is>
      </c>
      <c r="D341" s="106" t="inlineStr">
        <is>
          <t>Loại báo cáo</t>
        </is>
      </c>
      <c r="E341" s="107" t="inlineStr">
        <is>
          <t>Loại báo cáo</t>
        </is>
      </c>
      <c r="F341" s="390" t="inlineStr">
        <is>
          <t>Data Explorer</t>
        </is>
      </c>
      <c r="G341" s="390" t="inlineStr">
        <is>
          <t>Chiều</t>
        </is>
      </c>
      <c r="H341" s="390" t="inlineStr">
        <is>
          <t>Dễ</t>
        </is>
      </c>
      <c r="I341" s="390" t="inlineStr">
        <is>
          <t>Ngày, CTCK</t>
        </is>
      </c>
      <c r="J341" s="401" t="inlineStr">
        <is>
          <t>SCMS</t>
        </is>
      </c>
      <c r="K341" s="401" t="inlineStr">
        <is>
          <t>X</t>
        </is>
      </c>
      <c r="L341" s="395" t="inlineStr">
        <is>
          <t>X</t>
        </is>
      </c>
      <c r="M341" s="401" t="n"/>
      <c r="N341" s="395" t="inlineStr">
        <is>
          <t>Pending</t>
        </is>
      </c>
      <c r="O341" s="401" t="n"/>
      <c r="P341" s="395" t="n"/>
      <c r="Q341" s="105" t="inlineStr">
        <is>
          <t>DB cũ không thấy biểu mẫu báo cáo này</t>
        </is>
      </c>
      <c r="R341" s="395" t="n"/>
      <c r="S341" s="395" t="n"/>
      <c r="T341" s="386" t="n"/>
      <c r="U341" s="386" t="n"/>
      <c r="V341" s="395" t="n"/>
      <c r="W341" s="395" t="n"/>
      <c r="X341" s="395" t="n"/>
      <c r="Y341" s="13" t="n"/>
      <c r="Z341" s="395" t="n"/>
      <c r="AA341" s="395" t="n"/>
      <c r="AB341" s="395" t="n"/>
      <c r="AC341" s="395" t="n"/>
      <c r="AD341" s="395" t="n"/>
      <c r="AE341" s="395" t="n"/>
    </row>
    <row r="342" ht="42" customHeight="1" s="380">
      <c r="A342" s="73" t="n">
        <v>43</v>
      </c>
      <c r="B342" s="386" t="n"/>
      <c r="C342" s="386" t="inlineStr">
        <is>
          <t>Chào bán phát hành &gt;&gt; Tổng hợp số liệu chào bán trái phiếu</t>
        </is>
      </c>
      <c r="D342" s="106" t="inlineStr">
        <is>
          <t>Kỳ báo cáo</t>
        </is>
      </c>
      <c r="E342" s="107" t="inlineStr">
        <is>
          <t>Kỳ báo cáo</t>
        </is>
      </c>
      <c r="F342" s="390" t="inlineStr">
        <is>
          <t>Data Explorer</t>
        </is>
      </c>
      <c r="G342" s="390" t="inlineStr">
        <is>
          <t>Chiều</t>
        </is>
      </c>
      <c r="H342" s="390" t="inlineStr">
        <is>
          <t>Dễ</t>
        </is>
      </c>
      <c r="I342" s="390" t="inlineStr">
        <is>
          <t>Ngày, CTCK</t>
        </is>
      </c>
      <c r="J342" s="401" t="inlineStr">
        <is>
          <t>SCMS</t>
        </is>
      </c>
      <c r="K342" s="401" t="inlineStr">
        <is>
          <t>X</t>
        </is>
      </c>
      <c r="L342" s="395" t="inlineStr">
        <is>
          <t>X</t>
        </is>
      </c>
      <c r="M342" s="401" t="n"/>
      <c r="N342" s="395" t="inlineStr">
        <is>
          <t>Pending</t>
        </is>
      </c>
      <c r="O342" s="401" t="n"/>
      <c r="P342" s="395" t="n"/>
      <c r="Q342" s="395" t="n"/>
      <c r="R342" s="395" t="n"/>
      <c r="S342" s="395" t="n"/>
      <c r="T342" s="386" t="n"/>
      <c r="U342" s="386" t="n"/>
      <c r="V342" s="395" t="n"/>
      <c r="W342" s="395" t="n"/>
      <c r="X342" s="395" t="n"/>
      <c r="Y342" s="13" t="n"/>
      <c r="Z342" s="395" t="n"/>
      <c r="AA342" s="395" t="n"/>
      <c r="AB342" s="395" t="n"/>
      <c r="AC342" s="395" t="n"/>
      <c r="AD342" s="395" t="n"/>
      <c r="AE342" s="395" t="n"/>
    </row>
    <row r="343" ht="42" customHeight="1" s="380">
      <c r="A343" s="73" t="n">
        <v>43</v>
      </c>
      <c r="B343" s="386" t="n"/>
      <c r="C343" s="386" t="inlineStr">
        <is>
          <t>Chào bán phát hành &gt;&gt; Tổng hợp số liệu chào bán trái phiếu</t>
        </is>
      </c>
      <c r="D343" s="106" t="inlineStr">
        <is>
          <t>Mã báo cáo</t>
        </is>
      </c>
      <c r="E343" s="107" t="inlineStr">
        <is>
          <t>Mã báo cáo</t>
        </is>
      </c>
      <c r="F343" s="390" t="inlineStr">
        <is>
          <t>Data Explorer</t>
        </is>
      </c>
      <c r="G343" s="390" t="inlineStr">
        <is>
          <t>Chiều</t>
        </is>
      </c>
      <c r="H343" s="390" t="inlineStr">
        <is>
          <t>Dễ</t>
        </is>
      </c>
      <c r="I343" s="390" t="inlineStr">
        <is>
          <t>Ngày, CTCK</t>
        </is>
      </c>
      <c r="J343" s="401" t="inlineStr">
        <is>
          <t>SCMS</t>
        </is>
      </c>
      <c r="K343" s="401" t="inlineStr">
        <is>
          <t>X</t>
        </is>
      </c>
      <c r="L343" s="395" t="inlineStr">
        <is>
          <t>X</t>
        </is>
      </c>
      <c r="M343" s="401" t="n"/>
      <c r="N343" s="395" t="inlineStr">
        <is>
          <t>Pending</t>
        </is>
      </c>
      <c r="O343" s="401" t="n"/>
      <c r="P343" s="395" t="n"/>
      <c r="Q343" s="395" t="n"/>
      <c r="R343" s="395" t="n"/>
      <c r="S343" s="395" t="n"/>
      <c r="T343" s="386" t="n"/>
      <c r="U343" s="386" t="n"/>
      <c r="V343" s="395" t="n"/>
      <c r="W343" s="395" t="n"/>
      <c r="X343" s="395" t="n"/>
      <c r="Y343" s="13" t="n"/>
      <c r="Z343" s="395" t="n"/>
      <c r="AA343" s="395" t="n"/>
      <c r="AB343" s="395" t="n"/>
      <c r="AC343" s="395" t="n"/>
      <c r="AD343" s="395" t="n"/>
      <c r="AE343" s="395" t="n"/>
    </row>
    <row r="344" ht="42" customHeight="1" s="380">
      <c r="A344" s="73" t="n">
        <v>43</v>
      </c>
      <c r="B344" s="386" t="n"/>
      <c r="C344" s="386" t="inlineStr">
        <is>
          <t>Chào bán phát hành &gt;&gt; Tổng hợp số liệu chào bán trái phiếu</t>
        </is>
      </c>
      <c r="D344" s="106" t="inlineStr">
        <is>
          <t>Tên báo cáo</t>
        </is>
      </c>
      <c r="E344" s="107" t="inlineStr">
        <is>
          <t>Tên báo cáo</t>
        </is>
      </c>
      <c r="F344" s="390" t="inlineStr">
        <is>
          <t>Data Explorer</t>
        </is>
      </c>
      <c r="G344" s="390" t="inlineStr">
        <is>
          <t>Chiều</t>
        </is>
      </c>
      <c r="H344" s="390" t="inlineStr">
        <is>
          <t>Dễ</t>
        </is>
      </c>
      <c r="I344" s="390" t="inlineStr">
        <is>
          <t>Ngày, CTCK</t>
        </is>
      </c>
      <c r="J344" s="401" t="inlineStr">
        <is>
          <t>SCMS</t>
        </is>
      </c>
      <c r="K344" s="401" t="inlineStr">
        <is>
          <t>X</t>
        </is>
      </c>
      <c r="L344" s="395" t="inlineStr">
        <is>
          <t>X</t>
        </is>
      </c>
      <c r="M344" s="401" t="n"/>
      <c r="N344" s="395" t="inlineStr">
        <is>
          <t>Pending</t>
        </is>
      </c>
      <c r="O344" s="401" t="n"/>
      <c r="P344" s="395" t="n"/>
      <c r="Q344" s="395" t="n"/>
      <c r="R344" s="395" t="n"/>
      <c r="S344" s="395" t="n"/>
      <c r="T344" s="386" t="n"/>
      <c r="U344" s="386" t="n"/>
      <c r="V344" s="395" t="n"/>
      <c r="W344" s="395" t="n"/>
      <c r="X344" s="395" t="n"/>
      <c r="Y344" s="38" t="n"/>
      <c r="Z344" s="395" t="n"/>
      <c r="AA344" s="395" t="n"/>
      <c r="AB344" s="395" t="n"/>
      <c r="AC344" s="395" t="n"/>
      <c r="AD344" s="395" t="n"/>
      <c r="AE344" s="395" t="n"/>
    </row>
    <row r="345" ht="42" customHeight="1" s="380">
      <c r="A345" s="73" t="n">
        <v>43</v>
      </c>
      <c r="B345" s="386" t="n"/>
      <c r="C345" s="386" t="inlineStr">
        <is>
          <t>Chào bán phát hành &gt;&gt; Tổng hợp số liệu chào bán trái phiếu</t>
        </is>
      </c>
      <c r="D345" s="106" t="inlineStr">
        <is>
          <t>Mã chỉ tiêu</t>
        </is>
      </c>
      <c r="E345" s="107" t="inlineStr">
        <is>
          <t>Mã chỉ tiêu</t>
        </is>
      </c>
      <c r="F345" s="390" t="inlineStr">
        <is>
          <t>Data Explorer</t>
        </is>
      </c>
      <c r="G345" s="390" t="inlineStr">
        <is>
          <t>Chiều</t>
        </is>
      </c>
      <c r="H345" s="390" t="inlineStr">
        <is>
          <t>Dễ</t>
        </is>
      </c>
      <c r="I345" s="390" t="inlineStr">
        <is>
          <t>Ngày, CTCK</t>
        </is>
      </c>
      <c r="J345" s="401" t="inlineStr">
        <is>
          <t>SCMS</t>
        </is>
      </c>
      <c r="K345" s="401" t="inlineStr">
        <is>
          <t>X</t>
        </is>
      </c>
      <c r="L345" s="395" t="inlineStr">
        <is>
          <t>X</t>
        </is>
      </c>
      <c r="M345" s="401" t="n"/>
      <c r="N345" s="395" t="inlineStr">
        <is>
          <t>Pending</t>
        </is>
      </c>
      <c r="O345" s="401" t="n"/>
      <c r="P345" s="395" t="n"/>
      <c r="Q345" s="395" t="n"/>
      <c r="R345" s="395" t="n"/>
      <c r="S345" s="395" t="n"/>
      <c r="T345" s="386" t="n"/>
      <c r="U345" s="386" t="n"/>
      <c r="V345" s="395" t="n"/>
      <c r="W345" s="395" t="n"/>
      <c r="X345" s="395" t="n"/>
      <c r="Y345" s="13" t="n"/>
      <c r="Z345" s="395" t="n"/>
      <c r="AA345" s="395" t="n"/>
      <c r="AB345" s="395" t="n"/>
      <c r="AC345" s="395" t="n"/>
      <c r="AD345" s="395" t="n"/>
      <c r="AE345" s="395" t="n"/>
    </row>
    <row r="346" ht="42" customHeight="1" s="380">
      <c r="A346" s="73" t="n">
        <v>43</v>
      </c>
      <c r="B346" s="386" t="n"/>
      <c r="C346" s="386" t="inlineStr">
        <is>
          <t>Chào bán phát hành &gt;&gt; Tổng hợp số liệu chào bán trái phiếu</t>
        </is>
      </c>
      <c r="D346" s="106" t="inlineStr">
        <is>
          <t>Tên chỉ tiêu</t>
        </is>
      </c>
      <c r="E346" s="107" t="inlineStr">
        <is>
          <t>Tên chỉ tiêu</t>
        </is>
      </c>
      <c r="F346" s="390" t="inlineStr">
        <is>
          <t>Data Explorer</t>
        </is>
      </c>
      <c r="G346" s="390" t="inlineStr">
        <is>
          <t>Chiều</t>
        </is>
      </c>
      <c r="H346" s="390" t="inlineStr">
        <is>
          <t>Dễ</t>
        </is>
      </c>
      <c r="I346" s="390" t="inlineStr">
        <is>
          <t>Ngày, CTCK</t>
        </is>
      </c>
      <c r="J346" s="401" t="inlineStr">
        <is>
          <t>SCMS</t>
        </is>
      </c>
      <c r="K346" s="401" t="inlineStr">
        <is>
          <t>X</t>
        </is>
      </c>
      <c r="L346" s="395" t="inlineStr">
        <is>
          <t>X</t>
        </is>
      </c>
      <c r="M346" s="401" t="n"/>
      <c r="N346" s="395" t="inlineStr">
        <is>
          <t>Pending</t>
        </is>
      </c>
      <c r="O346" s="401" t="n"/>
      <c r="P346" s="395" t="n"/>
      <c r="Q346" s="395" t="n"/>
      <c r="R346" s="395" t="n"/>
      <c r="S346" s="395" t="n"/>
      <c r="T346" s="386" t="n"/>
      <c r="U346" s="386" t="n"/>
      <c r="V346" s="395" t="n"/>
      <c r="W346" s="395" t="n"/>
      <c r="X346" s="395" t="n"/>
      <c r="Y346" s="13" t="n"/>
      <c r="Z346" s="395" t="n"/>
      <c r="AA346" s="395" t="n"/>
      <c r="AB346" s="395" t="n"/>
      <c r="AC346" s="395" t="n"/>
      <c r="AD346" s="395" t="n"/>
      <c r="AE346" s="395" t="n"/>
    </row>
    <row r="347" ht="42" customHeight="1" s="380">
      <c r="A347" s="73" t="n">
        <v>43</v>
      </c>
      <c r="B347" s="386" t="n"/>
      <c r="C347" s="386" t="inlineStr">
        <is>
          <t>Chào bán phát hành &gt;&gt; Tổng hợp số liệu chào bán trái phiếu</t>
        </is>
      </c>
      <c r="D347" s="390" t="inlineStr">
        <is>
          <t>Thời điểm báo cáo (tháng)</t>
        </is>
      </c>
      <c r="E347" s="401" t="inlineStr">
        <is>
          <t>Thời điểm báo cáo (tháng)</t>
        </is>
      </c>
      <c r="F347" s="390" t="inlineStr">
        <is>
          <t>Data Explorer</t>
        </is>
      </c>
      <c r="G347" s="390" t="inlineStr">
        <is>
          <t>Chỉ tiêu cơ sở</t>
        </is>
      </c>
      <c r="H347" s="390" t="inlineStr">
        <is>
          <t>Dễ</t>
        </is>
      </c>
      <c r="I347" s="390" t="inlineStr">
        <is>
          <t>Ngày, CTCK</t>
        </is>
      </c>
      <c r="J347" s="401" t="inlineStr">
        <is>
          <t>SCMS</t>
        </is>
      </c>
      <c r="K347" s="401" t="n"/>
      <c r="L347" s="395" t="inlineStr">
        <is>
          <t>X</t>
        </is>
      </c>
      <c r="M347" s="401" t="n"/>
      <c r="N347" s="395" t="inlineStr">
        <is>
          <t>Pending</t>
        </is>
      </c>
      <c r="O347" s="401" t="n"/>
      <c r="P347" s="395" t="n"/>
      <c r="Q347" s="395" t="n"/>
      <c r="R347" s="395" t="n"/>
      <c r="S347" s="395" t="n"/>
      <c r="T347" s="386" t="n"/>
      <c r="U347" s="386" t="n"/>
      <c r="V347" s="395" t="n"/>
      <c r="W347" s="395" t="n"/>
      <c r="X347" s="395" t="n"/>
      <c r="Y347" s="13" t="n"/>
      <c r="Z347" s="395" t="n"/>
      <c r="AA347" s="395" t="n"/>
      <c r="AB347" s="395" t="n"/>
      <c r="AC347" s="395" t="n"/>
      <c r="AD347" s="395" t="n"/>
      <c r="AE347" s="395" t="n"/>
    </row>
    <row r="348" ht="42" customHeight="1" s="380">
      <c r="A348" s="73" t="n">
        <v>43</v>
      </c>
      <c r="B348" s="386" t="n"/>
      <c r="C348" s="386" t="inlineStr">
        <is>
          <t>Chào bán phát hành &gt;&gt; Tổng hợp số liệu chào bán trái phiếu</t>
        </is>
      </c>
      <c r="D348" s="386" t="inlineStr">
        <is>
          <t>Tên công ty</t>
        </is>
      </c>
      <c r="E348" s="395" t="inlineStr">
        <is>
          <t>Tên công ty</t>
        </is>
      </c>
      <c r="F348" s="386" t="inlineStr">
        <is>
          <t>Data Explorer</t>
        </is>
      </c>
      <c r="G348" s="386" t="inlineStr">
        <is>
          <t>Chỉ tiêu cơ sở</t>
        </is>
      </c>
      <c r="H348" s="386" t="inlineStr">
        <is>
          <t>Dễ</t>
        </is>
      </c>
      <c r="I348" s="386" t="inlineStr">
        <is>
          <t>Ngày, CTCK</t>
        </is>
      </c>
      <c r="J348" s="395" t="inlineStr">
        <is>
          <t>SCMS</t>
        </is>
      </c>
      <c r="K348" s="395" t="n"/>
      <c r="L348" s="395" t="inlineStr">
        <is>
          <t>X</t>
        </is>
      </c>
      <c r="M348" s="395" t="n"/>
      <c r="N348" s="395" t="inlineStr">
        <is>
          <t>Pending</t>
        </is>
      </c>
      <c r="O348" s="401" t="n"/>
      <c r="P348" s="395" t="n"/>
      <c r="Q348" s="395" t="n"/>
      <c r="R348" s="395" t="n"/>
      <c r="S348" s="395" t="n"/>
      <c r="T348" s="386" t="n"/>
      <c r="U348" s="386" t="n"/>
      <c r="V348" s="395" t="n"/>
      <c r="W348" s="395" t="n"/>
      <c r="X348" s="395" t="n"/>
      <c r="Y348" s="13" t="n"/>
      <c r="Z348" s="395" t="n"/>
      <c r="AA348" s="395" t="n"/>
      <c r="AB348" s="395" t="n"/>
      <c r="AC348" s="395" t="n"/>
      <c r="AD348" s="395" t="n"/>
      <c r="AE348" s="395" t="n"/>
    </row>
    <row r="349" ht="42" customHeight="1" s="380">
      <c r="A349" s="73" t="n">
        <v>43</v>
      </c>
      <c r="B349" s="386" t="n"/>
      <c r="C349" s="386" t="inlineStr">
        <is>
          <t>Chào bán phát hành &gt;&gt; Tổng hợp số liệu chào bán trái phiếu</t>
        </is>
      </c>
      <c r="D349" s="386" t="inlineStr">
        <is>
          <t>Mã chứng khoán</t>
        </is>
      </c>
      <c r="E349" s="395" t="inlineStr">
        <is>
          <t>Mã chứng khoán</t>
        </is>
      </c>
      <c r="F349" s="386" t="inlineStr">
        <is>
          <t>Data Explorer</t>
        </is>
      </c>
      <c r="G349" s="386" t="inlineStr">
        <is>
          <t>Chỉ tiêu cơ sở</t>
        </is>
      </c>
      <c r="H349" s="386" t="inlineStr">
        <is>
          <t>Dễ</t>
        </is>
      </c>
      <c r="I349" s="386" t="inlineStr">
        <is>
          <t>Ngày, CTCK</t>
        </is>
      </c>
      <c r="J349" s="395" t="inlineStr">
        <is>
          <t>SCMS</t>
        </is>
      </c>
      <c r="K349" s="395" t="n"/>
      <c r="L349" s="395" t="inlineStr">
        <is>
          <t>X</t>
        </is>
      </c>
      <c r="M349" s="395" t="n"/>
      <c r="N349" s="395" t="inlineStr">
        <is>
          <t>Pending</t>
        </is>
      </c>
      <c r="O349" s="401" t="n"/>
      <c r="P349" s="395" t="n"/>
      <c r="Q349" s="395" t="n"/>
      <c r="R349" s="395" t="n"/>
      <c r="S349" s="395" t="n"/>
      <c r="T349" s="386" t="n"/>
      <c r="U349" s="386" t="n"/>
      <c r="V349" s="395" t="n"/>
      <c r="W349" s="395" t="n"/>
      <c r="X349" s="395" t="n"/>
      <c r="Y349" s="13" t="n"/>
      <c r="Z349" s="395" t="n"/>
      <c r="AA349" s="395" t="n"/>
      <c r="AB349" s="395" t="n"/>
      <c r="AC349" s="395" t="n"/>
      <c r="AD349" s="395" t="n"/>
      <c r="AE349" s="395" t="n"/>
    </row>
    <row r="350" ht="42" customHeight="1" s="380">
      <c r="A350" s="73" t="n">
        <v>43</v>
      </c>
      <c r="B350" s="386" t="n"/>
      <c r="C350" s="386" t="inlineStr">
        <is>
          <t>Chào bán phát hành &gt;&gt; Tổng hợp số liệu chào bán trái phiếu</t>
        </is>
      </c>
      <c r="D350" s="386" t="inlineStr">
        <is>
          <t>Sàn</t>
        </is>
      </c>
      <c r="E350" s="395" t="inlineStr">
        <is>
          <t>Sàn</t>
        </is>
      </c>
      <c r="F350" s="386" t="inlineStr">
        <is>
          <t>Data Explorer</t>
        </is>
      </c>
      <c r="G350" s="386" t="inlineStr">
        <is>
          <t>Chỉ tiêu cơ sở</t>
        </is>
      </c>
      <c r="H350" s="386" t="inlineStr">
        <is>
          <t>Dễ</t>
        </is>
      </c>
      <c r="I350" s="386" t="inlineStr">
        <is>
          <t>Ngày, CTCK</t>
        </is>
      </c>
      <c r="J350" s="395" t="inlineStr">
        <is>
          <t>SCMS</t>
        </is>
      </c>
      <c r="K350" s="395" t="n"/>
      <c r="L350" s="395" t="inlineStr">
        <is>
          <t>X</t>
        </is>
      </c>
      <c r="M350" s="395" t="n"/>
      <c r="N350" s="395" t="inlineStr">
        <is>
          <t>Pending</t>
        </is>
      </c>
      <c r="O350" s="401" t="n"/>
      <c r="P350" s="395" t="n"/>
      <c r="Q350" s="395" t="n"/>
      <c r="R350" s="395" t="n"/>
      <c r="S350" s="395" t="n"/>
      <c r="T350" s="386" t="n"/>
      <c r="U350" s="386" t="n"/>
      <c r="V350" s="395" t="n"/>
      <c r="W350" s="395" t="n"/>
      <c r="X350" s="395" t="n"/>
      <c r="Y350" s="14" t="n"/>
      <c r="Z350" s="395" t="n"/>
      <c r="AA350" s="395" t="n"/>
      <c r="AB350" s="395" t="n"/>
      <c r="AC350" s="395" t="n"/>
      <c r="AD350" s="395" t="n"/>
      <c r="AE350" s="395" t="n"/>
    </row>
    <row r="351" ht="42" customHeight="1" s="380">
      <c r="A351" s="73" t="n">
        <v>43</v>
      </c>
      <c r="B351" s="386" t="n"/>
      <c r="C351" s="386" t="inlineStr">
        <is>
          <t>Chào bán phát hành &gt;&gt; Tổng hợp số liệu chào bán trái phiếu</t>
        </is>
      </c>
      <c r="D351" s="386" t="inlineStr">
        <is>
          <t>Loại trái phiếu</t>
        </is>
      </c>
      <c r="E351" s="395" t="inlineStr">
        <is>
          <t>Loại trái phiếu</t>
        </is>
      </c>
      <c r="F351" s="386" t="inlineStr">
        <is>
          <t>Data Explorer</t>
        </is>
      </c>
      <c r="G351" s="386" t="inlineStr">
        <is>
          <t>Chỉ tiêu cơ sở</t>
        </is>
      </c>
      <c r="H351" s="386" t="inlineStr">
        <is>
          <t>Dễ</t>
        </is>
      </c>
      <c r="I351" s="386" t="inlineStr">
        <is>
          <t>Ngày, CTCK</t>
        </is>
      </c>
      <c r="J351" s="395" t="inlineStr">
        <is>
          <t>SCMS</t>
        </is>
      </c>
      <c r="K351" s="395" t="n"/>
      <c r="L351" s="395" t="inlineStr">
        <is>
          <t>X</t>
        </is>
      </c>
      <c r="M351" s="395" t="n"/>
      <c r="N351" s="395" t="inlineStr">
        <is>
          <t>Pending</t>
        </is>
      </c>
      <c r="O351" s="401" t="n"/>
      <c r="P351" s="395" t="n"/>
      <c r="Q351" s="395" t="n"/>
      <c r="R351" s="395" t="n"/>
      <c r="S351" s="395" t="n"/>
      <c r="T351" s="386" t="n"/>
      <c r="U351" s="386" t="n"/>
      <c r="V351" s="395" t="n"/>
      <c r="W351" s="395" t="n"/>
      <c r="X351" s="395" t="n"/>
      <c r="Y351" s="13" t="n"/>
      <c r="Z351" s="395" t="n"/>
      <c r="AA351" s="395" t="n"/>
      <c r="AB351" s="395" t="n"/>
      <c r="AC351" s="395" t="n"/>
      <c r="AD351" s="395" t="n"/>
      <c r="AE351" s="395" t="n"/>
    </row>
    <row r="352" ht="42" customHeight="1" s="380">
      <c r="A352" s="73" t="n">
        <v>43</v>
      </c>
      <c r="B352" s="386" t="n"/>
      <c r="C352" s="386" t="inlineStr">
        <is>
          <t>Chào bán phát hành &gt;&gt; Tổng hợp số liệu chào bán trái phiếu</t>
        </is>
      </c>
      <c r="D352" s="386" t="inlineStr">
        <is>
          <t>Mệnh giá (đồng)</t>
        </is>
      </c>
      <c r="E352" s="395" t="inlineStr">
        <is>
          <t>Mệnh giá (đồng)</t>
        </is>
      </c>
      <c r="F352" s="386" t="inlineStr">
        <is>
          <t>Data Explorer</t>
        </is>
      </c>
      <c r="G352" s="386" t="inlineStr">
        <is>
          <t>Chỉ tiêu cơ sở</t>
        </is>
      </c>
      <c r="H352" s="386" t="inlineStr">
        <is>
          <t>Dễ</t>
        </is>
      </c>
      <c r="I352" s="386" t="inlineStr">
        <is>
          <t>Ngày, CTCK</t>
        </is>
      </c>
      <c r="J352" s="395" t="inlineStr">
        <is>
          <t>SCMS</t>
        </is>
      </c>
      <c r="K352" s="395" t="n"/>
      <c r="L352" s="395" t="inlineStr">
        <is>
          <t>X</t>
        </is>
      </c>
      <c r="M352" s="395" t="n"/>
      <c r="N352" s="395" t="inlineStr">
        <is>
          <t>Pending</t>
        </is>
      </c>
      <c r="O352" s="401" t="n"/>
      <c r="P352" s="395" t="n"/>
      <c r="Q352" s="395" t="n"/>
      <c r="R352" s="395" t="n"/>
      <c r="S352" s="395" t="n"/>
      <c r="T352" s="386" t="n"/>
      <c r="U352" s="386" t="n"/>
      <c r="V352" s="395" t="n"/>
      <c r="W352" s="395" t="n"/>
      <c r="X352" s="395" t="n"/>
      <c r="Y352" s="13" t="n"/>
      <c r="Z352" s="395" t="n"/>
      <c r="AA352" s="395" t="n"/>
      <c r="AB352" s="395" t="n"/>
      <c r="AC352" s="395" t="n"/>
      <c r="AD352" s="395" t="n"/>
      <c r="AE352" s="395" t="n"/>
    </row>
    <row r="353" ht="42" customHeight="1" s="380">
      <c r="A353" s="73" t="n">
        <v>43</v>
      </c>
      <c r="B353" s="386" t="n"/>
      <c r="C353" s="386" t="inlineStr">
        <is>
          <t>Chào bán phát hành &gt;&gt; Tổng hợp số liệu chào bán trái phiếu</t>
        </is>
      </c>
      <c r="D353" s="386" t="inlineStr">
        <is>
          <t>Mã trái phiếu</t>
        </is>
      </c>
      <c r="E353" s="395" t="inlineStr">
        <is>
          <t>Mã trái phiếu</t>
        </is>
      </c>
      <c r="F353" s="386" t="inlineStr">
        <is>
          <t>Data Explorer</t>
        </is>
      </c>
      <c r="G353" s="386" t="inlineStr">
        <is>
          <t>Chỉ tiêu cơ sở</t>
        </is>
      </c>
      <c r="H353" s="386" t="inlineStr">
        <is>
          <t>Dễ</t>
        </is>
      </c>
      <c r="I353" s="386" t="inlineStr">
        <is>
          <t>Ngày, CTCK</t>
        </is>
      </c>
      <c r="J353" s="395" t="inlineStr">
        <is>
          <t>SCMS</t>
        </is>
      </c>
      <c r="K353" s="395" t="n"/>
      <c r="L353" s="395" t="inlineStr">
        <is>
          <t>X</t>
        </is>
      </c>
      <c r="M353" s="395" t="n"/>
      <c r="N353" s="395" t="inlineStr">
        <is>
          <t>Pending</t>
        </is>
      </c>
      <c r="O353" s="401" t="n"/>
      <c r="P353" s="395" t="n"/>
      <c r="Q353" s="395" t="n"/>
      <c r="R353" s="395" t="n"/>
      <c r="S353" s="395" t="n"/>
      <c r="T353" s="386" t="n"/>
      <c r="U353" s="386" t="n"/>
      <c r="V353" s="395" t="n"/>
      <c r="W353" s="395" t="n"/>
      <c r="X353" s="395" t="n"/>
      <c r="Y353" s="13" t="n"/>
      <c r="Z353" s="395" t="n"/>
      <c r="AA353" s="395" t="n"/>
      <c r="AB353" s="395" t="n"/>
      <c r="AC353" s="395" t="n"/>
      <c r="AD353" s="395" t="n"/>
      <c r="AE353" s="395" t="n"/>
    </row>
    <row r="354" ht="42" customHeight="1" s="380">
      <c r="A354" s="73" t="n">
        <v>43</v>
      </c>
      <c r="B354" s="386" t="n"/>
      <c r="C354" s="386" t="inlineStr">
        <is>
          <t>Chào bán phát hành &gt;&gt; Tổng hợp số liệu chào bán trái phiếu</t>
        </is>
      </c>
      <c r="D354" s="386" t="inlineStr">
        <is>
          <t>Kỳ hạn trái phiếu (tháng)</t>
        </is>
      </c>
      <c r="E354" s="395" t="inlineStr">
        <is>
          <t>Kỳ hạn trái phiếu (tháng)</t>
        </is>
      </c>
      <c r="F354" s="386" t="inlineStr">
        <is>
          <t>Data Explorer</t>
        </is>
      </c>
      <c r="G354" s="386" t="inlineStr">
        <is>
          <t>Chỉ tiêu cơ sở</t>
        </is>
      </c>
      <c r="H354" s="386" t="inlineStr">
        <is>
          <t>Dễ</t>
        </is>
      </c>
      <c r="I354" s="386" t="inlineStr">
        <is>
          <t>Ngày, CTCK</t>
        </is>
      </c>
      <c r="J354" s="395" t="inlineStr">
        <is>
          <t>SCMS</t>
        </is>
      </c>
      <c r="K354" s="395" t="n"/>
      <c r="L354" s="395" t="inlineStr">
        <is>
          <t>X</t>
        </is>
      </c>
      <c r="M354" s="395" t="n"/>
      <c r="N354" s="395" t="inlineStr">
        <is>
          <t>Pending</t>
        </is>
      </c>
      <c r="O354" s="401" t="n"/>
      <c r="P354" s="395" t="n"/>
      <c r="Q354" s="395" t="n"/>
      <c r="R354" s="395" t="n"/>
      <c r="S354" s="395" t="n"/>
      <c r="T354" s="386" t="n"/>
      <c r="U354" s="386" t="n"/>
      <c r="V354" s="395" t="n"/>
      <c r="W354" s="395" t="n"/>
      <c r="X354" s="395" t="n"/>
      <c r="Y354" s="13" t="n"/>
      <c r="Z354" s="395" t="n"/>
      <c r="AA354" s="395" t="n"/>
      <c r="AB354" s="395" t="n"/>
      <c r="AC354" s="395" t="n"/>
      <c r="AD354" s="395" t="n"/>
      <c r="AE354" s="395" t="n"/>
    </row>
    <row r="355" ht="42" customHeight="1" s="380">
      <c r="A355" s="73" t="n">
        <v>43</v>
      </c>
      <c r="B355" s="386" t="n"/>
      <c r="C355" s="386" t="inlineStr">
        <is>
          <t>Chào bán phát hành &gt;&gt; Tổng hợp số liệu chào bán trái phiếu</t>
        </is>
      </c>
      <c r="D355" s="386" t="inlineStr">
        <is>
          <t>Kỳ trả lãi</t>
        </is>
      </c>
      <c r="E355" s="395" t="inlineStr">
        <is>
          <t>Kỳ trả lãi</t>
        </is>
      </c>
      <c r="F355" s="386" t="inlineStr">
        <is>
          <t>Data Explorer</t>
        </is>
      </c>
      <c r="G355" s="386" t="inlineStr">
        <is>
          <t>Chỉ tiêu cơ sở</t>
        </is>
      </c>
      <c r="H355" s="386" t="inlineStr">
        <is>
          <t>Dễ</t>
        </is>
      </c>
      <c r="I355" s="386" t="inlineStr">
        <is>
          <t>Ngày, CTCK</t>
        </is>
      </c>
      <c r="J355" s="395" t="inlineStr">
        <is>
          <t>SCMS</t>
        </is>
      </c>
      <c r="K355" s="395" t="n"/>
      <c r="L355" s="395" t="inlineStr">
        <is>
          <t>X</t>
        </is>
      </c>
      <c r="M355" s="395" t="n"/>
      <c r="N355" s="395" t="inlineStr">
        <is>
          <t>Pending</t>
        </is>
      </c>
      <c r="O355" s="401" t="n"/>
      <c r="P355" s="395" t="n"/>
      <c r="Q355" s="395" t="n"/>
      <c r="R355" s="395" t="n"/>
      <c r="S355" s="395" t="n"/>
      <c r="T355" s="386" t="n"/>
      <c r="U355" s="386" t="n"/>
      <c r="V355" s="395" t="n"/>
      <c r="W355" s="395" t="n"/>
      <c r="X355" s="395" t="n"/>
      <c r="Y355" s="14" t="n"/>
      <c r="Z355" s="395" t="n"/>
      <c r="AA355" s="395" t="n"/>
      <c r="AB355" s="395" t="n"/>
      <c r="AC355" s="395" t="n"/>
      <c r="AD355" s="395" t="n"/>
      <c r="AE355" s="395" t="n"/>
    </row>
    <row r="356" ht="42" customHeight="1" s="380">
      <c r="A356" s="73" t="n">
        <v>43</v>
      </c>
      <c r="B356" s="386" t="n"/>
      <c r="C356" s="386" t="inlineStr">
        <is>
          <t>Chào bán phát hành &gt;&gt; Tổng hợp số liệu chào bán trái phiếu</t>
        </is>
      </c>
      <c r="D356" s="386" t="inlineStr">
        <is>
          <t>Tên Đại diện người sở hữu trái phiếu</t>
        </is>
      </c>
      <c r="E356" s="395" t="inlineStr">
        <is>
          <t>Tên Đại diện người sở hữu trái phiếu</t>
        </is>
      </c>
      <c r="F356" s="386" t="inlineStr">
        <is>
          <t>Data Explorer</t>
        </is>
      </c>
      <c r="G356" s="386" t="inlineStr">
        <is>
          <t>Chỉ tiêu cơ sở</t>
        </is>
      </c>
      <c r="H356" s="386" t="inlineStr">
        <is>
          <t>Dễ</t>
        </is>
      </c>
      <c r="I356" s="386" t="inlineStr">
        <is>
          <t>Ngày, CTCK</t>
        </is>
      </c>
      <c r="J356" s="395" t="inlineStr">
        <is>
          <t>SCMS</t>
        </is>
      </c>
      <c r="K356" s="395" t="n"/>
      <c r="L356" s="395" t="inlineStr">
        <is>
          <t>X</t>
        </is>
      </c>
      <c r="M356" s="395" t="n"/>
      <c r="N356" s="395" t="inlineStr">
        <is>
          <t>Pending</t>
        </is>
      </c>
      <c r="O356" s="401" t="n"/>
      <c r="P356" s="395" t="n"/>
      <c r="Q356" s="395" t="n"/>
      <c r="R356" s="395" t="n"/>
      <c r="S356" s="395" t="n"/>
      <c r="T356" s="386" t="n"/>
      <c r="U356" s="386" t="n"/>
      <c r="V356" s="395" t="n"/>
      <c r="W356" s="395" t="n"/>
      <c r="X356" s="395" t="n"/>
      <c r="Y356" s="13" t="n"/>
      <c r="Z356" s="395" t="n"/>
      <c r="AA356" s="395" t="n"/>
      <c r="AB356" s="395" t="n"/>
      <c r="AC356" s="395" t="n"/>
      <c r="AD356" s="395" t="n"/>
      <c r="AE356" s="395" t="n"/>
    </row>
    <row r="357" ht="42" customHeight="1" s="380">
      <c r="A357" s="73" t="n">
        <v>43</v>
      </c>
      <c r="B357" s="386" t="n"/>
      <c r="C357" s="386" t="inlineStr">
        <is>
          <t>Chào bán phát hành &gt;&gt; Tổng hợp số liệu chào bán trái phiếu</t>
        </is>
      </c>
      <c r="D357" s="386" t="inlineStr">
        <is>
          <t>Số giấy phép thành lập và hoạt động</t>
        </is>
      </c>
      <c r="E357" s="395" t="inlineStr">
        <is>
          <t>Số giấy phép thành lập và hoạt động</t>
        </is>
      </c>
      <c r="F357" s="386" t="inlineStr">
        <is>
          <t>Data Explorer</t>
        </is>
      </c>
      <c r="G357" s="386" t="inlineStr">
        <is>
          <t>Chỉ tiêu cơ sở</t>
        </is>
      </c>
      <c r="H357" s="386" t="inlineStr">
        <is>
          <t>Dễ</t>
        </is>
      </c>
      <c r="I357" s="386" t="inlineStr">
        <is>
          <t>Ngày, CTCK</t>
        </is>
      </c>
      <c r="J357" s="395" t="inlineStr">
        <is>
          <t>SCMS</t>
        </is>
      </c>
      <c r="K357" s="395" t="n"/>
      <c r="L357" s="395" t="inlineStr">
        <is>
          <t>X</t>
        </is>
      </c>
      <c r="M357" s="395" t="n"/>
      <c r="N357" s="395" t="inlineStr">
        <is>
          <t>Pending</t>
        </is>
      </c>
      <c r="O357" s="401" t="n"/>
      <c r="P357" s="395" t="n"/>
      <c r="Q357" s="395" t="n"/>
      <c r="R357" s="395" t="n"/>
      <c r="S357" s="395" t="n"/>
      <c r="T357" s="386" t="n"/>
      <c r="U357" s="386" t="n"/>
      <c r="V357" s="395" t="n"/>
      <c r="W357" s="395" t="n"/>
      <c r="X357" s="395" t="n"/>
      <c r="Y357" s="13" t="n"/>
      <c r="Z357" s="395" t="n"/>
      <c r="AA357" s="395" t="n"/>
      <c r="AB357" s="395" t="n"/>
      <c r="AC357" s="395" t="n"/>
      <c r="AD357" s="395" t="n"/>
      <c r="AE357" s="395" t="n"/>
    </row>
    <row r="358" ht="42" customHeight="1" s="380">
      <c r="A358" s="73" t="n">
        <v>43</v>
      </c>
      <c r="B358" s="386" t="n"/>
      <c r="C358" s="386" t="inlineStr">
        <is>
          <t>Chào bán phát hành &gt;&gt; Tổng hợp số liệu chào bán trái phiếu</t>
        </is>
      </c>
      <c r="D358" s="386" t="inlineStr">
        <is>
          <t>Số GCN</t>
        </is>
      </c>
      <c r="E358" s="395" t="inlineStr">
        <is>
          <t>Số GCN</t>
        </is>
      </c>
      <c r="F358" s="386" t="inlineStr">
        <is>
          <t>Data Explorer</t>
        </is>
      </c>
      <c r="G358" s="386" t="inlineStr">
        <is>
          <t>Chỉ tiêu cơ sở</t>
        </is>
      </c>
      <c r="H358" s="386" t="inlineStr">
        <is>
          <t>Dễ</t>
        </is>
      </c>
      <c r="I358" s="386" t="inlineStr">
        <is>
          <t>Ngày, CTCK</t>
        </is>
      </c>
      <c r="J358" s="395" t="inlineStr">
        <is>
          <t>SCMS</t>
        </is>
      </c>
      <c r="K358" s="395" t="n"/>
      <c r="L358" s="395" t="inlineStr">
        <is>
          <t>X</t>
        </is>
      </c>
      <c r="M358" s="395" t="n"/>
      <c r="N358" s="395" t="inlineStr">
        <is>
          <t>Pending</t>
        </is>
      </c>
      <c r="O358" s="401" t="n"/>
      <c r="P358" s="395" t="n"/>
      <c r="Q358" s="395" t="n"/>
      <c r="R358" s="395" t="n"/>
      <c r="S358" s="395" t="n"/>
      <c r="T358" s="386" t="n"/>
      <c r="U358" s="386" t="n"/>
      <c r="V358" s="395" t="n"/>
      <c r="W358" s="395" t="n"/>
      <c r="X358" s="395" t="n"/>
      <c r="Y358" s="13" t="n"/>
      <c r="Z358" s="395" t="n"/>
      <c r="AA358" s="395" t="n"/>
      <c r="AB358" s="395" t="n"/>
      <c r="AC358" s="395" t="n"/>
      <c r="AD358" s="395" t="n"/>
      <c r="AE358" s="395" t="n"/>
    </row>
    <row r="359" ht="42" customHeight="1" s="380">
      <c r="A359" s="73" t="n">
        <v>43</v>
      </c>
      <c r="B359" s="386" t="n"/>
      <c r="C359" s="386" t="inlineStr">
        <is>
          <t>Chào bán phát hành &gt;&gt; Tổng hợp số liệu chào bán trái phiếu</t>
        </is>
      </c>
      <c r="D359" s="386" t="inlineStr">
        <is>
          <t>Số CV gửi Công ty</t>
        </is>
      </c>
      <c r="E359" s="395" t="inlineStr">
        <is>
          <t>Số CV gửi Công ty</t>
        </is>
      </c>
      <c r="F359" s="386" t="inlineStr">
        <is>
          <t>Data Explorer</t>
        </is>
      </c>
      <c r="G359" s="386" t="inlineStr">
        <is>
          <t>Chỉ tiêu cơ sở</t>
        </is>
      </c>
      <c r="H359" s="386" t="inlineStr">
        <is>
          <t>Dễ</t>
        </is>
      </c>
      <c r="I359" s="386" t="inlineStr">
        <is>
          <t>Ngày, CTCK</t>
        </is>
      </c>
      <c r="J359" s="395" t="inlineStr">
        <is>
          <t>SCMS</t>
        </is>
      </c>
      <c r="K359" s="395" t="n"/>
      <c r="L359" s="395" t="inlineStr">
        <is>
          <t>X</t>
        </is>
      </c>
      <c r="M359" s="395" t="n"/>
      <c r="N359" s="395" t="inlineStr">
        <is>
          <t>Pending</t>
        </is>
      </c>
      <c r="O359" s="401" t="n"/>
      <c r="P359" s="395" t="n"/>
      <c r="Q359" s="395" t="n"/>
      <c r="R359" s="395" t="n"/>
      <c r="S359" s="395" t="n"/>
      <c r="T359" s="386" t="n"/>
      <c r="U359" s="386" t="n"/>
      <c r="V359" s="395" t="n"/>
      <c r="W359" s="395" t="n"/>
      <c r="X359" s="395" t="n"/>
      <c r="Y359" s="14" t="n"/>
      <c r="Z359" s="395" t="n"/>
      <c r="AA359" s="395" t="n"/>
      <c r="AB359" s="395" t="n"/>
      <c r="AC359" s="395" t="n"/>
      <c r="AD359" s="395" t="n"/>
      <c r="AE359" s="395" t="n"/>
    </row>
    <row r="360" ht="42" customHeight="1" s="380">
      <c r="A360" s="73" t="n">
        <v>43</v>
      </c>
      <c r="B360" s="386" t="n"/>
      <c r="C360" s="386" t="inlineStr">
        <is>
          <t>Chào bán phát hành &gt;&gt; Tổng hợp số liệu chào bán trái phiếu</t>
        </is>
      </c>
      <c r="D360" s="386" t="inlineStr">
        <is>
          <t>Ngày cấp GCN
(Ngày/tháng/năm)</t>
        </is>
      </c>
      <c r="E360" s="395" t="inlineStr">
        <is>
          <t>Ngày cấp GCN
(Ngày/tháng/năm)</t>
        </is>
      </c>
      <c r="F360" s="386" t="inlineStr">
        <is>
          <t>Data Explorer</t>
        </is>
      </c>
      <c r="G360" s="386" t="inlineStr">
        <is>
          <t>Chỉ tiêu cơ sở</t>
        </is>
      </c>
      <c r="H360" s="386" t="inlineStr">
        <is>
          <t>Dễ</t>
        </is>
      </c>
      <c r="I360" s="386" t="inlineStr">
        <is>
          <t>Ngày, CTCK</t>
        </is>
      </c>
      <c r="J360" s="395" t="inlineStr">
        <is>
          <t>SCMS</t>
        </is>
      </c>
      <c r="K360" s="395" t="n"/>
      <c r="L360" s="395" t="inlineStr">
        <is>
          <t>X</t>
        </is>
      </c>
      <c r="M360" s="395" t="n"/>
      <c r="N360" s="395" t="inlineStr">
        <is>
          <t>Pending</t>
        </is>
      </c>
      <c r="O360" s="401" t="n"/>
      <c r="P360" s="395" t="n"/>
      <c r="Q360" s="395" t="n"/>
      <c r="R360" s="395" t="n"/>
      <c r="S360" s="395" t="n"/>
      <c r="T360" s="386" t="n"/>
      <c r="U360" s="386" t="n"/>
      <c r="V360" s="395" t="n"/>
      <c r="W360" s="395" t="n"/>
      <c r="X360" s="395" t="n"/>
      <c r="Y360" s="13" t="n"/>
      <c r="Z360" s="395" t="n"/>
      <c r="AA360" s="395" t="n"/>
      <c r="AB360" s="395" t="n"/>
      <c r="AC360" s="395" t="n"/>
      <c r="AD360" s="395" t="n"/>
      <c r="AE360" s="395" t="n"/>
    </row>
    <row r="361" ht="42" customHeight="1" s="380">
      <c r="A361" s="73" t="n">
        <v>43</v>
      </c>
      <c r="B361" s="386" t="n"/>
      <c r="C361" s="386" t="inlineStr">
        <is>
          <t>Chào bán phát hành &gt;&gt; Tổng hợp số liệu chào bán trái phiếu</t>
        </is>
      </c>
      <c r="D361" s="386" t="inlineStr">
        <is>
          <t>Ngày công văn
(Ngày/tháng/năm)</t>
        </is>
      </c>
      <c r="E361" s="395" t="inlineStr">
        <is>
          <t>Ngày công văn
(Ngày/tháng/năm)</t>
        </is>
      </c>
      <c r="F361" s="386" t="inlineStr">
        <is>
          <t>Data Explorer</t>
        </is>
      </c>
      <c r="G361" s="386" t="inlineStr">
        <is>
          <t>Chỉ tiêu cơ sở</t>
        </is>
      </c>
      <c r="H361" s="386" t="inlineStr">
        <is>
          <t>Dễ</t>
        </is>
      </c>
      <c r="I361" s="386" t="inlineStr">
        <is>
          <t>Ngày, CTCK</t>
        </is>
      </c>
      <c r="J361" s="395" t="inlineStr">
        <is>
          <t>SCMS</t>
        </is>
      </c>
      <c r="K361" s="395" t="n"/>
      <c r="L361" s="395" t="inlineStr">
        <is>
          <t>X</t>
        </is>
      </c>
      <c r="M361" s="395" t="n"/>
      <c r="N361" s="395" t="inlineStr">
        <is>
          <t>Pending</t>
        </is>
      </c>
      <c r="O361" s="401" t="n"/>
      <c r="P361" s="395" t="n"/>
      <c r="Q361" s="395" t="n"/>
      <c r="R361" s="395" t="n"/>
      <c r="S361" s="395" t="n"/>
      <c r="T361" s="386" t="n"/>
      <c r="U361" s="386" t="n"/>
      <c r="V361" s="395" t="n"/>
      <c r="W361" s="395" t="n"/>
      <c r="X361" s="395" t="n"/>
      <c r="Y361" s="13" t="n"/>
      <c r="Z361" s="395" t="n"/>
      <c r="AA361" s="395" t="n"/>
      <c r="AB361" s="395" t="n"/>
      <c r="AC361" s="395" t="n"/>
      <c r="AD361" s="395" t="n"/>
      <c r="AE361" s="395" t="n"/>
    </row>
    <row r="362" ht="42" customHeight="1" s="380">
      <c r="A362" s="73" t="n">
        <v>43</v>
      </c>
      <c r="B362" s="386" t="n"/>
      <c r="C362" s="386" t="inlineStr">
        <is>
          <t>Chào bán phát hành &gt;&gt; Tổng hợp số liệu chào bán trái phiếu</t>
        </is>
      </c>
      <c r="D362" s="386" t="inlineStr">
        <is>
          <t>Đối tượng chào bán &gt;&gt; Cổ đông hiện hữu &gt;&gt; Số lượng</t>
        </is>
      </c>
      <c r="E362" s="386" t="inlineStr">
        <is>
          <t>Đối tượng chào bán &gt;&gt; Cổ đông hiện hữu &gt;&gt; Số lượng</t>
        </is>
      </c>
      <c r="F362" s="386" t="inlineStr">
        <is>
          <t>Data Explorer</t>
        </is>
      </c>
      <c r="G362" s="386" t="inlineStr">
        <is>
          <t>Chỉ tiêu cơ sở</t>
        </is>
      </c>
      <c r="H362" s="386" t="inlineStr">
        <is>
          <t>TB</t>
        </is>
      </c>
      <c r="I362" s="386" t="inlineStr">
        <is>
          <t>Ngày, CTCK</t>
        </is>
      </c>
      <c r="J362" s="395" t="inlineStr">
        <is>
          <t>SCMS</t>
        </is>
      </c>
      <c r="K362" s="395" t="n"/>
      <c r="L362" s="395" t="inlineStr">
        <is>
          <t>X</t>
        </is>
      </c>
      <c r="M362" s="395" t="n"/>
      <c r="N362" s="395" t="inlineStr">
        <is>
          <t>Pending</t>
        </is>
      </c>
      <c r="O362" s="401" t="n"/>
      <c r="P362" s="395" t="n"/>
      <c r="Q362" s="395" t="n"/>
      <c r="R362" s="395" t="n"/>
      <c r="S362" s="395" t="n"/>
      <c r="T362" s="386" t="n"/>
      <c r="U362" s="386" t="n"/>
      <c r="V362" s="395" t="n"/>
      <c r="W362" s="395" t="n"/>
      <c r="X362" s="395" t="n"/>
      <c r="Y362" s="13" t="n"/>
      <c r="Z362" s="395" t="n"/>
      <c r="AA362" s="395" t="n"/>
      <c r="AB362" s="395" t="n"/>
      <c r="AC362" s="395" t="n"/>
      <c r="AD362" s="395" t="n"/>
      <c r="AE362" s="395" t="n"/>
    </row>
    <row r="363" ht="42" customHeight="1" s="380">
      <c r="A363" s="73" t="n">
        <v>43</v>
      </c>
      <c r="B363" s="386" t="n"/>
      <c r="C363" s="386" t="inlineStr">
        <is>
          <t>Chào bán phát hành &gt;&gt; Tổng hợp số liệu chào bán trái phiếu</t>
        </is>
      </c>
      <c r="D363" s="386" t="inlineStr">
        <is>
          <t>Đối tượng chào bán &gt;&gt; Cổ đông hiện hữu &gt;&gt; Giá (đồng)</t>
        </is>
      </c>
      <c r="E363" s="386" t="inlineStr">
        <is>
          <t>Đối tượng chào bán &gt;&gt; Cổ đông hiện hữu &gt;&gt; Giá (đồng)</t>
        </is>
      </c>
      <c r="F363" s="386" t="inlineStr">
        <is>
          <t>Data Explorer</t>
        </is>
      </c>
      <c r="G363" s="386" t="inlineStr">
        <is>
          <t>Chỉ tiêu cơ sở</t>
        </is>
      </c>
      <c r="H363" s="386" t="inlineStr">
        <is>
          <t>TB</t>
        </is>
      </c>
      <c r="I363" s="386" t="inlineStr">
        <is>
          <t>Ngày, CTCK</t>
        </is>
      </c>
      <c r="J363" s="395" t="inlineStr">
        <is>
          <t>SCMS</t>
        </is>
      </c>
      <c r="K363" s="395" t="n"/>
      <c r="L363" s="395" t="inlineStr">
        <is>
          <t>X</t>
        </is>
      </c>
      <c r="M363" s="395" t="n"/>
      <c r="N363" s="395" t="inlineStr">
        <is>
          <t>Pending</t>
        </is>
      </c>
      <c r="O363" s="401" t="n"/>
      <c r="P363" s="395" t="n"/>
      <c r="Q363" s="395" t="n"/>
      <c r="R363" s="395" t="n"/>
      <c r="S363" s="395" t="n"/>
      <c r="T363" s="386" t="n"/>
      <c r="U363" s="386" t="n"/>
      <c r="V363" s="395" t="n"/>
      <c r="W363" s="395" t="n"/>
      <c r="X363" s="395" t="n"/>
      <c r="Y363" s="13" t="n"/>
      <c r="Z363" s="395" t="n"/>
      <c r="AA363" s="395" t="n"/>
      <c r="AB363" s="395" t="n"/>
      <c r="AC363" s="395" t="n"/>
      <c r="AD363" s="395" t="n"/>
      <c r="AE363" s="395" t="n"/>
    </row>
    <row r="364" ht="42" customHeight="1" s="380">
      <c r="A364" s="73" t="n">
        <v>43</v>
      </c>
      <c r="B364" s="386" t="n"/>
      <c r="C364" s="386" t="inlineStr">
        <is>
          <t>Chào bán phát hành &gt;&gt; Tổng hợp số liệu chào bán trái phiếu</t>
        </is>
      </c>
      <c r="D364" s="386" t="inlineStr">
        <is>
          <t>Đối tượng chào bán &gt;&gt; Cổ đông hiện hữu &gt;&gt; Giá trị (đồng)</t>
        </is>
      </c>
      <c r="E364" s="386" t="inlineStr">
        <is>
          <t>Đối tượng chào bán &gt;&gt; Cổ đông hiện hữu &gt;&gt; Giá trị (đồng)</t>
        </is>
      </c>
      <c r="F364" s="386" t="inlineStr">
        <is>
          <t>Data Explorer</t>
        </is>
      </c>
      <c r="G364" s="386" t="inlineStr">
        <is>
          <t>Chỉ tiêu cơ sở</t>
        </is>
      </c>
      <c r="H364" s="386" t="inlineStr">
        <is>
          <t>TB</t>
        </is>
      </c>
      <c r="I364" s="386" t="inlineStr">
        <is>
          <t>Ngày, CTCK</t>
        </is>
      </c>
      <c r="J364" s="395" t="inlineStr">
        <is>
          <t>SCMS</t>
        </is>
      </c>
      <c r="K364" s="395" t="n"/>
      <c r="L364" s="395" t="inlineStr">
        <is>
          <t>X</t>
        </is>
      </c>
      <c r="M364" s="395" t="n"/>
      <c r="N364" s="395" t="inlineStr">
        <is>
          <t>Pending</t>
        </is>
      </c>
      <c r="O364" s="401" t="n"/>
      <c r="P364" s="395" t="n"/>
      <c r="Q364" s="395" t="n"/>
      <c r="R364" s="395" t="n"/>
      <c r="S364" s="395" t="n"/>
      <c r="T364" s="386" t="n"/>
      <c r="U364" s="386" t="n"/>
      <c r="V364" s="395" t="n"/>
      <c r="W364" s="395" t="n"/>
      <c r="X364" s="395" t="n"/>
      <c r="Y364" s="13" t="n"/>
      <c r="Z364" s="395" t="n"/>
      <c r="AA364" s="395" t="n"/>
      <c r="AB364" s="395" t="n"/>
      <c r="AC364" s="395" t="n"/>
      <c r="AD364" s="395" t="n"/>
      <c r="AE364" s="395" t="n"/>
    </row>
    <row r="365" ht="42" customHeight="1" s="380">
      <c r="A365" s="73" t="n">
        <v>43</v>
      </c>
      <c r="B365" s="386" t="n"/>
      <c r="C365" s="386" t="inlineStr">
        <is>
          <t>Chào bán phát hành &gt;&gt; Tổng hợp số liệu chào bán trái phiếu</t>
        </is>
      </c>
      <c r="D365" s="386" t="inlineStr">
        <is>
          <t>Đối tượng chào bán &gt;&gt; Chào bán riêng lẻ &gt;&gt; Số lượng</t>
        </is>
      </c>
      <c r="E365" s="386" t="inlineStr">
        <is>
          <t>Đối tượng chào bán &gt;&gt; Chào bán riêng lẻ &gt;&gt; Số lượng</t>
        </is>
      </c>
      <c r="F365" s="386" t="inlineStr">
        <is>
          <t>Data Explorer</t>
        </is>
      </c>
      <c r="G365" s="386" t="inlineStr">
        <is>
          <t>Chỉ tiêu cơ sở</t>
        </is>
      </c>
      <c r="H365" s="386" t="inlineStr">
        <is>
          <t>TB</t>
        </is>
      </c>
      <c r="I365" s="386" t="inlineStr">
        <is>
          <t>Ngày, CTCK</t>
        </is>
      </c>
      <c r="J365" s="395" t="inlineStr">
        <is>
          <t>SCMS</t>
        </is>
      </c>
      <c r="K365" s="395" t="n"/>
      <c r="L365" s="395" t="inlineStr">
        <is>
          <t>X</t>
        </is>
      </c>
      <c r="M365" s="395" t="n"/>
      <c r="N365" s="395" t="inlineStr">
        <is>
          <t>Pending</t>
        </is>
      </c>
      <c r="O365" s="401" t="n"/>
      <c r="P365" s="395" t="n"/>
      <c r="Q365" s="395" t="n"/>
      <c r="R365" s="395" t="n"/>
      <c r="S365" s="395" t="n"/>
      <c r="T365" s="386" t="n"/>
      <c r="U365" s="386" t="n"/>
      <c r="V365" s="395" t="n"/>
      <c r="W365" s="395" t="n"/>
      <c r="X365" s="395" t="n"/>
      <c r="Y365" s="14" t="n"/>
      <c r="Z365" s="395" t="n"/>
      <c r="AA365" s="395" t="n"/>
      <c r="AB365" s="395" t="n"/>
      <c r="AC365" s="395" t="n"/>
      <c r="AD365" s="395" t="n"/>
      <c r="AE365" s="395" t="n"/>
    </row>
    <row r="366" ht="42" customHeight="1" s="380">
      <c r="A366" s="73" t="n">
        <v>43</v>
      </c>
      <c r="B366" s="386" t="n"/>
      <c r="C366" s="386" t="inlineStr">
        <is>
          <t>Chào bán phát hành &gt;&gt; Tổng hợp số liệu chào bán trái phiếu</t>
        </is>
      </c>
      <c r="D366" s="386" t="inlineStr">
        <is>
          <t>Đối tượng chào bán &gt;&gt; Chào bán riêng lẻ &gt;&gt; Giá (đồng)</t>
        </is>
      </c>
      <c r="E366" s="386" t="inlineStr">
        <is>
          <t>Đối tượng chào bán &gt;&gt; Chào bán riêng lẻ &gt;&gt; Giá (đồng)</t>
        </is>
      </c>
      <c r="F366" s="386" t="inlineStr">
        <is>
          <t>Data Explorer</t>
        </is>
      </c>
      <c r="G366" s="386" t="inlineStr">
        <is>
          <t>Chỉ tiêu cơ sở</t>
        </is>
      </c>
      <c r="H366" s="386" t="inlineStr">
        <is>
          <t>TB</t>
        </is>
      </c>
      <c r="I366" s="386" t="inlineStr">
        <is>
          <t>Ngày, CTCK</t>
        </is>
      </c>
      <c r="J366" s="395" t="inlineStr">
        <is>
          <t>SCMS</t>
        </is>
      </c>
      <c r="K366" s="395" t="n"/>
      <c r="L366" s="395" t="inlineStr">
        <is>
          <t>X</t>
        </is>
      </c>
      <c r="M366" s="395" t="n"/>
      <c r="N366" s="395" t="inlineStr">
        <is>
          <t>Pending</t>
        </is>
      </c>
      <c r="O366" s="401" t="n"/>
      <c r="P366" s="395" t="n"/>
      <c r="Q366" s="395" t="n"/>
      <c r="R366" s="395" t="n"/>
      <c r="S366" s="395" t="n"/>
      <c r="T366" s="386" t="n"/>
      <c r="U366" s="386" t="n"/>
      <c r="V366" s="395" t="n"/>
      <c r="W366" s="395" t="n"/>
      <c r="X366" s="395" t="n"/>
      <c r="Y366" s="13" t="n"/>
      <c r="Z366" s="395" t="n"/>
      <c r="AA366" s="395" t="n"/>
      <c r="AB366" s="395" t="n"/>
      <c r="AC366" s="395" t="n"/>
      <c r="AD366" s="395" t="n"/>
      <c r="AE366" s="395" t="n"/>
    </row>
    <row r="367" ht="42" customHeight="1" s="380">
      <c r="A367" s="73" t="n">
        <v>43</v>
      </c>
      <c r="B367" s="386" t="n"/>
      <c r="C367" s="386" t="inlineStr">
        <is>
          <t>Chào bán phát hành &gt;&gt; Tổng hợp số liệu chào bán trái phiếu</t>
        </is>
      </c>
      <c r="D367" s="386" t="inlineStr">
        <is>
          <t>Đối tượng chào bán &gt;&gt; Chào bán riêng lẻ &gt;&gt; Giá trị (đồng)</t>
        </is>
      </c>
      <c r="E367" s="386" t="inlineStr">
        <is>
          <t>Đối tượng chào bán &gt;&gt; Chào bán riêng lẻ &gt;&gt; Giá trị (đồng)</t>
        </is>
      </c>
      <c r="F367" s="386" t="inlineStr">
        <is>
          <t>Data Explorer</t>
        </is>
      </c>
      <c r="G367" s="386" t="inlineStr">
        <is>
          <t>Chỉ tiêu cơ sở</t>
        </is>
      </c>
      <c r="H367" s="386" t="inlineStr">
        <is>
          <t>TB</t>
        </is>
      </c>
      <c r="I367" s="386" t="inlineStr">
        <is>
          <t>Ngày, CTCK</t>
        </is>
      </c>
      <c r="J367" s="395" t="inlineStr">
        <is>
          <t>SCMS</t>
        </is>
      </c>
      <c r="K367" s="395" t="n"/>
      <c r="L367" s="395" t="inlineStr">
        <is>
          <t>X</t>
        </is>
      </c>
      <c r="M367" s="395" t="n"/>
      <c r="N367" s="395" t="inlineStr">
        <is>
          <t>Pending</t>
        </is>
      </c>
      <c r="O367" s="401" t="n"/>
      <c r="P367" s="395" t="n"/>
      <c r="Q367" s="395" t="n"/>
      <c r="R367" s="395" t="n"/>
      <c r="S367" s="395" t="n"/>
      <c r="T367" s="386" t="n"/>
      <c r="U367" s="386" t="n"/>
      <c r="V367" s="395" t="n"/>
      <c r="W367" s="395" t="n"/>
      <c r="X367" s="395" t="n"/>
      <c r="Y367" s="13" t="n"/>
      <c r="Z367" s="395" t="n"/>
      <c r="AA367" s="395" t="n"/>
      <c r="AB367" s="395" t="n"/>
      <c r="AC367" s="395" t="n"/>
      <c r="AD367" s="395" t="n"/>
      <c r="AE367" s="395" t="n"/>
    </row>
    <row r="368" ht="42" customHeight="1" s="380">
      <c r="A368" s="73" t="n">
        <v>43</v>
      </c>
      <c r="B368" s="386" t="n"/>
      <c r="C368" s="386" t="inlineStr">
        <is>
          <t>Chào bán phát hành &gt;&gt; Tổng hợp số liệu chào bán trái phiếu</t>
        </is>
      </c>
      <c r="D368" s="386" t="inlineStr">
        <is>
          <t>Đối tượng chào bán &gt;&gt; Chào bán riêng lẻ &gt;&gt; Đối tượng</t>
        </is>
      </c>
      <c r="E368" s="386" t="inlineStr">
        <is>
          <t>Đối tượng chào bán &gt;&gt; Chào bán riêng lẻ &gt;&gt; Đối tượng</t>
        </is>
      </c>
      <c r="F368" s="386" t="inlineStr">
        <is>
          <t>Data Explorer</t>
        </is>
      </c>
      <c r="G368" s="386" t="inlineStr">
        <is>
          <t>Chỉ tiêu cơ sở</t>
        </is>
      </c>
      <c r="H368" s="386" t="inlineStr">
        <is>
          <t>TB</t>
        </is>
      </c>
      <c r="I368" s="386" t="inlineStr">
        <is>
          <t>Ngày, CTCK</t>
        </is>
      </c>
      <c r="J368" s="395" t="inlineStr">
        <is>
          <t>SCMS</t>
        </is>
      </c>
      <c r="K368" s="395" t="n"/>
      <c r="L368" s="395" t="inlineStr">
        <is>
          <t>X</t>
        </is>
      </c>
      <c r="M368" s="395" t="n"/>
      <c r="N368" s="395" t="inlineStr">
        <is>
          <t>Pending</t>
        </is>
      </c>
      <c r="O368" s="401" t="n"/>
      <c r="P368" s="395" t="n"/>
      <c r="Q368" s="395" t="n"/>
      <c r="R368" s="395" t="n"/>
      <c r="S368" s="395" t="n"/>
      <c r="T368" s="386" t="n"/>
      <c r="U368" s="386" t="n"/>
      <c r="V368" s="395" t="n"/>
      <c r="W368" s="395" t="n"/>
      <c r="X368" s="395" t="n"/>
      <c r="Y368" s="13" t="n"/>
      <c r="Z368" s="395" t="n"/>
      <c r="AA368" s="395" t="n"/>
      <c r="AB368" s="395" t="n"/>
      <c r="AC368" s="395" t="n"/>
      <c r="AD368" s="395" t="n"/>
      <c r="AE368" s="395" t="n"/>
    </row>
    <row r="369" ht="42" customHeight="1" s="380">
      <c r="A369" s="73" t="n">
        <v>43</v>
      </c>
      <c r="B369" s="386" t="n"/>
      <c r="C369" s="386" t="inlineStr">
        <is>
          <t>Chào bán phát hành &gt;&gt; Tổng hợp số liệu chào bán trái phiếu</t>
        </is>
      </c>
      <c r="D369" s="386" t="inlineStr">
        <is>
          <t>Đối tượng chào bán &gt;&gt; Đối tượng khác &gt;&gt; Đấu giá &gt;&gt; Số lượng</t>
        </is>
      </c>
      <c r="E369" s="386" t="inlineStr">
        <is>
          <t>Đối tượng chào bán &gt;&gt; Đối tượng khác &gt;&gt; Đấu giá &gt;&gt; Số lượng</t>
        </is>
      </c>
      <c r="F369" s="386" t="inlineStr">
        <is>
          <t>Data Explorer</t>
        </is>
      </c>
      <c r="G369" s="386" t="inlineStr">
        <is>
          <t>Chỉ tiêu cơ sở</t>
        </is>
      </c>
      <c r="H369" s="386" t="inlineStr">
        <is>
          <t>TB</t>
        </is>
      </c>
      <c r="I369" s="386" t="inlineStr">
        <is>
          <t>Ngày, CTCK</t>
        </is>
      </c>
      <c r="J369" s="395" t="inlineStr">
        <is>
          <t>SCMS</t>
        </is>
      </c>
      <c r="K369" s="395" t="n"/>
      <c r="L369" s="395" t="inlineStr">
        <is>
          <t>X</t>
        </is>
      </c>
      <c r="M369" s="395" t="n"/>
      <c r="N369" s="395" t="inlineStr">
        <is>
          <t>Pending</t>
        </is>
      </c>
      <c r="O369" s="401" t="n"/>
      <c r="P369" s="395" t="n"/>
      <c r="Q369" s="395" t="n"/>
      <c r="R369" s="395" t="n"/>
      <c r="S369" s="395" t="n"/>
      <c r="T369" s="386" t="n"/>
      <c r="U369" s="386" t="n"/>
      <c r="V369" s="395" t="n"/>
      <c r="W369" s="395" t="n"/>
      <c r="X369" s="395" t="n"/>
      <c r="Y369" s="13" t="n"/>
      <c r="Z369" s="395" t="n"/>
      <c r="AA369" s="395" t="n"/>
      <c r="AB369" s="395" t="n"/>
      <c r="AC369" s="395" t="n"/>
      <c r="AD369" s="395" t="n"/>
      <c r="AE369" s="395" t="n"/>
    </row>
    <row r="370" ht="56" customHeight="1" s="380">
      <c r="A370" s="73" t="n">
        <v>43</v>
      </c>
      <c r="B370" s="386" t="n"/>
      <c r="C370" s="386" t="inlineStr">
        <is>
          <t>Chào bán phát hành &gt;&gt; Tổng hợp số liệu chào bán trái phiếu</t>
        </is>
      </c>
      <c r="D370" s="386" t="inlineStr">
        <is>
          <t>Đối tượng chào bán &gt;&gt; Đối tượng khác &gt;&gt; Đấu giá &gt;&gt; Giá khời điểm (đồng)</t>
        </is>
      </c>
      <c r="E370" s="386" t="inlineStr">
        <is>
          <t>Đối tượng chào bán &gt;&gt; Đối tượng khác &gt;&gt; Đấu giá &gt;&gt; Giá khời điểm (đồng)</t>
        </is>
      </c>
      <c r="F370" s="386" t="inlineStr">
        <is>
          <t>Data Explorer</t>
        </is>
      </c>
      <c r="G370" s="386" t="inlineStr">
        <is>
          <t>Chỉ tiêu cơ sở</t>
        </is>
      </c>
      <c r="H370" s="386" t="inlineStr">
        <is>
          <t>TB</t>
        </is>
      </c>
      <c r="I370" s="386" t="inlineStr">
        <is>
          <t>Ngày, CTCK</t>
        </is>
      </c>
      <c r="J370" s="395" t="inlineStr">
        <is>
          <t>SCMS</t>
        </is>
      </c>
      <c r="K370" s="395" t="n"/>
      <c r="L370" s="395" t="inlineStr">
        <is>
          <t>X</t>
        </is>
      </c>
      <c r="M370" s="395" t="n"/>
      <c r="N370" s="395" t="inlineStr">
        <is>
          <t>Pending</t>
        </is>
      </c>
      <c r="O370" s="401" t="n"/>
      <c r="P370" s="395" t="n"/>
      <c r="Q370" s="395" t="n"/>
      <c r="R370" s="395" t="n"/>
      <c r="S370" s="395" t="n"/>
      <c r="T370" s="386" t="n"/>
      <c r="U370" s="386" t="n"/>
      <c r="V370" s="395" t="n"/>
      <c r="W370" s="395" t="n"/>
      <c r="X370" s="395" t="n"/>
      <c r="Y370" s="13" t="n"/>
      <c r="Z370" s="395" t="n"/>
      <c r="AA370" s="395" t="n"/>
      <c r="AB370" s="395" t="n"/>
      <c r="AC370" s="395" t="n"/>
      <c r="AD370" s="395" t="n"/>
      <c r="AE370" s="395" t="n"/>
    </row>
    <row r="371" ht="42" customHeight="1" s="380">
      <c r="A371" s="73" t="n">
        <v>43</v>
      </c>
      <c r="B371" s="386" t="n"/>
      <c r="C371" s="386" t="inlineStr">
        <is>
          <t>Chào bán phát hành &gt;&gt; Tổng hợp số liệu chào bán trái phiếu</t>
        </is>
      </c>
      <c r="D371" s="386" t="inlineStr">
        <is>
          <t>Đối tượng chào bán &gt;&gt; Đối tượng khác &gt;&gt; Đấu giá &gt;&gt; Giá trị (đồng)</t>
        </is>
      </c>
      <c r="E371" s="386" t="inlineStr">
        <is>
          <t>Đối tượng chào bán &gt;&gt; Đối tượng khác &gt;&gt; Đấu giá &gt;&gt; Giá trị (đồng)</t>
        </is>
      </c>
      <c r="F371" s="386" t="inlineStr">
        <is>
          <t>Data Explorer</t>
        </is>
      </c>
      <c r="G371" s="386" t="inlineStr">
        <is>
          <t>Chỉ tiêu cơ sở</t>
        </is>
      </c>
      <c r="H371" s="386" t="inlineStr">
        <is>
          <t>TB</t>
        </is>
      </c>
      <c r="I371" s="386" t="inlineStr">
        <is>
          <t>Ngày, CTCK</t>
        </is>
      </c>
      <c r="J371" s="395" t="inlineStr">
        <is>
          <t>SCMS</t>
        </is>
      </c>
      <c r="K371" s="395" t="n"/>
      <c r="L371" s="395" t="inlineStr">
        <is>
          <t>X</t>
        </is>
      </c>
      <c r="M371" s="395" t="n"/>
      <c r="N371" s="395" t="inlineStr">
        <is>
          <t>Pending</t>
        </is>
      </c>
      <c r="O371" s="401" t="n"/>
      <c r="P371" s="395" t="n"/>
      <c r="Q371" s="395" t="n"/>
      <c r="R371" s="395" t="n"/>
      <c r="S371" s="395" t="n"/>
      <c r="T371" s="386" t="n"/>
      <c r="U371" s="386" t="n"/>
      <c r="V371" s="395" t="n"/>
      <c r="W371" s="395" t="n"/>
      <c r="X371" s="395" t="n"/>
      <c r="Y371" s="38" t="n"/>
      <c r="Z371" s="395" t="n"/>
      <c r="AA371" s="395" t="n"/>
      <c r="AB371" s="395" t="n"/>
      <c r="AC371" s="395" t="n"/>
      <c r="AD371" s="395" t="n"/>
      <c r="AE371" s="395" t="n"/>
    </row>
    <row r="372" ht="42" customHeight="1" s="380">
      <c r="A372" s="73" t="n">
        <v>43</v>
      </c>
      <c r="B372" s="386" t="n"/>
      <c r="C372" s="386" t="inlineStr">
        <is>
          <t>Chào bán phát hành &gt;&gt; Tổng hợp số liệu chào bán trái phiếu</t>
        </is>
      </c>
      <c r="D372" s="386" t="inlineStr">
        <is>
          <t>Đối tượng chào bán &gt;&gt; Đối tượng khác &gt;&gt; Khác &gt;&gt; Số lượng</t>
        </is>
      </c>
      <c r="E372" s="386" t="inlineStr">
        <is>
          <t>Đối tượng chào bán &gt;&gt; Đối tượng khác &gt;&gt; Khác &gt;&gt; Số lượng</t>
        </is>
      </c>
      <c r="F372" s="386" t="inlineStr">
        <is>
          <t>Data Explorer</t>
        </is>
      </c>
      <c r="G372" s="386" t="inlineStr">
        <is>
          <t>Chỉ tiêu cơ sở</t>
        </is>
      </c>
      <c r="H372" s="386" t="inlineStr">
        <is>
          <t>TB</t>
        </is>
      </c>
      <c r="I372" s="386" t="inlineStr">
        <is>
          <t>Ngày, CTCK</t>
        </is>
      </c>
      <c r="J372" s="395" t="inlineStr">
        <is>
          <t>SCMS</t>
        </is>
      </c>
      <c r="K372" s="395" t="n"/>
      <c r="L372" s="395" t="inlineStr">
        <is>
          <t>X</t>
        </is>
      </c>
      <c r="M372" s="395" t="n"/>
      <c r="N372" s="395" t="inlineStr">
        <is>
          <t>Pending</t>
        </is>
      </c>
      <c r="O372" s="401" t="n"/>
      <c r="P372" s="395" t="n"/>
      <c r="Q372" s="395" t="n"/>
      <c r="R372" s="395" t="n"/>
      <c r="S372" s="395" t="n"/>
      <c r="T372" s="386" t="n"/>
      <c r="U372" s="386" t="n"/>
      <c r="V372" s="395" t="n"/>
      <c r="W372" s="395" t="n"/>
      <c r="X372" s="395" t="n"/>
      <c r="Y372" s="13" t="n"/>
      <c r="Z372" s="395" t="n"/>
      <c r="AA372" s="395" t="n"/>
      <c r="AB372" s="395" t="n"/>
      <c r="AC372" s="395" t="n"/>
      <c r="AD372" s="395" t="n"/>
      <c r="AE372" s="395" t="n"/>
    </row>
    <row r="373" ht="42" customHeight="1" s="380">
      <c r="A373" s="73" t="n">
        <v>43</v>
      </c>
      <c r="B373" s="386" t="n"/>
      <c r="C373" s="386" t="inlineStr">
        <is>
          <t>Chào bán phát hành &gt;&gt; Tổng hợp số liệu chào bán trái phiếu</t>
        </is>
      </c>
      <c r="D373" s="386" t="inlineStr">
        <is>
          <t>Đối tượng chào bán &gt;&gt; Đối tượng khác &gt;&gt; Khác &gt;&gt; Giá (đồng)</t>
        </is>
      </c>
      <c r="E373" s="386" t="inlineStr">
        <is>
          <t>Đối tượng chào bán &gt;&gt; Đối tượng khác &gt;&gt; Khác &gt;&gt; Giá (đồng)</t>
        </is>
      </c>
      <c r="F373" s="386" t="inlineStr">
        <is>
          <t>Data Explorer</t>
        </is>
      </c>
      <c r="G373" s="386" t="inlineStr">
        <is>
          <t>Chỉ tiêu cơ sở</t>
        </is>
      </c>
      <c r="H373" s="386" t="inlineStr">
        <is>
          <t>TB</t>
        </is>
      </c>
      <c r="I373" s="386" t="inlineStr">
        <is>
          <t>Ngày, CTCK</t>
        </is>
      </c>
      <c r="J373" s="395" t="inlineStr">
        <is>
          <t>SCMS</t>
        </is>
      </c>
      <c r="K373" s="395" t="n"/>
      <c r="L373" s="395" t="inlineStr">
        <is>
          <t>X</t>
        </is>
      </c>
      <c r="M373" s="395" t="n"/>
      <c r="N373" s="395" t="inlineStr">
        <is>
          <t>Pending</t>
        </is>
      </c>
      <c r="O373" s="401" t="n"/>
      <c r="P373" s="395" t="n"/>
      <c r="Q373" s="395" t="n"/>
      <c r="R373" s="395" t="n"/>
      <c r="S373" s="395" t="n"/>
      <c r="T373" s="386" t="n"/>
      <c r="U373" s="386" t="n"/>
      <c r="V373" s="395" t="n"/>
      <c r="W373" s="395" t="n"/>
      <c r="X373" s="395" t="n"/>
      <c r="Y373" s="13" t="n"/>
      <c r="Z373" s="395" t="n"/>
      <c r="AA373" s="395" t="n"/>
      <c r="AB373" s="395" t="n"/>
      <c r="AC373" s="395" t="n"/>
      <c r="AD373" s="395" t="n"/>
      <c r="AE373" s="395" t="n"/>
    </row>
    <row r="374" ht="42" customHeight="1" s="380">
      <c r="A374" s="73" t="n">
        <v>43</v>
      </c>
      <c r="B374" s="386" t="n"/>
      <c r="C374" s="386" t="inlineStr">
        <is>
          <t>Chào bán phát hành &gt;&gt; Tổng hợp số liệu chào bán trái phiếu</t>
        </is>
      </c>
      <c r="D374" s="386" t="inlineStr">
        <is>
          <t>Đối tượng chào bán &gt;&gt; Đối tượng khác &gt;&gt; Khác &gt;&gt; Giá trị (đồng)</t>
        </is>
      </c>
      <c r="E374" s="386" t="inlineStr">
        <is>
          <t>Đối tượng chào bán &gt;&gt; Đối tượng khác &gt;&gt; Khác &gt;&gt; Giá trị (đồng)</t>
        </is>
      </c>
      <c r="F374" s="386" t="inlineStr">
        <is>
          <t>Data Explorer</t>
        </is>
      </c>
      <c r="G374" s="386" t="inlineStr">
        <is>
          <t>Chỉ tiêu cơ sở</t>
        </is>
      </c>
      <c r="H374" s="386" t="inlineStr">
        <is>
          <t>TB</t>
        </is>
      </c>
      <c r="I374" s="386" t="inlineStr">
        <is>
          <t>Ngày, CTCK</t>
        </is>
      </c>
      <c r="J374" s="395" t="inlineStr">
        <is>
          <t>SCMS</t>
        </is>
      </c>
      <c r="K374" s="395" t="n"/>
      <c r="L374" s="395" t="inlineStr">
        <is>
          <t>X</t>
        </is>
      </c>
      <c r="M374" s="395" t="n"/>
      <c r="N374" s="395" t="inlineStr">
        <is>
          <t>Pending</t>
        </is>
      </c>
      <c r="O374" s="401" t="n"/>
      <c r="P374" s="395" t="n"/>
      <c r="Q374" s="395" t="n"/>
      <c r="R374" s="395" t="n"/>
      <c r="S374" s="395" t="n"/>
      <c r="T374" s="386" t="n"/>
      <c r="U374" s="386" t="n"/>
      <c r="V374" s="395" t="n"/>
      <c r="W374" s="395" t="n"/>
      <c r="X374" s="395" t="n"/>
      <c r="Y374" s="13" t="n"/>
      <c r="Z374" s="395" t="n"/>
      <c r="AA374" s="395" t="n"/>
      <c r="AB374" s="395" t="n"/>
      <c r="AC374" s="395" t="n"/>
      <c r="AD374" s="395" t="n"/>
      <c r="AE374" s="395" t="n"/>
    </row>
    <row r="375" ht="56" customHeight="1" s="380">
      <c r="A375" s="73" t="n">
        <v>43</v>
      </c>
      <c r="B375" s="386" t="n"/>
      <c r="C375" s="386" t="inlineStr">
        <is>
          <t>Chào bán phát hành &gt;&gt; Tổng hợp số liệu chào bán trái phiếu</t>
        </is>
      </c>
      <c r="D375" s="386" t="inlineStr">
        <is>
          <t>Đối tượng chào bán &gt;&gt; Phát hành trái phiếu ra thị trường quốc tế &gt;&gt; Số lượng</t>
        </is>
      </c>
      <c r="E375" s="386" t="inlineStr">
        <is>
          <t>Đối tượng chào bán &gt;&gt; Phát hành trái phiếu ra thị trường quốc tế &gt;&gt; Số lượng</t>
        </is>
      </c>
      <c r="F375" s="386" t="inlineStr">
        <is>
          <t>Data Explorer</t>
        </is>
      </c>
      <c r="G375" s="386" t="inlineStr">
        <is>
          <t>Chỉ tiêu cơ sở</t>
        </is>
      </c>
      <c r="H375" s="386" t="inlineStr">
        <is>
          <t>TB</t>
        </is>
      </c>
      <c r="I375" s="386" t="inlineStr">
        <is>
          <t>Ngày, CTCK</t>
        </is>
      </c>
      <c r="J375" s="395" t="inlineStr">
        <is>
          <t>SCMS</t>
        </is>
      </c>
      <c r="K375" s="395" t="n"/>
      <c r="L375" s="395" t="inlineStr">
        <is>
          <t>X</t>
        </is>
      </c>
      <c r="M375" s="395" t="n"/>
      <c r="N375" s="395" t="inlineStr">
        <is>
          <t>Pending</t>
        </is>
      </c>
      <c r="O375" s="401" t="n"/>
      <c r="P375" s="395" t="n"/>
      <c r="Q375" s="395" t="n"/>
      <c r="R375" s="395" t="n"/>
      <c r="S375" s="395" t="n"/>
      <c r="T375" s="386" t="n"/>
      <c r="U375" s="386" t="n"/>
      <c r="V375" s="395" t="n"/>
      <c r="W375" s="395" t="n"/>
      <c r="X375" s="395" t="n"/>
      <c r="Y375" s="13" t="n"/>
      <c r="Z375" s="395" t="n"/>
      <c r="AA375" s="395" t="n"/>
      <c r="AB375" s="395" t="n"/>
      <c r="AC375" s="395" t="n"/>
      <c r="AD375" s="395" t="n"/>
      <c r="AE375" s="395" t="n"/>
    </row>
    <row r="376" ht="56" customHeight="1" s="380">
      <c r="A376" s="73" t="n">
        <v>43</v>
      </c>
      <c r="B376" s="386" t="n"/>
      <c r="C376" s="386" t="inlineStr">
        <is>
          <t>Chào bán phát hành &gt;&gt; Tổng hợp số liệu chào bán trái phiếu</t>
        </is>
      </c>
      <c r="D376" s="386" t="inlineStr">
        <is>
          <t>Đối tượng chào bán &gt;&gt; Phát hành trái phiếu ra thị trường quốc tế &gt;&gt; Giá (đồng)</t>
        </is>
      </c>
      <c r="E376" s="386" t="inlineStr">
        <is>
          <t>Đối tượng chào bán &gt;&gt; Phát hành trái phiếu ra thị trường quốc tế &gt;&gt; Giá (đồng)</t>
        </is>
      </c>
      <c r="F376" s="386" t="inlineStr">
        <is>
          <t>Data Explorer</t>
        </is>
      </c>
      <c r="G376" s="386" t="inlineStr">
        <is>
          <t>Chỉ tiêu cơ sở</t>
        </is>
      </c>
      <c r="H376" s="386" t="inlineStr">
        <is>
          <t>TB</t>
        </is>
      </c>
      <c r="I376" s="386" t="inlineStr">
        <is>
          <t>Ngày, CTCK</t>
        </is>
      </c>
      <c r="J376" s="395" t="inlineStr">
        <is>
          <t>SCMS</t>
        </is>
      </c>
      <c r="K376" s="395" t="n"/>
      <c r="L376" s="395" t="inlineStr">
        <is>
          <t>X</t>
        </is>
      </c>
      <c r="M376" s="395" t="n"/>
      <c r="N376" s="395" t="inlineStr">
        <is>
          <t>Pending</t>
        </is>
      </c>
      <c r="O376" s="401" t="n"/>
      <c r="P376" s="395" t="n"/>
      <c r="Q376" s="395" t="n"/>
      <c r="R376" s="395" t="n"/>
      <c r="S376" s="395" t="n"/>
      <c r="T376" s="386" t="n"/>
      <c r="U376" s="386" t="n"/>
      <c r="V376" s="395" t="n"/>
      <c r="W376" s="395" t="n"/>
      <c r="X376" s="395" t="n"/>
      <c r="Y376" s="13" t="n"/>
      <c r="Z376" s="395" t="n"/>
      <c r="AA376" s="395" t="n"/>
      <c r="AB376" s="395" t="n"/>
      <c r="AC376" s="395" t="n"/>
      <c r="AD376" s="395" t="n"/>
      <c r="AE376" s="395" t="n"/>
    </row>
    <row r="377" ht="56" customHeight="1" s="380">
      <c r="A377" s="73" t="n">
        <v>43</v>
      </c>
      <c r="B377" s="386" t="n"/>
      <c r="C377" s="386" t="inlineStr">
        <is>
          <t>Chào bán phát hành &gt;&gt; Tổng hợp số liệu chào bán trái phiếu</t>
        </is>
      </c>
      <c r="D377" s="386" t="inlineStr">
        <is>
          <t>Đối tượng chào bán &gt;&gt; Phát hành trái phiếu ra thị trường quốc tế &gt;&gt; Giá trị (đồng)</t>
        </is>
      </c>
      <c r="E377" s="386" t="inlineStr">
        <is>
          <t>Đối tượng chào bán &gt;&gt; Phát hành trái phiếu ra thị trường quốc tế &gt;&gt; Giá trị (đồng)</t>
        </is>
      </c>
      <c r="F377" s="386" t="inlineStr">
        <is>
          <t>Data Explorer</t>
        </is>
      </c>
      <c r="G377" s="386" t="inlineStr">
        <is>
          <t>Chỉ tiêu cơ sở</t>
        </is>
      </c>
      <c r="H377" s="386" t="inlineStr">
        <is>
          <t>TB</t>
        </is>
      </c>
      <c r="I377" s="386" t="inlineStr">
        <is>
          <t>Ngày, CTCK</t>
        </is>
      </c>
      <c r="J377" s="395" t="inlineStr">
        <is>
          <t>SCMS</t>
        </is>
      </c>
      <c r="K377" s="395" t="n"/>
      <c r="L377" s="395" t="inlineStr">
        <is>
          <t>X</t>
        </is>
      </c>
      <c r="M377" s="395" t="n"/>
      <c r="N377" s="395" t="inlineStr">
        <is>
          <t>Pending</t>
        </is>
      </c>
      <c r="O377" s="401" t="n"/>
      <c r="P377" s="395" t="n"/>
      <c r="Q377" s="395" t="n"/>
      <c r="R377" s="395" t="n"/>
      <c r="S377" s="395" t="n"/>
      <c r="T377" s="386" t="n"/>
      <c r="U377" s="386" t="n"/>
      <c r="V377" s="395" t="n"/>
      <c r="W377" s="395" t="n"/>
      <c r="X377" s="395" t="n"/>
      <c r="Y377" s="14" t="n"/>
      <c r="Z377" s="395" t="n"/>
      <c r="AA377" s="395" t="n"/>
      <c r="AB377" s="395" t="n"/>
      <c r="AC377" s="395" t="n"/>
      <c r="AD377" s="395" t="n"/>
      <c r="AE377" s="395" t="n"/>
    </row>
    <row r="378" ht="42" customHeight="1" s="380">
      <c r="A378" s="73" t="n">
        <v>43</v>
      </c>
      <c r="B378" s="386" t="n"/>
      <c r="C378" s="386" t="inlineStr">
        <is>
          <t>Chào bán phát hành &gt;&gt; Tổng hợp số liệu chào bán trái phiếu</t>
        </is>
      </c>
      <c r="D378" s="386" t="inlineStr">
        <is>
          <t>Tổng số lượng chứng khoán chào bán</t>
        </is>
      </c>
      <c r="E378" s="395" t="inlineStr">
        <is>
          <t>Tổng số lượng chứng khoán chào bán</t>
        </is>
      </c>
      <c r="F378" s="386" t="inlineStr">
        <is>
          <t>Data Explorer</t>
        </is>
      </c>
      <c r="G378" s="386" t="inlineStr">
        <is>
          <t>Chỉ tiêu cơ sở</t>
        </is>
      </c>
      <c r="H378" s="386" t="inlineStr">
        <is>
          <t>TB</t>
        </is>
      </c>
      <c r="I378" s="386" t="inlineStr">
        <is>
          <t>Ngày, CTCK</t>
        </is>
      </c>
      <c r="J378" s="395" t="inlineStr">
        <is>
          <t>SCMS</t>
        </is>
      </c>
      <c r="K378" s="395" t="n"/>
      <c r="L378" s="395" t="inlineStr">
        <is>
          <t>X</t>
        </is>
      </c>
      <c r="M378" s="395" t="n"/>
      <c r="N378" s="395" t="inlineStr">
        <is>
          <t>Pending</t>
        </is>
      </c>
      <c r="O378" s="401" t="n"/>
      <c r="P378" s="395" t="n"/>
      <c r="Q378" s="395" t="n"/>
      <c r="R378" s="395" t="n"/>
      <c r="S378" s="395" t="n"/>
      <c r="T378" s="386" t="n"/>
      <c r="U378" s="386" t="n"/>
      <c r="V378" s="395" t="n"/>
      <c r="W378" s="395" t="n"/>
      <c r="X378" s="395" t="n"/>
      <c r="Y378" s="13" t="n"/>
      <c r="Z378" s="395" t="n"/>
      <c r="AA378" s="395" t="n"/>
      <c r="AB378" s="395" t="n"/>
      <c r="AC378" s="395" t="n"/>
      <c r="AD378" s="395" t="n"/>
      <c r="AE378" s="395" t="n"/>
    </row>
    <row r="379" ht="42" customHeight="1" s="380">
      <c r="A379" s="73" t="n">
        <v>43</v>
      </c>
      <c r="B379" s="386" t="n"/>
      <c r="C379" s="386" t="inlineStr">
        <is>
          <t>Chào bán phát hành &gt;&gt; Tổng hợp số liệu chào bán trái phiếu</t>
        </is>
      </c>
      <c r="D379" s="386" t="inlineStr">
        <is>
          <t>Tổng số tiền dự kiến thu được (đồng)</t>
        </is>
      </c>
      <c r="E379" s="395" t="inlineStr">
        <is>
          <t>Tổng số tiền dự kiến thu được (đồng)</t>
        </is>
      </c>
      <c r="F379" s="386" t="inlineStr">
        <is>
          <t>Data Explorer</t>
        </is>
      </c>
      <c r="G379" s="386" t="inlineStr">
        <is>
          <t>Chỉ tiêu cơ sở</t>
        </is>
      </c>
      <c r="H379" s="386" t="inlineStr">
        <is>
          <t>TB</t>
        </is>
      </c>
      <c r="I379" s="386" t="inlineStr">
        <is>
          <t>Ngày, CTCK</t>
        </is>
      </c>
      <c r="J379" s="395" t="inlineStr">
        <is>
          <t>SCMS</t>
        </is>
      </c>
      <c r="K379" s="395" t="n"/>
      <c r="L379" s="395" t="inlineStr">
        <is>
          <t>X</t>
        </is>
      </c>
      <c r="M379" s="395" t="n"/>
      <c r="N379" s="395" t="inlineStr">
        <is>
          <t>Pending</t>
        </is>
      </c>
      <c r="O379" s="401" t="n"/>
      <c r="P379" s="395" t="n"/>
      <c r="Q379" s="395" t="n"/>
      <c r="R379" s="395" t="n"/>
      <c r="S379" s="395" t="n"/>
      <c r="T379" s="386" t="n"/>
      <c r="U379" s="386" t="n"/>
      <c r="V379" s="395" t="n"/>
      <c r="W379" s="395" t="n"/>
      <c r="X379" s="395" t="n"/>
      <c r="Y379" s="13" t="n"/>
      <c r="Z379" s="395" t="n"/>
      <c r="AA379" s="395" t="n"/>
      <c r="AB379" s="395" t="n"/>
      <c r="AC379" s="395" t="n"/>
      <c r="AD379" s="395" t="n"/>
      <c r="AE379" s="395" t="n"/>
    </row>
    <row r="380" ht="42" customHeight="1" s="380">
      <c r="A380" s="73" t="n">
        <v>43</v>
      </c>
      <c r="B380" s="386" t="n"/>
      <c r="C380" s="386" t="inlineStr">
        <is>
          <t>Chào bán phát hành &gt;&gt; Tổng hợp số liệu chào bán trái phiếu</t>
        </is>
      </c>
      <c r="D380" s="386" t="inlineStr">
        <is>
          <t>Ngày BCKQ
(Ngày/tháng/năm)</t>
        </is>
      </c>
      <c r="E380" s="395" t="inlineStr">
        <is>
          <t>Ngày BCKQ
(Ngày/tháng/năm)</t>
        </is>
      </c>
      <c r="F380" s="386" t="inlineStr">
        <is>
          <t>Data Explorer</t>
        </is>
      </c>
      <c r="G380" s="386" t="inlineStr">
        <is>
          <t>Chỉ tiêu cơ sở</t>
        </is>
      </c>
      <c r="H380" s="386" t="inlineStr">
        <is>
          <t>TB</t>
        </is>
      </c>
      <c r="I380" s="386" t="inlineStr">
        <is>
          <t>Ngày, CTCK</t>
        </is>
      </c>
      <c r="J380" s="395" t="inlineStr">
        <is>
          <t>SCMS</t>
        </is>
      </c>
      <c r="K380" s="395" t="n"/>
      <c r="L380" s="395" t="inlineStr">
        <is>
          <t>X</t>
        </is>
      </c>
      <c r="M380" s="395" t="n"/>
      <c r="N380" s="395" t="inlineStr">
        <is>
          <t>Pending</t>
        </is>
      </c>
      <c r="O380" s="401" t="n"/>
      <c r="P380" s="395" t="n"/>
      <c r="Q380" s="395" t="n"/>
      <c r="R380" s="395" t="n"/>
      <c r="S380" s="395" t="n"/>
      <c r="T380" s="386" t="n"/>
      <c r="U380" s="386" t="n"/>
      <c r="V380" s="395" t="n"/>
      <c r="W380" s="395" t="n"/>
      <c r="X380" s="395" t="n"/>
      <c r="Y380" s="13" t="n"/>
      <c r="Z380" s="395" t="n"/>
      <c r="AA380" s="395" t="n"/>
      <c r="AB380" s="395" t="n"/>
      <c r="AC380" s="395" t="n"/>
      <c r="AD380" s="395" t="n"/>
      <c r="AE380" s="395" t="n"/>
    </row>
    <row r="381" ht="42" customHeight="1" s="380">
      <c r="A381" s="73" t="n">
        <v>43</v>
      </c>
      <c r="B381" s="386" t="n"/>
      <c r="C381" s="386" t="inlineStr">
        <is>
          <t>Chào bán phát hành &gt;&gt; Tổng hợp số liệu chào bán trái phiếu</t>
        </is>
      </c>
      <c r="D381" s="386" t="inlineStr">
        <is>
          <t>Gia hạn đến ngày
(Ngày/tháng/năm)</t>
        </is>
      </c>
      <c r="E381" s="395" t="inlineStr">
        <is>
          <t>Gia hạn đến ngày
(Ngày/tháng/năm)</t>
        </is>
      </c>
      <c r="F381" s="386" t="inlineStr">
        <is>
          <t>Data Explorer</t>
        </is>
      </c>
      <c r="G381" s="386" t="inlineStr">
        <is>
          <t>Chỉ tiêu cơ sở</t>
        </is>
      </c>
      <c r="H381" s="386" t="inlineStr">
        <is>
          <t>TB</t>
        </is>
      </c>
      <c r="I381" s="386" t="inlineStr">
        <is>
          <t>Ngày, CTCK</t>
        </is>
      </c>
      <c r="J381" s="395" t="inlineStr">
        <is>
          <t>SCMS</t>
        </is>
      </c>
      <c r="K381" s="395" t="n"/>
      <c r="L381" s="395" t="inlineStr">
        <is>
          <t>X</t>
        </is>
      </c>
      <c r="M381" s="395" t="n"/>
      <c r="N381" s="395" t="inlineStr">
        <is>
          <t>Pending</t>
        </is>
      </c>
      <c r="O381" s="401" t="n"/>
      <c r="P381" s="395" t="n"/>
      <c r="Q381" s="395" t="n"/>
      <c r="R381" s="395" t="n"/>
      <c r="S381" s="395" t="n"/>
      <c r="T381" s="386" t="n"/>
      <c r="U381" s="386" t="n"/>
      <c r="V381" s="395" t="n"/>
      <c r="W381" s="395" t="n"/>
      <c r="X381" s="395" t="n"/>
      <c r="Y381" s="13" t="n"/>
      <c r="Z381" s="395" t="n"/>
      <c r="AA381" s="395" t="n"/>
      <c r="AB381" s="395" t="n"/>
      <c r="AC381" s="395" t="n"/>
      <c r="AD381" s="395" t="n"/>
      <c r="AE381" s="395" t="n"/>
    </row>
    <row r="382" ht="42" customHeight="1" s="380">
      <c r="A382" s="73" t="n">
        <v>43</v>
      </c>
      <c r="B382" s="386" t="n"/>
      <c r="C382" s="386" t="inlineStr">
        <is>
          <t>Chào bán phát hành &gt;&gt; Tổng hợp số liệu chào bán trái phiếu</t>
        </is>
      </c>
      <c r="D382" s="386" t="inlineStr">
        <is>
          <t>Đánh giá</t>
        </is>
      </c>
      <c r="E382" s="395" t="inlineStr">
        <is>
          <t>Đánh giá</t>
        </is>
      </c>
      <c r="F382" s="386" t="inlineStr">
        <is>
          <t>Data Explorer</t>
        </is>
      </c>
      <c r="G382" s="386" t="inlineStr">
        <is>
          <t>Chỉ tiêu cơ sở</t>
        </is>
      </c>
      <c r="H382" s="386" t="inlineStr">
        <is>
          <t>TB</t>
        </is>
      </c>
      <c r="I382" s="386" t="inlineStr">
        <is>
          <t>Ngày, CTCK</t>
        </is>
      </c>
      <c r="J382" s="395" t="inlineStr">
        <is>
          <t>SCMS</t>
        </is>
      </c>
      <c r="K382" s="395" t="n"/>
      <c r="L382" s="395" t="inlineStr">
        <is>
          <t>X</t>
        </is>
      </c>
      <c r="M382" s="395" t="n"/>
      <c r="N382" s="395" t="inlineStr">
        <is>
          <t>Pending</t>
        </is>
      </c>
      <c r="O382" s="401" t="n"/>
      <c r="P382" s="395" t="n"/>
      <c r="Q382" s="395" t="n"/>
      <c r="R382" s="395" t="n"/>
      <c r="S382" s="395" t="n"/>
      <c r="T382" s="386" t="n"/>
      <c r="U382" s="386" t="n"/>
      <c r="V382" s="395" t="n"/>
      <c r="W382" s="395" t="n"/>
      <c r="X382" s="395" t="n"/>
      <c r="Y382" s="13" t="n"/>
      <c r="Z382" s="395" t="n"/>
      <c r="AA382" s="395" t="n"/>
      <c r="AB382" s="395" t="n"/>
      <c r="AC382" s="395" t="n"/>
      <c r="AD382" s="395" t="n"/>
      <c r="AE382" s="395" t="n"/>
    </row>
    <row r="383" ht="42" customHeight="1" s="380">
      <c r="A383" s="73" t="n">
        <v>43</v>
      </c>
      <c r="B383" s="386" t="n"/>
      <c r="C383" s="386" t="inlineStr">
        <is>
          <t>Chào bán phát hành &gt;&gt; Tổng hợp số liệu chào bán trái phiếu</t>
        </is>
      </c>
      <c r="D383" s="386" t="inlineStr">
        <is>
          <t>Thực tế &gt;&gt; Đối tượng chào bán &gt;&gt; Cổ đông hiện hữu &gt;&gt; Số lượng</t>
        </is>
      </c>
      <c r="E383" s="386" t="inlineStr">
        <is>
          <t>Thực tế &gt;&gt; Đối tượng chào bán &gt;&gt; Cổ đông hiện hữu &gt;&gt; Số lượng</t>
        </is>
      </c>
      <c r="F383" s="386" t="inlineStr">
        <is>
          <t>Data Explorer</t>
        </is>
      </c>
      <c r="G383" s="386" t="inlineStr">
        <is>
          <t>Chỉ tiêu cơ sở</t>
        </is>
      </c>
      <c r="H383" s="386" t="inlineStr">
        <is>
          <t>TB</t>
        </is>
      </c>
      <c r="I383" s="386" t="inlineStr">
        <is>
          <t>Ngày, CTCK</t>
        </is>
      </c>
      <c r="J383" s="395" t="inlineStr">
        <is>
          <t>SCMS</t>
        </is>
      </c>
      <c r="K383" s="395" t="n"/>
      <c r="L383" s="395" t="inlineStr">
        <is>
          <t>X</t>
        </is>
      </c>
      <c r="M383" s="395" t="n"/>
      <c r="N383" s="395" t="inlineStr">
        <is>
          <t>Pending</t>
        </is>
      </c>
      <c r="O383" s="401" t="n"/>
      <c r="P383" s="395" t="n"/>
      <c r="Q383" s="395" t="n"/>
      <c r="R383" s="395" t="n"/>
      <c r="S383" s="395" t="n"/>
      <c r="T383" s="386" t="n"/>
      <c r="U383" s="386" t="n"/>
      <c r="V383" s="395" t="n"/>
      <c r="W383" s="395" t="n"/>
      <c r="X383" s="395" t="n"/>
      <c r="Y383" s="38" t="n"/>
      <c r="Z383" s="395" t="n"/>
      <c r="AA383" s="395" t="n"/>
      <c r="AB383" s="395" t="n"/>
      <c r="AC383" s="395" t="n"/>
      <c r="AD383" s="395" t="n"/>
      <c r="AE383" s="395" t="n"/>
    </row>
    <row r="384" ht="42" customHeight="1" s="380">
      <c r="A384" s="73" t="n">
        <v>43</v>
      </c>
      <c r="B384" s="386" t="n"/>
      <c r="C384" s="386" t="inlineStr">
        <is>
          <t>Chào bán phát hành &gt;&gt; Tổng hợp số liệu chào bán trái phiếu</t>
        </is>
      </c>
      <c r="D384" s="386" t="inlineStr">
        <is>
          <t>Thực tế &gt;&gt; Đối tượng chào bán &gt;&gt; Cổ đông hiện hữu &gt;&gt; Giá (đồng)</t>
        </is>
      </c>
      <c r="E384" s="386" t="inlineStr">
        <is>
          <t>Thực tế &gt;&gt; Đối tượng chào bán &gt;&gt; Cổ đông hiện hữu &gt;&gt; Giá (đồng)</t>
        </is>
      </c>
      <c r="F384" s="386" t="inlineStr">
        <is>
          <t>Data Explorer</t>
        </is>
      </c>
      <c r="G384" s="386" t="inlineStr">
        <is>
          <t>Chỉ tiêu cơ sở</t>
        </is>
      </c>
      <c r="H384" s="386" t="inlineStr">
        <is>
          <t>TB</t>
        </is>
      </c>
      <c r="I384" s="386" t="inlineStr">
        <is>
          <t>Ngày, CTCK</t>
        </is>
      </c>
      <c r="J384" s="395" t="inlineStr">
        <is>
          <t>SCMS</t>
        </is>
      </c>
      <c r="K384" s="395" t="n"/>
      <c r="L384" s="395" t="inlineStr">
        <is>
          <t>X</t>
        </is>
      </c>
      <c r="M384" s="395" t="n"/>
      <c r="N384" s="395" t="inlineStr">
        <is>
          <t>Pending</t>
        </is>
      </c>
      <c r="O384" s="401" t="n"/>
      <c r="P384" s="395" t="n"/>
      <c r="Q384" s="395" t="n"/>
      <c r="R384" s="395" t="n"/>
      <c r="S384" s="395" t="n"/>
      <c r="T384" s="386" t="n"/>
      <c r="U384" s="386" t="n"/>
      <c r="V384" s="395" t="n"/>
      <c r="W384" s="395" t="n"/>
      <c r="X384" s="395" t="n"/>
      <c r="Y384" s="13" t="n"/>
      <c r="Z384" s="395" t="n"/>
      <c r="AA384" s="395" t="n"/>
      <c r="AB384" s="395" t="n"/>
      <c r="AC384" s="395" t="n"/>
      <c r="AD384" s="395" t="n"/>
      <c r="AE384" s="395" t="n"/>
    </row>
    <row r="385" ht="42" customHeight="1" s="380">
      <c r="A385" s="73" t="n">
        <v>43</v>
      </c>
      <c r="B385" s="386" t="n"/>
      <c r="C385" s="386" t="inlineStr">
        <is>
          <t>Chào bán phát hành &gt;&gt; Tổng hợp số liệu chào bán trái phiếu</t>
        </is>
      </c>
      <c r="D385" s="386" t="inlineStr">
        <is>
          <t>Thực tế &gt;&gt; Đối tượng chào bán &gt;&gt; Cổ đông hiện hữu &gt;&gt; Giá trị (đồng)</t>
        </is>
      </c>
      <c r="E385" s="386" t="inlineStr">
        <is>
          <t>Thực tế &gt;&gt; Đối tượng chào bán &gt;&gt; Cổ đông hiện hữu &gt;&gt; Giá trị (đồng)</t>
        </is>
      </c>
      <c r="F385" s="386" t="inlineStr">
        <is>
          <t>Data Explorer</t>
        </is>
      </c>
      <c r="G385" s="386" t="inlineStr">
        <is>
          <t>Chỉ tiêu cơ sở</t>
        </is>
      </c>
      <c r="H385" s="386" t="inlineStr">
        <is>
          <t>TB</t>
        </is>
      </c>
      <c r="I385" s="386" t="inlineStr">
        <is>
          <t>Ngày, CTCK</t>
        </is>
      </c>
      <c r="J385" s="395" t="inlineStr">
        <is>
          <t>SCMS</t>
        </is>
      </c>
      <c r="K385" s="395" t="n"/>
      <c r="L385" s="395" t="inlineStr">
        <is>
          <t>X</t>
        </is>
      </c>
      <c r="M385" s="395" t="n"/>
      <c r="N385" s="395" t="inlineStr">
        <is>
          <t>Pending</t>
        </is>
      </c>
      <c r="O385" s="401" t="n"/>
      <c r="P385" s="395" t="n"/>
      <c r="Q385" s="395" t="n"/>
      <c r="R385" s="395" t="n"/>
      <c r="S385" s="395" t="n"/>
      <c r="T385" s="386" t="n"/>
      <c r="U385" s="386" t="n"/>
      <c r="V385" s="395" t="n"/>
      <c r="W385" s="395" t="n"/>
      <c r="X385" s="395" t="n"/>
      <c r="Y385" s="13" t="n"/>
      <c r="Z385" s="395" t="n"/>
      <c r="AA385" s="395" t="n"/>
      <c r="AB385" s="395" t="n"/>
      <c r="AC385" s="395" t="n"/>
      <c r="AD385" s="395" t="n"/>
      <c r="AE385" s="395" t="n"/>
    </row>
    <row r="386" ht="70" customHeight="1" s="380">
      <c r="A386" s="73" t="n">
        <v>43</v>
      </c>
      <c r="B386" s="386" t="n"/>
      <c r="C386" s="386" t="inlineStr">
        <is>
          <t>Chào bán phát hành &gt;&gt; Tổng hợp số liệu chào bán trái phiếu</t>
        </is>
      </c>
      <c r="D386" s="386" t="inlineStr">
        <is>
          <t>Thực tế &gt;&gt; Đối tượng chào bán &gt;&gt; Cổ đông hiện hữu &gt;&gt; Số lượng nhà đầu tư nước ngoài tham gia</t>
        </is>
      </c>
      <c r="E386" s="386" t="inlineStr">
        <is>
          <t>Thực tế &gt;&gt; Đối tượng chào bán &gt;&gt; Cổ đông hiện hữu &gt;&gt; Số lượng nhà đầu tư nước ngoài tham gia</t>
        </is>
      </c>
      <c r="F386" s="386" t="inlineStr">
        <is>
          <t>Data Explorer</t>
        </is>
      </c>
      <c r="G386" s="386" t="inlineStr">
        <is>
          <t>Chỉ tiêu cơ sở</t>
        </is>
      </c>
      <c r="H386" s="386" t="inlineStr">
        <is>
          <t>TB</t>
        </is>
      </c>
      <c r="I386" s="386" t="inlineStr">
        <is>
          <t>Ngày, CTCK</t>
        </is>
      </c>
      <c r="J386" s="395" t="inlineStr">
        <is>
          <t>SCMS</t>
        </is>
      </c>
      <c r="K386" s="395" t="n"/>
      <c r="L386" s="395" t="inlineStr">
        <is>
          <t>X</t>
        </is>
      </c>
      <c r="M386" s="395" t="n"/>
      <c r="N386" s="395" t="inlineStr">
        <is>
          <t>Pending</t>
        </is>
      </c>
      <c r="O386" s="401" t="n"/>
      <c r="P386" s="395" t="n"/>
      <c r="Q386" s="395" t="n"/>
      <c r="R386" s="395" t="n"/>
      <c r="S386" s="395" t="n"/>
      <c r="T386" s="386" t="n"/>
      <c r="U386" s="386" t="n"/>
      <c r="V386" s="395" t="n"/>
      <c r="W386" s="395" t="n"/>
      <c r="X386" s="395" t="n"/>
      <c r="Y386" s="13" t="n"/>
      <c r="Z386" s="395" t="n"/>
      <c r="AA386" s="395" t="n"/>
      <c r="AB386" s="395" t="n"/>
      <c r="AC386" s="395" t="n"/>
      <c r="AD386" s="395" t="n"/>
      <c r="AE386" s="395" t="n"/>
    </row>
    <row r="387" ht="70" customHeight="1" s="380">
      <c r="A387" s="73" t="n">
        <v>43</v>
      </c>
      <c r="B387" s="386" t="n"/>
      <c r="C387" s="386" t="inlineStr">
        <is>
          <t>Chào bán phát hành &gt;&gt; Tổng hợp số liệu chào bán trái phiếu</t>
        </is>
      </c>
      <c r="D387" s="386" t="inlineStr">
        <is>
          <t>Thực tế &gt;&gt; Đối tượng chào bán &gt;&gt; Cổ đông hiện hữu &gt;&gt; Giá trị phát hành cho nhà đầu tư nước ngoài (đồng)</t>
        </is>
      </c>
      <c r="E387" s="386" t="inlineStr">
        <is>
          <t>Thực tế &gt;&gt; Đối tượng chào bán &gt;&gt; Cổ đông hiện hữu &gt;&gt; Giá trị phát hành cho nhà đầu tư nước ngoài (đồng)</t>
        </is>
      </c>
      <c r="F387" s="386" t="inlineStr">
        <is>
          <t>Data Explorer</t>
        </is>
      </c>
      <c r="G387" s="386" t="inlineStr">
        <is>
          <t>Chỉ tiêu cơ sở</t>
        </is>
      </c>
      <c r="H387" s="386" t="inlineStr">
        <is>
          <t>TB</t>
        </is>
      </c>
      <c r="I387" s="386" t="inlineStr">
        <is>
          <t>Ngày, CTCK</t>
        </is>
      </c>
      <c r="J387" s="395" t="inlineStr">
        <is>
          <t>SCMS</t>
        </is>
      </c>
      <c r="K387" s="395" t="n"/>
      <c r="L387" s="395" t="inlineStr">
        <is>
          <t>X</t>
        </is>
      </c>
      <c r="M387" s="395" t="n"/>
      <c r="N387" s="395" t="inlineStr">
        <is>
          <t>Pending</t>
        </is>
      </c>
      <c r="O387" s="401" t="n"/>
      <c r="P387" s="395" t="n"/>
      <c r="Q387" s="395" t="n"/>
      <c r="R387" s="395" t="n"/>
      <c r="S387" s="395" t="n"/>
      <c r="T387" s="386" t="n"/>
      <c r="U387" s="386" t="n"/>
      <c r="V387" s="395" t="n"/>
      <c r="W387" s="395" t="n"/>
      <c r="X387" s="395" t="n"/>
      <c r="Y387" s="13" t="n"/>
      <c r="Z387" s="395" t="n"/>
      <c r="AA387" s="395" t="n"/>
      <c r="AB387" s="395" t="n"/>
      <c r="AC387" s="395" t="n"/>
      <c r="AD387" s="395" t="n"/>
      <c r="AE387" s="395" t="n"/>
    </row>
    <row r="388" ht="42" customHeight="1" s="380">
      <c r="A388" s="73" t="n">
        <v>43</v>
      </c>
      <c r="B388" s="386" t="n"/>
      <c r="C388" s="386" t="inlineStr">
        <is>
          <t>Chào bán phát hành &gt;&gt; Tổng hợp số liệu chào bán trái phiếu</t>
        </is>
      </c>
      <c r="D388" s="386" t="inlineStr">
        <is>
          <t>Thực tế &gt;&gt; Đối tượng chào bán &gt;&gt; Chào bán riêng lẻ &gt;&gt; Số lượng</t>
        </is>
      </c>
      <c r="E388" s="386" t="inlineStr">
        <is>
          <t>Thực tế &gt;&gt; Đối tượng chào bán &gt;&gt; Chào bán riêng lẻ &gt;&gt; Số lượng</t>
        </is>
      </c>
      <c r="F388" s="386" t="inlineStr">
        <is>
          <t>Data Explorer</t>
        </is>
      </c>
      <c r="G388" s="386" t="inlineStr">
        <is>
          <t>Chỉ tiêu cơ sở</t>
        </is>
      </c>
      <c r="H388" s="386" t="inlineStr">
        <is>
          <t>TB</t>
        </is>
      </c>
      <c r="I388" s="386" t="inlineStr">
        <is>
          <t>Ngày, CTCK</t>
        </is>
      </c>
      <c r="J388" s="395" t="inlineStr">
        <is>
          <t>SCMS</t>
        </is>
      </c>
      <c r="K388" s="395" t="n"/>
      <c r="L388" s="395" t="inlineStr">
        <is>
          <t>X</t>
        </is>
      </c>
      <c r="M388" s="395" t="n"/>
      <c r="N388" s="395" t="inlineStr">
        <is>
          <t>Pending</t>
        </is>
      </c>
      <c r="O388" s="401" t="n"/>
      <c r="P388" s="395" t="n"/>
      <c r="Q388" s="395" t="n"/>
      <c r="R388" s="395" t="n"/>
      <c r="S388" s="395" t="n"/>
      <c r="T388" s="386" t="n"/>
      <c r="U388" s="386" t="n"/>
      <c r="V388" s="395" t="n"/>
      <c r="W388" s="395" t="n"/>
      <c r="X388" s="395" t="n"/>
      <c r="Y388" s="13" t="n"/>
      <c r="Z388" s="395" t="n"/>
      <c r="AA388" s="395" t="n"/>
      <c r="AB388" s="395" t="n"/>
      <c r="AC388" s="395" t="n"/>
      <c r="AD388" s="395" t="n"/>
      <c r="AE388" s="395" t="n"/>
    </row>
    <row r="389" ht="42" customHeight="1" s="380">
      <c r="A389" s="73" t="n">
        <v>43</v>
      </c>
      <c r="B389" s="386" t="n"/>
      <c r="C389" s="386" t="inlineStr">
        <is>
          <t>Chào bán phát hành &gt;&gt; Tổng hợp số liệu chào bán trái phiếu</t>
        </is>
      </c>
      <c r="D389" s="386" t="inlineStr">
        <is>
          <t>Thực tế &gt;&gt; Đối tượng chào bán &gt;&gt; Chào bán riêng lẻ &gt;&gt; Giá (đồng)</t>
        </is>
      </c>
      <c r="E389" s="386" t="inlineStr">
        <is>
          <t>Thực tế &gt;&gt; Đối tượng chào bán &gt;&gt; Chào bán riêng lẻ &gt;&gt; Giá (đồng)</t>
        </is>
      </c>
      <c r="F389" s="386" t="inlineStr">
        <is>
          <t>Data Explorer</t>
        </is>
      </c>
      <c r="G389" s="386" t="inlineStr">
        <is>
          <t>Chỉ tiêu cơ sở</t>
        </is>
      </c>
      <c r="H389" s="386" t="inlineStr">
        <is>
          <t>TB</t>
        </is>
      </c>
      <c r="I389" s="386" t="inlineStr">
        <is>
          <t>Ngày, CTCK</t>
        </is>
      </c>
      <c r="J389" s="395" t="inlineStr">
        <is>
          <t>SCMS</t>
        </is>
      </c>
      <c r="K389" s="395" t="n"/>
      <c r="L389" s="395" t="inlineStr">
        <is>
          <t>X</t>
        </is>
      </c>
      <c r="M389" s="395" t="n"/>
      <c r="N389" s="395" t="inlineStr">
        <is>
          <t>Pending</t>
        </is>
      </c>
      <c r="O389" s="401" t="n"/>
      <c r="P389" s="395" t="n"/>
      <c r="Q389" s="395" t="n"/>
      <c r="R389" s="395" t="n"/>
      <c r="S389" s="395" t="n"/>
      <c r="T389" s="386" t="n"/>
      <c r="U389" s="386" t="n"/>
      <c r="V389" s="395" t="n"/>
      <c r="W389" s="395" t="n"/>
      <c r="X389" s="395" t="n"/>
      <c r="Y389" s="38" t="n"/>
      <c r="Z389" s="395" t="n"/>
      <c r="AA389" s="395" t="n"/>
      <c r="AB389" s="395" t="n"/>
      <c r="AC389" s="395" t="n"/>
      <c r="AD389" s="395" t="n"/>
      <c r="AE389" s="395" t="n"/>
    </row>
    <row r="390" ht="42" customHeight="1" s="380">
      <c r="A390" s="73" t="n">
        <v>43</v>
      </c>
      <c r="B390" s="386" t="n"/>
      <c r="C390" s="386" t="inlineStr">
        <is>
          <t>Chào bán phát hành &gt;&gt; Tổng hợp số liệu chào bán trái phiếu</t>
        </is>
      </c>
      <c r="D390" s="386" t="inlineStr">
        <is>
          <t>Thực tế &gt;&gt; Đối tượng chào bán &gt;&gt; Chào bán riêng lẻ &gt;&gt; Giá trị (đồng)</t>
        </is>
      </c>
      <c r="E390" s="386" t="inlineStr">
        <is>
          <t>Thực tế &gt;&gt; Đối tượng chào bán &gt;&gt; Chào bán riêng lẻ &gt;&gt; Giá trị (đồng)</t>
        </is>
      </c>
      <c r="F390" s="386" t="inlineStr">
        <is>
          <t>Data Explorer</t>
        </is>
      </c>
      <c r="G390" s="386" t="inlineStr">
        <is>
          <t>Chỉ tiêu cơ sở</t>
        </is>
      </c>
      <c r="H390" s="386" t="inlineStr">
        <is>
          <t>TB</t>
        </is>
      </c>
      <c r="I390" s="386" t="inlineStr">
        <is>
          <t>Ngày, CTCK</t>
        </is>
      </c>
      <c r="J390" s="395" t="inlineStr">
        <is>
          <t>SCMS</t>
        </is>
      </c>
      <c r="K390" s="395" t="n"/>
      <c r="L390" s="395" t="inlineStr">
        <is>
          <t>X</t>
        </is>
      </c>
      <c r="M390" s="395" t="n"/>
      <c r="N390" s="395" t="inlineStr">
        <is>
          <t>Pending</t>
        </is>
      </c>
      <c r="O390" s="401" t="n"/>
      <c r="P390" s="395" t="n"/>
      <c r="Q390" s="395" t="n"/>
      <c r="R390" s="395" t="n"/>
      <c r="S390" s="395" t="n"/>
      <c r="T390" s="386" t="n"/>
      <c r="U390" s="386" t="n"/>
      <c r="V390" s="395" t="n"/>
      <c r="W390" s="395" t="n"/>
      <c r="X390" s="395" t="n"/>
      <c r="Y390" s="13" t="n"/>
      <c r="Z390" s="395" t="n"/>
      <c r="AA390" s="395" t="n"/>
      <c r="AB390" s="395" t="n"/>
      <c r="AC390" s="395" t="n"/>
      <c r="AD390" s="395" t="n"/>
      <c r="AE390" s="395" t="n"/>
    </row>
    <row r="391" ht="42" customHeight="1" s="380">
      <c r="A391" s="73" t="n">
        <v>43</v>
      </c>
      <c r="B391" s="386" t="n"/>
      <c r="C391" s="386" t="inlineStr">
        <is>
          <t>Chào bán phát hành &gt;&gt; Tổng hợp số liệu chào bán trái phiếu</t>
        </is>
      </c>
      <c r="D391" s="386" t="inlineStr">
        <is>
          <t>Thực tế &gt;&gt; Đối tượng chào bán &gt;&gt; Chào bán riêng lẻ &gt;&gt; Đối tượng</t>
        </is>
      </c>
      <c r="E391" s="386" t="inlineStr">
        <is>
          <t>Thực tế &gt;&gt; Đối tượng chào bán &gt;&gt; Chào bán riêng lẻ &gt;&gt; Đối tượng</t>
        </is>
      </c>
      <c r="F391" s="386" t="inlineStr">
        <is>
          <t>Data Explorer</t>
        </is>
      </c>
      <c r="G391" s="386" t="inlineStr">
        <is>
          <t>Chỉ tiêu cơ sở</t>
        </is>
      </c>
      <c r="H391" s="386" t="inlineStr">
        <is>
          <t>TB</t>
        </is>
      </c>
      <c r="I391" s="386" t="inlineStr">
        <is>
          <t>Ngày, CTCK</t>
        </is>
      </c>
      <c r="J391" s="395" t="inlineStr">
        <is>
          <t>SCMS</t>
        </is>
      </c>
      <c r="K391" s="395" t="n"/>
      <c r="L391" s="395" t="inlineStr">
        <is>
          <t>X</t>
        </is>
      </c>
      <c r="M391" s="395" t="n"/>
      <c r="N391" s="395" t="inlineStr">
        <is>
          <t>Pending</t>
        </is>
      </c>
      <c r="O391" s="401" t="n"/>
      <c r="P391" s="395" t="n"/>
      <c r="Q391" s="395" t="n"/>
      <c r="R391" s="395" t="n"/>
      <c r="S391" s="395" t="n"/>
      <c r="T391" s="386" t="n"/>
      <c r="U391" s="386" t="n"/>
      <c r="V391" s="395" t="n"/>
      <c r="W391" s="395" t="n"/>
      <c r="X391" s="395" t="n"/>
      <c r="Y391" s="13" t="n"/>
      <c r="Z391" s="395" t="n"/>
      <c r="AA391" s="395" t="n"/>
      <c r="AB391" s="395" t="n"/>
      <c r="AC391" s="395" t="n"/>
      <c r="AD391" s="395" t="n"/>
      <c r="AE391" s="395" t="n"/>
    </row>
    <row r="392" ht="70" customHeight="1" s="380">
      <c r="A392" s="73" t="n">
        <v>43</v>
      </c>
      <c r="B392" s="386" t="n"/>
      <c r="C392" s="386" t="inlineStr">
        <is>
          <t>Chào bán phát hành &gt;&gt; Tổng hợp số liệu chào bán trái phiếu</t>
        </is>
      </c>
      <c r="D392" s="386" t="inlineStr">
        <is>
          <t>Thực tế &gt;&gt; Đối tượng chào bán &gt;&gt; Chào bán riêng lẻ &gt;&gt; Số lượng nhà đầu tư nước ngoài tham gia</t>
        </is>
      </c>
      <c r="E392" s="386" t="inlineStr">
        <is>
          <t>Thực tế &gt;&gt; Đối tượng chào bán &gt;&gt; Chào bán riêng lẻ &gt;&gt; Số lượng nhà đầu tư nước ngoài tham gia</t>
        </is>
      </c>
      <c r="F392" s="386" t="inlineStr">
        <is>
          <t>Data Explorer</t>
        </is>
      </c>
      <c r="G392" s="386" t="inlineStr">
        <is>
          <t>Chỉ tiêu cơ sở</t>
        </is>
      </c>
      <c r="H392" s="386" t="inlineStr">
        <is>
          <t>TB</t>
        </is>
      </c>
      <c r="I392" s="386" t="inlineStr">
        <is>
          <t>Ngày, CTCK</t>
        </is>
      </c>
      <c r="J392" s="395" t="inlineStr">
        <is>
          <t>SCMS</t>
        </is>
      </c>
      <c r="K392" s="395" t="n"/>
      <c r="L392" s="395" t="inlineStr">
        <is>
          <t>X</t>
        </is>
      </c>
      <c r="M392" s="395" t="n"/>
      <c r="N392" s="395" t="inlineStr">
        <is>
          <t>Pending</t>
        </is>
      </c>
      <c r="O392" s="401" t="n"/>
      <c r="P392" s="395" t="n"/>
      <c r="Q392" s="395" t="n"/>
      <c r="R392" s="395" t="n"/>
      <c r="S392" s="395" t="n"/>
      <c r="T392" s="386" t="n"/>
      <c r="U392" s="386" t="n"/>
      <c r="V392" s="395" t="n"/>
      <c r="W392" s="395" t="n"/>
      <c r="X392" s="395" t="n"/>
      <c r="Y392" s="13" t="n"/>
      <c r="Z392" s="395" t="n"/>
      <c r="AA392" s="395" t="n"/>
      <c r="AB392" s="395" t="n"/>
      <c r="AC392" s="395" t="n"/>
      <c r="AD392" s="395" t="n"/>
      <c r="AE392" s="395" t="n"/>
    </row>
    <row r="393" ht="70" customHeight="1" s="380">
      <c r="A393" s="73" t="n">
        <v>43</v>
      </c>
      <c r="B393" s="386" t="n"/>
      <c r="C393" s="386" t="inlineStr">
        <is>
          <t>Chào bán phát hành &gt;&gt; Tổng hợp số liệu chào bán trái phiếu</t>
        </is>
      </c>
      <c r="D393" s="386" t="inlineStr">
        <is>
          <t>Thực tế &gt;&gt; Đối tượng chào bán &gt;&gt; Chào bán riêng lẻ &gt;&gt; Giá trị phát hành cho nhà đầu tư nước ngoài (đồng)</t>
        </is>
      </c>
      <c r="E393" s="386" t="inlineStr">
        <is>
          <t>Thực tế &gt;&gt; Đối tượng chào bán &gt;&gt; Chào bán riêng lẻ &gt;&gt; Giá trị phát hành cho nhà đầu tư nước ngoài (đồng)</t>
        </is>
      </c>
      <c r="F393" s="386" t="inlineStr">
        <is>
          <t>Data Explorer</t>
        </is>
      </c>
      <c r="G393" s="386" t="inlineStr">
        <is>
          <t>Chỉ tiêu cơ sở</t>
        </is>
      </c>
      <c r="H393" s="386" t="inlineStr">
        <is>
          <t>TB</t>
        </is>
      </c>
      <c r="I393" s="386" t="inlineStr">
        <is>
          <t>Ngày, CTCK</t>
        </is>
      </c>
      <c r="J393" s="395" t="inlineStr">
        <is>
          <t>SCMS</t>
        </is>
      </c>
      <c r="K393" s="395" t="n"/>
      <c r="L393" s="395" t="inlineStr">
        <is>
          <t>X</t>
        </is>
      </c>
      <c r="M393" s="395" t="n"/>
      <c r="N393" s="395" t="inlineStr">
        <is>
          <t>Pending</t>
        </is>
      </c>
      <c r="O393" s="401" t="n"/>
      <c r="P393" s="395" t="n"/>
      <c r="Q393" s="395" t="n"/>
      <c r="R393" s="395" t="n"/>
      <c r="S393" s="395" t="n"/>
      <c r="T393" s="386" t="n"/>
      <c r="U393" s="386" t="n"/>
      <c r="V393" s="395" t="n"/>
      <c r="W393" s="395" t="n"/>
      <c r="X393" s="395" t="n"/>
      <c r="Y393" s="13" t="n"/>
      <c r="Z393" s="395" t="n"/>
      <c r="AA393" s="395" t="n"/>
      <c r="AB393" s="395" t="n"/>
      <c r="AC393" s="395" t="n"/>
      <c r="AD393" s="395" t="n"/>
      <c r="AE393" s="395" t="n"/>
    </row>
    <row r="394" ht="56" customHeight="1" s="380">
      <c r="A394" s="73" t="n">
        <v>43</v>
      </c>
      <c r="B394" s="386" t="n"/>
      <c r="C394" s="386" t="inlineStr">
        <is>
          <t>Chào bán phát hành &gt;&gt; Tổng hợp số liệu chào bán trái phiếu</t>
        </is>
      </c>
      <c r="D394" s="386" t="inlineStr">
        <is>
          <t>Thực tế &gt;&gt; Đối tượng chào bán &gt;&gt; Đối tượng khác &gt;&gt; Đấu giá &gt;&gt; Số lượng</t>
        </is>
      </c>
      <c r="E394" s="386" t="inlineStr">
        <is>
          <t>Thực tế &gt;&gt; Đối tượng chào bán &gt;&gt; Đối tượng khác &gt;&gt; Đấu giá &gt;&gt; Số lượng</t>
        </is>
      </c>
      <c r="F394" s="386" t="inlineStr">
        <is>
          <t>Data Explorer</t>
        </is>
      </c>
      <c r="G394" s="386" t="inlineStr">
        <is>
          <t>Chỉ tiêu cơ sở</t>
        </is>
      </c>
      <c r="H394" s="386" t="inlineStr">
        <is>
          <t>TB</t>
        </is>
      </c>
      <c r="I394" s="386" t="inlineStr">
        <is>
          <t>Ngày, CTCK</t>
        </is>
      </c>
      <c r="J394" s="395" t="inlineStr">
        <is>
          <t>SCMS</t>
        </is>
      </c>
      <c r="K394" s="395" t="n"/>
      <c r="L394" s="395" t="inlineStr">
        <is>
          <t>X</t>
        </is>
      </c>
      <c r="M394" s="395" t="n"/>
      <c r="N394" s="395" t="inlineStr">
        <is>
          <t>Pending</t>
        </is>
      </c>
      <c r="O394" s="401" t="n"/>
      <c r="P394" s="395" t="n"/>
      <c r="Q394" s="395" t="n"/>
      <c r="R394" s="395" t="n"/>
      <c r="S394" s="395" t="n"/>
      <c r="T394" s="386" t="n"/>
      <c r="U394" s="386" t="n"/>
      <c r="V394" s="395" t="n"/>
      <c r="W394" s="395" t="n"/>
      <c r="X394" s="395" t="n"/>
      <c r="Y394" s="13" t="n"/>
      <c r="Z394" s="395" t="n"/>
      <c r="AA394" s="395" t="n"/>
      <c r="AB394" s="395" t="n"/>
      <c r="AC394" s="395" t="n"/>
      <c r="AD394" s="395" t="n"/>
      <c r="AE394" s="395" t="n"/>
    </row>
    <row r="395" ht="56" customHeight="1" s="380">
      <c r="A395" s="73" t="n">
        <v>43</v>
      </c>
      <c r="B395" s="386" t="n"/>
      <c r="C395" s="386" t="inlineStr">
        <is>
          <t>Chào bán phát hành &gt;&gt; Tổng hợp số liệu chào bán trái phiếu</t>
        </is>
      </c>
      <c r="D395" s="386" t="inlineStr">
        <is>
          <t>Thực tế &gt;&gt; Đối tượng chào bán &gt;&gt; Đối tượng khác &gt;&gt; Đấu giá &gt;&gt; Giá bình quân (đồng)</t>
        </is>
      </c>
      <c r="E395" s="386" t="inlineStr">
        <is>
          <t>Thực tế &gt;&gt; Đối tượng chào bán &gt;&gt; Đối tượng khác &gt;&gt; Đấu giá &gt;&gt; Giá bình quân (đồng)</t>
        </is>
      </c>
      <c r="F395" s="386" t="inlineStr">
        <is>
          <t>Data Explorer</t>
        </is>
      </c>
      <c r="G395" s="386" t="inlineStr">
        <is>
          <t>Chỉ tiêu cơ sở</t>
        </is>
      </c>
      <c r="H395" s="386" t="inlineStr">
        <is>
          <t>TB</t>
        </is>
      </c>
      <c r="I395" s="386" t="inlineStr">
        <is>
          <t>Ngày, CTCK</t>
        </is>
      </c>
      <c r="J395" s="395" t="inlineStr">
        <is>
          <t>SCMS</t>
        </is>
      </c>
      <c r="K395" s="395" t="n"/>
      <c r="L395" s="395" t="inlineStr">
        <is>
          <t>X</t>
        </is>
      </c>
      <c r="M395" s="395" t="n"/>
      <c r="N395" s="395" t="inlineStr">
        <is>
          <t>Pending</t>
        </is>
      </c>
      <c r="O395" s="401" t="n"/>
      <c r="P395" s="395" t="n"/>
      <c r="Q395" s="395" t="n"/>
      <c r="R395" s="395" t="n"/>
      <c r="S395" s="395" t="n"/>
      <c r="T395" s="386" t="n"/>
      <c r="U395" s="386" t="n"/>
      <c r="V395" s="395" t="n"/>
      <c r="W395" s="395" t="n"/>
      <c r="X395" s="395" t="n"/>
      <c r="Y395" s="38" t="n"/>
      <c r="Z395" s="395" t="n"/>
      <c r="AA395" s="395" t="n"/>
      <c r="AB395" s="395" t="n"/>
      <c r="AC395" s="395" t="n"/>
      <c r="AD395" s="395" t="n"/>
      <c r="AE395" s="395" t="n"/>
    </row>
    <row r="396" ht="56" customHeight="1" s="380">
      <c r="A396" s="73" t="n">
        <v>43</v>
      </c>
      <c r="B396" s="386" t="n"/>
      <c r="C396" s="386" t="inlineStr">
        <is>
          <t>Chào bán phát hành &gt;&gt; Tổng hợp số liệu chào bán trái phiếu</t>
        </is>
      </c>
      <c r="D396" s="386" t="inlineStr">
        <is>
          <t>Thực tế &gt;&gt; Đối tượng chào bán &gt;&gt; Đối tượng khác &gt;&gt; Đấu giá &gt;&gt; Giá trị (đồng)</t>
        </is>
      </c>
      <c r="E396" s="386" t="inlineStr">
        <is>
          <t>Thực tế &gt;&gt; Đối tượng chào bán &gt;&gt; Đối tượng khác &gt;&gt; Đấu giá &gt;&gt; Giá trị (đồng)</t>
        </is>
      </c>
      <c r="F396" s="386" t="inlineStr">
        <is>
          <t>Data Explorer</t>
        </is>
      </c>
      <c r="G396" s="386" t="inlineStr">
        <is>
          <t>Chỉ tiêu cơ sở</t>
        </is>
      </c>
      <c r="H396" s="386" t="inlineStr">
        <is>
          <t>TB</t>
        </is>
      </c>
      <c r="I396" s="386" t="inlineStr">
        <is>
          <t>Ngày, CTCK</t>
        </is>
      </c>
      <c r="J396" s="395" t="inlineStr">
        <is>
          <t>SCMS</t>
        </is>
      </c>
      <c r="K396" s="395" t="n"/>
      <c r="L396" s="395" t="inlineStr">
        <is>
          <t>X</t>
        </is>
      </c>
      <c r="M396" s="395" t="n"/>
      <c r="N396" s="395" t="inlineStr">
        <is>
          <t>Pending</t>
        </is>
      </c>
      <c r="O396" s="401" t="n"/>
      <c r="P396" s="395" t="n"/>
      <c r="Q396" s="395" t="n"/>
      <c r="R396" s="395" t="n"/>
      <c r="S396" s="395" t="n"/>
      <c r="T396" s="386" t="n"/>
      <c r="U396" s="386" t="n"/>
      <c r="V396" s="395" t="n"/>
      <c r="W396" s="395" t="n"/>
      <c r="X396" s="395" t="n"/>
      <c r="Y396" s="13" t="n"/>
      <c r="Z396" s="395" t="n"/>
      <c r="AA396" s="395" t="n"/>
      <c r="AB396" s="395" t="n"/>
      <c r="AC396" s="395" t="n"/>
      <c r="AD396" s="395" t="n"/>
      <c r="AE396" s="395" t="n"/>
    </row>
    <row r="397" ht="70" customHeight="1" s="380">
      <c r="A397" s="73" t="n">
        <v>43</v>
      </c>
      <c r="B397" s="386" t="n"/>
      <c r="C397" s="386" t="inlineStr">
        <is>
          <t>Chào bán phát hành &gt;&gt; Tổng hợp số liệu chào bán trái phiếu</t>
        </is>
      </c>
      <c r="D397" s="386" t="inlineStr">
        <is>
          <t>Thực tế &gt;&gt; Đối tượng chào bán &gt;&gt; Đối tượng khác &gt;&gt; Đấu giá &gt;&gt; Số lượng nhà đầu tư nước ngoài tham gia</t>
        </is>
      </c>
      <c r="E397" s="386" t="inlineStr">
        <is>
          <t>Thực tế &gt;&gt; Đối tượng chào bán &gt;&gt; Đối tượng khác &gt;&gt; Đấu giá &gt;&gt; Số lượng nhà đầu tư nước ngoài tham gia</t>
        </is>
      </c>
      <c r="F397" s="386" t="inlineStr">
        <is>
          <t>Data Explorer</t>
        </is>
      </c>
      <c r="G397" s="386" t="inlineStr">
        <is>
          <t>Chỉ tiêu cơ sở</t>
        </is>
      </c>
      <c r="H397" s="386" t="inlineStr">
        <is>
          <t>TB</t>
        </is>
      </c>
      <c r="I397" s="386" t="inlineStr">
        <is>
          <t>Ngày, CTCK</t>
        </is>
      </c>
      <c r="J397" s="395" t="inlineStr">
        <is>
          <t>SCMS</t>
        </is>
      </c>
      <c r="K397" s="395" t="n"/>
      <c r="L397" s="395" t="inlineStr">
        <is>
          <t>X</t>
        </is>
      </c>
      <c r="M397" s="395" t="n"/>
      <c r="N397" s="395" t="inlineStr">
        <is>
          <t>Pending</t>
        </is>
      </c>
      <c r="O397" s="401" t="n"/>
      <c r="P397" s="395" t="n"/>
      <c r="Q397" s="395" t="n"/>
      <c r="R397" s="395" t="n"/>
      <c r="S397" s="395" t="n"/>
      <c r="T397" s="386" t="n"/>
      <c r="U397" s="386" t="n"/>
      <c r="V397" s="395" t="n"/>
      <c r="W397" s="395" t="n"/>
      <c r="X397" s="395" t="n"/>
      <c r="Y397" s="13" t="n"/>
      <c r="Z397" s="395" t="n"/>
      <c r="AA397" s="395" t="n"/>
      <c r="AB397" s="395" t="n"/>
      <c r="AC397" s="395" t="n"/>
      <c r="AD397" s="395" t="n"/>
      <c r="AE397" s="395" t="n"/>
    </row>
    <row r="398" ht="70" customHeight="1" s="380">
      <c r="A398" s="73" t="n">
        <v>43</v>
      </c>
      <c r="B398" s="386" t="n"/>
      <c r="C398" s="386" t="inlineStr">
        <is>
          <t>Chào bán phát hành &gt;&gt; Tổng hợp số liệu chào bán trái phiếu</t>
        </is>
      </c>
      <c r="D398" s="386" t="inlineStr">
        <is>
          <t>Thực tế &gt;&gt; Đối tượng chào bán &gt;&gt; Đối tượng khác &gt;&gt; Đấu giá &gt;&gt; Giá trị phát hành cho nhà đầu tư nước ngoài (đồng)</t>
        </is>
      </c>
      <c r="E398" s="386" t="inlineStr">
        <is>
          <t>Thực tế &gt;&gt; Đối tượng chào bán &gt;&gt; Đối tượng khác &gt;&gt; Đấu giá &gt;&gt; Giá trị phát hành cho nhà đầu tư nước ngoài (đồng)</t>
        </is>
      </c>
      <c r="F398" s="386" t="inlineStr">
        <is>
          <t>Data Explorer</t>
        </is>
      </c>
      <c r="G398" s="386" t="inlineStr">
        <is>
          <t>Chỉ tiêu cơ sở</t>
        </is>
      </c>
      <c r="H398" s="386" t="inlineStr">
        <is>
          <t>TB</t>
        </is>
      </c>
      <c r="I398" s="386" t="inlineStr">
        <is>
          <t>Ngày, CTCK</t>
        </is>
      </c>
      <c r="J398" s="395" t="inlineStr">
        <is>
          <t>SCMS</t>
        </is>
      </c>
      <c r="K398" s="395" t="n"/>
      <c r="L398" s="395" t="inlineStr">
        <is>
          <t>X</t>
        </is>
      </c>
      <c r="M398" s="395" t="n"/>
      <c r="N398" s="395" t="inlineStr">
        <is>
          <t>Pending</t>
        </is>
      </c>
      <c r="O398" s="401" t="n"/>
      <c r="P398" s="395" t="n"/>
      <c r="Q398" s="395" t="n"/>
      <c r="R398" s="395" t="n"/>
      <c r="S398" s="395" t="n"/>
      <c r="T398" s="386" t="n"/>
      <c r="U398" s="386" t="n"/>
      <c r="V398" s="395" t="n"/>
      <c r="W398" s="395" t="n"/>
      <c r="X398" s="395" t="n"/>
      <c r="Y398" s="13" t="n"/>
      <c r="Z398" s="395" t="n"/>
      <c r="AA398" s="395" t="n"/>
      <c r="AB398" s="395" t="n"/>
      <c r="AC398" s="395" t="n"/>
      <c r="AD398" s="395" t="n"/>
      <c r="AE398" s="395" t="n"/>
    </row>
    <row r="399" ht="56" customHeight="1" s="380">
      <c r="A399" s="73" t="n">
        <v>43</v>
      </c>
      <c r="B399" s="386" t="n"/>
      <c r="C399" s="386" t="inlineStr">
        <is>
          <t>Chào bán phát hành &gt;&gt; Tổng hợp số liệu chào bán trái phiếu</t>
        </is>
      </c>
      <c r="D399" s="386" t="inlineStr">
        <is>
          <t>Thực tế &gt;&gt; Đối tượng chào bán &gt;&gt; Đối tượng khác &gt;&gt; Khác &gt;&gt; Số lượng</t>
        </is>
      </c>
      <c r="E399" s="386" t="inlineStr">
        <is>
          <t>Thực tế &gt;&gt; Đối tượng chào bán &gt;&gt; Đối tượng khác &gt;&gt; Khác &gt;&gt; Số lượng</t>
        </is>
      </c>
      <c r="F399" s="386" t="inlineStr">
        <is>
          <t>Data Explorer</t>
        </is>
      </c>
      <c r="G399" s="386" t="inlineStr">
        <is>
          <t>Chỉ tiêu cơ sở</t>
        </is>
      </c>
      <c r="H399" s="386" t="inlineStr">
        <is>
          <t>TB</t>
        </is>
      </c>
      <c r="I399" s="386" t="inlineStr">
        <is>
          <t>Ngày, CTCK</t>
        </is>
      </c>
      <c r="J399" s="395" t="inlineStr">
        <is>
          <t>SCMS</t>
        </is>
      </c>
      <c r="K399" s="395" t="n"/>
      <c r="L399" s="395" t="inlineStr">
        <is>
          <t>X</t>
        </is>
      </c>
      <c r="M399" s="395" t="n"/>
      <c r="N399" s="395" t="inlineStr">
        <is>
          <t>Pending</t>
        </is>
      </c>
      <c r="O399" s="401" t="n"/>
      <c r="P399" s="395" t="n"/>
      <c r="Q399" s="395" t="n"/>
      <c r="R399" s="395" t="n"/>
      <c r="S399" s="395" t="n"/>
      <c r="T399" s="386" t="n"/>
      <c r="U399" s="386" t="n"/>
      <c r="V399" s="395" t="n"/>
      <c r="W399" s="395" t="n"/>
      <c r="X399" s="395" t="n"/>
      <c r="Y399" s="13" t="n"/>
      <c r="Z399" s="395" t="n"/>
      <c r="AA399" s="395" t="n"/>
      <c r="AB399" s="395" t="n"/>
      <c r="AC399" s="395" t="n"/>
      <c r="AD399" s="395" t="n"/>
      <c r="AE399" s="395" t="n"/>
    </row>
    <row r="400" ht="56" customHeight="1" s="380">
      <c r="A400" s="73" t="n">
        <v>43</v>
      </c>
      <c r="B400" s="386" t="n"/>
      <c r="C400" s="386" t="inlineStr">
        <is>
          <t>Chào bán phát hành &gt;&gt; Tổng hợp số liệu chào bán trái phiếu</t>
        </is>
      </c>
      <c r="D400" s="386" t="inlineStr">
        <is>
          <t>Thực tế &gt;&gt; Đối tượng chào bán &gt;&gt; Đối tượng khác &gt;&gt; Khác &gt;&gt; Giá (đồng)</t>
        </is>
      </c>
      <c r="E400" s="386" t="inlineStr">
        <is>
          <t>Thực tế &gt;&gt; Đối tượng chào bán &gt;&gt; Đối tượng khác &gt;&gt; Khác &gt;&gt; Giá (đồng)</t>
        </is>
      </c>
      <c r="F400" s="386" t="inlineStr">
        <is>
          <t>Data Explorer</t>
        </is>
      </c>
      <c r="G400" s="386" t="inlineStr">
        <is>
          <t>Chỉ tiêu cơ sở</t>
        </is>
      </c>
      <c r="H400" s="386" t="inlineStr">
        <is>
          <t>TB</t>
        </is>
      </c>
      <c r="I400" s="386" t="inlineStr">
        <is>
          <t>Ngày, CTCK</t>
        </is>
      </c>
      <c r="J400" s="395" t="inlineStr">
        <is>
          <t>SCMS</t>
        </is>
      </c>
      <c r="K400" s="395" t="n"/>
      <c r="L400" s="395" t="inlineStr">
        <is>
          <t>X</t>
        </is>
      </c>
      <c r="M400" s="395" t="n"/>
      <c r="N400" s="395" t="inlineStr">
        <is>
          <t>Pending</t>
        </is>
      </c>
      <c r="O400" s="401" t="n"/>
      <c r="P400" s="395" t="n"/>
      <c r="Q400" s="395" t="n"/>
      <c r="R400" s="395" t="n"/>
      <c r="S400" s="395" t="n"/>
      <c r="T400" s="386" t="n"/>
      <c r="U400" s="386" t="n"/>
      <c r="V400" s="395" t="n"/>
      <c r="W400" s="395" t="n"/>
      <c r="X400" s="395" t="n"/>
      <c r="Y400" s="13" t="n"/>
      <c r="Z400" s="395" t="n"/>
      <c r="AA400" s="395" t="n"/>
      <c r="AB400" s="395" t="n"/>
      <c r="AC400" s="395" t="n"/>
      <c r="AD400" s="395" t="n"/>
      <c r="AE400" s="395" t="n"/>
    </row>
    <row r="401" ht="56" customHeight="1" s="380">
      <c r="A401" s="73" t="n">
        <v>43</v>
      </c>
      <c r="B401" s="386" t="n"/>
      <c r="C401" s="386" t="inlineStr">
        <is>
          <t>Chào bán phát hành &gt;&gt; Tổng hợp số liệu chào bán trái phiếu</t>
        </is>
      </c>
      <c r="D401" s="386" t="inlineStr">
        <is>
          <t>Thực tế &gt;&gt; Đối tượng chào bán &gt;&gt; Đối tượng khác &gt;&gt; Khác &gt;&gt; Giá trị (đồng)</t>
        </is>
      </c>
      <c r="E401" s="386" t="inlineStr">
        <is>
          <t>Thực tế &gt;&gt; Đối tượng chào bán &gt;&gt; Đối tượng khác &gt;&gt; Khác &gt;&gt; Giá trị (đồng)</t>
        </is>
      </c>
      <c r="F401" s="386" t="inlineStr">
        <is>
          <t>Data Explorer</t>
        </is>
      </c>
      <c r="G401" s="386" t="inlineStr">
        <is>
          <t>Chỉ tiêu cơ sở</t>
        </is>
      </c>
      <c r="H401" s="386" t="inlineStr">
        <is>
          <t>TB</t>
        </is>
      </c>
      <c r="I401" s="386" t="inlineStr">
        <is>
          <t>Ngày, CTCK</t>
        </is>
      </c>
      <c r="J401" s="395" t="inlineStr">
        <is>
          <t>SCMS</t>
        </is>
      </c>
      <c r="K401" s="395" t="n"/>
      <c r="L401" s="395" t="inlineStr">
        <is>
          <t>X</t>
        </is>
      </c>
      <c r="M401" s="395" t="n"/>
      <c r="N401" s="395" t="inlineStr">
        <is>
          <t>Pending</t>
        </is>
      </c>
      <c r="O401" s="401" t="n"/>
      <c r="P401" s="395" t="n"/>
      <c r="Q401" s="395" t="n"/>
      <c r="R401" s="395" t="n"/>
      <c r="S401" s="395" t="n"/>
      <c r="T401" s="386" t="n"/>
      <c r="U401" s="386" t="n"/>
      <c r="V401" s="395" t="n"/>
      <c r="W401" s="395" t="n"/>
      <c r="X401" s="395" t="n"/>
      <c r="Y401" s="14" t="n"/>
      <c r="Z401" s="395" t="n"/>
      <c r="AA401" s="395" t="n"/>
      <c r="AB401" s="395" t="n"/>
      <c r="AC401" s="395" t="n"/>
      <c r="AD401" s="395" t="n"/>
      <c r="AE401" s="395" t="n"/>
    </row>
    <row r="402" ht="70" customHeight="1" s="380">
      <c r="A402" s="73" t="n">
        <v>43</v>
      </c>
      <c r="B402" s="386" t="n"/>
      <c r="C402" s="386" t="inlineStr">
        <is>
          <t>Chào bán phát hành &gt;&gt; Tổng hợp số liệu chào bán trái phiếu</t>
        </is>
      </c>
      <c r="D402" s="386" t="inlineStr">
        <is>
          <t>Thực tế &gt;&gt; Đối tượng chào bán &gt;&gt; Đối tượng khác &gt;&gt; Khác &gt;&gt; Số lượng nhà đầu tư nước ngoài tham gia</t>
        </is>
      </c>
      <c r="E402" s="386" t="inlineStr">
        <is>
          <t>Thực tế &gt;&gt; Đối tượng chào bán &gt;&gt; Đối tượng khác &gt;&gt; Khác &gt;&gt; Số lượng nhà đầu tư nước ngoài tham gia</t>
        </is>
      </c>
      <c r="F402" s="386" t="inlineStr">
        <is>
          <t>Data Explorer</t>
        </is>
      </c>
      <c r="G402" s="386" t="inlineStr">
        <is>
          <t>Chỉ tiêu cơ sở</t>
        </is>
      </c>
      <c r="H402" s="386" t="inlineStr">
        <is>
          <t>TB</t>
        </is>
      </c>
      <c r="I402" s="386" t="inlineStr">
        <is>
          <t>Ngày, CTCK</t>
        </is>
      </c>
      <c r="J402" s="395" t="inlineStr">
        <is>
          <t>SCMS</t>
        </is>
      </c>
      <c r="K402" s="395" t="n"/>
      <c r="L402" s="395" t="inlineStr">
        <is>
          <t>X</t>
        </is>
      </c>
      <c r="M402" s="395" t="n"/>
      <c r="N402" s="395" t="inlineStr">
        <is>
          <t>Pending</t>
        </is>
      </c>
      <c r="O402" s="401" t="n"/>
      <c r="P402" s="395" t="n"/>
      <c r="Q402" s="395" t="n"/>
      <c r="R402" s="395" t="n"/>
      <c r="S402" s="395" t="n"/>
      <c r="T402" s="386" t="n"/>
      <c r="U402" s="386" t="n"/>
      <c r="V402" s="395" t="n"/>
      <c r="W402" s="395" t="n"/>
      <c r="X402" s="395" t="n"/>
      <c r="Y402" s="13" t="n"/>
      <c r="Z402" s="395" t="n"/>
      <c r="AA402" s="395" t="n"/>
      <c r="AB402" s="395" t="n"/>
      <c r="AC402" s="395" t="n"/>
      <c r="AD402" s="395" t="n"/>
      <c r="AE402" s="395" t="n"/>
    </row>
    <row r="403" ht="70" customHeight="1" s="380">
      <c r="A403" s="73" t="n">
        <v>43</v>
      </c>
      <c r="B403" s="386" t="n"/>
      <c r="C403" s="386" t="inlineStr">
        <is>
          <t>Chào bán phát hành &gt;&gt; Tổng hợp số liệu chào bán trái phiếu</t>
        </is>
      </c>
      <c r="D403" s="386" t="inlineStr">
        <is>
          <t>Thực tế &gt;&gt; Đối tượng chào bán &gt;&gt; Đối tượng khác &gt;&gt; Khác &gt;&gt; Giá trị phát hành cho nhà đầu tư nước ngoài (đồng)</t>
        </is>
      </c>
      <c r="E403" s="386" t="inlineStr">
        <is>
          <t>Thực tế &gt;&gt; Đối tượng chào bán &gt;&gt; Đối tượng khác &gt;&gt; Khác &gt;&gt; Giá trị phát hành cho nhà đầu tư nước ngoài (đồng)</t>
        </is>
      </c>
      <c r="F403" s="386" t="inlineStr">
        <is>
          <t>Data Explorer</t>
        </is>
      </c>
      <c r="G403" s="386" t="inlineStr">
        <is>
          <t>Chỉ tiêu cơ sở</t>
        </is>
      </c>
      <c r="H403" s="386" t="inlineStr">
        <is>
          <t>TB</t>
        </is>
      </c>
      <c r="I403" s="386" t="inlineStr">
        <is>
          <t>Ngày, CTCK</t>
        </is>
      </c>
      <c r="J403" s="395" t="inlineStr">
        <is>
          <t>SCMS</t>
        </is>
      </c>
      <c r="K403" s="395" t="n"/>
      <c r="L403" s="395" t="inlineStr">
        <is>
          <t>X</t>
        </is>
      </c>
      <c r="M403" s="395" t="n"/>
      <c r="N403" s="395" t="inlineStr">
        <is>
          <t>Pending</t>
        </is>
      </c>
      <c r="O403" s="401" t="n"/>
      <c r="P403" s="395" t="n"/>
      <c r="Q403" s="395" t="n"/>
      <c r="R403" s="395" t="n"/>
      <c r="S403" s="395" t="n"/>
      <c r="T403" s="386" t="n"/>
      <c r="U403" s="386" t="n"/>
      <c r="V403" s="395" t="n"/>
      <c r="W403" s="395" t="n"/>
      <c r="X403" s="395" t="n"/>
      <c r="Y403" s="13" t="n"/>
      <c r="Z403" s="395" t="n"/>
      <c r="AA403" s="395" t="n"/>
      <c r="AB403" s="395" t="n"/>
      <c r="AC403" s="395" t="n"/>
      <c r="AD403" s="395" t="n"/>
      <c r="AE403" s="395" t="n"/>
    </row>
    <row r="404" ht="56" customHeight="1" s="380">
      <c r="A404" s="73" t="n">
        <v>43</v>
      </c>
      <c r="B404" s="386" t="n"/>
      <c r="C404" s="386" t="inlineStr">
        <is>
          <t>Chào bán phát hành &gt;&gt; Tổng hợp số liệu chào bán trái phiếu</t>
        </is>
      </c>
      <c r="D404" s="386" t="inlineStr">
        <is>
          <t>Thực tế &gt;&gt; Đối tượng chào bán &gt;&gt; Phát hành trái phiếu ra thị trường quốc tế &gt;&gt; Số lượng</t>
        </is>
      </c>
      <c r="E404" s="386" t="inlineStr">
        <is>
          <t>Thực tế &gt;&gt; Đối tượng chào bán &gt;&gt; Phát hành trái phiếu ra thị trường quốc tế &gt;&gt; Số lượng</t>
        </is>
      </c>
      <c r="F404" s="386" t="inlineStr">
        <is>
          <t>Data Explorer</t>
        </is>
      </c>
      <c r="G404" s="386" t="inlineStr">
        <is>
          <t>Chỉ tiêu cơ sở</t>
        </is>
      </c>
      <c r="H404" s="386" t="inlineStr">
        <is>
          <t>TB</t>
        </is>
      </c>
      <c r="I404" s="386" t="inlineStr">
        <is>
          <t>Ngày, CTCK</t>
        </is>
      </c>
      <c r="J404" s="395" t="inlineStr">
        <is>
          <t>SCMS</t>
        </is>
      </c>
      <c r="K404" s="395" t="n"/>
      <c r="L404" s="395" t="inlineStr">
        <is>
          <t>X</t>
        </is>
      </c>
      <c r="M404" s="395" t="n"/>
      <c r="N404" s="395" t="inlineStr">
        <is>
          <t>Pending</t>
        </is>
      </c>
      <c r="O404" s="401" t="n"/>
      <c r="P404" s="395" t="n"/>
      <c r="Q404" s="395" t="n"/>
      <c r="R404" s="395" t="n"/>
      <c r="S404" s="395" t="n"/>
      <c r="T404" s="386" t="n"/>
      <c r="U404" s="386" t="n"/>
      <c r="V404" s="395" t="n"/>
      <c r="W404" s="395" t="n"/>
      <c r="X404" s="395" t="n"/>
      <c r="Y404" s="13" t="n"/>
      <c r="Z404" s="395" t="n"/>
      <c r="AA404" s="395" t="n"/>
      <c r="AB404" s="395" t="n"/>
      <c r="AC404" s="395" t="n"/>
      <c r="AD404" s="395" t="n"/>
      <c r="AE404" s="395" t="n"/>
    </row>
    <row r="405" ht="56" customHeight="1" s="380">
      <c r="A405" s="73" t="n">
        <v>43</v>
      </c>
      <c r="B405" s="386" t="n"/>
      <c r="C405" s="386" t="inlineStr">
        <is>
          <t>Chào bán phát hành &gt;&gt; Tổng hợp số liệu chào bán trái phiếu</t>
        </is>
      </c>
      <c r="D405" s="386" t="inlineStr">
        <is>
          <t>Thực tế &gt;&gt; Đối tượng chào bán &gt;&gt; Phát hành trái phiếu ra thị trường quốc tế &gt;&gt; Giá (đồng)</t>
        </is>
      </c>
      <c r="E405" s="386" t="inlineStr">
        <is>
          <t>Thực tế &gt;&gt; Đối tượng chào bán &gt;&gt; Phát hành trái phiếu ra thị trường quốc tế &gt;&gt; Giá (đồng)</t>
        </is>
      </c>
      <c r="F405" s="386" t="inlineStr">
        <is>
          <t>Data Explorer</t>
        </is>
      </c>
      <c r="G405" s="386" t="inlineStr">
        <is>
          <t>Chỉ tiêu cơ sở</t>
        </is>
      </c>
      <c r="H405" s="386" t="inlineStr">
        <is>
          <t>TB</t>
        </is>
      </c>
      <c r="I405" s="386" t="inlineStr">
        <is>
          <t>Ngày, CTCK</t>
        </is>
      </c>
      <c r="J405" s="395" t="inlineStr">
        <is>
          <t>SCMS</t>
        </is>
      </c>
      <c r="K405" s="395" t="n"/>
      <c r="L405" s="395" t="inlineStr">
        <is>
          <t>X</t>
        </is>
      </c>
      <c r="M405" s="395" t="n"/>
      <c r="N405" s="395" t="inlineStr">
        <is>
          <t>Pending</t>
        </is>
      </c>
      <c r="O405" s="401" t="n"/>
      <c r="P405" s="395" t="n"/>
      <c r="Q405" s="395" t="n"/>
      <c r="R405" s="395" t="n"/>
      <c r="S405" s="395" t="n"/>
      <c r="T405" s="386" t="n"/>
      <c r="U405" s="386" t="n"/>
      <c r="V405" s="395" t="n"/>
      <c r="W405" s="395" t="n"/>
      <c r="X405" s="395" t="n"/>
      <c r="Y405" s="13" t="n"/>
      <c r="Z405" s="395" t="n"/>
      <c r="AA405" s="395" t="n"/>
      <c r="AB405" s="395" t="n"/>
      <c r="AC405" s="395" t="n"/>
      <c r="AD405" s="395" t="n"/>
      <c r="AE405" s="395" t="n"/>
    </row>
    <row r="406" ht="56" customHeight="1" s="380">
      <c r="A406" s="73" t="n">
        <v>43</v>
      </c>
      <c r="B406" s="386" t="n"/>
      <c r="C406" s="386" t="inlineStr">
        <is>
          <t>Chào bán phát hành &gt;&gt; Tổng hợp số liệu chào bán trái phiếu</t>
        </is>
      </c>
      <c r="D406" s="386" t="inlineStr">
        <is>
          <t>Thực tế &gt;&gt; Đối tượng chào bán &gt;&gt; Phát hành trái phiếu ra thị trường quốc tế &gt;&gt; Giá trị (đồng)</t>
        </is>
      </c>
      <c r="E406" s="386" t="inlineStr">
        <is>
          <t>Thực tế &gt;&gt; Đối tượng chào bán &gt;&gt; Phát hành trái phiếu ra thị trường quốc tế &gt;&gt; Giá trị (đồng)</t>
        </is>
      </c>
      <c r="F406" s="386" t="inlineStr">
        <is>
          <t>Data Explorer</t>
        </is>
      </c>
      <c r="G406" s="386" t="inlineStr">
        <is>
          <t>Chỉ tiêu cơ sở</t>
        </is>
      </c>
      <c r="H406" s="386" t="inlineStr">
        <is>
          <t>TB</t>
        </is>
      </c>
      <c r="I406" s="386" t="inlineStr">
        <is>
          <t>Ngày, CTCK</t>
        </is>
      </c>
      <c r="J406" s="395" t="inlineStr">
        <is>
          <t>SCMS</t>
        </is>
      </c>
      <c r="K406" s="395" t="n"/>
      <c r="L406" s="395" t="inlineStr">
        <is>
          <t>X</t>
        </is>
      </c>
      <c r="M406" s="395" t="n"/>
      <c r="N406" s="395" t="inlineStr">
        <is>
          <t>Pending</t>
        </is>
      </c>
      <c r="O406" s="401" t="n"/>
      <c r="P406" s="395" t="n"/>
      <c r="Q406" s="395" t="n"/>
      <c r="R406" s="395" t="n"/>
      <c r="S406" s="395" t="n"/>
      <c r="T406" s="386" t="n"/>
      <c r="U406" s="386" t="n"/>
      <c r="V406" s="395" t="n"/>
      <c r="W406" s="395" t="n"/>
      <c r="X406" s="395" t="n"/>
      <c r="Y406" s="13" t="n"/>
      <c r="Z406" s="395" t="n"/>
      <c r="AA406" s="395" t="n"/>
      <c r="AB406" s="395" t="n"/>
      <c r="AC406" s="395" t="n"/>
      <c r="AD406" s="395" t="n"/>
      <c r="AE406" s="395" t="n"/>
    </row>
    <row r="407" ht="42" customHeight="1" s="380">
      <c r="A407" s="73" t="n">
        <v>43</v>
      </c>
      <c r="B407" s="386" t="n"/>
      <c r="C407" s="386" t="inlineStr">
        <is>
          <t>Chào bán phát hành &gt;&gt; Tổng hợp số liệu chào bán trái phiếu</t>
        </is>
      </c>
      <c r="D407" s="386" t="inlineStr">
        <is>
          <t>Công ty thực hiện bảo lãnh</t>
        </is>
      </c>
      <c r="E407" s="395" t="inlineStr">
        <is>
          <t>Công ty thực hiện bảo lãnh</t>
        </is>
      </c>
      <c r="F407" s="386" t="inlineStr">
        <is>
          <t>Data Explorer</t>
        </is>
      </c>
      <c r="G407" s="386" t="inlineStr">
        <is>
          <t>Chỉ tiêu cơ sở</t>
        </is>
      </c>
      <c r="H407" s="386" t="inlineStr">
        <is>
          <t>TB</t>
        </is>
      </c>
      <c r="I407" s="386" t="inlineStr">
        <is>
          <t>Ngày, CTCK</t>
        </is>
      </c>
      <c r="J407" s="395" t="inlineStr">
        <is>
          <t>SCMS</t>
        </is>
      </c>
      <c r="K407" s="395" t="n"/>
      <c r="L407" s="395" t="inlineStr">
        <is>
          <t>X</t>
        </is>
      </c>
      <c r="M407" s="395" t="n"/>
      <c r="N407" s="395" t="inlineStr">
        <is>
          <t>Pending</t>
        </is>
      </c>
      <c r="O407" s="401" t="n"/>
      <c r="P407" s="395" t="n"/>
      <c r="Q407" s="395" t="n"/>
      <c r="R407" s="395" t="n"/>
      <c r="S407" s="395" t="n"/>
      <c r="T407" s="386" t="n"/>
      <c r="U407" s="386" t="n"/>
      <c r="V407" s="395" t="n"/>
      <c r="W407" s="395" t="n"/>
      <c r="X407" s="395" t="n"/>
      <c r="Y407" s="38" t="n"/>
      <c r="Z407" s="395" t="n"/>
      <c r="AA407" s="395" t="n"/>
      <c r="AB407" s="395" t="n"/>
      <c r="AC407" s="395" t="n"/>
      <c r="AD407" s="395" t="n"/>
      <c r="AE407" s="395" t="n"/>
    </row>
    <row r="408" ht="42" customHeight="1" s="380">
      <c r="A408" s="73" t="n">
        <v>43</v>
      </c>
      <c r="B408" s="386" t="n"/>
      <c r="C408" s="386" t="inlineStr">
        <is>
          <t>Chào bán phát hành &gt;&gt; Tổng hợp số liệu chào bán trái phiếu</t>
        </is>
      </c>
      <c r="D408" s="386" t="inlineStr">
        <is>
          <t>Tổng số lượng chứng khoán chào bán</t>
        </is>
      </c>
      <c r="E408" s="395" t="inlineStr">
        <is>
          <t>Tổng số lượng chứng khoán chào bán</t>
        </is>
      </c>
      <c r="F408" s="386" t="inlineStr">
        <is>
          <t>Data Explorer</t>
        </is>
      </c>
      <c r="G408" s="386" t="inlineStr">
        <is>
          <t>Chỉ tiêu cơ sở</t>
        </is>
      </c>
      <c r="H408" s="386" t="inlineStr">
        <is>
          <t>TB</t>
        </is>
      </c>
      <c r="I408" s="386" t="inlineStr">
        <is>
          <t>Ngày, CTCK</t>
        </is>
      </c>
      <c r="J408" s="395" t="inlineStr">
        <is>
          <t>SCMS</t>
        </is>
      </c>
      <c r="K408" s="395" t="n"/>
      <c r="L408" s="395" t="inlineStr">
        <is>
          <t>X</t>
        </is>
      </c>
      <c r="M408" s="395" t="n"/>
      <c r="N408" s="395" t="inlineStr">
        <is>
          <t>Pending</t>
        </is>
      </c>
      <c r="O408" s="401" t="n"/>
      <c r="P408" s="395" t="n"/>
      <c r="Q408" s="395" t="n"/>
      <c r="R408" s="395" t="n"/>
      <c r="S408" s="395" t="n"/>
      <c r="T408" s="386" t="n"/>
      <c r="U408" s="386" t="n"/>
      <c r="V408" s="395" t="n"/>
      <c r="W408" s="395" t="n"/>
      <c r="X408" s="395" t="n"/>
      <c r="Y408" s="13" t="n"/>
      <c r="Z408" s="395" t="n"/>
      <c r="AA408" s="395" t="n"/>
      <c r="AB408" s="395" t="n"/>
      <c r="AC408" s="395" t="n"/>
      <c r="AD408" s="395" t="n"/>
      <c r="AE408" s="395" t="n"/>
    </row>
    <row r="409" ht="56" customHeight="1" s="380">
      <c r="A409" s="73" t="n">
        <v>43</v>
      </c>
      <c r="B409" s="386" t="n"/>
      <c r="C409" s="386" t="inlineStr">
        <is>
          <t>Chào bán phát hành &gt;&gt; Tổng hợp số liệu chào bán trái phiếu</t>
        </is>
      </c>
      <c r="D409" s="386" t="inlineStr">
        <is>
          <t>Mục đích sử dụng vốn
(Đối với doanh nghiệp không phải là công ty chứng khoán)</t>
        </is>
      </c>
      <c r="E409" s="386" t="inlineStr">
        <is>
          <t>Mục đích sử dụng vốn
(Đối với doanh nghiệp không phải là công ty chứng khoán)</t>
        </is>
      </c>
      <c r="F409" s="386" t="inlineStr">
        <is>
          <t>Data Explorer</t>
        </is>
      </c>
      <c r="G409" s="386" t="inlineStr">
        <is>
          <t>Chỉ tiêu cơ sở</t>
        </is>
      </c>
      <c r="H409" s="386" t="inlineStr">
        <is>
          <t>TB</t>
        </is>
      </c>
      <c r="I409" s="386" t="inlineStr">
        <is>
          <t>Ngày, CTCK</t>
        </is>
      </c>
      <c r="J409" s="395" t="inlineStr">
        <is>
          <t>SCMS</t>
        </is>
      </c>
      <c r="K409" s="395" t="n"/>
      <c r="L409" s="395" t="inlineStr">
        <is>
          <t>X</t>
        </is>
      </c>
      <c r="M409" s="395" t="n"/>
      <c r="N409" s="395" t="inlineStr">
        <is>
          <t>Pending</t>
        </is>
      </c>
      <c r="O409" s="401" t="n"/>
      <c r="P409" s="395" t="n"/>
      <c r="Q409" s="395" t="n"/>
      <c r="R409" s="395" t="n"/>
      <c r="S409" s="395" t="n"/>
      <c r="T409" s="386" t="n"/>
      <c r="U409" s="386" t="n"/>
      <c r="V409" s="395" t="n"/>
      <c r="W409" s="395" t="n"/>
      <c r="X409" s="395" t="n"/>
      <c r="Y409" s="13" t="n"/>
      <c r="Z409" s="395" t="n"/>
      <c r="AA409" s="395" t="n"/>
      <c r="AB409" s="395" t="n"/>
      <c r="AC409" s="395" t="n"/>
      <c r="AD409" s="395" t="n"/>
      <c r="AE409" s="395" t="n"/>
    </row>
    <row r="410" ht="42" customHeight="1" s="380">
      <c r="A410" s="73" t="n">
        <v>43</v>
      </c>
      <c r="B410" s="386" t="n"/>
      <c r="C410" s="386" t="inlineStr">
        <is>
          <t>Chào bán phát hành &gt;&gt; Tổng hợp số liệu chào bán trái phiếu</t>
        </is>
      </c>
      <c r="D410" s="386" t="inlineStr">
        <is>
          <t>Tổng số tiền thu được (đồng)</t>
        </is>
      </c>
      <c r="E410" s="395" t="inlineStr">
        <is>
          <t>Tổng số tiền thu được (đồng)</t>
        </is>
      </c>
      <c r="F410" s="386" t="inlineStr">
        <is>
          <t>Data Explorer</t>
        </is>
      </c>
      <c r="G410" s="386" t="inlineStr">
        <is>
          <t>Chỉ tiêu cơ sở</t>
        </is>
      </c>
      <c r="H410" s="386" t="inlineStr">
        <is>
          <t>TB</t>
        </is>
      </c>
      <c r="I410" s="386" t="inlineStr">
        <is>
          <t>Ngày, CTCK</t>
        </is>
      </c>
      <c r="J410" s="395" t="inlineStr">
        <is>
          <t>SCMS</t>
        </is>
      </c>
      <c r="K410" s="395" t="n"/>
      <c r="L410" s="395" t="inlineStr">
        <is>
          <t>X</t>
        </is>
      </c>
      <c r="M410" s="395" t="n"/>
      <c r="N410" s="395" t="inlineStr">
        <is>
          <t>Pending</t>
        </is>
      </c>
      <c r="O410" s="401" t="n"/>
      <c r="P410" s="395" t="n"/>
      <c r="Q410" s="395" t="n"/>
      <c r="R410" s="395" t="n"/>
      <c r="S410" s="395" t="n"/>
      <c r="T410" s="386" t="n"/>
      <c r="U410" s="386" t="n"/>
      <c r="V410" s="395" t="n"/>
      <c r="W410" s="395" t="n"/>
      <c r="X410" s="395" t="n"/>
      <c r="Y410" s="13" t="n"/>
      <c r="Z410" s="395" t="n"/>
      <c r="AA410" s="395" t="n"/>
      <c r="AB410" s="395" t="n"/>
      <c r="AC410" s="395" t="n"/>
      <c r="AD410" s="395" t="n"/>
      <c r="AE410" s="395" t="n"/>
    </row>
    <row r="411" ht="42" customHeight="1" s="380">
      <c r="A411" s="73" t="n">
        <v>43</v>
      </c>
      <c r="B411" s="386" t="n"/>
      <c r="C411" s="386" t="inlineStr">
        <is>
          <t>Chào bán phát hành &gt;&gt; Tổng hợp số liệu chào bán trái phiếu</t>
        </is>
      </c>
      <c r="D411" s="386" t="inlineStr">
        <is>
          <t>Bổ sung vốn cho Môi giới chứng khoán
(đồng)</t>
        </is>
      </c>
      <c r="E411" s="395" t="inlineStr">
        <is>
          <t>Bổ sung vốn cho Môi giới chứng khoán
(đồng)</t>
        </is>
      </c>
      <c r="F411" s="386" t="inlineStr">
        <is>
          <t>Data Explorer</t>
        </is>
      </c>
      <c r="G411" s="386" t="inlineStr">
        <is>
          <t>Chỉ tiêu cơ sở</t>
        </is>
      </c>
      <c r="H411" s="386" t="inlineStr">
        <is>
          <t>TB</t>
        </is>
      </c>
      <c r="I411" s="386" t="inlineStr">
        <is>
          <t>Ngày, CTCK</t>
        </is>
      </c>
      <c r="J411" s="395" t="inlineStr">
        <is>
          <t>SCMS</t>
        </is>
      </c>
      <c r="K411" s="395" t="n"/>
      <c r="L411" s="395" t="inlineStr">
        <is>
          <t>X</t>
        </is>
      </c>
      <c r="M411" s="395" t="n"/>
      <c r="N411" s="395" t="inlineStr">
        <is>
          <t>Pending</t>
        </is>
      </c>
      <c r="O411" s="401" t="n"/>
      <c r="P411" s="395" t="n"/>
      <c r="Q411" s="395" t="n"/>
      <c r="R411" s="395" t="n"/>
      <c r="S411" s="395" t="n"/>
      <c r="T411" s="386" t="n"/>
      <c r="U411" s="386" t="n"/>
      <c r="V411" s="395" t="n"/>
      <c r="W411" s="395" t="n"/>
      <c r="X411" s="395" t="n"/>
      <c r="Y411" s="13" t="n"/>
      <c r="Z411" s="395" t="n"/>
      <c r="AA411" s="395" t="n"/>
      <c r="AB411" s="395" t="n"/>
      <c r="AC411" s="395" t="n"/>
      <c r="AD411" s="395" t="n"/>
      <c r="AE411" s="395" t="n"/>
    </row>
    <row r="412" ht="42" customHeight="1" s="380">
      <c r="A412" s="73" t="n">
        <v>43</v>
      </c>
      <c r="B412" s="386" t="n"/>
      <c r="C412" s="386" t="inlineStr">
        <is>
          <t>Chào bán phát hành &gt;&gt; Tổng hợp số liệu chào bán trái phiếu</t>
        </is>
      </c>
      <c r="D412" s="386" t="inlineStr">
        <is>
          <t>Bổ sung vốn cho Tự doanh chứng khoán
(đồng)</t>
        </is>
      </c>
      <c r="E412" s="395" t="inlineStr">
        <is>
          <t>Bổ sung vốn cho Tự doanh chứng khoán
(đồng)</t>
        </is>
      </c>
      <c r="F412" s="386" t="inlineStr">
        <is>
          <t>Data Explorer</t>
        </is>
      </c>
      <c r="G412" s="386" t="inlineStr">
        <is>
          <t>Chỉ tiêu cơ sở</t>
        </is>
      </c>
      <c r="H412" s="386" t="inlineStr">
        <is>
          <t>TB</t>
        </is>
      </c>
      <c r="I412" s="386" t="inlineStr">
        <is>
          <t>Ngày, CTCK</t>
        </is>
      </c>
      <c r="J412" s="395" t="inlineStr">
        <is>
          <t>SCMS</t>
        </is>
      </c>
      <c r="K412" s="395" t="n"/>
      <c r="L412" s="395" t="inlineStr">
        <is>
          <t>X</t>
        </is>
      </c>
      <c r="M412" s="395" t="n"/>
      <c r="N412" s="395" t="inlineStr">
        <is>
          <t>Pending</t>
        </is>
      </c>
      <c r="O412" s="401" t="n"/>
      <c r="P412" s="395" t="n"/>
      <c r="Q412" s="395" t="n"/>
      <c r="R412" s="395" t="n"/>
      <c r="S412" s="395" t="n"/>
      <c r="T412" s="386" t="n"/>
      <c r="U412" s="386" t="n"/>
      <c r="V412" s="395" t="n"/>
      <c r="W412" s="395" t="n"/>
      <c r="X412" s="395" t="n"/>
      <c r="Y412" s="13" t="n"/>
      <c r="Z412" s="395" t="n"/>
      <c r="AA412" s="395" t="n"/>
      <c r="AB412" s="395" t="n"/>
      <c r="AC412" s="395" t="n"/>
      <c r="AD412" s="395" t="n"/>
      <c r="AE412" s="395" t="n"/>
    </row>
    <row r="413" ht="42" customHeight="1" s="380">
      <c r="A413" s="73" t="n">
        <v>43</v>
      </c>
      <c r="B413" s="386" t="n"/>
      <c r="C413" s="386" t="inlineStr">
        <is>
          <t>Chào bán phát hành &gt;&gt; Tổng hợp số liệu chào bán trái phiếu</t>
        </is>
      </c>
      <c r="D413" s="386" t="inlineStr">
        <is>
          <t>Bổ sung vốn cho Bảo lãnh phát hành chứng khoán (đồng)</t>
        </is>
      </c>
      <c r="E413" s="386" t="inlineStr">
        <is>
          <t>Bổ sung vốn cho Bảo lãnh phát hành chứng khoán (đồng)</t>
        </is>
      </c>
      <c r="F413" s="386" t="inlineStr">
        <is>
          <t>Data Explorer</t>
        </is>
      </c>
      <c r="G413" s="386" t="inlineStr">
        <is>
          <t>Chỉ tiêu cơ sở</t>
        </is>
      </c>
      <c r="H413" s="386" t="inlineStr">
        <is>
          <t>TB</t>
        </is>
      </c>
      <c r="I413" s="386" t="inlineStr">
        <is>
          <t>Ngày, CTCK</t>
        </is>
      </c>
      <c r="J413" s="395" t="inlineStr">
        <is>
          <t>SCMS</t>
        </is>
      </c>
      <c r="K413" s="395" t="n"/>
      <c r="L413" s="395" t="inlineStr">
        <is>
          <t>X</t>
        </is>
      </c>
      <c r="M413" s="395" t="n"/>
      <c r="N413" s="395" t="inlineStr">
        <is>
          <t>Pending</t>
        </is>
      </c>
      <c r="O413" s="401" t="n"/>
      <c r="P413" s="395" t="n"/>
      <c r="Q413" s="395" t="n"/>
      <c r="R413" s="395" t="n"/>
      <c r="S413" s="395" t="n"/>
      <c r="T413" s="386" t="n"/>
      <c r="U413" s="386" t="n"/>
      <c r="V413" s="395" t="n"/>
      <c r="W413" s="395" t="n"/>
      <c r="X413" s="395" t="n"/>
      <c r="Y413" s="38" t="n"/>
      <c r="Z413" s="395" t="n"/>
      <c r="AA413" s="395" t="n"/>
      <c r="AB413" s="395" t="n"/>
      <c r="AC413" s="395" t="n"/>
      <c r="AD413" s="395" t="n"/>
      <c r="AE413" s="395" t="n"/>
    </row>
    <row r="414" ht="42" customHeight="1" s="380">
      <c r="A414" s="73" t="n">
        <v>43</v>
      </c>
      <c r="B414" s="386" t="n"/>
      <c r="C414" s="386" t="inlineStr">
        <is>
          <t>Chào bán phát hành &gt;&gt; Tổng hợp số liệu chào bán trái phiếu</t>
        </is>
      </c>
      <c r="D414" s="386" t="inlineStr">
        <is>
          <t>Bổ sung vốn cho Tư vấn đầu tư chứng khoán (đồng)</t>
        </is>
      </c>
      <c r="E414" s="386" t="inlineStr">
        <is>
          <t>Bổ sung vốn cho Tư vấn đầu tư chứng khoán (đồng)</t>
        </is>
      </c>
      <c r="F414" s="386" t="inlineStr">
        <is>
          <t>Data Explorer</t>
        </is>
      </c>
      <c r="G414" s="386" t="inlineStr">
        <is>
          <t>Chỉ tiêu cơ sở</t>
        </is>
      </c>
      <c r="H414" s="386" t="inlineStr">
        <is>
          <t>TB</t>
        </is>
      </c>
      <c r="I414" s="386" t="inlineStr">
        <is>
          <t>Ngày, CTCK</t>
        </is>
      </c>
      <c r="J414" s="395" t="inlineStr">
        <is>
          <t>SCMS</t>
        </is>
      </c>
      <c r="K414" s="395" t="n"/>
      <c r="L414" s="395" t="inlineStr">
        <is>
          <t>X</t>
        </is>
      </c>
      <c r="M414" s="395" t="n"/>
      <c r="N414" s="395" t="inlineStr">
        <is>
          <t>Pending</t>
        </is>
      </c>
      <c r="O414" s="401" t="n"/>
      <c r="P414" s="395" t="n"/>
      <c r="Q414" s="395" t="n"/>
      <c r="R414" s="395" t="n"/>
      <c r="S414" s="395" t="n"/>
      <c r="T414" s="386" t="n"/>
      <c r="U414" s="386" t="n"/>
      <c r="V414" s="395" t="n"/>
      <c r="W414" s="395" t="n"/>
      <c r="X414" s="395" t="n"/>
      <c r="Y414" s="13" t="n"/>
      <c r="Z414" s="395" t="n"/>
      <c r="AA414" s="395" t="n"/>
      <c r="AB414" s="395" t="n"/>
      <c r="AC414" s="395" t="n"/>
      <c r="AD414" s="395" t="n"/>
      <c r="AE414" s="395" t="n"/>
    </row>
    <row r="415" ht="42" customHeight="1" s="380">
      <c r="A415" s="73" t="n">
        <v>43</v>
      </c>
      <c r="B415" s="386" t="n"/>
      <c r="C415" s="386" t="inlineStr">
        <is>
          <t>Chào bán phát hành &gt;&gt; Tổng hợp số liệu chào bán trái phiếu</t>
        </is>
      </c>
      <c r="D415" s="386" t="inlineStr">
        <is>
          <t>Bổ sung vốn Cho vay margin (đồng)</t>
        </is>
      </c>
      <c r="E415" s="395" t="inlineStr">
        <is>
          <t>Bổ sung vốn Cho vay margin (đồng)</t>
        </is>
      </c>
      <c r="F415" s="386" t="inlineStr">
        <is>
          <t>Data Explorer</t>
        </is>
      </c>
      <c r="G415" s="386" t="inlineStr">
        <is>
          <t>Chỉ tiêu cơ sở</t>
        </is>
      </c>
      <c r="H415" s="386" t="inlineStr">
        <is>
          <t>TB</t>
        </is>
      </c>
      <c r="I415" s="386" t="inlineStr">
        <is>
          <t>Ngày, CTCK</t>
        </is>
      </c>
      <c r="J415" s="395" t="inlineStr">
        <is>
          <t>SCMS</t>
        </is>
      </c>
      <c r="K415" s="395" t="n"/>
      <c r="L415" s="395" t="inlineStr">
        <is>
          <t>X</t>
        </is>
      </c>
      <c r="M415" s="395" t="n"/>
      <c r="N415" s="395" t="inlineStr">
        <is>
          <t>Pending</t>
        </is>
      </c>
      <c r="O415" s="401" t="n"/>
      <c r="P415" s="395" t="n"/>
      <c r="Q415" s="395" t="n"/>
      <c r="R415" s="395" t="n"/>
      <c r="S415" s="395" t="n"/>
      <c r="T415" s="386" t="n"/>
      <c r="U415" s="386" t="n"/>
      <c r="V415" s="395" t="n"/>
      <c r="W415" s="395" t="n"/>
      <c r="X415" s="395" t="n"/>
      <c r="Y415" s="13" t="n"/>
      <c r="Z415" s="395" t="n"/>
      <c r="AA415" s="395" t="n"/>
      <c r="AB415" s="395" t="n"/>
      <c r="AC415" s="395" t="n"/>
      <c r="AD415" s="395" t="n"/>
      <c r="AE415" s="395" t="n"/>
    </row>
    <row r="416" ht="42" customHeight="1" s="380">
      <c r="A416" s="73" t="n">
        <v>43</v>
      </c>
      <c r="B416" s="386" t="n"/>
      <c r="C416" s="386" t="inlineStr">
        <is>
          <t>Chào bán phát hành &gt;&gt; Tổng hợp số liệu chào bán trái phiếu</t>
        </is>
      </c>
      <c r="D416" s="386" t="inlineStr">
        <is>
          <t>Bổ sung vốn cho Ứng trước tiền bán (đồng)</t>
        </is>
      </c>
      <c r="E416" s="386" t="inlineStr">
        <is>
          <t>Bổ sung vốn cho Ứng trước tiền bán (đồng)</t>
        </is>
      </c>
      <c r="F416" s="386" t="inlineStr">
        <is>
          <t>Data Explorer</t>
        </is>
      </c>
      <c r="G416" s="386" t="inlineStr">
        <is>
          <t>Chỉ tiêu cơ sở</t>
        </is>
      </c>
      <c r="H416" s="386" t="inlineStr">
        <is>
          <t>TB</t>
        </is>
      </c>
      <c r="I416" s="386" t="inlineStr">
        <is>
          <t>Ngày, CTCK</t>
        </is>
      </c>
      <c r="J416" s="395" t="inlineStr">
        <is>
          <t>SCMS</t>
        </is>
      </c>
      <c r="K416" s="395" t="n"/>
      <c r="L416" s="395" t="inlineStr">
        <is>
          <t>X</t>
        </is>
      </c>
      <c r="M416" s="395" t="n"/>
      <c r="N416" s="395" t="inlineStr">
        <is>
          <t>Pending</t>
        </is>
      </c>
      <c r="O416" s="401" t="n"/>
      <c r="P416" s="395" t="n"/>
      <c r="Q416" s="395" t="n"/>
      <c r="R416" s="395" t="n"/>
      <c r="S416" s="395" t="n"/>
      <c r="T416" s="386" t="n"/>
      <c r="U416" s="386" t="n"/>
      <c r="V416" s="395" t="n"/>
      <c r="W416" s="395" t="n"/>
      <c r="X416" s="395" t="n"/>
      <c r="Y416" s="13" t="n"/>
      <c r="Z416" s="395" t="n"/>
      <c r="AA416" s="395" t="n"/>
      <c r="AB416" s="395" t="n"/>
      <c r="AC416" s="395" t="n"/>
      <c r="AD416" s="395" t="n"/>
      <c r="AE416" s="395" t="n"/>
    </row>
    <row r="417" ht="42" customHeight="1" s="380">
      <c r="A417" s="73" t="n">
        <v>43</v>
      </c>
      <c r="B417" s="386" t="n"/>
      <c r="C417" s="386" t="inlineStr">
        <is>
          <t>Chào bán phát hành &gt;&gt; Tổng hợp số liệu chào bán trái phiếu</t>
        </is>
      </c>
      <c r="D417" s="386" t="inlineStr">
        <is>
          <t>Sử dụng vào mục đích khác (đồng)</t>
        </is>
      </c>
      <c r="E417" s="395" t="inlineStr">
        <is>
          <t>Sử dụng vào mục đích khác (đồng)</t>
        </is>
      </c>
      <c r="F417" s="386" t="inlineStr">
        <is>
          <t>Data Explorer</t>
        </is>
      </c>
      <c r="G417" s="386" t="inlineStr">
        <is>
          <t>Chỉ tiêu cơ sở</t>
        </is>
      </c>
      <c r="H417" s="386" t="inlineStr">
        <is>
          <t>TB</t>
        </is>
      </c>
      <c r="I417" s="386" t="inlineStr">
        <is>
          <t>Ngày, CTCK</t>
        </is>
      </c>
      <c r="J417" s="395" t="inlineStr">
        <is>
          <t>SCMS</t>
        </is>
      </c>
      <c r="K417" s="395" t="n"/>
      <c r="L417" s="395" t="inlineStr">
        <is>
          <t>X</t>
        </is>
      </c>
      <c r="M417" s="395" t="n"/>
      <c r="N417" s="395" t="inlineStr">
        <is>
          <t>Pending</t>
        </is>
      </c>
      <c r="O417" s="401" t="n"/>
      <c r="P417" s="395" t="n"/>
      <c r="Q417" s="395" t="n"/>
      <c r="R417" s="395" t="n"/>
      <c r="S417" s="395" t="n"/>
      <c r="T417" s="386" t="n"/>
      <c r="U417" s="386" t="n"/>
      <c r="V417" s="395" t="n"/>
      <c r="W417" s="395" t="n"/>
      <c r="X417" s="395" t="n"/>
      <c r="Y417" s="13" t="n"/>
      <c r="Z417" s="395" t="n"/>
      <c r="AA417" s="395" t="n"/>
      <c r="AB417" s="395" t="n"/>
      <c r="AC417" s="395" t="n"/>
      <c r="AD417" s="395" t="n"/>
      <c r="AE417" s="395" t="n"/>
    </row>
    <row r="418" ht="42" customHeight="1" s="380">
      <c r="A418" s="83" t="n">
        <v>43</v>
      </c>
      <c r="B418" s="68" t="n"/>
      <c r="C418" s="68" t="inlineStr">
        <is>
          <t>Chào bán phát hành &gt;&gt; Tổng hợp số liệu chào bán trái phiếu</t>
        </is>
      </c>
      <c r="D418" s="68" t="inlineStr">
        <is>
          <t>Ghi chú</t>
        </is>
      </c>
      <c r="E418" s="69" t="inlineStr">
        <is>
          <t>Ghi chú</t>
        </is>
      </c>
      <c r="F418" s="68" t="inlineStr">
        <is>
          <t>Data Explorer</t>
        </is>
      </c>
      <c r="G418" s="68" t="inlineStr">
        <is>
          <t>Chỉ tiêu cơ sở</t>
        </is>
      </c>
      <c r="H418" s="68" t="inlineStr">
        <is>
          <t>TB</t>
        </is>
      </c>
      <c r="I418" s="68" t="inlineStr">
        <is>
          <t>Ngày, CTCK</t>
        </is>
      </c>
      <c r="J418" s="69" t="inlineStr">
        <is>
          <t>SCMS</t>
        </is>
      </c>
      <c r="K418" s="69" t="n"/>
      <c r="L418" s="69" t="inlineStr">
        <is>
          <t>X</t>
        </is>
      </c>
      <c r="M418" s="69" t="n"/>
      <c r="N418" s="69" t="inlineStr">
        <is>
          <t>Pending</t>
        </is>
      </c>
      <c r="O418" s="85" t="n"/>
      <c r="P418" s="69" t="n"/>
      <c r="Q418" s="69" t="n"/>
      <c r="R418" s="69" t="n"/>
      <c r="S418" s="69" t="n"/>
      <c r="T418" s="68" t="n"/>
      <c r="U418" s="68" t="n"/>
      <c r="V418" s="69" t="n"/>
      <c r="W418" s="69" t="n"/>
      <c r="X418" s="69" t="n"/>
      <c r="Y418" s="97" t="n"/>
      <c r="Z418" s="69" t="n"/>
      <c r="AA418" s="69" t="n"/>
      <c r="AB418" s="69" t="n"/>
      <c r="AC418" s="69" t="n"/>
      <c r="AD418" s="69" t="n"/>
      <c r="AE418" s="69" t="n"/>
    </row>
    <row r="419" ht="70" customHeight="1" s="380">
      <c r="A419" s="108" t="n">
        <v>44</v>
      </c>
      <c r="B419" s="100" t="inlineStr">
        <is>
          <t>Nga</t>
        </is>
      </c>
      <c r="C419" s="74" t="inlineStr">
        <is>
          <t>Báo cáo giám sát &gt;&gt; Tổng hợp chung về tình hình tuân thủ nghĩa vụ gửi báo cáo định kỳ - Báo cáo giám sát dựa trên rủi ro</t>
        </is>
      </c>
      <c r="D419" s="109" t="inlineStr">
        <is>
          <t>Loại báo cáo</t>
        </is>
      </c>
      <c r="E419" s="110" t="inlineStr">
        <is>
          <t>Loại báo cáo</t>
        </is>
      </c>
      <c r="F419" s="403" t="inlineStr">
        <is>
          <t>Data Explorer</t>
        </is>
      </c>
      <c r="G419" s="390" t="inlineStr">
        <is>
          <t>Chiều</t>
        </is>
      </c>
      <c r="H419" s="403" t="inlineStr">
        <is>
          <t>Dễ</t>
        </is>
      </c>
      <c r="I419" s="403" t="inlineStr">
        <is>
          <t>Ngày, CTCK</t>
        </is>
      </c>
      <c r="J419" s="404" t="inlineStr">
        <is>
          <t>SCMS</t>
        </is>
      </c>
      <c r="K419" s="404" t="inlineStr">
        <is>
          <t>X</t>
        </is>
      </c>
      <c r="L419" s="405" t="inlineStr">
        <is>
          <t>X</t>
        </is>
      </c>
      <c r="M419" s="404" t="n"/>
      <c r="N419" s="405" t="inlineStr">
        <is>
          <t>Pending</t>
        </is>
      </c>
      <c r="O419" s="404" t="n"/>
      <c r="P419" s="405" t="n"/>
      <c r="Q419" s="105" t="inlineStr">
        <is>
          <t>DB cũ không thấy biểu mẫu báo cáo này</t>
        </is>
      </c>
      <c r="R419" s="405" t="n"/>
      <c r="S419" s="405" t="n"/>
      <c r="T419" s="400" t="n"/>
      <c r="U419" s="400" t="n"/>
      <c r="V419" s="405" t="n"/>
      <c r="W419" s="405" t="n"/>
      <c r="X419" s="405" t="n"/>
      <c r="Y419" s="38" t="n"/>
      <c r="Z419" s="405" t="n"/>
      <c r="AA419" s="405" t="n"/>
      <c r="AB419" s="405" t="n"/>
      <c r="AC419" s="405" t="n"/>
      <c r="AD419" s="405" t="n"/>
      <c r="AE419" s="405" t="n"/>
    </row>
    <row r="420" ht="70" customHeight="1" s="380">
      <c r="A420" s="108" t="n">
        <v>44</v>
      </c>
      <c r="B420" s="386" t="n"/>
      <c r="C420" s="386" t="inlineStr">
        <is>
          <t>Báo cáo giám sát &gt;&gt; Tổng hợp chung về tình hình tuân thủ nghĩa vụ gửi báo cáo định kỳ - Báo cáo giám sát dựa trên rủi ro</t>
        </is>
      </c>
      <c r="D420" s="106" t="inlineStr">
        <is>
          <t>Kỳ báo cáo</t>
        </is>
      </c>
      <c r="E420" s="107" t="inlineStr">
        <is>
          <t>Kỳ báo cáo</t>
        </is>
      </c>
      <c r="F420" s="390" t="inlineStr">
        <is>
          <t>Data Explorer</t>
        </is>
      </c>
      <c r="G420" s="390" t="inlineStr">
        <is>
          <t>Chiều</t>
        </is>
      </c>
      <c r="H420" s="390" t="inlineStr">
        <is>
          <t>Dễ</t>
        </is>
      </c>
      <c r="I420" s="390" t="inlineStr">
        <is>
          <t>Ngày, CTCK</t>
        </is>
      </c>
      <c r="J420" s="401" t="inlineStr">
        <is>
          <t>SCMS</t>
        </is>
      </c>
      <c r="K420" s="401" t="inlineStr">
        <is>
          <t>X</t>
        </is>
      </c>
      <c r="L420" s="395" t="inlineStr">
        <is>
          <t>X</t>
        </is>
      </c>
      <c r="M420" s="401" t="n"/>
      <c r="N420" s="395" t="inlineStr">
        <is>
          <t>Pending</t>
        </is>
      </c>
      <c r="O420" s="401" t="n"/>
      <c r="P420" s="395" t="n"/>
      <c r="Q420" s="395" t="n"/>
      <c r="R420" s="395" t="n"/>
      <c r="S420" s="395" t="n"/>
      <c r="T420" s="386" t="n"/>
      <c r="U420" s="386" t="n"/>
      <c r="V420" s="395" t="n"/>
      <c r="W420" s="395" t="n"/>
      <c r="X420" s="395" t="n"/>
      <c r="Y420" s="13" t="n"/>
      <c r="Z420" s="395" t="n"/>
      <c r="AA420" s="395" t="n"/>
      <c r="AB420" s="395" t="n"/>
      <c r="AC420" s="395" t="n"/>
      <c r="AD420" s="395" t="n"/>
      <c r="AE420" s="395" t="n"/>
    </row>
    <row r="421" ht="70" customHeight="1" s="380">
      <c r="A421" s="108" t="n">
        <v>44</v>
      </c>
      <c r="B421" s="386" t="n"/>
      <c r="C421" s="386" t="inlineStr">
        <is>
          <t>Báo cáo giám sát &gt;&gt; Tổng hợp chung về tình hình tuân thủ nghĩa vụ gửi báo cáo định kỳ - Báo cáo giám sát dựa trên rủi ro</t>
        </is>
      </c>
      <c r="D421" s="106" t="inlineStr">
        <is>
          <t>Mã báo cáo</t>
        </is>
      </c>
      <c r="E421" s="107" t="inlineStr">
        <is>
          <t>Mã báo cáo</t>
        </is>
      </c>
      <c r="F421" s="390" t="inlineStr">
        <is>
          <t>Data Explorer</t>
        </is>
      </c>
      <c r="G421" s="390" t="inlineStr">
        <is>
          <t>Chiều</t>
        </is>
      </c>
      <c r="H421" s="390" t="inlineStr">
        <is>
          <t>Dễ</t>
        </is>
      </c>
      <c r="I421" s="390" t="inlineStr">
        <is>
          <t>Ngày, CTCK</t>
        </is>
      </c>
      <c r="J421" s="401" t="inlineStr">
        <is>
          <t>SCMS</t>
        </is>
      </c>
      <c r="K421" s="401" t="inlineStr">
        <is>
          <t>X</t>
        </is>
      </c>
      <c r="L421" s="395" t="inlineStr">
        <is>
          <t>X</t>
        </is>
      </c>
      <c r="M421" s="401" t="n"/>
      <c r="N421" s="395" t="inlineStr">
        <is>
          <t>Pending</t>
        </is>
      </c>
      <c r="O421" s="401" t="n"/>
      <c r="P421" s="395" t="n"/>
      <c r="Q421" s="395" t="n"/>
      <c r="R421" s="395" t="n"/>
      <c r="S421" s="395" t="n"/>
      <c r="T421" s="386" t="n"/>
      <c r="U421" s="386" t="n"/>
      <c r="V421" s="395" t="n"/>
      <c r="W421" s="395" t="n"/>
      <c r="X421" s="395" t="n"/>
      <c r="Y421" s="13" t="n"/>
      <c r="Z421" s="395" t="n"/>
      <c r="AA421" s="395" t="n"/>
      <c r="AB421" s="395" t="n"/>
      <c r="AC421" s="395" t="n"/>
      <c r="AD421" s="395" t="n"/>
      <c r="AE421" s="395" t="n"/>
    </row>
    <row r="422" ht="70" customHeight="1" s="380">
      <c r="A422" s="108" t="n">
        <v>44</v>
      </c>
      <c r="B422" s="386" t="n"/>
      <c r="C422" s="386" t="inlineStr">
        <is>
          <t>Báo cáo giám sát &gt;&gt; Tổng hợp chung về tình hình tuân thủ nghĩa vụ gửi báo cáo định kỳ - Báo cáo giám sát dựa trên rủi ro</t>
        </is>
      </c>
      <c r="D422" s="106" t="inlineStr">
        <is>
          <t>Tên báo cáo</t>
        </is>
      </c>
      <c r="E422" s="107" t="inlineStr">
        <is>
          <t>Tên báo cáo</t>
        </is>
      </c>
      <c r="F422" s="390" t="inlineStr">
        <is>
          <t>Data Explorer</t>
        </is>
      </c>
      <c r="G422" s="390" t="inlineStr">
        <is>
          <t>Chiều</t>
        </is>
      </c>
      <c r="H422" s="390" t="inlineStr">
        <is>
          <t>Dễ</t>
        </is>
      </c>
      <c r="I422" s="390" t="inlineStr">
        <is>
          <t>Ngày, CTCK</t>
        </is>
      </c>
      <c r="J422" s="401" t="inlineStr">
        <is>
          <t>SCMS</t>
        </is>
      </c>
      <c r="K422" s="401" t="inlineStr">
        <is>
          <t>X</t>
        </is>
      </c>
      <c r="L422" s="395" t="inlineStr">
        <is>
          <t>X</t>
        </is>
      </c>
      <c r="M422" s="401" t="n"/>
      <c r="N422" s="395" t="inlineStr">
        <is>
          <t>Pending</t>
        </is>
      </c>
      <c r="O422" s="401" t="n"/>
      <c r="P422" s="395" t="n"/>
      <c r="Q422" s="395" t="n"/>
      <c r="R422" s="395" t="n"/>
      <c r="S422" s="395" t="n"/>
      <c r="T422" s="386" t="n"/>
      <c r="U422" s="386" t="n"/>
      <c r="V422" s="395" t="n"/>
      <c r="W422" s="395" t="n"/>
      <c r="X422" s="395" t="n"/>
      <c r="Y422" s="13" t="n"/>
      <c r="Z422" s="395" t="n"/>
      <c r="AA422" s="395" t="n"/>
      <c r="AB422" s="395" t="n"/>
      <c r="AC422" s="395" t="n"/>
      <c r="AD422" s="395" t="n"/>
      <c r="AE422" s="395" t="n"/>
    </row>
    <row r="423" ht="70" customHeight="1" s="380">
      <c r="A423" s="108" t="n">
        <v>44</v>
      </c>
      <c r="B423" s="386" t="n"/>
      <c r="C423" s="386" t="inlineStr">
        <is>
          <t>Báo cáo giám sát &gt;&gt; Tổng hợp chung về tình hình tuân thủ nghĩa vụ gửi báo cáo định kỳ - Báo cáo giám sát dựa trên rủi ro</t>
        </is>
      </c>
      <c r="D423" s="106" t="inlineStr">
        <is>
          <t>Mã chỉ tiêu</t>
        </is>
      </c>
      <c r="E423" s="107" t="inlineStr">
        <is>
          <t>Mã chỉ tiêu</t>
        </is>
      </c>
      <c r="F423" s="390" t="inlineStr">
        <is>
          <t>Data Explorer</t>
        </is>
      </c>
      <c r="G423" s="390" t="inlineStr">
        <is>
          <t>Chiều</t>
        </is>
      </c>
      <c r="H423" s="390" t="inlineStr">
        <is>
          <t>Dễ</t>
        </is>
      </c>
      <c r="I423" s="390" t="inlineStr">
        <is>
          <t>Ngày, CTCK</t>
        </is>
      </c>
      <c r="J423" s="401" t="inlineStr">
        <is>
          <t>SCMS</t>
        </is>
      </c>
      <c r="K423" s="401" t="inlineStr">
        <is>
          <t>X</t>
        </is>
      </c>
      <c r="L423" s="395" t="inlineStr">
        <is>
          <t>X</t>
        </is>
      </c>
      <c r="M423" s="401" t="n"/>
      <c r="N423" s="395" t="inlineStr">
        <is>
          <t>Pending</t>
        </is>
      </c>
      <c r="O423" s="401" t="n"/>
      <c r="P423" s="395" t="n"/>
      <c r="Q423" s="395" t="n"/>
      <c r="R423" s="395" t="n"/>
      <c r="S423" s="395" t="n"/>
      <c r="T423" s="386" t="n"/>
      <c r="U423" s="386" t="n"/>
      <c r="V423" s="395" t="n"/>
      <c r="W423" s="395" t="n"/>
      <c r="X423" s="395" t="n"/>
      <c r="Y423" s="13" t="n"/>
      <c r="Z423" s="395" t="n"/>
      <c r="AA423" s="395" t="n"/>
      <c r="AB423" s="395" t="n"/>
      <c r="AC423" s="395" t="n"/>
      <c r="AD423" s="395" t="n"/>
      <c r="AE423" s="395" t="n"/>
    </row>
    <row r="424" ht="70" customHeight="1" s="380">
      <c r="A424" s="108" t="n">
        <v>44</v>
      </c>
      <c r="B424" s="386" t="n"/>
      <c r="C424" s="386" t="inlineStr">
        <is>
          <t>Báo cáo giám sát &gt;&gt; Tổng hợp chung về tình hình tuân thủ nghĩa vụ gửi báo cáo định kỳ - Báo cáo giám sát dựa trên rủi ro</t>
        </is>
      </c>
      <c r="D424" s="106" t="inlineStr">
        <is>
          <t>Tên chỉ tiêu</t>
        </is>
      </c>
      <c r="E424" s="107" t="inlineStr">
        <is>
          <t>Tên chỉ tiêu</t>
        </is>
      </c>
      <c r="F424" s="390" t="inlineStr">
        <is>
          <t>Data Explorer</t>
        </is>
      </c>
      <c r="G424" s="390" t="inlineStr">
        <is>
          <t>Chiều</t>
        </is>
      </c>
      <c r="H424" s="390" t="inlineStr">
        <is>
          <t>Dễ</t>
        </is>
      </c>
      <c r="I424" s="390" t="inlineStr">
        <is>
          <t>Ngày, CTCK</t>
        </is>
      </c>
      <c r="J424" s="401" t="inlineStr">
        <is>
          <t>SCMS</t>
        </is>
      </c>
      <c r="K424" s="401" t="inlineStr">
        <is>
          <t>X</t>
        </is>
      </c>
      <c r="L424" s="395" t="inlineStr">
        <is>
          <t>X</t>
        </is>
      </c>
      <c r="M424" s="401" t="n"/>
      <c r="N424" s="395" t="inlineStr">
        <is>
          <t>Pending</t>
        </is>
      </c>
      <c r="O424" s="401" t="n"/>
      <c r="P424" s="395" t="n"/>
      <c r="Q424" s="395" t="n"/>
      <c r="R424" s="395" t="n"/>
      <c r="S424" s="395" t="n"/>
      <c r="T424" s="386" t="n"/>
      <c r="U424" s="386" t="n"/>
      <c r="V424" s="395" t="n"/>
      <c r="W424" s="395" t="n"/>
      <c r="X424" s="395" t="n"/>
      <c r="Y424" s="13" t="n"/>
      <c r="Z424" s="395" t="n"/>
      <c r="AA424" s="395" t="n"/>
      <c r="AB424" s="395" t="n"/>
      <c r="AC424" s="395" t="n"/>
      <c r="AD424" s="395" t="n"/>
      <c r="AE424" s="395" t="n"/>
    </row>
    <row r="425" ht="70" customHeight="1" s="380">
      <c r="A425" s="108" t="n">
        <v>44</v>
      </c>
      <c r="B425" s="386" t="n"/>
      <c r="C425" s="386" t="inlineStr">
        <is>
          <t>Báo cáo giám sát &gt;&gt; Tổng hợp chung về tình hình tuân thủ nghĩa vụ gửi báo cáo định kỳ - Báo cáo giám sát dựa trên rủi ro</t>
        </is>
      </c>
      <c r="D425" s="386" t="inlineStr">
        <is>
          <t>Tên công ty chứng khoán</t>
        </is>
      </c>
      <c r="E425" s="395" t="inlineStr">
        <is>
          <t>Tên công ty chứng khoán</t>
        </is>
      </c>
      <c r="F425" s="386" t="inlineStr">
        <is>
          <t>Data Explorer</t>
        </is>
      </c>
      <c r="G425" s="386" t="inlineStr">
        <is>
          <t>Chỉ tiêu cơ sở</t>
        </is>
      </c>
      <c r="H425" s="386" t="inlineStr">
        <is>
          <t>Dễ</t>
        </is>
      </c>
      <c r="I425" s="386" t="inlineStr">
        <is>
          <t>Ngày, CTCK</t>
        </is>
      </c>
      <c r="J425" s="395" t="inlineStr">
        <is>
          <t>SCMS</t>
        </is>
      </c>
      <c r="K425" s="395" t="n"/>
      <c r="L425" s="395" t="inlineStr">
        <is>
          <t>X</t>
        </is>
      </c>
      <c r="M425" s="395" t="n"/>
      <c r="N425" s="395" t="inlineStr">
        <is>
          <t>Pending</t>
        </is>
      </c>
      <c r="O425" s="401" t="n"/>
      <c r="P425" s="395" t="n"/>
      <c r="Q425" s="395" t="n"/>
      <c r="R425" s="395" t="n"/>
      <c r="S425" s="395" t="n"/>
      <c r="T425" s="386" t="n"/>
      <c r="U425" s="386" t="n"/>
      <c r="V425" s="395" t="n"/>
      <c r="W425" s="395" t="n"/>
      <c r="X425" s="395" t="n"/>
      <c r="Y425" s="38" t="n"/>
      <c r="Z425" s="395" t="n"/>
      <c r="AA425" s="395" t="n"/>
      <c r="AB425" s="395" t="n"/>
      <c r="AC425" s="395" t="n"/>
      <c r="AD425" s="395" t="n"/>
      <c r="AE425" s="395" t="n"/>
    </row>
    <row r="426" ht="70" customHeight="1" s="380">
      <c r="A426" s="108" t="n">
        <v>44</v>
      </c>
      <c r="B426" s="386" t="n"/>
      <c r="C426" s="386" t="inlineStr">
        <is>
          <t>Báo cáo giám sát &gt;&gt; Tổng hợp chung về tình hình tuân thủ nghĩa vụ gửi báo cáo định kỳ - Báo cáo giám sát dựa trên rủi ro</t>
        </is>
      </c>
      <c r="D426" s="386" t="inlineStr">
        <is>
          <t>Địa chỉ trụ sở chính</t>
        </is>
      </c>
      <c r="E426" s="395" t="inlineStr">
        <is>
          <t>Địa chỉ trụ sở chính</t>
        </is>
      </c>
      <c r="F426" s="386" t="inlineStr">
        <is>
          <t>Data Explorer</t>
        </is>
      </c>
      <c r="G426" s="386" t="inlineStr">
        <is>
          <t>Chỉ tiêu cơ sở</t>
        </is>
      </c>
      <c r="H426" s="386" t="inlineStr">
        <is>
          <t>Dễ</t>
        </is>
      </c>
      <c r="I426" s="386" t="inlineStr">
        <is>
          <t>Ngày, CTCK</t>
        </is>
      </c>
      <c r="J426" s="395" t="inlineStr">
        <is>
          <t>SCMS</t>
        </is>
      </c>
      <c r="K426" s="395" t="n"/>
      <c r="L426" s="395" t="inlineStr">
        <is>
          <t>X</t>
        </is>
      </c>
      <c r="M426" s="395" t="n"/>
      <c r="N426" s="395" t="inlineStr">
        <is>
          <t>Pending</t>
        </is>
      </c>
      <c r="O426" s="401" t="n"/>
      <c r="P426" s="395" t="n"/>
      <c r="Q426" s="395" t="n"/>
      <c r="R426" s="395" t="n"/>
      <c r="S426" s="395" t="n"/>
      <c r="T426" s="386" t="n"/>
      <c r="U426" s="386" t="n"/>
      <c r="V426" s="395" t="n"/>
      <c r="W426" s="395" t="n"/>
      <c r="X426" s="395" t="n"/>
      <c r="Y426" s="13" t="n"/>
      <c r="Z426" s="395" t="n"/>
      <c r="AA426" s="395" t="n"/>
      <c r="AB426" s="395" t="n"/>
      <c r="AC426" s="395" t="n"/>
      <c r="AD426" s="395" t="n"/>
      <c r="AE426" s="395" t="n"/>
    </row>
    <row r="427" ht="70" customHeight="1" s="380">
      <c r="A427" s="108" t="n">
        <v>44</v>
      </c>
      <c r="B427" s="386" t="n"/>
      <c r="C427" s="386" t="inlineStr">
        <is>
          <t>Báo cáo giám sát &gt;&gt; Tổng hợp chung về tình hình tuân thủ nghĩa vụ gửi báo cáo định kỳ - Báo cáo giám sát dựa trên rủi ro</t>
        </is>
      </c>
      <c r="D427" s="386" t="inlineStr">
        <is>
          <t>Số điện thoại</t>
        </is>
      </c>
      <c r="E427" s="395" t="inlineStr">
        <is>
          <t>Số điện thoại</t>
        </is>
      </c>
      <c r="F427" s="386" t="inlineStr">
        <is>
          <t>Data Explorer</t>
        </is>
      </c>
      <c r="G427" s="386" t="inlineStr">
        <is>
          <t>Chỉ tiêu cơ sở</t>
        </is>
      </c>
      <c r="H427" s="386" t="inlineStr">
        <is>
          <t>Dễ</t>
        </is>
      </c>
      <c r="I427" s="386" t="inlineStr">
        <is>
          <t>Ngày, CTCK</t>
        </is>
      </c>
      <c r="J427" s="395" t="inlineStr">
        <is>
          <t>SCMS</t>
        </is>
      </c>
      <c r="K427" s="395" t="n"/>
      <c r="L427" s="395" t="inlineStr">
        <is>
          <t>X</t>
        </is>
      </c>
      <c r="M427" s="395" t="n"/>
      <c r="N427" s="395" t="inlineStr">
        <is>
          <t>Pending</t>
        </is>
      </c>
      <c r="O427" s="401" t="n"/>
      <c r="P427" s="395" t="n"/>
      <c r="Q427" s="395" t="n"/>
      <c r="R427" s="395" t="n"/>
      <c r="S427" s="395" t="n"/>
      <c r="T427" s="386" t="n"/>
      <c r="U427" s="386" t="n"/>
      <c r="V427" s="395" t="n"/>
      <c r="W427" s="395" t="n"/>
      <c r="X427" s="395" t="n"/>
      <c r="Y427" s="13" t="n"/>
      <c r="Z427" s="395" t="n"/>
      <c r="AA427" s="395" t="n"/>
      <c r="AB427" s="395" t="n"/>
      <c r="AC427" s="395" t="n"/>
      <c r="AD427" s="395" t="n"/>
      <c r="AE427" s="395" t="n"/>
    </row>
    <row r="428" ht="70" customHeight="1" s="380">
      <c r="A428" s="108" t="n">
        <v>44</v>
      </c>
      <c r="B428" s="386" t="n"/>
      <c r="C428" s="386" t="inlineStr">
        <is>
          <t>Báo cáo giám sát &gt;&gt; Tổng hợp chung về tình hình tuân thủ nghĩa vụ gửi báo cáo định kỳ - Báo cáo giám sát dựa trên rủi ro</t>
        </is>
      </c>
      <c r="D428" s="386" t="inlineStr">
        <is>
          <t>Số giấy phép thành lập và hoạt động 
lần đầu</t>
        </is>
      </c>
      <c r="E428" s="395" t="inlineStr">
        <is>
          <t>Số giấy phép thành lập và hoạt động 
lần đầu</t>
        </is>
      </c>
      <c r="F428" s="386" t="inlineStr">
        <is>
          <t>Data Explorer</t>
        </is>
      </c>
      <c r="G428" s="386" t="inlineStr">
        <is>
          <t>Chỉ tiêu cơ sở</t>
        </is>
      </c>
      <c r="H428" s="386" t="inlineStr">
        <is>
          <t>Dễ</t>
        </is>
      </c>
      <c r="I428" s="386" t="inlineStr">
        <is>
          <t>Ngày, CTCK</t>
        </is>
      </c>
      <c r="J428" s="395" t="inlineStr">
        <is>
          <t>SCMS</t>
        </is>
      </c>
      <c r="K428" s="395" t="n"/>
      <c r="L428" s="395" t="inlineStr">
        <is>
          <t>X</t>
        </is>
      </c>
      <c r="M428" s="395" t="n"/>
      <c r="N428" s="395" t="inlineStr">
        <is>
          <t>Pending</t>
        </is>
      </c>
      <c r="O428" s="401" t="n"/>
      <c r="P428" s="395" t="n"/>
      <c r="Q428" s="395" t="n"/>
      <c r="R428" s="395" t="n"/>
      <c r="S428" s="395" t="n"/>
      <c r="T428" s="386" t="n"/>
      <c r="U428" s="386" t="n"/>
      <c r="V428" s="395" t="n"/>
      <c r="W428" s="395" t="n"/>
      <c r="X428" s="395" t="n"/>
      <c r="Y428" s="13" t="n"/>
      <c r="Z428" s="395" t="n"/>
      <c r="AA428" s="395" t="n"/>
      <c r="AB428" s="395" t="n"/>
      <c r="AC428" s="395" t="n"/>
      <c r="AD428" s="395" t="n"/>
      <c r="AE428" s="395" t="n"/>
    </row>
    <row r="429" ht="70" customHeight="1" s="380">
      <c r="A429" s="108" t="n">
        <v>44</v>
      </c>
      <c r="B429" s="386" t="n"/>
      <c r="C429" s="386" t="inlineStr">
        <is>
          <t>Báo cáo giám sát &gt;&gt; Tổng hợp chung về tình hình tuân thủ nghĩa vụ gửi báo cáo định kỳ - Báo cáo giám sát dựa trên rủi ro</t>
        </is>
      </c>
      <c r="D429" s="386" t="inlineStr">
        <is>
          <t>Ngày giấy phép lần đầu
(Ngày/tháng/năm)</t>
        </is>
      </c>
      <c r="E429" s="395" t="inlineStr">
        <is>
          <t>Ngày giấy phép lần đầu
(Ngày/tháng/năm)</t>
        </is>
      </c>
      <c r="F429" s="386" t="inlineStr">
        <is>
          <t>Data Explorer</t>
        </is>
      </c>
      <c r="G429" s="386" t="inlineStr">
        <is>
          <t>Chỉ tiêu cơ sở</t>
        </is>
      </c>
      <c r="H429" s="386" t="inlineStr">
        <is>
          <t>Dễ</t>
        </is>
      </c>
      <c r="I429" s="386" t="inlineStr">
        <is>
          <t>Ngày, CTCK</t>
        </is>
      </c>
      <c r="J429" s="395" t="inlineStr">
        <is>
          <t>SCMS</t>
        </is>
      </c>
      <c r="K429" s="395" t="n"/>
      <c r="L429" s="395" t="inlineStr">
        <is>
          <t>X</t>
        </is>
      </c>
      <c r="M429" s="395" t="n"/>
      <c r="N429" s="395" t="inlineStr">
        <is>
          <t>Pending</t>
        </is>
      </c>
      <c r="O429" s="401" t="n"/>
      <c r="P429" s="395" t="n"/>
      <c r="Q429" s="395" t="n"/>
      <c r="R429" s="395" t="n"/>
      <c r="S429" s="395" t="n"/>
      <c r="T429" s="386" t="n"/>
      <c r="U429" s="386" t="n"/>
      <c r="V429" s="395" t="n"/>
      <c r="W429" s="395" t="n"/>
      <c r="X429" s="395" t="n"/>
      <c r="Y429" s="13" t="n"/>
      <c r="Z429" s="395" t="n"/>
      <c r="AA429" s="395" t="n"/>
      <c r="AB429" s="395" t="n"/>
      <c r="AC429" s="395" t="n"/>
      <c r="AD429" s="395" t="n"/>
      <c r="AE429" s="395" t="n"/>
    </row>
    <row r="430" ht="70" customHeight="1" s="380">
      <c r="A430" s="108" t="n">
        <v>44</v>
      </c>
      <c r="B430" s="386" t="n"/>
      <c r="C430" s="386" t="inlineStr">
        <is>
          <t>Báo cáo giám sát &gt;&gt; Tổng hợp chung về tình hình tuân thủ nghĩa vụ gửi báo cáo định kỳ - Báo cáo giám sát dựa trên rủi ro</t>
        </is>
      </c>
      <c r="D430" s="386" t="inlineStr">
        <is>
          <t>Mã số doanh nghiệp</t>
        </is>
      </c>
      <c r="E430" s="395" t="inlineStr">
        <is>
          <t>Mã số doanh nghiệp</t>
        </is>
      </c>
      <c r="F430" s="386" t="inlineStr">
        <is>
          <t>Data Explorer</t>
        </is>
      </c>
      <c r="G430" s="386" t="inlineStr">
        <is>
          <t>Chỉ tiêu cơ sở</t>
        </is>
      </c>
      <c r="H430" s="386" t="inlineStr">
        <is>
          <t>Dễ</t>
        </is>
      </c>
      <c r="I430" s="386" t="inlineStr">
        <is>
          <t>Ngày, CTCK</t>
        </is>
      </c>
      <c r="J430" s="395" t="inlineStr">
        <is>
          <t>SCMS</t>
        </is>
      </c>
      <c r="K430" s="395" t="n"/>
      <c r="L430" s="395" t="inlineStr">
        <is>
          <t>X</t>
        </is>
      </c>
      <c r="M430" s="395" t="n"/>
      <c r="N430" s="395" t="inlineStr">
        <is>
          <t>Pending</t>
        </is>
      </c>
      <c r="O430" s="401" t="n"/>
      <c r="P430" s="395" t="n"/>
      <c r="Q430" s="395" t="n"/>
      <c r="R430" s="395" t="n"/>
      <c r="S430" s="395" t="n"/>
      <c r="T430" s="386" t="n"/>
      <c r="U430" s="386" t="n"/>
      <c r="V430" s="395" t="n"/>
      <c r="W430" s="395" t="n"/>
      <c r="X430" s="395" t="n"/>
      <c r="Y430" s="13" t="n"/>
      <c r="Z430" s="395" t="n"/>
      <c r="AA430" s="395" t="n"/>
      <c r="AB430" s="395" t="n"/>
      <c r="AC430" s="395" t="n"/>
      <c r="AD430" s="395" t="n"/>
      <c r="AE430" s="395" t="n"/>
    </row>
    <row r="431" ht="70" customHeight="1" s="380">
      <c r="A431" s="108" t="n">
        <v>44</v>
      </c>
      <c r="B431" s="386" t="n"/>
      <c r="C431" s="386" t="inlineStr">
        <is>
          <t>Báo cáo giám sát &gt;&gt; Tổng hợp chung về tình hình tuân thủ nghĩa vụ gửi báo cáo định kỳ - Báo cáo giám sát dựa trên rủi ro</t>
        </is>
      </c>
      <c r="D431" s="386" t="inlineStr">
        <is>
          <t>Sàn giao dịch cổ phiếu</t>
        </is>
      </c>
      <c r="E431" s="395" t="inlineStr">
        <is>
          <t>Sàn giao dịch cổ phiếu</t>
        </is>
      </c>
      <c r="F431" s="386" t="inlineStr">
        <is>
          <t>Data Explorer</t>
        </is>
      </c>
      <c r="G431" s="386" t="inlineStr">
        <is>
          <t>Chỉ tiêu cơ sở</t>
        </is>
      </c>
      <c r="H431" s="386" t="inlineStr">
        <is>
          <t>Dễ</t>
        </is>
      </c>
      <c r="I431" s="386" t="inlineStr">
        <is>
          <t>Ngày, CTCK</t>
        </is>
      </c>
      <c r="J431" s="395" t="inlineStr">
        <is>
          <t>SCMS</t>
        </is>
      </c>
      <c r="K431" s="395" t="n"/>
      <c r="L431" s="395" t="inlineStr">
        <is>
          <t>X</t>
        </is>
      </c>
      <c r="M431" s="395" t="n"/>
      <c r="N431" s="395" t="inlineStr">
        <is>
          <t>Pending</t>
        </is>
      </c>
      <c r="O431" s="401" t="n"/>
      <c r="P431" s="395" t="n"/>
      <c r="Q431" s="395" t="n"/>
      <c r="R431" s="395" t="n"/>
      <c r="S431" s="395" t="n"/>
      <c r="T431" s="386" t="n"/>
      <c r="U431" s="386" t="n"/>
      <c r="V431" s="395" t="n"/>
      <c r="W431" s="395" t="n"/>
      <c r="X431" s="395" t="n"/>
      <c r="Y431" s="38" t="n"/>
      <c r="Z431" s="395" t="n"/>
      <c r="AA431" s="395" t="n"/>
      <c r="AB431" s="395" t="n"/>
      <c r="AC431" s="395" t="n"/>
      <c r="AD431" s="395" t="n"/>
      <c r="AE431" s="395" t="n"/>
    </row>
    <row r="432" ht="70" customHeight="1" s="380">
      <c r="A432" s="108" t="n">
        <v>44</v>
      </c>
      <c r="B432" s="386" t="n"/>
      <c r="C432" s="386" t="inlineStr">
        <is>
          <t>Báo cáo giám sát &gt;&gt; Tổng hợp chung về tình hình tuân thủ nghĩa vụ gửi báo cáo định kỳ - Báo cáo giám sát dựa trên rủi ro</t>
        </is>
      </c>
      <c r="D432" s="386" t="inlineStr">
        <is>
          <t>Mã cổ phiếu</t>
        </is>
      </c>
      <c r="E432" s="395" t="inlineStr">
        <is>
          <t>Mã cổ phiếu</t>
        </is>
      </c>
      <c r="F432" s="386" t="inlineStr">
        <is>
          <t>Data Explorer</t>
        </is>
      </c>
      <c r="G432" s="386" t="inlineStr">
        <is>
          <t>Chỉ tiêu cơ sở</t>
        </is>
      </c>
      <c r="H432" s="386" t="inlineStr">
        <is>
          <t>Dễ</t>
        </is>
      </c>
      <c r="I432" s="386" t="inlineStr">
        <is>
          <t>Ngày, CTCK</t>
        </is>
      </c>
      <c r="J432" s="395" t="inlineStr">
        <is>
          <t>SCMS</t>
        </is>
      </c>
      <c r="K432" s="395" t="n"/>
      <c r="L432" s="395" t="inlineStr">
        <is>
          <t>X</t>
        </is>
      </c>
      <c r="M432" s="395" t="n"/>
      <c r="N432" s="395" t="inlineStr">
        <is>
          <t>Pending</t>
        </is>
      </c>
      <c r="O432" s="401" t="n"/>
      <c r="P432" s="395" t="n"/>
      <c r="Q432" s="395" t="n"/>
      <c r="R432" s="395" t="n"/>
      <c r="S432" s="395" t="n"/>
      <c r="T432" s="386" t="n"/>
      <c r="U432" s="386" t="n"/>
      <c r="V432" s="395" t="n"/>
      <c r="W432" s="395" t="n"/>
      <c r="X432" s="395" t="n"/>
      <c r="Y432" s="13" t="n"/>
      <c r="Z432" s="395" t="n"/>
      <c r="AA432" s="395" t="n"/>
      <c r="AB432" s="395" t="n"/>
      <c r="AC432" s="395" t="n"/>
      <c r="AD432" s="395" t="n"/>
      <c r="AE432" s="395" t="n"/>
    </row>
    <row r="433" ht="70" customHeight="1" s="380">
      <c r="A433" s="108" t="n">
        <v>44</v>
      </c>
      <c r="B433" s="386" t="n"/>
      <c r="C433" s="386" t="inlineStr">
        <is>
          <t>Báo cáo giám sát &gt;&gt; Tổng hợp chung về tình hình tuân thủ nghĩa vụ gửi báo cáo định kỳ - Báo cáo giám sát dựa trên rủi ro</t>
        </is>
      </c>
      <c r="D433" s="386" t="inlineStr">
        <is>
          <t>Vốn điều lệ (Đồng)</t>
        </is>
      </c>
      <c r="E433" s="395" t="inlineStr">
        <is>
          <t>Vốn điều lệ (Đồng)</t>
        </is>
      </c>
      <c r="F433" s="386" t="inlineStr">
        <is>
          <t>Data Explorer</t>
        </is>
      </c>
      <c r="G433" s="386" t="inlineStr">
        <is>
          <t>Chỉ tiêu cơ sở</t>
        </is>
      </c>
      <c r="H433" s="386" t="inlineStr">
        <is>
          <t>Dễ</t>
        </is>
      </c>
      <c r="I433" s="386" t="inlineStr">
        <is>
          <t>Ngày, CTCK</t>
        </is>
      </c>
      <c r="J433" s="395" t="inlineStr">
        <is>
          <t>SCMS</t>
        </is>
      </c>
      <c r="K433" s="395" t="n"/>
      <c r="L433" s="395" t="inlineStr">
        <is>
          <t>X</t>
        </is>
      </c>
      <c r="M433" s="395" t="n"/>
      <c r="N433" s="395" t="inlineStr">
        <is>
          <t>Pending</t>
        </is>
      </c>
      <c r="O433" s="401" t="n"/>
      <c r="P433" s="395" t="n"/>
      <c r="Q433" s="395" t="n"/>
      <c r="R433" s="395" t="n"/>
      <c r="S433" s="395" t="n"/>
      <c r="T433" s="386" t="n"/>
      <c r="U433" s="386" t="n"/>
      <c r="V433" s="395" t="n"/>
      <c r="W433" s="395" t="n"/>
      <c r="X433" s="395" t="n"/>
      <c r="Y433" s="13" t="n"/>
      <c r="Z433" s="395" t="n"/>
      <c r="AA433" s="395" t="n"/>
      <c r="AB433" s="395" t="n"/>
      <c r="AC433" s="395" t="n"/>
      <c r="AD433" s="395" t="n"/>
      <c r="AE433" s="395" t="n"/>
    </row>
    <row r="434" ht="70" customHeight="1" s="380">
      <c r="A434" s="108" t="n">
        <v>44</v>
      </c>
      <c r="B434" s="386" t="n"/>
      <c r="C434" s="386" t="inlineStr">
        <is>
          <t>Báo cáo giám sát &gt;&gt; Tổng hợp chung về tình hình tuân thủ nghĩa vụ gửi báo cáo định kỳ - Báo cáo giám sát dựa trên rủi ro</t>
        </is>
      </c>
      <c r="D434" s="386" t="inlineStr">
        <is>
          <t>Website</t>
        </is>
      </c>
      <c r="E434" s="395" t="inlineStr">
        <is>
          <t>Website</t>
        </is>
      </c>
      <c r="F434" s="386" t="inlineStr">
        <is>
          <t>Data Explorer</t>
        </is>
      </c>
      <c r="G434" s="386" t="inlineStr">
        <is>
          <t>Chỉ tiêu cơ sở</t>
        </is>
      </c>
      <c r="H434" s="386" t="inlineStr">
        <is>
          <t>Dễ</t>
        </is>
      </c>
      <c r="I434" s="386" t="inlineStr">
        <is>
          <t>Ngày, CTCK</t>
        </is>
      </c>
      <c r="J434" s="395" t="inlineStr">
        <is>
          <t>SCMS</t>
        </is>
      </c>
      <c r="K434" s="395" t="n"/>
      <c r="L434" s="395" t="inlineStr">
        <is>
          <t>X</t>
        </is>
      </c>
      <c r="M434" s="395" t="n"/>
      <c r="N434" s="395" t="inlineStr">
        <is>
          <t>Pending</t>
        </is>
      </c>
      <c r="O434" s="401" t="n"/>
      <c r="P434" s="395" t="n"/>
      <c r="Q434" s="395" t="n"/>
      <c r="R434" s="395" t="n"/>
      <c r="S434" s="395" t="n"/>
      <c r="T434" s="386" t="n"/>
      <c r="U434" s="386" t="n"/>
      <c r="V434" s="395" t="n"/>
      <c r="W434" s="395" t="n"/>
      <c r="X434" s="395" t="n"/>
      <c r="Y434" s="13" t="n"/>
      <c r="Z434" s="395" t="n"/>
      <c r="AA434" s="395" t="n"/>
      <c r="AB434" s="395" t="n"/>
      <c r="AC434" s="395" t="n"/>
      <c r="AD434" s="395" t="n"/>
      <c r="AE434" s="395" t="n"/>
    </row>
    <row r="435" ht="70" customHeight="1" s="380">
      <c r="A435" s="108" t="n">
        <v>44</v>
      </c>
      <c r="B435" s="386" t="n"/>
      <c r="C435" s="386" t="inlineStr">
        <is>
          <t>Báo cáo giám sát &gt;&gt; Tổng hợp chung về tình hình tuân thủ nghĩa vụ gửi báo cáo định kỳ - Báo cáo giám sát dựa trên rủi ro</t>
        </is>
      </c>
      <c r="D435" s="386" t="inlineStr">
        <is>
          <t>Trạng thái hoạt động</t>
        </is>
      </c>
      <c r="E435" s="395" t="inlineStr">
        <is>
          <t>Trạng thái hoạt động</t>
        </is>
      </c>
      <c r="F435" s="386" t="inlineStr">
        <is>
          <t>Data Explorer</t>
        </is>
      </c>
      <c r="G435" s="386" t="inlineStr">
        <is>
          <t>Chỉ tiêu cơ sở</t>
        </is>
      </c>
      <c r="H435" s="386" t="inlineStr">
        <is>
          <t>Dễ</t>
        </is>
      </c>
      <c r="I435" s="386" t="inlineStr">
        <is>
          <t>Ngày, CTCK</t>
        </is>
      </c>
      <c r="J435" s="395" t="inlineStr">
        <is>
          <t>SCMS</t>
        </is>
      </c>
      <c r="K435" s="395" t="n"/>
      <c r="L435" s="395" t="inlineStr">
        <is>
          <t>X</t>
        </is>
      </c>
      <c r="M435" s="395" t="n"/>
      <c r="N435" s="395" t="inlineStr">
        <is>
          <t>Pending</t>
        </is>
      </c>
      <c r="O435" s="401" t="n"/>
      <c r="P435" s="395" t="n"/>
      <c r="Q435" s="395" t="n"/>
      <c r="R435" s="395" t="n"/>
      <c r="S435" s="395" t="n"/>
      <c r="T435" s="386" t="n"/>
      <c r="U435" s="386" t="n"/>
      <c r="V435" s="395" t="n"/>
      <c r="W435" s="395" t="n"/>
      <c r="X435" s="395" t="n"/>
      <c r="Y435" s="13" t="n"/>
      <c r="Z435" s="395" t="n"/>
      <c r="AA435" s="395" t="n"/>
      <c r="AB435" s="395" t="n"/>
      <c r="AC435" s="395" t="n"/>
      <c r="AD435" s="395" t="n"/>
      <c r="AE435" s="395" t="n"/>
    </row>
    <row r="436" ht="70" customHeight="1" s="380">
      <c r="A436" s="108" t="n">
        <v>44</v>
      </c>
      <c r="B436" s="386" t="n"/>
      <c r="C436" s="386" t="inlineStr">
        <is>
          <t>Báo cáo giám sát &gt;&gt; Tổng hợp chung về tình hình tuân thủ nghĩa vụ gửi báo cáo định kỳ - Báo cáo giám sát dựa trên rủi ro</t>
        </is>
      </c>
      <c r="D436" s="386" t="inlineStr">
        <is>
          <t>Nghiệp vụ được phép hoạt động &gt;&gt; Môi giới chứng khoán</t>
        </is>
      </c>
      <c r="E436" s="386" t="inlineStr">
        <is>
          <t>Nghiệp vụ được phép hoạt động &gt;&gt; Môi giới chứng khoán</t>
        </is>
      </c>
      <c r="F436" s="386" t="inlineStr">
        <is>
          <t>Data Explorer</t>
        </is>
      </c>
      <c r="G436" s="386" t="inlineStr">
        <is>
          <t>Chỉ tiêu cơ sở</t>
        </is>
      </c>
      <c r="H436" s="386" t="inlineStr">
        <is>
          <t>TB</t>
        </is>
      </c>
      <c r="I436" s="386" t="inlineStr">
        <is>
          <t>Ngày, CTCK</t>
        </is>
      </c>
      <c r="J436" s="395" t="inlineStr">
        <is>
          <t>SCMS</t>
        </is>
      </c>
      <c r="K436" s="395" t="n"/>
      <c r="L436" s="395" t="inlineStr">
        <is>
          <t>X</t>
        </is>
      </c>
      <c r="M436" s="395" t="n"/>
      <c r="N436" s="395" t="inlineStr">
        <is>
          <t>Pending</t>
        </is>
      </c>
      <c r="O436" s="401" t="n"/>
      <c r="P436" s="395" t="n"/>
      <c r="Q436" s="395" t="n"/>
      <c r="R436" s="395" t="n"/>
      <c r="S436" s="395" t="n"/>
      <c r="T436" s="386" t="n"/>
      <c r="U436" s="386" t="n"/>
      <c r="V436" s="395" t="n"/>
      <c r="W436" s="395" t="n"/>
      <c r="X436" s="395" t="n"/>
      <c r="Y436" s="13" t="n"/>
      <c r="Z436" s="395" t="n"/>
      <c r="AA436" s="395" t="n"/>
      <c r="AB436" s="395" t="n"/>
      <c r="AC436" s="395" t="n"/>
      <c r="AD436" s="395" t="n"/>
      <c r="AE436" s="395" t="n"/>
    </row>
    <row r="437" ht="70" customHeight="1" s="380">
      <c r="A437" s="108" t="n">
        <v>44</v>
      </c>
      <c r="B437" s="386" t="n"/>
      <c r="C437" s="386" t="inlineStr">
        <is>
          <t>Báo cáo giám sát &gt;&gt; Tổng hợp chung về tình hình tuân thủ nghĩa vụ gửi báo cáo định kỳ - Báo cáo giám sát dựa trên rủi ro</t>
        </is>
      </c>
      <c r="D437" s="386" t="inlineStr">
        <is>
          <t>Nghiệp vụ được phép hoạt động &gt;&gt; Tự doanh chứng khoán</t>
        </is>
      </c>
      <c r="E437" s="386" t="inlineStr">
        <is>
          <t>Nghiệp vụ được phép hoạt động &gt;&gt; Tự doanh chứng khoán</t>
        </is>
      </c>
      <c r="F437" s="386" t="inlineStr">
        <is>
          <t>Data Explorer</t>
        </is>
      </c>
      <c r="G437" s="386" t="inlineStr">
        <is>
          <t>Chỉ tiêu cơ sở</t>
        </is>
      </c>
      <c r="H437" s="386" t="inlineStr">
        <is>
          <t>TB</t>
        </is>
      </c>
      <c r="I437" s="386" t="inlineStr">
        <is>
          <t>Ngày, CTCK</t>
        </is>
      </c>
      <c r="J437" s="395" t="inlineStr">
        <is>
          <t>SCMS</t>
        </is>
      </c>
      <c r="K437" s="395" t="n"/>
      <c r="L437" s="395" t="inlineStr">
        <is>
          <t>X</t>
        </is>
      </c>
      <c r="M437" s="395" t="n"/>
      <c r="N437" s="395" t="inlineStr">
        <is>
          <t>Pending</t>
        </is>
      </c>
      <c r="O437" s="401" t="n"/>
      <c r="P437" s="395" t="n"/>
      <c r="Q437" s="395" t="n"/>
      <c r="R437" s="395" t="n"/>
      <c r="S437" s="395" t="n"/>
      <c r="T437" s="386" t="n"/>
      <c r="U437" s="386" t="n"/>
      <c r="V437" s="395" t="n"/>
      <c r="W437" s="395" t="n"/>
      <c r="X437" s="395" t="n"/>
      <c r="Y437" s="14" t="n"/>
      <c r="Z437" s="395" t="n"/>
      <c r="AA437" s="395" t="n"/>
      <c r="AB437" s="395" t="n"/>
      <c r="AC437" s="395" t="n"/>
      <c r="AD437" s="395" t="n"/>
      <c r="AE437" s="395" t="n"/>
    </row>
    <row r="438" ht="70" customHeight="1" s="380">
      <c r="A438" s="108" t="n">
        <v>44</v>
      </c>
      <c r="B438" s="386" t="n"/>
      <c r="C438" s="386" t="inlineStr">
        <is>
          <t>Báo cáo giám sát &gt;&gt; Tổng hợp chung về tình hình tuân thủ nghĩa vụ gửi báo cáo định kỳ - Báo cáo giám sát dựa trên rủi ro</t>
        </is>
      </c>
      <c r="D438" s="386" t="inlineStr">
        <is>
          <t>Nghiệp vụ được phép hoạt động &gt;&gt; Bảo lãnh phát hành chứng khoán</t>
        </is>
      </c>
      <c r="E438" s="386" t="inlineStr">
        <is>
          <t>Nghiệp vụ được phép hoạt động &gt;&gt; Bảo lãnh phát hành chứng khoán</t>
        </is>
      </c>
      <c r="F438" s="386" t="inlineStr">
        <is>
          <t>Data Explorer</t>
        </is>
      </c>
      <c r="G438" s="386" t="inlineStr">
        <is>
          <t>Chỉ tiêu cơ sở</t>
        </is>
      </c>
      <c r="H438" s="386" t="inlineStr">
        <is>
          <t>TB</t>
        </is>
      </c>
      <c r="I438" s="386" t="inlineStr">
        <is>
          <t>Ngày, CTCK</t>
        </is>
      </c>
      <c r="J438" s="395" t="inlineStr">
        <is>
          <t>SCMS</t>
        </is>
      </c>
      <c r="K438" s="395" t="n"/>
      <c r="L438" s="395" t="inlineStr">
        <is>
          <t>X</t>
        </is>
      </c>
      <c r="M438" s="395" t="n"/>
      <c r="N438" s="395" t="inlineStr">
        <is>
          <t>Pending</t>
        </is>
      </c>
      <c r="O438" s="401" t="n"/>
      <c r="P438" s="395" t="n"/>
      <c r="Q438" s="395" t="n"/>
      <c r="R438" s="395" t="n"/>
      <c r="S438" s="395" t="n"/>
      <c r="T438" s="386" t="n"/>
      <c r="U438" s="386" t="n"/>
      <c r="V438" s="395" t="n"/>
      <c r="W438" s="395" t="n"/>
      <c r="X438" s="395" t="n"/>
      <c r="Y438" s="13" t="n"/>
      <c r="Z438" s="395" t="n"/>
      <c r="AA438" s="395" t="n"/>
      <c r="AB438" s="395" t="n"/>
      <c r="AC438" s="395" t="n"/>
      <c r="AD438" s="395" t="n"/>
      <c r="AE438" s="395" t="n"/>
    </row>
    <row r="439" ht="70" customHeight="1" s="380">
      <c r="A439" s="108" t="n">
        <v>44</v>
      </c>
      <c r="B439" s="386" t="n"/>
      <c r="C439" s="386" t="inlineStr">
        <is>
          <t>Báo cáo giám sát &gt;&gt; Tổng hợp chung về tình hình tuân thủ nghĩa vụ gửi báo cáo định kỳ - Báo cáo giám sát dựa trên rủi ro</t>
        </is>
      </c>
      <c r="D439" s="386" t="inlineStr">
        <is>
          <t>Nghiệp vụ được phép hoạt động &gt;&gt; Tư vấn đầu tư chứng khoán</t>
        </is>
      </c>
      <c r="E439" s="386" t="inlineStr">
        <is>
          <t>Nghiệp vụ được phép hoạt động &gt;&gt; Tư vấn đầu tư chứng khoán</t>
        </is>
      </c>
      <c r="F439" s="386" t="inlineStr">
        <is>
          <t>Data Explorer</t>
        </is>
      </c>
      <c r="G439" s="386" t="inlineStr">
        <is>
          <t>Chỉ tiêu cơ sở</t>
        </is>
      </c>
      <c r="H439" s="386" t="inlineStr">
        <is>
          <t>TB</t>
        </is>
      </c>
      <c r="I439" s="386" t="inlineStr">
        <is>
          <t>Ngày, CTCK</t>
        </is>
      </c>
      <c r="J439" s="395" t="inlineStr">
        <is>
          <t>SCMS</t>
        </is>
      </c>
      <c r="K439" s="395" t="n"/>
      <c r="L439" s="395" t="inlineStr">
        <is>
          <t>X</t>
        </is>
      </c>
      <c r="M439" s="395" t="n"/>
      <c r="N439" s="395" t="inlineStr">
        <is>
          <t>Pending</t>
        </is>
      </c>
      <c r="O439" s="401" t="n"/>
      <c r="P439" s="395" t="n"/>
      <c r="Q439" s="395" t="n"/>
      <c r="R439" s="395" t="n"/>
      <c r="S439" s="395" t="n"/>
      <c r="T439" s="386" t="n"/>
      <c r="U439" s="386" t="n"/>
      <c r="V439" s="395" t="n"/>
      <c r="W439" s="395" t="n"/>
      <c r="X439" s="395" t="n"/>
      <c r="Y439" s="13" t="n"/>
      <c r="Z439" s="395" t="n"/>
      <c r="AA439" s="395" t="n"/>
      <c r="AB439" s="395" t="n"/>
      <c r="AC439" s="395" t="n"/>
      <c r="AD439" s="395" t="n"/>
      <c r="AE439" s="395" t="n"/>
    </row>
    <row r="440" ht="70" customHeight="1" s="380">
      <c r="A440" s="108" t="n">
        <v>44</v>
      </c>
      <c r="B440" s="386" t="n"/>
      <c r="C440" s="386" t="inlineStr">
        <is>
          <t>Báo cáo giám sát &gt;&gt; Tổng hợp chung về tình hình tuân thủ nghĩa vụ gửi báo cáo định kỳ - Báo cáo giám sát dựa trên rủi ro</t>
        </is>
      </c>
      <c r="D440" s="386" t="inlineStr">
        <is>
          <t>Hoạt động kinh doanh chứng khoán phái sinh &gt;&gt; Giấy chứng nhận kinh doanh phái sinh</t>
        </is>
      </c>
      <c r="E440" s="386" t="inlineStr">
        <is>
          <t>Hoạt động kinh doanh chứng khoán phái sinh &gt;&gt; Giấy chứng nhận kinh doanh phái sinh</t>
        </is>
      </c>
      <c r="F440" s="386" t="inlineStr">
        <is>
          <t>Data Explorer</t>
        </is>
      </c>
      <c r="G440" s="386" t="inlineStr">
        <is>
          <t>Chỉ tiêu cơ sở</t>
        </is>
      </c>
      <c r="H440" s="386" t="inlineStr">
        <is>
          <t>TB</t>
        </is>
      </c>
      <c r="I440" s="386" t="inlineStr">
        <is>
          <t>Ngày, CTCK</t>
        </is>
      </c>
      <c r="J440" s="395" t="inlineStr">
        <is>
          <t>SCMS</t>
        </is>
      </c>
      <c r="K440" s="395" t="n"/>
      <c r="L440" s="395" t="inlineStr">
        <is>
          <t>X</t>
        </is>
      </c>
      <c r="M440" s="395" t="n"/>
      <c r="N440" s="395" t="inlineStr">
        <is>
          <t>Pending</t>
        </is>
      </c>
      <c r="O440" s="401" t="n"/>
      <c r="P440" s="395" t="n"/>
      <c r="Q440" s="395" t="n"/>
      <c r="R440" s="395" t="n"/>
      <c r="S440" s="395" t="n"/>
      <c r="T440" s="386" t="n"/>
      <c r="U440" s="386" t="n"/>
      <c r="V440" s="395" t="n"/>
      <c r="W440" s="395" t="n"/>
      <c r="X440" s="395" t="n"/>
      <c r="Y440" s="13" t="n"/>
      <c r="Z440" s="395" t="n"/>
      <c r="AA440" s="395" t="n"/>
      <c r="AB440" s="395" t="n"/>
      <c r="AC440" s="395" t="n"/>
      <c r="AD440" s="395" t="n"/>
      <c r="AE440" s="395" t="n"/>
    </row>
    <row r="441" ht="70" customHeight="1" s="380">
      <c r="A441" s="108" t="n">
        <v>44</v>
      </c>
      <c r="B441" s="386" t="n"/>
      <c r="C441" s="386" t="inlineStr">
        <is>
          <t>Báo cáo giám sát &gt;&gt; Tổng hợp chung về tình hình tuân thủ nghĩa vụ gửi báo cáo định kỳ - Báo cáo giám sát dựa trên rủi ro</t>
        </is>
      </c>
      <c r="D441" s="386" t="inlineStr">
        <is>
          <t>Hoạt động kinh doanh chứng khoán phái sinh &gt;&gt; Môi giới chứng khoán phái sinh</t>
        </is>
      </c>
      <c r="E441" s="386" t="inlineStr">
        <is>
          <t>Hoạt động kinh doanh chứng khoán phái sinh &gt;&gt; Môi giới chứng khoán phái sinh</t>
        </is>
      </c>
      <c r="F441" s="386" t="inlineStr">
        <is>
          <t>Data Explorer</t>
        </is>
      </c>
      <c r="G441" s="386" t="inlineStr">
        <is>
          <t>Chỉ tiêu cơ sở</t>
        </is>
      </c>
      <c r="H441" s="386" t="inlineStr">
        <is>
          <t>TB</t>
        </is>
      </c>
      <c r="I441" s="386" t="inlineStr">
        <is>
          <t>Ngày, CTCK</t>
        </is>
      </c>
      <c r="J441" s="395" t="inlineStr">
        <is>
          <t>SCMS</t>
        </is>
      </c>
      <c r="K441" s="395" t="n"/>
      <c r="L441" s="395" t="inlineStr">
        <is>
          <t>X</t>
        </is>
      </c>
      <c r="M441" s="395" t="n"/>
      <c r="N441" s="395" t="inlineStr">
        <is>
          <t>Pending</t>
        </is>
      </c>
      <c r="O441" s="401" t="n"/>
      <c r="P441" s="395" t="n"/>
      <c r="Q441" s="395" t="n"/>
      <c r="R441" s="395" t="n"/>
      <c r="S441" s="395" t="n"/>
      <c r="T441" s="386" t="n"/>
      <c r="U441" s="386" t="n"/>
      <c r="V441" s="395" t="n"/>
      <c r="W441" s="395" t="n"/>
      <c r="X441" s="395" t="n"/>
      <c r="Y441" s="13" t="n"/>
      <c r="Z441" s="395" t="n"/>
      <c r="AA441" s="395" t="n"/>
      <c r="AB441" s="395" t="n"/>
      <c r="AC441" s="395" t="n"/>
      <c r="AD441" s="395" t="n"/>
      <c r="AE441" s="395" t="n"/>
    </row>
    <row r="442" ht="70" customHeight="1" s="380">
      <c r="A442" s="108" t="n">
        <v>44</v>
      </c>
      <c r="B442" s="386" t="n"/>
      <c r="C442" s="386" t="inlineStr">
        <is>
          <t>Báo cáo giám sát &gt;&gt; Tổng hợp chung về tình hình tuân thủ nghĩa vụ gửi báo cáo định kỳ - Báo cáo giám sát dựa trên rủi ro</t>
        </is>
      </c>
      <c r="D442" s="386" t="inlineStr">
        <is>
          <t>Hoạt động kinh doanh chứng khoán phái sinh &gt;&gt; Tự doanh chứng khoán phái sinh</t>
        </is>
      </c>
      <c r="E442" s="386" t="inlineStr">
        <is>
          <t>Hoạt động kinh doanh chứng khoán phái sinh &gt;&gt; Tự doanh chứng khoán phái sinh</t>
        </is>
      </c>
      <c r="F442" s="386" t="inlineStr">
        <is>
          <t>Data Explorer</t>
        </is>
      </c>
      <c r="G442" s="386" t="inlineStr">
        <is>
          <t>Chỉ tiêu cơ sở</t>
        </is>
      </c>
      <c r="H442" s="386" t="inlineStr">
        <is>
          <t>TB</t>
        </is>
      </c>
      <c r="I442" s="386" t="inlineStr">
        <is>
          <t>Ngày, CTCK</t>
        </is>
      </c>
      <c r="J442" s="395" t="inlineStr">
        <is>
          <t>SCMS</t>
        </is>
      </c>
      <c r="K442" s="395" t="n"/>
      <c r="L442" s="395" t="inlineStr">
        <is>
          <t>X</t>
        </is>
      </c>
      <c r="M442" s="395" t="n"/>
      <c r="N442" s="395" t="inlineStr">
        <is>
          <t>Pending</t>
        </is>
      </c>
      <c r="O442" s="401" t="n"/>
      <c r="P442" s="395" t="n"/>
      <c r="Q442" s="395" t="n"/>
      <c r="R442" s="395" t="n"/>
      <c r="S442" s="395" t="n"/>
      <c r="T442" s="386" t="n"/>
      <c r="U442" s="386" t="n"/>
      <c r="V442" s="395" t="n"/>
      <c r="W442" s="395" t="n"/>
      <c r="X442" s="395" t="n"/>
      <c r="Y442" s="13" t="n"/>
      <c r="Z442" s="395" t="n"/>
      <c r="AA442" s="395" t="n"/>
      <c r="AB442" s="395" t="n"/>
      <c r="AC442" s="395" t="n"/>
      <c r="AD442" s="395" t="n"/>
      <c r="AE442" s="395" t="n"/>
    </row>
    <row r="443" ht="70" customHeight="1" s="380">
      <c r="A443" s="111" t="n">
        <v>44</v>
      </c>
      <c r="B443" s="68" t="n"/>
      <c r="C443" s="68" t="inlineStr">
        <is>
          <t>Báo cáo giám sát &gt;&gt; Tổng hợp chung về tình hình tuân thủ nghĩa vụ gửi báo cáo định kỳ - Báo cáo giám sát dựa trên rủi ro</t>
        </is>
      </c>
      <c r="D443" s="68" t="inlineStr">
        <is>
          <t>Hoạt động kinh doanh chứng khoán phái sinh &gt;&gt; Tư vấn đầu tư chứng khoán phái sinh</t>
        </is>
      </c>
      <c r="E443" s="68" t="inlineStr">
        <is>
          <t>Hoạt động kinh doanh chứng khoán phái sinh &gt;&gt; Tư vấn đầu tư chứng khoán phái sinh</t>
        </is>
      </c>
      <c r="F443" s="68" t="inlineStr">
        <is>
          <t>Data Explorer</t>
        </is>
      </c>
      <c r="G443" s="68" t="inlineStr">
        <is>
          <t>Chỉ tiêu cơ sở</t>
        </is>
      </c>
      <c r="H443" s="68" t="inlineStr">
        <is>
          <t>TB</t>
        </is>
      </c>
      <c r="I443" s="68" t="inlineStr">
        <is>
          <t>Ngày, CTCK</t>
        </is>
      </c>
      <c r="J443" s="69" t="inlineStr">
        <is>
          <t>SCMS</t>
        </is>
      </c>
      <c r="K443" s="69" t="n"/>
      <c r="L443" s="69" t="inlineStr">
        <is>
          <t>X</t>
        </is>
      </c>
      <c r="M443" s="69" t="n"/>
      <c r="N443" s="69" t="inlineStr">
        <is>
          <t>Pending</t>
        </is>
      </c>
      <c r="O443" s="85" t="n"/>
      <c r="P443" s="69" t="n"/>
      <c r="Q443" s="69" t="n"/>
      <c r="R443" s="69" t="n"/>
      <c r="S443" s="69" t="n"/>
      <c r="T443" s="68" t="n"/>
      <c r="U443" s="68" t="n"/>
      <c r="V443" s="69" t="n"/>
      <c r="W443" s="69" t="n"/>
      <c r="X443" s="69" t="n"/>
      <c r="Y443" s="97" t="n"/>
      <c r="Z443" s="69" t="n"/>
      <c r="AA443" s="69" t="n"/>
      <c r="AB443" s="69" t="n"/>
      <c r="AC443" s="69" t="n"/>
      <c r="AD443" s="69" t="n"/>
      <c r="AE443" s="69" t="n"/>
    </row>
    <row r="444" ht="84" customHeight="1" s="380">
      <c r="A444" s="108" t="n">
        <v>45</v>
      </c>
      <c r="B444" s="100" t="inlineStr">
        <is>
          <t>Nga</t>
        </is>
      </c>
      <c r="C444" s="81" t="inlineStr">
        <is>
          <t>Báo cáo giám sát &gt;&gt; Tổng hợp chung về tình hình tuân thủ nghĩa vụ gửi báo cáo định kỳ - Báo cáo duy trì điều kiện chi nhánh, phòng giao dịch</t>
        </is>
      </c>
      <c r="D444" s="106" t="inlineStr">
        <is>
          <t>Loại báo cáo</t>
        </is>
      </c>
      <c r="E444" s="107" t="inlineStr">
        <is>
          <t>Loại báo cáo</t>
        </is>
      </c>
      <c r="F444" s="390" t="inlineStr">
        <is>
          <t>Data Explorer</t>
        </is>
      </c>
      <c r="G444" s="390" t="inlineStr">
        <is>
          <t>Chiều</t>
        </is>
      </c>
      <c r="H444" s="390" t="inlineStr">
        <is>
          <t>Dễ</t>
        </is>
      </c>
      <c r="I444" s="390" t="inlineStr">
        <is>
          <t>Ngày, CTCK</t>
        </is>
      </c>
      <c r="J444" s="401" t="inlineStr">
        <is>
          <t>SCMS</t>
        </is>
      </c>
      <c r="K444" s="401" t="inlineStr">
        <is>
          <t>X</t>
        </is>
      </c>
      <c r="L444" s="395" t="inlineStr">
        <is>
          <t>X</t>
        </is>
      </c>
      <c r="M444" s="401" t="n"/>
      <c r="N444" s="395" t="inlineStr">
        <is>
          <t>Pending</t>
        </is>
      </c>
      <c r="O444" s="401" t="n"/>
      <c r="P444" s="395" t="n"/>
      <c r="Q444" s="105" t="inlineStr">
        <is>
          <t>DB cũ không thấy biểu mẫu báo cáo này</t>
        </is>
      </c>
      <c r="R444" s="395" t="n"/>
      <c r="S444" s="395" t="n"/>
      <c r="T444" s="386" t="n"/>
      <c r="U444" s="386" t="n"/>
      <c r="V444" s="395" t="n"/>
      <c r="W444" s="395" t="n"/>
      <c r="X444" s="395" t="n"/>
      <c r="Y444" s="13" t="n"/>
      <c r="Z444" s="395" t="n"/>
      <c r="AA444" s="395" t="n"/>
      <c r="AB444" s="395" t="n"/>
      <c r="AC444" s="395" t="n"/>
      <c r="AD444" s="395" t="n"/>
      <c r="AE444" s="395" t="n"/>
    </row>
    <row r="445" ht="84" customHeight="1" s="380">
      <c r="A445" s="108" t="n">
        <v>45</v>
      </c>
      <c r="B445" s="386" t="n"/>
      <c r="C445" s="386" t="inlineStr">
        <is>
          <t>Báo cáo giám sát &gt;&gt; Tổng hợp chung về tình hình tuân thủ nghĩa vụ gửi báo cáo định kỳ - Báo cáo duy trì điều kiện chi nhánh, phòng giao dịch</t>
        </is>
      </c>
      <c r="D445" s="106" t="inlineStr">
        <is>
          <t>Kỳ báo cáo</t>
        </is>
      </c>
      <c r="E445" s="107" t="inlineStr">
        <is>
          <t>Kỳ báo cáo</t>
        </is>
      </c>
      <c r="F445" s="390" t="inlineStr">
        <is>
          <t>Data Explorer</t>
        </is>
      </c>
      <c r="G445" s="390" t="inlineStr">
        <is>
          <t>Chiều</t>
        </is>
      </c>
      <c r="H445" s="390" t="inlineStr">
        <is>
          <t>Dễ</t>
        </is>
      </c>
      <c r="I445" s="390" t="inlineStr">
        <is>
          <t>Ngày, CTCK</t>
        </is>
      </c>
      <c r="J445" s="401" t="inlineStr">
        <is>
          <t>SCMS</t>
        </is>
      </c>
      <c r="K445" s="401" t="inlineStr">
        <is>
          <t>X</t>
        </is>
      </c>
      <c r="L445" s="395" t="inlineStr">
        <is>
          <t>X</t>
        </is>
      </c>
      <c r="M445" s="401" t="n"/>
      <c r="N445" s="395" t="inlineStr">
        <is>
          <t>Pending</t>
        </is>
      </c>
      <c r="O445" s="401" t="n"/>
      <c r="P445" s="395" t="n"/>
      <c r="Q445" s="395" t="n"/>
      <c r="R445" s="395" t="n"/>
      <c r="S445" s="395" t="n"/>
      <c r="T445" s="386" t="n"/>
      <c r="U445" s="386" t="n"/>
      <c r="V445" s="395" t="n"/>
      <c r="W445" s="395" t="n"/>
      <c r="X445" s="395" t="n"/>
      <c r="Y445" s="13" t="n"/>
      <c r="Z445" s="395" t="n"/>
      <c r="AA445" s="395" t="n"/>
      <c r="AB445" s="395" t="n"/>
      <c r="AC445" s="395" t="n"/>
      <c r="AD445" s="395" t="n"/>
      <c r="AE445" s="395" t="n"/>
    </row>
    <row r="446" ht="84" customHeight="1" s="380">
      <c r="A446" s="108" t="n">
        <v>45</v>
      </c>
      <c r="B446" s="386" t="n"/>
      <c r="C446" s="386" t="inlineStr">
        <is>
          <t>Báo cáo giám sát &gt;&gt; Tổng hợp chung về tình hình tuân thủ nghĩa vụ gửi báo cáo định kỳ - Báo cáo duy trì điều kiện chi nhánh, phòng giao dịch</t>
        </is>
      </c>
      <c r="D446" s="106" t="inlineStr">
        <is>
          <t>Mã báo cáo</t>
        </is>
      </c>
      <c r="E446" s="107" t="inlineStr">
        <is>
          <t>Mã báo cáo</t>
        </is>
      </c>
      <c r="F446" s="390" t="inlineStr">
        <is>
          <t>Data Explorer</t>
        </is>
      </c>
      <c r="G446" s="390" t="inlineStr">
        <is>
          <t>Chiều</t>
        </is>
      </c>
      <c r="H446" s="390" t="inlineStr">
        <is>
          <t>Dễ</t>
        </is>
      </c>
      <c r="I446" s="390" t="inlineStr">
        <is>
          <t>Ngày, CTCK</t>
        </is>
      </c>
      <c r="J446" s="401" t="inlineStr">
        <is>
          <t>SCMS</t>
        </is>
      </c>
      <c r="K446" s="401" t="inlineStr">
        <is>
          <t>X</t>
        </is>
      </c>
      <c r="L446" s="395" t="inlineStr">
        <is>
          <t>X</t>
        </is>
      </c>
      <c r="M446" s="401" t="n"/>
      <c r="N446" s="395" t="inlineStr">
        <is>
          <t>Pending</t>
        </is>
      </c>
      <c r="O446" s="401" t="n"/>
      <c r="P446" s="395" t="n"/>
      <c r="Q446" s="395" t="n"/>
      <c r="R446" s="395" t="n"/>
      <c r="S446" s="395" t="n"/>
      <c r="T446" s="386" t="n"/>
      <c r="U446" s="386" t="n"/>
      <c r="V446" s="395" t="n"/>
      <c r="W446" s="395" t="n"/>
      <c r="X446" s="395" t="n"/>
      <c r="Y446" s="13" t="n"/>
      <c r="Z446" s="395" t="n"/>
      <c r="AA446" s="395" t="n"/>
      <c r="AB446" s="395" t="n"/>
      <c r="AC446" s="395" t="n"/>
      <c r="AD446" s="395" t="n"/>
      <c r="AE446" s="395" t="n"/>
    </row>
    <row r="447" ht="84" customHeight="1" s="380">
      <c r="A447" s="108" t="n">
        <v>45</v>
      </c>
      <c r="B447" s="386" t="n"/>
      <c r="C447" s="386" t="inlineStr">
        <is>
          <t>Báo cáo giám sát &gt;&gt; Tổng hợp chung về tình hình tuân thủ nghĩa vụ gửi báo cáo định kỳ - Báo cáo duy trì điều kiện chi nhánh, phòng giao dịch</t>
        </is>
      </c>
      <c r="D447" s="106" t="inlineStr">
        <is>
          <t>Tên báo cáo</t>
        </is>
      </c>
      <c r="E447" s="107" t="inlineStr">
        <is>
          <t>Tên báo cáo</t>
        </is>
      </c>
      <c r="F447" s="390" t="inlineStr">
        <is>
          <t>Data Explorer</t>
        </is>
      </c>
      <c r="G447" s="390" t="inlineStr">
        <is>
          <t>Chiều</t>
        </is>
      </c>
      <c r="H447" s="390" t="inlineStr">
        <is>
          <t>Dễ</t>
        </is>
      </c>
      <c r="I447" s="390" t="inlineStr">
        <is>
          <t>Ngày, CTCK</t>
        </is>
      </c>
      <c r="J447" s="401" t="inlineStr">
        <is>
          <t>SCMS</t>
        </is>
      </c>
      <c r="K447" s="401" t="inlineStr">
        <is>
          <t>X</t>
        </is>
      </c>
      <c r="L447" s="395" t="inlineStr">
        <is>
          <t>X</t>
        </is>
      </c>
      <c r="M447" s="401" t="n"/>
      <c r="N447" s="395" t="inlineStr">
        <is>
          <t>Pending</t>
        </is>
      </c>
      <c r="O447" s="401" t="n"/>
      <c r="P447" s="395" t="n"/>
      <c r="Q447" s="395" t="n"/>
      <c r="R447" s="395" t="n"/>
      <c r="S447" s="395" t="n"/>
      <c r="T447" s="386" t="n"/>
      <c r="U447" s="386" t="n"/>
      <c r="V447" s="395" t="n"/>
      <c r="W447" s="395" t="n"/>
      <c r="X447" s="395" t="n"/>
      <c r="Y447" s="13" t="n"/>
      <c r="Z447" s="395" t="n"/>
      <c r="AA447" s="395" t="n"/>
      <c r="AB447" s="395" t="n"/>
      <c r="AC447" s="395" t="n"/>
      <c r="AD447" s="395" t="n"/>
      <c r="AE447" s="395" t="n"/>
    </row>
    <row r="448" ht="84" customHeight="1" s="380">
      <c r="A448" s="108" t="n">
        <v>45</v>
      </c>
      <c r="B448" s="386" t="n"/>
      <c r="C448" s="386" t="inlineStr">
        <is>
          <t>Báo cáo giám sát &gt;&gt; Tổng hợp chung về tình hình tuân thủ nghĩa vụ gửi báo cáo định kỳ - Báo cáo duy trì điều kiện chi nhánh, phòng giao dịch</t>
        </is>
      </c>
      <c r="D448" s="106" t="inlineStr">
        <is>
          <t>Mã chỉ tiêu</t>
        </is>
      </c>
      <c r="E448" s="107" t="inlineStr">
        <is>
          <t>Mã chỉ tiêu</t>
        </is>
      </c>
      <c r="F448" s="390" t="inlineStr">
        <is>
          <t>Data Explorer</t>
        </is>
      </c>
      <c r="G448" s="390" t="inlineStr">
        <is>
          <t>Chiều</t>
        </is>
      </c>
      <c r="H448" s="390" t="inlineStr">
        <is>
          <t>Dễ</t>
        </is>
      </c>
      <c r="I448" s="390" t="inlineStr">
        <is>
          <t>Ngày, CTCK</t>
        </is>
      </c>
      <c r="J448" s="401" t="inlineStr">
        <is>
          <t>SCMS</t>
        </is>
      </c>
      <c r="K448" s="401" t="inlineStr">
        <is>
          <t>X</t>
        </is>
      </c>
      <c r="L448" s="395" t="inlineStr">
        <is>
          <t>X</t>
        </is>
      </c>
      <c r="M448" s="401" t="n"/>
      <c r="N448" s="395" t="inlineStr">
        <is>
          <t>Pending</t>
        </is>
      </c>
      <c r="O448" s="401" t="n"/>
      <c r="P448" s="395" t="n"/>
      <c r="Q448" s="395" t="n"/>
      <c r="R448" s="395" t="n"/>
      <c r="S448" s="395" t="n"/>
      <c r="T448" s="386" t="n"/>
      <c r="U448" s="386" t="n"/>
      <c r="V448" s="395" t="n"/>
      <c r="W448" s="395" t="n"/>
      <c r="X448" s="395" t="n"/>
      <c r="Y448" s="13" t="n"/>
      <c r="Z448" s="395" t="n"/>
      <c r="AA448" s="395" t="n"/>
      <c r="AB448" s="395" t="n"/>
      <c r="AC448" s="395" t="n"/>
      <c r="AD448" s="395" t="n"/>
      <c r="AE448" s="395" t="n"/>
    </row>
    <row r="449" ht="84" customHeight="1" s="380">
      <c r="A449" s="108" t="n">
        <v>45</v>
      </c>
      <c r="B449" s="386" t="n"/>
      <c r="C449" s="386" t="inlineStr">
        <is>
          <t>Báo cáo giám sát &gt;&gt; Tổng hợp chung về tình hình tuân thủ nghĩa vụ gửi báo cáo định kỳ - Báo cáo duy trì điều kiện chi nhánh, phòng giao dịch</t>
        </is>
      </c>
      <c r="D449" s="106" t="inlineStr">
        <is>
          <t>Tên chỉ tiêu</t>
        </is>
      </c>
      <c r="E449" s="107" t="inlineStr">
        <is>
          <t>Tên chỉ tiêu</t>
        </is>
      </c>
      <c r="F449" s="390" t="inlineStr">
        <is>
          <t>Data Explorer</t>
        </is>
      </c>
      <c r="G449" s="390" t="inlineStr">
        <is>
          <t>Chiều</t>
        </is>
      </c>
      <c r="H449" s="390" t="inlineStr">
        <is>
          <t>Dễ</t>
        </is>
      </c>
      <c r="I449" s="390" t="inlineStr">
        <is>
          <t>Ngày, CTCK</t>
        </is>
      </c>
      <c r="J449" s="401" t="inlineStr">
        <is>
          <t>SCMS</t>
        </is>
      </c>
      <c r="K449" s="401" t="inlineStr">
        <is>
          <t>X</t>
        </is>
      </c>
      <c r="L449" s="395" t="inlineStr">
        <is>
          <t>X</t>
        </is>
      </c>
      <c r="M449" s="401" t="n"/>
      <c r="N449" s="395" t="inlineStr">
        <is>
          <t>Pending</t>
        </is>
      </c>
      <c r="O449" s="401" t="n"/>
      <c r="P449" s="395" t="n"/>
      <c r="Q449" s="395" t="n"/>
      <c r="R449" s="395" t="n"/>
      <c r="S449" s="395" t="n"/>
      <c r="T449" s="386" t="n"/>
      <c r="U449" s="386" t="n"/>
      <c r="V449" s="395" t="n"/>
      <c r="W449" s="395" t="n"/>
      <c r="X449" s="395" t="n"/>
      <c r="Y449" s="38" t="n"/>
      <c r="Z449" s="395" t="n"/>
      <c r="AA449" s="395" t="n"/>
      <c r="AB449" s="395" t="n"/>
      <c r="AC449" s="395" t="n"/>
      <c r="AD449" s="395" t="n"/>
      <c r="AE449" s="395" t="n"/>
    </row>
    <row r="450" ht="84" customHeight="1" s="380">
      <c r="A450" s="108" t="n">
        <v>45</v>
      </c>
      <c r="B450" s="386" t="n"/>
      <c r="C450" s="386" t="inlineStr">
        <is>
          <t>Báo cáo giám sát &gt;&gt; Tổng hợp chung về tình hình tuân thủ nghĩa vụ gửi báo cáo định kỳ - Báo cáo duy trì điều kiện chi nhánh, phòng giao dịch</t>
        </is>
      </c>
      <c r="D450" s="386" t="inlineStr">
        <is>
          <t>Tên công ty chứng khoán</t>
        </is>
      </c>
      <c r="E450" s="395" t="inlineStr">
        <is>
          <t>Tên công ty chứng khoán</t>
        </is>
      </c>
      <c r="F450" s="386" t="inlineStr">
        <is>
          <t>Data Explorer</t>
        </is>
      </c>
      <c r="G450" s="386" t="inlineStr">
        <is>
          <t>Chỉ tiêu cơ sở</t>
        </is>
      </c>
      <c r="H450" s="386" t="inlineStr">
        <is>
          <t>Dễ</t>
        </is>
      </c>
      <c r="I450" s="386" t="inlineStr">
        <is>
          <t>Ngày, CTCK</t>
        </is>
      </c>
      <c r="J450" s="395" t="inlineStr">
        <is>
          <t>SCMS</t>
        </is>
      </c>
      <c r="K450" s="395" t="n"/>
      <c r="L450" s="395" t="inlineStr">
        <is>
          <t>X</t>
        </is>
      </c>
      <c r="M450" s="395" t="n"/>
      <c r="N450" s="395" t="inlineStr">
        <is>
          <t>Pending</t>
        </is>
      </c>
      <c r="O450" s="401" t="n"/>
      <c r="P450" s="395" t="n"/>
      <c r="Q450" s="395" t="n"/>
      <c r="R450" s="395" t="n"/>
      <c r="S450" s="395" t="n"/>
      <c r="T450" s="386" t="n"/>
      <c r="U450" s="386" t="n"/>
      <c r="V450" s="395" t="n"/>
      <c r="W450" s="395" t="n"/>
      <c r="X450" s="395" t="n"/>
      <c r="Y450" s="13" t="n"/>
      <c r="Z450" s="395" t="n"/>
      <c r="AA450" s="395" t="n"/>
      <c r="AB450" s="395" t="n"/>
      <c r="AC450" s="395" t="n"/>
      <c r="AD450" s="395" t="n"/>
      <c r="AE450" s="395" t="n"/>
    </row>
    <row r="451" ht="84" customHeight="1" s="380">
      <c r="A451" s="108" t="n">
        <v>45</v>
      </c>
      <c r="B451" s="386" t="n"/>
      <c r="C451" s="386" t="inlineStr">
        <is>
          <t>Báo cáo giám sát &gt;&gt; Tổng hợp chung về tình hình tuân thủ nghĩa vụ gửi báo cáo định kỳ - Báo cáo duy trì điều kiện chi nhánh, phòng giao dịch</t>
        </is>
      </c>
      <c r="D451" s="386" t="inlineStr">
        <is>
          <t>Địa chỉ trụ sở chính</t>
        </is>
      </c>
      <c r="E451" s="395" t="inlineStr">
        <is>
          <t>Địa chỉ trụ sở chính</t>
        </is>
      </c>
      <c r="F451" s="386" t="inlineStr">
        <is>
          <t>Data Explorer</t>
        </is>
      </c>
      <c r="G451" s="386" t="inlineStr">
        <is>
          <t>Chỉ tiêu cơ sở</t>
        </is>
      </c>
      <c r="H451" s="386" t="inlineStr">
        <is>
          <t>Dễ</t>
        </is>
      </c>
      <c r="I451" s="386" t="inlineStr">
        <is>
          <t>Ngày, CTCK</t>
        </is>
      </c>
      <c r="J451" s="395" t="inlineStr">
        <is>
          <t>SCMS</t>
        </is>
      </c>
      <c r="K451" s="395" t="n"/>
      <c r="L451" s="395" t="inlineStr">
        <is>
          <t>X</t>
        </is>
      </c>
      <c r="M451" s="395" t="n"/>
      <c r="N451" s="395" t="inlineStr">
        <is>
          <t>Pending</t>
        </is>
      </c>
      <c r="O451" s="401" t="n"/>
      <c r="P451" s="395" t="n"/>
      <c r="Q451" s="395" t="n"/>
      <c r="R451" s="395" t="n"/>
      <c r="S451" s="395" t="n"/>
      <c r="T451" s="386" t="n"/>
      <c r="U451" s="386" t="n"/>
      <c r="V451" s="395" t="n"/>
      <c r="W451" s="395" t="n"/>
      <c r="X451" s="395" t="n"/>
      <c r="Y451" s="13" t="n"/>
      <c r="Z451" s="395" t="n"/>
      <c r="AA451" s="395" t="n"/>
      <c r="AB451" s="395" t="n"/>
      <c r="AC451" s="395" t="n"/>
      <c r="AD451" s="395" t="n"/>
      <c r="AE451" s="395" t="n"/>
    </row>
    <row r="452" ht="84" customHeight="1" s="380">
      <c r="A452" s="108" t="n">
        <v>45</v>
      </c>
      <c r="B452" s="386" t="n"/>
      <c r="C452" s="386" t="inlineStr">
        <is>
          <t>Báo cáo giám sát &gt;&gt; Tổng hợp chung về tình hình tuân thủ nghĩa vụ gửi báo cáo định kỳ - Báo cáo duy trì điều kiện chi nhánh, phòng giao dịch</t>
        </is>
      </c>
      <c r="D452" s="386" t="inlineStr">
        <is>
          <t>Số điện thoại</t>
        </is>
      </c>
      <c r="E452" s="395" t="inlineStr">
        <is>
          <t>Số điện thoại</t>
        </is>
      </c>
      <c r="F452" s="386" t="inlineStr">
        <is>
          <t>Data Explorer</t>
        </is>
      </c>
      <c r="G452" s="386" t="inlineStr">
        <is>
          <t>Chỉ tiêu cơ sở</t>
        </is>
      </c>
      <c r="H452" s="386" t="inlineStr">
        <is>
          <t>Dễ</t>
        </is>
      </c>
      <c r="I452" s="386" t="inlineStr">
        <is>
          <t>Ngày, CTCK</t>
        </is>
      </c>
      <c r="J452" s="395" t="inlineStr">
        <is>
          <t>SCMS</t>
        </is>
      </c>
      <c r="K452" s="395" t="n"/>
      <c r="L452" s="395" t="inlineStr">
        <is>
          <t>X</t>
        </is>
      </c>
      <c r="M452" s="395" t="n"/>
      <c r="N452" s="395" t="inlineStr">
        <is>
          <t>Pending</t>
        </is>
      </c>
      <c r="O452" s="401" t="n"/>
      <c r="P452" s="395" t="n"/>
      <c r="Q452" s="395" t="n"/>
      <c r="R452" s="395" t="n"/>
      <c r="S452" s="395" t="n"/>
      <c r="T452" s="386" t="n"/>
      <c r="U452" s="386" t="n"/>
      <c r="V452" s="395" t="n"/>
      <c r="W452" s="395" t="n"/>
      <c r="X452" s="395" t="n"/>
      <c r="Y452" s="13" t="n"/>
      <c r="Z452" s="395" t="n"/>
      <c r="AA452" s="395" t="n"/>
      <c r="AB452" s="395" t="n"/>
      <c r="AC452" s="395" t="n"/>
      <c r="AD452" s="395" t="n"/>
      <c r="AE452" s="395" t="n"/>
    </row>
    <row r="453" ht="84" customHeight="1" s="380">
      <c r="A453" s="108" t="n">
        <v>45</v>
      </c>
      <c r="B453" s="386" t="n"/>
      <c r="C453" s="386" t="inlineStr">
        <is>
          <t>Báo cáo giám sát &gt;&gt; Tổng hợp chung về tình hình tuân thủ nghĩa vụ gửi báo cáo định kỳ - Báo cáo duy trì điều kiện chi nhánh, phòng giao dịch</t>
        </is>
      </c>
      <c r="D453" s="386" t="inlineStr">
        <is>
          <t>Số giấy phép thành lập và hoạt động 
lần đầu</t>
        </is>
      </c>
      <c r="E453" s="395" t="inlineStr">
        <is>
          <t>Số giấy phép thành lập và hoạt động 
lần đầu</t>
        </is>
      </c>
      <c r="F453" s="386" t="inlineStr">
        <is>
          <t>Data Explorer</t>
        </is>
      </c>
      <c r="G453" s="386" t="inlineStr">
        <is>
          <t>Chỉ tiêu cơ sở</t>
        </is>
      </c>
      <c r="H453" s="386" t="inlineStr">
        <is>
          <t>Dễ</t>
        </is>
      </c>
      <c r="I453" s="386" t="inlineStr">
        <is>
          <t>Ngày, CTCK</t>
        </is>
      </c>
      <c r="J453" s="395" t="inlineStr">
        <is>
          <t>SCMS</t>
        </is>
      </c>
      <c r="K453" s="395" t="n"/>
      <c r="L453" s="395" t="inlineStr">
        <is>
          <t>X</t>
        </is>
      </c>
      <c r="M453" s="395" t="n"/>
      <c r="N453" s="395" t="inlineStr">
        <is>
          <t>Pending</t>
        </is>
      </c>
      <c r="O453" s="401" t="n"/>
      <c r="P453" s="395" t="n"/>
      <c r="Q453" s="395" t="n"/>
      <c r="R453" s="395" t="n"/>
      <c r="S453" s="395" t="n"/>
      <c r="T453" s="386" t="n"/>
      <c r="U453" s="386" t="n"/>
      <c r="V453" s="395" t="n"/>
      <c r="W453" s="395" t="n"/>
      <c r="X453" s="395" t="n"/>
      <c r="Y453" s="13" t="n"/>
      <c r="Z453" s="395" t="n"/>
      <c r="AA453" s="395" t="n"/>
      <c r="AB453" s="395" t="n"/>
      <c r="AC453" s="395" t="n"/>
      <c r="AD453" s="395" t="n"/>
      <c r="AE453" s="395" t="n"/>
    </row>
    <row r="454" ht="84" customHeight="1" s="380">
      <c r="A454" s="108" t="n">
        <v>45</v>
      </c>
      <c r="B454" s="386" t="n"/>
      <c r="C454" s="386" t="inlineStr">
        <is>
          <t>Báo cáo giám sát &gt;&gt; Tổng hợp chung về tình hình tuân thủ nghĩa vụ gửi báo cáo định kỳ - Báo cáo duy trì điều kiện chi nhánh, phòng giao dịch</t>
        </is>
      </c>
      <c r="D454" s="386" t="inlineStr">
        <is>
          <t>Ngày giấy phép lần đầu
(Ngày/tháng/năm)</t>
        </is>
      </c>
      <c r="E454" s="395" t="inlineStr">
        <is>
          <t>Ngày giấy phép lần đầu
(Ngày/tháng/năm)</t>
        </is>
      </c>
      <c r="F454" s="386" t="inlineStr">
        <is>
          <t>Data Explorer</t>
        </is>
      </c>
      <c r="G454" s="386" t="inlineStr">
        <is>
          <t>Chỉ tiêu cơ sở</t>
        </is>
      </c>
      <c r="H454" s="386" t="inlineStr">
        <is>
          <t>Dễ</t>
        </is>
      </c>
      <c r="I454" s="386" t="inlineStr">
        <is>
          <t>Ngày, CTCK</t>
        </is>
      </c>
      <c r="J454" s="395" t="inlineStr">
        <is>
          <t>SCMS</t>
        </is>
      </c>
      <c r="K454" s="395" t="n"/>
      <c r="L454" s="395" t="inlineStr">
        <is>
          <t>X</t>
        </is>
      </c>
      <c r="M454" s="395" t="n"/>
      <c r="N454" s="395" t="inlineStr">
        <is>
          <t>Pending</t>
        </is>
      </c>
      <c r="O454" s="401" t="n"/>
      <c r="P454" s="395" t="n"/>
      <c r="Q454" s="395" t="n"/>
      <c r="R454" s="395" t="n"/>
      <c r="S454" s="395" t="n"/>
      <c r="T454" s="386" t="n"/>
      <c r="U454" s="386" t="n"/>
      <c r="V454" s="395" t="n"/>
      <c r="W454" s="395" t="n"/>
      <c r="X454" s="395" t="n"/>
      <c r="Y454" s="13" t="n"/>
      <c r="Z454" s="395" t="n"/>
      <c r="AA454" s="395" t="n"/>
      <c r="AB454" s="395" t="n"/>
      <c r="AC454" s="395" t="n"/>
      <c r="AD454" s="395" t="n"/>
      <c r="AE454" s="395" t="n"/>
    </row>
    <row r="455" ht="84" customHeight="1" s="380">
      <c r="A455" s="108" t="n">
        <v>45</v>
      </c>
      <c r="B455" s="386" t="n"/>
      <c r="C455" s="386" t="inlineStr">
        <is>
          <t>Báo cáo giám sát &gt;&gt; Tổng hợp chung về tình hình tuân thủ nghĩa vụ gửi báo cáo định kỳ - Báo cáo duy trì điều kiện chi nhánh, phòng giao dịch</t>
        </is>
      </c>
      <c r="D455" s="386" t="inlineStr">
        <is>
          <t>Mã số doanh nghiệp</t>
        </is>
      </c>
      <c r="E455" s="395" t="inlineStr">
        <is>
          <t>Mã số doanh nghiệp</t>
        </is>
      </c>
      <c r="F455" s="386" t="inlineStr">
        <is>
          <t>Data Explorer</t>
        </is>
      </c>
      <c r="G455" s="386" t="inlineStr">
        <is>
          <t>Chỉ tiêu cơ sở</t>
        </is>
      </c>
      <c r="H455" s="386" t="inlineStr">
        <is>
          <t>Dễ</t>
        </is>
      </c>
      <c r="I455" s="386" t="inlineStr">
        <is>
          <t>Ngày, CTCK</t>
        </is>
      </c>
      <c r="J455" s="395" t="inlineStr">
        <is>
          <t>SCMS</t>
        </is>
      </c>
      <c r="K455" s="395" t="n"/>
      <c r="L455" s="395" t="inlineStr">
        <is>
          <t>X</t>
        </is>
      </c>
      <c r="M455" s="395" t="n"/>
      <c r="N455" s="395" t="inlineStr">
        <is>
          <t>Pending</t>
        </is>
      </c>
      <c r="O455" s="401" t="n"/>
      <c r="P455" s="395" t="n"/>
      <c r="Q455" s="395" t="n"/>
      <c r="R455" s="395" t="n"/>
      <c r="S455" s="395" t="n"/>
      <c r="T455" s="386" t="n"/>
      <c r="U455" s="386" t="n"/>
      <c r="V455" s="395" t="n"/>
      <c r="W455" s="395" t="n"/>
      <c r="X455" s="395" t="n"/>
      <c r="Y455" s="38" t="n"/>
      <c r="Z455" s="395" t="n"/>
      <c r="AA455" s="395" t="n"/>
      <c r="AB455" s="395" t="n"/>
      <c r="AC455" s="395" t="n"/>
      <c r="AD455" s="395" t="n"/>
      <c r="AE455" s="395" t="n"/>
    </row>
    <row r="456" ht="84" customHeight="1" s="380">
      <c r="A456" s="108" t="n">
        <v>45</v>
      </c>
      <c r="B456" s="386" t="n"/>
      <c r="C456" s="386" t="inlineStr">
        <is>
          <t>Báo cáo giám sát &gt;&gt; Tổng hợp chung về tình hình tuân thủ nghĩa vụ gửi báo cáo định kỳ - Báo cáo duy trì điều kiện chi nhánh, phòng giao dịch</t>
        </is>
      </c>
      <c r="D456" s="386" t="inlineStr">
        <is>
          <t>Sàn giao dịch cổ phiếu</t>
        </is>
      </c>
      <c r="E456" s="395" t="inlineStr">
        <is>
          <t>Sàn giao dịch cổ phiếu</t>
        </is>
      </c>
      <c r="F456" s="386" t="inlineStr">
        <is>
          <t>Data Explorer</t>
        </is>
      </c>
      <c r="G456" s="386" t="inlineStr">
        <is>
          <t>Chỉ tiêu cơ sở</t>
        </is>
      </c>
      <c r="H456" s="386" t="inlineStr">
        <is>
          <t>Dễ</t>
        </is>
      </c>
      <c r="I456" s="386" t="inlineStr">
        <is>
          <t>Ngày, CTCK</t>
        </is>
      </c>
      <c r="J456" s="395" t="inlineStr">
        <is>
          <t>SCMS</t>
        </is>
      </c>
      <c r="K456" s="395" t="n"/>
      <c r="L456" s="395" t="inlineStr">
        <is>
          <t>X</t>
        </is>
      </c>
      <c r="M456" s="395" t="n"/>
      <c r="N456" s="395" t="inlineStr">
        <is>
          <t>Pending</t>
        </is>
      </c>
      <c r="O456" s="401" t="n"/>
      <c r="P456" s="395" t="n"/>
      <c r="Q456" s="395" t="n"/>
      <c r="R456" s="395" t="n"/>
      <c r="S456" s="395" t="n"/>
      <c r="T456" s="386" t="n"/>
      <c r="U456" s="386" t="n"/>
      <c r="V456" s="395" t="n"/>
      <c r="W456" s="395" t="n"/>
      <c r="X456" s="395" t="n"/>
      <c r="Y456" s="13" t="n"/>
      <c r="Z456" s="395" t="n"/>
      <c r="AA456" s="395" t="n"/>
      <c r="AB456" s="395" t="n"/>
      <c r="AC456" s="395" t="n"/>
      <c r="AD456" s="395" t="n"/>
      <c r="AE456" s="395" t="n"/>
    </row>
    <row r="457" ht="84" customHeight="1" s="380">
      <c r="A457" s="108" t="n">
        <v>45</v>
      </c>
      <c r="B457" s="386" t="n"/>
      <c r="C457" s="386" t="inlineStr">
        <is>
          <t>Báo cáo giám sát &gt;&gt; Tổng hợp chung về tình hình tuân thủ nghĩa vụ gửi báo cáo định kỳ - Báo cáo duy trì điều kiện chi nhánh, phòng giao dịch</t>
        </is>
      </c>
      <c r="D457" s="386" t="inlineStr">
        <is>
          <t>Mã cổ phiếu</t>
        </is>
      </c>
      <c r="E457" s="395" t="inlineStr">
        <is>
          <t>Mã cổ phiếu</t>
        </is>
      </c>
      <c r="F457" s="386" t="inlineStr">
        <is>
          <t>Data Explorer</t>
        </is>
      </c>
      <c r="G457" s="386" t="inlineStr">
        <is>
          <t>Chỉ tiêu cơ sở</t>
        </is>
      </c>
      <c r="H457" s="386" t="inlineStr">
        <is>
          <t>Dễ</t>
        </is>
      </c>
      <c r="I457" s="386" t="inlineStr">
        <is>
          <t>Ngày, CTCK</t>
        </is>
      </c>
      <c r="J457" s="395" t="inlineStr">
        <is>
          <t>SCMS</t>
        </is>
      </c>
      <c r="K457" s="395" t="n"/>
      <c r="L457" s="395" t="inlineStr">
        <is>
          <t>X</t>
        </is>
      </c>
      <c r="M457" s="395" t="n"/>
      <c r="N457" s="395" t="inlineStr">
        <is>
          <t>Pending</t>
        </is>
      </c>
      <c r="O457" s="401" t="n"/>
      <c r="P457" s="395" t="n"/>
      <c r="Q457" s="395" t="n"/>
      <c r="R457" s="395" t="n"/>
      <c r="S457" s="395" t="n"/>
      <c r="T457" s="386" t="n"/>
      <c r="U457" s="386" t="n"/>
      <c r="V457" s="395" t="n"/>
      <c r="W457" s="395" t="n"/>
      <c r="X457" s="395" t="n"/>
      <c r="Y457" s="13" t="n"/>
      <c r="Z457" s="395" t="n"/>
      <c r="AA457" s="395" t="n"/>
      <c r="AB457" s="395" t="n"/>
      <c r="AC457" s="395" t="n"/>
      <c r="AD457" s="395" t="n"/>
      <c r="AE457" s="395" t="n"/>
    </row>
    <row r="458" ht="84" customHeight="1" s="380">
      <c r="A458" s="108" t="n">
        <v>45</v>
      </c>
      <c r="B458" s="386" t="n"/>
      <c r="C458" s="386" t="inlineStr">
        <is>
          <t>Báo cáo giám sát &gt;&gt; Tổng hợp chung về tình hình tuân thủ nghĩa vụ gửi báo cáo định kỳ - Báo cáo duy trì điều kiện chi nhánh, phòng giao dịch</t>
        </is>
      </c>
      <c r="D458" s="386" t="inlineStr">
        <is>
          <t>Vốn điều lệ (Đồng)</t>
        </is>
      </c>
      <c r="E458" s="395" t="inlineStr">
        <is>
          <t>Vốn điều lệ (Đồng)</t>
        </is>
      </c>
      <c r="F458" s="386" t="inlineStr">
        <is>
          <t>Data Explorer</t>
        </is>
      </c>
      <c r="G458" s="386" t="inlineStr">
        <is>
          <t>Chỉ tiêu cơ sở</t>
        </is>
      </c>
      <c r="H458" s="386" t="inlineStr">
        <is>
          <t>Dễ</t>
        </is>
      </c>
      <c r="I458" s="386" t="inlineStr">
        <is>
          <t>Ngày, CTCK</t>
        </is>
      </c>
      <c r="J458" s="395" t="inlineStr">
        <is>
          <t>SCMS</t>
        </is>
      </c>
      <c r="K458" s="395" t="n"/>
      <c r="L458" s="395" t="inlineStr">
        <is>
          <t>X</t>
        </is>
      </c>
      <c r="M458" s="395" t="n"/>
      <c r="N458" s="395" t="inlineStr">
        <is>
          <t>Pending</t>
        </is>
      </c>
      <c r="O458" s="401" t="n"/>
      <c r="P458" s="395" t="n"/>
      <c r="Q458" s="395" t="n"/>
      <c r="R458" s="395" t="n"/>
      <c r="S458" s="395" t="n"/>
      <c r="T458" s="386" t="n"/>
      <c r="U458" s="386" t="n"/>
      <c r="V458" s="395" t="n"/>
      <c r="W458" s="395" t="n"/>
      <c r="X458" s="395" t="n"/>
      <c r="Y458" s="13" t="n"/>
      <c r="Z458" s="395" t="n"/>
      <c r="AA458" s="395" t="n"/>
      <c r="AB458" s="395" t="n"/>
      <c r="AC458" s="395" t="n"/>
      <c r="AD458" s="395" t="n"/>
      <c r="AE458" s="395" t="n"/>
    </row>
    <row r="459" ht="84" customHeight="1" s="380">
      <c r="A459" s="108" t="n">
        <v>45</v>
      </c>
      <c r="B459" s="386" t="n"/>
      <c r="C459" s="386" t="inlineStr">
        <is>
          <t>Báo cáo giám sát &gt;&gt; Tổng hợp chung về tình hình tuân thủ nghĩa vụ gửi báo cáo định kỳ - Báo cáo duy trì điều kiện chi nhánh, phòng giao dịch</t>
        </is>
      </c>
      <c r="D459" s="386" t="inlineStr">
        <is>
          <t>Website</t>
        </is>
      </c>
      <c r="E459" s="395" t="inlineStr">
        <is>
          <t>Website</t>
        </is>
      </c>
      <c r="F459" s="386" t="inlineStr">
        <is>
          <t>Data Explorer</t>
        </is>
      </c>
      <c r="G459" s="386" t="inlineStr">
        <is>
          <t>Chỉ tiêu cơ sở</t>
        </is>
      </c>
      <c r="H459" s="386" t="inlineStr">
        <is>
          <t>Dễ</t>
        </is>
      </c>
      <c r="I459" s="386" t="inlineStr">
        <is>
          <t>Ngày, CTCK</t>
        </is>
      </c>
      <c r="J459" s="395" t="inlineStr">
        <is>
          <t>SCMS</t>
        </is>
      </c>
      <c r="K459" s="395" t="n"/>
      <c r="L459" s="395" t="inlineStr">
        <is>
          <t>X</t>
        </is>
      </c>
      <c r="M459" s="395" t="n"/>
      <c r="N459" s="395" t="inlineStr">
        <is>
          <t>Pending</t>
        </is>
      </c>
      <c r="O459" s="401" t="n"/>
      <c r="P459" s="395" t="n"/>
      <c r="Q459" s="395" t="n"/>
      <c r="R459" s="395" t="n"/>
      <c r="S459" s="395" t="n"/>
      <c r="T459" s="386" t="n"/>
      <c r="U459" s="386" t="n"/>
      <c r="V459" s="395" t="n"/>
      <c r="W459" s="395" t="n"/>
      <c r="X459" s="395" t="n"/>
      <c r="Y459" s="13" t="n"/>
      <c r="Z459" s="395" t="n"/>
      <c r="AA459" s="395" t="n"/>
      <c r="AB459" s="395" t="n"/>
      <c r="AC459" s="395" t="n"/>
      <c r="AD459" s="395" t="n"/>
      <c r="AE459" s="395" t="n"/>
    </row>
    <row r="460" ht="84" customHeight="1" s="380">
      <c r="A460" s="108" t="n">
        <v>45</v>
      </c>
      <c r="B460" s="386" t="n"/>
      <c r="C460" s="386" t="inlineStr">
        <is>
          <t>Báo cáo giám sát &gt;&gt; Tổng hợp chung về tình hình tuân thủ nghĩa vụ gửi báo cáo định kỳ - Báo cáo duy trì điều kiện chi nhánh, phòng giao dịch</t>
        </is>
      </c>
      <c r="D460" s="386" t="inlineStr">
        <is>
          <t>Trạng thái hoạt động</t>
        </is>
      </c>
      <c r="E460" s="395" t="inlineStr">
        <is>
          <t>Trạng thái hoạt động</t>
        </is>
      </c>
      <c r="F460" s="386" t="inlineStr">
        <is>
          <t>Data Explorer</t>
        </is>
      </c>
      <c r="G460" s="386" t="inlineStr">
        <is>
          <t>Chỉ tiêu cơ sở</t>
        </is>
      </c>
      <c r="H460" s="386" t="inlineStr">
        <is>
          <t>Dễ</t>
        </is>
      </c>
      <c r="I460" s="386" t="inlineStr">
        <is>
          <t>Ngày, CTCK</t>
        </is>
      </c>
      <c r="J460" s="395" t="inlineStr">
        <is>
          <t>SCMS</t>
        </is>
      </c>
      <c r="K460" s="395" t="n"/>
      <c r="L460" s="395" t="inlineStr">
        <is>
          <t>X</t>
        </is>
      </c>
      <c r="M460" s="395" t="n"/>
      <c r="N460" s="395" t="inlineStr">
        <is>
          <t>Pending</t>
        </is>
      </c>
      <c r="O460" s="401" t="n"/>
      <c r="P460" s="395" t="n"/>
      <c r="Q460" s="395" t="n"/>
      <c r="R460" s="395" t="n"/>
      <c r="S460" s="395" t="n"/>
      <c r="T460" s="386" t="n"/>
      <c r="U460" s="386" t="n"/>
      <c r="V460" s="395" t="n"/>
      <c r="W460" s="395" t="n"/>
      <c r="X460" s="395" t="n"/>
      <c r="Y460" s="13" t="n"/>
      <c r="Z460" s="395" t="n"/>
      <c r="AA460" s="395" t="n"/>
      <c r="AB460" s="395" t="n"/>
      <c r="AC460" s="395" t="n"/>
      <c r="AD460" s="395" t="n"/>
      <c r="AE460" s="395" t="n"/>
    </row>
    <row r="461" ht="84" customHeight="1" s="380">
      <c r="A461" s="108" t="n">
        <v>45</v>
      </c>
      <c r="B461" s="386" t="n"/>
      <c r="C461" s="386" t="inlineStr">
        <is>
          <t>Báo cáo giám sát &gt;&gt; Tổng hợp chung về tình hình tuân thủ nghĩa vụ gửi báo cáo định kỳ - Báo cáo duy trì điều kiện chi nhánh, phòng giao dịch</t>
        </is>
      </c>
      <c r="D461" s="386" t="inlineStr">
        <is>
          <t>Nghiệp vụ được phép hoạt động &gt;&gt; Môi giới chứng khoán</t>
        </is>
      </c>
      <c r="E461" s="386" t="inlineStr">
        <is>
          <t>Nghiệp vụ được phép hoạt động &gt;&gt; Môi giới chứng khoán</t>
        </is>
      </c>
      <c r="F461" s="386" t="inlineStr">
        <is>
          <t>Data Explorer</t>
        </is>
      </c>
      <c r="G461" s="386" t="inlineStr">
        <is>
          <t>Chỉ tiêu cơ sở</t>
        </is>
      </c>
      <c r="H461" s="386" t="inlineStr">
        <is>
          <t>TB</t>
        </is>
      </c>
      <c r="I461" s="386" t="inlineStr">
        <is>
          <t>Ngày, CTCK</t>
        </is>
      </c>
      <c r="J461" s="395" t="inlineStr">
        <is>
          <t>SCMS</t>
        </is>
      </c>
      <c r="K461" s="395" t="n"/>
      <c r="L461" s="395" t="inlineStr">
        <is>
          <t>X</t>
        </is>
      </c>
      <c r="M461" s="395" t="n"/>
      <c r="N461" s="395" t="inlineStr">
        <is>
          <t>Pending</t>
        </is>
      </c>
      <c r="O461" s="401" t="n"/>
      <c r="P461" s="395" t="n"/>
      <c r="Q461" s="395" t="n"/>
      <c r="R461" s="395" t="n"/>
      <c r="S461" s="395" t="n"/>
      <c r="T461" s="386" t="n"/>
      <c r="U461" s="386" t="n"/>
      <c r="V461" s="395" t="n"/>
      <c r="W461" s="395" t="n"/>
      <c r="X461" s="395" t="n"/>
      <c r="Y461" s="38" t="n"/>
      <c r="Z461" s="395" t="n"/>
      <c r="AA461" s="395" t="n"/>
      <c r="AB461" s="395" t="n"/>
      <c r="AC461" s="395" t="n"/>
      <c r="AD461" s="395" t="n"/>
      <c r="AE461" s="395" t="n"/>
    </row>
    <row r="462" ht="84" customHeight="1" s="380">
      <c r="A462" s="108" t="n">
        <v>45</v>
      </c>
      <c r="B462" s="386" t="n"/>
      <c r="C462" s="386" t="inlineStr">
        <is>
          <t>Báo cáo giám sát &gt;&gt; Tổng hợp chung về tình hình tuân thủ nghĩa vụ gửi báo cáo định kỳ - Báo cáo duy trì điều kiện chi nhánh, phòng giao dịch</t>
        </is>
      </c>
      <c r="D462" s="386" t="inlineStr">
        <is>
          <t>Nghiệp vụ được phép hoạt động &gt;&gt; Tự doanh chứng khoán</t>
        </is>
      </c>
      <c r="E462" s="386" t="inlineStr">
        <is>
          <t>Nghiệp vụ được phép hoạt động &gt;&gt; Tự doanh chứng khoán</t>
        </is>
      </c>
      <c r="F462" s="386" t="inlineStr">
        <is>
          <t>Data Explorer</t>
        </is>
      </c>
      <c r="G462" s="386" t="inlineStr">
        <is>
          <t>Chỉ tiêu cơ sở</t>
        </is>
      </c>
      <c r="H462" s="386" t="inlineStr">
        <is>
          <t>TB</t>
        </is>
      </c>
      <c r="I462" s="386" t="inlineStr">
        <is>
          <t>Ngày, CTCK</t>
        </is>
      </c>
      <c r="J462" s="395" t="inlineStr">
        <is>
          <t>SCMS</t>
        </is>
      </c>
      <c r="K462" s="395" t="n"/>
      <c r="L462" s="395" t="inlineStr">
        <is>
          <t>X</t>
        </is>
      </c>
      <c r="M462" s="395" t="n"/>
      <c r="N462" s="395" t="inlineStr">
        <is>
          <t>Pending</t>
        </is>
      </c>
      <c r="O462" s="401" t="n"/>
      <c r="P462" s="395" t="n"/>
      <c r="Q462" s="395" t="n"/>
      <c r="R462" s="395" t="n"/>
      <c r="S462" s="395" t="n"/>
      <c r="T462" s="386" t="n"/>
      <c r="U462" s="386" t="n"/>
      <c r="V462" s="395" t="n"/>
      <c r="W462" s="395" t="n"/>
      <c r="X462" s="395" t="n"/>
      <c r="Y462" s="13" t="n"/>
      <c r="Z462" s="395" t="n"/>
      <c r="AA462" s="395" t="n"/>
      <c r="AB462" s="395" t="n"/>
      <c r="AC462" s="395" t="n"/>
      <c r="AD462" s="395" t="n"/>
      <c r="AE462" s="395" t="n"/>
    </row>
    <row r="463" ht="84" customHeight="1" s="380">
      <c r="A463" s="108" t="n">
        <v>45</v>
      </c>
      <c r="B463" s="386" t="n"/>
      <c r="C463" s="386" t="inlineStr">
        <is>
          <t>Báo cáo giám sát &gt;&gt; Tổng hợp chung về tình hình tuân thủ nghĩa vụ gửi báo cáo định kỳ - Báo cáo duy trì điều kiện chi nhánh, phòng giao dịch</t>
        </is>
      </c>
      <c r="D463" s="386" t="inlineStr">
        <is>
          <t>Nghiệp vụ được phép hoạt động &gt;&gt; Bảo lãnh phát hành chứng khoán</t>
        </is>
      </c>
      <c r="E463" s="386" t="inlineStr">
        <is>
          <t>Nghiệp vụ được phép hoạt động &gt;&gt; Bảo lãnh phát hành chứng khoán</t>
        </is>
      </c>
      <c r="F463" s="386" t="inlineStr">
        <is>
          <t>Data Explorer</t>
        </is>
      </c>
      <c r="G463" s="386" t="inlineStr">
        <is>
          <t>Chỉ tiêu cơ sở</t>
        </is>
      </c>
      <c r="H463" s="386" t="inlineStr">
        <is>
          <t>TB</t>
        </is>
      </c>
      <c r="I463" s="386" t="inlineStr">
        <is>
          <t>Ngày, CTCK</t>
        </is>
      </c>
      <c r="J463" s="395" t="inlineStr">
        <is>
          <t>SCMS</t>
        </is>
      </c>
      <c r="K463" s="395" t="n"/>
      <c r="L463" s="395" t="inlineStr">
        <is>
          <t>X</t>
        </is>
      </c>
      <c r="M463" s="395" t="n"/>
      <c r="N463" s="395" t="inlineStr">
        <is>
          <t>Pending</t>
        </is>
      </c>
      <c r="O463" s="401" t="n"/>
      <c r="P463" s="395" t="n"/>
      <c r="Q463" s="395" t="n"/>
      <c r="R463" s="395" t="n"/>
      <c r="S463" s="395" t="n"/>
      <c r="T463" s="386" t="n"/>
      <c r="U463" s="386" t="n"/>
      <c r="V463" s="395" t="n"/>
      <c r="W463" s="395" t="n"/>
      <c r="X463" s="395" t="n"/>
      <c r="Y463" s="13" t="n"/>
      <c r="Z463" s="395" t="n"/>
      <c r="AA463" s="395" t="n"/>
      <c r="AB463" s="395" t="n"/>
      <c r="AC463" s="395" t="n"/>
      <c r="AD463" s="395" t="n"/>
      <c r="AE463" s="395" t="n"/>
    </row>
    <row r="464" ht="84" customHeight="1" s="380">
      <c r="A464" s="108" t="n">
        <v>45</v>
      </c>
      <c r="B464" s="386" t="n"/>
      <c r="C464" s="386" t="inlineStr">
        <is>
          <t>Báo cáo giám sát &gt;&gt; Tổng hợp chung về tình hình tuân thủ nghĩa vụ gửi báo cáo định kỳ - Báo cáo duy trì điều kiện chi nhánh, phòng giao dịch</t>
        </is>
      </c>
      <c r="D464" s="386" t="inlineStr">
        <is>
          <t>Nghiệp vụ được phép hoạt động &gt;&gt; Tư vấn đầu tư chứng khoán</t>
        </is>
      </c>
      <c r="E464" s="386" t="inlineStr">
        <is>
          <t>Nghiệp vụ được phép hoạt động &gt;&gt; Tư vấn đầu tư chứng khoán</t>
        </is>
      </c>
      <c r="F464" s="386" t="inlineStr">
        <is>
          <t>Data Explorer</t>
        </is>
      </c>
      <c r="G464" s="386" t="inlineStr">
        <is>
          <t>Chỉ tiêu cơ sở</t>
        </is>
      </c>
      <c r="H464" s="386" t="inlineStr">
        <is>
          <t>TB</t>
        </is>
      </c>
      <c r="I464" s="386" t="inlineStr">
        <is>
          <t>Ngày, CTCK</t>
        </is>
      </c>
      <c r="J464" s="395" t="inlineStr">
        <is>
          <t>SCMS</t>
        </is>
      </c>
      <c r="K464" s="395" t="n"/>
      <c r="L464" s="395" t="inlineStr">
        <is>
          <t>X</t>
        </is>
      </c>
      <c r="M464" s="395" t="n"/>
      <c r="N464" s="395" t="inlineStr">
        <is>
          <t>Pending</t>
        </is>
      </c>
      <c r="O464" s="401" t="n"/>
      <c r="P464" s="395" t="n"/>
      <c r="Q464" s="395" t="n"/>
      <c r="R464" s="395" t="n"/>
      <c r="S464" s="395" t="n"/>
      <c r="T464" s="386" t="n"/>
      <c r="U464" s="386" t="n"/>
      <c r="V464" s="395" t="n"/>
      <c r="W464" s="395" t="n"/>
      <c r="X464" s="395" t="n"/>
      <c r="Y464" s="13" t="n"/>
      <c r="Z464" s="395" t="n"/>
      <c r="AA464" s="395" t="n"/>
      <c r="AB464" s="395" t="n"/>
      <c r="AC464" s="395" t="n"/>
      <c r="AD464" s="395" t="n"/>
      <c r="AE464" s="395" t="n"/>
    </row>
    <row r="465" ht="84" customHeight="1" s="380">
      <c r="A465" s="108" t="n">
        <v>45</v>
      </c>
      <c r="B465" s="386" t="n"/>
      <c r="C465" s="386" t="inlineStr">
        <is>
          <t>Báo cáo giám sát &gt;&gt; Tổng hợp chung về tình hình tuân thủ nghĩa vụ gửi báo cáo định kỳ - Báo cáo duy trì điều kiện chi nhánh, phòng giao dịch</t>
        </is>
      </c>
      <c r="D465" s="386" t="inlineStr">
        <is>
          <t>Hoạt động kinh doanh chứng khoán phái sinh &gt;&gt; Giấy chứng nhận kinh doanh phái sinh</t>
        </is>
      </c>
      <c r="E465" s="386" t="inlineStr">
        <is>
          <t>Hoạt động kinh doanh chứng khoán phái sinh &gt;&gt; Giấy chứng nhận kinh doanh phái sinh</t>
        </is>
      </c>
      <c r="F465" s="386" t="inlineStr">
        <is>
          <t>Data Explorer</t>
        </is>
      </c>
      <c r="G465" s="386" t="inlineStr">
        <is>
          <t>Chỉ tiêu cơ sở</t>
        </is>
      </c>
      <c r="H465" s="386" t="inlineStr">
        <is>
          <t>TB</t>
        </is>
      </c>
      <c r="I465" s="386" t="inlineStr">
        <is>
          <t>Ngày, CTCK</t>
        </is>
      </c>
      <c r="J465" s="395" t="inlineStr">
        <is>
          <t>SCMS</t>
        </is>
      </c>
      <c r="K465" s="395" t="n"/>
      <c r="L465" s="395" t="inlineStr">
        <is>
          <t>X</t>
        </is>
      </c>
      <c r="M465" s="395" t="n"/>
      <c r="N465" s="395" t="inlineStr">
        <is>
          <t>Pending</t>
        </is>
      </c>
      <c r="O465" s="401" t="n"/>
      <c r="P465" s="395" t="n"/>
      <c r="Q465" s="395" t="n"/>
      <c r="R465" s="395" t="n"/>
      <c r="S465" s="395" t="n"/>
      <c r="T465" s="386" t="n"/>
      <c r="U465" s="386" t="n"/>
      <c r="V465" s="395" t="n"/>
      <c r="W465" s="395" t="n"/>
      <c r="X465" s="395" t="n"/>
      <c r="Y465" s="13" t="n"/>
      <c r="Z465" s="395" t="n"/>
      <c r="AA465" s="395" t="n"/>
      <c r="AB465" s="395" t="n"/>
      <c r="AC465" s="395" t="n"/>
      <c r="AD465" s="395" t="n"/>
      <c r="AE465" s="395" t="n"/>
    </row>
    <row r="466" ht="84" customHeight="1" s="380">
      <c r="A466" s="108" t="n">
        <v>45</v>
      </c>
      <c r="B466" s="386" t="n"/>
      <c r="C466" s="386" t="inlineStr">
        <is>
          <t>Báo cáo giám sát &gt;&gt; Tổng hợp chung về tình hình tuân thủ nghĩa vụ gửi báo cáo định kỳ - Báo cáo duy trì điều kiện chi nhánh, phòng giao dịch</t>
        </is>
      </c>
      <c r="D466" s="386" t="inlineStr">
        <is>
          <t>Hoạt động kinh doanh chứng khoán phái sinh &gt;&gt; Môi giới phái sinh</t>
        </is>
      </c>
      <c r="E466" s="386" t="inlineStr">
        <is>
          <t>Hoạt động kinh doanh chứng khoán phái sinh &gt;&gt; Môi giới phái sinh</t>
        </is>
      </c>
      <c r="F466" s="386" t="inlineStr">
        <is>
          <t>Data Explorer</t>
        </is>
      </c>
      <c r="G466" s="386" t="inlineStr">
        <is>
          <t>Chỉ tiêu cơ sở</t>
        </is>
      </c>
      <c r="H466" s="386" t="inlineStr">
        <is>
          <t>TB</t>
        </is>
      </c>
      <c r="I466" s="386" t="inlineStr">
        <is>
          <t>Ngày, CTCK</t>
        </is>
      </c>
      <c r="J466" s="395" t="inlineStr">
        <is>
          <t>SCMS</t>
        </is>
      </c>
      <c r="K466" s="395" t="n"/>
      <c r="L466" s="395" t="inlineStr">
        <is>
          <t>X</t>
        </is>
      </c>
      <c r="M466" s="395" t="n"/>
      <c r="N466" s="395" t="inlineStr">
        <is>
          <t>Pending</t>
        </is>
      </c>
      <c r="O466" s="401" t="n"/>
      <c r="P466" s="395" t="n"/>
      <c r="Q466" s="395" t="n"/>
      <c r="R466" s="395" t="n"/>
      <c r="S466" s="395" t="n"/>
      <c r="T466" s="386" t="n"/>
      <c r="U466" s="386" t="n"/>
      <c r="V466" s="395" t="n"/>
      <c r="W466" s="395" t="n"/>
      <c r="X466" s="395" t="n"/>
      <c r="Y466" s="13" t="n"/>
      <c r="Z466" s="395" t="n"/>
      <c r="AA466" s="395" t="n"/>
      <c r="AB466" s="395" t="n"/>
      <c r="AC466" s="395" t="n"/>
      <c r="AD466" s="395" t="n"/>
      <c r="AE466" s="395" t="n"/>
    </row>
    <row r="467" ht="84" customHeight="1" s="380">
      <c r="A467" s="108" t="n">
        <v>45</v>
      </c>
      <c r="B467" s="386" t="n"/>
      <c r="C467" s="386" t="inlineStr">
        <is>
          <t>Báo cáo giám sát &gt;&gt; Tổng hợp chung về tình hình tuân thủ nghĩa vụ gửi báo cáo định kỳ - Báo cáo duy trì điều kiện chi nhánh, phòng giao dịch</t>
        </is>
      </c>
      <c r="D467" s="386" t="inlineStr">
        <is>
          <t>Hoạt động kinh doanh chứng khoán phái sinh &gt;&gt; Tự doanh chứng khoán</t>
        </is>
      </c>
      <c r="E467" s="386" t="inlineStr">
        <is>
          <t>Hoạt động kinh doanh chứng khoán phái sinh &gt;&gt; Tự doanh chứng khoán</t>
        </is>
      </c>
      <c r="F467" s="386" t="inlineStr">
        <is>
          <t>Data Explorer</t>
        </is>
      </c>
      <c r="G467" s="386" t="inlineStr">
        <is>
          <t>Chỉ tiêu cơ sở</t>
        </is>
      </c>
      <c r="H467" s="386" t="inlineStr">
        <is>
          <t>TB</t>
        </is>
      </c>
      <c r="I467" s="386" t="inlineStr">
        <is>
          <t>Ngày, CTCK</t>
        </is>
      </c>
      <c r="J467" s="395" t="inlineStr">
        <is>
          <t>SCMS</t>
        </is>
      </c>
      <c r="K467" s="395" t="n"/>
      <c r="L467" s="395" t="inlineStr">
        <is>
          <t>X</t>
        </is>
      </c>
      <c r="M467" s="395" t="n"/>
      <c r="N467" s="395" t="inlineStr">
        <is>
          <t>Pending</t>
        </is>
      </c>
      <c r="O467" s="401" t="n"/>
      <c r="P467" s="395" t="n"/>
      <c r="Q467" s="395" t="n"/>
      <c r="R467" s="395" t="n"/>
      <c r="S467" s="395" t="n"/>
      <c r="T467" s="386" t="n"/>
      <c r="U467" s="386" t="n"/>
      <c r="V467" s="395" t="n"/>
      <c r="W467" s="395" t="n"/>
      <c r="X467" s="395" t="n"/>
      <c r="Y467" s="38" t="n"/>
      <c r="Z467" s="395" t="n"/>
      <c r="AA467" s="395" t="n"/>
      <c r="AB467" s="395" t="n"/>
      <c r="AC467" s="395" t="n"/>
      <c r="AD467" s="395" t="n"/>
      <c r="AE467" s="395" t="n"/>
    </row>
    <row r="468" ht="84" customHeight="1" s="380">
      <c r="A468" s="108" t="n">
        <v>45</v>
      </c>
      <c r="B468" s="386" t="n"/>
      <c r="C468" s="386" t="inlineStr">
        <is>
          <t>Báo cáo giám sát &gt;&gt; Tổng hợp chung về tình hình tuân thủ nghĩa vụ gửi báo cáo định kỳ - Báo cáo duy trì điều kiện chi nhánh, phòng giao dịch</t>
        </is>
      </c>
      <c r="D468" s="386" t="inlineStr">
        <is>
          <t>Hoạt động kinh doanh chứng khoán phái sinh &gt;&gt; Tư vấn đầu tư chứng khoán</t>
        </is>
      </c>
      <c r="E468" s="386" t="inlineStr">
        <is>
          <t>Hoạt động kinh doanh chứng khoán phái sinh &gt;&gt; Tư vấn đầu tư chứng khoán</t>
        </is>
      </c>
      <c r="F468" s="386" t="inlineStr">
        <is>
          <t>Data Explorer</t>
        </is>
      </c>
      <c r="G468" s="386" t="inlineStr">
        <is>
          <t>Chỉ tiêu cơ sở</t>
        </is>
      </c>
      <c r="H468" s="386" t="inlineStr">
        <is>
          <t>TB</t>
        </is>
      </c>
      <c r="I468" s="386" t="inlineStr">
        <is>
          <t>Ngày, CTCK</t>
        </is>
      </c>
      <c r="J468" s="395" t="inlineStr">
        <is>
          <t>SCMS</t>
        </is>
      </c>
      <c r="K468" s="395" t="n"/>
      <c r="L468" s="395" t="inlineStr">
        <is>
          <t>X</t>
        </is>
      </c>
      <c r="M468" s="395" t="n"/>
      <c r="N468" s="395" t="inlineStr">
        <is>
          <t>Pending</t>
        </is>
      </c>
      <c r="O468" s="401" t="n"/>
      <c r="P468" s="395" t="n"/>
      <c r="Q468" s="395" t="n"/>
      <c r="R468" s="395" t="n"/>
      <c r="S468" s="395" t="n"/>
      <c r="T468" s="386" t="n"/>
      <c r="U468" s="386" t="n"/>
      <c r="V468" s="395" t="n"/>
      <c r="W468" s="395" t="n"/>
      <c r="X468" s="395" t="n"/>
      <c r="Y468" s="13" t="n"/>
      <c r="Z468" s="395" t="n"/>
      <c r="AA468" s="395" t="n"/>
      <c r="AB468" s="395" t="n"/>
      <c r="AC468" s="395" t="n"/>
      <c r="AD468" s="395" t="n"/>
      <c r="AE468" s="395" t="n"/>
    </row>
    <row r="469" ht="84" customHeight="1" s="380">
      <c r="A469" s="108" t="n">
        <v>45</v>
      </c>
      <c r="B469" s="386" t="n"/>
      <c r="C469" s="386" t="inlineStr">
        <is>
          <t>Báo cáo giám sát &gt;&gt; Tổng hợp chung về tình hình tuân thủ nghĩa vụ gửi báo cáo định kỳ - Báo cáo duy trì điều kiện chi nhánh, phòng giao dịch</t>
        </is>
      </c>
      <c r="D469" s="386" t="inlineStr">
        <is>
          <t>Chi nhánh &gt;&gt; Nghiệp vụ được ủy quyền cho chi nhánh &gt;&gt; Môi giới chứng khoán</t>
        </is>
      </c>
      <c r="E469" s="386" t="inlineStr">
        <is>
          <t>Chi nhánh &gt;&gt; Nghiệp vụ được ủy quyền cho chi nhánh &gt;&gt; Môi giới chứng khoán</t>
        </is>
      </c>
      <c r="F469" s="386" t="inlineStr">
        <is>
          <t>Data Explorer</t>
        </is>
      </c>
      <c r="G469" s="386" t="inlineStr">
        <is>
          <t>Chỉ tiêu cơ sở</t>
        </is>
      </c>
      <c r="H469" s="386" t="inlineStr">
        <is>
          <t>TB</t>
        </is>
      </c>
      <c r="I469" s="386" t="inlineStr">
        <is>
          <t>Ngày, CTCK</t>
        </is>
      </c>
      <c r="J469" s="395" t="inlineStr">
        <is>
          <t>SCMS</t>
        </is>
      </c>
      <c r="K469" s="395" t="n"/>
      <c r="L469" s="395" t="inlineStr">
        <is>
          <t>X</t>
        </is>
      </c>
      <c r="M469" s="395" t="n"/>
      <c r="N469" s="395" t="inlineStr">
        <is>
          <t>Pending</t>
        </is>
      </c>
      <c r="O469" s="401" t="n"/>
      <c r="P469" s="395" t="n"/>
      <c r="Q469" s="395" t="n"/>
      <c r="R469" s="395" t="n"/>
      <c r="S469" s="395" t="n"/>
      <c r="T469" s="386" t="n"/>
      <c r="U469" s="386" t="n"/>
      <c r="V469" s="395" t="n"/>
      <c r="W469" s="395" t="n"/>
      <c r="X469" s="395" t="n"/>
      <c r="Y469" s="13" t="n"/>
      <c r="Z469" s="395" t="n"/>
      <c r="AA469" s="395" t="n"/>
      <c r="AB469" s="395" t="n"/>
      <c r="AC469" s="395" t="n"/>
      <c r="AD469" s="395" t="n"/>
      <c r="AE469" s="395" t="n"/>
    </row>
    <row r="470" ht="84" customHeight="1" s="380">
      <c r="A470" s="108" t="n">
        <v>45</v>
      </c>
      <c r="B470" s="386" t="n"/>
      <c r="C470" s="386" t="inlineStr">
        <is>
          <t>Báo cáo giám sát &gt;&gt; Tổng hợp chung về tình hình tuân thủ nghĩa vụ gửi báo cáo định kỳ - Báo cáo duy trì điều kiện chi nhánh, phòng giao dịch</t>
        </is>
      </c>
      <c r="D470" s="386" t="inlineStr">
        <is>
          <t>Chi nhánh &gt;&gt; Nghiệp vụ được ủy quyền cho chi nhánh &gt;&gt; Tự doanh chứng khoán</t>
        </is>
      </c>
      <c r="E470" s="386" t="inlineStr">
        <is>
          <t>Chi nhánh &gt;&gt; Nghiệp vụ được ủy quyền cho chi nhánh &gt;&gt; Tự doanh chứng khoán</t>
        </is>
      </c>
      <c r="F470" s="386" t="inlineStr">
        <is>
          <t>Data Explorer</t>
        </is>
      </c>
      <c r="G470" s="386" t="inlineStr">
        <is>
          <t>Chỉ tiêu cơ sở</t>
        </is>
      </c>
      <c r="H470" s="386" t="inlineStr">
        <is>
          <t>TB</t>
        </is>
      </c>
      <c r="I470" s="386" t="inlineStr">
        <is>
          <t>Ngày, CTCK</t>
        </is>
      </c>
      <c r="J470" s="395" t="inlineStr">
        <is>
          <t>SCMS</t>
        </is>
      </c>
      <c r="K470" s="395" t="n"/>
      <c r="L470" s="395" t="inlineStr">
        <is>
          <t>X</t>
        </is>
      </c>
      <c r="M470" s="395" t="n"/>
      <c r="N470" s="395" t="inlineStr">
        <is>
          <t>Pending</t>
        </is>
      </c>
      <c r="O470" s="401" t="n"/>
      <c r="P470" s="395" t="n"/>
      <c r="Q470" s="395" t="n"/>
      <c r="R470" s="395" t="n"/>
      <c r="S470" s="395" t="n"/>
      <c r="T470" s="386" t="n"/>
      <c r="U470" s="386" t="n"/>
      <c r="V470" s="395" t="n"/>
      <c r="W470" s="395" t="n"/>
      <c r="X470" s="395" t="n"/>
      <c r="Y470" s="13" t="n"/>
      <c r="Z470" s="395" t="n"/>
      <c r="AA470" s="395" t="n"/>
      <c r="AB470" s="395" t="n"/>
      <c r="AC470" s="395" t="n"/>
      <c r="AD470" s="395" t="n"/>
      <c r="AE470" s="395" t="n"/>
    </row>
    <row r="471" ht="84" customHeight="1" s="380">
      <c r="A471" s="108" t="n">
        <v>45</v>
      </c>
      <c r="B471" s="386" t="n"/>
      <c r="C471" s="386" t="inlineStr">
        <is>
          <t>Báo cáo giám sát &gt;&gt; Tổng hợp chung về tình hình tuân thủ nghĩa vụ gửi báo cáo định kỳ - Báo cáo duy trì điều kiện chi nhánh, phòng giao dịch</t>
        </is>
      </c>
      <c r="D471" s="386" t="inlineStr">
        <is>
          <t>Chi nhánh &gt;&gt; Nghiệp vụ được ủy quyền cho chi nhánh &gt;&gt; Bảo lãnh phát hành chứng khoán</t>
        </is>
      </c>
      <c r="E471" s="386" t="inlineStr">
        <is>
          <t>Chi nhánh &gt;&gt; Nghiệp vụ được ủy quyền cho chi nhánh &gt;&gt; Bảo lãnh phát hành chứng khoán</t>
        </is>
      </c>
      <c r="F471" s="386" t="inlineStr">
        <is>
          <t>Data Explorer</t>
        </is>
      </c>
      <c r="G471" s="386" t="inlineStr">
        <is>
          <t>Chỉ tiêu cơ sở</t>
        </is>
      </c>
      <c r="H471" s="386" t="inlineStr">
        <is>
          <t>TB</t>
        </is>
      </c>
      <c r="I471" s="386" t="inlineStr">
        <is>
          <t>Ngày, CTCK</t>
        </is>
      </c>
      <c r="J471" s="395" t="inlineStr">
        <is>
          <t>SCMS</t>
        </is>
      </c>
      <c r="K471" s="395" t="n"/>
      <c r="L471" s="395" t="inlineStr">
        <is>
          <t>X</t>
        </is>
      </c>
      <c r="M471" s="395" t="n"/>
      <c r="N471" s="395" t="inlineStr">
        <is>
          <t>Pending</t>
        </is>
      </c>
      <c r="O471" s="401" t="n"/>
      <c r="P471" s="395" t="n"/>
      <c r="Q471" s="395" t="n"/>
      <c r="R471" s="395" t="n"/>
      <c r="S471" s="395" t="n"/>
      <c r="T471" s="386" t="n"/>
      <c r="U471" s="386" t="n"/>
      <c r="V471" s="395" t="n"/>
      <c r="W471" s="395" t="n"/>
      <c r="X471" s="395" t="n"/>
      <c r="Y471" s="13" t="n"/>
      <c r="Z471" s="395" t="n"/>
      <c r="AA471" s="395" t="n"/>
      <c r="AB471" s="395" t="n"/>
      <c r="AC471" s="395" t="n"/>
      <c r="AD471" s="395" t="n"/>
      <c r="AE471" s="395" t="n"/>
    </row>
    <row r="472" ht="84" customHeight="1" s="380">
      <c r="A472" s="108" t="n">
        <v>45</v>
      </c>
      <c r="B472" s="386" t="n"/>
      <c r="C472" s="386" t="inlineStr">
        <is>
          <t>Báo cáo giám sát &gt;&gt; Tổng hợp chung về tình hình tuân thủ nghĩa vụ gửi báo cáo định kỳ - Báo cáo duy trì điều kiện chi nhánh, phòng giao dịch</t>
        </is>
      </c>
      <c r="D472" s="386" t="inlineStr">
        <is>
          <t>Chi nhánh &gt;&gt; Nghiệp vụ được ủy quyền cho chi nhánh &gt;&gt; Tư vấn đầu tư chứng khoán</t>
        </is>
      </c>
      <c r="E472" s="386" t="inlineStr">
        <is>
          <t>Chi nhánh &gt;&gt; Nghiệp vụ được ủy quyền cho chi nhánh &gt;&gt; Tư vấn đầu tư chứng khoán</t>
        </is>
      </c>
      <c r="F472" s="386" t="inlineStr">
        <is>
          <t>Data Explorer</t>
        </is>
      </c>
      <c r="G472" s="386" t="inlineStr">
        <is>
          <t>Chỉ tiêu cơ sở</t>
        </is>
      </c>
      <c r="H472" s="386" t="inlineStr">
        <is>
          <t>TB</t>
        </is>
      </c>
      <c r="I472" s="386" t="inlineStr">
        <is>
          <t>Ngày, CTCK</t>
        </is>
      </c>
      <c r="J472" s="395" t="inlineStr">
        <is>
          <t>SCMS</t>
        </is>
      </c>
      <c r="K472" s="395" t="n"/>
      <c r="L472" s="395" t="inlineStr">
        <is>
          <t>X</t>
        </is>
      </c>
      <c r="M472" s="395" t="n"/>
      <c r="N472" s="395" t="inlineStr">
        <is>
          <t>Pending</t>
        </is>
      </c>
      <c r="O472" s="401" t="n"/>
      <c r="P472" s="395" t="n"/>
      <c r="Q472" s="395" t="n"/>
      <c r="R472" s="395" t="n"/>
      <c r="S472" s="395" t="n"/>
      <c r="T472" s="386" t="n"/>
      <c r="U472" s="386" t="n"/>
      <c r="V472" s="395" t="n"/>
      <c r="W472" s="395" t="n"/>
      <c r="X472" s="395" t="n"/>
      <c r="Y472" s="13" t="n"/>
      <c r="Z472" s="395" t="n"/>
      <c r="AA472" s="395" t="n"/>
      <c r="AB472" s="395" t="n"/>
      <c r="AC472" s="395" t="n"/>
      <c r="AD472" s="395" t="n"/>
      <c r="AE472" s="395" t="n"/>
    </row>
    <row r="473" ht="84" customHeight="1" s="380">
      <c r="A473" s="108" t="n">
        <v>45</v>
      </c>
      <c r="B473" s="386" t="n"/>
      <c r="C473" s="386" t="inlineStr">
        <is>
          <t>Báo cáo giám sát &gt;&gt; Tổng hợp chung về tình hình tuân thủ nghĩa vụ gửi báo cáo định kỳ - Báo cáo duy trì điều kiện chi nhánh, phòng giao dịch</t>
        </is>
      </c>
      <c r="D473" s="386" t="inlineStr">
        <is>
          <t>Phòng giao dịch &gt;&gt; Tên trụ sở hoặc tên chi nhánh được hỗ trợ</t>
        </is>
      </c>
      <c r="E473" s="386" t="inlineStr">
        <is>
          <t>Phòng giao dịch &gt;&gt; Tên trụ sở hoặc tên chi nhánh được hỗ trợ</t>
        </is>
      </c>
      <c r="F473" s="386" t="inlineStr">
        <is>
          <t>Data Explorer</t>
        </is>
      </c>
      <c r="G473" s="386" t="inlineStr">
        <is>
          <t>Chỉ tiêu cơ sở</t>
        </is>
      </c>
      <c r="H473" s="386" t="inlineStr">
        <is>
          <t>TB</t>
        </is>
      </c>
      <c r="I473" s="386" t="inlineStr">
        <is>
          <t>Ngày, CTCK</t>
        </is>
      </c>
      <c r="J473" s="395" t="inlineStr">
        <is>
          <t>SCMS</t>
        </is>
      </c>
      <c r="K473" s="395" t="n"/>
      <c r="L473" s="395" t="inlineStr">
        <is>
          <t>X</t>
        </is>
      </c>
      <c r="M473" s="395" t="n"/>
      <c r="N473" s="395" t="inlineStr">
        <is>
          <t>Pending</t>
        </is>
      </c>
      <c r="O473" s="401" t="n"/>
      <c r="P473" s="395" t="n"/>
      <c r="Q473" s="395" t="n"/>
      <c r="R473" s="395" t="n"/>
      <c r="S473" s="395" t="n"/>
      <c r="T473" s="386" t="n"/>
      <c r="U473" s="386" t="n"/>
      <c r="V473" s="395" t="n"/>
      <c r="W473" s="395" t="n"/>
      <c r="X473" s="395" t="n"/>
      <c r="Y473" s="38" t="n"/>
      <c r="Z473" s="395" t="n"/>
      <c r="AA473" s="395" t="n"/>
      <c r="AB473" s="395" t="n"/>
      <c r="AC473" s="395" t="n"/>
      <c r="AD473" s="395" t="n"/>
      <c r="AE473" s="395" t="n"/>
    </row>
    <row r="474" ht="84" customHeight="1" s="380">
      <c r="A474" s="108" t="n">
        <v>45</v>
      </c>
      <c r="B474" s="386" t="n"/>
      <c r="C474" s="386" t="inlineStr">
        <is>
          <t>Báo cáo giám sát &gt;&gt; Tổng hợp chung về tình hình tuân thủ nghĩa vụ gửi báo cáo định kỳ - Báo cáo duy trì điều kiện chi nhánh, phòng giao dịch</t>
        </is>
      </c>
      <c r="D474" s="386" t="inlineStr">
        <is>
          <t>Phòng giao dịch &gt;&gt; Nghiệp vụ hỗ trợ &gt;&gt; Môi giới chứng khoán</t>
        </is>
      </c>
      <c r="E474" s="386" t="inlineStr">
        <is>
          <t>Phòng giao dịch &gt;&gt; Nghiệp vụ hỗ trợ &gt;&gt; Môi giới chứng khoán</t>
        </is>
      </c>
      <c r="F474" s="386" t="inlineStr">
        <is>
          <t>Data Explorer</t>
        </is>
      </c>
      <c r="G474" s="386" t="inlineStr">
        <is>
          <t>Chỉ tiêu cơ sở</t>
        </is>
      </c>
      <c r="H474" s="386" t="inlineStr">
        <is>
          <t>TB</t>
        </is>
      </c>
      <c r="I474" s="386" t="inlineStr">
        <is>
          <t>Ngày, CTCK</t>
        </is>
      </c>
      <c r="J474" s="395" t="inlineStr">
        <is>
          <t>SCMS</t>
        </is>
      </c>
      <c r="K474" s="395" t="n"/>
      <c r="L474" s="395" t="inlineStr">
        <is>
          <t>X</t>
        </is>
      </c>
      <c r="M474" s="395" t="n"/>
      <c r="N474" s="395" t="inlineStr">
        <is>
          <t>Pending</t>
        </is>
      </c>
      <c r="O474" s="401" t="n"/>
      <c r="P474" s="395" t="n"/>
      <c r="Q474" s="395" t="n"/>
      <c r="R474" s="395" t="n"/>
      <c r="S474" s="395" t="n"/>
      <c r="T474" s="386" t="n"/>
      <c r="U474" s="386" t="n"/>
      <c r="V474" s="395" t="n"/>
      <c r="W474" s="395" t="n"/>
      <c r="X474" s="395" t="n"/>
      <c r="Y474" s="13" t="n"/>
      <c r="Z474" s="395" t="n"/>
      <c r="AA474" s="395" t="n"/>
      <c r="AB474" s="395" t="n"/>
      <c r="AC474" s="395" t="n"/>
      <c r="AD474" s="395" t="n"/>
      <c r="AE474" s="395" t="n"/>
    </row>
    <row r="475" ht="84" customHeight="1" s="380">
      <c r="A475" s="108" t="n">
        <v>45</v>
      </c>
      <c r="B475" s="386" t="n"/>
      <c r="C475" s="386" t="inlineStr">
        <is>
          <t>Báo cáo giám sát &gt;&gt; Tổng hợp chung về tình hình tuân thủ nghĩa vụ gửi báo cáo định kỳ - Báo cáo duy trì điều kiện chi nhánh, phòng giao dịch</t>
        </is>
      </c>
      <c r="D475" s="386" t="inlineStr">
        <is>
          <t>Phòng giao dịch &gt;&gt; Nghiệp vụ hỗ trợ &gt;&gt; Tư vấn đầu tư chứng khoán</t>
        </is>
      </c>
      <c r="E475" s="386" t="inlineStr">
        <is>
          <t>Phòng giao dịch &gt;&gt; Nghiệp vụ hỗ trợ &gt;&gt; Tư vấn đầu tư chứng khoán</t>
        </is>
      </c>
      <c r="F475" s="386" t="inlineStr">
        <is>
          <t>Data Explorer</t>
        </is>
      </c>
      <c r="G475" s="386" t="inlineStr">
        <is>
          <t>Chỉ tiêu cơ sở</t>
        </is>
      </c>
      <c r="H475" s="386" t="inlineStr">
        <is>
          <t>TB</t>
        </is>
      </c>
      <c r="I475" s="386" t="inlineStr">
        <is>
          <t>Ngày, CTCK</t>
        </is>
      </c>
      <c r="J475" s="395" t="inlineStr">
        <is>
          <t>SCMS</t>
        </is>
      </c>
      <c r="K475" s="395" t="n"/>
      <c r="L475" s="395" t="inlineStr">
        <is>
          <t>X</t>
        </is>
      </c>
      <c r="M475" s="395" t="n"/>
      <c r="N475" s="395" t="inlineStr">
        <is>
          <t>Pending</t>
        </is>
      </c>
      <c r="O475" s="401" t="n"/>
      <c r="P475" s="395" t="n"/>
      <c r="Q475" s="395" t="n"/>
      <c r="R475" s="395" t="n"/>
      <c r="S475" s="395" t="n"/>
      <c r="T475" s="386" t="n"/>
      <c r="U475" s="386" t="n"/>
      <c r="V475" s="395" t="n"/>
      <c r="W475" s="395" t="n"/>
      <c r="X475" s="395" t="n"/>
      <c r="Y475" s="13" t="n"/>
      <c r="Z475" s="395" t="n"/>
      <c r="AA475" s="395" t="n"/>
      <c r="AB475" s="395" t="n"/>
      <c r="AC475" s="395" t="n"/>
      <c r="AD475" s="395" t="n"/>
      <c r="AE475" s="395" t="n"/>
    </row>
    <row r="476" ht="84" customHeight="1" s="380">
      <c r="A476" s="111" t="n">
        <v>45</v>
      </c>
      <c r="B476" s="68" t="n"/>
      <c r="C476" s="68" t="inlineStr">
        <is>
          <t>Báo cáo giám sát &gt;&gt; Tổng hợp chung về tình hình tuân thủ nghĩa vụ gửi báo cáo định kỳ - Báo cáo duy trì điều kiện chi nhánh, phòng giao dịch</t>
        </is>
      </c>
      <c r="D476" s="68" t="inlineStr">
        <is>
          <t>Phòng giao dịch &gt;&gt; Nghiệp vụ hỗ trợ &gt;&gt; Lưu ký chứng khoán</t>
        </is>
      </c>
      <c r="E476" s="68" t="inlineStr">
        <is>
          <t>Phòng giao dịch &gt;&gt; Nghiệp vụ hỗ trợ &gt;&gt; Lưu ký chứng khoán</t>
        </is>
      </c>
      <c r="F476" s="68" t="inlineStr">
        <is>
          <t>Data Explorer</t>
        </is>
      </c>
      <c r="G476" s="68" t="inlineStr">
        <is>
          <t>Chỉ tiêu cơ sở</t>
        </is>
      </c>
      <c r="H476" s="68" t="inlineStr">
        <is>
          <t>TB</t>
        </is>
      </c>
      <c r="I476" s="68" t="inlineStr">
        <is>
          <t>Ngày, CTCK</t>
        </is>
      </c>
      <c r="J476" s="69" t="inlineStr">
        <is>
          <t>SCMS</t>
        </is>
      </c>
      <c r="K476" s="69" t="n"/>
      <c r="L476" s="69" t="inlineStr">
        <is>
          <t>X</t>
        </is>
      </c>
      <c r="M476" s="69" t="n"/>
      <c r="N476" s="69" t="inlineStr">
        <is>
          <t>Pending</t>
        </is>
      </c>
      <c r="O476" s="85" t="n"/>
      <c r="P476" s="69" t="n"/>
      <c r="Q476" s="69" t="n"/>
      <c r="R476" s="69" t="n"/>
      <c r="S476" s="69" t="n"/>
      <c r="T476" s="68" t="n"/>
      <c r="U476" s="68" t="n"/>
      <c r="V476" s="69" t="n"/>
      <c r="W476" s="69" t="n"/>
      <c r="X476" s="69" t="n"/>
      <c r="Y476" s="97" t="n"/>
      <c r="Z476" s="69" t="n"/>
      <c r="AA476" s="69" t="n"/>
      <c r="AB476" s="69" t="n"/>
      <c r="AC476" s="69" t="n"/>
      <c r="AD476" s="69" t="n"/>
      <c r="AE476" s="69" t="n"/>
    </row>
    <row r="477" ht="84" customHeight="1" s="380">
      <c r="A477" s="108" t="n">
        <v>46</v>
      </c>
      <c r="B477" s="100" t="inlineStr">
        <is>
          <t>Nga</t>
        </is>
      </c>
      <c r="C477" s="81" t="inlineStr">
        <is>
          <t>Báo cáo giám sát &gt;&gt; Tổng hợp chung về tình hình tuân thủ nghĩa vụ gửi báo cáo định kỳ - Báo cáo giám sát duy trì điều kiện cấp phái sinh</t>
        </is>
      </c>
      <c r="D477" s="106" t="inlineStr">
        <is>
          <t>Loại báo cáo</t>
        </is>
      </c>
      <c r="E477" s="107" t="inlineStr">
        <is>
          <t>Loại báo cáo</t>
        </is>
      </c>
      <c r="F477" s="390" t="inlineStr">
        <is>
          <t>Data Explorer</t>
        </is>
      </c>
      <c r="G477" s="390" t="inlineStr">
        <is>
          <t>Chiều</t>
        </is>
      </c>
      <c r="H477" s="390" t="inlineStr">
        <is>
          <t>Dễ</t>
        </is>
      </c>
      <c r="I477" s="390" t="inlineStr">
        <is>
          <t>Ngày, CTCK</t>
        </is>
      </c>
      <c r="J477" s="401" t="inlineStr">
        <is>
          <t>SCMS</t>
        </is>
      </c>
      <c r="K477" s="401" t="inlineStr">
        <is>
          <t>X</t>
        </is>
      </c>
      <c r="L477" s="395" t="inlineStr">
        <is>
          <t>X</t>
        </is>
      </c>
      <c r="M477" s="401" t="n"/>
      <c r="N477" s="395" t="inlineStr">
        <is>
          <t>Pending</t>
        </is>
      </c>
      <c r="O477" s="401" t="n"/>
      <c r="P477" s="395" t="n"/>
      <c r="Q477" s="105" t="inlineStr">
        <is>
          <t>DB cũ không thấy biểu mẫu báo cáo này</t>
        </is>
      </c>
      <c r="R477" s="395" t="n"/>
      <c r="S477" s="395" t="n"/>
      <c r="T477" s="386" t="n"/>
      <c r="U477" s="386" t="n"/>
      <c r="V477" s="395" t="n"/>
      <c r="W477" s="395" t="n"/>
      <c r="X477" s="395" t="n"/>
      <c r="Y477" s="13" t="n"/>
      <c r="Z477" s="395" t="n"/>
      <c r="AA477" s="395" t="n"/>
      <c r="AB477" s="395" t="n"/>
      <c r="AC477" s="395" t="n"/>
      <c r="AD477" s="395" t="n"/>
      <c r="AE477" s="395" t="n"/>
    </row>
    <row r="478" ht="84" customHeight="1" s="380">
      <c r="A478" s="108" t="n">
        <v>46</v>
      </c>
      <c r="B478" s="386" t="n"/>
      <c r="C478" s="386" t="inlineStr">
        <is>
          <t>Báo cáo giám sát &gt;&gt; Tổng hợp chung về tình hình tuân thủ nghĩa vụ gửi báo cáo định kỳ - Báo cáo giám sát duy trì điều kiện cấp phái sinh</t>
        </is>
      </c>
      <c r="D478" s="106" t="inlineStr">
        <is>
          <t>Kỳ báo cáo</t>
        </is>
      </c>
      <c r="E478" s="107" t="inlineStr">
        <is>
          <t>Kỳ báo cáo</t>
        </is>
      </c>
      <c r="F478" s="390" t="inlineStr">
        <is>
          <t>Data Explorer</t>
        </is>
      </c>
      <c r="G478" s="390" t="inlineStr">
        <is>
          <t>Chiều</t>
        </is>
      </c>
      <c r="H478" s="390" t="inlineStr">
        <is>
          <t>Dễ</t>
        </is>
      </c>
      <c r="I478" s="390" t="inlineStr">
        <is>
          <t>Ngày, CTCK</t>
        </is>
      </c>
      <c r="J478" s="401" t="inlineStr">
        <is>
          <t>SCMS</t>
        </is>
      </c>
      <c r="K478" s="401" t="inlineStr">
        <is>
          <t>X</t>
        </is>
      </c>
      <c r="L478" s="395" t="inlineStr">
        <is>
          <t>X</t>
        </is>
      </c>
      <c r="M478" s="401" t="n"/>
      <c r="N478" s="395" t="inlineStr">
        <is>
          <t>Pending</t>
        </is>
      </c>
      <c r="O478" s="401" t="n"/>
      <c r="P478" s="395" t="n"/>
      <c r="Q478" s="395" t="n"/>
      <c r="R478" s="395" t="n"/>
      <c r="S478" s="395" t="n"/>
      <c r="T478" s="386" t="n"/>
      <c r="U478" s="386" t="n"/>
      <c r="V478" s="395" t="n"/>
      <c r="W478" s="395" t="n"/>
      <c r="X478" s="395" t="n"/>
      <c r="Y478" s="13" t="n"/>
      <c r="Z478" s="395" t="n"/>
      <c r="AA478" s="395" t="n"/>
      <c r="AB478" s="395" t="n"/>
      <c r="AC478" s="395" t="n"/>
      <c r="AD478" s="395" t="n"/>
      <c r="AE478" s="395" t="n"/>
    </row>
    <row r="479" ht="84" customHeight="1" s="380">
      <c r="A479" s="108" t="n">
        <v>46</v>
      </c>
      <c r="B479" s="386" t="n"/>
      <c r="C479" s="386" t="inlineStr">
        <is>
          <t>Báo cáo giám sát &gt;&gt; Tổng hợp chung về tình hình tuân thủ nghĩa vụ gửi báo cáo định kỳ - Báo cáo giám sát duy trì điều kiện cấp phái sinh</t>
        </is>
      </c>
      <c r="D479" s="106" t="inlineStr">
        <is>
          <t>Mã báo cáo</t>
        </is>
      </c>
      <c r="E479" s="107" t="inlineStr">
        <is>
          <t>Mã báo cáo</t>
        </is>
      </c>
      <c r="F479" s="390" t="inlineStr">
        <is>
          <t>Data Explorer</t>
        </is>
      </c>
      <c r="G479" s="390" t="inlineStr">
        <is>
          <t>Chiều</t>
        </is>
      </c>
      <c r="H479" s="390" t="inlineStr">
        <is>
          <t>Dễ</t>
        </is>
      </c>
      <c r="I479" s="390" t="inlineStr">
        <is>
          <t>Ngày, CTCK</t>
        </is>
      </c>
      <c r="J479" s="401" t="inlineStr">
        <is>
          <t>SCMS</t>
        </is>
      </c>
      <c r="K479" s="401" t="inlineStr">
        <is>
          <t>X</t>
        </is>
      </c>
      <c r="L479" s="395" t="inlineStr">
        <is>
          <t>X</t>
        </is>
      </c>
      <c r="M479" s="401" t="n"/>
      <c r="N479" s="395" t="inlineStr">
        <is>
          <t>Pending</t>
        </is>
      </c>
      <c r="O479" s="401" t="n"/>
      <c r="P479" s="395" t="n"/>
      <c r="Q479" s="395" t="n"/>
      <c r="R479" s="395" t="n"/>
      <c r="S479" s="395" t="n"/>
      <c r="T479" s="386" t="n"/>
      <c r="U479" s="386" t="n"/>
      <c r="V479" s="395" t="n"/>
      <c r="W479" s="395" t="n"/>
      <c r="X479" s="395" t="n"/>
      <c r="Y479" s="14" t="n"/>
      <c r="Z479" s="395" t="n"/>
      <c r="AA479" s="395" t="n"/>
      <c r="AB479" s="395" t="n"/>
      <c r="AC479" s="395" t="n"/>
      <c r="AD479" s="395" t="n"/>
      <c r="AE479" s="395" t="n"/>
    </row>
    <row r="480" ht="84" customHeight="1" s="380">
      <c r="A480" s="108" t="n">
        <v>46</v>
      </c>
      <c r="B480" s="386" t="n"/>
      <c r="C480" s="386" t="inlineStr">
        <is>
          <t>Báo cáo giám sát &gt;&gt; Tổng hợp chung về tình hình tuân thủ nghĩa vụ gửi báo cáo định kỳ - Báo cáo giám sát duy trì điều kiện cấp phái sinh</t>
        </is>
      </c>
      <c r="D480" s="106" t="inlineStr">
        <is>
          <t>Tên báo cáo</t>
        </is>
      </c>
      <c r="E480" s="107" t="inlineStr">
        <is>
          <t>Tên báo cáo</t>
        </is>
      </c>
      <c r="F480" s="390" t="inlineStr">
        <is>
          <t>Data Explorer</t>
        </is>
      </c>
      <c r="G480" s="390" t="inlineStr">
        <is>
          <t>Chiều</t>
        </is>
      </c>
      <c r="H480" s="390" t="inlineStr">
        <is>
          <t>Dễ</t>
        </is>
      </c>
      <c r="I480" s="390" t="inlineStr">
        <is>
          <t>Ngày, CTCK</t>
        </is>
      </c>
      <c r="J480" s="401" t="inlineStr">
        <is>
          <t>SCMS</t>
        </is>
      </c>
      <c r="K480" s="401" t="inlineStr">
        <is>
          <t>X</t>
        </is>
      </c>
      <c r="L480" s="395" t="inlineStr">
        <is>
          <t>X</t>
        </is>
      </c>
      <c r="M480" s="401" t="n"/>
      <c r="N480" s="395" t="inlineStr">
        <is>
          <t>Pending</t>
        </is>
      </c>
      <c r="O480" s="401" t="n"/>
      <c r="P480" s="395" t="n"/>
      <c r="Q480" s="395" t="n"/>
      <c r="R480" s="395" t="n"/>
      <c r="S480" s="395" t="n"/>
      <c r="T480" s="386" t="n"/>
      <c r="U480" s="386" t="n"/>
      <c r="V480" s="395" t="n"/>
      <c r="W480" s="395" t="n"/>
      <c r="X480" s="395" t="n"/>
      <c r="Y480" s="13" t="n"/>
      <c r="Z480" s="395" t="n"/>
      <c r="AA480" s="395" t="n"/>
      <c r="AB480" s="395" t="n"/>
      <c r="AC480" s="395" t="n"/>
      <c r="AD480" s="395" t="n"/>
      <c r="AE480" s="395" t="n"/>
    </row>
    <row r="481" ht="84" customHeight="1" s="380">
      <c r="A481" s="108" t="n">
        <v>46</v>
      </c>
      <c r="B481" s="386" t="n"/>
      <c r="C481" s="386" t="inlineStr">
        <is>
          <t>Báo cáo giám sát &gt;&gt; Tổng hợp chung về tình hình tuân thủ nghĩa vụ gửi báo cáo định kỳ - Báo cáo giám sát duy trì điều kiện cấp phái sinh</t>
        </is>
      </c>
      <c r="D481" s="106" t="inlineStr">
        <is>
          <t>Mã chỉ tiêu</t>
        </is>
      </c>
      <c r="E481" s="107" t="inlineStr">
        <is>
          <t>Mã chỉ tiêu</t>
        </is>
      </c>
      <c r="F481" s="390" t="inlineStr">
        <is>
          <t>Data Explorer</t>
        </is>
      </c>
      <c r="G481" s="390" t="inlineStr">
        <is>
          <t>Chiều</t>
        </is>
      </c>
      <c r="H481" s="390" t="inlineStr">
        <is>
          <t>Dễ</t>
        </is>
      </c>
      <c r="I481" s="390" t="inlineStr">
        <is>
          <t>Ngày, CTCK</t>
        </is>
      </c>
      <c r="J481" s="401" t="inlineStr">
        <is>
          <t>SCMS</t>
        </is>
      </c>
      <c r="K481" s="401" t="inlineStr">
        <is>
          <t>X</t>
        </is>
      </c>
      <c r="L481" s="395" t="inlineStr">
        <is>
          <t>X</t>
        </is>
      </c>
      <c r="M481" s="401" t="n"/>
      <c r="N481" s="395" t="inlineStr">
        <is>
          <t>Pending</t>
        </is>
      </c>
      <c r="O481" s="401" t="n"/>
      <c r="P481" s="395" t="n"/>
      <c r="Q481" s="395" t="n"/>
      <c r="R481" s="395" t="n"/>
      <c r="S481" s="395" t="n"/>
      <c r="T481" s="386" t="n"/>
      <c r="U481" s="386" t="n"/>
      <c r="V481" s="395" t="n"/>
      <c r="W481" s="395" t="n"/>
      <c r="X481" s="395" t="n"/>
      <c r="Y481" s="13" t="n"/>
      <c r="Z481" s="395" t="n"/>
      <c r="AA481" s="395" t="n"/>
      <c r="AB481" s="395" t="n"/>
      <c r="AC481" s="395" t="n"/>
      <c r="AD481" s="395" t="n"/>
      <c r="AE481" s="395" t="n"/>
    </row>
    <row r="482" ht="84" customHeight="1" s="380">
      <c r="A482" s="108" t="n">
        <v>46</v>
      </c>
      <c r="B482" s="386" t="n"/>
      <c r="C482" s="386" t="inlineStr">
        <is>
          <t>Báo cáo giám sát &gt;&gt; Tổng hợp chung về tình hình tuân thủ nghĩa vụ gửi báo cáo định kỳ - Báo cáo giám sát duy trì điều kiện cấp phái sinh</t>
        </is>
      </c>
      <c r="D482" s="106" t="inlineStr">
        <is>
          <t>Tên chỉ tiêu</t>
        </is>
      </c>
      <c r="E482" s="107" t="inlineStr">
        <is>
          <t>Tên chỉ tiêu</t>
        </is>
      </c>
      <c r="F482" s="390" t="inlineStr">
        <is>
          <t>Data Explorer</t>
        </is>
      </c>
      <c r="G482" s="390" t="inlineStr">
        <is>
          <t>Chiều</t>
        </is>
      </c>
      <c r="H482" s="390" t="inlineStr">
        <is>
          <t>Dễ</t>
        </is>
      </c>
      <c r="I482" s="390" t="inlineStr">
        <is>
          <t>Ngày, CTCK</t>
        </is>
      </c>
      <c r="J482" s="401" t="inlineStr">
        <is>
          <t>SCMS</t>
        </is>
      </c>
      <c r="K482" s="401" t="inlineStr">
        <is>
          <t>X</t>
        </is>
      </c>
      <c r="L482" s="395" t="inlineStr">
        <is>
          <t>X</t>
        </is>
      </c>
      <c r="M482" s="401" t="n"/>
      <c r="N482" s="395" t="inlineStr">
        <is>
          <t>Pending</t>
        </is>
      </c>
      <c r="O482" s="401" t="n"/>
      <c r="P482" s="395" t="n"/>
      <c r="Q482" s="395" t="n"/>
      <c r="R482" s="395" t="n"/>
      <c r="S482" s="395" t="n"/>
      <c r="T482" s="386" t="n"/>
      <c r="U482" s="386" t="n"/>
      <c r="V482" s="395" t="n"/>
      <c r="W482" s="395" t="n"/>
      <c r="X482" s="395" t="n"/>
      <c r="Y482" s="13" t="n"/>
      <c r="Z482" s="395" t="n"/>
      <c r="AA482" s="395" t="n"/>
      <c r="AB482" s="395" t="n"/>
      <c r="AC482" s="395" t="n"/>
      <c r="AD482" s="395" t="n"/>
      <c r="AE482" s="395" t="n"/>
    </row>
    <row r="483" ht="84" customHeight="1" s="380">
      <c r="A483" s="108" t="n">
        <v>46</v>
      </c>
      <c r="B483" s="386" t="n"/>
      <c r="C483" s="386" t="inlineStr">
        <is>
          <t>Báo cáo giám sát &gt;&gt; Tổng hợp chung về tình hình tuân thủ nghĩa vụ gửi báo cáo định kỳ - Báo cáo giám sát duy trì điều kiện cấp phái sinh</t>
        </is>
      </c>
      <c r="D483" s="386" t="inlineStr">
        <is>
          <t>Tên công ty chứng khoán</t>
        </is>
      </c>
      <c r="E483" s="395" t="inlineStr">
        <is>
          <t>Tên công ty chứng khoán</t>
        </is>
      </c>
      <c r="F483" s="386" t="inlineStr">
        <is>
          <t>Data Explorer</t>
        </is>
      </c>
      <c r="G483" s="386" t="inlineStr">
        <is>
          <t>Chỉ tiêu cơ sở</t>
        </is>
      </c>
      <c r="H483" s="386" t="inlineStr">
        <is>
          <t>Dễ</t>
        </is>
      </c>
      <c r="I483" s="386" t="inlineStr">
        <is>
          <t>Ngày, CTCK</t>
        </is>
      </c>
      <c r="J483" s="395" t="inlineStr">
        <is>
          <t>SCMS</t>
        </is>
      </c>
      <c r="K483" s="395" t="n"/>
      <c r="L483" s="395" t="inlineStr">
        <is>
          <t>X</t>
        </is>
      </c>
      <c r="M483" s="395" t="n"/>
      <c r="N483" s="395" t="inlineStr">
        <is>
          <t>Pending</t>
        </is>
      </c>
      <c r="O483" s="401" t="n"/>
      <c r="P483" s="395" t="n"/>
      <c r="Q483" s="395" t="n"/>
      <c r="R483" s="395" t="n"/>
      <c r="S483" s="395" t="n"/>
      <c r="T483" s="386" t="n"/>
      <c r="U483" s="386" t="n"/>
      <c r="V483" s="395" t="n"/>
      <c r="W483" s="395" t="n"/>
      <c r="X483" s="395" t="n"/>
      <c r="Y483" s="13" t="n"/>
      <c r="Z483" s="395" t="n"/>
      <c r="AA483" s="395" t="n"/>
      <c r="AB483" s="395" t="n"/>
      <c r="AC483" s="395" t="n"/>
      <c r="AD483" s="395" t="n"/>
      <c r="AE483" s="395" t="n"/>
    </row>
    <row r="484" ht="84" customHeight="1" s="380">
      <c r="A484" s="108" t="n">
        <v>46</v>
      </c>
      <c r="B484" s="386" t="n"/>
      <c r="C484" s="386" t="inlineStr">
        <is>
          <t>Báo cáo giám sát &gt;&gt; Tổng hợp chung về tình hình tuân thủ nghĩa vụ gửi báo cáo định kỳ - Báo cáo giám sát duy trì điều kiện cấp phái sinh</t>
        </is>
      </c>
      <c r="D484" s="386" t="inlineStr">
        <is>
          <t>Địa chỉ trụ sở chính</t>
        </is>
      </c>
      <c r="E484" s="395" t="inlineStr">
        <is>
          <t>Địa chỉ trụ sở chính</t>
        </is>
      </c>
      <c r="F484" s="386" t="inlineStr">
        <is>
          <t>Data Explorer</t>
        </is>
      </c>
      <c r="G484" s="386" t="inlineStr">
        <is>
          <t>Chỉ tiêu cơ sở</t>
        </is>
      </c>
      <c r="H484" s="386" t="inlineStr">
        <is>
          <t>Dễ</t>
        </is>
      </c>
      <c r="I484" s="386" t="inlineStr">
        <is>
          <t>Ngày, CTCK</t>
        </is>
      </c>
      <c r="J484" s="395" t="inlineStr">
        <is>
          <t>SCMS</t>
        </is>
      </c>
      <c r="K484" s="395" t="n"/>
      <c r="L484" s="395" t="inlineStr">
        <is>
          <t>X</t>
        </is>
      </c>
      <c r="M484" s="395" t="n"/>
      <c r="N484" s="395" t="inlineStr">
        <is>
          <t>Pending</t>
        </is>
      </c>
      <c r="O484" s="401" t="n"/>
      <c r="P484" s="395" t="n"/>
      <c r="Q484" s="395" t="n"/>
      <c r="R484" s="395" t="n"/>
      <c r="S484" s="395" t="n"/>
      <c r="T484" s="386" t="n"/>
      <c r="U484" s="386" t="n"/>
      <c r="V484" s="395" t="n"/>
      <c r="W484" s="395" t="n"/>
      <c r="X484" s="395" t="n"/>
      <c r="Y484" s="13" t="n"/>
      <c r="Z484" s="395" t="n"/>
      <c r="AA484" s="395" t="n"/>
      <c r="AB484" s="395" t="n"/>
      <c r="AC484" s="395" t="n"/>
      <c r="AD484" s="395" t="n"/>
      <c r="AE484" s="395" t="n"/>
    </row>
    <row r="485" ht="84" customHeight="1" s="380">
      <c r="A485" s="108" t="n">
        <v>46</v>
      </c>
      <c r="B485" s="386" t="n"/>
      <c r="C485" s="386" t="inlineStr">
        <is>
          <t>Báo cáo giám sát &gt;&gt; Tổng hợp chung về tình hình tuân thủ nghĩa vụ gửi báo cáo định kỳ - Báo cáo giám sát duy trì điều kiện cấp phái sinh</t>
        </is>
      </c>
      <c r="D485" s="386" t="inlineStr">
        <is>
          <t>Số điện thoại</t>
        </is>
      </c>
      <c r="E485" s="395" t="inlineStr">
        <is>
          <t>Số điện thoại</t>
        </is>
      </c>
      <c r="F485" s="386" t="inlineStr">
        <is>
          <t>Data Explorer</t>
        </is>
      </c>
      <c r="G485" s="386" t="inlineStr">
        <is>
          <t>Chỉ tiêu cơ sở</t>
        </is>
      </c>
      <c r="H485" s="386" t="inlineStr">
        <is>
          <t>Dễ</t>
        </is>
      </c>
      <c r="I485" s="386" t="inlineStr">
        <is>
          <t>Ngày, CTCK</t>
        </is>
      </c>
      <c r="J485" s="395" t="inlineStr">
        <is>
          <t>SCMS</t>
        </is>
      </c>
      <c r="K485" s="395" t="n"/>
      <c r="L485" s="395" t="inlineStr">
        <is>
          <t>X</t>
        </is>
      </c>
      <c r="M485" s="395" t="n"/>
      <c r="N485" s="395" t="inlineStr">
        <is>
          <t>Pending</t>
        </is>
      </c>
      <c r="O485" s="401" t="n"/>
      <c r="P485" s="395" t="n"/>
      <c r="Q485" s="395" t="n"/>
      <c r="R485" s="395" t="n"/>
      <c r="S485" s="395" t="n"/>
      <c r="T485" s="386" t="n"/>
      <c r="U485" s="386" t="n"/>
      <c r="V485" s="395" t="n"/>
      <c r="W485" s="395" t="n"/>
      <c r="X485" s="395" t="n"/>
      <c r="Y485" s="14" t="n"/>
      <c r="Z485" s="395" t="n"/>
      <c r="AA485" s="395" t="n"/>
      <c r="AB485" s="395" t="n"/>
      <c r="AC485" s="395" t="n"/>
      <c r="AD485" s="395" t="n"/>
      <c r="AE485" s="395" t="n"/>
    </row>
    <row r="486" ht="84" customHeight="1" s="380">
      <c r="A486" s="108" t="n">
        <v>46</v>
      </c>
      <c r="B486" s="386" t="n"/>
      <c r="C486" s="386" t="inlineStr">
        <is>
          <t>Báo cáo giám sát &gt;&gt; Tổng hợp chung về tình hình tuân thủ nghĩa vụ gửi báo cáo định kỳ - Báo cáo giám sát duy trì điều kiện cấp phái sinh</t>
        </is>
      </c>
      <c r="D486" s="386" t="inlineStr">
        <is>
          <t>Số giấy phép thành lập và hoạt động 
lần đầu</t>
        </is>
      </c>
      <c r="E486" s="395" t="inlineStr">
        <is>
          <t>Số giấy phép thành lập và hoạt động 
lần đầu</t>
        </is>
      </c>
      <c r="F486" s="386" t="inlineStr">
        <is>
          <t>Data Explorer</t>
        </is>
      </c>
      <c r="G486" s="386" t="inlineStr">
        <is>
          <t>Chỉ tiêu cơ sở</t>
        </is>
      </c>
      <c r="H486" s="386" t="inlineStr">
        <is>
          <t>Dễ</t>
        </is>
      </c>
      <c r="I486" s="386" t="inlineStr">
        <is>
          <t>Ngày, CTCK</t>
        </is>
      </c>
      <c r="J486" s="395" t="inlineStr">
        <is>
          <t>SCMS</t>
        </is>
      </c>
      <c r="K486" s="395" t="n"/>
      <c r="L486" s="395" t="inlineStr">
        <is>
          <t>X</t>
        </is>
      </c>
      <c r="M486" s="395" t="n"/>
      <c r="N486" s="395" t="inlineStr">
        <is>
          <t>Pending</t>
        </is>
      </c>
      <c r="O486" s="401" t="n"/>
      <c r="P486" s="395" t="n"/>
      <c r="Q486" s="395" t="n"/>
      <c r="R486" s="395" t="n"/>
      <c r="S486" s="395" t="n"/>
      <c r="T486" s="386" t="n"/>
      <c r="U486" s="386" t="n"/>
      <c r="V486" s="395" t="n"/>
      <c r="W486" s="395" t="n"/>
      <c r="X486" s="395" t="n"/>
      <c r="Y486" s="13" t="n"/>
      <c r="Z486" s="395" t="n"/>
      <c r="AA486" s="395" t="n"/>
      <c r="AB486" s="395" t="n"/>
      <c r="AC486" s="395" t="n"/>
      <c r="AD486" s="395" t="n"/>
      <c r="AE486" s="395" t="n"/>
    </row>
    <row r="487" ht="84" customHeight="1" s="380">
      <c r="A487" s="108" t="n">
        <v>46</v>
      </c>
      <c r="B487" s="386" t="n"/>
      <c r="C487" s="386" t="inlineStr">
        <is>
          <t>Báo cáo giám sát &gt;&gt; Tổng hợp chung về tình hình tuân thủ nghĩa vụ gửi báo cáo định kỳ - Báo cáo giám sát duy trì điều kiện cấp phái sinh</t>
        </is>
      </c>
      <c r="D487" s="386" t="inlineStr">
        <is>
          <t>Ngày giấy phép lần đầu
(Ngày/tháng/năm)</t>
        </is>
      </c>
      <c r="E487" s="395" t="inlineStr">
        <is>
          <t>Ngày giấy phép lần đầu
(Ngày/tháng/năm)</t>
        </is>
      </c>
      <c r="F487" s="386" t="inlineStr">
        <is>
          <t>Data Explorer</t>
        </is>
      </c>
      <c r="G487" s="386" t="inlineStr">
        <is>
          <t>Chỉ tiêu cơ sở</t>
        </is>
      </c>
      <c r="H487" s="386" t="inlineStr">
        <is>
          <t>Dễ</t>
        </is>
      </c>
      <c r="I487" s="386" t="inlineStr">
        <is>
          <t>Ngày, CTCK</t>
        </is>
      </c>
      <c r="J487" s="395" t="inlineStr">
        <is>
          <t>SCMS</t>
        </is>
      </c>
      <c r="K487" s="395" t="n"/>
      <c r="L487" s="395" t="inlineStr">
        <is>
          <t>X</t>
        </is>
      </c>
      <c r="M487" s="395" t="n"/>
      <c r="N487" s="395" t="inlineStr">
        <is>
          <t>Pending</t>
        </is>
      </c>
      <c r="O487" s="401" t="n"/>
      <c r="P487" s="395" t="n"/>
      <c r="Q487" s="395" t="n"/>
      <c r="R487" s="395" t="n"/>
      <c r="S487" s="395" t="n"/>
      <c r="T487" s="386" t="n"/>
      <c r="U487" s="386" t="n"/>
      <c r="V487" s="395" t="n"/>
      <c r="W487" s="395" t="n"/>
      <c r="X487" s="395" t="n"/>
      <c r="Y487" s="13" t="n"/>
      <c r="Z487" s="395" t="n"/>
      <c r="AA487" s="395" t="n"/>
      <c r="AB487" s="395" t="n"/>
      <c r="AC487" s="395" t="n"/>
      <c r="AD487" s="395" t="n"/>
      <c r="AE487" s="395" t="n"/>
    </row>
    <row r="488" ht="84" customHeight="1" s="380">
      <c r="A488" s="108" t="n">
        <v>46</v>
      </c>
      <c r="B488" s="386" t="n"/>
      <c r="C488" s="386" t="inlineStr">
        <is>
          <t>Báo cáo giám sát &gt;&gt; Tổng hợp chung về tình hình tuân thủ nghĩa vụ gửi báo cáo định kỳ - Báo cáo giám sát duy trì điều kiện cấp phái sinh</t>
        </is>
      </c>
      <c r="D488" s="386" t="inlineStr">
        <is>
          <t>Mã số doanh nghiệp</t>
        </is>
      </c>
      <c r="E488" s="395" t="inlineStr">
        <is>
          <t>Mã số doanh nghiệp</t>
        </is>
      </c>
      <c r="F488" s="386" t="inlineStr">
        <is>
          <t>Data Explorer</t>
        </is>
      </c>
      <c r="G488" s="386" t="inlineStr">
        <is>
          <t>Chỉ tiêu cơ sở</t>
        </is>
      </c>
      <c r="H488" s="386" t="inlineStr">
        <is>
          <t>Dễ</t>
        </is>
      </c>
      <c r="I488" s="386" t="inlineStr">
        <is>
          <t>Ngày, CTCK</t>
        </is>
      </c>
      <c r="J488" s="395" t="inlineStr">
        <is>
          <t>SCMS</t>
        </is>
      </c>
      <c r="K488" s="395" t="n"/>
      <c r="L488" s="395" t="inlineStr">
        <is>
          <t>X</t>
        </is>
      </c>
      <c r="M488" s="395" t="n"/>
      <c r="N488" s="395" t="inlineStr">
        <is>
          <t>Pending</t>
        </is>
      </c>
      <c r="O488" s="401" t="n"/>
      <c r="P488" s="395" t="n"/>
      <c r="Q488" s="395" t="n"/>
      <c r="R488" s="395" t="n"/>
      <c r="S488" s="395" t="n"/>
      <c r="T488" s="386" t="n"/>
      <c r="U488" s="386" t="n"/>
      <c r="V488" s="395" t="n"/>
      <c r="W488" s="395" t="n"/>
      <c r="X488" s="395" t="n"/>
      <c r="Y488" s="13" t="n"/>
      <c r="Z488" s="395" t="n"/>
      <c r="AA488" s="395" t="n"/>
      <c r="AB488" s="395" t="n"/>
      <c r="AC488" s="395" t="n"/>
      <c r="AD488" s="395" t="n"/>
      <c r="AE488" s="395" t="n"/>
    </row>
    <row r="489" ht="84" customHeight="1" s="380">
      <c r="A489" s="108" t="n">
        <v>46</v>
      </c>
      <c r="B489" s="386" t="n"/>
      <c r="C489" s="386" t="inlineStr">
        <is>
          <t>Báo cáo giám sát &gt;&gt; Tổng hợp chung về tình hình tuân thủ nghĩa vụ gửi báo cáo định kỳ - Báo cáo giám sát duy trì điều kiện cấp phái sinh</t>
        </is>
      </c>
      <c r="D489" s="386" t="inlineStr">
        <is>
          <t>Sàn giao dịch cổ phiếu</t>
        </is>
      </c>
      <c r="E489" s="395" t="inlineStr">
        <is>
          <t>Sàn giao dịch cổ phiếu</t>
        </is>
      </c>
      <c r="F489" s="386" t="inlineStr">
        <is>
          <t>Data Explorer</t>
        </is>
      </c>
      <c r="G489" s="386" t="inlineStr">
        <is>
          <t>Chỉ tiêu cơ sở</t>
        </is>
      </c>
      <c r="H489" s="386" t="inlineStr">
        <is>
          <t>Dễ</t>
        </is>
      </c>
      <c r="I489" s="386" t="inlineStr">
        <is>
          <t>Ngày, CTCK</t>
        </is>
      </c>
      <c r="J489" s="395" t="inlineStr">
        <is>
          <t>SCMS</t>
        </is>
      </c>
      <c r="K489" s="395" t="n"/>
      <c r="L489" s="395" t="inlineStr">
        <is>
          <t>X</t>
        </is>
      </c>
      <c r="M489" s="395" t="n"/>
      <c r="N489" s="395" t="inlineStr">
        <is>
          <t>Pending</t>
        </is>
      </c>
      <c r="O489" s="401" t="n"/>
      <c r="P489" s="395" t="n"/>
      <c r="Q489" s="395" t="n"/>
      <c r="R489" s="395" t="n"/>
      <c r="S489" s="395" t="n"/>
      <c r="T489" s="386" t="n"/>
      <c r="U489" s="386" t="n"/>
      <c r="V489" s="395" t="n"/>
      <c r="W489" s="395" t="n"/>
      <c r="X489" s="395" t="n"/>
      <c r="Y489" s="13" t="n"/>
      <c r="Z489" s="395" t="n"/>
      <c r="AA489" s="395" t="n"/>
      <c r="AB489" s="395" t="n"/>
      <c r="AC489" s="395" t="n"/>
      <c r="AD489" s="395" t="n"/>
      <c r="AE489" s="395" t="n"/>
    </row>
    <row r="490" ht="84" customHeight="1" s="380">
      <c r="A490" s="108" t="n">
        <v>46</v>
      </c>
      <c r="B490" s="386" t="n"/>
      <c r="C490" s="386" t="inlineStr">
        <is>
          <t>Báo cáo giám sát &gt;&gt; Tổng hợp chung về tình hình tuân thủ nghĩa vụ gửi báo cáo định kỳ - Báo cáo giám sát duy trì điều kiện cấp phái sinh</t>
        </is>
      </c>
      <c r="D490" s="386" t="inlineStr">
        <is>
          <t>Mã cổ phiếu</t>
        </is>
      </c>
      <c r="E490" s="395" t="inlineStr">
        <is>
          <t>Mã cổ phiếu</t>
        </is>
      </c>
      <c r="F490" s="386" t="inlineStr">
        <is>
          <t>Data Explorer</t>
        </is>
      </c>
      <c r="G490" s="386" t="inlineStr">
        <is>
          <t>Chỉ tiêu cơ sở</t>
        </is>
      </c>
      <c r="H490" s="386" t="inlineStr">
        <is>
          <t>Dễ</t>
        </is>
      </c>
      <c r="I490" s="386" t="inlineStr">
        <is>
          <t>Ngày, CTCK</t>
        </is>
      </c>
      <c r="J490" s="395" t="inlineStr">
        <is>
          <t>SCMS</t>
        </is>
      </c>
      <c r="K490" s="395" t="n"/>
      <c r="L490" s="395" t="inlineStr">
        <is>
          <t>X</t>
        </is>
      </c>
      <c r="M490" s="395" t="n"/>
      <c r="N490" s="395" t="inlineStr">
        <is>
          <t>Pending</t>
        </is>
      </c>
      <c r="O490" s="401" t="n"/>
      <c r="P490" s="395" t="n"/>
      <c r="Q490" s="395" t="n"/>
      <c r="R490" s="395" t="n"/>
      <c r="S490" s="395" t="n"/>
      <c r="T490" s="386" t="n"/>
      <c r="U490" s="386" t="n"/>
      <c r="V490" s="395" t="n"/>
      <c r="W490" s="395" t="n"/>
      <c r="X490" s="395" t="n"/>
      <c r="Y490" s="13" t="n"/>
      <c r="Z490" s="395" t="n"/>
      <c r="AA490" s="395" t="n"/>
      <c r="AB490" s="395" t="n"/>
      <c r="AC490" s="395" t="n"/>
      <c r="AD490" s="395" t="n"/>
      <c r="AE490" s="395" t="n"/>
    </row>
    <row r="491" ht="84" customHeight="1" s="380">
      <c r="A491" s="108" t="n">
        <v>46</v>
      </c>
      <c r="B491" s="386" t="n"/>
      <c r="C491" s="386" t="inlineStr">
        <is>
          <t>Báo cáo giám sát &gt;&gt; Tổng hợp chung về tình hình tuân thủ nghĩa vụ gửi báo cáo định kỳ - Báo cáo giám sát duy trì điều kiện cấp phái sinh</t>
        </is>
      </c>
      <c r="D491" s="386" t="inlineStr">
        <is>
          <t>Vốn điều lệ (Đồng)</t>
        </is>
      </c>
      <c r="E491" s="395" t="inlineStr">
        <is>
          <t>Vốn điều lệ (Đồng)</t>
        </is>
      </c>
      <c r="F491" s="386" t="inlineStr">
        <is>
          <t>Data Explorer</t>
        </is>
      </c>
      <c r="G491" s="386" t="inlineStr">
        <is>
          <t>Chỉ tiêu cơ sở</t>
        </is>
      </c>
      <c r="H491" s="386" t="inlineStr">
        <is>
          <t>Dễ</t>
        </is>
      </c>
      <c r="I491" s="386" t="inlineStr">
        <is>
          <t>Ngày, CTCK</t>
        </is>
      </c>
      <c r="J491" s="395" t="inlineStr">
        <is>
          <t>SCMS</t>
        </is>
      </c>
      <c r="K491" s="395" t="n"/>
      <c r="L491" s="395" t="inlineStr">
        <is>
          <t>X</t>
        </is>
      </c>
      <c r="M491" s="395" t="n"/>
      <c r="N491" s="395" t="inlineStr">
        <is>
          <t>Pending</t>
        </is>
      </c>
      <c r="O491" s="401" t="n"/>
      <c r="P491" s="395" t="n"/>
      <c r="Q491" s="395" t="n"/>
      <c r="R491" s="395" t="n"/>
      <c r="S491" s="395" t="n"/>
      <c r="T491" s="386" t="n"/>
      <c r="U491" s="386" t="n"/>
      <c r="V491" s="395" t="n"/>
      <c r="W491" s="395" t="n"/>
      <c r="X491" s="395" t="n"/>
      <c r="Y491" s="38" t="n"/>
      <c r="Z491" s="395" t="n"/>
      <c r="AA491" s="395" t="n"/>
      <c r="AB491" s="395" t="n"/>
      <c r="AC491" s="395" t="n"/>
      <c r="AD491" s="395" t="n"/>
      <c r="AE491" s="395" t="n"/>
    </row>
    <row r="492" ht="84" customHeight="1" s="380">
      <c r="A492" s="108" t="n">
        <v>46</v>
      </c>
      <c r="B492" s="386" t="n"/>
      <c r="C492" s="386" t="inlineStr">
        <is>
          <t>Báo cáo giám sát &gt;&gt; Tổng hợp chung về tình hình tuân thủ nghĩa vụ gửi báo cáo định kỳ - Báo cáo giám sát duy trì điều kiện cấp phái sinh</t>
        </is>
      </c>
      <c r="D492" s="386" t="inlineStr">
        <is>
          <t>Website</t>
        </is>
      </c>
      <c r="E492" s="395" t="inlineStr">
        <is>
          <t>Website</t>
        </is>
      </c>
      <c r="F492" s="386" t="inlineStr">
        <is>
          <t>Data Explorer</t>
        </is>
      </c>
      <c r="G492" s="386" t="inlineStr">
        <is>
          <t>Chỉ tiêu cơ sở</t>
        </is>
      </c>
      <c r="H492" s="386" t="inlineStr">
        <is>
          <t>Dễ</t>
        </is>
      </c>
      <c r="I492" s="386" t="inlineStr">
        <is>
          <t>Ngày, CTCK</t>
        </is>
      </c>
      <c r="J492" s="395" t="inlineStr">
        <is>
          <t>SCMS</t>
        </is>
      </c>
      <c r="K492" s="395" t="n"/>
      <c r="L492" s="395" t="inlineStr">
        <is>
          <t>X</t>
        </is>
      </c>
      <c r="M492" s="395" t="n"/>
      <c r="N492" s="395" t="inlineStr">
        <is>
          <t>Pending</t>
        </is>
      </c>
      <c r="O492" s="401" t="n"/>
      <c r="P492" s="395" t="n"/>
      <c r="Q492" s="395" t="n"/>
      <c r="R492" s="395" t="n"/>
      <c r="S492" s="395" t="n"/>
      <c r="T492" s="386" t="n"/>
      <c r="U492" s="386" t="n"/>
      <c r="V492" s="395" t="n"/>
      <c r="W492" s="395" t="n"/>
      <c r="X492" s="395" t="n"/>
      <c r="Y492" s="13" t="n"/>
      <c r="Z492" s="395" t="n"/>
      <c r="AA492" s="395" t="n"/>
      <c r="AB492" s="395" t="n"/>
      <c r="AC492" s="395" t="n"/>
      <c r="AD492" s="395" t="n"/>
      <c r="AE492" s="395" t="n"/>
    </row>
    <row r="493" ht="84" customHeight="1" s="380">
      <c r="A493" s="108" t="n">
        <v>46</v>
      </c>
      <c r="B493" s="386" t="n"/>
      <c r="C493" s="386" t="inlineStr">
        <is>
          <t>Báo cáo giám sát &gt;&gt; Tổng hợp chung về tình hình tuân thủ nghĩa vụ gửi báo cáo định kỳ - Báo cáo giám sát duy trì điều kiện cấp phái sinh</t>
        </is>
      </c>
      <c r="D493" s="386" t="inlineStr">
        <is>
          <t>Trạng thái hoạt động</t>
        </is>
      </c>
      <c r="E493" s="395" t="inlineStr">
        <is>
          <t>Trạng thái hoạt động</t>
        </is>
      </c>
      <c r="F493" s="386" t="inlineStr">
        <is>
          <t>Data Explorer</t>
        </is>
      </c>
      <c r="G493" s="386" t="inlineStr">
        <is>
          <t>Chỉ tiêu cơ sở</t>
        </is>
      </c>
      <c r="H493" s="386" t="inlineStr">
        <is>
          <t>Dễ</t>
        </is>
      </c>
      <c r="I493" s="386" t="inlineStr">
        <is>
          <t>Ngày, CTCK</t>
        </is>
      </c>
      <c r="J493" s="395" t="inlineStr">
        <is>
          <t>SCMS</t>
        </is>
      </c>
      <c r="K493" s="395" t="n"/>
      <c r="L493" s="395" t="inlineStr">
        <is>
          <t>X</t>
        </is>
      </c>
      <c r="M493" s="395" t="n"/>
      <c r="N493" s="395" t="inlineStr">
        <is>
          <t>Pending</t>
        </is>
      </c>
      <c r="O493" s="401" t="n"/>
      <c r="P493" s="395" t="n"/>
      <c r="Q493" s="395" t="n"/>
      <c r="R493" s="395" t="n"/>
      <c r="S493" s="395" t="n"/>
      <c r="T493" s="386" t="n"/>
      <c r="U493" s="386" t="n"/>
      <c r="V493" s="395" t="n"/>
      <c r="W493" s="395" t="n"/>
      <c r="X493" s="395" t="n"/>
      <c r="Y493" s="13" t="n"/>
      <c r="Z493" s="395" t="n"/>
      <c r="AA493" s="395" t="n"/>
      <c r="AB493" s="395" t="n"/>
      <c r="AC493" s="395" t="n"/>
      <c r="AD493" s="395" t="n"/>
      <c r="AE493" s="395" t="n"/>
    </row>
    <row r="494" ht="84" customHeight="1" s="380">
      <c r="A494" s="108" t="n">
        <v>46</v>
      </c>
      <c r="B494" s="386" t="n"/>
      <c r="C494" s="386" t="inlineStr">
        <is>
          <t>Báo cáo giám sát &gt;&gt; Tổng hợp chung về tình hình tuân thủ nghĩa vụ gửi báo cáo định kỳ - Báo cáo giám sát duy trì điều kiện cấp phái sinh</t>
        </is>
      </c>
      <c r="D494" s="386" t="inlineStr">
        <is>
          <t>Nghiệp vụ được phép hoạt động &gt;&gt; Môi giới chứng khoán</t>
        </is>
      </c>
      <c r="E494" s="386" t="inlineStr">
        <is>
          <t>Nghiệp vụ được phép hoạt động &gt;&gt; Môi giới chứng khoán</t>
        </is>
      </c>
      <c r="F494" s="386" t="inlineStr">
        <is>
          <t>Data Explorer</t>
        </is>
      </c>
      <c r="G494" s="386" t="inlineStr">
        <is>
          <t>Chỉ tiêu cơ sở</t>
        </is>
      </c>
      <c r="H494" s="386" t="inlineStr">
        <is>
          <t>TB</t>
        </is>
      </c>
      <c r="I494" s="386" t="inlineStr">
        <is>
          <t>Ngày, CTCK</t>
        </is>
      </c>
      <c r="J494" s="395" t="inlineStr">
        <is>
          <t>SCMS</t>
        </is>
      </c>
      <c r="K494" s="395" t="n"/>
      <c r="L494" s="395" t="inlineStr">
        <is>
          <t>X</t>
        </is>
      </c>
      <c r="M494" s="395" t="n"/>
      <c r="N494" s="395" t="inlineStr">
        <is>
          <t>Pending</t>
        </is>
      </c>
      <c r="O494" s="401" t="n"/>
      <c r="P494" s="395" t="n"/>
      <c r="Q494" s="395" t="n"/>
      <c r="R494" s="395" t="n"/>
      <c r="S494" s="395" t="n"/>
      <c r="T494" s="386" t="n"/>
      <c r="U494" s="386" t="n"/>
      <c r="V494" s="395" t="n"/>
      <c r="W494" s="395" t="n"/>
      <c r="X494" s="395" t="n"/>
      <c r="Y494" s="13" t="n"/>
      <c r="Z494" s="395" t="n"/>
      <c r="AA494" s="395" t="n"/>
      <c r="AB494" s="395" t="n"/>
      <c r="AC494" s="395" t="n"/>
      <c r="AD494" s="395" t="n"/>
      <c r="AE494" s="395" t="n"/>
    </row>
    <row r="495" ht="84" customHeight="1" s="380">
      <c r="A495" s="108" t="n">
        <v>46</v>
      </c>
      <c r="B495" s="386" t="n"/>
      <c r="C495" s="386" t="inlineStr">
        <is>
          <t>Báo cáo giám sát &gt;&gt; Tổng hợp chung về tình hình tuân thủ nghĩa vụ gửi báo cáo định kỳ - Báo cáo giám sát duy trì điều kiện cấp phái sinh</t>
        </is>
      </c>
      <c r="D495" s="386" t="inlineStr">
        <is>
          <t>Nghiệp vụ được phép hoạt động &gt;&gt; Tự doanh chứng khoán</t>
        </is>
      </c>
      <c r="E495" s="386" t="inlineStr">
        <is>
          <t>Nghiệp vụ được phép hoạt động &gt;&gt; Tự doanh chứng khoán</t>
        </is>
      </c>
      <c r="F495" s="386" t="inlineStr">
        <is>
          <t>Data Explorer</t>
        </is>
      </c>
      <c r="G495" s="386" t="inlineStr">
        <is>
          <t>Chỉ tiêu cơ sở</t>
        </is>
      </c>
      <c r="H495" s="386" t="inlineStr">
        <is>
          <t>TB</t>
        </is>
      </c>
      <c r="I495" s="386" t="inlineStr">
        <is>
          <t>Ngày, CTCK</t>
        </is>
      </c>
      <c r="J495" s="395" t="inlineStr">
        <is>
          <t>SCMS</t>
        </is>
      </c>
      <c r="K495" s="395" t="n"/>
      <c r="L495" s="395" t="inlineStr">
        <is>
          <t>X</t>
        </is>
      </c>
      <c r="M495" s="395" t="n"/>
      <c r="N495" s="395" t="inlineStr">
        <is>
          <t>Pending</t>
        </is>
      </c>
      <c r="O495" s="401" t="n"/>
      <c r="P495" s="395" t="n"/>
      <c r="Q495" s="395" t="n"/>
      <c r="R495" s="395" t="n"/>
      <c r="S495" s="395" t="n"/>
      <c r="T495" s="386" t="n"/>
      <c r="U495" s="386" t="n"/>
      <c r="V495" s="395" t="n"/>
      <c r="W495" s="395" t="n"/>
      <c r="X495" s="395" t="n"/>
      <c r="Y495" s="13" t="n"/>
      <c r="Z495" s="395" t="n"/>
      <c r="AA495" s="395" t="n"/>
      <c r="AB495" s="395" t="n"/>
      <c r="AC495" s="395" t="n"/>
      <c r="AD495" s="395" t="n"/>
      <c r="AE495" s="395" t="n"/>
    </row>
    <row r="496" ht="84" customHeight="1" s="380">
      <c r="A496" s="108" t="n">
        <v>46</v>
      </c>
      <c r="B496" s="386" t="n"/>
      <c r="C496" s="386" t="inlineStr">
        <is>
          <t>Báo cáo giám sát &gt;&gt; Tổng hợp chung về tình hình tuân thủ nghĩa vụ gửi báo cáo định kỳ - Báo cáo giám sát duy trì điều kiện cấp phái sinh</t>
        </is>
      </c>
      <c r="D496" s="386" t="inlineStr">
        <is>
          <t>Nghiệp vụ được phép hoạt động &gt;&gt; Bảo lãnh phát hành chứng khoán</t>
        </is>
      </c>
      <c r="E496" s="386" t="inlineStr">
        <is>
          <t>Nghiệp vụ được phép hoạt động &gt;&gt; Bảo lãnh phát hành chứng khoán</t>
        </is>
      </c>
      <c r="F496" s="386" t="inlineStr">
        <is>
          <t>Data Explorer</t>
        </is>
      </c>
      <c r="G496" s="386" t="inlineStr">
        <is>
          <t>Chỉ tiêu cơ sở</t>
        </is>
      </c>
      <c r="H496" s="386" t="inlineStr">
        <is>
          <t>TB</t>
        </is>
      </c>
      <c r="I496" s="386" t="inlineStr">
        <is>
          <t>Ngày, CTCK</t>
        </is>
      </c>
      <c r="J496" s="395" t="inlineStr">
        <is>
          <t>SCMS</t>
        </is>
      </c>
      <c r="K496" s="395" t="n"/>
      <c r="L496" s="395" t="inlineStr">
        <is>
          <t>X</t>
        </is>
      </c>
      <c r="M496" s="395" t="n"/>
      <c r="N496" s="395" t="inlineStr">
        <is>
          <t>Pending</t>
        </is>
      </c>
      <c r="O496" s="401" t="n"/>
      <c r="P496" s="395" t="n"/>
      <c r="Q496" s="395" t="n"/>
      <c r="R496" s="395" t="n"/>
      <c r="S496" s="395" t="n"/>
      <c r="T496" s="386" t="n"/>
      <c r="U496" s="386" t="n"/>
      <c r="V496" s="395" t="n"/>
      <c r="W496" s="395" t="n"/>
      <c r="X496" s="395" t="n"/>
      <c r="Y496" s="13" t="n"/>
      <c r="Z496" s="395" t="n"/>
      <c r="AA496" s="395" t="n"/>
      <c r="AB496" s="395" t="n"/>
      <c r="AC496" s="395" t="n"/>
      <c r="AD496" s="395" t="n"/>
      <c r="AE496" s="395" t="n"/>
    </row>
    <row r="497" ht="84" customHeight="1" s="380">
      <c r="A497" s="108" t="n">
        <v>46</v>
      </c>
      <c r="B497" s="386" t="n"/>
      <c r="C497" s="386" t="inlineStr">
        <is>
          <t>Báo cáo giám sát &gt;&gt; Tổng hợp chung về tình hình tuân thủ nghĩa vụ gửi báo cáo định kỳ - Báo cáo giám sát duy trì điều kiện cấp phái sinh</t>
        </is>
      </c>
      <c r="D497" s="386" t="inlineStr">
        <is>
          <t>Nghiệp vụ được phép hoạt động &gt;&gt; Tư vấn đầu tư chứng khoán</t>
        </is>
      </c>
      <c r="E497" s="386" t="inlineStr">
        <is>
          <t>Nghiệp vụ được phép hoạt động &gt;&gt; Tư vấn đầu tư chứng khoán</t>
        </is>
      </c>
      <c r="F497" s="386" t="inlineStr">
        <is>
          <t>Data Explorer</t>
        </is>
      </c>
      <c r="G497" s="386" t="inlineStr">
        <is>
          <t>Chỉ tiêu cơ sở</t>
        </is>
      </c>
      <c r="H497" s="386" t="inlineStr">
        <is>
          <t>TB</t>
        </is>
      </c>
      <c r="I497" s="386" t="inlineStr">
        <is>
          <t>Ngày, CTCK</t>
        </is>
      </c>
      <c r="J497" s="395" t="inlineStr">
        <is>
          <t>SCMS</t>
        </is>
      </c>
      <c r="K497" s="395" t="n"/>
      <c r="L497" s="395" t="inlineStr">
        <is>
          <t>X</t>
        </is>
      </c>
      <c r="M497" s="395" t="n"/>
      <c r="N497" s="395" t="inlineStr">
        <is>
          <t>Pending</t>
        </is>
      </c>
      <c r="O497" s="401" t="n"/>
      <c r="P497" s="395" t="n"/>
      <c r="Q497" s="395" t="n"/>
      <c r="R497" s="395" t="n"/>
      <c r="S497" s="395" t="n"/>
      <c r="T497" s="386" t="n"/>
      <c r="U497" s="386" t="n"/>
      <c r="V497" s="395" t="n"/>
      <c r="W497" s="395" t="n"/>
      <c r="X497" s="395" t="n"/>
      <c r="Y497" s="38" t="n"/>
      <c r="Z497" s="395" t="n"/>
      <c r="AA497" s="395" t="n"/>
      <c r="AB497" s="395" t="n"/>
      <c r="AC497" s="395" t="n"/>
      <c r="AD497" s="395" t="n"/>
      <c r="AE497" s="395" t="n"/>
    </row>
    <row r="498" ht="84" customHeight="1" s="380">
      <c r="A498" s="108" t="n">
        <v>46</v>
      </c>
      <c r="B498" s="386" t="n"/>
      <c r="C498" s="386" t="inlineStr">
        <is>
          <t>Báo cáo giám sát &gt;&gt; Tổng hợp chung về tình hình tuân thủ nghĩa vụ gửi báo cáo định kỳ - Báo cáo giám sát duy trì điều kiện cấp phái sinh</t>
        </is>
      </c>
      <c r="D498" s="386" t="inlineStr">
        <is>
          <t>Hoạt động kinh doanh chứng khoán phái sinh &gt;&gt; Giấy chứng nhận kinh doanh phái sinh</t>
        </is>
      </c>
      <c r="E498" s="386" t="inlineStr">
        <is>
          <t>Hoạt động kinh doanh chứng khoán phái sinh &gt;&gt; Giấy chứng nhận kinh doanh phái sinh</t>
        </is>
      </c>
      <c r="F498" s="386" t="inlineStr">
        <is>
          <t>Data Explorer</t>
        </is>
      </c>
      <c r="G498" s="386" t="inlineStr">
        <is>
          <t>Chỉ tiêu cơ sở</t>
        </is>
      </c>
      <c r="H498" s="386" t="inlineStr">
        <is>
          <t>TB</t>
        </is>
      </c>
      <c r="I498" s="386" t="inlineStr">
        <is>
          <t>Ngày, CTCK</t>
        </is>
      </c>
      <c r="J498" s="395" t="inlineStr">
        <is>
          <t>SCMS</t>
        </is>
      </c>
      <c r="K498" s="395" t="n"/>
      <c r="L498" s="395" t="inlineStr">
        <is>
          <t>X</t>
        </is>
      </c>
      <c r="M498" s="395" t="n"/>
      <c r="N498" s="395" t="inlineStr">
        <is>
          <t>Pending</t>
        </is>
      </c>
      <c r="O498" s="401" t="n"/>
      <c r="P498" s="395" t="n"/>
      <c r="Q498" s="395" t="n"/>
      <c r="R498" s="395" t="n"/>
      <c r="S498" s="395" t="n"/>
      <c r="T498" s="386" t="n"/>
      <c r="U498" s="386" t="n"/>
      <c r="V498" s="395" t="n"/>
      <c r="W498" s="395" t="n"/>
      <c r="X498" s="395" t="n"/>
      <c r="Y498" s="13" t="n"/>
      <c r="Z498" s="395" t="n"/>
      <c r="AA498" s="395" t="n"/>
      <c r="AB498" s="395" t="n"/>
      <c r="AC498" s="395" t="n"/>
      <c r="AD498" s="395" t="n"/>
      <c r="AE498" s="395" t="n"/>
    </row>
    <row r="499" ht="84" customHeight="1" s="380">
      <c r="A499" s="108" t="n">
        <v>46</v>
      </c>
      <c r="B499" s="386" t="n"/>
      <c r="C499" s="386" t="inlineStr">
        <is>
          <t>Báo cáo giám sát &gt;&gt; Tổng hợp chung về tình hình tuân thủ nghĩa vụ gửi báo cáo định kỳ - Báo cáo giám sát duy trì điều kiện cấp phái sinh</t>
        </is>
      </c>
      <c r="D499" s="386" t="inlineStr">
        <is>
          <t>Hoạt động kinh doanh chứng khoán phái sinh &gt;&gt; Môi giới phái sinh</t>
        </is>
      </c>
      <c r="E499" s="386" t="inlineStr">
        <is>
          <t>Hoạt động kinh doanh chứng khoán phái sinh &gt;&gt; Môi giới phái sinh</t>
        </is>
      </c>
      <c r="F499" s="386" t="inlineStr">
        <is>
          <t>Data Explorer</t>
        </is>
      </c>
      <c r="G499" s="386" t="inlineStr">
        <is>
          <t>Chỉ tiêu cơ sở</t>
        </is>
      </c>
      <c r="H499" s="386" t="inlineStr">
        <is>
          <t>TB</t>
        </is>
      </c>
      <c r="I499" s="386" t="inlineStr">
        <is>
          <t>Ngày, CTCK</t>
        </is>
      </c>
      <c r="J499" s="395" t="inlineStr">
        <is>
          <t>SCMS</t>
        </is>
      </c>
      <c r="K499" s="395" t="n"/>
      <c r="L499" s="395" t="inlineStr">
        <is>
          <t>X</t>
        </is>
      </c>
      <c r="M499" s="395" t="n"/>
      <c r="N499" s="395" t="inlineStr">
        <is>
          <t>Pending</t>
        </is>
      </c>
      <c r="O499" s="401" t="n"/>
      <c r="P499" s="395" t="n"/>
      <c r="Q499" s="395" t="n"/>
      <c r="R499" s="395" t="n"/>
      <c r="S499" s="395" t="n"/>
      <c r="T499" s="386" t="n"/>
      <c r="U499" s="386" t="n"/>
      <c r="V499" s="395" t="n"/>
      <c r="W499" s="395" t="n"/>
      <c r="X499" s="395" t="n"/>
      <c r="Y499" s="13" t="n"/>
      <c r="Z499" s="395" t="n"/>
      <c r="AA499" s="395" t="n"/>
      <c r="AB499" s="395" t="n"/>
      <c r="AC499" s="395" t="n"/>
      <c r="AD499" s="395" t="n"/>
      <c r="AE499" s="395" t="n"/>
    </row>
    <row r="500" ht="84" customHeight="1" s="380">
      <c r="A500" s="108" t="n">
        <v>46</v>
      </c>
      <c r="B500" s="386" t="n"/>
      <c r="C500" s="386" t="inlineStr">
        <is>
          <t>Báo cáo giám sát &gt;&gt; Tổng hợp chung về tình hình tuân thủ nghĩa vụ gửi báo cáo định kỳ - Báo cáo giám sát duy trì điều kiện cấp phái sinh</t>
        </is>
      </c>
      <c r="D500" s="386" t="inlineStr">
        <is>
          <t>Hoạt động kinh doanh chứng khoán phái sinh &gt;&gt; Tự doanh chứng khoán</t>
        </is>
      </c>
      <c r="E500" s="386" t="inlineStr">
        <is>
          <t>Hoạt động kinh doanh chứng khoán phái sinh &gt;&gt; Tự doanh chứng khoán</t>
        </is>
      </c>
      <c r="F500" s="386" t="inlineStr">
        <is>
          <t>Data Explorer</t>
        </is>
      </c>
      <c r="G500" s="386" t="inlineStr">
        <is>
          <t>Chỉ tiêu cơ sở</t>
        </is>
      </c>
      <c r="H500" s="386" t="inlineStr">
        <is>
          <t>TB</t>
        </is>
      </c>
      <c r="I500" s="386" t="inlineStr">
        <is>
          <t>Ngày, CTCK</t>
        </is>
      </c>
      <c r="J500" s="395" t="inlineStr">
        <is>
          <t>SCMS</t>
        </is>
      </c>
      <c r="K500" s="395" t="n"/>
      <c r="L500" s="395" t="inlineStr">
        <is>
          <t>X</t>
        </is>
      </c>
      <c r="M500" s="395" t="n"/>
      <c r="N500" s="395" t="inlineStr">
        <is>
          <t>Pending</t>
        </is>
      </c>
      <c r="O500" s="401" t="n"/>
      <c r="P500" s="395" t="n"/>
      <c r="Q500" s="395" t="n"/>
      <c r="R500" s="395" t="n"/>
      <c r="S500" s="395" t="n"/>
      <c r="T500" s="386" t="n"/>
      <c r="U500" s="386" t="n"/>
      <c r="V500" s="395" t="n"/>
      <c r="W500" s="395" t="n"/>
      <c r="X500" s="395" t="n"/>
      <c r="Y500" s="13" t="n"/>
      <c r="Z500" s="395" t="n"/>
      <c r="AA500" s="395" t="n"/>
      <c r="AB500" s="395" t="n"/>
      <c r="AC500" s="395" t="n"/>
      <c r="AD500" s="395" t="n"/>
      <c r="AE500" s="395" t="n"/>
    </row>
    <row r="501" ht="84" customHeight="1" s="380">
      <c r="A501" s="111" t="n">
        <v>46</v>
      </c>
      <c r="B501" s="68" t="n"/>
      <c r="C501" s="68" t="inlineStr">
        <is>
          <t>Báo cáo giám sát &gt;&gt; Tổng hợp chung về tình hình tuân thủ nghĩa vụ gửi báo cáo định kỳ - Báo cáo giám sát duy trì điều kiện cấp phái sinh</t>
        </is>
      </c>
      <c r="D501" s="68" t="inlineStr">
        <is>
          <t>Hoạt động kinh doanh chứng khoán phái sinh &gt;&gt; Tư vấn đầu tư chứng khoán</t>
        </is>
      </c>
      <c r="E501" s="68" t="inlineStr">
        <is>
          <t>Hoạt động kinh doanh chứng khoán phái sinh &gt;&gt; Tư vấn đầu tư chứng khoán</t>
        </is>
      </c>
      <c r="F501" s="68" t="inlineStr">
        <is>
          <t>Data Explorer</t>
        </is>
      </c>
      <c r="G501" s="68" t="inlineStr">
        <is>
          <t>Chỉ tiêu cơ sở</t>
        </is>
      </c>
      <c r="H501" s="68" t="inlineStr">
        <is>
          <t>TB</t>
        </is>
      </c>
      <c r="I501" s="68" t="inlineStr">
        <is>
          <t>Ngày, CTCK</t>
        </is>
      </c>
      <c r="J501" s="69" t="inlineStr">
        <is>
          <t>SCMS</t>
        </is>
      </c>
      <c r="K501" s="69" t="n"/>
      <c r="L501" s="69" t="inlineStr">
        <is>
          <t>X</t>
        </is>
      </c>
      <c r="M501" s="69" t="n"/>
      <c r="N501" s="69" t="inlineStr">
        <is>
          <t>Pending</t>
        </is>
      </c>
      <c r="O501" s="85" t="n"/>
      <c r="P501" s="69" t="n"/>
      <c r="Q501" s="69" t="n"/>
      <c r="R501" s="69" t="n"/>
      <c r="S501" s="69" t="n"/>
      <c r="T501" s="68" t="n"/>
      <c r="U501" s="68" t="n"/>
      <c r="V501" s="69" t="n"/>
      <c r="W501" s="69" t="n"/>
      <c r="X501" s="69" t="n"/>
      <c r="Y501" s="97" t="n"/>
      <c r="Z501" s="69" t="n"/>
      <c r="AA501" s="69" t="n"/>
      <c r="AB501" s="69" t="n"/>
      <c r="AC501" s="69" t="n"/>
      <c r="AD501" s="69" t="n"/>
      <c r="AE501" s="69" t="n"/>
    </row>
    <row r="502" ht="84" customHeight="1" s="380">
      <c r="A502" s="108" t="n">
        <v>47</v>
      </c>
      <c r="B502" s="100" t="inlineStr">
        <is>
          <t>Nga</t>
        </is>
      </c>
      <c r="C502" s="81" t="inlineStr">
        <is>
          <t>Báo cáo giám sát &gt;&gt; Tổng hợp chung về tình hình tuân thủ nghĩa vụ gửi báo cáo định kỳ - Báo cáo giám sát duy trì điều kiện cấp giấy phép thành lập</t>
        </is>
      </c>
      <c r="D502" s="106" t="inlineStr">
        <is>
          <t>Loại báo cáo</t>
        </is>
      </c>
      <c r="E502" s="107" t="inlineStr">
        <is>
          <t>Loại báo cáo</t>
        </is>
      </c>
      <c r="F502" s="390" t="inlineStr">
        <is>
          <t>Data Explorer</t>
        </is>
      </c>
      <c r="G502" s="390" t="inlineStr">
        <is>
          <t>Chiều</t>
        </is>
      </c>
      <c r="H502" s="390" t="inlineStr">
        <is>
          <t>Dễ</t>
        </is>
      </c>
      <c r="I502" s="390" t="inlineStr">
        <is>
          <t>Ngày, CTCK</t>
        </is>
      </c>
      <c r="J502" s="401" t="inlineStr">
        <is>
          <t>SCMS</t>
        </is>
      </c>
      <c r="K502" s="401" t="inlineStr">
        <is>
          <t>X</t>
        </is>
      </c>
      <c r="L502" s="395" t="inlineStr">
        <is>
          <t>X</t>
        </is>
      </c>
      <c r="M502" s="401" t="n"/>
      <c r="N502" s="395" t="inlineStr">
        <is>
          <t>Pending</t>
        </is>
      </c>
      <c r="O502" s="401" t="n"/>
      <c r="P502" s="395" t="n"/>
      <c r="Q502" s="105" t="inlineStr">
        <is>
          <t>DB cũ không thấy biểu mẫu báo cáo này</t>
        </is>
      </c>
      <c r="R502" s="395" t="n"/>
      <c r="S502" s="395" t="n"/>
      <c r="T502" s="386" t="n"/>
      <c r="U502" s="386" t="n"/>
      <c r="V502" s="395" t="n"/>
      <c r="W502" s="395" t="n"/>
      <c r="X502" s="395" t="n"/>
      <c r="Y502" s="13" t="n"/>
      <c r="Z502" s="395" t="n"/>
      <c r="AA502" s="395" t="n"/>
      <c r="AB502" s="395" t="n"/>
      <c r="AC502" s="395" t="n"/>
      <c r="AD502" s="395" t="n"/>
      <c r="AE502" s="395" t="n"/>
    </row>
    <row r="503" ht="84" customHeight="1" s="380">
      <c r="A503" s="108" t="n">
        <v>47</v>
      </c>
      <c r="B503" s="386" t="n"/>
      <c r="C503" s="386" t="inlineStr">
        <is>
          <t>Báo cáo giám sát &gt;&gt; Tổng hợp chung về tình hình tuân thủ nghĩa vụ gửi báo cáo định kỳ - Báo cáo giám sát duy trì điều kiện cấp giấy phép thành lập</t>
        </is>
      </c>
      <c r="D503" s="106" t="inlineStr">
        <is>
          <t>Kỳ báo cáo</t>
        </is>
      </c>
      <c r="E503" s="107" t="inlineStr">
        <is>
          <t>Kỳ báo cáo</t>
        </is>
      </c>
      <c r="F503" s="390" t="inlineStr">
        <is>
          <t>Data Explorer</t>
        </is>
      </c>
      <c r="G503" s="390" t="inlineStr">
        <is>
          <t>Chiều</t>
        </is>
      </c>
      <c r="H503" s="390" t="inlineStr">
        <is>
          <t>Dễ</t>
        </is>
      </c>
      <c r="I503" s="390" t="inlineStr">
        <is>
          <t>Ngày, CTCK</t>
        </is>
      </c>
      <c r="J503" s="401" t="inlineStr">
        <is>
          <t>SCMS</t>
        </is>
      </c>
      <c r="K503" s="401" t="inlineStr">
        <is>
          <t>X</t>
        </is>
      </c>
      <c r="L503" s="395" t="inlineStr">
        <is>
          <t>X</t>
        </is>
      </c>
      <c r="M503" s="401" t="n"/>
      <c r="N503" s="395" t="inlineStr">
        <is>
          <t>Pending</t>
        </is>
      </c>
      <c r="O503" s="401" t="n"/>
      <c r="P503" s="395" t="n"/>
      <c r="Q503" s="395" t="n"/>
      <c r="R503" s="395" t="n"/>
      <c r="S503" s="395" t="n"/>
      <c r="T503" s="386" t="n"/>
      <c r="U503" s="386" t="n"/>
      <c r="V503" s="395" t="n"/>
      <c r="W503" s="395" t="n"/>
      <c r="X503" s="395" t="n"/>
      <c r="Y503" s="38" t="n"/>
      <c r="Z503" s="395" t="n"/>
      <c r="AA503" s="395" t="n"/>
      <c r="AB503" s="395" t="n"/>
      <c r="AC503" s="395" t="n"/>
      <c r="AD503" s="395" t="n"/>
      <c r="AE503" s="395" t="n"/>
    </row>
    <row r="504" ht="84" customHeight="1" s="380">
      <c r="A504" s="108" t="n">
        <v>47</v>
      </c>
      <c r="B504" s="386" t="n"/>
      <c r="C504" s="386" t="inlineStr">
        <is>
          <t>Báo cáo giám sát &gt;&gt; Tổng hợp chung về tình hình tuân thủ nghĩa vụ gửi báo cáo định kỳ - Báo cáo giám sát duy trì điều kiện cấp giấy phép thành lập</t>
        </is>
      </c>
      <c r="D504" s="106" t="inlineStr">
        <is>
          <t>Mã báo cáo</t>
        </is>
      </c>
      <c r="E504" s="107" t="inlineStr">
        <is>
          <t>Mã báo cáo</t>
        </is>
      </c>
      <c r="F504" s="390" t="inlineStr">
        <is>
          <t>Data Explorer</t>
        </is>
      </c>
      <c r="G504" s="390" t="inlineStr">
        <is>
          <t>Chiều</t>
        </is>
      </c>
      <c r="H504" s="390" t="inlineStr">
        <is>
          <t>Dễ</t>
        </is>
      </c>
      <c r="I504" s="390" t="inlineStr">
        <is>
          <t>Ngày, CTCK</t>
        </is>
      </c>
      <c r="J504" s="401" t="inlineStr">
        <is>
          <t>SCMS</t>
        </is>
      </c>
      <c r="K504" s="401" t="inlineStr">
        <is>
          <t>X</t>
        </is>
      </c>
      <c r="L504" s="395" t="inlineStr">
        <is>
          <t>X</t>
        </is>
      </c>
      <c r="M504" s="401" t="n"/>
      <c r="N504" s="395" t="inlineStr">
        <is>
          <t>Pending</t>
        </is>
      </c>
      <c r="O504" s="401" t="n"/>
      <c r="P504" s="395" t="n"/>
      <c r="Q504" s="395" t="n"/>
      <c r="R504" s="395" t="n"/>
      <c r="S504" s="395" t="n"/>
      <c r="T504" s="386" t="n"/>
      <c r="U504" s="386" t="n"/>
      <c r="V504" s="395" t="n"/>
      <c r="W504" s="395" t="n"/>
      <c r="X504" s="395" t="n"/>
      <c r="Y504" s="13" t="n"/>
      <c r="Z504" s="395" t="n"/>
      <c r="AA504" s="395" t="n"/>
      <c r="AB504" s="395" t="n"/>
      <c r="AC504" s="395" t="n"/>
      <c r="AD504" s="395" t="n"/>
      <c r="AE504" s="395" t="n"/>
    </row>
    <row r="505" ht="84" customHeight="1" s="380">
      <c r="A505" s="108" t="n">
        <v>47</v>
      </c>
      <c r="B505" s="386" t="n"/>
      <c r="C505" s="386" t="inlineStr">
        <is>
          <t>Báo cáo giám sát &gt;&gt; Tổng hợp chung về tình hình tuân thủ nghĩa vụ gửi báo cáo định kỳ - Báo cáo giám sát duy trì điều kiện cấp giấy phép thành lập</t>
        </is>
      </c>
      <c r="D505" s="106" t="inlineStr">
        <is>
          <t>Tên báo cáo</t>
        </is>
      </c>
      <c r="E505" s="107" t="inlineStr">
        <is>
          <t>Tên báo cáo</t>
        </is>
      </c>
      <c r="F505" s="390" t="inlineStr">
        <is>
          <t>Data Explorer</t>
        </is>
      </c>
      <c r="G505" s="390" t="inlineStr">
        <is>
          <t>Chiều</t>
        </is>
      </c>
      <c r="H505" s="390" t="inlineStr">
        <is>
          <t>Dễ</t>
        </is>
      </c>
      <c r="I505" s="390" t="inlineStr">
        <is>
          <t>Ngày, CTCK</t>
        </is>
      </c>
      <c r="J505" s="401" t="inlineStr">
        <is>
          <t>SCMS</t>
        </is>
      </c>
      <c r="K505" s="401" t="inlineStr">
        <is>
          <t>X</t>
        </is>
      </c>
      <c r="L505" s="395" t="inlineStr">
        <is>
          <t>X</t>
        </is>
      </c>
      <c r="M505" s="401" t="n"/>
      <c r="N505" s="395" t="inlineStr">
        <is>
          <t>Pending</t>
        </is>
      </c>
      <c r="O505" s="401" t="n"/>
      <c r="P505" s="395" t="n"/>
      <c r="Q505" s="395" t="n"/>
      <c r="R505" s="395" t="n"/>
      <c r="S505" s="395" t="n"/>
      <c r="T505" s="386" t="n"/>
      <c r="U505" s="386" t="n"/>
      <c r="V505" s="395" t="n"/>
      <c r="W505" s="395" t="n"/>
      <c r="X505" s="395" t="n"/>
      <c r="Y505" s="13" t="n"/>
      <c r="Z505" s="395" t="n"/>
      <c r="AA505" s="395" t="n"/>
      <c r="AB505" s="395" t="n"/>
      <c r="AC505" s="395" t="n"/>
      <c r="AD505" s="395" t="n"/>
      <c r="AE505" s="395" t="n"/>
    </row>
    <row r="506" ht="84" customHeight="1" s="380">
      <c r="A506" s="108" t="n">
        <v>47</v>
      </c>
      <c r="B506" s="386" t="n"/>
      <c r="C506" s="386" t="inlineStr">
        <is>
          <t>Báo cáo giám sát &gt;&gt; Tổng hợp chung về tình hình tuân thủ nghĩa vụ gửi báo cáo định kỳ - Báo cáo giám sát duy trì điều kiện cấp giấy phép thành lập</t>
        </is>
      </c>
      <c r="D506" s="106" t="inlineStr">
        <is>
          <t>Mã chỉ tiêu</t>
        </is>
      </c>
      <c r="E506" s="107" t="inlineStr">
        <is>
          <t>Mã chỉ tiêu</t>
        </is>
      </c>
      <c r="F506" s="390" t="inlineStr">
        <is>
          <t>Data Explorer</t>
        </is>
      </c>
      <c r="G506" s="390" t="inlineStr">
        <is>
          <t>Chiều</t>
        </is>
      </c>
      <c r="H506" s="390" t="inlineStr">
        <is>
          <t>Dễ</t>
        </is>
      </c>
      <c r="I506" s="390" t="inlineStr">
        <is>
          <t>Ngày, CTCK</t>
        </is>
      </c>
      <c r="J506" s="401" t="inlineStr">
        <is>
          <t>SCMS</t>
        </is>
      </c>
      <c r="K506" s="401" t="inlineStr">
        <is>
          <t>X</t>
        </is>
      </c>
      <c r="L506" s="395" t="inlineStr">
        <is>
          <t>X</t>
        </is>
      </c>
      <c r="M506" s="401" t="n"/>
      <c r="N506" s="395" t="inlineStr">
        <is>
          <t>Pending</t>
        </is>
      </c>
      <c r="O506" s="401" t="n"/>
      <c r="P506" s="395" t="n"/>
      <c r="Q506" s="395" t="n"/>
      <c r="R506" s="395" t="n"/>
      <c r="S506" s="395" t="n"/>
      <c r="T506" s="386" t="n"/>
      <c r="U506" s="386" t="n"/>
      <c r="V506" s="395" t="n"/>
      <c r="W506" s="395" t="n"/>
      <c r="X506" s="395" t="n"/>
      <c r="Y506" s="13" t="n"/>
      <c r="Z506" s="395" t="n"/>
      <c r="AA506" s="395" t="n"/>
      <c r="AB506" s="395" t="n"/>
      <c r="AC506" s="395" t="n"/>
      <c r="AD506" s="395" t="n"/>
      <c r="AE506" s="395" t="n"/>
    </row>
    <row r="507" ht="84" customHeight="1" s="380">
      <c r="A507" s="108" t="n">
        <v>47</v>
      </c>
      <c r="B507" s="386" t="n"/>
      <c r="C507" s="386" t="inlineStr">
        <is>
          <t>Báo cáo giám sát &gt;&gt; Tổng hợp chung về tình hình tuân thủ nghĩa vụ gửi báo cáo định kỳ - Báo cáo giám sát duy trì điều kiện cấp giấy phép thành lập</t>
        </is>
      </c>
      <c r="D507" s="106" t="inlineStr">
        <is>
          <t>Tên chỉ tiêu</t>
        </is>
      </c>
      <c r="E507" s="107" t="inlineStr">
        <is>
          <t>Tên chỉ tiêu</t>
        </is>
      </c>
      <c r="F507" s="390" t="inlineStr">
        <is>
          <t>Data Explorer</t>
        </is>
      </c>
      <c r="G507" s="390" t="inlineStr">
        <is>
          <t>Chiều</t>
        </is>
      </c>
      <c r="H507" s="390" t="inlineStr">
        <is>
          <t>Dễ</t>
        </is>
      </c>
      <c r="I507" s="390" t="inlineStr">
        <is>
          <t>Ngày, CTCK</t>
        </is>
      </c>
      <c r="J507" s="401" t="inlineStr">
        <is>
          <t>SCMS</t>
        </is>
      </c>
      <c r="K507" s="401" t="inlineStr">
        <is>
          <t>X</t>
        </is>
      </c>
      <c r="L507" s="395" t="inlineStr">
        <is>
          <t>X</t>
        </is>
      </c>
      <c r="M507" s="401" t="n"/>
      <c r="N507" s="395" t="inlineStr">
        <is>
          <t>Pending</t>
        </is>
      </c>
      <c r="O507" s="401" t="n"/>
      <c r="P507" s="395" t="n"/>
      <c r="Q507" s="395" t="n"/>
      <c r="R507" s="395" t="n"/>
      <c r="S507" s="395" t="n"/>
      <c r="T507" s="386" t="n"/>
      <c r="U507" s="386" t="n"/>
      <c r="V507" s="395" t="n"/>
      <c r="W507" s="395" t="n"/>
      <c r="X507" s="395" t="n"/>
      <c r="Y507" s="13" t="n"/>
      <c r="Z507" s="395" t="n"/>
      <c r="AA507" s="395" t="n"/>
      <c r="AB507" s="395" t="n"/>
      <c r="AC507" s="395" t="n"/>
      <c r="AD507" s="395" t="n"/>
      <c r="AE507" s="395" t="n"/>
    </row>
    <row r="508" ht="84" customHeight="1" s="380">
      <c r="A508" s="108" t="n">
        <v>47</v>
      </c>
      <c r="B508" s="386" t="n"/>
      <c r="C508" s="386" t="inlineStr">
        <is>
          <t>Báo cáo giám sát &gt;&gt; Tổng hợp chung về tình hình tuân thủ nghĩa vụ gửi báo cáo định kỳ - Báo cáo giám sát duy trì điều kiện cấp giấy phép thành lập</t>
        </is>
      </c>
      <c r="D508" s="386" t="inlineStr">
        <is>
          <t>Tên công ty chứng khoán</t>
        </is>
      </c>
      <c r="E508" s="395" t="inlineStr">
        <is>
          <t>Tên công ty chứng khoán</t>
        </is>
      </c>
      <c r="F508" s="386" t="inlineStr">
        <is>
          <t>Data Explorer</t>
        </is>
      </c>
      <c r="G508" s="386" t="inlineStr">
        <is>
          <t>Chỉ tiêu cơ sở</t>
        </is>
      </c>
      <c r="H508" s="386" t="inlineStr">
        <is>
          <t>Dễ</t>
        </is>
      </c>
      <c r="I508" s="386" t="inlineStr">
        <is>
          <t>Ngày, CTCK</t>
        </is>
      </c>
      <c r="J508" s="395" t="inlineStr">
        <is>
          <t>SCMS</t>
        </is>
      </c>
      <c r="K508" s="395" t="n"/>
      <c r="L508" s="395" t="inlineStr">
        <is>
          <t>X</t>
        </is>
      </c>
      <c r="M508" s="395" t="n"/>
      <c r="N508" s="395" t="inlineStr">
        <is>
          <t>Pending</t>
        </is>
      </c>
      <c r="O508" s="401" t="n"/>
      <c r="P508" s="395" t="n"/>
      <c r="Q508" s="395" t="n"/>
      <c r="R508" s="395" t="n"/>
      <c r="S508" s="395" t="n"/>
      <c r="T508" s="386" t="n"/>
      <c r="U508" s="386" t="n"/>
      <c r="V508" s="395" t="n"/>
      <c r="W508" s="395" t="n"/>
      <c r="X508" s="395" t="n"/>
      <c r="Y508" s="13" t="n"/>
      <c r="Z508" s="395" t="n"/>
      <c r="AA508" s="395" t="n"/>
      <c r="AB508" s="395" t="n"/>
      <c r="AC508" s="395" t="n"/>
      <c r="AD508" s="395" t="n"/>
      <c r="AE508" s="395" t="n"/>
    </row>
    <row r="509" ht="84" customHeight="1" s="380">
      <c r="A509" s="108" t="n">
        <v>47</v>
      </c>
      <c r="B509" s="386" t="n"/>
      <c r="C509" s="386" t="inlineStr">
        <is>
          <t>Báo cáo giám sát &gt;&gt; Tổng hợp chung về tình hình tuân thủ nghĩa vụ gửi báo cáo định kỳ - Báo cáo giám sát duy trì điều kiện cấp giấy phép thành lập</t>
        </is>
      </c>
      <c r="D509" s="386" t="inlineStr">
        <is>
          <t>Địa chỉ trụ sở chính</t>
        </is>
      </c>
      <c r="E509" s="395" t="inlineStr">
        <is>
          <t>Địa chỉ trụ sở chính</t>
        </is>
      </c>
      <c r="F509" s="386" t="inlineStr">
        <is>
          <t>Data Explorer</t>
        </is>
      </c>
      <c r="G509" s="386" t="inlineStr">
        <is>
          <t>Chỉ tiêu cơ sở</t>
        </is>
      </c>
      <c r="H509" s="386" t="inlineStr">
        <is>
          <t>Dễ</t>
        </is>
      </c>
      <c r="I509" s="386" t="inlineStr">
        <is>
          <t>Ngày, CTCK</t>
        </is>
      </c>
      <c r="J509" s="395" t="inlineStr">
        <is>
          <t>SCMS</t>
        </is>
      </c>
      <c r="K509" s="395" t="n"/>
      <c r="L509" s="395" t="inlineStr">
        <is>
          <t>X</t>
        </is>
      </c>
      <c r="M509" s="395" t="n"/>
      <c r="N509" s="395" t="inlineStr">
        <is>
          <t>Pending</t>
        </is>
      </c>
      <c r="O509" s="401" t="n"/>
      <c r="P509" s="395" t="n"/>
      <c r="Q509" s="395" t="n"/>
      <c r="R509" s="395" t="n"/>
      <c r="S509" s="395" t="n"/>
      <c r="T509" s="386" t="n"/>
      <c r="U509" s="386" t="n"/>
      <c r="V509" s="395" t="n"/>
      <c r="W509" s="395" t="n"/>
      <c r="X509" s="395" t="n"/>
      <c r="Y509" s="38" t="n"/>
      <c r="Z509" s="395" t="n"/>
      <c r="AA509" s="395" t="n"/>
      <c r="AB509" s="395" t="n"/>
      <c r="AC509" s="395" t="n"/>
      <c r="AD509" s="395" t="n"/>
      <c r="AE509" s="395" t="n"/>
    </row>
    <row r="510" ht="84" customHeight="1" s="380">
      <c r="A510" s="108" t="n">
        <v>47</v>
      </c>
      <c r="B510" s="386" t="n"/>
      <c r="C510" s="386" t="inlineStr">
        <is>
          <t>Báo cáo giám sát &gt;&gt; Tổng hợp chung về tình hình tuân thủ nghĩa vụ gửi báo cáo định kỳ - Báo cáo giám sát duy trì điều kiện cấp giấy phép thành lập</t>
        </is>
      </c>
      <c r="D510" s="386" t="inlineStr">
        <is>
          <t>Số điện thoại</t>
        </is>
      </c>
      <c r="E510" s="395" t="inlineStr">
        <is>
          <t>Số điện thoại</t>
        </is>
      </c>
      <c r="F510" s="386" t="inlineStr">
        <is>
          <t>Data Explorer</t>
        </is>
      </c>
      <c r="G510" s="386" t="inlineStr">
        <is>
          <t>Chỉ tiêu cơ sở</t>
        </is>
      </c>
      <c r="H510" s="386" t="inlineStr">
        <is>
          <t>Dễ</t>
        </is>
      </c>
      <c r="I510" s="386" t="inlineStr">
        <is>
          <t>Ngày, CTCK</t>
        </is>
      </c>
      <c r="J510" s="395" t="inlineStr">
        <is>
          <t>SCMS</t>
        </is>
      </c>
      <c r="K510" s="395" t="n"/>
      <c r="L510" s="395" t="inlineStr">
        <is>
          <t>X</t>
        </is>
      </c>
      <c r="M510" s="395" t="n"/>
      <c r="N510" s="395" t="inlineStr">
        <is>
          <t>Pending</t>
        </is>
      </c>
      <c r="O510" s="401" t="n"/>
      <c r="P510" s="395" t="n"/>
      <c r="Q510" s="395" t="n"/>
      <c r="R510" s="395" t="n"/>
      <c r="S510" s="395" t="n"/>
      <c r="T510" s="386" t="n"/>
      <c r="U510" s="386" t="n"/>
      <c r="V510" s="395" t="n"/>
      <c r="W510" s="395" t="n"/>
      <c r="X510" s="395" t="n"/>
      <c r="Y510" s="13" t="n"/>
      <c r="Z510" s="395" t="n"/>
      <c r="AA510" s="395" t="n"/>
      <c r="AB510" s="395" t="n"/>
      <c r="AC510" s="395" t="n"/>
      <c r="AD510" s="395" t="n"/>
      <c r="AE510" s="395" t="n"/>
    </row>
    <row r="511" ht="84" customHeight="1" s="380">
      <c r="A511" s="108" t="n">
        <v>47</v>
      </c>
      <c r="B511" s="386" t="n"/>
      <c r="C511" s="386" t="inlineStr">
        <is>
          <t>Báo cáo giám sát &gt;&gt; Tổng hợp chung về tình hình tuân thủ nghĩa vụ gửi báo cáo định kỳ - Báo cáo giám sát duy trì điều kiện cấp giấy phép thành lập</t>
        </is>
      </c>
      <c r="D511" s="386" t="inlineStr">
        <is>
          <t>Số giấy phép thành lập và hoạt động 
lần đầu</t>
        </is>
      </c>
      <c r="E511" s="395" t="inlineStr">
        <is>
          <t>Số giấy phép thành lập và hoạt động 
lần đầu</t>
        </is>
      </c>
      <c r="F511" s="386" t="inlineStr">
        <is>
          <t>Data Explorer</t>
        </is>
      </c>
      <c r="G511" s="386" t="inlineStr">
        <is>
          <t>Chỉ tiêu cơ sở</t>
        </is>
      </c>
      <c r="H511" s="386" t="inlineStr">
        <is>
          <t>Dễ</t>
        </is>
      </c>
      <c r="I511" s="386" t="inlineStr">
        <is>
          <t>Ngày, CTCK</t>
        </is>
      </c>
      <c r="J511" s="395" t="inlineStr">
        <is>
          <t>SCMS</t>
        </is>
      </c>
      <c r="K511" s="395" t="n"/>
      <c r="L511" s="395" t="inlineStr">
        <is>
          <t>X</t>
        </is>
      </c>
      <c r="M511" s="395" t="n"/>
      <c r="N511" s="395" t="inlineStr">
        <is>
          <t>Pending</t>
        </is>
      </c>
      <c r="O511" s="401" t="n"/>
      <c r="P511" s="395" t="n"/>
      <c r="Q511" s="395" t="n"/>
      <c r="R511" s="395" t="n"/>
      <c r="S511" s="395" t="n"/>
      <c r="T511" s="386" t="n"/>
      <c r="U511" s="386" t="n"/>
      <c r="V511" s="395" t="n"/>
      <c r="W511" s="395" t="n"/>
      <c r="X511" s="395" t="n"/>
      <c r="Y511" s="13" t="n"/>
      <c r="Z511" s="395" t="n"/>
      <c r="AA511" s="395" t="n"/>
      <c r="AB511" s="395" t="n"/>
      <c r="AC511" s="395" t="n"/>
      <c r="AD511" s="395" t="n"/>
      <c r="AE511" s="395" t="n"/>
    </row>
    <row r="512" ht="84" customHeight="1" s="380">
      <c r="A512" s="108" t="n">
        <v>47</v>
      </c>
      <c r="B512" s="386" t="n"/>
      <c r="C512" s="386" t="inlineStr">
        <is>
          <t>Báo cáo giám sát &gt;&gt; Tổng hợp chung về tình hình tuân thủ nghĩa vụ gửi báo cáo định kỳ - Báo cáo giám sát duy trì điều kiện cấp giấy phép thành lập</t>
        </is>
      </c>
      <c r="D512" s="386" t="inlineStr">
        <is>
          <t>Ngày giấy phép lần đầu
(Ngày/tháng/năm)</t>
        </is>
      </c>
      <c r="E512" s="395" t="inlineStr">
        <is>
          <t>Ngày giấy phép lần đầu
(Ngày/tháng/năm)</t>
        </is>
      </c>
      <c r="F512" s="386" t="inlineStr">
        <is>
          <t>Data Explorer</t>
        </is>
      </c>
      <c r="G512" s="386" t="inlineStr">
        <is>
          <t>Chỉ tiêu cơ sở</t>
        </is>
      </c>
      <c r="H512" s="386" t="inlineStr">
        <is>
          <t>Dễ</t>
        </is>
      </c>
      <c r="I512" s="386" t="inlineStr">
        <is>
          <t>Ngày, CTCK</t>
        </is>
      </c>
      <c r="J512" s="395" t="inlineStr">
        <is>
          <t>SCMS</t>
        </is>
      </c>
      <c r="K512" s="395" t="n"/>
      <c r="L512" s="395" t="inlineStr">
        <is>
          <t>X</t>
        </is>
      </c>
      <c r="M512" s="395" t="n"/>
      <c r="N512" s="395" t="inlineStr">
        <is>
          <t>Pending</t>
        </is>
      </c>
      <c r="O512" s="401" t="n"/>
      <c r="P512" s="395" t="n"/>
      <c r="Q512" s="395" t="n"/>
      <c r="R512" s="395" t="n"/>
      <c r="S512" s="395" t="n"/>
      <c r="T512" s="386" t="n"/>
      <c r="U512" s="386" t="n"/>
      <c r="V512" s="395" t="n"/>
      <c r="W512" s="395" t="n"/>
      <c r="X512" s="395" t="n"/>
      <c r="Y512" s="13" t="n"/>
      <c r="Z512" s="395" t="n"/>
      <c r="AA512" s="395" t="n"/>
      <c r="AB512" s="395" t="n"/>
      <c r="AC512" s="395" t="n"/>
      <c r="AD512" s="395" t="n"/>
      <c r="AE512" s="395" t="n"/>
    </row>
    <row r="513" ht="84" customHeight="1" s="380">
      <c r="A513" s="108" t="n">
        <v>47</v>
      </c>
      <c r="B513" s="386" t="n"/>
      <c r="C513" s="386" t="inlineStr">
        <is>
          <t>Báo cáo giám sát &gt;&gt; Tổng hợp chung về tình hình tuân thủ nghĩa vụ gửi báo cáo định kỳ - Báo cáo giám sát duy trì điều kiện cấp giấy phép thành lập</t>
        </is>
      </c>
      <c r="D513" s="386" t="inlineStr">
        <is>
          <t>Mã số doanh nghiệp</t>
        </is>
      </c>
      <c r="E513" s="395" t="inlineStr">
        <is>
          <t>Mã số doanh nghiệp</t>
        </is>
      </c>
      <c r="F513" s="386" t="inlineStr">
        <is>
          <t>Data Explorer</t>
        </is>
      </c>
      <c r="G513" s="386" t="inlineStr">
        <is>
          <t>Chỉ tiêu cơ sở</t>
        </is>
      </c>
      <c r="H513" s="386" t="inlineStr">
        <is>
          <t>Dễ</t>
        </is>
      </c>
      <c r="I513" s="386" t="inlineStr">
        <is>
          <t>Ngày, CTCK</t>
        </is>
      </c>
      <c r="J513" s="395" t="inlineStr">
        <is>
          <t>SCMS</t>
        </is>
      </c>
      <c r="K513" s="395" t="n"/>
      <c r="L513" s="395" t="inlineStr">
        <is>
          <t>X</t>
        </is>
      </c>
      <c r="M513" s="395" t="n"/>
      <c r="N513" s="395" t="inlineStr">
        <is>
          <t>Pending</t>
        </is>
      </c>
      <c r="O513" s="401" t="n"/>
      <c r="P513" s="395" t="n"/>
      <c r="Q513" s="395" t="n"/>
      <c r="R513" s="395" t="n"/>
      <c r="S513" s="395" t="n"/>
      <c r="T513" s="386" t="n"/>
      <c r="U513" s="386" t="n"/>
      <c r="V513" s="395" t="n"/>
      <c r="W513" s="395" t="n"/>
      <c r="X513" s="395" t="n"/>
      <c r="Y513" s="13" t="n"/>
      <c r="Z513" s="395" t="n"/>
      <c r="AA513" s="395" t="n"/>
      <c r="AB513" s="395" t="n"/>
      <c r="AC513" s="395" t="n"/>
      <c r="AD513" s="395" t="n"/>
      <c r="AE513" s="395" t="n"/>
    </row>
    <row r="514" ht="84" customHeight="1" s="380">
      <c r="A514" s="108" t="n">
        <v>47</v>
      </c>
      <c r="B514" s="386" t="n"/>
      <c r="C514" s="386" t="inlineStr">
        <is>
          <t>Báo cáo giám sát &gt;&gt; Tổng hợp chung về tình hình tuân thủ nghĩa vụ gửi báo cáo định kỳ - Báo cáo giám sát duy trì điều kiện cấp giấy phép thành lập</t>
        </is>
      </c>
      <c r="D514" s="386" t="inlineStr">
        <is>
          <t>Sàn giao dịch cổ phiếu</t>
        </is>
      </c>
      <c r="E514" s="395" t="inlineStr">
        <is>
          <t>Sàn giao dịch cổ phiếu</t>
        </is>
      </c>
      <c r="F514" s="386" t="inlineStr">
        <is>
          <t>Data Explorer</t>
        </is>
      </c>
      <c r="G514" s="386" t="inlineStr">
        <is>
          <t>Chỉ tiêu cơ sở</t>
        </is>
      </c>
      <c r="H514" s="386" t="inlineStr">
        <is>
          <t>Dễ</t>
        </is>
      </c>
      <c r="I514" s="386" t="inlineStr">
        <is>
          <t>Ngày, CTCK</t>
        </is>
      </c>
      <c r="J514" s="395" t="inlineStr">
        <is>
          <t>SCMS</t>
        </is>
      </c>
      <c r="K514" s="395" t="n"/>
      <c r="L514" s="395" t="inlineStr">
        <is>
          <t>X</t>
        </is>
      </c>
      <c r="M514" s="395" t="n"/>
      <c r="N514" s="395" t="inlineStr">
        <is>
          <t>Pending</t>
        </is>
      </c>
      <c r="O514" s="401" t="n"/>
      <c r="P514" s="395" t="n"/>
      <c r="Q514" s="395" t="n"/>
      <c r="R514" s="395" t="n"/>
      <c r="S514" s="395" t="n"/>
      <c r="T514" s="386" t="n"/>
      <c r="U514" s="386" t="n"/>
      <c r="V514" s="395" t="n"/>
      <c r="W514" s="395" t="n"/>
      <c r="X514" s="395" t="n"/>
      <c r="Y514" s="13" t="n"/>
      <c r="Z514" s="395" t="n"/>
      <c r="AA514" s="395" t="n"/>
      <c r="AB514" s="395" t="n"/>
      <c r="AC514" s="395" t="n"/>
      <c r="AD514" s="395" t="n"/>
      <c r="AE514" s="395" t="n"/>
    </row>
    <row r="515" ht="84" customHeight="1" s="380">
      <c r="A515" s="108" t="n">
        <v>47</v>
      </c>
      <c r="B515" s="386" t="n"/>
      <c r="C515" s="386" t="inlineStr">
        <is>
          <t>Báo cáo giám sát &gt;&gt; Tổng hợp chung về tình hình tuân thủ nghĩa vụ gửi báo cáo định kỳ - Báo cáo giám sát duy trì điều kiện cấp giấy phép thành lập</t>
        </is>
      </c>
      <c r="D515" s="386" t="inlineStr">
        <is>
          <t>Mã cổ phiếu</t>
        </is>
      </c>
      <c r="E515" s="395" t="inlineStr">
        <is>
          <t>Mã cổ phiếu</t>
        </is>
      </c>
      <c r="F515" s="386" t="inlineStr">
        <is>
          <t>Data Explorer</t>
        </is>
      </c>
      <c r="G515" s="386" t="inlineStr">
        <is>
          <t>Chỉ tiêu cơ sở</t>
        </is>
      </c>
      <c r="H515" s="386" t="inlineStr">
        <is>
          <t>Dễ</t>
        </is>
      </c>
      <c r="I515" s="386" t="inlineStr">
        <is>
          <t>Ngày, CTCK</t>
        </is>
      </c>
      <c r="J515" s="395" t="inlineStr">
        <is>
          <t>SCMS</t>
        </is>
      </c>
      <c r="K515" s="395" t="n"/>
      <c r="L515" s="395" t="inlineStr">
        <is>
          <t>X</t>
        </is>
      </c>
      <c r="M515" s="395" t="n"/>
      <c r="N515" s="395" t="inlineStr">
        <is>
          <t>Pending</t>
        </is>
      </c>
      <c r="O515" s="401" t="n"/>
      <c r="P515" s="395" t="n"/>
      <c r="Q515" s="395" t="n"/>
      <c r="R515" s="395" t="n"/>
      <c r="S515" s="395" t="n"/>
      <c r="T515" s="386" t="n"/>
      <c r="U515" s="386" t="n"/>
      <c r="V515" s="395" t="n"/>
      <c r="W515" s="395" t="n"/>
      <c r="X515" s="395" t="n"/>
      <c r="Y515" s="14" t="n"/>
      <c r="Z515" s="395" t="n"/>
      <c r="AA515" s="395" t="n"/>
      <c r="AB515" s="395" t="n"/>
      <c r="AC515" s="395" t="n"/>
      <c r="AD515" s="395" t="n"/>
      <c r="AE515" s="395" t="n"/>
    </row>
    <row r="516" ht="84" customHeight="1" s="380">
      <c r="A516" s="108" t="n">
        <v>47</v>
      </c>
      <c r="B516" s="386" t="n"/>
      <c r="C516" s="386" t="inlineStr">
        <is>
          <t>Báo cáo giám sát &gt;&gt; Tổng hợp chung về tình hình tuân thủ nghĩa vụ gửi báo cáo định kỳ - Báo cáo giám sát duy trì điều kiện cấp giấy phép thành lập</t>
        </is>
      </c>
      <c r="D516" s="386" t="inlineStr">
        <is>
          <t>Vốn điều lệ (Đồng)</t>
        </is>
      </c>
      <c r="E516" s="395" t="inlineStr">
        <is>
          <t>Vốn điều lệ (Đồng)</t>
        </is>
      </c>
      <c r="F516" s="386" t="inlineStr">
        <is>
          <t>Data Explorer</t>
        </is>
      </c>
      <c r="G516" s="386" t="inlineStr">
        <is>
          <t>Chỉ tiêu cơ sở</t>
        </is>
      </c>
      <c r="H516" s="386" t="inlineStr">
        <is>
          <t>Dễ</t>
        </is>
      </c>
      <c r="I516" s="386" t="inlineStr">
        <is>
          <t>Ngày, CTCK</t>
        </is>
      </c>
      <c r="J516" s="395" t="inlineStr">
        <is>
          <t>SCMS</t>
        </is>
      </c>
      <c r="K516" s="395" t="n"/>
      <c r="L516" s="395" t="inlineStr">
        <is>
          <t>X</t>
        </is>
      </c>
      <c r="M516" s="395" t="n"/>
      <c r="N516" s="395" t="inlineStr">
        <is>
          <t>Pending</t>
        </is>
      </c>
      <c r="O516" s="401" t="n"/>
      <c r="P516" s="395" t="n"/>
      <c r="Q516" s="395" t="n"/>
      <c r="R516" s="395" t="n"/>
      <c r="S516" s="395" t="n"/>
      <c r="T516" s="386" t="n"/>
      <c r="U516" s="386" t="n"/>
      <c r="V516" s="395" t="n"/>
      <c r="W516" s="395" t="n"/>
      <c r="X516" s="395" t="n"/>
      <c r="Y516" s="6" t="n"/>
      <c r="Z516" s="395" t="n"/>
      <c r="AA516" s="395" t="n"/>
      <c r="AB516" s="395" t="n"/>
      <c r="AC516" s="395" t="n"/>
      <c r="AD516" s="395" t="n"/>
      <c r="AE516" s="395" t="n"/>
    </row>
    <row r="517" ht="84" customHeight="1" s="380">
      <c r="A517" s="108" t="n">
        <v>47</v>
      </c>
      <c r="B517" s="386" t="n"/>
      <c r="C517" s="386" t="inlineStr">
        <is>
          <t>Báo cáo giám sát &gt;&gt; Tổng hợp chung về tình hình tuân thủ nghĩa vụ gửi báo cáo định kỳ - Báo cáo giám sát duy trì điều kiện cấp giấy phép thành lập</t>
        </is>
      </c>
      <c r="D517" s="386" t="inlineStr">
        <is>
          <t>Website</t>
        </is>
      </c>
      <c r="E517" s="395" t="inlineStr">
        <is>
          <t>Website</t>
        </is>
      </c>
      <c r="F517" s="386" t="inlineStr">
        <is>
          <t>Data Explorer</t>
        </is>
      </c>
      <c r="G517" s="386" t="inlineStr">
        <is>
          <t>Chỉ tiêu cơ sở</t>
        </is>
      </c>
      <c r="H517" s="386" t="inlineStr">
        <is>
          <t>Dễ</t>
        </is>
      </c>
      <c r="I517" s="386" t="inlineStr">
        <is>
          <t>Ngày, CTCK</t>
        </is>
      </c>
      <c r="J517" s="395" t="inlineStr">
        <is>
          <t>SCMS</t>
        </is>
      </c>
      <c r="K517" s="395" t="n"/>
      <c r="L517" s="395" t="inlineStr">
        <is>
          <t>X</t>
        </is>
      </c>
      <c r="M517" s="395" t="n"/>
      <c r="N517" s="395" t="inlineStr">
        <is>
          <t>Pending</t>
        </is>
      </c>
      <c r="O517" s="401" t="n"/>
      <c r="P517" s="395" t="n"/>
      <c r="Q517" s="395" t="n"/>
      <c r="R517" s="395" t="n"/>
      <c r="S517" s="395" t="n"/>
      <c r="T517" s="386" t="n"/>
      <c r="U517" s="386" t="n"/>
      <c r="V517" s="395" t="n"/>
      <c r="W517" s="395" t="n"/>
      <c r="X517" s="395" t="n"/>
      <c r="Y517" s="6" t="n"/>
      <c r="Z517" s="395" t="n"/>
      <c r="AA517" s="395" t="n"/>
      <c r="AB517" s="395" t="n"/>
      <c r="AC517" s="395" t="n"/>
      <c r="AD517" s="395" t="n"/>
      <c r="AE517" s="395" t="n"/>
    </row>
    <row r="518" ht="84" customHeight="1" s="380">
      <c r="A518" s="108" t="n">
        <v>47</v>
      </c>
      <c r="B518" s="386" t="n"/>
      <c r="C518" s="386" t="inlineStr">
        <is>
          <t>Báo cáo giám sát &gt;&gt; Tổng hợp chung về tình hình tuân thủ nghĩa vụ gửi báo cáo định kỳ - Báo cáo giám sát duy trì điều kiện cấp giấy phép thành lập</t>
        </is>
      </c>
      <c r="D518" s="386" t="inlineStr">
        <is>
          <t>Trạng thái hoạt động</t>
        </is>
      </c>
      <c r="E518" s="395" t="inlineStr">
        <is>
          <t>Trạng thái hoạt động</t>
        </is>
      </c>
      <c r="F518" s="386" t="inlineStr">
        <is>
          <t>Data Explorer</t>
        </is>
      </c>
      <c r="G518" s="386" t="inlineStr">
        <is>
          <t>Chỉ tiêu cơ sở</t>
        </is>
      </c>
      <c r="H518" s="386" t="inlineStr">
        <is>
          <t>Dễ</t>
        </is>
      </c>
      <c r="I518" s="386" t="inlineStr">
        <is>
          <t>Ngày, CTCK</t>
        </is>
      </c>
      <c r="J518" s="395" t="inlineStr">
        <is>
          <t>SCMS</t>
        </is>
      </c>
      <c r="K518" s="395" t="n"/>
      <c r="L518" s="395" t="inlineStr">
        <is>
          <t>X</t>
        </is>
      </c>
      <c r="M518" s="395" t="n"/>
      <c r="N518" s="395" t="inlineStr">
        <is>
          <t>Pending</t>
        </is>
      </c>
      <c r="O518" s="401" t="n"/>
      <c r="P518" s="395" t="n"/>
      <c r="Q518" s="395" t="n"/>
      <c r="R518" s="395" t="n"/>
      <c r="S518" s="395" t="n"/>
      <c r="T518" s="386" t="n"/>
      <c r="U518" s="386" t="n"/>
      <c r="V518" s="395" t="n"/>
      <c r="W518" s="395" t="n"/>
      <c r="X518" s="395" t="n"/>
      <c r="Y518" s="395" t="n"/>
      <c r="Z518" s="395" t="n"/>
      <c r="AA518" s="395" t="n"/>
      <c r="AB518" s="395" t="n"/>
      <c r="AC518" s="395" t="n"/>
      <c r="AD518" s="395" t="n"/>
      <c r="AE518" s="395" t="n"/>
    </row>
    <row r="519" ht="84" customHeight="1" s="380">
      <c r="A519" s="108" t="n">
        <v>47</v>
      </c>
      <c r="B519" s="386" t="n"/>
      <c r="C519" s="386" t="inlineStr">
        <is>
          <t>Báo cáo giám sát &gt;&gt; Tổng hợp chung về tình hình tuân thủ nghĩa vụ gửi báo cáo định kỳ - Báo cáo giám sát duy trì điều kiện cấp giấy phép thành lập</t>
        </is>
      </c>
      <c r="D519" s="386" t="inlineStr">
        <is>
          <t>Nghiệp vụ được phép hoạt động &gt;&gt; Môi giới chứng khoán</t>
        </is>
      </c>
      <c r="E519" s="386" t="inlineStr">
        <is>
          <t>Nghiệp vụ được phép hoạt động &gt;&gt; Môi giới chứng khoán</t>
        </is>
      </c>
      <c r="F519" s="386" t="inlineStr">
        <is>
          <t>Data Explorer</t>
        </is>
      </c>
      <c r="G519" s="386" t="inlineStr">
        <is>
          <t>Chỉ tiêu cơ sở</t>
        </is>
      </c>
      <c r="H519" s="386" t="inlineStr">
        <is>
          <t>TB</t>
        </is>
      </c>
      <c r="I519" s="386" t="inlineStr">
        <is>
          <t>Ngày, CTCK</t>
        </is>
      </c>
      <c r="J519" s="395" t="inlineStr">
        <is>
          <t>SCMS</t>
        </is>
      </c>
      <c r="K519" s="395" t="n"/>
      <c r="L519" s="395" t="inlineStr">
        <is>
          <t>X</t>
        </is>
      </c>
      <c r="M519" s="395" t="n"/>
      <c r="N519" s="395" t="inlineStr">
        <is>
          <t>Pending</t>
        </is>
      </c>
      <c r="O519" s="401" t="n"/>
      <c r="P519" s="395" t="n"/>
      <c r="Q519" s="395" t="n"/>
      <c r="R519" s="395" t="n"/>
      <c r="S519" s="395" t="n"/>
      <c r="T519" s="386" t="n"/>
      <c r="U519" s="386" t="n"/>
      <c r="V519" s="395" t="n"/>
      <c r="W519" s="395" t="n"/>
      <c r="X519" s="395" t="n"/>
      <c r="Y519" s="395" t="n"/>
      <c r="Z519" s="395" t="n"/>
      <c r="AA519" s="395" t="n"/>
      <c r="AB519" s="395" t="n"/>
      <c r="AC519" s="395" t="n"/>
      <c r="AD519" s="395" t="n"/>
      <c r="AE519" s="395" t="n"/>
    </row>
    <row r="520" ht="84" customHeight="1" s="380">
      <c r="A520" s="108" t="n">
        <v>47</v>
      </c>
      <c r="B520" s="386" t="n"/>
      <c r="C520" s="386" t="inlineStr">
        <is>
          <t>Báo cáo giám sát &gt;&gt; Tổng hợp chung về tình hình tuân thủ nghĩa vụ gửi báo cáo định kỳ - Báo cáo giám sát duy trì điều kiện cấp giấy phép thành lập</t>
        </is>
      </c>
      <c r="D520" s="386" t="inlineStr">
        <is>
          <t>Nghiệp vụ được phép hoạt động &gt;&gt; Tự doanh chứng khoán</t>
        </is>
      </c>
      <c r="E520" s="386" t="inlineStr">
        <is>
          <t>Nghiệp vụ được phép hoạt động &gt;&gt; Tự doanh chứng khoán</t>
        </is>
      </c>
      <c r="F520" s="386" t="inlineStr">
        <is>
          <t>Data Explorer</t>
        </is>
      </c>
      <c r="G520" s="386" t="inlineStr">
        <is>
          <t>Chỉ tiêu cơ sở</t>
        </is>
      </c>
      <c r="H520" s="386" t="inlineStr">
        <is>
          <t>TB</t>
        </is>
      </c>
      <c r="I520" s="386" t="inlineStr">
        <is>
          <t>Ngày, CTCK</t>
        </is>
      </c>
      <c r="J520" s="395" t="inlineStr">
        <is>
          <t>SCMS</t>
        </is>
      </c>
      <c r="K520" s="395" t="n"/>
      <c r="L520" s="395" t="inlineStr">
        <is>
          <t>X</t>
        </is>
      </c>
      <c r="M520" s="395" t="n"/>
      <c r="N520" s="395" t="inlineStr">
        <is>
          <t>Pending</t>
        </is>
      </c>
      <c r="O520" s="401" t="n"/>
      <c r="P520" s="395" t="n"/>
      <c r="Q520" s="395" t="n"/>
      <c r="R520" s="395" t="n"/>
      <c r="S520" s="395" t="n"/>
      <c r="T520" s="386" t="n"/>
      <c r="U520" s="386" t="n"/>
      <c r="V520" s="395" t="n"/>
      <c r="W520" s="395" t="n"/>
      <c r="X520" s="395" t="n"/>
      <c r="Y520" s="395" t="n"/>
      <c r="Z520" s="395" t="n"/>
      <c r="AA520" s="395" t="n"/>
      <c r="AB520" s="395" t="n"/>
      <c r="AC520" s="395" t="n"/>
      <c r="AD520" s="395" t="n"/>
      <c r="AE520" s="395" t="n"/>
    </row>
    <row r="521" ht="84" customHeight="1" s="380">
      <c r="A521" s="108" t="n">
        <v>47</v>
      </c>
      <c r="B521" s="386" t="n"/>
      <c r="C521" s="386" t="inlineStr">
        <is>
          <t>Báo cáo giám sát &gt;&gt; Tổng hợp chung về tình hình tuân thủ nghĩa vụ gửi báo cáo định kỳ - Báo cáo giám sát duy trì điều kiện cấp giấy phép thành lập</t>
        </is>
      </c>
      <c r="D521" s="386" t="inlineStr">
        <is>
          <t>Nghiệp vụ được phép hoạt động &gt;&gt; Bảo lãnh phát hành chứng khoán</t>
        </is>
      </c>
      <c r="E521" s="386" t="inlineStr">
        <is>
          <t>Nghiệp vụ được phép hoạt động &gt;&gt; Bảo lãnh phát hành chứng khoán</t>
        </is>
      </c>
      <c r="F521" s="386" t="inlineStr">
        <is>
          <t>Data Explorer</t>
        </is>
      </c>
      <c r="G521" s="386" t="inlineStr">
        <is>
          <t>Chỉ tiêu cơ sở</t>
        </is>
      </c>
      <c r="H521" s="386" t="inlineStr">
        <is>
          <t>TB</t>
        </is>
      </c>
      <c r="I521" s="386" t="inlineStr">
        <is>
          <t>Ngày, CTCK</t>
        </is>
      </c>
      <c r="J521" s="395" t="inlineStr">
        <is>
          <t>SCMS</t>
        </is>
      </c>
      <c r="K521" s="395" t="n"/>
      <c r="L521" s="395" t="inlineStr">
        <is>
          <t>X</t>
        </is>
      </c>
      <c r="M521" s="395" t="n"/>
      <c r="N521" s="395" t="inlineStr">
        <is>
          <t>Pending</t>
        </is>
      </c>
      <c r="O521" s="401" t="n"/>
      <c r="P521" s="395" t="n"/>
      <c r="Q521" s="395" t="n"/>
      <c r="R521" s="395" t="n"/>
      <c r="S521" s="395" t="n"/>
      <c r="T521" s="386" t="n"/>
      <c r="U521" s="386" t="n"/>
      <c r="V521" s="395" t="n"/>
      <c r="W521" s="395" t="n"/>
      <c r="X521" s="395" t="n"/>
      <c r="Y521" s="395" t="n"/>
      <c r="Z521" s="395" t="n"/>
      <c r="AA521" s="395" t="n"/>
      <c r="AB521" s="395" t="n"/>
      <c r="AC521" s="395" t="n"/>
      <c r="AD521" s="395" t="n"/>
      <c r="AE521" s="395" t="n"/>
    </row>
    <row r="522" ht="84" customHeight="1" s="380">
      <c r="A522" s="108" t="n">
        <v>47</v>
      </c>
      <c r="B522" s="386" t="n"/>
      <c r="C522" s="386" t="inlineStr">
        <is>
          <t>Báo cáo giám sát &gt;&gt; Tổng hợp chung về tình hình tuân thủ nghĩa vụ gửi báo cáo định kỳ - Báo cáo giám sát duy trì điều kiện cấp giấy phép thành lập</t>
        </is>
      </c>
      <c r="D522" s="386" t="inlineStr">
        <is>
          <t>Nghiệp vụ được phép hoạt động &gt;&gt; Tư vấn đầu tư chứng khoán</t>
        </is>
      </c>
      <c r="E522" s="386" t="inlineStr">
        <is>
          <t>Nghiệp vụ được phép hoạt động &gt;&gt; Tư vấn đầu tư chứng khoán</t>
        </is>
      </c>
      <c r="F522" s="386" t="inlineStr">
        <is>
          <t>Data Explorer</t>
        </is>
      </c>
      <c r="G522" s="386" t="inlineStr">
        <is>
          <t>Chỉ tiêu cơ sở</t>
        </is>
      </c>
      <c r="H522" s="386" t="inlineStr">
        <is>
          <t>TB</t>
        </is>
      </c>
      <c r="I522" s="386" t="inlineStr">
        <is>
          <t>Ngày, CTCK</t>
        </is>
      </c>
      <c r="J522" s="395" t="inlineStr">
        <is>
          <t>SCMS</t>
        </is>
      </c>
      <c r="K522" s="395" t="n"/>
      <c r="L522" s="395" t="inlineStr">
        <is>
          <t>X</t>
        </is>
      </c>
      <c r="M522" s="395" t="n"/>
      <c r="N522" s="395" t="inlineStr">
        <is>
          <t>Pending</t>
        </is>
      </c>
      <c r="O522" s="401" t="n"/>
      <c r="P522" s="395" t="n"/>
      <c r="Q522" s="395" t="n"/>
      <c r="R522" s="395" t="n"/>
      <c r="S522" s="395" t="n"/>
      <c r="T522" s="386" t="n"/>
      <c r="U522" s="386" t="n"/>
      <c r="V522" s="395" t="n"/>
      <c r="W522" s="395" t="n"/>
      <c r="X522" s="395" t="n"/>
      <c r="Y522" s="395" t="n"/>
      <c r="Z522" s="395" t="n"/>
      <c r="AA522" s="395" t="n"/>
      <c r="AB522" s="395" t="n"/>
      <c r="AC522" s="395" t="n"/>
      <c r="AD522" s="395" t="n"/>
      <c r="AE522" s="395" t="n"/>
    </row>
    <row r="523" ht="84" customHeight="1" s="380">
      <c r="A523" s="108" t="n">
        <v>47</v>
      </c>
      <c r="B523" s="386" t="n"/>
      <c r="C523" s="386" t="inlineStr">
        <is>
          <t>Báo cáo giám sát &gt;&gt; Tổng hợp chung về tình hình tuân thủ nghĩa vụ gửi báo cáo định kỳ - Báo cáo giám sát duy trì điều kiện cấp giấy phép thành lập</t>
        </is>
      </c>
      <c r="D523" s="386" t="inlineStr">
        <is>
          <t>Hoạt động kinh doanh chứng khoán phái sinh &gt;&gt; Giấy chứng nhận kinh doanh phái sinh</t>
        </is>
      </c>
      <c r="E523" s="386" t="inlineStr">
        <is>
          <t>Hoạt động kinh doanh chứng khoán phái sinh &gt;&gt; Giấy chứng nhận kinh doanh phái sinh</t>
        </is>
      </c>
      <c r="F523" s="386" t="inlineStr">
        <is>
          <t>Data Explorer</t>
        </is>
      </c>
      <c r="G523" s="386" t="inlineStr">
        <is>
          <t>Chỉ tiêu cơ sở</t>
        </is>
      </c>
      <c r="H523" s="386" t="inlineStr">
        <is>
          <t>TB</t>
        </is>
      </c>
      <c r="I523" s="386" t="inlineStr">
        <is>
          <t>Ngày, CTCK</t>
        </is>
      </c>
      <c r="J523" s="395" t="inlineStr">
        <is>
          <t>SCMS</t>
        </is>
      </c>
      <c r="K523" s="395" t="n"/>
      <c r="L523" s="395" t="inlineStr">
        <is>
          <t>X</t>
        </is>
      </c>
      <c r="M523" s="395" t="n"/>
      <c r="N523" s="395" t="inlineStr">
        <is>
          <t>Pending</t>
        </is>
      </c>
      <c r="O523" s="401" t="n"/>
      <c r="P523" s="395" t="n"/>
      <c r="Q523" s="395" t="n"/>
      <c r="R523" s="395" t="n"/>
      <c r="S523" s="395" t="n"/>
      <c r="T523" s="386" t="n"/>
      <c r="U523" s="386" t="n"/>
      <c r="V523" s="395" t="n"/>
      <c r="W523" s="395" t="n"/>
      <c r="X523" s="395" t="n"/>
      <c r="Y523" s="395" t="n"/>
      <c r="Z523" s="395" t="n"/>
      <c r="AA523" s="395" t="n"/>
      <c r="AB523" s="395" t="n"/>
      <c r="AC523" s="395" t="n"/>
      <c r="AD523" s="395" t="n"/>
      <c r="AE523" s="395" t="n"/>
    </row>
    <row r="524" ht="84" customHeight="1" s="380">
      <c r="A524" s="108" t="n">
        <v>47</v>
      </c>
      <c r="B524" s="386" t="n"/>
      <c r="C524" s="386" t="inlineStr">
        <is>
          <t>Báo cáo giám sát &gt;&gt; Tổng hợp chung về tình hình tuân thủ nghĩa vụ gửi báo cáo định kỳ - Báo cáo giám sát duy trì điều kiện cấp giấy phép thành lập</t>
        </is>
      </c>
      <c r="D524" s="386" t="inlineStr">
        <is>
          <t>Hoạt động kinh doanh chứng khoán phái sinh &gt;&gt; Môi giới phái sinh</t>
        </is>
      </c>
      <c r="E524" s="386" t="inlineStr">
        <is>
          <t>Hoạt động kinh doanh chứng khoán phái sinh &gt;&gt; Môi giới phái sinh</t>
        </is>
      </c>
      <c r="F524" s="386" t="inlineStr">
        <is>
          <t>Data Explorer</t>
        </is>
      </c>
      <c r="G524" s="386" t="inlineStr">
        <is>
          <t>Chỉ tiêu cơ sở</t>
        </is>
      </c>
      <c r="H524" s="386" t="inlineStr">
        <is>
          <t>TB</t>
        </is>
      </c>
      <c r="I524" s="386" t="inlineStr">
        <is>
          <t>Ngày, CTCK</t>
        </is>
      </c>
      <c r="J524" s="395" t="inlineStr">
        <is>
          <t>SCMS</t>
        </is>
      </c>
      <c r="K524" s="395" t="n"/>
      <c r="L524" s="395" t="inlineStr">
        <is>
          <t>X</t>
        </is>
      </c>
      <c r="M524" s="395" t="n"/>
      <c r="N524" s="395" t="inlineStr">
        <is>
          <t>Pending</t>
        </is>
      </c>
      <c r="O524" s="401" t="n"/>
      <c r="P524" s="395" t="n"/>
      <c r="Q524" s="395" t="n"/>
      <c r="R524" s="395" t="n"/>
      <c r="S524" s="395" t="n"/>
      <c r="T524" s="386" t="n"/>
      <c r="U524" s="386" t="n"/>
      <c r="V524" s="395" t="n"/>
      <c r="W524" s="395" t="n"/>
      <c r="X524" s="395" t="n"/>
      <c r="Y524" s="395" t="n"/>
      <c r="Z524" s="395" t="n"/>
      <c r="AA524" s="395" t="n"/>
      <c r="AB524" s="395" t="n"/>
      <c r="AC524" s="395" t="n"/>
      <c r="AD524" s="395" t="n"/>
      <c r="AE524" s="395" t="n"/>
    </row>
    <row r="525" ht="84" customHeight="1" s="380">
      <c r="A525" s="108" t="n">
        <v>47</v>
      </c>
      <c r="B525" s="386" t="n"/>
      <c r="C525" s="386" t="inlineStr">
        <is>
          <t>Báo cáo giám sát &gt;&gt; Tổng hợp chung về tình hình tuân thủ nghĩa vụ gửi báo cáo định kỳ - Báo cáo giám sát duy trì điều kiện cấp giấy phép thành lập</t>
        </is>
      </c>
      <c r="D525" s="386" t="inlineStr">
        <is>
          <t>Hoạt động kinh doanh chứng khoán phái sinh &gt;&gt; Tự doanh chứng khoán</t>
        </is>
      </c>
      <c r="E525" s="386" t="inlineStr">
        <is>
          <t>Hoạt động kinh doanh chứng khoán phái sinh &gt;&gt; Tự doanh chứng khoán</t>
        </is>
      </c>
      <c r="F525" s="386" t="inlineStr">
        <is>
          <t>Data Explorer</t>
        </is>
      </c>
      <c r="G525" s="386" t="inlineStr">
        <is>
          <t>Chỉ tiêu cơ sở</t>
        </is>
      </c>
      <c r="H525" s="386" t="inlineStr">
        <is>
          <t>TB</t>
        </is>
      </c>
      <c r="I525" s="386" t="inlineStr">
        <is>
          <t>Ngày, CTCK</t>
        </is>
      </c>
      <c r="J525" s="395" t="inlineStr">
        <is>
          <t>SCMS</t>
        </is>
      </c>
      <c r="K525" s="395" t="n"/>
      <c r="L525" s="395" t="inlineStr">
        <is>
          <t>X</t>
        </is>
      </c>
      <c r="M525" s="395" t="n"/>
      <c r="N525" s="395" t="inlineStr">
        <is>
          <t>Pending</t>
        </is>
      </c>
      <c r="O525" s="401" t="n"/>
      <c r="P525" s="395" t="n"/>
      <c r="Q525" s="395" t="n"/>
      <c r="R525" s="395" t="n"/>
      <c r="S525" s="395" t="n"/>
      <c r="T525" s="386" t="n"/>
      <c r="U525" s="386" t="n"/>
      <c r="V525" s="395" t="n"/>
      <c r="W525" s="395" t="n"/>
      <c r="X525" s="395" t="n"/>
      <c r="Y525" s="395" t="n"/>
      <c r="Z525" s="395" t="n"/>
      <c r="AA525" s="395" t="n"/>
      <c r="AB525" s="395" t="n"/>
      <c r="AC525" s="395" t="n"/>
      <c r="AD525" s="395" t="n"/>
      <c r="AE525" s="395" t="n"/>
    </row>
    <row r="526" ht="84" customHeight="1" s="380">
      <c r="A526" s="111" t="n">
        <v>47</v>
      </c>
      <c r="B526" s="68" t="n"/>
      <c r="C526" s="68" t="inlineStr">
        <is>
          <t>Báo cáo giám sát &gt;&gt; Tổng hợp chung về tình hình tuân thủ nghĩa vụ gửi báo cáo định kỳ - Báo cáo giám sát duy trì điều kiện cấp giấy phép thành lập</t>
        </is>
      </c>
      <c r="D526" s="68" t="inlineStr">
        <is>
          <t>Hoạt động kinh doanh chứng khoán phái sinh &gt;&gt; Tư vấn đầu tư chứng khoán</t>
        </is>
      </c>
      <c r="E526" s="68" t="inlineStr">
        <is>
          <t>Hoạt động kinh doanh chứng khoán phái sinh &gt;&gt; Tư vấn đầu tư chứng khoán</t>
        </is>
      </c>
      <c r="F526" s="68" t="inlineStr">
        <is>
          <t>Data Explorer</t>
        </is>
      </c>
      <c r="G526" s="68" t="inlineStr">
        <is>
          <t>Chỉ tiêu cơ sở</t>
        </is>
      </c>
      <c r="H526" s="68" t="inlineStr">
        <is>
          <t>TB</t>
        </is>
      </c>
      <c r="I526" s="68" t="inlineStr">
        <is>
          <t>Ngày, CTCK</t>
        </is>
      </c>
      <c r="J526" s="69" t="inlineStr">
        <is>
          <t>SCMS</t>
        </is>
      </c>
      <c r="K526" s="69" t="n"/>
      <c r="L526" s="69" t="inlineStr">
        <is>
          <t>X</t>
        </is>
      </c>
      <c r="M526" s="69" t="n"/>
      <c r="N526" s="69" t="inlineStr">
        <is>
          <t>Pending</t>
        </is>
      </c>
      <c r="O526" s="85" t="n"/>
      <c r="P526" s="69" t="n"/>
      <c r="Q526" s="69" t="n"/>
      <c r="R526" s="69" t="n"/>
      <c r="S526" s="69" t="n"/>
      <c r="T526" s="68" t="n"/>
      <c r="U526" s="68" t="n"/>
      <c r="V526" s="69" t="n"/>
      <c r="W526" s="69" t="n"/>
      <c r="X526" s="69" t="n"/>
      <c r="Y526" s="69" t="n"/>
      <c r="Z526" s="69" t="n"/>
      <c r="AA526" s="69" t="n"/>
      <c r="AB526" s="69" t="n"/>
      <c r="AC526" s="69" t="n"/>
      <c r="AD526" s="69" t="n"/>
      <c r="AE526" s="69" t="n"/>
    </row>
    <row r="527" ht="42" customHeight="1" s="380">
      <c r="A527" s="108" t="n">
        <v>48</v>
      </c>
      <c r="B527" s="100" t="inlineStr">
        <is>
          <t>Nga</t>
        </is>
      </c>
      <c r="C527" s="81" t="inlineStr">
        <is>
          <t>Báo cáo giám sát &gt;&gt; Báo cáo giám sát quy định về tài chính</t>
        </is>
      </c>
      <c r="D527" s="106" t="inlineStr">
        <is>
          <t>Loại báo cáo</t>
        </is>
      </c>
      <c r="E527" s="107" t="inlineStr">
        <is>
          <t>Loại báo cáo</t>
        </is>
      </c>
      <c r="F527" s="390" t="inlineStr">
        <is>
          <t>Data Explorer</t>
        </is>
      </c>
      <c r="G527" s="390" t="inlineStr">
        <is>
          <t>Chiều</t>
        </is>
      </c>
      <c r="H527" s="390" t="inlineStr">
        <is>
          <t>Dễ</t>
        </is>
      </c>
      <c r="I527" s="390" t="inlineStr">
        <is>
          <t>Ngày, CTCK</t>
        </is>
      </c>
      <c r="J527" s="401" t="inlineStr">
        <is>
          <t>SCMS</t>
        </is>
      </c>
      <c r="K527" s="401" t="inlineStr">
        <is>
          <t>X</t>
        </is>
      </c>
      <c r="L527" s="395" t="inlineStr">
        <is>
          <t>X</t>
        </is>
      </c>
      <c r="M527" s="401" t="n"/>
      <c r="N527" s="395" t="inlineStr">
        <is>
          <t>Pending</t>
        </is>
      </c>
      <c r="O527" s="401" t="n"/>
      <c r="P527" s="395" t="n"/>
      <c r="Q527" s="105" t="inlineStr">
        <is>
          <t>DB cũ không thấy biểu mẫu báo cáo này</t>
        </is>
      </c>
      <c r="R527" s="395" t="n"/>
      <c r="S527" s="395" t="n"/>
      <c r="T527" s="386" t="n"/>
      <c r="U527" s="386" t="n"/>
      <c r="V527" s="395" t="n"/>
      <c r="W527" s="395" t="n"/>
      <c r="X527" s="395" t="n"/>
      <c r="Y527" s="395" t="n"/>
      <c r="Z527" s="395" t="n"/>
      <c r="AA527" s="395" t="n"/>
      <c r="AB527" s="395" t="n"/>
      <c r="AC527" s="395" t="n"/>
      <c r="AD527" s="395" t="n"/>
      <c r="AE527" s="395" t="n"/>
    </row>
    <row r="528" ht="42" customHeight="1" s="380">
      <c r="A528" s="108" t="n">
        <v>48</v>
      </c>
      <c r="B528" s="386" t="n"/>
      <c r="C528" s="386" t="inlineStr">
        <is>
          <t>Báo cáo giám sát &gt;&gt; Báo cáo giám sát quy định về tài chính</t>
        </is>
      </c>
      <c r="D528" s="106" t="inlineStr">
        <is>
          <t>Kỳ báo cáo</t>
        </is>
      </c>
      <c r="E528" s="107" t="inlineStr">
        <is>
          <t>Kỳ báo cáo</t>
        </is>
      </c>
      <c r="F528" s="390" t="inlineStr">
        <is>
          <t>Data Explorer</t>
        </is>
      </c>
      <c r="G528" s="390" t="inlineStr">
        <is>
          <t>Chiều</t>
        </is>
      </c>
      <c r="H528" s="390" t="inlineStr">
        <is>
          <t>Dễ</t>
        </is>
      </c>
      <c r="I528" s="390" t="inlineStr">
        <is>
          <t>Ngày, CTCK</t>
        </is>
      </c>
      <c r="J528" s="401" t="inlineStr">
        <is>
          <t>SCMS</t>
        </is>
      </c>
      <c r="K528" s="401" t="inlineStr">
        <is>
          <t>X</t>
        </is>
      </c>
      <c r="L528" s="395" t="inlineStr">
        <is>
          <t>X</t>
        </is>
      </c>
      <c r="M528" s="401" t="n"/>
      <c r="N528" s="395" t="inlineStr">
        <is>
          <t>Pending</t>
        </is>
      </c>
      <c r="O528" s="401" t="n"/>
      <c r="P528" s="395" t="n"/>
      <c r="Q528" s="395" t="n"/>
      <c r="R528" s="395" t="n"/>
      <c r="S528" s="395" t="n"/>
      <c r="T528" s="386" t="n"/>
      <c r="U528" s="386" t="n"/>
      <c r="V528" s="395" t="n"/>
      <c r="W528" s="395" t="n"/>
      <c r="X528" s="395" t="n"/>
      <c r="Y528" s="395" t="n"/>
      <c r="Z528" s="395" t="n"/>
      <c r="AA528" s="395" t="n"/>
      <c r="AB528" s="395" t="n"/>
      <c r="AC528" s="395" t="n"/>
      <c r="AD528" s="395" t="n"/>
      <c r="AE528" s="395" t="n"/>
    </row>
    <row r="529" ht="42" customHeight="1" s="380">
      <c r="A529" s="108" t="n">
        <v>48</v>
      </c>
      <c r="B529" s="386" t="n"/>
      <c r="C529" s="386" t="inlineStr">
        <is>
          <t>Báo cáo giám sát &gt;&gt; Báo cáo giám sát quy định về tài chính</t>
        </is>
      </c>
      <c r="D529" s="106" t="inlineStr">
        <is>
          <t>Mã báo cáo</t>
        </is>
      </c>
      <c r="E529" s="107" t="inlineStr">
        <is>
          <t>Mã báo cáo</t>
        </is>
      </c>
      <c r="F529" s="390" t="inlineStr">
        <is>
          <t>Data Explorer</t>
        </is>
      </c>
      <c r="G529" s="390" t="inlineStr">
        <is>
          <t>Chiều</t>
        </is>
      </c>
      <c r="H529" s="390" t="inlineStr">
        <is>
          <t>Dễ</t>
        </is>
      </c>
      <c r="I529" s="390" t="inlineStr">
        <is>
          <t>Ngày, CTCK</t>
        </is>
      </c>
      <c r="J529" s="401" t="inlineStr">
        <is>
          <t>SCMS</t>
        </is>
      </c>
      <c r="K529" s="401" t="inlineStr">
        <is>
          <t>X</t>
        </is>
      </c>
      <c r="L529" s="395" t="inlineStr">
        <is>
          <t>X</t>
        </is>
      </c>
      <c r="M529" s="401" t="n"/>
      <c r="N529" s="395" t="inlineStr">
        <is>
          <t>Pending</t>
        </is>
      </c>
      <c r="O529" s="401" t="n"/>
      <c r="P529" s="395" t="n"/>
      <c r="Q529" s="395" t="n"/>
      <c r="R529" s="395" t="n"/>
      <c r="S529" s="395" t="n"/>
      <c r="T529" s="386" t="n"/>
      <c r="U529" s="386" t="n"/>
      <c r="V529" s="395" t="n"/>
      <c r="W529" s="395" t="n"/>
      <c r="X529" s="395" t="n"/>
      <c r="Y529" s="395" t="n"/>
      <c r="Z529" s="395" t="n"/>
      <c r="AA529" s="395" t="n"/>
      <c r="AB529" s="395" t="n"/>
      <c r="AC529" s="395" t="n"/>
      <c r="AD529" s="395" t="n"/>
      <c r="AE529" s="395" t="n"/>
    </row>
    <row r="530" ht="42" customHeight="1" s="380">
      <c r="A530" s="108" t="n">
        <v>48</v>
      </c>
      <c r="B530" s="386" t="n"/>
      <c r="C530" s="386" t="inlineStr">
        <is>
          <t>Báo cáo giám sát &gt;&gt; Báo cáo giám sát quy định về tài chính</t>
        </is>
      </c>
      <c r="D530" s="106" t="inlineStr">
        <is>
          <t>Tên báo cáo</t>
        </is>
      </c>
      <c r="E530" s="107" t="inlineStr">
        <is>
          <t>Tên báo cáo</t>
        </is>
      </c>
      <c r="F530" s="390" t="inlineStr">
        <is>
          <t>Data Explorer</t>
        </is>
      </c>
      <c r="G530" s="390" t="inlineStr">
        <is>
          <t>Chiều</t>
        </is>
      </c>
      <c r="H530" s="390" t="inlineStr">
        <is>
          <t>Dễ</t>
        </is>
      </c>
      <c r="I530" s="390" t="inlineStr">
        <is>
          <t>Ngày, CTCK</t>
        </is>
      </c>
      <c r="J530" s="401" t="inlineStr">
        <is>
          <t>SCMS</t>
        </is>
      </c>
      <c r="K530" s="401" t="inlineStr">
        <is>
          <t>X</t>
        </is>
      </c>
      <c r="L530" s="395" t="inlineStr">
        <is>
          <t>X</t>
        </is>
      </c>
      <c r="M530" s="401" t="n"/>
      <c r="N530" s="395" t="inlineStr">
        <is>
          <t>Pending</t>
        </is>
      </c>
      <c r="O530" s="401" t="n"/>
      <c r="P530" s="395" t="n"/>
      <c r="Q530" s="395" t="n"/>
      <c r="R530" s="395" t="n"/>
      <c r="S530" s="395" t="n"/>
      <c r="T530" s="386" t="n"/>
      <c r="U530" s="386" t="n"/>
      <c r="V530" s="395" t="n"/>
      <c r="W530" s="395" t="n"/>
      <c r="X530" s="395" t="n"/>
      <c r="Y530" s="395" t="n"/>
      <c r="Z530" s="395" t="n"/>
      <c r="AA530" s="395" t="n"/>
      <c r="AB530" s="395" t="n"/>
      <c r="AC530" s="395" t="n"/>
      <c r="AD530" s="395" t="n"/>
      <c r="AE530" s="395" t="n"/>
    </row>
    <row r="531" ht="42" customHeight="1" s="380">
      <c r="A531" s="108" t="n">
        <v>48</v>
      </c>
      <c r="B531" s="386" t="n"/>
      <c r="C531" s="386" t="inlineStr">
        <is>
          <t>Báo cáo giám sát &gt;&gt; Báo cáo giám sát quy định về tài chính</t>
        </is>
      </c>
      <c r="D531" s="106" t="inlineStr">
        <is>
          <t>Mã chỉ tiêu</t>
        </is>
      </c>
      <c r="E531" s="107" t="inlineStr">
        <is>
          <t>Mã chỉ tiêu</t>
        </is>
      </c>
      <c r="F531" s="390" t="inlineStr">
        <is>
          <t>Data Explorer</t>
        </is>
      </c>
      <c r="G531" s="390" t="inlineStr">
        <is>
          <t>Chiều</t>
        </is>
      </c>
      <c r="H531" s="390" t="inlineStr">
        <is>
          <t>Dễ</t>
        </is>
      </c>
      <c r="I531" s="390" t="inlineStr">
        <is>
          <t>Ngày, CTCK</t>
        </is>
      </c>
      <c r="J531" s="401" t="inlineStr">
        <is>
          <t>SCMS</t>
        </is>
      </c>
      <c r="K531" s="401" t="inlineStr">
        <is>
          <t>X</t>
        </is>
      </c>
      <c r="L531" s="395" t="inlineStr">
        <is>
          <t>X</t>
        </is>
      </c>
      <c r="M531" s="401" t="n"/>
      <c r="N531" s="395" t="inlineStr">
        <is>
          <t>Pending</t>
        </is>
      </c>
      <c r="O531" s="401" t="n"/>
      <c r="P531" s="395" t="n"/>
      <c r="Q531" s="395" t="n"/>
      <c r="R531" s="395" t="n"/>
      <c r="S531" s="395" t="n"/>
      <c r="T531" s="386" t="n"/>
      <c r="U531" s="386" t="n"/>
      <c r="V531" s="395" t="n"/>
      <c r="W531" s="395" t="n"/>
      <c r="X531" s="395" t="n"/>
      <c r="Y531" s="395" t="n"/>
      <c r="Z531" s="395" t="n"/>
      <c r="AA531" s="395" t="n"/>
      <c r="AB531" s="395" t="n"/>
      <c r="AC531" s="395" t="n"/>
      <c r="AD531" s="395" t="n"/>
      <c r="AE531" s="395" t="n"/>
    </row>
    <row r="532" ht="42" customHeight="1" s="380">
      <c r="A532" s="108" t="n">
        <v>48</v>
      </c>
      <c r="B532" s="386" t="n"/>
      <c r="C532" s="386" t="inlineStr">
        <is>
          <t>Báo cáo giám sát &gt;&gt; Báo cáo giám sát quy định về tài chính</t>
        </is>
      </c>
      <c r="D532" s="106" t="inlineStr">
        <is>
          <t>Tên chỉ tiêu</t>
        </is>
      </c>
      <c r="E532" s="107" t="inlineStr">
        <is>
          <t>Tên chỉ tiêu</t>
        </is>
      </c>
      <c r="F532" s="390" t="inlineStr">
        <is>
          <t>Data Explorer</t>
        </is>
      </c>
      <c r="G532" s="390" t="inlineStr">
        <is>
          <t>Chiều</t>
        </is>
      </c>
      <c r="H532" s="390" t="inlineStr">
        <is>
          <t>Dễ</t>
        </is>
      </c>
      <c r="I532" s="390" t="inlineStr">
        <is>
          <t>Ngày, CTCK</t>
        </is>
      </c>
      <c r="J532" s="401" t="inlineStr">
        <is>
          <t>SCMS</t>
        </is>
      </c>
      <c r="K532" s="401" t="inlineStr">
        <is>
          <t>X</t>
        </is>
      </c>
      <c r="L532" s="395" t="inlineStr">
        <is>
          <t>X</t>
        </is>
      </c>
      <c r="M532" s="401" t="n"/>
      <c r="N532" s="395" t="inlineStr">
        <is>
          <t>Pending</t>
        </is>
      </c>
      <c r="O532" s="401" t="n"/>
      <c r="P532" s="395" t="n"/>
      <c r="Q532" s="395" t="n"/>
      <c r="R532" s="395" t="n"/>
      <c r="S532" s="395" t="n"/>
      <c r="T532" s="386" t="n"/>
      <c r="U532" s="386" t="n"/>
      <c r="V532" s="395" t="n"/>
      <c r="W532" s="395" t="n"/>
      <c r="X532" s="395" t="n"/>
      <c r="Y532" s="395" t="n"/>
      <c r="Z532" s="395" t="n"/>
      <c r="AA532" s="395" t="n"/>
      <c r="AB532" s="395" t="n"/>
      <c r="AC532" s="395" t="n"/>
      <c r="AD532" s="395" t="n"/>
      <c r="AE532" s="395" t="n"/>
    </row>
    <row r="533" ht="42" customHeight="1" s="380">
      <c r="A533" s="108" t="n">
        <v>48</v>
      </c>
      <c r="B533" s="386" t="n"/>
      <c r="C533" s="386" t="inlineStr">
        <is>
          <t>Báo cáo giám sát &gt;&gt; Báo cáo giám sát quy định về tài chính</t>
        </is>
      </c>
      <c r="D533" s="386" t="inlineStr">
        <is>
          <t>Tên công ty chứng khoán</t>
        </is>
      </c>
      <c r="E533" s="395" t="inlineStr">
        <is>
          <t>Tên công ty chứng khoán</t>
        </is>
      </c>
      <c r="F533" s="386" t="inlineStr">
        <is>
          <t>Data Explorer</t>
        </is>
      </c>
      <c r="G533" s="386" t="inlineStr">
        <is>
          <t>Chỉ tiêu cơ sở</t>
        </is>
      </c>
      <c r="H533" s="386" t="inlineStr">
        <is>
          <t>Dễ</t>
        </is>
      </c>
      <c r="I533" s="386" t="inlineStr">
        <is>
          <t>Ngày, CTCK</t>
        </is>
      </c>
      <c r="J533" s="395" t="inlineStr">
        <is>
          <t>SCMS</t>
        </is>
      </c>
      <c r="K533" s="395" t="n"/>
      <c r="L533" s="395" t="inlineStr">
        <is>
          <t>X</t>
        </is>
      </c>
      <c r="M533" s="395" t="n"/>
      <c r="N533" s="395" t="inlineStr">
        <is>
          <t>Pending</t>
        </is>
      </c>
      <c r="O533" s="401" t="n"/>
      <c r="P533" s="395" t="n"/>
      <c r="Q533" s="395" t="n"/>
      <c r="R533" s="395" t="n"/>
      <c r="S533" s="395" t="n"/>
      <c r="T533" s="386" t="n"/>
      <c r="U533" s="386" t="n"/>
      <c r="V533" s="395" t="n"/>
      <c r="W533" s="395" t="n"/>
      <c r="X533" s="395" t="n"/>
      <c r="Y533" s="395" t="n"/>
      <c r="Z533" s="395" t="n"/>
      <c r="AA533" s="395" t="n"/>
      <c r="AB533" s="395" t="n"/>
      <c r="AC533" s="395" t="n"/>
      <c r="AD533" s="395" t="n"/>
      <c r="AE533" s="395" t="n"/>
    </row>
    <row r="534" ht="42" customHeight="1" s="380">
      <c r="A534" s="108" t="n">
        <v>48</v>
      </c>
      <c r="B534" s="386" t="n"/>
      <c r="C534" s="386" t="inlineStr">
        <is>
          <t>Báo cáo giám sát &gt;&gt; Báo cáo giám sát quy định về tài chính</t>
        </is>
      </c>
      <c r="D534" s="386" t="inlineStr">
        <is>
          <t>Địa chỉ trụ sở chính</t>
        </is>
      </c>
      <c r="E534" s="395" t="inlineStr">
        <is>
          <t>Địa chỉ trụ sở chính</t>
        </is>
      </c>
      <c r="F534" s="386" t="inlineStr">
        <is>
          <t>Data Explorer</t>
        </is>
      </c>
      <c r="G534" s="386" t="inlineStr">
        <is>
          <t>Chỉ tiêu cơ sở</t>
        </is>
      </c>
      <c r="H534" s="386" t="inlineStr">
        <is>
          <t>Dễ</t>
        </is>
      </c>
      <c r="I534" s="386" t="inlineStr">
        <is>
          <t>Ngày, CTCK</t>
        </is>
      </c>
      <c r="J534" s="395" t="inlineStr">
        <is>
          <t>SCMS</t>
        </is>
      </c>
      <c r="K534" s="395" t="n"/>
      <c r="L534" s="395" t="inlineStr">
        <is>
          <t>X</t>
        </is>
      </c>
      <c r="M534" s="395" t="n"/>
      <c r="N534" s="395" t="inlineStr">
        <is>
          <t>Pending</t>
        </is>
      </c>
      <c r="O534" s="401" t="n"/>
      <c r="P534" s="395" t="n"/>
      <c r="Q534" s="395" t="n"/>
      <c r="R534" s="395" t="n"/>
      <c r="S534" s="395" t="n"/>
      <c r="T534" s="386" t="n"/>
      <c r="U534" s="386" t="n"/>
      <c r="V534" s="395" t="n"/>
      <c r="W534" s="395" t="n"/>
      <c r="X534" s="395" t="n"/>
      <c r="Y534" s="395" t="n"/>
      <c r="Z534" s="395" t="n"/>
      <c r="AA534" s="395" t="n"/>
      <c r="AB534" s="395" t="n"/>
      <c r="AC534" s="395" t="n"/>
      <c r="AD534" s="395" t="n"/>
      <c r="AE534" s="395" t="n"/>
    </row>
    <row r="535" ht="42" customHeight="1" s="380">
      <c r="A535" s="108" t="n">
        <v>48</v>
      </c>
      <c r="B535" s="386" t="n"/>
      <c r="C535" s="386" t="inlineStr">
        <is>
          <t>Báo cáo giám sát &gt;&gt; Báo cáo giám sát quy định về tài chính</t>
        </is>
      </c>
      <c r="D535" s="386" t="inlineStr">
        <is>
          <t>Số điện thoại</t>
        </is>
      </c>
      <c r="E535" s="395" t="inlineStr">
        <is>
          <t>Số điện thoại</t>
        </is>
      </c>
      <c r="F535" s="386" t="inlineStr">
        <is>
          <t>Data Explorer</t>
        </is>
      </c>
      <c r="G535" s="386" t="inlineStr">
        <is>
          <t>Chỉ tiêu cơ sở</t>
        </is>
      </c>
      <c r="H535" s="386" t="inlineStr">
        <is>
          <t>Dễ</t>
        </is>
      </c>
      <c r="I535" s="386" t="inlineStr">
        <is>
          <t>Ngày, CTCK</t>
        </is>
      </c>
      <c r="J535" s="395" t="inlineStr">
        <is>
          <t>SCMS</t>
        </is>
      </c>
      <c r="K535" s="395" t="n"/>
      <c r="L535" s="395" t="inlineStr">
        <is>
          <t>X</t>
        </is>
      </c>
      <c r="M535" s="395" t="n"/>
      <c r="N535" s="395" t="inlineStr">
        <is>
          <t>Pending</t>
        </is>
      </c>
      <c r="O535" s="401" t="n"/>
      <c r="P535" s="395" t="n"/>
      <c r="Q535" s="395" t="n"/>
      <c r="R535" s="395" t="n"/>
      <c r="S535" s="395" t="n"/>
      <c r="T535" s="386" t="n"/>
      <c r="U535" s="386" t="n"/>
      <c r="V535" s="395" t="n"/>
      <c r="W535" s="395" t="n"/>
      <c r="X535" s="395" t="n"/>
      <c r="Y535" s="395" t="n"/>
      <c r="Z535" s="395" t="n"/>
      <c r="AA535" s="395" t="n"/>
      <c r="AB535" s="395" t="n"/>
      <c r="AC535" s="395" t="n"/>
      <c r="AD535" s="395" t="n"/>
      <c r="AE535" s="395" t="n"/>
    </row>
    <row r="536" ht="42" customHeight="1" s="380">
      <c r="A536" s="108" t="n">
        <v>48</v>
      </c>
      <c r="B536" s="386" t="n"/>
      <c r="C536" s="386" t="inlineStr">
        <is>
          <t>Báo cáo giám sát &gt;&gt; Báo cáo giám sát quy định về tài chính</t>
        </is>
      </c>
      <c r="D536" s="386" t="inlineStr">
        <is>
          <t>Số giấy phép thành lập và hoạt động 
lần đầu</t>
        </is>
      </c>
      <c r="E536" s="395" t="inlineStr">
        <is>
          <t>Số giấy phép thành lập và hoạt động 
lần đầu</t>
        </is>
      </c>
      <c r="F536" s="386" t="inlineStr">
        <is>
          <t>Data Explorer</t>
        </is>
      </c>
      <c r="G536" s="386" t="inlineStr">
        <is>
          <t>Chỉ tiêu cơ sở</t>
        </is>
      </c>
      <c r="H536" s="386" t="inlineStr">
        <is>
          <t>Dễ</t>
        </is>
      </c>
      <c r="I536" s="386" t="inlineStr">
        <is>
          <t>Ngày, CTCK</t>
        </is>
      </c>
      <c r="J536" s="395" t="inlineStr">
        <is>
          <t>SCMS</t>
        </is>
      </c>
      <c r="K536" s="395" t="n"/>
      <c r="L536" s="395" t="inlineStr">
        <is>
          <t>X</t>
        </is>
      </c>
      <c r="M536" s="395" t="n"/>
      <c r="N536" s="395" t="inlineStr">
        <is>
          <t>Pending</t>
        </is>
      </c>
      <c r="O536" s="401" t="n"/>
      <c r="P536" s="395" t="n"/>
      <c r="Q536" s="395" t="n"/>
      <c r="R536" s="395" t="n"/>
      <c r="S536" s="395" t="n"/>
      <c r="T536" s="386" t="n"/>
      <c r="U536" s="386" t="n"/>
      <c r="V536" s="395" t="n"/>
      <c r="W536" s="395" t="n"/>
      <c r="X536" s="395" t="n"/>
      <c r="Y536" s="395" t="n"/>
      <c r="Z536" s="395" t="n"/>
      <c r="AA536" s="395" t="n"/>
      <c r="AB536" s="395" t="n"/>
      <c r="AC536" s="395" t="n"/>
      <c r="AD536" s="395" t="n"/>
      <c r="AE536" s="395" t="n"/>
    </row>
    <row r="537" ht="42" customHeight="1" s="380">
      <c r="A537" s="108" t="n">
        <v>48</v>
      </c>
      <c r="B537" s="386" t="n"/>
      <c r="C537" s="386" t="inlineStr">
        <is>
          <t>Báo cáo giám sát &gt;&gt; Báo cáo giám sát quy định về tài chính</t>
        </is>
      </c>
      <c r="D537" s="386" t="inlineStr">
        <is>
          <t>Ngày giấy phép lần đầu
(Ngày/tháng/năm)</t>
        </is>
      </c>
      <c r="E537" s="395" t="inlineStr">
        <is>
          <t>Ngày giấy phép lần đầu
(Ngày/tháng/năm)</t>
        </is>
      </c>
      <c r="F537" s="386" t="inlineStr">
        <is>
          <t>Data Explorer</t>
        </is>
      </c>
      <c r="G537" s="386" t="inlineStr">
        <is>
          <t>Chỉ tiêu cơ sở</t>
        </is>
      </c>
      <c r="H537" s="386" t="inlineStr">
        <is>
          <t>Dễ</t>
        </is>
      </c>
      <c r="I537" s="386" t="inlineStr">
        <is>
          <t>Ngày, CTCK</t>
        </is>
      </c>
      <c r="J537" s="395" t="inlineStr">
        <is>
          <t>SCMS</t>
        </is>
      </c>
      <c r="K537" s="395" t="n"/>
      <c r="L537" s="395" t="inlineStr">
        <is>
          <t>X</t>
        </is>
      </c>
      <c r="M537" s="395" t="n"/>
      <c r="N537" s="395" t="inlineStr">
        <is>
          <t>Pending</t>
        </is>
      </c>
      <c r="O537" s="401" t="n"/>
      <c r="P537" s="395" t="n"/>
      <c r="Q537" s="395" t="n"/>
      <c r="R537" s="395" t="n"/>
      <c r="S537" s="395" t="n"/>
      <c r="T537" s="386" t="n"/>
      <c r="U537" s="386" t="n"/>
      <c r="V537" s="395" t="n"/>
      <c r="W537" s="395" t="n"/>
      <c r="X537" s="395" t="n"/>
      <c r="Y537" s="395" t="n"/>
      <c r="Z537" s="395" t="n"/>
      <c r="AA537" s="395" t="n"/>
      <c r="AB537" s="395" t="n"/>
      <c r="AC537" s="395" t="n"/>
      <c r="AD537" s="395" t="n"/>
      <c r="AE537" s="395" t="n"/>
    </row>
    <row r="538" ht="42" customHeight="1" s="380">
      <c r="A538" s="108" t="n">
        <v>48</v>
      </c>
      <c r="B538" s="386" t="n"/>
      <c r="C538" s="386" t="inlineStr">
        <is>
          <t>Báo cáo giám sát &gt;&gt; Báo cáo giám sát quy định về tài chính</t>
        </is>
      </c>
      <c r="D538" s="386" t="inlineStr">
        <is>
          <t>Mã số doanh nghiệp</t>
        </is>
      </c>
      <c r="E538" s="395" t="inlineStr">
        <is>
          <t>Mã số doanh nghiệp</t>
        </is>
      </c>
      <c r="F538" s="386" t="inlineStr">
        <is>
          <t>Data Explorer</t>
        </is>
      </c>
      <c r="G538" s="386" t="inlineStr">
        <is>
          <t>Chỉ tiêu cơ sở</t>
        </is>
      </c>
      <c r="H538" s="386" t="inlineStr">
        <is>
          <t>Dễ</t>
        </is>
      </c>
      <c r="I538" s="386" t="inlineStr">
        <is>
          <t>Ngày, CTCK</t>
        </is>
      </c>
      <c r="J538" s="395" t="inlineStr">
        <is>
          <t>SCMS</t>
        </is>
      </c>
      <c r="K538" s="395" t="n"/>
      <c r="L538" s="395" t="inlineStr">
        <is>
          <t>X</t>
        </is>
      </c>
      <c r="M538" s="395" t="n"/>
      <c r="N538" s="395" t="inlineStr">
        <is>
          <t>Pending</t>
        </is>
      </c>
      <c r="O538" s="401" t="n"/>
      <c r="P538" s="395" t="n"/>
      <c r="Q538" s="395" t="n"/>
      <c r="R538" s="395" t="n"/>
      <c r="S538" s="395" t="n"/>
      <c r="T538" s="386" t="n"/>
      <c r="U538" s="386" t="n"/>
      <c r="V538" s="395" t="n"/>
      <c r="W538" s="395" t="n"/>
      <c r="X538" s="395" t="n"/>
      <c r="Y538" s="395" t="n"/>
      <c r="Z538" s="395" t="n"/>
      <c r="AA538" s="395" t="n"/>
      <c r="AB538" s="395" t="n"/>
      <c r="AC538" s="395" t="n"/>
      <c r="AD538" s="395" t="n"/>
      <c r="AE538" s="395" t="n"/>
    </row>
    <row r="539" ht="42" customHeight="1" s="380">
      <c r="A539" s="108" t="n">
        <v>48</v>
      </c>
      <c r="B539" s="386" t="n"/>
      <c r="C539" s="386" t="inlineStr">
        <is>
          <t>Báo cáo giám sát &gt;&gt; Báo cáo giám sát quy định về tài chính</t>
        </is>
      </c>
      <c r="D539" s="386" t="inlineStr">
        <is>
          <t>Sàn giao dịch cổ phiếu</t>
        </is>
      </c>
      <c r="E539" s="395" t="inlineStr">
        <is>
          <t>Sàn giao dịch cổ phiếu</t>
        </is>
      </c>
      <c r="F539" s="386" t="inlineStr">
        <is>
          <t>Data Explorer</t>
        </is>
      </c>
      <c r="G539" s="386" t="inlineStr">
        <is>
          <t>Chỉ tiêu cơ sở</t>
        </is>
      </c>
      <c r="H539" s="386" t="inlineStr">
        <is>
          <t>Dễ</t>
        </is>
      </c>
      <c r="I539" s="386" t="inlineStr">
        <is>
          <t>Ngày, CTCK</t>
        </is>
      </c>
      <c r="J539" s="395" t="inlineStr">
        <is>
          <t>SCMS</t>
        </is>
      </c>
      <c r="K539" s="395" t="n"/>
      <c r="L539" s="395" t="inlineStr">
        <is>
          <t>X</t>
        </is>
      </c>
      <c r="M539" s="395" t="n"/>
      <c r="N539" s="395" t="inlineStr">
        <is>
          <t>Pending</t>
        </is>
      </c>
      <c r="O539" s="401" t="n"/>
      <c r="P539" s="395" t="n"/>
      <c r="Q539" s="395" t="n"/>
      <c r="R539" s="395" t="n"/>
      <c r="S539" s="395" t="n"/>
      <c r="T539" s="386" t="n"/>
      <c r="U539" s="386" t="n"/>
      <c r="V539" s="395" t="n"/>
      <c r="W539" s="395" t="n"/>
      <c r="X539" s="395" t="n"/>
      <c r="Y539" s="395" t="n"/>
      <c r="Z539" s="395" t="n"/>
      <c r="AA539" s="395" t="n"/>
      <c r="AB539" s="395" t="n"/>
      <c r="AC539" s="395" t="n"/>
      <c r="AD539" s="395" t="n"/>
      <c r="AE539" s="395" t="n"/>
    </row>
    <row r="540" ht="42" customHeight="1" s="380">
      <c r="A540" s="108" t="n">
        <v>48</v>
      </c>
      <c r="B540" s="386" t="n"/>
      <c r="C540" s="386" t="inlineStr">
        <is>
          <t>Báo cáo giám sát &gt;&gt; Báo cáo giám sát quy định về tài chính</t>
        </is>
      </c>
      <c r="D540" s="386" t="inlineStr">
        <is>
          <t>Mã cổ phiếu</t>
        </is>
      </c>
      <c r="E540" s="395" t="inlineStr">
        <is>
          <t>Mã cổ phiếu</t>
        </is>
      </c>
      <c r="F540" s="386" t="inlineStr">
        <is>
          <t>Data Explorer</t>
        </is>
      </c>
      <c r="G540" s="386" t="inlineStr">
        <is>
          <t>Chỉ tiêu cơ sở</t>
        </is>
      </c>
      <c r="H540" s="386" t="inlineStr">
        <is>
          <t>Dễ</t>
        </is>
      </c>
      <c r="I540" s="386" t="inlineStr">
        <is>
          <t>Ngày, CTCK</t>
        </is>
      </c>
      <c r="J540" s="395" t="inlineStr">
        <is>
          <t>SCMS</t>
        </is>
      </c>
      <c r="K540" s="395" t="n"/>
      <c r="L540" s="395" t="inlineStr">
        <is>
          <t>X</t>
        </is>
      </c>
      <c r="M540" s="395" t="n"/>
      <c r="N540" s="395" t="inlineStr">
        <is>
          <t>Pending</t>
        </is>
      </c>
      <c r="O540" s="401" t="n"/>
      <c r="P540" s="395" t="n"/>
      <c r="Q540" s="395" t="n"/>
      <c r="R540" s="395" t="n"/>
      <c r="S540" s="395" t="n"/>
      <c r="T540" s="386" t="n"/>
      <c r="U540" s="386" t="n"/>
      <c r="V540" s="395" t="n"/>
      <c r="W540" s="395" t="n"/>
      <c r="X540" s="395" t="n"/>
      <c r="Y540" s="395" t="n"/>
      <c r="Z540" s="395" t="n"/>
      <c r="AA540" s="395" t="n"/>
      <c r="AB540" s="395" t="n"/>
      <c r="AC540" s="395" t="n"/>
      <c r="AD540" s="395" t="n"/>
      <c r="AE540" s="395" t="n"/>
    </row>
    <row r="541" ht="42" customHeight="1" s="380">
      <c r="A541" s="108" t="n">
        <v>48</v>
      </c>
      <c r="B541" s="386" t="n"/>
      <c r="C541" s="386" t="inlineStr">
        <is>
          <t>Báo cáo giám sát &gt;&gt; Báo cáo giám sát quy định về tài chính</t>
        </is>
      </c>
      <c r="D541" s="386" t="inlineStr">
        <is>
          <t>Vốn điều lệ (Đồng)</t>
        </is>
      </c>
      <c r="E541" s="395" t="inlineStr">
        <is>
          <t>Vốn điều lệ (Đồng)</t>
        </is>
      </c>
      <c r="F541" s="386" t="inlineStr">
        <is>
          <t>Data Explorer</t>
        </is>
      </c>
      <c r="G541" s="386" t="inlineStr">
        <is>
          <t>Chỉ tiêu cơ sở</t>
        </is>
      </c>
      <c r="H541" s="386" t="inlineStr">
        <is>
          <t>Dễ</t>
        </is>
      </c>
      <c r="I541" s="386" t="inlineStr">
        <is>
          <t>Ngày, CTCK</t>
        </is>
      </c>
      <c r="J541" s="395" t="inlineStr">
        <is>
          <t>SCMS</t>
        </is>
      </c>
      <c r="K541" s="395" t="n"/>
      <c r="L541" s="395" t="inlineStr">
        <is>
          <t>X</t>
        </is>
      </c>
      <c r="M541" s="395" t="n"/>
      <c r="N541" s="395" t="inlineStr">
        <is>
          <t>Pending</t>
        </is>
      </c>
      <c r="O541" s="401" t="n"/>
      <c r="P541" s="395" t="n"/>
      <c r="Q541" s="395" t="n"/>
      <c r="R541" s="395" t="n"/>
      <c r="S541" s="395" t="n"/>
      <c r="T541" s="386" t="n"/>
      <c r="U541" s="386" t="n"/>
      <c r="V541" s="395" t="n"/>
      <c r="W541" s="395" t="n"/>
      <c r="X541" s="395" t="n"/>
      <c r="Y541" s="395" t="n"/>
      <c r="Z541" s="395" t="n"/>
      <c r="AA541" s="395" t="n"/>
      <c r="AB541" s="395" t="n"/>
      <c r="AC541" s="395" t="n"/>
      <c r="AD541" s="395" t="n"/>
      <c r="AE541" s="395" t="n"/>
    </row>
    <row r="542" ht="42" customHeight="1" s="380">
      <c r="A542" s="108" t="n">
        <v>48</v>
      </c>
      <c r="B542" s="386" t="n"/>
      <c r="C542" s="386" t="inlineStr">
        <is>
          <t>Báo cáo giám sát &gt;&gt; Báo cáo giám sát quy định về tài chính</t>
        </is>
      </c>
      <c r="D542" s="386" t="inlineStr">
        <is>
          <t>Website</t>
        </is>
      </c>
      <c r="E542" s="395" t="inlineStr">
        <is>
          <t>Website</t>
        </is>
      </c>
      <c r="F542" s="386" t="inlineStr">
        <is>
          <t>Data Explorer</t>
        </is>
      </c>
      <c r="G542" s="386" t="inlineStr">
        <is>
          <t>Chỉ tiêu cơ sở</t>
        </is>
      </c>
      <c r="H542" s="386" t="inlineStr">
        <is>
          <t>Dễ</t>
        </is>
      </c>
      <c r="I542" s="386" t="inlineStr">
        <is>
          <t>Ngày, CTCK</t>
        </is>
      </c>
      <c r="J542" s="395" t="inlineStr">
        <is>
          <t>SCMS</t>
        </is>
      </c>
      <c r="K542" s="395" t="n"/>
      <c r="L542" s="395" t="inlineStr">
        <is>
          <t>X</t>
        </is>
      </c>
      <c r="M542" s="395" t="n"/>
      <c r="N542" s="395" t="inlineStr">
        <is>
          <t>Pending</t>
        </is>
      </c>
      <c r="O542" s="401" t="n"/>
      <c r="P542" s="395" t="n"/>
      <c r="Q542" s="395" t="n"/>
      <c r="R542" s="395" t="n"/>
      <c r="S542" s="395" t="n"/>
      <c r="T542" s="386" t="n"/>
      <c r="U542" s="386" t="n"/>
      <c r="V542" s="395" t="n"/>
      <c r="W542" s="395" t="n"/>
      <c r="X542" s="395" t="n"/>
      <c r="Y542" s="395" t="n"/>
      <c r="Z542" s="395" t="n"/>
      <c r="AA542" s="395" t="n"/>
      <c r="AB542" s="395" t="n"/>
      <c r="AC542" s="395" t="n"/>
      <c r="AD542" s="395" t="n"/>
      <c r="AE542" s="395" t="n"/>
    </row>
    <row r="543" ht="42" customHeight="1" s="380">
      <c r="A543" s="108" t="n">
        <v>48</v>
      </c>
      <c r="B543" s="386" t="n"/>
      <c r="C543" s="386" t="inlineStr">
        <is>
          <t>Báo cáo giám sát &gt;&gt; Báo cáo giám sát quy định về tài chính</t>
        </is>
      </c>
      <c r="D543" s="386" t="inlineStr">
        <is>
          <t>Trạng thái hoạt động</t>
        </is>
      </c>
      <c r="E543" s="395" t="inlineStr">
        <is>
          <t>Trạng thái hoạt động</t>
        </is>
      </c>
      <c r="F543" s="386" t="inlineStr">
        <is>
          <t>Data Explorer</t>
        </is>
      </c>
      <c r="G543" s="386" t="inlineStr">
        <is>
          <t>Chỉ tiêu cơ sở</t>
        </is>
      </c>
      <c r="H543" s="386" t="inlineStr">
        <is>
          <t>Dễ</t>
        </is>
      </c>
      <c r="I543" s="386" t="inlineStr">
        <is>
          <t>Ngày, CTCK</t>
        </is>
      </c>
      <c r="J543" s="395" t="inlineStr">
        <is>
          <t>SCMS</t>
        </is>
      </c>
      <c r="K543" s="395" t="n"/>
      <c r="L543" s="395" t="inlineStr">
        <is>
          <t>X</t>
        </is>
      </c>
      <c r="M543" s="395" t="n"/>
      <c r="N543" s="395" t="inlineStr">
        <is>
          <t>Pending</t>
        </is>
      </c>
      <c r="O543" s="401" t="n"/>
      <c r="P543" s="395" t="n"/>
      <c r="Q543" s="395" t="n"/>
      <c r="R543" s="395" t="n"/>
      <c r="S543" s="395" t="n"/>
      <c r="T543" s="386" t="n"/>
      <c r="U543" s="386" t="n"/>
      <c r="V543" s="395" t="n"/>
      <c r="W543" s="395" t="n"/>
      <c r="X543" s="395" t="n"/>
      <c r="Y543" s="395" t="n"/>
      <c r="Z543" s="395" t="n"/>
      <c r="AA543" s="395" t="n"/>
      <c r="AB543" s="395" t="n"/>
      <c r="AC543" s="395" t="n"/>
      <c r="AD543" s="395" t="n"/>
      <c r="AE543" s="395" t="n"/>
    </row>
    <row r="544" ht="42" customHeight="1" s="380">
      <c r="A544" s="108" t="n">
        <v>48</v>
      </c>
      <c r="B544" s="386" t="n"/>
      <c r="C544" s="386" t="inlineStr">
        <is>
          <t>Báo cáo giám sát &gt;&gt; Báo cáo giám sát quy định về tài chính</t>
        </is>
      </c>
      <c r="D544" s="386" t="inlineStr">
        <is>
          <t>Nghiệp vụ được phép hoạt động &gt;&gt; Môi giới chứng khoán</t>
        </is>
      </c>
      <c r="E544" s="386" t="inlineStr">
        <is>
          <t>Nghiệp vụ được phép hoạt động &gt;&gt; Môi giới chứng khoán</t>
        </is>
      </c>
      <c r="F544" s="386" t="inlineStr">
        <is>
          <t>Data Explorer</t>
        </is>
      </c>
      <c r="G544" s="386" t="inlineStr">
        <is>
          <t>Chỉ tiêu cơ sở</t>
        </is>
      </c>
      <c r="H544" s="386" t="inlineStr">
        <is>
          <t>TB</t>
        </is>
      </c>
      <c r="I544" s="386" t="inlineStr">
        <is>
          <t>Ngày, CTCK</t>
        </is>
      </c>
      <c r="J544" s="395" t="inlineStr">
        <is>
          <t>SCMS</t>
        </is>
      </c>
      <c r="K544" s="395" t="n"/>
      <c r="L544" s="395" t="inlineStr">
        <is>
          <t>X</t>
        </is>
      </c>
      <c r="M544" s="395" t="n"/>
      <c r="N544" s="395" t="inlineStr">
        <is>
          <t>Pending</t>
        </is>
      </c>
      <c r="O544" s="401" t="n"/>
      <c r="P544" s="395" t="n"/>
      <c r="Q544" s="395" t="n"/>
      <c r="R544" s="395" t="n"/>
      <c r="S544" s="395" t="n"/>
      <c r="T544" s="386" t="n"/>
      <c r="U544" s="386" t="n"/>
      <c r="V544" s="395" t="n"/>
      <c r="W544" s="395" t="n"/>
      <c r="X544" s="395" t="n"/>
      <c r="Y544" s="395" t="n"/>
      <c r="Z544" s="395" t="n"/>
      <c r="AA544" s="395" t="n"/>
      <c r="AB544" s="395" t="n"/>
      <c r="AC544" s="395" t="n"/>
      <c r="AD544" s="395" t="n"/>
      <c r="AE544" s="395" t="n"/>
    </row>
    <row r="545" ht="42" customHeight="1" s="380">
      <c r="A545" s="108" t="n">
        <v>48</v>
      </c>
      <c r="B545" s="386" t="n"/>
      <c r="C545" s="386" t="inlineStr">
        <is>
          <t>Báo cáo giám sát &gt;&gt; Báo cáo giám sát quy định về tài chính</t>
        </is>
      </c>
      <c r="D545" s="386" t="inlineStr">
        <is>
          <t>Nghiệp vụ được phép hoạt động &gt;&gt; Tự doanh chứng khoán</t>
        </is>
      </c>
      <c r="E545" s="386" t="inlineStr">
        <is>
          <t>Nghiệp vụ được phép hoạt động &gt;&gt; Tự doanh chứng khoán</t>
        </is>
      </c>
      <c r="F545" s="386" t="inlineStr">
        <is>
          <t>Data Explorer</t>
        </is>
      </c>
      <c r="G545" s="386" t="inlineStr">
        <is>
          <t>Chỉ tiêu cơ sở</t>
        </is>
      </c>
      <c r="H545" s="386" t="inlineStr">
        <is>
          <t>TB</t>
        </is>
      </c>
      <c r="I545" s="386" t="inlineStr">
        <is>
          <t>Ngày, CTCK</t>
        </is>
      </c>
      <c r="J545" s="395" t="inlineStr">
        <is>
          <t>SCMS</t>
        </is>
      </c>
      <c r="K545" s="395" t="n"/>
      <c r="L545" s="395" t="inlineStr">
        <is>
          <t>X</t>
        </is>
      </c>
      <c r="M545" s="395" t="n"/>
      <c r="N545" s="395" t="inlineStr">
        <is>
          <t>Pending</t>
        </is>
      </c>
      <c r="O545" s="401" t="n"/>
      <c r="P545" s="395" t="n"/>
      <c r="Q545" s="395" t="n"/>
      <c r="R545" s="395" t="n"/>
      <c r="S545" s="395" t="n"/>
      <c r="T545" s="386" t="n"/>
      <c r="U545" s="386" t="n"/>
      <c r="V545" s="395" t="n"/>
      <c r="W545" s="395" t="n"/>
      <c r="X545" s="395" t="n"/>
      <c r="Y545" s="395" t="n"/>
      <c r="Z545" s="395" t="n"/>
      <c r="AA545" s="395" t="n"/>
      <c r="AB545" s="395" t="n"/>
      <c r="AC545" s="395" t="n"/>
      <c r="AD545" s="395" t="n"/>
      <c r="AE545" s="395" t="n"/>
    </row>
    <row r="546" ht="42" customHeight="1" s="380">
      <c r="A546" s="108" t="n">
        <v>48</v>
      </c>
      <c r="B546" s="386" t="n"/>
      <c r="C546" s="386" t="inlineStr">
        <is>
          <t>Báo cáo giám sát &gt;&gt; Báo cáo giám sát quy định về tài chính</t>
        </is>
      </c>
      <c r="D546" s="386" t="inlineStr">
        <is>
          <t>Nghiệp vụ được phép hoạt động &gt;&gt; Bảo lãnh phát hành chứng khoán</t>
        </is>
      </c>
      <c r="E546" s="386" t="inlineStr">
        <is>
          <t>Nghiệp vụ được phép hoạt động &gt;&gt; Bảo lãnh phát hành chứng khoán</t>
        </is>
      </c>
      <c r="F546" s="386" t="inlineStr">
        <is>
          <t>Data Explorer</t>
        </is>
      </c>
      <c r="G546" s="386" t="inlineStr">
        <is>
          <t>Chỉ tiêu cơ sở</t>
        </is>
      </c>
      <c r="H546" s="386" t="inlineStr">
        <is>
          <t>TB</t>
        </is>
      </c>
      <c r="I546" s="386" t="inlineStr">
        <is>
          <t>Ngày, CTCK</t>
        </is>
      </c>
      <c r="J546" s="395" t="inlineStr">
        <is>
          <t>SCMS</t>
        </is>
      </c>
      <c r="K546" s="395" t="n"/>
      <c r="L546" s="395" t="inlineStr">
        <is>
          <t>X</t>
        </is>
      </c>
      <c r="M546" s="395" t="n"/>
      <c r="N546" s="395" t="inlineStr">
        <is>
          <t>Pending</t>
        </is>
      </c>
      <c r="O546" s="401" t="n"/>
      <c r="P546" s="395" t="n"/>
      <c r="Q546" s="395" t="n"/>
      <c r="R546" s="395" t="n"/>
      <c r="S546" s="395" t="n"/>
      <c r="T546" s="386" t="n"/>
      <c r="U546" s="386" t="n"/>
      <c r="V546" s="395" t="n"/>
      <c r="W546" s="395" t="n"/>
      <c r="X546" s="395" t="n"/>
      <c r="Y546" s="395" t="n"/>
      <c r="Z546" s="395" t="n"/>
      <c r="AA546" s="395" t="n"/>
      <c r="AB546" s="395" t="n"/>
      <c r="AC546" s="395" t="n"/>
      <c r="AD546" s="395" t="n"/>
      <c r="AE546" s="395" t="n"/>
    </row>
    <row r="547" ht="42" customHeight="1" s="380">
      <c r="A547" s="108" t="n">
        <v>48</v>
      </c>
      <c r="B547" s="386" t="n"/>
      <c r="C547" s="386" t="inlineStr">
        <is>
          <t>Báo cáo giám sát &gt;&gt; Báo cáo giám sát quy định về tài chính</t>
        </is>
      </c>
      <c r="D547" s="386" t="inlineStr">
        <is>
          <t>Nghiệp vụ được phép hoạt động &gt;&gt; Tư vấn đầu tư chứng khoán</t>
        </is>
      </c>
      <c r="E547" s="386" t="inlineStr">
        <is>
          <t>Nghiệp vụ được phép hoạt động &gt;&gt; Tư vấn đầu tư chứng khoán</t>
        </is>
      </c>
      <c r="F547" s="386" t="inlineStr">
        <is>
          <t>Data Explorer</t>
        </is>
      </c>
      <c r="G547" s="386" t="inlineStr">
        <is>
          <t>Chỉ tiêu cơ sở</t>
        </is>
      </c>
      <c r="H547" s="386" t="inlineStr">
        <is>
          <t>TB</t>
        </is>
      </c>
      <c r="I547" s="386" t="inlineStr">
        <is>
          <t>Ngày, CTCK</t>
        </is>
      </c>
      <c r="J547" s="395" t="inlineStr">
        <is>
          <t>SCMS</t>
        </is>
      </c>
      <c r="K547" s="395" t="n"/>
      <c r="L547" s="395" t="inlineStr">
        <is>
          <t>X</t>
        </is>
      </c>
      <c r="M547" s="395" t="n"/>
      <c r="N547" s="395" t="inlineStr">
        <is>
          <t>Pending</t>
        </is>
      </c>
      <c r="O547" s="401" t="n"/>
      <c r="P547" s="395" t="n"/>
      <c r="Q547" s="395" t="n"/>
      <c r="R547" s="395" t="n"/>
      <c r="S547" s="395" t="n"/>
      <c r="T547" s="386" t="n"/>
      <c r="U547" s="386" t="n"/>
      <c r="V547" s="395" t="n"/>
      <c r="W547" s="395" t="n"/>
      <c r="X547" s="395" t="n"/>
      <c r="Y547" s="395" t="n"/>
      <c r="Z547" s="395" t="n"/>
      <c r="AA547" s="395" t="n"/>
      <c r="AB547" s="395" t="n"/>
      <c r="AC547" s="395" t="n"/>
      <c r="AD547" s="395" t="n"/>
      <c r="AE547" s="395" t="n"/>
    </row>
    <row r="548" ht="56" customHeight="1" s="380">
      <c r="A548" s="108" t="n">
        <v>48</v>
      </c>
      <c r="B548" s="386" t="n"/>
      <c r="C548" s="386" t="inlineStr">
        <is>
          <t>Báo cáo giám sát &gt;&gt; Báo cáo giám sát quy định về tài chính</t>
        </is>
      </c>
      <c r="D548" s="386" t="inlineStr">
        <is>
          <t>Hoạt động kinh doanh chứng khoán phái sinh &gt;&gt; Giấy chứng nhận kinh doanh phái sinh</t>
        </is>
      </c>
      <c r="E548" s="386" t="inlineStr">
        <is>
          <t>Hoạt động kinh doanh chứng khoán phái sinh &gt;&gt; Giấy chứng nhận kinh doanh phái sinh</t>
        </is>
      </c>
      <c r="F548" s="386" t="inlineStr">
        <is>
          <t>Data Explorer</t>
        </is>
      </c>
      <c r="G548" s="386" t="inlineStr">
        <is>
          <t>Chỉ tiêu cơ sở</t>
        </is>
      </c>
      <c r="H548" s="386" t="inlineStr">
        <is>
          <t>TB</t>
        </is>
      </c>
      <c r="I548" s="386" t="inlineStr">
        <is>
          <t>Ngày, CTCK</t>
        </is>
      </c>
      <c r="J548" s="395" t="inlineStr">
        <is>
          <t>SCMS</t>
        </is>
      </c>
      <c r="K548" s="395" t="n"/>
      <c r="L548" s="395" t="inlineStr">
        <is>
          <t>X</t>
        </is>
      </c>
      <c r="M548" s="395" t="n"/>
      <c r="N548" s="395" t="inlineStr">
        <is>
          <t>Pending</t>
        </is>
      </c>
      <c r="O548" s="401" t="n"/>
      <c r="P548" s="395" t="n"/>
      <c r="Q548" s="395" t="n"/>
      <c r="R548" s="395" t="n"/>
      <c r="S548" s="395" t="n"/>
      <c r="T548" s="386" t="n"/>
      <c r="U548" s="386" t="n"/>
      <c r="V548" s="395" t="n"/>
      <c r="W548" s="395" t="n"/>
      <c r="X548" s="395" t="n"/>
      <c r="Y548" s="395" t="n"/>
      <c r="Z548" s="395" t="n"/>
      <c r="AA548" s="395" t="n"/>
      <c r="AB548" s="395" t="n"/>
      <c r="AC548" s="395" t="n"/>
      <c r="AD548" s="395" t="n"/>
      <c r="AE548" s="395" t="n"/>
    </row>
    <row r="549" ht="56" customHeight="1" s="380">
      <c r="A549" s="108" t="n">
        <v>48</v>
      </c>
      <c r="B549" s="386" t="n"/>
      <c r="C549" s="386" t="inlineStr">
        <is>
          <t>Báo cáo giám sát &gt;&gt; Báo cáo giám sát quy định về tài chính</t>
        </is>
      </c>
      <c r="D549" s="386" t="inlineStr">
        <is>
          <t>Hoạt động kinh doanh chứng khoán phái sinh &gt;&gt; Môi giới chứng khoán phái sinh</t>
        </is>
      </c>
      <c r="E549" s="386" t="inlineStr">
        <is>
          <t>Hoạt động kinh doanh chứng khoán phái sinh &gt;&gt; Môi giới chứng khoán phái sinh</t>
        </is>
      </c>
      <c r="F549" s="386" t="inlineStr">
        <is>
          <t>Data Explorer</t>
        </is>
      </c>
      <c r="G549" s="386" t="inlineStr">
        <is>
          <t>Chỉ tiêu cơ sở</t>
        </is>
      </c>
      <c r="H549" s="386" t="inlineStr">
        <is>
          <t>TB</t>
        </is>
      </c>
      <c r="I549" s="386" t="inlineStr">
        <is>
          <t>Ngày, CTCK</t>
        </is>
      </c>
      <c r="J549" s="395" t="inlineStr">
        <is>
          <t>SCMS</t>
        </is>
      </c>
      <c r="K549" s="395" t="n"/>
      <c r="L549" s="395" t="inlineStr">
        <is>
          <t>X</t>
        </is>
      </c>
      <c r="M549" s="395" t="n"/>
      <c r="N549" s="395" t="inlineStr">
        <is>
          <t>Pending</t>
        </is>
      </c>
      <c r="O549" s="401" t="n"/>
      <c r="P549" s="395" t="n"/>
      <c r="Q549" s="395" t="n"/>
      <c r="R549" s="395" t="n"/>
      <c r="S549" s="395" t="n"/>
      <c r="T549" s="386" t="n"/>
      <c r="U549" s="386" t="n"/>
      <c r="V549" s="395" t="n"/>
      <c r="W549" s="395" t="n"/>
      <c r="X549" s="395" t="n"/>
      <c r="Y549" s="395" t="n"/>
      <c r="Z549" s="395" t="n"/>
      <c r="AA549" s="395" t="n"/>
      <c r="AB549" s="395" t="n"/>
      <c r="AC549" s="395" t="n"/>
      <c r="AD549" s="395" t="n"/>
      <c r="AE549" s="395" t="n"/>
    </row>
    <row r="550" ht="56" customHeight="1" s="380">
      <c r="A550" s="108" t="n">
        <v>48</v>
      </c>
      <c r="B550" s="386" t="n"/>
      <c r="C550" s="386" t="inlineStr">
        <is>
          <t>Báo cáo giám sát &gt;&gt; Báo cáo giám sát quy định về tài chính</t>
        </is>
      </c>
      <c r="D550" s="386" t="inlineStr">
        <is>
          <t>Hoạt động kinh doanh chứng khoán phái sinh &gt;&gt; Tự doanh chứng khoán phái sinh</t>
        </is>
      </c>
      <c r="E550" s="386" t="inlineStr">
        <is>
          <t>Hoạt động kinh doanh chứng khoán phái sinh &gt;&gt; Tự doanh chứng khoán phái sinh</t>
        </is>
      </c>
      <c r="F550" s="386" t="inlineStr">
        <is>
          <t>Data Explorer</t>
        </is>
      </c>
      <c r="G550" s="386" t="inlineStr">
        <is>
          <t>Chỉ tiêu cơ sở</t>
        </is>
      </c>
      <c r="H550" s="386" t="inlineStr">
        <is>
          <t>TB</t>
        </is>
      </c>
      <c r="I550" s="386" t="inlineStr">
        <is>
          <t>Ngày, CTCK</t>
        </is>
      </c>
      <c r="J550" s="395" t="inlineStr">
        <is>
          <t>SCMS</t>
        </is>
      </c>
      <c r="K550" s="395" t="n"/>
      <c r="L550" s="395" t="inlineStr">
        <is>
          <t>X</t>
        </is>
      </c>
      <c r="M550" s="395" t="n"/>
      <c r="N550" s="395" t="inlineStr">
        <is>
          <t>Pending</t>
        </is>
      </c>
      <c r="O550" s="401" t="n"/>
      <c r="P550" s="395" t="n"/>
      <c r="Q550" s="395" t="n"/>
      <c r="R550" s="395" t="n"/>
      <c r="S550" s="395" t="n"/>
      <c r="T550" s="386" t="n"/>
      <c r="U550" s="386" t="n"/>
      <c r="V550" s="395" t="n"/>
      <c r="W550" s="395" t="n"/>
      <c r="X550" s="395" t="n"/>
      <c r="Y550" s="395" t="n"/>
      <c r="Z550" s="395" t="n"/>
      <c r="AA550" s="395" t="n"/>
      <c r="AB550" s="395" t="n"/>
      <c r="AC550" s="395" t="n"/>
      <c r="AD550" s="395" t="n"/>
      <c r="AE550" s="395" t="n"/>
    </row>
    <row r="551" ht="56" customHeight="1" s="380">
      <c r="A551" s="108" t="n">
        <v>48</v>
      </c>
      <c r="B551" s="386" t="n"/>
      <c r="C551" s="386" t="inlineStr">
        <is>
          <t>Báo cáo giám sát &gt;&gt; Báo cáo giám sát quy định về tài chính</t>
        </is>
      </c>
      <c r="D551" s="386" t="inlineStr">
        <is>
          <t>Hoạt động kinh doanh chứng khoán phái sinh &gt;&gt; Tư vấn đầu tư chứng khoán phái sinh</t>
        </is>
      </c>
      <c r="E551" s="386" t="inlineStr">
        <is>
          <t>Hoạt động kinh doanh chứng khoán phái sinh &gt;&gt; Tư vấn đầu tư chứng khoán phái sinh</t>
        </is>
      </c>
      <c r="F551" s="386" t="inlineStr">
        <is>
          <t>Data Explorer</t>
        </is>
      </c>
      <c r="G551" s="386" t="inlineStr">
        <is>
          <t>Chỉ tiêu cơ sở</t>
        </is>
      </c>
      <c r="H551" s="386" t="inlineStr">
        <is>
          <t>TB</t>
        </is>
      </c>
      <c r="I551" s="386" t="inlineStr">
        <is>
          <t>Ngày, CTCK</t>
        </is>
      </c>
      <c r="J551" s="395" t="inlineStr">
        <is>
          <t>SCMS</t>
        </is>
      </c>
      <c r="K551" s="395" t="n"/>
      <c r="L551" s="395" t="inlineStr">
        <is>
          <t>X</t>
        </is>
      </c>
      <c r="M551" s="395" t="n"/>
      <c r="N551" s="395" t="inlineStr">
        <is>
          <t>Pending</t>
        </is>
      </c>
      <c r="O551" s="401" t="n"/>
      <c r="P551" s="395" t="n"/>
      <c r="Q551" s="395" t="n"/>
      <c r="R551" s="395" t="n"/>
      <c r="S551" s="395" t="n"/>
      <c r="T551" s="386" t="n"/>
      <c r="U551" s="386" t="n"/>
      <c r="V551" s="395" t="n"/>
      <c r="W551" s="395" t="n"/>
      <c r="X551" s="395" t="n"/>
      <c r="Y551" s="395" t="n"/>
      <c r="Z551" s="395" t="n"/>
      <c r="AA551" s="395" t="n"/>
      <c r="AB551" s="395" t="n"/>
      <c r="AC551" s="395" t="n"/>
      <c r="AD551" s="395" t="n"/>
      <c r="AE551" s="395" t="n"/>
    </row>
    <row r="552" ht="56" customHeight="1" s="380">
      <c r="A552" s="108" t="n">
        <v>48</v>
      </c>
      <c r="B552" s="386" t="n"/>
      <c r="C552" s="386" t="inlineStr">
        <is>
          <t>Báo cáo giám sát &gt;&gt; Báo cáo giám sát quy định về tài chính</t>
        </is>
      </c>
      <c r="D552" s="386" t="inlineStr">
        <is>
          <t xml:space="preserve">Hạn chế vay nợ &gt;&gt; Tỷ lệ nợ/vốn chủ sở hữu không vượt quá 5 lần &gt;&gt; Quý I                                                              </t>
        </is>
      </c>
      <c r="E552" s="386" t="inlineStr">
        <is>
          <t xml:space="preserve">Hạn chế vay nợ &gt;&gt; Tỷ lệ nợ/vốn chủ sở hữu không vượt quá 5 lần &gt;&gt; Quý I                                                              </t>
        </is>
      </c>
      <c r="F552" s="386" t="inlineStr">
        <is>
          <t>Data Explorer</t>
        </is>
      </c>
      <c r="G552" s="386" t="inlineStr">
        <is>
          <t>Chỉ tiêu cơ sở</t>
        </is>
      </c>
      <c r="H552" s="386" t="inlineStr">
        <is>
          <t>TB</t>
        </is>
      </c>
      <c r="I552" s="386" t="inlineStr">
        <is>
          <t>Ngày, CTCK</t>
        </is>
      </c>
      <c r="J552" s="395" t="inlineStr">
        <is>
          <t>SCMS</t>
        </is>
      </c>
      <c r="K552" s="395" t="n"/>
      <c r="L552" s="395" t="inlineStr">
        <is>
          <t>X</t>
        </is>
      </c>
      <c r="M552" s="395" t="n"/>
      <c r="N552" s="395" t="inlineStr">
        <is>
          <t>Pending</t>
        </is>
      </c>
      <c r="O552" s="401" t="n"/>
      <c r="P552" s="395" t="n"/>
      <c r="Q552" s="395" t="n"/>
      <c r="R552" s="395" t="n"/>
      <c r="S552" s="395" t="n"/>
      <c r="T552" s="386" t="n"/>
      <c r="U552" s="386" t="n"/>
      <c r="V552" s="395" t="n"/>
      <c r="W552" s="395" t="n"/>
      <c r="X552" s="395" t="n"/>
      <c r="Y552" s="395" t="n"/>
      <c r="Z552" s="395" t="n"/>
      <c r="AA552" s="395" t="n"/>
      <c r="AB552" s="395" t="n"/>
      <c r="AC552" s="395" t="n"/>
      <c r="AD552" s="395" t="n"/>
      <c r="AE552" s="395" t="n"/>
    </row>
    <row r="553" ht="56" customHeight="1" s="380">
      <c r="A553" s="108" t="n">
        <v>48</v>
      </c>
      <c r="B553" s="386" t="n"/>
      <c r="C553" s="386" t="inlineStr">
        <is>
          <t>Báo cáo giám sát &gt;&gt; Báo cáo giám sát quy định về tài chính</t>
        </is>
      </c>
      <c r="D553" s="386" t="inlineStr">
        <is>
          <t xml:space="preserve">Hạn chế vay nợ &gt;&gt; Tỷ lệ nợ/vốn chủ sở hữu không vượt quá 5 lần &gt;&gt; Quý II                                    </t>
        </is>
      </c>
      <c r="E553" s="386" t="inlineStr">
        <is>
          <t xml:space="preserve">Hạn chế vay nợ &gt;&gt; Tỷ lệ nợ/vốn chủ sở hữu không vượt quá 5 lần &gt;&gt; Quý II                                    </t>
        </is>
      </c>
      <c r="F553" s="386" t="inlineStr">
        <is>
          <t>Data Explorer</t>
        </is>
      </c>
      <c r="G553" s="386" t="inlineStr">
        <is>
          <t>Chỉ tiêu cơ sở</t>
        </is>
      </c>
      <c r="H553" s="386" t="inlineStr">
        <is>
          <t>TB</t>
        </is>
      </c>
      <c r="I553" s="386" t="inlineStr">
        <is>
          <t>Ngày, CTCK</t>
        </is>
      </c>
      <c r="J553" s="395" t="inlineStr">
        <is>
          <t>SCMS</t>
        </is>
      </c>
      <c r="K553" s="395" t="n"/>
      <c r="L553" s="395" t="inlineStr">
        <is>
          <t>X</t>
        </is>
      </c>
      <c r="M553" s="395" t="n"/>
      <c r="N553" s="395" t="inlineStr">
        <is>
          <t>Pending</t>
        </is>
      </c>
      <c r="O553" s="401" t="n"/>
      <c r="P553" s="395" t="n"/>
      <c r="Q553" s="395" t="n"/>
      <c r="R553" s="395" t="n"/>
      <c r="S553" s="395" t="n"/>
      <c r="T553" s="386" t="n"/>
      <c r="U553" s="386" t="n"/>
      <c r="V553" s="395" t="n"/>
      <c r="W553" s="395" t="n"/>
      <c r="X553" s="395" t="n"/>
      <c r="Y553" s="395" t="n"/>
      <c r="Z553" s="395" t="n"/>
      <c r="AA553" s="395" t="n"/>
      <c r="AB553" s="395" t="n"/>
      <c r="AC553" s="395" t="n"/>
      <c r="AD553" s="395" t="n"/>
      <c r="AE553" s="395" t="n"/>
    </row>
    <row r="554" ht="56" customHeight="1" s="380">
      <c r="A554" s="108" t="n">
        <v>48</v>
      </c>
      <c r="B554" s="386" t="n"/>
      <c r="C554" s="386" t="inlineStr">
        <is>
          <t>Báo cáo giám sát &gt;&gt; Báo cáo giám sát quy định về tài chính</t>
        </is>
      </c>
      <c r="D554" s="386" t="inlineStr">
        <is>
          <t xml:space="preserve">Hạn chế vay nợ &gt;&gt; Tỷ lệ nợ/vốn chủ sở hữu không vượt quá 5 lần &gt;&gt; Bán niên                                               </t>
        </is>
      </c>
      <c r="E554" s="386" t="inlineStr">
        <is>
          <t xml:space="preserve">Hạn chế vay nợ &gt;&gt; Tỷ lệ nợ/vốn chủ sở hữu không vượt quá 5 lần &gt;&gt; Bán niên                                               </t>
        </is>
      </c>
      <c r="F554" s="386" t="inlineStr">
        <is>
          <t>Data Explorer</t>
        </is>
      </c>
      <c r="G554" s="386" t="inlineStr">
        <is>
          <t>Chỉ tiêu cơ sở</t>
        </is>
      </c>
      <c r="H554" s="386" t="inlineStr">
        <is>
          <t>TB</t>
        </is>
      </c>
      <c r="I554" s="386" t="inlineStr">
        <is>
          <t>Ngày, CTCK</t>
        </is>
      </c>
      <c r="J554" s="395" t="inlineStr">
        <is>
          <t>SCMS</t>
        </is>
      </c>
      <c r="K554" s="395" t="n"/>
      <c r="L554" s="395" t="inlineStr">
        <is>
          <t>X</t>
        </is>
      </c>
      <c r="M554" s="395" t="n"/>
      <c r="N554" s="395" t="inlineStr">
        <is>
          <t>Pending</t>
        </is>
      </c>
      <c r="O554" s="401" t="n"/>
      <c r="P554" s="395" t="n"/>
      <c r="Q554" s="395" t="n"/>
      <c r="R554" s="395" t="n"/>
      <c r="S554" s="395" t="n"/>
      <c r="T554" s="386" t="n"/>
      <c r="U554" s="386" t="n"/>
      <c r="V554" s="395" t="n"/>
      <c r="W554" s="395" t="n"/>
      <c r="X554" s="395" t="n"/>
      <c r="Y554" s="36" t="n"/>
      <c r="Z554" s="395" t="n"/>
      <c r="AA554" s="395" t="n"/>
      <c r="AB554" s="395" t="n"/>
      <c r="AC554" s="395" t="n"/>
      <c r="AD554" s="395" t="n"/>
      <c r="AE554" s="395" t="n"/>
    </row>
    <row r="555" ht="56" customHeight="1" s="380">
      <c r="A555" s="108" t="n">
        <v>48</v>
      </c>
      <c r="B555" s="386" t="n"/>
      <c r="C555" s="386" t="inlineStr">
        <is>
          <t>Báo cáo giám sát &gt;&gt; Báo cáo giám sát quy định về tài chính</t>
        </is>
      </c>
      <c r="D555" s="386" t="inlineStr">
        <is>
          <t xml:space="preserve">Hạn chế vay nợ &gt;&gt; Tỷ lệ nợ/vốn chủ sở hữu không vượt quá 5 lần &gt;&gt; Quý III                                    </t>
        </is>
      </c>
      <c r="E555" s="386" t="inlineStr">
        <is>
          <t xml:space="preserve">Hạn chế vay nợ &gt;&gt; Tỷ lệ nợ/vốn chủ sở hữu không vượt quá 5 lần &gt;&gt; Quý III                                    </t>
        </is>
      </c>
      <c r="F555" s="386" t="inlineStr">
        <is>
          <t>Data Explorer</t>
        </is>
      </c>
      <c r="G555" s="386" t="inlineStr">
        <is>
          <t>Chỉ tiêu cơ sở</t>
        </is>
      </c>
      <c r="H555" s="386" t="inlineStr">
        <is>
          <t>TB</t>
        </is>
      </c>
      <c r="I555" s="386" t="inlineStr">
        <is>
          <t>Ngày, CTCK</t>
        </is>
      </c>
      <c r="J555" s="395" t="inlineStr">
        <is>
          <t>SCMS</t>
        </is>
      </c>
      <c r="K555" s="395" t="n"/>
      <c r="L555" s="395" t="inlineStr">
        <is>
          <t>X</t>
        </is>
      </c>
      <c r="M555" s="395" t="n"/>
      <c r="N555" s="395" t="inlineStr">
        <is>
          <t>Pending</t>
        </is>
      </c>
      <c r="O555" s="401" t="n"/>
      <c r="P555" s="395" t="n"/>
      <c r="Q555" s="395" t="n"/>
      <c r="R555" s="395" t="n"/>
      <c r="S555" s="395" t="n"/>
      <c r="T555" s="386" t="n"/>
      <c r="U555" s="386" t="n"/>
      <c r="V555" s="395" t="n"/>
      <c r="W555" s="395" t="n"/>
      <c r="X555" s="395" t="n"/>
      <c r="Y555" s="395" t="n"/>
      <c r="Z555" s="395" t="n"/>
      <c r="AA555" s="395" t="n"/>
      <c r="AB555" s="395" t="n"/>
      <c r="AC555" s="395" t="n"/>
      <c r="AD555" s="395" t="n"/>
      <c r="AE555" s="395" t="n"/>
    </row>
    <row r="556" ht="56" customHeight="1" s="380">
      <c r="A556" s="108" t="n">
        <v>48</v>
      </c>
      <c r="B556" s="386" t="n"/>
      <c r="C556" s="386" t="inlineStr">
        <is>
          <t>Báo cáo giám sát &gt;&gt; Báo cáo giám sát quy định về tài chính</t>
        </is>
      </c>
      <c r="D556" s="386" t="inlineStr">
        <is>
          <t>Hạn chế vay nợ &gt;&gt; Tỷ lệ nợ/vốn chủ sở hữu không vượt quá 5 lần &gt;&gt; Quý IV</t>
        </is>
      </c>
      <c r="E556" s="386" t="inlineStr">
        <is>
          <t>Hạn chế vay nợ &gt;&gt; Tỷ lệ nợ/vốn chủ sở hữu không vượt quá 5 lần &gt;&gt; Quý IV</t>
        </is>
      </c>
      <c r="F556" s="386" t="inlineStr">
        <is>
          <t>Data Explorer</t>
        </is>
      </c>
      <c r="G556" s="386" t="inlineStr">
        <is>
          <t>Chỉ tiêu cơ sở</t>
        </is>
      </c>
      <c r="H556" s="386" t="inlineStr">
        <is>
          <t>TB</t>
        </is>
      </c>
      <c r="I556" s="386" t="inlineStr">
        <is>
          <t>Ngày, CTCK</t>
        </is>
      </c>
      <c r="J556" s="395" t="inlineStr">
        <is>
          <t>SCMS</t>
        </is>
      </c>
      <c r="K556" s="395" t="n"/>
      <c r="L556" s="395" t="inlineStr">
        <is>
          <t>X</t>
        </is>
      </c>
      <c r="M556" s="395" t="n"/>
      <c r="N556" s="395" t="inlineStr">
        <is>
          <t>Pending</t>
        </is>
      </c>
      <c r="O556" s="401" t="n"/>
      <c r="P556" s="395" t="n"/>
      <c r="Q556" s="395" t="n"/>
      <c r="R556" s="395" t="n"/>
      <c r="S556" s="395" t="n"/>
      <c r="T556" s="386" t="n"/>
      <c r="U556" s="386" t="n"/>
      <c r="V556" s="395" t="n"/>
      <c r="W556" s="395" t="n"/>
      <c r="X556" s="395" t="n"/>
      <c r="Y556" s="395" t="n"/>
      <c r="Z556" s="395" t="n"/>
      <c r="AA556" s="395" t="n"/>
      <c r="AB556" s="395" t="n"/>
      <c r="AC556" s="395" t="n"/>
      <c r="AD556" s="395" t="n"/>
      <c r="AE556" s="395" t="n"/>
    </row>
    <row r="557" ht="56" customHeight="1" s="380">
      <c r="A557" s="108" t="n">
        <v>48</v>
      </c>
      <c r="B557" s="386" t="n"/>
      <c r="C557" s="386" t="inlineStr">
        <is>
          <t>Báo cáo giám sát &gt;&gt; Báo cáo giám sát quy định về tài chính</t>
        </is>
      </c>
      <c r="D557" s="386" t="inlineStr">
        <is>
          <t>Hạn chế vay nợ &gt;&gt; Tỷ lệ nợ/vốn chủ sở hữu không vượt quá 5 lần &gt;&gt; Năm</t>
        </is>
      </c>
      <c r="E557" s="386" t="inlineStr">
        <is>
          <t>Hạn chế vay nợ &gt;&gt; Tỷ lệ nợ/vốn chủ sở hữu không vượt quá 5 lần &gt;&gt; Năm</t>
        </is>
      </c>
      <c r="F557" s="386" t="inlineStr">
        <is>
          <t>Data Explorer</t>
        </is>
      </c>
      <c r="G557" s="386" t="inlineStr">
        <is>
          <t>Chỉ tiêu cơ sở</t>
        </is>
      </c>
      <c r="H557" s="386" t="inlineStr">
        <is>
          <t>TB</t>
        </is>
      </c>
      <c r="I557" s="386" t="inlineStr">
        <is>
          <t>Ngày, CTCK</t>
        </is>
      </c>
      <c r="J557" s="395" t="inlineStr">
        <is>
          <t>SCMS</t>
        </is>
      </c>
      <c r="K557" s="395" t="n"/>
      <c r="L557" s="395" t="inlineStr">
        <is>
          <t>X</t>
        </is>
      </c>
      <c r="M557" s="395" t="n"/>
      <c r="N557" s="395" t="inlineStr">
        <is>
          <t>Pending</t>
        </is>
      </c>
      <c r="O557" s="401" t="n"/>
      <c r="P557" s="395" t="n"/>
      <c r="Q557" s="395" t="n"/>
      <c r="R557" s="395" t="n"/>
      <c r="S557" s="395" t="n"/>
      <c r="T557" s="386" t="n"/>
      <c r="U557" s="386" t="n"/>
      <c r="V557" s="395" t="n"/>
      <c r="W557" s="395" t="n"/>
      <c r="X557" s="395" t="n"/>
      <c r="Y557" s="37" t="n"/>
      <c r="Z557" s="395" t="n"/>
      <c r="AA557" s="395" t="n"/>
      <c r="AB557" s="395" t="n"/>
      <c r="AC557" s="395" t="n"/>
      <c r="AD557" s="395" t="n"/>
      <c r="AE557" s="395" t="n"/>
    </row>
    <row r="558" ht="56" customHeight="1" s="380">
      <c r="A558" s="108" t="n">
        <v>48</v>
      </c>
      <c r="B558" s="386" t="n"/>
      <c r="C558" s="386" t="inlineStr">
        <is>
          <t>Báo cáo giám sát &gt;&gt; Báo cáo giám sát quy định về tài chính</t>
        </is>
      </c>
      <c r="D558" s="386" t="inlineStr">
        <is>
          <t xml:space="preserve">Hạn chế vay nợ &gt;&gt; Nợ ngắn hạn tối đa bằng tài sản ngắn hạn &gt;&gt; Quý I                                                              </t>
        </is>
      </c>
      <c r="E558" s="386" t="inlineStr">
        <is>
          <t>Hạn chế vay nợ &gt;&gt; Nợ ngắn hạn tối đa bằng tài sản ngắn hạn &gt;&gt; Quý I (Đáp ứng, Không đáp ứng)</t>
        </is>
      </c>
      <c r="F558" s="386" t="inlineStr">
        <is>
          <t>Data Explorer</t>
        </is>
      </c>
      <c r="G558" s="386" t="inlineStr">
        <is>
          <t>Chỉ tiêu cơ sở</t>
        </is>
      </c>
      <c r="H558" s="386" t="inlineStr">
        <is>
          <t>TB</t>
        </is>
      </c>
      <c r="I558" s="386" t="inlineStr">
        <is>
          <t>Ngày, CTCK</t>
        </is>
      </c>
      <c r="J558" s="395" t="inlineStr">
        <is>
          <t>SCMS</t>
        </is>
      </c>
      <c r="K558" s="395" t="n"/>
      <c r="L558" s="395" t="inlineStr">
        <is>
          <t>X</t>
        </is>
      </c>
      <c r="M558" s="395" t="n"/>
      <c r="N558" s="395" t="inlineStr">
        <is>
          <t>Pending</t>
        </is>
      </c>
      <c r="O558" s="401" t="n"/>
      <c r="P558" s="395" t="n"/>
      <c r="Q558" s="395" t="n"/>
      <c r="R558" s="395" t="n"/>
      <c r="S558" s="395" t="n"/>
      <c r="T558" s="386" t="n"/>
      <c r="U558" s="386" t="n"/>
      <c r="V558" s="395" t="n"/>
      <c r="W558" s="395" t="n"/>
      <c r="X558" s="395" t="n"/>
      <c r="Y558" s="395" t="n"/>
      <c r="Z558" s="395" t="n"/>
      <c r="AA558" s="395" t="n"/>
      <c r="AB558" s="395" t="n"/>
      <c r="AC558" s="395" t="n"/>
      <c r="AD558" s="395" t="n"/>
      <c r="AE558" s="395" t="n"/>
    </row>
    <row r="559" ht="56" customHeight="1" s="380">
      <c r="A559" s="108" t="n">
        <v>48</v>
      </c>
      <c r="B559" s="386" t="n"/>
      <c r="C559" s="386" t="inlineStr">
        <is>
          <t>Báo cáo giám sát &gt;&gt; Báo cáo giám sát quy định về tài chính</t>
        </is>
      </c>
      <c r="D559" s="386" t="inlineStr">
        <is>
          <t xml:space="preserve">Hạn chế vay nợ &gt;&gt; Nợ ngắn hạn tối đa bằng tài sản ngắn hạn &gt;&gt; Quý II                                    </t>
        </is>
      </c>
      <c r="E559" s="386" t="inlineStr">
        <is>
          <t>Hạn chế vay nợ &gt;&gt; Nợ ngắn hạn tối đa bằng tài sản ngắn hạn &gt;&gt; Quý II (Đáp ứng, Không đáp ứng)</t>
        </is>
      </c>
      <c r="F559" s="386" t="inlineStr">
        <is>
          <t>Data Explorer</t>
        </is>
      </c>
      <c r="G559" s="386" t="inlineStr">
        <is>
          <t>Chỉ tiêu cơ sở</t>
        </is>
      </c>
      <c r="H559" s="386" t="inlineStr">
        <is>
          <t>TB</t>
        </is>
      </c>
      <c r="I559" s="386" t="inlineStr">
        <is>
          <t>Ngày, CTCK</t>
        </is>
      </c>
      <c r="J559" s="395" t="inlineStr">
        <is>
          <t>SCMS</t>
        </is>
      </c>
      <c r="K559" s="395" t="n"/>
      <c r="L559" s="395" t="inlineStr">
        <is>
          <t>X</t>
        </is>
      </c>
      <c r="M559" s="395" t="n"/>
      <c r="N559" s="395" t="inlineStr">
        <is>
          <t>Pending</t>
        </is>
      </c>
      <c r="O559" s="401" t="n"/>
      <c r="P559" s="395" t="n"/>
      <c r="Q559" s="395" t="n"/>
      <c r="R559" s="395" t="n"/>
      <c r="S559" s="395" t="n"/>
      <c r="T559" s="386" t="n"/>
      <c r="U559" s="386" t="n"/>
      <c r="V559" s="395" t="n"/>
      <c r="W559" s="395" t="n"/>
      <c r="X559" s="395" t="n"/>
      <c r="Y559" s="395" t="n"/>
      <c r="Z559" s="395" t="n"/>
      <c r="AA559" s="395" t="n"/>
      <c r="AB559" s="395" t="n"/>
      <c r="AC559" s="395" t="n"/>
      <c r="AD559" s="395" t="n"/>
      <c r="AE559" s="395" t="n"/>
    </row>
    <row r="560" ht="56" customHeight="1" s="380">
      <c r="A560" s="108" t="n">
        <v>48</v>
      </c>
      <c r="B560" s="386" t="n"/>
      <c r="C560" s="386" t="inlineStr">
        <is>
          <t>Báo cáo giám sát &gt;&gt; Báo cáo giám sát quy định về tài chính</t>
        </is>
      </c>
      <c r="D560" s="386" t="inlineStr">
        <is>
          <t xml:space="preserve">Hạn chế vay nợ &gt;&gt; Nợ ngắn hạn tối đa bằng tài sản ngắn hạn &gt;&gt; Bán niên                                               </t>
        </is>
      </c>
      <c r="E560" s="386" t="inlineStr">
        <is>
          <t>Hạn chế vay nợ &gt;&gt; Nợ ngắn hạn tối đa bằng tài sản ngắn hạn &gt;&gt; Bán niên (Đáp ứng, Không đáp ứng)</t>
        </is>
      </c>
      <c r="F560" s="386" t="inlineStr">
        <is>
          <t>Data Explorer</t>
        </is>
      </c>
      <c r="G560" s="386" t="inlineStr">
        <is>
          <t>Chỉ tiêu cơ sở</t>
        </is>
      </c>
      <c r="H560" s="386" t="inlineStr">
        <is>
          <t>TB</t>
        </is>
      </c>
      <c r="I560" s="386" t="inlineStr">
        <is>
          <t>Ngày, CTCK</t>
        </is>
      </c>
      <c r="J560" s="395" t="inlineStr">
        <is>
          <t>SCMS</t>
        </is>
      </c>
      <c r="K560" s="395" t="n"/>
      <c r="L560" s="395" t="inlineStr">
        <is>
          <t>X</t>
        </is>
      </c>
      <c r="M560" s="395" t="n"/>
      <c r="N560" s="395" t="inlineStr">
        <is>
          <t>Pending</t>
        </is>
      </c>
      <c r="O560" s="401" t="n"/>
      <c r="P560" s="395" t="n"/>
      <c r="Q560" s="395" t="n"/>
      <c r="R560" s="395" t="n"/>
      <c r="S560" s="395" t="n"/>
      <c r="T560" s="386" t="n"/>
      <c r="U560" s="386" t="n"/>
      <c r="V560" s="395" t="n"/>
      <c r="W560" s="395" t="n"/>
      <c r="X560" s="395" t="n"/>
      <c r="Y560" s="395" t="n"/>
      <c r="Z560" s="395" t="n"/>
      <c r="AA560" s="395" t="n"/>
      <c r="AB560" s="395" t="n"/>
      <c r="AC560" s="395" t="n"/>
      <c r="AD560" s="395" t="n"/>
      <c r="AE560" s="395" t="n"/>
    </row>
    <row r="561" ht="56" customHeight="1" s="380">
      <c r="A561" s="108" t="n">
        <v>48</v>
      </c>
      <c r="B561" s="386" t="n"/>
      <c r="C561" s="386" t="inlineStr">
        <is>
          <t>Báo cáo giám sát &gt;&gt; Báo cáo giám sát quy định về tài chính</t>
        </is>
      </c>
      <c r="D561" s="386" t="inlineStr">
        <is>
          <t xml:space="preserve">Hạn chế vay nợ &gt;&gt; Nợ ngắn hạn tối đa bằng tài sản ngắn hạn &gt;&gt; Quý III                                    </t>
        </is>
      </c>
      <c r="E561" s="386" t="inlineStr">
        <is>
          <t>Hạn chế vay nợ &gt;&gt; Nợ ngắn hạn tối đa bằng tài sản ngắn hạn &gt;&gt; Quý III (Đáp ứng, Không đáp ứng)</t>
        </is>
      </c>
      <c r="F561" s="386" t="inlineStr">
        <is>
          <t>Data Explorer</t>
        </is>
      </c>
      <c r="G561" s="386" t="inlineStr">
        <is>
          <t>Chỉ tiêu cơ sở</t>
        </is>
      </c>
      <c r="H561" s="386" t="inlineStr">
        <is>
          <t>TB</t>
        </is>
      </c>
      <c r="I561" s="386" t="inlineStr">
        <is>
          <t>Ngày, CTCK</t>
        </is>
      </c>
      <c r="J561" s="395" t="inlineStr">
        <is>
          <t>SCMS</t>
        </is>
      </c>
      <c r="K561" s="395" t="n"/>
      <c r="L561" s="395" t="inlineStr">
        <is>
          <t>X</t>
        </is>
      </c>
      <c r="M561" s="395" t="n"/>
      <c r="N561" s="395" t="inlineStr">
        <is>
          <t>Pending</t>
        </is>
      </c>
      <c r="O561" s="401" t="n"/>
      <c r="P561" s="395" t="n"/>
      <c r="Q561" s="395" t="n"/>
      <c r="R561" s="395" t="n"/>
      <c r="S561" s="395" t="n"/>
      <c r="T561" s="386" t="n"/>
      <c r="U561" s="386" t="n"/>
      <c r="V561" s="395" t="n"/>
      <c r="W561" s="395" t="n"/>
      <c r="X561" s="395" t="n"/>
      <c r="Y561" s="395" t="n"/>
      <c r="Z561" s="395" t="n"/>
      <c r="AA561" s="395" t="n"/>
      <c r="AB561" s="395" t="n"/>
      <c r="AC561" s="395" t="n"/>
      <c r="AD561" s="395" t="n"/>
      <c r="AE561" s="395" t="n"/>
    </row>
    <row r="562" ht="56" customHeight="1" s="380">
      <c r="A562" s="108" t="n">
        <v>48</v>
      </c>
      <c r="B562" s="386" t="n"/>
      <c r="C562" s="386" t="inlineStr">
        <is>
          <t>Báo cáo giám sát &gt;&gt; Báo cáo giám sát quy định về tài chính</t>
        </is>
      </c>
      <c r="D562" s="386" t="inlineStr">
        <is>
          <t>Hạn chế vay nợ &gt;&gt; Nợ ngắn hạn tối đa bằng tài sản ngắn hạn &gt;&gt; Quý IV</t>
        </is>
      </c>
      <c r="E562" s="386" t="inlineStr">
        <is>
          <t>Hạn chế vay nợ &gt;&gt; Nợ ngắn hạn tối đa bằng tài sản ngắn hạn &gt;&gt; Quý IV (Đáp ứng, Không đáp ứng)</t>
        </is>
      </c>
      <c r="F562" s="386" t="inlineStr">
        <is>
          <t>Data Explorer</t>
        </is>
      </c>
      <c r="G562" s="386" t="inlineStr">
        <is>
          <t>Chỉ tiêu cơ sở</t>
        </is>
      </c>
      <c r="H562" s="386" t="inlineStr">
        <is>
          <t>TB</t>
        </is>
      </c>
      <c r="I562" s="386" t="inlineStr">
        <is>
          <t>Ngày, CTCK</t>
        </is>
      </c>
      <c r="J562" s="395" t="inlineStr">
        <is>
          <t>SCMS</t>
        </is>
      </c>
      <c r="K562" s="395" t="n"/>
      <c r="L562" s="395" t="inlineStr">
        <is>
          <t>X</t>
        </is>
      </c>
      <c r="M562" s="395" t="n"/>
      <c r="N562" s="395" t="inlineStr">
        <is>
          <t>Pending</t>
        </is>
      </c>
      <c r="O562" s="401" t="n"/>
      <c r="P562" s="395" t="n"/>
      <c r="Q562" s="395" t="n"/>
      <c r="R562" s="395" t="n"/>
      <c r="S562" s="395" t="n"/>
      <c r="T562" s="386" t="n"/>
      <c r="U562" s="386" t="n"/>
      <c r="V562" s="395" t="n"/>
      <c r="W562" s="395" t="n"/>
      <c r="X562" s="395" t="n"/>
      <c r="Y562" s="395" t="n"/>
      <c r="Z562" s="395" t="n"/>
      <c r="AA562" s="395" t="n"/>
      <c r="AB562" s="395" t="n"/>
      <c r="AC562" s="395" t="n"/>
      <c r="AD562" s="395" t="n"/>
      <c r="AE562" s="395" t="n"/>
    </row>
    <row r="563" ht="56" customHeight="1" s="380">
      <c r="A563" s="108" t="n">
        <v>48</v>
      </c>
      <c r="B563" s="386" t="n"/>
      <c r="C563" s="386" t="inlineStr">
        <is>
          <t>Báo cáo giám sát &gt;&gt; Báo cáo giám sát quy định về tài chính</t>
        </is>
      </c>
      <c r="D563" s="386" t="inlineStr">
        <is>
          <t>Hạn chế vay nợ &gt;&gt; Nợ ngắn hạn tối đa bằng tài sản ngắn hạn &gt;&gt; Năm</t>
        </is>
      </c>
      <c r="E563" s="386" t="inlineStr">
        <is>
          <t>Hạn chế vay nợ &gt;&gt; Nợ ngắn hạn tối đa bằng tài sản ngắn hạn &gt;&gt; Năm (Đáp ứng, Không đáp ứng)</t>
        </is>
      </c>
      <c r="F563" s="386" t="inlineStr">
        <is>
          <t>Data Explorer</t>
        </is>
      </c>
      <c r="G563" s="386" t="inlineStr">
        <is>
          <t>Chỉ tiêu cơ sở</t>
        </is>
      </c>
      <c r="H563" s="386" t="inlineStr">
        <is>
          <t>TB</t>
        </is>
      </c>
      <c r="I563" s="386" t="inlineStr">
        <is>
          <t>Ngày, CTCK</t>
        </is>
      </c>
      <c r="J563" s="395" t="inlineStr">
        <is>
          <t>SCMS</t>
        </is>
      </c>
      <c r="K563" s="395" t="n"/>
      <c r="L563" s="395" t="inlineStr">
        <is>
          <t>X</t>
        </is>
      </c>
      <c r="M563" s="395" t="n"/>
      <c r="N563" s="395" t="inlineStr">
        <is>
          <t>Pending</t>
        </is>
      </c>
      <c r="O563" s="401" t="n"/>
      <c r="P563" s="395" t="n"/>
      <c r="Q563" s="395" t="n"/>
      <c r="R563" s="395" t="n"/>
      <c r="S563" s="395" t="n"/>
      <c r="T563" s="386" t="n"/>
      <c r="U563" s="386" t="n"/>
      <c r="V563" s="395" t="n"/>
      <c r="W563" s="395" t="n"/>
      <c r="X563" s="395" t="n"/>
      <c r="Y563" s="395" t="n"/>
      <c r="Z563" s="395" t="n"/>
      <c r="AA563" s="395" t="n"/>
      <c r="AB563" s="395" t="n"/>
      <c r="AC563" s="395" t="n"/>
      <c r="AD563" s="395" t="n"/>
      <c r="AE563" s="395" t="n"/>
    </row>
    <row r="564" ht="70" customHeight="1" s="380">
      <c r="A564" s="108" t="n">
        <v>48</v>
      </c>
      <c r="B564" s="386" t="n"/>
      <c r="C564" s="386" t="inlineStr">
        <is>
          <t>Báo cáo giám sát &gt;&gt; Báo cáo giám sát quy định về tài chính</t>
        </is>
      </c>
      <c r="D564" s="386" t="inlineStr">
        <is>
          <t>Hạn chế cho vay &gt;&gt; Cho vay đối với chủ sở hữu, cổ đông lớn, thành viên HĐQT, BKS, HĐTV, KTT &gt;&gt; Quý I</t>
        </is>
      </c>
      <c r="E564" s="386" t="inlineStr">
        <is>
          <t>Hạn chế cho vay &gt;&gt; Cho vay đối với chủ sở hữu, cổ đông lớn, thành viên HĐQT, BKS, HĐTV, KTT &gt;&gt; Quý I (Có, Không)</t>
        </is>
      </c>
      <c r="F564" s="386" t="inlineStr">
        <is>
          <t>Data Explorer</t>
        </is>
      </c>
      <c r="G564" s="386" t="inlineStr">
        <is>
          <t>Chỉ tiêu cơ sở</t>
        </is>
      </c>
      <c r="H564" s="386" t="inlineStr">
        <is>
          <t>TB</t>
        </is>
      </c>
      <c r="I564" s="386" t="inlineStr">
        <is>
          <t>Ngày, CTCK</t>
        </is>
      </c>
      <c r="J564" s="395" t="inlineStr">
        <is>
          <t>SCMS</t>
        </is>
      </c>
      <c r="K564" s="395" t="n"/>
      <c r="L564" s="395" t="inlineStr">
        <is>
          <t>X</t>
        </is>
      </c>
      <c r="M564" s="395" t="n"/>
      <c r="N564" s="395" t="inlineStr">
        <is>
          <t>Pending</t>
        </is>
      </c>
      <c r="O564" s="401" t="n"/>
      <c r="P564" s="395" t="n"/>
      <c r="Q564" s="395" t="n"/>
      <c r="R564" s="395" t="n"/>
      <c r="S564" s="395" t="n"/>
      <c r="T564" s="386" t="n"/>
      <c r="U564" s="386" t="n"/>
      <c r="V564" s="395" t="n"/>
      <c r="W564" s="395" t="n"/>
      <c r="X564" s="395" t="n"/>
      <c r="Y564" s="36" t="n"/>
      <c r="Z564" s="395" t="n"/>
      <c r="AA564" s="395" t="n"/>
      <c r="AB564" s="395" t="n"/>
      <c r="AC564" s="395" t="n"/>
      <c r="AD564" s="395" t="n"/>
      <c r="AE564" s="395" t="n"/>
    </row>
    <row r="565" ht="70" customHeight="1" s="380">
      <c r="A565" s="108" t="n">
        <v>48</v>
      </c>
      <c r="B565" s="386" t="n"/>
      <c r="C565" s="386" t="inlineStr">
        <is>
          <t>Báo cáo giám sát &gt;&gt; Báo cáo giám sát quy định về tài chính</t>
        </is>
      </c>
      <c r="D565" s="386" t="inlineStr">
        <is>
          <t>Hạn chế cho vay &gt;&gt; Cho vay đối với chủ sở hữu, cổ đông lớn, thành viên HĐQT, BKS, HĐTV, KTT &gt;&gt; Quý II</t>
        </is>
      </c>
      <c r="E565" s="386" t="inlineStr">
        <is>
          <t>Hạn chế cho vay &gt;&gt; Cho vay đối với chủ sở hữu, cổ đông lớn, thành viên HĐQT, BKS, HĐTV, KTT &gt;&gt; Quý II (Có, Không)</t>
        </is>
      </c>
      <c r="F565" s="386" t="inlineStr">
        <is>
          <t>Data Explorer</t>
        </is>
      </c>
      <c r="G565" s="386" t="inlineStr">
        <is>
          <t>Chỉ tiêu cơ sở</t>
        </is>
      </c>
      <c r="H565" s="386" t="inlineStr">
        <is>
          <t>TB</t>
        </is>
      </c>
      <c r="I565" s="386" t="inlineStr">
        <is>
          <t>Ngày, CTCK</t>
        </is>
      </c>
      <c r="J565" s="395" t="inlineStr">
        <is>
          <t>SCMS</t>
        </is>
      </c>
      <c r="K565" s="395" t="n"/>
      <c r="L565" s="395" t="inlineStr">
        <is>
          <t>X</t>
        </is>
      </c>
      <c r="M565" s="395" t="n"/>
      <c r="N565" s="395" t="inlineStr">
        <is>
          <t>Pending</t>
        </is>
      </c>
      <c r="O565" s="401" t="n"/>
      <c r="P565" s="395" t="n"/>
      <c r="Q565" s="395" t="n"/>
      <c r="R565" s="395" t="n"/>
      <c r="S565" s="395" t="n"/>
      <c r="T565" s="386" t="n"/>
      <c r="U565" s="386" t="n"/>
      <c r="V565" s="395" t="n"/>
      <c r="W565" s="395" t="n"/>
      <c r="X565" s="395" t="n"/>
      <c r="Y565" s="395" t="n"/>
      <c r="Z565" s="395" t="n"/>
      <c r="AA565" s="395" t="n"/>
      <c r="AB565" s="395" t="n"/>
      <c r="AC565" s="395" t="n"/>
      <c r="AD565" s="395" t="n"/>
      <c r="AE565" s="395" t="n"/>
    </row>
    <row r="566" ht="70" customHeight="1" s="380">
      <c r="A566" s="108" t="n">
        <v>48</v>
      </c>
      <c r="B566" s="386" t="n"/>
      <c r="C566" s="386" t="inlineStr">
        <is>
          <t>Báo cáo giám sát &gt;&gt; Báo cáo giám sát quy định về tài chính</t>
        </is>
      </c>
      <c r="D566" s="386" t="inlineStr">
        <is>
          <t>Hạn chế cho vay &gt;&gt; Cho vay đối với chủ sở hữu, cổ đông lớn, thành viên HĐQT, BKS, HĐTV, KTT &gt;&gt; Bán niên</t>
        </is>
      </c>
      <c r="E566" s="386" t="inlineStr">
        <is>
          <t>Hạn chế cho vay &gt;&gt; Cho vay đối với chủ sở hữu, cổ đông lớn, thành viên HĐQT, BKS, HĐTV, KTT &gt;&gt; Bán niên (Có, Không)</t>
        </is>
      </c>
      <c r="F566" s="386" t="inlineStr">
        <is>
          <t>Data Explorer</t>
        </is>
      </c>
      <c r="G566" s="386" t="inlineStr">
        <is>
          <t>Chỉ tiêu cơ sở</t>
        </is>
      </c>
      <c r="H566" s="386" t="inlineStr">
        <is>
          <t>TB</t>
        </is>
      </c>
      <c r="I566" s="386" t="inlineStr">
        <is>
          <t>Ngày, CTCK</t>
        </is>
      </c>
      <c r="J566" s="395" t="inlineStr">
        <is>
          <t>SCMS</t>
        </is>
      </c>
      <c r="K566" s="395" t="n"/>
      <c r="L566" s="395" t="inlineStr">
        <is>
          <t>X</t>
        </is>
      </c>
      <c r="M566" s="395" t="n"/>
      <c r="N566" s="395" t="inlineStr">
        <is>
          <t>Pending</t>
        </is>
      </c>
      <c r="O566" s="401" t="n"/>
      <c r="P566" s="395" t="n"/>
      <c r="Q566" s="395" t="n"/>
      <c r="R566" s="395" t="n"/>
      <c r="S566" s="395" t="n"/>
      <c r="T566" s="386" t="n"/>
      <c r="U566" s="386" t="n"/>
      <c r="V566" s="395" t="n"/>
      <c r="W566" s="395" t="n"/>
      <c r="X566" s="395" t="n"/>
      <c r="Y566" s="395" t="n"/>
      <c r="Z566" s="395" t="n"/>
      <c r="AA566" s="395" t="n"/>
      <c r="AB566" s="395" t="n"/>
      <c r="AC566" s="395" t="n"/>
      <c r="AD566" s="395" t="n"/>
      <c r="AE566" s="395" t="n"/>
    </row>
    <row r="567" ht="70" customHeight="1" s="380">
      <c r="A567" s="108" t="n">
        <v>48</v>
      </c>
      <c r="B567" s="386" t="n"/>
      <c r="C567" s="386" t="inlineStr">
        <is>
          <t>Báo cáo giám sát &gt;&gt; Báo cáo giám sát quy định về tài chính</t>
        </is>
      </c>
      <c r="D567" s="386" t="inlineStr">
        <is>
          <t>Hạn chế cho vay &gt;&gt; Cho vay đối với chủ sở hữu, cổ đông lớn, thành viên HĐQT, BKS, HĐTV, KTT &gt;&gt; Quý III</t>
        </is>
      </c>
      <c r="E567" s="386" t="inlineStr">
        <is>
          <t>Hạn chế cho vay &gt;&gt; Cho vay đối với chủ sở hữu, cổ đông lớn, thành viên HĐQT, BKS, HĐTV, KTT &gt;&gt; Quý III (Có, Không)</t>
        </is>
      </c>
      <c r="F567" s="386" t="inlineStr">
        <is>
          <t>Data Explorer</t>
        </is>
      </c>
      <c r="G567" s="386" t="inlineStr">
        <is>
          <t>Chỉ tiêu cơ sở</t>
        </is>
      </c>
      <c r="H567" s="386" t="inlineStr">
        <is>
          <t>TB</t>
        </is>
      </c>
      <c r="I567" s="386" t="inlineStr">
        <is>
          <t>Ngày, CTCK</t>
        </is>
      </c>
      <c r="J567" s="395" t="inlineStr">
        <is>
          <t>SCMS</t>
        </is>
      </c>
      <c r="K567" s="395" t="n"/>
      <c r="L567" s="395" t="inlineStr">
        <is>
          <t>X</t>
        </is>
      </c>
      <c r="M567" s="395" t="n"/>
      <c r="N567" s="395" t="inlineStr">
        <is>
          <t>Pending</t>
        </is>
      </c>
      <c r="O567" s="401" t="n"/>
      <c r="P567" s="395" t="n"/>
      <c r="Q567" s="395" t="n"/>
      <c r="R567" s="395" t="n"/>
      <c r="S567" s="395" t="n"/>
      <c r="T567" s="386" t="n"/>
      <c r="U567" s="386" t="n"/>
      <c r="V567" s="395" t="n"/>
      <c r="W567" s="395" t="n"/>
      <c r="X567" s="395" t="n"/>
      <c r="Y567" s="395" t="n"/>
      <c r="Z567" s="395" t="n"/>
      <c r="AA567" s="395" t="n"/>
      <c r="AB567" s="395" t="n"/>
      <c r="AC567" s="395" t="n"/>
      <c r="AD567" s="395" t="n"/>
      <c r="AE567" s="395" t="n"/>
    </row>
    <row r="568" ht="70" customHeight="1" s="380">
      <c r="A568" s="108" t="n">
        <v>48</v>
      </c>
      <c r="B568" s="386" t="n"/>
      <c r="C568" s="386" t="inlineStr">
        <is>
          <t>Báo cáo giám sát &gt;&gt; Báo cáo giám sát quy định về tài chính</t>
        </is>
      </c>
      <c r="D568" s="386" t="inlineStr">
        <is>
          <t>Hạn chế cho vay &gt;&gt; Cho vay đối với chủ sở hữu, cổ đông lớn, thành viên HĐQT, BKS, HĐTV, KTT &gt;&gt; Quý IV</t>
        </is>
      </c>
      <c r="E568" s="386" t="inlineStr">
        <is>
          <t>Hạn chế cho vay &gt;&gt; Cho vay đối với chủ sở hữu, cổ đông lớn, thành viên HĐQT, BKS, HĐTV, KTT &gt;&gt; Quý IV (Có, Không)</t>
        </is>
      </c>
      <c r="F568" s="386" t="inlineStr">
        <is>
          <t>Data Explorer</t>
        </is>
      </c>
      <c r="G568" s="386" t="inlineStr">
        <is>
          <t>Chỉ tiêu cơ sở</t>
        </is>
      </c>
      <c r="H568" s="386" t="inlineStr">
        <is>
          <t>TB</t>
        </is>
      </c>
      <c r="I568" s="386" t="inlineStr">
        <is>
          <t>Ngày, CTCK</t>
        </is>
      </c>
      <c r="J568" s="395" t="inlineStr">
        <is>
          <t>SCMS</t>
        </is>
      </c>
      <c r="K568" s="395" t="n"/>
      <c r="L568" s="395" t="inlineStr">
        <is>
          <t>X</t>
        </is>
      </c>
      <c r="M568" s="395" t="n"/>
      <c r="N568" s="395" t="inlineStr">
        <is>
          <t>Pending</t>
        </is>
      </c>
      <c r="O568" s="401" t="n"/>
      <c r="P568" s="395" t="n"/>
      <c r="Q568" s="395" t="n"/>
      <c r="R568" s="395" t="n"/>
      <c r="S568" s="395" t="n"/>
      <c r="T568" s="386" t="n"/>
      <c r="U568" s="386" t="n"/>
      <c r="V568" s="395" t="n"/>
      <c r="W568" s="395" t="n"/>
      <c r="X568" s="395" t="n"/>
      <c r="Y568" s="395" t="n"/>
      <c r="Z568" s="395" t="n"/>
      <c r="AA568" s="395" t="n"/>
      <c r="AB568" s="395" t="n"/>
      <c r="AC568" s="395" t="n"/>
      <c r="AD568" s="395" t="n"/>
      <c r="AE568" s="395" t="n"/>
    </row>
    <row r="569" ht="70" customHeight="1" s="380">
      <c r="A569" s="108" t="n">
        <v>48</v>
      </c>
      <c r="B569" s="386" t="n"/>
      <c r="C569" s="386" t="inlineStr">
        <is>
          <t>Báo cáo giám sát &gt;&gt; Báo cáo giám sát quy định về tài chính</t>
        </is>
      </c>
      <c r="D569" s="386" t="inlineStr">
        <is>
          <t>Hạn chế cho vay &gt;&gt; Cho vay đối với chủ sở hữu, cổ đông lớn, thành viên HĐQT, BKS, HĐTV, KTT &gt;&gt; Năm</t>
        </is>
      </c>
      <c r="E569" s="386" t="inlineStr">
        <is>
          <t>Hạn chế cho vay &gt;&gt; Cho vay đối với chủ sở hữu, cổ đông lớn, thành viên HĐQT, BKS, HĐTV, KTT &gt;&gt; Năm (Có, Không)</t>
        </is>
      </c>
      <c r="F569" s="386" t="inlineStr">
        <is>
          <t>Data Explorer</t>
        </is>
      </c>
      <c r="G569" s="386" t="inlineStr">
        <is>
          <t>Chỉ tiêu cơ sở</t>
        </is>
      </c>
      <c r="H569" s="386" t="inlineStr">
        <is>
          <t>TB</t>
        </is>
      </c>
      <c r="I569" s="386" t="inlineStr">
        <is>
          <t>Ngày, CTCK</t>
        </is>
      </c>
      <c r="J569" s="395" t="inlineStr">
        <is>
          <t>SCMS</t>
        </is>
      </c>
      <c r="K569" s="395" t="n"/>
      <c r="L569" s="395" t="inlineStr">
        <is>
          <t>X</t>
        </is>
      </c>
      <c r="M569" s="395" t="n"/>
      <c r="N569" s="395" t="inlineStr">
        <is>
          <t>Pending</t>
        </is>
      </c>
      <c r="O569" s="401" t="n"/>
      <c r="P569" s="395" t="n"/>
      <c r="Q569" s="395" t="n"/>
      <c r="R569" s="395" t="n"/>
      <c r="S569" s="395" t="n"/>
      <c r="T569" s="386" t="n"/>
      <c r="U569" s="386" t="n"/>
      <c r="V569" s="395" t="n"/>
      <c r="W569" s="395" t="n"/>
      <c r="X569" s="395" t="n"/>
      <c r="Y569" s="395" t="n"/>
      <c r="Z569" s="395" t="n"/>
      <c r="AA569" s="395" t="n"/>
      <c r="AB569" s="395" t="n"/>
      <c r="AC569" s="395" t="n"/>
      <c r="AD569" s="395" t="n"/>
      <c r="AE569" s="395" t="n"/>
    </row>
    <row r="570" ht="70" customHeight="1" s="380">
      <c r="A570" s="108" t="n">
        <v>48</v>
      </c>
      <c r="B570" s="386" t="n"/>
      <c r="C570" s="386" t="inlineStr">
        <is>
          <t>Báo cáo giám sát &gt;&gt; Báo cáo giám sát quy định về tài chính</t>
        </is>
      </c>
      <c r="D570" s="386" t="inlineStr">
        <is>
          <t xml:space="preserve">Cho vay giao dịch ký quỹ &gt;&gt; Tỷ lệ dư nợ cho vay ký quỹ/Vốn chủ sở hữu (không vượt quá 200%) &gt;&gt; Tháng 1                                                                                                                                           </t>
        </is>
      </c>
      <c r="E570" s="386" t="inlineStr">
        <is>
          <t xml:space="preserve">Cho vay giao dịch ký quỹ &gt;&gt; Tỷ lệ dư nợ cho vay ký quỹ/Vốn chủ sở hữu (không vượt quá 200%) &gt;&gt; Tháng 1                                                                                                                                           </t>
        </is>
      </c>
      <c r="F570" s="386" t="inlineStr">
        <is>
          <t>Data Explorer</t>
        </is>
      </c>
      <c r="G570" s="386" t="inlineStr">
        <is>
          <t>Chỉ tiêu cơ sở</t>
        </is>
      </c>
      <c r="H570" s="386" t="inlineStr">
        <is>
          <t>TB</t>
        </is>
      </c>
      <c r="I570" s="386" t="inlineStr">
        <is>
          <t>Ngày, CTCK</t>
        </is>
      </c>
      <c r="J570" s="395" t="inlineStr">
        <is>
          <t>SCMS</t>
        </is>
      </c>
      <c r="K570" s="395" t="n"/>
      <c r="L570" s="395" t="inlineStr">
        <is>
          <t>X</t>
        </is>
      </c>
      <c r="M570" s="395" t="n"/>
      <c r="N570" s="395" t="inlineStr">
        <is>
          <t>Pending</t>
        </is>
      </c>
      <c r="O570" s="401" t="n"/>
      <c r="P570" s="395" t="n"/>
      <c r="Q570" s="395" t="n"/>
      <c r="R570" s="395" t="n"/>
      <c r="S570" s="395" t="n"/>
      <c r="T570" s="386" t="n"/>
      <c r="U570" s="386" t="n"/>
      <c r="V570" s="395" t="n"/>
      <c r="W570" s="395" t="n"/>
      <c r="X570" s="395" t="n"/>
      <c r="Y570" s="395" t="n"/>
      <c r="Z570" s="395" t="n"/>
      <c r="AA570" s="395" t="n"/>
      <c r="AB570" s="395" t="n"/>
      <c r="AC570" s="395" t="n"/>
      <c r="AD570" s="395" t="n"/>
      <c r="AE570" s="395" t="n"/>
    </row>
    <row r="571" ht="70" customHeight="1" s="380">
      <c r="A571" s="108" t="n">
        <v>48</v>
      </c>
      <c r="B571" s="386" t="n"/>
      <c r="C571" s="386" t="inlineStr">
        <is>
          <t>Báo cáo giám sát &gt;&gt; Báo cáo giám sát quy định về tài chính</t>
        </is>
      </c>
      <c r="D571" s="386" t="inlineStr">
        <is>
          <t>Cho vay giao dịch ký quỹ &gt;&gt; Tỷ lệ dư nợ cho vay ký quỹ/Vốn chủ sở hữu (không vượt quá 200%) &gt;&gt; Tháng 2</t>
        </is>
      </c>
      <c r="E571" s="386" t="inlineStr">
        <is>
          <t>Cho vay giao dịch ký quỹ &gt;&gt; Tỷ lệ dư nợ cho vay ký quỹ/Vốn chủ sở hữu (không vượt quá 200%) &gt;&gt; Tháng 2</t>
        </is>
      </c>
      <c r="F571" s="386" t="inlineStr">
        <is>
          <t>Data Explorer</t>
        </is>
      </c>
      <c r="G571" s="386" t="inlineStr">
        <is>
          <t>Chỉ tiêu cơ sở</t>
        </is>
      </c>
      <c r="H571" s="386" t="inlineStr">
        <is>
          <t>TB</t>
        </is>
      </c>
      <c r="I571" s="386" t="inlineStr">
        <is>
          <t>Ngày, CTCK</t>
        </is>
      </c>
      <c r="J571" s="395" t="inlineStr">
        <is>
          <t>SCMS</t>
        </is>
      </c>
      <c r="K571" s="395" t="n"/>
      <c r="L571" s="395" t="inlineStr">
        <is>
          <t>X</t>
        </is>
      </c>
      <c r="M571" s="395" t="n"/>
      <c r="N571" s="395" t="inlineStr">
        <is>
          <t>Pending</t>
        </is>
      </c>
      <c r="O571" s="401" t="n"/>
      <c r="P571" s="395" t="n"/>
      <c r="Q571" s="395" t="n"/>
      <c r="R571" s="395" t="n"/>
      <c r="S571" s="395" t="n"/>
      <c r="T571" s="386" t="n"/>
      <c r="U571" s="386" t="n"/>
      <c r="V571" s="395" t="n"/>
      <c r="W571" s="395" t="n"/>
      <c r="X571" s="395" t="n"/>
      <c r="Y571" s="36" t="n"/>
      <c r="Z571" s="395" t="n"/>
      <c r="AA571" s="395" t="n"/>
      <c r="AB571" s="395" t="n"/>
      <c r="AC571" s="395" t="n"/>
      <c r="AD571" s="395" t="n"/>
      <c r="AE571" s="395" t="n"/>
    </row>
    <row r="572" ht="70" customHeight="1" s="380">
      <c r="A572" s="108" t="n">
        <v>48</v>
      </c>
      <c r="B572" s="386" t="n"/>
      <c r="C572" s="386" t="inlineStr">
        <is>
          <t>Báo cáo giám sát &gt;&gt; Báo cáo giám sát quy định về tài chính</t>
        </is>
      </c>
      <c r="D572" s="386" t="inlineStr">
        <is>
          <t>Cho vay giao dịch ký quỹ &gt;&gt; Tỷ lệ dư nợ cho vay ký quỹ/Vốn chủ sở hữu (không vượt quá 200%) &gt;&gt; Tháng 3</t>
        </is>
      </c>
      <c r="E572" s="386" t="inlineStr">
        <is>
          <t>Cho vay giao dịch ký quỹ &gt;&gt; Tỷ lệ dư nợ cho vay ký quỹ/Vốn chủ sở hữu (không vượt quá 200%) &gt;&gt; Tháng 3</t>
        </is>
      </c>
      <c r="F572" s="386" t="inlineStr">
        <is>
          <t>Data Explorer</t>
        </is>
      </c>
      <c r="G572" s="386" t="inlineStr">
        <is>
          <t>Chỉ tiêu cơ sở</t>
        </is>
      </c>
      <c r="H572" s="386" t="inlineStr">
        <is>
          <t>TB</t>
        </is>
      </c>
      <c r="I572" s="386" t="inlineStr">
        <is>
          <t>Ngày, CTCK</t>
        </is>
      </c>
      <c r="J572" s="395" t="inlineStr">
        <is>
          <t>SCMS</t>
        </is>
      </c>
      <c r="K572" s="395" t="n"/>
      <c r="L572" s="395" t="inlineStr">
        <is>
          <t>X</t>
        </is>
      </c>
      <c r="M572" s="395" t="n"/>
      <c r="N572" s="395" t="inlineStr">
        <is>
          <t>Pending</t>
        </is>
      </c>
      <c r="O572" s="401" t="n"/>
      <c r="P572" s="395" t="n"/>
      <c r="Q572" s="395" t="n"/>
      <c r="R572" s="395" t="n"/>
      <c r="S572" s="395" t="n"/>
      <c r="T572" s="386" t="n"/>
      <c r="U572" s="386" t="n"/>
      <c r="V572" s="395" t="n"/>
      <c r="W572" s="395" t="n"/>
      <c r="X572" s="395" t="n"/>
      <c r="Y572" s="395" t="n"/>
      <c r="Z572" s="395" t="n"/>
      <c r="AA572" s="395" t="n"/>
      <c r="AB572" s="395" t="n"/>
      <c r="AC572" s="395" t="n"/>
      <c r="AD572" s="395" t="n"/>
      <c r="AE572" s="395" t="n"/>
    </row>
    <row r="573" ht="70" customHeight="1" s="380">
      <c r="A573" s="108" t="n">
        <v>48</v>
      </c>
      <c r="B573" s="386" t="n"/>
      <c r="C573" s="386" t="inlineStr">
        <is>
          <t>Báo cáo giám sát &gt;&gt; Báo cáo giám sát quy định về tài chính</t>
        </is>
      </c>
      <c r="D573" s="386" t="inlineStr">
        <is>
          <t>Cho vay giao dịch ký quỹ &gt;&gt; Tỷ lệ dư nợ cho vay ký quỹ/Vốn chủ sở hữu (không vượt quá 200%) &gt;&gt; Tháng 4</t>
        </is>
      </c>
      <c r="E573" s="386" t="inlineStr">
        <is>
          <t>Cho vay giao dịch ký quỹ &gt;&gt; Tỷ lệ dư nợ cho vay ký quỹ/Vốn chủ sở hữu (không vượt quá 200%) &gt;&gt; Tháng 4</t>
        </is>
      </c>
      <c r="F573" s="386" t="inlineStr">
        <is>
          <t>Data Explorer</t>
        </is>
      </c>
      <c r="G573" s="386" t="inlineStr">
        <is>
          <t>Chỉ tiêu cơ sở</t>
        </is>
      </c>
      <c r="H573" s="386" t="inlineStr">
        <is>
          <t>TB</t>
        </is>
      </c>
      <c r="I573" s="386" t="inlineStr">
        <is>
          <t>Ngày, CTCK</t>
        </is>
      </c>
      <c r="J573" s="395" t="inlineStr">
        <is>
          <t>SCMS</t>
        </is>
      </c>
      <c r="K573" s="395" t="n"/>
      <c r="L573" s="395" t="inlineStr">
        <is>
          <t>X</t>
        </is>
      </c>
      <c r="M573" s="395" t="n"/>
      <c r="N573" s="395" t="inlineStr">
        <is>
          <t>Pending</t>
        </is>
      </c>
      <c r="O573" s="401" t="n"/>
      <c r="P573" s="395" t="n"/>
      <c r="Q573" s="395" t="n"/>
      <c r="R573" s="395" t="n"/>
      <c r="S573" s="395" t="n"/>
      <c r="T573" s="386" t="n"/>
      <c r="U573" s="386" t="n"/>
      <c r="V573" s="395" t="n"/>
      <c r="W573" s="395" t="n"/>
      <c r="X573" s="395" t="n"/>
      <c r="Y573" s="36" t="n"/>
      <c r="Z573" s="395" t="n"/>
      <c r="AA573" s="395" t="n"/>
      <c r="AB573" s="395" t="n"/>
      <c r="AC573" s="395" t="n"/>
      <c r="AD573" s="395" t="n"/>
      <c r="AE573" s="395" t="n"/>
    </row>
    <row r="574" ht="70" customHeight="1" s="380">
      <c r="A574" s="108" t="n">
        <v>48</v>
      </c>
      <c r="B574" s="386" t="n"/>
      <c r="C574" s="386" t="inlineStr">
        <is>
          <t>Báo cáo giám sát &gt;&gt; Báo cáo giám sát quy định về tài chính</t>
        </is>
      </c>
      <c r="D574" s="386" t="inlineStr">
        <is>
          <t>Cho vay giao dịch ký quỹ &gt;&gt; Tỷ lệ dư nợ cho vay ký quỹ/Vốn chủ sở hữu (không vượt quá 200%) &gt;&gt; Tháng 5</t>
        </is>
      </c>
      <c r="E574" s="386" t="inlineStr">
        <is>
          <t>Cho vay giao dịch ký quỹ &gt;&gt; Tỷ lệ dư nợ cho vay ký quỹ/Vốn chủ sở hữu (không vượt quá 200%) &gt;&gt; Tháng 5</t>
        </is>
      </c>
      <c r="F574" s="386" t="inlineStr">
        <is>
          <t>Data Explorer</t>
        </is>
      </c>
      <c r="G574" s="386" t="inlineStr">
        <is>
          <t>Chỉ tiêu cơ sở</t>
        </is>
      </c>
      <c r="H574" s="386" t="inlineStr">
        <is>
          <t>TB</t>
        </is>
      </c>
      <c r="I574" s="386" t="inlineStr">
        <is>
          <t>Ngày, CTCK</t>
        </is>
      </c>
      <c r="J574" s="395" t="inlineStr">
        <is>
          <t>SCMS</t>
        </is>
      </c>
      <c r="K574" s="395" t="n"/>
      <c r="L574" s="395" t="inlineStr">
        <is>
          <t>X</t>
        </is>
      </c>
      <c r="M574" s="395" t="n"/>
      <c r="N574" s="395" t="inlineStr">
        <is>
          <t>Pending</t>
        </is>
      </c>
      <c r="O574" s="401" t="n"/>
      <c r="P574" s="395" t="n"/>
      <c r="Q574" s="395" t="n"/>
      <c r="R574" s="395" t="n"/>
      <c r="S574" s="395" t="n"/>
      <c r="T574" s="386" t="n"/>
      <c r="U574" s="386" t="n"/>
      <c r="V574" s="395" t="n"/>
      <c r="W574" s="395" t="n"/>
      <c r="X574" s="395" t="n"/>
      <c r="Y574" s="395" t="n"/>
      <c r="Z574" s="395" t="n"/>
      <c r="AA574" s="395" t="n"/>
      <c r="AB574" s="395" t="n"/>
      <c r="AC574" s="395" t="n"/>
      <c r="AD574" s="395" t="n"/>
      <c r="AE574" s="395" t="n"/>
    </row>
    <row r="575" ht="70" customHeight="1" s="380">
      <c r="A575" s="108" t="n">
        <v>48</v>
      </c>
      <c r="B575" s="386" t="n"/>
      <c r="C575" s="386" t="inlineStr">
        <is>
          <t>Báo cáo giám sát &gt;&gt; Báo cáo giám sát quy định về tài chính</t>
        </is>
      </c>
      <c r="D575" s="386" t="inlineStr">
        <is>
          <t>Cho vay giao dịch ký quỹ &gt;&gt; Tỷ lệ dư nợ cho vay ký quỹ/Vốn chủ sở hữu (không vượt quá 200%) &gt;&gt; Tháng 6</t>
        </is>
      </c>
      <c r="E575" s="386" t="inlineStr">
        <is>
          <t>Cho vay giao dịch ký quỹ &gt;&gt; Tỷ lệ dư nợ cho vay ký quỹ/Vốn chủ sở hữu (không vượt quá 200%) &gt;&gt; Tháng 6</t>
        </is>
      </c>
      <c r="F575" s="386" t="inlineStr">
        <is>
          <t>Data Explorer</t>
        </is>
      </c>
      <c r="G575" s="386" t="inlineStr">
        <is>
          <t>Chỉ tiêu cơ sở</t>
        </is>
      </c>
      <c r="H575" s="386" t="inlineStr">
        <is>
          <t>TB</t>
        </is>
      </c>
      <c r="I575" s="386" t="inlineStr">
        <is>
          <t>Ngày, CTCK</t>
        </is>
      </c>
      <c r="J575" s="395" t="inlineStr">
        <is>
          <t>SCMS</t>
        </is>
      </c>
      <c r="K575" s="395" t="n"/>
      <c r="L575" s="395" t="inlineStr">
        <is>
          <t>X</t>
        </is>
      </c>
      <c r="M575" s="395" t="n"/>
      <c r="N575" s="395" t="inlineStr">
        <is>
          <t>Pending</t>
        </is>
      </c>
      <c r="O575" s="401" t="n"/>
      <c r="P575" s="395" t="n"/>
      <c r="Q575" s="395" t="n"/>
      <c r="R575" s="395" t="n"/>
      <c r="S575" s="395" t="n"/>
      <c r="T575" s="386" t="n"/>
      <c r="U575" s="386" t="n"/>
      <c r="V575" s="395" t="n"/>
      <c r="W575" s="395" t="n"/>
      <c r="X575" s="395" t="n"/>
      <c r="Y575" s="395" t="n"/>
      <c r="Z575" s="395" t="n"/>
      <c r="AA575" s="395" t="n"/>
      <c r="AB575" s="395" t="n"/>
      <c r="AC575" s="395" t="n"/>
      <c r="AD575" s="395" t="n"/>
      <c r="AE575" s="395" t="n"/>
    </row>
    <row r="576" ht="70" customHeight="1" s="380">
      <c r="A576" s="108" t="n">
        <v>48</v>
      </c>
      <c r="B576" s="386" t="n"/>
      <c r="C576" s="386" t="inlineStr">
        <is>
          <t>Báo cáo giám sát &gt;&gt; Báo cáo giám sát quy định về tài chính</t>
        </is>
      </c>
      <c r="D576" s="386" t="inlineStr">
        <is>
          <t>Cho vay giao dịch ký quỹ &gt;&gt; Tỷ lệ dư nợ cho vay ký quỹ/Vốn chủ sở hữu (không vượt quá 200%) &gt;&gt; Bán niên</t>
        </is>
      </c>
      <c r="E576" s="386" t="inlineStr">
        <is>
          <t>Cho vay giao dịch ký quỹ &gt;&gt; Tỷ lệ dư nợ cho vay ký quỹ/Vốn chủ sở hữu (không vượt quá 200%) &gt;&gt; Bán niên</t>
        </is>
      </c>
      <c r="F576" s="386" t="inlineStr">
        <is>
          <t>Data Explorer</t>
        </is>
      </c>
      <c r="G576" s="386" t="inlineStr">
        <is>
          <t>Chỉ tiêu cơ sở</t>
        </is>
      </c>
      <c r="H576" s="386" t="inlineStr">
        <is>
          <t>TB</t>
        </is>
      </c>
      <c r="I576" s="386" t="inlineStr">
        <is>
          <t>Ngày, CTCK</t>
        </is>
      </c>
      <c r="J576" s="395" t="inlineStr">
        <is>
          <t>SCMS</t>
        </is>
      </c>
      <c r="K576" s="395" t="n"/>
      <c r="L576" s="395" t="inlineStr">
        <is>
          <t>X</t>
        </is>
      </c>
      <c r="M576" s="395" t="n"/>
      <c r="N576" s="395" t="inlineStr">
        <is>
          <t>Pending</t>
        </is>
      </c>
      <c r="O576" s="401" t="n"/>
      <c r="P576" s="395" t="n"/>
      <c r="Q576" s="395" t="n"/>
      <c r="R576" s="395" t="n"/>
      <c r="S576" s="395" t="n"/>
      <c r="T576" s="386" t="n"/>
      <c r="U576" s="386" t="n"/>
      <c r="V576" s="395" t="n"/>
      <c r="W576" s="395" t="n"/>
      <c r="X576" s="395" t="n"/>
      <c r="Y576" s="395" t="n"/>
      <c r="Z576" s="395" t="n"/>
      <c r="AA576" s="395" t="n"/>
      <c r="AB576" s="395" t="n"/>
      <c r="AC576" s="395" t="n"/>
      <c r="AD576" s="395" t="n"/>
      <c r="AE576" s="395" t="n"/>
    </row>
    <row r="577" ht="70" customHeight="1" s="380">
      <c r="A577" s="108" t="n">
        <v>48</v>
      </c>
      <c r="B577" s="386" t="n"/>
      <c r="C577" s="386" t="inlineStr">
        <is>
          <t>Báo cáo giám sát &gt;&gt; Báo cáo giám sát quy định về tài chính</t>
        </is>
      </c>
      <c r="D577" s="386" t="inlineStr">
        <is>
          <t>Cho vay giao dịch ký quỹ &gt;&gt; Tỷ lệ dư nợ cho vay ký quỹ/Vốn chủ sở hữu (không vượt quá 200%) &gt;&gt; Tháng 7</t>
        </is>
      </c>
      <c r="E577" s="386" t="inlineStr">
        <is>
          <t>Cho vay giao dịch ký quỹ &gt;&gt; Tỷ lệ dư nợ cho vay ký quỹ/Vốn chủ sở hữu (không vượt quá 200%) &gt;&gt; Tháng 7</t>
        </is>
      </c>
      <c r="F577" s="386" t="inlineStr">
        <is>
          <t>Data Explorer</t>
        </is>
      </c>
      <c r="G577" s="386" t="inlineStr">
        <is>
          <t>Chỉ tiêu cơ sở</t>
        </is>
      </c>
      <c r="H577" s="386" t="inlineStr">
        <is>
          <t>TB</t>
        </is>
      </c>
      <c r="I577" s="386" t="inlineStr">
        <is>
          <t>Ngày, CTCK</t>
        </is>
      </c>
      <c r="J577" s="395" t="inlineStr">
        <is>
          <t>SCMS</t>
        </is>
      </c>
      <c r="K577" s="395" t="n"/>
      <c r="L577" s="395" t="inlineStr">
        <is>
          <t>X</t>
        </is>
      </c>
      <c r="M577" s="395" t="n"/>
      <c r="N577" s="395" t="inlineStr">
        <is>
          <t>Pending</t>
        </is>
      </c>
      <c r="O577" s="401" t="n"/>
      <c r="P577" s="395" t="n"/>
      <c r="Q577" s="395" t="n"/>
      <c r="R577" s="395" t="n"/>
      <c r="S577" s="395" t="n"/>
      <c r="T577" s="386" t="n"/>
      <c r="U577" s="386" t="n"/>
      <c r="V577" s="395" t="n"/>
      <c r="W577" s="395" t="n"/>
      <c r="X577" s="395" t="n"/>
      <c r="Y577" s="395" t="n"/>
      <c r="Z577" s="395" t="n"/>
      <c r="AA577" s="395" t="n"/>
      <c r="AB577" s="395" t="n"/>
      <c r="AC577" s="395" t="n"/>
      <c r="AD577" s="395" t="n"/>
      <c r="AE577" s="395" t="n"/>
    </row>
    <row r="578" ht="70" customHeight="1" s="380">
      <c r="A578" s="108" t="n">
        <v>48</v>
      </c>
      <c r="B578" s="386" t="n"/>
      <c r="C578" s="386" t="inlineStr">
        <is>
          <t>Báo cáo giám sát &gt;&gt; Báo cáo giám sát quy định về tài chính</t>
        </is>
      </c>
      <c r="D578" s="386" t="inlineStr">
        <is>
          <t>Cho vay giao dịch ký quỹ &gt;&gt; Tỷ lệ dư nợ cho vay ký quỹ/Vốn chủ sở hữu (không vượt quá 200%) &gt;&gt; Tháng 8</t>
        </is>
      </c>
      <c r="E578" s="386" t="inlineStr">
        <is>
          <t>Cho vay giao dịch ký quỹ &gt;&gt; Tỷ lệ dư nợ cho vay ký quỹ/Vốn chủ sở hữu (không vượt quá 200%) &gt;&gt; Tháng 8</t>
        </is>
      </c>
      <c r="F578" s="386" t="inlineStr">
        <is>
          <t>Data Explorer</t>
        </is>
      </c>
      <c r="G578" s="386" t="inlineStr">
        <is>
          <t>Chỉ tiêu cơ sở</t>
        </is>
      </c>
      <c r="H578" s="386" t="inlineStr">
        <is>
          <t>TB</t>
        </is>
      </c>
      <c r="I578" s="386" t="inlineStr">
        <is>
          <t>Ngày, CTCK</t>
        </is>
      </c>
      <c r="J578" s="395" t="inlineStr">
        <is>
          <t>SCMS</t>
        </is>
      </c>
      <c r="K578" s="395" t="n"/>
      <c r="L578" s="395" t="inlineStr">
        <is>
          <t>X</t>
        </is>
      </c>
      <c r="M578" s="395" t="n"/>
      <c r="N578" s="395" t="inlineStr">
        <is>
          <t>Pending</t>
        </is>
      </c>
      <c r="O578" s="401" t="n"/>
      <c r="P578" s="395" t="n"/>
      <c r="Q578" s="395" t="n"/>
      <c r="R578" s="395" t="n"/>
      <c r="S578" s="395" t="n"/>
      <c r="T578" s="386" t="n"/>
      <c r="U578" s="386" t="n"/>
      <c r="V578" s="395" t="n"/>
      <c r="W578" s="395" t="n"/>
      <c r="X578" s="395" t="n"/>
      <c r="Y578" s="36" t="n"/>
      <c r="Z578" s="395" t="n"/>
      <c r="AA578" s="395" t="n"/>
      <c r="AB578" s="395" t="n"/>
      <c r="AC578" s="395" t="n"/>
      <c r="AD578" s="395" t="n"/>
      <c r="AE578" s="395" t="n"/>
    </row>
    <row r="579" ht="70" customHeight="1" s="380">
      <c r="A579" s="108" t="n">
        <v>48</v>
      </c>
      <c r="B579" s="386" t="n"/>
      <c r="C579" s="386" t="inlineStr">
        <is>
          <t>Báo cáo giám sát &gt;&gt; Báo cáo giám sát quy định về tài chính</t>
        </is>
      </c>
      <c r="D579" s="386" t="inlineStr">
        <is>
          <t>Cho vay giao dịch ký quỹ &gt;&gt; Tỷ lệ dư nợ cho vay ký quỹ/Vốn chủ sở hữu (không vượt quá 200%) &gt;&gt; Tháng 9</t>
        </is>
      </c>
      <c r="E579" s="386" t="inlineStr">
        <is>
          <t>Cho vay giao dịch ký quỹ &gt;&gt; Tỷ lệ dư nợ cho vay ký quỹ/Vốn chủ sở hữu (không vượt quá 200%) &gt;&gt; Tháng 9</t>
        </is>
      </c>
      <c r="F579" s="386" t="inlineStr">
        <is>
          <t>Data Explorer</t>
        </is>
      </c>
      <c r="G579" s="386" t="inlineStr">
        <is>
          <t>Chỉ tiêu cơ sở</t>
        </is>
      </c>
      <c r="H579" s="386" t="inlineStr">
        <is>
          <t>TB</t>
        </is>
      </c>
      <c r="I579" s="386" t="inlineStr">
        <is>
          <t>Ngày, CTCK</t>
        </is>
      </c>
      <c r="J579" s="395" t="inlineStr">
        <is>
          <t>SCMS</t>
        </is>
      </c>
      <c r="K579" s="395" t="n"/>
      <c r="L579" s="395" t="inlineStr">
        <is>
          <t>X</t>
        </is>
      </c>
      <c r="M579" s="395" t="n"/>
      <c r="N579" s="395" t="inlineStr">
        <is>
          <t>Pending</t>
        </is>
      </c>
      <c r="O579" s="401" t="n"/>
      <c r="P579" s="395" t="n"/>
      <c r="Q579" s="395" t="n"/>
      <c r="R579" s="395" t="n"/>
      <c r="S579" s="395" t="n"/>
      <c r="T579" s="386" t="n"/>
      <c r="U579" s="386" t="n"/>
      <c r="V579" s="395" t="n"/>
      <c r="W579" s="395" t="n"/>
      <c r="X579" s="395" t="n"/>
      <c r="Y579" s="37" t="n"/>
      <c r="Z579" s="395" t="n"/>
      <c r="AA579" s="395" t="n"/>
      <c r="AB579" s="395" t="n"/>
      <c r="AC579" s="395" t="n"/>
      <c r="AD579" s="395" t="n"/>
      <c r="AE579" s="395" t="n"/>
    </row>
    <row r="580" ht="70" customHeight="1" s="380">
      <c r="A580" s="108" t="n">
        <v>48</v>
      </c>
      <c r="B580" s="386" t="n"/>
      <c r="C580" s="386" t="inlineStr">
        <is>
          <t>Báo cáo giám sát &gt;&gt; Báo cáo giám sát quy định về tài chính</t>
        </is>
      </c>
      <c r="D580" s="386" t="inlineStr">
        <is>
          <t>Cho vay giao dịch ký quỹ &gt;&gt; Tỷ lệ dư nợ cho vay ký quỹ/Vốn chủ sở hữu (không vượt quá 200%) &gt;&gt; Tháng 10</t>
        </is>
      </c>
      <c r="E580" s="386" t="inlineStr">
        <is>
          <t>Cho vay giao dịch ký quỹ &gt;&gt; Tỷ lệ dư nợ cho vay ký quỹ/Vốn chủ sở hữu (không vượt quá 200%) &gt;&gt; Tháng 10</t>
        </is>
      </c>
      <c r="F580" s="386" t="inlineStr">
        <is>
          <t>Data Explorer</t>
        </is>
      </c>
      <c r="G580" s="386" t="inlineStr">
        <is>
          <t>Chỉ tiêu cơ sở</t>
        </is>
      </c>
      <c r="H580" s="386" t="inlineStr">
        <is>
          <t>TB</t>
        </is>
      </c>
      <c r="I580" s="386" t="inlineStr">
        <is>
          <t>Ngày, CTCK</t>
        </is>
      </c>
      <c r="J580" s="395" t="inlineStr">
        <is>
          <t>SCMS</t>
        </is>
      </c>
      <c r="K580" s="395" t="n"/>
      <c r="L580" s="395" t="inlineStr">
        <is>
          <t>X</t>
        </is>
      </c>
      <c r="M580" s="395" t="n"/>
      <c r="N580" s="395" t="inlineStr">
        <is>
          <t>Pending</t>
        </is>
      </c>
      <c r="O580" s="401" t="n"/>
      <c r="P580" s="395" t="n"/>
      <c r="Q580" s="395" t="n"/>
      <c r="R580" s="395" t="n"/>
      <c r="S580" s="395" t="n"/>
      <c r="T580" s="386" t="n"/>
      <c r="U580" s="386" t="n"/>
      <c r="V580" s="395" t="n"/>
      <c r="W580" s="395" t="n"/>
      <c r="X580" s="395" t="n"/>
      <c r="Y580" s="395" t="n"/>
      <c r="Z580" s="395" t="n"/>
      <c r="AA580" s="395" t="n"/>
      <c r="AB580" s="395" t="n"/>
      <c r="AC580" s="395" t="n"/>
      <c r="AD580" s="395" t="n"/>
      <c r="AE580" s="395" t="n"/>
    </row>
    <row r="581" ht="70" customHeight="1" s="380">
      <c r="A581" s="108" t="n">
        <v>48</v>
      </c>
      <c r="B581" s="386" t="n"/>
      <c r="C581" s="386" t="inlineStr">
        <is>
          <t>Báo cáo giám sát &gt;&gt; Báo cáo giám sát quy định về tài chính</t>
        </is>
      </c>
      <c r="D581" s="386" t="inlineStr">
        <is>
          <t>Cho vay giao dịch ký quỹ &gt;&gt; Tỷ lệ dư nợ cho vay ký quỹ/Vốn chủ sở hữu (không vượt quá 200%) &gt;&gt; Tháng 11</t>
        </is>
      </c>
      <c r="E581" s="386" t="inlineStr">
        <is>
          <t>Cho vay giao dịch ký quỹ &gt;&gt; Tỷ lệ dư nợ cho vay ký quỹ/Vốn chủ sở hữu (không vượt quá 200%) &gt;&gt; Tháng 11</t>
        </is>
      </c>
      <c r="F581" s="386" t="inlineStr">
        <is>
          <t>Data Explorer</t>
        </is>
      </c>
      <c r="G581" s="386" t="inlineStr">
        <is>
          <t>Chỉ tiêu cơ sở</t>
        </is>
      </c>
      <c r="H581" s="386" t="inlineStr">
        <is>
          <t>TB</t>
        </is>
      </c>
      <c r="I581" s="386" t="inlineStr">
        <is>
          <t>Ngày, CTCK</t>
        </is>
      </c>
      <c r="J581" s="395" t="inlineStr">
        <is>
          <t>SCMS</t>
        </is>
      </c>
      <c r="K581" s="395" t="n"/>
      <c r="L581" s="395" t="inlineStr">
        <is>
          <t>X</t>
        </is>
      </c>
      <c r="M581" s="395" t="n"/>
      <c r="N581" s="395" t="inlineStr">
        <is>
          <t>Pending</t>
        </is>
      </c>
      <c r="O581" s="401" t="n"/>
      <c r="P581" s="395" t="n"/>
      <c r="Q581" s="395" t="n"/>
      <c r="R581" s="395" t="n"/>
      <c r="S581" s="395" t="n"/>
      <c r="T581" s="386" t="n"/>
      <c r="U581" s="386" t="n"/>
      <c r="V581" s="395" t="n"/>
      <c r="W581" s="395" t="n"/>
      <c r="X581" s="395" t="n"/>
      <c r="Y581" s="395" t="n"/>
      <c r="Z581" s="395" t="n"/>
      <c r="AA581" s="395" t="n"/>
      <c r="AB581" s="395" t="n"/>
      <c r="AC581" s="395" t="n"/>
      <c r="AD581" s="395" t="n"/>
      <c r="AE581" s="395" t="n"/>
    </row>
    <row r="582" ht="70" customHeight="1" s="380">
      <c r="A582" s="108" t="n">
        <v>48</v>
      </c>
      <c r="B582" s="386" t="n"/>
      <c r="C582" s="386" t="inlineStr">
        <is>
          <t>Báo cáo giám sát &gt;&gt; Báo cáo giám sát quy định về tài chính</t>
        </is>
      </c>
      <c r="D582" s="386" t="inlineStr">
        <is>
          <t>Cho vay giao dịch ký quỹ &gt;&gt; Tỷ lệ dư nợ cho vay ký quỹ/Vốn chủ sở hữu (không vượt quá 200%) &gt;&gt; Tháng 12</t>
        </is>
      </c>
      <c r="E582" s="386" t="inlineStr">
        <is>
          <t>Cho vay giao dịch ký quỹ &gt;&gt; Tỷ lệ dư nợ cho vay ký quỹ/Vốn chủ sở hữu (không vượt quá 200%) &gt;&gt; Tháng 12</t>
        </is>
      </c>
      <c r="F582" s="386" t="inlineStr">
        <is>
          <t>Data Explorer</t>
        </is>
      </c>
      <c r="G582" s="386" t="inlineStr">
        <is>
          <t>Chỉ tiêu cơ sở</t>
        </is>
      </c>
      <c r="H582" s="386" t="inlineStr">
        <is>
          <t>TB</t>
        </is>
      </c>
      <c r="I582" s="386" t="inlineStr">
        <is>
          <t>Ngày, CTCK</t>
        </is>
      </c>
      <c r="J582" s="395" t="inlineStr">
        <is>
          <t>SCMS</t>
        </is>
      </c>
      <c r="K582" s="395" t="n"/>
      <c r="L582" s="395" t="inlineStr">
        <is>
          <t>X</t>
        </is>
      </c>
      <c r="M582" s="395" t="n"/>
      <c r="N582" s="395" t="inlineStr">
        <is>
          <t>Pending</t>
        </is>
      </c>
      <c r="O582" s="401" t="n"/>
      <c r="P582" s="395" t="n"/>
      <c r="Q582" s="395" t="n"/>
      <c r="R582" s="395" t="n"/>
      <c r="S582" s="395" t="n"/>
      <c r="T582" s="386" t="n"/>
      <c r="U582" s="386" t="n"/>
      <c r="V582" s="395" t="n"/>
      <c r="W582" s="395" t="n"/>
      <c r="X582" s="395" t="n"/>
      <c r="Y582" s="395" t="n"/>
      <c r="Z582" s="395" t="n"/>
      <c r="AA582" s="395" t="n"/>
      <c r="AB582" s="395" t="n"/>
      <c r="AC582" s="395" t="n"/>
      <c r="AD582" s="395" t="n"/>
      <c r="AE582" s="395" t="n"/>
    </row>
    <row r="583" ht="70" customHeight="1" s="380">
      <c r="A583" s="108" t="n">
        <v>48</v>
      </c>
      <c r="B583" s="386" t="n"/>
      <c r="C583" s="386" t="inlineStr">
        <is>
          <t>Báo cáo giám sát &gt;&gt; Báo cáo giám sát quy định về tài chính</t>
        </is>
      </c>
      <c r="D583" s="386" t="inlineStr">
        <is>
          <t>Cho vay giao dịch ký quỹ &gt;&gt; Tỷ lệ dư nợ cho vay ký quỹ/Vốn chủ sở hữu (không vượt quá 200%) &gt;&gt; Năm</t>
        </is>
      </c>
      <c r="E583" s="386" t="inlineStr">
        <is>
          <t>Cho vay giao dịch ký quỹ &gt;&gt; Tỷ lệ dư nợ cho vay ký quỹ/Vốn chủ sở hữu (không vượt quá 200%) &gt;&gt; Năm</t>
        </is>
      </c>
      <c r="F583" s="386" t="inlineStr">
        <is>
          <t>Data Explorer</t>
        </is>
      </c>
      <c r="G583" s="386" t="inlineStr">
        <is>
          <t>Chỉ tiêu cơ sở</t>
        </is>
      </c>
      <c r="H583" s="386" t="inlineStr">
        <is>
          <t>TB</t>
        </is>
      </c>
      <c r="I583" s="386" t="inlineStr">
        <is>
          <t>Ngày, CTCK</t>
        </is>
      </c>
      <c r="J583" s="395" t="inlineStr">
        <is>
          <t>SCMS</t>
        </is>
      </c>
      <c r="K583" s="395" t="n"/>
      <c r="L583" s="395" t="inlineStr">
        <is>
          <t>X</t>
        </is>
      </c>
      <c r="M583" s="395" t="n"/>
      <c r="N583" s="395" t="inlineStr">
        <is>
          <t>Pending</t>
        </is>
      </c>
      <c r="O583" s="401" t="n"/>
      <c r="P583" s="395" t="n"/>
      <c r="Q583" s="395" t="n"/>
      <c r="R583" s="395" t="n"/>
      <c r="S583" s="395" t="n"/>
      <c r="T583" s="386" t="n"/>
      <c r="U583" s="386" t="n"/>
      <c r="V583" s="395" t="n"/>
      <c r="W583" s="395" t="n"/>
      <c r="X583" s="395" t="n"/>
      <c r="Y583" s="395" t="n"/>
      <c r="Z583" s="395" t="n"/>
      <c r="AA583" s="395" t="n"/>
      <c r="AB583" s="395" t="n"/>
      <c r="AC583" s="395" t="n"/>
      <c r="AD583" s="395" t="n"/>
      <c r="AE583" s="395" t="n"/>
    </row>
    <row r="584" ht="84" customHeight="1" s="380">
      <c r="A584" s="108" t="n">
        <v>48</v>
      </c>
      <c r="B584" s="386" t="n"/>
      <c r="C584" s="386" t="inlineStr">
        <is>
          <t>Báo cáo giám sát &gt;&gt; Báo cáo giám sát quy định về tài chính</t>
        </is>
      </c>
      <c r="D584" s="386" t="inlineStr">
        <is>
          <t xml:space="preserve">Cho vay giao dịch ký quỹ &gt;&gt; Tỷ lệ dư nợ cho vay ký quỹ đối với một mã cổ phiếu/Vốn chủ sở hữu (không vượt quá 10%) &gt;&gt; Tháng 1                 </t>
        </is>
      </c>
      <c r="E584" s="386" t="inlineStr">
        <is>
          <t xml:space="preserve">Cho vay giao dịch ký quỹ &gt;&gt; Tỷ lệ dư nợ cho vay ký quỹ đối với một mã cổ phiếu/Vốn chủ sở hữu (không vượt quá 10%) &gt;&gt; Tháng 1                 </t>
        </is>
      </c>
      <c r="F584" s="386" t="inlineStr">
        <is>
          <t>Data Explorer</t>
        </is>
      </c>
      <c r="G584" s="386" t="inlineStr">
        <is>
          <t>Chỉ tiêu cơ sở</t>
        </is>
      </c>
      <c r="H584" s="386" t="inlineStr">
        <is>
          <t>TB</t>
        </is>
      </c>
      <c r="I584" s="386" t="inlineStr">
        <is>
          <t>Ngày, CTCK</t>
        </is>
      </c>
      <c r="J584" s="395" t="inlineStr">
        <is>
          <t>SCMS</t>
        </is>
      </c>
      <c r="K584" s="395" t="n"/>
      <c r="L584" s="395" t="inlineStr">
        <is>
          <t>X</t>
        </is>
      </c>
      <c r="M584" s="395" t="n"/>
      <c r="N584" s="395" t="inlineStr">
        <is>
          <t>Pending</t>
        </is>
      </c>
      <c r="O584" s="401" t="n"/>
      <c r="P584" s="395" t="n"/>
      <c r="Q584" s="395" t="n"/>
      <c r="R584" s="395" t="n"/>
      <c r="S584" s="395" t="n"/>
      <c r="T584" s="386" t="n"/>
      <c r="U584" s="386" t="n"/>
      <c r="V584" s="395" t="n"/>
      <c r="W584" s="395" t="n"/>
      <c r="X584" s="395" t="n"/>
      <c r="Y584" s="36" t="n"/>
      <c r="Z584" s="395" t="n"/>
      <c r="AA584" s="395" t="n"/>
      <c r="AB584" s="395" t="n"/>
      <c r="AC584" s="395" t="n"/>
      <c r="AD584" s="395" t="n"/>
      <c r="AE584" s="395" t="n"/>
    </row>
    <row r="585" ht="84" customHeight="1" s="380">
      <c r="A585" s="108" t="n">
        <v>48</v>
      </c>
      <c r="B585" s="386" t="n"/>
      <c r="C585" s="386" t="inlineStr">
        <is>
          <t>Báo cáo giám sát &gt;&gt; Báo cáo giám sát quy định về tài chính</t>
        </is>
      </c>
      <c r="D585" s="386" t="inlineStr">
        <is>
          <t>Cho vay giao dịch ký quỹ &gt;&gt; Tỷ lệ dư nợ cho vay ký quỹ đối với một mã cổ phiếu/Vốn chủ sở hữu (không vượt quá 10%) &gt;&gt; Tháng 2</t>
        </is>
      </c>
      <c r="E585" s="386" t="inlineStr">
        <is>
          <t>Cho vay giao dịch ký quỹ &gt;&gt; Tỷ lệ dư nợ cho vay ký quỹ đối với một mã cổ phiếu/Vốn chủ sở hữu (không vượt quá 10%) &gt;&gt; Tháng 2</t>
        </is>
      </c>
      <c r="F585" s="386" t="inlineStr">
        <is>
          <t>Data Explorer</t>
        </is>
      </c>
      <c r="G585" s="386" t="inlineStr">
        <is>
          <t>Chỉ tiêu cơ sở</t>
        </is>
      </c>
      <c r="H585" s="386" t="inlineStr">
        <is>
          <t>TB</t>
        </is>
      </c>
      <c r="I585" s="386" t="inlineStr">
        <is>
          <t>Ngày, CTCK</t>
        </is>
      </c>
      <c r="J585" s="395" t="inlineStr">
        <is>
          <t>SCMS</t>
        </is>
      </c>
      <c r="K585" s="395" t="n"/>
      <c r="L585" s="395" t="inlineStr">
        <is>
          <t>X</t>
        </is>
      </c>
      <c r="M585" s="395" t="n"/>
      <c r="N585" s="395" t="inlineStr">
        <is>
          <t>Pending</t>
        </is>
      </c>
      <c r="O585" s="401" t="n"/>
      <c r="P585" s="395" t="n"/>
      <c r="Q585" s="395" t="n"/>
      <c r="R585" s="395" t="n"/>
      <c r="S585" s="395" t="n"/>
      <c r="T585" s="386" t="n"/>
      <c r="U585" s="386" t="n"/>
      <c r="V585" s="395" t="n"/>
      <c r="W585" s="395" t="n"/>
      <c r="X585" s="395" t="n"/>
      <c r="Y585" s="36" t="n"/>
      <c r="Z585" s="395" t="n"/>
      <c r="AA585" s="395" t="n"/>
      <c r="AB585" s="395" t="n"/>
      <c r="AC585" s="395" t="n"/>
      <c r="AD585" s="395" t="n"/>
      <c r="AE585" s="395" t="n"/>
    </row>
    <row r="586" ht="84" customHeight="1" s="380">
      <c r="A586" s="108" t="n">
        <v>48</v>
      </c>
      <c r="B586" s="386" t="n"/>
      <c r="C586" s="386" t="inlineStr">
        <is>
          <t>Báo cáo giám sát &gt;&gt; Báo cáo giám sát quy định về tài chính</t>
        </is>
      </c>
      <c r="D586" s="386" t="inlineStr">
        <is>
          <t>Cho vay giao dịch ký quỹ &gt;&gt; Tỷ lệ dư nợ cho vay ký quỹ đối với một mã cổ phiếu/Vốn chủ sở hữu (không vượt quá 10%) &gt;&gt; Tháng 3</t>
        </is>
      </c>
      <c r="E586" s="386" t="inlineStr">
        <is>
          <t>Cho vay giao dịch ký quỹ &gt;&gt; Tỷ lệ dư nợ cho vay ký quỹ đối với một mã cổ phiếu/Vốn chủ sở hữu (không vượt quá 10%) &gt;&gt; Tháng 3</t>
        </is>
      </c>
      <c r="F586" s="386" t="inlineStr">
        <is>
          <t>Data Explorer</t>
        </is>
      </c>
      <c r="G586" s="386" t="inlineStr">
        <is>
          <t>Chỉ tiêu cơ sở</t>
        </is>
      </c>
      <c r="H586" s="386" t="inlineStr">
        <is>
          <t>TB</t>
        </is>
      </c>
      <c r="I586" s="386" t="inlineStr">
        <is>
          <t>Ngày, CTCK</t>
        </is>
      </c>
      <c r="J586" s="395" t="inlineStr">
        <is>
          <t>SCMS</t>
        </is>
      </c>
      <c r="K586" s="395" t="n"/>
      <c r="L586" s="395" t="inlineStr">
        <is>
          <t>X</t>
        </is>
      </c>
      <c r="M586" s="395" t="n"/>
      <c r="N586" s="395" t="inlineStr">
        <is>
          <t>Pending</t>
        </is>
      </c>
      <c r="O586" s="401" t="n"/>
      <c r="P586" s="395" t="n"/>
      <c r="Q586" s="395" t="n"/>
      <c r="R586" s="395" t="n"/>
      <c r="S586" s="395" t="n"/>
      <c r="T586" s="386" t="n"/>
      <c r="U586" s="386" t="n"/>
      <c r="V586" s="395" t="n"/>
      <c r="W586" s="395" t="n"/>
      <c r="X586" s="395" t="n"/>
      <c r="Y586" s="395" t="n"/>
      <c r="Z586" s="395" t="n"/>
      <c r="AA586" s="395" t="n"/>
      <c r="AB586" s="395" t="n"/>
      <c r="AC586" s="395" t="n"/>
      <c r="AD586" s="395" t="n"/>
      <c r="AE586" s="395" t="n"/>
    </row>
    <row r="587" ht="84" customHeight="1" s="380">
      <c r="A587" s="108" t="n">
        <v>48</v>
      </c>
      <c r="B587" s="386" t="n"/>
      <c r="C587" s="386" t="inlineStr">
        <is>
          <t>Báo cáo giám sát &gt;&gt; Báo cáo giám sát quy định về tài chính</t>
        </is>
      </c>
      <c r="D587" s="386" t="inlineStr">
        <is>
          <t>Cho vay giao dịch ký quỹ &gt;&gt; Tỷ lệ dư nợ cho vay ký quỹ đối với một mã cổ phiếu/Vốn chủ sở hữu (không vượt quá 10%) &gt;&gt; Tháng 4</t>
        </is>
      </c>
      <c r="E587" s="386" t="inlineStr">
        <is>
          <t>Cho vay giao dịch ký quỹ &gt;&gt; Tỷ lệ dư nợ cho vay ký quỹ đối với một mã cổ phiếu/Vốn chủ sở hữu (không vượt quá 10%) &gt;&gt; Tháng 4</t>
        </is>
      </c>
      <c r="F587" s="386" t="inlineStr">
        <is>
          <t>Data Explorer</t>
        </is>
      </c>
      <c r="G587" s="386" t="inlineStr">
        <is>
          <t>Chỉ tiêu cơ sở</t>
        </is>
      </c>
      <c r="H587" s="386" t="inlineStr">
        <is>
          <t>TB</t>
        </is>
      </c>
      <c r="I587" s="386" t="inlineStr">
        <is>
          <t>Ngày, CTCK</t>
        </is>
      </c>
      <c r="J587" s="395" t="inlineStr">
        <is>
          <t>SCMS</t>
        </is>
      </c>
      <c r="K587" s="395" t="n"/>
      <c r="L587" s="395" t="inlineStr">
        <is>
          <t>X</t>
        </is>
      </c>
      <c r="M587" s="395" t="n"/>
      <c r="N587" s="395" t="inlineStr">
        <is>
          <t>Pending</t>
        </is>
      </c>
      <c r="O587" s="401" t="n"/>
      <c r="P587" s="395" t="n"/>
      <c r="Q587" s="395" t="n"/>
      <c r="R587" s="395" t="n"/>
      <c r="S587" s="395" t="n"/>
      <c r="T587" s="386" t="n"/>
      <c r="U587" s="386" t="n"/>
      <c r="V587" s="395" t="n"/>
      <c r="W587" s="395" t="n"/>
      <c r="X587" s="395" t="n"/>
      <c r="Y587" s="395" t="n"/>
      <c r="Z587" s="395" t="n"/>
      <c r="AA587" s="395" t="n"/>
      <c r="AB587" s="395" t="n"/>
      <c r="AC587" s="395" t="n"/>
      <c r="AD587" s="395" t="n"/>
      <c r="AE587" s="395" t="n"/>
    </row>
    <row r="588" ht="84" customHeight="1" s="380">
      <c r="A588" s="108" t="n">
        <v>48</v>
      </c>
      <c r="B588" s="386" t="n"/>
      <c r="C588" s="386" t="inlineStr">
        <is>
          <t>Báo cáo giám sát &gt;&gt; Báo cáo giám sát quy định về tài chính</t>
        </is>
      </c>
      <c r="D588" s="386" t="inlineStr">
        <is>
          <t>Cho vay giao dịch ký quỹ &gt;&gt; Tỷ lệ dư nợ cho vay ký quỹ đối với một mã cổ phiếu/Vốn chủ sở hữu (không vượt quá 10%) &gt;&gt; Tháng 5</t>
        </is>
      </c>
      <c r="E588" s="386" t="inlineStr">
        <is>
          <t>Cho vay giao dịch ký quỹ &gt;&gt; Tỷ lệ dư nợ cho vay ký quỹ đối với một mã cổ phiếu/Vốn chủ sở hữu (không vượt quá 10%) &gt;&gt; Tháng 5</t>
        </is>
      </c>
      <c r="F588" s="386" t="inlineStr">
        <is>
          <t>Data Explorer</t>
        </is>
      </c>
      <c r="G588" s="386" t="inlineStr">
        <is>
          <t>Chỉ tiêu cơ sở</t>
        </is>
      </c>
      <c r="H588" s="386" t="inlineStr">
        <is>
          <t>TB</t>
        </is>
      </c>
      <c r="I588" s="386" t="inlineStr">
        <is>
          <t>Ngày, CTCK</t>
        </is>
      </c>
      <c r="J588" s="395" t="inlineStr">
        <is>
          <t>SCMS</t>
        </is>
      </c>
      <c r="K588" s="395" t="n"/>
      <c r="L588" s="395" t="inlineStr">
        <is>
          <t>X</t>
        </is>
      </c>
      <c r="M588" s="395" t="n"/>
      <c r="N588" s="395" t="inlineStr">
        <is>
          <t>Pending</t>
        </is>
      </c>
      <c r="O588" s="401" t="n"/>
      <c r="P588" s="395" t="n"/>
      <c r="Q588" s="395" t="n"/>
      <c r="R588" s="395" t="n"/>
      <c r="S588" s="395" t="n"/>
      <c r="T588" s="386" t="n"/>
      <c r="U588" s="386" t="n"/>
      <c r="V588" s="395" t="n"/>
      <c r="W588" s="395" t="n"/>
      <c r="X588" s="395" t="n"/>
      <c r="Y588" s="395" t="n"/>
      <c r="Z588" s="395" t="n"/>
      <c r="AA588" s="395" t="n"/>
      <c r="AB588" s="395" t="n"/>
      <c r="AC588" s="395" t="n"/>
      <c r="AD588" s="395" t="n"/>
      <c r="AE588" s="395" t="n"/>
    </row>
    <row r="589" ht="84" customHeight="1" s="380">
      <c r="A589" s="108" t="n">
        <v>48</v>
      </c>
      <c r="B589" s="386" t="n"/>
      <c r="C589" s="386" t="inlineStr">
        <is>
          <t>Báo cáo giám sát &gt;&gt; Báo cáo giám sát quy định về tài chính</t>
        </is>
      </c>
      <c r="D589" s="386" t="inlineStr">
        <is>
          <t>Cho vay giao dịch ký quỹ &gt;&gt; Tỷ lệ dư nợ cho vay ký quỹ đối với một mã cổ phiếu/Vốn chủ sở hữu (không vượt quá 10%) &gt;&gt; Tháng 6</t>
        </is>
      </c>
      <c r="E589" s="386" t="inlineStr">
        <is>
          <t>Cho vay giao dịch ký quỹ &gt;&gt; Tỷ lệ dư nợ cho vay ký quỹ đối với một mã cổ phiếu/Vốn chủ sở hữu (không vượt quá 10%) &gt;&gt; Tháng 6</t>
        </is>
      </c>
      <c r="F589" s="386" t="inlineStr">
        <is>
          <t>Data Explorer</t>
        </is>
      </c>
      <c r="G589" s="386" t="inlineStr">
        <is>
          <t>Chỉ tiêu cơ sở</t>
        </is>
      </c>
      <c r="H589" s="386" t="inlineStr">
        <is>
          <t>TB</t>
        </is>
      </c>
      <c r="I589" s="386" t="inlineStr">
        <is>
          <t>Ngày, CTCK</t>
        </is>
      </c>
      <c r="J589" s="395" t="inlineStr">
        <is>
          <t>SCMS</t>
        </is>
      </c>
      <c r="K589" s="395" t="n"/>
      <c r="L589" s="395" t="inlineStr">
        <is>
          <t>X</t>
        </is>
      </c>
      <c r="M589" s="395" t="n"/>
      <c r="N589" s="395" t="inlineStr">
        <is>
          <t>Pending</t>
        </is>
      </c>
      <c r="O589" s="401" t="n"/>
      <c r="P589" s="395" t="n"/>
      <c r="Q589" s="395" t="n"/>
      <c r="R589" s="395" t="n"/>
      <c r="S589" s="395" t="n"/>
      <c r="T589" s="386" t="n"/>
      <c r="U589" s="386" t="n"/>
      <c r="V589" s="395" t="n"/>
      <c r="W589" s="395" t="n"/>
      <c r="X589" s="395" t="n"/>
      <c r="Y589" s="395" t="n"/>
      <c r="Z589" s="395" t="n"/>
      <c r="AA589" s="395" t="n"/>
      <c r="AB589" s="395" t="n"/>
      <c r="AC589" s="395" t="n"/>
      <c r="AD589" s="395" t="n"/>
      <c r="AE589" s="395" t="n"/>
    </row>
    <row r="590" ht="84" customHeight="1" s="380">
      <c r="A590" s="108" t="n">
        <v>48</v>
      </c>
      <c r="B590" s="386" t="n"/>
      <c r="C590" s="386" t="inlineStr">
        <is>
          <t>Báo cáo giám sát &gt;&gt; Báo cáo giám sát quy định về tài chính</t>
        </is>
      </c>
      <c r="D590" s="386" t="inlineStr">
        <is>
          <t>Cho vay giao dịch ký quỹ &gt;&gt; Tỷ lệ dư nợ cho vay ký quỹ đối với một mã cổ phiếu/Vốn chủ sở hữu (không vượt quá 10%) &gt;&gt; Bán niên</t>
        </is>
      </c>
      <c r="E590" s="386" t="inlineStr">
        <is>
          <t>Cho vay giao dịch ký quỹ &gt;&gt; Tỷ lệ dư nợ cho vay ký quỹ đối với một mã cổ phiếu/Vốn chủ sở hữu (không vượt quá 10%) &gt;&gt; Bán niên</t>
        </is>
      </c>
      <c r="F590" s="386" t="inlineStr">
        <is>
          <t>Data Explorer</t>
        </is>
      </c>
      <c r="G590" s="386" t="inlineStr">
        <is>
          <t>Chỉ tiêu cơ sở</t>
        </is>
      </c>
      <c r="H590" s="386" t="inlineStr">
        <is>
          <t>TB</t>
        </is>
      </c>
      <c r="I590" s="386" t="inlineStr">
        <is>
          <t>Ngày, CTCK</t>
        </is>
      </c>
      <c r="J590" s="395" t="inlineStr">
        <is>
          <t>SCMS</t>
        </is>
      </c>
      <c r="K590" s="395" t="n"/>
      <c r="L590" s="395" t="inlineStr">
        <is>
          <t>X</t>
        </is>
      </c>
      <c r="M590" s="395" t="n"/>
      <c r="N590" s="395" t="inlineStr">
        <is>
          <t>Pending</t>
        </is>
      </c>
      <c r="O590" s="401" t="n"/>
      <c r="P590" s="395" t="n"/>
      <c r="Q590" s="395" t="n"/>
      <c r="R590" s="395" t="n"/>
      <c r="S590" s="395" t="n"/>
      <c r="T590" s="386" t="n"/>
      <c r="U590" s="386" t="n"/>
      <c r="V590" s="395" t="n"/>
      <c r="W590" s="395" t="n"/>
      <c r="X590" s="395" t="n"/>
      <c r="Y590" s="37" t="n"/>
      <c r="Z590" s="395" t="n"/>
      <c r="AA590" s="395" t="n"/>
      <c r="AB590" s="395" t="n"/>
      <c r="AC590" s="395" t="n"/>
      <c r="AD590" s="395" t="n"/>
      <c r="AE590" s="395" t="n"/>
    </row>
    <row r="591" ht="84" customHeight="1" s="380">
      <c r="A591" s="108" t="n">
        <v>48</v>
      </c>
      <c r="B591" s="386" t="n"/>
      <c r="C591" s="386" t="inlineStr">
        <is>
          <t>Báo cáo giám sát &gt;&gt; Báo cáo giám sát quy định về tài chính</t>
        </is>
      </c>
      <c r="D591" s="386" t="inlineStr">
        <is>
          <t>Cho vay giao dịch ký quỹ &gt;&gt; Tỷ lệ dư nợ cho vay ký quỹ đối với một mã cổ phiếu/Vốn chủ sở hữu (không vượt quá 10%) &gt;&gt; Tháng 7</t>
        </is>
      </c>
      <c r="E591" s="386" t="inlineStr">
        <is>
          <t>Cho vay giao dịch ký quỹ &gt;&gt; Tỷ lệ dư nợ cho vay ký quỹ đối với một mã cổ phiếu/Vốn chủ sở hữu (không vượt quá 10%) &gt;&gt; Tháng 7</t>
        </is>
      </c>
      <c r="F591" s="386" t="inlineStr">
        <is>
          <t>Data Explorer</t>
        </is>
      </c>
      <c r="G591" s="386" t="inlineStr">
        <is>
          <t>Chỉ tiêu cơ sở</t>
        </is>
      </c>
      <c r="H591" s="386" t="inlineStr">
        <is>
          <t>TB</t>
        </is>
      </c>
      <c r="I591" s="386" t="inlineStr">
        <is>
          <t>Ngày, CTCK</t>
        </is>
      </c>
      <c r="J591" s="395" t="inlineStr">
        <is>
          <t>SCMS</t>
        </is>
      </c>
      <c r="K591" s="395" t="n"/>
      <c r="L591" s="395" t="inlineStr">
        <is>
          <t>X</t>
        </is>
      </c>
      <c r="M591" s="395" t="n"/>
      <c r="N591" s="395" t="inlineStr">
        <is>
          <t>Pending</t>
        </is>
      </c>
      <c r="O591" s="401" t="n"/>
      <c r="P591" s="395" t="n"/>
      <c r="Q591" s="395" t="n"/>
      <c r="R591" s="395" t="n"/>
      <c r="S591" s="395" t="n"/>
      <c r="T591" s="386" t="n"/>
      <c r="U591" s="386" t="n"/>
      <c r="V591" s="395" t="n"/>
      <c r="W591" s="395" t="n"/>
      <c r="X591" s="395" t="n"/>
      <c r="Y591" s="395" t="n"/>
      <c r="Z591" s="395" t="n"/>
      <c r="AA591" s="395" t="n"/>
      <c r="AB591" s="395" t="n"/>
      <c r="AC591" s="395" t="n"/>
      <c r="AD591" s="395" t="n"/>
      <c r="AE591" s="395" t="n"/>
    </row>
    <row r="592" ht="84" customHeight="1" s="380">
      <c r="A592" s="108" t="n">
        <v>48</v>
      </c>
      <c r="B592" s="386" t="n"/>
      <c r="C592" s="386" t="inlineStr">
        <is>
          <t>Báo cáo giám sát &gt;&gt; Báo cáo giám sát quy định về tài chính</t>
        </is>
      </c>
      <c r="D592" s="386" t="inlineStr">
        <is>
          <t>Cho vay giao dịch ký quỹ &gt;&gt; Tỷ lệ dư nợ cho vay ký quỹ đối với một mã cổ phiếu/Vốn chủ sở hữu (không vượt quá 10%) &gt;&gt; Tháng 8</t>
        </is>
      </c>
      <c r="E592" s="386" t="inlineStr">
        <is>
          <t>Cho vay giao dịch ký quỹ &gt;&gt; Tỷ lệ dư nợ cho vay ký quỹ đối với một mã cổ phiếu/Vốn chủ sở hữu (không vượt quá 10%) &gt;&gt; Tháng 8</t>
        </is>
      </c>
      <c r="F592" s="386" t="inlineStr">
        <is>
          <t>Data Explorer</t>
        </is>
      </c>
      <c r="G592" s="386" t="inlineStr">
        <is>
          <t>Chỉ tiêu cơ sở</t>
        </is>
      </c>
      <c r="H592" s="386" t="inlineStr">
        <is>
          <t>TB</t>
        </is>
      </c>
      <c r="I592" s="386" t="inlineStr">
        <is>
          <t>Ngày, CTCK</t>
        </is>
      </c>
      <c r="J592" s="395" t="inlineStr">
        <is>
          <t>SCMS</t>
        </is>
      </c>
      <c r="K592" s="395" t="n"/>
      <c r="L592" s="395" t="inlineStr">
        <is>
          <t>X</t>
        </is>
      </c>
      <c r="M592" s="395" t="n"/>
      <c r="N592" s="395" t="inlineStr">
        <is>
          <t>Pending</t>
        </is>
      </c>
      <c r="O592" s="401" t="n"/>
      <c r="P592" s="395" t="n"/>
      <c r="Q592" s="395" t="n"/>
      <c r="R592" s="395" t="n"/>
      <c r="S592" s="395" t="n"/>
      <c r="T592" s="386" t="n"/>
      <c r="U592" s="386" t="n"/>
      <c r="V592" s="395" t="n"/>
      <c r="W592" s="395" t="n"/>
      <c r="X592" s="395" t="n"/>
      <c r="Y592" s="13" t="n"/>
      <c r="Z592" s="395" t="n"/>
      <c r="AA592" s="395" t="n"/>
      <c r="AB592" s="395" t="n"/>
      <c r="AC592" s="395" t="n"/>
      <c r="AD592" s="395" t="n"/>
      <c r="AE592" s="395" t="n"/>
    </row>
    <row r="593" ht="84" customHeight="1" s="380">
      <c r="A593" s="108" t="n">
        <v>48</v>
      </c>
      <c r="B593" s="386" t="n"/>
      <c r="C593" s="386" t="inlineStr">
        <is>
          <t>Báo cáo giám sát &gt;&gt; Báo cáo giám sát quy định về tài chính</t>
        </is>
      </c>
      <c r="D593" s="386" t="inlineStr">
        <is>
          <t>Cho vay giao dịch ký quỹ &gt;&gt; Tỷ lệ dư nợ cho vay ký quỹ đối với một mã cổ phiếu/Vốn chủ sở hữu (không vượt quá 10%) &gt;&gt; Tháng 9</t>
        </is>
      </c>
      <c r="E593" s="386" t="inlineStr">
        <is>
          <t>Cho vay giao dịch ký quỹ &gt;&gt; Tỷ lệ dư nợ cho vay ký quỹ đối với một mã cổ phiếu/Vốn chủ sở hữu (không vượt quá 10%) &gt;&gt; Tháng 9</t>
        </is>
      </c>
      <c r="F593" s="386" t="inlineStr">
        <is>
          <t>Data Explorer</t>
        </is>
      </c>
      <c r="G593" s="386" t="inlineStr">
        <is>
          <t>Chỉ tiêu cơ sở</t>
        </is>
      </c>
      <c r="H593" s="386" t="inlineStr">
        <is>
          <t>TB</t>
        </is>
      </c>
      <c r="I593" s="386" t="inlineStr">
        <is>
          <t>Ngày, CTCK</t>
        </is>
      </c>
      <c r="J593" s="395" t="inlineStr">
        <is>
          <t>SCMS</t>
        </is>
      </c>
      <c r="K593" s="395" t="n"/>
      <c r="L593" s="395" t="inlineStr">
        <is>
          <t>X</t>
        </is>
      </c>
      <c r="M593" s="395" t="n"/>
      <c r="N593" s="395" t="inlineStr">
        <is>
          <t>Pending</t>
        </is>
      </c>
      <c r="O593" s="401" t="n"/>
      <c r="P593" s="395" t="n"/>
      <c r="Q593" s="395" t="n"/>
      <c r="R593" s="395" t="n"/>
      <c r="S593" s="395" t="n"/>
      <c r="T593" s="386" t="n"/>
      <c r="U593" s="386" t="n"/>
      <c r="V593" s="395" t="n"/>
      <c r="W593" s="395" t="n"/>
      <c r="X593" s="395" t="n"/>
      <c r="Y593" s="13" t="n"/>
      <c r="Z593" s="395" t="n"/>
      <c r="AA593" s="395" t="n"/>
      <c r="AB593" s="395" t="n"/>
      <c r="AC593" s="395" t="n"/>
      <c r="AD593" s="395" t="n"/>
      <c r="AE593" s="395" t="n"/>
    </row>
    <row r="594" ht="84" customHeight="1" s="380">
      <c r="A594" s="108" t="n">
        <v>48</v>
      </c>
      <c r="B594" s="386" t="n"/>
      <c r="C594" s="386" t="inlineStr">
        <is>
          <t>Báo cáo giám sát &gt;&gt; Báo cáo giám sát quy định về tài chính</t>
        </is>
      </c>
      <c r="D594" s="386" t="inlineStr">
        <is>
          <t>Cho vay giao dịch ký quỹ &gt;&gt; Tỷ lệ dư nợ cho vay ký quỹ đối với một mã cổ phiếu/Vốn chủ sở hữu (không vượt quá 10%) &gt;&gt; Tháng 10</t>
        </is>
      </c>
      <c r="E594" s="386" t="inlineStr">
        <is>
          <t>Cho vay giao dịch ký quỹ &gt;&gt; Tỷ lệ dư nợ cho vay ký quỹ đối với một mã cổ phiếu/Vốn chủ sở hữu (không vượt quá 10%) &gt;&gt; Tháng 10</t>
        </is>
      </c>
      <c r="F594" s="386" t="inlineStr">
        <is>
          <t>Data Explorer</t>
        </is>
      </c>
      <c r="G594" s="386" t="inlineStr">
        <is>
          <t>Chỉ tiêu cơ sở</t>
        </is>
      </c>
      <c r="H594" s="386" t="inlineStr">
        <is>
          <t>TB</t>
        </is>
      </c>
      <c r="I594" s="386" t="inlineStr">
        <is>
          <t>Ngày, CTCK</t>
        </is>
      </c>
      <c r="J594" s="395" t="inlineStr">
        <is>
          <t>SCMS</t>
        </is>
      </c>
      <c r="K594" s="395" t="n"/>
      <c r="L594" s="395" t="inlineStr">
        <is>
          <t>X</t>
        </is>
      </c>
      <c r="M594" s="395" t="n"/>
      <c r="N594" s="395" t="inlineStr">
        <is>
          <t>Pending</t>
        </is>
      </c>
      <c r="O594" s="401" t="n"/>
      <c r="P594" s="395" t="n"/>
      <c r="Q594" s="395" t="n"/>
      <c r="R594" s="395" t="n"/>
      <c r="S594" s="395" t="n"/>
      <c r="T594" s="386" t="n"/>
      <c r="U594" s="386" t="n"/>
      <c r="V594" s="395" t="n"/>
      <c r="W594" s="395" t="n"/>
      <c r="X594" s="395" t="n"/>
      <c r="Y594" s="13" t="n"/>
      <c r="Z594" s="395" t="n"/>
      <c r="AA594" s="395" t="n"/>
      <c r="AB594" s="395" t="n"/>
      <c r="AC594" s="395" t="n"/>
      <c r="AD594" s="395" t="n"/>
      <c r="AE594" s="395" t="n"/>
    </row>
    <row r="595" ht="84" customHeight="1" s="380">
      <c r="A595" s="108" t="n">
        <v>48</v>
      </c>
      <c r="B595" s="386" t="n"/>
      <c r="C595" s="386" t="inlineStr">
        <is>
          <t>Báo cáo giám sát &gt;&gt; Báo cáo giám sát quy định về tài chính</t>
        </is>
      </c>
      <c r="D595" s="386" t="inlineStr">
        <is>
          <t>Cho vay giao dịch ký quỹ &gt;&gt; Tỷ lệ dư nợ cho vay ký quỹ đối với một mã cổ phiếu/Vốn chủ sở hữu (không vượt quá 10%) &gt;&gt; Tháng 11</t>
        </is>
      </c>
      <c r="E595" s="386" t="inlineStr">
        <is>
          <t>Cho vay giao dịch ký quỹ &gt;&gt; Tỷ lệ dư nợ cho vay ký quỹ đối với một mã cổ phiếu/Vốn chủ sở hữu (không vượt quá 10%) &gt;&gt; Tháng 11</t>
        </is>
      </c>
      <c r="F595" s="386" t="inlineStr">
        <is>
          <t>Data Explorer</t>
        </is>
      </c>
      <c r="G595" s="386" t="inlineStr">
        <is>
          <t>Chỉ tiêu cơ sở</t>
        </is>
      </c>
      <c r="H595" s="386" t="inlineStr">
        <is>
          <t>TB</t>
        </is>
      </c>
      <c r="I595" s="386" t="inlineStr">
        <is>
          <t>Ngày, CTCK</t>
        </is>
      </c>
      <c r="J595" s="395" t="inlineStr">
        <is>
          <t>SCMS</t>
        </is>
      </c>
      <c r="K595" s="395" t="n"/>
      <c r="L595" s="395" t="inlineStr">
        <is>
          <t>X</t>
        </is>
      </c>
      <c r="M595" s="395" t="n"/>
      <c r="N595" s="395" t="inlineStr">
        <is>
          <t>Pending</t>
        </is>
      </c>
      <c r="O595" s="401" t="n"/>
      <c r="P595" s="395" t="n"/>
      <c r="Q595" s="395" t="n"/>
      <c r="R595" s="395" t="n"/>
      <c r="S595" s="395" t="n"/>
      <c r="T595" s="386" t="n"/>
      <c r="U595" s="386" t="n"/>
      <c r="V595" s="395" t="n"/>
      <c r="W595" s="395" t="n"/>
      <c r="X595" s="395" t="n"/>
      <c r="Y595" s="13" t="n"/>
      <c r="Z595" s="395" t="n"/>
      <c r="AA595" s="395" t="n"/>
      <c r="AB595" s="395" t="n"/>
      <c r="AC595" s="395" t="n"/>
      <c r="AD595" s="395" t="n"/>
      <c r="AE595" s="395" t="n"/>
    </row>
    <row r="596" ht="84" customHeight="1" s="380">
      <c r="A596" s="108" t="n">
        <v>48</v>
      </c>
      <c r="B596" s="386" t="n"/>
      <c r="C596" s="386" t="inlineStr">
        <is>
          <t>Báo cáo giám sát &gt;&gt; Báo cáo giám sát quy định về tài chính</t>
        </is>
      </c>
      <c r="D596" s="386" t="inlineStr">
        <is>
          <t>Cho vay giao dịch ký quỹ &gt;&gt; Tỷ lệ dư nợ cho vay ký quỹ đối với một mã cổ phiếu/Vốn chủ sở hữu (không vượt quá 10%) &gt;&gt; Tháng 12</t>
        </is>
      </c>
      <c r="E596" s="386" t="inlineStr">
        <is>
          <t>Cho vay giao dịch ký quỹ &gt;&gt; Tỷ lệ dư nợ cho vay ký quỹ đối với một mã cổ phiếu/Vốn chủ sở hữu (không vượt quá 10%) &gt;&gt; Tháng 12</t>
        </is>
      </c>
      <c r="F596" s="386" t="inlineStr">
        <is>
          <t>Data Explorer</t>
        </is>
      </c>
      <c r="G596" s="386" t="inlineStr">
        <is>
          <t>Chỉ tiêu cơ sở</t>
        </is>
      </c>
      <c r="H596" s="386" t="inlineStr">
        <is>
          <t>TB</t>
        </is>
      </c>
      <c r="I596" s="386" t="inlineStr">
        <is>
          <t>Ngày, CTCK</t>
        </is>
      </c>
      <c r="J596" s="395" t="inlineStr">
        <is>
          <t>SCMS</t>
        </is>
      </c>
      <c r="K596" s="395" t="n"/>
      <c r="L596" s="395" t="inlineStr">
        <is>
          <t>X</t>
        </is>
      </c>
      <c r="M596" s="395" t="n"/>
      <c r="N596" s="395" t="inlineStr">
        <is>
          <t>Pending</t>
        </is>
      </c>
      <c r="O596" s="401" t="n"/>
      <c r="P596" s="395" t="n"/>
      <c r="Q596" s="395" t="n"/>
      <c r="R596" s="395" t="n"/>
      <c r="S596" s="395" t="n"/>
      <c r="T596" s="386" t="n"/>
      <c r="U596" s="386" t="n"/>
      <c r="V596" s="395" t="n"/>
      <c r="W596" s="395" t="n"/>
      <c r="X596" s="395" t="n"/>
      <c r="Y596" s="13" t="n"/>
      <c r="Z596" s="395" t="n"/>
      <c r="AA596" s="395" t="n"/>
      <c r="AB596" s="395" t="n"/>
      <c r="AC596" s="395" t="n"/>
      <c r="AD596" s="395" t="n"/>
      <c r="AE596" s="395" t="n"/>
    </row>
    <row r="597" ht="84" customHeight="1" s="380">
      <c r="A597" s="108" t="n">
        <v>48</v>
      </c>
      <c r="B597" s="386" t="n"/>
      <c r="C597" s="386" t="inlineStr">
        <is>
          <t>Báo cáo giám sát &gt;&gt; Báo cáo giám sát quy định về tài chính</t>
        </is>
      </c>
      <c r="D597" s="386" t="inlineStr">
        <is>
          <t>Cho vay giao dịch ký quỹ &gt;&gt; Tỷ lệ dư nợ cho vay ký quỹ đối với một mã cổ phiếu/Vốn chủ sở hữu (không vượt quá 10%) &gt;&gt; Năm</t>
        </is>
      </c>
      <c r="E597" s="386" t="inlineStr">
        <is>
          <t>Cho vay giao dịch ký quỹ &gt;&gt; Tỷ lệ dư nợ cho vay ký quỹ đối với một mã cổ phiếu/Vốn chủ sở hữu (không vượt quá 10%) &gt;&gt; Năm</t>
        </is>
      </c>
      <c r="F597" s="386" t="inlineStr">
        <is>
          <t>Data Explorer</t>
        </is>
      </c>
      <c r="G597" s="386" t="inlineStr">
        <is>
          <t>Chỉ tiêu cơ sở</t>
        </is>
      </c>
      <c r="H597" s="386" t="inlineStr">
        <is>
          <t>TB</t>
        </is>
      </c>
      <c r="I597" s="386" t="inlineStr">
        <is>
          <t>Ngày, CTCK</t>
        </is>
      </c>
      <c r="J597" s="395" t="inlineStr">
        <is>
          <t>SCMS</t>
        </is>
      </c>
      <c r="K597" s="395" t="n"/>
      <c r="L597" s="395" t="inlineStr">
        <is>
          <t>X</t>
        </is>
      </c>
      <c r="M597" s="395" t="n"/>
      <c r="N597" s="395" t="inlineStr">
        <is>
          <t>Pending</t>
        </is>
      </c>
      <c r="O597" s="401" t="n"/>
      <c r="P597" s="395" t="n"/>
      <c r="Q597" s="395" t="n"/>
      <c r="R597" s="395" t="n"/>
      <c r="S597" s="395" t="n"/>
      <c r="T597" s="386" t="n"/>
      <c r="U597" s="386" t="n"/>
      <c r="V597" s="395" t="n"/>
      <c r="W597" s="395" t="n"/>
      <c r="X597" s="395" t="n"/>
      <c r="Y597" s="13" t="n"/>
      <c r="Z597" s="395" t="n"/>
      <c r="AA597" s="395" t="n"/>
      <c r="AB597" s="395" t="n"/>
      <c r="AC597" s="395" t="n"/>
      <c r="AD597" s="395" t="n"/>
      <c r="AE597" s="395" t="n"/>
    </row>
    <row r="598" ht="98" customHeight="1" s="380">
      <c r="A598" s="108" t="n">
        <v>48</v>
      </c>
      <c r="B598" s="386" t="n"/>
      <c r="C598" s="386" t="inlineStr">
        <is>
          <t>Báo cáo giám sát &gt;&gt; Báo cáo giám sát quy định về tài chính</t>
        </is>
      </c>
      <c r="D598" s="386" t="inlineStr">
        <is>
          <t xml:space="preserve">Cho vay giao dịch ký quỹ &gt;&gt; Tổng số chứng khoán cho vay giao dịch ký quỹ/Tổng số chứng khoán niêm yết của một tổ chức (không được vượt quá 5%) &gt;&gt; Tháng 1                                                                                                                                                                                                       </t>
        </is>
      </c>
      <c r="E598" s="386" t="inlineStr">
        <is>
          <t xml:space="preserve">Cho vay giao dịch ký quỹ &gt;&gt; Tổng số chứng khoán cho vay giao dịch ký quỹ/Tổng số chứng khoán niêm yết của một tổ chức (không được vượt quá 5%) &gt;&gt; Tháng 1                                                                                                                                                                                                       </t>
        </is>
      </c>
      <c r="F598" s="386" t="inlineStr">
        <is>
          <t>Data Explorer</t>
        </is>
      </c>
      <c r="G598" s="386" t="inlineStr">
        <is>
          <t>Chỉ tiêu cơ sở</t>
        </is>
      </c>
      <c r="H598" s="386" t="inlineStr">
        <is>
          <t>TB</t>
        </is>
      </c>
      <c r="I598" s="386" t="inlineStr">
        <is>
          <t>Ngày, CTCK</t>
        </is>
      </c>
      <c r="J598" s="395" t="inlineStr">
        <is>
          <t>SCMS</t>
        </is>
      </c>
      <c r="K598" s="395" t="n"/>
      <c r="L598" s="395" t="inlineStr">
        <is>
          <t>X</t>
        </is>
      </c>
      <c r="M598" s="395" t="n"/>
      <c r="N598" s="395" t="inlineStr">
        <is>
          <t>Pending</t>
        </is>
      </c>
      <c r="O598" s="401" t="n"/>
      <c r="P598" s="395" t="n"/>
      <c r="Q598" s="395" t="n"/>
      <c r="R598" s="395" t="n"/>
      <c r="S598" s="395" t="n"/>
      <c r="T598" s="386" t="n"/>
      <c r="U598" s="386" t="n"/>
      <c r="V598" s="395" t="n"/>
      <c r="W598" s="395" t="n"/>
      <c r="X598" s="395" t="n"/>
      <c r="Y598" s="13" t="n"/>
      <c r="Z598" s="395" t="n"/>
      <c r="AA598" s="395" t="n"/>
      <c r="AB598" s="395" t="n"/>
      <c r="AC598" s="395" t="n"/>
      <c r="AD598" s="395" t="n"/>
      <c r="AE598" s="395" t="n"/>
    </row>
    <row r="599" ht="98" customHeight="1" s="380">
      <c r="A599" s="108" t="n">
        <v>48</v>
      </c>
      <c r="B599" s="386" t="n"/>
      <c r="C599" s="386" t="inlineStr">
        <is>
          <t>Báo cáo giám sát &gt;&gt; Báo cáo giám sát quy định về tài chính</t>
        </is>
      </c>
      <c r="D599" s="386" t="inlineStr">
        <is>
          <t>Cho vay giao dịch ký quỹ &gt;&gt; Tổng số chứng khoán cho vay giao dịch ký quỹ/Tổng số chứng khoán niêm yết của một tổ chức (không được vượt quá 5%) &gt;&gt; Tháng 2</t>
        </is>
      </c>
      <c r="E599" s="386" t="inlineStr">
        <is>
          <t>Cho vay giao dịch ký quỹ &gt;&gt; Tổng số chứng khoán cho vay giao dịch ký quỹ/Tổng số chứng khoán niêm yết của một tổ chức (không được vượt quá 5%) &gt;&gt; Tháng 2</t>
        </is>
      </c>
      <c r="F599" s="386" t="inlineStr">
        <is>
          <t>Data Explorer</t>
        </is>
      </c>
      <c r="G599" s="386" t="inlineStr">
        <is>
          <t>Chỉ tiêu cơ sở</t>
        </is>
      </c>
      <c r="H599" s="386" t="inlineStr">
        <is>
          <t>TB</t>
        </is>
      </c>
      <c r="I599" s="386" t="inlineStr">
        <is>
          <t>Ngày, CTCK</t>
        </is>
      </c>
      <c r="J599" s="395" t="inlineStr">
        <is>
          <t>SCMS</t>
        </is>
      </c>
      <c r="K599" s="395" t="n"/>
      <c r="L599" s="395" t="inlineStr">
        <is>
          <t>X</t>
        </is>
      </c>
      <c r="M599" s="395" t="n"/>
      <c r="N599" s="395" t="inlineStr">
        <is>
          <t>Pending</t>
        </is>
      </c>
      <c r="O599" s="401" t="n"/>
      <c r="P599" s="395" t="n"/>
      <c r="Q599" s="395" t="n"/>
      <c r="R599" s="395" t="n"/>
      <c r="S599" s="395" t="n"/>
      <c r="T599" s="386" t="n"/>
      <c r="U599" s="386" t="n"/>
      <c r="V599" s="395" t="n"/>
      <c r="W599" s="395" t="n"/>
      <c r="X599" s="395" t="n"/>
      <c r="Y599" s="13" t="n"/>
      <c r="Z599" s="395" t="n"/>
      <c r="AA599" s="395" t="n"/>
      <c r="AB599" s="395" t="n"/>
      <c r="AC599" s="395" t="n"/>
      <c r="AD599" s="395" t="n"/>
      <c r="AE599" s="395" t="n"/>
    </row>
    <row r="600" ht="98" customHeight="1" s="380">
      <c r="A600" s="108" t="n">
        <v>48</v>
      </c>
      <c r="B600" s="386" t="n"/>
      <c r="C600" s="386" t="inlineStr">
        <is>
          <t>Báo cáo giám sát &gt;&gt; Báo cáo giám sát quy định về tài chính</t>
        </is>
      </c>
      <c r="D600" s="386" t="inlineStr">
        <is>
          <t>Cho vay giao dịch ký quỹ &gt;&gt; Tổng số chứng khoán cho vay giao dịch ký quỹ/Tổng số chứng khoán niêm yết của một tổ chức (không được vượt quá 5%) &gt;&gt; Tháng 3</t>
        </is>
      </c>
      <c r="E600" s="386" t="inlineStr">
        <is>
          <t>Cho vay giao dịch ký quỹ &gt;&gt; Tổng số chứng khoán cho vay giao dịch ký quỹ/Tổng số chứng khoán niêm yết của một tổ chức (không được vượt quá 5%) &gt;&gt; Tháng 3</t>
        </is>
      </c>
      <c r="F600" s="386" t="inlineStr">
        <is>
          <t>Data Explorer</t>
        </is>
      </c>
      <c r="G600" s="386" t="inlineStr">
        <is>
          <t>Chỉ tiêu cơ sở</t>
        </is>
      </c>
      <c r="H600" s="386" t="inlineStr">
        <is>
          <t>TB</t>
        </is>
      </c>
      <c r="I600" s="386" t="inlineStr">
        <is>
          <t>Ngày, CTCK</t>
        </is>
      </c>
      <c r="J600" s="395" t="inlineStr">
        <is>
          <t>SCMS</t>
        </is>
      </c>
      <c r="K600" s="395" t="n"/>
      <c r="L600" s="395" t="inlineStr">
        <is>
          <t>X</t>
        </is>
      </c>
      <c r="M600" s="395" t="n"/>
      <c r="N600" s="395" t="inlineStr">
        <is>
          <t>Pending</t>
        </is>
      </c>
      <c r="O600" s="401" t="n"/>
      <c r="P600" s="395" t="n"/>
      <c r="Q600" s="395" t="n"/>
      <c r="R600" s="395" t="n"/>
      <c r="S600" s="395" t="n"/>
      <c r="T600" s="386" t="n"/>
      <c r="U600" s="386" t="n"/>
      <c r="V600" s="395" t="n"/>
      <c r="W600" s="395" t="n"/>
      <c r="X600" s="395" t="n"/>
      <c r="Y600" s="13" t="n"/>
      <c r="Z600" s="395" t="n"/>
      <c r="AA600" s="395" t="n"/>
      <c r="AB600" s="395" t="n"/>
      <c r="AC600" s="395" t="n"/>
      <c r="AD600" s="395" t="n"/>
      <c r="AE600" s="395" t="n"/>
    </row>
    <row r="601" ht="98" customHeight="1" s="380">
      <c r="A601" s="108" t="n">
        <v>48</v>
      </c>
      <c r="B601" s="386" t="n"/>
      <c r="C601" s="386" t="inlineStr">
        <is>
          <t>Báo cáo giám sát &gt;&gt; Báo cáo giám sát quy định về tài chính</t>
        </is>
      </c>
      <c r="D601" s="386" t="inlineStr">
        <is>
          <t>Cho vay giao dịch ký quỹ &gt;&gt; Tổng số chứng khoán cho vay giao dịch ký quỹ/Tổng số chứng khoán niêm yết của một tổ chức (không được vượt quá 5%) &gt;&gt; Tháng 4</t>
        </is>
      </c>
      <c r="E601" s="386" t="inlineStr">
        <is>
          <t>Cho vay giao dịch ký quỹ &gt;&gt; Tổng số chứng khoán cho vay giao dịch ký quỹ/Tổng số chứng khoán niêm yết của một tổ chức (không được vượt quá 5%) &gt;&gt; Tháng 4</t>
        </is>
      </c>
      <c r="F601" s="386" t="inlineStr">
        <is>
          <t>Data Explorer</t>
        </is>
      </c>
      <c r="G601" s="386" t="inlineStr">
        <is>
          <t>Chỉ tiêu cơ sở</t>
        </is>
      </c>
      <c r="H601" s="386" t="inlineStr">
        <is>
          <t>TB</t>
        </is>
      </c>
      <c r="I601" s="386" t="inlineStr">
        <is>
          <t>Ngày, CTCK</t>
        </is>
      </c>
      <c r="J601" s="395" t="inlineStr">
        <is>
          <t>SCMS</t>
        </is>
      </c>
      <c r="K601" s="395" t="n"/>
      <c r="L601" s="395" t="inlineStr">
        <is>
          <t>X</t>
        </is>
      </c>
      <c r="M601" s="395" t="n"/>
      <c r="N601" s="395" t="inlineStr">
        <is>
          <t>Pending</t>
        </is>
      </c>
      <c r="O601" s="401" t="n"/>
      <c r="P601" s="395" t="n"/>
      <c r="Q601" s="395" t="n"/>
      <c r="R601" s="395" t="n"/>
      <c r="S601" s="395" t="n"/>
      <c r="T601" s="386" t="n"/>
      <c r="U601" s="386" t="n"/>
      <c r="V601" s="395" t="n"/>
      <c r="W601" s="395" t="n"/>
      <c r="X601" s="395" t="n"/>
      <c r="Y601" s="13" t="n"/>
      <c r="Z601" s="395" t="n"/>
      <c r="AA601" s="395" t="n"/>
      <c r="AB601" s="395" t="n"/>
      <c r="AC601" s="395" t="n"/>
      <c r="AD601" s="395" t="n"/>
      <c r="AE601" s="395" t="n"/>
    </row>
    <row r="602" ht="98" customHeight="1" s="380">
      <c r="A602" s="108" t="n">
        <v>48</v>
      </c>
      <c r="B602" s="386" t="n"/>
      <c r="C602" s="386" t="inlineStr">
        <is>
          <t>Báo cáo giám sát &gt;&gt; Báo cáo giám sát quy định về tài chính</t>
        </is>
      </c>
      <c r="D602" s="386" t="inlineStr">
        <is>
          <t>Cho vay giao dịch ký quỹ &gt;&gt; Tổng số chứng khoán cho vay giao dịch ký quỹ/Tổng số chứng khoán niêm yết của một tổ chức (không được vượt quá 5%) &gt;&gt; Tháng 5</t>
        </is>
      </c>
      <c r="E602" s="386" t="inlineStr">
        <is>
          <t>Cho vay giao dịch ký quỹ &gt;&gt; Tổng số chứng khoán cho vay giao dịch ký quỹ/Tổng số chứng khoán niêm yết của một tổ chức (không được vượt quá 5%) &gt;&gt; Tháng 5</t>
        </is>
      </c>
      <c r="F602" s="386" t="inlineStr">
        <is>
          <t>Data Explorer</t>
        </is>
      </c>
      <c r="G602" s="386" t="inlineStr">
        <is>
          <t>Chỉ tiêu cơ sở</t>
        </is>
      </c>
      <c r="H602" s="386" t="inlineStr">
        <is>
          <t>TB</t>
        </is>
      </c>
      <c r="I602" s="386" t="inlineStr">
        <is>
          <t>Ngày, CTCK</t>
        </is>
      </c>
      <c r="J602" s="395" t="inlineStr">
        <is>
          <t>SCMS</t>
        </is>
      </c>
      <c r="K602" s="395" t="n"/>
      <c r="L602" s="395" t="inlineStr">
        <is>
          <t>X</t>
        </is>
      </c>
      <c r="M602" s="395" t="n"/>
      <c r="N602" s="395" t="inlineStr">
        <is>
          <t>Pending</t>
        </is>
      </c>
      <c r="O602" s="401" t="n"/>
      <c r="P602" s="395" t="n"/>
      <c r="Q602" s="395" t="n"/>
      <c r="R602" s="395" t="n"/>
      <c r="S602" s="395" t="n"/>
      <c r="T602" s="386" t="n"/>
      <c r="U602" s="386" t="n"/>
      <c r="V602" s="395" t="n"/>
      <c r="W602" s="395" t="n"/>
      <c r="X602" s="395" t="n"/>
      <c r="Y602" s="38" t="n"/>
      <c r="Z602" s="395" t="n"/>
      <c r="AA602" s="395" t="n"/>
      <c r="AB602" s="395" t="n"/>
      <c r="AC602" s="395" t="n"/>
      <c r="AD602" s="395" t="n"/>
      <c r="AE602" s="395" t="n"/>
    </row>
    <row r="603" ht="98" customHeight="1" s="380">
      <c r="A603" s="108" t="n">
        <v>48</v>
      </c>
      <c r="B603" s="386" t="n"/>
      <c r="C603" s="386" t="inlineStr">
        <is>
          <t>Báo cáo giám sát &gt;&gt; Báo cáo giám sát quy định về tài chính</t>
        </is>
      </c>
      <c r="D603" s="386" t="inlineStr">
        <is>
          <t>Cho vay giao dịch ký quỹ &gt;&gt; Tổng số chứng khoán cho vay giao dịch ký quỹ/Tổng số chứng khoán niêm yết của một tổ chức (không được vượt quá 5%) &gt;&gt; Tháng 6</t>
        </is>
      </c>
      <c r="E603" s="386" t="inlineStr">
        <is>
          <t>Cho vay giao dịch ký quỹ &gt;&gt; Tổng số chứng khoán cho vay giao dịch ký quỹ/Tổng số chứng khoán niêm yết của một tổ chức (không được vượt quá 5%) &gt;&gt; Tháng 6</t>
        </is>
      </c>
      <c r="F603" s="386" t="inlineStr">
        <is>
          <t>Data Explorer</t>
        </is>
      </c>
      <c r="G603" s="386" t="inlineStr">
        <is>
          <t>Chỉ tiêu cơ sở</t>
        </is>
      </c>
      <c r="H603" s="386" t="inlineStr">
        <is>
          <t>TB</t>
        </is>
      </c>
      <c r="I603" s="386" t="inlineStr">
        <is>
          <t>Ngày, CTCK</t>
        </is>
      </c>
      <c r="J603" s="395" t="inlineStr">
        <is>
          <t>SCMS</t>
        </is>
      </c>
      <c r="K603" s="395" t="n"/>
      <c r="L603" s="395" t="inlineStr">
        <is>
          <t>X</t>
        </is>
      </c>
      <c r="M603" s="395" t="n"/>
      <c r="N603" s="395" t="inlineStr">
        <is>
          <t>Pending</t>
        </is>
      </c>
      <c r="O603" s="401" t="n"/>
      <c r="P603" s="395" t="n"/>
      <c r="Q603" s="395" t="n"/>
      <c r="R603" s="395" t="n"/>
      <c r="S603" s="395" t="n"/>
      <c r="T603" s="386" t="n"/>
      <c r="U603" s="386" t="n"/>
      <c r="V603" s="395" t="n"/>
      <c r="W603" s="395" t="n"/>
      <c r="X603" s="395" t="n"/>
      <c r="Y603" s="13" t="n"/>
      <c r="Z603" s="395" t="n"/>
      <c r="AA603" s="395" t="n"/>
      <c r="AB603" s="395" t="n"/>
      <c r="AC603" s="395" t="n"/>
      <c r="AD603" s="395" t="n"/>
      <c r="AE603" s="395" t="n"/>
    </row>
    <row r="604" ht="98" customHeight="1" s="380">
      <c r="A604" s="108" t="n">
        <v>48</v>
      </c>
      <c r="B604" s="386" t="n"/>
      <c r="C604" s="386" t="inlineStr">
        <is>
          <t>Báo cáo giám sát &gt;&gt; Báo cáo giám sát quy định về tài chính</t>
        </is>
      </c>
      <c r="D604" s="386" t="inlineStr">
        <is>
          <t>Cho vay giao dịch ký quỹ &gt;&gt; Tổng số chứng khoán cho vay giao dịch ký quỹ/Tổng số chứng khoán niêm yết của một tổ chức (không được vượt quá 5%) &gt;&gt; Tháng 7</t>
        </is>
      </c>
      <c r="E604" s="386" t="inlineStr">
        <is>
          <t>Cho vay giao dịch ký quỹ &gt;&gt; Tổng số chứng khoán cho vay giao dịch ký quỹ/Tổng số chứng khoán niêm yết của một tổ chức (không được vượt quá 5%) &gt;&gt; Tháng 7</t>
        </is>
      </c>
      <c r="F604" s="386" t="inlineStr">
        <is>
          <t>Data Explorer</t>
        </is>
      </c>
      <c r="G604" s="386" t="inlineStr">
        <is>
          <t>Chỉ tiêu cơ sở</t>
        </is>
      </c>
      <c r="H604" s="386" t="inlineStr">
        <is>
          <t>TB</t>
        </is>
      </c>
      <c r="I604" s="386" t="inlineStr">
        <is>
          <t>Ngày, CTCK</t>
        </is>
      </c>
      <c r="J604" s="395" t="inlineStr">
        <is>
          <t>SCMS</t>
        </is>
      </c>
      <c r="K604" s="395" t="n"/>
      <c r="L604" s="395" t="inlineStr">
        <is>
          <t>X</t>
        </is>
      </c>
      <c r="M604" s="395" t="n"/>
      <c r="N604" s="395" t="inlineStr">
        <is>
          <t>Pending</t>
        </is>
      </c>
      <c r="O604" s="401" t="n"/>
      <c r="P604" s="395" t="n"/>
      <c r="Q604" s="395" t="n"/>
      <c r="R604" s="395" t="n"/>
      <c r="S604" s="395" t="n"/>
      <c r="T604" s="386" t="n"/>
      <c r="U604" s="386" t="n"/>
      <c r="V604" s="395" t="n"/>
      <c r="W604" s="395" t="n"/>
      <c r="X604" s="395" t="n"/>
      <c r="Y604" s="13" t="n"/>
      <c r="Z604" s="395" t="n"/>
      <c r="AA604" s="395" t="n"/>
      <c r="AB604" s="395" t="n"/>
      <c r="AC604" s="395" t="n"/>
      <c r="AD604" s="395" t="n"/>
      <c r="AE604" s="395" t="n"/>
    </row>
    <row r="605" ht="98" customHeight="1" s="380">
      <c r="A605" s="108" t="n">
        <v>48</v>
      </c>
      <c r="B605" s="386" t="n"/>
      <c r="C605" s="386" t="inlineStr">
        <is>
          <t>Báo cáo giám sát &gt;&gt; Báo cáo giám sát quy định về tài chính</t>
        </is>
      </c>
      <c r="D605" s="386" t="inlineStr">
        <is>
          <t>Cho vay giao dịch ký quỹ &gt;&gt; Tổng số chứng khoán cho vay giao dịch ký quỹ/Tổng số chứng khoán niêm yết của một tổ chức (không được vượt quá 5%) &gt;&gt; Tháng 8</t>
        </is>
      </c>
      <c r="E605" s="386" t="inlineStr">
        <is>
          <t>Cho vay giao dịch ký quỹ &gt;&gt; Tổng số chứng khoán cho vay giao dịch ký quỹ/Tổng số chứng khoán niêm yết của một tổ chức (không được vượt quá 5%) &gt;&gt; Tháng 8</t>
        </is>
      </c>
      <c r="F605" s="386" t="inlineStr">
        <is>
          <t>Data Explorer</t>
        </is>
      </c>
      <c r="G605" s="386" t="inlineStr">
        <is>
          <t>Chỉ tiêu cơ sở</t>
        </is>
      </c>
      <c r="H605" s="386" t="inlineStr">
        <is>
          <t>TB</t>
        </is>
      </c>
      <c r="I605" s="386" t="inlineStr">
        <is>
          <t>Ngày, CTCK</t>
        </is>
      </c>
      <c r="J605" s="395" t="inlineStr">
        <is>
          <t>SCMS</t>
        </is>
      </c>
      <c r="K605" s="395" t="n"/>
      <c r="L605" s="395" t="inlineStr">
        <is>
          <t>X</t>
        </is>
      </c>
      <c r="M605" s="395" t="n"/>
      <c r="N605" s="395" t="inlineStr">
        <is>
          <t>Pending</t>
        </is>
      </c>
      <c r="O605" s="401" t="n"/>
      <c r="P605" s="395" t="n"/>
      <c r="Q605" s="395" t="n"/>
      <c r="R605" s="395" t="n"/>
      <c r="S605" s="395" t="n"/>
      <c r="T605" s="386" t="n"/>
      <c r="U605" s="386" t="n"/>
      <c r="V605" s="395" t="n"/>
      <c r="W605" s="395" t="n"/>
      <c r="X605" s="395" t="n"/>
      <c r="Y605" s="13" t="n"/>
      <c r="Z605" s="395" t="n"/>
      <c r="AA605" s="395" t="n"/>
      <c r="AB605" s="395" t="n"/>
      <c r="AC605" s="395" t="n"/>
      <c r="AD605" s="395" t="n"/>
      <c r="AE605" s="395" t="n"/>
    </row>
    <row r="606" ht="98" customHeight="1" s="380">
      <c r="A606" s="108" t="n">
        <v>48</v>
      </c>
      <c r="B606" s="386" t="n"/>
      <c r="C606" s="386" t="inlineStr">
        <is>
          <t>Báo cáo giám sát &gt;&gt; Báo cáo giám sát quy định về tài chính</t>
        </is>
      </c>
      <c r="D606" s="386" t="inlineStr">
        <is>
          <t>Cho vay giao dịch ký quỹ &gt;&gt; Tổng số chứng khoán cho vay giao dịch ký quỹ/Tổng số chứng khoán niêm yết của một tổ chức (không được vượt quá 5%) &gt;&gt; Tháng 9</t>
        </is>
      </c>
      <c r="E606" s="386" t="inlineStr">
        <is>
          <t>Cho vay giao dịch ký quỹ &gt;&gt; Tổng số chứng khoán cho vay giao dịch ký quỹ/Tổng số chứng khoán niêm yết của một tổ chức (không được vượt quá 5%) &gt;&gt; Tháng 9</t>
        </is>
      </c>
      <c r="F606" s="386" t="inlineStr">
        <is>
          <t>Data Explorer</t>
        </is>
      </c>
      <c r="G606" s="386" t="inlineStr">
        <is>
          <t>Chỉ tiêu cơ sở</t>
        </is>
      </c>
      <c r="H606" s="386" t="inlineStr">
        <is>
          <t>TB</t>
        </is>
      </c>
      <c r="I606" s="386" t="inlineStr">
        <is>
          <t>Ngày, CTCK</t>
        </is>
      </c>
      <c r="J606" s="395" t="inlineStr">
        <is>
          <t>SCMS</t>
        </is>
      </c>
      <c r="K606" s="395" t="n"/>
      <c r="L606" s="395" t="inlineStr">
        <is>
          <t>X</t>
        </is>
      </c>
      <c r="M606" s="395" t="n"/>
      <c r="N606" s="395" t="inlineStr">
        <is>
          <t>Pending</t>
        </is>
      </c>
      <c r="O606" s="401" t="n"/>
      <c r="P606" s="395" t="n"/>
      <c r="Q606" s="395" t="n"/>
      <c r="R606" s="395" t="n"/>
      <c r="S606" s="395" t="n"/>
      <c r="T606" s="386" t="n"/>
      <c r="U606" s="386" t="n"/>
      <c r="V606" s="395" t="n"/>
      <c r="W606" s="395" t="n"/>
      <c r="X606" s="395" t="n"/>
      <c r="Y606" s="13" t="n"/>
      <c r="Z606" s="395" t="n"/>
      <c r="AA606" s="395" t="n"/>
      <c r="AB606" s="395" t="n"/>
      <c r="AC606" s="395" t="n"/>
      <c r="AD606" s="395" t="n"/>
      <c r="AE606" s="395" t="n"/>
    </row>
    <row r="607" ht="112" customHeight="1" s="380">
      <c r="A607" s="108" t="n">
        <v>48</v>
      </c>
      <c r="B607" s="386" t="n"/>
      <c r="C607" s="386" t="inlineStr">
        <is>
          <t>Báo cáo giám sát &gt;&gt; Báo cáo giám sát quy định về tài chính</t>
        </is>
      </c>
      <c r="D607" s="386" t="inlineStr">
        <is>
          <t>Cho vay giao dịch ký quỹ &gt;&gt; Tổng số chứng khoán cho vay giao dịch ký quỹ/Tổng số chứng khoán niêm yết của một tổ chức (không được vượt quá 5%) &gt;&gt; Tháng 10</t>
        </is>
      </c>
      <c r="E607" s="386" t="inlineStr">
        <is>
          <t>Cho vay giao dịch ký quỹ &gt;&gt; Tổng số chứng khoán cho vay giao dịch ký quỹ/Tổng số chứng khoán niêm yết của một tổ chức (không được vượt quá 5%) &gt;&gt; Tháng 10</t>
        </is>
      </c>
      <c r="F607" s="386" t="inlineStr">
        <is>
          <t>Data Explorer</t>
        </is>
      </c>
      <c r="G607" s="386" t="inlineStr">
        <is>
          <t>Chỉ tiêu cơ sở</t>
        </is>
      </c>
      <c r="H607" s="386" t="inlineStr">
        <is>
          <t>TB</t>
        </is>
      </c>
      <c r="I607" s="386" t="inlineStr">
        <is>
          <t>Ngày, CTCK</t>
        </is>
      </c>
      <c r="J607" s="395" t="inlineStr">
        <is>
          <t>SCMS</t>
        </is>
      </c>
      <c r="K607" s="395" t="n"/>
      <c r="L607" s="395" t="inlineStr">
        <is>
          <t>X</t>
        </is>
      </c>
      <c r="M607" s="395" t="n"/>
      <c r="N607" s="395" t="inlineStr">
        <is>
          <t>Pending</t>
        </is>
      </c>
      <c r="O607" s="401" t="n"/>
      <c r="P607" s="395" t="n"/>
      <c r="Q607" s="395" t="n"/>
      <c r="R607" s="395" t="n"/>
      <c r="S607" s="395" t="n"/>
      <c r="T607" s="386" t="n"/>
      <c r="U607" s="386" t="n"/>
      <c r="V607" s="395" t="n"/>
      <c r="W607" s="395" t="n"/>
      <c r="X607" s="395" t="n"/>
      <c r="Y607" s="13" t="n"/>
      <c r="Z607" s="395" t="n"/>
      <c r="AA607" s="395" t="n"/>
      <c r="AB607" s="395" t="n"/>
      <c r="AC607" s="395" t="n"/>
      <c r="AD607" s="395" t="n"/>
      <c r="AE607" s="395" t="n"/>
    </row>
    <row r="608" ht="112" customHeight="1" s="380">
      <c r="A608" s="108" t="n">
        <v>48</v>
      </c>
      <c r="B608" s="386" t="n"/>
      <c r="C608" s="386" t="inlineStr">
        <is>
          <t>Báo cáo giám sát &gt;&gt; Báo cáo giám sát quy định về tài chính</t>
        </is>
      </c>
      <c r="D608" s="386" t="inlineStr">
        <is>
          <t>Cho vay giao dịch ký quỹ &gt;&gt; Tổng số chứng khoán cho vay giao dịch ký quỹ/Tổng số chứng khoán niêm yết của một tổ chức (không được vượt quá 5%) &gt;&gt; Tháng 11</t>
        </is>
      </c>
      <c r="E608" s="386" t="inlineStr">
        <is>
          <t>Cho vay giao dịch ký quỹ &gt;&gt; Tổng số chứng khoán cho vay giao dịch ký quỹ/Tổng số chứng khoán niêm yết của một tổ chức (không được vượt quá 5%) &gt;&gt; Tháng 11</t>
        </is>
      </c>
      <c r="F608" s="386" t="inlineStr">
        <is>
          <t>Data Explorer</t>
        </is>
      </c>
      <c r="G608" s="386" t="inlineStr">
        <is>
          <t>Chỉ tiêu cơ sở</t>
        </is>
      </c>
      <c r="H608" s="386" t="inlineStr">
        <is>
          <t>TB</t>
        </is>
      </c>
      <c r="I608" s="386" t="inlineStr">
        <is>
          <t>Ngày, CTCK</t>
        </is>
      </c>
      <c r="J608" s="395" t="inlineStr">
        <is>
          <t>SCMS</t>
        </is>
      </c>
      <c r="K608" s="395" t="n"/>
      <c r="L608" s="395" t="inlineStr">
        <is>
          <t>X</t>
        </is>
      </c>
      <c r="M608" s="395" t="n"/>
      <c r="N608" s="395" t="inlineStr">
        <is>
          <t>Pending</t>
        </is>
      </c>
      <c r="O608" s="401" t="n"/>
      <c r="P608" s="395" t="n"/>
      <c r="Q608" s="395" t="n"/>
      <c r="R608" s="395" t="n"/>
      <c r="S608" s="395" t="n"/>
      <c r="T608" s="386" t="n"/>
      <c r="U608" s="386" t="n"/>
      <c r="V608" s="395" t="n"/>
      <c r="W608" s="395" t="n"/>
      <c r="X608" s="395" t="n"/>
      <c r="Y608" s="14" t="n"/>
      <c r="Z608" s="395" t="n"/>
      <c r="AA608" s="395" t="n"/>
      <c r="AB608" s="395" t="n"/>
      <c r="AC608" s="395" t="n"/>
      <c r="AD608" s="395" t="n"/>
      <c r="AE608" s="395" t="n"/>
    </row>
    <row r="609" ht="112" customHeight="1" s="380">
      <c r="A609" s="108" t="n">
        <v>48</v>
      </c>
      <c r="B609" s="386" t="n"/>
      <c r="C609" s="386" t="inlineStr">
        <is>
          <t>Báo cáo giám sát &gt;&gt; Báo cáo giám sát quy định về tài chính</t>
        </is>
      </c>
      <c r="D609" s="386" t="inlineStr">
        <is>
          <t>Cho vay giao dịch ký quỹ &gt;&gt; Tổng số chứng khoán cho vay giao dịch ký quỹ/Tổng số chứng khoán niêm yết của một tổ chức (không được vượt quá 5%) &gt;&gt; Tháng 12</t>
        </is>
      </c>
      <c r="E609" s="386" t="inlineStr">
        <is>
          <t>Cho vay giao dịch ký quỹ &gt;&gt; Tổng số chứng khoán cho vay giao dịch ký quỹ/Tổng số chứng khoán niêm yết của một tổ chức (không được vượt quá 5%) &gt;&gt; Tháng 12</t>
        </is>
      </c>
      <c r="F609" s="386" t="inlineStr">
        <is>
          <t>Data Explorer</t>
        </is>
      </c>
      <c r="G609" s="386" t="inlineStr">
        <is>
          <t>Chỉ tiêu cơ sở</t>
        </is>
      </c>
      <c r="H609" s="386" t="inlineStr">
        <is>
          <t>TB</t>
        </is>
      </c>
      <c r="I609" s="386" t="inlineStr">
        <is>
          <t>Ngày, CTCK</t>
        </is>
      </c>
      <c r="J609" s="395" t="inlineStr">
        <is>
          <t>SCMS</t>
        </is>
      </c>
      <c r="K609" s="395" t="n"/>
      <c r="L609" s="395" t="inlineStr">
        <is>
          <t>X</t>
        </is>
      </c>
      <c r="M609" s="395" t="n"/>
      <c r="N609" s="395" t="inlineStr">
        <is>
          <t>Pending</t>
        </is>
      </c>
      <c r="O609" s="401" t="n"/>
      <c r="P609" s="395" t="n"/>
      <c r="Q609" s="395" t="n"/>
      <c r="R609" s="395" t="n"/>
      <c r="S609" s="395" t="n"/>
      <c r="T609" s="386" t="n"/>
      <c r="U609" s="386" t="n"/>
      <c r="V609" s="395" t="n"/>
      <c r="W609" s="395" t="n"/>
      <c r="X609" s="395" t="n"/>
      <c r="Y609" s="13" t="n"/>
      <c r="Z609" s="395" t="n"/>
      <c r="AA609" s="395" t="n"/>
      <c r="AB609" s="395" t="n"/>
      <c r="AC609" s="395" t="n"/>
      <c r="AD609" s="395" t="n"/>
      <c r="AE609" s="395" t="n"/>
    </row>
    <row r="610" ht="70" customHeight="1" s="380">
      <c r="A610" s="108" t="n">
        <v>48</v>
      </c>
      <c r="B610" s="386" t="n"/>
      <c r="C610" s="386" t="inlineStr">
        <is>
          <t>Báo cáo giám sát &gt;&gt; Báo cáo giám sát quy định về tài chính</t>
        </is>
      </c>
      <c r="D610" s="386" t="inlineStr">
        <is>
          <t>Cho vay giao dịch ký quỹ &gt;&gt; Cho vay giao dịch ký quỹ ngoài danh sách cổ phiếu đủ tiêu chuẩn &gt;&gt; Tháng 1</t>
        </is>
      </c>
      <c r="E610" s="386" t="inlineStr">
        <is>
          <t>Cho vay giao dịch ký quỹ &gt;&gt; Cho vay giao dịch ký quỹ ngoài danh sách cổ phiếu đủ tiêu chuẩn &gt;&gt; Tháng 1</t>
        </is>
      </c>
      <c r="F610" s="386" t="inlineStr">
        <is>
          <t>Data Explorer</t>
        </is>
      </c>
      <c r="G610" s="386" t="inlineStr">
        <is>
          <t>Chỉ tiêu cơ sở</t>
        </is>
      </c>
      <c r="H610" s="386" t="inlineStr">
        <is>
          <t>TB</t>
        </is>
      </c>
      <c r="I610" s="386" t="inlineStr">
        <is>
          <t>Ngày, CTCK</t>
        </is>
      </c>
      <c r="J610" s="395" t="inlineStr">
        <is>
          <t>SCMS</t>
        </is>
      </c>
      <c r="K610" s="395" t="n"/>
      <c r="L610" s="395" t="inlineStr">
        <is>
          <t>X</t>
        </is>
      </c>
      <c r="M610" s="395" t="n"/>
      <c r="N610" s="395" t="inlineStr">
        <is>
          <t>Pending</t>
        </is>
      </c>
      <c r="O610" s="401" t="n"/>
      <c r="P610" s="395" t="n"/>
      <c r="Q610" s="395" t="n"/>
      <c r="R610" s="395" t="n"/>
      <c r="S610" s="395" t="n"/>
      <c r="T610" s="386" t="n"/>
      <c r="U610" s="386" t="n"/>
      <c r="V610" s="395" t="n"/>
      <c r="W610" s="395" t="n"/>
      <c r="X610" s="395" t="n"/>
      <c r="Y610" s="13" t="n"/>
      <c r="Z610" s="395" t="n"/>
      <c r="AA610" s="395" t="n"/>
      <c r="AB610" s="395" t="n"/>
      <c r="AC610" s="395" t="n"/>
      <c r="AD610" s="395" t="n"/>
      <c r="AE610" s="395" t="n"/>
    </row>
    <row r="611" ht="70" customHeight="1" s="380">
      <c r="A611" s="108" t="n">
        <v>48</v>
      </c>
      <c r="B611" s="386" t="n"/>
      <c r="C611" s="386" t="inlineStr">
        <is>
          <t>Báo cáo giám sát &gt;&gt; Báo cáo giám sát quy định về tài chính</t>
        </is>
      </c>
      <c r="D611" s="386" t="inlineStr">
        <is>
          <t>Cho vay giao dịch ký quỹ &gt;&gt; Cho vay giao dịch ký quỹ ngoài danh sách cổ phiếu đủ tiêu chuẩn &gt;&gt; Tháng 2</t>
        </is>
      </c>
      <c r="E611" s="386" t="inlineStr">
        <is>
          <t>Cho vay giao dịch ký quỹ &gt;&gt; Cho vay giao dịch ký quỹ ngoài danh sách cổ phiếu đủ tiêu chuẩn &gt;&gt; Tháng 2</t>
        </is>
      </c>
      <c r="F611" s="386" t="inlineStr">
        <is>
          <t>Data Explorer</t>
        </is>
      </c>
      <c r="G611" s="386" t="inlineStr">
        <is>
          <t>Chỉ tiêu cơ sở</t>
        </is>
      </c>
      <c r="H611" s="386" t="inlineStr">
        <is>
          <t>TB</t>
        </is>
      </c>
      <c r="I611" s="386" t="inlineStr">
        <is>
          <t>Ngày, CTCK</t>
        </is>
      </c>
      <c r="J611" s="395" t="inlineStr">
        <is>
          <t>SCMS</t>
        </is>
      </c>
      <c r="K611" s="395" t="n"/>
      <c r="L611" s="395" t="inlineStr">
        <is>
          <t>X</t>
        </is>
      </c>
      <c r="M611" s="395" t="n"/>
      <c r="N611" s="395" t="inlineStr">
        <is>
          <t>Pending</t>
        </is>
      </c>
      <c r="O611" s="401" t="n"/>
      <c r="P611" s="395" t="n"/>
      <c r="Q611" s="395" t="n"/>
      <c r="R611" s="395" t="n"/>
      <c r="S611" s="395" t="n"/>
      <c r="T611" s="386" t="n"/>
      <c r="U611" s="386" t="n"/>
      <c r="V611" s="395" t="n"/>
      <c r="W611" s="395" t="n"/>
      <c r="X611" s="395" t="n"/>
      <c r="Y611" s="13" t="n"/>
      <c r="Z611" s="395" t="n"/>
      <c r="AA611" s="395" t="n"/>
      <c r="AB611" s="395" t="n"/>
      <c r="AC611" s="395" t="n"/>
      <c r="AD611" s="395" t="n"/>
      <c r="AE611" s="395" t="n"/>
    </row>
    <row r="612" ht="70" customHeight="1" s="380">
      <c r="A612" s="108" t="n">
        <v>48</v>
      </c>
      <c r="B612" s="386" t="n"/>
      <c r="C612" s="386" t="inlineStr">
        <is>
          <t>Báo cáo giám sát &gt;&gt; Báo cáo giám sát quy định về tài chính</t>
        </is>
      </c>
      <c r="D612" s="386" t="inlineStr">
        <is>
          <t>Cho vay giao dịch ký quỹ &gt;&gt; Cho vay giao dịch ký quỹ ngoài danh sách cổ phiếu đủ tiêu chuẩn &gt;&gt; Tháng 3</t>
        </is>
      </c>
      <c r="E612" s="386" t="inlineStr">
        <is>
          <t>Cho vay giao dịch ký quỹ &gt;&gt; Cho vay giao dịch ký quỹ ngoài danh sách cổ phiếu đủ tiêu chuẩn &gt;&gt; Tháng 3</t>
        </is>
      </c>
      <c r="F612" s="386" t="inlineStr">
        <is>
          <t>Data Explorer</t>
        </is>
      </c>
      <c r="G612" s="386" t="inlineStr">
        <is>
          <t>Chỉ tiêu cơ sở</t>
        </is>
      </c>
      <c r="H612" s="386" t="inlineStr">
        <is>
          <t>TB</t>
        </is>
      </c>
      <c r="I612" s="386" t="inlineStr">
        <is>
          <t>Ngày, CTCK</t>
        </is>
      </c>
      <c r="J612" s="395" t="inlineStr">
        <is>
          <t>SCMS</t>
        </is>
      </c>
      <c r="K612" s="395" t="n"/>
      <c r="L612" s="395" t="inlineStr">
        <is>
          <t>X</t>
        </is>
      </c>
      <c r="M612" s="395" t="n"/>
      <c r="N612" s="395" t="inlineStr">
        <is>
          <t>Pending</t>
        </is>
      </c>
      <c r="O612" s="401" t="n"/>
      <c r="P612" s="395" t="n"/>
      <c r="Q612" s="395" t="n"/>
      <c r="R612" s="395" t="n"/>
      <c r="S612" s="395" t="n"/>
      <c r="T612" s="386" t="n"/>
      <c r="U612" s="386" t="n"/>
      <c r="V612" s="395" t="n"/>
      <c r="W612" s="395" t="n"/>
      <c r="X612" s="395" t="n"/>
      <c r="Y612" s="13" t="n"/>
      <c r="Z612" s="395" t="n"/>
      <c r="AA612" s="395" t="n"/>
      <c r="AB612" s="395" t="n"/>
      <c r="AC612" s="395" t="n"/>
      <c r="AD612" s="395" t="n"/>
      <c r="AE612" s="395" t="n"/>
    </row>
    <row r="613" ht="70" customHeight="1" s="380">
      <c r="A613" s="108" t="n">
        <v>48</v>
      </c>
      <c r="B613" s="386" t="n"/>
      <c r="C613" s="386" t="inlineStr">
        <is>
          <t>Báo cáo giám sát &gt;&gt; Báo cáo giám sát quy định về tài chính</t>
        </is>
      </c>
      <c r="D613" s="386" t="inlineStr">
        <is>
          <t>Cho vay giao dịch ký quỹ &gt;&gt; Cho vay giao dịch ký quỹ ngoài danh sách cổ phiếu đủ tiêu chuẩn &gt;&gt; Tháng 4</t>
        </is>
      </c>
      <c r="E613" s="386" t="inlineStr">
        <is>
          <t>Cho vay giao dịch ký quỹ &gt;&gt; Cho vay giao dịch ký quỹ ngoài danh sách cổ phiếu đủ tiêu chuẩn &gt;&gt; Tháng 4</t>
        </is>
      </c>
      <c r="F613" s="386" t="inlineStr">
        <is>
          <t>Data Explorer</t>
        </is>
      </c>
      <c r="G613" s="386" t="inlineStr">
        <is>
          <t>Chỉ tiêu cơ sở</t>
        </is>
      </c>
      <c r="H613" s="386" t="inlineStr">
        <is>
          <t>TB</t>
        </is>
      </c>
      <c r="I613" s="386" t="inlineStr">
        <is>
          <t>Ngày, CTCK</t>
        </is>
      </c>
      <c r="J613" s="395" t="inlineStr">
        <is>
          <t>SCMS</t>
        </is>
      </c>
      <c r="K613" s="395" t="n"/>
      <c r="L613" s="395" t="inlineStr">
        <is>
          <t>X</t>
        </is>
      </c>
      <c r="M613" s="395" t="n"/>
      <c r="N613" s="395" t="inlineStr">
        <is>
          <t>Pending</t>
        </is>
      </c>
      <c r="O613" s="401" t="n"/>
      <c r="P613" s="395" t="n"/>
      <c r="Q613" s="395" t="n"/>
      <c r="R613" s="395" t="n"/>
      <c r="S613" s="395" t="n"/>
      <c r="T613" s="386" t="n"/>
      <c r="U613" s="386" t="n"/>
      <c r="V613" s="395" t="n"/>
      <c r="W613" s="395" t="n"/>
      <c r="X613" s="395" t="n"/>
      <c r="Y613" s="14" t="n"/>
      <c r="Z613" s="395" t="n"/>
      <c r="AA613" s="395" t="n"/>
      <c r="AB613" s="395" t="n"/>
      <c r="AC613" s="395" t="n"/>
      <c r="AD613" s="395" t="n"/>
      <c r="AE613" s="395" t="n"/>
    </row>
    <row r="614" ht="70" customHeight="1" s="380">
      <c r="A614" s="108" t="n">
        <v>48</v>
      </c>
      <c r="B614" s="386" t="n"/>
      <c r="C614" s="386" t="inlineStr">
        <is>
          <t>Báo cáo giám sát &gt;&gt; Báo cáo giám sát quy định về tài chính</t>
        </is>
      </c>
      <c r="D614" s="386" t="inlineStr">
        <is>
          <t>Cho vay giao dịch ký quỹ &gt;&gt; Cho vay giao dịch ký quỹ ngoài danh sách cổ phiếu đủ tiêu chuẩn &gt;&gt; Tháng 5</t>
        </is>
      </c>
      <c r="E614" s="386" t="inlineStr">
        <is>
          <t>Cho vay giao dịch ký quỹ &gt;&gt; Cho vay giao dịch ký quỹ ngoài danh sách cổ phiếu đủ tiêu chuẩn &gt;&gt; Tháng 5</t>
        </is>
      </c>
      <c r="F614" s="386" t="inlineStr">
        <is>
          <t>Data Explorer</t>
        </is>
      </c>
      <c r="G614" s="386" t="inlineStr">
        <is>
          <t>Chỉ tiêu cơ sở</t>
        </is>
      </c>
      <c r="H614" s="386" t="inlineStr">
        <is>
          <t>TB</t>
        </is>
      </c>
      <c r="I614" s="386" t="inlineStr">
        <is>
          <t>Ngày, CTCK</t>
        </is>
      </c>
      <c r="J614" s="395" t="inlineStr">
        <is>
          <t>SCMS</t>
        </is>
      </c>
      <c r="K614" s="395" t="n"/>
      <c r="L614" s="395" t="inlineStr">
        <is>
          <t>X</t>
        </is>
      </c>
      <c r="M614" s="395" t="n"/>
      <c r="N614" s="395" t="inlineStr">
        <is>
          <t>Pending</t>
        </is>
      </c>
      <c r="O614" s="401" t="n"/>
      <c r="P614" s="395" t="n"/>
      <c r="Q614" s="395" t="n"/>
      <c r="R614" s="395" t="n"/>
      <c r="S614" s="395" t="n"/>
      <c r="T614" s="386" t="n"/>
      <c r="U614" s="386" t="n"/>
      <c r="V614" s="395" t="n"/>
      <c r="W614" s="395" t="n"/>
      <c r="X614" s="395" t="n"/>
      <c r="Y614" s="13" t="n"/>
      <c r="Z614" s="395" t="n"/>
      <c r="AA614" s="395" t="n"/>
      <c r="AB614" s="395" t="n"/>
      <c r="AC614" s="395" t="n"/>
      <c r="AD614" s="395" t="n"/>
      <c r="AE614" s="395" t="n"/>
    </row>
    <row r="615" ht="70" customHeight="1" s="380">
      <c r="A615" s="108" t="n">
        <v>48</v>
      </c>
      <c r="B615" s="386" t="n"/>
      <c r="C615" s="386" t="inlineStr">
        <is>
          <t>Báo cáo giám sát &gt;&gt; Báo cáo giám sát quy định về tài chính</t>
        </is>
      </c>
      <c r="D615" s="386" t="inlineStr">
        <is>
          <t>Cho vay giao dịch ký quỹ &gt;&gt; Cho vay giao dịch ký quỹ ngoài danh sách cổ phiếu đủ tiêu chuẩn &gt;&gt; Tháng 6</t>
        </is>
      </c>
      <c r="E615" s="386" t="inlineStr">
        <is>
          <t>Cho vay giao dịch ký quỹ &gt;&gt; Cho vay giao dịch ký quỹ ngoài danh sách cổ phiếu đủ tiêu chuẩn &gt;&gt; Tháng 6</t>
        </is>
      </c>
      <c r="F615" s="386" t="inlineStr">
        <is>
          <t>Data Explorer</t>
        </is>
      </c>
      <c r="G615" s="386" t="inlineStr">
        <is>
          <t>Chỉ tiêu cơ sở</t>
        </is>
      </c>
      <c r="H615" s="386" t="inlineStr">
        <is>
          <t>TB</t>
        </is>
      </c>
      <c r="I615" s="386" t="inlineStr">
        <is>
          <t>Ngày, CTCK</t>
        </is>
      </c>
      <c r="J615" s="395" t="inlineStr">
        <is>
          <t>SCMS</t>
        </is>
      </c>
      <c r="K615" s="395" t="n"/>
      <c r="L615" s="395" t="inlineStr">
        <is>
          <t>X</t>
        </is>
      </c>
      <c r="M615" s="395" t="n"/>
      <c r="N615" s="395" t="inlineStr">
        <is>
          <t>Pending</t>
        </is>
      </c>
      <c r="O615" s="401" t="n"/>
      <c r="P615" s="395" t="n"/>
      <c r="Q615" s="395" t="n"/>
      <c r="R615" s="395" t="n"/>
      <c r="S615" s="395" t="n"/>
      <c r="T615" s="386" t="n"/>
      <c r="U615" s="386" t="n"/>
      <c r="V615" s="395" t="n"/>
      <c r="W615" s="395" t="n"/>
      <c r="X615" s="395" t="n"/>
      <c r="Y615" s="13" t="n"/>
      <c r="Z615" s="395" t="n"/>
      <c r="AA615" s="395" t="n"/>
      <c r="AB615" s="395" t="n"/>
      <c r="AC615" s="395" t="n"/>
      <c r="AD615" s="395" t="n"/>
      <c r="AE615" s="395" t="n"/>
    </row>
    <row r="616" ht="70" customHeight="1" s="380">
      <c r="A616" s="108" t="n">
        <v>48</v>
      </c>
      <c r="B616" s="386" t="n"/>
      <c r="C616" s="386" t="inlineStr">
        <is>
          <t>Báo cáo giám sát &gt;&gt; Báo cáo giám sát quy định về tài chính</t>
        </is>
      </c>
      <c r="D616" s="386" t="inlineStr">
        <is>
          <t>Cho vay giao dịch ký quỹ &gt;&gt; Cho vay giao dịch ký quỹ ngoài danh sách cổ phiếu đủ tiêu chuẩn &gt;&gt; Tháng 7</t>
        </is>
      </c>
      <c r="E616" s="386" t="inlineStr">
        <is>
          <t>Cho vay giao dịch ký quỹ &gt;&gt; Cho vay giao dịch ký quỹ ngoài danh sách cổ phiếu đủ tiêu chuẩn &gt;&gt; Tháng 7</t>
        </is>
      </c>
      <c r="F616" s="386" t="inlineStr">
        <is>
          <t>Data Explorer</t>
        </is>
      </c>
      <c r="G616" s="386" t="inlineStr">
        <is>
          <t>Chỉ tiêu cơ sở</t>
        </is>
      </c>
      <c r="H616" s="386" t="inlineStr">
        <is>
          <t>TB</t>
        </is>
      </c>
      <c r="I616" s="386" t="inlineStr">
        <is>
          <t>Ngày, CTCK</t>
        </is>
      </c>
      <c r="J616" s="395" t="inlineStr">
        <is>
          <t>SCMS</t>
        </is>
      </c>
      <c r="K616" s="395" t="n"/>
      <c r="L616" s="395" t="inlineStr">
        <is>
          <t>X</t>
        </is>
      </c>
      <c r="M616" s="395" t="n"/>
      <c r="N616" s="395" t="inlineStr">
        <is>
          <t>Pending</t>
        </is>
      </c>
      <c r="O616" s="401" t="n"/>
      <c r="P616" s="395" t="n"/>
      <c r="Q616" s="395" t="n"/>
      <c r="R616" s="395" t="n"/>
      <c r="S616" s="395" t="n"/>
      <c r="T616" s="386" t="n"/>
      <c r="U616" s="386" t="n"/>
      <c r="V616" s="395" t="n"/>
      <c r="W616" s="395" t="n"/>
      <c r="X616" s="395" t="n"/>
      <c r="Y616" s="13" t="n"/>
      <c r="Z616" s="395" t="n"/>
      <c r="AA616" s="395" t="n"/>
      <c r="AB616" s="395" t="n"/>
      <c r="AC616" s="395" t="n"/>
      <c r="AD616" s="395" t="n"/>
      <c r="AE616" s="395" t="n"/>
    </row>
    <row r="617" ht="70" customHeight="1" s="380">
      <c r="A617" s="108" t="n">
        <v>48</v>
      </c>
      <c r="B617" s="386" t="n"/>
      <c r="C617" s="386" t="inlineStr">
        <is>
          <t>Báo cáo giám sát &gt;&gt; Báo cáo giám sát quy định về tài chính</t>
        </is>
      </c>
      <c r="D617" s="386" t="inlineStr">
        <is>
          <t>Cho vay giao dịch ký quỹ &gt;&gt; Cho vay giao dịch ký quỹ ngoài danh sách cổ phiếu đủ tiêu chuẩn &gt;&gt; Tháng 8</t>
        </is>
      </c>
      <c r="E617" s="386" t="inlineStr">
        <is>
          <t>Cho vay giao dịch ký quỹ &gt;&gt; Cho vay giao dịch ký quỹ ngoài danh sách cổ phiếu đủ tiêu chuẩn &gt;&gt; Tháng 8</t>
        </is>
      </c>
      <c r="F617" s="386" t="inlineStr">
        <is>
          <t>Data Explorer</t>
        </is>
      </c>
      <c r="G617" s="386" t="inlineStr">
        <is>
          <t>Chỉ tiêu cơ sở</t>
        </is>
      </c>
      <c r="H617" s="386" t="inlineStr">
        <is>
          <t>TB</t>
        </is>
      </c>
      <c r="I617" s="386" t="inlineStr">
        <is>
          <t>Ngày, CTCK</t>
        </is>
      </c>
      <c r="J617" s="395" t="inlineStr">
        <is>
          <t>SCMS</t>
        </is>
      </c>
      <c r="K617" s="395" t="n"/>
      <c r="L617" s="395" t="inlineStr">
        <is>
          <t>X</t>
        </is>
      </c>
      <c r="M617" s="395" t="n"/>
      <c r="N617" s="395" t="inlineStr">
        <is>
          <t>Pending</t>
        </is>
      </c>
      <c r="O617" s="401" t="n"/>
      <c r="P617" s="395" t="n"/>
      <c r="Q617" s="395" t="n"/>
      <c r="R617" s="395" t="n"/>
      <c r="S617" s="395" t="n"/>
      <c r="T617" s="386" t="n"/>
      <c r="U617" s="386" t="n"/>
      <c r="V617" s="395" t="n"/>
      <c r="W617" s="395" t="n"/>
      <c r="X617" s="395" t="n"/>
      <c r="Y617" s="14" t="n"/>
      <c r="Z617" s="395" t="n"/>
      <c r="AA617" s="395" t="n"/>
      <c r="AB617" s="395" t="n"/>
      <c r="AC617" s="395" t="n"/>
      <c r="AD617" s="395" t="n"/>
      <c r="AE617" s="395" t="n"/>
    </row>
    <row r="618" ht="70" customHeight="1" s="380">
      <c r="A618" s="108" t="n">
        <v>48</v>
      </c>
      <c r="B618" s="386" t="n"/>
      <c r="C618" s="386" t="inlineStr">
        <is>
          <t>Báo cáo giám sát &gt;&gt; Báo cáo giám sát quy định về tài chính</t>
        </is>
      </c>
      <c r="D618" s="386" t="inlineStr">
        <is>
          <t>Cho vay giao dịch ký quỹ &gt;&gt; Cho vay giao dịch ký quỹ ngoài danh sách cổ phiếu đủ tiêu chuẩn &gt;&gt; Tháng 9</t>
        </is>
      </c>
      <c r="E618" s="386" t="inlineStr">
        <is>
          <t>Cho vay giao dịch ký quỹ &gt;&gt; Cho vay giao dịch ký quỹ ngoài danh sách cổ phiếu đủ tiêu chuẩn &gt;&gt; Tháng 9</t>
        </is>
      </c>
      <c r="F618" s="386" t="inlineStr">
        <is>
          <t>Data Explorer</t>
        </is>
      </c>
      <c r="G618" s="386" t="inlineStr">
        <is>
          <t>Chỉ tiêu cơ sở</t>
        </is>
      </c>
      <c r="H618" s="386" t="inlineStr">
        <is>
          <t>TB</t>
        </is>
      </c>
      <c r="I618" s="386" t="inlineStr">
        <is>
          <t>Ngày, CTCK</t>
        </is>
      </c>
      <c r="J618" s="395" t="inlineStr">
        <is>
          <t>SCMS</t>
        </is>
      </c>
      <c r="K618" s="395" t="n"/>
      <c r="L618" s="395" t="inlineStr">
        <is>
          <t>X</t>
        </is>
      </c>
      <c r="M618" s="395" t="n"/>
      <c r="N618" s="395" t="inlineStr">
        <is>
          <t>Pending</t>
        </is>
      </c>
      <c r="O618" s="401" t="n"/>
      <c r="P618" s="395" t="n"/>
      <c r="Q618" s="395" t="n"/>
      <c r="R618" s="395" t="n"/>
      <c r="S618" s="395" t="n"/>
      <c r="T618" s="386" t="n"/>
      <c r="U618" s="386" t="n"/>
      <c r="V618" s="395" t="n"/>
      <c r="W618" s="395" t="n"/>
      <c r="X618" s="395" t="n"/>
      <c r="Y618" s="13" t="n"/>
      <c r="Z618" s="395" t="n"/>
      <c r="AA618" s="395" t="n"/>
      <c r="AB618" s="395" t="n"/>
      <c r="AC618" s="395" t="n"/>
      <c r="AD618" s="395" t="n"/>
      <c r="AE618" s="395" t="n"/>
    </row>
    <row r="619" ht="70" customHeight="1" s="380">
      <c r="A619" s="108" t="n">
        <v>48</v>
      </c>
      <c r="B619" s="386" t="n"/>
      <c r="C619" s="386" t="inlineStr">
        <is>
          <t>Báo cáo giám sát &gt;&gt; Báo cáo giám sát quy định về tài chính</t>
        </is>
      </c>
      <c r="D619" s="386" t="inlineStr">
        <is>
          <t>Cho vay giao dịch ký quỹ &gt;&gt; Cho vay giao dịch ký quỹ ngoài danh sách cổ phiếu đủ tiêu chuẩn &gt;&gt; Tháng 10</t>
        </is>
      </c>
      <c r="E619" s="386" t="inlineStr">
        <is>
          <t>Cho vay giao dịch ký quỹ &gt;&gt; Cho vay giao dịch ký quỹ ngoài danh sách cổ phiếu đủ tiêu chuẩn &gt;&gt; Tháng 10</t>
        </is>
      </c>
      <c r="F619" s="386" t="inlineStr">
        <is>
          <t>Data Explorer</t>
        </is>
      </c>
      <c r="G619" s="386" t="inlineStr">
        <is>
          <t>Chỉ tiêu cơ sở</t>
        </is>
      </c>
      <c r="H619" s="386" t="inlineStr">
        <is>
          <t>TB</t>
        </is>
      </c>
      <c r="I619" s="386" t="inlineStr">
        <is>
          <t>Ngày, CTCK</t>
        </is>
      </c>
      <c r="J619" s="395" t="inlineStr">
        <is>
          <t>SCMS</t>
        </is>
      </c>
      <c r="K619" s="395" t="n"/>
      <c r="L619" s="395" t="inlineStr">
        <is>
          <t>X</t>
        </is>
      </c>
      <c r="M619" s="395" t="n"/>
      <c r="N619" s="395" t="inlineStr">
        <is>
          <t>Pending</t>
        </is>
      </c>
      <c r="O619" s="401" t="n"/>
      <c r="P619" s="395" t="n"/>
      <c r="Q619" s="395" t="n"/>
      <c r="R619" s="395" t="n"/>
      <c r="S619" s="395" t="n"/>
      <c r="T619" s="386" t="n"/>
      <c r="U619" s="386" t="n"/>
      <c r="V619" s="395" t="n"/>
      <c r="W619" s="395" t="n"/>
      <c r="X619" s="395" t="n"/>
      <c r="Y619" s="13" t="n"/>
      <c r="Z619" s="395" t="n"/>
      <c r="AA619" s="395" t="n"/>
      <c r="AB619" s="395" t="n"/>
      <c r="AC619" s="395" t="n"/>
      <c r="AD619" s="395" t="n"/>
      <c r="AE619" s="395" t="n"/>
    </row>
    <row r="620" ht="70" customHeight="1" s="380">
      <c r="A620" s="108" t="n">
        <v>48</v>
      </c>
      <c r="B620" s="386" t="n"/>
      <c r="C620" s="386" t="inlineStr">
        <is>
          <t>Báo cáo giám sát &gt;&gt; Báo cáo giám sát quy định về tài chính</t>
        </is>
      </c>
      <c r="D620" s="386" t="inlineStr">
        <is>
          <t>Cho vay giao dịch ký quỹ &gt;&gt; Cho vay giao dịch ký quỹ ngoài danh sách cổ phiếu đủ tiêu chuẩn &gt;&gt; Tháng 11</t>
        </is>
      </c>
      <c r="E620" s="386" t="inlineStr">
        <is>
          <t>Cho vay giao dịch ký quỹ &gt;&gt; Cho vay giao dịch ký quỹ ngoài danh sách cổ phiếu đủ tiêu chuẩn &gt;&gt; Tháng 11</t>
        </is>
      </c>
      <c r="F620" s="386" t="inlineStr">
        <is>
          <t>Data Explorer</t>
        </is>
      </c>
      <c r="G620" s="386" t="inlineStr">
        <is>
          <t>Chỉ tiêu cơ sở</t>
        </is>
      </c>
      <c r="H620" s="386" t="inlineStr">
        <is>
          <t>TB</t>
        </is>
      </c>
      <c r="I620" s="386" t="inlineStr">
        <is>
          <t>Ngày, CTCK</t>
        </is>
      </c>
      <c r="J620" s="395" t="inlineStr">
        <is>
          <t>SCMS</t>
        </is>
      </c>
      <c r="K620" s="395" t="n"/>
      <c r="L620" s="395" t="inlineStr">
        <is>
          <t>X</t>
        </is>
      </c>
      <c r="M620" s="395" t="n"/>
      <c r="N620" s="395" t="inlineStr">
        <is>
          <t>Pending</t>
        </is>
      </c>
      <c r="O620" s="401" t="n"/>
      <c r="P620" s="395" t="n"/>
      <c r="Q620" s="395" t="n"/>
      <c r="R620" s="395" t="n"/>
      <c r="S620" s="395" t="n"/>
      <c r="T620" s="386" t="n"/>
      <c r="U620" s="386" t="n"/>
      <c r="V620" s="395" t="n"/>
      <c r="W620" s="395" t="n"/>
      <c r="X620" s="395" t="n"/>
      <c r="Y620" s="13" t="n"/>
      <c r="Z620" s="395" t="n"/>
      <c r="AA620" s="395" t="n"/>
      <c r="AB620" s="395" t="n"/>
      <c r="AC620" s="395" t="n"/>
      <c r="AD620" s="395" t="n"/>
      <c r="AE620" s="395" t="n"/>
    </row>
    <row r="621" ht="70" customHeight="1" s="380">
      <c r="A621" s="108" t="n">
        <v>48</v>
      </c>
      <c r="B621" s="386" t="n"/>
      <c r="C621" s="386" t="inlineStr">
        <is>
          <t>Báo cáo giám sát &gt;&gt; Báo cáo giám sát quy định về tài chính</t>
        </is>
      </c>
      <c r="D621" s="386" t="inlineStr">
        <is>
          <t>Cho vay giao dịch ký quỹ &gt;&gt; Cho vay giao dịch ký quỹ ngoài danh sách cổ phiếu đủ tiêu chuẩn &gt;&gt; Tháng 12</t>
        </is>
      </c>
      <c r="E621" s="386" t="inlineStr">
        <is>
          <t>Cho vay giao dịch ký quỹ &gt;&gt; Cho vay giao dịch ký quỹ ngoài danh sách cổ phiếu đủ tiêu chuẩn &gt;&gt; Tháng 12</t>
        </is>
      </c>
      <c r="F621" s="386" t="inlineStr">
        <is>
          <t>Data Explorer</t>
        </is>
      </c>
      <c r="G621" s="386" t="inlineStr">
        <is>
          <t>Chỉ tiêu cơ sở</t>
        </is>
      </c>
      <c r="H621" s="386" t="inlineStr">
        <is>
          <t>TB</t>
        </is>
      </c>
      <c r="I621" s="386" t="inlineStr">
        <is>
          <t>Ngày, CTCK</t>
        </is>
      </c>
      <c r="J621" s="395" t="inlineStr">
        <is>
          <t>SCMS</t>
        </is>
      </c>
      <c r="K621" s="395" t="n"/>
      <c r="L621" s="395" t="inlineStr">
        <is>
          <t>X</t>
        </is>
      </c>
      <c r="M621" s="395" t="n"/>
      <c r="N621" s="395" t="inlineStr">
        <is>
          <t>Pending</t>
        </is>
      </c>
      <c r="O621" s="401" t="n"/>
      <c r="P621" s="395" t="n"/>
      <c r="Q621" s="395" t="n"/>
      <c r="R621" s="395" t="n"/>
      <c r="S621" s="395" t="n"/>
      <c r="T621" s="386" t="n"/>
      <c r="U621" s="386" t="n"/>
      <c r="V621" s="395" t="n"/>
      <c r="W621" s="395" t="n"/>
      <c r="X621" s="395" t="n"/>
      <c r="Y621" s="13" t="n"/>
      <c r="Z621" s="395" t="n"/>
      <c r="AA621" s="395" t="n"/>
      <c r="AB621" s="395" t="n"/>
      <c r="AC621" s="395" t="n"/>
      <c r="AD621" s="395" t="n"/>
      <c r="AE621" s="395" t="n"/>
    </row>
    <row r="622" ht="168" customHeight="1" s="380">
      <c r="A622" s="108" t="n">
        <v>48</v>
      </c>
      <c r="B622" s="386" t="n"/>
      <c r="C622" s="386" t="inlineStr">
        <is>
          <t>Báo cáo giám sát &gt;&gt; Báo cáo giám sát quy định về tài chính</t>
        </is>
      </c>
      <c r="D622"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1</t>
        </is>
      </c>
      <c r="E622"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1</t>
        </is>
      </c>
      <c r="F622" s="386" t="inlineStr">
        <is>
          <t>Data Explorer</t>
        </is>
      </c>
      <c r="G622" s="386" t="inlineStr">
        <is>
          <t>Chỉ tiêu cơ sở</t>
        </is>
      </c>
      <c r="H622" s="386" t="inlineStr">
        <is>
          <t>TB</t>
        </is>
      </c>
      <c r="I622" s="386" t="inlineStr">
        <is>
          <t>Ngày, CTCK</t>
        </is>
      </c>
      <c r="J622" s="395" t="inlineStr">
        <is>
          <t>SCMS</t>
        </is>
      </c>
      <c r="K622" s="395" t="n"/>
      <c r="L622" s="395" t="inlineStr">
        <is>
          <t>X</t>
        </is>
      </c>
      <c r="M622" s="395" t="n"/>
      <c r="N622" s="395" t="inlineStr">
        <is>
          <t>Pending</t>
        </is>
      </c>
      <c r="O622" s="401" t="n"/>
      <c r="P622" s="395" t="n"/>
      <c r="Q622" s="395" t="n"/>
      <c r="R622" s="395" t="n"/>
      <c r="S622" s="395" t="n"/>
      <c r="T622" s="386" t="n"/>
      <c r="U622" s="386" t="n"/>
      <c r="V622" s="395" t="n"/>
      <c r="W622" s="395" t="n"/>
      <c r="X622" s="395" t="n"/>
      <c r="Y622" s="13" t="n"/>
      <c r="Z622" s="395" t="n"/>
      <c r="AA622" s="395" t="n"/>
      <c r="AB622" s="395" t="n"/>
      <c r="AC622" s="395" t="n"/>
      <c r="AD622" s="395" t="n"/>
      <c r="AE622" s="395" t="n"/>
    </row>
    <row r="623" ht="168" customHeight="1" s="380">
      <c r="A623" s="108" t="n">
        <v>48</v>
      </c>
      <c r="B623" s="386" t="n"/>
      <c r="C623" s="386" t="inlineStr">
        <is>
          <t>Báo cáo giám sát &gt;&gt; Báo cáo giám sát quy định về tài chính</t>
        </is>
      </c>
      <c r="D623"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2</t>
        </is>
      </c>
      <c r="E623"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2</t>
        </is>
      </c>
      <c r="F623" s="386" t="inlineStr">
        <is>
          <t>Data Explorer</t>
        </is>
      </c>
      <c r="G623" s="386" t="inlineStr">
        <is>
          <t>Chỉ tiêu cơ sở</t>
        </is>
      </c>
      <c r="H623" s="386" t="inlineStr">
        <is>
          <t>TB</t>
        </is>
      </c>
      <c r="I623" s="386" t="inlineStr">
        <is>
          <t>Ngày, CTCK</t>
        </is>
      </c>
      <c r="J623" s="395" t="inlineStr">
        <is>
          <t>SCMS</t>
        </is>
      </c>
      <c r="K623" s="395" t="n"/>
      <c r="L623" s="395" t="inlineStr">
        <is>
          <t>X</t>
        </is>
      </c>
      <c r="M623" s="395" t="n"/>
      <c r="N623" s="395" t="inlineStr">
        <is>
          <t>Pending</t>
        </is>
      </c>
      <c r="O623" s="401" t="n"/>
      <c r="P623" s="395" t="n"/>
      <c r="Q623" s="395" t="n"/>
      <c r="R623" s="395" t="n"/>
      <c r="S623" s="395" t="n"/>
      <c r="T623" s="386" t="n"/>
      <c r="U623" s="386" t="n"/>
      <c r="V623" s="395" t="n"/>
      <c r="W623" s="395" t="n"/>
      <c r="X623" s="395" t="n"/>
      <c r="Y623" s="14" t="n"/>
      <c r="Z623" s="395" t="n"/>
      <c r="AA623" s="395" t="n"/>
      <c r="AB623" s="395" t="n"/>
      <c r="AC623" s="395" t="n"/>
      <c r="AD623" s="395" t="n"/>
      <c r="AE623" s="395" t="n"/>
    </row>
    <row r="624" ht="168" customHeight="1" s="380">
      <c r="A624" s="108" t="n">
        <v>48</v>
      </c>
      <c r="B624" s="386" t="n"/>
      <c r="C624" s="386" t="inlineStr">
        <is>
          <t>Báo cáo giám sát &gt;&gt; Báo cáo giám sát quy định về tài chính</t>
        </is>
      </c>
      <c r="D624"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3</t>
        </is>
      </c>
      <c r="E624"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3</t>
        </is>
      </c>
      <c r="F624" s="386" t="inlineStr">
        <is>
          <t>Data Explorer</t>
        </is>
      </c>
      <c r="G624" s="386" t="inlineStr">
        <is>
          <t>Chỉ tiêu cơ sở</t>
        </is>
      </c>
      <c r="H624" s="386" t="inlineStr">
        <is>
          <t>TB</t>
        </is>
      </c>
      <c r="I624" s="386" t="inlineStr">
        <is>
          <t>Ngày, CTCK</t>
        </is>
      </c>
      <c r="J624" s="395" t="inlineStr">
        <is>
          <t>SCMS</t>
        </is>
      </c>
      <c r="K624" s="395" t="n"/>
      <c r="L624" s="395" t="inlineStr">
        <is>
          <t>X</t>
        </is>
      </c>
      <c r="M624" s="395" t="n"/>
      <c r="N624" s="395" t="inlineStr">
        <is>
          <t>Pending</t>
        </is>
      </c>
      <c r="O624" s="401" t="n"/>
      <c r="P624" s="395" t="n"/>
      <c r="Q624" s="395" t="n"/>
      <c r="R624" s="395" t="n"/>
      <c r="S624" s="395" t="n"/>
      <c r="T624" s="386" t="n"/>
      <c r="U624" s="386" t="n"/>
      <c r="V624" s="395" t="n"/>
      <c r="W624" s="395" t="n"/>
      <c r="X624" s="395" t="n"/>
      <c r="Y624" s="13" t="n"/>
      <c r="Z624" s="395" t="n"/>
      <c r="AA624" s="395" t="n"/>
      <c r="AB624" s="395" t="n"/>
      <c r="AC624" s="395" t="n"/>
      <c r="AD624" s="395" t="n"/>
      <c r="AE624" s="395" t="n"/>
    </row>
    <row r="625" ht="168" customHeight="1" s="380">
      <c r="A625" s="108" t="n">
        <v>48</v>
      </c>
      <c r="B625" s="386" t="n"/>
      <c r="C625" s="386" t="inlineStr">
        <is>
          <t>Báo cáo giám sát &gt;&gt; Báo cáo giám sát quy định về tài chính</t>
        </is>
      </c>
      <c r="D625"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4</t>
        </is>
      </c>
      <c r="E625"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4</t>
        </is>
      </c>
      <c r="F625" s="386" t="inlineStr">
        <is>
          <t>Data Explorer</t>
        </is>
      </c>
      <c r="G625" s="386" t="inlineStr">
        <is>
          <t>Chỉ tiêu cơ sở</t>
        </is>
      </c>
      <c r="H625" s="386" t="inlineStr">
        <is>
          <t>TB</t>
        </is>
      </c>
      <c r="I625" s="386" t="inlineStr">
        <is>
          <t>Ngày, CTCK</t>
        </is>
      </c>
      <c r="J625" s="395" t="inlineStr">
        <is>
          <t>SCMS</t>
        </is>
      </c>
      <c r="K625" s="395" t="n"/>
      <c r="L625" s="395" t="inlineStr">
        <is>
          <t>X</t>
        </is>
      </c>
      <c r="M625" s="395" t="n"/>
      <c r="N625" s="395" t="inlineStr">
        <is>
          <t>Pending</t>
        </is>
      </c>
      <c r="O625" s="401" t="n"/>
      <c r="P625" s="395" t="n"/>
      <c r="Q625" s="395" t="n"/>
      <c r="R625" s="395" t="n"/>
      <c r="S625" s="395" t="n"/>
      <c r="T625" s="386" t="n"/>
      <c r="U625" s="386" t="n"/>
      <c r="V625" s="395" t="n"/>
      <c r="W625" s="395" t="n"/>
      <c r="X625" s="395" t="n"/>
      <c r="Y625" s="13" t="n"/>
      <c r="Z625" s="395" t="n"/>
      <c r="AA625" s="395" t="n"/>
      <c r="AB625" s="395" t="n"/>
      <c r="AC625" s="395" t="n"/>
      <c r="AD625" s="395" t="n"/>
      <c r="AE625" s="395" t="n"/>
    </row>
    <row r="626" ht="168" customHeight="1" s="380">
      <c r="A626" s="108" t="n">
        <v>48</v>
      </c>
      <c r="B626" s="386" t="n"/>
      <c r="C626" s="386" t="inlineStr">
        <is>
          <t>Báo cáo giám sát &gt;&gt; Báo cáo giám sát quy định về tài chính</t>
        </is>
      </c>
      <c r="D626"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5</t>
        </is>
      </c>
      <c r="E626"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5</t>
        </is>
      </c>
      <c r="F626" s="386" t="inlineStr">
        <is>
          <t>Data Explorer</t>
        </is>
      </c>
      <c r="G626" s="386" t="inlineStr">
        <is>
          <t>Chỉ tiêu cơ sở</t>
        </is>
      </c>
      <c r="H626" s="386" t="inlineStr">
        <is>
          <t>TB</t>
        </is>
      </c>
      <c r="I626" s="386" t="inlineStr">
        <is>
          <t>Ngày, CTCK</t>
        </is>
      </c>
      <c r="J626" s="395" t="inlineStr">
        <is>
          <t>SCMS</t>
        </is>
      </c>
      <c r="K626" s="395" t="n"/>
      <c r="L626" s="395" t="inlineStr">
        <is>
          <t>X</t>
        </is>
      </c>
      <c r="M626" s="395" t="n"/>
      <c r="N626" s="395" t="inlineStr">
        <is>
          <t>Pending</t>
        </is>
      </c>
      <c r="O626" s="401" t="n"/>
      <c r="P626" s="395" t="n"/>
      <c r="Q626" s="395" t="n"/>
      <c r="R626" s="395" t="n"/>
      <c r="S626" s="395" t="n"/>
      <c r="T626" s="386" t="n"/>
      <c r="U626" s="386" t="n"/>
      <c r="V626" s="395" t="n"/>
      <c r="W626" s="395" t="n"/>
      <c r="X626" s="395" t="n"/>
      <c r="Y626" s="13" t="n"/>
      <c r="Z626" s="395" t="n"/>
      <c r="AA626" s="395" t="n"/>
      <c r="AB626" s="395" t="n"/>
      <c r="AC626" s="395" t="n"/>
      <c r="AD626" s="395" t="n"/>
      <c r="AE626" s="395" t="n"/>
    </row>
    <row r="627" ht="168" customHeight="1" s="380">
      <c r="A627" s="108" t="n">
        <v>48</v>
      </c>
      <c r="B627" s="386" t="n"/>
      <c r="C627" s="386" t="inlineStr">
        <is>
          <t>Báo cáo giám sát &gt;&gt; Báo cáo giám sát quy định về tài chính</t>
        </is>
      </c>
      <c r="D627"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6</t>
        </is>
      </c>
      <c r="E627"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6</t>
        </is>
      </c>
      <c r="F627" s="386" t="inlineStr">
        <is>
          <t>Data Explorer</t>
        </is>
      </c>
      <c r="G627" s="386" t="inlineStr">
        <is>
          <t>Chỉ tiêu cơ sở</t>
        </is>
      </c>
      <c r="H627" s="386" t="inlineStr">
        <is>
          <t>TB</t>
        </is>
      </c>
      <c r="I627" s="386" t="inlineStr">
        <is>
          <t>Ngày, CTCK</t>
        </is>
      </c>
      <c r="J627" s="395" t="inlineStr">
        <is>
          <t>SCMS</t>
        </is>
      </c>
      <c r="K627" s="395" t="n"/>
      <c r="L627" s="395" t="inlineStr">
        <is>
          <t>X</t>
        </is>
      </c>
      <c r="M627" s="395" t="n"/>
      <c r="N627" s="395" t="inlineStr">
        <is>
          <t>Pending</t>
        </is>
      </c>
      <c r="O627" s="401" t="n"/>
      <c r="P627" s="395" t="n"/>
      <c r="Q627" s="395" t="n"/>
      <c r="R627" s="395" t="n"/>
      <c r="S627" s="395" t="n"/>
      <c r="T627" s="386" t="n"/>
      <c r="U627" s="386" t="n"/>
      <c r="V627" s="395" t="n"/>
      <c r="W627" s="395" t="n"/>
      <c r="X627" s="395" t="n"/>
      <c r="Y627" s="13" t="n"/>
      <c r="Z627" s="395" t="n"/>
      <c r="AA627" s="395" t="n"/>
      <c r="AB627" s="395" t="n"/>
      <c r="AC627" s="395" t="n"/>
      <c r="AD627" s="395" t="n"/>
      <c r="AE627" s="395" t="n"/>
    </row>
    <row r="628" ht="168" customHeight="1" s="380">
      <c r="A628" s="108" t="n">
        <v>48</v>
      </c>
      <c r="B628" s="386" t="n"/>
      <c r="C628" s="386" t="inlineStr">
        <is>
          <t>Báo cáo giám sát &gt;&gt; Báo cáo giám sát quy định về tài chính</t>
        </is>
      </c>
      <c r="D628"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7</t>
        </is>
      </c>
      <c r="E628"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7</t>
        </is>
      </c>
      <c r="F628" s="386" t="inlineStr">
        <is>
          <t>Data Explorer</t>
        </is>
      </c>
      <c r="G628" s="386" t="inlineStr">
        <is>
          <t>Chỉ tiêu cơ sở</t>
        </is>
      </c>
      <c r="H628" s="386" t="inlineStr">
        <is>
          <t>TB</t>
        </is>
      </c>
      <c r="I628" s="386" t="inlineStr">
        <is>
          <t>Ngày, CTCK</t>
        </is>
      </c>
      <c r="J628" s="395" t="inlineStr">
        <is>
          <t>SCMS</t>
        </is>
      </c>
      <c r="K628" s="395" t="n"/>
      <c r="L628" s="395" t="inlineStr">
        <is>
          <t>X</t>
        </is>
      </c>
      <c r="M628" s="395" t="n"/>
      <c r="N628" s="395" t="inlineStr">
        <is>
          <t>Pending</t>
        </is>
      </c>
      <c r="O628" s="401" t="n"/>
      <c r="P628" s="395" t="n"/>
      <c r="Q628" s="395" t="n"/>
      <c r="R628" s="395" t="n"/>
      <c r="S628" s="395" t="n"/>
      <c r="T628" s="386" t="n"/>
      <c r="U628" s="386" t="n"/>
      <c r="V628" s="395" t="n"/>
      <c r="W628" s="395" t="n"/>
      <c r="X628" s="395" t="n"/>
      <c r="Y628" s="13" t="n"/>
      <c r="Z628" s="395" t="n"/>
      <c r="AA628" s="395" t="n"/>
      <c r="AB628" s="395" t="n"/>
      <c r="AC628" s="395" t="n"/>
      <c r="AD628" s="395" t="n"/>
      <c r="AE628" s="395" t="n"/>
    </row>
    <row r="629" ht="168" customHeight="1" s="380">
      <c r="A629" s="108" t="n">
        <v>48</v>
      </c>
      <c r="B629" s="386" t="n"/>
      <c r="C629" s="386" t="inlineStr">
        <is>
          <t>Báo cáo giám sát &gt;&gt; Báo cáo giám sát quy định về tài chính</t>
        </is>
      </c>
      <c r="D629"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8</t>
        </is>
      </c>
      <c r="E629"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8</t>
        </is>
      </c>
      <c r="F629" s="386" t="inlineStr">
        <is>
          <t>Data Explorer</t>
        </is>
      </c>
      <c r="G629" s="386" t="inlineStr">
        <is>
          <t>Chỉ tiêu cơ sở</t>
        </is>
      </c>
      <c r="H629" s="386" t="inlineStr">
        <is>
          <t>TB</t>
        </is>
      </c>
      <c r="I629" s="386" t="inlineStr">
        <is>
          <t>Ngày, CTCK</t>
        </is>
      </c>
      <c r="J629" s="395" t="inlineStr">
        <is>
          <t>SCMS</t>
        </is>
      </c>
      <c r="K629" s="395" t="n"/>
      <c r="L629" s="395" t="inlineStr">
        <is>
          <t>X</t>
        </is>
      </c>
      <c r="M629" s="395" t="n"/>
      <c r="N629" s="395" t="inlineStr">
        <is>
          <t>Pending</t>
        </is>
      </c>
      <c r="O629" s="401" t="n"/>
      <c r="P629" s="395" t="n"/>
      <c r="Q629" s="395" t="n"/>
      <c r="R629" s="395" t="n"/>
      <c r="S629" s="395" t="n"/>
      <c r="T629" s="386" t="n"/>
      <c r="U629" s="386" t="n"/>
      <c r="V629" s="395" t="n"/>
      <c r="W629" s="395" t="n"/>
      <c r="X629" s="395" t="n"/>
      <c r="Y629" s="38" t="n"/>
      <c r="Z629" s="395" t="n"/>
      <c r="AA629" s="395" t="n"/>
      <c r="AB629" s="395" t="n"/>
      <c r="AC629" s="395" t="n"/>
      <c r="AD629" s="395" t="n"/>
      <c r="AE629" s="395" t="n"/>
    </row>
    <row r="630" ht="168" customHeight="1" s="380">
      <c r="A630" s="108" t="n">
        <v>48</v>
      </c>
      <c r="B630" s="386" t="n"/>
      <c r="C630" s="386" t="inlineStr">
        <is>
          <t>Báo cáo giám sát &gt;&gt; Báo cáo giám sát quy định về tài chính</t>
        </is>
      </c>
      <c r="D630"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9</t>
        </is>
      </c>
      <c r="E630"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9</t>
        </is>
      </c>
      <c r="F630" s="386" t="inlineStr">
        <is>
          <t>Data Explorer</t>
        </is>
      </c>
      <c r="G630" s="386" t="inlineStr">
        <is>
          <t>Chỉ tiêu cơ sở</t>
        </is>
      </c>
      <c r="H630" s="386" t="inlineStr">
        <is>
          <t>TB</t>
        </is>
      </c>
      <c r="I630" s="386" t="inlineStr">
        <is>
          <t>Ngày, CTCK</t>
        </is>
      </c>
      <c r="J630" s="395" t="inlineStr">
        <is>
          <t>SCMS</t>
        </is>
      </c>
      <c r="K630" s="395" t="n"/>
      <c r="L630" s="395" t="inlineStr">
        <is>
          <t>X</t>
        </is>
      </c>
      <c r="M630" s="395" t="n"/>
      <c r="N630" s="395" t="inlineStr">
        <is>
          <t>Pending</t>
        </is>
      </c>
      <c r="O630" s="401" t="n"/>
      <c r="P630" s="395" t="n"/>
      <c r="Q630" s="395" t="n"/>
      <c r="R630" s="395" t="n"/>
      <c r="S630" s="395" t="n"/>
      <c r="T630" s="386" t="n"/>
      <c r="U630" s="386" t="n"/>
      <c r="V630" s="395" t="n"/>
      <c r="W630" s="395" t="n"/>
      <c r="X630" s="395" t="n"/>
      <c r="Y630" s="13" t="n"/>
      <c r="Z630" s="395" t="n"/>
      <c r="AA630" s="395" t="n"/>
      <c r="AB630" s="395" t="n"/>
      <c r="AC630" s="395" t="n"/>
      <c r="AD630" s="395" t="n"/>
      <c r="AE630" s="395" t="n"/>
    </row>
    <row r="631" ht="168" customHeight="1" s="380">
      <c r="A631" s="108" t="n">
        <v>48</v>
      </c>
      <c r="B631" s="386" t="n"/>
      <c r="C631" s="386" t="inlineStr">
        <is>
          <t>Báo cáo giám sát &gt;&gt; Báo cáo giám sát quy định về tài chính</t>
        </is>
      </c>
      <c r="D631"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10</t>
        </is>
      </c>
      <c r="E631"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10</t>
        </is>
      </c>
      <c r="F631" s="386" t="inlineStr">
        <is>
          <t>Data Explorer</t>
        </is>
      </c>
      <c r="G631" s="386" t="inlineStr">
        <is>
          <t>Chỉ tiêu cơ sở</t>
        </is>
      </c>
      <c r="H631" s="386" t="inlineStr">
        <is>
          <t>TB</t>
        </is>
      </c>
      <c r="I631" s="386" t="inlineStr">
        <is>
          <t>Ngày, CTCK</t>
        </is>
      </c>
      <c r="J631" s="395" t="inlineStr">
        <is>
          <t>SCMS</t>
        </is>
      </c>
      <c r="K631" s="395" t="n"/>
      <c r="L631" s="395" t="inlineStr">
        <is>
          <t>X</t>
        </is>
      </c>
      <c r="M631" s="395" t="n"/>
      <c r="N631" s="395" t="inlineStr">
        <is>
          <t>Pending</t>
        </is>
      </c>
      <c r="O631" s="401" t="n"/>
      <c r="P631" s="395" t="n"/>
      <c r="Q631" s="395" t="n"/>
      <c r="R631" s="395" t="n"/>
      <c r="S631" s="395" t="n"/>
      <c r="T631" s="386" t="n"/>
      <c r="U631" s="386" t="n"/>
      <c r="V631" s="395" t="n"/>
      <c r="W631" s="395" t="n"/>
      <c r="X631" s="395" t="n"/>
      <c r="Y631" s="13" t="n"/>
      <c r="Z631" s="395" t="n"/>
      <c r="AA631" s="395" t="n"/>
      <c r="AB631" s="395" t="n"/>
      <c r="AC631" s="395" t="n"/>
      <c r="AD631" s="395" t="n"/>
      <c r="AE631" s="395" t="n"/>
    </row>
    <row r="632" ht="168" customHeight="1" s="380">
      <c r="A632" s="108" t="n">
        <v>48</v>
      </c>
      <c r="B632" s="386" t="n"/>
      <c r="C632" s="386" t="inlineStr">
        <is>
          <t>Báo cáo giám sát &gt;&gt; Báo cáo giám sát quy định về tài chính</t>
        </is>
      </c>
      <c r="D632"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11</t>
        </is>
      </c>
      <c r="E632"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11</t>
        </is>
      </c>
      <c r="F632" s="386" t="inlineStr">
        <is>
          <t>Data Explorer</t>
        </is>
      </c>
      <c r="G632" s="386" t="inlineStr">
        <is>
          <t>Chỉ tiêu cơ sở</t>
        </is>
      </c>
      <c r="H632" s="386" t="inlineStr">
        <is>
          <t>TB</t>
        </is>
      </c>
      <c r="I632" s="386" t="inlineStr">
        <is>
          <t>Ngày, CTCK</t>
        </is>
      </c>
      <c r="J632" s="395" t="inlineStr">
        <is>
          <t>SCMS</t>
        </is>
      </c>
      <c r="K632" s="395" t="n"/>
      <c r="L632" s="395" t="inlineStr">
        <is>
          <t>X</t>
        </is>
      </c>
      <c r="M632" s="395" t="n"/>
      <c r="N632" s="395" t="inlineStr">
        <is>
          <t>Pending</t>
        </is>
      </c>
      <c r="O632" s="401" t="n"/>
      <c r="P632" s="395" t="n"/>
      <c r="Q632" s="395" t="n"/>
      <c r="R632" s="395" t="n"/>
      <c r="S632" s="395" t="n"/>
      <c r="T632" s="386" t="n"/>
      <c r="U632" s="386" t="n"/>
      <c r="V632" s="395" t="n"/>
      <c r="W632" s="395" t="n"/>
      <c r="X632" s="395" t="n"/>
      <c r="Y632" s="13" t="n"/>
      <c r="Z632" s="395" t="n"/>
      <c r="AA632" s="395" t="n"/>
      <c r="AB632" s="395" t="n"/>
      <c r="AC632" s="395" t="n"/>
      <c r="AD632" s="395" t="n"/>
      <c r="AE632" s="395" t="n"/>
    </row>
    <row r="633" ht="168" customHeight="1" s="380">
      <c r="A633" s="108" t="n">
        <v>48</v>
      </c>
      <c r="B633" s="386" t="n"/>
      <c r="C633" s="386" t="inlineStr">
        <is>
          <t>Báo cáo giám sát &gt;&gt; Báo cáo giám sát quy định về tài chính</t>
        </is>
      </c>
      <c r="D633"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12</t>
        </is>
      </c>
      <c r="E633" s="386" t="inlineStr">
        <is>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12</t>
        </is>
      </c>
      <c r="F633" s="386" t="inlineStr">
        <is>
          <t>Data Explorer</t>
        </is>
      </c>
      <c r="G633" s="386" t="inlineStr">
        <is>
          <t>Chỉ tiêu cơ sở</t>
        </is>
      </c>
      <c r="H633" s="386" t="inlineStr">
        <is>
          <t>TB</t>
        </is>
      </c>
      <c r="I633" s="386" t="inlineStr">
        <is>
          <t>Ngày, CTCK</t>
        </is>
      </c>
      <c r="J633" s="395" t="inlineStr">
        <is>
          <t>SCMS</t>
        </is>
      </c>
      <c r="K633" s="395" t="n"/>
      <c r="L633" s="395" t="inlineStr">
        <is>
          <t>X</t>
        </is>
      </c>
      <c r="M633" s="395" t="n"/>
      <c r="N633" s="395" t="inlineStr">
        <is>
          <t>Pending</t>
        </is>
      </c>
      <c r="O633" s="401" t="n"/>
      <c r="P633" s="395" t="n"/>
      <c r="Q633" s="395" t="n"/>
      <c r="R633" s="395" t="n"/>
      <c r="S633" s="395" t="n"/>
      <c r="T633" s="386" t="n"/>
      <c r="U633" s="386" t="n"/>
      <c r="V633" s="395" t="n"/>
      <c r="W633" s="395" t="n"/>
      <c r="X633" s="395" t="n"/>
      <c r="Y633" s="13" t="n"/>
      <c r="Z633" s="395" t="n"/>
      <c r="AA633" s="395" t="n"/>
      <c r="AB633" s="395" t="n"/>
      <c r="AC633" s="395" t="n"/>
      <c r="AD633" s="395" t="n"/>
      <c r="AE633" s="395" t="n"/>
    </row>
    <row r="634" ht="196" customHeight="1" s="380">
      <c r="A634" s="108" t="n">
        <v>48</v>
      </c>
      <c r="B634" s="386" t="n"/>
      <c r="C634" s="386" t="inlineStr">
        <is>
          <t>Báo cáo giám sát &gt;&gt; Báo cáo giám sát quy định về tài chính</t>
        </is>
      </c>
      <c r="D634"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1</t>
        </is>
      </c>
      <c r="E634"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1</t>
        </is>
      </c>
      <c r="F634" s="386" t="inlineStr">
        <is>
          <t>Data Explorer</t>
        </is>
      </c>
      <c r="G634" s="386" t="inlineStr">
        <is>
          <t>Chỉ tiêu cơ sở</t>
        </is>
      </c>
      <c r="H634" s="386" t="inlineStr">
        <is>
          <t>TB</t>
        </is>
      </c>
      <c r="I634" s="386" t="inlineStr">
        <is>
          <t>Ngày, CTCK</t>
        </is>
      </c>
      <c r="J634" s="395" t="inlineStr">
        <is>
          <t>SCMS</t>
        </is>
      </c>
      <c r="K634" s="395" t="n"/>
      <c r="L634" s="395" t="inlineStr">
        <is>
          <t>X</t>
        </is>
      </c>
      <c r="M634" s="395" t="n"/>
      <c r="N634" s="395" t="inlineStr">
        <is>
          <t>Pending</t>
        </is>
      </c>
      <c r="O634" s="401" t="n"/>
      <c r="P634" s="395" t="n"/>
      <c r="Q634" s="395" t="n"/>
      <c r="R634" s="395" t="n"/>
      <c r="S634" s="395" t="n"/>
      <c r="T634" s="386" t="n"/>
      <c r="U634" s="386" t="n"/>
      <c r="V634" s="395" t="n"/>
      <c r="W634" s="395" t="n"/>
      <c r="X634" s="395" t="n"/>
      <c r="Y634" s="13" t="n"/>
      <c r="Z634" s="395" t="n"/>
      <c r="AA634" s="395" t="n"/>
      <c r="AB634" s="395" t="n"/>
      <c r="AC634" s="395" t="n"/>
      <c r="AD634" s="395" t="n"/>
      <c r="AE634" s="395" t="n"/>
    </row>
    <row r="635" ht="196" customHeight="1" s="380">
      <c r="A635" s="108" t="n">
        <v>48</v>
      </c>
      <c r="B635" s="386" t="n"/>
      <c r="C635" s="386" t="inlineStr">
        <is>
          <t>Báo cáo giám sát &gt;&gt; Báo cáo giám sát quy định về tài chính</t>
        </is>
      </c>
      <c r="D635"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2</t>
        </is>
      </c>
      <c r="E635"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2</t>
        </is>
      </c>
      <c r="F635" s="386" t="inlineStr">
        <is>
          <t>Data Explorer</t>
        </is>
      </c>
      <c r="G635" s="386" t="inlineStr">
        <is>
          <t>Chỉ tiêu cơ sở</t>
        </is>
      </c>
      <c r="H635" s="386" t="inlineStr">
        <is>
          <t>TB</t>
        </is>
      </c>
      <c r="I635" s="386" t="inlineStr">
        <is>
          <t>Ngày, CTCK</t>
        </is>
      </c>
      <c r="J635" s="395" t="inlineStr">
        <is>
          <t>SCMS</t>
        </is>
      </c>
      <c r="K635" s="395" t="n"/>
      <c r="L635" s="395" t="inlineStr">
        <is>
          <t>X</t>
        </is>
      </c>
      <c r="M635" s="395" t="n"/>
      <c r="N635" s="395" t="inlineStr">
        <is>
          <t>Pending</t>
        </is>
      </c>
      <c r="O635" s="401" t="n"/>
      <c r="P635" s="395" t="n"/>
      <c r="Q635" s="395" t="n"/>
      <c r="R635" s="395" t="n"/>
      <c r="S635" s="395" t="n"/>
      <c r="T635" s="386" t="n"/>
      <c r="U635" s="386" t="n"/>
      <c r="V635" s="395" t="n"/>
      <c r="W635" s="395" t="n"/>
      <c r="X635" s="395" t="n"/>
      <c r="Y635" s="14" t="n"/>
      <c r="Z635" s="395" t="n"/>
      <c r="AA635" s="395" t="n"/>
      <c r="AB635" s="395" t="n"/>
      <c r="AC635" s="395" t="n"/>
      <c r="AD635" s="395" t="n"/>
      <c r="AE635" s="395" t="n"/>
    </row>
    <row r="636" ht="196" customHeight="1" s="380">
      <c r="A636" s="108" t="n">
        <v>48</v>
      </c>
      <c r="B636" s="386" t="n"/>
      <c r="C636" s="386" t="inlineStr">
        <is>
          <t>Báo cáo giám sát &gt;&gt; Báo cáo giám sát quy định về tài chính</t>
        </is>
      </c>
      <c r="D636"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3</t>
        </is>
      </c>
      <c r="E636"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3</t>
        </is>
      </c>
      <c r="F636" s="386" t="inlineStr">
        <is>
          <t>Data Explorer</t>
        </is>
      </c>
      <c r="G636" s="386" t="inlineStr">
        <is>
          <t>Chỉ tiêu cơ sở</t>
        </is>
      </c>
      <c r="H636" s="386" t="inlineStr">
        <is>
          <t>TB</t>
        </is>
      </c>
      <c r="I636" s="386" t="inlineStr">
        <is>
          <t>Ngày, CTCK</t>
        </is>
      </c>
      <c r="J636" s="395" t="inlineStr">
        <is>
          <t>SCMS</t>
        </is>
      </c>
      <c r="K636" s="395" t="n"/>
      <c r="L636" s="395" t="inlineStr">
        <is>
          <t>X</t>
        </is>
      </c>
      <c r="M636" s="395" t="n"/>
      <c r="N636" s="395" t="inlineStr">
        <is>
          <t>Pending</t>
        </is>
      </c>
      <c r="O636" s="401" t="n"/>
      <c r="P636" s="395" t="n"/>
      <c r="Q636" s="395" t="n"/>
      <c r="R636" s="395" t="n"/>
      <c r="S636" s="395" t="n"/>
      <c r="T636" s="386" t="n"/>
      <c r="U636" s="386" t="n"/>
      <c r="V636" s="395" t="n"/>
      <c r="W636" s="395" t="n"/>
      <c r="X636" s="395" t="n"/>
      <c r="Y636" s="13" t="n"/>
      <c r="Z636" s="395" t="n"/>
      <c r="AA636" s="395" t="n"/>
      <c r="AB636" s="395" t="n"/>
      <c r="AC636" s="395" t="n"/>
      <c r="AD636" s="395" t="n"/>
      <c r="AE636" s="395" t="n"/>
    </row>
    <row r="637" ht="196" customHeight="1" s="380">
      <c r="A637" s="108" t="n">
        <v>48</v>
      </c>
      <c r="B637" s="386" t="n"/>
      <c r="C637" s="386" t="inlineStr">
        <is>
          <t>Báo cáo giám sát &gt;&gt; Báo cáo giám sát quy định về tài chính</t>
        </is>
      </c>
      <c r="D637"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4</t>
        </is>
      </c>
      <c r="E637"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4</t>
        </is>
      </c>
      <c r="F637" s="386" t="inlineStr">
        <is>
          <t>Data Explorer</t>
        </is>
      </c>
      <c r="G637" s="386" t="inlineStr">
        <is>
          <t>Chỉ tiêu cơ sở</t>
        </is>
      </c>
      <c r="H637" s="386" t="inlineStr">
        <is>
          <t>TB</t>
        </is>
      </c>
      <c r="I637" s="386" t="inlineStr">
        <is>
          <t>Ngày, CTCK</t>
        </is>
      </c>
      <c r="J637" s="395" t="inlineStr">
        <is>
          <t>SCMS</t>
        </is>
      </c>
      <c r="K637" s="395" t="n"/>
      <c r="L637" s="395" t="inlineStr">
        <is>
          <t>X</t>
        </is>
      </c>
      <c r="M637" s="395" t="n"/>
      <c r="N637" s="395" t="inlineStr">
        <is>
          <t>Pending</t>
        </is>
      </c>
      <c r="O637" s="401" t="n"/>
      <c r="P637" s="395" t="n"/>
      <c r="Q637" s="395" t="n"/>
      <c r="R637" s="395" t="n"/>
      <c r="S637" s="395" t="n"/>
      <c r="T637" s="386" t="n"/>
      <c r="U637" s="386" t="n"/>
      <c r="V637" s="395" t="n"/>
      <c r="W637" s="395" t="n"/>
      <c r="X637" s="395" t="n"/>
      <c r="Y637" s="13" t="n"/>
      <c r="Z637" s="395" t="n"/>
      <c r="AA637" s="395" t="n"/>
      <c r="AB637" s="395" t="n"/>
      <c r="AC637" s="395" t="n"/>
      <c r="AD637" s="395" t="n"/>
      <c r="AE637" s="395" t="n"/>
    </row>
    <row r="638" ht="196" customHeight="1" s="380">
      <c r="A638" s="108" t="n">
        <v>48</v>
      </c>
      <c r="B638" s="386" t="n"/>
      <c r="C638" s="386" t="inlineStr">
        <is>
          <t>Báo cáo giám sát &gt;&gt; Báo cáo giám sát quy định về tài chính</t>
        </is>
      </c>
      <c r="D638"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5</t>
        </is>
      </c>
      <c r="E638"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5</t>
        </is>
      </c>
      <c r="F638" s="386" t="inlineStr">
        <is>
          <t>Data Explorer</t>
        </is>
      </c>
      <c r="G638" s="386" t="inlineStr">
        <is>
          <t>Chỉ tiêu cơ sở</t>
        </is>
      </c>
      <c r="H638" s="386" t="inlineStr">
        <is>
          <t>TB</t>
        </is>
      </c>
      <c r="I638" s="386" t="inlineStr">
        <is>
          <t>Ngày, CTCK</t>
        </is>
      </c>
      <c r="J638" s="395" t="inlineStr">
        <is>
          <t>SCMS</t>
        </is>
      </c>
      <c r="K638" s="395" t="n"/>
      <c r="L638" s="395" t="inlineStr">
        <is>
          <t>X</t>
        </is>
      </c>
      <c r="M638" s="395" t="n"/>
      <c r="N638" s="395" t="inlineStr">
        <is>
          <t>Pending</t>
        </is>
      </c>
      <c r="O638" s="401" t="n"/>
      <c r="P638" s="395" t="n"/>
      <c r="Q638" s="395" t="n"/>
      <c r="R638" s="395" t="n"/>
      <c r="S638" s="395" t="n"/>
      <c r="T638" s="386" t="n"/>
      <c r="U638" s="386" t="n"/>
      <c r="V638" s="395" t="n"/>
      <c r="W638" s="395" t="n"/>
      <c r="X638" s="395" t="n"/>
      <c r="Y638" s="13" t="n"/>
      <c r="Z638" s="395" t="n"/>
      <c r="AA638" s="395" t="n"/>
      <c r="AB638" s="395" t="n"/>
      <c r="AC638" s="395" t="n"/>
      <c r="AD638" s="395" t="n"/>
      <c r="AE638" s="395" t="n"/>
    </row>
    <row r="639" ht="196" customHeight="1" s="380">
      <c r="A639" s="108" t="n">
        <v>48</v>
      </c>
      <c r="B639" s="386" t="n"/>
      <c r="C639" s="386" t="inlineStr">
        <is>
          <t>Báo cáo giám sát &gt;&gt; Báo cáo giám sát quy định về tài chính</t>
        </is>
      </c>
      <c r="D639"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6</t>
        </is>
      </c>
      <c r="E639"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6</t>
        </is>
      </c>
      <c r="F639" s="386" t="inlineStr">
        <is>
          <t>Data Explorer</t>
        </is>
      </c>
      <c r="G639" s="386" t="inlineStr">
        <is>
          <t>Chỉ tiêu cơ sở</t>
        </is>
      </c>
      <c r="H639" s="386" t="inlineStr">
        <is>
          <t>TB</t>
        </is>
      </c>
      <c r="I639" s="386" t="inlineStr">
        <is>
          <t>Ngày, CTCK</t>
        </is>
      </c>
      <c r="J639" s="395" t="inlineStr">
        <is>
          <t>SCMS</t>
        </is>
      </c>
      <c r="K639" s="395" t="n"/>
      <c r="L639" s="395" t="inlineStr">
        <is>
          <t>X</t>
        </is>
      </c>
      <c r="M639" s="395" t="n"/>
      <c r="N639" s="395" t="inlineStr">
        <is>
          <t>Pending</t>
        </is>
      </c>
      <c r="O639" s="401" t="n"/>
      <c r="P639" s="395" t="n"/>
      <c r="Q639" s="395" t="n"/>
      <c r="R639" s="395" t="n"/>
      <c r="S639" s="395" t="n"/>
      <c r="T639" s="386" t="n"/>
      <c r="U639" s="386" t="n"/>
      <c r="V639" s="395" t="n"/>
      <c r="W639" s="395" t="n"/>
      <c r="X639" s="395" t="n"/>
      <c r="Y639" s="13" t="n"/>
      <c r="Z639" s="395" t="n"/>
      <c r="AA639" s="395" t="n"/>
      <c r="AB639" s="395" t="n"/>
      <c r="AC639" s="395" t="n"/>
      <c r="AD639" s="395" t="n"/>
      <c r="AE639" s="395" t="n"/>
    </row>
    <row r="640" ht="196" customHeight="1" s="380">
      <c r="A640" s="108" t="n">
        <v>48</v>
      </c>
      <c r="B640" s="386" t="n"/>
      <c r="C640" s="386" t="inlineStr">
        <is>
          <t>Báo cáo giám sát &gt;&gt; Báo cáo giám sát quy định về tài chính</t>
        </is>
      </c>
      <c r="D640"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7</t>
        </is>
      </c>
      <c r="E640"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7</t>
        </is>
      </c>
      <c r="F640" s="386" t="inlineStr">
        <is>
          <t>Data Explorer</t>
        </is>
      </c>
      <c r="G640" s="386" t="inlineStr">
        <is>
          <t>Chỉ tiêu cơ sở</t>
        </is>
      </c>
      <c r="H640" s="386" t="inlineStr">
        <is>
          <t>TB</t>
        </is>
      </c>
      <c r="I640" s="386" t="inlineStr">
        <is>
          <t>Ngày, CTCK</t>
        </is>
      </c>
      <c r="J640" s="395" t="inlineStr">
        <is>
          <t>SCMS</t>
        </is>
      </c>
      <c r="K640" s="395" t="n"/>
      <c r="L640" s="395" t="inlineStr">
        <is>
          <t>X</t>
        </is>
      </c>
      <c r="M640" s="395" t="n"/>
      <c r="N640" s="395" t="inlineStr">
        <is>
          <t>Pending</t>
        </is>
      </c>
      <c r="O640" s="401" t="n"/>
      <c r="P640" s="395" t="n"/>
      <c r="Q640" s="395" t="n"/>
      <c r="R640" s="395" t="n"/>
      <c r="S640" s="395" t="n"/>
      <c r="T640" s="386" t="n"/>
      <c r="U640" s="386" t="n"/>
      <c r="V640" s="395" t="n"/>
      <c r="W640" s="395" t="n"/>
      <c r="X640" s="395" t="n"/>
      <c r="Y640" s="13" t="n"/>
      <c r="Z640" s="395" t="n"/>
      <c r="AA640" s="395" t="n"/>
      <c r="AB640" s="395" t="n"/>
      <c r="AC640" s="395" t="n"/>
      <c r="AD640" s="395" t="n"/>
      <c r="AE640" s="395" t="n"/>
    </row>
    <row r="641" ht="196" customHeight="1" s="380">
      <c r="A641" s="108" t="n">
        <v>48</v>
      </c>
      <c r="B641" s="386" t="n"/>
      <c r="C641" s="386" t="inlineStr">
        <is>
          <t>Báo cáo giám sát &gt;&gt; Báo cáo giám sát quy định về tài chính</t>
        </is>
      </c>
      <c r="D641"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8</t>
        </is>
      </c>
      <c r="E641"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8</t>
        </is>
      </c>
      <c r="F641" s="386" t="inlineStr">
        <is>
          <t>Data Explorer</t>
        </is>
      </c>
      <c r="G641" s="386" t="inlineStr">
        <is>
          <t>Chỉ tiêu cơ sở</t>
        </is>
      </c>
      <c r="H641" s="386" t="inlineStr">
        <is>
          <t>TB</t>
        </is>
      </c>
      <c r="I641" s="386" t="inlineStr">
        <is>
          <t>Ngày, CTCK</t>
        </is>
      </c>
      <c r="J641" s="395" t="inlineStr">
        <is>
          <t>SCMS</t>
        </is>
      </c>
      <c r="K641" s="395" t="n"/>
      <c r="L641" s="395" t="inlineStr">
        <is>
          <t>X</t>
        </is>
      </c>
      <c r="M641" s="395" t="n"/>
      <c r="N641" s="395" t="inlineStr">
        <is>
          <t>Pending</t>
        </is>
      </c>
      <c r="O641" s="401" t="n"/>
      <c r="P641" s="395" t="n"/>
      <c r="Q641" s="395" t="n"/>
      <c r="R641" s="395" t="n"/>
      <c r="S641" s="395" t="n"/>
      <c r="T641" s="386" t="n"/>
      <c r="U641" s="386" t="n"/>
      <c r="V641" s="395" t="n"/>
      <c r="W641" s="395" t="n"/>
      <c r="X641" s="395" t="n"/>
      <c r="Y641" s="38" t="n"/>
      <c r="Z641" s="395" t="n"/>
      <c r="AA641" s="395" t="n"/>
      <c r="AB641" s="395" t="n"/>
      <c r="AC641" s="395" t="n"/>
      <c r="AD641" s="395" t="n"/>
      <c r="AE641" s="395" t="n"/>
    </row>
    <row r="642" ht="196" customHeight="1" s="380">
      <c r="A642" s="108" t="n">
        <v>48</v>
      </c>
      <c r="B642" s="386" t="n"/>
      <c r="C642" s="386" t="inlineStr">
        <is>
          <t>Báo cáo giám sát &gt;&gt; Báo cáo giám sát quy định về tài chính</t>
        </is>
      </c>
      <c r="D642"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9</t>
        </is>
      </c>
      <c r="E642"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9</t>
        </is>
      </c>
      <c r="F642" s="386" t="inlineStr">
        <is>
          <t>Data Explorer</t>
        </is>
      </c>
      <c r="G642" s="386" t="inlineStr">
        <is>
          <t>Chỉ tiêu cơ sở</t>
        </is>
      </c>
      <c r="H642" s="386" t="inlineStr">
        <is>
          <t>TB</t>
        </is>
      </c>
      <c r="I642" s="386" t="inlineStr">
        <is>
          <t>Ngày, CTCK</t>
        </is>
      </c>
      <c r="J642" s="395" t="inlineStr">
        <is>
          <t>SCMS</t>
        </is>
      </c>
      <c r="K642" s="395" t="n"/>
      <c r="L642" s="395" t="inlineStr">
        <is>
          <t>X</t>
        </is>
      </c>
      <c r="M642" s="395" t="n"/>
      <c r="N642" s="395" t="inlineStr">
        <is>
          <t>Pending</t>
        </is>
      </c>
      <c r="O642" s="401" t="n"/>
      <c r="P642" s="395" t="n"/>
      <c r="Q642" s="395" t="n"/>
      <c r="R642" s="395" t="n"/>
      <c r="S642" s="395" t="n"/>
      <c r="T642" s="386" t="n"/>
      <c r="U642" s="386" t="n"/>
      <c r="V642" s="395" t="n"/>
      <c r="W642" s="395" t="n"/>
      <c r="X642" s="395" t="n"/>
      <c r="Y642" s="13" t="n"/>
      <c r="Z642" s="395" t="n"/>
      <c r="AA642" s="395" t="n"/>
      <c r="AB642" s="395" t="n"/>
      <c r="AC642" s="395" t="n"/>
      <c r="AD642" s="395" t="n"/>
      <c r="AE642" s="395" t="n"/>
    </row>
    <row r="643" ht="196" customHeight="1" s="380">
      <c r="A643" s="108" t="n">
        <v>48</v>
      </c>
      <c r="B643" s="386" t="n"/>
      <c r="C643" s="386" t="inlineStr">
        <is>
          <t>Báo cáo giám sát &gt;&gt; Báo cáo giám sát quy định về tài chính</t>
        </is>
      </c>
      <c r="D643"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10</t>
        </is>
      </c>
      <c r="E643"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10</t>
        </is>
      </c>
      <c r="F643" s="386" t="inlineStr">
        <is>
          <t>Data Explorer</t>
        </is>
      </c>
      <c r="G643" s="386" t="inlineStr">
        <is>
          <t>Chỉ tiêu cơ sở</t>
        </is>
      </c>
      <c r="H643" s="386" t="inlineStr">
        <is>
          <t>TB</t>
        </is>
      </c>
      <c r="I643" s="386" t="inlineStr">
        <is>
          <t>Ngày, CTCK</t>
        </is>
      </c>
      <c r="J643" s="395" t="inlineStr">
        <is>
          <t>SCMS</t>
        </is>
      </c>
      <c r="K643" s="395" t="n"/>
      <c r="L643" s="395" t="inlineStr">
        <is>
          <t>X</t>
        </is>
      </c>
      <c r="M643" s="395" t="n"/>
      <c r="N643" s="395" t="inlineStr">
        <is>
          <t>Pending</t>
        </is>
      </c>
      <c r="O643" s="401" t="n"/>
      <c r="P643" s="395" t="n"/>
      <c r="Q643" s="395" t="n"/>
      <c r="R643" s="395" t="n"/>
      <c r="S643" s="395" t="n"/>
      <c r="T643" s="386" t="n"/>
      <c r="U643" s="386" t="n"/>
      <c r="V643" s="395" t="n"/>
      <c r="W643" s="395" t="n"/>
      <c r="X643" s="395" t="n"/>
      <c r="Y643" s="13" t="n"/>
      <c r="Z643" s="395" t="n"/>
      <c r="AA643" s="395" t="n"/>
      <c r="AB643" s="395" t="n"/>
      <c r="AC643" s="395" t="n"/>
      <c r="AD643" s="395" t="n"/>
      <c r="AE643" s="395" t="n"/>
    </row>
    <row r="644" ht="196" customHeight="1" s="380">
      <c r="A644" s="108" t="n">
        <v>48</v>
      </c>
      <c r="B644" s="386" t="n"/>
      <c r="C644" s="386" t="inlineStr">
        <is>
          <t>Báo cáo giám sát &gt;&gt; Báo cáo giám sát quy định về tài chính</t>
        </is>
      </c>
      <c r="D644"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11</t>
        </is>
      </c>
      <c r="E644"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11</t>
        </is>
      </c>
      <c r="F644" s="386" t="inlineStr">
        <is>
          <t>Data Explorer</t>
        </is>
      </c>
      <c r="G644" s="386" t="inlineStr">
        <is>
          <t>Chỉ tiêu cơ sở</t>
        </is>
      </c>
      <c r="H644" s="386" t="inlineStr">
        <is>
          <t>TB</t>
        </is>
      </c>
      <c r="I644" s="386" t="inlineStr">
        <is>
          <t>Ngày, CTCK</t>
        </is>
      </c>
      <c r="J644" s="395" t="inlineStr">
        <is>
          <t>SCMS</t>
        </is>
      </c>
      <c r="K644" s="395" t="n"/>
      <c r="L644" s="395" t="inlineStr">
        <is>
          <t>X</t>
        </is>
      </c>
      <c r="M644" s="395" t="n"/>
      <c r="N644" s="395" t="inlineStr">
        <is>
          <t>Pending</t>
        </is>
      </c>
      <c r="O644" s="401" t="n"/>
      <c r="P644" s="395" t="n"/>
      <c r="Q644" s="395" t="n"/>
      <c r="R644" s="395" t="n"/>
      <c r="S644" s="395" t="n"/>
      <c r="T644" s="386" t="n"/>
      <c r="U644" s="386" t="n"/>
      <c r="V644" s="395" t="n"/>
      <c r="W644" s="395" t="n"/>
      <c r="X644" s="395" t="n"/>
      <c r="Y644" s="13" t="n"/>
      <c r="Z644" s="395" t="n"/>
      <c r="AA644" s="395" t="n"/>
      <c r="AB644" s="395" t="n"/>
      <c r="AC644" s="395" t="n"/>
      <c r="AD644" s="395" t="n"/>
      <c r="AE644" s="395" t="n"/>
    </row>
    <row r="645" ht="196" customHeight="1" s="380">
      <c r="A645" s="108" t="n">
        <v>48</v>
      </c>
      <c r="B645" s="386" t="n"/>
      <c r="C645" s="386" t="inlineStr">
        <is>
          <t>Báo cáo giám sát &gt;&gt; Báo cáo giám sát quy định về tài chính</t>
        </is>
      </c>
      <c r="D645"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12</t>
        </is>
      </c>
      <c r="E645" s="386" t="inlineStr">
        <is>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12</t>
        </is>
      </c>
      <c r="F645" s="386" t="inlineStr">
        <is>
          <t>Data Explorer</t>
        </is>
      </c>
      <c r="G645" s="386" t="inlineStr">
        <is>
          <t>Chỉ tiêu cơ sở</t>
        </is>
      </c>
      <c r="H645" s="386" t="inlineStr">
        <is>
          <t>TB</t>
        </is>
      </c>
      <c r="I645" s="386" t="inlineStr">
        <is>
          <t>Ngày, CTCK</t>
        </is>
      </c>
      <c r="J645" s="395" t="inlineStr">
        <is>
          <t>SCMS</t>
        </is>
      </c>
      <c r="K645" s="395" t="n"/>
      <c r="L645" s="395" t="inlineStr">
        <is>
          <t>X</t>
        </is>
      </c>
      <c r="M645" s="395" t="n"/>
      <c r="N645" s="395" t="inlineStr">
        <is>
          <t>Pending</t>
        </is>
      </c>
      <c r="O645" s="401" t="n"/>
      <c r="P645" s="395" t="n"/>
      <c r="Q645" s="395" t="n"/>
      <c r="R645" s="395" t="n"/>
      <c r="S645" s="395" t="n"/>
      <c r="T645" s="386" t="n"/>
      <c r="U645" s="386" t="n"/>
      <c r="V645" s="395" t="n"/>
      <c r="W645" s="395" t="n"/>
      <c r="X645" s="395" t="n"/>
      <c r="Y645" s="13" t="n"/>
      <c r="Z645" s="395" t="n"/>
      <c r="AA645" s="395" t="n"/>
      <c r="AB645" s="395" t="n"/>
      <c r="AC645" s="395" t="n"/>
      <c r="AD645" s="395" t="n"/>
      <c r="AE645" s="395" t="n"/>
    </row>
    <row r="646" ht="84" customHeight="1" s="380">
      <c r="A646" s="108" t="n">
        <v>48</v>
      </c>
      <c r="B646" s="386" t="n"/>
      <c r="C646" s="386" t="inlineStr">
        <is>
          <t>Báo cáo giám sát &gt;&gt; Báo cáo giám sát quy định về tài chính</t>
        </is>
      </c>
      <c r="D646" s="386" t="inlineStr">
        <is>
          <t>Cho vay giao dịch ký quỹ &gt;&gt; Cho khách hàng vay tiền để thực hiện giao dịch ký quỹ đối với cổ phiếu của chính CTCK phát hành &gt;&gt; Tháng 1</t>
        </is>
      </c>
      <c r="E646" s="386" t="inlineStr">
        <is>
          <t>Cho vay giao dịch ký quỹ &gt;&gt; Cho khách hàng vay tiền để thực hiện giao dịch ký quỹ đối với cổ phiếu của chính CTCK phát hành &gt;&gt; Tháng 1</t>
        </is>
      </c>
      <c r="F646" s="386" t="inlineStr">
        <is>
          <t>Data Explorer</t>
        </is>
      </c>
      <c r="G646" s="386" t="inlineStr">
        <is>
          <t>Chỉ tiêu cơ sở</t>
        </is>
      </c>
      <c r="H646" s="386" t="inlineStr">
        <is>
          <t>TB</t>
        </is>
      </c>
      <c r="I646" s="386" t="inlineStr">
        <is>
          <t>Ngày, CTCK</t>
        </is>
      </c>
      <c r="J646" s="395" t="inlineStr">
        <is>
          <t>SCMS</t>
        </is>
      </c>
      <c r="K646" s="395" t="n"/>
      <c r="L646" s="395" t="inlineStr">
        <is>
          <t>X</t>
        </is>
      </c>
      <c r="M646" s="395" t="n"/>
      <c r="N646" s="395" t="inlineStr">
        <is>
          <t>Pending</t>
        </is>
      </c>
      <c r="O646" s="401" t="n"/>
      <c r="P646" s="395" t="n"/>
      <c r="Q646" s="395" t="n"/>
      <c r="R646" s="395" t="n"/>
      <c r="S646" s="395" t="n"/>
      <c r="T646" s="386" t="n"/>
      <c r="U646" s="386" t="n"/>
      <c r="V646" s="395" t="n"/>
      <c r="W646" s="395" t="n"/>
      <c r="X646" s="395" t="n"/>
      <c r="Y646" s="13" t="n"/>
      <c r="Z646" s="395" t="n"/>
      <c r="AA646" s="395" t="n"/>
      <c r="AB646" s="395" t="n"/>
      <c r="AC646" s="395" t="n"/>
      <c r="AD646" s="395" t="n"/>
      <c r="AE646" s="395" t="n"/>
    </row>
    <row r="647" ht="84" customHeight="1" s="380">
      <c r="A647" s="108" t="n">
        <v>48</v>
      </c>
      <c r="B647" s="386" t="n"/>
      <c r="C647" s="386" t="inlineStr">
        <is>
          <t>Báo cáo giám sát &gt;&gt; Báo cáo giám sát quy định về tài chính</t>
        </is>
      </c>
      <c r="D647" s="386" t="inlineStr">
        <is>
          <t>Cho vay giao dịch ký quỹ &gt;&gt; Cho khách hàng vay tiền để thực hiện giao dịch ký quỹ đối với cổ phiếu của chính CTCK phát hành &gt;&gt; Tháng 2</t>
        </is>
      </c>
      <c r="E647" s="386" t="inlineStr">
        <is>
          <t>Cho vay giao dịch ký quỹ &gt;&gt; Cho khách hàng vay tiền để thực hiện giao dịch ký quỹ đối với cổ phiếu của chính CTCK phát hành &gt;&gt; Tháng 2</t>
        </is>
      </c>
      <c r="F647" s="386" t="inlineStr">
        <is>
          <t>Data Explorer</t>
        </is>
      </c>
      <c r="G647" s="386" t="inlineStr">
        <is>
          <t>Chỉ tiêu cơ sở</t>
        </is>
      </c>
      <c r="H647" s="386" t="inlineStr">
        <is>
          <t>TB</t>
        </is>
      </c>
      <c r="I647" s="386" t="inlineStr">
        <is>
          <t>Ngày, CTCK</t>
        </is>
      </c>
      <c r="J647" s="395" t="inlineStr">
        <is>
          <t>SCMS</t>
        </is>
      </c>
      <c r="K647" s="395" t="n"/>
      <c r="L647" s="395" t="inlineStr">
        <is>
          <t>X</t>
        </is>
      </c>
      <c r="M647" s="395" t="n"/>
      <c r="N647" s="395" t="inlineStr">
        <is>
          <t>Pending</t>
        </is>
      </c>
      <c r="O647" s="401" t="n"/>
      <c r="P647" s="395" t="n"/>
      <c r="Q647" s="395" t="n"/>
      <c r="R647" s="395" t="n"/>
      <c r="S647" s="395" t="n"/>
      <c r="T647" s="386" t="n"/>
      <c r="U647" s="386" t="n"/>
      <c r="V647" s="395" t="n"/>
      <c r="W647" s="395" t="n"/>
      <c r="X647" s="395" t="n"/>
      <c r="Y647" s="38" t="n"/>
      <c r="Z647" s="395" t="n"/>
      <c r="AA647" s="395" t="n"/>
      <c r="AB647" s="395" t="n"/>
      <c r="AC647" s="395" t="n"/>
      <c r="AD647" s="395" t="n"/>
      <c r="AE647" s="395" t="n"/>
    </row>
    <row r="648" ht="84" customHeight="1" s="380">
      <c r="A648" s="108" t="n">
        <v>48</v>
      </c>
      <c r="B648" s="386" t="n"/>
      <c r="C648" s="386" t="inlineStr">
        <is>
          <t>Báo cáo giám sát &gt;&gt; Báo cáo giám sát quy định về tài chính</t>
        </is>
      </c>
      <c r="D648" s="386" t="inlineStr">
        <is>
          <t>Cho vay giao dịch ký quỹ &gt;&gt; Cho khách hàng vay tiền để thực hiện giao dịch ký quỹ đối với cổ phiếu của chính CTCK phát hành &gt;&gt; Tháng 3</t>
        </is>
      </c>
      <c r="E648" s="386" t="inlineStr">
        <is>
          <t>Cho vay giao dịch ký quỹ &gt;&gt; Cho khách hàng vay tiền để thực hiện giao dịch ký quỹ đối với cổ phiếu của chính CTCK phát hành &gt;&gt; Tháng 3</t>
        </is>
      </c>
      <c r="F648" s="386" t="inlineStr">
        <is>
          <t>Data Explorer</t>
        </is>
      </c>
      <c r="G648" s="386" t="inlineStr">
        <is>
          <t>Chỉ tiêu cơ sở</t>
        </is>
      </c>
      <c r="H648" s="386" t="inlineStr">
        <is>
          <t>TB</t>
        </is>
      </c>
      <c r="I648" s="386" t="inlineStr">
        <is>
          <t>Ngày, CTCK</t>
        </is>
      </c>
      <c r="J648" s="395" t="inlineStr">
        <is>
          <t>SCMS</t>
        </is>
      </c>
      <c r="K648" s="395" t="n"/>
      <c r="L648" s="395" t="inlineStr">
        <is>
          <t>X</t>
        </is>
      </c>
      <c r="M648" s="395" t="n"/>
      <c r="N648" s="395" t="inlineStr">
        <is>
          <t>Pending</t>
        </is>
      </c>
      <c r="O648" s="401" t="n"/>
      <c r="P648" s="395" t="n"/>
      <c r="Q648" s="395" t="n"/>
      <c r="R648" s="395" t="n"/>
      <c r="S648" s="395" t="n"/>
      <c r="T648" s="386" t="n"/>
      <c r="U648" s="386" t="n"/>
      <c r="V648" s="395" t="n"/>
      <c r="W648" s="395" t="n"/>
      <c r="X648" s="395" t="n"/>
      <c r="Y648" s="13" t="n"/>
      <c r="Z648" s="395" t="n"/>
      <c r="AA648" s="395" t="n"/>
      <c r="AB648" s="395" t="n"/>
      <c r="AC648" s="395" t="n"/>
      <c r="AD648" s="395" t="n"/>
      <c r="AE648" s="395" t="n"/>
    </row>
    <row r="649" ht="84" customHeight="1" s="380">
      <c r="A649" s="108" t="n">
        <v>48</v>
      </c>
      <c r="B649" s="386" t="n"/>
      <c r="C649" s="386" t="inlineStr">
        <is>
          <t>Báo cáo giám sát &gt;&gt; Báo cáo giám sát quy định về tài chính</t>
        </is>
      </c>
      <c r="D649" s="386" t="inlineStr">
        <is>
          <t>Cho vay giao dịch ký quỹ &gt;&gt; Cho khách hàng vay tiền để thực hiện giao dịch ký quỹ đối với cổ phiếu của chính CTCK phát hành &gt;&gt; Tháng 4</t>
        </is>
      </c>
      <c r="E649" s="386" t="inlineStr">
        <is>
          <t>Cho vay giao dịch ký quỹ &gt;&gt; Cho khách hàng vay tiền để thực hiện giao dịch ký quỹ đối với cổ phiếu của chính CTCK phát hành &gt;&gt; Tháng 4</t>
        </is>
      </c>
      <c r="F649" s="386" t="inlineStr">
        <is>
          <t>Data Explorer</t>
        </is>
      </c>
      <c r="G649" s="386" t="inlineStr">
        <is>
          <t>Chỉ tiêu cơ sở</t>
        </is>
      </c>
      <c r="H649" s="386" t="inlineStr">
        <is>
          <t>TB</t>
        </is>
      </c>
      <c r="I649" s="386" t="inlineStr">
        <is>
          <t>Ngày, CTCK</t>
        </is>
      </c>
      <c r="J649" s="395" t="inlineStr">
        <is>
          <t>SCMS</t>
        </is>
      </c>
      <c r="K649" s="395" t="n"/>
      <c r="L649" s="395" t="inlineStr">
        <is>
          <t>X</t>
        </is>
      </c>
      <c r="M649" s="395" t="n"/>
      <c r="N649" s="395" t="inlineStr">
        <is>
          <t>Pending</t>
        </is>
      </c>
      <c r="O649" s="401" t="n"/>
      <c r="P649" s="395" t="n"/>
      <c r="Q649" s="395" t="n"/>
      <c r="R649" s="395" t="n"/>
      <c r="S649" s="395" t="n"/>
      <c r="T649" s="386" t="n"/>
      <c r="U649" s="386" t="n"/>
      <c r="V649" s="395" t="n"/>
      <c r="W649" s="395" t="n"/>
      <c r="X649" s="395" t="n"/>
      <c r="Y649" s="13" t="n"/>
      <c r="Z649" s="395" t="n"/>
      <c r="AA649" s="395" t="n"/>
      <c r="AB649" s="395" t="n"/>
      <c r="AC649" s="395" t="n"/>
      <c r="AD649" s="395" t="n"/>
      <c r="AE649" s="395" t="n"/>
    </row>
    <row r="650" ht="84" customHeight="1" s="380">
      <c r="A650" s="108" t="n">
        <v>48</v>
      </c>
      <c r="B650" s="386" t="n"/>
      <c r="C650" s="386" t="inlineStr">
        <is>
          <t>Báo cáo giám sát &gt;&gt; Báo cáo giám sát quy định về tài chính</t>
        </is>
      </c>
      <c r="D650" s="386" t="inlineStr">
        <is>
          <t>Cho vay giao dịch ký quỹ &gt;&gt; Cho khách hàng vay tiền để thực hiện giao dịch ký quỹ đối với cổ phiếu của chính CTCK phát hành &gt;&gt; Tháng 5</t>
        </is>
      </c>
      <c r="E650" s="386" t="inlineStr">
        <is>
          <t>Cho vay giao dịch ký quỹ &gt;&gt; Cho khách hàng vay tiền để thực hiện giao dịch ký quỹ đối với cổ phiếu của chính CTCK phát hành &gt;&gt; Tháng 5</t>
        </is>
      </c>
      <c r="F650" s="386" t="inlineStr">
        <is>
          <t>Data Explorer</t>
        </is>
      </c>
      <c r="G650" s="386" t="inlineStr">
        <is>
          <t>Chỉ tiêu cơ sở</t>
        </is>
      </c>
      <c r="H650" s="386" t="inlineStr">
        <is>
          <t>TB</t>
        </is>
      </c>
      <c r="I650" s="386" t="inlineStr">
        <is>
          <t>Ngày, CTCK</t>
        </is>
      </c>
      <c r="J650" s="395" t="inlineStr">
        <is>
          <t>SCMS</t>
        </is>
      </c>
      <c r="K650" s="395" t="n"/>
      <c r="L650" s="395" t="inlineStr">
        <is>
          <t>X</t>
        </is>
      </c>
      <c r="M650" s="395" t="n"/>
      <c r="N650" s="395" t="inlineStr">
        <is>
          <t>Pending</t>
        </is>
      </c>
      <c r="O650" s="401" t="n"/>
      <c r="P650" s="395" t="n"/>
      <c r="Q650" s="395" t="n"/>
      <c r="R650" s="395" t="n"/>
      <c r="S650" s="395" t="n"/>
      <c r="T650" s="386" t="n"/>
      <c r="U650" s="386" t="n"/>
      <c r="V650" s="395" t="n"/>
      <c r="W650" s="395" t="n"/>
      <c r="X650" s="395" t="n"/>
      <c r="Y650" s="13" t="n"/>
      <c r="Z650" s="395" t="n"/>
      <c r="AA650" s="395" t="n"/>
      <c r="AB650" s="395" t="n"/>
      <c r="AC650" s="395" t="n"/>
      <c r="AD650" s="395" t="n"/>
      <c r="AE650" s="395" t="n"/>
    </row>
    <row r="651" ht="84" customHeight="1" s="380">
      <c r="A651" s="108" t="n">
        <v>48</v>
      </c>
      <c r="B651" s="386" t="n"/>
      <c r="C651" s="386" t="inlineStr">
        <is>
          <t>Báo cáo giám sát &gt;&gt; Báo cáo giám sát quy định về tài chính</t>
        </is>
      </c>
      <c r="D651" s="386" t="inlineStr">
        <is>
          <t>Cho vay giao dịch ký quỹ &gt;&gt; Cho khách hàng vay tiền để thực hiện giao dịch ký quỹ đối với cổ phiếu của chính CTCK phát hành &gt;&gt; Tháng 6</t>
        </is>
      </c>
      <c r="E651" s="386" t="inlineStr">
        <is>
          <t>Cho vay giao dịch ký quỹ &gt;&gt; Cho khách hàng vay tiền để thực hiện giao dịch ký quỹ đối với cổ phiếu của chính CTCK phát hành &gt;&gt; Tháng 6</t>
        </is>
      </c>
      <c r="F651" s="386" t="inlineStr">
        <is>
          <t>Data Explorer</t>
        </is>
      </c>
      <c r="G651" s="386" t="inlineStr">
        <is>
          <t>Chỉ tiêu cơ sở</t>
        </is>
      </c>
      <c r="H651" s="386" t="inlineStr">
        <is>
          <t>TB</t>
        </is>
      </c>
      <c r="I651" s="386" t="inlineStr">
        <is>
          <t>Ngày, CTCK</t>
        </is>
      </c>
      <c r="J651" s="395" t="inlineStr">
        <is>
          <t>SCMS</t>
        </is>
      </c>
      <c r="K651" s="395" t="n"/>
      <c r="L651" s="395" t="inlineStr">
        <is>
          <t>X</t>
        </is>
      </c>
      <c r="M651" s="395" t="n"/>
      <c r="N651" s="395" t="inlineStr">
        <is>
          <t>Pending</t>
        </is>
      </c>
      <c r="O651" s="401" t="n"/>
      <c r="P651" s="395" t="n"/>
      <c r="Q651" s="395" t="n"/>
      <c r="R651" s="395" t="n"/>
      <c r="S651" s="395" t="n"/>
      <c r="T651" s="386" t="n"/>
      <c r="U651" s="386" t="n"/>
      <c r="V651" s="395" t="n"/>
      <c r="W651" s="395" t="n"/>
      <c r="X651" s="395" t="n"/>
      <c r="Y651" s="13" t="n"/>
      <c r="Z651" s="395" t="n"/>
      <c r="AA651" s="395" t="n"/>
      <c r="AB651" s="395" t="n"/>
      <c r="AC651" s="395" t="n"/>
      <c r="AD651" s="395" t="n"/>
      <c r="AE651" s="395" t="n"/>
    </row>
    <row r="652" ht="84" customHeight="1" s="380">
      <c r="A652" s="108" t="n">
        <v>48</v>
      </c>
      <c r="B652" s="386" t="n"/>
      <c r="C652" s="386" t="inlineStr">
        <is>
          <t>Báo cáo giám sát &gt;&gt; Báo cáo giám sát quy định về tài chính</t>
        </is>
      </c>
      <c r="D652" s="386" t="inlineStr">
        <is>
          <t>Cho vay giao dịch ký quỹ &gt;&gt; Cho khách hàng vay tiền để thực hiện giao dịch ký quỹ đối với cổ phiếu của chính CTCK phát hành &gt;&gt; Tháng 7</t>
        </is>
      </c>
      <c r="E652" s="386" t="inlineStr">
        <is>
          <t>Cho vay giao dịch ký quỹ &gt;&gt; Cho khách hàng vay tiền để thực hiện giao dịch ký quỹ đối với cổ phiếu của chính CTCK phát hành &gt;&gt; Tháng 7</t>
        </is>
      </c>
      <c r="F652" s="386" t="inlineStr">
        <is>
          <t>Data Explorer</t>
        </is>
      </c>
      <c r="G652" s="386" t="inlineStr">
        <is>
          <t>Chỉ tiêu cơ sở</t>
        </is>
      </c>
      <c r="H652" s="386" t="inlineStr">
        <is>
          <t>TB</t>
        </is>
      </c>
      <c r="I652" s="386" t="inlineStr">
        <is>
          <t>Ngày, CTCK</t>
        </is>
      </c>
      <c r="J652" s="395" t="inlineStr">
        <is>
          <t>SCMS</t>
        </is>
      </c>
      <c r="K652" s="395" t="n"/>
      <c r="L652" s="395" t="inlineStr">
        <is>
          <t>X</t>
        </is>
      </c>
      <c r="M652" s="395" t="n"/>
      <c r="N652" s="395" t="inlineStr">
        <is>
          <t>Pending</t>
        </is>
      </c>
      <c r="O652" s="401" t="n"/>
      <c r="P652" s="395" t="n"/>
      <c r="Q652" s="395" t="n"/>
      <c r="R652" s="395" t="n"/>
      <c r="S652" s="395" t="n"/>
      <c r="T652" s="386" t="n"/>
      <c r="U652" s="386" t="n"/>
      <c r="V652" s="395" t="n"/>
      <c r="W652" s="395" t="n"/>
      <c r="X652" s="395" t="n"/>
      <c r="Y652" s="13" t="n"/>
      <c r="Z652" s="395" t="n"/>
      <c r="AA652" s="395" t="n"/>
      <c r="AB652" s="395" t="n"/>
      <c r="AC652" s="395" t="n"/>
      <c r="AD652" s="395" t="n"/>
      <c r="AE652" s="395" t="n"/>
    </row>
    <row r="653" ht="84" customHeight="1" s="380">
      <c r="A653" s="108" t="n">
        <v>48</v>
      </c>
      <c r="B653" s="386" t="n"/>
      <c r="C653" s="386" t="inlineStr">
        <is>
          <t>Báo cáo giám sát &gt;&gt; Báo cáo giám sát quy định về tài chính</t>
        </is>
      </c>
      <c r="D653" s="386" t="inlineStr">
        <is>
          <t>Cho vay giao dịch ký quỹ &gt;&gt; Cho khách hàng vay tiền để thực hiện giao dịch ký quỹ đối với cổ phiếu của chính CTCK phát hành &gt;&gt; Tháng 8</t>
        </is>
      </c>
      <c r="E653" s="386" t="inlineStr">
        <is>
          <t>Cho vay giao dịch ký quỹ &gt;&gt; Cho khách hàng vay tiền để thực hiện giao dịch ký quỹ đối với cổ phiếu của chính CTCK phát hành &gt;&gt; Tháng 8</t>
        </is>
      </c>
      <c r="F653" s="386" t="inlineStr">
        <is>
          <t>Data Explorer</t>
        </is>
      </c>
      <c r="G653" s="386" t="inlineStr">
        <is>
          <t>Chỉ tiêu cơ sở</t>
        </is>
      </c>
      <c r="H653" s="386" t="inlineStr">
        <is>
          <t>TB</t>
        </is>
      </c>
      <c r="I653" s="386" t="inlineStr">
        <is>
          <t>Ngày, CTCK</t>
        </is>
      </c>
      <c r="J653" s="395" t="inlineStr">
        <is>
          <t>SCMS</t>
        </is>
      </c>
      <c r="K653" s="395" t="n"/>
      <c r="L653" s="395" t="inlineStr">
        <is>
          <t>X</t>
        </is>
      </c>
      <c r="M653" s="395" t="n"/>
      <c r="N653" s="395" t="inlineStr">
        <is>
          <t>Pending</t>
        </is>
      </c>
      <c r="O653" s="401" t="n"/>
      <c r="P653" s="395" t="n"/>
      <c r="Q653" s="395" t="n"/>
      <c r="R653" s="395" t="n"/>
      <c r="S653" s="395" t="n"/>
      <c r="T653" s="386" t="n"/>
      <c r="U653" s="386" t="n"/>
      <c r="V653" s="395" t="n"/>
      <c r="W653" s="395" t="n"/>
      <c r="X653" s="395" t="n"/>
      <c r="Y653" s="38" t="n"/>
      <c r="Z653" s="395" t="n"/>
      <c r="AA653" s="395" t="n"/>
      <c r="AB653" s="395" t="n"/>
      <c r="AC653" s="395" t="n"/>
      <c r="AD653" s="395" t="n"/>
      <c r="AE653" s="395" t="n"/>
    </row>
    <row r="654" ht="84" customHeight="1" s="380">
      <c r="A654" s="108" t="n">
        <v>48</v>
      </c>
      <c r="B654" s="386" t="n"/>
      <c r="C654" s="386" t="inlineStr">
        <is>
          <t>Báo cáo giám sát &gt;&gt; Báo cáo giám sát quy định về tài chính</t>
        </is>
      </c>
      <c r="D654" s="386" t="inlineStr">
        <is>
          <t>Cho vay giao dịch ký quỹ &gt;&gt; Cho khách hàng vay tiền để thực hiện giao dịch ký quỹ đối với cổ phiếu của chính CTCK phát hành &gt;&gt; Tháng 9</t>
        </is>
      </c>
      <c r="E654" s="386" t="inlineStr">
        <is>
          <t>Cho vay giao dịch ký quỹ &gt;&gt; Cho khách hàng vay tiền để thực hiện giao dịch ký quỹ đối với cổ phiếu của chính CTCK phát hành &gt;&gt; Tháng 9</t>
        </is>
      </c>
      <c r="F654" s="386" t="inlineStr">
        <is>
          <t>Data Explorer</t>
        </is>
      </c>
      <c r="G654" s="386" t="inlineStr">
        <is>
          <t>Chỉ tiêu cơ sở</t>
        </is>
      </c>
      <c r="H654" s="386" t="inlineStr">
        <is>
          <t>TB</t>
        </is>
      </c>
      <c r="I654" s="386" t="inlineStr">
        <is>
          <t>Ngày, CTCK</t>
        </is>
      </c>
      <c r="J654" s="395" t="inlineStr">
        <is>
          <t>SCMS</t>
        </is>
      </c>
      <c r="K654" s="395" t="n"/>
      <c r="L654" s="395" t="inlineStr">
        <is>
          <t>X</t>
        </is>
      </c>
      <c r="M654" s="395" t="n"/>
      <c r="N654" s="395" t="inlineStr">
        <is>
          <t>Pending</t>
        </is>
      </c>
      <c r="O654" s="401" t="n"/>
      <c r="P654" s="395" t="n"/>
      <c r="Q654" s="395" t="n"/>
      <c r="R654" s="395" t="n"/>
      <c r="S654" s="395" t="n"/>
      <c r="T654" s="386" t="n"/>
      <c r="U654" s="386" t="n"/>
      <c r="V654" s="395" t="n"/>
      <c r="W654" s="395" t="n"/>
      <c r="X654" s="395" t="n"/>
      <c r="Y654" s="13" t="n"/>
      <c r="Z654" s="395" t="n"/>
      <c r="AA654" s="395" t="n"/>
      <c r="AB654" s="395" t="n"/>
      <c r="AC654" s="395" t="n"/>
      <c r="AD654" s="395" t="n"/>
      <c r="AE654" s="395" t="n"/>
    </row>
    <row r="655" ht="84" customHeight="1" s="380">
      <c r="A655" s="108" t="n">
        <v>48</v>
      </c>
      <c r="B655" s="386" t="n"/>
      <c r="C655" s="386" t="inlineStr">
        <is>
          <t>Báo cáo giám sát &gt;&gt; Báo cáo giám sát quy định về tài chính</t>
        </is>
      </c>
      <c r="D655" s="386" t="inlineStr">
        <is>
          <t>Cho vay giao dịch ký quỹ &gt;&gt; Cho khách hàng vay tiền để thực hiện giao dịch ký quỹ đối với cổ phiếu của chính CTCK phát hành &gt;&gt; Tháng 10</t>
        </is>
      </c>
      <c r="E655" s="386" t="inlineStr">
        <is>
          <t>Cho vay giao dịch ký quỹ &gt;&gt; Cho khách hàng vay tiền để thực hiện giao dịch ký quỹ đối với cổ phiếu của chính CTCK phát hành &gt;&gt; Tháng 10</t>
        </is>
      </c>
      <c r="F655" s="386" t="inlineStr">
        <is>
          <t>Data Explorer</t>
        </is>
      </c>
      <c r="G655" s="386" t="inlineStr">
        <is>
          <t>Chỉ tiêu cơ sở</t>
        </is>
      </c>
      <c r="H655" s="386" t="inlineStr">
        <is>
          <t>TB</t>
        </is>
      </c>
      <c r="I655" s="386" t="inlineStr">
        <is>
          <t>Ngày, CTCK</t>
        </is>
      </c>
      <c r="J655" s="395" t="inlineStr">
        <is>
          <t>SCMS</t>
        </is>
      </c>
      <c r="K655" s="395" t="n"/>
      <c r="L655" s="395" t="inlineStr">
        <is>
          <t>X</t>
        </is>
      </c>
      <c r="M655" s="395" t="n"/>
      <c r="N655" s="395" t="inlineStr">
        <is>
          <t>Pending</t>
        </is>
      </c>
      <c r="O655" s="401" t="n"/>
      <c r="P655" s="395" t="n"/>
      <c r="Q655" s="395" t="n"/>
      <c r="R655" s="395" t="n"/>
      <c r="S655" s="395" t="n"/>
      <c r="T655" s="386" t="n"/>
      <c r="U655" s="386" t="n"/>
      <c r="V655" s="395" t="n"/>
      <c r="W655" s="395" t="n"/>
      <c r="X655" s="395" t="n"/>
      <c r="Y655" s="13" t="n"/>
      <c r="Z655" s="395" t="n"/>
      <c r="AA655" s="395" t="n"/>
      <c r="AB655" s="395" t="n"/>
      <c r="AC655" s="395" t="n"/>
      <c r="AD655" s="395" t="n"/>
      <c r="AE655" s="395" t="n"/>
    </row>
    <row r="656" ht="84" customHeight="1" s="380">
      <c r="A656" s="108" t="n">
        <v>48</v>
      </c>
      <c r="B656" s="386" t="n"/>
      <c r="C656" s="386" t="inlineStr">
        <is>
          <t>Báo cáo giám sát &gt;&gt; Báo cáo giám sát quy định về tài chính</t>
        </is>
      </c>
      <c r="D656" s="386" t="inlineStr">
        <is>
          <t>Cho vay giao dịch ký quỹ &gt;&gt; Cho khách hàng vay tiền để thực hiện giao dịch ký quỹ đối với cổ phiếu của chính CTCK phát hành &gt;&gt; Tháng 11</t>
        </is>
      </c>
      <c r="E656" s="386" t="inlineStr">
        <is>
          <t>Cho vay giao dịch ký quỹ &gt;&gt; Cho khách hàng vay tiền để thực hiện giao dịch ký quỹ đối với cổ phiếu của chính CTCK phát hành &gt;&gt; Tháng 11</t>
        </is>
      </c>
      <c r="F656" s="386" t="inlineStr">
        <is>
          <t>Data Explorer</t>
        </is>
      </c>
      <c r="G656" s="386" t="inlineStr">
        <is>
          <t>Chỉ tiêu cơ sở</t>
        </is>
      </c>
      <c r="H656" s="386" t="inlineStr">
        <is>
          <t>TB</t>
        </is>
      </c>
      <c r="I656" s="386" t="inlineStr">
        <is>
          <t>Ngày, CTCK</t>
        </is>
      </c>
      <c r="J656" s="395" t="inlineStr">
        <is>
          <t>SCMS</t>
        </is>
      </c>
      <c r="K656" s="395" t="n"/>
      <c r="L656" s="395" t="inlineStr">
        <is>
          <t>X</t>
        </is>
      </c>
      <c r="M656" s="395" t="n"/>
      <c r="N656" s="395" t="inlineStr">
        <is>
          <t>Pending</t>
        </is>
      </c>
      <c r="O656" s="401" t="n"/>
      <c r="P656" s="395" t="n"/>
      <c r="Q656" s="395" t="n"/>
      <c r="R656" s="395" t="n"/>
      <c r="S656" s="395" t="n"/>
      <c r="T656" s="386" t="n"/>
      <c r="U656" s="386" t="n"/>
      <c r="V656" s="395" t="n"/>
      <c r="W656" s="395" t="n"/>
      <c r="X656" s="395" t="n"/>
      <c r="Y656" s="13" t="n"/>
      <c r="Z656" s="395" t="n"/>
      <c r="AA656" s="395" t="n"/>
      <c r="AB656" s="395" t="n"/>
      <c r="AC656" s="395" t="n"/>
      <c r="AD656" s="395" t="n"/>
      <c r="AE656" s="395" t="n"/>
    </row>
    <row r="657" ht="84" customHeight="1" s="380">
      <c r="A657" s="108" t="n">
        <v>48</v>
      </c>
      <c r="B657" s="386" t="n"/>
      <c r="C657" s="386" t="inlineStr">
        <is>
          <t>Báo cáo giám sát &gt;&gt; Báo cáo giám sát quy định về tài chính</t>
        </is>
      </c>
      <c r="D657" s="386" t="inlineStr">
        <is>
          <t>Cho vay giao dịch ký quỹ &gt;&gt; Cho khách hàng vay tiền để thực hiện giao dịch ký quỹ đối với cổ phiếu của chính CTCK phát hành &gt;&gt; Tháng 12</t>
        </is>
      </c>
      <c r="E657" s="386" t="inlineStr">
        <is>
          <t>Cho vay giao dịch ký quỹ &gt;&gt; Cho khách hàng vay tiền để thực hiện giao dịch ký quỹ đối với cổ phiếu của chính CTCK phát hành &gt;&gt; Tháng 12</t>
        </is>
      </c>
      <c r="F657" s="386" t="inlineStr">
        <is>
          <t>Data Explorer</t>
        </is>
      </c>
      <c r="G657" s="386" t="inlineStr">
        <is>
          <t>Chỉ tiêu cơ sở</t>
        </is>
      </c>
      <c r="H657" s="386" t="inlineStr">
        <is>
          <t>TB</t>
        </is>
      </c>
      <c r="I657" s="386" t="inlineStr">
        <is>
          <t>Ngày, CTCK</t>
        </is>
      </c>
      <c r="J657" s="395" t="inlineStr">
        <is>
          <t>SCMS</t>
        </is>
      </c>
      <c r="K657" s="395" t="n"/>
      <c r="L657" s="395" t="inlineStr">
        <is>
          <t>X</t>
        </is>
      </c>
      <c r="M657" s="395" t="n"/>
      <c r="N657" s="395" t="inlineStr">
        <is>
          <t>Pending</t>
        </is>
      </c>
      <c r="O657" s="401" t="n"/>
      <c r="P657" s="395" t="n"/>
      <c r="Q657" s="395" t="n"/>
      <c r="R657" s="395" t="n"/>
      <c r="S657" s="395" t="n"/>
      <c r="T657" s="386" t="n"/>
      <c r="U657" s="386" t="n"/>
      <c r="V657" s="395" t="n"/>
      <c r="W657" s="395" t="n"/>
      <c r="X657" s="395" t="n"/>
      <c r="Y657" s="13" t="n"/>
      <c r="Z657" s="395" t="n"/>
      <c r="AA657" s="395" t="n"/>
      <c r="AB657" s="395" t="n"/>
      <c r="AC657" s="395" t="n"/>
      <c r="AD657" s="395" t="n"/>
      <c r="AE657" s="395" t="n"/>
    </row>
    <row r="658" ht="84" customHeight="1" s="380">
      <c r="A658" s="108" t="n">
        <v>48</v>
      </c>
      <c r="B658" s="386" t="n"/>
      <c r="C658" s="386" t="inlineStr">
        <is>
          <t>Báo cáo giám sát &gt;&gt; Báo cáo giám sát quy định về tài chính</t>
        </is>
      </c>
      <c r="D658" s="386" t="inlineStr">
        <is>
          <t>Hạn chế đầu tư &gt;&gt; Tổng giá trị đầu tư vào các trái phiếu doanh nhiệp của CTCK không được  vượt quá 70% vốn chủ sở hữu &gt;&gt; Quý I</t>
        </is>
      </c>
      <c r="E658" s="386" t="inlineStr">
        <is>
          <t>Hạn chế đầu tư &gt;&gt; Tổng giá trị đầu tư vào các trái phiếu doanh nhiệp của CTCK không được  vượt quá 70% vốn chủ sở hữu &gt;&gt; Quý I</t>
        </is>
      </c>
      <c r="F658" s="386" t="inlineStr">
        <is>
          <t>Data Explorer</t>
        </is>
      </c>
      <c r="G658" s="386" t="inlineStr">
        <is>
          <t>Chỉ tiêu cơ sở</t>
        </is>
      </c>
      <c r="H658" s="386" t="inlineStr">
        <is>
          <t>TB</t>
        </is>
      </c>
      <c r="I658" s="386" t="inlineStr">
        <is>
          <t>Ngày, CTCK</t>
        </is>
      </c>
      <c r="J658" s="395" t="inlineStr">
        <is>
          <t>SCMS</t>
        </is>
      </c>
      <c r="K658" s="395" t="n"/>
      <c r="L658" s="395" t="inlineStr">
        <is>
          <t>X</t>
        </is>
      </c>
      <c r="M658" s="395" t="n"/>
      <c r="N658" s="395" t="inlineStr">
        <is>
          <t>Pending</t>
        </is>
      </c>
      <c r="O658" s="401" t="n"/>
      <c r="P658" s="395" t="n"/>
      <c r="Q658" s="395" t="n"/>
      <c r="R658" s="395" t="n"/>
      <c r="S658" s="395" t="n"/>
      <c r="T658" s="386" t="n"/>
      <c r="U658" s="386" t="n"/>
      <c r="V658" s="395" t="n"/>
      <c r="W658" s="395" t="n"/>
      <c r="X658" s="395" t="n"/>
      <c r="Y658" s="13" t="n"/>
      <c r="Z658" s="395" t="n"/>
      <c r="AA658" s="395" t="n"/>
      <c r="AB658" s="395" t="n"/>
      <c r="AC658" s="395" t="n"/>
      <c r="AD658" s="395" t="n"/>
      <c r="AE658" s="395" t="n"/>
    </row>
    <row r="659" ht="84" customHeight="1" s="380">
      <c r="A659" s="108" t="n">
        <v>48</v>
      </c>
      <c r="B659" s="386" t="n"/>
      <c r="C659" s="386" t="inlineStr">
        <is>
          <t>Báo cáo giám sát &gt;&gt; Báo cáo giám sát quy định về tài chính</t>
        </is>
      </c>
      <c r="D659" s="386" t="inlineStr">
        <is>
          <t>Hạn chế đầu tư &gt;&gt; Tổng giá trị đầu tư vào các trái phiếu doanh nhiệp của CTCK không được  vượt quá 70% vốn chủ sở hữu &gt;&gt; Quý II</t>
        </is>
      </c>
      <c r="E659" s="386" t="inlineStr">
        <is>
          <t>Hạn chế đầu tư &gt;&gt; Tổng giá trị đầu tư vào các trái phiếu doanh nhiệp của CTCK không được  vượt quá 70% vốn chủ sở hữu &gt;&gt; Quý II</t>
        </is>
      </c>
      <c r="F659" s="386" t="inlineStr">
        <is>
          <t>Data Explorer</t>
        </is>
      </c>
      <c r="G659" s="386" t="inlineStr">
        <is>
          <t>Chỉ tiêu cơ sở</t>
        </is>
      </c>
      <c r="H659" s="386" t="inlineStr">
        <is>
          <t>TB</t>
        </is>
      </c>
      <c r="I659" s="386" t="inlineStr">
        <is>
          <t>Ngày, CTCK</t>
        </is>
      </c>
      <c r="J659" s="395" t="inlineStr">
        <is>
          <t>SCMS</t>
        </is>
      </c>
      <c r="K659" s="395" t="n"/>
      <c r="L659" s="395" t="inlineStr">
        <is>
          <t>X</t>
        </is>
      </c>
      <c r="M659" s="395" t="n"/>
      <c r="N659" s="395" t="inlineStr">
        <is>
          <t>Pending</t>
        </is>
      </c>
      <c r="O659" s="401" t="n"/>
      <c r="P659" s="395" t="n"/>
      <c r="Q659" s="395" t="n"/>
      <c r="R659" s="395" t="n"/>
      <c r="S659" s="395" t="n"/>
      <c r="T659" s="386" t="n"/>
      <c r="U659" s="386" t="n"/>
      <c r="V659" s="395" t="n"/>
      <c r="W659" s="395" t="n"/>
      <c r="X659" s="395" t="n"/>
      <c r="Y659" s="14" t="n"/>
      <c r="Z659" s="395" t="n"/>
      <c r="AA659" s="395" t="n"/>
      <c r="AB659" s="395" t="n"/>
      <c r="AC659" s="395" t="n"/>
      <c r="AD659" s="395" t="n"/>
      <c r="AE659" s="395" t="n"/>
    </row>
    <row r="660" ht="84" customHeight="1" s="380">
      <c r="A660" s="108" t="n">
        <v>48</v>
      </c>
      <c r="B660" s="386" t="n"/>
      <c r="C660" s="386" t="inlineStr">
        <is>
          <t>Báo cáo giám sát &gt;&gt; Báo cáo giám sát quy định về tài chính</t>
        </is>
      </c>
      <c r="D660" s="386" t="inlineStr">
        <is>
          <t>Hạn chế đầu tư &gt;&gt; Tổng giá trị đầu tư vào các trái phiếu doanh nhiệp của CTCK không được  vượt quá 70% vốn chủ sở hữu &gt;&gt; Quý III</t>
        </is>
      </c>
      <c r="E660" s="386" t="inlineStr">
        <is>
          <t>Hạn chế đầu tư &gt;&gt; Tổng giá trị đầu tư vào các trái phiếu doanh nhiệp của CTCK không được  vượt quá 70% vốn chủ sở hữu &gt;&gt; Quý III</t>
        </is>
      </c>
      <c r="F660" s="386" t="inlineStr">
        <is>
          <t>Data Explorer</t>
        </is>
      </c>
      <c r="G660" s="386" t="inlineStr">
        <is>
          <t>Chỉ tiêu cơ sở</t>
        </is>
      </c>
      <c r="H660" s="386" t="inlineStr">
        <is>
          <t>TB</t>
        </is>
      </c>
      <c r="I660" s="386" t="inlineStr">
        <is>
          <t>Ngày, CTCK</t>
        </is>
      </c>
      <c r="J660" s="395" t="inlineStr">
        <is>
          <t>SCMS</t>
        </is>
      </c>
      <c r="K660" s="395" t="n"/>
      <c r="L660" s="395" t="inlineStr">
        <is>
          <t>X</t>
        </is>
      </c>
      <c r="M660" s="395" t="n"/>
      <c r="N660" s="395" t="inlineStr">
        <is>
          <t>Pending</t>
        </is>
      </c>
      <c r="O660" s="401" t="n"/>
      <c r="P660" s="395" t="n"/>
      <c r="Q660" s="395" t="n"/>
      <c r="R660" s="395" t="n"/>
      <c r="S660" s="395" t="n"/>
      <c r="T660" s="386" t="n"/>
      <c r="U660" s="386" t="n"/>
      <c r="V660" s="395" t="n"/>
      <c r="W660" s="395" t="n"/>
      <c r="X660" s="395" t="n"/>
      <c r="Y660" s="13" t="n"/>
      <c r="Z660" s="395" t="n"/>
      <c r="AA660" s="395" t="n"/>
      <c r="AB660" s="395" t="n"/>
      <c r="AC660" s="395" t="n"/>
      <c r="AD660" s="395" t="n"/>
      <c r="AE660" s="395" t="n"/>
    </row>
    <row r="661" ht="84" customHeight="1" s="380">
      <c r="A661" s="108" t="n">
        <v>48</v>
      </c>
      <c r="B661" s="386" t="n"/>
      <c r="C661" s="386" t="inlineStr">
        <is>
          <t>Báo cáo giám sát &gt;&gt; Báo cáo giám sát quy định về tài chính</t>
        </is>
      </c>
      <c r="D661" s="386" t="inlineStr">
        <is>
          <t>Hạn chế đầu tư &gt;&gt; Tổng giá trị đầu tư vào các trái phiếu doanh nhiệp của CTCK không được  vượt quá 70% vốn chủ sở hữu &gt;&gt; Quý IV</t>
        </is>
      </c>
      <c r="E661" s="386" t="inlineStr">
        <is>
          <t>Hạn chế đầu tư &gt;&gt; Tổng giá trị đầu tư vào các trái phiếu doanh nhiệp của CTCK không được  vượt quá 70% vốn chủ sở hữu &gt;&gt; Quý IV</t>
        </is>
      </c>
      <c r="F661" s="386" t="inlineStr">
        <is>
          <t>Data Explorer</t>
        </is>
      </c>
      <c r="G661" s="386" t="inlineStr">
        <is>
          <t>Chỉ tiêu cơ sở</t>
        </is>
      </c>
      <c r="H661" s="386" t="inlineStr">
        <is>
          <t>TB</t>
        </is>
      </c>
      <c r="I661" s="386" t="inlineStr">
        <is>
          <t>Ngày, CTCK</t>
        </is>
      </c>
      <c r="J661" s="395" t="inlineStr">
        <is>
          <t>SCMS</t>
        </is>
      </c>
      <c r="K661" s="395" t="n"/>
      <c r="L661" s="395" t="inlineStr">
        <is>
          <t>X</t>
        </is>
      </c>
      <c r="M661" s="395" t="n"/>
      <c r="N661" s="395" t="inlineStr">
        <is>
          <t>Pending</t>
        </is>
      </c>
      <c r="O661" s="401" t="n"/>
      <c r="P661" s="395" t="n"/>
      <c r="Q661" s="395" t="n"/>
      <c r="R661" s="395" t="n"/>
      <c r="S661" s="395" t="n"/>
      <c r="T661" s="386" t="n"/>
      <c r="U661" s="386" t="n"/>
      <c r="V661" s="395" t="n"/>
      <c r="W661" s="395" t="n"/>
      <c r="X661" s="395" t="n"/>
      <c r="Y661" s="13" t="n"/>
      <c r="Z661" s="395" t="n"/>
      <c r="AA661" s="395" t="n"/>
      <c r="AB661" s="395" t="n"/>
      <c r="AC661" s="395" t="n"/>
      <c r="AD661" s="395" t="n"/>
      <c r="AE661" s="395" t="n"/>
    </row>
    <row r="662" ht="84" customHeight="1" s="380">
      <c r="A662" s="108" t="n">
        <v>48</v>
      </c>
      <c r="B662" s="386" t="n"/>
      <c r="C662" s="386" t="inlineStr">
        <is>
          <t>Báo cáo giám sát &gt;&gt; Báo cáo giám sát quy định về tài chính</t>
        </is>
      </c>
      <c r="D662" s="386" t="inlineStr">
        <is>
          <t>Hạn chế đầu tư &gt;&gt; Tổng giá trị đầu tư vào các trái phiếu doanh nhiệp của CTCK không được  vượt quá 70% vốn chủ sở hữu &gt;&gt; Năm</t>
        </is>
      </c>
      <c r="E662" s="386" t="inlineStr">
        <is>
          <t>Hạn chế đầu tư &gt;&gt; Tổng giá trị đầu tư vào các trái phiếu doanh nhiệp của CTCK không được  vượt quá 70% vốn chủ sở hữu &gt;&gt; Năm</t>
        </is>
      </c>
      <c r="F662" s="386" t="inlineStr">
        <is>
          <t>Data Explorer</t>
        </is>
      </c>
      <c r="G662" s="386" t="inlineStr">
        <is>
          <t>Chỉ tiêu cơ sở</t>
        </is>
      </c>
      <c r="H662" s="386" t="inlineStr">
        <is>
          <t>TB</t>
        </is>
      </c>
      <c r="I662" s="386" t="inlineStr">
        <is>
          <t>Ngày, CTCK</t>
        </is>
      </c>
      <c r="J662" s="395" t="inlineStr">
        <is>
          <t>SCMS</t>
        </is>
      </c>
      <c r="K662" s="395" t="n"/>
      <c r="L662" s="395" t="inlineStr">
        <is>
          <t>X</t>
        </is>
      </c>
      <c r="M662" s="395" t="n"/>
      <c r="N662" s="395" t="inlineStr">
        <is>
          <t>Pending</t>
        </is>
      </c>
      <c r="O662" s="401" t="n"/>
      <c r="P662" s="395" t="n"/>
      <c r="Q662" s="395" t="n"/>
      <c r="R662" s="395" t="n"/>
      <c r="S662" s="395" t="n"/>
      <c r="T662" s="386" t="n"/>
      <c r="U662" s="386" t="n"/>
      <c r="V662" s="395" t="n"/>
      <c r="W662" s="395" t="n"/>
      <c r="X662" s="395" t="n"/>
      <c r="Y662" s="13" t="n"/>
      <c r="Z662" s="395" t="n"/>
      <c r="AA662" s="395" t="n"/>
      <c r="AB662" s="395" t="n"/>
      <c r="AC662" s="395" t="n"/>
      <c r="AD662" s="395" t="n"/>
      <c r="AE662" s="395" t="n"/>
    </row>
    <row r="663" ht="140" customHeight="1" s="380">
      <c r="A663" s="108" t="n">
        <v>48</v>
      </c>
      <c r="B663" s="386" t="n"/>
      <c r="C663" s="386" t="inlineStr">
        <is>
          <t>Báo cáo giám sát &gt;&gt; Báo cáo giám sát quy định về tài chính</t>
        </is>
      </c>
      <c r="D663"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1</t>
        </is>
      </c>
      <c r="E663"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1</t>
        </is>
      </c>
      <c r="F663" s="386" t="inlineStr">
        <is>
          <t>Data Explorer</t>
        </is>
      </c>
      <c r="G663" s="386" t="inlineStr">
        <is>
          <t>Chỉ tiêu cơ sở</t>
        </is>
      </c>
      <c r="H663" s="386" t="inlineStr">
        <is>
          <t>TB</t>
        </is>
      </c>
      <c r="I663" s="386" t="inlineStr">
        <is>
          <t>Ngày, CTCK</t>
        </is>
      </c>
      <c r="J663" s="395" t="inlineStr">
        <is>
          <t>SCMS</t>
        </is>
      </c>
      <c r="K663" s="395" t="n"/>
      <c r="L663" s="395" t="inlineStr">
        <is>
          <t>X</t>
        </is>
      </c>
      <c r="M663" s="395" t="n"/>
      <c r="N663" s="395" t="inlineStr">
        <is>
          <t>Pending</t>
        </is>
      </c>
      <c r="O663" s="401" t="n"/>
      <c r="P663" s="395" t="n"/>
      <c r="Q663" s="395" t="n"/>
      <c r="R663" s="395" t="n"/>
      <c r="S663" s="395" t="n"/>
      <c r="T663" s="386" t="n"/>
      <c r="U663" s="386" t="n"/>
      <c r="V663" s="395" t="n"/>
      <c r="W663" s="395" t="n"/>
      <c r="X663" s="395" t="n"/>
      <c r="Y663" s="13" t="n"/>
      <c r="Z663" s="395" t="n"/>
      <c r="AA663" s="395" t="n"/>
      <c r="AB663" s="395" t="n"/>
      <c r="AC663" s="395" t="n"/>
      <c r="AD663" s="395" t="n"/>
      <c r="AE663" s="395" t="n"/>
    </row>
    <row r="664" ht="140" customHeight="1" s="380">
      <c r="A664" s="108" t="n">
        <v>48</v>
      </c>
      <c r="B664" s="386" t="n"/>
      <c r="C664" s="386" t="inlineStr">
        <is>
          <t>Báo cáo giám sát &gt;&gt; Báo cáo giám sát quy định về tài chính</t>
        </is>
      </c>
      <c r="D664"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2</t>
        </is>
      </c>
      <c r="E664"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2</t>
        </is>
      </c>
      <c r="F664" s="386" t="inlineStr">
        <is>
          <t>Data Explorer</t>
        </is>
      </c>
      <c r="G664" s="386" t="inlineStr">
        <is>
          <t>Chỉ tiêu cơ sở</t>
        </is>
      </c>
      <c r="H664" s="386" t="inlineStr">
        <is>
          <t>TB</t>
        </is>
      </c>
      <c r="I664" s="386" t="inlineStr">
        <is>
          <t>Ngày, CTCK</t>
        </is>
      </c>
      <c r="J664" s="395" t="inlineStr">
        <is>
          <t>SCMS</t>
        </is>
      </c>
      <c r="K664" s="395" t="n"/>
      <c r="L664" s="395" t="inlineStr">
        <is>
          <t>X</t>
        </is>
      </c>
      <c r="M664" s="395" t="n"/>
      <c r="N664" s="395" t="inlineStr">
        <is>
          <t>Pending</t>
        </is>
      </c>
      <c r="O664" s="401" t="n"/>
      <c r="P664" s="395" t="n"/>
      <c r="Q664" s="395" t="n"/>
      <c r="R664" s="395" t="n"/>
      <c r="S664" s="395" t="n"/>
      <c r="T664" s="386" t="n"/>
      <c r="U664" s="386" t="n"/>
      <c r="V664" s="395" t="n"/>
      <c r="W664" s="395" t="n"/>
      <c r="X664" s="395" t="n"/>
      <c r="Y664" s="13" t="n"/>
      <c r="Z664" s="395" t="n"/>
      <c r="AA664" s="395" t="n"/>
      <c r="AB664" s="395" t="n"/>
      <c r="AC664" s="395" t="n"/>
      <c r="AD664" s="395" t="n"/>
      <c r="AE664" s="395" t="n"/>
    </row>
    <row r="665" ht="140" customHeight="1" s="380">
      <c r="A665" s="108" t="n">
        <v>48</v>
      </c>
      <c r="B665" s="386" t="n"/>
      <c r="C665" s="386" t="inlineStr">
        <is>
          <t>Báo cáo giám sát &gt;&gt; Báo cáo giám sát quy định về tài chính</t>
        </is>
      </c>
      <c r="D665"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3</t>
        </is>
      </c>
      <c r="E665"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3</t>
        </is>
      </c>
      <c r="F665" s="386" t="inlineStr">
        <is>
          <t>Data Explorer</t>
        </is>
      </c>
      <c r="G665" s="386" t="inlineStr">
        <is>
          <t>Chỉ tiêu cơ sở</t>
        </is>
      </c>
      <c r="H665" s="386" t="inlineStr">
        <is>
          <t>TB</t>
        </is>
      </c>
      <c r="I665" s="386" t="inlineStr">
        <is>
          <t>Ngày, CTCK</t>
        </is>
      </c>
      <c r="J665" s="395" t="inlineStr">
        <is>
          <t>SCMS</t>
        </is>
      </c>
      <c r="K665" s="395" t="n"/>
      <c r="L665" s="395" t="inlineStr">
        <is>
          <t>X</t>
        </is>
      </c>
      <c r="M665" s="395" t="n"/>
      <c r="N665" s="395" t="inlineStr">
        <is>
          <t>Pending</t>
        </is>
      </c>
      <c r="O665" s="401" t="n"/>
      <c r="P665" s="395" t="n"/>
      <c r="Q665" s="395" t="n"/>
      <c r="R665" s="395" t="n"/>
      <c r="S665" s="395" t="n"/>
      <c r="T665" s="386" t="n"/>
      <c r="U665" s="386" t="n"/>
      <c r="V665" s="395" t="n"/>
      <c r="W665" s="395" t="n"/>
      <c r="X665" s="395" t="n"/>
      <c r="Y665" s="38" t="n"/>
      <c r="Z665" s="395" t="n"/>
      <c r="AA665" s="395" t="n"/>
      <c r="AB665" s="395" t="n"/>
      <c r="AC665" s="395" t="n"/>
      <c r="AD665" s="395" t="n"/>
      <c r="AE665" s="395" t="n"/>
    </row>
    <row r="666" ht="140" customHeight="1" s="380">
      <c r="A666" s="108" t="n">
        <v>48</v>
      </c>
      <c r="B666" s="386" t="n"/>
      <c r="C666" s="386" t="inlineStr">
        <is>
          <t>Báo cáo giám sát &gt;&gt; Báo cáo giám sát quy định về tài chính</t>
        </is>
      </c>
      <c r="D666"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4</t>
        </is>
      </c>
      <c r="E666"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4</t>
        </is>
      </c>
      <c r="F666" s="386" t="inlineStr">
        <is>
          <t>Data Explorer</t>
        </is>
      </c>
      <c r="G666" s="386" t="inlineStr">
        <is>
          <t>Chỉ tiêu cơ sở</t>
        </is>
      </c>
      <c r="H666" s="386" t="inlineStr">
        <is>
          <t>TB</t>
        </is>
      </c>
      <c r="I666" s="386" t="inlineStr">
        <is>
          <t>Ngày, CTCK</t>
        </is>
      </c>
      <c r="J666" s="395" t="inlineStr">
        <is>
          <t>SCMS</t>
        </is>
      </c>
      <c r="K666" s="395" t="n"/>
      <c r="L666" s="395" t="inlineStr">
        <is>
          <t>X</t>
        </is>
      </c>
      <c r="M666" s="395" t="n"/>
      <c r="N666" s="395" t="inlineStr">
        <is>
          <t>Pending</t>
        </is>
      </c>
      <c r="O666" s="401" t="n"/>
      <c r="P666" s="395" t="n"/>
      <c r="Q666" s="395" t="n"/>
      <c r="R666" s="395" t="n"/>
      <c r="S666" s="395" t="n"/>
      <c r="T666" s="386" t="n"/>
      <c r="U666" s="386" t="n"/>
      <c r="V666" s="395" t="n"/>
      <c r="W666" s="395" t="n"/>
      <c r="X666" s="395" t="n"/>
      <c r="Y666" s="13" t="n"/>
      <c r="Z666" s="395" t="n"/>
      <c r="AA666" s="395" t="n"/>
      <c r="AB666" s="395" t="n"/>
      <c r="AC666" s="395" t="n"/>
      <c r="AD666" s="395" t="n"/>
      <c r="AE666" s="395" t="n"/>
    </row>
    <row r="667" ht="140" customHeight="1" s="380">
      <c r="A667" s="108" t="n">
        <v>48</v>
      </c>
      <c r="B667" s="386" t="n"/>
      <c r="C667" s="386" t="inlineStr">
        <is>
          <t>Báo cáo giám sát &gt;&gt; Báo cáo giám sát quy định về tài chính</t>
        </is>
      </c>
      <c r="D667"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5</t>
        </is>
      </c>
      <c r="E667"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5</t>
        </is>
      </c>
      <c r="F667" s="386" t="inlineStr">
        <is>
          <t>Data Explorer</t>
        </is>
      </c>
      <c r="G667" s="386" t="inlineStr">
        <is>
          <t>Chỉ tiêu cơ sở</t>
        </is>
      </c>
      <c r="H667" s="386" t="inlineStr">
        <is>
          <t>TB</t>
        </is>
      </c>
      <c r="I667" s="386" t="inlineStr">
        <is>
          <t>Ngày, CTCK</t>
        </is>
      </c>
      <c r="J667" s="395" t="inlineStr">
        <is>
          <t>SCMS</t>
        </is>
      </c>
      <c r="K667" s="395" t="n"/>
      <c r="L667" s="395" t="inlineStr">
        <is>
          <t>X</t>
        </is>
      </c>
      <c r="M667" s="395" t="n"/>
      <c r="N667" s="395" t="inlineStr">
        <is>
          <t>Pending</t>
        </is>
      </c>
      <c r="O667" s="401" t="n"/>
      <c r="P667" s="395" t="n"/>
      <c r="Q667" s="395" t="n"/>
      <c r="R667" s="395" t="n"/>
      <c r="S667" s="395" t="n"/>
      <c r="T667" s="386" t="n"/>
      <c r="U667" s="386" t="n"/>
      <c r="V667" s="395" t="n"/>
      <c r="W667" s="395" t="n"/>
      <c r="X667" s="395" t="n"/>
      <c r="Y667" s="13" t="n"/>
      <c r="Z667" s="395" t="n"/>
      <c r="AA667" s="395" t="n"/>
      <c r="AB667" s="395" t="n"/>
      <c r="AC667" s="395" t="n"/>
      <c r="AD667" s="395" t="n"/>
      <c r="AE667" s="395" t="n"/>
    </row>
    <row r="668" ht="140" customHeight="1" s="380">
      <c r="A668" s="108" t="n">
        <v>48</v>
      </c>
      <c r="B668" s="386" t="n"/>
      <c r="C668" s="386" t="inlineStr">
        <is>
          <t>Báo cáo giám sát &gt;&gt; Báo cáo giám sát quy định về tài chính</t>
        </is>
      </c>
      <c r="D668"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6</t>
        </is>
      </c>
      <c r="E668"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6</t>
        </is>
      </c>
      <c r="F668" s="386" t="inlineStr">
        <is>
          <t>Data Explorer</t>
        </is>
      </c>
      <c r="G668" s="386" t="inlineStr">
        <is>
          <t>Chỉ tiêu cơ sở</t>
        </is>
      </c>
      <c r="H668" s="386" t="inlineStr">
        <is>
          <t>TB</t>
        </is>
      </c>
      <c r="I668" s="386" t="inlineStr">
        <is>
          <t>Ngày, CTCK</t>
        </is>
      </c>
      <c r="J668" s="395" t="inlineStr">
        <is>
          <t>SCMS</t>
        </is>
      </c>
      <c r="K668" s="395" t="n"/>
      <c r="L668" s="395" t="inlineStr">
        <is>
          <t>X</t>
        </is>
      </c>
      <c r="M668" s="395" t="n"/>
      <c r="N668" s="395" t="inlineStr">
        <is>
          <t>Pending</t>
        </is>
      </c>
      <c r="O668" s="401" t="n"/>
      <c r="P668" s="395" t="n"/>
      <c r="Q668" s="395" t="n"/>
      <c r="R668" s="395" t="n"/>
      <c r="S668" s="395" t="n"/>
      <c r="T668" s="386" t="n"/>
      <c r="U668" s="386" t="n"/>
      <c r="V668" s="395" t="n"/>
      <c r="W668" s="395" t="n"/>
      <c r="X668" s="395" t="n"/>
      <c r="Y668" s="13" t="n"/>
      <c r="Z668" s="395" t="n"/>
      <c r="AA668" s="395" t="n"/>
      <c r="AB668" s="395" t="n"/>
      <c r="AC668" s="395" t="n"/>
      <c r="AD668" s="395" t="n"/>
      <c r="AE668" s="395" t="n"/>
    </row>
    <row r="669" ht="140" customHeight="1" s="380">
      <c r="A669" s="108" t="n">
        <v>48</v>
      </c>
      <c r="B669" s="386" t="n"/>
      <c r="C669" s="386" t="inlineStr">
        <is>
          <t>Báo cáo giám sát &gt;&gt; Báo cáo giám sát quy định về tài chính</t>
        </is>
      </c>
      <c r="D669"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7</t>
        </is>
      </c>
      <c r="E669"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7</t>
        </is>
      </c>
      <c r="F669" s="386" t="inlineStr">
        <is>
          <t>Data Explorer</t>
        </is>
      </c>
      <c r="G669" s="386" t="inlineStr">
        <is>
          <t>Chỉ tiêu cơ sở</t>
        </is>
      </c>
      <c r="H669" s="386" t="inlineStr">
        <is>
          <t>TB</t>
        </is>
      </c>
      <c r="I669" s="386" t="inlineStr">
        <is>
          <t>Ngày, CTCK</t>
        </is>
      </c>
      <c r="J669" s="395" t="inlineStr">
        <is>
          <t>SCMS</t>
        </is>
      </c>
      <c r="K669" s="395" t="n"/>
      <c r="L669" s="395" t="inlineStr">
        <is>
          <t>X</t>
        </is>
      </c>
      <c r="M669" s="395" t="n"/>
      <c r="N669" s="395" t="inlineStr">
        <is>
          <t>Pending</t>
        </is>
      </c>
      <c r="O669" s="401" t="n"/>
      <c r="P669" s="395" t="n"/>
      <c r="Q669" s="395" t="n"/>
      <c r="R669" s="395" t="n"/>
      <c r="S669" s="395" t="n"/>
      <c r="T669" s="386" t="n"/>
      <c r="U669" s="386" t="n"/>
      <c r="V669" s="395" t="n"/>
      <c r="W669" s="395" t="n"/>
      <c r="X669" s="395" t="n"/>
      <c r="Y669" s="13" t="n"/>
      <c r="Z669" s="395" t="n"/>
      <c r="AA669" s="395" t="n"/>
      <c r="AB669" s="395" t="n"/>
      <c r="AC669" s="395" t="n"/>
      <c r="AD669" s="395" t="n"/>
      <c r="AE669" s="395" t="n"/>
    </row>
    <row r="670" ht="140" customHeight="1" s="380">
      <c r="A670" s="108" t="n">
        <v>48</v>
      </c>
      <c r="B670" s="386" t="n"/>
      <c r="C670" s="386" t="inlineStr">
        <is>
          <t>Báo cáo giám sát &gt;&gt; Báo cáo giám sát quy định về tài chính</t>
        </is>
      </c>
      <c r="D670"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8</t>
        </is>
      </c>
      <c r="E670"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8</t>
        </is>
      </c>
      <c r="F670" s="386" t="inlineStr">
        <is>
          <t>Data Explorer</t>
        </is>
      </c>
      <c r="G670" s="386" t="inlineStr">
        <is>
          <t>Chỉ tiêu cơ sở</t>
        </is>
      </c>
      <c r="H670" s="386" t="inlineStr">
        <is>
          <t>TB</t>
        </is>
      </c>
      <c r="I670" s="386" t="inlineStr">
        <is>
          <t>Ngày, CTCK</t>
        </is>
      </c>
      <c r="J670" s="395" t="inlineStr">
        <is>
          <t>SCMS</t>
        </is>
      </c>
      <c r="K670" s="395" t="n"/>
      <c r="L670" s="395" t="inlineStr">
        <is>
          <t>X</t>
        </is>
      </c>
      <c r="M670" s="395" t="n"/>
      <c r="N670" s="395" t="inlineStr">
        <is>
          <t>Pending</t>
        </is>
      </c>
      <c r="O670" s="401" t="n"/>
      <c r="P670" s="395" t="n"/>
      <c r="Q670" s="395" t="n"/>
      <c r="R670" s="395" t="n"/>
      <c r="S670" s="395" t="n"/>
      <c r="T670" s="386" t="n"/>
      <c r="U670" s="386" t="n"/>
      <c r="V670" s="395" t="n"/>
      <c r="W670" s="395" t="n"/>
      <c r="X670" s="395" t="n"/>
      <c r="Y670" s="13" t="n"/>
      <c r="Z670" s="395" t="n"/>
      <c r="AA670" s="395" t="n"/>
      <c r="AB670" s="395" t="n"/>
      <c r="AC670" s="395" t="n"/>
      <c r="AD670" s="395" t="n"/>
      <c r="AE670" s="395" t="n"/>
    </row>
    <row r="671" ht="140" customHeight="1" s="380">
      <c r="A671" s="108" t="n">
        <v>48</v>
      </c>
      <c r="B671" s="386" t="n"/>
      <c r="C671" s="386" t="inlineStr">
        <is>
          <t>Báo cáo giám sát &gt;&gt; Báo cáo giám sát quy định về tài chính</t>
        </is>
      </c>
      <c r="D671"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9</t>
        </is>
      </c>
      <c r="E671"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9</t>
        </is>
      </c>
      <c r="F671" s="386" t="inlineStr">
        <is>
          <t>Data Explorer</t>
        </is>
      </c>
      <c r="G671" s="386" t="inlineStr">
        <is>
          <t>Chỉ tiêu cơ sở</t>
        </is>
      </c>
      <c r="H671" s="386" t="inlineStr">
        <is>
          <t>TB</t>
        </is>
      </c>
      <c r="I671" s="386" t="inlineStr">
        <is>
          <t>Ngày, CTCK</t>
        </is>
      </c>
      <c r="J671" s="395" t="inlineStr">
        <is>
          <t>SCMS</t>
        </is>
      </c>
      <c r="K671" s="395" t="n"/>
      <c r="L671" s="395" t="inlineStr">
        <is>
          <t>X</t>
        </is>
      </c>
      <c r="M671" s="395" t="n"/>
      <c r="N671" s="395" t="inlineStr">
        <is>
          <t>Pending</t>
        </is>
      </c>
      <c r="O671" s="401" t="n"/>
      <c r="P671" s="395" t="n"/>
      <c r="Q671" s="395" t="n"/>
      <c r="R671" s="395" t="n"/>
      <c r="S671" s="395" t="n"/>
      <c r="T671" s="386" t="n"/>
      <c r="U671" s="386" t="n"/>
      <c r="V671" s="395" t="n"/>
      <c r="W671" s="395" t="n"/>
      <c r="X671" s="395" t="n"/>
      <c r="Y671" s="38" t="n"/>
      <c r="Z671" s="395" t="n"/>
      <c r="AA671" s="395" t="n"/>
      <c r="AB671" s="395" t="n"/>
      <c r="AC671" s="395" t="n"/>
      <c r="AD671" s="395" t="n"/>
      <c r="AE671" s="395" t="n"/>
    </row>
    <row r="672" ht="140" customHeight="1" s="380">
      <c r="A672" s="108" t="n">
        <v>48</v>
      </c>
      <c r="B672" s="386" t="n"/>
      <c r="C672" s="386" t="inlineStr">
        <is>
          <t>Báo cáo giám sát &gt;&gt; Báo cáo giám sát quy định về tài chính</t>
        </is>
      </c>
      <c r="D672"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10</t>
        </is>
      </c>
      <c r="E672"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10</t>
        </is>
      </c>
      <c r="F672" s="386" t="inlineStr">
        <is>
          <t>Data Explorer</t>
        </is>
      </c>
      <c r="G672" s="386" t="inlineStr">
        <is>
          <t>Chỉ tiêu cơ sở</t>
        </is>
      </c>
      <c r="H672" s="386" t="inlineStr">
        <is>
          <t>TB</t>
        </is>
      </c>
      <c r="I672" s="386" t="inlineStr">
        <is>
          <t>Ngày, CTCK</t>
        </is>
      </c>
      <c r="J672" s="395" t="inlineStr">
        <is>
          <t>SCMS</t>
        </is>
      </c>
      <c r="K672" s="395" t="n"/>
      <c r="L672" s="395" t="inlineStr">
        <is>
          <t>X</t>
        </is>
      </c>
      <c r="M672" s="395" t="n"/>
      <c r="N672" s="395" t="inlineStr">
        <is>
          <t>Pending</t>
        </is>
      </c>
      <c r="O672" s="401" t="n"/>
      <c r="P672" s="395" t="n"/>
      <c r="Q672" s="395" t="n"/>
      <c r="R672" s="395" t="n"/>
      <c r="S672" s="395" t="n"/>
      <c r="T672" s="386" t="n"/>
      <c r="U672" s="386" t="n"/>
      <c r="V672" s="395" t="n"/>
      <c r="W672" s="395" t="n"/>
      <c r="X672" s="395" t="n"/>
      <c r="Y672" s="13" t="n"/>
      <c r="Z672" s="395" t="n"/>
      <c r="AA672" s="395" t="n"/>
      <c r="AB672" s="395" t="n"/>
      <c r="AC672" s="395" t="n"/>
      <c r="AD672" s="395" t="n"/>
      <c r="AE672" s="395" t="n"/>
    </row>
    <row r="673" ht="140" customHeight="1" s="380">
      <c r="A673" s="108" t="n">
        <v>48</v>
      </c>
      <c r="B673" s="386" t="n"/>
      <c r="C673" s="386" t="inlineStr">
        <is>
          <t>Báo cáo giám sát &gt;&gt; Báo cáo giám sát quy định về tài chính</t>
        </is>
      </c>
      <c r="D673"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11</t>
        </is>
      </c>
      <c r="E673"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11</t>
        </is>
      </c>
      <c r="F673" s="386" t="inlineStr">
        <is>
          <t>Data Explorer</t>
        </is>
      </c>
      <c r="G673" s="386" t="inlineStr">
        <is>
          <t>Chỉ tiêu cơ sở</t>
        </is>
      </c>
      <c r="H673" s="386" t="inlineStr">
        <is>
          <t>TB</t>
        </is>
      </c>
      <c r="I673" s="386" t="inlineStr">
        <is>
          <t>Ngày, CTCK</t>
        </is>
      </c>
      <c r="J673" s="395" t="inlineStr">
        <is>
          <t>SCMS</t>
        </is>
      </c>
      <c r="K673" s="395" t="n"/>
      <c r="L673" s="395" t="inlineStr">
        <is>
          <t>X</t>
        </is>
      </c>
      <c r="M673" s="395" t="n"/>
      <c r="N673" s="395" t="inlineStr">
        <is>
          <t>Pending</t>
        </is>
      </c>
      <c r="O673" s="401" t="n"/>
      <c r="P673" s="395" t="n"/>
      <c r="Q673" s="395" t="n"/>
      <c r="R673" s="395" t="n"/>
      <c r="S673" s="395" t="n"/>
      <c r="T673" s="386" t="n"/>
      <c r="U673" s="386" t="n"/>
      <c r="V673" s="395" t="n"/>
      <c r="W673" s="395" t="n"/>
      <c r="X673" s="395" t="n"/>
      <c r="Y673" s="13" t="n"/>
      <c r="Z673" s="395" t="n"/>
      <c r="AA673" s="395" t="n"/>
      <c r="AB673" s="395" t="n"/>
      <c r="AC673" s="395" t="n"/>
      <c r="AD673" s="395" t="n"/>
      <c r="AE673" s="395" t="n"/>
    </row>
    <row r="674" ht="140" customHeight="1" s="380">
      <c r="A674" s="108" t="n">
        <v>48</v>
      </c>
      <c r="B674" s="386" t="n"/>
      <c r="C674" s="386" t="inlineStr">
        <is>
          <t>Báo cáo giám sát &gt;&gt; Báo cáo giám sát quy định về tài chính</t>
        </is>
      </c>
      <c r="D674"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12</t>
        </is>
      </c>
      <c r="E674"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12</t>
        </is>
      </c>
      <c r="F674" s="386" t="inlineStr">
        <is>
          <t>Data Explorer</t>
        </is>
      </c>
      <c r="G674" s="386" t="inlineStr">
        <is>
          <t>Chỉ tiêu cơ sở</t>
        </is>
      </c>
      <c r="H674" s="386" t="inlineStr">
        <is>
          <t>TB</t>
        </is>
      </c>
      <c r="I674" s="386" t="inlineStr">
        <is>
          <t>Ngày, CTCK</t>
        </is>
      </c>
      <c r="J674" s="395" t="inlineStr">
        <is>
          <t>SCMS</t>
        </is>
      </c>
      <c r="K674" s="395" t="n"/>
      <c r="L674" s="395" t="inlineStr">
        <is>
          <t>X</t>
        </is>
      </c>
      <c r="M674" s="395" t="n"/>
      <c r="N674" s="395" t="inlineStr">
        <is>
          <t>Pending</t>
        </is>
      </c>
      <c r="O674" s="401" t="n"/>
      <c r="P674" s="395" t="n"/>
      <c r="Q674" s="395" t="n"/>
      <c r="R674" s="395" t="n"/>
      <c r="S674" s="395" t="n"/>
      <c r="T674" s="386" t="n"/>
      <c r="U674" s="386" t="n"/>
      <c r="V674" s="395" t="n"/>
      <c r="W674" s="395" t="n"/>
      <c r="X674" s="395" t="n"/>
      <c r="Y674" s="13" t="n"/>
      <c r="Z674" s="395" t="n"/>
      <c r="AA674" s="395" t="n"/>
      <c r="AB674" s="395" t="n"/>
      <c r="AC674" s="395" t="n"/>
      <c r="AD674" s="395" t="n"/>
      <c r="AE674" s="395" t="n"/>
    </row>
    <row r="675" ht="140" customHeight="1" s="380">
      <c r="A675" s="108" t="n">
        <v>48</v>
      </c>
      <c r="B675" s="386" t="n"/>
      <c r="C675" s="386" t="inlineStr">
        <is>
          <t>Báo cáo giám sát &gt;&gt; Báo cáo giám sát quy định về tài chính</t>
        </is>
      </c>
      <c r="D675"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Quý I</t>
        </is>
      </c>
      <c r="E675"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Quý I</t>
        </is>
      </c>
      <c r="F675" s="386" t="inlineStr">
        <is>
          <t>Data Explorer</t>
        </is>
      </c>
      <c r="G675" s="386" t="inlineStr">
        <is>
          <t>Chỉ tiêu cơ sở</t>
        </is>
      </c>
      <c r="H675" s="386" t="inlineStr">
        <is>
          <t>TB</t>
        </is>
      </c>
      <c r="I675" s="386" t="inlineStr">
        <is>
          <t>Ngày, CTCK</t>
        </is>
      </c>
      <c r="J675" s="395" t="inlineStr">
        <is>
          <t>SCMS</t>
        </is>
      </c>
      <c r="K675" s="395" t="n"/>
      <c r="L675" s="395" t="inlineStr">
        <is>
          <t>X</t>
        </is>
      </c>
      <c r="M675" s="395" t="n"/>
      <c r="N675" s="395" t="inlineStr">
        <is>
          <t>Pending</t>
        </is>
      </c>
      <c r="O675" s="401" t="n"/>
      <c r="P675" s="395" t="n"/>
      <c r="Q675" s="395" t="n"/>
      <c r="R675" s="395" t="n"/>
      <c r="S675" s="395" t="n"/>
      <c r="T675" s="386" t="n"/>
      <c r="U675" s="386" t="n"/>
      <c r="V675" s="395" t="n"/>
      <c r="W675" s="395" t="n"/>
      <c r="X675" s="395" t="n"/>
      <c r="Y675" s="13" t="n"/>
      <c r="Z675" s="395" t="n"/>
      <c r="AA675" s="395" t="n"/>
      <c r="AB675" s="395" t="n"/>
      <c r="AC675" s="395" t="n"/>
      <c r="AD675" s="395" t="n"/>
      <c r="AE675" s="395" t="n"/>
    </row>
    <row r="676" ht="140" customHeight="1" s="380">
      <c r="A676" s="108" t="n">
        <v>48</v>
      </c>
      <c r="B676" s="386" t="n"/>
      <c r="C676" s="386" t="inlineStr">
        <is>
          <t>Báo cáo giám sát &gt;&gt; Báo cáo giám sát quy định về tài chính</t>
        </is>
      </c>
      <c r="D676"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Quý II</t>
        </is>
      </c>
      <c r="E676"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Quý II</t>
        </is>
      </c>
      <c r="F676" s="386" t="inlineStr">
        <is>
          <t>Data Explorer</t>
        </is>
      </c>
      <c r="G676" s="386" t="inlineStr">
        <is>
          <t>Chỉ tiêu cơ sở</t>
        </is>
      </c>
      <c r="H676" s="386" t="inlineStr">
        <is>
          <t>TB</t>
        </is>
      </c>
      <c r="I676" s="386" t="inlineStr">
        <is>
          <t>Ngày, CTCK</t>
        </is>
      </c>
      <c r="J676" s="395" t="inlineStr">
        <is>
          <t>SCMS</t>
        </is>
      </c>
      <c r="K676" s="395" t="n"/>
      <c r="L676" s="395" t="inlineStr">
        <is>
          <t>X</t>
        </is>
      </c>
      <c r="M676" s="395" t="n"/>
      <c r="N676" s="395" t="inlineStr">
        <is>
          <t>Pending</t>
        </is>
      </c>
      <c r="O676" s="401" t="n"/>
      <c r="P676" s="395" t="n"/>
      <c r="Q676" s="395" t="n"/>
      <c r="R676" s="395" t="n"/>
      <c r="S676" s="395" t="n"/>
      <c r="T676" s="386" t="n"/>
      <c r="U676" s="386" t="n"/>
      <c r="V676" s="395" t="n"/>
      <c r="W676" s="395" t="n"/>
      <c r="X676" s="395" t="n"/>
      <c r="Y676" s="13" t="n"/>
      <c r="Z676" s="395" t="n"/>
      <c r="AA676" s="395" t="n"/>
      <c r="AB676" s="395" t="n"/>
      <c r="AC676" s="395" t="n"/>
      <c r="AD676" s="395" t="n"/>
      <c r="AE676" s="395" t="n"/>
    </row>
    <row r="677" ht="140" customHeight="1" s="380">
      <c r="A677" s="108" t="n">
        <v>48</v>
      </c>
      <c r="B677" s="386" t="n"/>
      <c r="C677" s="386" t="inlineStr">
        <is>
          <t>Báo cáo giám sát &gt;&gt; Báo cáo giám sát quy định về tài chính</t>
        </is>
      </c>
      <c r="D677"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Quý III</t>
        </is>
      </c>
      <c r="E677"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Quý III</t>
        </is>
      </c>
      <c r="F677" s="386" t="inlineStr">
        <is>
          <t>Data Explorer</t>
        </is>
      </c>
      <c r="G677" s="386" t="inlineStr">
        <is>
          <t>Chỉ tiêu cơ sở</t>
        </is>
      </c>
      <c r="H677" s="386" t="inlineStr">
        <is>
          <t>TB</t>
        </is>
      </c>
      <c r="I677" s="386" t="inlineStr">
        <is>
          <t>Ngày, CTCK</t>
        </is>
      </c>
      <c r="J677" s="395" t="inlineStr">
        <is>
          <t>SCMS</t>
        </is>
      </c>
      <c r="K677" s="395" t="n"/>
      <c r="L677" s="395" t="inlineStr">
        <is>
          <t>X</t>
        </is>
      </c>
      <c r="M677" s="395" t="n"/>
      <c r="N677" s="395" t="inlineStr">
        <is>
          <t>Pending</t>
        </is>
      </c>
      <c r="O677" s="401" t="n"/>
      <c r="P677" s="395" t="n"/>
      <c r="Q677" s="395" t="n"/>
      <c r="R677" s="395" t="n"/>
      <c r="S677" s="395" t="n"/>
      <c r="T677" s="386" t="n"/>
      <c r="U677" s="386" t="n"/>
      <c r="V677" s="395" t="n"/>
      <c r="W677" s="395" t="n"/>
      <c r="X677" s="395" t="n"/>
      <c r="Y677" s="38" t="n"/>
      <c r="Z677" s="395" t="n"/>
      <c r="AA677" s="395" t="n"/>
      <c r="AB677" s="395" t="n"/>
      <c r="AC677" s="395" t="n"/>
      <c r="AD677" s="395" t="n"/>
      <c r="AE677" s="395" t="n"/>
    </row>
    <row r="678" ht="140" customHeight="1" s="380">
      <c r="A678" s="108" t="n">
        <v>48</v>
      </c>
      <c r="B678" s="386" t="n"/>
      <c r="C678" s="386" t="inlineStr">
        <is>
          <t>Báo cáo giám sát &gt;&gt; Báo cáo giám sát quy định về tài chính</t>
        </is>
      </c>
      <c r="D678"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Quý IV</t>
        </is>
      </c>
      <c r="E678"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Quý IV</t>
        </is>
      </c>
      <c r="F678" s="386" t="inlineStr">
        <is>
          <t>Data Explorer</t>
        </is>
      </c>
      <c r="G678" s="386" t="inlineStr">
        <is>
          <t>Chỉ tiêu cơ sở</t>
        </is>
      </c>
      <c r="H678" s="386" t="inlineStr">
        <is>
          <t>TB</t>
        </is>
      </c>
      <c r="I678" s="386" t="inlineStr">
        <is>
          <t>Ngày, CTCK</t>
        </is>
      </c>
      <c r="J678" s="395" t="inlineStr">
        <is>
          <t>SCMS</t>
        </is>
      </c>
      <c r="K678" s="395" t="n"/>
      <c r="L678" s="395" t="inlineStr">
        <is>
          <t>X</t>
        </is>
      </c>
      <c r="M678" s="395" t="n"/>
      <c r="N678" s="395" t="inlineStr">
        <is>
          <t>Pending</t>
        </is>
      </c>
      <c r="O678" s="401" t="n"/>
      <c r="P678" s="395" t="n"/>
      <c r="Q678" s="395" t="n"/>
      <c r="R678" s="395" t="n"/>
      <c r="S678" s="395" t="n"/>
      <c r="T678" s="386" t="n"/>
      <c r="U678" s="386" t="n"/>
      <c r="V678" s="395" t="n"/>
      <c r="W678" s="395" t="n"/>
      <c r="X678" s="395" t="n"/>
      <c r="Y678" s="13" t="n"/>
      <c r="Z678" s="395" t="n"/>
      <c r="AA678" s="395" t="n"/>
      <c r="AB678" s="395" t="n"/>
      <c r="AC678" s="395" t="n"/>
      <c r="AD678" s="395" t="n"/>
      <c r="AE678" s="395" t="n"/>
    </row>
    <row r="679" ht="140" customHeight="1" s="380">
      <c r="A679" s="108" t="n">
        <v>48</v>
      </c>
      <c r="B679" s="386" t="n"/>
      <c r="C679" s="386" t="inlineStr">
        <is>
          <t>Báo cáo giám sát &gt;&gt; Báo cáo giám sát quy định về tài chính</t>
        </is>
      </c>
      <c r="D679"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Năm</t>
        </is>
      </c>
      <c r="E679" s="386" t="inlineStr">
        <is>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Năm</t>
        </is>
      </c>
      <c r="F679" s="386" t="inlineStr">
        <is>
          <t>Data Explorer</t>
        </is>
      </c>
      <c r="G679" s="386" t="inlineStr">
        <is>
          <t>Chỉ tiêu cơ sở</t>
        </is>
      </c>
      <c r="H679" s="386" t="inlineStr">
        <is>
          <t>TB</t>
        </is>
      </c>
      <c r="I679" s="386" t="inlineStr">
        <is>
          <t>Ngày, CTCK</t>
        </is>
      </c>
      <c r="J679" s="395" t="inlineStr">
        <is>
          <t>SCMS</t>
        </is>
      </c>
      <c r="K679" s="395" t="n"/>
      <c r="L679" s="395" t="inlineStr">
        <is>
          <t>X</t>
        </is>
      </c>
      <c r="M679" s="395" t="n"/>
      <c r="N679" s="395" t="inlineStr">
        <is>
          <t>Pending</t>
        </is>
      </c>
      <c r="O679" s="401" t="n"/>
      <c r="P679" s="395" t="n"/>
      <c r="Q679" s="395" t="n"/>
      <c r="R679" s="395" t="n"/>
      <c r="S679" s="395" t="n"/>
      <c r="T679" s="386" t="n"/>
      <c r="U679" s="386" t="n"/>
      <c r="V679" s="395" t="n"/>
      <c r="W679" s="395" t="n"/>
      <c r="X679" s="395" t="n"/>
      <c r="Y679" s="13" t="n"/>
      <c r="Z679" s="395" t="n"/>
      <c r="AA679" s="395" t="n"/>
      <c r="AB679" s="395" t="n"/>
      <c r="AC679" s="395" t="n"/>
      <c r="AD679" s="395" t="n"/>
      <c r="AE679" s="395" t="n"/>
    </row>
    <row r="680" ht="112" customHeight="1" s="380">
      <c r="A680" s="108" t="n">
        <v>48</v>
      </c>
      <c r="B680" s="386" t="n"/>
      <c r="C680" s="386" t="inlineStr">
        <is>
          <t>Báo cáo giám sát &gt;&gt; Báo cáo giám sát quy định về tài chính</t>
        </is>
      </c>
      <c r="D680" s="386" t="inlineStr">
        <is>
          <t>Hạn chế đầu tư &gt;&gt; CTCK không được trực tiếp hoặc ủy thác cho tổ chức, cá nhân khác thực hiện cùng với người có liên quan đầu tư từ 5% trở lên vốn điều lệ của CTCK khác &gt;&gt; Tháng 1</t>
        </is>
      </c>
      <c r="E680" s="386" t="inlineStr">
        <is>
          <t>Hạn chế đầu tư &gt;&gt; CTCK không được trực tiếp hoặc ủy thác cho tổ chức, cá nhân khác thực hiện cùng với người có liên quan đầu tư từ 5% trở lên vốn điều lệ của CTCK khác &gt;&gt; Tháng 1</t>
        </is>
      </c>
      <c r="F680" s="386" t="inlineStr">
        <is>
          <t>Data Explorer</t>
        </is>
      </c>
      <c r="G680" s="386" t="inlineStr">
        <is>
          <t>Chỉ tiêu cơ sở</t>
        </is>
      </c>
      <c r="H680" s="386" t="inlineStr">
        <is>
          <t>TB</t>
        </is>
      </c>
      <c r="I680" s="386" t="inlineStr">
        <is>
          <t>Ngày, CTCK</t>
        </is>
      </c>
      <c r="J680" s="395" t="inlineStr">
        <is>
          <t>SCMS</t>
        </is>
      </c>
      <c r="K680" s="395" t="n"/>
      <c r="L680" s="395" t="inlineStr">
        <is>
          <t>X</t>
        </is>
      </c>
      <c r="M680" s="395" t="n"/>
      <c r="N680" s="395" t="inlineStr">
        <is>
          <t>Pending</t>
        </is>
      </c>
      <c r="O680" s="401" t="n"/>
      <c r="P680" s="395" t="n"/>
      <c r="Q680" s="395" t="n"/>
      <c r="R680" s="395" t="n"/>
      <c r="S680" s="395" t="n"/>
      <c r="T680" s="386" t="n"/>
      <c r="U680" s="386" t="n"/>
      <c r="V680" s="395" t="n"/>
      <c r="W680" s="395" t="n"/>
      <c r="X680" s="395" t="n"/>
      <c r="Y680" s="13" t="n"/>
      <c r="Z680" s="395" t="n"/>
      <c r="AA680" s="395" t="n"/>
      <c r="AB680" s="395" t="n"/>
      <c r="AC680" s="395" t="n"/>
      <c r="AD680" s="395" t="n"/>
      <c r="AE680" s="395" t="n"/>
    </row>
    <row r="681" ht="112" customHeight="1" s="380">
      <c r="A681" s="108" t="n">
        <v>48</v>
      </c>
      <c r="B681" s="386" t="n"/>
      <c r="C681" s="386" t="inlineStr">
        <is>
          <t>Báo cáo giám sát &gt;&gt; Báo cáo giám sát quy định về tài chính</t>
        </is>
      </c>
      <c r="D681" s="386" t="inlineStr">
        <is>
          <t>Hạn chế đầu tư &gt;&gt; CTCK không được trực tiếp hoặc ủy thác cho tổ chức, cá nhân khác thực hiện cùng với người có liên quan đầu tư từ 5% trở lên vốn điều lệ của CTCK khác &gt;&gt; Tháng 2</t>
        </is>
      </c>
      <c r="E681" s="386" t="inlineStr">
        <is>
          <t>Hạn chế đầu tư &gt;&gt; CTCK không được trực tiếp hoặc ủy thác cho tổ chức, cá nhân khác thực hiện cùng với người có liên quan đầu tư từ 5% trở lên vốn điều lệ của CTCK khác &gt;&gt; Tháng 2</t>
        </is>
      </c>
      <c r="F681" s="386" t="inlineStr">
        <is>
          <t>Data Explorer</t>
        </is>
      </c>
      <c r="G681" s="386" t="inlineStr">
        <is>
          <t>Chỉ tiêu cơ sở</t>
        </is>
      </c>
      <c r="H681" s="386" t="inlineStr">
        <is>
          <t>TB</t>
        </is>
      </c>
      <c r="I681" s="386" t="inlineStr">
        <is>
          <t>Ngày, CTCK</t>
        </is>
      </c>
      <c r="J681" s="395" t="inlineStr">
        <is>
          <t>SCMS</t>
        </is>
      </c>
      <c r="K681" s="395" t="n"/>
      <c r="L681" s="395" t="inlineStr">
        <is>
          <t>X</t>
        </is>
      </c>
      <c r="M681" s="395" t="n"/>
      <c r="N681" s="395" t="inlineStr">
        <is>
          <t>Pending</t>
        </is>
      </c>
      <c r="O681" s="401" t="n"/>
      <c r="P681" s="395" t="n"/>
      <c r="Q681" s="395" t="n"/>
      <c r="R681" s="395" t="n"/>
      <c r="S681" s="395" t="n"/>
      <c r="T681" s="386" t="n"/>
      <c r="U681" s="386" t="n"/>
      <c r="V681" s="395" t="n"/>
      <c r="W681" s="395" t="n"/>
      <c r="X681" s="395" t="n"/>
      <c r="Y681" s="13" t="n"/>
      <c r="Z681" s="395" t="n"/>
      <c r="AA681" s="395" t="n"/>
      <c r="AB681" s="395" t="n"/>
      <c r="AC681" s="395" t="n"/>
      <c r="AD681" s="395" t="n"/>
      <c r="AE681" s="395" t="n"/>
    </row>
    <row r="682" ht="112" customHeight="1" s="380">
      <c r="A682" s="108" t="n">
        <v>48</v>
      </c>
      <c r="B682" s="386" t="n"/>
      <c r="C682" s="386" t="inlineStr">
        <is>
          <t>Báo cáo giám sát &gt;&gt; Báo cáo giám sát quy định về tài chính</t>
        </is>
      </c>
      <c r="D682" s="386" t="inlineStr">
        <is>
          <t>Hạn chế đầu tư &gt;&gt; CTCK không được trực tiếp hoặc ủy thác cho tổ chức, cá nhân khác thực hiện cùng với người có liên quan đầu tư từ 5% trở lên vốn điều lệ của CTCK khác &gt;&gt; Tháng 3</t>
        </is>
      </c>
      <c r="E682" s="386" t="inlineStr">
        <is>
          <t>Hạn chế đầu tư &gt;&gt; CTCK không được trực tiếp hoặc ủy thác cho tổ chức, cá nhân khác thực hiện cùng với người có liên quan đầu tư từ 5% trở lên vốn điều lệ của CTCK khác &gt;&gt; Tháng 3</t>
        </is>
      </c>
      <c r="F682" s="386" t="inlineStr">
        <is>
          <t>Data Explorer</t>
        </is>
      </c>
      <c r="G682" s="386" t="inlineStr">
        <is>
          <t>Chỉ tiêu cơ sở</t>
        </is>
      </c>
      <c r="H682" s="386" t="inlineStr">
        <is>
          <t>TB</t>
        </is>
      </c>
      <c r="I682" s="386" t="inlineStr">
        <is>
          <t>Ngày, CTCK</t>
        </is>
      </c>
      <c r="J682" s="395" t="inlineStr">
        <is>
          <t>SCMS</t>
        </is>
      </c>
      <c r="K682" s="395" t="n"/>
      <c r="L682" s="395" t="inlineStr">
        <is>
          <t>X</t>
        </is>
      </c>
      <c r="M682" s="395" t="n"/>
      <c r="N682" s="395" t="inlineStr">
        <is>
          <t>Pending</t>
        </is>
      </c>
      <c r="O682" s="401" t="n"/>
      <c r="P682" s="395" t="n"/>
      <c r="Q682" s="395" t="n"/>
      <c r="R682" s="395" t="n"/>
      <c r="S682" s="395" t="n"/>
      <c r="T682" s="386" t="n"/>
      <c r="U682" s="386" t="n"/>
      <c r="V682" s="395" t="n"/>
      <c r="W682" s="395" t="n"/>
      <c r="X682" s="395" t="n"/>
      <c r="Y682" s="13" t="n"/>
      <c r="Z682" s="395" t="n"/>
      <c r="AA682" s="395" t="n"/>
      <c r="AB682" s="395" t="n"/>
      <c r="AC682" s="395" t="n"/>
      <c r="AD682" s="395" t="n"/>
      <c r="AE682" s="395" t="n"/>
    </row>
    <row r="683" ht="112" customHeight="1" s="380">
      <c r="A683" s="108" t="n">
        <v>48</v>
      </c>
      <c r="B683" s="386" t="n"/>
      <c r="C683" s="386" t="inlineStr">
        <is>
          <t>Báo cáo giám sát &gt;&gt; Báo cáo giám sát quy định về tài chính</t>
        </is>
      </c>
      <c r="D683" s="386" t="inlineStr">
        <is>
          <t>Hạn chế đầu tư &gt;&gt; CTCK không được trực tiếp hoặc ủy thác cho tổ chức, cá nhân khác thực hiện cùng với người có liên quan đầu tư từ 5% trở lên vốn điều lệ của CTCK khác &gt;&gt; Tháng 4</t>
        </is>
      </c>
      <c r="E683" s="386" t="inlineStr">
        <is>
          <t>Hạn chế đầu tư &gt;&gt; CTCK không được trực tiếp hoặc ủy thác cho tổ chức, cá nhân khác thực hiện cùng với người có liên quan đầu tư từ 5% trở lên vốn điều lệ của CTCK khác &gt;&gt; Tháng 4</t>
        </is>
      </c>
      <c r="F683" s="386" t="inlineStr">
        <is>
          <t>Data Explorer</t>
        </is>
      </c>
      <c r="G683" s="386" t="inlineStr">
        <is>
          <t>Chỉ tiêu cơ sở</t>
        </is>
      </c>
      <c r="H683" s="386" t="inlineStr">
        <is>
          <t>TB</t>
        </is>
      </c>
      <c r="I683" s="386" t="inlineStr">
        <is>
          <t>Ngày, CTCK</t>
        </is>
      </c>
      <c r="J683" s="395" t="inlineStr">
        <is>
          <t>SCMS</t>
        </is>
      </c>
      <c r="K683" s="395" t="n"/>
      <c r="L683" s="395" t="inlineStr">
        <is>
          <t>X</t>
        </is>
      </c>
      <c r="M683" s="395" t="n"/>
      <c r="N683" s="395" t="inlineStr">
        <is>
          <t>Pending</t>
        </is>
      </c>
      <c r="O683" s="401" t="n"/>
      <c r="P683" s="395" t="n"/>
      <c r="Q683" s="395" t="n"/>
      <c r="R683" s="395" t="n"/>
      <c r="S683" s="395" t="n"/>
      <c r="T683" s="386" t="n"/>
      <c r="U683" s="386" t="n"/>
      <c r="V683" s="395" t="n"/>
      <c r="W683" s="395" t="n"/>
      <c r="X683" s="395" t="n"/>
      <c r="Y683" s="38" t="n"/>
      <c r="Z683" s="395" t="n"/>
      <c r="AA683" s="395" t="n"/>
      <c r="AB683" s="395" t="n"/>
      <c r="AC683" s="395" t="n"/>
      <c r="AD683" s="395" t="n"/>
      <c r="AE683" s="395" t="n"/>
    </row>
    <row r="684" ht="112" customHeight="1" s="380">
      <c r="A684" s="108" t="n">
        <v>48</v>
      </c>
      <c r="B684" s="386" t="n"/>
      <c r="C684" s="386" t="inlineStr">
        <is>
          <t>Báo cáo giám sát &gt;&gt; Báo cáo giám sát quy định về tài chính</t>
        </is>
      </c>
      <c r="D684" s="386" t="inlineStr">
        <is>
          <t>Hạn chế đầu tư &gt;&gt; CTCK không được trực tiếp hoặc ủy thác cho tổ chức, cá nhân khác thực hiện cùng với người có liên quan đầu tư từ 5% trở lên vốn điều lệ của CTCK khác &gt;&gt; Tháng 5</t>
        </is>
      </c>
      <c r="E684" s="386" t="inlineStr">
        <is>
          <t>Hạn chế đầu tư &gt;&gt; CTCK không được trực tiếp hoặc ủy thác cho tổ chức, cá nhân khác thực hiện cùng với người có liên quan đầu tư từ 5% trở lên vốn điều lệ của CTCK khác &gt;&gt; Tháng 5</t>
        </is>
      </c>
      <c r="F684" s="386" t="inlineStr">
        <is>
          <t>Data Explorer</t>
        </is>
      </c>
      <c r="G684" s="386" t="inlineStr">
        <is>
          <t>Chỉ tiêu cơ sở</t>
        </is>
      </c>
      <c r="H684" s="386" t="inlineStr">
        <is>
          <t>TB</t>
        </is>
      </c>
      <c r="I684" s="386" t="inlineStr">
        <is>
          <t>Ngày, CTCK</t>
        </is>
      </c>
      <c r="J684" s="395" t="inlineStr">
        <is>
          <t>SCMS</t>
        </is>
      </c>
      <c r="K684" s="395" t="n"/>
      <c r="L684" s="395" t="inlineStr">
        <is>
          <t>X</t>
        </is>
      </c>
      <c r="M684" s="395" t="n"/>
      <c r="N684" s="395" t="inlineStr">
        <is>
          <t>Pending</t>
        </is>
      </c>
      <c r="O684" s="401" t="n"/>
      <c r="P684" s="395" t="n"/>
      <c r="Q684" s="395" t="n"/>
      <c r="R684" s="395" t="n"/>
      <c r="S684" s="395" t="n"/>
      <c r="T684" s="386" t="n"/>
      <c r="U684" s="386" t="n"/>
      <c r="V684" s="395" t="n"/>
      <c r="W684" s="395" t="n"/>
      <c r="X684" s="395" t="n"/>
      <c r="Y684" s="13" t="n"/>
      <c r="Z684" s="395" t="n"/>
      <c r="AA684" s="395" t="n"/>
      <c r="AB684" s="395" t="n"/>
      <c r="AC684" s="395" t="n"/>
      <c r="AD684" s="395" t="n"/>
      <c r="AE684" s="395" t="n"/>
    </row>
    <row r="685" ht="112" customHeight="1" s="380">
      <c r="A685" s="108" t="n">
        <v>48</v>
      </c>
      <c r="B685" s="386" t="n"/>
      <c r="C685" s="386" t="inlineStr">
        <is>
          <t>Báo cáo giám sát &gt;&gt; Báo cáo giám sát quy định về tài chính</t>
        </is>
      </c>
      <c r="D685" s="386" t="inlineStr">
        <is>
          <t>Hạn chế đầu tư &gt;&gt; CTCK không được trực tiếp hoặc ủy thác cho tổ chức, cá nhân khác thực hiện cùng với người có liên quan đầu tư từ 5% trở lên vốn điều lệ của CTCK khác &gt;&gt; Tháng 6</t>
        </is>
      </c>
      <c r="E685" s="386" t="inlineStr">
        <is>
          <t>Hạn chế đầu tư &gt;&gt; CTCK không được trực tiếp hoặc ủy thác cho tổ chức, cá nhân khác thực hiện cùng với người có liên quan đầu tư từ 5% trở lên vốn điều lệ của CTCK khác &gt;&gt; Tháng 6</t>
        </is>
      </c>
      <c r="F685" s="386" t="inlineStr">
        <is>
          <t>Data Explorer</t>
        </is>
      </c>
      <c r="G685" s="386" t="inlineStr">
        <is>
          <t>Chỉ tiêu cơ sở</t>
        </is>
      </c>
      <c r="H685" s="386" t="inlineStr">
        <is>
          <t>TB</t>
        </is>
      </c>
      <c r="I685" s="386" t="inlineStr">
        <is>
          <t>Ngày, CTCK</t>
        </is>
      </c>
      <c r="J685" s="395" t="inlineStr">
        <is>
          <t>SCMS</t>
        </is>
      </c>
      <c r="K685" s="395" t="n"/>
      <c r="L685" s="395" t="inlineStr">
        <is>
          <t>X</t>
        </is>
      </c>
      <c r="M685" s="395" t="n"/>
      <c r="N685" s="395" t="inlineStr">
        <is>
          <t>Pending</t>
        </is>
      </c>
      <c r="O685" s="401" t="n"/>
      <c r="P685" s="395" t="n"/>
      <c r="Q685" s="395" t="n"/>
      <c r="R685" s="395" t="n"/>
      <c r="S685" s="395" t="n"/>
      <c r="T685" s="386" t="n"/>
      <c r="U685" s="386" t="n"/>
      <c r="V685" s="395" t="n"/>
      <c r="W685" s="395" t="n"/>
      <c r="X685" s="395" t="n"/>
      <c r="Y685" s="13" t="n"/>
      <c r="Z685" s="395" t="n"/>
      <c r="AA685" s="395" t="n"/>
      <c r="AB685" s="395" t="n"/>
      <c r="AC685" s="395" t="n"/>
      <c r="AD685" s="395" t="n"/>
      <c r="AE685" s="395" t="n"/>
    </row>
    <row r="686" ht="112" customHeight="1" s="380">
      <c r="A686" s="108" t="n">
        <v>48</v>
      </c>
      <c r="B686" s="386" t="n"/>
      <c r="C686" s="386" t="inlineStr">
        <is>
          <t>Báo cáo giám sát &gt;&gt; Báo cáo giám sát quy định về tài chính</t>
        </is>
      </c>
      <c r="D686" s="386" t="inlineStr">
        <is>
          <t>Hạn chế đầu tư &gt;&gt; CTCK không được trực tiếp hoặc ủy thác cho tổ chức, cá nhân khác thực hiện cùng với người có liên quan đầu tư từ 5% trở lên vốn điều lệ của CTCK khác &gt;&gt; Tháng 7</t>
        </is>
      </c>
      <c r="E686" s="386" t="inlineStr">
        <is>
          <t>Hạn chế đầu tư &gt;&gt; CTCK không được trực tiếp hoặc ủy thác cho tổ chức, cá nhân khác thực hiện cùng với người có liên quan đầu tư từ 5% trở lên vốn điều lệ của CTCK khác &gt;&gt; Tháng 7</t>
        </is>
      </c>
      <c r="F686" s="386" t="inlineStr">
        <is>
          <t>Data Explorer</t>
        </is>
      </c>
      <c r="G686" s="386" t="inlineStr">
        <is>
          <t>Chỉ tiêu cơ sở</t>
        </is>
      </c>
      <c r="H686" s="386" t="inlineStr">
        <is>
          <t>TB</t>
        </is>
      </c>
      <c r="I686" s="386" t="inlineStr">
        <is>
          <t>Ngày, CTCK</t>
        </is>
      </c>
      <c r="J686" s="395" t="inlineStr">
        <is>
          <t>SCMS</t>
        </is>
      </c>
      <c r="K686" s="395" t="n"/>
      <c r="L686" s="395" t="inlineStr">
        <is>
          <t>X</t>
        </is>
      </c>
      <c r="M686" s="395" t="n"/>
      <c r="N686" s="395" t="inlineStr">
        <is>
          <t>Pending</t>
        </is>
      </c>
      <c r="O686" s="401" t="n"/>
      <c r="P686" s="395" t="n"/>
      <c r="Q686" s="395" t="n"/>
      <c r="R686" s="395" t="n"/>
      <c r="S686" s="395" t="n"/>
      <c r="T686" s="386" t="n"/>
      <c r="U686" s="386" t="n"/>
      <c r="V686" s="395" t="n"/>
      <c r="W686" s="395" t="n"/>
      <c r="X686" s="395" t="n"/>
      <c r="Y686" s="13" t="n"/>
      <c r="Z686" s="395" t="n"/>
      <c r="AA686" s="395" t="n"/>
      <c r="AB686" s="395" t="n"/>
      <c r="AC686" s="395" t="n"/>
      <c r="AD686" s="395" t="n"/>
      <c r="AE686" s="395" t="n"/>
    </row>
    <row r="687" ht="112" customHeight="1" s="380">
      <c r="A687" s="108" t="n">
        <v>48</v>
      </c>
      <c r="B687" s="386" t="n"/>
      <c r="C687" s="386" t="inlineStr">
        <is>
          <t>Báo cáo giám sát &gt;&gt; Báo cáo giám sát quy định về tài chính</t>
        </is>
      </c>
      <c r="D687" s="386" t="inlineStr">
        <is>
          <t>Hạn chế đầu tư &gt;&gt; CTCK không được trực tiếp hoặc ủy thác cho tổ chức, cá nhân khác thực hiện cùng với người có liên quan đầu tư từ 5% trở lên vốn điều lệ của CTCK khác &gt;&gt; Tháng 8</t>
        </is>
      </c>
      <c r="E687" s="386" t="inlineStr">
        <is>
          <t>Hạn chế đầu tư &gt;&gt; CTCK không được trực tiếp hoặc ủy thác cho tổ chức, cá nhân khác thực hiện cùng với người có liên quan đầu tư từ 5% trở lên vốn điều lệ của CTCK khác &gt;&gt; Tháng 8</t>
        </is>
      </c>
      <c r="F687" s="386" t="inlineStr">
        <is>
          <t>Data Explorer</t>
        </is>
      </c>
      <c r="G687" s="386" t="inlineStr">
        <is>
          <t>Chỉ tiêu cơ sở</t>
        </is>
      </c>
      <c r="H687" s="386" t="inlineStr">
        <is>
          <t>TB</t>
        </is>
      </c>
      <c r="I687" s="386" t="inlineStr">
        <is>
          <t>Ngày, CTCK</t>
        </is>
      </c>
      <c r="J687" s="395" t="inlineStr">
        <is>
          <t>SCMS</t>
        </is>
      </c>
      <c r="K687" s="395" t="n"/>
      <c r="L687" s="395" t="inlineStr">
        <is>
          <t>X</t>
        </is>
      </c>
      <c r="M687" s="395" t="n"/>
      <c r="N687" s="395" t="inlineStr">
        <is>
          <t>Pending</t>
        </is>
      </c>
      <c r="O687" s="401" t="n"/>
      <c r="P687" s="395" t="n"/>
      <c r="Q687" s="395" t="n"/>
      <c r="R687" s="395" t="n"/>
      <c r="S687" s="395" t="n"/>
      <c r="T687" s="386" t="n"/>
      <c r="U687" s="386" t="n"/>
      <c r="V687" s="395" t="n"/>
      <c r="W687" s="395" t="n"/>
      <c r="X687" s="395" t="n"/>
      <c r="Y687" s="13" t="n"/>
      <c r="Z687" s="395" t="n"/>
      <c r="AA687" s="395" t="n"/>
      <c r="AB687" s="395" t="n"/>
      <c r="AC687" s="395" t="n"/>
      <c r="AD687" s="395" t="n"/>
      <c r="AE687" s="395" t="n"/>
    </row>
    <row r="688" ht="112" customHeight="1" s="380">
      <c r="A688" s="108" t="n">
        <v>48</v>
      </c>
      <c r="B688" s="386" t="n"/>
      <c r="C688" s="386" t="inlineStr">
        <is>
          <t>Báo cáo giám sát &gt;&gt; Báo cáo giám sát quy định về tài chính</t>
        </is>
      </c>
      <c r="D688" s="386" t="inlineStr">
        <is>
          <t>Hạn chế đầu tư &gt;&gt; CTCK không được trực tiếp hoặc ủy thác cho tổ chức, cá nhân khác thực hiện cùng với người có liên quan đầu tư từ 5% trở lên vốn điều lệ của CTCK khác &gt;&gt; Tháng 9</t>
        </is>
      </c>
      <c r="E688" s="386" t="inlineStr">
        <is>
          <t>Hạn chế đầu tư &gt;&gt; CTCK không được trực tiếp hoặc ủy thác cho tổ chức, cá nhân khác thực hiện cùng với người có liên quan đầu tư từ 5% trở lên vốn điều lệ của CTCK khác &gt;&gt; Tháng 9</t>
        </is>
      </c>
      <c r="F688" s="386" t="inlineStr">
        <is>
          <t>Data Explorer</t>
        </is>
      </c>
      <c r="G688" s="386" t="inlineStr">
        <is>
          <t>Chỉ tiêu cơ sở</t>
        </is>
      </c>
      <c r="H688" s="386" t="inlineStr">
        <is>
          <t>TB</t>
        </is>
      </c>
      <c r="I688" s="386" t="inlineStr">
        <is>
          <t>Ngày, CTCK</t>
        </is>
      </c>
      <c r="J688" s="395" t="inlineStr">
        <is>
          <t>SCMS</t>
        </is>
      </c>
      <c r="K688" s="395" t="n"/>
      <c r="L688" s="395" t="inlineStr">
        <is>
          <t>X</t>
        </is>
      </c>
      <c r="M688" s="395" t="n"/>
      <c r="N688" s="395" t="inlineStr">
        <is>
          <t>Pending</t>
        </is>
      </c>
      <c r="O688" s="401" t="n"/>
      <c r="P688" s="395" t="n"/>
      <c r="Q688" s="395" t="n"/>
      <c r="R688" s="395" t="n"/>
      <c r="S688" s="395" t="n"/>
      <c r="T688" s="386" t="n"/>
      <c r="U688" s="386" t="n"/>
      <c r="V688" s="395" t="n"/>
      <c r="W688" s="395" t="n"/>
      <c r="X688" s="395" t="n"/>
      <c r="Y688" s="13" t="n"/>
      <c r="Z688" s="395" t="n"/>
      <c r="AA688" s="395" t="n"/>
      <c r="AB688" s="395" t="n"/>
      <c r="AC688" s="395" t="n"/>
      <c r="AD688" s="395" t="n"/>
      <c r="AE688" s="395" t="n"/>
    </row>
    <row r="689" ht="112" customHeight="1" s="380">
      <c r="A689" s="108" t="n">
        <v>48</v>
      </c>
      <c r="B689" s="386" t="n"/>
      <c r="C689" s="386" t="inlineStr">
        <is>
          <t>Báo cáo giám sát &gt;&gt; Báo cáo giám sát quy định về tài chính</t>
        </is>
      </c>
      <c r="D689" s="386" t="inlineStr">
        <is>
          <t>Hạn chế đầu tư &gt;&gt; CTCK không được trực tiếp hoặc ủy thác cho tổ chức, cá nhân khác thực hiện cùng với người có liên quan đầu tư từ 5% trở lên vốn điều lệ của CTCK khác &gt;&gt; Tháng 10</t>
        </is>
      </c>
      <c r="E689" s="386" t="inlineStr">
        <is>
          <t>Hạn chế đầu tư &gt;&gt; CTCK không được trực tiếp hoặc ủy thác cho tổ chức, cá nhân khác thực hiện cùng với người có liên quan đầu tư từ 5% trở lên vốn điều lệ của CTCK khác &gt;&gt; Tháng 10</t>
        </is>
      </c>
      <c r="F689" s="386" t="inlineStr">
        <is>
          <t>Data Explorer</t>
        </is>
      </c>
      <c r="G689" s="386" t="inlineStr">
        <is>
          <t>Chỉ tiêu cơ sở</t>
        </is>
      </c>
      <c r="H689" s="386" t="inlineStr">
        <is>
          <t>TB</t>
        </is>
      </c>
      <c r="I689" s="386" t="inlineStr">
        <is>
          <t>Ngày, CTCK</t>
        </is>
      </c>
      <c r="J689" s="395" t="inlineStr">
        <is>
          <t>SCMS</t>
        </is>
      </c>
      <c r="K689" s="395" t="n"/>
      <c r="L689" s="395" t="inlineStr">
        <is>
          <t>X</t>
        </is>
      </c>
      <c r="M689" s="395" t="n"/>
      <c r="N689" s="395" t="inlineStr">
        <is>
          <t>Pending</t>
        </is>
      </c>
      <c r="O689" s="401" t="n"/>
      <c r="P689" s="395" t="n"/>
      <c r="Q689" s="395" t="n"/>
      <c r="R689" s="395" t="n"/>
      <c r="S689" s="395" t="n"/>
      <c r="T689" s="386" t="n"/>
      <c r="U689" s="386" t="n"/>
      <c r="V689" s="395" t="n"/>
      <c r="W689" s="395" t="n"/>
      <c r="X689" s="395" t="n"/>
      <c r="Y689" s="38" t="n"/>
      <c r="Z689" s="395" t="n"/>
      <c r="AA689" s="395" t="n"/>
      <c r="AB689" s="395" t="n"/>
      <c r="AC689" s="395" t="n"/>
      <c r="AD689" s="395" t="n"/>
      <c r="AE689" s="395" t="n"/>
    </row>
    <row r="690" ht="112" customHeight="1" s="380">
      <c r="A690" s="108" t="n">
        <v>48</v>
      </c>
      <c r="B690" s="386" t="n"/>
      <c r="C690" s="386" t="inlineStr">
        <is>
          <t>Báo cáo giám sát &gt;&gt; Báo cáo giám sát quy định về tài chính</t>
        </is>
      </c>
      <c r="D690" s="386" t="inlineStr">
        <is>
          <t>Hạn chế đầu tư &gt;&gt; CTCK không được trực tiếp hoặc ủy thác cho tổ chức, cá nhân khác thực hiện cùng với người có liên quan đầu tư từ 5% trở lên vốn điều lệ của CTCK khác &gt;&gt; Tháng 11</t>
        </is>
      </c>
      <c r="E690" s="386" t="inlineStr">
        <is>
          <t>Hạn chế đầu tư &gt;&gt; CTCK không được trực tiếp hoặc ủy thác cho tổ chức, cá nhân khác thực hiện cùng với người có liên quan đầu tư từ 5% trở lên vốn điều lệ của CTCK khác &gt;&gt; Tháng 11</t>
        </is>
      </c>
      <c r="F690" s="386" t="inlineStr">
        <is>
          <t>Data Explorer</t>
        </is>
      </c>
      <c r="G690" s="386" t="inlineStr">
        <is>
          <t>Chỉ tiêu cơ sở</t>
        </is>
      </c>
      <c r="H690" s="386" t="inlineStr">
        <is>
          <t>TB</t>
        </is>
      </c>
      <c r="I690" s="386" t="inlineStr">
        <is>
          <t>Ngày, CTCK</t>
        </is>
      </c>
      <c r="J690" s="395" t="inlineStr">
        <is>
          <t>SCMS</t>
        </is>
      </c>
      <c r="K690" s="395" t="n"/>
      <c r="L690" s="395" t="inlineStr">
        <is>
          <t>X</t>
        </is>
      </c>
      <c r="M690" s="395" t="n"/>
      <c r="N690" s="395" t="inlineStr">
        <is>
          <t>Pending</t>
        </is>
      </c>
      <c r="O690" s="401" t="n"/>
      <c r="P690" s="395" t="n"/>
      <c r="Q690" s="395" t="n"/>
      <c r="R690" s="395" t="n"/>
      <c r="S690" s="395" t="n"/>
      <c r="T690" s="386" t="n"/>
      <c r="U690" s="386" t="n"/>
      <c r="V690" s="395" t="n"/>
      <c r="W690" s="395" t="n"/>
      <c r="X690" s="395" t="n"/>
      <c r="Y690" s="13" t="n"/>
      <c r="Z690" s="395" t="n"/>
      <c r="AA690" s="395" t="n"/>
      <c r="AB690" s="395" t="n"/>
      <c r="AC690" s="395" t="n"/>
      <c r="AD690" s="395" t="n"/>
      <c r="AE690" s="395" t="n"/>
    </row>
    <row r="691" ht="112" customHeight="1" s="380">
      <c r="A691" s="108" t="n">
        <v>48</v>
      </c>
      <c r="B691" s="386" t="n"/>
      <c r="C691" s="386" t="inlineStr">
        <is>
          <t>Báo cáo giám sát &gt;&gt; Báo cáo giám sát quy định về tài chính</t>
        </is>
      </c>
      <c r="D691" s="386" t="inlineStr">
        <is>
          <t>Hạn chế đầu tư &gt;&gt; CTCK không được trực tiếp hoặc ủy thác cho tổ chức, cá nhân khác thực hiện cùng với người có liên quan đầu tư từ 5% trở lên vốn điều lệ của CTCK khác &gt;&gt; Tháng 12</t>
        </is>
      </c>
      <c r="E691" s="386" t="inlineStr">
        <is>
          <t>Hạn chế đầu tư &gt;&gt; CTCK không được trực tiếp hoặc ủy thác cho tổ chức, cá nhân khác thực hiện cùng với người có liên quan đầu tư từ 5% trở lên vốn điều lệ của CTCK khác &gt;&gt; Tháng 12</t>
        </is>
      </c>
      <c r="F691" s="386" t="inlineStr">
        <is>
          <t>Data Explorer</t>
        </is>
      </c>
      <c r="G691" s="386" t="inlineStr">
        <is>
          <t>Chỉ tiêu cơ sở</t>
        </is>
      </c>
      <c r="H691" s="386" t="inlineStr">
        <is>
          <t>TB</t>
        </is>
      </c>
      <c r="I691" s="386" t="inlineStr">
        <is>
          <t>Ngày, CTCK</t>
        </is>
      </c>
      <c r="J691" s="395" t="inlineStr">
        <is>
          <t>SCMS</t>
        </is>
      </c>
      <c r="K691" s="395" t="n"/>
      <c r="L691" s="395" t="inlineStr">
        <is>
          <t>X</t>
        </is>
      </c>
      <c r="M691" s="395" t="n"/>
      <c r="N691" s="395" t="inlineStr">
        <is>
          <t>Pending</t>
        </is>
      </c>
      <c r="O691" s="401" t="n"/>
      <c r="P691" s="395" t="n"/>
      <c r="Q691" s="395" t="n"/>
      <c r="R691" s="395" t="n"/>
      <c r="S691" s="395" t="n"/>
      <c r="T691" s="386" t="n"/>
      <c r="U691" s="386" t="n"/>
      <c r="V691" s="395" t="n"/>
      <c r="W691" s="395" t="n"/>
      <c r="X691" s="395" t="n"/>
      <c r="Y691" s="13" t="n"/>
      <c r="Z691" s="395" t="n"/>
      <c r="AA691" s="395" t="n"/>
      <c r="AB691" s="395" t="n"/>
      <c r="AC691" s="395" t="n"/>
      <c r="AD691" s="395" t="n"/>
      <c r="AE691" s="395" t="n"/>
    </row>
    <row r="692" ht="126" customHeight="1" s="380">
      <c r="A692" s="108" t="n">
        <v>48</v>
      </c>
      <c r="B692" s="386" t="n"/>
      <c r="C692" s="386" t="inlineStr">
        <is>
          <t>Báo cáo giám sát &gt;&gt; Báo cáo giám sát quy định về tài chính</t>
        </is>
      </c>
      <c r="D692" s="386" t="inlineStr">
        <is>
          <t>Hạn chế đầu tư &gt;&gt; CTCK không được trực tiếp hoặc ủy thác cho tổ chức, cá nhân khác thực hiện đầu tư quá 20% tổng số cổ phiếu, chứng chỉ quỹ đang lưu hành của một tổ chức niêm yết &gt;&gt; Tháng 1</t>
        </is>
      </c>
      <c r="E692" s="386" t="inlineStr">
        <is>
          <t>Hạn chế đầu tư &gt;&gt; CTCK không được trực tiếp hoặc ủy thác cho tổ chức, cá nhân khác thực hiện đầu tư quá 20% tổng số cổ phiếu, chứng chỉ quỹ đang lưu hành của một tổ chức niêm yết &gt;&gt; Tháng 1</t>
        </is>
      </c>
      <c r="F692" s="386" t="inlineStr">
        <is>
          <t>Data Explorer</t>
        </is>
      </c>
      <c r="G692" s="386" t="inlineStr">
        <is>
          <t>Chỉ tiêu cơ sở</t>
        </is>
      </c>
      <c r="H692" s="386" t="inlineStr">
        <is>
          <t>TB</t>
        </is>
      </c>
      <c r="I692" s="386" t="inlineStr">
        <is>
          <t>Ngày, CTCK</t>
        </is>
      </c>
      <c r="J692" s="395" t="inlineStr">
        <is>
          <t>SCMS</t>
        </is>
      </c>
      <c r="K692" s="395" t="n"/>
      <c r="L692" s="395" t="inlineStr">
        <is>
          <t>X</t>
        </is>
      </c>
      <c r="M692" s="395" t="n"/>
      <c r="N692" s="395" t="inlineStr">
        <is>
          <t>Pending</t>
        </is>
      </c>
      <c r="O692" s="401" t="n"/>
      <c r="P692" s="395" t="n"/>
      <c r="Q692" s="395" t="n"/>
      <c r="R692" s="395" t="n"/>
      <c r="S692" s="395" t="n"/>
      <c r="T692" s="386" t="n"/>
      <c r="U692" s="386" t="n"/>
      <c r="V692" s="395" t="n"/>
      <c r="W692" s="395" t="n"/>
      <c r="X692" s="395" t="n"/>
      <c r="Y692" s="13" t="n"/>
      <c r="Z692" s="395" t="n"/>
      <c r="AA692" s="395" t="n"/>
      <c r="AB692" s="395" t="n"/>
      <c r="AC692" s="395" t="n"/>
      <c r="AD692" s="395" t="n"/>
      <c r="AE692" s="395" t="n"/>
    </row>
    <row r="693" ht="126" customHeight="1" s="380">
      <c r="A693" s="108" t="n">
        <v>48</v>
      </c>
      <c r="B693" s="386" t="n"/>
      <c r="C693" s="386" t="inlineStr">
        <is>
          <t>Báo cáo giám sát &gt;&gt; Báo cáo giám sát quy định về tài chính</t>
        </is>
      </c>
      <c r="D693" s="386" t="inlineStr">
        <is>
          <t>Hạn chế đầu tư &gt;&gt; CTCK không được trực tiếp hoặc ủy thác cho tổ chức, cá nhân khác thực hiện đầu tư quá 20% tổng số cổ phiếu, chứng chỉ quỹ đang lưu hành của một tổ chức niêm yết &gt;&gt; Tháng 2</t>
        </is>
      </c>
      <c r="E693" s="386" t="inlineStr">
        <is>
          <t>Hạn chế đầu tư &gt;&gt; CTCK không được trực tiếp hoặc ủy thác cho tổ chức, cá nhân khác thực hiện đầu tư quá 20% tổng số cổ phiếu, chứng chỉ quỹ đang lưu hành của một tổ chức niêm yết &gt;&gt; Tháng 2</t>
        </is>
      </c>
      <c r="F693" s="386" t="inlineStr">
        <is>
          <t>Data Explorer</t>
        </is>
      </c>
      <c r="G693" s="386" t="inlineStr">
        <is>
          <t>Chỉ tiêu cơ sở</t>
        </is>
      </c>
      <c r="H693" s="386" t="inlineStr">
        <is>
          <t>TB</t>
        </is>
      </c>
      <c r="I693" s="386" t="inlineStr">
        <is>
          <t>Ngày, CTCK</t>
        </is>
      </c>
      <c r="J693" s="395" t="inlineStr">
        <is>
          <t>SCMS</t>
        </is>
      </c>
      <c r="K693" s="395" t="n"/>
      <c r="L693" s="395" t="inlineStr">
        <is>
          <t>X</t>
        </is>
      </c>
      <c r="M693" s="395" t="n"/>
      <c r="N693" s="395" t="inlineStr">
        <is>
          <t>Pending</t>
        </is>
      </c>
      <c r="O693" s="401" t="n"/>
      <c r="P693" s="395" t="n"/>
      <c r="Q693" s="395" t="n"/>
      <c r="R693" s="395" t="n"/>
      <c r="S693" s="395" t="n"/>
      <c r="T693" s="386" t="n"/>
      <c r="U693" s="386" t="n"/>
      <c r="V693" s="395" t="n"/>
      <c r="W693" s="395" t="n"/>
      <c r="X693" s="395" t="n"/>
      <c r="Y693" s="13" t="n"/>
      <c r="Z693" s="395" t="n"/>
      <c r="AA693" s="395" t="n"/>
      <c r="AB693" s="395" t="n"/>
      <c r="AC693" s="395" t="n"/>
      <c r="AD693" s="395" t="n"/>
      <c r="AE693" s="395" t="n"/>
    </row>
    <row r="694" ht="126" customHeight="1" s="380">
      <c r="A694" s="108" t="n">
        <v>48</v>
      </c>
      <c r="B694" s="386" t="n"/>
      <c r="C694" s="386" t="inlineStr">
        <is>
          <t>Báo cáo giám sát &gt;&gt; Báo cáo giám sát quy định về tài chính</t>
        </is>
      </c>
      <c r="D694" s="386" t="inlineStr">
        <is>
          <t>Hạn chế đầu tư &gt;&gt; CTCK không được trực tiếp hoặc ủy thác cho tổ chức, cá nhân khác thực hiện đầu tư quá 20% tổng số cổ phiếu, chứng chỉ quỹ đang lưu hành của một tổ chức niêm yết &gt;&gt; Tháng 3</t>
        </is>
      </c>
      <c r="E694" s="386" t="inlineStr">
        <is>
          <t>Hạn chế đầu tư &gt;&gt; CTCK không được trực tiếp hoặc ủy thác cho tổ chức, cá nhân khác thực hiện đầu tư quá 20% tổng số cổ phiếu, chứng chỉ quỹ đang lưu hành của một tổ chức niêm yết &gt;&gt; Tháng 3</t>
        </is>
      </c>
      <c r="F694" s="386" t="inlineStr">
        <is>
          <t>Data Explorer</t>
        </is>
      </c>
      <c r="G694" s="386" t="inlineStr">
        <is>
          <t>Chỉ tiêu cơ sở</t>
        </is>
      </c>
      <c r="H694" s="386" t="inlineStr">
        <is>
          <t>TB</t>
        </is>
      </c>
      <c r="I694" s="386" t="inlineStr">
        <is>
          <t>Ngày, CTCK</t>
        </is>
      </c>
      <c r="J694" s="395" t="inlineStr">
        <is>
          <t>SCMS</t>
        </is>
      </c>
      <c r="K694" s="395" t="n"/>
      <c r="L694" s="395" t="inlineStr">
        <is>
          <t>X</t>
        </is>
      </c>
      <c r="M694" s="395" t="n"/>
      <c r="N694" s="395" t="inlineStr">
        <is>
          <t>Pending</t>
        </is>
      </c>
      <c r="O694" s="401" t="n"/>
      <c r="P694" s="395" t="n"/>
      <c r="Q694" s="395" t="n"/>
      <c r="R694" s="395" t="n"/>
      <c r="S694" s="395" t="n"/>
      <c r="T694" s="386" t="n"/>
      <c r="U694" s="386" t="n"/>
      <c r="V694" s="395" t="n"/>
      <c r="W694" s="395" t="n"/>
      <c r="X694" s="395" t="n"/>
      <c r="Y694" s="13" t="n"/>
      <c r="Z694" s="395" t="n"/>
      <c r="AA694" s="395" t="n"/>
      <c r="AB694" s="395" t="n"/>
      <c r="AC694" s="395" t="n"/>
      <c r="AD694" s="395" t="n"/>
      <c r="AE694" s="395" t="n"/>
    </row>
    <row r="695" ht="126" customHeight="1" s="380">
      <c r="A695" s="108" t="n">
        <v>48</v>
      </c>
      <c r="B695" s="386" t="n"/>
      <c r="C695" s="386" t="inlineStr">
        <is>
          <t>Báo cáo giám sát &gt;&gt; Báo cáo giám sát quy định về tài chính</t>
        </is>
      </c>
      <c r="D695" s="386" t="inlineStr">
        <is>
          <t>Hạn chế đầu tư &gt;&gt; CTCK không được trực tiếp hoặc ủy thác cho tổ chức, cá nhân khác thực hiện đầu tư quá 20% tổng số cổ phiếu, chứng chỉ quỹ đang lưu hành của một tổ chức niêm yết &gt;&gt; Tháng 4</t>
        </is>
      </c>
      <c r="E695" s="386" t="inlineStr">
        <is>
          <t>Hạn chế đầu tư &gt;&gt; CTCK không được trực tiếp hoặc ủy thác cho tổ chức, cá nhân khác thực hiện đầu tư quá 20% tổng số cổ phiếu, chứng chỉ quỹ đang lưu hành của một tổ chức niêm yết &gt;&gt; Tháng 4</t>
        </is>
      </c>
      <c r="F695" s="386" t="inlineStr">
        <is>
          <t>Data Explorer</t>
        </is>
      </c>
      <c r="G695" s="386" t="inlineStr">
        <is>
          <t>Chỉ tiêu cơ sở</t>
        </is>
      </c>
      <c r="H695" s="386" t="inlineStr">
        <is>
          <t>TB</t>
        </is>
      </c>
      <c r="I695" s="386" t="inlineStr">
        <is>
          <t>Ngày, CTCK</t>
        </is>
      </c>
      <c r="J695" s="395" t="inlineStr">
        <is>
          <t>SCMS</t>
        </is>
      </c>
      <c r="K695" s="395" t="n"/>
      <c r="L695" s="395" t="inlineStr">
        <is>
          <t>X</t>
        </is>
      </c>
      <c r="M695" s="395" t="n"/>
      <c r="N695" s="395" t="inlineStr">
        <is>
          <t>Pending</t>
        </is>
      </c>
      <c r="O695" s="401" t="n"/>
      <c r="P695" s="395" t="n"/>
      <c r="Q695" s="395" t="n"/>
      <c r="R695" s="395" t="n"/>
      <c r="S695" s="395" t="n"/>
      <c r="T695" s="386" t="n"/>
      <c r="U695" s="386" t="n"/>
      <c r="V695" s="395" t="n"/>
      <c r="W695" s="395" t="n"/>
      <c r="X695" s="395" t="n"/>
      <c r="Y695" s="14" t="n"/>
      <c r="Z695" s="395" t="n"/>
      <c r="AA695" s="395" t="n"/>
      <c r="AB695" s="395" t="n"/>
      <c r="AC695" s="395" t="n"/>
      <c r="AD695" s="395" t="n"/>
      <c r="AE695" s="395" t="n"/>
    </row>
    <row r="696" ht="126" customHeight="1" s="380">
      <c r="A696" s="108" t="n">
        <v>48</v>
      </c>
      <c r="B696" s="386" t="n"/>
      <c r="C696" s="386" t="inlineStr">
        <is>
          <t>Báo cáo giám sát &gt;&gt; Báo cáo giám sát quy định về tài chính</t>
        </is>
      </c>
      <c r="D696" s="386" t="inlineStr">
        <is>
          <t>Hạn chế đầu tư &gt;&gt; CTCK không được trực tiếp hoặc ủy thác cho tổ chức, cá nhân khác thực hiện đầu tư quá 20% tổng số cổ phiếu, chứng chỉ quỹ đang lưu hành của một tổ chức niêm yết &gt;&gt; Tháng 5</t>
        </is>
      </c>
      <c r="E696" s="386" t="inlineStr">
        <is>
          <t>Hạn chế đầu tư &gt;&gt; CTCK không được trực tiếp hoặc ủy thác cho tổ chức, cá nhân khác thực hiện đầu tư quá 20% tổng số cổ phiếu, chứng chỉ quỹ đang lưu hành của một tổ chức niêm yết &gt;&gt; Tháng 5</t>
        </is>
      </c>
      <c r="F696" s="386" t="inlineStr">
        <is>
          <t>Data Explorer</t>
        </is>
      </c>
      <c r="G696" s="386" t="inlineStr">
        <is>
          <t>Chỉ tiêu cơ sở</t>
        </is>
      </c>
      <c r="H696" s="386" t="inlineStr">
        <is>
          <t>TB</t>
        </is>
      </c>
      <c r="I696" s="386" t="inlineStr">
        <is>
          <t>Ngày, CTCK</t>
        </is>
      </c>
      <c r="J696" s="395" t="inlineStr">
        <is>
          <t>SCMS</t>
        </is>
      </c>
      <c r="K696" s="395" t="n"/>
      <c r="L696" s="395" t="inlineStr">
        <is>
          <t>X</t>
        </is>
      </c>
      <c r="M696" s="395" t="n"/>
      <c r="N696" s="395" t="inlineStr">
        <is>
          <t>Pending</t>
        </is>
      </c>
      <c r="O696" s="401" t="n"/>
      <c r="P696" s="395" t="n"/>
      <c r="Q696" s="395" t="n"/>
      <c r="R696" s="395" t="n"/>
      <c r="S696" s="395" t="n"/>
      <c r="T696" s="386" t="n"/>
      <c r="U696" s="386" t="n"/>
      <c r="V696" s="395" t="n"/>
      <c r="W696" s="395" t="n"/>
      <c r="X696" s="395" t="n"/>
      <c r="Y696" s="13" t="n"/>
      <c r="Z696" s="395" t="n"/>
      <c r="AA696" s="395" t="n"/>
      <c r="AB696" s="395" t="n"/>
      <c r="AC696" s="395" t="n"/>
      <c r="AD696" s="395" t="n"/>
      <c r="AE696" s="395" t="n"/>
    </row>
    <row r="697" ht="126" customHeight="1" s="380">
      <c r="A697" s="108" t="n">
        <v>48</v>
      </c>
      <c r="B697" s="386" t="n"/>
      <c r="C697" s="386" t="inlineStr">
        <is>
          <t>Báo cáo giám sát &gt;&gt; Báo cáo giám sát quy định về tài chính</t>
        </is>
      </c>
      <c r="D697" s="386" t="inlineStr">
        <is>
          <t>Hạn chế đầu tư &gt;&gt; CTCK không được trực tiếp hoặc ủy thác cho tổ chức, cá nhân khác thực hiện đầu tư quá 20% tổng số cổ phiếu, chứng chỉ quỹ đang lưu hành của một tổ chức niêm yết &gt;&gt; Tháng 6</t>
        </is>
      </c>
      <c r="E697" s="386" t="inlineStr">
        <is>
          <t>Hạn chế đầu tư &gt;&gt; CTCK không được trực tiếp hoặc ủy thác cho tổ chức, cá nhân khác thực hiện đầu tư quá 20% tổng số cổ phiếu, chứng chỉ quỹ đang lưu hành của một tổ chức niêm yết &gt;&gt; Tháng 6</t>
        </is>
      </c>
      <c r="F697" s="386" t="inlineStr">
        <is>
          <t>Data Explorer</t>
        </is>
      </c>
      <c r="G697" s="386" t="inlineStr">
        <is>
          <t>Chỉ tiêu cơ sở</t>
        </is>
      </c>
      <c r="H697" s="386" t="inlineStr">
        <is>
          <t>TB</t>
        </is>
      </c>
      <c r="I697" s="386" t="inlineStr">
        <is>
          <t>Ngày, CTCK</t>
        </is>
      </c>
      <c r="J697" s="395" t="inlineStr">
        <is>
          <t>SCMS</t>
        </is>
      </c>
      <c r="K697" s="395" t="n"/>
      <c r="L697" s="395" t="inlineStr">
        <is>
          <t>X</t>
        </is>
      </c>
      <c r="M697" s="395" t="n"/>
      <c r="N697" s="395" t="inlineStr">
        <is>
          <t>Pending</t>
        </is>
      </c>
      <c r="O697" s="401" t="n"/>
      <c r="P697" s="395" t="n"/>
      <c r="Q697" s="395" t="n"/>
      <c r="R697" s="395" t="n"/>
      <c r="S697" s="395" t="n"/>
      <c r="T697" s="386" t="n"/>
      <c r="U697" s="386" t="n"/>
      <c r="V697" s="395" t="n"/>
      <c r="W697" s="395" t="n"/>
      <c r="X697" s="395" t="n"/>
      <c r="Y697" s="13" t="n"/>
      <c r="Z697" s="395" t="n"/>
      <c r="AA697" s="395" t="n"/>
      <c r="AB697" s="395" t="n"/>
      <c r="AC697" s="395" t="n"/>
      <c r="AD697" s="395" t="n"/>
      <c r="AE697" s="395" t="n"/>
    </row>
    <row r="698" ht="126" customHeight="1" s="380">
      <c r="A698" s="108" t="n">
        <v>48</v>
      </c>
      <c r="B698" s="386" t="n"/>
      <c r="C698" s="386" t="inlineStr">
        <is>
          <t>Báo cáo giám sát &gt;&gt; Báo cáo giám sát quy định về tài chính</t>
        </is>
      </c>
      <c r="D698" s="386" t="inlineStr">
        <is>
          <t>Hạn chế đầu tư &gt;&gt; CTCK không được trực tiếp hoặc ủy thác cho tổ chức, cá nhân khác thực hiện đầu tư quá 20% tổng số cổ phiếu, chứng chỉ quỹ đang lưu hành của một tổ chức niêm yết &gt;&gt; Tháng 7</t>
        </is>
      </c>
      <c r="E698" s="386" t="inlineStr">
        <is>
          <t>Hạn chế đầu tư &gt;&gt; CTCK không được trực tiếp hoặc ủy thác cho tổ chức, cá nhân khác thực hiện đầu tư quá 20% tổng số cổ phiếu, chứng chỉ quỹ đang lưu hành của một tổ chức niêm yết &gt;&gt; Tháng 7</t>
        </is>
      </c>
      <c r="F698" s="386" t="inlineStr">
        <is>
          <t>Data Explorer</t>
        </is>
      </c>
      <c r="G698" s="386" t="inlineStr">
        <is>
          <t>Chỉ tiêu cơ sở</t>
        </is>
      </c>
      <c r="H698" s="386" t="inlineStr">
        <is>
          <t>TB</t>
        </is>
      </c>
      <c r="I698" s="386" t="inlineStr">
        <is>
          <t>Ngày, CTCK</t>
        </is>
      </c>
      <c r="J698" s="395" t="inlineStr">
        <is>
          <t>SCMS</t>
        </is>
      </c>
      <c r="K698" s="395" t="n"/>
      <c r="L698" s="395" t="inlineStr">
        <is>
          <t>X</t>
        </is>
      </c>
      <c r="M698" s="395" t="n"/>
      <c r="N698" s="395" t="inlineStr">
        <is>
          <t>Pending</t>
        </is>
      </c>
      <c r="O698" s="401" t="n"/>
      <c r="P698" s="395" t="n"/>
      <c r="Q698" s="395" t="n"/>
      <c r="R698" s="395" t="n"/>
      <c r="S698" s="395" t="n"/>
      <c r="T698" s="386" t="n"/>
      <c r="U698" s="386" t="n"/>
      <c r="V698" s="395" t="n"/>
      <c r="W698" s="395" t="n"/>
      <c r="X698" s="395" t="n"/>
      <c r="Y698" s="13" t="n"/>
      <c r="Z698" s="395" t="n"/>
      <c r="AA698" s="395" t="n"/>
      <c r="AB698" s="395" t="n"/>
      <c r="AC698" s="395" t="n"/>
      <c r="AD698" s="395" t="n"/>
      <c r="AE698" s="395" t="n"/>
    </row>
    <row r="699" ht="126" customHeight="1" s="380">
      <c r="A699" s="108" t="n">
        <v>48</v>
      </c>
      <c r="B699" s="386" t="n"/>
      <c r="C699" s="386" t="inlineStr">
        <is>
          <t>Báo cáo giám sát &gt;&gt; Báo cáo giám sát quy định về tài chính</t>
        </is>
      </c>
      <c r="D699" s="386" t="inlineStr">
        <is>
          <t>Hạn chế đầu tư &gt;&gt; CTCK không được trực tiếp hoặc ủy thác cho tổ chức, cá nhân khác thực hiện đầu tư quá 20% tổng số cổ phiếu, chứng chỉ quỹ đang lưu hành của một tổ chức niêm yết &gt;&gt; Tháng 8</t>
        </is>
      </c>
      <c r="E699" s="386" t="inlineStr">
        <is>
          <t>Hạn chế đầu tư &gt;&gt; CTCK không được trực tiếp hoặc ủy thác cho tổ chức, cá nhân khác thực hiện đầu tư quá 20% tổng số cổ phiếu, chứng chỉ quỹ đang lưu hành của một tổ chức niêm yết &gt;&gt; Tháng 8</t>
        </is>
      </c>
      <c r="F699" s="386" t="inlineStr">
        <is>
          <t>Data Explorer</t>
        </is>
      </c>
      <c r="G699" s="386" t="inlineStr">
        <is>
          <t>Chỉ tiêu cơ sở</t>
        </is>
      </c>
      <c r="H699" s="386" t="inlineStr">
        <is>
          <t>TB</t>
        </is>
      </c>
      <c r="I699" s="386" t="inlineStr">
        <is>
          <t>Ngày, CTCK</t>
        </is>
      </c>
      <c r="J699" s="395" t="inlineStr">
        <is>
          <t>SCMS</t>
        </is>
      </c>
      <c r="K699" s="395" t="n"/>
      <c r="L699" s="395" t="inlineStr">
        <is>
          <t>X</t>
        </is>
      </c>
      <c r="M699" s="395" t="n"/>
      <c r="N699" s="395" t="inlineStr">
        <is>
          <t>Pending</t>
        </is>
      </c>
      <c r="O699" s="401" t="n"/>
      <c r="P699" s="395" t="n"/>
      <c r="Q699" s="395" t="n"/>
      <c r="R699" s="395" t="n"/>
      <c r="S699" s="395" t="n"/>
      <c r="T699" s="386" t="n"/>
      <c r="U699" s="386" t="n"/>
      <c r="V699" s="395" t="n"/>
      <c r="W699" s="395" t="n"/>
      <c r="X699" s="395" t="n"/>
      <c r="Y699" s="13" t="n"/>
      <c r="Z699" s="395" t="n"/>
      <c r="AA699" s="395" t="n"/>
      <c r="AB699" s="395" t="n"/>
      <c r="AC699" s="395" t="n"/>
      <c r="AD699" s="395" t="n"/>
      <c r="AE699" s="395" t="n"/>
    </row>
    <row r="700" ht="126" customHeight="1" s="380">
      <c r="A700" s="108" t="n">
        <v>48</v>
      </c>
      <c r="B700" s="386" t="n"/>
      <c r="C700" s="386" t="inlineStr">
        <is>
          <t>Báo cáo giám sát &gt;&gt; Báo cáo giám sát quy định về tài chính</t>
        </is>
      </c>
      <c r="D700" s="386" t="inlineStr">
        <is>
          <t>Hạn chế đầu tư &gt;&gt; CTCK không được trực tiếp hoặc ủy thác cho tổ chức, cá nhân khác thực hiện đầu tư quá 20% tổng số cổ phiếu, chứng chỉ quỹ đang lưu hành của một tổ chức niêm yết &gt;&gt; Tháng 9</t>
        </is>
      </c>
      <c r="E700" s="386" t="inlineStr">
        <is>
          <t>Hạn chế đầu tư &gt;&gt; CTCK không được trực tiếp hoặc ủy thác cho tổ chức, cá nhân khác thực hiện đầu tư quá 20% tổng số cổ phiếu, chứng chỉ quỹ đang lưu hành của một tổ chức niêm yết &gt;&gt; Tháng 9</t>
        </is>
      </c>
      <c r="F700" s="386" t="inlineStr">
        <is>
          <t>Data Explorer</t>
        </is>
      </c>
      <c r="G700" s="386" t="inlineStr">
        <is>
          <t>Chỉ tiêu cơ sở</t>
        </is>
      </c>
      <c r="H700" s="386" t="inlineStr">
        <is>
          <t>TB</t>
        </is>
      </c>
      <c r="I700" s="386" t="inlineStr">
        <is>
          <t>Ngày, CTCK</t>
        </is>
      </c>
      <c r="J700" s="395" t="inlineStr">
        <is>
          <t>SCMS</t>
        </is>
      </c>
      <c r="K700" s="395" t="n"/>
      <c r="L700" s="395" t="inlineStr">
        <is>
          <t>X</t>
        </is>
      </c>
      <c r="M700" s="395" t="n"/>
      <c r="N700" s="395" t="inlineStr">
        <is>
          <t>Pending</t>
        </is>
      </c>
      <c r="O700" s="401" t="n"/>
      <c r="P700" s="395" t="n"/>
      <c r="Q700" s="395" t="n"/>
      <c r="R700" s="395" t="n"/>
      <c r="S700" s="395" t="n"/>
      <c r="T700" s="386" t="n"/>
      <c r="U700" s="386" t="n"/>
      <c r="V700" s="395" t="n"/>
      <c r="W700" s="395" t="n"/>
      <c r="X700" s="395" t="n"/>
      <c r="Y700" s="13" t="n"/>
      <c r="Z700" s="395" t="n"/>
      <c r="AA700" s="395" t="n"/>
      <c r="AB700" s="395" t="n"/>
      <c r="AC700" s="395" t="n"/>
      <c r="AD700" s="395" t="n"/>
      <c r="AE700" s="395" t="n"/>
    </row>
    <row r="701" ht="126" customHeight="1" s="380">
      <c r="A701" s="108" t="n">
        <v>48</v>
      </c>
      <c r="B701" s="386" t="n"/>
      <c r="C701" s="386" t="inlineStr">
        <is>
          <t>Báo cáo giám sát &gt;&gt; Báo cáo giám sát quy định về tài chính</t>
        </is>
      </c>
      <c r="D701" s="386" t="inlineStr">
        <is>
          <t>Hạn chế đầu tư &gt;&gt; CTCK không được trực tiếp hoặc ủy thác cho tổ chức, cá nhân khác thực hiện đầu tư quá 20% tổng số cổ phiếu, chứng chỉ quỹ đang lưu hành của một tổ chức niêm yết &gt;&gt; Tháng 10</t>
        </is>
      </c>
      <c r="E701" s="386" t="inlineStr">
        <is>
          <t>Hạn chế đầu tư &gt;&gt; CTCK không được trực tiếp hoặc ủy thác cho tổ chức, cá nhân khác thực hiện đầu tư quá 20% tổng số cổ phiếu, chứng chỉ quỹ đang lưu hành của một tổ chức niêm yết &gt;&gt; Tháng 10</t>
        </is>
      </c>
      <c r="F701" s="386" t="inlineStr">
        <is>
          <t>Data Explorer</t>
        </is>
      </c>
      <c r="G701" s="386" t="inlineStr">
        <is>
          <t>Chỉ tiêu cơ sở</t>
        </is>
      </c>
      <c r="H701" s="386" t="inlineStr">
        <is>
          <t>TB</t>
        </is>
      </c>
      <c r="I701" s="386" t="inlineStr">
        <is>
          <t>Ngày, CTCK</t>
        </is>
      </c>
      <c r="J701" s="395" t="inlineStr">
        <is>
          <t>SCMS</t>
        </is>
      </c>
      <c r="K701" s="395" t="n"/>
      <c r="L701" s="395" t="inlineStr">
        <is>
          <t>X</t>
        </is>
      </c>
      <c r="M701" s="395" t="n"/>
      <c r="N701" s="395" t="inlineStr">
        <is>
          <t>Pending</t>
        </is>
      </c>
      <c r="O701" s="401" t="n"/>
      <c r="P701" s="395" t="n"/>
      <c r="Q701" s="395" t="n"/>
      <c r="R701" s="395" t="n"/>
      <c r="S701" s="395" t="n"/>
      <c r="T701" s="386" t="n"/>
      <c r="U701" s="386" t="n"/>
      <c r="V701" s="395" t="n"/>
      <c r="W701" s="395" t="n"/>
      <c r="X701" s="395" t="n"/>
      <c r="Y701" s="14" t="n"/>
      <c r="Z701" s="395" t="n"/>
      <c r="AA701" s="395" t="n"/>
      <c r="AB701" s="395" t="n"/>
      <c r="AC701" s="395" t="n"/>
      <c r="AD701" s="395" t="n"/>
      <c r="AE701" s="395" t="n"/>
    </row>
    <row r="702" ht="126" customHeight="1" s="380">
      <c r="A702" s="108" t="n">
        <v>48</v>
      </c>
      <c r="B702" s="386" t="n"/>
      <c r="C702" s="386" t="inlineStr">
        <is>
          <t>Báo cáo giám sát &gt;&gt; Báo cáo giám sát quy định về tài chính</t>
        </is>
      </c>
      <c r="D702" s="386" t="inlineStr">
        <is>
          <t>Hạn chế đầu tư &gt;&gt; CTCK không được trực tiếp hoặc ủy thác cho tổ chức, cá nhân khác thực hiện đầu tư quá 20% tổng số cổ phiếu, chứng chỉ quỹ đang lưu hành của một tổ chức niêm yết &gt;&gt; Tháng 11</t>
        </is>
      </c>
      <c r="E702" s="386" t="inlineStr">
        <is>
          <t>Hạn chế đầu tư &gt;&gt; CTCK không được trực tiếp hoặc ủy thác cho tổ chức, cá nhân khác thực hiện đầu tư quá 20% tổng số cổ phiếu, chứng chỉ quỹ đang lưu hành của một tổ chức niêm yết &gt;&gt; Tháng 11</t>
        </is>
      </c>
      <c r="F702" s="386" t="inlineStr">
        <is>
          <t>Data Explorer</t>
        </is>
      </c>
      <c r="G702" s="386" t="inlineStr">
        <is>
          <t>Chỉ tiêu cơ sở</t>
        </is>
      </c>
      <c r="H702" s="386" t="inlineStr">
        <is>
          <t>TB</t>
        </is>
      </c>
      <c r="I702" s="386" t="inlineStr">
        <is>
          <t>Ngày, CTCK</t>
        </is>
      </c>
      <c r="J702" s="395" t="inlineStr">
        <is>
          <t>SCMS</t>
        </is>
      </c>
      <c r="K702" s="395" t="n"/>
      <c r="L702" s="395" t="inlineStr">
        <is>
          <t>X</t>
        </is>
      </c>
      <c r="M702" s="395" t="n"/>
      <c r="N702" s="395" t="inlineStr">
        <is>
          <t>Pending</t>
        </is>
      </c>
      <c r="O702" s="401" t="n"/>
      <c r="P702" s="395" t="n"/>
      <c r="Q702" s="395" t="n"/>
      <c r="R702" s="395" t="n"/>
      <c r="S702" s="395" t="n"/>
      <c r="T702" s="386" t="n"/>
      <c r="U702" s="386" t="n"/>
      <c r="V702" s="395" t="n"/>
      <c r="W702" s="395" t="n"/>
      <c r="X702" s="395" t="n"/>
      <c r="Y702" s="13" t="n"/>
      <c r="Z702" s="395" t="n"/>
      <c r="AA702" s="395" t="n"/>
      <c r="AB702" s="395" t="n"/>
      <c r="AC702" s="395" t="n"/>
      <c r="AD702" s="395" t="n"/>
      <c r="AE702" s="395" t="n"/>
    </row>
    <row r="703" ht="126" customHeight="1" s="380">
      <c r="A703" s="108" t="n">
        <v>48</v>
      </c>
      <c r="B703" s="386" t="n"/>
      <c r="C703" s="386" t="inlineStr">
        <is>
          <t>Báo cáo giám sát &gt;&gt; Báo cáo giám sát quy định về tài chính</t>
        </is>
      </c>
      <c r="D703" s="386" t="inlineStr">
        <is>
          <t>Hạn chế đầu tư &gt;&gt; CTCK không được trực tiếp hoặc ủy thác cho tổ chức, cá nhân khác thực hiện đầu tư quá 20% tổng số cổ phiếu, chứng chỉ quỹ đang lưu hành của một tổ chức niêm yết &gt;&gt; Tháng 12</t>
        </is>
      </c>
      <c r="E703" s="386" t="inlineStr">
        <is>
          <t>Hạn chế đầu tư &gt;&gt; CTCK không được trực tiếp hoặc ủy thác cho tổ chức, cá nhân khác thực hiện đầu tư quá 20% tổng số cổ phiếu, chứng chỉ quỹ đang lưu hành của một tổ chức niêm yết &gt;&gt; Tháng 12</t>
        </is>
      </c>
      <c r="F703" s="386" t="inlineStr">
        <is>
          <t>Data Explorer</t>
        </is>
      </c>
      <c r="G703" s="386" t="inlineStr">
        <is>
          <t>Chỉ tiêu cơ sở</t>
        </is>
      </c>
      <c r="H703" s="386" t="inlineStr">
        <is>
          <t>TB</t>
        </is>
      </c>
      <c r="I703" s="386" t="inlineStr">
        <is>
          <t>Ngày, CTCK</t>
        </is>
      </c>
      <c r="J703" s="395" t="inlineStr">
        <is>
          <t>SCMS</t>
        </is>
      </c>
      <c r="K703" s="395" t="n"/>
      <c r="L703" s="395" t="inlineStr">
        <is>
          <t>X</t>
        </is>
      </c>
      <c r="M703" s="395" t="n"/>
      <c r="N703" s="395" t="inlineStr">
        <is>
          <t>Pending</t>
        </is>
      </c>
      <c r="O703" s="401" t="n"/>
      <c r="P703" s="395" t="n"/>
      <c r="Q703" s="395" t="n"/>
      <c r="R703" s="395" t="n"/>
      <c r="S703" s="395" t="n"/>
      <c r="T703" s="386" t="n"/>
      <c r="U703" s="386" t="n"/>
      <c r="V703" s="395" t="n"/>
      <c r="W703" s="395" t="n"/>
      <c r="X703" s="395" t="n"/>
      <c r="Y703" s="13" t="n"/>
      <c r="Z703" s="395" t="n"/>
      <c r="AA703" s="395" t="n"/>
      <c r="AB703" s="395" t="n"/>
      <c r="AC703" s="395" t="n"/>
      <c r="AD703" s="395" t="n"/>
      <c r="AE703" s="395" t="n"/>
    </row>
    <row r="704" ht="126" customHeight="1" s="380">
      <c r="A704" s="108" t="n">
        <v>48</v>
      </c>
      <c r="B704" s="386" t="n"/>
      <c r="C704" s="386" t="inlineStr">
        <is>
          <t>Báo cáo giám sát &gt;&gt; Báo cáo giám sát quy định về tài chính</t>
        </is>
      </c>
      <c r="D704" s="386" t="inlineStr">
        <is>
          <t>Hạn chế đầu tư &gt;&gt; CTCK không được trực tiếp hoặc ủy thác cho tổ chức, cá nhân khác thực hiện đầu tư quá 15% tổng số cổ phiếu, chứng chỉ quỹ đang lưu hành của một tổ chức chưa niêm yết &gt;&gt; Quý I</t>
        </is>
      </c>
      <c r="E704" s="386" t="inlineStr">
        <is>
          <t>Hạn chế đầu tư &gt;&gt; CTCK không được trực tiếp hoặc ủy thác cho tổ chức, cá nhân khác thực hiện đầu tư quá 15% tổng số cổ phiếu, chứng chỉ quỹ đang lưu hành của một tổ chức chưa niêm yết &gt;&gt; Quý I</t>
        </is>
      </c>
      <c r="F704" s="386" t="inlineStr">
        <is>
          <t>Data Explorer</t>
        </is>
      </c>
      <c r="G704" s="386" t="inlineStr">
        <is>
          <t>Chỉ tiêu cơ sở</t>
        </is>
      </c>
      <c r="H704" s="386" t="inlineStr">
        <is>
          <t>TB</t>
        </is>
      </c>
      <c r="I704" s="386" t="inlineStr">
        <is>
          <t>Ngày, CTCK</t>
        </is>
      </c>
      <c r="J704" s="395" t="inlineStr">
        <is>
          <t>SCMS</t>
        </is>
      </c>
      <c r="K704" s="395" t="n"/>
      <c r="L704" s="395" t="inlineStr">
        <is>
          <t>X</t>
        </is>
      </c>
      <c r="M704" s="395" t="n"/>
      <c r="N704" s="395" t="inlineStr">
        <is>
          <t>Pending</t>
        </is>
      </c>
      <c r="O704" s="401" t="n"/>
      <c r="P704" s="395" t="n"/>
      <c r="Q704" s="395" t="n"/>
      <c r="R704" s="395" t="n"/>
      <c r="S704" s="395" t="n"/>
      <c r="T704" s="386" t="n"/>
      <c r="U704" s="386" t="n"/>
      <c r="V704" s="395" t="n"/>
      <c r="W704" s="395" t="n"/>
      <c r="X704" s="395" t="n"/>
      <c r="Y704" s="13" t="n"/>
      <c r="Z704" s="395" t="n"/>
      <c r="AA704" s="395" t="n"/>
      <c r="AB704" s="395" t="n"/>
      <c r="AC704" s="395" t="n"/>
      <c r="AD704" s="395" t="n"/>
      <c r="AE704" s="395" t="n"/>
    </row>
    <row r="705" ht="126" customHeight="1" s="380">
      <c r="A705" s="108" t="n">
        <v>48</v>
      </c>
      <c r="B705" s="386" t="n"/>
      <c r="C705" s="386" t="inlineStr">
        <is>
          <t>Báo cáo giám sát &gt;&gt; Báo cáo giám sát quy định về tài chính</t>
        </is>
      </c>
      <c r="D705" s="386" t="inlineStr">
        <is>
          <t>Hạn chế đầu tư &gt;&gt; CTCK không được trực tiếp hoặc ủy thác cho tổ chức, cá nhân khác thực hiện đầu tư quá 15% tổng số cổ phiếu, chứng chỉ quỹ đang lưu hành của một tổ chức chưa niêm yết &gt;&gt; Quý II</t>
        </is>
      </c>
      <c r="E705" s="386" t="inlineStr">
        <is>
          <t>Hạn chế đầu tư &gt;&gt; CTCK không được trực tiếp hoặc ủy thác cho tổ chức, cá nhân khác thực hiện đầu tư quá 15% tổng số cổ phiếu, chứng chỉ quỹ đang lưu hành của một tổ chức chưa niêm yết &gt;&gt; Quý II</t>
        </is>
      </c>
      <c r="F705" s="386" t="inlineStr">
        <is>
          <t>Data Explorer</t>
        </is>
      </c>
      <c r="G705" s="386" t="inlineStr">
        <is>
          <t>Chỉ tiêu cơ sở</t>
        </is>
      </c>
      <c r="H705" s="386" t="inlineStr">
        <is>
          <t>TB</t>
        </is>
      </c>
      <c r="I705" s="386" t="inlineStr">
        <is>
          <t>Ngày, CTCK</t>
        </is>
      </c>
      <c r="J705" s="395" t="inlineStr">
        <is>
          <t>SCMS</t>
        </is>
      </c>
      <c r="K705" s="395" t="n"/>
      <c r="L705" s="395" t="inlineStr">
        <is>
          <t>X</t>
        </is>
      </c>
      <c r="M705" s="395" t="n"/>
      <c r="N705" s="395" t="inlineStr">
        <is>
          <t>Pending</t>
        </is>
      </c>
      <c r="O705" s="401" t="n"/>
      <c r="P705" s="395" t="n"/>
      <c r="Q705" s="395" t="n"/>
      <c r="R705" s="395" t="n"/>
      <c r="S705" s="395" t="n"/>
      <c r="T705" s="386" t="n"/>
      <c r="U705" s="386" t="n"/>
      <c r="V705" s="395" t="n"/>
      <c r="W705" s="395" t="n"/>
      <c r="X705" s="395" t="n"/>
      <c r="Y705" s="13" t="n"/>
      <c r="Z705" s="395" t="n"/>
      <c r="AA705" s="395" t="n"/>
      <c r="AB705" s="395" t="n"/>
      <c r="AC705" s="395" t="n"/>
      <c r="AD705" s="395" t="n"/>
      <c r="AE705" s="395" t="n"/>
    </row>
    <row r="706" ht="126" customHeight="1" s="380">
      <c r="A706" s="108" t="n">
        <v>48</v>
      </c>
      <c r="B706" s="386" t="n"/>
      <c r="C706" s="386" t="inlineStr">
        <is>
          <t>Báo cáo giám sát &gt;&gt; Báo cáo giám sát quy định về tài chính</t>
        </is>
      </c>
      <c r="D706" s="386" t="inlineStr">
        <is>
          <t>Hạn chế đầu tư &gt;&gt; CTCK không được trực tiếp hoặc ủy thác cho tổ chức, cá nhân khác thực hiện đầu tư quá 15% tổng số cổ phiếu, chứng chỉ quỹ đang lưu hành của một tổ chức chưa niêm yết &gt;&gt; Quý III</t>
        </is>
      </c>
      <c r="E706" s="386" t="inlineStr">
        <is>
          <t>Hạn chế đầu tư &gt;&gt; CTCK không được trực tiếp hoặc ủy thác cho tổ chức, cá nhân khác thực hiện đầu tư quá 15% tổng số cổ phiếu, chứng chỉ quỹ đang lưu hành của một tổ chức chưa niêm yết &gt;&gt; Quý III</t>
        </is>
      </c>
      <c r="F706" s="386" t="inlineStr">
        <is>
          <t>Data Explorer</t>
        </is>
      </c>
      <c r="G706" s="386" t="inlineStr">
        <is>
          <t>Chỉ tiêu cơ sở</t>
        </is>
      </c>
      <c r="H706" s="386" t="inlineStr">
        <is>
          <t>TB</t>
        </is>
      </c>
      <c r="I706" s="386" t="inlineStr">
        <is>
          <t>Ngày, CTCK</t>
        </is>
      </c>
      <c r="J706" s="395" t="inlineStr">
        <is>
          <t>SCMS</t>
        </is>
      </c>
      <c r="K706" s="395" t="n"/>
      <c r="L706" s="395" t="inlineStr">
        <is>
          <t>X</t>
        </is>
      </c>
      <c r="M706" s="395" t="n"/>
      <c r="N706" s="395" t="inlineStr">
        <is>
          <t>Pending</t>
        </is>
      </c>
      <c r="O706" s="401" t="n"/>
      <c r="P706" s="395" t="n"/>
      <c r="Q706" s="395" t="n"/>
      <c r="R706" s="395" t="n"/>
      <c r="S706" s="395" t="n"/>
      <c r="T706" s="386" t="n"/>
      <c r="U706" s="386" t="n"/>
      <c r="V706" s="395" t="n"/>
      <c r="W706" s="395" t="n"/>
      <c r="X706" s="395" t="n"/>
      <c r="Y706" s="13" t="n"/>
      <c r="Z706" s="395" t="n"/>
      <c r="AA706" s="395" t="n"/>
      <c r="AB706" s="395" t="n"/>
      <c r="AC706" s="395" t="n"/>
      <c r="AD706" s="395" t="n"/>
      <c r="AE706" s="395" t="n"/>
    </row>
    <row r="707" ht="126" customHeight="1" s="380">
      <c r="A707" s="108" t="n">
        <v>48</v>
      </c>
      <c r="B707" s="386" t="n"/>
      <c r="C707" s="386" t="inlineStr">
        <is>
          <t>Báo cáo giám sát &gt;&gt; Báo cáo giám sát quy định về tài chính</t>
        </is>
      </c>
      <c r="D707" s="386" t="inlineStr">
        <is>
          <t>Hạn chế đầu tư &gt;&gt; CTCK không được trực tiếp hoặc ủy thác cho tổ chức, cá nhân khác thực hiện đầu tư quá 15% tổng số cổ phiếu, chứng chỉ quỹ đang lưu hành của một tổ chức chưa niêm yết &gt;&gt; Quý IV</t>
        </is>
      </c>
      <c r="E707" s="386" t="inlineStr">
        <is>
          <t>Hạn chế đầu tư &gt;&gt; CTCK không được trực tiếp hoặc ủy thác cho tổ chức, cá nhân khác thực hiện đầu tư quá 15% tổng số cổ phiếu, chứng chỉ quỹ đang lưu hành của một tổ chức chưa niêm yết &gt;&gt; Quý IV</t>
        </is>
      </c>
      <c r="F707" s="386" t="inlineStr">
        <is>
          <t>Data Explorer</t>
        </is>
      </c>
      <c r="G707" s="386" t="inlineStr">
        <is>
          <t>Chỉ tiêu cơ sở</t>
        </is>
      </c>
      <c r="H707" s="386" t="inlineStr">
        <is>
          <t>TB</t>
        </is>
      </c>
      <c r="I707" s="386" t="inlineStr">
        <is>
          <t>Ngày, CTCK</t>
        </is>
      </c>
      <c r="J707" s="395" t="inlineStr">
        <is>
          <t>SCMS</t>
        </is>
      </c>
      <c r="K707" s="395" t="n"/>
      <c r="L707" s="395" t="inlineStr">
        <is>
          <t>X</t>
        </is>
      </c>
      <c r="M707" s="395" t="n"/>
      <c r="N707" s="395" t="inlineStr">
        <is>
          <t>Pending</t>
        </is>
      </c>
      <c r="O707" s="401" t="n"/>
      <c r="P707" s="395" t="n"/>
      <c r="Q707" s="395" t="n"/>
      <c r="R707" s="395" t="n"/>
      <c r="S707" s="395" t="n"/>
      <c r="T707" s="386" t="n"/>
      <c r="U707" s="386" t="n"/>
      <c r="V707" s="395" t="n"/>
      <c r="W707" s="395" t="n"/>
      <c r="X707" s="395" t="n"/>
      <c r="Y707" s="38" t="n"/>
      <c r="Z707" s="395" t="n"/>
      <c r="AA707" s="395" t="n"/>
      <c r="AB707" s="395" t="n"/>
      <c r="AC707" s="395" t="n"/>
      <c r="AD707" s="395" t="n"/>
      <c r="AE707" s="395" t="n"/>
    </row>
    <row r="708" ht="140" customHeight="1" s="380">
      <c r="A708" s="108" t="n">
        <v>48</v>
      </c>
      <c r="B708" s="386" t="n"/>
      <c r="C708" s="386" t="inlineStr">
        <is>
          <t>Báo cáo giám sát &gt;&gt; Báo cáo giám sát quy định về tài chính</t>
        </is>
      </c>
      <c r="D708" s="386" t="inlineStr">
        <is>
          <t>Hạn chế đầu tư &gt;&gt; CTCK không được trực tiếp hoặc ủy thác cho tổ chức, cá nhân khác thực hiện đầu tư hoặc góp vốn quá 10% tổng vốn góp của một công ty trách nhiệm hữu hạn hoặc dự án kinh doanh &gt;&gt; Quý I</t>
        </is>
      </c>
      <c r="E708" s="386" t="inlineStr">
        <is>
          <t>Hạn chế đầu tư &gt;&gt; CTCK không được trực tiếp hoặc ủy thác cho tổ chức, cá nhân khác thực hiện đầu tư hoặc góp vốn quá 10% tổng vốn góp của một công ty trách nhiệm hữu hạn hoặc dự án kinh doanh &gt;&gt; Quý I</t>
        </is>
      </c>
      <c r="F708" s="386" t="inlineStr">
        <is>
          <t>Data Explorer</t>
        </is>
      </c>
      <c r="G708" s="386" t="inlineStr">
        <is>
          <t>Chỉ tiêu cơ sở</t>
        </is>
      </c>
      <c r="H708" s="386" t="inlineStr">
        <is>
          <t>TB</t>
        </is>
      </c>
      <c r="I708" s="386" t="inlineStr">
        <is>
          <t>Ngày, CTCK</t>
        </is>
      </c>
      <c r="J708" s="395" t="inlineStr">
        <is>
          <t>SCMS</t>
        </is>
      </c>
      <c r="K708" s="395" t="n"/>
      <c r="L708" s="395" t="inlineStr">
        <is>
          <t>X</t>
        </is>
      </c>
      <c r="M708" s="395" t="n"/>
      <c r="N708" s="395" t="inlineStr">
        <is>
          <t>Pending</t>
        </is>
      </c>
      <c r="O708" s="401" t="n"/>
      <c r="P708" s="395" t="n"/>
      <c r="Q708" s="395" t="n"/>
      <c r="R708" s="395" t="n"/>
      <c r="S708" s="395" t="n"/>
      <c r="T708" s="386" t="n"/>
      <c r="U708" s="386" t="n"/>
      <c r="V708" s="395" t="n"/>
      <c r="W708" s="395" t="n"/>
      <c r="X708" s="395" t="n"/>
      <c r="Y708" s="13" t="n"/>
      <c r="Z708" s="395" t="n"/>
      <c r="AA708" s="395" t="n"/>
      <c r="AB708" s="395" t="n"/>
      <c r="AC708" s="395" t="n"/>
      <c r="AD708" s="395" t="n"/>
      <c r="AE708" s="395" t="n"/>
    </row>
    <row r="709" ht="140" customHeight="1" s="380">
      <c r="A709" s="108" t="n">
        <v>48</v>
      </c>
      <c r="B709" s="386" t="n"/>
      <c r="C709" s="386" t="inlineStr">
        <is>
          <t>Báo cáo giám sát &gt;&gt; Báo cáo giám sát quy định về tài chính</t>
        </is>
      </c>
      <c r="D709" s="386" t="inlineStr">
        <is>
          <t>Hạn chế đầu tư &gt;&gt; CTCK không được trực tiếp hoặc ủy thác cho tổ chức, cá nhân khác thực hiện đầu tư hoặc góp vốn quá 10% tổng vốn góp của một công ty trách nhiệm hữu hạn hoặc dự án kinh doanh &gt;&gt; Quý II</t>
        </is>
      </c>
      <c r="E709" s="386" t="inlineStr">
        <is>
          <t>Hạn chế đầu tư &gt;&gt; CTCK không được trực tiếp hoặc ủy thác cho tổ chức, cá nhân khác thực hiện đầu tư hoặc góp vốn quá 10% tổng vốn góp của một công ty trách nhiệm hữu hạn hoặc dự án kinh doanh &gt;&gt; Quý II</t>
        </is>
      </c>
      <c r="F709" s="386" t="inlineStr">
        <is>
          <t>Data Explorer</t>
        </is>
      </c>
      <c r="G709" s="386" t="inlineStr">
        <is>
          <t>Chỉ tiêu cơ sở</t>
        </is>
      </c>
      <c r="H709" s="386" t="inlineStr">
        <is>
          <t>TB</t>
        </is>
      </c>
      <c r="I709" s="386" t="inlineStr">
        <is>
          <t>Ngày, CTCK</t>
        </is>
      </c>
      <c r="J709" s="395" t="inlineStr">
        <is>
          <t>SCMS</t>
        </is>
      </c>
      <c r="K709" s="395" t="n"/>
      <c r="L709" s="395" t="inlineStr">
        <is>
          <t>X</t>
        </is>
      </c>
      <c r="M709" s="395" t="n"/>
      <c r="N709" s="395" t="inlineStr">
        <is>
          <t>Pending</t>
        </is>
      </c>
      <c r="O709" s="401" t="n"/>
      <c r="P709" s="395" t="n"/>
      <c r="Q709" s="395" t="n"/>
      <c r="R709" s="395" t="n"/>
      <c r="S709" s="395" t="n"/>
      <c r="T709" s="386" t="n"/>
      <c r="U709" s="386" t="n"/>
      <c r="V709" s="395" t="n"/>
      <c r="W709" s="395" t="n"/>
      <c r="X709" s="395" t="n"/>
      <c r="Y709" s="13" t="n"/>
      <c r="Z709" s="395" t="n"/>
      <c r="AA709" s="395" t="n"/>
      <c r="AB709" s="395" t="n"/>
      <c r="AC709" s="395" t="n"/>
      <c r="AD709" s="395" t="n"/>
      <c r="AE709" s="395" t="n"/>
    </row>
    <row r="710" ht="140" customHeight="1" s="380">
      <c r="A710" s="108" t="n">
        <v>48</v>
      </c>
      <c r="B710" s="386" t="n"/>
      <c r="C710" s="386" t="inlineStr">
        <is>
          <t>Báo cáo giám sát &gt;&gt; Báo cáo giám sát quy định về tài chính</t>
        </is>
      </c>
      <c r="D710" s="386" t="inlineStr">
        <is>
          <t>Hạn chế đầu tư &gt;&gt; CTCK không được trực tiếp hoặc ủy thác cho tổ chức, cá nhân khác thực hiện đầu tư hoặc góp vốn quá 10% tổng vốn góp của một công ty trách nhiệm hữu hạn hoặc dự án kinh doanh &gt;&gt; Quý III</t>
        </is>
      </c>
      <c r="E710" s="386" t="inlineStr">
        <is>
          <t>Hạn chế đầu tư &gt;&gt; CTCK không được trực tiếp hoặc ủy thác cho tổ chức, cá nhân khác thực hiện đầu tư hoặc góp vốn quá 10% tổng vốn góp của một công ty trách nhiệm hữu hạn hoặc dự án kinh doanh &gt;&gt; Quý III</t>
        </is>
      </c>
      <c r="F710" s="386" t="inlineStr">
        <is>
          <t>Data Explorer</t>
        </is>
      </c>
      <c r="G710" s="386" t="inlineStr">
        <is>
          <t>Chỉ tiêu cơ sở</t>
        </is>
      </c>
      <c r="H710" s="386" t="inlineStr">
        <is>
          <t>TB</t>
        </is>
      </c>
      <c r="I710" s="386" t="inlineStr">
        <is>
          <t>Ngày, CTCK</t>
        </is>
      </c>
      <c r="J710" s="395" t="inlineStr">
        <is>
          <t>SCMS</t>
        </is>
      </c>
      <c r="K710" s="395" t="n"/>
      <c r="L710" s="395" t="inlineStr">
        <is>
          <t>X</t>
        </is>
      </c>
      <c r="M710" s="395" t="n"/>
      <c r="N710" s="395" t="inlineStr">
        <is>
          <t>Pending</t>
        </is>
      </c>
      <c r="O710" s="401" t="n"/>
      <c r="P710" s="395" t="n"/>
      <c r="Q710" s="395" t="n"/>
      <c r="R710" s="395" t="n"/>
      <c r="S710" s="395" t="n"/>
      <c r="T710" s="386" t="n"/>
      <c r="U710" s="386" t="n"/>
      <c r="V710" s="395" t="n"/>
      <c r="W710" s="395" t="n"/>
      <c r="X710" s="395" t="n"/>
      <c r="Y710" s="13" t="n"/>
      <c r="Z710" s="395" t="n"/>
      <c r="AA710" s="395" t="n"/>
      <c r="AB710" s="395" t="n"/>
      <c r="AC710" s="395" t="n"/>
      <c r="AD710" s="395" t="n"/>
      <c r="AE710" s="395" t="n"/>
    </row>
    <row r="711" ht="140" customHeight="1" s="380">
      <c r="A711" s="108" t="n">
        <v>48</v>
      </c>
      <c r="B711" s="386" t="n"/>
      <c r="C711" s="386" t="inlineStr">
        <is>
          <t>Báo cáo giám sát &gt;&gt; Báo cáo giám sát quy định về tài chính</t>
        </is>
      </c>
      <c r="D711" s="386" t="inlineStr">
        <is>
          <t>Hạn chế đầu tư &gt;&gt; CTCK không được trực tiếp hoặc ủy thác cho tổ chức, cá nhân khác thực hiện đầu tư hoặc góp vốn quá 10% tổng vốn góp của một công ty trách nhiệm hữu hạn hoặc dự án kinh doanh &gt;&gt; Quý IV</t>
        </is>
      </c>
      <c r="E711" s="386" t="inlineStr">
        <is>
          <t>Hạn chế đầu tư &gt;&gt; CTCK không được trực tiếp hoặc ủy thác cho tổ chức, cá nhân khác thực hiện đầu tư hoặc góp vốn quá 10% tổng vốn góp của một công ty trách nhiệm hữu hạn hoặc dự án kinh doanh &gt;&gt; Quý IV</t>
        </is>
      </c>
      <c r="F711" s="386" t="inlineStr">
        <is>
          <t>Data Explorer</t>
        </is>
      </c>
      <c r="G711" s="386" t="inlineStr">
        <is>
          <t>Chỉ tiêu cơ sở</t>
        </is>
      </c>
      <c r="H711" s="386" t="inlineStr">
        <is>
          <t>TB</t>
        </is>
      </c>
      <c r="I711" s="386" t="inlineStr">
        <is>
          <t>Ngày, CTCK</t>
        </is>
      </c>
      <c r="J711" s="395" t="inlineStr">
        <is>
          <t>SCMS</t>
        </is>
      </c>
      <c r="K711" s="395" t="n"/>
      <c r="L711" s="395" t="inlineStr">
        <is>
          <t>X</t>
        </is>
      </c>
      <c r="M711" s="395" t="n"/>
      <c r="N711" s="395" t="inlineStr">
        <is>
          <t>Pending</t>
        </is>
      </c>
      <c r="O711" s="401" t="n"/>
      <c r="P711" s="395" t="n"/>
      <c r="Q711" s="395" t="n"/>
      <c r="R711" s="395" t="n"/>
      <c r="S711" s="395" t="n"/>
      <c r="T711" s="386" t="n"/>
      <c r="U711" s="386" t="n"/>
      <c r="V711" s="395" t="n"/>
      <c r="W711" s="395" t="n"/>
      <c r="X711" s="395" t="n"/>
      <c r="Y711" s="13" t="n"/>
      <c r="Z711" s="395" t="n"/>
      <c r="AA711" s="395" t="n"/>
      <c r="AB711" s="395" t="n"/>
      <c r="AC711" s="395" t="n"/>
      <c r="AD711" s="395" t="n"/>
      <c r="AE711" s="395" t="n"/>
    </row>
    <row r="712" ht="126" customHeight="1" s="380">
      <c r="A712" s="108" t="n">
        <v>48</v>
      </c>
      <c r="B712" s="386" t="n"/>
      <c r="C712" s="386" t="inlineStr">
        <is>
          <t>Báo cáo giám sát &gt;&gt; Báo cáo giám sát quy định về tài chính</t>
        </is>
      </c>
      <c r="D712" s="386" t="inlineStr">
        <is>
          <t>Hạn chế đầu tư &gt;&gt; CTCK không được trực tiếp hoặc ủy thác cho tổ chức, cá nhân khác thực hiện đầu tư hoặc góp vốn quá 15% vốn chủ sở hữu vào một tổ chức hoặc dự án kinh doanh &gt;&gt; Quý I</t>
        </is>
      </c>
      <c r="E712" s="386" t="inlineStr">
        <is>
          <t>Hạn chế đầu tư &gt;&gt; CTCK không được trực tiếp hoặc ủy thác cho tổ chức, cá nhân khác thực hiện đầu tư hoặc góp vốn quá 15% vốn chủ sở hữu vào một tổ chức hoặc dự án kinh doanh &gt;&gt; Quý I</t>
        </is>
      </c>
      <c r="F712" s="386" t="inlineStr">
        <is>
          <t>Data Explorer</t>
        </is>
      </c>
      <c r="G712" s="386" t="inlineStr">
        <is>
          <t>Chỉ tiêu cơ sở</t>
        </is>
      </c>
      <c r="H712" s="386" t="inlineStr">
        <is>
          <t>TB</t>
        </is>
      </c>
      <c r="I712" s="386" t="inlineStr">
        <is>
          <t>Ngày, CTCK</t>
        </is>
      </c>
      <c r="J712" s="395" t="inlineStr">
        <is>
          <t>SCMS</t>
        </is>
      </c>
      <c r="K712" s="395" t="n"/>
      <c r="L712" s="395" t="inlineStr">
        <is>
          <t>X</t>
        </is>
      </c>
      <c r="M712" s="395" t="n"/>
      <c r="N712" s="395" t="inlineStr">
        <is>
          <t>Pending</t>
        </is>
      </c>
      <c r="O712" s="401" t="n"/>
      <c r="P712" s="395" t="n"/>
      <c r="Q712" s="395" t="n"/>
      <c r="R712" s="395" t="n"/>
      <c r="S712" s="395" t="n"/>
      <c r="T712" s="386" t="n"/>
      <c r="U712" s="386" t="n"/>
      <c r="V712" s="395" t="n"/>
      <c r="W712" s="395" t="n"/>
      <c r="X712" s="395" t="n"/>
      <c r="Y712" s="13" t="n"/>
      <c r="Z712" s="395" t="n"/>
      <c r="AA712" s="395" t="n"/>
      <c r="AB712" s="395" t="n"/>
      <c r="AC712" s="395" t="n"/>
      <c r="AD712" s="395" t="n"/>
      <c r="AE712" s="395" t="n"/>
    </row>
    <row r="713" ht="126" customHeight="1" s="380">
      <c r="A713" s="108" t="n">
        <v>48</v>
      </c>
      <c r="B713" s="386" t="n"/>
      <c r="C713" s="386" t="inlineStr">
        <is>
          <t>Báo cáo giám sát &gt;&gt; Báo cáo giám sát quy định về tài chính</t>
        </is>
      </c>
      <c r="D713" s="386" t="inlineStr">
        <is>
          <t>Hạn chế đầu tư &gt;&gt; CTCK không được trực tiếp hoặc ủy thác cho tổ chức, cá nhân khác thực hiện đầu tư hoặc góp vốn quá 15% vốn chủ sở hữu vào một tổ chức hoặc dự án kinh doanh &gt;&gt; Quý II</t>
        </is>
      </c>
      <c r="E713" s="386" t="inlineStr">
        <is>
          <t>Hạn chế đầu tư &gt;&gt; CTCK không được trực tiếp hoặc ủy thác cho tổ chức, cá nhân khác thực hiện đầu tư hoặc góp vốn quá 15% vốn chủ sở hữu vào một tổ chức hoặc dự án kinh doanh &gt;&gt; Quý II</t>
        </is>
      </c>
      <c r="F713" s="386" t="inlineStr">
        <is>
          <t>Data Explorer</t>
        </is>
      </c>
      <c r="G713" s="386" t="inlineStr">
        <is>
          <t>Chỉ tiêu cơ sở</t>
        </is>
      </c>
      <c r="H713" s="386" t="inlineStr">
        <is>
          <t>TB</t>
        </is>
      </c>
      <c r="I713" s="386" t="inlineStr">
        <is>
          <t>Ngày, CTCK</t>
        </is>
      </c>
      <c r="J713" s="395" t="inlineStr">
        <is>
          <t>SCMS</t>
        </is>
      </c>
      <c r="K713" s="395" t="n"/>
      <c r="L713" s="395" t="inlineStr">
        <is>
          <t>X</t>
        </is>
      </c>
      <c r="M713" s="395" t="n"/>
      <c r="N713" s="395" t="inlineStr">
        <is>
          <t>Pending</t>
        </is>
      </c>
      <c r="O713" s="401" t="n"/>
      <c r="P713" s="395" t="n"/>
      <c r="Q713" s="395" t="n"/>
      <c r="R713" s="395" t="n"/>
      <c r="S713" s="395" t="n"/>
      <c r="T713" s="386" t="n"/>
      <c r="U713" s="386" t="n"/>
      <c r="V713" s="395" t="n"/>
      <c r="W713" s="395" t="n"/>
      <c r="X713" s="395" t="n"/>
      <c r="Y713" s="38" t="n"/>
      <c r="Z713" s="395" t="n"/>
      <c r="AA713" s="395" t="n"/>
      <c r="AB713" s="395" t="n"/>
      <c r="AC713" s="395" t="n"/>
      <c r="AD713" s="395" t="n"/>
      <c r="AE713" s="395" t="n"/>
    </row>
    <row r="714" ht="126" customHeight="1" s="380">
      <c r="A714" s="108" t="n">
        <v>48</v>
      </c>
      <c r="B714" s="386" t="n"/>
      <c r="C714" s="386" t="inlineStr">
        <is>
          <t>Báo cáo giám sát &gt;&gt; Báo cáo giám sát quy định về tài chính</t>
        </is>
      </c>
      <c r="D714" s="386" t="inlineStr">
        <is>
          <t>Hạn chế đầu tư &gt;&gt; CTCK không được trực tiếp hoặc ủy thác cho tổ chức, cá nhân khác thực hiện đầu tư hoặc góp vốn quá 15% vốn chủ sở hữu vào một tổ chức hoặc dự án kinh doanh &gt;&gt; Quý III</t>
        </is>
      </c>
      <c r="E714" s="386" t="inlineStr">
        <is>
          <t>Hạn chế đầu tư &gt;&gt; CTCK không được trực tiếp hoặc ủy thác cho tổ chức, cá nhân khác thực hiện đầu tư hoặc góp vốn quá 15% vốn chủ sở hữu vào một tổ chức hoặc dự án kinh doanh &gt;&gt; Quý III</t>
        </is>
      </c>
      <c r="F714" s="386" t="inlineStr">
        <is>
          <t>Data Explorer</t>
        </is>
      </c>
      <c r="G714" s="386" t="inlineStr">
        <is>
          <t>Chỉ tiêu cơ sở</t>
        </is>
      </c>
      <c r="H714" s="386" t="inlineStr">
        <is>
          <t>TB</t>
        </is>
      </c>
      <c r="I714" s="386" t="inlineStr">
        <is>
          <t>Ngày, CTCK</t>
        </is>
      </c>
      <c r="J714" s="395" t="inlineStr">
        <is>
          <t>SCMS</t>
        </is>
      </c>
      <c r="K714" s="395" t="n"/>
      <c r="L714" s="395" t="inlineStr">
        <is>
          <t>X</t>
        </is>
      </c>
      <c r="M714" s="395" t="n"/>
      <c r="N714" s="395" t="inlineStr">
        <is>
          <t>Pending</t>
        </is>
      </c>
      <c r="O714" s="401" t="n"/>
      <c r="P714" s="395" t="n"/>
      <c r="Q714" s="395" t="n"/>
      <c r="R714" s="395" t="n"/>
      <c r="S714" s="395" t="n"/>
      <c r="T714" s="386" t="n"/>
      <c r="U714" s="386" t="n"/>
      <c r="V714" s="395" t="n"/>
      <c r="W714" s="395" t="n"/>
      <c r="X714" s="395" t="n"/>
      <c r="Y714" s="13" t="n"/>
      <c r="Z714" s="395" t="n"/>
      <c r="AA714" s="395" t="n"/>
      <c r="AB714" s="395" t="n"/>
      <c r="AC714" s="395" t="n"/>
      <c r="AD714" s="395" t="n"/>
      <c r="AE714" s="395" t="n"/>
    </row>
    <row r="715" ht="126" customHeight="1" s="380">
      <c r="A715" s="108" t="n">
        <v>48</v>
      </c>
      <c r="B715" s="386" t="n"/>
      <c r="C715" s="386" t="inlineStr">
        <is>
          <t>Báo cáo giám sát &gt;&gt; Báo cáo giám sát quy định về tài chính</t>
        </is>
      </c>
      <c r="D715" s="386" t="inlineStr">
        <is>
          <t>Hạn chế đầu tư &gt;&gt; CTCK không được trực tiếp hoặc ủy thác cho tổ chức, cá nhân khác thực hiện đầu tư hoặc góp vốn quá 15% vốn chủ sở hữu vào một tổ chức hoặc dự án kinh doanh &gt;&gt; Quý IV</t>
        </is>
      </c>
      <c r="E715" s="386" t="inlineStr">
        <is>
          <t>Hạn chế đầu tư &gt;&gt; CTCK không được trực tiếp hoặc ủy thác cho tổ chức, cá nhân khác thực hiện đầu tư hoặc góp vốn quá 15% vốn chủ sở hữu vào một tổ chức hoặc dự án kinh doanh &gt;&gt; Quý IV</t>
        </is>
      </c>
      <c r="F715" s="386" t="inlineStr">
        <is>
          <t>Data Explorer</t>
        </is>
      </c>
      <c r="G715" s="386" t="inlineStr">
        <is>
          <t>Chỉ tiêu cơ sở</t>
        </is>
      </c>
      <c r="H715" s="386" t="inlineStr">
        <is>
          <t>TB</t>
        </is>
      </c>
      <c r="I715" s="386" t="inlineStr">
        <is>
          <t>Ngày, CTCK</t>
        </is>
      </c>
      <c r="J715" s="395" t="inlineStr">
        <is>
          <t>SCMS</t>
        </is>
      </c>
      <c r="K715" s="395" t="n"/>
      <c r="L715" s="395" t="inlineStr">
        <is>
          <t>X</t>
        </is>
      </c>
      <c r="M715" s="395" t="n"/>
      <c r="N715" s="395" t="inlineStr">
        <is>
          <t>Pending</t>
        </is>
      </c>
      <c r="O715" s="401" t="n"/>
      <c r="P715" s="395" t="n"/>
      <c r="Q715" s="395" t="n"/>
      <c r="R715" s="395" t="n"/>
      <c r="S715" s="395" t="n"/>
      <c r="T715" s="386" t="n"/>
      <c r="U715" s="386" t="n"/>
      <c r="V715" s="395" t="n"/>
      <c r="W715" s="395" t="n"/>
      <c r="X715" s="395" t="n"/>
      <c r="Y715" s="13" t="n"/>
      <c r="Z715" s="395" t="n"/>
      <c r="AA715" s="395" t="n"/>
      <c r="AB715" s="395" t="n"/>
      <c r="AC715" s="395" t="n"/>
      <c r="AD715" s="395" t="n"/>
      <c r="AE715" s="395" t="n"/>
    </row>
    <row r="716" ht="70" customHeight="1" s="380">
      <c r="A716" s="108" t="n">
        <v>48</v>
      </c>
      <c r="B716" s="386" t="n"/>
      <c r="C716" s="386" t="inlineStr">
        <is>
          <t>Báo cáo giám sát &gt;&gt; Báo cáo giám sát quy định về tài chính</t>
        </is>
      </c>
      <c r="D716" s="386" t="inlineStr">
        <is>
          <t>Hạn chế đầu tư &gt;&gt; Đầu tư quá 70% vốn chủ sở hữu vào cổ phiếu, phần vốn góp và dự án kinh doanh &gt;&gt; Quý I</t>
        </is>
      </c>
      <c r="E716" s="386" t="inlineStr">
        <is>
          <t>Hạn chế đầu tư &gt;&gt; Đầu tư quá 70% vốn chủ sở hữu vào cổ phiếu, phần vốn góp và dự án kinh doanh &gt;&gt; Quý I</t>
        </is>
      </c>
      <c r="F716" s="386" t="inlineStr">
        <is>
          <t>Data Explorer</t>
        </is>
      </c>
      <c r="G716" s="386" t="inlineStr">
        <is>
          <t>Chỉ tiêu cơ sở</t>
        </is>
      </c>
      <c r="H716" s="386" t="inlineStr">
        <is>
          <t>TB</t>
        </is>
      </c>
      <c r="I716" s="386" t="inlineStr">
        <is>
          <t>Ngày, CTCK</t>
        </is>
      </c>
      <c r="J716" s="395" t="inlineStr">
        <is>
          <t>SCMS</t>
        </is>
      </c>
      <c r="K716" s="395" t="n"/>
      <c r="L716" s="395" t="inlineStr">
        <is>
          <t>X</t>
        </is>
      </c>
      <c r="M716" s="395" t="n"/>
      <c r="N716" s="395" t="inlineStr">
        <is>
          <t>Pending</t>
        </is>
      </c>
      <c r="O716" s="401" t="n"/>
      <c r="P716" s="395" t="n"/>
      <c r="Q716" s="395" t="n"/>
      <c r="R716" s="395" t="n"/>
      <c r="S716" s="395" t="n"/>
      <c r="T716" s="386" t="n"/>
      <c r="U716" s="386" t="n"/>
      <c r="V716" s="395" t="n"/>
      <c r="W716" s="395" t="n"/>
      <c r="X716" s="395" t="n"/>
      <c r="Y716" s="13" t="n"/>
      <c r="Z716" s="395" t="n"/>
      <c r="AA716" s="395" t="n"/>
      <c r="AB716" s="395" t="n"/>
      <c r="AC716" s="395" t="n"/>
      <c r="AD716" s="395" t="n"/>
      <c r="AE716" s="395" t="n"/>
    </row>
    <row r="717" ht="70" customHeight="1" s="380">
      <c r="A717" s="108" t="n">
        <v>48</v>
      </c>
      <c r="B717" s="386" t="n"/>
      <c r="C717" s="386" t="inlineStr">
        <is>
          <t>Báo cáo giám sát &gt;&gt; Báo cáo giám sát quy định về tài chính</t>
        </is>
      </c>
      <c r="D717" s="386" t="inlineStr">
        <is>
          <t>Hạn chế đầu tư &gt;&gt; Đầu tư quá 70% vốn chủ sở hữu vào cổ phiếu, phần vốn góp và dự án kinh doanh &gt;&gt; Quý II</t>
        </is>
      </c>
      <c r="E717" s="386" t="inlineStr">
        <is>
          <t>Hạn chế đầu tư &gt;&gt; Đầu tư quá 70% vốn chủ sở hữu vào cổ phiếu, phần vốn góp và dự án kinh doanh &gt;&gt; Quý II</t>
        </is>
      </c>
      <c r="F717" s="386" t="inlineStr">
        <is>
          <t>Data Explorer</t>
        </is>
      </c>
      <c r="G717" s="386" t="inlineStr">
        <is>
          <t>Chỉ tiêu cơ sở</t>
        </is>
      </c>
      <c r="H717" s="386" t="inlineStr">
        <is>
          <t>TB</t>
        </is>
      </c>
      <c r="I717" s="386" t="inlineStr">
        <is>
          <t>Ngày, CTCK</t>
        </is>
      </c>
      <c r="J717" s="395" t="inlineStr">
        <is>
          <t>SCMS</t>
        </is>
      </c>
      <c r="K717" s="395" t="n"/>
      <c r="L717" s="395" t="inlineStr">
        <is>
          <t>X</t>
        </is>
      </c>
      <c r="M717" s="395" t="n"/>
      <c r="N717" s="395" t="inlineStr">
        <is>
          <t>Pending</t>
        </is>
      </c>
      <c r="O717" s="401" t="n"/>
      <c r="P717" s="395" t="n"/>
      <c r="Q717" s="395" t="n"/>
      <c r="R717" s="395" t="n"/>
      <c r="S717" s="395" t="n"/>
      <c r="T717" s="386" t="n"/>
      <c r="U717" s="386" t="n"/>
      <c r="V717" s="395" t="n"/>
      <c r="W717" s="395" t="n"/>
      <c r="X717" s="395" t="n"/>
      <c r="Y717" s="13" t="n"/>
      <c r="Z717" s="395" t="n"/>
      <c r="AA717" s="395" t="n"/>
      <c r="AB717" s="395" t="n"/>
      <c r="AC717" s="395" t="n"/>
      <c r="AD717" s="395" t="n"/>
      <c r="AE717" s="395" t="n"/>
    </row>
    <row r="718" ht="70" customHeight="1" s="380">
      <c r="A718" s="108" t="n">
        <v>48</v>
      </c>
      <c r="B718" s="386" t="n"/>
      <c r="C718" s="386" t="inlineStr">
        <is>
          <t>Báo cáo giám sát &gt;&gt; Báo cáo giám sát quy định về tài chính</t>
        </is>
      </c>
      <c r="D718" s="386" t="inlineStr">
        <is>
          <t>Hạn chế đầu tư &gt;&gt; Đầu tư quá 70% vốn chủ sở hữu vào cổ phiếu, phần vốn góp và dự án kinh doanh &gt;&gt; Quý III</t>
        </is>
      </c>
      <c r="E718" s="386" t="inlineStr">
        <is>
          <t>Hạn chế đầu tư &gt;&gt; Đầu tư quá 70% vốn chủ sở hữu vào cổ phiếu, phần vốn góp và dự án kinh doanh &gt;&gt; Quý III</t>
        </is>
      </c>
      <c r="F718" s="386" t="inlineStr">
        <is>
          <t>Data Explorer</t>
        </is>
      </c>
      <c r="G718" s="386" t="inlineStr">
        <is>
          <t>Chỉ tiêu cơ sở</t>
        </is>
      </c>
      <c r="H718" s="386" t="inlineStr">
        <is>
          <t>TB</t>
        </is>
      </c>
      <c r="I718" s="386" t="inlineStr">
        <is>
          <t>Ngày, CTCK</t>
        </is>
      </c>
      <c r="J718" s="395" t="inlineStr">
        <is>
          <t>SCMS</t>
        </is>
      </c>
      <c r="K718" s="395" t="n"/>
      <c r="L718" s="395" t="inlineStr">
        <is>
          <t>X</t>
        </is>
      </c>
      <c r="M718" s="395" t="n"/>
      <c r="N718" s="395" t="inlineStr">
        <is>
          <t>Pending</t>
        </is>
      </c>
      <c r="O718" s="401" t="n"/>
      <c r="P718" s="395" t="n"/>
      <c r="Q718" s="395" t="n"/>
      <c r="R718" s="395" t="n"/>
      <c r="S718" s="395" t="n"/>
      <c r="T718" s="386" t="n"/>
      <c r="U718" s="386" t="n"/>
      <c r="V718" s="395" t="n"/>
      <c r="W718" s="395" t="n"/>
      <c r="X718" s="395" t="n"/>
      <c r="Y718" s="13" t="n"/>
      <c r="Z718" s="395" t="n"/>
      <c r="AA718" s="395" t="n"/>
      <c r="AB718" s="395" t="n"/>
      <c r="AC718" s="395" t="n"/>
      <c r="AD718" s="395" t="n"/>
      <c r="AE718" s="395" t="n"/>
    </row>
    <row r="719" ht="70" customHeight="1" s="380">
      <c r="A719" s="108" t="n">
        <v>48</v>
      </c>
      <c r="B719" s="386" t="n"/>
      <c r="C719" s="386" t="inlineStr">
        <is>
          <t>Báo cáo giám sát &gt;&gt; Báo cáo giám sát quy định về tài chính</t>
        </is>
      </c>
      <c r="D719" s="386" t="inlineStr">
        <is>
          <t>Hạn chế đầu tư &gt;&gt; Đầu tư quá 70% vốn chủ sở hữu vào cổ phiếu, phần vốn góp và dự án kinh doanh &gt;&gt; Quý IV</t>
        </is>
      </c>
      <c r="E719" s="386" t="inlineStr">
        <is>
          <t>Hạn chế đầu tư &gt;&gt; Đầu tư quá 70% vốn chủ sở hữu vào cổ phiếu, phần vốn góp và dự án kinh doanh &gt;&gt; Quý IV</t>
        </is>
      </c>
      <c r="F719" s="386" t="inlineStr">
        <is>
          <t>Data Explorer</t>
        </is>
      </c>
      <c r="G719" s="386" t="inlineStr">
        <is>
          <t>Chỉ tiêu cơ sở</t>
        </is>
      </c>
      <c r="H719" s="386" t="inlineStr">
        <is>
          <t>TB</t>
        </is>
      </c>
      <c r="I719" s="386" t="inlineStr">
        <is>
          <t>Ngày, CTCK</t>
        </is>
      </c>
      <c r="J719" s="395" t="inlineStr">
        <is>
          <t>SCMS</t>
        </is>
      </c>
      <c r="K719" s="395" t="n"/>
      <c r="L719" s="395" t="inlineStr">
        <is>
          <t>X</t>
        </is>
      </c>
      <c r="M719" s="395" t="n"/>
      <c r="N719" s="395" t="inlineStr">
        <is>
          <t>Pending</t>
        </is>
      </c>
      <c r="O719" s="401" t="n"/>
      <c r="P719" s="395" t="n"/>
      <c r="Q719" s="395" t="n"/>
      <c r="R719" s="395" t="n"/>
      <c r="S719" s="395" t="n"/>
      <c r="T719" s="386" t="n"/>
      <c r="U719" s="386" t="n"/>
      <c r="V719" s="395" t="n"/>
      <c r="W719" s="395" t="n"/>
      <c r="X719" s="395" t="n"/>
      <c r="Y719" s="38" t="n"/>
      <c r="Z719" s="395" t="n"/>
      <c r="AA719" s="395" t="n"/>
      <c r="AB719" s="395" t="n"/>
      <c r="AC719" s="395" t="n"/>
      <c r="AD719" s="395" t="n"/>
      <c r="AE719" s="395" t="n"/>
    </row>
    <row r="720" ht="84" customHeight="1" s="380">
      <c r="A720" s="108" t="n">
        <v>48</v>
      </c>
      <c r="B720" s="386" t="n"/>
      <c r="C720" s="386" t="inlineStr">
        <is>
          <t>Báo cáo giám sát &gt;&gt; Báo cáo giám sát quy định về tài chính</t>
        </is>
      </c>
      <c r="D720" s="386" t="inlineStr">
        <is>
          <t>Hạn chế đầu tư &gt;&gt; Đầu tư quá 20% vốn chủ sở hữu vào cổ phiếu chưa niêm yết, phần vốn góp và dự án kinh doanh &gt;&gt; Quý I</t>
        </is>
      </c>
      <c r="E720" s="386" t="inlineStr">
        <is>
          <t>Hạn chế đầu tư &gt;&gt; Đầu tư quá 20% vốn chủ sở hữu vào cổ phiếu chưa niêm yết, phần vốn góp và dự án kinh doanh &gt;&gt; Quý I</t>
        </is>
      </c>
      <c r="F720" s="386" t="inlineStr">
        <is>
          <t>Data Explorer</t>
        </is>
      </c>
      <c r="G720" s="386" t="inlineStr">
        <is>
          <t>Chỉ tiêu cơ sở</t>
        </is>
      </c>
      <c r="H720" s="386" t="inlineStr">
        <is>
          <t>TB</t>
        </is>
      </c>
      <c r="I720" s="386" t="inlineStr">
        <is>
          <t>Ngày, CTCK</t>
        </is>
      </c>
      <c r="J720" s="395" t="inlineStr">
        <is>
          <t>SCMS</t>
        </is>
      </c>
      <c r="K720" s="395" t="n"/>
      <c r="L720" s="395" t="inlineStr">
        <is>
          <t>X</t>
        </is>
      </c>
      <c r="M720" s="395" t="n"/>
      <c r="N720" s="395" t="inlineStr">
        <is>
          <t>Pending</t>
        </is>
      </c>
      <c r="O720" s="401" t="n"/>
      <c r="P720" s="395" t="n"/>
      <c r="Q720" s="395" t="n"/>
      <c r="R720" s="395" t="n"/>
      <c r="S720" s="395" t="n"/>
      <c r="T720" s="386" t="n"/>
      <c r="U720" s="386" t="n"/>
      <c r="V720" s="395" t="n"/>
      <c r="W720" s="395" t="n"/>
      <c r="X720" s="395" t="n"/>
      <c r="Y720" s="13" t="n"/>
      <c r="Z720" s="395" t="n"/>
      <c r="AA720" s="395" t="n"/>
      <c r="AB720" s="395" t="n"/>
      <c r="AC720" s="395" t="n"/>
      <c r="AD720" s="395" t="n"/>
      <c r="AE720" s="395" t="n"/>
    </row>
    <row r="721" ht="84" customHeight="1" s="380">
      <c r="A721" s="108" t="n">
        <v>48</v>
      </c>
      <c r="B721" s="386" t="n"/>
      <c r="C721" s="386" t="inlineStr">
        <is>
          <t>Báo cáo giám sát &gt;&gt; Báo cáo giám sát quy định về tài chính</t>
        </is>
      </c>
      <c r="D721" s="386" t="inlineStr">
        <is>
          <t>Hạn chế đầu tư &gt;&gt; Đầu tư quá 20% vốn chủ sở hữu vào cổ phiếu chưa niêm yết, phần vốn góp và dự án kinh doanh &gt;&gt; Quý II</t>
        </is>
      </c>
      <c r="E721" s="386" t="inlineStr">
        <is>
          <t>Hạn chế đầu tư &gt;&gt; Đầu tư quá 20% vốn chủ sở hữu vào cổ phiếu chưa niêm yết, phần vốn góp và dự án kinh doanh &gt;&gt; Quý II</t>
        </is>
      </c>
      <c r="F721" s="386" t="inlineStr">
        <is>
          <t>Data Explorer</t>
        </is>
      </c>
      <c r="G721" s="386" t="inlineStr">
        <is>
          <t>Chỉ tiêu cơ sở</t>
        </is>
      </c>
      <c r="H721" s="386" t="inlineStr">
        <is>
          <t>TB</t>
        </is>
      </c>
      <c r="I721" s="386" t="inlineStr">
        <is>
          <t>Ngày, CTCK</t>
        </is>
      </c>
      <c r="J721" s="395" t="inlineStr">
        <is>
          <t>SCMS</t>
        </is>
      </c>
      <c r="K721" s="395" t="n"/>
      <c r="L721" s="395" t="inlineStr">
        <is>
          <t>X</t>
        </is>
      </c>
      <c r="M721" s="395" t="n"/>
      <c r="N721" s="395" t="inlineStr">
        <is>
          <t>Pending</t>
        </is>
      </c>
      <c r="O721" s="401" t="n"/>
      <c r="P721" s="395" t="n"/>
      <c r="Q721" s="395" t="n"/>
      <c r="R721" s="395" t="n"/>
      <c r="S721" s="395" t="n"/>
      <c r="T721" s="386" t="n"/>
      <c r="U721" s="386" t="n"/>
      <c r="V721" s="395" t="n"/>
      <c r="W721" s="395" t="n"/>
      <c r="X721" s="395" t="n"/>
      <c r="Y721" s="13" t="n"/>
      <c r="Z721" s="395" t="n"/>
      <c r="AA721" s="395" t="n"/>
      <c r="AB721" s="395" t="n"/>
      <c r="AC721" s="395" t="n"/>
      <c r="AD721" s="395" t="n"/>
      <c r="AE721" s="395" t="n"/>
    </row>
    <row r="722" ht="84" customHeight="1" s="380">
      <c r="A722" s="108" t="n">
        <v>48</v>
      </c>
      <c r="B722" s="386" t="n"/>
      <c r="C722" s="386" t="inlineStr">
        <is>
          <t>Báo cáo giám sát &gt;&gt; Báo cáo giám sát quy định về tài chính</t>
        </is>
      </c>
      <c r="D722" s="386" t="inlineStr">
        <is>
          <t>Hạn chế đầu tư &gt;&gt; Đầu tư quá 20% vốn chủ sở hữu vào cổ phiếu chưa niêm yết, phần vốn góp và dự án kinh doanh &gt;&gt; Quý III</t>
        </is>
      </c>
      <c r="E722" s="386" t="inlineStr">
        <is>
          <t>Hạn chế đầu tư &gt;&gt; Đầu tư quá 20% vốn chủ sở hữu vào cổ phiếu chưa niêm yết, phần vốn góp và dự án kinh doanh &gt;&gt; Quý III</t>
        </is>
      </c>
      <c r="F722" s="386" t="inlineStr">
        <is>
          <t>Data Explorer</t>
        </is>
      </c>
      <c r="G722" s="386" t="inlineStr">
        <is>
          <t>Chỉ tiêu cơ sở</t>
        </is>
      </c>
      <c r="H722" s="386" t="inlineStr">
        <is>
          <t>TB</t>
        </is>
      </c>
      <c r="I722" s="386" t="inlineStr">
        <is>
          <t>Ngày, CTCK</t>
        </is>
      </c>
      <c r="J722" s="395" t="inlineStr">
        <is>
          <t>SCMS</t>
        </is>
      </c>
      <c r="K722" s="395" t="n"/>
      <c r="L722" s="395" t="inlineStr">
        <is>
          <t>X</t>
        </is>
      </c>
      <c r="M722" s="395" t="n"/>
      <c r="N722" s="395" t="inlineStr">
        <is>
          <t>Pending</t>
        </is>
      </c>
      <c r="O722" s="401" t="n"/>
      <c r="P722" s="395" t="n"/>
      <c r="Q722" s="395" t="n"/>
      <c r="R722" s="395" t="n"/>
      <c r="S722" s="395" t="n"/>
      <c r="T722" s="386" t="n"/>
      <c r="U722" s="386" t="n"/>
      <c r="V722" s="395" t="n"/>
      <c r="W722" s="395" t="n"/>
      <c r="X722" s="395" t="n"/>
      <c r="Y722" s="13" t="n"/>
      <c r="Z722" s="395" t="n"/>
      <c r="AA722" s="395" t="n"/>
      <c r="AB722" s="395" t="n"/>
      <c r="AC722" s="395" t="n"/>
      <c r="AD722" s="395" t="n"/>
      <c r="AE722" s="395" t="n"/>
    </row>
    <row r="723" ht="84" customHeight="1" s="380">
      <c r="A723" s="111" t="n">
        <v>48</v>
      </c>
      <c r="B723" s="68" t="n"/>
      <c r="C723" s="68" t="inlineStr">
        <is>
          <t>Báo cáo giám sát &gt;&gt; Báo cáo giám sát quy định về tài chính</t>
        </is>
      </c>
      <c r="D723" s="68" t="inlineStr">
        <is>
          <t>Hạn chế đầu tư &gt;&gt; Đầu tư quá 20% vốn chủ sở hữu vào cổ phiếu chưa niêm yết, phần vốn góp và dự án kinh doanh &gt;&gt; Quý IV</t>
        </is>
      </c>
      <c r="E723" s="68" t="inlineStr">
        <is>
          <t>Hạn chế đầu tư &gt;&gt; Đầu tư quá 20% vốn chủ sở hữu vào cổ phiếu chưa niêm yết, phần vốn góp và dự án kinh doanh &gt;&gt; Quý IV</t>
        </is>
      </c>
      <c r="F723" s="68" t="inlineStr">
        <is>
          <t>Data Explorer</t>
        </is>
      </c>
      <c r="G723" s="68" t="inlineStr">
        <is>
          <t>Chỉ tiêu cơ sở</t>
        </is>
      </c>
      <c r="H723" s="68" t="inlineStr">
        <is>
          <t>TB</t>
        </is>
      </c>
      <c r="I723" s="68" t="inlineStr">
        <is>
          <t>Ngày, CTCK</t>
        </is>
      </c>
      <c r="J723" s="69" t="inlineStr">
        <is>
          <t>SCMS</t>
        </is>
      </c>
      <c r="K723" s="69" t="n"/>
      <c r="L723" s="69" t="inlineStr">
        <is>
          <t>X</t>
        </is>
      </c>
      <c r="M723" s="69" t="n"/>
      <c r="N723" s="69" t="inlineStr">
        <is>
          <t>Pending</t>
        </is>
      </c>
      <c r="O723" s="85" t="n"/>
      <c r="P723" s="69" t="n"/>
      <c r="Q723" s="69" t="n"/>
      <c r="R723" s="69" t="n"/>
      <c r="S723" s="69" t="n"/>
      <c r="T723" s="68" t="n"/>
      <c r="U723" s="68" t="n"/>
      <c r="V723" s="69" t="n"/>
      <c r="W723" s="69" t="n"/>
      <c r="X723" s="69" t="n"/>
      <c r="Y723" s="97" t="n"/>
      <c r="Z723" s="69" t="n"/>
      <c r="AA723" s="69" t="n"/>
      <c r="AB723" s="69" t="n"/>
      <c r="AC723" s="69" t="n"/>
      <c r="AD723" s="69" t="n"/>
      <c r="AE723" s="69" t="n"/>
    </row>
    <row r="724" ht="70" customHeight="1" s="380">
      <c r="A724" s="112" t="n">
        <v>49</v>
      </c>
      <c r="B724" s="74" t="n"/>
      <c r="C724" s="74" t="inlineStr">
        <is>
          <t>Báo cáo chứng quyền có đảm bảo &gt;&gt; Báo cáo phòng ngừa rủi ro và số lượng chứng quyền có bảo đảm phát hành - VII.1</t>
        </is>
      </c>
      <c r="D724" s="109" t="inlineStr">
        <is>
          <t>Loại báo cáo</t>
        </is>
      </c>
      <c r="E724" s="110" t="inlineStr">
        <is>
          <t>Loại báo cáo</t>
        </is>
      </c>
      <c r="F724" s="403" t="inlineStr">
        <is>
          <t>Data Explorer</t>
        </is>
      </c>
      <c r="G724" s="390" t="inlineStr">
        <is>
          <t>Chiều</t>
        </is>
      </c>
      <c r="H724" s="403" t="inlineStr">
        <is>
          <t>Dễ</t>
        </is>
      </c>
      <c r="I724" s="403" t="inlineStr">
        <is>
          <t>Ngày, CTCK</t>
        </is>
      </c>
      <c r="J724" s="404" t="inlineStr">
        <is>
          <t>SCMS</t>
        </is>
      </c>
      <c r="K724" s="404" t="inlineStr">
        <is>
          <t>X</t>
        </is>
      </c>
      <c r="L724" s="405" t="inlineStr">
        <is>
          <t>X</t>
        </is>
      </c>
      <c r="M724" s="404" t="n"/>
      <c r="N724" s="405" t="inlineStr">
        <is>
          <t>Done</t>
        </is>
      </c>
      <c r="O724" s="404" t="n"/>
      <c r="P724" s="405" t="n"/>
      <c r="Q724" s="405" t="inlineStr">
        <is>
          <t>SCMS.BM_BAO_CAO
SCMS.BM_BAO_CAO_DINH_KY</t>
        </is>
      </c>
      <c r="R724" s="405" t="inlineStr">
        <is>
          <t>bm.ID,
bm.MA_BAO_CAO,
bm.LOAI_BAO_CAO,
bm.TEN_BAO_CAO,
bm.SU_DUNG,
bdk.BM_BAO_CAO_ID,
bdk.KY_BAO_CAO,
bdk.SU_DUNG</t>
        </is>
      </c>
      <c r="S724" s="405" t="n"/>
      <c r="T724" s="400" t="inlineStr">
        <is>
          <t>-- Loại BC / Kỳ BC / Mã BC / Tên BC (chiều DWH – dùng chung)
-- MA_BAO_CAO: BCPNRR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 'BCPNRR'
        AND bm.SU_DUNG = 1
ORDER BY bdk.KY_BAO_CAO;</t>
        </is>
      </c>
      <c r="U724" s="400" t="n"/>
      <c r="V724" s="405" t="n"/>
      <c r="W724" s="405" t="n"/>
      <c r="X724" s="405" t="n"/>
      <c r="Y724" s="13" t="n"/>
      <c r="Z724" s="405" t="n"/>
      <c r="AA724" s="405" t="n"/>
      <c r="AB724" s="405" t="n"/>
      <c r="AC724" s="405" t="n"/>
      <c r="AD724" s="405" t="n"/>
      <c r="AE724" s="405" t="n"/>
    </row>
    <row r="725" ht="70" customHeight="1" s="380">
      <c r="A725" s="112" t="n">
        <v>49</v>
      </c>
      <c r="B725" s="386" t="n"/>
      <c r="C725" s="386" t="inlineStr">
        <is>
          <t>Báo cáo chứng quyền có đảm bảo &gt;&gt; Báo cáo phòng ngừa rủi ro và số lượng chứng quyền có bảo đảm phát hành - VII.1</t>
        </is>
      </c>
      <c r="D725" s="106" t="inlineStr">
        <is>
          <t>Kỳ báo cáo</t>
        </is>
      </c>
      <c r="E725" s="107" t="inlineStr">
        <is>
          <t>Kỳ báo cáo</t>
        </is>
      </c>
      <c r="F725" s="390" t="inlineStr">
        <is>
          <t>Data Explorer</t>
        </is>
      </c>
      <c r="G725" s="390" t="inlineStr">
        <is>
          <t>Chiều</t>
        </is>
      </c>
      <c r="H725" s="390" t="inlineStr">
        <is>
          <t>Dễ</t>
        </is>
      </c>
      <c r="I725" s="390" t="inlineStr">
        <is>
          <t>Ngày, CTCK</t>
        </is>
      </c>
      <c r="J725" s="401" t="inlineStr">
        <is>
          <t>SCMS</t>
        </is>
      </c>
      <c r="K725" s="401" t="inlineStr">
        <is>
          <t>X</t>
        </is>
      </c>
      <c r="L725" s="395" t="inlineStr">
        <is>
          <t>X</t>
        </is>
      </c>
      <c r="M725" s="401" t="n"/>
      <c r="N725" s="395" t="inlineStr">
        <is>
          <t>Done</t>
        </is>
      </c>
      <c r="O725" s="401" t="n"/>
      <c r="P725" s="395" t="n"/>
      <c r="S725" s="395" t="n"/>
      <c r="U725" s="386" t="n"/>
      <c r="V725" s="395" t="n"/>
      <c r="W725" s="395" t="n"/>
      <c r="X725" s="395" t="n"/>
      <c r="Y725" s="38" t="n"/>
      <c r="Z725" s="395" t="n"/>
      <c r="AA725" s="395" t="n"/>
      <c r="AB725" s="395" t="n"/>
      <c r="AC725" s="395" t="n"/>
      <c r="AD725" s="395" t="n"/>
      <c r="AE725" s="395" t="n"/>
    </row>
    <row r="726" ht="70" customHeight="1" s="380">
      <c r="A726" s="112" t="n">
        <v>49</v>
      </c>
      <c r="B726" s="386" t="n"/>
      <c r="C726" s="386" t="inlineStr">
        <is>
          <t>Báo cáo chứng quyền có đảm bảo &gt;&gt; Báo cáo phòng ngừa rủi ro và số lượng chứng quyền có bảo đảm phát hành - VII.1</t>
        </is>
      </c>
      <c r="D726" s="106" t="inlineStr">
        <is>
          <t>Mã báo cáo</t>
        </is>
      </c>
      <c r="E726" s="107" t="inlineStr">
        <is>
          <t>Mã báo cáo</t>
        </is>
      </c>
      <c r="F726" s="390" t="inlineStr">
        <is>
          <t>Data Explorer</t>
        </is>
      </c>
      <c r="G726" s="390" t="inlineStr">
        <is>
          <t>Chiều</t>
        </is>
      </c>
      <c r="H726" s="390" t="inlineStr">
        <is>
          <t>Dễ</t>
        </is>
      </c>
      <c r="I726" s="390" t="inlineStr">
        <is>
          <t>Ngày, CTCK</t>
        </is>
      </c>
      <c r="J726" s="401" t="inlineStr">
        <is>
          <t>SCMS</t>
        </is>
      </c>
      <c r="K726" s="401" t="inlineStr">
        <is>
          <t>X</t>
        </is>
      </c>
      <c r="L726" s="395" t="inlineStr">
        <is>
          <t>X</t>
        </is>
      </c>
      <c r="M726" s="401" t="n"/>
      <c r="N726" s="395" t="inlineStr">
        <is>
          <t>Done</t>
        </is>
      </c>
      <c r="O726" s="401" t="n"/>
      <c r="P726" s="395" t="n"/>
      <c r="S726" s="395" t="n"/>
      <c r="U726" s="386" t="n"/>
      <c r="V726" s="395" t="n"/>
      <c r="W726" s="395" t="n"/>
      <c r="X726" s="395" t="n"/>
      <c r="Y726" s="13" t="n"/>
      <c r="Z726" s="395" t="n"/>
      <c r="AA726" s="395" t="n"/>
      <c r="AB726" s="395" t="n"/>
      <c r="AC726" s="395" t="n"/>
      <c r="AD726" s="395" t="n"/>
      <c r="AE726" s="395" t="n"/>
    </row>
    <row r="727" ht="70" customHeight="1" s="380">
      <c r="A727" s="112" t="n">
        <v>49</v>
      </c>
      <c r="B727" s="386" t="n"/>
      <c r="C727" s="386" t="inlineStr">
        <is>
          <t>Báo cáo chứng quyền có đảm bảo &gt;&gt; Báo cáo phòng ngừa rủi ro và số lượng chứng quyền có bảo đảm phát hành - VII.1</t>
        </is>
      </c>
      <c r="D727" s="106" t="inlineStr">
        <is>
          <t>Tên báo cáo</t>
        </is>
      </c>
      <c r="E727" s="107" t="inlineStr">
        <is>
          <t>Tên báo cáo</t>
        </is>
      </c>
      <c r="F727" s="390" t="inlineStr">
        <is>
          <t>Data Explorer</t>
        </is>
      </c>
      <c r="G727" s="390" t="inlineStr">
        <is>
          <t>Chiều</t>
        </is>
      </c>
      <c r="H727" s="390" t="inlineStr">
        <is>
          <t>Dễ</t>
        </is>
      </c>
      <c r="I727" s="390" t="inlineStr">
        <is>
          <t>Ngày, CTCK</t>
        </is>
      </c>
      <c r="J727" s="401" t="inlineStr">
        <is>
          <t>SCMS</t>
        </is>
      </c>
      <c r="K727" s="401" t="inlineStr">
        <is>
          <t>X</t>
        </is>
      </c>
      <c r="L727" s="395" t="inlineStr">
        <is>
          <t>X</t>
        </is>
      </c>
      <c r="M727" s="401" t="n"/>
      <c r="N727" s="395" t="inlineStr">
        <is>
          <t>Done</t>
        </is>
      </c>
      <c r="O727" s="401" t="n"/>
      <c r="P727" s="395" t="n"/>
      <c r="S727" s="395" t="n"/>
      <c r="U727" s="386" t="n"/>
      <c r="V727" s="395" t="n"/>
      <c r="W727" s="395" t="n"/>
      <c r="X727" s="395" t="n"/>
      <c r="Y727" s="13" t="n"/>
      <c r="Z727" s="395" t="n"/>
      <c r="AA727" s="395" t="n"/>
      <c r="AB727" s="395" t="n"/>
      <c r="AC727" s="395" t="n"/>
      <c r="AD727" s="395" t="n"/>
      <c r="AE727" s="395" t="n"/>
    </row>
    <row r="728" ht="70" customHeight="1" s="380">
      <c r="A728" s="112" t="n">
        <v>49</v>
      </c>
      <c r="B728" s="386" t="n"/>
      <c r="C728" s="386" t="inlineStr">
        <is>
          <t>Báo cáo chứng quyền có đảm bảo &gt;&gt; Báo cáo phòng ngừa rủi ro và số lượng chứng quyền có bảo đảm phát hành - VII.1</t>
        </is>
      </c>
      <c r="D728" s="106" t="inlineStr">
        <is>
          <t>Mã sheet</t>
        </is>
      </c>
      <c r="E728" s="106" t="inlineStr">
        <is>
          <t>Mã sheet</t>
        </is>
      </c>
      <c r="F728" s="390" t="inlineStr">
        <is>
          <t>Data Explorer</t>
        </is>
      </c>
      <c r="G728" s="390" t="inlineStr">
        <is>
          <t>Chiều</t>
        </is>
      </c>
      <c r="H728" s="390" t="inlineStr">
        <is>
          <t>Dễ</t>
        </is>
      </c>
      <c r="I728" s="390" t="inlineStr">
        <is>
          <t>Ngày, CTCK</t>
        </is>
      </c>
      <c r="J728" s="401" t="inlineStr">
        <is>
          <t>SCMS</t>
        </is>
      </c>
      <c r="K728" s="401" t="inlineStr">
        <is>
          <t>X</t>
        </is>
      </c>
      <c r="L728" s="395" t="inlineStr">
        <is>
          <t>X</t>
        </is>
      </c>
      <c r="M728" s="401" t="n"/>
      <c r="N728" s="395" t="inlineStr">
        <is>
          <t>Done</t>
        </is>
      </c>
      <c r="O728" s="401" t="n"/>
      <c r="P728" s="395" t="n"/>
      <c r="Q728" s="395" t="inlineStr">
        <is>
          <t>SCMS.BM_BAO_CAO
SCMS.BM_SHEET</t>
        </is>
      </c>
      <c r="R728" s="395" t="inlineStr">
        <is>
          <t>bm.ID,
bm.MA_BAO_CAO,
bm.SU_DUNG,
s.BM_BAO_CAO_ID,
s.MA_SHEET,
s.TEN_SHEET,
s.SAP_XEP</t>
        </is>
      </c>
      <c r="S728" s="395" t="n"/>
      <c r="T728" s="384" t="inlineStr">
        <is>
          <t>-- Mã sheet / Tên sheet
-- MA_SHEET: VII.1
SELECT bm.MA_BAO_CAO,
s.MA_SHEET,
s.TEN_SHEET
FROM SCMS.BM_BAO_CAO bm
JOIN SCMS.BM_SHEET s ON s.BM_BAO_CAO_ID = bm.ID
WHERE bm.MA_BAO_CAO = 'BCPNRR'
AND s.MA_SHEET = 'VII.1'  -- Check lại data chuẩn
AND bm.SU_DUNG = 1
ORDER BY bm.MA_BAO_CAO, s.SAP_XEP;</t>
        </is>
      </c>
      <c r="U728" s="386" t="n"/>
      <c r="V728" s="395" t="n"/>
      <c r="W728" s="395" t="n"/>
      <c r="X728" s="395" t="n"/>
      <c r="Y728" s="13" t="n"/>
      <c r="Z728" s="395" t="n"/>
      <c r="AA728" s="395" t="n"/>
      <c r="AB728" s="395" t="n"/>
      <c r="AC728" s="395" t="n"/>
      <c r="AD728" s="395" t="n"/>
      <c r="AE728" s="395" t="n"/>
    </row>
    <row r="729" ht="70" customHeight="1" s="380">
      <c r="A729" s="112" t="n">
        <v>49</v>
      </c>
      <c r="B729" s="386" t="n"/>
      <c r="C729" s="386" t="inlineStr">
        <is>
          <t>Báo cáo chứng quyền có đảm bảo &gt;&gt; Báo cáo phòng ngừa rủi ro và số lượng chứng quyền có bảo đảm phát hành - VII.1</t>
        </is>
      </c>
      <c r="D729" s="106" t="inlineStr">
        <is>
          <t>Tên sheet</t>
        </is>
      </c>
      <c r="E729" s="106" t="inlineStr">
        <is>
          <t>Tên sheet</t>
        </is>
      </c>
      <c r="F729" s="390" t="inlineStr">
        <is>
          <t>Data Explorer</t>
        </is>
      </c>
      <c r="G729" s="390" t="inlineStr">
        <is>
          <t>Chiều</t>
        </is>
      </c>
      <c r="H729" s="390" t="inlineStr">
        <is>
          <t>Dễ</t>
        </is>
      </c>
      <c r="I729" s="390" t="inlineStr">
        <is>
          <t>Ngày, CTCK</t>
        </is>
      </c>
      <c r="J729" s="401" t="inlineStr">
        <is>
          <t>SCMS</t>
        </is>
      </c>
      <c r="K729" s="401" t="inlineStr">
        <is>
          <t>X</t>
        </is>
      </c>
      <c r="L729" s="395" t="inlineStr">
        <is>
          <t>X</t>
        </is>
      </c>
      <c r="M729" s="401" t="n"/>
      <c r="N729" s="395" t="inlineStr">
        <is>
          <t>Done</t>
        </is>
      </c>
      <c r="O729" s="401" t="n"/>
      <c r="P729" s="395" t="n"/>
      <c r="S729" s="395" t="n"/>
      <c r="U729" s="386" t="n"/>
      <c r="V729" s="395" t="n"/>
      <c r="W729" s="395" t="n"/>
      <c r="X729" s="395" t="n"/>
      <c r="Y729" s="13" t="n"/>
      <c r="Z729" s="395" t="n"/>
      <c r="AA729" s="395" t="n"/>
      <c r="AB729" s="395" t="n"/>
      <c r="AC729" s="395" t="n"/>
      <c r="AD729" s="395" t="n"/>
      <c r="AE729" s="395" t="n"/>
    </row>
    <row r="730" ht="70" customHeight="1" s="380">
      <c r="A730" s="112" t="n">
        <v>49</v>
      </c>
      <c r="B730" s="386" t="n"/>
      <c r="C730" s="386" t="inlineStr">
        <is>
          <t>Báo cáo chứng quyền có đảm bảo &gt;&gt; Báo cáo phòng ngừa rủi ro và số lượng chứng quyền có bảo đảm phát hành - VII.1</t>
        </is>
      </c>
      <c r="D730" s="106" t="inlineStr">
        <is>
          <t>Mã chỉ tiêu</t>
        </is>
      </c>
      <c r="E730" s="107" t="inlineStr">
        <is>
          <t>Mã chỉ tiêu</t>
        </is>
      </c>
      <c r="F730" s="390" t="inlineStr">
        <is>
          <t>Data Explorer</t>
        </is>
      </c>
      <c r="G730" s="390" t="inlineStr">
        <is>
          <t>Chiều</t>
        </is>
      </c>
      <c r="H730" s="390" t="inlineStr">
        <is>
          <t>Dễ</t>
        </is>
      </c>
      <c r="I730" s="390" t="inlineStr">
        <is>
          <t>Ngày, CTCK</t>
        </is>
      </c>
      <c r="J730" s="401" t="inlineStr">
        <is>
          <t>SCMS</t>
        </is>
      </c>
      <c r="K730" s="401" t="inlineStr">
        <is>
          <t>X</t>
        </is>
      </c>
      <c r="L730" s="395" t="inlineStr">
        <is>
          <t>X</t>
        </is>
      </c>
      <c r="M730" s="401" t="n"/>
      <c r="N730" s="395" t="inlineStr">
        <is>
          <t>Done</t>
        </is>
      </c>
      <c r="O730" s="401" t="n"/>
      <c r="P730" s="395" t="n"/>
      <c r="Q730" s="395" t="inlineStr">
        <is>
          <t>SCMS.BM_BAO_CAO
SCMS.BM_SHEET
SCMS.BM_BAO_CAO_CT
SCMS.DM_CHI_TIEU</t>
        </is>
      </c>
      <c r="R730" s="399" t="inlineStr">
        <is>
          <t>dct.ID,
dct.MA_CHI_TIEU,
dct.TEN_CHI_TIEU,
dct.SU_DUNG,
s.BM_BAO_CAO_ID,
s.MA_SHEET,
ct.BM_BAO_CAO_ID,
ct.DM_CHI_TIEU_ID,
ct.SU_DUNG,
bm.ID,
bm.MA_BAO_CAO,
bm.SU_DUNG</t>
        </is>
      </c>
      <c r="S730" s="395" t="n"/>
      <c r="T730" s="384" t="inlineStr">
        <is>
          <t>-- Mã chỉ tiêu / Tên chỉ tiêu
SELECT DISTINCT
    dct.MA_CHI_TIEU  AS ma_chi_tieu,
    dct.TEN_CHI_TIEU AS ten_chi_tieu
FROM SCMS.BM_BAO_CAO bm
JOIN SCMS.BM_SHEET s ON s.BM_BAO_CAO_ID = bm.ID
        AND s.MA_SHEET = 'VII.1'
JOIN SCMS.BM_BAO_CAO_CT ct ON ct.BM_SHEET_ID = s.ID
        AND ct.SU_DUNG = 1
JOIN SCMS.DM_CHI_TIEU dct ON dct.ID = ct.DM_CHI_TIEU_ID
        AND dct.SU_DUNG = 1
WHERE bm.MA_BAO_CAO = 'BCPNRR'
        AND bm.SU_DUNG = 1
ORDER BY dct.MA_CHI_TIEU;</t>
        </is>
      </c>
      <c r="U730" s="386" t="n"/>
      <c r="V730" s="395" t="n"/>
      <c r="W730" s="395" t="n"/>
      <c r="X730" s="395" t="n"/>
      <c r="Y730" s="13" t="n"/>
      <c r="Z730" s="395" t="n"/>
      <c r="AA730" s="395" t="n"/>
      <c r="AB730" s="395" t="n"/>
      <c r="AC730" s="395" t="n"/>
      <c r="AD730" s="395" t="n"/>
      <c r="AE730" s="395" t="n"/>
    </row>
    <row r="731" ht="70" customHeight="1" s="380">
      <c r="A731" s="112" t="n">
        <v>49</v>
      </c>
      <c r="B731" s="386" t="n"/>
      <c r="C731" s="386" t="inlineStr">
        <is>
          <t>Báo cáo chứng quyền có đảm bảo &gt;&gt; Báo cáo phòng ngừa rủi ro và số lượng chứng quyền có bảo đảm phát hành - VII.1</t>
        </is>
      </c>
      <c r="D731" s="106" t="inlineStr">
        <is>
          <t>Tên chỉ tiêu</t>
        </is>
      </c>
      <c r="E731" s="107" t="inlineStr">
        <is>
          <t>Tên chỉ tiêu</t>
        </is>
      </c>
      <c r="F731" s="390" t="inlineStr">
        <is>
          <t>Data Explorer</t>
        </is>
      </c>
      <c r="G731" s="390" t="inlineStr">
        <is>
          <t>Chiều</t>
        </is>
      </c>
      <c r="H731" s="390" t="inlineStr">
        <is>
          <t>Dễ</t>
        </is>
      </c>
      <c r="I731" s="390" t="inlineStr">
        <is>
          <t>Ngày, CTCK</t>
        </is>
      </c>
      <c r="J731" s="401" t="inlineStr">
        <is>
          <t>SCMS</t>
        </is>
      </c>
      <c r="K731" s="401" t="inlineStr">
        <is>
          <t>X</t>
        </is>
      </c>
      <c r="L731" s="395" t="inlineStr">
        <is>
          <t>X</t>
        </is>
      </c>
      <c r="M731" s="401" t="n"/>
      <c r="N731" s="395" t="inlineStr">
        <is>
          <t>Done</t>
        </is>
      </c>
      <c r="O731" s="401" t="n"/>
      <c r="P731" s="395" t="n"/>
      <c r="S731" s="395" t="n"/>
      <c r="U731" s="386" t="n"/>
      <c r="V731" s="395" t="n"/>
      <c r="W731" s="395" t="n"/>
      <c r="X731" s="395" t="n"/>
      <c r="Y731" s="38" t="n"/>
      <c r="Z731" s="395" t="n"/>
      <c r="AA731" s="395" t="n"/>
      <c r="AB731" s="395" t="n"/>
      <c r="AC731" s="395" t="n"/>
      <c r="AD731" s="395" t="n"/>
      <c r="AE731" s="395" t="n"/>
    </row>
    <row r="732" ht="70" customHeight="1" s="380">
      <c r="A732" s="112" t="n">
        <v>49</v>
      </c>
      <c r="B732" s="386" t="n"/>
      <c r="C732" s="386" t="inlineStr">
        <is>
          <t>Báo cáo chứng quyền có đảm bảo &gt;&gt; Báo cáo phòng ngừa rủi ro và số lượng chứng quyền có bảo đảm phát hành - VII.1</t>
        </is>
      </c>
      <c r="D732" s="386" t="inlineStr">
        <is>
          <t>Tên CTCK</t>
        </is>
      </c>
      <c r="E732" s="395" t="inlineStr">
        <is>
          <t>Tên CTCK</t>
        </is>
      </c>
      <c r="F732" s="386" t="inlineStr">
        <is>
          <t>Data Explorer</t>
        </is>
      </c>
      <c r="G732" s="386" t="inlineStr">
        <is>
          <t>Chỉ tiêu cơ sở</t>
        </is>
      </c>
      <c r="H732" s="386" t="inlineStr">
        <is>
          <t>TB</t>
        </is>
      </c>
      <c r="I732" s="386" t="inlineStr">
        <is>
          <t>Ngày, CTCK</t>
        </is>
      </c>
      <c r="J732" s="395" t="inlineStr">
        <is>
          <t>SCMS</t>
        </is>
      </c>
      <c r="K732" s="395" t="n"/>
      <c r="L732" s="395" t="inlineStr">
        <is>
          <t>X</t>
        </is>
      </c>
      <c r="M732" s="395" t="n"/>
      <c r="N732" s="395" t="inlineStr">
        <is>
          <t>Done</t>
        </is>
      </c>
      <c r="O732" s="401" t="n"/>
      <c r="P732" s="395" t="n"/>
      <c r="Q732" s="427" t="inlineStr">
        <is>
          <t>SCMS.BC_THANH_VIEN
SCMS.BM_BAO_CAO
SCMS.BM_BAO_CAO_HANG
SCMS.BC_BAO_CAO_GT
SCMS.CTCK_THONG_TIN</t>
        </is>
      </c>
      <c r="R732" s="427" t="inlineStr">
        <is>
          <t>c.ID,
c.TEN_VIET_TAT,
c.SAN_NIEM_YET,
c.MA_CHUNG_KHOAN,
c.GIAY_PHEP_KINH_DOANH,
c.NGAY_CAP_GPKD,
btv.ID,
btv.BM_BAO_CAO_ID,
btv.CTCK_THONG_TIN_ID,
btv.NGAY_SO_LIEU,
btv.TRANG_THAI,
g.BC_THANH_VIEN_ID,
g.TEN_COT,
g.GIA_TRI,
g.TEN_SHEET,
bm.ID,
bm.MA_BAO_CAO,
bm.BM_BAO_CAO_ID,
bsh.MA_HANG,
bsh.BM_BAO_CAO_ID</t>
        </is>
      </c>
      <c r="S732" s="395" t="n"/>
      <c r="T732" s="425" t="inlineStr">
        <is>
          <t>-- CHỈ TIÊU
SELECT
    ROW_NUMBER() OVER (ORDER BY ngay_bao_cao DESC, ten_ctck) AS stt,
    ten_ctck,
    san_giao_dich,
    ma_ck,
    so_giay_phep,
    ngay_cap_giay_phep,
    ngay_bao_cao,
    "Mã chứng quyền",
    "Số lượng chứng quyền có bảo đảm được phép phát hành",
    "Số lượng chứng quyền có bảo đảm đã bán ròng trong ngày",
    "Tổng số lượng chứng quyền có bảo đảm đã bán ròng",
    "Số lượng chứng quyền có bảo đảm còn được phép bán"
FROM (
    SELECT
        c.TEN_VIET_TAT AS ten_ctck,
        c.SAN_NIEM_YET AS san_giao_dich,
        c.MA_CHUNG_KHOAN AS ma_ck,
        c.GIAY_PHEP_KINH_DOANH AS so_giay_phep,
        c.NGAY_CAP_GPKD AS ngay_cap_giay_phep,
        btv.NGAY_SO_LIEU AS ngay_bao_cao,
        MAX(CASE WHEN g.TEN_COT LIKE N'%Mã chứng quyền%' THEN g.GIA_TRI END) AS "Mã chứng quyền",
        MAX(CASE WHEN bsh.MA_HANG = '1' THEN g.GIA_TRI END) AS "Số lượng chứng quyền có bảo đảm được phép phát hành",
        MAX(CASE WHEN bsh.MA_HANG = '2' THEN g.GIA_TRI END) AS "Số lượng chứng quyền có bảo đảm đã bán ròng trong ngày",
        MAX(CASE WHEN bsh.MA_HANG = '3' THEN g.GIA_TRI END) AS "Tổng số lượng chứng quyền có bảo đảm đã bán ròng",
        MAX(CASE WHEN bsh.MA_HANG = '4' THEN g.GIA_TRI END) AS "Số lượng chứng quyền có bảo đảm còn được phép bán"
    FROM SCMS.BC_THANH_VIEN btv
    JOIN SCMS.BM_BAO_CAO bm ON bm.ID = btv.BM_BAO_CAO_ID
    JOIN SCMS.BM_BAO_CAO_HANG bsh ON bsh.BM_BAO_CAO_ID = bm.BM_BAO_CAO_ID
    JOIN (
        SELECT
            BC_THANH_VIEN_ID,
            TEN_SHEET,
            TEN_COT,
            CAST(GIA_TRI AS VARCHAR2(4000)) AS GIA_TRI
        FROM SCMS.BC_BAO_CAO_GT
        WHERE TEN_SHEET = N'VII.1'
    ) g ON g.BC_THANH_VIEN_ID = btv.ID
    JOIN SCMS.CTCK_THONG_TIN c ON c.ID = btv.CTCK_THONG_TIN_ID
    WHERE bm.MA_BAO_CAO  = 'BCPNRR'
      AND btv.TRANG_THAI IN (2, 3)
    GROUP BY
        btv.ID, btv.CTCK_THONG_TIN_ID, btv.NGAY_SO_LIEU, btv.TRANG_THAI,
        bm.MA_BAO_CAO, g.TEN_SHEET, c.TEN_VIET_TAT, c.SAN_NIEM_YET,
        c.MA_CHUNG_KHOAN, c.GIAY_PHEP_KINH_DOANH, c.NGAY_CAP_GPKD
)
ORDER BY ngay_bao_cao DESC, ten_ctck;</t>
        </is>
      </c>
      <c r="U732" s="386" t="n"/>
      <c r="V732" s="395" t="n"/>
      <c r="W732" s="395" t="n"/>
      <c r="X732" s="395" t="n"/>
      <c r="Y732" s="13" t="n"/>
      <c r="Z732" s="395" t="n"/>
      <c r="AA732" s="395" t="n"/>
      <c r="AB732" s="395" t="n"/>
      <c r="AC732" s="395" t="n"/>
      <c r="AD732" s="395" t="n"/>
      <c r="AE732" s="395" t="n"/>
    </row>
    <row r="733" ht="70" customHeight="1" s="380">
      <c r="A733" s="112" t="n">
        <v>49</v>
      </c>
      <c r="B733" s="386" t="n"/>
      <c r="C733" s="386" t="inlineStr">
        <is>
          <t>Báo cáo chứng quyền có đảm bảo &gt;&gt; Báo cáo phòng ngừa rủi ro và số lượng chứng quyền có bảo đảm phát hành - VII.1</t>
        </is>
      </c>
      <c r="D733" s="386" t="inlineStr">
        <is>
          <t>Sàn giao dịch</t>
        </is>
      </c>
      <c r="E733" s="395" t="inlineStr">
        <is>
          <t>Sàn giao dịch</t>
        </is>
      </c>
      <c r="F733" s="386" t="inlineStr">
        <is>
          <t>Data Explorer</t>
        </is>
      </c>
      <c r="G733" s="386" t="inlineStr">
        <is>
          <t>Chỉ tiêu cơ sở</t>
        </is>
      </c>
      <c r="H733" s="386" t="inlineStr">
        <is>
          <t>Dễ</t>
        </is>
      </c>
      <c r="I733" s="386" t="inlineStr">
        <is>
          <t>Ngày, CTCK</t>
        </is>
      </c>
      <c r="J733" s="395" t="inlineStr">
        <is>
          <t>SCMS</t>
        </is>
      </c>
      <c r="K733" s="395" t="n"/>
      <c r="L733" s="395" t="inlineStr">
        <is>
          <t>X</t>
        </is>
      </c>
      <c r="M733" s="395" t="n"/>
      <c r="N733" s="395" t="inlineStr">
        <is>
          <t>Done</t>
        </is>
      </c>
      <c r="O733" s="401" t="n"/>
      <c r="P733" s="395" t="n"/>
      <c r="S733" s="395" t="n"/>
      <c r="U733" s="386" t="n"/>
      <c r="V733" s="395" t="n"/>
      <c r="W733" s="395" t="n"/>
      <c r="X733" s="395" t="n"/>
      <c r="Y733" s="13" t="n"/>
      <c r="Z733" s="395" t="n"/>
      <c r="AA733" s="395" t="n"/>
      <c r="AB733" s="395" t="n"/>
      <c r="AC733" s="395" t="n"/>
      <c r="AD733" s="395" t="n"/>
      <c r="AE733" s="395" t="n"/>
    </row>
    <row r="734" ht="70" customHeight="1" s="380">
      <c r="A734" s="112" t="n">
        <v>49</v>
      </c>
      <c r="B734" s="386" t="n"/>
      <c r="C734" s="386" t="inlineStr">
        <is>
          <t>Báo cáo chứng quyền có đảm bảo &gt;&gt; Báo cáo phòng ngừa rủi ro và số lượng chứng quyền có bảo đảm phát hành - VII.1</t>
        </is>
      </c>
      <c r="D734" s="386" t="inlineStr">
        <is>
          <t>Mã CK</t>
        </is>
      </c>
      <c r="E734" s="395" t="inlineStr">
        <is>
          <t>Mã CK</t>
        </is>
      </c>
      <c r="F734" s="386" t="inlineStr">
        <is>
          <t>Data Explorer</t>
        </is>
      </c>
      <c r="G734" s="386" t="inlineStr">
        <is>
          <t>Chỉ tiêu cơ sở</t>
        </is>
      </c>
      <c r="H734" s="386" t="inlineStr">
        <is>
          <t>Dễ</t>
        </is>
      </c>
      <c r="I734" s="386" t="inlineStr">
        <is>
          <t>Ngày, CTCK</t>
        </is>
      </c>
      <c r="J734" s="395" t="inlineStr">
        <is>
          <t>SCMS</t>
        </is>
      </c>
      <c r="K734" s="395" t="n"/>
      <c r="L734" s="395" t="inlineStr">
        <is>
          <t>X</t>
        </is>
      </c>
      <c r="M734" s="395" t="n"/>
      <c r="N734" s="395" t="inlineStr">
        <is>
          <t>Done</t>
        </is>
      </c>
      <c r="O734" s="401" t="n"/>
      <c r="P734" s="395" t="n"/>
      <c r="S734" s="395" t="n"/>
      <c r="U734" s="386" t="n"/>
      <c r="V734" s="395" t="n"/>
      <c r="W734" s="395" t="n"/>
      <c r="X734" s="395" t="n"/>
      <c r="Y734" s="13" t="n"/>
      <c r="Z734" s="395" t="n"/>
      <c r="AA734" s="395" t="n"/>
      <c r="AB734" s="395" t="n"/>
      <c r="AC734" s="395" t="n"/>
      <c r="AD734" s="395" t="n"/>
      <c r="AE734" s="395" t="n"/>
    </row>
    <row r="735" ht="70" customHeight="1" s="380">
      <c r="A735" s="112" t="n">
        <v>49</v>
      </c>
      <c r="B735" s="386" t="n"/>
      <c r="C735" s="386" t="inlineStr">
        <is>
          <t>Báo cáo chứng quyền có đảm bảo &gt;&gt; Báo cáo phòng ngừa rủi ro và số lượng chứng quyền có bảo đảm phát hành - VII.1</t>
        </is>
      </c>
      <c r="D735" s="386" t="inlineStr">
        <is>
          <t>Giấy phép Hoạt động của Chủ tịch UBCKNN cấp lần đầu &gt;&gt; Số</t>
        </is>
      </c>
      <c r="E735" s="386" t="inlineStr">
        <is>
          <t>Giấy phép Hoạt động của Chủ tịch UBCKNN cấp lần đầu &gt;&gt; Số</t>
        </is>
      </c>
      <c r="F735" s="386" t="inlineStr">
        <is>
          <t>Data Explorer</t>
        </is>
      </c>
      <c r="G735" s="386" t="inlineStr">
        <is>
          <t>Chỉ tiêu cơ sở</t>
        </is>
      </c>
      <c r="H735" s="386" t="inlineStr">
        <is>
          <t>Dễ</t>
        </is>
      </c>
      <c r="I735" s="386" t="inlineStr">
        <is>
          <t>Ngày, CTCK</t>
        </is>
      </c>
      <c r="J735" s="395" t="inlineStr">
        <is>
          <t>SCMS</t>
        </is>
      </c>
      <c r="K735" s="395" t="n"/>
      <c r="L735" s="395" t="inlineStr">
        <is>
          <t>X</t>
        </is>
      </c>
      <c r="M735" s="395" t="n"/>
      <c r="N735" s="395" t="inlineStr">
        <is>
          <t>Done</t>
        </is>
      </c>
      <c r="O735" s="401" t="n"/>
      <c r="P735" s="395" t="n"/>
      <c r="S735" s="395" t="n"/>
      <c r="U735" s="386" t="n"/>
      <c r="V735" s="395" t="n"/>
      <c r="W735" s="395" t="n"/>
      <c r="X735" s="395" t="n"/>
      <c r="Y735" s="13" t="n"/>
      <c r="Z735" s="395" t="n"/>
      <c r="AA735" s="395" t="n"/>
      <c r="AB735" s="395" t="n"/>
      <c r="AC735" s="395" t="n"/>
      <c r="AD735" s="395" t="n"/>
      <c r="AE735" s="395" t="n"/>
    </row>
    <row r="736" ht="70" customHeight="1" s="380">
      <c r="A736" s="112" t="n">
        <v>49</v>
      </c>
      <c r="B736" s="386" t="n"/>
      <c r="C736" s="386" t="inlineStr">
        <is>
          <t>Báo cáo chứng quyền có đảm bảo &gt;&gt; Báo cáo phòng ngừa rủi ro và số lượng chứng quyền có bảo đảm phát hành - VII.1</t>
        </is>
      </c>
      <c r="D736" s="386" t="inlineStr">
        <is>
          <t>Giấy phép Hoạt động của Chủ tịch UBCKNN cấp lần đầu &gt;&gt; Ngày cấp</t>
        </is>
      </c>
      <c r="E736" s="386" t="inlineStr">
        <is>
          <t>Giấy phép Hoạt động của Chủ tịch UBCKNN cấp lần đầu &gt;&gt; Ngày cấp</t>
        </is>
      </c>
      <c r="F736" s="386" t="inlineStr">
        <is>
          <t>Data Explorer</t>
        </is>
      </c>
      <c r="G736" s="386" t="inlineStr">
        <is>
          <t>Chỉ tiêu cơ sở</t>
        </is>
      </c>
      <c r="H736" s="386" t="inlineStr">
        <is>
          <t>Dễ</t>
        </is>
      </c>
      <c r="I736" s="386" t="inlineStr">
        <is>
          <t>Ngày, CTCK</t>
        </is>
      </c>
      <c r="J736" s="395" t="inlineStr">
        <is>
          <t>SCMS</t>
        </is>
      </c>
      <c r="K736" s="395" t="n"/>
      <c r="L736" s="395" t="inlineStr">
        <is>
          <t>X</t>
        </is>
      </c>
      <c r="M736" s="395" t="n"/>
      <c r="N736" s="395" t="inlineStr">
        <is>
          <t>Done</t>
        </is>
      </c>
      <c r="O736" s="401" t="n"/>
      <c r="P736" s="395" t="n"/>
      <c r="S736" s="395" t="n"/>
      <c r="U736" s="386" t="n"/>
      <c r="V736" s="395" t="n"/>
      <c r="W736" s="395" t="n"/>
      <c r="X736" s="395" t="n"/>
      <c r="Y736" s="13" t="n"/>
      <c r="Z736" s="395" t="n"/>
      <c r="AA736" s="395" t="n"/>
      <c r="AB736" s="395" t="n"/>
      <c r="AC736" s="395" t="n"/>
      <c r="AD736" s="395" t="n"/>
      <c r="AE736" s="395" t="n"/>
    </row>
    <row r="737" ht="70" customHeight="1" s="380">
      <c r="A737" s="112" t="n">
        <v>49</v>
      </c>
      <c r="B737" s="386" t="n"/>
      <c r="C737" s="386" t="inlineStr">
        <is>
          <t>Báo cáo chứng quyền có đảm bảo &gt;&gt; Báo cáo phòng ngừa rủi ro và số lượng chứng quyền có bảo đảm phát hành - VII.1</t>
        </is>
      </c>
      <c r="D737" s="386" t="inlineStr">
        <is>
          <t>Ngày báo cáo</t>
        </is>
      </c>
      <c r="E737" s="395" t="inlineStr">
        <is>
          <t>Ngày báo cáo</t>
        </is>
      </c>
      <c r="F737" s="386" t="inlineStr">
        <is>
          <t>Data Explorer</t>
        </is>
      </c>
      <c r="G737" s="386" t="inlineStr">
        <is>
          <t>Chỉ tiêu cơ sở</t>
        </is>
      </c>
      <c r="H737" s="386" t="inlineStr">
        <is>
          <t>Dễ</t>
        </is>
      </c>
      <c r="I737" s="386" t="inlineStr">
        <is>
          <t>Ngày, CTCK</t>
        </is>
      </c>
      <c r="J737" s="395" t="inlineStr">
        <is>
          <t>SCMS</t>
        </is>
      </c>
      <c r="K737" s="395" t="n"/>
      <c r="L737" s="395" t="inlineStr">
        <is>
          <t>X</t>
        </is>
      </c>
      <c r="M737" s="395" t="n"/>
      <c r="N737" s="395" t="inlineStr">
        <is>
          <t>Done</t>
        </is>
      </c>
      <c r="O737" s="401" t="n"/>
      <c r="P737" s="395" t="n"/>
      <c r="S737" s="395" t="n"/>
      <c r="U737" s="386" t="n"/>
      <c r="V737" s="395" t="n"/>
      <c r="W737" s="395" t="n"/>
      <c r="X737" s="395" t="n"/>
      <c r="Y737" s="14" t="n"/>
      <c r="Z737" s="395" t="n"/>
      <c r="AA737" s="395" t="n"/>
      <c r="AB737" s="395" t="n"/>
      <c r="AC737" s="395" t="n"/>
      <c r="AD737" s="395" t="n"/>
      <c r="AE737" s="395" t="n"/>
    </row>
    <row r="738" ht="70" customHeight="1" s="380">
      <c r="A738" s="112" t="n">
        <v>49</v>
      </c>
      <c r="B738" s="386" t="n"/>
      <c r="C738" s="386" t="inlineStr">
        <is>
          <t>Báo cáo chứng quyền có đảm bảo &gt;&gt; Báo cáo phòng ngừa rủi ro và số lượng chứng quyền có bảo đảm phát hành - VII.1</t>
        </is>
      </c>
      <c r="D738" s="386" t="inlineStr">
        <is>
          <t>Mã chứng quyền</t>
        </is>
      </c>
      <c r="E738" s="395" t="inlineStr">
        <is>
          <t>Mã chứng quyền</t>
        </is>
      </c>
      <c r="F738" s="386" t="inlineStr">
        <is>
          <t>Data Explorer</t>
        </is>
      </c>
      <c r="G738" s="386" t="inlineStr">
        <is>
          <t>Chỉ tiêu cơ sở</t>
        </is>
      </c>
      <c r="H738" s="386" t="inlineStr">
        <is>
          <t>Dễ</t>
        </is>
      </c>
      <c r="I738" s="386" t="inlineStr">
        <is>
          <t>Ngày, CTCK</t>
        </is>
      </c>
      <c r="J738" s="395" t="inlineStr">
        <is>
          <t>SCMS</t>
        </is>
      </c>
      <c r="K738" s="395" t="n"/>
      <c r="L738" s="395" t="inlineStr">
        <is>
          <t>X</t>
        </is>
      </c>
      <c r="M738" s="395" t="n"/>
      <c r="N738" s="395" t="inlineStr">
        <is>
          <t>Done</t>
        </is>
      </c>
      <c r="O738" s="401" t="n"/>
      <c r="P738" s="395" t="n"/>
      <c r="S738" s="395" t="n"/>
      <c r="U738" s="386" t="n"/>
      <c r="V738" s="395" t="n"/>
      <c r="W738" s="395" t="n"/>
      <c r="X738" s="395" t="n"/>
      <c r="Y738" s="13" t="n"/>
      <c r="Z738" s="395" t="n"/>
      <c r="AA738" s="395" t="n"/>
      <c r="AB738" s="395" t="n"/>
      <c r="AC738" s="395" t="n"/>
      <c r="AD738" s="395" t="n"/>
      <c r="AE738" s="395" t="n"/>
    </row>
    <row r="739" ht="70" customHeight="1" s="380">
      <c r="A739" s="112" t="n">
        <v>49</v>
      </c>
      <c r="B739" s="386" t="n"/>
      <c r="C739" s="386" t="inlineStr">
        <is>
          <t>Báo cáo chứng quyền có đảm bảo &gt;&gt; Báo cáo phòng ngừa rủi ro và số lượng chứng quyền có bảo đảm phát hành - VII.1</t>
        </is>
      </c>
      <c r="D739" s="386" t="inlineStr">
        <is>
          <t>Số lượng chứng quyền có bảo đảm được phép phát hành</t>
        </is>
      </c>
      <c r="E739" s="386" t="inlineStr">
        <is>
          <t>Số lượng chứng quyền có bảo đảm được phép  phát hành</t>
        </is>
      </c>
      <c r="F739" s="386" t="inlineStr">
        <is>
          <t>Data Explorer</t>
        </is>
      </c>
      <c r="G739" s="386" t="inlineStr">
        <is>
          <t>Chỉ tiêu cơ sở</t>
        </is>
      </c>
      <c r="H739" s="386" t="inlineStr">
        <is>
          <t>TB</t>
        </is>
      </c>
      <c r="I739" s="386" t="inlineStr">
        <is>
          <t>Ngày, CTCK</t>
        </is>
      </c>
      <c r="J739" s="395" t="inlineStr">
        <is>
          <t>SCMS</t>
        </is>
      </c>
      <c r="K739" s="395" t="n"/>
      <c r="L739" s="395" t="inlineStr">
        <is>
          <t>X</t>
        </is>
      </c>
      <c r="M739" s="395" t="n"/>
      <c r="N739" s="395" t="inlineStr">
        <is>
          <t>Done</t>
        </is>
      </c>
      <c r="O739" s="401" t="n"/>
      <c r="P739" s="395" t="n"/>
      <c r="S739" s="395" t="n"/>
      <c r="U739" s="386" t="n"/>
      <c r="V739" s="395" t="n"/>
      <c r="W739" s="395" t="n"/>
      <c r="X739" s="395" t="n"/>
      <c r="Y739" s="13" t="n"/>
      <c r="Z739" s="395" t="n"/>
      <c r="AA739" s="395" t="n"/>
      <c r="AB739" s="395" t="n"/>
      <c r="AC739" s="395" t="n"/>
      <c r="AD739" s="395" t="n"/>
      <c r="AE739" s="395" t="n"/>
    </row>
    <row r="740" ht="70" customHeight="1" s="380">
      <c r="A740" s="112" t="n">
        <v>49</v>
      </c>
      <c r="B740" s="386" t="n"/>
      <c r="C740" s="386" t="inlineStr">
        <is>
          <t>Báo cáo chứng quyền có đảm bảo &gt;&gt; Báo cáo phòng ngừa rủi ro và số lượng chứng quyền có bảo đảm phát hành - VII.1</t>
        </is>
      </c>
      <c r="D740" s="386" t="inlineStr">
        <is>
          <t>Số lượng chứng quyền có bảo đảm đã bán ròng trong ngày</t>
        </is>
      </c>
      <c r="E740" s="386" t="inlineStr">
        <is>
          <t>Số lượng chứng quyền có bảo đảm đã bán ròng trong ngày</t>
        </is>
      </c>
      <c r="F740" s="386" t="inlineStr">
        <is>
          <t>Data Explorer</t>
        </is>
      </c>
      <c r="G740" s="386" t="inlineStr">
        <is>
          <t>Chỉ tiêu cơ sở</t>
        </is>
      </c>
      <c r="H740" s="386" t="inlineStr">
        <is>
          <t>TB</t>
        </is>
      </c>
      <c r="I740" s="386" t="inlineStr">
        <is>
          <t>Ngày, CTCK</t>
        </is>
      </c>
      <c r="J740" s="395" t="inlineStr">
        <is>
          <t>SCMS</t>
        </is>
      </c>
      <c r="K740" s="395" t="n"/>
      <c r="L740" s="395" t="inlineStr">
        <is>
          <t>X</t>
        </is>
      </c>
      <c r="M740" s="395" t="n"/>
      <c r="N740" s="395" t="inlineStr">
        <is>
          <t>Done</t>
        </is>
      </c>
      <c r="O740" s="401" t="n"/>
      <c r="P740" s="395" t="n"/>
      <c r="S740" s="395" t="n"/>
      <c r="U740" s="386" t="n"/>
      <c r="V740" s="395" t="n"/>
      <c r="W740" s="395" t="n"/>
      <c r="X740" s="395" t="n"/>
      <c r="Y740" s="13" t="n"/>
      <c r="Z740" s="395" t="n"/>
      <c r="AA740" s="395" t="n"/>
      <c r="AB740" s="395" t="n"/>
      <c r="AC740" s="395" t="n"/>
      <c r="AD740" s="395" t="n"/>
      <c r="AE740" s="395" t="n"/>
    </row>
    <row r="741" ht="84" customHeight="1" s="380">
      <c r="A741" s="112" t="n">
        <v>49</v>
      </c>
      <c r="B741" s="386" t="n"/>
      <c r="C741" s="386" t="inlineStr">
        <is>
          <t>Báo cáo chứng quyền có đảm bảo &gt;&gt; Báo cáo phòng ngừa rủi ro và số lượng chứng quyền có bảo đảm phát hành - VII.1</t>
        </is>
      </c>
      <c r="D741" s="386" t="inlineStr">
        <is>
          <t>Tổng số lượng chứng quyền có bảo đảm đã bán ròng (số lượng chứng quyền có bảo đảm có bảo đảm đang lưu hành)</t>
        </is>
      </c>
      <c r="E741" s="386" t="inlineStr">
        <is>
          <t>Tổng số lượng chứng quyền có bảo đảm đã bán ròng (số lượng chứng quyền có bảo đảm có bảo đảm đang lưu hành)</t>
        </is>
      </c>
      <c r="F741" s="386" t="inlineStr">
        <is>
          <t>Data Explorer</t>
        </is>
      </c>
      <c r="G741" s="386" t="inlineStr">
        <is>
          <t>Chỉ tiêu cơ sở</t>
        </is>
      </c>
      <c r="H741" s="386" t="inlineStr">
        <is>
          <t>TB</t>
        </is>
      </c>
      <c r="I741" s="386" t="inlineStr">
        <is>
          <t>Ngày, CTCK</t>
        </is>
      </c>
      <c r="J741" s="395" t="inlineStr">
        <is>
          <t>SCMS</t>
        </is>
      </c>
      <c r="K741" s="395" t="n"/>
      <c r="L741" s="395" t="inlineStr">
        <is>
          <t>X</t>
        </is>
      </c>
      <c r="M741" s="395" t="n"/>
      <c r="N741" s="395" t="inlineStr">
        <is>
          <t>Done</t>
        </is>
      </c>
      <c r="O741" s="401" t="n"/>
      <c r="P741" s="395" t="n"/>
      <c r="S741" s="395" t="n"/>
      <c r="U741" s="386" t="n"/>
      <c r="V741" s="395" t="n"/>
      <c r="W741" s="395" t="n"/>
      <c r="X741" s="395" t="n"/>
      <c r="Y741" s="13" t="n"/>
      <c r="Z741" s="395" t="n"/>
      <c r="AA741" s="395" t="n"/>
      <c r="AB741" s="395" t="n"/>
      <c r="AC741" s="395" t="n"/>
      <c r="AD741" s="395" t="n"/>
      <c r="AE741" s="395" t="n"/>
    </row>
    <row r="742" ht="70" customHeight="1" s="380">
      <c r="A742" s="113" t="n">
        <v>49</v>
      </c>
      <c r="B742" s="68" t="n"/>
      <c r="C742" s="68" t="inlineStr">
        <is>
          <t>Báo cáo chứng quyền có đảm bảo &gt;&gt; Báo cáo phòng ngừa rủi ro và số lượng chứng quyền có bảo đảm phát hành - VII.1</t>
        </is>
      </c>
      <c r="D742" s="68" t="inlineStr">
        <is>
          <t>Số lượng chứng quyền có bảo đảm còn  được phép bán</t>
        </is>
      </c>
      <c r="E742" s="68" t="inlineStr">
        <is>
          <t>Số lượng chứng quyền có bảo đảm còn được phép bán</t>
        </is>
      </c>
      <c r="F742" s="68" t="inlineStr">
        <is>
          <t>Data Explorer</t>
        </is>
      </c>
      <c r="G742" s="68" t="inlineStr">
        <is>
          <t>Chỉ tiêu cơ sở</t>
        </is>
      </c>
      <c r="H742" s="68" t="inlineStr">
        <is>
          <t>TB</t>
        </is>
      </c>
      <c r="I742" s="68" t="inlineStr">
        <is>
          <t>Ngày, CTCK</t>
        </is>
      </c>
      <c r="J742" s="69" t="inlineStr">
        <is>
          <t>SCMS</t>
        </is>
      </c>
      <c r="K742" s="69" t="n"/>
      <c r="L742" s="69" t="inlineStr">
        <is>
          <t>X</t>
        </is>
      </c>
      <c r="M742" s="69" t="n"/>
      <c r="N742" s="69" t="inlineStr">
        <is>
          <t>Done</t>
        </is>
      </c>
      <c r="O742" s="85" t="n"/>
      <c r="P742" s="69" t="n"/>
      <c r="Q742" s="426" t="n"/>
      <c r="R742" s="426" t="n"/>
      <c r="S742" s="69" t="n"/>
      <c r="T742" s="426" t="n"/>
      <c r="U742" s="68" t="n"/>
      <c r="V742" s="69" t="n"/>
      <c r="W742" s="69" t="n"/>
      <c r="X742" s="69" t="n"/>
      <c r="Y742" s="97" t="n"/>
      <c r="Z742" s="69" t="n"/>
      <c r="AA742" s="69" t="n"/>
      <c r="AB742" s="69" t="n"/>
      <c r="AC742" s="69" t="n"/>
      <c r="AD742" s="69" t="n"/>
      <c r="AE742" s="69" t="n"/>
    </row>
    <row r="743" ht="70" customHeight="1" s="380">
      <c r="A743" s="112" t="n">
        <v>50</v>
      </c>
      <c r="B743" s="81" t="n"/>
      <c r="C743" s="81" t="inlineStr">
        <is>
          <t>Báo cáo chứng quyền có đảm bảo &gt;&gt; Báo cáo phòng ngừa rủi ro và số lượng chứng quyền có bảo đảm phát hành - VII.2</t>
        </is>
      </c>
      <c r="D743" s="106" t="inlineStr">
        <is>
          <t>Loại báo cáo</t>
        </is>
      </c>
      <c r="E743" s="107" t="inlineStr">
        <is>
          <t>Loại báo cáo</t>
        </is>
      </c>
      <c r="F743" s="390" t="inlineStr">
        <is>
          <t>Data Explorer</t>
        </is>
      </c>
      <c r="G743" s="390" t="inlineStr">
        <is>
          <t>Chiều</t>
        </is>
      </c>
      <c r="H743" s="390" t="inlineStr">
        <is>
          <t>Dễ</t>
        </is>
      </c>
      <c r="I743" s="390" t="inlineStr">
        <is>
          <t>Ngày, CTCK</t>
        </is>
      </c>
      <c r="J743" s="401" t="inlineStr">
        <is>
          <t>SCMS</t>
        </is>
      </c>
      <c r="K743" s="401" t="inlineStr">
        <is>
          <t>X</t>
        </is>
      </c>
      <c r="L743" s="395" t="inlineStr">
        <is>
          <t>X</t>
        </is>
      </c>
      <c r="M743" s="401" t="n"/>
      <c r="N743" s="395" t="inlineStr">
        <is>
          <t>Done</t>
        </is>
      </c>
      <c r="O743" s="401" t="n"/>
      <c r="P743" s="395" t="n"/>
      <c r="Q743" s="404" t="inlineStr">
        <is>
          <t>SCMS.BM_BAO_CAO
SCMS.BM_BAO_CAO_DINH_KY</t>
        </is>
      </c>
      <c r="R743" s="404" t="inlineStr">
        <is>
          <t>bm.ID,
bm.MA_BAO_CAO,
bm.LOAI_BAO_CAO,
bm.TEN_BAO_CAO,
bm.SU_DUNG,
bdk.BM_BAO_CAO_ID,
bdk.KY_BAO_CAO,
bdk.SU_DUNG</t>
        </is>
      </c>
      <c r="S743" s="395" t="n"/>
      <c r="T743" s="403" t="inlineStr">
        <is>
          <t>-- Loại BC / Kỳ BC / Mã BC / Tên BC (chiều DWH – dùng chung)
-- MA_BAO_CAO: BCPNRR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 'BCPNRR'
        AND bm.SU_DUNG = 1
ORDER BY bdk.KY_BAO_CAO;</t>
        </is>
      </c>
      <c r="U743" s="386" t="n"/>
      <c r="V743" s="395" t="n"/>
      <c r="W743" s="395" t="n"/>
      <c r="X743" s="395" t="n"/>
      <c r="Y743" s="14" t="n"/>
      <c r="Z743" s="395" t="n"/>
      <c r="AA743" s="395" t="n"/>
      <c r="AB743" s="395" t="n"/>
      <c r="AC743" s="395" t="n"/>
      <c r="AD743" s="395" t="n"/>
      <c r="AE743" s="395" t="n"/>
    </row>
    <row r="744" ht="70" customHeight="1" s="380">
      <c r="A744" s="112" t="n">
        <v>50</v>
      </c>
      <c r="B744" s="386" t="n"/>
      <c r="C744" s="386" t="inlineStr">
        <is>
          <t>Báo cáo chứng quyền có đảm bảo &gt;&gt; Báo cáo phòng ngừa rủi ro và số lượng chứng quyền có bảo đảm phát hành - VII.2</t>
        </is>
      </c>
      <c r="D744" s="106" t="inlineStr">
        <is>
          <t>Kỳ báo cáo</t>
        </is>
      </c>
      <c r="E744" s="107" t="inlineStr">
        <is>
          <t>Kỳ báo cáo</t>
        </is>
      </c>
      <c r="F744" s="390" t="inlineStr">
        <is>
          <t>Data Explorer</t>
        </is>
      </c>
      <c r="G744" s="390" t="inlineStr">
        <is>
          <t>Chiều</t>
        </is>
      </c>
      <c r="H744" s="390" t="inlineStr">
        <is>
          <t>Dễ</t>
        </is>
      </c>
      <c r="I744" s="390" t="inlineStr">
        <is>
          <t>Ngày, CTCK</t>
        </is>
      </c>
      <c r="J744" s="401" t="inlineStr">
        <is>
          <t>SCMS</t>
        </is>
      </c>
      <c r="K744" s="401" t="inlineStr">
        <is>
          <t>X</t>
        </is>
      </c>
      <c r="L744" s="395" t="inlineStr">
        <is>
          <t>X</t>
        </is>
      </c>
      <c r="M744" s="401" t="n"/>
      <c r="N744" s="395" t="inlineStr">
        <is>
          <t>Done</t>
        </is>
      </c>
      <c r="O744" s="401" t="n"/>
      <c r="P744" s="395" t="n"/>
      <c r="S744" s="395" t="n"/>
      <c r="U744" s="386" t="n"/>
      <c r="V744" s="395" t="n"/>
      <c r="W744" s="395" t="n"/>
      <c r="X744" s="395" t="n"/>
      <c r="Y744" s="13" t="n"/>
      <c r="Z744" s="395" t="n"/>
      <c r="AA744" s="395" t="n"/>
      <c r="AB744" s="395" t="n"/>
      <c r="AC744" s="395" t="n"/>
      <c r="AD744" s="395" t="n"/>
      <c r="AE744" s="395" t="n"/>
    </row>
    <row r="745" ht="70" customHeight="1" s="380">
      <c r="A745" s="112" t="n">
        <v>50</v>
      </c>
      <c r="B745" s="386" t="n"/>
      <c r="C745" s="386" t="inlineStr">
        <is>
          <t>Báo cáo chứng quyền có đảm bảo &gt;&gt; Báo cáo phòng ngừa rủi ro và số lượng chứng quyền có bảo đảm phát hành - VII.2</t>
        </is>
      </c>
      <c r="D745" s="106" t="inlineStr">
        <is>
          <t>Mã báo cáo</t>
        </is>
      </c>
      <c r="E745" s="107" t="inlineStr">
        <is>
          <t>Mã báo cáo</t>
        </is>
      </c>
      <c r="F745" s="390" t="inlineStr">
        <is>
          <t>Data Explorer</t>
        </is>
      </c>
      <c r="G745" s="390" t="inlineStr">
        <is>
          <t>Chiều</t>
        </is>
      </c>
      <c r="H745" s="390" t="inlineStr">
        <is>
          <t>Dễ</t>
        </is>
      </c>
      <c r="I745" s="390" t="inlineStr">
        <is>
          <t>Ngày, CTCK</t>
        </is>
      </c>
      <c r="J745" s="401" t="inlineStr">
        <is>
          <t>SCMS</t>
        </is>
      </c>
      <c r="K745" s="401" t="inlineStr">
        <is>
          <t>X</t>
        </is>
      </c>
      <c r="L745" s="395" t="inlineStr">
        <is>
          <t>X</t>
        </is>
      </c>
      <c r="M745" s="401" t="n"/>
      <c r="N745" s="395" t="inlineStr">
        <is>
          <t>Done</t>
        </is>
      </c>
      <c r="O745" s="401" t="n"/>
      <c r="P745" s="395" t="n"/>
      <c r="S745" s="395" t="n"/>
      <c r="U745" s="386" t="n"/>
      <c r="V745" s="395" t="n"/>
      <c r="W745" s="395" t="n"/>
      <c r="X745" s="395" t="n"/>
      <c r="Y745" s="13" t="n"/>
      <c r="Z745" s="395" t="n"/>
      <c r="AA745" s="395" t="n"/>
      <c r="AB745" s="395" t="n"/>
      <c r="AC745" s="395" t="n"/>
      <c r="AD745" s="395" t="n"/>
      <c r="AE745" s="395" t="n"/>
    </row>
    <row r="746" ht="70" customHeight="1" s="380">
      <c r="A746" s="112" t="n">
        <v>50</v>
      </c>
      <c r="B746" s="386" t="n"/>
      <c r="C746" s="386" t="inlineStr">
        <is>
          <t>Báo cáo chứng quyền có đảm bảo &gt;&gt; Báo cáo phòng ngừa rủi ro và số lượng chứng quyền có bảo đảm phát hành - VII.2</t>
        </is>
      </c>
      <c r="D746" s="106" t="inlineStr">
        <is>
          <t>Tên báo cáo</t>
        </is>
      </c>
      <c r="E746" s="107" t="inlineStr">
        <is>
          <t>Tên báo cáo</t>
        </is>
      </c>
      <c r="F746" s="390" t="inlineStr">
        <is>
          <t>Data Explorer</t>
        </is>
      </c>
      <c r="G746" s="390" t="inlineStr">
        <is>
          <t>Chiều</t>
        </is>
      </c>
      <c r="H746" s="390" t="inlineStr">
        <is>
          <t>Dễ</t>
        </is>
      </c>
      <c r="I746" s="390" t="inlineStr">
        <is>
          <t>Ngày, CTCK</t>
        </is>
      </c>
      <c r="J746" s="401" t="inlineStr">
        <is>
          <t>SCMS</t>
        </is>
      </c>
      <c r="K746" s="401" t="inlineStr">
        <is>
          <t>X</t>
        </is>
      </c>
      <c r="L746" s="395" t="inlineStr">
        <is>
          <t>X</t>
        </is>
      </c>
      <c r="M746" s="401" t="n"/>
      <c r="N746" s="395" t="inlineStr">
        <is>
          <t>Done</t>
        </is>
      </c>
      <c r="O746" s="401" t="n"/>
      <c r="P746" s="395" t="n"/>
      <c r="S746" s="395" t="n"/>
      <c r="U746" s="386" t="n"/>
      <c r="V746" s="395" t="n"/>
      <c r="W746" s="395" t="n"/>
      <c r="X746" s="395" t="n"/>
      <c r="Y746" s="13" t="n"/>
      <c r="Z746" s="395" t="n"/>
      <c r="AA746" s="395" t="n"/>
      <c r="AB746" s="395" t="n"/>
      <c r="AC746" s="395" t="n"/>
      <c r="AD746" s="395" t="n"/>
      <c r="AE746" s="395" t="n"/>
    </row>
    <row r="747" ht="70" customHeight="1" s="380">
      <c r="A747" s="112" t="n">
        <v>50</v>
      </c>
      <c r="B747" s="386" t="n"/>
      <c r="C747" s="386" t="inlineStr">
        <is>
          <t>Báo cáo chứng quyền có đảm bảo &gt;&gt; Báo cáo phòng ngừa rủi ro và số lượng chứng quyền có bảo đảm phát hành - VII.2</t>
        </is>
      </c>
      <c r="D747" s="106" t="inlineStr">
        <is>
          <t>Mã sheet</t>
        </is>
      </c>
      <c r="E747" s="106" t="inlineStr">
        <is>
          <t>Mã sheet</t>
        </is>
      </c>
      <c r="F747" s="390" t="inlineStr">
        <is>
          <t>Data Explorer</t>
        </is>
      </c>
      <c r="G747" s="390" t="inlineStr">
        <is>
          <t>Chiều</t>
        </is>
      </c>
      <c r="H747" s="390" t="inlineStr">
        <is>
          <t>Dễ</t>
        </is>
      </c>
      <c r="I747" s="390" t="inlineStr">
        <is>
          <t>Ngày, CTCK</t>
        </is>
      </c>
      <c r="J747" s="401" t="inlineStr">
        <is>
          <t>SCMS</t>
        </is>
      </c>
      <c r="K747" s="401" t="inlineStr">
        <is>
          <t>X</t>
        </is>
      </c>
      <c r="L747" s="395" t="inlineStr">
        <is>
          <t>X</t>
        </is>
      </c>
      <c r="M747" s="401" t="n"/>
      <c r="N747" s="395" t="inlineStr">
        <is>
          <t>Done</t>
        </is>
      </c>
      <c r="O747" s="401" t="n"/>
      <c r="P747" s="395" t="n"/>
      <c r="Q747" s="401" t="inlineStr">
        <is>
          <t>SCMS.BM_BAO_CAO
SCMS.BM_SHEET</t>
        </is>
      </c>
      <c r="R747" s="401" t="inlineStr">
        <is>
          <t>bm.ID,
bm.MA_BAO_CAO,
bm.SU_DUNG,
s.BM_BAO_CAO_ID,
s.MA_SHEET,
s.TEN_SHEET,
s.SAP_XEP</t>
        </is>
      </c>
      <c r="S747" s="395" t="n"/>
      <c r="T747" s="389" t="inlineStr">
        <is>
          <t>-- Mã sheet / Tên sheet
-- MA_SHEET: VII.2
SELECT bm.MA_BAO_CAO,
s.MA_SHEET,
s.TEN_SHEET
FROM SCMS.BM_BAO_CAO bm
JOIN SCMS.BM_SHEET s ON s.BM_BAO_CAO_ID = bm.ID
WHERE bm.MA_BAO_CAO = 'BCPNRR'
AND s.MA_SHEET = 'VII.2'  -- Check lại data chuẩn
AND bm.SU_DUNG = 1
ORDER BY bm.MA_BAO_CAO, s.SAP_XEP;</t>
        </is>
      </c>
      <c r="U747" s="386" t="n"/>
      <c r="V747" s="395" t="n"/>
      <c r="W747" s="395" t="n"/>
      <c r="X747" s="395" t="n"/>
      <c r="Y747" s="13" t="n"/>
      <c r="Z747" s="395" t="n"/>
      <c r="AA747" s="395" t="n"/>
      <c r="AB747" s="395" t="n"/>
      <c r="AC747" s="395" t="n"/>
      <c r="AD747" s="395" t="n"/>
      <c r="AE747" s="395" t="n"/>
    </row>
    <row r="748" ht="70" customHeight="1" s="380">
      <c r="A748" s="112" t="n">
        <v>50</v>
      </c>
      <c r="B748" s="386" t="n"/>
      <c r="C748" s="386" t="inlineStr">
        <is>
          <t>Báo cáo chứng quyền có đảm bảo &gt;&gt; Báo cáo phòng ngừa rủi ro và số lượng chứng quyền có bảo đảm phát hành - VII.2</t>
        </is>
      </c>
      <c r="D748" s="106" t="inlineStr">
        <is>
          <t>Tên sheet</t>
        </is>
      </c>
      <c r="E748" s="106" t="inlineStr">
        <is>
          <t>Tên sheet</t>
        </is>
      </c>
      <c r="F748" s="390" t="inlineStr">
        <is>
          <t>Data Explorer</t>
        </is>
      </c>
      <c r="G748" s="390" t="inlineStr">
        <is>
          <t>Chiều</t>
        </is>
      </c>
      <c r="H748" s="390" t="inlineStr">
        <is>
          <t>Dễ</t>
        </is>
      </c>
      <c r="I748" s="390" t="inlineStr">
        <is>
          <t>Ngày, CTCK</t>
        </is>
      </c>
      <c r="J748" s="401" t="inlineStr">
        <is>
          <t>SCMS</t>
        </is>
      </c>
      <c r="K748" s="401" t="inlineStr">
        <is>
          <t>X</t>
        </is>
      </c>
      <c r="L748" s="395" t="inlineStr">
        <is>
          <t>X</t>
        </is>
      </c>
      <c r="M748" s="401" t="n"/>
      <c r="N748" s="395" t="inlineStr">
        <is>
          <t>Done</t>
        </is>
      </c>
      <c r="O748" s="401" t="n"/>
      <c r="P748" s="395" t="n"/>
      <c r="S748" s="395" t="n"/>
      <c r="U748" s="386" t="n"/>
      <c r="V748" s="395" t="n"/>
      <c r="W748" s="395" t="n"/>
      <c r="X748" s="395" t="n"/>
      <c r="Y748" s="13" t="n"/>
      <c r="Z748" s="395" t="n"/>
      <c r="AA748" s="395" t="n"/>
      <c r="AB748" s="395" t="n"/>
      <c r="AC748" s="395" t="n"/>
      <c r="AD748" s="395" t="n"/>
      <c r="AE748" s="395" t="n"/>
    </row>
    <row r="749" ht="70" customHeight="1" s="380">
      <c r="A749" s="112" t="n">
        <v>50</v>
      </c>
      <c r="B749" s="386" t="n"/>
      <c r="C749" s="386" t="inlineStr">
        <is>
          <t>Báo cáo chứng quyền có đảm bảo &gt;&gt; Báo cáo phòng ngừa rủi ro và số lượng chứng quyền có bảo đảm phát hành - VII.2</t>
        </is>
      </c>
      <c r="D749" s="106" t="inlineStr">
        <is>
          <t>Mã chỉ tiêu</t>
        </is>
      </c>
      <c r="E749" s="107" t="inlineStr">
        <is>
          <t>Mã chỉ tiêu</t>
        </is>
      </c>
      <c r="F749" s="390" t="inlineStr">
        <is>
          <t>Data Explorer</t>
        </is>
      </c>
      <c r="G749" s="390" t="inlineStr">
        <is>
          <t>Chiều</t>
        </is>
      </c>
      <c r="H749" s="390" t="inlineStr">
        <is>
          <t>Dễ</t>
        </is>
      </c>
      <c r="I749" s="390" t="inlineStr">
        <is>
          <t>Ngày, CTCK</t>
        </is>
      </c>
      <c r="J749" s="401" t="inlineStr">
        <is>
          <t>SCMS</t>
        </is>
      </c>
      <c r="K749" s="401" t="inlineStr">
        <is>
          <t>X</t>
        </is>
      </c>
      <c r="L749" s="395" t="inlineStr">
        <is>
          <t>X</t>
        </is>
      </c>
      <c r="M749" s="401" t="n"/>
      <c r="N749" s="395" t="inlineStr">
        <is>
          <t>Done</t>
        </is>
      </c>
      <c r="O749" s="401" t="n"/>
      <c r="P749" s="395" t="n"/>
      <c r="Q749" s="401" t="inlineStr">
        <is>
          <t>SCMS.BM_BAO_CAO
SCMS.BM_SHEET
SCMS.BM_BAO_CAO_CT
SCMS.DM_CHI_TIEU</t>
        </is>
      </c>
      <c r="R749" s="402" t="inlineStr">
        <is>
          <t>dct.ID,
dct.MA_CHI_TIEU,
dct.TEN_CHI_TIEU,
dct.SU_DUNG,
s.BM_BAO_CAO_ID,
s.MA_SHEET,
ct.BM_BAO_CAO_ID,
ct.DM_CHI_TIEU_ID,
ct.SU_DUNG,
bm.ID,
bm.MA_BAO_CAO,
bm.SU_DUNG</t>
        </is>
      </c>
      <c r="S749" s="395" t="n"/>
      <c r="T749" s="384" t="inlineStr">
        <is>
          <t>-- Mã chỉ tiêu / Tên chỉ tiêu
SELECT DISTINCT
    dct.MA_CHI_TIEU  AS ma_chi_tieu,
    dct.TEN_CHI_TIEU AS ten_chi_tieu
FROM SCMS.BM_BAO_CAO bm
JOIN SCMS.BM_SHEET s ON s.BM_BAO_CAO_ID = bm.ID
        AND s.MA_SHEET = 'VII.2'
JOIN SCMS.BM_BAO_CAO_CT ct ON ct.BM_SHEET_ID = s.ID
        AND ct.SU_DUNG = 1
JOIN SCMS.DM_CHI_TIEU dct ON dct.ID = ct.DM_CHI_TIEU_ID
        AND dct.SU_DUNG = 1
WHERE bm.MA_BAO_CAO = 'BCPNRR'
        AND bm.SU_DUNG = 1
ORDER BY dct.MA_CHI_TIEU;</t>
        </is>
      </c>
      <c r="U749" s="386" t="n"/>
      <c r="V749" s="395" t="n"/>
      <c r="W749" s="395" t="n"/>
      <c r="X749" s="395" t="n"/>
      <c r="Y749" s="38" t="n"/>
      <c r="Z749" s="395" t="n"/>
      <c r="AA749" s="395" t="n"/>
      <c r="AB749" s="395" t="n"/>
      <c r="AC749" s="395" t="n"/>
      <c r="AD749" s="395" t="n"/>
      <c r="AE749" s="395" t="n"/>
    </row>
    <row r="750" ht="70" customHeight="1" s="380">
      <c r="A750" s="112" t="n">
        <v>50</v>
      </c>
      <c r="B750" s="386" t="n"/>
      <c r="C750" s="386" t="inlineStr">
        <is>
          <t>Báo cáo chứng quyền có đảm bảo &gt;&gt; Báo cáo phòng ngừa rủi ro và số lượng chứng quyền có bảo đảm phát hành - VII.2</t>
        </is>
      </c>
      <c r="D750" s="106" t="inlineStr">
        <is>
          <t>Tên chỉ tiêu</t>
        </is>
      </c>
      <c r="E750" s="107" t="inlineStr">
        <is>
          <t>Tên chỉ tiêu</t>
        </is>
      </c>
      <c r="F750" s="390" t="inlineStr">
        <is>
          <t>Data Explorer</t>
        </is>
      </c>
      <c r="G750" s="390" t="inlineStr">
        <is>
          <t>Chiều</t>
        </is>
      </c>
      <c r="H750" s="390" t="inlineStr">
        <is>
          <t>Dễ</t>
        </is>
      </c>
      <c r="I750" s="390" t="inlineStr">
        <is>
          <t>Ngày, CTCK</t>
        </is>
      </c>
      <c r="J750" s="401" t="inlineStr">
        <is>
          <t>SCMS</t>
        </is>
      </c>
      <c r="K750" s="401" t="inlineStr">
        <is>
          <t>X</t>
        </is>
      </c>
      <c r="L750" s="395" t="inlineStr">
        <is>
          <t>X</t>
        </is>
      </c>
      <c r="M750" s="401" t="n"/>
      <c r="N750" s="395" t="inlineStr">
        <is>
          <t>Done</t>
        </is>
      </c>
      <c r="O750" s="401" t="n"/>
      <c r="P750" s="395" t="n"/>
      <c r="S750" s="395" t="n"/>
      <c r="U750" s="386" t="n"/>
      <c r="V750" s="395" t="n"/>
      <c r="W750" s="395" t="n"/>
      <c r="X750" s="395" t="n"/>
      <c r="Y750" s="13" t="n"/>
      <c r="Z750" s="395" t="n"/>
      <c r="AA750" s="395" t="n"/>
      <c r="AB750" s="395" t="n"/>
      <c r="AC750" s="395" t="n"/>
      <c r="AD750" s="395" t="n"/>
      <c r="AE750" s="395" t="n"/>
    </row>
    <row r="751" ht="70" customHeight="1" s="380">
      <c r="A751" s="112" t="n">
        <v>50</v>
      </c>
      <c r="B751" s="386" t="n"/>
      <c r="C751" s="386" t="inlineStr">
        <is>
          <t>Báo cáo chứng quyền có đảm bảo &gt;&gt; Báo cáo phòng ngừa rủi ro và số lượng chứng quyền có bảo đảm phát hành - VII.2</t>
        </is>
      </c>
      <c r="D751" s="386" t="inlineStr">
        <is>
          <t>Tên CTCK</t>
        </is>
      </c>
      <c r="E751" s="395" t="inlineStr">
        <is>
          <t>Tên CTCK</t>
        </is>
      </c>
      <c r="F751" s="386" t="inlineStr">
        <is>
          <t>Data Explorer</t>
        </is>
      </c>
      <c r="G751" s="386" t="inlineStr">
        <is>
          <t>Chỉ tiêu cơ sở</t>
        </is>
      </c>
      <c r="H751" s="386" t="inlineStr">
        <is>
          <t>Trùng</t>
        </is>
      </c>
      <c r="I751" s="386" t="inlineStr">
        <is>
          <t>Ngày, CTCK</t>
        </is>
      </c>
      <c r="J751" s="395" t="inlineStr">
        <is>
          <t>SCMS</t>
        </is>
      </c>
      <c r="K751" s="395" t="n"/>
      <c r="L751" s="395" t="inlineStr">
        <is>
          <t>X</t>
        </is>
      </c>
      <c r="M751" s="395" t="n"/>
      <c r="N751" s="395" t="inlineStr">
        <is>
          <t>Done</t>
        </is>
      </c>
      <c r="O751" s="401" t="n"/>
      <c r="P751" s="395" t="n"/>
      <c r="Q751" s="428" t="inlineStr">
        <is>
          <t>SCMS.BC_THANH_VIEN
SCMS.BM_BAO_CAO
SCMS.BC_BAO_CAO_GT
SCMS.CTCK_THONG_TIN
SCMS.CTCK_NHAN_SU_CAO_CAP
SCMS.DM_CHUC_VU</t>
        </is>
      </c>
      <c r="R751" s="428" t="inlineStr">
        <is>
          <t>c.ID,
c.TEN_VIET_TAT,
c.SAN_NIEM_YET,
c.MA_CHUNG_KHOAN,
c.GIAY_PHEP_KINH_DOANH,
c.NGAY_CAP_GPKD,
btv.ID,
btv.BM_BAO_CAO_ID,
btv.CTCK_THONG_TIN_ID,
btv.NGAY_SO_LIEU,
btv.TRANG_THAI,
g.BC_THANH_VIEN_ID,
g.TEN_COT,
g.GIA_TRI,
g.TEN_SHEET,
bm.ID,
bm.MA_BAO_CAO,
ns.CTCK_THONG_TIN_ID,
ns.HO_TEN,
ns.IS_BANG_TAM,
ns.TRANG_THAI,
ns.CHUC_VU_ID,
cv.ID,
cv.TEN_CHUC_VU</t>
        </is>
      </c>
      <c r="S751" s="397" t="n"/>
      <c r="T751" s="429" t="inlineStr">
        <is>
          <t>-- CHỈ TIÊU
SELECT
    ROW_NUMBER() OVER (ORDER BY ngay_bao_cao DESC, ten_ctck) AS stt,
    ten_ctck,
    san_giao_dich,
    ma_ck,
    so_giay_phep,
    ngay_cap_giay_phep,
    nguoi_dai_dien,
    chuc_vu_nguoi_dai_dien,
    ngay_bao_cao,
    "Mã chứng quyền",
    "Vị thế phòng ngừa rủi ro lý thuyết",
    "Vị thế phòng ngừa rủi ro thực tế",
    "Chênh lệch",
    "Số dư tiền tài khoản tự doanh cho hoạt động chứng quyền"
FROM (
    SELECT
        c.TEN_VIET_TAT AS ten_ctck,
        c.SAN_NIEM_YET AS san_giao_dich,
        c.MA_CHUNG_KHOAN AS ma_ck,
        c.GIAY_PHEP_KINH_DOANH AS so_giay_phep,
        c.NGAY_CAP_GPKD AS ngay_cap_giay_phep,
        ns.HO_TEN AS nguoi_dai_dien,
        cv.TEN_CHUC_VU AS chuc_vu_nguoi_dai_dien,
        btv.NGAY_SO_LIEU AS ngay_bao_cao,
        MAX(CASE WHEN g.TEN_COT LIKE N'%Mã chứng quyền%' THEN g.GIA_TRI END) AS "Mã chứng quyền",
        MAX(CASE WHEN g.TEN_COT LIKE N'%Vị thế phòng ngừa rủi ro lý thuyết%' THEN g.GIA_TRI END) AS "Vị thế phòng ngừa rủi ro lý thuyết",
        MAX(CASE WHEN g.TEN_COT LIKE N'%Vị thế phòng ngừa rủi ro thực tế%' THEN g.GIA_TRI END) AS "Vị thế phòng ngừa rủi ro thực tế",
        MAX(CASE WHEN g.TEN_COT LIKE N'%Chênh lệch%'THEN g.GIA_TRI END) AS "Chênh lệch",
        MAX(CASE WHEN g.TEN_COT LIKE N'%Số dư tiền tài khoản tự doanh%' THEN g.GIA_TRI END) AS "Số dư tiền tài khoản tự doanh cho hoạt động chứng quyền"
    FROM SCMS.BC_THANH_VIEN  btv
    JOIN SCMS.BM_BAO_CAO bm ON bm.ID = btv.BM_BAO_CAO_ID
    JOIN (
        SELECT
            BC_THANH_VIEN_ID,
            TEN_SHEET,
            TEN_COT,
            CAST(GIA_TRI AS VARCHAR2(4000)) AS GIA_TRI
        FROM SCMS.BC_BAO_CAO_GT
        WHERE TEN_SHEET = N'VII.2'
    ) g ON g.BC_THANH_VIEN_ID = btv.ID
    JOIN SCMS.CTCK_THONG_TIN c ON c.ID = btv.CTCK_THONG_TIN_ID
    LEFT JOIN SCMS.CTCK_NHAN_SU_CAO_CAP ns ON ns.CTCK_THONG_TIN_ID = btv.CTCK_THONG_TIN_ID
         AND ns.IS_BANG_TAM = 1
         AND ns.TRANG_THAI = 1
    LEFT JOIN SCMS.DM_CHUC_VU cv ON cv.ID = ns.CHUC_VU_ID
         AND LOWER(cv.TEN_CHUC_VU) LIKE N'%DDPL%'  -- Xác nhận tên chức vụ của người đại diện pháp luật
    WHERE bm.MA_BAO_CAO  = 'BCPNRR'
      AND btv.TRANG_THAI IN (2, 3)
    GROUP BY
        btv.ID, btv.CTCK_THONG_TIN_ID, btv.NGAY_SO_LIEU, btv.TRANG_THAI,
        bm.MA_BAO_CAO, g.TEN_SHEET,
        c.TEN_VIET_TAT, c.SAN_NIEM_YET, c.MA_CHUNG_KHOAN,
        c.GIAY_PHEP_KINH_DOANH, c.NGAY_CAP_GPKD,
        ns.HO_TEN, cv.TEN_CHUC_VU
)
ORDER BY ngay_bao_cao DESC, ten_ctck;</t>
        </is>
      </c>
      <c r="U751" s="386" t="n"/>
      <c r="V751" s="395" t="n"/>
      <c r="W751" s="395" t="n"/>
      <c r="X751" s="395" t="n"/>
      <c r="Y751" s="13" t="n"/>
      <c r="Z751" s="395" t="n"/>
      <c r="AA751" s="395" t="n"/>
      <c r="AB751" s="395" t="n"/>
      <c r="AC751" s="395" t="n"/>
      <c r="AD751" s="395" t="n"/>
      <c r="AE751" s="395" t="n"/>
    </row>
    <row r="752" ht="70" customHeight="1" s="380">
      <c r="A752" s="112" t="n">
        <v>50</v>
      </c>
      <c r="B752" s="386" t="n"/>
      <c r="C752" s="386" t="inlineStr">
        <is>
          <t>Báo cáo chứng quyền có đảm bảo &gt;&gt; Báo cáo phòng ngừa rủi ro và số lượng chứng quyền có bảo đảm phát hành - VII.2</t>
        </is>
      </c>
      <c r="D752" s="386" t="inlineStr">
        <is>
          <t>Sàn giao dịch</t>
        </is>
      </c>
      <c r="E752" s="395" t="inlineStr">
        <is>
          <t>Sàn giao dịch</t>
        </is>
      </c>
      <c r="F752" s="386" t="inlineStr">
        <is>
          <t>Data Explorer</t>
        </is>
      </c>
      <c r="G752" s="386" t="inlineStr">
        <is>
          <t>Chỉ tiêu cơ sở</t>
        </is>
      </c>
      <c r="H752" s="386" t="inlineStr">
        <is>
          <t>Trùng</t>
        </is>
      </c>
      <c r="I752" s="386" t="inlineStr">
        <is>
          <t>Ngày, CTCK</t>
        </is>
      </c>
      <c r="J752" s="395" t="inlineStr">
        <is>
          <t>SCMS</t>
        </is>
      </c>
      <c r="K752" s="395" t="n"/>
      <c r="L752" s="395" t="inlineStr">
        <is>
          <t>X</t>
        </is>
      </c>
      <c r="M752" s="395" t="n"/>
      <c r="N752" s="395" t="inlineStr">
        <is>
          <t>Done</t>
        </is>
      </c>
      <c r="O752" s="401" t="n"/>
      <c r="P752" s="395" t="n"/>
      <c r="S752" s="397" t="n"/>
      <c r="U752" s="386" t="n"/>
      <c r="V752" s="395" t="n"/>
      <c r="W752" s="395" t="n"/>
      <c r="X752" s="395" t="n"/>
      <c r="Y752" s="13" t="n"/>
      <c r="Z752" s="395" t="n"/>
      <c r="AA752" s="395" t="n"/>
      <c r="AB752" s="395" t="n"/>
      <c r="AC752" s="395" t="n"/>
      <c r="AD752" s="395" t="n"/>
      <c r="AE752" s="395" t="n"/>
    </row>
    <row r="753" ht="70" customHeight="1" s="380">
      <c r="A753" s="112" t="n">
        <v>50</v>
      </c>
      <c r="B753" s="386" t="n"/>
      <c r="C753" s="386" t="inlineStr">
        <is>
          <t>Báo cáo chứng quyền có đảm bảo &gt;&gt; Báo cáo phòng ngừa rủi ro và số lượng chứng quyền có bảo đảm phát hành - VII.2</t>
        </is>
      </c>
      <c r="D753" s="386" t="inlineStr">
        <is>
          <t>Mã CK</t>
        </is>
      </c>
      <c r="E753" s="395" t="inlineStr">
        <is>
          <t>Mã CK</t>
        </is>
      </c>
      <c r="F753" s="386" t="inlineStr">
        <is>
          <t>Data Explorer</t>
        </is>
      </c>
      <c r="G753" s="386" t="inlineStr">
        <is>
          <t>Chỉ tiêu cơ sở</t>
        </is>
      </c>
      <c r="H753" s="386" t="inlineStr">
        <is>
          <t>Trùng</t>
        </is>
      </c>
      <c r="I753" s="386" t="inlineStr">
        <is>
          <t>Ngày, CTCK</t>
        </is>
      </c>
      <c r="J753" s="395" t="inlineStr">
        <is>
          <t>SCMS</t>
        </is>
      </c>
      <c r="K753" s="395" t="n"/>
      <c r="L753" s="395" t="inlineStr">
        <is>
          <t>X</t>
        </is>
      </c>
      <c r="M753" s="395" t="n"/>
      <c r="N753" s="395" t="inlineStr">
        <is>
          <t>Done</t>
        </is>
      </c>
      <c r="O753" s="401" t="n"/>
      <c r="P753" s="395" t="n"/>
      <c r="S753" s="397" t="n"/>
      <c r="U753" s="386" t="n"/>
      <c r="V753" s="395" t="n"/>
      <c r="W753" s="395" t="n"/>
      <c r="X753" s="395" t="n"/>
      <c r="Y753" s="13" t="n"/>
      <c r="Z753" s="395" t="n"/>
      <c r="AA753" s="395" t="n"/>
      <c r="AB753" s="395" t="n"/>
      <c r="AC753" s="395" t="n"/>
      <c r="AD753" s="395" t="n"/>
      <c r="AE753" s="395" t="n"/>
    </row>
    <row r="754" ht="70" customHeight="1" s="380">
      <c r="A754" s="112" t="n">
        <v>50</v>
      </c>
      <c r="B754" s="386" t="n"/>
      <c r="C754" s="386" t="inlineStr">
        <is>
          <t>Báo cáo chứng quyền có đảm bảo &gt;&gt; Báo cáo phòng ngừa rủi ro và số lượng chứng quyền có bảo đảm phát hành - VII.2</t>
        </is>
      </c>
      <c r="D754" s="386" t="inlineStr">
        <is>
          <t>Giấy phép Hoạt động của Chủ tịch UBCKNN cấp lần đầu &gt;&gt; Số</t>
        </is>
      </c>
      <c r="E754" s="386" t="inlineStr">
        <is>
          <t>Giấy phép Hoạt động của Chủ tịch UBCKNN cấp lần đầu &gt;&gt; Số</t>
        </is>
      </c>
      <c r="F754" s="386" t="inlineStr">
        <is>
          <t>Data Explorer</t>
        </is>
      </c>
      <c r="G754" s="386" t="inlineStr">
        <is>
          <t>Chỉ tiêu cơ sở</t>
        </is>
      </c>
      <c r="H754" s="386" t="inlineStr">
        <is>
          <t>Trùng</t>
        </is>
      </c>
      <c r="I754" s="386" t="inlineStr">
        <is>
          <t>Ngày, CTCK</t>
        </is>
      </c>
      <c r="J754" s="395" t="inlineStr">
        <is>
          <t>SCMS</t>
        </is>
      </c>
      <c r="K754" s="395" t="n"/>
      <c r="L754" s="395" t="inlineStr">
        <is>
          <t>X</t>
        </is>
      </c>
      <c r="M754" s="395" t="n"/>
      <c r="N754" s="395" t="inlineStr">
        <is>
          <t>Done</t>
        </is>
      </c>
      <c r="O754" s="401" t="n"/>
      <c r="P754" s="395" t="n"/>
      <c r="S754" s="397" t="n"/>
      <c r="U754" s="386" t="n"/>
      <c r="V754" s="395" t="n"/>
      <c r="W754" s="395" t="n"/>
      <c r="X754" s="395" t="n"/>
      <c r="Y754" s="13" t="n"/>
      <c r="Z754" s="395" t="n"/>
      <c r="AA754" s="395" t="n"/>
      <c r="AB754" s="395" t="n"/>
      <c r="AC754" s="395" t="n"/>
      <c r="AD754" s="395" t="n"/>
      <c r="AE754" s="395" t="n"/>
    </row>
    <row r="755" ht="70" customHeight="1" s="380">
      <c r="A755" s="112" t="n">
        <v>50</v>
      </c>
      <c r="B755" s="386" t="n"/>
      <c r="C755" s="386" t="inlineStr">
        <is>
          <t>Báo cáo chứng quyền có đảm bảo &gt;&gt; Báo cáo phòng ngừa rủi ro và số lượng chứng quyền có bảo đảm phát hành - VII.2</t>
        </is>
      </c>
      <c r="D755" s="386" t="inlineStr">
        <is>
          <t>Giấy phép Hoạt động của Chủ tịch UBCKNN cấp lần đầu &gt;&gt; Ngày cấp</t>
        </is>
      </c>
      <c r="E755" s="386" t="inlineStr">
        <is>
          <t>Giấy phép Hoạt động của Chủ tịch UBCKNN cấp lần đầu &gt;&gt; Ngày cấp</t>
        </is>
      </c>
      <c r="F755" s="386" t="inlineStr">
        <is>
          <t>Data Explorer</t>
        </is>
      </c>
      <c r="G755" s="386" t="inlineStr">
        <is>
          <t>Chỉ tiêu cơ sở</t>
        </is>
      </c>
      <c r="H755" s="386" t="inlineStr">
        <is>
          <t>Trùng</t>
        </is>
      </c>
      <c r="I755" s="386" t="inlineStr">
        <is>
          <t>Ngày, CTCK</t>
        </is>
      </c>
      <c r="J755" s="395" t="inlineStr">
        <is>
          <t>SCMS</t>
        </is>
      </c>
      <c r="K755" s="395" t="n"/>
      <c r="L755" s="395" t="inlineStr">
        <is>
          <t>X</t>
        </is>
      </c>
      <c r="M755" s="395" t="n"/>
      <c r="N755" s="395" t="inlineStr">
        <is>
          <t>Done</t>
        </is>
      </c>
      <c r="O755" s="401" t="n"/>
      <c r="P755" s="395" t="n"/>
      <c r="S755" s="397" t="n"/>
      <c r="U755" s="386" t="n"/>
      <c r="V755" s="395" t="n"/>
      <c r="W755" s="395" t="n"/>
      <c r="X755" s="395" t="n"/>
      <c r="Y755" s="38" t="n"/>
      <c r="Z755" s="395" t="n"/>
      <c r="AA755" s="395" t="n"/>
      <c r="AB755" s="395" t="n"/>
      <c r="AC755" s="395" t="n"/>
      <c r="AD755" s="395" t="n"/>
      <c r="AE755" s="395" t="n"/>
    </row>
    <row r="756" ht="70" customHeight="1" s="380">
      <c r="A756" s="112" t="n">
        <v>50</v>
      </c>
      <c r="B756" s="386" t="n"/>
      <c r="C756" s="386" t="inlineStr">
        <is>
          <t>Báo cáo chứng quyền có đảm bảo &gt;&gt; Báo cáo phòng ngừa rủi ro và số lượng chứng quyền có bảo đảm phát hành - VII.2</t>
        </is>
      </c>
      <c r="D756" s="386" t="inlineStr">
        <is>
          <t>Người đại diện theo pháp luật (Đăng ký với UBCKNN)</t>
        </is>
      </c>
      <c r="E756" s="386" t="inlineStr">
        <is>
          <t>Người đại diện theo pháp luật (Đăng ký với UBCKNN)</t>
        </is>
      </c>
      <c r="F756" s="386" t="inlineStr">
        <is>
          <t>Data Explorer</t>
        </is>
      </c>
      <c r="G756" s="386" t="inlineStr">
        <is>
          <t>Chỉ tiêu cơ sở</t>
        </is>
      </c>
      <c r="H756" s="386" t="inlineStr">
        <is>
          <t>Trùng</t>
        </is>
      </c>
      <c r="I756" s="386" t="inlineStr">
        <is>
          <t>Ngày, CTCK</t>
        </is>
      </c>
      <c r="J756" s="395" t="inlineStr">
        <is>
          <t>SCMS</t>
        </is>
      </c>
      <c r="K756" s="395" t="n"/>
      <c r="L756" s="395" t="inlineStr">
        <is>
          <t>X</t>
        </is>
      </c>
      <c r="M756" s="395" t="n"/>
      <c r="N756" s="395" t="inlineStr">
        <is>
          <t>Done</t>
        </is>
      </c>
      <c r="O756" s="401" t="n"/>
      <c r="P756" s="395" t="n"/>
      <c r="S756" s="397" t="n"/>
      <c r="U756" s="386" t="n"/>
      <c r="V756" s="395" t="n"/>
      <c r="W756" s="395" t="n"/>
      <c r="X756" s="395" t="n"/>
      <c r="Y756" s="13" t="n"/>
      <c r="Z756" s="395" t="n"/>
      <c r="AA756" s="395" t="n"/>
      <c r="AB756" s="395" t="n"/>
      <c r="AC756" s="395" t="n"/>
      <c r="AD756" s="395" t="n"/>
      <c r="AE756" s="395" t="n"/>
    </row>
    <row r="757" ht="70" customHeight="1" s="380">
      <c r="A757" s="112" t="n">
        <v>50</v>
      </c>
      <c r="B757" s="386" t="n"/>
      <c r="C757" s="386" t="inlineStr">
        <is>
          <t>Báo cáo chứng quyền có đảm bảo &gt;&gt; Báo cáo phòng ngừa rủi ro và số lượng chứng quyền có bảo đảm phát hành - VII.2</t>
        </is>
      </c>
      <c r="D757" s="386" t="inlineStr">
        <is>
          <t>Chức vụ của Người đại diện theo pháp luật</t>
        </is>
      </c>
      <c r="E757" s="395" t="inlineStr">
        <is>
          <t>Chức vụ của Người đại diện theo pháp luật</t>
        </is>
      </c>
      <c r="F757" s="386" t="inlineStr">
        <is>
          <t>Data Explorer</t>
        </is>
      </c>
      <c r="G757" s="386" t="inlineStr">
        <is>
          <t>Chỉ tiêu cơ sở</t>
        </is>
      </c>
      <c r="H757" s="386" t="inlineStr">
        <is>
          <t>Trùng</t>
        </is>
      </c>
      <c r="I757" s="386" t="inlineStr">
        <is>
          <t>Ngày, CTCK</t>
        </is>
      </c>
      <c r="J757" s="395" t="inlineStr">
        <is>
          <t>SCMS</t>
        </is>
      </c>
      <c r="K757" s="395" t="n"/>
      <c r="L757" s="395" t="inlineStr">
        <is>
          <t>X</t>
        </is>
      </c>
      <c r="M757" s="395" t="n"/>
      <c r="N757" s="395" t="inlineStr">
        <is>
          <t>Done</t>
        </is>
      </c>
      <c r="O757" s="401" t="n"/>
      <c r="P757" s="395" t="n"/>
      <c r="S757" s="397" t="n"/>
      <c r="U757" s="386" t="n"/>
      <c r="V757" s="395" t="n"/>
      <c r="W757" s="395" t="n"/>
      <c r="X757" s="395" t="n"/>
      <c r="Y757" s="13" t="n"/>
      <c r="Z757" s="395" t="n"/>
      <c r="AA757" s="395" t="n"/>
      <c r="AB757" s="395" t="n"/>
      <c r="AC757" s="395" t="n"/>
      <c r="AD757" s="395" t="n"/>
      <c r="AE757" s="395" t="n"/>
    </row>
    <row r="758" ht="70" customHeight="1" s="380">
      <c r="A758" s="112" t="n">
        <v>50</v>
      </c>
      <c r="B758" s="386" t="n"/>
      <c r="C758" s="386" t="inlineStr">
        <is>
          <t>Báo cáo chứng quyền có đảm bảo &gt;&gt; Báo cáo phòng ngừa rủi ro và số lượng chứng quyền có bảo đảm phát hành - VII.2</t>
        </is>
      </c>
      <c r="D758" s="386" t="inlineStr">
        <is>
          <t>Ngày báo cáo</t>
        </is>
      </c>
      <c r="E758" s="395" t="inlineStr">
        <is>
          <t>Ngày báo cáo</t>
        </is>
      </c>
      <c r="F758" s="386" t="inlineStr">
        <is>
          <t>Data Explorer</t>
        </is>
      </c>
      <c r="G758" s="386" t="inlineStr">
        <is>
          <t>Chỉ tiêu cơ sở</t>
        </is>
      </c>
      <c r="H758" s="386" t="inlineStr">
        <is>
          <t>Trùng</t>
        </is>
      </c>
      <c r="I758" s="386" t="inlineStr">
        <is>
          <t>Ngày, CTCK</t>
        </is>
      </c>
      <c r="J758" s="395" t="inlineStr">
        <is>
          <t>SCMS</t>
        </is>
      </c>
      <c r="K758" s="395" t="n"/>
      <c r="L758" s="395" t="inlineStr">
        <is>
          <t>X</t>
        </is>
      </c>
      <c r="M758" s="395" t="n"/>
      <c r="N758" s="395" t="inlineStr">
        <is>
          <t>Done</t>
        </is>
      </c>
      <c r="O758" s="401" t="n"/>
      <c r="P758" s="395" t="n"/>
      <c r="S758" s="397" t="n"/>
      <c r="U758" s="386" t="n"/>
      <c r="V758" s="395" t="n"/>
      <c r="W758" s="395" t="n"/>
      <c r="X758" s="395" t="n"/>
      <c r="Y758" s="13" t="n"/>
      <c r="Z758" s="395" t="n"/>
      <c r="AA758" s="395" t="n"/>
      <c r="AB758" s="395" t="n"/>
      <c r="AC758" s="395" t="n"/>
      <c r="AD758" s="395" t="n"/>
      <c r="AE758" s="395" t="n"/>
    </row>
    <row r="759" ht="70" customHeight="1" s="380">
      <c r="A759" s="112" t="n">
        <v>50</v>
      </c>
      <c r="B759" s="386" t="n"/>
      <c r="C759" s="386" t="inlineStr">
        <is>
          <t>Báo cáo chứng quyền có đảm bảo &gt;&gt; Báo cáo phòng ngừa rủi ro và số lượng chứng quyền có bảo đảm phát hành - VII.2</t>
        </is>
      </c>
      <c r="D759" s="386" t="inlineStr">
        <is>
          <t>Mã chứng quyền</t>
        </is>
      </c>
      <c r="E759" s="395" t="inlineStr">
        <is>
          <t>Mã chứng quyền</t>
        </is>
      </c>
      <c r="F759" s="386" t="inlineStr">
        <is>
          <t>Data Explorer</t>
        </is>
      </c>
      <c r="G759" s="386" t="inlineStr">
        <is>
          <t>Chỉ tiêu cơ sở</t>
        </is>
      </c>
      <c r="H759" s="386" t="inlineStr">
        <is>
          <t>Trùng</t>
        </is>
      </c>
      <c r="I759" s="386" t="inlineStr">
        <is>
          <t>Ngày, CTCK</t>
        </is>
      </c>
      <c r="J759" s="395" t="inlineStr">
        <is>
          <t>SCMS</t>
        </is>
      </c>
      <c r="K759" s="395" t="n"/>
      <c r="L759" s="395" t="inlineStr">
        <is>
          <t>X</t>
        </is>
      </c>
      <c r="M759" s="395" t="n"/>
      <c r="N759" s="395" t="inlineStr">
        <is>
          <t>Done</t>
        </is>
      </c>
      <c r="O759" s="401" t="n"/>
      <c r="P759" s="395" t="n"/>
      <c r="S759" s="397" t="n"/>
      <c r="U759" s="386" t="n"/>
      <c r="V759" s="395" t="n"/>
      <c r="W759" s="395" t="n"/>
      <c r="X759" s="395" t="n"/>
      <c r="Y759" s="13" t="n"/>
      <c r="Z759" s="395" t="n"/>
      <c r="AA759" s="395" t="n"/>
      <c r="AB759" s="395" t="n"/>
      <c r="AC759" s="395" t="n"/>
      <c r="AD759" s="395" t="n"/>
      <c r="AE759" s="395" t="n"/>
    </row>
    <row r="760" ht="70" customHeight="1" s="380">
      <c r="A760" s="112" t="n">
        <v>50</v>
      </c>
      <c r="B760" s="386" t="n"/>
      <c r="C760" s="386" t="inlineStr">
        <is>
          <t>Báo cáo chứng quyền có đảm bảo &gt;&gt; Báo cáo phòng ngừa rủi ro và số lượng chứng quyền có bảo đảm phát hành - VII.2</t>
        </is>
      </c>
      <c r="D760" s="386" t="inlineStr">
        <is>
          <t>Vị thế phòng ngừa rủi ro lý thuyết</t>
        </is>
      </c>
      <c r="E760" s="395" t="inlineStr">
        <is>
          <t>Vị thế phòng ngừa rủi ro lý thuyết</t>
        </is>
      </c>
      <c r="F760" s="386" t="inlineStr">
        <is>
          <t>Data Explorer</t>
        </is>
      </c>
      <c r="G760" s="386" t="inlineStr">
        <is>
          <t>Chỉ tiêu cơ sở</t>
        </is>
      </c>
      <c r="H760" s="386" t="inlineStr">
        <is>
          <t>TB</t>
        </is>
      </c>
      <c r="I760" s="386" t="inlineStr">
        <is>
          <t>Ngày, CTCK</t>
        </is>
      </c>
      <c r="J760" s="395" t="inlineStr">
        <is>
          <t>SCMS</t>
        </is>
      </c>
      <c r="K760" s="395" t="n"/>
      <c r="L760" s="395" t="inlineStr">
        <is>
          <t>X</t>
        </is>
      </c>
      <c r="M760" s="395" t="n"/>
      <c r="N760" s="395" t="inlineStr">
        <is>
          <t>Done</t>
        </is>
      </c>
      <c r="O760" s="401" t="n"/>
      <c r="P760" s="395" t="n"/>
      <c r="S760" s="397" t="n"/>
      <c r="U760" s="386" t="n"/>
      <c r="V760" s="395" t="n"/>
      <c r="W760" s="395" t="n"/>
      <c r="X760" s="395" t="n"/>
      <c r="Y760" s="13" t="n"/>
      <c r="Z760" s="395" t="n"/>
      <c r="AA760" s="395" t="n"/>
      <c r="AB760" s="395" t="n"/>
      <c r="AC760" s="395" t="n"/>
      <c r="AD760" s="395" t="n"/>
      <c r="AE760" s="395" t="n"/>
    </row>
    <row r="761" ht="70" customHeight="1" s="380">
      <c r="A761" s="112" t="n">
        <v>50</v>
      </c>
      <c r="B761" s="386" t="n"/>
      <c r="C761" s="386" t="inlineStr">
        <is>
          <t>Báo cáo chứng quyền có đảm bảo &gt;&gt; Báo cáo phòng ngừa rủi ro và số lượng chứng quyền có bảo đảm phát hành - VII.2</t>
        </is>
      </c>
      <c r="D761" s="386" t="inlineStr">
        <is>
          <t>Vị thế phòng ngừa rủi ro thực tế</t>
        </is>
      </c>
      <c r="E761" s="395" t="inlineStr">
        <is>
          <t>Vị thế phòng ngừa rủi ro thực tế</t>
        </is>
      </c>
      <c r="F761" s="386" t="inlineStr">
        <is>
          <t>Data Explorer</t>
        </is>
      </c>
      <c r="G761" s="386" t="inlineStr">
        <is>
          <t>Chỉ tiêu cơ sở</t>
        </is>
      </c>
      <c r="H761" s="386" t="inlineStr">
        <is>
          <t>TB</t>
        </is>
      </c>
      <c r="I761" s="386" t="inlineStr">
        <is>
          <t>Ngày, CTCK</t>
        </is>
      </c>
      <c r="J761" s="395" t="inlineStr">
        <is>
          <t>SCMS</t>
        </is>
      </c>
      <c r="K761" s="395" t="n"/>
      <c r="L761" s="395" t="inlineStr">
        <is>
          <t>X</t>
        </is>
      </c>
      <c r="M761" s="395" t="n"/>
      <c r="N761" s="395" t="inlineStr">
        <is>
          <t>Done</t>
        </is>
      </c>
      <c r="O761" s="401" t="n"/>
      <c r="P761" s="395" t="n"/>
      <c r="S761" s="397" t="n"/>
      <c r="U761" s="386" t="n"/>
      <c r="V761" s="395" t="n"/>
      <c r="W761" s="395" t="n"/>
      <c r="X761" s="395" t="n"/>
      <c r="Y761" s="38" t="n"/>
      <c r="Z761" s="395" t="n"/>
      <c r="AA761" s="395" t="n"/>
      <c r="AB761" s="395" t="n"/>
      <c r="AC761" s="395" t="n"/>
      <c r="AD761" s="395" t="n"/>
      <c r="AE761" s="395" t="n"/>
    </row>
    <row r="762" ht="70" customHeight="1" s="380">
      <c r="A762" s="112" t="n">
        <v>50</v>
      </c>
      <c r="B762" s="386" t="n"/>
      <c r="C762" s="386" t="inlineStr">
        <is>
          <t>Báo cáo chứng quyền có đảm bảo &gt;&gt; Báo cáo phòng ngừa rủi ro và số lượng chứng quyền có bảo đảm phát hành - VII.2</t>
        </is>
      </c>
      <c r="D762" s="386" t="inlineStr">
        <is>
          <t>Chênh lệch</t>
        </is>
      </c>
      <c r="E762" s="395" t="inlineStr">
        <is>
          <t>Chênh lệch</t>
        </is>
      </c>
      <c r="F762" s="386" t="inlineStr">
        <is>
          <t>Data Explorer</t>
        </is>
      </c>
      <c r="G762" s="386" t="inlineStr">
        <is>
          <t>Chỉ tiêu cơ sở</t>
        </is>
      </c>
      <c r="H762" s="386" t="inlineStr">
        <is>
          <t>TB</t>
        </is>
      </c>
      <c r="I762" s="386" t="inlineStr">
        <is>
          <t>Ngày, CTCK</t>
        </is>
      </c>
      <c r="J762" s="395" t="inlineStr">
        <is>
          <t>SCMS</t>
        </is>
      </c>
      <c r="K762" s="395" t="n"/>
      <c r="L762" s="395" t="inlineStr">
        <is>
          <t>X</t>
        </is>
      </c>
      <c r="M762" s="395" t="n"/>
      <c r="N762" s="395" t="inlineStr">
        <is>
          <t>Done</t>
        </is>
      </c>
      <c r="O762" s="401" t="n"/>
      <c r="P762" s="395" t="n"/>
      <c r="S762" s="397" t="n"/>
      <c r="U762" s="386" t="n"/>
      <c r="V762" s="395" t="n"/>
      <c r="W762" s="395" t="n"/>
      <c r="X762" s="395" t="n"/>
      <c r="Y762" s="13" t="n"/>
      <c r="Z762" s="395" t="n"/>
      <c r="AA762" s="395" t="n"/>
      <c r="AB762" s="395" t="n"/>
      <c r="AC762" s="395" t="n"/>
      <c r="AD762" s="395" t="n"/>
      <c r="AE762" s="395" t="n"/>
    </row>
    <row r="763" ht="70" customHeight="1" s="380">
      <c r="A763" s="113" t="n">
        <v>50</v>
      </c>
      <c r="B763" s="68" t="n"/>
      <c r="C763" s="68" t="inlineStr">
        <is>
          <t>Báo cáo chứng quyền có đảm bảo &gt;&gt; Báo cáo phòng ngừa rủi ro và số lượng chứng quyền có bảo đảm phát hành - VII.2</t>
        </is>
      </c>
      <c r="D763" s="68" t="inlineStr">
        <is>
          <t>Số dư tiền tài khoản tự doanh cho hoạt động chứng quyền</t>
        </is>
      </c>
      <c r="E763" s="68" t="inlineStr">
        <is>
          <t>Số dư tiền tài khoản tự doanh cho hoạt động chứng quyền</t>
        </is>
      </c>
      <c r="F763" s="68" t="inlineStr">
        <is>
          <t>Data Explorer</t>
        </is>
      </c>
      <c r="G763" s="68" t="inlineStr">
        <is>
          <t>Chỉ tiêu cơ sở</t>
        </is>
      </c>
      <c r="H763" s="68" t="inlineStr">
        <is>
          <t>TB</t>
        </is>
      </c>
      <c r="I763" s="68" t="inlineStr">
        <is>
          <t>Ngày, CTCK</t>
        </is>
      </c>
      <c r="J763" s="69" t="inlineStr">
        <is>
          <t>SCMS</t>
        </is>
      </c>
      <c r="K763" s="69" t="n"/>
      <c r="L763" s="69" t="inlineStr">
        <is>
          <t>X</t>
        </is>
      </c>
      <c r="M763" s="69" t="n"/>
      <c r="N763" s="69" t="inlineStr">
        <is>
          <t>Done</t>
        </is>
      </c>
      <c r="O763" s="85" t="n"/>
      <c r="P763" s="69" t="n"/>
      <c r="Q763" s="426" t="n"/>
      <c r="R763" s="426" t="n"/>
      <c r="S763" s="86" t="n"/>
      <c r="T763" s="426" t="n"/>
      <c r="U763" s="68" t="n"/>
      <c r="V763" s="69" t="n"/>
      <c r="W763" s="69" t="n"/>
      <c r="X763" s="69" t="n"/>
      <c r="Y763" s="97" t="n"/>
      <c r="Z763" s="69" t="n"/>
      <c r="AA763" s="69" t="n"/>
      <c r="AB763" s="69" t="n"/>
      <c r="AC763" s="69" t="n"/>
      <c r="AD763" s="69" t="n"/>
      <c r="AE763" s="69" t="n"/>
    </row>
    <row r="764" ht="70" customHeight="1" s="380">
      <c r="A764" s="112" t="n">
        <v>51</v>
      </c>
      <c r="B764" s="81" t="n"/>
      <c r="C764" s="81" t="inlineStr">
        <is>
          <t>Báo cáo chứng quyền có đảm bảo &gt;&gt; Báo cáo phòng ngừa rủi ro và số lượng chứng quyền có bảo đảm phát hành - VII.3</t>
        </is>
      </c>
      <c r="D764" s="106" t="inlineStr">
        <is>
          <t>Loại báo cáo</t>
        </is>
      </c>
      <c r="E764" s="107" t="inlineStr">
        <is>
          <t>Loại báo cáo</t>
        </is>
      </c>
      <c r="F764" s="390" t="inlineStr">
        <is>
          <t>Data Explorer</t>
        </is>
      </c>
      <c r="G764" s="390" t="inlineStr">
        <is>
          <t>Chiều</t>
        </is>
      </c>
      <c r="H764" s="390" t="inlineStr">
        <is>
          <t>Dễ</t>
        </is>
      </c>
      <c r="I764" s="390" t="inlineStr">
        <is>
          <t>Ngày, CTCK</t>
        </is>
      </c>
      <c r="J764" s="401" t="inlineStr">
        <is>
          <t>SCMS</t>
        </is>
      </c>
      <c r="K764" s="401" t="inlineStr">
        <is>
          <t>X</t>
        </is>
      </c>
      <c r="L764" s="395" t="inlineStr">
        <is>
          <t>X</t>
        </is>
      </c>
      <c r="M764" s="401" t="n"/>
      <c r="N764" s="395" t="inlineStr">
        <is>
          <t>Done</t>
        </is>
      </c>
      <c r="O764" s="401" t="n"/>
      <c r="P764" s="395" t="n"/>
      <c r="Q764" s="404" t="inlineStr">
        <is>
          <t>SCMS.BM_BAO_CAO
SCMS.BM_BAO_CAO_DINH_KY</t>
        </is>
      </c>
      <c r="R764" s="404" t="inlineStr">
        <is>
          <t>bm.ID,
bm.MA_BAO_CAO,
bm.LOAI_BAO_CAO,
bm.TEN_BAO_CAO,
bm.SU_DUNG,
bdk.BM_BAO_CAO_ID,
bdk.KY_BAO_CAO,
bdk.SU_DUNG</t>
        </is>
      </c>
      <c r="S764" s="395" t="n"/>
      <c r="T764" s="386" t="inlineStr">
        <is>
          <t>-- Loại BC / Kỳ BC / Mã BC / Tên BC (chiều DWH – dùng chung)
-- MA_BAO_CAO: BCPNRR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 'BCPNRR'
        AND bm.SU_DUNG = 1
ORDER BY bdk.KY_BAO_CAO;</t>
        </is>
      </c>
      <c r="U764" s="386" t="n"/>
      <c r="V764" s="395" t="n"/>
      <c r="W764" s="395" t="n"/>
      <c r="X764" s="395" t="n"/>
      <c r="Y764" s="13" t="n"/>
      <c r="Z764" s="395" t="n"/>
      <c r="AA764" s="395" t="n"/>
      <c r="AB764" s="395" t="n"/>
      <c r="AC764" s="395" t="n"/>
      <c r="AD764" s="395" t="n"/>
      <c r="AE764" s="395" t="n"/>
    </row>
    <row r="765" ht="70" customHeight="1" s="380">
      <c r="A765" s="112" t="n">
        <v>51</v>
      </c>
      <c r="B765" s="386" t="n"/>
      <c r="C765" s="386" t="inlineStr">
        <is>
          <t>Báo cáo chứng quyền có đảm bảo &gt;&gt; Báo cáo phòng ngừa rủi ro và số lượng chứng quyền có bảo đảm phát hành - VII.3</t>
        </is>
      </c>
      <c r="D765" s="106" t="inlineStr">
        <is>
          <t>Kỳ báo cáo</t>
        </is>
      </c>
      <c r="E765" s="107" t="inlineStr">
        <is>
          <t>Kỳ báo cáo</t>
        </is>
      </c>
      <c r="F765" s="390" t="inlineStr">
        <is>
          <t>Data Explorer</t>
        </is>
      </c>
      <c r="G765" s="390" t="inlineStr">
        <is>
          <t>Chiều</t>
        </is>
      </c>
      <c r="H765" s="390" t="inlineStr">
        <is>
          <t>Dễ</t>
        </is>
      </c>
      <c r="I765" s="390" t="inlineStr">
        <is>
          <t>Ngày, CTCK</t>
        </is>
      </c>
      <c r="J765" s="401" t="inlineStr">
        <is>
          <t>SCMS</t>
        </is>
      </c>
      <c r="K765" s="401" t="inlineStr">
        <is>
          <t>X</t>
        </is>
      </c>
      <c r="L765" s="395" t="inlineStr">
        <is>
          <t>X</t>
        </is>
      </c>
      <c r="M765" s="401" t="n"/>
      <c r="N765" s="395" t="inlineStr">
        <is>
          <t>Done</t>
        </is>
      </c>
      <c r="O765" s="401" t="n"/>
      <c r="P765" s="395" t="n"/>
      <c r="S765" s="395" t="n"/>
      <c r="U765" s="386" t="n"/>
      <c r="V765" s="395" t="n"/>
      <c r="W765" s="395" t="n"/>
      <c r="X765" s="395" t="n"/>
      <c r="Y765" s="13" t="n"/>
      <c r="Z765" s="395" t="n"/>
      <c r="AA765" s="395" t="n"/>
      <c r="AB765" s="395" t="n"/>
      <c r="AC765" s="395" t="n"/>
      <c r="AD765" s="395" t="n"/>
      <c r="AE765" s="395" t="n"/>
    </row>
    <row r="766" ht="70" customHeight="1" s="380">
      <c r="A766" s="112" t="n">
        <v>51</v>
      </c>
      <c r="B766" s="386" t="n"/>
      <c r="C766" s="386" t="inlineStr">
        <is>
          <t>Báo cáo chứng quyền có đảm bảo &gt;&gt; Báo cáo phòng ngừa rủi ro và số lượng chứng quyền có bảo đảm phát hành - VII.3</t>
        </is>
      </c>
      <c r="D766" s="106" t="inlineStr">
        <is>
          <t>Mã báo cáo</t>
        </is>
      </c>
      <c r="E766" s="107" t="inlineStr">
        <is>
          <t>Mã báo cáo</t>
        </is>
      </c>
      <c r="F766" s="390" t="inlineStr">
        <is>
          <t>Data Explorer</t>
        </is>
      </c>
      <c r="G766" s="390" t="inlineStr">
        <is>
          <t>Chiều</t>
        </is>
      </c>
      <c r="H766" s="390" t="inlineStr">
        <is>
          <t>Dễ</t>
        </is>
      </c>
      <c r="I766" s="390" t="inlineStr">
        <is>
          <t>Ngày, CTCK</t>
        </is>
      </c>
      <c r="J766" s="401" t="inlineStr">
        <is>
          <t>SCMS</t>
        </is>
      </c>
      <c r="K766" s="401" t="inlineStr">
        <is>
          <t>X</t>
        </is>
      </c>
      <c r="L766" s="395" t="inlineStr">
        <is>
          <t>X</t>
        </is>
      </c>
      <c r="M766" s="401" t="n"/>
      <c r="N766" s="395" t="inlineStr">
        <is>
          <t>Done</t>
        </is>
      </c>
      <c r="O766" s="401" t="n"/>
      <c r="P766" s="395" t="n"/>
      <c r="S766" s="395" t="n"/>
      <c r="U766" s="386" t="n"/>
      <c r="V766" s="395" t="n"/>
      <c r="W766" s="395" t="n"/>
      <c r="X766" s="395" t="n"/>
      <c r="Y766" s="13" t="n"/>
      <c r="Z766" s="395" t="n"/>
      <c r="AA766" s="395" t="n"/>
      <c r="AB766" s="395" t="n"/>
      <c r="AC766" s="395" t="n"/>
      <c r="AD766" s="395" t="n"/>
      <c r="AE766" s="395" t="n"/>
    </row>
    <row r="767" ht="70" customHeight="1" s="380">
      <c r="A767" s="112" t="n">
        <v>51</v>
      </c>
      <c r="B767" s="386" t="n"/>
      <c r="C767" s="386" t="inlineStr">
        <is>
          <t>Báo cáo chứng quyền có đảm bảo &gt;&gt; Báo cáo phòng ngừa rủi ro và số lượng chứng quyền có bảo đảm phát hành - VII.3</t>
        </is>
      </c>
      <c r="D767" s="106" t="inlineStr">
        <is>
          <t>Tên báo cáo</t>
        </is>
      </c>
      <c r="E767" s="107" t="inlineStr">
        <is>
          <t>Tên báo cáo</t>
        </is>
      </c>
      <c r="F767" s="390" t="inlineStr">
        <is>
          <t>Data Explorer</t>
        </is>
      </c>
      <c r="G767" s="390" t="inlineStr">
        <is>
          <t>Chiều</t>
        </is>
      </c>
      <c r="H767" s="390" t="inlineStr">
        <is>
          <t>Dễ</t>
        </is>
      </c>
      <c r="I767" s="390" t="inlineStr">
        <is>
          <t>Ngày, CTCK</t>
        </is>
      </c>
      <c r="J767" s="401" t="inlineStr">
        <is>
          <t>SCMS</t>
        </is>
      </c>
      <c r="K767" s="401" t="inlineStr">
        <is>
          <t>X</t>
        </is>
      </c>
      <c r="L767" s="395" t="inlineStr">
        <is>
          <t>X</t>
        </is>
      </c>
      <c r="M767" s="401" t="n"/>
      <c r="N767" s="395" t="inlineStr">
        <is>
          <t>Done</t>
        </is>
      </c>
      <c r="O767" s="401" t="n"/>
      <c r="P767" s="395" t="n"/>
      <c r="S767" s="395" t="n"/>
      <c r="U767" s="386" t="n"/>
      <c r="V767" s="395" t="n"/>
      <c r="W767" s="395" t="n"/>
      <c r="X767" s="395" t="n"/>
      <c r="Y767" s="38" t="n"/>
      <c r="Z767" s="395" t="n"/>
      <c r="AA767" s="395" t="n"/>
      <c r="AB767" s="395" t="n"/>
      <c r="AC767" s="395" t="n"/>
      <c r="AD767" s="395" t="n"/>
      <c r="AE767" s="395" t="n"/>
    </row>
    <row r="768" ht="70" customHeight="1" s="380">
      <c r="A768" s="112" t="n">
        <v>51</v>
      </c>
      <c r="B768" s="386" t="n"/>
      <c r="C768" s="386" t="inlineStr">
        <is>
          <t>Báo cáo chứng quyền có đảm bảo &gt;&gt; Báo cáo phòng ngừa rủi ro và số lượng chứng quyền có bảo đảm phát hành - VII.3</t>
        </is>
      </c>
      <c r="D768" s="106" t="inlineStr">
        <is>
          <t>Mã sheet</t>
        </is>
      </c>
      <c r="E768" s="106" t="inlineStr">
        <is>
          <t>Mã sheet</t>
        </is>
      </c>
      <c r="F768" s="390" t="inlineStr">
        <is>
          <t>Data Explorer</t>
        </is>
      </c>
      <c r="G768" s="390" t="inlineStr">
        <is>
          <t>Chiều</t>
        </is>
      </c>
      <c r="H768" s="390" t="inlineStr">
        <is>
          <t>Dễ</t>
        </is>
      </c>
      <c r="I768" s="390" t="inlineStr">
        <is>
          <t>Ngày, CTCK</t>
        </is>
      </c>
      <c r="J768" s="401" t="inlineStr">
        <is>
          <t>SCMS</t>
        </is>
      </c>
      <c r="K768" s="401" t="inlineStr">
        <is>
          <t>X</t>
        </is>
      </c>
      <c r="L768" s="395" t="inlineStr">
        <is>
          <t>X</t>
        </is>
      </c>
      <c r="M768" s="401" t="n"/>
      <c r="N768" s="395" t="inlineStr">
        <is>
          <t>Done</t>
        </is>
      </c>
      <c r="O768" s="401" t="n"/>
      <c r="P768" s="395" t="n"/>
      <c r="Q768" s="401" t="inlineStr">
        <is>
          <t>SCMS.BM_BAO_CAO
SCMS.BM_SHEET</t>
        </is>
      </c>
      <c r="R768" s="401" t="inlineStr">
        <is>
          <t>bm.ID,
bm.MA_BAO_CAO,
bm.SU_DUNG,
s.BM_BAO_CAO_ID,
s.MA_SHEET,
s.TEN_SHEET,
s.SAP_XEP</t>
        </is>
      </c>
      <c r="S768" s="395" t="n"/>
      <c r="T768" s="384" t="inlineStr">
        <is>
          <t>-- Mã sheet / Tên sheet
-- MA_SHEET: VII.3
SELECT bm.MA_BAO_CAO,
s.MA_SHEET,
s.TEN_SHEET
FROM SCMS.BM_BAO_CAO bm
JOIN SCMS.BM_SHEET s ON s.BM_BAO_CAO_ID = bm.ID
WHERE bm.MA_BAO_CAO = 'BCPNRR'
AND s.MA_SHEET = 'VII.3'  -- Check lại data chuẩn
AND bm.SU_DUNG = 1
ORDER BY bm.MA_BAO_CAO, s.SAP_XEP;</t>
        </is>
      </c>
      <c r="U768" s="386" t="n"/>
      <c r="V768" s="395" t="n"/>
      <c r="W768" s="395" t="n"/>
      <c r="X768" s="395" t="n"/>
      <c r="Y768" s="13" t="n"/>
      <c r="Z768" s="395" t="n"/>
      <c r="AA768" s="395" t="n"/>
      <c r="AB768" s="395" t="n"/>
      <c r="AC768" s="395" t="n"/>
      <c r="AD768" s="395" t="n"/>
      <c r="AE768" s="395" t="n"/>
    </row>
    <row r="769" ht="70" customHeight="1" s="380">
      <c r="A769" s="112" t="n">
        <v>51</v>
      </c>
      <c r="B769" s="386" t="n"/>
      <c r="C769" s="386" t="inlineStr">
        <is>
          <t>Báo cáo chứng quyền có đảm bảo &gt;&gt; Báo cáo phòng ngừa rủi ro và số lượng chứng quyền có bảo đảm phát hành - VII.3</t>
        </is>
      </c>
      <c r="D769" s="106" t="inlineStr">
        <is>
          <t>Tên sheet</t>
        </is>
      </c>
      <c r="E769" s="106" t="inlineStr">
        <is>
          <t>Tên sheet</t>
        </is>
      </c>
      <c r="F769" s="390" t="inlineStr">
        <is>
          <t>Data Explorer</t>
        </is>
      </c>
      <c r="G769" s="390" t="inlineStr">
        <is>
          <t>Chiều</t>
        </is>
      </c>
      <c r="H769" s="390" t="inlineStr">
        <is>
          <t>Dễ</t>
        </is>
      </c>
      <c r="I769" s="390" t="inlineStr">
        <is>
          <t>Ngày, CTCK</t>
        </is>
      </c>
      <c r="J769" s="401" t="inlineStr">
        <is>
          <t>SCMS</t>
        </is>
      </c>
      <c r="K769" s="401" t="inlineStr">
        <is>
          <t>X</t>
        </is>
      </c>
      <c r="L769" s="395" t="inlineStr">
        <is>
          <t>X</t>
        </is>
      </c>
      <c r="M769" s="401" t="n"/>
      <c r="N769" s="395" t="inlineStr">
        <is>
          <t>Done</t>
        </is>
      </c>
      <c r="O769" s="401" t="n"/>
      <c r="P769" s="395" t="n"/>
      <c r="S769" s="395" t="n"/>
      <c r="U769" s="386" t="n"/>
      <c r="V769" s="395" t="n"/>
      <c r="W769" s="395" t="n"/>
      <c r="X769" s="395" t="n"/>
      <c r="Y769" s="13" t="n"/>
      <c r="Z769" s="395" t="n"/>
      <c r="AA769" s="395" t="n"/>
      <c r="AB769" s="395" t="n"/>
      <c r="AC769" s="395" t="n"/>
      <c r="AD769" s="395" t="n"/>
      <c r="AE769" s="395" t="n"/>
    </row>
    <row r="770" ht="70" customHeight="1" s="380">
      <c r="A770" s="112" t="n">
        <v>51</v>
      </c>
      <c r="B770" s="386" t="n"/>
      <c r="C770" s="386" t="inlineStr">
        <is>
          <t>Báo cáo chứng quyền có đảm bảo &gt;&gt; Báo cáo phòng ngừa rủi ro và số lượng chứng quyền có bảo đảm phát hành - VII.3</t>
        </is>
      </c>
      <c r="D770" s="106" t="inlineStr">
        <is>
          <t>Mã chỉ tiêu</t>
        </is>
      </c>
      <c r="E770" s="107" t="inlineStr">
        <is>
          <t>Mã chỉ tiêu</t>
        </is>
      </c>
      <c r="F770" s="390" t="inlineStr">
        <is>
          <t>Data Explorer</t>
        </is>
      </c>
      <c r="G770" s="390" t="inlineStr">
        <is>
          <t>Chiều</t>
        </is>
      </c>
      <c r="H770" s="390" t="inlineStr">
        <is>
          <t>Dễ</t>
        </is>
      </c>
      <c r="I770" s="390" t="inlineStr">
        <is>
          <t>Ngày, CTCK</t>
        </is>
      </c>
      <c r="J770" s="401" t="inlineStr">
        <is>
          <t>SCMS</t>
        </is>
      </c>
      <c r="K770" s="401" t="inlineStr">
        <is>
          <t>X</t>
        </is>
      </c>
      <c r="L770" s="395" t="inlineStr">
        <is>
          <t>X</t>
        </is>
      </c>
      <c r="M770" s="401" t="n"/>
      <c r="N770" s="395" t="inlineStr">
        <is>
          <t>Done</t>
        </is>
      </c>
      <c r="O770" s="401" t="n"/>
      <c r="P770" s="395" t="n"/>
      <c r="Q770" s="401" t="inlineStr">
        <is>
          <t>SCMS.BM_BAO_CAO
SCMS.BM_SHEET
SCMS.BM_BAO_CAO_CT
SCMS.DM_CHI_TIEU</t>
        </is>
      </c>
      <c r="R770" s="402" t="inlineStr">
        <is>
          <t>dct.ID,
dct.MA_CHI_TIEU,
dct.TEN_CHI_TIEU,
dct.SU_DUNG,
s.BM_BAO_CAO_ID,
s.MA_SHEET,
ct.BM_BAO_CAO_ID,
ct.DM_CHI_TIEU_ID,
ct.SU_DUNG,
bm.ID,
bm.MA_BAO_CAO,
bm.SU_DUNG</t>
        </is>
      </c>
      <c r="S770" s="395" t="n"/>
      <c r="T770" s="384" t="inlineStr">
        <is>
          <t>-- Mã chỉ tiêu / Tên chỉ tiêu
SELECT DISTINCT
    dct.MA_CHI_TIEU  AS ma_chi_tieu,
    dct.TEN_CHI_TIEU AS ten_chi_tieu
FROM SCMS.BM_BAO_CAO bm
JOIN SCMS.BM_SHEET s ON s.BM_BAO_CAO_ID = bm.ID
	AND s.MA_SHEET = 'VII.3'
JOIN SCMS.BM_BAO_CAO_CT ct ON ct.BM_SHEET_ID = s.ID
	AND ct.SU_DUNG = 1
JOIN SCMS.DM_CHI_TIEU dct ON dct.ID = ct.DM_CHI_TIEU_ID
	AND dct.SU_DUNG = 1
WHERE bm.MA_BAO_CAO = 'BCPNRR'
	AND bm.SU_DUNG = 1
ORDER BY dct.MA_CHI_TIEU;</t>
        </is>
      </c>
      <c r="U770" s="386" t="n"/>
      <c r="V770" s="395" t="n"/>
      <c r="W770" s="395" t="n"/>
      <c r="X770" s="395" t="n"/>
      <c r="Y770" s="13" t="n"/>
      <c r="Z770" s="395" t="n"/>
      <c r="AA770" s="395" t="n"/>
      <c r="AB770" s="395" t="n"/>
      <c r="AC770" s="395" t="n"/>
      <c r="AD770" s="395" t="n"/>
      <c r="AE770" s="395" t="n"/>
    </row>
    <row r="771" ht="70" customHeight="1" s="380">
      <c r="A771" s="112" t="n">
        <v>51</v>
      </c>
      <c r="B771" s="386" t="n"/>
      <c r="C771" s="386" t="inlineStr">
        <is>
          <t>Báo cáo chứng quyền có đảm bảo &gt;&gt; Báo cáo phòng ngừa rủi ro và số lượng chứng quyền có bảo đảm phát hành - VII.3</t>
        </is>
      </c>
      <c r="D771" s="106" t="inlineStr">
        <is>
          <t>Tên chỉ tiêu</t>
        </is>
      </c>
      <c r="E771" s="107" t="inlineStr">
        <is>
          <t>Tên chỉ tiêu</t>
        </is>
      </c>
      <c r="F771" s="390" t="inlineStr">
        <is>
          <t>Data Explorer</t>
        </is>
      </c>
      <c r="G771" s="390" t="inlineStr">
        <is>
          <t>Chiều</t>
        </is>
      </c>
      <c r="H771" s="390" t="inlineStr">
        <is>
          <t>Dễ</t>
        </is>
      </c>
      <c r="I771" s="390" t="inlineStr">
        <is>
          <t>Ngày, CTCK</t>
        </is>
      </c>
      <c r="J771" s="401" t="inlineStr">
        <is>
          <t>SCMS</t>
        </is>
      </c>
      <c r="K771" s="401" t="inlineStr">
        <is>
          <t>X</t>
        </is>
      </c>
      <c r="L771" s="395" t="inlineStr">
        <is>
          <t>X</t>
        </is>
      </c>
      <c r="M771" s="401" t="n"/>
      <c r="N771" s="395" t="inlineStr">
        <is>
          <t>Done</t>
        </is>
      </c>
      <c r="O771" s="401" t="n"/>
      <c r="P771" s="395" t="n"/>
      <c r="S771" s="395" t="n"/>
      <c r="U771" s="386" t="n"/>
      <c r="V771" s="395" t="n"/>
      <c r="W771" s="395" t="n"/>
      <c r="X771" s="395" t="n"/>
      <c r="Y771" s="13" t="n"/>
      <c r="Z771" s="395" t="n"/>
      <c r="AA771" s="395" t="n"/>
      <c r="AB771" s="395" t="n"/>
      <c r="AC771" s="395" t="n"/>
      <c r="AD771" s="395" t="n"/>
      <c r="AE771" s="395" t="n"/>
    </row>
    <row r="772" ht="70" customHeight="1" s="380">
      <c r="A772" s="112" t="n">
        <v>51</v>
      </c>
      <c r="B772" s="386" t="n"/>
      <c r="C772" s="386" t="inlineStr">
        <is>
          <t>Báo cáo chứng quyền có đảm bảo &gt;&gt; Báo cáo phòng ngừa rủi ro và số lượng chứng quyền có bảo đảm phát hành - VII.3</t>
        </is>
      </c>
      <c r="D772" s="386" t="inlineStr">
        <is>
          <t>Tên CTCK</t>
        </is>
      </c>
      <c r="E772" s="395" t="inlineStr">
        <is>
          <t>Tên CTCK</t>
        </is>
      </c>
      <c r="F772" s="386" t="inlineStr">
        <is>
          <t>Data Explorer</t>
        </is>
      </c>
      <c r="G772" s="386" t="inlineStr">
        <is>
          <t>Chỉ tiêu cơ sở</t>
        </is>
      </c>
      <c r="H772" s="386" t="inlineStr">
        <is>
          <t>Trùng</t>
        </is>
      </c>
      <c r="I772" s="386" t="inlineStr">
        <is>
          <t>Ngày, CTCK</t>
        </is>
      </c>
      <c r="J772" s="395" t="inlineStr">
        <is>
          <t>SCMS</t>
        </is>
      </c>
      <c r="K772" s="395" t="n"/>
      <c r="L772" s="395" t="inlineStr">
        <is>
          <t>X</t>
        </is>
      </c>
      <c r="M772" s="395" t="n"/>
      <c r="N772" s="395" t="inlineStr">
        <is>
          <t>Done</t>
        </is>
      </c>
      <c r="O772" s="401" t="n"/>
      <c r="P772" s="395" t="n"/>
      <c r="Q772" s="428" t="inlineStr">
        <is>
          <t>SCMS.BC_THANH_VIEN
SCMS.BM_BAO_CAO
SCMS.BC_BAO_CAO_GT
SCMS.CTCK_THONG_TIN
SCMS.CTCK_NHAN_SU_CAO_CAP
SCMS.DM_CHUC_VU</t>
        </is>
      </c>
      <c r="R772" s="428" t="inlineStr">
        <is>
          <t>c.ID,
c.TEN_VIET_TAT,
c.SAN_NIEM_YET,
c.MA_CHUNG_KHOAN,
c.GIAY_PHEP_KINH_DOANH,
c.NGAY_CAP_GPKD,
btv.ID,
btv.BM_BAO_CAO_ID,
btv.CTCK_THONG_TIN_ID,
btv.NGAY_SO_LIEU,
btv.TRANG_THAI,
g.BC_THANH_VIEN_ID,
g.TEN_COT,
g.GIA_TRI,
g.TEN_SHEET,
bm.ID,
bm.MA_BAO_CAO,
ns.CTCK_THONG_TIN_ID,
ns.HO_TEN,
ns.IS_BANG_TAM,
ns.TRANG_THAI,
ns.CHUC_VU_ID,
cv.ID,
cv.TEN_CHUC_VU</t>
        </is>
      </c>
      <c r="S772" s="397" t="n"/>
      <c r="T772" s="429" t="inlineStr">
        <is>
          <t>-- CHỈ TIÊU
SELECT
    ROW_NUMBER() OVER (ORDER BY ngay_bao_cao DESC, ten_ctck) AS stt,
    ten_ctck,
    san_giao_dich,
    ma_ck,
    so_giay_phep,
    ngay_cap_giay_phep,
    nguoi_dai_dien,
    chuc_vu_nguoi_dai_dien,
    ngay_bao_cao,
    "Mã cổ phiếu cơ sở",
    "Số lượng cổ phiếu dư đầu ngày",
    "Số lượng cổ phiếu giao dịch trong ngày	- Mua",
    "Số lượng cổ phiếu giao dịch trong ngày	- Bán",
    "Số lượng cổ phiếu cuối ngày",
    "Tỷ lệ nắm giữ/cổ phiếu lưu hành"
FROM (
    SELECT
        c.TEN_VIET_TAT AS ten_ctck,
        c.SAN_NIEM_YET AS san_giao_dich,
        c.MA_CHUNG_KHOAN AS ma_ck,
        c.GIAY_PHEP_KINH_DOANH AS so_giay_phep,
        c.NGAY_CAP_GPKD AS ngay_cap_giay_phep,
        ns.HO_TEN AS nguoi_dai_dien,
        cv.TEN_CHUC_VU AS chuc_vu_nguoi_dai_dien,
        btv.NGAY_SO_LIEU AS ngay_bao_cao,
        MAX(CASE WHEN g.TEN_COT LIKE N'%Mã cổ phiếu cơ sở%' THEN g.GIA_TRI END) AS "Mã cổ phiếu cơ sở",
        MAX(CASE WHEN g.TEN_COT LIKE N'%Số lượng cổ phiếu dư đầu ngày%' THEN g.GIA_TRI END) AS "Số lượng cổ phiếu dư đầu ngày",
        MAX(CASE WHEN g.TEN_COT LIKE N'%Số lượng cổ phiếu giao dịch trong ngày	- Mua%' THEN g.GIA_TRI END) AS "Số lượng cổ phiếu giao dịch trong ngày	- Mua",
        MAX(CASE WHEN g.TEN_COT LIKE N'%Số lượng cổ phiếu giao dịch trong ngày	- Bán%'THEN g.GIA_TRI END) AS "Số lượng cổ phiếu giao dịch trong ngày	- Bán",
        MAX(CASE WHEN g.TEN_COT LIKE N'%Số lượng cổ phiếu cuối ngày%' THEN g.GIA_TRI END) AS "Số lượng cổ phiếu cuối ngày",
        MAX(CASE WHEN g.TEN_COT LIKE N'%Tỷ lệ nắm giữ/cổ phiếu lưu hành%' THEN g.GIA_TRI END) AS "Tỷ lệ nắm giữ/cổ phiếu lưu hành"
    FROM SCMS.BC_THANH_VIEN  btv
    JOIN SCMS.BM_BAO_CAO bm ON bm.ID = btv.BM_BAO_CAO_ID
    JOIN (
        SELECT
            BC_THANH_VIEN_ID,
            TEN_SHEET,
            TEN_COT,
            CAST(GIA_TRI AS VARCHAR2(4000)) AS GIA_TRI
        FROM SCMS.BC_BAO_CAO_GT
        WHERE TEN_SHEET = N'VII.3'
    ) g ON g.BC_THANH_VIEN_ID = btv.ID
    JOIN SCMS.CTCK_THONG_TIN c ON c.ID = btv.CTCK_THONG_TIN_ID
    LEFT JOIN SCMS.CTCK_NHAN_SU_CAO_CAP ns ON ns.CTCK_THONG_TIN_ID = btv.CTCK_THONG_TIN_ID
         AND ns.IS_BANG_TAM = 1
         AND ns.TRANG_THAI = 1
    LEFT JOIN SCMS.DM_CHUC_VU cv ON cv.ID = ns.CHUC_VU_ID
         AND LOWER(cv.TEN_CHUC_VU) LIKE N'%DDPL%'  -- Xác nhận tên chức vụ của người đại diện pháp luật
    WHERE bm.MA_BAO_CAO  = 'BCPNRR'
      AND btv.TRANG_THAI IN (2, 3)
    GROUP BY
        btv.ID, btv.CTCK_THONG_TIN_ID, btv.NGAY_SO_LIEU, btv.TRANG_THAI,
        bm.MA_BAO_CAO, g.TEN_SHEET,
        c.TEN_VIET_TAT, c.SAN_NIEM_YET, c.MA_CHUNG_KHOAN,
        c.GIAY_PHEP_KINH_DOANH, c.NGAY_CAP_GPKD,
        ns.HO_TEN, cv.TEN_CHUC_VU
)
ORDER BY ngay_bao_cao DESC, ten_ctck;</t>
        </is>
      </c>
      <c r="U772" s="386" t="n"/>
      <c r="V772" s="395" t="n"/>
      <c r="W772" s="395" t="n"/>
      <c r="X772" s="395" t="n"/>
      <c r="Y772" s="13" t="n"/>
      <c r="Z772" s="395" t="n"/>
      <c r="AA772" s="395" t="n"/>
      <c r="AB772" s="395" t="n"/>
      <c r="AC772" s="395" t="n"/>
      <c r="AD772" s="395" t="n"/>
      <c r="AE772" s="395" t="n"/>
    </row>
    <row r="773" ht="70" customHeight="1" s="380">
      <c r="A773" s="112" t="n">
        <v>51</v>
      </c>
      <c r="B773" s="386" t="n"/>
      <c r="C773" s="386" t="inlineStr">
        <is>
          <t>Báo cáo chứng quyền có đảm bảo &gt;&gt; Báo cáo phòng ngừa rủi ro và số lượng chứng quyền có bảo đảm phát hành - VII.3</t>
        </is>
      </c>
      <c r="D773" s="386" t="inlineStr">
        <is>
          <t>Sàn giao dịch</t>
        </is>
      </c>
      <c r="E773" s="395" t="inlineStr">
        <is>
          <t>Sàn giao dịch</t>
        </is>
      </c>
      <c r="F773" s="386" t="inlineStr">
        <is>
          <t>Data Explorer</t>
        </is>
      </c>
      <c r="G773" s="386" t="inlineStr">
        <is>
          <t>Chỉ tiêu cơ sở</t>
        </is>
      </c>
      <c r="H773" s="386" t="inlineStr">
        <is>
          <t>Trùng</t>
        </is>
      </c>
      <c r="I773" s="386" t="inlineStr">
        <is>
          <t>Ngày, CTCK</t>
        </is>
      </c>
      <c r="J773" s="395" t="inlineStr">
        <is>
          <t>SCMS</t>
        </is>
      </c>
      <c r="K773" s="395" t="n"/>
      <c r="L773" s="395" t="inlineStr">
        <is>
          <t>X</t>
        </is>
      </c>
      <c r="M773" s="395" t="n"/>
      <c r="N773" s="395" t="inlineStr">
        <is>
          <t>Done</t>
        </is>
      </c>
      <c r="O773" s="401" t="n"/>
      <c r="P773" s="395" t="n"/>
      <c r="S773" s="397" t="n"/>
      <c r="U773" s="386" t="n"/>
      <c r="V773" s="395" t="n"/>
      <c r="W773" s="395" t="n"/>
      <c r="X773" s="395" t="n"/>
      <c r="Y773" s="14" t="n"/>
      <c r="Z773" s="395" t="n"/>
      <c r="AA773" s="395" t="n"/>
      <c r="AB773" s="395" t="n"/>
      <c r="AC773" s="395" t="n"/>
      <c r="AD773" s="395" t="n"/>
      <c r="AE773" s="395" t="n"/>
    </row>
    <row r="774" ht="70" customHeight="1" s="380">
      <c r="A774" s="112" t="n">
        <v>51</v>
      </c>
      <c r="B774" s="386" t="n"/>
      <c r="C774" s="386" t="inlineStr">
        <is>
          <t>Báo cáo chứng quyền có đảm bảo &gt;&gt; Báo cáo phòng ngừa rủi ro và số lượng chứng quyền có bảo đảm phát hành - VII.3</t>
        </is>
      </c>
      <c r="D774" s="386" t="inlineStr">
        <is>
          <t>Mã CK</t>
        </is>
      </c>
      <c r="E774" s="395" t="inlineStr">
        <is>
          <t>Mã CK</t>
        </is>
      </c>
      <c r="F774" s="386" t="inlineStr">
        <is>
          <t>Data Explorer</t>
        </is>
      </c>
      <c r="G774" s="386" t="inlineStr">
        <is>
          <t>Chỉ tiêu cơ sở</t>
        </is>
      </c>
      <c r="H774" s="386" t="inlineStr">
        <is>
          <t>Trùng</t>
        </is>
      </c>
      <c r="I774" s="386" t="inlineStr">
        <is>
          <t>Ngày, CTCK</t>
        </is>
      </c>
      <c r="J774" s="395" t="inlineStr">
        <is>
          <t>SCMS</t>
        </is>
      </c>
      <c r="K774" s="395" t="n"/>
      <c r="L774" s="395" t="inlineStr">
        <is>
          <t>X</t>
        </is>
      </c>
      <c r="M774" s="395" t="n"/>
      <c r="N774" s="395" t="inlineStr">
        <is>
          <t>Done</t>
        </is>
      </c>
      <c r="O774" s="401" t="n"/>
      <c r="P774" s="395" t="n"/>
      <c r="S774" s="397" t="n"/>
      <c r="U774" s="386" t="n"/>
      <c r="V774" s="395" t="n"/>
      <c r="W774" s="395" t="n"/>
      <c r="X774" s="395" t="n"/>
      <c r="Y774" s="6" t="n"/>
      <c r="Z774" s="395" t="n"/>
      <c r="AA774" s="395" t="n"/>
      <c r="AB774" s="395" t="n"/>
      <c r="AC774" s="395" t="n"/>
      <c r="AD774" s="395" t="n"/>
      <c r="AE774" s="395" t="n"/>
    </row>
    <row r="775" ht="70" customHeight="1" s="380">
      <c r="A775" s="112" t="n">
        <v>51</v>
      </c>
      <c r="B775" s="386" t="n"/>
      <c r="C775" s="386" t="inlineStr">
        <is>
          <t>Báo cáo chứng quyền có đảm bảo &gt;&gt; Báo cáo phòng ngừa rủi ro và số lượng chứng quyền có bảo đảm phát hành - VII.3</t>
        </is>
      </c>
      <c r="D775" s="386" t="inlineStr">
        <is>
          <t>Giấy phép Hoạt động của Chủ tịch UBCKNN cấp lần đầu &gt;&gt; Số</t>
        </is>
      </c>
      <c r="E775" s="386" t="inlineStr">
        <is>
          <t>Giấy phép Hoạt động của Chủ tịch UBCKNN cấp lần đầu &gt;&gt; Số</t>
        </is>
      </c>
      <c r="F775" s="386" t="inlineStr">
        <is>
          <t>Data Explorer</t>
        </is>
      </c>
      <c r="G775" s="386" t="inlineStr">
        <is>
          <t>Chỉ tiêu cơ sở</t>
        </is>
      </c>
      <c r="H775" s="386" t="inlineStr">
        <is>
          <t>Trùng</t>
        </is>
      </c>
      <c r="I775" s="386" t="inlineStr">
        <is>
          <t>Ngày, CTCK</t>
        </is>
      </c>
      <c r="J775" s="395" t="inlineStr">
        <is>
          <t>SCMS</t>
        </is>
      </c>
      <c r="K775" s="395" t="n"/>
      <c r="L775" s="395" t="inlineStr">
        <is>
          <t>X</t>
        </is>
      </c>
      <c r="M775" s="395" t="n"/>
      <c r="N775" s="395" t="inlineStr">
        <is>
          <t>Done</t>
        </is>
      </c>
      <c r="O775" s="401" t="n"/>
      <c r="P775" s="395" t="n"/>
      <c r="S775" s="397" t="n"/>
      <c r="U775" s="386" t="n"/>
      <c r="V775" s="395" t="n"/>
      <c r="W775" s="395" t="n"/>
      <c r="X775" s="395" t="n"/>
      <c r="Y775" s="6" t="n"/>
      <c r="Z775" s="395" t="n"/>
      <c r="AA775" s="395" t="n"/>
      <c r="AB775" s="395" t="n"/>
      <c r="AC775" s="395" t="n"/>
      <c r="AD775" s="395" t="n"/>
      <c r="AE775" s="395" t="n"/>
    </row>
    <row r="776" ht="70" customHeight="1" s="380">
      <c r="A776" s="112" t="n">
        <v>51</v>
      </c>
      <c r="B776" s="386" t="n"/>
      <c r="C776" s="386" t="inlineStr">
        <is>
          <t>Báo cáo chứng quyền có đảm bảo &gt;&gt; Báo cáo phòng ngừa rủi ro và số lượng chứng quyền có bảo đảm phát hành - VII.3</t>
        </is>
      </c>
      <c r="D776" s="386" t="inlineStr">
        <is>
          <t>Giấy phép Hoạt động của Chủ tịch UBCKNN cấp lần đầu &gt;&gt; Ngày cấp</t>
        </is>
      </c>
      <c r="E776" s="386" t="inlineStr">
        <is>
          <t>Giấy phép Hoạt động của Chủ tịch UBCKNN cấp lần đầu &gt;&gt; Ngày cấp</t>
        </is>
      </c>
      <c r="F776" s="386" t="inlineStr">
        <is>
          <t>Data Explorer</t>
        </is>
      </c>
      <c r="G776" s="386" t="inlineStr">
        <is>
          <t>Chỉ tiêu cơ sở</t>
        </is>
      </c>
      <c r="H776" s="386" t="inlineStr">
        <is>
          <t>Trùng</t>
        </is>
      </c>
      <c r="I776" s="386" t="inlineStr">
        <is>
          <t>Ngày, CTCK</t>
        </is>
      </c>
      <c r="J776" s="395" t="inlineStr">
        <is>
          <t>SCMS</t>
        </is>
      </c>
      <c r="K776" s="395" t="n"/>
      <c r="L776" s="395" t="inlineStr">
        <is>
          <t>X</t>
        </is>
      </c>
      <c r="M776" s="395" t="n"/>
      <c r="N776" s="395" t="inlineStr">
        <is>
          <t>Done</t>
        </is>
      </c>
      <c r="O776" s="401" t="n"/>
      <c r="P776" s="395" t="n"/>
      <c r="S776" s="397" t="n"/>
      <c r="U776" s="386" t="n"/>
      <c r="V776" s="395" t="n"/>
      <c r="W776" s="395" t="n"/>
      <c r="X776" s="395" t="n"/>
      <c r="Y776" s="395" t="n"/>
      <c r="Z776" s="395" t="n"/>
      <c r="AA776" s="395" t="n"/>
      <c r="AB776" s="395" t="n"/>
      <c r="AC776" s="395" t="n"/>
      <c r="AD776" s="395" t="n"/>
      <c r="AE776" s="395" t="n"/>
    </row>
    <row r="777" ht="70" customHeight="1" s="380">
      <c r="A777" s="112" t="n">
        <v>51</v>
      </c>
      <c r="B777" s="386" t="n"/>
      <c r="C777" s="386" t="inlineStr">
        <is>
          <t>Báo cáo chứng quyền có đảm bảo &gt;&gt; Báo cáo phòng ngừa rủi ro và số lượng chứng quyền có bảo đảm phát hành - VII.3</t>
        </is>
      </c>
      <c r="D777" s="386" t="inlineStr">
        <is>
          <t>Người đại diện theo pháp luật (Đăng ký với UBCKNN)</t>
        </is>
      </c>
      <c r="E777" s="386" t="inlineStr">
        <is>
          <t>Người đại diện theo pháp luật (Đăng ký với UBCKNN)</t>
        </is>
      </c>
      <c r="F777" s="386" t="inlineStr">
        <is>
          <t>Data Explorer</t>
        </is>
      </c>
      <c r="G777" s="386" t="inlineStr">
        <is>
          <t>Chỉ tiêu cơ sở</t>
        </is>
      </c>
      <c r="H777" s="386" t="inlineStr">
        <is>
          <t>Trùng</t>
        </is>
      </c>
      <c r="I777" s="386" t="inlineStr">
        <is>
          <t>Ngày, CTCK</t>
        </is>
      </c>
      <c r="J777" s="395" t="inlineStr">
        <is>
          <t>SCMS</t>
        </is>
      </c>
      <c r="K777" s="395" t="n"/>
      <c r="L777" s="395" t="inlineStr">
        <is>
          <t>X</t>
        </is>
      </c>
      <c r="M777" s="395" t="n"/>
      <c r="N777" s="395" t="inlineStr">
        <is>
          <t>Done</t>
        </is>
      </c>
      <c r="O777" s="401" t="n"/>
      <c r="P777" s="395" t="n"/>
      <c r="S777" s="397" t="n"/>
      <c r="U777" s="386" t="n"/>
      <c r="V777" s="395" t="n"/>
      <c r="W777" s="395" t="n"/>
      <c r="X777" s="395" t="n"/>
      <c r="Y777" s="395" t="n"/>
      <c r="Z777" s="395" t="n"/>
      <c r="AA777" s="395" t="n"/>
      <c r="AB777" s="395" t="n"/>
      <c r="AC777" s="395" t="n"/>
      <c r="AD777" s="395" t="n"/>
      <c r="AE777" s="395" t="n"/>
    </row>
    <row r="778" ht="70" customHeight="1" s="380">
      <c r="A778" s="112" t="n">
        <v>51</v>
      </c>
      <c r="B778" s="386" t="n"/>
      <c r="C778" s="386" t="inlineStr">
        <is>
          <t>Báo cáo chứng quyền có đảm bảo &gt;&gt; Báo cáo phòng ngừa rủi ro và số lượng chứng quyền có bảo đảm phát hành - VII.3</t>
        </is>
      </c>
      <c r="D778" s="386" t="inlineStr">
        <is>
          <t>Chức vụ của Người đại diện theo pháp luật</t>
        </is>
      </c>
      <c r="E778" s="395" t="inlineStr">
        <is>
          <t>Chức vụ của Người đại diện theo pháp luật</t>
        </is>
      </c>
      <c r="F778" s="386" t="inlineStr">
        <is>
          <t>Data Explorer</t>
        </is>
      </c>
      <c r="G778" s="386" t="inlineStr">
        <is>
          <t>Chỉ tiêu cơ sở</t>
        </is>
      </c>
      <c r="H778" s="386" t="inlineStr">
        <is>
          <t>Trùng</t>
        </is>
      </c>
      <c r="I778" s="386" t="inlineStr">
        <is>
          <t>Ngày, CTCK</t>
        </is>
      </c>
      <c r="J778" s="395" t="inlineStr">
        <is>
          <t>SCMS</t>
        </is>
      </c>
      <c r="K778" s="395" t="n"/>
      <c r="L778" s="395" t="inlineStr">
        <is>
          <t>X</t>
        </is>
      </c>
      <c r="M778" s="395" t="n"/>
      <c r="N778" s="395" t="inlineStr">
        <is>
          <t>Done</t>
        </is>
      </c>
      <c r="O778" s="401" t="n"/>
      <c r="P778" s="395" t="n"/>
      <c r="S778" s="397" t="n"/>
      <c r="U778" s="386" t="n"/>
      <c r="V778" s="395" t="n"/>
      <c r="W778" s="395" t="n"/>
      <c r="X778" s="395" t="n"/>
      <c r="Y778" s="395" t="n"/>
      <c r="Z778" s="395" t="n"/>
      <c r="AA778" s="395" t="n"/>
      <c r="AB778" s="395" t="n"/>
      <c r="AC778" s="395" t="n"/>
      <c r="AD778" s="395" t="n"/>
      <c r="AE778" s="395" t="n"/>
    </row>
    <row r="779" ht="70" customHeight="1" s="380">
      <c r="A779" s="112" t="n">
        <v>51</v>
      </c>
      <c r="B779" s="386" t="n"/>
      <c r="C779" s="386" t="inlineStr">
        <is>
          <t>Báo cáo chứng quyền có đảm bảo &gt;&gt; Báo cáo phòng ngừa rủi ro và số lượng chứng quyền có bảo đảm phát hành - VII.3</t>
        </is>
      </c>
      <c r="D779" s="386" t="inlineStr">
        <is>
          <t>Ngày báo cáo</t>
        </is>
      </c>
      <c r="E779" s="395" t="inlineStr">
        <is>
          <t>Ngày báo cáo</t>
        </is>
      </c>
      <c r="F779" s="386" t="inlineStr">
        <is>
          <t>Data Explorer</t>
        </is>
      </c>
      <c r="G779" s="386" t="inlineStr">
        <is>
          <t>Chỉ tiêu cơ sở</t>
        </is>
      </c>
      <c r="H779" s="386" t="inlineStr">
        <is>
          <t>Trùng</t>
        </is>
      </c>
      <c r="I779" s="386" t="inlineStr">
        <is>
          <t>Ngày, CTCK</t>
        </is>
      </c>
      <c r="J779" s="395" t="inlineStr">
        <is>
          <t>SCMS</t>
        </is>
      </c>
      <c r="K779" s="395" t="n"/>
      <c r="L779" s="395" t="inlineStr">
        <is>
          <t>X</t>
        </is>
      </c>
      <c r="M779" s="395" t="n"/>
      <c r="N779" s="395" t="inlineStr">
        <is>
          <t>Done</t>
        </is>
      </c>
      <c r="O779" s="401" t="n"/>
      <c r="P779" s="395" t="n"/>
      <c r="S779" s="397" t="n"/>
      <c r="U779" s="386" t="n"/>
      <c r="V779" s="395" t="n"/>
      <c r="W779" s="395" t="n"/>
      <c r="X779" s="395" t="n"/>
      <c r="Y779" s="395" t="n"/>
      <c r="Z779" s="395" t="n"/>
      <c r="AA779" s="395" t="n"/>
      <c r="AB779" s="395" t="n"/>
      <c r="AC779" s="395" t="n"/>
      <c r="AD779" s="395" t="n"/>
      <c r="AE779" s="395" t="n"/>
    </row>
    <row r="780" ht="70" customHeight="1" s="380">
      <c r="A780" s="112" t="n">
        <v>51</v>
      </c>
      <c r="B780" s="386" t="n"/>
      <c r="C780" s="386" t="inlineStr">
        <is>
          <t>Báo cáo chứng quyền có đảm bảo &gt;&gt; Báo cáo phòng ngừa rủi ro và số lượng chứng quyền có bảo đảm phát hành - VII.3</t>
        </is>
      </c>
      <c r="D780" s="386" t="inlineStr">
        <is>
          <t>Mã cổ phiếu cơ sở</t>
        </is>
      </c>
      <c r="E780" s="395" t="inlineStr">
        <is>
          <t>Mã cổ phiếu cơ sở</t>
        </is>
      </c>
      <c r="F780" s="386" t="inlineStr">
        <is>
          <t>Data Explorer</t>
        </is>
      </c>
      <c r="G780" s="386" t="inlineStr">
        <is>
          <t>Chỉ tiêu cơ sở</t>
        </is>
      </c>
      <c r="H780" s="386" t="inlineStr">
        <is>
          <t>TB</t>
        </is>
      </c>
      <c r="I780" s="386" t="inlineStr">
        <is>
          <t>Ngày, CTCK</t>
        </is>
      </c>
      <c r="J780" s="395" t="inlineStr">
        <is>
          <t>SCMS</t>
        </is>
      </c>
      <c r="K780" s="395" t="n"/>
      <c r="L780" s="395" t="inlineStr">
        <is>
          <t>X</t>
        </is>
      </c>
      <c r="M780" s="395" t="n"/>
      <c r="N780" s="395" t="inlineStr">
        <is>
          <t>Done</t>
        </is>
      </c>
      <c r="O780" s="401" t="n"/>
      <c r="P780" s="395" t="n"/>
      <c r="S780" s="397" t="n"/>
      <c r="U780" s="386" t="n"/>
      <c r="V780" s="395" t="n"/>
      <c r="W780" s="395" t="n"/>
      <c r="X780" s="395" t="n"/>
      <c r="Y780" s="395" t="n"/>
      <c r="Z780" s="395" t="n"/>
      <c r="AA780" s="395" t="n"/>
      <c r="AB780" s="395" t="n"/>
      <c r="AC780" s="395" t="n"/>
      <c r="AD780" s="395" t="n"/>
      <c r="AE780" s="395" t="n"/>
    </row>
    <row r="781" ht="70" customHeight="1" s="380">
      <c r="A781" s="112" t="n">
        <v>51</v>
      </c>
      <c r="B781" s="386" t="n"/>
      <c r="C781" s="386" t="inlineStr">
        <is>
          <t>Báo cáo chứng quyền có đảm bảo &gt;&gt; Báo cáo phòng ngừa rủi ro và số lượng chứng quyền có bảo đảm phát hành - VII.3</t>
        </is>
      </c>
      <c r="D781" s="386" t="inlineStr">
        <is>
          <t>Số lượng cổ phiếu dư đầu ngày</t>
        </is>
      </c>
      <c r="E781" s="395" t="inlineStr">
        <is>
          <t>Số lượng cổ phiếu dư đầu ngày</t>
        </is>
      </c>
      <c r="F781" s="386" t="inlineStr">
        <is>
          <t>Data Explorer</t>
        </is>
      </c>
      <c r="G781" s="386" t="inlineStr">
        <is>
          <t>Chỉ tiêu cơ sở</t>
        </is>
      </c>
      <c r="H781" s="386" t="inlineStr">
        <is>
          <t>TB</t>
        </is>
      </c>
      <c r="I781" s="386" t="inlineStr">
        <is>
          <t>Ngày, CTCK</t>
        </is>
      </c>
      <c r="J781" s="395" t="inlineStr">
        <is>
          <t>SCMS</t>
        </is>
      </c>
      <c r="K781" s="395" t="n"/>
      <c r="L781" s="395" t="inlineStr">
        <is>
          <t>X</t>
        </is>
      </c>
      <c r="M781" s="395" t="n"/>
      <c r="N781" s="395" t="inlineStr">
        <is>
          <t>Done</t>
        </is>
      </c>
      <c r="O781" s="401" t="n"/>
      <c r="P781" s="395" t="n"/>
      <c r="S781" s="397" t="n"/>
      <c r="U781" s="386" t="n"/>
      <c r="V781" s="395" t="n"/>
      <c r="W781" s="395" t="n"/>
      <c r="X781" s="395" t="n"/>
      <c r="Y781" s="395" t="n"/>
      <c r="Z781" s="395" t="n"/>
      <c r="AA781" s="395" t="n"/>
      <c r="AB781" s="395" t="n"/>
      <c r="AC781" s="395" t="n"/>
      <c r="AD781" s="395" t="n"/>
      <c r="AE781" s="395" t="n"/>
    </row>
    <row r="782" ht="70" customHeight="1" s="380">
      <c r="A782" s="112" t="n">
        <v>51</v>
      </c>
      <c r="B782" s="386" t="n"/>
      <c r="C782" s="386" t="inlineStr">
        <is>
          <t>Báo cáo chứng quyền có đảm bảo &gt;&gt; Báo cáo phòng ngừa rủi ro và số lượng chứng quyền có bảo đảm phát hành - VII.3</t>
        </is>
      </c>
      <c r="D782" s="386" t="inlineStr">
        <is>
          <t>Số lượng cổ phiếu giao dịch trong ngày &gt;&gt; Mua</t>
        </is>
      </c>
      <c r="E782" s="386" t="inlineStr">
        <is>
          <t>Số lượng cổ phiếu giao dịch trong ngày &gt;&gt; Mua</t>
        </is>
      </c>
      <c r="F782" s="386" t="inlineStr">
        <is>
          <t>Data Explorer</t>
        </is>
      </c>
      <c r="G782" s="386" t="inlineStr">
        <is>
          <t>Chỉ tiêu cơ sở</t>
        </is>
      </c>
      <c r="H782" s="386" t="inlineStr">
        <is>
          <t>TB</t>
        </is>
      </c>
      <c r="I782" s="386" t="inlineStr">
        <is>
          <t>Ngày, CTCK</t>
        </is>
      </c>
      <c r="J782" s="395" t="inlineStr">
        <is>
          <t>SCMS</t>
        </is>
      </c>
      <c r="K782" s="395" t="n"/>
      <c r="L782" s="395" t="inlineStr">
        <is>
          <t>X</t>
        </is>
      </c>
      <c r="M782" s="395" t="n"/>
      <c r="N782" s="395" t="inlineStr">
        <is>
          <t>Done</t>
        </is>
      </c>
      <c r="O782" s="401" t="n"/>
      <c r="P782" s="395" t="n"/>
      <c r="S782" s="397" t="n"/>
      <c r="U782" s="386" t="n"/>
      <c r="V782" s="395" t="n"/>
      <c r="W782" s="395" t="n"/>
      <c r="X782" s="395" t="n"/>
      <c r="Y782" s="395" t="n"/>
      <c r="Z782" s="395" t="n"/>
      <c r="AA782" s="395" t="n"/>
      <c r="AB782" s="395" t="n"/>
      <c r="AC782" s="395" t="n"/>
      <c r="AD782" s="395" t="n"/>
      <c r="AE782" s="395" t="n"/>
    </row>
    <row r="783" ht="70" customHeight="1" s="380">
      <c r="A783" s="112" t="n">
        <v>51</v>
      </c>
      <c r="B783" s="386" t="n"/>
      <c r="C783" s="386" t="inlineStr">
        <is>
          <t>Báo cáo chứng quyền có đảm bảo &gt;&gt; Báo cáo phòng ngừa rủi ro và số lượng chứng quyền có bảo đảm phát hành - VII.3</t>
        </is>
      </c>
      <c r="D783" s="386" t="inlineStr">
        <is>
          <t>Số lượng cổ phiếu giao dịch trong ngày &gt;&gt; Bán</t>
        </is>
      </c>
      <c r="E783" s="386" t="inlineStr">
        <is>
          <t>Số lượng cổ phiếu giao dịch trong ngày &gt;&gt; Bán</t>
        </is>
      </c>
      <c r="F783" s="386" t="inlineStr">
        <is>
          <t>Data Explorer</t>
        </is>
      </c>
      <c r="G783" s="386" t="inlineStr">
        <is>
          <t>Chỉ tiêu cơ sở</t>
        </is>
      </c>
      <c r="H783" s="386" t="inlineStr">
        <is>
          <t>TB</t>
        </is>
      </c>
      <c r="I783" s="386" t="inlineStr">
        <is>
          <t>Ngày, CTCK</t>
        </is>
      </c>
      <c r="J783" s="395" t="inlineStr">
        <is>
          <t>SCMS</t>
        </is>
      </c>
      <c r="K783" s="395" t="n"/>
      <c r="L783" s="395" t="inlineStr">
        <is>
          <t>X</t>
        </is>
      </c>
      <c r="M783" s="395" t="n"/>
      <c r="N783" s="395" t="inlineStr">
        <is>
          <t>Done</t>
        </is>
      </c>
      <c r="O783" s="401" t="n"/>
      <c r="P783" s="395" t="n"/>
      <c r="S783" s="397" t="n"/>
      <c r="U783" s="386" t="n"/>
      <c r="V783" s="395" t="n"/>
      <c r="W783" s="395" t="n"/>
      <c r="X783" s="395" t="n"/>
      <c r="Y783" s="395" t="n"/>
      <c r="Z783" s="395" t="n"/>
      <c r="AA783" s="395" t="n"/>
      <c r="AB783" s="395" t="n"/>
      <c r="AC783" s="395" t="n"/>
      <c r="AD783" s="395" t="n"/>
      <c r="AE783" s="395" t="n"/>
    </row>
    <row r="784" ht="70" customHeight="1" s="380">
      <c r="A784" s="112" t="n">
        <v>51</v>
      </c>
      <c r="B784" s="386" t="n"/>
      <c r="C784" s="386" t="inlineStr">
        <is>
          <t>Báo cáo chứng quyền có đảm bảo &gt;&gt; Báo cáo phòng ngừa rủi ro và số lượng chứng quyền có bảo đảm phát hành - VII.3</t>
        </is>
      </c>
      <c r="D784" s="386" t="inlineStr">
        <is>
          <t>Số lượng cổ phiếu cuối ngày</t>
        </is>
      </c>
      <c r="E784" s="395" t="inlineStr">
        <is>
          <t>Số lượng cổ phiếu cuối ngày</t>
        </is>
      </c>
      <c r="F784" s="386" t="inlineStr">
        <is>
          <t>Data Explorer</t>
        </is>
      </c>
      <c r="G784" s="386" t="inlineStr">
        <is>
          <t>Chỉ tiêu cơ sở</t>
        </is>
      </c>
      <c r="H784" s="386" t="inlineStr">
        <is>
          <t>TB</t>
        </is>
      </c>
      <c r="I784" s="386" t="inlineStr">
        <is>
          <t>Ngày, CTCK</t>
        </is>
      </c>
      <c r="J784" s="395" t="inlineStr">
        <is>
          <t>SCMS</t>
        </is>
      </c>
      <c r="K784" s="395" t="n"/>
      <c r="L784" s="395" t="inlineStr">
        <is>
          <t>X</t>
        </is>
      </c>
      <c r="M784" s="395" t="n"/>
      <c r="N784" s="395" t="inlineStr">
        <is>
          <t>Done</t>
        </is>
      </c>
      <c r="O784" s="401" t="n"/>
      <c r="P784" s="395" t="n"/>
      <c r="S784" s="397" t="n"/>
      <c r="U784" s="386" t="n"/>
      <c r="V784" s="395" t="n"/>
      <c r="W784" s="395" t="n"/>
      <c r="X784" s="395" t="n"/>
      <c r="Y784" s="395" t="n"/>
      <c r="Z784" s="395" t="n"/>
      <c r="AA784" s="395" t="n"/>
      <c r="AB784" s="395" t="n"/>
      <c r="AC784" s="395" t="n"/>
      <c r="AD784" s="395" t="n"/>
      <c r="AE784" s="395" t="n"/>
    </row>
    <row r="785" ht="70" customHeight="1" s="380">
      <c r="A785" s="113" t="n">
        <v>51</v>
      </c>
      <c r="B785" s="68" t="n"/>
      <c r="C785" s="68" t="inlineStr">
        <is>
          <t>Báo cáo chứng quyền có đảm bảo &gt;&gt; Báo cáo phòng ngừa rủi ro và số lượng chứng quyền có bảo đảm phát hành - VII.3</t>
        </is>
      </c>
      <c r="D785" s="68" t="inlineStr">
        <is>
          <t>Tỷ lệ nắm giữ/cổ phiếu lưu hành</t>
        </is>
      </c>
      <c r="E785" s="69" t="inlineStr">
        <is>
          <t>Tỷ lệ nắm giữ/cổ phiếu lưu hành</t>
        </is>
      </c>
      <c r="F785" s="68" t="inlineStr">
        <is>
          <t>Data Explorer</t>
        </is>
      </c>
      <c r="G785" s="68" t="inlineStr">
        <is>
          <t>Chỉ tiêu cơ sở</t>
        </is>
      </c>
      <c r="H785" s="68" t="inlineStr">
        <is>
          <t>TB</t>
        </is>
      </c>
      <c r="I785" s="68" t="inlineStr">
        <is>
          <t>Ngày, CTCK</t>
        </is>
      </c>
      <c r="J785" s="69" t="inlineStr">
        <is>
          <t>SCMS</t>
        </is>
      </c>
      <c r="K785" s="69" t="n"/>
      <c r="L785" s="69" t="inlineStr">
        <is>
          <t>X</t>
        </is>
      </c>
      <c r="M785" s="69" t="n"/>
      <c r="N785" s="69" t="inlineStr">
        <is>
          <t>Done</t>
        </is>
      </c>
      <c r="O785" s="85" t="n"/>
      <c r="P785" s="69" t="n"/>
      <c r="Q785" s="426" t="n"/>
      <c r="R785" s="426" t="n"/>
      <c r="S785" s="86" t="n"/>
      <c r="T785" s="426" t="n"/>
      <c r="U785" s="68" t="n"/>
      <c r="V785" s="69" t="n"/>
      <c r="W785" s="69" t="n"/>
      <c r="X785" s="69" t="n"/>
      <c r="Y785" s="69" t="n"/>
      <c r="Z785" s="69" t="n"/>
      <c r="AA785" s="69" t="n"/>
      <c r="AB785" s="69" t="n"/>
      <c r="AC785" s="69" t="n"/>
      <c r="AD785" s="69" t="n"/>
      <c r="AE785" s="69" t="n"/>
    </row>
    <row r="786" ht="56" customHeight="1" s="380">
      <c r="A786" s="112" t="n">
        <v>52</v>
      </c>
      <c r="B786" s="81" t="n"/>
      <c r="C786" s="81" t="inlineStr">
        <is>
          <t>Báo cáo chứng quyền có đảm bảo &gt;&gt; Báo cáo hoạt động chứng quyền có bảo đảm - VIII.1</t>
        </is>
      </c>
      <c r="D786" s="106" t="inlineStr">
        <is>
          <t>Loại báo cáo</t>
        </is>
      </c>
      <c r="E786" s="107" t="inlineStr">
        <is>
          <t>Loại báo cáo</t>
        </is>
      </c>
      <c r="F786" s="390" t="inlineStr">
        <is>
          <t>Data Explorer</t>
        </is>
      </c>
      <c r="G786" s="390" t="inlineStr">
        <is>
          <t>Chiều</t>
        </is>
      </c>
      <c r="H786" s="390" t="inlineStr">
        <is>
          <t>Dễ</t>
        </is>
      </c>
      <c r="I786" s="390" t="inlineStr">
        <is>
          <t>Ngày, CTCK</t>
        </is>
      </c>
      <c r="J786" s="401" t="inlineStr">
        <is>
          <t>SCMS</t>
        </is>
      </c>
      <c r="K786" s="401" t="inlineStr">
        <is>
          <t>X</t>
        </is>
      </c>
      <c r="L786" s="395" t="inlineStr">
        <is>
          <t>X</t>
        </is>
      </c>
      <c r="M786" s="401" t="n"/>
      <c r="N786" s="395" t="inlineStr">
        <is>
          <t>Done</t>
        </is>
      </c>
      <c r="O786" s="401" t="n"/>
      <c r="P786" s="395" t="n"/>
      <c r="Q786" s="404" t="inlineStr">
        <is>
          <t>SCMS.BM_BAO_CAO
SCMS.BM_BAO_CAO_DINH_KY</t>
        </is>
      </c>
      <c r="R786" s="404" t="inlineStr">
        <is>
          <t>bm.ID,
bm.MA_BAO_CAO,
bm.LOAI_BAO_CAO,
bm.TEN_BAO_CAO,
bm.SU_DUNG,
bdk.BM_BAO_CAO_ID,
bdk.KY_BAO_CAO,
bdk.SU_DUNG</t>
        </is>
      </c>
      <c r="S786" s="395" t="n"/>
      <c r="T786" s="384" t="inlineStr">
        <is>
          <t>-- Loại BC / Kỳ BC / Mã BC / Tên BC (chiều DWH – dùng chung)
-- MA_BAO_CAO: CQCDB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 'CQCDB'
        AND bm.SU_DUNG = 1
ORDER BY bdk.KY_BAO_CAO;</t>
        </is>
      </c>
      <c r="U786" s="386" t="n"/>
      <c r="V786" s="395" t="n"/>
      <c r="W786" s="395" t="n"/>
      <c r="X786" s="395" t="n"/>
      <c r="Y786" s="395" t="n"/>
      <c r="Z786" s="395" t="n"/>
      <c r="AA786" s="395" t="n"/>
      <c r="AB786" s="395" t="n"/>
      <c r="AC786" s="395" t="n"/>
      <c r="AD786" s="395" t="n"/>
      <c r="AE786" s="395" t="n"/>
    </row>
    <row r="787" ht="56" customHeight="1" s="380">
      <c r="A787" s="112" t="n">
        <v>52</v>
      </c>
      <c r="B787" s="386" t="n"/>
      <c r="C787" s="386" t="inlineStr">
        <is>
          <t>Báo cáo chứng quyền có đảm bảo &gt;&gt; Báo cáo hoạt động chứng quyền có bảo đảm - VIII.1</t>
        </is>
      </c>
      <c r="D787" s="106" t="inlineStr">
        <is>
          <t>Kỳ báo cáo</t>
        </is>
      </c>
      <c r="E787" s="107" t="inlineStr">
        <is>
          <t>Kỳ báo cáo</t>
        </is>
      </c>
      <c r="F787" s="390" t="inlineStr">
        <is>
          <t>Data Explorer</t>
        </is>
      </c>
      <c r="G787" s="390" t="inlineStr">
        <is>
          <t>Chiều</t>
        </is>
      </c>
      <c r="H787" s="390" t="inlineStr">
        <is>
          <t>Dễ</t>
        </is>
      </c>
      <c r="I787" s="390" t="inlineStr">
        <is>
          <t>Ngày, CTCK</t>
        </is>
      </c>
      <c r="J787" s="401" t="inlineStr">
        <is>
          <t>SCMS</t>
        </is>
      </c>
      <c r="K787" s="401" t="inlineStr">
        <is>
          <t>X</t>
        </is>
      </c>
      <c r="L787" s="395" t="inlineStr">
        <is>
          <t>X</t>
        </is>
      </c>
      <c r="M787" s="401" t="n"/>
      <c r="N787" s="395" t="inlineStr">
        <is>
          <t>Done</t>
        </is>
      </c>
      <c r="O787" s="401" t="n"/>
      <c r="P787" s="395" t="n"/>
      <c r="S787" s="395" t="n"/>
      <c r="U787" s="386" t="n"/>
      <c r="V787" s="395" t="n"/>
      <c r="W787" s="395" t="n"/>
      <c r="X787" s="395" t="n"/>
      <c r="Y787" s="395" t="n"/>
      <c r="Z787" s="395" t="n"/>
      <c r="AA787" s="395" t="n"/>
      <c r="AB787" s="395" t="n"/>
      <c r="AC787" s="395" t="n"/>
      <c r="AD787" s="395" t="n"/>
      <c r="AE787" s="395" t="n"/>
    </row>
    <row r="788" ht="56" customHeight="1" s="380">
      <c r="A788" s="112" t="n">
        <v>52</v>
      </c>
      <c r="B788" s="386" t="n"/>
      <c r="C788" s="386" t="inlineStr">
        <is>
          <t>Báo cáo chứng quyền có đảm bảo &gt;&gt; Báo cáo hoạt động chứng quyền có bảo đảm - VIII.1</t>
        </is>
      </c>
      <c r="D788" s="106" t="inlineStr">
        <is>
          <t>Mã báo cáo</t>
        </is>
      </c>
      <c r="E788" s="107" t="inlineStr">
        <is>
          <t>Mã báo cáo</t>
        </is>
      </c>
      <c r="F788" s="390" t="inlineStr">
        <is>
          <t>Data Explorer</t>
        </is>
      </c>
      <c r="G788" s="390" t="inlineStr">
        <is>
          <t>Chiều</t>
        </is>
      </c>
      <c r="H788" s="390" t="inlineStr">
        <is>
          <t>Dễ</t>
        </is>
      </c>
      <c r="I788" s="390" t="inlineStr">
        <is>
          <t>Ngày, CTCK</t>
        </is>
      </c>
      <c r="J788" s="401" t="inlineStr">
        <is>
          <t>SCMS</t>
        </is>
      </c>
      <c r="K788" s="401" t="inlineStr">
        <is>
          <t>X</t>
        </is>
      </c>
      <c r="L788" s="395" t="inlineStr">
        <is>
          <t>X</t>
        </is>
      </c>
      <c r="M788" s="401" t="n"/>
      <c r="N788" s="395" t="inlineStr">
        <is>
          <t>Done</t>
        </is>
      </c>
      <c r="O788" s="401" t="n"/>
      <c r="P788" s="395" t="n"/>
      <c r="S788" s="395" t="n"/>
      <c r="U788" s="386" t="n"/>
      <c r="V788" s="395" t="n"/>
      <c r="W788" s="395" t="n"/>
      <c r="X788" s="395" t="n"/>
      <c r="Y788" s="395" t="n"/>
      <c r="Z788" s="395" t="n"/>
      <c r="AA788" s="395" t="n"/>
      <c r="AB788" s="395" t="n"/>
      <c r="AC788" s="395" t="n"/>
      <c r="AD788" s="395" t="n"/>
      <c r="AE788" s="395" t="n"/>
    </row>
    <row r="789" ht="56" customHeight="1" s="380">
      <c r="A789" s="112" t="n">
        <v>52</v>
      </c>
      <c r="B789" s="386" t="n"/>
      <c r="C789" s="386" t="inlineStr">
        <is>
          <t>Báo cáo chứng quyền có đảm bảo &gt;&gt; Báo cáo hoạt động chứng quyền có bảo đảm - VIII.1</t>
        </is>
      </c>
      <c r="D789" s="106" t="inlineStr">
        <is>
          <t>Tên báo cáo</t>
        </is>
      </c>
      <c r="E789" s="107" t="inlineStr">
        <is>
          <t>Tên báo cáo</t>
        </is>
      </c>
      <c r="F789" s="390" t="inlineStr">
        <is>
          <t>Data Explorer</t>
        </is>
      </c>
      <c r="G789" s="390" t="inlineStr">
        <is>
          <t>Chiều</t>
        </is>
      </c>
      <c r="H789" s="390" t="inlineStr">
        <is>
          <t>Dễ</t>
        </is>
      </c>
      <c r="I789" s="390" t="inlineStr">
        <is>
          <t>Ngày, CTCK</t>
        </is>
      </c>
      <c r="J789" s="401" t="inlineStr">
        <is>
          <t>SCMS</t>
        </is>
      </c>
      <c r="K789" s="401" t="inlineStr">
        <is>
          <t>X</t>
        </is>
      </c>
      <c r="L789" s="395" t="inlineStr">
        <is>
          <t>X</t>
        </is>
      </c>
      <c r="M789" s="401" t="n"/>
      <c r="N789" s="395" t="inlineStr">
        <is>
          <t>Done</t>
        </is>
      </c>
      <c r="O789" s="401" t="n"/>
      <c r="P789" s="395" t="n"/>
      <c r="S789" s="395" t="n"/>
      <c r="U789" s="386" t="n"/>
      <c r="V789" s="395" t="n"/>
      <c r="W789" s="395" t="n"/>
      <c r="X789" s="395" t="n"/>
      <c r="Y789" s="395" t="n"/>
      <c r="Z789" s="395" t="n"/>
      <c r="AA789" s="395" t="n"/>
      <c r="AB789" s="395" t="n"/>
      <c r="AC789" s="395" t="n"/>
      <c r="AD789" s="395" t="n"/>
      <c r="AE789" s="395" t="n"/>
    </row>
    <row r="790" ht="56" customHeight="1" s="380">
      <c r="A790" s="112" t="n">
        <v>52</v>
      </c>
      <c r="B790" s="386" t="n"/>
      <c r="C790" s="386" t="inlineStr">
        <is>
          <t>Báo cáo chứng quyền có đảm bảo &gt;&gt; Báo cáo hoạt động chứng quyền có bảo đảm - VIII.1</t>
        </is>
      </c>
      <c r="D790" s="106" t="inlineStr">
        <is>
          <t>Mã sheet</t>
        </is>
      </c>
      <c r="E790" s="106" t="inlineStr">
        <is>
          <t>Mã sheet</t>
        </is>
      </c>
      <c r="F790" s="390" t="inlineStr">
        <is>
          <t>Data Explorer</t>
        </is>
      </c>
      <c r="G790" s="390" t="inlineStr">
        <is>
          <t>Chiều</t>
        </is>
      </c>
      <c r="H790" s="390" t="inlineStr">
        <is>
          <t>Dễ</t>
        </is>
      </c>
      <c r="I790" s="390" t="inlineStr">
        <is>
          <t>Ngày, CTCK</t>
        </is>
      </c>
      <c r="J790" s="401" t="inlineStr">
        <is>
          <t>SCMS</t>
        </is>
      </c>
      <c r="K790" s="401" t="inlineStr">
        <is>
          <t>X</t>
        </is>
      </c>
      <c r="L790" s="395" t="inlineStr">
        <is>
          <t>X</t>
        </is>
      </c>
      <c r="M790" s="401" t="n"/>
      <c r="N790" s="395" t="inlineStr">
        <is>
          <t>Done</t>
        </is>
      </c>
      <c r="O790" s="401" t="n"/>
      <c r="P790" s="395" t="n"/>
      <c r="Q790" s="401" t="inlineStr">
        <is>
          <t>SCMS.BM_BAO_CAO
SCMS.BM_SHEET</t>
        </is>
      </c>
      <c r="R790" s="401" t="inlineStr">
        <is>
          <t>bm.ID,
bm.MA_BAO_CAO,
bm.SU_DUNG,
s.BM_BAO_CAO_ID,
s.MA_SHEET,
s.TEN_SHEET,
s.SAP_XEP</t>
        </is>
      </c>
      <c r="S790" s="395" t="n"/>
      <c r="T790" s="384" t="inlineStr">
        <is>
          <t>-- Mã sheet / Tên sheet
-- MA_SHEET: VIII.1
SELECT bm.MA_BAO_CAO,
s.MA_SHEET,
s.TEN_SHEET
FROM SCMS.BM_BAO_CAO bm
JOIN SCMS.BM_SHEET s ON s.BM_BAO_CAO_ID = bm.ID
WHERE bm.MA_BAO_CAO = 'CQCDB'
AND s.MA_SHEET = 'VIII.1'  -- Check lại data chuẩn
AND bm.SU_DUNG = 1
ORDER BY bm.MA_BAO_CAO, s.SAP_XEP;</t>
        </is>
      </c>
      <c r="U790" s="386" t="n"/>
      <c r="V790" s="395" t="n"/>
      <c r="W790" s="395" t="n"/>
      <c r="X790" s="395" t="n"/>
      <c r="Y790" s="395" t="n"/>
      <c r="Z790" s="395" t="n"/>
      <c r="AA790" s="395" t="n"/>
      <c r="AB790" s="395" t="n"/>
      <c r="AC790" s="395" t="n"/>
      <c r="AD790" s="395" t="n"/>
      <c r="AE790" s="395" t="n"/>
    </row>
    <row r="791" ht="56" customHeight="1" s="380">
      <c r="A791" s="112" t="n">
        <v>52</v>
      </c>
      <c r="B791" s="386" t="n"/>
      <c r="C791" s="386" t="inlineStr">
        <is>
          <t>Báo cáo chứng quyền có đảm bảo &gt;&gt; Báo cáo hoạt động chứng quyền có bảo đảm - VIII.1</t>
        </is>
      </c>
      <c r="D791" s="106" t="inlineStr">
        <is>
          <t>Tên sheet</t>
        </is>
      </c>
      <c r="E791" s="106" t="inlineStr">
        <is>
          <t>Tên sheet</t>
        </is>
      </c>
      <c r="F791" s="390" t="inlineStr">
        <is>
          <t>Data Explorer</t>
        </is>
      </c>
      <c r="G791" s="390" t="inlineStr">
        <is>
          <t>Chiều</t>
        </is>
      </c>
      <c r="H791" s="390" t="inlineStr">
        <is>
          <t>Dễ</t>
        </is>
      </c>
      <c r="I791" s="390" t="inlineStr">
        <is>
          <t>Ngày, CTCK</t>
        </is>
      </c>
      <c r="J791" s="401" t="inlineStr">
        <is>
          <t>SCMS</t>
        </is>
      </c>
      <c r="K791" s="401" t="inlineStr">
        <is>
          <t>X</t>
        </is>
      </c>
      <c r="L791" s="395" t="inlineStr">
        <is>
          <t>X</t>
        </is>
      </c>
      <c r="M791" s="401" t="n"/>
      <c r="N791" s="395" t="inlineStr">
        <is>
          <t>Done</t>
        </is>
      </c>
      <c r="O791" s="401" t="n"/>
      <c r="P791" s="395" t="n"/>
      <c r="S791" s="395" t="n"/>
      <c r="U791" s="386" t="n"/>
      <c r="V791" s="395" t="n"/>
      <c r="W791" s="395" t="n"/>
      <c r="X791" s="395" t="n"/>
      <c r="Y791" s="395" t="n"/>
      <c r="Z791" s="395" t="n"/>
      <c r="AA791" s="395" t="n"/>
      <c r="AB791" s="395" t="n"/>
      <c r="AC791" s="395" t="n"/>
      <c r="AD791" s="395" t="n"/>
      <c r="AE791" s="395" t="n"/>
    </row>
    <row r="792" ht="56" customHeight="1" s="380">
      <c r="A792" s="112" t="n">
        <v>52</v>
      </c>
      <c r="B792" s="386" t="n"/>
      <c r="C792" s="386" t="inlineStr">
        <is>
          <t>Báo cáo chứng quyền có đảm bảo &gt;&gt; Báo cáo hoạt động chứng quyền có bảo đảm - VIII.1</t>
        </is>
      </c>
      <c r="D792" s="106" t="inlineStr">
        <is>
          <t>Mã chỉ tiêu</t>
        </is>
      </c>
      <c r="E792" s="107" t="inlineStr">
        <is>
          <t>Mã chỉ tiêu</t>
        </is>
      </c>
      <c r="F792" s="390" t="inlineStr">
        <is>
          <t>Data Explorer</t>
        </is>
      </c>
      <c r="G792" s="390" t="inlineStr">
        <is>
          <t>Chiều</t>
        </is>
      </c>
      <c r="H792" s="390" t="inlineStr">
        <is>
          <t>Dễ</t>
        </is>
      </c>
      <c r="I792" s="390" t="inlineStr">
        <is>
          <t>Ngày, CTCK</t>
        </is>
      </c>
      <c r="J792" s="401" t="inlineStr">
        <is>
          <t>SCMS</t>
        </is>
      </c>
      <c r="K792" s="401" t="inlineStr">
        <is>
          <t>X</t>
        </is>
      </c>
      <c r="L792" s="395" t="inlineStr">
        <is>
          <t>X</t>
        </is>
      </c>
      <c r="M792" s="401" t="n"/>
      <c r="N792" s="395" t="inlineStr">
        <is>
          <t>Done</t>
        </is>
      </c>
      <c r="O792" s="401" t="n"/>
      <c r="P792" s="395" t="n"/>
      <c r="Q792" s="401" t="inlineStr">
        <is>
          <t>SCMS.BM_BAO_CAO
SCMS.BM_SHEET
SCMS.BM_BAO_CAO_CT
SCMS.DM_CHI_TIEU</t>
        </is>
      </c>
      <c r="R792" s="402" t="inlineStr">
        <is>
          <t>dct.ID,
dct.MA_CHI_TIEU,
dct.TEN_CHI_TIEU,
dct.SU_DUNG,
s.BM_BAO_CAO_ID,
s.MA_SHEET,
ct.BM_BAO_CAO_ID,
ct.DM_CHI_TIEU_ID,
ct.SU_DUNG,
bm.ID,
bm.MA_BAO_CAO,
bm.SU_DUNG</t>
        </is>
      </c>
      <c r="S792" s="395" t="n"/>
      <c r="T792" s="384" t="inlineStr">
        <is>
          <t>-- Mã chỉ tiêu / Tên chỉ tiêu
SELECT DISTINCT
    dct.MA_CHI_TIEU  AS ma_chi_tieu,
    dct.TEN_CHI_TIEU AS ten_chi_tieu
FROM SCMS.BM_BAO_CAO bm
JOIN SCMS.BM_SHEET s ON s.BM_BAO_CAO_ID = bm.ID
	AND s.MA_SHEET = 'VIII.1'
JOIN SCMS.BM_BAO_CAO_CT ct ON ct.BM_SHEET_ID = s.ID
	AND ct.SU_DUNG = 1
JOIN SCMS.DM_CHI_TIEU dct ON dct.ID = ct.DM_CHI_TIEU_ID
	AND dct.SU_DUNG = 1
WHERE bm.MA_BAO_CAO = 'CQCDB'
	AND bm.SU_DUNG = 1
ORDER BY dct.MA_CHI_TIEU;</t>
        </is>
      </c>
      <c r="U792" s="386" t="n"/>
      <c r="V792" s="395" t="n"/>
      <c r="W792" s="395" t="n"/>
      <c r="X792" s="395" t="n"/>
      <c r="Y792" s="395" t="n"/>
      <c r="Z792" s="395" t="n"/>
      <c r="AA792" s="395" t="n"/>
      <c r="AB792" s="395" t="n"/>
      <c r="AC792" s="395" t="n"/>
      <c r="AD792" s="395" t="n"/>
      <c r="AE792" s="395" t="n"/>
    </row>
    <row r="793" ht="56" customHeight="1" s="380">
      <c r="A793" s="112" t="n">
        <v>52</v>
      </c>
      <c r="B793" s="386" t="n"/>
      <c r="C793" s="386" t="inlineStr">
        <is>
          <t>Báo cáo chứng quyền có đảm bảo &gt;&gt; Báo cáo hoạt động chứng quyền có bảo đảm - VIII.1</t>
        </is>
      </c>
      <c r="D793" s="106" t="inlineStr">
        <is>
          <t>Tên chỉ tiêu</t>
        </is>
      </c>
      <c r="E793" s="107" t="inlineStr">
        <is>
          <t>Tên chỉ tiêu</t>
        </is>
      </c>
      <c r="F793" s="390" t="inlineStr">
        <is>
          <t>Data Explorer</t>
        </is>
      </c>
      <c r="G793" s="390" t="inlineStr">
        <is>
          <t>Chiều</t>
        </is>
      </c>
      <c r="H793" s="390" t="inlineStr">
        <is>
          <t>Dễ</t>
        </is>
      </c>
      <c r="I793" s="390" t="inlineStr">
        <is>
          <t>Ngày, CTCK</t>
        </is>
      </c>
      <c r="J793" s="401" t="inlineStr">
        <is>
          <t>SCMS</t>
        </is>
      </c>
      <c r="K793" s="401" t="inlineStr">
        <is>
          <t>X</t>
        </is>
      </c>
      <c r="L793" s="395" t="inlineStr">
        <is>
          <t>X</t>
        </is>
      </c>
      <c r="M793" s="401" t="n"/>
      <c r="N793" s="395" t="inlineStr">
        <is>
          <t>Done</t>
        </is>
      </c>
      <c r="O793" s="401" t="n"/>
      <c r="P793" s="395" t="n"/>
      <c r="S793" s="395" t="n"/>
      <c r="U793" s="386" t="n"/>
      <c r="V793" s="395" t="n"/>
      <c r="W793" s="395" t="n"/>
      <c r="X793" s="395" t="n"/>
      <c r="Y793" s="395" t="n"/>
      <c r="Z793" s="395" t="n"/>
      <c r="AA793" s="395" t="n"/>
      <c r="AB793" s="395" t="n"/>
      <c r="AC793" s="395" t="n"/>
      <c r="AD793" s="395" t="n"/>
      <c r="AE793" s="395" t="n"/>
    </row>
    <row r="794" ht="56" customHeight="1" s="380">
      <c r="A794" s="112" t="n">
        <v>52</v>
      </c>
      <c r="B794" s="386" t="n"/>
      <c r="C794" s="386" t="inlineStr">
        <is>
          <t>Báo cáo chứng quyền có đảm bảo &gt;&gt; Báo cáo hoạt động chứng quyền có bảo đảm - VIII.1</t>
        </is>
      </c>
      <c r="D794" s="386" t="inlineStr">
        <is>
          <t>Tên CTCK</t>
        </is>
      </c>
      <c r="E794" s="395" t="inlineStr">
        <is>
          <t>Tên CTCK</t>
        </is>
      </c>
      <c r="F794" s="386" t="inlineStr">
        <is>
          <t>Data Explorer</t>
        </is>
      </c>
      <c r="G794" s="386" t="inlineStr">
        <is>
          <t>Chỉ tiêu cơ sở</t>
        </is>
      </c>
      <c r="H794" s="386" t="inlineStr">
        <is>
          <t>Dễ</t>
        </is>
      </c>
      <c r="I794" s="386" t="inlineStr">
        <is>
          <t>Ngày, CTCK</t>
        </is>
      </c>
      <c r="J794" s="395" t="inlineStr">
        <is>
          <t>SCMS</t>
        </is>
      </c>
      <c r="K794" s="395" t="n"/>
      <c r="L794" s="395" t="inlineStr">
        <is>
          <t>X</t>
        </is>
      </c>
      <c r="M794" s="395" t="n"/>
      <c r="N794" s="395" t="inlineStr">
        <is>
          <t>Done</t>
        </is>
      </c>
      <c r="O794" s="401" t="n"/>
      <c r="P794" s="395" t="n"/>
      <c r="Q794" s="428" t="inlineStr">
        <is>
          <t>SCMS.BC_THANH_VIEN
SCMS.BM_BAO_CAO
SCMS.BC_BAO_CAO_GT
SCMS.CTCK_THONG_TIN
SCMS.CTCK_NHAN_SU_CAO_CAP
SCMS.DM_CHUC_VU</t>
        </is>
      </c>
      <c r="R794" s="428" t="inlineStr">
        <is>
          <t>c.ID,
c.TEN_VIET_TAT,
c.SAN_NIEM_YET,
c.MA_CHUNG_KHOAN,
c.GIAY_PHEP_KINH_DOANH,
c.NGAY_CAP_GPKD,
btv.ID,
btv.BM_BAO_CAO_ID,
btv.CTCK_THONG_TIN_ID,
btv.NGAY_SO_LIEU,
btv.TRANG_THAI,
g.BC_THANH_VIEN_ID,
g.TEN_COT,
g.GIA_TRI,
g.TEN_SHEET,
bm.ID,
bm.MA_BAO_CAO,
ns.CTCK_THONG_TIN_ID,
ns.HO_TEN,
ns.IS_BANG_TAM,
ns.TRANG_THAI,
ns.CHUC_VU_ID,
cv.ID,
cv.TEN_CHUC_VU</t>
        </is>
      </c>
      <c r="S794" s="397" t="n"/>
      <c r="T794" s="429" t="inlineStr">
        <is>
          <t>-- CHỈ TIÊU
SELECT
    ROW_NUMBER() OVER (ORDER BY ngay_bao_cao DESC, ten_ctck) AS stt,
    ten_ctck,
    san_giao_dich,
    ma_ck,
    so_giay_phep,
    ngay_cap_giay_phep,
    nguoi_dai_dien,
    chuc_vu_nguoi_dai_dien,
    "Mục đích",
    "Loại chứng khoán",
    "Ngày nắm giữ chứng khoán",
    "Số lượng",
    "Tổng giá trị mua vào",
    "Giá trị thị trường tại thời điểm báo cáo",
    "Tỷ lệ tăng trưởng tài sản đầu tư",
    "Tổng số chứng khoán đang lưu hành của tổ chức phát hành vào thời điểm báo cáo",
    "Tỷ lệ đầu tư"
FROM (
    SELECT
        c.TEN_VIET_TAT AS ten_ctck,
        c.SAN_NIEM_YET AS san_giao_dich,
        c.MA_CHUNG_KHOAN AS ma_ck,
        c.GIAY_PHEP_KINH_DOANH AS so_giay_phep,
        c.NGAY_CAP_GPKD AS ngay_cap_giay_phep,
        ns.HO_TEN AS nguoi_dai_dien,
        cv.TEN_CHUC_VU AS chuc_vu_nguoi_dai_dien,
        btv.NGAY_SO_LIEU AS ngay_bao_cao,
        MAX(CASE WHEN g.TEN_COT LIKE N'%Mục đích%' THEN g.GIA_TRI END) AS "Mục đích",
        MAX(CASE WHEN g.TEN_COT LIKE N'%Loại chứng khoán%' THEN g.GIA_TRI END) AS "Loại chứng khoán",
        MAX(CASE WHEN g.TEN_COT LIKE N'%Ngày nắm giữ chứng khoán%' THEN g.GIA_TRI END) AS "Ngày nắm giữ chứng khoán",
        MAX(CASE WHEN g.TEN_COT LIKE N'%Số lượng%'THEN g.GIA_TRI END) AS "Số lượng",
        MAX(CASE WHEN g.TEN_COT LIKE N'%Tổng giá trị mua vào%' THEN g.GIA_TRI END) AS "Tổng giá trị mua vào",
        MAX(CASE WHEN g.TEN_COT LIKE N'%Giá trị thị trường tại thời điểm báo cáo%' THEN g.GIA_TRI END) AS "Giá trị thị trường tại thời điểm báo cáo",
        MAX(CASE WHEN g.TEN_COT LIKE N'%Tỷ lệ tăng trưởng tài sản đầu tư%' THEN g.GIA_TRI END) AS "Tỷ lệ tăng trưởng tài sản đầu tư",
        MAX(CASE WHEN g.TEN_COT LIKE N'%Tổng số chứng khoán đang lưu hành của tổ chức phát hành vào thời điểm báo cáo%' THEN g.GIA_TRI END) AS "Tổng số chứng khoán đang lưu hành của tổ chức phát hành vào thời điểm báo cáo",
        MAX(CASE WHEN g.TEN_COT LIKE N'%Tỷ lệ đầu tư%' THEN g.GIA_TRI END) AS "Tỷ lệ đầu tư"
    FROM SCMS.BC_THANH_VIEN  btv
    JOIN SCMS.BM_BAO_CAO bm ON bm.ID = btv.BM_BAO_CAO_ID
    JOIN (
        SELECT
            BC_THANH_VIEN_ID,
            TEN_SHEET,
            TEN_COT,
            CAST(GIA_TRI AS VARCHAR2(4000)) AS GIA_TRI
        FROM SCMS.BC_BAO_CAO_GT
        WHERE TEN_SHEET = N'VIII.1'
    ) g ON g.BC_THANH_VIEN_ID = btv.ID
    JOIN SCMS.CTCK_THONG_TIN c ON c.ID = btv.CTCK_THONG_TIN_ID
    LEFT JOIN SCMS.CTCK_NHAN_SU_CAO_CAP ns ON ns.CTCK_THONG_TIN_ID = btv.CTCK_THONG_TIN_ID
         AND ns.IS_BANG_TAM = 1
         AND ns.TRANG_THAI = 1
    LEFT JOIN SCMS.DM_CHUC_VU cv ON cv.ID = ns.CHUC_VU_ID
         AND LOWER(cv.TEN_CHUC_VU) LIKE N'%DDPL%'  -- Xác nhận tên chức vụ của người đại diện pháp luật
    WHERE bm.MA_BAO_CAO  = 'CQCDB'
      AND btv.TRANG_THAI IN (2, 3)
    GROUP BY
        btv.ID, btv.CTCK_THONG_TIN_ID, btv.NGAY_SO_LIEU, btv.TRANG_THAI,
        bm.MA_BAO_CAO, g.TEN_SHEET,
        c.TEN_VIET_TAT, c.SAN_NIEM_YET, c.MA_CHUNG_KHOAN,
        c.GIAY_PHEP_KINH_DOANH, c.NGAY_CAP_GPKD,
        ns.HO_TEN, cv.TEN_CHUC_VU
)
ORDER BY ngay_bao_cao DESC, ten_ctck;</t>
        </is>
      </c>
      <c r="U794" s="386" t="n"/>
      <c r="V794" s="395" t="n"/>
      <c r="W794" s="395" t="n"/>
      <c r="X794" s="395" t="n"/>
      <c r="Y794" s="395" t="n"/>
      <c r="Z794" s="395" t="n"/>
      <c r="AA794" s="395" t="n"/>
      <c r="AB794" s="395" t="n"/>
      <c r="AC794" s="395" t="n"/>
      <c r="AD794" s="395" t="n"/>
      <c r="AE794" s="395" t="n"/>
    </row>
    <row r="795" ht="56" customHeight="1" s="380">
      <c r="A795" s="112" t="n">
        <v>52</v>
      </c>
      <c r="B795" s="386" t="n"/>
      <c r="C795" s="386" t="inlineStr">
        <is>
          <t>Báo cáo chứng quyền có đảm bảo &gt;&gt; Báo cáo hoạt động chứng quyền có bảo đảm - VIII.1</t>
        </is>
      </c>
      <c r="D795" s="386" t="inlineStr">
        <is>
          <t>Sàn giao dịch</t>
        </is>
      </c>
      <c r="E795" s="395" t="inlineStr">
        <is>
          <t>Sàn giao dịch</t>
        </is>
      </c>
      <c r="F795" s="386" t="inlineStr">
        <is>
          <t>Data Explorer</t>
        </is>
      </c>
      <c r="G795" s="386" t="inlineStr">
        <is>
          <t>Chỉ tiêu cơ sở</t>
        </is>
      </c>
      <c r="H795" s="386" t="inlineStr">
        <is>
          <t>Dễ</t>
        </is>
      </c>
      <c r="I795" s="386" t="inlineStr">
        <is>
          <t>Ngày, CTCK</t>
        </is>
      </c>
      <c r="J795" s="395" t="inlineStr">
        <is>
          <t>SCMS</t>
        </is>
      </c>
      <c r="K795" s="395" t="n"/>
      <c r="L795" s="395" t="inlineStr">
        <is>
          <t>X</t>
        </is>
      </c>
      <c r="M795" s="395" t="n"/>
      <c r="N795" s="395" t="inlineStr">
        <is>
          <t>Done</t>
        </is>
      </c>
      <c r="O795" s="401" t="n"/>
      <c r="P795" s="395" t="n"/>
      <c r="S795" s="397" t="n"/>
      <c r="U795" s="386" t="n"/>
      <c r="V795" s="395" t="n"/>
      <c r="W795" s="395" t="n"/>
      <c r="X795" s="395" t="n"/>
      <c r="Y795" s="395" t="n"/>
      <c r="Z795" s="395" t="n"/>
      <c r="AA795" s="395" t="n"/>
      <c r="AB795" s="395" t="n"/>
      <c r="AC795" s="395" t="n"/>
      <c r="AD795" s="395" t="n"/>
      <c r="AE795" s="395" t="n"/>
    </row>
    <row r="796" ht="56" customHeight="1" s="380">
      <c r="A796" s="112" t="n">
        <v>52</v>
      </c>
      <c r="B796" s="386" t="n"/>
      <c r="C796" s="386" t="inlineStr">
        <is>
          <t>Báo cáo chứng quyền có đảm bảo &gt;&gt; Báo cáo hoạt động chứng quyền có bảo đảm - VIII.1</t>
        </is>
      </c>
      <c r="D796" s="386" t="inlineStr">
        <is>
          <t>Mã CK</t>
        </is>
      </c>
      <c r="E796" s="395" t="inlineStr">
        <is>
          <t>Mã CK</t>
        </is>
      </c>
      <c r="F796" s="386" t="inlineStr">
        <is>
          <t>Data Explorer</t>
        </is>
      </c>
      <c r="G796" s="386" t="inlineStr">
        <is>
          <t>Chỉ tiêu cơ sở</t>
        </is>
      </c>
      <c r="H796" s="386" t="inlineStr">
        <is>
          <t>Dễ</t>
        </is>
      </c>
      <c r="I796" s="386" t="inlineStr">
        <is>
          <t>Ngày, CTCK</t>
        </is>
      </c>
      <c r="J796" s="395" t="inlineStr">
        <is>
          <t>SCMS</t>
        </is>
      </c>
      <c r="K796" s="395" t="n"/>
      <c r="L796" s="395" t="inlineStr">
        <is>
          <t>X</t>
        </is>
      </c>
      <c r="M796" s="395" t="n"/>
      <c r="N796" s="395" t="inlineStr">
        <is>
          <t>Done</t>
        </is>
      </c>
      <c r="O796" s="401" t="n"/>
      <c r="P796" s="395" t="n"/>
      <c r="S796" s="397" t="n"/>
      <c r="U796" s="386" t="n"/>
      <c r="V796" s="395" t="n"/>
      <c r="W796" s="395" t="n"/>
      <c r="X796" s="395" t="n"/>
      <c r="Y796" s="395" t="n"/>
      <c r="Z796" s="395" t="n"/>
      <c r="AA796" s="395" t="n"/>
      <c r="AB796" s="395" t="n"/>
      <c r="AC796" s="395" t="n"/>
      <c r="AD796" s="395" t="n"/>
      <c r="AE796" s="395" t="n"/>
    </row>
    <row r="797" ht="56" customHeight="1" s="380">
      <c r="A797" s="112" t="n">
        <v>52</v>
      </c>
      <c r="B797" s="386" t="n"/>
      <c r="C797" s="386" t="inlineStr">
        <is>
          <t>Báo cáo chứng quyền có đảm bảo &gt;&gt; Báo cáo hoạt động chứng quyền có bảo đảm - VIII.1</t>
        </is>
      </c>
      <c r="D797" s="386" t="inlineStr">
        <is>
          <t>Giấy phép Hoạt động của Chủ tịch UBCKNN cấp lần đầu &gt;&gt; Số</t>
        </is>
      </c>
      <c r="E797" s="386" t="inlineStr">
        <is>
          <t>Giấy phép Hoạt động của Chủ tịch UBCKNN cấp lần đầu &gt;&gt; Số</t>
        </is>
      </c>
      <c r="F797" s="386" t="inlineStr">
        <is>
          <t>Data Explorer</t>
        </is>
      </c>
      <c r="G797" s="386" t="inlineStr">
        <is>
          <t>Chỉ tiêu cơ sở</t>
        </is>
      </c>
      <c r="H797" s="386" t="inlineStr">
        <is>
          <t>Dễ</t>
        </is>
      </c>
      <c r="I797" s="386" t="inlineStr">
        <is>
          <t>Ngày, CTCK</t>
        </is>
      </c>
      <c r="J797" s="395" t="inlineStr">
        <is>
          <t>SCMS</t>
        </is>
      </c>
      <c r="K797" s="395" t="n"/>
      <c r="L797" s="395" t="inlineStr">
        <is>
          <t>X</t>
        </is>
      </c>
      <c r="M797" s="395" t="n"/>
      <c r="N797" s="395" t="inlineStr">
        <is>
          <t>Done</t>
        </is>
      </c>
      <c r="O797" s="401" t="n"/>
      <c r="P797" s="395" t="n"/>
      <c r="S797" s="397" t="n"/>
      <c r="U797" s="386" t="n"/>
      <c r="V797" s="395" t="n"/>
      <c r="W797" s="395" t="n"/>
      <c r="X797" s="395" t="n"/>
      <c r="Y797" s="395" t="n"/>
      <c r="Z797" s="395" t="n"/>
      <c r="AA797" s="395" t="n"/>
      <c r="AB797" s="395" t="n"/>
      <c r="AC797" s="395" t="n"/>
      <c r="AD797" s="395" t="n"/>
      <c r="AE797" s="395" t="n"/>
    </row>
    <row r="798" ht="56" customHeight="1" s="380">
      <c r="A798" s="112" t="n">
        <v>52</v>
      </c>
      <c r="B798" s="386" t="n"/>
      <c r="C798" s="386" t="inlineStr">
        <is>
          <t>Báo cáo chứng quyền có đảm bảo &gt;&gt; Báo cáo hoạt động chứng quyền có bảo đảm - VIII.1</t>
        </is>
      </c>
      <c r="D798" s="386" t="inlineStr">
        <is>
          <t>Giấy phép Hoạt động của Chủ tịch UBCKNN cấp lần đầu &gt;&gt; Ngày cấp</t>
        </is>
      </c>
      <c r="E798" s="386" t="inlineStr">
        <is>
          <t>Giấy phép Hoạt động của Chủ tịch UBCKNN cấp lần đầu &gt;&gt; Ngày cấp</t>
        </is>
      </c>
      <c r="F798" s="386" t="inlineStr">
        <is>
          <t>Data Explorer</t>
        </is>
      </c>
      <c r="G798" s="386" t="inlineStr">
        <is>
          <t>Chỉ tiêu cơ sở</t>
        </is>
      </c>
      <c r="H798" s="386" t="inlineStr">
        <is>
          <t>Dễ</t>
        </is>
      </c>
      <c r="I798" s="386" t="inlineStr">
        <is>
          <t>Ngày, CTCK</t>
        </is>
      </c>
      <c r="J798" s="395" t="inlineStr">
        <is>
          <t>SCMS</t>
        </is>
      </c>
      <c r="K798" s="395" t="n"/>
      <c r="L798" s="395" t="inlineStr">
        <is>
          <t>X</t>
        </is>
      </c>
      <c r="M798" s="395" t="n"/>
      <c r="N798" s="395" t="inlineStr">
        <is>
          <t>Done</t>
        </is>
      </c>
      <c r="O798" s="401" t="n"/>
      <c r="P798" s="395" t="n"/>
      <c r="S798" s="397" t="n"/>
      <c r="U798" s="386" t="n"/>
      <c r="V798" s="395" t="n"/>
      <c r="W798" s="395" t="n"/>
      <c r="X798" s="395" t="n"/>
      <c r="Y798" s="395" t="n"/>
      <c r="Z798" s="395" t="n"/>
      <c r="AA798" s="395" t="n"/>
      <c r="AB798" s="395" t="n"/>
      <c r="AC798" s="395" t="n"/>
      <c r="AD798" s="395" t="n"/>
      <c r="AE798" s="395" t="n"/>
    </row>
    <row r="799" ht="56" customHeight="1" s="380">
      <c r="A799" s="112" t="n">
        <v>52</v>
      </c>
      <c r="B799" s="386" t="n"/>
      <c r="C799" s="386" t="inlineStr">
        <is>
          <t>Báo cáo chứng quyền có đảm bảo &gt;&gt; Báo cáo hoạt động chứng quyền có bảo đảm - VIII.1</t>
        </is>
      </c>
      <c r="D799" s="386" t="inlineStr">
        <is>
          <t>Người đại diện theo pháp luật (Đăng ký với UBCKNN)</t>
        </is>
      </c>
      <c r="E799" s="386" t="inlineStr">
        <is>
          <t>Người đại diện theo pháp luật (Đăng ký với UBCKNN)</t>
        </is>
      </c>
      <c r="F799" s="386" t="inlineStr">
        <is>
          <t>Data Explorer</t>
        </is>
      </c>
      <c r="G799" s="386" t="inlineStr">
        <is>
          <t>Chỉ tiêu cơ sở</t>
        </is>
      </c>
      <c r="H799" s="386" t="inlineStr">
        <is>
          <t>Dễ</t>
        </is>
      </c>
      <c r="I799" s="386" t="inlineStr">
        <is>
          <t>Ngày, CTCK</t>
        </is>
      </c>
      <c r="J799" s="395" t="inlineStr">
        <is>
          <t>SCMS</t>
        </is>
      </c>
      <c r="K799" s="395" t="n"/>
      <c r="L799" s="395" t="inlineStr">
        <is>
          <t>X</t>
        </is>
      </c>
      <c r="M799" s="395" t="n"/>
      <c r="N799" s="395" t="inlineStr">
        <is>
          <t>Done</t>
        </is>
      </c>
      <c r="O799" s="401" t="n"/>
      <c r="P799" s="395" t="n"/>
      <c r="S799" s="397" t="n"/>
      <c r="U799" s="386" t="n"/>
      <c r="V799" s="395" t="n"/>
      <c r="W799" s="395" t="n"/>
      <c r="X799" s="395" t="n"/>
      <c r="Y799" s="395" t="n"/>
      <c r="Z799" s="395" t="n"/>
      <c r="AA799" s="395" t="n"/>
      <c r="AB799" s="395" t="n"/>
      <c r="AC799" s="395" t="n"/>
      <c r="AD799" s="395" t="n"/>
      <c r="AE799" s="395" t="n"/>
    </row>
    <row r="800" ht="56" customHeight="1" s="380">
      <c r="A800" s="112" t="n">
        <v>52</v>
      </c>
      <c r="B800" s="386" t="n"/>
      <c r="C800" s="386" t="inlineStr">
        <is>
          <t>Báo cáo chứng quyền có đảm bảo &gt;&gt; Báo cáo hoạt động chứng quyền có bảo đảm - VIII.1</t>
        </is>
      </c>
      <c r="D800" s="386" t="inlineStr">
        <is>
          <t>Chức vụ của Người đại diện theo pháp luật</t>
        </is>
      </c>
      <c r="E800" s="395" t="inlineStr">
        <is>
          <t>Chức vụ của Người đại diện theo pháp luật</t>
        </is>
      </c>
      <c r="F800" s="386" t="inlineStr">
        <is>
          <t>Data Explorer</t>
        </is>
      </c>
      <c r="G800" s="386" t="inlineStr">
        <is>
          <t>Chỉ tiêu cơ sở</t>
        </is>
      </c>
      <c r="H800" s="386" t="inlineStr">
        <is>
          <t>Dễ</t>
        </is>
      </c>
      <c r="I800" s="386" t="inlineStr">
        <is>
          <t>Ngày, CTCK</t>
        </is>
      </c>
      <c r="J800" s="395" t="inlineStr">
        <is>
          <t>SCMS</t>
        </is>
      </c>
      <c r="K800" s="395" t="n"/>
      <c r="L800" s="395" t="inlineStr">
        <is>
          <t>X</t>
        </is>
      </c>
      <c r="M800" s="395" t="n"/>
      <c r="N800" s="395" t="inlineStr">
        <is>
          <t>Done</t>
        </is>
      </c>
      <c r="O800" s="401" t="n"/>
      <c r="P800" s="395" t="n"/>
      <c r="S800" s="397" t="n"/>
      <c r="U800" s="386" t="n"/>
      <c r="V800" s="395" t="n"/>
      <c r="W800" s="395" t="n"/>
      <c r="X800" s="395" t="n"/>
      <c r="Y800" s="395" t="n"/>
      <c r="Z800" s="395" t="n"/>
      <c r="AA800" s="395" t="n"/>
      <c r="AB800" s="395" t="n"/>
      <c r="AC800" s="395" t="n"/>
      <c r="AD800" s="395" t="n"/>
      <c r="AE800" s="395" t="n"/>
    </row>
    <row r="801" ht="56" customHeight="1" s="380">
      <c r="A801" s="112" t="n">
        <v>52</v>
      </c>
      <c r="B801" s="386" t="n"/>
      <c r="C801" s="386" t="inlineStr">
        <is>
          <t>Báo cáo chứng quyền có đảm bảo &gt;&gt; Báo cáo hoạt động chứng quyền có bảo đảm - VIII.1</t>
        </is>
      </c>
      <c r="D801" s="386" t="inlineStr">
        <is>
          <t>Mục đích (Phòng ngừa rủi ro/Khác)</t>
        </is>
      </c>
      <c r="E801" s="395" t="inlineStr">
        <is>
          <t>Mục đích (Phòng ngừa rủi ro/Khác)</t>
        </is>
      </c>
      <c r="F801" s="386" t="inlineStr">
        <is>
          <t>Data Explorer</t>
        </is>
      </c>
      <c r="G801" s="386" t="inlineStr">
        <is>
          <t>Chỉ tiêu cơ sở</t>
        </is>
      </c>
      <c r="H801" s="386" t="inlineStr">
        <is>
          <t>Dễ</t>
        </is>
      </c>
      <c r="I801" s="386" t="inlineStr">
        <is>
          <t>Ngày, CTCK</t>
        </is>
      </c>
      <c r="J801" s="395" t="inlineStr">
        <is>
          <t>SCMS</t>
        </is>
      </c>
      <c r="K801" s="395" t="n"/>
      <c r="L801" s="395" t="inlineStr">
        <is>
          <t>X</t>
        </is>
      </c>
      <c r="M801" s="395" t="n"/>
      <c r="N801" s="395" t="inlineStr">
        <is>
          <t>Done</t>
        </is>
      </c>
      <c r="O801" s="401" t="n"/>
      <c r="P801" s="395" t="n"/>
      <c r="S801" s="397" t="n"/>
      <c r="U801" s="386" t="n"/>
      <c r="V801" s="395" t="n"/>
      <c r="W801" s="395" t="n"/>
      <c r="X801" s="395" t="n"/>
      <c r="Y801" s="395" t="n"/>
      <c r="Z801" s="395" t="n"/>
      <c r="AA801" s="395" t="n"/>
      <c r="AB801" s="395" t="n"/>
      <c r="AC801" s="395" t="n"/>
      <c r="AD801" s="395" t="n"/>
      <c r="AE801" s="395" t="n"/>
    </row>
    <row r="802" ht="56" customHeight="1" s="380">
      <c r="A802" s="112" t="n">
        <v>52</v>
      </c>
      <c r="B802" s="386" t="n"/>
      <c r="C802" s="386" t="inlineStr">
        <is>
          <t>Báo cáo chứng quyền có đảm bảo &gt;&gt; Báo cáo hoạt động chứng quyền có bảo đảm - VIII.1</t>
        </is>
      </c>
      <c r="D802" s="386" t="inlineStr">
        <is>
          <t>Loại chứng khoán</t>
        </is>
      </c>
      <c r="E802" s="395" t="inlineStr">
        <is>
          <t>Loại chứng khoán</t>
        </is>
      </c>
      <c r="F802" s="386" t="inlineStr">
        <is>
          <t>Data Explorer</t>
        </is>
      </c>
      <c r="G802" s="386" t="inlineStr">
        <is>
          <t>Chỉ tiêu cơ sở</t>
        </is>
      </c>
      <c r="H802" s="386" t="inlineStr">
        <is>
          <t>Dễ</t>
        </is>
      </c>
      <c r="I802" s="386" t="inlineStr">
        <is>
          <t>Ngày, CTCK</t>
        </is>
      </c>
      <c r="J802" s="395" t="inlineStr">
        <is>
          <t>SCMS</t>
        </is>
      </c>
      <c r="K802" s="395" t="n"/>
      <c r="L802" s="395" t="inlineStr">
        <is>
          <t>X</t>
        </is>
      </c>
      <c r="M802" s="395" t="n"/>
      <c r="N802" s="395" t="inlineStr">
        <is>
          <t>Done</t>
        </is>
      </c>
      <c r="O802" s="401" t="n"/>
      <c r="P802" s="395" t="n"/>
      <c r="S802" s="397" t="n"/>
      <c r="U802" s="386" t="n"/>
      <c r="V802" s="395" t="n"/>
      <c r="W802" s="395" t="n"/>
      <c r="X802" s="395" t="n"/>
      <c r="Y802" s="395" t="n"/>
      <c r="Z802" s="395" t="n"/>
      <c r="AA802" s="395" t="n"/>
      <c r="AB802" s="395" t="n"/>
      <c r="AC802" s="395" t="n"/>
      <c r="AD802" s="395" t="n"/>
      <c r="AE802" s="395" t="n"/>
    </row>
    <row r="803" ht="56" customHeight="1" s="380">
      <c r="A803" s="112" t="n">
        <v>52</v>
      </c>
      <c r="B803" s="386" t="n"/>
      <c r="C803" s="386" t="inlineStr">
        <is>
          <t>Báo cáo chứng quyền có đảm bảo &gt;&gt; Báo cáo hoạt động chứng quyền có bảo đảm - VIII.1</t>
        </is>
      </c>
      <c r="D803" s="386" t="inlineStr">
        <is>
          <t>Ngày nắm giữ chứng khoán
(Ngày/tháng/năm)</t>
        </is>
      </c>
      <c r="E803" s="395" t="inlineStr">
        <is>
          <t>Ngày nắm giữ chứng khoán
(Ngày/tháng/năm)</t>
        </is>
      </c>
      <c r="F803" s="386" t="inlineStr">
        <is>
          <t>Data Explorer</t>
        </is>
      </c>
      <c r="G803" s="386" t="inlineStr">
        <is>
          <t>Chỉ tiêu cơ sở</t>
        </is>
      </c>
      <c r="H803" s="386" t="inlineStr">
        <is>
          <t>Dễ</t>
        </is>
      </c>
      <c r="I803" s="386" t="inlineStr">
        <is>
          <t>Ngày, CTCK</t>
        </is>
      </c>
      <c r="J803" s="395" t="inlineStr">
        <is>
          <t>SCMS</t>
        </is>
      </c>
      <c r="K803" s="395" t="n"/>
      <c r="L803" s="395" t="inlineStr">
        <is>
          <t>X</t>
        </is>
      </c>
      <c r="M803" s="395" t="n"/>
      <c r="N803" s="395" t="inlineStr">
        <is>
          <t>Done</t>
        </is>
      </c>
      <c r="O803" s="401" t="n"/>
      <c r="P803" s="395" t="n"/>
      <c r="S803" s="397" t="n"/>
      <c r="U803" s="386" t="n"/>
      <c r="V803" s="395" t="n"/>
      <c r="W803" s="395" t="n"/>
      <c r="X803" s="395" t="n"/>
      <c r="Y803" s="395" t="n"/>
      <c r="Z803" s="395" t="n"/>
      <c r="AA803" s="395" t="n"/>
      <c r="AB803" s="395" t="n"/>
      <c r="AC803" s="395" t="n"/>
      <c r="AD803" s="395" t="n"/>
      <c r="AE803" s="395" t="n"/>
    </row>
    <row r="804" ht="56" customHeight="1" s="380">
      <c r="A804" s="112" t="n">
        <v>52</v>
      </c>
      <c r="B804" s="386" t="n"/>
      <c r="C804" s="386" t="inlineStr">
        <is>
          <t>Báo cáo chứng quyền có đảm bảo &gt;&gt; Báo cáo hoạt động chứng quyền có bảo đảm - VIII.1</t>
        </is>
      </c>
      <c r="D804" s="386" t="inlineStr">
        <is>
          <t>Số lượng</t>
        </is>
      </c>
      <c r="E804" s="395" t="inlineStr">
        <is>
          <t>Số lượng</t>
        </is>
      </c>
      <c r="F804" s="386" t="inlineStr">
        <is>
          <t>Data Explorer</t>
        </is>
      </c>
      <c r="G804" s="386" t="inlineStr">
        <is>
          <t>Chỉ tiêu cơ sở</t>
        </is>
      </c>
      <c r="H804" s="386" t="inlineStr">
        <is>
          <t>TB</t>
        </is>
      </c>
      <c r="I804" s="386" t="inlineStr">
        <is>
          <t>Ngày, CTCK</t>
        </is>
      </c>
      <c r="J804" s="395" t="inlineStr">
        <is>
          <t>SCMS</t>
        </is>
      </c>
      <c r="K804" s="395" t="n"/>
      <c r="L804" s="395" t="inlineStr">
        <is>
          <t>X</t>
        </is>
      </c>
      <c r="M804" s="395" t="n"/>
      <c r="N804" s="395" t="inlineStr">
        <is>
          <t>Done</t>
        </is>
      </c>
      <c r="O804" s="401" t="n"/>
      <c r="P804" s="395" t="n"/>
      <c r="S804" s="397" t="n"/>
      <c r="U804" s="386" t="n"/>
      <c r="V804" s="395" t="n"/>
      <c r="W804" s="395" t="n"/>
      <c r="X804" s="395" t="n"/>
      <c r="Y804" s="395" t="n"/>
      <c r="Z804" s="395" t="n"/>
      <c r="AA804" s="395" t="n"/>
      <c r="AB804" s="395" t="n"/>
      <c r="AC804" s="395" t="n"/>
      <c r="AD804" s="395" t="n"/>
      <c r="AE804" s="395" t="n"/>
    </row>
    <row r="805" ht="56" customHeight="1" s="380">
      <c r="A805" s="112" t="n">
        <v>52</v>
      </c>
      <c r="B805" s="386" t="n"/>
      <c r="C805" s="386" t="inlineStr">
        <is>
          <t>Báo cáo chứng quyền có đảm bảo &gt;&gt; Báo cáo hoạt động chứng quyền có bảo đảm - VIII.1</t>
        </is>
      </c>
      <c r="D805" s="386" t="inlineStr">
        <is>
          <t>Tổng giá trị mua vào (triệu đồng)</t>
        </is>
      </c>
      <c r="E805" s="395" t="inlineStr">
        <is>
          <t>Tổng giá trị mua vào (triệu đồng)</t>
        </is>
      </c>
      <c r="F805" s="386" t="inlineStr">
        <is>
          <t>Data Explorer</t>
        </is>
      </c>
      <c r="G805" s="386" t="inlineStr">
        <is>
          <t>Chỉ tiêu cơ sở</t>
        </is>
      </c>
      <c r="H805" s="386" t="inlineStr">
        <is>
          <t>TB</t>
        </is>
      </c>
      <c r="I805" s="386" t="inlineStr">
        <is>
          <t>Ngày, CTCK</t>
        </is>
      </c>
      <c r="J805" s="395" t="inlineStr">
        <is>
          <t>SCMS</t>
        </is>
      </c>
      <c r="K805" s="395" t="n"/>
      <c r="L805" s="395" t="inlineStr">
        <is>
          <t>X</t>
        </is>
      </c>
      <c r="M805" s="395" t="n"/>
      <c r="N805" s="395" t="inlineStr">
        <is>
          <t>Done</t>
        </is>
      </c>
      <c r="O805" s="401" t="n"/>
      <c r="P805" s="395" t="n"/>
      <c r="S805" s="397" t="n"/>
      <c r="U805" s="386" t="n"/>
      <c r="V805" s="395" t="n"/>
      <c r="W805" s="395" t="n"/>
      <c r="X805" s="395" t="n"/>
      <c r="Y805" s="395" t="n"/>
      <c r="Z805" s="395" t="n"/>
      <c r="AA805" s="395" t="n"/>
      <c r="AB805" s="395" t="n"/>
      <c r="AC805" s="395" t="n"/>
      <c r="AD805" s="395" t="n"/>
      <c r="AE805" s="395" t="n"/>
    </row>
    <row r="806" ht="56" customHeight="1" s="380">
      <c r="A806" s="112" t="n">
        <v>52</v>
      </c>
      <c r="B806" s="386" t="n"/>
      <c r="C806" s="386" t="inlineStr">
        <is>
          <t>Báo cáo chứng quyền có đảm bảo &gt;&gt; Báo cáo hoạt động chứng quyền có bảo đảm - VIII.1</t>
        </is>
      </c>
      <c r="D806" s="386" t="inlineStr">
        <is>
          <t>Giá trị thị trường tại thời điểm báo cáo (triệu đồng)</t>
        </is>
      </c>
      <c r="E806" s="386" t="inlineStr">
        <is>
          <t>Giá trị thị trường tại thời điểm báo cáo (triệu đồng)</t>
        </is>
      </c>
      <c r="F806" s="386" t="inlineStr">
        <is>
          <t>Data Explorer</t>
        </is>
      </c>
      <c r="G806" s="386" t="inlineStr">
        <is>
          <t>Chỉ tiêu cơ sở</t>
        </is>
      </c>
      <c r="H806" s="386" t="inlineStr">
        <is>
          <t>TB</t>
        </is>
      </c>
      <c r="I806" s="386" t="inlineStr">
        <is>
          <t>Ngày, CTCK</t>
        </is>
      </c>
      <c r="J806" s="395" t="inlineStr">
        <is>
          <t>SCMS</t>
        </is>
      </c>
      <c r="K806" s="395" t="n"/>
      <c r="L806" s="395" t="inlineStr">
        <is>
          <t>X</t>
        </is>
      </c>
      <c r="M806" s="395" t="n"/>
      <c r="N806" s="395" t="inlineStr">
        <is>
          <t>Done</t>
        </is>
      </c>
      <c r="O806" s="401" t="n"/>
      <c r="P806" s="395" t="n"/>
      <c r="S806" s="397" t="n"/>
      <c r="U806" s="386" t="n"/>
      <c r="V806" s="395" t="n"/>
      <c r="W806" s="395" t="n"/>
      <c r="X806" s="395" t="n"/>
      <c r="Y806" s="395" t="n"/>
      <c r="Z806" s="395" t="n"/>
      <c r="AA806" s="395" t="n"/>
      <c r="AB806" s="395" t="n"/>
      <c r="AC806" s="395" t="n"/>
      <c r="AD806" s="395" t="n"/>
      <c r="AE806" s="395" t="n"/>
    </row>
    <row r="807" ht="56" customHeight="1" s="380">
      <c r="A807" s="112" t="n">
        <v>52</v>
      </c>
      <c r="B807" s="386" t="n"/>
      <c r="C807" s="386" t="inlineStr">
        <is>
          <t>Báo cáo chứng quyền có đảm bảo &gt;&gt; Báo cáo hoạt động chứng quyền có bảo đảm - VIII.1</t>
        </is>
      </c>
      <c r="D807" s="386" t="inlineStr">
        <is>
          <t>Tỷ lệ tăng trưởng tài sản đầu tư</t>
        </is>
      </c>
      <c r="E807" s="395" t="inlineStr">
        <is>
          <t>Tỷ lệ tăng trưởng tài sản đầu tư</t>
        </is>
      </c>
      <c r="F807" s="386" t="inlineStr">
        <is>
          <t>Data Explorer</t>
        </is>
      </c>
      <c r="G807" s="386" t="inlineStr">
        <is>
          <t>Chỉ tiêu cơ sở</t>
        </is>
      </c>
      <c r="H807" s="386" t="inlineStr">
        <is>
          <t>TB</t>
        </is>
      </c>
      <c r="I807" s="386" t="inlineStr">
        <is>
          <t>Ngày, CTCK</t>
        </is>
      </c>
      <c r="J807" s="395" t="inlineStr">
        <is>
          <t>SCMS</t>
        </is>
      </c>
      <c r="K807" s="395" t="n"/>
      <c r="L807" s="395" t="inlineStr">
        <is>
          <t>X</t>
        </is>
      </c>
      <c r="M807" s="395" t="n"/>
      <c r="N807" s="395" t="inlineStr">
        <is>
          <t>Done</t>
        </is>
      </c>
      <c r="O807" s="401" t="n"/>
      <c r="P807" s="395" t="n"/>
      <c r="S807" s="397" t="n"/>
      <c r="U807" s="386" t="n"/>
      <c r="V807" s="395" t="n"/>
      <c r="W807" s="395" t="n"/>
      <c r="X807" s="395" t="n"/>
      <c r="Y807" s="395" t="n"/>
      <c r="Z807" s="395" t="n"/>
      <c r="AA807" s="395" t="n"/>
      <c r="AB807" s="395" t="n"/>
      <c r="AC807" s="395" t="n"/>
      <c r="AD807" s="395" t="n"/>
      <c r="AE807" s="395" t="n"/>
    </row>
    <row r="808" ht="56" customHeight="1" s="380">
      <c r="A808" s="112" t="n">
        <v>52</v>
      </c>
      <c r="B808" s="386" t="n"/>
      <c r="C808" s="386" t="inlineStr">
        <is>
          <t>Báo cáo chứng quyền có đảm bảo &gt;&gt; Báo cáo hoạt động chứng quyền có bảo đảm - VIII.1</t>
        </is>
      </c>
      <c r="D808" s="386" t="inlineStr">
        <is>
          <t>Tổng số chứng khoán đang lưu hành của tổ chức phát hành vào thời điểm báo cáo</t>
        </is>
      </c>
      <c r="E808" s="386" t="inlineStr">
        <is>
          <t>Tổng số chứng khoán đang lưu hành của tổ chức phát hành vào thời điểm báo cáo</t>
        </is>
      </c>
      <c r="F808" s="386" t="inlineStr">
        <is>
          <t>Data Explorer</t>
        </is>
      </c>
      <c r="G808" s="386" t="inlineStr">
        <is>
          <t>Chỉ tiêu cơ sở</t>
        </is>
      </c>
      <c r="H808" s="386" t="inlineStr">
        <is>
          <t>TB</t>
        </is>
      </c>
      <c r="I808" s="386" t="inlineStr">
        <is>
          <t>Ngày, CTCK</t>
        </is>
      </c>
      <c r="J808" s="395" t="inlineStr">
        <is>
          <t>SCMS</t>
        </is>
      </c>
      <c r="K808" s="395" t="n"/>
      <c r="L808" s="395" t="inlineStr">
        <is>
          <t>X</t>
        </is>
      </c>
      <c r="M808" s="395" t="n"/>
      <c r="N808" s="395" t="inlineStr">
        <is>
          <t>Done</t>
        </is>
      </c>
      <c r="O808" s="401" t="n"/>
      <c r="P808" s="395" t="n"/>
      <c r="S808" s="397" t="n"/>
      <c r="U808" s="386" t="n"/>
      <c r="V808" s="395" t="n"/>
      <c r="W808" s="395" t="n"/>
      <c r="X808" s="395" t="n"/>
      <c r="Y808" s="395" t="n"/>
      <c r="Z808" s="395" t="n"/>
      <c r="AA808" s="395" t="n"/>
      <c r="AB808" s="395" t="n"/>
      <c r="AC808" s="395" t="n"/>
      <c r="AD808" s="395" t="n"/>
      <c r="AE808" s="395" t="n"/>
    </row>
    <row r="809" ht="56" customHeight="1" s="380">
      <c r="A809" s="113" t="n">
        <v>52</v>
      </c>
      <c r="B809" s="68" t="n"/>
      <c r="C809" s="68" t="inlineStr">
        <is>
          <t>Báo cáo chứng quyền có đảm bảo &gt;&gt; Báo cáo hoạt động chứng quyền có bảo đảm - VIII.1</t>
        </is>
      </c>
      <c r="D809" s="68" t="inlineStr">
        <is>
          <t>Tỷ lệ đầu tư (%)</t>
        </is>
      </c>
      <c r="E809" s="69" t="inlineStr">
        <is>
          <t>Tỷ lệ đầu tư (%)</t>
        </is>
      </c>
      <c r="F809" s="68" t="inlineStr">
        <is>
          <t>Data Explorer</t>
        </is>
      </c>
      <c r="G809" s="68" t="inlineStr">
        <is>
          <t>Chỉ tiêu cơ sở</t>
        </is>
      </c>
      <c r="H809" s="68" t="inlineStr">
        <is>
          <t>TB</t>
        </is>
      </c>
      <c r="I809" s="68" t="inlineStr">
        <is>
          <t>Ngày, CTCK</t>
        </is>
      </c>
      <c r="J809" s="69" t="inlineStr">
        <is>
          <t>SCMS</t>
        </is>
      </c>
      <c r="K809" s="69" t="n"/>
      <c r="L809" s="69" t="inlineStr">
        <is>
          <t>X</t>
        </is>
      </c>
      <c r="M809" s="69" t="n"/>
      <c r="N809" s="69" t="inlineStr">
        <is>
          <t>Done</t>
        </is>
      </c>
      <c r="O809" s="85" t="n"/>
      <c r="P809" s="69" t="n"/>
      <c r="Q809" s="426" t="n"/>
      <c r="R809" s="426" t="n"/>
      <c r="S809" s="86" t="n"/>
      <c r="T809" s="426" t="n"/>
      <c r="U809" s="68" t="n"/>
      <c r="V809" s="69" t="n"/>
      <c r="W809" s="69" t="n"/>
      <c r="X809" s="69" t="n"/>
      <c r="Y809" s="69" t="n"/>
      <c r="Z809" s="69" t="n"/>
      <c r="AA809" s="69" t="n"/>
      <c r="AB809" s="69" t="n"/>
      <c r="AC809" s="69" t="n"/>
      <c r="AD809" s="69" t="n"/>
      <c r="AE809" s="69" t="n"/>
    </row>
    <row r="810" ht="56" customHeight="1" s="380">
      <c r="A810" s="112" t="n">
        <v>53</v>
      </c>
      <c r="B810" s="81" t="n"/>
      <c r="C810" s="81" t="inlineStr">
        <is>
          <t>Báo cáo chứng quyền có đảm bảo &gt;&gt; Báo cáo hoạt động chứng quyền có bảo đảm - VIII.2</t>
        </is>
      </c>
      <c r="D810" s="106" t="inlineStr">
        <is>
          <t>Loại báo cáo</t>
        </is>
      </c>
      <c r="E810" s="107" t="inlineStr">
        <is>
          <t>Loại báo cáo</t>
        </is>
      </c>
      <c r="F810" s="390" t="inlineStr">
        <is>
          <t>Data Explorer</t>
        </is>
      </c>
      <c r="G810" s="390" t="inlineStr">
        <is>
          <t>Chiều</t>
        </is>
      </c>
      <c r="H810" s="390" t="inlineStr">
        <is>
          <t>Dễ</t>
        </is>
      </c>
      <c r="I810" s="390" t="inlineStr">
        <is>
          <t>Ngày, CTCK</t>
        </is>
      </c>
      <c r="J810" s="401" t="inlineStr">
        <is>
          <t>SCMS</t>
        </is>
      </c>
      <c r="K810" s="401" t="inlineStr">
        <is>
          <t>X</t>
        </is>
      </c>
      <c r="L810" s="395" t="inlineStr">
        <is>
          <t>X</t>
        </is>
      </c>
      <c r="M810" s="401" t="n"/>
      <c r="N810" s="395" t="inlineStr">
        <is>
          <t>Done</t>
        </is>
      </c>
      <c r="O810" s="401" t="n"/>
      <c r="P810" s="395" t="n"/>
      <c r="Q810" s="404" t="inlineStr">
        <is>
          <t>SCMS.BM_BAO_CAO
SCMS.BM_BAO_CAO_DINH_KY</t>
        </is>
      </c>
      <c r="R810" s="404" t="inlineStr">
        <is>
          <t>bm.ID,
bm.MA_BAO_CAO,
bm.LOAI_BAO_CAO,
bm.TEN_BAO_CAO,
bm.SU_DUNG,
bdk.BM_BAO_CAO_ID,
bdk.KY_BAO_CAO,
bdk.SU_DUNG</t>
        </is>
      </c>
      <c r="S810" s="395" t="n"/>
      <c r="T810" s="384" t="inlineStr">
        <is>
          <t>-- Loại BC / Kỳ BC / Mã BC / Tên BC (chiều DWH – dùng chung)
-- MA_BAO_CAO: CQCDB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 'CQCDB'
        AND bm.SU_DUNG = 1
ORDER BY bdk.KY_BAO_CAO;</t>
        </is>
      </c>
      <c r="U810" s="386" t="n"/>
      <c r="V810" s="395" t="n"/>
      <c r="W810" s="395" t="n"/>
      <c r="X810" s="395" t="n"/>
      <c r="Y810" s="395" t="n"/>
      <c r="Z810" s="395" t="n"/>
      <c r="AA810" s="395" t="n"/>
      <c r="AB810" s="395" t="n"/>
      <c r="AC810" s="395" t="n"/>
      <c r="AD810" s="395" t="n"/>
      <c r="AE810" s="395" t="n"/>
    </row>
    <row r="811" ht="56" customHeight="1" s="380">
      <c r="A811" s="112" t="n">
        <v>53</v>
      </c>
      <c r="B811" s="386" t="n"/>
      <c r="C811" s="386" t="inlineStr">
        <is>
          <t>Báo cáo chứng quyền có đảm bảo &gt;&gt; Báo cáo hoạt động chứng quyền có bảo đảm - VIII.2</t>
        </is>
      </c>
      <c r="D811" s="106" t="inlineStr">
        <is>
          <t>Kỳ báo cáo</t>
        </is>
      </c>
      <c r="E811" s="107" t="inlineStr">
        <is>
          <t>Kỳ báo cáo</t>
        </is>
      </c>
      <c r="F811" s="390" t="inlineStr">
        <is>
          <t>Data Explorer</t>
        </is>
      </c>
      <c r="G811" s="390" t="inlineStr">
        <is>
          <t>Chiều</t>
        </is>
      </c>
      <c r="H811" s="390" t="inlineStr">
        <is>
          <t>Dễ</t>
        </is>
      </c>
      <c r="I811" s="390" t="inlineStr">
        <is>
          <t>Ngày, CTCK</t>
        </is>
      </c>
      <c r="J811" s="401" t="inlineStr">
        <is>
          <t>SCMS</t>
        </is>
      </c>
      <c r="K811" s="401" t="inlineStr">
        <is>
          <t>X</t>
        </is>
      </c>
      <c r="L811" s="395" t="inlineStr">
        <is>
          <t>X</t>
        </is>
      </c>
      <c r="M811" s="401" t="n"/>
      <c r="N811" s="395" t="inlineStr">
        <is>
          <t>Done</t>
        </is>
      </c>
      <c r="O811" s="401" t="n"/>
      <c r="P811" s="395" t="n"/>
      <c r="S811" s="395" t="n"/>
      <c r="U811" s="386" t="n"/>
      <c r="V811" s="395" t="n"/>
      <c r="W811" s="395" t="n"/>
      <c r="X811" s="395" t="n"/>
      <c r="Y811" s="395" t="n"/>
      <c r="Z811" s="395" t="n"/>
      <c r="AA811" s="395" t="n"/>
      <c r="AB811" s="395" t="n"/>
      <c r="AC811" s="395" t="n"/>
      <c r="AD811" s="395" t="n"/>
      <c r="AE811" s="395" t="n"/>
    </row>
    <row r="812" ht="56" customHeight="1" s="380">
      <c r="A812" s="112" t="n">
        <v>53</v>
      </c>
      <c r="B812" s="386" t="n"/>
      <c r="C812" s="386" t="inlineStr">
        <is>
          <t>Báo cáo chứng quyền có đảm bảo &gt;&gt; Báo cáo hoạt động chứng quyền có bảo đảm - VIII.2</t>
        </is>
      </c>
      <c r="D812" s="106" t="inlineStr">
        <is>
          <t>Mã báo cáo</t>
        </is>
      </c>
      <c r="E812" s="107" t="inlineStr">
        <is>
          <t>Mã báo cáo</t>
        </is>
      </c>
      <c r="F812" s="390" t="inlineStr">
        <is>
          <t>Data Explorer</t>
        </is>
      </c>
      <c r="G812" s="390" t="inlineStr">
        <is>
          <t>Chiều</t>
        </is>
      </c>
      <c r="H812" s="390" t="inlineStr">
        <is>
          <t>Dễ</t>
        </is>
      </c>
      <c r="I812" s="390" t="inlineStr">
        <is>
          <t>Ngày, CTCK</t>
        </is>
      </c>
      <c r="J812" s="401" t="inlineStr">
        <is>
          <t>SCMS</t>
        </is>
      </c>
      <c r="K812" s="401" t="inlineStr">
        <is>
          <t>X</t>
        </is>
      </c>
      <c r="L812" s="395" t="inlineStr">
        <is>
          <t>X</t>
        </is>
      </c>
      <c r="M812" s="401" t="n"/>
      <c r="N812" s="395" t="inlineStr">
        <is>
          <t>Done</t>
        </is>
      </c>
      <c r="O812" s="401" t="n"/>
      <c r="P812" s="395" t="n"/>
      <c r="S812" s="395" t="n"/>
      <c r="U812" s="386" t="n"/>
      <c r="V812" s="395" t="n"/>
      <c r="W812" s="395" t="n"/>
      <c r="X812" s="395" t="n"/>
      <c r="Y812" s="36" t="n"/>
      <c r="Z812" s="395" t="n"/>
      <c r="AA812" s="395" t="n"/>
      <c r="AB812" s="395" t="n"/>
      <c r="AC812" s="395" t="n"/>
      <c r="AD812" s="395" t="n"/>
      <c r="AE812" s="395" t="n"/>
    </row>
    <row r="813" ht="56" customHeight="1" s="380">
      <c r="A813" s="112" t="n">
        <v>53</v>
      </c>
      <c r="B813" s="386" t="n"/>
      <c r="C813" s="386" t="inlineStr">
        <is>
          <t>Báo cáo chứng quyền có đảm bảo &gt;&gt; Báo cáo hoạt động chứng quyền có bảo đảm - VIII.2</t>
        </is>
      </c>
      <c r="D813" s="106" t="inlineStr">
        <is>
          <t>Tên báo cáo</t>
        </is>
      </c>
      <c r="E813" s="107" t="inlineStr">
        <is>
          <t>Tên báo cáo</t>
        </is>
      </c>
      <c r="F813" s="390" t="inlineStr">
        <is>
          <t>Data Explorer</t>
        </is>
      </c>
      <c r="G813" s="390" t="inlineStr">
        <is>
          <t>Chiều</t>
        </is>
      </c>
      <c r="H813" s="390" t="inlineStr">
        <is>
          <t>Dễ</t>
        </is>
      </c>
      <c r="I813" s="390" t="inlineStr">
        <is>
          <t>Ngày, CTCK</t>
        </is>
      </c>
      <c r="J813" s="401" t="inlineStr">
        <is>
          <t>SCMS</t>
        </is>
      </c>
      <c r="K813" s="401" t="inlineStr">
        <is>
          <t>X</t>
        </is>
      </c>
      <c r="L813" s="395" t="inlineStr">
        <is>
          <t>X</t>
        </is>
      </c>
      <c r="M813" s="401" t="n"/>
      <c r="N813" s="395" t="inlineStr">
        <is>
          <t>Done</t>
        </is>
      </c>
      <c r="O813" s="401" t="n"/>
      <c r="P813" s="395" t="n"/>
      <c r="S813" s="395" t="n"/>
      <c r="U813" s="386" t="n"/>
      <c r="V813" s="395" t="n"/>
      <c r="W813" s="395" t="n"/>
      <c r="X813" s="395" t="n"/>
      <c r="Y813" s="395" t="n"/>
      <c r="Z813" s="395" t="n"/>
      <c r="AA813" s="395" t="n"/>
      <c r="AB813" s="395" t="n"/>
      <c r="AC813" s="395" t="n"/>
      <c r="AD813" s="395" t="n"/>
      <c r="AE813" s="395" t="n"/>
    </row>
    <row r="814" ht="56" customHeight="1" s="380">
      <c r="A814" s="112" t="n">
        <v>53</v>
      </c>
      <c r="B814" s="386" t="n"/>
      <c r="C814" s="386" t="inlineStr">
        <is>
          <t>Báo cáo chứng quyền có đảm bảo &gt;&gt; Báo cáo hoạt động chứng quyền có bảo đảm - VIII.2</t>
        </is>
      </c>
      <c r="D814" s="106" t="inlineStr">
        <is>
          <t>Mã sheet</t>
        </is>
      </c>
      <c r="E814" s="106" t="inlineStr">
        <is>
          <t>Mã sheet</t>
        </is>
      </c>
      <c r="F814" s="390" t="inlineStr">
        <is>
          <t>Data Explorer</t>
        </is>
      </c>
      <c r="G814" s="390" t="inlineStr">
        <is>
          <t>Chiều</t>
        </is>
      </c>
      <c r="H814" s="390" t="inlineStr">
        <is>
          <t>Dễ</t>
        </is>
      </c>
      <c r="I814" s="390" t="inlineStr">
        <is>
          <t>Ngày, CTCK</t>
        </is>
      </c>
      <c r="J814" s="401" t="inlineStr">
        <is>
          <t>SCMS</t>
        </is>
      </c>
      <c r="K814" s="401" t="inlineStr">
        <is>
          <t>X</t>
        </is>
      </c>
      <c r="L814" s="395" t="inlineStr">
        <is>
          <t>X</t>
        </is>
      </c>
      <c r="M814" s="401" t="n"/>
      <c r="N814" s="395" t="inlineStr">
        <is>
          <t>Done</t>
        </is>
      </c>
      <c r="O814" s="401" t="n"/>
      <c r="P814" s="395" t="n"/>
      <c r="Q814" s="401" t="inlineStr">
        <is>
          <t>SCMS.BM_BAO_CAO
SCMS.BM_SHEET</t>
        </is>
      </c>
      <c r="R814" s="401" t="inlineStr">
        <is>
          <t>bm.ID,
bm.MA_BAO_CAO,
bm.SU_DUNG,
s.BM_BAO_CAO_ID,
s.MA_SHEET,
s.TEN_SHEET,
s.SAP_XEP</t>
        </is>
      </c>
      <c r="S814" s="395" t="n"/>
      <c r="T814" s="384" t="inlineStr">
        <is>
          <t>-- Mã sheet / Tên sheet
-- MA_SHEET: VIII.2
SELECT bm.MA_BAO_CAO,
s.MA_SHEET,
s.TEN_SHEET
FROM SCMS.BM_BAO_CAO bm
JOIN SCMS.BM_SHEET s ON s.BM_BAO_CAO_ID = bm.ID
WHERE bm.MA_BAO_CAO = 'CQCDB'
AND s.MA_SHEET = 'VIII.2'  -- Check lại data chuẩn
AND bm.SU_DUNG = 1
ORDER BY bm.MA_BAO_CAO, s.SAP_XEP;</t>
        </is>
      </c>
      <c r="U814" s="386" t="n"/>
      <c r="V814" s="395" t="n"/>
      <c r="W814" s="395" t="n"/>
      <c r="X814" s="395" t="n"/>
      <c r="Y814" s="395" t="n"/>
      <c r="Z814" s="395" t="n"/>
      <c r="AA814" s="395" t="n"/>
      <c r="AB814" s="395" t="n"/>
      <c r="AC814" s="395" t="n"/>
      <c r="AD814" s="395" t="n"/>
      <c r="AE814" s="395" t="n"/>
    </row>
    <row r="815" ht="56" customHeight="1" s="380">
      <c r="A815" s="112" t="n">
        <v>53</v>
      </c>
      <c r="B815" s="386" t="n"/>
      <c r="C815" s="386" t="inlineStr">
        <is>
          <t>Báo cáo chứng quyền có đảm bảo &gt;&gt; Báo cáo hoạt động chứng quyền có bảo đảm - VIII.2</t>
        </is>
      </c>
      <c r="D815" s="106" t="inlineStr">
        <is>
          <t>Tên sheet</t>
        </is>
      </c>
      <c r="E815" s="106" t="inlineStr">
        <is>
          <t>Tên sheet</t>
        </is>
      </c>
      <c r="F815" s="390" t="inlineStr">
        <is>
          <t>Data Explorer</t>
        </is>
      </c>
      <c r="G815" s="390" t="inlineStr">
        <is>
          <t>Chiều</t>
        </is>
      </c>
      <c r="H815" s="390" t="inlineStr">
        <is>
          <t>Dễ</t>
        </is>
      </c>
      <c r="I815" s="390" t="inlineStr">
        <is>
          <t>Ngày, CTCK</t>
        </is>
      </c>
      <c r="J815" s="401" t="inlineStr">
        <is>
          <t>SCMS</t>
        </is>
      </c>
      <c r="K815" s="401" t="inlineStr">
        <is>
          <t>X</t>
        </is>
      </c>
      <c r="L815" s="395" t="inlineStr">
        <is>
          <t>X</t>
        </is>
      </c>
      <c r="M815" s="401" t="n"/>
      <c r="N815" s="395" t="inlineStr">
        <is>
          <t>Done</t>
        </is>
      </c>
      <c r="O815" s="401" t="n"/>
      <c r="P815" s="395" t="n"/>
      <c r="S815" s="395" t="n"/>
      <c r="U815" s="386" t="n"/>
      <c r="V815" s="395" t="n"/>
      <c r="W815" s="395" t="n"/>
      <c r="X815" s="395" t="n"/>
      <c r="Y815" s="37" t="n"/>
      <c r="Z815" s="395" t="n"/>
      <c r="AA815" s="395" t="n"/>
      <c r="AB815" s="395" t="n"/>
      <c r="AC815" s="395" t="n"/>
      <c r="AD815" s="395" t="n"/>
      <c r="AE815" s="395" t="n"/>
    </row>
    <row r="816" ht="56" customHeight="1" s="380">
      <c r="A816" s="112" t="n">
        <v>53</v>
      </c>
      <c r="B816" s="386" t="n"/>
      <c r="C816" s="386" t="inlineStr">
        <is>
          <t>Báo cáo chứng quyền có đảm bảo &gt;&gt; Báo cáo hoạt động chứng quyền có bảo đảm - VIII.2</t>
        </is>
      </c>
      <c r="D816" s="106" t="inlineStr">
        <is>
          <t>Mã chỉ tiêu</t>
        </is>
      </c>
      <c r="E816" s="107" t="inlineStr">
        <is>
          <t>Mã chỉ tiêu</t>
        </is>
      </c>
      <c r="F816" s="390" t="inlineStr">
        <is>
          <t>Data Explorer</t>
        </is>
      </c>
      <c r="G816" s="390" t="inlineStr">
        <is>
          <t>Chiều</t>
        </is>
      </c>
      <c r="H816" s="390" t="inlineStr">
        <is>
          <t>Dễ</t>
        </is>
      </c>
      <c r="I816" s="390" t="inlineStr">
        <is>
          <t>Ngày, CTCK</t>
        </is>
      </c>
      <c r="J816" s="401" t="inlineStr">
        <is>
          <t>SCMS</t>
        </is>
      </c>
      <c r="K816" s="401" t="inlineStr">
        <is>
          <t>X</t>
        </is>
      </c>
      <c r="L816" s="395" t="inlineStr">
        <is>
          <t>X</t>
        </is>
      </c>
      <c r="M816" s="401" t="n"/>
      <c r="N816" s="395" t="inlineStr">
        <is>
          <t>Done</t>
        </is>
      </c>
      <c r="O816" s="401" t="n"/>
      <c r="P816" s="395" t="n"/>
      <c r="Q816" s="401" t="inlineStr">
        <is>
          <t>SCMS.BM_BAO_CAO
SCMS.BM_SHEET
SCMS.BM_BAO_CAO_CT
SCMS.DM_CHI_TIEU</t>
        </is>
      </c>
      <c r="R816" s="402" t="inlineStr">
        <is>
          <t>dct.ID,
dct.MA_CHI_TIEU,
dct.TEN_CHI_TIEU,
dct.SU_DUNG,
s.BM_BAO_CAO_ID,
s.MA_SHEET,
ct.BM_BAO_CAO_ID,
ct.DM_CHI_TIEU_ID,
ct.SU_DUNG,
bm.ID,
bm.MA_BAO_CAO,
bm.SU_DUNG</t>
        </is>
      </c>
      <c r="S816" s="395" t="n"/>
      <c r="T816" s="384" t="inlineStr">
        <is>
          <t>-- Mã chỉ tiêu / Tên chỉ tiêu
SELECT DISTINCT
    dct.MA_CHI_TIEU  AS ma_chi_tieu,
    dct.TEN_CHI_TIEU AS ten_chi_tieu
FROM SCMS.BM_BAO_CAO bm
JOIN SCMS.BM_SHEET s ON s.BM_BAO_CAO_ID = bm.ID
	AND s.MA_SHEET = 'VIII.2'
JOIN SCMS.BM_BAO_CAO_CT ct ON ct.BM_SHEET_ID = s.ID
	AND ct.SU_DUNG = 1
JOIN SCMS.DM_CHI_TIEU dct ON dct.ID = ct.DM_CHI_TIEU_ID
	AND dct.SU_DUNG = 1
WHERE bm.MA_BAO_CAO = 'CQCDB'
	AND bm.SU_DUNG = 1
ORDER BY dct.MA_CHI_TIEU;</t>
        </is>
      </c>
      <c r="U816" s="386" t="n"/>
      <c r="V816" s="395" t="n"/>
      <c r="W816" s="395" t="n"/>
      <c r="X816" s="395" t="n"/>
      <c r="Y816" s="395" t="n"/>
      <c r="Z816" s="395" t="n"/>
      <c r="AA816" s="395" t="n"/>
      <c r="AB816" s="395" t="n"/>
      <c r="AC816" s="395" t="n"/>
      <c r="AD816" s="395" t="n"/>
      <c r="AE816" s="395" t="n"/>
    </row>
    <row r="817" ht="56" customHeight="1" s="380">
      <c r="A817" s="112" t="n">
        <v>53</v>
      </c>
      <c r="B817" s="386" t="n"/>
      <c r="C817" s="386" t="inlineStr">
        <is>
          <t>Báo cáo chứng quyền có đảm bảo &gt;&gt; Báo cáo hoạt động chứng quyền có bảo đảm - VIII.2</t>
        </is>
      </c>
      <c r="D817" s="106" t="inlineStr">
        <is>
          <t>Tên chỉ tiêu</t>
        </is>
      </c>
      <c r="E817" s="107" t="inlineStr">
        <is>
          <t>Tên chỉ tiêu</t>
        </is>
      </c>
      <c r="F817" s="390" t="inlineStr">
        <is>
          <t>Data Explorer</t>
        </is>
      </c>
      <c r="G817" s="390" t="inlineStr">
        <is>
          <t>Chiều</t>
        </is>
      </c>
      <c r="H817" s="390" t="inlineStr">
        <is>
          <t>Dễ</t>
        </is>
      </c>
      <c r="I817" s="390" t="inlineStr">
        <is>
          <t>Ngày, CTCK</t>
        </is>
      </c>
      <c r="J817" s="401" t="inlineStr">
        <is>
          <t>SCMS</t>
        </is>
      </c>
      <c r="K817" s="401" t="inlineStr">
        <is>
          <t>X</t>
        </is>
      </c>
      <c r="L817" s="395" t="inlineStr">
        <is>
          <t>X</t>
        </is>
      </c>
      <c r="M817" s="401" t="n"/>
      <c r="N817" s="395" t="inlineStr">
        <is>
          <t>Done</t>
        </is>
      </c>
      <c r="O817" s="401" t="n"/>
      <c r="P817" s="395" t="n"/>
      <c r="S817" s="395" t="n"/>
      <c r="U817" s="386" t="n"/>
      <c r="V817" s="395" t="n"/>
      <c r="W817" s="395" t="n"/>
      <c r="X817" s="395" t="n"/>
      <c r="Y817" s="395" t="n"/>
      <c r="Z817" s="395" t="n"/>
      <c r="AA817" s="395" t="n"/>
      <c r="AB817" s="395" t="n"/>
      <c r="AC817" s="395" t="n"/>
      <c r="AD817" s="395" t="n"/>
      <c r="AE817" s="395" t="n"/>
    </row>
    <row r="818" ht="56" customHeight="1" s="380">
      <c r="A818" s="112" t="n">
        <v>53</v>
      </c>
      <c r="B818" s="386" t="n"/>
      <c r="C818" s="386" t="inlineStr">
        <is>
          <t>Báo cáo chứng quyền có đảm bảo &gt;&gt; Báo cáo hoạt động chứng quyền có bảo đảm - VIII.2</t>
        </is>
      </c>
      <c r="D818" s="386" t="inlineStr">
        <is>
          <t>Tên CTCK</t>
        </is>
      </c>
      <c r="E818" s="395" t="inlineStr">
        <is>
          <t>Tên CTCK</t>
        </is>
      </c>
      <c r="F818" s="386" t="inlineStr">
        <is>
          <t>Data Explorer</t>
        </is>
      </c>
      <c r="G818" s="386" t="inlineStr">
        <is>
          <t>Chỉ tiêu cơ sở</t>
        </is>
      </c>
      <c r="H818" s="386" t="inlineStr">
        <is>
          <t>Trùng</t>
        </is>
      </c>
      <c r="I818" s="386" t="inlineStr">
        <is>
          <t>Ngày, CTCK</t>
        </is>
      </c>
      <c r="J818" s="395" t="inlineStr">
        <is>
          <t>SCMS</t>
        </is>
      </c>
      <c r="K818" s="395" t="n"/>
      <c r="L818" s="395" t="inlineStr">
        <is>
          <t>X</t>
        </is>
      </c>
      <c r="M818" s="395" t="n"/>
      <c r="N818" s="395" t="inlineStr">
        <is>
          <t>Done</t>
        </is>
      </c>
      <c r="O818" s="401" t="n"/>
      <c r="P818" s="395" t="n"/>
      <c r="Q818" s="428" t="inlineStr">
        <is>
          <t>SCMS.BC_THANH_VIEN
SCMS.BM_BAO_CAO
SCMS.BC_BAO_CAO_GT
SCMS.CTCK_THONG_TIN
SCMS.CTCK_NHAN_SU_CAO_CAP
SCMS.DM_CHUC_VU</t>
        </is>
      </c>
      <c r="R818" s="428" t="inlineStr">
        <is>
          <t>c.ID,
c.TEN_VIET_TAT,
c.SAN_NIEM_YET,
c.MA_CHUNG_KHOAN,
c.GIAY_PHEP_KINH_DOANH,
c.NGAY_CAP_GPKD,
btv.ID,
btv.BM_BAO_CAO_ID,
btv.CTCK_THONG_TIN_ID,
btv.NGAY_SO_LIEU,
btv.TRANG_THAI,
g.BC_THANH_VIEN_ID,
g.TEN_COT,
g.GIA_TRI,
g.TEN_SHEET,
bm.ID,
bm.MA_BAO_CAO,
ns.CTCK_THONG_TIN_ID,
ns.HO_TEN,
ns.IS_BANG_TAM,
ns.TRANG_THAI,
ns.CHUC_VU_ID,
cv.ID,
cv.TEN_CHUC_VU</t>
        </is>
      </c>
      <c r="S818" s="397" t="n"/>
      <c r="T818" s="429" t="inlineStr">
        <is>
          <t>-- CHỈ TIÊU
SELECT
    ROW_NUMBER() OVER (ORDER BY ngay_bao_cao DESC, ten_ctck) AS stt,
    ten_ctck,
    san_giao_dich,
    ma_ck,
    so_giay_phep,
    ngay_cap_giay_phep,
    "Tên chứng quyền",
    "Mã chứng quyền",
    "Số lượng chứng quyền đầu kỳ tại ngày",
    "Giá trị tương ứng với số lượng chứng quyền đầu kỳ",
    "Số lượng chứng quyền cuối kỳ tại ngày",
    "Giá đóng cửa phiên giao dịch cuối cùng của tháng",
    "Giá trị cuối kỳ",
    "Chênh lệch giữa giá trị cuối kỳ với giá trị đầu kỳ",
    "Loại tài sản bảo đảm",
    "Giá trị kỳ báo cáo",
    "Giá trị kỳ trước",
    "Thay đổi so với kỳ trước"
FROM (
    SELECT
        c.TEN_VIET_TAT AS ten_ctck,
        c.SAN_NIEM_YET AS san_giao_dich,
        c.MA_CHUNG_KHOAN AS ma_ck,
        c.GIAY_PHEP_KINH_DOANH AS so_giay_phep,
        c.NGAY_CAP_GPKD AS ngay_cap_giay_phep,
        btv.NGAY_SO_LIEU AS ngay_bao_cao,
        MAX(CASE WHEN g.TEN_COT LIKE N'%Tên chứng quyền%' THEN g.GIA_TRI END) AS "Tên chứng quyền",
        MAX(CASE WHEN g.TEN_COT LIKE N'%Mã chứng quyền%' THEN g.GIA_TRI END) AS "Mã chứng quyền",
        MAX(CASE WHEN g.TEN_COT LIKE N'%Số lượng chứng quyền đầu kỳ tại ngày%' THEN g.GIA_TRI END) AS "Số lượng chứng quyền đầu kỳ tại ngày",
        MAX(CASE WHEN g.TEN_COT LIKE N'%Giá trị tương ứng với số lượng chứng quyền đầu kỳ%' THEN g.GIA_TRI END) AS "Giá trị tương ứng với số lượng chứng quyền đầu kỳ",
        MAX(CASE WHEN g.TEN_COT LIKE N'%Số lượng chứng quyền cuối kỳ tại ngày%' THEN g.GIA_TRI END) AS "Số lượng chứng quyền cuối kỳ tại ngày",
        MAX(CASE WHEN g.TEN_COT LIKE N'%Giá đóng cửa phiên giao dịch cuối cùng của tháng%' THEN g.GIA_TRI END) AS "Giá đóng cửa phiên giao dịch cuối cùng của tháng",
        MAX(CASE WHEN g.TEN_COT LIKE N'%Giá trị cuối kỳ%' THEN g.GIA_TRI END) AS "Giá trị cuối kỳ",
        MAX(CASE WHEN g.TEN_COT LIKE N'%Chênh lệch giữa giá trị cuối kỳ với giá trị đầu kỳ%' THEN g.GIA_TRI END) AS "Chênh lệch giữa giá trị cuối kỳ với giá trị đầu kỳ",
        MAX(CASE WHEN g.TEN_COT LIKE N'%Loại tài sản bảo đảm%' THEN g.GIA_TRI END) AS "Loại tài sản bảo đảm",
        MAX(CASE WHEN g.TEN_COT LIKE N'%Giá trị kỳ báo cáo%' THEN g.GIA_TRI END) AS "Giá trị kỳ báo cáo",
        MAX(CASE WHEN g.TEN_COT LIKE N'%Giá trị kỳ trước%' THEN g.GIA_TRI END) AS "Giá trị kỳ trước",
        MAX(CASE WHEN g.TEN_COT LIKE N'%Thay đổi so với kỳ trước%' THEN g.GIA_TRI END) AS "Thay đổi so với kỳ trước"
    FROM SCMS.BC_THANH_VIEN btv
    JOIN SCMS.BM_BAO_CAO bm ON bm.ID = btv.BM_BAO_CAO_ID
    JOIN (
        SELECT
            BC_THANH_VIEN_ID,
            TEN_SHEET,
            TEN_COT,
            CAST(GIA_TRI AS VARCHAR2(4000)) AS GIA_TRI
        FROM SCMS.BC_BAO_CAO_GT
        WHERE TEN_SHEET = N'VIII.2'
    ) g ON g.BC_THANH_VIEN_ID = btv.ID
    JOIN SCMS.CTCK_THONG_TIN c ON c.ID = btv.CTCK_THONG_TIN_ID
    WHERE bm.MA_BAO_CAO  = 'CQCDB'
      AND btv.TRANG_THAI IN (2, 3)
    GROUP BY
        btv.ID, btv.CTCK_THONG_TIN_ID, btv.NGAY_SO_LIEU, btv.TRANG_THAI,
        bm.MA_BAO_CAO, g.TEN_SHEET, c.TEN_VIET_TAT, c.SAN_NIEM_YET,
        c.MA_CHUNG_KHOAN, c.GIAY_PHEP_KINH_DOANH, c.NGAY_CAP_GPKD
)
ORDER BY ngay_bao_cao DESC, ten_ctck;</t>
        </is>
      </c>
      <c r="U818" s="386" t="n"/>
      <c r="V818" s="395" t="n"/>
      <c r="W818" s="395" t="n"/>
      <c r="X818" s="395" t="n"/>
      <c r="Y818" s="395" t="n"/>
      <c r="Z818" s="395" t="n"/>
      <c r="AA818" s="395" t="n"/>
      <c r="AB818" s="395" t="n"/>
      <c r="AC818" s="395" t="n"/>
      <c r="AD818" s="395" t="n"/>
      <c r="AE818" s="395" t="n"/>
    </row>
    <row r="819" ht="56" customHeight="1" s="380">
      <c r="A819" s="112" t="n">
        <v>53</v>
      </c>
      <c r="B819" s="386" t="n"/>
      <c r="C819" s="386" t="inlineStr">
        <is>
          <t>Báo cáo chứng quyền có đảm bảo &gt;&gt; Báo cáo hoạt động chứng quyền có bảo đảm - VIII.2</t>
        </is>
      </c>
      <c r="D819" s="386" t="inlineStr">
        <is>
          <t>Sàn giao dịch</t>
        </is>
      </c>
      <c r="E819" s="395" t="inlineStr">
        <is>
          <t>Sàn giao dịch</t>
        </is>
      </c>
      <c r="F819" s="386" t="inlineStr">
        <is>
          <t>Data Explorer</t>
        </is>
      </c>
      <c r="G819" s="386" t="inlineStr">
        <is>
          <t>Chỉ tiêu cơ sở</t>
        </is>
      </c>
      <c r="H819" s="386" t="inlineStr">
        <is>
          <t>Trùng</t>
        </is>
      </c>
      <c r="I819" s="386" t="inlineStr">
        <is>
          <t>Ngày, CTCK</t>
        </is>
      </c>
      <c r="J819" s="395" t="inlineStr">
        <is>
          <t>SCMS</t>
        </is>
      </c>
      <c r="K819" s="395" t="n"/>
      <c r="L819" s="395" t="inlineStr">
        <is>
          <t>X</t>
        </is>
      </c>
      <c r="M819" s="395" t="n"/>
      <c r="N819" s="395" t="inlineStr">
        <is>
          <t>Done</t>
        </is>
      </c>
      <c r="O819" s="401" t="n"/>
      <c r="P819" s="395" t="n"/>
      <c r="S819" s="397" t="n"/>
      <c r="U819" s="386" t="n"/>
      <c r="V819" s="395" t="n"/>
      <c r="W819" s="395" t="n"/>
      <c r="X819" s="395" t="n"/>
      <c r="Y819" s="395" t="n"/>
      <c r="Z819" s="395" t="n"/>
      <c r="AA819" s="395" t="n"/>
      <c r="AB819" s="395" t="n"/>
      <c r="AC819" s="395" t="n"/>
      <c r="AD819" s="395" t="n"/>
      <c r="AE819" s="395" t="n"/>
    </row>
    <row r="820" ht="56" customHeight="1" s="380">
      <c r="A820" s="112" t="n">
        <v>53</v>
      </c>
      <c r="B820" s="386" t="n"/>
      <c r="C820" s="386" t="inlineStr">
        <is>
          <t>Báo cáo chứng quyền có đảm bảo &gt;&gt; Báo cáo hoạt động chứng quyền có bảo đảm - VIII.2</t>
        </is>
      </c>
      <c r="D820" s="386" t="inlineStr">
        <is>
          <t>Mã CK</t>
        </is>
      </c>
      <c r="E820" s="395" t="inlineStr">
        <is>
          <t>Mã CK</t>
        </is>
      </c>
      <c r="F820" s="386" t="inlineStr">
        <is>
          <t>Data Explorer</t>
        </is>
      </c>
      <c r="G820" s="386" t="inlineStr">
        <is>
          <t>Chỉ tiêu cơ sở</t>
        </is>
      </c>
      <c r="H820" s="386" t="inlineStr">
        <is>
          <t>Trùng</t>
        </is>
      </c>
      <c r="I820" s="386" t="inlineStr">
        <is>
          <t>Ngày, CTCK</t>
        </is>
      </c>
      <c r="J820" s="395" t="inlineStr">
        <is>
          <t>SCMS</t>
        </is>
      </c>
      <c r="K820" s="395" t="n"/>
      <c r="L820" s="395" t="inlineStr">
        <is>
          <t>X</t>
        </is>
      </c>
      <c r="M820" s="395" t="n"/>
      <c r="N820" s="395" t="inlineStr">
        <is>
          <t>Done</t>
        </is>
      </c>
      <c r="O820" s="401" t="n"/>
      <c r="P820" s="395" t="n"/>
      <c r="S820" s="397" t="n"/>
      <c r="U820" s="386" t="n"/>
      <c r="V820" s="395" t="n"/>
      <c r="W820" s="395" t="n"/>
      <c r="X820" s="395" t="n"/>
      <c r="Y820" s="395" t="n"/>
      <c r="Z820" s="395" t="n"/>
      <c r="AA820" s="395" t="n"/>
      <c r="AB820" s="395" t="n"/>
      <c r="AC820" s="395" t="n"/>
      <c r="AD820" s="395" t="n"/>
      <c r="AE820" s="395" t="n"/>
    </row>
    <row r="821" ht="56" customHeight="1" s="380">
      <c r="A821" s="112" t="n">
        <v>53</v>
      </c>
      <c r="B821" s="386" t="n"/>
      <c r="C821" s="386" t="inlineStr">
        <is>
          <t>Báo cáo chứng quyền có đảm bảo &gt;&gt; Báo cáo hoạt động chứng quyền có bảo đảm - VIII.2</t>
        </is>
      </c>
      <c r="D821" s="386" t="inlineStr">
        <is>
          <t>Giấy phép Hoạt động của Chủ tịch UBCKNN cấp lần đầu &gt;&gt; Số</t>
        </is>
      </c>
      <c r="E821" s="386" t="inlineStr">
        <is>
          <t>Giấy phép Hoạt động của Chủ tịch UBCKNN cấp lần đầu &gt;&gt; Số</t>
        </is>
      </c>
      <c r="F821" s="386" t="inlineStr">
        <is>
          <t>Data Explorer</t>
        </is>
      </c>
      <c r="G821" s="386" t="inlineStr">
        <is>
          <t>Chỉ tiêu cơ sở</t>
        </is>
      </c>
      <c r="H821" s="386" t="inlineStr">
        <is>
          <t>Trùng</t>
        </is>
      </c>
      <c r="I821" s="386" t="inlineStr">
        <is>
          <t>Ngày, CTCK</t>
        </is>
      </c>
      <c r="J821" s="395" t="inlineStr">
        <is>
          <t>SCMS</t>
        </is>
      </c>
      <c r="K821" s="395" t="n"/>
      <c r="L821" s="395" t="inlineStr">
        <is>
          <t>X</t>
        </is>
      </c>
      <c r="M821" s="395" t="n"/>
      <c r="N821" s="395" t="inlineStr">
        <is>
          <t>Done</t>
        </is>
      </c>
      <c r="O821" s="401" t="n"/>
      <c r="P821" s="395" t="n"/>
      <c r="S821" s="397" t="n"/>
      <c r="U821" s="386" t="n"/>
      <c r="V821" s="395" t="n"/>
      <c r="W821" s="395" t="n"/>
      <c r="X821" s="395" t="n"/>
      <c r="Y821" s="395" t="n"/>
      <c r="Z821" s="395" t="n"/>
      <c r="AA821" s="395" t="n"/>
      <c r="AB821" s="395" t="n"/>
      <c r="AC821" s="395" t="n"/>
      <c r="AD821" s="395" t="n"/>
      <c r="AE821" s="395" t="n"/>
    </row>
    <row r="822" ht="56" customHeight="1" s="380">
      <c r="A822" s="112" t="n">
        <v>53</v>
      </c>
      <c r="B822" s="386" t="n"/>
      <c r="C822" s="386" t="inlineStr">
        <is>
          <t>Báo cáo chứng quyền có đảm bảo &gt;&gt; Báo cáo hoạt động chứng quyền có bảo đảm - VIII.2</t>
        </is>
      </c>
      <c r="D822" s="386" t="inlineStr">
        <is>
          <t>Giấy phép Hoạt động của Chủ tịch UBCKNN cấp lần đầu &gt;&gt; Ngày cấp</t>
        </is>
      </c>
      <c r="E822" s="386" t="inlineStr">
        <is>
          <t>Giấy phép Hoạt động của Chủ tịch UBCKNN cấp lần đầu &gt;&gt; Ngày cấp</t>
        </is>
      </c>
      <c r="F822" s="386" t="inlineStr">
        <is>
          <t>Data Explorer</t>
        </is>
      </c>
      <c r="G822" s="386" t="inlineStr">
        <is>
          <t>Chỉ tiêu cơ sở</t>
        </is>
      </c>
      <c r="H822" s="386" t="inlineStr">
        <is>
          <t>Trùng</t>
        </is>
      </c>
      <c r="I822" s="386" t="inlineStr">
        <is>
          <t>Ngày, CTCK</t>
        </is>
      </c>
      <c r="J822" s="395" t="inlineStr">
        <is>
          <t>SCMS</t>
        </is>
      </c>
      <c r="K822" s="395" t="n"/>
      <c r="L822" s="395" t="inlineStr">
        <is>
          <t>X</t>
        </is>
      </c>
      <c r="M822" s="395" t="n"/>
      <c r="N822" s="395" t="inlineStr">
        <is>
          <t>Done</t>
        </is>
      </c>
      <c r="O822" s="401" t="n"/>
      <c r="P822" s="395" t="n"/>
      <c r="S822" s="397" t="n"/>
      <c r="U822" s="386" t="n"/>
      <c r="V822" s="395" t="n"/>
      <c r="W822" s="395" t="n"/>
      <c r="X822" s="395" t="n"/>
      <c r="Y822" s="36" t="n"/>
      <c r="Z822" s="395" t="n"/>
      <c r="AA822" s="395" t="n"/>
      <c r="AB822" s="395" t="n"/>
      <c r="AC822" s="395" t="n"/>
      <c r="AD822" s="395" t="n"/>
      <c r="AE822" s="395" t="n"/>
    </row>
    <row r="823" ht="56" customHeight="1" s="380">
      <c r="A823" s="112" t="n">
        <v>53</v>
      </c>
      <c r="B823" s="386" t="n"/>
      <c r="C823" s="386" t="inlineStr">
        <is>
          <t>Báo cáo chứng quyền có đảm bảo &gt;&gt; Báo cáo hoạt động chứng quyền có bảo đảm - VIII.2</t>
        </is>
      </c>
      <c r="D823" s="386" t="inlineStr">
        <is>
          <t>Tên chứng quyền</t>
        </is>
      </c>
      <c r="E823" s="395" t="inlineStr">
        <is>
          <t>Tên chứng quyền</t>
        </is>
      </c>
      <c r="F823" s="386" t="inlineStr">
        <is>
          <t>Data Explorer</t>
        </is>
      </c>
      <c r="G823" s="386" t="inlineStr">
        <is>
          <t>Chỉ tiêu cơ sở</t>
        </is>
      </c>
      <c r="H823" s="386" t="inlineStr">
        <is>
          <t>Trùng</t>
        </is>
      </c>
      <c r="I823" s="386" t="inlineStr">
        <is>
          <t>Ngày, CTCK</t>
        </is>
      </c>
      <c r="J823" s="395" t="inlineStr">
        <is>
          <t>SCMS</t>
        </is>
      </c>
      <c r="K823" s="395" t="n"/>
      <c r="L823" s="395" t="inlineStr">
        <is>
          <t>X</t>
        </is>
      </c>
      <c r="M823" s="395" t="n"/>
      <c r="N823" s="395" t="inlineStr">
        <is>
          <t>Done</t>
        </is>
      </c>
      <c r="O823" s="401" t="n"/>
      <c r="P823" s="395" t="n"/>
      <c r="S823" s="397" t="n"/>
      <c r="U823" s="386" t="n"/>
      <c r="V823" s="395" t="n"/>
      <c r="W823" s="395" t="n"/>
      <c r="X823" s="395" t="n"/>
      <c r="Y823" s="395" t="n"/>
      <c r="Z823" s="395" t="n"/>
      <c r="AA823" s="395" t="n"/>
      <c r="AB823" s="395" t="n"/>
      <c r="AC823" s="395" t="n"/>
      <c r="AD823" s="395" t="n"/>
      <c r="AE823" s="395" t="n"/>
    </row>
    <row r="824" ht="56" customHeight="1" s="380">
      <c r="A824" s="112" t="n">
        <v>53</v>
      </c>
      <c r="B824" s="386" t="n"/>
      <c r="C824" s="386" t="inlineStr">
        <is>
          <t>Báo cáo chứng quyền có đảm bảo &gt;&gt; Báo cáo hoạt động chứng quyền có bảo đảm - VIII.2</t>
        </is>
      </c>
      <c r="D824" s="386" t="inlineStr">
        <is>
          <t>Mã chứng quyền</t>
        </is>
      </c>
      <c r="E824" s="395" t="inlineStr">
        <is>
          <t>Mã chứng quyền</t>
        </is>
      </c>
      <c r="F824" s="386" t="inlineStr">
        <is>
          <t>Data Explorer</t>
        </is>
      </c>
      <c r="G824" s="386" t="inlineStr">
        <is>
          <t>Chỉ tiêu cơ sở</t>
        </is>
      </c>
      <c r="H824" s="386" t="inlineStr">
        <is>
          <t>Trùng</t>
        </is>
      </c>
      <c r="I824" s="386" t="inlineStr">
        <is>
          <t>Ngày, CTCK</t>
        </is>
      </c>
      <c r="J824" s="395" t="inlineStr">
        <is>
          <t>SCMS</t>
        </is>
      </c>
      <c r="K824" s="395" t="n"/>
      <c r="L824" s="395" t="inlineStr">
        <is>
          <t>X</t>
        </is>
      </c>
      <c r="M824" s="395" t="n"/>
      <c r="N824" s="395" t="inlineStr">
        <is>
          <t>Done</t>
        </is>
      </c>
      <c r="O824" s="401" t="n"/>
      <c r="P824" s="395" t="n"/>
      <c r="S824" s="397" t="n"/>
      <c r="U824" s="386" t="n"/>
      <c r="V824" s="395" t="n"/>
      <c r="W824" s="395" t="n"/>
      <c r="X824" s="395" t="n"/>
      <c r="Y824" s="395" t="n"/>
      <c r="Z824" s="395" t="n"/>
      <c r="AA824" s="395" t="n"/>
      <c r="AB824" s="395" t="n"/>
      <c r="AC824" s="395" t="n"/>
      <c r="AD824" s="395" t="n"/>
      <c r="AE824" s="395" t="n"/>
    </row>
    <row r="825" ht="56" customHeight="1" s="380">
      <c r="A825" s="112" t="n">
        <v>53</v>
      </c>
      <c r="B825" s="386" t="n"/>
      <c r="C825" s="386" t="inlineStr">
        <is>
          <t>Báo cáo chứng quyền có đảm bảo &gt;&gt; Báo cáo hoạt động chứng quyền có bảo đảm - VIII.2</t>
        </is>
      </c>
      <c r="D825" s="386" t="inlineStr">
        <is>
          <t>Số lượng chứng quyền đầu kỳ tại ngày</t>
        </is>
      </c>
      <c r="E825" s="395" t="inlineStr">
        <is>
          <t>Số lượng chứng quyền đầu kỳ tại ngày</t>
        </is>
      </c>
      <c r="F825" s="386" t="inlineStr">
        <is>
          <t>Data Explorer</t>
        </is>
      </c>
      <c r="G825" s="386" t="inlineStr">
        <is>
          <t>Chỉ tiêu cơ sở</t>
        </is>
      </c>
      <c r="H825" s="386" t="inlineStr">
        <is>
          <t>TB</t>
        </is>
      </c>
      <c r="I825" s="386" t="inlineStr">
        <is>
          <t>Ngày, CTCK</t>
        </is>
      </c>
      <c r="J825" s="395" t="inlineStr">
        <is>
          <t>SCMS</t>
        </is>
      </c>
      <c r="K825" s="395" t="n"/>
      <c r="L825" s="395" t="inlineStr">
        <is>
          <t>X</t>
        </is>
      </c>
      <c r="M825" s="395" t="n"/>
      <c r="N825" s="395" t="inlineStr">
        <is>
          <t>Done</t>
        </is>
      </c>
      <c r="O825" s="401" t="n"/>
      <c r="P825" s="395" t="n"/>
      <c r="S825" s="397" t="n"/>
      <c r="U825" s="386" t="n"/>
      <c r="V825" s="395" t="n"/>
      <c r="W825" s="395" t="n"/>
      <c r="X825" s="395" t="n"/>
      <c r="Y825" s="395" t="n"/>
      <c r="Z825" s="395" t="n"/>
      <c r="AA825" s="395" t="n"/>
      <c r="AB825" s="395" t="n"/>
      <c r="AC825" s="395" t="n"/>
      <c r="AD825" s="395" t="n"/>
      <c r="AE825" s="395" t="n"/>
    </row>
    <row r="826" ht="56" customHeight="1" s="380">
      <c r="A826" s="112" t="n">
        <v>53</v>
      </c>
      <c r="B826" s="386" t="n"/>
      <c r="C826" s="386" t="inlineStr">
        <is>
          <t>Báo cáo chứng quyền có đảm bảo &gt;&gt; Báo cáo hoạt động chứng quyền có bảo đảm - VIII.2</t>
        </is>
      </c>
      <c r="D826" s="386" t="inlineStr">
        <is>
          <t>Giá trị tương ứng với số lượng chứng quyền đầu kỳ</t>
        </is>
      </c>
      <c r="E826" s="386" t="inlineStr">
        <is>
          <t>Giá trị tương ứng với số lượng chứng quyền đầu kỳ</t>
        </is>
      </c>
      <c r="F826" s="386" t="inlineStr">
        <is>
          <t>Data Explorer</t>
        </is>
      </c>
      <c r="G826" s="386" t="inlineStr">
        <is>
          <t>Chỉ tiêu cơ sở</t>
        </is>
      </c>
      <c r="H826" s="386" t="inlineStr">
        <is>
          <t>TB</t>
        </is>
      </c>
      <c r="I826" s="386" t="inlineStr">
        <is>
          <t>Ngày, CTCK</t>
        </is>
      </c>
      <c r="J826" s="395" t="inlineStr">
        <is>
          <t>SCMS</t>
        </is>
      </c>
      <c r="K826" s="395" t="n"/>
      <c r="L826" s="395" t="inlineStr">
        <is>
          <t>X</t>
        </is>
      </c>
      <c r="M826" s="395" t="n"/>
      <c r="N826" s="395" t="inlineStr">
        <is>
          <t>Done</t>
        </is>
      </c>
      <c r="O826" s="401" t="n"/>
      <c r="P826" s="395" t="n"/>
      <c r="S826" s="397" t="n"/>
      <c r="U826" s="386" t="n"/>
      <c r="V826" s="395" t="n"/>
      <c r="W826" s="395" t="n"/>
      <c r="X826" s="395" t="n"/>
      <c r="Y826" s="395" t="n"/>
      <c r="Z826" s="395" t="n"/>
      <c r="AA826" s="395" t="n"/>
      <c r="AB826" s="395" t="n"/>
      <c r="AC826" s="395" t="n"/>
      <c r="AD826" s="395" t="n"/>
      <c r="AE826" s="395" t="n"/>
    </row>
    <row r="827" ht="56" customHeight="1" s="380">
      <c r="A827" s="112" t="n">
        <v>53</v>
      </c>
      <c r="B827" s="386" t="n"/>
      <c r="C827" s="386" t="inlineStr">
        <is>
          <t>Báo cáo chứng quyền có đảm bảo &gt;&gt; Báo cáo hoạt động chứng quyền có bảo đảm - VIII.2</t>
        </is>
      </c>
      <c r="D827" s="386" t="inlineStr">
        <is>
          <t>Số lượng chứng quyền cuối kỳ tại ngày</t>
        </is>
      </c>
      <c r="E827" s="395" t="inlineStr">
        <is>
          <t>Số lượng chứng quyền cuối kỳ tại ngày</t>
        </is>
      </c>
      <c r="F827" s="386" t="inlineStr">
        <is>
          <t>Data Explorer</t>
        </is>
      </c>
      <c r="G827" s="386" t="inlineStr">
        <is>
          <t>Chỉ tiêu cơ sở</t>
        </is>
      </c>
      <c r="H827" s="386" t="inlineStr">
        <is>
          <t>TB</t>
        </is>
      </c>
      <c r="I827" s="386" t="inlineStr">
        <is>
          <t>Ngày, CTCK</t>
        </is>
      </c>
      <c r="J827" s="395" t="inlineStr">
        <is>
          <t>SCMS</t>
        </is>
      </c>
      <c r="K827" s="395" t="n"/>
      <c r="L827" s="395" t="inlineStr">
        <is>
          <t>X</t>
        </is>
      </c>
      <c r="M827" s="395" t="n"/>
      <c r="N827" s="395" t="inlineStr">
        <is>
          <t>Done</t>
        </is>
      </c>
      <c r="O827" s="401" t="n"/>
      <c r="P827" s="395" t="n"/>
      <c r="S827" s="397" t="n"/>
      <c r="U827" s="386" t="n"/>
      <c r="V827" s="395" t="n"/>
      <c r="W827" s="395" t="n"/>
      <c r="X827" s="395" t="n"/>
      <c r="Y827" s="395" t="n"/>
      <c r="Z827" s="395" t="n"/>
      <c r="AA827" s="395" t="n"/>
      <c r="AB827" s="395" t="n"/>
      <c r="AC827" s="395" t="n"/>
      <c r="AD827" s="395" t="n"/>
      <c r="AE827" s="395" t="n"/>
    </row>
    <row r="828" ht="56" customHeight="1" s="380">
      <c r="A828" s="112" t="n">
        <v>53</v>
      </c>
      <c r="B828" s="386" t="n"/>
      <c r="C828" s="386" t="inlineStr">
        <is>
          <t>Báo cáo chứng quyền có đảm bảo &gt;&gt; Báo cáo hoạt động chứng quyền có bảo đảm - VIII.2</t>
        </is>
      </c>
      <c r="D828" s="386" t="inlineStr">
        <is>
          <t>Giá đóng cửa phiên giao dịch cuối cùng của tháng (đồng)</t>
        </is>
      </c>
      <c r="E828" s="386" t="inlineStr">
        <is>
          <t>Giá đóng cửa phiên giao dịch cuối cùng của tháng (đồng)</t>
        </is>
      </c>
      <c r="F828" s="386" t="inlineStr">
        <is>
          <t>Data Explorer</t>
        </is>
      </c>
      <c r="G828" s="386" t="inlineStr">
        <is>
          <t>Chỉ tiêu cơ sở</t>
        </is>
      </c>
      <c r="H828" s="386" t="inlineStr">
        <is>
          <t>TB</t>
        </is>
      </c>
      <c r="I828" s="386" t="inlineStr">
        <is>
          <t>Ngày, CTCK</t>
        </is>
      </c>
      <c r="J828" s="395" t="inlineStr">
        <is>
          <t>SCMS</t>
        </is>
      </c>
      <c r="K828" s="395" t="n"/>
      <c r="L828" s="395" t="inlineStr">
        <is>
          <t>X</t>
        </is>
      </c>
      <c r="M828" s="395" t="n"/>
      <c r="N828" s="395" t="inlineStr">
        <is>
          <t>Done</t>
        </is>
      </c>
      <c r="O828" s="401" t="n"/>
      <c r="P828" s="395" t="n"/>
      <c r="S828" s="397" t="n"/>
      <c r="U828" s="386" t="n"/>
      <c r="V828" s="395" t="n"/>
      <c r="W828" s="395" t="n"/>
      <c r="X828" s="395" t="n"/>
      <c r="Y828" s="395" t="n"/>
      <c r="Z828" s="395" t="n"/>
      <c r="AA828" s="395" t="n"/>
      <c r="AB828" s="395" t="n"/>
      <c r="AC828" s="395" t="n"/>
      <c r="AD828" s="395" t="n"/>
      <c r="AE828" s="395" t="n"/>
    </row>
    <row r="829" ht="56" customHeight="1" s="380">
      <c r="A829" s="112" t="n">
        <v>53</v>
      </c>
      <c r="B829" s="386" t="n"/>
      <c r="C829" s="386" t="inlineStr">
        <is>
          <t>Báo cáo chứng quyền có đảm bảo &gt;&gt; Báo cáo hoạt động chứng quyền có bảo đảm - VIII.2</t>
        </is>
      </c>
      <c r="D829" s="386" t="inlineStr">
        <is>
          <t>Giá trị cuối kỳ (đồng)</t>
        </is>
      </c>
      <c r="E829" s="395" t="inlineStr">
        <is>
          <t>Giá trị cuối kỳ (đồng)</t>
        </is>
      </c>
      <c r="F829" s="386" t="inlineStr">
        <is>
          <t>Data Explorer</t>
        </is>
      </c>
      <c r="G829" s="386" t="inlineStr">
        <is>
          <t>Chỉ tiêu cơ sở</t>
        </is>
      </c>
      <c r="H829" s="386" t="inlineStr">
        <is>
          <t>TB</t>
        </is>
      </c>
      <c r="I829" s="386" t="inlineStr">
        <is>
          <t>Ngày, CTCK</t>
        </is>
      </c>
      <c r="J829" s="395" t="inlineStr">
        <is>
          <t>SCMS</t>
        </is>
      </c>
      <c r="K829" s="395" t="n"/>
      <c r="L829" s="395" t="inlineStr">
        <is>
          <t>X</t>
        </is>
      </c>
      <c r="M829" s="395" t="n"/>
      <c r="N829" s="395" t="inlineStr">
        <is>
          <t>Done</t>
        </is>
      </c>
      <c r="O829" s="401" t="n"/>
      <c r="P829" s="395" t="n"/>
      <c r="S829" s="397" t="n"/>
      <c r="U829" s="386" t="n"/>
      <c r="V829" s="395" t="n"/>
      <c r="W829" s="395" t="n"/>
      <c r="X829" s="395" t="n"/>
      <c r="Y829" s="36" t="n"/>
      <c r="Z829" s="395" t="n"/>
      <c r="AA829" s="395" t="n"/>
      <c r="AB829" s="395" t="n"/>
      <c r="AC829" s="395" t="n"/>
      <c r="AD829" s="395" t="n"/>
      <c r="AE829" s="395" t="n"/>
    </row>
    <row r="830" ht="56" customHeight="1" s="380">
      <c r="A830" s="112" t="n">
        <v>53</v>
      </c>
      <c r="B830" s="386" t="n"/>
      <c r="C830" s="386" t="inlineStr">
        <is>
          <t>Báo cáo chứng quyền có đảm bảo &gt;&gt; Báo cáo hoạt động chứng quyền có bảo đảm - VIII.2</t>
        </is>
      </c>
      <c r="D830" s="386" t="inlineStr">
        <is>
          <t>Chênh lệch giữa giá trị cuối kỳ với giá trị đầu kỳ</t>
        </is>
      </c>
      <c r="E830" s="386" t="inlineStr">
        <is>
          <t>Chênh lệch giữa giá trị cuối kỳ với giá trị đầu kỳ</t>
        </is>
      </c>
      <c r="F830" s="386" t="inlineStr">
        <is>
          <t>Data Explorer</t>
        </is>
      </c>
      <c r="G830" s="386" t="inlineStr">
        <is>
          <t>Chỉ tiêu cơ sở</t>
        </is>
      </c>
      <c r="H830" s="386" t="inlineStr">
        <is>
          <t>TB</t>
        </is>
      </c>
      <c r="I830" s="386" t="inlineStr">
        <is>
          <t>Ngày, CTCK</t>
        </is>
      </c>
      <c r="J830" s="395" t="inlineStr">
        <is>
          <t>SCMS</t>
        </is>
      </c>
      <c r="K830" s="395" t="n"/>
      <c r="L830" s="395" t="inlineStr">
        <is>
          <t>X</t>
        </is>
      </c>
      <c r="M830" s="395" t="n"/>
      <c r="N830" s="395" t="inlineStr">
        <is>
          <t>Done</t>
        </is>
      </c>
      <c r="O830" s="401" t="n"/>
      <c r="P830" s="395" t="n"/>
      <c r="S830" s="397" t="n"/>
      <c r="U830" s="386" t="n"/>
      <c r="V830" s="395" t="n"/>
      <c r="W830" s="395" t="n"/>
      <c r="X830" s="395" t="n"/>
      <c r="Y830" s="395" t="n"/>
      <c r="Z830" s="395" t="n"/>
      <c r="AA830" s="395" t="n"/>
      <c r="AB830" s="395" t="n"/>
      <c r="AC830" s="395" t="n"/>
      <c r="AD830" s="395" t="n"/>
      <c r="AE830" s="395" t="n"/>
    </row>
    <row r="831" ht="84" customHeight="1" s="380">
      <c r="A831" s="112" t="n">
        <v>53</v>
      </c>
      <c r="B831" s="386" t="n"/>
      <c r="C831" s="386" t="inlineStr">
        <is>
          <t>Báo cáo chứng quyền có đảm bảo &gt;&gt; Báo cáo hoạt động chứng quyền có bảo đảm - VIII.2</t>
        </is>
      </c>
      <c r="D831" s="386" t="inlineStr">
        <is>
          <t>Tài sản bảo đảm thanh toán/Bảo lãnh thanh toán &gt;&gt; Loại tài sản bảo đảm (Tiền, Chứng chỉ tiền gửi/Hợp đồng tiền gửi, Bảo lãnh thanh toán)</t>
        </is>
      </c>
      <c r="E831" s="386" t="inlineStr">
        <is>
          <t>Tài sản bảo đảm thanh toán/Bảo lãnh thanh toán &gt;&gt; Loại tài sản bảo đảm (Tiền, Chứng chỉ tiền gửi/Hợp đồng tiền gửi, Bảo lãnh thanh toán)</t>
        </is>
      </c>
      <c r="F831" s="386" t="inlineStr">
        <is>
          <t>Data Explorer</t>
        </is>
      </c>
      <c r="G831" s="386" t="inlineStr">
        <is>
          <t>Chỉ tiêu cơ sở</t>
        </is>
      </c>
      <c r="H831" s="386" t="inlineStr">
        <is>
          <t>TB</t>
        </is>
      </c>
      <c r="I831" s="386" t="inlineStr">
        <is>
          <t>Ngày, CTCK</t>
        </is>
      </c>
      <c r="J831" s="395" t="inlineStr">
        <is>
          <t>SCMS</t>
        </is>
      </c>
      <c r="K831" s="395" t="n"/>
      <c r="L831" s="395" t="inlineStr">
        <is>
          <t>X</t>
        </is>
      </c>
      <c r="M831" s="395" t="n"/>
      <c r="N831" s="395" t="inlineStr">
        <is>
          <t>Done</t>
        </is>
      </c>
      <c r="O831" s="401" t="n"/>
      <c r="P831" s="395" t="n"/>
      <c r="S831" s="397" t="n"/>
      <c r="U831" s="386" t="n"/>
      <c r="V831" s="395" t="n"/>
      <c r="W831" s="395" t="n"/>
      <c r="X831" s="395" t="n"/>
      <c r="Y831" s="36" t="n"/>
      <c r="Z831" s="395" t="n"/>
      <c r="AA831" s="395" t="n"/>
      <c r="AB831" s="395" t="n"/>
      <c r="AC831" s="395" t="n"/>
      <c r="AD831" s="395" t="n"/>
      <c r="AE831" s="395" t="n"/>
    </row>
    <row r="832" ht="56" customHeight="1" s="380">
      <c r="A832" s="112" t="n">
        <v>53</v>
      </c>
      <c r="B832" s="386" t="n"/>
      <c r="C832" s="386" t="inlineStr">
        <is>
          <t>Báo cáo chứng quyền có đảm bảo &gt;&gt; Báo cáo hoạt động chứng quyền có bảo đảm - VIII.2</t>
        </is>
      </c>
      <c r="D832" s="386" t="inlineStr">
        <is>
          <t>Tài sản bảo đảm thanh toán/Bảo lãnh thanh toán &gt;&gt; Giá trị kỳ báo cáo</t>
        </is>
      </c>
      <c r="E832" s="386" t="inlineStr">
        <is>
          <t>Tài sản bảo đảm thanh toán/Bảo lãnh thanh toán &gt;&gt; Giá trị kỳ báo cáo</t>
        </is>
      </c>
      <c r="F832" s="386" t="inlineStr">
        <is>
          <t>Data Explorer</t>
        </is>
      </c>
      <c r="G832" s="386" t="inlineStr">
        <is>
          <t>Chỉ tiêu cơ sở</t>
        </is>
      </c>
      <c r="H832" s="386" t="inlineStr">
        <is>
          <t>TB</t>
        </is>
      </c>
      <c r="I832" s="386" t="inlineStr">
        <is>
          <t>Ngày, CTCK</t>
        </is>
      </c>
      <c r="J832" s="395" t="inlineStr">
        <is>
          <t>SCMS</t>
        </is>
      </c>
      <c r="K832" s="395" t="n"/>
      <c r="L832" s="395" t="inlineStr">
        <is>
          <t>X</t>
        </is>
      </c>
      <c r="M832" s="395" t="n"/>
      <c r="N832" s="395" t="inlineStr">
        <is>
          <t>Done</t>
        </is>
      </c>
      <c r="O832" s="401" t="n"/>
      <c r="P832" s="395" t="n"/>
      <c r="S832" s="397" t="n"/>
      <c r="U832" s="386" t="n"/>
      <c r="V832" s="395" t="n"/>
      <c r="W832" s="395" t="n"/>
      <c r="X832" s="395" t="n"/>
      <c r="Y832" s="395" t="n"/>
      <c r="Z832" s="395" t="n"/>
      <c r="AA832" s="395" t="n"/>
      <c r="AB832" s="395" t="n"/>
      <c r="AC832" s="395" t="n"/>
      <c r="AD832" s="395" t="n"/>
      <c r="AE832" s="395" t="n"/>
    </row>
    <row r="833" ht="56" customHeight="1" s="380">
      <c r="A833" s="112" t="n">
        <v>53</v>
      </c>
      <c r="B833" s="386" t="n"/>
      <c r="C833" s="386" t="inlineStr">
        <is>
          <t>Báo cáo chứng quyền có đảm bảo &gt;&gt; Báo cáo hoạt động chứng quyền có bảo đảm - VIII.2</t>
        </is>
      </c>
      <c r="D833" s="386" t="inlineStr">
        <is>
          <t>Tài sản bảo đảm thanh toán/Bảo lãnh thanh toán &gt;&gt; Giá trị kỳ trước</t>
        </is>
      </c>
      <c r="E833" s="386" t="inlineStr">
        <is>
          <t>Tài sản bảo đảm thanh toán/Bảo lãnh thanh toán &gt;&gt; Giá trị kỳ trước</t>
        </is>
      </c>
      <c r="F833" s="386" t="inlineStr">
        <is>
          <t>Data Explorer</t>
        </is>
      </c>
      <c r="G833" s="386" t="inlineStr">
        <is>
          <t>Chỉ tiêu cơ sở</t>
        </is>
      </c>
      <c r="H833" s="386" t="inlineStr">
        <is>
          <t>TB</t>
        </is>
      </c>
      <c r="I833" s="386" t="inlineStr">
        <is>
          <t>Ngày, CTCK</t>
        </is>
      </c>
      <c r="J833" s="395" t="inlineStr">
        <is>
          <t>SCMS</t>
        </is>
      </c>
      <c r="K833" s="395" t="n"/>
      <c r="L833" s="395" t="inlineStr">
        <is>
          <t>X</t>
        </is>
      </c>
      <c r="M833" s="395" t="n"/>
      <c r="N833" s="395" t="inlineStr">
        <is>
          <t>Done</t>
        </is>
      </c>
      <c r="O833" s="401" t="n"/>
      <c r="P833" s="395" t="n"/>
      <c r="S833" s="397" t="n"/>
      <c r="U833" s="386" t="n"/>
      <c r="V833" s="395" t="n"/>
      <c r="W833" s="395" t="n"/>
      <c r="X833" s="395" t="n"/>
      <c r="Y833" s="395" t="n"/>
      <c r="Z833" s="395" t="n"/>
      <c r="AA833" s="395" t="n"/>
      <c r="AB833" s="395" t="n"/>
      <c r="AC833" s="395" t="n"/>
      <c r="AD833" s="395" t="n"/>
      <c r="AE833" s="395" t="n"/>
    </row>
    <row r="834" ht="56" customHeight="1" s="380">
      <c r="A834" s="113" t="n">
        <v>53</v>
      </c>
      <c r="B834" s="68" t="n"/>
      <c r="C834" s="68" t="inlineStr">
        <is>
          <t>Báo cáo chứng quyền có đảm bảo &gt;&gt; Báo cáo hoạt động chứng quyền có bảo đảm - VIII.2</t>
        </is>
      </c>
      <c r="D834" s="68" t="inlineStr">
        <is>
          <t>Tài sản bảo đảm thanh toán/Bảo lãnh thanh toán &gt;&gt; Thay đổi so với kỳ trước</t>
        </is>
      </c>
      <c r="E834" s="68" t="inlineStr">
        <is>
          <t>Tài sản bảo đảm thanh toán/Bảo lãnh thanh toán &gt;&gt; Thay đổi so với kỳ trước</t>
        </is>
      </c>
      <c r="F834" s="68" t="inlineStr">
        <is>
          <t>Data Explorer</t>
        </is>
      </c>
      <c r="G834" s="68" t="inlineStr">
        <is>
          <t>Chỉ tiêu cơ sở</t>
        </is>
      </c>
      <c r="H834" s="68" t="inlineStr">
        <is>
          <t>TB</t>
        </is>
      </c>
      <c r="I834" s="68" t="inlineStr">
        <is>
          <t>Ngày, CTCK</t>
        </is>
      </c>
      <c r="J834" s="69" t="inlineStr">
        <is>
          <t>SCMS</t>
        </is>
      </c>
      <c r="K834" s="69" t="n"/>
      <c r="L834" s="69" t="inlineStr">
        <is>
          <t>X</t>
        </is>
      </c>
      <c r="M834" s="69" t="n"/>
      <c r="N834" s="69" t="inlineStr">
        <is>
          <t>Done</t>
        </is>
      </c>
      <c r="O834" s="85" t="n"/>
      <c r="P834" s="69" t="n"/>
      <c r="Q834" s="426" t="n"/>
      <c r="R834" s="426" t="n"/>
      <c r="S834" s="86" t="n"/>
      <c r="T834" s="426" t="n"/>
      <c r="U834" s="68" t="n"/>
      <c r="V834" s="69" t="n"/>
      <c r="W834" s="69" t="n"/>
      <c r="X834" s="69" t="n"/>
      <c r="Y834" s="69" t="n"/>
      <c r="Z834" s="69" t="n"/>
      <c r="AA834" s="69" t="n"/>
      <c r="AB834" s="69" t="n"/>
      <c r="AC834" s="69" t="n"/>
      <c r="AD834" s="69" t="n"/>
      <c r="AE834" s="69" t="n"/>
    </row>
    <row r="835" ht="56" customHeight="1" s="380">
      <c r="A835" s="112" t="n">
        <v>54</v>
      </c>
      <c r="B835" s="81" t="n"/>
      <c r="C835" s="81" t="inlineStr">
        <is>
          <t>Báo cáo chứng quyền có đảm bảo &gt;&gt; Báo cáo hoạt động chứng quyền có bảo đảm - VIII.2 - Tổng</t>
        </is>
      </c>
      <c r="D835" s="106" t="inlineStr">
        <is>
          <t>Loại báo cáo</t>
        </is>
      </c>
      <c r="E835" s="107" t="inlineStr">
        <is>
          <t>Loại báo cáo</t>
        </is>
      </c>
      <c r="F835" s="390" t="inlineStr">
        <is>
          <t>Data Explorer</t>
        </is>
      </c>
      <c r="G835" s="390" t="inlineStr">
        <is>
          <t>Chiều</t>
        </is>
      </c>
      <c r="H835" s="390" t="inlineStr">
        <is>
          <t>Dễ</t>
        </is>
      </c>
      <c r="I835" s="390" t="inlineStr">
        <is>
          <t>Ngày, CTCK</t>
        </is>
      </c>
      <c r="J835" s="401" t="inlineStr">
        <is>
          <t>SCMS</t>
        </is>
      </c>
      <c r="K835" s="401" t="inlineStr">
        <is>
          <t>X</t>
        </is>
      </c>
      <c r="L835" s="395" t="inlineStr">
        <is>
          <t>X</t>
        </is>
      </c>
      <c r="M835" s="401" t="n"/>
      <c r="N835" s="395" t="inlineStr">
        <is>
          <t>Done</t>
        </is>
      </c>
      <c r="O835" s="401" t="n"/>
      <c r="P835" s="395" t="n"/>
      <c r="Q835" s="404" t="inlineStr">
        <is>
          <t>SCMS.BM_BAO_CAO
SCMS.BM_BAO_CAO_DINH_KY</t>
        </is>
      </c>
      <c r="R835" s="404" t="inlineStr">
        <is>
          <t>bm.ID,
bm.MA_BAO_CAO,
bm.LOAI_BAO_CAO,
bm.TEN_BAO_CAO,
bm.SU_DUNG,
bdk.BM_BAO_CAO_ID,
bdk.KY_BAO_CAO,
bdk.SU_DUNG</t>
        </is>
      </c>
      <c r="S835" s="395" t="n"/>
      <c r="T835" s="384" t="inlineStr">
        <is>
          <t>-- Loại BC / Kỳ BC / Mã BC / Tên BC (chiều DWH – dùng chung)
-- MA_BAO_CAO: CQCDB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 'CQCDB'
        AND bm.SU_DUNG = 1
ORDER BY bdk.KY_BAO_CAO;</t>
        </is>
      </c>
      <c r="U835" s="386" t="n"/>
      <c r="V835" s="395" t="n"/>
      <c r="W835" s="395" t="n"/>
      <c r="X835" s="395" t="n"/>
      <c r="Y835" s="395" t="n"/>
      <c r="Z835" s="395" t="n"/>
      <c r="AA835" s="395" t="n"/>
      <c r="AB835" s="395" t="n"/>
      <c r="AC835" s="395" t="n"/>
      <c r="AD835" s="395" t="n"/>
      <c r="AE835" s="395" t="n"/>
    </row>
    <row r="836" ht="56" customHeight="1" s="380">
      <c r="A836" s="112" t="n">
        <v>54</v>
      </c>
      <c r="B836" s="386" t="n"/>
      <c r="C836" s="386" t="inlineStr">
        <is>
          <t>Báo cáo chứng quyền có đảm bảo &gt;&gt; Báo cáo hoạt động chứng quyền có bảo đảm - VIII.2 - Tổng</t>
        </is>
      </c>
      <c r="D836" s="106" t="inlineStr">
        <is>
          <t>Kỳ báo cáo</t>
        </is>
      </c>
      <c r="E836" s="107" t="inlineStr">
        <is>
          <t>Kỳ báo cáo</t>
        </is>
      </c>
      <c r="F836" s="390" t="inlineStr">
        <is>
          <t>Data Explorer</t>
        </is>
      </c>
      <c r="G836" s="390" t="inlineStr">
        <is>
          <t>Chiều</t>
        </is>
      </c>
      <c r="H836" s="390" t="inlineStr">
        <is>
          <t>Dễ</t>
        </is>
      </c>
      <c r="I836" s="390" t="inlineStr">
        <is>
          <t>Ngày, CTCK</t>
        </is>
      </c>
      <c r="J836" s="401" t="inlineStr">
        <is>
          <t>SCMS</t>
        </is>
      </c>
      <c r="K836" s="401" t="inlineStr">
        <is>
          <t>X</t>
        </is>
      </c>
      <c r="L836" s="395" t="inlineStr">
        <is>
          <t>X</t>
        </is>
      </c>
      <c r="M836" s="401" t="n"/>
      <c r="N836" s="395" t="inlineStr">
        <is>
          <t>Done</t>
        </is>
      </c>
      <c r="O836" s="401" t="n"/>
      <c r="P836" s="395" t="n"/>
      <c r="S836" s="395" t="n"/>
      <c r="U836" s="386" t="n"/>
      <c r="V836" s="395" t="n"/>
      <c r="W836" s="395" t="n"/>
      <c r="X836" s="395" t="n"/>
      <c r="Y836" s="36" t="n"/>
      <c r="Z836" s="395" t="n"/>
      <c r="AA836" s="395" t="n"/>
      <c r="AB836" s="395" t="n"/>
      <c r="AC836" s="395" t="n"/>
      <c r="AD836" s="395" t="n"/>
      <c r="AE836" s="395" t="n"/>
    </row>
    <row r="837" ht="56" customHeight="1" s="380">
      <c r="A837" s="112" t="n">
        <v>54</v>
      </c>
      <c r="B837" s="386" t="n"/>
      <c r="C837" s="386" t="inlineStr">
        <is>
          <t>Báo cáo chứng quyền có đảm bảo &gt;&gt; Báo cáo hoạt động chứng quyền có bảo đảm - VIII.2 - Tổng</t>
        </is>
      </c>
      <c r="D837" s="106" t="inlineStr">
        <is>
          <t>Mã báo cáo</t>
        </is>
      </c>
      <c r="E837" s="107" t="inlineStr">
        <is>
          <t>Mã báo cáo</t>
        </is>
      </c>
      <c r="F837" s="390" t="inlineStr">
        <is>
          <t>Data Explorer</t>
        </is>
      </c>
      <c r="G837" s="390" t="inlineStr">
        <is>
          <t>Chiều</t>
        </is>
      </c>
      <c r="H837" s="390" t="inlineStr">
        <is>
          <t>Dễ</t>
        </is>
      </c>
      <c r="I837" s="390" t="inlineStr">
        <is>
          <t>Ngày, CTCK</t>
        </is>
      </c>
      <c r="J837" s="401" t="inlineStr">
        <is>
          <t>SCMS</t>
        </is>
      </c>
      <c r="K837" s="401" t="inlineStr">
        <is>
          <t>X</t>
        </is>
      </c>
      <c r="L837" s="395" t="inlineStr">
        <is>
          <t>X</t>
        </is>
      </c>
      <c r="M837" s="401" t="n"/>
      <c r="N837" s="395" t="inlineStr">
        <is>
          <t>Done</t>
        </is>
      </c>
      <c r="O837" s="401" t="n"/>
      <c r="P837" s="395" t="n"/>
      <c r="S837" s="395" t="n"/>
      <c r="U837" s="386" t="n"/>
      <c r="V837" s="395" t="n"/>
      <c r="W837" s="395" t="n"/>
      <c r="X837" s="395" t="n"/>
      <c r="Y837" s="37" t="n"/>
      <c r="Z837" s="395" t="n"/>
      <c r="AA837" s="395" t="n"/>
      <c r="AB837" s="395" t="n"/>
      <c r="AC837" s="395" t="n"/>
      <c r="AD837" s="395" t="n"/>
      <c r="AE837" s="395" t="n"/>
    </row>
    <row r="838" ht="56" customHeight="1" s="380">
      <c r="A838" s="112" t="n">
        <v>54</v>
      </c>
      <c r="B838" s="386" t="n"/>
      <c r="C838" s="386" t="inlineStr">
        <is>
          <t>Báo cáo chứng quyền có đảm bảo &gt;&gt; Báo cáo hoạt động chứng quyền có bảo đảm - VIII.2 - Tổng</t>
        </is>
      </c>
      <c r="D838" s="106" t="inlineStr">
        <is>
          <t>Tên báo cáo</t>
        </is>
      </c>
      <c r="E838" s="107" t="inlineStr">
        <is>
          <t>Tên báo cáo</t>
        </is>
      </c>
      <c r="F838" s="390" t="inlineStr">
        <is>
          <t>Data Explorer</t>
        </is>
      </c>
      <c r="G838" s="390" t="inlineStr">
        <is>
          <t>Chiều</t>
        </is>
      </c>
      <c r="H838" s="390" t="inlineStr">
        <is>
          <t>Dễ</t>
        </is>
      </c>
      <c r="I838" s="390" t="inlineStr">
        <is>
          <t>Ngày, CTCK</t>
        </is>
      </c>
      <c r="J838" s="401" t="inlineStr">
        <is>
          <t>SCMS</t>
        </is>
      </c>
      <c r="K838" s="401" t="inlineStr">
        <is>
          <t>X</t>
        </is>
      </c>
      <c r="L838" s="395" t="inlineStr">
        <is>
          <t>X</t>
        </is>
      </c>
      <c r="M838" s="401" t="n"/>
      <c r="N838" s="395" t="inlineStr">
        <is>
          <t>Done</t>
        </is>
      </c>
      <c r="O838" s="401" t="n"/>
      <c r="P838" s="395" t="n"/>
      <c r="S838" s="395" t="n"/>
      <c r="U838" s="386" t="n"/>
      <c r="V838" s="395" t="n"/>
      <c r="W838" s="395" t="n"/>
      <c r="X838" s="395" t="n"/>
      <c r="Y838" s="395" t="n"/>
      <c r="Z838" s="395" t="n"/>
      <c r="AA838" s="395" t="n"/>
      <c r="AB838" s="395" t="n"/>
      <c r="AC838" s="395" t="n"/>
      <c r="AD838" s="395" t="n"/>
      <c r="AE838" s="395" t="n"/>
    </row>
    <row r="839" ht="56" customHeight="1" s="380">
      <c r="A839" s="112" t="n">
        <v>54</v>
      </c>
      <c r="B839" s="386" t="n"/>
      <c r="C839" s="386" t="inlineStr">
        <is>
          <t>Báo cáo chứng quyền có đảm bảo &gt;&gt; Báo cáo hoạt động chứng quyền có bảo đảm - VIII.2 - Tổng</t>
        </is>
      </c>
      <c r="D839" s="106" t="inlineStr">
        <is>
          <t>Mã sheet</t>
        </is>
      </c>
      <c r="E839" s="106" t="inlineStr">
        <is>
          <t>Mã sheet</t>
        </is>
      </c>
      <c r="F839" s="390" t="inlineStr">
        <is>
          <t>Data Explorer</t>
        </is>
      </c>
      <c r="G839" s="390" t="inlineStr">
        <is>
          <t>Chiều</t>
        </is>
      </c>
      <c r="H839" s="390" t="inlineStr">
        <is>
          <t>Dễ</t>
        </is>
      </c>
      <c r="I839" s="390" t="inlineStr">
        <is>
          <t>Ngày, CTCK</t>
        </is>
      </c>
      <c r="J839" s="401" t="inlineStr">
        <is>
          <t>SCMS</t>
        </is>
      </c>
      <c r="K839" s="401" t="inlineStr">
        <is>
          <t>X</t>
        </is>
      </c>
      <c r="L839" s="395" t="inlineStr">
        <is>
          <t>X</t>
        </is>
      </c>
      <c r="M839" s="401" t="n"/>
      <c r="N839" s="395" t="inlineStr">
        <is>
          <t>Done</t>
        </is>
      </c>
      <c r="O839" s="401" t="n"/>
      <c r="P839" s="395" t="n"/>
      <c r="Q839" s="401" t="inlineStr">
        <is>
          <t>SCMS.BM_BAO_CAO
SCMS.BM_SHEET</t>
        </is>
      </c>
      <c r="R839" s="401" t="inlineStr">
        <is>
          <t>bm.ID,
bm.MA_BAO_CAO,
bm.SU_DUNG,
s.BM_BAO_CAO_ID,
s.MA_SHEET,
s.TEN_SHEET,
s.SAP_XEP</t>
        </is>
      </c>
      <c r="S839" s="395" t="n"/>
      <c r="T839" s="384" t="inlineStr">
        <is>
          <t>-- Mã sheet / Tên sheet
-- MA_SHEET: VIII.2 - Tổng
SELECT bm.MA_BAO_CAO,
s.MA_SHEET,
s.TEN_SHEET
FROM SCMS.BM_BAO_CAO bm
JOIN SCMS.BM_SHEET s ON s.BM_BAO_CAO_ID = bm.ID
WHERE bm.MA_BAO_CAO = 'CQCDB'
AND s.MA_SHEET = 'VIII.2 - Tổng'  -- Check lại data chuẩn
AND bm.SU_DUNG = 1
ORDER BY bm.MA_BAO_CAO, s.SAP_XEP;</t>
        </is>
      </c>
      <c r="U839" s="386" t="n"/>
      <c r="V839" s="395" t="n"/>
      <c r="W839" s="395" t="n"/>
      <c r="X839" s="395" t="n"/>
      <c r="Y839" s="395" t="n"/>
      <c r="Z839" s="395" t="n"/>
      <c r="AA839" s="395" t="n"/>
      <c r="AB839" s="395" t="n"/>
      <c r="AC839" s="395" t="n"/>
      <c r="AD839" s="395" t="n"/>
      <c r="AE839" s="395" t="n"/>
    </row>
    <row r="840" ht="56" customHeight="1" s="380">
      <c r="A840" s="112" t="n">
        <v>54</v>
      </c>
      <c r="B840" s="386" t="n"/>
      <c r="C840" s="386" t="inlineStr">
        <is>
          <t>Báo cáo chứng quyền có đảm bảo &gt;&gt; Báo cáo hoạt động chứng quyền có bảo đảm - VIII.2 - Tổng</t>
        </is>
      </c>
      <c r="D840" s="106" t="inlineStr">
        <is>
          <t>Tên sheet</t>
        </is>
      </c>
      <c r="E840" s="106" t="inlineStr">
        <is>
          <t>Tên sheet</t>
        </is>
      </c>
      <c r="F840" s="390" t="inlineStr">
        <is>
          <t>Data Explorer</t>
        </is>
      </c>
      <c r="G840" s="390" t="inlineStr">
        <is>
          <t>Chiều</t>
        </is>
      </c>
      <c r="H840" s="390" t="inlineStr">
        <is>
          <t>Dễ</t>
        </is>
      </c>
      <c r="I840" s="390" t="inlineStr">
        <is>
          <t>Ngày, CTCK</t>
        </is>
      </c>
      <c r="J840" s="401" t="inlineStr">
        <is>
          <t>SCMS</t>
        </is>
      </c>
      <c r="K840" s="401" t="inlineStr">
        <is>
          <t>X</t>
        </is>
      </c>
      <c r="L840" s="395" t="inlineStr">
        <is>
          <t>X</t>
        </is>
      </c>
      <c r="M840" s="401" t="n"/>
      <c r="N840" s="395" t="inlineStr">
        <is>
          <t>Done</t>
        </is>
      </c>
      <c r="O840" s="401" t="n"/>
      <c r="P840" s="395" t="n"/>
      <c r="S840" s="395" t="n"/>
      <c r="U840" s="386" t="n"/>
      <c r="V840" s="395" t="n"/>
      <c r="W840" s="395" t="n"/>
      <c r="X840" s="395" t="n"/>
      <c r="Y840" s="395" t="n"/>
      <c r="Z840" s="395" t="n"/>
      <c r="AA840" s="395" t="n"/>
      <c r="AB840" s="395" t="n"/>
      <c r="AC840" s="395" t="n"/>
      <c r="AD840" s="395" t="n"/>
      <c r="AE840" s="395" t="n"/>
    </row>
    <row r="841" ht="56" customHeight="1" s="380">
      <c r="A841" s="112" t="n">
        <v>54</v>
      </c>
      <c r="B841" s="386" t="n"/>
      <c r="C841" s="386" t="inlineStr">
        <is>
          <t>Báo cáo chứng quyền có đảm bảo &gt;&gt; Báo cáo hoạt động chứng quyền có bảo đảm - VIII.2 - Tổng</t>
        </is>
      </c>
      <c r="D841" s="106" t="inlineStr">
        <is>
          <t>Mã chỉ tiêu</t>
        </is>
      </c>
      <c r="E841" s="107" t="inlineStr">
        <is>
          <t>Mã chỉ tiêu</t>
        </is>
      </c>
      <c r="F841" s="390" t="inlineStr">
        <is>
          <t>Data Explorer</t>
        </is>
      </c>
      <c r="G841" s="390" t="inlineStr">
        <is>
          <t>Chiều</t>
        </is>
      </c>
      <c r="H841" s="390" t="inlineStr">
        <is>
          <t>Dễ</t>
        </is>
      </c>
      <c r="I841" s="390" t="inlineStr">
        <is>
          <t>Ngày, CTCK</t>
        </is>
      </c>
      <c r="J841" s="401" t="inlineStr">
        <is>
          <t>SCMS</t>
        </is>
      </c>
      <c r="K841" s="401" t="inlineStr">
        <is>
          <t>X</t>
        </is>
      </c>
      <c r="L841" s="395" t="inlineStr">
        <is>
          <t>X</t>
        </is>
      </c>
      <c r="M841" s="401" t="n"/>
      <c r="N841" s="395" t="inlineStr">
        <is>
          <t>Done</t>
        </is>
      </c>
      <c r="O841" s="401" t="n"/>
      <c r="P841" s="395" t="n"/>
      <c r="Q841" s="401" t="inlineStr">
        <is>
          <t>SCMS.BM_BAO_CAO
SCMS.BM_SHEET
SCMS.BM_BAO_CAO_CT
SCMS.DM_CHI_TIEU</t>
        </is>
      </c>
      <c r="R841" s="402" t="inlineStr">
        <is>
          <t>dct.ID,
dct.MA_CHI_TIEU,
dct.TEN_CHI_TIEU,
dct.SU_DUNG,
s.BM_BAO_CAO_ID,
s.MA_SHEET,
ct.BM_BAO_CAO_ID,
ct.DM_CHI_TIEU_ID,
ct.SU_DUNG,
bm.ID,
bm.MA_BAO_CAO,
bm.SU_DUNG</t>
        </is>
      </c>
      <c r="S841" s="395" t="n"/>
      <c r="T841" s="384" t="inlineStr">
        <is>
          <t>-- Mã chỉ tiêu / Tên chỉ tiêu
SELECT DISTINCT
    dct.MA_CHI_TIEU  AS ma_chi_tieu,
    dct.TEN_CHI_TIEU AS ten_chi_tieu
FROM SCMS.BM_BAO_CAO bm
JOIN SCMS.BM_SHEET s ON s.BM_BAO_CAO_ID = bm.ID
	AND s.MA_SHEET = 'VIII.2 - Tổng'
JOIN SCMS.BM_BAO_CAO_CT ct ON ct.BM_SHEET_ID = s.ID
	AND ct.SU_DUNG = 1
JOIN SCMS.DM_CHI_TIEU dct ON dct.ID = ct.DM_CHI_TIEU_ID
	AND dct.SU_DUNG = 1
WHERE bm.MA_BAO_CAO = 'CQCDB'
	AND bm.SU_DUNG = 1
ORDER BY dct.MA_CHI_TIEU;</t>
        </is>
      </c>
      <c r="U841" s="386" t="n"/>
      <c r="V841" s="395" t="n"/>
      <c r="W841" s="395" t="n"/>
      <c r="X841" s="395" t="n"/>
      <c r="Y841" s="395" t="n"/>
      <c r="Z841" s="395" t="n"/>
      <c r="AA841" s="395" t="n"/>
      <c r="AB841" s="395" t="n"/>
      <c r="AC841" s="395" t="n"/>
      <c r="AD841" s="395" t="n"/>
      <c r="AE841" s="395" t="n"/>
    </row>
    <row r="842" ht="56" customHeight="1" s="380">
      <c r="A842" s="112" t="n">
        <v>54</v>
      </c>
      <c r="B842" s="386" t="n"/>
      <c r="C842" s="386" t="inlineStr">
        <is>
          <t>Báo cáo chứng quyền có đảm bảo &gt;&gt; Báo cáo hoạt động chứng quyền có bảo đảm - VIII.2 - Tổng</t>
        </is>
      </c>
      <c r="D842" s="106" t="inlineStr">
        <is>
          <t>Tên chỉ tiêu</t>
        </is>
      </c>
      <c r="E842" s="107" t="inlineStr">
        <is>
          <t>Tên chỉ tiêu</t>
        </is>
      </c>
      <c r="F842" s="390" t="inlineStr">
        <is>
          <t>Data Explorer</t>
        </is>
      </c>
      <c r="G842" s="390" t="inlineStr">
        <is>
          <t>Chiều</t>
        </is>
      </c>
      <c r="H842" s="390" t="inlineStr">
        <is>
          <t>Dễ</t>
        </is>
      </c>
      <c r="I842" s="390" t="inlineStr">
        <is>
          <t>Ngày, CTCK</t>
        </is>
      </c>
      <c r="J842" s="401" t="inlineStr">
        <is>
          <t>SCMS</t>
        </is>
      </c>
      <c r="K842" s="401" t="inlineStr">
        <is>
          <t>X</t>
        </is>
      </c>
      <c r="L842" s="395" t="inlineStr">
        <is>
          <t>X</t>
        </is>
      </c>
      <c r="M842" s="401" t="n"/>
      <c r="N842" s="395" t="inlineStr">
        <is>
          <t>Done</t>
        </is>
      </c>
      <c r="O842" s="401" t="n"/>
      <c r="P842" s="395" t="n"/>
      <c r="S842" s="395" t="n"/>
      <c r="U842" s="386" t="n"/>
      <c r="V842" s="395" t="n"/>
      <c r="W842" s="395" t="n"/>
      <c r="X842" s="395" t="n"/>
      <c r="Y842" s="395" t="n"/>
      <c r="Z842" s="395" t="n"/>
      <c r="AA842" s="395" t="n"/>
      <c r="AB842" s="395" t="n"/>
      <c r="AC842" s="395" t="n"/>
      <c r="AD842" s="395" t="n"/>
      <c r="AE842" s="395" t="n"/>
    </row>
    <row r="843" ht="56" customHeight="1" s="380">
      <c r="A843" s="112" t="n">
        <v>54</v>
      </c>
      <c r="B843" s="386" t="n"/>
      <c r="C843" s="386" t="inlineStr">
        <is>
          <t>Báo cáo chứng quyền có đảm bảo &gt;&gt; Báo cáo hoạt động chứng quyền có bảo đảm - VIII.2 - Tổng</t>
        </is>
      </c>
      <c r="D843" s="386" t="inlineStr">
        <is>
          <t>Tên CTCK</t>
        </is>
      </c>
      <c r="E843" s="395" t="inlineStr">
        <is>
          <t>Tên CTCK</t>
        </is>
      </c>
      <c r="F843" s="386" t="inlineStr">
        <is>
          <t>Data Explorer</t>
        </is>
      </c>
      <c r="G843" s="386" t="inlineStr">
        <is>
          <t>Chỉ tiêu cơ sở</t>
        </is>
      </c>
      <c r="H843" s="386" t="inlineStr">
        <is>
          <t>Trùng</t>
        </is>
      </c>
      <c r="I843" s="386" t="inlineStr">
        <is>
          <t>Ngày, CTCK</t>
        </is>
      </c>
      <c r="J843" s="395" t="inlineStr">
        <is>
          <t>SCMS</t>
        </is>
      </c>
      <c r="K843" s="395" t="n"/>
      <c r="L843" s="395" t="inlineStr">
        <is>
          <t>X</t>
        </is>
      </c>
      <c r="M843" s="395" t="n"/>
      <c r="N843" s="395" t="inlineStr">
        <is>
          <t>Done</t>
        </is>
      </c>
      <c r="O843" s="401" t="n"/>
      <c r="P843" s="395" t="n"/>
      <c r="Q843" s="428" t="inlineStr">
        <is>
          <t>SCMS.BC_THANH_VIEN
SCMS.BM_BAO_CAO
SCMS.BC_BAO_CAO_GT
SCMS.CTCK_THONG_TIN
SCMS.CTCK_NHAN_SU_CAO_CAP
SCMS.DM_CHUC_VU</t>
        </is>
      </c>
      <c r="R843" s="428" t="inlineStr">
        <is>
          <t>c.ID,
c.TEN_VIET_TAT,
c.SAN_NIEM_YET,
c.MA_CHUNG_KHOAN,
c.GIAY_PHEP_KINH_DOANH,
c.NGAY_CAP_GPKD,
btv.ID,
btv.BM_BAO_CAO_ID,
btv.CTCK_THONG_TIN_ID,
btv.NGAY_SO_LIEU,
btv.TRANG_THAI,
g.BC_THANH_VIEN_ID,
g.TEN_COT,
g.GIA_TRI,
g.TEN_SHEET,
bm.ID,
bm.MA_BAO_CAO,
ns.CTCK_THONG_TIN_ID,
ns.HO_TEN,
ns.IS_BANG_TAM,
ns.TRANG_THAI,
ns.CHUC_VU_ID,
cv.ID,
cv.TEN_CHUC_VU</t>
        </is>
      </c>
      <c r="S843" s="397" t="n"/>
      <c r="T843" s="429" t="inlineStr">
        <is>
          <t>-- CHỈ TIÊU
SELECT
    ROW_NUMBER() OVER (ORDER BY ngay_bao_cao DESC, ten_ctck) AS stt,
    ten_ctck,
    san_giao_dich,
    ma_ck,
    so_giay_phep,
    ngay_cap_giay_phep,
    "Số mã chứng quyền",
    "Số lượng chứng quyền đầu kỳ tại ngày",
    "Giá trị tương ứng với số lượng chứng quyền đầu kỳ",
    "Số lượng chứng quyền cuối kỳ tại ngày",
    "Giá đóng cửa phiên giao dịch cuối cùng của tháng",
    "Giá trị cuối kỳ",
    "Chênh lệch giữa giá trị cuối kỳ với giá trị đầu kỳ",
    "Loại tài sản bảo đảm",
    "Giá trị kỳ báo cáo",
    "Giá trị kỳ trước",
    "Thay đổi so với kỳ trước"
FROM (
    SELECT
        c.TEN_VIET_TAT AS ten_ctck,
        c.SAN_NIEM_YET AS san_giao_dich,
        c.MA_CHUNG_KHOAN AS ma_ck,
        c.GIAY_PHEP_KINH_DOANH AS so_giay_phep,
        c.NGAY_CAP_GPKD AS ngay_cap_giay_phep,
        btv.NGAY_SO_LIEU AS ngay_bao_cao,
        MAX(CASE WHEN g.TEN_COT LIKE N'%Số mã chứng quyền%' THEN g.GIA_TRI END) AS "Số mã chứng quyền",
        MAX(CASE WHEN g.TEN_COT LIKE N'%Số lượng chứng quyền đầu kỳ tại ngày%' THEN g.GIA_TRI END) AS "Số lượng chứng quyền đầu kỳ tại ngày",
        MAX(CASE WHEN g.TEN_COT LIKE N'%Giá trị tương ứng với số lượng chứng quyền đầu kỳ%' THEN g.GIA_TRI END) AS "Giá trị tương ứng với số lượng chứng quyền đầu kỳ",
        MAX(CASE WHEN g.TEN_COT LIKE N'%Số lượng chứng quyền cuối kỳ tại ngày%' THEN g.GIA_TRI END) AS "Số lượng chứng quyền cuối kỳ tại ngày",
        MAX(CASE WHEN g.TEN_COT LIKE N'%Giá đóng cửa phiên giao dịch cuối cùng của tháng%' THEN g.GIA_TRI END) AS "Giá đóng cửa phiên giao dịch cuối cùng của tháng",
        MAX(CASE WHEN g.TEN_COT LIKE N'%Giá trị cuối kỳ%' THEN g.GIA_TRI END) AS "Giá trị cuối kỳ",
        MAX(CASE WHEN g.TEN_COT LIKE N'%Chênh lệch giữa giá trị cuối kỳ với giá trị đầu kỳ%' THEN g.GIA_TRI END) AS "Chênh lệch giữa giá trị cuối kỳ với giá trị đầu kỳ",
        MAX(CASE WHEN g.TEN_COT LIKE N'%Loại tài sản bảo đảm%' THEN g.GIA_TRI END) AS "Loại tài sản bảo đảm",
        MAX(CASE WHEN g.TEN_COT LIKE N'%Giá trị kỳ báo cáo%' THEN g.GIA_TRI END) AS "Giá trị kỳ báo cáo",
        MAX(CASE WHEN g.TEN_COT LIKE N'%Giá trị kỳ trước%' THEN g.GIA_TRI END) AS "Giá trị kỳ trước",
        MAX(CASE WHEN g.TEN_COT LIKE N'%Thay đổi so với kỳ trước%' THEN g.GIA_TRI END) AS "Thay đổi so với kỳ trước"
    FROM SCMS.BC_THANH_VIEN btv
    JOIN SCMS.BM_BAO_CAO bm ON bm.ID = btv.BM_BAO_CAO_ID
    JOIN (
        SELECT
            BC_THANH_VIEN_ID,
            TEN_SHEET,
            TEN_COT,
            CAST(GIA_TRI AS VARCHAR2(4000)) AS GIA_TRI
        FROM SCMS.BC_BAO_CAO_GT
        WHERE TEN_SHEET = N'VIII.2 - Tổng'
    ) g ON g.BC_THANH_VIEN_ID = btv.ID
    JOIN SCMS.CTCK_THONG_TIN c ON c.ID = btv.CTCK_THONG_TIN_ID
    WHERE bm.MA_BAO_CAO  = 'CQCDB'
      AND btv.TRANG_THAI IN (2, 3)
    GROUP BY
        btv.ID, btv.CTCK_THONG_TIN_ID, btv.NGAY_SO_LIEU, btv.TRANG_THAI,
        bm.MA_BAO_CAO, g.TEN_SHEET, c.TEN_VIET_TAT, c.SAN_NIEM_YET,
        c.MA_CHUNG_KHOAN, c.GIAY_PHEP_KINH_DOANH, c.NGAY_CAP_GPKD
)
ORDER BY ngay_bao_cao DESC, ten_ctck;</t>
        </is>
      </c>
      <c r="U843" s="386" t="n"/>
      <c r="V843" s="395" t="n"/>
      <c r="W843" s="395" t="n"/>
      <c r="X843" s="395" t="n"/>
      <c r="Y843" s="395" t="n"/>
      <c r="Z843" s="395" t="n"/>
      <c r="AA843" s="395" t="n"/>
      <c r="AB843" s="395" t="n"/>
      <c r="AC843" s="395" t="n"/>
      <c r="AD843" s="395" t="n"/>
      <c r="AE843" s="395" t="n"/>
    </row>
    <row r="844" ht="56" customHeight="1" s="380">
      <c r="A844" s="112" t="n">
        <v>54</v>
      </c>
      <c r="B844" s="386" t="n"/>
      <c r="C844" s="386" t="inlineStr">
        <is>
          <t>Báo cáo chứng quyền có đảm bảo &gt;&gt; Báo cáo hoạt động chứng quyền có bảo đảm - VIII.2 - Tổng</t>
        </is>
      </c>
      <c r="D844" s="386" t="inlineStr">
        <is>
          <t>Sàn giao dịch</t>
        </is>
      </c>
      <c r="E844" s="395" t="inlineStr">
        <is>
          <t>Sàn giao dịch</t>
        </is>
      </c>
      <c r="F844" s="386" t="inlineStr">
        <is>
          <t>Data Explorer</t>
        </is>
      </c>
      <c r="G844" s="386" t="inlineStr">
        <is>
          <t>Chỉ tiêu cơ sở</t>
        </is>
      </c>
      <c r="H844" s="386" t="inlineStr">
        <is>
          <t>Trùng</t>
        </is>
      </c>
      <c r="I844" s="386" t="inlineStr">
        <is>
          <t>Ngày, CTCK</t>
        </is>
      </c>
      <c r="J844" s="395" t="inlineStr">
        <is>
          <t>SCMS</t>
        </is>
      </c>
      <c r="K844" s="395" t="n"/>
      <c r="L844" s="395" t="inlineStr">
        <is>
          <t>X</t>
        </is>
      </c>
      <c r="M844" s="395" t="n"/>
      <c r="N844" s="395" t="inlineStr">
        <is>
          <t>Done</t>
        </is>
      </c>
      <c r="O844" s="401" t="n"/>
      <c r="P844" s="395" t="n"/>
      <c r="S844" s="397" t="n"/>
      <c r="U844" s="386" t="n"/>
      <c r="V844" s="395" t="n"/>
      <c r="W844" s="395" t="n"/>
      <c r="X844" s="395" t="n"/>
      <c r="Y844" s="36" t="n"/>
      <c r="Z844" s="395" t="n"/>
      <c r="AA844" s="395" t="n"/>
      <c r="AB844" s="395" t="n"/>
      <c r="AC844" s="395" t="n"/>
      <c r="AD844" s="395" t="n"/>
      <c r="AE844" s="395" t="n"/>
    </row>
    <row r="845" ht="56" customHeight="1" s="380">
      <c r="A845" s="112" t="n">
        <v>54</v>
      </c>
      <c r="B845" s="386" t="n"/>
      <c r="C845" s="386" t="inlineStr">
        <is>
          <t>Báo cáo chứng quyền có đảm bảo &gt;&gt; Báo cáo hoạt động chứng quyền có bảo đảm - VIII.2 - Tổng</t>
        </is>
      </c>
      <c r="D845" s="386" t="inlineStr">
        <is>
          <t>Mã CK</t>
        </is>
      </c>
      <c r="E845" s="395" t="inlineStr">
        <is>
          <t>Mã CK</t>
        </is>
      </c>
      <c r="F845" s="386" t="inlineStr">
        <is>
          <t>Data Explorer</t>
        </is>
      </c>
      <c r="G845" s="386" t="inlineStr">
        <is>
          <t>Chỉ tiêu cơ sở</t>
        </is>
      </c>
      <c r="H845" s="386" t="inlineStr">
        <is>
          <t>Trùng</t>
        </is>
      </c>
      <c r="I845" s="386" t="inlineStr">
        <is>
          <t>Ngày, CTCK</t>
        </is>
      </c>
      <c r="J845" s="395" t="inlineStr">
        <is>
          <t>SCMS</t>
        </is>
      </c>
      <c r="K845" s="395" t="n"/>
      <c r="L845" s="395" t="inlineStr">
        <is>
          <t>X</t>
        </is>
      </c>
      <c r="M845" s="395" t="n"/>
      <c r="N845" s="395" t="inlineStr">
        <is>
          <t>Done</t>
        </is>
      </c>
      <c r="O845" s="401" t="n"/>
      <c r="P845" s="395" t="n"/>
      <c r="S845" s="397" t="n"/>
      <c r="U845" s="386" t="n"/>
      <c r="V845" s="395" t="n"/>
      <c r="W845" s="395" t="n"/>
      <c r="X845" s="395" t="n"/>
      <c r="Y845" s="36" t="n"/>
      <c r="Z845" s="395" t="n"/>
      <c r="AA845" s="395" t="n"/>
      <c r="AB845" s="395" t="n"/>
      <c r="AC845" s="395" t="n"/>
      <c r="AD845" s="395" t="n"/>
      <c r="AE845" s="395" t="n"/>
    </row>
    <row r="846" ht="56" customHeight="1" s="380">
      <c r="A846" s="112" t="n">
        <v>54</v>
      </c>
      <c r="B846" s="386" t="n"/>
      <c r="C846" s="386" t="inlineStr">
        <is>
          <t>Báo cáo chứng quyền có đảm bảo &gt;&gt; Báo cáo hoạt động chứng quyền có bảo đảm - VIII.2 - Tổng</t>
        </is>
      </c>
      <c r="D846" s="386" t="inlineStr">
        <is>
          <t>Giấy phép Hoạt động của Chủ tịch UBCKNN cấp lần đầu &gt;&gt; Số</t>
        </is>
      </c>
      <c r="E846" s="386" t="inlineStr">
        <is>
          <t>Giấy phép Hoạt động của Chủ tịch UBCKNN cấp lần đầu &gt;&gt; Số</t>
        </is>
      </c>
      <c r="F846" s="386" t="inlineStr">
        <is>
          <t>Data Explorer</t>
        </is>
      </c>
      <c r="G846" s="386" t="inlineStr">
        <is>
          <t>Chỉ tiêu cơ sở</t>
        </is>
      </c>
      <c r="H846" s="386" t="inlineStr">
        <is>
          <t>Trùng</t>
        </is>
      </c>
      <c r="I846" s="386" t="inlineStr">
        <is>
          <t>Ngày, CTCK</t>
        </is>
      </c>
      <c r="J846" s="395" t="inlineStr">
        <is>
          <t>SCMS</t>
        </is>
      </c>
      <c r="K846" s="395" t="n"/>
      <c r="L846" s="395" t="inlineStr">
        <is>
          <t>X</t>
        </is>
      </c>
      <c r="M846" s="395" t="n"/>
      <c r="N846" s="395" t="inlineStr">
        <is>
          <t>Done</t>
        </is>
      </c>
      <c r="O846" s="401" t="n"/>
      <c r="P846" s="395" t="n"/>
      <c r="S846" s="397" t="n"/>
      <c r="U846" s="386" t="n"/>
      <c r="V846" s="395" t="n"/>
      <c r="W846" s="395" t="n"/>
      <c r="X846" s="395" t="n"/>
      <c r="Y846" s="395" t="n"/>
      <c r="Z846" s="395" t="n"/>
      <c r="AA846" s="395" t="n"/>
      <c r="AB846" s="395" t="n"/>
      <c r="AC846" s="395" t="n"/>
      <c r="AD846" s="395" t="n"/>
      <c r="AE846" s="395" t="n"/>
    </row>
    <row r="847" ht="56" customHeight="1" s="380">
      <c r="A847" s="112" t="n">
        <v>54</v>
      </c>
      <c r="B847" s="386" t="n"/>
      <c r="C847" s="386" t="inlineStr">
        <is>
          <t>Báo cáo chứng quyền có đảm bảo &gt;&gt; Báo cáo hoạt động chứng quyền có bảo đảm - VIII.2 - Tổng</t>
        </is>
      </c>
      <c r="D847" s="386" t="inlineStr">
        <is>
          <t>Giấy phép Hoạt động của Chủ tịch UBCKNN cấp lần đầu &gt;&gt; Ngày cấp</t>
        </is>
      </c>
      <c r="E847" s="386" t="inlineStr">
        <is>
          <t>Giấy phép Hoạt động của Chủ tịch UBCKNN cấp lần đầu &gt;&gt; Ngày cấp</t>
        </is>
      </c>
      <c r="F847" s="386" t="inlineStr">
        <is>
          <t>Data Explorer</t>
        </is>
      </c>
      <c r="G847" s="386" t="inlineStr">
        <is>
          <t>Chỉ tiêu cơ sở</t>
        </is>
      </c>
      <c r="H847" s="386" t="inlineStr">
        <is>
          <t>Trùng</t>
        </is>
      </c>
      <c r="I847" s="386" t="inlineStr">
        <is>
          <t>Ngày, CTCK</t>
        </is>
      </c>
      <c r="J847" s="395" t="inlineStr">
        <is>
          <t>SCMS</t>
        </is>
      </c>
      <c r="K847" s="395" t="n"/>
      <c r="L847" s="395" t="inlineStr">
        <is>
          <t>X</t>
        </is>
      </c>
      <c r="M847" s="395" t="n"/>
      <c r="N847" s="395" t="inlineStr">
        <is>
          <t>Done</t>
        </is>
      </c>
      <c r="O847" s="401" t="n"/>
      <c r="P847" s="395" t="n"/>
      <c r="S847" s="397" t="n"/>
      <c r="U847" s="386" t="n"/>
      <c r="V847" s="395" t="n"/>
      <c r="W847" s="395" t="n"/>
      <c r="X847" s="395" t="n"/>
      <c r="Y847" s="395" t="n"/>
      <c r="Z847" s="395" t="n"/>
      <c r="AA847" s="395" t="n"/>
      <c r="AB847" s="395" t="n"/>
      <c r="AC847" s="395" t="n"/>
      <c r="AD847" s="395" t="n"/>
      <c r="AE847" s="395" t="n"/>
    </row>
    <row r="848" ht="56" customHeight="1" s="380">
      <c r="A848" s="112" t="n">
        <v>54</v>
      </c>
      <c r="B848" s="386" t="n"/>
      <c r="C848" s="386" t="inlineStr">
        <is>
          <t>Báo cáo chứng quyền có đảm bảo &gt;&gt; Báo cáo hoạt động chứng quyền có bảo đảm - VIII.2 - Tổng</t>
        </is>
      </c>
      <c r="D848" s="386" t="inlineStr">
        <is>
          <t>Số mã chứng quyền</t>
        </is>
      </c>
      <c r="E848" s="386" t="inlineStr">
        <is>
          <t>Số mã chứng quyền</t>
        </is>
      </c>
      <c r="F848" s="386" t="inlineStr">
        <is>
          <t>Data Explorer</t>
        </is>
      </c>
      <c r="G848" s="386" t="inlineStr">
        <is>
          <t>Chỉ tiêu cơ sở</t>
        </is>
      </c>
      <c r="H848" s="386" t="inlineStr">
        <is>
          <t>Trùng</t>
        </is>
      </c>
      <c r="I848" s="386" t="inlineStr">
        <is>
          <t>Ngày, CTCK</t>
        </is>
      </c>
      <c r="J848" s="395" t="inlineStr">
        <is>
          <t>SCMS</t>
        </is>
      </c>
      <c r="K848" s="395" t="n"/>
      <c r="L848" s="395" t="inlineStr">
        <is>
          <t>X</t>
        </is>
      </c>
      <c r="M848" s="395" t="n"/>
      <c r="N848" s="395" t="inlineStr">
        <is>
          <t>Done</t>
        </is>
      </c>
      <c r="O848" s="401" t="n"/>
      <c r="P848" s="395" t="n"/>
      <c r="S848" s="397" t="n"/>
      <c r="U848" s="386" t="n"/>
      <c r="V848" s="395" t="n"/>
      <c r="W848" s="395" t="n"/>
      <c r="X848" s="395" t="n"/>
      <c r="Y848" s="395" t="n"/>
      <c r="Z848" s="395" t="n"/>
      <c r="AA848" s="395" t="n"/>
      <c r="AB848" s="395" t="n"/>
      <c r="AC848" s="395" t="n"/>
      <c r="AD848" s="395" t="n"/>
      <c r="AE848" s="395" t="n"/>
    </row>
    <row r="849" ht="56" customHeight="1" s="380">
      <c r="A849" s="112" t="n">
        <v>54</v>
      </c>
      <c r="B849" s="386" t="n"/>
      <c r="C849" s="386" t="inlineStr">
        <is>
          <t>Báo cáo chứng quyền có đảm bảo &gt;&gt; Báo cáo hoạt động chứng quyền có bảo đảm - VIII.2 - Tổng</t>
        </is>
      </c>
      <c r="D849" s="386" t="inlineStr">
        <is>
          <t>Số lượng chứng quyền đầu kỳ tại ngày</t>
        </is>
      </c>
      <c r="E849" s="386" t="inlineStr">
        <is>
          <t>Số lượng chứng quyền đầu kỳ tại ngày</t>
        </is>
      </c>
      <c r="F849" s="386" t="inlineStr">
        <is>
          <t>Data Explorer</t>
        </is>
      </c>
      <c r="G849" s="386" t="inlineStr">
        <is>
          <t>Chỉ tiêu cơ sở</t>
        </is>
      </c>
      <c r="H849" s="386" t="inlineStr">
        <is>
          <t>Trùng</t>
        </is>
      </c>
      <c r="I849" s="386" t="inlineStr">
        <is>
          <t>Ngày, CTCK</t>
        </is>
      </c>
      <c r="J849" s="395" t="inlineStr">
        <is>
          <t>SCMS</t>
        </is>
      </c>
      <c r="K849" s="395" t="n"/>
      <c r="L849" s="395" t="inlineStr">
        <is>
          <t>X</t>
        </is>
      </c>
      <c r="M849" s="395" t="n"/>
      <c r="N849" s="395" t="inlineStr">
        <is>
          <t>Done</t>
        </is>
      </c>
      <c r="O849" s="401" t="n"/>
      <c r="P849" s="395" t="n"/>
      <c r="S849" s="397" t="n"/>
      <c r="U849" s="386" t="n"/>
      <c r="V849" s="395" t="n"/>
      <c r="W849" s="395" t="n"/>
      <c r="X849" s="395" t="n"/>
      <c r="Y849" s="395" t="n"/>
      <c r="Z849" s="395" t="n"/>
      <c r="AA849" s="395" t="n"/>
      <c r="AB849" s="395" t="n"/>
      <c r="AC849" s="395" t="n"/>
      <c r="AD849" s="395" t="n"/>
      <c r="AE849" s="395" t="n"/>
    </row>
    <row r="850" ht="56" customHeight="1" s="380">
      <c r="A850" s="112" t="n">
        <v>54</v>
      </c>
      <c r="B850" s="386" t="n"/>
      <c r="C850" s="386" t="inlineStr">
        <is>
          <t>Báo cáo chứng quyền có đảm bảo &gt;&gt; Báo cáo hoạt động chứng quyền có bảo đảm - VIII.2 - Tổng</t>
        </is>
      </c>
      <c r="D850" s="386" t="inlineStr">
        <is>
          <t>Giá trị tương ứng với số lượng chứng quyền đầu kỳ</t>
        </is>
      </c>
      <c r="E850" s="386" t="inlineStr">
        <is>
          <t>Giá trị tương ứng với số lượng chứng quyền đầu kỳ</t>
        </is>
      </c>
      <c r="F850" s="386" t="inlineStr">
        <is>
          <t>Data Explorer</t>
        </is>
      </c>
      <c r="G850" s="386" t="inlineStr">
        <is>
          <t>Chỉ tiêu cơ sở</t>
        </is>
      </c>
      <c r="H850" s="386" t="inlineStr">
        <is>
          <t>Trùng</t>
        </is>
      </c>
      <c r="I850" s="386" t="inlineStr">
        <is>
          <t>Ngày, CTCK</t>
        </is>
      </c>
      <c r="J850" s="395" t="inlineStr">
        <is>
          <t>SCMS</t>
        </is>
      </c>
      <c r="K850" s="395" t="n"/>
      <c r="L850" s="395" t="inlineStr">
        <is>
          <t>X</t>
        </is>
      </c>
      <c r="M850" s="395" t="n"/>
      <c r="N850" s="395" t="inlineStr">
        <is>
          <t>Done</t>
        </is>
      </c>
      <c r="O850" s="401" t="n"/>
      <c r="P850" s="395" t="n"/>
      <c r="S850" s="397" t="n"/>
      <c r="U850" s="386" t="n"/>
      <c r="V850" s="395" t="n"/>
      <c r="W850" s="395" t="n"/>
      <c r="X850" s="395" t="n"/>
      <c r="Y850" s="37" t="n"/>
      <c r="Z850" s="395" t="n"/>
      <c r="AA850" s="395" t="n"/>
      <c r="AB850" s="395" t="n"/>
      <c r="AC850" s="395" t="n"/>
      <c r="AD850" s="395" t="n"/>
      <c r="AE850" s="395" t="n"/>
    </row>
    <row r="851" ht="56" customHeight="1" s="380">
      <c r="A851" s="112" t="n">
        <v>54</v>
      </c>
      <c r="B851" s="386" t="n"/>
      <c r="C851" s="386" t="inlineStr">
        <is>
          <t>Báo cáo chứng quyền có đảm bảo &gt;&gt; Báo cáo hoạt động chứng quyền có bảo đảm - VIII.2 - Tổng</t>
        </is>
      </c>
      <c r="D851" s="386" t="inlineStr">
        <is>
          <t>Số lượng chứng quyền cuối kỳ tại ngày</t>
        </is>
      </c>
      <c r="E851" s="386" t="inlineStr">
        <is>
          <t>Số lượng chứng quyền cuối kỳ tại ngày</t>
        </is>
      </c>
      <c r="F851" s="386" t="inlineStr">
        <is>
          <t>Data Explorer</t>
        </is>
      </c>
      <c r="G851" s="386" t="inlineStr">
        <is>
          <t>Chỉ tiêu cơ sở</t>
        </is>
      </c>
      <c r="H851" s="386" t="inlineStr">
        <is>
          <t>Trùng</t>
        </is>
      </c>
      <c r="I851" s="386" t="inlineStr">
        <is>
          <t>Ngày, CTCK</t>
        </is>
      </c>
      <c r="J851" s="395" t="inlineStr">
        <is>
          <t>SCMS</t>
        </is>
      </c>
      <c r="K851" s="395" t="n"/>
      <c r="L851" s="395" t="inlineStr">
        <is>
          <t>X</t>
        </is>
      </c>
      <c r="M851" s="395" t="n"/>
      <c r="N851" s="395" t="inlineStr">
        <is>
          <t>Done</t>
        </is>
      </c>
      <c r="O851" s="401" t="n"/>
      <c r="P851" s="395" t="n"/>
      <c r="S851" s="397" t="n"/>
      <c r="U851" s="386" t="n"/>
      <c r="V851" s="395" t="n"/>
      <c r="W851" s="395" t="n"/>
      <c r="X851" s="395" t="n"/>
      <c r="Y851" s="395" t="n"/>
      <c r="Z851" s="395" t="n"/>
      <c r="AA851" s="395" t="n"/>
      <c r="AB851" s="395" t="n"/>
      <c r="AC851" s="395" t="n"/>
      <c r="AD851" s="395" t="n"/>
      <c r="AE851" s="395" t="n"/>
    </row>
    <row r="852" ht="56" customHeight="1" s="380">
      <c r="A852" s="112" t="n">
        <v>54</v>
      </c>
      <c r="B852" s="386" t="n"/>
      <c r="C852" s="386" t="inlineStr">
        <is>
          <t>Báo cáo chứng quyền có đảm bảo &gt;&gt; Báo cáo hoạt động chứng quyền có bảo đảm - VIII.2 - Tổng</t>
        </is>
      </c>
      <c r="D852" s="386" t="inlineStr">
        <is>
          <t>Giá đóng cửa phiên giao dịch cuối cùng của tháng (đồng)</t>
        </is>
      </c>
      <c r="E852" s="386" t="inlineStr">
        <is>
          <t>Giá đóng cửa phiên giao dịch cuối cùng của tháng (đồng)</t>
        </is>
      </c>
      <c r="F852" s="386" t="inlineStr">
        <is>
          <t>Data Explorer</t>
        </is>
      </c>
      <c r="G852" s="386" t="inlineStr">
        <is>
          <t>Chỉ tiêu cơ sở</t>
        </is>
      </c>
      <c r="H852" s="386" t="inlineStr">
        <is>
          <t>Trùng</t>
        </is>
      </c>
      <c r="I852" s="386" t="inlineStr">
        <is>
          <t>Ngày, CTCK</t>
        </is>
      </c>
      <c r="J852" s="395" t="inlineStr">
        <is>
          <t>SCMS</t>
        </is>
      </c>
      <c r="K852" s="395" t="n"/>
      <c r="L852" s="395" t="inlineStr">
        <is>
          <t>X</t>
        </is>
      </c>
      <c r="M852" s="395" t="n"/>
      <c r="N852" s="395" t="inlineStr">
        <is>
          <t>Done</t>
        </is>
      </c>
      <c r="O852" s="401" t="n"/>
      <c r="P852" s="395" t="n"/>
      <c r="S852" s="397" t="n"/>
      <c r="U852" s="386" t="n"/>
      <c r="V852" s="395" t="n"/>
      <c r="W852" s="395" t="n"/>
      <c r="X852" s="395" t="n"/>
      <c r="Y852" s="13" t="n"/>
      <c r="Z852" s="395" t="n"/>
      <c r="AA852" s="395" t="n"/>
      <c r="AB852" s="395" t="n"/>
      <c r="AC852" s="395" t="n"/>
      <c r="AD852" s="395" t="n"/>
      <c r="AE852" s="395" t="n"/>
    </row>
    <row r="853" ht="56" customHeight="1" s="380">
      <c r="A853" s="112" t="n">
        <v>54</v>
      </c>
      <c r="B853" s="386" t="n"/>
      <c r="C853" s="386" t="inlineStr">
        <is>
          <t>Báo cáo chứng quyền có đảm bảo &gt;&gt; Báo cáo hoạt động chứng quyền có bảo đảm - VIII.2 - Tổng</t>
        </is>
      </c>
      <c r="D853" s="386" t="inlineStr">
        <is>
          <t>Giá trị cuối kỳ (đồng)</t>
        </is>
      </c>
      <c r="E853" s="386" t="inlineStr">
        <is>
          <t>Giá trị cuối kỳ (đồng)</t>
        </is>
      </c>
      <c r="F853" s="386" t="inlineStr">
        <is>
          <t>Data Explorer</t>
        </is>
      </c>
      <c r="G853" s="386" t="inlineStr">
        <is>
          <t>Chỉ tiêu cơ sở</t>
        </is>
      </c>
      <c r="H853" s="386" t="inlineStr">
        <is>
          <t>Trùng</t>
        </is>
      </c>
      <c r="I853" s="386" t="inlineStr">
        <is>
          <t>Ngày, CTCK</t>
        </is>
      </c>
      <c r="J853" s="395" t="inlineStr">
        <is>
          <t>SCMS</t>
        </is>
      </c>
      <c r="K853" s="395" t="n"/>
      <c r="L853" s="395" t="inlineStr">
        <is>
          <t>X</t>
        </is>
      </c>
      <c r="M853" s="395" t="n"/>
      <c r="N853" s="395" t="inlineStr">
        <is>
          <t>Done</t>
        </is>
      </c>
      <c r="O853" s="401" t="n"/>
      <c r="P853" s="395" t="n"/>
      <c r="S853" s="397" t="n"/>
      <c r="U853" s="386" t="n"/>
      <c r="V853" s="395" t="n"/>
      <c r="W853" s="395" t="n"/>
      <c r="X853" s="395" t="n"/>
      <c r="Y853" s="13" t="n"/>
      <c r="Z853" s="395" t="n"/>
      <c r="AA853" s="395" t="n"/>
      <c r="AB853" s="395" t="n"/>
      <c r="AC853" s="395" t="n"/>
      <c r="AD853" s="395" t="n"/>
      <c r="AE853" s="395" t="n"/>
    </row>
    <row r="854" ht="56" customHeight="1" s="380">
      <c r="A854" s="112" t="n">
        <v>54</v>
      </c>
      <c r="B854" s="386" t="n"/>
      <c r="C854" s="386" t="inlineStr">
        <is>
          <t>Báo cáo chứng quyền có đảm bảo &gt;&gt; Báo cáo hoạt động chứng quyền có bảo đảm - VIII.2 - Tổng</t>
        </is>
      </c>
      <c r="D854" s="386" t="inlineStr">
        <is>
          <t>Chênh lệch giữa giá trị cuối kỳ với giá trị đầu kỳ</t>
        </is>
      </c>
      <c r="E854" s="386" t="inlineStr">
        <is>
          <t>Chênh lệch giữa giá trị cuối kỳ với giá trị đầu kỳ</t>
        </is>
      </c>
      <c r="F854" s="386" t="inlineStr">
        <is>
          <t>Data Explorer</t>
        </is>
      </c>
      <c r="G854" s="386" t="inlineStr">
        <is>
          <t>Chỉ tiêu cơ sở</t>
        </is>
      </c>
      <c r="H854" s="386" t="inlineStr">
        <is>
          <t>Trùng</t>
        </is>
      </c>
      <c r="I854" s="386" t="inlineStr">
        <is>
          <t>Ngày, CTCK</t>
        </is>
      </c>
      <c r="J854" s="395" t="inlineStr">
        <is>
          <t>SCMS</t>
        </is>
      </c>
      <c r="K854" s="395" t="n"/>
      <c r="L854" s="395" t="inlineStr">
        <is>
          <t>X</t>
        </is>
      </c>
      <c r="M854" s="395" t="n"/>
      <c r="N854" s="395" t="inlineStr">
        <is>
          <t>Done</t>
        </is>
      </c>
      <c r="O854" s="401" t="n"/>
      <c r="P854" s="395" t="n"/>
      <c r="S854" s="397" t="n"/>
      <c r="U854" s="386" t="n"/>
      <c r="V854" s="395" t="n"/>
      <c r="W854" s="395" t="n"/>
      <c r="X854" s="395" t="n"/>
      <c r="Y854" s="13" t="n"/>
      <c r="Z854" s="395" t="n"/>
      <c r="AA854" s="395" t="n"/>
      <c r="AB854" s="395" t="n"/>
      <c r="AC854" s="395" t="n"/>
      <c r="AD854" s="395" t="n"/>
      <c r="AE854" s="395" t="n"/>
    </row>
    <row r="855" ht="56" customHeight="1" s="380">
      <c r="A855" s="112" t="n">
        <v>54</v>
      </c>
      <c r="B855" s="386" t="n"/>
      <c r="C855" s="386" t="inlineStr">
        <is>
          <t>Báo cáo chứng quyền có đảm bảo &gt;&gt; Báo cáo hoạt động chứng quyền có bảo đảm - VIII.2 - Tổng</t>
        </is>
      </c>
      <c r="D855" s="386" t="inlineStr">
        <is>
          <t>Loại tài sản bảo đảm (Tiền, Chứng chỉ tiền gửi/Hợp đồng tiền gửi, Bảo lãnh thanh toán)</t>
        </is>
      </c>
      <c r="E855" s="386" t="inlineStr">
        <is>
          <t>Loại tài sản bảo đảm (Tiền, Chứng chỉ tiền gửi/Hợp đồng tiền gửi, Bảo lãnh thanh toán)</t>
        </is>
      </c>
      <c r="F855" s="386" t="inlineStr">
        <is>
          <t>Data Explorer</t>
        </is>
      </c>
      <c r="G855" s="386" t="inlineStr">
        <is>
          <t>Chỉ tiêu cơ sở</t>
        </is>
      </c>
      <c r="H855" s="386" t="inlineStr">
        <is>
          <t>Trùng</t>
        </is>
      </c>
      <c r="I855" s="386" t="inlineStr">
        <is>
          <t>Ngày, CTCK</t>
        </is>
      </c>
      <c r="J855" s="395" t="inlineStr">
        <is>
          <t>SCMS</t>
        </is>
      </c>
      <c r="K855" s="395" t="n"/>
      <c r="L855" s="395" t="inlineStr">
        <is>
          <t>X</t>
        </is>
      </c>
      <c r="M855" s="395" t="n"/>
      <c r="N855" s="395" t="inlineStr">
        <is>
          <t>Done</t>
        </is>
      </c>
      <c r="O855" s="401" t="n"/>
      <c r="P855" s="395" t="n"/>
      <c r="S855" s="397" t="n"/>
      <c r="U855" s="386" t="n"/>
      <c r="V855" s="395" t="n"/>
      <c r="W855" s="395" t="n"/>
      <c r="X855" s="395" t="n"/>
      <c r="Y855" s="13" t="n"/>
      <c r="Z855" s="395" t="n"/>
      <c r="AA855" s="395" t="n"/>
      <c r="AB855" s="395" t="n"/>
      <c r="AC855" s="395" t="n"/>
      <c r="AD855" s="395" t="n"/>
      <c r="AE855" s="395" t="n"/>
    </row>
    <row r="856" ht="56" customHeight="1" s="380">
      <c r="A856" s="112" t="n">
        <v>54</v>
      </c>
      <c r="B856" s="386" t="n"/>
      <c r="C856" s="386" t="inlineStr">
        <is>
          <t>Báo cáo chứng quyền có đảm bảo &gt;&gt; Báo cáo hoạt động chứng quyền có bảo đảm - VIII.2 - Tổng</t>
        </is>
      </c>
      <c r="D856" s="386" t="inlineStr">
        <is>
          <t>Giá trị kỳ báo cáo</t>
        </is>
      </c>
      <c r="E856" s="386" t="inlineStr">
        <is>
          <t>Giá trị kỳ báo cáo</t>
        </is>
      </c>
      <c r="F856" s="386" t="inlineStr">
        <is>
          <t>Data Explorer</t>
        </is>
      </c>
      <c r="G856" s="386" t="inlineStr">
        <is>
          <t>Chỉ tiêu cơ sở</t>
        </is>
      </c>
      <c r="H856" s="386" t="inlineStr">
        <is>
          <t>Trùng</t>
        </is>
      </c>
      <c r="I856" s="386" t="inlineStr">
        <is>
          <t>Ngày, CTCK</t>
        </is>
      </c>
      <c r="J856" s="395" t="inlineStr">
        <is>
          <t>SCMS</t>
        </is>
      </c>
      <c r="K856" s="395" t="n"/>
      <c r="L856" s="395" t="inlineStr">
        <is>
          <t>X</t>
        </is>
      </c>
      <c r="M856" s="395" t="n"/>
      <c r="N856" s="395" t="inlineStr">
        <is>
          <t>Done</t>
        </is>
      </c>
      <c r="O856" s="401" t="n"/>
      <c r="P856" s="395" t="n"/>
      <c r="S856" s="397" t="n"/>
      <c r="U856" s="386" t="n"/>
      <c r="V856" s="395" t="n"/>
      <c r="W856" s="395" t="n"/>
      <c r="X856" s="395" t="n"/>
      <c r="Y856" s="13" t="n"/>
      <c r="Z856" s="395" t="n"/>
      <c r="AA856" s="395" t="n"/>
      <c r="AB856" s="395" t="n"/>
      <c r="AC856" s="395" t="n"/>
      <c r="AD856" s="395" t="n"/>
      <c r="AE856" s="395" t="n"/>
    </row>
    <row r="857" ht="56" customHeight="1" s="380">
      <c r="A857" s="112" t="n">
        <v>54</v>
      </c>
      <c r="B857" s="386" t="n"/>
      <c r="C857" s="386" t="inlineStr">
        <is>
          <t>Báo cáo chứng quyền có đảm bảo &gt;&gt; Báo cáo hoạt động chứng quyền có bảo đảm - VIII.2 - Tổng</t>
        </is>
      </c>
      <c r="D857" s="386" t="inlineStr">
        <is>
          <t>Giá trị kỳ trước</t>
        </is>
      </c>
      <c r="E857" s="386" t="inlineStr">
        <is>
          <t>Giá trị kỳ trước</t>
        </is>
      </c>
      <c r="F857" s="386" t="inlineStr">
        <is>
          <t>Data Explorer</t>
        </is>
      </c>
      <c r="G857" s="386" t="inlineStr">
        <is>
          <t>Chỉ tiêu cơ sở</t>
        </is>
      </c>
      <c r="H857" s="386" t="inlineStr">
        <is>
          <t>Trùng</t>
        </is>
      </c>
      <c r="I857" s="386" t="inlineStr">
        <is>
          <t>Ngày, CTCK</t>
        </is>
      </c>
      <c r="J857" s="395" t="inlineStr">
        <is>
          <t>SCMS</t>
        </is>
      </c>
      <c r="K857" s="395" t="n"/>
      <c r="L857" s="395" t="inlineStr">
        <is>
          <t>X</t>
        </is>
      </c>
      <c r="M857" s="395" t="n"/>
      <c r="N857" s="395" t="inlineStr">
        <is>
          <t>Done</t>
        </is>
      </c>
      <c r="O857" s="401" t="n"/>
      <c r="P857" s="395" t="n"/>
      <c r="S857" s="397" t="n"/>
      <c r="U857" s="386" t="n"/>
      <c r="V857" s="395" t="n"/>
      <c r="W857" s="395" t="n"/>
      <c r="X857" s="395" t="n"/>
      <c r="Y857" s="13" t="n"/>
      <c r="Z857" s="395" t="n"/>
      <c r="AA857" s="395" t="n"/>
      <c r="AB857" s="395" t="n"/>
      <c r="AC857" s="395" t="n"/>
      <c r="AD857" s="395" t="n"/>
      <c r="AE857" s="395" t="n"/>
    </row>
    <row r="858" ht="56" customHeight="1" s="380">
      <c r="A858" s="113" t="n">
        <v>54</v>
      </c>
      <c r="B858" s="68" t="n"/>
      <c r="C858" s="68" t="inlineStr">
        <is>
          <t>Báo cáo chứng quyền có đảm bảo &gt;&gt; Báo cáo hoạt động chứng quyền có bảo đảm - VIII.2 - Tổng</t>
        </is>
      </c>
      <c r="D858" s="68" t="inlineStr">
        <is>
          <t>Thay đổi so với kỳ trước</t>
        </is>
      </c>
      <c r="E858" s="68" t="inlineStr">
        <is>
          <t>Thay đổi so với kỳ trước</t>
        </is>
      </c>
      <c r="F858" s="68" t="inlineStr">
        <is>
          <t>Data Explorer</t>
        </is>
      </c>
      <c r="G858" s="68" t="inlineStr">
        <is>
          <t>Chỉ tiêu cơ sở</t>
        </is>
      </c>
      <c r="H858" s="68" t="inlineStr">
        <is>
          <t>Trùng</t>
        </is>
      </c>
      <c r="I858" s="68" t="inlineStr">
        <is>
          <t>Ngày, CTCK</t>
        </is>
      </c>
      <c r="J858" s="69" t="inlineStr">
        <is>
          <t>SCMS</t>
        </is>
      </c>
      <c r="K858" s="69" t="n"/>
      <c r="L858" s="69" t="inlineStr">
        <is>
          <t>X</t>
        </is>
      </c>
      <c r="M858" s="69" t="n"/>
      <c r="N858" s="69" t="inlineStr">
        <is>
          <t>Done</t>
        </is>
      </c>
      <c r="O858" s="85" t="n"/>
      <c r="P858" s="69" t="n"/>
      <c r="Q858" s="426" t="n"/>
      <c r="R858" s="426" t="n"/>
      <c r="S858" s="86" t="n"/>
      <c r="T858" s="426" t="n"/>
      <c r="U858" s="68" t="n"/>
      <c r="V858" s="69" t="n"/>
      <c r="W858" s="69" t="n"/>
      <c r="X858" s="69" t="n"/>
      <c r="Y858" s="97" t="n"/>
      <c r="Z858" s="69" t="n"/>
      <c r="AA858" s="69" t="n"/>
      <c r="AB858" s="69" t="n"/>
      <c r="AC858" s="69" t="n"/>
      <c r="AD858" s="69" t="n"/>
      <c r="AE858" s="69" t="n"/>
    </row>
    <row r="859" ht="56" customHeight="1" s="380">
      <c r="A859" s="112" t="n">
        <v>55</v>
      </c>
      <c r="B859" s="81" t="n"/>
      <c r="C859" s="81" t="inlineStr">
        <is>
          <t>Báo cáo chứng quyền có đảm bảo &gt;&gt; Báo cáo về tài sản bảo đảm thanh toán - X</t>
        </is>
      </c>
      <c r="D859" s="106" t="inlineStr">
        <is>
          <t>Loại báo cáo</t>
        </is>
      </c>
      <c r="E859" s="107" t="inlineStr">
        <is>
          <t>Loại báo cáo</t>
        </is>
      </c>
      <c r="F859" s="390" t="inlineStr">
        <is>
          <t>Data Explorer</t>
        </is>
      </c>
      <c r="G859" s="390" t="inlineStr">
        <is>
          <t>Chiều</t>
        </is>
      </c>
      <c r="H859" s="390" t="inlineStr">
        <is>
          <t>Dễ</t>
        </is>
      </c>
      <c r="I859" s="390" t="inlineStr">
        <is>
          <t>Ngày, CTCK</t>
        </is>
      </c>
      <c r="J859" s="401" t="inlineStr">
        <is>
          <t>SCMS</t>
        </is>
      </c>
      <c r="K859" s="401" t="inlineStr">
        <is>
          <t>X</t>
        </is>
      </c>
      <c r="L859" s="395" t="inlineStr">
        <is>
          <t>X</t>
        </is>
      </c>
      <c r="M859" s="401" t="n"/>
      <c r="N859" s="395" t="inlineStr">
        <is>
          <t>Done</t>
        </is>
      </c>
      <c r="O859" s="401" t="n"/>
      <c r="P859" s="395" t="n"/>
      <c r="Q859" s="404" t="inlineStr">
        <is>
          <t>SCMS.BM_BAO_CAO
SCMS.BM_BAO_CAO_DINH_KY</t>
        </is>
      </c>
      <c r="R859" s="404" t="inlineStr">
        <is>
          <t>bm.ID,
bm.MA_BAO_CAO,
bm.LOAI_BAO_CAO,
bm.TEN_BAO_CAO,
bm.SU_DUNG,
bdk.BM_BAO_CAO_ID,
bdk.KY_BAO_CAO,
bdk.SU_DUNG</t>
        </is>
      </c>
      <c r="S859" s="395" t="n"/>
      <c r="T859" s="384" t="inlineStr">
        <is>
          <t>-- Loại BC / Kỳ BC / Mã BC / Tên BC (chiều DWH – dùng chung)
-- MA_BAO_CAO: BCVTSBDTT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 'BCVTSBDTT'
        AND bm.SU_DUNG = 1
ORDER BY bdk.KY_BAO_CAO;</t>
        </is>
      </c>
      <c r="U859" s="386" t="n"/>
      <c r="V859" s="395" t="n"/>
      <c r="W859" s="395" t="n"/>
      <c r="X859" s="395" t="n"/>
      <c r="Y859" s="13" t="n"/>
      <c r="Z859" s="395" t="n"/>
      <c r="AA859" s="395" t="n"/>
      <c r="AB859" s="395" t="n"/>
      <c r="AC859" s="395" t="n"/>
      <c r="AD859" s="395" t="n"/>
      <c r="AE859" s="395" t="n"/>
    </row>
    <row r="860" ht="56" customHeight="1" s="380">
      <c r="A860" s="112" t="n">
        <v>55</v>
      </c>
      <c r="B860" s="386" t="n"/>
      <c r="C860" s="386" t="inlineStr">
        <is>
          <t>Báo cáo chứng quyền có đảm bảo &gt;&gt; Báo cáo về tài sản bảo đảm thanh toán - X</t>
        </is>
      </c>
      <c r="D860" s="106" t="inlineStr">
        <is>
          <t>Kỳ báo cáo</t>
        </is>
      </c>
      <c r="E860" s="107" t="inlineStr">
        <is>
          <t>Kỳ báo cáo</t>
        </is>
      </c>
      <c r="F860" s="390" t="inlineStr">
        <is>
          <t>Data Explorer</t>
        </is>
      </c>
      <c r="G860" s="390" t="inlineStr">
        <is>
          <t>Chiều</t>
        </is>
      </c>
      <c r="H860" s="390" t="inlineStr">
        <is>
          <t>Dễ</t>
        </is>
      </c>
      <c r="I860" s="390" t="inlineStr">
        <is>
          <t>Ngày, CTCK</t>
        </is>
      </c>
      <c r="J860" s="401" t="inlineStr">
        <is>
          <t>SCMS</t>
        </is>
      </c>
      <c r="K860" s="401" t="inlineStr">
        <is>
          <t>X</t>
        </is>
      </c>
      <c r="L860" s="395" t="inlineStr">
        <is>
          <t>X</t>
        </is>
      </c>
      <c r="M860" s="401" t="n"/>
      <c r="N860" s="395" t="inlineStr">
        <is>
          <t>Done</t>
        </is>
      </c>
      <c r="O860" s="401" t="n"/>
      <c r="P860" s="395" t="n"/>
      <c r="S860" s="395" t="n"/>
      <c r="U860" s="386" t="n"/>
      <c r="V860" s="395" t="n"/>
      <c r="W860" s="395" t="n"/>
      <c r="X860" s="395" t="n"/>
      <c r="Y860" s="13" t="n"/>
      <c r="Z860" s="395" t="n"/>
      <c r="AA860" s="395" t="n"/>
      <c r="AB860" s="395" t="n"/>
      <c r="AC860" s="395" t="n"/>
      <c r="AD860" s="395" t="n"/>
      <c r="AE860" s="395" t="n"/>
    </row>
    <row r="861" ht="56" customHeight="1" s="380">
      <c r="A861" s="112" t="n">
        <v>55</v>
      </c>
      <c r="B861" s="386" t="n"/>
      <c r="C861" s="386" t="inlineStr">
        <is>
          <t>Báo cáo chứng quyền có đảm bảo &gt;&gt; Báo cáo về tài sản bảo đảm thanh toán - X</t>
        </is>
      </c>
      <c r="D861" s="106" t="inlineStr">
        <is>
          <t>Mã báo cáo</t>
        </is>
      </c>
      <c r="E861" s="107" t="inlineStr">
        <is>
          <t>Mã báo cáo</t>
        </is>
      </c>
      <c r="F861" s="390" t="inlineStr">
        <is>
          <t>Data Explorer</t>
        </is>
      </c>
      <c r="G861" s="390" t="inlineStr">
        <is>
          <t>Chiều</t>
        </is>
      </c>
      <c r="H861" s="390" t="inlineStr">
        <is>
          <t>Dễ</t>
        </is>
      </c>
      <c r="I861" s="390" t="inlineStr">
        <is>
          <t>Ngày, CTCK</t>
        </is>
      </c>
      <c r="J861" s="401" t="inlineStr">
        <is>
          <t>SCMS</t>
        </is>
      </c>
      <c r="K861" s="401" t="inlineStr">
        <is>
          <t>X</t>
        </is>
      </c>
      <c r="L861" s="395" t="inlineStr">
        <is>
          <t>X</t>
        </is>
      </c>
      <c r="M861" s="401" t="n"/>
      <c r="N861" s="395" t="inlineStr">
        <is>
          <t>Done</t>
        </is>
      </c>
      <c r="O861" s="401" t="n"/>
      <c r="P861" s="395" t="n"/>
      <c r="S861" s="395" t="n"/>
      <c r="U861" s="386" t="n"/>
      <c r="V861" s="395" t="n"/>
      <c r="W861" s="395" t="n"/>
      <c r="X861" s="395" t="n"/>
      <c r="Y861" s="13" t="n"/>
      <c r="Z861" s="395" t="n"/>
      <c r="AA861" s="395" t="n"/>
      <c r="AB861" s="395" t="n"/>
      <c r="AC861" s="395" t="n"/>
      <c r="AD861" s="395" t="n"/>
      <c r="AE861" s="395" t="n"/>
    </row>
    <row r="862" ht="56" customHeight="1" s="380">
      <c r="A862" s="112" t="n">
        <v>55</v>
      </c>
      <c r="B862" s="386" t="n"/>
      <c r="C862" s="386" t="inlineStr">
        <is>
          <t>Báo cáo chứng quyền có đảm bảo &gt;&gt; Báo cáo về tài sản bảo đảm thanh toán - X</t>
        </is>
      </c>
      <c r="D862" s="106" t="inlineStr">
        <is>
          <t>Tên báo cáo</t>
        </is>
      </c>
      <c r="E862" s="107" t="inlineStr">
        <is>
          <t>Tên báo cáo</t>
        </is>
      </c>
      <c r="F862" s="390" t="inlineStr">
        <is>
          <t>Data Explorer</t>
        </is>
      </c>
      <c r="G862" s="390" t="inlineStr">
        <is>
          <t>Chiều</t>
        </is>
      </c>
      <c r="H862" s="390" t="inlineStr">
        <is>
          <t>Dễ</t>
        </is>
      </c>
      <c r="I862" s="390" t="inlineStr">
        <is>
          <t>Ngày, CTCK</t>
        </is>
      </c>
      <c r="J862" s="401" t="inlineStr">
        <is>
          <t>SCMS</t>
        </is>
      </c>
      <c r="K862" s="401" t="inlineStr">
        <is>
          <t>X</t>
        </is>
      </c>
      <c r="L862" s="395" t="inlineStr">
        <is>
          <t>X</t>
        </is>
      </c>
      <c r="M862" s="401" t="n"/>
      <c r="N862" s="395" t="inlineStr">
        <is>
          <t>Done</t>
        </is>
      </c>
      <c r="O862" s="401" t="n"/>
      <c r="P862" s="395" t="n"/>
      <c r="S862" s="395" t="n"/>
      <c r="U862" s="386" t="n"/>
      <c r="V862" s="395" t="n"/>
      <c r="W862" s="395" t="n"/>
      <c r="X862" s="395" t="n"/>
      <c r="Y862" s="38" t="n"/>
      <c r="Z862" s="395" t="n"/>
      <c r="AA862" s="395" t="n"/>
      <c r="AB862" s="395" t="n"/>
      <c r="AC862" s="395" t="n"/>
      <c r="AD862" s="395" t="n"/>
      <c r="AE862" s="395" t="n"/>
    </row>
    <row r="863" ht="56" customHeight="1" s="380">
      <c r="A863" s="112" t="n">
        <v>55</v>
      </c>
      <c r="B863" s="386" t="n"/>
      <c r="C863" s="386" t="inlineStr">
        <is>
          <t>Báo cáo chứng quyền có đảm bảo &gt;&gt; Báo cáo về tài sản bảo đảm thanh toán - X</t>
        </is>
      </c>
      <c r="D863" s="106" t="inlineStr">
        <is>
          <t>Mã sheet</t>
        </is>
      </c>
      <c r="E863" s="106" t="inlineStr">
        <is>
          <t>Mã sheet</t>
        </is>
      </c>
      <c r="F863" s="390" t="inlineStr">
        <is>
          <t>Data Explorer</t>
        </is>
      </c>
      <c r="G863" s="390" t="inlineStr">
        <is>
          <t>Chiều</t>
        </is>
      </c>
      <c r="H863" s="390" t="inlineStr">
        <is>
          <t>Dễ</t>
        </is>
      </c>
      <c r="I863" s="390" t="inlineStr">
        <is>
          <t>Ngày, CTCK</t>
        </is>
      </c>
      <c r="J863" s="401" t="inlineStr">
        <is>
          <t>SCMS</t>
        </is>
      </c>
      <c r="K863" s="401" t="inlineStr">
        <is>
          <t>X</t>
        </is>
      </c>
      <c r="L863" s="395" t="inlineStr">
        <is>
          <t>X</t>
        </is>
      </c>
      <c r="M863" s="401" t="n"/>
      <c r="N863" s="395" t="inlineStr">
        <is>
          <t>Done</t>
        </is>
      </c>
      <c r="O863" s="401" t="n"/>
      <c r="P863" s="395" t="n"/>
      <c r="Q863" s="401" t="inlineStr">
        <is>
          <t>SCMS.BM_BAO_CAO
SCMS.BM_SHEET</t>
        </is>
      </c>
      <c r="R863" s="402" t="inlineStr">
        <is>
          <t>bm.ID,
bm.MA_BAO_CAO,
bm.SU_DUNG,
s.BM_BAO_CAO_ID,
s.MA_SHEET,
s.TEN_SHEET,
s.SAP_XEP</t>
        </is>
      </c>
      <c r="S863" s="395" t="n"/>
      <c r="T863" s="384" t="inlineStr">
        <is>
          <t>-- Mã sheet / Tên sheet
-- MA_SHEET: X
SELECT bm.MA_BAO_CAO,
s.MA_SHEET,
s.TEN_SHEET
FROM SCMS.BM_BAO_CAO bm
JOIN SCMS.BM_SHEET s ON s.BM_BAO_CAO_ID = bm.ID
WHERE bm.MA_BAO_CAO = 'BCVTSBDTT'
AND s.MA_SHEET = 'X'  -- Check lại data chuẩn
AND bm.SU_DUNG = 1
ORDER BY bm.MA_BAO_CAO, s.SAP_XEP;</t>
        </is>
      </c>
      <c r="U863" s="386" t="n"/>
      <c r="V863" s="395" t="n"/>
      <c r="W863" s="395" t="n"/>
      <c r="X863" s="395" t="n"/>
      <c r="Y863" s="13" t="n"/>
      <c r="Z863" s="395" t="n"/>
      <c r="AA863" s="395" t="n"/>
      <c r="AB863" s="395" t="n"/>
      <c r="AC863" s="395" t="n"/>
      <c r="AD863" s="395" t="n"/>
      <c r="AE863" s="395" t="n"/>
    </row>
    <row r="864" ht="56" customHeight="1" s="380">
      <c r="A864" s="112" t="n">
        <v>55</v>
      </c>
      <c r="B864" s="386" t="n"/>
      <c r="C864" s="386" t="inlineStr">
        <is>
          <t>Báo cáo chứng quyền có đảm bảo &gt;&gt; Báo cáo về tài sản bảo đảm thanh toán - X</t>
        </is>
      </c>
      <c r="D864" s="106" t="inlineStr">
        <is>
          <t>Tên sheet</t>
        </is>
      </c>
      <c r="E864" s="106" t="inlineStr">
        <is>
          <t>Tên sheet</t>
        </is>
      </c>
      <c r="F864" s="390" t="inlineStr">
        <is>
          <t>Data Explorer</t>
        </is>
      </c>
      <c r="G864" s="390" t="inlineStr">
        <is>
          <t>Chiều</t>
        </is>
      </c>
      <c r="H864" s="390" t="inlineStr">
        <is>
          <t>Dễ</t>
        </is>
      </c>
      <c r="I864" s="390" t="inlineStr">
        <is>
          <t>Ngày, CTCK</t>
        </is>
      </c>
      <c r="J864" s="401" t="inlineStr">
        <is>
          <t>SCMS</t>
        </is>
      </c>
      <c r="K864" s="401" t="inlineStr">
        <is>
          <t>X</t>
        </is>
      </c>
      <c r="L864" s="395" t="inlineStr">
        <is>
          <t>X</t>
        </is>
      </c>
      <c r="M864" s="401" t="n"/>
      <c r="N864" s="395" t="inlineStr">
        <is>
          <t>Done</t>
        </is>
      </c>
      <c r="O864" s="401" t="n"/>
      <c r="P864" s="395" t="n"/>
      <c r="S864" s="395" t="n"/>
      <c r="U864" s="386" t="n"/>
      <c r="V864" s="395" t="n"/>
      <c r="W864" s="395" t="n"/>
      <c r="X864" s="395" t="n"/>
      <c r="Y864" s="13" t="n"/>
      <c r="Z864" s="395" t="n"/>
      <c r="AA864" s="395" t="n"/>
      <c r="AB864" s="395" t="n"/>
      <c r="AC864" s="395" t="n"/>
      <c r="AD864" s="395" t="n"/>
      <c r="AE864" s="395" t="n"/>
    </row>
    <row r="865" ht="56" customHeight="1" s="380">
      <c r="A865" s="112" t="n">
        <v>55</v>
      </c>
      <c r="B865" s="386" t="n"/>
      <c r="C865" s="386" t="inlineStr">
        <is>
          <t>Báo cáo chứng quyền có đảm bảo &gt;&gt; Báo cáo về tài sản bảo đảm thanh toán - X</t>
        </is>
      </c>
      <c r="D865" s="106" t="inlineStr">
        <is>
          <t>Mã chỉ tiêu</t>
        </is>
      </c>
      <c r="E865" s="107" t="inlineStr">
        <is>
          <t>Mã chỉ tiêu</t>
        </is>
      </c>
      <c r="F865" s="390" t="inlineStr">
        <is>
          <t>Data Explorer</t>
        </is>
      </c>
      <c r="G865" s="390" t="inlineStr">
        <is>
          <t>Chiều</t>
        </is>
      </c>
      <c r="H865" s="390" t="inlineStr">
        <is>
          <t>Dễ</t>
        </is>
      </c>
      <c r="I865" s="390" t="inlineStr">
        <is>
          <t>Ngày, CTCK</t>
        </is>
      </c>
      <c r="J865" s="401" t="inlineStr">
        <is>
          <t>SCMS</t>
        </is>
      </c>
      <c r="K865" s="401" t="inlineStr">
        <is>
          <t>X</t>
        </is>
      </c>
      <c r="L865" s="395" t="inlineStr">
        <is>
          <t>X</t>
        </is>
      </c>
      <c r="M865" s="401" t="n"/>
      <c r="N865" s="395" t="inlineStr">
        <is>
          <t>Done</t>
        </is>
      </c>
      <c r="O865" s="401" t="n"/>
      <c r="P865" s="395" t="n"/>
      <c r="Q865" s="401" t="inlineStr">
        <is>
          <t>SCMS.BM_BAO_CAO
SCMS.BM_SHEET
SCMS.BM_BAO_CAO_CT
SCMS.DM_CHI_TIEU</t>
        </is>
      </c>
      <c r="R865" s="402" t="inlineStr">
        <is>
          <t>dct.ID,
dct.MA_CHI_TIEU,
dct.TEN_CHI_TIEU,
dct.SU_DUNG,
s.BM_BAO_CAO_ID,
s.MA_SHEET,
ct.BM_BAO_CAO_ID,
ct.DM_CHI_TIEU_ID,
ct.SU_DUNG,
bm.ID,
bm.MA_BAO_CAO,
bm.SU_DUNG</t>
        </is>
      </c>
      <c r="S865" s="395" t="n"/>
      <c r="T865" s="384" t="inlineStr">
        <is>
          <t>-- Mã chỉ tiêu / Tên chỉ tiêu
SELECT DISTINCT
    dct.MA_CHI_TIEU  AS ma_chi_tieu,
    dct.TEN_CHI_TIEU AS ten_chi_tieu
FROM SCMS.BM_BAO_CAO bm
JOIN SCMS.BM_SHEET s ON s.BM_BAO_CAO_ID = bm.ID
	AND s.MA_SHEET = 'X'
JOIN SCMS.BM_BAO_CAO_CT ct ON ct.BM_SHEET_ID = s.ID
	AND ct.SU_DUNG = 1
JOIN SCMS.DM_CHI_TIEU dct ON dct.ID = ct.DM_CHI_TIEU_ID
	AND dct.SU_DUNG = 1
WHERE bm.MA_BAO_CAO = 'BCVTSBDTT'
	AND bm.SU_DUNG = 1
ORDER BY dct.MA_CHI_TIEU;</t>
        </is>
      </c>
      <c r="U865" s="386" t="n"/>
      <c r="V865" s="395" t="n"/>
      <c r="W865" s="395" t="n"/>
      <c r="X865" s="395" t="n"/>
      <c r="Y865" s="13" t="n"/>
      <c r="Z865" s="395" t="n"/>
      <c r="AA865" s="395" t="n"/>
      <c r="AB865" s="395" t="n"/>
      <c r="AC865" s="395" t="n"/>
      <c r="AD865" s="395" t="n"/>
      <c r="AE865" s="395" t="n"/>
    </row>
    <row r="866" ht="56" customHeight="1" s="380">
      <c r="A866" s="112" t="n">
        <v>55</v>
      </c>
      <c r="B866" s="386" t="n"/>
      <c r="C866" s="386" t="inlineStr">
        <is>
          <t>Báo cáo chứng quyền có đảm bảo &gt;&gt; Báo cáo về tài sản bảo đảm thanh toán - X</t>
        </is>
      </c>
      <c r="D866" s="106" t="inlineStr">
        <is>
          <t>Tên chỉ tiêu</t>
        </is>
      </c>
      <c r="E866" s="107" t="inlineStr">
        <is>
          <t>Tên chỉ tiêu</t>
        </is>
      </c>
      <c r="F866" s="390" t="inlineStr">
        <is>
          <t>Data Explorer</t>
        </is>
      </c>
      <c r="G866" s="390" t="inlineStr">
        <is>
          <t>Chiều</t>
        </is>
      </c>
      <c r="H866" s="390" t="inlineStr">
        <is>
          <t>Dễ</t>
        </is>
      </c>
      <c r="I866" s="390" t="inlineStr">
        <is>
          <t>Ngày, CTCK</t>
        </is>
      </c>
      <c r="J866" s="401" t="inlineStr">
        <is>
          <t>SCMS</t>
        </is>
      </c>
      <c r="K866" s="401" t="inlineStr">
        <is>
          <t>X</t>
        </is>
      </c>
      <c r="L866" s="395" t="inlineStr">
        <is>
          <t>X</t>
        </is>
      </c>
      <c r="M866" s="401" t="n"/>
      <c r="N866" s="395" t="inlineStr">
        <is>
          <t>Done</t>
        </is>
      </c>
      <c r="O866" s="401" t="n"/>
      <c r="P866" s="395" t="n"/>
      <c r="S866" s="395" t="n"/>
      <c r="U866" s="386" t="n"/>
      <c r="V866" s="395" t="n"/>
      <c r="W866" s="395" t="n"/>
      <c r="X866" s="395" t="n"/>
      <c r="Y866" s="13" t="n"/>
      <c r="Z866" s="395" t="n"/>
      <c r="AA866" s="395" t="n"/>
      <c r="AB866" s="395" t="n"/>
      <c r="AC866" s="395" t="n"/>
      <c r="AD866" s="395" t="n"/>
      <c r="AE866" s="395" t="n"/>
    </row>
    <row r="867" ht="56" customHeight="1" s="380">
      <c r="A867" s="112" t="n">
        <v>55</v>
      </c>
      <c r="B867" s="386" t="n"/>
      <c r="C867" s="386" t="inlineStr">
        <is>
          <t>Báo cáo chứng quyền có đảm bảo &gt;&gt; Báo cáo về tài sản bảo đảm thanh toán - X</t>
        </is>
      </c>
      <c r="D867" s="386" t="inlineStr">
        <is>
          <t>Tên CTCK</t>
        </is>
      </c>
      <c r="E867" s="395" t="inlineStr">
        <is>
          <t>Tên CTCK</t>
        </is>
      </c>
      <c r="F867" s="386" t="inlineStr">
        <is>
          <t>Data Explorer</t>
        </is>
      </c>
      <c r="G867" s="386" t="inlineStr">
        <is>
          <t>Chỉ tiêu cơ sở</t>
        </is>
      </c>
      <c r="H867" s="386" t="inlineStr">
        <is>
          <t>Dễ</t>
        </is>
      </c>
      <c r="I867" s="386" t="inlineStr">
        <is>
          <t>Ngày, CTCK</t>
        </is>
      </c>
      <c r="J867" s="395" t="inlineStr">
        <is>
          <t>SCMS</t>
        </is>
      </c>
      <c r="K867" s="395" t="n"/>
      <c r="L867" s="395" t="inlineStr">
        <is>
          <t>X</t>
        </is>
      </c>
      <c r="M867" s="395" t="n"/>
      <c r="N867" s="395" t="inlineStr">
        <is>
          <t>Done</t>
        </is>
      </c>
      <c r="O867" s="401" t="n"/>
      <c r="P867" s="395" t="n"/>
      <c r="Q867" s="428" t="inlineStr">
        <is>
          <t>SCMS.BC_THANH_VIEN
SCMS.BM_BAO_CAO
SCMS.BC_BAO_CAO_GT
SCMS.CTCK_THONG_TIN
SCMS.CTCK_NHAN_SU_CAO_CAP
SCMS.DM_CHUC_VU</t>
        </is>
      </c>
      <c r="R867" s="428" t="inlineStr">
        <is>
          <t>c.ID,
c.TEN_VIET_TAT,
c.SAN_NIEM_YET,
c.MA_CHUNG_KHOAN,
c.GIAY_PHEP_KINH_DOANH,
c.NGAY_CAP_GPKD,
btv.ID,
btv.BM_BAO_CAO_ID,
btv.CTCK_THONG_TIN_ID,
btv.NGAY_SO_LIEU,
btv.TRANG_THAI,
g.BC_THANH_VIEN_ID,
g.TEN_COT,
g.GIA_TRI,
g.TEN_SHEET,
bm.ID,
bm.MA_BAO_CAO,
ns.CTCK_THONG_TIN_ID,
ns.HO_TEN,
ns.IS_BANG_TAM,
ns.TRANG_THAI,
ns.CHUC_VU_ID,
cv.ID,
cv.TEN_CHUC_VU</t>
        </is>
      </c>
      <c r="S867" s="397" t="n"/>
      <c r="T867" s="429" t="inlineStr">
        <is>
          <t>-- CHỈ TIÊU
SELECT
    ROW_NUMBER() OVER (ORDER BY ngay_bao_cao DESC, ten_ctck) AS stt,
    ten_ctck,
    san_giao_dich,
    ma_ck,
    so_giay_phep,
    ngay_cap_giay_phep,
    nguoi_dai_dien,
    chuc_vu_nguoi_dai_dien,
    "Tên Ngân hàng lưu ký",
    so_giay_phep_ngan_hang_luu_ly,
    ngay_cap_giay_phep_ngan_hang_luu_ly,
    so_giay_chung_nhan_dang_ky_hoat_dong,
    ngay_cap_giay_chung_nhan_dang_ky_hoat_dong,
    "Tên chứng quyền",
    "Tên tổ chức phát hành",
    "Loại tài sản bảo đảm",
    "Giá trị kỳ báo cáo",
    "Giá trị kỳ trước",
    "Thay đổi so với kỳ trước"
FROM (
    SELECT
        c.TEN_VIET_TAT AS ten_ctck,
        c.SAN_NIEM_YET AS san_giao_dich,
        c.MA_CHUNG_KHOAN AS ma_ck,
        c.GIAY_PHEP_KINH_DOANH AS so_giay_phep,
        c.NGAY_CAP_GPKD AS ngay_cap_giay_phep,
        ns.HO_TEN AS nguoi_dai_dien,
        cv.TEN_CHUC_VU AS chuc_vu_nguoi_dai_dien,
        btv.NGAY_SO_LIEU AS ngay_bao_cao,
        MAX(CASE WHEN g.TEN_COT LIKE N'%Tên Ngân hàng lưu ký%' THEN g.GIA_TRI END) AS "Tên Ngân hàng lưu ký",
        MAX(CASE WHEN g.TEN_COT LIKE N'%Số giấy phép hoạt động%' THEN g.GIA_TRI END) AS so_giay_phep_ngan_hang_luu_ly,
        MAX(CASE WHEN g.TEN_COT LIKE N'%Ngày cấp giấy phép hoạt động%' THEN g.GIA_TRI END) AS ngay_cap_giay_phep_ngan_hang_luu_ly,
        MAX(CASE WHEN g.TEN_COT LIKE N'%Số giấy chứng nhận đăng ký hoạt động lưu ký chứng khoán%'THEN g.GIA_TRI END) AS so_giay_chung_nhan_dang_ky_hoat_dong,
        MAX(CASE WHEN g.TEN_COT LIKE N'%Ngày cấp giấy chứng nhận đăng ký hoạt động lưu ký chứng khoán%' THEN g.GIA_TRI END) AS ngay_cap_giay_chung_nhan_dang_ky_hoat_dong,
        MAX(CASE WHEN g.TEN_COT LIKE N'%Tên chứng quyền%' THEN g.GIA_TRI END) AS "Tên chứng quyền",
        MAX(CASE WHEN g.TEN_COT LIKE N'%Tên tổ chức phát hành%' THEN g.GIA_TRI END) AS "Tên tổ chức phát hành",
        MAX(CASE WHEN g.TEN_COT LIKE N'%Loại tài sản bảo đảm%' THEN g.GIA_TRI END) AS "Loại tài sản bảo đảm",
        MAX(CASE WHEN g.TEN_COT LIKE N'%Giá trị kỳ báo cáo%' THEN g.GIA_TRI END) AS "Giá trị kỳ báo cáo",
        MAX(CASE WHEN g.TEN_COT LIKE N'%Giá trị kỳ trước%' THEN g.GIA_TRI END) AS "Giá trị kỳ trước",
        MAX(CASE WHEN g.TEN_COT LIKE N'%Thay đổi so với kỳ trước%' THEN g.GIA_TRI END) AS "Thay đổi so với kỳ trước"
    FROM SCMS.BC_THANH_VIEN  btv
    JOIN SCMS.BM_BAO_CAO bm ON bm.ID = btv.BM_BAO_CAO_ID
    JOIN (
        SELECT
            BC_THANH_VIEN_ID,
            TEN_SHEET,
            TEN_COT,
            CAST(GIA_TRI AS VARCHAR2(4000)) AS GIA_TRI
        FROM SCMS.BC_BAO_CAO_GT
        WHERE TEN_SHEET = N'X'
    ) g ON g.BC_THANH_VIEN_ID = btv.ID
    JOIN SCMS.CTCK_THONG_TIN c ON c.ID = btv.CTCK_THONG_TIN_ID
    LEFT JOIN SCMS.CTCK_NHAN_SU_CAO_CAP ns ON ns.CTCK_THONG_TIN_ID = btv.CTCK_THONG_TIN_ID
         AND ns.IS_BANG_TAM = 1
         AND ns.TRANG_THAI = 1
    LEFT JOIN SCMS.DM_CHUC_VU cv ON cv.ID = ns.CHUC_VU_ID
         AND LOWER(cv.TEN_CHUC_VU) LIKE N'%DDPL%'  -- Xác nhận tên chức vụ của người đại diện pháp luật
    WHERE bm.MA_BAO_CAO  = 'BCVTSBDTT'
      AND btv.TRANG_THAI IN (2, 3)
    GROUP BY
        btv.ID, btv.CTCK_THONG_TIN_ID, btv.NGAY_SO_LIEU, btv.TRANG_THAI,
        bm.MA_BAO_CAO, g.TEN_SHEET,
        c.TEN_VIET_TAT, c.SAN_NIEM_YET, c.MA_CHUNG_KHOAN,
        c.GIAY_PHEP_KINH_DOANH, c.NGAY_CAP_GPKD,
        ns.HO_TEN, cv.TEN_CHUC_VU
)
ORDER BY ngay_bao_cao DESC, ten_ctck;</t>
        </is>
      </c>
      <c r="U867" s="386" t="n"/>
      <c r="V867" s="395" t="n"/>
      <c r="W867" s="395" t="n"/>
      <c r="X867" s="395" t="n"/>
      <c r="Y867" s="13" t="n"/>
      <c r="Z867" s="395" t="n"/>
      <c r="AA867" s="395" t="n"/>
      <c r="AB867" s="395" t="n"/>
      <c r="AC867" s="395" t="n"/>
      <c r="AD867" s="395" t="n"/>
      <c r="AE867" s="395" t="n"/>
    </row>
    <row r="868" ht="56" customHeight="1" s="380">
      <c r="A868" s="112" t="n">
        <v>55</v>
      </c>
      <c r="B868" s="386" t="n"/>
      <c r="C868" s="386" t="inlineStr">
        <is>
          <t>Báo cáo chứng quyền có đảm bảo &gt;&gt; Báo cáo về tài sản bảo đảm thanh toán - X</t>
        </is>
      </c>
      <c r="D868" s="386" t="inlineStr">
        <is>
          <t>Sàn giao dịch</t>
        </is>
      </c>
      <c r="E868" s="395" t="inlineStr">
        <is>
          <t>Sàn giao dịch</t>
        </is>
      </c>
      <c r="F868" s="386" t="inlineStr">
        <is>
          <t>Data Explorer</t>
        </is>
      </c>
      <c r="G868" s="386" t="inlineStr">
        <is>
          <t>Chỉ tiêu cơ sở</t>
        </is>
      </c>
      <c r="H868" s="386" t="inlineStr">
        <is>
          <t>Dễ</t>
        </is>
      </c>
      <c r="I868" s="386" t="inlineStr">
        <is>
          <t>Ngày, CTCK</t>
        </is>
      </c>
      <c r="J868" s="395" t="inlineStr">
        <is>
          <t>SCMS</t>
        </is>
      </c>
      <c r="K868" s="395" t="n"/>
      <c r="L868" s="395" t="inlineStr">
        <is>
          <t>X</t>
        </is>
      </c>
      <c r="M868" s="395" t="n"/>
      <c r="N868" s="395" t="inlineStr">
        <is>
          <t>Done</t>
        </is>
      </c>
      <c r="O868" s="401" t="n"/>
      <c r="P868" s="395" t="n"/>
      <c r="S868" s="397" t="n"/>
      <c r="U868" s="386" t="n"/>
      <c r="V868" s="395" t="n"/>
      <c r="W868" s="395" t="n"/>
      <c r="X868" s="395" t="n"/>
      <c r="Y868" s="13" t="n"/>
      <c r="Z868" s="395" t="n"/>
      <c r="AA868" s="395" t="n"/>
      <c r="AB868" s="395" t="n"/>
      <c r="AC868" s="395" t="n"/>
      <c r="AD868" s="395" t="n"/>
      <c r="AE868" s="395" t="n"/>
    </row>
    <row r="869" ht="56" customHeight="1" s="380">
      <c r="A869" s="112" t="n">
        <v>55</v>
      </c>
      <c r="B869" s="386" t="n"/>
      <c r="C869" s="386" t="inlineStr">
        <is>
          <t>Báo cáo chứng quyền có đảm bảo &gt;&gt; Báo cáo về tài sản bảo đảm thanh toán - X</t>
        </is>
      </c>
      <c r="D869" s="386" t="inlineStr">
        <is>
          <t>Mã CK</t>
        </is>
      </c>
      <c r="E869" s="395" t="inlineStr">
        <is>
          <t>Mã CK</t>
        </is>
      </c>
      <c r="F869" s="386" t="inlineStr">
        <is>
          <t>Data Explorer</t>
        </is>
      </c>
      <c r="G869" s="386" t="inlineStr">
        <is>
          <t>Chỉ tiêu cơ sở</t>
        </is>
      </c>
      <c r="H869" s="386" t="inlineStr">
        <is>
          <t>Dễ</t>
        </is>
      </c>
      <c r="I869" s="386" t="inlineStr">
        <is>
          <t>Ngày, CTCK</t>
        </is>
      </c>
      <c r="J869" s="395" t="inlineStr">
        <is>
          <t>SCMS</t>
        </is>
      </c>
      <c r="K869" s="395" t="n"/>
      <c r="L869" s="395" t="inlineStr">
        <is>
          <t>X</t>
        </is>
      </c>
      <c r="M869" s="395" t="n"/>
      <c r="N869" s="395" t="inlineStr">
        <is>
          <t>Done</t>
        </is>
      </c>
      <c r="O869" s="401" t="n"/>
      <c r="P869" s="395" t="n"/>
      <c r="S869" s="397" t="n"/>
      <c r="U869" s="386" t="n"/>
      <c r="V869" s="395" t="n"/>
      <c r="W869" s="395" t="n"/>
      <c r="X869" s="395" t="n"/>
      <c r="Y869" s="13" t="n"/>
      <c r="Z869" s="395" t="n"/>
      <c r="AA869" s="395" t="n"/>
      <c r="AB869" s="395" t="n"/>
      <c r="AC869" s="395" t="n"/>
      <c r="AD869" s="395" t="n"/>
      <c r="AE869" s="395" t="n"/>
    </row>
    <row r="870" ht="56" customHeight="1" s="380">
      <c r="A870" s="112" t="n">
        <v>55</v>
      </c>
      <c r="B870" s="386" t="n"/>
      <c r="C870" s="386" t="inlineStr">
        <is>
          <t>Báo cáo chứng quyền có đảm bảo &gt;&gt; Báo cáo về tài sản bảo đảm thanh toán - X</t>
        </is>
      </c>
      <c r="D870" s="386" t="inlineStr">
        <is>
          <t>Giấy phép Hoạt động của Chủ tịch UBCKNN cấp lần đầu &gt;&gt; Số</t>
        </is>
      </c>
      <c r="E870" s="386" t="inlineStr">
        <is>
          <t>Giấy phép Hoạt động của Chủ tịch UBCKNN cấp lần đầu &gt;&gt; Số</t>
        </is>
      </c>
      <c r="F870" s="386" t="inlineStr">
        <is>
          <t>Data Explorer</t>
        </is>
      </c>
      <c r="G870" s="386" t="inlineStr">
        <is>
          <t>Chỉ tiêu cơ sở</t>
        </is>
      </c>
      <c r="H870" s="386" t="inlineStr">
        <is>
          <t>Dễ</t>
        </is>
      </c>
      <c r="I870" s="386" t="inlineStr">
        <is>
          <t>Ngày, CTCK</t>
        </is>
      </c>
      <c r="J870" s="395" t="inlineStr">
        <is>
          <t>SCMS</t>
        </is>
      </c>
      <c r="K870" s="395" t="n"/>
      <c r="L870" s="395" t="inlineStr">
        <is>
          <t>X</t>
        </is>
      </c>
      <c r="M870" s="395" t="n"/>
      <c r="N870" s="395" t="inlineStr">
        <is>
          <t>Done</t>
        </is>
      </c>
      <c r="O870" s="401" t="n"/>
      <c r="P870" s="395" t="n"/>
      <c r="S870" s="397" t="n"/>
      <c r="U870" s="386" t="n"/>
      <c r="V870" s="395" t="n"/>
      <c r="W870" s="395" t="n"/>
      <c r="X870" s="395" t="n"/>
      <c r="Y870" s="14" t="n"/>
      <c r="Z870" s="395" t="n"/>
      <c r="AA870" s="395" t="n"/>
      <c r="AB870" s="395" t="n"/>
      <c r="AC870" s="395" t="n"/>
      <c r="AD870" s="395" t="n"/>
      <c r="AE870" s="395" t="n"/>
    </row>
    <row r="871" ht="56" customHeight="1" s="380">
      <c r="A871" s="112" t="n">
        <v>55</v>
      </c>
      <c r="B871" s="386" t="n"/>
      <c r="C871" s="386" t="inlineStr">
        <is>
          <t>Báo cáo chứng quyền có đảm bảo &gt;&gt; Báo cáo về tài sản bảo đảm thanh toán - X</t>
        </is>
      </c>
      <c r="D871" s="386" t="inlineStr">
        <is>
          <t>Giấy phép Hoạt động của Chủ tịch UBCKNN cấp lần đầu &gt;&gt; Ngày cấp</t>
        </is>
      </c>
      <c r="E871" s="386" t="inlineStr">
        <is>
          <t>Giấy phép Hoạt động của Chủ tịch UBCKNN cấp lần đầu &gt;&gt; Ngày cấp</t>
        </is>
      </c>
      <c r="F871" s="386" t="inlineStr">
        <is>
          <t>Data Explorer</t>
        </is>
      </c>
      <c r="G871" s="386" t="inlineStr">
        <is>
          <t>Chỉ tiêu cơ sở</t>
        </is>
      </c>
      <c r="H871" s="386" t="inlineStr">
        <is>
          <t>Dễ</t>
        </is>
      </c>
      <c r="I871" s="386" t="inlineStr">
        <is>
          <t>Ngày, CTCK</t>
        </is>
      </c>
      <c r="J871" s="395" t="inlineStr">
        <is>
          <t>SCMS</t>
        </is>
      </c>
      <c r="K871" s="395" t="n"/>
      <c r="L871" s="395" t="inlineStr">
        <is>
          <t>X</t>
        </is>
      </c>
      <c r="M871" s="395" t="n"/>
      <c r="N871" s="395" t="inlineStr">
        <is>
          <t>Done</t>
        </is>
      </c>
      <c r="O871" s="401" t="n"/>
      <c r="P871" s="395" t="n"/>
      <c r="S871" s="397" t="n"/>
      <c r="U871" s="386" t="n"/>
      <c r="V871" s="395" t="n"/>
      <c r="W871" s="395" t="n"/>
      <c r="X871" s="395" t="n"/>
      <c r="Y871" s="13" t="n"/>
      <c r="Z871" s="395" t="n"/>
      <c r="AA871" s="395" t="n"/>
      <c r="AB871" s="395" t="n"/>
      <c r="AC871" s="395" t="n"/>
      <c r="AD871" s="395" t="n"/>
      <c r="AE871" s="395" t="n"/>
    </row>
    <row r="872" ht="56" customHeight="1" s="380">
      <c r="A872" s="112" t="n">
        <v>55</v>
      </c>
      <c r="B872" s="386" t="n"/>
      <c r="C872" s="386" t="inlineStr">
        <is>
          <t>Báo cáo chứng quyền có đảm bảo &gt;&gt; Báo cáo về tài sản bảo đảm thanh toán - X</t>
        </is>
      </c>
      <c r="D872" s="386" t="inlineStr">
        <is>
          <t>Người đại diện theo pháp luật (Đăng ký với UBCKNN)</t>
        </is>
      </c>
      <c r="E872" s="386" t="inlineStr">
        <is>
          <t>Người đại diện theo pháp luật (Đăng ký với UBCKNN)</t>
        </is>
      </c>
      <c r="F872" s="386" t="inlineStr">
        <is>
          <t>Data Explorer</t>
        </is>
      </c>
      <c r="G872" s="386" t="inlineStr">
        <is>
          <t>Chỉ tiêu cơ sở</t>
        </is>
      </c>
      <c r="H872" s="386" t="inlineStr">
        <is>
          <t>Dễ</t>
        </is>
      </c>
      <c r="I872" s="386" t="inlineStr">
        <is>
          <t>Ngày, CTCK</t>
        </is>
      </c>
      <c r="J872" s="395" t="inlineStr">
        <is>
          <t>SCMS</t>
        </is>
      </c>
      <c r="K872" s="395" t="n"/>
      <c r="L872" s="395" t="inlineStr">
        <is>
          <t>X</t>
        </is>
      </c>
      <c r="M872" s="395" t="n"/>
      <c r="N872" s="395" t="inlineStr">
        <is>
          <t>Done</t>
        </is>
      </c>
      <c r="O872" s="401" t="n"/>
      <c r="P872" s="395" t="n"/>
      <c r="S872" s="397" t="n"/>
      <c r="U872" s="386" t="n"/>
      <c r="V872" s="395" t="n"/>
      <c r="W872" s="395" t="n"/>
      <c r="X872" s="395" t="n"/>
      <c r="Y872" s="13" t="n"/>
      <c r="Z872" s="395" t="n"/>
      <c r="AA872" s="395" t="n"/>
      <c r="AB872" s="395" t="n"/>
      <c r="AC872" s="395" t="n"/>
      <c r="AD872" s="395" t="n"/>
      <c r="AE872" s="395" t="n"/>
    </row>
    <row r="873" ht="56" customHeight="1" s="380">
      <c r="A873" s="112" t="n">
        <v>55</v>
      </c>
      <c r="B873" s="386" t="n"/>
      <c r="C873" s="386" t="inlineStr">
        <is>
          <t>Báo cáo chứng quyền có đảm bảo &gt;&gt; Báo cáo về tài sản bảo đảm thanh toán - X</t>
        </is>
      </c>
      <c r="D873" s="386" t="inlineStr">
        <is>
          <t>Chức vụ của Người đại diện theo pháp luật</t>
        </is>
      </c>
      <c r="E873" s="395" t="inlineStr">
        <is>
          <t>Chức vụ của Người đại diện theo pháp luật</t>
        </is>
      </c>
      <c r="F873" s="386" t="inlineStr">
        <is>
          <t>Data Explorer</t>
        </is>
      </c>
      <c r="G873" s="386" t="inlineStr">
        <is>
          <t>Chỉ tiêu cơ sở</t>
        </is>
      </c>
      <c r="H873" s="386" t="inlineStr">
        <is>
          <t>Dễ</t>
        </is>
      </c>
      <c r="I873" s="386" t="inlineStr">
        <is>
          <t>Ngày, CTCK</t>
        </is>
      </c>
      <c r="J873" s="395" t="inlineStr">
        <is>
          <t>SCMS</t>
        </is>
      </c>
      <c r="K873" s="395" t="n"/>
      <c r="L873" s="395" t="inlineStr">
        <is>
          <t>X</t>
        </is>
      </c>
      <c r="M873" s="395" t="n"/>
      <c r="N873" s="395" t="inlineStr">
        <is>
          <t>Done</t>
        </is>
      </c>
      <c r="O873" s="401" t="n"/>
      <c r="P873" s="395" t="n"/>
      <c r="S873" s="397" t="n"/>
      <c r="U873" s="386" t="n"/>
      <c r="V873" s="395" t="n"/>
      <c r="W873" s="395" t="n"/>
      <c r="X873" s="395" t="n"/>
      <c r="Y873" s="13" t="n"/>
      <c r="Z873" s="395" t="n"/>
      <c r="AA873" s="395" t="n"/>
      <c r="AB873" s="395" t="n"/>
      <c r="AC873" s="395" t="n"/>
      <c r="AD873" s="395" t="n"/>
      <c r="AE873" s="395" t="n"/>
    </row>
    <row r="874" ht="56" customHeight="1" s="380">
      <c r="A874" s="112" t="n">
        <v>55</v>
      </c>
      <c r="B874" s="386" t="n"/>
      <c r="C874" s="386" t="inlineStr">
        <is>
          <t>Báo cáo chứng quyền có đảm bảo &gt;&gt; Báo cáo về tài sản bảo đảm thanh toán - X</t>
        </is>
      </c>
      <c r="D874" s="386" t="inlineStr">
        <is>
          <t>Tên Ngân hàng lưu ký</t>
        </is>
      </c>
      <c r="E874" s="395" t="inlineStr">
        <is>
          <t>Tên Ngân hàng lưu ký</t>
        </is>
      </c>
      <c r="F874" s="386" t="inlineStr">
        <is>
          <t>Data Explorer</t>
        </is>
      </c>
      <c r="G874" s="386" t="inlineStr">
        <is>
          <t>Chỉ tiêu cơ sở</t>
        </is>
      </c>
      <c r="H874" s="386" t="inlineStr">
        <is>
          <t>Dễ</t>
        </is>
      </c>
      <c r="I874" s="386" t="inlineStr">
        <is>
          <t>Ngày, CTCK</t>
        </is>
      </c>
      <c r="J874" s="395" t="inlineStr">
        <is>
          <t>SCMS</t>
        </is>
      </c>
      <c r="K874" s="395" t="n"/>
      <c r="L874" s="395" t="inlineStr">
        <is>
          <t>X</t>
        </is>
      </c>
      <c r="M874" s="395" t="n"/>
      <c r="N874" s="395" t="inlineStr">
        <is>
          <t>Done</t>
        </is>
      </c>
      <c r="O874" s="401" t="n"/>
      <c r="P874" s="395" t="n"/>
      <c r="S874" s="397" t="n"/>
      <c r="U874" s="20" t="inlineStr">
        <is>
          <t>Xác nhận lại rule với chi Ngân hàng lưu ký</t>
        </is>
      </c>
      <c r="V874" s="395" t="n"/>
      <c r="W874" s="395" t="n"/>
      <c r="X874" s="395" t="n"/>
      <c r="Y874" s="13" t="n"/>
      <c r="Z874" s="395" t="n"/>
      <c r="AA874" s="395" t="n"/>
      <c r="AB874" s="395" t="n"/>
      <c r="AC874" s="395" t="n"/>
      <c r="AD874" s="395" t="n"/>
      <c r="AE874" s="395" t="n"/>
    </row>
    <row r="875" ht="56" customHeight="1" s="380">
      <c r="A875" s="112" t="n">
        <v>55</v>
      </c>
      <c r="B875" s="386" t="n"/>
      <c r="C875" s="386" t="inlineStr">
        <is>
          <t>Báo cáo chứng quyền có đảm bảo &gt;&gt; Báo cáo về tài sản bảo đảm thanh toán - X</t>
        </is>
      </c>
      <c r="D875" s="386" t="inlineStr">
        <is>
          <t>Giấy phép hoạt động &gt;&gt; Số</t>
        </is>
      </c>
      <c r="E875" s="395" t="inlineStr">
        <is>
          <t>Giấy phép hoạt động &gt;&gt; Số</t>
        </is>
      </c>
      <c r="F875" s="386" t="inlineStr">
        <is>
          <t>Data Explorer</t>
        </is>
      </c>
      <c r="G875" s="386" t="inlineStr">
        <is>
          <t>Chỉ tiêu cơ sở</t>
        </is>
      </c>
      <c r="H875" s="386" t="inlineStr">
        <is>
          <t>Dễ</t>
        </is>
      </c>
      <c r="I875" s="386" t="inlineStr">
        <is>
          <t>Ngày, CTCK</t>
        </is>
      </c>
      <c r="J875" s="395" t="inlineStr">
        <is>
          <t>SCMS</t>
        </is>
      </c>
      <c r="K875" s="395" t="n"/>
      <c r="L875" s="395" t="inlineStr">
        <is>
          <t>X</t>
        </is>
      </c>
      <c r="M875" s="395" t="n"/>
      <c r="N875" s="395" t="inlineStr">
        <is>
          <t>Done</t>
        </is>
      </c>
      <c r="O875" s="401" t="n"/>
      <c r="P875" s="395" t="n"/>
      <c r="S875" s="397" t="n"/>
      <c r="U875" s="20" t="inlineStr">
        <is>
          <t>Xác nhận lại rule với chi Ngân hàng lưu ký</t>
        </is>
      </c>
      <c r="V875" s="395" t="n"/>
      <c r="W875" s="395" t="n"/>
      <c r="X875" s="395" t="n"/>
      <c r="Y875" s="14" t="n"/>
      <c r="Z875" s="395" t="n"/>
      <c r="AA875" s="395" t="n"/>
      <c r="AB875" s="395" t="n"/>
      <c r="AC875" s="395" t="n"/>
      <c r="AD875" s="395" t="n"/>
      <c r="AE875" s="395" t="n"/>
    </row>
    <row r="876" ht="56" customHeight="1" s="380">
      <c r="A876" s="112" t="n">
        <v>55</v>
      </c>
      <c r="B876" s="386" t="n"/>
      <c r="C876" s="386" t="inlineStr">
        <is>
          <t>Báo cáo chứng quyền có đảm bảo &gt;&gt; Báo cáo về tài sản bảo đảm thanh toán - X</t>
        </is>
      </c>
      <c r="D876" s="386" t="inlineStr">
        <is>
          <t>Giấy phép hoạt động &gt;&gt; Ngày cấp</t>
        </is>
      </c>
      <c r="E876" s="395" t="inlineStr">
        <is>
          <t>Giấy phép hoạt động &gt;&gt; Ngày cấp</t>
        </is>
      </c>
      <c r="F876" s="386" t="inlineStr">
        <is>
          <t>Data Explorer</t>
        </is>
      </c>
      <c r="G876" s="386" t="inlineStr">
        <is>
          <t>Chỉ tiêu cơ sở</t>
        </is>
      </c>
      <c r="H876" s="386" t="inlineStr">
        <is>
          <t>Dễ</t>
        </is>
      </c>
      <c r="I876" s="386" t="inlineStr">
        <is>
          <t>Ngày, CTCK</t>
        </is>
      </c>
      <c r="J876" s="395" t="inlineStr">
        <is>
          <t>SCMS</t>
        </is>
      </c>
      <c r="K876" s="395" t="n"/>
      <c r="L876" s="395" t="inlineStr">
        <is>
          <t>X</t>
        </is>
      </c>
      <c r="M876" s="395" t="n"/>
      <c r="N876" s="395" t="inlineStr">
        <is>
          <t>Done</t>
        </is>
      </c>
      <c r="O876" s="401" t="n"/>
      <c r="P876" s="395" t="n"/>
      <c r="S876" s="397" t="n"/>
      <c r="U876" s="20" t="inlineStr">
        <is>
          <t>Xác nhận lại rule với chi Ngân hàng lưu ký</t>
        </is>
      </c>
      <c r="V876" s="395" t="n"/>
      <c r="W876" s="395" t="n"/>
      <c r="X876" s="395" t="n"/>
      <c r="Y876" s="13" t="n"/>
      <c r="Z876" s="395" t="n"/>
      <c r="AA876" s="395" t="n"/>
      <c r="AB876" s="395" t="n"/>
      <c r="AC876" s="395" t="n"/>
      <c r="AD876" s="395" t="n"/>
      <c r="AE876" s="395" t="n"/>
    </row>
    <row r="877" ht="56" customHeight="1" s="380">
      <c r="A877" s="112" t="n">
        <v>55</v>
      </c>
      <c r="B877" s="386" t="n"/>
      <c r="C877" s="386" t="inlineStr">
        <is>
          <t>Báo cáo chứng quyền có đảm bảo &gt;&gt; Báo cáo về tài sản bảo đảm thanh toán - X</t>
        </is>
      </c>
      <c r="D877" s="386" t="inlineStr">
        <is>
          <t>Giấy chứng nhận đăng ký hoạt động lưu ký chứng khoán &gt;&gt; Số</t>
        </is>
      </c>
      <c r="E877" s="386" t="inlineStr">
        <is>
          <t>Giấy chứng nhận đăng ký hoạt động lưu ký chứng khoán &gt;&gt; Số</t>
        </is>
      </c>
      <c r="F877" s="386" t="inlineStr">
        <is>
          <t>Data Explorer</t>
        </is>
      </c>
      <c r="G877" s="386" t="inlineStr">
        <is>
          <t>Chỉ tiêu cơ sở</t>
        </is>
      </c>
      <c r="H877" s="386" t="inlineStr">
        <is>
          <t>Dễ</t>
        </is>
      </c>
      <c r="I877" s="386" t="inlineStr">
        <is>
          <t>Ngày, CTCK</t>
        </is>
      </c>
      <c r="J877" s="395" t="inlineStr">
        <is>
          <t>SCMS</t>
        </is>
      </c>
      <c r="K877" s="395" t="n"/>
      <c r="L877" s="395" t="inlineStr">
        <is>
          <t>X</t>
        </is>
      </c>
      <c r="M877" s="395" t="n"/>
      <c r="N877" s="395" t="inlineStr">
        <is>
          <t>Done</t>
        </is>
      </c>
      <c r="O877" s="401" t="n"/>
      <c r="P877" s="395" t="n"/>
      <c r="S877" s="397" t="n"/>
      <c r="U877" s="20" t="inlineStr">
        <is>
          <t>Xác nhận lại rule với chi Ngân hàng lưu ký</t>
        </is>
      </c>
      <c r="V877" s="395" t="n"/>
      <c r="W877" s="395" t="n"/>
      <c r="X877" s="395" t="n"/>
      <c r="Y877" s="13" t="n"/>
      <c r="Z877" s="395" t="n"/>
      <c r="AA877" s="395" t="n"/>
      <c r="AB877" s="395" t="n"/>
      <c r="AC877" s="395" t="n"/>
      <c r="AD877" s="395" t="n"/>
      <c r="AE877" s="395" t="n"/>
    </row>
    <row r="878" ht="56" customHeight="1" s="380">
      <c r="A878" s="112" t="n">
        <v>55</v>
      </c>
      <c r="B878" s="386" t="n"/>
      <c r="C878" s="386" t="inlineStr">
        <is>
          <t>Báo cáo chứng quyền có đảm bảo &gt;&gt; Báo cáo về tài sản bảo đảm thanh toán - X</t>
        </is>
      </c>
      <c r="D878" s="386" t="inlineStr">
        <is>
          <t>Giấy chứng nhận đăng ký hoạt động lưu ký chứng khoán &gt;&gt; Ngày cấp</t>
        </is>
      </c>
      <c r="E878" s="386" t="inlineStr">
        <is>
          <t>Giấy chứng nhận đăng ký hoạt động lưu ký chứng khoán &gt;&gt; Ngày cấp</t>
        </is>
      </c>
      <c r="F878" s="386" t="inlineStr">
        <is>
          <t>Data Explorer</t>
        </is>
      </c>
      <c r="G878" s="386" t="inlineStr">
        <is>
          <t>Chỉ tiêu cơ sở</t>
        </is>
      </c>
      <c r="H878" s="386" t="inlineStr">
        <is>
          <t>Dễ</t>
        </is>
      </c>
      <c r="I878" s="386" t="inlineStr">
        <is>
          <t>Ngày, CTCK</t>
        </is>
      </c>
      <c r="J878" s="395" t="inlineStr">
        <is>
          <t>SCMS</t>
        </is>
      </c>
      <c r="K878" s="395" t="n"/>
      <c r="L878" s="395" t="inlineStr">
        <is>
          <t>X</t>
        </is>
      </c>
      <c r="M878" s="395" t="n"/>
      <c r="N878" s="395" t="inlineStr">
        <is>
          <t>Done</t>
        </is>
      </c>
      <c r="O878" s="401" t="n"/>
      <c r="P878" s="395" t="n"/>
      <c r="S878" s="397" t="n"/>
      <c r="U878" s="20" t="inlineStr">
        <is>
          <t>Xác nhận lại rule với chi Ngân hàng lưu ký</t>
        </is>
      </c>
      <c r="V878" s="395" t="n"/>
      <c r="W878" s="395" t="n"/>
      <c r="X878" s="395" t="n"/>
      <c r="Y878" s="13" t="n"/>
      <c r="Z878" s="395" t="n"/>
      <c r="AA878" s="395" t="n"/>
      <c r="AB878" s="395" t="n"/>
      <c r="AC878" s="395" t="n"/>
      <c r="AD878" s="395" t="n"/>
      <c r="AE878" s="395" t="n"/>
    </row>
    <row r="879" ht="56" customHeight="1" s="380">
      <c r="A879" s="112" t="n">
        <v>55</v>
      </c>
      <c r="B879" s="386" t="n"/>
      <c r="C879" s="386" t="inlineStr">
        <is>
          <t>Báo cáo chứng quyền có đảm bảo &gt;&gt; Báo cáo về tài sản bảo đảm thanh toán - X</t>
        </is>
      </c>
      <c r="D879" s="386" t="inlineStr">
        <is>
          <t>Tên chứng quyền</t>
        </is>
      </c>
      <c r="E879" s="395" t="inlineStr">
        <is>
          <t>Tên chứng quyền</t>
        </is>
      </c>
      <c r="F879" s="386" t="inlineStr">
        <is>
          <t>Data Explorer</t>
        </is>
      </c>
      <c r="G879" s="386" t="inlineStr">
        <is>
          <t>Chỉ tiêu cơ sở</t>
        </is>
      </c>
      <c r="H879" s="386" t="inlineStr">
        <is>
          <t>Dễ</t>
        </is>
      </c>
      <c r="I879" s="386" t="inlineStr">
        <is>
          <t>Ngày, CTCK</t>
        </is>
      </c>
      <c r="J879" s="395" t="inlineStr">
        <is>
          <t>SCMS</t>
        </is>
      </c>
      <c r="K879" s="395" t="n"/>
      <c r="L879" s="395" t="inlineStr">
        <is>
          <t>X</t>
        </is>
      </c>
      <c r="M879" s="395" t="n"/>
      <c r="N879" s="395" t="inlineStr">
        <is>
          <t>Done</t>
        </is>
      </c>
      <c r="O879" s="401" t="n"/>
      <c r="P879" s="395" t="n"/>
      <c r="S879" s="397" t="n"/>
      <c r="U879" s="386" t="n"/>
      <c r="V879" s="395" t="n"/>
      <c r="W879" s="395" t="n"/>
      <c r="X879" s="395" t="n"/>
      <c r="Y879" s="14" t="n"/>
      <c r="Z879" s="395" t="n"/>
      <c r="AA879" s="395" t="n"/>
      <c r="AB879" s="395" t="n"/>
      <c r="AC879" s="395" t="n"/>
      <c r="AD879" s="395" t="n"/>
      <c r="AE879" s="395" t="n"/>
    </row>
    <row r="880" ht="56" customHeight="1" s="380">
      <c r="A880" s="112" t="n">
        <v>55</v>
      </c>
      <c r="B880" s="386" t="n"/>
      <c r="C880" s="386" t="inlineStr">
        <is>
          <t>Báo cáo chứng quyền có đảm bảo &gt;&gt; Báo cáo về tài sản bảo đảm thanh toán - X</t>
        </is>
      </c>
      <c r="D880" s="386" t="inlineStr">
        <is>
          <t>Tên tổ chức phát hành</t>
        </is>
      </c>
      <c r="E880" s="395" t="inlineStr">
        <is>
          <t>Tên tổ chức phát hành</t>
        </is>
      </c>
      <c r="F880" s="386" t="inlineStr">
        <is>
          <t>Data Explorer</t>
        </is>
      </c>
      <c r="G880" s="386" t="inlineStr">
        <is>
          <t>Chỉ tiêu cơ sở</t>
        </is>
      </c>
      <c r="H880" s="386" t="inlineStr">
        <is>
          <t>Dễ</t>
        </is>
      </c>
      <c r="I880" s="386" t="inlineStr">
        <is>
          <t>Ngày, CTCK</t>
        </is>
      </c>
      <c r="J880" s="395" t="inlineStr">
        <is>
          <t>SCMS</t>
        </is>
      </c>
      <c r="K880" s="395" t="n"/>
      <c r="L880" s="395" t="inlineStr">
        <is>
          <t>X</t>
        </is>
      </c>
      <c r="M880" s="395" t="n"/>
      <c r="N880" s="395" t="inlineStr">
        <is>
          <t>Done</t>
        </is>
      </c>
      <c r="O880" s="401" t="n"/>
      <c r="P880" s="395" t="n"/>
      <c r="S880" s="397" t="n"/>
      <c r="U880" s="386" t="n"/>
      <c r="V880" s="395" t="n"/>
      <c r="W880" s="395" t="n"/>
      <c r="X880" s="395" t="n"/>
      <c r="Y880" s="13" t="n"/>
      <c r="Z880" s="395" t="n"/>
      <c r="AA880" s="395" t="n"/>
      <c r="AB880" s="395" t="n"/>
      <c r="AC880" s="395" t="n"/>
      <c r="AD880" s="395" t="n"/>
      <c r="AE880" s="395" t="n"/>
    </row>
    <row r="881" ht="56" customHeight="1" s="380">
      <c r="A881" s="112" t="n">
        <v>55</v>
      </c>
      <c r="B881" s="386" t="n"/>
      <c r="C881" s="386" t="inlineStr">
        <is>
          <t>Báo cáo chứng quyền có đảm bảo &gt;&gt; Báo cáo về tài sản bảo đảm thanh toán - X</t>
        </is>
      </c>
      <c r="D881" s="386" t="inlineStr">
        <is>
          <t>Loại tài sản bảo đảm (Tiền, Chứng chỉ tiền gửi/Hợp đồng tiền gửi, Bảo lãnh thanh toán)</t>
        </is>
      </c>
      <c r="E881" s="386" t="inlineStr">
        <is>
          <t>Loại tài sản bảo đảm (Tiền, Chứng chỉ tiền gửi/Hợp đồng tiền gửi, Bảo lãnh thanh toán)</t>
        </is>
      </c>
      <c r="F881" s="386" t="inlineStr">
        <is>
          <t>Data Explorer</t>
        </is>
      </c>
      <c r="G881" s="386" t="inlineStr">
        <is>
          <t>Chỉ tiêu cơ sở</t>
        </is>
      </c>
      <c r="H881" s="386" t="inlineStr">
        <is>
          <t>Dễ</t>
        </is>
      </c>
      <c r="I881" s="386" t="inlineStr">
        <is>
          <t>Ngày, CTCK</t>
        </is>
      </c>
      <c r="J881" s="395" t="inlineStr">
        <is>
          <t>SCMS</t>
        </is>
      </c>
      <c r="K881" s="395" t="n"/>
      <c r="L881" s="395" t="inlineStr">
        <is>
          <t>X</t>
        </is>
      </c>
      <c r="M881" s="395" t="n"/>
      <c r="N881" s="395" t="inlineStr">
        <is>
          <t>Done</t>
        </is>
      </c>
      <c r="O881" s="401" t="n"/>
      <c r="P881" s="395" t="n"/>
      <c r="S881" s="397" t="n"/>
      <c r="U881" s="386" t="n"/>
      <c r="V881" s="395" t="n"/>
      <c r="W881" s="395" t="n"/>
      <c r="X881" s="395" t="n"/>
      <c r="Y881" s="13" t="n"/>
      <c r="Z881" s="395" t="n"/>
      <c r="AA881" s="395" t="n"/>
      <c r="AB881" s="395" t="n"/>
      <c r="AC881" s="395" t="n"/>
      <c r="AD881" s="395" t="n"/>
      <c r="AE881" s="395" t="n"/>
    </row>
    <row r="882" ht="56" customHeight="1" s="380">
      <c r="A882" s="112" t="n">
        <v>55</v>
      </c>
      <c r="B882" s="386" t="n"/>
      <c r="C882" s="386" t="inlineStr">
        <is>
          <t>Báo cáo chứng quyền có đảm bảo &gt;&gt; Báo cáo về tài sản bảo đảm thanh toán - X</t>
        </is>
      </c>
      <c r="D882" s="386" t="inlineStr">
        <is>
          <t>Giá trị kỳ báo cáo</t>
        </is>
      </c>
      <c r="E882" s="395" t="inlineStr">
        <is>
          <t>Giá trị kỳ báo cáo</t>
        </is>
      </c>
      <c r="F882" s="386" t="inlineStr">
        <is>
          <t>Data Explorer</t>
        </is>
      </c>
      <c r="G882" s="386" t="inlineStr">
        <is>
          <t>Chỉ tiêu cơ sở</t>
        </is>
      </c>
      <c r="H882" s="386" t="inlineStr">
        <is>
          <t>TB</t>
        </is>
      </c>
      <c r="I882" s="386" t="inlineStr">
        <is>
          <t>Ngày, CTCK</t>
        </is>
      </c>
      <c r="J882" s="395" t="inlineStr">
        <is>
          <t>SCMS</t>
        </is>
      </c>
      <c r="K882" s="395" t="n"/>
      <c r="L882" s="395" t="inlineStr">
        <is>
          <t>X</t>
        </is>
      </c>
      <c r="M882" s="395" t="n"/>
      <c r="N882" s="395" t="inlineStr">
        <is>
          <t>Done</t>
        </is>
      </c>
      <c r="O882" s="401" t="n"/>
      <c r="P882" s="395" t="n"/>
      <c r="S882" s="397" t="n"/>
      <c r="U882" s="386" t="n"/>
      <c r="V882" s="395" t="n"/>
      <c r="W882" s="395" t="n"/>
      <c r="X882" s="395" t="n"/>
      <c r="Y882" s="13" t="n"/>
      <c r="Z882" s="395" t="n"/>
      <c r="AA882" s="395" t="n"/>
      <c r="AB882" s="395" t="n"/>
      <c r="AC882" s="395" t="n"/>
      <c r="AD882" s="395" t="n"/>
      <c r="AE882" s="395" t="n"/>
    </row>
    <row r="883" ht="56" customHeight="1" s="380">
      <c r="A883" s="112" t="n">
        <v>55</v>
      </c>
      <c r="B883" s="386" t="n"/>
      <c r="C883" s="386" t="inlineStr">
        <is>
          <t>Báo cáo chứng quyền có đảm bảo &gt;&gt; Báo cáo về tài sản bảo đảm thanh toán - X</t>
        </is>
      </c>
      <c r="D883" s="386" t="inlineStr">
        <is>
          <t>Giá trị kỳ trước</t>
        </is>
      </c>
      <c r="E883" s="395" t="inlineStr">
        <is>
          <t>Giá trị kỳ trước</t>
        </is>
      </c>
      <c r="F883" s="386" t="inlineStr">
        <is>
          <t>Data Explorer</t>
        </is>
      </c>
      <c r="G883" s="386" t="inlineStr">
        <is>
          <t>Chỉ tiêu cơ sở</t>
        </is>
      </c>
      <c r="H883" s="386" t="inlineStr">
        <is>
          <t>TB</t>
        </is>
      </c>
      <c r="I883" s="386" t="inlineStr">
        <is>
          <t>Ngày, CTCK</t>
        </is>
      </c>
      <c r="J883" s="395" t="inlineStr">
        <is>
          <t>SCMS</t>
        </is>
      </c>
      <c r="K883" s="395" t="n"/>
      <c r="L883" s="395" t="inlineStr">
        <is>
          <t>X</t>
        </is>
      </c>
      <c r="M883" s="395" t="n"/>
      <c r="N883" s="395" t="inlineStr">
        <is>
          <t>Done</t>
        </is>
      </c>
      <c r="O883" s="401" t="n"/>
      <c r="P883" s="395" t="n"/>
      <c r="S883" s="397" t="n"/>
      <c r="U883" s="386" t="n"/>
      <c r="V883" s="395" t="n"/>
      <c r="W883" s="395" t="n"/>
      <c r="X883" s="395" t="n"/>
      <c r="Y883" s="13" t="n"/>
      <c r="Z883" s="395" t="n"/>
      <c r="AA883" s="395" t="n"/>
      <c r="AB883" s="395" t="n"/>
      <c r="AC883" s="395" t="n"/>
      <c r="AD883" s="395" t="n"/>
      <c r="AE883" s="395" t="n"/>
    </row>
    <row r="884" ht="56" customHeight="1" s="380">
      <c r="A884" s="113" t="n">
        <v>55</v>
      </c>
      <c r="B884" s="68" t="n"/>
      <c r="C884" s="68" t="inlineStr">
        <is>
          <t>Báo cáo chứng quyền có đảm bảo &gt;&gt; Báo cáo về tài sản bảo đảm thanh toán - X</t>
        </is>
      </c>
      <c r="D884" s="68" t="inlineStr">
        <is>
          <t>Thay đổi so với kỳ trước</t>
        </is>
      </c>
      <c r="E884" s="69" t="inlineStr">
        <is>
          <t>Thay đổi so với kỳ trước</t>
        </is>
      </c>
      <c r="F884" s="68" t="inlineStr">
        <is>
          <t>Data Explorer</t>
        </is>
      </c>
      <c r="G884" s="68" t="inlineStr">
        <is>
          <t>Chỉ tiêu cơ sở</t>
        </is>
      </c>
      <c r="H884" s="68" t="inlineStr">
        <is>
          <t>TB</t>
        </is>
      </c>
      <c r="I884" s="68" t="inlineStr">
        <is>
          <t>Ngày, CTCK</t>
        </is>
      </c>
      <c r="J884" s="69" t="inlineStr">
        <is>
          <t>SCMS</t>
        </is>
      </c>
      <c r="K884" s="69" t="n"/>
      <c r="L884" s="69" t="inlineStr">
        <is>
          <t>X</t>
        </is>
      </c>
      <c r="M884" s="69" t="n"/>
      <c r="N884" s="69" t="inlineStr">
        <is>
          <t>Done</t>
        </is>
      </c>
      <c r="O884" s="85" t="n"/>
      <c r="P884" s="69" t="n"/>
      <c r="Q884" s="426" t="n"/>
      <c r="R884" s="426" t="n"/>
      <c r="S884" s="86" t="n"/>
      <c r="T884" s="426" t="n"/>
      <c r="U884" s="68" t="n"/>
      <c r="V884" s="69" t="n"/>
      <c r="W884" s="69" t="n"/>
      <c r="X884" s="69" t="n"/>
      <c r="Y884" s="97" t="n"/>
      <c r="Z884" s="69" t="n"/>
      <c r="AA884" s="69" t="n"/>
      <c r="AB884" s="69" t="n"/>
      <c r="AC884" s="69" t="n"/>
      <c r="AD884" s="69" t="n"/>
      <c r="AE884" s="69" t="n"/>
    </row>
    <row r="885" ht="56" customHeight="1" s="380">
      <c r="A885" s="112" t="n">
        <v>56</v>
      </c>
      <c r="B885" s="81" t="n"/>
      <c r="C885" s="81" t="inlineStr">
        <is>
          <t>Báo cáo chứng quyền có đảm bảo &gt;&gt; Báo cáo về tài sản bảo đảm thanh toán - X - Tổng</t>
        </is>
      </c>
      <c r="D885" s="106" t="inlineStr">
        <is>
          <t>Loại báo cáo</t>
        </is>
      </c>
      <c r="E885" s="107" t="inlineStr">
        <is>
          <t>Loại báo cáo</t>
        </is>
      </c>
      <c r="F885" s="390" t="inlineStr">
        <is>
          <t>Data Explorer</t>
        </is>
      </c>
      <c r="G885" s="390" t="inlineStr">
        <is>
          <t>Chiều</t>
        </is>
      </c>
      <c r="H885" s="390" t="inlineStr">
        <is>
          <t>Dễ</t>
        </is>
      </c>
      <c r="I885" s="390" t="inlineStr">
        <is>
          <t>Ngày, CTCK</t>
        </is>
      </c>
      <c r="J885" s="401" t="inlineStr">
        <is>
          <t>SCMS</t>
        </is>
      </c>
      <c r="K885" s="401" t="inlineStr">
        <is>
          <t>X</t>
        </is>
      </c>
      <c r="L885" s="395" t="inlineStr">
        <is>
          <t>X</t>
        </is>
      </c>
      <c r="M885" s="401" t="n"/>
      <c r="N885" s="395" t="inlineStr">
        <is>
          <t>Done</t>
        </is>
      </c>
      <c r="O885" s="401" t="n"/>
      <c r="P885" s="395" t="n"/>
      <c r="Q885" s="404" t="inlineStr">
        <is>
          <t>SCMS.BM_BAO_CAO
SCMS.BM_BAO_CAO_DINH_KY</t>
        </is>
      </c>
      <c r="R885" s="404" t="inlineStr">
        <is>
          <t>bm.ID,
bm.MA_BAO_CAO,
bm.LOAI_BAO_CAO,
bm.TEN_BAO_CAO,
bm.SU_DUNG,
bdk.BM_BAO_CAO_ID,
bdk.KY_BAO_CAO,
bdk.SU_DUNG</t>
        </is>
      </c>
      <c r="S885" s="395" t="n"/>
      <c r="T885" s="384" t="inlineStr">
        <is>
          <t>-- Loại BC / Kỳ BC / Mã BC / Tên BC (chiều DWH – dùng chung)
-- MA_BAO_CAO: BCVTSBDTT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 'BCVTSBDTT'
        AND bm.SU_DUNG = 1
ORDER BY bdk.KY_BAO_CAO;</t>
        </is>
      </c>
      <c r="U885" s="386" t="n"/>
      <c r="V885" s="395" t="n"/>
      <c r="W885" s="395" t="n"/>
      <c r="X885" s="395" t="n"/>
      <c r="Y885" s="14" t="n"/>
      <c r="Z885" s="395" t="n"/>
      <c r="AA885" s="395" t="n"/>
      <c r="AB885" s="395" t="n"/>
      <c r="AC885" s="395" t="n"/>
      <c r="AD885" s="395" t="n"/>
      <c r="AE885" s="395" t="n"/>
    </row>
    <row r="886" ht="56" customHeight="1" s="380">
      <c r="A886" s="112" t="n">
        <v>56</v>
      </c>
      <c r="B886" s="386" t="n"/>
      <c r="C886" s="386" t="inlineStr">
        <is>
          <t>Báo cáo chứng quyền có đảm bảo &gt;&gt; Báo cáo về tài sản bảo đảm thanh toán - X - Tổng</t>
        </is>
      </c>
      <c r="D886" s="106" t="inlineStr">
        <is>
          <t>Kỳ báo cáo</t>
        </is>
      </c>
      <c r="E886" s="107" t="inlineStr">
        <is>
          <t>Kỳ báo cáo</t>
        </is>
      </c>
      <c r="F886" s="390" t="inlineStr">
        <is>
          <t>Data Explorer</t>
        </is>
      </c>
      <c r="G886" s="390" t="inlineStr">
        <is>
          <t>Chiều</t>
        </is>
      </c>
      <c r="H886" s="390" t="inlineStr">
        <is>
          <t>Dễ</t>
        </is>
      </c>
      <c r="I886" s="390" t="inlineStr">
        <is>
          <t>Ngày, CTCK</t>
        </is>
      </c>
      <c r="J886" s="401" t="inlineStr">
        <is>
          <t>SCMS</t>
        </is>
      </c>
      <c r="K886" s="401" t="inlineStr">
        <is>
          <t>X</t>
        </is>
      </c>
      <c r="L886" s="395" t="inlineStr">
        <is>
          <t>X</t>
        </is>
      </c>
      <c r="M886" s="401" t="n"/>
      <c r="N886" s="395" t="inlineStr">
        <is>
          <t>Done</t>
        </is>
      </c>
      <c r="O886" s="401" t="n"/>
      <c r="P886" s="395" t="n"/>
      <c r="S886" s="395" t="n"/>
      <c r="U886" s="386" t="n"/>
      <c r="V886" s="395" t="n"/>
      <c r="W886" s="395" t="n"/>
      <c r="X886" s="395" t="n"/>
      <c r="Y886" s="13" t="n"/>
      <c r="Z886" s="395" t="n"/>
      <c r="AA886" s="395" t="n"/>
      <c r="AB886" s="395" t="n"/>
      <c r="AC886" s="395" t="n"/>
      <c r="AD886" s="395" t="n"/>
      <c r="AE886" s="395" t="n"/>
    </row>
    <row r="887" ht="56" customHeight="1" s="380">
      <c r="A887" s="112" t="n">
        <v>56</v>
      </c>
      <c r="B887" s="386" t="n"/>
      <c r="C887" s="386" t="inlineStr">
        <is>
          <t>Báo cáo chứng quyền có đảm bảo &gt;&gt; Báo cáo về tài sản bảo đảm thanh toán - X - Tổng</t>
        </is>
      </c>
      <c r="D887" s="106" t="inlineStr">
        <is>
          <t>Mã báo cáo</t>
        </is>
      </c>
      <c r="E887" s="107" t="inlineStr">
        <is>
          <t>Mã báo cáo</t>
        </is>
      </c>
      <c r="F887" s="390" t="inlineStr">
        <is>
          <t>Data Explorer</t>
        </is>
      </c>
      <c r="G887" s="390" t="inlineStr">
        <is>
          <t>Chiều</t>
        </is>
      </c>
      <c r="H887" s="390" t="inlineStr">
        <is>
          <t>Dễ</t>
        </is>
      </c>
      <c r="I887" s="390" t="inlineStr">
        <is>
          <t>Ngày, CTCK</t>
        </is>
      </c>
      <c r="J887" s="401" t="inlineStr">
        <is>
          <t>SCMS</t>
        </is>
      </c>
      <c r="K887" s="401" t="inlineStr">
        <is>
          <t>X</t>
        </is>
      </c>
      <c r="L887" s="395" t="inlineStr">
        <is>
          <t>X</t>
        </is>
      </c>
      <c r="M887" s="401" t="n"/>
      <c r="N887" s="395" t="inlineStr">
        <is>
          <t>Done</t>
        </is>
      </c>
      <c r="O887" s="401" t="n"/>
      <c r="P887" s="395" t="n"/>
      <c r="S887" s="395" t="n"/>
      <c r="U887" s="386" t="n"/>
      <c r="V887" s="395" t="n"/>
      <c r="W887" s="395" t="n"/>
      <c r="X887" s="395" t="n"/>
      <c r="Y887" s="13" t="n"/>
      <c r="Z887" s="395" t="n"/>
      <c r="AA887" s="395" t="n"/>
      <c r="AB887" s="395" t="n"/>
      <c r="AC887" s="395" t="n"/>
      <c r="AD887" s="395" t="n"/>
      <c r="AE887" s="395" t="n"/>
    </row>
    <row r="888" ht="56" customHeight="1" s="380">
      <c r="A888" s="112" t="n">
        <v>56</v>
      </c>
      <c r="B888" s="386" t="n"/>
      <c r="C888" s="386" t="inlineStr">
        <is>
          <t>Báo cáo chứng quyền có đảm bảo &gt;&gt; Báo cáo về tài sản bảo đảm thanh toán - X - Tổng</t>
        </is>
      </c>
      <c r="D888" s="106" t="inlineStr">
        <is>
          <t>Tên báo cáo</t>
        </is>
      </c>
      <c r="E888" s="107" t="inlineStr">
        <is>
          <t>Tên báo cáo</t>
        </is>
      </c>
      <c r="F888" s="390" t="inlineStr">
        <is>
          <t>Data Explorer</t>
        </is>
      </c>
      <c r="G888" s="390" t="inlineStr">
        <is>
          <t>Chiều</t>
        </is>
      </c>
      <c r="H888" s="390" t="inlineStr">
        <is>
          <t>Dễ</t>
        </is>
      </c>
      <c r="I888" s="390" t="inlineStr">
        <is>
          <t>Ngày, CTCK</t>
        </is>
      </c>
      <c r="J888" s="401" t="inlineStr">
        <is>
          <t>SCMS</t>
        </is>
      </c>
      <c r="K888" s="401" t="inlineStr">
        <is>
          <t>X</t>
        </is>
      </c>
      <c r="L888" s="395" t="inlineStr">
        <is>
          <t>X</t>
        </is>
      </c>
      <c r="M888" s="401" t="n"/>
      <c r="N888" s="395" t="inlineStr">
        <is>
          <t>Done</t>
        </is>
      </c>
      <c r="O888" s="401" t="n"/>
      <c r="P888" s="395" t="n"/>
      <c r="S888" s="395" t="n"/>
      <c r="U888" s="386" t="n"/>
      <c r="V888" s="395" t="n"/>
      <c r="W888" s="395" t="n"/>
      <c r="X888" s="395" t="n"/>
      <c r="Y888" s="13" t="n"/>
      <c r="Z888" s="395" t="n"/>
      <c r="AA888" s="395" t="n"/>
      <c r="AB888" s="395" t="n"/>
      <c r="AC888" s="395" t="n"/>
      <c r="AD888" s="395" t="n"/>
      <c r="AE888" s="395" t="n"/>
    </row>
    <row r="889" ht="56" customHeight="1" s="380">
      <c r="A889" s="112" t="n">
        <v>56</v>
      </c>
      <c r="B889" s="386" t="n"/>
      <c r="C889" s="386" t="inlineStr">
        <is>
          <t>Báo cáo chứng quyền có đảm bảo &gt;&gt; Báo cáo về tài sản bảo đảm thanh toán - X - Tổng</t>
        </is>
      </c>
      <c r="D889" s="106" t="inlineStr">
        <is>
          <t>Mã sheet</t>
        </is>
      </c>
      <c r="E889" s="106" t="inlineStr">
        <is>
          <t>Mã sheet</t>
        </is>
      </c>
      <c r="F889" s="390" t="inlineStr">
        <is>
          <t>Data Explorer</t>
        </is>
      </c>
      <c r="G889" s="390" t="inlineStr">
        <is>
          <t>Chiều</t>
        </is>
      </c>
      <c r="H889" s="390" t="inlineStr">
        <is>
          <t>Dễ</t>
        </is>
      </c>
      <c r="I889" s="390" t="inlineStr">
        <is>
          <t>Ngày, CTCK</t>
        </is>
      </c>
      <c r="J889" s="401" t="inlineStr">
        <is>
          <t>SCMS</t>
        </is>
      </c>
      <c r="K889" s="401" t="inlineStr">
        <is>
          <t>X</t>
        </is>
      </c>
      <c r="L889" s="395" t="inlineStr">
        <is>
          <t>X</t>
        </is>
      </c>
      <c r="M889" s="401" t="n"/>
      <c r="N889" s="395" t="inlineStr">
        <is>
          <t>Done</t>
        </is>
      </c>
      <c r="O889" s="401" t="n"/>
      <c r="P889" s="395" t="n"/>
      <c r="Q889" s="401" t="inlineStr">
        <is>
          <t>SCMS.BM_BAO_CAO
SCMS.BM_SHEET</t>
        </is>
      </c>
      <c r="R889" s="402" t="inlineStr">
        <is>
          <t>bm.ID,
bm.MA_BAO_CAO,
bm.SU_DUNG,
s.BM_BAO_CAO_ID,
s.MA_SHEET,
s.TEN_SHEET,
s.SAP_XEP</t>
        </is>
      </c>
      <c r="S889" s="395" t="n"/>
      <c r="T889" s="384" t="inlineStr">
        <is>
          <t>-- Mã sheet / Tên sheet
-- MA_SHEET: X
SELECT bm.MA_BAO_CAO,
s.MA_SHEET,
s.TEN_SHEET
FROM SCMS.BM_BAO_CAO bm
JOIN SCMS.BM_SHEET s ON s.BM_BAO_CAO_ID = bm.ID
WHERE bm.MA_BAO_CAO = 'BCVTSBDTT'
AND s.MA_SHEET = 'X - Tổng'  -- Check lại data chuẩn
AND bm.SU_DUNG = 1
ORDER BY bm.MA_BAO_CAO, s.SAP_XEP;</t>
        </is>
      </c>
      <c r="U889" s="386" t="n"/>
      <c r="V889" s="395" t="n"/>
      <c r="W889" s="395" t="n"/>
      <c r="X889" s="395" t="n"/>
      <c r="Y889" s="13" t="n"/>
      <c r="Z889" s="395" t="n"/>
      <c r="AA889" s="395" t="n"/>
      <c r="AB889" s="395" t="n"/>
      <c r="AC889" s="395" t="n"/>
      <c r="AD889" s="395" t="n"/>
      <c r="AE889" s="395" t="n"/>
    </row>
    <row r="890" ht="56" customHeight="1" s="380">
      <c r="A890" s="112" t="n">
        <v>56</v>
      </c>
      <c r="B890" s="386" t="n"/>
      <c r="C890" s="386" t="inlineStr">
        <is>
          <t>Báo cáo chứng quyền có đảm bảo &gt;&gt; Báo cáo về tài sản bảo đảm thanh toán - X - Tổng</t>
        </is>
      </c>
      <c r="D890" s="106" t="inlineStr">
        <is>
          <t>Tên sheet</t>
        </is>
      </c>
      <c r="E890" s="106" t="inlineStr">
        <is>
          <t>Tên sheet</t>
        </is>
      </c>
      <c r="F890" s="390" t="inlineStr">
        <is>
          <t>Data Explorer</t>
        </is>
      </c>
      <c r="G890" s="390" t="inlineStr">
        <is>
          <t>Chiều</t>
        </is>
      </c>
      <c r="H890" s="390" t="inlineStr">
        <is>
          <t>Dễ</t>
        </is>
      </c>
      <c r="I890" s="390" t="inlineStr">
        <is>
          <t>Ngày, CTCK</t>
        </is>
      </c>
      <c r="J890" s="401" t="inlineStr">
        <is>
          <t>SCMS</t>
        </is>
      </c>
      <c r="K890" s="401" t="inlineStr">
        <is>
          <t>X</t>
        </is>
      </c>
      <c r="L890" s="395" t="inlineStr">
        <is>
          <t>X</t>
        </is>
      </c>
      <c r="M890" s="401" t="n"/>
      <c r="N890" s="395" t="inlineStr">
        <is>
          <t>Done</t>
        </is>
      </c>
      <c r="O890" s="401" t="n"/>
      <c r="P890" s="395" t="n"/>
      <c r="S890" s="395" t="n"/>
      <c r="U890" s="386" t="n"/>
      <c r="V890" s="395" t="n"/>
      <c r="W890" s="395" t="n"/>
      <c r="X890" s="395" t="n"/>
      <c r="Y890" s="13" t="n"/>
      <c r="Z890" s="395" t="n"/>
      <c r="AA890" s="395" t="n"/>
      <c r="AB890" s="395" t="n"/>
      <c r="AC890" s="395" t="n"/>
      <c r="AD890" s="395" t="n"/>
      <c r="AE890" s="395" t="n"/>
    </row>
    <row r="891" ht="56" customHeight="1" s="380">
      <c r="A891" s="112" t="n">
        <v>56</v>
      </c>
      <c r="B891" s="386" t="n"/>
      <c r="C891" s="386" t="inlineStr">
        <is>
          <t>Báo cáo chứng quyền có đảm bảo &gt;&gt; Báo cáo về tài sản bảo đảm thanh toán - X - Tổng</t>
        </is>
      </c>
      <c r="D891" s="106" t="inlineStr">
        <is>
          <t>Mã chỉ tiêu</t>
        </is>
      </c>
      <c r="E891" s="107" t="inlineStr">
        <is>
          <t>Mã chỉ tiêu</t>
        </is>
      </c>
      <c r="F891" s="390" t="inlineStr">
        <is>
          <t>Data Explorer</t>
        </is>
      </c>
      <c r="G891" s="390" t="inlineStr">
        <is>
          <t>Chiều</t>
        </is>
      </c>
      <c r="H891" s="390" t="inlineStr">
        <is>
          <t>Dễ</t>
        </is>
      </c>
      <c r="I891" s="390" t="inlineStr">
        <is>
          <t>Ngày, CTCK</t>
        </is>
      </c>
      <c r="J891" s="401" t="inlineStr">
        <is>
          <t>SCMS</t>
        </is>
      </c>
      <c r="K891" s="401" t="inlineStr">
        <is>
          <t>X</t>
        </is>
      </c>
      <c r="L891" s="395" t="inlineStr">
        <is>
          <t>X</t>
        </is>
      </c>
      <c r="M891" s="401" t="n"/>
      <c r="N891" s="395" t="inlineStr">
        <is>
          <t>Done</t>
        </is>
      </c>
      <c r="O891" s="401" t="n"/>
      <c r="P891" s="395" t="n"/>
      <c r="Q891" s="401" t="inlineStr">
        <is>
          <t>SCMS.BM_BAO_CAO
SCMS.BM_SHEET
SCMS.BM_BAO_CAO_CT
SCMS.DM_CHI_TIEU</t>
        </is>
      </c>
      <c r="R891" s="402" t="inlineStr">
        <is>
          <t>dct.ID,
dct.MA_CHI_TIEU,
dct.TEN_CHI_TIEU,
dct.SU_DUNG,
s.BM_BAO_CAO_ID,
s.MA_SHEET,
ct.BM_BAO_CAO_ID,
ct.DM_CHI_TIEU_ID,
ct.SU_DUNG,
bm.ID,
bm.MA_BAO_CAO,
bm.SU_DUNG</t>
        </is>
      </c>
      <c r="S891" s="395" t="n"/>
      <c r="T891" s="384" t="inlineStr">
        <is>
          <t>-- Mã chỉ tiêu / Tên chỉ tiêu
SELECT DISTINCT
    dct.MA_CHI_TIEU  AS ma_chi_tieu,
    dct.TEN_CHI_TIEU AS ten_chi_tieu
FROM SCMS.BM_BAO_CAO bm
JOIN SCMS.BM_SHEET s ON s.BM_BAO_CAO_ID = bm.ID
        AND s.MA_SHEET = 'X - Tổng'
JOIN SCMS.BM_BAO_CAO_CT ct ON ct.BM_SHEET_ID = s.ID
        AND ct.SU_DUNG = 1
JOIN SCMS.DM_CHI_TIEU dct ON dct.ID = ct.DM_CHI_TIEU_ID
        AND dct.SU_DUNG = 1
WHERE bm.MA_BAO_CAO = 'BCVTSBDTT'
        AND bm.SU_DUNG = 1
ORDER BY dct.MA_CHI_TIEU;</t>
        </is>
      </c>
      <c r="U891" s="386" t="n"/>
      <c r="V891" s="395" t="n"/>
      <c r="W891" s="395" t="n"/>
      <c r="X891" s="395" t="n"/>
      <c r="Y891" s="13" t="n"/>
      <c r="Z891" s="395" t="n"/>
      <c r="AA891" s="395" t="n"/>
      <c r="AB891" s="395" t="n"/>
      <c r="AC891" s="395" t="n"/>
      <c r="AD891" s="395" t="n"/>
      <c r="AE891" s="395" t="n"/>
    </row>
    <row r="892" ht="56" customHeight="1" s="380">
      <c r="A892" s="112" t="n">
        <v>56</v>
      </c>
      <c r="B892" s="386" t="n"/>
      <c r="C892" s="386" t="inlineStr">
        <is>
          <t>Báo cáo chứng quyền có đảm bảo &gt;&gt; Báo cáo về tài sản bảo đảm thanh toán - X - Tổng</t>
        </is>
      </c>
      <c r="D892" s="106" t="inlineStr">
        <is>
          <t>Tên chỉ tiêu</t>
        </is>
      </c>
      <c r="E892" s="107" t="inlineStr">
        <is>
          <t>Tên chỉ tiêu</t>
        </is>
      </c>
      <c r="F892" s="390" t="inlineStr">
        <is>
          <t>Data Explorer</t>
        </is>
      </c>
      <c r="G892" s="390" t="inlineStr">
        <is>
          <t>Chiều</t>
        </is>
      </c>
      <c r="H892" s="390" t="inlineStr">
        <is>
          <t>Dễ</t>
        </is>
      </c>
      <c r="I892" s="390" t="inlineStr">
        <is>
          <t>Ngày, CTCK</t>
        </is>
      </c>
      <c r="J892" s="401" t="inlineStr">
        <is>
          <t>SCMS</t>
        </is>
      </c>
      <c r="K892" s="401" t="inlineStr">
        <is>
          <t>X</t>
        </is>
      </c>
      <c r="L892" s="395" t="inlineStr">
        <is>
          <t>X</t>
        </is>
      </c>
      <c r="M892" s="401" t="n"/>
      <c r="N892" s="395" t="inlineStr">
        <is>
          <t>Done</t>
        </is>
      </c>
      <c r="O892" s="401" t="n"/>
      <c r="P892" s="395" t="n"/>
      <c r="S892" s="395" t="n"/>
      <c r="U892" s="386" t="n"/>
      <c r="V892" s="395" t="n"/>
      <c r="W892" s="395" t="n"/>
      <c r="X892" s="395" t="n"/>
      <c r="Y892" s="13" t="n"/>
      <c r="Z892" s="395" t="n"/>
      <c r="AA892" s="395" t="n"/>
      <c r="AB892" s="395" t="n"/>
      <c r="AC892" s="395" t="n"/>
      <c r="AD892" s="395" t="n"/>
      <c r="AE892" s="395" t="n"/>
    </row>
    <row r="893" ht="56" customHeight="1" s="380">
      <c r="A893" s="112" t="n">
        <v>56</v>
      </c>
      <c r="B893" s="386" t="n"/>
      <c r="C893" s="386" t="inlineStr">
        <is>
          <t>Báo cáo chứng quyền có đảm bảo &gt;&gt; Báo cáo về tài sản bảo đảm thanh toán - X - Tổng</t>
        </is>
      </c>
      <c r="D893" s="386" t="inlineStr">
        <is>
          <t>Tên Ngân hàng lưu ký</t>
        </is>
      </c>
      <c r="E893" s="395" t="inlineStr">
        <is>
          <t>Tên Ngân hàng lưu ký</t>
        </is>
      </c>
      <c r="F893" s="386" t="inlineStr">
        <is>
          <t>Data Explorer</t>
        </is>
      </c>
      <c r="G893" s="386" t="inlineStr">
        <is>
          <t>Chỉ tiêu cơ sở</t>
        </is>
      </c>
      <c r="H893" s="386" t="inlineStr">
        <is>
          <t>Trùng</t>
        </is>
      </c>
      <c r="I893" s="386" t="inlineStr">
        <is>
          <t>Ngày, CTCK</t>
        </is>
      </c>
      <c r="J893" s="395" t="inlineStr">
        <is>
          <t>SCMS</t>
        </is>
      </c>
      <c r="K893" s="395" t="n"/>
      <c r="L893" s="395" t="inlineStr">
        <is>
          <t>X</t>
        </is>
      </c>
      <c r="M893" s="395" t="n"/>
      <c r="N893" s="395" t="inlineStr">
        <is>
          <t>Done</t>
        </is>
      </c>
      <c r="O893" s="401" t="n"/>
      <c r="P893" s="395" t="n"/>
      <c r="Q893" s="428" t="inlineStr">
        <is>
          <t>SCMS.BC_THANH_VIEN
SCMS.BM_BAO_CAO
SCMS.BC_BAO_CAO_GT</t>
        </is>
      </c>
      <c r="R893" s="428" t="inlineStr">
        <is>
          <t>btv.ID,
btv.BM_BAO_CAO_ID,
btv.CTCK_THONG_TIN_ID,
btv.NGAY_SO_LIEU,
btv.TRANG_THAI,
g.BC_THANH_VIEN_ID,
g.TEN_COT,
g.GIA_TRI,
g.TEN_SHEET,
bm.ID,
bm.MA_BAO_CAO</t>
        </is>
      </c>
      <c r="S893" s="397" t="n"/>
      <c r="T893" s="429" t="inlineStr">
        <is>
          <t>-- CHỈ TIÊU
SELECT
    ROW_NUMBER() OVER (ORDER BY ngay_bao_cao DESC) AS stt,
    "Tên Ngân hàng lưu ký",
    so_giay_phep_ngan_hang_luu_ly,
    ngay_cap_giay_phep_ngan_hang_luu_ly,
    so_giay_chung_nhan_dang_ky_hoat_dong,
    ngay_cap_giay_chung_nhan_dang_ky_hoat_dong,
    "Loại tài sản bảo đảm",
    "Giá trị kỳ báo cáo",
    "Giá trị kỳ trước",
    "Thay đổi so với kỳ trước"
FROM (
    SELECT
        btv.NGAY_SO_LIEU AS ngay_bao_cao,
        MAX(CASE WHEN g.TEN_COT LIKE N'%Tên Ngân hàng lưu ký%' THEN g.GIA_TRI END) AS "Tên Ngân hàng lưu ký",
        MAX(CASE WHEN g.TEN_COT LIKE N'%Số giấy phép hoạt động%' THEN g.GIA_TRI END) AS so_giay_phep_ngan_hang_luu_ly,
        MAX(CASE WHEN g.TEN_COT LIKE N'%Ngày cấp giấy phép hoạt động%' THEN g.GIA_TRI END) AS ngay_cap_giay_phep_ngan_hang_luu_ly,
        MAX(CASE WHEN g.TEN_COT LIKE N'%Số giấy chứng nhận đăng ký hoạt động lưu ký chứng khoán%'THEN g.GIA_TRI END) AS so_giay_chung_nhan_dang_ky_hoat_dong,
        MAX(CASE WHEN g.TEN_COT LIKE N'%Ngày cấp giấy chứng nhận đăng ký hoạt động lưu ký chứng khoán%' THEN g.GIA_TRI END) AS ngay_cap_giay_chung_nhan_dang_ky_hoat_dong,
        MAX(CASE WHEN g.TEN_COT LIKE N'%Loại tài sản bảo đảm%' THEN g.GIA_TRI END) AS "Loại tài sản bảo đảm",
        MAX(CASE WHEN g.TEN_COT LIKE N'%Giá trị kỳ báo cáo%' THEN g.GIA_TRI END) AS "Giá trị kỳ báo cáo",
        MAX(CASE WHEN g.TEN_COT LIKE N'%Giá trị kỳ trước%' THEN g.GIA_TRI END) AS "Giá trị kỳ trước",
        MAX(CASE WHEN g.TEN_COT LIKE N'%Thay đổi so với kỳ trước%' THEN g.GIA_TRI END) AS "Thay đổi so với kỳ trước"
    FROM SCMS.BC_THANH_VIEN  btv
    JOIN SCMS.BM_BAO_CAO bm ON bm.ID = btv.BM_BAO_CAO_ID
    JOIN (
        SELECT
            BC_THANH_VIEN_ID,
            TEN_SHEET,
            TEN_COT,
            CAST(GIA_TRI AS VARCHAR2(4000)) AS GIA_TRI
        FROM SCMS.BC_BAO_CAO_GT
        WHERE TEN_SHEET = N'X - Tổng'
    ) g ON g.BC_THANH_VIEN_ID = btv.ID
    WHERE bm.MA_BAO_CAO  = 'BCVTSBDTT'
      AND btv.TRANG_THAI IN (2, 3)
    GROUP BY
        btv.ID, btv.CTCK_THONG_TIN_ID, btv.NGAY_SO_LIEU, btv.TRANG_THAI,
        bm.MA_BAO_CAO, g.TEN_SHEET
)
ORDER BY ngay_bao_cao DESC;</t>
        </is>
      </c>
      <c r="U893" s="20" t="inlineStr">
        <is>
          <t>Xác nhận lại rule với chi Ngân hàng lưu ký</t>
        </is>
      </c>
      <c r="V893" s="395" t="n"/>
      <c r="W893" s="395" t="n"/>
      <c r="X893" s="395" t="n"/>
      <c r="Y893" s="38" t="n"/>
      <c r="Z893" s="395" t="n"/>
      <c r="AA893" s="395" t="n"/>
      <c r="AB893" s="395" t="n"/>
      <c r="AC893" s="395" t="n"/>
      <c r="AD893" s="395" t="n"/>
      <c r="AE893" s="395" t="n"/>
    </row>
    <row r="894" ht="56" customHeight="1" s="380">
      <c r="A894" s="112" t="n">
        <v>56</v>
      </c>
      <c r="B894" s="386" t="n"/>
      <c r="C894" s="386" t="inlineStr">
        <is>
          <t>Báo cáo chứng quyền có đảm bảo &gt;&gt; Báo cáo về tài sản bảo đảm thanh toán - X - Tổng</t>
        </is>
      </c>
      <c r="D894" s="386" t="inlineStr">
        <is>
          <t>Giấy phép hoạt động &gt;&gt; Số</t>
        </is>
      </c>
      <c r="E894" s="395" t="inlineStr">
        <is>
          <t>Giấy phép hoạt động &gt;&gt; Số</t>
        </is>
      </c>
      <c r="F894" s="386" t="inlineStr">
        <is>
          <t>Data Explorer</t>
        </is>
      </c>
      <c r="G894" s="386" t="inlineStr">
        <is>
          <t>Chỉ tiêu cơ sở</t>
        </is>
      </c>
      <c r="H894" s="386" t="inlineStr">
        <is>
          <t>Trùng</t>
        </is>
      </c>
      <c r="I894" s="386" t="inlineStr">
        <is>
          <t>Ngày, CTCK</t>
        </is>
      </c>
      <c r="J894" s="395" t="inlineStr">
        <is>
          <t>SCMS</t>
        </is>
      </c>
      <c r="K894" s="395" t="n"/>
      <c r="L894" s="395" t="inlineStr">
        <is>
          <t>X</t>
        </is>
      </c>
      <c r="M894" s="395" t="n"/>
      <c r="N894" s="395" t="inlineStr">
        <is>
          <t>Done</t>
        </is>
      </c>
      <c r="O894" s="401" t="n"/>
      <c r="P894" s="395" t="n"/>
      <c r="S894" s="397" t="n"/>
      <c r="U894" s="20" t="inlineStr">
        <is>
          <t>Xác nhận lại rule với chi Ngân hàng lưu ký</t>
        </is>
      </c>
      <c r="V894" s="395" t="n"/>
      <c r="W894" s="395" t="n"/>
      <c r="X894" s="395" t="n"/>
      <c r="Y894" s="13" t="n"/>
      <c r="Z894" s="395" t="n"/>
      <c r="AA894" s="395" t="n"/>
      <c r="AB894" s="395" t="n"/>
      <c r="AC894" s="395" t="n"/>
      <c r="AD894" s="395" t="n"/>
      <c r="AE894" s="395" t="n"/>
    </row>
    <row r="895" ht="56" customHeight="1" s="380">
      <c r="A895" s="112" t="n">
        <v>56</v>
      </c>
      <c r="B895" s="386" t="n"/>
      <c r="C895" s="386" t="inlineStr">
        <is>
          <t>Báo cáo chứng quyền có đảm bảo &gt;&gt; Báo cáo về tài sản bảo đảm thanh toán - X - Tổng</t>
        </is>
      </c>
      <c r="D895" s="386" t="inlineStr">
        <is>
          <t>Giấy phép hoạt động &gt;&gt; Ngày cấp</t>
        </is>
      </c>
      <c r="E895" s="395" t="inlineStr">
        <is>
          <t>Giấy phép hoạt động &gt;&gt; Ngày cấp</t>
        </is>
      </c>
      <c r="F895" s="386" t="inlineStr">
        <is>
          <t>Data Explorer</t>
        </is>
      </c>
      <c r="G895" s="386" t="inlineStr">
        <is>
          <t>Chỉ tiêu cơ sở</t>
        </is>
      </c>
      <c r="H895" s="386" t="inlineStr">
        <is>
          <t>Trùng</t>
        </is>
      </c>
      <c r="I895" s="386" t="inlineStr">
        <is>
          <t>Ngày, CTCK</t>
        </is>
      </c>
      <c r="J895" s="395" t="inlineStr">
        <is>
          <t>SCMS</t>
        </is>
      </c>
      <c r="K895" s="395" t="n"/>
      <c r="L895" s="395" t="inlineStr">
        <is>
          <t>X</t>
        </is>
      </c>
      <c r="M895" s="395" t="n"/>
      <c r="N895" s="395" t="inlineStr">
        <is>
          <t>Done</t>
        </is>
      </c>
      <c r="O895" s="401" t="n"/>
      <c r="P895" s="395" t="n"/>
      <c r="S895" s="397" t="n"/>
      <c r="U895" s="20" t="inlineStr">
        <is>
          <t>Xác nhận lại rule với chi Ngân hàng lưu ký</t>
        </is>
      </c>
      <c r="V895" s="395" t="n"/>
      <c r="W895" s="395" t="n"/>
      <c r="X895" s="395" t="n"/>
      <c r="Y895" s="13" t="n"/>
      <c r="Z895" s="395" t="n"/>
      <c r="AA895" s="395" t="n"/>
      <c r="AB895" s="395" t="n"/>
      <c r="AC895" s="395" t="n"/>
      <c r="AD895" s="395" t="n"/>
      <c r="AE895" s="395" t="n"/>
    </row>
    <row r="896" ht="56" customHeight="1" s="380">
      <c r="A896" s="112" t="n">
        <v>56</v>
      </c>
      <c r="B896" s="386" t="n"/>
      <c r="C896" s="386" t="inlineStr">
        <is>
          <t>Báo cáo chứng quyền có đảm bảo &gt;&gt; Báo cáo về tài sản bảo đảm thanh toán - X - Tổng</t>
        </is>
      </c>
      <c r="D896" s="386" t="inlineStr">
        <is>
          <t>Giấy chứng nhận đăng ký hoạt động lưu ký chứng khoán &gt;&gt; Số</t>
        </is>
      </c>
      <c r="E896" s="386" t="inlineStr">
        <is>
          <t>Giấy chứng nhận đăng ký hoạt động lưu ký chứng khoán &gt;&gt; Số</t>
        </is>
      </c>
      <c r="F896" s="386" t="inlineStr">
        <is>
          <t>Data Explorer</t>
        </is>
      </c>
      <c r="G896" s="386" t="inlineStr">
        <is>
          <t>Chỉ tiêu cơ sở</t>
        </is>
      </c>
      <c r="H896" s="386" t="inlineStr">
        <is>
          <t>Trùng</t>
        </is>
      </c>
      <c r="I896" s="386" t="inlineStr">
        <is>
          <t>Ngày, CTCK</t>
        </is>
      </c>
      <c r="J896" s="395" t="inlineStr">
        <is>
          <t>SCMS</t>
        </is>
      </c>
      <c r="K896" s="395" t="n"/>
      <c r="L896" s="395" t="inlineStr">
        <is>
          <t>X</t>
        </is>
      </c>
      <c r="M896" s="395" t="n"/>
      <c r="N896" s="395" t="inlineStr">
        <is>
          <t>Done</t>
        </is>
      </c>
      <c r="O896" s="401" t="n"/>
      <c r="P896" s="395" t="n"/>
      <c r="S896" s="397" t="n"/>
      <c r="U896" s="20" t="inlineStr">
        <is>
          <t>Xác nhận lại rule với chi Ngân hàng lưu ký</t>
        </is>
      </c>
      <c r="V896" s="395" t="n"/>
      <c r="W896" s="395" t="n"/>
      <c r="X896" s="395" t="n"/>
      <c r="Y896" s="13" t="n"/>
      <c r="Z896" s="395" t="n"/>
      <c r="AA896" s="395" t="n"/>
      <c r="AB896" s="395" t="n"/>
      <c r="AC896" s="395" t="n"/>
      <c r="AD896" s="395" t="n"/>
      <c r="AE896" s="395" t="n"/>
    </row>
    <row r="897" ht="56" customHeight="1" s="380">
      <c r="A897" s="112" t="n">
        <v>56</v>
      </c>
      <c r="B897" s="386" t="n"/>
      <c r="C897" s="386" t="inlineStr">
        <is>
          <t>Báo cáo chứng quyền có đảm bảo &gt;&gt; Báo cáo về tài sản bảo đảm thanh toán - X - Tổng</t>
        </is>
      </c>
      <c r="D897" s="386" t="inlineStr">
        <is>
          <t>Giấy chứng nhận đăng ký hoạt động lưu ký chứng khoán &gt;&gt; Ngày cấp</t>
        </is>
      </c>
      <c r="E897" s="386" t="inlineStr">
        <is>
          <t>Giấy chứng nhận đăng ký hoạt động lưu ký chứng khoán &gt;&gt; Ngày cấp</t>
        </is>
      </c>
      <c r="F897" s="386" t="inlineStr">
        <is>
          <t>Data Explorer</t>
        </is>
      </c>
      <c r="G897" s="386" t="inlineStr">
        <is>
          <t>Chỉ tiêu cơ sở</t>
        </is>
      </c>
      <c r="H897" s="386" t="inlineStr">
        <is>
          <t>Trùng</t>
        </is>
      </c>
      <c r="I897" s="386" t="inlineStr">
        <is>
          <t>Ngày, CTCK</t>
        </is>
      </c>
      <c r="J897" s="395" t="inlineStr">
        <is>
          <t>SCMS</t>
        </is>
      </c>
      <c r="K897" s="395" t="n"/>
      <c r="L897" s="395" t="inlineStr">
        <is>
          <t>X</t>
        </is>
      </c>
      <c r="M897" s="395" t="n"/>
      <c r="N897" s="395" t="inlineStr">
        <is>
          <t>Done</t>
        </is>
      </c>
      <c r="O897" s="401" t="n"/>
      <c r="P897" s="395" t="n"/>
      <c r="S897" s="397" t="n"/>
      <c r="U897" s="20" t="inlineStr">
        <is>
          <t>Xác nhận lại rule với chi Ngân hàng lưu ký</t>
        </is>
      </c>
      <c r="V897" s="395" t="n"/>
      <c r="W897" s="395" t="n"/>
      <c r="X897" s="395" t="n"/>
      <c r="Y897" s="13" t="n"/>
      <c r="Z897" s="395" t="n"/>
      <c r="AA897" s="395" t="n"/>
      <c r="AB897" s="395" t="n"/>
      <c r="AC897" s="395" t="n"/>
      <c r="AD897" s="395" t="n"/>
      <c r="AE897" s="395" t="n"/>
    </row>
    <row r="898" ht="56" customHeight="1" s="380">
      <c r="A898" s="112" t="n">
        <v>56</v>
      </c>
      <c r="B898" s="386" t="n"/>
      <c r="C898" s="386" t="inlineStr">
        <is>
          <t>Báo cáo chứng quyền có đảm bảo &gt;&gt; Báo cáo về tài sản bảo đảm thanh toán - X - Tổng</t>
        </is>
      </c>
      <c r="D898" s="386" t="inlineStr">
        <is>
          <t>Loại tài sản bảo đảm (Tiền, Chứng chỉ tiền gửi/Hợp đồng tiền gửi, Bảo lãnh thanh toán)</t>
        </is>
      </c>
      <c r="E898" s="386" t="inlineStr">
        <is>
          <t>Loại tài sản bảo đảm (Tiền, Chứng chỉ tiền gửi/Hợp đồng tiền gửi, Bảo lãnh thanh toán)</t>
        </is>
      </c>
      <c r="F898" s="386" t="inlineStr">
        <is>
          <t>Data Explorer</t>
        </is>
      </c>
      <c r="G898" s="386" t="inlineStr">
        <is>
          <t>Chỉ tiêu cơ sở</t>
        </is>
      </c>
      <c r="H898" s="386" t="inlineStr">
        <is>
          <t>TB</t>
        </is>
      </c>
      <c r="I898" s="386" t="inlineStr">
        <is>
          <t>Ngày, CTCK</t>
        </is>
      </c>
      <c r="J898" s="395" t="inlineStr">
        <is>
          <t>SCMS</t>
        </is>
      </c>
      <c r="K898" s="395" t="n"/>
      <c r="L898" s="395" t="inlineStr">
        <is>
          <t>X</t>
        </is>
      </c>
      <c r="M898" s="395" t="n"/>
      <c r="N898" s="395" t="inlineStr">
        <is>
          <t>Done</t>
        </is>
      </c>
      <c r="O898" s="401" t="n"/>
      <c r="P898" s="395" t="n"/>
      <c r="S898" s="397" t="n"/>
      <c r="U898" s="386" t="n"/>
      <c r="V898" s="395" t="n"/>
      <c r="W898" s="395" t="n"/>
      <c r="X898" s="395" t="n"/>
      <c r="Y898" s="13" t="n"/>
      <c r="Z898" s="395" t="n"/>
      <c r="AA898" s="395" t="n"/>
      <c r="AB898" s="395" t="n"/>
      <c r="AC898" s="395" t="n"/>
      <c r="AD898" s="395" t="n"/>
      <c r="AE898" s="395" t="n"/>
    </row>
    <row r="899" ht="56" customHeight="1" s="380">
      <c r="A899" s="112" t="n">
        <v>56</v>
      </c>
      <c r="B899" s="386" t="n"/>
      <c r="C899" s="386" t="inlineStr">
        <is>
          <t>Báo cáo chứng quyền có đảm bảo &gt;&gt; Báo cáo về tài sản bảo đảm thanh toán - X - Tổng</t>
        </is>
      </c>
      <c r="D899" s="386" t="inlineStr">
        <is>
          <t>Giá trị kỳ báo cáo</t>
        </is>
      </c>
      <c r="E899" s="395" t="inlineStr">
        <is>
          <t>Giá trị kỳ báo cáo</t>
        </is>
      </c>
      <c r="F899" s="386" t="inlineStr">
        <is>
          <t>Data Explorer</t>
        </is>
      </c>
      <c r="G899" s="386" t="inlineStr">
        <is>
          <t>Chỉ tiêu cơ sở</t>
        </is>
      </c>
      <c r="H899" s="386" t="inlineStr">
        <is>
          <t>TB</t>
        </is>
      </c>
      <c r="I899" s="386" t="inlineStr">
        <is>
          <t>Ngày, CTCK</t>
        </is>
      </c>
      <c r="J899" s="395" t="inlineStr">
        <is>
          <t>SCMS</t>
        </is>
      </c>
      <c r="K899" s="395" t="n"/>
      <c r="L899" s="395" t="inlineStr">
        <is>
          <t>X</t>
        </is>
      </c>
      <c r="M899" s="395" t="n"/>
      <c r="N899" s="395" t="inlineStr">
        <is>
          <t>Done</t>
        </is>
      </c>
      <c r="O899" s="401" t="n"/>
      <c r="P899" s="395" t="n"/>
      <c r="S899" s="397" t="n"/>
      <c r="U899" s="386" t="n"/>
      <c r="V899" s="395" t="n"/>
      <c r="W899" s="395" t="n"/>
      <c r="X899" s="395" t="n"/>
      <c r="Y899" s="14" t="n"/>
      <c r="Z899" s="395" t="n"/>
      <c r="AA899" s="395" t="n"/>
      <c r="AB899" s="395" t="n"/>
      <c r="AC899" s="395" t="n"/>
      <c r="AD899" s="395" t="n"/>
      <c r="AE899" s="395" t="n"/>
    </row>
    <row r="900" ht="56" customHeight="1" s="380">
      <c r="A900" s="112" t="n">
        <v>56</v>
      </c>
      <c r="B900" s="386" t="n"/>
      <c r="C900" s="386" t="inlineStr">
        <is>
          <t>Báo cáo chứng quyền có đảm bảo &gt;&gt; Báo cáo về tài sản bảo đảm thanh toán - X - Tổng</t>
        </is>
      </c>
      <c r="D900" s="386" t="inlineStr">
        <is>
          <t>Giá trị kỳ trước</t>
        </is>
      </c>
      <c r="E900" s="395" t="inlineStr">
        <is>
          <t>Giá trị kỳ trước</t>
        </is>
      </c>
      <c r="F900" s="386" t="inlineStr">
        <is>
          <t>Data Explorer</t>
        </is>
      </c>
      <c r="G900" s="386" t="inlineStr">
        <is>
          <t>Chỉ tiêu cơ sở</t>
        </is>
      </c>
      <c r="H900" s="386" t="inlineStr">
        <is>
          <t>TB</t>
        </is>
      </c>
      <c r="I900" s="386" t="inlineStr">
        <is>
          <t>Ngày, CTCK</t>
        </is>
      </c>
      <c r="J900" s="395" t="inlineStr">
        <is>
          <t>SCMS</t>
        </is>
      </c>
      <c r="K900" s="395" t="n"/>
      <c r="L900" s="395" t="inlineStr">
        <is>
          <t>X</t>
        </is>
      </c>
      <c r="M900" s="395" t="n"/>
      <c r="N900" s="395" t="inlineStr">
        <is>
          <t>Done</t>
        </is>
      </c>
      <c r="O900" s="401" t="n"/>
      <c r="P900" s="395" t="n"/>
      <c r="S900" s="397" t="n"/>
      <c r="U900" s="386" t="n"/>
      <c r="V900" s="395" t="n"/>
      <c r="W900" s="395" t="n"/>
      <c r="X900" s="395" t="n"/>
      <c r="Y900" s="13" t="n"/>
      <c r="Z900" s="395" t="n"/>
      <c r="AA900" s="395" t="n"/>
      <c r="AB900" s="395" t="n"/>
      <c r="AC900" s="395" t="n"/>
      <c r="AD900" s="395" t="n"/>
      <c r="AE900" s="395" t="n"/>
    </row>
    <row r="901" ht="56" customHeight="1" s="380">
      <c r="A901" s="113" t="n">
        <v>56</v>
      </c>
      <c r="B901" s="68" t="n"/>
      <c r="C901" s="68" t="inlineStr">
        <is>
          <t>Báo cáo chứng quyền có đảm bảo &gt;&gt; Báo cáo về tài sản bảo đảm thanh toán - X - Tổng</t>
        </is>
      </c>
      <c r="D901" s="68" t="inlineStr">
        <is>
          <t>Thay đổi so với kỳ trước</t>
        </is>
      </c>
      <c r="E901" s="69" t="inlineStr">
        <is>
          <t>Thay đổi so với kỳ trước</t>
        </is>
      </c>
      <c r="F901" s="68" t="inlineStr">
        <is>
          <t>Data Explorer</t>
        </is>
      </c>
      <c r="G901" s="68" t="inlineStr">
        <is>
          <t>Chỉ tiêu cơ sở</t>
        </is>
      </c>
      <c r="H901" s="68" t="inlineStr">
        <is>
          <t>TB</t>
        </is>
      </c>
      <c r="I901" s="68" t="inlineStr">
        <is>
          <t>Ngày, CTCK</t>
        </is>
      </c>
      <c r="J901" s="69" t="inlineStr">
        <is>
          <t>SCMS</t>
        </is>
      </c>
      <c r="K901" s="69" t="n"/>
      <c r="L901" s="69" t="inlineStr">
        <is>
          <t>X</t>
        </is>
      </c>
      <c r="M901" s="69" t="n"/>
      <c r="N901" s="69" t="inlineStr">
        <is>
          <t>Done</t>
        </is>
      </c>
      <c r="O901" s="85" t="n"/>
      <c r="P901" s="69" t="n"/>
      <c r="Q901" s="426" t="n"/>
      <c r="R901" s="426" t="n"/>
      <c r="S901" s="86" t="n"/>
      <c r="T901" s="426" t="n"/>
      <c r="U901" s="68" t="n"/>
      <c r="V901" s="69" t="n"/>
      <c r="W901" s="69" t="n"/>
      <c r="X901" s="69" t="n"/>
      <c r="Y901" s="97" t="n"/>
      <c r="Z901" s="69" t="n"/>
      <c r="AA901" s="69" t="n"/>
      <c r="AB901" s="69" t="n"/>
      <c r="AC901" s="69" t="n"/>
      <c r="AD901" s="69" t="n"/>
      <c r="AE901" s="69" t="n"/>
    </row>
    <row r="902" ht="42" customHeight="1" s="380">
      <c r="A902" s="90" t="n">
        <v>57</v>
      </c>
      <c r="B902" s="100" t="inlineStr">
        <is>
          <t>Nga</t>
        </is>
      </c>
      <c r="C902" s="74" t="inlineStr">
        <is>
          <t>Hoạt động phái sinh &gt;&gt; Báo cáo về tình hình nhân sự</t>
        </is>
      </c>
      <c r="D902" s="109" t="inlineStr">
        <is>
          <t>Loại báo cáo</t>
        </is>
      </c>
      <c r="E902" s="110" t="inlineStr">
        <is>
          <t>Loại báo cáo</t>
        </is>
      </c>
      <c r="F902" s="403" t="inlineStr">
        <is>
          <t>Data Explorer</t>
        </is>
      </c>
      <c r="G902" s="390" t="inlineStr">
        <is>
          <t>Chiều</t>
        </is>
      </c>
      <c r="H902" s="403" t="inlineStr">
        <is>
          <t>Dễ</t>
        </is>
      </c>
      <c r="I902" s="403" t="inlineStr">
        <is>
          <t>Ngày, CTCK</t>
        </is>
      </c>
      <c r="J902" s="404" t="inlineStr">
        <is>
          <t>SCMS</t>
        </is>
      </c>
      <c r="K902" s="404" t="inlineStr">
        <is>
          <t>X</t>
        </is>
      </c>
      <c r="L902" s="405" t="inlineStr">
        <is>
          <t>X</t>
        </is>
      </c>
      <c r="M902" s="404" t="n"/>
      <c r="N902" s="405" t="inlineStr">
        <is>
          <t>Pending</t>
        </is>
      </c>
      <c r="O902" s="404" t="n"/>
      <c r="P902" s="405" t="n"/>
      <c r="Q902" s="105" t="inlineStr">
        <is>
          <t>DB cũ không thấy biểu mẫu báo cáo này</t>
        </is>
      </c>
      <c r="R902" s="114" t="n"/>
      <c r="S902" s="405" t="n"/>
      <c r="T902" s="400" t="n"/>
      <c r="U902" s="400" t="n"/>
      <c r="V902" s="405" t="n"/>
      <c r="W902" s="405" t="n"/>
      <c r="X902" s="405" t="n"/>
      <c r="Y902" s="13" t="n"/>
      <c r="Z902" s="405" t="n"/>
      <c r="AA902" s="405" t="n"/>
      <c r="AB902" s="405" t="n"/>
      <c r="AC902" s="405" t="n"/>
      <c r="AD902" s="405" t="n"/>
      <c r="AE902" s="405" t="n"/>
    </row>
    <row r="903" ht="42" customHeight="1" s="380">
      <c r="A903" s="90" t="n">
        <v>57</v>
      </c>
      <c r="B903" s="386" t="n"/>
      <c r="C903" s="386" t="inlineStr">
        <is>
          <t>Hoạt động phái sinh &gt;&gt; Báo cáo về tình hình nhân sự</t>
        </is>
      </c>
      <c r="D903" s="106" t="inlineStr">
        <is>
          <t>Kỳ báo cáo</t>
        </is>
      </c>
      <c r="E903" s="107" t="inlineStr">
        <is>
          <t>Kỳ báo cáo</t>
        </is>
      </c>
      <c r="F903" s="390" t="inlineStr">
        <is>
          <t>Data Explorer</t>
        </is>
      </c>
      <c r="G903" s="390" t="inlineStr">
        <is>
          <t>Chiều</t>
        </is>
      </c>
      <c r="H903" s="390" t="inlineStr">
        <is>
          <t>Dễ</t>
        </is>
      </c>
      <c r="I903" s="390" t="inlineStr">
        <is>
          <t>Ngày, CTCK</t>
        </is>
      </c>
      <c r="J903" s="401" t="inlineStr">
        <is>
          <t>SCMS</t>
        </is>
      </c>
      <c r="K903" s="401" t="inlineStr">
        <is>
          <t>X</t>
        </is>
      </c>
      <c r="L903" s="395" t="inlineStr">
        <is>
          <t>X</t>
        </is>
      </c>
      <c r="M903" s="401" t="n"/>
      <c r="N903" s="395" t="inlineStr">
        <is>
          <t>Pending</t>
        </is>
      </c>
      <c r="O903" s="401" t="n"/>
      <c r="P903" s="395" t="n"/>
      <c r="Q903" s="399" t="n"/>
      <c r="R903" s="399" t="n"/>
      <c r="S903" s="395" t="n"/>
      <c r="T903" s="386" t="n"/>
      <c r="U903" s="386" t="n"/>
      <c r="V903" s="395" t="n"/>
      <c r="W903" s="395" t="n"/>
      <c r="X903" s="395" t="n"/>
      <c r="Y903" s="13" t="n"/>
      <c r="Z903" s="395" t="n"/>
      <c r="AA903" s="395" t="n"/>
      <c r="AB903" s="395" t="n"/>
      <c r="AC903" s="395" t="n"/>
      <c r="AD903" s="395" t="n"/>
      <c r="AE903" s="395" t="n"/>
    </row>
    <row r="904" ht="42" customHeight="1" s="380">
      <c r="A904" s="90" t="n">
        <v>57</v>
      </c>
      <c r="B904" s="386" t="n"/>
      <c r="C904" s="386" t="inlineStr">
        <is>
          <t>Hoạt động phái sinh &gt;&gt; Báo cáo về tình hình nhân sự</t>
        </is>
      </c>
      <c r="D904" s="106" t="inlineStr">
        <is>
          <t>Mã báo cáo</t>
        </is>
      </c>
      <c r="E904" s="107" t="inlineStr">
        <is>
          <t>Mã báo cáo</t>
        </is>
      </c>
      <c r="F904" s="390" t="inlineStr">
        <is>
          <t>Data Explorer</t>
        </is>
      </c>
      <c r="G904" s="390" t="inlineStr">
        <is>
          <t>Chiều</t>
        </is>
      </c>
      <c r="H904" s="390" t="inlineStr">
        <is>
          <t>Dễ</t>
        </is>
      </c>
      <c r="I904" s="390" t="inlineStr">
        <is>
          <t>Ngày, CTCK</t>
        </is>
      </c>
      <c r="J904" s="401" t="inlineStr">
        <is>
          <t>SCMS</t>
        </is>
      </c>
      <c r="K904" s="401" t="inlineStr">
        <is>
          <t>X</t>
        </is>
      </c>
      <c r="L904" s="395" t="inlineStr">
        <is>
          <t>X</t>
        </is>
      </c>
      <c r="M904" s="401" t="n"/>
      <c r="N904" s="395" t="inlineStr">
        <is>
          <t>Pending</t>
        </is>
      </c>
      <c r="O904" s="401" t="n"/>
      <c r="P904" s="395" t="n"/>
      <c r="Q904" s="399" t="n"/>
      <c r="R904" s="399" t="n"/>
      <c r="S904" s="395" t="n"/>
      <c r="T904" s="386" t="n"/>
      <c r="U904" s="386" t="n"/>
      <c r="V904" s="395" t="n"/>
      <c r="W904" s="395" t="n"/>
      <c r="X904" s="395" t="n"/>
      <c r="Y904" s="13" t="n"/>
      <c r="Z904" s="395" t="n"/>
      <c r="AA904" s="395" t="n"/>
      <c r="AB904" s="395" t="n"/>
      <c r="AC904" s="395" t="n"/>
      <c r="AD904" s="395" t="n"/>
      <c r="AE904" s="395" t="n"/>
    </row>
    <row r="905" ht="42" customHeight="1" s="380">
      <c r="A905" s="90" t="n">
        <v>57</v>
      </c>
      <c r="B905" s="386" t="n"/>
      <c r="C905" s="386" t="inlineStr">
        <is>
          <t>Hoạt động phái sinh &gt;&gt; Báo cáo về tình hình nhân sự</t>
        </is>
      </c>
      <c r="D905" s="106" t="inlineStr">
        <is>
          <t>Tên báo cáo</t>
        </is>
      </c>
      <c r="E905" s="107" t="inlineStr">
        <is>
          <t>Tên báo cáo</t>
        </is>
      </c>
      <c r="F905" s="390" t="inlineStr">
        <is>
          <t>Data Explorer</t>
        </is>
      </c>
      <c r="G905" s="390" t="inlineStr">
        <is>
          <t>Chiều</t>
        </is>
      </c>
      <c r="H905" s="390" t="inlineStr">
        <is>
          <t>Dễ</t>
        </is>
      </c>
      <c r="I905" s="390" t="inlineStr">
        <is>
          <t>Ngày, CTCK</t>
        </is>
      </c>
      <c r="J905" s="401" t="inlineStr">
        <is>
          <t>SCMS</t>
        </is>
      </c>
      <c r="K905" s="401" t="inlineStr">
        <is>
          <t>X</t>
        </is>
      </c>
      <c r="L905" s="395" t="inlineStr">
        <is>
          <t>X</t>
        </is>
      </c>
      <c r="M905" s="401" t="n"/>
      <c r="N905" s="395" t="inlineStr">
        <is>
          <t>Pending</t>
        </is>
      </c>
      <c r="O905" s="401" t="n"/>
      <c r="P905" s="395" t="n"/>
      <c r="Q905" s="399" t="n"/>
      <c r="R905" s="399" t="n"/>
      <c r="S905" s="395" t="n"/>
      <c r="T905" s="386" t="n"/>
      <c r="U905" s="386" t="n"/>
      <c r="V905" s="395" t="n"/>
      <c r="W905" s="395" t="n"/>
      <c r="X905" s="395" t="n"/>
      <c r="Y905" s="38" t="n"/>
      <c r="Z905" s="395" t="n"/>
      <c r="AA905" s="395" t="n"/>
      <c r="AB905" s="395" t="n"/>
      <c r="AC905" s="395" t="n"/>
      <c r="AD905" s="395" t="n"/>
      <c r="AE905" s="395" t="n"/>
    </row>
    <row r="906" ht="42" customHeight="1" s="380">
      <c r="A906" s="90" t="n">
        <v>57</v>
      </c>
      <c r="B906" s="386" t="n"/>
      <c r="C906" s="386" t="inlineStr">
        <is>
          <t>Hoạt động phái sinh &gt;&gt; Báo cáo về tình hình nhân sự</t>
        </is>
      </c>
      <c r="D906" s="106" t="inlineStr">
        <is>
          <t>Mã chỉ tiêu</t>
        </is>
      </c>
      <c r="E906" s="107" t="inlineStr">
        <is>
          <t>Mã chỉ tiêu</t>
        </is>
      </c>
      <c r="F906" s="390" t="inlineStr">
        <is>
          <t>Data Explorer</t>
        </is>
      </c>
      <c r="G906" s="390" t="inlineStr">
        <is>
          <t>Chiều</t>
        </is>
      </c>
      <c r="H906" s="390" t="inlineStr">
        <is>
          <t>Dễ</t>
        </is>
      </c>
      <c r="I906" s="390" t="inlineStr">
        <is>
          <t>Ngày, CTCK</t>
        </is>
      </c>
      <c r="J906" s="401" t="inlineStr">
        <is>
          <t>SCMS</t>
        </is>
      </c>
      <c r="K906" s="401" t="inlineStr">
        <is>
          <t>X</t>
        </is>
      </c>
      <c r="L906" s="395" t="inlineStr">
        <is>
          <t>X</t>
        </is>
      </c>
      <c r="M906" s="401" t="n"/>
      <c r="N906" s="395" t="inlineStr">
        <is>
          <t>Pending</t>
        </is>
      </c>
      <c r="O906" s="401" t="n"/>
      <c r="P906" s="395" t="n"/>
      <c r="Q906" s="399" t="n"/>
      <c r="R906" s="399" t="n"/>
      <c r="S906" s="395" t="n"/>
      <c r="T906" s="386" t="n"/>
      <c r="U906" s="386" t="n"/>
      <c r="V906" s="395" t="n"/>
      <c r="W906" s="395" t="n"/>
      <c r="X906" s="395" t="n"/>
      <c r="Y906" s="13" t="n"/>
      <c r="Z906" s="395" t="n"/>
      <c r="AA906" s="395" t="n"/>
      <c r="AB906" s="395" t="n"/>
      <c r="AC906" s="395" t="n"/>
      <c r="AD906" s="395" t="n"/>
      <c r="AE906" s="395" t="n"/>
    </row>
    <row r="907" ht="42" customHeight="1" s="380">
      <c r="A907" s="90" t="n">
        <v>57</v>
      </c>
      <c r="B907" s="386" t="n"/>
      <c r="C907" s="386" t="inlineStr">
        <is>
          <t>Hoạt động phái sinh &gt;&gt; Báo cáo về tình hình nhân sự</t>
        </is>
      </c>
      <c r="D907" s="106" t="inlineStr">
        <is>
          <t>Tên chỉ tiêu</t>
        </is>
      </c>
      <c r="E907" s="107" t="inlineStr">
        <is>
          <t>Tên chỉ tiêu</t>
        </is>
      </c>
      <c r="F907" s="390" t="inlineStr">
        <is>
          <t>Data Explorer</t>
        </is>
      </c>
      <c r="G907" s="390" t="inlineStr">
        <is>
          <t>Chiều</t>
        </is>
      </c>
      <c r="H907" s="390" t="inlineStr">
        <is>
          <t>Dễ</t>
        </is>
      </c>
      <c r="I907" s="390" t="inlineStr">
        <is>
          <t>Ngày, CTCK</t>
        </is>
      </c>
      <c r="J907" s="401" t="inlineStr">
        <is>
          <t>SCMS</t>
        </is>
      </c>
      <c r="K907" s="401" t="inlineStr">
        <is>
          <t>X</t>
        </is>
      </c>
      <c r="L907" s="395" t="inlineStr">
        <is>
          <t>X</t>
        </is>
      </c>
      <c r="M907" s="401" t="n"/>
      <c r="N907" s="395" t="inlineStr">
        <is>
          <t>Pending</t>
        </is>
      </c>
      <c r="O907" s="401" t="n"/>
      <c r="P907" s="395" t="n"/>
      <c r="Q907" s="399" t="n"/>
      <c r="R907" s="399" t="n"/>
      <c r="S907" s="395" t="n"/>
      <c r="T907" s="386" t="n"/>
      <c r="U907" s="386" t="n"/>
      <c r="V907" s="395" t="n"/>
      <c r="W907" s="395" t="n"/>
      <c r="X907" s="395" t="n"/>
      <c r="Y907" s="13" t="n"/>
      <c r="Z907" s="395" t="n"/>
      <c r="AA907" s="395" t="n"/>
      <c r="AB907" s="395" t="n"/>
      <c r="AC907" s="395" t="n"/>
      <c r="AD907" s="395" t="n"/>
      <c r="AE907" s="395" t="n"/>
    </row>
    <row r="908" ht="42" customHeight="1" s="380">
      <c r="A908" s="90" t="n">
        <v>57</v>
      </c>
      <c r="B908" s="386" t="n"/>
      <c r="C908" s="386" t="inlineStr">
        <is>
          <t>Hoạt động phái sinh &gt;&gt; Báo cáo về tình hình nhân sự</t>
        </is>
      </c>
      <c r="D908" s="386" t="inlineStr">
        <is>
          <t>Tên công ty chứng khoán</t>
        </is>
      </c>
      <c r="E908" s="395" t="inlineStr">
        <is>
          <t>Tên công ty chứng khoán</t>
        </is>
      </c>
      <c r="F908" s="386" t="inlineStr">
        <is>
          <t>Data Explorer</t>
        </is>
      </c>
      <c r="G908" s="386" t="inlineStr">
        <is>
          <t>Chỉ tiêu cơ sở</t>
        </is>
      </c>
      <c r="H908" s="386" t="inlineStr">
        <is>
          <t>Dễ</t>
        </is>
      </c>
      <c r="I908" s="386" t="inlineStr">
        <is>
          <t>Ngày, CTCK</t>
        </is>
      </c>
      <c r="J908" s="395" t="inlineStr">
        <is>
          <t>SCMS</t>
        </is>
      </c>
      <c r="K908" s="395" t="n"/>
      <c r="L908" s="395" t="inlineStr">
        <is>
          <t>X</t>
        </is>
      </c>
      <c r="M908" s="395" t="n"/>
      <c r="N908" s="395" t="inlineStr">
        <is>
          <t>Pending</t>
        </is>
      </c>
      <c r="O908" s="401" t="n"/>
      <c r="P908" s="395" t="n"/>
      <c r="Q908" s="399" t="n"/>
      <c r="R908" s="399" t="n"/>
      <c r="S908" s="395" t="n"/>
      <c r="T908" s="386" t="n"/>
      <c r="U908" s="386" t="n"/>
      <c r="V908" s="395" t="n"/>
      <c r="W908" s="395" t="n"/>
      <c r="X908" s="395" t="n"/>
      <c r="Y908" s="13" t="n"/>
      <c r="Z908" s="395" t="n"/>
      <c r="AA908" s="395" t="n"/>
      <c r="AB908" s="395" t="n"/>
      <c r="AC908" s="395" t="n"/>
      <c r="AD908" s="395" t="n"/>
      <c r="AE908" s="395" t="n"/>
    </row>
    <row r="909" ht="42" customHeight="1" s="380">
      <c r="A909" s="90" t="n">
        <v>57</v>
      </c>
      <c r="B909" s="386" t="n"/>
      <c r="C909" s="386" t="inlineStr">
        <is>
          <t>Hoạt động phái sinh &gt;&gt; Báo cáo về tình hình nhân sự</t>
        </is>
      </c>
      <c r="D909" s="386" t="inlineStr">
        <is>
          <t>Sàn giao dịch</t>
        </is>
      </c>
      <c r="E909" s="395" t="inlineStr">
        <is>
          <t>Sàn giao dịch</t>
        </is>
      </c>
      <c r="F909" s="386" t="inlineStr">
        <is>
          <t>Data Explorer</t>
        </is>
      </c>
      <c r="G909" s="386" t="inlineStr">
        <is>
          <t>Chỉ tiêu cơ sở</t>
        </is>
      </c>
      <c r="H909" s="386" t="inlineStr">
        <is>
          <t>Dễ</t>
        </is>
      </c>
      <c r="I909" s="386" t="inlineStr">
        <is>
          <t>Ngày, CTCK</t>
        </is>
      </c>
      <c r="J909" s="395" t="inlineStr">
        <is>
          <t>SCMS</t>
        </is>
      </c>
      <c r="K909" s="395" t="n"/>
      <c r="L909" s="395" t="inlineStr">
        <is>
          <t>X</t>
        </is>
      </c>
      <c r="M909" s="395" t="n"/>
      <c r="N909" s="395" t="inlineStr">
        <is>
          <t>Pending</t>
        </is>
      </c>
      <c r="O909" s="401" t="n"/>
      <c r="P909" s="395" t="n"/>
      <c r="Q909" s="399" t="n"/>
      <c r="R909" s="399" t="n"/>
      <c r="S909" s="395" t="n"/>
      <c r="T909" s="386" t="n"/>
      <c r="U909" s="386" t="n"/>
      <c r="V909" s="395" t="n"/>
      <c r="W909" s="395" t="n"/>
      <c r="X909" s="395" t="n"/>
      <c r="Y909" s="13" t="n"/>
      <c r="Z909" s="395" t="n"/>
      <c r="AA909" s="395" t="n"/>
      <c r="AB909" s="395" t="n"/>
      <c r="AC909" s="395" t="n"/>
      <c r="AD909" s="395" t="n"/>
      <c r="AE909" s="395" t="n"/>
    </row>
    <row r="910" ht="42" customHeight="1" s="380">
      <c r="A910" s="90" t="n">
        <v>57</v>
      </c>
      <c r="B910" s="386" t="n"/>
      <c r="C910" s="386" t="inlineStr">
        <is>
          <t>Hoạt động phái sinh &gt;&gt; Báo cáo về tình hình nhân sự</t>
        </is>
      </c>
      <c r="D910" s="386" t="inlineStr">
        <is>
          <t>Mã chứng khoán</t>
        </is>
      </c>
      <c r="E910" s="395" t="inlineStr">
        <is>
          <t>Mã chứng khoán</t>
        </is>
      </c>
      <c r="F910" s="386" t="inlineStr">
        <is>
          <t>Data Explorer</t>
        </is>
      </c>
      <c r="G910" s="386" t="inlineStr">
        <is>
          <t>Chỉ tiêu cơ sở</t>
        </is>
      </c>
      <c r="H910" s="386" t="inlineStr">
        <is>
          <t>Dễ</t>
        </is>
      </c>
      <c r="I910" s="386" t="inlineStr">
        <is>
          <t>Ngày, CTCK</t>
        </is>
      </c>
      <c r="J910" s="395" t="inlineStr">
        <is>
          <t>SCMS</t>
        </is>
      </c>
      <c r="K910" s="395" t="n"/>
      <c r="L910" s="395" t="inlineStr">
        <is>
          <t>X</t>
        </is>
      </c>
      <c r="M910" s="395" t="n"/>
      <c r="N910" s="395" t="inlineStr">
        <is>
          <t>Pending</t>
        </is>
      </c>
      <c r="O910" s="401" t="n"/>
      <c r="P910" s="395" t="n"/>
      <c r="Q910" s="399" t="n"/>
      <c r="R910" s="399" t="n"/>
      <c r="S910" s="395" t="n"/>
      <c r="T910" s="386" t="n"/>
      <c r="U910" s="386" t="n"/>
      <c r="V910" s="395" t="n"/>
      <c r="W910" s="395" t="n"/>
      <c r="X910" s="395" t="n"/>
      <c r="Y910" s="13" t="n"/>
      <c r="Z910" s="395" t="n"/>
      <c r="AA910" s="395" t="n"/>
      <c r="AB910" s="395" t="n"/>
      <c r="AC910" s="395" t="n"/>
      <c r="AD910" s="395" t="n"/>
      <c r="AE910" s="395" t="n"/>
    </row>
    <row r="911" ht="42" customHeight="1" s="380">
      <c r="A911" s="90" t="n">
        <v>57</v>
      </c>
      <c r="B911" s="386" t="n"/>
      <c r="C911" s="386" t="inlineStr">
        <is>
          <t>Hoạt động phái sinh &gt;&gt; Báo cáo về tình hình nhân sự</t>
        </is>
      </c>
      <c r="D911" s="386" t="inlineStr">
        <is>
          <t>Số giấy phép thành lập</t>
        </is>
      </c>
      <c r="E911" s="395" t="inlineStr">
        <is>
          <t>Số giấy phép thành lập</t>
        </is>
      </c>
      <c r="F911" s="386" t="inlineStr">
        <is>
          <t>Data Explorer</t>
        </is>
      </c>
      <c r="G911" s="386" t="inlineStr">
        <is>
          <t>Chỉ tiêu cơ sở</t>
        </is>
      </c>
      <c r="H911" s="386" t="inlineStr">
        <is>
          <t>Dễ</t>
        </is>
      </c>
      <c r="I911" s="386" t="inlineStr">
        <is>
          <t>Ngày, CTCK</t>
        </is>
      </c>
      <c r="J911" s="395" t="inlineStr">
        <is>
          <t>SCMS</t>
        </is>
      </c>
      <c r="K911" s="395" t="n"/>
      <c r="L911" s="395" t="inlineStr">
        <is>
          <t>X</t>
        </is>
      </c>
      <c r="M911" s="395" t="n"/>
      <c r="N911" s="395" t="inlineStr">
        <is>
          <t>Pending</t>
        </is>
      </c>
      <c r="O911" s="401" t="n"/>
      <c r="P911" s="395" t="n"/>
      <c r="Q911" s="395" t="n"/>
      <c r="R911" s="395" t="n"/>
      <c r="S911" s="395" t="n"/>
      <c r="T911" s="386" t="n"/>
      <c r="U911" s="386" t="n"/>
      <c r="V911" s="395" t="n"/>
      <c r="W911" s="395" t="n"/>
      <c r="X911" s="395" t="n"/>
      <c r="Y911" s="38" t="n"/>
      <c r="Z911" s="395" t="n"/>
      <c r="AA911" s="395" t="n"/>
      <c r="AB911" s="395" t="n"/>
      <c r="AC911" s="395" t="n"/>
      <c r="AD911" s="395" t="n"/>
      <c r="AE911" s="395" t="n"/>
    </row>
    <row r="912" ht="56" customHeight="1" s="380">
      <c r="A912" s="90" t="n">
        <v>57</v>
      </c>
      <c r="B912" s="386" t="n"/>
      <c r="C912" s="386" t="inlineStr">
        <is>
          <t>Hoạt động phái sinh &gt;&gt; Báo cáo về tình hình nhân sự</t>
        </is>
      </c>
      <c r="D912" s="386" t="inlineStr">
        <is>
          <t>Đối tượng
(Trụ sở chính/chi nhánh/phòng giao dịch/bộ phận khác)</t>
        </is>
      </c>
      <c r="E912" s="386" t="inlineStr">
        <is>
          <t>Đối tượng
(Trụ sở chính/chi nhánh/phòng giao dịch/bộ phận khác)</t>
        </is>
      </c>
      <c r="F912" s="386" t="inlineStr">
        <is>
          <t>Data Explorer</t>
        </is>
      </c>
      <c r="G912" s="386" t="inlineStr">
        <is>
          <t>Chỉ tiêu cơ sở</t>
        </is>
      </c>
      <c r="H912" s="386" t="inlineStr">
        <is>
          <t>Dễ</t>
        </is>
      </c>
      <c r="I912" s="386" t="inlineStr">
        <is>
          <t>Ngày, CTCK</t>
        </is>
      </c>
      <c r="J912" s="395" t="inlineStr">
        <is>
          <t>SCMS</t>
        </is>
      </c>
      <c r="K912" s="395" t="n"/>
      <c r="L912" s="395" t="inlineStr">
        <is>
          <t>X</t>
        </is>
      </c>
      <c r="M912" s="395" t="n"/>
      <c r="N912" s="395" t="inlineStr">
        <is>
          <t>Pending</t>
        </is>
      </c>
      <c r="O912" s="401" t="n"/>
      <c r="P912" s="395" t="n"/>
      <c r="Q912" s="395" t="n"/>
      <c r="R912" s="395" t="n"/>
      <c r="S912" s="395" t="n"/>
      <c r="T912" s="386" t="n"/>
      <c r="U912" s="386" t="n"/>
      <c r="V912" s="395" t="n"/>
      <c r="W912" s="395" t="n"/>
      <c r="X912" s="395" t="n"/>
      <c r="Y912" s="13" t="n"/>
      <c r="Z912" s="395" t="n"/>
      <c r="AA912" s="395" t="n"/>
      <c r="AB912" s="395" t="n"/>
      <c r="AC912" s="395" t="n"/>
      <c r="AD912" s="395" t="n"/>
      <c r="AE912" s="395" t="n"/>
    </row>
    <row r="913" ht="70" customHeight="1" s="380">
      <c r="A913" s="90" t="n">
        <v>57</v>
      </c>
      <c r="B913" s="386" t="n"/>
      <c r="C913" s="386" t="inlineStr">
        <is>
          <t>Hoạt động phái sinh &gt;&gt; Báo cáo về tình hình nhân sự</t>
        </is>
      </c>
      <c r="D913" s="386" t="inlineStr">
        <is>
          <t>Số lượng người có chứng chỉ hành nghề chứng khoán &gt;&gt; Ban giám đốc/Giám đốc chi nhánh &gt;&gt; Cuối kỳ</t>
        </is>
      </c>
      <c r="E913" s="386" t="inlineStr">
        <is>
          <t>Số lượng người có chứng chỉ hành nghề chứng khoán &gt;&gt; Ban giám đốc/Giám đốc chi nhánh &gt;&gt; Cuối kỳ</t>
        </is>
      </c>
      <c r="F913" s="386" t="inlineStr">
        <is>
          <t>Data Explorer</t>
        </is>
      </c>
      <c r="G913" s="386" t="inlineStr">
        <is>
          <t>Chỉ tiêu cơ sở</t>
        </is>
      </c>
      <c r="H913" s="386" t="inlineStr">
        <is>
          <t>TB</t>
        </is>
      </c>
      <c r="I913" s="386" t="inlineStr">
        <is>
          <t>Ngày, CTCK</t>
        </is>
      </c>
      <c r="J913" s="395" t="inlineStr">
        <is>
          <t>SCMS, NHNCK</t>
        </is>
      </c>
      <c r="K913" s="395" t="n"/>
      <c r="L913" s="395" t="inlineStr">
        <is>
          <t>X</t>
        </is>
      </c>
      <c r="M913" s="395" t="n"/>
      <c r="N913" s="395" t="inlineStr">
        <is>
          <t>Pending</t>
        </is>
      </c>
      <c r="O913" s="401" t="n"/>
      <c r="P913" s="395" t="n"/>
      <c r="Q913" s="395" t="n"/>
      <c r="R913" s="395" t="n"/>
      <c r="S913" s="395" t="n"/>
      <c r="T913" s="386" t="n"/>
      <c r="U913" s="386" t="n"/>
      <c r="V913" s="395" t="n"/>
      <c r="W913" s="395" t="n"/>
      <c r="X913" s="395" t="n"/>
      <c r="Y913" s="13" t="n"/>
      <c r="Z913" s="395" t="n"/>
      <c r="AA913" s="395" t="n"/>
      <c r="AB913" s="395" t="n"/>
      <c r="AC913" s="395" t="n"/>
      <c r="AD913" s="395" t="n"/>
      <c r="AE913" s="395" t="n"/>
    </row>
    <row r="914" ht="84" customHeight="1" s="380">
      <c r="A914" s="90" t="n">
        <v>57</v>
      </c>
      <c r="B914" s="386" t="n"/>
      <c r="C914" s="386" t="inlineStr">
        <is>
          <t>Hoạt động phái sinh &gt;&gt; Báo cáo về tình hình nhân sự</t>
        </is>
      </c>
      <c r="D914" s="386" t="inlineStr">
        <is>
          <t>Số lượng người có chứng chỉ hành nghề chứng khoán &gt;&gt; Ban giám đốc/Giám đốc chi nhánh &gt;&gt; Tăng/giảm so với cuối kỳ trước</t>
        </is>
      </c>
      <c r="E914" s="386" t="inlineStr">
        <is>
          <t>Số lượng người có chứng chỉ hành nghề chứng khoán &gt;&gt; Ban giám đốc/Giám đốc chi nhánh &gt;&gt; Tăng/giảm so với cuối kỳ trước</t>
        </is>
      </c>
      <c r="F914" s="386" t="inlineStr">
        <is>
          <t>Data Explorer</t>
        </is>
      </c>
      <c r="G914" s="386" t="inlineStr">
        <is>
          <t>Chỉ tiêu cơ sở</t>
        </is>
      </c>
      <c r="H914" s="386" t="inlineStr">
        <is>
          <t>TB</t>
        </is>
      </c>
      <c r="I914" s="386" t="inlineStr">
        <is>
          <t>Ngày, CTCK</t>
        </is>
      </c>
      <c r="J914" s="395" t="inlineStr">
        <is>
          <t>SCMS, NHNCK</t>
        </is>
      </c>
      <c r="K914" s="395" t="n"/>
      <c r="L914" s="395" t="inlineStr">
        <is>
          <t>X</t>
        </is>
      </c>
      <c r="M914" s="395" t="n"/>
      <c r="N914" s="395" t="inlineStr">
        <is>
          <t>Pending</t>
        </is>
      </c>
      <c r="O914" s="401" t="n"/>
      <c r="P914" s="395" t="n"/>
      <c r="Q914" s="395" t="n"/>
      <c r="R914" s="395" t="n"/>
      <c r="S914" s="395" t="n"/>
      <c r="T914" s="386" t="n"/>
      <c r="U914" s="386" t="n"/>
      <c r="V914" s="395" t="n"/>
      <c r="W914" s="395" t="n"/>
      <c r="X914" s="395" t="n"/>
      <c r="Y914" s="13" t="n"/>
      <c r="Z914" s="395" t="n"/>
      <c r="AA914" s="395" t="n"/>
      <c r="AB914" s="395" t="n"/>
      <c r="AC914" s="395" t="n"/>
      <c r="AD914" s="395" t="n"/>
      <c r="AE914" s="395" t="n"/>
    </row>
    <row r="915" ht="56" customHeight="1" s="380">
      <c r="A915" s="90" t="n">
        <v>57</v>
      </c>
      <c r="B915" s="386" t="n"/>
      <c r="C915" s="386" t="inlineStr">
        <is>
          <t>Hoạt động phái sinh &gt;&gt; Báo cáo về tình hình nhân sự</t>
        </is>
      </c>
      <c r="D915" s="386" t="inlineStr">
        <is>
          <t>Số lượng người có chứng chỉ hành nghề chứng khoán &gt;&gt; Bộ phận môi giới &gt;&gt; Cuối kỳ</t>
        </is>
      </c>
      <c r="E915" s="386" t="inlineStr">
        <is>
          <t>Số lượng người có chứng chỉ hành nghề chứng khoán &gt;&gt; Bộ phận môi giới &gt;&gt; Cuối kỳ</t>
        </is>
      </c>
      <c r="F915" s="386" t="inlineStr">
        <is>
          <t>Data Explorer</t>
        </is>
      </c>
      <c r="G915" s="386" t="inlineStr">
        <is>
          <t>Chỉ tiêu cơ sở</t>
        </is>
      </c>
      <c r="H915" s="386" t="inlineStr">
        <is>
          <t>TB</t>
        </is>
      </c>
      <c r="I915" s="386" t="inlineStr">
        <is>
          <t>Ngày, CTCK</t>
        </is>
      </c>
      <c r="J915" s="395" t="inlineStr">
        <is>
          <t>SCMS, NHNCK</t>
        </is>
      </c>
      <c r="K915" s="395" t="n"/>
      <c r="L915" s="395" t="inlineStr">
        <is>
          <t>X</t>
        </is>
      </c>
      <c r="M915" s="395" t="n"/>
      <c r="N915" s="395" t="inlineStr">
        <is>
          <t>Pending</t>
        </is>
      </c>
      <c r="O915" s="401" t="n"/>
      <c r="P915" s="395" t="n"/>
      <c r="Q915" s="395" t="n"/>
      <c r="R915" s="395" t="n"/>
      <c r="S915" s="395" t="n"/>
      <c r="T915" s="386" t="n"/>
      <c r="U915" s="386" t="n"/>
      <c r="V915" s="395" t="n"/>
      <c r="W915" s="395" t="n"/>
      <c r="X915" s="395" t="n"/>
      <c r="Y915" s="13" t="n"/>
      <c r="Z915" s="395" t="n"/>
      <c r="AA915" s="395" t="n"/>
      <c r="AB915" s="395" t="n"/>
      <c r="AC915" s="395" t="n"/>
      <c r="AD915" s="395" t="n"/>
      <c r="AE915" s="395" t="n"/>
    </row>
    <row r="916" ht="84" customHeight="1" s="380">
      <c r="A916" s="90" t="n">
        <v>57</v>
      </c>
      <c r="B916" s="386" t="n"/>
      <c r="C916" s="386" t="inlineStr">
        <is>
          <t>Hoạt động phái sinh &gt;&gt; Báo cáo về tình hình nhân sự</t>
        </is>
      </c>
      <c r="D916" s="386" t="inlineStr">
        <is>
          <t>Số lượng người có chứng chỉ hành nghề chứng khoán &gt;&gt; Bộ phận môi giới &gt;&gt; Tăng/giảm so với cuối kỳ trước</t>
        </is>
      </c>
      <c r="E916" s="386" t="inlineStr">
        <is>
          <t>Số lượng người có chứng chỉ hành nghề chứng khoán &gt;&gt; Bộ phận môi giới &gt;&gt; Tăng/giảm so với cuối kỳ trước</t>
        </is>
      </c>
      <c r="F916" s="386" t="inlineStr">
        <is>
          <t>Data Explorer</t>
        </is>
      </c>
      <c r="G916" s="386" t="inlineStr">
        <is>
          <t>Chỉ tiêu cơ sở</t>
        </is>
      </c>
      <c r="H916" s="386" t="inlineStr">
        <is>
          <t>TB</t>
        </is>
      </c>
      <c r="I916" s="386" t="inlineStr">
        <is>
          <t>Ngày, CTCK</t>
        </is>
      </c>
      <c r="J916" s="395" t="inlineStr">
        <is>
          <t>SCMS, NHNCK</t>
        </is>
      </c>
      <c r="K916" s="395" t="n"/>
      <c r="L916" s="395" t="inlineStr">
        <is>
          <t>X</t>
        </is>
      </c>
      <c r="M916" s="395" t="n"/>
      <c r="N916" s="395" t="inlineStr">
        <is>
          <t>Pending</t>
        </is>
      </c>
      <c r="O916" s="401" t="n"/>
      <c r="P916" s="395" t="n"/>
      <c r="Q916" s="395" t="n"/>
      <c r="R916" s="395" t="n"/>
      <c r="S916" s="395" t="n"/>
      <c r="T916" s="386" t="n"/>
      <c r="U916" s="386" t="n"/>
      <c r="V916" s="395" t="n"/>
      <c r="W916" s="395" t="n"/>
      <c r="X916" s="395" t="n"/>
      <c r="Y916" s="13" t="n"/>
      <c r="Z916" s="395" t="n"/>
      <c r="AA916" s="395" t="n"/>
      <c r="AB916" s="395" t="n"/>
      <c r="AC916" s="395" t="n"/>
      <c r="AD916" s="395" t="n"/>
      <c r="AE916" s="395" t="n"/>
    </row>
    <row r="917" ht="70" customHeight="1" s="380">
      <c r="A917" s="90" t="n">
        <v>57</v>
      </c>
      <c r="B917" s="386" t="n"/>
      <c r="C917" s="386" t="inlineStr">
        <is>
          <t>Hoạt động phái sinh &gt;&gt; Báo cáo về tình hình nhân sự</t>
        </is>
      </c>
      <c r="D917" s="386" t="inlineStr">
        <is>
          <t>Số lượng người có chứng chỉ hành nghề chứng khoán &gt;&gt; Bộ phận tự doanh &gt;&gt; Cuối kỳ</t>
        </is>
      </c>
      <c r="E917" s="386" t="inlineStr">
        <is>
          <t>Số lượng người có chứng chỉ hành nghề chứng khoán &gt;&gt; Bộ phận tự doanh &gt;&gt; Cuối kỳ</t>
        </is>
      </c>
      <c r="F917" s="386" t="inlineStr">
        <is>
          <t>Data Explorer</t>
        </is>
      </c>
      <c r="G917" s="386" t="inlineStr">
        <is>
          <t>Chỉ tiêu cơ sở</t>
        </is>
      </c>
      <c r="H917" s="386" t="inlineStr">
        <is>
          <t>TB</t>
        </is>
      </c>
      <c r="I917" s="386" t="inlineStr">
        <is>
          <t>Ngày, CTCK</t>
        </is>
      </c>
      <c r="J917" s="395" t="inlineStr">
        <is>
          <t>SCMS, NHNCK</t>
        </is>
      </c>
      <c r="K917" s="395" t="n"/>
      <c r="L917" s="395" t="inlineStr">
        <is>
          <t>X</t>
        </is>
      </c>
      <c r="M917" s="395" t="n"/>
      <c r="N917" s="395" t="inlineStr">
        <is>
          <t>Pending</t>
        </is>
      </c>
      <c r="O917" s="401" t="n"/>
      <c r="P917" s="395" t="n"/>
      <c r="Q917" s="395" t="n"/>
      <c r="R917" s="395" t="n"/>
      <c r="S917" s="395" t="n"/>
      <c r="T917" s="386" t="n"/>
      <c r="U917" s="386" t="n"/>
      <c r="V917" s="395" t="n"/>
      <c r="W917" s="395" t="n"/>
      <c r="X917" s="395" t="n"/>
      <c r="Y917" s="38" t="n"/>
      <c r="Z917" s="395" t="n"/>
      <c r="AA917" s="395" t="n"/>
      <c r="AB917" s="395" t="n"/>
      <c r="AC917" s="395" t="n"/>
      <c r="AD917" s="395" t="n"/>
      <c r="AE917" s="395" t="n"/>
    </row>
    <row r="918" ht="84" customHeight="1" s="380">
      <c r="A918" s="90" t="n">
        <v>57</v>
      </c>
      <c r="B918" s="386" t="n"/>
      <c r="C918" s="386" t="inlineStr">
        <is>
          <t>Hoạt động phái sinh &gt;&gt; Báo cáo về tình hình nhân sự</t>
        </is>
      </c>
      <c r="D918" s="386" t="inlineStr">
        <is>
          <t>Số lượng người có chứng chỉ hành nghề chứng khoán &gt;&gt; Bộ phận tự doanh &gt;&gt; Tăng/giảm so với cuối kỳ trước</t>
        </is>
      </c>
      <c r="E918" s="386" t="inlineStr">
        <is>
          <t>Số lượng người có chứng chỉ hành nghề chứng khoán &gt;&gt; Bộ phận tự doanh &gt;&gt; Tăng/giảm so với cuối kỳ trước</t>
        </is>
      </c>
      <c r="F918" s="386" t="inlineStr">
        <is>
          <t>Data Explorer</t>
        </is>
      </c>
      <c r="G918" s="386" t="inlineStr">
        <is>
          <t>Chỉ tiêu cơ sở</t>
        </is>
      </c>
      <c r="H918" s="386" t="inlineStr">
        <is>
          <t>TB</t>
        </is>
      </c>
      <c r="I918" s="386" t="inlineStr">
        <is>
          <t>Ngày, CTCK</t>
        </is>
      </c>
      <c r="J918" s="395" t="inlineStr">
        <is>
          <t>SCMS, NHNCK</t>
        </is>
      </c>
      <c r="K918" s="395" t="n"/>
      <c r="L918" s="395" t="inlineStr">
        <is>
          <t>X</t>
        </is>
      </c>
      <c r="M918" s="395" t="n"/>
      <c r="N918" s="395" t="inlineStr">
        <is>
          <t>Pending</t>
        </is>
      </c>
      <c r="O918" s="401" t="n"/>
      <c r="P918" s="395" t="n"/>
      <c r="Q918" s="395" t="n"/>
      <c r="R918" s="395" t="n"/>
      <c r="S918" s="395" t="n"/>
      <c r="T918" s="386" t="n"/>
      <c r="U918" s="386" t="n"/>
      <c r="V918" s="395" t="n"/>
      <c r="W918" s="395" t="n"/>
      <c r="X918" s="395" t="n"/>
      <c r="Y918" s="13" t="n"/>
      <c r="Z918" s="395" t="n"/>
      <c r="AA918" s="395" t="n"/>
      <c r="AB918" s="395" t="n"/>
      <c r="AC918" s="395" t="n"/>
      <c r="AD918" s="395" t="n"/>
      <c r="AE918" s="395" t="n"/>
    </row>
    <row r="919" ht="70" customHeight="1" s="380">
      <c r="A919" s="90" t="n">
        <v>57</v>
      </c>
      <c r="B919" s="386" t="n"/>
      <c r="C919" s="386" t="inlineStr">
        <is>
          <t>Hoạt động phái sinh &gt;&gt; Báo cáo về tình hình nhân sự</t>
        </is>
      </c>
      <c r="D919" s="386" t="inlineStr">
        <is>
          <t>Số lượng người có chứng chỉ hành nghề chứng khoán &gt;&gt; Bộ phận tư vấn 
đầu tư &gt;&gt; Cuối kỳ</t>
        </is>
      </c>
      <c r="E919" s="386" t="inlineStr">
        <is>
          <t>Số lượng người có chứng chỉ hành nghề chứng khoán &gt;&gt; Bộ phận tư vấn 
đầu tư &gt;&gt; Cuối kỳ</t>
        </is>
      </c>
      <c r="F919" s="386" t="inlineStr">
        <is>
          <t>Data Explorer</t>
        </is>
      </c>
      <c r="G919" s="386" t="inlineStr">
        <is>
          <t>Chỉ tiêu cơ sở</t>
        </is>
      </c>
      <c r="H919" s="386" t="inlineStr">
        <is>
          <t>TB</t>
        </is>
      </c>
      <c r="I919" s="386" t="inlineStr">
        <is>
          <t>Ngày, CTCK</t>
        </is>
      </c>
      <c r="J919" s="395" t="inlineStr">
        <is>
          <t>SCMS, NHNCK</t>
        </is>
      </c>
      <c r="K919" s="395" t="n"/>
      <c r="L919" s="395" t="inlineStr">
        <is>
          <t>X</t>
        </is>
      </c>
      <c r="M919" s="395" t="n"/>
      <c r="N919" s="395" t="inlineStr">
        <is>
          <t>Pending</t>
        </is>
      </c>
      <c r="O919" s="401" t="n"/>
      <c r="P919" s="395" t="n"/>
      <c r="Q919" s="395" t="n"/>
      <c r="R919" s="395" t="n"/>
      <c r="S919" s="395" t="n"/>
      <c r="T919" s="386" t="n"/>
      <c r="U919" s="386" t="n"/>
      <c r="V919" s="395" t="n"/>
      <c r="W919" s="395" t="n"/>
      <c r="X919" s="395" t="n"/>
      <c r="Y919" s="13" t="n"/>
      <c r="Z919" s="395" t="n"/>
      <c r="AA919" s="395" t="n"/>
      <c r="AB919" s="395" t="n"/>
      <c r="AC919" s="395" t="n"/>
      <c r="AD919" s="395" t="n"/>
      <c r="AE919" s="395" t="n"/>
    </row>
    <row r="920" ht="84" customHeight="1" s="380">
      <c r="A920" s="90" t="n">
        <v>57</v>
      </c>
      <c r="B920" s="386" t="n"/>
      <c r="C920" s="386" t="inlineStr">
        <is>
          <t>Hoạt động phái sinh &gt;&gt; Báo cáo về tình hình nhân sự</t>
        </is>
      </c>
      <c r="D920" s="386" t="inlineStr">
        <is>
          <t>Số lượng người có chứng chỉ hành nghề chứng khoán &gt;&gt; Bộ phận tư vấn 
đầu tư &gt;&gt; Tăng/giảm so với cuối kỳ trước</t>
        </is>
      </c>
      <c r="E920" s="386" t="inlineStr">
        <is>
          <t>Số lượng người có chứng chỉ hành nghề chứng khoán &gt;&gt; Bộ phận tư vấn 
đầu tư &gt;&gt; Tăng/giảm so với cuối kỳ trước</t>
        </is>
      </c>
      <c r="F920" s="386" t="inlineStr">
        <is>
          <t>Data Explorer</t>
        </is>
      </c>
      <c r="G920" s="386" t="inlineStr">
        <is>
          <t>Chỉ tiêu cơ sở</t>
        </is>
      </c>
      <c r="H920" s="386" t="inlineStr">
        <is>
          <t>TB</t>
        </is>
      </c>
      <c r="I920" s="386" t="inlineStr">
        <is>
          <t>Ngày, CTCK</t>
        </is>
      </c>
      <c r="J920" s="395" t="inlineStr">
        <is>
          <t>SCMS, NHNCK</t>
        </is>
      </c>
      <c r="K920" s="395" t="n"/>
      <c r="L920" s="395" t="inlineStr">
        <is>
          <t>X</t>
        </is>
      </c>
      <c r="M920" s="395" t="n"/>
      <c r="N920" s="395" t="inlineStr">
        <is>
          <t>Pending</t>
        </is>
      </c>
      <c r="O920" s="401" t="n"/>
      <c r="P920" s="395" t="n"/>
      <c r="Q920" s="395" t="n"/>
      <c r="R920" s="395" t="n"/>
      <c r="S920" s="395" t="n"/>
      <c r="T920" s="386" t="n"/>
      <c r="U920" s="386" t="n"/>
      <c r="V920" s="395" t="n"/>
      <c r="W920" s="395" t="n"/>
      <c r="X920" s="395" t="n"/>
      <c r="Y920" s="13" t="n"/>
      <c r="Z920" s="395" t="n"/>
      <c r="AA920" s="395" t="n"/>
      <c r="AB920" s="395" t="n"/>
      <c r="AC920" s="395" t="n"/>
      <c r="AD920" s="395" t="n"/>
      <c r="AE920" s="395" t="n"/>
    </row>
    <row r="921" ht="56" customHeight="1" s="380">
      <c r="A921" s="90" t="n">
        <v>57</v>
      </c>
      <c r="B921" s="386" t="n"/>
      <c r="C921" s="386" t="inlineStr">
        <is>
          <t>Hoạt động phái sinh &gt;&gt; Báo cáo về tình hình nhân sự</t>
        </is>
      </c>
      <c r="D921" s="386" t="inlineStr">
        <is>
          <t>Số lượng người có chứng chỉ hành nghề chứng khoán &gt;&gt; Tổng cộng</t>
        </is>
      </c>
      <c r="E921" s="386" t="inlineStr">
        <is>
          <t>Số lượng người có chứng chỉ hành nghề chứng khoán &gt;&gt; Tổng cộng</t>
        </is>
      </c>
      <c r="F921" s="386" t="inlineStr">
        <is>
          <t>Data Explorer</t>
        </is>
      </c>
      <c r="G921" s="386" t="inlineStr">
        <is>
          <t>Chỉ tiêu cơ sở</t>
        </is>
      </c>
      <c r="H921" s="386" t="inlineStr">
        <is>
          <t>TB</t>
        </is>
      </c>
      <c r="I921" s="386" t="inlineStr">
        <is>
          <t>Ngày, CTCK</t>
        </is>
      </c>
      <c r="J921" s="395" t="inlineStr">
        <is>
          <t>SCMS, NHNCK</t>
        </is>
      </c>
      <c r="K921" s="395" t="n"/>
      <c r="L921" s="395" t="inlineStr">
        <is>
          <t>X</t>
        </is>
      </c>
      <c r="M921" s="395" t="n"/>
      <c r="N921" s="395" t="inlineStr">
        <is>
          <t>Pending</t>
        </is>
      </c>
      <c r="O921" s="401" t="n"/>
      <c r="P921" s="395" t="n"/>
      <c r="Q921" s="395" t="n"/>
      <c r="R921" s="395" t="n"/>
      <c r="S921" s="395" t="n"/>
      <c r="T921" s="386" t="n"/>
      <c r="U921" s="386" t="n"/>
      <c r="V921" s="395" t="n"/>
      <c r="W921" s="395" t="n"/>
      <c r="X921" s="395" t="n"/>
      <c r="Y921" s="13" t="n"/>
      <c r="Z921" s="395" t="n"/>
      <c r="AA921" s="395" t="n"/>
      <c r="AB921" s="395" t="n"/>
      <c r="AC921" s="395" t="n"/>
      <c r="AD921" s="395" t="n"/>
      <c r="AE921" s="395" t="n"/>
    </row>
    <row r="922" ht="84" customHeight="1" s="380">
      <c r="A922" s="90" t="n">
        <v>57</v>
      </c>
      <c r="B922" s="386" t="n"/>
      <c r="C922" s="386" t="inlineStr">
        <is>
          <t>Hoạt động phái sinh &gt;&gt; Báo cáo về tình hình nhân sự</t>
        </is>
      </c>
      <c r="D922" s="386" t="inlineStr">
        <is>
          <t>Số lượng người có chứng chỉ chuyên môn về chứng khoán phái sinh và thị trường chứng khoán phái sinh &gt;&gt; Ban giám đốc &gt;&gt; Cuối kỳ</t>
        </is>
      </c>
      <c r="E922" s="386" t="inlineStr">
        <is>
          <t>Số lượng người có chứng chỉ chuyên môn về chứng khoán phái sinh và thị trường chứng khoán phái sinh &gt;&gt; Ban giám đốc &gt;&gt; Cuối kỳ</t>
        </is>
      </c>
      <c r="F922" s="386" t="inlineStr">
        <is>
          <t>Data Explorer</t>
        </is>
      </c>
      <c r="G922" s="386" t="inlineStr">
        <is>
          <t>Chỉ tiêu cơ sở</t>
        </is>
      </c>
      <c r="H922" s="386" t="inlineStr">
        <is>
          <t>TB</t>
        </is>
      </c>
      <c r="I922" s="386" t="inlineStr">
        <is>
          <t>Ngày, CTCK</t>
        </is>
      </c>
      <c r="J922" s="395" t="inlineStr">
        <is>
          <t>SCMS, NHNCK</t>
        </is>
      </c>
      <c r="K922" s="395" t="n"/>
      <c r="L922" s="395" t="inlineStr">
        <is>
          <t>X</t>
        </is>
      </c>
      <c r="M922" s="395" t="n"/>
      <c r="N922" s="395" t="inlineStr">
        <is>
          <t>Pending</t>
        </is>
      </c>
      <c r="O922" s="401" t="n"/>
      <c r="P922" s="395" t="n"/>
      <c r="Q922" s="395" t="n"/>
      <c r="R922" s="395" t="n"/>
      <c r="S922" s="395" t="n"/>
      <c r="T922" s="386" t="n"/>
      <c r="U922" s="386" t="n"/>
      <c r="V922" s="395" t="n"/>
      <c r="W922" s="395" t="n"/>
      <c r="X922" s="395" t="n"/>
      <c r="Y922" s="13" t="n"/>
      <c r="Z922" s="395" t="n"/>
      <c r="AA922" s="395" t="n"/>
      <c r="AB922" s="395" t="n"/>
      <c r="AC922" s="395" t="n"/>
      <c r="AD922" s="395" t="n"/>
      <c r="AE922" s="395" t="n"/>
    </row>
    <row r="923" ht="98" customHeight="1" s="380">
      <c r="A923" s="90" t="n">
        <v>57</v>
      </c>
      <c r="B923" s="386" t="n"/>
      <c r="C923" s="386" t="inlineStr">
        <is>
          <t>Hoạt động phái sinh &gt;&gt; Báo cáo về tình hình nhân sự</t>
        </is>
      </c>
      <c r="D923" s="386" t="inlineStr">
        <is>
          <t>Số lượng người có chứng chỉ chuyên môn về chứng khoán phái sinh và thị trường chứng khoán phái sinh &gt;&gt; Ban giám đốc &gt;&gt; Tăng/giảm so với cuối kỳ trước</t>
        </is>
      </c>
      <c r="E923" s="386" t="inlineStr">
        <is>
          <t>Số lượng người có chứng chỉ chuyên môn về chứng khoán phái sinh và thị trường chứng khoán phái sinh &gt;&gt; Ban giám đốc &gt;&gt; Tăng/giảm so với cuối kỳ trước</t>
        </is>
      </c>
      <c r="F923" s="386" t="inlineStr">
        <is>
          <t>Data Explorer</t>
        </is>
      </c>
      <c r="G923" s="386" t="inlineStr">
        <is>
          <t>Chỉ tiêu cơ sở</t>
        </is>
      </c>
      <c r="H923" s="386" t="inlineStr">
        <is>
          <t>TB</t>
        </is>
      </c>
      <c r="I923" s="386" t="inlineStr">
        <is>
          <t>Ngày, CTCK</t>
        </is>
      </c>
      <c r="J923" s="395" t="inlineStr">
        <is>
          <t>SCMS, NHNCK</t>
        </is>
      </c>
      <c r="K923" s="395" t="n"/>
      <c r="L923" s="395" t="inlineStr">
        <is>
          <t>X</t>
        </is>
      </c>
      <c r="M923" s="395" t="n"/>
      <c r="N923" s="395" t="inlineStr">
        <is>
          <t>Pending</t>
        </is>
      </c>
      <c r="O923" s="401" t="n"/>
      <c r="P923" s="395" t="n"/>
      <c r="Q923" s="395" t="n"/>
      <c r="R923" s="395" t="n"/>
      <c r="S923" s="395" t="n"/>
      <c r="T923" s="386" t="n"/>
      <c r="U923" s="386" t="n"/>
      <c r="V923" s="395" t="n"/>
      <c r="W923" s="395" t="n"/>
      <c r="X923" s="395" t="n"/>
      <c r="Y923" s="14" t="n"/>
      <c r="Z923" s="395" t="n"/>
      <c r="AA923" s="395" t="n"/>
      <c r="AB923" s="395" t="n"/>
      <c r="AC923" s="395" t="n"/>
      <c r="AD923" s="395" t="n"/>
      <c r="AE923" s="395" t="n"/>
    </row>
    <row r="924" ht="112" customHeight="1" s="380">
      <c r="A924" s="90" t="n">
        <v>57</v>
      </c>
      <c r="B924" s="386" t="n"/>
      <c r="C924" s="386" t="inlineStr">
        <is>
          <t>Hoạt động phái sinh &gt;&gt; Báo cáo về tình hình nhân sự</t>
        </is>
      </c>
      <c r="D924" s="386" t="inlineStr">
        <is>
          <t>Số lượng người có chứng chỉ chuyên môn về chứng khoán phái sinh và thị trường chứng khoán phái sinh &gt;&gt; Bộ phận môi giới chứng khoán phái sinh &gt;&gt; Cuối kỳ</t>
        </is>
      </c>
      <c r="E924" s="386" t="inlineStr">
        <is>
          <t>Số lượng người có chứng chỉ chuyên môn về chứng khoán phái sinh và thị trường chứng khoán phái sinh &gt;&gt; Bộ phận môi giới chứng khoán phái sinh &gt;&gt; Cuối kỳ</t>
        </is>
      </c>
      <c r="F924" s="386" t="inlineStr">
        <is>
          <t>Data Explorer</t>
        </is>
      </c>
      <c r="G924" s="386" t="inlineStr">
        <is>
          <t>Chỉ tiêu cơ sở</t>
        </is>
      </c>
      <c r="H924" s="386" t="inlineStr">
        <is>
          <t>TB</t>
        </is>
      </c>
      <c r="I924" s="386" t="inlineStr">
        <is>
          <t>Ngày, CTCK</t>
        </is>
      </c>
      <c r="J924" s="395" t="inlineStr">
        <is>
          <t>SCMS, NHNCK</t>
        </is>
      </c>
      <c r="K924" s="395" t="n"/>
      <c r="L924" s="395" t="inlineStr">
        <is>
          <t>X</t>
        </is>
      </c>
      <c r="M924" s="395" t="n"/>
      <c r="N924" s="395" t="inlineStr">
        <is>
          <t>Pending</t>
        </is>
      </c>
      <c r="O924" s="401" t="n"/>
      <c r="P924" s="395" t="n"/>
      <c r="Q924" s="395" t="n"/>
      <c r="R924" s="395" t="n"/>
      <c r="S924" s="395" t="n"/>
      <c r="T924" s="386" t="n"/>
      <c r="U924" s="386" t="n"/>
      <c r="V924" s="395" t="n"/>
      <c r="W924" s="395" t="n"/>
      <c r="X924" s="395" t="n"/>
      <c r="Y924" s="13" t="n"/>
      <c r="Z924" s="395" t="n"/>
      <c r="AA924" s="395" t="n"/>
      <c r="AB924" s="395" t="n"/>
      <c r="AC924" s="395" t="n"/>
      <c r="AD924" s="395" t="n"/>
      <c r="AE924" s="395" t="n"/>
    </row>
    <row r="925" ht="126" customHeight="1" s="380">
      <c r="A925" s="90" t="n">
        <v>57</v>
      </c>
      <c r="B925" s="386" t="n"/>
      <c r="C925" s="386" t="inlineStr">
        <is>
          <t>Hoạt động phái sinh &gt;&gt; Báo cáo về tình hình nhân sự</t>
        </is>
      </c>
      <c r="D925" s="386" t="inlineStr">
        <is>
          <t>Số lượng người có chứng chỉ chuyên môn về chứng khoán phái sinh và thị trường chứng khoán phái sinh &gt;&gt; Bộ phận môi giới chứng khoán phái sinh &gt;&gt; Tăng/giảm so với cuối kỳ trước</t>
        </is>
      </c>
      <c r="E925" s="386" t="inlineStr">
        <is>
          <t>Số lượng người có chứng chỉ chuyên môn về chứng khoán phái sinh và thị trường chứng khoán phái sinh &gt;&gt; Bộ phận môi giới chứng khoán phái sinh &gt;&gt; Tăng/giảm so với cuối kỳ trước</t>
        </is>
      </c>
      <c r="F925" s="386" t="inlineStr">
        <is>
          <t>Data Explorer</t>
        </is>
      </c>
      <c r="G925" s="386" t="inlineStr">
        <is>
          <t>Chỉ tiêu cơ sở</t>
        </is>
      </c>
      <c r="H925" s="386" t="inlineStr">
        <is>
          <t>TB</t>
        </is>
      </c>
      <c r="I925" s="386" t="inlineStr">
        <is>
          <t>Ngày, CTCK</t>
        </is>
      </c>
      <c r="J925" s="395" t="inlineStr">
        <is>
          <t>SCMS, NHNCK</t>
        </is>
      </c>
      <c r="K925" s="395" t="n"/>
      <c r="L925" s="395" t="inlineStr">
        <is>
          <t>X</t>
        </is>
      </c>
      <c r="M925" s="395" t="n"/>
      <c r="N925" s="395" t="inlineStr">
        <is>
          <t>Pending</t>
        </is>
      </c>
      <c r="O925" s="401" t="n"/>
      <c r="P925" s="395" t="n"/>
      <c r="Q925" s="395" t="n"/>
      <c r="R925" s="395" t="n"/>
      <c r="S925" s="395" t="n"/>
      <c r="T925" s="386" t="n"/>
      <c r="U925" s="386" t="n"/>
      <c r="V925" s="395" t="n"/>
      <c r="W925" s="395" t="n"/>
      <c r="X925" s="395" t="n"/>
      <c r="Y925" s="13" t="n"/>
      <c r="Z925" s="395" t="n"/>
      <c r="AA925" s="395" t="n"/>
      <c r="AB925" s="395" t="n"/>
      <c r="AC925" s="395" t="n"/>
      <c r="AD925" s="395" t="n"/>
      <c r="AE925" s="395" t="n"/>
    </row>
    <row r="926" ht="112" customHeight="1" s="380">
      <c r="A926" s="90" t="n">
        <v>57</v>
      </c>
      <c r="B926" s="386" t="n"/>
      <c r="C926" s="386" t="inlineStr">
        <is>
          <t>Hoạt động phái sinh &gt;&gt; Báo cáo về tình hình nhân sự</t>
        </is>
      </c>
      <c r="D926" s="386" t="inlineStr">
        <is>
          <t>Số lượng người có chứng chỉ chuyên môn về chứng khoán phái sinh và thị trường chứng khoán phái sinh &gt;&gt; Bộ phận tự doanh chứng khoán phái sinh &gt;&gt; Cuối kỳ</t>
        </is>
      </c>
      <c r="E926" s="386" t="inlineStr">
        <is>
          <t>Số lượng người có chứng chỉ chuyên môn về chứng khoán phái sinh và thị trường chứng khoán phái sinh &gt;&gt; Bộ phận tự doanh chứng khoán phái sinh &gt;&gt; Cuối kỳ</t>
        </is>
      </c>
      <c r="F926" s="386" t="inlineStr">
        <is>
          <t>Data Explorer</t>
        </is>
      </c>
      <c r="G926" s="386" t="inlineStr">
        <is>
          <t>Chỉ tiêu cơ sở</t>
        </is>
      </c>
      <c r="H926" s="386" t="inlineStr">
        <is>
          <t>TB</t>
        </is>
      </c>
      <c r="I926" s="386" t="inlineStr">
        <is>
          <t>Ngày, CTCK</t>
        </is>
      </c>
      <c r="J926" s="395" t="inlineStr">
        <is>
          <t>SCMS, NHNCK</t>
        </is>
      </c>
      <c r="K926" s="395" t="n"/>
      <c r="L926" s="395" t="inlineStr">
        <is>
          <t>X</t>
        </is>
      </c>
      <c r="M926" s="395" t="n"/>
      <c r="N926" s="395" t="inlineStr">
        <is>
          <t>Pending</t>
        </is>
      </c>
      <c r="O926" s="401" t="n"/>
      <c r="P926" s="395" t="n"/>
      <c r="Q926" s="395" t="n"/>
      <c r="R926" s="395" t="n"/>
      <c r="S926" s="395" t="n"/>
      <c r="T926" s="386" t="n"/>
      <c r="U926" s="386" t="n"/>
      <c r="V926" s="395" t="n"/>
      <c r="W926" s="395" t="n"/>
      <c r="X926" s="395" t="n"/>
      <c r="Y926" s="13" t="n"/>
      <c r="Z926" s="395" t="n"/>
      <c r="AA926" s="395" t="n"/>
      <c r="AB926" s="395" t="n"/>
      <c r="AC926" s="395" t="n"/>
      <c r="AD926" s="395" t="n"/>
      <c r="AE926" s="395" t="n"/>
    </row>
    <row r="927" ht="126" customHeight="1" s="380">
      <c r="A927" s="90" t="n">
        <v>57</v>
      </c>
      <c r="B927" s="386" t="n"/>
      <c r="C927" s="386" t="inlineStr">
        <is>
          <t>Hoạt động phái sinh &gt;&gt; Báo cáo về tình hình nhân sự</t>
        </is>
      </c>
      <c r="D927" s="386" t="inlineStr">
        <is>
          <t>Số lượng người có chứng chỉ chuyên môn về chứng khoán phái sinh và thị trường chứng khoán phái sinh &gt;&gt; Bộ phận tự doanh chứng khoán phái sinh &gt;&gt; Tăng/giảm so với cuối kỳ trước</t>
        </is>
      </c>
      <c r="E927" s="386" t="inlineStr">
        <is>
          <t>Số lượng người có chứng chỉ chuyên môn về chứng khoán phái sinh và thị trường chứng khoán phái sinh &gt;&gt; Bộ phận tự doanh chứng khoán phái sinh &gt;&gt; Tăng/giảm so với cuối kỳ trước</t>
        </is>
      </c>
      <c r="F927" s="386" t="inlineStr">
        <is>
          <t>Data Explorer</t>
        </is>
      </c>
      <c r="G927" s="386" t="inlineStr">
        <is>
          <t>Chỉ tiêu cơ sở</t>
        </is>
      </c>
      <c r="H927" s="386" t="inlineStr">
        <is>
          <t>TB</t>
        </is>
      </c>
      <c r="I927" s="386" t="inlineStr">
        <is>
          <t>Ngày, CTCK</t>
        </is>
      </c>
      <c r="J927" s="395" t="inlineStr">
        <is>
          <t>SCMS, NHNCK</t>
        </is>
      </c>
      <c r="K927" s="395" t="n"/>
      <c r="L927" s="395" t="inlineStr">
        <is>
          <t>X</t>
        </is>
      </c>
      <c r="M927" s="395" t="n"/>
      <c r="N927" s="395" t="inlineStr">
        <is>
          <t>Pending</t>
        </is>
      </c>
      <c r="O927" s="401" t="n"/>
      <c r="P927" s="395" t="n"/>
      <c r="Q927" s="395" t="n"/>
      <c r="R927" s="395" t="n"/>
      <c r="S927" s="395" t="n"/>
      <c r="T927" s="386" t="n"/>
      <c r="U927" s="386" t="n"/>
      <c r="V927" s="395" t="n"/>
      <c r="W927" s="395" t="n"/>
      <c r="X927" s="395" t="n"/>
      <c r="Y927" s="13" t="n"/>
      <c r="Z927" s="395" t="n"/>
      <c r="AA927" s="395" t="n"/>
      <c r="AB927" s="395" t="n"/>
      <c r="AC927" s="395" t="n"/>
      <c r="AD927" s="395" t="n"/>
      <c r="AE927" s="395" t="n"/>
    </row>
    <row r="928" ht="112" customHeight="1" s="380">
      <c r="A928" s="90" t="n">
        <v>57</v>
      </c>
      <c r="B928" s="386" t="n"/>
      <c r="C928" s="386" t="inlineStr">
        <is>
          <t>Hoạt động phái sinh &gt;&gt; Báo cáo về tình hình nhân sự</t>
        </is>
      </c>
      <c r="D928" s="386" t="inlineStr">
        <is>
          <t>Số lượng người có chứng chỉ chuyên môn về chứng khoán phái sinh và thị trường chứng khoán phái sinh &gt;&gt; Bộ phận tư vấn đầu tư chứng khoán phái sinh &gt;&gt; Cuối kỳ</t>
        </is>
      </c>
      <c r="E928" s="386" t="inlineStr">
        <is>
          <t>Số lượng người có chứng chỉ chuyên môn về chứng khoán phái sinh và thị trường chứng khoán phái sinh &gt;&gt; Bộ phận tư vấn đầu tư chứng khoán phái sinh &gt;&gt; Cuối kỳ</t>
        </is>
      </c>
      <c r="F928" s="386" t="inlineStr">
        <is>
          <t>Data Explorer</t>
        </is>
      </c>
      <c r="G928" s="386" t="inlineStr">
        <is>
          <t>Chỉ tiêu cơ sở</t>
        </is>
      </c>
      <c r="H928" s="386" t="inlineStr">
        <is>
          <t>TB</t>
        </is>
      </c>
      <c r="I928" s="386" t="inlineStr">
        <is>
          <t>Ngày, CTCK</t>
        </is>
      </c>
      <c r="J928" s="395" t="inlineStr">
        <is>
          <t>SCMS, NHNCK</t>
        </is>
      </c>
      <c r="K928" s="395" t="n"/>
      <c r="L928" s="395" t="inlineStr">
        <is>
          <t>X</t>
        </is>
      </c>
      <c r="M928" s="395" t="n"/>
      <c r="N928" s="395" t="inlineStr">
        <is>
          <t>Pending</t>
        </is>
      </c>
      <c r="O928" s="401" t="n"/>
      <c r="P928" s="395" t="n"/>
      <c r="Q928" s="395" t="n"/>
      <c r="R928" s="395" t="n"/>
      <c r="S928" s="395" t="n"/>
      <c r="T928" s="386" t="n"/>
      <c r="U928" s="386" t="n"/>
      <c r="V928" s="395" t="n"/>
      <c r="W928" s="395" t="n"/>
      <c r="X928" s="395" t="n"/>
      <c r="Y928" s="13" t="n"/>
      <c r="Z928" s="395" t="n"/>
      <c r="AA928" s="395" t="n"/>
      <c r="AB928" s="395" t="n"/>
      <c r="AC928" s="395" t="n"/>
      <c r="AD928" s="395" t="n"/>
      <c r="AE928" s="395" t="n"/>
    </row>
    <row r="929" ht="126" customHeight="1" s="380">
      <c r="A929" s="90" t="n">
        <v>57</v>
      </c>
      <c r="B929" s="386" t="n"/>
      <c r="C929" s="386" t="inlineStr">
        <is>
          <t>Hoạt động phái sinh &gt;&gt; Báo cáo về tình hình nhân sự</t>
        </is>
      </c>
      <c r="D929" s="386" t="inlineStr">
        <is>
          <t>Số lượng người có chứng chỉ chuyên môn về chứng khoán phái sinh và thị trường chứng khoán phái sinh &gt;&gt; Bộ phận tư vấn đầu tư chứng khoán phái sinh &gt;&gt; Tăng/giảm so với cuối kỳ trước</t>
        </is>
      </c>
      <c r="E929" s="386" t="inlineStr">
        <is>
          <t>Số lượng người có chứng chỉ chuyên môn về chứng khoán phái sinh và thị trường chứng khoán phái sinh &gt;&gt; Bộ phận tư vấn đầu tư chứng khoán phái sinh &gt;&gt; Tăng/giảm so với cuối kỳ trước</t>
        </is>
      </c>
      <c r="F929" s="386" t="inlineStr">
        <is>
          <t>Data Explorer</t>
        </is>
      </c>
      <c r="G929" s="386" t="inlineStr">
        <is>
          <t>Chỉ tiêu cơ sở</t>
        </is>
      </c>
      <c r="H929" s="386" t="inlineStr">
        <is>
          <t>TB</t>
        </is>
      </c>
      <c r="I929" s="386" t="inlineStr">
        <is>
          <t>Ngày, CTCK</t>
        </is>
      </c>
      <c r="J929" s="395" t="inlineStr">
        <is>
          <t>SCMS, NHNCK</t>
        </is>
      </c>
      <c r="K929" s="395" t="n"/>
      <c r="L929" s="395" t="inlineStr">
        <is>
          <t>X</t>
        </is>
      </c>
      <c r="M929" s="395" t="n"/>
      <c r="N929" s="395" t="inlineStr">
        <is>
          <t>Pending</t>
        </is>
      </c>
      <c r="O929" s="401" t="n"/>
      <c r="P929" s="395" t="n"/>
      <c r="Q929" s="395" t="n"/>
      <c r="R929" s="395" t="n"/>
      <c r="S929" s="395" t="n"/>
      <c r="T929" s="386" t="n"/>
      <c r="U929" s="386" t="n"/>
      <c r="V929" s="395" t="n"/>
      <c r="W929" s="395" t="n"/>
      <c r="X929" s="395" t="n"/>
      <c r="Y929" s="38" t="n"/>
      <c r="Z929" s="395" t="n"/>
      <c r="AA929" s="395" t="n"/>
      <c r="AB929" s="395" t="n"/>
      <c r="AC929" s="395" t="n"/>
      <c r="AD929" s="395" t="n"/>
      <c r="AE929" s="395" t="n"/>
    </row>
    <row r="930" ht="84" customHeight="1" s="380">
      <c r="A930" s="90" t="n">
        <v>57</v>
      </c>
      <c r="B930" s="386" t="n"/>
      <c r="C930" s="386" t="inlineStr">
        <is>
          <t>Hoạt động phái sinh &gt;&gt; Báo cáo về tình hình nhân sự</t>
        </is>
      </c>
      <c r="D930" s="386" t="inlineStr">
        <is>
          <t>Số lượng người có chứng chỉ chuyên môn về chứng khoán phái sinh và thị trường chứng khoán phái sinh &gt;&gt; Tổng cộng</t>
        </is>
      </c>
      <c r="E930" s="386" t="inlineStr">
        <is>
          <t>Số lượng người có chứng chỉ chuyên môn về chứng khoán phái sinh và thị trường chứng khoán phái sinh &gt;&gt; Tổng cộng</t>
        </is>
      </c>
      <c r="F930" s="386" t="inlineStr">
        <is>
          <t>Data Explorer</t>
        </is>
      </c>
      <c r="G930" s="386" t="inlineStr">
        <is>
          <t>Chỉ tiêu cơ sở</t>
        </is>
      </c>
      <c r="H930" s="386" t="inlineStr">
        <is>
          <t>TB</t>
        </is>
      </c>
      <c r="I930" s="386" t="inlineStr">
        <is>
          <t>Ngày, CTCK</t>
        </is>
      </c>
      <c r="J930" s="395" t="inlineStr">
        <is>
          <t>SCMS, NHNCK</t>
        </is>
      </c>
      <c r="K930" s="395" t="n"/>
      <c r="L930" s="395" t="inlineStr">
        <is>
          <t>X</t>
        </is>
      </c>
      <c r="M930" s="395" t="n"/>
      <c r="N930" s="395" t="inlineStr">
        <is>
          <t>Pending</t>
        </is>
      </c>
      <c r="O930" s="401" t="n"/>
      <c r="P930" s="395" t="n"/>
      <c r="Q930" s="395" t="n"/>
      <c r="R930" s="395" t="n"/>
      <c r="S930" s="395" t="n"/>
      <c r="T930" s="386" t="n"/>
      <c r="U930" s="386" t="n"/>
      <c r="V930" s="395" t="n"/>
      <c r="W930" s="395" t="n"/>
      <c r="X930" s="395" t="n"/>
      <c r="Y930" s="13" t="n"/>
      <c r="Z930" s="395" t="n"/>
      <c r="AA930" s="395" t="n"/>
      <c r="AB930" s="395" t="n"/>
      <c r="AC930" s="395" t="n"/>
      <c r="AD930" s="395" t="n"/>
      <c r="AE930" s="395" t="n"/>
    </row>
    <row r="931" ht="42" customHeight="1" s="380">
      <c r="A931" s="91" t="n">
        <v>57</v>
      </c>
      <c r="B931" s="68" t="n"/>
      <c r="C931" s="68" t="inlineStr">
        <is>
          <t>Hoạt động phái sinh &gt;&gt; Báo cáo về tình hình nhân sự</t>
        </is>
      </c>
      <c r="D931" s="68" t="inlineStr">
        <is>
          <t>Tổng cộng</t>
        </is>
      </c>
      <c r="E931" s="69" t="inlineStr">
        <is>
          <t>Tổng cộng</t>
        </is>
      </c>
      <c r="F931" s="68" t="inlineStr">
        <is>
          <t>Data Explorer</t>
        </is>
      </c>
      <c r="G931" s="68" t="inlineStr">
        <is>
          <t>Chỉ tiêu cơ sở</t>
        </is>
      </c>
      <c r="H931" s="68" t="inlineStr">
        <is>
          <t>TB</t>
        </is>
      </c>
      <c r="I931" s="68" t="inlineStr">
        <is>
          <t>Ngày, CTCK</t>
        </is>
      </c>
      <c r="J931" s="69" t="inlineStr">
        <is>
          <t>SCMS, NHNCK</t>
        </is>
      </c>
      <c r="K931" s="69" t="n"/>
      <c r="L931" s="69" t="inlineStr">
        <is>
          <t>X</t>
        </is>
      </c>
      <c r="M931" s="69" t="n"/>
      <c r="N931" s="69" t="inlineStr">
        <is>
          <t>Pending</t>
        </is>
      </c>
      <c r="O931" s="85" t="n"/>
      <c r="P931" s="69" t="n"/>
      <c r="Q931" s="69" t="n"/>
      <c r="R931" s="69" t="n"/>
      <c r="S931" s="69" t="n"/>
      <c r="T931" s="68" t="n"/>
      <c r="U931" s="68" t="n"/>
      <c r="V931" s="69" t="n"/>
      <c r="W931" s="69" t="n"/>
      <c r="X931" s="69" t="n"/>
      <c r="Y931" s="97" t="n"/>
      <c r="Z931" s="69" t="n"/>
      <c r="AA931" s="69" t="n"/>
      <c r="AB931" s="69" t="n"/>
      <c r="AC931" s="69" t="n"/>
      <c r="AD931" s="69" t="n"/>
      <c r="AE931" s="69" t="n"/>
    </row>
    <row r="932" ht="42" customHeight="1" s="380">
      <c r="A932" s="90" t="n">
        <v>58</v>
      </c>
      <c r="B932" s="100" t="inlineStr">
        <is>
          <t>Nga</t>
        </is>
      </c>
      <c r="C932" s="81" t="inlineStr">
        <is>
          <t>Hoạt động phái sinh &gt;&gt; Báo cáo về số tài khoản phái sinh</t>
        </is>
      </c>
      <c r="D932" s="106" t="inlineStr">
        <is>
          <t>Loại báo cáo</t>
        </is>
      </c>
      <c r="E932" s="107" t="inlineStr">
        <is>
          <t>Loại báo cáo</t>
        </is>
      </c>
      <c r="F932" s="390" t="inlineStr">
        <is>
          <t>Data Explorer</t>
        </is>
      </c>
      <c r="G932" s="390" t="inlineStr">
        <is>
          <t>Chiều</t>
        </is>
      </c>
      <c r="H932" s="390" t="inlineStr">
        <is>
          <t>Dễ</t>
        </is>
      </c>
      <c r="I932" s="390" t="inlineStr">
        <is>
          <t>Ngày, CTCK</t>
        </is>
      </c>
      <c r="J932" s="401" t="inlineStr">
        <is>
          <t>SCMS</t>
        </is>
      </c>
      <c r="K932" s="401" t="inlineStr">
        <is>
          <t>X</t>
        </is>
      </c>
      <c r="L932" s="395" t="inlineStr">
        <is>
          <t>X</t>
        </is>
      </c>
      <c r="M932" s="401" t="n"/>
      <c r="N932" s="395" t="inlineStr">
        <is>
          <t>Pending</t>
        </is>
      </c>
      <c r="O932" s="401" t="n"/>
      <c r="P932" s="395" t="n"/>
      <c r="Q932" s="105" t="inlineStr">
        <is>
          <t>DB cũ không thấy biểu mẫu báo cáo này</t>
        </is>
      </c>
      <c r="R932" s="395" t="n"/>
      <c r="S932" s="395" t="n"/>
      <c r="T932" s="386" t="n"/>
      <c r="U932" s="386" t="n"/>
      <c r="V932" s="395" t="n"/>
      <c r="W932" s="395" t="n"/>
      <c r="X932" s="395" t="n"/>
      <c r="Y932" s="13" t="n"/>
      <c r="Z932" s="395" t="n"/>
      <c r="AA932" s="395" t="n"/>
      <c r="AB932" s="395" t="n"/>
      <c r="AC932" s="395" t="n"/>
      <c r="AD932" s="395" t="n"/>
      <c r="AE932" s="395" t="n"/>
    </row>
    <row r="933" ht="42" customHeight="1" s="380">
      <c r="A933" s="90" t="n">
        <v>58</v>
      </c>
      <c r="B933" s="386" t="n"/>
      <c r="C933" s="386" t="inlineStr">
        <is>
          <t>Hoạt động phái sinh &gt;&gt; Báo cáo về số tài khoản phái sinh</t>
        </is>
      </c>
      <c r="D933" s="106" t="inlineStr">
        <is>
          <t>Kỳ báo cáo</t>
        </is>
      </c>
      <c r="E933" s="107" t="inlineStr">
        <is>
          <t>Kỳ báo cáo</t>
        </is>
      </c>
      <c r="F933" s="390" t="inlineStr">
        <is>
          <t>Data Explorer</t>
        </is>
      </c>
      <c r="G933" s="390" t="inlineStr">
        <is>
          <t>Chiều</t>
        </is>
      </c>
      <c r="H933" s="390" t="inlineStr">
        <is>
          <t>Dễ</t>
        </is>
      </c>
      <c r="I933" s="390" t="inlineStr">
        <is>
          <t>Ngày, CTCK</t>
        </is>
      </c>
      <c r="J933" s="401" t="inlineStr">
        <is>
          <t>SCMS</t>
        </is>
      </c>
      <c r="K933" s="401" t="inlineStr">
        <is>
          <t>X</t>
        </is>
      </c>
      <c r="L933" s="395" t="inlineStr">
        <is>
          <t>X</t>
        </is>
      </c>
      <c r="M933" s="401" t="n"/>
      <c r="N933" s="395" t="inlineStr">
        <is>
          <t>Pending</t>
        </is>
      </c>
      <c r="O933" s="401" t="n"/>
      <c r="P933" s="395" t="n"/>
      <c r="Q933" s="395" t="n"/>
      <c r="R933" s="395" t="n"/>
      <c r="S933" s="395" t="n"/>
      <c r="T933" s="386" t="n"/>
      <c r="U933" s="386" t="n"/>
      <c r="V933" s="395" t="n"/>
      <c r="W933" s="395" t="n"/>
      <c r="X933" s="395" t="n"/>
      <c r="Y933" s="13" t="n"/>
      <c r="Z933" s="395" t="n"/>
      <c r="AA933" s="395" t="n"/>
      <c r="AB933" s="395" t="n"/>
      <c r="AC933" s="395" t="n"/>
      <c r="AD933" s="395" t="n"/>
      <c r="AE933" s="395" t="n"/>
    </row>
    <row r="934" ht="42" customHeight="1" s="380">
      <c r="A934" s="90" t="n">
        <v>58</v>
      </c>
      <c r="B934" s="386" t="n"/>
      <c r="C934" s="386" t="inlineStr">
        <is>
          <t>Hoạt động phái sinh &gt;&gt; Báo cáo về số tài khoản phái sinh</t>
        </is>
      </c>
      <c r="D934" s="106" t="inlineStr">
        <is>
          <t>Mã báo cáo</t>
        </is>
      </c>
      <c r="E934" s="107" t="inlineStr">
        <is>
          <t>Mã báo cáo</t>
        </is>
      </c>
      <c r="F934" s="390" t="inlineStr">
        <is>
          <t>Data Explorer</t>
        </is>
      </c>
      <c r="G934" s="390" t="inlineStr">
        <is>
          <t>Chiều</t>
        </is>
      </c>
      <c r="H934" s="390" t="inlineStr">
        <is>
          <t>Dễ</t>
        </is>
      </c>
      <c r="I934" s="390" t="inlineStr">
        <is>
          <t>Ngày, CTCK</t>
        </is>
      </c>
      <c r="J934" s="401" t="inlineStr">
        <is>
          <t>SCMS</t>
        </is>
      </c>
      <c r="K934" s="401" t="inlineStr">
        <is>
          <t>X</t>
        </is>
      </c>
      <c r="L934" s="395" t="inlineStr">
        <is>
          <t>X</t>
        </is>
      </c>
      <c r="M934" s="401" t="n"/>
      <c r="N934" s="395" t="inlineStr">
        <is>
          <t>Pending</t>
        </is>
      </c>
      <c r="O934" s="401" t="n"/>
      <c r="P934" s="395" t="n"/>
      <c r="Q934" s="395" t="n"/>
      <c r="R934" s="395" t="n"/>
      <c r="S934" s="395" t="n"/>
      <c r="T934" s="386" t="n"/>
      <c r="U934" s="386" t="n"/>
      <c r="V934" s="395" t="n"/>
      <c r="W934" s="395" t="n"/>
      <c r="X934" s="395" t="n"/>
      <c r="Y934" s="13" t="n"/>
      <c r="Z934" s="395" t="n"/>
      <c r="AA934" s="395" t="n"/>
      <c r="AB934" s="395" t="n"/>
      <c r="AC934" s="395" t="n"/>
      <c r="AD934" s="395" t="n"/>
      <c r="AE934" s="395" t="n"/>
    </row>
    <row r="935" ht="42" customHeight="1" s="380">
      <c r="A935" s="90" t="n">
        <v>58</v>
      </c>
      <c r="B935" s="386" t="n"/>
      <c r="C935" s="386" t="inlineStr">
        <is>
          <t>Hoạt động phái sinh &gt;&gt; Báo cáo về số tài khoản phái sinh</t>
        </is>
      </c>
      <c r="D935" s="106" t="inlineStr">
        <is>
          <t>Tên báo cáo</t>
        </is>
      </c>
      <c r="E935" s="107" t="inlineStr">
        <is>
          <t>Tên báo cáo</t>
        </is>
      </c>
      <c r="F935" s="390" t="inlineStr">
        <is>
          <t>Data Explorer</t>
        </is>
      </c>
      <c r="G935" s="390" t="inlineStr">
        <is>
          <t>Chiều</t>
        </is>
      </c>
      <c r="H935" s="390" t="inlineStr">
        <is>
          <t>Dễ</t>
        </is>
      </c>
      <c r="I935" s="390" t="inlineStr">
        <is>
          <t>Ngày, CTCK</t>
        </is>
      </c>
      <c r="J935" s="401" t="inlineStr">
        <is>
          <t>SCMS</t>
        </is>
      </c>
      <c r="K935" s="401" t="inlineStr">
        <is>
          <t>X</t>
        </is>
      </c>
      <c r="L935" s="395" t="inlineStr">
        <is>
          <t>X</t>
        </is>
      </c>
      <c r="M935" s="401" t="n"/>
      <c r="N935" s="395" t="inlineStr">
        <is>
          <t>Pending</t>
        </is>
      </c>
      <c r="O935" s="401" t="n"/>
      <c r="P935" s="395" t="n"/>
      <c r="Q935" s="395" t="n"/>
      <c r="R935" s="395" t="n"/>
      <c r="S935" s="395" t="n"/>
      <c r="T935" s="386" t="n"/>
      <c r="U935" s="386" t="n"/>
      <c r="V935" s="395" t="n"/>
      <c r="W935" s="395" t="n"/>
      <c r="X935" s="395" t="n"/>
      <c r="Y935" s="38" t="n"/>
      <c r="Z935" s="395" t="n"/>
      <c r="AA935" s="395" t="n"/>
      <c r="AB935" s="395" t="n"/>
      <c r="AC935" s="395" t="n"/>
      <c r="AD935" s="395" t="n"/>
      <c r="AE935" s="395" t="n"/>
    </row>
    <row r="936" ht="42" customHeight="1" s="380">
      <c r="A936" s="90" t="n">
        <v>58</v>
      </c>
      <c r="B936" s="386" t="n"/>
      <c r="C936" s="386" t="inlineStr">
        <is>
          <t>Hoạt động phái sinh &gt;&gt; Báo cáo về số tài khoản phái sinh</t>
        </is>
      </c>
      <c r="D936" s="106" t="inlineStr">
        <is>
          <t>Mã chỉ tiêu</t>
        </is>
      </c>
      <c r="E936" s="107" t="inlineStr">
        <is>
          <t>Mã chỉ tiêu</t>
        </is>
      </c>
      <c r="F936" s="390" t="inlineStr">
        <is>
          <t>Data Explorer</t>
        </is>
      </c>
      <c r="G936" s="390" t="inlineStr">
        <is>
          <t>Chiều</t>
        </is>
      </c>
      <c r="H936" s="390" t="inlineStr">
        <is>
          <t>Dễ</t>
        </is>
      </c>
      <c r="I936" s="390" t="inlineStr">
        <is>
          <t>Ngày, CTCK</t>
        </is>
      </c>
      <c r="J936" s="401" t="inlineStr">
        <is>
          <t>SCMS</t>
        </is>
      </c>
      <c r="K936" s="401" t="inlineStr">
        <is>
          <t>X</t>
        </is>
      </c>
      <c r="L936" s="395" t="inlineStr">
        <is>
          <t>X</t>
        </is>
      </c>
      <c r="M936" s="401" t="n"/>
      <c r="N936" s="395" t="inlineStr">
        <is>
          <t>Pending</t>
        </is>
      </c>
      <c r="O936" s="401" t="n"/>
      <c r="P936" s="395" t="n"/>
      <c r="Q936" s="395" t="n"/>
      <c r="R936" s="395" t="n"/>
      <c r="S936" s="395" t="n"/>
      <c r="T936" s="386" t="n"/>
      <c r="U936" s="386" t="n"/>
      <c r="V936" s="395" t="n"/>
      <c r="W936" s="395" t="n"/>
      <c r="X936" s="395" t="n"/>
      <c r="Y936" s="13" t="n"/>
      <c r="Z936" s="395" t="n"/>
      <c r="AA936" s="395" t="n"/>
      <c r="AB936" s="395" t="n"/>
      <c r="AC936" s="395" t="n"/>
      <c r="AD936" s="395" t="n"/>
      <c r="AE936" s="395" t="n"/>
    </row>
    <row r="937" ht="42" customHeight="1" s="380">
      <c r="A937" s="90" t="n">
        <v>58</v>
      </c>
      <c r="B937" s="386" t="n"/>
      <c r="C937" s="386" t="inlineStr">
        <is>
          <t>Hoạt động phái sinh &gt;&gt; Báo cáo về số tài khoản phái sinh</t>
        </is>
      </c>
      <c r="D937" s="106" t="inlineStr">
        <is>
          <t>Tên chỉ tiêu</t>
        </is>
      </c>
      <c r="E937" s="107" t="inlineStr">
        <is>
          <t>Tên chỉ tiêu</t>
        </is>
      </c>
      <c r="F937" s="390" t="inlineStr">
        <is>
          <t>Data Explorer</t>
        </is>
      </c>
      <c r="G937" s="390" t="inlineStr">
        <is>
          <t>Chiều</t>
        </is>
      </c>
      <c r="H937" s="390" t="inlineStr">
        <is>
          <t>Dễ</t>
        </is>
      </c>
      <c r="I937" s="390" t="inlineStr">
        <is>
          <t>Ngày, CTCK</t>
        </is>
      </c>
      <c r="J937" s="401" t="inlineStr">
        <is>
          <t>SCMS</t>
        </is>
      </c>
      <c r="K937" s="401" t="inlineStr">
        <is>
          <t>X</t>
        </is>
      </c>
      <c r="L937" s="395" t="inlineStr">
        <is>
          <t>X</t>
        </is>
      </c>
      <c r="M937" s="401" t="n"/>
      <c r="N937" s="395" t="inlineStr">
        <is>
          <t>Pending</t>
        </is>
      </c>
      <c r="O937" s="401" t="n"/>
      <c r="P937" s="395" t="n"/>
      <c r="Q937" s="395" t="n"/>
      <c r="R937" s="395" t="n"/>
      <c r="S937" s="395" t="n"/>
      <c r="T937" s="386" t="n"/>
      <c r="U937" s="386" t="n"/>
      <c r="V937" s="395" t="n"/>
      <c r="W937" s="395" t="n"/>
      <c r="X937" s="395" t="n"/>
      <c r="Y937" s="13" t="n"/>
      <c r="Z937" s="395" t="n"/>
      <c r="AA937" s="395" t="n"/>
      <c r="AB937" s="395" t="n"/>
      <c r="AC937" s="395" t="n"/>
      <c r="AD937" s="395" t="n"/>
      <c r="AE937" s="395" t="n"/>
    </row>
    <row r="938" ht="42" customHeight="1" s="380">
      <c r="A938" s="90" t="n">
        <v>58</v>
      </c>
      <c r="B938" s="386" t="n"/>
      <c r="C938" s="386" t="inlineStr">
        <is>
          <t>Hoạt động phái sinh &gt;&gt; Báo cáo về số tài khoản phái sinh</t>
        </is>
      </c>
      <c r="D938" s="386" t="inlineStr">
        <is>
          <t>Tên công ty chứng khoán</t>
        </is>
      </c>
      <c r="E938" s="395" t="inlineStr">
        <is>
          <t>Tên công ty chứng khoán</t>
        </is>
      </c>
      <c r="F938" s="386" t="inlineStr">
        <is>
          <t>Data Explorer</t>
        </is>
      </c>
      <c r="G938" s="386" t="inlineStr">
        <is>
          <t>Chỉ tiêu cơ sở</t>
        </is>
      </c>
      <c r="H938" s="386" t="inlineStr">
        <is>
          <t>Dễ</t>
        </is>
      </c>
      <c r="I938" s="386" t="inlineStr">
        <is>
          <t>Ngày, CTCK</t>
        </is>
      </c>
      <c r="J938" s="395" t="inlineStr">
        <is>
          <t>SCMS</t>
        </is>
      </c>
      <c r="K938" s="395" t="n"/>
      <c r="L938" s="395" t="inlineStr">
        <is>
          <t>X</t>
        </is>
      </c>
      <c r="M938" s="395" t="n"/>
      <c r="N938" s="395" t="inlineStr">
        <is>
          <t>Pending</t>
        </is>
      </c>
      <c r="O938" s="401" t="n"/>
      <c r="P938" s="395" t="n"/>
      <c r="Q938" s="395" t="n"/>
      <c r="R938" s="395" t="n"/>
      <c r="S938" s="395" t="n"/>
      <c r="T938" s="386" t="n"/>
      <c r="U938" s="386" t="n"/>
      <c r="V938" s="395" t="n"/>
      <c r="W938" s="395" t="n"/>
      <c r="X938" s="395" t="n"/>
      <c r="Y938" s="13" t="n"/>
      <c r="Z938" s="395" t="n"/>
      <c r="AA938" s="395" t="n"/>
      <c r="AB938" s="395" t="n"/>
      <c r="AC938" s="395" t="n"/>
      <c r="AD938" s="395" t="n"/>
      <c r="AE938" s="395" t="n"/>
    </row>
    <row r="939" ht="42" customHeight="1" s="380">
      <c r="A939" s="90" t="n">
        <v>58</v>
      </c>
      <c r="B939" s="386" t="n"/>
      <c r="C939" s="386" t="inlineStr">
        <is>
          <t>Hoạt động phái sinh &gt;&gt; Báo cáo về số tài khoản phái sinh</t>
        </is>
      </c>
      <c r="D939" s="386" t="inlineStr">
        <is>
          <t>Sàn giao dịch</t>
        </is>
      </c>
      <c r="E939" s="395" t="inlineStr">
        <is>
          <t>Sàn giao dịch</t>
        </is>
      </c>
      <c r="F939" s="386" t="inlineStr">
        <is>
          <t>Data Explorer</t>
        </is>
      </c>
      <c r="G939" s="386" t="inlineStr">
        <is>
          <t>Chỉ tiêu cơ sở</t>
        </is>
      </c>
      <c r="H939" s="386" t="inlineStr">
        <is>
          <t>Dễ</t>
        </is>
      </c>
      <c r="I939" s="386" t="inlineStr">
        <is>
          <t>Ngày, CTCK</t>
        </is>
      </c>
      <c r="J939" s="395" t="inlineStr">
        <is>
          <t>SCMS</t>
        </is>
      </c>
      <c r="K939" s="395" t="n"/>
      <c r="L939" s="395" t="inlineStr">
        <is>
          <t>X</t>
        </is>
      </c>
      <c r="M939" s="395" t="n"/>
      <c r="N939" s="395" t="inlineStr">
        <is>
          <t>Pending</t>
        </is>
      </c>
      <c r="O939" s="401" t="n"/>
      <c r="P939" s="395" t="n"/>
      <c r="Q939" s="395" t="n"/>
      <c r="R939" s="395" t="n"/>
      <c r="S939" s="395" t="n"/>
      <c r="T939" s="386" t="n"/>
      <c r="U939" s="386" t="n"/>
      <c r="V939" s="395" t="n"/>
      <c r="W939" s="395" t="n"/>
      <c r="X939" s="395" t="n"/>
      <c r="Y939" s="13" t="n"/>
      <c r="Z939" s="395" t="n"/>
      <c r="AA939" s="395" t="n"/>
      <c r="AB939" s="395" t="n"/>
      <c r="AC939" s="395" t="n"/>
      <c r="AD939" s="395" t="n"/>
      <c r="AE939" s="395" t="n"/>
    </row>
    <row r="940" ht="42" customHeight="1" s="380">
      <c r="A940" s="90" t="n">
        <v>58</v>
      </c>
      <c r="B940" s="386" t="n"/>
      <c r="C940" s="386" t="inlineStr">
        <is>
          <t>Hoạt động phái sinh &gt;&gt; Báo cáo về số tài khoản phái sinh</t>
        </is>
      </c>
      <c r="D940" s="386" t="inlineStr">
        <is>
          <t>Mã chứng khoán</t>
        </is>
      </c>
      <c r="E940" s="395" t="inlineStr">
        <is>
          <t>Mã chứng khoán</t>
        </is>
      </c>
      <c r="F940" s="386" t="inlineStr">
        <is>
          <t>Data Explorer</t>
        </is>
      </c>
      <c r="G940" s="386" t="inlineStr">
        <is>
          <t>Chỉ tiêu cơ sở</t>
        </is>
      </c>
      <c r="H940" s="386" t="inlineStr">
        <is>
          <t>Dễ</t>
        </is>
      </c>
      <c r="I940" s="386" t="inlineStr">
        <is>
          <t>Ngày, CTCK</t>
        </is>
      </c>
      <c r="J940" s="395" t="inlineStr">
        <is>
          <t>SCMS</t>
        </is>
      </c>
      <c r="K940" s="395" t="n"/>
      <c r="L940" s="395" t="inlineStr">
        <is>
          <t>X</t>
        </is>
      </c>
      <c r="M940" s="395" t="n"/>
      <c r="N940" s="395" t="inlineStr">
        <is>
          <t>Pending</t>
        </is>
      </c>
      <c r="O940" s="401" t="n"/>
      <c r="P940" s="395" t="n"/>
      <c r="Q940" s="395" t="n"/>
      <c r="R940" s="395" t="n"/>
      <c r="S940" s="395" t="n"/>
      <c r="T940" s="386" t="n"/>
      <c r="U940" s="386" t="n"/>
      <c r="V940" s="395" t="n"/>
      <c r="W940" s="395" t="n"/>
      <c r="X940" s="395" t="n"/>
      <c r="Y940" s="13" t="n"/>
      <c r="Z940" s="395" t="n"/>
      <c r="AA940" s="395" t="n"/>
      <c r="AB940" s="395" t="n"/>
      <c r="AC940" s="395" t="n"/>
      <c r="AD940" s="395" t="n"/>
      <c r="AE940" s="395" t="n"/>
    </row>
    <row r="941" ht="42" customHeight="1" s="380">
      <c r="A941" s="90" t="n">
        <v>58</v>
      </c>
      <c r="B941" s="386" t="n"/>
      <c r="C941" s="386" t="inlineStr">
        <is>
          <t>Hoạt động phái sinh &gt;&gt; Báo cáo về số tài khoản phái sinh</t>
        </is>
      </c>
      <c r="D941" s="386" t="inlineStr">
        <is>
          <t>Số giấy phép thành lập</t>
        </is>
      </c>
      <c r="E941" s="395" t="inlineStr">
        <is>
          <t>Số giấy phép thành lập</t>
        </is>
      </c>
      <c r="F941" s="386" t="inlineStr">
        <is>
          <t>Data Explorer</t>
        </is>
      </c>
      <c r="G941" s="386" t="inlineStr">
        <is>
          <t>Chỉ tiêu cơ sở</t>
        </is>
      </c>
      <c r="H941" s="386" t="inlineStr">
        <is>
          <t>Dễ</t>
        </is>
      </c>
      <c r="I941" s="386" t="inlineStr">
        <is>
          <t>Ngày, CTCK</t>
        </is>
      </c>
      <c r="J941" s="395" t="inlineStr">
        <is>
          <t>SCMS</t>
        </is>
      </c>
      <c r="K941" s="395" t="n"/>
      <c r="L941" s="395" t="inlineStr">
        <is>
          <t>X</t>
        </is>
      </c>
      <c r="M941" s="395" t="n"/>
      <c r="N941" s="395" t="inlineStr">
        <is>
          <t>Pending</t>
        </is>
      </c>
      <c r="O941" s="401" t="n"/>
      <c r="P941" s="395" t="n"/>
      <c r="Q941" s="395" t="n"/>
      <c r="R941" s="395" t="n"/>
      <c r="S941" s="395" t="n"/>
      <c r="T941" s="386" t="n"/>
      <c r="U941" s="386" t="n"/>
      <c r="V941" s="395" t="n"/>
      <c r="W941" s="395" t="n"/>
      <c r="X941" s="395" t="n"/>
      <c r="Y941" s="38" t="n"/>
      <c r="Z941" s="395" t="n"/>
      <c r="AA941" s="395" t="n"/>
      <c r="AB941" s="395" t="n"/>
      <c r="AC941" s="395" t="n"/>
      <c r="AD941" s="395" t="n"/>
      <c r="AE941" s="395" t="n"/>
    </row>
    <row r="942" ht="56" customHeight="1" s="380">
      <c r="A942" s="90" t="n">
        <v>58</v>
      </c>
      <c r="B942" s="386" t="n"/>
      <c r="C942" s="386" t="inlineStr">
        <is>
          <t>Hoạt động phái sinh &gt;&gt; Báo cáo về số tài khoản phái sinh</t>
        </is>
      </c>
      <c r="D942" s="386" t="inlineStr">
        <is>
          <t>Trong nước &gt;&gt; Cá nhân &gt;&gt; Số lượng tài khoản có phát sinh giao dịch trong kỳ</t>
        </is>
      </c>
      <c r="E942" s="386" t="inlineStr">
        <is>
          <t>Trong nước &gt;&gt; Cá nhân &gt;&gt; Số lượng tài khoản có phát sinh giao dịch trong kỳ</t>
        </is>
      </c>
      <c r="F942" s="386" t="inlineStr">
        <is>
          <t>Data Explorer</t>
        </is>
      </c>
      <c r="G942" s="386" t="inlineStr">
        <is>
          <t>Chỉ tiêu cơ sở</t>
        </is>
      </c>
      <c r="H942" s="386" t="inlineStr">
        <is>
          <t>TB</t>
        </is>
      </c>
      <c r="I942" s="386" t="inlineStr">
        <is>
          <t>Ngày, CTCK</t>
        </is>
      </c>
      <c r="J942" s="395" t="inlineStr">
        <is>
          <t>SCMS</t>
        </is>
      </c>
      <c r="K942" s="395" t="n"/>
      <c r="L942" s="395" t="inlineStr">
        <is>
          <t>X</t>
        </is>
      </c>
      <c r="M942" s="395" t="n"/>
      <c r="N942" s="395" t="inlineStr">
        <is>
          <t>Pending</t>
        </is>
      </c>
      <c r="O942" s="401" t="n"/>
      <c r="P942" s="395" t="n"/>
      <c r="Q942" s="395" t="n"/>
      <c r="R942" s="395" t="n"/>
      <c r="S942" s="395" t="n"/>
      <c r="T942" s="386" t="n"/>
      <c r="U942" s="386" t="n"/>
      <c r="V942" s="395" t="n"/>
      <c r="W942" s="395" t="n"/>
      <c r="X942" s="395" t="n"/>
      <c r="Y942" s="13" t="n"/>
      <c r="Z942" s="395" t="n"/>
      <c r="AA942" s="395" t="n"/>
      <c r="AB942" s="395" t="n"/>
      <c r="AC942" s="395" t="n"/>
      <c r="AD942" s="395" t="n"/>
      <c r="AE942" s="395" t="n"/>
    </row>
    <row r="943" ht="42" customHeight="1" s="380">
      <c r="A943" s="90" t="n">
        <v>58</v>
      </c>
      <c r="B943" s="386" t="n"/>
      <c r="C943" s="386" t="inlineStr">
        <is>
          <t>Hoạt động phái sinh &gt;&gt; Báo cáo về số tài khoản phái sinh</t>
        </is>
      </c>
      <c r="D943" s="386" t="inlineStr">
        <is>
          <t>Trong nước &gt;&gt; Cá nhân &gt;&gt; Số lượng tài khoản cuối kỳ</t>
        </is>
      </c>
      <c r="E943" s="386" t="inlineStr">
        <is>
          <t>Trong nước &gt;&gt; Cá nhân &gt;&gt; Số lượng tài khoản cuối kỳ</t>
        </is>
      </c>
      <c r="F943" s="386" t="inlineStr">
        <is>
          <t>Data Explorer</t>
        </is>
      </c>
      <c r="G943" s="386" t="inlineStr">
        <is>
          <t>Chỉ tiêu cơ sở</t>
        </is>
      </c>
      <c r="H943" s="386" t="inlineStr">
        <is>
          <t>TB</t>
        </is>
      </c>
      <c r="I943" s="386" t="inlineStr">
        <is>
          <t>Ngày, CTCK</t>
        </is>
      </c>
      <c r="J943" s="395" t="inlineStr">
        <is>
          <t>SCMS</t>
        </is>
      </c>
      <c r="K943" s="395" t="n"/>
      <c r="L943" s="395" t="inlineStr">
        <is>
          <t>X</t>
        </is>
      </c>
      <c r="M943" s="395" t="n"/>
      <c r="N943" s="395" t="inlineStr">
        <is>
          <t>Pending</t>
        </is>
      </c>
      <c r="O943" s="401" t="n"/>
      <c r="P943" s="395" t="n"/>
      <c r="Q943" s="395" t="n"/>
      <c r="R943" s="395" t="n"/>
      <c r="S943" s="395" t="n"/>
      <c r="T943" s="386" t="n"/>
      <c r="U943" s="386" t="n"/>
      <c r="V943" s="395" t="n"/>
      <c r="W943" s="395" t="n"/>
      <c r="X943" s="395" t="n"/>
      <c r="Y943" s="13" t="n"/>
      <c r="Z943" s="395" t="n"/>
      <c r="AA943" s="395" t="n"/>
      <c r="AB943" s="395" t="n"/>
      <c r="AC943" s="395" t="n"/>
      <c r="AD943" s="395" t="n"/>
      <c r="AE943" s="395" t="n"/>
    </row>
    <row r="944" ht="42" customHeight="1" s="380">
      <c r="A944" s="90" t="n">
        <v>58</v>
      </c>
      <c r="B944" s="386" t="n"/>
      <c r="C944" s="386" t="inlineStr">
        <is>
          <t>Hoạt động phái sinh &gt;&gt; Báo cáo về số tài khoản phái sinh</t>
        </is>
      </c>
      <c r="D944" s="386" t="inlineStr">
        <is>
          <t>Trong nước &gt;&gt; Cá nhân &gt;&gt; Tăng/giảm so với cuối kỳ trước</t>
        </is>
      </c>
      <c r="E944" s="386" t="inlineStr">
        <is>
          <t>Trong nước &gt;&gt; Cá nhân &gt;&gt; Tăng/giảm so với cuối kỳ trước</t>
        </is>
      </c>
      <c r="F944" s="386" t="inlineStr">
        <is>
          <t>Data Explorer</t>
        </is>
      </c>
      <c r="G944" s="386" t="inlineStr">
        <is>
          <t>Chỉ tiêu cơ sở</t>
        </is>
      </c>
      <c r="H944" s="386" t="inlineStr">
        <is>
          <t>TB</t>
        </is>
      </c>
      <c r="I944" s="386" t="inlineStr">
        <is>
          <t>Ngày, CTCK</t>
        </is>
      </c>
      <c r="J944" s="395" t="inlineStr">
        <is>
          <t>SCMS</t>
        </is>
      </c>
      <c r="K944" s="395" t="n"/>
      <c r="L944" s="395" t="inlineStr">
        <is>
          <t>X</t>
        </is>
      </c>
      <c r="M944" s="395" t="n"/>
      <c r="N944" s="395" t="inlineStr">
        <is>
          <t>Pending</t>
        </is>
      </c>
      <c r="O944" s="401" t="n"/>
      <c r="P944" s="395" t="n"/>
      <c r="Q944" s="395" t="n"/>
      <c r="R944" s="395" t="n"/>
      <c r="S944" s="395" t="n"/>
      <c r="T944" s="386" t="n"/>
      <c r="U944" s="386" t="n"/>
      <c r="V944" s="395" t="n"/>
      <c r="W944" s="395" t="n"/>
      <c r="X944" s="395" t="n"/>
      <c r="Y944" s="13" t="n"/>
      <c r="Z944" s="395" t="n"/>
      <c r="AA944" s="395" t="n"/>
      <c r="AB944" s="395" t="n"/>
      <c r="AC944" s="395" t="n"/>
      <c r="AD944" s="395" t="n"/>
      <c r="AE944" s="395" t="n"/>
    </row>
    <row r="945" ht="56" customHeight="1" s="380">
      <c r="A945" s="90" t="n">
        <v>58</v>
      </c>
      <c r="B945" s="386" t="n"/>
      <c r="C945" s="386" t="inlineStr">
        <is>
          <t>Hoạt động phái sinh &gt;&gt; Báo cáo về số tài khoản phái sinh</t>
        </is>
      </c>
      <c r="D945" s="386" t="inlineStr">
        <is>
          <t>Trong nước &gt;&gt; Tổ chức &gt;&gt; Số lượng tài khoản có phát sinh giao dịch trong kỳ</t>
        </is>
      </c>
      <c r="E945" s="386" t="inlineStr">
        <is>
          <t>Trong nước &gt;&gt; Tổ chức &gt;&gt; Số lượng tài khoản có phát sinh giao dịch trong kỳ</t>
        </is>
      </c>
      <c r="F945" s="386" t="inlineStr">
        <is>
          <t>Data Explorer</t>
        </is>
      </c>
      <c r="G945" s="386" t="inlineStr">
        <is>
          <t>Chỉ tiêu cơ sở</t>
        </is>
      </c>
      <c r="H945" s="386" t="inlineStr">
        <is>
          <t>TB</t>
        </is>
      </c>
      <c r="I945" s="386" t="inlineStr">
        <is>
          <t>Ngày, CTCK</t>
        </is>
      </c>
      <c r="J945" s="395" t="inlineStr">
        <is>
          <t>SCMS</t>
        </is>
      </c>
      <c r="K945" s="395" t="n"/>
      <c r="L945" s="395" t="inlineStr">
        <is>
          <t>X</t>
        </is>
      </c>
      <c r="M945" s="395" t="n"/>
      <c r="N945" s="395" t="inlineStr">
        <is>
          <t>Pending</t>
        </is>
      </c>
      <c r="O945" s="401" t="n"/>
      <c r="P945" s="395" t="n"/>
      <c r="Q945" s="395" t="n"/>
      <c r="R945" s="395" t="n"/>
      <c r="S945" s="395" t="n"/>
      <c r="T945" s="386" t="n"/>
      <c r="U945" s="386" t="n"/>
      <c r="V945" s="395" t="n"/>
      <c r="W945" s="395" t="n"/>
      <c r="X945" s="395" t="n"/>
      <c r="Y945" s="13" t="n"/>
      <c r="Z945" s="395" t="n"/>
      <c r="AA945" s="395" t="n"/>
      <c r="AB945" s="395" t="n"/>
      <c r="AC945" s="395" t="n"/>
      <c r="AD945" s="395" t="n"/>
      <c r="AE945" s="395" t="n"/>
    </row>
    <row r="946" ht="42" customHeight="1" s="380">
      <c r="A946" s="90" t="n">
        <v>58</v>
      </c>
      <c r="B946" s="386" t="n"/>
      <c r="C946" s="386" t="inlineStr">
        <is>
          <t>Hoạt động phái sinh &gt;&gt; Báo cáo về số tài khoản phái sinh</t>
        </is>
      </c>
      <c r="D946" s="386" t="inlineStr">
        <is>
          <t>Trong nước &gt;&gt; Tổ chức &gt;&gt; Số lượng tài khoản cuối kỳ</t>
        </is>
      </c>
      <c r="E946" s="386" t="inlineStr">
        <is>
          <t>Trong nước &gt;&gt; Tổ chức &gt;&gt; Số lượng tài khoản cuối kỳ</t>
        </is>
      </c>
      <c r="F946" s="386" t="inlineStr">
        <is>
          <t>Data Explorer</t>
        </is>
      </c>
      <c r="G946" s="386" t="inlineStr">
        <is>
          <t>Chỉ tiêu cơ sở</t>
        </is>
      </c>
      <c r="H946" s="386" t="inlineStr">
        <is>
          <t>TB</t>
        </is>
      </c>
      <c r="I946" s="386" t="inlineStr">
        <is>
          <t>Ngày, CTCK</t>
        </is>
      </c>
      <c r="J946" s="395" t="inlineStr">
        <is>
          <t>SCMS</t>
        </is>
      </c>
      <c r="K946" s="395" t="n"/>
      <c r="L946" s="395" t="inlineStr">
        <is>
          <t>X</t>
        </is>
      </c>
      <c r="M946" s="395" t="n"/>
      <c r="N946" s="395" t="inlineStr">
        <is>
          <t>Pending</t>
        </is>
      </c>
      <c r="O946" s="401" t="n"/>
      <c r="P946" s="395" t="n"/>
      <c r="Q946" s="395" t="n"/>
      <c r="R946" s="395" t="n"/>
      <c r="S946" s="395" t="n"/>
      <c r="T946" s="386" t="n"/>
      <c r="U946" s="386" t="n"/>
      <c r="V946" s="395" t="n"/>
      <c r="W946" s="395" t="n"/>
      <c r="X946" s="395" t="n"/>
      <c r="Y946" s="13" t="n"/>
      <c r="Z946" s="395" t="n"/>
      <c r="AA946" s="395" t="n"/>
      <c r="AB946" s="395" t="n"/>
      <c r="AC946" s="395" t="n"/>
      <c r="AD946" s="395" t="n"/>
      <c r="AE946" s="395" t="n"/>
    </row>
    <row r="947" ht="42" customHeight="1" s="380">
      <c r="A947" s="90" t="n">
        <v>58</v>
      </c>
      <c r="B947" s="386" t="n"/>
      <c r="C947" s="386" t="inlineStr">
        <is>
          <t>Hoạt động phái sinh &gt;&gt; Báo cáo về số tài khoản phái sinh</t>
        </is>
      </c>
      <c r="D947" s="386" t="inlineStr">
        <is>
          <t>Trong nước &gt;&gt; Tổ chức &gt;&gt; Tăng/giảm so với cuối kỳ trước</t>
        </is>
      </c>
      <c r="E947" s="386" t="inlineStr">
        <is>
          <t>Trong nước &gt;&gt; Tổ chức &gt;&gt; Tăng/giảm so với cuối kỳ trước</t>
        </is>
      </c>
      <c r="F947" s="386" t="inlineStr">
        <is>
          <t>Data Explorer</t>
        </is>
      </c>
      <c r="G947" s="386" t="inlineStr">
        <is>
          <t>Chỉ tiêu cơ sở</t>
        </is>
      </c>
      <c r="H947" s="386" t="inlineStr">
        <is>
          <t>TB</t>
        </is>
      </c>
      <c r="I947" s="386" t="inlineStr">
        <is>
          <t>Ngày, CTCK</t>
        </is>
      </c>
      <c r="J947" s="395" t="inlineStr">
        <is>
          <t>SCMS</t>
        </is>
      </c>
      <c r="K947" s="395" t="n"/>
      <c r="L947" s="395" t="inlineStr">
        <is>
          <t>X</t>
        </is>
      </c>
      <c r="M947" s="395" t="n"/>
      <c r="N947" s="395" t="inlineStr">
        <is>
          <t>Pending</t>
        </is>
      </c>
      <c r="O947" s="401" t="n"/>
      <c r="P947" s="395" t="n"/>
      <c r="Q947" s="395" t="n"/>
      <c r="R947" s="395" t="n"/>
      <c r="S947" s="395" t="n"/>
      <c r="T947" s="386" t="n"/>
      <c r="U947" s="386" t="n"/>
      <c r="V947" s="395" t="n"/>
      <c r="W947" s="395" t="n"/>
      <c r="X947" s="395" t="n"/>
      <c r="Y947" s="38" t="n"/>
      <c r="Z947" s="395" t="n"/>
      <c r="AA947" s="395" t="n"/>
      <c r="AB947" s="395" t="n"/>
      <c r="AC947" s="395" t="n"/>
      <c r="AD947" s="395" t="n"/>
      <c r="AE947" s="395" t="n"/>
    </row>
    <row r="948" ht="42" customHeight="1" s="380">
      <c r="A948" s="90" t="n">
        <v>58</v>
      </c>
      <c r="B948" s="386" t="n"/>
      <c r="C948" s="386" t="inlineStr">
        <is>
          <t>Hoạt động phái sinh &gt;&gt; Báo cáo về số tài khoản phái sinh</t>
        </is>
      </c>
      <c r="D948" s="386" t="inlineStr">
        <is>
          <t>Trong nước &gt;&gt; Tổng cộng số lượng tài khoản</t>
        </is>
      </c>
      <c r="E948" s="386" t="inlineStr">
        <is>
          <t>Trong nước &gt;&gt; Tổng cộng số lượng tài khoản</t>
        </is>
      </c>
      <c r="F948" s="386" t="inlineStr">
        <is>
          <t>Data Explorer</t>
        </is>
      </c>
      <c r="G948" s="386" t="inlineStr">
        <is>
          <t>Chỉ tiêu cơ sở</t>
        </is>
      </c>
      <c r="H948" s="386" t="inlineStr">
        <is>
          <t>TB</t>
        </is>
      </c>
      <c r="I948" s="386" t="inlineStr">
        <is>
          <t>Ngày, CTCK</t>
        </is>
      </c>
      <c r="J948" s="395" t="inlineStr">
        <is>
          <t>SCMS</t>
        </is>
      </c>
      <c r="K948" s="395" t="n"/>
      <c r="L948" s="395" t="inlineStr">
        <is>
          <t>X</t>
        </is>
      </c>
      <c r="M948" s="395" t="n"/>
      <c r="N948" s="395" t="inlineStr">
        <is>
          <t>Pending</t>
        </is>
      </c>
      <c r="O948" s="401" t="n"/>
      <c r="P948" s="395" t="n"/>
      <c r="Q948" s="395" t="n"/>
      <c r="R948" s="395" t="n"/>
      <c r="S948" s="395" t="n"/>
      <c r="T948" s="386" t="n"/>
      <c r="U948" s="386" t="n"/>
      <c r="V948" s="395" t="n"/>
      <c r="W948" s="395" t="n"/>
      <c r="X948" s="395" t="n"/>
      <c r="Y948" s="13" t="n"/>
      <c r="Z948" s="395" t="n"/>
      <c r="AA948" s="395" t="n"/>
      <c r="AB948" s="395" t="n"/>
      <c r="AC948" s="395" t="n"/>
      <c r="AD948" s="395" t="n"/>
      <c r="AE948" s="395" t="n"/>
    </row>
    <row r="949" ht="56" customHeight="1" s="380">
      <c r="A949" s="90" t="n">
        <v>58</v>
      </c>
      <c r="B949" s="386" t="n"/>
      <c r="C949" s="386" t="inlineStr">
        <is>
          <t>Hoạt động phái sinh &gt;&gt; Báo cáo về số tài khoản phái sinh</t>
        </is>
      </c>
      <c r="D949" s="386" t="inlineStr">
        <is>
          <t>Trong nước &gt;&gt; Tổng cộng số lượng tài khoản có phát sinh giao dịch trong kỳ</t>
        </is>
      </c>
      <c r="E949" s="386" t="inlineStr">
        <is>
          <t>Trong nước &gt;&gt; Tổng cộng số lượng tài khoản có phát sinh giao dịch trong kỳ</t>
        </is>
      </c>
      <c r="F949" s="386" t="inlineStr">
        <is>
          <t>Data Explorer</t>
        </is>
      </c>
      <c r="G949" s="386" t="inlineStr">
        <is>
          <t>Chỉ tiêu cơ sở</t>
        </is>
      </c>
      <c r="H949" s="386" t="inlineStr">
        <is>
          <t>TB</t>
        </is>
      </c>
      <c r="I949" s="386" t="inlineStr">
        <is>
          <t>Ngày, CTCK</t>
        </is>
      </c>
      <c r="J949" s="395" t="inlineStr">
        <is>
          <t>SCMS</t>
        </is>
      </c>
      <c r="K949" s="395" t="n"/>
      <c r="L949" s="395" t="inlineStr">
        <is>
          <t>X</t>
        </is>
      </c>
      <c r="M949" s="395" t="n"/>
      <c r="N949" s="395" t="inlineStr">
        <is>
          <t>Pending</t>
        </is>
      </c>
      <c r="O949" s="401" t="n"/>
      <c r="P949" s="395" t="n"/>
      <c r="Q949" s="395" t="n"/>
      <c r="R949" s="395" t="n"/>
      <c r="S949" s="395" t="n"/>
      <c r="T949" s="386" t="n"/>
      <c r="U949" s="386" t="n"/>
      <c r="V949" s="395" t="n"/>
      <c r="W949" s="395" t="n"/>
      <c r="X949" s="395" t="n"/>
      <c r="Y949" s="13" t="n"/>
      <c r="Z949" s="395" t="n"/>
      <c r="AA949" s="395" t="n"/>
      <c r="AB949" s="395" t="n"/>
      <c r="AC949" s="395" t="n"/>
      <c r="AD949" s="395" t="n"/>
      <c r="AE949" s="395" t="n"/>
    </row>
    <row r="950" ht="56" customHeight="1" s="380">
      <c r="A950" s="90" t="n">
        <v>58</v>
      </c>
      <c r="B950" s="386" t="n"/>
      <c r="C950" s="386" t="inlineStr">
        <is>
          <t>Hoạt động phái sinh &gt;&gt; Báo cáo về số tài khoản phái sinh</t>
        </is>
      </c>
      <c r="D950" s="386" t="inlineStr">
        <is>
          <t>Nước ngoài &gt;&gt; Cá nhân &gt;&gt; Số lượng tài khoản có phát sinh giao dịch trong kỳ</t>
        </is>
      </c>
      <c r="E950" s="386" t="inlineStr">
        <is>
          <t>Nước ngoài &gt;&gt; Cá nhân &gt;&gt; Số lượng tài khoản có phát sinh giao dịch trong kỳ</t>
        </is>
      </c>
      <c r="F950" s="386" t="inlineStr">
        <is>
          <t>Data Explorer</t>
        </is>
      </c>
      <c r="G950" s="386" t="inlineStr">
        <is>
          <t>Chỉ tiêu cơ sở</t>
        </is>
      </c>
      <c r="H950" s="386" t="inlineStr">
        <is>
          <t>TB</t>
        </is>
      </c>
      <c r="I950" s="386" t="inlineStr">
        <is>
          <t>Ngày, CTCK</t>
        </is>
      </c>
      <c r="J950" s="395" t="inlineStr">
        <is>
          <t>SCMS</t>
        </is>
      </c>
      <c r="K950" s="395" t="n"/>
      <c r="L950" s="395" t="inlineStr">
        <is>
          <t>X</t>
        </is>
      </c>
      <c r="M950" s="395" t="n"/>
      <c r="N950" s="395" t="inlineStr">
        <is>
          <t>Pending</t>
        </is>
      </c>
      <c r="O950" s="401" t="n"/>
      <c r="P950" s="395" t="n"/>
      <c r="Q950" s="395" t="n"/>
      <c r="R950" s="395" t="n"/>
      <c r="S950" s="395" t="n"/>
      <c r="T950" s="386" t="n"/>
      <c r="U950" s="386" t="n"/>
      <c r="V950" s="395" t="n"/>
      <c r="W950" s="395" t="n"/>
      <c r="X950" s="395" t="n"/>
      <c r="Y950" s="13" t="n"/>
      <c r="Z950" s="395" t="n"/>
      <c r="AA950" s="395" t="n"/>
      <c r="AB950" s="395" t="n"/>
      <c r="AC950" s="395" t="n"/>
      <c r="AD950" s="395" t="n"/>
      <c r="AE950" s="395" t="n"/>
    </row>
    <row r="951" ht="42" customHeight="1" s="380">
      <c r="A951" s="90" t="n">
        <v>58</v>
      </c>
      <c r="B951" s="386" t="n"/>
      <c r="C951" s="386" t="inlineStr">
        <is>
          <t>Hoạt động phái sinh &gt;&gt; Báo cáo về số tài khoản phái sinh</t>
        </is>
      </c>
      <c r="D951" s="386" t="inlineStr">
        <is>
          <t>Nước ngoài &gt;&gt; Cá nhân &gt;&gt; Số lượng tài khoản cuối kỳ</t>
        </is>
      </c>
      <c r="E951" s="386" t="inlineStr">
        <is>
          <t>Nước ngoài &gt;&gt; Cá nhân &gt;&gt; Số lượng tài khoản cuối kỳ</t>
        </is>
      </c>
      <c r="F951" s="386" t="inlineStr">
        <is>
          <t>Data Explorer</t>
        </is>
      </c>
      <c r="G951" s="386" t="inlineStr">
        <is>
          <t>Chỉ tiêu cơ sở</t>
        </is>
      </c>
      <c r="H951" s="386" t="inlineStr">
        <is>
          <t>TB</t>
        </is>
      </c>
      <c r="I951" s="386" t="inlineStr">
        <is>
          <t>Ngày, CTCK</t>
        </is>
      </c>
      <c r="J951" s="395" t="inlineStr">
        <is>
          <t>SCMS</t>
        </is>
      </c>
      <c r="K951" s="395" t="n"/>
      <c r="L951" s="395" t="inlineStr">
        <is>
          <t>X</t>
        </is>
      </c>
      <c r="M951" s="395" t="n"/>
      <c r="N951" s="395" t="inlineStr">
        <is>
          <t>Pending</t>
        </is>
      </c>
      <c r="O951" s="401" t="n"/>
      <c r="P951" s="395" t="n"/>
      <c r="Q951" s="395" t="n"/>
      <c r="R951" s="395" t="n"/>
      <c r="S951" s="395" t="n"/>
      <c r="T951" s="386" t="n"/>
      <c r="U951" s="386" t="n"/>
      <c r="V951" s="395" t="n"/>
      <c r="W951" s="395" t="n"/>
      <c r="X951" s="395" t="n"/>
      <c r="Y951" s="13" t="n"/>
      <c r="Z951" s="395" t="n"/>
      <c r="AA951" s="395" t="n"/>
      <c r="AB951" s="395" t="n"/>
      <c r="AC951" s="395" t="n"/>
      <c r="AD951" s="395" t="n"/>
      <c r="AE951" s="395" t="n"/>
    </row>
    <row r="952" ht="42" customHeight="1" s="380">
      <c r="A952" s="90" t="n">
        <v>58</v>
      </c>
      <c r="B952" s="386" t="n"/>
      <c r="C952" s="386" t="inlineStr">
        <is>
          <t>Hoạt động phái sinh &gt;&gt; Báo cáo về số tài khoản phái sinh</t>
        </is>
      </c>
      <c r="D952" s="386" t="inlineStr">
        <is>
          <t>Nước ngoài &gt;&gt; Cá nhân &gt;&gt; Tăng/giảm so với cuối kỳ trước</t>
        </is>
      </c>
      <c r="E952" s="386" t="inlineStr">
        <is>
          <t>Nước ngoài &gt;&gt; Cá nhân &gt;&gt; Tăng/giảm so với cuối kỳ trước</t>
        </is>
      </c>
      <c r="F952" s="386" t="inlineStr">
        <is>
          <t>Data Explorer</t>
        </is>
      </c>
      <c r="G952" s="386" t="inlineStr">
        <is>
          <t>Chỉ tiêu cơ sở</t>
        </is>
      </c>
      <c r="H952" s="386" t="inlineStr">
        <is>
          <t>TB</t>
        </is>
      </c>
      <c r="I952" s="386" t="inlineStr">
        <is>
          <t>Ngày, CTCK</t>
        </is>
      </c>
      <c r="J952" s="395" t="inlineStr">
        <is>
          <t>SCMS</t>
        </is>
      </c>
      <c r="K952" s="395" t="n"/>
      <c r="L952" s="395" t="inlineStr">
        <is>
          <t>X</t>
        </is>
      </c>
      <c r="M952" s="395" t="n"/>
      <c r="N952" s="395" t="inlineStr">
        <is>
          <t>Pending</t>
        </is>
      </c>
      <c r="O952" s="401" t="n"/>
      <c r="P952" s="395" t="n"/>
      <c r="Q952" s="395" t="n"/>
      <c r="R952" s="395" t="n"/>
      <c r="S952" s="395" t="n"/>
      <c r="T952" s="386" t="n"/>
      <c r="U952" s="386" t="n"/>
      <c r="V952" s="395" t="n"/>
      <c r="W952" s="395" t="n"/>
      <c r="X952" s="395" t="n"/>
      <c r="Y952" s="13" t="n"/>
      <c r="Z952" s="395" t="n"/>
      <c r="AA952" s="395" t="n"/>
      <c r="AB952" s="395" t="n"/>
      <c r="AC952" s="395" t="n"/>
      <c r="AD952" s="395" t="n"/>
      <c r="AE952" s="395" t="n"/>
    </row>
    <row r="953" ht="56" customHeight="1" s="380">
      <c r="A953" s="90" t="n">
        <v>58</v>
      </c>
      <c r="B953" s="386" t="n"/>
      <c r="C953" s="386" t="inlineStr">
        <is>
          <t>Hoạt động phái sinh &gt;&gt; Báo cáo về số tài khoản phái sinh</t>
        </is>
      </c>
      <c r="D953" s="386" t="inlineStr">
        <is>
          <t>Nước ngoài &gt;&gt; Tổ chức &gt;&gt; Số lượng tài khoản có phát sinh giao dịch trong kỳ</t>
        </is>
      </c>
      <c r="E953" s="386" t="inlineStr">
        <is>
          <t>Nước ngoài &gt;&gt; Tổ chức &gt;&gt; Số lượng tài khoản có phát sinh giao dịch trong kỳ</t>
        </is>
      </c>
      <c r="F953" s="386" t="inlineStr">
        <is>
          <t>Data Explorer</t>
        </is>
      </c>
      <c r="G953" s="386" t="inlineStr">
        <is>
          <t>Chỉ tiêu cơ sở</t>
        </is>
      </c>
      <c r="H953" s="386" t="inlineStr">
        <is>
          <t>TB</t>
        </is>
      </c>
      <c r="I953" s="386" t="inlineStr">
        <is>
          <t>Ngày, CTCK</t>
        </is>
      </c>
      <c r="J953" s="395" t="inlineStr">
        <is>
          <t>SCMS</t>
        </is>
      </c>
      <c r="K953" s="395" t="n"/>
      <c r="L953" s="395" t="inlineStr">
        <is>
          <t>X</t>
        </is>
      </c>
      <c r="M953" s="395" t="n"/>
      <c r="N953" s="395" t="inlineStr">
        <is>
          <t>Pending</t>
        </is>
      </c>
      <c r="O953" s="401" t="n"/>
      <c r="P953" s="395" t="n"/>
      <c r="Q953" s="395" t="n"/>
      <c r="R953" s="395" t="n"/>
      <c r="S953" s="395" t="n"/>
      <c r="T953" s="386" t="n"/>
      <c r="U953" s="386" t="n"/>
      <c r="V953" s="395" t="n"/>
      <c r="W953" s="395" t="n"/>
      <c r="X953" s="395" t="n"/>
      <c r="Y953" s="38" t="n"/>
      <c r="Z953" s="395" t="n"/>
      <c r="AA953" s="395" t="n"/>
      <c r="AB953" s="395" t="n"/>
      <c r="AC953" s="395" t="n"/>
      <c r="AD953" s="395" t="n"/>
      <c r="AE953" s="395" t="n"/>
    </row>
    <row r="954" ht="42" customHeight="1" s="380">
      <c r="A954" s="90" t="n">
        <v>58</v>
      </c>
      <c r="B954" s="386" t="n"/>
      <c r="C954" s="386" t="inlineStr">
        <is>
          <t>Hoạt động phái sinh &gt;&gt; Báo cáo về số tài khoản phái sinh</t>
        </is>
      </c>
      <c r="D954" s="386" t="inlineStr">
        <is>
          <t>Nước ngoài &gt;&gt; Tổ chức &gt;&gt; Số lượng tài khoản cuối kỳ</t>
        </is>
      </c>
      <c r="E954" s="386" t="inlineStr">
        <is>
          <t>Nước ngoài &gt;&gt; Tổ chức &gt;&gt; Số lượng tài khoản cuối kỳ</t>
        </is>
      </c>
      <c r="F954" s="386" t="inlineStr">
        <is>
          <t>Data Explorer</t>
        </is>
      </c>
      <c r="G954" s="386" t="inlineStr">
        <is>
          <t>Chỉ tiêu cơ sở</t>
        </is>
      </c>
      <c r="H954" s="386" t="inlineStr">
        <is>
          <t>TB</t>
        </is>
      </c>
      <c r="I954" s="386" t="inlineStr">
        <is>
          <t>Ngày, CTCK</t>
        </is>
      </c>
      <c r="J954" s="395" t="inlineStr">
        <is>
          <t>SCMS</t>
        </is>
      </c>
      <c r="K954" s="395" t="n"/>
      <c r="L954" s="395" t="inlineStr">
        <is>
          <t>X</t>
        </is>
      </c>
      <c r="M954" s="395" t="n"/>
      <c r="N954" s="395" t="inlineStr">
        <is>
          <t>Pending</t>
        </is>
      </c>
      <c r="O954" s="401" t="n"/>
      <c r="P954" s="395" t="n"/>
      <c r="Q954" s="395" t="n"/>
      <c r="R954" s="395" t="n"/>
      <c r="S954" s="395" t="n"/>
      <c r="T954" s="386" t="n"/>
      <c r="U954" s="386" t="n"/>
      <c r="V954" s="395" t="n"/>
      <c r="W954" s="395" t="n"/>
      <c r="X954" s="395" t="n"/>
      <c r="Y954" s="13" t="n"/>
      <c r="Z954" s="395" t="n"/>
      <c r="AA954" s="395" t="n"/>
      <c r="AB954" s="395" t="n"/>
      <c r="AC954" s="395" t="n"/>
      <c r="AD954" s="395" t="n"/>
      <c r="AE954" s="395" t="n"/>
    </row>
    <row r="955" ht="42" customHeight="1" s="380">
      <c r="A955" s="90" t="n">
        <v>58</v>
      </c>
      <c r="B955" s="386" t="n"/>
      <c r="C955" s="386" t="inlineStr">
        <is>
          <t>Hoạt động phái sinh &gt;&gt; Báo cáo về số tài khoản phái sinh</t>
        </is>
      </c>
      <c r="D955" s="386" t="inlineStr">
        <is>
          <t>Nước ngoài &gt;&gt; Tổ chức &gt;&gt; Tăng/giảm so với cuối kỳ trước</t>
        </is>
      </c>
      <c r="E955" s="386" t="inlineStr">
        <is>
          <t>Nước ngoài &gt;&gt; Tổ chức &gt;&gt; Tăng/giảm so với cuối kỳ trước</t>
        </is>
      </c>
      <c r="F955" s="386" t="inlineStr">
        <is>
          <t>Data Explorer</t>
        </is>
      </c>
      <c r="G955" s="386" t="inlineStr">
        <is>
          <t>Chỉ tiêu cơ sở</t>
        </is>
      </c>
      <c r="H955" s="386" t="inlineStr">
        <is>
          <t>TB</t>
        </is>
      </c>
      <c r="I955" s="386" t="inlineStr">
        <is>
          <t>Ngày, CTCK</t>
        </is>
      </c>
      <c r="J955" s="395" t="inlineStr">
        <is>
          <t>SCMS</t>
        </is>
      </c>
      <c r="K955" s="395" t="n"/>
      <c r="L955" s="395" t="inlineStr">
        <is>
          <t>X</t>
        </is>
      </c>
      <c r="M955" s="395" t="n"/>
      <c r="N955" s="395" t="inlineStr">
        <is>
          <t>Pending</t>
        </is>
      </c>
      <c r="O955" s="401" t="n"/>
      <c r="P955" s="395" t="n"/>
      <c r="Q955" s="395" t="n"/>
      <c r="R955" s="395" t="n"/>
      <c r="S955" s="395" t="n"/>
      <c r="T955" s="386" t="n"/>
      <c r="U955" s="386" t="n"/>
      <c r="V955" s="395" t="n"/>
      <c r="W955" s="395" t="n"/>
      <c r="X955" s="395" t="n"/>
      <c r="Y955" s="13" t="n"/>
      <c r="Z955" s="395" t="n"/>
      <c r="AA955" s="395" t="n"/>
      <c r="AB955" s="395" t="n"/>
      <c r="AC955" s="395" t="n"/>
      <c r="AD955" s="395" t="n"/>
      <c r="AE955" s="395" t="n"/>
    </row>
    <row r="956" ht="42" customHeight="1" s="380">
      <c r="A956" s="90" t="n">
        <v>58</v>
      </c>
      <c r="B956" s="386" t="n"/>
      <c r="C956" s="386" t="inlineStr">
        <is>
          <t>Hoạt động phái sinh &gt;&gt; Báo cáo về số tài khoản phái sinh</t>
        </is>
      </c>
      <c r="D956" s="386" t="inlineStr">
        <is>
          <t>Nước ngoài &gt;&gt; Tổng cộng số lượng tài khoản</t>
        </is>
      </c>
      <c r="E956" s="386" t="inlineStr">
        <is>
          <t>Nước ngoài &gt;&gt; Tổng cộng số lượng tài khoản</t>
        </is>
      </c>
      <c r="F956" s="386" t="inlineStr">
        <is>
          <t>Data Explorer</t>
        </is>
      </c>
      <c r="G956" s="386" t="inlineStr">
        <is>
          <t>Chỉ tiêu cơ sở</t>
        </is>
      </c>
      <c r="H956" s="386" t="inlineStr">
        <is>
          <t>TB</t>
        </is>
      </c>
      <c r="I956" s="386" t="inlineStr">
        <is>
          <t>Ngày, CTCK</t>
        </is>
      </c>
      <c r="J956" s="395" t="inlineStr">
        <is>
          <t>SCMS</t>
        </is>
      </c>
      <c r="K956" s="395" t="n"/>
      <c r="L956" s="395" t="inlineStr">
        <is>
          <t>X</t>
        </is>
      </c>
      <c r="M956" s="395" t="n"/>
      <c r="N956" s="395" t="inlineStr">
        <is>
          <t>Pending</t>
        </is>
      </c>
      <c r="O956" s="401" t="n"/>
      <c r="P956" s="395" t="n"/>
      <c r="Q956" s="395" t="n"/>
      <c r="R956" s="395" t="n"/>
      <c r="S956" s="395" t="n"/>
      <c r="T956" s="386" t="n"/>
      <c r="U956" s="386" t="n"/>
      <c r="V956" s="395" t="n"/>
      <c r="W956" s="395" t="n"/>
      <c r="X956" s="395" t="n"/>
      <c r="Y956" s="13" t="n"/>
      <c r="Z956" s="395" t="n"/>
      <c r="AA956" s="395" t="n"/>
      <c r="AB956" s="395" t="n"/>
      <c r="AC956" s="395" t="n"/>
      <c r="AD956" s="395" t="n"/>
      <c r="AE956" s="395" t="n"/>
    </row>
    <row r="957" ht="56" customHeight="1" s="380">
      <c r="A957" s="90" t="n">
        <v>58</v>
      </c>
      <c r="B957" s="386" t="n"/>
      <c r="C957" s="386" t="inlineStr">
        <is>
          <t>Hoạt động phái sinh &gt;&gt; Báo cáo về số tài khoản phái sinh</t>
        </is>
      </c>
      <c r="D957" s="386" t="inlineStr">
        <is>
          <t>Nước ngoài &gt;&gt; Tổng cộng số lượng tài khoản có phát sinh giao dịch trong kỳ</t>
        </is>
      </c>
      <c r="E957" s="386" t="inlineStr">
        <is>
          <t>Nước ngoài &gt;&gt; Tổng cộng số lượng tài khoản có phát sinh giao dịch trong kỳ</t>
        </is>
      </c>
      <c r="F957" s="386" t="inlineStr">
        <is>
          <t>Data Explorer</t>
        </is>
      </c>
      <c r="G957" s="386" t="inlineStr">
        <is>
          <t>Chỉ tiêu cơ sở</t>
        </is>
      </c>
      <c r="H957" s="386" t="inlineStr">
        <is>
          <t>TB</t>
        </is>
      </c>
      <c r="I957" s="386" t="inlineStr">
        <is>
          <t>Ngày, CTCK</t>
        </is>
      </c>
      <c r="J957" s="395" t="inlineStr">
        <is>
          <t>SCMS</t>
        </is>
      </c>
      <c r="K957" s="395" t="n"/>
      <c r="L957" s="395" t="inlineStr">
        <is>
          <t>X</t>
        </is>
      </c>
      <c r="M957" s="395" t="n"/>
      <c r="N957" s="395" t="inlineStr">
        <is>
          <t>Pending</t>
        </is>
      </c>
      <c r="O957" s="401" t="n"/>
      <c r="P957" s="395" t="n"/>
      <c r="Q957" s="395" t="n"/>
      <c r="R957" s="395" t="n"/>
      <c r="S957" s="395" t="n"/>
      <c r="T957" s="386" t="n"/>
      <c r="U957" s="386" t="n"/>
      <c r="V957" s="395" t="n"/>
      <c r="W957" s="395" t="n"/>
      <c r="X957" s="395" t="n"/>
      <c r="Y957" s="13" t="n"/>
      <c r="Z957" s="395" t="n"/>
      <c r="AA957" s="395" t="n"/>
      <c r="AB957" s="395" t="n"/>
      <c r="AC957" s="395" t="n"/>
      <c r="AD957" s="395" t="n"/>
      <c r="AE957" s="395" t="n"/>
    </row>
    <row r="958" ht="42" customHeight="1" s="380">
      <c r="A958" s="90" t="n">
        <v>58</v>
      </c>
      <c r="B958" s="386" t="n"/>
      <c r="C958" s="386" t="inlineStr">
        <is>
          <t>Hoạt động phái sinh &gt;&gt; Báo cáo về số tài khoản phái sinh</t>
        </is>
      </c>
      <c r="D958" s="386" t="inlineStr">
        <is>
          <t>Tổng cộng số lượng tài khoản</t>
        </is>
      </c>
      <c r="E958" s="395" t="inlineStr">
        <is>
          <t>Tổng cộng số lượng tài khoản</t>
        </is>
      </c>
      <c r="F958" s="386" t="inlineStr">
        <is>
          <t>Data Explorer</t>
        </is>
      </c>
      <c r="G958" s="386" t="inlineStr">
        <is>
          <t>Chỉ tiêu cơ sở</t>
        </is>
      </c>
      <c r="H958" s="386" t="inlineStr">
        <is>
          <t>TB</t>
        </is>
      </c>
      <c r="I958" s="386" t="inlineStr">
        <is>
          <t>Ngày, CTCK</t>
        </is>
      </c>
      <c r="J958" s="395" t="inlineStr">
        <is>
          <t>SCMS</t>
        </is>
      </c>
      <c r="K958" s="395" t="n"/>
      <c r="L958" s="395" t="inlineStr">
        <is>
          <t>X</t>
        </is>
      </c>
      <c r="M958" s="395" t="n"/>
      <c r="N958" s="395" t="inlineStr">
        <is>
          <t>Pending</t>
        </is>
      </c>
      <c r="O958" s="401" t="n"/>
      <c r="P958" s="395" t="n"/>
      <c r="Q958" s="395" t="n"/>
      <c r="R958" s="395" t="n"/>
      <c r="S958" s="395" t="n"/>
      <c r="T958" s="386" t="n"/>
      <c r="U958" s="386" t="n"/>
      <c r="V958" s="395" t="n"/>
      <c r="W958" s="395" t="n"/>
      <c r="X958" s="395" t="n"/>
      <c r="Y958" s="13" t="n"/>
      <c r="Z958" s="395" t="n"/>
      <c r="AA958" s="395" t="n"/>
      <c r="AB958" s="395" t="n"/>
      <c r="AC958" s="395" t="n"/>
      <c r="AD958" s="395" t="n"/>
      <c r="AE958" s="395" t="n"/>
    </row>
    <row r="959" ht="42" customHeight="1" s="380">
      <c r="A959" s="91" t="n">
        <v>58</v>
      </c>
      <c r="B959" s="68" t="n"/>
      <c r="C959" s="68" t="inlineStr">
        <is>
          <t>Hoạt động phái sinh &gt;&gt; Báo cáo về số tài khoản phái sinh</t>
        </is>
      </c>
      <c r="D959" s="68" t="inlineStr">
        <is>
          <t>Tổng cộng số lượng tài khoản có phát sinh giao dịch trong kỳ</t>
        </is>
      </c>
      <c r="E959" s="68" t="inlineStr">
        <is>
          <t>Tổng cộng số lượng tài khoản có phát sinh giao dịch trong kỳ</t>
        </is>
      </c>
      <c r="F959" s="68" t="inlineStr">
        <is>
          <t>Data Explorer</t>
        </is>
      </c>
      <c r="G959" s="68" t="inlineStr">
        <is>
          <t>Chỉ tiêu cơ sở</t>
        </is>
      </c>
      <c r="H959" s="68" t="inlineStr">
        <is>
          <t>TB</t>
        </is>
      </c>
      <c r="I959" s="68" t="inlineStr">
        <is>
          <t>Ngày, CTCK</t>
        </is>
      </c>
      <c r="J959" s="69" t="inlineStr">
        <is>
          <t>SCMS</t>
        </is>
      </c>
      <c r="K959" s="69" t="n"/>
      <c r="L959" s="69" t="inlineStr">
        <is>
          <t>X</t>
        </is>
      </c>
      <c r="M959" s="69" t="n"/>
      <c r="N959" s="69" t="inlineStr">
        <is>
          <t>Pending</t>
        </is>
      </c>
      <c r="O959" s="85" t="n"/>
      <c r="P959" s="69" t="n"/>
      <c r="Q959" s="69" t="n"/>
      <c r="R959" s="69" t="n"/>
      <c r="S959" s="69" t="n"/>
      <c r="T959" s="68" t="n"/>
      <c r="U959" s="68" t="n"/>
      <c r="V959" s="69" t="n"/>
      <c r="W959" s="69" t="n"/>
      <c r="X959" s="69" t="n"/>
      <c r="Y959" s="14" t="n"/>
      <c r="Z959" s="69" t="n"/>
      <c r="AA959" s="69" t="n"/>
      <c r="AB959" s="69" t="n"/>
      <c r="AC959" s="69" t="n"/>
      <c r="AD959" s="69" t="n"/>
      <c r="AE959" s="69" t="n"/>
    </row>
    <row r="960" ht="42" customHeight="1" s="380">
      <c r="A960" s="90" t="n">
        <v>59</v>
      </c>
      <c r="B960" s="100" t="inlineStr">
        <is>
          <t>Nga</t>
        </is>
      </c>
      <c r="C960" s="81" t="inlineStr">
        <is>
          <t>Hoạt động phái sinh &gt;&gt; Báo cáo về tiền gửi giao dịch phái sinh</t>
        </is>
      </c>
      <c r="D960" s="106" t="inlineStr">
        <is>
          <t>Loại báo cáo</t>
        </is>
      </c>
      <c r="E960" s="107" t="inlineStr">
        <is>
          <t>Loại báo cáo</t>
        </is>
      </c>
      <c r="F960" s="390" t="inlineStr">
        <is>
          <t>Data Explorer</t>
        </is>
      </c>
      <c r="G960" s="390" t="inlineStr">
        <is>
          <t>Chiều</t>
        </is>
      </c>
      <c r="H960" s="390" t="inlineStr">
        <is>
          <t>Dễ</t>
        </is>
      </c>
      <c r="I960" s="390" t="inlineStr">
        <is>
          <t>Ngày, CTCK</t>
        </is>
      </c>
      <c r="J960" s="401" t="inlineStr">
        <is>
          <t>SCMS</t>
        </is>
      </c>
      <c r="K960" s="401" t="inlineStr">
        <is>
          <t>X</t>
        </is>
      </c>
      <c r="L960" s="395" t="inlineStr">
        <is>
          <t>X</t>
        </is>
      </c>
      <c r="M960" s="401" t="n"/>
      <c r="N960" s="395" t="inlineStr">
        <is>
          <t>Pending</t>
        </is>
      </c>
      <c r="O960" s="401" t="n"/>
      <c r="P960" s="395" t="n"/>
      <c r="Q960" s="105" t="inlineStr">
        <is>
          <t>DB cũ không thấy biểu mẫu báo cáo này</t>
        </is>
      </c>
      <c r="R960" s="395" t="n"/>
      <c r="S960" s="395" t="n"/>
      <c r="T960" s="386" t="n"/>
      <c r="U960" s="386" t="n"/>
      <c r="V960" s="395" t="n"/>
      <c r="W960" s="395" t="n"/>
      <c r="X960" s="395" t="n"/>
      <c r="Y960" s="13" t="n"/>
      <c r="Z960" s="395" t="n"/>
      <c r="AA960" s="395" t="n"/>
      <c r="AB960" s="395" t="n"/>
      <c r="AC960" s="395" t="n"/>
      <c r="AD960" s="395" t="n"/>
      <c r="AE960" s="395" t="n"/>
    </row>
    <row r="961" ht="42" customHeight="1" s="380">
      <c r="A961" s="90" t="n">
        <v>59</v>
      </c>
      <c r="B961" s="386" t="n"/>
      <c r="C961" s="386" t="inlineStr">
        <is>
          <t>Hoạt động phái sinh &gt;&gt; Báo cáo về tiền gửi giao dịch phái sinh</t>
        </is>
      </c>
      <c r="D961" s="106" t="inlineStr">
        <is>
          <t>Kỳ báo cáo</t>
        </is>
      </c>
      <c r="E961" s="107" t="inlineStr">
        <is>
          <t>Kỳ báo cáo</t>
        </is>
      </c>
      <c r="F961" s="390" t="inlineStr">
        <is>
          <t>Data Explorer</t>
        </is>
      </c>
      <c r="G961" s="390" t="inlineStr">
        <is>
          <t>Chiều</t>
        </is>
      </c>
      <c r="H961" s="390" t="inlineStr">
        <is>
          <t>Dễ</t>
        </is>
      </c>
      <c r="I961" s="390" t="inlineStr">
        <is>
          <t>Ngày, CTCK</t>
        </is>
      </c>
      <c r="J961" s="401" t="inlineStr">
        <is>
          <t>SCMS</t>
        </is>
      </c>
      <c r="K961" s="401" t="inlineStr">
        <is>
          <t>X</t>
        </is>
      </c>
      <c r="L961" s="395" t="inlineStr">
        <is>
          <t>X</t>
        </is>
      </c>
      <c r="M961" s="401" t="n"/>
      <c r="N961" s="395" t="inlineStr">
        <is>
          <t>Pending</t>
        </is>
      </c>
      <c r="O961" s="401" t="n"/>
      <c r="P961" s="395" t="n"/>
      <c r="Q961" s="395" t="n"/>
      <c r="R961" s="395" t="n"/>
      <c r="S961" s="395" t="n"/>
      <c r="T961" s="386" t="n"/>
      <c r="U961" s="386" t="n"/>
      <c r="V961" s="395" t="n"/>
      <c r="W961" s="395" t="n"/>
      <c r="X961" s="395" t="n"/>
      <c r="Y961" s="13" t="n"/>
      <c r="Z961" s="395" t="n"/>
      <c r="AA961" s="395" t="n"/>
      <c r="AB961" s="395" t="n"/>
      <c r="AC961" s="395" t="n"/>
      <c r="AD961" s="395" t="n"/>
      <c r="AE961" s="395" t="n"/>
    </row>
    <row r="962" ht="42" customHeight="1" s="380">
      <c r="A962" s="90" t="n">
        <v>59</v>
      </c>
      <c r="B962" s="386" t="n"/>
      <c r="C962" s="386" t="inlineStr">
        <is>
          <t>Hoạt động phái sinh &gt;&gt; Báo cáo về tiền gửi giao dịch phái sinh</t>
        </is>
      </c>
      <c r="D962" s="106" t="inlineStr">
        <is>
          <t>Mã báo cáo</t>
        </is>
      </c>
      <c r="E962" s="107" t="inlineStr">
        <is>
          <t>Mã báo cáo</t>
        </is>
      </c>
      <c r="F962" s="390" t="inlineStr">
        <is>
          <t>Data Explorer</t>
        </is>
      </c>
      <c r="G962" s="390" t="inlineStr">
        <is>
          <t>Chiều</t>
        </is>
      </c>
      <c r="H962" s="390" t="inlineStr">
        <is>
          <t>Dễ</t>
        </is>
      </c>
      <c r="I962" s="390" t="inlineStr">
        <is>
          <t>Ngày, CTCK</t>
        </is>
      </c>
      <c r="J962" s="401" t="inlineStr">
        <is>
          <t>SCMS</t>
        </is>
      </c>
      <c r="K962" s="401" t="inlineStr">
        <is>
          <t>X</t>
        </is>
      </c>
      <c r="L962" s="395" t="inlineStr">
        <is>
          <t>X</t>
        </is>
      </c>
      <c r="M962" s="401" t="n"/>
      <c r="N962" s="395" t="inlineStr">
        <is>
          <t>Pending</t>
        </is>
      </c>
      <c r="O962" s="401" t="n"/>
      <c r="P962" s="395" t="n"/>
      <c r="Q962" s="395" t="n"/>
      <c r="R962" s="395" t="n"/>
      <c r="S962" s="395" t="n"/>
      <c r="T962" s="386" t="n"/>
      <c r="U962" s="386" t="n"/>
      <c r="V962" s="395" t="n"/>
      <c r="W962" s="395" t="n"/>
      <c r="X962" s="395" t="n"/>
      <c r="Y962" s="13" t="n"/>
      <c r="Z962" s="395" t="n"/>
      <c r="AA962" s="395" t="n"/>
      <c r="AB962" s="395" t="n"/>
      <c r="AC962" s="395" t="n"/>
      <c r="AD962" s="395" t="n"/>
      <c r="AE962" s="395" t="n"/>
    </row>
    <row r="963" ht="42" customHeight="1" s="380">
      <c r="A963" s="90" t="n">
        <v>59</v>
      </c>
      <c r="B963" s="386" t="n"/>
      <c r="C963" s="386" t="inlineStr">
        <is>
          <t>Hoạt động phái sinh &gt;&gt; Báo cáo về tiền gửi giao dịch phái sinh</t>
        </is>
      </c>
      <c r="D963" s="106" t="inlineStr">
        <is>
          <t>Tên báo cáo</t>
        </is>
      </c>
      <c r="E963" s="107" t="inlineStr">
        <is>
          <t>Tên báo cáo</t>
        </is>
      </c>
      <c r="F963" s="390" t="inlineStr">
        <is>
          <t>Data Explorer</t>
        </is>
      </c>
      <c r="G963" s="390" t="inlineStr">
        <is>
          <t>Chiều</t>
        </is>
      </c>
      <c r="H963" s="390" t="inlineStr">
        <is>
          <t>Dễ</t>
        </is>
      </c>
      <c r="I963" s="390" t="inlineStr">
        <is>
          <t>Ngày, CTCK</t>
        </is>
      </c>
      <c r="J963" s="401" t="inlineStr">
        <is>
          <t>SCMS</t>
        </is>
      </c>
      <c r="K963" s="401" t="inlineStr">
        <is>
          <t>X</t>
        </is>
      </c>
      <c r="L963" s="395" t="inlineStr">
        <is>
          <t>X</t>
        </is>
      </c>
      <c r="M963" s="401" t="n"/>
      <c r="N963" s="395" t="inlineStr">
        <is>
          <t>Pending</t>
        </is>
      </c>
      <c r="O963" s="401" t="n"/>
      <c r="P963" s="395" t="n"/>
      <c r="Q963" s="395" t="n"/>
      <c r="R963" s="395" t="n"/>
      <c r="S963" s="395" t="n"/>
      <c r="T963" s="386" t="n"/>
      <c r="U963" s="386" t="n"/>
      <c r="V963" s="395" t="n"/>
      <c r="W963" s="395" t="n"/>
      <c r="X963" s="395" t="n"/>
      <c r="Y963" s="13" t="n"/>
      <c r="Z963" s="395" t="n"/>
      <c r="AA963" s="395" t="n"/>
      <c r="AB963" s="395" t="n"/>
      <c r="AC963" s="395" t="n"/>
      <c r="AD963" s="395" t="n"/>
      <c r="AE963" s="395" t="n"/>
    </row>
    <row r="964" ht="42" customHeight="1" s="380">
      <c r="A964" s="90" t="n">
        <v>59</v>
      </c>
      <c r="B964" s="386" t="n"/>
      <c r="C964" s="386" t="inlineStr">
        <is>
          <t>Hoạt động phái sinh &gt;&gt; Báo cáo về tiền gửi giao dịch phái sinh</t>
        </is>
      </c>
      <c r="D964" s="106" t="inlineStr">
        <is>
          <t>Mã chỉ tiêu</t>
        </is>
      </c>
      <c r="E964" s="107" t="inlineStr">
        <is>
          <t>Mã chỉ tiêu</t>
        </is>
      </c>
      <c r="F964" s="390" t="inlineStr">
        <is>
          <t>Data Explorer</t>
        </is>
      </c>
      <c r="G964" s="390" t="inlineStr">
        <is>
          <t>Chiều</t>
        </is>
      </c>
      <c r="H964" s="390" t="inlineStr">
        <is>
          <t>Dễ</t>
        </is>
      </c>
      <c r="I964" s="390" t="inlineStr">
        <is>
          <t>Ngày, CTCK</t>
        </is>
      </c>
      <c r="J964" s="401" t="inlineStr">
        <is>
          <t>SCMS</t>
        </is>
      </c>
      <c r="K964" s="401" t="inlineStr">
        <is>
          <t>X</t>
        </is>
      </c>
      <c r="L964" s="395" t="inlineStr">
        <is>
          <t>X</t>
        </is>
      </c>
      <c r="M964" s="401" t="n"/>
      <c r="N964" s="395" t="inlineStr">
        <is>
          <t>Pending</t>
        </is>
      </c>
      <c r="O964" s="401" t="n"/>
      <c r="P964" s="395" t="n"/>
      <c r="Q964" s="395" t="n"/>
      <c r="R964" s="395" t="n"/>
      <c r="S964" s="395" t="n"/>
      <c r="T964" s="386" t="n"/>
      <c r="U964" s="386" t="n"/>
      <c r="V964" s="395" t="n"/>
      <c r="W964" s="395" t="n"/>
      <c r="X964" s="395" t="n"/>
      <c r="Y964" s="13" t="n"/>
      <c r="Z964" s="395" t="n"/>
      <c r="AA964" s="395" t="n"/>
      <c r="AB964" s="395" t="n"/>
      <c r="AC964" s="395" t="n"/>
      <c r="AD964" s="395" t="n"/>
      <c r="AE964" s="395" t="n"/>
    </row>
    <row r="965" ht="42" customHeight="1" s="380">
      <c r="A965" s="90" t="n">
        <v>59</v>
      </c>
      <c r="B965" s="386" t="n"/>
      <c r="C965" s="386" t="inlineStr">
        <is>
          <t>Hoạt động phái sinh &gt;&gt; Báo cáo về tiền gửi giao dịch phái sinh</t>
        </is>
      </c>
      <c r="D965" s="106" t="inlineStr">
        <is>
          <t>Tên chỉ tiêu</t>
        </is>
      </c>
      <c r="E965" s="107" t="inlineStr">
        <is>
          <t>Tên chỉ tiêu</t>
        </is>
      </c>
      <c r="F965" s="390" t="inlineStr">
        <is>
          <t>Data Explorer</t>
        </is>
      </c>
      <c r="G965" s="390" t="inlineStr">
        <is>
          <t>Chiều</t>
        </is>
      </c>
      <c r="H965" s="390" t="inlineStr">
        <is>
          <t>Dễ</t>
        </is>
      </c>
      <c r="I965" s="390" t="inlineStr">
        <is>
          <t>Ngày, CTCK</t>
        </is>
      </c>
      <c r="J965" s="401" t="inlineStr">
        <is>
          <t>SCMS</t>
        </is>
      </c>
      <c r="K965" s="401" t="inlineStr">
        <is>
          <t>X</t>
        </is>
      </c>
      <c r="L965" s="395" t="inlineStr">
        <is>
          <t>X</t>
        </is>
      </c>
      <c r="M965" s="401" t="n"/>
      <c r="N965" s="395" t="inlineStr">
        <is>
          <t>Pending</t>
        </is>
      </c>
      <c r="O965" s="401" t="n"/>
      <c r="P965" s="395" t="n"/>
      <c r="Q965" s="395" t="n"/>
      <c r="R965" s="395" t="n"/>
      <c r="S965" s="395" t="n"/>
      <c r="T965" s="386" t="n"/>
      <c r="U965" s="386" t="n"/>
      <c r="V965" s="395" t="n"/>
      <c r="W965" s="395" t="n"/>
      <c r="X965" s="395" t="n"/>
      <c r="Y965" s="14" t="n"/>
      <c r="Z965" s="395" t="n"/>
      <c r="AA965" s="395" t="n"/>
      <c r="AB965" s="395" t="n"/>
      <c r="AC965" s="395" t="n"/>
      <c r="AD965" s="395" t="n"/>
      <c r="AE965" s="395" t="n"/>
    </row>
    <row r="966" ht="42" customHeight="1" s="380">
      <c r="A966" s="90" t="n">
        <v>59</v>
      </c>
      <c r="B966" s="386" t="n"/>
      <c r="C966" s="386" t="inlineStr">
        <is>
          <t>Hoạt động phái sinh &gt;&gt; Báo cáo về tiền gửi giao dịch phái sinh</t>
        </is>
      </c>
      <c r="D966" s="386" t="inlineStr">
        <is>
          <t>Tên công ty chứng khoán</t>
        </is>
      </c>
      <c r="E966" s="395" t="inlineStr">
        <is>
          <t>Tên công ty chứng khoán</t>
        </is>
      </c>
      <c r="F966" s="386" t="inlineStr">
        <is>
          <t>Data Explorer</t>
        </is>
      </c>
      <c r="G966" s="386" t="inlineStr">
        <is>
          <t>Chỉ tiêu cơ sở</t>
        </is>
      </c>
      <c r="H966" s="386" t="inlineStr">
        <is>
          <t>Dễ</t>
        </is>
      </c>
      <c r="I966" s="386" t="inlineStr">
        <is>
          <t>Ngày, CTCK</t>
        </is>
      </c>
      <c r="J966" s="395" t="inlineStr">
        <is>
          <t>SCMS</t>
        </is>
      </c>
      <c r="K966" s="395" t="n"/>
      <c r="L966" s="395" t="inlineStr">
        <is>
          <t>X</t>
        </is>
      </c>
      <c r="M966" s="395" t="n"/>
      <c r="N966" s="395" t="inlineStr">
        <is>
          <t>Pending</t>
        </is>
      </c>
      <c r="O966" s="401" t="n"/>
      <c r="P966" s="395" t="n"/>
      <c r="Q966" s="395" t="n"/>
      <c r="R966" s="395" t="n"/>
      <c r="S966" s="395" t="n"/>
      <c r="T966" s="386" t="n"/>
      <c r="U966" s="386" t="n"/>
      <c r="V966" s="395" t="n"/>
      <c r="W966" s="395" t="n"/>
      <c r="X966" s="395" t="n"/>
      <c r="Y966" s="13" t="n"/>
      <c r="Z966" s="395" t="n"/>
      <c r="AA966" s="395" t="n"/>
      <c r="AB966" s="395" t="n"/>
      <c r="AC966" s="395" t="n"/>
      <c r="AD966" s="395" t="n"/>
      <c r="AE966" s="395" t="n"/>
    </row>
    <row r="967" ht="42" customHeight="1" s="380">
      <c r="A967" s="90" t="n">
        <v>59</v>
      </c>
      <c r="B967" s="386" t="n"/>
      <c r="C967" s="386" t="inlineStr">
        <is>
          <t>Hoạt động phái sinh &gt;&gt; Báo cáo về tiền gửi giao dịch phái sinh</t>
        </is>
      </c>
      <c r="D967" s="386" t="inlineStr">
        <is>
          <t>Sàn giao dịch</t>
        </is>
      </c>
      <c r="E967" s="395" t="inlineStr">
        <is>
          <t>Sàn giao dịch</t>
        </is>
      </c>
      <c r="F967" s="386" t="inlineStr">
        <is>
          <t>Data Explorer</t>
        </is>
      </c>
      <c r="G967" s="386" t="inlineStr">
        <is>
          <t>Chỉ tiêu cơ sở</t>
        </is>
      </c>
      <c r="H967" s="386" t="inlineStr">
        <is>
          <t>Dễ</t>
        </is>
      </c>
      <c r="I967" s="386" t="inlineStr">
        <is>
          <t>Ngày, CTCK</t>
        </is>
      </c>
      <c r="J967" s="395" t="inlineStr">
        <is>
          <t>SCMS</t>
        </is>
      </c>
      <c r="K967" s="395" t="n"/>
      <c r="L967" s="395" t="inlineStr">
        <is>
          <t>X</t>
        </is>
      </c>
      <c r="M967" s="395" t="n"/>
      <c r="N967" s="395" t="inlineStr">
        <is>
          <t>Pending</t>
        </is>
      </c>
      <c r="O967" s="401" t="n"/>
      <c r="P967" s="395" t="n"/>
      <c r="Q967" s="395" t="n"/>
      <c r="R967" s="395" t="n"/>
      <c r="S967" s="395" t="n"/>
      <c r="T967" s="386" t="n"/>
      <c r="U967" s="386" t="n"/>
      <c r="V967" s="395" t="n"/>
      <c r="W967" s="395" t="n"/>
      <c r="X967" s="395" t="n"/>
      <c r="Y967" s="13" t="n"/>
      <c r="Z967" s="395" t="n"/>
      <c r="AA967" s="395" t="n"/>
      <c r="AB967" s="395" t="n"/>
      <c r="AC967" s="395" t="n"/>
      <c r="AD967" s="395" t="n"/>
      <c r="AE967" s="395" t="n"/>
    </row>
    <row r="968" ht="42" customHeight="1" s="380">
      <c r="A968" s="90" t="n">
        <v>59</v>
      </c>
      <c r="B968" s="386" t="n"/>
      <c r="C968" s="386" t="inlineStr">
        <is>
          <t>Hoạt động phái sinh &gt;&gt; Báo cáo về tiền gửi giao dịch phái sinh</t>
        </is>
      </c>
      <c r="D968" s="386" t="inlineStr">
        <is>
          <t>Mã chứng khoán</t>
        </is>
      </c>
      <c r="E968" s="395" t="inlineStr">
        <is>
          <t>Mã chứng khoán</t>
        </is>
      </c>
      <c r="F968" s="386" t="inlineStr">
        <is>
          <t>Data Explorer</t>
        </is>
      </c>
      <c r="G968" s="386" t="inlineStr">
        <is>
          <t>Chỉ tiêu cơ sở</t>
        </is>
      </c>
      <c r="H968" s="386" t="inlineStr">
        <is>
          <t>Dễ</t>
        </is>
      </c>
      <c r="I968" s="386" t="inlineStr">
        <is>
          <t>Ngày, CTCK</t>
        </is>
      </c>
      <c r="J968" s="395" t="inlineStr">
        <is>
          <t>SCMS</t>
        </is>
      </c>
      <c r="K968" s="395" t="n"/>
      <c r="L968" s="395" t="inlineStr">
        <is>
          <t>X</t>
        </is>
      </c>
      <c r="M968" s="395" t="n"/>
      <c r="N968" s="395" t="inlineStr">
        <is>
          <t>Pending</t>
        </is>
      </c>
      <c r="O968" s="401" t="n"/>
      <c r="P968" s="395" t="n"/>
      <c r="Q968" s="395" t="n"/>
      <c r="R968" s="395" t="n"/>
      <c r="S968" s="395" t="n"/>
      <c r="T968" s="386" t="n"/>
      <c r="U968" s="386" t="n"/>
      <c r="V968" s="395" t="n"/>
      <c r="W968" s="395" t="n"/>
      <c r="X968" s="395" t="n"/>
      <c r="Y968" s="13" t="n"/>
      <c r="Z968" s="395" t="n"/>
      <c r="AA968" s="395" t="n"/>
      <c r="AB968" s="395" t="n"/>
      <c r="AC968" s="395" t="n"/>
      <c r="AD968" s="395" t="n"/>
      <c r="AE968" s="395" t="n"/>
    </row>
    <row r="969" ht="42" customHeight="1" s="380">
      <c r="A969" s="90" t="n">
        <v>59</v>
      </c>
      <c r="B969" s="386" t="n"/>
      <c r="C969" s="386" t="inlineStr">
        <is>
          <t>Hoạt động phái sinh &gt;&gt; Báo cáo về tiền gửi giao dịch phái sinh</t>
        </is>
      </c>
      <c r="D969" s="386" t="inlineStr">
        <is>
          <t>Số giấy phép thành lập</t>
        </is>
      </c>
      <c r="E969" s="395" t="inlineStr">
        <is>
          <t>Số giấy phép thành lập</t>
        </is>
      </c>
      <c r="F969" s="386" t="inlineStr">
        <is>
          <t>Data Explorer</t>
        </is>
      </c>
      <c r="G969" s="386" t="inlineStr">
        <is>
          <t>Chỉ tiêu cơ sở</t>
        </is>
      </c>
      <c r="H969" s="386" t="inlineStr">
        <is>
          <t>Dễ</t>
        </is>
      </c>
      <c r="I969" s="386" t="inlineStr">
        <is>
          <t>Ngày, CTCK</t>
        </is>
      </c>
      <c r="J969" s="395" t="inlineStr">
        <is>
          <t>SCMS</t>
        </is>
      </c>
      <c r="K969" s="395" t="n"/>
      <c r="L969" s="395" t="inlineStr">
        <is>
          <t>X</t>
        </is>
      </c>
      <c r="M969" s="395" t="n"/>
      <c r="N969" s="395" t="inlineStr">
        <is>
          <t>Pending</t>
        </is>
      </c>
      <c r="O969" s="401" t="n"/>
      <c r="P969" s="395" t="n"/>
      <c r="Q969" s="395" t="n"/>
      <c r="R969" s="395" t="n"/>
      <c r="S969" s="395" t="n"/>
      <c r="T969" s="386" t="n"/>
      <c r="U969" s="386" t="n"/>
      <c r="V969" s="395" t="n"/>
      <c r="W969" s="395" t="n"/>
      <c r="X969" s="395" t="n"/>
      <c r="Y969" s="13" t="n"/>
      <c r="Z969" s="395" t="n"/>
      <c r="AA969" s="395" t="n"/>
      <c r="AB969" s="395" t="n"/>
      <c r="AC969" s="395" t="n"/>
      <c r="AD969" s="395" t="n"/>
      <c r="AE969" s="395" t="n"/>
    </row>
    <row r="970" ht="42" customHeight="1" s="380">
      <c r="A970" s="90" t="n">
        <v>59</v>
      </c>
      <c r="B970" s="386" t="n"/>
      <c r="C970" s="386" t="inlineStr">
        <is>
          <t>Hoạt động phái sinh &gt;&gt; Báo cáo về tiền gửi giao dịch phái sinh</t>
        </is>
      </c>
      <c r="D970" s="386" t="inlineStr">
        <is>
          <t>Tên ngân hàng nhận tiền gửi</t>
        </is>
      </c>
      <c r="E970" s="395" t="inlineStr">
        <is>
          <t>Tên ngân hàng nhận tiền gửi</t>
        </is>
      </c>
      <c r="F970" s="386" t="inlineStr">
        <is>
          <t>Data Explorer</t>
        </is>
      </c>
      <c r="G970" s="386" t="inlineStr">
        <is>
          <t>Chỉ tiêu cơ sở</t>
        </is>
      </c>
      <c r="H970" s="386" t="inlineStr">
        <is>
          <t>Dễ</t>
        </is>
      </c>
      <c r="I970" s="386" t="inlineStr">
        <is>
          <t>Ngày, CTCK</t>
        </is>
      </c>
      <c r="J970" s="395" t="inlineStr">
        <is>
          <t>SCMS</t>
        </is>
      </c>
      <c r="K970" s="395" t="n"/>
      <c r="L970" s="395" t="inlineStr">
        <is>
          <t>X</t>
        </is>
      </c>
      <c r="M970" s="395" t="n"/>
      <c r="N970" s="395" t="inlineStr">
        <is>
          <t>Pending</t>
        </is>
      </c>
      <c r="O970" s="401" t="n"/>
      <c r="P970" s="395" t="n"/>
      <c r="Q970" s="395" t="n"/>
      <c r="R970" s="395" t="n"/>
      <c r="S970" s="395" t="n"/>
      <c r="T970" s="386" t="n"/>
      <c r="U970" s="386" t="n"/>
      <c r="V970" s="395" t="n"/>
      <c r="W970" s="395" t="n"/>
      <c r="X970" s="395" t="n"/>
      <c r="Y970" s="13" t="n"/>
      <c r="Z970" s="395" t="n"/>
      <c r="AA970" s="395" t="n"/>
      <c r="AB970" s="395" t="n"/>
      <c r="AC970" s="395" t="n"/>
      <c r="AD970" s="395" t="n"/>
      <c r="AE970" s="395" t="n"/>
    </row>
    <row r="971" ht="42" customHeight="1" s="380">
      <c r="A971" s="90" t="n">
        <v>59</v>
      </c>
      <c r="B971" s="386" t="n"/>
      <c r="C971" s="386" t="inlineStr">
        <is>
          <t>Hoạt động phái sinh &gt;&gt; Báo cáo về tiền gửi giao dịch phái sinh</t>
        </is>
      </c>
      <c r="D971" s="386" t="inlineStr">
        <is>
          <t>Số tài khoản</t>
        </is>
      </c>
      <c r="E971" s="395" t="inlineStr">
        <is>
          <t>Số tài khoản</t>
        </is>
      </c>
      <c r="F971" s="386" t="inlineStr">
        <is>
          <t>Data Explorer</t>
        </is>
      </c>
      <c r="G971" s="386" t="inlineStr">
        <is>
          <t>Chỉ tiêu cơ sở</t>
        </is>
      </c>
      <c r="H971" s="386" t="inlineStr">
        <is>
          <t>Dễ</t>
        </is>
      </c>
      <c r="I971" s="386" t="inlineStr">
        <is>
          <t>Ngày, CTCK</t>
        </is>
      </c>
      <c r="J971" s="395" t="inlineStr">
        <is>
          <t>SCMS</t>
        </is>
      </c>
      <c r="K971" s="395" t="n"/>
      <c r="L971" s="395" t="inlineStr">
        <is>
          <t>X</t>
        </is>
      </c>
      <c r="M971" s="395" t="n"/>
      <c r="N971" s="395" t="inlineStr">
        <is>
          <t>Pending</t>
        </is>
      </c>
      <c r="O971" s="401" t="n"/>
      <c r="P971" s="395" t="n"/>
      <c r="Q971" s="395" t="n"/>
      <c r="R971" s="395" t="n"/>
      <c r="S971" s="395" t="n"/>
      <c r="T971" s="386" t="n"/>
      <c r="U971" s="386" t="n"/>
      <c r="V971" s="395" t="n"/>
      <c r="W971" s="395" t="n"/>
      <c r="X971" s="395" t="n"/>
      <c r="Y971" s="38" t="n"/>
      <c r="Z971" s="395" t="n"/>
      <c r="AA971" s="395" t="n"/>
      <c r="AB971" s="395" t="n"/>
      <c r="AC971" s="395" t="n"/>
      <c r="AD971" s="395" t="n"/>
      <c r="AE971" s="395" t="n"/>
    </row>
    <row r="972" ht="42" customHeight="1" s="380">
      <c r="A972" s="91" t="n">
        <v>59</v>
      </c>
      <c r="B972" s="68" t="n"/>
      <c r="C972" s="68" t="inlineStr">
        <is>
          <t>Hoạt động phái sinh &gt;&gt; Báo cáo về tiền gửi giao dịch phái sinh</t>
        </is>
      </c>
      <c r="D972" s="68" t="inlineStr">
        <is>
          <t>Số dư trên tài khoản
(triệu đồng)</t>
        </is>
      </c>
      <c r="E972" s="69" t="inlineStr">
        <is>
          <t>Số dư trên tài khoản
(triệu đồng)</t>
        </is>
      </c>
      <c r="F972" s="68" t="inlineStr">
        <is>
          <t>Data Explorer</t>
        </is>
      </c>
      <c r="G972" s="68" t="inlineStr">
        <is>
          <t>Chỉ tiêu cơ sở</t>
        </is>
      </c>
      <c r="H972" s="68" t="inlineStr">
        <is>
          <t>Dễ</t>
        </is>
      </c>
      <c r="I972" s="68" t="inlineStr">
        <is>
          <t>Ngày, CTCK</t>
        </is>
      </c>
      <c r="J972" s="69" t="inlineStr">
        <is>
          <t>SCMS</t>
        </is>
      </c>
      <c r="K972" s="69" t="n"/>
      <c r="L972" s="69" t="inlineStr">
        <is>
          <t>X</t>
        </is>
      </c>
      <c r="M972" s="69" t="n"/>
      <c r="N972" s="69" t="inlineStr">
        <is>
          <t>Pending</t>
        </is>
      </c>
      <c r="O972" s="85" t="n"/>
      <c r="P972" s="69" t="n"/>
      <c r="Q972" s="69" t="n"/>
      <c r="R972" s="69" t="n"/>
      <c r="S972" s="69" t="n"/>
      <c r="T972" s="68" t="n"/>
      <c r="U972" s="68" t="n"/>
      <c r="V972" s="69" t="n"/>
      <c r="W972" s="69" t="n"/>
      <c r="X972" s="69" t="n"/>
      <c r="Y972" s="97" t="n"/>
      <c r="Z972" s="69" t="n"/>
      <c r="AA972" s="69" t="n"/>
      <c r="AB972" s="69" t="n"/>
      <c r="AC972" s="69" t="n"/>
      <c r="AD972" s="69" t="n"/>
      <c r="AE972" s="69" t="n"/>
    </row>
    <row r="973" ht="42" customHeight="1" s="380">
      <c r="A973" s="90" t="n">
        <v>60</v>
      </c>
      <c r="B973" s="100" t="inlineStr">
        <is>
          <t>Nga</t>
        </is>
      </c>
      <c r="C973" s="81" t="inlineStr">
        <is>
          <t>Hoạt động phái sinh &gt;&gt; Báo cáo về giao dịch phái sinh</t>
        </is>
      </c>
      <c r="D973" s="106" t="inlineStr">
        <is>
          <t>Loại báo cáo</t>
        </is>
      </c>
      <c r="E973" s="107" t="inlineStr">
        <is>
          <t>Loại báo cáo</t>
        </is>
      </c>
      <c r="F973" s="390" t="inlineStr">
        <is>
          <t>Data Explorer</t>
        </is>
      </c>
      <c r="G973" s="390" t="inlineStr">
        <is>
          <t>Chiều</t>
        </is>
      </c>
      <c r="H973" s="390" t="inlineStr">
        <is>
          <t>Dễ</t>
        </is>
      </c>
      <c r="I973" s="390" t="inlineStr">
        <is>
          <t>Ngày, CTCK</t>
        </is>
      </c>
      <c r="J973" s="401" t="inlineStr">
        <is>
          <t>SCMS</t>
        </is>
      </c>
      <c r="K973" s="401" t="inlineStr">
        <is>
          <t>X</t>
        </is>
      </c>
      <c r="L973" s="395" t="inlineStr">
        <is>
          <t>X</t>
        </is>
      </c>
      <c r="M973" s="401" t="n"/>
      <c r="N973" s="395" t="inlineStr">
        <is>
          <t>Pending</t>
        </is>
      </c>
      <c r="O973" s="401" t="n"/>
      <c r="P973" s="395" t="n"/>
      <c r="Q973" s="105" t="inlineStr">
        <is>
          <t>DB cũ không thấy biểu mẫu báo cáo này</t>
        </is>
      </c>
      <c r="R973" s="395" t="n"/>
      <c r="S973" s="395" t="n"/>
      <c r="T973" s="386" t="n"/>
      <c r="U973" s="386" t="n"/>
      <c r="V973" s="395" t="n"/>
      <c r="W973" s="395" t="n"/>
      <c r="X973" s="395" t="n"/>
      <c r="Y973" s="13" t="n"/>
      <c r="Z973" s="395" t="n"/>
      <c r="AA973" s="395" t="n"/>
      <c r="AB973" s="395" t="n"/>
      <c r="AC973" s="395" t="n"/>
      <c r="AD973" s="395" t="n"/>
      <c r="AE973" s="395" t="n"/>
    </row>
    <row r="974" ht="42" customHeight="1" s="380">
      <c r="A974" s="90" t="n">
        <v>60</v>
      </c>
      <c r="B974" s="386" t="n"/>
      <c r="C974" s="386" t="inlineStr">
        <is>
          <t>Hoạt động phái sinh &gt;&gt; Báo cáo về giao dịch phái sinh</t>
        </is>
      </c>
      <c r="D974" s="106" t="inlineStr">
        <is>
          <t>Kỳ báo cáo</t>
        </is>
      </c>
      <c r="E974" s="107" t="inlineStr">
        <is>
          <t>Kỳ báo cáo</t>
        </is>
      </c>
      <c r="F974" s="390" t="inlineStr">
        <is>
          <t>Data Explorer</t>
        </is>
      </c>
      <c r="G974" s="390" t="inlineStr">
        <is>
          <t>Chiều</t>
        </is>
      </c>
      <c r="H974" s="390" t="inlineStr">
        <is>
          <t>Dễ</t>
        </is>
      </c>
      <c r="I974" s="390" t="inlineStr">
        <is>
          <t>Ngày, CTCK</t>
        </is>
      </c>
      <c r="J974" s="401" t="inlineStr">
        <is>
          <t>SCMS</t>
        </is>
      </c>
      <c r="K974" s="401" t="inlineStr">
        <is>
          <t>X</t>
        </is>
      </c>
      <c r="L974" s="395" t="inlineStr">
        <is>
          <t>X</t>
        </is>
      </c>
      <c r="M974" s="401" t="n"/>
      <c r="N974" s="395" t="inlineStr">
        <is>
          <t>Pending</t>
        </is>
      </c>
      <c r="O974" s="401" t="n"/>
      <c r="P974" s="395" t="n"/>
      <c r="Q974" s="395" t="n"/>
      <c r="R974" s="395" t="n"/>
      <c r="S974" s="395" t="n"/>
      <c r="T974" s="386" t="n"/>
      <c r="U974" s="386" t="n"/>
      <c r="V974" s="395" t="n"/>
      <c r="W974" s="395" t="n"/>
      <c r="X974" s="395" t="n"/>
      <c r="Y974" s="13" t="n"/>
      <c r="Z974" s="395" t="n"/>
      <c r="AA974" s="395" t="n"/>
      <c r="AB974" s="395" t="n"/>
      <c r="AC974" s="395" t="n"/>
      <c r="AD974" s="395" t="n"/>
      <c r="AE974" s="395" t="n"/>
    </row>
    <row r="975" ht="42" customHeight="1" s="380">
      <c r="A975" s="90" t="n">
        <v>60</v>
      </c>
      <c r="B975" s="386" t="n"/>
      <c r="C975" s="386" t="inlineStr">
        <is>
          <t>Hoạt động phái sinh &gt;&gt; Báo cáo về giao dịch phái sinh</t>
        </is>
      </c>
      <c r="D975" s="106" t="inlineStr">
        <is>
          <t>Mã báo cáo</t>
        </is>
      </c>
      <c r="E975" s="107" t="inlineStr">
        <is>
          <t>Mã báo cáo</t>
        </is>
      </c>
      <c r="F975" s="390" t="inlineStr">
        <is>
          <t>Data Explorer</t>
        </is>
      </c>
      <c r="G975" s="390" t="inlineStr">
        <is>
          <t>Chiều</t>
        </is>
      </c>
      <c r="H975" s="390" t="inlineStr">
        <is>
          <t>Dễ</t>
        </is>
      </c>
      <c r="I975" s="390" t="inlineStr">
        <is>
          <t>Ngày, CTCK</t>
        </is>
      </c>
      <c r="J975" s="401" t="inlineStr">
        <is>
          <t>SCMS</t>
        </is>
      </c>
      <c r="K975" s="401" t="inlineStr">
        <is>
          <t>X</t>
        </is>
      </c>
      <c r="L975" s="395" t="inlineStr">
        <is>
          <t>X</t>
        </is>
      </c>
      <c r="M975" s="401" t="n"/>
      <c r="N975" s="395" t="inlineStr">
        <is>
          <t>Pending</t>
        </is>
      </c>
      <c r="O975" s="401" t="n"/>
      <c r="P975" s="395" t="n"/>
      <c r="Q975" s="395" t="n"/>
      <c r="R975" s="395" t="n"/>
      <c r="S975" s="395" t="n"/>
      <c r="T975" s="386" t="n"/>
      <c r="U975" s="386" t="n"/>
      <c r="V975" s="395" t="n"/>
      <c r="W975" s="395" t="n"/>
      <c r="X975" s="395" t="n"/>
      <c r="Y975" s="13" t="n"/>
      <c r="Z975" s="395" t="n"/>
      <c r="AA975" s="395" t="n"/>
      <c r="AB975" s="395" t="n"/>
      <c r="AC975" s="395" t="n"/>
      <c r="AD975" s="395" t="n"/>
      <c r="AE975" s="395" t="n"/>
    </row>
    <row r="976" ht="42" customHeight="1" s="380">
      <c r="A976" s="90" t="n">
        <v>60</v>
      </c>
      <c r="B976" s="386" t="n"/>
      <c r="C976" s="386" t="inlineStr">
        <is>
          <t>Hoạt động phái sinh &gt;&gt; Báo cáo về giao dịch phái sinh</t>
        </is>
      </c>
      <c r="D976" s="106" t="inlineStr">
        <is>
          <t>Tên báo cáo</t>
        </is>
      </c>
      <c r="E976" s="107" t="inlineStr">
        <is>
          <t>Tên báo cáo</t>
        </is>
      </c>
      <c r="F976" s="390" t="inlineStr">
        <is>
          <t>Data Explorer</t>
        </is>
      </c>
      <c r="G976" s="390" t="inlineStr">
        <is>
          <t>Chiều</t>
        </is>
      </c>
      <c r="H976" s="390" t="inlineStr">
        <is>
          <t>Dễ</t>
        </is>
      </c>
      <c r="I976" s="390" t="inlineStr">
        <is>
          <t>Ngày, CTCK</t>
        </is>
      </c>
      <c r="J976" s="401" t="inlineStr">
        <is>
          <t>SCMS</t>
        </is>
      </c>
      <c r="K976" s="401" t="inlineStr">
        <is>
          <t>X</t>
        </is>
      </c>
      <c r="L976" s="395" t="inlineStr">
        <is>
          <t>X</t>
        </is>
      </c>
      <c r="M976" s="401" t="n"/>
      <c r="N976" s="395" t="inlineStr">
        <is>
          <t>Pending</t>
        </is>
      </c>
      <c r="O976" s="401" t="n"/>
      <c r="P976" s="395" t="n"/>
      <c r="Q976" s="395" t="n"/>
      <c r="R976" s="395" t="n"/>
      <c r="S976" s="395" t="n"/>
      <c r="T976" s="386" t="n"/>
      <c r="U976" s="386" t="n"/>
      <c r="V976" s="395" t="n"/>
      <c r="W976" s="395" t="n"/>
      <c r="X976" s="395" t="n"/>
      <c r="Y976" s="13" t="n"/>
      <c r="Z976" s="395" t="n"/>
      <c r="AA976" s="395" t="n"/>
      <c r="AB976" s="395" t="n"/>
      <c r="AC976" s="395" t="n"/>
      <c r="AD976" s="395" t="n"/>
      <c r="AE976" s="395" t="n"/>
    </row>
    <row r="977" ht="42" customHeight="1" s="380">
      <c r="A977" s="90" t="n">
        <v>60</v>
      </c>
      <c r="B977" s="386" t="n"/>
      <c r="C977" s="386" t="inlineStr">
        <is>
          <t>Hoạt động phái sinh &gt;&gt; Báo cáo về giao dịch phái sinh</t>
        </is>
      </c>
      <c r="D977" s="106" t="inlineStr">
        <is>
          <t>Mã chỉ tiêu</t>
        </is>
      </c>
      <c r="E977" s="107" t="inlineStr">
        <is>
          <t>Mã chỉ tiêu</t>
        </is>
      </c>
      <c r="F977" s="390" t="inlineStr">
        <is>
          <t>Data Explorer</t>
        </is>
      </c>
      <c r="G977" s="390" t="inlineStr">
        <is>
          <t>Chiều</t>
        </is>
      </c>
      <c r="H977" s="390" t="inlineStr">
        <is>
          <t>Dễ</t>
        </is>
      </c>
      <c r="I977" s="390" t="inlineStr">
        <is>
          <t>Ngày, CTCK</t>
        </is>
      </c>
      <c r="J977" s="401" t="inlineStr">
        <is>
          <t>SCMS</t>
        </is>
      </c>
      <c r="K977" s="401" t="inlineStr">
        <is>
          <t>X</t>
        </is>
      </c>
      <c r="L977" s="395" t="inlineStr">
        <is>
          <t>X</t>
        </is>
      </c>
      <c r="M977" s="401" t="n"/>
      <c r="N977" s="395" t="inlineStr">
        <is>
          <t>Pending</t>
        </is>
      </c>
      <c r="O977" s="401" t="n"/>
      <c r="P977" s="395" t="n"/>
      <c r="Q977" s="395" t="n"/>
      <c r="R977" s="395" t="n"/>
      <c r="S977" s="395" t="n"/>
      <c r="T977" s="386" t="n"/>
      <c r="U977" s="386" t="n"/>
      <c r="V977" s="395" t="n"/>
      <c r="W977" s="395" t="n"/>
      <c r="X977" s="395" t="n"/>
      <c r="Y977" s="38" t="n"/>
      <c r="Z977" s="395" t="n"/>
      <c r="AA977" s="395" t="n"/>
      <c r="AB977" s="395" t="n"/>
      <c r="AC977" s="395" t="n"/>
      <c r="AD977" s="395" t="n"/>
      <c r="AE977" s="395" t="n"/>
    </row>
    <row r="978" ht="42" customHeight="1" s="380">
      <c r="A978" s="90" t="n">
        <v>60</v>
      </c>
      <c r="B978" s="386" t="n"/>
      <c r="C978" s="386" t="inlineStr">
        <is>
          <t>Hoạt động phái sinh &gt;&gt; Báo cáo về giao dịch phái sinh</t>
        </is>
      </c>
      <c r="D978" s="106" t="inlineStr">
        <is>
          <t>Tên chỉ tiêu</t>
        </is>
      </c>
      <c r="E978" s="107" t="inlineStr">
        <is>
          <t>Tên chỉ tiêu</t>
        </is>
      </c>
      <c r="F978" s="390" t="inlineStr">
        <is>
          <t>Data Explorer</t>
        </is>
      </c>
      <c r="G978" s="390" t="inlineStr">
        <is>
          <t>Chiều</t>
        </is>
      </c>
      <c r="H978" s="390" t="inlineStr">
        <is>
          <t>Dễ</t>
        </is>
      </c>
      <c r="I978" s="390" t="inlineStr">
        <is>
          <t>Ngày, CTCK</t>
        </is>
      </c>
      <c r="J978" s="401" t="inlineStr">
        <is>
          <t>SCMS</t>
        </is>
      </c>
      <c r="K978" s="401" t="inlineStr">
        <is>
          <t>X</t>
        </is>
      </c>
      <c r="L978" s="395" t="inlineStr">
        <is>
          <t>X</t>
        </is>
      </c>
      <c r="M978" s="401" t="n"/>
      <c r="N978" s="395" t="inlineStr">
        <is>
          <t>Pending</t>
        </is>
      </c>
      <c r="O978" s="401" t="n"/>
      <c r="P978" s="395" t="n"/>
      <c r="Q978" s="395" t="n"/>
      <c r="R978" s="395" t="n"/>
      <c r="S978" s="395" t="n"/>
      <c r="T978" s="386" t="n"/>
      <c r="U978" s="386" t="n"/>
      <c r="V978" s="395" t="n"/>
      <c r="W978" s="395" t="n"/>
      <c r="X978" s="395" t="n"/>
      <c r="Y978" s="13" t="n"/>
      <c r="Z978" s="395" t="n"/>
      <c r="AA978" s="395" t="n"/>
      <c r="AB978" s="395" t="n"/>
      <c r="AC978" s="395" t="n"/>
      <c r="AD978" s="395" t="n"/>
      <c r="AE978" s="395" t="n"/>
    </row>
    <row r="979" ht="42" customHeight="1" s="380">
      <c r="A979" s="90" t="n">
        <v>60</v>
      </c>
      <c r="B979" s="386" t="n"/>
      <c r="C979" s="386" t="inlineStr">
        <is>
          <t>Hoạt động phái sinh &gt;&gt; Báo cáo về giao dịch phái sinh</t>
        </is>
      </c>
      <c r="D979" s="386" t="inlineStr">
        <is>
          <t>Tên công ty</t>
        </is>
      </c>
      <c r="E979" s="395" t="inlineStr">
        <is>
          <t>Tên công ty</t>
        </is>
      </c>
      <c r="F979" s="386" t="inlineStr">
        <is>
          <t>Data Explorer</t>
        </is>
      </c>
      <c r="G979" s="386" t="inlineStr">
        <is>
          <t>Chỉ tiêu cơ sở</t>
        </is>
      </c>
      <c r="H979" s="386" t="inlineStr">
        <is>
          <t>Dễ</t>
        </is>
      </c>
      <c r="I979" s="386" t="inlineStr">
        <is>
          <t>Ngày, CTCK</t>
        </is>
      </c>
      <c r="J979" s="395" t="inlineStr">
        <is>
          <t>SCMS</t>
        </is>
      </c>
      <c r="K979" s="395" t="n"/>
      <c r="L979" s="395" t="inlineStr">
        <is>
          <t>X</t>
        </is>
      </c>
      <c r="M979" s="395" t="n"/>
      <c r="N979" s="395" t="inlineStr">
        <is>
          <t>Pending</t>
        </is>
      </c>
      <c r="O979" s="401" t="n"/>
      <c r="P979" s="395" t="n"/>
      <c r="Q979" s="395" t="n"/>
      <c r="R979" s="395" t="n"/>
      <c r="S979" s="395" t="n"/>
      <c r="T979" s="386" t="n"/>
      <c r="U979" s="386" t="n"/>
      <c r="V979" s="395" t="n"/>
      <c r="W979" s="395" t="n"/>
      <c r="X979" s="395" t="n"/>
      <c r="Y979" s="13" t="n"/>
      <c r="Z979" s="395" t="n"/>
      <c r="AA979" s="395" t="n"/>
      <c r="AB979" s="395" t="n"/>
      <c r="AC979" s="395" t="n"/>
      <c r="AD979" s="395" t="n"/>
      <c r="AE979" s="395" t="n"/>
    </row>
    <row r="980" ht="42" customHeight="1" s="380">
      <c r="A980" s="90" t="n">
        <v>60</v>
      </c>
      <c r="B980" s="386" t="n"/>
      <c r="C980" s="386" t="inlineStr">
        <is>
          <t>Hoạt động phái sinh &gt;&gt; Báo cáo về giao dịch phái sinh</t>
        </is>
      </c>
      <c r="D980" s="386" t="inlineStr">
        <is>
          <t>Sàn giao dịch</t>
        </is>
      </c>
      <c r="E980" s="395" t="inlineStr">
        <is>
          <t>Sàn giao dịch</t>
        </is>
      </c>
      <c r="F980" s="386" t="inlineStr">
        <is>
          <t>Data Explorer</t>
        </is>
      </c>
      <c r="G980" s="386" t="inlineStr">
        <is>
          <t>Chỉ tiêu cơ sở</t>
        </is>
      </c>
      <c r="H980" s="386" t="inlineStr">
        <is>
          <t>Dễ</t>
        </is>
      </c>
      <c r="I980" s="386" t="inlineStr">
        <is>
          <t>Ngày, CTCK</t>
        </is>
      </c>
      <c r="J980" s="395" t="inlineStr">
        <is>
          <t>SCMS</t>
        </is>
      </c>
      <c r="K980" s="395" t="n"/>
      <c r="L980" s="395" t="inlineStr">
        <is>
          <t>X</t>
        </is>
      </c>
      <c r="M980" s="395" t="n"/>
      <c r="N980" s="395" t="inlineStr">
        <is>
          <t>Pending</t>
        </is>
      </c>
      <c r="O980" s="401" t="n"/>
      <c r="P980" s="395" t="n"/>
      <c r="Q980" s="395" t="n"/>
      <c r="R980" s="395" t="n"/>
      <c r="S980" s="395" t="n"/>
      <c r="T980" s="386" t="n"/>
      <c r="U980" s="386" t="n"/>
      <c r="V980" s="395" t="n"/>
      <c r="W980" s="395" t="n"/>
      <c r="X980" s="395" t="n"/>
      <c r="Y980" s="13" t="n"/>
      <c r="Z980" s="395" t="n"/>
      <c r="AA980" s="395" t="n"/>
      <c r="AB980" s="395" t="n"/>
      <c r="AC980" s="395" t="n"/>
      <c r="AD980" s="395" t="n"/>
      <c r="AE980" s="395" t="n"/>
    </row>
    <row r="981" ht="42" customHeight="1" s="380">
      <c r="A981" s="90" t="n">
        <v>60</v>
      </c>
      <c r="B981" s="386" t="n"/>
      <c r="C981" s="386" t="inlineStr">
        <is>
          <t>Hoạt động phái sinh &gt;&gt; Báo cáo về giao dịch phái sinh</t>
        </is>
      </c>
      <c r="D981" s="386" t="inlineStr">
        <is>
          <t>Mã chứng khoán</t>
        </is>
      </c>
      <c r="E981" s="395" t="inlineStr">
        <is>
          <t>Mã chứng khoán</t>
        </is>
      </c>
      <c r="F981" s="386" t="inlineStr">
        <is>
          <t>Data Explorer</t>
        </is>
      </c>
      <c r="G981" s="386" t="inlineStr">
        <is>
          <t>Chỉ tiêu cơ sở</t>
        </is>
      </c>
      <c r="H981" s="386" t="inlineStr">
        <is>
          <t>Dễ</t>
        </is>
      </c>
      <c r="I981" s="386" t="inlineStr">
        <is>
          <t>Ngày, CTCK</t>
        </is>
      </c>
      <c r="J981" s="395" t="inlineStr">
        <is>
          <t>SCMS</t>
        </is>
      </c>
      <c r="K981" s="395" t="n"/>
      <c r="L981" s="395" t="inlineStr">
        <is>
          <t>X</t>
        </is>
      </c>
      <c r="M981" s="395" t="n"/>
      <c r="N981" s="395" t="inlineStr">
        <is>
          <t>Pending</t>
        </is>
      </c>
      <c r="O981" s="401" t="n"/>
      <c r="P981" s="395" t="n"/>
      <c r="Q981" s="395" t="n"/>
      <c r="R981" s="395" t="n"/>
      <c r="S981" s="395" t="n"/>
      <c r="T981" s="386" t="n"/>
      <c r="U981" s="386" t="n"/>
      <c r="V981" s="395" t="n"/>
      <c r="W981" s="395" t="n"/>
      <c r="X981" s="395" t="n"/>
      <c r="Y981" s="13" t="n"/>
      <c r="Z981" s="395" t="n"/>
      <c r="AA981" s="395" t="n"/>
      <c r="AB981" s="395" t="n"/>
      <c r="AC981" s="395" t="n"/>
      <c r="AD981" s="395" t="n"/>
      <c r="AE981" s="395" t="n"/>
    </row>
    <row r="982" ht="42" customHeight="1" s="380">
      <c r="A982" s="90" t="n">
        <v>60</v>
      </c>
      <c r="B982" s="386" t="n"/>
      <c r="C982" s="386" t="inlineStr">
        <is>
          <t>Hoạt động phái sinh &gt;&gt; Báo cáo về giao dịch phái sinh</t>
        </is>
      </c>
      <c r="D982" s="386" t="inlineStr">
        <is>
          <t>Số giấy phép thành lập</t>
        </is>
      </c>
      <c r="E982" s="395" t="inlineStr">
        <is>
          <t>Số giấy phép thành lập</t>
        </is>
      </c>
      <c r="F982" s="386" t="inlineStr">
        <is>
          <t>Data Explorer</t>
        </is>
      </c>
      <c r="G982" s="386" t="inlineStr">
        <is>
          <t>Chỉ tiêu cơ sở</t>
        </is>
      </c>
      <c r="H982" s="386" t="inlineStr">
        <is>
          <t>Dễ</t>
        </is>
      </c>
      <c r="I982" s="386" t="inlineStr">
        <is>
          <t>Ngày, CTCK</t>
        </is>
      </c>
      <c r="J982" s="395" t="inlineStr">
        <is>
          <t>SCMS</t>
        </is>
      </c>
      <c r="K982" s="395" t="n"/>
      <c r="L982" s="395" t="inlineStr">
        <is>
          <t>X</t>
        </is>
      </c>
      <c r="M982" s="395" t="n"/>
      <c r="N982" s="395" t="inlineStr">
        <is>
          <t>Pending</t>
        </is>
      </c>
      <c r="O982" s="401" t="n"/>
      <c r="P982" s="395" t="n"/>
      <c r="Q982" s="395" t="n"/>
      <c r="R982" s="395" t="n"/>
      <c r="S982" s="395" t="n"/>
      <c r="T982" s="386" t="n"/>
      <c r="U982" s="386" t="n"/>
      <c r="V982" s="395" t="n"/>
      <c r="W982" s="395" t="n"/>
      <c r="X982" s="395" t="n"/>
      <c r="Y982" s="13" t="n"/>
      <c r="Z982" s="395" t="n"/>
      <c r="AA982" s="395" t="n"/>
      <c r="AB982" s="395" t="n"/>
      <c r="AC982" s="395" t="n"/>
      <c r="AD982" s="395" t="n"/>
      <c r="AE982" s="395" t="n"/>
    </row>
    <row r="983" ht="42" customHeight="1" s="380">
      <c r="A983" s="90" t="n">
        <v>60</v>
      </c>
      <c r="B983" s="386" t="n"/>
      <c r="C983" s="386" t="inlineStr">
        <is>
          <t>Hoạt động phái sinh &gt;&gt; Báo cáo về giao dịch phái sinh</t>
        </is>
      </c>
      <c r="D983" s="386" t="inlineStr">
        <is>
          <t>Tên sản phẩm</t>
        </is>
      </c>
      <c r="E983" s="395" t="inlineStr">
        <is>
          <t>Tên sản phẩm</t>
        </is>
      </c>
      <c r="F983" s="386" t="inlineStr">
        <is>
          <t>Data Explorer</t>
        </is>
      </c>
      <c r="G983" s="386" t="inlineStr">
        <is>
          <t>Chỉ tiêu cơ sở</t>
        </is>
      </c>
      <c r="H983" s="386" t="inlineStr">
        <is>
          <t>Dễ</t>
        </is>
      </c>
      <c r="I983" s="386" t="inlineStr">
        <is>
          <t>Ngày, CTCK</t>
        </is>
      </c>
      <c r="J983" s="395" t="inlineStr">
        <is>
          <t>SCMS</t>
        </is>
      </c>
      <c r="K983" s="395" t="n"/>
      <c r="L983" s="395" t="inlineStr">
        <is>
          <t>X</t>
        </is>
      </c>
      <c r="M983" s="395" t="n"/>
      <c r="N983" s="395" t="inlineStr">
        <is>
          <t>Pending</t>
        </is>
      </c>
      <c r="O983" s="401" t="n"/>
      <c r="P983" s="395" t="n"/>
      <c r="Q983" s="395" t="n"/>
      <c r="R983" s="395" t="n"/>
      <c r="S983" s="395" t="n"/>
      <c r="T983" s="386" t="n"/>
      <c r="U983" s="386" t="n"/>
      <c r="V983" s="395" t="n"/>
      <c r="W983" s="395" t="n"/>
      <c r="X983" s="395" t="n"/>
      <c r="Y983" s="38" t="n"/>
      <c r="Z983" s="395" t="n"/>
      <c r="AA983" s="395" t="n"/>
      <c r="AB983" s="395" t="n"/>
      <c r="AC983" s="395" t="n"/>
      <c r="AD983" s="395" t="n"/>
      <c r="AE983" s="395" t="n"/>
    </row>
    <row r="984" ht="42" customHeight="1" s="380">
      <c r="A984" s="90" t="n">
        <v>60</v>
      </c>
      <c r="B984" s="386" t="n"/>
      <c r="C984" s="386" t="inlineStr">
        <is>
          <t>Hoạt động phái sinh &gt;&gt; Báo cáo về giao dịch phái sinh</t>
        </is>
      </c>
      <c r="D984" s="386" t="inlineStr">
        <is>
          <t>Nhà đầu tư trong nước &gt;&gt; Tổng mua &gt;&gt; Trong kỳ</t>
        </is>
      </c>
      <c r="E984" s="386" t="inlineStr">
        <is>
          <t>Nhà đầu tư trong nước &gt;&gt; Tổng mua &gt;&gt; Trong kỳ</t>
        </is>
      </c>
      <c r="F984" s="386" t="inlineStr">
        <is>
          <t>Data Explorer</t>
        </is>
      </c>
      <c r="G984" s="386" t="inlineStr">
        <is>
          <t>Chỉ tiêu cơ sở</t>
        </is>
      </c>
      <c r="H984" s="386" t="inlineStr">
        <is>
          <t>TB</t>
        </is>
      </c>
      <c r="I984" s="386" t="inlineStr">
        <is>
          <t>Ngày, CTCK</t>
        </is>
      </c>
      <c r="J984" s="395" t="inlineStr">
        <is>
          <t>SCMS</t>
        </is>
      </c>
      <c r="K984" s="395" t="n"/>
      <c r="L984" s="395" t="inlineStr">
        <is>
          <t>X</t>
        </is>
      </c>
      <c r="M984" s="395" t="n"/>
      <c r="N984" s="395" t="inlineStr">
        <is>
          <t>Pending</t>
        </is>
      </c>
      <c r="O984" s="401" t="n"/>
      <c r="P984" s="395" t="n"/>
      <c r="Q984" s="395" t="n"/>
      <c r="R984" s="395" t="n"/>
      <c r="S984" s="395" t="n"/>
      <c r="T984" s="386" t="n"/>
      <c r="U984" s="386" t="n"/>
      <c r="V984" s="395" t="n"/>
      <c r="W984" s="395" t="n"/>
      <c r="X984" s="395" t="n"/>
      <c r="Y984" s="13" t="n"/>
      <c r="Z984" s="395" t="n"/>
      <c r="AA984" s="395" t="n"/>
      <c r="AB984" s="395" t="n"/>
      <c r="AC984" s="395" t="n"/>
      <c r="AD984" s="395" t="n"/>
      <c r="AE984" s="395" t="n"/>
    </row>
    <row r="985" ht="42" customHeight="1" s="380">
      <c r="A985" s="90" t="n">
        <v>60</v>
      </c>
      <c r="B985" s="386" t="n"/>
      <c r="C985" s="386" t="inlineStr">
        <is>
          <t>Hoạt động phái sinh &gt;&gt; Báo cáo về giao dịch phái sinh</t>
        </is>
      </c>
      <c r="D985" s="386" t="inlineStr">
        <is>
          <t>Nhà đầu tư trong nước &gt;&gt; Tổng mua &gt;&gt; Lũy kế từ đầu năm</t>
        </is>
      </c>
      <c r="E985" s="386" t="inlineStr">
        <is>
          <t>Nhà đầu tư trong nước &gt;&gt; Tổng mua &gt;&gt; Lũy kế từ đầu năm</t>
        </is>
      </c>
      <c r="F985" s="386" t="inlineStr">
        <is>
          <t>Data Explorer</t>
        </is>
      </c>
      <c r="G985" s="386" t="inlineStr">
        <is>
          <t>Chỉ tiêu cơ sở</t>
        </is>
      </c>
      <c r="H985" s="386" t="inlineStr">
        <is>
          <t>TB</t>
        </is>
      </c>
      <c r="I985" s="386" t="inlineStr">
        <is>
          <t>Ngày, CTCK</t>
        </is>
      </c>
      <c r="J985" s="395" t="inlineStr">
        <is>
          <t>SCMS</t>
        </is>
      </c>
      <c r="K985" s="395" t="n"/>
      <c r="L985" s="395" t="inlineStr">
        <is>
          <t>X</t>
        </is>
      </c>
      <c r="M985" s="395" t="n"/>
      <c r="N985" s="395" t="inlineStr">
        <is>
          <t>Pending</t>
        </is>
      </c>
      <c r="O985" s="401" t="n"/>
      <c r="P985" s="395" t="n"/>
      <c r="Q985" s="395" t="n"/>
      <c r="R985" s="395" t="n"/>
      <c r="S985" s="395" t="n"/>
      <c r="T985" s="386" t="n"/>
      <c r="U985" s="386" t="n"/>
      <c r="V985" s="395" t="n"/>
      <c r="W985" s="395" t="n"/>
      <c r="X985" s="395" t="n"/>
      <c r="Y985" s="13" t="n"/>
      <c r="Z985" s="395" t="n"/>
      <c r="AA985" s="395" t="n"/>
      <c r="AB985" s="395" t="n"/>
      <c r="AC985" s="395" t="n"/>
      <c r="AD985" s="395" t="n"/>
      <c r="AE985" s="395" t="n"/>
    </row>
    <row r="986" ht="42" customHeight="1" s="380">
      <c r="A986" s="90" t="n">
        <v>60</v>
      </c>
      <c r="B986" s="386" t="n"/>
      <c r="C986" s="386" t="inlineStr">
        <is>
          <t>Hoạt động phái sinh &gt;&gt; Báo cáo về giao dịch phái sinh</t>
        </is>
      </c>
      <c r="D986" s="386" t="inlineStr">
        <is>
          <t>Nhà đầu tư trong nước &gt;&gt; Tổng bán &gt;&gt; Trong kỳ</t>
        </is>
      </c>
      <c r="E986" s="386" t="inlineStr">
        <is>
          <t>Nhà đầu tư trong nước &gt;&gt; Tổng bán &gt;&gt; Trong kỳ</t>
        </is>
      </c>
      <c r="F986" s="386" t="inlineStr">
        <is>
          <t>Data Explorer</t>
        </is>
      </c>
      <c r="G986" s="386" t="inlineStr">
        <is>
          <t>Chỉ tiêu cơ sở</t>
        </is>
      </c>
      <c r="H986" s="386" t="inlineStr">
        <is>
          <t>TB</t>
        </is>
      </c>
      <c r="I986" s="386" t="inlineStr">
        <is>
          <t>Ngày, CTCK</t>
        </is>
      </c>
      <c r="J986" s="395" t="inlineStr">
        <is>
          <t>SCMS</t>
        </is>
      </c>
      <c r="K986" s="395" t="n"/>
      <c r="L986" s="395" t="inlineStr">
        <is>
          <t>X</t>
        </is>
      </c>
      <c r="M986" s="395" t="n"/>
      <c r="N986" s="395" t="inlineStr">
        <is>
          <t>Pending</t>
        </is>
      </c>
      <c r="O986" s="401" t="n"/>
      <c r="P986" s="395" t="n"/>
      <c r="Q986" s="395" t="n"/>
      <c r="R986" s="395" t="n"/>
      <c r="S986" s="395" t="n"/>
      <c r="T986" s="386" t="n"/>
      <c r="U986" s="386" t="n"/>
      <c r="V986" s="395" t="n"/>
      <c r="W986" s="395" t="n"/>
      <c r="X986" s="395" t="n"/>
      <c r="Y986" s="13" t="n"/>
      <c r="Z986" s="395" t="n"/>
      <c r="AA986" s="395" t="n"/>
      <c r="AB986" s="395" t="n"/>
      <c r="AC986" s="395" t="n"/>
      <c r="AD986" s="395" t="n"/>
      <c r="AE986" s="395" t="n"/>
    </row>
    <row r="987" ht="42" customHeight="1" s="380">
      <c r="A987" s="90" t="n">
        <v>60</v>
      </c>
      <c r="B987" s="386" t="n"/>
      <c r="C987" s="386" t="inlineStr">
        <is>
          <t>Hoạt động phái sinh &gt;&gt; Báo cáo về giao dịch phái sinh</t>
        </is>
      </c>
      <c r="D987" s="386" t="inlineStr">
        <is>
          <t>Nhà đầu tư trong nước &gt;&gt; Tổng bán &gt;&gt; Lũy kế từ đầu năm</t>
        </is>
      </c>
      <c r="E987" s="386" t="inlineStr">
        <is>
          <t>Nhà đầu tư trong nước &gt;&gt; Tổng bán &gt;&gt; Lũy kế từ đầu năm</t>
        </is>
      </c>
      <c r="F987" s="386" t="inlineStr">
        <is>
          <t>Data Explorer</t>
        </is>
      </c>
      <c r="G987" s="386" t="inlineStr">
        <is>
          <t>Chỉ tiêu cơ sở</t>
        </is>
      </c>
      <c r="H987" s="386" t="inlineStr">
        <is>
          <t>TB</t>
        </is>
      </c>
      <c r="I987" s="386" t="inlineStr">
        <is>
          <t>Ngày, CTCK</t>
        </is>
      </c>
      <c r="J987" s="395" t="inlineStr">
        <is>
          <t>SCMS</t>
        </is>
      </c>
      <c r="K987" s="395" t="n"/>
      <c r="L987" s="395" t="inlineStr">
        <is>
          <t>X</t>
        </is>
      </c>
      <c r="M987" s="395" t="n"/>
      <c r="N987" s="395" t="inlineStr">
        <is>
          <t>Pending</t>
        </is>
      </c>
      <c r="O987" s="401" t="n"/>
      <c r="P987" s="395" t="n"/>
      <c r="Q987" s="395" t="n"/>
      <c r="R987" s="395" t="n"/>
      <c r="S987" s="395" t="n"/>
      <c r="T987" s="386" t="n"/>
      <c r="U987" s="386" t="n"/>
      <c r="V987" s="395" t="n"/>
      <c r="W987" s="395" t="n"/>
      <c r="X987" s="395" t="n"/>
      <c r="Y987" s="13" t="n"/>
      <c r="Z987" s="395" t="n"/>
      <c r="AA987" s="395" t="n"/>
      <c r="AB987" s="395" t="n"/>
      <c r="AC987" s="395" t="n"/>
      <c r="AD987" s="395" t="n"/>
      <c r="AE987" s="395" t="n"/>
    </row>
    <row r="988" ht="42" customHeight="1" s="380">
      <c r="A988" s="90" t="n">
        <v>60</v>
      </c>
      <c r="B988" s="386" t="n"/>
      <c r="C988" s="386" t="inlineStr">
        <is>
          <t>Hoạt động phái sinh &gt;&gt; Báo cáo về giao dịch phái sinh</t>
        </is>
      </c>
      <c r="D988" s="386" t="inlineStr">
        <is>
          <t>Nhà đầu tư trong nước &gt;&gt; Tổng mua và bán &gt;&gt; Trong kỳ</t>
        </is>
      </c>
      <c r="E988" s="386" t="inlineStr">
        <is>
          <t>Nhà đầu tư trong nước &gt;&gt; Tổng mua và bán &gt;&gt; Trong kỳ</t>
        </is>
      </c>
      <c r="F988" s="386" t="inlineStr">
        <is>
          <t>Data Explorer</t>
        </is>
      </c>
      <c r="G988" s="386" t="inlineStr">
        <is>
          <t>Chỉ tiêu cơ sở</t>
        </is>
      </c>
      <c r="H988" s="386" t="inlineStr">
        <is>
          <t>TB</t>
        </is>
      </c>
      <c r="I988" s="386" t="inlineStr">
        <is>
          <t>Ngày, CTCK</t>
        </is>
      </c>
      <c r="J988" s="395" t="inlineStr">
        <is>
          <t>SCMS</t>
        </is>
      </c>
      <c r="K988" s="395" t="n"/>
      <c r="L988" s="395" t="inlineStr">
        <is>
          <t>X</t>
        </is>
      </c>
      <c r="M988" s="395" t="n"/>
      <c r="N988" s="395" t="inlineStr">
        <is>
          <t>Pending</t>
        </is>
      </c>
      <c r="O988" s="401" t="n"/>
      <c r="P988" s="395" t="n"/>
      <c r="Q988" s="395" t="n"/>
      <c r="R988" s="395" t="n"/>
      <c r="S988" s="395" t="n"/>
      <c r="T988" s="386" t="n"/>
      <c r="U988" s="386" t="n"/>
      <c r="V988" s="395" t="n"/>
      <c r="W988" s="395" t="n"/>
      <c r="X988" s="395" t="n"/>
      <c r="Y988" s="13" t="n"/>
      <c r="Z988" s="395" t="n"/>
      <c r="AA988" s="395" t="n"/>
      <c r="AB988" s="395" t="n"/>
      <c r="AC988" s="395" t="n"/>
      <c r="AD988" s="395" t="n"/>
      <c r="AE988" s="395" t="n"/>
    </row>
    <row r="989" ht="42" customHeight="1" s="380">
      <c r="A989" s="90" t="n">
        <v>60</v>
      </c>
      <c r="B989" s="386" t="n"/>
      <c r="C989" s="386" t="inlineStr">
        <is>
          <t>Hoạt động phái sinh &gt;&gt; Báo cáo về giao dịch phái sinh</t>
        </is>
      </c>
      <c r="D989" s="386" t="inlineStr">
        <is>
          <t>Nhà đầu tư trong nước &gt;&gt; Tổng mua và bán &gt;&gt; Lũy kế từ đầu năm</t>
        </is>
      </c>
      <c r="E989" s="386" t="inlineStr">
        <is>
          <t>Nhà đầu tư trong nước &gt;&gt; Tổng mua và bán &gt;&gt; Lũy kế từ đầu năm</t>
        </is>
      </c>
      <c r="F989" s="386" t="inlineStr">
        <is>
          <t>Data Explorer</t>
        </is>
      </c>
      <c r="G989" s="386" t="inlineStr">
        <is>
          <t>Chỉ tiêu cơ sở</t>
        </is>
      </c>
      <c r="H989" s="386" t="inlineStr">
        <is>
          <t>TB</t>
        </is>
      </c>
      <c r="I989" s="386" t="inlineStr">
        <is>
          <t>Ngày, CTCK</t>
        </is>
      </c>
      <c r="J989" s="395" t="inlineStr">
        <is>
          <t>SCMS</t>
        </is>
      </c>
      <c r="K989" s="395" t="n"/>
      <c r="L989" s="395" t="inlineStr">
        <is>
          <t>X</t>
        </is>
      </c>
      <c r="M989" s="395" t="n"/>
      <c r="N989" s="395" t="inlineStr">
        <is>
          <t>Pending</t>
        </is>
      </c>
      <c r="O989" s="401" t="n"/>
      <c r="P989" s="395" t="n"/>
      <c r="Q989" s="395" t="n"/>
      <c r="R989" s="395" t="n"/>
      <c r="S989" s="395" t="n"/>
      <c r="T989" s="386" t="n"/>
      <c r="U989" s="386" t="n"/>
      <c r="V989" s="395" t="n"/>
      <c r="W989" s="395" t="n"/>
      <c r="X989" s="395" t="n"/>
      <c r="Y989" s="38" t="n"/>
      <c r="Z989" s="395" t="n"/>
      <c r="AA989" s="395" t="n"/>
      <c r="AB989" s="395" t="n"/>
      <c r="AC989" s="395" t="n"/>
      <c r="AD989" s="395" t="n"/>
      <c r="AE989" s="395" t="n"/>
    </row>
    <row r="990" ht="42" customHeight="1" s="380">
      <c r="A990" s="90" t="n">
        <v>60</v>
      </c>
      <c r="B990" s="386" t="n"/>
      <c r="C990" s="386" t="inlineStr">
        <is>
          <t>Hoạt động phái sinh &gt;&gt; Báo cáo về giao dịch phái sinh</t>
        </is>
      </c>
      <c r="D990" s="386" t="inlineStr">
        <is>
          <t>Nhà đầu tư nước ngoài &gt;&gt; Tổng mua &gt;&gt; Trong kỳ</t>
        </is>
      </c>
      <c r="E990" s="386" t="inlineStr">
        <is>
          <t>Nhà đầu tư nước ngoài &gt;&gt; Tổng mua &gt;&gt; Trong kỳ</t>
        </is>
      </c>
      <c r="F990" s="386" t="inlineStr">
        <is>
          <t>Data Explorer</t>
        </is>
      </c>
      <c r="G990" s="386" t="inlineStr">
        <is>
          <t>Chỉ tiêu cơ sở</t>
        </is>
      </c>
      <c r="H990" s="386" t="inlineStr">
        <is>
          <t>TB</t>
        </is>
      </c>
      <c r="I990" s="386" t="inlineStr">
        <is>
          <t>Ngày, CTCK</t>
        </is>
      </c>
      <c r="J990" s="395" t="inlineStr">
        <is>
          <t>SCMS</t>
        </is>
      </c>
      <c r="K990" s="395" t="n"/>
      <c r="L990" s="395" t="inlineStr">
        <is>
          <t>X</t>
        </is>
      </c>
      <c r="M990" s="395" t="n"/>
      <c r="N990" s="395" t="inlineStr">
        <is>
          <t>Pending</t>
        </is>
      </c>
      <c r="O990" s="401" t="n"/>
      <c r="P990" s="395" t="n"/>
      <c r="Q990" s="395" t="n"/>
      <c r="R990" s="395" t="n"/>
      <c r="S990" s="395" t="n"/>
      <c r="T990" s="386" t="n"/>
      <c r="U990" s="386" t="n"/>
      <c r="V990" s="395" t="n"/>
      <c r="W990" s="395" t="n"/>
      <c r="X990" s="395" t="n"/>
      <c r="Y990" s="13" t="n"/>
      <c r="Z990" s="395" t="n"/>
      <c r="AA990" s="395" t="n"/>
      <c r="AB990" s="395" t="n"/>
      <c r="AC990" s="395" t="n"/>
      <c r="AD990" s="395" t="n"/>
      <c r="AE990" s="395" t="n"/>
    </row>
    <row r="991" ht="42" customHeight="1" s="380">
      <c r="A991" s="90" t="n">
        <v>60</v>
      </c>
      <c r="B991" s="386" t="n"/>
      <c r="C991" s="386" t="inlineStr">
        <is>
          <t>Hoạt động phái sinh &gt;&gt; Báo cáo về giao dịch phái sinh</t>
        </is>
      </c>
      <c r="D991" s="386" t="inlineStr">
        <is>
          <t>Nhà đầu tư nước ngoài &gt;&gt; Tổng mua &gt;&gt; Lũy kế từ đầu năm</t>
        </is>
      </c>
      <c r="E991" s="386" t="inlineStr">
        <is>
          <t>Nhà đầu tư nước ngoài &gt;&gt; Tổng mua &gt;&gt; Lũy kế từ đầu năm</t>
        </is>
      </c>
      <c r="F991" s="386" t="inlineStr">
        <is>
          <t>Data Explorer</t>
        </is>
      </c>
      <c r="G991" s="386" t="inlineStr">
        <is>
          <t>Chỉ tiêu cơ sở</t>
        </is>
      </c>
      <c r="H991" s="386" t="inlineStr">
        <is>
          <t>TB</t>
        </is>
      </c>
      <c r="I991" s="386" t="inlineStr">
        <is>
          <t>Ngày, CTCK</t>
        </is>
      </c>
      <c r="J991" s="395" t="inlineStr">
        <is>
          <t>SCMS</t>
        </is>
      </c>
      <c r="K991" s="395" t="n"/>
      <c r="L991" s="395" t="inlineStr">
        <is>
          <t>X</t>
        </is>
      </c>
      <c r="M991" s="395" t="n"/>
      <c r="N991" s="395" t="inlineStr">
        <is>
          <t>Pending</t>
        </is>
      </c>
      <c r="O991" s="401" t="n"/>
      <c r="P991" s="395" t="n"/>
      <c r="Q991" s="395" t="n"/>
      <c r="R991" s="395" t="n"/>
      <c r="S991" s="395" t="n"/>
      <c r="T991" s="386" t="n"/>
      <c r="U991" s="386" t="n"/>
      <c r="V991" s="395" t="n"/>
      <c r="W991" s="395" t="n"/>
      <c r="X991" s="395" t="n"/>
      <c r="Y991" s="13" t="n"/>
      <c r="Z991" s="395" t="n"/>
      <c r="AA991" s="395" t="n"/>
      <c r="AB991" s="395" t="n"/>
      <c r="AC991" s="395" t="n"/>
      <c r="AD991" s="395" t="n"/>
      <c r="AE991" s="395" t="n"/>
    </row>
    <row r="992" ht="42" customHeight="1" s="380">
      <c r="A992" s="90" t="n">
        <v>60</v>
      </c>
      <c r="B992" s="386" t="n"/>
      <c r="C992" s="386" t="inlineStr">
        <is>
          <t>Hoạt động phái sinh &gt;&gt; Báo cáo về giao dịch phái sinh</t>
        </is>
      </c>
      <c r="D992" s="386" t="inlineStr">
        <is>
          <t>Nhà đầu tư nước ngoài &gt;&gt; Tổng bán &gt;&gt; Trong kỳ</t>
        </is>
      </c>
      <c r="E992" s="386" t="inlineStr">
        <is>
          <t>Nhà đầu tư nước ngoài &gt;&gt; Tổng bán &gt;&gt; Trong kỳ</t>
        </is>
      </c>
      <c r="F992" s="386" t="inlineStr">
        <is>
          <t>Data Explorer</t>
        </is>
      </c>
      <c r="G992" s="386" t="inlineStr">
        <is>
          <t>Chỉ tiêu cơ sở</t>
        </is>
      </c>
      <c r="H992" s="386" t="inlineStr">
        <is>
          <t>TB</t>
        </is>
      </c>
      <c r="I992" s="386" t="inlineStr">
        <is>
          <t>Ngày, CTCK</t>
        </is>
      </c>
      <c r="J992" s="395" t="inlineStr">
        <is>
          <t>SCMS</t>
        </is>
      </c>
      <c r="K992" s="395" t="n"/>
      <c r="L992" s="395" t="inlineStr">
        <is>
          <t>X</t>
        </is>
      </c>
      <c r="M992" s="395" t="n"/>
      <c r="N992" s="395" t="inlineStr">
        <is>
          <t>Pending</t>
        </is>
      </c>
      <c r="O992" s="401" t="n"/>
      <c r="P992" s="395" t="n"/>
      <c r="Q992" s="395" t="n"/>
      <c r="R992" s="395" t="n"/>
      <c r="S992" s="395" t="n"/>
      <c r="T992" s="386" t="n"/>
      <c r="U992" s="386" t="n"/>
      <c r="V992" s="395" t="n"/>
      <c r="W992" s="395" t="n"/>
      <c r="X992" s="395" t="n"/>
      <c r="Y992" s="13" t="n"/>
      <c r="Z992" s="395" t="n"/>
      <c r="AA992" s="395" t="n"/>
      <c r="AB992" s="395" t="n"/>
      <c r="AC992" s="395" t="n"/>
      <c r="AD992" s="395" t="n"/>
      <c r="AE992" s="395" t="n"/>
    </row>
    <row r="993" ht="42" customHeight="1" s="380">
      <c r="A993" s="90" t="n">
        <v>60</v>
      </c>
      <c r="B993" s="386" t="n"/>
      <c r="C993" s="386" t="inlineStr">
        <is>
          <t>Hoạt động phái sinh &gt;&gt; Báo cáo về giao dịch phái sinh</t>
        </is>
      </c>
      <c r="D993" s="386" t="inlineStr">
        <is>
          <t>Nhà đầu tư nước ngoài &gt;&gt; Tổng bán &gt;&gt; Lũy kế từ đầu năm</t>
        </is>
      </c>
      <c r="E993" s="386" t="inlineStr">
        <is>
          <t>Nhà đầu tư nước ngoài &gt;&gt; Tổng bán &gt;&gt; Lũy kế từ đầu năm</t>
        </is>
      </c>
      <c r="F993" s="386" t="inlineStr">
        <is>
          <t>Data Explorer</t>
        </is>
      </c>
      <c r="G993" s="386" t="inlineStr">
        <is>
          <t>Chỉ tiêu cơ sở</t>
        </is>
      </c>
      <c r="H993" s="386" t="inlineStr">
        <is>
          <t>TB</t>
        </is>
      </c>
      <c r="I993" s="386" t="inlineStr">
        <is>
          <t>Ngày, CTCK</t>
        </is>
      </c>
      <c r="J993" s="395" t="inlineStr">
        <is>
          <t>SCMS</t>
        </is>
      </c>
      <c r="K993" s="395" t="n"/>
      <c r="L993" s="395" t="inlineStr">
        <is>
          <t>X</t>
        </is>
      </c>
      <c r="M993" s="395" t="n"/>
      <c r="N993" s="395" t="inlineStr">
        <is>
          <t>Pending</t>
        </is>
      </c>
      <c r="O993" s="401" t="n"/>
      <c r="P993" s="395" t="n"/>
      <c r="Q993" s="395" t="n"/>
      <c r="R993" s="395" t="n"/>
      <c r="S993" s="395" t="n"/>
      <c r="T993" s="386" t="n"/>
      <c r="U993" s="386" t="n"/>
      <c r="V993" s="395" t="n"/>
      <c r="W993" s="395" t="n"/>
      <c r="X993" s="395" t="n"/>
      <c r="Y993" s="13" t="n"/>
      <c r="Z993" s="395" t="n"/>
      <c r="AA993" s="395" t="n"/>
      <c r="AB993" s="395" t="n"/>
      <c r="AC993" s="395" t="n"/>
      <c r="AD993" s="395" t="n"/>
      <c r="AE993" s="395" t="n"/>
    </row>
    <row r="994" ht="42" customHeight="1" s="380">
      <c r="A994" s="90" t="n">
        <v>60</v>
      </c>
      <c r="B994" s="386" t="n"/>
      <c r="C994" s="386" t="inlineStr">
        <is>
          <t>Hoạt động phái sinh &gt;&gt; Báo cáo về giao dịch phái sinh</t>
        </is>
      </c>
      <c r="D994" s="386" t="inlineStr">
        <is>
          <t>Nhà đầu tư nước ngoài &gt;&gt; Tổng mua và bán &gt;&gt; Trong kỳ</t>
        </is>
      </c>
      <c r="E994" s="386" t="inlineStr">
        <is>
          <t>Nhà đầu tư nước ngoài &gt;&gt; Tổng mua và bán &gt;&gt; Trong kỳ</t>
        </is>
      </c>
      <c r="F994" s="386" t="inlineStr">
        <is>
          <t>Data Explorer</t>
        </is>
      </c>
      <c r="G994" s="386" t="inlineStr">
        <is>
          <t>Chỉ tiêu cơ sở</t>
        </is>
      </c>
      <c r="H994" s="386" t="inlineStr">
        <is>
          <t>TB</t>
        </is>
      </c>
      <c r="I994" s="386" t="inlineStr">
        <is>
          <t>Ngày, CTCK</t>
        </is>
      </c>
      <c r="J994" s="395" t="inlineStr">
        <is>
          <t>SCMS</t>
        </is>
      </c>
      <c r="K994" s="395" t="n"/>
      <c r="L994" s="395" t="inlineStr">
        <is>
          <t>X</t>
        </is>
      </c>
      <c r="M994" s="395" t="n"/>
      <c r="N994" s="395" t="inlineStr">
        <is>
          <t>Pending</t>
        </is>
      </c>
      <c r="O994" s="401" t="n"/>
      <c r="P994" s="395" t="n"/>
      <c r="Q994" s="395" t="n"/>
      <c r="R994" s="395" t="n"/>
      <c r="S994" s="395" t="n"/>
      <c r="T994" s="386" t="n"/>
      <c r="U994" s="386" t="n"/>
      <c r="V994" s="395" t="n"/>
      <c r="W994" s="395" t="n"/>
      <c r="X994" s="395" t="n"/>
      <c r="Y994" s="13" t="n"/>
      <c r="Z994" s="395" t="n"/>
      <c r="AA994" s="395" t="n"/>
      <c r="AB994" s="395" t="n"/>
      <c r="AC994" s="395" t="n"/>
      <c r="AD994" s="395" t="n"/>
      <c r="AE994" s="395" t="n"/>
    </row>
    <row r="995" ht="42" customHeight="1" s="380">
      <c r="A995" s="90" t="n">
        <v>60</v>
      </c>
      <c r="B995" s="386" t="n"/>
      <c r="C995" s="386" t="inlineStr">
        <is>
          <t>Hoạt động phái sinh &gt;&gt; Báo cáo về giao dịch phái sinh</t>
        </is>
      </c>
      <c r="D995" s="386" t="inlineStr">
        <is>
          <t>Nhà đầu tư nước ngoài &gt;&gt; Tổng mua và bán &gt;&gt; Lũy kế từ đầu năm</t>
        </is>
      </c>
      <c r="E995" s="386" t="inlineStr">
        <is>
          <t>Nhà đầu tư nước ngoài &gt;&gt; Tổng mua và bán &gt;&gt; Lũy kế từ đầu năm</t>
        </is>
      </c>
      <c r="F995" s="386" t="inlineStr">
        <is>
          <t>Data Explorer</t>
        </is>
      </c>
      <c r="G995" s="386" t="inlineStr">
        <is>
          <t>Chỉ tiêu cơ sở</t>
        </is>
      </c>
      <c r="H995" s="386" t="inlineStr">
        <is>
          <t>TB</t>
        </is>
      </c>
      <c r="I995" s="386" t="inlineStr">
        <is>
          <t>Ngày, CTCK</t>
        </is>
      </c>
      <c r="J995" s="395" t="inlineStr">
        <is>
          <t>SCMS</t>
        </is>
      </c>
      <c r="K995" s="395" t="n"/>
      <c r="L995" s="395" t="inlineStr">
        <is>
          <t>X</t>
        </is>
      </c>
      <c r="M995" s="395" t="n"/>
      <c r="N995" s="395" t="inlineStr">
        <is>
          <t>Pending</t>
        </is>
      </c>
      <c r="O995" s="401" t="n"/>
      <c r="P995" s="395" t="n"/>
      <c r="Q995" s="395" t="n"/>
      <c r="R995" s="395" t="n"/>
      <c r="S995" s="395" t="n"/>
      <c r="T995" s="386" t="n"/>
      <c r="U995" s="386" t="n"/>
      <c r="V995" s="395" t="n"/>
      <c r="W995" s="395" t="n"/>
      <c r="X995" s="395" t="n"/>
      <c r="Y995" s="38" t="n"/>
      <c r="Z995" s="395" t="n"/>
      <c r="AA995" s="395" t="n"/>
      <c r="AB995" s="395" t="n"/>
      <c r="AC995" s="395" t="n"/>
      <c r="AD995" s="395" t="n"/>
      <c r="AE995" s="395" t="n"/>
    </row>
    <row r="996" ht="42" customHeight="1" s="380">
      <c r="A996" s="90" t="n">
        <v>60</v>
      </c>
      <c r="B996" s="386" t="n"/>
      <c r="C996" s="386" t="inlineStr">
        <is>
          <t>Hoạt động phái sinh &gt;&gt; Báo cáo về giao dịch phái sinh</t>
        </is>
      </c>
      <c r="D996" s="386" t="inlineStr">
        <is>
          <t>Tự doanh &gt;&gt; Tổng mua &gt;&gt; Trong kỳ</t>
        </is>
      </c>
      <c r="E996" s="386" t="inlineStr">
        <is>
          <t>Tự doanh &gt;&gt; Tổng mua &gt;&gt; Trong kỳ</t>
        </is>
      </c>
      <c r="F996" s="386" t="inlineStr">
        <is>
          <t>Data Explorer</t>
        </is>
      </c>
      <c r="G996" s="386" t="inlineStr">
        <is>
          <t>Chỉ tiêu cơ sở</t>
        </is>
      </c>
      <c r="H996" s="386" t="inlineStr">
        <is>
          <t>TB</t>
        </is>
      </c>
      <c r="I996" s="386" t="inlineStr">
        <is>
          <t>Ngày, CTCK</t>
        </is>
      </c>
      <c r="J996" s="395" t="inlineStr">
        <is>
          <t>SCMS</t>
        </is>
      </c>
      <c r="K996" s="395" t="n"/>
      <c r="L996" s="395" t="inlineStr">
        <is>
          <t>X</t>
        </is>
      </c>
      <c r="M996" s="395" t="n"/>
      <c r="N996" s="395" t="inlineStr">
        <is>
          <t>Pending</t>
        </is>
      </c>
      <c r="O996" s="401" t="n"/>
      <c r="P996" s="395" t="n"/>
      <c r="Q996" s="395" t="n"/>
      <c r="R996" s="395" t="n"/>
      <c r="S996" s="395" t="n"/>
      <c r="T996" s="386" t="n"/>
      <c r="U996" s="386" t="n"/>
      <c r="V996" s="395" t="n"/>
      <c r="W996" s="395" t="n"/>
      <c r="X996" s="395" t="n"/>
      <c r="Y996" s="13" t="n"/>
      <c r="Z996" s="395" t="n"/>
      <c r="AA996" s="395" t="n"/>
      <c r="AB996" s="395" t="n"/>
      <c r="AC996" s="395" t="n"/>
      <c r="AD996" s="395" t="n"/>
      <c r="AE996" s="395" t="n"/>
    </row>
    <row r="997" ht="42" customHeight="1" s="380">
      <c r="A997" s="90" t="n">
        <v>60</v>
      </c>
      <c r="B997" s="386" t="n"/>
      <c r="C997" s="386" t="inlineStr">
        <is>
          <t>Hoạt động phái sinh &gt;&gt; Báo cáo về giao dịch phái sinh</t>
        </is>
      </c>
      <c r="D997" s="386" t="inlineStr">
        <is>
          <t>Tự doanh &gt;&gt; Tổng mua &gt;&gt; Lũy kế từ đầu năm</t>
        </is>
      </c>
      <c r="E997" s="386" t="inlineStr">
        <is>
          <t>Tự doanh &gt;&gt; Tổng mua &gt;&gt; Lũy kế từ đầu năm</t>
        </is>
      </c>
      <c r="F997" s="386" t="inlineStr">
        <is>
          <t>Data Explorer</t>
        </is>
      </c>
      <c r="G997" s="386" t="inlineStr">
        <is>
          <t>Chỉ tiêu cơ sở</t>
        </is>
      </c>
      <c r="H997" s="386" t="inlineStr">
        <is>
          <t>TB</t>
        </is>
      </c>
      <c r="I997" s="386" t="inlineStr">
        <is>
          <t>Ngày, CTCK</t>
        </is>
      </c>
      <c r="J997" s="395" t="inlineStr">
        <is>
          <t>SCMS</t>
        </is>
      </c>
      <c r="K997" s="395" t="n"/>
      <c r="L997" s="395" t="inlineStr">
        <is>
          <t>X</t>
        </is>
      </c>
      <c r="M997" s="395" t="n"/>
      <c r="N997" s="395" t="inlineStr">
        <is>
          <t>Pending</t>
        </is>
      </c>
      <c r="O997" s="401" t="n"/>
      <c r="P997" s="395" t="n"/>
      <c r="Q997" s="395" t="n"/>
      <c r="R997" s="395" t="n"/>
      <c r="S997" s="395" t="n"/>
      <c r="T997" s="386" t="n"/>
      <c r="U997" s="386" t="n"/>
      <c r="V997" s="395" t="n"/>
      <c r="W997" s="395" t="n"/>
      <c r="X997" s="395" t="n"/>
      <c r="Y997" s="13" t="n"/>
      <c r="Z997" s="395" t="n"/>
      <c r="AA997" s="395" t="n"/>
      <c r="AB997" s="395" t="n"/>
      <c r="AC997" s="395" t="n"/>
      <c r="AD997" s="395" t="n"/>
      <c r="AE997" s="395" t="n"/>
    </row>
    <row r="998" ht="42" customHeight="1" s="380">
      <c r="A998" s="90" t="n">
        <v>60</v>
      </c>
      <c r="B998" s="386" t="n"/>
      <c r="C998" s="386" t="inlineStr">
        <is>
          <t>Hoạt động phái sinh &gt;&gt; Báo cáo về giao dịch phái sinh</t>
        </is>
      </c>
      <c r="D998" s="386" t="inlineStr">
        <is>
          <t>Tự doanh &gt;&gt; Tổng bán &gt;&gt; Trong kỳ</t>
        </is>
      </c>
      <c r="E998" s="386" t="inlineStr">
        <is>
          <t>Tự doanh &gt;&gt; Tổng bán &gt;&gt; Trong kỳ</t>
        </is>
      </c>
      <c r="F998" s="386" t="inlineStr">
        <is>
          <t>Data Explorer</t>
        </is>
      </c>
      <c r="G998" s="386" t="inlineStr">
        <is>
          <t>Chỉ tiêu cơ sở</t>
        </is>
      </c>
      <c r="H998" s="386" t="inlineStr">
        <is>
          <t>TB</t>
        </is>
      </c>
      <c r="I998" s="386" t="inlineStr">
        <is>
          <t>Ngày, CTCK</t>
        </is>
      </c>
      <c r="J998" s="395" t="inlineStr">
        <is>
          <t>SCMS</t>
        </is>
      </c>
      <c r="K998" s="395" t="n"/>
      <c r="L998" s="395" t="inlineStr">
        <is>
          <t>X</t>
        </is>
      </c>
      <c r="M998" s="395" t="n"/>
      <c r="N998" s="395" t="inlineStr">
        <is>
          <t>Pending</t>
        </is>
      </c>
      <c r="O998" s="401" t="n"/>
      <c r="P998" s="395" t="n"/>
      <c r="Q998" s="395" t="n"/>
      <c r="R998" s="395" t="n"/>
      <c r="S998" s="395" t="n"/>
      <c r="T998" s="386" t="n"/>
      <c r="U998" s="386" t="n"/>
      <c r="V998" s="395" t="n"/>
      <c r="W998" s="395" t="n"/>
      <c r="X998" s="395" t="n"/>
      <c r="Y998" s="13" t="n"/>
      <c r="Z998" s="395" t="n"/>
      <c r="AA998" s="395" t="n"/>
      <c r="AB998" s="395" t="n"/>
      <c r="AC998" s="395" t="n"/>
      <c r="AD998" s="395" t="n"/>
      <c r="AE998" s="395" t="n"/>
    </row>
    <row r="999" ht="42" customHeight="1" s="380">
      <c r="A999" s="90" t="n">
        <v>60</v>
      </c>
      <c r="B999" s="386" t="n"/>
      <c r="C999" s="386" t="inlineStr">
        <is>
          <t>Hoạt động phái sinh &gt;&gt; Báo cáo về giao dịch phái sinh</t>
        </is>
      </c>
      <c r="D999" s="386" t="inlineStr">
        <is>
          <t>Tự doanh &gt;&gt; Tổng bán &gt;&gt; Lũy kế từ đầu năm</t>
        </is>
      </c>
      <c r="E999" s="386" t="inlineStr">
        <is>
          <t>Tự doanh &gt;&gt; Tổng bán &gt;&gt; Lũy kế từ đầu năm</t>
        </is>
      </c>
      <c r="F999" s="386" t="inlineStr">
        <is>
          <t>Data Explorer</t>
        </is>
      </c>
      <c r="G999" s="386" t="inlineStr">
        <is>
          <t>Chỉ tiêu cơ sở</t>
        </is>
      </c>
      <c r="H999" s="386" t="inlineStr">
        <is>
          <t>TB</t>
        </is>
      </c>
      <c r="I999" s="386" t="inlineStr">
        <is>
          <t>Ngày, CTCK</t>
        </is>
      </c>
      <c r="J999" s="395" t="inlineStr">
        <is>
          <t>SCMS</t>
        </is>
      </c>
      <c r="K999" s="395" t="n"/>
      <c r="L999" s="395" t="inlineStr">
        <is>
          <t>X</t>
        </is>
      </c>
      <c r="M999" s="395" t="n"/>
      <c r="N999" s="395" t="inlineStr">
        <is>
          <t>Pending</t>
        </is>
      </c>
      <c r="O999" s="401" t="n"/>
      <c r="P999" s="395" t="n"/>
      <c r="Q999" s="395" t="n"/>
      <c r="R999" s="395" t="n"/>
      <c r="S999" s="395" t="n"/>
      <c r="T999" s="386" t="n"/>
      <c r="U999" s="386" t="n"/>
      <c r="V999" s="395" t="n"/>
      <c r="W999" s="395" t="n"/>
      <c r="X999" s="395" t="n"/>
      <c r="Y999" s="13" t="n"/>
      <c r="Z999" s="395" t="n"/>
      <c r="AA999" s="395" t="n"/>
      <c r="AB999" s="395" t="n"/>
      <c r="AC999" s="395" t="n"/>
      <c r="AD999" s="395" t="n"/>
      <c r="AE999" s="395" t="n"/>
    </row>
    <row r="1000" ht="42" customHeight="1" s="380">
      <c r="A1000" s="90" t="n">
        <v>60</v>
      </c>
      <c r="B1000" s="386" t="n"/>
      <c r="C1000" s="386" t="inlineStr">
        <is>
          <t>Hoạt động phái sinh &gt;&gt; Báo cáo về giao dịch phái sinh</t>
        </is>
      </c>
      <c r="D1000" s="386" t="inlineStr">
        <is>
          <t>Tự doanh &gt;&gt; Tổng mua và bán &gt;&gt; Trong kỳ</t>
        </is>
      </c>
      <c r="E1000" s="386" t="inlineStr">
        <is>
          <t>Tự doanh &gt;&gt; Tổng mua và bán &gt;&gt; Trong kỳ</t>
        </is>
      </c>
      <c r="F1000" s="386" t="inlineStr">
        <is>
          <t>Data Explorer</t>
        </is>
      </c>
      <c r="G1000" s="386" t="inlineStr">
        <is>
          <t>Chỉ tiêu cơ sở</t>
        </is>
      </c>
      <c r="H1000" s="386" t="inlineStr">
        <is>
          <t>TB</t>
        </is>
      </c>
      <c r="I1000" s="386" t="inlineStr">
        <is>
          <t>Ngày, CTCK</t>
        </is>
      </c>
      <c r="J1000" s="395" t="inlineStr">
        <is>
          <t>SCMS</t>
        </is>
      </c>
      <c r="K1000" s="395" t="n"/>
      <c r="L1000" s="395" t="inlineStr">
        <is>
          <t>X</t>
        </is>
      </c>
      <c r="M1000" s="395" t="n"/>
      <c r="N1000" s="395" t="inlineStr">
        <is>
          <t>Pending</t>
        </is>
      </c>
      <c r="O1000" s="401" t="n"/>
      <c r="P1000" s="395" t="n"/>
      <c r="Q1000" s="395" t="n"/>
      <c r="R1000" s="395" t="n"/>
      <c r="S1000" s="395" t="n"/>
      <c r="T1000" s="386" t="n"/>
      <c r="U1000" s="386" t="n"/>
      <c r="V1000" s="395" t="n"/>
      <c r="W1000" s="395" t="n"/>
      <c r="X1000" s="395" t="n"/>
      <c r="Y1000" s="13" t="n"/>
      <c r="Z1000" s="395" t="n"/>
      <c r="AA1000" s="395" t="n"/>
      <c r="AB1000" s="395" t="n"/>
      <c r="AC1000" s="395" t="n"/>
      <c r="AD1000" s="395" t="n"/>
      <c r="AE1000" s="395" t="n"/>
    </row>
    <row r="1001" ht="42" customHeight="1" s="380">
      <c r="A1001" s="91" t="n">
        <v>60</v>
      </c>
      <c r="B1001" s="68" t="n"/>
      <c r="C1001" s="68" t="inlineStr">
        <is>
          <t>Hoạt động phái sinh &gt;&gt; Báo cáo về giao dịch phái sinh</t>
        </is>
      </c>
      <c r="D1001" s="68" t="inlineStr">
        <is>
          <t>Tự doanh &gt;&gt; Tổng mua và bán &gt;&gt; Lũy kế từ đầu năm</t>
        </is>
      </c>
      <c r="E1001" s="68" t="inlineStr">
        <is>
          <t>Tự doanh &gt;&gt; Tổng mua và bán &gt;&gt; Lũy kế từ đầu năm</t>
        </is>
      </c>
      <c r="F1001" s="68" t="inlineStr">
        <is>
          <t>Data Explorer</t>
        </is>
      </c>
      <c r="G1001" s="68" t="inlineStr">
        <is>
          <t>Chỉ tiêu cơ sở</t>
        </is>
      </c>
      <c r="H1001" s="68" t="inlineStr">
        <is>
          <t>TB</t>
        </is>
      </c>
      <c r="I1001" s="68" t="inlineStr">
        <is>
          <t>Ngày, CTCK</t>
        </is>
      </c>
      <c r="J1001" s="69" t="inlineStr">
        <is>
          <t>SCMS</t>
        </is>
      </c>
      <c r="K1001" s="69" t="n"/>
      <c r="L1001" s="69" t="inlineStr">
        <is>
          <t>X</t>
        </is>
      </c>
      <c r="M1001" s="69" t="n"/>
      <c r="N1001" s="69" t="inlineStr">
        <is>
          <t>Pending</t>
        </is>
      </c>
      <c r="O1001" s="85" t="n"/>
      <c r="P1001" s="69" t="n"/>
      <c r="Q1001" s="69" t="n"/>
      <c r="R1001" s="69" t="n"/>
      <c r="S1001" s="69" t="n"/>
      <c r="T1001" s="68" t="n"/>
      <c r="U1001" s="68" t="n"/>
      <c r="V1001" s="69" t="n"/>
      <c r="W1001" s="69" t="n"/>
      <c r="X1001" s="69" t="n"/>
      <c r="Y1001" s="14" t="n"/>
      <c r="Z1001" s="69" t="n"/>
      <c r="AA1001" s="69" t="n"/>
      <c r="AB1001" s="69" t="n"/>
      <c r="AC1001" s="69" t="n"/>
      <c r="AD1001" s="69" t="n"/>
      <c r="AE1001" s="69" t="n"/>
    </row>
    <row r="1002" ht="42" customHeight="1" s="380">
      <c r="A1002" s="90" t="n">
        <v>61</v>
      </c>
      <c r="B1002" s="100" t="inlineStr">
        <is>
          <t>Nga</t>
        </is>
      </c>
      <c r="C1002" s="81" t="inlineStr">
        <is>
          <t>Hoạt động phái sinh &gt;&gt; Báo cáo về hoạt động tư vấn phái sinh</t>
        </is>
      </c>
      <c r="D1002" s="106" t="inlineStr">
        <is>
          <t>Loại báo cáo</t>
        </is>
      </c>
      <c r="E1002" s="107" t="inlineStr">
        <is>
          <t>Loại báo cáo</t>
        </is>
      </c>
      <c r="F1002" s="390" t="inlineStr">
        <is>
          <t>Data Explorer</t>
        </is>
      </c>
      <c r="G1002" s="390" t="inlineStr">
        <is>
          <t>Chiều</t>
        </is>
      </c>
      <c r="H1002" s="390" t="inlineStr">
        <is>
          <t>Dễ</t>
        </is>
      </c>
      <c r="I1002" s="390" t="inlineStr">
        <is>
          <t>Ngày, CTCK</t>
        </is>
      </c>
      <c r="J1002" s="401" t="inlineStr">
        <is>
          <t>SCMS</t>
        </is>
      </c>
      <c r="K1002" s="401" t="inlineStr">
        <is>
          <t>X</t>
        </is>
      </c>
      <c r="L1002" s="395" t="inlineStr">
        <is>
          <t>X</t>
        </is>
      </c>
      <c r="M1002" s="401" t="n"/>
      <c r="N1002" s="395" t="inlineStr">
        <is>
          <t>Pending</t>
        </is>
      </c>
      <c r="O1002" s="401" t="n"/>
      <c r="P1002" s="395" t="n"/>
      <c r="Q1002" s="105" t="inlineStr">
        <is>
          <t>DB cũ không thấy biểu mẫu báo cáo này</t>
        </is>
      </c>
      <c r="R1002" s="395" t="n"/>
      <c r="S1002" s="395" t="n"/>
      <c r="T1002" s="386" t="n"/>
      <c r="U1002" s="386" t="n"/>
      <c r="V1002" s="395" t="n"/>
      <c r="W1002" s="395" t="n"/>
      <c r="X1002" s="395" t="n"/>
      <c r="Y1002" s="13" t="n"/>
      <c r="Z1002" s="395" t="n"/>
      <c r="AA1002" s="395" t="n"/>
      <c r="AB1002" s="395" t="n"/>
      <c r="AC1002" s="395" t="n"/>
      <c r="AD1002" s="395" t="n"/>
      <c r="AE1002" s="395" t="n"/>
    </row>
    <row r="1003" ht="42" customHeight="1" s="380">
      <c r="A1003" s="90" t="n">
        <v>61</v>
      </c>
      <c r="B1003" s="386" t="n"/>
      <c r="C1003" s="386" t="inlineStr">
        <is>
          <t>Hoạt động phái sinh &gt;&gt; Báo cáo về hoạt động tư vấn phái sinh</t>
        </is>
      </c>
      <c r="D1003" s="106" t="inlineStr">
        <is>
          <t>Kỳ báo cáo</t>
        </is>
      </c>
      <c r="E1003" s="107" t="inlineStr">
        <is>
          <t>Kỳ báo cáo</t>
        </is>
      </c>
      <c r="F1003" s="390" t="inlineStr">
        <is>
          <t>Data Explorer</t>
        </is>
      </c>
      <c r="G1003" s="390" t="inlineStr">
        <is>
          <t>Chiều</t>
        </is>
      </c>
      <c r="H1003" s="390" t="inlineStr">
        <is>
          <t>Dễ</t>
        </is>
      </c>
      <c r="I1003" s="390" t="inlineStr">
        <is>
          <t>Ngày, CTCK</t>
        </is>
      </c>
      <c r="J1003" s="401" t="inlineStr">
        <is>
          <t>SCMS</t>
        </is>
      </c>
      <c r="K1003" s="401" t="inlineStr">
        <is>
          <t>X</t>
        </is>
      </c>
      <c r="L1003" s="395" t="inlineStr">
        <is>
          <t>X</t>
        </is>
      </c>
      <c r="M1003" s="401" t="n"/>
      <c r="N1003" s="395" t="inlineStr">
        <is>
          <t>Pending</t>
        </is>
      </c>
      <c r="O1003" s="401" t="n"/>
      <c r="P1003" s="395" t="n"/>
      <c r="Q1003" s="395" t="n"/>
      <c r="R1003" s="395" t="n"/>
      <c r="S1003" s="395" t="n"/>
      <c r="T1003" s="386" t="n"/>
      <c r="U1003" s="386" t="n"/>
      <c r="V1003" s="395" t="n"/>
      <c r="W1003" s="395" t="n"/>
      <c r="X1003" s="395" t="n"/>
      <c r="Y1003" s="13" t="n"/>
      <c r="Z1003" s="395" t="n"/>
      <c r="AA1003" s="395" t="n"/>
      <c r="AB1003" s="395" t="n"/>
      <c r="AC1003" s="395" t="n"/>
      <c r="AD1003" s="395" t="n"/>
      <c r="AE1003" s="395" t="n"/>
    </row>
    <row r="1004" ht="42" customHeight="1" s="380">
      <c r="A1004" s="90" t="n">
        <v>61</v>
      </c>
      <c r="B1004" s="386" t="n"/>
      <c r="C1004" s="386" t="inlineStr">
        <is>
          <t>Hoạt động phái sinh &gt;&gt; Báo cáo về hoạt động tư vấn phái sinh</t>
        </is>
      </c>
      <c r="D1004" s="106" t="inlineStr">
        <is>
          <t>Mã báo cáo</t>
        </is>
      </c>
      <c r="E1004" s="107" t="inlineStr">
        <is>
          <t>Mã báo cáo</t>
        </is>
      </c>
      <c r="F1004" s="390" t="inlineStr">
        <is>
          <t>Data Explorer</t>
        </is>
      </c>
      <c r="G1004" s="390" t="inlineStr">
        <is>
          <t>Chiều</t>
        </is>
      </c>
      <c r="H1004" s="390" t="inlineStr">
        <is>
          <t>Dễ</t>
        </is>
      </c>
      <c r="I1004" s="390" t="inlineStr">
        <is>
          <t>Ngày, CTCK</t>
        </is>
      </c>
      <c r="J1004" s="401" t="inlineStr">
        <is>
          <t>SCMS</t>
        </is>
      </c>
      <c r="K1004" s="401" t="inlineStr">
        <is>
          <t>X</t>
        </is>
      </c>
      <c r="L1004" s="395" t="inlineStr">
        <is>
          <t>X</t>
        </is>
      </c>
      <c r="M1004" s="401" t="n"/>
      <c r="N1004" s="395" t="inlineStr">
        <is>
          <t>Pending</t>
        </is>
      </c>
      <c r="O1004" s="401" t="n"/>
      <c r="P1004" s="395" t="n"/>
      <c r="Q1004" s="395" t="n"/>
      <c r="R1004" s="395" t="n"/>
      <c r="S1004" s="395" t="n"/>
      <c r="T1004" s="386" t="n"/>
      <c r="U1004" s="386" t="n"/>
      <c r="V1004" s="395" t="n"/>
      <c r="W1004" s="395" t="n"/>
      <c r="X1004" s="395" t="n"/>
      <c r="Y1004" s="13" t="n"/>
      <c r="Z1004" s="395" t="n"/>
      <c r="AA1004" s="395" t="n"/>
      <c r="AB1004" s="395" t="n"/>
      <c r="AC1004" s="395" t="n"/>
      <c r="AD1004" s="395" t="n"/>
      <c r="AE1004" s="395" t="n"/>
    </row>
    <row r="1005" ht="42" customHeight="1" s="380">
      <c r="A1005" s="90" t="n">
        <v>61</v>
      </c>
      <c r="B1005" s="386" t="n"/>
      <c r="C1005" s="386" t="inlineStr">
        <is>
          <t>Hoạt động phái sinh &gt;&gt; Báo cáo về hoạt động tư vấn phái sinh</t>
        </is>
      </c>
      <c r="D1005" s="106" t="inlineStr">
        <is>
          <t>Tên báo cáo</t>
        </is>
      </c>
      <c r="E1005" s="107" t="inlineStr">
        <is>
          <t>Tên báo cáo</t>
        </is>
      </c>
      <c r="F1005" s="390" t="inlineStr">
        <is>
          <t>Data Explorer</t>
        </is>
      </c>
      <c r="G1005" s="390" t="inlineStr">
        <is>
          <t>Chiều</t>
        </is>
      </c>
      <c r="H1005" s="390" t="inlineStr">
        <is>
          <t>Dễ</t>
        </is>
      </c>
      <c r="I1005" s="390" t="inlineStr">
        <is>
          <t>Ngày, CTCK</t>
        </is>
      </c>
      <c r="J1005" s="401" t="inlineStr">
        <is>
          <t>SCMS</t>
        </is>
      </c>
      <c r="K1005" s="401" t="inlineStr">
        <is>
          <t>X</t>
        </is>
      </c>
      <c r="L1005" s="395" t="inlineStr">
        <is>
          <t>X</t>
        </is>
      </c>
      <c r="M1005" s="401" t="n"/>
      <c r="N1005" s="395" t="inlineStr">
        <is>
          <t>Pending</t>
        </is>
      </c>
      <c r="O1005" s="401" t="n"/>
      <c r="P1005" s="395" t="n"/>
      <c r="Q1005" s="395" t="n"/>
      <c r="R1005" s="395" t="n"/>
      <c r="S1005" s="395" t="n"/>
      <c r="T1005" s="386" t="n"/>
      <c r="U1005" s="386" t="n"/>
      <c r="V1005" s="395" t="n"/>
      <c r="W1005" s="395" t="n"/>
      <c r="X1005" s="395" t="n"/>
      <c r="Y1005" s="13" t="n"/>
      <c r="Z1005" s="395" t="n"/>
      <c r="AA1005" s="395" t="n"/>
      <c r="AB1005" s="395" t="n"/>
      <c r="AC1005" s="395" t="n"/>
      <c r="AD1005" s="395" t="n"/>
      <c r="AE1005" s="395" t="n"/>
    </row>
    <row r="1006" ht="42" customHeight="1" s="380">
      <c r="A1006" s="90" t="n">
        <v>61</v>
      </c>
      <c r="B1006" s="386" t="n"/>
      <c r="C1006" s="386" t="inlineStr">
        <is>
          <t>Hoạt động phái sinh &gt;&gt; Báo cáo về hoạt động tư vấn phái sinh</t>
        </is>
      </c>
      <c r="D1006" s="106" t="inlineStr">
        <is>
          <t>Mã chỉ tiêu</t>
        </is>
      </c>
      <c r="E1006" s="107" t="inlineStr">
        <is>
          <t>Mã chỉ tiêu</t>
        </is>
      </c>
      <c r="F1006" s="390" t="inlineStr">
        <is>
          <t>Data Explorer</t>
        </is>
      </c>
      <c r="G1006" s="390" t="inlineStr">
        <is>
          <t>Chiều</t>
        </is>
      </c>
      <c r="H1006" s="390" t="inlineStr">
        <is>
          <t>Dễ</t>
        </is>
      </c>
      <c r="I1006" s="390" t="inlineStr">
        <is>
          <t>Ngày, CTCK</t>
        </is>
      </c>
      <c r="J1006" s="401" t="inlineStr">
        <is>
          <t>SCMS</t>
        </is>
      </c>
      <c r="K1006" s="401" t="inlineStr">
        <is>
          <t>X</t>
        </is>
      </c>
      <c r="L1006" s="395" t="inlineStr">
        <is>
          <t>X</t>
        </is>
      </c>
      <c r="M1006" s="401" t="n"/>
      <c r="N1006" s="395" t="inlineStr">
        <is>
          <t>Pending</t>
        </is>
      </c>
      <c r="O1006" s="401" t="n"/>
      <c r="P1006" s="395" t="n"/>
      <c r="Q1006" s="395" t="n"/>
      <c r="R1006" s="395" t="n"/>
      <c r="S1006" s="395" t="n"/>
      <c r="T1006" s="386" t="n"/>
      <c r="U1006" s="386" t="n"/>
      <c r="V1006" s="395" t="n"/>
      <c r="W1006" s="395" t="n"/>
      <c r="X1006" s="395" t="n"/>
      <c r="Y1006" s="13" t="n"/>
      <c r="Z1006" s="395" t="n"/>
      <c r="AA1006" s="395" t="n"/>
      <c r="AB1006" s="395" t="n"/>
      <c r="AC1006" s="395" t="n"/>
      <c r="AD1006" s="395" t="n"/>
      <c r="AE1006" s="395" t="n"/>
    </row>
    <row r="1007" ht="42" customHeight="1" s="380">
      <c r="A1007" s="90" t="n">
        <v>61</v>
      </c>
      <c r="B1007" s="386" t="n"/>
      <c r="C1007" s="386" t="inlineStr">
        <is>
          <t>Hoạt động phái sinh &gt;&gt; Báo cáo về hoạt động tư vấn phái sinh</t>
        </is>
      </c>
      <c r="D1007" s="106" t="inlineStr">
        <is>
          <t>Tên chỉ tiêu</t>
        </is>
      </c>
      <c r="E1007" s="107" t="inlineStr">
        <is>
          <t>Tên chỉ tiêu</t>
        </is>
      </c>
      <c r="F1007" s="390" t="inlineStr">
        <is>
          <t>Data Explorer</t>
        </is>
      </c>
      <c r="G1007" s="390" t="inlineStr">
        <is>
          <t>Chiều</t>
        </is>
      </c>
      <c r="H1007" s="390" t="inlineStr">
        <is>
          <t>Dễ</t>
        </is>
      </c>
      <c r="I1007" s="390" t="inlineStr">
        <is>
          <t>Ngày, CTCK</t>
        </is>
      </c>
      <c r="J1007" s="401" t="inlineStr">
        <is>
          <t>SCMS</t>
        </is>
      </c>
      <c r="K1007" s="401" t="inlineStr">
        <is>
          <t>X</t>
        </is>
      </c>
      <c r="L1007" s="395" t="inlineStr">
        <is>
          <t>X</t>
        </is>
      </c>
      <c r="M1007" s="401" t="n"/>
      <c r="N1007" s="395" t="inlineStr">
        <is>
          <t>Pending</t>
        </is>
      </c>
      <c r="O1007" s="401" t="n"/>
      <c r="P1007" s="395" t="n"/>
      <c r="Q1007" s="395" t="n"/>
      <c r="R1007" s="395" t="n"/>
      <c r="S1007" s="395" t="n"/>
      <c r="T1007" s="386" t="n"/>
      <c r="U1007" s="386" t="n"/>
      <c r="V1007" s="395" t="n"/>
      <c r="W1007" s="395" t="n"/>
      <c r="X1007" s="395" t="n"/>
      <c r="Y1007" s="14" t="n"/>
      <c r="Z1007" s="395" t="n"/>
      <c r="AA1007" s="395" t="n"/>
      <c r="AB1007" s="395" t="n"/>
      <c r="AC1007" s="395" t="n"/>
      <c r="AD1007" s="395" t="n"/>
      <c r="AE1007" s="395" t="n"/>
    </row>
    <row r="1008" ht="42" customHeight="1" s="380">
      <c r="A1008" s="90" t="n">
        <v>61</v>
      </c>
      <c r="B1008" s="386" t="n"/>
      <c r="C1008" s="386" t="inlineStr">
        <is>
          <t>Hoạt động phái sinh &gt;&gt; Báo cáo về hoạt động tư vấn phái sinh</t>
        </is>
      </c>
      <c r="D1008" s="386" t="inlineStr">
        <is>
          <t>Tên công ty chứng khoán</t>
        </is>
      </c>
      <c r="E1008" s="395" t="inlineStr">
        <is>
          <t>Tên công ty chứng khoán</t>
        </is>
      </c>
      <c r="F1008" s="386" t="inlineStr">
        <is>
          <t>Data Explorer</t>
        </is>
      </c>
      <c r="G1008" s="386" t="inlineStr">
        <is>
          <t>Chỉ tiêu cơ sở</t>
        </is>
      </c>
      <c r="H1008" s="386" t="inlineStr">
        <is>
          <t>Dễ</t>
        </is>
      </c>
      <c r="I1008" s="386" t="inlineStr">
        <is>
          <t>Ngày, CTCK</t>
        </is>
      </c>
      <c r="J1008" s="395" t="inlineStr">
        <is>
          <t>SCMS</t>
        </is>
      </c>
      <c r="K1008" s="395" t="n"/>
      <c r="L1008" s="395" t="inlineStr">
        <is>
          <t>X</t>
        </is>
      </c>
      <c r="M1008" s="395" t="n"/>
      <c r="N1008" s="395" t="inlineStr">
        <is>
          <t>Pending</t>
        </is>
      </c>
      <c r="O1008" s="401" t="n"/>
      <c r="P1008" s="395" t="n"/>
      <c r="Q1008" s="395" t="n"/>
      <c r="R1008" s="395" t="n"/>
      <c r="S1008" s="395" t="n"/>
      <c r="T1008" s="386" t="n"/>
      <c r="U1008" s="386" t="n"/>
      <c r="V1008" s="395" t="n"/>
      <c r="W1008" s="395" t="n"/>
      <c r="X1008" s="395" t="n"/>
      <c r="Y1008" s="13" t="n"/>
      <c r="Z1008" s="395" t="n"/>
      <c r="AA1008" s="395" t="n"/>
      <c r="AB1008" s="395" t="n"/>
      <c r="AC1008" s="395" t="n"/>
      <c r="AD1008" s="395" t="n"/>
      <c r="AE1008" s="395" t="n"/>
    </row>
    <row r="1009" ht="42" customHeight="1" s="380">
      <c r="A1009" s="90" t="n">
        <v>61</v>
      </c>
      <c r="B1009" s="386" t="n"/>
      <c r="C1009" s="386" t="inlineStr">
        <is>
          <t>Hoạt động phái sinh &gt;&gt; Báo cáo về hoạt động tư vấn phái sinh</t>
        </is>
      </c>
      <c r="D1009" s="386" t="inlineStr">
        <is>
          <t>Sàn giao dịch</t>
        </is>
      </c>
      <c r="E1009" s="395" t="inlineStr">
        <is>
          <t>Sàn giao dịch</t>
        </is>
      </c>
      <c r="F1009" s="386" t="inlineStr">
        <is>
          <t>Data Explorer</t>
        </is>
      </c>
      <c r="G1009" s="386" t="inlineStr">
        <is>
          <t>Chỉ tiêu cơ sở</t>
        </is>
      </c>
      <c r="H1009" s="386" t="inlineStr">
        <is>
          <t>Dễ</t>
        </is>
      </c>
      <c r="I1009" s="386" t="inlineStr">
        <is>
          <t>Ngày, CTCK</t>
        </is>
      </c>
      <c r="J1009" s="395" t="inlineStr">
        <is>
          <t>SCMS</t>
        </is>
      </c>
      <c r="K1009" s="395" t="n"/>
      <c r="L1009" s="395" t="inlineStr">
        <is>
          <t>X</t>
        </is>
      </c>
      <c r="M1009" s="395" t="n"/>
      <c r="N1009" s="395" t="inlineStr">
        <is>
          <t>Pending</t>
        </is>
      </c>
      <c r="O1009" s="401" t="n"/>
      <c r="P1009" s="395" t="n"/>
      <c r="Q1009" s="395" t="n"/>
      <c r="R1009" s="395" t="n"/>
      <c r="S1009" s="395" t="n"/>
      <c r="T1009" s="386" t="n"/>
      <c r="U1009" s="386" t="n"/>
      <c r="V1009" s="395" t="n"/>
      <c r="W1009" s="395" t="n"/>
      <c r="X1009" s="395" t="n"/>
      <c r="Y1009" s="13" t="n"/>
      <c r="Z1009" s="395" t="n"/>
      <c r="AA1009" s="395" t="n"/>
      <c r="AB1009" s="395" t="n"/>
      <c r="AC1009" s="395" t="n"/>
      <c r="AD1009" s="395" t="n"/>
      <c r="AE1009" s="395" t="n"/>
    </row>
    <row r="1010" ht="42" customHeight="1" s="380">
      <c r="A1010" s="90" t="n">
        <v>61</v>
      </c>
      <c r="B1010" s="386" t="n"/>
      <c r="C1010" s="386" t="inlineStr">
        <is>
          <t>Hoạt động phái sinh &gt;&gt; Báo cáo về hoạt động tư vấn phái sinh</t>
        </is>
      </c>
      <c r="D1010" s="386" t="inlineStr">
        <is>
          <t>Mã chứng khoán</t>
        </is>
      </c>
      <c r="E1010" s="395" t="inlineStr">
        <is>
          <t>Mã chứng khoán</t>
        </is>
      </c>
      <c r="F1010" s="386" t="inlineStr">
        <is>
          <t>Data Explorer</t>
        </is>
      </c>
      <c r="G1010" s="386" t="inlineStr">
        <is>
          <t>Chỉ tiêu cơ sở</t>
        </is>
      </c>
      <c r="H1010" s="386" t="inlineStr">
        <is>
          <t>Dễ</t>
        </is>
      </c>
      <c r="I1010" s="386" t="inlineStr">
        <is>
          <t>Ngày, CTCK</t>
        </is>
      </c>
      <c r="J1010" s="395" t="inlineStr">
        <is>
          <t>SCMS</t>
        </is>
      </c>
      <c r="K1010" s="395" t="n"/>
      <c r="L1010" s="395" t="inlineStr">
        <is>
          <t>X</t>
        </is>
      </c>
      <c r="M1010" s="395" t="n"/>
      <c r="N1010" s="395" t="inlineStr">
        <is>
          <t>Pending</t>
        </is>
      </c>
      <c r="O1010" s="401" t="n"/>
      <c r="P1010" s="395" t="n"/>
      <c r="Q1010" s="395" t="n"/>
      <c r="R1010" s="395" t="n"/>
      <c r="S1010" s="395" t="n"/>
      <c r="T1010" s="386" t="n"/>
      <c r="U1010" s="386" t="n"/>
      <c r="V1010" s="395" t="n"/>
      <c r="W1010" s="395" t="n"/>
      <c r="X1010" s="395" t="n"/>
      <c r="Y1010" s="13" t="n"/>
      <c r="Z1010" s="395" t="n"/>
      <c r="AA1010" s="395" t="n"/>
      <c r="AB1010" s="395" t="n"/>
      <c r="AC1010" s="395" t="n"/>
      <c r="AD1010" s="395" t="n"/>
      <c r="AE1010" s="395" t="n"/>
    </row>
    <row r="1011" ht="42" customHeight="1" s="380">
      <c r="A1011" s="90" t="n">
        <v>61</v>
      </c>
      <c r="B1011" s="386" t="n"/>
      <c r="C1011" s="386" t="inlineStr">
        <is>
          <t>Hoạt động phái sinh &gt;&gt; Báo cáo về hoạt động tư vấn phái sinh</t>
        </is>
      </c>
      <c r="D1011" s="386" t="inlineStr">
        <is>
          <t>Số giấy phép thành lập</t>
        </is>
      </c>
      <c r="E1011" s="395" t="inlineStr">
        <is>
          <t>Số giấy phép thành lập</t>
        </is>
      </c>
      <c r="F1011" s="386" t="inlineStr">
        <is>
          <t>Data Explorer</t>
        </is>
      </c>
      <c r="G1011" s="386" t="inlineStr">
        <is>
          <t>Chỉ tiêu cơ sở</t>
        </is>
      </c>
      <c r="H1011" s="386" t="inlineStr">
        <is>
          <t>Dễ</t>
        </is>
      </c>
      <c r="I1011" s="386" t="inlineStr">
        <is>
          <t>Ngày, CTCK</t>
        </is>
      </c>
      <c r="J1011" s="395" t="inlineStr">
        <is>
          <t>SCMS</t>
        </is>
      </c>
      <c r="K1011" s="395" t="n"/>
      <c r="L1011" s="395" t="inlineStr">
        <is>
          <t>X</t>
        </is>
      </c>
      <c r="M1011" s="395" t="n"/>
      <c r="N1011" s="395" t="inlineStr">
        <is>
          <t>Pending</t>
        </is>
      </c>
      <c r="O1011" s="401" t="n"/>
      <c r="P1011" s="395" t="n"/>
      <c r="Q1011" s="395" t="n"/>
      <c r="R1011" s="395" t="n"/>
      <c r="S1011" s="395" t="n"/>
      <c r="T1011" s="386" t="n"/>
      <c r="U1011" s="386" t="n"/>
      <c r="V1011" s="395" t="n"/>
      <c r="W1011" s="395" t="n"/>
      <c r="X1011" s="395" t="n"/>
      <c r="Y1011" s="13" t="n"/>
      <c r="Z1011" s="395" t="n"/>
      <c r="AA1011" s="395" t="n"/>
      <c r="AB1011" s="395" t="n"/>
      <c r="AC1011" s="395" t="n"/>
      <c r="AD1011" s="395" t="n"/>
      <c r="AE1011" s="395" t="n"/>
    </row>
    <row r="1012" ht="42" customHeight="1" s="380">
      <c r="A1012" s="90" t="n">
        <v>61</v>
      </c>
      <c r="B1012" s="386" t="n"/>
      <c r="C1012" s="386" t="inlineStr">
        <is>
          <t>Hoạt động phái sinh &gt;&gt; Báo cáo về hoạt động tư vấn phái sinh</t>
        </is>
      </c>
      <c r="D1012" s="386" t="inlineStr">
        <is>
          <t>Số hợp đồng đã ký đầu kỳ</t>
        </is>
      </c>
      <c r="E1012" s="395" t="inlineStr">
        <is>
          <t>Số hợp đồng đã ký đầu kỳ</t>
        </is>
      </c>
      <c r="F1012" s="386" t="inlineStr">
        <is>
          <t>Data Explorer</t>
        </is>
      </c>
      <c r="G1012" s="386" t="inlineStr">
        <is>
          <t>Chỉ tiêu cơ sở</t>
        </is>
      </c>
      <c r="H1012" s="386" t="inlineStr">
        <is>
          <t>Dễ</t>
        </is>
      </c>
      <c r="I1012" s="386" t="inlineStr">
        <is>
          <t>Ngày, CTCK</t>
        </is>
      </c>
      <c r="J1012" s="395" t="inlineStr">
        <is>
          <t>SCMS</t>
        </is>
      </c>
      <c r="K1012" s="395" t="n"/>
      <c r="L1012" s="395" t="inlineStr">
        <is>
          <t>X</t>
        </is>
      </c>
      <c r="M1012" s="395" t="n"/>
      <c r="N1012" s="395" t="inlineStr">
        <is>
          <t>Pending</t>
        </is>
      </c>
      <c r="O1012" s="401" t="n"/>
      <c r="P1012" s="395" t="n"/>
      <c r="Q1012" s="395" t="n"/>
      <c r="R1012" s="395" t="n"/>
      <c r="S1012" s="395" t="n"/>
      <c r="T1012" s="386" t="n"/>
      <c r="U1012" s="386" t="n"/>
      <c r="V1012" s="395" t="n"/>
      <c r="W1012" s="395" t="n"/>
      <c r="X1012" s="395" t="n"/>
      <c r="Y1012" s="13" t="n"/>
      <c r="Z1012" s="395" t="n"/>
      <c r="AA1012" s="395" t="n"/>
      <c r="AB1012" s="395" t="n"/>
      <c r="AC1012" s="395" t="n"/>
      <c r="AD1012" s="395" t="n"/>
      <c r="AE1012" s="395" t="n"/>
    </row>
    <row r="1013" ht="42" customHeight="1" s="380">
      <c r="A1013" s="90" t="n">
        <v>61</v>
      </c>
      <c r="B1013" s="386" t="n"/>
      <c r="C1013" s="386" t="inlineStr">
        <is>
          <t>Hoạt động phái sinh &gt;&gt; Báo cáo về hoạt động tư vấn phái sinh</t>
        </is>
      </c>
      <c r="D1013" s="386" t="inlineStr">
        <is>
          <t>Số hợp đồng đã thanh lý trong kỳ</t>
        </is>
      </c>
      <c r="E1013" s="395" t="inlineStr">
        <is>
          <t>Số hợp đồng đã thanh lý trong kỳ</t>
        </is>
      </c>
      <c r="F1013" s="386" t="inlineStr">
        <is>
          <t>Data Explorer</t>
        </is>
      </c>
      <c r="G1013" s="386" t="inlineStr">
        <is>
          <t>Chỉ tiêu cơ sở</t>
        </is>
      </c>
      <c r="H1013" s="386" t="inlineStr">
        <is>
          <t>Dễ</t>
        </is>
      </c>
      <c r="I1013" s="386" t="inlineStr">
        <is>
          <t>Ngày, CTCK</t>
        </is>
      </c>
      <c r="J1013" s="395" t="inlineStr">
        <is>
          <t>SCMS</t>
        </is>
      </c>
      <c r="K1013" s="395" t="n"/>
      <c r="L1013" s="395" t="inlineStr">
        <is>
          <t>X</t>
        </is>
      </c>
      <c r="M1013" s="395" t="n"/>
      <c r="N1013" s="395" t="inlineStr">
        <is>
          <t>Pending</t>
        </is>
      </c>
      <c r="O1013" s="401" t="n"/>
      <c r="P1013" s="395" t="n"/>
      <c r="Q1013" s="395" t="n"/>
      <c r="R1013" s="395" t="n"/>
      <c r="S1013" s="395" t="n"/>
      <c r="T1013" s="386" t="n"/>
      <c r="U1013" s="386" t="n"/>
      <c r="V1013" s="395" t="n"/>
      <c r="W1013" s="395" t="n"/>
      <c r="X1013" s="395" t="n"/>
      <c r="Y1013" s="38" t="n"/>
      <c r="Z1013" s="395" t="n"/>
      <c r="AA1013" s="395" t="n"/>
      <c r="AB1013" s="395" t="n"/>
      <c r="AC1013" s="395" t="n"/>
      <c r="AD1013" s="395" t="n"/>
      <c r="AE1013" s="395" t="n"/>
    </row>
    <row r="1014" ht="42" customHeight="1" s="380">
      <c r="A1014" s="90" t="n">
        <v>61</v>
      </c>
      <c r="B1014" s="386" t="n"/>
      <c r="C1014" s="386" t="inlineStr">
        <is>
          <t>Hoạt động phái sinh &gt;&gt; Báo cáo về hoạt động tư vấn phái sinh</t>
        </is>
      </c>
      <c r="D1014" s="386" t="inlineStr">
        <is>
          <t>Số hợp đồng ký mới trong kỳ</t>
        </is>
      </c>
      <c r="E1014" s="395" t="inlineStr">
        <is>
          <t>Số hợp đồng ký mới trong kỳ</t>
        </is>
      </c>
      <c r="F1014" s="386" t="inlineStr">
        <is>
          <t>Data Explorer</t>
        </is>
      </c>
      <c r="G1014" s="386" t="inlineStr">
        <is>
          <t>Chỉ tiêu cơ sở</t>
        </is>
      </c>
      <c r="H1014" s="386" t="inlineStr">
        <is>
          <t>Dễ</t>
        </is>
      </c>
      <c r="I1014" s="386" t="inlineStr">
        <is>
          <t>Ngày, CTCK</t>
        </is>
      </c>
      <c r="J1014" s="395" t="inlineStr">
        <is>
          <t>SCMS</t>
        </is>
      </c>
      <c r="K1014" s="395" t="n"/>
      <c r="L1014" s="395" t="inlineStr">
        <is>
          <t>X</t>
        </is>
      </c>
      <c r="M1014" s="395" t="n"/>
      <c r="N1014" s="395" t="inlineStr">
        <is>
          <t>Pending</t>
        </is>
      </c>
      <c r="O1014" s="401" t="n"/>
      <c r="P1014" s="395" t="n"/>
      <c r="Q1014" s="395" t="n"/>
      <c r="R1014" s="395" t="n"/>
      <c r="S1014" s="395" t="n"/>
      <c r="T1014" s="386" t="n"/>
      <c r="U1014" s="386" t="n"/>
      <c r="V1014" s="395" t="n"/>
      <c r="W1014" s="395" t="n"/>
      <c r="X1014" s="395" t="n"/>
      <c r="Y1014" s="13" t="n"/>
      <c r="Z1014" s="395" t="n"/>
      <c r="AA1014" s="395" t="n"/>
      <c r="AB1014" s="395" t="n"/>
      <c r="AC1014" s="395" t="n"/>
      <c r="AD1014" s="395" t="n"/>
      <c r="AE1014" s="395" t="n"/>
    </row>
    <row r="1015" ht="42" customHeight="1" s="380">
      <c r="A1015" s="90" t="n">
        <v>61</v>
      </c>
      <c r="B1015" s="386" t="n"/>
      <c r="C1015" s="386" t="inlineStr">
        <is>
          <t>Hoạt động phái sinh &gt;&gt; Báo cáo về hoạt động tư vấn phái sinh</t>
        </is>
      </c>
      <c r="D1015" s="386" t="inlineStr">
        <is>
          <t>Số hợp đồng còn hiệu lực cuối kỳ</t>
        </is>
      </c>
      <c r="E1015" s="395" t="inlineStr">
        <is>
          <t>Số hợp đồng còn hiệu lực cuối kỳ</t>
        </is>
      </c>
      <c r="F1015" s="386" t="inlineStr">
        <is>
          <t>Data Explorer</t>
        </is>
      </c>
      <c r="G1015" s="386" t="inlineStr">
        <is>
          <t>Chỉ tiêu cơ sở</t>
        </is>
      </c>
      <c r="H1015" s="386" t="inlineStr">
        <is>
          <t>Dễ</t>
        </is>
      </c>
      <c r="I1015" s="386" t="inlineStr">
        <is>
          <t>Ngày, CTCK</t>
        </is>
      </c>
      <c r="J1015" s="395" t="inlineStr">
        <is>
          <t>SCMS</t>
        </is>
      </c>
      <c r="K1015" s="395" t="n"/>
      <c r="L1015" s="395" t="inlineStr">
        <is>
          <t>X</t>
        </is>
      </c>
      <c r="M1015" s="395" t="n"/>
      <c r="N1015" s="395" t="inlineStr">
        <is>
          <t>Pending</t>
        </is>
      </c>
      <c r="O1015" s="401" t="n"/>
      <c r="P1015" s="395" t="n"/>
      <c r="Q1015" s="395" t="n"/>
      <c r="R1015" s="395" t="n"/>
      <c r="S1015" s="395" t="n"/>
      <c r="T1015" s="386" t="n"/>
      <c r="U1015" s="386" t="n"/>
      <c r="V1015" s="395" t="n"/>
      <c r="W1015" s="395" t="n"/>
      <c r="X1015" s="395" t="n"/>
      <c r="Y1015" s="13" t="n"/>
      <c r="Z1015" s="395" t="n"/>
      <c r="AA1015" s="395" t="n"/>
      <c r="AB1015" s="395" t="n"/>
      <c r="AC1015" s="395" t="n"/>
      <c r="AD1015" s="395" t="n"/>
      <c r="AE1015" s="395" t="n"/>
    </row>
    <row r="1016" ht="42" customHeight="1" s="380">
      <c r="A1016" s="91" t="n">
        <v>61</v>
      </c>
      <c r="B1016" s="68" t="n"/>
      <c r="C1016" s="68" t="inlineStr">
        <is>
          <t>Hoạt động phái sinh &gt;&gt; Báo cáo về hoạt động tư vấn phái sinh</t>
        </is>
      </c>
      <c r="D1016" s="68" t="inlineStr">
        <is>
          <t>Phí thu được trong kỳ</t>
        </is>
      </c>
      <c r="E1016" s="69" t="inlineStr">
        <is>
          <t>Phí thu được trong kỳ</t>
        </is>
      </c>
      <c r="F1016" s="68" t="inlineStr">
        <is>
          <t>Data Explorer</t>
        </is>
      </c>
      <c r="G1016" s="68" t="inlineStr">
        <is>
          <t>Chỉ tiêu cơ sở</t>
        </is>
      </c>
      <c r="H1016" s="68" t="inlineStr">
        <is>
          <t>Dễ</t>
        </is>
      </c>
      <c r="I1016" s="68" t="inlineStr">
        <is>
          <t>Ngày, CTCK</t>
        </is>
      </c>
      <c r="J1016" s="69" t="inlineStr">
        <is>
          <t>SCMS</t>
        </is>
      </c>
      <c r="K1016" s="69" t="n"/>
      <c r="L1016" s="69" t="inlineStr">
        <is>
          <t>X</t>
        </is>
      </c>
      <c r="M1016" s="69" t="n"/>
      <c r="N1016" s="69" t="inlineStr">
        <is>
          <t>Pending</t>
        </is>
      </c>
      <c r="O1016" s="85" t="n"/>
      <c r="P1016" s="69" t="n"/>
      <c r="Q1016" s="69" t="n"/>
      <c r="R1016" s="69" t="n"/>
      <c r="S1016" s="69" t="n"/>
      <c r="T1016" s="68" t="n"/>
      <c r="U1016" s="68" t="n"/>
      <c r="V1016" s="69" t="n"/>
      <c r="W1016" s="69" t="n"/>
      <c r="X1016" s="69" t="n"/>
      <c r="Y1016" s="97" t="n"/>
      <c r="Z1016" s="69" t="n"/>
      <c r="AA1016" s="69" t="n"/>
      <c r="AB1016" s="69" t="n"/>
      <c r="AC1016" s="69" t="n"/>
      <c r="AD1016" s="69" t="n"/>
      <c r="AE1016" s="69" t="n"/>
    </row>
    <row r="1017" ht="196" customHeight="1" s="380">
      <c r="A1017" s="73" t="n">
        <v>62</v>
      </c>
      <c r="B1017" s="100" t="inlineStr">
        <is>
          <t>Chị Nguyệt</t>
        </is>
      </c>
      <c r="C1017" s="74" t="inlineStr">
        <is>
          <t>Báo cáo theo Thông tư 121/2020/TT-BTC &gt;&gt; Báo cáo tình hình hoạt động của công ty chứng khoán - I.1</t>
        </is>
      </c>
      <c r="D1017" s="109" t="inlineStr">
        <is>
          <t>Loại báo cáo</t>
        </is>
      </c>
      <c r="E1017" s="110" t="inlineStr">
        <is>
          <t>Loại báo cáo</t>
        </is>
      </c>
      <c r="F1017" s="403" t="inlineStr">
        <is>
          <t>Data Explorer</t>
        </is>
      </c>
      <c r="G1017" s="390" t="inlineStr">
        <is>
          <t>Chiều</t>
        </is>
      </c>
      <c r="H1017" s="403" t="inlineStr">
        <is>
          <t>Dễ</t>
        </is>
      </c>
      <c r="I1017" s="403" t="inlineStr">
        <is>
          <t>Ngày, CTCK</t>
        </is>
      </c>
      <c r="J1017" s="404" t="inlineStr">
        <is>
          <t>SCMS</t>
        </is>
      </c>
      <c r="K1017" s="404" t="inlineStr">
        <is>
          <t>X</t>
        </is>
      </c>
      <c r="L1017" s="405" t="inlineStr">
        <is>
          <t>X</t>
        </is>
      </c>
      <c r="M1017" s="404" t="n"/>
      <c r="N1017" s="405" t="inlineStr">
        <is>
          <t>Done</t>
        </is>
      </c>
      <c r="O1017" s="404" t="n"/>
      <c r="P1017" s="405" t="n"/>
      <c r="Q1017" s="115" t="inlineStr">
        <is>
          <t>SCMS.BM_BAO_CAO</t>
        </is>
      </c>
      <c r="R1017" s="115" t="inlineStr">
        <is>
          <t>bm.ID, bm.MA_BAO_CAO,
 bm.TEN_BAO_CAO, bm.LOAI_BAO_CAO</t>
        </is>
      </c>
      <c r="S1017" s="116" t="inlineStr">
        <is>
          <t>bm.MA_BAO_CAO LIKE 'BCTHHDKD%'
 bm.LOAI_BAO_CAO = 0 -- 0: Báo cáo đầu vào
 bm.SU_DUNG = 1</t>
        </is>
      </c>
      <c r="T1017" s="116" t="inlineStr">
        <is>
          <t>-- Loại BC / Mã BC / Tên BC (chiều DWH – dùng chung)
 -- MA_BAO_CAO: BCTHHDKD_TH | BCTHHDKD_Q | BCTHHDKD_NAM | BCTHHDKD_BN
 SELECT bm.ID,
  bm.MA_BAO_CAO,
  bm.TEN_BAO_CAO,
  bm.LOAI_BAO_CAO -- 0: Báo cáo đầu vào
 FROM SCMS.BM_BAO_CAO bm
 WHERE bm.MA_BAO_CAO LIKE 'BCTHHDKD%'
  AND bm.LOAI_BAO_CAO = 0
  AND bm.SU_DUNG = 1;</t>
        </is>
      </c>
      <c r="U1017" s="117" t="n"/>
      <c r="V1017" s="405" t="n"/>
      <c r="W1017" s="405" t="n"/>
      <c r="X1017" s="405" t="n"/>
      <c r="Y1017" s="13" t="n"/>
      <c r="Z1017" s="405" t="n"/>
      <c r="AA1017" s="405" t="n"/>
      <c r="AB1017" s="405" t="n"/>
      <c r="AC1017" s="405" t="n"/>
      <c r="AD1017" s="405" t="n"/>
      <c r="AE1017" s="405" t="n"/>
    </row>
    <row r="1018" ht="140" customHeight="1" s="380">
      <c r="A1018" s="73" t="n">
        <v>62</v>
      </c>
      <c r="B1018" s="386" t="n"/>
      <c r="C1018" s="386" t="inlineStr">
        <is>
          <t>Báo cáo theo Thông tư 121/2020/TT-BTC &gt;&gt; Báo cáo tình hình hoạt động của công ty chứng khoán - I.1</t>
        </is>
      </c>
      <c r="D1018" s="106" t="inlineStr">
        <is>
          <t>Kỳ báo cáo</t>
        </is>
      </c>
      <c r="E1018" s="107" t="inlineStr">
        <is>
          <t>Kỳ báo cáo</t>
        </is>
      </c>
      <c r="F1018" s="390" t="inlineStr">
        <is>
          <t>Data Explorer</t>
        </is>
      </c>
      <c r="G1018" s="390" t="inlineStr">
        <is>
          <t>Chiều</t>
        </is>
      </c>
      <c r="H1018" s="390" t="inlineStr">
        <is>
          <t>Dễ</t>
        </is>
      </c>
      <c r="I1018" s="390" t="inlineStr">
        <is>
          <t>Ngày, CTCK</t>
        </is>
      </c>
      <c r="J1018" s="401" t="inlineStr">
        <is>
          <t>SCMS</t>
        </is>
      </c>
      <c r="K1018" s="401" t="inlineStr">
        <is>
          <t>X</t>
        </is>
      </c>
      <c r="L1018" s="395" t="inlineStr">
        <is>
          <t>X</t>
        </is>
      </c>
      <c r="M1018" s="401" t="n"/>
      <c r="N1018" s="395" t="inlineStr">
        <is>
          <t>Done</t>
        </is>
      </c>
      <c r="O1018" s="401" t="n"/>
      <c r="P1018" s="395" t="n"/>
      <c r="Q1018" s="118" t="inlineStr">
        <is>
          <t>SCMS.BM_BAO_CAO
 SCMS.BM_BAO_CAO_DINH_KY</t>
        </is>
      </c>
      <c r="R1018" s="118" t="inlineStr">
        <is>
          <t>bm.MA_BAO_CAO,
 bmdk.ID, bmdk.KY_BAO_CAO</t>
        </is>
      </c>
      <c r="S1018" s="406" t="inlineStr">
        <is>
          <t>bm.MA_BAO_CAO LIKE 'BCTHHDKD%'
 bmdk.SU_DUNG = 1</t>
        </is>
      </c>
      <c r="T1018" s="406" t="inlineStr">
        <is>
          <t>-- Kỳ báo cáo (chiều DWH)
 SELECT bm.MA_BAO_CAO,
  bmdk.ID AS dinh_ky_id,
  bmdk.KY_BAO_CAO
 FROM SCMS.BM_BAO_CAO bm
 JOIN SCMS.BM_BAO_CAO_DINH_KY bmdk ON bmdk.BM_BAO_CAO_ID = bm.ID
 WHERE bm.MA_BAO_CAO LIKE 'BCTHHDKD%'
  AND bmdk.SU_DUNG = 1;</t>
        </is>
      </c>
      <c r="U1018" s="30" t="n"/>
      <c r="V1018" s="395" t="n"/>
      <c r="W1018" s="395" t="n"/>
      <c r="X1018" s="395" t="n"/>
      <c r="Y1018" s="13" t="n"/>
      <c r="Z1018" s="395" t="n"/>
      <c r="AA1018" s="395" t="n"/>
      <c r="AB1018" s="395" t="n"/>
      <c r="AC1018" s="395" t="n"/>
      <c r="AD1018" s="395" t="n"/>
      <c r="AE1018" s="395" t="n"/>
    </row>
    <row r="1019" ht="70" customHeight="1" s="380">
      <c r="A1019" s="73" t="n">
        <v>62</v>
      </c>
      <c r="B1019" s="386" t="n"/>
      <c r="C1019" s="386" t="inlineStr">
        <is>
          <t>Báo cáo theo Thông tư 121/2020/TT-BTC &gt;&gt; Báo cáo tình hình hoạt động của công ty chứng khoán - I.1</t>
        </is>
      </c>
      <c r="D1019" s="106" t="inlineStr">
        <is>
          <t>Mã báo cáo</t>
        </is>
      </c>
      <c r="E1019" s="107" t="inlineStr">
        <is>
          <t>Mã báo cáo</t>
        </is>
      </c>
      <c r="F1019" s="390" t="inlineStr">
        <is>
          <t>Data Explorer</t>
        </is>
      </c>
      <c r="G1019" s="390" t="inlineStr">
        <is>
          <t>Chiều</t>
        </is>
      </c>
      <c r="H1019" s="390" t="inlineStr">
        <is>
          <t>Dễ</t>
        </is>
      </c>
      <c r="I1019" s="390" t="inlineStr">
        <is>
          <t>Ngày, CTCK</t>
        </is>
      </c>
      <c r="J1019" s="401" t="inlineStr">
        <is>
          <t>SCMS</t>
        </is>
      </c>
      <c r="K1019" s="401" t="inlineStr">
        <is>
          <t>X</t>
        </is>
      </c>
      <c r="L1019" s="395" t="inlineStr">
        <is>
          <t>X</t>
        </is>
      </c>
      <c r="M1019" s="401" t="n"/>
      <c r="N1019" s="395" t="inlineStr">
        <is>
          <t>Done</t>
        </is>
      </c>
      <c r="O1019" s="401" t="n"/>
      <c r="P1019" s="395" t="n"/>
      <c r="Q1019" s="118" t="inlineStr">
        <is>
          <t>SCMS.BM_BAO_CAO</t>
        </is>
      </c>
      <c r="R1019" s="118" t="inlineStr">
        <is>
          <t>bm.ID, bm.MA_BAO_CAO</t>
        </is>
      </c>
      <c r="S1019" s="406" t="inlineStr">
        <is>
          <t>bm.MA_BAO_CAO LIKE 'BCTHHDKD%'
 bm.SU_DUNG = 1</t>
        </is>
      </c>
      <c r="T1019" s="406" t="inlineStr">
        <is>
          <t>Chung câu lệnh với chiều Loại báo cáo</t>
        </is>
      </c>
      <c r="U1019" s="406" t="n"/>
      <c r="V1019" s="395" t="n"/>
      <c r="W1019" s="395" t="n"/>
      <c r="X1019" s="395" t="n"/>
      <c r="Y1019" s="38" t="n"/>
      <c r="Z1019" s="395" t="n"/>
      <c r="AA1019" s="395" t="n"/>
      <c r="AB1019" s="395" t="n"/>
      <c r="AC1019" s="395" t="n"/>
      <c r="AD1019" s="395" t="n"/>
      <c r="AE1019" s="395" t="n"/>
    </row>
    <row r="1020" ht="70" customHeight="1" s="380">
      <c r="A1020" s="73" t="n">
        <v>62</v>
      </c>
      <c r="B1020" s="386" t="n"/>
      <c r="C1020" s="386" t="inlineStr">
        <is>
          <t>Báo cáo theo Thông tư 121/2020/TT-BTC &gt;&gt; Báo cáo tình hình hoạt động của công ty chứng khoán - I.1</t>
        </is>
      </c>
      <c r="D1020" s="106" t="inlineStr">
        <is>
          <t>Tên báo cáo</t>
        </is>
      </c>
      <c r="E1020" s="107" t="inlineStr">
        <is>
          <t>Tên báo cáo</t>
        </is>
      </c>
      <c r="F1020" s="390" t="inlineStr">
        <is>
          <t>Data Explorer</t>
        </is>
      </c>
      <c r="G1020" s="390" t="inlineStr">
        <is>
          <t>Chiều</t>
        </is>
      </c>
      <c r="H1020" s="390" t="inlineStr">
        <is>
          <t>Dễ</t>
        </is>
      </c>
      <c r="I1020" s="390" t="inlineStr">
        <is>
          <t>Ngày, CTCK</t>
        </is>
      </c>
      <c r="J1020" s="401" t="inlineStr">
        <is>
          <t>SCMS</t>
        </is>
      </c>
      <c r="K1020" s="401" t="inlineStr">
        <is>
          <t>X</t>
        </is>
      </c>
      <c r="L1020" s="395" t="inlineStr">
        <is>
          <t>X</t>
        </is>
      </c>
      <c r="M1020" s="401" t="n"/>
      <c r="N1020" s="395" t="inlineStr">
        <is>
          <t>Done</t>
        </is>
      </c>
      <c r="O1020" s="401" t="n"/>
      <c r="P1020" s="395" t="n"/>
      <c r="Q1020" s="118" t="inlineStr">
        <is>
          <t>SCMS.BM_BAO_CAO</t>
        </is>
      </c>
      <c r="R1020" s="118" t="inlineStr">
        <is>
          <t>bm.ID, bm.MA_BAO_CAO,
 bm.TEN_BAO_CAO</t>
        </is>
      </c>
      <c r="S1020" s="406" t="inlineStr">
        <is>
          <t>bm.MA_BAO_CAO LIKE 'BCTHHDKD%'
 bm.SU_DUNG = 1</t>
        </is>
      </c>
      <c r="T1020" s="406" t="inlineStr">
        <is>
          <t>Chung câu lệnh với chiều Loại báo cáo</t>
        </is>
      </c>
      <c r="U1020" s="406" t="n"/>
      <c r="V1020" s="395" t="n"/>
      <c r="W1020" s="395" t="n"/>
      <c r="X1020" s="395" t="n"/>
      <c r="Y1020" s="13" t="n"/>
      <c r="Z1020" s="395" t="n"/>
      <c r="AA1020" s="395" t="n"/>
      <c r="AB1020" s="395" t="n"/>
      <c r="AC1020" s="395" t="n"/>
      <c r="AD1020" s="395" t="n"/>
      <c r="AE1020" s="395" t="n"/>
    </row>
    <row r="1021" ht="154" customHeight="1" s="380">
      <c r="A1021" s="73" t="n">
        <v>62</v>
      </c>
      <c r="B1021" s="386" t="n"/>
      <c r="C1021" s="386" t="inlineStr">
        <is>
          <t>Báo cáo theo Thông tư 121/2020/TT-BTC &gt;&gt; Báo cáo tình hình hoạt động của công ty chứng khoán - I.1</t>
        </is>
      </c>
      <c r="D1021" s="106" t="inlineStr">
        <is>
          <t>Mã sheet</t>
        </is>
      </c>
      <c r="E1021" s="106" t="inlineStr">
        <is>
          <t>Mã sheet</t>
        </is>
      </c>
      <c r="F1021" s="390" t="inlineStr">
        <is>
          <t>Data Explorer</t>
        </is>
      </c>
      <c r="G1021" s="390" t="inlineStr">
        <is>
          <t>Chiều</t>
        </is>
      </c>
      <c r="H1021" s="390" t="inlineStr">
        <is>
          <t>Dễ</t>
        </is>
      </c>
      <c r="I1021" s="390" t="inlineStr">
        <is>
          <t>Ngày, CTCK</t>
        </is>
      </c>
      <c r="J1021" s="401" t="inlineStr">
        <is>
          <t>SCMS</t>
        </is>
      </c>
      <c r="K1021" s="401" t="inlineStr">
        <is>
          <t>X</t>
        </is>
      </c>
      <c r="L1021" s="395" t="inlineStr">
        <is>
          <t>X</t>
        </is>
      </c>
      <c r="M1021" s="401" t="n"/>
      <c r="N1021" s="395" t="inlineStr">
        <is>
          <t>Done</t>
        </is>
      </c>
      <c r="O1021" s="401" t="n"/>
      <c r="P1021" s="395" t="n"/>
      <c r="Q1021" s="118" t="inlineStr">
        <is>
          <t>SCMS.BM_BAO_CAO
 SCMS.BM_SHEET</t>
        </is>
      </c>
      <c r="R1021" s="118" t="inlineStr">
        <is>
          <t>bm.MA_BAO_CAO,
 s.MA_SHEET, s.TEN_SHEET</t>
        </is>
      </c>
      <c r="S1021" s="406" t="inlineStr">
        <is>
          <t>bm.MA_BAO_CAO LIKE 'BCTHHDKD%'
 bm.SU_DUNG = 1
 s.TEN_SHEET = N'TTC'</t>
        </is>
      </c>
      <c r="T1021" s="406" t="inlineStr">
        <is>
          <t xml:space="preserve"> SELECT bm.MA_BAO_CAO,
  s.MA_SHEET,
  s.TEN_SHEET
 FROM SCMS.BM_BAO_CAO bm
 JOIN SCMS.BM_SHEET s ON s.BM_BAO_CAO_ID = bm.ID
 WHERE bm.MA_BAO_CAO LIKE 'BCTHHDKD%'
  AND  s.TEN_SHEET = N'TTC'
  AND bm.SU_DUNG = 1
 ORDER BY bm.MA_BAO_CAO, s.SAP_XEP;</t>
        </is>
      </c>
      <c r="U1021" s="406" t="n"/>
      <c r="V1021" s="395" t="n"/>
      <c r="W1021" s="395" t="n"/>
      <c r="X1021" s="395" t="n"/>
      <c r="Y1021" s="13" t="n"/>
      <c r="Z1021" s="395" t="n"/>
      <c r="AA1021" s="395" t="n"/>
      <c r="AB1021" s="395" t="n"/>
      <c r="AC1021" s="395" t="n"/>
      <c r="AD1021" s="395" t="n"/>
      <c r="AE1021" s="395" t="n"/>
    </row>
    <row r="1022" ht="84" customHeight="1" s="380">
      <c r="A1022" s="73" t="n">
        <v>62</v>
      </c>
      <c r="B1022" s="386" t="n"/>
      <c r="C1022" s="386" t="inlineStr">
        <is>
          <t>Báo cáo theo Thông tư 121/2020/TT-BTC &gt;&gt; Báo cáo tình hình hoạt động của công ty chứng khoán - I.1</t>
        </is>
      </c>
      <c r="D1022" s="106" t="inlineStr">
        <is>
          <t>Tên sheet</t>
        </is>
      </c>
      <c r="E1022" s="106" t="inlineStr">
        <is>
          <t>Tên sheet</t>
        </is>
      </c>
      <c r="F1022" s="390" t="inlineStr">
        <is>
          <t>Data Explorer</t>
        </is>
      </c>
      <c r="G1022" s="390" t="inlineStr">
        <is>
          <t>Chiều</t>
        </is>
      </c>
      <c r="H1022" s="390" t="inlineStr">
        <is>
          <t>Dễ</t>
        </is>
      </c>
      <c r="I1022" s="390" t="inlineStr">
        <is>
          <t>Ngày, CTCK</t>
        </is>
      </c>
      <c r="J1022" s="401" t="inlineStr">
        <is>
          <t>SCMS</t>
        </is>
      </c>
      <c r="K1022" s="401" t="inlineStr">
        <is>
          <t>X</t>
        </is>
      </c>
      <c r="L1022" s="395" t="inlineStr">
        <is>
          <t>X</t>
        </is>
      </c>
      <c r="M1022" s="401" t="n"/>
      <c r="N1022" s="395" t="inlineStr">
        <is>
          <t>Done</t>
        </is>
      </c>
      <c r="O1022" s="401" t="n"/>
      <c r="P1022" s="395" t="n"/>
      <c r="Q1022" s="118" t="inlineStr">
        <is>
          <t>SCMS.BM_BAO_CAO
 SCMS.BM_SHEET</t>
        </is>
      </c>
      <c r="R1022" s="118" t="inlineStr">
        <is>
          <t>bm.MA_BAO_CAO,
 s.MA_SHEET, s.TEN_SHEET</t>
        </is>
      </c>
      <c r="S1022" s="406" t="inlineStr">
        <is>
          <t>bm.MA_BAO_CAO LIKE 'BCTHHDKD%'
 bm.SU_DUNG = 1
 s.TEN_SHEET = N'TTC'</t>
        </is>
      </c>
      <c r="T1022" s="406" t="inlineStr">
        <is>
          <t>Chung câu lệnh với chiều Mã sheet</t>
        </is>
      </c>
      <c r="U1022" s="406" t="n"/>
      <c r="V1022" s="395" t="n"/>
      <c r="W1022" s="395" t="n"/>
      <c r="X1022" s="395" t="n"/>
      <c r="Y1022" s="13" t="n"/>
      <c r="Z1022" s="395" t="n"/>
      <c r="AA1022" s="395" t="n"/>
      <c r="AB1022" s="395" t="n"/>
      <c r="AC1022" s="395" t="n"/>
      <c r="AD1022" s="395" t="n"/>
      <c r="AE1022" s="395" t="n"/>
    </row>
    <row r="1023" ht="238" customHeight="1" s="380">
      <c r="A1023" s="73" t="n">
        <v>62</v>
      </c>
      <c r="B1023" s="386" t="n"/>
      <c r="C1023" s="386" t="inlineStr">
        <is>
          <t>Báo cáo theo Thông tư 121/2020/TT-BTC &gt;&gt; Báo cáo tình hình hoạt động của công ty chứng khoán - I.1</t>
        </is>
      </c>
      <c r="D1023" s="106" t="inlineStr">
        <is>
          <t>Mã chỉ tiêu</t>
        </is>
      </c>
      <c r="E1023" s="107" t="inlineStr">
        <is>
          <t>Mã chỉ tiêu</t>
        </is>
      </c>
      <c r="F1023" s="390" t="inlineStr">
        <is>
          <t>Data Explorer</t>
        </is>
      </c>
      <c r="G1023" s="390" t="inlineStr">
        <is>
          <t>Chiều</t>
        </is>
      </c>
      <c r="H1023" s="390" t="inlineStr">
        <is>
          <t>Dễ</t>
        </is>
      </c>
      <c r="I1023" s="390" t="inlineStr">
        <is>
          <t>Ngày, CTCK</t>
        </is>
      </c>
      <c r="J1023" s="401" t="inlineStr">
        <is>
          <t>SCMS</t>
        </is>
      </c>
      <c r="K1023" s="401" t="inlineStr">
        <is>
          <t>X</t>
        </is>
      </c>
      <c r="L1023" s="395" t="inlineStr">
        <is>
          <t>X</t>
        </is>
      </c>
      <c r="M1023" s="401" t="n"/>
      <c r="N1023" s="395" t="inlineStr">
        <is>
          <t>Done</t>
        </is>
      </c>
      <c r="O1023" s="401" t="n"/>
      <c r="P1023" s="395" t="n"/>
      <c r="Q1023" s="118" t="inlineStr">
        <is>
          <t>SCMS.BM_BAO_CAO
 SCMS.BM_SHEET
 SCMS.BM_BAO_CAO_HANG</t>
        </is>
      </c>
      <c r="R1023" s="118" t="inlineStr">
        <is>
          <t>bm.MA_BAO_CAO,
 s.MA_SHEET, s.TEN_SHEET,
 h.MA_HANG, h.TEN_HANG</t>
        </is>
      </c>
      <c r="S1023" s="406" t="inlineStr">
        <is>
          <t>bm.MA_BAO_CAO LIKE 'BCTHHDKD%'
 bm.SU_DUNG = 1
 h.SU_DUNG = 1
 s.TEN_SHEET = N'TTC'</t>
        </is>
      </c>
      <c r="T1023" s="406" t="inlineStr">
        <is>
          <t xml:space="preserve"> SELECT bm.MA_BAO_CAO,
  s.MA_SHEET,
  s.TEN_SHEET,
  h.MA_HANG AS ma_chi_tieu,
  h.TEN_HANG AS ten_chi_tieu
 FROM SCMS.BM_BAO_CAO bm
 JOIN SCMS.BM_SHEET s ON s.BM_BAO_CAO_ID = bm.ID
 JOIN SCMS.BM_BAO_CAO_HANG h ON h.BM_SHEET_ID = s.ID
 WHERE bm.MA_BAO_CAO LIKE 'BCTHHDKD%'
  AND  s.TEN_SHEET = N'TTC'
  AND bm.SU_DUNG = 1
  AND h.SU_DUNG = 1
 ORDER BY bm.MA_BAO_CAO, s.SAP_XEP, h.SAP_XEP;</t>
        </is>
      </c>
      <c r="U1023" s="406" t="inlineStr">
        <is>
          <t>-- Mã chỉ tiêu / Tên chỉ tiêu (chiều DWH)
 -- Chỉ tiêu báo cáo đầu vào = hàng của biểu mẫu (BM_BAO_CAO_HANG)
 -- Không dùng DM_CHI_TIEU (nhóm CTCK, không liên quan báo cáo đầu vào)
--Khi có dữ liệu thật sẽ kiểm tra trường TEN_HANG có đúng dữ liệu cần lấy</t>
        </is>
      </c>
      <c r="V1023" s="395" t="n"/>
      <c r="W1023" s="395" t="n"/>
      <c r="X1023" s="395" t="n"/>
      <c r="Y1023" s="13" t="n"/>
      <c r="Z1023" s="395" t="n"/>
      <c r="AA1023" s="395" t="n"/>
      <c r="AB1023" s="395" t="n"/>
      <c r="AC1023" s="395" t="n"/>
      <c r="AD1023" s="395" t="n"/>
      <c r="AE1023" s="395" t="n"/>
    </row>
    <row r="1024" ht="70" customHeight="1" s="380">
      <c r="A1024" s="73" t="n">
        <v>62</v>
      </c>
      <c r="B1024" s="386" t="n"/>
      <c r="C1024" s="386" t="inlineStr">
        <is>
          <t>Báo cáo theo Thông tư 121/2020/TT-BTC &gt;&gt; Báo cáo tình hình hoạt động của công ty chứng khoán - I.1</t>
        </is>
      </c>
      <c r="D1024" s="106" t="inlineStr">
        <is>
          <t>Tên chỉ tiêu</t>
        </is>
      </c>
      <c r="E1024" s="107" t="inlineStr">
        <is>
          <t>Tên chỉ tiêu</t>
        </is>
      </c>
      <c r="F1024" s="390" t="inlineStr">
        <is>
          <t>Data Explorer</t>
        </is>
      </c>
      <c r="G1024" s="390" t="inlineStr">
        <is>
          <t>Chiều</t>
        </is>
      </c>
      <c r="H1024" s="390" t="inlineStr">
        <is>
          <t>Dễ</t>
        </is>
      </c>
      <c r="I1024" s="390" t="inlineStr">
        <is>
          <t>Ngày, CTCK</t>
        </is>
      </c>
      <c r="J1024" s="401" t="inlineStr">
        <is>
          <t>SCMS</t>
        </is>
      </c>
      <c r="K1024" s="401" t="inlineStr">
        <is>
          <t>X</t>
        </is>
      </c>
      <c r="L1024" s="395" t="inlineStr">
        <is>
          <t>X</t>
        </is>
      </c>
      <c r="M1024" s="401" t="n"/>
      <c r="N1024" s="395" t="inlineStr">
        <is>
          <t>Done</t>
        </is>
      </c>
      <c r="O1024" s="401" t="n"/>
      <c r="P1024" s="395" t="n"/>
      <c r="Q1024" s="118" t="inlineStr">
        <is>
          <t>SCMS.BM_BAO_CAO
 SCMS.BM_SHEET
 SCMS.BM_BAO_CAO_HANG</t>
        </is>
      </c>
      <c r="R1024" s="118" t="inlineStr">
        <is>
          <t>bm.MA_BAO_CAO,
 s.MA_SHEET,
 h.MA_HANG, h.TEN_HANG</t>
        </is>
      </c>
      <c r="S1024" s="406" t="inlineStr">
        <is>
          <t>bm.MA_BAO_CAO LIKE 'BCTHHDKD%'
 bm.SU_DUNG = 1
 h.SU_DUNG = 1</t>
        </is>
      </c>
      <c r="T1024" s="406" t="inlineStr">
        <is>
          <t>Chung câu lệnh với chiều Mã chỉ tiêu</t>
        </is>
      </c>
      <c r="U1024" s="406" t="n"/>
      <c r="V1024" s="395" t="n"/>
      <c r="W1024" s="395" t="n"/>
      <c r="X1024" s="395" t="n"/>
      <c r="Y1024" s="13" t="n"/>
      <c r="Z1024" s="395" t="n"/>
      <c r="AA1024" s="395" t="n"/>
      <c r="AB1024" s="395" t="n"/>
      <c r="AC1024" s="395" t="n"/>
      <c r="AD1024" s="395" t="n"/>
      <c r="AE1024" s="395" t="n"/>
    </row>
    <row r="1025" ht="182" customHeight="1" s="380">
      <c r="A1025" s="73" t="n">
        <v>62</v>
      </c>
      <c r="B1025" s="386" t="n"/>
      <c r="C1025" s="386" t="inlineStr">
        <is>
          <t>Báo cáo theo Thông tư 121/2020/TT-BTC &gt;&gt; Báo cáo tình hình hoạt động của công ty chứng khoán - I.1</t>
        </is>
      </c>
      <c r="D1025" s="386" t="inlineStr">
        <is>
          <t>Tên công ty chứng khoán</t>
        </is>
      </c>
      <c r="E1025" s="395" t="inlineStr">
        <is>
          <t>Tên công ty chứng khoán</t>
        </is>
      </c>
      <c r="F1025" s="386" t="inlineStr">
        <is>
          <t>Data Explorer</t>
        </is>
      </c>
      <c r="G1025" s="386" t="inlineStr">
        <is>
          <t>Chỉ tiêu cơ sở</t>
        </is>
      </c>
      <c r="H1025" s="386" t="inlineStr">
        <is>
          <t>Dễ</t>
        </is>
      </c>
      <c r="I1025" s="386" t="inlineStr">
        <is>
          <t>Ngày, CTCK</t>
        </is>
      </c>
      <c r="J1025" s="395" t="inlineStr">
        <is>
          <t>SCMS</t>
        </is>
      </c>
      <c r="K1025" s="395" t="n"/>
      <c r="L1025" s="395" t="inlineStr">
        <is>
          <t>X</t>
        </is>
      </c>
      <c r="M1025" s="395" t="n"/>
      <c r="N1025" s="395" t="inlineStr">
        <is>
          <t>Done</t>
        </is>
      </c>
      <c r="O1025" s="401" t="n"/>
      <c r="P1025" s="395" t="n"/>
      <c r="Q1025" s="118" t="inlineStr">
        <is>
          <t>SCMS.BC_THANH_VIEN
 SCMS.BC_BAO_CAO_GT
 SCMS.BM_BAO_CAO
 SCMS.CTCK_THONG_TIN</t>
        </is>
      </c>
      <c r="R1025" s="118" t="inlineStr">
        <is>
          <t>gt.GIA_TRI, gt.TEN_HANG,
 gt.TEN_COT,
 c.SAN_NIEM_YET,
 c.MA_CHUNG_KHOAN,
 c.GIAY_PHEP_KINH_DOANH,
 c.NGAY_CAP_GPKD</t>
        </is>
      </c>
      <c r="S1025" s="385" t="inlineStr">
        <is>
          <t>bm.MA_BAO_CAO LIKE 'BCTHHDKD%'
 btv.TRANG_THAI IN (2, 3)
 gt.TEN_COT = N'Nội dung'
 gt.TEN_SHEET = N'TTC'</t>
        </is>
      </c>
      <c r="T1025" s="430" t="inlineStr">
        <is>
          <t>-- 18 chỉ tiêu BC_BAO_CAO_GT + Sàn GD, Mã CK, Giấy phép từ CTCK_THONG_TIN
 SELECT
  btv.ID AS bc_thanh_vien_id,
  btv.CTCK_THONG_TIN_ID,
  btv.NGAY_SO_LIEU,
  btv.TRANG_THAI,
  bm.MA_BAO_CAO,
  gt.TEN_SHEET,
  c.SAN_NIEM_YET AS san_giao_dich,
  c.MA_CHUNG_KHOAN,
  c.GIAY_PHEP_KINH_DOANH AS so_giay_phep,
  c.NGAY_CAP_GPKD AS ngay_cap_giay_phep,
  MAX(CASE WHEN gt.TEN_HANG = N'Tên công ty chứng khoán' THEN gt.GIA_TRI END) AS ten_ctck,
  MAX(CASE WHEN gt.TEN_HANG = N'Vốn điều lệ (triệu đồng)' THEN gt.GIA_TRI END) AS von_dieu_le,
  MAX(CASE WHEN gt.TEN_HANG = N'Loại hình doanh nghiệp' THEN gt.GIA_TRI END) AS loai_hinh_dn,
  MAX(CASE WHEN gt.TEN_HANG = N'Nghiệp vụ - Môi giới chứng khoán' THEN gt.GIA_TRI END) AS nv_moi_gioi,
  MAX(CASE WHEN gt.TEN_HANG = N'Nghiệp vụ - Tự doanh' THEN gt.GIA_TRI END) AS nv_tu_doanh,
  MAX(CASE WHEN gt.TEN_HANG = N'Nghiệp vụ - Tư vấn đầu tư' THEN gt.GIA_TRI END) AS nv_tu_van,
  MAX(CASE WHEN gt.TEN_HANG = N'Nghiệp vụ - Bảo lãnh phát hành' THEN gt.GIA_TRI END) AS nv_bao_lanh,
  MAX(CASE WHEN gt.TEN_HANG = N'Dịch vụ lưu ký' THEN gt.GIA_TRI END) AS dich_vu_luu_ky,
  MAX(CASE WHEN gt.TEN_HANG = N'Hoạt động phái sinh' THEN gt.GIA_TRI END) AS hoat_dong_phai_sinh,
  MAX(CASE WHEN gt.TEN_HANG = N'Tổng số người lao động tại công ty' THEN gt.GIA_TRI END) AS tong_lao_dong,
  MAX(CASE WHEN gt.TEN_HANG = N'Tổng số người có chứng chỉ hành nghề' THEN gt.GIA_TRI END) AS so_nguoi_cchn,
  MAX(CASE WHEN gt.TEN_HANG = N'Vi phạm quy định về số lượng người hành nghề' THEN gt.GIA_TRI END) AS vi_pham_so_nhn,
  MAX(CASE WHEN gt.TEN_HANG = N'Vi phạm chế độ công bố thông tin' THEN gt.GIA_TRI END) AS vi_pham_cbtt,
  MAX(CASE WHEN gt.TEN_HANG = N'Hạn chế đầu tư' THEN gt.GIA_TRI END) AS han_che_dau_tu,
  MAX(CASE WHEN gt.TEN_HANG = N'Tình trạng hoạt động - Tỷ lệ an toàn tài chính' THEN gt.GIA_TRI END) AS ty_le_attc,
  MAX(CASE WHEN gt.TEN_HANG = N'Tình trạng hoạt động - Nghiệp vụ bị đình chỉ' THEN gt.GIA_TRI END) AS nv_dinh_chi,
  MAX(CASE WHEN gt.TEN_HANG = N'Tình trạng hoạt động - Tạm ngừng hoạt động' THEN gt.GIA_TRI END) AS tam_ngung_hd,
  MAX(CASE WHEN gt.TEN_HANG = N'Tình trạng hoạt động - Chấm dứt hoạt động kinh doanh' THEN gt.GIA_TRI END) AS cham_dut_hd
 FROM SCMS.BC_THANH_VIEN btv
 JOIN SCMS.BM_BAO_CAO bm ON bm.ID = btv.BM_BAO_CAO_ID
 JOIN SCMS.BC_BAO_CAO_GT gt ON gt.BC_THANH_VIEN_ID = btv.ID
 JOIN SCMS.CTCK_THONG_TIN c ON c.ID = btv.CTCK_THONG_TIN_ID
 WHERE bm.MA_BAO_CAO LIKE 'BCTHHDKD%'
  AND btv.TRANG_THAI IN (2, 3)
  AND gt.TEN_COT = N'Nội dung'
  AND gt.TEN_SHEET = N'TTC'
 GROUP BY
  btv.ID,
  btv.CTCK_THONG_TIN_ID,
  btv.NGAY_SO_LIEU,
  btv.TRANG_THAI,
  bm.MA_BAO_CAO,
  gt.TEN_SHEET,
  c.SAN_NIEM_YET,
  c.MA_CHUNG_KHOAN,
  c.GIAY_PHEP_KINH_DOANH,
  c.NGAY_CAP_GPKD;</t>
        </is>
      </c>
      <c r="U1025" s="385" t="inlineStr">
        <is>
          <t>Cần xác định lại TEN_HANG, TEN_COT thực tế, nên dùng MA_HANG, MA_COT sau khi có dữ liệu</t>
        </is>
      </c>
      <c r="V1025" s="395" t="n"/>
      <c r="W1025" s="395" t="n"/>
      <c r="X1025" s="395" t="n"/>
      <c r="Y1025" s="38" t="n"/>
      <c r="Z1025" s="395" t="n"/>
      <c r="AA1025" s="395" t="n"/>
      <c r="AB1025" s="395" t="n"/>
      <c r="AC1025" s="395" t="n"/>
      <c r="AD1025" s="395" t="n"/>
      <c r="AE1025" s="395" t="n"/>
    </row>
    <row r="1026" ht="70" customHeight="1" s="380">
      <c r="A1026" s="73" t="n">
        <v>62</v>
      </c>
      <c r="B1026" s="386" t="n"/>
      <c r="C1026" s="386" t="inlineStr">
        <is>
          <t>Báo cáo theo Thông tư 121/2020/TT-BTC &gt;&gt; Báo cáo tình hình hoạt động của công ty chứng khoán - I.1</t>
        </is>
      </c>
      <c r="D1026" s="386" t="inlineStr">
        <is>
          <t>Sàn giao dịch</t>
        </is>
      </c>
      <c r="E1026" s="395" t="inlineStr">
        <is>
          <t>Sàn giao dịch</t>
        </is>
      </c>
      <c r="F1026" s="386" t="inlineStr">
        <is>
          <t>Data Explorer</t>
        </is>
      </c>
      <c r="G1026" s="386" t="inlineStr">
        <is>
          <t>Chỉ tiêu cơ sở</t>
        </is>
      </c>
      <c r="H1026" s="386" t="inlineStr">
        <is>
          <t>Dễ</t>
        </is>
      </c>
      <c r="I1026" s="386" t="inlineStr">
        <is>
          <t>Ngày, CTCK</t>
        </is>
      </c>
      <c r="J1026" s="395" t="inlineStr">
        <is>
          <t>SCMS</t>
        </is>
      </c>
      <c r="K1026" s="395" t="n"/>
      <c r="L1026" s="395" t="inlineStr">
        <is>
          <t>X</t>
        </is>
      </c>
      <c r="M1026" s="395" t="n"/>
      <c r="N1026" s="395" t="inlineStr">
        <is>
          <t>Done</t>
        </is>
      </c>
      <c r="O1026" s="401" t="n"/>
      <c r="P1026" s="395" t="n"/>
      <c r="Q1026" s="119" t="inlineStr">
        <is>
          <t>Chung câu lệnh với chỉ tiêu "Tên công ty chứng khoán"</t>
        </is>
      </c>
      <c r="R1026" s="395" t="n"/>
      <c r="S1026" s="395" t="n"/>
      <c r="U1026" s="386" t="n"/>
      <c r="V1026" s="395" t="n"/>
      <c r="W1026" s="395" t="n"/>
      <c r="X1026" s="395" t="n"/>
      <c r="Y1026" s="13" t="n"/>
      <c r="Z1026" s="395" t="n"/>
      <c r="AA1026" s="395" t="n"/>
      <c r="AB1026" s="395" t="n"/>
      <c r="AC1026" s="395" t="n"/>
      <c r="AD1026" s="395" t="n"/>
      <c r="AE1026" s="395" t="n"/>
    </row>
    <row r="1027" ht="70" customHeight="1" s="380">
      <c r="A1027" s="73" t="n">
        <v>62</v>
      </c>
      <c r="B1027" s="386" t="n"/>
      <c r="C1027" s="386" t="inlineStr">
        <is>
          <t>Báo cáo theo Thông tư 121/2020/TT-BTC &gt;&gt; Báo cáo tình hình hoạt động của công ty chứng khoán - I.1</t>
        </is>
      </c>
      <c r="D1027" s="386" t="inlineStr">
        <is>
          <t>Mã chứng khoán</t>
        </is>
      </c>
      <c r="E1027" s="395" t="inlineStr">
        <is>
          <t>Mã chứng khoán</t>
        </is>
      </c>
      <c r="F1027" s="386" t="inlineStr">
        <is>
          <t>Data Explorer</t>
        </is>
      </c>
      <c r="G1027" s="386" t="inlineStr">
        <is>
          <t>Chỉ tiêu cơ sở</t>
        </is>
      </c>
      <c r="H1027" s="386" t="inlineStr">
        <is>
          <t>Dễ</t>
        </is>
      </c>
      <c r="I1027" s="386" t="inlineStr">
        <is>
          <t>Ngày, CTCK</t>
        </is>
      </c>
      <c r="J1027" s="395" t="inlineStr">
        <is>
          <t>SCMS</t>
        </is>
      </c>
      <c r="K1027" s="395" t="n"/>
      <c r="L1027" s="395" t="inlineStr">
        <is>
          <t>X</t>
        </is>
      </c>
      <c r="M1027" s="395" t="n"/>
      <c r="N1027" s="395" t="inlineStr">
        <is>
          <t>Done</t>
        </is>
      </c>
      <c r="O1027" s="401" t="n"/>
      <c r="P1027" s="395" t="n"/>
      <c r="Q1027" s="119" t="inlineStr">
        <is>
          <t>Chung câu lệnh với chỉ tiêu "Tên công ty chứng khoán"</t>
        </is>
      </c>
      <c r="R1027" s="395" t="n"/>
      <c r="S1027" s="395" t="n"/>
      <c r="U1027" s="386" t="n"/>
      <c r="V1027" s="395" t="n"/>
      <c r="W1027" s="395" t="n"/>
      <c r="X1027" s="395" t="n"/>
      <c r="Y1027" s="13" t="n"/>
      <c r="Z1027" s="395" t="n"/>
      <c r="AA1027" s="395" t="n"/>
      <c r="AB1027" s="395" t="n"/>
      <c r="AC1027" s="395" t="n"/>
      <c r="AD1027" s="395" t="n"/>
      <c r="AE1027" s="395" t="n"/>
    </row>
    <row r="1028" ht="70" customHeight="1" s="380">
      <c r="A1028" s="73" t="n">
        <v>62</v>
      </c>
      <c r="B1028" s="386" t="n"/>
      <c r="C1028" s="386" t="inlineStr">
        <is>
          <t>Báo cáo theo Thông tư 121/2020/TT-BTC &gt;&gt; Báo cáo tình hình hoạt động của công ty chứng khoán - I.1</t>
        </is>
      </c>
      <c r="D1028" s="386" t="inlineStr">
        <is>
          <t>Giấy phép Hoạt động &gt;&gt; Số</t>
        </is>
      </c>
      <c r="E1028" s="395" t="inlineStr">
        <is>
          <t>Giấy phép Hoạt động &gt;&gt; Số</t>
        </is>
      </c>
      <c r="F1028" s="386" t="inlineStr">
        <is>
          <t>Data Explorer</t>
        </is>
      </c>
      <c r="G1028" s="386" t="inlineStr">
        <is>
          <t>Chỉ tiêu cơ sở</t>
        </is>
      </c>
      <c r="H1028" s="386" t="inlineStr">
        <is>
          <t>Dễ</t>
        </is>
      </c>
      <c r="I1028" s="386" t="inlineStr">
        <is>
          <t>Ngày, CTCK</t>
        </is>
      </c>
      <c r="J1028" s="395" t="inlineStr">
        <is>
          <t>SCMS</t>
        </is>
      </c>
      <c r="K1028" s="395" t="n"/>
      <c r="L1028" s="395" t="inlineStr">
        <is>
          <t>X</t>
        </is>
      </c>
      <c r="M1028" s="395" t="n"/>
      <c r="N1028" s="395" t="inlineStr">
        <is>
          <t>Done</t>
        </is>
      </c>
      <c r="O1028" s="401" t="n"/>
      <c r="P1028" s="395" t="n"/>
      <c r="Q1028" s="119" t="inlineStr">
        <is>
          <t>Chung câu lệnh với chỉ tiêu "Tên công ty chứng khoán"</t>
        </is>
      </c>
      <c r="R1028" s="395" t="n"/>
      <c r="S1028" s="395" t="n"/>
      <c r="U1028" s="386" t="n"/>
      <c r="V1028" s="395" t="n"/>
      <c r="W1028" s="395" t="n"/>
      <c r="X1028" s="395" t="n"/>
      <c r="Y1028" s="13" t="n"/>
      <c r="Z1028" s="395" t="n"/>
      <c r="AA1028" s="395" t="n"/>
      <c r="AB1028" s="395" t="n"/>
      <c r="AC1028" s="395" t="n"/>
      <c r="AD1028" s="395" t="n"/>
      <c r="AE1028" s="395" t="n"/>
    </row>
    <row r="1029" ht="70" customHeight="1" s="380">
      <c r="A1029" s="73" t="n">
        <v>62</v>
      </c>
      <c r="B1029" s="386" t="n"/>
      <c r="C1029" s="386" t="inlineStr">
        <is>
          <t>Báo cáo theo Thông tư 121/2020/TT-BTC &gt;&gt; Báo cáo tình hình hoạt động của công ty chứng khoán - I.1</t>
        </is>
      </c>
      <c r="D1029" s="386" t="inlineStr">
        <is>
          <t>Giấy phép Hoạt động &gt;&gt; Ngày cấp</t>
        </is>
      </c>
      <c r="E1029" s="395" t="inlineStr">
        <is>
          <t>Giấy phép Hoạt động &gt;&gt; Ngày cấp</t>
        </is>
      </c>
      <c r="F1029" s="386" t="inlineStr">
        <is>
          <t>Data Explorer</t>
        </is>
      </c>
      <c r="G1029" s="386" t="inlineStr">
        <is>
          <t>Chỉ tiêu cơ sở</t>
        </is>
      </c>
      <c r="H1029" s="386" t="inlineStr">
        <is>
          <t>Dễ</t>
        </is>
      </c>
      <c r="I1029" s="386" t="inlineStr">
        <is>
          <t>Ngày, CTCK</t>
        </is>
      </c>
      <c r="J1029" s="395" t="inlineStr">
        <is>
          <t>SCMS</t>
        </is>
      </c>
      <c r="K1029" s="395" t="n"/>
      <c r="L1029" s="395" t="inlineStr">
        <is>
          <t>X</t>
        </is>
      </c>
      <c r="M1029" s="395" t="n"/>
      <c r="N1029" s="395" t="inlineStr">
        <is>
          <t>Done</t>
        </is>
      </c>
      <c r="O1029" s="401" t="n"/>
      <c r="P1029" s="395" t="n"/>
      <c r="Q1029" s="119" t="inlineStr">
        <is>
          <t>Chung câu lệnh với chỉ tiêu "Tên công ty chứng khoán"</t>
        </is>
      </c>
      <c r="R1029" s="395" t="n"/>
      <c r="S1029" s="395" t="n"/>
      <c r="U1029" s="386" t="n"/>
      <c r="V1029" s="395" t="n"/>
      <c r="W1029" s="395" t="n"/>
      <c r="X1029" s="395" t="n"/>
      <c r="Y1029" s="13" t="n"/>
      <c r="Z1029" s="395" t="n"/>
      <c r="AA1029" s="395" t="n"/>
      <c r="AB1029" s="395" t="n"/>
      <c r="AC1029" s="395" t="n"/>
      <c r="AD1029" s="395" t="n"/>
      <c r="AE1029" s="395" t="n"/>
    </row>
    <row r="1030" ht="70" customHeight="1" s="380">
      <c r="A1030" s="73" t="n">
        <v>62</v>
      </c>
      <c r="B1030" s="386" t="n"/>
      <c r="C1030" s="386" t="inlineStr">
        <is>
          <t>Báo cáo theo Thông tư 121/2020/TT-BTC &gt;&gt; Báo cáo tình hình hoạt động của công ty chứng khoán - I.1</t>
        </is>
      </c>
      <c r="D1030" s="386" t="inlineStr">
        <is>
          <t>Vốn điều lệ (triệu đồng)</t>
        </is>
      </c>
      <c r="E1030" s="395" t="inlineStr">
        <is>
          <t>Vốn điều lệ (triệu đồng)</t>
        </is>
      </c>
      <c r="F1030" s="386" t="inlineStr">
        <is>
          <t>Data Explorer</t>
        </is>
      </c>
      <c r="G1030" s="386" t="inlineStr">
        <is>
          <t>Chỉ tiêu cơ sở</t>
        </is>
      </c>
      <c r="H1030" s="386" t="inlineStr">
        <is>
          <t>Dễ</t>
        </is>
      </c>
      <c r="I1030" s="386" t="inlineStr">
        <is>
          <t>Ngày, CTCK</t>
        </is>
      </c>
      <c r="J1030" s="395" t="inlineStr">
        <is>
          <t>SCMS</t>
        </is>
      </c>
      <c r="K1030" s="395" t="n"/>
      <c r="L1030" s="395" t="inlineStr">
        <is>
          <t>X</t>
        </is>
      </c>
      <c r="M1030" s="395" t="n"/>
      <c r="N1030" s="395" t="inlineStr">
        <is>
          <t>Done</t>
        </is>
      </c>
      <c r="O1030" s="401" t="n"/>
      <c r="P1030" s="395" t="n"/>
      <c r="Q1030" s="119" t="inlineStr">
        <is>
          <t>Chung câu lệnh với chỉ tiêu "Tên công ty chứng khoán"</t>
        </is>
      </c>
      <c r="R1030" s="395" t="n"/>
      <c r="S1030" s="395" t="n"/>
      <c r="U1030" s="386" t="n"/>
      <c r="V1030" s="395" t="n"/>
      <c r="W1030" s="395" t="n"/>
      <c r="X1030" s="395" t="n"/>
      <c r="Y1030" s="13" t="n"/>
      <c r="Z1030" s="395" t="n"/>
      <c r="AA1030" s="395" t="n"/>
      <c r="AB1030" s="395" t="n"/>
      <c r="AC1030" s="395" t="n"/>
      <c r="AD1030" s="395" t="n"/>
      <c r="AE1030" s="395" t="n"/>
    </row>
    <row r="1031" ht="70" customHeight="1" s="380">
      <c r="A1031" s="73" t="n">
        <v>62</v>
      </c>
      <c r="B1031" s="386" t="n"/>
      <c r="C1031" s="386" t="inlineStr">
        <is>
          <t>Báo cáo theo Thông tư 121/2020/TT-BTC &gt;&gt; Báo cáo tình hình hoạt động của công ty chứng khoán - I.1</t>
        </is>
      </c>
      <c r="D1031" s="386" t="inlineStr">
        <is>
          <t>Loại hình doanh nghiệp
(CTĐC/CTCP/TNHH)</t>
        </is>
      </c>
      <c r="E1031" s="395" t="inlineStr">
        <is>
          <t>Loại hình doanh nghiệp
(CTĐC/CTCP/TNHH)</t>
        </is>
      </c>
      <c r="F1031" s="386" t="inlineStr">
        <is>
          <t>Data Explorer</t>
        </is>
      </c>
      <c r="G1031" s="386" t="inlineStr">
        <is>
          <t>Chỉ tiêu cơ sở</t>
        </is>
      </c>
      <c r="H1031" s="386" t="inlineStr">
        <is>
          <t>Dễ</t>
        </is>
      </c>
      <c r="I1031" s="386" t="inlineStr">
        <is>
          <t>Ngày, CTCK</t>
        </is>
      </c>
      <c r="J1031" s="395" t="inlineStr">
        <is>
          <t>SCMS</t>
        </is>
      </c>
      <c r="K1031" s="395" t="n"/>
      <c r="L1031" s="395" t="inlineStr">
        <is>
          <t>X</t>
        </is>
      </c>
      <c r="M1031" s="395" t="n"/>
      <c r="N1031" s="395" t="inlineStr">
        <is>
          <t>Done</t>
        </is>
      </c>
      <c r="O1031" s="401" t="n"/>
      <c r="P1031" s="395" t="n"/>
      <c r="Q1031" s="119" t="inlineStr">
        <is>
          <t>Chung câu lệnh với chỉ tiêu "Tên công ty chứng khoán"</t>
        </is>
      </c>
      <c r="R1031" s="395" t="n"/>
      <c r="S1031" s="395" t="n"/>
      <c r="U1031" s="386" t="n"/>
      <c r="V1031" s="395" t="n"/>
      <c r="W1031" s="395" t="n"/>
      <c r="X1031" s="395" t="n"/>
      <c r="Y1031" s="38" t="n"/>
      <c r="Z1031" s="395" t="n"/>
      <c r="AA1031" s="395" t="n"/>
      <c r="AB1031" s="395" t="n"/>
      <c r="AC1031" s="395" t="n"/>
      <c r="AD1031" s="395" t="n"/>
      <c r="AE1031" s="395" t="n"/>
    </row>
    <row r="1032" ht="70" customHeight="1" s="380">
      <c r="A1032" s="73" t="n">
        <v>62</v>
      </c>
      <c r="B1032" s="386" t="n"/>
      <c r="C1032" s="386" t="inlineStr">
        <is>
          <t>Báo cáo theo Thông tư 121/2020/TT-BTC &gt;&gt; Báo cáo tình hình hoạt động của công ty chứng khoán - I.1</t>
        </is>
      </c>
      <c r="D1032" s="386" t="inlineStr">
        <is>
          <t>Nghiệp vụ &gt;&gt; Môi giới chứng khoán</t>
        </is>
      </c>
      <c r="E1032" s="395" t="inlineStr">
        <is>
          <t>Nghiệp vụ &gt;&gt; Môi giới chứng khoán</t>
        </is>
      </c>
      <c r="F1032" s="386" t="inlineStr">
        <is>
          <t>Data Explorer</t>
        </is>
      </c>
      <c r="G1032" s="386" t="inlineStr">
        <is>
          <t>Chỉ tiêu cơ sở</t>
        </is>
      </c>
      <c r="H1032" s="386" t="inlineStr">
        <is>
          <t>TB</t>
        </is>
      </c>
      <c r="I1032" s="386" t="inlineStr">
        <is>
          <t>Ngày, CTCK</t>
        </is>
      </c>
      <c r="J1032" s="395" t="inlineStr">
        <is>
          <t>SCMS</t>
        </is>
      </c>
      <c r="K1032" s="395" t="n"/>
      <c r="L1032" s="395" t="inlineStr">
        <is>
          <t>X</t>
        </is>
      </c>
      <c r="M1032" s="395" t="n"/>
      <c r="N1032" s="395" t="inlineStr">
        <is>
          <t>Done</t>
        </is>
      </c>
      <c r="O1032" s="401" t="n"/>
      <c r="P1032" s="395" t="n"/>
      <c r="Q1032" s="119" t="inlineStr">
        <is>
          <t>Chung câu lệnh với chỉ tiêu "Tên công ty chứng khoán"</t>
        </is>
      </c>
      <c r="R1032" s="395" t="n"/>
      <c r="S1032" s="395" t="n"/>
      <c r="U1032" s="386" t="n"/>
      <c r="V1032" s="395" t="n"/>
      <c r="W1032" s="395" t="n"/>
      <c r="X1032" s="395" t="n"/>
      <c r="Y1032" s="13" t="n"/>
      <c r="Z1032" s="395" t="n"/>
      <c r="AA1032" s="395" t="n"/>
      <c r="AB1032" s="395" t="n"/>
      <c r="AC1032" s="395" t="n"/>
      <c r="AD1032" s="395" t="n"/>
      <c r="AE1032" s="395" t="n"/>
    </row>
    <row r="1033" ht="70" customHeight="1" s="380">
      <c r="A1033" s="73" t="n">
        <v>62</v>
      </c>
      <c r="B1033" s="386" t="n"/>
      <c r="C1033" s="386" t="inlineStr">
        <is>
          <t>Báo cáo theo Thông tư 121/2020/TT-BTC &gt;&gt; Báo cáo tình hình hoạt động của công ty chứng khoán - I.1</t>
        </is>
      </c>
      <c r="D1033" s="386" t="inlineStr">
        <is>
          <t>Nghiệp vụ &gt;&gt; Tự doanh</t>
        </is>
      </c>
      <c r="E1033" s="395" t="inlineStr">
        <is>
          <t>Nghiệp vụ &gt;&gt; Tự doanh</t>
        </is>
      </c>
      <c r="F1033" s="386" t="inlineStr">
        <is>
          <t>Data Explorer</t>
        </is>
      </c>
      <c r="G1033" s="386" t="inlineStr">
        <is>
          <t>Chỉ tiêu cơ sở</t>
        </is>
      </c>
      <c r="H1033" s="386" t="inlineStr">
        <is>
          <t>TB</t>
        </is>
      </c>
      <c r="I1033" s="386" t="inlineStr">
        <is>
          <t>Ngày, CTCK</t>
        </is>
      </c>
      <c r="J1033" s="395" t="inlineStr">
        <is>
          <t>SCMS</t>
        </is>
      </c>
      <c r="K1033" s="395" t="n"/>
      <c r="L1033" s="395" t="inlineStr">
        <is>
          <t>X</t>
        </is>
      </c>
      <c r="M1033" s="395" t="n"/>
      <c r="N1033" s="395" t="inlineStr">
        <is>
          <t>Done</t>
        </is>
      </c>
      <c r="O1033" s="401" t="n"/>
      <c r="P1033" s="395" t="n"/>
      <c r="Q1033" s="119" t="inlineStr">
        <is>
          <t>Chung câu lệnh với chỉ tiêu "Tên công ty chứng khoán"</t>
        </is>
      </c>
      <c r="R1033" s="395" t="n"/>
      <c r="S1033" s="395" t="n"/>
      <c r="U1033" s="386" t="n"/>
      <c r="V1033" s="395" t="n"/>
      <c r="W1033" s="395" t="n"/>
      <c r="X1033" s="395" t="n"/>
      <c r="Y1033" s="13" t="n"/>
      <c r="Z1033" s="395" t="n"/>
      <c r="AA1033" s="395" t="n"/>
      <c r="AB1033" s="395" t="n"/>
      <c r="AC1033" s="395" t="n"/>
      <c r="AD1033" s="395" t="n"/>
      <c r="AE1033" s="395" t="n"/>
    </row>
    <row r="1034" ht="70" customHeight="1" s="380">
      <c r="A1034" s="73" t="n">
        <v>62</v>
      </c>
      <c r="B1034" s="386" t="n"/>
      <c r="C1034" s="386" t="inlineStr">
        <is>
          <t>Báo cáo theo Thông tư 121/2020/TT-BTC &gt;&gt; Báo cáo tình hình hoạt động của công ty chứng khoán - I.1</t>
        </is>
      </c>
      <c r="D1034" s="386" t="inlineStr">
        <is>
          <t>Nghiệp vụ &gt;&gt; Tư vấn đầu tư</t>
        </is>
      </c>
      <c r="E1034" s="395" t="inlineStr">
        <is>
          <t>Nghiệp vụ &gt;&gt; Tư vấn đầu tư</t>
        </is>
      </c>
      <c r="F1034" s="386" t="inlineStr">
        <is>
          <t>Data Explorer</t>
        </is>
      </c>
      <c r="G1034" s="386" t="inlineStr">
        <is>
          <t>Chỉ tiêu cơ sở</t>
        </is>
      </c>
      <c r="H1034" s="386" t="inlineStr">
        <is>
          <t>TB</t>
        </is>
      </c>
      <c r="I1034" s="386" t="inlineStr">
        <is>
          <t>Ngày, CTCK</t>
        </is>
      </c>
      <c r="J1034" s="395" t="inlineStr">
        <is>
          <t>SCMS</t>
        </is>
      </c>
      <c r="K1034" s="395" t="n"/>
      <c r="L1034" s="395" t="inlineStr">
        <is>
          <t>X</t>
        </is>
      </c>
      <c r="M1034" s="395" t="n"/>
      <c r="N1034" s="395" t="inlineStr">
        <is>
          <t>Done</t>
        </is>
      </c>
      <c r="O1034" s="401" t="n"/>
      <c r="P1034" s="395" t="n"/>
      <c r="Q1034" s="119" t="inlineStr">
        <is>
          <t>Chung câu lệnh với chỉ tiêu "Tên công ty chứng khoán"</t>
        </is>
      </c>
      <c r="R1034" s="395" t="n"/>
      <c r="S1034" s="395" t="n"/>
      <c r="U1034" s="386" t="n"/>
      <c r="V1034" s="395" t="n"/>
      <c r="W1034" s="395" t="n"/>
      <c r="X1034" s="395" t="n"/>
      <c r="Y1034" s="13" t="n"/>
      <c r="Z1034" s="395" t="n"/>
      <c r="AA1034" s="395" t="n"/>
      <c r="AB1034" s="395" t="n"/>
      <c r="AC1034" s="395" t="n"/>
      <c r="AD1034" s="395" t="n"/>
      <c r="AE1034" s="395" t="n"/>
    </row>
    <row r="1035" ht="70" customHeight="1" s="380">
      <c r="A1035" s="73" t="n">
        <v>62</v>
      </c>
      <c r="B1035" s="386" t="n"/>
      <c r="C1035" s="386" t="inlineStr">
        <is>
          <t>Báo cáo theo Thông tư 121/2020/TT-BTC &gt;&gt; Báo cáo tình hình hoạt động của công ty chứng khoán - I.1</t>
        </is>
      </c>
      <c r="D1035" s="386" t="inlineStr">
        <is>
          <t>Nghiệp vụ &gt;&gt; Bảo lãnh phát hành</t>
        </is>
      </c>
      <c r="E1035" s="395" t="inlineStr">
        <is>
          <t>Nghiệp vụ &gt;&gt; Bảo lãnh phát hành</t>
        </is>
      </c>
      <c r="F1035" s="386" t="inlineStr">
        <is>
          <t>Data Explorer</t>
        </is>
      </c>
      <c r="G1035" s="386" t="inlineStr">
        <is>
          <t>Chỉ tiêu cơ sở</t>
        </is>
      </c>
      <c r="H1035" s="386" t="inlineStr">
        <is>
          <t>TB</t>
        </is>
      </c>
      <c r="I1035" s="386" t="inlineStr">
        <is>
          <t>Ngày, CTCK</t>
        </is>
      </c>
      <c r="J1035" s="395" t="inlineStr">
        <is>
          <t>SCMS</t>
        </is>
      </c>
      <c r="K1035" s="395" t="n"/>
      <c r="L1035" s="395" t="inlineStr">
        <is>
          <t>X</t>
        </is>
      </c>
      <c r="M1035" s="395" t="n"/>
      <c r="N1035" s="395" t="inlineStr">
        <is>
          <t>Done</t>
        </is>
      </c>
      <c r="O1035" s="401" t="n"/>
      <c r="P1035" s="395" t="n"/>
      <c r="Q1035" s="119" t="inlineStr">
        <is>
          <t>Chung câu lệnh với chỉ tiêu "Tên công ty chứng khoán"</t>
        </is>
      </c>
      <c r="R1035" s="395" t="n"/>
      <c r="S1035" s="395" t="n"/>
      <c r="U1035" s="386" t="n"/>
      <c r="V1035" s="395" t="n"/>
      <c r="W1035" s="395" t="n"/>
      <c r="X1035" s="395" t="n"/>
      <c r="Y1035" s="13" t="n"/>
      <c r="Z1035" s="395" t="n"/>
      <c r="AA1035" s="395" t="n"/>
      <c r="AB1035" s="395" t="n"/>
      <c r="AC1035" s="395" t="n"/>
      <c r="AD1035" s="395" t="n"/>
      <c r="AE1035" s="395" t="n"/>
    </row>
    <row r="1036" ht="70" customHeight="1" s="380">
      <c r="A1036" s="73" t="n">
        <v>62</v>
      </c>
      <c r="B1036" s="386" t="n"/>
      <c r="C1036" s="386" t="inlineStr">
        <is>
          <t>Báo cáo theo Thông tư 121/2020/TT-BTC &gt;&gt; Báo cáo tình hình hoạt động của công ty chứng khoán - I.1</t>
        </is>
      </c>
      <c r="D1036" s="386" t="inlineStr">
        <is>
          <t>Dịch vụ lưu ký</t>
        </is>
      </c>
      <c r="E1036" s="395" t="inlineStr">
        <is>
          <t>Dịch vụ lưu ký</t>
        </is>
      </c>
      <c r="F1036" s="386" t="inlineStr">
        <is>
          <t>Data Explorer</t>
        </is>
      </c>
      <c r="G1036" s="386" t="inlineStr">
        <is>
          <t>Chỉ tiêu cơ sở</t>
        </is>
      </c>
      <c r="H1036" s="386" t="inlineStr">
        <is>
          <t>TB</t>
        </is>
      </c>
      <c r="I1036" s="386" t="inlineStr">
        <is>
          <t>Ngày, CTCK</t>
        </is>
      </c>
      <c r="J1036" s="395" t="inlineStr">
        <is>
          <t>SCMS</t>
        </is>
      </c>
      <c r="K1036" s="395" t="n"/>
      <c r="L1036" s="395" t="inlineStr">
        <is>
          <t>X</t>
        </is>
      </c>
      <c r="M1036" s="395" t="n"/>
      <c r="N1036" s="395" t="inlineStr">
        <is>
          <t>Done</t>
        </is>
      </c>
      <c r="O1036" s="401" t="n"/>
      <c r="P1036" s="395" t="n"/>
      <c r="Q1036" s="119" t="inlineStr">
        <is>
          <t>Chung câu lệnh với chỉ tiêu "Tên công ty chứng khoán"</t>
        </is>
      </c>
      <c r="R1036" s="395" t="n"/>
      <c r="S1036" s="395" t="n"/>
      <c r="U1036" s="386" t="n"/>
      <c r="V1036" s="395" t="n"/>
      <c r="W1036" s="395" t="n"/>
      <c r="X1036" s="395" t="n"/>
      <c r="Y1036" s="13" t="n"/>
      <c r="Z1036" s="395" t="n"/>
      <c r="AA1036" s="395" t="n"/>
      <c r="AB1036" s="395" t="n"/>
      <c r="AC1036" s="395" t="n"/>
      <c r="AD1036" s="395" t="n"/>
      <c r="AE1036" s="395" t="n"/>
    </row>
    <row r="1037" ht="70" customHeight="1" s="380">
      <c r="A1037" s="73" t="n">
        <v>62</v>
      </c>
      <c r="B1037" s="386" t="n"/>
      <c r="C1037" s="386" t="inlineStr">
        <is>
          <t>Báo cáo theo Thông tư 121/2020/TT-BTC &gt;&gt; Báo cáo tình hình hoạt động của công ty chứng khoán - I.1</t>
        </is>
      </c>
      <c r="D1037" s="386" t="inlineStr">
        <is>
          <t>Hoạt động phái sinh</t>
        </is>
      </c>
      <c r="E1037" s="395" t="inlineStr">
        <is>
          <t>Hoạt động phái sinh</t>
        </is>
      </c>
      <c r="F1037" s="386" t="inlineStr">
        <is>
          <t>Data Explorer</t>
        </is>
      </c>
      <c r="G1037" s="386" t="inlineStr">
        <is>
          <t>Chỉ tiêu cơ sở</t>
        </is>
      </c>
      <c r="H1037" s="386" t="inlineStr">
        <is>
          <t>TB</t>
        </is>
      </c>
      <c r="I1037" s="386" t="inlineStr">
        <is>
          <t>Ngày, CTCK</t>
        </is>
      </c>
      <c r="J1037" s="395" t="inlineStr">
        <is>
          <t>SCMS</t>
        </is>
      </c>
      <c r="K1037" s="395" t="n"/>
      <c r="L1037" s="395" t="inlineStr">
        <is>
          <t>X</t>
        </is>
      </c>
      <c r="M1037" s="395" t="n"/>
      <c r="N1037" s="395" t="inlineStr">
        <is>
          <t>Done</t>
        </is>
      </c>
      <c r="O1037" s="401" t="n"/>
      <c r="P1037" s="395" t="n"/>
      <c r="Q1037" s="119" t="inlineStr">
        <is>
          <t>Chung câu lệnh với chỉ tiêu "Tên công ty chứng khoán"</t>
        </is>
      </c>
      <c r="R1037" s="395" t="n"/>
      <c r="S1037" s="395" t="n"/>
      <c r="U1037" s="386" t="n"/>
      <c r="V1037" s="395" t="n"/>
      <c r="W1037" s="395" t="n"/>
      <c r="X1037" s="395" t="n"/>
      <c r="Y1037" s="14" t="n"/>
      <c r="Z1037" s="395" t="n"/>
      <c r="AA1037" s="395" t="n"/>
      <c r="AB1037" s="395" t="n"/>
      <c r="AC1037" s="395" t="n"/>
      <c r="AD1037" s="395" t="n"/>
      <c r="AE1037" s="395" t="n"/>
    </row>
    <row r="1038" ht="70" customHeight="1" s="380">
      <c r="A1038" s="73" t="n">
        <v>62</v>
      </c>
      <c r="B1038" s="386" t="n"/>
      <c r="C1038" s="386" t="inlineStr">
        <is>
          <t>Báo cáo theo Thông tư 121/2020/TT-BTC &gt;&gt; Báo cáo tình hình hoạt động của công ty chứng khoán - I.1</t>
        </is>
      </c>
      <c r="D1038" s="386" t="inlineStr">
        <is>
          <t>Tổng số người lao động tại công ty</t>
        </is>
      </c>
      <c r="E1038" s="395" t="inlineStr">
        <is>
          <t>Tổng số người lao động tại công ty</t>
        </is>
      </c>
      <c r="F1038" s="386" t="inlineStr">
        <is>
          <t>Data Explorer</t>
        </is>
      </c>
      <c r="G1038" s="386" t="inlineStr">
        <is>
          <t>Chỉ tiêu cơ sở</t>
        </is>
      </c>
      <c r="H1038" s="386" t="inlineStr">
        <is>
          <t>TB</t>
        </is>
      </c>
      <c r="I1038" s="386" t="inlineStr">
        <is>
          <t>Ngày, CTCK</t>
        </is>
      </c>
      <c r="J1038" s="395" t="inlineStr">
        <is>
          <t>SCMS</t>
        </is>
      </c>
      <c r="K1038" s="395" t="n"/>
      <c r="L1038" s="395" t="inlineStr">
        <is>
          <t>X</t>
        </is>
      </c>
      <c r="M1038" s="395" t="n"/>
      <c r="N1038" s="395" t="inlineStr">
        <is>
          <t>Done</t>
        </is>
      </c>
      <c r="O1038" s="401" t="n"/>
      <c r="P1038" s="395" t="n"/>
      <c r="Q1038" s="119" t="inlineStr">
        <is>
          <t>Chung câu lệnh với chỉ tiêu "Tên công ty chứng khoán"</t>
        </is>
      </c>
      <c r="R1038" s="395" t="n"/>
      <c r="S1038" s="395" t="n"/>
      <c r="U1038" s="386" t="n"/>
      <c r="V1038" s="395" t="n"/>
      <c r="W1038" s="395" t="n"/>
      <c r="X1038" s="395" t="n"/>
      <c r="Y1038" s="6" t="n"/>
      <c r="Z1038" s="395" t="n"/>
      <c r="AA1038" s="395" t="n"/>
      <c r="AB1038" s="395" t="n"/>
      <c r="AC1038" s="395" t="n"/>
      <c r="AD1038" s="395" t="n"/>
      <c r="AE1038" s="395" t="n"/>
    </row>
    <row r="1039" ht="70" customHeight="1" s="380">
      <c r="A1039" s="73" t="n">
        <v>62</v>
      </c>
      <c r="B1039" s="386" t="n"/>
      <c r="C1039" s="386" t="inlineStr">
        <is>
          <t>Báo cáo theo Thông tư 121/2020/TT-BTC &gt;&gt; Báo cáo tình hình hoạt động của công ty chứng khoán - I.1</t>
        </is>
      </c>
      <c r="D1039" s="386" t="inlineStr">
        <is>
          <t>Tổng số người có chứng chỉ hành nghề</t>
        </is>
      </c>
      <c r="E1039" s="395" t="inlineStr">
        <is>
          <t>Tổng số người có chứng chỉ hành nghề</t>
        </is>
      </c>
      <c r="F1039" s="386" t="inlineStr">
        <is>
          <t>Data Explorer</t>
        </is>
      </c>
      <c r="G1039" s="386" t="inlineStr">
        <is>
          <t>Chỉ tiêu cơ sở</t>
        </is>
      </c>
      <c r="H1039" s="386" t="inlineStr">
        <is>
          <t>TB</t>
        </is>
      </c>
      <c r="I1039" s="386" t="inlineStr">
        <is>
          <t>Ngày, CTCK</t>
        </is>
      </c>
      <c r="J1039" s="395" t="inlineStr">
        <is>
          <t>SCMS, NHNCK</t>
        </is>
      </c>
      <c r="K1039" s="395" t="n"/>
      <c r="L1039" s="395" t="inlineStr">
        <is>
          <t>X</t>
        </is>
      </c>
      <c r="M1039" s="395" t="n"/>
      <c r="N1039" s="395" t="inlineStr">
        <is>
          <t>Done</t>
        </is>
      </c>
      <c r="O1039" s="401" t="n"/>
      <c r="P1039" s="395" t="n"/>
      <c r="Q1039" s="119" t="inlineStr">
        <is>
          <t>Chung câu lệnh với chỉ tiêu "Tên công ty chứng khoán"</t>
        </is>
      </c>
      <c r="R1039" s="395" t="n"/>
      <c r="S1039" s="395" t="n"/>
      <c r="U1039" s="386" t="n"/>
      <c r="V1039" s="395" t="n"/>
      <c r="W1039" s="395" t="n"/>
      <c r="X1039" s="395" t="n"/>
      <c r="Y1039" s="6" t="n"/>
      <c r="Z1039" s="395" t="n"/>
      <c r="AA1039" s="395" t="n"/>
      <c r="AB1039" s="395" t="n"/>
      <c r="AC1039" s="395" t="n"/>
      <c r="AD1039" s="395" t="n"/>
      <c r="AE1039" s="395" t="n"/>
    </row>
    <row r="1040" ht="70" customHeight="1" s="380">
      <c r="A1040" s="73" t="n">
        <v>62</v>
      </c>
      <c r="B1040" s="386" t="n"/>
      <c r="C1040" s="386" t="inlineStr">
        <is>
          <t>Báo cáo theo Thông tư 121/2020/TT-BTC &gt;&gt; Báo cáo tình hình hoạt động của công ty chứng khoán - I.1</t>
        </is>
      </c>
      <c r="D1040" s="386" t="inlineStr">
        <is>
          <t>Vi phạm quy định về số lượng người hành nghề</t>
        </is>
      </c>
      <c r="E1040" s="386" t="inlineStr">
        <is>
          <t>Vi phạm quy định về số lượng người hành nghề</t>
        </is>
      </c>
      <c r="F1040" s="386" t="inlineStr">
        <is>
          <t>Data Explorer</t>
        </is>
      </c>
      <c r="G1040" s="386" t="inlineStr">
        <is>
          <t>Chỉ tiêu cơ sở</t>
        </is>
      </c>
      <c r="H1040" s="386" t="inlineStr">
        <is>
          <t>TB</t>
        </is>
      </c>
      <c r="I1040" s="386" t="inlineStr">
        <is>
          <t>Ngày, CTCK</t>
        </is>
      </c>
      <c r="J1040" s="395" t="inlineStr">
        <is>
          <t>SCMS, NHNCK</t>
        </is>
      </c>
      <c r="K1040" s="395" t="n"/>
      <c r="L1040" s="395" t="inlineStr">
        <is>
          <t>X</t>
        </is>
      </c>
      <c r="M1040" s="395" t="n"/>
      <c r="N1040" s="395" t="inlineStr">
        <is>
          <t>Done</t>
        </is>
      </c>
      <c r="O1040" s="401" t="n"/>
      <c r="P1040" s="395" t="n"/>
      <c r="Q1040" s="119" t="inlineStr">
        <is>
          <t>Chung câu lệnh với chỉ tiêu "Tên công ty chứng khoán"</t>
        </is>
      </c>
      <c r="R1040" s="395" t="n"/>
      <c r="S1040" s="395" t="n"/>
      <c r="U1040" s="386" t="n"/>
      <c r="V1040" s="395" t="n"/>
      <c r="W1040" s="395" t="n"/>
      <c r="X1040" s="395" t="n"/>
      <c r="Y1040" s="395" t="n"/>
      <c r="Z1040" s="395" t="n"/>
      <c r="AA1040" s="395" t="n"/>
      <c r="AB1040" s="395" t="n"/>
      <c r="AC1040" s="395" t="n"/>
      <c r="AD1040" s="395" t="n"/>
      <c r="AE1040" s="395" t="n"/>
    </row>
    <row r="1041" ht="70" customHeight="1" s="380">
      <c r="A1041" s="73" t="n">
        <v>62</v>
      </c>
      <c r="B1041" s="386" t="n"/>
      <c r="C1041" s="386" t="inlineStr">
        <is>
          <t>Báo cáo theo Thông tư 121/2020/TT-BTC &gt;&gt; Báo cáo tình hình hoạt động của công ty chứng khoán - I.1</t>
        </is>
      </c>
      <c r="D1041" s="386" t="inlineStr">
        <is>
          <t>Vi phạm chế độ công bố thông tin</t>
        </is>
      </c>
      <c r="E1041" s="395" t="inlineStr">
        <is>
          <t>Vi phạm chế độ công bố thông tin</t>
        </is>
      </c>
      <c r="F1041" s="386" t="inlineStr">
        <is>
          <t>Data Explorer</t>
        </is>
      </c>
      <c r="G1041" s="386" t="inlineStr">
        <is>
          <t>Chỉ tiêu cơ sở</t>
        </is>
      </c>
      <c r="H1041" s="386" t="inlineStr">
        <is>
          <t>TB</t>
        </is>
      </c>
      <c r="I1041" s="386" t="inlineStr">
        <is>
          <t>Ngày, CTCK</t>
        </is>
      </c>
      <c r="J1041" s="395" t="inlineStr">
        <is>
          <t>SCMS</t>
        </is>
      </c>
      <c r="K1041" s="395" t="n"/>
      <c r="L1041" s="395" t="inlineStr">
        <is>
          <t>X</t>
        </is>
      </c>
      <c r="M1041" s="395" t="n"/>
      <c r="N1041" s="395" t="inlineStr">
        <is>
          <t>Done</t>
        </is>
      </c>
      <c r="O1041" s="401" t="n"/>
      <c r="P1041" s="395" t="n"/>
      <c r="Q1041" s="119" t="inlineStr">
        <is>
          <t>Chung câu lệnh với chỉ tiêu "Tên công ty chứng khoán"</t>
        </is>
      </c>
      <c r="R1041" s="395" t="n"/>
      <c r="S1041" s="395" t="n"/>
      <c r="U1041" s="386" t="n"/>
      <c r="V1041" s="395" t="n"/>
      <c r="W1041" s="395" t="n"/>
      <c r="X1041" s="395" t="n"/>
      <c r="Y1041" s="395" t="n"/>
      <c r="Z1041" s="395" t="n"/>
      <c r="AA1041" s="395" t="n"/>
      <c r="AB1041" s="395" t="n"/>
      <c r="AC1041" s="395" t="n"/>
      <c r="AD1041" s="395" t="n"/>
      <c r="AE1041" s="395" t="n"/>
    </row>
    <row r="1042" ht="70" customHeight="1" s="380">
      <c r="A1042" s="73" t="n">
        <v>62</v>
      </c>
      <c r="B1042" s="386" t="n"/>
      <c r="C1042" s="386" t="inlineStr">
        <is>
          <t>Báo cáo theo Thông tư 121/2020/TT-BTC &gt;&gt; Báo cáo tình hình hoạt động của công ty chứng khoán - I.1</t>
        </is>
      </c>
      <c r="D1042" s="386" t="inlineStr">
        <is>
          <t>Hạn chế đầu tư</t>
        </is>
      </c>
      <c r="E1042" s="395" t="inlineStr">
        <is>
          <t>Hạn chế đầu tư</t>
        </is>
      </c>
      <c r="F1042" s="386" t="inlineStr">
        <is>
          <t>Data Explorer</t>
        </is>
      </c>
      <c r="G1042" s="386" t="inlineStr">
        <is>
          <t>Chỉ tiêu cơ sở</t>
        </is>
      </c>
      <c r="H1042" s="386" t="inlineStr">
        <is>
          <t>TB</t>
        </is>
      </c>
      <c r="I1042" s="386" t="inlineStr">
        <is>
          <t>Ngày, CTCK</t>
        </is>
      </c>
      <c r="J1042" s="395" t="inlineStr">
        <is>
          <t>SCMS</t>
        </is>
      </c>
      <c r="K1042" s="395" t="n"/>
      <c r="L1042" s="395" t="inlineStr">
        <is>
          <t>X</t>
        </is>
      </c>
      <c r="M1042" s="395" t="n"/>
      <c r="N1042" s="395" t="inlineStr">
        <is>
          <t>Done</t>
        </is>
      </c>
      <c r="O1042" s="401" t="n"/>
      <c r="P1042" s="395" t="n"/>
      <c r="Q1042" s="119" t="inlineStr">
        <is>
          <t>Chung câu lệnh với chỉ tiêu "Tên công ty chứng khoán"</t>
        </is>
      </c>
      <c r="R1042" s="395" t="n"/>
      <c r="S1042" s="395" t="n"/>
      <c r="U1042" s="386" t="n"/>
      <c r="V1042" s="395" t="n"/>
      <c r="W1042" s="395" t="n"/>
      <c r="X1042" s="395" t="n"/>
      <c r="Y1042" s="395" t="n"/>
      <c r="Z1042" s="395" t="n"/>
      <c r="AA1042" s="395" t="n"/>
      <c r="AB1042" s="395" t="n"/>
      <c r="AC1042" s="395" t="n"/>
      <c r="AD1042" s="395" t="n"/>
      <c r="AE1042" s="395" t="n"/>
    </row>
    <row r="1043" ht="70" customHeight="1" s="380">
      <c r="A1043" s="73" t="n">
        <v>62</v>
      </c>
      <c r="B1043" s="386" t="n"/>
      <c r="C1043" s="386" t="inlineStr">
        <is>
          <t>Báo cáo theo Thông tư 121/2020/TT-BTC &gt;&gt; Báo cáo tình hình hoạt động của công ty chứng khoán - I.1</t>
        </is>
      </c>
      <c r="D1043" s="386" t="inlineStr">
        <is>
          <t>Tình trạng hoạt động &gt;&gt; Tỷ lệ an toàn tài chính</t>
        </is>
      </c>
      <c r="E1043" s="395" t="inlineStr">
        <is>
          <t>Tình trạng hoạt động &gt;&gt; Tỷ lệ an toàn tài chính</t>
        </is>
      </c>
      <c r="F1043" s="386" t="inlineStr">
        <is>
          <t>Data Explorer</t>
        </is>
      </c>
      <c r="G1043" s="386" t="inlineStr">
        <is>
          <t>Chỉ tiêu cơ sở</t>
        </is>
      </c>
      <c r="H1043" s="386" t="inlineStr">
        <is>
          <t>TB</t>
        </is>
      </c>
      <c r="I1043" s="386" t="inlineStr">
        <is>
          <t>Ngày, CTCK</t>
        </is>
      </c>
      <c r="J1043" s="395" t="inlineStr">
        <is>
          <t>SCMS</t>
        </is>
      </c>
      <c r="K1043" s="395" t="n"/>
      <c r="L1043" s="395" t="inlineStr">
        <is>
          <t>X</t>
        </is>
      </c>
      <c r="M1043" s="395" t="n"/>
      <c r="N1043" s="395" t="inlineStr">
        <is>
          <t>Done</t>
        </is>
      </c>
      <c r="O1043" s="401" t="n"/>
      <c r="P1043" s="395" t="n"/>
      <c r="Q1043" s="119" t="inlineStr">
        <is>
          <t>Chung câu lệnh với chỉ tiêu "Tên công ty chứng khoán"</t>
        </is>
      </c>
      <c r="R1043" s="395" t="n"/>
      <c r="S1043" s="395" t="n"/>
      <c r="U1043" s="386" t="n"/>
      <c r="V1043" s="395" t="n"/>
      <c r="W1043" s="395" t="n"/>
      <c r="X1043" s="395" t="n"/>
      <c r="Y1043" s="395" t="n"/>
      <c r="Z1043" s="395" t="n"/>
      <c r="AA1043" s="395" t="n"/>
      <c r="AB1043" s="395" t="n"/>
      <c r="AC1043" s="395" t="n"/>
      <c r="AD1043" s="395" t="n"/>
      <c r="AE1043" s="395" t="n"/>
    </row>
    <row r="1044" ht="70" customHeight="1" s="380">
      <c r="A1044" s="73" t="n">
        <v>62</v>
      </c>
      <c r="B1044" s="386" t="n"/>
      <c r="C1044" s="386" t="inlineStr">
        <is>
          <t>Báo cáo theo Thông tư 121/2020/TT-BTC &gt;&gt; Báo cáo tình hình hoạt động của công ty chứng khoán - I.1</t>
        </is>
      </c>
      <c r="D1044" s="386" t="inlineStr">
        <is>
          <t>Tình trạng hoạt động &gt;&gt; Nghiệp vụ bị đình chỉ</t>
        </is>
      </c>
      <c r="E1044" s="395" t="inlineStr">
        <is>
          <t>Tình trạng hoạt động &gt;&gt; Nghiệp vụ bị đình chỉ</t>
        </is>
      </c>
      <c r="F1044" s="386" t="inlineStr">
        <is>
          <t>Data Explorer</t>
        </is>
      </c>
      <c r="G1044" s="386" t="inlineStr">
        <is>
          <t>Chỉ tiêu cơ sở</t>
        </is>
      </c>
      <c r="H1044" s="386" t="inlineStr">
        <is>
          <t>TB</t>
        </is>
      </c>
      <c r="I1044" s="386" t="inlineStr">
        <is>
          <t>Ngày, CTCK</t>
        </is>
      </c>
      <c r="J1044" s="395" t="inlineStr">
        <is>
          <t>SCMS</t>
        </is>
      </c>
      <c r="K1044" s="395" t="n"/>
      <c r="L1044" s="395" t="inlineStr">
        <is>
          <t>X</t>
        </is>
      </c>
      <c r="M1044" s="395" t="n"/>
      <c r="N1044" s="395" t="inlineStr">
        <is>
          <t>Done</t>
        </is>
      </c>
      <c r="O1044" s="401" t="n"/>
      <c r="P1044" s="395" t="n"/>
      <c r="Q1044" s="119" t="inlineStr">
        <is>
          <t>Chung câu lệnh với chỉ tiêu "Tên công ty chứng khoán"</t>
        </is>
      </c>
      <c r="R1044" s="395" t="n"/>
      <c r="S1044" s="395" t="n"/>
      <c r="U1044" s="386" t="n"/>
      <c r="V1044" s="395" t="n"/>
      <c r="W1044" s="395" t="n"/>
      <c r="X1044" s="395" t="n"/>
      <c r="Y1044" s="395" t="n"/>
      <c r="Z1044" s="395" t="n"/>
      <c r="AA1044" s="395" t="n"/>
      <c r="AB1044" s="395" t="n"/>
      <c r="AC1044" s="395" t="n"/>
      <c r="AD1044" s="395" t="n"/>
      <c r="AE1044" s="395" t="n"/>
    </row>
    <row r="1045" ht="70" customHeight="1" s="380">
      <c r="A1045" s="73" t="n">
        <v>62</v>
      </c>
      <c r="B1045" s="386" t="n"/>
      <c r="C1045" s="386" t="inlineStr">
        <is>
          <t>Báo cáo theo Thông tư 121/2020/TT-BTC &gt;&gt; Báo cáo tình hình hoạt động của công ty chứng khoán - I.1</t>
        </is>
      </c>
      <c r="D1045" s="386" t="inlineStr">
        <is>
          <t>Tình trạng hoạt động &gt;&gt; Tạm ngừng hoạt động công ty/chi  nhánh/phòng giao dịch</t>
        </is>
      </c>
      <c r="E1045" s="386" t="inlineStr">
        <is>
          <t>Tình trạng hoạt động &gt;&gt; Tạm ngừng hoạt động công ty/chi  nhánh/phòng giao dịch</t>
        </is>
      </c>
      <c r="F1045" s="386" t="inlineStr">
        <is>
          <t>Data Explorer</t>
        </is>
      </c>
      <c r="G1045" s="386" t="inlineStr">
        <is>
          <t>Chỉ tiêu cơ sở</t>
        </is>
      </c>
      <c r="H1045" s="386" t="inlineStr">
        <is>
          <t>TB</t>
        </is>
      </c>
      <c r="I1045" s="386" t="inlineStr">
        <is>
          <t>Ngày, CTCK</t>
        </is>
      </c>
      <c r="J1045" s="395" t="inlineStr">
        <is>
          <t>SCMS</t>
        </is>
      </c>
      <c r="K1045" s="395" t="n"/>
      <c r="L1045" s="395" t="inlineStr">
        <is>
          <t>X</t>
        </is>
      </c>
      <c r="M1045" s="395" t="n"/>
      <c r="N1045" s="395" t="inlineStr">
        <is>
          <t>Done</t>
        </is>
      </c>
      <c r="O1045" s="401" t="n"/>
      <c r="P1045" s="395" t="n"/>
      <c r="Q1045" s="119" t="inlineStr">
        <is>
          <t>Chung câu lệnh với chỉ tiêu "Tên công ty chứng khoán"</t>
        </is>
      </c>
      <c r="R1045" s="395" t="n"/>
      <c r="S1045" s="395" t="n"/>
      <c r="U1045" s="386" t="n"/>
      <c r="V1045" s="395" t="n"/>
      <c r="W1045" s="395" t="n"/>
      <c r="X1045" s="395" t="n"/>
      <c r="Y1045" s="395" t="n"/>
      <c r="Z1045" s="395" t="n"/>
      <c r="AA1045" s="395" t="n"/>
      <c r="AB1045" s="395" t="n"/>
      <c r="AC1045" s="395" t="n"/>
      <c r="AD1045" s="395" t="n"/>
      <c r="AE1045" s="395" t="n"/>
    </row>
    <row r="1046" ht="70" customHeight="1" s="380">
      <c r="A1046" s="83" t="n">
        <v>62</v>
      </c>
      <c r="B1046" s="68" t="n"/>
      <c r="C1046" s="68" t="inlineStr">
        <is>
          <t>Báo cáo theo Thông tư 121/2020/TT-BTC &gt;&gt; Báo cáo tình hình hoạt động của công ty chứng khoán - I.1</t>
        </is>
      </c>
      <c r="D1046" s="68" t="inlineStr">
        <is>
          <t>Tình trạng hoạt động &gt;&gt; Chấm dứt hoạt động kinh doanh</t>
        </is>
      </c>
      <c r="E1046" s="68" t="inlineStr">
        <is>
          <t>Tình trạng hoạt động &gt;&gt; Chấm dứt hoạt động kinh doanh</t>
        </is>
      </c>
      <c r="F1046" s="68" t="inlineStr">
        <is>
          <t>Data Explorer</t>
        </is>
      </c>
      <c r="G1046" s="68" t="inlineStr">
        <is>
          <t>Chỉ tiêu cơ sở</t>
        </is>
      </c>
      <c r="H1046" s="68" t="inlineStr">
        <is>
          <t>TB</t>
        </is>
      </c>
      <c r="I1046" s="68" t="inlineStr">
        <is>
          <t>Ngày, CTCK</t>
        </is>
      </c>
      <c r="J1046" s="69" t="inlineStr">
        <is>
          <t>SCMS</t>
        </is>
      </c>
      <c r="K1046" s="69" t="n"/>
      <c r="L1046" s="69" t="inlineStr">
        <is>
          <t>X</t>
        </is>
      </c>
      <c r="M1046" s="69" t="n"/>
      <c r="N1046" s="69" t="inlineStr">
        <is>
          <t>Done</t>
        </is>
      </c>
      <c r="O1046" s="85" t="n"/>
      <c r="P1046" s="69" t="n"/>
      <c r="Q1046" s="120" t="inlineStr">
        <is>
          <t>Chung câu lệnh với chỉ tiêu "Tên công ty chứng khoán"</t>
        </is>
      </c>
      <c r="R1046" s="69" t="n"/>
      <c r="S1046" s="69" t="n"/>
      <c r="T1046" s="426" t="n"/>
      <c r="U1046" s="68" t="n"/>
      <c r="V1046" s="69" t="n"/>
      <c r="W1046" s="69" t="n"/>
      <c r="X1046" s="69" t="n"/>
      <c r="Y1046" s="69" t="n"/>
      <c r="Z1046" s="69" t="n"/>
      <c r="AA1046" s="69" t="n"/>
      <c r="AB1046" s="69" t="n"/>
      <c r="AC1046" s="69" t="n"/>
      <c r="AD1046" s="69" t="n"/>
      <c r="AE1046" s="69" t="n"/>
    </row>
    <row r="1047" ht="196" customHeight="1" s="380">
      <c r="A1047" s="73" t="n">
        <v>63</v>
      </c>
      <c r="B1047" s="100" t="inlineStr">
        <is>
          <t>Chị Nguyệt</t>
        </is>
      </c>
      <c r="C1047" s="81" t="inlineStr">
        <is>
          <t>Báo cáo theo Thông tư 121/2020/TT-BTC &gt;&gt; Báo cáo tình hình hoạt động của công ty chứng khoán - I.2</t>
        </is>
      </c>
      <c r="D1047" s="106" t="inlineStr">
        <is>
          <t>Loại báo cáo</t>
        </is>
      </c>
      <c r="E1047" s="107" t="inlineStr">
        <is>
          <t>Loại báo cáo</t>
        </is>
      </c>
      <c r="F1047" s="390" t="inlineStr">
        <is>
          <t>Data Explorer</t>
        </is>
      </c>
      <c r="G1047" s="390" t="inlineStr">
        <is>
          <t>Chiều</t>
        </is>
      </c>
      <c r="H1047" s="390" t="inlineStr">
        <is>
          <t>Dễ</t>
        </is>
      </c>
      <c r="I1047" s="390" t="inlineStr">
        <is>
          <t>Ngày, CTCK</t>
        </is>
      </c>
      <c r="J1047" s="401" t="inlineStr">
        <is>
          <t>SCMS</t>
        </is>
      </c>
      <c r="K1047" s="401" t="inlineStr">
        <is>
          <t>X</t>
        </is>
      </c>
      <c r="L1047" s="395" t="inlineStr">
        <is>
          <t>X</t>
        </is>
      </c>
      <c r="M1047" s="401" t="n"/>
      <c r="N1047" s="395" t="inlineStr">
        <is>
          <t>Done</t>
        </is>
      </c>
      <c r="O1047" s="401" t="n"/>
      <c r="P1047" s="395" t="n"/>
      <c r="Q1047" s="115" t="inlineStr">
        <is>
          <t>SCMS.BM_BAO_CAO</t>
        </is>
      </c>
      <c r="R1047" s="115" t="inlineStr">
        <is>
          <t>bm.ID, bm.MA_BAO_CAO,
 bm.TEN_BAO_CAO, bm.LOAI_BAO_CAO</t>
        </is>
      </c>
      <c r="S1047" s="116" t="inlineStr">
        <is>
          <t>bm.MA_BAO_CAO LIKE 'BCTHHDKD%'
 bm.LOAI_BAO_CAO = 0 -- 0: Báo cáo đầu vào
 bm.SU_DUNG = 1</t>
        </is>
      </c>
      <c r="T1047" s="116" t="inlineStr">
        <is>
          <t>-- Loại BC / Mã BC / Tên BC (chiều DWH – dùng chung)
 -- MA_BAO_CAO: BCTHHDKD_TH | BCTHHDKD_Q | BCTHHDKD_NAM | BCTHHDKD_BN
 SELECT bm.ID,
  bm.MA_BAO_CAO,
  bm.TEN_BAO_CAO,
  bm.LOAI_BAO_CAO -- 0: Báo cáo đầu vào
 FROM SCMS.BM_BAO_CAO bm
 WHERE bm.MA_BAO_CAO LIKE 'BCTHHDKD%'
  AND bm.LOAI_BAO_CAO = 0
  AND bm.SU_DUNG = 1;</t>
        </is>
      </c>
      <c r="U1047" s="117" t="n"/>
      <c r="V1047" s="395" t="n"/>
      <c r="W1047" s="395" t="n"/>
      <c r="X1047" s="395" t="n"/>
      <c r="Y1047" s="395" t="n"/>
      <c r="Z1047" s="395" t="n"/>
      <c r="AA1047" s="395" t="n"/>
      <c r="AB1047" s="395" t="n"/>
      <c r="AC1047" s="395" t="n"/>
      <c r="AD1047" s="395" t="n"/>
      <c r="AE1047" s="395" t="n"/>
    </row>
    <row r="1048" ht="140" customHeight="1" s="380">
      <c r="A1048" s="73" t="n">
        <v>63</v>
      </c>
      <c r="B1048" s="386" t="n"/>
      <c r="C1048" s="386" t="inlineStr">
        <is>
          <t>Báo cáo theo Thông tư 121/2020/TT-BTC &gt;&gt; Báo cáo tình hình hoạt động của công ty chứng khoán - I.2</t>
        </is>
      </c>
      <c r="D1048" s="106" t="inlineStr">
        <is>
          <t>Kỳ báo cáo</t>
        </is>
      </c>
      <c r="E1048" s="107" t="inlineStr">
        <is>
          <t>Kỳ báo cáo</t>
        </is>
      </c>
      <c r="F1048" s="390" t="inlineStr">
        <is>
          <t>Data Explorer</t>
        </is>
      </c>
      <c r="G1048" s="390" t="inlineStr">
        <is>
          <t>Chiều</t>
        </is>
      </c>
      <c r="H1048" s="390" t="inlineStr">
        <is>
          <t>Dễ</t>
        </is>
      </c>
      <c r="I1048" s="390" t="inlineStr">
        <is>
          <t>Ngày, CTCK</t>
        </is>
      </c>
      <c r="J1048" s="401" t="inlineStr">
        <is>
          <t>SCMS</t>
        </is>
      </c>
      <c r="K1048" s="401" t="inlineStr">
        <is>
          <t>X</t>
        </is>
      </c>
      <c r="L1048" s="395" t="inlineStr">
        <is>
          <t>X</t>
        </is>
      </c>
      <c r="M1048" s="401" t="n"/>
      <c r="N1048" s="395" t="inlineStr">
        <is>
          <t>Done</t>
        </is>
      </c>
      <c r="O1048" s="401" t="n"/>
      <c r="P1048" s="395" t="n"/>
      <c r="Q1048" s="118" t="inlineStr">
        <is>
          <t>SCMS.BM_BAO_CAO
 SCMS.BM_BAO_CAO_DINH_KY</t>
        </is>
      </c>
      <c r="R1048" s="118" t="inlineStr">
        <is>
          <t>bm.MA_BAO_CAO,
 bmdk.ID, bmdk.KY_BAO_CAO</t>
        </is>
      </c>
      <c r="S1048" s="406" t="inlineStr">
        <is>
          <t>bm.MA_BAO_CAO LIKE 'BCTHHDKD%'
 bmdk.SU_DUNG = 1</t>
        </is>
      </c>
      <c r="T1048" s="406" t="inlineStr">
        <is>
          <t>-- Kỳ báo cáo (chiều DWH)
 SELECT bm.MA_BAO_CAO,
  bmdk.ID AS dinh_ky_id,
  bmdk.KY_BAO_CAO
 FROM SCMS.BM_BAO_CAO bm
 JOIN SCMS.BM_BAO_CAO_DINH_KY bmdk ON bmdk.BM_BAO_CAO_ID = bm.ID
 WHERE bm.MA_BAO_CAO LIKE 'BCTHHDKD%'
  AND bmdk.SU_DUNG = 1;</t>
        </is>
      </c>
      <c r="U1048" s="30" t="n"/>
      <c r="V1048" s="395" t="n"/>
      <c r="W1048" s="395" t="n"/>
      <c r="X1048" s="395" t="n"/>
      <c r="Y1048" s="395" t="n"/>
      <c r="Z1048" s="395" t="n"/>
      <c r="AA1048" s="395" t="n"/>
      <c r="AB1048" s="395" t="n"/>
      <c r="AC1048" s="395" t="n"/>
      <c r="AD1048" s="395" t="n"/>
      <c r="AE1048" s="395" t="n"/>
    </row>
    <row r="1049" ht="70" customHeight="1" s="380">
      <c r="A1049" s="73" t="n">
        <v>63</v>
      </c>
      <c r="B1049" s="386" t="n"/>
      <c r="C1049" s="386" t="inlineStr">
        <is>
          <t>Báo cáo theo Thông tư 121/2020/TT-BTC &gt;&gt; Báo cáo tình hình hoạt động của công ty chứng khoán - I.2</t>
        </is>
      </c>
      <c r="D1049" s="106" t="inlineStr">
        <is>
          <t>Mã báo cáo</t>
        </is>
      </c>
      <c r="E1049" s="107" t="inlineStr">
        <is>
          <t>Mã báo cáo</t>
        </is>
      </c>
      <c r="F1049" s="390" t="inlineStr">
        <is>
          <t>Data Explorer</t>
        </is>
      </c>
      <c r="G1049" s="390" t="inlineStr">
        <is>
          <t>Chiều</t>
        </is>
      </c>
      <c r="H1049" s="390" t="inlineStr">
        <is>
          <t>Dễ</t>
        </is>
      </c>
      <c r="I1049" s="390" t="inlineStr">
        <is>
          <t>Ngày, CTCK</t>
        </is>
      </c>
      <c r="J1049" s="401" t="inlineStr">
        <is>
          <t>SCMS</t>
        </is>
      </c>
      <c r="K1049" s="401" t="inlineStr">
        <is>
          <t>X</t>
        </is>
      </c>
      <c r="L1049" s="395" t="inlineStr">
        <is>
          <t>X</t>
        </is>
      </c>
      <c r="M1049" s="401" t="n"/>
      <c r="N1049" s="395" t="inlineStr">
        <is>
          <t>Done</t>
        </is>
      </c>
      <c r="O1049" s="401" t="n"/>
      <c r="P1049" s="395" t="n"/>
      <c r="Q1049" s="118" t="inlineStr">
        <is>
          <t>SCMS.BM_BAO_CAO</t>
        </is>
      </c>
      <c r="R1049" s="118" t="inlineStr">
        <is>
          <t>bm.ID, bm.MA_BAO_CAO</t>
        </is>
      </c>
      <c r="S1049" s="406" t="inlineStr">
        <is>
          <t>bm.MA_BAO_CAO LIKE 'BCTHHDKD%'
 bm.SU_DUNG = 1</t>
        </is>
      </c>
      <c r="T1049" s="406" t="inlineStr">
        <is>
          <t>Chung câu lệnh với chiều Loại báo cáo</t>
        </is>
      </c>
      <c r="U1049" s="406" t="n"/>
      <c r="V1049" s="395" t="n"/>
      <c r="W1049" s="395" t="n"/>
      <c r="X1049" s="395" t="n"/>
      <c r="Y1049" s="395" t="n"/>
      <c r="Z1049" s="395" t="n"/>
      <c r="AA1049" s="395" t="n"/>
      <c r="AB1049" s="395" t="n"/>
      <c r="AC1049" s="395" t="n"/>
      <c r="AD1049" s="395" t="n"/>
      <c r="AE1049" s="395" t="n"/>
    </row>
    <row r="1050" ht="70" customHeight="1" s="380">
      <c r="A1050" s="73" t="n">
        <v>63</v>
      </c>
      <c r="B1050" s="386" t="n"/>
      <c r="C1050" s="386" t="inlineStr">
        <is>
          <t>Báo cáo theo Thông tư 121/2020/TT-BTC &gt;&gt; Báo cáo tình hình hoạt động của công ty chứng khoán - I.2</t>
        </is>
      </c>
      <c r="D1050" s="106" t="inlineStr">
        <is>
          <t>Tên báo cáo</t>
        </is>
      </c>
      <c r="E1050" s="107" t="inlineStr">
        <is>
          <t>Tên báo cáo</t>
        </is>
      </c>
      <c r="F1050" s="390" t="inlineStr">
        <is>
          <t>Data Explorer</t>
        </is>
      </c>
      <c r="G1050" s="390" t="inlineStr">
        <is>
          <t>Chiều</t>
        </is>
      </c>
      <c r="H1050" s="390" t="inlineStr">
        <is>
          <t>Dễ</t>
        </is>
      </c>
      <c r="I1050" s="390" t="inlineStr">
        <is>
          <t>Ngày, CTCK</t>
        </is>
      </c>
      <c r="J1050" s="401" t="inlineStr">
        <is>
          <t>SCMS</t>
        </is>
      </c>
      <c r="K1050" s="401" t="inlineStr">
        <is>
          <t>X</t>
        </is>
      </c>
      <c r="L1050" s="395" t="inlineStr">
        <is>
          <t>X</t>
        </is>
      </c>
      <c r="M1050" s="401" t="n"/>
      <c r="N1050" s="395" t="inlineStr">
        <is>
          <t>Done</t>
        </is>
      </c>
      <c r="O1050" s="401" t="n"/>
      <c r="P1050" s="395" t="n"/>
      <c r="Q1050" s="118" t="inlineStr">
        <is>
          <t>SCMS.BM_BAO_CAO</t>
        </is>
      </c>
      <c r="R1050" s="118" t="inlineStr">
        <is>
          <t>bm.ID, bm.MA_BAO_CAO,
 bm.TEN_BAO_CAO</t>
        </is>
      </c>
      <c r="S1050" s="406" t="inlineStr">
        <is>
          <t>bm.MA_BAO_CAO LIKE 'BCTHHDKD%'
 bm.SU_DUNG = 1</t>
        </is>
      </c>
      <c r="T1050" s="406" t="inlineStr">
        <is>
          <t>Chung câu lệnh với chiều Loại báo cáo</t>
        </is>
      </c>
      <c r="U1050" s="406" t="n"/>
      <c r="V1050" s="395" t="n"/>
      <c r="W1050" s="395" t="n"/>
      <c r="X1050" s="395" t="n"/>
      <c r="Y1050" s="395" t="n"/>
      <c r="Z1050" s="395" t="n"/>
      <c r="AA1050" s="395" t="n"/>
      <c r="AB1050" s="395" t="n"/>
      <c r="AC1050" s="395" t="n"/>
      <c r="AD1050" s="395" t="n"/>
      <c r="AE1050" s="395" t="n"/>
    </row>
    <row r="1051" ht="154" customHeight="1" s="380">
      <c r="A1051" s="73" t="n">
        <v>63</v>
      </c>
      <c r="B1051" s="386" t="n"/>
      <c r="C1051" s="386" t="inlineStr">
        <is>
          <t>Báo cáo theo Thông tư 121/2020/TT-BTC &gt;&gt; Báo cáo tình hình hoạt động của công ty chứng khoán - I.2</t>
        </is>
      </c>
      <c r="D1051" s="106" t="inlineStr">
        <is>
          <t>Mã sheet</t>
        </is>
      </c>
      <c r="E1051" s="106" t="inlineStr">
        <is>
          <t>Mã sheet</t>
        </is>
      </c>
      <c r="F1051" s="390" t="inlineStr">
        <is>
          <t>Data Explorer</t>
        </is>
      </c>
      <c r="G1051" s="390" t="inlineStr">
        <is>
          <t>Chiều</t>
        </is>
      </c>
      <c r="H1051" s="390" t="inlineStr">
        <is>
          <t>Dễ</t>
        </is>
      </c>
      <c r="I1051" s="390" t="inlineStr">
        <is>
          <t>Ngày, CTCK</t>
        </is>
      </c>
      <c r="J1051" s="401" t="inlineStr">
        <is>
          <t>SCMS</t>
        </is>
      </c>
      <c r="K1051" s="401" t="inlineStr">
        <is>
          <t>X</t>
        </is>
      </c>
      <c r="L1051" s="395" t="inlineStr">
        <is>
          <t>X</t>
        </is>
      </c>
      <c r="M1051" s="401" t="n"/>
      <c r="N1051" s="395" t="inlineStr">
        <is>
          <t>Done</t>
        </is>
      </c>
      <c r="O1051" s="401" t="n"/>
      <c r="P1051" s="395" t="n"/>
      <c r="Q1051" s="118" t="inlineStr">
        <is>
          <t>SCMS.BM_BAO_CAO
 SCMS.BM_SHEET</t>
        </is>
      </c>
      <c r="R1051" s="118" t="inlineStr">
        <is>
          <t>bm.MA_BAO_CAO,
 s.MA_SHEET, s.TEN_SHEET</t>
        </is>
      </c>
      <c r="S1051" s="406" t="inlineStr">
        <is>
          <t>bm.MA_BAO_CAO LIKE 'BCTHHDKD%'
 bm.SU_DUNG = 1
 s.TEN_SHEET = N'TTC'</t>
        </is>
      </c>
      <c r="T1051" s="406" t="inlineStr">
        <is>
          <t xml:space="preserve"> SELECT bm.MA_BAO_CAO,
  s.MA_SHEET,
  s.TEN_SHEET
 FROM SCMS.BM_BAO_CAO bm
 JOIN SCMS.BM_SHEET s ON s.BM_BAO_CAO_ID = bm.ID
 WHERE bm.MA_BAO_CAO LIKE 'BCTHHDKD%'
  AND  s.TEN_SHEET = N'TTC'
  AND bm.SU_DUNG = 1
 ORDER BY bm.MA_BAO_CAO, s.SAP_XEP;</t>
        </is>
      </c>
      <c r="U1051" s="406" t="n"/>
      <c r="V1051" s="395" t="n"/>
      <c r="W1051" s="395" t="n"/>
      <c r="X1051" s="395" t="n"/>
      <c r="Y1051" s="395" t="n"/>
      <c r="Z1051" s="395" t="n"/>
      <c r="AA1051" s="395" t="n"/>
      <c r="AB1051" s="395" t="n"/>
      <c r="AC1051" s="395" t="n"/>
      <c r="AD1051" s="395" t="n"/>
      <c r="AE1051" s="395" t="n"/>
    </row>
    <row r="1052" ht="84" customHeight="1" s="380">
      <c r="A1052" s="73" t="n">
        <v>63</v>
      </c>
      <c r="B1052" s="386" t="n"/>
      <c r="C1052" s="386" t="inlineStr">
        <is>
          <t>Báo cáo theo Thông tư 121/2020/TT-BTC &gt;&gt; Báo cáo tình hình hoạt động của công ty chứng khoán - I.2</t>
        </is>
      </c>
      <c r="D1052" s="106" t="inlineStr">
        <is>
          <t>Tên sheet</t>
        </is>
      </c>
      <c r="E1052" s="106" t="inlineStr">
        <is>
          <t>Tên sheet</t>
        </is>
      </c>
      <c r="F1052" s="390" t="inlineStr">
        <is>
          <t>Data Explorer</t>
        </is>
      </c>
      <c r="G1052" s="390" t="inlineStr">
        <is>
          <t>Chiều</t>
        </is>
      </c>
      <c r="H1052" s="390" t="inlineStr">
        <is>
          <t>Dễ</t>
        </is>
      </c>
      <c r="I1052" s="390" t="inlineStr">
        <is>
          <t>Ngày, CTCK</t>
        </is>
      </c>
      <c r="J1052" s="401" t="inlineStr">
        <is>
          <t>SCMS</t>
        </is>
      </c>
      <c r="K1052" s="401" t="inlineStr">
        <is>
          <t>X</t>
        </is>
      </c>
      <c r="L1052" s="395" t="inlineStr">
        <is>
          <t>X</t>
        </is>
      </c>
      <c r="M1052" s="401" t="n"/>
      <c r="N1052" s="395" t="inlineStr">
        <is>
          <t>Done</t>
        </is>
      </c>
      <c r="O1052" s="401" t="n"/>
      <c r="P1052" s="395" t="n"/>
      <c r="Q1052" s="118" t="inlineStr">
        <is>
          <t>SCMS.BM_BAO_CAO
 SCMS.BM_SHEET</t>
        </is>
      </c>
      <c r="R1052" s="118" t="inlineStr">
        <is>
          <t>bm.MA_BAO_CAO,
 s.MA_SHEET, s.TEN_SHEET</t>
        </is>
      </c>
      <c r="S1052" s="406" t="inlineStr">
        <is>
          <t>bm.MA_BAO_CAO LIKE 'BCTHHDKD%'
 bm.SU_DUNG = 1
 s.TEN_SHEET = N'TTC'</t>
        </is>
      </c>
      <c r="T1052" s="406" t="inlineStr">
        <is>
          <t>Chung câu lệnh với chiều Mã sheet</t>
        </is>
      </c>
      <c r="U1052" s="406" t="n"/>
      <c r="V1052" s="395" t="n"/>
      <c r="W1052" s="395" t="n"/>
      <c r="X1052" s="395" t="n"/>
      <c r="Y1052" s="395" t="n"/>
      <c r="Z1052" s="395" t="n"/>
      <c r="AA1052" s="395" t="n"/>
      <c r="AB1052" s="395" t="n"/>
      <c r="AC1052" s="395" t="n"/>
      <c r="AD1052" s="395" t="n"/>
      <c r="AE1052" s="395" t="n"/>
    </row>
    <row r="1053" ht="238" customHeight="1" s="380">
      <c r="A1053" s="73" t="n">
        <v>63</v>
      </c>
      <c r="B1053" s="386" t="n"/>
      <c r="C1053" s="386" t="inlineStr">
        <is>
          <t>Báo cáo theo Thông tư 121/2020/TT-BTC &gt;&gt; Báo cáo tình hình hoạt động của công ty chứng khoán - I.2</t>
        </is>
      </c>
      <c r="D1053" s="106" t="inlineStr">
        <is>
          <t>Mã chỉ tiêu</t>
        </is>
      </c>
      <c r="E1053" s="107" t="inlineStr">
        <is>
          <t>Mã chỉ tiêu</t>
        </is>
      </c>
      <c r="F1053" s="390" t="inlineStr">
        <is>
          <t>Data Explorer</t>
        </is>
      </c>
      <c r="G1053" s="390" t="inlineStr">
        <is>
          <t>Chiều</t>
        </is>
      </c>
      <c r="H1053" s="390" t="inlineStr">
        <is>
          <t>Dễ</t>
        </is>
      </c>
      <c r="I1053" s="390" t="inlineStr">
        <is>
          <t>Ngày, CTCK</t>
        </is>
      </c>
      <c r="J1053" s="401" t="inlineStr">
        <is>
          <t>SCMS</t>
        </is>
      </c>
      <c r="K1053" s="401" t="inlineStr">
        <is>
          <t>X</t>
        </is>
      </c>
      <c r="L1053" s="395" t="inlineStr">
        <is>
          <t>X</t>
        </is>
      </c>
      <c r="M1053" s="401" t="n"/>
      <c r="N1053" s="395" t="inlineStr">
        <is>
          <t>Done</t>
        </is>
      </c>
      <c r="O1053" s="401" t="n"/>
      <c r="P1053" s="395" t="n"/>
      <c r="Q1053" s="118" t="inlineStr">
        <is>
          <t>SCMS.BM_BAO_CAO
 SCMS.BM_SHEET
 SCMS.BM_BAO_CAO_HANG</t>
        </is>
      </c>
      <c r="R1053" s="118" t="inlineStr">
        <is>
          <t>bm.MA_BAO_CAO,
 s.MA_SHEET, s.TEN_SHEET,
 h.MA_HANG, h.TEN_HANG</t>
        </is>
      </c>
      <c r="S1053" s="406" t="inlineStr">
        <is>
          <t>bm.MA_BAO_CAO LIKE 'BCTHHDKD%'
 bm.SU_DUNG = 1
 h.SU_DUNG = 1
 s.TEN_SHEET = N'TTC'</t>
        </is>
      </c>
      <c r="T1053" s="406" t="inlineStr">
        <is>
          <t xml:space="preserve"> SELECT bm.MA_BAO_CAO,
  s.MA_SHEET,
  s.TEN_SHEET,
  h.MA_HANG AS ma_chi_tieu,
  h.TEN_HANG AS ten_chi_tieu
 FROM SCMS.BM_BAO_CAO bm
 JOIN SCMS.BM_SHEET s ON s.BM_BAO_CAO_ID = bm.ID
 JOIN SCMS.BM_BAO_CAO_HANG h ON h.BM_SHEET_ID = s.ID
 WHERE bm.MA_BAO_CAO LIKE 'BCTHHDKD%'
  AND  s.TEN_SHEET = N'TTC'
  AND bm.SU_DUNG = 1
  AND h.SU_DUNG = 1
 ORDER BY bm.MA_BAO_CAO, s.SAP_XEP, h.SAP_XEP;</t>
        </is>
      </c>
      <c r="U1053" s="406" t="inlineStr">
        <is>
          <t>-- Mã chỉ tiêu / Tên chỉ tiêu (chiều DWH)
 -- Chỉ tiêu báo cáo đầu vào = hàng của biểu mẫu (BM_BAO_CAO_HANG)
 -- Không dùng DM_CHI_TIEU (nhóm CTCK, không liên quan báo cáo đầu vào)
--Khi có dữ liệu thật sẽ kiểm tra trường TEN_HANG có đúng dữ liệu cần lấy</t>
        </is>
      </c>
      <c r="V1053" s="395" t="n"/>
      <c r="W1053" s="395" t="n"/>
      <c r="X1053" s="395" t="n"/>
      <c r="Y1053" s="395" t="n"/>
      <c r="Z1053" s="395" t="n"/>
      <c r="AA1053" s="395" t="n"/>
      <c r="AB1053" s="395" t="n"/>
      <c r="AC1053" s="395" t="n"/>
      <c r="AD1053" s="395" t="n"/>
      <c r="AE1053" s="395" t="n"/>
    </row>
    <row r="1054" ht="70" customHeight="1" s="380">
      <c r="A1054" s="73" t="n">
        <v>63</v>
      </c>
      <c r="B1054" s="386" t="n"/>
      <c r="C1054" s="386" t="inlineStr">
        <is>
          <t>Báo cáo theo Thông tư 121/2020/TT-BTC &gt;&gt; Báo cáo tình hình hoạt động của công ty chứng khoán - I.2</t>
        </is>
      </c>
      <c r="D1054" s="106" t="inlineStr">
        <is>
          <t>Tên chỉ tiêu</t>
        </is>
      </c>
      <c r="E1054" s="107" t="inlineStr">
        <is>
          <t>Tên chỉ tiêu</t>
        </is>
      </c>
      <c r="F1054" s="390" t="inlineStr">
        <is>
          <t>Data Explorer</t>
        </is>
      </c>
      <c r="G1054" s="390" t="inlineStr">
        <is>
          <t>Chiều</t>
        </is>
      </c>
      <c r="H1054" s="390" t="inlineStr">
        <is>
          <t>Dễ</t>
        </is>
      </c>
      <c r="I1054" s="390" t="inlineStr">
        <is>
          <t>Ngày, CTCK</t>
        </is>
      </c>
      <c r="J1054" s="401" t="inlineStr">
        <is>
          <t>SCMS</t>
        </is>
      </c>
      <c r="K1054" s="401" t="inlineStr">
        <is>
          <t>X</t>
        </is>
      </c>
      <c r="L1054" s="395" t="inlineStr">
        <is>
          <t>X</t>
        </is>
      </c>
      <c r="M1054" s="401" t="n"/>
      <c r="N1054" s="395" t="inlineStr">
        <is>
          <t>Done</t>
        </is>
      </c>
      <c r="O1054" s="401" t="n"/>
      <c r="P1054" s="395" t="n"/>
      <c r="Q1054" s="118" t="inlineStr">
        <is>
          <t>SCMS.BM_BAO_CAO
 SCMS.BM_SHEET
 SCMS.BM_BAO_CAO_HANG</t>
        </is>
      </c>
      <c r="R1054" s="118" t="inlineStr">
        <is>
          <t>bm.MA_BAO_CAO,
 s.MA_SHEET,
 h.MA_HANG, h.TEN_HANG</t>
        </is>
      </c>
      <c r="S1054" s="406" t="inlineStr">
        <is>
          <t>bm.MA_BAO_CAO LIKE 'BCTHHDKD%'
 bm.SU_DUNG = 1
 h.SU_DUNG = 1</t>
        </is>
      </c>
      <c r="T1054" s="406" t="inlineStr">
        <is>
          <t>Chung câu lệnh với chiều Mã chỉ tiêu</t>
        </is>
      </c>
      <c r="U1054" s="406" t="n"/>
      <c r="V1054" s="395" t="n"/>
      <c r="W1054" s="395" t="n"/>
      <c r="X1054" s="395" t="n"/>
      <c r="Y1054" s="395" t="n"/>
      <c r="Z1054" s="395" t="n"/>
      <c r="AA1054" s="395" t="n"/>
      <c r="AB1054" s="395" t="n"/>
      <c r="AC1054" s="395" t="n"/>
      <c r="AD1054" s="395" t="n"/>
      <c r="AE1054" s="395" t="n"/>
    </row>
    <row r="1055" ht="182" customHeight="1" s="380">
      <c r="A1055" s="73" t="n">
        <v>63</v>
      </c>
      <c r="B1055" s="386" t="n"/>
      <c r="C1055" s="386" t="inlineStr">
        <is>
          <t>Báo cáo theo Thông tư 121/2020/TT-BTC &gt;&gt; Báo cáo tình hình hoạt động của công ty chứng khoán - I.2</t>
        </is>
      </c>
      <c r="D1055" s="386" t="inlineStr">
        <is>
          <t>Tên công ty chứng khoán</t>
        </is>
      </c>
      <c r="E1055" s="395" t="inlineStr">
        <is>
          <t>Tên công ty chứng khoán</t>
        </is>
      </c>
      <c r="F1055" s="386" t="inlineStr">
        <is>
          <t>Data Explorer</t>
        </is>
      </c>
      <c r="G1055" s="386" t="inlineStr">
        <is>
          <t>Chỉ tiêu cơ sở</t>
        </is>
      </c>
      <c r="H1055" s="386" t="inlineStr">
        <is>
          <t>Trùng</t>
        </is>
      </c>
      <c r="I1055" s="386" t="inlineStr">
        <is>
          <t>Ngày, CTCK</t>
        </is>
      </c>
      <c r="J1055" s="395" t="inlineStr">
        <is>
          <t>SCMS</t>
        </is>
      </c>
      <c r="K1055" s="395" t="n"/>
      <c r="L1055" s="395" t="inlineStr">
        <is>
          <t>X</t>
        </is>
      </c>
      <c r="M1055" s="395" t="n"/>
      <c r="N1055" s="395" t="inlineStr">
        <is>
          <t>Done</t>
        </is>
      </c>
      <c r="O1055" s="401" t="n"/>
      <c r="P1055" s="395" t="n"/>
      <c r="Q1055" s="118" t="inlineStr">
        <is>
          <t>SCMS.BC_THANH_VIEN
 SCMS.BC_BAO_CAO_GT
 SCMS.BM_BAO_CAO
 SCMS.CTCK_THONG_TIN</t>
        </is>
      </c>
      <c r="R1055" s="118" t="inlineStr">
        <is>
          <t>gt.GIA_TRI, gt.TEN_HANG,
 gt.TEN_COT,
 c.SAN_NIEM_YET,
 c.MA_CHUNG_KHOAN,
 c.GIAY_PHEP_KINH_DOANH,
 c.NGAY_CAP_GPKD</t>
        </is>
      </c>
      <c r="S1055" s="385" t="inlineStr">
        <is>
          <t>bm.MA_BAO_CAO LIKE 'BCTHHDKD%'
 btv.TRANG_THAI IN (2, 3)
 gt.TEN_COT = N'Nội dung'
 gt.TEN_SHEET = N'TTC'</t>
        </is>
      </c>
      <c r="T1055" s="430" t="inlineStr">
        <is>
          <t>-- 14 chỉ tiêu BC_BAO_CAO_GT biểu I.2 + Sàn GD, Mã CK, Giấy phép từ CTCK_THONG_TIN
 SELECT
  btv.ID AS bc_thanh_vien_id,
  btv.CTCK_THONG_TIN_ID,
  btv.NGAY_SO_LIEU,
  btv.TRANG_THAI,
  bm.MA_BAO_CAO,
  gt.TEN_SHEET,
  c.SAN_NIEM_YET AS san_giao_dich,
  c.MA_CHUNG_KHOAN,
  c.GIAY_PHEP_KINH_DOANH AS so_giay_phep,
  c.NGAY_CAP_GPKD AS ngay_cap_giay_phep,
  MAX(CASE WHEN gt.TEN_HANG = N'Tên công ty chứng khoán' THEN gt.GIA_TRI END) AS ten_ctck,
  MAX(CASE WHEN gt.TEN_HANG = N'Vốn điều lệ (triệu đồng)' THEN gt.GIA_TRI END) AS von_dieu_le,
  MAX(CASE WHEN gt.TEN_HANG = N'Tổng doanh thu' THEN gt.GIA_TRI END) AS tong_doanh_thu,
  MAX(CASE WHEN gt.TEN_HANG = N'Lợi nhuận sau thuế' THEN gt.GIA_TRI END) AS loi_nhuan_sau_thue,
  MAX(CASE WHEN gt.TEN_HANG = N'Doanh thu môi giới' THEN gt.GIA_TRI END) AS dt_moi_gioi,
  MAX(CASE WHEN gt.TEN_HANG = N'Tỷ trọng doanh thu môi giới so với tổng doanh thu' THEN gt.GIA_TRI END) AS ty_trong_dt_moi_gioi,
  MAX(CASE WHEN gt.TEN_HANG = N'Doanh thu tự doanh' THEN gt.GIA_TRI END) AS dt_tu_doanh,
  MAX(CASE WHEN gt.TEN_HANG = N'Tỷ trọng doanh thu tự doanh so với tổng doanh thu' THEN gt.GIA_TRI END) AS ty_trong_dt_tu_doanh,
  MAX(CASE WHEN gt.TEN_HANG = N'Doanh thu tư vấn đầu tư' THEN gt.GIA_TRI END) AS dt_tu_van,
  MAX(CASE WHEN gt.TEN_HANG = N'Tỷ trọng doanh thu tư vấn so với tổng doanh thu' THEN gt.GIA_TRI END) AS ty_trong_dt_tu_van,
  MAX(CASE WHEN gt.TEN_HANG = N'Doanh thu bảo lãnh phát hành' THEN gt.GIA_TRI END) AS dt_bao_lanh,
  MAX(CASE WHEN gt.TEN_HANG = N'Tỷ trọng doanh thu bảo lãnh phát hành so với tổng doanh thu' THEN gt.GIA_TRI END) AS ty_trong_dt_bao_lanh,
  MAX(CASE WHEN gt.TEN_HANG = N'Doanh thu khác' THEN gt.GIA_TRI END) AS dt_khac,
  MAX(CASE WHEN gt.TEN_HANG = N'Tỷ trọng doanh thu khác so với tổng doanh thu' THEN gt.GIA_TRI END) AS ty_trong_dt_khac
 FROM SCMS.BC_THANH_VIEN btv
 JOIN SCMS.BM_BAO_CAO bm ON bm.ID = btv.BM_BAO_CAO_ID
 JOIN SCMS.BC_BAO_CAO_GT gt ON gt.BC_THANH_VIEN_ID = btv.ID
 JOIN SCMS.CTCK_THONG_TIN c ON c.ID = btv.CTCK_THONG_TIN_ID
 WHERE bm.MA_BAO_CAO LIKE 'BCTHHDKD%'
  AND btv.TRANG_THAI IN (2, 3)
  AND gt.TEN_COT = N'Nội dung'
  AND  gt.TEN_SHEET = N'TTC'
 GROUP BY
  btv.ID,
  btv.CTCK_THONG_TIN_ID,
  btv.NGAY_SO_LIEU,
  btv.TRANG_THAI,
  bm.MA_BAO_CAO,
  gt.TEN_SHEET,
  c.SAN_NIEM_YET,
  c.MA_CHUNG_KHOAN,
  c.GIAY_PHEP_KINH_DOANH,
  c.NGAY_CAP_GPKD;</t>
        </is>
      </c>
      <c r="U1055" s="385" t="inlineStr">
        <is>
          <t>Cần xác định lại TEN_HANG, TEN_COT thực tế, nên dùng MA_HANG, MA_COT sau khi có dữ liệu</t>
        </is>
      </c>
      <c r="V1055" s="395" t="n"/>
      <c r="W1055" s="395" t="n"/>
      <c r="X1055" s="395" t="n"/>
      <c r="Y1055" s="395" t="n"/>
      <c r="Z1055" s="395" t="n"/>
      <c r="AA1055" s="395" t="n"/>
      <c r="AB1055" s="395" t="n"/>
      <c r="AC1055" s="395" t="n"/>
      <c r="AD1055" s="395" t="n"/>
      <c r="AE1055" s="395" t="n"/>
    </row>
    <row r="1056" ht="70" customHeight="1" s="380">
      <c r="A1056" s="73" t="n">
        <v>63</v>
      </c>
      <c r="B1056" s="386" t="n"/>
      <c r="C1056" s="386" t="inlineStr">
        <is>
          <t>Báo cáo theo Thông tư 121/2020/TT-BTC &gt;&gt; Báo cáo tình hình hoạt động của công ty chứng khoán - I.2</t>
        </is>
      </c>
      <c r="D1056" s="386" t="inlineStr">
        <is>
          <t>Sàn giao dịch</t>
        </is>
      </c>
      <c r="E1056" s="395" t="inlineStr">
        <is>
          <t>Sàn giao dịch</t>
        </is>
      </c>
      <c r="F1056" s="386" t="inlineStr">
        <is>
          <t>Data Explorer</t>
        </is>
      </c>
      <c r="G1056" s="386" t="inlineStr">
        <is>
          <t>Chỉ tiêu cơ sở</t>
        </is>
      </c>
      <c r="H1056" s="386" t="inlineStr">
        <is>
          <t>Trùng</t>
        </is>
      </c>
      <c r="I1056" s="386" t="inlineStr">
        <is>
          <t>Ngày, CTCK</t>
        </is>
      </c>
      <c r="J1056" s="395" t="inlineStr">
        <is>
          <t>SCMS</t>
        </is>
      </c>
      <c r="K1056" s="395" t="n"/>
      <c r="L1056" s="395" t="inlineStr">
        <is>
          <t>X</t>
        </is>
      </c>
      <c r="M1056" s="395" t="n"/>
      <c r="N1056" s="395" t="inlineStr">
        <is>
          <t>Done</t>
        </is>
      </c>
      <c r="O1056" s="401" t="n"/>
      <c r="P1056" s="395" t="n"/>
      <c r="Q1056" s="119" t="inlineStr">
        <is>
          <t>Chung câu lệnh với chỉ tiêu "Tên công ty chứng khoán"</t>
        </is>
      </c>
      <c r="R1056" s="395" t="n"/>
      <c r="S1056" s="395" t="n"/>
      <c r="U1056" s="386" t="n"/>
      <c r="V1056" s="395" t="n"/>
      <c r="W1056" s="395" t="n"/>
      <c r="X1056" s="395" t="n"/>
      <c r="Y1056" s="395" t="n"/>
      <c r="Z1056" s="395" t="n"/>
      <c r="AA1056" s="395" t="n"/>
      <c r="AB1056" s="395" t="n"/>
      <c r="AC1056" s="395" t="n"/>
      <c r="AD1056" s="395" t="n"/>
      <c r="AE1056" s="395" t="n"/>
    </row>
    <row r="1057" ht="70" customHeight="1" s="380">
      <c r="A1057" s="73" t="n">
        <v>63</v>
      </c>
      <c r="B1057" s="386" t="n"/>
      <c r="C1057" s="386" t="inlineStr">
        <is>
          <t>Báo cáo theo Thông tư 121/2020/TT-BTC &gt;&gt; Báo cáo tình hình hoạt động của công ty chứng khoán - I.2</t>
        </is>
      </c>
      <c r="D1057" s="386" t="inlineStr">
        <is>
          <t>Mã chứng khoán</t>
        </is>
      </c>
      <c r="E1057" s="395" t="inlineStr">
        <is>
          <t>Mã chứng khoán</t>
        </is>
      </c>
      <c r="F1057" s="386" t="inlineStr">
        <is>
          <t>Data Explorer</t>
        </is>
      </c>
      <c r="G1057" s="386" t="inlineStr">
        <is>
          <t>Chỉ tiêu cơ sở</t>
        </is>
      </c>
      <c r="H1057" s="386" t="inlineStr">
        <is>
          <t>Trùng</t>
        </is>
      </c>
      <c r="I1057" s="386" t="inlineStr">
        <is>
          <t>Ngày, CTCK</t>
        </is>
      </c>
      <c r="J1057" s="395" t="inlineStr">
        <is>
          <t>SCMS</t>
        </is>
      </c>
      <c r="K1057" s="395" t="n"/>
      <c r="L1057" s="395" t="inlineStr">
        <is>
          <t>X</t>
        </is>
      </c>
      <c r="M1057" s="395" t="n"/>
      <c r="N1057" s="395" t="inlineStr">
        <is>
          <t>Done</t>
        </is>
      </c>
      <c r="O1057" s="401" t="n"/>
      <c r="P1057" s="395" t="n"/>
      <c r="Q1057" s="119" t="inlineStr">
        <is>
          <t>Chung câu lệnh với chỉ tiêu "Tên công ty chứng khoán"</t>
        </is>
      </c>
      <c r="R1057" s="395" t="n"/>
      <c r="S1057" s="395" t="n"/>
      <c r="U1057" s="386" t="n"/>
      <c r="V1057" s="395" t="n"/>
      <c r="W1057" s="395" t="n"/>
      <c r="X1057" s="395" t="n"/>
      <c r="Y1057" s="395" t="n"/>
      <c r="Z1057" s="395" t="n"/>
      <c r="AA1057" s="395" t="n"/>
      <c r="AB1057" s="395" t="n"/>
      <c r="AC1057" s="395" t="n"/>
      <c r="AD1057" s="395" t="n"/>
      <c r="AE1057" s="395" t="n"/>
    </row>
    <row r="1058" ht="70" customHeight="1" s="380">
      <c r="A1058" s="73" t="n">
        <v>63</v>
      </c>
      <c r="B1058" s="386" t="n"/>
      <c r="C1058" s="386" t="inlineStr">
        <is>
          <t>Báo cáo theo Thông tư 121/2020/TT-BTC &gt;&gt; Báo cáo tình hình hoạt động của công ty chứng khoán - I.2</t>
        </is>
      </c>
      <c r="D1058" s="386" t="inlineStr">
        <is>
          <t>Giấy phép Hoạt động &gt;&gt; Số</t>
        </is>
      </c>
      <c r="E1058" s="395" t="inlineStr">
        <is>
          <t>Giấy phép Hoạt động &gt;&gt; Số</t>
        </is>
      </c>
      <c r="F1058" s="386" t="inlineStr">
        <is>
          <t>Data Explorer</t>
        </is>
      </c>
      <c r="G1058" s="386" t="inlineStr">
        <is>
          <t>Chỉ tiêu cơ sở</t>
        </is>
      </c>
      <c r="H1058" s="386" t="inlineStr">
        <is>
          <t>Trùng</t>
        </is>
      </c>
      <c r="I1058" s="386" t="inlineStr">
        <is>
          <t>Ngày, CTCK</t>
        </is>
      </c>
      <c r="J1058" s="395" t="inlineStr">
        <is>
          <t>SCMS</t>
        </is>
      </c>
      <c r="K1058" s="395" t="n"/>
      <c r="L1058" s="395" t="inlineStr">
        <is>
          <t>X</t>
        </is>
      </c>
      <c r="M1058" s="395" t="n"/>
      <c r="N1058" s="395" t="inlineStr">
        <is>
          <t>Done</t>
        </is>
      </c>
      <c r="O1058" s="401" t="n"/>
      <c r="P1058" s="395" t="n"/>
      <c r="Q1058" s="119" t="inlineStr">
        <is>
          <t>Chung câu lệnh với chỉ tiêu "Tên công ty chứng khoán"</t>
        </is>
      </c>
      <c r="R1058" s="395" t="n"/>
      <c r="S1058" s="395" t="n"/>
      <c r="U1058" s="386" t="n"/>
      <c r="V1058" s="395" t="n"/>
      <c r="W1058" s="395" t="n"/>
      <c r="X1058" s="395" t="n"/>
      <c r="Y1058" s="395" t="n"/>
      <c r="Z1058" s="395" t="n"/>
      <c r="AA1058" s="395" t="n"/>
      <c r="AB1058" s="395" t="n"/>
      <c r="AC1058" s="395" t="n"/>
      <c r="AD1058" s="395" t="n"/>
      <c r="AE1058" s="395" t="n"/>
    </row>
    <row r="1059" ht="70" customHeight="1" s="380">
      <c r="A1059" s="73" t="n">
        <v>63</v>
      </c>
      <c r="B1059" s="386" t="n"/>
      <c r="C1059" s="386" t="inlineStr">
        <is>
          <t>Báo cáo theo Thông tư 121/2020/TT-BTC &gt;&gt; Báo cáo tình hình hoạt động của công ty chứng khoán - I.2</t>
        </is>
      </c>
      <c r="D1059" s="386" t="inlineStr">
        <is>
          <t>Giấy phép Hoạt động &gt;&gt; Ngày cấp</t>
        </is>
      </c>
      <c r="E1059" s="395" t="inlineStr">
        <is>
          <t>Giấy phép Hoạt động &gt;&gt; Ngày cấp</t>
        </is>
      </c>
      <c r="F1059" s="386" t="inlineStr">
        <is>
          <t>Data Explorer</t>
        </is>
      </c>
      <c r="G1059" s="386" t="inlineStr">
        <is>
          <t>Chỉ tiêu cơ sở</t>
        </is>
      </c>
      <c r="H1059" s="386" t="inlineStr">
        <is>
          <t>Trùng</t>
        </is>
      </c>
      <c r="I1059" s="386" t="inlineStr">
        <is>
          <t>Ngày, CTCK</t>
        </is>
      </c>
      <c r="J1059" s="395" t="inlineStr">
        <is>
          <t>SCMS</t>
        </is>
      </c>
      <c r="K1059" s="395" t="n"/>
      <c r="L1059" s="395" t="inlineStr">
        <is>
          <t>X</t>
        </is>
      </c>
      <c r="M1059" s="395" t="n"/>
      <c r="N1059" s="395" t="inlineStr">
        <is>
          <t>Done</t>
        </is>
      </c>
      <c r="O1059" s="401" t="n"/>
      <c r="P1059" s="395" t="n"/>
      <c r="Q1059" s="119" t="inlineStr">
        <is>
          <t>Chung câu lệnh với chỉ tiêu "Tên công ty chứng khoán"</t>
        </is>
      </c>
      <c r="R1059" s="395" t="n"/>
      <c r="S1059" s="395" t="n"/>
      <c r="U1059" s="386" t="n"/>
      <c r="V1059" s="395" t="n"/>
      <c r="W1059" s="395" t="n"/>
      <c r="X1059" s="395" t="n"/>
      <c r="Y1059" s="395" t="n"/>
      <c r="Z1059" s="395" t="n"/>
      <c r="AA1059" s="395" t="n"/>
      <c r="AB1059" s="395" t="n"/>
      <c r="AC1059" s="395" t="n"/>
      <c r="AD1059" s="395" t="n"/>
      <c r="AE1059" s="395" t="n"/>
    </row>
    <row r="1060" ht="70" customHeight="1" s="380">
      <c r="A1060" s="73" t="n">
        <v>63</v>
      </c>
      <c r="B1060" s="386" t="n"/>
      <c r="C1060" s="386" t="inlineStr">
        <is>
          <t>Báo cáo theo Thông tư 121/2020/TT-BTC &gt;&gt; Báo cáo tình hình hoạt động của công ty chứng khoán - I.2</t>
        </is>
      </c>
      <c r="D1060" s="386" t="inlineStr">
        <is>
          <t>Vốn điều lệ (triệu đồng)</t>
        </is>
      </c>
      <c r="E1060" s="395" t="inlineStr">
        <is>
          <t>Vốn điều lệ (triệu đồng)</t>
        </is>
      </c>
      <c r="F1060" s="386" t="inlineStr">
        <is>
          <t>Data Explorer</t>
        </is>
      </c>
      <c r="G1060" s="386" t="inlineStr">
        <is>
          <t>Chỉ tiêu cơ sở</t>
        </is>
      </c>
      <c r="H1060" s="386" t="inlineStr">
        <is>
          <t>Trùng</t>
        </is>
      </c>
      <c r="I1060" s="386" t="inlineStr">
        <is>
          <t>Ngày, CTCK</t>
        </is>
      </c>
      <c r="J1060" s="395" t="inlineStr">
        <is>
          <t>SCMS</t>
        </is>
      </c>
      <c r="K1060" s="395" t="n"/>
      <c r="L1060" s="395" t="inlineStr">
        <is>
          <t>X</t>
        </is>
      </c>
      <c r="M1060" s="395" t="n"/>
      <c r="N1060" s="395" t="inlineStr">
        <is>
          <t>Done</t>
        </is>
      </c>
      <c r="O1060" s="401" t="n"/>
      <c r="P1060" s="395" t="n"/>
      <c r="Q1060" s="119" t="inlineStr">
        <is>
          <t>Chung câu lệnh với chỉ tiêu "Tên công ty chứng khoán"</t>
        </is>
      </c>
      <c r="R1060" s="395" t="n"/>
      <c r="S1060" s="395" t="n"/>
      <c r="U1060" s="386" t="n"/>
      <c r="V1060" s="395" t="n"/>
      <c r="W1060" s="395" t="n"/>
      <c r="X1060" s="395" t="n"/>
      <c r="Y1060" s="395" t="n"/>
      <c r="Z1060" s="395" t="n"/>
      <c r="AA1060" s="395" t="n"/>
      <c r="AB1060" s="395" t="n"/>
      <c r="AC1060" s="395" t="n"/>
      <c r="AD1060" s="395" t="n"/>
      <c r="AE1060" s="395" t="n"/>
    </row>
    <row r="1061" ht="70" customHeight="1" s="380">
      <c r="A1061" s="73" t="n">
        <v>63</v>
      </c>
      <c r="B1061" s="386" t="n"/>
      <c r="C1061" s="386" t="inlineStr">
        <is>
          <t>Báo cáo theo Thông tư 121/2020/TT-BTC &gt;&gt; Báo cáo tình hình hoạt động của công ty chứng khoán - I.2</t>
        </is>
      </c>
      <c r="D1061" s="386" t="inlineStr">
        <is>
          <t>Tổng doanh thu</t>
        </is>
      </c>
      <c r="E1061" s="395" t="inlineStr">
        <is>
          <t>Tổng doanh thu</t>
        </is>
      </c>
      <c r="F1061" s="386" t="inlineStr">
        <is>
          <t>Data Explorer</t>
        </is>
      </c>
      <c r="G1061" s="386" t="inlineStr">
        <is>
          <t>Chỉ tiêu cơ sở</t>
        </is>
      </c>
      <c r="H1061" s="386" t="inlineStr">
        <is>
          <t>TB</t>
        </is>
      </c>
      <c r="I1061" s="386" t="inlineStr">
        <is>
          <t>Ngày, CTCK</t>
        </is>
      </c>
      <c r="J1061" s="395" t="inlineStr">
        <is>
          <t>SCMS</t>
        </is>
      </c>
      <c r="K1061" s="395" t="n"/>
      <c r="L1061" s="395" t="inlineStr">
        <is>
          <t>X</t>
        </is>
      </c>
      <c r="M1061" s="395" t="n"/>
      <c r="N1061" s="395" t="inlineStr">
        <is>
          <t>Done</t>
        </is>
      </c>
      <c r="O1061" s="401" t="n"/>
      <c r="P1061" s="395" t="n"/>
      <c r="Q1061" s="119" t="inlineStr">
        <is>
          <t>Chung câu lệnh với chỉ tiêu "Tên công ty chứng khoán"</t>
        </is>
      </c>
      <c r="R1061" s="395" t="n"/>
      <c r="S1061" s="395" t="n"/>
      <c r="U1061" s="386" t="n"/>
      <c r="V1061" s="395" t="n"/>
      <c r="W1061" s="395" t="n"/>
      <c r="X1061" s="395" t="n"/>
      <c r="Y1061" s="395" t="n"/>
      <c r="Z1061" s="395" t="n"/>
      <c r="AA1061" s="395" t="n"/>
      <c r="AB1061" s="395" t="n"/>
      <c r="AC1061" s="395" t="n"/>
      <c r="AD1061" s="395" t="n"/>
      <c r="AE1061" s="395" t="n"/>
    </row>
    <row r="1062" ht="70" customHeight="1" s="380">
      <c r="A1062" s="73" t="n">
        <v>63</v>
      </c>
      <c r="B1062" s="386" t="n"/>
      <c r="C1062" s="386" t="inlineStr">
        <is>
          <t>Báo cáo theo Thông tư 121/2020/TT-BTC &gt;&gt; Báo cáo tình hình hoạt động của công ty chứng khoán - I.2</t>
        </is>
      </c>
      <c r="D1062" s="386" t="inlineStr">
        <is>
          <t>Lợi nhuận sau thuế</t>
        </is>
      </c>
      <c r="E1062" s="395" t="inlineStr">
        <is>
          <t>Lợi nhuận sau thuế</t>
        </is>
      </c>
      <c r="F1062" s="386" t="inlineStr">
        <is>
          <t>Data Explorer</t>
        </is>
      </c>
      <c r="G1062" s="386" t="inlineStr">
        <is>
          <t>Chỉ tiêu cơ sở</t>
        </is>
      </c>
      <c r="H1062" s="386" t="inlineStr">
        <is>
          <t>TB</t>
        </is>
      </c>
      <c r="I1062" s="386" t="inlineStr">
        <is>
          <t>Ngày, CTCK</t>
        </is>
      </c>
      <c r="J1062" s="395" t="inlineStr">
        <is>
          <t>SCMS</t>
        </is>
      </c>
      <c r="K1062" s="395" t="n"/>
      <c r="L1062" s="395" t="inlineStr">
        <is>
          <t>X</t>
        </is>
      </c>
      <c r="M1062" s="395" t="n"/>
      <c r="N1062" s="395" t="inlineStr">
        <is>
          <t>Done</t>
        </is>
      </c>
      <c r="O1062" s="401" t="n"/>
      <c r="P1062" s="395" t="n"/>
      <c r="Q1062" s="119" t="inlineStr">
        <is>
          <t>Chung câu lệnh với chỉ tiêu "Tên công ty chứng khoán"</t>
        </is>
      </c>
      <c r="R1062" s="395" t="n"/>
      <c r="S1062" s="395" t="n"/>
      <c r="U1062" s="386" t="n"/>
      <c r="V1062" s="395" t="n"/>
      <c r="W1062" s="395" t="n"/>
      <c r="X1062" s="395" t="n"/>
      <c r="Y1062" s="395" t="n"/>
      <c r="Z1062" s="395" t="n"/>
      <c r="AA1062" s="395" t="n"/>
      <c r="AB1062" s="395" t="n"/>
      <c r="AC1062" s="395" t="n"/>
      <c r="AD1062" s="395" t="n"/>
      <c r="AE1062" s="395" t="n"/>
    </row>
    <row r="1063" ht="70" customHeight="1" s="380">
      <c r="A1063" s="73" t="n">
        <v>63</v>
      </c>
      <c r="B1063" s="386" t="n"/>
      <c r="C1063" s="386" t="inlineStr">
        <is>
          <t>Báo cáo theo Thông tư 121/2020/TT-BTC &gt;&gt; Báo cáo tình hình hoạt động của công ty chứng khoán - I.2</t>
        </is>
      </c>
      <c r="D1063" s="386" t="inlineStr">
        <is>
          <t>Doanh thu môi giới</t>
        </is>
      </c>
      <c r="E1063" s="395" t="inlineStr">
        <is>
          <t>Doanh thu môi giới</t>
        </is>
      </c>
      <c r="F1063" s="386" t="inlineStr">
        <is>
          <t>Data Explorer</t>
        </is>
      </c>
      <c r="G1063" s="386" t="inlineStr">
        <is>
          <t>Chỉ tiêu cơ sở</t>
        </is>
      </c>
      <c r="H1063" s="386" t="inlineStr">
        <is>
          <t>TB</t>
        </is>
      </c>
      <c r="I1063" s="386" t="inlineStr">
        <is>
          <t>Ngày, CTCK</t>
        </is>
      </c>
      <c r="J1063" s="395" t="inlineStr">
        <is>
          <t>SCMS</t>
        </is>
      </c>
      <c r="K1063" s="395" t="n"/>
      <c r="L1063" s="395" t="inlineStr">
        <is>
          <t>X</t>
        </is>
      </c>
      <c r="M1063" s="395" t="n"/>
      <c r="N1063" s="395" t="inlineStr">
        <is>
          <t>Done</t>
        </is>
      </c>
      <c r="O1063" s="401" t="n"/>
      <c r="P1063" s="395" t="n"/>
      <c r="Q1063" s="119" t="inlineStr">
        <is>
          <t>Chung câu lệnh với chỉ tiêu "Tên công ty chứng khoán"</t>
        </is>
      </c>
      <c r="R1063" s="395" t="n"/>
      <c r="S1063" s="395" t="n"/>
      <c r="U1063" s="386" t="n"/>
      <c r="V1063" s="395" t="n"/>
      <c r="W1063" s="395" t="n"/>
      <c r="X1063" s="395" t="n"/>
      <c r="Y1063" s="395" t="n"/>
      <c r="Z1063" s="395" t="n"/>
      <c r="AA1063" s="395" t="n"/>
      <c r="AB1063" s="395" t="n"/>
      <c r="AC1063" s="395" t="n"/>
      <c r="AD1063" s="395" t="n"/>
      <c r="AE1063" s="395" t="n"/>
    </row>
    <row r="1064" ht="70" customHeight="1" s="380">
      <c r="A1064" s="73" t="n">
        <v>63</v>
      </c>
      <c r="B1064" s="386" t="n"/>
      <c r="C1064" s="386" t="inlineStr">
        <is>
          <t>Báo cáo theo Thông tư 121/2020/TT-BTC &gt;&gt; Báo cáo tình hình hoạt động của công ty chứng khoán - I.2</t>
        </is>
      </c>
      <c r="D1064" s="386" t="inlineStr">
        <is>
          <t>Tỷ trọng doanh thu môi giới so với tổng doanh thu</t>
        </is>
      </c>
      <c r="E1064" s="386" t="inlineStr">
        <is>
          <t>Tỷ trọng doanh thu môi giới so với tổng doanh thu</t>
        </is>
      </c>
      <c r="F1064" s="386" t="inlineStr">
        <is>
          <t>Data Explorer</t>
        </is>
      </c>
      <c r="G1064" s="386" t="inlineStr">
        <is>
          <t>Chỉ tiêu cơ sở</t>
        </is>
      </c>
      <c r="H1064" s="386" t="inlineStr">
        <is>
          <t>TB</t>
        </is>
      </c>
      <c r="I1064" s="386" t="inlineStr">
        <is>
          <t>Ngày, CTCK</t>
        </is>
      </c>
      <c r="J1064" s="395" t="inlineStr">
        <is>
          <t>SCMS</t>
        </is>
      </c>
      <c r="K1064" s="395" t="n"/>
      <c r="L1064" s="395" t="inlineStr">
        <is>
          <t>X</t>
        </is>
      </c>
      <c r="M1064" s="395" t="n"/>
      <c r="N1064" s="395" t="inlineStr">
        <is>
          <t>Done</t>
        </is>
      </c>
      <c r="O1064" s="401" t="n"/>
      <c r="P1064" s="395" t="n"/>
      <c r="Q1064" s="119" t="inlineStr">
        <is>
          <t>Chung câu lệnh với chỉ tiêu "Tên công ty chứng khoán"</t>
        </is>
      </c>
      <c r="R1064" s="395" t="n"/>
      <c r="S1064" s="395" t="n"/>
      <c r="U1064" s="386" t="n"/>
      <c r="V1064" s="395" t="n"/>
      <c r="W1064" s="395" t="n"/>
      <c r="X1064" s="395" t="n"/>
      <c r="Y1064" s="395" t="n"/>
      <c r="Z1064" s="395" t="n"/>
      <c r="AA1064" s="395" t="n"/>
      <c r="AB1064" s="395" t="n"/>
      <c r="AC1064" s="395" t="n"/>
      <c r="AD1064" s="395" t="n"/>
      <c r="AE1064" s="395" t="n"/>
    </row>
    <row r="1065" ht="70" customHeight="1" s="380">
      <c r="A1065" s="73" t="n">
        <v>63</v>
      </c>
      <c r="B1065" s="386" t="n"/>
      <c r="C1065" s="386" t="inlineStr">
        <is>
          <t>Báo cáo theo Thông tư 121/2020/TT-BTC &gt;&gt; Báo cáo tình hình hoạt động của công ty chứng khoán - I.2</t>
        </is>
      </c>
      <c r="D1065" s="386" t="inlineStr">
        <is>
          <t>Doanh thu tự doanh</t>
        </is>
      </c>
      <c r="E1065" s="395" t="inlineStr">
        <is>
          <t>Doanh thu tự doanh</t>
        </is>
      </c>
      <c r="F1065" s="386" t="inlineStr">
        <is>
          <t>Data Explorer</t>
        </is>
      </c>
      <c r="G1065" s="386" t="inlineStr">
        <is>
          <t>Chỉ tiêu cơ sở</t>
        </is>
      </c>
      <c r="H1065" s="386" t="inlineStr">
        <is>
          <t>TB</t>
        </is>
      </c>
      <c r="I1065" s="386" t="inlineStr">
        <is>
          <t>Ngày, CTCK</t>
        </is>
      </c>
      <c r="J1065" s="395" t="inlineStr">
        <is>
          <t>SCMS</t>
        </is>
      </c>
      <c r="K1065" s="395" t="n"/>
      <c r="L1065" s="395" t="inlineStr">
        <is>
          <t>X</t>
        </is>
      </c>
      <c r="M1065" s="395" t="n"/>
      <c r="N1065" s="395" t="inlineStr">
        <is>
          <t>Done</t>
        </is>
      </c>
      <c r="O1065" s="401" t="n"/>
      <c r="P1065" s="395" t="n"/>
      <c r="Q1065" s="119" t="inlineStr">
        <is>
          <t>Chung câu lệnh với chỉ tiêu "Tên công ty chứng khoán"</t>
        </is>
      </c>
      <c r="R1065" s="395" t="n"/>
      <c r="S1065" s="395" t="n"/>
      <c r="U1065" s="386" t="n"/>
      <c r="V1065" s="395" t="n"/>
      <c r="W1065" s="395" t="n"/>
      <c r="X1065" s="395" t="n"/>
      <c r="Y1065" s="395" t="n"/>
      <c r="Z1065" s="395" t="n"/>
      <c r="AA1065" s="395" t="n"/>
      <c r="AB1065" s="395" t="n"/>
      <c r="AC1065" s="395" t="n"/>
      <c r="AD1065" s="395" t="n"/>
      <c r="AE1065" s="395" t="n"/>
    </row>
    <row r="1066" ht="70" customHeight="1" s="380">
      <c r="A1066" s="73" t="n">
        <v>63</v>
      </c>
      <c r="B1066" s="386" t="n"/>
      <c r="C1066" s="386" t="inlineStr">
        <is>
          <t>Báo cáo theo Thông tư 121/2020/TT-BTC &gt;&gt; Báo cáo tình hình hoạt động của công ty chứng khoán - I.2</t>
        </is>
      </c>
      <c r="D1066" s="386" t="inlineStr">
        <is>
          <t>Tỷ trọng doanh thu tự doanh so với tổng doanh thu</t>
        </is>
      </c>
      <c r="E1066" s="386" t="inlineStr">
        <is>
          <t>Tỷ trọng doanh thu tự doanh so với tổng doanh thu</t>
        </is>
      </c>
      <c r="F1066" s="386" t="inlineStr">
        <is>
          <t>Data Explorer</t>
        </is>
      </c>
      <c r="G1066" s="386" t="inlineStr">
        <is>
          <t>Chỉ tiêu cơ sở</t>
        </is>
      </c>
      <c r="H1066" s="386" t="inlineStr">
        <is>
          <t>TB</t>
        </is>
      </c>
      <c r="I1066" s="386" t="inlineStr">
        <is>
          <t>Ngày, CTCK</t>
        </is>
      </c>
      <c r="J1066" s="395" t="inlineStr">
        <is>
          <t>SCMS</t>
        </is>
      </c>
      <c r="K1066" s="395" t="n"/>
      <c r="L1066" s="395" t="inlineStr">
        <is>
          <t>X</t>
        </is>
      </c>
      <c r="M1066" s="395" t="n"/>
      <c r="N1066" s="395" t="inlineStr">
        <is>
          <t>Done</t>
        </is>
      </c>
      <c r="O1066" s="401" t="n"/>
      <c r="P1066" s="395" t="n"/>
      <c r="Q1066" s="119" t="inlineStr">
        <is>
          <t>Chung câu lệnh với chỉ tiêu "Tên công ty chứng khoán"</t>
        </is>
      </c>
      <c r="R1066" s="395" t="n"/>
      <c r="S1066" s="395" t="n"/>
      <c r="U1066" s="386" t="n"/>
      <c r="V1066" s="395" t="n"/>
      <c r="W1066" s="395" t="n"/>
      <c r="X1066" s="395" t="n"/>
      <c r="Y1066" s="395" t="n"/>
      <c r="Z1066" s="395" t="n"/>
      <c r="AA1066" s="395" t="n"/>
      <c r="AB1066" s="395" t="n"/>
      <c r="AC1066" s="395" t="n"/>
      <c r="AD1066" s="395" t="n"/>
      <c r="AE1066" s="395" t="n"/>
    </row>
    <row r="1067" ht="70" customHeight="1" s="380">
      <c r="A1067" s="73" t="n">
        <v>63</v>
      </c>
      <c r="B1067" s="386" t="n"/>
      <c r="C1067" s="386" t="inlineStr">
        <is>
          <t>Báo cáo theo Thông tư 121/2020/TT-BTC &gt;&gt; Báo cáo tình hình hoạt động của công ty chứng khoán - I.2</t>
        </is>
      </c>
      <c r="D1067" s="386" t="inlineStr">
        <is>
          <t>Doanh thu tư vấn đầu tư</t>
        </is>
      </c>
      <c r="E1067" s="395" t="inlineStr">
        <is>
          <t>Doanh thu tư vấn đầu tư</t>
        </is>
      </c>
      <c r="F1067" s="386" t="inlineStr">
        <is>
          <t>Data Explorer</t>
        </is>
      </c>
      <c r="G1067" s="386" t="inlineStr">
        <is>
          <t>Chỉ tiêu cơ sở</t>
        </is>
      </c>
      <c r="H1067" s="386" t="inlineStr">
        <is>
          <t>TB</t>
        </is>
      </c>
      <c r="I1067" s="386" t="inlineStr">
        <is>
          <t>Ngày, CTCK</t>
        </is>
      </c>
      <c r="J1067" s="395" t="inlineStr">
        <is>
          <t>SCMS</t>
        </is>
      </c>
      <c r="K1067" s="395" t="n"/>
      <c r="L1067" s="395" t="inlineStr">
        <is>
          <t>X</t>
        </is>
      </c>
      <c r="M1067" s="395" t="n"/>
      <c r="N1067" s="395" t="inlineStr">
        <is>
          <t>Done</t>
        </is>
      </c>
      <c r="O1067" s="401" t="n"/>
      <c r="P1067" s="395" t="n"/>
      <c r="Q1067" s="119" t="inlineStr">
        <is>
          <t>Chung câu lệnh với chỉ tiêu "Tên công ty chứng khoán"</t>
        </is>
      </c>
      <c r="R1067" s="395" t="n"/>
      <c r="S1067" s="395" t="n"/>
      <c r="U1067" s="386" t="n"/>
      <c r="V1067" s="395" t="n"/>
      <c r="W1067" s="395" t="n"/>
      <c r="X1067" s="395" t="n"/>
      <c r="Y1067" s="395" t="n"/>
      <c r="Z1067" s="395" t="n"/>
      <c r="AA1067" s="395" t="n"/>
      <c r="AB1067" s="395" t="n"/>
      <c r="AC1067" s="395" t="n"/>
      <c r="AD1067" s="395" t="n"/>
      <c r="AE1067" s="395" t="n"/>
    </row>
    <row r="1068" ht="70" customHeight="1" s="380">
      <c r="A1068" s="73" t="n">
        <v>63</v>
      </c>
      <c r="B1068" s="386" t="n"/>
      <c r="C1068" s="386" t="inlineStr">
        <is>
          <t>Báo cáo theo Thông tư 121/2020/TT-BTC &gt;&gt; Báo cáo tình hình hoạt động của công ty chứng khoán - I.2</t>
        </is>
      </c>
      <c r="D1068" s="386" t="inlineStr">
        <is>
          <t>Tỷ trọng doanh thu tư vấn so với tổng doanh thu</t>
        </is>
      </c>
      <c r="E1068" s="386" t="inlineStr">
        <is>
          <t>Tỷ trọng doanh thu tư vấn so với tổng doanh thu</t>
        </is>
      </c>
      <c r="F1068" s="386" t="inlineStr">
        <is>
          <t>Data Explorer</t>
        </is>
      </c>
      <c r="G1068" s="386" t="inlineStr">
        <is>
          <t>Chỉ tiêu cơ sở</t>
        </is>
      </c>
      <c r="H1068" s="386" t="inlineStr">
        <is>
          <t>TB</t>
        </is>
      </c>
      <c r="I1068" s="386" t="inlineStr">
        <is>
          <t>Ngày, CTCK</t>
        </is>
      </c>
      <c r="J1068" s="395" t="inlineStr">
        <is>
          <t>SCMS</t>
        </is>
      </c>
      <c r="K1068" s="395" t="n"/>
      <c r="L1068" s="395" t="inlineStr">
        <is>
          <t>X</t>
        </is>
      </c>
      <c r="M1068" s="395" t="n"/>
      <c r="N1068" s="395" t="inlineStr">
        <is>
          <t>Done</t>
        </is>
      </c>
      <c r="O1068" s="401" t="n"/>
      <c r="P1068" s="395" t="n"/>
      <c r="Q1068" s="119" t="inlineStr">
        <is>
          <t>Chung câu lệnh với chỉ tiêu "Tên công ty chứng khoán"</t>
        </is>
      </c>
      <c r="R1068" s="395" t="n"/>
      <c r="S1068" s="395" t="n"/>
      <c r="U1068" s="386" t="n"/>
      <c r="V1068" s="395" t="n"/>
      <c r="W1068" s="395" t="n"/>
      <c r="X1068" s="395" t="n"/>
      <c r="Y1068" s="395" t="n"/>
      <c r="Z1068" s="395" t="n"/>
      <c r="AA1068" s="395" t="n"/>
      <c r="AB1068" s="395" t="n"/>
      <c r="AC1068" s="395" t="n"/>
      <c r="AD1068" s="395" t="n"/>
      <c r="AE1068" s="395" t="n"/>
    </row>
    <row r="1069" ht="70" customHeight="1" s="380">
      <c r="A1069" s="73" t="n">
        <v>63</v>
      </c>
      <c r="B1069" s="386" t="n"/>
      <c r="C1069" s="386" t="inlineStr">
        <is>
          <t>Báo cáo theo Thông tư 121/2020/TT-BTC &gt;&gt; Báo cáo tình hình hoạt động của công ty chứng khoán - I.2</t>
        </is>
      </c>
      <c r="D1069" s="386" t="inlineStr">
        <is>
          <t>Doanh thu bảo lãnh phát hành</t>
        </is>
      </c>
      <c r="E1069" s="395" t="inlineStr">
        <is>
          <t>Doanh thu bảo lãnh phát hành</t>
        </is>
      </c>
      <c r="F1069" s="386" t="inlineStr">
        <is>
          <t>Data Explorer</t>
        </is>
      </c>
      <c r="G1069" s="386" t="inlineStr">
        <is>
          <t>Chỉ tiêu cơ sở</t>
        </is>
      </c>
      <c r="H1069" s="386" t="inlineStr">
        <is>
          <t>TB</t>
        </is>
      </c>
      <c r="I1069" s="386" t="inlineStr">
        <is>
          <t>Ngày, CTCK</t>
        </is>
      </c>
      <c r="J1069" s="395" t="inlineStr">
        <is>
          <t>SCMS</t>
        </is>
      </c>
      <c r="K1069" s="395" t="n"/>
      <c r="L1069" s="395" t="inlineStr">
        <is>
          <t>X</t>
        </is>
      </c>
      <c r="M1069" s="395" t="n"/>
      <c r="N1069" s="395" t="inlineStr">
        <is>
          <t>Done</t>
        </is>
      </c>
      <c r="O1069" s="401" t="n"/>
      <c r="P1069" s="395" t="n"/>
      <c r="Q1069" s="119" t="inlineStr">
        <is>
          <t>Chung câu lệnh với chỉ tiêu "Tên công ty chứng khoán"</t>
        </is>
      </c>
      <c r="R1069" s="395" t="n"/>
      <c r="S1069" s="395" t="n"/>
      <c r="U1069" s="386" t="n"/>
      <c r="V1069" s="395" t="n"/>
      <c r="W1069" s="395" t="n"/>
      <c r="X1069" s="395" t="n"/>
      <c r="Y1069" s="395" t="n"/>
      <c r="Z1069" s="395" t="n"/>
      <c r="AA1069" s="395" t="n"/>
      <c r="AB1069" s="395" t="n"/>
      <c r="AC1069" s="395" t="n"/>
      <c r="AD1069" s="395" t="n"/>
      <c r="AE1069" s="395" t="n"/>
    </row>
    <row r="1070" ht="70" customHeight="1" s="380">
      <c r="A1070" s="73" t="n">
        <v>63</v>
      </c>
      <c r="B1070" s="386" t="n"/>
      <c r="C1070" s="386" t="inlineStr">
        <is>
          <t>Báo cáo theo Thông tư 121/2020/TT-BTC &gt;&gt; Báo cáo tình hình hoạt động của công ty chứng khoán - I.2</t>
        </is>
      </c>
      <c r="D1070" s="386" t="inlineStr">
        <is>
          <t>Tỷ trọng doanh thu bảo lãnh phát hành so với tổng doanh thu</t>
        </is>
      </c>
      <c r="E1070" s="386" t="inlineStr">
        <is>
          <t>Tỷ trọng doanh thu bảo lãnh phát hành so với tổng doanh thu</t>
        </is>
      </c>
      <c r="F1070" s="386" t="inlineStr">
        <is>
          <t>Data Explorer</t>
        </is>
      </c>
      <c r="G1070" s="386" t="inlineStr">
        <is>
          <t>Chỉ tiêu cơ sở</t>
        </is>
      </c>
      <c r="H1070" s="386" t="inlineStr">
        <is>
          <t>TB</t>
        </is>
      </c>
      <c r="I1070" s="386" t="inlineStr">
        <is>
          <t>Ngày, CTCK</t>
        </is>
      </c>
      <c r="J1070" s="395" t="inlineStr">
        <is>
          <t>SCMS</t>
        </is>
      </c>
      <c r="K1070" s="395" t="n"/>
      <c r="L1070" s="395" t="inlineStr">
        <is>
          <t>X</t>
        </is>
      </c>
      <c r="M1070" s="395" t="n"/>
      <c r="N1070" s="395" t="inlineStr">
        <is>
          <t>Done</t>
        </is>
      </c>
      <c r="O1070" s="401" t="n"/>
      <c r="P1070" s="395" t="n"/>
      <c r="Q1070" s="119" t="inlineStr">
        <is>
          <t>Chung câu lệnh với chỉ tiêu "Tên công ty chứng khoán"</t>
        </is>
      </c>
      <c r="R1070" s="395" t="n"/>
      <c r="S1070" s="395" t="n"/>
      <c r="U1070" s="386" t="n"/>
      <c r="V1070" s="395" t="n"/>
      <c r="W1070" s="395" t="n"/>
      <c r="X1070" s="395" t="n"/>
      <c r="Y1070" s="395" t="n"/>
      <c r="Z1070" s="395" t="n"/>
      <c r="AA1070" s="395" t="n"/>
      <c r="AB1070" s="395" t="n"/>
      <c r="AC1070" s="395" t="n"/>
      <c r="AD1070" s="395" t="n"/>
      <c r="AE1070" s="395" t="n"/>
    </row>
    <row r="1071" ht="70" customHeight="1" s="380">
      <c r="A1071" s="73" t="n">
        <v>63</v>
      </c>
      <c r="B1071" s="386" t="n"/>
      <c r="C1071" s="386" t="inlineStr">
        <is>
          <t>Báo cáo theo Thông tư 121/2020/TT-BTC &gt;&gt; Báo cáo tình hình hoạt động của công ty chứng khoán - I.2</t>
        </is>
      </c>
      <c r="D1071" s="386" t="inlineStr">
        <is>
          <t>Doanh thu khác</t>
        </is>
      </c>
      <c r="E1071" s="395" t="inlineStr">
        <is>
          <t>Doanh thu khác</t>
        </is>
      </c>
      <c r="F1071" s="386" t="inlineStr">
        <is>
          <t>Data Explorer</t>
        </is>
      </c>
      <c r="G1071" s="386" t="inlineStr">
        <is>
          <t>Chỉ tiêu cơ sở</t>
        </is>
      </c>
      <c r="H1071" s="386" t="inlineStr">
        <is>
          <t>TB</t>
        </is>
      </c>
      <c r="I1071" s="386" t="inlineStr">
        <is>
          <t>Ngày, CTCK</t>
        </is>
      </c>
      <c r="J1071" s="395" t="inlineStr">
        <is>
          <t>SCMS</t>
        </is>
      </c>
      <c r="K1071" s="395" t="n"/>
      <c r="L1071" s="395" t="inlineStr">
        <is>
          <t>X</t>
        </is>
      </c>
      <c r="M1071" s="395" t="n"/>
      <c r="N1071" s="395" t="inlineStr">
        <is>
          <t>Done</t>
        </is>
      </c>
      <c r="O1071" s="401" t="n"/>
      <c r="P1071" s="395" t="n"/>
      <c r="Q1071" s="119" t="inlineStr">
        <is>
          <t>Chung câu lệnh với chỉ tiêu "Tên công ty chứng khoán"</t>
        </is>
      </c>
      <c r="R1071" s="395" t="n"/>
      <c r="S1071" s="395" t="n"/>
      <c r="U1071" s="386" t="n"/>
      <c r="V1071" s="395" t="n"/>
      <c r="W1071" s="395" t="n"/>
      <c r="X1071" s="395" t="n"/>
      <c r="Y1071" s="395" t="n"/>
      <c r="Z1071" s="395" t="n"/>
      <c r="AA1071" s="395" t="n"/>
      <c r="AB1071" s="395" t="n"/>
      <c r="AC1071" s="395" t="n"/>
      <c r="AD1071" s="395" t="n"/>
      <c r="AE1071" s="395" t="n"/>
    </row>
    <row r="1072" ht="70" customHeight="1" s="380">
      <c r="A1072" s="83" t="n">
        <v>63</v>
      </c>
      <c r="B1072" s="68" t="n"/>
      <c r="C1072" s="68" t="inlineStr">
        <is>
          <t>Báo cáo theo Thông tư 121/2020/TT-BTC &gt;&gt; Báo cáo tình hình hoạt động của công ty chứng khoán - I.2</t>
        </is>
      </c>
      <c r="D1072" s="68" t="inlineStr">
        <is>
          <t>Tỷ trọng doanh thu khác so với tổng doanh thu</t>
        </is>
      </c>
      <c r="E1072" s="68" t="inlineStr">
        <is>
          <t>Tỷ trọng doanh thu khác so với tổng doanh thu</t>
        </is>
      </c>
      <c r="F1072" s="68" t="inlineStr">
        <is>
          <t>Data Explorer</t>
        </is>
      </c>
      <c r="G1072" s="68" t="inlineStr">
        <is>
          <t>Chỉ tiêu cơ sở</t>
        </is>
      </c>
      <c r="H1072" s="68" t="inlineStr">
        <is>
          <t>TB</t>
        </is>
      </c>
      <c r="I1072" s="68" t="inlineStr">
        <is>
          <t>Ngày, CTCK</t>
        </is>
      </c>
      <c r="J1072" s="69" t="inlineStr">
        <is>
          <t>SCMS</t>
        </is>
      </c>
      <c r="K1072" s="69" t="n"/>
      <c r="L1072" s="69" t="inlineStr">
        <is>
          <t>X</t>
        </is>
      </c>
      <c r="M1072" s="69" t="n"/>
      <c r="N1072" s="69" t="inlineStr">
        <is>
          <t>Done</t>
        </is>
      </c>
      <c r="O1072" s="85" t="n"/>
      <c r="P1072" s="69" t="n"/>
      <c r="Q1072" s="120" t="inlineStr">
        <is>
          <t>Chung câu lệnh với chỉ tiêu "Tên công ty chứng khoán"</t>
        </is>
      </c>
      <c r="R1072" s="69" t="n"/>
      <c r="S1072" s="69" t="n"/>
      <c r="T1072" s="426" t="n"/>
      <c r="U1072" s="68" t="n"/>
      <c r="V1072" s="69" t="n"/>
      <c r="W1072" s="69" t="n"/>
      <c r="X1072" s="69" t="n"/>
      <c r="Y1072" s="69" t="n"/>
      <c r="Z1072" s="69" t="n"/>
      <c r="AA1072" s="69" t="n"/>
      <c r="AB1072" s="69" t="n"/>
      <c r="AC1072" s="69" t="n"/>
      <c r="AD1072" s="69" t="n"/>
      <c r="AE1072" s="69" t="n"/>
    </row>
    <row r="1073" ht="98" customHeight="1" s="380">
      <c r="A1073" s="73" t="n">
        <v>64</v>
      </c>
      <c r="B1073" s="100" t="inlineStr">
        <is>
          <t>Chị Nguyệt</t>
        </is>
      </c>
      <c r="C1073" s="81" t="inlineStr">
        <is>
          <t>Báo cáo theo Thông tư 121/2020/TT-BTC &gt;&gt; Báo cáo tình hình nhân sự Công ty chứng khoán (Trụ sở chính, chi nhánh, phòng giao dịch) - II.1. Trụ sở</t>
        </is>
      </c>
      <c r="D1073" s="106" t="inlineStr">
        <is>
          <t>Loại báo cáo</t>
        </is>
      </c>
      <c r="E1073" s="107" t="inlineStr">
        <is>
          <t>Loại báo cáo</t>
        </is>
      </c>
      <c r="F1073" s="390" t="inlineStr">
        <is>
          <t>Data Explorer</t>
        </is>
      </c>
      <c r="G1073" s="390" t="inlineStr">
        <is>
          <t>Chiều</t>
        </is>
      </c>
      <c r="H1073" s="390" t="inlineStr">
        <is>
          <t>Dễ</t>
        </is>
      </c>
      <c r="I1073" s="390" t="inlineStr">
        <is>
          <t>Ngày, CTCK</t>
        </is>
      </c>
      <c r="J1073" s="401" t="inlineStr">
        <is>
          <t>SCMS</t>
        </is>
      </c>
      <c r="K1073" s="401" t="inlineStr">
        <is>
          <t>X</t>
        </is>
      </c>
      <c r="L1073" s="395" t="inlineStr">
        <is>
          <t>X</t>
        </is>
      </c>
      <c r="M1073" s="401" t="n"/>
      <c r="N1073" s="395" t="inlineStr">
        <is>
          <t>Done</t>
        </is>
      </c>
      <c r="O1073" s="401" t="n"/>
      <c r="P1073" s="395" t="n"/>
      <c r="Q1073" s="118" t="inlineStr">
        <is>
          <t>SCMS.BM_BAO_CAO</t>
        </is>
      </c>
      <c r="R1073" s="118" t="inlineStr">
        <is>
          <t>bm.ID, bm.MA_BAO_CAO,
 bm.TEN_BAO_CAO, bm.LOAI_BAO_CAO</t>
        </is>
      </c>
      <c r="S1073" s="385" t="inlineStr">
        <is>
          <t>bm.MA_BAO_CAO LIKE 'BCTHHDKD%'
 bm.LOAI_BAO_CAO = 0
 bm.SU_DUNG = 1</t>
        </is>
      </c>
      <c r="T1073" s="385" t="inlineStr">
        <is>
          <t>SELECT bm.ID, bm.MA_BAO_CAO, bm.TEN_BAO_CAO, bm.LOAI_BAO_CAO
 FROM SCMS.BM_BAO_CAO bm
 WHERE bm.MA_BAO_CAO LIKE 'BCTHHDKD%' AND bm.LOAI_BAO_CAO = 0 AND bm.SU_DUNG = 1;</t>
        </is>
      </c>
      <c r="U1073" s="385" t="n"/>
      <c r="V1073" s="395" t="n"/>
      <c r="W1073" s="395" t="n"/>
      <c r="X1073" s="395" t="n"/>
      <c r="Y1073" s="395" t="n"/>
      <c r="Z1073" s="395" t="n"/>
      <c r="AA1073" s="395" t="n"/>
      <c r="AB1073" s="395" t="n"/>
      <c r="AC1073" s="395" t="n"/>
      <c r="AD1073" s="395" t="n"/>
      <c r="AE1073" s="395" t="n"/>
    </row>
    <row r="1074" ht="98" customHeight="1" s="380">
      <c r="A1074" s="73" t="n">
        <v>64</v>
      </c>
      <c r="B1074" s="386" t="n"/>
      <c r="C1074" s="386" t="inlineStr">
        <is>
          <t>Báo cáo theo Thông tư 121/2020/TT-BTC &gt;&gt; Báo cáo tình hình nhân sự Công ty chứng khoán (Trụ sở chính, chi nhánh, phòng giao dịch) - II.1. Trụ sở</t>
        </is>
      </c>
      <c r="D1074" s="106" t="inlineStr">
        <is>
          <t>Kỳ báo cáo</t>
        </is>
      </c>
      <c r="E1074" s="107" t="inlineStr">
        <is>
          <t>Kỳ báo cáo</t>
        </is>
      </c>
      <c r="F1074" s="390" t="inlineStr">
        <is>
          <t>Data Explorer</t>
        </is>
      </c>
      <c r="G1074" s="390" t="inlineStr">
        <is>
          <t>Chiều</t>
        </is>
      </c>
      <c r="H1074" s="390" t="inlineStr">
        <is>
          <t>Dễ</t>
        </is>
      </c>
      <c r="I1074" s="390" t="inlineStr">
        <is>
          <t>Ngày, CTCK</t>
        </is>
      </c>
      <c r="J1074" s="401" t="inlineStr">
        <is>
          <t>SCMS</t>
        </is>
      </c>
      <c r="K1074" s="401" t="inlineStr">
        <is>
          <t>X</t>
        </is>
      </c>
      <c r="L1074" s="395" t="inlineStr">
        <is>
          <t>X</t>
        </is>
      </c>
      <c r="M1074" s="401" t="n"/>
      <c r="N1074" s="395" t="inlineStr">
        <is>
          <t>Done</t>
        </is>
      </c>
      <c r="O1074" s="401" t="n"/>
      <c r="P1074" s="395" t="n"/>
      <c r="Q1074" s="118" t="inlineStr">
        <is>
          <t>SCMS.BM_BAO_CAO
 SCMS.BM_BAO_CAO_DINH_KY</t>
        </is>
      </c>
      <c r="R1074" s="118" t="inlineStr">
        <is>
          <t>bm.MA_BAO_CAO,
 bmdk.ID, bmdk.KY_BAO_CAO</t>
        </is>
      </c>
      <c r="S1074" s="385" t="inlineStr">
        <is>
          <t>bm.MA_BAO_CAO LIKE 'BCTHHDKD%'
 bmdk.SU_DUNG = 1</t>
        </is>
      </c>
      <c r="T1074" s="385" t="inlineStr">
        <is>
          <t>SELECT bm.MA_BAO_CAO, bmdk.ID AS dinh_ky_id, bmdk.KY_BAO_CAO
 FROM SCMS.BM_BAO_CAO bm
 JOIN SCMS.BM_BAO_CAO_DINH_KY bmdk ON bmdk.BM_BAO_CAO_ID = bm.ID
 WHERE bm.MA_BAO_CAO LIKE 'BCTHHDKD%' AND bmdk.SU_DUNG = 1;</t>
        </is>
      </c>
      <c r="U1074" s="385" t="n"/>
      <c r="V1074" s="395" t="n"/>
      <c r="W1074" s="395" t="n"/>
      <c r="X1074" s="395" t="n"/>
      <c r="Y1074" s="395" t="n"/>
      <c r="Z1074" s="395" t="n"/>
      <c r="AA1074" s="395" t="n"/>
      <c r="AB1074" s="395" t="n"/>
      <c r="AC1074" s="395" t="n"/>
      <c r="AD1074" s="395" t="n"/>
      <c r="AE1074" s="395" t="n"/>
    </row>
    <row r="1075" ht="98" customHeight="1" s="380">
      <c r="A1075" s="73" t="n">
        <v>64</v>
      </c>
      <c r="B1075" s="386" t="n"/>
      <c r="C1075" s="386" t="inlineStr">
        <is>
          <t>Báo cáo theo Thông tư 121/2020/TT-BTC &gt;&gt; Báo cáo tình hình nhân sự Công ty chứng khoán (Trụ sở chính, chi nhánh, phòng giao dịch) - II.1. Trụ sở</t>
        </is>
      </c>
      <c r="D1075" s="106" t="inlineStr">
        <is>
          <t>Mã báo cáo</t>
        </is>
      </c>
      <c r="E1075" s="107" t="inlineStr">
        <is>
          <t>Mã báo cáo</t>
        </is>
      </c>
      <c r="F1075" s="390" t="inlineStr">
        <is>
          <t>Data Explorer</t>
        </is>
      </c>
      <c r="G1075" s="390" t="inlineStr">
        <is>
          <t>Chiều</t>
        </is>
      </c>
      <c r="H1075" s="390" t="inlineStr">
        <is>
          <t>Dễ</t>
        </is>
      </c>
      <c r="I1075" s="390" t="inlineStr">
        <is>
          <t>Ngày, CTCK</t>
        </is>
      </c>
      <c r="J1075" s="401" t="inlineStr">
        <is>
          <t>SCMS</t>
        </is>
      </c>
      <c r="K1075" s="401" t="inlineStr">
        <is>
          <t>X</t>
        </is>
      </c>
      <c r="L1075" s="395" t="inlineStr">
        <is>
          <t>X</t>
        </is>
      </c>
      <c r="M1075" s="401" t="n"/>
      <c r="N1075" s="395" t="inlineStr">
        <is>
          <t>Done</t>
        </is>
      </c>
      <c r="O1075" s="401" t="n"/>
      <c r="P1075" s="395" t="n"/>
      <c r="Q1075" s="118" t="inlineStr">
        <is>
          <t>SCMS.BM_BAO_CAO</t>
        </is>
      </c>
      <c r="R1075" s="118" t="inlineStr">
        <is>
          <t>bm.ID, bm.MA_BAO_CAO</t>
        </is>
      </c>
      <c r="S1075" s="385" t="inlineStr">
        <is>
          <t>bm.MA_BAO_CAO LIKE 'BCTHHDKD%'
 bm.SU_DUNG = 1</t>
        </is>
      </c>
      <c r="T1075" s="385" t="inlineStr">
        <is>
          <t>Chung câu lệnh với chiều Loại báo cáo</t>
        </is>
      </c>
      <c r="U1075" s="385" t="n"/>
      <c r="V1075" s="395" t="n"/>
      <c r="W1075" s="395" t="n"/>
      <c r="X1075" s="395" t="n"/>
      <c r="Y1075" s="395" t="n"/>
      <c r="Z1075" s="395" t="n"/>
      <c r="AA1075" s="395" t="n"/>
      <c r="AB1075" s="395" t="n"/>
      <c r="AC1075" s="395" t="n"/>
      <c r="AD1075" s="395" t="n"/>
      <c r="AE1075" s="395" t="n"/>
    </row>
    <row r="1076" ht="98" customHeight="1" s="380">
      <c r="A1076" s="73" t="n">
        <v>64</v>
      </c>
      <c r="B1076" s="386" t="n"/>
      <c r="C1076" s="386" t="inlineStr">
        <is>
          <t>Báo cáo theo Thông tư 121/2020/TT-BTC &gt;&gt; Báo cáo tình hình nhân sự Công ty chứng khoán (Trụ sở chính, chi nhánh, phòng giao dịch) - II.1. Trụ sở</t>
        </is>
      </c>
      <c r="D1076" s="106" t="inlineStr">
        <is>
          <t>Tên báo cáo</t>
        </is>
      </c>
      <c r="E1076" s="107" t="inlineStr">
        <is>
          <t>Tên báo cáo</t>
        </is>
      </c>
      <c r="F1076" s="390" t="inlineStr">
        <is>
          <t>Data Explorer</t>
        </is>
      </c>
      <c r="G1076" s="390" t="inlineStr">
        <is>
          <t>Chiều</t>
        </is>
      </c>
      <c r="H1076" s="390" t="inlineStr">
        <is>
          <t>Dễ</t>
        </is>
      </c>
      <c r="I1076" s="390" t="inlineStr">
        <is>
          <t>Ngày, CTCK</t>
        </is>
      </c>
      <c r="J1076" s="401" t="inlineStr">
        <is>
          <t>SCMS</t>
        </is>
      </c>
      <c r="K1076" s="401" t="inlineStr">
        <is>
          <t>X</t>
        </is>
      </c>
      <c r="L1076" s="395" t="inlineStr">
        <is>
          <t>X</t>
        </is>
      </c>
      <c r="M1076" s="401" t="n"/>
      <c r="N1076" s="395" t="inlineStr">
        <is>
          <t>Done</t>
        </is>
      </c>
      <c r="O1076" s="401" t="n"/>
      <c r="P1076" s="395" t="n"/>
      <c r="Q1076" s="118" t="inlineStr">
        <is>
          <t>SCMS.BM_BAO_CAO</t>
        </is>
      </c>
      <c r="R1076" s="118" t="inlineStr">
        <is>
          <t>bm.ID, bm.MA_BAO_CAO,
 bm.TEN_BAO_CAO</t>
        </is>
      </c>
      <c r="S1076" s="385" t="inlineStr">
        <is>
          <t>bm.MA_BAO_CAO LIKE 'BCTHHDKD%'
 bm.SU_DUNG = 1</t>
        </is>
      </c>
      <c r="T1076" s="385" t="inlineStr">
        <is>
          <t>Chung câu lệnh với chiều Loại báo cáo</t>
        </is>
      </c>
      <c r="U1076" s="385" t="n"/>
      <c r="V1076" s="395" t="n"/>
      <c r="W1076" s="395" t="n"/>
      <c r="X1076" s="395" t="n"/>
      <c r="Y1076" s="36" t="n"/>
      <c r="Z1076" s="395" t="n"/>
      <c r="AA1076" s="395" t="n"/>
      <c r="AB1076" s="395" t="n"/>
      <c r="AC1076" s="395" t="n"/>
      <c r="AD1076" s="395" t="n"/>
      <c r="AE1076" s="395" t="n"/>
    </row>
    <row r="1077" ht="154" customHeight="1" s="380">
      <c r="A1077" s="73" t="n">
        <v>64</v>
      </c>
      <c r="B1077" s="386" t="n"/>
      <c r="C1077" s="386" t="inlineStr">
        <is>
          <t>Báo cáo theo Thông tư 121/2020/TT-BTC &gt;&gt; Báo cáo tình hình nhân sự Công ty chứng khoán (Trụ sở chính, chi nhánh, phòng giao dịch) - II.1. Trụ sở</t>
        </is>
      </c>
      <c r="D1077" s="106" t="inlineStr">
        <is>
          <t>Mã sheet</t>
        </is>
      </c>
      <c r="E1077" s="106" t="inlineStr">
        <is>
          <t>Mã sheet</t>
        </is>
      </c>
      <c r="F1077" s="390" t="inlineStr">
        <is>
          <t>Data Explorer</t>
        </is>
      </c>
      <c r="G1077" s="390" t="inlineStr">
        <is>
          <t>Chiều</t>
        </is>
      </c>
      <c r="H1077" s="390" t="inlineStr">
        <is>
          <t>Dễ</t>
        </is>
      </c>
      <c r="I1077" s="390" t="inlineStr">
        <is>
          <t>Ngày, CTCK</t>
        </is>
      </c>
      <c r="J1077" s="401" t="inlineStr">
        <is>
          <t>SCMS</t>
        </is>
      </c>
      <c r="K1077" s="401" t="inlineStr">
        <is>
          <t>X</t>
        </is>
      </c>
      <c r="L1077" s="395" t="inlineStr">
        <is>
          <t>X</t>
        </is>
      </c>
      <c r="M1077" s="401" t="n"/>
      <c r="N1077" s="395" t="inlineStr">
        <is>
          <t>Done</t>
        </is>
      </c>
      <c r="O1077" s="401" t="n"/>
      <c r="P1077" s="395" t="n"/>
      <c r="Q1077" s="118" t="inlineStr">
        <is>
          <t>SCMS.BM_BAO_CAO
 SCMS.BM_SHEET</t>
        </is>
      </c>
      <c r="R1077" s="118" t="inlineStr">
        <is>
          <t>bm.MA_BAO_CAO,
 s.MA_SHEET, s.TEN_SHEET</t>
        </is>
      </c>
      <c r="S1077" s="406" t="inlineStr">
        <is>
          <t>bm.MA_BAO_CAO LIKE 'BCTHHDKD%'
 bm.SU_DUNG = 1
 s.MA_SHEET = 'I.1'</t>
        </is>
      </c>
      <c r="T1077" s="406" t="inlineStr">
        <is>
          <t xml:space="preserve"> SELECT bm.MA_BAO_CAO,
  s.MA_SHEET,
  s.TEN_SHEET
 FROM SCMS.BM_BAO_CAO bm
 JOIN SCMS.BM_SHEET s ON s.BM_BAO_CAO_ID = bm.ID
 WHERE bm.MA_BAO_CAO LIKE 'BCTHHDKD%'
  AND  s.MA_SHEET = 'II.1'
  AND bm.SU_DUNG = 1
 ORDER BY bm.MA_BAO_CAO, s.SAP_XEP;</t>
        </is>
      </c>
      <c r="U1077" s="385" t="n"/>
      <c r="V1077" s="395" t="n"/>
      <c r="W1077" s="395" t="n"/>
      <c r="X1077" s="395" t="n"/>
      <c r="Y1077" s="395" t="n"/>
      <c r="Z1077" s="395" t="n"/>
      <c r="AA1077" s="395" t="n"/>
      <c r="AB1077" s="395" t="n"/>
      <c r="AC1077" s="395" t="n"/>
      <c r="AD1077" s="395" t="n"/>
      <c r="AE1077" s="395" t="n"/>
    </row>
    <row r="1078" ht="98" customHeight="1" s="380">
      <c r="A1078" s="73" t="n">
        <v>64</v>
      </c>
      <c r="B1078" s="386" t="n"/>
      <c r="C1078" s="386" t="inlineStr">
        <is>
          <t>Báo cáo theo Thông tư 121/2020/TT-BTC &gt;&gt; Báo cáo tình hình nhân sự Công ty chứng khoán (Trụ sở chính, chi nhánh, phòng giao dịch) - II.1. Trụ sở</t>
        </is>
      </c>
      <c r="D1078" s="106" t="inlineStr">
        <is>
          <t>Tên sheet</t>
        </is>
      </c>
      <c r="E1078" s="106" t="inlineStr">
        <is>
          <t>Tên sheet</t>
        </is>
      </c>
      <c r="F1078" s="390" t="inlineStr">
        <is>
          <t>Data Explorer</t>
        </is>
      </c>
      <c r="G1078" s="390" t="inlineStr">
        <is>
          <t>Chiều</t>
        </is>
      </c>
      <c r="H1078" s="390" t="inlineStr">
        <is>
          <t>Dễ</t>
        </is>
      </c>
      <c r="I1078" s="390" t="inlineStr">
        <is>
          <t>Ngày, CTCK</t>
        </is>
      </c>
      <c r="J1078" s="401" t="inlineStr">
        <is>
          <t>SCMS</t>
        </is>
      </c>
      <c r="K1078" s="401" t="inlineStr">
        <is>
          <t>X</t>
        </is>
      </c>
      <c r="L1078" s="395" t="inlineStr">
        <is>
          <t>X</t>
        </is>
      </c>
      <c r="M1078" s="401" t="n"/>
      <c r="N1078" s="395" t="inlineStr">
        <is>
          <t>Done</t>
        </is>
      </c>
      <c r="O1078" s="401" t="n"/>
      <c r="P1078" s="395" t="n"/>
      <c r="Q1078" s="118" t="inlineStr">
        <is>
          <t>SCMS.BM_BAO_CAO
 SCMS.BM_SHEET</t>
        </is>
      </c>
      <c r="R1078" s="118" t="inlineStr">
        <is>
          <t>bm.MA_BAO_CAO,
 s.MA_SHEET, s.TEN_SHEET</t>
        </is>
      </c>
      <c r="S1078" s="406" t="inlineStr">
        <is>
          <t>bm.MA_BAO_CAO LIKE 'BCTHHDKD%'
 bm.SU_DUNG = 1
 s.MA_SHEET = 'I.1'</t>
        </is>
      </c>
      <c r="T1078" s="406" t="inlineStr">
        <is>
          <t>Chung câu lệnh với chiều Mã sheet</t>
        </is>
      </c>
      <c r="U1078" s="385" t="n"/>
      <c r="V1078" s="395" t="n"/>
      <c r="W1078" s="395" t="n"/>
      <c r="X1078" s="395" t="n"/>
      <c r="Y1078" s="395" t="n"/>
      <c r="Z1078" s="395" t="n"/>
      <c r="AA1078" s="395" t="n"/>
      <c r="AB1078" s="395" t="n"/>
      <c r="AC1078" s="395" t="n"/>
      <c r="AD1078" s="395" t="n"/>
      <c r="AE1078" s="395" t="n"/>
    </row>
    <row r="1079" ht="111" customHeight="1" s="380">
      <c r="A1079" s="73" t="n">
        <v>64</v>
      </c>
      <c r="B1079" s="386" t="n"/>
      <c r="C1079" s="386" t="inlineStr">
        <is>
          <t>Báo cáo theo Thông tư 121/2020/TT-BTC &gt;&gt; Báo cáo tình hình nhân sự Công ty chứng khoán (Trụ sở chính, chi nhánh, phòng giao dịch) - II.1. Trụ sở</t>
        </is>
      </c>
      <c r="D1079" s="106" t="inlineStr">
        <is>
          <t>Mã chỉ tiêu</t>
        </is>
      </c>
      <c r="E1079" s="107" t="inlineStr">
        <is>
          <t>Mã chỉ tiêu</t>
        </is>
      </c>
      <c r="F1079" s="390" t="inlineStr">
        <is>
          <t>Data Explorer</t>
        </is>
      </c>
      <c r="G1079" s="390" t="inlineStr">
        <is>
          <t>Chiều</t>
        </is>
      </c>
      <c r="H1079" s="390" t="inlineStr">
        <is>
          <t>Dễ</t>
        </is>
      </c>
      <c r="I1079" s="390" t="inlineStr">
        <is>
          <t>Ngày, CTCK</t>
        </is>
      </c>
      <c r="J1079" s="401" t="inlineStr">
        <is>
          <t>SCMS</t>
        </is>
      </c>
      <c r="K1079" s="401" t="inlineStr">
        <is>
          <t>X</t>
        </is>
      </c>
      <c r="L1079" s="395" t="inlineStr">
        <is>
          <t>X</t>
        </is>
      </c>
      <c r="M1079" s="401" t="n"/>
      <c r="N1079" s="395" t="inlineStr">
        <is>
          <t>Done</t>
        </is>
      </c>
      <c r="O1079" s="401" t="n"/>
      <c r="P1079" s="395" t="n"/>
      <c r="Q1079" s="118" t="inlineStr">
        <is>
          <t>SCMS.BM_BAO_CAO
 SCMS.BM_SHEET
 SCMS.BM_BAO_CAO_HANG
 SCMS.BM_BAO_CAO_COT</t>
        </is>
      </c>
      <c r="R1079" s="118" t="inlineStr">
        <is>
          <t>bm.MA_BAO_CAO,
 s.MA_SHEET, s.TEN_SHEET,
 h.MA_HANG, h.TEN_HANG,
 c.MA_COT, c.TEN_COT</t>
        </is>
      </c>
      <c r="S1079" s="385" t="inlineStr">
        <is>
          <t>bm.MA_BAO_CAO LIKE 'BCTHHDKD%'
 s.MA_SHEET = 'I.1'
 bm.SU_DUNG = 1
 h.SU_DUNG = 1
 c.SU_DUNG = 1</t>
        </is>
      </c>
      <c r="T1079" s="385" t="inlineStr">
        <is>
          <t>-- Mã/Tên chỉ tiêu biểu I.1 nhân sự (chiều DWH) – hàng × cột
 SELECT bm.MA_BAO_CAO, s.MA_SHEET, s.TEN_SHEET,
  h.MA_HANG, h.TEN_HANG, c.MA_COT, c.TEN_COT,
  h.MA_HANG || '_' || c.MA_COT AS ma_chi_tieu_tong_hop,
  h.TEN_HANG || ' - ' || c.TEN_COT AS ten_chi_tieu_tong_hop
 FROM SCMS.BM_BAO_CAO bm
 JOIN SCMS.BM_SHEET s ON s.BM_BAO_CAO_ID = bm.ID
 JOIN SCMS.BM_BAO_CAO_HANG h ON h.BM_SHEET_ID = s.ID
 JOIN SCMS.BM_BAO_CAO_COT c ON c.BM_SHEET_ID = s.ID
 WHERE bm.MA_BAO_CAO LIKE 'BCTHHDKD%'
  AND s.MA_SHEET = 'II.1' AND bm.SU_DUNG = 1
  AND h.SU_DUNG = 1 AND c.SU_DUNG = 1
 ORDER BY h.SAP_XEP, c.SAP_XEP;</t>
        </is>
      </c>
      <c r="U1079" s="385" t="inlineStr">
        <is>
          <t>Mã chỉ tiêu = MA_HANG || MA_COT; Cần join BM_BAO_CAO_CT để xác định ô hợp lệ</t>
        </is>
      </c>
      <c r="V1079" s="395" t="n"/>
      <c r="W1079" s="395" t="n"/>
      <c r="X1079" s="395" t="n"/>
      <c r="Y1079" s="37" t="n"/>
      <c r="Z1079" s="395" t="n"/>
      <c r="AA1079" s="395" t="n"/>
      <c r="AB1079" s="395" t="n"/>
      <c r="AC1079" s="395" t="n"/>
      <c r="AD1079" s="395" t="n"/>
      <c r="AE1079" s="395" t="n"/>
    </row>
    <row r="1080" ht="98" customHeight="1" s="380">
      <c r="A1080" s="73" t="n">
        <v>64</v>
      </c>
      <c r="B1080" s="386" t="n"/>
      <c r="C1080" s="386" t="inlineStr">
        <is>
          <t>Báo cáo theo Thông tư 121/2020/TT-BTC &gt;&gt; Báo cáo tình hình nhân sự Công ty chứng khoán (Trụ sở chính, chi nhánh, phòng giao dịch) - II.1. Trụ sở</t>
        </is>
      </c>
      <c r="D1080" s="106" t="inlineStr">
        <is>
          <t>Tên chỉ tiêu</t>
        </is>
      </c>
      <c r="E1080" s="107" t="inlineStr">
        <is>
          <t>Tên chỉ tiêu</t>
        </is>
      </c>
      <c r="F1080" s="390" t="inlineStr">
        <is>
          <t>Data Explorer</t>
        </is>
      </c>
      <c r="G1080" s="390" t="inlineStr">
        <is>
          <t>Chiều</t>
        </is>
      </c>
      <c r="H1080" s="390" t="inlineStr">
        <is>
          <t>Dễ</t>
        </is>
      </c>
      <c r="I1080" s="390" t="inlineStr">
        <is>
          <t>Ngày, CTCK</t>
        </is>
      </c>
      <c r="J1080" s="401" t="inlineStr">
        <is>
          <t>SCMS</t>
        </is>
      </c>
      <c r="K1080" s="401" t="inlineStr">
        <is>
          <t>X</t>
        </is>
      </c>
      <c r="L1080" s="395" t="inlineStr">
        <is>
          <t>X</t>
        </is>
      </c>
      <c r="M1080" s="401" t="n"/>
      <c r="N1080" s="395" t="inlineStr">
        <is>
          <t>Done</t>
        </is>
      </c>
      <c r="O1080" s="401" t="n"/>
      <c r="P1080" s="395" t="n"/>
      <c r="Q1080" s="118" t="inlineStr">
        <is>
          <t>SCMS.BM_BAO_CAO
 SCMS.BM_SHEET
 SCMS.BM_BAO_CAO_HANG
 SCMS.BM_BAO_CAO_COT</t>
        </is>
      </c>
      <c r="R1080" s="118" t="inlineStr">
        <is>
          <t>bm.MA_BAO_CAO,
 h.MA_HANG, h.TEN_HANG,
 c.MA_COT, c.TEN_COT</t>
        </is>
      </c>
      <c r="S1080" s="385" t="inlineStr">
        <is>
          <t>bm.MA_BAO_CAO LIKE 'BCTHHDKD%'
 s.MA_SHEET = 'I.1'
 bm.SU_DUNG = 1</t>
        </is>
      </c>
      <c r="T1080" s="385" t="inlineStr">
        <is>
          <t>Chung câu lệnh với chiều Mã chỉ tiêu</t>
        </is>
      </c>
      <c r="U1080" s="385" t="n"/>
      <c r="V1080" s="395" t="n"/>
      <c r="W1080" s="395" t="n"/>
      <c r="X1080" s="395" t="n"/>
      <c r="Y1080" s="395" t="n"/>
      <c r="Z1080" s="395" t="n"/>
      <c r="AA1080" s="395" t="n"/>
      <c r="AB1080" s="395" t="n"/>
      <c r="AC1080" s="395" t="n"/>
      <c r="AD1080" s="395" t="n"/>
      <c r="AE1080" s="395" t="n"/>
    </row>
    <row r="1081" ht="141.75" customHeight="1" s="380">
      <c r="A1081" s="73" t="n">
        <v>64</v>
      </c>
      <c r="B1081" s="386" t="n"/>
      <c r="C1081" s="386" t="inlineStr">
        <is>
          <t>Báo cáo theo Thông tư 121/2020/TT-BTC &gt;&gt; Báo cáo tình hình nhân sự Công ty chứng khoán (Trụ sở chính, chi nhánh, phòng giao dịch) - II.1. Trụ sở</t>
        </is>
      </c>
      <c r="D1081" s="386" t="inlineStr">
        <is>
          <t>Tên CTCK</t>
        </is>
      </c>
      <c r="E1081" s="395" t="inlineStr">
        <is>
          <t>Tên CTCK</t>
        </is>
      </c>
      <c r="F1081" s="386" t="inlineStr">
        <is>
          <t>Data Explorer</t>
        </is>
      </c>
      <c r="G1081" s="386" t="inlineStr">
        <is>
          <t>Chỉ tiêu cơ sở</t>
        </is>
      </c>
      <c r="H1081" s="386" t="inlineStr">
        <is>
          <t>Dễ</t>
        </is>
      </c>
      <c r="I1081" s="386" t="inlineStr">
        <is>
          <t>Ngày, CTCK</t>
        </is>
      </c>
      <c r="J1081" s="395" t="inlineStr">
        <is>
          <t>SCMS</t>
        </is>
      </c>
      <c r="K1081" s="395" t="n"/>
      <c r="L1081" s="395" t="inlineStr">
        <is>
          <t>X</t>
        </is>
      </c>
      <c r="M1081" s="395" t="n"/>
      <c r="N1081" s="395" t="inlineStr">
        <is>
          <t>Done</t>
        </is>
      </c>
      <c r="O1081" s="401" t="n"/>
      <c r="P1081" s="395" t="n"/>
      <c r="Q1081" s="118" t="inlineStr">
        <is>
          <t>SCMS.BC_THANH_VIEN
 SCMS.BM_BAO_CAO
 SCMS.CTCK_THONG_TIN
 SCMS.CTCK_NHAN_SU_CAO_CAP
 SCMS.DM_CHUC_VU</t>
        </is>
      </c>
      <c r="R1081" s="118" t="inlineStr">
        <is>
          <t>c.TEN_TIENG_VIET, c.TEN_VIET_TAT,
 c.SAN_NIEM_YET, c.MA_CHUNG_KHOAN,
 c.GIAY_PHEP_KINH_DOANH, c.NGAY_CAP_GPKD,
 c.MA_SO_THUE,
 nsc.HO_TEN, dcv.TEN_CHUC_VU</t>
        </is>
      </c>
      <c r="S1081" s="385" t="inlineStr">
        <is>
          <t>bm.MA_BAO_CAO LIKE 'BCTHHDKD%'
 btv.TRANG_THAI IN (2, 3)
 nsc.TRANG_THAI = 1
 dcv.NHOM_CHUC_VU = 'DDPL' -- Xác nhận lại</t>
        </is>
      </c>
      <c r="T1081" s="385" t="inlineStr">
        <is>
          <t>-- Thông tin chung CTCK (8 chỉ tiêu: Tên, Sàn GD, Mã CK, Giấy phép, Mã số DN, Người ĐDPL, Chức vụ)
 SELECT DISTINCT
  btv.CTCK_THONG_TIN_ID,
  c.TEN_TIENG_VIET AS ten_ctck,
  c.TEN_VIET_TAT,
  c.SAN_NIEM_YET AS san_giao_dich,
  c.MA_CHUNG_KHOAN,
  c.GIAY_PHEP_KINH_DOANH AS so_giay_phep,
  c.NGAY_CAP_GPKD AS ngay_cap_giay_phep,
  c.MA_SO_THUE AS ma_so_dn,
  nsc.HO_TEN AS nguoi_dai_dien_phap_luat,
  dcv.TEN_CHUC_VU AS chuc_vu
 FROM SCMS.BC_THANH_VIEN btv
 JOIN SCMS.BM_BAO_CAO bm ON bm.ID = btv.BM_BAO_CAO_ID
 JOIN SCMS.CTCK_THONG_TIN c ON c.ID = btv.CTCK_THONG_TIN_ID
 JOIN SCMS.CTCK_NHAN_SU_CAO_CAP nsc ON nsc.CTCK_THONG_TIN_ID = btv.CTCK_THONG_TIN_ID
 JOIN SCMS.DM_CHUC_VU dcv ON dcv.ID = nsc.CHUC_VU_ID
 WHERE bm.MA_BAO_CAO LIKE 'BCTHHDKD%'
  AND btv.TRANG_THAI IN (2, 3)
  AND nsc.TRANG_THAI = 1
  AND dcv.NHOM_CHUC_VU = 'DDPL'; -- Xác nhận lại mã nhóm chức vụ đại diện pháp luật</t>
        </is>
      </c>
      <c r="U1081" s="386" t="inlineStr">
        <is>
          <t>NHOM_CHUC_VU = 'DDPL'; -- Xác nhận lại mã nhóm chức vụ đại diện pháp luật</t>
        </is>
      </c>
      <c r="V1081" s="395" t="n"/>
      <c r="W1081" s="395" t="n"/>
      <c r="X1081" s="395" t="n"/>
      <c r="Y1081" s="395" t="n"/>
      <c r="Z1081" s="395" t="n"/>
      <c r="AA1081" s="395" t="n"/>
      <c r="AB1081" s="395" t="n"/>
      <c r="AC1081" s="395" t="n"/>
      <c r="AD1081" s="395" t="n"/>
      <c r="AE1081" s="395" t="n"/>
    </row>
    <row r="1082" ht="61.5" customHeight="1" s="380">
      <c r="A1082" s="73" t="n">
        <v>64</v>
      </c>
      <c r="B1082" s="386" t="n"/>
      <c r="C1082" s="386" t="inlineStr">
        <is>
          <t>Báo cáo theo Thông tư 121/2020/TT-BTC &gt;&gt; Báo cáo tình hình nhân sự Công ty chứng khoán (Trụ sở chính, chi nhánh, phòng giao dịch) - II.1. Trụ sở</t>
        </is>
      </c>
      <c r="D1082" s="386" t="inlineStr">
        <is>
          <t>Sàn giao dịch</t>
        </is>
      </c>
      <c r="E1082" s="395" t="inlineStr">
        <is>
          <t>Sàn giao dịch</t>
        </is>
      </c>
      <c r="F1082" s="386" t="inlineStr">
        <is>
          <t>Data Explorer</t>
        </is>
      </c>
      <c r="G1082" s="386" t="inlineStr">
        <is>
          <t>Chỉ tiêu cơ sở</t>
        </is>
      </c>
      <c r="H1082" s="386" t="inlineStr">
        <is>
          <t>Dễ</t>
        </is>
      </c>
      <c r="I1082" s="386" t="inlineStr">
        <is>
          <t>Ngày, CTCK</t>
        </is>
      </c>
      <c r="J1082" s="395" t="inlineStr">
        <is>
          <t>SCMS</t>
        </is>
      </c>
      <c r="K1082" s="395" t="n"/>
      <c r="L1082" s="395" t="inlineStr">
        <is>
          <t>X</t>
        </is>
      </c>
      <c r="M1082" s="395" t="n"/>
      <c r="N1082" s="395" t="inlineStr">
        <is>
          <t>Done</t>
        </is>
      </c>
      <c r="O1082" s="401" t="n"/>
      <c r="P1082" s="395" t="n"/>
      <c r="Q1082" s="118" t="inlineStr">
        <is>
          <t>SCMS.BC_THANH_VIEN
 SCMS.BM_BAO_CAO
 SCMS.CTCK_THONG_TIN
 SCMS.CTCK_NHAN_SU_CAO_CAP
 SCMS.DM_CHUC_VU</t>
        </is>
      </c>
      <c r="R1082" s="118" t="inlineStr">
        <is>
          <t>c.TEN_TIENG_VIET, c.TEN_VIET_TAT,
 c.SAN_NIEM_YET, c.MA_CHUNG_KHOAN,
 c.GIAY_PHEP_KINH_DOANH, c.NGAY_CAP_GPKD,
 c.MA_SO_THUE,
 nsc.HO_TEN, dcv.TEN_CHUC_VU</t>
        </is>
      </c>
      <c r="S1082" s="385" t="inlineStr">
        <is>
          <t>bm.MA_BAO_CAO LIKE 'BCTHHDKD%'
 btv.TRANG_THAI IN (2, 3)
 nsc.TRANG_THAI = 1
 dcv.NHOM_CHUC_VU = 'DDPL' -- Xác nhận lại</t>
        </is>
      </c>
      <c r="T1082" s="385" t="inlineStr">
        <is>
          <t>Chung câu lệnh với chỉ tiêu "Tên CTCK"</t>
        </is>
      </c>
      <c r="U1082" s="386" t="n"/>
      <c r="V1082" s="395" t="n"/>
      <c r="W1082" s="395" t="n"/>
      <c r="X1082" s="395" t="n"/>
      <c r="Y1082" s="395" t="n"/>
      <c r="Z1082" s="395" t="n"/>
      <c r="AA1082" s="395" t="n"/>
      <c r="AB1082" s="395" t="n"/>
      <c r="AC1082" s="395" t="n"/>
      <c r="AD1082" s="395" t="n"/>
      <c r="AE1082" s="395" t="n"/>
    </row>
    <row r="1083" ht="61.5" customHeight="1" s="380">
      <c r="A1083" s="73" t="n">
        <v>64</v>
      </c>
      <c r="B1083" s="386" t="n"/>
      <c r="C1083" s="386" t="inlineStr">
        <is>
          <t>Báo cáo theo Thông tư 121/2020/TT-BTC &gt;&gt; Báo cáo tình hình nhân sự Công ty chứng khoán (Trụ sở chính, chi nhánh, phòng giao dịch) - II.1. Trụ sở</t>
        </is>
      </c>
      <c r="D1083" s="386" t="inlineStr">
        <is>
          <t>Mã CK</t>
        </is>
      </c>
      <c r="E1083" s="395" t="inlineStr">
        <is>
          <t>Mã CK</t>
        </is>
      </c>
      <c r="F1083" s="386" t="inlineStr">
        <is>
          <t>Data Explorer</t>
        </is>
      </c>
      <c r="G1083" s="386" t="inlineStr">
        <is>
          <t>Chỉ tiêu cơ sở</t>
        </is>
      </c>
      <c r="H1083" s="386" t="inlineStr">
        <is>
          <t>Dễ</t>
        </is>
      </c>
      <c r="I1083" s="386" t="inlineStr">
        <is>
          <t>Ngày, CTCK</t>
        </is>
      </c>
      <c r="J1083" s="395" t="inlineStr">
        <is>
          <t>SCMS</t>
        </is>
      </c>
      <c r="K1083" s="395" t="n"/>
      <c r="L1083" s="395" t="inlineStr">
        <is>
          <t>X</t>
        </is>
      </c>
      <c r="M1083" s="395" t="n"/>
      <c r="N1083" s="395" t="inlineStr">
        <is>
          <t>Done</t>
        </is>
      </c>
      <c r="O1083" s="401" t="n"/>
      <c r="P1083" s="395" t="n"/>
      <c r="Q1083" s="118" t="inlineStr">
        <is>
          <t>SCMS.BC_THANH_VIEN
 SCMS.BM_BAO_CAO
 SCMS.CTCK_THONG_TIN
 SCMS.CTCK_NHAN_SU_CAO_CAP
 SCMS.DM_CHUC_VU</t>
        </is>
      </c>
      <c r="R1083" s="118" t="inlineStr">
        <is>
          <t>c.TEN_TIENG_VIET, c.TEN_VIET_TAT,
 c.SAN_NIEM_YET, c.MA_CHUNG_KHOAN,
 c.GIAY_PHEP_KINH_DOANH, c.NGAY_CAP_GPKD,
 c.MA_SO_THUE,
 nsc.HO_TEN, dcv.TEN_CHUC_VU</t>
        </is>
      </c>
      <c r="S1083" s="385" t="inlineStr">
        <is>
          <t>bm.MA_BAO_CAO LIKE 'BCTHHDKD%'
 btv.TRANG_THAI IN (2, 3)
 nsc.TRANG_THAI = 1
 dcv.NHOM_CHUC_VU = 'DDPL' -- Xác nhận lại</t>
        </is>
      </c>
      <c r="T1083" s="385" t="inlineStr">
        <is>
          <t>Chung câu lệnh với chỉ tiêu "Tên CTCK"</t>
        </is>
      </c>
      <c r="U1083" s="386" t="n"/>
      <c r="V1083" s="395" t="n"/>
      <c r="W1083" s="395" t="n"/>
      <c r="X1083" s="395" t="n"/>
      <c r="Y1083" s="395" t="n"/>
      <c r="Z1083" s="395" t="n"/>
      <c r="AA1083" s="395" t="n"/>
      <c r="AB1083" s="395" t="n"/>
      <c r="AC1083" s="395" t="n"/>
      <c r="AD1083" s="395" t="n"/>
      <c r="AE1083" s="395" t="n"/>
    </row>
    <row r="1084" ht="61.5" customHeight="1" s="380">
      <c r="A1084" s="73" t="n">
        <v>64</v>
      </c>
      <c r="B1084" s="386" t="n"/>
      <c r="C1084" s="386" t="inlineStr">
        <is>
          <t>Báo cáo theo Thông tư 121/2020/TT-BTC &gt;&gt; Báo cáo tình hình nhân sự Công ty chứng khoán (Trụ sở chính, chi nhánh, phòng giao dịch) - II.1. Trụ sở</t>
        </is>
      </c>
      <c r="D1084" s="386" t="inlineStr">
        <is>
          <t>Giấy phép Hoạt động &gt;&gt; Số</t>
        </is>
      </c>
      <c r="E1084" s="395" t="inlineStr">
        <is>
          <t>Giấy phép Hoạt động &gt;&gt; Số</t>
        </is>
      </c>
      <c r="F1084" s="386" t="inlineStr">
        <is>
          <t>Data Explorer</t>
        </is>
      </c>
      <c r="G1084" s="386" t="inlineStr">
        <is>
          <t>Chỉ tiêu cơ sở</t>
        </is>
      </c>
      <c r="H1084" s="386" t="inlineStr">
        <is>
          <t>Dễ</t>
        </is>
      </c>
      <c r="I1084" s="386" t="inlineStr">
        <is>
          <t>Ngày, CTCK</t>
        </is>
      </c>
      <c r="J1084" s="395" t="inlineStr">
        <is>
          <t>SCMS</t>
        </is>
      </c>
      <c r="K1084" s="395" t="n"/>
      <c r="L1084" s="395" t="inlineStr">
        <is>
          <t>X</t>
        </is>
      </c>
      <c r="M1084" s="395" t="n"/>
      <c r="N1084" s="395" t="inlineStr">
        <is>
          <t>Done</t>
        </is>
      </c>
      <c r="O1084" s="401" t="n"/>
      <c r="P1084" s="395" t="n"/>
      <c r="Q1084" s="118" t="inlineStr">
        <is>
          <t>SCMS.BC_THANH_VIEN
 SCMS.BM_BAO_CAO
 SCMS.CTCK_THONG_TIN
 SCMS.CTCK_NHAN_SU_CAO_CAP
 SCMS.DM_CHUC_VU</t>
        </is>
      </c>
      <c r="R1084" s="118" t="inlineStr">
        <is>
          <t>c.TEN_TIENG_VIET, c.TEN_VIET_TAT,
 c.SAN_NIEM_YET, c.MA_CHUNG_KHOAN,
 c.GIAY_PHEP_KINH_DOANH, c.NGAY_CAP_GPKD,
 c.MA_SO_THUE,
 nsc.HO_TEN, dcv.TEN_CHUC_VU</t>
        </is>
      </c>
      <c r="S1084" s="385" t="inlineStr">
        <is>
          <t>bm.MA_BAO_CAO LIKE 'BCTHHDKD%'
 btv.TRANG_THAI IN (2, 3)
 nsc.TRANG_THAI = 1
 dcv.NHOM_CHUC_VU = 'DDPL' -- Xác nhận lại</t>
        </is>
      </c>
      <c r="T1084" s="385" t="inlineStr">
        <is>
          <t>Chung câu lệnh với chỉ tiêu "Tên CTCK"</t>
        </is>
      </c>
      <c r="U1084" s="386" t="n"/>
      <c r="V1084" s="395" t="n"/>
      <c r="W1084" s="395" t="n"/>
      <c r="X1084" s="395" t="n"/>
      <c r="Y1084" s="395" t="n"/>
      <c r="Z1084" s="395" t="n"/>
      <c r="AA1084" s="395" t="n"/>
      <c r="AB1084" s="395" t="n"/>
      <c r="AC1084" s="395" t="n"/>
      <c r="AD1084" s="395" t="n"/>
      <c r="AE1084" s="395" t="n"/>
    </row>
    <row r="1085" ht="61.5" customHeight="1" s="380">
      <c r="A1085" s="73" t="n">
        <v>64</v>
      </c>
      <c r="B1085" s="386" t="n"/>
      <c r="C1085" s="386" t="inlineStr">
        <is>
          <t>Báo cáo theo Thông tư 121/2020/TT-BTC &gt;&gt; Báo cáo tình hình nhân sự Công ty chứng khoán (Trụ sở chính, chi nhánh, phòng giao dịch) - II.1. Trụ sở</t>
        </is>
      </c>
      <c r="D1085" s="386" t="inlineStr">
        <is>
          <t>Giấy phép Hoạt động &gt;&gt; Ngày cấp</t>
        </is>
      </c>
      <c r="E1085" s="395" t="inlineStr">
        <is>
          <t>Giấy phép Hoạt động &gt;&gt; Ngày cấp</t>
        </is>
      </c>
      <c r="F1085" s="386" t="inlineStr">
        <is>
          <t>Data Explorer</t>
        </is>
      </c>
      <c r="G1085" s="386" t="inlineStr">
        <is>
          <t>Chỉ tiêu cơ sở</t>
        </is>
      </c>
      <c r="H1085" s="386" t="inlineStr">
        <is>
          <t>Dễ</t>
        </is>
      </c>
      <c r="I1085" s="386" t="inlineStr">
        <is>
          <t>Ngày, CTCK</t>
        </is>
      </c>
      <c r="J1085" s="395" t="inlineStr">
        <is>
          <t>SCMS</t>
        </is>
      </c>
      <c r="K1085" s="395" t="n"/>
      <c r="L1085" s="395" t="inlineStr">
        <is>
          <t>X</t>
        </is>
      </c>
      <c r="M1085" s="395" t="n"/>
      <c r="N1085" s="395" t="inlineStr">
        <is>
          <t>Done</t>
        </is>
      </c>
      <c r="O1085" s="401" t="n"/>
      <c r="P1085" s="395" t="n"/>
      <c r="Q1085" s="118" t="inlineStr">
        <is>
          <t>SCMS.BC_THANH_VIEN
 SCMS.BM_BAO_CAO
 SCMS.CTCK_THONG_TIN
 SCMS.CTCK_NHAN_SU_CAO_CAP
 SCMS.DM_CHUC_VU</t>
        </is>
      </c>
      <c r="R1085" s="118" t="inlineStr">
        <is>
          <t>c.TEN_TIENG_VIET, c.TEN_VIET_TAT,
 c.SAN_NIEM_YET, c.MA_CHUNG_KHOAN,
 c.GIAY_PHEP_KINH_DOANH, c.NGAY_CAP_GPKD,
 c.MA_SO_THUE,
 nsc.HO_TEN, dcv.TEN_CHUC_VU</t>
        </is>
      </c>
      <c r="S1085" s="385" t="inlineStr">
        <is>
          <t>bm.MA_BAO_CAO LIKE 'BCTHHDKD%'
 btv.TRANG_THAI IN (2, 3)
 nsc.TRANG_THAI = 1
 dcv.NHOM_CHUC_VU = 'DDPL' -- Xác nhận lại</t>
        </is>
      </c>
      <c r="T1085" s="385" t="inlineStr">
        <is>
          <t>Chung câu lệnh với chỉ tiêu "Tên CTCK"</t>
        </is>
      </c>
      <c r="U1085" s="386" t="n"/>
      <c r="V1085" s="395" t="n"/>
      <c r="W1085" s="395" t="n"/>
      <c r="X1085" s="395" t="n"/>
      <c r="Y1085" s="395" t="n"/>
      <c r="Z1085" s="395" t="n"/>
      <c r="AA1085" s="395" t="n"/>
      <c r="AB1085" s="395" t="n"/>
      <c r="AC1085" s="395" t="n"/>
      <c r="AD1085" s="395" t="n"/>
      <c r="AE1085" s="395" t="n"/>
    </row>
    <row r="1086" ht="61.5" customHeight="1" s="380">
      <c r="A1086" s="73" t="n">
        <v>64</v>
      </c>
      <c r="B1086" s="386" t="n"/>
      <c r="C1086" s="386" t="inlineStr">
        <is>
          <t>Báo cáo theo Thông tư 121/2020/TT-BTC &gt;&gt; Báo cáo tình hình nhân sự Công ty chứng khoán (Trụ sở chính, chi nhánh, phòng giao dịch) - II.1. Trụ sở</t>
        </is>
      </c>
      <c r="D1086" s="386" t="inlineStr">
        <is>
          <t>Mã số Doanh nghiệp</t>
        </is>
      </c>
      <c r="E1086" s="395" t="inlineStr">
        <is>
          <t>Mã số Doanh nghiệp</t>
        </is>
      </c>
      <c r="F1086" s="386" t="inlineStr">
        <is>
          <t>Data Explorer</t>
        </is>
      </c>
      <c r="G1086" s="386" t="inlineStr">
        <is>
          <t>Chỉ tiêu cơ sở</t>
        </is>
      </c>
      <c r="H1086" s="386" t="inlineStr">
        <is>
          <t>Dễ</t>
        </is>
      </c>
      <c r="I1086" s="386" t="inlineStr">
        <is>
          <t>Ngày, CTCK</t>
        </is>
      </c>
      <c r="J1086" s="395" t="inlineStr">
        <is>
          <t>SCMS</t>
        </is>
      </c>
      <c r="K1086" s="395" t="n"/>
      <c r="L1086" s="395" t="inlineStr">
        <is>
          <t>X</t>
        </is>
      </c>
      <c r="M1086" s="395" t="n"/>
      <c r="N1086" s="395" t="inlineStr">
        <is>
          <t>Done</t>
        </is>
      </c>
      <c r="O1086" s="401" t="n"/>
      <c r="P1086" s="395" t="n"/>
      <c r="Q1086" s="118" t="inlineStr">
        <is>
          <t>SCMS.BC_THANH_VIEN
 SCMS.BM_BAO_CAO
 SCMS.CTCK_THONG_TIN
 SCMS.CTCK_NHAN_SU_CAO_CAP
 SCMS.DM_CHUC_VU</t>
        </is>
      </c>
      <c r="R1086" s="118" t="inlineStr">
        <is>
          <t>c.TEN_TIENG_VIET, c.TEN_VIET_TAT,
 c.SAN_NIEM_YET, c.MA_CHUNG_KHOAN,
 c.GIAY_PHEP_KINH_DOANH, c.NGAY_CAP_GPKD,
 c.MA_SO_THUE,
 nsc.HO_TEN, dcv.TEN_CHUC_VU</t>
        </is>
      </c>
      <c r="S1086" s="385" t="inlineStr">
        <is>
          <t>bm.MA_BAO_CAO LIKE 'BCTHHDKD%'
 btv.TRANG_THAI IN (2, 3)
 nsc.TRANG_THAI = 1
 dcv.NHOM_CHUC_VU = 'DDPL' -- Xác nhận lại</t>
        </is>
      </c>
      <c r="T1086" s="385" t="inlineStr">
        <is>
          <t>Chung câu lệnh với chỉ tiêu "Tên CTCK"</t>
        </is>
      </c>
      <c r="U1086" s="386" t="n"/>
      <c r="V1086" s="395" t="n"/>
      <c r="W1086" s="395" t="n"/>
      <c r="X1086" s="395" t="n"/>
      <c r="Y1086" s="36" t="n"/>
      <c r="Z1086" s="395" t="n"/>
      <c r="AA1086" s="395" t="n"/>
      <c r="AB1086" s="395" t="n"/>
      <c r="AC1086" s="395" t="n"/>
      <c r="AD1086" s="395" t="n"/>
      <c r="AE1086" s="395" t="n"/>
    </row>
    <row r="1087" ht="61.5" customHeight="1" s="380">
      <c r="A1087" s="73" t="n">
        <v>64</v>
      </c>
      <c r="B1087" s="386" t="n"/>
      <c r="C1087" s="386" t="inlineStr">
        <is>
          <t>Báo cáo theo Thông tư 121/2020/TT-BTC &gt;&gt; Báo cáo tình hình nhân sự Công ty chứng khoán (Trụ sở chính, chi nhánh, phòng giao dịch) - II.1. Trụ sở</t>
        </is>
      </c>
      <c r="D1087" s="386" t="inlineStr">
        <is>
          <t>Người đại diện pháp luật (đăng ký làm việc với UBCKNN)</t>
        </is>
      </c>
      <c r="E1087" s="386" t="inlineStr">
        <is>
          <t>Người đại diện pháp luật (đăng ký làm việc với UBCKNN)</t>
        </is>
      </c>
      <c r="F1087" s="386" t="inlineStr">
        <is>
          <t>Data Explorer</t>
        </is>
      </c>
      <c r="G1087" s="386" t="inlineStr">
        <is>
          <t>Chỉ tiêu cơ sở</t>
        </is>
      </c>
      <c r="H1087" s="386" t="inlineStr">
        <is>
          <t>Dễ</t>
        </is>
      </c>
      <c r="I1087" s="386" t="inlineStr">
        <is>
          <t>Ngày, CTCK</t>
        </is>
      </c>
      <c r="J1087" s="395" t="inlineStr">
        <is>
          <t>SCMS</t>
        </is>
      </c>
      <c r="K1087" s="395" t="n"/>
      <c r="L1087" s="395" t="inlineStr">
        <is>
          <t>X</t>
        </is>
      </c>
      <c r="M1087" s="395" t="n"/>
      <c r="N1087" s="395" t="inlineStr">
        <is>
          <t>Done</t>
        </is>
      </c>
      <c r="O1087" s="401" t="n"/>
      <c r="P1087" s="395" t="n"/>
      <c r="Q1087" s="118" t="inlineStr">
        <is>
          <t>SCMS.BC_THANH_VIEN
 SCMS.BM_BAO_CAO
 SCMS.CTCK_THONG_TIN
 SCMS.CTCK_NHAN_SU_CAO_CAP
 SCMS.DM_CHUC_VU</t>
        </is>
      </c>
      <c r="R1087" s="118" t="inlineStr">
        <is>
          <t>c.TEN_TIENG_VIET, c.TEN_VIET_TAT,
 c.SAN_NIEM_YET, c.MA_CHUNG_KHOAN,
 c.GIAY_PHEP_KINH_DOANH, c.NGAY_CAP_GPKD,
 c.MA_SO_THUE,
 nsc.HO_TEN, dcv.TEN_CHUC_VU</t>
        </is>
      </c>
      <c r="S1087" s="385" t="inlineStr">
        <is>
          <t>bm.MA_BAO_CAO LIKE 'BCTHHDKD%'
 btv.TRANG_THAI IN (2, 3)
 nsc.TRANG_THAI = 1
 dcv.NHOM_CHUC_VU = 'DDPL' -- Xác nhận lại</t>
        </is>
      </c>
      <c r="T1087" s="385" t="inlineStr">
        <is>
          <t>Chung câu lệnh với chỉ tiêu "Tên CTCK"</t>
        </is>
      </c>
      <c r="U1087" s="386" t="n"/>
      <c r="V1087" s="395" t="n"/>
      <c r="W1087" s="395" t="n"/>
      <c r="X1087" s="395" t="n"/>
      <c r="Y1087" s="395" t="n"/>
      <c r="Z1087" s="395" t="n"/>
      <c r="AA1087" s="395" t="n"/>
      <c r="AB1087" s="395" t="n"/>
      <c r="AC1087" s="395" t="n"/>
      <c r="AD1087" s="395" t="n"/>
      <c r="AE1087" s="395" t="n"/>
    </row>
    <row r="1088" ht="61.5" customHeight="1" s="380">
      <c r="A1088" s="73" t="n">
        <v>64</v>
      </c>
      <c r="B1088" s="386" t="n"/>
      <c r="C1088" s="386" t="inlineStr">
        <is>
          <t>Báo cáo theo Thông tư 121/2020/TT-BTC &gt;&gt; Báo cáo tình hình nhân sự Công ty chứng khoán (Trụ sở chính, chi nhánh, phòng giao dịch) - II.1. Trụ sở</t>
        </is>
      </c>
      <c r="D1088" s="386" t="inlineStr">
        <is>
          <t>Chức vụ của Người đại diện pháp luật</t>
        </is>
      </c>
      <c r="E1088" s="395" t="inlineStr">
        <is>
          <t>Chức vụ của Người đại diện pháp luật</t>
        </is>
      </c>
      <c r="F1088" s="386" t="inlineStr">
        <is>
          <t>Data Explorer</t>
        </is>
      </c>
      <c r="G1088" s="386" t="inlineStr">
        <is>
          <t>Chỉ tiêu cơ sở</t>
        </is>
      </c>
      <c r="H1088" s="386" t="inlineStr">
        <is>
          <t>Dễ</t>
        </is>
      </c>
      <c r="I1088" s="386" t="inlineStr">
        <is>
          <t>Ngày, CTCK</t>
        </is>
      </c>
      <c r="J1088" s="395" t="inlineStr">
        <is>
          <t>SCMS</t>
        </is>
      </c>
      <c r="K1088" s="395" t="n"/>
      <c r="L1088" s="395" t="inlineStr">
        <is>
          <t>X</t>
        </is>
      </c>
      <c r="M1088" s="395" t="n"/>
      <c r="N1088" s="395" t="inlineStr">
        <is>
          <t>Done</t>
        </is>
      </c>
      <c r="O1088" s="401" t="n"/>
      <c r="P1088" s="395" t="n"/>
      <c r="Q1088" s="118" t="inlineStr">
        <is>
          <t>SCMS.BC_THANH_VIEN
 SCMS.BM_BAO_CAO
 SCMS.CTCK_THONG_TIN
 SCMS.CTCK_NHAN_SU_CAO_CAP
 SCMS.DM_CHUC_VU</t>
        </is>
      </c>
      <c r="R1088" s="118" t="inlineStr">
        <is>
          <t>c.TEN_TIENG_VIET, c.TEN_VIET_TAT,
 c.SAN_NIEM_YET, c.MA_CHUNG_KHOAN,
 c.GIAY_PHEP_KINH_DOANH, c.NGAY_CAP_GPKD,
 c.MA_SO_THUE,
 nsc.HO_TEN, dcv.TEN_CHUC_VU</t>
        </is>
      </c>
      <c r="S1088" s="385" t="inlineStr">
        <is>
          <t>bm.MA_BAO_CAO LIKE 'BCTHHDKD%'
 btv.TRANG_THAI IN (2, 3)
 nsc.TRANG_THAI = 1
 dcv.NHOM_CHUC_VU = 'DDPL' -- Xác nhận lại</t>
        </is>
      </c>
      <c r="T1088" s="385" t="inlineStr">
        <is>
          <t>Chung câu lệnh với chỉ tiêu "Tên CTCK"</t>
        </is>
      </c>
      <c r="U1088" s="386" t="n"/>
      <c r="V1088" s="395" t="n"/>
      <c r="W1088" s="395" t="n"/>
      <c r="X1088" s="395" t="n"/>
      <c r="Y1088" s="395" t="n"/>
      <c r="Z1088" s="395" t="n"/>
      <c r="AA1088" s="395" t="n"/>
      <c r="AB1088" s="395" t="n"/>
      <c r="AC1088" s="395" t="n"/>
      <c r="AD1088" s="395" t="n"/>
      <c r="AE1088" s="395" t="n"/>
    </row>
    <row r="1089" ht="126" customHeight="1" s="380">
      <c r="A1089" s="73" t="n">
        <v>64</v>
      </c>
      <c r="B1089" s="386" t="n"/>
      <c r="C1089" s="386" t="inlineStr">
        <is>
          <t>Báo cáo theo Thông tư 121/2020/TT-BTC &gt;&gt; Báo cáo tình hình nhân sự Công ty chứng khoán (Trụ sở chính, chi nhánh, phòng giao dịch) - II.1. Trụ sở</t>
        </is>
      </c>
      <c r="D1089" s="386" t="inlineStr">
        <is>
          <t>Trụ sở chính &gt;&gt; Ban Giám đốc &gt;&gt; Số người lao động &gt;&gt; Trong kỳ</t>
        </is>
      </c>
      <c r="E1089" s="386" t="inlineStr">
        <is>
          <t>Trụ sở chính &gt;&gt; Ban Giám đốc &gt;&gt; Số người lao động &gt;&gt; Trong kỳ</t>
        </is>
      </c>
      <c r="F1089" s="386" t="inlineStr">
        <is>
          <t>Data Explorer</t>
        </is>
      </c>
      <c r="G1089" s="386" t="inlineStr">
        <is>
          <t>Chỉ tiêu cơ sở</t>
        </is>
      </c>
      <c r="H1089" s="386" t="inlineStr">
        <is>
          <t>TB</t>
        </is>
      </c>
      <c r="I1089" s="386" t="inlineStr">
        <is>
          <t>Ngày, CTCK</t>
        </is>
      </c>
      <c r="J1089" s="395" t="inlineStr">
        <is>
          <t>SCMS</t>
        </is>
      </c>
      <c r="K1089" s="395" t="n"/>
      <c r="L1089" s="395" t="inlineStr">
        <is>
          <t>X</t>
        </is>
      </c>
      <c r="M1089" s="395" t="n"/>
      <c r="N1089" s="395" t="inlineStr">
        <is>
          <t>Done</t>
        </is>
      </c>
      <c r="O1089" s="401" t="n"/>
      <c r="P1089" s="395" t="n"/>
      <c r="Q1089" s="118" t="inlineStr">
        <is>
          <t>SCMS.BC_THANH_VIEN
 SCMS.BC_BAO_CAO_GT
 SCMS.BM_BAO_CAO</t>
        </is>
      </c>
      <c r="R1089" s="118" t="inlineStr">
        <is>
          <t>gt.GIA_TRI, gt.TEN_HANG, gt.TEN_COT</t>
        </is>
      </c>
      <c r="S1089" s="406" t="inlineStr">
        <is>
          <t>bm.MA_BAO_CAO LIKE 'BCTHHDKD%'
 btv.TRANG_THAI IN (2, 3)
 gt.TEN_SHEET = N'THNS'
 gt.TEN_HANG = N'1.Ban giám đốc'</t>
        </is>
      </c>
      <c r="T1089" s="406" t="inlineStr">
        <is>
          <t>-- Nhóm: Ban Giám đốc (4 chỉ tiêu lao động/CCHN – Trong kỳ và Tăng/Giảm)
 SELECT
  btv.ID AS bc_thanh_vien_id,
  btv.CTCK_THONG_TIN_ID,
  btv.NGAY_SO_LIEU,
  btv.TRANG_THAI,
  bm.MA_BAO_CAO,
  gt.TEN_SHEET,
  gt.TEN_HANG,
  MAX(CASE WHEN gt.TEN_COT = N'Số lượng người lao động: Trong kỳ' THEN gt.GIA_TRI END) AS so_ld_trong_ky,
  MAX(CASE WHEN gt.TEN_COT = N'Số lượng người lao động: Tăng/Giảm' THEN gt.GIA_TRI END) AS so_ld_tang_giam,
  MAX(CASE WHEN gt.TEN_COT = N'Số lượng người có chứng chỉ hành nghề: Trong kỳ' THEN gt.GIA_TRI END) AS so_cchn_trong_ky,
  MAX(CASE WHEN gt.TEN_COT = N'Số lượng người có chứng chỉ hành nghề: Tăng/Giảm' THEN gt.GIA_TRI END) AS so_cchn_tang_giam
 FROM SCMS.BC_THANH_VIEN btv
 JOIN SCMS.BM_BAO_CAO bm ON bm.ID = btv.BM_BAO_CAO_ID
 JOIN SCMS.BC_BAO_CAO_GT gt ON gt.BC_THANH_VIEN_ID = btv.ID
 WHERE bm.MA_BAO_CAO LIKE 'BCTHHDKD%'
  AND btv.TRANG_THAI IN (2, 3)
  AND gt.TEN_SHEET = N'THNS'
  AND gt.TEN_HANG = N'1.Ban giám đốc' -- Xác nhận lại TEN_HANG, nên dùng MA_HANG
 GROUP BY
  btv.ID, btv.CTCK_THONG_TIN_ID,
  btv.NGAY_SO_LIEU, btv.TRANG_THAI,
  bm.MA_BAO_CAO, gt.TEN_SHEET, gt.TEN_HANG;</t>
        </is>
      </c>
      <c r="U1089" s="406" t="inlineStr">
        <is>
          <t>Cần xác định lại TEN_HANG thực tế, nên dùng MA_HANG sau khi có dữ liệu</t>
        </is>
      </c>
      <c r="V1089" s="395" t="n"/>
      <c r="W1089" s="395" t="n"/>
      <c r="X1089" s="395" t="n"/>
      <c r="Y1089" s="395" t="n"/>
      <c r="Z1089" s="395" t="n"/>
      <c r="AA1089" s="395" t="n"/>
      <c r="AB1089" s="395" t="n"/>
      <c r="AC1089" s="395" t="n"/>
      <c r="AD1089" s="395" t="n"/>
      <c r="AE1089" s="395" t="n"/>
    </row>
    <row r="1090" ht="98" customHeight="1" s="380">
      <c r="A1090" s="73" t="n">
        <v>64</v>
      </c>
      <c r="B1090" s="386" t="n"/>
      <c r="C1090" s="386" t="inlineStr">
        <is>
          <t>Báo cáo theo Thông tư 121/2020/TT-BTC &gt;&gt; Báo cáo tình hình nhân sự Công ty chứng khoán (Trụ sở chính, chi nhánh, phòng giao dịch) - II.1. Trụ sở</t>
        </is>
      </c>
      <c r="D1090" s="386" t="inlineStr">
        <is>
          <t>Trụ sở chính &gt;&gt; Ban Giám đốc &gt;&gt; Số người lao động &gt;&gt; Tăng/Giảm</t>
        </is>
      </c>
      <c r="E1090" s="386" t="inlineStr">
        <is>
          <t>Trụ sở chính &gt;&gt; Ban Giám đốc &gt;&gt; Số người lao động &gt;&gt; Tăng/Giảm</t>
        </is>
      </c>
      <c r="F1090" s="386" t="inlineStr">
        <is>
          <t>Data Explorer</t>
        </is>
      </c>
      <c r="G1090" s="386" t="inlineStr">
        <is>
          <t>Chỉ tiêu cơ sở</t>
        </is>
      </c>
      <c r="H1090" s="386" t="inlineStr">
        <is>
          <t>TB</t>
        </is>
      </c>
      <c r="I1090" s="386" t="inlineStr">
        <is>
          <t>Ngày, CTCK</t>
        </is>
      </c>
      <c r="J1090" s="395" t="inlineStr">
        <is>
          <t>SCMS</t>
        </is>
      </c>
      <c r="K1090" s="395" t="n"/>
      <c r="L1090" s="395" t="inlineStr">
        <is>
          <t>X</t>
        </is>
      </c>
      <c r="M1090" s="395" t="n"/>
      <c r="N1090" s="395" t="inlineStr">
        <is>
          <t>Done</t>
        </is>
      </c>
      <c r="O1090" s="401" t="n"/>
      <c r="P1090" s="395" t="n"/>
      <c r="Q1090" s="118" t="inlineStr">
        <is>
          <t>Chung câu lệnh với chỉ tiêu "Trụ sở chính &gt;&gt; Ban Giám đốc &gt;&gt; Số người lao động &gt;&gt; Trong kỳ"</t>
        </is>
      </c>
      <c r="R1090" s="118" t="n"/>
      <c r="S1090" s="406" t="n"/>
      <c r="U1090" s="406" t="n"/>
      <c r="V1090" s="395" t="n"/>
      <c r="W1090" s="395" t="n"/>
      <c r="X1090" s="395" t="n"/>
      <c r="Y1090" s="395" t="n"/>
      <c r="Z1090" s="395" t="n"/>
      <c r="AA1090" s="395" t="n"/>
      <c r="AB1090" s="395" t="n"/>
      <c r="AC1090" s="395" t="n"/>
      <c r="AD1090" s="395" t="n"/>
      <c r="AE1090" s="395" t="n"/>
    </row>
    <row r="1091" ht="98" customHeight="1" s="380">
      <c r="A1091" s="73" t="n">
        <v>64</v>
      </c>
      <c r="B1091" s="386" t="n"/>
      <c r="C1091" s="386" t="inlineStr">
        <is>
          <t>Báo cáo theo Thông tư 121/2020/TT-BTC &gt;&gt; Báo cáo tình hình nhân sự Công ty chứng khoán (Trụ sở chính, chi nhánh, phòng giao dịch) - II.1. Trụ sở</t>
        </is>
      </c>
      <c r="D1091" s="386" t="inlineStr">
        <is>
          <t>Trụ sở chính &gt;&gt; Ban Giám đốc &gt;&gt; Số người có CCHN &gt;&gt; Trong kỳ</t>
        </is>
      </c>
      <c r="E1091" s="386" t="inlineStr">
        <is>
          <t>Trụ sở chính &gt;&gt; Ban Giám đốc &gt;&gt; Số người có CCHN &gt;&gt; Trong kỳ</t>
        </is>
      </c>
      <c r="F1091" s="386" t="inlineStr">
        <is>
          <t>Data Explorer</t>
        </is>
      </c>
      <c r="G1091" s="386" t="inlineStr">
        <is>
          <t>Chỉ tiêu cơ sở</t>
        </is>
      </c>
      <c r="H1091" s="386" t="inlineStr">
        <is>
          <t>TB</t>
        </is>
      </c>
      <c r="I1091" s="386" t="inlineStr">
        <is>
          <t>Ngày, CTCK</t>
        </is>
      </c>
      <c r="J1091" s="395" t="inlineStr">
        <is>
          <t>SCMS</t>
        </is>
      </c>
      <c r="K1091" s="395" t="n"/>
      <c r="L1091" s="395" t="inlineStr">
        <is>
          <t>X</t>
        </is>
      </c>
      <c r="M1091" s="395" t="n"/>
      <c r="N1091" s="395" t="inlineStr">
        <is>
          <t>Done</t>
        </is>
      </c>
      <c r="O1091" s="401" t="n"/>
      <c r="P1091" s="395" t="n"/>
      <c r="Q1091" s="118" t="inlineStr">
        <is>
          <t>Chung câu lệnh với chỉ tiêu "Trụ sở chính &gt;&gt; Ban Giám đốc &gt;&gt; Số người lao động &gt;&gt; Trong kỳ"</t>
        </is>
      </c>
      <c r="R1091" s="118" t="n"/>
      <c r="S1091" s="406" t="n"/>
      <c r="U1091" s="406" t="n"/>
      <c r="V1091" s="395" t="n"/>
      <c r="W1091" s="395" t="n"/>
      <c r="X1091" s="395" t="n"/>
      <c r="Y1091" s="395" t="n"/>
      <c r="Z1091" s="395" t="n"/>
      <c r="AA1091" s="395" t="n"/>
      <c r="AB1091" s="395" t="n"/>
      <c r="AC1091" s="395" t="n"/>
      <c r="AD1091" s="395" t="n"/>
      <c r="AE1091" s="395" t="n"/>
    </row>
    <row r="1092" ht="98" customHeight="1" s="380">
      <c r="A1092" s="73" t="n">
        <v>64</v>
      </c>
      <c r="B1092" s="386" t="n"/>
      <c r="C1092" s="386" t="inlineStr">
        <is>
          <t>Báo cáo theo Thông tư 121/2020/TT-BTC &gt;&gt; Báo cáo tình hình nhân sự Công ty chứng khoán (Trụ sở chính, chi nhánh, phòng giao dịch) - II.1. Trụ sở</t>
        </is>
      </c>
      <c r="D1092" s="386" t="inlineStr">
        <is>
          <t>Trụ sở chính &gt;&gt; Ban Giám đốc &gt;&gt; Số người có CCHN &gt;&gt; Tăng/Giảm</t>
        </is>
      </c>
      <c r="E1092" s="386" t="inlineStr">
        <is>
          <t>Trụ sở chính &gt;&gt; Ban Giám đốc &gt;&gt; Số người có CCHN &gt;&gt; Tăng/Giảm</t>
        </is>
      </c>
      <c r="F1092" s="386" t="inlineStr">
        <is>
          <t>Data Explorer</t>
        </is>
      </c>
      <c r="G1092" s="386" t="inlineStr">
        <is>
          <t>Chỉ tiêu cơ sở</t>
        </is>
      </c>
      <c r="H1092" s="386" t="inlineStr">
        <is>
          <t>TB</t>
        </is>
      </c>
      <c r="I1092" s="386" t="inlineStr">
        <is>
          <t>Ngày, CTCK</t>
        </is>
      </c>
      <c r="J1092" s="395" t="inlineStr">
        <is>
          <t>SCMS</t>
        </is>
      </c>
      <c r="K1092" s="395" t="n"/>
      <c r="L1092" s="395" t="inlineStr">
        <is>
          <t>X</t>
        </is>
      </c>
      <c r="M1092" s="395" t="n"/>
      <c r="N1092" s="395" t="inlineStr">
        <is>
          <t>Done</t>
        </is>
      </c>
      <c r="O1092" s="401" t="n"/>
      <c r="P1092" s="395" t="n"/>
      <c r="Q1092" s="118" t="inlineStr">
        <is>
          <t>Chung câu lệnh với chỉ tiêu "Trụ sở chính &gt;&gt; Ban Giám đốc &gt;&gt; Số người lao động &gt;&gt; Trong kỳ"</t>
        </is>
      </c>
      <c r="R1092" s="118" t="n"/>
      <c r="S1092" s="406" t="n"/>
      <c r="U1092" s="406" t="n"/>
      <c r="V1092" s="395" t="n"/>
      <c r="W1092" s="395" t="n"/>
      <c r="X1092" s="395" t="n"/>
      <c r="Y1092" s="395" t="n"/>
      <c r="Z1092" s="395" t="n"/>
      <c r="AA1092" s="395" t="n"/>
      <c r="AB1092" s="395" t="n"/>
      <c r="AC1092" s="395" t="n"/>
      <c r="AD1092" s="395" t="n"/>
      <c r="AE1092" s="395" t="n"/>
    </row>
    <row r="1093" ht="140" customHeight="1" s="380">
      <c r="A1093" s="73" t="n">
        <v>64</v>
      </c>
      <c r="B1093" s="386" t="n"/>
      <c r="C1093" s="386" t="inlineStr">
        <is>
          <t>Báo cáo theo Thông tư 121/2020/TT-BTC &gt;&gt; Báo cáo tình hình nhân sự Công ty chứng khoán (Trụ sở chính, chi nhánh, phòng giao dịch) - II.1. Trụ sở</t>
        </is>
      </c>
      <c r="D1093" s="386" t="inlineStr">
        <is>
          <t>Trụ sở chính &gt;&gt; Bộ phận môi giới &gt;&gt; Số người lao động &gt;&gt; Trong kỳ</t>
        </is>
      </c>
      <c r="E1093" s="386" t="inlineStr">
        <is>
          <t>Trụ sở chính &gt;&gt; Bộ phận môi giới &gt;&gt; Số người lao động &gt;&gt; Trong kỳ</t>
        </is>
      </c>
      <c r="F1093" s="386" t="inlineStr">
        <is>
          <t>Data Explorer</t>
        </is>
      </c>
      <c r="G1093" s="386" t="inlineStr">
        <is>
          <t>Chỉ tiêu cơ sở</t>
        </is>
      </c>
      <c r="H1093" s="386" t="inlineStr">
        <is>
          <t>TB</t>
        </is>
      </c>
      <c r="I1093" s="386" t="inlineStr">
        <is>
          <t>Ngày, CTCK</t>
        </is>
      </c>
      <c r="J1093" s="395" t="inlineStr">
        <is>
          <t>SCMS</t>
        </is>
      </c>
      <c r="K1093" s="395" t="n"/>
      <c r="L1093" s="395" t="inlineStr">
        <is>
          <t>X</t>
        </is>
      </c>
      <c r="M1093" s="395" t="n"/>
      <c r="N1093" s="395" t="inlineStr">
        <is>
          <t>Done</t>
        </is>
      </c>
      <c r="O1093" s="401" t="n"/>
      <c r="P1093" s="395" t="n"/>
      <c r="Q1093" s="118" t="inlineStr">
        <is>
          <t>SCMS.BC_THANH_VIEN
 SCMS.BC_BAO_CAO_GT
 SCMS.BM_BAO_CAO</t>
        </is>
      </c>
      <c r="R1093" s="118" t="inlineStr">
        <is>
          <t>gt.GIA_TRI, gt.TEN_HANG, gt.TEN_COT</t>
        </is>
      </c>
      <c r="S1093" s="406" t="inlineStr">
        <is>
          <t>bm.MA_BAO_CAO LIKE 'BCTHHDKD%'
 btv.TRANG_THAI IN (2, 3)
 gt.TEN_SHEET = N'THNS'
 gt.TEN_HANG = N'2.Bộ phận môi giới'</t>
        </is>
      </c>
      <c r="T1093" s="406" t="inlineStr">
        <is>
          <t>-- Nhóm: Bộ phận môi giới (4 chỉ tiêu lao động/CCHN – Trong kỳ và Tăng/Giảm)
 SELECT
  btv.ID AS bc_thanh_vien_id,
  btv.CTCK_THONG_TIN_ID,
  btv.NGAY_SO_LIEU,
  btv.TRANG_THAI,
  bm.MA_BAO_CAO,
  gt.TEN_SHEET,
  gt.TEN_HANG,
  MAX(CASE WHEN gt.TEN_COT = N'Số lượng người lao động: Trong kỳ' THEN gt.GIA_TRI END) AS so_ld_trong_ky,
  MAX(CASE WHEN gt.TEN_COT = N'Số lượng người lao động: Tăng/Giảm' THEN gt.GIA_TRI END) AS so_ld_tang_giam,
  MAX(CASE WHEN gt.TEN_COT = N'Số lượng người có chứng chỉ hành nghề: Trong kỳ' THEN gt.GIA_TRI END) AS so_cchn_trong_ky,
  MAX(CASE WHEN gt.TEN_COT = N'Số lượng người có chứng chỉ hành nghề: Tăng/Giảm' THEN gt.GIA_TRI END) AS so_cchn_tang_giam
 FROM SCMS.BC_THANH_VIEN btv
 JOIN SCMS.BM_BAO_CAO bm ON bm.ID = btv.BM_BAO_CAO_ID
 JOIN SCMS.BC_BAO_CAO_GT gt ON gt.BC_THANH_VIEN_ID = btv.ID
 WHERE bm.MA_BAO_CAO LIKE 'BCTHHDKD%'
  AND btv.TRANG_THAI IN (2, 3)
  AND gt.TEN_SHEET = N'THNS'
  AND gt.TEN_HANG = N'2.Bộ phận môi giới' -- Xác nhận lại TEN_HANG, nên dùng MA_HANG
 GROUP BY
  btv.ID, btv.CTCK_THONG_TIN_ID,
  btv.NGAY_SO_LIEU, btv.TRANG_THAI,
  bm.MA_BAO_CAO, gt.TEN_SHEET, gt.TEN_HANG;</t>
        </is>
      </c>
      <c r="U1093" s="406" t="inlineStr">
        <is>
          <t>Cần xác định lại TEN_HANG thực tế, nên dùng MA_HANG sau khi có dữ liệu</t>
        </is>
      </c>
      <c r="V1093" s="395" t="n"/>
      <c r="W1093" s="395" t="n"/>
      <c r="X1093" s="395" t="n"/>
      <c r="Y1093" s="36" t="n"/>
      <c r="Z1093" s="395" t="n"/>
      <c r="AA1093" s="395" t="n"/>
      <c r="AB1093" s="395" t="n"/>
      <c r="AC1093" s="395" t="n"/>
      <c r="AD1093" s="395" t="n"/>
      <c r="AE1093" s="395" t="n"/>
    </row>
    <row r="1094" ht="98" customHeight="1" s="380">
      <c r="A1094" s="73" t="n">
        <v>64</v>
      </c>
      <c r="B1094" s="386" t="n"/>
      <c r="C1094" s="386" t="inlineStr">
        <is>
          <t>Báo cáo theo Thông tư 121/2020/TT-BTC &gt;&gt; Báo cáo tình hình nhân sự Công ty chứng khoán (Trụ sở chính, chi nhánh, phòng giao dịch) - II.1. Trụ sở</t>
        </is>
      </c>
      <c r="D1094" s="386" t="inlineStr">
        <is>
          <t>Trụ sở chính &gt;&gt; Bộ phận môi giới &gt;&gt; Số người lao động &gt;&gt; Tăng/Giảm</t>
        </is>
      </c>
      <c r="E1094" s="386" t="inlineStr">
        <is>
          <t>Trụ sở chính &gt;&gt; Bộ phận môi giới &gt;&gt; Số người lao động &gt;&gt; Tăng/Giảm</t>
        </is>
      </c>
      <c r="F1094" s="386" t="inlineStr">
        <is>
          <t>Data Explorer</t>
        </is>
      </c>
      <c r="G1094" s="386" t="inlineStr">
        <is>
          <t>Chỉ tiêu cơ sở</t>
        </is>
      </c>
      <c r="H1094" s="386" t="inlineStr">
        <is>
          <t>TB</t>
        </is>
      </c>
      <c r="I1094" s="386" t="inlineStr">
        <is>
          <t>Ngày, CTCK</t>
        </is>
      </c>
      <c r="J1094" s="395" t="inlineStr">
        <is>
          <t>SCMS</t>
        </is>
      </c>
      <c r="K1094" s="395" t="n"/>
      <c r="L1094" s="395" t="inlineStr">
        <is>
          <t>X</t>
        </is>
      </c>
      <c r="M1094" s="395" t="n"/>
      <c r="N1094" s="395" t="inlineStr">
        <is>
          <t>Done</t>
        </is>
      </c>
      <c r="O1094" s="401" t="n"/>
      <c r="P1094" s="395" t="n"/>
      <c r="Q1094" s="118" t="inlineStr">
        <is>
          <t>Chung câu lệnh với chỉ tiêu "Trụ sở chính &gt;&gt; Bộ phận môi giới &gt;&gt; Số người lao động &gt;&gt; Trong kỳ"</t>
        </is>
      </c>
      <c r="R1094" s="118" t="n"/>
      <c r="S1094" s="406" t="n"/>
      <c r="U1094" s="406" t="n"/>
      <c r="V1094" s="395" t="n"/>
      <c r="W1094" s="395" t="n"/>
      <c r="X1094" s="395" t="n"/>
      <c r="Y1094" s="395" t="n"/>
      <c r="Z1094" s="395" t="n"/>
      <c r="AA1094" s="395" t="n"/>
      <c r="AB1094" s="395" t="n"/>
      <c r="AC1094" s="395" t="n"/>
      <c r="AD1094" s="395" t="n"/>
      <c r="AE1094" s="395" t="n"/>
    </row>
    <row r="1095" ht="98" customHeight="1" s="380">
      <c r="A1095" s="73" t="n">
        <v>64</v>
      </c>
      <c r="B1095" s="386" t="n"/>
      <c r="C1095" s="386" t="inlineStr">
        <is>
          <t>Báo cáo theo Thông tư 121/2020/TT-BTC &gt;&gt; Báo cáo tình hình nhân sự Công ty chứng khoán (Trụ sở chính, chi nhánh, phòng giao dịch) - II.1. Trụ sở</t>
        </is>
      </c>
      <c r="D1095" s="386" t="inlineStr">
        <is>
          <t>Trụ sở chính &gt;&gt; Bộ phận môi giới &gt;&gt; Số người có CCHN &gt;&gt; Trong kỳ</t>
        </is>
      </c>
      <c r="E1095" s="386" t="inlineStr">
        <is>
          <t>Trụ sở chính &gt;&gt; Bộ phận môi giới &gt;&gt; Số người có CCHN &gt;&gt; Trong kỳ</t>
        </is>
      </c>
      <c r="F1095" s="386" t="inlineStr">
        <is>
          <t>Data Explorer</t>
        </is>
      </c>
      <c r="G1095" s="386" t="inlineStr">
        <is>
          <t>Chỉ tiêu cơ sở</t>
        </is>
      </c>
      <c r="H1095" s="386" t="inlineStr">
        <is>
          <t>TB</t>
        </is>
      </c>
      <c r="I1095" s="386" t="inlineStr">
        <is>
          <t>Ngày, CTCK</t>
        </is>
      </c>
      <c r="J1095" s="395" t="inlineStr">
        <is>
          <t>SCMS</t>
        </is>
      </c>
      <c r="K1095" s="395" t="n"/>
      <c r="L1095" s="395" t="inlineStr">
        <is>
          <t>X</t>
        </is>
      </c>
      <c r="M1095" s="395" t="n"/>
      <c r="N1095" s="395" t="inlineStr">
        <is>
          <t>Done</t>
        </is>
      </c>
      <c r="O1095" s="401" t="n"/>
      <c r="P1095" s="395" t="n"/>
      <c r="Q1095" s="118" t="inlineStr">
        <is>
          <t>Chung câu lệnh với chỉ tiêu "Trụ sở chính &gt;&gt; Bộ phận môi giới &gt;&gt; Số người lao động &gt;&gt; Trong kỳ"</t>
        </is>
      </c>
      <c r="R1095" s="118" t="n"/>
      <c r="S1095" s="406" t="n"/>
      <c r="U1095" s="406" t="n"/>
      <c r="V1095" s="395" t="n"/>
      <c r="W1095" s="395" t="n"/>
      <c r="X1095" s="395" t="n"/>
      <c r="Y1095" s="36" t="n"/>
      <c r="Z1095" s="395" t="n"/>
      <c r="AA1095" s="395" t="n"/>
      <c r="AB1095" s="395" t="n"/>
      <c r="AC1095" s="395" t="n"/>
      <c r="AD1095" s="395" t="n"/>
      <c r="AE1095" s="395" t="n"/>
    </row>
    <row r="1096" ht="98" customHeight="1" s="380">
      <c r="A1096" s="73" t="n">
        <v>64</v>
      </c>
      <c r="B1096" s="386" t="n"/>
      <c r="C1096" s="386" t="inlineStr">
        <is>
          <t>Báo cáo theo Thông tư 121/2020/TT-BTC &gt;&gt; Báo cáo tình hình nhân sự Công ty chứng khoán (Trụ sở chính, chi nhánh, phòng giao dịch) - II.1. Trụ sở</t>
        </is>
      </c>
      <c r="D1096" s="386" t="inlineStr">
        <is>
          <t>Trụ sở chính &gt;&gt; Bộ phận môi giới &gt;&gt; Số người có CCHN &gt;&gt; Tăng/Giảm</t>
        </is>
      </c>
      <c r="E1096" s="386" t="inlineStr">
        <is>
          <t>Trụ sở chính &gt;&gt; Bộ phận môi giới &gt;&gt; Số người có CCHN &gt;&gt; Tăng/Giảm</t>
        </is>
      </c>
      <c r="F1096" s="386" t="inlineStr">
        <is>
          <t>Data Explorer</t>
        </is>
      </c>
      <c r="G1096" s="386" t="inlineStr">
        <is>
          <t>Chỉ tiêu cơ sở</t>
        </is>
      </c>
      <c r="H1096" s="386" t="inlineStr">
        <is>
          <t>TB</t>
        </is>
      </c>
      <c r="I1096" s="386" t="inlineStr">
        <is>
          <t>Ngày, CTCK</t>
        </is>
      </c>
      <c r="J1096" s="395" t="inlineStr">
        <is>
          <t>SCMS</t>
        </is>
      </c>
      <c r="K1096" s="395" t="n"/>
      <c r="L1096" s="395" t="inlineStr">
        <is>
          <t>X</t>
        </is>
      </c>
      <c r="M1096" s="395" t="n"/>
      <c r="N1096" s="395" t="inlineStr">
        <is>
          <t>Done</t>
        </is>
      </c>
      <c r="O1096" s="401" t="n"/>
      <c r="P1096" s="395" t="n"/>
      <c r="Q1096" s="118" t="inlineStr">
        <is>
          <t>Chung câu lệnh với chỉ tiêu "Trụ sở chính &gt;&gt; Bộ phận môi giới &gt;&gt; Số người lao động &gt;&gt; Trong kỳ"</t>
        </is>
      </c>
      <c r="R1096" s="118" t="n"/>
      <c r="S1096" s="406" t="n"/>
      <c r="U1096" s="406" t="n"/>
      <c r="V1096" s="395" t="n"/>
      <c r="W1096" s="395" t="n"/>
      <c r="X1096" s="395" t="n"/>
      <c r="Y1096" s="395" t="n"/>
      <c r="Z1096" s="395" t="n"/>
      <c r="AA1096" s="395" t="n"/>
      <c r="AB1096" s="395" t="n"/>
      <c r="AC1096" s="395" t="n"/>
      <c r="AD1096" s="395" t="n"/>
      <c r="AE1096" s="395" t="n"/>
    </row>
    <row r="1097" ht="140" customHeight="1" s="380">
      <c r="A1097" s="73" t="n">
        <v>64</v>
      </c>
      <c r="B1097" s="386" t="n"/>
      <c r="C1097" s="386" t="inlineStr">
        <is>
          <t>Báo cáo theo Thông tư 121/2020/TT-BTC &gt;&gt; Báo cáo tình hình nhân sự Công ty chứng khoán (Trụ sở chính, chi nhánh, phòng giao dịch) - II.1. Trụ sở</t>
        </is>
      </c>
      <c r="D1097" s="386" t="inlineStr">
        <is>
          <t>Trụ sở chính &gt;&gt; Bộ phận tự doanh &gt;&gt; Số người lao động &gt;&gt; Trong kỳ</t>
        </is>
      </c>
      <c r="E1097" s="386" t="inlineStr">
        <is>
          <t>Trụ sở chính &gt;&gt; Bộ phận tự doanh &gt;&gt; Số người lao động &gt;&gt; Trong kỳ</t>
        </is>
      </c>
      <c r="F1097" s="386" t="inlineStr">
        <is>
          <t>Data Explorer</t>
        </is>
      </c>
      <c r="G1097" s="386" t="inlineStr">
        <is>
          <t>Chỉ tiêu cơ sở</t>
        </is>
      </c>
      <c r="H1097" s="386" t="inlineStr">
        <is>
          <t>TB</t>
        </is>
      </c>
      <c r="I1097" s="386" t="inlineStr">
        <is>
          <t>Ngày, CTCK</t>
        </is>
      </c>
      <c r="J1097" s="395" t="inlineStr">
        <is>
          <t>SCMS</t>
        </is>
      </c>
      <c r="K1097" s="395" t="n"/>
      <c r="L1097" s="395" t="inlineStr">
        <is>
          <t>X</t>
        </is>
      </c>
      <c r="M1097" s="395" t="n"/>
      <c r="N1097" s="395" t="inlineStr">
        <is>
          <t>Done</t>
        </is>
      </c>
      <c r="O1097" s="401" t="n"/>
      <c r="P1097" s="395" t="n"/>
      <c r="Q1097" s="118" t="inlineStr">
        <is>
          <t>SCMS.BC_THANH_VIEN
 SCMS.BC_BAO_CAO_GT
 SCMS.BM_BAO_CAO</t>
        </is>
      </c>
      <c r="R1097" s="118" t="inlineStr">
        <is>
          <t>gt.GIA_TRI, gt.TEN_HANG, gt.TEN_COT</t>
        </is>
      </c>
      <c r="S1097" s="406" t="inlineStr">
        <is>
          <t>bm.MA_BAO_CAO LIKE 'BCTHHDKD%'
 btv.TRANG_THAI IN (2, 3)
 gt.TEN_SHEET = N'THNS'
 gt.TEN_HANG = N'3.Bộ phận tự doanh'</t>
        </is>
      </c>
      <c r="T1097" s="406" t="inlineStr">
        <is>
          <t>-- Nhóm: Bộ phận tự doanh (4 chỉ tiêu lao động/CCHN – Trong kỳ và Tăng/Giảm)
 SELECT
  btv.ID AS bc_thanh_vien_id,
  btv.CTCK_THONG_TIN_ID,
  btv.NGAY_SO_LIEU,
  btv.TRANG_THAI,
  bm.MA_BAO_CAO,
  gt.TEN_SHEET,
  gt.TEN_HANG,
  MAX(CASE WHEN gt.TEN_COT = N'Số lượng người lao động: Trong kỳ' THEN gt.GIA_TRI END) AS so_ld_trong_ky,
  MAX(CASE WHEN gt.TEN_COT = N'Số lượng người lao động: Tăng/Giảm' THEN gt.GIA_TRI END) AS so_ld_tang_giam,
  MAX(CASE WHEN gt.TEN_COT = N'Số lượng người có chứng chỉ hành nghề: Trong kỳ' THEN gt.GIA_TRI END) AS so_cchn_trong_ky,
  MAX(CASE WHEN gt.TEN_COT = N'Số lượng người có chứng chỉ hành nghề: Tăng/Giảm' THEN gt.GIA_TRI END) AS so_cchn_tang_giam
 FROM SCMS.BC_THANH_VIEN btv
 JOIN SCMS.BM_BAO_CAO bm ON bm.ID = btv.BM_BAO_CAO_ID
 JOIN SCMS.BC_BAO_CAO_GT gt ON gt.BC_THANH_VIEN_ID = btv.ID
 WHERE bm.MA_BAO_CAO LIKE 'BCTHHDKD%'
  AND btv.TRANG_THAI IN (2, 3)
  AND gt.TEN_SHEET = N'THNS'
  AND gt.TEN_HANG = N'3.Bộ phận tự doanh' -- Xác nhận lại TEN_HANG, nên dùng MA_HANG
 GROUP BY
  btv.ID, btv.CTCK_THONG_TIN_ID,
  btv.NGAY_SO_LIEU, btv.TRANG_THAI,
  bm.MA_BAO_CAO, gt.TEN_SHEET, gt.TEN_HANG;</t>
        </is>
      </c>
      <c r="U1097" s="406" t="inlineStr">
        <is>
          <t>Cần xác định lại TEN_HANG thực tế, nên dùng MA_HANG sau khi có dữ liệu</t>
        </is>
      </c>
      <c r="V1097" s="395" t="n"/>
      <c r="W1097" s="395" t="n"/>
      <c r="X1097" s="395" t="n"/>
      <c r="Y1097" s="395" t="n"/>
      <c r="Z1097" s="395" t="n"/>
      <c r="AA1097" s="395" t="n"/>
      <c r="AB1097" s="395" t="n"/>
      <c r="AC1097" s="395" t="n"/>
      <c r="AD1097" s="395" t="n"/>
      <c r="AE1097" s="395" t="n"/>
    </row>
    <row r="1098" ht="98" customHeight="1" s="380">
      <c r="A1098" s="73" t="n">
        <v>64</v>
      </c>
      <c r="B1098" s="386" t="n"/>
      <c r="C1098" s="386" t="inlineStr">
        <is>
          <t>Báo cáo theo Thông tư 121/2020/TT-BTC &gt;&gt; Báo cáo tình hình nhân sự Công ty chứng khoán (Trụ sở chính, chi nhánh, phòng giao dịch) - II.1. Trụ sở</t>
        </is>
      </c>
      <c r="D1098" s="386" t="inlineStr">
        <is>
          <t>Trụ sở chính &gt;&gt; Bộ phận tự doanh &gt;&gt; Số người lao động &gt;&gt; Tăng/Giảm</t>
        </is>
      </c>
      <c r="E1098" s="386" t="inlineStr">
        <is>
          <t>Trụ sở chính &gt;&gt; Bộ phận tự doanh &gt;&gt; Số người lao động &gt;&gt; Tăng/Giảm</t>
        </is>
      </c>
      <c r="F1098" s="386" t="inlineStr">
        <is>
          <t>Data Explorer</t>
        </is>
      </c>
      <c r="G1098" s="386" t="inlineStr">
        <is>
          <t>Chỉ tiêu cơ sở</t>
        </is>
      </c>
      <c r="H1098" s="386" t="inlineStr">
        <is>
          <t>TB</t>
        </is>
      </c>
      <c r="I1098" s="386" t="inlineStr">
        <is>
          <t>Ngày, CTCK</t>
        </is>
      </c>
      <c r="J1098" s="395" t="inlineStr">
        <is>
          <t>SCMS</t>
        </is>
      </c>
      <c r="K1098" s="395" t="n"/>
      <c r="L1098" s="395" t="inlineStr">
        <is>
          <t>X</t>
        </is>
      </c>
      <c r="M1098" s="395" t="n"/>
      <c r="N1098" s="395" t="inlineStr">
        <is>
          <t>Done</t>
        </is>
      </c>
      <c r="O1098" s="401" t="n"/>
      <c r="P1098" s="395" t="n"/>
      <c r="Q1098" s="118" t="inlineStr">
        <is>
          <t>Chung câu lệnh với chỉ tiêu "Trụ sở chính &gt;&gt; Bộ phận tự doanh &gt;&gt; Số người lao động &gt;&gt; Trong kỳ"</t>
        </is>
      </c>
      <c r="R1098" s="118" t="n"/>
      <c r="S1098" s="406" t="n"/>
      <c r="U1098" s="406" t="n"/>
      <c r="V1098" s="395" t="n"/>
      <c r="W1098" s="395" t="n"/>
      <c r="X1098" s="395" t="n"/>
      <c r="Y1098" s="395" t="n"/>
      <c r="Z1098" s="395" t="n"/>
      <c r="AA1098" s="395" t="n"/>
      <c r="AB1098" s="395" t="n"/>
      <c r="AC1098" s="395" t="n"/>
      <c r="AD1098" s="395" t="n"/>
      <c r="AE1098" s="395" t="n"/>
    </row>
    <row r="1099" ht="98" customHeight="1" s="380">
      <c r="A1099" s="73" t="n">
        <v>64</v>
      </c>
      <c r="B1099" s="386" t="n"/>
      <c r="C1099" s="386" t="inlineStr">
        <is>
          <t>Báo cáo theo Thông tư 121/2020/TT-BTC &gt;&gt; Báo cáo tình hình nhân sự Công ty chứng khoán (Trụ sở chính, chi nhánh, phòng giao dịch) - II.1. Trụ sở</t>
        </is>
      </c>
      <c r="D1099" s="386" t="inlineStr">
        <is>
          <t>Trụ sở chính &gt;&gt; Bộ phận tự doanh &gt;&gt; Số người có CCHN &gt;&gt; Trong kỳ</t>
        </is>
      </c>
      <c r="E1099" s="386" t="inlineStr">
        <is>
          <t>Trụ sở chính &gt;&gt; Bộ phận tự doanh &gt;&gt; Số người có CCHN &gt;&gt; Trong kỳ</t>
        </is>
      </c>
      <c r="F1099" s="386" t="inlineStr">
        <is>
          <t>Data Explorer</t>
        </is>
      </c>
      <c r="G1099" s="386" t="inlineStr">
        <is>
          <t>Chỉ tiêu cơ sở</t>
        </is>
      </c>
      <c r="H1099" s="386" t="inlineStr">
        <is>
          <t>TB</t>
        </is>
      </c>
      <c r="I1099" s="386" t="inlineStr">
        <is>
          <t>Ngày, CTCK</t>
        </is>
      </c>
      <c r="J1099" s="395" t="inlineStr">
        <is>
          <t>SCMS</t>
        </is>
      </c>
      <c r="K1099" s="395" t="n"/>
      <c r="L1099" s="395" t="inlineStr">
        <is>
          <t>X</t>
        </is>
      </c>
      <c r="M1099" s="395" t="n"/>
      <c r="N1099" s="395" t="inlineStr">
        <is>
          <t>Done</t>
        </is>
      </c>
      <c r="O1099" s="401" t="n"/>
      <c r="P1099" s="395" t="n"/>
      <c r="Q1099" s="118" t="inlineStr">
        <is>
          <t>Chung câu lệnh với chỉ tiêu "Trụ sở chính &gt;&gt; Bộ phận tự doanh &gt;&gt; Số người lao động &gt;&gt; Trong kỳ"</t>
        </is>
      </c>
      <c r="R1099" s="118" t="n"/>
      <c r="S1099" s="406" t="n"/>
      <c r="U1099" s="406" t="n"/>
      <c r="V1099" s="395" t="n"/>
      <c r="W1099" s="395" t="n"/>
      <c r="X1099" s="395" t="n"/>
      <c r="Y1099" s="395" t="n"/>
      <c r="Z1099" s="395" t="n"/>
      <c r="AA1099" s="395" t="n"/>
      <c r="AB1099" s="395" t="n"/>
      <c r="AC1099" s="395" t="n"/>
      <c r="AD1099" s="395" t="n"/>
      <c r="AE1099" s="395" t="n"/>
    </row>
    <row r="1100" ht="98" customHeight="1" s="380">
      <c r="A1100" s="73" t="n">
        <v>64</v>
      </c>
      <c r="B1100" s="386" t="n"/>
      <c r="C1100" s="386" t="inlineStr">
        <is>
          <t>Báo cáo theo Thông tư 121/2020/TT-BTC &gt;&gt; Báo cáo tình hình nhân sự Công ty chứng khoán (Trụ sở chính, chi nhánh, phòng giao dịch) - II.1. Trụ sở</t>
        </is>
      </c>
      <c r="D1100" s="386" t="inlineStr">
        <is>
          <t>Trụ sở chính &gt;&gt; Bộ phận tự doanh &gt;&gt; Số người có CCHN &gt;&gt; Tăng/Giảm</t>
        </is>
      </c>
      <c r="E1100" s="386" t="inlineStr">
        <is>
          <t>Trụ sở chính &gt;&gt; Bộ phận tự doanh &gt;&gt; Số người có CCHN &gt;&gt; Tăng/Giảm</t>
        </is>
      </c>
      <c r="F1100" s="386" t="inlineStr">
        <is>
          <t>Data Explorer</t>
        </is>
      </c>
      <c r="G1100" s="386" t="inlineStr">
        <is>
          <t>Chỉ tiêu cơ sở</t>
        </is>
      </c>
      <c r="H1100" s="386" t="inlineStr">
        <is>
          <t>TB</t>
        </is>
      </c>
      <c r="I1100" s="386" t="inlineStr">
        <is>
          <t>Ngày, CTCK</t>
        </is>
      </c>
      <c r="J1100" s="395" t="inlineStr">
        <is>
          <t>SCMS</t>
        </is>
      </c>
      <c r="K1100" s="395" t="n"/>
      <c r="L1100" s="395" t="inlineStr">
        <is>
          <t>X</t>
        </is>
      </c>
      <c r="M1100" s="395" t="n"/>
      <c r="N1100" s="395" t="inlineStr">
        <is>
          <t>Done</t>
        </is>
      </c>
      <c r="O1100" s="401" t="n"/>
      <c r="P1100" s="395" t="n"/>
      <c r="Q1100" s="118" t="inlineStr">
        <is>
          <t>Chung câu lệnh với chỉ tiêu "Trụ sở chính &gt;&gt; Bộ phận tự doanh &gt;&gt; Số người lao động &gt;&gt; Trong kỳ"</t>
        </is>
      </c>
      <c r="R1100" s="118" t="n"/>
      <c r="S1100" s="406" t="n"/>
      <c r="U1100" s="406" t="n"/>
      <c r="V1100" s="395" t="n"/>
      <c r="W1100" s="395" t="n"/>
      <c r="X1100" s="395" t="n"/>
      <c r="Y1100" s="36" t="n"/>
      <c r="Z1100" s="395" t="n"/>
      <c r="AA1100" s="395" t="n"/>
      <c r="AB1100" s="395" t="n"/>
      <c r="AC1100" s="395" t="n"/>
      <c r="AD1100" s="395" t="n"/>
      <c r="AE1100" s="395" t="n"/>
    </row>
    <row r="1101" ht="140" customHeight="1" s="380">
      <c r="A1101" s="73" t="n">
        <v>64</v>
      </c>
      <c r="B1101" s="386" t="n"/>
      <c r="C1101" s="386" t="inlineStr">
        <is>
          <t>Báo cáo theo Thông tư 121/2020/TT-BTC &gt;&gt; Báo cáo tình hình nhân sự Công ty chứng khoán (Trụ sở chính, chi nhánh, phòng giao dịch) - II.1. Trụ sở</t>
        </is>
      </c>
      <c r="D1101" s="386" t="inlineStr">
        <is>
          <t>Trụ sở chính &gt;&gt; Bộ phận bảo lãnh phát hành &gt;&gt; Số người lao động &gt;&gt; Trong kỳ</t>
        </is>
      </c>
      <c r="E1101" s="386" t="inlineStr">
        <is>
          <t>Trụ sở chính &gt;&gt; Bộ phận bảo lãnh phát hành &gt;&gt; Số người lao động &gt;&gt; Trong kỳ</t>
        </is>
      </c>
      <c r="F1101" s="386" t="inlineStr">
        <is>
          <t>Data Explorer</t>
        </is>
      </c>
      <c r="G1101" s="386" t="inlineStr">
        <is>
          <t>Chỉ tiêu cơ sở</t>
        </is>
      </c>
      <c r="H1101" s="386" t="inlineStr">
        <is>
          <t>TB</t>
        </is>
      </c>
      <c r="I1101" s="386" t="inlineStr">
        <is>
          <t>Ngày, CTCK</t>
        </is>
      </c>
      <c r="J1101" s="395" t="inlineStr">
        <is>
          <t>SCMS</t>
        </is>
      </c>
      <c r="K1101" s="395" t="n"/>
      <c r="L1101" s="395" t="inlineStr">
        <is>
          <t>X</t>
        </is>
      </c>
      <c r="M1101" s="395" t="n"/>
      <c r="N1101" s="395" t="inlineStr">
        <is>
          <t>Done</t>
        </is>
      </c>
      <c r="O1101" s="401" t="n"/>
      <c r="P1101" s="395" t="n"/>
      <c r="Q1101" s="118" t="inlineStr">
        <is>
          <t>SCMS.BC_THANH_VIEN
 SCMS.BC_BAO_CAO_GT
 SCMS.BM_BAO_CAO</t>
        </is>
      </c>
      <c r="R1101" s="118" t="inlineStr">
        <is>
          <t>gt.GIA_TRI, gt.TEN_HANG, gt.TEN_COT</t>
        </is>
      </c>
      <c r="S1101" s="406" t="inlineStr">
        <is>
          <t>bm.MA_BAO_CAO LIKE 'BCTHHDKD%'
 btv.TRANG_THAI IN (2, 3)
 gt.TEN_SHEET = N'THNS'
 gt.TEN_HANG = N'4.Bộ phận bảo lãnh phát hành'</t>
        </is>
      </c>
      <c r="T1101" s="385" t="inlineStr">
        <is>
          <t>-- Nhóm: Bộ phận bảo lãnh phát hành (4 chỉ tiêu lao động/CCHN – Trong kỳ và Tăng/Giảm)
 SELECT
  btv.ID AS bc_thanh_vien_id,
  btv.CTCK_THONG_TIN_ID,
  btv.NGAY_SO_LIEU,
  btv.TRANG_THAI,
  bm.MA_BAO_CAO,
  gt.TEN_SHEET,
  gt.TEN_HANG,
  MAX(CASE WHEN gt.TEN_COT = N'Số lượng người lao động: Trong kỳ' THEN gt.GIA_TRI END) AS so_ld_trong_ky,
  MAX(CASE WHEN gt.TEN_COT = N'Số lượng người lao động: Tăng/Giảm' THEN gt.GIA_TRI END) AS so_ld_tang_giam,
  MAX(CASE WHEN gt.TEN_COT = N'Số lượng người có chứng chỉ hành nghề: Trong kỳ' THEN gt.GIA_TRI END) AS so_cchn_trong_ky,
  MAX(CASE WHEN gt.TEN_COT = N'Số lượng người có chứng chỉ hành nghề: Tăng/Giảm' THEN gt.GIA_TRI END) AS so_cchn_tang_giam
 FROM SCMS.BC_THANH_VIEN btv
 JOIN SCMS.BM_BAO_CAO bm ON bm.ID = btv.BM_BAO_CAO_ID
 JOIN SCMS.BC_BAO_CAO_GT gt ON gt.BC_THANH_VIEN_ID = btv.ID
 WHERE bm.MA_BAO_CAO LIKE 'BCTHHDKD%'
  AND btv.TRANG_THAI IN (2, 3)
  AND gt.TEN_SHEET = N'THNS'
  AND gt.TEN_HANG = N'4.Bộ phận bảo lãnh phát hành' -- Xác nhận lại TEN_HANG, nên dùng MA_HANG
 GROUP BY
  btv.ID, btv.CTCK_THONG_TIN_ID,
  btv.NGAY_SO_LIEU, btv.TRANG_THAI,
  bm.MA_BAO_CAO, gt.TEN_SHEET, gt.TEN_HANG;</t>
        </is>
      </c>
      <c r="U1101" s="406" t="inlineStr">
        <is>
          <t>Cần xác định lại TEN_HANG thực tế, nên dùng MA_HANG sau khi có dữ liệu</t>
        </is>
      </c>
      <c r="V1101" s="395" t="n"/>
      <c r="W1101" s="395" t="n"/>
      <c r="X1101" s="395" t="n"/>
      <c r="Y1101" s="37" t="n"/>
      <c r="Z1101" s="395" t="n"/>
      <c r="AA1101" s="395" t="n"/>
      <c r="AB1101" s="395" t="n"/>
      <c r="AC1101" s="395" t="n"/>
      <c r="AD1101" s="395" t="n"/>
      <c r="AE1101" s="395" t="n"/>
    </row>
    <row r="1102" ht="98" customHeight="1" s="380">
      <c r="A1102" s="73" t="n">
        <v>64</v>
      </c>
      <c r="B1102" s="386" t="n"/>
      <c r="C1102" s="386" t="inlineStr">
        <is>
          <t>Báo cáo theo Thông tư 121/2020/TT-BTC &gt;&gt; Báo cáo tình hình nhân sự Công ty chứng khoán (Trụ sở chính, chi nhánh, phòng giao dịch) - II.1. Trụ sở</t>
        </is>
      </c>
      <c r="D1102" s="386" t="inlineStr">
        <is>
          <t>Trụ sở chính &gt;&gt; Bộ phận bảo lãnh phát hành &gt;&gt; Số người lao động &gt;&gt; Tăng/Giảm</t>
        </is>
      </c>
      <c r="E1102" s="386" t="inlineStr">
        <is>
          <t>Trụ sở chính &gt;&gt; Bộ phận bảo lãnh phát hành &gt;&gt; Số người lao động &gt;&gt; Tăng/Giảm</t>
        </is>
      </c>
      <c r="F1102" s="386" t="inlineStr">
        <is>
          <t>Data Explorer</t>
        </is>
      </c>
      <c r="G1102" s="386" t="inlineStr">
        <is>
          <t>Chỉ tiêu cơ sở</t>
        </is>
      </c>
      <c r="H1102" s="386" t="inlineStr">
        <is>
          <t>TB</t>
        </is>
      </c>
      <c r="I1102" s="386" t="inlineStr">
        <is>
          <t>Ngày, CTCK</t>
        </is>
      </c>
      <c r="J1102" s="395" t="inlineStr">
        <is>
          <t>SCMS</t>
        </is>
      </c>
      <c r="K1102" s="395" t="n"/>
      <c r="L1102" s="395" t="inlineStr">
        <is>
          <t>X</t>
        </is>
      </c>
      <c r="M1102" s="395" t="n"/>
      <c r="N1102" s="395" t="inlineStr">
        <is>
          <t>Done</t>
        </is>
      </c>
      <c r="O1102" s="401" t="n"/>
      <c r="P1102" s="395" t="n"/>
      <c r="Q1102" s="118" t="inlineStr">
        <is>
          <t>Chung câu lệnh với chỉ tiêu "Trụ sở chính &gt;&gt; Bộ phận bảo lãnh phát hành &gt;&gt; Số người lao động &gt;&gt; Trong kỳ"</t>
        </is>
      </c>
      <c r="R1102" s="118" t="n"/>
      <c r="S1102" s="406" t="n"/>
      <c r="U1102" s="406" t="n"/>
      <c r="V1102" s="395" t="n"/>
      <c r="W1102" s="395" t="n"/>
      <c r="X1102" s="395" t="n"/>
      <c r="Y1102" s="395" t="n"/>
      <c r="Z1102" s="395" t="n"/>
      <c r="AA1102" s="395" t="n"/>
      <c r="AB1102" s="395" t="n"/>
      <c r="AC1102" s="395" t="n"/>
      <c r="AD1102" s="395" t="n"/>
      <c r="AE1102" s="395" t="n"/>
    </row>
    <row r="1103" ht="98" customHeight="1" s="380">
      <c r="A1103" s="73" t="n">
        <v>64</v>
      </c>
      <c r="B1103" s="386" t="n"/>
      <c r="C1103" s="386" t="inlineStr">
        <is>
          <t>Báo cáo theo Thông tư 121/2020/TT-BTC &gt;&gt; Báo cáo tình hình nhân sự Công ty chứng khoán (Trụ sở chính, chi nhánh, phòng giao dịch) - II.1. Trụ sở</t>
        </is>
      </c>
      <c r="D1103" s="386" t="inlineStr">
        <is>
          <t>Trụ sở chính &gt;&gt; Bộ phận bảo lãnh phát hành &gt;&gt; Số người có CCHN &gt;&gt; Trong kỳ</t>
        </is>
      </c>
      <c r="E1103" s="386" t="inlineStr">
        <is>
          <t>Trụ sở chính &gt;&gt; Bộ phận bảo lãnh phát hành &gt;&gt; Số người có CCHN &gt;&gt; Trong kỳ</t>
        </is>
      </c>
      <c r="F1103" s="386" t="inlineStr">
        <is>
          <t>Data Explorer</t>
        </is>
      </c>
      <c r="G1103" s="386" t="inlineStr">
        <is>
          <t>Chỉ tiêu cơ sở</t>
        </is>
      </c>
      <c r="H1103" s="386" t="inlineStr">
        <is>
          <t>TB</t>
        </is>
      </c>
      <c r="I1103" s="386" t="inlineStr">
        <is>
          <t>Ngày, CTCK</t>
        </is>
      </c>
      <c r="J1103" s="395" t="inlineStr">
        <is>
          <t>SCMS</t>
        </is>
      </c>
      <c r="K1103" s="395" t="n"/>
      <c r="L1103" s="395" t="inlineStr">
        <is>
          <t>X</t>
        </is>
      </c>
      <c r="M1103" s="395" t="n"/>
      <c r="N1103" s="395" t="inlineStr">
        <is>
          <t>Done</t>
        </is>
      </c>
      <c r="O1103" s="401" t="n"/>
      <c r="P1103" s="395" t="n"/>
      <c r="Q1103" s="118" t="inlineStr">
        <is>
          <t>Chung câu lệnh với chỉ tiêu "Trụ sở chính &gt;&gt; Bộ phận bảo lãnh phát hành &gt;&gt; Số người lao động &gt;&gt; Trong kỳ"</t>
        </is>
      </c>
      <c r="R1103" s="118" t="n"/>
      <c r="S1103" s="406" t="n"/>
      <c r="U1103" s="406" t="n"/>
      <c r="V1103" s="395" t="n"/>
      <c r="W1103" s="395" t="n"/>
      <c r="X1103" s="395" t="n"/>
      <c r="Y1103" s="395" t="n"/>
      <c r="Z1103" s="395" t="n"/>
      <c r="AA1103" s="395" t="n"/>
      <c r="AB1103" s="395" t="n"/>
      <c r="AC1103" s="395" t="n"/>
      <c r="AD1103" s="395" t="n"/>
      <c r="AE1103" s="395" t="n"/>
    </row>
    <row r="1104" ht="98" customHeight="1" s="380">
      <c r="A1104" s="73" t="n">
        <v>64</v>
      </c>
      <c r="B1104" s="386" t="n"/>
      <c r="C1104" s="386" t="inlineStr">
        <is>
          <t>Báo cáo theo Thông tư 121/2020/TT-BTC &gt;&gt; Báo cáo tình hình nhân sự Công ty chứng khoán (Trụ sở chính, chi nhánh, phòng giao dịch) - II.1. Trụ sở</t>
        </is>
      </c>
      <c r="D1104" s="386" t="inlineStr">
        <is>
          <t>Trụ sở chính &gt;&gt; Bộ phận bảo lãnh phát hành &gt;&gt; Số người có CCHN &gt;&gt; Tăng/Giảm</t>
        </is>
      </c>
      <c r="E1104" s="386" t="inlineStr">
        <is>
          <t>Trụ sở chính &gt;&gt; Bộ phận bảo lãnh phát hành &gt;&gt; Số người có CCHN &gt;&gt; Tăng/Giảm</t>
        </is>
      </c>
      <c r="F1104" s="386" t="inlineStr">
        <is>
          <t>Data Explorer</t>
        </is>
      </c>
      <c r="G1104" s="386" t="inlineStr">
        <is>
          <t>Chỉ tiêu cơ sở</t>
        </is>
      </c>
      <c r="H1104" s="386" t="inlineStr">
        <is>
          <t>TB</t>
        </is>
      </c>
      <c r="I1104" s="386" t="inlineStr">
        <is>
          <t>Ngày, CTCK</t>
        </is>
      </c>
      <c r="J1104" s="395" t="inlineStr">
        <is>
          <t>SCMS</t>
        </is>
      </c>
      <c r="K1104" s="395" t="n"/>
      <c r="L1104" s="395" t="inlineStr">
        <is>
          <t>X</t>
        </is>
      </c>
      <c r="M1104" s="395" t="n"/>
      <c r="N1104" s="395" t="inlineStr">
        <is>
          <t>Done</t>
        </is>
      </c>
      <c r="O1104" s="401" t="n"/>
      <c r="P1104" s="395" t="n"/>
      <c r="Q1104" s="118" t="inlineStr">
        <is>
          <t>Chung câu lệnh với chỉ tiêu "Trụ sở chính &gt;&gt; Bộ phận bảo lãnh phát hành &gt;&gt; Số người lao động &gt;&gt; Trong kỳ"</t>
        </is>
      </c>
      <c r="R1104" s="118" t="n"/>
      <c r="S1104" s="406" t="n"/>
      <c r="U1104" s="406" t="n"/>
      <c r="V1104" s="395" t="n"/>
      <c r="W1104" s="395" t="n"/>
      <c r="X1104" s="395" t="n"/>
      <c r="Y1104" s="395" t="n"/>
      <c r="Z1104" s="395" t="n"/>
      <c r="AA1104" s="395" t="n"/>
      <c r="AB1104" s="395" t="n"/>
      <c r="AC1104" s="395" t="n"/>
      <c r="AD1104" s="395" t="n"/>
      <c r="AE1104" s="395" t="n"/>
    </row>
    <row r="1105" ht="140" customHeight="1" s="380">
      <c r="A1105" s="73" t="n">
        <v>64</v>
      </c>
      <c r="B1105" s="386" t="n"/>
      <c r="C1105" s="386" t="inlineStr">
        <is>
          <t>Báo cáo theo Thông tư 121/2020/TT-BTC &gt;&gt; Báo cáo tình hình nhân sự Công ty chứng khoán (Trụ sở chính, chi nhánh, phòng giao dịch) - II.1. Trụ sở</t>
        </is>
      </c>
      <c r="D1105" s="386" t="inlineStr">
        <is>
          <t>Trụ sở chính &gt;&gt; Bộ phận tư vấn đầu tư &gt;&gt; Số người lao động &gt;&gt; Trong kỳ</t>
        </is>
      </c>
      <c r="E1105" s="386" t="inlineStr">
        <is>
          <t>Trụ sở chính &gt;&gt; Bộ phận tư vấn đầu tư &gt;&gt; Số người lao động &gt;&gt; Trong kỳ</t>
        </is>
      </c>
      <c r="F1105" s="386" t="inlineStr">
        <is>
          <t>Data Explorer</t>
        </is>
      </c>
      <c r="G1105" s="386" t="inlineStr">
        <is>
          <t>Chỉ tiêu cơ sở</t>
        </is>
      </c>
      <c r="H1105" s="386" t="inlineStr">
        <is>
          <t>TB</t>
        </is>
      </c>
      <c r="I1105" s="386" t="inlineStr">
        <is>
          <t>Ngày, CTCK</t>
        </is>
      </c>
      <c r="J1105" s="395" t="inlineStr">
        <is>
          <t>SCMS</t>
        </is>
      </c>
      <c r="K1105" s="395" t="n"/>
      <c r="L1105" s="395" t="inlineStr">
        <is>
          <t>X</t>
        </is>
      </c>
      <c r="M1105" s="395" t="n"/>
      <c r="N1105" s="395" t="inlineStr">
        <is>
          <t>Done</t>
        </is>
      </c>
      <c r="O1105" s="401" t="n"/>
      <c r="P1105" s="395" t="n"/>
      <c r="Q1105" s="118" t="inlineStr">
        <is>
          <t>SCMS.BC_THANH_VIEN
 SCMS.BC_BAO_CAO_GT
 SCMS.BM_BAO_CAO</t>
        </is>
      </c>
      <c r="R1105" s="118" t="inlineStr">
        <is>
          <t>gt.GIA_TRI, gt.TEN_HANG, gt.TEN_COT</t>
        </is>
      </c>
      <c r="S1105" s="406" t="inlineStr">
        <is>
          <t>bm.MA_BAO_CAO LIKE 'BCTHHDKD%'
 btv.TRANG_THAI IN (2, 3)
 gt.TEN_SHEET = N'THNS'
 gt.TEN_HANG = N'5.Bộ phận tư vấn đầu tư'</t>
        </is>
      </c>
      <c r="T1105" s="385" t="inlineStr">
        <is>
          <t>-- Nhóm: Bộ phận tư vấn đầu tư (4 chỉ tiêu lao động/CCHN – Trong kỳ và Tăng/Giảm)
 SELECT
  btv.ID AS bc_thanh_vien_id,
  btv.CTCK_THONG_TIN_ID,
  btv.NGAY_SO_LIEU,
  btv.TRANG_THAI,
  bm.MA_BAO_CAO,
  gt.TEN_SHEET,
  gt.TEN_HANG,
  MAX(CASE WHEN gt.TEN_COT = N'Số lượng người lao động: Trong kỳ' THEN gt.GIA_TRI END) AS so_ld_trong_ky,
  MAX(CASE WHEN gt.TEN_COT = N'Số lượng người lao động: Tăng/Giảm' THEN gt.GIA_TRI END) AS so_ld_tang_giam,
  MAX(CASE WHEN gt.TEN_COT = N'Số lượng người có chứng chỉ hành nghề: Trong kỳ' THEN gt.GIA_TRI END) AS so_cchn_trong_ky,
  MAX(CASE WHEN gt.TEN_COT = N'Số lượng người có chứng chỉ hành nghề: Tăng/Giảm' THEN gt.GIA_TRI END) AS so_cchn_tang_giam
 FROM SCMS.BC_THANH_VIEN btv
 JOIN SCMS.BM_BAO_CAO bm ON bm.ID = btv.BM_BAO_CAO_ID
 JOIN SCMS.BC_BAO_CAO_GT gt ON gt.BC_THANH_VIEN_ID = btv.ID
 WHERE bm.MA_BAO_CAO LIKE 'BCTHHDKD%'
  AND btv.TRANG_THAI IN (2, 3)
  AND gt.TEN_SHEET = N'THNS'
  AND gt.TEN_HANG = N'5.Bộ phận tư vấn đầu tư' -- Xác nhận lại TEN_HANG, nên dùng MA_HANG
 GROUP BY
  btv.ID, btv.CTCK_THONG_TIN_ID,
  btv.NGAY_SO_LIEU, btv.TRANG_THAI,
  bm.MA_BAO_CAO, gt.TEN_SHEET, gt.TEN_HANG;</t>
        </is>
      </c>
      <c r="U1105" s="406" t="inlineStr">
        <is>
          <t>Cần xác định lại TEN_HANG thực tế, nên dùng MA_HANG sau khi có dữ liệu</t>
        </is>
      </c>
      <c r="V1105" s="395" t="n"/>
      <c r="W1105" s="395" t="n"/>
      <c r="X1105" s="395" t="n"/>
      <c r="Y1105" s="395" t="n"/>
      <c r="Z1105" s="395" t="n"/>
      <c r="AA1105" s="395" t="n"/>
      <c r="AB1105" s="395" t="n"/>
      <c r="AC1105" s="395" t="n"/>
      <c r="AD1105" s="395" t="n"/>
      <c r="AE1105" s="395" t="n"/>
    </row>
    <row r="1106" ht="98" customHeight="1" s="380">
      <c r="A1106" s="73" t="n">
        <v>64</v>
      </c>
      <c r="B1106" s="386" t="n"/>
      <c r="C1106" s="386" t="inlineStr">
        <is>
          <t>Báo cáo theo Thông tư 121/2020/TT-BTC &gt;&gt; Báo cáo tình hình nhân sự Công ty chứng khoán (Trụ sở chính, chi nhánh, phòng giao dịch) - II.1. Trụ sở</t>
        </is>
      </c>
      <c r="D1106" s="386" t="inlineStr">
        <is>
          <t>Trụ sở chính &gt;&gt; Bộ phận tư vấn đầu tư &gt;&gt; Số người lao động &gt;&gt; Tăng/Giảm</t>
        </is>
      </c>
      <c r="E1106" s="386" t="inlineStr">
        <is>
          <t>Trụ sở chính &gt;&gt; Bộ phận tư vấn đầu tư &gt;&gt; Số người lao động &gt;&gt; Tăng/Giảm</t>
        </is>
      </c>
      <c r="F1106" s="386" t="inlineStr">
        <is>
          <t>Data Explorer</t>
        </is>
      </c>
      <c r="G1106" s="386" t="inlineStr">
        <is>
          <t>Chỉ tiêu cơ sở</t>
        </is>
      </c>
      <c r="H1106" s="386" t="inlineStr">
        <is>
          <t>TB</t>
        </is>
      </c>
      <c r="I1106" s="386" t="inlineStr">
        <is>
          <t>Ngày, CTCK</t>
        </is>
      </c>
      <c r="J1106" s="395" t="inlineStr">
        <is>
          <t>SCMS</t>
        </is>
      </c>
      <c r="K1106" s="395" t="n"/>
      <c r="L1106" s="395" t="inlineStr">
        <is>
          <t>X</t>
        </is>
      </c>
      <c r="M1106" s="395" t="n"/>
      <c r="N1106" s="395" t="inlineStr">
        <is>
          <t>Done</t>
        </is>
      </c>
      <c r="O1106" s="401" t="n"/>
      <c r="P1106" s="395" t="n"/>
      <c r="Q1106" s="118" t="inlineStr">
        <is>
          <t>Chung câu lệnh với chỉ tiêu "Trụ sở chính &gt;&gt; Bộ phận tư vấn đầu tư &gt;&gt; Số người lao động &gt;&gt; Trong kỳ"</t>
        </is>
      </c>
      <c r="R1106" s="118" t="n"/>
      <c r="S1106" s="406" t="n"/>
      <c r="U1106" s="406" t="n"/>
      <c r="V1106" s="395" t="n"/>
      <c r="W1106" s="395" t="n"/>
      <c r="X1106" s="395" t="n"/>
      <c r="Y1106" s="36" t="n"/>
      <c r="Z1106" s="395" t="n"/>
      <c r="AA1106" s="395" t="n"/>
      <c r="AB1106" s="395" t="n"/>
      <c r="AC1106" s="395" t="n"/>
      <c r="AD1106" s="395" t="n"/>
      <c r="AE1106" s="395" t="n"/>
    </row>
    <row r="1107" ht="98" customHeight="1" s="380">
      <c r="A1107" s="73" t="n">
        <v>64</v>
      </c>
      <c r="B1107" s="386" t="n"/>
      <c r="C1107" s="386" t="inlineStr">
        <is>
          <t>Báo cáo theo Thông tư 121/2020/TT-BTC &gt;&gt; Báo cáo tình hình nhân sự Công ty chứng khoán (Trụ sở chính, chi nhánh, phòng giao dịch) - II.1. Trụ sở</t>
        </is>
      </c>
      <c r="D1107" s="386" t="inlineStr">
        <is>
          <t>Trụ sở chính &gt;&gt; Bộ phận tư vấn đầu tư &gt;&gt; Số người có CCHN &gt;&gt; Trong kỳ</t>
        </is>
      </c>
      <c r="E1107" s="386" t="inlineStr">
        <is>
          <t>Trụ sở chính &gt;&gt; Bộ phận tư vấn đầu tư &gt;&gt; Số người có CCHN &gt;&gt; Trong kỳ</t>
        </is>
      </c>
      <c r="F1107" s="386" t="inlineStr">
        <is>
          <t>Data Explorer</t>
        </is>
      </c>
      <c r="G1107" s="386" t="inlineStr">
        <is>
          <t>Chỉ tiêu cơ sở</t>
        </is>
      </c>
      <c r="H1107" s="386" t="inlineStr">
        <is>
          <t>TB</t>
        </is>
      </c>
      <c r="I1107" s="386" t="inlineStr">
        <is>
          <t>Ngày, CTCK</t>
        </is>
      </c>
      <c r="J1107" s="395" t="inlineStr">
        <is>
          <t>SCMS</t>
        </is>
      </c>
      <c r="K1107" s="395" t="n"/>
      <c r="L1107" s="395" t="inlineStr">
        <is>
          <t>X</t>
        </is>
      </c>
      <c r="M1107" s="395" t="n"/>
      <c r="N1107" s="395" t="inlineStr">
        <is>
          <t>Done</t>
        </is>
      </c>
      <c r="O1107" s="401" t="n"/>
      <c r="P1107" s="395" t="n"/>
      <c r="Q1107" s="118" t="inlineStr">
        <is>
          <t>Chung câu lệnh với chỉ tiêu "Trụ sở chính &gt;&gt; Bộ phận tư vấn đầu tư &gt;&gt; Số người lao động &gt;&gt; Trong kỳ"</t>
        </is>
      </c>
      <c r="R1107" s="118" t="n"/>
      <c r="S1107" s="406" t="n"/>
      <c r="U1107" s="406" t="n"/>
      <c r="V1107" s="395" t="n"/>
      <c r="W1107" s="395" t="n"/>
      <c r="X1107" s="395" t="n"/>
      <c r="Y1107" s="36" t="n"/>
      <c r="Z1107" s="395" t="n"/>
      <c r="AA1107" s="395" t="n"/>
      <c r="AB1107" s="395" t="n"/>
      <c r="AC1107" s="395" t="n"/>
      <c r="AD1107" s="395" t="n"/>
      <c r="AE1107" s="395" t="n"/>
    </row>
    <row r="1108" ht="98" customHeight="1" s="380">
      <c r="A1108" s="73" t="n">
        <v>64</v>
      </c>
      <c r="B1108" s="386" t="n"/>
      <c r="C1108" s="386" t="inlineStr">
        <is>
          <t>Báo cáo theo Thông tư 121/2020/TT-BTC &gt;&gt; Báo cáo tình hình nhân sự Công ty chứng khoán (Trụ sở chính, chi nhánh, phòng giao dịch) - II.1. Trụ sở</t>
        </is>
      </c>
      <c r="D1108" s="386" t="inlineStr">
        <is>
          <t>Trụ sở chính &gt;&gt; Bộ phận tư vấn đầu tư &gt;&gt; Số người có CCHN &gt;&gt; Tăng/Giảm</t>
        </is>
      </c>
      <c r="E1108" s="386" t="inlineStr">
        <is>
          <t>Trụ sở chính &gt;&gt; Bộ phận tư vấn đầu tư &gt;&gt; Số người có CCHN &gt;&gt; Tăng/Giảm</t>
        </is>
      </c>
      <c r="F1108" s="386" t="inlineStr">
        <is>
          <t>Data Explorer</t>
        </is>
      </c>
      <c r="G1108" s="386" t="inlineStr">
        <is>
          <t>Chỉ tiêu cơ sở</t>
        </is>
      </c>
      <c r="H1108" s="386" t="inlineStr">
        <is>
          <t>TB</t>
        </is>
      </c>
      <c r="I1108" s="386" t="inlineStr">
        <is>
          <t>Ngày, CTCK</t>
        </is>
      </c>
      <c r="J1108" s="395" t="inlineStr">
        <is>
          <t>SCMS</t>
        </is>
      </c>
      <c r="K1108" s="395" t="n"/>
      <c r="L1108" s="395" t="inlineStr">
        <is>
          <t>X</t>
        </is>
      </c>
      <c r="M1108" s="395" t="n"/>
      <c r="N1108" s="395" t="inlineStr">
        <is>
          <t>Done</t>
        </is>
      </c>
      <c r="O1108" s="401" t="n"/>
      <c r="P1108" s="395" t="n"/>
      <c r="Q1108" s="118" t="inlineStr">
        <is>
          <t>Chung câu lệnh với chỉ tiêu "Trụ sở chính &gt;&gt; Bộ phận tư vấn đầu tư &gt;&gt; Số người lao động &gt;&gt; Trong kỳ"</t>
        </is>
      </c>
      <c r="R1108" s="118" t="n"/>
      <c r="S1108" s="406" t="n"/>
      <c r="U1108" s="406" t="n"/>
      <c r="V1108" s="395" t="n"/>
      <c r="W1108" s="395" t="n"/>
      <c r="X1108" s="395" t="n"/>
      <c r="Y1108" s="395" t="n"/>
      <c r="Z1108" s="395" t="n"/>
      <c r="AA1108" s="395" t="n"/>
      <c r="AB1108" s="395" t="n"/>
      <c r="AC1108" s="395" t="n"/>
      <c r="AD1108" s="395" t="n"/>
      <c r="AE1108" s="395" t="n"/>
    </row>
    <row r="1109" ht="126" customHeight="1" s="380">
      <c r="A1109" s="73" t="n">
        <v>64</v>
      </c>
      <c r="B1109" s="386" t="n"/>
      <c r="C1109" s="386" t="inlineStr">
        <is>
          <t>Báo cáo theo Thông tư 121/2020/TT-BTC &gt;&gt; Báo cáo tình hình nhân sự Công ty chứng khoán (Trụ sở chính, chi nhánh, phòng giao dịch) - II.1. Trụ sở</t>
        </is>
      </c>
      <c r="D1109" s="386" t="inlineStr">
        <is>
          <t>Trụ sở chính &gt;&gt; TỔNG &gt;&gt; Số người lao động &gt;&gt; Trong kỳ</t>
        </is>
      </c>
      <c r="E1109" s="386" t="inlineStr">
        <is>
          <t>Trụ sở chính &gt;&gt; TỔNG &gt;&gt; Số người lao động &gt;&gt; Trong kỳ</t>
        </is>
      </c>
      <c r="F1109" s="386" t="inlineStr">
        <is>
          <t>Data Explorer</t>
        </is>
      </c>
      <c r="G1109" s="386" t="inlineStr">
        <is>
          <t>Chỉ tiêu cơ sở</t>
        </is>
      </c>
      <c r="H1109" s="386" t="inlineStr">
        <is>
          <t>TB</t>
        </is>
      </c>
      <c r="I1109" s="386" t="inlineStr">
        <is>
          <t>Ngày, CTCK</t>
        </is>
      </c>
      <c r="J1109" s="395" t="inlineStr">
        <is>
          <t>SCMS</t>
        </is>
      </c>
      <c r="K1109" s="395" t="n"/>
      <c r="L1109" s="395" t="inlineStr">
        <is>
          <t>X</t>
        </is>
      </c>
      <c r="M1109" s="395" t="n"/>
      <c r="N1109" s="395" t="inlineStr">
        <is>
          <t>Done</t>
        </is>
      </c>
      <c r="O1109" s="401" t="n"/>
      <c r="P1109" s="395" t="n"/>
      <c r="Q1109" s="118" t="inlineStr">
        <is>
          <t>SCMS.BC_THANH_VIEN
 SCMS.BC_BAO_CAO_GT
 SCMS.BM_BAO_CAO</t>
        </is>
      </c>
      <c r="R1109" s="118" t="inlineStr">
        <is>
          <t>gt.GIA_TRI, gt.TEN_HANG, gt.TEN_COT</t>
        </is>
      </c>
      <c r="S1109" s="406" t="inlineStr">
        <is>
          <t>bm.MA_BAO_CAO LIKE 'BCTHHDKD%'
 btv.TRANG_THAI IN (2, 3)
 gt.TEN_SHEET = N'THNS'
 gt.TEN_HANG = N'I.Trụ sở chính'</t>
        </is>
      </c>
      <c r="T1109" s="385" t="inlineStr">
        <is>
          <t>-- Nhóm: TỔNG - Trụ sở chính (4 chỉ tiêu lao động/CCHN – Trong kỳ và Tăng/Giảm)
 SELECT
  btv.ID AS bc_thanh_vien_id,
  btv.CTCK_THONG_TIN_ID,
  btv.NGAY_SO_LIEU,
  btv.TRANG_THAI,
  bm.MA_BAO_CAO,
  gt.TEN_SHEET,
  gt.TEN_HANG,
  MAX(CASE WHEN gt.TEN_COT = N'Số lượng người lao động: Trong kỳ' THEN gt.GIA_TRI END) AS so_ld_trong_ky,
  MAX(CASE WHEN gt.TEN_COT = N'Số lượng người lao động: Tăng/Giảm' THEN gt.GIA_TRI END) AS so_ld_tang_giam,
  MAX(CASE WHEN gt.TEN_COT = N'Số lượng người có chứng chỉ hành nghề: Trong kỳ' THEN gt.GIA_TRI END) AS so_cchn_trong_ky,
  MAX(CASE WHEN gt.TEN_COT = N'Số lượng người có chứng chỉ hành nghề: Tăng/Giảm' THEN gt.GIA_TRI END) AS so_cchn_tang_giam
 FROM SCMS.BC_THANH_VIEN btv
 JOIN SCMS.BM_BAO_CAO bm ON bm.ID = btv.BM_BAO_CAO_ID
 JOIN SCMS.BC_BAO_CAO_GT gt ON gt.BC_THANH_VIEN_ID = btv.ID
 WHERE bm.MA_BAO_CAO LIKE 'BCTHHDKD%'
  AND btv.TRANG_THAI IN (2, 3)
  AND gt.TEN_SHEET = N'THNS'
  AND gt.TEN_HANG = N'I.Trụ sở chính' -- Xác nhận lại TEN_HANG, nên dùng MA_HANG
 GROUP BY
  btv.ID, btv.CTCK_THONG_TIN_ID,
  btv.NGAY_SO_LIEU, btv.TRANG_THAI,
  bm.MA_BAO_CAO, gt.TEN_SHEET, gt.TEN_HANG;</t>
        </is>
      </c>
      <c r="U1109" s="406" t="inlineStr">
        <is>
          <t>Cần xác định lại TEN_HANG thực tế, nên dùng MA_HANG sau khi có dữ liệu</t>
        </is>
      </c>
      <c r="V1109" s="395" t="n"/>
      <c r="W1109" s="395" t="n"/>
      <c r="X1109" s="395" t="n"/>
      <c r="Y1109" s="395" t="n"/>
      <c r="Z1109" s="395" t="n"/>
      <c r="AA1109" s="395" t="n"/>
      <c r="AB1109" s="395" t="n"/>
      <c r="AC1109" s="395" t="n"/>
      <c r="AD1109" s="395" t="n"/>
      <c r="AE1109" s="395" t="n"/>
    </row>
    <row r="1110" ht="98" customHeight="1" s="380">
      <c r="A1110" s="73" t="n">
        <v>64</v>
      </c>
      <c r="B1110" s="386" t="n"/>
      <c r="C1110" s="386" t="inlineStr">
        <is>
          <t>Báo cáo theo Thông tư 121/2020/TT-BTC &gt;&gt; Báo cáo tình hình nhân sự Công ty chứng khoán (Trụ sở chính, chi nhánh, phòng giao dịch) - II.1. Trụ sở</t>
        </is>
      </c>
      <c r="D1110" s="386" t="inlineStr">
        <is>
          <t>Trụ sở chính &gt;&gt; TỔNG &gt;&gt; Số người lao động &gt;&gt; Tăng/Giảm</t>
        </is>
      </c>
      <c r="E1110" s="386" t="inlineStr">
        <is>
          <t>Trụ sở chính &gt;&gt; TỔNG &gt;&gt; Số người lao động &gt;&gt; Tăng/Giảm</t>
        </is>
      </c>
      <c r="F1110" s="386" t="inlineStr">
        <is>
          <t>Data Explorer</t>
        </is>
      </c>
      <c r="G1110" s="386" t="inlineStr">
        <is>
          <t>Chỉ tiêu cơ sở</t>
        </is>
      </c>
      <c r="H1110" s="386" t="inlineStr">
        <is>
          <t>TB</t>
        </is>
      </c>
      <c r="I1110" s="386" t="inlineStr">
        <is>
          <t>Ngày, CTCK</t>
        </is>
      </c>
      <c r="J1110" s="395" t="inlineStr">
        <is>
          <t>SCMS</t>
        </is>
      </c>
      <c r="K1110" s="395" t="n"/>
      <c r="L1110" s="395" t="inlineStr">
        <is>
          <t>X</t>
        </is>
      </c>
      <c r="M1110" s="395" t="n"/>
      <c r="N1110" s="395" t="inlineStr">
        <is>
          <t>Done</t>
        </is>
      </c>
      <c r="O1110" s="401" t="n"/>
      <c r="P1110" s="395" t="n"/>
      <c r="Q1110" s="118" t="inlineStr">
        <is>
          <t>Chung câu lệnh với chỉ tiêu "Trụ sở chính &gt;&gt; TỔNG &gt;&gt; Số người lao động &gt;&gt; Trong kỳ"</t>
        </is>
      </c>
      <c r="R1110" s="118" t="n"/>
      <c r="S1110" s="406" t="n"/>
      <c r="U1110" s="406" t="n"/>
      <c r="V1110" s="395" t="n"/>
      <c r="W1110" s="395" t="n"/>
      <c r="X1110" s="395" t="n"/>
      <c r="Y1110" s="395" t="n"/>
      <c r="Z1110" s="395" t="n"/>
      <c r="AA1110" s="395" t="n"/>
      <c r="AB1110" s="395" t="n"/>
      <c r="AC1110" s="395" t="n"/>
      <c r="AD1110" s="395" t="n"/>
      <c r="AE1110" s="395" t="n"/>
    </row>
    <row r="1111" ht="98" customHeight="1" s="380">
      <c r="A1111" s="73" t="n">
        <v>64</v>
      </c>
      <c r="B1111" s="386" t="n"/>
      <c r="C1111" s="386" t="inlineStr">
        <is>
          <t>Báo cáo theo Thông tư 121/2020/TT-BTC &gt;&gt; Báo cáo tình hình nhân sự Công ty chứng khoán (Trụ sở chính, chi nhánh, phòng giao dịch) - II.1. Trụ sở</t>
        </is>
      </c>
      <c r="D1111" s="386" t="inlineStr">
        <is>
          <t>Trụ sở chính &gt;&gt; TỔNG &gt;&gt; Số người có CCHN &gt;&gt; Trong kỳ</t>
        </is>
      </c>
      <c r="E1111" s="386" t="inlineStr">
        <is>
          <t>Trụ sở chính &gt;&gt; TỔNG &gt;&gt; Số người có CCHN &gt;&gt; Trong kỳ</t>
        </is>
      </c>
      <c r="F1111" s="386" t="inlineStr">
        <is>
          <t>Data Explorer</t>
        </is>
      </c>
      <c r="G1111" s="386" t="inlineStr">
        <is>
          <t>Chỉ tiêu cơ sở</t>
        </is>
      </c>
      <c r="H1111" s="386" t="inlineStr">
        <is>
          <t>TB</t>
        </is>
      </c>
      <c r="I1111" s="386" t="inlineStr">
        <is>
          <t>Ngày, CTCK</t>
        </is>
      </c>
      <c r="J1111" s="395" t="inlineStr">
        <is>
          <t>SCMS</t>
        </is>
      </c>
      <c r="K1111" s="395" t="n"/>
      <c r="L1111" s="395" t="inlineStr">
        <is>
          <t>X</t>
        </is>
      </c>
      <c r="M1111" s="395" t="n"/>
      <c r="N1111" s="395" t="inlineStr">
        <is>
          <t>Done</t>
        </is>
      </c>
      <c r="O1111" s="401" t="n"/>
      <c r="P1111" s="395" t="n"/>
      <c r="Q1111" s="118" t="inlineStr">
        <is>
          <t>Chung câu lệnh với chỉ tiêu "Trụ sở chính &gt;&gt; TỔNG &gt;&gt; Số người lao động &gt;&gt; Trong kỳ"</t>
        </is>
      </c>
      <c r="R1111" s="118" t="n"/>
      <c r="S1111" s="406" t="n"/>
      <c r="U1111" s="406" t="n"/>
      <c r="V1111" s="395" t="n"/>
      <c r="W1111" s="395" t="n"/>
      <c r="X1111" s="395" t="n"/>
      <c r="Y1111" s="395" t="n"/>
      <c r="Z1111" s="395" t="n"/>
      <c r="AA1111" s="395" t="n"/>
      <c r="AB1111" s="395" t="n"/>
      <c r="AC1111" s="395" t="n"/>
      <c r="AD1111" s="395" t="n"/>
      <c r="AE1111" s="395" t="n"/>
    </row>
    <row r="1112" ht="98" customHeight="1" s="380">
      <c r="A1112" s="73" t="n">
        <v>64</v>
      </c>
      <c r="B1112" s="386" t="n"/>
      <c r="C1112" s="386" t="inlineStr">
        <is>
          <t>Báo cáo theo Thông tư 121/2020/TT-BTC &gt;&gt; Báo cáo tình hình nhân sự Công ty chứng khoán (Trụ sở chính, chi nhánh, phòng giao dịch) - II.1. Trụ sở</t>
        </is>
      </c>
      <c r="D1112" s="386" t="inlineStr">
        <is>
          <t>Trụ sở chính &gt;&gt; TỔNG &gt;&gt; Số người có CCHN &gt;&gt; Tăng/Giảm</t>
        </is>
      </c>
      <c r="E1112" s="386" t="inlineStr">
        <is>
          <t>Trụ sở chính &gt;&gt; TỔNG &gt;&gt; Số người có CCHN &gt;&gt; Tăng/Giảm</t>
        </is>
      </c>
      <c r="F1112" s="386" t="inlineStr">
        <is>
          <t>Data Explorer</t>
        </is>
      </c>
      <c r="G1112" s="386" t="inlineStr">
        <is>
          <t>Chỉ tiêu cơ sở</t>
        </is>
      </c>
      <c r="H1112" s="386" t="inlineStr">
        <is>
          <t>TB</t>
        </is>
      </c>
      <c r="I1112" s="386" t="inlineStr">
        <is>
          <t>Ngày, CTCK</t>
        </is>
      </c>
      <c r="J1112" s="395" t="inlineStr">
        <is>
          <t>SCMS</t>
        </is>
      </c>
      <c r="K1112" s="395" t="n"/>
      <c r="L1112" s="395" t="inlineStr">
        <is>
          <t>X</t>
        </is>
      </c>
      <c r="M1112" s="395" t="n"/>
      <c r="N1112" s="395" t="inlineStr">
        <is>
          <t>Done</t>
        </is>
      </c>
      <c r="O1112" s="401" t="n"/>
      <c r="P1112" s="395" t="n"/>
      <c r="Q1112" s="118" t="inlineStr">
        <is>
          <t>Chung câu lệnh với chỉ tiêu "Trụ sở chính &gt;&gt; TỔNG &gt;&gt; Số người lao động &gt;&gt; Trong kỳ"</t>
        </is>
      </c>
      <c r="R1112" s="118" t="n"/>
      <c r="S1112" s="406" t="n"/>
      <c r="U1112" s="406" t="n"/>
      <c r="V1112" s="395" t="n"/>
      <c r="W1112" s="395" t="n"/>
      <c r="X1112" s="395" t="n"/>
      <c r="Y1112" s="37" t="n"/>
      <c r="Z1112" s="395" t="n"/>
      <c r="AA1112" s="395" t="n"/>
      <c r="AB1112" s="395" t="n"/>
      <c r="AC1112" s="395" t="n"/>
      <c r="AD1112" s="395" t="n"/>
      <c r="AE1112" s="395" t="n"/>
    </row>
    <row r="1113" ht="98" customHeight="1" s="380">
      <c r="A1113" s="73" t="n">
        <v>64</v>
      </c>
      <c r="B1113" s="386" t="n"/>
      <c r="C1113" s="386" t="inlineStr">
        <is>
          <t>Báo cáo theo Thông tư 121/2020/TT-BTC &gt;&gt; Báo cáo tình hình nhân sự Công ty chứng khoán (Trụ sở chính, chi nhánh, phòng giao dịch) - II.1. Trụ sở</t>
        </is>
      </c>
      <c r="D1113" s="386" t="inlineStr">
        <is>
          <t xml:space="preserve">Số lượng chi nhánh </t>
        </is>
      </c>
      <c r="E1113" s="395" t="inlineStr">
        <is>
          <t xml:space="preserve">Số lượng chi nhánh </t>
        </is>
      </c>
      <c r="F1113" s="386" t="inlineStr">
        <is>
          <t>Data Explorer</t>
        </is>
      </c>
      <c r="G1113" s="386" t="inlineStr">
        <is>
          <t>Chỉ tiêu cơ sở</t>
        </is>
      </c>
      <c r="H1113" s="386" t="inlineStr">
        <is>
          <t>TB</t>
        </is>
      </c>
      <c r="I1113" s="386" t="inlineStr">
        <is>
          <t>Ngày, CTCK</t>
        </is>
      </c>
      <c r="J1113" s="395" t="inlineStr">
        <is>
          <t>SCMS</t>
        </is>
      </c>
      <c r="K1113" s="395" t="n"/>
      <c r="L1113" s="395" t="inlineStr">
        <is>
          <t>X</t>
        </is>
      </c>
      <c r="M1113" s="395" t="n"/>
      <c r="N1113" s="395" t="inlineStr">
        <is>
          <t>Pending</t>
        </is>
      </c>
      <c r="O1113" s="401" t="n"/>
      <c r="P1113" s="395" t="n"/>
      <c r="Q1113" s="395" t="n"/>
      <c r="R1113" s="395" t="n"/>
      <c r="S1113" s="395" t="n"/>
      <c r="T1113" s="118" t="inlineStr">
        <is>
          <t>Chưa xác định được rule với chi nhánh/phòng giao dịch</t>
        </is>
      </c>
      <c r="U1113" s="118" t="inlineStr">
        <is>
          <t>Chưa xác định được rule với chi nhánh/phòng giao dịch</t>
        </is>
      </c>
      <c r="V1113" s="395" t="n"/>
      <c r="W1113" s="395" t="n"/>
      <c r="X1113" s="395" t="n"/>
      <c r="Y1113" s="395" t="n"/>
      <c r="Z1113" s="395" t="n"/>
      <c r="AA1113" s="395" t="n"/>
      <c r="AB1113" s="395" t="n"/>
      <c r="AC1113" s="395" t="n"/>
      <c r="AD1113" s="395" t="n"/>
      <c r="AE1113" s="395" t="n"/>
    </row>
    <row r="1114" ht="98" customHeight="1" s="380">
      <c r="A1114" s="73" t="n">
        <v>64</v>
      </c>
      <c r="B1114" s="386" t="n"/>
      <c r="C1114" s="386" t="inlineStr">
        <is>
          <t>Báo cáo theo Thông tư 121/2020/TT-BTC &gt;&gt; Báo cáo tình hình nhân sự Công ty chứng khoán (Trụ sở chính, chi nhánh, phòng giao dịch) - II.1. Trụ sở</t>
        </is>
      </c>
      <c r="D1114" s="386" t="inlineStr">
        <is>
          <t>Chi nhánh CTCK &gt;&gt; Giám đốc chi nhánh &gt;&gt; Số người lao động &gt;&gt; Trong kỳ</t>
        </is>
      </c>
      <c r="E1114" s="386" t="inlineStr">
        <is>
          <t>Chi nhánh CTCK &gt;&gt; Giám đốc chi nhánh &gt;&gt; Số người lao động &gt;&gt; Trong kỳ</t>
        </is>
      </c>
      <c r="F1114" s="386" t="inlineStr">
        <is>
          <t>Data Explorer</t>
        </is>
      </c>
      <c r="G1114" s="386" t="inlineStr">
        <is>
          <t>Chỉ tiêu cơ sở</t>
        </is>
      </c>
      <c r="H1114" s="386" t="inlineStr">
        <is>
          <t>TB</t>
        </is>
      </c>
      <c r="I1114" s="386" t="inlineStr">
        <is>
          <t>Ngày, CTCK</t>
        </is>
      </c>
      <c r="J1114" s="395" t="inlineStr">
        <is>
          <t>SCMS</t>
        </is>
      </c>
      <c r="K1114" s="395" t="n"/>
      <c r="L1114" s="395" t="inlineStr">
        <is>
          <t>X</t>
        </is>
      </c>
      <c r="M1114" s="395" t="n"/>
      <c r="N1114" s="395" t="inlineStr">
        <is>
          <t>Pending</t>
        </is>
      </c>
      <c r="O1114" s="401" t="n"/>
      <c r="P1114" s="395" t="n"/>
      <c r="Q1114" s="395" t="n"/>
      <c r="R1114" s="395" t="n"/>
      <c r="S1114" s="395" t="n"/>
      <c r="T1114" s="118" t="inlineStr">
        <is>
          <t>Chưa xác định được rule với chi nhánh/phòng giao dịch</t>
        </is>
      </c>
      <c r="U1114" s="118" t="inlineStr">
        <is>
          <t>Chưa xác định được rule với chi nhánh/phòng giao dịch</t>
        </is>
      </c>
      <c r="V1114" s="395" t="n"/>
      <c r="W1114" s="395" t="n"/>
      <c r="X1114" s="395" t="n"/>
      <c r="Y1114" s="13" t="n"/>
      <c r="Z1114" s="395" t="n"/>
      <c r="AA1114" s="395" t="n"/>
      <c r="AB1114" s="395" t="n"/>
      <c r="AC1114" s="395" t="n"/>
      <c r="AD1114" s="395" t="n"/>
      <c r="AE1114" s="395" t="n"/>
    </row>
    <row r="1115" ht="98" customHeight="1" s="380">
      <c r="A1115" s="73" t="n">
        <v>64</v>
      </c>
      <c r="B1115" s="386" t="n"/>
      <c r="C1115" s="386" t="inlineStr">
        <is>
          <t>Báo cáo theo Thông tư 121/2020/TT-BTC &gt;&gt; Báo cáo tình hình nhân sự Công ty chứng khoán (Trụ sở chính, chi nhánh, phòng giao dịch) - II.1. Trụ sở</t>
        </is>
      </c>
      <c r="D1115" s="386" t="inlineStr">
        <is>
          <t>Chi nhánh CTCK &gt;&gt; Giám đốc chi nhánh &gt;&gt; Số người lao động &gt;&gt; Tăng/Giảm</t>
        </is>
      </c>
      <c r="E1115" s="386" t="inlineStr">
        <is>
          <t>Chi nhánh CTCK &gt;&gt; Giám đốc chi nhánh &gt;&gt; Số người lao động &gt;&gt; Tăng/Giảm</t>
        </is>
      </c>
      <c r="F1115" s="386" t="inlineStr">
        <is>
          <t>Data Explorer</t>
        </is>
      </c>
      <c r="G1115" s="386" t="inlineStr">
        <is>
          <t>Chỉ tiêu cơ sở</t>
        </is>
      </c>
      <c r="H1115" s="386" t="inlineStr">
        <is>
          <t>TB</t>
        </is>
      </c>
      <c r="I1115" s="386" t="inlineStr">
        <is>
          <t>Ngày, CTCK</t>
        </is>
      </c>
      <c r="J1115" s="395" t="inlineStr">
        <is>
          <t>SCMS</t>
        </is>
      </c>
      <c r="K1115" s="395" t="n"/>
      <c r="L1115" s="395" t="inlineStr">
        <is>
          <t>X</t>
        </is>
      </c>
      <c r="M1115" s="395" t="n"/>
      <c r="N1115" s="395" t="inlineStr">
        <is>
          <t>Pending</t>
        </is>
      </c>
      <c r="O1115" s="401" t="n"/>
      <c r="P1115" s="395" t="n"/>
      <c r="Q1115" s="395" t="n"/>
      <c r="R1115" s="395" t="n"/>
      <c r="S1115" s="395" t="n"/>
      <c r="T1115" s="118" t="inlineStr">
        <is>
          <t>Chưa xác định được rule với chi nhánh/phòng giao dịch</t>
        </is>
      </c>
      <c r="U1115" s="118" t="inlineStr">
        <is>
          <t>Chưa xác định được rule với chi nhánh/phòng giao dịch</t>
        </is>
      </c>
      <c r="V1115" s="395" t="n"/>
      <c r="W1115" s="395" t="n"/>
      <c r="X1115" s="395" t="n"/>
      <c r="Y1115" s="13" t="n"/>
      <c r="Z1115" s="395" t="n"/>
      <c r="AA1115" s="395" t="n"/>
      <c r="AB1115" s="395" t="n"/>
      <c r="AC1115" s="395" t="n"/>
      <c r="AD1115" s="395" t="n"/>
      <c r="AE1115" s="395" t="n"/>
    </row>
    <row r="1116" ht="98" customHeight="1" s="380">
      <c r="A1116" s="73" t="n">
        <v>64</v>
      </c>
      <c r="B1116" s="386" t="n"/>
      <c r="C1116" s="386" t="inlineStr">
        <is>
          <t>Báo cáo theo Thông tư 121/2020/TT-BTC &gt;&gt; Báo cáo tình hình nhân sự Công ty chứng khoán (Trụ sở chính, chi nhánh, phòng giao dịch) - II.1. Trụ sở</t>
        </is>
      </c>
      <c r="D1116" s="386" t="inlineStr">
        <is>
          <t>Chi nhánh CTCK &gt;&gt; Giám đốc chi nhánh &gt;&gt; Số người có CCHN &gt;&gt; Trong kỳ</t>
        </is>
      </c>
      <c r="E1116" s="386" t="inlineStr">
        <is>
          <t>Chi nhánh CTCK &gt;&gt; Giám đốc chi nhánh &gt;&gt; Số người có CCHN &gt;&gt; Trong kỳ</t>
        </is>
      </c>
      <c r="F1116" s="386" t="inlineStr">
        <is>
          <t>Data Explorer</t>
        </is>
      </c>
      <c r="G1116" s="386" t="inlineStr">
        <is>
          <t>Chỉ tiêu cơ sở</t>
        </is>
      </c>
      <c r="H1116" s="386" t="inlineStr">
        <is>
          <t>TB</t>
        </is>
      </c>
      <c r="I1116" s="386" t="inlineStr">
        <is>
          <t>Ngày, CTCK</t>
        </is>
      </c>
      <c r="J1116" s="395" t="inlineStr">
        <is>
          <t>SCMS</t>
        </is>
      </c>
      <c r="K1116" s="395" t="n"/>
      <c r="L1116" s="395" t="inlineStr">
        <is>
          <t>X</t>
        </is>
      </c>
      <c r="M1116" s="395" t="n"/>
      <c r="N1116" s="395" t="inlineStr">
        <is>
          <t>Pending</t>
        </is>
      </c>
      <c r="O1116" s="401" t="n"/>
      <c r="P1116" s="395" t="n"/>
      <c r="Q1116" s="395" t="n"/>
      <c r="R1116" s="395" t="n"/>
      <c r="S1116" s="395" t="n"/>
      <c r="T1116" s="118" t="inlineStr">
        <is>
          <t>Chưa xác định được rule với chi nhánh/phòng giao dịch</t>
        </is>
      </c>
      <c r="U1116" s="118" t="inlineStr">
        <is>
          <t>Chưa xác định được rule với chi nhánh/phòng giao dịch</t>
        </is>
      </c>
      <c r="V1116" s="395" t="n"/>
      <c r="W1116" s="395" t="n"/>
      <c r="X1116" s="395" t="n"/>
      <c r="Y1116" s="13" t="n"/>
      <c r="Z1116" s="395" t="n"/>
      <c r="AA1116" s="395" t="n"/>
      <c r="AB1116" s="395" t="n"/>
      <c r="AC1116" s="395" t="n"/>
      <c r="AD1116" s="395" t="n"/>
      <c r="AE1116" s="395" t="n"/>
    </row>
    <row r="1117" ht="98" customHeight="1" s="380">
      <c r="A1117" s="73" t="n">
        <v>64</v>
      </c>
      <c r="B1117" s="386" t="n"/>
      <c r="C1117" s="386" t="inlineStr">
        <is>
          <t>Báo cáo theo Thông tư 121/2020/TT-BTC &gt;&gt; Báo cáo tình hình nhân sự Công ty chứng khoán (Trụ sở chính, chi nhánh, phòng giao dịch) - II.1. Trụ sở</t>
        </is>
      </c>
      <c r="D1117" s="386" t="inlineStr">
        <is>
          <t>Chi nhánh CTCK &gt;&gt; Giám đốc chi nhánh &gt;&gt; Số người có CCHN &gt;&gt; Tăng/Giảm</t>
        </is>
      </c>
      <c r="E1117" s="386" t="inlineStr">
        <is>
          <t>Chi nhánh CTCK &gt;&gt; Giám đốc chi nhánh &gt;&gt; Số người có CCHN &gt;&gt; Tăng/Giảm</t>
        </is>
      </c>
      <c r="F1117" s="386" t="inlineStr">
        <is>
          <t>Data Explorer</t>
        </is>
      </c>
      <c r="G1117" s="386" t="inlineStr">
        <is>
          <t>Chỉ tiêu cơ sở</t>
        </is>
      </c>
      <c r="H1117" s="386" t="inlineStr">
        <is>
          <t>TB</t>
        </is>
      </c>
      <c r="I1117" s="386" t="inlineStr">
        <is>
          <t>Ngày, CTCK</t>
        </is>
      </c>
      <c r="J1117" s="395" t="inlineStr">
        <is>
          <t>SCMS</t>
        </is>
      </c>
      <c r="K1117" s="395" t="n"/>
      <c r="L1117" s="395" t="inlineStr">
        <is>
          <t>X</t>
        </is>
      </c>
      <c r="M1117" s="395" t="n"/>
      <c r="N1117" s="395" t="inlineStr">
        <is>
          <t>Pending</t>
        </is>
      </c>
      <c r="O1117" s="401" t="n"/>
      <c r="P1117" s="395" t="n"/>
      <c r="Q1117" s="395" t="n"/>
      <c r="R1117" s="395" t="n"/>
      <c r="S1117" s="395" t="n"/>
      <c r="T1117" s="118" t="inlineStr">
        <is>
          <t>Chưa xác định được rule với chi nhánh/phòng giao dịch</t>
        </is>
      </c>
      <c r="U1117" s="118" t="inlineStr">
        <is>
          <t>Chưa xác định được rule với chi nhánh/phòng giao dịch</t>
        </is>
      </c>
      <c r="V1117" s="395" t="n"/>
      <c r="W1117" s="395" t="n"/>
      <c r="X1117" s="395" t="n"/>
      <c r="Y1117" s="13" t="n"/>
      <c r="Z1117" s="395" t="n"/>
      <c r="AA1117" s="395" t="n"/>
      <c r="AB1117" s="395" t="n"/>
      <c r="AC1117" s="395" t="n"/>
      <c r="AD1117" s="395" t="n"/>
      <c r="AE1117" s="395" t="n"/>
    </row>
    <row r="1118" ht="98" customHeight="1" s="380">
      <c r="A1118" s="73" t="n">
        <v>64</v>
      </c>
      <c r="B1118" s="386" t="n"/>
      <c r="C1118" s="386" t="inlineStr">
        <is>
          <t>Báo cáo theo Thông tư 121/2020/TT-BTC &gt;&gt; Báo cáo tình hình nhân sự Công ty chứng khoán (Trụ sở chính, chi nhánh, phòng giao dịch) - II.1. Trụ sở</t>
        </is>
      </c>
      <c r="D1118" s="386" t="inlineStr">
        <is>
          <t>Chi nhánh CTCK &gt;&gt; Bộ phận thực hiện theo uỷ quyền &gt;&gt; Số người lao động &gt;&gt; Trong kỳ</t>
        </is>
      </c>
      <c r="E1118" s="386" t="inlineStr">
        <is>
          <t>Chi nhánh CTCK &gt;&gt; Bộ phận thực hiện theo uỷ quyền &gt;&gt; Số người lao động &gt;&gt; Trong kỳ</t>
        </is>
      </c>
      <c r="F1118" s="386" t="inlineStr">
        <is>
          <t>Data Explorer</t>
        </is>
      </c>
      <c r="G1118" s="386" t="inlineStr">
        <is>
          <t>Chỉ tiêu cơ sở</t>
        </is>
      </c>
      <c r="H1118" s="386" t="inlineStr">
        <is>
          <t>TB</t>
        </is>
      </c>
      <c r="I1118" s="386" t="inlineStr">
        <is>
          <t>Ngày, CTCK</t>
        </is>
      </c>
      <c r="J1118" s="395" t="inlineStr">
        <is>
          <t>SCMS</t>
        </is>
      </c>
      <c r="K1118" s="395" t="n"/>
      <c r="L1118" s="395" t="inlineStr">
        <is>
          <t>X</t>
        </is>
      </c>
      <c r="M1118" s="395" t="n"/>
      <c r="N1118" s="395" t="inlineStr">
        <is>
          <t>Pending</t>
        </is>
      </c>
      <c r="O1118" s="401" t="n"/>
      <c r="P1118" s="395" t="n"/>
      <c r="Q1118" s="395" t="n"/>
      <c r="R1118" s="395" t="n"/>
      <c r="S1118" s="395" t="n"/>
      <c r="T1118" s="118" t="inlineStr">
        <is>
          <t>Chưa xác định được rule với chi nhánh/phòng giao dịch</t>
        </is>
      </c>
      <c r="U1118" s="118" t="inlineStr">
        <is>
          <t>Chưa xác định được rule với chi nhánh/phòng giao dịch</t>
        </is>
      </c>
      <c r="V1118" s="395" t="n"/>
      <c r="W1118" s="395" t="n"/>
      <c r="X1118" s="395" t="n"/>
      <c r="Y1118" s="13" t="n"/>
      <c r="Z1118" s="395" t="n"/>
      <c r="AA1118" s="395" t="n"/>
      <c r="AB1118" s="395" t="n"/>
      <c r="AC1118" s="395" t="n"/>
      <c r="AD1118" s="395" t="n"/>
      <c r="AE1118" s="395" t="n"/>
    </row>
    <row r="1119" ht="98" customHeight="1" s="380">
      <c r="A1119" s="73" t="n">
        <v>64</v>
      </c>
      <c r="B1119" s="386" t="n"/>
      <c r="C1119" s="386" t="inlineStr">
        <is>
          <t>Báo cáo theo Thông tư 121/2020/TT-BTC &gt;&gt; Báo cáo tình hình nhân sự Công ty chứng khoán (Trụ sở chính, chi nhánh, phòng giao dịch) - II.1. Trụ sở</t>
        </is>
      </c>
      <c r="D1119" s="386" t="inlineStr">
        <is>
          <t>Chi nhánh CTCK &gt;&gt; Bộ phận thực hiện theo uỷ quyền &gt;&gt; Số người lao động &gt;&gt; Tăng/Giảm</t>
        </is>
      </c>
      <c r="E1119" s="386" t="inlineStr">
        <is>
          <t>Chi nhánh CTCK &gt;&gt; Bộ phận thực hiện theo uỷ quyền &gt;&gt; Số người lao động &gt;&gt; Tăng/Giảm</t>
        </is>
      </c>
      <c r="F1119" s="386" t="inlineStr">
        <is>
          <t>Data Explorer</t>
        </is>
      </c>
      <c r="G1119" s="386" t="inlineStr">
        <is>
          <t>Chỉ tiêu cơ sở</t>
        </is>
      </c>
      <c r="H1119" s="386" t="inlineStr">
        <is>
          <t>TB</t>
        </is>
      </c>
      <c r="I1119" s="386" t="inlineStr">
        <is>
          <t>Ngày, CTCK</t>
        </is>
      </c>
      <c r="J1119" s="395" t="inlineStr">
        <is>
          <t>SCMS</t>
        </is>
      </c>
      <c r="K1119" s="395" t="n"/>
      <c r="L1119" s="395" t="inlineStr">
        <is>
          <t>X</t>
        </is>
      </c>
      <c r="M1119" s="395" t="n"/>
      <c r="N1119" s="395" t="inlineStr">
        <is>
          <t>Pending</t>
        </is>
      </c>
      <c r="O1119" s="401" t="n"/>
      <c r="P1119" s="395" t="n"/>
      <c r="Q1119" s="395" t="n"/>
      <c r="R1119" s="395" t="n"/>
      <c r="S1119" s="395" t="n"/>
      <c r="T1119" s="118" t="inlineStr">
        <is>
          <t>Chưa xác định được rule với chi nhánh/phòng giao dịch</t>
        </is>
      </c>
      <c r="U1119" s="118" t="inlineStr">
        <is>
          <t>Chưa xác định được rule với chi nhánh/phòng giao dịch</t>
        </is>
      </c>
      <c r="V1119" s="395" t="n"/>
      <c r="W1119" s="395" t="n"/>
      <c r="X1119" s="395" t="n"/>
      <c r="Y1119" s="13" t="n"/>
      <c r="Z1119" s="395" t="n"/>
      <c r="AA1119" s="395" t="n"/>
      <c r="AB1119" s="395" t="n"/>
      <c r="AC1119" s="395" t="n"/>
      <c r="AD1119" s="395" t="n"/>
      <c r="AE1119" s="395" t="n"/>
    </row>
    <row r="1120" ht="98" customHeight="1" s="380">
      <c r="A1120" s="73" t="n">
        <v>64</v>
      </c>
      <c r="B1120" s="386" t="n"/>
      <c r="C1120" s="386" t="inlineStr">
        <is>
          <t>Báo cáo theo Thông tư 121/2020/TT-BTC &gt;&gt; Báo cáo tình hình nhân sự Công ty chứng khoán (Trụ sở chính, chi nhánh, phòng giao dịch) - II.1. Trụ sở</t>
        </is>
      </c>
      <c r="D1120" s="386" t="inlineStr">
        <is>
          <t>Chi nhánh CTCK &gt;&gt; Bộ phận thực hiện theo uỷ quyền &gt;&gt; Số người có CCHN &gt;&gt; Trong kỳ</t>
        </is>
      </c>
      <c r="E1120" s="386" t="inlineStr">
        <is>
          <t>Chi nhánh CTCK &gt;&gt; Bộ phận thực hiện theo uỷ quyền &gt;&gt; Số người có CCHN &gt;&gt; Trong kỳ</t>
        </is>
      </c>
      <c r="F1120" s="386" t="inlineStr">
        <is>
          <t>Data Explorer</t>
        </is>
      </c>
      <c r="G1120" s="386" t="inlineStr">
        <is>
          <t>Chỉ tiêu cơ sở</t>
        </is>
      </c>
      <c r="H1120" s="386" t="inlineStr">
        <is>
          <t>TB</t>
        </is>
      </c>
      <c r="I1120" s="386" t="inlineStr">
        <is>
          <t>Ngày, CTCK</t>
        </is>
      </c>
      <c r="J1120" s="395" t="inlineStr">
        <is>
          <t>SCMS</t>
        </is>
      </c>
      <c r="K1120" s="395" t="n"/>
      <c r="L1120" s="395" t="inlineStr">
        <is>
          <t>X</t>
        </is>
      </c>
      <c r="M1120" s="395" t="n"/>
      <c r="N1120" s="395" t="inlineStr">
        <is>
          <t>Pending</t>
        </is>
      </c>
      <c r="O1120" s="401" t="n"/>
      <c r="P1120" s="395" t="n"/>
      <c r="Q1120" s="395" t="n"/>
      <c r="R1120" s="395" t="n"/>
      <c r="S1120" s="395" t="n"/>
      <c r="T1120" s="118" t="inlineStr">
        <is>
          <t>Chưa xác định được rule với chi nhánh/phòng giao dịch</t>
        </is>
      </c>
      <c r="U1120" s="118" t="inlineStr">
        <is>
          <t>Chưa xác định được rule với chi nhánh/phòng giao dịch</t>
        </is>
      </c>
      <c r="V1120" s="395" t="n"/>
      <c r="W1120" s="395" t="n"/>
      <c r="X1120" s="395" t="n"/>
      <c r="Y1120" s="13" t="n"/>
      <c r="Z1120" s="395" t="n"/>
      <c r="AA1120" s="395" t="n"/>
      <c r="AB1120" s="395" t="n"/>
      <c r="AC1120" s="395" t="n"/>
      <c r="AD1120" s="395" t="n"/>
      <c r="AE1120" s="395" t="n"/>
    </row>
    <row r="1121" ht="98" customHeight="1" s="380">
      <c r="A1121" s="73" t="n">
        <v>64</v>
      </c>
      <c r="B1121" s="386" t="n"/>
      <c r="C1121" s="386" t="inlineStr">
        <is>
          <t>Báo cáo theo Thông tư 121/2020/TT-BTC &gt;&gt; Báo cáo tình hình nhân sự Công ty chứng khoán (Trụ sở chính, chi nhánh, phòng giao dịch) - II.1. Trụ sở</t>
        </is>
      </c>
      <c r="D1121" s="386" t="inlineStr">
        <is>
          <t>Chi nhánh CTCK &gt;&gt; Bộ phận thực hiện theo uỷ quyền &gt;&gt; Số người có CCHN &gt;&gt; Tăng/Giảm</t>
        </is>
      </c>
      <c r="E1121" s="386" t="inlineStr">
        <is>
          <t>Chi nhánh CTCK &gt;&gt; Bộ phận thực hiện theo uỷ quyền &gt;&gt; Số người có CCHN &gt;&gt; Tăng/Giảm</t>
        </is>
      </c>
      <c r="F1121" s="386" t="inlineStr">
        <is>
          <t>Data Explorer</t>
        </is>
      </c>
      <c r="G1121" s="386" t="inlineStr">
        <is>
          <t>Chỉ tiêu cơ sở</t>
        </is>
      </c>
      <c r="H1121" s="386" t="inlineStr">
        <is>
          <t>TB</t>
        </is>
      </c>
      <c r="I1121" s="386" t="inlineStr">
        <is>
          <t>Ngày, CTCK</t>
        </is>
      </c>
      <c r="J1121" s="395" t="inlineStr">
        <is>
          <t>SCMS</t>
        </is>
      </c>
      <c r="K1121" s="395" t="n"/>
      <c r="L1121" s="395" t="inlineStr">
        <is>
          <t>X</t>
        </is>
      </c>
      <c r="M1121" s="395" t="n"/>
      <c r="N1121" s="395" t="inlineStr">
        <is>
          <t>Pending</t>
        </is>
      </c>
      <c r="O1121" s="401" t="n"/>
      <c r="P1121" s="395" t="n"/>
      <c r="Q1121" s="395" t="n"/>
      <c r="R1121" s="395" t="n"/>
      <c r="S1121" s="395" t="n"/>
      <c r="T1121" s="118" t="inlineStr">
        <is>
          <t>Chưa xác định được rule với chi nhánh/phòng giao dịch</t>
        </is>
      </c>
      <c r="U1121" s="118" t="inlineStr">
        <is>
          <t>Chưa xác định được rule với chi nhánh/phòng giao dịch</t>
        </is>
      </c>
      <c r="V1121" s="395" t="n"/>
      <c r="W1121" s="395" t="n"/>
      <c r="X1121" s="395" t="n"/>
      <c r="Y1121" s="13" t="n"/>
      <c r="Z1121" s="395" t="n"/>
      <c r="AA1121" s="395" t="n"/>
      <c r="AB1121" s="395" t="n"/>
      <c r="AC1121" s="395" t="n"/>
      <c r="AD1121" s="395" t="n"/>
      <c r="AE1121" s="395" t="n"/>
    </row>
    <row r="1122" ht="98" customHeight="1" s="380">
      <c r="A1122" s="73" t="n">
        <v>64</v>
      </c>
      <c r="B1122" s="386" t="n"/>
      <c r="C1122" s="386" t="inlineStr">
        <is>
          <t>Báo cáo theo Thông tư 121/2020/TT-BTC &gt;&gt; Báo cáo tình hình nhân sự Công ty chứng khoán (Trụ sở chính, chi nhánh, phòng giao dịch) - II.1. Trụ sở</t>
        </is>
      </c>
      <c r="D1122" s="386" t="inlineStr">
        <is>
          <t>Chi nhánh CTCK &gt;&gt; TỔNG SỐ &gt;&gt; Số người lao động &gt;&gt; Trong kỳ</t>
        </is>
      </c>
      <c r="E1122" s="386" t="inlineStr">
        <is>
          <t>Chi nhánh CTCK &gt;&gt; TỔNG SỐ &gt;&gt; Số người lao động &gt;&gt; Trong kỳ</t>
        </is>
      </c>
      <c r="F1122" s="386" t="inlineStr">
        <is>
          <t>Data Explorer</t>
        </is>
      </c>
      <c r="G1122" s="386" t="inlineStr">
        <is>
          <t>Chỉ tiêu cơ sở</t>
        </is>
      </c>
      <c r="H1122" s="386" t="inlineStr">
        <is>
          <t>TB</t>
        </is>
      </c>
      <c r="I1122" s="386" t="inlineStr">
        <is>
          <t>Ngày, CTCK</t>
        </is>
      </c>
      <c r="J1122" s="395" t="inlineStr">
        <is>
          <t>SCMS</t>
        </is>
      </c>
      <c r="K1122" s="395" t="n"/>
      <c r="L1122" s="395" t="inlineStr">
        <is>
          <t>X</t>
        </is>
      </c>
      <c r="M1122" s="395" t="n"/>
      <c r="N1122" s="395" t="inlineStr">
        <is>
          <t>Pending</t>
        </is>
      </c>
      <c r="O1122" s="401" t="n"/>
      <c r="P1122" s="395" t="n"/>
      <c r="Q1122" s="395" t="n"/>
      <c r="R1122" s="395" t="n"/>
      <c r="S1122" s="395" t="n"/>
      <c r="T1122" s="118" t="inlineStr">
        <is>
          <t>Chưa xác định được rule với chi nhánh/phòng giao dịch</t>
        </is>
      </c>
      <c r="U1122" s="118" t="inlineStr">
        <is>
          <t>Chưa xác định được rule với chi nhánh/phòng giao dịch</t>
        </is>
      </c>
      <c r="V1122" s="395" t="n"/>
      <c r="W1122" s="395" t="n"/>
      <c r="X1122" s="395" t="n"/>
      <c r="Y1122" s="13" t="n"/>
      <c r="Z1122" s="395" t="n"/>
      <c r="AA1122" s="395" t="n"/>
      <c r="AB1122" s="395" t="n"/>
      <c r="AC1122" s="395" t="n"/>
      <c r="AD1122" s="395" t="n"/>
      <c r="AE1122" s="395" t="n"/>
    </row>
    <row r="1123" ht="98" customHeight="1" s="380">
      <c r="A1123" s="73" t="n">
        <v>64</v>
      </c>
      <c r="B1123" s="386" t="n"/>
      <c r="C1123" s="386" t="inlineStr">
        <is>
          <t>Báo cáo theo Thông tư 121/2020/TT-BTC &gt;&gt; Báo cáo tình hình nhân sự Công ty chứng khoán (Trụ sở chính, chi nhánh, phòng giao dịch) - II.1. Trụ sở</t>
        </is>
      </c>
      <c r="D1123" s="386" t="inlineStr">
        <is>
          <t>Chi nhánh CTCK &gt;&gt; TỔNG SỐ &gt;&gt; Số người lao động &gt;&gt; Tăng/Giảm</t>
        </is>
      </c>
      <c r="E1123" s="386" t="inlineStr">
        <is>
          <t>Chi nhánh CTCK &gt;&gt; TỔNG SỐ &gt;&gt; Số người lao động &gt;&gt; Tăng/Giảm</t>
        </is>
      </c>
      <c r="F1123" s="386" t="inlineStr">
        <is>
          <t>Data Explorer</t>
        </is>
      </c>
      <c r="G1123" s="386" t="inlineStr">
        <is>
          <t>Chỉ tiêu cơ sở</t>
        </is>
      </c>
      <c r="H1123" s="386" t="inlineStr">
        <is>
          <t>TB</t>
        </is>
      </c>
      <c r="I1123" s="386" t="inlineStr">
        <is>
          <t>Ngày, CTCK</t>
        </is>
      </c>
      <c r="J1123" s="395" t="inlineStr">
        <is>
          <t>SCMS</t>
        </is>
      </c>
      <c r="K1123" s="395" t="n"/>
      <c r="L1123" s="395" t="inlineStr">
        <is>
          <t>X</t>
        </is>
      </c>
      <c r="M1123" s="395" t="n"/>
      <c r="N1123" s="395" t="inlineStr">
        <is>
          <t>Pending</t>
        </is>
      </c>
      <c r="O1123" s="401" t="n"/>
      <c r="P1123" s="395" t="n"/>
      <c r="Q1123" s="395" t="n"/>
      <c r="R1123" s="395" t="n"/>
      <c r="S1123" s="395" t="n"/>
      <c r="T1123" s="118" t="inlineStr">
        <is>
          <t>Chưa xác định được rule với chi nhánh/phòng giao dịch</t>
        </is>
      </c>
      <c r="U1123" s="118" t="inlineStr">
        <is>
          <t>Chưa xác định được rule với chi nhánh/phòng giao dịch</t>
        </is>
      </c>
      <c r="V1123" s="395" t="n"/>
      <c r="W1123" s="395" t="n"/>
      <c r="X1123" s="395" t="n"/>
      <c r="Y1123" s="13" t="n"/>
      <c r="Z1123" s="395" t="n"/>
      <c r="AA1123" s="395" t="n"/>
      <c r="AB1123" s="395" t="n"/>
      <c r="AC1123" s="395" t="n"/>
      <c r="AD1123" s="395" t="n"/>
      <c r="AE1123" s="395" t="n"/>
    </row>
    <row r="1124" ht="98" customHeight="1" s="380">
      <c r="A1124" s="73" t="n">
        <v>64</v>
      </c>
      <c r="B1124" s="386" t="n"/>
      <c r="C1124" s="386" t="inlineStr">
        <is>
          <t>Báo cáo theo Thông tư 121/2020/TT-BTC &gt;&gt; Báo cáo tình hình nhân sự Công ty chứng khoán (Trụ sở chính, chi nhánh, phòng giao dịch) - II.1. Trụ sở</t>
        </is>
      </c>
      <c r="D1124" s="386" t="inlineStr">
        <is>
          <t>Chi nhánh CTCK &gt;&gt; TỔNG SỐ &gt;&gt; Số người có CCHN &gt;&gt; Trong kỳ</t>
        </is>
      </c>
      <c r="E1124" s="386" t="inlineStr">
        <is>
          <t>Chi nhánh CTCK &gt;&gt; TỔNG SỐ &gt;&gt; Số người có CCHN &gt;&gt; Trong kỳ</t>
        </is>
      </c>
      <c r="F1124" s="386" t="inlineStr">
        <is>
          <t>Data Explorer</t>
        </is>
      </c>
      <c r="G1124" s="386" t="inlineStr">
        <is>
          <t>Chỉ tiêu cơ sở</t>
        </is>
      </c>
      <c r="H1124" s="386" t="inlineStr">
        <is>
          <t>TB</t>
        </is>
      </c>
      <c r="I1124" s="386" t="inlineStr">
        <is>
          <t>Ngày, CTCK</t>
        </is>
      </c>
      <c r="J1124" s="395" t="inlineStr">
        <is>
          <t>SCMS</t>
        </is>
      </c>
      <c r="K1124" s="395" t="n"/>
      <c r="L1124" s="395" t="inlineStr">
        <is>
          <t>X</t>
        </is>
      </c>
      <c r="M1124" s="395" t="n"/>
      <c r="N1124" s="395" t="inlineStr">
        <is>
          <t>Pending</t>
        </is>
      </c>
      <c r="O1124" s="401" t="n"/>
      <c r="P1124" s="395" t="n"/>
      <c r="Q1124" s="395" t="n"/>
      <c r="R1124" s="395" t="n"/>
      <c r="S1124" s="395" t="n"/>
      <c r="T1124" s="118" t="inlineStr">
        <is>
          <t>Chưa xác định được rule với chi nhánh/phòng giao dịch</t>
        </is>
      </c>
      <c r="U1124" s="118" t="inlineStr">
        <is>
          <t>Chưa xác định được rule với chi nhánh/phòng giao dịch</t>
        </is>
      </c>
      <c r="V1124" s="395" t="n"/>
      <c r="W1124" s="395" t="n"/>
      <c r="X1124" s="395" t="n"/>
      <c r="Y1124" s="38" t="n"/>
      <c r="Z1124" s="395" t="n"/>
      <c r="AA1124" s="395" t="n"/>
      <c r="AB1124" s="395" t="n"/>
      <c r="AC1124" s="395" t="n"/>
      <c r="AD1124" s="395" t="n"/>
      <c r="AE1124" s="395" t="n"/>
    </row>
    <row r="1125" ht="98" customHeight="1" s="380">
      <c r="A1125" s="73" t="n">
        <v>64</v>
      </c>
      <c r="B1125" s="386" t="n"/>
      <c r="C1125" s="386" t="inlineStr">
        <is>
          <t>Báo cáo theo Thông tư 121/2020/TT-BTC &gt;&gt; Báo cáo tình hình nhân sự Công ty chứng khoán (Trụ sở chính, chi nhánh, phòng giao dịch) - II.1. Trụ sở</t>
        </is>
      </c>
      <c r="D1125" s="386" t="inlineStr">
        <is>
          <t>Chi nhánh CTCK &gt;&gt; TỔNG SỐ &gt;&gt; Số người có CCHN &gt;&gt; Tăng/Giảm</t>
        </is>
      </c>
      <c r="E1125" s="386" t="inlineStr">
        <is>
          <t>Chi nhánh CTCK &gt;&gt; TỔNG SỐ &gt;&gt; Số người có CCHN &gt;&gt; Tăng/Giảm</t>
        </is>
      </c>
      <c r="F1125" s="386" t="inlineStr">
        <is>
          <t>Data Explorer</t>
        </is>
      </c>
      <c r="G1125" s="386" t="inlineStr">
        <is>
          <t>Chỉ tiêu cơ sở</t>
        </is>
      </c>
      <c r="H1125" s="386" t="inlineStr">
        <is>
          <t>TB</t>
        </is>
      </c>
      <c r="I1125" s="386" t="inlineStr">
        <is>
          <t>Ngày, CTCK</t>
        </is>
      </c>
      <c r="J1125" s="395" t="inlineStr">
        <is>
          <t>SCMS</t>
        </is>
      </c>
      <c r="K1125" s="395" t="n"/>
      <c r="L1125" s="395" t="inlineStr">
        <is>
          <t>X</t>
        </is>
      </c>
      <c r="M1125" s="395" t="n"/>
      <c r="N1125" s="395" t="inlineStr">
        <is>
          <t>Pending</t>
        </is>
      </c>
      <c r="O1125" s="401" t="n"/>
      <c r="P1125" s="395" t="n"/>
      <c r="Q1125" s="395" t="n"/>
      <c r="R1125" s="395" t="n"/>
      <c r="S1125" s="395" t="n"/>
      <c r="T1125" s="118" t="inlineStr">
        <is>
          <t>Chưa xác định được rule với chi nhánh/phòng giao dịch</t>
        </is>
      </c>
      <c r="U1125" s="118" t="inlineStr">
        <is>
          <t>Chưa xác định được rule với chi nhánh/phòng giao dịch</t>
        </is>
      </c>
      <c r="V1125" s="395" t="n"/>
      <c r="W1125" s="395" t="n"/>
      <c r="X1125" s="395" t="n"/>
      <c r="Y1125" s="13" t="n"/>
      <c r="Z1125" s="395" t="n"/>
      <c r="AA1125" s="395" t="n"/>
      <c r="AB1125" s="395" t="n"/>
      <c r="AC1125" s="395" t="n"/>
      <c r="AD1125" s="395" t="n"/>
      <c r="AE1125" s="395" t="n"/>
    </row>
    <row r="1126" ht="98" customHeight="1" s="380">
      <c r="A1126" s="73" t="n">
        <v>64</v>
      </c>
      <c r="B1126" s="386" t="n"/>
      <c r="C1126" s="386" t="inlineStr">
        <is>
          <t>Báo cáo theo Thông tư 121/2020/TT-BTC &gt;&gt; Báo cáo tình hình nhân sự Công ty chứng khoán (Trụ sở chính, chi nhánh, phòng giao dịch) - II.1. Trụ sở</t>
        </is>
      </c>
      <c r="D1126" s="386" t="inlineStr">
        <is>
          <t>Số lượng phòng giao dịch</t>
        </is>
      </c>
      <c r="E1126" s="395" t="inlineStr">
        <is>
          <t>Số lượng phòng giao dịch</t>
        </is>
      </c>
      <c r="F1126" s="386" t="inlineStr">
        <is>
          <t>Data Explorer</t>
        </is>
      </c>
      <c r="G1126" s="386" t="inlineStr">
        <is>
          <t>Chỉ tiêu cơ sở</t>
        </is>
      </c>
      <c r="H1126" s="386" t="inlineStr">
        <is>
          <t>TB</t>
        </is>
      </c>
      <c r="I1126" s="386" t="inlineStr">
        <is>
          <t>Ngày, CTCK</t>
        </is>
      </c>
      <c r="J1126" s="395" t="inlineStr">
        <is>
          <t>SCMS</t>
        </is>
      </c>
      <c r="K1126" s="395" t="n"/>
      <c r="L1126" s="395" t="inlineStr">
        <is>
          <t>X</t>
        </is>
      </c>
      <c r="M1126" s="395" t="n"/>
      <c r="N1126" s="395" t="inlineStr">
        <is>
          <t>Pending</t>
        </is>
      </c>
      <c r="O1126" s="401" t="n"/>
      <c r="P1126" s="395" t="n"/>
      <c r="Q1126" s="395" t="n"/>
      <c r="R1126" s="395" t="n"/>
      <c r="S1126" s="395" t="n"/>
      <c r="T1126" s="118" t="inlineStr">
        <is>
          <t>Chưa xác định được rule với chi nhánh/phòng giao dịch</t>
        </is>
      </c>
      <c r="U1126" s="118" t="inlineStr">
        <is>
          <t>Chưa xác định được rule với chi nhánh/phòng giao dịch</t>
        </is>
      </c>
      <c r="V1126" s="395" t="n"/>
      <c r="W1126" s="395" t="n"/>
      <c r="X1126" s="395" t="n"/>
      <c r="Y1126" s="13" t="n"/>
      <c r="Z1126" s="395" t="n"/>
      <c r="AA1126" s="395" t="n"/>
      <c r="AB1126" s="395" t="n"/>
      <c r="AC1126" s="395" t="n"/>
      <c r="AD1126" s="395" t="n"/>
      <c r="AE1126" s="395" t="n"/>
    </row>
    <row r="1127" ht="98" customHeight="1" s="380">
      <c r="A1127" s="73" t="n">
        <v>64</v>
      </c>
      <c r="B1127" s="386" t="n"/>
      <c r="C1127" s="386" t="inlineStr">
        <is>
          <t>Báo cáo theo Thông tư 121/2020/TT-BTC &gt;&gt; Báo cáo tình hình nhân sự Công ty chứng khoán (Trụ sở chính, chi nhánh, phòng giao dịch) - II.1. Trụ sở</t>
        </is>
      </c>
      <c r="D1127" s="386" t="inlineStr">
        <is>
          <t>Phòng giao dịch &gt;&gt; Số người lao động &gt;&gt; Trong kỳ</t>
        </is>
      </c>
      <c r="E1127" s="386" t="inlineStr">
        <is>
          <t>Phòng giao dịch &gt;&gt; Số người lao động &gt;&gt; Trong kỳ</t>
        </is>
      </c>
      <c r="F1127" s="386" t="inlineStr">
        <is>
          <t>Data Explorer</t>
        </is>
      </c>
      <c r="G1127" s="386" t="inlineStr">
        <is>
          <t>Chỉ tiêu cơ sở</t>
        </is>
      </c>
      <c r="H1127" s="386" t="inlineStr">
        <is>
          <t>TB</t>
        </is>
      </c>
      <c r="I1127" s="386" t="inlineStr">
        <is>
          <t>Ngày, CTCK</t>
        </is>
      </c>
      <c r="J1127" s="395" t="inlineStr">
        <is>
          <t>SCMS</t>
        </is>
      </c>
      <c r="K1127" s="395" t="n"/>
      <c r="L1127" s="395" t="inlineStr">
        <is>
          <t>X</t>
        </is>
      </c>
      <c r="M1127" s="395" t="n"/>
      <c r="N1127" s="395" t="inlineStr">
        <is>
          <t>Pending</t>
        </is>
      </c>
      <c r="O1127" s="401" t="n"/>
      <c r="P1127" s="395" t="n"/>
      <c r="Q1127" s="395" t="n"/>
      <c r="R1127" s="395" t="n"/>
      <c r="S1127" s="395" t="n"/>
      <c r="T1127" s="118" t="inlineStr">
        <is>
          <t>Chưa xác định được rule với chi nhánh/phòng giao dịch</t>
        </is>
      </c>
      <c r="U1127" s="118" t="inlineStr">
        <is>
          <t>Chưa xác định được rule với chi nhánh/phòng giao dịch</t>
        </is>
      </c>
      <c r="V1127" s="395" t="n"/>
      <c r="W1127" s="395" t="n"/>
      <c r="X1127" s="395" t="n"/>
      <c r="Y1127" s="13" t="n"/>
      <c r="Z1127" s="395" t="n"/>
      <c r="AA1127" s="395" t="n"/>
      <c r="AB1127" s="395" t="n"/>
      <c r="AC1127" s="395" t="n"/>
      <c r="AD1127" s="395" t="n"/>
      <c r="AE1127" s="395" t="n"/>
    </row>
    <row r="1128" ht="98" customHeight="1" s="380">
      <c r="A1128" s="73" t="n">
        <v>64</v>
      </c>
      <c r="B1128" s="386" t="n"/>
      <c r="C1128" s="386" t="inlineStr">
        <is>
          <t>Báo cáo theo Thông tư 121/2020/TT-BTC &gt;&gt; Báo cáo tình hình nhân sự Công ty chứng khoán (Trụ sở chính, chi nhánh, phòng giao dịch) - II.1. Trụ sở</t>
        </is>
      </c>
      <c r="D1128" s="386" t="inlineStr">
        <is>
          <t>Phòng giao dịch &gt;&gt; Số người lao động &gt;&gt; Tăng/Giảm</t>
        </is>
      </c>
      <c r="E1128" s="386" t="inlineStr">
        <is>
          <t>Phòng giao dịch &gt;&gt; Số người lao động &gt;&gt; Tăng/Giảm</t>
        </is>
      </c>
      <c r="F1128" s="386" t="inlineStr">
        <is>
          <t>Data Explorer</t>
        </is>
      </c>
      <c r="G1128" s="386" t="inlineStr">
        <is>
          <t>Chỉ tiêu cơ sở</t>
        </is>
      </c>
      <c r="H1128" s="386" t="inlineStr">
        <is>
          <t>TB</t>
        </is>
      </c>
      <c r="I1128" s="386" t="inlineStr">
        <is>
          <t>Ngày, CTCK</t>
        </is>
      </c>
      <c r="J1128" s="395" t="inlineStr">
        <is>
          <t>SCMS</t>
        </is>
      </c>
      <c r="K1128" s="395" t="n"/>
      <c r="L1128" s="395" t="inlineStr">
        <is>
          <t>X</t>
        </is>
      </c>
      <c r="M1128" s="395" t="n"/>
      <c r="N1128" s="395" t="inlineStr">
        <is>
          <t>Pending</t>
        </is>
      </c>
      <c r="O1128" s="401" t="n"/>
      <c r="P1128" s="395" t="n"/>
      <c r="Q1128" s="395" t="n"/>
      <c r="R1128" s="395" t="n"/>
      <c r="S1128" s="395" t="n"/>
      <c r="T1128" s="118" t="inlineStr">
        <is>
          <t>Chưa xác định được rule với chi nhánh/phòng giao dịch</t>
        </is>
      </c>
      <c r="U1128" s="118" t="inlineStr">
        <is>
          <t>Chưa xác định được rule với chi nhánh/phòng giao dịch</t>
        </is>
      </c>
      <c r="V1128" s="395" t="n"/>
      <c r="W1128" s="395" t="n"/>
      <c r="X1128" s="395" t="n"/>
      <c r="Y1128" s="13" t="n"/>
      <c r="Z1128" s="395" t="n"/>
      <c r="AA1128" s="395" t="n"/>
      <c r="AB1128" s="395" t="n"/>
      <c r="AC1128" s="395" t="n"/>
      <c r="AD1128" s="395" t="n"/>
      <c r="AE1128" s="395" t="n"/>
    </row>
    <row r="1129" ht="98" customHeight="1" s="380">
      <c r="A1129" s="73" t="n">
        <v>64</v>
      </c>
      <c r="B1129" s="386" t="n"/>
      <c r="C1129" s="386" t="inlineStr">
        <is>
          <t>Báo cáo theo Thông tư 121/2020/TT-BTC &gt;&gt; Báo cáo tình hình nhân sự Công ty chứng khoán (Trụ sở chính, chi nhánh, phòng giao dịch) - II.1. Trụ sở</t>
        </is>
      </c>
      <c r="D1129" s="386" t="inlineStr">
        <is>
          <t>Phòng giao dịch &gt;&gt; Số người có CCHN &gt;&gt; Trong kỳ</t>
        </is>
      </c>
      <c r="E1129" s="386" t="inlineStr">
        <is>
          <t>Phòng giao dịch &gt;&gt; Số người có CCHN &gt;&gt; Trong kỳ</t>
        </is>
      </c>
      <c r="F1129" s="386" t="inlineStr">
        <is>
          <t>Data Explorer</t>
        </is>
      </c>
      <c r="G1129" s="386" t="inlineStr">
        <is>
          <t>Chỉ tiêu cơ sở</t>
        </is>
      </c>
      <c r="H1129" s="386" t="inlineStr">
        <is>
          <t>TB</t>
        </is>
      </c>
      <c r="I1129" s="386" t="inlineStr">
        <is>
          <t>Ngày, CTCK</t>
        </is>
      </c>
      <c r="J1129" s="395" t="inlineStr">
        <is>
          <t>SCMS</t>
        </is>
      </c>
      <c r="K1129" s="395" t="n"/>
      <c r="L1129" s="395" t="inlineStr">
        <is>
          <t>X</t>
        </is>
      </c>
      <c r="M1129" s="395" t="n"/>
      <c r="N1129" s="395" t="inlineStr">
        <is>
          <t>Pending</t>
        </is>
      </c>
      <c r="O1129" s="401" t="n"/>
      <c r="P1129" s="395" t="n"/>
      <c r="Q1129" s="395" t="n"/>
      <c r="R1129" s="395" t="n"/>
      <c r="S1129" s="395" t="n"/>
      <c r="T1129" s="118" t="inlineStr">
        <is>
          <t>Chưa xác định được rule với chi nhánh/phòng giao dịch</t>
        </is>
      </c>
      <c r="U1129" s="118" t="inlineStr">
        <is>
          <t>Chưa xác định được rule với chi nhánh/phòng giao dịch</t>
        </is>
      </c>
      <c r="V1129" s="395" t="n"/>
      <c r="W1129" s="395" t="n"/>
      <c r="X1129" s="395" t="n"/>
      <c r="Y1129" s="13" t="n"/>
      <c r="Z1129" s="395" t="n"/>
      <c r="AA1129" s="395" t="n"/>
      <c r="AB1129" s="395" t="n"/>
      <c r="AC1129" s="395" t="n"/>
      <c r="AD1129" s="395" t="n"/>
      <c r="AE1129" s="395" t="n"/>
    </row>
    <row r="1130" ht="98" customHeight="1" s="380">
      <c r="A1130" s="73" t="n">
        <v>64</v>
      </c>
      <c r="B1130" s="386" t="n"/>
      <c r="C1130" s="386" t="inlineStr">
        <is>
          <t>Báo cáo theo Thông tư 121/2020/TT-BTC &gt;&gt; Báo cáo tình hình nhân sự Công ty chứng khoán (Trụ sở chính, chi nhánh, phòng giao dịch) - II.1. Trụ sở</t>
        </is>
      </c>
      <c r="D1130" s="386" t="inlineStr">
        <is>
          <t>Phòng giao dịch &gt;&gt; Số người có CCHN &gt;&gt; Tăng/Giảm</t>
        </is>
      </c>
      <c r="E1130" s="386" t="inlineStr">
        <is>
          <t>Phòng giao dịch &gt;&gt; Số người có CCHN &gt;&gt; Tăng/Giảm</t>
        </is>
      </c>
      <c r="F1130" s="386" t="inlineStr">
        <is>
          <t>Data Explorer</t>
        </is>
      </c>
      <c r="G1130" s="386" t="inlineStr">
        <is>
          <t>Chỉ tiêu cơ sở</t>
        </is>
      </c>
      <c r="H1130" s="386" t="inlineStr">
        <is>
          <t>TB</t>
        </is>
      </c>
      <c r="I1130" s="386" t="inlineStr">
        <is>
          <t>Ngày, CTCK</t>
        </is>
      </c>
      <c r="J1130" s="395" t="inlineStr">
        <is>
          <t>SCMS</t>
        </is>
      </c>
      <c r="K1130" s="395" t="n"/>
      <c r="L1130" s="395" t="inlineStr">
        <is>
          <t>X</t>
        </is>
      </c>
      <c r="M1130" s="395" t="n"/>
      <c r="N1130" s="395" t="inlineStr">
        <is>
          <t>Pending</t>
        </is>
      </c>
      <c r="O1130" s="401" t="n"/>
      <c r="P1130" s="395" t="n"/>
      <c r="Q1130" s="395" t="n"/>
      <c r="R1130" s="395" t="n"/>
      <c r="S1130" s="395" t="n"/>
      <c r="T1130" s="118" t="inlineStr">
        <is>
          <t>Chưa xác định được rule với chi nhánh/phòng giao dịch</t>
        </is>
      </c>
      <c r="U1130" s="118" t="inlineStr">
        <is>
          <t>Chưa xác định được rule với chi nhánh/phòng giao dịch</t>
        </is>
      </c>
      <c r="V1130" s="395" t="n"/>
      <c r="W1130" s="395" t="n"/>
      <c r="X1130" s="395" t="n"/>
      <c r="Y1130" s="14" t="n"/>
      <c r="Z1130" s="395" t="n"/>
      <c r="AA1130" s="395" t="n"/>
      <c r="AB1130" s="395" t="n"/>
      <c r="AC1130" s="395" t="n"/>
      <c r="AD1130" s="395" t="n"/>
      <c r="AE1130" s="395" t="n"/>
    </row>
    <row r="1131" ht="98" customHeight="1" s="380">
      <c r="A1131" s="73" t="n">
        <v>64</v>
      </c>
      <c r="B1131" s="386" t="n"/>
      <c r="C1131" s="386" t="inlineStr">
        <is>
          <t>Báo cáo theo Thông tư 121/2020/TT-BTC &gt;&gt; Báo cáo tình hình nhân sự Công ty chứng khoán (Trụ sở chính, chi nhánh, phòng giao dịch) - II.1. Trụ sở</t>
        </is>
      </c>
      <c r="D1131" s="386" t="inlineStr">
        <is>
          <t>Phòng giao dịch &gt;&gt; TỔNG SỐ &gt;&gt; Số người lao động &gt;&gt; Trong kỳ</t>
        </is>
      </c>
      <c r="E1131" s="386" t="inlineStr">
        <is>
          <t>Phòng giao dịch &gt;&gt; TỔNG SỐ &gt;&gt; Số người lao động &gt;&gt; Trong kỳ</t>
        </is>
      </c>
      <c r="F1131" s="386" t="inlineStr">
        <is>
          <t>Data Explorer</t>
        </is>
      </c>
      <c r="G1131" s="386" t="inlineStr">
        <is>
          <t>Chỉ tiêu cơ sở</t>
        </is>
      </c>
      <c r="H1131" s="386" t="inlineStr">
        <is>
          <t>TB</t>
        </is>
      </c>
      <c r="I1131" s="386" t="inlineStr">
        <is>
          <t>Ngày, CTCK</t>
        </is>
      </c>
      <c r="J1131" s="395" t="inlineStr">
        <is>
          <t>SCMS</t>
        </is>
      </c>
      <c r="K1131" s="395" t="n"/>
      <c r="L1131" s="395" t="inlineStr">
        <is>
          <t>X</t>
        </is>
      </c>
      <c r="M1131" s="395" t="n"/>
      <c r="N1131" s="395" t="inlineStr">
        <is>
          <t>Pending</t>
        </is>
      </c>
      <c r="O1131" s="401" t="n"/>
      <c r="P1131" s="395" t="n"/>
      <c r="Q1131" s="395" t="n"/>
      <c r="R1131" s="395" t="n"/>
      <c r="S1131" s="395" t="n"/>
      <c r="T1131" s="118" t="inlineStr">
        <is>
          <t>Chưa xác định được rule với chi nhánh/phòng giao dịch</t>
        </is>
      </c>
      <c r="U1131" s="118" t="inlineStr">
        <is>
          <t>Chưa xác định được rule với chi nhánh/phòng giao dịch</t>
        </is>
      </c>
      <c r="V1131" s="395" t="n"/>
      <c r="W1131" s="395" t="n"/>
      <c r="X1131" s="395" t="n"/>
      <c r="Y1131" s="13" t="n"/>
      <c r="Z1131" s="395" t="n"/>
      <c r="AA1131" s="395" t="n"/>
      <c r="AB1131" s="395" t="n"/>
      <c r="AC1131" s="395" t="n"/>
      <c r="AD1131" s="395" t="n"/>
      <c r="AE1131" s="395" t="n"/>
    </row>
    <row r="1132" ht="98" customHeight="1" s="380">
      <c r="A1132" s="73" t="n">
        <v>64</v>
      </c>
      <c r="B1132" s="386" t="n"/>
      <c r="C1132" s="386" t="inlineStr">
        <is>
          <t>Báo cáo theo Thông tư 121/2020/TT-BTC &gt;&gt; Báo cáo tình hình nhân sự Công ty chứng khoán (Trụ sở chính, chi nhánh, phòng giao dịch) - II.1. Trụ sở</t>
        </is>
      </c>
      <c r="D1132" s="386" t="inlineStr">
        <is>
          <t>Phòng giao dịch &gt;&gt; TỔNG SỐ &gt;&gt; Số người lao động &gt;&gt; Tăng/Giảm</t>
        </is>
      </c>
      <c r="E1132" s="386" t="inlineStr">
        <is>
          <t>Phòng giao dịch &gt;&gt; TỔNG SỐ &gt;&gt; Số người lao động &gt;&gt; Tăng/Giảm</t>
        </is>
      </c>
      <c r="F1132" s="386" t="inlineStr">
        <is>
          <t>Data Explorer</t>
        </is>
      </c>
      <c r="G1132" s="386" t="inlineStr">
        <is>
          <t>Chỉ tiêu cơ sở</t>
        </is>
      </c>
      <c r="H1132" s="386" t="inlineStr">
        <is>
          <t>TB</t>
        </is>
      </c>
      <c r="I1132" s="386" t="inlineStr">
        <is>
          <t>Ngày, CTCK</t>
        </is>
      </c>
      <c r="J1132" s="395" t="inlineStr">
        <is>
          <t>SCMS</t>
        </is>
      </c>
      <c r="K1132" s="395" t="n"/>
      <c r="L1132" s="395" t="inlineStr">
        <is>
          <t>X</t>
        </is>
      </c>
      <c r="M1132" s="395" t="n"/>
      <c r="N1132" s="395" t="inlineStr">
        <is>
          <t>Pending</t>
        </is>
      </c>
      <c r="O1132" s="401" t="n"/>
      <c r="P1132" s="395" t="n"/>
      <c r="Q1132" s="395" t="n"/>
      <c r="R1132" s="395" t="n"/>
      <c r="S1132" s="395" t="n"/>
      <c r="T1132" s="118" t="inlineStr">
        <is>
          <t>Chưa xác định được rule với chi nhánh/phòng giao dịch</t>
        </is>
      </c>
      <c r="U1132" s="118" t="inlineStr">
        <is>
          <t>Chưa xác định được rule với chi nhánh/phòng giao dịch</t>
        </is>
      </c>
      <c r="V1132" s="395" t="n"/>
      <c r="W1132" s="395" t="n"/>
      <c r="X1132" s="395" t="n"/>
      <c r="Y1132" s="13" t="n"/>
      <c r="Z1132" s="395" t="n"/>
      <c r="AA1132" s="395" t="n"/>
      <c r="AB1132" s="395" t="n"/>
      <c r="AC1132" s="395" t="n"/>
      <c r="AD1132" s="395" t="n"/>
      <c r="AE1132" s="395" t="n"/>
    </row>
    <row r="1133" ht="98" customHeight="1" s="380">
      <c r="A1133" s="73" t="n">
        <v>64</v>
      </c>
      <c r="B1133" s="386" t="n"/>
      <c r="C1133" s="386" t="inlineStr">
        <is>
          <t>Báo cáo theo Thông tư 121/2020/TT-BTC &gt;&gt; Báo cáo tình hình nhân sự Công ty chứng khoán (Trụ sở chính, chi nhánh, phòng giao dịch) - II.1. Trụ sở</t>
        </is>
      </c>
      <c r="D1133" s="386" t="inlineStr">
        <is>
          <t>Phòng giao dịch &gt;&gt; TỔNG SỐ &gt;&gt; Số người có CCHN &gt;&gt; Trong kỳ</t>
        </is>
      </c>
      <c r="E1133" s="386" t="inlineStr">
        <is>
          <t>Phòng giao dịch &gt;&gt; TỔNG SỐ &gt;&gt; Số người có CCHN &gt;&gt; Trong kỳ</t>
        </is>
      </c>
      <c r="F1133" s="386" t="inlineStr">
        <is>
          <t>Data Explorer</t>
        </is>
      </c>
      <c r="G1133" s="386" t="inlineStr">
        <is>
          <t>Chỉ tiêu cơ sở</t>
        </is>
      </c>
      <c r="H1133" s="386" t="inlineStr">
        <is>
          <t>TB</t>
        </is>
      </c>
      <c r="I1133" s="386" t="inlineStr">
        <is>
          <t>Ngày, CTCK</t>
        </is>
      </c>
      <c r="J1133" s="395" t="inlineStr">
        <is>
          <t>SCMS</t>
        </is>
      </c>
      <c r="K1133" s="395" t="n"/>
      <c r="L1133" s="395" t="inlineStr">
        <is>
          <t>X</t>
        </is>
      </c>
      <c r="M1133" s="395" t="n"/>
      <c r="N1133" s="395" t="inlineStr">
        <is>
          <t>Pending</t>
        </is>
      </c>
      <c r="O1133" s="401" t="n"/>
      <c r="P1133" s="395" t="n"/>
      <c r="Q1133" s="395" t="n"/>
      <c r="R1133" s="395" t="n"/>
      <c r="S1133" s="395" t="n"/>
      <c r="T1133" s="118" t="inlineStr">
        <is>
          <t>Chưa xác định được rule với chi nhánh/phòng giao dịch</t>
        </is>
      </c>
      <c r="U1133" s="118" t="inlineStr">
        <is>
          <t>Chưa xác định được rule với chi nhánh/phòng giao dịch</t>
        </is>
      </c>
      <c r="V1133" s="395" t="n"/>
      <c r="W1133" s="395" t="n"/>
      <c r="X1133" s="395" t="n"/>
      <c r="Y1133" s="13" t="n"/>
      <c r="Z1133" s="395" t="n"/>
      <c r="AA1133" s="395" t="n"/>
      <c r="AB1133" s="395" t="n"/>
      <c r="AC1133" s="395" t="n"/>
      <c r="AD1133" s="395" t="n"/>
      <c r="AE1133" s="395" t="n"/>
    </row>
    <row r="1134" ht="98" customHeight="1" s="380">
      <c r="A1134" s="83" t="n">
        <v>64</v>
      </c>
      <c r="B1134" s="68" t="n"/>
      <c r="C1134" s="68" t="inlineStr">
        <is>
          <t>Báo cáo theo Thông tư 121/2020/TT-BTC &gt;&gt; Báo cáo tình hình nhân sự Công ty chứng khoán (Trụ sở chính, chi nhánh, phòng giao dịch) - II.1. Trụ sở</t>
        </is>
      </c>
      <c r="D1134" s="68" t="inlineStr">
        <is>
          <t>Phòng giao dịch &gt;&gt; TỔNG SỐ &gt;&gt; Số người có CCHN &gt;&gt; Tăng/Giảm</t>
        </is>
      </c>
      <c r="E1134" s="68" t="inlineStr">
        <is>
          <t>Phòng giao dịch &gt;&gt; TỔNG SỐ &gt;&gt; Số người có CCHN &gt;&gt; Tăng/Giảm</t>
        </is>
      </c>
      <c r="F1134" s="68" t="inlineStr">
        <is>
          <t>Data Explorer</t>
        </is>
      </c>
      <c r="G1134" s="68" t="inlineStr">
        <is>
          <t>Chỉ tiêu cơ sở</t>
        </is>
      </c>
      <c r="H1134" s="68" t="inlineStr">
        <is>
          <t>TB</t>
        </is>
      </c>
      <c r="I1134" s="68" t="inlineStr">
        <is>
          <t>Ngày, CTCK</t>
        </is>
      </c>
      <c r="J1134" s="69" t="inlineStr">
        <is>
          <t>SCMS</t>
        </is>
      </c>
      <c r="K1134" s="69" t="n"/>
      <c r="L1134" s="69" t="inlineStr">
        <is>
          <t>X</t>
        </is>
      </c>
      <c r="M1134" s="69" t="n"/>
      <c r="N1134" s="69" t="inlineStr">
        <is>
          <t>Pending</t>
        </is>
      </c>
      <c r="O1134" s="85" t="n"/>
      <c r="P1134" s="69" t="n"/>
      <c r="Q1134" s="69" t="n"/>
      <c r="R1134" s="69" t="n"/>
      <c r="S1134" s="69" t="n"/>
      <c r="T1134" s="121" t="inlineStr">
        <is>
          <t>Chưa xác định được rule với chi nhánh/phòng giao dịch</t>
        </is>
      </c>
      <c r="U1134" s="121" t="inlineStr">
        <is>
          <t>Chưa xác định được rule với chi nhánh/phòng giao dịch</t>
        </is>
      </c>
      <c r="V1134" s="69" t="n"/>
      <c r="W1134" s="69" t="n"/>
      <c r="X1134" s="69" t="n"/>
      <c r="Y1134" s="97" t="n"/>
      <c r="Z1134" s="69" t="n"/>
      <c r="AA1134" s="69" t="n"/>
      <c r="AB1134" s="69" t="n"/>
      <c r="AC1134" s="69" t="n"/>
      <c r="AD1134" s="69" t="n"/>
      <c r="AE1134" s="69" t="n"/>
    </row>
    <row r="1135" ht="98" customHeight="1" s="380">
      <c r="A1135" s="73" t="n">
        <v>65</v>
      </c>
      <c r="B1135" s="122" t="inlineStr">
        <is>
          <t>Nga</t>
        </is>
      </c>
      <c r="C1135" s="81" t="inlineStr">
        <is>
          <t>Báo cáo theo Thông tư 121/2020/TT-BTC &gt;&gt; Báo cáo tình hình nhân sự Công ty chứng khoán (Trụ sở chính, chi nhánh, phòng giao dịch) - II.1. Chi nhánh</t>
        </is>
      </c>
      <c r="D1135" s="106" t="inlineStr">
        <is>
          <t>Loại báo cáo</t>
        </is>
      </c>
      <c r="E1135" s="107" t="inlineStr">
        <is>
          <t>Loại báo cáo</t>
        </is>
      </c>
      <c r="F1135" s="390" t="inlineStr">
        <is>
          <t>Data Explorer</t>
        </is>
      </c>
      <c r="G1135" s="390" t="inlineStr">
        <is>
          <t>Chiều</t>
        </is>
      </c>
      <c r="H1135" s="390" t="inlineStr">
        <is>
          <t>Dễ</t>
        </is>
      </c>
      <c r="I1135" s="390" t="inlineStr">
        <is>
          <t>Ngày, CTCK</t>
        </is>
      </c>
      <c r="J1135" s="401" t="inlineStr">
        <is>
          <t>SCMS</t>
        </is>
      </c>
      <c r="K1135" s="401" t="inlineStr">
        <is>
          <t>X</t>
        </is>
      </c>
      <c r="L1135" s="395" t="inlineStr">
        <is>
          <t>X</t>
        </is>
      </c>
      <c r="M1135" s="401" t="n"/>
      <c r="N1135" s="395" t="inlineStr">
        <is>
          <t>Done</t>
        </is>
      </c>
      <c r="O1135" s="401" t="n"/>
      <c r="P1135" s="395" t="n"/>
      <c r="Q1135" s="404" t="inlineStr">
        <is>
          <t>SCMS.BM_BAO_CAO
SCMS.BM_BAO_CAO_DINH_KY</t>
        </is>
      </c>
      <c r="R1135" s="404" t="inlineStr">
        <is>
          <t>bm.ID,
bm.MA_BAO_CAO,
bm.LOAI_BAO_CAO,
bm.TEN_BAO_CAO,
bm.SU_DUNG,
bdk.BM_BAO_CAO_ID,
bdk.KY_BAO_CAO,
bdk.SU_DUNG</t>
        </is>
      </c>
      <c r="S1135" s="395" t="n"/>
      <c r="T1135" s="386"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135" s="386" t="n"/>
      <c r="V1135" s="395" t="n"/>
      <c r="W1135" s="395" t="n"/>
      <c r="X1135" s="395" t="n"/>
      <c r="Y1135" s="14" t="n"/>
      <c r="Z1135" s="395" t="n"/>
      <c r="AA1135" s="395" t="n"/>
      <c r="AB1135" s="395" t="n"/>
      <c r="AC1135" s="395" t="n"/>
      <c r="AD1135" s="395" t="n"/>
      <c r="AE1135" s="395" t="n"/>
    </row>
    <row r="1136" ht="98" customHeight="1" s="380">
      <c r="A1136" s="73" t="n">
        <v>65</v>
      </c>
      <c r="B1136" s="386" t="n"/>
      <c r="C1136" s="386" t="inlineStr">
        <is>
          <t>Báo cáo theo Thông tư 121/2020/TT-BTC &gt;&gt; Báo cáo tình hình nhân sự Công ty chứng khoán (Trụ sở chính, chi nhánh, phòng giao dịch) - II.1. Chi nhánh</t>
        </is>
      </c>
      <c r="D1136" s="106" t="inlineStr">
        <is>
          <t>Kỳ báo cáo</t>
        </is>
      </c>
      <c r="E1136" s="107" t="inlineStr">
        <is>
          <t>Kỳ báo cáo</t>
        </is>
      </c>
      <c r="F1136" s="390" t="inlineStr">
        <is>
          <t>Data Explorer</t>
        </is>
      </c>
      <c r="G1136" s="390" t="inlineStr">
        <is>
          <t>Chiều</t>
        </is>
      </c>
      <c r="H1136" s="390" t="inlineStr">
        <is>
          <t>Dễ</t>
        </is>
      </c>
      <c r="I1136" s="390" t="inlineStr">
        <is>
          <t>Ngày, CTCK</t>
        </is>
      </c>
      <c r="J1136" s="401" t="inlineStr">
        <is>
          <t>SCMS</t>
        </is>
      </c>
      <c r="K1136" s="401" t="inlineStr">
        <is>
          <t>X</t>
        </is>
      </c>
      <c r="L1136" s="395" t="inlineStr">
        <is>
          <t>X</t>
        </is>
      </c>
      <c r="M1136" s="401" t="n"/>
      <c r="N1136" s="395" t="inlineStr">
        <is>
          <t>Done</t>
        </is>
      </c>
      <c r="O1136" s="401" t="n"/>
      <c r="P1136" s="395" t="n"/>
      <c r="S1136" s="395" t="n"/>
      <c r="U1136" s="386" t="n"/>
      <c r="V1136" s="395" t="n"/>
      <c r="W1136" s="395" t="n"/>
      <c r="X1136" s="395" t="n"/>
      <c r="Y1136" s="13" t="n"/>
      <c r="Z1136" s="395" t="n"/>
      <c r="AA1136" s="395" t="n"/>
      <c r="AB1136" s="395" t="n"/>
      <c r="AC1136" s="395" t="n"/>
      <c r="AD1136" s="395" t="n"/>
      <c r="AE1136" s="395" t="n"/>
    </row>
    <row r="1137" ht="98" customHeight="1" s="380">
      <c r="A1137" s="73" t="n">
        <v>65</v>
      </c>
      <c r="B1137" s="386" t="n"/>
      <c r="C1137" s="386" t="inlineStr">
        <is>
          <t>Báo cáo theo Thông tư 121/2020/TT-BTC &gt;&gt; Báo cáo tình hình nhân sự Công ty chứng khoán (Trụ sở chính, chi nhánh, phòng giao dịch) - II.1. Chi nhánh</t>
        </is>
      </c>
      <c r="D1137" s="106" t="inlineStr">
        <is>
          <t>Mã báo cáo</t>
        </is>
      </c>
      <c r="E1137" s="107" t="inlineStr">
        <is>
          <t>Mã báo cáo</t>
        </is>
      </c>
      <c r="F1137" s="390" t="inlineStr">
        <is>
          <t>Data Explorer</t>
        </is>
      </c>
      <c r="G1137" s="390" t="inlineStr">
        <is>
          <t>Chiều</t>
        </is>
      </c>
      <c r="H1137" s="390" t="inlineStr">
        <is>
          <t>Dễ</t>
        </is>
      </c>
      <c r="I1137" s="390" t="inlineStr">
        <is>
          <t>Ngày, CTCK</t>
        </is>
      </c>
      <c r="J1137" s="401" t="inlineStr">
        <is>
          <t>SCMS</t>
        </is>
      </c>
      <c r="K1137" s="401" t="inlineStr">
        <is>
          <t>X</t>
        </is>
      </c>
      <c r="L1137" s="395" t="inlineStr">
        <is>
          <t>X</t>
        </is>
      </c>
      <c r="M1137" s="401" t="n"/>
      <c r="N1137" s="395" t="inlineStr">
        <is>
          <t>Done</t>
        </is>
      </c>
      <c r="O1137" s="401" t="n"/>
      <c r="P1137" s="395" t="n"/>
      <c r="S1137" s="395" t="n"/>
      <c r="U1137" s="386" t="n"/>
      <c r="V1137" s="395" t="n"/>
      <c r="W1137" s="395" t="n"/>
      <c r="X1137" s="395" t="n"/>
      <c r="Y1137" s="13" t="n"/>
      <c r="Z1137" s="395" t="n"/>
      <c r="AA1137" s="395" t="n"/>
      <c r="AB1137" s="395" t="n"/>
      <c r="AC1137" s="395" t="n"/>
      <c r="AD1137" s="395" t="n"/>
      <c r="AE1137" s="395" t="n"/>
    </row>
    <row r="1138" ht="98" customHeight="1" s="380">
      <c r="A1138" s="73" t="n">
        <v>65</v>
      </c>
      <c r="B1138" s="386" t="n"/>
      <c r="C1138" s="386" t="inlineStr">
        <is>
          <t>Báo cáo theo Thông tư 121/2020/TT-BTC &gt;&gt; Báo cáo tình hình nhân sự Công ty chứng khoán (Trụ sở chính, chi nhánh, phòng giao dịch) - II.1. Chi nhánh</t>
        </is>
      </c>
      <c r="D1138" s="106" t="inlineStr">
        <is>
          <t>Tên báo cáo</t>
        </is>
      </c>
      <c r="E1138" s="107" t="inlineStr">
        <is>
          <t>Tên báo cáo</t>
        </is>
      </c>
      <c r="F1138" s="390" t="inlineStr">
        <is>
          <t>Data Explorer</t>
        </is>
      </c>
      <c r="G1138" s="390" t="inlineStr">
        <is>
          <t>Chiều</t>
        </is>
      </c>
      <c r="H1138" s="390" t="inlineStr">
        <is>
          <t>Dễ</t>
        </is>
      </c>
      <c r="I1138" s="390" t="inlineStr">
        <is>
          <t>Ngày, CTCK</t>
        </is>
      </c>
      <c r="J1138" s="401" t="inlineStr">
        <is>
          <t>SCMS</t>
        </is>
      </c>
      <c r="K1138" s="401" t="inlineStr">
        <is>
          <t>X</t>
        </is>
      </c>
      <c r="L1138" s="395" t="inlineStr">
        <is>
          <t>X</t>
        </is>
      </c>
      <c r="M1138" s="401" t="n"/>
      <c r="N1138" s="395" t="inlineStr">
        <is>
          <t>Done</t>
        </is>
      </c>
      <c r="O1138" s="401" t="n"/>
      <c r="P1138" s="395" t="n"/>
      <c r="S1138" s="395" t="n"/>
      <c r="U1138" s="386" t="n"/>
      <c r="V1138" s="395" t="n"/>
      <c r="W1138" s="395" t="n"/>
      <c r="X1138" s="395" t="n"/>
      <c r="Y1138" s="13" t="n"/>
      <c r="Z1138" s="395" t="n"/>
      <c r="AA1138" s="395" t="n"/>
      <c r="AB1138" s="395" t="n"/>
      <c r="AC1138" s="395" t="n"/>
      <c r="AD1138" s="395" t="n"/>
      <c r="AE1138" s="395" t="n"/>
    </row>
    <row r="1139" ht="98" customHeight="1" s="380">
      <c r="A1139" s="73" t="n">
        <v>65</v>
      </c>
      <c r="B1139" s="386" t="n"/>
      <c r="C1139" s="386" t="inlineStr">
        <is>
          <t>Báo cáo theo Thông tư 121/2020/TT-BTC &gt;&gt; Báo cáo tình hình nhân sự Công ty chứng khoán (Trụ sở chính, chi nhánh, phòng giao dịch) - II.1. Chi nhánh</t>
        </is>
      </c>
      <c r="D1139" s="106" t="inlineStr">
        <is>
          <t>Mã sheet</t>
        </is>
      </c>
      <c r="E1139" s="106" t="inlineStr">
        <is>
          <t>Mã sheet</t>
        </is>
      </c>
      <c r="F1139" s="390" t="inlineStr">
        <is>
          <t>Data Explorer</t>
        </is>
      </c>
      <c r="G1139" s="390" t="inlineStr">
        <is>
          <t>Chiều</t>
        </is>
      </c>
      <c r="H1139" s="390" t="inlineStr">
        <is>
          <t>Dễ</t>
        </is>
      </c>
      <c r="I1139" s="390" t="inlineStr">
        <is>
          <t>Ngày, CTCK</t>
        </is>
      </c>
      <c r="J1139" s="401" t="inlineStr">
        <is>
          <t>SCMS</t>
        </is>
      </c>
      <c r="K1139" s="401" t="inlineStr">
        <is>
          <t>X</t>
        </is>
      </c>
      <c r="L1139" s="395" t="inlineStr">
        <is>
          <t>X</t>
        </is>
      </c>
      <c r="M1139" s="401" t="n"/>
      <c r="N1139" s="395" t="inlineStr">
        <is>
          <t>Done</t>
        </is>
      </c>
      <c r="O1139" s="401" t="n"/>
      <c r="P1139" s="395" t="n"/>
      <c r="Q1139" s="401" t="inlineStr">
        <is>
          <t>SCMS.BM_BAO_CAO
SCMS.BM_SHEET</t>
        </is>
      </c>
      <c r="R1139" s="401" t="inlineStr">
        <is>
          <t>bm.ID,
bm.MA_BAO_CAO,
bm.SU_DUNG,
s.BM_BAO_CAO_ID,
s.MA_SHEET,
s.TEN_SHEET,
s.SAP_XEP</t>
        </is>
      </c>
      <c r="S1139" s="395" t="n"/>
      <c r="T1139" s="384" t="inlineStr">
        <is>
          <t>-- Mã sheet / Tên sheet
-- TEN_SHEET: THNS
SELECT bm.MA_BAO_CAO,
s.MA_SHEET,
s.TEN_SHEET
FROM SCMS.BM_BAO_CAO bm
JOIN SCMS.BM_SHEET s ON s.BM_BAO_CAO_ID = bm.ID
WHERE bm.MA_BAO_CAO LIKE 'BCTHHDKD%'
AND s.TEN_SHEET = 'THNS'  -- Check lại
AND bm.SU_DUNG = 1
ORDER BY bm.MA_BAO_CAO, s.SAP_XEP;</t>
        </is>
      </c>
      <c r="U1139" s="386" t="n"/>
      <c r="V1139" s="395" t="n"/>
      <c r="W1139" s="395" t="n"/>
      <c r="X1139" s="395" t="n"/>
      <c r="Y1139" s="13" t="n"/>
      <c r="Z1139" s="395" t="n"/>
      <c r="AA1139" s="395" t="n"/>
      <c r="AB1139" s="395" t="n"/>
      <c r="AC1139" s="395" t="n"/>
      <c r="AD1139" s="395" t="n"/>
      <c r="AE1139" s="395" t="n"/>
    </row>
    <row r="1140" ht="98" customHeight="1" s="380">
      <c r="A1140" s="73" t="n">
        <v>65</v>
      </c>
      <c r="B1140" s="386" t="n"/>
      <c r="C1140" s="386" t="inlineStr">
        <is>
          <t>Báo cáo theo Thông tư 121/2020/TT-BTC &gt;&gt; Báo cáo tình hình nhân sự Công ty chứng khoán (Trụ sở chính, chi nhánh, phòng giao dịch) - II.1. Chi nhánh</t>
        </is>
      </c>
      <c r="D1140" s="106" t="inlineStr">
        <is>
          <t>Tên sheet</t>
        </is>
      </c>
      <c r="E1140" s="106" t="inlineStr">
        <is>
          <t>Tên sheet</t>
        </is>
      </c>
      <c r="F1140" s="390" t="inlineStr">
        <is>
          <t>Data Explorer</t>
        </is>
      </c>
      <c r="G1140" s="390" t="inlineStr">
        <is>
          <t>Chiều</t>
        </is>
      </c>
      <c r="H1140" s="390" t="inlineStr">
        <is>
          <t>Dễ</t>
        </is>
      </c>
      <c r="I1140" s="390" t="inlineStr">
        <is>
          <t>Ngày, CTCK</t>
        </is>
      </c>
      <c r="J1140" s="401" t="inlineStr">
        <is>
          <t>SCMS</t>
        </is>
      </c>
      <c r="K1140" s="401" t="inlineStr">
        <is>
          <t>X</t>
        </is>
      </c>
      <c r="L1140" s="395" t="inlineStr">
        <is>
          <t>X</t>
        </is>
      </c>
      <c r="M1140" s="401" t="n"/>
      <c r="N1140" s="395" t="inlineStr">
        <is>
          <t>Done</t>
        </is>
      </c>
      <c r="O1140" s="401" t="n"/>
      <c r="P1140" s="395" t="n"/>
      <c r="S1140" s="395" t="n"/>
      <c r="U1140" s="386" t="n"/>
      <c r="V1140" s="395" t="n"/>
      <c r="W1140" s="395" t="n"/>
      <c r="X1140" s="395" t="n"/>
      <c r="Y1140" s="13" t="n"/>
      <c r="Z1140" s="395" t="n"/>
      <c r="AA1140" s="395" t="n"/>
      <c r="AB1140" s="395" t="n"/>
      <c r="AC1140" s="395" t="n"/>
      <c r="AD1140" s="395" t="n"/>
      <c r="AE1140" s="395" t="n"/>
    </row>
    <row r="1141" ht="98" customHeight="1" s="380">
      <c r="A1141" s="73" t="n">
        <v>65</v>
      </c>
      <c r="B1141" s="386" t="n"/>
      <c r="C1141" s="386" t="inlineStr">
        <is>
          <t>Báo cáo theo Thông tư 121/2020/TT-BTC &gt;&gt; Báo cáo tình hình nhân sự Công ty chứng khoán (Trụ sở chính, chi nhánh, phòng giao dịch) - II.1. Chi nhánh</t>
        </is>
      </c>
      <c r="D1141" s="106" t="inlineStr">
        <is>
          <t>Mã chỉ tiêu</t>
        </is>
      </c>
      <c r="E1141" s="107" t="inlineStr">
        <is>
          <t>Mã chỉ tiêu</t>
        </is>
      </c>
      <c r="F1141" s="390" t="inlineStr">
        <is>
          <t>Data Explorer</t>
        </is>
      </c>
      <c r="G1141" s="390" t="inlineStr">
        <is>
          <t>Chiều</t>
        </is>
      </c>
      <c r="H1141" s="390" t="inlineStr">
        <is>
          <t>Dễ</t>
        </is>
      </c>
      <c r="I1141" s="390" t="inlineStr">
        <is>
          <t>Ngày, CTCK</t>
        </is>
      </c>
      <c r="J1141" s="401" t="inlineStr">
        <is>
          <t>SCMS</t>
        </is>
      </c>
      <c r="K1141" s="401" t="inlineStr">
        <is>
          <t>X</t>
        </is>
      </c>
      <c r="L1141" s="395" t="inlineStr">
        <is>
          <t>X</t>
        </is>
      </c>
      <c r="M1141" s="401" t="n"/>
      <c r="N1141" s="395" t="inlineStr">
        <is>
          <t>Done</t>
        </is>
      </c>
      <c r="O1141" s="401" t="n"/>
      <c r="P1141" s="395" t="n"/>
      <c r="Q1141" s="401" t="inlineStr">
        <is>
          <t>SCMS.BM_BAO_CAO
SCMS.BM_SHEET
SCMS.BM_BAO_CAO_CT
SCMS.DM_CHI_TIEU</t>
        </is>
      </c>
      <c r="R1141" s="402" t="inlineStr">
        <is>
          <t>dct.ID,
dct.MA_CHI_TIEU,
dct.TEN_CHI_TIEU,
dct.SU_DUNG,
s.BM_BAO_CAO_ID,
s.MA_SHEET,
ct.BM_BAO_CAO_ID,
ct.DM_CHI_TIEU_ID,
ct.SU_DUNG,
bm.ID,
bm.MA_BAO_CAO,
bm.SU_DUNG</t>
        </is>
      </c>
      <c r="S1141" s="395" t="n"/>
      <c r="T1141" s="384" t="inlineStr">
        <is>
          <t>-- Mã chỉ tiêu / Tên chỉ tiêu
SELECT DISTINCT
    dct.MA_CHI_TIEU  AS ma_chi_tieu,
    dct.TEN_CHI_TIEU AS ten_chi_tieu
FROM SCMS.BM_BAO_CAO bm
JOIN SCMS.BM_SHEET s ON s.BM_BAO_CAO_ID = bm.ID
        AND s.TEN_SHEET = 'THNS'
JOIN SCMS.BM_BAO_CAO_CT ct ON ct.BM_SHEET_ID = s.ID
        AND ct.SU_DUNG = 1
JOIN SCMS.DM_CHI_TIEU dct ON dct.ID = ct.DM_CHI_TIEU_ID
        AND dct.SU_DUNG = 1
WHERE bm.MA_BAO_CAO LIKE 'BCTHHDKD%'
        AND bm.SU_DUNG = 1
ORDER BY dct.MA_CHI_TIEU;</t>
        </is>
      </c>
      <c r="U1141" s="386" t="n"/>
      <c r="V1141" s="395" t="n"/>
      <c r="W1141" s="395" t="n"/>
      <c r="X1141" s="395" t="n"/>
      <c r="Y1141" s="14" t="n"/>
      <c r="Z1141" s="395" t="n"/>
      <c r="AA1141" s="395" t="n"/>
      <c r="AB1141" s="395" t="n"/>
      <c r="AC1141" s="395" t="n"/>
      <c r="AD1141" s="395" t="n"/>
      <c r="AE1141" s="395" t="n"/>
    </row>
    <row r="1142" ht="98" customHeight="1" s="380">
      <c r="A1142" s="73" t="n">
        <v>65</v>
      </c>
      <c r="B1142" s="386" t="n"/>
      <c r="C1142" s="386" t="inlineStr">
        <is>
          <t>Báo cáo theo Thông tư 121/2020/TT-BTC &gt;&gt; Báo cáo tình hình nhân sự Công ty chứng khoán (Trụ sở chính, chi nhánh, phòng giao dịch) - II.1. Chi nhánh</t>
        </is>
      </c>
      <c r="D1142" s="106" t="inlineStr">
        <is>
          <t>Tên chỉ tiêu</t>
        </is>
      </c>
      <c r="E1142" s="107" t="inlineStr">
        <is>
          <t>Tên chỉ tiêu</t>
        </is>
      </c>
      <c r="F1142" s="390" t="inlineStr">
        <is>
          <t>Data Explorer</t>
        </is>
      </c>
      <c r="G1142" s="390" t="inlineStr">
        <is>
          <t>Chiều</t>
        </is>
      </c>
      <c r="H1142" s="390" t="inlineStr">
        <is>
          <t>Dễ</t>
        </is>
      </c>
      <c r="I1142" s="390" t="inlineStr">
        <is>
          <t>Ngày, CTCK</t>
        </is>
      </c>
      <c r="J1142" s="401" t="inlineStr">
        <is>
          <t>SCMS</t>
        </is>
      </c>
      <c r="K1142" s="401" t="inlineStr">
        <is>
          <t>X</t>
        </is>
      </c>
      <c r="L1142" s="395" t="inlineStr">
        <is>
          <t>X</t>
        </is>
      </c>
      <c r="M1142" s="401" t="n"/>
      <c r="N1142" s="395" t="inlineStr">
        <is>
          <t>Done</t>
        </is>
      </c>
      <c r="O1142" s="401" t="n"/>
      <c r="P1142" s="395" t="n"/>
      <c r="S1142" s="395" t="n"/>
      <c r="U1142" s="386" t="n"/>
      <c r="V1142" s="395" t="n"/>
      <c r="W1142" s="395" t="n"/>
      <c r="X1142" s="395" t="n"/>
      <c r="Y1142" s="13" t="n"/>
      <c r="Z1142" s="395" t="n"/>
      <c r="AA1142" s="395" t="n"/>
      <c r="AB1142" s="395" t="n"/>
      <c r="AC1142" s="395" t="n"/>
      <c r="AD1142" s="395" t="n"/>
      <c r="AE1142" s="395" t="n"/>
    </row>
    <row r="1143" ht="98" customHeight="1" s="380">
      <c r="A1143" s="73" t="n">
        <v>65</v>
      </c>
      <c r="B1143" s="386" t="n"/>
      <c r="C1143" s="386" t="inlineStr">
        <is>
          <t>Báo cáo theo Thông tư 121/2020/TT-BTC &gt;&gt; Báo cáo tình hình nhân sự Công ty chứng khoán (Trụ sở chính, chi nhánh, phòng giao dịch) - II.1. Chi nhánh</t>
        </is>
      </c>
      <c r="D1143" s="386" t="inlineStr">
        <is>
          <t>Tên công ty</t>
        </is>
      </c>
      <c r="E1143" s="386" t="inlineStr">
        <is>
          <t>Tên công ty</t>
        </is>
      </c>
      <c r="F1143" s="386" t="inlineStr">
        <is>
          <t>Data Explorer</t>
        </is>
      </c>
      <c r="G1143" s="386" t="inlineStr">
        <is>
          <t>Chỉ tiêu cơ sở</t>
        </is>
      </c>
      <c r="H1143" s="386" t="inlineStr">
        <is>
          <t>Dễ</t>
        </is>
      </c>
      <c r="I1143" s="386" t="inlineStr">
        <is>
          <t>Ngày, CTCK</t>
        </is>
      </c>
      <c r="J1143" s="395" t="inlineStr">
        <is>
          <t>SCMS</t>
        </is>
      </c>
      <c r="K1143" s="395" t="n"/>
      <c r="L1143" s="395" t="inlineStr">
        <is>
          <t>X</t>
        </is>
      </c>
      <c r="M1143" s="395" t="n"/>
      <c r="N1143" s="395" t="inlineStr">
        <is>
          <t>Pending</t>
        </is>
      </c>
      <c r="O1143" s="401" t="n"/>
      <c r="P1143" s="395" t="n"/>
      <c r="Q1143" s="395" t="n"/>
      <c r="R1143" s="395" t="n"/>
      <c r="S1143" s="395" t="n"/>
      <c r="T1143" s="123" t="inlineStr">
        <is>
          <t>Chưa xác định được rule với chi nhánh/phòng giao dịch</t>
        </is>
      </c>
      <c r="U1143" s="386" t="n"/>
      <c r="V1143" s="395" t="n"/>
      <c r="W1143" s="395" t="n"/>
      <c r="X1143" s="395" t="n"/>
      <c r="Y1143" s="13" t="n"/>
      <c r="Z1143" s="395" t="n"/>
      <c r="AA1143" s="395" t="n"/>
      <c r="AB1143" s="395" t="n"/>
      <c r="AC1143" s="395" t="n"/>
      <c r="AD1143" s="395" t="n"/>
      <c r="AE1143" s="395" t="n"/>
    </row>
    <row r="1144" ht="98" customHeight="1" s="380">
      <c r="A1144" s="73" t="n">
        <v>65</v>
      </c>
      <c r="B1144" s="386" t="n"/>
      <c r="C1144" s="386" t="inlineStr">
        <is>
          <t>Báo cáo theo Thông tư 121/2020/TT-BTC &gt;&gt; Báo cáo tình hình nhân sự Công ty chứng khoán (Trụ sở chính, chi nhánh, phòng giao dịch) - II.1. Chi nhánh</t>
        </is>
      </c>
      <c r="D1144" s="386" t="inlineStr">
        <is>
          <t>Nghiệp vụ hoạt động &gt;&gt; Môi giới chứng khoán</t>
        </is>
      </c>
      <c r="E1144" s="386" t="inlineStr">
        <is>
          <t>Nghiệp vụ hoạt động &gt;&gt; Môi giới chứng khoán</t>
        </is>
      </c>
      <c r="F1144" s="386" t="inlineStr">
        <is>
          <t>Data Explorer</t>
        </is>
      </c>
      <c r="G1144" s="386" t="inlineStr">
        <is>
          <t>Chỉ tiêu cơ sở</t>
        </is>
      </c>
      <c r="H1144" s="386" t="inlineStr">
        <is>
          <t>TB</t>
        </is>
      </c>
      <c r="I1144" s="386" t="inlineStr">
        <is>
          <t>Ngày, CTCK</t>
        </is>
      </c>
      <c r="J1144" s="395" t="inlineStr">
        <is>
          <t>SCMS</t>
        </is>
      </c>
      <c r="K1144" s="395" t="n"/>
      <c r="L1144" s="395" t="inlineStr">
        <is>
          <t>X</t>
        </is>
      </c>
      <c r="M1144" s="395" t="n"/>
      <c r="N1144" s="395" t="inlineStr">
        <is>
          <t>Pending</t>
        </is>
      </c>
      <c r="O1144" s="401" t="n"/>
      <c r="P1144" s="395" t="n"/>
      <c r="Q1144" s="395" t="n"/>
      <c r="R1144" s="395" t="n"/>
      <c r="S1144" s="395" t="n"/>
      <c r="T1144" s="123" t="inlineStr">
        <is>
          <t>Chưa xác định được rule với chi nhánh/phòng giao dịch</t>
        </is>
      </c>
      <c r="U1144" s="386" t="n"/>
      <c r="V1144" s="395" t="n"/>
      <c r="W1144" s="395" t="n"/>
      <c r="X1144" s="395" t="n"/>
      <c r="Y1144" s="13" t="n"/>
      <c r="Z1144" s="395" t="n"/>
      <c r="AA1144" s="395" t="n"/>
      <c r="AB1144" s="395" t="n"/>
      <c r="AC1144" s="395" t="n"/>
      <c r="AD1144" s="395" t="n"/>
      <c r="AE1144" s="395" t="n"/>
    </row>
    <row r="1145" ht="98" customHeight="1" s="380">
      <c r="A1145" s="73" t="n">
        <v>65</v>
      </c>
      <c r="B1145" s="386" t="n"/>
      <c r="C1145" s="386" t="inlineStr">
        <is>
          <t>Báo cáo theo Thông tư 121/2020/TT-BTC &gt;&gt; Báo cáo tình hình nhân sự Công ty chứng khoán (Trụ sở chính, chi nhánh, phòng giao dịch) - II.1. Chi nhánh</t>
        </is>
      </c>
      <c r="D1145" s="386" t="inlineStr">
        <is>
          <t>Nghiệp vụ hoạt động &gt;&gt; Tự doanh chứng khoán</t>
        </is>
      </c>
      <c r="E1145" s="386" t="inlineStr">
        <is>
          <t>Nghiệp vụ hoạt động &gt;&gt; Tự doanh chứng khoán</t>
        </is>
      </c>
      <c r="F1145" s="386" t="inlineStr">
        <is>
          <t>Data Explorer</t>
        </is>
      </c>
      <c r="G1145" s="386" t="inlineStr">
        <is>
          <t>Chỉ tiêu cơ sở</t>
        </is>
      </c>
      <c r="H1145" s="386" t="inlineStr">
        <is>
          <t>TB</t>
        </is>
      </c>
      <c r="I1145" s="386" t="inlineStr">
        <is>
          <t>Ngày, CTCK</t>
        </is>
      </c>
      <c r="J1145" s="395" t="inlineStr">
        <is>
          <t>SCMS</t>
        </is>
      </c>
      <c r="K1145" s="395" t="n"/>
      <c r="L1145" s="395" t="inlineStr">
        <is>
          <t>X</t>
        </is>
      </c>
      <c r="M1145" s="395" t="n"/>
      <c r="N1145" s="395" t="inlineStr">
        <is>
          <t>Pending</t>
        </is>
      </c>
      <c r="O1145" s="401" t="n"/>
      <c r="P1145" s="395" t="n"/>
      <c r="Q1145" s="395" t="n"/>
      <c r="R1145" s="395" t="n"/>
      <c r="S1145" s="395" t="n"/>
      <c r="T1145" s="123" t="inlineStr">
        <is>
          <t>Chưa xác định được rule với chi nhánh/phòng giao dịch</t>
        </is>
      </c>
      <c r="U1145" s="386" t="n"/>
      <c r="V1145" s="395" t="n"/>
      <c r="W1145" s="395" t="n"/>
      <c r="X1145" s="395" t="n"/>
      <c r="Y1145" s="13" t="n"/>
      <c r="Z1145" s="395" t="n"/>
      <c r="AA1145" s="395" t="n"/>
      <c r="AB1145" s="395" t="n"/>
      <c r="AC1145" s="395" t="n"/>
      <c r="AD1145" s="395" t="n"/>
      <c r="AE1145" s="395" t="n"/>
    </row>
    <row r="1146" ht="98" customHeight="1" s="380">
      <c r="A1146" s="73" t="n">
        <v>65</v>
      </c>
      <c r="B1146" s="386" t="n"/>
      <c r="C1146" s="386" t="inlineStr">
        <is>
          <t>Báo cáo theo Thông tư 121/2020/TT-BTC &gt;&gt; Báo cáo tình hình nhân sự Công ty chứng khoán (Trụ sở chính, chi nhánh, phòng giao dịch) - II.1. Chi nhánh</t>
        </is>
      </c>
      <c r="D1146" s="386" t="inlineStr">
        <is>
          <t>Nghiệp vụ hoạt động &gt;&gt; Bảo lãnh phát hành chứng khoán</t>
        </is>
      </c>
      <c r="E1146" s="386" t="inlineStr">
        <is>
          <t>Nghiệp vụ hoạt động &gt;&gt; Bảo lãnh phát hành chứng khoán</t>
        </is>
      </c>
      <c r="F1146" s="386" t="inlineStr">
        <is>
          <t>Data Explorer</t>
        </is>
      </c>
      <c r="G1146" s="386" t="inlineStr">
        <is>
          <t>Chỉ tiêu cơ sở</t>
        </is>
      </c>
      <c r="H1146" s="386" t="inlineStr">
        <is>
          <t>TB</t>
        </is>
      </c>
      <c r="I1146" s="386" t="inlineStr">
        <is>
          <t>Ngày, CTCK</t>
        </is>
      </c>
      <c r="J1146" s="395" t="inlineStr">
        <is>
          <t>SCMS</t>
        </is>
      </c>
      <c r="K1146" s="395" t="n"/>
      <c r="L1146" s="395" t="inlineStr">
        <is>
          <t>X</t>
        </is>
      </c>
      <c r="M1146" s="395" t="n"/>
      <c r="N1146" s="395" t="inlineStr">
        <is>
          <t>Pending</t>
        </is>
      </c>
      <c r="O1146" s="401" t="n"/>
      <c r="P1146" s="395" t="n"/>
      <c r="Q1146" s="395" t="n"/>
      <c r="R1146" s="395" t="n"/>
      <c r="S1146" s="395" t="n"/>
      <c r="T1146" s="123" t="inlineStr">
        <is>
          <t>Chưa xác định được rule với chi nhánh/phòng giao dịch</t>
        </is>
      </c>
      <c r="U1146" s="386" t="n"/>
      <c r="V1146" s="395" t="n"/>
      <c r="W1146" s="395" t="n"/>
      <c r="X1146" s="395" t="n"/>
      <c r="Y1146" s="13" t="n"/>
      <c r="Z1146" s="395" t="n"/>
      <c r="AA1146" s="395" t="n"/>
      <c r="AB1146" s="395" t="n"/>
      <c r="AC1146" s="395" t="n"/>
      <c r="AD1146" s="395" t="n"/>
      <c r="AE1146" s="395" t="n"/>
    </row>
    <row r="1147" ht="98" customHeight="1" s="380">
      <c r="A1147" s="73" t="n">
        <v>65</v>
      </c>
      <c r="B1147" s="386" t="n"/>
      <c r="C1147" s="386" t="inlineStr">
        <is>
          <t>Báo cáo theo Thông tư 121/2020/TT-BTC &gt;&gt; Báo cáo tình hình nhân sự Công ty chứng khoán (Trụ sở chính, chi nhánh, phòng giao dịch) - II.1. Chi nhánh</t>
        </is>
      </c>
      <c r="D1147" s="386" t="inlineStr">
        <is>
          <t>Nghiệp vụ hoạt động &gt;&gt; Tư vấn đầu tư chứng khoán</t>
        </is>
      </c>
      <c r="E1147" s="386" t="inlineStr">
        <is>
          <t>Nghiệp vụ hoạt động &gt;&gt; Tư vấn đầu tư chứng khoán</t>
        </is>
      </c>
      <c r="F1147" s="386" t="inlineStr">
        <is>
          <t>Data Explorer</t>
        </is>
      </c>
      <c r="G1147" s="386" t="inlineStr">
        <is>
          <t>Chỉ tiêu cơ sở</t>
        </is>
      </c>
      <c r="H1147" s="386" t="inlineStr">
        <is>
          <t>TB</t>
        </is>
      </c>
      <c r="I1147" s="386" t="inlineStr">
        <is>
          <t>Ngày, CTCK</t>
        </is>
      </c>
      <c r="J1147" s="395" t="inlineStr">
        <is>
          <t>SCMS</t>
        </is>
      </c>
      <c r="K1147" s="395" t="n"/>
      <c r="L1147" s="395" t="inlineStr">
        <is>
          <t>X</t>
        </is>
      </c>
      <c r="M1147" s="395" t="n"/>
      <c r="N1147" s="395" t="inlineStr">
        <is>
          <t>Pending</t>
        </is>
      </c>
      <c r="O1147" s="401" t="n"/>
      <c r="P1147" s="395" t="n"/>
      <c r="Q1147" s="395" t="n"/>
      <c r="R1147" s="395" t="n"/>
      <c r="S1147" s="395" t="n"/>
      <c r="T1147" s="123" t="inlineStr">
        <is>
          <t>Chưa xác định được rule với chi nhánh/phòng giao dịch</t>
        </is>
      </c>
      <c r="U1147" s="386" t="n"/>
      <c r="V1147" s="395" t="n"/>
      <c r="W1147" s="395" t="n"/>
      <c r="X1147" s="395" t="n"/>
      <c r="Y1147" s="14" t="n"/>
      <c r="Z1147" s="395" t="n"/>
      <c r="AA1147" s="395" t="n"/>
      <c r="AB1147" s="395" t="n"/>
      <c r="AC1147" s="395" t="n"/>
      <c r="AD1147" s="395" t="n"/>
      <c r="AE1147" s="395" t="n"/>
    </row>
    <row r="1148" ht="98" customHeight="1" s="380">
      <c r="A1148" s="73" t="n">
        <v>65</v>
      </c>
      <c r="B1148" s="386" t="n"/>
      <c r="C1148" s="386" t="inlineStr">
        <is>
          <t>Báo cáo theo Thông tư 121/2020/TT-BTC &gt;&gt; Báo cáo tình hình nhân sự Công ty chứng khoán (Trụ sở chính, chi nhánh, phòng giao dịch) - II.1. Chi nhánh</t>
        </is>
      </c>
      <c r="D1148" s="386" t="inlineStr">
        <is>
          <t>Tên chi nhánh công ty chứng khoán</t>
        </is>
      </c>
      <c r="E1148" s="386" t="inlineStr">
        <is>
          <t>Tên chi nhánh công ty chứng khoán</t>
        </is>
      </c>
      <c r="F1148" s="386" t="inlineStr">
        <is>
          <t>Data Explorer</t>
        </is>
      </c>
      <c r="G1148" s="386" t="inlineStr">
        <is>
          <t>Chỉ tiêu cơ sở</t>
        </is>
      </c>
      <c r="H1148" s="386" t="inlineStr">
        <is>
          <t>TB</t>
        </is>
      </c>
      <c r="I1148" s="386" t="inlineStr">
        <is>
          <t>Ngày, CTCK</t>
        </is>
      </c>
      <c r="J1148" s="395" t="inlineStr">
        <is>
          <t>SCMS</t>
        </is>
      </c>
      <c r="K1148" s="395" t="n"/>
      <c r="L1148" s="395" t="inlineStr">
        <is>
          <t>X</t>
        </is>
      </c>
      <c r="M1148" s="395" t="n"/>
      <c r="N1148" s="395" t="inlineStr">
        <is>
          <t>Pending</t>
        </is>
      </c>
      <c r="O1148" s="401" t="n"/>
      <c r="P1148" s="395" t="n"/>
      <c r="Q1148" s="395" t="n"/>
      <c r="R1148" s="395" t="n"/>
      <c r="S1148" s="395" t="n"/>
      <c r="T1148" s="123" t="inlineStr">
        <is>
          <t>Chưa xác định được rule với chi nhánh/phòng giao dịch</t>
        </is>
      </c>
      <c r="U1148" s="386" t="n"/>
      <c r="V1148" s="395" t="n"/>
      <c r="W1148" s="395" t="n"/>
      <c r="X1148" s="395" t="n"/>
      <c r="Y1148" s="13" t="n"/>
      <c r="Z1148" s="395" t="n"/>
      <c r="AA1148" s="395" t="n"/>
      <c r="AB1148" s="395" t="n"/>
      <c r="AC1148" s="395" t="n"/>
      <c r="AD1148" s="395" t="n"/>
      <c r="AE1148" s="395" t="n"/>
    </row>
    <row r="1149" ht="98" customHeight="1" s="380">
      <c r="A1149" s="73" t="n">
        <v>65</v>
      </c>
      <c r="B1149" s="386" t="n"/>
      <c r="C1149" s="386" t="inlineStr">
        <is>
          <t>Báo cáo theo Thông tư 121/2020/TT-BTC &gt;&gt; Báo cáo tình hình nhân sự Công ty chứng khoán (Trụ sở chính, chi nhánh, phòng giao dịch) - II.1. Chi nhánh</t>
        </is>
      </c>
      <c r="D1149" s="386" t="inlineStr">
        <is>
          <t>Quyết định thành lập &gt;&gt; Số</t>
        </is>
      </c>
      <c r="E1149" s="386" t="inlineStr">
        <is>
          <t>Quyết định thành lập &gt;&gt; Số</t>
        </is>
      </c>
      <c r="F1149" s="386" t="inlineStr">
        <is>
          <t>Data Explorer</t>
        </is>
      </c>
      <c r="G1149" s="386" t="inlineStr">
        <is>
          <t>Chỉ tiêu cơ sở</t>
        </is>
      </c>
      <c r="H1149" s="386" t="inlineStr">
        <is>
          <t>TB</t>
        </is>
      </c>
      <c r="I1149" s="386" t="inlineStr">
        <is>
          <t>Ngày, CTCK</t>
        </is>
      </c>
      <c r="J1149" s="395" t="inlineStr">
        <is>
          <t>SCMS</t>
        </is>
      </c>
      <c r="K1149" s="395" t="n"/>
      <c r="L1149" s="395" t="inlineStr">
        <is>
          <t>X</t>
        </is>
      </c>
      <c r="M1149" s="395" t="n"/>
      <c r="N1149" s="395" t="inlineStr">
        <is>
          <t>Pending</t>
        </is>
      </c>
      <c r="O1149" s="401" t="n"/>
      <c r="P1149" s="395" t="n"/>
      <c r="Q1149" s="395" t="n"/>
      <c r="R1149" s="395" t="n"/>
      <c r="S1149" s="395" t="n"/>
      <c r="T1149" s="123" t="inlineStr">
        <is>
          <t>Chưa xác định được rule với chi nhánh/phòng giao dịch</t>
        </is>
      </c>
      <c r="U1149" s="386" t="n"/>
      <c r="V1149" s="395" t="n"/>
      <c r="W1149" s="395" t="n"/>
      <c r="X1149" s="395" t="n"/>
      <c r="Y1149" s="13" t="n"/>
      <c r="Z1149" s="395" t="n"/>
      <c r="AA1149" s="395" t="n"/>
      <c r="AB1149" s="395" t="n"/>
      <c r="AC1149" s="395" t="n"/>
      <c r="AD1149" s="395" t="n"/>
      <c r="AE1149" s="395" t="n"/>
    </row>
    <row r="1150" ht="98" customHeight="1" s="380">
      <c r="A1150" s="73" t="n">
        <v>65</v>
      </c>
      <c r="B1150" s="386" t="n"/>
      <c r="C1150" s="386" t="inlineStr">
        <is>
          <t>Báo cáo theo Thông tư 121/2020/TT-BTC &gt;&gt; Báo cáo tình hình nhân sự Công ty chứng khoán (Trụ sở chính, chi nhánh, phòng giao dịch) - II.1. Chi nhánh</t>
        </is>
      </c>
      <c r="D1150" s="386" t="inlineStr">
        <is>
          <t>Quyết định thành lập &gt;&gt; Ngày cấp</t>
        </is>
      </c>
      <c r="E1150" s="386" t="inlineStr">
        <is>
          <t>Quyết định thành lập &gt;&gt; Ngày cấp</t>
        </is>
      </c>
      <c r="F1150" s="386" t="inlineStr">
        <is>
          <t>Data Explorer</t>
        </is>
      </c>
      <c r="G1150" s="386" t="inlineStr">
        <is>
          <t>Chỉ tiêu cơ sở</t>
        </is>
      </c>
      <c r="H1150" s="386" t="inlineStr">
        <is>
          <t>TB</t>
        </is>
      </c>
      <c r="I1150" s="386" t="inlineStr">
        <is>
          <t>Ngày, CTCK</t>
        </is>
      </c>
      <c r="J1150" s="395" t="inlineStr">
        <is>
          <t>SCMS</t>
        </is>
      </c>
      <c r="K1150" s="395" t="n"/>
      <c r="L1150" s="395" t="inlineStr">
        <is>
          <t>X</t>
        </is>
      </c>
      <c r="M1150" s="395" t="n"/>
      <c r="N1150" s="395" t="inlineStr">
        <is>
          <t>Pending</t>
        </is>
      </c>
      <c r="O1150" s="401" t="n"/>
      <c r="P1150" s="395" t="n"/>
      <c r="Q1150" s="395" t="n"/>
      <c r="R1150" s="395" t="n"/>
      <c r="S1150" s="395" t="n"/>
      <c r="T1150" s="123" t="inlineStr">
        <is>
          <t>Chưa xác định được rule với chi nhánh/phòng giao dịch</t>
        </is>
      </c>
      <c r="U1150" s="386" t="n"/>
      <c r="V1150" s="395" t="n"/>
      <c r="W1150" s="395" t="n"/>
      <c r="X1150" s="395" t="n"/>
      <c r="Y1150" s="13" t="n"/>
      <c r="Z1150" s="395" t="n"/>
      <c r="AA1150" s="395" t="n"/>
      <c r="AB1150" s="395" t="n"/>
      <c r="AC1150" s="395" t="n"/>
      <c r="AD1150" s="395" t="n"/>
      <c r="AE1150" s="395" t="n"/>
    </row>
    <row r="1151" ht="98" customHeight="1" s="380">
      <c r="A1151" s="73" t="n">
        <v>65</v>
      </c>
      <c r="B1151" s="386" t="n"/>
      <c r="C1151" s="386" t="inlineStr">
        <is>
          <t>Báo cáo theo Thông tư 121/2020/TT-BTC &gt;&gt; Báo cáo tình hình nhân sự Công ty chứng khoán (Trụ sở chính, chi nhánh, phòng giao dịch) - II.1. Chi nhánh</t>
        </is>
      </c>
      <c r="D1151" s="386" t="inlineStr">
        <is>
          <t>Nghiệp vụ hoạt động được ủy quyền &gt;&gt; Môi giới chứng khoán</t>
        </is>
      </c>
      <c r="E1151" s="386" t="inlineStr">
        <is>
          <t>Nghiệp vụ hoạt động được ủy quyền &gt;&gt; Môi giới chứng khoán</t>
        </is>
      </c>
      <c r="F1151" s="386" t="inlineStr">
        <is>
          <t>Data Explorer</t>
        </is>
      </c>
      <c r="G1151" s="386" t="inlineStr">
        <is>
          <t>Chỉ tiêu cơ sở</t>
        </is>
      </c>
      <c r="H1151" s="386" t="inlineStr">
        <is>
          <t>TB</t>
        </is>
      </c>
      <c r="I1151" s="386" t="inlineStr">
        <is>
          <t>Ngày, CTCK</t>
        </is>
      </c>
      <c r="J1151" s="395" t="inlineStr">
        <is>
          <t>SCMS</t>
        </is>
      </c>
      <c r="K1151" s="395" t="n"/>
      <c r="L1151" s="395" t="inlineStr">
        <is>
          <t>X</t>
        </is>
      </c>
      <c r="M1151" s="395" t="n"/>
      <c r="N1151" s="395" t="inlineStr">
        <is>
          <t>Pending</t>
        </is>
      </c>
      <c r="O1151" s="401" t="n"/>
      <c r="P1151" s="395" t="n"/>
      <c r="Q1151" s="395" t="n"/>
      <c r="R1151" s="395" t="n"/>
      <c r="S1151" s="395" t="n"/>
      <c r="T1151" s="123" t="inlineStr">
        <is>
          <t>Chưa xác định được rule với chi nhánh/phòng giao dịch</t>
        </is>
      </c>
      <c r="U1151" s="386" t="n"/>
      <c r="V1151" s="395" t="n"/>
      <c r="W1151" s="395" t="n"/>
      <c r="X1151" s="395" t="n"/>
      <c r="Y1151" s="13" t="n"/>
      <c r="Z1151" s="395" t="n"/>
      <c r="AA1151" s="395" t="n"/>
      <c r="AB1151" s="395" t="n"/>
      <c r="AC1151" s="395" t="n"/>
      <c r="AD1151" s="395" t="n"/>
      <c r="AE1151" s="395" t="n"/>
    </row>
    <row r="1152" ht="98" customHeight="1" s="380">
      <c r="A1152" s="73" t="n">
        <v>65</v>
      </c>
      <c r="B1152" s="386" t="n"/>
      <c r="C1152" s="386" t="inlineStr">
        <is>
          <t>Báo cáo theo Thông tư 121/2020/TT-BTC &gt;&gt; Báo cáo tình hình nhân sự Công ty chứng khoán (Trụ sở chính, chi nhánh, phòng giao dịch) - II.1. Chi nhánh</t>
        </is>
      </c>
      <c r="D1152" s="386" t="inlineStr">
        <is>
          <t>Nghiệp vụ hoạt động được ủy quyền &gt;&gt; Tự doanh chứng khoán</t>
        </is>
      </c>
      <c r="E1152" s="386" t="inlineStr">
        <is>
          <t>Nghiệp vụ hoạt động được ủy quyền &gt;&gt; Tự doanh chứng khoán</t>
        </is>
      </c>
      <c r="F1152" s="386" t="inlineStr">
        <is>
          <t>Data Explorer</t>
        </is>
      </c>
      <c r="G1152" s="386" t="inlineStr">
        <is>
          <t>Chỉ tiêu cơ sở</t>
        </is>
      </c>
      <c r="H1152" s="386" t="inlineStr">
        <is>
          <t>TB</t>
        </is>
      </c>
      <c r="I1152" s="386" t="inlineStr">
        <is>
          <t>Ngày, CTCK</t>
        </is>
      </c>
      <c r="J1152" s="395" t="inlineStr">
        <is>
          <t>SCMS</t>
        </is>
      </c>
      <c r="K1152" s="395" t="n"/>
      <c r="L1152" s="395" t="inlineStr">
        <is>
          <t>X</t>
        </is>
      </c>
      <c r="M1152" s="395" t="n"/>
      <c r="N1152" s="395" t="inlineStr">
        <is>
          <t>Pending</t>
        </is>
      </c>
      <c r="O1152" s="401" t="n"/>
      <c r="P1152" s="395" t="n"/>
      <c r="Q1152" s="395" t="n"/>
      <c r="R1152" s="395" t="n"/>
      <c r="S1152" s="395" t="n"/>
      <c r="T1152" s="123" t="inlineStr">
        <is>
          <t>Chưa xác định được rule với chi nhánh/phòng giao dịch</t>
        </is>
      </c>
      <c r="U1152" s="386" t="n"/>
      <c r="V1152" s="395" t="n"/>
      <c r="W1152" s="395" t="n"/>
      <c r="X1152" s="395" t="n"/>
      <c r="Y1152" s="13" t="n"/>
      <c r="Z1152" s="395" t="n"/>
      <c r="AA1152" s="395" t="n"/>
      <c r="AB1152" s="395" t="n"/>
      <c r="AC1152" s="395" t="n"/>
      <c r="AD1152" s="395" t="n"/>
      <c r="AE1152" s="395" t="n"/>
    </row>
    <row r="1153" ht="98" customHeight="1" s="380">
      <c r="A1153" s="73" t="n">
        <v>65</v>
      </c>
      <c r="B1153" s="386" t="n"/>
      <c r="C1153" s="386" t="inlineStr">
        <is>
          <t>Báo cáo theo Thông tư 121/2020/TT-BTC &gt;&gt; Báo cáo tình hình nhân sự Công ty chứng khoán (Trụ sở chính, chi nhánh, phòng giao dịch) - II.1. Chi nhánh</t>
        </is>
      </c>
      <c r="D1153" s="386" t="inlineStr">
        <is>
          <t>Nghiệp vụ hoạt động được ủy quyền &gt;&gt; Bảo lãnh phát hành chứng khoán</t>
        </is>
      </c>
      <c r="E1153" s="386" t="inlineStr">
        <is>
          <t>Nghiệp vụ hoạt động được ủy quyền &gt;&gt; Bảo lãnh phát hành chứng khoán</t>
        </is>
      </c>
      <c r="F1153" s="386" t="inlineStr">
        <is>
          <t>Data Explorer</t>
        </is>
      </c>
      <c r="G1153" s="386" t="inlineStr">
        <is>
          <t>Chỉ tiêu cơ sở</t>
        </is>
      </c>
      <c r="H1153" s="386" t="inlineStr">
        <is>
          <t>TB</t>
        </is>
      </c>
      <c r="I1153" s="386" t="inlineStr">
        <is>
          <t>Ngày, CTCK</t>
        </is>
      </c>
      <c r="J1153" s="395" t="inlineStr">
        <is>
          <t>SCMS</t>
        </is>
      </c>
      <c r="K1153" s="395" t="n"/>
      <c r="L1153" s="395" t="inlineStr">
        <is>
          <t>X</t>
        </is>
      </c>
      <c r="M1153" s="395" t="n"/>
      <c r="N1153" s="395" t="inlineStr">
        <is>
          <t>Pending</t>
        </is>
      </c>
      <c r="O1153" s="401" t="n"/>
      <c r="P1153" s="395" t="n"/>
      <c r="Q1153" s="395" t="n"/>
      <c r="R1153" s="395" t="n"/>
      <c r="S1153" s="395" t="n"/>
      <c r="T1153" s="123" t="inlineStr">
        <is>
          <t>Chưa xác định được rule với chi nhánh/phòng giao dịch</t>
        </is>
      </c>
      <c r="U1153" s="386" t="n"/>
      <c r="V1153" s="395" t="n"/>
      <c r="W1153" s="395" t="n"/>
      <c r="X1153" s="395" t="n"/>
      <c r="Y1153" s="38" t="n"/>
      <c r="Z1153" s="395" t="n"/>
      <c r="AA1153" s="395" t="n"/>
      <c r="AB1153" s="395" t="n"/>
      <c r="AC1153" s="395" t="n"/>
      <c r="AD1153" s="395" t="n"/>
      <c r="AE1153" s="395" t="n"/>
    </row>
    <row r="1154" ht="98" customHeight="1" s="380">
      <c r="A1154" s="73" t="n">
        <v>65</v>
      </c>
      <c r="B1154" s="386" t="n"/>
      <c r="C1154" s="386" t="inlineStr">
        <is>
          <t>Báo cáo theo Thông tư 121/2020/TT-BTC &gt;&gt; Báo cáo tình hình nhân sự Công ty chứng khoán (Trụ sở chính, chi nhánh, phòng giao dịch) - II.1. Chi nhánh</t>
        </is>
      </c>
      <c r="D1154" s="386" t="inlineStr">
        <is>
          <t>Nghiệp vụ hoạt động được ủy quyền &gt;&gt; Tư vấn đầu tư chứng khoán</t>
        </is>
      </c>
      <c r="E1154" s="386" t="inlineStr">
        <is>
          <t>Nghiệp vụ hoạt động được ủy quyền &gt;&gt; Tư vấn đầu tư chứng khoán</t>
        </is>
      </c>
      <c r="F1154" s="386" t="inlineStr">
        <is>
          <t>Data Explorer</t>
        </is>
      </c>
      <c r="G1154" s="386" t="inlineStr">
        <is>
          <t>Chỉ tiêu cơ sở</t>
        </is>
      </c>
      <c r="H1154" s="386" t="inlineStr">
        <is>
          <t>TB</t>
        </is>
      </c>
      <c r="I1154" s="386" t="inlineStr">
        <is>
          <t>Ngày, CTCK</t>
        </is>
      </c>
      <c r="J1154" s="395" t="inlineStr">
        <is>
          <t>SCMS</t>
        </is>
      </c>
      <c r="K1154" s="395" t="n"/>
      <c r="L1154" s="395" t="inlineStr">
        <is>
          <t>X</t>
        </is>
      </c>
      <c r="M1154" s="395" t="n"/>
      <c r="N1154" s="395" t="inlineStr">
        <is>
          <t>Pending</t>
        </is>
      </c>
      <c r="O1154" s="401" t="n"/>
      <c r="P1154" s="395" t="n"/>
      <c r="Q1154" s="395" t="n"/>
      <c r="R1154" s="395" t="n"/>
      <c r="S1154" s="395" t="n"/>
      <c r="T1154" s="123" t="inlineStr">
        <is>
          <t>Chưa xác định được rule với chi nhánh/phòng giao dịch</t>
        </is>
      </c>
      <c r="U1154" s="386" t="n"/>
      <c r="V1154" s="395" t="n"/>
      <c r="W1154" s="395" t="n"/>
      <c r="X1154" s="395" t="n"/>
      <c r="Y1154" s="13" t="n"/>
      <c r="Z1154" s="395" t="n"/>
      <c r="AA1154" s="395" t="n"/>
      <c r="AB1154" s="395" t="n"/>
      <c r="AC1154" s="395" t="n"/>
      <c r="AD1154" s="395" t="n"/>
      <c r="AE1154" s="395" t="n"/>
    </row>
    <row r="1155" ht="98" customHeight="1" s="380">
      <c r="A1155" s="73" t="n">
        <v>65</v>
      </c>
      <c r="B1155" s="386" t="n"/>
      <c r="C1155" s="386" t="inlineStr">
        <is>
          <t>Báo cáo theo Thông tư 121/2020/TT-BTC &gt;&gt; Báo cáo tình hình nhân sự Công ty chứng khoán (Trụ sở chính, chi nhánh, phòng giao dịch) - II.1. Chi nhánh</t>
        </is>
      </c>
      <c r="D1155" s="386" t="inlineStr">
        <is>
          <t>Giám đốc chi nhánh &gt;&gt; Số người lao động &gt;&gt; Trong kỳ</t>
        </is>
      </c>
      <c r="E1155" s="386" t="inlineStr">
        <is>
          <t>Giám đốc chi nhánh &gt;&gt; Số người lao động &gt;&gt; Trong kỳ</t>
        </is>
      </c>
      <c r="F1155" s="386" t="inlineStr">
        <is>
          <t>Data Explorer</t>
        </is>
      </c>
      <c r="G1155" s="386" t="inlineStr">
        <is>
          <t>Chỉ tiêu cơ sở</t>
        </is>
      </c>
      <c r="H1155" s="386" t="inlineStr">
        <is>
          <t>TB</t>
        </is>
      </c>
      <c r="I1155" s="386" t="inlineStr">
        <is>
          <t>Ngày, CTCK</t>
        </is>
      </c>
      <c r="J1155" s="395" t="inlineStr">
        <is>
          <t>SCMS</t>
        </is>
      </c>
      <c r="K1155" s="395" t="n"/>
      <c r="L1155" s="395" t="inlineStr">
        <is>
          <t>X</t>
        </is>
      </c>
      <c r="M1155" s="395" t="n"/>
      <c r="N1155" s="395" t="inlineStr">
        <is>
          <t>Pending</t>
        </is>
      </c>
      <c r="O1155" s="401" t="n"/>
      <c r="P1155" s="395" t="n"/>
      <c r="Q1155" s="395" t="n"/>
      <c r="R1155" s="395" t="n"/>
      <c r="S1155" s="395" t="n"/>
      <c r="T1155" s="123" t="inlineStr">
        <is>
          <t>Chưa xác định được rule với chi nhánh/phòng giao dịch</t>
        </is>
      </c>
      <c r="U1155" s="386" t="n"/>
      <c r="V1155" s="395" t="n"/>
      <c r="W1155" s="395" t="n"/>
      <c r="X1155" s="395" t="n"/>
      <c r="Y1155" s="13" t="n"/>
      <c r="Z1155" s="395" t="n"/>
      <c r="AA1155" s="395" t="n"/>
      <c r="AB1155" s="395" t="n"/>
      <c r="AC1155" s="395" t="n"/>
      <c r="AD1155" s="395" t="n"/>
      <c r="AE1155" s="395" t="n"/>
    </row>
    <row r="1156" ht="98" customHeight="1" s="380">
      <c r="A1156" s="73" t="n">
        <v>65</v>
      </c>
      <c r="B1156" s="386" t="n"/>
      <c r="C1156" s="386" t="inlineStr">
        <is>
          <t>Báo cáo theo Thông tư 121/2020/TT-BTC &gt;&gt; Báo cáo tình hình nhân sự Công ty chứng khoán (Trụ sở chính, chi nhánh, phòng giao dịch) - II.1. Chi nhánh</t>
        </is>
      </c>
      <c r="D1156" s="386" t="inlineStr">
        <is>
          <t>Giám đốc chi nhánh &gt;&gt; Số người lao động &gt;&gt; Tăng/Giảm</t>
        </is>
      </c>
      <c r="E1156" s="386" t="inlineStr">
        <is>
          <t>Giám đốc chi nhánh &gt;&gt; Số người lao động &gt;&gt; Tăng/Giảm</t>
        </is>
      </c>
      <c r="F1156" s="386" t="inlineStr">
        <is>
          <t>Data Explorer</t>
        </is>
      </c>
      <c r="G1156" s="386" t="inlineStr">
        <is>
          <t>Chỉ tiêu cơ sở</t>
        </is>
      </c>
      <c r="H1156" s="386" t="inlineStr">
        <is>
          <t>TB</t>
        </is>
      </c>
      <c r="I1156" s="386" t="inlineStr">
        <is>
          <t>Ngày, CTCK</t>
        </is>
      </c>
      <c r="J1156" s="395" t="inlineStr">
        <is>
          <t>SCMS</t>
        </is>
      </c>
      <c r="K1156" s="395" t="n"/>
      <c r="L1156" s="395" t="inlineStr">
        <is>
          <t>X</t>
        </is>
      </c>
      <c r="M1156" s="395" t="n"/>
      <c r="N1156" s="395" t="inlineStr">
        <is>
          <t>Pending</t>
        </is>
      </c>
      <c r="O1156" s="401" t="n"/>
      <c r="P1156" s="395" t="n"/>
      <c r="Q1156" s="395" t="n"/>
      <c r="R1156" s="395" t="n"/>
      <c r="S1156" s="395" t="n"/>
      <c r="T1156" s="123" t="inlineStr">
        <is>
          <t>Chưa xác định được rule với chi nhánh/phòng giao dịch</t>
        </is>
      </c>
      <c r="U1156" s="386" t="n"/>
      <c r="V1156" s="395" t="n"/>
      <c r="W1156" s="395" t="n"/>
      <c r="X1156" s="395" t="n"/>
      <c r="Y1156" s="13" t="n"/>
      <c r="Z1156" s="395" t="n"/>
      <c r="AA1156" s="395" t="n"/>
      <c r="AB1156" s="395" t="n"/>
      <c r="AC1156" s="395" t="n"/>
      <c r="AD1156" s="395" t="n"/>
      <c r="AE1156" s="395" t="n"/>
    </row>
    <row r="1157" ht="98" customHeight="1" s="380">
      <c r="A1157" s="73" t="n">
        <v>65</v>
      </c>
      <c r="B1157" s="386" t="n"/>
      <c r="C1157" s="386" t="inlineStr">
        <is>
          <t>Báo cáo theo Thông tư 121/2020/TT-BTC &gt;&gt; Báo cáo tình hình nhân sự Công ty chứng khoán (Trụ sở chính, chi nhánh, phòng giao dịch) - II.1. Chi nhánh</t>
        </is>
      </c>
      <c r="D1157" s="386" t="inlineStr">
        <is>
          <t>Giám đốc chi nhánh &gt;&gt; Số người có CCHN &gt;&gt; Trong kỳ</t>
        </is>
      </c>
      <c r="E1157" s="386" t="inlineStr">
        <is>
          <t>Giám đốc chi nhánh &gt;&gt; Số người có CCHN &gt;&gt; Trong kỳ</t>
        </is>
      </c>
      <c r="F1157" s="386" t="inlineStr">
        <is>
          <t>Data Explorer</t>
        </is>
      </c>
      <c r="G1157" s="386" t="inlineStr">
        <is>
          <t>Chỉ tiêu cơ sở</t>
        </is>
      </c>
      <c r="H1157" s="386" t="inlineStr">
        <is>
          <t>TB</t>
        </is>
      </c>
      <c r="I1157" s="386" t="inlineStr">
        <is>
          <t>Ngày, CTCK</t>
        </is>
      </c>
      <c r="J1157" s="395" t="inlineStr">
        <is>
          <t>SCMS</t>
        </is>
      </c>
      <c r="K1157" s="395" t="n"/>
      <c r="L1157" s="395" t="inlineStr">
        <is>
          <t>X</t>
        </is>
      </c>
      <c r="M1157" s="395" t="n"/>
      <c r="N1157" s="395" t="inlineStr">
        <is>
          <t>Pending</t>
        </is>
      </c>
      <c r="O1157" s="401" t="n"/>
      <c r="P1157" s="395" t="n"/>
      <c r="Q1157" s="395" t="n"/>
      <c r="R1157" s="395" t="n"/>
      <c r="S1157" s="395" t="n"/>
      <c r="T1157" s="123" t="inlineStr">
        <is>
          <t>Chưa xác định được rule với chi nhánh/phòng giao dịch</t>
        </is>
      </c>
      <c r="U1157" s="386" t="n"/>
      <c r="V1157" s="395" t="n"/>
      <c r="W1157" s="395" t="n"/>
      <c r="X1157" s="395" t="n"/>
      <c r="Y1157" s="13" t="n"/>
      <c r="Z1157" s="395" t="n"/>
      <c r="AA1157" s="395" t="n"/>
      <c r="AB1157" s="395" t="n"/>
      <c r="AC1157" s="395" t="n"/>
      <c r="AD1157" s="395" t="n"/>
      <c r="AE1157" s="395" t="n"/>
    </row>
    <row r="1158" ht="98" customHeight="1" s="380">
      <c r="A1158" s="73" t="n">
        <v>65</v>
      </c>
      <c r="B1158" s="386" t="n"/>
      <c r="C1158" s="386" t="inlineStr">
        <is>
          <t>Báo cáo theo Thông tư 121/2020/TT-BTC &gt;&gt; Báo cáo tình hình nhân sự Công ty chứng khoán (Trụ sở chính, chi nhánh, phòng giao dịch) - II.1. Chi nhánh</t>
        </is>
      </c>
      <c r="D1158" s="386" t="inlineStr">
        <is>
          <t>Giám đốc chi nhánh &gt;&gt; Số người có CCHN &gt;&gt; Tăng/Giảm</t>
        </is>
      </c>
      <c r="E1158" s="386" t="inlineStr">
        <is>
          <t>Giám đốc chi nhánh &gt;&gt; Số người có CCHN &gt;&gt; Tăng/Giảm</t>
        </is>
      </c>
      <c r="F1158" s="386" t="inlineStr">
        <is>
          <t>Data Explorer</t>
        </is>
      </c>
      <c r="G1158" s="386" t="inlineStr">
        <is>
          <t>Chỉ tiêu cơ sở</t>
        </is>
      </c>
      <c r="H1158" s="386" t="inlineStr">
        <is>
          <t>TB</t>
        </is>
      </c>
      <c r="I1158" s="386" t="inlineStr">
        <is>
          <t>Ngày, CTCK</t>
        </is>
      </c>
      <c r="J1158" s="395" t="inlineStr">
        <is>
          <t>SCMS</t>
        </is>
      </c>
      <c r="K1158" s="395" t="n"/>
      <c r="L1158" s="395" t="inlineStr">
        <is>
          <t>X</t>
        </is>
      </c>
      <c r="M1158" s="395" t="n"/>
      <c r="N1158" s="395" t="inlineStr">
        <is>
          <t>Pending</t>
        </is>
      </c>
      <c r="O1158" s="401" t="n"/>
      <c r="P1158" s="395" t="n"/>
      <c r="Q1158" s="395" t="n"/>
      <c r="R1158" s="395" t="n"/>
      <c r="S1158" s="395" t="n"/>
      <c r="T1158" s="123" t="inlineStr">
        <is>
          <t>Chưa xác định được rule với chi nhánh/phòng giao dịch</t>
        </is>
      </c>
      <c r="U1158" s="386" t="n"/>
      <c r="V1158" s="395" t="n"/>
      <c r="W1158" s="395" t="n"/>
      <c r="X1158" s="395" t="n"/>
      <c r="Y1158" s="13" t="n"/>
      <c r="Z1158" s="395" t="n"/>
      <c r="AA1158" s="395" t="n"/>
      <c r="AB1158" s="395" t="n"/>
      <c r="AC1158" s="395" t="n"/>
      <c r="AD1158" s="395" t="n"/>
      <c r="AE1158" s="395" t="n"/>
    </row>
    <row r="1159" ht="98" customHeight="1" s="380">
      <c r="A1159" s="73" t="n">
        <v>65</v>
      </c>
      <c r="B1159" s="386" t="n"/>
      <c r="C1159" s="386" t="inlineStr">
        <is>
          <t>Báo cáo theo Thông tư 121/2020/TT-BTC &gt;&gt; Báo cáo tình hình nhân sự Công ty chứng khoán (Trụ sở chính, chi nhánh, phòng giao dịch) - II.1. Chi nhánh</t>
        </is>
      </c>
      <c r="D1159" s="386" t="inlineStr">
        <is>
          <t>Bộ phận môi giới &gt;&gt; Số người lao động &gt;&gt; Trong kỳ</t>
        </is>
      </c>
      <c r="E1159" s="386" t="inlineStr">
        <is>
          <t>Bộ phận môi giới &gt;&gt; Số người lao động &gt;&gt; Trong kỳ</t>
        </is>
      </c>
      <c r="F1159" s="386" t="inlineStr">
        <is>
          <t>Data Explorer</t>
        </is>
      </c>
      <c r="G1159" s="386" t="inlineStr">
        <is>
          <t>Chỉ tiêu cơ sở</t>
        </is>
      </c>
      <c r="H1159" s="386" t="inlineStr">
        <is>
          <t>TB</t>
        </is>
      </c>
      <c r="I1159" s="386" t="inlineStr">
        <is>
          <t>Ngày, CTCK</t>
        </is>
      </c>
      <c r="J1159" s="395" t="inlineStr">
        <is>
          <t>SCMS</t>
        </is>
      </c>
      <c r="K1159" s="395" t="n"/>
      <c r="L1159" s="395" t="inlineStr">
        <is>
          <t>X</t>
        </is>
      </c>
      <c r="M1159" s="395" t="n"/>
      <c r="N1159" s="395" t="inlineStr">
        <is>
          <t>Pending</t>
        </is>
      </c>
      <c r="O1159" s="401" t="n"/>
      <c r="P1159" s="395" t="n"/>
      <c r="Q1159" s="395" t="n"/>
      <c r="R1159" s="395" t="n"/>
      <c r="S1159" s="395" t="n"/>
      <c r="T1159" s="123" t="inlineStr">
        <is>
          <t>Chưa xác định được rule với chi nhánh/phòng giao dịch</t>
        </is>
      </c>
      <c r="U1159" s="386" t="n"/>
      <c r="V1159" s="395" t="n"/>
      <c r="W1159" s="395" t="n"/>
      <c r="X1159" s="395" t="n"/>
      <c r="Y1159" s="14" t="n"/>
      <c r="Z1159" s="395" t="n"/>
      <c r="AA1159" s="395" t="n"/>
      <c r="AB1159" s="395" t="n"/>
      <c r="AC1159" s="395" t="n"/>
      <c r="AD1159" s="395" t="n"/>
      <c r="AE1159" s="395" t="n"/>
    </row>
    <row r="1160" ht="98" customHeight="1" s="380">
      <c r="A1160" s="73" t="n">
        <v>65</v>
      </c>
      <c r="B1160" s="386" t="n"/>
      <c r="C1160" s="386" t="inlineStr">
        <is>
          <t>Báo cáo theo Thông tư 121/2020/TT-BTC &gt;&gt; Báo cáo tình hình nhân sự Công ty chứng khoán (Trụ sở chính, chi nhánh, phòng giao dịch) - II.1. Chi nhánh</t>
        </is>
      </c>
      <c r="D1160" s="386" t="inlineStr">
        <is>
          <t>Bộ phận môi giới &gt;&gt; Số người lao động &gt;&gt; Tăng/Giảm</t>
        </is>
      </c>
      <c r="E1160" s="386" t="inlineStr">
        <is>
          <t>Bộ phận môi giới &gt;&gt; Số người lao động &gt;&gt; Tăng/Giảm</t>
        </is>
      </c>
      <c r="F1160" s="386" t="inlineStr">
        <is>
          <t>Data Explorer</t>
        </is>
      </c>
      <c r="G1160" s="386" t="inlineStr">
        <is>
          <t>Chỉ tiêu cơ sở</t>
        </is>
      </c>
      <c r="H1160" s="386" t="inlineStr">
        <is>
          <t>TB</t>
        </is>
      </c>
      <c r="I1160" s="386" t="inlineStr">
        <is>
          <t>Ngày, CTCK</t>
        </is>
      </c>
      <c r="J1160" s="395" t="inlineStr">
        <is>
          <t>SCMS</t>
        </is>
      </c>
      <c r="K1160" s="395" t="n"/>
      <c r="L1160" s="395" t="inlineStr">
        <is>
          <t>X</t>
        </is>
      </c>
      <c r="M1160" s="395" t="n"/>
      <c r="N1160" s="395" t="inlineStr">
        <is>
          <t>Pending</t>
        </is>
      </c>
      <c r="O1160" s="401" t="n"/>
      <c r="P1160" s="395" t="n"/>
      <c r="Q1160" s="395" t="n"/>
      <c r="R1160" s="395" t="n"/>
      <c r="S1160" s="395" t="n"/>
      <c r="T1160" s="123" t="inlineStr">
        <is>
          <t>Chưa xác định được rule với chi nhánh/phòng giao dịch</t>
        </is>
      </c>
      <c r="U1160" s="386" t="n"/>
      <c r="V1160" s="395" t="n"/>
      <c r="W1160" s="395" t="n"/>
      <c r="X1160" s="395" t="n"/>
      <c r="Y1160" s="13" t="n"/>
      <c r="Z1160" s="395" t="n"/>
      <c r="AA1160" s="395" t="n"/>
      <c r="AB1160" s="395" t="n"/>
      <c r="AC1160" s="395" t="n"/>
      <c r="AD1160" s="395" t="n"/>
      <c r="AE1160" s="395" t="n"/>
    </row>
    <row r="1161" ht="98" customHeight="1" s="380">
      <c r="A1161" s="73" t="n">
        <v>65</v>
      </c>
      <c r="B1161" s="386" t="n"/>
      <c r="C1161" s="386" t="inlineStr">
        <is>
          <t>Báo cáo theo Thông tư 121/2020/TT-BTC &gt;&gt; Báo cáo tình hình nhân sự Công ty chứng khoán (Trụ sở chính, chi nhánh, phòng giao dịch) - II.1. Chi nhánh</t>
        </is>
      </c>
      <c r="D1161" s="386" t="inlineStr">
        <is>
          <t>Bộ phận môi giới &gt;&gt; Số người có CCHN &gt;&gt; Trong kỳ</t>
        </is>
      </c>
      <c r="E1161" s="386" t="inlineStr">
        <is>
          <t>Bộ phận môi giới &gt;&gt; Số người có CCHN &gt;&gt; Trong kỳ</t>
        </is>
      </c>
      <c r="F1161" s="386" t="inlineStr">
        <is>
          <t>Data Explorer</t>
        </is>
      </c>
      <c r="G1161" s="386" t="inlineStr">
        <is>
          <t>Chỉ tiêu cơ sở</t>
        </is>
      </c>
      <c r="H1161" s="386" t="inlineStr">
        <is>
          <t>TB</t>
        </is>
      </c>
      <c r="I1161" s="386" t="inlineStr">
        <is>
          <t>Ngày, CTCK</t>
        </is>
      </c>
      <c r="J1161" s="395" t="inlineStr">
        <is>
          <t>SCMS</t>
        </is>
      </c>
      <c r="K1161" s="395" t="n"/>
      <c r="L1161" s="395" t="inlineStr">
        <is>
          <t>X</t>
        </is>
      </c>
      <c r="M1161" s="395" t="n"/>
      <c r="N1161" s="395" t="inlineStr">
        <is>
          <t>Pending</t>
        </is>
      </c>
      <c r="O1161" s="401" t="n"/>
      <c r="P1161" s="395" t="n"/>
      <c r="Q1161" s="395" t="n"/>
      <c r="R1161" s="395" t="n"/>
      <c r="S1161" s="395" t="n"/>
      <c r="T1161" s="123" t="inlineStr">
        <is>
          <t>Chưa xác định được rule với chi nhánh/phòng giao dịch</t>
        </is>
      </c>
      <c r="U1161" s="386" t="n"/>
      <c r="V1161" s="395" t="n"/>
      <c r="W1161" s="395" t="n"/>
      <c r="X1161" s="395" t="n"/>
      <c r="Y1161" s="13" t="n"/>
      <c r="Z1161" s="395" t="n"/>
      <c r="AA1161" s="395" t="n"/>
      <c r="AB1161" s="395" t="n"/>
      <c r="AC1161" s="395" t="n"/>
      <c r="AD1161" s="395" t="n"/>
      <c r="AE1161" s="395" t="n"/>
    </row>
    <row r="1162" ht="98" customHeight="1" s="380">
      <c r="A1162" s="73" t="n">
        <v>65</v>
      </c>
      <c r="B1162" s="386" t="n"/>
      <c r="C1162" s="386" t="inlineStr">
        <is>
          <t>Báo cáo theo Thông tư 121/2020/TT-BTC &gt;&gt; Báo cáo tình hình nhân sự Công ty chứng khoán (Trụ sở chính, chi nhánh, phòng giao dịch) - II.1. Chi nhánh</t>
        </is>
      </c>
      <c r="D1162" s="386" t="inlineStr">
        <is>
          <t>Bộ phận môi giới &gt;&gt; Số người có CCHN &gt;&gt; Tăng/Giảm</t>
        </is>
      </c>
      <c r="E1162" s="386" t="inlineStr">
        <is>
          <t>Bộ phận môi giới &gt;&gt; Số người có CCHN &gt;&gt; Tăng/Giảm</t>
        </is>
      </c>
      <c r="F1162" s="386" t="inlineStr">
        <is>
          <t>Data Explorer</t>
        </is>
      </c>
      <c r="G1162" s="386" t="inlineStr">
        <is>
          <t>Chỉ tiêu cơ sở</t>
        </is>
      </c>
      <c r="H1162" s="386" t="inlineStr">
        <is>
          <t>TB</t>
        </is>
      </c>
      <c r="I1162" s="386" t="inlineStr">
        <is>
          <t>Ngày, CTCK</t>
        </is>
      </c>
      <c r="J1162" s="395" t="inlineStr">
        <is>
          <t>SCMS</t>
        </is>
      </c>
      <c r="K1162" s="395" t="n"/>
      <c r="L1162" s="395" t="inlineStr">
        <is>
          <t>X</t>
        </is>
      </c>
      <c r="M1162" s="395" t="n"/>
      <c r="N1162" s="395" t="inlineStr">
        <is>
          <t>Pending</t>
        </is>
      </c>
      <c r="O1162" s="401" t="n"/>
      <c r="P1162" s="395" t="n"/>
      <c r="Q1162" s="395" t="n"/>
      <c r="R1162" s="395" t="n"/>
      <c r="S1162" s="395" t="n"/>
      <c r="T1162" s="123" t="inlineStr">
        <is>
          <t>Chưa xác định được rule với chi nhánh/phòng giao dịch</t>
        </is>
      </c>
      <c r="U1162" s="386" t="n"/>
      <c r="V1162" s="395" t="n"/>
      <c r="W1162" s="395" t="n"/>
      <c r="X1162" s="395" t="n"/>
      <c r="Y1162" s="13" t="n"/>
      <c r="Z1162" s="395" t="n"/>
      <c r="AA1162" s="395" t="n"/>
      <c r="AB1162" s="395" t="n"/>
      <c r="AC1162" s="395" t="n"/>
      <c r="AD1162" s="395" t="n"/>
      <c r="AE1162" s="395" t="n"/>
    </row>
    <row r="1163" ht="98" customHeight="1" s="380">
      <c r="A1163" s="73" t="n">
        <v>65</v>
      </c>
      <c r="B1163" s="386" t="n"/>
      <c r="C1163" s="386" t="inlineStr">
        <is>
          <t>Báo cáo theo Thông tư 121/2020/TT-BTC &gt;&gt; Báo cáo tình hình nhân sự Công ty chứng khoán (Trụ sở chính, chi nhánh, phòng giao dịch) - II.1. Chi nhánh</t>
        </is>
      </c>
      <c r="D1163" s="386" t="inlineStr">
        <is>
          <t>Bộ phận thực tư vấn &gt;&gt; Số người lao động &gt;&gt; Trong kỳ</t>
        </is>
      </c>
      <c r="E1163" s="386" t="inlineStr">
        <is>
          <t>Bộ phận thực tư vấn &gt;&gt; Số người lao động &gt;&gt; Trong kỳ</t>
        </is>
      </c>
      <c r="F1163" s="386" t="inlineStr">
        <is>
          <t>Data Explorer</t>
        </is>
      </c>
      <c r="G1163" s="386" t="inlineStr">
        <is>
          <t>Chỉ tiêu cơ sở</t>
        </is>
      </c>
      <c r="H1163" s="386" t="inlineStr">
        <is>
          <t>TB</t>
        </is>
      </c>
      <c r="I1163" s="386" t="inlineStr">
        <is>
          <t>Ngày, CTCK</t>
        </is>
      </c>
      <c r="J1163" s="395" t="inlineStr">
        <is>
          <t>SCMS</t>
        </is>
      </c>
      <c r="K1163" s="395" t="n"/>
      <c r="L1163" s="395" t="inlineStr">
        <is>
          <t>X</t>
        </is>
      </c>
      <c r="M1163" s="395" t="n"/>
      <c r="N1163" s="395" t="inlineStr">
        <is>
          <t>Pending</t>
        </is>
      </c>
      <c r="O1163" s="401" t="n"/>
      <c r="P1163" s="395" t="n"/>
      <c r="Q1163" s="395" t="n"/>
      <c r="R1163" s="395" t="n"/>
      <c r="S1163" s="395" t="n"/>
      <c r="T1163" s="123" t="inlineStr">
        <is>
          <t>Chưa xác định được rule với chi nhánh/phòng giao dịch</t>
        </is>
      </c>
      <c r="U1163" s="386" t="n"/>
      <c r="V1163" s="395" t="n"/>
      <c r="W1163" s="395" t="n"/>
      <c r="X1163" s="395" t="n"/>
      <c r="Y1163" s="13" t="n"/>
      <c r="Z1163" s="395" t="n"/>
      <c r="AA1163" s="395" t="n"/>
      <c r="AB1163" s="395" t="n"/>
      <c r="AC1163" s="395" t="n"/>
      <c r="AD1163" s="395" t="n"/>
      <c r="AE1163" s="395" t="n"/>
    </row>
    <row r="1164" ht="98" customHeight="1" s="380">
      <c r="A1164" s="73" t="n">
        <v>65</v>
      </c>
      <c r="B1164" s="386" t="n"/>
      <c r="C1164" s="386" t="inlineStr">
        <is>
          <t>Báo cáo theo Thông tư 121/2020/TT-BTC &gt;&gt; Báo cáo tình hình nhân sự Công ty chứng khoán (Trụ sở chính, chi nhánh, phòng giao dịch) - II.1. Chi nhánh</t>
        </is>
      </c>
      <c r="D1164" s="386" t="inlineStr">
        <is>
          <t>Bộ phận thực tư vấn &gt;&gt; Số người lao động &gt;&gt; Tăng/Giảm</t>
        </is>
      </c>
      <c r="E1164" s="386" t="inlineStr">
        <is>
          <t>Bộ phận thực tư vấn &gt;&gt; Số người lao động &gt;&gt; Tăng/Giảm</t>
        </is>
      </c>
      <c r="F1164" s="386" t="inlineStr">
        <is>
          <t>Data Explorer</t>
        </is>
      </c>
      <c r="G1164" s="386" t="inlineStr">
        <is>
          <t>Chỉ tiêu cơ sở</t>
        </is>
      </c>
      <c r="H1164" s="386" t="inlineStr">
        <is>
          <t>TB</t>
        </is>
      </c>
      <c r="I1164" s="386" t="inlineStr">
        <is>
          <t>Ngày, CTCK</t>
        </is>
      </c>
      <c r="J1164" s="395" t="inlineStr">
        <is>
          <t>SCMS</t>
        </is>
      </c>
      <c r="K1164" s="395" t="n"/>
      <c r="L1164" s="395" t="inlineStr">
        <is>
          <t>X</t>
        </is>
      </c>
      <c r="M1164" s="395" t="n"/>
      <c r="N1164" s="395" t="inlineStr">
        <is>
          <t>Pending</t>
        </is>
      </c>
      <c r="O1164" s="401" t="n"/>
      <c r="P1164" s="395" t="n"/>
      <c r="Q1164" s="395" t="n"/>
      <c r="R1164" s="395" t="n"/>
      <c r="S1164" s="395" t="n"/>
      <c r="T1164" s="123" t="inlineStr">
        <is>
          <t>Chưa xác định được rule với chi nhánh/phòng giao dịch</t>
        </is>
      </c>
      <c r="U1164" s="386" t="n"/>
      <c r="V1164" s="395" t="n"/>
      <c r="W1164" s="395" t="n"/>
      <c r="X1164" s="395" t="n"/>
      <c r="Y1164" s="13" t="n"/>
      <c r="Z1164" s="395" t="n"/>
      <c r="AA1164" s="395" t="n"/>
      <c r="AB1164" s="395" t="n"/>
      <c r="AC1164" s="395" t="n"/>
      <c r="AD1164" s="395" t="n"/>
      <c r="AE1164" s="395" t="n"/>
    </row>
    <row r="1165" ht="98" customHeight="1" s="380">
      <c r="A1165" s="73" t="n">
        <v>65</v>
      </c>
      <c r="B1165" s="386" t="n"/>
      <c r="C1165" s="386" t="inlineStr">
        <is>
          <t>Báo cáo theo Thông tư 121/2020/TT-BTC &gt;&gt; Báo cáo tình hình nhân sự Công ty chứng khoán (Trụ sở chính, chi nhánh, phòng giao dịch) - II.1. Chi nhánh</t>
        </is>
      </c>
      <c r="D1165" s="386" t="inlineStr">
        <is>
          <t>Bộ phận thực tư vấn &gt;&gt; Số người có CCHN &gt;&gt; Trong kỳ</t>
        </is>
      </c>
      <c r="E1165" s="386" t="inlineStr">
        <is>
          <t>Bộ phận thực tư vấn &gt;&gt; Số người có CCHN &gt;&gt; Trong kỳ</t>
        </is>
      </c>
      <c r="F1165" s="386" t="inlineStr">
        <is>
          <t>Data Explorer</t>
        </is>
      </c>
      <c r="G1165" s="386" t="inlineStr">
        <is>
          <t>Chỉ tiêu cơ sở</t>
        </is>
      </c>
      <c r="H1165" s="386" t="inlineStr">
        <is>
          <t>TB</t>
        </is>
      </c>
      <c r="I1165" s="386" t="inlineStr">
        <is>
          <t>Ngày, CTCK</t>
        </is>
      </c>
      <c r="J1165" s="395" t="inlineStr">
        <is>
          <t>SCMS</t>
        </is>
      </c>
      <c r="K1165" s="395" t="n"/>
      <c r="L1165" s="395" t="inlineStr">
        <is>
          <t>X</t>
        </is>
      </c>
      <c r="M1165" s="395" t="n"/>
      <c r="N1165" s="395" t="inlineStr">
        <is>
          <t>Pending</t>
        </is>
      </c>
      <c r="O1165" s="401" t="n"/>
      <c r="P1165" s="395" t="n"/>
      <c r="Q1165" s="395" t="n"/>
      <c r="R1165" s="395" t="n"/>
      <c r="S1165" s="395" t="n"/>
      <c r="T1165" s="123" t="inlineStr">
        <is>
          <t>Chưa xác định được rule với chi nhánh/phòng giao dịch</t>
        </is>
      </c>
      <c r="U1165" s="386" t="n"/>
      <c r="V1165" s="395" t="n"/>
      <c r="W1165" s="395" t="n"/>
      <c r="X1165" s="395" t="n"/>
      <c r="Y1165" s="38" t="n"/>
      <c r="Z1165" s="395" t="n"/>
      <c r="AA1165" s="395" t="n"/>
      <c r="AB1165" s="395" t="n"/>
      <c r="AC1165" s="395" t="n"/>
      <c r="AD1165" s="395" t="n"/>
      <c r="AE1165" s="395" t="n"/>
    </row>
    <row r="1166" ht="98" customHeight="1" s="380">
      <c r="A1166" s="73" t="n">
        <v>65</v>
      </c>
      <c r="B1166" s="386" t="n"/>
      <c r="C1166" s="386" t="inlineStr">
        <is>
          <t>Báo cáo theo Thông tư 121/2020/TT-BTC &gt;&gt; Báo cáo tình hình nhân sự Công ty chứng khoán (Trụ sở chính, chi nhánh, phòng giao dịch) - II.1. Chi nhánh</t>
        </is>
      </c>
      <c r="D1166" s="386" t="inlineStr">
        <is>
          <t>Bộ phận thực tư vấn &gt;&gt; Số người có CCHN &gt;&gt; Tăng/Giảm</t>
        </is>
      </c>
      <c r="E1166" s="386" t="inlineStr">
        <is>
          <t>Bộ phận thực tư vấn &gt;&gt; Số người có CCHN &gt;&gt; Tăng/Giảm</t>
        </is>
      </c>
      <c r="F1166" s="386" t="inlineStr">
        <is>
          <t>Data Explorer</t>
        </is>
      </c>
      <c r="G1166" s="386" t="inlineStr">
        <is>
          <t>Chỉ tiêu cơ sở</t>
        </is>
      </c>
      <c r="H1166" s="386" t="inlineStr">
        <is>
          <t>TB</t>
        </is>
      </c>
      <c r="I1166" s="386" t="inlineStr">
        <is>
          <t>Ngày, CTCK</t>
        </is>
      </c>
      <c r="J1166" s="395" t="inlineStr">
        <is>
          <t>SCMS</t>
        </is>
      </c>
      <c r="K1166" s="395" t="n"/>
      <c r="L1166" s="395" t="inlineStr">
        <is>
          <t>X</t>
        </is>
      </c>
      <c r="M1166" s="395" t="n"/>
      <c r="N1166" s="395" t="inlineStr">
        <is>
          <t>Pending</t>
        </is>
      </c>
      <c r="O1166" s="401" t="n"/>
      <c r="P1166" s="395" t="n"/>
      <c r="Q1166" s="395" t="n"/>
      <c r="R1166" s="395" t="n"/>
      <c r="S1166" s="395" t="n"/>
      <c r="T1166" s="123" t="inlineStr">
        <is>
          <t>Chưa xác định được rule với chi nhánh/phòng giao dịch</t>
        </is>
      </c>
      <c r="U1166" s="386" t="n"/>
      <c r="V1166" s="395" t="n"/>
      <c r="W1166" s="395" t="n"/>
      <c r="X1166" s="395" t="n"/>
      <c r="Y1166" s="13" t="n"/>
      <c r="Z1166" s="395" t="n"/>
      <c r="AA1166" s="395" t="n"/>
      <c r="AB1166" s="395" t="n"/>
      <c r="AC1166" s="395" t="n"/>
      <c r="AD1166" s="395" t="n"/>
      <c r="AE1166" s="395" t="n"/>
    </row>
    <row r="1167" ht="98" customHeight="1" s="380">
      <c r="A1167" s="73" t="n">
        <v>65</v>
      </c>
      <c r="B1167" s="386" t="n"/>
      <c r="C1167" s="386" t="inlineStr">
        <is>
          <t>Báo cáo theo Thông tư 121/2020/TT-BTC &gt;&gt; Báo cáo tình hình nhân sự Công ty chứng khoán (Trụ sở chính, chi nhánh, phòng giao dịch) - II.1. Chi nhánh</t>
        </is>
      </c>
      <c r="D1167" s="386" t="inlineStr">
        <is>
          <t>TỔNG SỐ &gt;&gt; Số người lao động &gt;&gt; Trong kỳ</t>
        </is>
      </c>
      <c r="E1167" s="386" t="inlineStr">
        <is>
          <t>TỔNG SỐ &gt;&gt; Số người lao động &gt;&gt; Trong kỳ</t>
        </is>
      </c>
      <c r="F1167" s="386" t="inlineStr">
        <is>
          <t>Data Explorer</t>
        </is>
      </c>
      <c r="G1167" s="386" t="inlineStr">
        <is>
          <t>Chỉ tiêu cơ sở</t>
        </is>
      </c>
      <c r="H1167" s="386" t="inlineStr">
        <is>
          <t>TB</t>
        </is>
      </c>
      <c r="I1167" s="386" t="inlineStr">
        <is>
          <t>Ngày, CTCK</t>
        </is>
      </c>
      <c r="J1167" s="395" t="inlineStr">
        <is>
          <t>SCMS</t>
        </is>
      </c>
      <c r="K1167" s="395" t="n"/>
      <c r="L1167" s="395" t="inlineStr">
        <is>
          <t>X</t>
        </is>
      </c>
      <c r="M1167" s="395" t="n"/>
      <c r="N1167" s="395" t="inlineStr">
        <is>
          <t>Pending</t>
        </is>
      </c>
      <c r="O1167" s="401" t="n"/>
      <c r="P1167" s="395" t="n"/>
      <c r="Q1167" s="395" t="n"/>
      <c r="R1167" s="395" t="n"/>
      <c r="S1167" s="395" t="n"/>
      <c r="T1167" s="123" t="inlineStr">
        <is>
          <t>Chưa xác định được rule với chi nhánh/phòng giao dịch</t>
        </is>
      </c>
      <c r="U1167" s="386" t="n"/>
      <c r="V1167" s="395" t="n"/>
      <c r="W1167" s="395" t="n"/>
      <c r="X1167" s="395" t="n"/>
      <c r="Y1167" s="13" t="n"/>
      <c r="Z1167" s="395" t="n"/>
      <c r="AA1167" s="395" t="n"/>
      <c r="AB1167" s="395" t="n"/>
      <c r="AC1167" s="395" t="n"/>
      <c r="AD1167" s="395" t="n"/>
      <c r="AE1167" s="395" t="n"/>
    </row>
    <row r="1168" ht="98" customHeight="1" s="380">
      <c r="A1168" s="73" t="n">
        <v>65</v>
      </c>
      <c r="B1168" s="386" t="n"/>
      <c r="C1168" s="386" t="inlineStr">
        <is>
          <t>Báo cáo theo Thông tư 121/2020/TT-BTC &gt;&gt; Báo cáo tình hình nhân sự Công ty chứng khoán (Trụ sở chính, chi nhánh, phòng giao dịch) - II.1. Chi nhánh</t>
        </is>
      </c>
      <c r="D1168" s="386" t="inlineStr">
        <is>
          <t>TỔNG SỐ &gt;&gt; Số người lao động &gt;&gt; Tăng/Giảm</t>
        </is>
      </c>
      <c r="E1168" s="386" t="inlineStr">
        <is>
          <t>TỔNG SỐ &gt;&gt; Số người lao động &gt;&gt; Tăng/Giảm</t>
        </is>
      </c>
      <c r="F1168" s="386" t="inlineStr">
        <is>
          <t>Data Explorer</t>
        </is>
      </c>
      <c r="G1168" s="386" t="inlineStr">
        <is>
          <t>Chỉ tiêu cơ sở</t>
        </is>
      </c>
      <c r="H1168" s="386" t="inlineStr">
        <is>
          <t>TB</t>
        </is>
      </c>
      <c r="I1168" s="386" t="inlineStr">
        <is>
          <t>Ngày, CTCK</t>
        </is>
      </c>
      <c r="J1168" s="395" t="inlineStr">
        <is>
          <t>SCMS</t>
        </is>
      </c>
      <c r="K1168" s="395" t="n"/>
      <c r="L1168" s="395" t="inlineStr">
        <is>
          <t>X</t>
        </is>
      </c>
      <c r="M1168" s="395" t="n"/>
      <c r="N1168" s="395" t="inlineStr">
        <is>
          <t>Pending</t>
        </is>
      </c>
      <c r="O1168" s="401" t="n"/>
      <c r="P1168" s="395" t="n"/>
      <c r="Q1168" s="395" t="n"/>
      <c r="R1168" s="395" t="n"/>
      <c r="S1168" s="395" t="n"/>
      <c r="T1168" s="123" t="inlineStr">
        <is>
          <t>Chưa xác định được rule với chi nhánh/phòng giao dịch</t>
        </is>
      </c>
      <c r="U1168" s="386" t="n"/>
      <c r="V1168" s="395" t="n"/>
      <c r="W1168" s="395" t="n"/>
      <c r="X1168" s="395" t="n"/>
      <c r="Y1168" s="13" t="n"/>
      <c r="Z1168" s="395" t="n"/>
      <c r="AA1168" s="395" t="n"/>
      <c r="AB1168" s="395" t="n"/>
      <c r="AC1168" s="395" t="n"/>
      <c r="AD1168" s="395" t="n"/>
      <c r="AE1168" s="395" t="n"/>
    </row>
    <row r="1169" ht="98" customHeight="1" s="380">
      <c r="A1169" s="73" t="n">
        <v>65</v>
      </c>
      <c r="B1169" s="386" t="n"/>
      <c r="C1169" s="386" t="inlineStr">
        <is>
          <t>Báo cáo theo Thông tư 121/2020/TT-BTC &gt;&gt; Báo cáo tình hình nhân sự Công ty chứng khoán (Trụ sở chính, chi nhánh, phòng giao dịch) - II.1. Chi nhánh</t>
        </is>
      </c>
      <c r="D1169" s="386" t="inlineStr">
        <is>
          <t>TỔNG SỐ &gt;&gt; Số người có CCHN &gt;&gt; Trong kỳ</t>
        </is>
      </c>
      <c r="E1169" s="386" t="inlineStr">
        <is>
          <t>TỔNG SỐ &gt;&gt; Số người có CCHN &gt;&gt; Trong kỳ</t>
        </is>
      </c>
      <c r="F1169" s="386" t="inlineStr">
        <is>
          <t>Data Explorer</t>
        </is>
      </c>
      <c r="G1169" s="386" t="inlineStr">
        <is>
          <t>Chỉ tiêu cơ sở</t>
        </is>
      </c>
      <c r="H1169" s="386" t="inlineStr">
        <is>
          <t>TB</t>
        </is>
      </c>
      <c r="I1169" s="386" t="inlineStr">
        <is>
          <t>Ngày, CTCK</t>
        </is>
      </c>
      <c r="J1169" s="395" t="inlineStr">
        <is>
          <t>SCMS</t>
        </is>
      </c>
      <c r="K1169" s="395" t="n"/>
      <c r="L1169" s="395" t="inlineStr">
        <is>
          <t>X</t>
        </is>
      </c>
      <c r="M1169" s="395" t="n"/>
      <c r="N1169" s="395" t="inlineStr">
        <is>
          <t>Pending</t>
        </is>
      </c>
      <c r="O1169" s="401" t="n"/>
      <c r="P1169" s="395" t="n"/>
      <c r="Q1169" s="395" t="n"/>
      <c r="R1169" s="395" t="n"/>
      <c r="S1169" s="395" t="n"/>
      <c r="T1169" s="123" t="inlineStr">
        <is>
          <t>Chưa xác định được rule với chi nhánh/phòng giao dịch</t>
        </is>
      </c>
      <c r="U1169" s="386" t="n"/>
      <c r="V1169" s="395" t="n"/>
      <c r="W1169" s="395" t="n"/>
      <c r="X1169" s="395" t="n"/>
      <c r="Y1169" s="13" t="n"/>
      <c r="Z1169" s="395" t="n"/>
      <c r="AA1169" s="395" t="n"/>
      <c r="AB1169" s="395" t="n"/>
      <c r="AC1169" s="395" t="n"/>
      <c r="AD1169" s="395" t="n"/>
      <c r="AE1169" s="395" t="n"/>
    </row>
    <row r="1170" ht="98" customHeight="1" s="380">
      <c r="A1170" s="83" t="n">
        <v>65</v>
      </c>
      <c r="B1170" s="68" t="n"/>
      <c r="C1170" s="68" t="inlineStr">
        <is>
          <t>Báo cáo theo Thông tư 121/2020/TT-BTC &gt;&gt; Báo cáo tình hình nhân sự Công ty chứng khoán (Trụ sở chính, chi nhánh, phòng giao dịch) - II.1. Chi nhánh</t>
        </is>
      </c>
      <c r="D1170" s="68" t="inlineStr">
        <is>
          <t>TỔNG SỐ &gt;&gt; Số người có CCHN &gt;&gt; Tăng/Giảm</t>
        </is>
      </c>
      <c r="E1170" s="68" t="inlineStr">
        <is>
          <t>TỔNG SỐ &gt;&gt; Số người có CCHN &gt;&gt; Tăng/Giảm</t>
        </is>
      </c>
      <c r="F1170" s="68" t="inlineStr">
        <is>
          <t>Data Explorer</t>
        </is>
      </c>
      <c r="G1170" s="68" t="inlineStr">
        <is>
          <t>Chỉ tiêu cơ sở</t>
        </is>
      </c>
      <c r="H1170" s="68" t="inlineStr">
        <is>
          <t>TB</t>
        </is>
      </c>
      <c r="I1170" s="68" t="inlineStr">
        <is>
          <t>Ngày, CTCK</t>
        </is>
      </c>
      <c r="J1170" s="69" t="inlineStr">
        <is>
          <t>SCMS</t>
        </is>
      </c>
      <c r="K1170" s="69" t="n"/>
      <c r="L1170" s="69" t="inlineStr">
        <is>
          <t>X</t>
        </is>
      </c>
      <c r="M1170" s="69" t="n"/>
      <c r="N1170" s="69" t="inlineStr">
        <is>
          <t>Pending</t>
        </is>
      </c>
      <c r="O1170" s="85" t="n"/>
      <c r="P1170" s="69" t="n"/>
      <c r="Q1170" s="69" t="n"/>
      <c r="R1170" s="69" t="n"/>
      <c r="S1170" s="69" t="n"/>
      <c r="T1170" s="124" t="inlineStr">
        <is>
          <t>Chưa xác định được rule với chi nhánh/phòng giao dịch</t>
        </is>
      </c>
      <c r="U1170" s="68" t="n"/>
      <c r="V1170" s="69" t="n"/>
      <c r="W1170" s="69" t="n"/>
      <c r="X1170" s="69" t="n"/>
      <c r="Y1170" s="97" t="n"/>
      <c r="Z1170" s="69" t="n"/>
      <c r="AA1170" s="69" t="n"/>
      <c r="AB1170" s="69" t="n"/>
      <c r="AC1170" s="69" t="n"/>
      <c r="AD1170" s="69" t="n"/>
      <c r="AE1170" s="69" t="n"/>
    </row>
    <row r="1171" ht="98" customHeight="1" s="380">
      <c r="A1171" s="73" t="n">
        <v>66</v>
      </c>
      <c r="B1171" s="122" t="inlineStr">
        <is>
          <t>Nga</t>
        </is>
      </c>
      <c r="C1171" s="81" t="inlineStr">
        <is>
          <t>Báo cáo theo Thông tư 121/2020/TT-BTC &gt;&gt; Báo cáo tình hình nhân sự Công ty chứng khoán (Trụ sở chính, chi nhánh, phòng giao dịch) - II.1. Phòng giao dịch</t>
        </is>
      </c>
      <c r="D1171" s="106" t="inlineStr">
        <is>
          <t>Loại báo cáo</t>
        </is>
      </c>
      <c r="E1171" s="107" t="inlineStr">
        <is>
          <t>Loại báo cáo</t>
        </is>
      </c>
      <c r="F1171" s="390" t="inlineStr">
        <is>
          <t>Data Explorer</t>
        </is>
      </c>
      <c r="G1171" s="390" t="inlineStr">
        <is>
          <t>Chiều</t>
        </is>
      </c>
      <c r="H1171" s="390" t="inlineStr">
        <is>
          <t>Dễ</t>
        </is>
      </c>
      <c r="I1171" s="390" t="inlineStr">
        <is>
          <t>Ngày, CTCK</t>
        </is>
      </c>
      <c r="J1171" s="401" t="inlineStr">
        <is>
          <t>SCMS</t>
        </is>
      </c>
      <c r="K1171" s="401" t="inlineStr">
        <is>
          <t>X</t>
        </is>
      </c>
      <c r="L1171" s="395" t="inlineStr">
        <is>
          <t>X</t>
        </is>
      </c>
      <c r="M1171" s="401" t="n"/>
      <c r="N1171" s="395" t="inlineStr">
        <is>
          <t>Done</t>
        </is>
      </c>
      <c r="O1171" s="401" t="n"/>
      <c r="P1171" s="395" t="n"/>
      <c r="Q1171" s="404" t="inlineStr">
        <is>
          <t>SCMS.BM_BAO_CAO
SCMS.BM_BAO_CAO_DINH_KY</t>
        </is>
      </c>
      <c r="R1171" s="404" t="inlineStr">
        <is>
          <t>bm.ID,
bm.MA_BAO_CAO,
bm.LOAI_BAO_CAO,
bm.TEN_BAO_CAO,
bm.SU_DUNG,
bdk.BM_BAO_CAO_ID,
bdk.KY_BAO_CAO,
bdk.SU_DUNG</t>
        </is>
      </c>
      <c r="S1171" s="395" t="n"/>
      <c r="T1171" s="386"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171" s="386" t="n"/>
      <c r="V1171" s="395" t="n"/>
      <c r="W1171" s="395" t="n"/>
      <c r="X1171" s="395" t="n"/>
      <c r="Y1171" s="38" t="n"/>
      <c r="Z1171" s="395" t="n"/>
      <c r="AA1171" s="395" t="n"/>
      <c r="AB1171" s="395" t="n"/>
      <c r="AC1171" s="395" t="n"/>
      <c r="AD1171" s="395" t="n"/>
      <c r="AE1171" s="395" t="n"/>
    </row>
    <row r="1172" ht="98" customHeight="1" s="380">
      <c r="A1172" s="73" t="n">
        <v>66</v>
      </c>
      <c r="B1172" s="386" t="n"/>
      <c r="C1172" s="386" t="inlineStr">
        <is>
          <t>Báo cáo theo Thông tư 121/2020/TT-BTC &gt;&gt; Báo cáo tình hình nhân sự Công ty chứng khoán (Trụ sở chính, chi nhánh, phòng giao dịch) - II.1. Phòng giao dịch</t>
        </is>
      </c>
      <c r="D1172" s="106" t="inlineStr">
        <is>
          <t>Kỳ báo cáo</t>
        </is>
      </c>
      <c r="E1172" s="107" t="inlineStr">
        <is>
          <t>Kỳ báo cáo</t>
        </is>
      </c>
      <c r="F1172" s="390" t="inlineStr">
        <is>
          <t>Data Explorer</t>
        </is>
      </c>
      <c r="G1172" s="390" t="inlineStr">
        <is>
          <t>Chiều</t>
        </is>
      </c>
      <c r="H1172" s="390" t="inlineStr">
        <is>
          <t>Dễ</t>
        </is>
      </c>
      <c r="I1172" s="390" t="inlineStr">
        <is>
          <t>Ngày, CTCK</t>
        </is>
      </c>
      <c r="J1172" s="401" t="inlineStr">
        <is>
          <t>SCMS</t>
        </is>
      </c>
      <c r="K1172" s="401" t="inlineStr">
        <is>
          <t>X</t>
        </is>
      </c>
      <c r="L1172" s="395" t="inlineStr">
        <is>
          <t>X</t>
        </is>
      </c>
      <c r="M1172" s="401" t="n"/>
      <c r="N1172" s="395" t="inlineStr">
        <is>
          <t>Done</t>
        </is>
      </c>
      <c r="O1172" s="401" t="n"/>
      <c r="P1172" s="395" t="n"/>
      <c r="S1172" s="395" t="n"/>
      <c r="U1172" s="386" t="n"/>
      <c r="V1172" s="395" t="n"/>
      <c r="W1172" s="395" t="n"/>
      <c r="X1172" s="395" t="n"/>
      <c r="Y1172" s="13" t="n"/>
      <c r="Z1172" s="395" t="n"/>
      <c r="AA1172" s="395" t="n"/>
      <c r="AB1172" s="395" t="n"/>
      <c r="AC1172" s="395" t="n"/>
      <c r="AD1172" s="395" t="n"/>
      <c r="AE1172" s="395" t="n"/>
    </row>
    <row r="1173" ht="98" customHeight="1" s="380">
      <c r="A1173" s="73" t="n">
        <v>66</v>
      </c>
      <c r="B1173" s="386" t="n"/>
      <c r="C1173" s="386" t="inlineStr">
        <is>
          <t>Báo cáo theo Thông tư 121/2020/TT-BTC &gt;&gt; Báo cáo tình hình nhân sự Công ty chứng khoán (Trụ sở chính, chi nhánh, phòng giao dịch) - II.1. Phòng giao dịch</t>
        </is>
      </c>
      <c r="D1173" s="106" t="inlineStr">
        <is>
          <t>Mã báo cáo</t>
        </is>
      </c>
      <c r="E1173" s="107" t="inlineStr">
        <is>
          <t>Mã báo cáo</t>
        </is>
      </c>
      <c r="F1173" s="390" t="inlineStr">
        <is>
          <t>Data Explorer</t>
        </is>
      </c>
      <c r="G1173" s="390" t="inlineStr">
        <is>
          <t>Chiều</t>
        </is>
      </c>
      <c r="H1173" s="390" t="inlineStr">
        <is>
          <t>Dễ</t>
        </is>
      </c>
      <c r="I1173" s="390" t="inlineStr">
        <is>
          <t>Ngày, CTCK</t>
        </is>
      </c>
      <c r="J1173" s="401" t="inlineStr">
        <is>
          <t>SCMS</t>
        </is>
      </c>
      <c r="K1173" s="401" t="inlineStr">
        <is>
          <t>X</t>
        </is>
      </c>
      <c r="L1173" s="395" t="inlineStr">
        <is>
          <t>X</t>
        </is>
      </c>
      <c r="M1173" s="401" t="n"/>
      <c r="N1173" s="395" t="inlineStr">
        <is>
          <t>Done</t>
        </is>
      </c>
      <c r="O1173" s="401" t="n"/>
      <c r="P1173" s="395" t="n"/>
      <c r="S1173" s="395" t="n"/>
      <c r="U1173" s="386" t="n"/>
      <c r="V1173" s="395" t="n"/>
      <c r="W1173" s="395" t="n"/>
      <c r="X1173" s="395" t="n"/>
      <c r="Y1173" s="13" t="n"/>
      <c r="Z1173" s="395" t="n"/>
      <c r="AA1173" s="395" t="n"/>
      <c r="AB1173" s="395" t="n"/>
      <c r="AC1173" s="395" t="n"/>
      <c r="AD1173" s="395" t="n"/>
      <c r="AE1173" s="395" t="n"/>
    </row>
    <row r="1174" ht="98" customHeight="1" s="380">
      <c r="A1174" s="73" t="n">
        <v>66</v>
      </c>
      <c r="B1174" s="386" t="n"/>
      <c r="C1174" s="386" t="inlineStr">
        <is>
          <t>Báo cáo theo Thông tư 121/2020/TT-BTC &gt;&gt; Báo cáo tình hình nhân sự Công ty chứng khoán (Trụ sở chính, chi nhánh, phòng giao dịch) - II.1. Phòng giao dịch</t>
        </is>
      </c>
      <c r="D1174" s="106" t="inlineStr">
        <is>
          <t>Tên báo cáo</t>
        </is>
      </c>
      <c r="E1174" s="107" t="inlineStr">
        <is>
          <t>Tên báo cáo</t>
        </is>
      </c>
      <c r="F1174" s="390" t="inlineStr">
        <is>
          <t>Data Explorer</t>
        </is>
      </c>
      <c r="G1174" s="390" t="inlineStr">
        <is>
          <t>Chiều</t>
        </is>
      </c>
      <c r="H1174" s="390" t="inlineStr">
        <is>
          <t>Dễ</t>
        </is>
      </c>
      <c r="I1174" s="390" t="inlineStr">
        <is>
          <t>Ngày, CTCK</t>
        </is>
      </c>
      <c r="J1174" s="401" t="inlineStr">
        <is>
          <t>SCMS</t>
        </is>
      </c>
      <c r="K1174" s="401" t="inlineStr">
        <is>
          <t>X</t>
        </is>
      </c>
      <c r="L1174" s="395" t="inlineStr">
        <is>
          <t>X</t>
        </is>
      </c>
      <c r="M1174" s="401" t="n"/>
      <c r="N1174" s="395" t="inlineStr">
        <is>
          <t>Done</t>
        </is>
      </c>
      <c r="O1174" s="401" t="n"/>
      <c r="P1174" s="395" t="n"/>
      <c r="S1174" s="395" t="n"/>
      <c r="U1174" s="386" t="n"/>
      <c r="V1174" s="395" t="n"/>
      <c r="W1174" s="395" t="n"/>
      <c r="X1174" s="395" t="n"/>
      <c r="Y1174" s="13" t="n"/>
      <c r="Z1174" s="395" t="n"/>
      <c r="AA1174" s="395" t="n"/>
      <c r="AB1174" s="395" t="n"/>
      <c r="AC1174" s="395" t="n"/>
      <c r="AD1174" s="395" t="n"/>
      <c r="AE1174" s="395" t="n"/>
    </row>
    <row r="1175" ht="98" customHeight="1" s="380">
      <c r="A1175" s="73" t="n">
        <v>66</v>
      </c>
      <c r="B1175" s="386" t="n"/>
      <c r="C1175" s="386" t="inlineStr">
        <is>
          <t>Báo cáo theo Thông tư 121/2020/TT-BTC &gt;&gt; Báo cáo tình hình nhân sự Công ty chứng khoán (Trụ sở chính, chi nhánh, phòng giao dịch) - II.1. Phòng giao dịch</t>
        </is>
      </c>
      <c r="D1175" s="106" t="inlineStr">
        <is>
          <t>Mã sheet</t>
        </is>
      </c>
      <c r="E1175" s="106" t="inlineStr">
        <is>
          <t>Mã sheet</t>
        </is>
      </c>
      <c r="F1175" s="390" t="inlineStr">
        <is>
          <t>Data Explorer</t>
        </is>
      </c>
      <c r="G1175" s="390" t="inlineStr">
        <is>
          <t>Chiều</t>
        </is>
      </c>
      <c r="H1175" s="390" t="inlineStr">
        <is>
          <t>Dễ</t>
        </is>
      </c>
      <c r="I1175" s="390" t="inlineStr">
        <is>
          <t>Ngày, CTCK</t>
        </is>
      </c>
      <c r="J1175" s="401" t="inlineStr">
        <is>
          <t>SCMS</t>
        </is>
      </c>
      <c r="K1175" s="401" t="inlineStr">
        <is>
          <t>X</t>
        </is>
      </c>
      <c r="L1175" s="395" t="inlineStr">
        <is>
          <t>X</t>
        </is>
      </c>
      <c r="M1175" s="401" t="n"/>
      <c r="N1175" s="395" t="inlineStr">
        <is>
          <t>Done</t>
        </is>
      </c>
      <c r="O1175" s="401" t="n"/>
      <c r="P1175" s="395" t="n"/>
      <c r="Q1175" s="401" t="inlineStr">
        <is>
          <t>SCMS.BM_BAO_CAO
SCMS.BM_SHEET</t>
        </is>
      </c>
      <c r="R1175" s="401" t="inlineStr">
        <is>
          <t>bm.ID,
bm.MA_BAO_CAO,
bm.SU_DUNG,
s.BM_BAO_CAO_ID,
s.MA_SHEET,
s.TEN_SHEET,
s.SAP_XEP</t>
        </is>
      </c>
      <c r="S1175" s="395" t="n"/>
      <c r="T1175" s="384" t="inlineStr">
        <is>
          <t>-- Mã sheet / Tên sheet
-- TEN_SHEET: THNS
SELECT bm.MA_BAO_CAO,
s.MA_SHEET,
s.TEN_SHEET
FROM SCMS.BM_BAO_CAO bm
JOIN SCMS.BM_SHEET s ON s.BM_BAO_CAO_ID = bm.ID
WHERE bm.MA_BAO_CAO LIKE 'BCTHHDKD%'
AND s.TEN_SHEET = 'THNS'  -- Check lại
AND bm.SU_DUNG = 1
ORDER BY bm.MA_BAO_CAO, s.SAP_XEP;</t>
        </is>
      </c>
      <c r="U1175" s="386" t="n"/>
      <c r="V1175" s="395" t="n"/>
      <c r="W1175" s="395" t="n"/>
      <c r="X1175" s="395" t="n"/>
      <c r="Y1175" s="13" t="n"/>
      <c r="Z1175" s="395" t="n"/>
      <c r="AA1175" s="395" t="n"/>
      <c r="AB1175" s="395" t="n"/>
      <c r="AC1175" s="395" t="n"/>
      <c r="AD1175" s="395" t="n"/>
      <c r="AE1175" s="395" t="n"/>
    </row>
    <row r="1176" ht="98" customHeight="1" s="380">
      <c r="A1176" s="73" t="n">
        <v>66</v>
      </c>
      <c r="B1176" s="386" t="n"/>
      <c r="C1176" s="386" t="inlineStr">
        <is>
          <t>Báo cáo theo Thông tư 121/2020/TT-BTC &gt;&gt; Báo cáo tình hình nhân sự Công ty chứng khoán (Trụ sở chính, chi nhánh, phòng giao dịch) - II.1. Phòng giao dịch</t>
        </is>
      </c>
      <c r="D1176" s="106" t="inlineStr">
        <is>
          <t>Tên sheet</t>
        </is>
      </c>
      <c r="E1176" s="106" t="inlineStr">
        <is>
          <t>Tên sheet</t>
        </is>
      </c>
      <c r="F1176" s="390" t="inlineStr">
        <is>
          <t>Data Explorer</t>
        </is>
      </c>
      <c r="G1176" s="390" t="inlineStr">
        <is>
          <t>Chiều</t>
        </is>
      </c>
      <c r="H1176" s="390" t="inlineStr">
        <is>
          <t>Dễ</t>
        </is>
      </c>
      <c r="I1176" s="390" t="inlineStr">
        <is>
          <t>Ngày, CTCK</t>
        </is>
      </c>
      <c r="J1176" s="401" t="inlineStr">
        <is>
          <t>SCMS</t>
        </is>
      </c>
      <c r="K1176" s="401" t="inlineStr">
        <is>
          <t>X</t>
        </is>
      </c>
      <c r="L1176" s="395" t="inlineStr">
        <is>
          <t>X</t>
        </is>
      </c>
      <c r="M1176" s="401" t="n"/>
      <c r="N1176" s="395" t="inlineStr">
        <is>
          <t>Done</t>
        </is>
      </c>
      <c r="O1176" s="401" t="n"/>
      <c r="P1176" s="395" t="n"/>
      <c r="S1176" s="395" t="n"/>
      <c r="U1176" s="386" t="n"/>
      <c r="V1176" s="395" t="n"/>
      <c r="W1176" s="395" t="n"/>
      <c r="X1176" s="395" t="n"/>
      <c r="Y1176" s="13" t="n"/>
      <c r="Z1176" s="395" t="n"/>
      <c r="AA1176" s="395" t="n"/>
      <c r="AB1176" s="395" t="n"/>
      <c r="AC1176" s="395" t="n"/>
      <c r="AD1176" s="395" t="n"/>
      <c r="AE1176" s="395" t="n"/>
    </row>
    <row r="1177" ht="98" customHeight="1" s="380">
      <c r="A1177" s="73" t="n">
        <v>66</v>
      </c>
      <c r="B1177" s="386" t="n"/>
      <c r="C1177" s="386" t="inlineStr">
        <is>
          <t>Báo cáo theo Thông tư 121/2020/TT-BTC &gt;&gt; Báo cáo tình hình nhân sự Công ty chứng khoán (Trụ sở chính, chi nhánh, phòng giao dịch) - II.1. Phòng giao dịch</t>
        </is>
      </c>
      <c r="D1177" s="106" t="inlineStr">
        <is>
          <t>Mã chỉ tiêu</t>
        </is>
      </c>
      <c r="E1177" s="107" t="inlineStr">
        <is>
          <t>Mã chỉ tiêu</t>
        </is>
      </c>
      <c r="F1177" s="390" t="inlineStr">
        <is>
          <t>Data Explorer</t>
        </is>
      </c>
      <c r="G1177" s="390" t="inlineStr">
        <is>
          <t>Chiều</t>
        </is>
      </c>
      <c r="H1177" s="390" t="inlineStr">
        <is>
          <t>Dễ</t>
        </is>
      </c>
      <c r="I1177" s="390" t="inlineStr">
        <is>
          <t>Ngày, CTCK</t>
        </is>
      </c>
      <c r="J1177" s="401" t="inlineStr">
        <is>
          <t>SCMS</t>
        </is>
      </c>
      <c r="K1177" s="401" t="inlineStr">
        <is>
          <t>X</t>
        </is>
      </c>
      <c r="L1177" s="395" t="inlineStr">
        <is>
          <t>X</t>
        </is>
      </c>
      <c r="M1177" s="401" t="n"/>
      <c r="N1177" s="395" t="inlineStr">
        <is>
          <t>Done</t>
        </is>
      </c>
      <c r="O1177" s="401" t="n"/>
      <c r="P1177" s="395" t="n"/>
      <c r="Q1177" s="401" t="inlineStr">
        <is>
          <t>SCMS.BM_BAO_CAO
SCMS.BM_SHEET
SCMS.BM_BAO_CAO_CT
SCMS.DM_CHI_TIEU</t>
        </is>
      </c>
      <c r="R1177" s="402" t="inlineStr">
        <is>
          <t>dct.ID,
dct.MA_CHI_TIEU,
dct.TEN_CHI_TIEU,
dct.SU_DUNG,
s.BM_BAO_CAO_ID,
s.MA_SHEET,
ct.BM_BAO_CAO_ID,
ct.DM_CHI_TIEU_ID,
ct.SU_DUNG,
bm.ID,
bm.MA_BAO_CAO,
bm.SU_DUNG</t>
        </is>
      </c>
      <c r="S1177" s="395" t="n"/>
      <c r="T1177" s="384" t="inlineStr">
        <is>
          <t>-- Mã chỉ tiêu / Tên chỉ tiêu
SELECT DISTINCT
    dct.MA_CHI_TIEU  AS ma_chi_tieu,
    dct.TEN_CHI_TIEU AS ten_chi_tieu
FROM SCMS.BM_BAO_CAO bm
JOIN SCMS.BM_SHEET s ON s.BM_BAO_CAO_ID = bm.ID
        AND s.TEN_SHEET = 'THNS'
JOIN SCMS.BM_BAO_CAO_CT ct ON ct.BM_SHEET_ID = s.ID
        AND ct.SU_DUNG = 1
JOIN SCMS.DM_CHI_TIEU dct ON dct.ID = ct.DM_CHI_TIEU_ID
        AND dct.SU_DUNG = 1
WHERE bm.MA_BAO_CAO LIKE 'BCTHHDKD%'
        AND bm.SU_DUNG = 1
ORDER BY dct.MA_CHI_TIEU;</t>
        </is>
      </c>
      <c r="U1177" s="386" t="n"/>
      <c r="V1177" s="395" t="n"/>
      <c r="W1177" s="395" t="n"/>
      <c r="X1177" s="395" t="n"/>
      <c r="Y1177" s="13" t="n"/>
      <c r="Z1177" s="395" t="n"/>
      <c r="AA1177" s="395" t="n"/>
      <c r="AB1177" s="395" t="n"/>
      <c r="AC1177" s="395" t="n"/>
      <c r="AD1177" s="395" t="n"/>
      <c r="AE1177" s="395" t="n"/>
    </row>
    <row r="1178" ht="98" customHeight="1" s="380">
      <c r="A1178" s="73" t="n">
        <v>66</v>
      </c>
      <c r="B1178" s="386" t="n"/>
      <c r="C1178" s="386" t="inlineStr">
        <is>
          <t>Báo cáo theo Thông tư 121/2020/TT-BTC &gt;&gt; Báo cáo tình hình nhân sự Công ty chứng khoán (Trụ sở chính, chi nhánh, phòng giao dịch) - II.1. Phòng giao dịch</t>
        </is>
      </c>
      <c r="D1178" s="106" t="inlineStr">
        <is>
          <t>Tên chỉ tiêu</t>
        </is>
      </c>
      <c r="E1178" s="107" t="inlineStr">
        <is>
          <t>Tên chỉ tiêu</t>
        </is>
      </c>
      <c r="F1178" s="390" t="inlineStr">
        <is>
          <t>Data Explorer</t>
        </is>
      </c>
      <c r="G1178" s="390" t="inlineStr">
        <is>
          <t>Chiều</t>
        </is>
      </c>
      <c r="H1178" s="390" t="inlineStr">
        <is>
          <t>Dễ</t>
        </is>
      </c>
      <c r="I1178" s="390" t="inlineStr">
        <is>
          <t>Ngày, CTCK</t>
        </is>
      </c>
      <c r="J1178" s="401" t="inlineStr">
        <is>
          <t>SCMS</t>
        </is>
      </c>
      <c r="K1178" s="401" t="inlineStr">
        <is>
          <t>X</t>
        </is>
      </c>
      <c r="L1178" s="395" t="inlineStr">
        <is>
          <t>X</t>
        </is>
      </c>
      <c r="M1178" s="401" t="n"/>
      <c r="N1178" s="395" t="inlineStr">
        <is>
          <t>Done</t>
        </is>
      </c>
      <c r="O1178" s="401" t="n"/>
      <c r="P1178" s="395" t="n"/>
      <c r="S1178" s="395" t="n"/>
      <c r="U1178" s="386" t="n"/>
      <c r="V1178" s="395" t="n"/>
      <c r="W1178" s="395" t="n"/>
      <c r="X1178" s="395" t="n"/>
      <c r="Y1178" s="13" t="n"/>
      <c r="Z1178" s="395" t="n"/>
      <c r="AA1178" s="395" t="n"/>
      <c r="AB1178" s="395" t="n"/>
      <c r="AC1178" s="395" t="n"/>
      <c r="AD1178" s="395" t="n"/>
      <c r="AE1178" s="395" t="n"/>
    </row>
    <row r="1179" ht="98" customHeight="1" s="380">
      <c r="A1179" s="73" t="n">
        <v>66</v>
      </c>
      <c r="B1179" s="386" t="n"/>
      <c r="C1179" s="386" t="inlineStr">
        <is>
          <t>Báo cáo theo Thông tư 121/2020/TT-BTC &gt;&gt; Báo cáo tình hình nhân sự Công ty chứng khoán (Trụ sở chính, chi nhánh, phòng giao dịch) - II.1. Phòng giao dịch</t>
        </is>
      </c>
      <c r="D1179" s="386" t="inlineStr">
        <is>
          <t>Tên công ty</t>
        </is>
      </c>
      <c r="E1179" s="386" t="inlineStr">
        <is>
          <t>Tên công ty</t>
        </is>
      </c>
      <c r="F1179" s="386" t="inlineStr">
        <is>
          <t>Data Explorer</t>
        </is>
      </c>
      <c r="G1179" s="386" t="inlineStr">
        <is>
          <t>Chỉ tiêu cơ sở</t>
        </is>
      </c>
      <c r="H1179" s="386" t="inlineStr">
        <is>
          <t>Dễ</t>
        </is>
      </c>
      <c r="I1179" s="386" t="inlineStr">
        <is>
          <t>Ngày, CTCK</t>
        </is>
      </c>
      <c r="J1179" s="395" t="inlineStr">
        <is>
          <t>SCMS</t>
        </is>
      </c>
      <c r="K1179" s="395" t="n"/>
      <c r="L1179" s="395" t="inlineStr">
        <is>
          <t>X</t>
        </is>
      </c>
      <c r="M1179" s="395" t="n"/>
      <c r="N1179" s="395" t="inlineStr">
        <is>
          <t>Pending</t>
        </is>
      </c>
      <c r="O1179" s="401" t="n"/>
      <c r="P1179" s="395" t="n"/>
      <c r="Q1179" s="395" t="n"/>
      <c r="R1179" s="395" t="n"/>
      <c r="S1179" s="395" t="n"/>
      <c r="T1179" s="123" t="inlineStr">
        <is>
          <t>Chưa xác định được rule với chi nhánh/phòng giao dịch</t>
        </is>
      </c>
      <c r="U1179" s="386" t="n"/>
      <c r="V1179" s="395" t="n"/>
      <c r="W1179" s="395" t="n"/>
      <c r="X1179" s="395" t="n"/>
      <c r="Y1179" s="38" t="n"/>
      <c r="Z1179" s="395" t="n"/>
      <c r="AA1179" s="395" t="n"/>
      <c r="AB1179" s="395" t="n"/>
      <c r="AC1179" s="395" t="n"/>
      <c r="AD1179" s="395" t="n"/>
      <c r="AE1179" s="395" t="n"/>
    </row>
    <row r="1180" ht="98" customHeight="1" s="380">
      <c r="A1180" s="73" t="n">
        <v>66</v>
      </c>
      <c r="B1180" s="386" t="n"/>
      <c r="C1180" s="386" t="inlineStr">
        <is>
          <t>Báo cáo theo Thông tư 121/2020/TT-BTC &gt;&gt; Báo cáo tình hình nhân sự Công ty chứng khoán (Trụ sở chính, chi nhánh, phòng giao dịch) - II.1. Phòng giao dịch</t>
        </is>
      </c>
      <c r="D1180" s="386" t="inlineStr">
        <is>
          <t>Nghiệp vụ hoạt động &gt;&gt; Môi giới chứng khoán</t>
        </is>
      </c>
      <c r="E1180" s="386" t="inlineStr">
        <is>
          <t>Nghiệp vụ hoạt động &gt;&gt; Môi giới chứng khoán</t>
        </is>
      </c>
      <c r="F1180" s="386" t="inlineStr">
        <is>
          <t>Data Explorer</t>
        </is>
      </c>
      <c r="G1180" s="386" t="inlineStr">
        <is>
          <t>Chỉ tiêu cơ sở</t>
        </is>
      </c>
      <c r="H1180" s="386" t="inlineStr">
        <is>
          <t>TB</t>
        </is>
      </c>
      <c r="I1180" s="386" t="inlineStr">
        <is>
          <t>Ngày, CTCK</t>
        </is>
      </c>
      <c r="J1180" s="395" t="inlineStr">
        <is>
          <t>SCMS</t>
        </is>
      </c>
      <c r="K1180" s="395" t="n"/>
      <c r="L1180" s="395" t="inlineStr">
        <is>
          <t>X</t>
        </is>
      </c>
      <c r="M1180" s="395" t="n"/>
      <c r="N1180" s="395" t="inlineStr">
        <is>
          <t>Pending</t>
        </is>
      </c>
      <c r="O1180" s="401" t="n"/>
      <c r="P1180" s="395" t="n"/>
      <c r="Q1180" s="395" t="n"/>
      <c r="R1180" s="395" t="n"/>
      <c r="S1180" s="395" t="n"/>
      <c r="T1180" s="123" t="inlineStr">
        <is>
          <t>Chưa xác định được rule với chi nhánh/phòng giao dịch</t>
        </is>
      </c>
      <c r="U1180" s="386" t="n"/>
      <c r="V1180" s="395" t="n"/>
      <c r="W1180" s="395" t="n"/>
      <c r="X1180" s="395" t="n"/>
      <c r="Y1180" s="13" t="n"/>
      <c r="Z1180" s="395" t="n"/>
      <c r="AA1180" s="395" t="n"/>
      <c r="AB1180" s="395" t="n"/>
      <c r="AC1180" s="395" t="n"/>
      <c r="AD1180" s="395" t="n"/>
      <c r="AE1180" s="395" t="n"/>
    </row>
    <row r="1181" ht="98" customHeight="1" s="380">
      <c r="A1181" s="73" t="n">
        <v>66</v>
      </c>
      <c r="B1181" s="386" t="n"/>
      <c r="C1181" s="386" t="inlineStr">
        <is>
          <t>Báo cáo theo Thông tư 121/2020/TT-BTC &gt;&gt; Báo cáo tình hình nhân sự Công ty chứng khoán (Trụ sở chính, chi nhánh, phòng giao dịch) - II.1. Phòng giao dịch</t>
        </is>
      </c>
      <c r="D1181" s="386" t="inlineStr">
        <is>
          <t>Nghiệp vụ hoạt động &gt;&gt; Tự doanh chứng khoán</t>
        </is>
      </c>
      <c r="E1181" s="386" t="inlineStr">
        <is>
          <t>Nghiệp vụ hoạt động &gt;&gt; Tự doanh chứng khoán</t>
        </is>
      </c>
      <c r="F1181" s="386" t="inlineStr">
        <is>
          <t>Data Explorer</t>
        </is>
      </c>
      <c r="G1181" s="386" t="inlineStr">
        <is>
          <t>Chỉ tiêu cơ sở</t>
        </is>
      </c>
      <c r="H1181" s="386" t="inlineStr">
        <is>
          <t>TB</t>
        </is>
      </c>
      <c r="I1181" s="386" t="inlineStr">
        <is>
          <t>Ngày, CTCK</t>
        </is>
      </c>
      <c r="J1181" s="395" t="inlineStr">
        <is>
          <t>SCMS</t>
        </is>
      </c>
      <c r="K1181" s="395" t="n"/>
      <c r="L1181" s="395" t="inlineStr">
        <is>
          <t>X</t>
        </is>
      </c>
      <c r="M1181" s="395" t="n"/>
      <c r="N1181" s="395" t="inlineStr">
        <is>
          <t>Pending</t>
        </is>
      </c>
      <c r="O1181" s="401" t="n"/>
      <c r="P1181" s="395" t="n"/>
      <c r="Q1181" s="395" t="n"/>
      <c r="R1181" s="395" t="n"/>
      <c r="S1181" s="395" t="n"/>
      <c r="T1181" s="123" t="inlineStr">
        <is>
          <t>Chưa xác định được rule với chi nhánh/phòng giao dịch</t>
        </is>
      </c>
      <c r="U1181" s="386" t="n"/>
      <c r="V1181" s="395" t="n"/>
      <c r="W1181" s="395" t="n"/>
      <c r="X1181" s="395" t="n"/>
      <c r="Y1181" s="13" t="n"/>
      <c r="Z1181" s="395" t="n"/>
      <c r="AA1181" s="395" t="n"/>
      <c r="AB1181" s="395" t="n"/>
      <c r="AC1181" s="395" t="n"/>
      <c r="AD1181" s="395" t="n"/>
      <c r="AE1181" s="395" t="n"/>
    </row>
    <row r="1182" ht="98" customHeight="1" s="380">
      <c r="A1182" s="73" t="n">
        <v>66</v>
      </c>
      <c r="B1182" s="386" t="n"/>
      <c r="C1182" s="386" t="inlineStr">
        <is>
          <t>Báo cáo theo Thông tư 121/2020/TT-BTC &gt;&gt; Báo cáo tình hình nhân sự Công ty chứng khoán (Trụ sở chính, chi nhánh, phòng giao dịch) - II.1. Phòng giao dịch</t>
        </is>
      </c>
      <c r="D1182" s="386" t="inlineStr">
        <is>
          <t>Nghiệp vụ hoạt động &gt;&gt; Bảo lãnh phát hành chứng khoán</t>
        </is>
      </c>
      <c r="E1182" s="386" t="inlineStr">
        <is>
          <t>Nghiệp vụ hoạt động &gt;&gt; Bảo lãnh phát hành chứng khoán</t>
        </is>
      </c>
      <c r="F1182" s="386" t="inlineStr">
        <is>
          <t>Data Explorer</t>
        </is>
      </c>
      <c r="G1182" s="386" t="inlineStr">
        <is>
          <t>Chỉ tiêu cơ sở</t>
        </is>
      </c>
      <c r="H1182" s="386" t="inlineStr">
        <is>
          <t>TB</t>
        </is>
      </c>
      <c r="I1182" s="386" t="inlineStr">
        <is>
          <t>Ngày, CTCK</t>
        </is>
      </c>
      <c r="J1182" s="395" t="inlineStr">
        <is>
          <t>SCMS</t>
        </is>
      </c>
      <c r="K1182" s="395" t="n"/>
      <c r="L1182" s="395" t="inlineStr">
        <is>
          <t>X</t>
        </is>
      </c>
      <c r="M1182" s="395" t="n"/>
      <c r="N1182" s="395" t="inlineStr">
        <is>
          <t>Pending</t>
        </is>
      </c>
      <c r="O1182" s="401" t="n"/>
      <c r="P1182" s="395" t="n"/>
      <c r="Q1182" s="395" t="n"/>
      <c r="R1182" s="395" t="n"/>
      <c r="S1182" s="395" t="n"/>
      <c r="T1182" s="123" t="inlineStr">
        <is>
          <t>Chưa xác định được rule với chi nhánh/phòng giao dịch</t>
        </is>
      </c>
      <c r="U1182" s="386" t="n"/>
      <c r="V1182" s="395" t="n"/>
      <c r="W1182" s="395" t="n"/>
      <c r="X1182" s="395" t="n"/>
      <c r="Y1182" s="13" t="n"/>
      <c r="Z1182" s="395" t="n"/>
      <c r="AA1182" s="395" t="n"/>
      <c r="AB1182" s="395" t="n"/>
      <c r="AC1182" s="395" t="n"/>
      <c r="AD1182" s="395" t="n"/>
      <c r="AE1182" s="395" t="n"/>
    </row>
    <row r="1183" ht="98" customHeight="1" s="380">
      <c r="A1183" s="73" t="n">
        <v>66</v>
      </c>
      <c r="B1183" s="386" t="n"/>
      <c r="C1183" s="386" t="inlineStr">
        <is>
          <t>Báo cáo theo Thông tư 121/2020/TT-BTC &gt;&gt; Báo cáo tình hình nhân sự Công ty chứng khoán (Trụ sở chính, chi nhánh, phòng giao dịch) - II.1. Phòng giao dịch</t>
        </is>
      </c>
      <c r="D1183" s="386" t="inlineStr">
        <is>
          <t>Nghiệp vụ hoạt động &gt;&gt; Tư vấn đầu tư chứng khoán</t>
        </is>
      </c>
      <c r="E1183" s="386" t="inlineStr">
        <is>
          <t>Nghiệp vụ hoạt động &gt;&gt; Tư vấn đầu tư chứng khoán</t>
        </is>
      </c>
      <c r="F1183" s="386" t="inlineStr">
        <is>
          <t>Data Explorer</t>
        </is>
      </c>
      <c r="G1183" s="386" t="inlineStr">
        <is>
          <t>Chỉ tiêu cơ sở</t>
        </is>
      </c>
      <c r="H1183" s="386" t="inlineStr">
        <is>
          <t>TB</t>
        </is>
      </c>
      <c r="I1183" s="386" t="inlineStr">
        <is>
          <t>Ngày, CTCK</t>
        </is>
      </c>
      <c r="J1183" s="395" t="inlineStr">
        <is>
          <t>SCMS</t>
        </is>
      </c>
      <c r="K1183" s="395" t="n"/>
      <c r="L1183" s="395" t="inlineStr">
        <is>
          <t>X</t>
        </is>
      </c>
      <c r="M1183" s="395" t="n"/>
      <c r="N1183" s="395" t="inlineStr">
        <is>
          <t>Pending</t>
        </is>
      </c>
      <c r="O1183" s="401" t="n"/>
      <c r="P1183" s="395" t="n"/>
      <c r="Q1183" s="395" t="n"/>
      <c r="R1183" s="395" t="n"/>
      <c r="S1183" s="395" t="n"/>
      <c r="T1183" s="123" t="inlineStr">
        <is>
          <t>Chưa xác định được rule với chi nhánh/phòng giao dịch</t>
        </is>
      </c>
      <c r="U1183" s="386" t="n"/>
      <c r="V1183" s="395" t="n"/>
      <c r="W1183" s="395" t="n"/>
      <c r="X1183" s="395" t="n"/>
      <c r="Y1183" s="13" t="n"/>
      <c r="Z1183" s="395" t="n"/>
      <c r="AA1183" s="395" t="n"/>
      <c r="AB1183" s="395" t="n"/>
      <c r="AC1183" s="395" t="n"/>
      <c r="AD1183" s="395" t="n"/>
      <c r="AE1183" s="395" t="n"/>
    </row>
    <row r="1184" ht="98" customHeight="1" s="380">
      <c r="A1184" s="73" t="n">
        <v>66</v>
      </c>
      <c r="B1184" s="386" t="n"/>
      <c r="C1184" s="386" t="inlineStr">
        <is>
          <t>Báo cáo theo Thông tư 121/2020/TT-BTC &gt;&gt; Báo cáo tình hình nhân sự Công ty chứng khoán (Trụ sở chính, chi nhánh, phòng giao dịch) - II.1. Phòng giao dịch</t>
        </is>
      </c>
      <c r="D1184" s="386" t="inlineStr">
        <is>
          <t>Tên chi nhánh công ty chứng khoán</t>
        </is>
      </c>
      <c r="E1184" s="386" t="inlineStr">
        <is>
          <t>Tên chi nhánh công ty chứng khoán</t>
        </is>
      </c>
      <c r="F1184" s="386" t="inlineStr">
        <is>
          <t>Data Explorer</t>
        </is>
      </c>
      <c r="G1184" s="386" t="inlineStr">
        <is>
          <t>Chỉ tiêu cơ sở</t>
        </is>
      </c>
      <c r="H1184" s="386" t="inlineStr">
        <is>
          <t>TB</t>
        </is>
      </c>
      <c r="I1184" s="386" t="inlineStr">
        <is>
          <t>Ngày, CTCK</t>
        </is>
      </c>
      <c r="J1184" s="395" t="inlineStr">
        <is>
          <t>SCMS</t>
        </is>
      </c>
      <c r="K1184" s="395" t="n"/>
      <c r="L1184" s="395" t="inlineStr">
        <is>
          <t>X</t>
        </is>
      </c>
      <c r="M1184" s="395" t="n"/>
      <c r="N1184" s="395" t="inlineStr">
        <is>
          <t>Pending</t>
        </is>
      </c>
      <c r="O1184" s="401" t="n"/>
      <c r="P1184" s="395" t="n"/>
      <c r="Q1184" s="395" t="n"/>
      <c r="R1184" s="395" t="n"/>
      <c r="S1184" s="395" t="n"/>
      <c r="T1184" s="123" t="inlineStr">
        <is>
          <t>Chưa xác định được rule với chi nhánh/phòng giao dịch</t>
        </is>
      </c>
      <c r="U1184" s="386" t="n"/>
      <c r="V1184" s="395" t="n"/>
      <c r="W1184" s="395" t="n"/>
      <c r="X1184" s="395" t="n"/>
      <c r="Y1184" s="13" t="n"/>
      <c r="Z1184" s="395" t="n"/>
      <c r="AA1184" s="395" t="n"/>
      <c r="AB1184" s="395" t="n"/>
      <c r="AC1184" s="395" t="n"/>
      <c r="AD1184" s="395" t="n"/>
      <c r="AE1184" s="395" t="n"/>
    </row>
    <row r="1185" ht="98" customHeight="1" s="380">
      <c r="A1185" s="73" t="n">
        <v>66</v>
      </c>
      <c r="B1185" s="386" t="n"/>
      <c r="C1185" s="386" t="inlineStr">
        <is>
          <t>Báo cáo theo Thông tư 121/2020/TT-BTC &gt;&gt; Báo cáo tình hình nhân sự Công ty chứng khoán (Trụ sở chính, chi nhánh, phòng giao dịch) - II.1. Phòng giao dịch</t>
        </is>
      </c>
      <c r="D1185" s="386" t="inlineStr">
        <is>
          <t>Chi nhánh &gt;&gt; Quyết định thành lập &gt;&gt; Số</t>
        </is>
      </c>
      <c r="E1185" s="386" t="inlineStr">
        <is>
          <t>Chi nhánh &gt;&gt; Quyết định thành lập &gt;&gt; Số</t>
        </is>
      </c>
      <c r="F1185" s="386" t="inlineStr">
        <is>
          <t>Data Explorer</t>
        </is>
      </c>
      <c r="G1185" s="386" t="inlineStr">
        <is>
          <t>Chỉ tiêu cơ sở</t>
        </is>
      </c>
      <c r="H1185" s="386" t="inlineStr">
        <is>
          <t>TB</t>
        </is>
      </c>
      <c r="I1185" s="386" t="inlineStr">
        <is>
          <t>Ngày, CTCK</t>
        </is>
      </c>
      <c r="J1185" s="395" t="inlineStr">
        <is>
          <t>SCMS</t>
        </is>
      </c>
      <c r="K1185" s="395" t="n"/>
      <c r="L1185" s="395" t="inlineStr">
        <is>
          <t>X</t>
        </is>
      </c>
      <c r="M1185" s="395" t="n"/>
      <c r="N1185" s="395" t="inlineStr">
        <is>
          <t>Pending</t>
        </is>
      </c>
      <c r="O1185" s="401" t="n"/>
      <c r="P1185" s="395" t="n"/>
      <c r="Q1185" s="395" t="n"/>
      <c r="R1185" s="395" t="n"/>
      <c r="S1185" s="395" t="n"/>
      <c r="T1185" s="123" t="inlineStr">
        <is>
          <t>Chưa xác định được rule với chi nhánh/phòng giao dịch</t>
        </is>
      </c>
      <c r="U1185" s="386" t="n"/>
      <c r="V1185" s="395" t="n"/>
      <c r="W1185" s="395" t="n"/>
      <c r="X1185" s="395" t="n"/>
      <c r="Y1185" s="14" t="n"/>
      <c r="Z1185" s="395" t="n"/>
      <c r="AA1185" s="395" t="n"/>
      <c r="AB1185" s="395" t="n"/>
      <c r="AC1185" s="395" t="n"/>
      <c r="AD1185" s="395" t="n"/>
      <c r="AE1185" s="395" t="n"/>
    </row>
    <row r="1186" ht="98" customHeight="1" s="380">
      <c r="A1186" s="73" t="n">
        <v>66</v>
      </c>
      <c r="B1186" s="386" t="n"/>
      <c r="C1186" s="386" t="inlineStr">
        <is>
          <t>Báo cáo theo Thông tư 121/2020/TT-BTC &gt;&gt; Báo cáo tình hình nhân sự Công ty chứng khoán (Trụ sở chính, chi nhánh, phòng giao dịch) - II.1. Phòng giao dịch</t>
        </is>
      </c>
      <c r="D1186" s="386" t="inlineStr">
        <is>
          <t>Chi nhánh &gt;&gt; Quyết định thành lập &gt;&gt; Ngày cấp</t>
        </is>
      </c>
      <c r="E1186" s="386" t="inlineStr">
        <is>
          <t>Chi nhánh &gt;&gt; Quyết định thành lập &gt;&gt; Ngày cấp</t>
        </is>
      </c>
      <c r="F1186" s="386" t="inlineStr">
        <is>
          <t>Data Explorer</t>
        </is>
      </c>
      <c r="G1186" s="386" t="inlineStr">
        <is>
          <t>Chỉ tiêu cơ sở</t>
        </is>
      </c>
      <c r="H1186" s="386" t="inlineStr">
        <is>
          <t>TB</t>
        </is>
      </c>
      <c r="I1186" s="386" t="inlineStr">
        <is>
          <t>Ngày, CTCK</t>
        </is>
      </c>
      <c r="J1186" s="395" t="inlineStr">
        <is>
          <t>SCMS</t>
        </is>
      </c>
      <c r="K1186" s="395" t="n"/>
      <c r="L1186" s="395" t="inlineStr">
        <is>
          <t>X</t>
        </is>
      </c>
      <c r="M1186" s="395" t="n"/>
      <c r="N1186" s="395" t="inlineStr">
        <is>
          <t>Pending</t>
        </is>
      </c>
      <c r="O1186" s="401" t="n"/>
      <c r="P1186" s="395" t="n"/>
      <c r="Q1186" s="395" t="n"/>
      <c r="R1186" s="395" t="n"/>
      <c r="S1186" s="395" t="n"/>
      <c r="T1186" s="123" t="inlineStr">
        <is>
          <t>Chưa xác định được rule với chi nhánh/phòng giao dịch</t>
        </is>
      </c>
      <c r="U1186" s="386" t="n"/>
      <c r="V1186" s="395" t="n"/>
      <c r="W1186" s="395" t="n"/>
      <c r="X1186" s="395" t="n"/>
      <c r="Y1186" s="13" t="n"/>
      <c r="Z1186" s="395" t="n"/>
      <c r="AA1186" s="395" t="n"/>
      <c r="AB1186" s="395" t="n"/>
      <c r="AC1186" s="395" t="n"/>
      <c r="AD1186" s="395" t="n"/>
      <c r="AE1186" s="395" t="n"/>
    </row>
    <row r="1187" ht="98" customHeight="1" s="380">
      <c r="A1187" s="73" t="n">
        <v>66</v>
      </c>
      <c r="B1187" s="386" t="n"/>
      <c r="C1187" s="386" t="inlineStr">
        <is>
          <t>Báo cáo theo Thông tư 121/2020/TT-BTC &gt;&gt; Báo cáo tình hình nhân sự Công ty chứng khoán (Trụ sở chính, chi nhánh, phòng giao dịch) - II.1. Phòng giao dịch</t>
        </is>
      </c>
      <c r="D1187" s="386" t="inlineStr">
        <is>
          <t>Nghiệp vụ hoạt động được ủy quyền &gt;&gt; Môi giới chứng khoán</t>
        </is>
      </c>
      <c r="E1187" s="386" t="inlineStr">
        <is>
          <t>Nghiệp vụ hoạt động được ủy quyền &gt;&gt; Môi giới chứng khoán</t>
        </is>
      </c>
      <c r="F1187" s="386" t="inlineStr">
        <is>
          <t>Data Explorer</t>
        </is>
      </c>
      <c r="G1187" s="386" t="inlineStr">
        <is>
          <t>Chỉ tiêu cơ sở</t>
        </is>
      </c>
      <c r="H1187" s="386" t="inlineStr">
        <is>
          <t>TB</t>
        </is>
      </c>
      <c r="I1187" s="386" t="inlineStr">
        <is>
          <t>Ngày, CTCK</t>
        </is>
      </c>
      <c r="J1187" s="395" t="inlineStr">
        <is>
          <t>SCMS</t>
        </is>
      </c>
      <c r="K1187" s="395" t="n"/>
      <c r="L1187" s="395" t="inlineStr">
        <is>
          <t>X</t>
        </is>
      </c>
      <c r="M1187" s="395" t="n"/>
      <c r="N1187" s="395" t="inlineStr">
        <is>
          <t>Pending</t>
        </is>
      </c>
      <c r="O1187" s="401" t="n"/>
      <c r="P1187" s="395" t="n"/>
      <c r="Q1187" s="395" t="n"/>
      <c r="R1187" s="395" t="n"/>
      <c r="S1187" s="395" t="n"/>
      <c r="T1187" s="123" t="inlineStr">
        <is>
          <t>Chưa xác định được rule với chi nhánh/phòng giao dịch</t>
        </is>
      </c>
      <c r="U1187" s="386" t="n"/>
      <c r="V1187" s="395" t="n"/>
      <c r="W1187" s="395" t="n"/>
      <c r="X1187" s="395" t="n"/>
      <c r="Y1187" s="13" t="n"/>
      <c r="Z1187" s="395" t="n"/>
      <c r="AA1187" s="395" t="n"/>
      <c r="AB1187" s="395" t="n"/>
      <c r="AC1187" s="395" t="n"/>
      <c r="AD1187" s="395" t="n"/>
      <c r="AE1187" s="395" t="n"/>
    </row>
    <row r="1188" ht="98" customHeight="1" s="380">
      <c r="A1188" s="73" t="n">
        <v>66</v>
      </c>
      <c r="B1188" s="386" t="n"/>
      <c r="C1188" s="386" t="inlineStr">
        <is>
          <t>Báo cáo theo Thông tư 121/2020/TT-BTC &gt;&gt; Báo cáo tình hình nhân sự Công ty chứng khoán (Trụ sở chính, chi nhánh, phòng giao dịch) - II.1. Phòng giao dịch</t>
        </is>
      </c>
      <c r="D1188" s="386" t="inlineStr">
        <is>
          <t>Nghiệp vụ hoạt động được ủy quyền &gt;&gt; Tự doanh chứng khoán</t>
        </is>
      </c>
      <c r="E1188" s="386" t="inlineStr">
        <is>
          <t>Nghiệp vụ hoạt động được ủy quyền &gt;&gt; Tự doanh chứng khoán</t>
        </is>
      </c>
      <c r="F1188" s="386" t="inlineStr">
        <is>
          <t>Data Explorer</t>
        </is>
      </c>
      <c r="G1188" s="386" t="inlineStr">
        <is>
          <t>Chỉ tiêu cơ sở</t>
        </is>
      </c>
      <c r="H1188" s="386" t="inlineStr">
        <is>
          <t>TB</t>
        </is>
      </c>
      <c r="I1188" s="386" t="inlineStr">
        <is>
          <t>Ngày, CTCK</t>
        </is>
      </c>
      <c r="J1188" s="395" t="inlineStr">
        <is>
          <t>SCMS</t>
        </is>
      </c>
      <c r="K1188" s="395" t="n"/>
      <c r="L1188" s="395" t="inlineStr">
        <is>
          <t>X</t>
        </is>
      </c>
      <c r="M1188" s="395" t="n"/>
      <c r="N1188" s="395" t="inlineStr">
        <is>
          <t>Pending</t>
        </is>
      </c>
      <c r="O1188" s="401" t="n"/>
      <c r="P1188" s="395" t="n"/>
      <c r="Q1188" s="395" t="n"/>
      <c r="R1188" s="395" t="n"/>
      <c r="S1188" s="395" t="n"/>
      <c r="T1188" s="123" t="inlineStr">
        <is>
          <t>Chưa xác định được rule với chi nhánh/phòng giao dịch</t>
        </is>
      </c>
      <c r="U1188" s="386" t="n"/>
      <c r="V1188" s="395" t="n"/>
      <c r="W1188" s="395" t="n"/>
      <c r="X1188" s="395" t="n"/>
      <c r="Y1188" s="13" t="n"/>
      <c r="Z1188" s="395" t="n"/>
      <c r="AA1188" s="395" t="n"/>
      <c r="AB1188" s="395" t="n"/>
      <c r="AC1188" s="395" t="n"/>
      <c r="AD1188" s="395" t="n"/>
      <c r="AE1188" s="395" t="n"/>
    </row>
    <row r="1189" ht="98" customHeight="1" s="380">
      <c r="A1189" s="73" t="n">
        <v>66</v>
      </c>
      <c r="B1189" s="386" t="n"/>
      <c r="C1189" s="386" t="inlineStr">
        <is>
          <t>Báo cáo theo Thông tư 121/2020/TT-BTC &gt;&gt; Báo cáo tình hình nhân sự Công ty chứng khoán (Trụ sở chính, chi nhánh, phòng giao dịch) - II.1. Phòng giao dịch</t>
        </is>
      </c>
      <c r="D1189" s="386" t="inlineStr">
        <is>
          <t>Nghiệp vụ hoạt động được ủy quyền &gt;&gt; Bảo lãnh phát hành chứng khoán</t>
        </is>
      </c>
      <c r="E1189" s="386" t="inlineStr">
        <is>
          <t>Nghiệp vụ hoạt động được ủy quyền &gt;&gt; Bảo lãnh phát hành chứng khoán</t>
        </is>
      </c>
      <c r="F1189" s="386" t="inlineStr">
        <is>
          <t>Data Explorer</t>
        </is>
      </c>
      <c r="G1189" s="386" t="inlineStr">
        <is>
          <t>Chỉ tiêu cơ sở</t>
        </is>
      </c>
      <c r="H1189" s="386" t="inlineStr">
        <is>
          <t>TB</t>
        </is>
      </c>
      <c r="I1189" s="386" t="inlineStr">
        <is>
          <t>Ngày, CTCK</t>
        </is>
      </c>
      <c r="J1189" s="395" t="inlineStr">
        <is>
          <t>SCMS</t>
        </is>
      </c>
      <c r="K1189" s="395" t="n"/>
      <c r="L1189" s="395" t="inlineStr">
        <is>
          <t>X</t>
        </is>
      </c>
      <c r="M1189" s="395" t="n"/>
      <c r="N1189" s="395" t="inlineStr">
        <is>
          <t>Pending</t>
        </is>
      </c>
      <c r="O1189" s="401" t="n"/>
      <c r="P1189" s="395" t="n"/>
      <c r="Q1189" s="395" t="n"/>
      <c r="R1189" s="395" t="n"/>
      <c r="S1189" s="395" t="n"/>
      <c r="T1189" s="123" t="inlineStr">
        <is>
          <t>Chưa xác định được rule với chi nhánh/phòng giao dịch</t>
        </is>
      </c>
      <c r="U1189" s="386" t="n"/>
      <c r="V1189" s="395" t="n"/>
      <c r="W1189" s="395" t="n"/>
      <c r="X1189" s="395" t="n"/>
      <c r="Y1189" s="13" t="n"/>
      <c r="Z1189" s="395" t="n"/>
      <c r="AA1189" s="395" t="n"/>
      <c r="AB1189" s="395" t="n"/>
      <c r="AC1189" s="395" t="n"/>
      <c r="AD1189" s="395" t="n"/>
      <c r="AE1189" s="395" t="n"/>
    </row>
    <row r="1190" ht="98" customHeight="1" s="380">
      <c r="A1190" s="73" t="n">
        <v>66</v>
      </c>
      <c r="B1190" s="386" t="n"/>
      <c r="C1190" s="386" t="inlineStr">
        <is>
          <t>Báo cáo theo Thông tư 121/2020/TT-BTC &gt;&gt; Báo cáo tình hình nhân sự Công ty chứng khoán (Trụ sở chính, chi nhánh, phòng giao dịch) - II.1. Phòng giao dịch</t>
        </is>
      </c>
      <c r="D1190" s="386" t="inlineStr">
        <is>
          <t>Nghiệp vụ hoạt động được ủy quyền &gt;&gt; Tư vấn đầu tư chứng khoán</t>
        </is>
      </c>
      <c r="E1190" s="386" t="inlineStr">
        <is>
          <t>Nghiệp vụ hoạt động được ủy quyền &gt;&gt; Tư vấn đầu tư chứng khoán</t>
        </is>
      </c>
      <c r="F1190" s="386" t="inlineStr">
        <is>
          <t>Data Explorer</t>
        </is>
      </c>
      <c r="G1190" s="386" t="inlineStr">
        <is>
          <t>Chỉ tiêu cơ sở</t>
        </is>
      </c>
      <c r="H1190" s="386" t="inlineStr">
        <is>
          <t>TB</t>
        </is>
      </c>
      <c r="I1190" s="386" t="inlineStr">
        <is>
          <t>Ngày, CTCK</t>
        </is>
      </c>
      <c r="J1190" s="395" t="inlineStr">
        <is>
          <t>SCMS</t>
        </is>
      </c>
      <c r="K1190" s="395" t="n"/>
      <c r="L1190" s="395" t="inlineStr">
        <is>
          <t>X</t>
        </is>
      </c>
      <c r="M1190" s="395" t="n"/>
      <c r="N1190" s="395" t="inlineStr">
        <is>
          <t>Pending</t>
        </is>
      </c>
      <c r="O1190" s="401" t="n"/>
      <c r="P1190" s="395" t="n"/>
      <c r="Q1190" s="395" t="n"/>
      <c r="R1190" s="395" t="n"/>
      <c r="S1190" s="395" t="n"/>
      <c r="T1190" s="123" t="inlineStr">
        <is>
          <t>Chưa xác định được rule với chi nhánh/phòng giao dịch</t>
        </is>
      </c>
      <c r="U1190" s="386" t="n"/>
      <c r="V1190" s="395" t="n"/>
      <c r="W1190" s="395" t="n"/>
      <c r="X1190" s="395" t="n"/>
      <c r="Y1190" s="13" t="n"/>
      <c r="Z1190" s="395" t="n"/>
      <c r="AA1190" s="395" t="n"/>
      <c r="AB1190" s="395" t="n"/>
      <c r="AC1190" s="395" t="n"/>
      <c r="AD1190" s="395" t="n"/>
      <c r="AE1190" s="395" t="n"/>
    </row>
    <row r="1191" ht="98" customHeight="1" s="380">
      <c r="A1191" s="73" t="n">
        <v>66</v>
      </c>
      <c r="B1191" s="386" t="n"/>
      <c r="C1191" s="386" t="inlineStr">
        <is>
          <t>Báo cáo theo Thông tư 121/2020/TT-BTC &gt;&gt; Báo cáo tình hình nhân sự Công ty chứng khoán (Trụ sở chính, chi nhánh, phòng giao dịch) - II.1. Phòng giao dịch</t>
        </is>
      </c>
      <c r="D1191" s="386" t="inlineStr">
        <is>
          <t>Tên phòng giao dịch</t>
        </is>
      </c>
      <c r="E1191" s="386" t="inlineStr">
        <is>
          <t>Tên phòng giao dịch</t>
        </is>
      </c>
      <c r="F1191" s="386" t="inlineStr">
        <is>
          <t>Data Explorer</t>
        </is>
      </c>
      <c r="G1191" s="386" t="inlineStr">
        <is>
          <t>Chỉ tiêu cơ sở</t>
        </is>
      </c>
      <c r="H1191" s="386" t="inlineStr">
        <is>
          <t>Dễ</t>
        </is>
      </c>
      <c r="I1191" s="386" t="inlineStr">
        <is>
          <t>Ngày, CTCK</t>
        </is>
      </c>
      <c r="J1191" s="395" t="inlineStr">
        <is>
          <t>SCMS</t>
        </is>
      </c>
      <c r="K1191" s="395" t="n"/>
      <c r="L1191" s="395" t="inlineStr">
        <is>
          <t>X</t>
        </is>
      </c>
      <c r="M1191" s="395" t="n"/>
      <c r="N1191" s="395" t="inlineStr">
        <is>
          <t>Pending</t>
        </is>
      </c>
      <c r="O1191" s="401" t="n"/>
      <c r="P1191" s="395" t="n"/>
      <c r="Q1191" s="395" t="n"/>
      <c r="R1191" s="395" t="n"/>
      <c r="S1191" s="395" t="n"/>
      <c r="T1191" s="123" t="inlineStr">
        <is>
          <t>Chưa xác định được rule với chi nhánh/phòng giao dịch</t>
        </is>
      </c>
      <c r="U1191" s="386" t="n"/>
      <c r="V1191" s="395" t="n"/>
      <c r="W1191" s="395" t="n"/>
      <c r="X1191" s="395" t="n"/>
      <c r="Y1191" s="38" t="n"/>
      <c r="Z1191" s="395" t="n"/>
      <c r="AA1191" s="395" t="n"/>
      <c r="AB1191" s="395" t="n"/>
      <c r="AC1191" s="395" t="n"/>
      <c r="AD1191" s="395" t="n"/>
      <c r="AE1191" s="395" t="n"/>
    </row>
    <row r="1192" ht="98" customHeight="1" s="380">
      <c r="A1192" s="73" t="n">
        <v>66</v>
      </c>
      <c r="B1192" s="386" t="n"/>
      <c r="C1192" s="386" t="inlineStr">
        <is>
          <t>Báo cáo theo Thông tư 121/2020/TT-BTC &gt;&gt; Báo cáo tình hình nhân sự Công ty chứng khoán (Trụ sở chính, chi nhánh, phòng giao dịch) - II.1. Phòng giao dịch</t>
        </is>
      </c>
      <c r="D1192" s="386" t="inlineStr">
        <is>
          <t>Phòng giao dịch &gt;&gt; Quyết định thành lập &gt;&gt; Số</t>
        </is>
      </c>
      <c r="E1192" s="386" t="inlineStr">
        <is>
          <t>Phòng giao dịch &gt;&gt; Quyết định thành lập &gt;&gt; Số</t>
        </is>
      </c>
      <c r="F1192" s="386" t="inlineStr">
        <is>
          <t>Data Explorer</t>
        </is>
      </c>
      <c r="G1192" s="386" t="inlineStr">
        <is>
          <t>Chỉ tiêu cơ sở</t>
        </is>
      </c>
      <c r="H1192" s="386" t="inlineStr">
        <is>
          <t>Dễ</t>
        </is>
      </c>
      <c r="I1192" s="386" t="inlineStr">
        <is>
          <t>Ngày, CTCK</t>
        </is>
      </c>
      <c r="J1192" s="395" t="inlineStr">
        <is>
          <t>SCMS</t>
        </is>
      </c>
      <c r="K1192" s="395" t="n"/>
      <c r="L1192" s="395" t="inlineStr">
        <is>
          <t>X</t>
        </is>
      </c>
      <c r="M1192" s="395" t="n"/>
      <c r="N1192" s="395" t="inlineStr">
        <is>
          <t>Pending</t>
        </is>
      </c>
      <c r="O1192" s="401" t="n"/>
      <c r="P1192" s="395" t="n"/>
      <c r="Q1192" s="395" t="n"/>
      <c r="R1192" s="395" t="n"/>
      <c r="S1192" s="395" t="n"/>
      <c r="T1192" s="123" t="inlineStr">
        <is>
          <t>Chưa xác định được rule với chi nhánh/phòng giao dịch</t>
        </is>
      </c>
      <c r="U1192" s="386" t="n"/>
      <c r="V1192" s="395" t="n"/>
      <c r="W1192" s="395" t="n"/>
      <c r="X1192" s="395" t="n"/>
      <c r="Y1192" s="13" t="n"/>
      <c r="Z1192" s="395" t="n"/>
      <c r="AA1192" s="395" t="n"/>
      <c r="AB1192" s="395" t="n"/>
      <c r="AC1192" s="395" t="n"/>
      <c r="AD1192" s="395" t="n"/>
      <c r="AE1192" s="395" t="n"/>
    </row>
    <row r="1193" ht="98" customHeight="1" s="380">
      <c r="A1193" s="73" t="n">
        <v>66</v>
      </c>
      <c r="B1193" s="386" t="n"/>
      <c r="C1193" s="386" t="inlineStr">
        <is>
          <t>Báo cáo theo Thông tư 121/2020/TT-BTC &gt;&gt; Báo cáo tình hình nhân sự Công ty chứng khoán (Trụ sở chính, chi nhánh, phòng giao dịch) - II.1. Phòng giao dịch</t>
        </is>
      </c>
      <c r="D1193" s="386" t="inlineStr">
        <is>
          <t>Phòng giao dịch &gt;&gt; Quyết định thành lập &gt;&gt; Ngày cấp</t>
        </is>
      </c>
      <c r="E1193" s="386" t="inlineStr">
        <is>
          <t>Phòng giao dịch &gt;&gt; Quyết định thành lập &gt;&gt; Ngày cấp</t>
        </is>
      </c>
      <c r="F1193" s="386" t="inlineStr">
        <is>
          <t>Data Explorer</t>
        </is>
      </c>
      <c r="G1193" s="386" t="inlineStr">
        <is>
          <t>Chỉ tiêu cơ sở</t>
        </is>
      </c>
      <c r="H1193" s="386" t="inlineStr">
        <is>
          <t>Dễ</t>
        </is>
      </c>
      <c r="I1193" s="386" t="inlineStr">
        <is>
          <t>Ngày, CTCK</t>
        </is>
      </c>
      <c r="J1193" s="395" t="inlineStr">
        <is>
          <t>SCMS</t>
        </is>
      </c>
      <c r="K1193" s="395" t="n"/>
      <c r="L1193" s="395" t="inlineStr">
        <is>
          <t>X</t>
        </is>
      </c>
      <c r="M1193" s="395" t="n"/>
      <c r="N1193" s="395" t="inlineStr">
        <is>
          <t>Pending</t>
        </is>
      </c>
      <c r="O1193" s="401" t="n"/>
      <c r="P1193" s="395" t="n"/>
      <c r="Q1193" s="395" t="n"/>
      <c r="R1193" s="395" t="n"/>
      <c r="S1193" s="395" t="n"/>
      <c r="T1193" s="123" t="inlineStr">
        <is>
          <t>Chưa xác định được rule với chi nhánh/phòng giao dịch</t>
        </is>
      </c>
      <c r="U1193" s="386" t="n"/>
      <c r="V1193" s="395" t="n"/>
      <c r="W1193" s="395" t="n"/>
      <c r="X1193" s="395" t="n"/>
      <c r="Y1193" s="13" t="n"/>
      <c r="Z1193" s="395" t="n"/>
      <c r="AA1193" s="395" t="n"/>
      <c r="AB1193" s="395" t="n"/>
      <c r="AC1193" s="395" t="n"/>
      <c r="AD1193" s="395" t="n"/>
      <c r="AE1193" s="395" t="n"/>
    </row>
    <row r="1194" ht="98" customHeight="1" s="380">
      <c r="A1194" s="73" t="n">
        <v>66</v>
      </c>
      <c r="B1194" s="386" t="n"/>
      <c r="C1194" s="386" t="inlineStr">
        <is>
          <t>Báo cáo theo Thông tư 121/2020/TT-BTC &gt;&gt; Báo cáo tình hình nhân sự Công ty chứng khoán (Trụ sở chính, chi nhánh, phòng giao dịch) - II.1. Phòng giao dịch</t>
        </is>
      </c>
      <c r="D1194" s="386" t="inlineStr">
        <is>
          <t>Nghiệp vụ hỗ trợ &gt;&gt; Môi giới chứng khoán</t>
        </is>
      </c>
      <c r="E1194" s="386" t="inlineStr">
        <is>
          <t>Nghiệp vụ hỗ trợ &gt;&gt; Môi giới chứng khoán</t>
        </is>
      </c>
      <c r="F1194" s="386" t="inlineStr">
        <is>
          <t>Data Explorer</t>
        </is>
      </c>
      <c r="G1194" s="386" t="inlineStr">
        <is>
          <t>Chỉ tiêu cơ sở</t>
        </is>
      </c>
      <c r="H1194" s="386" t="inlineStr">
        <is>
          <t>TB</t>
        </is>
      </c>
      <c r="I1194" s="386" t="inlineStr">
        <is>
          <t>Ngày, CTCK</t>
        </is>
      </c>
      <c r="J1194" s="395" t="inlineStr">
        <is>
          <t>SCMS</t>
        </is>
      </c>
      <c r="K1194" s="395" t="n"/>
      <c r="L1194" s="395" t="inlineStr">
        <is>
          <t>X</t>
        </is>
      </c>
      <c r="M1194" s="395" t="n"/>
      <c r="N1194" s="395" t="inlineStr">
        <is>
          <t>Pending</t>
        </is>
      </c>
      <c r="O1194" s="401" t="n"/>
      <c r="P1194" s="395" t="n"/>
      <c r="Q1194" s="395" t="n"/>
      <c r="R1194" s="395" t="n"/>
      <c r="S1194" s="395" t="n"/>
      <c r="T1194" s="123" t="inlineStr">
        <is>
          <t>Chưa xác định được rule với chi nhánh/phòng giao dịch</t>
        </is>
      </c>
      <c r="U1194" s="386" t="n"/>
      <c r="V1194" s="395" t="n"/>
      <c r="W1194" s="395" t="n"/>
      <c r="X1194" s="395" t="n"/>
      <c r="Y1194" s="13" t="n"/>
      <c r="Z1194" s="395" t="n"/>
      <c r="AA1194" s="395" t="n"/>
      <c r="AB1194" s="395" t="n"/>
      <c r="AC1194" s="395" t="n"/>
      <c r="AD1194" s="395" t="n"/>
      <c r="AE1194" s="395" t="n"/>
    </row>
    <row r="1195" ht="98" customHeight="1" s="380">
      <c r="A1195" s="73" t="n">
        <v>66</v>
      </c>
      <c r="B1195" s="386" t="n"/>
      <c r="C1195" s="386" t="inlineStr">
        <is>
          <t>Báo cáo theo Thông tư 121/2020/TT-BTC &gt;&gt; Báo cáo tình hình nhân sự Công ty chứng khoán (Trụ sở chính, chi nhánh, phòng giao dịch) - II.1. Phòng giao dịch</t>
        </is>
      </c>
      <c r="D1195" s="386" t="inlineStr">
        <is>
          <t>Nghiệp vụ hỗ trợ &gt;&gt; Tư vấn đầu tư chứng khoán</t>
        </is>
      </c>
      <c r="E1195" s="386" t="inlineStr">
        <is>
          <t>Nghiệp vụ hỗ trợ &gt;&gt; Tư vấn đầu tư chứng khoán</t>
        </is>
      </c>
      <c r="F1195" s="386" t="inlineStr">
        <is>
          <t>Data Explorer</t>
        </is>
      </c>
      <c r="G1195" s="386" t="inlineStr">
        <is>
          <t>Chỉ tiêu cơ sở</t>
        </is>
      </c>
      <c r="H1195" s="386" t="inlineStr">
        <is>
          <t>TB</t>
        </is>
      </c>
      <c r="I1195" s="386" t="inlineStr">
        <is>
          <t>Ngày, CTCK</t>
        </is>
      </c>
      <c r="J1195" s="395" t="inlineStr">
        <is>
          <t>SCMS</t>
        </is>
      </c>
      <c r="K1195" s="395" t="n"/>
      <c r="L1195" s="395" t="inlineStr">
        <is>
          <t>X</t>
        </is>
      </c>
      <c r="M1195" s="395" t="n"/>
      <c r="N1195" s="395" t="inlineStr">
        <is>
          <t>Pending</t>
        </is>
      </c>
      <c r="O1195" s="401" t="n"/>
      <c r="P1195" s="395" t="n"/>
      <c r="Q1195" s="395" t="n"/>
      <c r="R1195" s="395" t="n"/>
      <c r="S1195" s="395" t="n"/>
      <c r="T1195" s="123" t="inlineStr">
        <is>
          <t>Chưa xác định được rule với chi nhánh/phòng giao dịch</t>
        </is>
      </c>
      <c r="U1195" s="386" t="n"/>
      <c r="V1195" s="395" t="n"/>
      <c r="W1195" s="395" t="n"/>
      <c r="X1195" s="395" t="n"/>
      <c r="Y1195" s="13" t="n"/>
      <c r="Z1195" s="395" t="n"/>
      <c r="AA1195" s="395" t="n"/>
      <c r="AB1195" s="395" t="n"/>
      <c r="AC1195" s="395" t="n"/>
      <c r="AD1195" s="395" t="n"/>
      <c r="AE1195" s="395" t="n"/>
    </row>
    <row r="1196" ht="98" customHeight="1" s="380">
      <c r="A1196" s="73" t="n">
        <v>66</v>
      </c>
      <c r="B1196" s="386" t="n"/>
      <c r="C1196" s="386" t="inlineStr">
        <is>
          <t>Báo cáo theo Thông tư 121/2020/TT-BTC &gt;&gt; Báo cáo tình hình nhân sự Công ty chứng khoán (Trụ sở chính, chi nhánh, phòng giao dịch) - II.1. Phòng giao dịch</t>
        </is>
      </c>
      <c r="D1196" s="386" t="inlineStr">
        <is>
          <t>Nghiệp vụ hỗ trợ &gt;&gt; Lưu ký chứng khoán</t>
        </is>
      </c>
      <c r="E1196" s="386" t="inlineStr">
        <is>
          <t>Nghiệp vụ hỗ trợ &gt;&gt; Lưu ký chứng khoán</t>
        </is>
      </c>
      <c r="F1196" s="386" t="inlineStr">
        <is>
          <t>Data Explorer</t>
        </is>
      </c>
      <c r="G1196" s="386" t="inlineStr">
        <is>
          <t>Chỉ tiêu cơ sở</t>
        </is>
      </c>
      <c r="H1196" s="386" t="inlineStr">
        <is>
          <t>TB</t>
        </is>
      </c>
      <c r="I1196" s="386" t="inlineStr">
        <is>
          <t>Ngày, CTCK</t>
        </is>
      </c>
      <c r="J1196" s="395" t="inlineStr">
        <is>
          <t>SCMS</t>
        </is>
      </c>
      <c r="K1196" s="395" t="n"/>
      <c r="L1196" s="395" t="inlineStr">
        <is>
          <t>X</t>
        </is>
      </c>
      <c r="M1196" s="395" t="n"/>
      <c r="N1196" s="395" t="inlineStr">
        <is>
          <t>Pending</t>
        </is>
      </c>
      <c r="O1196" s="401" t="n"/>
      <c r="P1196" s="395" t="n"/>
      <c r="Q1196" s="395" t="n"/>
      <c r="R1196" s="395" t="n"/>
      <c r="S1196" s="395" t="n"/>
      <c r="T1196" s="123" t="inlineStr">
        <is>
          <t>Chưa xác định được rule với chi nhánh/phòng giao dịch</t>
        </is>
      </c>
      <c r="U1196" s="386" t="n"/>
      <c r="V1196" s="395" t="n"/>
      <c r="W1196" s="395" t="n"/>
      <c r="X1196" s="395" t="n"/>
      <c r="Y1196" s="13" t="n"/>
      <c r="Z1196" s="395" t="n"/>
      <c r="AA1196" s="395" t="n"/>
      <c r="AB1196" s="395" t="n"/>
      <c r="AC1196" s="395" t="n"/>
      <c r="AD1196" s="395" t="n"/>
      <c r="AE1196" s="395" t="n"/>
    </row>
    <row r="1197" ht="98" customHeight="1" s="380">
      <c r="A1197" s="73" t="n">
        <v>66</v>
      </c>
      <c r="B1197" s="386" t="n"/>
      <c r="C1197" s="386" t="inlineStr">
        <is>
          <t>Báo cáo theo Thông tư 121/2020/TT-BTC &gt;&gt; Báo cáo tình hình nhân sự Công ty chứng khoán (Trụ sở chính, chi nhánh, phòng giao dịch) - II.1. Phòng giao dịch</t>
        </is>
      </c>
      <c r="D1197" s="386" t="inlineStr">
        <is>
          <t>Số người lao động &gt;&gt; Trong kỳ</t>
        </is>
      </c>
      <c r="E1197" s="386" t="inlineStr">
        <is>
          <t>Số người lao động &gt;&gt; Trong kỳ</t>
        </is>
      </c>
      <c r="F1197" s="386" t="inlineStr">
        <is>
          <t>Data Explorer</t>
        </is>
      </c>
      <c r="G1197" s="386" t="inlineStr">
        <is>
          <t>Chỉ tiêu cơ sở</t>
        </is>
      </c>
      <c r="H1197" s="386" t="inlineStr">
        <is>
          <t>TB</t>
        </is>
      </c>
      <c r="I1197" s="386" t="inlineStr">
        <is>
          <t>Ngày, CTCK</t>
        </is>
      </c>
      <c r="J1197" s="395" t="inlineStr">
        <is>
          <t>SCMS</t>
        </is>
      </c>
      <c r="K1197" s="395" t="n"/>
      <c r="L1197" s="395" t="inlineStr">
        <is>
          <t>X</t>
        </is>
      </c>
      <c r="M1197" s="395" t="n"/>
      <c r="N1197" s="395" t="inlineStr">
        <is>
          <t>Pending</t>
        </is>
      </c>
      <c r="O1197" s="401" t="n"/>
      <c r="P1197" s="395" t="n"/>
      <c r="Q1197" s="395" t="n"/>
      <c r="R1197" s="395" t="n"/>
      <c r="S1197" s="395" t="n"/>
      <c r="T1197" s="123" t="inlineStr">
        <is>
          <t>Chưa xác định được rule với chi nhánh/phòng giao dịch</t>
        </is>
      </c>
      <c r="U1197" s="386" t="n"/>
      <c r="V1197" s="395" t="n"/>
      <c r="W1197" s="395" t="n"/>
      <c r="X1197" s="395" t="n"/>
      <c r="Y1197" s="38" t="n"/>
      <c r="Z1197" s="395" t="n"/>
      <c r="AA1197" s="395" t="n"/>
      <c r="AB1197" s="395" t="n"/>
      <c r="AC1197" s="395" t="n"/>
      <c r="AD1197" s="395" t="n"/>
      <c r="AE1197" s="395" t="n"/>
    </row>
    <row r="1198" ht="98" customHeight="1" s="380">
      <c r="A1198" s="73" t="n">
        <v>66</v>
      </c>
      <c r="B1198" s="386" t="n"/>
      <c r="C1198" s="386" t="inlineStr">
        <is>
          <t>Báo cáo theo Thông tư 121/2020/TT-BTC &gt;&gt; Báo cáo tình hình nhân sự Công ty chứng khoán (Trụ sở chính, chi nhánh, phòng giao dịch) - II.1. Phòng giao dịch</t>
        </is>
      </c>
      <c r="D1198" s="386" t="inlineStr">
        <is>
          <t>Số người lao động &gt;&gt; Tăng/Giảm</t>
        </is>
      </c>
      <c r="E1198" s="386" t="inlineStr">
        <is>
          <t>Số người lao động &gt;&gt; Tăng/Giảm</t>
        </is>
      </c>
      <c r="F1198" s="386" t="inlineStr">
        <is>
          <t>Data Explorer</t>
        </is>
      </c>
      <c r="G1198" s="386" t="inlineStr">
        <is>
          <t>Chỉ tiêu cơ sở</t>
        </is>
      </c>
      <c r="H1198" s="386" t="inlineStr">
        <is>
          <t>TB</t>
        </is>
      </c>
      <c r="I1198" s="386" t="inlineStr">
        <is>
          <t>Ngày, CTCK</t>
        </is>
      </c>
      <c r="J1198" s="395" t="inlineStr">
        <is>
          <t>SCMS</t>
        </is>
      </c>
      <c r="K1198" s="395" t="n"/>
      <c r="L1198" s="395" t="inlineStr">
        <is>
          <t>X</t>
        </is>
      </c>
      <c r="M1198" s="395" t="n"/>
      <c r="N1198" s="395" t="inlineStr">
        <is>
          <t>Pending</t>
        </is>
      </c>
      <c r="O1198" s="401" t="n"/>
      <c r="P1198" s="395" t="n"/>
      <c r="Q1198" s="395" t="n"/>
      <c r="R1198" s="395" t="n"/>
      <c r="S1198" s="395" t="n"/>
      <c r="T1198" s="123" t="inlineStr">
        <is>
          <t>Chưa xác định được rule với chi nhánh/phòng giao dịch</t>
        </is>
      </c>
      <c r="U1198" s="386" t="n"/>
      <c r="V1198" s="395" t="n"/>
      <c r="W1198" s="395" t="n"/>
      <c r="X1198" s="395" t="n"/>
      <c r="Y1198" s="13" t="n"/>
      <c r="Z1198" s="395" t="n"/>
      <c r="AA1198" s="395" t="n"/>
      <c r="AB1198" s="395" t="n"/>
      <c r="AC1198" s="395" t="n"/>
      <c r="AD1198" s="395" t="n"/>
      <c r="AE1198" s="395" t="n"/>
    </row>
    <row r="1199" ht="98" customHeight="1" s="380">
      <c r="A1199" s="73" t="n">
        <v>66</v>
      </c>
      <c r="B1199" s="386" t="n"/>
      <c r="C1199" s="386" t="inlineStr">
        <is>
          <t>Báo cáo theo Thông tư 121/2020/TT-BTC &gt;&gt; Báo cáo tình hình nhân sự Công ty chứng khoán (Trụ sở chính, chi nhánh, phòng giao dịch) - II.1. Phòng giao dịch</t>
        </is>
      </c>
      <c r="D1199" s="386" t="inlineStr">
        <is>
          <t>Số người có CCHN &gt;&gt; Trong kỳ</t>
        </is>
      </c>
      <c r="E1199" s="386" t="inlineStr">
        <is>
          <t>Số người có CCHN &gt;&gt; Trong kỳ</t>
        </is>
      </c>
      <c r="F1199" s="386" t="inlineStr">
        <is>
          <t>Data Explorer</t>
        </is>
      </c>
      <c r="G1199" s="386" t="inlineStr">
        <is>
          <t>Chỉ tiêu cơ sở</t>
        </is>
      </c>
      <c r="H1199" s="386" t="inlineStr">
        <is>
          <t>TB</t>
        </is>
      </c>
      <c r="I1199" s="386" t="inlineStr">
        <is>
          <t>Ngày, CTCK</t>
        </is>
      </c>
      <c r="J1199" s="395" t="inlineStr">
        <is>
          <t>SCMS</t>
        </is>
      </c>
      <c r="K1199" s="395" t="n"/>
      <c r="L1199" s="395" t="inlineStr">
        <is>
          <t>X</t>
        </is>
      </c>
      <c r="M1199" s="395" t="n"/>
      <c r="N1199" s="395" t="inlineStr">
        <is>
          <t>Pending</t>
        </is>
      </c>
      <c r="O1199" s="401" t="n"/>
      <c r="P1199" s="395" t="n"/>
      <c r="Q1199" s="395" t="n"/>
      <c r="R1199" s="395" t="n"/>
      <c r="S1199" s="395" t="n"/>
      <c r="T1199" s="123" t="inlineStr">
        <is>
          <t>Chưa xác định được rule với chi nhánh/phòng giao dịch</t>
        </is>
      </c>
      <c r="U1199" s="386" t="n"/>
      <c r="V1199" s="395" t="n"/>
      <c r="W1199" s="395" t="n"/>
      <c r="X1199" s="395" t="n"/>
      <c r="Y1199" s="13" t="n"/>
      <c r="Z1199" s="395" t="n"/>
      <c r="AA1199" s="395" t="n"/>
      <c r="AB1199" s="395" t="n"/>
      <c r="AC1199" s="395" t="n"/>
      <c r="AD1199" s="395" t="n"/>
      <c r="AE1199" s="395" t="n"/>
    </row>
    <row r="1200" ht="98" customHeight="1" s="380">
      <c r="A1200" s="83" t="n">
        <v>66</v>
      </c>
      <c r="B1200" s="68" t="n"/>
      <c r="C1200" s="68" t="inlineStr">
        <is>
          <t>Báo cáo theo Thông tư 121/2020/TT-BTC &gt;&gt; Báo cáo tình hình nhân sự Công ty chứng khoán (Trụ sở chính, chi nhánh, phòng giao dịch) - II.1. Phòng giao dịch</t>
        </is>
      </c>
      <c r="D1200" s="68" t="inlineStr">
        <is>
          <t>Số người có CCHN &gt;&gt; Tăng/Giảm</t>
        </is>
      </c>
      <c r="E1200" s="68" t="inlineStr">
        <is>
          <t>Số người có CCHN &gt;&gt; Tăng/Giảm</t>
        </is>
      </c>
      <c r="F1200" s="68" t="inlineStr">
        <is>
          <t>Data Explorer</t>
        </is>
      </c>
      <c r="G1200" s="68" t="inlineStr">
        <is>
          <t>Chỉ tiêu cơ sở</t>
        </is>
      </c>
      <c r="H1200" s="68" t="inlineStr">
        <is>
          <t>TB</t>
        </is>
      </c>
      <c r="I1200" s="68" t="inlineStr">
        <is>
          <t>Ngày, CTCK</t>
        </is>
      </c>
      <c r="J1200" s="69" t="inlineStr">
        <is>
          <t>SCMS</t>
        </is>
      </c>
      <c r="K1200" s="69" t="n"/>
      <c r="L1200" s="69" t="inlineStr">
        <is>
          <t>X</t>
        </is>
      </c>
      <c r="M1200" s="69" t="n"/>
      <c r="N1200" s="69" t="inlineStr">
        <is>
          <t>Pending</t>
        </is>
      </c>
      <c r="O1200" s="85" t="n"/>
      <c r="P1200" s="69" t="n"/>
      <c r="Q1200" s="69" t="n"/>
      <c r="R1200" s="69" t="n"/>
      <c r="S1200" s="69" t="n"/>
      <c r="T1200" s="124" t="inlineStr">
        <is>
          <t>Chưa xác định được rule với chi nhánh/phòng giao dịch</t>
        </is>
      </c>
      <c r="U1200" s="68" t="n"/>
      <c r="V1200" s="69" t="n"/>
      <c r="W1200" s="69" t="n"/>
      <c r="X1200" s="69" t="n"/>
      <c r="Y1200" s="97" t="n"/>
      <c r="Z1200" s="69" t="n"/>
      <c r="AA1200" s="69" t="n"/>
      <c r="AB1200" s="69" t="n"/>
      <c r="AC1200" s="69" t="n"/>
      <c r="AD1200" s="69" t="n"/>
      <c r="AE1200" s="69" t="n"/>
    </row>
    <row r="1201" ht="70" customHeight="1" s="380">
      <c r="A1201" s="73" t="n">
        <v>67</v>
      </c>
      <c r="B1201" s="122" t="inlineStr">
        <is>
          <t>Nga</t>
        </is>
      </c>
      <c r="C1201" s="81" t="inlineStr">
        <is>
          <t>Báo cáo theo Thông tư 121/2020/TT-BTC &gt;&gt; Tình hình cổ đông/thành viên góp vốn nẵm giữ từ 5% vốn điều lệ</t>
        </is>
      </c>
      <c r="D1201" s="106" t="inlineStr">
        <is>
          <t>Loại báo cáo</t>
        </is>
      </c>
      <c r="E1201" s="107" t="inlineStr">
        <is>
          <t>Loại báo cáo</t>
        </is>
      </c>
      <c r="F1201" s="390" t="inlineStr">
        <is>
          <t>Data Explorer</t>
        </is>
      </c>
      <c r="G1201" s="390" t="inlineStr">
        <is>
          <t>Chiều</t>
        </is>
      </c>
      <c r="H1201" s="390" t="inlineStr">
        <is>
          <t>Dễ</t>
        </is>
      </c>
      <c r="I1201" s="390" t="inlineStr">
        <is>
          <t>Ngày, CTCK</t>
        </is>
      </c>
      <c r="J1201" s="401" t="inlineStr">
        <is>
          <t>SCMS</t>
        </is>
      </c>
      <c r="K1201" s="401" t="inlineStr">
        <is>
          <t>X</t>
        </is>
      </c>
      <c r="L1201" s="395" t="inlineStr">
        <is>
          <t>X</t>
        </is>
      </c>
      <c r="M1201" s="401" t="n"/>
      <c r="N1201" s="395" t="inlineStr">
        <is>
          <t>Done</t>
        </is>
      </c>
      <c r="O1201" s="401" t="n"/>
      <c r="P1201" s="395" t="n"/>
      <c r="Q1201" s="404" t="inlineStr">
        <is>
          <t>SCMS.BM_BAO_CAO
SCMS.BM_BAO_CAO_DINH_KY</t>
        </is>
      </c>
      <c r="R1201" s="404" t="inlineStr">
        <is>
          <t>bm.ID,
bm.MA_BAO_CAO,
bm.LOAI_BAO_CAO,
bm.TEN_BAO_CAO,
bm.SU_DUNG,
bdk.BM_BAO_CAO_ID,
bdk.KY_BAO_CAO,
bdk.SU_DUNG</t>
        </is>
      </c>
      <c r="S1201" s="395" t="n"/>
      <c r="T1201" s="386"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201" s="386" t="n"/>
      <c r="V1201" s="395" t="n"/>
      <c r="W1201" s="395" t="n"/>
      <c r="X1201" s="395" t="n"/>
      <c r="Y1201" s="13" t="n"/>
      <c r="Z1201" s="395" t="n"/>
      <c r="AA1201" s="395" t="n"/>
      <c r="AB1201" s="395" t="n"/>
      <c r="AC1201" s="395" t="n"/>
      <c r="AD1201" s="395" t="n"/>
      <c r="AE1201" s="395" t="n"/>
    </row>
    <row r="1202" ht="70" customHeight="1" s="380">
      <c r="A1202" s="73" t="n">
        <v>67</v>
      </c>
      <c r="B1202" s="386" t="n"/>
      <c r="C1202" s="386" t="inlineStr">
        <is>
          <t>Báo cáo theo Thông tư 121/2020/TT-BTC &gt;&gt; Tình hình cổ đông/thành viên góp vốn nẵm giữ từ 5% vốn điều lệ</t>
        </is>
      </c>
      <c r="D1202" s="106" t="inlineStr">
        <is>
          <t>Kỳ báo cáo</t>
        </is>
      </c>
      <c r="E1202" s="107" t="inlineStr">
        <is>
          <t>Kỳ báo cáo</t>
        </is>
      </c>
      <c r="F1202" s="390" t="inlineStr">
        <is>
          <t>Data Explorer</t>
        </is>
      </c>
      <c r="G1202" s="390" t="inlineStr">
        <is>
          <t>Chiều</t>
        </is>
      </c>
      <c r="H1202" s="390" t="inlineStr">
        <is>
          <t>Dễ</t>
        </is>
      </c>
      <c r="I1202" s="390" t="inlineStr">
        <is>
          <t>Ngày, CTCK</t>
        </is>
      </c>
      <c r="J1202" s="401" t="inlineStr">
        <is>
          <t>SCMS</t>
        </is>
      </c>
      <c r="K1202" s="401" t="inlineStr">
        <is>
          <t>X</t>
        </is>
      </c>
      <c r="L1202" s="395" t="inlineStr">
        <is>
          <t>X</t>
        </is>
      </c>
      <c r="M1202" s="401" t="n"/>
      <c r="N1202" s="395" t="inlineStr">
        <is>
          <t>Done</t>
        </is>
      </c>
      <c r="O1202" s="401" t="n"/>
      <c r="P1202" s="395" t="n"/>
      <c r="S1202" s="395" t="n"/>
      <c r="U1202" s="386" t="n"/>
      <c r="V1202" s="395" t="n"/>
      <c r="W1202" s="395" t="n"/>
      <c r="X1202" s="395" t="n"/>
      <c r="Y1202" s="13" t="n"/>
      <c r="Z1202" s="395" t="n"/>
      <c r="AA1202" s="395" t="n"/>
      <c r="AB1202" s="395" t="n"/>
      <c r="AC1202" s="395" t="n"/>
      <c r="AD1202" s="395" t="n"/>
      <c r="AE1202" s="395" t="n"/>
    </row>
    <row r="1203" ht="70" customHeight="1" s="380">
      <c r="A1203" s="73" t="n">
        <v>67</v>
      </c>
      <c r="B1203" s="386" t="n"/>
      <c r="C1203" s="386" t="inlineStr">
        <is>
          <t>Báo cáo theo Thông tư 121/2020/TT-BTC &gt;&gt; Tình hình cổ đông/thành viên góp vốn nẵm giữ từ 5% vốn điều lệ</t>
        </is>
      </c>
      <c r="D1203" s="106" t="inlineStr">
        <is>
          <t>Mã báo cáo</t>
        </is>
      </c>
      <c r="E1203" s="107" t="inlineStr">
        <is>
          <t>Mã báo cáo</t>
        </is>
      </c>
      <c r="F1203" s="390" t="inlineStr">
        <is>
          <t>Data Explorer</t>
        </is>
      </c>
      <c r="G1203" s="390" t="inlineStr">
        <is>
          <t>Chiều</t>
        </is>
      </c>
      <c r="H1203" s="390" t="inlineStr">
        <is>
          <t>Dễ</t>
        </is>
      </c>
      <c r="I1203" s="390" t="inlineStr">
        <is>
          <t>Ngày, CTCK</t>
        </is>
      </c>
      <c r="J1203" s="401" t="inlineStr">
        <is>
          <t>SCMS</t>
        </is>
      </c>
      <c r="K1203" s="401" t="inlineStr">
        <is>
          <t>X</t>
        </is>
      </c>
      <c r="L1203" s="395" t="inlineStr">
        <is>
          <t>X</t>
        </is>
      </c>
      <c r="M1203" s="401" t="n"/>
      <c r="N1203" s="395" t="inlineStr">
        <is>
          <t>Done</t>
        </is>
      </c>
      <c r="O1203" s="401" t="n"/>
      <c r="P1203" s="395" t="n"/>
      <c r="S1203" s="395" t="n"/>
      <c r="U1203" s="386" t="n"/>
      <c r="V1203" s="395" t="n"/>
      <c r="W1203" s="395" t="n"/>
      <c r="X1203" s="395" t="n"/>
      <c r="Y1203" s="38" t="n"/>
      <c r="Z1203" s="395" t="n"/>
      <c r="AA1203" s="395" t="n"/>
      <c r="AB1203" s="395" t="n"/>
      <c r="AC1203" s="395" t="n"/>
      <c r="AD1203" s="395" t="n"/>
      <c r="AE1203" s="395" t="n"/>
    </row>
    <row r="1204" ht="70" customHeight="1" s="380">
      <c r="A1204" s="73" t="n">
        <v>67</v>
      </c>
      <c r="B1204" s="386" t="n"/>
      <c r="C1204" s="386" t="inlineStr">
        <is>
          <t>Báo cáo theo Thông tư 121/2020/TT-BTC &gt;&gt; Tình hình cổ đông/thành viên góp vốn nẵm giữ từ 5% vốn điều lệ</t>
        </is>
      </c>
      <c r="D1204" s="106" t="inlineStr">
        <is>
          <t>Tên báo cáo</t>
        </is>
      </c>
      <c r="E1204" s="107" t="inlineStr">
        <is>
          <t>Tên báo cáo</t>
        </is>
      </c>
      <c r="F1204" s="390" t="inlineStr">
        <is>
          <t>Data Explorer</t>
        </is>
      </c>
      <c r="G1204" s="390" t="inlineStr">
        <is>
          <t>Chiều</t>
        </is>
      </c>
      <c r="H1204" s="390" t="inlineStr">
        <is>
          <t>Dễ</t>
        </is>
      </c>
      <c r="I1204" s="390" t="inlineStr">
        <is>
          <t>Ngày, CTCK</t>
        </is>
      </c>
      <c r="J1204" s="401" t="inlineStr">
        <is>
          <t>SCMS</t>
        </is>
      </c>
      <c r="K1204" s="401" t="inlineStr">
        <is>
          <t>X</t>
        </is>
      </c>
      <c r="L1204" s="395" t="inlineStr">
        <is>
          <t>X</t>
        </is>
      </c>
      <c r="M1204" s="401" t="n"/>
      <c r="N1204" s="395" t="inlineStr">
        <is>
          <t>Done</t>
        </is>
      </c>
      <c r="O1204" s="401" t="n"/>
      <c r="P1204" s="395" t="n"/>
      <c r="S1204" s="395" t="n"/>
      <c r="U1204" s="386" t="n"/>
      <c r="V1204" s="395" t="n"/>
      <c r="W1204" s="395" t="n"/>
      <c r="X1204" s="395" t="n"/>
      <c r="Y1204" s="13" t="n"/>
      <c r="Z1204" s="395" t="n"/>
      <c r="AA1204" s="395" t="n"/>
      <c r="AB1204" s="395" t="n"/>
      <c r="AC1204" s="395" t="n"/>
      <c r="AD1204" s="395" t="n"/>
      <c r="AE1204" s="395" t="n"/>
    </row>
    <row r="1205" ht="70" customHeight="1" s="380">
      <c r="A1205" s="73" t="n">
        <v>67</v>
      </c>
      <c r="B1205" s="386" t="n"/>
      <c r="C1205" s="386" t="inlineStr">
        <is>
          <t>Báo cáo theo Thông tư 121/2020/TT-BTC &gt;&gt; Tình hình cổ đông/thành viên góp vốn nẵm giữ từ 5% vốn điều lệ</t>
        </is>
      </c>
      <c r="D1205" s="106" t="inlineStr">
        <is>
          <t>Mã sheet</t>
        </is>
      </c>
      <c r="E1205" s="106" t="inlineStr">
        <is>
          <t>Mã sheet</t>
        </is>
      </c>
      <c r="F1205" s="390" t="inlineStr">
        <is>
          <t>Data Explorer</t>
        </is>
      </c>
      <c r="G1205" s="390" t="inlineStr">
        <is>
          <t>Chiều</t>
        </is>
      </c>
      <c r="H1205" s="390" t="inlineStr">
        <is>
          <t>Dễ</t>
        </is>
      </c>
      <c r="I1205" s="390" t="inlineStr">
        <is>
          <t>Ngày, CTCK</t>
        </is>
      </c>
      <c r="J1205" s="401" t="inlineStr">
        <is>
          <t>SCMS</t>
        </is>
      </c>
      <c r="K1205" s="401" t="inlineStr">
        <is>
          <t>X</t>
        </is>
      </c>
      <c r="L1205" s="395" t="inlineStr">
        <is>
          <t>X</t>
        </is>
      </c>
      <c r="M1205" s="401" t="n"/>
      <c r="N1205" s="395" t="inlineStr">
        <is>
          <t>Done</t>
        </is>
      </c>
      <c r="O1205" s="401" t="n"/>
      <c r="P1205" s="395" t="n"/>
      <c r="Q1205" s="401" t="inlineStr">
        <is>
          <t>SCMS.BM_BAO_CAO
SCMS.BM_SHEET</t>
        </is>
      </c>
      <c r="R1205" s="401" t="inlineStr">
        <is>
          <t>bm.ID,
bm.MA_BAO_CAO,
bm.SU_DUNG,
s.BM_BAO_CAO_ID,
s.MA_SHEET,
s.TEN_SHEET,
s.SAP_XEP</t>
        </is>
      </c>
      <c r="S1205" s="395" t="n"/>
      <c r="T1205" s="384" t="inlineStr">
        <is>
          <t>-- Mã sheet / Tên sheet
-- TEN_SHEET: THNS
SELECT bm.MA_BAO_CAO,
s.MA_SHEET,
s.TEN_SHEET
FROM SCMS.BM_BAO_CAO bm
JOIN SCMS.BM_SHEET s ON s.BM_BAO_CAO_ID = bm.ID
WHERE bm.MA_BAO_CAO LIKE 'BCTHHDKD%'
AND s.TEN_SHEET = 'THCĐTVGV'  -- Check lại
AND bm.SU_DUNG = 1
ORDER BY bm.MA_BAO_CAO, s.SAP_XEP;</t>
        </is>
      </c>
      <c r="U1205" s="386" t="n"/>
      <c r="V1205" s="395" t="n"/>
      <c r="W1205" s="395" t="n"/>
      <c r="X1205" s="395" t="n"/>
      <c r="Y1205" s="13" t="n"/>
      <c r="Z1205" s="395" t="n"/>
      <c r="AA1205" s="395" t="n"/>
      <c r="AB1205" s="395" t="n"/>
      <c r="AC1205" s="395" t="n"/>
      <c r="AD1205" s="395" t="n"/>
      <c r="AE1205" s="395" t="n"/>
    </row>
    <row r="1206" ht="70" customHeight="1" s="380">
      <c r="A1206" s="73" t="n">
        <v>67</v>
      </c>
      <c r="B1206" s="386" t="n"/>
      <c r="C1206" s="386" t="inlineStr">
        <is>
          <t>Báo cáo theo Thông tư 121/2020/TT-BTC &gt;&gt; Tình hình cổ đông/thành viên góp vốn nẵm giữ từ 5% vốn điều lệ</t>
        </is>
      </c>
      <c r="D1206" s="106" t="inlineStr">
        <is>
          <t>Tên sheet</t>
        </is>
      </c>
      <c r="E1206" s="106" t="inlineStr">
        <is>
          <t>Tên sheet</t>
        </is>
      </c>
      <c r="F1206" s="390" t="inlineStr">
        <is>
          <t>Data Explorer</t>
        </is>
      </c>
      <c r="G1206" s="390" t="inlineStr">
        <is>
          <t>Chiều</t>
        </is>
      </c>
      <c r="H1206" s="390" t="inlineStr">
        <is>
          <t>Dễ</t>
        </is>
      </c>
      <c r="I1206" s="390" t="inlineStr">
        <is>
          <t>Ngày, CTCK</t>
        </is>
      </c>
      <c r="J1206" s="401" t="inlineStr">
        <is>
          <t>SCMS</t>
        </is>
      </c>
      <c r="K1206" s="401" t="inlineStr">
        <is>
          <t>X</t>
        </is>
      </c>
      <c r="L1206" s="395" t="inlineStr">
        <is>
          <t>X</t>
        </is>
      </c>
      <c r="M1206" s="401" t="n"/>
      <c r="N1206" s="395" t="inlineStr">
        <is>
          <t>Done</t>
        </is>
      </c>
      <c r="O1206" s="401" t="n"/>
      <c r="P1206" s="395" t="n"/>
      <c r="S1206" s="395" t="n"/>
      <c r="U1206" s="386" t="n"/>
      <c r="V1206" s="395" t="n"/>
      <c r="W1206" s="395" t="n"/>
      <c r="X1206" s="395" t="n"/>
      <c r="Y1206" s="13" t="n"/>
      <c r="Z1206" s="395" t="n"/>
      <c r="AA1206" s="395" t="n"/>
      <c r="AB1206" s="395" t="n"/>
      <c r="AC1206" s="395" t="n"/>
      <c r="AD1206" s="395" t="n"/>
      <c r="AE1206" s="395" t="n"/>
    </row>
    <row r="1207" ht="70" customHeight="1" s="380">
      <c r="A1207" s="73" t="n">
        <v>67</v>
      </c>
      <c r="B1207" s="386" t="n"/>
      <c r="C1207" s="386" t="inlineStr">
        <is>
          <t>Báo cáo theo Thông tư 121/2020/TT-BTC &gt;&gt; Tình hình cổ đông/thành viên góp vốn nẵm giữ từ 5% vốn điều lệ</t>
        </is>
      </c>
      <c r="D1207" s="106" t="inlineStr">
        <is>
          <t>Mã chỉ tiêu</t>
        </is>
      </c>
      <c r="E1207" s="107" t="inlineStr">
        <is>
          <t>Mã chỉ tiêu</t>
        </is>
      </c>
      <c r="F1207" s="390" t="inlineStr">
        <is>
          <t>Data Explorer</t>
        </is>
      </c>
      <c r="G1207" s="390" t="inlineStr">
        <is>
          <t>Chiều</t>
        </is>
      </c>
      <c r="H1207" s="390" t="inlineStr">
        <is>
          <t>Dễ</t>
        </is>
      </c>
      <c r="I1207" s="390" t="inlineStr">
        <is>
          <t>Ngày, CTCK</t>
        </is>
      </c>
      <c r="J1207" s="401" t="inlineStr">
        <is>
          <t>SCMS</t>
        </is>
      </c>
      <c r="K1207" s="401" t="inlineStr">
        <is>
          <t>X</t>
        </is>
      </c>
      <c r="L1207" s="395" t="inlineStr">
        <is>
          <t>X</t>
        </is>
      </c>
      <c r="M1207" s="401" t="n"/>
      <c r="N1207" s="395" t="inlineStr">
        <is>
          <t>Done</t>
        </is>
      </c>
      <c r="O1207" s="401" t="n"/>
      <c r="P1207" s="395" t="n"/>
      <c r="Q1207" s="401" t="inlineStr">
        <is>
          <t>SCMS.BM_BAO_CAO
SCMS.BM_SHEET
SCMS.BM_BAO_CAO_CT
SCMS.DM_CHI_TIEU</t>
        </is>
      </c>
      <c r="R1207" s="402" t="inlineStr">
        <is>
          <t>dct.ID,
dct.MA_CHI_TIEU,
dct.TEN_CHI_TIEU,
dct.SU_DUNG,
s.BM_BAO_CAO_ID,
s.MA_SHEET,
ct.BM_BAO_CAO_ID,
ct.DM_CHI_TIEU_ID,
ct.SU_DUNG,
bm.ID,
bm.MA_BAO_CAO,
bm.SU_DUNG</t>
        </is>
      </c>
      <c r="S1207" s="395" t="n"/>
      <c r="T1207" s="384" t="inlineStr">
        <is>
          <t>-- Mã chỉ tiêu / Tên chỉ tiêu
SELECT DISTINCT
    dct.MA_CHI_TIEU  AS ma_chi_tieu,
    dct.TEN_CHI_TIEU AS ten_chi_tieu
FROM SCMS.BM_BAO_CAO bm
JOIN SCMS.BM_SHEET s ON s.BM_BAO_CAO_ID = bm.ID
	AND s.TEN_SHEET = 'THCĐTVGV'
JOIN SCMS.BM_BAO_CAO_CT ct ON ct.BM_SHEET_ID = s.ID
	AND ct.SU_DUNG = 1
JOIN SCMS.DM_CHI_TIEU dct ON dct.ID = ct.DM_CHI_TIEU_ID
	AND dct.SU_DUNG = 1
WHERE bm.MA_BAO_CAO LIKE 'BCTHHDKD%'
	AND bm.SU_DUNG = 1
ORDER BY dct.MA_CHI_TIEU;</t>
        </is>
      </c>
      <c r="U1207" s="386" t="n"/>
      <c r="V1207" s="395" t="n"/>
      <c r="W1207" s="395" t="n"/>
      <c r="X1207" s="395" t="n"/>
      <c r="Y1207" s="13" t="n"/>
      <c r="Z1207" s="395" t="n"/>
      <c r="AA1207" s="395" t="n"/>
      <c r="AB1207" s="395" t="n"/>
      <c r="AC1207" s="395" t="n"/>
      <c r="AD1207" s="395" t="n"/>
      <c r="AE1207" s="395" t="n"/>
    </row>
    <row r="1208" ht="70" customHeight="1" s="380">
      <c r="A1208" s="73" t="n">
        <v>67</v>
      </c>
      <c r="B1208" s="386" t="n"/>
      <c r="C1208" s="386" t="inlineStr">
        <is>
          <t>Báo cáo theo Thông tư 121/2020/TT-BTC &gt;&gt; Tình hình cổ đông/thành viên góp vốn nẵm giữ từ 5% vốn điều lệ</t>
        </is>
      </c>
      <c r="D1208" s="106" t="inlineStr">
        <is>
          <t>Tên chỉ tiêu</t>
        </is>
      </c>
      <c r="E1208" s="107" t="inlineStr">
        <is>
          <t>Tên chỉ tiêu</t>
        </is>
      </c>
      <c r="F1208" s="390" t="inlineStr">
        <is>
          <t>Data Explorer</t>
        </is>
      </c>
      <c r="G1208" s="390" t="inlineStr">
        <is>
          <t>Chiều</t>
        </is>
      </c>
      <c r="H1208" s="390" t="inlineStr">
        <is>
          <t>Dễ</t>
        </is>
      </c>
      <c r="I1208" s="390" t="inlineStr">
        <is>
          <t>Ngày, CTCK</t>
        </is>
      </c>
      <c r="J1208" s="401" t="inlineStr">
        <is>
          <t>SCMS</t>
        </is>
      </c>
      <c r="K1208" s="401" t="inlineStr">
        <is>
          <t>X</t>
        </is>
      </c>
      <c r="L1208" s="395" t="inlineStr">
        <is>
          <t>X</t>
        </is>
      </c>
      <c r="M1208" s="401" t="n"/>
      <c r="N1208" s="395" t="inlineStr">
        <is>
          <t>Done</t>
        </is>
      </c>
      <c r="O1208" s="401" t="n"/>
      <c r="P1208" s="395" t="n"/>
      <c r="S1208" s="395" t="n"/>
      <c r="U1208" s="386" t="n"/>
      <c r="V1208" s="395" t="n"/>
      <c r="W1208" s="395" t="n"/>
      <c r="X1208" s="395" t="n"/>
      <c r="Y1208" s="13" t="n"/>
      <c r="Z1208" s="395" t="n"/>
      <c r="AA1208" s="395" t="n"/>
      <c r="AB1208" s="395" t="n"/>
      <c r="AC1208" s="395" t="n"/>
      <c r="AD1208" s="395" t="n"/>
      <c r="AE1208" s="395" t="n"/>
    </row>
    <row r="1209" ht="70" customHeight="1" s="380">
      <c r="A1209" s="73" t="n">
        <v>67</v>
      </c>
      <c r="B1209" s="386" t="n"/>
      <c r="C1209" s="386" t="inlineStr">
        <is>
          <t>Báo cáo theo Thông tư 121/2020/TT-BTC &gt;&gt; Tình hình cổ đông/thành viên góp vốn nẵm giữ từ 5% vốn điều lệ</t>
        </is>
      </c>
      <c r="D1209" s="386" t="inlineStr">
        <is>
          <t>Tên CTCK</t>
        </is>
      </c>
      <c r="E1209" s="386" t="inlineStr">
        <is>
          <t>Tên CTCK</t>
        </is>
      </c>
      <c r="F1209" s="386" t="inlineStr">
        <is>
          <t>Data Explorer</t>
        </is>
      </c>
      <c r="G1209" s="386" t="inlineStr">
        <is>
          <t>Chỉ tiêu cơ sở</t>
        </is>
      </c>
      <c r="H1209" s="386" t="inlineStr">
        <is>
          <t>Dễ</t>
        </is>
      </c>
      <c r="I1209" s="386" t="inlineStr">
        <is>
          <t>Ngày, CTCK</t>
        </is>
      </c>
      <c r="J1209" s="395" t="inlineStr">
        <is>
          <t>SCMS</t>
        </is>
      </c>
      <c r="K1209" s="395" t="n"/>
      <c r="L1209" s="395" t="inlineStr">
        <is>
          <t>X</t>
        </is>
      </c>
      <c r="M1209" s="395" t="n"/>
      <c r="N1209" s="395" t="inlineStr">
        <is>
          <t>Done</t>
        </is>
      </c>
      <c r="O1209" s="401" t="n"/>
      <c r="P1209" s="395" t="n"/>
      <c r="Q1209" s="427" t="inlineStr">
        <is>
          <t>SCMS.BC_THANH_VIEN
SCMS.BM_BAO_CAO
SCMS.BC_BAO_CAO_GT
SCMS.BM_BAO_CAO_COT
SCMS.CTCK_THONG_TIN
SCMS.CTCK_NHAN_SU_CAO_CAP
SCMS.DM_CHUC_VU</t>
        </is>
      </c>
      <c r="R1209" s="427" t="inlineStr">
        <is>
          <t>c.CTCK_THONG_TIN_ID,
c.TEN_VIET_TAT,
c.SAN_NIEM_YET,
c.MA_CHUNG_KHOAN,
c.GIAY_PHEP_KINH_DOANH,
c.NGAY_CAP_GPKD,
c.VON_DIEU_LE,
ns_ddpl.HO_TEN,
ns_ddpl.CTCK_THONG_TIN_ID,
ns_ddpl.IS_BANG_TAM,
ns_ddpl.TRANG_THAI,
ns_ddpl.CHUC_VU_ID,
cv_ddpl.ID,
cv_ddpl.TEN_CHUC_VU,
ns_ct.CTCK_THONG_TIN_ID,
ns_ct.CHUC_VU_ID,
ns_ct.HO_TEN,
ns_ct.IS_BANG_TAM,
ns_ct.TRANG_THAI,
cv_ct.ID,
cv_ct.TEN_CHUC_VU,
btv.ID,
btv.CTCK_THONG_TIN_ID,
btv.BM_BAO_CAO_ID,
btv.NGAY_SO_LIEU,
btv.TRANG_THAI,
bm.ID,
bm.MA_BAO_CAO,
gt.BC_THANH_VIEN_ID,
bsc.TEN_COT,
bsc.MA_COT,
bsc.BM_BAO_CAO_ID,
gt.BM_BAO_CAO_ID,
gt.BM_SHEET_ID,
gt.GIA_TRI,</t>
        </is>
      </c>
      <c r="S1209" s="395" t="n"/>
      <c r="T1209" s="425" t="inlineStr">
        <is>
          <t>-- CHỈ TIÊU
SELECT
    ROW_NUMBER() OVER (ORDER BY ngay_bao_cao DESC, ten_ctck) AS stt,
    ten_ctck, san_giao_dich, ma_ck, so_giay_phep, ngay_cap_giay_phep,
    von_dieu_le, nguoi_dai_dien, ten_chu_tich_hdqt_hdtv,
    "Họ và tên(cá nhân)/Tên tổ chức",
    "Số giấy CMND/CCCD/Hộ chiếu",
    "Ngày cấp", "Địa chỉ", "Quốc tịch",
    "Số lượng cổ phần/phần vốn góp - Đầu kỳ",
    "Tỷ lệ nắm giữ so với vốn điều lệ - Đầu kỳ",
    "Số lượng cổ phần/phần vốn góp - Cuối kỳ",
    "Tỷ lệ nắm giữ so với vốn điều lệ - Cuối kỳ"
FROM (
    SELECT
        c.TEN_VIET_TAT AS ten_ctck,
        c.SAN_NIEM_YET AS san_giao_dich,
        c.MA_CHUNG_KHOAN AS ma_ck,
        c.GIAY_PHEP_KINH_DOANH AS so_giay_phep,
        c.NGAY_CAP_GPKD AS ngay_cap_giay_phep,
        c.VON_DIEU_LE AS von_dieu_le,
        ns_ddpl.HO_TEN AS nguoi_dai_dien,
        cv_ct.TEN_CHUC_VU || ': ' || ns_ct.HO_TEN AS ten_chu_tich_hdqt_hdtv,
        btv.NGAY_SO_LIEU AS ngay_bao_cao,
        MAX(CASE WHEN g.TEN_COT LIKE N'%Họ và tên(cá nhân)/Tên tổ chức%' THEN g.GIA_TRI END) AS "Họ và tên(cá nhân)/Tên tổ chức",
        MAX(CASE WHEN g.TEN_COT LIKE N'%Số giấy CMND/CCCD/Hộ chiếu%' THEN g.GIA_TRI END) AS "Số giấy CMND/CCCD/Hộ chiếu",
        MAX(CASE WHEN g.TEN_COT LIKE N'%Ngày cấp%' THEN g.GIA_TRI END) AS "Ngày cấp",
        MAX(CASE WHEN g.TEN_COT LIKE N'%Địa chỉ%' THEN g.GIA_TRI END) AS "Địa chỉ",
        MAX(CASE WHEN g.TEN_COT LIKE N'%Quốc tịch%' THEN g.GIA_TRI END) AS "Quốc tịch",
        MAX(CASE WHEN g.TEN_COT LIKE N'%Số lượng cổ phần/phần vốn góp%' AND g.MA_COT = 'C7' THEN g.GIA_TRI END) AS "Số lượng cổ phần/phần vốn góp - Đầu kỳ",
        MAX(CASE WHEN g.TEN_COT LIKE N'%Tỷ lệ nắm giữ so với vốn điều lệ%' AND g.MA_COT = 'C8' THEN g.GIA_TRI END) AS "Tỷ lệ nắm giữ so với vốn điều lệ - Đầu kỳ",
        MAX(CASE WHEN g.TEN_COT LIKE N'%Số lượng cổ phần/phần vốn góp%' AND g.MA_COT = 'C9' THEN g.GIA_TRI END) AS "Số lượng cổ phần/phần vốn góp - Cuối kỳ",
        MAX(CASE WHEN g.TEN_COT LIKE N'%Tỷ lệ nắm giữ so với vốn điều lệ%' AND g.MA_COT = 'C10' THEN g.GIA_TRI END) AS "Tỷ lệ nắm giữ so với vốn điều lệ - Cuối kỳ"
    FROM SCMS.BC_THANH_VIEN btv
    JOIN SCMS.BM_BAO_CAO bm ON bm.ID = btv.BM_BAO_CAO_ID
    JOIN (
	    SELECT
	        gt.BC_THANH_VIEN_ID,
	        bsc.TEN_COT,
	        bsc.MA_COT,
	        CAST(gt.GIA_TRI AS VARCHAR2(4000)) AS GIA_TRI
	    FROM SCMS.BC_BAO_CAO_GT gt
	    LEFT JOIN SCMS.BM_BAO_CAO_COT bsc ON bsc.BM_BAO_CAO_ID = gt.BM_BAO_CAO_ID
	    WHERE gt.BM_SHEET_ID = 7425
--	    	AND bsc.TEN_COT = gt.TEN_COT
    ) g ON g.BC_THANH_VIEN_ID = btv.ID
    JOIN SCMS.CTCK_THONG_TIN c ON c.CTCK_THONG_TIN_ID = btv.CTCK_THONG_TIN_ID
    -- Tên người đại diện pháp luật
    LEFT JOIN SCMS.CTCK_NHAN_SU_CAO_CAP ns_ddpl ON ns_ddpl.CTCK_THONG_TIN_ID = btv.CTCK_THONG_TIN_ID
		AND ns_ddpl.IS_BANG_TAM = 1
		AND ns_ddpl.TRANG_THAI = 1
    LEFT JOIN SCMS.DM_CHUC_VU cv_ddpl ON cv_ddpl.ID = ns_ddpl.CHUC_VU_ID  -- DB cũ: CHUC_VU_ID là kiểu nvarchar
		AND LOWER(cv_ddpl.TEN_CHUC_VU) LIKE N'%đại diện pháp luật%'  -- Xác nhận người đại diện pháp luật lấy bằng cách nào?
    -- Tên chủ tịch Hội đồng quản trị/Hội đồng thành viên
    LEFT JOIN SCMS.CTCK_NHAN_SU_CAO_CAP ns_ct ON ns_ct.CTCK_THONG_TIN_ID = btv.CTCK_THONG_TIN_ID
		AND ns_ct.IS_BANG_TAM = 1
		AND ns_ct.TRANG_THAI = 1
    JOIN SCMS.DM_CHUC_VU cv_ct ON cv_ct.ID = ns_ct.CHUC_VU_ID  -- DB cũ: CHUC_VU_ID là kiểu nvarchar
		AND (LOWER(cv_ct.TEN_CHUC_VU) LIKE '%chủ tịch hđqt%'
		    OR LOWER(cv_ct.TEN_CHUC_VU) LIKE '%chủ tịch hđtv%')  -- Xác nhận (Chủ tịch HĐTV, Chủ tịch HĐQT)
    WHERE bm.MA_BAO_CAO LIKE 'BCTHHDKD%'
    	AND btv.TRANG_THAI IN (2, 3)
    GROUP BY
        btv.ID, btv.CTCK_THONG_TIN_ID, btv.NGAY_SO_LIEU, btv.TRANG_THAI,
        bm.MA_BAO_CAO,
        c.TEN_VIET_TAT, c.SAN_NIEM_YET, c.MA_CHUNG_KHOAN,
        c.GIAY_PHEP_KINH_DOANH, c.NGAY_CAP_GPKD, c.VON_DIEU_LE,
        ns_ddpl.HO_TEN, ns_ct.HO_TEN, cv_ct.TEN_CHUC_VU
)
ORDER BY ngay_bao_cao DESC, ten_ctck;</t>
        </is>
      </c>
      <c r="U1209" s="386" t="n"/>
      <c r="V1209" s="395" t="n"/>
      <c r="W1209" s="395" t="n"/>
      <c r="X1209" s="395" t="n"/>
      <c r="Y1209" s="13" t="n"/>
      <c r="Z1209" s="395" t="n"/>
      <c r="AA1209" s="395" t="n"/>
      <c r="AB1209" s="395" t="n"/>
      <c r="AC1209" s="395" t="n"/>
      <c r="AD1209" s="395" t="n"/>
      <c r="AE1209" s="395" t="n"/>
    </row>
    <row r="1210" ht="70" customHeight="1" s="380">
      <c r="A1210" s="73" t="n">
        <v>67</v>
      </c>
      <c r="B1210" s="386" t="n"/>
      <c r="C1210" s="386" t="inlineStr">
        <is>
          <t>Báo cáo theo Thông tư 121/2020/TT-BTC &gt;&gt; Tình hình cổ đông/thành viên góp vốn nẵm giữ từ 5% vốn điều lệ</t>
        </is>
      </c>
      <c r="D1210" s="386" t="inlineStr">
        <is>
          <t>Sàn giao dịch</t>
        </is>
      </c>
      <c r="E1210" s="386" t="inlineStr">
        <is>
          <t>Sàn giao dịch</t>
        </is>
      </c>
      <c r="F1210" s="386" t="inlineStr">
        <is>
          <t>Data Explorer</t>
        </is>
      </c>
      <c r="G1210" s="386" t="inlineStr">
        <is>
          <t>Chỉ tiêu cơ sở</t>
        </is>
      </c>
      <c r="H1210" s="386" t="inlineStr">
        <is>
          <t>Dễ</t>
        </is>
      </c>
      <c r="I1210" s="386" t="inlineStr">
        <is>
          <t>Ngày, CTCK</t>
        </is>
      </c>
      <c r="J1210" s="395" t="inlineStr">
        <is>
          <t>SCMS</t>
        </is>
      </c>
      <c r="K1210" s="395" t="n"/>
      <c r="L1210" s="395" t="inlineStr">
        <is>
          <t>X</t>
        </is>
      </c>
      <c r="M1210" s="395" t="n"/>
      <c r="N1210" s="395" t="inlineStr">
        <is>
          <t>Done</t>
        </is>
      </c>
      <c r="O1210" s="401" t="n"/>
      <c r="P1210" s="395" t="n"/>
      <c r="S1210" s="395" t="n"/>
      <c r="U1210" s="386" t="n"/>
      <c r="V1210" s="395" t="n"/>
      <c r="W1210" s="395" t="n"/>
      <c r="X1210" s="395" t="n"/>
      <c r="Y1210" s="13" t="n"/>
      <c r="Z1210" s="395" t="n"/>
      <c r="AA1210" s="395" t="n"/>
      <c r="AB1210" s="395" t="n"/>
      <c r="AC1210" s="395" t="n"/>
      <c r="AD1210" s="395" t="n"/>
      <c r="AE1210" s="395" t="n"/>
    </row>
    <row r="1211" ht="70" customHeight="1" s="380">
      <c r="A1211" s="73" t="n">
        <v>67</v>
      </c>
      <c r="B1211" s="386" t="n"/>
      <c r="C1211" s="386" t="inlineStr">
        <is>
          <t>Báo cáo theo Thông tư 121/2020/TT-BTC &gt;&gt; Tình hình cổ đông/thành viên góp vốn nẵm giữ từ 5% vốn điều lệ</t>
        </is>
      </c>
      <c r="D1211" s="386" t="inlineStr">
        <is>
          <t>Mã CK</t>
        </is>
      </c>
      <c r="E1211" s="386" t="inlineStr">
        <is>
          <t>Mã CK</t>
        </is>
      </c>
      <c r="F1211" s="386" t="inlineStr">
        <is>
          <t>Data Explorer</t>
        </is>
      </c>
      <c r="G1211" s="386" t="inlineStr">
        <is>
          <t>Chỉ tiêu cơ sở</t>
        </is>
      </c>
      <c r="H1211" s="386" t="inlineStr">
        <is>
          <t>Dễ</t>
        </is>
      </c>
      <c r="I1211" s="386" t="inlineStr">
        <is>
          <t>Ngày, CTCK</t>
        </is>
      </c>
      <c r="J1211" s="395" t="inlineStr">
        <is>
          <t>SCMS</t>
        </is>
      </c>
      <c r="K1211" s="395" t="n"/>
      <c r="L1211" s="395" t="inlineStr">
        <is>
          <t>X</t>
        </is>
      </c>
      <c r="M1211" s="395" t="n"/>
      <c r="N1211" s="395" t="inlineStr">
        <is>
          <t>Done</t>
        </is>
      </c>
      <c r="O1211" s="401" t="n"/>
      <c r="P1211" s="395" t="n"/>
      <c r="S1211" s="395" t="n"/>
      <c r="U1211" s="386" t="n"/>
      <c r="V1211" s="395" t="n"/>
      <c r="W1211" s="395" t="n"/>
      <c r="X1211" s="395" t="n"/>
      <c r="Y1211" s="38" t="n"/>
      <c r="Z1211" s="395" t="n"/>
      <c r="AA1211" s="395" t="n"/>
      <c r="AB1211" s="395" t="n"/>
      <c r="AC1211" s="395" t="n"/>
      <c r="AD1211" s="395" t="n"/>
      <c r="AE1211" s="395" t="n"/>
    </row>
    <row r="1212" ht="70" customHeight="1" s="380">
      <c r="A1212" s="73" t="n">
        <v>67</v>
      </c>
      <c r="B1212" s="386" t="n"/>
      <c r="C1212" s="386" t="inlineStr">
        <is>
          <t>Báo cáo theo Thông tư 121/2020/TT-BTC &gt;&gt; Tình hình cổ đông/thành viên góp vốn nẵm giữ từ 5% vốn điều lệ</t>
        </is>
      </c>
      <c r="D1212" s="386" t="inlineStr">
        <is>
          <t>Giấy phép Hoạt động &gt;&gt; Số</t>
        </is>
      </c>
      <c r="E1212" s="386" t="inlineStr">
        <is>
          <t>Giấy phép Hoạt động &gt;&gt; Số</t>
        </is>
      </c>
      <c r="F1212" s="386" t="inlineStr">
        <is>
          <t>Data Explorer</t>
        </is>
      </c>
      <c r="G1212" s="386" t="inlineStr">
        <is>
          <t>Chỉ tiêu cơ sở</t>
        </is>
      </c>
      <c r="H1212" s="386" t="inlineStr">
        <is>
          <t>Dễ</t>
        </is>
      </c>
      <c r="I1212" s="386" t="inlineStr">
        <is>
          <t>Ngày, CTCK</t>
        </is>
      </c>
      <c r="J1212" s="395" t="inlineStr">
        <is>
          <t>SCMS</t>
        </is>
      </c>
      <c r="K1212" s="395" t="n"/>
      <c r="L1212" s="395" t="inlineStr">
        <is>
          <t>X</t>
        </is>
      </c>
      <c r="M1212" s="395" t="n"/>
      <c r="N1212" s="395" t="inlineStr">
        <is>
          <t>Done</t>
        </is>
      </c>
      <c r="O1212" s="401" t="n"/>
      <c r="P1212" s="395" t="n"/>
      <c r="S1212" s="395" t="n"/>
      <c r="U1212" s="386" t="n"/>
      <c r="V1212" s="395" t="n"/>
      <c r="W1212" s="395" t="n"/>
      <c r="X1212" s="395" t="n"/>
      <c r="Y1212" s="13" t="n"/>
      <c r="Z1212" s="395" t="n"/>
      <c r="AA1212" s="395" t="n"/>
      <c r="AB1212" s="395" t="n"/>
      <c r="AC1212" s="395" t="n"/>
      <c r="AD1212" s="395" t="n"/>
      <c r="AE1212" s="395" t="n"/>
    </row>
    <row r="1213" ht="70" customHeight="1" s="380">
      <c r="A1213" s="73" t="n">
        <v>67</v>
      </c>
      <c r="B1213" s="386" t="n"/>
      <c r="C1213" s="386" t="inlineStr">
        <is>
          <t>Báo cáo theo Thông tư 121/2020/TT-BTC &gt;&gt; Tình hình cổ đông/thành viên góp vốn nẵm giữ từ 5% vốn điều lệ</t>
        </is>
      </c>
      <c r="D1213" s="386" t="inlineStr">
        <is>
          <t>Giấy phép Hoạt động &gt;&gt; Ngày cấp</t>
        </is>
      </c>
      <c r="E1213" s="386" t="inlineStr">
        <is>
          <t>Giấy phép Hoạt động &gt;&gt; Ngày cấp</t>
        </is>
      </c>
      <c r="F1213" s="386" t="inlineStr">
        <is>
          <t>Data Explorer</t>
        </is>
      </c>
      <c r="G1213" s="386" t="inlineStr">
        <is>
          <t>Chỉ tiêu cơ sở</t>
        </is>
      </c>
      <c r="H1213" s="386" t="inlineStr">
        <is>
          <t>Dễ</t>
        </is>
      </c>
      <c r="I1213" s="386" t="inlineStr">
        <is>
          <t>Ngày, CTCK</t>
        </is>
      </c>
      <c r="J1213" s="395" t="inlineStr">
        <is>
          <t>SCMS</t>
        </is>
      </c>
      <c r="K1213" s="395" t="n"/>
      <c r="L1213" s="395" t="inlineStr">
        <is>
          <t>X</t>
        </is>
      </c>
      <c r="M1213" s="395" t="n"/>
      <c r="N1213" s="395" t="inlineStr">
        <is>
          <t>Done</t>
        </is>
      </c>
      <c r="O1213" s="401" t="n"/>
      <c r="P1213" s="395" t="n"/>
      <c r="S1213" s="395" t="n"/>
      <c r="U1213" s="386" t="n"/>
      <c r="V1213" s="395" t="n"/>
      <c r="W1213" s="395" t="n"/>
      <c r="X1213" s="395" t="n"/>
      <c r="Y1213" s="13" t="n"/>
      <c r="Z1213" s="395" t="n"/>
      <c r="AA1213" s="395" t="n"/>
      <c r="AB1213" s="395" t="n"/>
      <c r="AC1213" s="395" t="n"/>
      <c r="AD1213" s="395" t="n"/>
      <c r="AE1213" s="395" t="n"/>
    </row>
    <row r="1214" ht="70" customHeight="1" s="380">
      <c r="A1214" s="73" t="n">
        <v>67</v>
      </c>
      <c r="B1214" s="386" t="n"/>
      <c r="C1214" s="386" t="inlineStr">
        <is>
          <t>Báo cáo theo Thông tư 121/2020/TT-BTC &gt;&gt; Tình hình cổ đông/thành viên góp vốn nẵm giữ từ 5% vốn điều lệ</t>
        </is>
      </c>
      <c r="D1214" s="386" t="inlineStr">
        <is>
          <t>Vốn điều lệ (đồng)</t>
        </is>
      </c>
      <c r="E1214" s="386" t="inlineStr">
        <is>
          <t>Vốn điều lệ (đồng)</t>
        </is>
      </c>
      <c r="F1214" s="386" t="inlineStr">
        <is>
          <t>Data Explorer</t>
        </is>
      </c>
      <c r="G1214" s="386" t="inlineStr">
        <is>
          <t>Chỉ tiêu cơ sở</t>
        </is>
      </c>
      <c r="H1214" s="386" t="inlineStr">
        <is>
          <t>Dễ</t>
        </is>
      </c>
      <c r="I1214" s="386" t="inlineStr">
        <is>
          <t>Ngày, CTCK</t>
        </is>
      </c>
      <c r="J1214" s="395" t="inlineStr">
        <is>
          <t>SCMS</t>
        </is>
      </c>
      <c r="K1214" s="395" t="n"/>
      <c r="L1214" s="395" t="inlineStr">
        <is>
          <t>X</t>
        </is>
      </c>
      <c r="M1214" s="395" t="n"/>
      <c r="N1214" s="395" t="inlineStr">
        <is>
          <t>Done</t>
        </is>
      </c>
      <c r="O1214" s="401" t="n"/>
      <c r="P1214" s="395" t="n"/>
      <c r="S1214" s="395" t="n"/>
      <c r="U1214" s="386" t="n"/>
      <c r="V1214" s="395" t="n"/>
      <c r="W1214" s="395" t="n"/>
      <c r="X1214" s="395" t="n"/>
      <c r="Y1214" s="13" t="n"/>
      <c r="Z1214" s="395" t="n"/>
      <c r="AA1214" s="395" t="n"/>
      <c r="AB1214" s="395" t="n"/>
      <c r="AC1214" s="395" t="n"/>
      <c r="AD1214" s="395" t="n"/>
      <c r="AE1214" s="395" t="n"/>
    </row>
    <row r="1215" ht="70" customHeight="1" s="380">
      <c r="A1215" s="73" t="n">
        <v>67</v>
      </c>
      <c r="B1215" s="386" t="n"/>
      <c r="C1215" s="386" t="inlineStr">
        <is>
          <t>Báo cáo theo Thông tư 121/2020/TT-BTC &gt;&gt; Tình hình cổ đông/thành viên góp vốn nẵm giữ từ 5% vốn điều lệ</t>
        </is>
      </c>
      <c r="D1215" s="386" t="inlineStr">
        <is>
          <t>Tên người đại diện pháp luật (đăng ký làm việc với UBCKNN)</t>
        </is>
      </c>
      <c r="E1215" s="386" t="inlineStr">
        <is>
          <t>Tên người đại diện pháp luật (đăng ký làm việc với UBCKNN)</t>
        </is>
      </c>
      <c r="F1215" s="386" t="inlineStr">
        <is>
          <t>Data Explorer</t>
        </is>
      </c>
      <c r="G1215" s="386" t="inlineStr">
        <is>
          <t>Chỉ tiêu cơ sở</t>
        </is>
      </c>
      <c r="H1215" s="386" t="inlineStr">
        <is>
          <t>Dễ</t>
        </is>
      </c>
      <c r="I1215" s="386" t="inlineStr">
        <is>
          <t>Ngày, CTCK</t>
        </is>
      </c>
      <c r="J1215" s="395" t="inlineStr">
        <is>
          <t>SCMS</t>
        </is>
      </c>
      <c r="K1215" s="395" t="n"/>
      <c r="L1215" s="395" t="inlineStr">
        <is>
          <t>X</t>
        </is>
      </c>
      <c r="M1215" s="395" t="n"/>
      <c r="N1215" s="395" t="inlineStr">
        <is>
          <t>Done</t>
        </is>
      </c>
      <c r="O1215" s="401" t="n"/>
      <c r="P1215" s="395" t="n"/>
      <c r="S1215" s="395" t="n"/>
      <c r="U1215" s="386" t="n"/>
      <c r="V1215" s="395" t="n"/>
      <c r="W1215" s="395" t="n"/>
      <c r="X1215" s="395" t="n"/>
      <c r="Y1215" s="13" t="n"/>
      <c r="Z1215" s="395" t="n"/>
      <c r="AA1215" s="395" t="n"/>
      <c r="AB1215" s="395" t="n"/>
      <c r="AC1215" s="395" t="n"/>
      <c r="AD1215" s="395" t="n"/>
      <c r="AE1215" s="395" t="n"/>
    </row>
    <row r="1216" ht="70" customHeight="1" s="380">
      <c r="A1216" s="73" t="n">
        <v>67</v>
      </c>
      <c r="B1216" s="386" t="n"/>
      <c r="C1216" s="386" t="inlineStr">
        <is>
          <t>Báo cáo theo Thông tư 121/2020/TT-BTC &gt;&gt; Tình hình cổ đông/thành viên góp vốn nẵm giữ từ 5% vốn điều lệ</t>
        </is>
      </c>
      <c r="D1216" s="386" t="inlineStr">
        <is>
          <t>Tên chủ tịch Hội đồng quản trị/Hội đồng thành viên</t>
        </is>
      </c>
      <c r="E1216" s="386" t="inlineStr">
        <is>
          <t>Tên chủ tịch Hội đồng quản trị/Hội đồng thành viên</t>
        </is>
      </c>
      <c r="F1216" s="386" t="inlineStr">
        <is>
          <t>Data Explorer</t>
        </is>
      </c>
      <c r="G1216" s="386" t="inlineStr">
        <is>
          <t>Chỉ tiêu cơ sở</t>
        </is>
      </c>
      <c r="H1216" s="386" t="inlineStr">
        <is>
          <t>Dễ</t>
        </is>
      </c>
      <c r="I1216" s="386" t="inlineStr">
        <is>
          <t>Ngày, CTCK</t>
        </is>
      </c>
      <c r="J1216" s="395" t="inlineStr">
        <is>
          <t>SCMS</t>
        </is>
      </c>
      <c r="K1216" s="395" t="n"/>
      <c r="L1216" s="395" t="inlineStr">
        <is>
          <t>X</t>
        </is>
      </c>
      <c r="M1216" s="395" t="n"/>
      <c r="N1216" s="395" t="inlineStr">
        <is>
          <t>Done</t>
        </is>
      </c>
      <c r="O1216" s="401" t="n"/>
      <c r="P1216" s="395" t="n"/>
      <c r="S1216" s="395" t="n"/>
      <c r="U1216" s="386" t="n"/>
      <c r="V1216" s="395" t="n"/>
      <c r="W1216" s="395" t="n"/>
      <c r="X1216" s="395" t="n"/>
      <c r="Y1216" s="13" t="n"/>
      <c r="Z1216" s="395" t="n"/>
      <c r="AA1216" s="395" t="n"/>
      <c r="AB1216" s="395" t="n"/>
      <c r="AC1216" s="395" t="n"/>
      <c r="AD1216" s="395" t="n"/>
      <c r="AE1216" s="395" t="n"/>
    </row>
    <row r="1217" ht="70" customHeight="1" s="380">
      <c r="A1217" s="73" t="n">
        <v>67</v>
      </c>
      <c r="B1217" s="386" t="n"/>
      <c r="C1217" s="386" t="inlineStr">
        <is>
          <t>Báo cáo theo Thông tư 121/2020/TT-BTC &gt;&gt; Tình hình cổ đông/thành viên góp vốn nẵm giữ từ 5% vốn điều lệ</t>
        </is>
      </c>
      <c r="D1217" s="386" t="inlineStr">
        <is>
          <t>Họ và tên (cá nhân)/ Tên tổ chức</t>
        </is>
      </c>
      <c r="E1217" s="386" t="inlineStr">
        <is>
          <t>Họ và tên (cá nhân)/ Tên tổ chức</t>
        </is>
      </c>
      <c r="F1217" s="386" t="inlineStr">
        <is>
          <t>Data Explorer</t>
        </is>
      </c>
      <c r="G1217" s="386" t="inlineStr">
        <is>
          <t>Chỉ tiêu cơ sở</t>
        </is>
      </c>
      <c r="H1217" s="386" t="inlineStr">
        <is>
          <t>Dễ</t>
        </is>
      </c>
      <c r="I1217" s="386" t="inlineStr">
        <is>
          <t>Ngày, CTCK</t>
        </is>
      </c>
      <c r="J1217" s="395" t="inlineStr">
        <is>
          <t>SCMS</t>
        </is>
      </c>
      <c r="K1217" s="395" t="n"/>
      <c r="L1217" s="395" t="inlineStr">
        <is>
          <t>X</t>
        </is>
      </c>
      <c r="M1217" s="395" t="n"/>
      <c r="N1217" s="395" t="inlineStr">
        <is>
          <t>Done</t>
        </is>
      </c>
      <c r="O1217" s="401" t="n"/>
      <c r="P1217" s="395" t="n"/>
      <c r="S1217" s="395" t="n"/>
      <c r="U1217" s="386" t="n"/>
      <c r="V1217" s="395" t="n"/>
      <c r="W1217" s="395" t="n"/>
      <c r="X1217" s="395" t="n"/>
      <c r="Y1217" s="38" t="n"/>
      <c r="Z1217" s="395" t="n"/>
      <c r="AA1217" s="395" t="n"/>
      <c r="AB1217" s="395" t="n"/>
      <c r="AC1217" s="395" t="n"/>
      <c r="AD1217" s="395" t="n"/>
      <c r="AE1217" s="395" t="n"/>
    </row>
    <row r="1218" ht="70" customHeight="1" s="380">
      <c r="A1218" s="73" t="n">
        <v>67</v>
      </c>
      <c r="B1218" s="386" t="n"/>
      <c r="C1218" s="386" t="inlineStr">
        <is>
          <t>Báo cáo theo Thông tư 121/2020/TT-BTC &gt;&gt; Tình hình cổ đông/thành viên góp vốn nẵm giữ từ 5% vốn điều lệ</t>
        </is>
      </c>
      <c r="D1218" s="386" t="inlineStr">
        <is>
          <t>Số giấy CMND/CCCD /Hộ chiếu (người nước ngoài)/ Số Giấy ĐKKD (Tổ chức)</t>
        </is>
      </c>
      <c r="E1218" s="386" t="inlineStr">
        <is>
          <t>Số giấy CMND/CCCD /Hộ chiếu (người nước ngoài)/ Số Giấy ĐKKD (Tổ chức)</t>
        </is>
      </c>
      <c r="F1218" s="386" t="inlineStr">
        <is>
          <t>Data Explorer</t>
        </is>
      </c>
      <c r="G1218" s="386" t="inlineStr">
        <is>
          <t>Chỉ tiêu cơ sở</t>
        </is>
      </c>
      <c r="H1218" s="386" t="inlineStr">
        <is>
          <t>Dễ</t>
        </is>
      </c>
      <c r="I1218" s="386" t="inlineStr">
        <is>
          <t>Ngày, CTCK</t>
        </is>
      </c>
      <c r="J1218" s="395" t="inlineStr">
        <is>
          <t>SCMS</t>
        </is>
      </c>
      <c r="K1218" s="395" t="n"/>
      <c r="L1218" s="395" t="inlineStr">
        <is>
          <t>X</t>
        </is>
      </c>
      <c r="M1218" s="395" t="n"/>
      <c r="N1218" s="395" t="inlineStr">
        <is>
          <t>Done</t>
        </is>
      </c>
      <c r="O1218" s="401" t="n"/>
      <c r="P1218" s="395" t="n"/>
      <c r="S1218" s="395" t="n"/>
      <c r="U1218" s="386" t="n"/>
      <c r="V1218" s="395" t="n"/>
      <c r="W1218" s="395" t="n"/>
      <c r="X1218" s="395" t="n"/>
      <c r="Y1218" s="13" t="n"/>
      <c r="Z1218" s="395" t="n"/>
      <c r="AA1218" s="395" t="n"/>
      <c r="AB1218" s="395" t="n"/>
      <c r="AC1218" s="395" t="n"/>
      <c r="AD1218" s="395" t="n"/>
      <c r="AE1218" s="395" t="n"/>
    </row>
    <row r="1219" ht="70" customHeight="1" s="380">
      <c r="A1219" s="73" t="n">
        <v>67</v>
      </c>
      <c r="B1219" s="386" t="n"/>
      <c r="C1219" s="386" t="inlineStr">
        <is>
          <t>Báo cáo theo Thông tư 121/2020/TT-BTC &gt;&gt; Tình hình cổ đông/thành viên góp vốn nẵm giữ từ 5% vốn điều lệ</t>
        </is>
      </c>
      <c r="D1219" s="386" t="inlineStr">
        <is>
          <t>Ngày cấp</t>
        </is>
      </c>
      <c r="E1219" s="386" t="inlineStr">
        <is>
          <t>Ngày cấp</t>
        </is>
      </c>
      <c r="F1219" s="386" t="inlineStr">
        <is>
          <t>Data Explorer</t>
        </is>
      </c>
      <c r="G1219" s="386" t="inlineStr">
        <is>
          <t>Chỉ tiêu cơ sở</t>
        </is>
      </c>
      <c r="H1219" s="386" t="inlineStr">
        <is>
          <t>Dễ</t>
        </is>
      </c>
      <c r="I1219" s="386" t="inlineStr">
        <is>
          <t>Ngày, CTCK</t>
        </is>
      </c>
      <c r="J1219" s="395" t="inlineStr">
        <is>
          <t>SCMS</t>
        </is>
      </c>
      <c r="K1219" s="395" t="n"/>
      <c r="L1219" s="395" t="inlineStr">
        <is>
          <t>X</t>
        </is>
      </c>
      <c r="M1219" s="395" t="n"/>
      <c r="N1219" s="395" t="inlineStr">
        <is>
          <t>Done</t>
        </is>
      </c>
      <c r="O1219" s="401" t="n"/>
      <c r="P1219" s="395" t="n"/>
      <c r="S1219" s="395" t="n"/>
      <c r="U1219" s="386" t="n"/>
      <c r="V1219" s="395" t="n"/>
      <c r="W1219" s="395" t="n"/>
      <c r="X1219" s="395" t="n"/>
      <c r="Y1219" s="13" t="n"/>
      <c r="Z1219" s="395" t="n"/>
      <c r="AA1219" s="395" t="n"/>
      <c r="AB1219" s="395" t="n"/>
      <c r="AC1219" s="395" t="n"/>
      <c r="AD1219" s="395" t="n"/>
      <c r="AE1219" s="395" t="n"/>
    </row>
    <row r="1220" ht="70" customHeight="1" s="380">
      <c r="A1220" s="73" t="n">
        <v>67</v>
      </c>
      <c r="B1220" s="386" t="n"/>
      <c r="C1220" s="386" t="inlineStr">
        <is>
          <t>Báo cáo theo Thông tư 121/2020/TT-BTC &gt;&gt; Tình hình cổ đông/thành viên góp vốn nẵm giữ từ 5% vốn điều lệ</t>
        </is>
      </c>
      <c r="D1220" s="386" t="inlineStr">
        <is>
          <t>Địa chỉ</t>
        </is>
      </c>
      <c r="E1220" s="386" t="inlineStr">
        <is>
          <t>Địa chỉ</t>
        </is>
      </c>
      <c r="F1220" s="386" t="inlineStr">
        <is>
          <t>Data Explorer</t>
        </is>
      </c>
      <c r="G1220" s="386" t="inlineStr">
        <is>
          <t>Chỉ tiêu cơ sở</t>
        </is>
      </c>
      <c r="H1220" s="386" t="inlineStr">
        <is>
          <t>Dễ</t>
        </is>
      </c>
      <c r="I1220" s="386" t="inlineStr">
        <is>
          <t>Ngày, CTCK</t>
        </is>
      </c>
      <c r="J1220" s="395" t="inlineStr">
        <is>
          <t>SCMS</t>
        </is>
      </c>
      <c r="K1220" s="395" t="n"/>
      <c r="L1220" s="395" t="inlineStr">
        <is>
          <t>X</t>
        </is>
      </c>
      <c r="M1220" s="395" t="n"/>
      <c r="N1220" s="395" t="inlineStr">
        <is>
          <t>Done</t>
        </is>
      </c>
      <c r="O1220" s="401" t="n"/>
      <c r="P1220" s="395" t="n"/>
      <c r="S1220" s="395" t="n"/>
      <c r="U1220" s="386" t="n"/>
      <c r="V1220" s="395" t="n"/>
      <c r="W1220" s="395" t="n"/>
      <c r="X1220" s="395" t="n"/>
      <c r="Y1220" s="13" t="n"/>
      <c r="Z1220" s="395" t="n"/>
      <c r="AA1220" s="395" t="n"/>
      <c r="AB1220" s="395" t="n"/>
      <c r="AC1220" s="395" t="n"/>
      <c r="AD1220" s="395" t="n"/>
      <c r="AE1220" s="395" t="n"/>
    </row>
    <row r="1221" ht="70" customHeight="1" s="380">
      <c r="A1221" s="73" t="n">
        <v>67</v>
      </c>
      <c r="B1221" s="386" t="n"/>
      <c r="C1221" s="386" t="inlineStr">
        <is>
          <t>Báo cáo theo Thông tư 121/2020/TT-BTC &gt;&gt; Tình hình cổ đông/thành viên góp vốn nẵm giữ từ 5% vốn điều lệ</t>
        </is>
      </c>
      <c r="D1221" s="386" t="inlineStr">
        <is>
          <t>Quốc tịch (người nước ngoài)/Tổ chức (nước ngoài)</t>
        </is>
      </c>
      <c r="E1221" s="386" t="inlineStr">
        <is>
          <t>Quốc tịch (người nước ngoài)/Tổ chức (nước ngoài)</t>
        </is>
      </c>
      <c r="F1221" s="386" t="inlineStr">
        <is>
          <t>Data Explorer</t>
        </is>
      </c>
      <c r="G1221" s="386" t="inlineStr">
        <is>
          <t>Chỉ tiêu cơ sở</t>
        </is>
      </c>
      <c r="H1221" s="386" t="inlineStr">
        <is>
          <t>Dễ</t>
        </is>
      </c>
      <c r="I1221" s="386" t="inlineStr">
        <is>
          <t>Ngày, CTCK</t>
        </is>
      </c>
      <c r="J1221" s="395" t="inlineStr">
        <is>
          <t>SCMS</t>
        </is>
      </c>
      <c r="K1221" s="395" t="n"/>
      <c r="L1221" s="395" t="inlineStr">
        <is>
          <t>X</t>
        </is>
      </c>
      <c r="M1221" s="395" t="n"/>
      <c r="N1221" s="395" t="inlineStr">
        <is>
          <t>Done</t>
        </is>
      </c>
      <c r="O1221" s="401" t="n"/>
      <c r="P1221" s="395" t="n"/>
      <c r="S1221" s="395" t="n"/>
      <c r="U1221" s="386" t="n"/>
      <c r="V1221" s="395" t="n"/>
      <c r="W1221" s="395" t="n"/>
      <c r="X1221" s="395" t="n"/>
      <c r="Y1221" s="13" t="n"/>
      <c r="Z1221" s="395" t="n"/>
      <c r="AA1221" s="395" t="n"/>
      <c r="AB1221" s="395" t="n"/>
      <c r="AC1221" s="395" t="n"/>
      <c r="AD1221" s="395" t="n"/>
      <c r="AE1221" s="395" t="n"/>
    </row>
    <row r="1222" ht="70" customHeight="1" s="380">
      <c r="A1222" s="73" t="n">
        <v>67</v>
      </c>
      <c r="B1222" s="386" t="n"/>
      <c r="C1222" s="386" t="inlineStr">
        <is>
          <t>Báo cáo theo Thông tư 121/2020/TT-BTC &gt;&gt; Tình hình cổ đông/thành viên góp vốn nẵm giữ từ 5% vốn điều lệ</t>
        </is>
      </c>
      <c r="D1222" s="386" t="inlineStr">
        <is>
          <t>Thông tin về tỷ lệ nắm giữ &gt;&gt; Đầu kỳ &gt;&gt; Số lượng cổ phần/ phần vốn góp</t>
        </is>
      </c>
      <c r="E1222" s="386" t="inlineStr">
        <is>
          <t>Thông tin về tỷ lệ nắm giữ &gt;&gt; Đầu kỳ &gt;&gt; Số lượng cổ phần/ phần vốn góp</t>
        </is>
      </c>
      <c r="F1222" s="386" t="inlineStr">
        <is>
          <t>Data Explorer</t>
        </is>
      </c>
      <c r="G1222" s="386" t="inlineStr">
        <is>
          <t>Chỉ tiêu cơ sở</t>
        </is>
      </c>
      <c r="H1222" s="386" t="inlineStr">
        <is>
          <t>TB</t>
        </is>
      </c>
      <c r="I1222" s="386" t="inlineStr">
        <is>
          <t>Ngày, CTCK</t>
        </is>
      </c>
      <c r="J1222" s="395" t="inlineStr">
        <is>
          <t>SCMS</t>
        </is>
      </c>
      <c r="K1222" s="395" t="n"/>
      <c r="L1222" s="395" t="inlineStr">
        <is>
          <t>X</t>
        </is>
      </c>
      <c r="M1222" s="395" t="n"/>
      <c r="N1222" s="395" t="inlineStr">
        <is>
          <t>Done</t>
        </is>
      </c>
      <c r="O1222" s="401" t="n"/>
      <c r="P1222" s="395" t="n"/>
      <c r="S1222" s="395" t="n"/>
      <c r="U1222" s="386" t="n"/>
      <c r="V1222" s="395" t="n"/>
      <c r="W1222" s="395" t="n"/>
      <c r="X1222" s="395" t="n"/>
      <c r="Y1222" s="13" t="n"/>
      <c r="Z1222" s="395" t="n"/>
      <c r="AA1222" s="395" t="n"/>
      <c r="AB1222" s="395" t="n"/>
      <c r="AC1222" s="395" t="n"/>
      <c r="AD1222" s="395" t="n"/>
      <c r="AE1222" s="395" t="n"/>
    </row>
    <row r="1223" ht="70" customHeight="1" s="380">
      <c r="A1223" s="73" t="n">
        <v>67</v>
      </c>
      <c r="B1223" s="386" t="n"/>
      <c r="C1223" s="386" t="inlineStr">
        <is>
          <t>Báo cáo theo Thông tư 121/2020/TT-BTC &gt;&gt; Tình hình cổ đông/thành viên góp vốn nẵm giữ từ 5% vốn điều lệ</t>
        </is>
      </c>
      <c r="D1223" s="386" t="inlineStr">
        <is>
          <t>Thông tin về tỷ lệ nắm giữ &gt;&gt; Đầu kỳ &gt;&gt; Tỷ lệ nắm giữ so với vốn điều lệ</t>
        </is>
      </c>
      <c r="E1223" s="386" t="inlineStr">
        <is>
          <t>Thông tin về tỷ lệ nắm giữ &gt;&gt; Đầu kỳ &gt;&gt; Tỷ lệ nắm giữ so với vốn điều lệ</t>
        </is>
      </c>
      <c r="F1223" s="386" t="inlineStr">
        <is>
          <t>Data Explorer</t>
        </is>
      </c>
      <c r="G1223" s="386" t="inlineStr">
        <is>
          <t>Chỉ tiêu cơ sở</t>
        </is>
      </c>
      <c r="H1223" s="386" t="inlineStr">
        <is>
          <t>TB</t>
        </is>
      </c>
      <c r="I1223" s="386" t="inlineStr">
        <is>
          <t>Ngày, CTCK</t>
        </is>
      </c>
      <c r="J1223" s="395" t="inlineStr">
        <is>
          <t>SCMS</t>
        </is>
      </c>
      <c r="K1223" s="395" t="n"/>
      <c r="L1223" s="395" t="inlineStr">
        <is>
          <t>X</t>
        </is>
      </c>
      <c r="M1223" s="395" t="n"/>
      <c r="N1223" s="395" t="inlineStr">
        <is>
          <t>Done</t>
        </is>
      </c>
      <c r="O1223" s="401" t="n"/>
      <c r="P1223" s="395" t="n"/>
      <c r="S1223" s="395" t="n"/>
      <c r="U1223" s="386" t="n"/>
      <c r="V1223" s="395" t="n"/>
      <c r="W1223" s="395" t="n"/>
      <c r="X1223" s="395" t="n"/>
      <c r="Y1223" s="14" t="n"/>
      <c r="Z1223" s="395" t="n"/>
      <c r="AA1223" s="395" t="n"/>
      <c r="AB1223" s="395" t="n"/>
      <c r="AC1223" s="395" t="n"/>
      <c r="AD1223" s="395" t="n"/>
      <c r="AE1223" s="395" t="n"/>
    </row>
    <row r="1224" ht="70" customHeight="1" s="380">
      <c r="A1224" s="73" t="n">
        <v>67</v>
      </c>
      <c r="B1224" s="386" t="n"/>
      <c r="C1224" s="386" t="inlineStr">
        <is>
          <t>Báo cáo theo Thông tư 121/2020/TT-BTC &gt;&gt; Tình hình cổ đông/thành viên góp vốn nẵm giữ từ 5% vốn điều lệ</t>
        </is>
      </c>
      <c r="D1224" s="386" t="inlineStr">
        <is>
          <t>Thông tin về tỷ lệ nắm giữ &gt;&gt; Cuối kỳ &gt;&gt; Số lượng cổ phần/ phần vốn góp</t>
        </is>
      </c>
      <c r="E1224" s="386" t="inlineStr">
        <is>
          <t>Thông tin về tỷ lệ nắm giữ &gt;&gt; Cuối kỳ &gt;&gt; Số lượng cổ phần/ phần vốn góp</t>
        </is>
      </c>
      <c r="F1224" s="386" t="inlineStr">
        <is>
          <t>Data Explorer</t>
        </is>
      </c>
      <c r="G1224" s="386" t="inlineStr">
        <is>
          <t>Chỉ tiêu cơ sở</t>
        </is>
      </c>
      <c r="H1224" s="386" t="inlineStr">
        <is>
          <t>TB</t>
        </is>
      </c>
      <c r="I1224" s="386" t="inlineStr">
        <is>
          <t>Ngày, CTCK</t>
        </is>
      </c>
      <c r="J1224" s="395" t="inlineStr">
        <is>
          <t>SCMS</t>
        </is>
      </c>
      <c r="K1224" s="395" t="n"/>
      <c r="L1224" s="395" t="inlineStr">
        <is>
          <t>X</t>
        </is>
      </c>
      <c r="M1224" s="395" t="n"/>
      <c r="N1224" s="395" t="inlineStr">
        <is>
          <t>Done</t>
        </is>
      </c>
      <c r="O1224" s="401" t="n"/>
      <c r="P1224" s="395" t="n"/>
      <c r="S1224" s="395" t="n"/>
      <c r="U1224" s="386" t="n"/>
      <c r="V1224" s="395" t="n"/>
      <c r="W1224" s="395" t="n"/>
      <c r="X1224" s="395" t="n"/>
      <c r="Y1224" s="13" t="n"/>
      <c r="Z1224" s="395" t="n"/>
      <c r="AA1224" s="395" t="n"/>
      <c r="AB1224" s="395" t="n"/>
      <c r="AC1224" s="395" t="n"/>
      <c r="AD1224" s="395" t="n"/>
      <c r="AE1224" s="395" t="n"/>
    </row>
    <row r="1225" ht="70" customHeight="1" s="380">
      <c r="A1225" s="83" t="n">
        <v>67</v>
      </c>
      <c r="B1225" s="68" t="n"/>
      <c r="C1225" s="68" t="inlineStr">
        <is>
          <t>Báo cáo theo Thông tư 121/2020/TT-BTC &gt;&gt; Tình hình cổ đông/thành viên góp vốn nẵm giữ từ 5% vốn điều lệ</t>
        </is>
      </c>
      <c r="D1225" s="68" t="inlineStr">
        <is>
          <t>Thông tin về tỷ lệ nắm giữ &gt;&gt; Cuối kỳ &gt;&gt; Tỷ lệ nắm giữ so với vốn điều lệ</t>
        </is>
      </c>
      <c r="E1225" s="68" t="inlineStr">
        <is>
          <t>Thông tin về tỷ lệ nắm giữ &gt;&gt; Cuối kỳ &gt;&gt; Tỷ lệ nắm giữ so với vốn điều lệ</t>
        </is>
      </c>
      <c r="F1225" s="68" t="inlineStr">
        <is>
          <t>Data Explorer</t>
        </is>
      </c>
      <c r="G1225" s="68" t="inlineStr">
        <is>
          <t>Chỉ tiêu cơ sở</t>
        </is>
      </c>
      <c r="H1225" s="68" t="inlineStr">
        <is>
          <t>TB</t>
        </is>
      </c>
      <c r="I1225" s="68" t="inlineStr">
        <is>
          <t>Ngày, CTCK</t>
        </is>
      </c>
      <c r="J1225" s="69" t="inlineStr">
        <is>
          <t>SCMS</t>
        </is>
      </c>
      <c r="K1225" s="69" t="n"/>
      <c r="L1225" s="69" t="inlineStr">
        <is>
          <t>X</t>
        </is>
      </c>
      <c r="M1225" s="69" t="n"/>
      <c r="N1225" s="69" t="inlineStr">
        <is>
          <t>Done</t>
        </is>
      </c>
      <c r="O1225" s="85" t="n"/>
      <c r="P1225" s="69" t="n"/>
      <c r="Q1225" s="426" t="n"/>
      <c r="R1225" s="426" t="n"/>
      <c r="S1225" s="69" t="n"/>
      <c r="T1225" s="426" t="n"/>
      <c r="U1225" s="68" t="n"/>
      <c r="V1225" s="69" t="n"/>
      <c r="W1225" s="69" t="n"/>
      <c r="X1225" s="69" t="n"/>
      <c r="Y1225" s="97" t="n"/>
      <c r="Z1225" s="69" t="n"/>
      <c r="AA1225" s="69" t="n"/>
      <c r="AB1225" s="69" t="n"/>
      <c r="AC1225" s="69" t="n"/>
      <c r="AD1225" s="69" t="n"/>
      <c r="AE1225" s="69" t="n"/>
    </row>
    <row r="1226" ht="56" customHeight="1" s="380">
      <c r="A1226" s="73" t="n">
        <v>68</v>
      </c>
      <c r="B1226" s="122" t="inlineStr">
        <is>
          <t>Nga</t>
        </is>
      </c>
      <c r="C1226" s="81" t="inlineStr">
        <is>
          <t>Báo cáo theo Thông tư 121/2020/TT-BTC &gt;&gt; Hoạt động bảo lãnh phát hành chứng khoán</t>
        </is>
      </c>
      <c r="D1226" s="106" t="inlineStr">
        <is>
          <t>Loại báo cáo</t>
        </is>
      </c>
      <c r="E1226" s="107" t="inlineStr">
        <is>
          <t>Loại báo cáo</t>
        </is>
      </c>
      <c r="F1226" s="390" t="inlineStr">
        <is>
          <t>Data Explorer</t>
        </is>
      </c>
      <c r="G1226" s="390" t="inlineStr">
        <is>
          <t>Chiều</t>
        </is>
      </c>
      <c r="H1226" s="390" t="inlineStr">
        <is>
          <t>Dễ</t>
        </is>
      </c>
      <c r="I1226" s="390" t="inlineStr">
        <is>
          <t>Ngày, CTCK</t>
        </is>
      </c>
      <c r="J1226" s="401" t="inlineStr">
        <is>
          <t>SCMS</t>
        </is>
      </c>
      <c r="K1226" s="401" t="inlineStr">
        <is>
          <t>X</t>
        </is>
      </c>
      <c r="L1226" s="395" t="inlineStr">
        <is>
          <t>X</t>
        </is>
      </c>
      <c r="M1226" s="401" t="n"/>
      <c r="N1226" s="395" t="inlineStr">
        <is>
          <t>Done</t>
        </is>
      </c>
      <c r="O1226" s="401" t="n"/>
      <c r="P1226" s="395" t="n"/>
      <c r="Q1226" s="404" t="inlineStr">
        <is>
          <t>SCMS.BM_BAO_CAO
SCMS.BM_BAO_CAO_DINH_KY</t>
        </is>
      </c>
      <c r="R1226" s="404" t="inlineStr">
        <is>
          <t>bm.ID,
bm.MA_BAO_CAO,
bm.LOAI_BAO_CAO,
bm.TEN_BAO_CAO,
bm.SU_DUNG,
bdk.BM_BAO_CAO_ID,
bdk.KY_BAO_CAO,
bdk.SU_DUNG</t>
        </is>
      </c>
      <c r="S1226" s="395" t="n"/>
      <c r="T1226"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226" s="386" t="n"/>
      <c r="V1226" s="395" t="n"/>
      <c r="W1226" s="395" t="n"/>
      <c r="X1226" s="395" t="n"/>
      <c r="Y1226" s="13" t="n"/>
      <c r="Z1226" s="395" t="n"/>
      <c r="AA1226" s="395" t="n"/>
      <c r="AB1226" s="395" t="n"/>
      <c r="AC1226" s="395" t="n"/>
      <c r="AD1226" s="395" t="n"/>
      <c r="AE1226" s="395" t="n"/>
    </row>
    <row r="1227" ht="56" customHeight="1" s="380">
      <c r="A1227" s="73" t="n">
        <v>68</v>
      </c>
      <c r="B1227" s="386" t="n"/>
      <c r="C1227" s="386" t="inlineStr">
        <is>
          <t>Báo cáo theo Thông tư 121/2020/TT-BTC &gt;&gt; Hoạt động bảo lãnh phát hành chứng khoán</t>
        </is>
      </c>
      <c r="D1227" s="106" t="inlineStr">
        <is>
          <t>Kỳ báo cáo</t>
        </is>
      </c>
      <c r="E1227" s="107" t="inlineStr">
        <is>
          <t>Kỳ báo cáo</t>
        </is>
      </c>
      <c r="F1227" s="390" t="inlineStr">
        <is>
          <t>Data Explorer</t>
        </is>
      </c>
      <c r="G1227" s="390" t="inlineStr">
        <is>
          <t>Chiều</t>
        </is>
      </c>
      <c r="H1227" s="390" t="inlineStr">
        <is>
          <t>Dễ</t>
        </is>
      </c>
      <c r="I1227" s="390" t="inlineStr">
        <is>
          <t>Ngày, CTCK</t>
        </is>
      </c>
      <c r="J1227" s="401" t="inlineStr">
        <is>
          <t>SCMS</t>
        </is>
      </c>
      <c r="K1227" s="401" t="inlineStr">
        <is>
          <t>X</t>
        </is>
      </c>
      <c r="L1227" s="395" t="inlineStr">
        <is>
          <t>X</t>
        </is>
      </c>
      <c r="M1227" s="401" t="n"/>
      <c r="N1227" s="395" t="inlineStr">
        <is>
          <t>Done</t>
        </is>
      </c>
      <c r="O1227" s="401" t="n"/>
      <c r="P1227" s="395" t="n"/>
      <c r="S1227" s="395" t="n"/>
      <c r="U1227" s="386" t="n"/>
      <c r="V1227" s="395" t="n"/>
      <c r="W1227" s="395" t="n"/>
      <c r="X1227" s="395" t="n"/>
      <c r="Y1227" s="13" t="n"/>
      <c r="Z1227" s="395" t="n"/>
      <c r="AA1227" s="395" t="n"/>
      <c r="AB1227" s="395" t="n"/>
      <c r="AC1227" s="395" t="n"/>
      <c r="AD1227" s="395" t="n"/>
      <c r="AE1227" s="395" t="n"/>
    </row>
    <row r="1228" ht="56" customHeight="1" s="380">
      <c r="A1228" s="73" t="n">
        <v>68</v>
      </c>
      <c r="B1228" s="386" t="n"/>
      <c r="C1228" s="386" t="inlineStr">
        <is>
          <t>Báo cáo theo Thông tư 121/2020/TT-BTC &gt;&gt; Hoạt động bảo lãnh phát hành chứng khoán</t>
        </is>
      </c>
      <c r="D1228" s="106" t="inlineStr">
        <is>
          <t>Mã báo cáo</t>
        </is>
      </c>
      <c r="E1228" s="107" t="inlineStr">
        <is>
          <t>Mã báo cáo</t>
        </is>
      </c>
      <c r="F1228" s="390" t="inlineStr">
        <is>
          <t>Data Explorer</t>
        </is>
      </c>
      <c r="G1228" s="390" t="inlineStr">
        <is>
          <t>Chiều</t>
        </is>
      </c>
      <c r="H1228" s="390" t="inlineStr">
        <is>
          <t>Dễ</t>
        </is>
      </c>
      <c r="I1228" s="390" t="inlineStr">
        <is>
          <t>Ngày, CTCK</t>
        </is>
      </c>
      <c r="J1228" s="401" t="inlineStr">
        <is>
          <t>SCMS</t>
        </is>
      </c>
      <c r="K1228" s="401" t="inlineStr">
        <is>
          <t>X</t>
        </is>
      </c>
      <c r="L1228" s="395" t="inlineStr">
        <is>
          <t>X</t>
        </is>
      </c>
      <c r="M1228" s="401" t="n"/>
      <c r="N1228" s="395" t="inlineStr">
        <is>
          <t>Done</t>
        </is>
      </c>
      <c r="O1228" s="401" t="n"/>
      <c r="P1228" s="395" t="n"/>
      <c r="S1228" s="395" t="n"/>
      <c r="U1228" s="386" t="n"/>
      <c r="V1228" s="395" t="n"/>
      <c r="W1228" s="395" t="n"/>
      <c r="X1228" s="395" t="n"/>
      <c r="Y1228" s="13" t="n"/>
      <c r="Z1228" s="395" t="n"/>
      <c r="AA1228" s="395" t="n"/>
      <c r="AB1228" s="395" t="n"/>
      <c r="AC1228" s="395" t="n"/>
      <c r="AD1228" s="395" t="n"/>
      <c r="AE1228" s="395" t="n"/>
    </row>
    <row r="1229" ht="56" customHeight="1" s="380">
      <c r="A1229" s="73" t="n">
        <v>68</v>
      </c>
      <c r="B1229" s="386" t="n"/>
      <c r="C1229" s="386" t="inlineStr">
        <is>
          <t>Báo cáo theo Thông tư 121/2020/TT-BTC &gt;&gt; Hoạt động bảo lãnh phát hành chứng khoán</t>
        </is>
      </c>
      <c r="D1229" s="106" t="inlineStr">
        <is>
          <t>Tên báo cáo</t>
        </is>
      </c>
      <c r="E1229" s="107" t="inlineStr">
        <is>
          <t>Tên báo cáo</t>
        </is>
      </c>
      <c r="F1229" s="390" t="inlineStr">
        <is>
          <t>Data Explorer</t>
        </is>
      </c>
      <c r="G1229" s="390" t="inlineStr">
        <is>
          <t>Chiều</t>
        </is>
      </c>
      <c r="H1229" s="390" t="inlineStr">
        <is>
          <t>Dễ</t>
        </is>
      </c>
      <c r="I1229" s="390" t="inlineStr">
        <is>
          <t>Ngày, CTCK</t>
        </is>
      </c>
      <c r="J1229" s="401" t="inlineStr">
        <is>
          <t>SCMS</t>
        </is>
      </c>
      <c r="K1229" s="401" t="inlineStr">
        <is>
          <t>X</t>
        </is>
      </c>
      <c r="L1229" s="395" t="inlineStr">
        <is>
          <t>X</t>
        </is>
      </c>
      <c r="M1229" s="401" t="n"/>
      <c r="N1229" s="395" t="inlineStr">
        <is>
          <t>Done</t>
        </is>
      </c>
      <c r="O1229" s="401" t="n"/>
      <c r="P1229" s="395" t="n"/>
      <c r="S1229" s="395" t="n"/>
      <c r="U1229" s="386" t="n"/>
      <c r="V1229" s="395" t="n"/>
      <c r="W1229" s="395" t="n"/>
      <c r="X1229" s="395" t="n"/>
      <c r="Y1229" s="14" t="n"/>
      <c r="Z1229" s="395" t="n"/>
      <c r="AA1229" s="395" t="n"/>
      <c r="AB1229" s="395" t="n"/>
      <c r="AC1229" s="395" t="n"/>
      <c r="AD1229" s="395" t="n"/>
      <c r="AE1229" s="395" t="n"/>
    </row>
    <row r="1230" ht="56" customHeight="1" s="380">
      <c r="A1230" s="73" t="n">
        <v>68</v>
      </c>
      <c r="B1230" s="386" t="n"/>
      <c r="C1230" s="386" t="inlineStr">
        <is>
          <t>Báo cáo theo Thông tư 121/2020/TT-BTC &gt;&gt; Hoạt động bảo lãnh phát hành chứng khoán</t>
        </is>
      </c>
      <c r="D1230" s="106" t="inlineStr">
        <is>
          <t>Mã sheet</t>
        </is>
      </c>
      <c r="E1230" s="106" t="inlineStr">
        <is>
          <t>Mã sheet</t>
        </is>
      </c>
      <c r="F1230" s="390" t="inlineStr">
        <is>
          <t>Data Explorer</t>
        </is>
      </c>
      <c r="G1230" s="390" t="inlineStr">
        <is>
          <t>Chiều</t>
        </is>
      </c>
      <c r="H1230" s="390" t="inlineStr">
        <is>
          <t>Dễ</t>
        </is>
      </c>
      <c r="I1230" s="390" t="inlineStr">
        <is>
          <t>Ngày, CTCK</t>
        </is>
      </c>
      <c r="J1230" s="401" t="inlineStr">
        <is>
          <t>SCMS</t>
        </is>
      </c>
      <c r="K1230" s="401" t="inlineStr">
        <is>
          <t>X</t>
        </is>
      </c>
      <c r="L1230" s="395" t="inlineStr">
        <is>
          <t>X</t>
        </is>
      </c>
      <c r="M1230" s="401" t="n"/>
      <c r="N1230" s="395" t="inlineStr">
        <is>
          <t>Done</t>
        </is>
      </c>
      <c r="O1230" s="401" t="n"/>
      <c r="P1230" s="395" t="n"/>
      <c r="Q1230" s="401" t="inlineStr">
        <is>
          <t>SCMS.BM_BAO_CAO
SCMS.BM_SHEET</t>
        </is>
      </c>
      <c r="R1230" s="401" t="inlineStr">
        <is>
          <t>bm.ID,
bm.MA_BAO_CAO,
bm.SU_DUNG,
s.BM_BAO_CAO_ID,
s.MA_SHEET,
s.TEN_SHEET,
s.SAP_XEP</t>
        </is>
      </c>
      <c r="S1230" s="395" t="n"/>
      <c r="T1230" s="384" t="inlineStr">
        <is>
          <t>-- Mã sheet / Tên sheet
-- TEN_SHEET: THNS
SELECT bm.MA_BAO_CAO,
s.MA_SHEET,
s.TEN_SHEET
FROM SCMS.BM_BAO_CAO bm
JOIN SCMS.BM_SHEET s ON s.BM_BAO_CAO_ID = bm.ID
WHERE bm.MA_BAO_CAO LIKE 'BCTHHDKD%'
AND s.TEN_SHEET = 'HDBLPHCK'  -- Check lại
AND bm.SU_DUNG = 1
ORDER BY bm.MA_BAO_CAO, s.SAP_XEP;</t>
        </is>
      </c>
      <c r="U1230" s="386" t="n"/>
      <c r="V1230" s="395" t="n"/>
      <c r="W1230" s="395" t="n"/>
      <c r="X1230" s="395" t="n"/>
      <c r="Y1230" s="13" t="n"/>
      <c r="Z1230" s="395" t="n"/>
      <c r="AA1230" s="395" t="n"/>
      <c r="AB1230" s="395" t="n"/>
      <c r="AC1230" s="395" t="n"/>
      <c r="AD1230" s="395" t="n"/>
      <c r="AE1230" s="395" t="n"/>
    </row>
    <row r="1231" ht="56" customHeight="1" s="380">
      <c r="A1231" s="73" t="n">
        <v>68</v>
      </c>
      <c r="B1231" s="386" t="n"/>
      <c r="C1231" s="386" t="inlineStr">
        <is>
          <t>Báo cáo theo Thông tư 121/2020/TT-BTC &gt;&gt; Hoạt động bảo lãnh phát hành chứng khoán</t>
        </is>
      </c>
      <c r="D1231" s="106" t="inlineStr">
        <is>
          <t>Tên sheet</t>
        </is>
      </c>
      <c r="E1231" s="106" t="inlineStr">
        <is>
          <t>Tên sheet</t>
        </is>
      </c>
      <c r="F1231" s="390" t="inlineStr">
        <is>
          <t>Data Explorer</t>
        </is>
      </c>
      <c r="G1231" s="390" t="inlineStr">
        <is>
          <t>Chiều</t>
        </is>
      </c>
      <c r="H1231" s="390" t="inlineStr">
        <is>
          <t>Dễ</t>
        </is>
      </c>
      <c r="I1231" s="390" t="inlineStr">
        <is>
          <t>Ngày, CTCK</t>
        </is>
      </c>
      <c r="J1231" s="401" t="inlineStr">
        <is>
          <t>SCMS</t>
        </is>
      </c>
      <c r="K1231" s="401" t="inlineStr">
        <is>
          <t>X</t>
        </is>
      </c>
      <c r="L1231" s="395" t="inlineStr">
        <is>
          <t>X</t>
        </is>
      </c>
      <c r="M1231" s="401" t="n"/>
      <c r="N1231" s="395" t="inlineStr">
        <is>
          <t>Done</t>
        </is>
      </c>
      <c r="O1231" s="401" t="n"/>
      <c r="P1231" s="395" t="n"/>
      <c r="S1231" s="395" t="n"/>
      <c r="U1231" s="386" t="n"/>
      <c r="V1231" s="395" t="n"/>
      <c r="W1231" s="395" t="n"/>
      <c r="X1231" s="395" t="n"/>
      <c r="Y1231" s="13" t="n"/>
      <c r="Z1231" s="395" t="n"/>
      <c r="AA1231" s="395" t="n"/>
      <c r="AB1231" s="395" t="n"/>
      <c r="AC1231" s="395" t="n"/>
      <c r="AD1231" s="395" t="n"/>
      <c r="AE1231" s="395" t="n"/>
    </row>
    <row r="1232" ht="56" customHeight="1" s="380">
      <c r="A1232" s="73" t="n">
        <v>68</v>
      </c>
      <c r="B1232" s="386" t="n"/>
      <c r="C1232" s="386" t="inlineStr">
        <is>
          <t>Báo cáo theo Thông tư 121/2020/TT-BTC &gt;&gt; Hoạt động bảo lãnh phát hành chứng khoán</t>
        </is>
      </c>
      <c r="D1232" s="106" t="inlineStr">
        <is>
          <t>Mã chỉ tiêu</t>
        </is>
      </c>
      <c r="E1232" s="107" t="inlineStr">
        <is>
          <t>Mã chỉ tiêu</t>
        </is>
      </c>
      <c r="F1232" s="390" t="inlineStr">
        <is>
          <t>Data Explorer</t>
        </is>
      </c>
      <c r="G1232" s="390" t="inlineStr">
        <is>
          <t>Chiều</t>
        </is>
      </c>
      <c r="H1232" s="390" t="inlineStr">
        <is>
          <t>Dễ</t>
        </is>
      </c>
      <c r="I1232" s="390" t="inlineStr">
        <is>
          <t>Ngày, CTCK</t>
        </is>
      </c>
      <c r="J1232" s="401" t="inlineStr">
        <is>
          <t>SCMS</t>
        </is>
      </c>
      <c r="K1232" s="401" t="inlineStr">
        <is>
          <t>X</t>
        </is>
      </c>
      <c r="L1232" s="395" t="inlineStr">
        <is>
          <t>X</t>
        </is>
      </c>
      <c r="M1232" s="401" t="n"/>
      <c r="N1232" s="395" t="inlineStr">
        <is>
          <t>Done</t>
        </is>
      </c>
      <c r="O1232" s="401" t="n"/>
      <c r="P1232" s="395" t="n"/>
      <c r="Q1232" s="401" t="inlineStr">
        <is>
          <t>SCMS.BM_BAO_CAO
SCMS.BM_SHEET
SCMS.BM_BAO_CAO_CT
SCMS.DM_CHI_TIEU</t>
        </is>
      </c>
      <c r="R1232" s="402" t="inlineStr">
        <is>
          <t>dct.ID,
dct.MA_CHI_TIEU,
dct.TEN_CHI_TIEU,
dct.SU_DUNG,
s.BM_BAO_CAO_ID,
s.MA_SHEET,
ct.BM_BAO_CAO_ID,
ct.DM_CHI_TIEU_ID,
ct.SU_DUNG,
bm.ID,
bm.MA_BAO_CAO,
bm.SU_DUNG</t>
        </is>
      </c>
      <c r="S1232" s="395" t="n"/>
      <c r="T1232" s="384" t="inlineStr">
        <is>
          <t>-- Mã chỉ tiêu / Tên chỉ tiêu
SELECT DISTINCT
    dct.MA_CHI_TIEU  AS ma_chi_tieu,
    dct.TEN_CHI_TIEU AS ten_chi_tieu
FROM SCMS.BM_BAO_CAO bm
JOIN SCMS.BM_SHEET s ON s.BM_BAO_CAO_ID = bm.ID
	AND s.TEN_SHEET = 'HDBLPHCK'
JOIN SCMS.BM_BAO_CAO_CT ct ON ct.BM_SHEET_ID = s.ID
	AND ct.SU_DUNG = 1
JOIN SCMS.DM_CHI_TIEU dct ON dct.ID = ct.DM_CHI_TIEU_ID
	AND dct.SU_DUNG = 1
WHERE bm.MA_BAO_CAO LIKE 'BCTHHDKD%'
	AND bm.SU_DUNG = 1
ORDER BY dct.MA_CHI_TIEU;</t>
        </is>
      </c>
      <c r="U1232" s="386" t="n"/>
      <c r="V1232" s="395" t="n"/>
      <c r="W1232" s="395" t="n"/>
      <c r="X1232" s="395" t="n"/>
      <c r="Y1232" s="13" t="n"/>
      <c r="Z1232" s="395" t="n"/>
      <c r="AA1232" s="395" t="n"/>
      <c r="AB1232" s="395" t="n"/>
      <c r="AC1232" s="395" t="n"/>
      <c r="AD1232" s="395" t="n"/>
      <c r="AE1232" s="395" t="n"/>
    </row>
    <row r="1233" ht="56" customHeight="1" s="380">
      <c r="A1233" s="73" t="n">
        <v>68</v>
      </c>
      <c r="B1233" s="386" t="n"/>
      <c r="C1233" s="386" t="inlineStr">
        <is>
          <t>Báo cáo theo Thông tư 121/2020/TT-BTC &gt;&gt; Hoạt động bảo lãnh phát hành chứng khoán</t>
        </is>
      </c>
      <c r="D1233" s="106" t="inlineStr">
        <is>
          <t>Tên chỉ tiêu</t>
        </is>
      </c>
      <c r="E1233" s="107" t="inlineStr">
        <is>
          <t>Tên chỉ tiêu</t>
        </is>
      </c>
      <c r="F1233" s="390" t="inlineStr">
        <is>
          <t>Data Explorer</t>
        </is>
      </c>
      <c r="G1233" s="390" t="inlineStr">
        <is>
          <t>Chiều</t>
        </is>
      </c>
      <c r="H1233" s="390" t="inlineStr">
        <is>
          <t>Dễ</t>
        </is>
      </c>
      <c r="I1233" s="390" t="inlineStr">
        <is>
          <t>Ngày, CTCK</t>
        </is>
      </c>
      <c r="J1233" s="401" t="inlineStr">
        <is>
          <t>SCMS</t>
        </is>
      </c>
      <c r="K1233" s="401" t="inlineStr">
        <is>
          <t>X</t>
        </is>
      </c>
      <c r="L1233" s="395" t="inlineStr">
        <is>
          <t>X</t>
        </is>
      </c>
      <c r="M1233" s="401" t="n"/>
      <c r="N1233" s="395" t="inlineStr">
        <is>
          <t>Done</t>
        </is>
      </c>
      <c r="O1233" s="401" t="n"/>
      <c r="P1233" s="395" t="n"/>
      <c r="S1233" s="395" t="n"/>
      <c r="U1233" s="386" t="n"/>
      <c r="V1233" s="395" t="n"/>
      <c r="W1233" s="395" t="n"/>
      <c r="X1233" s="395" t="n"/>
      <c r="Y1233" s="13" t="n"/>
      <c r="Z1233" s="395" t="n"/>
      <c r="AA1233" s="395" t="n"/>
      <c r="AB1233" s="395" t="n"/>
      <c r="AC1233" s="395" t="n"/>
      <c r="AD1233" s="395" t="n"/>
      <c r="AE1233" s="395" t="n"/>
    </row>
    <row r="1234" ht="56" customHeight="1" s="380">
      <c r="A1234" s="73" t="n">
        <v>68</v>
      </c>
      <c r="B1234" s="386" t="n"/>
      <c r="C1234" s="386" t="inlineStr">
        <is>
          <t>Báo cáo theo Thông tư 121/2020/TT-BTC &gt;&gt; Hoạt động bảo lãnh phát hành chứng khoán</t>
        </is>
      </c>
      <c r="D1234" s="386" t="inlineStr">
        <is>
          <t>Tên công ty chứng khoán</t>
        </is>
      </c>
      <c r="E1234" s="386" t="inlineStr">
        <is>
          <t>Tên công ty chứng khoán</t>
        </is>
      </c>
      <c r="F1234" s="386" t="inlineStr">
        <is>
          <t>Data Explorer</t>
        </is>
      </c>
      <c r="G1234" s="386" t="inlineStr">
        <is>
          <t>Chỉ tiêu cơ sở</t>
        </is>
      </c>
      <c r="H1234" s="386" t="inlineStr">
        <is>
          <t>Dễ</t>
        </is>
      </c>
      <c r="I1234" s="386" t="inlineStr">
        <is>
          <t>Ngày, CTCK</t>
        </is>
      </c>
      <c r="J1234" s="395" t="inlineStr">
        <is>
          <t>SCMS</t>
        </is>
      </c>
      <c r="K1234" s="395" t="n"/>
      <c r="L1234" s="395" t="inlineStr">
        <is>
          <t>X</t>
        </is>
      </c>
      <c r="M1234" s="395" t="n"/>
      <c r="N1234" s="395" t="inlineStr">
        <is>
          <t>Done</t>
        </is>
      </c>
      <c r="O1234" s="401" t="n"/>
      <c r="P1234" s="395" t="n"/>
      <c r="Q1234" s="427" t="inlineStr">
        <is>
          <t>SCMS.BC_THANH_VIEN
SCMS.BM_BAO_CAO
SCMS.BC_BAO_CAO_GT
SCMS.BM_BAO_CAO_COT
SCMS.CTCK_THONG_TIN</t>
        </is>
      </c>
      <c r="R1234" s="427" t="inlineStr">
        <is>
          <t>c.CTCK_THONG_TIN_ID,
c.TEN_VIET_TAT,
c.SAN_NIEM_YET,
c.MA_CHUNG_KHOAN,
c.GIAY_PHEP_KINH_DOANH,
c.NGAY_CAP_GPKD,
c.VON_DIEU_LE,
btv.ID,
btv.CTCK_THONG_TIN_ID,
btv.BM_BAO_CAO_ID,
btv.NGAY_SO_LIEU,
btv.TRANG_THAI,
bm.ID,
bm.MA_BAO_CAO,
gt.BC_THANH_VIEN_ID,
bsc.TEN_COT,
bsc.MA_COT,
bsc.BM_BAO_CAO_ID,
gt.BM_BAO_CAO_ID,
gt.BM_SHEET_ID,
gt.GIA_TRI,</t>
        </is>
      </c>
      <c r="S1234" s="395" t="n"/>
      <c r="T1234" s="425" t="inlineStr">
        <is>
          <t>-- CHỈ TIÊU
SELECT
    ROW_NUMBER() OVER (ORDER BY ngay_bao_cao DESC, ten_ctck) AS stt,
    ten_ctck, san_giao_dich, ma_ck, so_giay_phep, ngay_cap_giay_phep,
    "Có nghiệp vụ bảo lãnh phát hành",
    "Vốn chủ sở hữu",
    "Tài sản ngắn hạn",
    "Nợ ngắn hạn",
    "Tên tổ chức phát hành",
    "Cổ phiếu",
    "Trái phiếu",
    "Hình thức bảo lãnh",
    "Tổng giá trị bảo lãnh",
    "Hiệu số giữa tài sản ngắn hạn và nợ ngắn hạn"
FROM (
    SELECT
        c.TEN_VIET_TAT AS ten_ctck,
        c.SAN_NIEM_YET AS san_giao_dich,
        c.MA_CHUNG_KHOAN AS ma_ck,
        c.GIAY_PHEP_KINH_DOANH AS so_giay_phep,
        c.NGAY_CAP_GPKD AS ngay_cap_giay_phep,
        btv.NGAY_SO_LIEU AS ngay_bao_cao,
        MAX(CASE WHEN g.TEN_COT LIKE '%Có nghiệp vụ bảo lãnh phát hành%' THEN g.GIA_TRI END) AS "Có nghiệp vụ bảo lãnh phát hành",
        MAX(CASE WHEN g.TEN_COT LIKE '%Vốn chủ sở hữu%' THEN g.GIA_TRI END) AS "Vốn chủ sở hữu",
        MAX(CASE WHEN g.TEN_COT LIKE '%Tài sản ngắn hạn%' THEN g.GIA_TRI END) AS "Tài sản ngắn hạn",
        MAX(CASE WHEN g.TEN_COT LIKE '%Nợ ngắn hạn%' THEN g.GIA_TRI END) AS "Nợ ngắn hạn",
        MAX(CASE WHEN g.TEN_COT LIKE '%Tên tổ chức phát hành%' THEN g.GIA_TRI END) AS "Tên tổ chức phát hành",
        MAX(CASE WHEN g.TEN_COT LIKE '%Cổ phiếu%' THEN g.GIA_TRI END) AS "Cổ phiếu",
        MAX(CASE WHEN g.TEN_COT LIKE '%Trái phiếu%' THEN g.GIA_TRI END) AS "Trái phiếu",
        MAX(CASE WHEN g.TEN_COT LIKE '%Hình thức bảo lãnh%' THEN g.GIA_TRI END) AS "Hình thức bảo lãnh",
        MAX(CASE WHEN g.TEN_COT LIKE '%Tổng giá trị bảo lãnh%' THEN g.GIA_TRI END) AS "Tổng giá trị bảo lãnh",
        MAX(CASE WHEN g.TEN_COT LIKE '%Hiệu số giữa tài sản ngắn hạn và nợ ngắn hạn%' THEN g.GIA_TRI END) AS "Hiệu số giữa tài sản ngắn hạn và nợ ngắn hạn"
    FROM SCMS.BC_THANH_VIEN btv
    JOIN SCMS.BM_BAO_CAO bm ON bm.ID = btv.BM_BAO_CAO_ID
    JOIN (
	    SELECT
	        gt.BC_THANH_VIEN_ID,
	        bsc.TEN_COT,
	        CAST(gt.GIA_TRI AS VARCHAR2(4000)) AS GIA_TRI
	    FROM SCMS.BC_BAO_CAO_GT gt
	    LEFT JOIN SCMS.BM_BAO_CAO_COT bsc ON bsc.BM_BAO_CAO_ID = gt.BM_BAO_CAO_ID
	    WHERE 1 = 1
	    	AND bsc.BM_SHEET_ID = 7420
--	    	AND bsc.TEN_COT = gt.TEN_COT
    ) g ON g.BC_THANH_VIEN_ID = btv.ID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
ORDER BY ngay_bao_cao DESC, ten_ctck;</t>
        </is>
      </c>
      <c r="U1234" s="386" t="n"/>
      <c r="V1234" s="395" t="n"/>
      <c r="W1234" s="395" t="n"/>
      <c r="X1234" s="395" t="n"/>
      <c r="Y1234" s="13" t="n"/>
      <c r="Z1234" s="395" t="n"/>
      <c r="AA1234" s="395" t="n"/>
      <c r="AB1234" s="395" t="n"/>
      <c r="AC1234" s="395" t="n"/>
      <c r="AD1234" s="395" t="n"/>
      <c r="AE1234" s="395" t="n"/>
    </row>
    <row r="1235" ht="56" customHeight="1" s="380">
      <c r="A1235" s="73" t="n">
        <v>68</v>
      </c>
      <c r="B1235" s="386" t="n"/>
      <c r="C1235" s="386" t="inlineStr">
        <is>
          <t>Báo cáo theo Thông tư 121/2020/TT-BTC &gt;&gt; Hoạt động bảo lãnh phát hành chứng khoán</t>
        </is>
      </c>
      <c r="D1235" s="386" t="inlineStr">
        <is>
          <t>Sàn giao dịch</t>
        </is>
      </c>
      <c r="E1235" s="386" t="inlineStr">
        <is>
          <t>Sàn giao dịch</t>
        </is>
      </c>
      <c r="F1235" s="386" t="inlineStr">
        <is>
          <t>Data Explorer</t>
        </is>
      </c>
      <c r="G1235" s="386" t="inlineStr">
        <is>
          <t>Chỉ tiêu cơ sở</t>
        </is>
      </c>
      <c r="H1235" s="386" t="inlineStr">
        <is>
          <t>Dễ</t>
        </is>
      </c>
      <c r="I1235" s="386" t="inlineStr">
        <is>
          <t>Ngày, CTCK</t>
        </is>
      </c>
      <c r="J1235" s="395" t="inlineStr">
        <is>
          <t>SCMS</t>
        </is>
      </c>
      <c r="K1235" s="395" t="n"/>
      <c r="L1235" s="395" t="inlineStr">
        <is>
          <t>X</t>
        </is>
      </c>
      <c r="M1235" s="395" t="n"/>
      <c r="N1235" s="395" t="inlineStr">
        <is>
          <t>Done</t>
        </is>
      </c>
      <c r="O1235" s="401" t="n"/>
      <c r="P1235" s="395" t="n"/>
      <c r="S1235" s="395" t="n"/>
      <c r="U1235" s="386" t="n"/>
      <c r="V1235" s="395" t="n"/>
      <c r="W1235" s="395" t="n"/>
      <c r="X1235" s="395" t="n"/>
      <c r="Y1235" s="13" t="n"/>
      <c r="Z1235" s="395" t="n"/>
      <c r="AA1235" s="395" t="n"/>
      <c r="AB1235" s="395" t="n"/>
      <c r="AC1235" s="395" t="n"/>
      <c r="AD1235" s="395" t="n"/>
      <c r="AE1235" s="395" t="n"/>
    </row>
    <row r="1236" ht="56" customHeight="1" s="380">
      <c r="A1236" s="73" t="n">
        <v>68</v>
      </c>
      <c r="B1236" s="386" t="n"/>
      <c r="C1236" s="386" t="inlineStr">
        <is>
          <t>Báo cáo theo Thông tư 121/2020/TT-BTC &gt;&gt; Hoạt động bảo lãnh phát hành chứng khoán</t>
        </is>
      </c>
      <c r="D1236" s="386" t="inlineStr">
        <is>
          <t>Mã chứng khoán</t>
        </is>
      </c>
      <c r="E1236" s="386" t="inlineStr">
        <is>
          <t>Mã chứng khoán</t>
        </is>
      </c>
      <c r="F1236" s="386" t="inlineStr">
        <is>
          <t>Data Explorer</t>
        </is>
      </c>
      <c r="G1236" s="386" t="inlineStr">
        <is>
          <t>Chỉ tiêu cơ sở</t>
        </is>
      </c>
      <c r="H1236" s="386" t="inlineStr">
        <is>
          <t>Dễ</t>
        </is>
      </c>
      <c r="I1236" s="386" t="inlineStr">
        <is>
          <t>Ngày, CTCK</t>
        </is>
      </c>
      <c r="J1236" s="395" t="inlineStr">
        <is>
          <t>SCMS</t>
        </is>
      </c>
      <c r="K1236" s="395" t="n"/>
      <c r="L1236" s="395" t="inlineStr">
        <is>
          <t>X</t>
        </is>
      </c>
      <c r="M1236" s="395" t="n"/>
      <c r="N1236" s="395" t="inlineStr">
        <is>
          <t>Done</t>
        </is>
      </c>
      <c r="O1236" s="401" t="n"/>
      <c r="P1236" s="395" t="n"/>
      <c r="S1236" s="395" t="n"/>
      <c r="U1236" s="386" t="n"/>
      <c r="V1236" s="395" t="n"/>
      <c r="W1236" s="395" t="n"/>
      <c r="X1236" s="395" t="n"/>
      <c r="Y1236" s="13" t="n"/>
      <c r="Z1236" s="395" t="n"/>
      <c r="AA1236" s="395" t="n"/>
      <c r="AB1236" s="395" t="n"/>
      <c r="AC1236" s="395" t="n"/>
      <c r="AD1236" s="395" t="n"/>
      <c r="AE1236" s="395" t="n"/>
    </row>
    <row r="1237" ht="56" customHeight="1" s="380">
      <c r="A1237" s="73" t="n">
        <v>68</v>
      </c>
      <c r="B1237" s="386" t="n"/>
      <c r="C1237" s="386" t="inlineStr">
        <is>
          <t>Báo cáo theo Thông tư 121/2020/TT-BTC &gt;&gt; Hoạt động bảo lãnh phát hành chứng khoán</t>
        </is>
      </c>
      <c r="D1237" s="386" t="inlineStr">
        <is>
          <t>Giấy phép Hoạt động &gt;&gt; Số</t>
        </is>
      </c>
      <c r="E1237" s="386" t="inlineStr">
        <is>
          <t>Giấy phép Hoạt động &gt;&gt; Số</t>
        </is>
      </c>
      <c r="F1237" s="386" t="inlineStr">
        <is>
          <t>Data Explorer</t>
        </is>
      </c>
      <c r="G1237" s="386" t="inlineStr">
        <is>
          <t>Chỉ tiêu cơ sở</t>
        </is>
      </c>
      <c r="H1237" s="386" t="inlineStr">
        <is>
          <t>Dễ</t>
        </is>
      </c>
      <c r="I1237" s="386" t="inlineStr">
        <is>
          <t>Ngày, CTCK</t>
        </is>
      </c>
      <c r="J1237" s="395" t="inlineStr">
        <is>
          <t>SCMS</t>
        </is>
      </c>
      <c r="K1237" s="395" t="n"/>
      <c r="L1237" s="395" t="inlineStr">
        <is>
          <t>X</t>
        </is>
      </c>
      <c r="M1237" s="395" t="n"/>
      <c r="N1237" s="395" t="inlineStr">
        <is>
          <t>Done</t>
        </is>
      </c>
      <c r="O1237" s="401" t="n"/>
      <c r="P1237" s="395" t="n"/>
      <c r="S1237" s="395" t="n"/>
      <c r="U1237" s="386" t="n"/>
      <c r="V1237" s="395" t="n"/>
      <c r="W1237" s="395" t="n"/>
      <c r="X1237" s="395" t="n"/>
      <c r="Y1237" s="38" t="n"/>
      <c r="Z1237" s="395" t="n"/>
      <c r="AA1237" s="395" t="n"/>
      <c r="AB1237" s="395" t="n"/>
      <c r="AC1237" s="395" t="n"/>
      <c r="AD1237" s="395" t="n"/>
      <c r="AE1237" s="395" t="n"/>
    </row>
    <row r="1238" ht="56" customHeight="1" s="380">
      <c r="A1238" s="73" t="n">
        <v>68</v>
      </c>
      <c r="B1238" s="386" t="n"/>
      <c r="C1238" s="386" t="inlineStr">
        <is>
          <t>Báo cáo theo Thông tư 121/2020/TT-BTC &gt;&gt; Hoạt động bảo lãnh phát hành chứng khoán</t>
        </is>
      </c>
      <c r="D1238" s="386" t="inlineStr">
        <is>
          <t>Giấy phép Hoạt động &gt;&gt; Ngày cấp</t>
        </is>
      </c>
      <c r="E1238" s="386" t="inlineStr">
        <is>
          <t>Giấy phép Hoạt động &gt;&gt; Ngày cấp</t>
        </is>
      </c>
      <c r="F1238" s="386" t="inlineStr">
        <is>
          <t>Data Explorer</t>
        </is>
      </c>
      <c r="G1238" s="386" t="inlineStr">
        <is>
          <t>Chỉ tiêu cơ sở</t>
        </is>
      </c>
      <c r="H1238" s="386" t="inlineStr">
        <is>
          <t>Dễ</t>
        </is>
      </c>
      <c r="I1238" s="386" t="inlineStr">
        <is>
          <t>Ngày, CTCK</t>
        </is>
      </c>
      <c r="J1238" s="395" t="inlineStr">
        <is>
          <t>SCMS</t>
        </is>
      </c>
      <c r="K1238" s="395" t="n"/>
      <c r="L1238" s="395" t="inlineStr">
        <is>
          <t>X</t>
        </is>
      </c>
      <c r="M1238" s="395" t="n"/>
      <c r="N1238" s="395" t="inlineStr">
        <is>
          <t>Done</t>
        </is>
      </c>
      <c r="O1238" s="401" t="n"/>
      <c r="P1238" s="395" t="n"/>
      <c r="S1238" s="395" t="n"/>
      <c r="U1238" s="386" t="n"/>
      <c r="V1238" s="395" t="n"/>
      <c r="W1238" s="395" t="n"/>
      <c r="X1238" s="395" t="n"/>
      <c r="Y1238" s="13" t="n"/>
      <c r="Z1238" s="395" t="n"/>
      <c r="AA1238" s="395" t="n"/>
      <c r="AB1238" s="395" t="n"/>
      <c r="AC1238" s="395" t="n"/>
      <c r="AD1238" s="395" t="n"/>
      <c r="AE1238" s="395" t="n"/>
    </row>
    <row r="1239" ht="56" customHeight="1" s="380">
      <c r="A1239" s="73" t="n">
        <v>68</v>
      </c>
      <c r="B1239" s="386" t="n"/>
      <c r="C1239" s="386" t="inlineStr">
        <is>
          <t>Báo cáo theo Thông tư 121/2020/TT-BTC &gt;&gt; Hoạt động bảo lãnh phát hành chứng khoán</t>
        </is>
      </c>
      <c r="D1239" s="386" t="inlineStr">
        <is>
          <t>Có nghiệp vụ bảo lãnh phát hành</t>
        </is>
      </c>
      <c r="E1239" s="386" t="inlineStr">
        <is>
          <t>Có nghiệp vụ bảo lãnh phát hành</t>
        </is>
      </c>
      <c r="F1239" s="386" t="inlineStr">
        <is>
          <t>Data Explorer</t>
        </is>
      </c>
      <c r="G1239" s="386" t="inlineStr">
        <is>
          <t>Chỉ tiêu cơ sở</t>
        </is>
      </c>
      <c r="H1239" s="386" t="inlineStr">
        <is>
          <t>TB</t>
        </is>
      </c>
      <c r="I1239" s="386" t="inlineStr">
        <is>
          <t>Ngày, CTCK</t>
        </is>
      </c>
      <c r="J1239" s="395" t="inlineStr">
        <is>
          <t>SCMS</t>
        </is>
      </c>
      <c r="K1239" s="395" t="n"/>
      <c r="L1239" s="395" t="inlineStr">
        <is>
          <t>X</t>
        </is>
      </c>
      <c r="M1239" s="395" t="n"/>
      <c r="N1239" s="395" t="inlineStr">
        <is>
          <t>Done</t>
        </is>
      </c>
      <c r="O1239" s="401" t="n"/>
      <c r="P1239" s="395" t="n"/>
      <c r="S1239" s="395" t="n"/>
      <c r="U1239" s="386" t="n"/>
      <c r="V1239" s="395" t="n"/>
      <c r="W1239" s="395" t="n"/>
      <c r="X1239" s="395" t="n"/>
      <c r="Y1239" s="13" t="n"/>
      <c r="Z1239" s="395" t="n"/>
      <c r="AA1239" s="395" t="n"/>
      <c r="AB1239" s="395" t="n"/>
      <c r="AC1239" s="395" t="n"/>
      <c r="AD1239" s="395" t="n"/>
      <c r="AE1239" s="395" t="n"/>
    </row>
    <row r="1240" ht="56" customHeight="1" s="380">
      <c r="A1240" s="73" t="n">
        <v>68</v>
      </c>
      <c r="B1240" s="386" t="n"/>
      <c r="C1240" s="386" t="inlineStr">
        <is>
          <t>Báo cáo theo Thông tư 121/2020/TT-BTC &gt;&gt; Hoạt động bảo lãnh phát hành chứng khoán</t>
        </is>
      </c>
      <c r="D1240" s="386" t="inlineStr">
        <is>
          <t>Vốn chủ sở hữu (triệu đồng)</t>
        </is>
      </c>
      <c r="E1240" s="386" t="inlineStr">
        <is>
          <t>Vốn chủ sở hữu (triệu đồng)</t>
        </is>
      </c>
      <c r="F1240" s="386" t="inlineStr">
        <is>
          <t>Data Explorer</t>
        </is>
      </c>
      <c r="G1240" s="386" t="inlineStr">
        <is>
          <t>Chỉ tiêu cơ sở</t>
        </is>
      </c>
      <c r="H1240" s="386" t="inlineStr">
        <is>
          <t>TB</t>
        </is>
      </c>
      <c r="I1240" s="386" t="inlineStr">
        <is>
          <t>Ngày, CTCK</t>
        </is>
      </c>
      <c r="J1240" s="395" t="inlineStr">
        <is>
          <t>SCMS</t>
        </is>
      </c>
      <c r="K1240" s="395" t="n"/>
      <c r="L1240" s="395" t="inlineStr">
        <is>
          <t>X</t>
        </is>
      </c>
      <c r="M1240" s="395" t="n"/>
      <c r="N1240" s="395" t="inlineStr">
        <is>
          <t>Done</t>
        </is>
      </c>
      <c r="O1240" s="401" t="n"/>
      <c r="P1240" s="395" t="n"/>
      <c r="S1240" s="395" t="n"/>
      <c r="U1240" s="386" t="n"/>
      <c r="V1240" s="395" t="n"/>
      <c r="W1240" s="395" t="n"/>
      <c r="X1240" s="395" t="n"/>
      <c r="Y1240" s="13" t="n"/>
      <c r="Z1240" s="395" t="n"/>
      <c r="AA1240" s="395" t="n"/>
      <c r="AB1240" s="395" t="n"/>
      <c r="AC1240" s="395" t="n"/>
      <c r="AD1240" s="395" t="n"/>
      <c r="AE1240" s="395" t="n"/>
    </row>
    <row r="1241" ht="56" customHeight="1" s="380">
      <c r="A1241" s="73" t="n">
        <v>68</v>
      </c>
      <c r="B1241" s="386" t="n"/>
      <c r="C1241" s="386" t="inlineStr">
        <is>
          <t>Báo cáo theo Thông tư 121/2020/TT-BTC &gt;&gt; Hoạt động bảo lãnh phát hành chứng khoán</t>
        </is>
      </c>
      <c r="D1241" s="386" t="inlineStr">
        <is>
          <t>Tài sản ngắn hạn (triệu đồng)</t>
        </is>
      </c>
      <c r="E1241" s="386" t="inlineStr">
        <is>
          <t>Tài sản ngắn hạn (triệu đồng)</t>
        </is>
      </c>
      <c r="F1241" s="386" t="inlineStr">
        <is>
          <t>Data Explorer</t>
        </is>
      </c>
      <c r="G1241" s="386" t="inlineStr">
        <is>
          <t>Chỉ tiêu cơ sở</t>
        </is>
      </c>
      <c r="H1241" s="386" t="inlineStr">
        <is>
          <t>TB</t>
        </is>
      </c>
      <c r="I1241" s="386" t="inlineStr">
        <is>
          <t>Ngày, CTCK</t>
        </is>
      </c>
      <c r="J1241" s="395" t="inlineStr">
        <is>
          <t>SCMS</t>
        </is>
      </c>
      <c r="K1241" s="395" t="n"/>
      <c r="L1241" s="395" t="inlineStr">
        <is>
          <t>X</t>
        </is>
      </c>
      <c r="M1241" s="395" t="n"/>
      <c r="N1241" s="395" t="inlineStr">
        <is>
          <t>Done</t>
        </is>
      </c>
      <c r="O1241" s="401" t="n"/>
      <c r="P1241" s="395" t="n"/>
      <c r="S1241" s="395" t="n"/>
      <c r="U1241" s="386" t="n"/>
      <c r="V1241" s="395" t="n"/>
      <c r="W1241" s="395" t="n"/>
      <c r="X1241" s="395" t="n"/>
      <c r="Y1241" s="13" t="n"/>
      <c r="Z1241" s="395" t="n"/>
      <c r="AA1241" s="395" t="n"/>
      <c r="AB1241" s="395" t="n"/>
      <c r="AC1241" s="395" t="n"/>
      <c r="AD1241" s="395" t="n"/>
      <c r="AE1241" s="395" t="n"/>
    </row>
    <row r="1242" ht="56" customHeight="1" s="380">
      <c r="A1242" s="73" t="n">
        <v>68</v>
      </c>
      <c r="B1242" s="386" t="n"/>
      <c r="C1242" s="386" t="inlineStr">
        <is>
          <t>Báo cáo theo Thông tư 121/2020/TT-BTC &gt;&gt; Hoạt động bảo lãnh phát hành chứng khoán</t>
        </is>
      </c>
      <c r="D1242" s="386" t="inlineStr">
        <is>
          <t>Nợ ngắn hạn (triệu đồng)</t>
        </is>
      </c>
      <c r="E1242" s="386" t="inlineStr">
        <is>
          <t>Nợ ngắn hạn (triệu đồng)</t>
        </is>
      </c>
      <c r="F1242" s="386" t="inlineStr">
        <is>
          <t>Data Explorer</t>
        </is>
      </c>
      <c r="G1242" s="386" t="inlineStr">
        <is>
          <t>Chỉ tiêu cơ sở</t>
        </is>
      </c>
      <c r="H1242" s="386" t="inlineStr">
        <is>
          <t>TB</t>
        </is>
      </c>
      <c r="I1242" s="386" t="inlineStr">
        <is>
          <t>Ngày, CTCK</t>
        </is>
      </c>
      <c r="J1242" s="395" t="inlineStr">
        <is>
          <t>SCMS</t>
        </is>
      </c>
      <c r="K1242" s="395" t="n"/>
      <c r="L1242" s="395" t="inlineStr">
        <is>
          <t>X</t>
        </is>
      </c>
      <c r="M1242" s="395" t="n"/>
      <c r="N1242" s="395" t="inlineStr">
        <is>
          <t>Done</t>
        </is>
      </c>
      <c r="O1242" s="401" t="n"/>
      <c r="P1242" s="395" t="n"/>
      <c r="S1242" s="395" t="n"/>
      <c r="U1242" s="386" t="n"/>
      <c r="V1242" s="395" t="n"/>
      <c r="W1242" s="395" t="n"/>
      <c r="X1242" s="395" t="n"/>
      <c r="Y1242" s="13" t="n"/>
      <c r="Z1242" s="395" t="n"/>
      <c r="AA1242" s="395" t="n"/>
      <c r="AB1242" s="395" t="n"/>
      <c r="AC1242" s="395" t="n"/>
      <c r="AD1242" s="395" t="n"/>
      <c r="AE1242" s="395" t="n"/>
    </row>
    <row r="1243" ht="56" customHeight="1" s="380">
      <c r="A1243" s="73" t="n">
        <v>68</v>
      </c>
      <c r="B1243" s="386" t="n"/>
      <c r="C1243" s="386" t="inlineStr">
        <is>
          <t>Báo cáo theo Thông tư 121/2020/TT-BTC &gt;&gt; Hoạt động bảo lãnh phát hành chứng khoán</t>
        </is>
      </c>
      <c r="D1243" s="386" t="inlineStr">
        <is>
          <t>Tên tổ chức phát hành</t>
        </is>
      </c>
      <c r="E1243" s="386" t="inlineStr">
        <is>
          <t>Tên tổ chức phát hành</t>
        </is>
      </c>
      <c r="F1243" s="386" t="inlineStr">
        <is>
          <t>Data Explorer</t>
        </is>
      </c>
      <c r="G1243" s="386" t="inlineStr">
        <is>
          <t>Chỉ tiêu cơ sở</t>
        </is>
      </c>
      <c r="H1243" s="386" t="inlineStr">
        <is>
          <t>Dễ</t>
        </is>
      </c>
      <c r="I1243" s="386" t="inlineStr">
        <is>
          <t>Ngày, CTCK</t>
        </is>
      </c>
      <c r="J1243" s="395" t="inlineStr">
        <is>
          <t>SCMS</t>
        </is>
      </c>
      <c r="K1243" s="395" t="n"/>
      <c r="L1243" s="395" t="inlineStr">
        <is>
          <t>X</t>
        </is>
      </c>
      <c r="M1243" s="395" t="n"/>
      <c r="N1243" s="395" t="inlineStr">
        <is>
          <t>Done</t>
        </is>
      </c>
      <c r="O1243" s="401" t="n"/>
      <c r="P1243" s="395" t="n"/>
      <c r="S1243" s="395" t="n"/>
      <c r="U1243" s="386" t="n"/>
      <c r="V1243" s="395" t="n"/>
      <c r="W1243" s="395" t="n"/>
      <c r="X1243" s="395" t="n"/>
      <c r="Y1243" s="38" t="n"/>
      <c r="Z1243" s="395" t="n"/>
      <c r="AA1243" s="395" t="n"/>
      <c r="AB1243" s="395" t="n"/>
      <c r="AC1243" s="395" t="n"/>
      <c r="AD1243" s="395" t="n"/>
      <c r="AE1243" s="395" t="n"/>
    </row>
    <row r="1244" ht="56" customHeight="1" s="380">
      <c r="A1244" s="73" t="n">
        <v>68</v>
      </c>
      <c r="B1244" s="386" t="n"/>
      <c r="C1244" s="386" t="inlineStr">
        <is>
          <t>Báo cáo theo Thông tư 121/2020/TT-BTC &gt;&gt; Hoạt động bảo lãnh phát hành chứng khoán</t>
        </is>
      </c>
      <c r="D1244" s="386" t="inlineStr">
        <is>
          <t>Loại chứng khoán bảo lãnh &gt;&gt; Cổ phiếu</t>
        </is>
      </c>
      <c r="E1244" s="386" t="inlineStr">
        <is>
          <t>Loại chứng khoán bảo lãnh &gt;&gt; Cổ phiếu</t>
        </is>
      </c>
      <c r="F1244" s="386" t="inlineStr">
        <is>
          <t>Data Explorer</t>
        </is>
      </c>
      <c r="G1244" s="386" t="inlineStr">
        <is>
          <t>Chỉ tiêu cơ sở</t>
        </is>
      </c>
      <c r="H1244" s="386" t="inlineStr">
        <is>
          <t>Dễ</t>
        </is>
      </c>
      <c r="I1244" s="386" t="inlineStr">
        <is>
          <t>Ngày, CTCK</t>
        </is>
      </c>
      <c r="J1244" s="395" t="inlineStr">
        <is>
          <t>SCMS</t>
        </is>
      </c>
      <c r="K1244" s="395" t="n"/>
      <c r="L1244" s="395" t="inlineStr">
        <is>
          <t>X</t>
        </is>
      </c>
      <c r="M1244" s="395" t="n"/>
      <c r="N1244" s="395" t="inlineStr">
        <is>
          <t>Done</t>
        </is>
      </c>
      <c r="O1244" s="401" t="n"/>
      <c r="P1244" s="395" t="n"/>
      <c r="S1244" s="395" t="n"/>
      <c r="U1244" s="386" t="n"/>
      <c r="V1244" s="395" t="n"/>
      <c r="W1244" s="395" t="n"/>
      <c r="X1244" s="395" t="n"/>
      <c r="Y1244" s="13" t="n"/>
      <c r="Z1244" s="395" t="n"/>
      <c r="AA1244" s="395" t="n"/>
      <c r="AB1244" s="395" t="n"/>
      <c r="AC1244" s="395" t="n"/>
      <c r="AD1244" s="395" t="n"/>
      <c r="AE1244" s="395" t="n"/>
    </row>
    <row r="1245" ht="56" customHeight="1" s="380">
      <c r="A1245" s="73" t="n">
        <v>68</v>
      </c>
      <c r="B1245" s="386" t="n"/>
      <c r="C1245" s="386" t="inlineStr">
        <is>
          <t>Báo cáo theo Thông tư 121/2020/TT-BTC &gt;&gt; Hoạt động bảo lãnh phát hành chứng khoán</t>
        </is>
      </c>
      <c r="D1245" s="386" t="inlineStr">
        <is>
          <t>Loại chứng khoán bảo lãnh &gt;&gt; Trái phiếu</t>
        </is>
      </c>
      <c r="E1245" s="386" t="inlineStr">
        <is>
          <t>Loại chứng khoán bảo lãnh &gt;&gt; Trái phiếu</t>
        </is>
      </c>
      <c r="F1245" s="386" t="inlineStr">
        <is>
          <t>Data Explorer</t>
        </is>
      </c>
      <c r="G1245" s="386" t="inlineStr">
        <is>
          <t>Chỉ tiêu cơ sở</t>
        </is>
      </c>
      <c r="H1245" s="386" t="inlineStr">
        <is>
          <t>Dễ</t>
        </is>
      </c>
      <c r="I1245" s="386" t="inlineStr">
        <is>
          <t>Ngày, CTCK</t>
        </is>
      </c>
      <c r="J1245" s="395" t="inlineStr">
        <is>
          <t>SCMS</t>
        </is>
      </c>
      <c r="K1245" s="395" t="n"/>
      <c r="L1245" s="395" t="inlineStr">
        <is>
          <t>X</t>
        </is>
      </c>
      <c r="M1245" s="395" t="n"/>
      <c r="N1245" s="395" t="inlineStr">
        <is>
          <t>Done</t>
        </is>
      </c>
      <c r="O1245" s="401" t="n"/>
      <c r="P1245" s="395" t="n"/>
      <c r="S1245" s="395" t="n"/>
      <c r="U1245" s="386" t="n"/>
      <c r="V1245" s="395" t="n"/>
      <c r="W1245" s="395" t="n"/>
      <c r="X1245" s="395" t="n"/>
      <c r="Y1245" s="13" t="n"/>
      <c r="Z1245" s="395" t="n"/>
      <c r="AA1245" s="395" t="n"/>
      <c r="AB1245" s="395" t="n"/>
      <c r="AC1245" s="395" t="n"/>
      <c r="AD1245" s="395" t="n"/>
      <c r="AE1245" s="395" t="n"/>
    </row>
    <row r="1246" ht="56" customHeight="1" s="380">
      <c r="A1246" s="73" t="n">
        <v>68</v>
      </c>
      <c r="B1246" s="386" t="n"/>
      <c r="C1246" s="386" t="inlineStr">
        <is>
          <t>Báo cáo theo Thông tư 121/2020/TT-BTC &gt;&gt; Hoạt động bảo lãnh phát hành chứng khoán</t>
        </is>
      </c>
      <c r="D1246" s="386" t="inlineStr">
        <is>
          <t>Hình thức bảo lãnh</t>
        </is>
      </c>
      <c r="E1246" s="386" t="inlineStr">
        <is>
          <t>Hình thức bảo lãnh</t>
        </is>
      </c>
      <c r="F1246" s="386" t="inlineStr">
        <is>
          <t>Data Explorer</t>
        </is>
      </c>
      <c r="G1246" s="386" t="inlineStr">
        <is>
          <t>Chỉ tiêu cơ sở</t>
        </is>
      </c>
      <c r="H1246" s="386" t="inlineStr">
        <is>
          <t>Dễ</t>
        </is>
      </c>
      <c r="I1246" s="386" t="inlineStr">
        <is>
          <t>Ngày, CTCK</t>
        </is>
      </c>
      <c r="J1246" s="395" t="inlineStr">
        <is>
          <t>SCMS</t>
        </is>
      </c>
      <c r="K1246" s="395" t="n"/>
      <c r="L1246" s="395" t="inlineStr">
        <is>
          <t>X</t>
        </is>
      </c>
      <c r="M1246" s="395" t="n"/>
      <c r="N1246" s="395" t="inlineStr">
        <is>
          <t>Done</t>
        </is>
      </c>
      <c r="O1246" s="401" t="n"/>
      <c r="P1246" s="395" t="n"/>
      <c r="S1246" s="395" t="n"/>
      <c r="U1246" s="386" t="n"/>
      <c r="V1246" s="395" t="n"/>
      <c r="W1246" s="395" t="n"/>
      <c r="X1246" s="395" t="n"/>
      <c r="Y1246" s="13" t="n"/>
      <c r="Z1246" s="395" t="n"/>
      <c r="AA1246" s="395" t="n"/>
      <c r="AB1246" s="395" t="n"/>
      <c r="AC1246" s="395" t="n"/>
      <c r="AD1246" s="395" t="n"/>
      <c r="AE1246" s="395" t="n"/>
    </row>
    <row r="1247" ht="56" customHeight="1" s="380">
      <c r="A1247" s="73" t="n">
        <v>68</v>
      </c>
      <c r="B1247" s="386" t="n"/>
      <c r="C1247" s="386" t="inlineStr">
        <is>
          <t>Báo cáo theo Thông tư 121/2020/TT-BTC &gt;&gt; Hoạt động bảo lãnh phát hành chứng khoán</t>
        </is>
      </c>
      <c r="D1247" s="386" t="inlineStr">
        <is>
          <t>Tổng giá trị bảo lãnh (triệu đồng)</t>
        </is>
      </c>
      <c r="E1247" s="386" t="inlineStr">
        <is>
          <t>Tổng giá trị bảo lãnh (triệu đồng)</t>
        </is>
      </c>
      <c r="F1247" s="386" t="inlineStr">
        <is>
          <t>Data Explorer</t>
        </is>
      </c>
      <c r="G1247" s="386" t="inlineStr">
        <is>
          <t>Chỉ tiêu cơ sở</t>
        </is>
      </c>
      <c r="H1247" s="386" t="inlineStr">
        <is>
          <t>TB</t>
        </is>
      </c>
      <c r="I1247" s="386" t="inlineStr">
        <is>
          <t>Ngày, CTCK</t>
        </is>
      </c>
      <c r="J1247" s="395" t="inlineStr">
        <is>
          <t>SCMS</t>
        </is>
      </c>
      <c r="K1247" s="395" t="n"/>
      <c r="L1247" s="395" t="inlineStr">
        <is>
          <t>X</t>
        </is>
      </c>
      <c r="M1247" s="395" t="n"/>
      <c r="N1247" s="395" t="inlineStr">
        <is>
          <t>Done</t>
        </is>
      </c>
      <c r="O1247" s="401" t="n"/>
      <c r="P1247" s="395" t="n"/>
      <c r="S1247" s="395" t="n"/>
      <c r="U1247" s="386" t="n"/>
      <c r="V1247" s="395" t="n"/>
      <c r="W1247" s="395" t="n"/>
      <c r="X1247" s="395" t="n"/>
      <c r="Y1247" s="13" t="n"/>
      <c r="Z1247" s="395" t="n"/>
      <c r="AA1247" s="395" t="n"/>
      <c r="AB1247" s="395" t="n"/>
      <c r="AC1247" s="395" t="n"/>
      <c r="AD1247" s="395" t="n"/>
      <c r="AE1247" s="395" t="n"/>
    </row>
    <row r="1248" ht="56" customHeight="1" s="380">
      <c r="A1248" s="83" t="n">
        <v>68</v>
      </c>
      <c r="B1248" s="68" t="n"/>
      <c r="C1248" s="68" t="inlineStr">
        <is>
          <t>Báo cáo theo Thông tư 121/2020/TT-BTC &gt;&gt; Hoạt động bảo lãnh phát hành chứng khoán</t>
        </is>
      </c>
      <c r="D1248" s="68" t="inlineStr">
        <is>
          <t>Hiệu số giữa tài sản ngắn hạn và nợ ngắn hạn (triệu đồng)</t>
        </is>
      </c>
      <c r="E1248" s="68" t="inlineStr">
        <is>
          <t>Hiệu số giữa tài sản ngắn hạn và nợ ngắn hạn (triệu đồng)</t>
        </is>
      </c>
      <c r="F1248" s="68" t="inlineStr">
        <is>
          <t>Data Explorer</t>
        </is>
      </c>
      <c r="G1248" s="68" t="inlineStr">
        <is>
          <t>Chỉ tiêu cơ sở</t>
        </is>
      </c>
      <c r="H1248" s="68" t="inlineStr">
        <is>
          <t>TB</t>
        </is>
      </c>
      <c r="I1248" s="68" t="inlineStr">
        <is>
          <t>Ngày, CTCK</t>
        </is>
      </c>
      <c r="J1248" s="69" t="inlineStr">
        <is>
          <t>SCMS</t>
        </is>
      </c>
      <c r="K1248" s="69" t="n"/>
      <c r="L1248" s="69" t="inlineStr">
        <is>
          <t>X</t>
        </is>
      </c>
      <c r="M1248" s="69" t="n"/>
      <c r="N1248" s="69" t="inlineStr">
        <is>
          <t>Done</t>
        </is>
      </c>
      <c r="O1248" s="85" t="n"/>
      <c r="P1248" s="69" t="n"/>
      <c r="Q1248" s="426" t="n"/>
      <c r="R1248" s="426" t="n"/>
      <c r="S1248" s="69" t="n"/>
      <c r="T1248" s="426" t="n"/>
      <c r="U1248" s="68" t="n"/>
      <c r="V1248" s="69" t="n"/>
      <c r="W1248" s="69" t="n"/>
      <c r="X1248" s="69" t="n"/>
      <c r="Y1248" s="97" t="n"/>
      <c r="Z1248" s="69" t="n"/>
      <c r="AA1248" s="69" t="n"/>
      <c r="AB1248" s="69" t="n"/>
      <c r="AC1248" s="69" t="n"/>
      <c r="AD1248" s="69" t="n"/>
      <c r="AE1248" s="69" t="n"/>
    </row>
    <row r="1249" ht="56" customHeight="1" s="380">
      <c r="A1249" s="73" t="n">
        <v>69</v>
      </c>
      <c r="B1249" s="122" t="inlineStr">
        <is>
          <t>Nga</t>
        </is>
      </c>
      <c r="C1249" s="81" t="inlineStr">
        <is>
          <t>Báo cáo theo Thông tư 121/2020/TT-BTC &gt;&gt; Các thay đổi phải được chấp thuận trong kỳ</t>
        </is>
      </c>
      <c r="D1249" s="106" t="inlineStr">
        <is>
          <t>Loại báo cáo</t>
        </is>
      </c>
      <c r="E1249" s="107" t="inlineStr">
        <is>
          <t>Loại báo cáo</t>
        </is>
      </c>
      <c r="F1249" s="390" t="inlineStr">
        <is>
          <t>Data Explorer</t>
        </is>
      </c>
      <c r="G1249" s="390" t="inlineStr">
        <is>
          <t>Chiều</t>
        </is>
      </c>
      <c r="H1249" s="390" t="inlineStr">
        <is>
          <t>Dễ</t>
        </is>
      </c>
      <c r="I1249" s="390" t="inlineStr">
        <is>
          <t>Ngày, CTCK</t>
        </is>
      </c>
      <c r="J1249" s="401" t="inlineStr">
        <is>
          <t>SCMS</t>
        </is>
      </c>
      <c r="K1249" s="401" t="inlineStr">
        <is>
          <t>X</t>
        </is>
      </c>
      <c r="L1249" s="395" t="inlineStr">
        <is>
          <t>X</t>
        </is>
      </c>
      <c r="M1249" s="401" t="n"/>
      <c r="N1249" s="395" t="inlineStr">
        <is>
          <t>Done</t>
        </is>
      </c>
      <c r="O1249" s="401" t="n"/>
      <c r="P1249" s="395" t="n"/>
      <c r="Q1249" s="404" t="inlineStr">
        <is>
          <t>SCMS.BM_BAO_CAO
SCMS.BM_BAO_CAO_DINH_KY</t>
        </is>
      </c>
      <c r="R1249" s="404" t="inlineStr">
        <is>
          <t>bm.ID,
bm.MA_BAO_CAO,
bm.LOAI_BAO_CAO,
bm.TEN_BAO_CAO,
bm.SU_DUNG,
bdk.BM_BAO_CAO_ID,
bdk.KY_BAO_CAO,
bdk.SU_DUNG</t>
        </is>
      </c>
      <c r="S1249" s="395" t="n"/>
      <c r="T1249"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249" s="386" t="n"/>
      <c r="V1249" s="395" t="n"/>
      <c r="W1249" s="395" t="n"/>
      <c r="X1249" s="395" t="n"/>
      <c r="Y1249" s="38" t="n"/>
      <c r="Z1249" s="395" t="n"/>
      <c r="AA1249" s="395" t="n"/>
      <c r="AB1249" s="395" t="n"/>
      <c r="AC1249" s="395" t="n"/>
      <c r="AD1249" s="395" t="n"/>
      <c r="AE1249" s="395" t="n"/>
    </row>
    <row r="1250" ht="56" customHeight="1" s="380">
      <c r="A1250" s="73" t="n">
        <v>69</v>
      </c>
      <c r="B1250" s="386" t="n"/>
      <c r="C1250" s="386" t="inlineStr">
        <is>
          <t>Báo cáo theo Thông tư 121/2020/TT-BTC &gt;&gt; Các thay đổi phải được chấp thuận trong kỳ</t>
        </is>
      </c>
      <c r="D1250" s="106" t="inlineStr">
        <is>
          <t>Kỳ báo cáo</t>
        </is>
      </c>
      <c r="E1250" s="107" t="inlineStr">
        <is>
          <t>Kỳ báo cáo</t>
        </is>
      </c>
      <c r="F1250" s="390" t="inlineStr">
        <is>
          <t>Data Explorer</t>
        </is>
      </c>
      <c r="G1250" s="390" t="inlineStr">
        <is>
          <t>Chiều</t>
        </is>
      </c>
      <c r="H1250" s="390" t="inlineStr">
        <is>
          <t>Dễ</t>
        </is>
      </c>
      <c r="I1250" s="390" t="inlineStr">
        <is>
          <t>Ngày, CTCK</t>
        </is>
      </c>
      <c r="J1250" s="401" t="inlineStr">
        <is>
          <t>SCMS</t>
        </is>
      </c>
      <c r="K1250" s="401" t="inlineStr">
        <is>
          <t>X</t>
        </is>
      </c>
      <c r="L1250" s="395" t="inlineStr">
        <is>
          <t>X</t>
        </is>
      </c>
      <c r="M1250" s="401" t="n"/>
      <c r="N1250" s="395" t="inlineStr">
        <is>
          <t>Done</t>
        </is>
      </c>
      <c r="O1250" s="401" t="n"/>
      <c r="P1250" s="395" t="n"/>
      <c r="S1250" s="395" t="n"/>
      <c r="U1250" s="386" t="n"/>
      <c r="V1250" s="395" t="n"/>
      <c r="W1250" s="395" t="n"/>
      <c r="X1250" s="395" t="n"/>
      <c r="Y1250" s="13" t="n"/>
      <c r="Z1250" s="395" t="n"/>
      <c r="AA1250" s="395" t="n"/>
      <c r="AB1250" s="395" t="n"/>
      <c r="AC1250" s="395" t="n"/>
      <c r="AD1250" s="395" t="n"/>
      <c r="AE1250" s="395" t="n"/>
    </row>
    <row r="1251" ht="56" customHeight="1" s="380">
      <c r="A1251" s="73" t="n">
        <v>69</v>
      </c>
      <c r="B1251" s="386" t="n"/>
      <c r="C1251" s="386" t="inlineStr">
        <is>
          <t>Báo cáo theo Thông tư 121/2020/TT-BTC &gt;&gt; Các thay đổi phải được chấp thuận trong kỳ</t>
        </is>
      </c>
      <c r="D1251" s="106" t="inlineStr">
        <is>
          <t>Mã báo cáo</t>
        </is>
      </c>
      <c r="E1251" s="107" t="inlineStr">
        <is>
          <t>Mã báo cáo</t>
        </is>
      </c>
      <c r="F1251" s="390" t="inlineStr">
        <is>
          <t>Data Explorer</t>
        </is>
      </c>
      <c r="G1251" s="390" t="inlineStr">
        <is>
          <t>Chiều</t>
        </is>
      </c>
      <c r="H1251" s="390" t="inlineStr">
        <is>
          <t>Dễ</t>
        </is>
      </c>
      <c r="I1251" s="390" t="inlineStr">
        <is>
          <t>Ngày, CTCK</t>
        </is>
      </c>
      <c r="J1251" s="401" t="inlineStr">
        <is>
          <t>SCMS</t>
        </is>
      </c>
      <c r="K1251" s="401" t="inlineStr">
        <is>
          <t>X</t>
        </is>
      </c>
      <c r="L1251" s="395" t="inlineStr">
        <is>
          <t>X</t>
        </is>
      </c>
      <c r="M1251" s="401" t="n"/>
      <c r="N1251" s="395" t="inlineStr">
        <is>
          <t>Done</t>
        </is>
      </c>
      <c r="O1251" s="401" t="n"/>
      <c r="P1251" s="395" t="n"/>
      <c r="S1251" s="395" t="n"/>
      <c r="U1251" s="386" t="n"/>
      <c r="V1251" s="395" t="n"/>
      <c r="W1251" s="395" t="n"/>
      <c r="X1251" s="395" t="n"/>
      <c r="Y1251" s="13" t="n"/>
      <c r="Z1251" s="395" t="n"/>
      <c r="AA1251" s="395" t="n"/>
      <c r="AB1251" s="395" t="n"/>
      <c r="AC1251" s="395" t="n"/>
      <c r="AD1251" s="395" t="n"/>
      <c r="AE1251" s="395" t="n"/>
    </row>
    <row r="1252" ht="56" customHeight="1" s="380">
      <c r="A1252" s="73" t="n">
        <v>69</v>
      </c>
      <c r="B1252" s="386" t="n"/>
      <c r="C1252" s="386" t="inlineStr">
        <is>
          <t>Báo cáo theo Thông tư 121/2020/TT-BTC &gt;&gt; Các thay đổi phải được chấp thuận trong kỳ</t>
        </is>
      </c>
      <c r="D1252" s="106" t="inlineStr">
        <is>
          <t>Tên báo cáo</t>
        </is>
      </c>
      <c r="E1252" s="107" t="inlineStr">
        <is>
          <t>Tên báo cáo</t>
        </is>
      </c>
      <c r="F1252" s="390" t="inlineStr">
        <is>
          <t>Data Explorer</t>
        </is>
      </c>
      <c r="G1252" s="390" t="inlineStr">
        <is>
          <t>Chiều</t>
        </is>
      </c>
      <c r="H1252" s="390" t="inlineStr">
        <is>
          <t>Dễ</t>
        </is>
      </c>
      <c r="I1252" s="390" t="inlineStr">
        <is>
          <t>Ngày, CTCK</t>
        </is>
      </c>
      <c r="J1252" s="401" t="inlineStr">
        <is>
          <t>SCMS</t>
        </is>
      </c>
      <c r="K1252" s="401" t="inlineStr">
        <is>
          <t>X</t>
        </is>
      </c>
      <c r="L1252" s="395" t="inlineStr">
        <is>
          <t>X</t>
        </is>
      </c>
      <c r="M1252" s="401" t="n"/>
      <c r="N1252" s="395" t="inlineStr">
        <is>
          <t>Done</t>
        </is>
      </c>
      <c r="O1252" s="401" t="n"/>
      <c r="P1252" s="395" t="n"/>
      <c r="S1252" s="395" t="n"/>
      <c r="U1252" s="386" t="n"/>
      <c r="V1252" s="395" t="n"/>
      <c r="W1252" s="395" t="n"/>
      <c r="X1252" s="395" t="n"/>
      <c r="Y1252" s="13" t="n"/>
      <c r="Z1252" s="395" t="n"/>
      <c r="AA1252" s="395" t="n"/>
      <c r="AB1252" s="395" t="n"/>
      <c r="AC1252" s="395" t="n"/>
      <c r="AD1252" s="395" t="n"/>
      <c r="AE1252" s="395" t="n"/>
    </row>
    <row r="1253" ht="56" customHeight="1" s="380">
      <c r="A1253" s="73" t="n">
        <v>69</v>
      </c>
      <c r="B1253" s="386" t="n"/>
      <c r="C1253" s="386" t="inlineStr">
        <is>
          <t>Báo cáo theo Thông tư 121/2020/TT-BTC &gt;&gt; Các thay đổi phải được chấp thuận trong kỳ</t>
        </is>
      </c>
      <c r="D1253" s="106" t="inlineStr">
        <is>
          <t>Mã sheet</t>
        </is>
      </c>
      <c r="E1253" s="106" t="inlineStr">
        <is>
          <t>Mã sheet</t>
        </is>
      </c>
      <c r="F1253" s="390" t="inlineStr">
        <is>
          <t>Data Explorer</t>
        </is>
      </c>
      <c r="G1253" s="390" t="inlineStr">
        <is>
          <t>Chiều</t>
        </is>
      </c>
      <c r="H1253" s="390" t="inlineStr">
        <is>
          <t>Dễ</t>
        </is>
      </c>
      <c r="I1253" s="390" t="inlineStr">
        <is>
          <t>Ngày, CTCK</t>
        </is>
      </c>
      <c r="J1253" s="401" t="inlineStr">
        <is>
          <t>SCMS</t>
        </is>
      </c>
      <c r="K1253" s="401" t="inlineStr">
        <is>
          <t>X</t>
        </is>
      </c>
      <c r="L1253" s="395" t="inlineStr">
        <is>
          <t>X</t>
        </is>
      </c>
      <c r="M1253" s="401" t="n"/>
      <c r="N1253" s="395" t="inlineStr">
        <is>
          <t>Done</t>
        </is>
      </c>
      <c r="O1253" s="401" t="n"/>
      <c r="P1253" s="395" t="n"/>
      <c r="Q1253" s="401" t="inlineStr">
        <is>
          <t>SCMS.BM_BAO_CAO
SCMS.BM_SHEET</t>
        </is>
      </c>
      <c r="R1253" s="401" t="inlineStr">
        <is>
          <t>bm.ID,
bm.MA_BAO_CAO,
bm.SU_DUNG,
s.BM_BAO_CAO_ID,
s.MA_SHEET,
s.TEN_SHEET,
s.SAP_XEP</t>
        </is>
      </c>
      <c r="S1253" s="395" t="n"/>
      <c r="T1253" s="384" t="inlineStr">
        <is>
          <t>-- Mã sheet / Tên sheet
-- TEN_SHEET: THNS
SELECT bm.MA_BAO_CAO,
s.MA_SHEET,
s.TEN_SHEET
FROM SCMS.BM_BAO_CAO bm
JOIN SCMS.BM_SHEET s ON s.BM_BAO_CAO_ID = bm.ID
WHERE bm.MA_BAO_CAO LIKE 'BCTHHDKD%'
AND s.TEN_SHEET = 'CTĐPĐCTTK'  -- Check lại
AND bm.SU_DUNG = 1
ORDER BY bm.MA_BAO_CAO, s.SAP_XEP;</t>
        </is>
      </c>
      <c r="U1253" s="386" t="n"/>
      <c r="V1253" s="395" t="n"/>
      <c r="W1253" s="395" t="n"/>
      <c r="X1253" s="395" t="n"/>
      <c r="Y1253" s="13" t="n"/>
      <c r="Z1253" s="395" t="n"/>
      <c r="AA1253" s="395" t="n"/>
      <c r="AB1253" s="395" t="n"/>
      <c r="AC1253" s="395" t="n"/>
      <c r="AD1253" s="395" t="n"/>
      <c r="AE1253" s="395" t="n"/>
    </row>
    <row r="1254" ht="56" customHeight="1" s="380">
      <c r="A1254" s="73" t="n">
        <v>69</v>
      </c>
      <c r="B1254" s="386" t="n"/>
      <c r="C1254" s="386" t="inlineStr">
        <is>
          <t>Báo cáo theo Thông tư 121/2020/TT-BTC &gt;&gt; Các thay đổi phải được chấp thuận trong kỳ</t>
        </is>
      </c>
      <c r="D1254" s="106" t="inlineStr">
        <is>
          <t>Tên sheet</t>
        </is>
      </c>
      <c r="E1254" s="106" t="inlineStr">
        <is>
          <t>Tên sheet</t>
        </is>
      </c>
      <c r="F1254" s="390" t="inlineStr">
        <is>
          <t>Data Explorer</t>
        </is>
      </c>
      <c r="G1254" s="390" t="inlineStr">
        <is>
          <t>Chiều</t>
        </is>
      </c>
      <c r="H1254" s="390" t="inlineStr">
        <is>
          <t>Dễ</t>
        </is>
      </c>
      <c r="I1254" s="390" t="inlineStr">
        <is>
          <t>Ngày, CTCK</t>
        </is>
      </c>
      <c r="J1254" s="401" t="inlineStr">
        <is>
          <t>SCMS</t>
        </is>
      </c>
      <c r="K1254" s="401" t="inlineStr">
        <is>
          <t>X</t>
        </is>
      </c>
      <c r="L1254" s="395" t="inlineStr">
        <is>
          <t>X</t>
        </is>
      </c>
      <c r="M1254" s="401" t="n"/>
      <c r="N1254" s="395" t="inlineStr">
        <is>
          <t>Done</t>
        </is>
      </c>
      <c r="O1254" s="401" t="n"/>
      <c r="P1254" s="395" t="n"/>
      <c r="S1254" s="395" t="n"/>
      <c r="U1254" s="386" t="n"/>
      <c r="V1254" s="395" t="n"/>
      <c r="W1254" s="395" t="n"/>
      <c r="X1254" s="395" t="n"/>
      <c r="Y1254" s="13" t="n"/>
      <c r="Z1254" s="395" t="n"/>
      <c r="AA1254" s="395" t="n"/>
      <c r="AB1254" s="395" t="n"/>
      <c r="AC1254" s="395" t="n"/>
      <c r="AD1254" s="395" t="n"/>
      <c r="AE1254" s="395" t="n"/>
    </row>
    <row r="1255" ht="56" customHeight="1" s="380">
      <c r="A1255" s="73" t="n">
        <v>69</v>
      </c>
      <c r="B1255" s="386" t="n"/>
      <c r="C1255" s="386" t="inlineStr">
        <is>
          <t>Báo cáo theo Thông tư 121/2020/TT-BTC &gt;&gt; Các thay đổi phải được chấp thuận trong kỳ</t>
        </is>
      </c>
      <c r="D1255" s="106" t="inlineStr">
        <is>
          <t>Mã chỉ tiêu</t>
        </is>
      </c>
      <c r="E1255" s="107" t="inlineStr">
        <is>
          <t>Mã chỉ tiêu</t>
        </is>
      </c>
      <c r="F1255" s="390" t="inlineStr">
        <is>
          <t>Data Explorer</t>
        </is>
      </c>
      <c r="G1255" s="390" t="inlineStr">
        <is>
          <t>Chiều</t>
        </is>
      </c>
      <c r="H1255" s="390" t="inlineStr">
        <is>
          <t>Dễ</t>
        </is>
      </c>
      <c r="I1255" s="390" t="inlineStr">
        <is>
          <t>Ngày, CTCK</t>
        </is>
      </c>
      <c r="J1255" s="401" t="inlineStr">
        <is>
          <t>SCMS</t>
        </is>
      </c>
      <c r="K1255" s="401" t="inlineStr">
        <is>
          <t>X</t>
        </is>
      </c>
      <c r="L1255" s="395" t="inlineStr">
        <is>
          <t>X</t>
        </is>
      </c>
      <c r="M1255" s="401" t="n"/>
      <c r="N1255" s="395" t="inlineStr">
        <is>
          <t>Done</t>
        </is>
      </c>
      <c r="O1255" s="401" t="n"/>
      <c r="P1255" s="395" t="n"/>
      <c r="Q1255" s="401" t="inlineStr">
        <is>
          <t>SCMS.BM_BAO_CAO
SCMS.BM_SHEET
SCMS.BM_BAO_CAO_CT
SCMS.DM_CHI_TIEU</t>
        </is>
      </c>
      <c r="R1255" s="402" t="inlineStr">
        <is>
          <t>dct.ID,
dct.MA_CHI_TIEU,
dct.TEN_CHI_TIEU,
dct.SU_DUNG,
s.BM_BAO_CAO_ID,
s.MA_SHEET,
ct.BM_BAO_CAO_ID,
ct.DM_CHI_TIEU_ID,
ct.SU_DUNG,
bm.ID,
bm.MA_BAO_CAO,
bm.SU_DUNG</t>
        </is>
      </c>
      <c r="S1255" s="395" t="n"/>
      <c r="T1255" s="384" t="inlineStr">
        <is>
          <t>-- Mã chỉ tiêu / Tên chỉ tiêu
SELECT DISTINCT
    dct.MA_CHI_TIEU  AS ma_chi_tieu,
    dct.TEN_CHI_TIEU AS ten_chi_tieu
FROM SCMS.BM_BAO_CAO bm
JOIN SCMS.BM_SHEET s ON s.BM_BAO_CAO_ID = bm.ID
	AND s.TEN_SHEET = 'CTĐPĐCTTK'
JOIN SCMS.BM_BAO_CAO_CT ct ON ct.BM_SHEET_ID = s.ID
	AND ct.SU_DUNG = 1
JOIN SCMS.DM_CHI_TIEU dct ON dct.ID = ct.DM_CHI_TIEU_ID
	AND dct.SU_DUNG = 1
WHERE bm.MA_BAO_CAO LIKE 'BCTHHDKD%'
	AND bm.SU_DUNG = 1
ORDER BY dct.MA_CHI_TIEU;</t>
        </is>
      </c>
      <c r="U1255" s="386" t="n"/>
      <c r="V1255" s="395" t="n"/>
      <c r="W1255" s="395" t="n"/>
      <c r="X1255" s="395" t="n"/>
      <c r="Y1255" s="13" t="n"/>
      <c r="Z1255" s="395" t="n"/>
      <c r="AA1255" s="395" t="n"/>
      <c r="AB1255" s="395" t="n"/>
      <c r="AC1255" s="395" t="n"/>
      <c r="AD1255" s="395" t="n"/>
      <c r="AE1255" s="395" t="n"/>
    </row>
    <row r="1256" ht="56" customHeight="1" s="380">
      <c r="A1256" s="73" t="n">
        <v>69</v>
      </c>
      <c r="B1256" s="386" t="n"/>
      <c r="C1256" s="386" t="inlineStr">
        <is>
          <t>Báo cáo theo Thông tư 121/2020/TT-BTC &gt;&gt; Các thay đổi phải được chấp thuận trong kỳ</t>
        </is>
      </c>
      <c r="D1256" s="106" t="inlineStr">
        <is>
          <t>Tên chỉ tiêu</t>
        </is>
      </c>
      <c r="E1256" s="107" t="inlineStr">
        <is>
          <t>Tên chỉ tiêu</t>
        </is>
      </c>
      <c r="F1256" s="390" t="inlineStr">
        <is>
          <t>Data Explorer</t>
        </is>
      </c>
      <c r="G1256" s="390" t="inlineStr">
        <is>
          <t>Chiều</t>
        </is>
      </c>
      <c r="H1256" s="390" t="inlineStr">
        <is>
          <t>Dễ</t>
        </is>
      </c>
      <c r="I1256" s="390" t="inlineStr">
        <is>
          <t>Ngày, CTCK</t>
        </is>
      </c>
      <c r="J1256" s="401" t="inlineStr">
        <is>
          <t>SCMS</t>
        </is>
      </c>
      <c r="K1256" s="401" t="inlineStr">
        <is>
          <t>X</t>
        </is>
      </c>
      <c r="L1256" s="395" t="inlineStr">
        <is>
          <t>X</t>
        </is>
      </c>
      <c r="M1256" s="401" t="n"/>
      <c r="N1256" s="395" t="inlineStr">
        <is>
          <t>Done</t>
        </is>
      </c>
      <c r="O1256" s="401" t="n"/>
      <c r="P1256" s="395" t="n"/>
      <c r="S1256" s="395" t="n"/>
      <c r="U1256" s="386" t="n"/>
      <c r="V1256" s="395" t="n"/>
      <c r="W1256" s="395" t="n"/>
      <c r="X1256" s="395" t="n"/>
      <c r="Y1256" s="13" t="n"/>
      <c r="Z1256" s="395" t="n"/>
      <c r="AA1256" s="395" t="n"/>
      <c r="AB1256" s="395" t="n"/>
      <c r="AC1256" s="395" t="n"/>
      <c r="AD1256" s="395" t="n"/>
      <c r="AE1256" s="395" t="n"/>
    </row>
    <row r="1257" ht="56" customHeight="1" s="380">
      <c r="A1257" s="73" t="n">
        <v>69</v>
      </c>
      <c r="B1257" s="386" t="n"/>
      <c r="C1257" s="386" t="inlineStr">
        <is>
          <t>Báo cáo theo Thông tư 121/2020/TT-BTC &gt;&gt; Các thay đổi phải được chấp thuận trong kỳ</t>
        </is>
      </c>
      <c r="D1257" s="386" t="inlineStr">
        <is>
          <t>Tên công ty chứng khoán</t>
        </is>
      </c>
      <c r="E1257" s="386" t="inlineStr">
        <is>
          <t>Tên công ty chứng khoán</t>
        </is>
      </c>
      <c r="F1257" s="386" t="inlineStr">
        <is>
          <t>Data Explorer</t>
        </is>
      </c>
      <c r="G1257" s="386" t="inlineStr">
        <is>
          <t>Chỉ tiêu cơ sở</t>
        </is>
      </c>
      <c r="H1257" s="386" t="inlineStr">
        <is>
          <t>Dễ</t>
        </is>
      </c>
      <c r="I1257" s="386" t="inlineStr">
        <is>
          <t>Ngày, CTCK</t>
        </is>
      </c>
      <c r="J1257" s="395" t="inlineStr">
        <is>
          <t>SCMS</t>
        </is>
      </c>
      <c r="K1257" s="395" t="n"/>
      <c r="L1257" s="395" t="inlineStr">
        <is>
          <t>X</t>
        </is>
      </c>
      <c r="M1257" s="395" t="n"/>
      <c r="N1257" s="395" t="inlineStr">
        <is>
          <t>Done</t>
        </is>
      </c>
      <c r="O1257" s="401" t="n"/>
      <c r="P1257" s="395" t="n"/>
      <c r="Q1257" s="427" t="inlineStr">
        <is>
          <t>SCMS.BC_THANH_VIEN
SCMS.BM_BAO_CAO
SCMS.BC_BAO_CAO_GT
SCMS.BM_BAO_CAO_HANG
SCMS.BM_BAO_CAO_COT
SCMS.CTCK_THONG_TIN</t>
        </is>
      </c>
      <c r="R1257" s="427" t="inlineStr">
        <is>
          <t>btv.ID,
btv.NGAY_SO_LIEU,
btv.BM_BAO_CAO_ID,
btv.CTCK_THONG_TIN_ID,
btv.TRANG_THAI,
c.CTCK_THONG_TIN_ID,
c.TEN_VIET_TAT,
c.SAN_NIEM_YET,
c.MA_CHUNG_KHOAN,
c.GIAY_PHEP_KINH_DOANH,
c.NGAY_CAP_GPKD,
bsh.ID,
bsh.MA_HANG,
bsc.TEN_COT,
bsc.BM_SHEET_ID,
gt.BC_THANH_VIEN_ID,
gt.BM_SHEET_HANG_ID,
gt.GIA_TRI,
bm.ID,
bm.MA_BAO_CAO</t>
        </is>
      </c>
      <c r="S1257" s="395" t="n"/>
      <c r="T1257"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 Trong nước &gt;&gt; Trụ sở chính (MA_HANG=2)
    MAX(CASE WHEN bsh.MA_HANG='2' AND bsc.TEN_COT=N'Địa điểm' THEN CAST(gt.GIA_TRI AS VARCHAR2(4000)) END) AS "Trong nước_TSC_Địa điểm",
    MAX(CASE WHEN bsh.MA_HANG='2' AND bsc.TEN_COT=N'Đóng cửa' THEN CAST(gt.GIA_TRI AS VARCHAR2(4000)) END) AS "Trong nước_TSC_Đóng cửa",
    MAX(CASE WHEN bsh.MA_HANG='2' AND bsc.TEN_COT=N'Thành lập mới' THEN CAST(gt.GIA_TRI AS VARCHAR2(4000)) END) AS "Trong nước_TSC_Thành lập mới",
    MAX(CASE WHEN bsh.MA_HANG='2' AND bsc.TEN_COT=N'Thay đổi tên' THEN CAST(gt.GIA_TRI AS VARCHAR2(4000)) END) AS "Trong nước_TSC_Thay đổi tên",
    MAX(CASE WHEN bsh.MA_HANG='2' AND bsc.TEN_COT=N'Nhân sự cấp cao' THEN CAST(gt.GIA_TRI AS VARCHAR2(4000)) END) AS "Trong nước_TSC_Nhân sự cấp cao",
    MAX(CASE WHEN bsh.MA_HANG='2' AND bsc.TEN_COT=N'Thay đổi nghiệp vụ kinh doanh' THEN CAST(gt.GIA_TRI AS VARCHAR2(4000)) END) AS "Trong nước_TSC_Thay đổi NVKD",
    -- Trong nước &gt;&gt; Chi nhánh (MA_HANG=3)
    MAX(CASE WHEN bsh.MA_HANG='3' AND bsc.TEN_COT=N'Địa điểm' THEN CAST(gt.GIA_TRI AS VARCHAR2(4000)) END) AS "Trong nước_CN_Địa điểm",
    MAX(CASE WHEN bsh.MA_HANG='3' AND bsc.TEN_COT=N'Đóng cửa' THEN CAST(gt.GIA_TRI AS VARCHAR2(4000)) END) AS "Trong nước_CN_Đóng cửa",
    MAX(CASE WHEN bsh.MA_HANG='3' AND bsc.TEN_COT=N'Thành lập mới' THEN CAST(gt.GIA_TRI AS VARCHAR2(4000)) END) AS "Trong nước_CN_Thành lập mới",
    MAX(CASE WHEN bsh.MA_HANG='3' AND bsc.TEN_COT=N'Thay đổi tên' THEN CAST(gt.GIA_TRI AS VARCHAR2(4000)) END) AS "Trong nước_CN_Thay đổi tên",
    MAX(CASE WHEN bsh.MA_HANG='3' AND bsc.TEN_COT=N'Nhân sự cấp cao' THEN CAST(gt.GIA_TRI AS VARCHAR2(4000)) END) AS "Trong nước_CN_Nhân sự cấp cao",
    MAX(CASE WHEN bsh.MA_HANG='3' AND bsc.TEN_COT=N'Thay đổi nghiệp vụ kinh doanh' THEN CAST(gt.GIA_TRI AS VARCHAR2(4000)) END) AS "Trong nước_CN_Thay đổi NVKD",
    -- Trong nước &gt;&gt; Phòng giao dịch (MA_HANG=4)
    MAX(CASE WHEN bsh.MA_HANG='4' AND bsc.TEN_COT=N'Địa điểm' THEN CAST(gt.GIA_TRI AS VARCHAR2(4000)) END) AS "Trong nước_PGD_Địa điểm",
    MAX(CASE WHEN bsh.MA_HANG='4' AND bsc.TEN_COT=N'Đóng cửa' THEN CAST(gt.GIA_TRI AS VARCHAR2(4000)) END) AS "Trong nước_PGD_Đóng cửa",
    MAX(CASE WHEN bsh.MA_HANG='4' AND bsc.TEN_COT=N'Thành lập mới' THEN CAST(gt.GIA_TRI AS VARCHAR2(4000)) END) AS "Trong nước_PGD_Thành lập mới",
    MAX(CASE WHEN bsh.MA_HANG='4' AND bsc.TEN_COT=N'Thay đổi tên' THEN CAST(gt.GIA_TRI AS VARCHAR2(4000)) END) AS "Trong nước_PGD_Thay đổi tên",
    MAX(CASE WHEN bsh.MA_HANG='4' AND bsc.TEN_COT=N'Nhân sự cấp cao' THEN CAST(gt.GIA_TRI AS VARCHAR2(4000)) END) AS "Trong nước_PGD_Nhân sự cấp cao",
    MAX(CASE WHEN bsh.MA_HANG='4' AND bsc.TEN_COT=N'Thay đổi nghiệp vụ kinh doanh' THEN CAST(gt.GIA_TRI AS VARCHAR2(4000)) END) AS "Trong nước_PGD_Thay đổi NVKD",
    -- Trong nước &gt;&gt; Văn phòng đại diện (MA_HANG=5)
    MAX(CASE WHEN bsh.MA_HANG='5' AND bsc.TEN_COT=N'Địa điểm' THEN CAST(gt.GIA_TRI AS VARCHAR2(4000)) END) AS "Trong nước_VPĐD_Địa điểm",
    MAX(CASE WHEN bsh.MA_HANG='5' AND bsc.TEN_COT=N'Đóng cửa' THEN CAST(gt.GIA_TRI AS VARCHAR2(4000)) END) AS "Trong nước_VPĐD_Đóng cửa",
    MAX(CASE WHEN bsh.MA_HANG='5' AND bsc.TEN_COT=N'Thành lập mới' THEN CAST(gt.GIA_TRI AS VARCHAR2(4000)) END) AS "Trong nước_VPĐD_Thành lập mới",
    MAX(CASE WHEN bsh.MA_HANG='5' AND bsc.TEN_COT=N'Thay đổi tên' THEN CAST(gt.GIA_TRI AS VARCHAR2(4000)) END) AS "Trong nước_VPĐD_Thay đổi tên",
    MAX(CASE WHEN bsh.MA_HANG='5' AND bsc.TEN_COT=N'Nhân sự cấp cao' THEN CAST(gt.GIA_TRI AS VARCHAR2(4000)) END) AS "Trong nước_VPĐD_Nhân sự cấp cao",
    MAX(CASE WHEN bsh.MA_HANG='5' AND bsc.TEN_COT=N'Thay đổi nghiệp vụ kinh doanh' THEN CAST(gt.GIA_TRI AS VARCHAR2(4000)) END) AS "Trong nước_VPĐD_Thay đổi NVKD",
    -- Nước ngoài &gt;&gt; Chi nhánh (MA_HANG=7)
    MAX(CASE WHEN bsh.MA_HANG='7' AND bsc.TEN_COT=N'Địa điểm' THEN CAST(gt.GIA_TRI AS VARCHAR2(4000)) END) AS "Nước ngoài_CN_Địa điểm",
    MAX(CASE WHEN bsh.MA_HANG='7' AND bsc.TEN_COT=N'Đóng cửa' THEN CAST(gt.GIA_TRI AS VARCHAR2(4000)) END) AS "Nước ngoài_CN_Đóng cửa",
    MAX(CASE WHEN bsh.MA_HANG='7' AND bsc.TEN_COT=N'Thành lập mới' THEN CAST(gt.GIA_TRI AS VARCHAR2(4000)) END) AS "Nước ngoài_CN_Thành lập mới",
    MAX(CASE WHEN bsh.MA_HANG='7' AND bsc.TEN_COT=N'Thay đổi tên' THEN CAST(gt.GIA_TRI AS VARCHAR2(4000)) END) AS "Nước ngoài_CN_Thay đổi tên",
    MAX(CASE WHEN bsh.MA_HANG='7' AND bsc.TEN_COT=N'Nhân sự cấp cao' THEN CAST(gt.GIA_TRI AS VARCHAR2(4000)) END) AS "Nước ngoài_CN_Nhân sự cấp cao",
    MAX(CASE WHEN bsh.MA_HANG='7' AND bsc.TEN_COT=N'Thay đổi nghiệp vụ kinh doanh' THEN CAST(gt.GIA_TRI AS VARCHAR2(4000)) END) AS "Nước ngoài_CN_Thay đổi NVKD",
    -- Nước ngoài &gt;&gt; Văn phòng đại diện (MA_HANG=8)
    MAX(CASE WHEN bsh.MA_HANG='8' AND bsc.TEN_COT=N'Địa điểm' THEN CAST(gt.GIA_TRI AS VARCHAR2(4000)) END) AS "Nước ngoài_VPĐD_Địa điểm",
    MAX(CASE WHEN bsh.MA_HANG='8' AND bsc.TEN_COT=N'Đóng cửa' THEN CAST(gt.GIA_TRI AS VARCHAR2(4000)) END) AS "Nước ngoài_VPĐD_Đóng cửa",
    MAX(CASE WHEN bsh.MA_HANG='8' AND bsc.TEN_COT=N'Thành lập mới' THEN CAST(gt.GIA_TRI AS VARCHAR2(4000)) END) AS "Nước ngoài_VPĐD_Thành lập mới",
    MAX(CASE WHEN bsh.MA_HANG='8' AND bsc.TEN_COT=N'Thay đổi tên' THEN CAST(gt.GIA_TRI AS VARCHAR2(4000)) END) AS "Nước ngoài_VPĐD_Thay đổi tên",
    MAX(CASE WHEN bsh.MA_HANG='8' AND bsc.TEN_COT=N'Nhân sự cấp cao' THEN CAST(gt.GIA_TRI AS VARCHAR2(4000)) END) AS "Nước ngoài_VPĐD_Nhân sự cấp cao",
    MAX(CASE WHEN bsh.MA_HANG='8' AND bsc.TEN_COT=N'Thay đổi nghiệp vụ kinh doanh' THEN CAST(gt.GIA_TRI AS VARCHAR2(4000)) END) AS "Nước ngoài_VPĐD_Thay đổi NVKD"
FROM SCMS.BC_THANH_VIEN btv
JOIN SCMS.BM_BAO_CAO bm ON bm.ID = btv.BM_BAO_CAO_ID
JOIN SCMS.BC_BAO_CAO_GT gt ON gt.BC_THANH_VIEN_ID = btv.ID
JOIN SCMS.BM_BAO_CAO_HANG bsh ON bsh.ID = gt.BM_SHEET_HANG_ID
JOIN SCMS.BM_BAO_CAO_COT bsc ON bsc.BM_SHEET_ID = 7423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is>
      </c>
      <c r="V1257" s="395" t="n"/>
      <c r="W1257" s="395" t="n"/>
      <c r="X1257" s="395" t="n"/>
      <c r="Y1257" s="38" t="n"/>
      <c r="Z1257" s="395" t="n"/>
      <c r="AA1257" s="395" t="n"/>
      <c r="AB1257" s="395" t="n"/>
      <c r="AC1257" s="395" t="n"/>
      <c r="AD1257" s="395" t="n"/>
      <c r="AE1257" s="395" t="n"/>
    </row>
    <row r="1258" ht="56" customHeight="1" s="380">
      <c r="A1258" s="73" t="n">
        <v>69</v>
      </c>
      <c r="B1258" s="386" t="n"/>
      <c r="C1258" s="386" t="inlineStr">
        <is>
          <t>Báo cáo theo Thông tư 121/2020/TT-BTC &gt;&gt; Các thay đổi phải được chấp thuận trong kỳ</t>
        </is>
      </c>
      <c r="D1258" s="386" t="inlineStr">
        <is>
          <t>Sàn giao dịch</t>
        </is>
      </c>
      <c r="E1258" s="386" t="inlineStr">
        <is>
          <t>Sàn giao dịch</t>
        </is>
      </c>
      <c r="F1258" s="386" t="inlineStr">
        <is>
          <t>Data Explorer</t>
        </is>
      </c>
      <c r="G1258" s="386" t="inlineStr">
        <is>
          <t>Chỉ tiêu cơ sở</t>
        </is>
      </c>
      <c r="H1258" s="386" t="inlineStr">
        <is>
          <t>Dễ</t>
        </is>
      </c>
      <c r="I1258" s="386" t="inlineStr">
        <is>
          <t>Ngày, CTCK</t>
        </is>
      </c>
      <c r="J1258" s="395" t="inlineStr">
        <is>
          <t>SCMS</t>
        </is>
      </c>
      <c r="K1258" s="395" t="n"/>
      <c r="L1258" s="395" t="inlineStr">
        <is>
          <t>X</t>
        </is>
      </c>
      <c r="M1258" s="395" t="n"/>
      <c r="N1258" s="395" t="inlineStr">
        <is>
          <t>Done</t>
        </is>
      </c>
      <c r="O1258" s="401" t="n"/>
      <c r="P1258" s="395" t="n"/>
      <c r="S1258" s="395" t="n"/>
      <c r="U1258" s="386" t="n"/>
      <c r="V1258" s="395" t="n"/>
      <c r="W1258" s="395" t="n"/>
      <c r="X1258" s="395" t="n"/>
      <c r="Y1258" s="13" t="n"/>
      <c r="Z1258" s="395" t="n"/>
      <c r="AA1258" s="395" t="n"/>
      <c r="AB1258" s="395" t="n"/>
      <c r="AC1258" s="395" t="n"/>
      <c r="AD1258" s="395" t="n"/>
      <c r="AE1258" s="395" t="n"/>
    </row>
    <row r="1259" ht="56" customHeight="1" s="380">
      <c r="A1259" s="73" t="n">
        <v>69</v>
      </c>
      <c r="B1259" s="386" t="n"/>
      <c r="C1259" s="386" t="inlineStr">
        <is>
          <t>Báo cáo theo Thông tư 121/2020/TT-BTC &gt;&gt; Các thay đổi phải được chấp thuận trong kỳ</t>
        </is>
      </c>
      <c r="D1259" s="386" t="inlineStr">
        <is>
          <t>Mã chứng khoán</t>
        </is>
      </c>
      <c r="E1259" s="386" t="inlineStr">
        <is>
          <t>Mã chứng khoán</t>
        </is>
      </c>
      <c r="F1259" s="386" t="inlineStr">
        <is>
          <t>Data Explorer</t>
        </is>
      </c>
      <c r="G1259" s="386" t="inlineStr">
        <is>
          <t>Chỉ tiêu cơ sở</t>
        </is>
      </c>
      <c r="H1259" s="386" t="inlineStr">
        <is>
          <t>Dễ</t>
        </is>
      </c>
      <c r="I1259" s="386" t="inlineStr">
        <is>
          <t>Ngày, CTCK</t>
        </is>
      </c>
      <c r="J1259" s="395" t="inlineStr">
        <is>
          <t>SCMS</t>
        </is>
      </c>
      <c r="K1259" s="395" t="n"/>
      <c r="L1259" s="395" t="inlineStr">
        <is>
          <t>X</t>
        </is>
      </c>
      <c r="M1259" s="395" t="n"/>
      <c r="N1259" s="395" t="inlineStr">
        <is>
          <t>Done</t>
        </is>
      </c>
      <c r="O1259" s="401" t="n"/>
      <c r="P1259" s="395" t="n"/>
      <c r="S1259" s="395" t="n"/>
      <c r="U1259" s="386" t="n"/>
      <c r="V1259" s="395" t="n"/>
      <c r="W1259" s="395" t="n"/>
      <c r="X1259" s="395" t="n"/>
      <c r="Y1259" s="13" t="n"/>
      <c r="Z1259" s="395" t="n"/>
      <c r="AA1259" s="395" t="n"/>
      <c r="AB1259" s="395" t="n"/>
      <c r="AC1259" s="395" t="n"/>
      <c r="AD1259" s="395" t="n"/>
      <c r="AE1259" s="395" t="n"/>
    </row>
    <row r="1260" ht="56" customHeight="1" s="380">
      <c r="A1260" s="73" t="n">
        <v>69</v>
      </c>
      <c r="B1260" s="386" t="n"/>
      <c r="C1260" s="386" t="inlineStr">
        <is>
          <t>Báo cáo theo Thông tư 121/2020/TT-BTC &gt;&gt; Các thay đổi phải được chấp thuận trong kỳ</t>
        </is>
      </c>
      <c r="D1260" s="386" t="inlineStr">
        <is>
          <t>Giấy phép hoạt động &gt;&gt; Số</t>
        </is>
      </c>
      <c r="E1260" s="386" t="inlineStr">
        <is>
          <t>Giấy phép hoạt động &gt;&gt; Số</t>
        </is>
      </c>
      <c r="F1260" s="386" t="inlineStr">
        <is>
          <t>Data Explorer</t>
        </is>
      </c>
      <c r="G1260" s="386" t="inlineStr">
        <is>
          <t>Chỉ tiêu cơ sở</t>
        </is>
      </c>
      <c r="H1260" s="386" t="inlineStr">
        <is>
          <t>Dễ</t>
        </is>
      </c>
      <c r="I1260" s="386" t="inlineStr">
        <is>
          <t>Ngày, CTCK</t>
        </is>
      </c>
      <c r="J1260" s="395" t="inlineStr">
        <is>
          <t>SCMS</t>
        </is>
      </c>
      <c r="K1260" s="395" t="n"/>
      <c r="L1260" s="395" t="inlineStr">
        <is>
          <t>X</t>
        </is>
      </c>
      <c r="M1260" s="395" t="n"/>
      <c r="N1260" s="395" t="inlineStr">
        <is>
          <t>Done</t>
        </is>
      </c>
      <c r="O1260" s="401" t="n"/>
      <c r="P1260" s="395" t="n"/>
      <c r="S1260" s="395" t="n"/>
      <c r="U1260" s="386" t="n"/>
      <c r="V1260" s="395" t="n"/>
      <c r="W1260" s="395" t="n"/>
      <c r="X1260" s="395" t="n"/>
      <c r="Y1260" s="13" t="n"/>
      <c r="Z1260" s="395" t="n"/>
      <c r="AA1260" s="395" t="n"/>
      <c r="AB1260" s="395" t="n"/>
      <c r="AC1260" s="395" t="n"/>
      <c r="AD1260" s="395" t="n"/>
      <c r="AE1260" s="395" t="n"/>
    </row>
    <row r="1261" ht="56" customHeight="1" s="380">
      <c r="A1261" s="73" t="n">
        <v>69</v>
      </c>
      <c r="B1261" s="386" t="n"/>
      <c r="C1261" s="386" t="inlineStr">
        <is>
          <t>Báo cáo theo Thông tư 121/2020/TT-BTC &gt;&gt; Các thay đổi phải được chấp thuận trong kỳ</t>
        </is>
      </c>
      <c r="D1261" s="386" t="inlineStr">
        <is>
          <t>Giấy phép hoạt động &gt;&gt; Ngày cấp
(Ngày/tháng/năm)</t>
        </is>
      </c>
      <c r="E1261" s="386" t="inlineStr">
        <is>
          <t>Giấy phép hoạt động &gt;&gt; Ngày cấp
(Ngày/tháng/năm)</t>
        </is>
      </c>
      <c r="F1261" s="386" t="inlineStr">
        <is>
          <t>Data Explorer</t>
        </is>
      </c>
      <c r="G1261" s="386" t="inlineStr">
        <is>
          <t>Chỉ tiêu cơ sở</t>
        </is>
      </c>
      <c r="H1261" s="386" t="inlineStr">
        <is>
          <t>Dễ</t>
        </is>
      </c>
      <c r="I1261" s="386" t="inlineStr">
        <is>
          <t>Ngày, CTCK</t>
        </is>
      </c>
      <c r="J1261" s="395" t="inlineStr">
        <is>
          <t>SCMS</t>
        </is>
      </c>
      <c r="K1261" s="395" t="n"/>
      <c r="L1261" s="395" t="inlineStr">
        <is>
          <t>X</t>
        </is>
      </c>
      <c r="M1261" s="395" t="n"/>
      <c r="N1261" s="395" t="inlineStr">
        <is>
          <t>Done</t>
        </is>
      </c>
      <c r="O1261" s="401" t="n"/>
      <c r="P1261" s="395" t="n"/>
      <c r="S1261" s="395" t="n"/>
      <c r="U1261" s="386" t="n"/>
      <c r="V1261" s="395" t="n"/>
      <c r="W1261" s="395" t="n"/>
      <c r="X1261" s="395" t="n"/>
      <c r="Y1261" s="13" t="n"/>
      <c r="Z1261" s="395" t="n"/>
      <c r="AA1261" s="395" t="n"/>
      <c r="AB1261" s="395" t="n"/>
      <c r="AC1261" s="395" t="n"/>
      <c r="AD1261" s="395" t="n"/>
      <c r="AE1261" s="395" t="n"/>
    </row>
    <row r="1262" ht="56" customHeight="1" s="380">
      <c r="A1262" s="73" t="n">
        <v>69</v>
      </c>
      <c r="B1262" s="386" t="n"/>
      <c r="C1262" s="386" t="inlineStr">
        <is>
          <t>Báo cáo theo Thông tư 121/2020/TT-BTC &gt;&gt; Các thay đổi phải được chấp thuận trong kỳ</t>
        </is>
      </c>
      <c r="D1262" s="386" t="inlineStr">
        <is>
          <t>Trong nước &gt;&gt; Trụ sở chính &gt;&gt; Địa điểm</t>
        </is>
      </c>
      <c r="E1262" s="386" t="inlineStr">
        <is>
          <t>Trong nước &gt;&gt; Trụ sở chính &gt;&gt; Địa điểm</t>
        </is>
      </c>
      <c r="F1262" s="386" t="inlineStr">
        <is>
          <t>Data Explorer</t>
        </is>
      </c>
      <c r="G1262" s="386" t="inlineStr">
        <is>
          <t>Chỉ tiêu cơ sở</t>
        </is>
      </c>
      <c r="H1262" s="386" t="inlineStr">
        <is>
          <t>TB</t>
        </is>
      </c>
      <c r="I1262" s="386" t="inlineStr">
        <is>
          <t>Ngày, CTCK</t>
        </is>
      </c>
      <c r="J1262" s="395" t="inlineStr">
        <is>
          <t>SCMS</t>
        </is>
      </c>
      <c r="K1262" s="395" t="n"/>
      <c r="L1262" s="395" t="inlineStr">
        <is>
          <t>X</t>
        </is>
      </c>
      <c r="M1262" s="395" t="n"/>
      <c r="N1262" s="395" t="inlineStr">
        <is>
          <t>Done</t>
        </is>
      </c>
      <c r="O1262" s="401" t="n"/>
      <c r="P1262" s="395" t="n"/>
      <c r="S1262" s="395" t="n"/>
      <c r="U1262" s="20" t="inlineStr">
        <is>
          <t>Thiết kế CSDL có cột LABEL không, DB cũ có cột này để lưu các LABEL cha?</t>
        </is>
      </c>
      <c r="V1262" s="395" t="n"/>
      <c r="W1262" s="395" t="n"/>
      <c r="X1262" s="395" t="n"/>
      <c r="Y1262" s="13" t="n"/>
      <c r="Z1262" s="395" t="n"/>
      <c r="AA1262" s="395" t="n"/>
      <c r="AB1262" s="395" t="n"/>
      <c r="AC1262" s="395" t="n"/>
      <c r="AD1262" s="395" t="n"/>
      <c r="AE1262" s="395" t="n"/>
    </row>
    <row r="1263" ht="56" customHeight="1" s="380">
      <c r="A1263" s="73" t="n">
        <v>69</v>
      </c>
      <c r="B1263" s="386" t="n"/>
      <c r="C1263" s="386" t="inlineStr">
        <is>
          <t>Báo cáo theo Thông tư 121/2020/TT-BTC &gt;&gt; Các thay đổi phải được chấp thuận trong kỳ</t>
        </is>
      </c>
      <c r="D1263" s="386" t="inlineStr">
        <is>
          <t>Trong nước &gt;&gt; Trụ sở chính &gt;&gt; Đóng cửa</t>
        </is>
      </c>
      <c r="E1263" s="386" t="inlineStr">
        <is>
          <t>Trong nước &gt;&gt; Trụ sở chính &gt;&gt; Đóng cửa</t>
        </is>
      </c>
      <c r="F1263" s="386" t="inlineStr">
        <is>
          <t>Data Explorer</t>
        </is>
      </c>
      <c r="G1263" s="386" t="inlineStr">
        <is>
          <t>Chỉ tiêu cơ sở</t>
        </is>
      </c>
      <c r="H1263" s="386" t="inlineStr">
        <is>
          <t>TB</t>
        </is>
      </c>
      <c r="I1263" s="386" t="inlineStr">
        <is>
          <t>Ngày, CTCK</t>
        </is>
      </c>
      <c r="J1263" s="395" t="inlineStr">
        <is>
          <t>SCMS</t>
        </is>
      </c>
      <c r="K1263" s="395" t="n"/>
      <c r="L1263" s="395" t="inlineStr">
        <is>
          <t>X</t>
        </is>
      </c>
      <c r="M1263" s="395" t="n"/>
      <c r="N1263" s="395" t="inlineStr">
        <is>
          <t>Done</t>
        </is>
      </c>
      <c r="O1263" s="401" t="n"/>
      <c r="P1263" s="395" t="n"/>
      <c r="S1263" s="395" t="n"/>
      <c r="U1263" s="20" t="inlineStr">
        <is>
          <t>Thiết kế CSDL có cột LABEL không, DB cũ có cột này để lưu các LABEL cha?</t>
        </is>
      </c>
      <c r="V1263" s="395" t="n"/>
      <c r="W1263" s="395" t="n"/>
      <c r="X1263" s="395" t="n"/>
      <c r="Y1263" s="38" t="n"/>
      <c r="Z1263" s="395" t="n"/>
      <c r="AA1263" s="395" t="n"/>
      <c r="AB1263" s="395" t="n"/>
      <c r="AC1263" s="395" t="n"/>
      <c r="AD1263" s="395" t="n"/>
      <c r="AE1263" s="395" t="n"/>
    </row>
    <row r="1264" ht="56" customHeight="1" s="380">
      <c r="A1264" s="73" t="n">
        <v>69</v>
      </c>
      <c r="B1264" s="386" t="n"/>
      <c r="C1264" s="386" t="inlineStr">
        <is>
          <t>Báo cáo theo Thông tư 121/2020/TT-BTC &gt;&gt; Các thay đổi phải được chấp thuận trong kỳ</t>
        </is>
      </c>
      <c r="D1264" s="386" t="inlineStr">
        <is>
          <t>Trong nước &gt;&gt; Trụ sở chính &gt;&gt; Thành lập mới</t>
        </is>
      </c>
      <c r="E1264" s="386" t="inlineStr">
        <is>
          <t>Trong nước &gt;&gt; Trụ sở chính &gt;&gt; Thành lập mới</t>
        </is>
      </c>
      <c r="F1264" s="386" t="inlineStr">
        <is>
          <t>Data Explorer</t>
        </is>
      </c>
      <c r="G1264" s="386" t="inlineStr">
        <is>
          <t>Chỉ tiêu cơ sở</t>
        </is>
      </c>
      <c r="H1264" s="386" t="inlineStr">
        <is>
          <t>TB</t>
        </is>
      </c>
      <c r="I1264" s="386" t="inlineStr">
        <is>
          <t>Ngày, CTCK</t>
        </is>
      </c>
      <c r="J1264" s="395" t="inlineStr">
        <is>
          <t>SCMS</t>
        </is>
      </c>
      <c r="K1264" s="395" t="n"/>
      <c r="L1264" s="395" t="inlineStr">
        <is>
          <t>X</t>
        </is>
      </c>
      <c r="M1264" s="395" t="n"/>
      <c r="N1264" s="395" t="inlineStr">
        <is>
          <t>Done</t>
        </is>
      </c>
      <c r="O1264" s="401" t="n"/>
      <c r="P1264" s="395" t="n"/>
      <c r="S1264" s="395" t="n"/>
      <c r="U1264" s="20" t="inlineStr">
        <is>
          <t>Thiết kế CSDL có cột LABEL không, DB cũ có cột này để lưu các LABEL cha?</t>
        </is>
      </c>
      <c r="V1264" s="395" t="n"/>
      <c r="W1264" s="395" t="n"/>
      <c r="X1264" s="395" t="n"/>
      <c r="Y1264" s="13" t="n"/>
      <c r="Z1264" s="395" t="n"/>
      <c r="AA1264" s="395" t="n"/>
      <c r="AB1264" s="395" t="n"/>
      <c r="AC1264" s="395" t="n"/>
      <c r="AD1264" s="395" t="n"/>
      <c r="AE1264" s="395" t="n"/>
    </row>
    <row r="1265" ht="56" customHeight="1" s="380">
      <c r="A1265" s="73" t="n">
        <v>69</v>
      </c>
      <c r="B1265" s="386" t="n"/>
      <c r="C1265" s="386" t="inlineStr">
        <is>
          <t>Báo cáo theo Thông tư 121/2020/TT-BTC &gt;&gt; Các thay đổi phải được chấp thuận trong kỳ</t>
        </is>
      </c>
      <c r="D1265" s="386" t="inlineStr">
        <is>
          <t>Trong nước &gt;&gt; Trụ sở chính &gt;&gt; Thay tên</t>
        </is>
      </c>
      <c r="E1265" s="386" t="inlineStr">
        <is>
          <t>Trong nước &gt;&gt; Trụ sở chính &gt;&gt; Thay tên</t>
        </is>
      </c>
      <c r="F1265" s="386" t="inlineStr">
        <is>
          <t>Data Explorer</t>
        </is>
      </c>
      <c r="G1265" s="386" t="inlineStr">
        <is>
          <t>Chỉ tiêu cơ sở</t>
        </is>
      </c>
      <c r="H1265" s="386" t="inlineStr">
        <is>
          <t>TB</t>
        </is>
      </c>
      <c r="I1265" s="386" t="inlineStr">
        <is>
          <t>Ngày, CTCK</t>
        </is>
      </c>
      <c r="J1265" s="395" t="inlineStr">
        <is>
          <t>SCMS</t>
        </is>
      </c>
      <c r="K1265" s="395" t="n"/>
      <c r="L1265" s="395" t="inlineStr">
        <is>
          <t>X</t>
        </is>
      </c>
      <c r="M1265" s="395" t="n"/>
      <c r="N1265" s="395" t="inlineStr">
        <is>
          <t>Done</t>
        </is>
      </c>
      <c r="O1265" s="401" t="n"/>
      <c r="P1265" s="395" t="n"/>
      <c r="S1265" s="395" t="n"/>
      <c r="U1265" s="20" t="inlineStr">
        <is>
          <t>Thiết kế CSDL có cột LABEL không, DB cũ có cột này để lưu các LABEL cha?</t>
        </is>
      </c>
      <c r="V1265" s="395" t="n"/>
      <c r="W1265" s="395" t="n"/>
      <c r="X1265" s="395" t="n"/>
      <c r="Y1265" s="13" t="n"/>
      <c r="Z1265" s="395" t="n"/>
      <c r="AA1265" s="395" t="n"/>
      <c r="AB1265" s="395" t="n"/>
      <c r="AC1265" s="395" t="n"/>
      <c r="AD1265" s="395" t="n"/>
      <c r="AE1265" s="395" t="n"/>
    </row>
    <row r="1266" ht="56" customHeight="1" s="380">
      <c r="A1266" s="73" t="n">
        <v>69</v>
      </c>
      <c r="B1266" s="386" t="n"/>
      <c r="C1266" s="386" t="inlineStr">
        <is>
          <t>Báo cáo theo Thông tư 121/2020/TT-BTC &gt;&gt; Các thay đổi phải được chấp thuận trong kỳ</t>
        </is>
      </c>
      <c r="D1266" s="386" t="inlineStr">
        <is>
          <t>Trong nước &gt;&gt; Trụ sở chính &gt;&gt; Nhân sự cấp cao</t>
        </is>
      </c>
      <c r="E1266" s="386" t="inlineStr">
        <is>
          <t>Trong nước &gt;&gt; Trụ sở chính &gt;&gt; Nhân sự cấp cao</t>
        </is>
      </c>
      <c r="F1266" s="386" t="inlineStr">
        <is>
          <t>Data Explorer</t>
        </is>
      </c>
      <c r="G1266" s="386" t="inlineStr">
        <is>
          <t>Chỉ tiêu cơ sở</t>
        </is>
      </c>
      <c r="H1266" s="386" t="inlineStr">
        <is>
          <t>TB</t>
        </is>
      </c>
      <c r="I1266" s="386" t="inlineStr">
        <is>
          <t>Ngày, CTCK</t>
        </is>
      </c>
      <c r="J1266" s="395" t="inlineStr">
        <is>
          <t>SCMS</t>
        </is>
      </c>
      <c r="K1266" s="395" t="n"/>
      <c r="L1266" s="395" t="inlineStr">
        <is>
          <t>X</t>
        </is>
      </c>
      <c r="M1266" s="395" t="n"/>
      <c r="N1266" s="395" t="inlineStr">
        <is>
          <t>Done</t>
        </is>
      </c>
      <c r="O1266" s="401" t="n"/>
      <c r="P1266" s="395" t="n"/>
      <c r="S1266" s="395" t="n"/>
      <c r="U1266" s="20" t="inlineStr">
        <is>
          <t>Thiết kế CSDL có cột LABEL không, DB cũ có cột này để lưu các LABEL cha?</t>
        </is>
      </c>
      <c r="V1266" s="395" t="n"/>
      <c r="W1266" s="395" t="n"/>
      <c r="X1266" s="395" t="n"/>
      <c r="Y1266" s="13" t="n"/>
      <c r="Z1266" s="395" t="n"/>
      <c r="AA1266" s="395" t="n"/>
      <c r="AB1266" s="395" t="n"/>
      <c r="AC1266" s="395" t="n"/>
      <c r="AD1266" s="395" t="n"/>
      <c r="AE1266" s="395" t="n"/>
    </row>
    <row r="1267" ht="56" customHeight="1" s="380">
      <c r="A1267" s="73" t="n">
        <v>69</v>
      </c>
      <c r="B1267" s="386" t="n"/>
      <c r="C1267" s="386" t="inlineStr">
        <is>
          <t>Báo cáo theo Thông tư 121/2020/TT-BTC &gt;&gt; Các thay đổi phải được chấp thuận trong kỳ</t>
        </is>
      </c>
      <c r="D1267" s="386" t="inlineStr">
        <is>
          <t>Trong nước &gt;&gt; Trụ sở chính &gt;&gt; Thay đổi nghiệp vụ kinh doanh</t>
        </is>
      </c>
      <c r="E1267" s="386" t="inlineStr">
        <is>
          <t>Trong nước &gt;&gt; Trụ sở chính &gt;&gt; Thay đổi nghiệp vụ kinh doanh</t>
        </is>
      </c>
      <c r="F1267" s="386" t="inlineStr">
        <is>
          <t>Data Explorer</t>
        </is>
      </c>
      <c r="G1267" s="386" t="inlineStr">
        <is>
          <t>Chỉ tiêu cơ sở</t>
        </is>
      </c>
      <c r="H1267" s="386" t="inlineStr">
        <is>
          <t>TB</t>
        </is>
      </c>
      <c r="I1267" s="386" t="inlineStr">
        <is>
          <t>Ngày, CTCK</t>
        </is>
      </c>
      <c r="J1267" s="395" t="inlineStr">
        <is>
          <t>SCMS</t>
        </is>
      </c>
      <c r="K1267" s="395" t="n"/>
      <c r="L1267" s="395" t="inlineStr">
        <is>
          <t>X</t>
        </is>
      </c>
      <c r="M1267" s="395" t="n"/>
      <c r="N1267" s="395" t="inlineStr">
        <is>
          <t>Done</t>
        </is>
      </c>
      <c r="O1267" s="401" t="n"/>
      <c r="P1267" s="395" t="n"/>
      <c r="S1267" s="395" t="n"/>
      <c r="U1267" s="20" t="inlineStr">
        <is>
          <t>Thiết kế CSDL có cột LABEL không, DB cũ có cột này để lưu các LABEL cha?</t>
        </is>
      </c>
      <c r="V1267" s="395" t="n"/>
      <c r="W1267" s="395" t="n"/>
      <c r="X1267" s="395" t="n"/>
      <c r="Y1267" s="13" t="n"/>
      <c r="Z1267" s="395" t="n"/>
      <c r="AA1267" s="395" t="n"/>
      <c r="AB1267" s="395" t="n"/>
      <c r="AC1267" s="395" t="n"/>
      <c r="AD1267" s="395" t="n"/>
      <c r="AE1267" s="395" t="n"/>
    </row>
    <row r="1268" ht="56" customHeight="1" s="380">
      <c r="A1268" s="73" t="n">
        <v>69</v>
      </c>
      <c r="B1268" s="386" t="n"/>
      <c r="C1268" s="386" t="inlineStr">
        <is>
          <t>Báo cáo theo Thông tư 121/2020/TT-BTC &gt;&gt; Các thay đổi phải được chấp thuận trong kỳ</t>
        </is>
      </c>
      <c r="D1268" s="386" t="inlineStr">
        <is>
          <t>Trong nước &gt;&gt; Chi nhánh &gt;&gt; Địa điểm</t>
        </is>
      </c>
      <c r="E1268" s="386" t="inlineStr">
        <is>
          <t>Trong nước &gt;&gt; Chi nhánh &gt;&gt; Địa điểm</t>
        </is>
      </c>
      <c r="F1268" s="386" t="inlineStr">
        <is>
          <t>Data Explorer</t>
        </is>
      </c>
      <c r="G1268" s="386" t="inlineStr">
        <is>
          <t>Chỉ tiêu cơ sở</t>
        </is>
      </c>
      <c r="H1268" s="386" t="inlineStr">
        <is>
          <t>TB</t>
        </is>
      </c>
      <c r="I1268" s="386" t="inlineStr">
        <is>
          <t>Ngày, CTCK</t>
        </is>
      </c>
      <c r="J1268" s="395" t="inlineStr">
        <is>
          <t>SCMS</t>
        </is>
      </c>
      <c r="K1268" s="395" t="n"/>
      <c r="L1268" s="395" t="inlineStr">
        <is>
          <t>X</t>
        </is>
      </c>
      <c r="M1268" s="395" t="n"/>
      <c r="N1268" s="395" t="inlineStr">
        <is>
          <t>Done</t>
        </is>
      </c>
      <c r="O1268" s="401" t="n"/>
      <c r="P1268" s="395" t="n"/>
      <c r="S1268" s="395" t="n"/>
      <c r="U1268" s="20" t="inlineStr">
        <is>
          <t>Thiết kế CSDL có cột LABEL không, DB cũ có cột này để lưu các LABEL cha?</t>
        </is>
      </c>
      <c r="V1268" s="395" t="n"/>
      <c r="W1268" s="395" t="n"/>
      <c r="X1268" s="395" t="n"/>
      <c r="Y1268" s="13" t="n"/>
      <c r="Z1268" s="395" t="n"/>
      <c r="AA1268" s="395" t="n"/>
      <c r="AB1268" s="395" t="n"/>
      <c r="AC1268" s="395" t="n"/>
      <c r="AD1268" s="395" t="n"/>
      <c r="AE1268" s="395" t="n"/>
    </row>
    <row r="1269" ht="56" customHeight="1" s="380">
      <c r="A1269" s="73" t="n">
        <v>69</v>
      </c>
      <c r="B1269" s="386" t="n"/>
      <c r="C1269" s="386" t="inlineStr">
        <is>
          <t>Báo cáo theo Thông tư 121/2020/TT-BTC &gt;&gt; Các thay đổi phải được chấp thuận trong kỳ</t>
        </is>
      </c>
      <c r="D1269" s="386" t="inlineStr">
        <is>
          <t>Trong nước &gt;&gt; Chi nhánh &gt;&gt; Đóng cửa</t>
        </is>
      </c>
      <c r="E1269" s="386" t="inlineStr">
        <is>
          <t>Trong nước &gt;&gt; Chi nhánh &gt;&gt; Đóng cửa</t>
        </is>
      </c>
      <c r="F1269" s="386" t="inlineStr">
        <is>
          <t>Data Explorer</t>
        </is>
      </c>
      <c r="G1269" s="386" t="inlineStr">
        <is>
          <t>Chỉ tiêu cơ sở</t>
        </is>
      </c>
      <c r="H1269" s="386" t="inlineStr">
        <is>
          <t>TB</t>
        </is>
      </c>
      <c r="I1269" s="386" t="inlineStr">
        <is>
          <t>Ngày, CTCK</t>
        </is>
      </c>
      <c r="J1269" s="395" t="inlineStr">
        <is>
          <t>SCMS</t>
        </is>
      </c>
      <c r="K1269" s="395" t="n"/>
      <c r="L1269" s="395" t="inlineStr">
        <is>
          <t>X</t>
        </is>
      </c>
      <c r="M1269" s="395" t="n"/>
      <c r="N1269" s="395" t="inlineStr">
        <is>
          <t>Done</t>
        </is>
      </c>
      <c r="O1269" s="401" t="n"/>
      <c r="P1269" s="395" t="n"/>
      <c r="S1269" s="395" t="n"/>
      <c r="U1269" s="20" t="inlineStr">
        <is>
          <t>Thiết kế CSDL có cột LABEL không, DB cũ có cột này để lưu các LABEL cha?</t>
        </is>
      </c>
      <c r="V1269" s="395" t="n"/>
      <c r="W1269" s="395" t="n"/>
      <c r="X1269" s="395" t="n"/>
      <c r="Y1269" s="14" t="n"/>
      <c r="Z1269" s="395" t="n"/>
      <c r="AA1269" s="395" t="n"/>
      <c r="AB1269" s="395" t="n"/>
      <c r="AC1269" s="395" t="n"/>
      <c r="AD1269" s="395" t="n"/>
      <c r="AE1269" s="395" t="n"/>
    </row>
    <row r="1270" ht="56" customHeight="1" s="380">
      <c r="A1270" s="73" t="n">
        <v>69</v>
      </c>
      <c r="B1270" s="386" t="n"/>
      <c r="C1270" s="386" t="inlineStr">
        <is>
          <t>Báo cáo theo Thông tư 121/2020/TT-BTC &gt;&gt; Các thay đổi phải được chấp thuận trong kỳ</t>
        </is>
      </c>
      <c r="D1270" s="386" t="inlineStr">
        <is>
          <t>Trong nước &gt;&gt; Chi nhánh &gt;&gt; Thành lập mới</t>
        </is>
      </c>
      <c r="E1270" s="386" t="inlineStr">
        <is>
          <t>Trong nước &gt;&gt; Chi nhánh &gt;&gt; Thành lập mới</t>
        </is>
      </c>
      <c r="F1270" s="386" t="inlineStr">
        <is>
          <t>Data Explorer</t>
        </is>
      </c>
      <c r="G1270" s="386" t="inlineStr">
        <is>
          <t>Chỉ tiêu cơ sở</t>
        </is>
      </c>
      <c r="H1270" s="386" t="inlineStr">
        <is>
          <t>TB</t>
        </is>
      </c>
      <c r="I1270" s="386" t="inlineStr">
        <is>
          <t>Ngày, CTCK</t>
        </is>
      </c>
      <c r="J1270" s="395" t="inlineStr">
        <is>
          <t>SCMS</t>
        </is>
      </c>
      <c r="K1270" s="395" t="n"/>
      <c r="L1270" s="395" t="inlineStr">
        <is>
          <t>X</t>
        </is>
      </c>
      <c r="M1270" s="395" t="n"/>
      <c r="N1270" s="395" t="inlineStr">
        <is>
          <t>Done</t>
        </is>
      </c>
      <c r="O1270" s="401" t="n"/>
      <c r="P1270" s="395" t="n"/>
      <c r="S1270" s="395" t="n"/>
      <c r="U1270" s="20" t="inlineStr">
        <is>
          <t>Thiết kế CSDL có cột LABEL không, DB cũ có cột này để lưu các LABEL cha?</t>
        </is>
      </c>
      <c r="V1270" s="395" t="n"/>
      <c r="W1270" s="395" t="n"/>
      <c r="X1270" s="395" t="n"/>
      <c r="Y1270" s="13" t="n"/>
      <c r="Z1270" s="395" t="n"/>
      <c r="AA1270" s="395" t="n"/>
      <c r="AB1270" s="395" t="n"/>
      <c r="AC1270" s="395" t="n"/>
      <c r="AD1270" s="395" t="n"/>
      <c r="AE1270" s="395" t="n"/>
    </row>
    <row r="1271" ht="56" customHeight="1" s="380">
      <c r="A1271" s="73" t="n">
        <v>69</v>
      </c>
      <c r="B1271" s="386" t="n"/>
      <c r="C1271" s="386" t="inlineStr">
        <is>
          <t>Báo cáo theo Thông tư 121/2020/TT-BTC &gt;&gt; Các thay đổi phải được chấp thuận trong kỳ</t>
        </is>
      </c>
      <c r="D1271" s="386" t="inlineStr">
        <is>
          <t>Trong nước &gt;&gt; Chi nhánh &gt;&gt; Thay tên</t>
        </is>
      </c>
      <c r="E1271" s="386" t="inlineStr">
        <is>
          <t>Trong nước &gt;&gt; Chi nhánh &gt;&gt; Thay tên</t>
        </is>
      </c>
      <c r="F1271" s="386" t="inlineStr">
        <is>
          <t>Data Explorer</t>
        </is>
      </c>
      <c r="G1271" s="386" t="inlineStr">
        <is>
          <t>Chỉ tiêu cơ sở</t>
        </is>
      </c>
      <c r="H1271" s="386" t="inlineStr">
        <is>
          <t>TB</t>
        </is>
      </c>
      <c r="I1271" s="386" t="inlineStr">
        <is>
          <t>Ngày, CTCK</t>
        </is>
      </c>
      <c r="J1271" s="395" t="inlineStr">
        <is>
          <t>SCMS</t>
        </is>
      </c>
      <c r="K1271" s="395" t="n"/>
      <c r="L1271" s="395" t="inlineStr">
        <is>
          <t>X</t>
        </is>
      </c>
      <c r="M1271" s="395" t="n"/>
      <c r="N1271" s="395" t="inlineStr">
        <is>
          <t>Done</t>
        </is>
      </c>
      <c r="O1271" s="401" t="n"/>
      <c r="P1271" s="395" t="n"/>
      <c r="S1271" s="395" t="n"/>
      <c r="U1271" s="20" t="inlineStr">
        <is>
          <t>Thiết kế CSDL có cột LABEL không, DB cũ có cột này để lưu các LABEL cha?</t>
        </is>
      </c>
      <c r="V1271" s="395" t="n"/>
      <c r="W1271" s="395" t="n"/>
      <c r="X1271" s="395" t="n"/>
      <c r="Y1271" s="13" t="n"/>
      <c r="Z1271" s="395" t="n"/>
      <c r="AA1271" s="395" t="n"/>
      <c r="AB1271" s="395" t="n"/>
      <c r="AC1271" s="395" t="n"/>
      <c r="AD1271" s="395" t="n"/>
      <c r="AE1271" s="395" t="n"/>
    </row>
    <row r="1272" ht="56" customHeight="1" s="380">
      <c r="A1272" s="73" t="n">
        <v>69</v>
      </c>
      <c r="B1272" s="386" t="n"/>
      <c r="C1272" s="386" t="inlineStr">
        <is>
          <t>Báo cáo theo Thông tư 121/2020/TT-BTC &gt;&gt; Các thay đổi phải được chấp thuận trong kỳ</t>
        </is>
      </c>
      <c r="D1272" s="386" t="inlineStr">
        <is>
          <t>Trong nước &gt;&gt; Chi nhánh &gt;&gt; Nhân sự cấp cao</t>
        </is>
      </c>
      <c r="E1272" s="386" t="inlineStr">
        <is>
          <t>Trong nước &gt;&gt; Chi nhánh &gt;&gt; Nhân sự cấp cao</t>
        </is>
      </c>
      <c r="F1272" s="386" t="inlineStr">
        <is>
          <t>Data Explorer</t>
        </is>
      </c>
      <c r="G1272" s="386" t="inlineStr">
        <is>
          <t>Chỉ tiêu cơ sở</t>
        </is>
      </c>
      <c r="H1272" s="386" t="inlineStr">
        <is>
          <t>TB</t>
        </is>
      </c>
      <c r="I1272" s="386" t="inlineStr">
        <is>
          <t>Ngày, CTCK</t>
        </is>
      </c>
      <c r="J1272" s="395" t="inlineStr">
        <is>
          <t>SCMS</t>
        </is>
      </c>
      <c r="K1272" s="395" t="n"/>
      <c r="L1272" s="395" t="inlineStr">
        <is>
          <t>X</t>
        </is>
      </c>
      <c r="M1272" s="395" t="n"/>
      <c r="N1272" s="395" t="inlineStr">
        <is>
          <t>Done</t>
        </is>
      </c>
      <c r="O1272" s="401" t="n"/>
      <c r="P1272" s="395" t="n"/>
      <c r="S1272" s="395" t="n"/>
      <c r="U1272" s="20" t="inlineStr">
        <is>
          <t>Thiết kế CSDL có cột LABEL không, DB cũ có cột này để lưu các LABEL cha?</t>
        </is>
      </c>
      <c r="V1272" s="395" t="n"/>
      <c r="W1272" s="395" t="n"/>
      <c r="X1272" s="395" t="n"/>
      <c r="Y1272" s="13" t="n"/>
      <c r="Z1272" s="395" t="n"/>
      <c r="AA1272" s="395" t="n"/>
      <c r="AB1272" s="395" t="n"/>
      <c r="AC1272" s="395" t="n"/>
      <c r="AD1272" s="395" t="n"/>
      <c r="AE1272" s="395" t="n"/>
    </row>
    <row r="1273" ht="56" customHeight="1" s="380">
      <c r="A1273" s="73" t="n">
        <v>69</v>
      </c>
      <c r="B1273" s="386" t="n"/>
      <c r="C1273" s="386" t="inlineStr">
        <is>
          <t>Báo cáo theo Thông tư 121/2020/TT-BTC &gt;&gt; Các thay đổi phải được chấp thuận trong kỳ</t>
        </is>
      </c>
      <c r="D1273" s="386" t="inlineStr">
        <is>
          <t>Trong nước &gt;&gt; Chi nhánh &gt;&gt; Thay đổi nghiệp vụ kinh doanh</t>
        </is>
      </c>
      <c r="E1273" s="386" t="inlineStr">
        <is>
          <t>Trong nước &gt;&gt; Chi nhánh &gt;&gt; Thay đổi nghiệp vụ kinh doanh</t>
        </is>
      </c>
      <c r="F1273" s="386" t="inlineStr">
        <is>
          <t>Data Explorer</t>
        </is>
      </c>
      <c r="G1273" s="386" t="inlineStr">
        <is>
          <t>Chỉ tiêu cơ sở</t>
        </is>
      </c>
      <c r="H1273" s="386" t="inlineStr">
        <is>
          <t>TB</t>
        </is>
      </c>
      <c r="I1273" s="386" t="inlineStr">
        <is>
          <t>Ngày, CTCK</t>
        </is>
      </c>
      <c r="J1273" s="395" t="inlineStr">
        <is>
          <t>SCMS</t>
        </is>
      </c>
      <c r="K1273" s="395" t="n"/>
      <c r="L1273" s="395" t="inlineStr">
        <is>
          <t>X</t>
        </is>
      </c>
      <c r="M1273" s="395" t="n"/>
      <c r="N1273" s="395" t="inlineStr">
        <is>
          <t>Done</t>
        </is>
      </c>
      <c r="O1273" s="401" t="n"/>
      <c r="P1273" s="395" t="n"/>
      <c r="S1273" s="395" t="n"/>
      <c r="U1273" s="20" t="inlineStr">
        <is>
          <t>Thiết kế CSDL có cột LABEL không, DB cũ có cột này để lưu các LABEL cha?</t>
        </is>
      </c>
      <c r="V1273" s="395" t="n"/>
      <c r="W1273" s="395" t="n"/>
      <c r="X1273" s="395" t="n"/>
      <c r="Y1273" s="13" t="n"/>
      <c r="Z1273" s="395" t="n"/>
      <c r="AA1273" s="395" t="n"/>
      <c r="AB1273" s="395" t="n"/>
      <c r="AC1273" s="395" t="n"/>
      <c r="AD1273" s="395" t="n"/>
      <c r="AE1273" s="395" t="n"/>
    </row>
    <row r="1274" ht="56" customHeight="1" s="380">
      <c r="A1274" s="73" t="n">
        <v>69</v>
      </c>
      <c r="B1274" s="386" t="n"/>
      <c r="C1274" s="386" t="inlineStr">
        <is>
          <t>Báo cáo theo Thông tư 121/2020/TT-BTC &gt;&gt; Các thay đổi phải được chấp thuận trong kỳ</t>
        </is>
      </c>
      <c r="D1274" s="386" t="inlineStr">
        <is>
          <t>Trong nước &gt;&gt; Phòng giao dịch &gt;&gt; Địa điểm</t>
        </is>
      </c>
      <c r="E1274" s="386" t="inlineStr">
        <is>
          <t>Trong nước &gt;&gt; Phòng giao dịch &gt;&gt; Địa điểm</t>
        </is>
      </c>
      <c r="F1274" s="386" t="inlineStr">
        <is>
          <t>Data Explorer</t>
        </is>
      </c>
      <c r="G1274" s="386" t="inlineStr">
        <is>
          <t>Chỉ tiêu cơ sở</t>
        </is>
      </c>
      <c r="H1274" s="386" t="inlineStr">
        <is>
          <t>TB</t>
        </is>
      </c>
      <c r="I1274" s="386" t="inlineStr">
        <is>
          <t>Ngày, CTCK</t>
        </is>
      </c>
      <c r="J1274" s="395" t="inlineStr">
        <is>
          <t>SCMS</t>
        </is>
      </c>
      <c r="K1274" s="395" t="n"/>
      <c r="L1274" s="395" t="inlineStr">
        <is>
          <t>X</t>
        </is>
      </c>
      <c r="M1274" s="395" t="n"/>
      <c r="N1274" s="395" t="inlineStr">
        <is>
          <t>Done</t>
        </is>
      </c>
      <c r="O1274" s="401" t="n"/>
      <c r="P1274" s="395" t="n"/>
      <c r="S1274" s="395" t="n"/>
      <c r="U1274" s="20" t="inlineStr">
        <is>
          <t>Thiết kế CSDL có cột LABEL không, DB cũ có cột này để lưu các LABEL cha?</t>
        </is>
      </c>
      <c r="V1274" s="395" t="n"/>
      <c r="W1274" s="395" t="n"/>
      <c r="X1274" s="395" t="n"/>
      <c r="Y1274" s="13" t="n"/>
      <c r="Z1274" s="395" t="n"/>
      <c r="AA1274" s="395" t="n"/>
      <c r="AB1274" s="395" t="n"/>
      <c r="AC1274" s="395" t="n"/>
      <c r="AD1274" s="395" t="n"/>
      <c r="AE1274" s="395" t="n"/>
    </row>
    <row r="1275" ht="56" customHeight="1" s="380">
      <c r="A1275" s="73" t="n">
        <v>69</v>
      </c>
      <c r="B1275" s="386" t="n"/>
      <c r="C1275" s="386" t="inlineStr">
        <is>
          <t>Báo cáo theo Thông tư 121/2020/TT-BTC &gt;&gt; Các thay đổi phải được chấp thuận trong kỳ</t>
        </is>
      </c>
      <c r="D1275" s="386" t="inlineStr">
        <is>
          <t>Trong nước &gt;&gt; Phòng giao dịch &gt;&gt; Đóng cửa</t>
        </is>
      </c>
      <c r="E1275" s="386" t="inlineStr">
        <is>
          <t>Trong nước &gt;&gt; Phòng giao dịch &gt;&gt; Đóng cửa</t>
        </is>
      </c>
      <c r="F1275" s="386" t="inlineStr">
        <is>
          <t>Data Explorer</t>
        </is>
      </c>
      <c r="G1275" s="386" t="inlineStr">
        <is>
          <t>Chỉ tiêu cơ sở</t>
        </is>
      </c>
      <c r="H1275" s="386" t="inlineStr">
        <is>
          <t>TB</t>
        </is>
      </c>
      <c r="I1275" s="386" t="inlineStr">
        <is>
          <t>Ngày, CTCK</t>
        </is>
      </c>
      <c r="J1275" s="395" t="inlineStr">
        <is>
          <t>SCMS</t>
        </is>
      </c>
      <c r="K1275" s="395" t="n"/>
      <c r="L1275" s="395" t="inlineStr">
        <is>
          <t>X</t>
        </is>
      </c>
      <c r="M1275" s="395" t="n"/>
      <c r="N1275" s="395" t="inlineStr">
        <is>
          <t>Done</t>
        </is>
      </c>
      <c r="O1275" s="401" t="n"/>
      <c r="P1275" s="395" t="n"/>
      <c r="S1275" s="395" t="n"/>
      <c r="U1275" s="20" t="inlineStr">
        <is>
          <t>Thiết kế CSDL có cột LABEL không, DB cũ có cột này để lưu các LABEL cha?</t>
        </is>
      </c>
      <c r="V1275" s="395" t="n"/>
      <c r="W1275" s="395" t="n"/>
      <c r="X1275" s="395" t="n"/>
      <c r="Y1275" s="14" t="n"/>
      <c r="Z1275" s="395" t="n"/>
      <c r="AA1275" s="395" t="n"/>
      <c r="AB1275" s="395" t="n"/>
      <c r="AC1275" s="395" t="n"/>
      <c r="AD1275" s="395" t="n"/>
      <c r="AE1275" s="395" t="n"/>
    </row>
    <row r="1276" ht="56" customHeight="1" s="380">
      <c r="A1276" s="73" t="n">
        <v>69</v>
      </c>
      <c r="B1276" s="386" t="n"/>
      <c r="C1276" s="386" t="inlineStr">
        <is>
          <t>Báo cáo theo Thông tư 121/2020/TT-BTC &gt;&gt; Các thay đổi phải được chấp thuận trong kỳ</t>
        </is>
      </c>
      <c r="D1276" s="386" t="inlineStr">
        <is>
          <t>Trong nước &gt;&gt; Phòng giao dịch &gt;&gt; Thành lập mới</t>
        </is>
      </c>
      <c r="E1276" s="386" t="inlineStr">
        <is>
          <t>Trong nước &gt;&gt; Phòng giao dịch &gt;&gt; Thành lập mới</t>
        </is>
      </c>
      <c r="F1276" s="386" t="inlineStr">
        <is>
          <t>Data Explorer</t>
        </is>
      </c>
      <c r="G1276" s="386" t="inlineStr">
        <is>
          <t>Chỉ tiêu cơ sở</t>
        </is>
      </c>
      <c r="H1276" s="386" t="inlineStr">
        <is>
          <t>TB</t>
        </is>
      </c>
      <c r="I1276" s="386" t="inlineStr">
        <is>
          <t>Ngày, CTCK</t>
        </is>
      </c>
      <c r="J1276" s="395" t="inlineStr">
        <is>
          <t>SCMS</t>
        </is>
      </c>
      <c r="K1276" s="395" t="n"/>
      <c r="L1276" s="395" t="inlineStr">
        <is>
          <t>X</t>
        </is>
      </c>
      <c r="M1276" s="395" t="n"/>
      <c r="N1276" s="395" t="inlineStr">
        <is>
          <t>Done</t>
        </is>
      </c>
      <c r="O1276" s="401" t="n"/>
      <c r="P1276" s="395" t="n"/>
      <c r="S1276" s="395" t="n"/>
      <c r="U1276" s="20" t="inlineStr">
        <is>
          <t>Thiết kế CSDL có cột LABEL không, DB cũ có cột này để lưu các LABEL cha?</t>
        </is>
      </c>
      <c r="V1276" s="395" t="n"/>
      <c r="W1276" s="395" t="n"/>
      <c r="X1276" s="395" t="n"/>
      <c r="Y1276" s="13" t="n"/>
      <c r="Z1276" s="395" t="n"/>
      <c r="AA1276" s="395" t="n"/>
      <c r="AB1276" s="395" t="n"/>
      <c r="AC1276" s="395" t="n"/>
      <c r="AD1276" s="395" t="n"/>
      <c r="AE1276" s="395" t="n"/>
    </row>
    <row r="1277" ht="56" customHeight="1" s="380">
      <c r="A1277" s="73" t="n">
        <v>69</v>
      </c>
      <c r="B1277" s="386" t="n"/>
      <c r="C1277" s="386" t="inlineStr">
        <is>
          <t>Báo cáo theo Thông tư 121/2020/TT-BTC &gt;&gt; Các thay đổi phải được chấp thuận trong kỳ</t>
        </is>
      </c>
      <c r="D1277" s="386" t="inlineStr">
        <is>
          <t>Trong nước &gt;&gt; Phòng giao dịch &gt;&gt; Thay tên</t>
        </is>
      </c>
      <c r="E1277" s="386" t="inlineStr">
        <is>
          <t>Trong nước &gt;&gt; Phòng giao dịch &gt;&gt; Thay tên</t>
        </is>
      </c>
      <c r="F1277" s="386" t="inlineStr">
        <is>
          <t>Data Explorer</t>
        </is>
      </c>
      <c r="G1277" s="386" t="inlineStr">
        <is>
          <t>Chỉ tiêu cơ sở</t>
        </is>
      </c>
      <c r="H1277" s="386" t="inlineStr">
        <is>
          <t>TB</t>
        </is>
      </c>
      <c r="I1277" s="386" t="inlineStr">
        <is>
          <t>Ngày, CTCK</t>
        </is>
      </c>
      <c r="J1277" s="395" t="inlineStr">
        <is>
          <t>SCMS</t>
        </is>
      </c>
      <c r="K1277" s="395" t="n"/>
      <c r="L1277" s="395" t="inlineStr">
        <is>
          <t>X</t>
        </is>
      </c>
      <c r="M1277" s="395" t="n"/>
      <c r="N1277" s="395" t="inlineStr">
        <is>
          <t>Done</t>
        </is>
      </c>
      <c r="O1277" s="401" t="n"/>
      <c r="P1277" s="395" t="n"/>
      <c r="S1277" s="395" t="n"/>
      <c r="U1277" s="20" t="inlineStr">
        <is>
          <t>Thiết kế CSDL có cột LABEL không, DB cũ có cột này để lưu các LABEL cha?</t>
        </is>
      </c>
      <c r="V1277" s="395" t="n"/>
      <c r="W1277" s="395" t="n"/>
      <c r="X1277" s="395" t="n"/>
      <c r="Y1277" s="13" t="n"/>
      <c r="Z1277" s="395" t="n"/>
      <c r="AA1277" s="395" t="n"/>
      <c r="AB1277" s="395" t="n"/>
      <c r="AC1277" s="395" t="n"/>
      <c r="AD1277" s="395" t="n"/>
      <c r="AE1277" s="395" t="n"/>
    </row>
    <row r="1278" ht="56" customHeight="1" s="380">
      <c r="A1278" s="73" t="n">
        <v>69</v>
      </c>
      <c r="B1278" s="386" t="n"/>
      <c r="C1278" s="386" t="inlineStr">
        <is>
          <t>Báo cáo theo Thông tư 121/2020/TT-BTC &gt;&gt; Các thay đổi phải được chấp thuận trong kỳ</t>
        </is>
      </c>
      <c r="D1278" s="386" t="inlineStr">
        <is>
          <t>Trong nước &gt;&gt; Phòng giao dịch &gt;&gt; Nhân sự cấp cao</t>
        </is>
      </c>
      <c r="E1278" s="386" t="inlineStr">
        <is>
          <t>Trong nước &gt;&gt; Phòng giao dịch &gt;&gt; Nhân sự cấp cao</t>
        </is>
      </c>
      <c r="F1278" s="386" t="inlineStr">
        <is>
          <t>Data Explorer</t>
        </is>
      </c>
      <c r="G1278" s="386" t="inlineStr">
        <is>
          <t>Chỉ tiêu cơ sở</t>
        </is>
      </c>
      <c r="H1278" s="386" t="inlineStr">
        <is>
          <t>TB</t>
        </is>
      </c>
      <c r="I1278" s="386" t="inlineStr">
        <is>
          <t>Ngày, CTCK</t>
        </is>
      </c>
      <c r="J1278" s="395" t="inlineStr">
        <is>
          <t>SCMS</t>
        </is>
      </c>
      <c r="K1278" s="395" t="n"/>
      <c r="L1278" s="395" t="inlineStr">
        <is>
          <t>X</t>
        </is>
      </c>
      <c r="M1278" s="395" t="n"/>
      <c r="N1278" s="395" t="inlineStr">
        <is>
          <t>Done</t>
        </is>
      </c>
      <c r="O1278" s="401" t="n"/>
      <c r="P1278" s="395" t="n"/>
      <c r="S1278" s="395" t="n"/>
      <c r="U1278" s="20" t="inlineStr">
        <is>
          <t>Thiết kế CSDL có cột LABEL không, DB cũ có cột này để lưu các LABEL cha?</t>
        </is>
      </c>
      <c r="V1278" s="395" t="n"/>
      <c r="W1278" s="395" t="n"/>
      <c r="X1278" s="395" t="n"/>
      <c r="Y1278" s="13" t="n"/>
      <c r="Z1278" s="395" t="n"/>
      <c r="AA1278" s="395" t="n"/>
      <c r="AB1278" s="395" t="n"/>
      <c r="AC1278" s="395" t="n"/>
      <c r="AD1278" s="395" t="n"/>
      <c r="AE1278" s="395" t="n"/>
    </row>
    <row r="1279" ht="56" customHeight="1" s="380">
      <c r="A1279" s="73" t="n">
        <v>69</v>
      </c>
      <c r="B1279" s="386" t="n"/>
      <c r="C1279" s="386" t="inlineStr">
        <is>
          <t>Báo cáo theo Thông tư 121/2020/TT-BTC &gt;&gt; Các thay đổi phải được chấp thuận trong kỳ</t>
        </is>
      </c>
      <c r="D1279" s="386" t="inlineStr">
        <is>
          <t>Trong nước &gt;&gt; Phòng giao dịch &gt;&gt; Thay đổi nghiệp vụ kinh doanh</t>
        </is>
      </c>
      <c r="E1279" s="386" t="inlineStr">
        <is>
          <t>Trong nước &gt;&gt; Phòng giao dịch &gt;&gt; Thay đổi nghiệp vụ kinh doanh</t>
        </is>
      </c>
      <c r="F1279" s="386" t="inlineStr">
        <is>
          <t>Data Explorer</t>
        </is>
      </c>
      <c r="G1279" s="386" t="inlineStr">
        <is>
          <t>Chỉ tiêu cơ sở</t>
        </is>
      </c>
      <c r="H1279" s="386" t="inlineStr">
        <is>
          <t>TB</t>
        </is>
      </c>
      <c r="I1279" s="386" t="inlineStr">
        <is>
          <t>Ngày, CTCK</t>
        </is>
      </c>
      <c r="J1279" s="395" t="inlineStr">
        <is>
          <t>SCMS</t>
        </is>
      </c>
      <c r="K1279" s="395" t="n"/>
      <c r="L1279" s="395" t="inlineStr">
        <is>
          <t>X</t>
        </is>
      </c>
      <c r="M1279" s="395" t="n"/>
      <c r="N1279" s="395" t="inlineStr">
        <is>
          <t>Done</t>
        </is>
      </c>
      <c r="O1279" s="401" t="n"/>
      <c r="P1279" s="395" t="n"/>
      <c r="S1279" s="395" t="n"/>
      <c r="U1279" s="20" t="inlineStr">
        <is>
          <t>Thiết kế CSDL có cột LABEL không, DB cũ có cột này để lưu các LABEL cha?</t>
        </is>
      </c>
      <c r="V1279" s="395" t="n"/>
      <c r="W1279" s="395" t="n"/>
      <c r="X1279" s="395" t="n"/>
      <c r="Y1279" s="13" t="n"/>
      <c r="Z1279" s="395" t="n"/>
      <c r="AA1279" s="395" t="n"/>
      <c r="AB1279" s="395" t="n"/>
      <c r="AC1279" s="395" t="n"/>
      <c r="AD1279" s="395" t="n"/>
      <c r="AE1279" s="395" t="n"/>
    </row>
    <row r="1280" ht="56" customHeight="1" s="380">
      <c r="A1280" s="73" t="n">
        <v>69</v>
      </c>
      <c r="B1280" s="386" t="n"/>
      <c r="C1280" s="386" t="inlineStr">
        <is>
          <t>Báo cáo theo Thông tư 121/2020/TT-BTC &gt;&gt; Các thay đổi phải được chấp thuận trong kỳ</t>
        </is>
      </c>
      <c r="D1280" s="386" t="inlineStr">
        <is>
          <t>Trong nước &gt;&gt; Văn phòng đại diện &gt;&gt; Địa điểm</t>
        </is>
      </c>
      <c r="E1280" s="386" t="inlineStr">
        <is>
          <t>Trong nước &gt;&gt; Văn phòng đại diện &gt;&gt; Địa điểm</t>
        </is>
      </c>
      <c r="F1280" s="386" t="inlineStr">
        <is>
          <t>Data Explorer</t>
        </is>
      </c>
      <c r="G1280" s="386" t="inlineStr">
        <is>
          <t>Chỉ tiêu cơ sở</t>
        </is>
      </c>
      <c r="H1280" s="386" t="inlineStr">
        <is>
          <t>TB</t>
        </is>
      </c>
      <c r="I1280" s="386" t="inlineStr">
        <is>
          <t>Ngày, CTCK</t>
        </is>
      </c>
      <c r="J1280" s="395" t="inlineStr">
        <is>
          <t>SCMS</t>
        </is>
      </c>
      <c r="K1280" s="395" t="n"/>
      <c r="L1280" s="395" t="inlineStr">
        <is>
          <t>X</t>
        </is>
      </c>
      <c r="M1280" s="395" t="n"/>
      <c r="N1280" s="395" t="inlineStr">
        <is>
          <t>Done</t>
        </is>
      </c>
      <c r="O1280" s="401" t="n"/>
      <c r="P1280" s="395" t="n"/>
      <c r="S1280" s="395" t="n"/>
      <c r="U1280" s="20" t="inlineStr">
        <is>
          <t>Thiết kế CSDL có cột LABEL không, DB cũ có cột này để lưu các LABEL cha?</t>
        </is>
      </c>
      <c r="V1280" s="395" t="n"/>
      <c r="W1280" s="395" t="n"/>
      <c r="X1280" s="395" t="n"/>
      <c r="Y1280" s="13" t="n"/>
      <c r="Z1280" s="395" t="n"/>
      <c r="AA1280" s="395" t="n"/>
      <c r="AB1280" s="395" t="n"/>
      <c r="AC1280" s="395" t="n"/>
      <c r="AD1280" s="395" t="n"/>
      <c r="AE1280" s="395" t="n"/>
    </row>
    <row r="1281" ht="56" customHeight="1" s="380">
      <c r="A1281" s="73" t="n">
        <v>69</v>
      </c>
      <c r="B1281" s="386" t="n"/>
      <c r="C1281" s="386" t="inlineStr">
        <is>
          <t>Báo cáo theo Thông tư 121/2020/TT-BTC &gt;&gt; Các thay đổi phải được chấp thuận trong kỳ</t>
        </is>
      </c>
      <c r="D1281" s="386" t="inlineStr">
        <is>
          <t>Trong nước &gt;&gt; Văn phòng đại diện &gt;&gt; Đóng cửa</t>
        </is>
      </c>
      <c r="E1281" s="386" t="inlineStr">
        <is>
          <t>Trong nước &gt;&gt; Văn phòng đại diện &gt;&gt; Đóng cửa</t>
        </is>
      </c>
      <c r="F1281" s="386" t="inlineStr">
        <is>
          <t>Data Explorer</t>
        </is>
      </c>
      <c r="G1281" s="386" t="inlineStr">
        <is>
          <t>Chỉ tiêu cơ sở</t>
        </is>
      </c>
      <c r="H1281" s="386" t="inlineStr">
        <is>
          <t>TB</t>
        </is>
      </c>
      <c r="I1281" s="386" t="inlineStr">
        <is>
          <t>Ngày, CTCK</t>
        </is>
      </c>
      <c r="J1281" s="395" t="inlineStr">
        <is>
          <t>SCMS</t>
        </is>
      </c>
      <c r="K1281" s="395" t="n"/>
      <c r="L1281" s="395" t="inlineStr">
        <is>
          <t>X</t>
        </is>
      </c>
      <c r="M1281" s="395" t="n"/>
      <c r="N1281" s="395" t="inlineStr">
        <is>
          <t>Done</t>
        </is>
      </c>
      <c r="O1281" s="401" t="n"/>
      <c r="P1281" s="395" t="n"/>
      <c r="S1281" s="395" t="n"/>
      <c r="U1281" s="20" t="inlineStr">
        <is>
          <t>Thiết kế CSDL có cột LABEL không, DB cũ có cột này để lưu các LABEL cha?</t>
        </is>
      </c>
      <c r="V1281" s="395" t="n"/>
      <c r="W1281" s="395" t="n"/>
      <c r="X1281" s="395" t="n"/>
      <c r="Y1281" s="38" t="n"/>
      <c r="Z1281" s="395" t="n"/>
      <c r="AA1281" s="395" t="n"/>
      <c r="AB1281" s="395" t="n"/>
      <c r="AC1281" s="395" t="n"/>
      <c r="AD1281" s="395" t="n"/>
      <c r="AE1281" s="395" t="n"/>
    </row>
    <row r="1282" ht="56" customHeight="1" s="380">
      <c r="A1282" s="73" t="n">
        <v>69</v>
      </c>
      <c r="B1282" s="386" t="n"/>
      <c r="C1282" s="386" t="inlineStr">
        <is>
          <t>Báo cáo theo Thông tư 121/2020/TT-BTC &gt;&gt; Các thay đổi phải được chấp thuận trong kỳ</t>
        </is>
      </c>
      <c r="D1282" s="386" t="inlineStr">
        <is>
          <t>Trong nước &gt;&gt; Văn phòng đại diện &gt;&gt; Thành lập mới</t>
        </is>
      </c>
      <c r="E1282" s="386" t="inlineStr">
        <is>
          <t>Trong nước &gt;&gt; Văn phòng đại diện &gt;&gt; Thành lập mới</t>
        </is>
      </c>
      <c r="F1282" s="386" t="inlineStr">
        <is>
          <t>Data Explorer</t>
        </is>
      </c>
      <c r="G1282" s="386" t="inlineStr">
        <is>
          <t>Chỉ tiêu cơ sở</t>
        </is>
      </c>
      <c r="H1282" s="386" t="inlineStr">
        <is>
          <t>TB</t>
        </is>
      </c>
      <c r="I1282" s="386" t="inlineStr">
        <is>
          <t>Ngày, CTCK</t>
        </is>
      </c>
      <c r="J1282" s="395" t="inlineStr">
        <is>
          <t>SCMS</t>
        </is>
      </c>
      <c r="K1282" s="395" t="n"/>
      <c r="L1282" s="395" t="inlineStr">
        <is>
          <t>X</t>
        </is>
      </c>
      <c r="M1282" s="395" t="n"/>
      <c r="N1282" s="395" t="inlineStr">
        <is>
          <t>Done</t>
        </is>
      </c>
      <c r="O1282" s="401" t="n"/>
      <c r="P1282" s="395" t="n"/>
      <c r="S1282" s="395" t="n"/>
      <c r="U1282" s="20" t="inlineStr">
        <is>
          <t>Thiết kế CSDL có cột LABEL không, DB cũ có cột này để lưu các LABEL cha?</t>
        </is>
      </c>
      <c r="V1282" s="395" t="n"/>
      <c r="W1282" s="395" t="n"/>
      <c r="X1282" s="395" t="n"/>
      <c r="Y1282" s="13" t="n"/>
      <c r="Z1282" s="395" t="n"/>
      <c r="AA1282" s="395" t="n"/>
      <c r="AB1282" s="395" t="n"/>
      <c r="AC1282" s="395" t="n"/>
      <c r="AD1282" s="395" t="n"/>
      <c r="AE1282" s="395" t="n"/>
    </row>
    <row r="1283" ht="56" customHeight="1" s="380">
      <c r="A1283" s="73" t="n">
        <v>69</v>
      </c>
      <c r="B1283" s="386" t="n"/>
      <c r="C1283" s="386" t="inlineStr">
        <is>
          <t>Báo cáo theo Thông tư 121/2020/TT-BTC &gt;&gt; Các thay đổi phải được chấp thuận trong kỳ</t>
        </is>
      </c>
      <c r="D1283" s="386" t="inlineStr">
        <is>
          <t>Trong nước &gt;&gt; Văn phòng đại diện &gt;&gt; Thay tên</t>
        </is>
      </c>
      <c r="E1283" s="386" t="inlineStr">
        <is>
          <t>Trong nước &gt;&gt; Văn phòng đại diện &gt;&gt; Thay tên</t>
        </is>
      </c>
      <c r="F1283" s="386" t="inlineStr">
        <is>
          <t>Data Explorer</t>
        </is>
      </c>
      <c r="G1283" s="386" t="inlineStr">
        <is>
          <t>Chỉ tiêu cơ sở</t>
        </is>
      </c>
      <c r="H1283" s="386" t="inlineStr">
        <is>
          <t>TB</t>
        </is>
      </c>
      <c r="I1283" s="386" t="inlineStr">
        <is>
          <t>Ngày, CTCK</t>
        </is>
      </c>
      <c r="J1283" s="395" t="inlineStr">
        <is>
          <t>SCMS</t>
        </is>
      </c>
      <c r="K1283" s="395" t="n"/>
      <c r="L1283" s="395" t="inlineStr">
        <is>
          <t>X</t>
        </is>
      </c>
      <c r="M1283" s="395" t="n"/>
      <c r="N1283" s="395" t="inlineStr">
        <is>
          <t>Done</t>
        </is>
      </c>
      <c r="O1283" s="401" t="n"/>
      <c r="P1283" s="395" t="n"/>
      <c r="S1283" s="395" t="n"/>
      <c r="U1283" s="20" t="inlineStr">
        <is>
          <t>Thiết kế CSDL có cột LABEL không, DB cũ có cột này để lưu các LABEL cha?</t>
        </is>
      </c>
      <c r="V1283" s="395" t="n"/>
      <c r="W1283" s="395" t="n"/>
      <c r="X1283" s="395" t="n"/>
      <c r="Y1283" s="13" t="n"/>
      <c r="Z1283" s="395" t="n"/>
      <c r="AA1283" s="395" t="n"/>
      <c r="AB1283" s="395" t="n"/>
      <c r="AC1283" s="395" t="n"/>
      <c r="AD1283" s="395" t="n"/>
      <c r="AE1283" s="395" t="n"/>
    </row>
    <row r="1284" ht="56" customHeight="1" s="380">
      <c r="A1284" s="73" t="n">
        <v>69</v>
      </c>
      <c r="B1284" s="386" t="n"/>
      <c r="C1284" s="386" t="inlineStr">
        <is>
          <t>Báo cáo theo Thông tư 121/2020/TT-BTC &gt;&gt; Các thay đổi phải được chấp thuận trong kỳ</t>
        </is>
      </c>
      <c r="D1284" s="386" t="inlineStr">
        <is>
          <t>Trong nước &gt;&gt; Văn phòng đại diện &gt;&gt; Nhân sự cấp cao</t>
        </is>
      </c>
      <c r="E1284" s="386" t="inlineStr">
        <is>
          <t>Trong nước &gt;&gt; Văn phòng đại diện &gt;&gt; Nhân sự cấp cao</t>
        </is>
      </c>
      <c r="F1284" s="386" t="inlineStr">
        <is>
          <t>Data Explorer</t>
        </is>
      </c>
      <c r="G1284" s="386" t="inlineStr">
        <is>
          <t>Chỉ tiêu cơ sở</t>
        </is>
      </c>
      <c r="H1284" s="386" t="inlineStr">
        <is>
          <t>TB</t>
        </is>
      </c>
      <c r="I1284" s="386" t="inlineStr">
        <is>
          <t>Ngày, CTCK</t>
        </is>
      </c>
      <c r="J1284" s="395" t="inlineStr">
        <is>
          <t>SCMS</t>
        </is>
      </c>
      <c r="K1284" s="395" t="n"/>
      <c r="L1284" s="395" t="inlineStr">
        <is>
          <t>X</t>
        </is>
      </c>
      <c r="M1284" s="395" t="n"/>
      <c r="N1284" s="395" t="inlineStr">
        <is>
          <t>Done</t>
        </is>
      </c>
      <c r="O1284" s="401" t="n"/>
      <c r="P1284" s="395" t="n"/>
      <c r="S1284" s="395" t="n"/>
      <c r="U1284" s="20" t="inlineStr">
        <is>
          <t>Thiết kế CSDL có cột LABEL không, DB cũ có cột này để lưu các LABEL cha?</t>
        </is>
      </c>
      <c r="V1284" s="395" t="n"/>
      <c r="W1284" s="395" t="n"/>
      <c r="X1284" s="395" t="n"/>
      <c r="Y1284" s="13" t="n"/>
      <c r="Z1284" s="395" t="n"/>
      <c r="AA1284" s="395" t="n"/>
      <c r="AB1284" s="395" t="n"/>
      <c r="AC1284" s="395" t="n"/>
      <c r="AD1284" s="395" t="n"/>
      <c r="AE1284" s="395" t="n"/>
    </row>
    <row r="1285" ht="56" customHeight="1" s="380">
      <c r="A1285" s="73" t="n">
        <v>69</v>
      </c>
      <c r="B1285" s="386" t="n"/>
      <c r="C1285" s="386" t="inlineStr">
        <is>
          <t>Báo cáo theo Thông tư 121/2020/TT-BTC &gt;&gt; Các thay đổi phải được chấp thuận trong kỳ</t>
        </is>
      </c>
      <c r="D1285" s="386" t="inlineStr">
        <is>
          <t>Trong nước &gt;&gt; Văn phòng đại diện &gt;&gt; Thay đổi nghiệp vụ kinh doanh</t>
        </is>
      </c>
      <c r="E1285" s="386" t="inlineStr">
        <is>
          <t>Trong nước &gt;&gt; Văn phòng đại diện &gt;&gt; Thay đổi nghiệp vụ kinh doanh</t>
        </is>
      </c>
      <c r="F1285" s="386" t="inlineStr">
        <is>
          <t>Data Explorer</t>
        </is>
      </c>
      <c r="G1285" s="386" t="inlineStr">
        <is>
          <t>Chỉ tiêu cơ sở</t>
        </is>
      </c>
      <c r="H1285" s="386" t="inlineStr">
        <is>
          <t>TB</t>
        </is>
      </c>
      <c r="I1285" s="386" t="inlineStr">
        <is>
          <t>Ngày, CTCK</t>
        </is>
      </c>
      <c r="J1285" s="395" t="inlineStr">
        <is>
          <t>SCMS</t>
        </is>
      </c>
      <c r="K1285" s="395" t="n"/>
      <c r="L1285" s="395" t="inlineStr">
        <is>
          <t>X</t>
        </is>
      </c>
      <c r="M1285" s="395" t="n"/>
      <c r="N1285" s="395" t="inlineStr">
        <is>
          <t>Done</t>
        </is>
      </c>
      <c r="O1285" s="401" t="n"/>
      <c r="P1285" s="395" t="n"/>
      <c r="S1285" s="395" t="n"/>
      <c r="U1285" s="20" t="inlineStr">
        <is>
          <t>Thiết kế CSDL có cột LABEL không, DB cũ có cột này để lưu các LABEL cha?</t>
        </is>
      </c>
      <c r="V1285" s="395" t="n"/>
      <c r="W1285" s="395" t="n"/>
      <c r="X1285" s="395" t="n"/>
      <c r="Y1285" s="13" t="n"/>
      <c r="Z1285" s="395" t="n"/>
      <c r="AA1285" s="395" t="n"/>
      <c r="AB1285" s="395" t="n"/>
      <c r="AC1285" s="395" t="n"/>
      <c r="AD1285" s="395" t="n"/>
      <c r="AE1285" s="395" t="n"/>
    </row>
    <row r="1286" ht="56" customHeight="1" s="380">
      <c r="A1286" s="73" t="n">
        <v>69</v>
      </c>
      <c r="B1286" s="386" t="n"/>
      <c r="C1286" s="386" t="inlineStr">
        <is>
          <t>Báo cáo theo Thông tư 121/2020/TT-BTC &gt;&gt; Các thay đổi phải được chấp thuận trong kỳ</t>
        </is>
      </c>
      <c r="D1286" s="386" t="inlineStr">
        <is>
          <t>Nước ngoài &gt;&gt; Chi nhánh &gt;&gt; Địa điểm</t>
        </is>
      </c>
      <c r="E1286" s="386" t="inlineStr">
        <is>
          <t>Nước ngoài &gt;&gt; Chi nhánh &gt;&gt; Địa điểm</t>
        </is>
      </c>
      <c r="F1286" s="386" t="inlineStr">
        <is>
          <t>Data Explorer</t>
        </is>
      </c>
      <c r="G1286" s="386" t="inlineStr">
        <is>
          <t>Chỉ tiêu cơ sở</t>
        </is>
      </c>
      <c r="H1286" s="386" t="inlineStr">
        <is>
          <t>TB</t>
        </is>
      </c>
      <c r="I1286" s="386" t="inlineStr">
        <is>
          <t>Ngày, CTCK</t>
        </is>
      </c>
      <c r="J1286" s="395" t="inlineStr">
        <is>
          <t>SCMS</t>
        </is>
      </c>
      <c r="K1286" s="395" t="n"/>
      <c r="L1286" s="395" t="inlineStr">
        <is>
          <t>X</t>
        </is>
      </c>
      <c r="M1286" s="395" t="n"/>
      <c r="N1286" s="395" t="inlineStr">
        <is>
          <t>Done</t>
        </is>
      </c>
      <c r="O1286" s="401" t="n"/>
      <c r="P1286" s="395" t="n"/>
      <c r="S1286" s="395" t="n"/>
      <c r="U1286" s="20" t="inlineStr">
        <is>
          <t>Thiết kế CSDL có cột LABEL không, DB cũ có cột này để lưu các LABEL cha?</t>
        </is>
      </c>
      <c r="V1286" s="395" t="n"/>
      <c r="W1286" s="395" t="n"/>
      <c r="X1286" s="395" t="n"/>
      <c r="Y1286" s="13" t="n"/>
      <c r="Z1286" s="395" t="n"/>
      <c r="AA1286" s="395" t="n"/>
      <c r="AB1286" s="395" t="n"/>
      <c r="AC1286" s="395" t="n"/>
      <c r="AD1286" s="395" t="n"/>
      <c r="AE1286" s="395" t="n"/>
    </row>
    <row r="1287" ht="56" customHeight="1" s="380">
      <c r="A1287" s="73" t="n">
        <v>69</v>
      </c>
      <c r="B1287" s="386" t="n"/>
      <c r="C1287" s="386" t="inlineStr">
        <is>
          <t>Báo cáo theo Thông tư 121/2020/TT-BTC &gt;&gt; Các thay đổi phải được chấp thuận trong kỳ</t>
        </is>
      </c>
      <c r="D1287" s="386" t="inlineStr">
        <is>
          <t>Nước ngoài &gt;&gt; Chi nhánh &gt;&gt; Đóng cửa</t>
        </is>
      </c>
      <c r="E1287" s="386" t="inlineStr">
        <is>
          <t>Nước ngoài &gt;&gt; Chi nhánh &gt;&gt; Đóng cửa</t>
        </is>
      </c>
      <c r="F1287" s="386" t="inlineStr">
        <is>
          <t>Data Explorer</t>
        </is>
      </c>
      <c r="G1287" s="386" t="inlineStr">
        <is>
          <t>Chỉ tiêu cơ sở</t>
        </is>
      </c>
      <c r="H1287" s="386" t="inlineStr">
        <is>
          <t>TB</t>
        </is>
      </c>
      <c r="I1287" s="386" t="inlineStr">
        <is>
          <t>Ngày, CTCK</t>
        </is>
      </c>
      <c r="J1287" s="395" t="inlineStr">
        <is>
          <t>SCMS</t>
        </is>
      </c>
      <c r="K1287" s="395" t="n"/>
      <c r="L1287" s="395" t="inlineStr">
        <is>
          <t>X</t>
        </is>
      </c>
      <c r="M1287" s="395" t="n"/>
      <c r="N1287" s="395" t="inlineStr">
        <is>
          <t>Done</t>
        </is>
      </c>
      <c r="O1287" s="401" t="n"/>
      <c r="P1287" s="395" t="n"/>
      <c r="S1287" s="395" t="n"/>
      <c r="U1287" s="20" t="inlineStr">
        <is>
          <t>Thiết kế CSDL có cột LABEL không, DB cũ có cột này để lưu các LABEL cha?</t>
        </is>
      </c>
      <c r="V1287" s="395" t="n"/>
      <c r="W1287" s="395" t="n"/>
      <c r="X1287" s="395" t="n"/>
      <c r="Y1287" s="38" t="n"/>
      <c r="Z1287" s="395" t="n"/>
      <c r="AA1287" s="395" t="n"/>
      <c r="AB1287" s="395" t="n"/>
      <c r="AC1287" s="395" t="n"/>
      <c r="AD1287" s="395" t="n"/>
      <c r="AE1287" s="395" t="n"/>
    </row>
    <row r="1288" ht="56" customHeight="1" s="380">
      <c r="A1288" s="73" t="n">
        <v>69</v>
      </c>
      <c r="B1288" s="386" t="n"/>
      <c r="C1288" s="386" t="inlineStr">
        <is>
          <t>Báo cáo theo Thông tư 121/2020/TT-BTC &gt;&gt; Các thay đổi phải được chấp thuận trong kỳ</t>
        </is>
      </c>
      <c r="D1288" s="386" t="inlineStr">
        <is>
          <t>Nước ngoài &gt;&gt; Chi nhánh &gt;&gt; Thành lập mới</t>
        </is>
      </c>
      <c r="E1288" s="386" t="inlineStr">
        <is>
          <t>Nước ngoài &gt;&gt; Chi nhánh &gt;&gt; Thành lập mới</t>
        </is>
      </c>
      <c r="F1288" s="386" t="inlineStr">
        <is>
          <t>Data Explorer</t>
        </is>
      </c>
      <c r="G1288" s="386" t="inlineStr">
        <is>
          <t>Chỉ tiêu cơ sở</t>
        </is>
      </c>
      <c r="H1288" s="386" t="inlineStr">
        <is>
          <t>TB</t>
        </is>
      </c>
      <c r="I1288" s="386" t="inlineStr">
        <is>
          <t>Ngày, CTCK</t>
        </is>
      </c>
      <c r="J1288" s="395" t="inlineStr">
        <is>
          <t>SCMS</t>
        </is>
      </c>
      <c r="K1288" s="395" t="n"/>
      <c r="L1288" s="395" t="inlineStr">
        <is>
          <t>X</t>
        </is>
      </c>
      <c r="M1288" s="395" t="n"/>
      <c r="N1288" s="395" t="inlineStr">
        <is>
          <t>Done</t>
        </is>
      </c>
      <c r="O1288" s="401" t="n"/>
      <c r="P1288" s="395" t="n"/>
      <c r="S1288" s="395" t="n"/>
      <c r="U1288" s="20" t="inlineStr">
        <is>
          <t>Thiết kế CSDL có cột LABEL không, DB cũ có cột này để lưu các LABEL cha?</t>
        </is>
      </c>
      <c r="V1288" s="395" t="n"/>
      <c r="W1288" s="395" t="n"/>
      <c r="X1288" s="395" t="n"/>
      <c r="Y1288" s="13" t="n"/>
      <c r="Z1288" s="395" t="n"/>
      <c r="AA1288" s="395" t="n"/>
      <c r="AB1288" s="395" t="n"/>
      <c r="AC1288" s="395" t="n"/>
      <c r="AD1288" s="395" t="n"/>
      <c r="AE1288" s="395" t="n"/>
    </row>
    <row r="1289" ht="56" customHeight="1" s="380">
      <c r="A1289" s="73" t="n">
        <v>69</v>
      </c>
      <c r="B1289" s="386" t="n"/>
      <c r="C1289" s="386" t="inlineStr">
        <is>
          <t>Báo cáo theo Thông tư 121/2020/TT-BTC &gt;&gt; Các thay đổi phải được chấp thuận trong kỳ</t>
        </is>
      </c>
      <c r="D1289" s="386" t="inlineStr">
        <is>
          <t>Nước ngoài &gt;&gt; Chi nhánh &gt;&gt; Thay tên</t>
        </is>
      </c>
      <c r="E1289" s="386" t="inlineStr">
        <is>
          <t>Nước ngoài &gt;&gt; Chi nhánh &gt;&gt; Thay tên</t>
        </is>
      </c>
      <c r="F1289" s="386" t="inlineStr">
        <is>
          <t>Data Explorer</t>
        </is>
      </c>
      <c r="G1289" s="386" t="inlineStr">
        <is>
          <t>Chỉ tiêu cơ sở</t>
        </is>
      </c>
      <c r="H1289" s="386" t="inlineStr">
        <is>
          <t>TB</t>
        </is>
      </c>
      <c r="I1289" s="386" t="inlineStr">
        <is>
          <t>Ngày, CTCK</t>
        </is>
      </c>
      <c r="J1289" s="395" t="inlineStr">
        <is>
          <t>SCMS</t>
        </is>
      </c>
      <c r="K1289" s="395" t="n"/>
      <c r="L1289" s="395" t="inlineStr">
        <is>
          <t>X</t>
        </is>
      </c>
      <c r="M1289" s="395" t="n"/>
      <c r="N1289" s="395" t="inlineStr">
        <is>
          <t>Done</t>
        </is>
      </c>
      <c r="O1289" s="401" t="n"/>
      <c r="P1289" s="395" t="n"/>
      <c r="S1289" s="395" t="n"/>
      <c r="U1289" s="20" t="inlineStr">
        <is>
          <t>Thiết kế CSDL có cột LABEL không, DB cũ có cột này để lưu các LABEL cha?</t>
        </is>
      </c>
      <c r="V1289" s="395" t="n"/>
      <c r="W1289" s="395" t="n"/>
      <c r="X1289" s="395" t="n"/>
      <c r="Y1289" s="13" t="n"/>
      <c r="Z1289" s="395" t="n"/>
      <c r="AA1289" s="395" t="n"/>
      <c r="AB1289" s="395" t="n"/>
      <c r="AC1289" s="395" t="n"/>
      <c r="AD1289" s="395" t="n"/>
      <c r="AE1289" s="395" t="n"/>
    </row>
    <row r="1290" ht="56" customHeight="1" s="380">
      <c r="A1290" s="73" t="n">
        <v>69</v>
      </c>
      <c r="B1290" s="386" t="n"/>
      <c r="C1290" s="386" t="inlineStr">
        <is>
          <t>Báo cáo theo Thông tư 121/2020/TT-BTC &gt;&gt; Các thay đổi phải được chấp thuận trong kỳ</t>
        </is>
      </c>
      <c r="D1290" s="386" t="inlineStr">
        <is>
          <t>Nước ngoài &gt;&gt; Chi nhánh &gt;&gt; Nhân sự cấp cao</t>
        </is>
      </c>
      <c r="E1290" s="386" t="inlineStr">
        <is>
          <t>Nước ngoài &gt;&gt; Chi nhánh &gt;&gt; Nhân sự cấp cao</t>
        </is>
      </c>
      <c r="F1290" s="386" t="inlineStr">
        <is>
          <t>Data Explorer</t>
        </is>
      </c>
      <c r="G1290" s="386" t="inlineStr">
        <is>
          <t>Chỉ tiêu cơ sở</t>
        </is>
      </c>
      <c r="H1290" s="386" t="inlineStr">
        <is>
          <t>TB</t>
        </is>
      </c>
      <c r="I1290" s="386" t="inlineStr">
        <is>
          <t>Ngày, CTCK</t>
        </is>
      </c>
      <c r="J1290" s="395" t="inlineStr">
        <is>
          <t>SCMS</t>
        </is>
      </c>
      <c r="K1290" s="395" t="n"/>
      <c r="L1290" s="395" t="inlineStr">
        <is>
          <t>X</t>
        </is>
      </c>
      <c r="M1290" s="395" t="n"/>
      <c r="N1290" s="395" t="inlineStr">
        <is>
          <t>Done</t>
        </is>
      </c>
      <c r="O1290" s="401" t="n"/>
      <c r="P1290" s="395" t="n"/>
      <c r="S1290" s="395" t="n"/>
      <c r="U1290" s="20" t="inlineStr">
        <is>
          <t>Thiết kế CSDL có cột LABEL không, DB cũ có cột này để lưu các LABEL cha?</t>
        </is>
      </c>
      <c r="V1290" s="395" t="n"/>
      <c r="W1290" s="395" t="n"/>
      <c r="X1290" s="395" t="n"/>
      <c r="Y1290" s="13" t="n"/>
      <c r="Z1290" s="395" t="n"/>
      <c r="AA1290" s="395" t="n"/>
      <c r="AB1290" s="395" t="n"/>
      <c r="AC1290" s="395" t="n"/>
      <c r="AD1290" s="395" t="n"/>
      <c r="AE1290" s="395" t="n"/>
    </row>
    <row r="1291" ht="56" customHeight="1" s="380">
      <c r="A1291" s="73" t="n">
        <v>69</v>
      </c>
      <c r="B1291" s="386" t="n"/>
      <c r="C1291" s="386" t="inlineStr">
        <is>
          <t>Báo cáo theo Thông tư 121/2020/TT-BTC &gt;&gt; Các thay đổi phải được chấp thuận trong kỳ</t>
        </is>
      </c>
      <c r="D1291" s="386" t="inlineStr">
        <is>
          <t>Nước ngoài &gt;&gt; Chi nhánh &gt;&gt; Thay đổi nghiệp vụ kinh doanh</t>
        </is>
      </c>
      <c r="E1291" s="386" t="inlineStr">
        <is>
          <t>Nước ngoài &gt;&gt; Chi nhánh &gt;&gt; Thay đổi nghiệp vụ kinh doanh</t>
        </is>
      </c>
      <c r="F1291" s="386" t="inlineStr">
        <is>
          <t>Data Explorer</t>
        </is>
      </c>
      <c r="G1291" s="386" t="inlineStr">
        <is>
          <t>Chỉ tiêu cơ sở</t>
        </is>
      </c>
      <c r="H1291" s="386" t="inlineStr">
        <is>
          <t>TB</t>
        </is>
      </c>
      <c r="I1291" s="386" t="inlineStr">
        <is>
          <t>Ngày, CTCK</t>
        </is>
      </c>
      <c r="J1291" s="395" t="inlineStr">
        <is>
          <t>SCMS</t>
        </is>
      </c>
      <c r="K1291" s="395" t="n"/>
      <c r="L1291" s="395" t="inlineStr">
        <is>
          <t>X</t>
        </is>
      </c>
      <c r="M1291" s="395" t="n"/>
      <c r="N1291" s="395" t="inlineStr">
        <is>
          <t>Done</t>
        </is>
      </c>
      <c r="O1291" s="401" t="n"/>
      <c r="P1291" s="395" t="n"/>
      <c r="S1291" s="395" t="n"/>
      <c r="U1291" s="20" t="inlineStr">
        <is>
          <t>Thiết kế CSDL có cột LABEL không, DB cũ có cột này để lưu các LABEL cha?</t>
        </is>
      </c>
      <c r="V1291" s="395" t="n"/>
      <c r="W1291" s="395" t="n"/>
      <c r="X1291" s="395" t="n"/>
      <c r="Y1291" s="13" t="n"/>
      <c r="Z1291" s="395" t="n"/>
      <c r="AA1291" s="395" t="n"/>
      <c r="AB1291" s="395" t="n"/>
      <c r="AC1291" s="395" t="n"/>
      <c r="AD1291" s="395" t="n"/>
      <c r="AE1291" s="395" t="n"/>
    </row>
    <row r="1292" ht="56" customHeight="1" s="380">
      <c r="A1292" s="73" t="n">
        <v>69</v>
      </c>
      <c r="B1292" s="386" t="n"/>
      <c r="C1292" s="386" t="inlineStr">
        <is>
          <t>Báo cáo theo Thông tư 121/2020/TT-BTC &gt;&gt; Các thay đổi phải được chấp thuận trong kỳ</t>
        </is>
      </c>
      <c r="D1292" s="386" t="inlineStr">
        <is>
          <t>Nước ngoài &gt;&gt; Văn phòng đại diện &gt;&gt; Địa điểm</t>
        </is>
      </c>
      <c r="E1292" s="386" t="inlineStr">
        <is>
          <t>Nước ngoài &gt;&gt; Văn phòng đại diện &gt;&gt; Địa điểm</t>
        </is>
      </c>
      <c r="F1292" s="386" t="inlineStr">
        <is>
          <t>Data Explorer</t>
        </is>
      </c>
      <c r="G1292" s="386" t="inlineStr">
        <is>
          <t>Chỉ tiêu cơ sở</t>
        </is>
      </c>
      <c r="H1292" s="386" t="inlineStr">
        <is>
          <t>TB</t>
        </is>
      </c>
      <c r="I1292" s="386" t="inlineStr">
        <is>
          <t>Ngày, CTCK</t>
        </is>
      </c>
      <c r="J1292" s="395" t="inlineStr">
        <is>
          <t>SCMS</t>
        </is>
      </c>
      <c r="K1292" s="395" t="n"/>
      <c r="L1292" s="395" t="inlineStr">
        <is>
          <t>X</t>
        </is>
      </c>
      <c r="M1292" s="395" t="n"/>
      <c r="N1292" s="395" t="inlineStr">
        <is>
          <t>Done</t>
        </is>
      </c>
      <c r="O1292" s="401" t="n"/>
      <c r="P1292" s="395" t="n"/>
      <c r="S1292" s="395" t="n"/>
      <c r="U1292" s="20" t="inlineStr">
        <is>
          <t>Thiết kế CSDL có cột LABEL không, DB cũ có cột này để lưu các LABEL cha?</t>
        </is>
      </c>
      <c r="V1292" s="395" t="n"/>
      <c r="W1292" s="395" t="n"/>
      <c r="X1292" s="395" t="n"/>
      <c r="Y1292" s="13" t="n"/>
      <c r="Z1292" s="395" t="n"/>
      <c r="AA1292" s="395" t="n"/>
      <c r="AB1292" s="395" t="n"/>
      <c r="AC1292" s="395" t="n"/>
      <c r="AD1292" s="395" t="n"/>
      <c r="AE1292" s="395" t="n"/>
    </row>
    <row r="1293" ht="56" customHeight="1" s="380">
      <c r="A1293" s="73" t="n">
        <v>69</v>
      </c>
      <c r="B1293" s="386" t="n"/>
      <c r="C1293" s="386" t="inlineStr">
        <is>
          <t>Báo cáo theo Thông tư 121/2020/TT-BTC &gt;&gt; Các thay đổi phải được chấp thuận trong kỳ</t>
        </is>
      </c>
      <c r="D1293" s="386" t="inlineStr">
        <is>
          <t>Nước ngoài &gt;&gt; Văn phòng đại diện &gt;&gt; Đóng cửa</t>
        </is>
      </c>
      <c r="E1293" s="386" t="inlineStr">
        <is>
          <t>Nước ngoài &gt;&gt; Văn phòng đại diện &gt;&gt; Đóng cửa</t>
        </is>
      </c>
      <c r="F1293" s="386" t="inlineStr">
        <is>
          <t>Data Explorer</t>
        </is>
      </c>
      <c r="G1293" s="386" t="inlineStr">
        <is>
          <t>Chỉ tiêu cơ sở</t>
        </is>
      </c>
      <c r="H1293" s="386" t="inlineStr">
        <is>
          <t>TB</t>
        </is>
      </c>
      <c r="I1293" s="386" t="inlineStr">
        <is>
          <t>Ngày, CTCK</t>
        </is>
      </c>
      <c r="J1293" s="395" t="inlineStr">
        <is>
          <t>SCMS</t>
        </is>
      </c>
      <c r="K1293" s="395" t="n"/>
      <c r="L1293" s="395" t="inlineStr">
        <is>
          <t>X</t>
        </is>
      </c>
      <c r="M1293" s="395" t="n"/>
      <c r="N1293" s="395" t="inlineStr">
        <is>
          <t>Done</t>
        </is>
      </c>
      <c r="O1293" s="401" t="n"/>
      <c r="P1293" s="395" t="n"/>
      <c r="S1293" s="395" t="n"/>
      <c r="U1293" s="20" t="inlineStr">
        <is>
          <t>Thiết kế CSDL có cột LABEL không, DB cũ có cột này để lưu các LABEL cha?</t>
        </is>
      </c>
      <c r="V1293" s="395" t="n"/>
      <c r="W1293" s="395" t="n"/>
      <c r="X1293" s="395" t="n"/>
      <c r="Y1293" s="38" t="n"/>
      <c r="Z1293" s="395" t="n"/>
      <c r="AA1293" s="395" t="n"/>
      <c r="AB1293" s="395" t="n"/>
      <c r="AC1293" s="395" t="n"/>
      <c r="AD1293" s="395" t="n"/>
      <c r="AE1293" s="395" t="n"/>
    </row>
    <row r="1294" ht="56" customHeight="1" s="380">
      <c r="A1294" s="73" t="n">
        <v>69</v>
      </c>
      <c r="B1294" s="386" t="n"/>
      <c r="C1294" s="386" t="inlineStr">
        <is>
          <t>Báo cáo theo Thông tư 121/2020/TT-BTC &gt;&gt; Các thay đổi phải được chấp thuận trong kỳ</t>
        </is>
      </c>
      <c r="D1294" s="386" t="inlineStr">
        <is>
          <t>Nước ngoài &gt;&gt; Văn phòng đại diện &gt;&gt; Thành lập mới</t>
        </is>
      </c>
      <c r="E1294" s="386" t="inlineStr">
        <is>
          <t>Nước ngoài &gt;&gt; Văn phòng đại diện &gt;&gt; Thành lập mới</t>
        </is>
      </c>
      <c r="F1294" s="386" t="inlineStr">
        <is>
          <t>Data Explorer</t>
        </is>
      </c>
      <c r="G1294" s="386" t="inlineStr">
        <is>
          <t>Chỉ tiêu cơ sở</t>
        </is>
      </c>
      <c r="H1294" s="386" t="inlineStr">
        <is>
          <t>TB</t>
        </is>
      </c>
      <c r="I1294" s="386" t="inlineStr">
        <is>
          <t>Ngày, CTCK</t>
        </is>
      </c>
      <c r="J1294" s="395" t="inlineStr">
        <is>
          <t>SCMS</t>
        </is>
      </c>
      <c r="K1294" s="395" t="n"/>
      <c r="L1294" s="395" t="inlineStr">
        <is>
          <t>X</t>
        </is>
      </c>
      <c r="M1294" s="395" t="n"/>
      <c r="N1294" s="395" t="inlineStr">
        <is>
          <t>Done</t>
        </is>
      </c>
      <c r="O1294" s="401" t="n"/>
      <c r="P1294" s="395" t="n"/>
      <c r="S1294" s="395" t="n"/>
      <c r="U1294" s="20" t="inlineStr">
        <is>
          <t>Thiết kế CSDL có cột LABEL không, DB cũ có cột này để lưu các LABEL cha?</t>
        </is>
      </c>
      <c r="V1294" s="395" t="n"/>
      <c r="W1294" s="395" t="n"/>
      <c r="X1294" s="395" t="n"/>
      <c r="Y1294" s="13" t="n"/>
      <c r="Z1294" s="395" t="n"/>
      <c r="AA1294" s="395" t="n"/>
      <c r="AB1294" s="395" t="n"/>
      <c r="AC1294" s="395" t="n"/>
      <c r="AD1294" s="395" t="n"/>
      <c r="AE1294" s="395" t="n"/>
    </row>
    <row r="1295" ht="56" customHeight="1" s="380">
      <c r="A1295" s="73" t="n">
        <v>69</v>
      </c>
      <c r="B1295" s="386" t="n"/>
      <c r="C1295" s="386" t="inlineStr">
        <is>
          <t>Báo cáo theo Thông tư 121/2020/TT-BTC &gt;&gt; Các thay đổi phải được chấp thuận trong kỳ</t>
        </is>
      </c>
      <c r="D1295" s="386" t="inlineStr">
        <is>
          <t>Nước ngoài &gt;&gt; Văn phòng đại diện &gt;&gt; Thay tên</t>
        </is>
      </c>
      <c r="E1295" s="386" t="inlineStr">
        <is>
          <t>Nước ngoài &gt;&gt; Văn phòng đại diện &gt;&gt; Thay tên</t>
        </is>
      </c>
      <c r="F1295" s="386" t="inlineStr">
        <is>
          <t>Data Explorer</t>
        </is>
      </c>
      <c r="G1295" s="386" t="inlineStr">
        <is>
          <t>Chỉ tiêu cơ sở</t>
        </is>
      </c>
      <c r="H1295" s="386" t="inlineStr">
        <is>
          <t>TB</t>
        </is>
      </c>
      <c r="I1295" s="386" t="inlineStr">
        <is>
          <t>Ngày, CTCK</t>
        </is>
      </c>
      <c r="J1295" s="395" t="inlineStr">
        <is>
          <t>SCMS</t>
        </is>
      </c>
      <c r="K1295" s="395" t="n"/>
      <c r="L1295" s="395" t="inlineStr">
        <is>
          <t>X</t>
        </is>
      </c>
      <c r="M1295" s="395" t="n"/>
      <c r="N1295" s="395" t="inlineStr">
        <is>
          <t>Done</t>
        </is>
      </c>
      <c r="O1295" s="401" t="n"/>
      <c r="P1295" s="395" t="n"/>
      <c r="S1295" s="395" t="n"/>
      <c r="U1295" s="20" t="inlineStr">
        <is>
          <t>Thiết kế CSDL có cột LABEL không, DB cũ có cột này để lưu các LABEL cha?</t>
        </is>
      </c>
      <c r="V1295" s="395" t="n"/>
      <c r="W1295" s="395" t="n"/>
      <c r="X1295" s="395" t="n"/>
      <c r="Y1295" s="13" t="n"/>
      <c r="Z1295" s="395" t="n"/>
      <c r="AA1295" s="395" t="n"/>
      <c r="AB1295" s="395" t="n"/>
      <c r="AC1295" s="395" t="n"/>
      <c r="AD1295" s="395" t="n"/>
      <c r="AE1295" s="395" t="n"/>
    </row>
    <row r="1296" ht="56" customHeight="1" s="380">
      <c r="A1296" s="73" t="n">
        <v>69</v>
      </c>
      <c r="B1296" s="386" t="n"/>
      <c r="C1296" s="386" t="inlineStr">
        <is>
          <t>Báo cáo theo Thông tư 121/2020/TT-BTC &gt;&gt; Các thay đổi phải được chấp thuận trong kỳ</t>
        </is>
      </c>
      <c r="D1296" s="386" t="inlineStr">
        <is>
          <t>Nước ngoài &gt;&gt; Văn phòng đại diện &gt;&gt; Nhân sự cấp cao</t>
        </is>
      </c>
      <c r="E1296" s="386" t="inlineStr">
        <is>
          <t>Nước ngoài &gt;&gt; Văn phòng đại diện &gt;&gt; Nhân sự cấp cao</t>
        </is>
      </c>
      <c r="F1296" s="386" t="inlineStr">
        <is>
          <t>Data Explorer</t>
        </is>
      </c>
      <c r="G1296" s="386" t="inlineStr">
        <is>
          <t>Chỉ tiêu cơ sở</t>
        </is>
      </c>
      <c r="H1296" s="386" t="inlineStr">
        <is>
          <t>TB</t>
        </is>
      </c>
      <c r="I1296" s="386" t="inlineStr">
        <is>
          <t>Ngày, CTCK</t>
        </is>
      </c>
      <c r="J1296" s="395" t="inlineStr">
        <is>
          <t>SCMS</t>
        </is>
      </c>
      <c r="K1296" s="395" t="n"/>
      <c r="L1296" s="395" t="inlineStr">
        <is>
          <t>X</t>
        </is>
      </c>
      <c r="M1296" s="395" t="n"/>
      <c r="N1296" s="395" t="inlineStr">
        <is>
          <t>Done</t>
        </is>
      </c>
      <c r="O1296" s="401" t="n"/>
      <c r="P1296" s="395" t="n"/>
      <c r="S1296" s="395" t="n"/>
      <c r="U1296" s="20" t="inlineStr">
        <is>
          <t>Thiết kế CSDL có cột LABEL không, DB cũ có cột này để lưu các LABEL cha?</t>
        </is>
      </c>
      <c r="V1296" s="395" t="n"/>
      <c r="W1296" s="395" t="n"/>
      <c r="X1296" s="395" t="n"/>
      <c r="Y1296" s="13" t="n"/>
      <c r="Z1296" s="395" t="n"/>
      <c r="AA1296" s="395" t="n"/>
      <c r="AB1296" s="395" t="n"/>
      <c r="AC1296" s="395" t="n"/>
      <c r="AD1296" s="395" t="n"/>
      <c r="AE1296" s="395" t="n"/>
    </row>
    <row r="1297" ht="56" customHeight="1" s="380">
      <c r="A1297" s="83" t="n">
        <v>69</v>
      </c>
      <c r="B1297" s="68" t="n"/>
      <c r="C1297" s="68" t="inlineStr">
        <is>
          <t>Báo cáo theo Thông tư 121/2020/TT-BTC &gt;&gt; Các thay đổi phải được chấp thuận trong kỳ</t>
        </is>
      </c>
      <c r="D1297" s="68" t="inlineStr">
        <is>
          <t>Nước ngoài &gt;&gt; Văn phòng đại diện &gt;&gt; Thay đổi nghiệp vụ kinh doanh</t>
        </is>
      </c>
      <c r="E1297" s="68" t="inlineStr">
        <is>
          <t>Nước ngoài &gt;&gt; Văn phòng đại diện &gt;&gt; Thay đổi nghiệp vụ kinh doanh</t>
        </is>
      </c>
      <c r="F1297" s="68" t="inlineStr">
        <is>
          <t>Data Explorer</t>
        </is>
      </c>
      <c r="G1297" s="68" t="inlineStr">
        <is>
          <t>Chỉ tiêu cơ sở</t>
        </is>
      </c>
      <c r="H1297" s="68" t="inlineStr">
        <is>
          <t>TB</t>
        </is>
      </c>
      <c r="I1297" s="68" t="inlineStr">
        <is>
          <t>Ngày, CTCK</t>
        </is>
      </c>
      <c r="J1297" s="69" t="inlineStr">
        <is>
          <t>SCMS</t>
        </is>
      </c>
      <c r="K1297" s="69" t="n"/>
      <c r="L1297" s="69" t="inlineStr">
        <is>
          <t>X</t>
        </is>
      </c>
      <c r="M1297" s="69" t="n"/>
      <c r="N1297" s="69" t="inlineStr">
        <is>
          <t>Done</t>
        </is>
      </c>
      <c r="O1297" s="85" t="n"/>
      <c r="P1297" s="69" t="n"/>
      <c r="Q1297" s="426" t="n"/>
      <c r="R1297" s="426" t="n"/>
      <c r="S1297" s="69" t="n"/>
      <c r="T1297" s="426" t="n"/>
      <c r="U1297" s="125" t="inlineStr">
        <is>
          <t>Thiết kế CSDL có cột LABEL không, DB cũ có cột này để lưu các LABEL cha?</t>
        </is>
      </c>
      <c r="V1297" s="69" t="n"/>
      <c r="W1297" s="69" t="n"/>
      <c r="X1297" s="69" t="n"/>
      <c r="Y1297" s="97" t="n"/>
      <c r="Z1297" s="69" t="n"/>
      <c r="AA1297" s="69" t="n"/>
      <c r="AB1297" s="69" t="n"/>
      <c r="AC1297" s="69" t="n"/>
      <c r="AD1297" s="69" t="n"/>
      <c r="AE1297" s="69" t="n"/>
    </row>
    <row r="1298" ht="70" customHeight="1" s="380">
      <c r="A1298" s="73" t="n">
        <v>70</v>
      </c>
      <c r="B1298" s="122" t="inlineStr">
        <is>
          <t>Nga</t>
        </is>
      </c>
      <c r="C1298" s="81" t="inlineStr">
        <is>
          <t>Báo cáo theo Thông tư 121/2020/TT-BTC &gt;&gt; Số lượng tài khoản giao dịch chứng khoán của nhà đầu tư</t>
        </is>
      </c>
      <c r="D1298" s="106" t="inlineStr">
        <is>
          <t>Loại báo cáo</t>
        </is>
      </c>
      <c r="E1298" s="107" t="inlineStr">
        <is>
          <t>Loại báo cáo</t>
        </is>
      </c>
      <c r="F1298" s="390" t="inlineStr">
        <is>
          <t>Data Explorer</t>
        </is>
      </c>
      <c r="G1298" s="390" t="inlineStr">
        <is>
          <t>Chiều</t>
        </is>
      </c>
      <c r="H1298" s="390" t="inlineStr">
        <is>
          <t>Dễ</t>
        </is>
      </c>
      <c r="I1298" s="390" t="inlineStr">
        <is>
          <t>Ngày, CTCK</t>
        </is>
      </c>
      <c r="J1298" s="401" t="inlineStr">
        <is>
          <t>SCMS</t>
        </is>
      </c>
      <c r="K1298" s="401" t="inlineStr">
        <is>
          <t>X</t>
        </is>
      </c>
      <c r="L1298" s="395" t="inlineStr">
        <is>
          <t>X</t>
        </is>
      </c>
      <c r="M1298" s="401" t="n"/>
      <c r="N1298" s="395" t="inlineStr">
        <is>
          <t>Done</t>
        </is>
      </c>
      <c r="O1298" s="401" t="n"/>
      <c r="P1298" s="395" t="n"/>
      <c r="Q1298" s="404" t="inlineStr">
        <is>
          <t>SCMS.BM_BAO_CAO
SCMS.BM_BAO_CAO_DINH_KY</t>
        </is>
      </c>
      <c r="R1298" s="404" t="inlineStr">
        <is>
          <t>bm.ID,
bm.MA_BAO_CAO,
bm.LOAI_BAO_CAO,
bm.TEN_BAO_CAO,
bm.SU_DUNG,
bdk.BM_BAO_CAO_ID,
bdk.KY_BAO_CAO,
bdk.SU_DUNG</t>
        </is>
      </c>
      <c r="S1298" s="395" t="n"/>
      <c r="T1298"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298" s="386" t="n"/>
      <c r="V1298" s="395" t="n"/>
      <c r="W1298" s="395" t="n"/>
      <c r="X1298" s="395" t="n"/>
      <c r="Y1298" s="13" t="n"/>
      <c r="Z1298" s="395" t="n"/>
      <c r="AA1298" s="395" t="n"/>
      <c r="AB1298" s="395" t="n"/>
      <c r="AC1298" s="395" t="n"/>
      <c r="AD1298" s="395" t="n"/>
      <c r="AE1298" s="395" t="n"/>
    </row>
    <row r="1299" ht="70" customHeight="1" s="380">
      <c r="A1299" s="73" t="n">
        <v>70</v>
      </c>
      <c r="B1299" s="386" t="n"/>
      <c r="C1299" s="386" t="inlineStr">
        <is>
          <t>Báo cáo theo Thông tư 121/2020/TT-BTC &gt;&gt; Số lượng tài khoản giao dịch chứng khoán của nhà đầu tư</t>
        </is>
      </c>
      <c r="D1299" s="106" t="inlineStr">
        <is>
          <t>Kỳ báo cáo</t>
        </is>
      </c>
      <c r="E1299" s="107" t="inlineStr">
        <is>
          <t>Kỳ báo cáo</t>
        </is>
      </c>
      <c r="F1299" s="390" t="inlineStr">
        <is>
          <t>Data Explorer</t>
        </is>
      </c>
      <c r="G1299" s="390" t="inlineStr">
        <is>
          <t>Chiều</t>
        </is>
      </c>
      <c r="H1299" s="390" t="inlineStr">
        <is>
          <t>Dễ</t>
        </is>
      </c>
      <c r="I1299" s="390" t="inlineStr">
        <is>
          <t>Ngày, CTCK</t>
        </is>
      </c>
      <c r="J1299" s="401" t="inlineStr">
        <is>
          <t>SCMS</t>
        </is>
      </c>
      <c r="K1299" s="401" t="inlineStr">
        <is>
          <t>X</t>
        </is>
      </c>
      <c r="L1299" s="395" t="inlineStr">
        <is>
          <t>X</t>
        </is>
      </c>
      <c r="M1299" s="401" t="n"/>
      <c r="N1299" s="395" t="inlineStr">
        <is>
          <t>Done</t>
        </is>
      </c>
      <c r="O1299" s="401" t="n"/>
      <c r="P1299" s="395" t="n"/>
      <c r="S1299" s="395" t="n"/>
      <c r="U1299" s="386" t="n"/>
      <c r="V1299" s="395" t="n"/>
      <c r="W1299" s="395" t="n"/>
      <c r="X1299" s="395" t="n"/>
      <c r="Y1299" s="38" t="n"/>
      <c r="Z1299" s="395" t="n"/>
      <c r="AA1299" s="395" t="n"/>
      <c r="AB1299" s="395" t="n"/>
      <c r="AC1299" s="395" t="n"/>
      <c r="AD1299" s="395" t="n"/>
      <c r="AE1299" s="395" t="n"/>
    </row>
    <row r="1300" ht="70" customHeight="1" s="380">
      <c r="A1300" s="73" t="n">
        <v>70</v>
      </c>
      <c r="B1300" s="386" t="n"/>
      <c r="C1300" s="386" t="inlineStr">
        <is>
          <t>Báo cáo theo Thông tư 121/2020/TT-BTC &gt;&gt; Số lượng tài khoản giao dịch chứng khoán của nhà đầu tư</t>
        </is>
      </c>
      <c r="D1300" s="106" t="inlineStr">
        <is>
          <t>Mã báo cáo</t>
        </is>
      </c>
      <c r="E1300" s="107" t="inlineStr">
        <is>
          <t>Mã báo cáo</t>
        </is>
      </c>
      <c r="F1300" s="390" t="inlineStr">
        <is>
          <t>Data Explorer</t>
        </is>
      </c>
      <c r="G1300" s="390" t="inlineStr">
        <is>
          <t>Chiều</t>
        </is>
      </c>
      <c r="H1300" s="390" t="inlineStr">
        <is>
          <t>Dễ</t>
        </is>
      </c>
      <c r="I1300" s="390" t="inlineStr">
        <is>
          <t>Ngày, CTCK</t>
        </is>
      </c>
      <c r="J1300" s="401" t="inlineStr">
        <is>
          <t>SCMS</t>
        </is>
      </c>
      <c r="K1300" s="401" t="inlineStr">
        <is>
          <t>X</t>
        </is>
      </c>
      <c r="L1300" s="395" t="inlineStr">
        <is>
          <t>X</t>
        </is>
      </c>
      <c r="M1300" s="401" t="n"/>
      <c r="N1300" s="395" t="inlineStr">
        <is>
          <t>Done</t>
        </is>
      </c>
      <c r="O1300" s="401" t="n"/>
      <c r="P1300" s="395" t="n"/>
      <c r="S1300" s="395" t="n"/>
      <c r="U1300" s="386" t="n"/>
      <c r="V1300" s="395" t="n"/>
      <c r="W1300" s="395" t="n"/>
      <c r="X1300" s="395" t="n"/>
      <c r="Y1300" s="13" t="n"/>
      <c r="Z1300" s="395" t="n"/>
      <c r="AA1300" s="395" t="n"/>
      <c r="AB1300" s="395" t="n"/>
      <c r="AC1300" s="395" t="n"/>
      <c r="AD1300" s="395" t="n"/>
      <c r="AE1300" s="395" t="n"/>
    </row>
    <row r="1301" ht="70" customHeight="1" s="380">
      <c r="A1301" s="73" t="n">
        <v>70</v>
      </c>
      <c r="B1301" s="386" t="n"/>
      <c r="C1301" s="386" t="inlineStr">
        <is>
          <t>Báo cáo theo Thông tư 121/2020/TT-BTC &gt;&gt; Số lượng tài khoản giao dịch chứng khoán của nhà đầu tư</t>
        </is>
      </c>
      <c r="D1301" s="106" t="inlineStr">
        <is>
          <t>Tên báo cáo</t>
        </is>
      </c>
      <c r="E1301" s="107" t="inlineStr">
        <is>
          <t>Tên báo cáo</t>
        </is>
      </c>
      <c r="F1301" s="390" t="inlineStr">
        <is>
          <t>Data Explorer</t>
        </is>
      </c>
      <c r="G1301" s="390" t="inlineStr">
        <is>
          <t>Chiều</t>
        </is>
      </c>
      <c r="H1301" s="390" t="inlineStr">
        <is>
          <t>Dễ</t>
        </is>
      </c>
      <c r="I1301" s="390" t="inlineStr">
        <is>
          <t>Ngày, CTCK</t>
        </is>
      </c>
      <c r="J1301" s="401" t="inlineStr">
        <is>
          <t>SCMS</t>
        </is>
      </c>
      <c r="K1301" s="401" t="inlineStr">
        <is>
          <t>X</t>
        </is>
      </c>
      <c r="L1301" s="395" t="inlineStr">
        <is>
          <t>X</t>
        </is>
      </c>
      <c r="M1301" s="401" t="n"/>
      <c r="N1301" s="395" t="inlineStr">
        <is>
          <t>Done</t>
        </is>
      </c>
      <c r="O1301" s="401" t="n"/>
      <c r="P1301" s="395" t="n"/>
      <c r="S1301" s="395" t="n"/>
      <c r="U1301" s="386" t="n"/>
      <c r="V1301" s="395" t="n"/>
      <c r="W1301" s="395" t="n"/>
      <c r="X1301" s="395" t="n"/>
      <c r="Y1301" s="13" t="n"/>
      <c r="Z1301" s="395" t="n"/>
      <c r="AA1301" s="395" t="n"/>
      <c r="AB1301" s="395" t="n"/>
      <c r="AC1301" s="395" t="n"/>
      <c r="AD1301" s="395" t="n"/>
      <c r="AE1301" s="395" t="n"/>
    </row>
    <row r="1302" ht="70" customHeight="1" s="380">
      <c r="A1302" s="73" t="n">
        <v>70</v>
      </c>
      <c r="B1302" s="386" t="n"/>
      <c r="C1302" s="386" t="inlineStr">
        <is>
          <t>Báo cáo theo Thông tư 121/2020/TT-BTC &gt;&gt; Số lượng tài khoản giao dịch chứng khoán của nhà đầu tư</t>
        </is>
      </c>
      <c r="D1302" s="106" t="inlineStr">
        <is>
          <t>Mã sheet</t>
        </is>
      </c>
      <c r="E1302" s="106" t="inlineStr">
        <is>
          <t>Mã sheet</t>
        </is>
      </c>
      <c r="F1302" s="390" t="inlineStr">
        <is>
          <t>Data Explorer</t>
        </is>
      </c>
      <c r="G1302" s="390" t="inlineStr">
        <is>
          <t>Chiều</t>
        </is>
      </c>
      <c r="H1302" s="390" t="inlineStr">
        <is>
          <t>Dễ</t>
        </is>
      </c>
      <c r="I1302" s="390" t="inlineStr">
        <is>
          <t>Ngày, CTCK</t>
        </is>
      </c>
      <c r="J1302" s="401" t="inlineStr">
        <is>
          <t>SCMS</t>
        </is>
      </c>
      <c r="K1302" s="401" t="inlineStr">
        <is>
          <t>X</t>
        </is>
      </c>
      <c r="L1302" s="395" t="inlineStr">
        <is>
          <t>X</t>
        </is>
      </c>
      <c r="M1302" s="401" t="n"/>
      <c r="N1302" s="395" t="inlineStr">
        <is>
          <t>Done</t>
        </is>
      </c>
      <c r="O1302" s="401" t="n"/>
      <c r="P1302" s="395" t="n"/>
      <c r="Q1302" s="401" t="inlineStr">
        <is>
          <t>SCMS.BM_BAO_CAO
SCMS.BM_SHEET</t>
        </is>
      </c>
      <c r="R1302" s="401" t="inlineStr">
        <is>
          <t>bm.ID,
bm.MA_BAO_CAO,
bm.SU_DUNG,
s.BM_BAO_CAO_ID,
s.MA_SHEET,
s.TEN_SHEET,
s.SAP_XEP</t>
        </is>
      </c>
      <c r="S1302" s="395" t="n"/>
      <c r="T1302" s="384" t="inlineStr">
        <is>
          <t>-- Mã sheet / Tên sheet
-- TEN_SHEET: THNS
SELECT bm.MA_BAO_CAO,
s.MA_SHEET,
s.TEN_SHEET
FROM SCMS.BM_BAO_CAO bm
JOIN SCMS.BM_SHEET s ON s.BM_BAO_CAO_ID = bm.ID
WHERE bm.MA_BAO_CAO LIKE 'BCTHHDKD%'
AND s.TEN_SHEET = 'SLTKGDCKNĐT'  -- Check lại
AND bm.SU_DUNG = 1
ORDER BY bm.MA_BAO_CAO, s.SAP_XEP;</t>
        </is>
      </c>
      <c r="U1302" s="386" t="n"/>
      <c r="V1302" s="395" t="n"/>
      <c r="W1302" s="395" t="n"/>
      <c r="X1302" s="395" t="n"/>
      <c r="Y1302" s="13" t="n"/>
      <c r="Z1302" s="395" t="n"/>
      <c r="AA1302" s="395" t="n"/>
      <c r="AB1302" s="395" t="n"/>
      <c r="AC1302" s="395" t="n"/>
      <c r="AD1302" s="395" t="n"/>
      <c r="AE1302" s="395" t="n"/>
    </row>
    <row r="1303" ht="70" customHeight="1" s="380">
      <c r="A1303" s="73" t="n">
        <v>70</v>
      </c>
      <c r="B1303" s="386" t="n"/>
      <c r="C1303" s="386" t="inlineStr">
        <is>
          <t>Báo cáo theo Thông tư 121/2020/TT-BTC &gt;&gt; Số lượng tài khoản giao dịch chứng khoán của nhà đầu tư</t>
        </is>
      </c>
      <c r="D1303" s="106" t="inlineStr">
        <is>
          <t>Tên sheet</t>
        </is>
      </c>
      <c r="E1303" s="106" t="inlineStr">
        <is>
          <t>Tên sheet</t>
        </is>
      </c>
      <c r="F1303" s="390" t="inlineStr">
        <is>
          <t>Data Explorer</t>
        </is>
      </c>
      <c r="G1303" s="390" t="inlineStr">
        <is>
          <t>Chiều</t>
        </is>
      </c>
      <c r="H1303" s="390" t="inlineStr">
        <is>
          <t>Dễ</t>
        </is>
      </c>
      <c r="I1303" s="390" t="inlineStr">
        <is>
          <t>Ngày, CTCK</t>
        </is>
      </c>
      <c r="J1303" s="401" t="inlineStr">
        <is>
          <t>SCMS</t>
        </is>
      </c>
      <c r="K1303" s="401" t="inlineStr">
        <is>
          <t>X</t>
        </is>
      </c>
      <c r="L1303" s="395" t="inlineStr">
        <is>
          <t>X</t>
        </is>
      </c>
      <c r="M1303" s="401" t="n"/>
      <c r="N1303" s="395" t="inlineStr">
        <is>
          <t>Done</t>
        </is>
      </c>
      <c r="O1303" s="401" t="n"/>
      <c r="P1303" s="395" t="n"/>
      <c r="S1303" s="395" t="n"/>
      <c r="U1303" s="386" t="n"/>
      <c r="V1303" s="395" t="n"/>
      <c r="W1303" s="395" t="n"/>
      <c r="X1303" s="395" t="n"/>
      <c r="Y1303" s="13" t="n"/>
      <c r="Z1303" s="395" t="n"/>
      <c r="AA1303" s="395" t="n"/>
      <c r="AB1303" s="395" t="n"/>
      <c r="AC1303" s="395" t="n"/>
      <c r="AD1303" s="395" t="n"/>
      <c r="AE1303" s="395" t="n"/>
    </row>
    <row r="1304" ht="70" customHeight="1" s="380">
      <c r="A1304" s="73" t="n">
        <v>70</v>
      </c>
      <c r="B1304" s="386" t="n"/>
      <c r="C1304" s="386" t="inlineStr">
        <is>
          <t>Báo cáo theo Thông tư 121/2020/TT-BTC &gt;&gt; Số lượng tài khoản giao dịch chứng khoán của nhà đầu tư</t>
        </is>
      </c>
      <c r="D1304" s="106" t="inlineStr">
        <is>
          <t>Mã chỉ tiêu</t>
        </is>
      </c>
      <c r="E1304" s="107" t="inlineStr">
        <is>
          <t>Mã chỉ tiêu</t>
        </is>
      </c>
      <c r="F1304" s="390" t="inlineStr">
        <is>
          <t>Data Explorer</t>
        </is>
      </c>
      <c r="G1304" s="390" t="inlineStr">
        <is>
          <t>Chiều</t>
        </is>
      </c>
      <c r="H1304" s="390" t="inlineStr">
        <is>
          <t>Dễ</t>
        </is>
      </c>
      <c r="I1304" s="390" t="inlineStr">
        <is>
          <t>Ngày, CTCK</t>
        </is>
      </c>
      <c r="J1304" s="401" t="inlineStr">
        <is>
          <t>SCMS</t>
        </is>
      </c>
      <c r="K1304" s="401" t="inlineStr">
        <is>
          <t>X</t>
        </is>
      </c>
      <c r="L1304" s="395" t="inlineStr">
        <is>
          <t>X</t>
        </is>
      </c>
      <c r="M1304" s="401" t="n"/>
      <c r="N1304" s="395" t="inlineStr">
        <is>
          <t>Done</t>
        </is>
      </c>
      <c r="O1304" s="401" t="n"/>
      <c r="P1304" s="395" t="n"/>
      <c r="Q1304" s="401" t="inlineStr">
        <is>
          <t>SCMS.BM_BAO_CAO
SCMS.BM_SHEET
SCMS.BM_BAO_CAO_CT
SCMS.DM_CHI_TIEU</t>
        </is>
      </c>
      <c r="R1304" s="402" t="inlineStr">
        <is>
          <t>dct.ID,
dct.MA_CHI_TIEU,
dct.TEN_CHI_TIEU,
dct.SU_DUNG,
s.BM_BAO_CAO_ID,
s.MA_SHEET,
ct.BM_BAO_CAO_ID,
ct.DM_CHI_TIEU_ID,
ct.SU_DUNG,
bm.ID,
bm.MA_BAO_CAO,
bm.SU_DUNG</t>
        </is>
      </c>
      <c r="S1304" s="395" t="n"/>
      <c r="T1304" s="384" t="inlineStr">
        <is>
          <t>-- Mã chỉ tiêu / Tên chỉ tiêu
SELECT DISTINCT
    dct.MA_CHI_TIEU  AS ma_chi_tieu,
    dct.TEN_CHI_TIEU AS ten_chi_tieu
FROM SCMS.BM_BAO_CAO bm
JOIN SCMS.BM_SHEET s ON s.BM_BAO_CAO_ID = bm.ID
        AND s.TEN_SHEET = 'SLTKGDCKNĐT'
JOIN SCMS.BM_BAO_CAO_CT ct ON ct.BM_SHEET_ID = s.ID
        AND ct.SU_DUNG = 1
JOIN SCMS.DM_CHI_TIEU dct ON dct.ID = ct.DM_CHI_TIEU_ID
        AND dct.SU_DUNG = 1
WHERE bm.MA_BAO_CAO LIKE 'BCTHHDKD%'
        AND bm.SU_DUNG = 1
ORDER BY dct.MA_CHI_TIEU;</t>
        </is>
      </c>
      <c r="U1304" s="386" t="n"/>
      <c r="V1304" s="395" t="n"/>
      <c r="W1304" s="395" t="n"/>
      <c r="X1304" s="395" t="n"/>
      <c r="Y1304" s="13" t="n"/>
      <c r="Z1304" s="395" t="n"/>
      <c r="AA1304" s="395" t="n"/>
      <c r="AB1304" s="395" t="n"/>
      <c r="AC1304" s="395" t="n"/>
      <c r="AD1304" s="395" t="n"/>
      <c r="AE1304" s="395" t="n"/>
    </row>
    <row r="1305" ht="70" customHeight="1" s="380">
      <c r="A1305" s="73" t="n">
        <v>70</v>
      </c>
      <c r="B1305" s="386" t="n"/>
      <c r="C1305" s="386" t="inlineStr">
        <is>
          <t>Báo cáo theo Thông tư 121/2020/TT-BTC &gt;&gt; Số lượng tài khoản giao dịch chứng khoán của nhà đầu tư</t>
        </is>
      </c>
      <c r="D1305" s="106" t="inlineStr">
        <is>
          <t>Tên chỉ tiêu</t>
        </is>
      </c>
      <c r="E1305" s="107" t="inlineStr">
        <is>
          <t>Tên chỉ tiêu</t>
        </is>
      </c>
      <c r="F1305" s="390" t="inlineStr">
        <is>
          <t>Data Explorer</t>
        </is>
      </c>
      <c r="G1305" s="390" t="inlineStr">
        <is>
          <t>Chiều</t>
        </is>
      </c>
      <c r="H1305" s="390" t="inlineStr">
        <is>
          <t>Dễ</t>
        </is>
      </c>
      <c r="I1305" s="390" t="inlineStr">
        <is>
          <t>Ngày, CTCK</t>
        </is>
      </c>
      <c r="J1305" s="401" t="inlineStr">
        <is>
          <t>SCMS</t>
        </is>
      </c>
      <c r="K1305" s="401" t="inlineStr">
        <is>
          <t>X</t>
        </is>
      </c>
      <c r="L1305" s="395" t="inlineStr">
        <is>
          <t>X</t>
        </is>
      </c>
      <c r="M1305" s="401" t="n"/>
      <c r="N1305" s="395" t="inlineStr">
        <is>
          <t>Done</t>
        </is>
      </c>
      <c r="O1305" s="401" t="n"/>
      <c r="P1305" s="395" t="n"/>
      <c r="S1305" s="395" t="n"/>
      <c r="U1305" s="386" t="n"/>
      <c r="V1305" s="395" t="n"/>
      <c r="W1305" s="395" t="n"/>
      <c r="X1305" s="395" t="n"/>
      <c r="Y1305" s="13" t="n"/>
      <c r="Z1305" s="395" t="n"/>
      <c r="AA1305" s="395" t="n"/>
      <c r="AB1305" s="395" t="n"/>
      <c r="AC1305" s="395" t="n"/>
      <c r="AD1305" s="395" t="n"/>
      <c r="AE1305" s="395" t="n"/>
    </row>
    <row r="1306" ht="70" customHeight="1" s="380">
      <c r="A1306" s="73" t="n">
        <v>70</v>
      </c>
      <c r="B1306" s="386" t="n"/>
      <c r="C1306" s="386" t="inlineStr">
        <is>
          <t>Báo cáo theo Thông tư 121/2020/TT-BTC &gt;&gt; Số lượng tài khoản giao dịch chứng khoán của nhà đầu tư</t>
        </is>
      </c>
      <c r="D1306" s="386" t="inlineStr">
        <is>
          <t>Tên công ty chứng khoán</t>
        </is>
      </c>
      <c r="E1306" s="386" t="inlineStr">
        <is>
          <t>Tên công ty chứng khoán</t>
        </is>
      </c>
      <c r="F1306" s="386" t="inlineStr">
        <is>
          <t>Data Explorer</t>
        </is>
      </c>
      <c r="G1306" s="386" t="inlineStr">
        <is>
          <t>Chỉ tiêu cơ sở</t>
        </is>
      </c>
      <c r="H1306" s="386" t="inlineStr">
        <is>
          <t>Dễ</t>
        </is>
      </c>
      <c r="I1306" s="386" t="inlineStr">
        <is>
          <t>Ngày, CTCK</t>
        </is>
      </c>
      <c r="J1306" s="395" t="inlineStr">
        <is>
          <t>SCMS</t>
        </is>
      </c>
      <c r="K1306" s="395" t="n"/>
      <c r="L1306" s="395" t="inlineStr">
        <is>
          <t>X</t>
        </is>
      </c>
      <c r="M1306" s="395" t="n"/>
      <c r="N1306" s="395" t="inlineStr">
        <is>
          <t>Done</t>
        </is>
      </c>
      <c r="O1306" s="401" t="n"/>
      <c r="P1306" s="395" t="n"/>
      <c r="Q1306" s="427" t="inlineStr">
        <is>
          <t>SCMS.BC_THANH_VIEN
SCMS.BM_BAO_CAO
SCMS.BC_BAO_CAO_GT
SCMS.BM_BAO_CAO_HANG
SCMS.BM_BAO_CAO_COT
SCMS.CTCK_THONG_TIN</t>
        </is>
      </c>
      <c r="R1306" s="427" t="inlineStr">
        <is>
          <t>btv.ID,
btv.NGAY_SO_LIEU,
btv.BM_BAO_CAO_ID,
btv.CTCK_THONG_TIN_ID,
btv.TRANG_THAI,
c.CTCK_THONG_TIN_ID,
c.TEN_VIET_TAT,
c.SAN_NIEM_YET,
c.MA_CHUNG_KHOAN,
c.GIAY_PHEP_KINH_DOANH,
c.NGAY_CAP_GPKD,
bsh.ID,
bsh.MA_HANG,
bsc.TEN_COT,
bsc.BM_SHEET_ID,
gt.BC_THANH_VIEN_ID,
gt.BM_SHEET_HANG_ID,
gt.GIA_TRI,
bm.ID,
bm.MA_BAO_CAO</t>
        </is>
      </c>
      <c r="S1306" s="395" t="n"/>
      <c r="T1306"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 Trong nước &gt;&gt; Cá nhân (MA_HANG=2)
    MAX(CASE WHEN bsh.MA_HANG='2' AND bsc.TEN_COT=N'Trong kỳ' THEN CAST(gt.GIA_TRI AS VARCHAR2(4000)) END) AS "Trong nước_Cá nhân_TK Trong kỳ",
    MAX(CASE WHEN bsh.MA_HANG='2' AND bsc.TEN_COT=N'Tăng/giảm' THEN CAST(gt.GIA_TRI AS VARCHAR2(4000)) END) AS "Trong nước_Cá nhân_TK Tăng/giảm",
    MAX(CASE WHEN bsh.MA_HANG='2' AND bsc.TEN_COT=N'Số lượng tài khoản có phát sinh giao dịch trong kỳ' THEN CAST(gt.GIA_TRI AS VARCHAR2(4000)) END) AS "Trong nước_Cá nhân_Số lượng tài khoản có phát sinh giao dịch",
    -- Trong nước &gt;&gt; Tổ chức (MA_HANG=3)
    MAX(CASE WHEN bsh.MA_HANG='2' AND bsc.TEN_COT=N'Trong kỳ' THEN CAST(gt.GIA_TRI AS VARCHAR2(4000)) END) AS "Trong nước_Tổ chức_TK Trong kỳ",
    MAX(CASE WHEN bsh.MA_HANG='2' AND bsc.TEN_COT=N'Tăng/giảm' THEN CAST(gt.GIA_TRI AS VARCHAR2(4000)) END) AS "Trong nước_Tổ chức_TK Tăng/giảm",
    MAX(CASE WHEN bsh.MA_HANG='2' AND bsc.TEN_COT=N'Số lượng tài khoản có phát sinh giao dịch trong kỳ' THEN CAST(gt.GIA_TRI AS VARCHAR2(4000)) END) AS "Trong nước_Tổ chức_Số lượng tài khoản có phát sinh giao dịch",
    -- Nước ngoài &gt;&gt; Cá nhân (MA_HANG=5)
    MAX(CASE WHEN bsh.MA_HANG='5' AND bsc.TEN_COT=N'Trong kỳ' THEN CAST(gt.GIA_TRI AS VARCHAR2(4000)) END) AS "Nước ngoài_Cá nhân_TK Trong kỳ",
    MAX(CASE WHEN bsh.MA_HANG='5' AND bsc.TEN_COT=N'Tăng/giảm' THEN CAST(gt.GIA_TRI AS VARCHAR2(4000)) END) AS "Nước ngoài_Cá nhân_TK Tăng/giảm",
    MAX(CASE WHEN bsh.MA_HANG='5' AND bsc.TEN_COT=N'Số lượng tài khoản có phát sinh giao dịch trong kỳ' THEN CAST(gt.GIA_TRI AS VARCHAR2(4000)) END) AS "Nước ngoài_Cá nhân_Số lượng tài khoản có phát sinh giao dịch",
    -- Nước ngoài &gt;&gt; Tổ chức (MA_HANG=6)
    MAX(CASE WHEN bsh.MA_HANG='6' AND bsc.TEN_COT=N'Trong kỳ' THEN CAST(gt.GIA_TRI AS VARCHAR2(4000)) END) AS "Nước ngoài_Tổ chức_TK Trong kỳ",
    MAX(CASE WHEN bsh.MA_HANG='6' AND bsc.TEN_COT=N'Tăng/giảm' THEN CAST(gt.GIA_TRI AS VARCHAR2(4000)) END) AS "Nước ngoài_Tổ chức_TK Tăng/giảm",
    MAX(CASE WHEN bsh.MA_HANG='6' AND bsc.TEN_COT=N'Số lượng tài khoản có phát sinh giao dịch trong kỳ' THEN CAST(gt.GIA_TRI AS VARCHAR2(4000)) END) AS "Nước ngoài_Tổ chức_Số lượng tài khoản có phát sinh giao dịch",
    -- TỔNG (MA_HANG=7)
    MAX(CASE WHEN bsh.MA_HANG='7' AND bsc.TEN_COT=N'Trong kỳ' THEN CAST(gt.GIA_TRI AS VARCHAR2(4000)) END) AS "Tổng_TK Trong kỳ",
    MAX(CASE WHEN bsh.MA_HANG='7' AND bsc.TEN_COT=N'Tăng/giảm' THEN CAST(gt.GIA_TRI AS VARCHAR2(4000)) END) AS "Tổng_TK Tăng/giảm",
    MAX(CASE WHEN bsh.MA_HANG='7' AND bsc.TEN_COT=N'Số lượng tài khoản có phát sinh giao dịch trong kỳ' THEN CAST(gt.GIA_TRI AS VARCHAR2(4000)) END) AS "Tổng_Số lượng tài khoản có phát sinh giao dịch"
FROM SCMS.BC_THANH_VIEN btv
JOIN SCMS.BM_BAO_CAO bm ON bm.ID = btv.BM_BAO_CAO_ID
JOIN SCMS.BC_BAO_CAO_GT gt ON gt.BC_THANH_VIEN_ID = btv.ID
JOIN SCMS.BM_BAO_CAO_HANG bsh ON bsh.ID = gt.BM_SHEET_HANG_ID
JOIN SCMS.BM_BAO_CAO_COT bsc ON bsc.BM_SHEET_ID = 7424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is>
      </c>
      <c r="U1306" s="386" t="n"/>
      <c r="V1306" s="395" t="n"/>
      <c r="W1306" s="395" t="n"/>
      <c r="X1306" s="395" t="n"/>
      <c r="Y1306" s="13" t="n"/>
      <c r="Z1306" s="395" t="n"/>
      <c r="AA1306" s="395" t="n"/>
      <c r="AB1306" s="395" t="n"/>
      <c r="AC1306" s="395" t="n"/>
      <c r="AD1306" s="395" t="n"/>
      <c r="AE1306" s="395" t="n"/>
    </row>
    <row r="1307" ht="70" customHeight="1" s="380">
      <c r="A1307" s="73" t="n">
        <v>70</v>
      </c>
      <c r="B1307" s="386" t="n"/>
      <c r="C1307" s="386" t="inlineStr">
        <is>
          <t>Báo cáo theo Thông tư 121/2020/TT-BTC &gt;&gt; Số lượng tài khoản giao dịch chứng khoán của nhà đầu tư</t>
        </is>
      </c>
      <c r="D1307" s="386" t="inlineStr">
        <is>
          <t>Sàn giao dịch</t>
        </is>
      </c>
      <c r="E1307" s="386" t="inlineStr">
        <is>
          <t>Sàn giao dịch</t>
        </is>
      </c>
      <c r="F1307" s="386" t="inlineStr">
        <is>
          <t>Data Explorer</t>
        </is>
      </c>
      <c r="G1307" s="386" t="inlineStr">
        <is>
          <t>Chỉ tiêu cơ sở</t>
        </is>
      </c>
      <c r="H1307" s="386" t="inlineStr">
        <is>
          <t>Dễ</t>
        </is>
      </c>
      <c r="I1307" s="386" t="inlineStr">
        <is>
          <t>Ngày, CTCK</t>
        </is>
      </c>
      <c r="J1307" s="395" t="inlineStr">
        <is>
          <t>SCMS</t>
        </is>
      </c>
      <c r="K1307" s="395" t="n"/>
      <c r="L1307" s="395" t="inlineStr">
        <is>
          <t>X</t>
        </is>
      </c>
      <c r="M1307" s="395" t="n"/>
      <c r="N1307" s="395" t="inlineStr">
        <is>
          <t>Done</t>
        </is>
      </c>
      <c r="O1307" s="401" t="n"/>
      <c r="P1307" s="395" t="n"/>
      <c r="S1307" s="395" t="n"/>
      <c r="U1307" s="386" t="n"/>
      <c r="V1307" s="395" t="n"/>
      <c r="W1307" s="395" t="n"/>
      <c r="X1307" s="395" t="n"/>
      <c r="Y1307" s="14" t="n"/>
      <c r="Z1307" s="395" t="n"/>
      <c r="AA1307" s="395" t="n"/>
      <c r="AB1307" s="395" t="n"/>
      <c r="AC1307" s="395" t="n"/>
      <c r="AD1307" s="395" t="n"/>
      <c r="AE1307" s="395" t="n"/>
    </row>
    <row r="1308" ht="70" customHeight="1" s="380">
      <c r="A1308" s="73" t="n">
        <v>70</v>
      </c>
      <c r="B1308" s="386" t="n"/>
      <c r="C1308" s="386" t="inlineStr">
        <is>
          <t>Báo cáo theo Thông tư 121/2020/TT-BTC &gt;&gt; Số lượng tài khoản giao dịch chứng khoán của nhà đầu tư</t>
        </is>
      </c>
      <c r="D1308" s="386" t="inlineStr">
        <is>
          <t>Mã chứng khoán</t>
        </is>
      </c>
      <c r="E1308" s="386" t="inlineStr">
        <is>
          <t>Mã chứng khoán</t>
        </is>
      </c>
      <c r="F1308" s="386" t="inlineStr">
        <is>
          <t>Data Explorer</t>
        </is>
      </c>
      <c r="G1308" s="386" t="inlineStr">
        <is>
          <t>Chỉ tiêu cơ sở</t>
        </is>
      </c>
      <c r="H1308" s="386" t="inlineStr">
        <is>
          <t>Dễ</t>
        </is>
      </c>
      <c r="I1308" s="386" t="inlineStr">
        <is>
          <t>Ngày, CTCK</t>
        </is>
      </c>
      <c r="J1308" s="395" t="inlineStr">
        <is>
          <t>SCMS</t>
        </is>
      </c>
      <c r="K1308" s="395" t="n"/>
      <c r="L1308" s="395" t="inlineStr">
        <is>
          <t>X</t>
        </is>
      </c>
      <c r="M1308" s="395" t="n"/>
      <c r="N1308" s="395" t="inlineStr">
        <is>
          <t>Done</t>
        </is>
      </c>
      <c r="O1308" s="401" t="n"/>
      <c r="P1308" s="395" t="n"/>
      <c r="S1308" s="395" t="n"/>
      <c r="U1308" s="386" t="n"/>
      <c r="V1308" s="395" t="n"/>
      <c r="W1308" s="395" t="n"/>
      <c r="X1308" s="395" t="n"/>
      <c r="Y1308" s="6" t="n"/>
      <c r="Z1308" s="395" t="n"/>
      <c r="AA1308" s="395" t="n"/>
      <c r="AB1308" s="395" t="n"/>
      <c r="AC1308" s="395" t="n"/>
      <c r="AD1308" s="395" t="n"/>
      <c r="AE1308" s="395" t="n"/>
    </row>
    <row r="1309" ht="70" customHeight="1" s="380">
      <c r="A1309" s="73" t="n">
        <v>70</v>
      </c>
      <c r="B1309" s="386" t="n"/>
      <c r="C1309" s="386" t="inlineStr">
        <is>
          <t>Báo cáo theo Thông tư 121/2020/TT-BTC &gt;&gt; Số lượng tài khoản giao dịch chứng khoán của nhà đầu tư</t>
        </is>
      </c>
      <c r="D1309" s="386" t="inlineStr">
        <is>
          <t>Giấy phép hoạt động &gt;&gt; Số</t>
        </is>
      </c>
      <c r="E1309" s="386" t="inlineStr">
        <is>
          <t>Giấy phép hoạt động &gt;&gt; Số</t>
        </is>
      </c>
      <c r="F1309" s="386" t="inlineStr">
        <is>
          <t>Data Explorer</t>
        </is>
      </c>
      <c r="G1309" s="386" t="inlineStr">
        <is>
          <t>Chỉ tiêu cơ sở</t>
        </is>
      </c>
      <c r="H1309" s="386" t="inlineStr">
        <is>
          <t>Dễ</t>
        </is>
      </c>
      <c r="I1309" s="386" t="inlineStr">
        <is>
          <t>Ngày, CTCK</t>
        </is>
      </c>
      <c r="J1309" s="395" t="inlineStr">
        <is>
          <t>SCMS</t>
        </is>
      </c>
      <c r="K1309" s="395" t="n"/>
      <c r="L1309" s="395" t="inlineStr">
        <is>
          <t>X</t>
        </is>
      </c>
      <c r="M1309" s="395" t="n"/>
      <c r="N1309" s="395" t="inlineStr">
        <is>
          <t>Done</t>
        </is>
      </c>
      <c r="O1309" s="401" t="n"/>
      <c r="P1309" s="395" t="n"/>
      <c r="S1309" s="395" t="n"/>
      <c r="U1309" s="386" t="n"/>
      <c r="V1309" s="395" t="n"/>
      <c r="W1309" s="395" t="n"/>
      <c r="X1309" s="395" t="n"/>
      <c r="Y1309" s="6" t="n"/>
      <c r="Z1309" s="395" t="n"/>
      <c r="AA1309" s="395" t="n"/>
      <c r="AB1309" s="395" t="n"/>
      <c r="AC1309" s="395" t="n"/>
      <c r="AD1309" s="395" t="n"/>
      <c r="AE1309" s="395" t="n"/>
    </row>
    <row r="1310" ht="70" customHeight="1" s="380">
      <c r="A1310" s="73" t="n">
        <v>70</v>
      </c>
      <c r="B1310" s="386" t="n"/>
      <c r="C1310" s="386" t="inlineStr">
        <is>
          <t>Báo cáo theo Thông tư 121/2020/TT-BTC &gt;&gt; Số lượng tài khoản giao dịch chứng khoán của nhà đầu tư</t>
        </is>
      </c>
      <c r="D1310" s="386" t="inlineStr">
        <is>
          <t>Giấy phép hoạt động &gt;&gt; Ngày cấp
(Ngày/tháng/năm)</t>
        </is>
      </c>
      <c r="E1310" s="386" t="inlineStr">
        <is>
          <t>Giấy phép hoạt động &gt;&gt; Ngày cấp
(Ngày/tháng/năm)</t>
        </is>
      </c>
      <c r="F1310" s="386" t="inlineStr">
        <is>
          <t>Data Explorer</t>
        </is>
      </c>
      <c r="G1310" s="386" t="inlineStr">
        <is>
          <t>Chỉ tiêu cơ sở</t>
        </is>
      </c>
      <c r="H1310" s="386" t="inlineStr">
        <is>
          <t>Dễ</t>
        </is>
      </c>
      <c r="I1310" s="386" t="inlineStr">
        <is>
          <t>Ngày, CTCK</t>
        </is>
      </c>
      <c r="J1310" s="395" t="inlineStr">
        <is>
          <t>SCMS</t>
        </is>
      </c>
      <c r="K1310" s="395" t="n"/>
      <c r="L1310" s="395" t="inlineStr">
        <is>
          <t>X</t>
        </is>
      </c>
      <c r="M1310" s="395" t="n"/>
      <c r="N1310" s="395" t="inlineStr">
        <is>
          <t>Done</t>
        </is>
      </c>
      <c r="O1310" s="401" t="n"/>
      <c r="P1310" s="395" t="n"/>
      <c r="S1310" s="395" t="n"/>
      <c r="U1310" s="386" t="n"/>
      <c r="V1310" s="395" t="n"/>
      <c r="W1310" s="395" t="n"/>
      <c r="X1310" s="395" t="n"/>
      <c r="Y1310" s="395" t="n"/>
      <c r="Z1310" s="395" t="n"/>
      <c r="AA1310" s="395" t="n"/>
      <c r="AB1310" s="395" t="n"/>
      <c r="AC1310" s="395" t="n"/>
      <c r="AD1310" s="395" t="n"/>
      <c r="AE1310" s="395" t="n"/>
    </row>
    <row r="1311" ht="70" customHeight="1" s="380">
      <c r="A1311" s="73" t="n">
        <v>70</v>
      </c>
      <c r="B1311" s="386" t="n"/>
      <c r="C1311" s="386" t="inlineStr">
        <is>
          <t>Báo cáo theo Thông tư 121/2020/TT-BTC &gt;&gt; Số lượng tài khoản giao dịch chứng khoán của nhà đầu tư</t>
        </is>
      </c>
      <c r="D1311" s="386" t="inlineStr">
        <is>
          <t>Khách hàng trong nước &gt;&gt; Cá nhân &gt;&gt; Số lượng tài khoản &gt;&gt; Trong kỳ</t>
        </is>
      </c>
      <c r="E1311" s="386" t="inlineStr">
        <is>
          <t>Khách hàng trong nước &gt;&gt; Cá nhân &gt;&gt; Số lượng tài khoản &gt;&gt; Trong kỳ</t>
        </is>
      </c>
      <c r="F1311" s="386" t="inlineStr">
        <is>
          <t>Data Explorer</t>
        </is>
      </c>
      <c r="G1311" s="386" t="inlineStr">
        <is>
          <t>Chỉ tiêu cơ sở</t>
        </is>
      </c>
      <c r="H1311" s="386" t="inlineStr">
        <is>
          <t>TB</t>
        </is>
      </c>
      <c r="I1311" s="386" t="inlineStr">
        <is>
          <t>Ngày, CTCK</t>
        </is>
      </c>
      <c r="J1311" s="395" t="inlineStr">
        <is>
          <t>SCMS</t>
        </is>
      </c>
      <c r="K1311" s="395" t="n"/>
      <c r="L1311" s="395" t="inlineStr">
        <is>
          <t>X</t>
        </is>
      </c>
      <c r="M1311" s="395" t="n"/>
      <c r="N1311" s="395" t="inlineStr">
        <is>
          <t>Done</t>
        </is>
      </c>
      <c r="O1311" s="401" t="n"/>
      <c r="P1311" s="395" t="n"/>
      <c r="S1311" s="395" t="n"/>
      <c r="U1311" s="386" t="n"/>
      <c r="V1311" s="395" t="n"/>
      <c r="W1311" s="395" t="n"/>
      <c r="X1311" s="395" t="n"/>
      <c r="Y1311" s="395" t="n"/>
      <c r="Z1311" s="395" t="n"/>
      <c r="AA1311" s="395" t="n"/>
      <c r="AB1311" s="395" t="n"/>
      <c r="AC1311" s="395" t="n"/>
      <c r="AD1311" s="395" t="n"/>
      <c r="AE1311" s="395" t="n"/>
    </row>
    <row r="1312" ht="70" customHeight="1" s="380">
      <c r="A1312" s="73" t="n">
        <v>70</v>
      </c>
      <c r="B1312" s="386" t="n"/>
      <c r="C1312" s="386" t="inlineStr">
        <is>
          <t>Báo cáo theo Thông tư 121/2020/TT-BTC &gt;&gt; Số lượng tài khoản giao dịch chứng khoán của nhà đầu tư</t>
        </is>
      </c>
      <c r="D1312" s="386" t="inlineStr">
        <is>
          <t>Khách hàng trong nước &gt;&gt; Cá nhân &gt;&gt; Số lượng tài khoản &gt;&gt; Tăng/Giảm</t>
        </is>
      </c>
      <c r="E1312" s="386" t="inlineStr">
        <is>
          <t>Khách hàng trong nước &gt;&gt; Cá nhân &gt;&gt; Số lượng tài khoản &gt;&gt; Tăng/Giảm</t>
        </is>
      </c>
      <c r="F1312" s="386" t="inlineStr">
        <is>
          <t>Data Explorer</t>
        </is>
      </c>
      <c r="G1312" s="386" t="inlineStr">
        <is>
          <t>Chỉ tiêu cơ sở</t>
        </is>
      </c>
      <c r="H1312" s="386" t="inlineStr">
        <is>
          <t>TB</t>
        </is>
      </c>
      <c r="I1312" s="386" t="inlineStr">
        <is>
          <t>Ngày, CTCK</t>
        </is>
      </c>
      <c r="J1312" s="395" t="inlineStr">
        <is>
          <t>SCMS</t>
        </is>
      </c>
      <c r="K1312" s="395" t="n"/>
      <c r="L1312" s="395" t="inlineStr">
        <is>
          <t>X</t>
        </is>
      </c>
      <c r="M1312" s="395" t="n"/>
      <c r="N1312" s="395" t="inlineStr">
        <is>
          <t>Done</t>
        </is>
      </c>
      <c r="O1312" s="401" t="n"/>
      <c r="P1312" s="395" t="n"/>
      <c r="S1312" s="395" t="n"/>
      <c r="U1312" s="386" t="n"/>
      <c r="V1312" s="395" t="n"/>
      <c r="W1312" s="395" t="n"/>
      <c r="X1312" s="395" t="n"/>
      <c r="Y1312" s="395" t="n"/>
      <c r="Z1312" s="395" t="n"/>
      <c r="AA1312" s="395" t="n"/>
      <c r="AB1312" s="395" t="n"/>
      <c r="AC1312" s="395" t="n"/>
      <c r="AD1312" s="395" t="n"/>
      <c r="AE1312" s="395" t="n"/>
    </row>
    <row r="1313" ht="70" customHeight="1" s="380">
      <c r="A1313" s="73" t="n">
        <v>70</v>
      </c>
      <c r="B1313" s="386" t="n"/>
      <c r="C1313" s="386" t="inlineStr">
        <is>
          <t>Báo cáo theo Thông tư 121/2020/TT-BTC &gt;&gt; Số lượng tài khoản giao dịch chứng khoán của nhà đầu tư</t>
        </is>
      </c>
      <c r="D1313" s="386" t="inlineStr">
        <is>
          <t>Khách hàng trong nước &gt;&gt; Cá nhân &gt;&gt; Số lượng tài khoản có phát sinh giao dịch trong kỳ</t>
        </is>
      </c>
      <c r="E1313" s="386" t="inlineStr">
        <is>
          <t>Khách hàng trong nước &gt;&gt; Cá nhân &gt;&gt; Số lượng tài khoản có phát sinh giao dịch trong kỳ</t>
        </is>
      </c>
      <c r="F1313" s="386" t="inlineStr">
        <is>
          <t>Data Explorer</t>
        </is>
      </c>
      <c r="G1313" s="386" t="inlineStr">
        <is>
          <t>Chỉ tiêu cơ sở</t>
        </is>
      </c>
      <c r="H1313" s="386" t="inlineStr">
        <is>
          <t>TB</t>
        </is>
      </c>
      <c r="I1313" s="386" t="inlineStr">
        <is>
          <t>Ngày, CTCK</t>
        </is>
      </c>
      <c r="J1313" s="395" t="inlineStr">
        <is>
          <t>SCMS</t>
        </is>
      </c>
      <c r="K1313" s="395" t="n"/>
      <c r="L1313" s="395" t="inlineStr">
        <is>
          <t>X</t>
        </is>
      </c>
      <c r="M1313" s="395" t="n"/>
      <c r="N1313" s="395" t="inlineStr">
        <is>
          <t>Done</t>
        </is>
      </c>
      <c r="O1313" s="401" t="n"/>
      <c r="P1313" s="395" t="n"/>
      <c r="S1313" s="395" t="n"/>
      <c r="U1313" s="386" t="n"/>
      <c r="V1313" s="395" t="n"/>
      <c r="W1313" s="395" t="n"/>
      <c r="X1313" s="395" t="n"/>
      <c r="Y1313" s="395" t="n"/>
      <c r="Z1313" s="395" t="n"/>
      <c r="AA1313" s="395" t="n"/>
      <c r="AB1313" s="395" t="n"/>
      <c r="AC1313" s="395" t="n"/>
      <c r="AD1313" s="395" t="n"/>
      <c r="AE1313" s="395" t="n"/>
    </row>
    <row r="1314" ht="70" customHeight="1" s="380">
      <c r="A1314" s="73" t="n">
        <v>70</v>
      </c>
      <c r="B1314" s="386" t="n"/>
      <c r="C1314" s="386" t="inlineStr">
        <is>
          <t>Báo cáo theo Thông tư 121/2020/TT-BTC &gt;&gt; Số lượng tài khoản giao dịch chứng khoán của nhà đầu tư</t>
        </is>
      </c>
      <c r="D1314" s="386" t="inlineStr">
        <is>
          <t>Khách hàng trong nước &gt;&gt; Tổ chức &gt;&gt; Số lượng tài khoản &gt;&gt; Trong kỳ</t>
        </is>
      </c>
      <c r="E1314" s="386" t="inlineStr">
        <is>
          <t>Khách hàng trong nước &gt;&gt; Tổ chức &gt;&gt; Số lượng tài khoản &gt;&gt; Trong kỳ</t>
        </is>
      </c>
      <c r="F1314" s="386" t="inlineStr">
        <is>
          <t>Data Explorer</t>
        </is>
      </c>
      <c r="G1314" s="386" t="inlineStr">
        <is>
          <t>Chỉ tiêu cơ sở</t>
        </is>
      </c>
      <c r="H1314" s="386" t="inlineStr">
        <is>
          <t>TB</t>
        </is>
      </c>
      <c r="I1314" s="386" t="inlineStr">
        <is>
          <t>Ngày, CTCK</t>
        </is>
      </c>
      <c r="J1314" s="395" t="inlineStr">
        <is>
          <t>SCMS</t>
        </is>
      </c>
      <c r="K1314" s="395" t="n"/>
      <c r="L1314" s="395" t="inlineStr">
        <is>
          <t>X</t>
        </is>
      </c>
      <c r="M1314" s="395" t="n"/>
      <c r="N1314" s="395" t="inlineStr">
        <is>
          <t>Done</t>
        </is>
      </c>
      <c r="O1314" s="401" t="n"/>
      <c r="P1314" s="395" t="n"/>
      <c r="S1314" s="395" t="n"/>
      <c r="U1314" s="386" t="n"/>
      <c r="V1314" s="395" t="n"/>
      <c r="W1314" s="395" t="n"/>
      <c r="X1314" s="395" t="n"/>
      <c r="Y1314" s="395" t="n"/>
      <c r="Z1314" s="395" t="n"/>
      <c r="AA1314" s="395" t="n"/>
      <c r="AB1314" s="395" t="n"/>
      <c r="AC1314" s="395" t="n"/>
      <c r="AD1314" s="395" t="n"/>
      <c r="AE1314" s="395" t="n"/>
    </row>
    <row r="1315" ht="70" customHeight="1" s="380">
      <c r="A1315" s="73" t="n">
        <v>70</v>
      </c>
      <c r="B1315" s="386" t="n"/>
      <c r="C1315" s="386" t="inlineStr">
        <is>
          <t>Báo cáo theo Thông tư 121/2020/TT-BTC &gt;&gt; Số lượng tài khoản giao dịch chứng khoán của nhà đầu tư</t>
        </is>
      </c>
      <c r="D1315" s="386" t="inlineStr">
        <is>
          <t>Khách hàng trong nước &gt;&gt; Tổ chức &gt;&gt; Số lượng tài khoản &gt;&gt; Tăng/Giảm</t>
        </is>
      </c>
      <c r="E1315" s="386" t="inlineStr">
        <is>
          <t>Khách hàng trong nước &gt;&gt; Tổ chức &gt;&gt; Số lượng tài khoản &gt;&gt; Tăng/Giảm</t>
        </is>
      </c>
      <c r="F1315" s="386" t="inlineStr">
        <is>
          <t>Data Explorer</t>
        </is>
      </c>
      <c r="G1315" s="386" t="inlineStr">
        <is>
          <t>Chỉ tiêu cơ sở</t>
        </is>
      </c>
      <c r="H1315" s="386" t="inlineStr">
        <is>
          <t>TB</t>
        </is>
      </c>
      <c r="I1315" s="386" t="inlineStr">
        <is>
          <t>Ngày, CTCK</t>
        </is>
      </c>
      <c r="J1315" s="395" t="inlineStr">
        <is>
          <t>SCMS</t>
        </is>
      </c>
      <c r="K1315" s="395" t="n"/>
      <c r="L1315" s="395" t="inlineStr">
        <is>
          <t>X</t>
        </is>
      </c>
      <c r="M1315" s="395" t="n"/>
      <c r="N1315" s="395" t="inlineStr">
        <is>
          <t>Done</t>
        </is>
      </c>
      <c r="O1315" s="401" t="n"/>
      <c r="P1315" s="395" t="n"/>
      <c r="S1315" s="395" t="n"/>
      <c r="U1315" s="386" t="n"/>
      <c r="V1315" s="395" t="n"/>
      <c r="W1315" s="395" t="n"/>
      <c r="X1315" s="395" t="n"/>
      <c r="Y1315" s="395" t="n"/>
      <c r="Z1315" s="395" t="n"/>
      <c r="AA1315" s="395" t="n"/>
      <c r="AB1315" s="395" t="n"/>
      <c r="AC1315" s="395" t="n"/>
      <c r="AD1315" s="395" t="n"/>
      <c r="AE1315" s="395" t="n"/>
    </row>
    <row r="1316" ht="70" customHeight="1" s="380">
      <c r="A1316" s="73" t="n">
        <v>70</v>
      </c>
      <c r="B1316" s="386" t="n"/>
      <c r="C1316" s="386" t="inlineStr">
        <is>
          <t>Báo cáo theo Thông tư 121/2020/TT-BTC &gt;&gt; Số lượng tài khoản giao dịch chứng khoán của nhà đầu tư</t>
        </is>
      </c>
      <c r="D1316" s="386" t="inlineStr">
        <is>
          <t>Khách hàng trong nước &gt;&gt; Tổ chức &gt;&gt; Số lượng tài khoản có phát sinh giao dịch trong kỳ</t>
        </is>
      </c>
      <c r="E1316" s="386" t="inlineStr">
        <is>
          <t>Khách hàng trong nước &gt;&gt; Tổ chức &gt;&gt; Số lượng tài khoản có phát sinh giao dịch trong kỳ</t>
        </is>
      </c>
      <c r="F1316" s="386" t="inlineStr">
        <is>
          <t>Data Explorer</t>
        </is>
      </c>
      <c r="G1316" s="386" t="inlineStr">
        <is>
          <t>Chỉ tiêu cơ sở</t>
        </is>
      </c>
      <c r="H1316" s="386" t="inlineStr">
        <is>
          <t>TB</t>
        </is>
      </c>
      <c r="I1316" s="386" t="inlineStr">
        <is>
          <t>Ngày, CTCK</t>
        </is>
      </c>
      <c r="J1316" s="395" t="inlineStr">
        <is>
          <t>SCMS</t>
        </is>
      </c>
      <c r="K1316" s="395" t="n"/>
      <c r="L1316" s="395" t="inlineStr">
        <is>
          <t>X</t>
        </is>
      </c>
      <c r="M1316" s="395" t="n"/>
      <c r="N1316" s="395" t="inlineStr">
        <is>
          <t>Done</t>
        </is>
      </c>
      <c r="O1316" s="401" t="n"/>
      <c r="P1316" s="395" t="n"/>
      <c r="S1316" s="395" t="n"/>
      <c r="U1316" s="386" t="n"/>
      <c r="V1316" s="395" t="n"/>
      <c r="W1316" s="395" t="n"/>
      <c r="X1316" s="395" t="n"/>
      <c r="Y1316" s="395" t="n"/>
      <c r="Z1316" s="395" t="n"/>
      <c r="AA1316" s="395" t="n"/>
      <c r="AB1316" s="395" t="n"/>
      <c r="AC1316" s="395" t="n"/>
      <c r="AD1316" s="395" t="n"/>
      <c r="AE1316" s="395" t="n"/>
    </row>
    <row r="1317" ht="70" customHeight="1" s="380">
      <c r="A1317" s="73" t="n">
        <v>70</v>
      </c>
      <c r="B1317" s="386" t="n"/>
      <c r="C1317" s="386" t="inlineStr">
        <is>
          <t>Báo cáo theo Thông tư 121/2020/TT-BTC &gt;&gt; Số lượng tài khoản giao dịch chứng khoán của nhà đầu tư</t>
        </is>
      </c>
      <c r="D1317" s="386" t="inlineStr">
        <is>
          <t>Khách hàng nước ngoài &gt;&gt; Cá nhân &gt;&gt; Số lượng tài khoản &gt;&gt; Trong kỳ</t>
        </is>
      </c>
      <c r="E1317" s="386" t="inlineStr">
        <is>
          <t>Khách hàng nước ngoài &gt;&gt; Cá nhân &gt;&gt; Số lượng tài khoản &gt;&gt; Trong kỳ</t>
        </is>
      </c>
      <c r="F1317" s="386" t="inlineStr">
        <is>
          <t>Data Explorer</t>
        </is>
      </c>
      <c r="G1317" s="386" t="inlineStr">
        <is>
          <t>Chỉ tiêu cơ sở</t>
        </is>
      </c>
      <c r="H1317" s="386" t="inlineStr">
        <is>
          <t>TB</t>
        </is>
      </c>
      <c r="I1317" s="386" t="inlineStr">
        <is>
          <t>Ngày, CTCK</t>
        </is>
      </c>
      <c r="J1317" s="395" t="inlineStr">
        <is>
          <t>SCMS</t>
        </is>
      </c>
      <c r="K1317" s="395" t="n"/>
      <c r="L1317" s="395" t="inlineStr">
        <is>
          <t>X</t>
        </is>
      </c>
      <c r="M1317" s="395" t="n"/>
      <c r="N1317" s="395" t="inlineStr">
        <is>
          <t>Done</t>
        </is>
      </c>
      <c r="O1317" s="401" t="n"/>
      <c r="P1317" s="395" t="n"/>
      <c r="S1317" s="395" t="n"/>
      <c r="U1317" s="386" t="n"/>
      <c r="V1317" s="395" t="n"/>
      <c r="W1317" s="395" t="n"/>
      <c r="X1317" s="395" t="n"/>
      <c r="Y1317" s="395" t="n"/>
      <c r="Z1317" s="395" t="n"/>
      <c r="AA1317" s="395" t="n"/>
      <c r="AB1317" s="395" t="n"/>
      <c r="AC1317" s="395" t="n"/>
      <c r="AD1317" s="395" t="n"/>
      <c r="AE1317" s="395" t="n"/>
    </row>
    <row r="1318" ht="70" customHeight="1" s="380">
      <c r="A1318" s="73" t="n">
        <v>70</v>
      </c>
      <c r="B1318" s="386" t="n"/>
      <c r="C1318" s="386" t="inlineStr">
        <is>
          <t>Báo cáo theo Thông tư 121/2020/TT-BTC &gt;&gt; Số lượng tài khoản giao dịch chứng khoán của nhà đầu tư</t>
        </is>
      </c>
      <c r="D1318" s="386" t="inlineStr">
        <is>
          <t>Khách hàng nước ngoài &gt;&gt; Cá nhân &gt;&gt; Số lượng tài khoản &gt;&gt; Tăng/Giảm</t>
        </is>
      </c>
      <c r="E1318" s="386" t="inlineStr">
        <is>
          <t>Khách hàng nước ngoài &gt;&gt; Cá nhân &gt;&gt; Số lượng tài khoản &gt;&gt; Tăng/Giảm</t>
        </is>
      </c>
      <c r="F1318" s="386" t="inlineStr">
        <is>
          <t>Data Explorer</t>
        </is>
      </c>
      <c r="G1318" s="386" t="inlineStr">
        <is>
          <t>Chỉ tiêu cơ sở</t>
        </is>
      </c>
      <c r="H1318" s="386" t="inlineStr">
        <is>
          <t>TB</t>
        </is>
      </c>
      <c r="I1318" s="386" t="inlineStr">
        <is>
          <t>Ngày, CTCK</t>
        </is>
      </c>
      <c r="J1318" s="395" t="inlineStr">
        <is>
          <t>SCMS</t>
        </is>
      </c>
      <c r="K1318" s="395" t="n"/>
      <c r="L1318" s="395" t="inlineStr">
        <is>
          <t>X</t>
        </is>
      </c>
      <c r="M1318" s="395" t="n"/>
      <c r="N1318" s="395" t="inlineStr">
        <is>
          <t>Done</t>
        </is>
      </c>
      <c r="O1318" s="401" t="n"/>
      <c r="P1318" s="395" t="n"/>
      <c r="S1318" s="395" t="n"/>
      <c r="U1318" s="386" t="n"/>
      <c r="V1318" s="395" t="n"/>
      <c r="W1318" s="395" t="n"/>
      <c r="X1318" s="395" t="n"/>
      <c r="Y1318" s="395" t="n"/>
      <c r="Z1318" s="395" t="n"/>
      <c r="AA1318" s="395" t="n"/>
      <c r="AB1318" s="395" t="n"/>
      <c r="AC1318" s="395" t="n"/>
      <c r="AD1318" s="395" t="n"/>
      <c r="AE1318" s="395" t="n"/>
    </row>
    <row r="1319" ht="70" customHeight="1" s="380">
      <c r="A1319" s="73" t="n">
        <v>70</v>
      </c>
      <c r="B1319" s="386" t="n"/>
      <c r="C1319" s="386" t="inlineStr">
        <is>
          <t>Báo cáo theo Thông tư 121/2020/TT-BTC &gt;&gt; Số lượng tài khoản giao dịch chứng khoán của nhà đầu tư</t>
        </is>
      </c>
      <c r="D1319" s="386" t="inlineStr">
        <is>
          <t>Khách hàng nước ngoài &gt;&gt; Cá nhân &gt;&gt; Số lượng tài khoản có phát sinh giao dịch trong kỳ</t>
        </is>
      </c>
      <c r="E1319" s="386" t="inlineStr">
        <is>
          <t>Khách hàng nước ngoài &gt;&gt; Cá nhân &gt;&gt; Số lượng tài khoản có phát sinh giao dịch trong kỳ</t>
        </is>
      </c>
      <c r="F1319" s="386" t="inlineStr">
        <is>
          <t>Data Explorer</t>
        </is>
      </c>
      <c r="G1319" s="386" t="inlineStr">
        <is>
          <t>Chỉ tiêu cơ sở</t>
        </is>
      </c>
      <c r="H1319" s="386" t="inlineStr">
        <is>
          <t>TB</t>
        </is>
      </c>
      <c r="I1319" s="386" t="inlineStr">
        <is>
          <t>Ngày, CTCK</t>
        </is>
      </c>
      <c r="J1319" s="395" t="inlineStr">
        <is>
          <t>SCMS</t>
        </is>
      </c>
      <c r="K1319" s="395" t="n"/>
      <c r="L1319" s="395" t="inlineStr">
        <is>
          <t>X</t>
        </is>
      </c>
      <c r="M1319" s="395" t="n"/>
      <c r="N1319" s="395" t="inlineStr">
        <is>
          <t>Done</t>
        </is>
      </c>
      <c r="O1319" s="401" t="n"/>
      <c r="P1319" s="395" t="n"/>
      <c r="S1319" s="395" t="n"/>
      <c r="U1319" s="386" t="n"/>
      <c r="V1319" s="395" t="n"/>
      <c r="W1319" s="395" t="n"/>
      <c r="X1319" s="395" t="n"/>
      <c r="Y1319" s="395" t="n"/>
      <c r="Z1319" s="395" t="n"/>
      <c r="AA1319" s="395" t="n"/>
      <c r="AB1319" s="395" t="n"/>
      <c r="AC1319" s="395" t="n"/>
      <c r="AD1319" s="395" t="n"/>
      <c r="AE1319" s="395" t="n"/>
    </row>
    <row r="1320" ht="70" customHeight="1" s="380">
      <c r="A1320" s="73" t="n">
        <v>70</v>
      </c>
      <c r="B1320" s="386" t="n"/>
      <c r="C1320" s="386" t="inlineStr">
        <is>
          <t>Báo cáo theo Thông tư 121/2020/TT-BTC &gt;&gt; Số lượng tài khoản giao dịch chứng khoán của nhà đầu tư</t>
        </is>
      </c>
      <c r="D1320" s="386" t="inlineStr">
        <is>
          <t>Khách hàng nước ngoài &gt;&gt; Tổ chức &gt;&gt; Số lượng tài khoản &gt;&gt; Trong kỳ</t>
        </is>
      </c>
      <c r="E1320" s="386" t="inlineStr">
        <is>
          <t>Khách hàng nước ngoài &gt;&gt; Tổ chức &gt;&gt; Số lượng tài khoản &gt;&gt; Trong kỳ</t>
        </is>
      </c>
      <c r="F1320" s="386" t="inlineStr">
        <is>
          <t>Data Explorer</t>
        </is>
      </c>
      <c r="G1320" s="386" t="inlineStr">
        <is>
          <t>Chỉ tiêu cơ sở</t>
        </is>
      </c>
      <c r="H1320" s="386" t="inlineStr">
        <is>
          <t>TB</t>
        </is>
      </c>
      <c r="I1320" s="386" t="inlineStr">
        <is>
          <t>Ngày, CTCK</t>
        </is>
      </c>
      <c r="J1320" s="395" t="inlineStr">
        <is>
          <t>SCMS</t>
        </is>
      </c>
      <c r="K1320" s="395" t="n"/>
      <c r="L1320" s="395" t="inlineStr">
        <is>
          <t>X</t>
        </is>
      </c>
      <c r="M1320" s="395" t="n"/>
      <c r="N1320" s="395" t="inlineStr">
        <is>
          <t>Done</t>
        </is>
      </c>
      <c r="O1320" s="401" t="n"/>
      <c r="P1320" s="395" t="n"/>
      <c r="S1320" s="395" t="n"/>
      <c r="U1320" s="386" t="n"/>
      <c r="V1320" s="395" t="n"/>
      <c r="W1320" s="395" t="n"/>
      <c r="X1320" s="395" t="n"/>
      <c r="Y1320" s="395" t="n"/>
      <c r="Z1320" s="395" t="n"/>
      <c r="AA1320" s="395" t="n"/>
      <c r="AB1320" s="395" t="n"/>
      <c r="AC1320" s="395" t="n"/>
      <c r="AD1320" s="395" t="n"/>
      <c r="AE1320" s="395" t="n"/>
    </row>
    <row r="1321" ht="70" customHeight="1" s="380">
      <c r="A1321" s="73" t="n">
        <v>70</v>
      </c>
      <c r="B1321" s="386" t="n"/>
      <c r="C1321" s="386" t="inlineStr">
        <is>
          <t>Báo cáo theo Thông tư 121/2020/TT-BTC &gt;&gt; Số lượng tài khoản giao dịch chứng khoán của nhà đầu tư</t>
        </is>
      </c>
      <c r="D1321" s="386" t="inlineStr">
        <is>
          <t>Khách hàng nước ngoài &gt;&gt; Tổ chức &gt;&gt; Số lượng tài khoản &gt;&gt; Tăng/Giảm</t>
        </is>
      </c>
      <c r="E1321" s="386" t="inlineStr">
        <is>
          <t>Khách hàng nước ngoài &gt;&gt; Tổ chức &gt;&gt; Số lượng tài khoản &gt;&gt; Tăng/Giảm</t>
        </is>
      </c>
      <c r="F1321" s="386" t="inlineStr">
        <is>
          <t>Data Explorer</t>
        </is>
      </c>
      <c r="G1321" s="386" t="inlineStr">
        <is>
          <t>Chỉ tiêu cơ sở</t>
        </is>
      </c>
      <c r="H1321" s="386" t="inlineStr">
        <is>
          <t>TB</t>
        </is>
      </c>
      <c r="I1321" s="386" t="inlineStr">
        <is>
          <t>Ngày, CTCK</t>
        </is>
      </c>
      <c r="J1321" s="395" t="inlineStr">
        <is>
          <t>SCMS</t>
        </is>
      </c>
      <c r="K1321" s="395" t="n"/>
      <c r="L1321" s="395" t="inlineStr">
        <is>
          <t>X</t>
        </is>
      </c>
      <c r="M1321" s="395" t="n"/>
      <c r="N1321" s="395" t="inlineStr">
        <is>
          <t>Done</t>
        </is>
      </c>
      <c r="O1321" s="401" t="n"/>
      <c r="P1321" s="395" t="n"/>
      <c r="S1321" s="395" t="n"/>
      <c r="U1321" s="386" t="n"/>
      <c r="V1321" s="395" t="n"/>
      <c r="W1321" s="395" t="n"/>
      <c r="X1321" s="395" t="n"/>
      <c r="Y1321" s="395" t="n"/>
      <c r="Z1321" s="395" t="n"/>
      <c r="AA1321" s="395" t="n"/>
      <c r="AB1321" s="395" t="n"/>
      <c r="AC1321" s="395" t="n"/>
      <c r="AD1321" s="395" t="n"/>
      <c r="AE1321" s="395" t="n"/>
    </row>
    <row r="1322" ht="70" customHeight="1" s="380">
      <c r="A1322" s="73" t="n">
        <v>70</v>
      </c>
      <c r="B1322" s="386" t="n"/>
      <c r="C1322" s="386" t="inlineStr">
        <is>
          <t>Báo cáo theo Thông tư 121/2020/TT-BTC &gt;&gt; Số lượng tài khoản giao dịch chứng khoán của nhà đầu tư</t>
        </is>
      </c>
      <c r="D1322" s="386" t="inlineStr">
        <is>
          <t>Khách hàng nước ngoài &gt;&gt; Tổ chức &gt;&gt; Số lượng tài khoản có phát sinh giao dịch trong kỳ</t>
        </is>
      </c>
      <c r="E1322" s="386" t="inlineStr">
        <is>
          <t>Khách hàng nước ngoài &gt;&gt; Tổ chức &gt;&gt; Số lượng tài khoản có phát sinh giao dịch trong kỳ</t>
        </is>
      </c>
      <c r="F1322" s="386" t="inlineStr">
        <is>
          <t>Data Explorer</t>
        </is>
      </c>
      <c r="G1322" s="386" t="inlineStr">
        <is>
          <t>Chỉ tiêu cơ sở</t>
        </is>
      </c>
      <c r="H1322" s="386" t="inlineStr">
        <is>
          <t>TB</t>
        </is>
      </c>
      <c r="I1322" s="386" t="inlineStr">
        <is>
          <t>Ngày, CTCK</t>
        </is>
      </c>
      <c r="J1322" s="395" t="inlineStr">
        <is>
          <t>SCMS</t>
        </is>
      </c>
      <c r="K1322" s="395" t="n"/>
      <c r="L1322" s="395" t="inlineStr">
        <is>
          <t>X</t>
        </is>
      </c>
      <c r="M1322" s="395" t="n"/>
      <c r="N1322" s="395" t="inlineStr">
        <is>
          <t>Done</t>
        </is>
      </c>
      <c r="O1322" s="401" t="n"/>
      <c r="P1322" s="395" t="n"/>
      <c r="S1322" s="395" t="n"/>
      <c r="U1322" s="386" t="n"/>
      <c r="V1322" s="395" t="n"/>
      <c r="W1322" s="395" t="n"/>
      <c r="X1322" s="395" t="n"/>
      <c r="Y1322" s="395" t="n"/>
      <c r="Z1322" s="395" t="n"/>
      <c r="AA1322" s="395" t="n"/>
      <c r="AB1322" s="395" t="n"/>
      <c r="AC1322" s="395" t="n"/>
      <c r="AD1322" s="395" t="n"/>
      <c r="AE1322" s="395" t="n"/>
    </row>
    <row r="1323" ht="70" customHeight="1" s="380">
      <c r="A1323" s="73" t="n">
        <v>70</v>
      </c>
      <c r="B1323" s="386" t="n"/>
      <c r="C1323" s="386" t="inlineStr">
        <is>
          <t>Báo cáo theo Thông tư 121/2020/TT-BTC &gt;&gt; Số lượng tài khoản giao dịch chứng khoán của nhà đầu tư</t>
        </is>
      </c>
      <c r="D1323" s="386" t="inlineStr">
        <is>
          <t>TỔNG &gt;&gt; Số lượng tài khoản	&gt;&gt; Trong kỳ</t>
        </is>
      </c>
      <c r="E1323" s="395" t="inlineStr">
        <is>
          <t>TỔNG &gt;&gt; Số lượng tài khoản	&gt;&gt; Trong kỳ</t>
        </is>
      </c>
      <c r="F1323" s="386" t="inlineStr">
        <is>
          <t>Data Explorer</t>
        </is>
      </c>
      <c r="G1323" s="386" t="inlineStr">
        <is>
          <t>Chỉ tiêu cơ sở</t>
        </is>
      </c>
      <c r="H1323" s="386" t="inlineStr">
        <is>
          <t>TB</t>
        </is>
      </c>
      <c r="I1323" s="386" t="inlineStr">
        <is>
          <t>Ngày, CTCK</t>
        </is>
      </c>
      <c r="J1323" s="395" t="inlineStr">
        <is>
          <t>SCMS</t>
        </is>
      </c>
      <c r="K1323" s="395" t="n"/>
      <c r="L1323" s="395" t="inlineStr">
        <is>
          <t>X</t>
        </is>
      </c>
      <c r="M1323" s="395" t="n"/>
      <c r="N1323" s="395" t="inlineStr">
        <is>
          <t>Done</t>
        </is>
      </c>
      <c r="O1323" s="401" t="n"/>
      <c r="P1323" s="395" t="n"/>
      <c r="S1323" s="395" t="n"/>
      <c r="U1323" s="386" t="n"/>
      <c r="V1323" s="395" t="n"/>
      <c r="W1323" s="395" t="n"/>
      <c r="X1323" s="395" t="n"/>
      <c r="Y1323" s="395" t="n"/>
      <c r="Z1323" s="395" t="n"/>
      <c r="AA1323" s="395" t="n"/>
      <c r="AB1323" s="395" t="n"/>
      <c r="AC1323" s="395" t="n"/>
      <c r="AD1323" s="395" t="n"/>
      <c r="AE1323" s="395" t="n"/>
    </row>
    <row r="1324" ht="70" customHeight="1" s="380">
      <c r="A1324" s="73" t="n">
        <v>70</v>
      </c>
      <c r="B1324" s="386" t="n"/>
      <c r="C1324" s="386" t="inlineStr">
        <is>
          <t>Báo cáo theo Thông tư 121/2020/TT-BTC &gt;&gt; Số lượng tài khoản giao dịch chứng khoán của nhà đầu tư</t>
        </is>
      </c>
      <c r="D1324" s="386" t="inlineStr">
        <is>
          <t>TỔNG &gt;&gt; Số lượng tài khoản &gt;&gt; Tăng/Giảm</t>
        </is>
      </c>
      <c r="E1324" s="386" t="inlineStr">
        <is>
          <t>TỔNG &gt;&gt; Số lượng tài khoản &gt;&gt; Tăng/Giảm</t>
        </is>
      </c>
      <c r="F1324" s="386" t="inlineStr">
        <is>
          <t>Data Explorer</t>
        </is>
      </c>
      <c r="G1324" s="386" t="inlineStr">
        <is>
          <t>Chỉ tiêu cơ sở</t>
        </is>
      </c>
      <c r="H1324" s="386" t="inlineStr">
        <is>
          <t>TB</t>
        </is>
      </c>
      <c r="I1324" s="386" t="inlineStr">
        <is>
          <t>Ngày, CTCK</t>
        </is>
      </c>
      <c r="J1324" s="395" t="inlineStr">
        <is>
          <t>SCMS</t>
        </is>
      </c>
      <c r="K1324" s="395" t="n"/>
      <c r="L1324" s="395" t="inlineStr">
        <is>
          <t>X</t>
        </is>
      </c>
      <c r="M1324" s="395" t="n"/>
      <c r="N1324" s="395" t="inlineStr">
        <is>
          <t>Done</t>
        </is>
      </c>
      <c r="O1324" s="401" t="n"/>
      <c r="P1324" s="395" t="n"/>
      <c r="S1324" s="395" t="n"/>
      <c r="U1324" s="386" t="n"/>
      <c r="V1324" s="395" t="n"/>
      <c r="W1324" s="395" t="n"/>
      <c r="X1324" s="395" t="n"/>
      <c r="Y1324" s="395" t="n"/>
      <c r="Z1324" s="395" t="n"/>
      <c r="AA1324" s="395" t="n"/>
      <c r="AB1324" s="395" t="n"/>
      <c r="AC1324" s="395" t="n"/>
      <c r="AD1324" s="395" t="n"/>
      <c r="AE1324" s="395" t="n"/>
    </row>
    <row r="1325" ht="70" customHeight="1" s="380">
      <c r="A1325" s="83" t="n">
        <v>70</v>
      </c>
      <c r="B1325" s="68" t="n"/>
      <c r="C1325" s="68" t="inlineStr">
        <is>
          <t>Báo cáo theo Thông tư 121/2020/TT-BTC &gt;&gt; Số lượng tài khoản giao dịch chứng khoán của nhà đầu tư</t>
        </is>
      </c>
      <c r="D1325" s="68" t="inlineStr">
        <is>
          <t>TỔNG &gt;&gt; Số lượng tài khoản có phát sinh giao dịch trong kỳ</t>
        </is>
      </c>
      <c r="E1325" s="68" t="inlineStr">
        <is>
          <t>TỔNG &gt;&gt; Số lượng tài khoản có phát sinh giao dịch trong kỳ</t>
        </is>
      </c>
      <c r="F1325" s="68" t="inlineStr">
        <is>
          <t>Data Explorer</t>
        </is>
      </c>
      <c r="G1325" s="68" t="inlineStr">
        <is>
          <t>Chỉ tiêu cơ sở</t>
        </is>
      </c>
      <c r="H1325" s="68" t="inlineStr">
        <is>
          <t>TB</t>
        </is>
      </c>
      <c r="I1325" s="68" t="inlineStr">
        <is>
          <t>Ngày, CTCK</t>
        </is>
      </c>
      <c r="J1325" s="69" t="inlineStr">
        <is>
          <t>SCMS</t>
        </is>
      </c>
      <c r="K1325" s="69" t="n"/>
      <c r="L1325" s="69" t="inlineStr">
        <is>
          <t>X</t>
        </is>
      </c>
      <c r="M1325" s="69" t="n"/>
      <c r="N1325" s="69" t="inlineStr">
        <is>
          <t>Done</t>
        </is>
      </c>
      <c r="O1325" s="85" t="n"/>
      <c r="P1325" s="69" t="n"/>
      <c r="Q1325" s="426" t="n"/>
      <c r="R1325" s="426" t="n"/>
      <c r="S1325" s="69" t="n"/>
      <c r="T1325" s="426" t="n"/>
      <c r="U1325" s="68" t="n"/>
      <c r="V1325" s="69" t="n"/>
      <c r="W1325" s="69" t="n"/>
      <c r="X1325" s="69" t="n"/>
      <c r="Y1325" s="69" t="n"/>
      <c r="Z1325" s="69" t="n"/>
      <c r="AA1325" s="69" t="n"/>
      <c r="AB1325" s="69" t="n"/>
      <c r="AC1325" s="69" t="n"/>
      <c r="AD1325" s="69" t="n"/>
      <c r="AE1325" s="69" t="n"/>
    </row>
    <row r="1326" ht="70" customHeight="1" s="380">
      <c r="A1326" s="73" t="n">
        <v>71</v>
      </c>
      <c r="B1326" s="122" t="inlineStr">
        <is>
          <t>Nga</t>
        </is>
      </c>
      <c r="C1326" s="81" t="inlineStr">
        <is>
          <t>Báo cáo theo Thông tư 121/2020/TT-BTC &gt;&gt; Ủy thác quản lý tài khoản giao dịch chứng khoán của nhà đầu tư cá nhân</t>
        </is>
      </c>
      <c r="D1326" s="106" t="inlineStr">
        <is>
          <t>Loại báo cáo</t>
        </is>
      </c>
      <c r="E1326" s="107" t="inlineStr">
        <is>
          <t>Loại báo cáo</t>
        </is>
      </c>
      <c r="F1326" s="390" t="inlineStr">
        <is>
          <t>Data Explorer</t>
        </is>
      </c>
      <c r="G1326" s="390" t="inlineStr">
        <is>
          <t>Chiều</t>
        </is>
      </c>
      <c r="H1326" s="390" t="inlineStr">
        <is>
          <t>Dễ</t>
        </is>
      </c>
      <c r="I1326" s="390" t="inlineStr">
        <is>
          <t>Ngày, CTCK</t>
        </is>
      </c>
      <c r="J1326" s="401" t="inlineStr">
        <is>
          <t>SCMS</t>
        </is>
      </c>
      <c r="K1326" s="401" t="inlineStr">
        <is>
          <t>X</t>
        </is>
      </c>
      <c r="L1326" s="395" t="inlineStr">
        <is>
          <t>X</t>
        </is>
      </c>
      <c r="M1326" s="401" t="n"/>
      <c r="N1326" s="395" t="inlineStr">
        <is>
          <t>Done</t>
        </is>
      </c>
      <c r="O1326" s="401" t="n"/>
      <c r="P1326" s="395" t="n"/>
      <c r="Q1326" s="404" t="inlineStr">
        <is>
          <t>SCMS.BM_BAO_CAO
SCMS.BM_BAO_CAO_DINH_KY</t>
        </is>
      </c>
      <c r="R1326" s="404" t="inlineStr">
        <is>
          <t>bm.ID,
bm.MA_BAO_CAO,
bm.LOAI_BAO_CAO,
bm.TEN_BAO_CAO,
bm.SU_DUNG,
bdk.BM_BAO_CAO_ID,
bdk.KY_BAO_CAO,
bdk.SU_DUNG</t>
        </is>
      </c>
      <c r="S1326" s="395" t="n"/>
      <c r="T1326"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326" s="386" t="n"/>
      <c r="V1326" s="395" t="n"/>
      <c r="W1326" s="395" t="n"/>
      <c r="X1326" s="395" t="n"/>
      <c r="Y1326" s="395" t="n"/>
      <c r="Z1326" s="395" t="n"/>
      <c r="AA1326" s="395" t="n"/>
      <c r="AB1326" s="395" t="n"/>
      <c r="AC1326" s="395" t="n"/>
      <c r="AD1326" s="395" t="n"/>
      <c r="AE1326" s="395" t="n"/>
    </row>
    <row r="1327" ht="70" customHeight="1" s="380">
      <c r="A1327" s="73" t="n">
        <v>71</v>
      </c>
      <c r="B1327" s="386" t="n"/>
      <c r="C1327" s="386" t="inlineStr">
        <is>
          <t>Báo cáo theo Thông tư 121/2020/TT-BTC &gt;&gt; Ủy thác quản lý tài khoản giao dịch chứng khoán của nhà đầu tư cá nhân</t>
        </is>
      </c>
      <c r="D1327" s="106" t="inlineStr">
        <is>
          <t>Kỳ báo cáo</t>
        </is>
      </c>
      <c r="E1327" s="107" t="inlineStr">
        <is>
          <t>Kỳ báo cáo</t>
        </is>
      </c>
      <c r="F1327" s="390" t="inlineStr">
        <is>
          <t>Data Explorer</t>
        </is>
      </c>
      <c r="G1327" s="390" t="inlineStr">
        <is>
          <t>Chiều</t>
        </is>
      </c>
      <c r="H1327" s="390" t="inlineStr">
        <is>
          <t>Dễ</t>
        </is>
      </c>
      <c r="I1327" s="390" t="inlineStr">
        <is>
          <t>Ngày, CTCK</t>
        </is>
      </c>
      <c r="J1327" s="401" t="inlineStr">
        <is>
          <t>SCMS</t>
        </is>
      </c>
      <c r="K1327" s="401" t="inlineStr">
        <is>
          <t>X</t>
        </is>
      </c>
      <c r="L1327" s="395" t="inlineStr">
        <is>
          <t>X</t>
        </is>
      </c>
      <c r="M1327" s="401" t="n"/>
      <c r="N1327" s="395" t="inlineStr">
        <is>
          <t>Done</t>
        </is>
      </c>
      <c r="O1327" s="401" t="n"/>
      <c r="P1327" s="395" t="n"/>
      <c r="S1327" s="395" t="n"/>
      <c r="U1327" s="386" t="n"/>
      <c r="V1327" s="395" t="n"/>
      <c r="W1327" s="395" t="n"/>
      <c r="X1327" s="395" t="n"/>
      <c r="Y1327" s="395" t="n"/>
      <c r="Z1327" s="395" t="n"/>
      <c r="AA1327" s="395" t="n"/>
      <c r="AB1327" s="395" t="n"/>
      <c r="AC1327" s="395" t="n"/>
      <c r="AD1327" s="395" t="n"/>
      <c r="AE1327" s="395" t="n"/>
    </row>
    <row r="1328" ht="70" customHeight="1" s="380">
      <c r="A1328" s="73" t="n">
        <v>71</v>
      </c>
      <c r="B1328" s="386" t="n"/>
      <c r="C1328" s="386" t="inlineStr">
        <is>
          <t>Báo cáo theo Thông tư 121/2020/TT-BTC &gt;&gt; Ủy thác quản lý tài khoản giao dịch chứng khoán của nhà đầu tư cá nhân</t>
        </is>
      </c>
      <c r="D1328" s="106" t="inlineStr">
        <is>
          <t>Mã báo cáo</t>
        </is>
      </c>
      <c r="E1328" s="107" t="inlineStr">
        <is>
          <t>Mã báo cáo</t>
        </is>
      </c>
      <c r="F1328" s="390" t="inlineStr">
        <is>
          <t>Data Explorer</t>
        </is>
      </c>
      <c r="G1328" s="390" t="inlineStr">
        <is>
          <t>Chiều</t>
        </is>
      </c>
      <c r="H1328" s="390" t="inlineStr">
        <is>
          <t>Dễ</t>
        </is>
      </c>
      <c r="I1328" s="390" t="inlineStr">
        <is>
          <t>Ngày, CTCK</t>
        </is>
      </c>
      <c r="J1328" s="401" t="inlineStr">
        <is>
          <t>SCMS</t>
        </is>
      </c>
      <c r="K1328" s="401" t="inlineStr">
        <is>
          <t>X</t>
        </is>
      </c>
      <c r="L1328" s="395" t="inlineStr">
        <is>
          <t>X</t>
        </is>
      </c>
      <c r="M1328" s="401" t="n"/>
      <c r="N1328" s="395" t="inlineStr">
        <is>
          <t>Done</t>
        </is>
      </c>
      <c r="O1328" s="401" t="n"/>
      <c r="P1328" s="395" t="n"/>
      <c r="S1328" s="395" t="n"/>
      <c r="U1328" s="386" t="n"/>
      <c r="V1328" s="395" t="n"/>
      <c r="W1328" s="395" t="n"/>
      <c r="X1328" s="395" t="n"/>
      <c r="Y1328" s="395" t="n"/>
      <c r="Z1328" s="395" t="n"/>
      <c r="AA1328" s="395" t="n"/>
      <c r="AB1328" s="395" t="n"/>
      <c r="AC1328" s="395" t="n"/>
      <c r="AD1328" s="395" t="n"/>
      <c r="AE1328" s="395" t="n"/>
    </row>
    <row r="1329" ht="70" customHeight="1" s="380">
      <c r="A1329" s="73" t="n">
        <v>71</v>
      </c>
      <c r="B1329" s="386" t="n"/>
      <c r="C1329" s="386" t="inlineStr">
        <is>
          <t>Báo cáo theo Thông tư 121/2020/TT-BTC &gt;&gt; Ủy thác quản lý tài khoản giao dịch chứng khoán của nhà đầu tư cá nhân</t>
        </is>
      </c>
      <c r="D1329" s="106" t="inlineStr">
        <is>
          <t>Tên báo cáo</t>
        </is>
      </c>
      <c r="E1329" s="107" t="inlineStr">
        <is>
          <t>Tên báo cáo</t>
        </is>
      </c>
      <c r="F1329" s="390" t="inlineStr">
        <is>
          <t>Data Explorer</t>
        </is>
      </c>
      <c r="G1329" s="390" t="inlineStr">
        <is>
          <t>Chiều</t>
        </is>
      </c>
      <c r="H1329" s="390" t="inlineStr">
        <is>
          <t>Dễ</t>
        </is>
      </c>
      <c r="I1329" s="390" t="inlineStr">
        <is>
          <t>Ngày, CTCK</t>
        </is>
      </c>
      <c r="J1329" s="401" t="inlineStr">
        <is>
          <t>SCMS</t>
        </is>
      </c>
      <c r="K1329" s="401" t="inlineStr">
        <is>
          <t>X</t>
        </is>
      </c>
      <c r="L1329" s="395" t="inlineStr">
        <is>
          <t>X</t>
        </is>
      </c>
      <c r="M1329" s="401" t="n"/>
      <c r="N1329" s="395" t="inlineStr">
        <is>
          <t>Done</t>
        </is>
      </c>
      <c r="O1329" s="401" t="n"/>
      <c r="P1329" s="395" t="n"/>
      <c r="S1329" s="395" t="n"/>
      <c r="U1329" s="386" t="n"/>
      <c r="V1329" s="395" t="n"/>
      <c r="W1329" s="395" t="n"/>
      <c r="X1329" s="395" t="n"/>
      <c r="Y1329" s="395" t="n"/>
      <c r="Z1329" s="395" t="n"/>
      <c r="AA1329" s="395" t="n"/>
      <c r="AB1329" s="395" t="n"/>
      <c r="AC1329" s="395" t="n"/>
      <c r="AD1329" s="395" t="n"/>
      <c r="AE1329" s="395" t="n"/>
    </row>
    <row r="1330" ht="70" customHeight="1" s="380">
      <c r="A1330" s="73" t="n">
        <v>71</v>
      </c>
      <c r="B1330" s="386" t="n"/>
      <c r="C1330" s="386" t="inlineStr">
        <is>
          <t>Báo cáo theo Thông tư 121/2020/TT-BTC &gt;&gt; Ủy thác quản lý tài khoản giao dịch chứng khoán của nhà đầu tư cá nhân</t>
        </is>
      </c>
      <c r="D1330" s="106" t="inlineStr">
        <is>
          <t>Tên sheet</t>
        </is>
      </c>
      <c r="E1330" s="106" t="inlineStr">
        <is>
          <t>Tên sheet</t>
        </is>
      </c>
      <c r="F1330" s="390" t="inlineStr">
        <is>
          <t>Data Explorer</t>
        </is>
      </c>
      <c r="G1330" s="390" t="inlineStr">
        <is>
          <t>Chiều</t>
        </is>
      </c>
      <c r="H1330" s="390" t="inlineStr">
        <is>
          <t>Dễ</t>
        </is>
      </c>
      <c r="I1330" s="390" t="inlineStr">
        <is>
          <t>Ngày, CTCK</t>
        </is>
      </c>
      <c r="J1330" s="401" t="inlineStr">
        <is>
          <t>SCMS</t>
        </is>
      </c>
      <c r="K1330" s="401" t="inlineStr">
        <is>
          <t>X</t>
        </is>
      </c>
      <c r="L1330" s="395" t="inlineStr">
        <is>
          <t>X</t>
        </is>
      </c>
      <c r="M1330" s="401" t="n"/>
      <c r="N1330" s="395" t="inlineStr">
        <is>
          <t>Done</t>
        </is>
      </c>
      <c r="O1330" s="401" t="n"/>
      <c r="P1330" s="395" t="n"/>
      <c r="Q1330" s="401" t="inlineStr">
        <is>
          <t>SCMS.BM_BAO_CAO
SCMS.BM_SHEET</t>
        </is>
      </c>
      <c r="R1330" s="401" t="inlineStr">
        <is>
          <t>bm.ID,
bm.MA_BAO_CAO,
bm.SU_DUNG,
s.BM_BAO_CAO_ID,
s.MA_SHEET,
s.TEN_SHEET,
s.SAP_XEP</t>
        </is>
      </c>
      <c r="S1330" s="395" t="n"/>
      <c r="T1330" s="384" t="inlineStr">
        <is>
          <t>-- Mã sheet / Tên sheet
-- TEN_SHEET: THNS
SELECT bm.MA_BAO_CAO,
s.MA_SHEET,
s.TEN_SHEET
FROM SCMS.BM_BAO_CAO bm
JOIN SCMS.BM_SHEET s ON s.BM_BAO_CAO_ID = bm.ID
WHERE bm.MA_BAO_CAO LIKE 'BCTHHDKD%'
AND s.TEN_SHEET = 'QLTKGDCKNDT'  -- Check lại
AND bm.SU_DUNG = 1
ORDER BY bm.MA_BAO_CAO, s.SAP_XEP;</t>
        </is>
      </c>
      <c r="U1330" s="386" t="n"/>
      <c r="V1330" s="395" t="n"/>
      <c r="W1330" s="395" t="n"/>
      <c r="X1330" s="395" t="n"/>
      <c r="Y1330" s="395" t="n"/>
      <c r="Z1330" s="395" t="n"/>
      <c r="AA1330" s="395" t="n"/>
      <c r="AB1330" s="395" t="n"/>
      <c r="AC1330" s="395" t="n"/>
      <c r="AD1330" s="395" t="n"/>
      <c r="AE1330" s="395" t="n"/>
    </row>
    <row r="1331" ht="70" customHeight="1" s="380">
      <c r="A1331" s="73" t="n">
        <v>71</v>
      </c>
      <c r="B1331" s="386" t="n"/>
      <c r="C1331" s="386" t="inlineStr">
        <is>
          <t>Báo cáo theo Thông tư 121/2020/TT-BTC &gt;&gt; Ủy thác quản lý tài khoản giao dịch chứng khoán của nhà đầu tư cá nhân</t>
        </is>
      </c>
      <c r="D1331" s="106" t="inlineStr">
        <is>
          <t>Mã chỉ tiêu</t>
        </is>
      </c>
      <c r="E1331" s="107" t="inlineStr">
        <is>
          <t>Mã chỉ tiêu</t>
        </is>
      </c>
      <c r="F1331" s="390" t="inlineStr">
        <is>
          <t>Data Explorer</t>
        </is>
      </c>
      <c r="G1331" s="390" t="inlineStr">
        <is>
          <t>Chiều</t>
        </is>
      </c>
      <c r="H1331" s="390" t="inlineStr">
        <is>
          <t>Dễ</t>
        </is>
      </c>
      <c r="I1331" s="390" t="inlineStr">
        <is>
          <t>Ngày, CTCK</t>
        </is>
      </c>
      <c r="J1331" s="401" t="inlineStr">
        <is>
          <t>SCMS</t>
        </is>
      </c>
      <c r="K1331" s="401" t="inlineStr">
        <is>
          <t>X</t>
        </is>
      </c>
      <c r="L1331" s="395" t="inlineStr">
        <is>
          <t>X</t>
        </is>
      </c>
      <c r="M1331" s="401" t="n"/>
      <c r="N1331" s="395" t="inlineStr">
        <is>
          <t>Done</t>
        </is>
      </c>
      <c r="O1331" s="401" t="n"/>
      <c r="P1331" s="395" t="n"/>
      <c r="S1331" s="395" t="n"/>
      <c r="U1331" s="386" t="n"/>
      <c r="V1331" s="395" t="n"/>
      <c r="W1331" s="395" t="n"/>
      <c r="X1331" s="395" t="n"/>
      <c r="Y1331" s="395" t="n"/>
      <c r="Z1331" s="395" t="n"/>
      <c r="AA1331" s="395" t="n"/>
      <c r="AB1331" s="395" t="n"/>
      <c r="AC1331" s="395" t="n"/>
      <c r="AD1331" s="395" t="n"/>
      <c r="AE1331" s="395" t="n"/>
    </row>
    <row r="1332" ht="70" customHeight="1" s="380">
      <c r="A1332" s="73" t="n">
        <v>71</v>
      </c>
      <c r="B1332" s="386" t="n"/>
      <c r="C1332" s="386" t="inlineStr">
        <is>
          <t>Báo cáo theo Thông tư 121/2020/TT-BTC &gt;&gt; Ủy thác quản lý tài khoản giao dịch chứng khoán của nhà đầu tư cá nhân</t>
        </is>
      </c>
      <c r="D1332" s="106" t="inlineStr">
        <is>
          <t>Mã chỉ tiêu</t>
        </is>
      </c>
      <c r="E1332" s="107" t="inlineStr">
        <is>
          <t>Mã chỉ tiêu</t>
        </is>
      </c>
      <c r="F1332" s="390" t="inlineStr">
        <is>
          <t>Data Explorer</t>
        </is>
      </c>
      <c r="G1332" s="390" t="inlineStr">
        <is>
          <t>Chiều</t>
        </is>
      </c>
      <c r="H1332" s="390" t="inlineStr">
        <is>
          <t>Dễ</t>
        </is>
      </c>
      <c r="I1332" s="390" t="inlineStr">
        <is>
          <t>Ngày, CTCK</t>
        </is>
      </c>
      <c r="J1332" s="401" t="inlineStr">
        <is>
          <t>SCMS</t>
        </is>
      </c>
      <c r="K1332" s="401" t="inlineStr">
        <is>
          <t>X</t>
        </is>
      </c>
      <c r="L1332" s="395" t="inlineStr">
        <is>
          <t>X</t>
        </is>
      </c>
      <c r="M1332" s="401" t="n"/>
      <c r="N1332" s="395" t="inlineStr">
        <is>
          <t>Done</t>
        </is>
      </c>
      <c r="O1332" s="401" t="n"/>
      <c r="P1332" s="395" t="n"/>
      <c r="Q1332" s="401" t="inlineStr">
        <is>
          <t>SCMS.BM_BAO_CAO
SCMS.BM_SHEET
SCMS.BM_BAO_CAO_CT
SCMS.DM_CHI_TIEU</t>
        </is>
      </c>
      <c r="R1332" s="402" t="inlineStr">
        <is>
          <t>dct.ID,
dct.MA_CHI_TIEU,
dct.TEN_CHI_TIEU,
dct.SU_DUNG,
s.BM_BAO_CAO_ID,
s.MA_SHEET,
ct.BM_BAO_CAO_ID,
ct.DM_CHI_TIEU_ID,
ct.SU_DUNG,
bm.ID,
bm.MA_BAO_CAO,
bm.SU_DUNG</t>
        </is>
      </c>
      <c r="S1332" s="395" t="n"/>
      <c r="T1332" s="384" t="inlineStr">
        <is>
          <t>-- Mã chỉ tiêu / Tên chỉ tiêu
SELECT DISTINCT
    dct.MA_CHI_TIEU  AS ma_chi_tieu,
    dct.TEN_CHI_TIEU AS ten_chi_tieu
FROM SCMS.BM_BAO_CAO bm
JOIN SCMS.BM_SHEET s ON s.BM_BAO_CAO_ID = bm.ID
	AND s.TEN_SHEET = 'QLTKGDCKNDT'
JOIN SCMS.BM_BAO_CAO_CT ct ON ct.BM_SHEET_ID = s.ID
	AND ct.SU_DUNG = 1
JOIN SCMS.DM_CHI_TIEU dct ON dct.ID = ct.DM_CHI_TIEU_ID
	AND dct.SU_DUNG = 1
WHERE bm.MA_BAO_CAO LIKE 'BCTHHDKD%'
	AND bm.SU_DUNG = 1
ORDER BY dct.MA_CHI_TIEU;</t>
        </is>
      </c>
      <c r="U1332" s="386" t="n"/>
      <c r="V1332" s="395" t="n"/>
      <c r="W1332" s="395" t="n"/>
      <c r="X1332" s="395" t="n"/>
      <c r="Y1332" s="395" t="n"/>
      <c r="Z1332" s="395" t="n"/>
      <c r="AA1332" s="395" t="n"/>
      <c r="AB1332" s="395" t="n"/>
      <c r="AC1332" s="395" t="n"/>
      <c r="AD1332" s="395" t="n"/>
      <c r="AE1332" s="395" t="n"/>
    </row>
    <row r="1333" ht="70" customHeight="1" s="380">
      <c r="A1333" s="73" t="n">
        <v>71</v>
      </c>
      <c r="B1333" s="386" t="n"/>
      <c r="C1333" s="386" t="inlineStr">
        <is>
          <t>Báo cáo theo Thông tư 121/2020/TT-BTC &gt;&gt; Ủy thác quản lý tài khoản giao dịch chứng khoán của nhà đầu tư cá nhân</t>
        </is>
      </c>
      <c r="D1333" s="106" t="inlineStr">
        <is>
          <t>Tên chỉ tiêu</t>
        </is>
      </c>
      <c r="E1333" s="107" t="inlineStr">
        <is>
          <t>Tên chỉ tiêu</t>
        </is>
      </c>
      <c r="F1333" s="390" t="inlineStr">
        <is>
          <t>Data Explorer</t>
        </is>
      </c>
      <c r="G1333" s="390" t="inlineStr">
        <is>
          <t>Chiều</t>
        </is>
      </c>
      <c r="H1333" s="390" t="inlineStr">
        <is>
          <t>Dễ</t>
        </is>
      </c>
      <c r="I1333" s="390" t="inlineStr">
        <is>
          <t>Ngày, CTCK</t>
        </is>
      </c>
      <c r="J1333" s="401" t="inlineStr">
        <is>
          <t>SCMS</t>
        </is>
      </c>
      <c r="K1333" s="401" t="inlineStr">
        <is>
          <t>X</t>
        </is>
      </c>
      <c r="L1333" s="395" t="inlineStr">
        <is>
          <t>X</t>
        </is>
      </c>
      <c r="M1333" s="401" t="n"/>
      <c r="N1333" s="395" t="inlineStr">
        <is>
          <t>Done</t>
        </is>
      </c>
      <c r="O1333" s="401" t="n"/>
      <c r="P1333" s="395" t="n"/>
      <c r="S1333" s="395" t="n"/>
      <c r="U1333" s="386" t="n"/>
      <c r="V1333" s="395" t="n"/>
      <c r="W1333" s="395" t="n"/>
      <c r="X1333" s="395" t="n"/>
      <c r="Y1333" s="395" t="n"/>
      <c r="Z1333" s="395" t="n"/>
      <c r="AA1333" s="395" t="n"/>
      <c r="AB1333" s="395" t="n"/>
      <c r="AC1333" s="395" t="n"/>
      <c r="AD1333" s="395" t="n"/>
      <c r="AE1333" s="395" t="n"/>
    </row>
    <row r="1334" ht="70" customHeight="1" s="380">
      <c r="A1334" s="73" t="n">
        <v>71</v>
      </c>
      <c r="B1334" s="386" t="n"/>
      <c r="C1334" s="386" t="inlineStr">
        <is>
          <t>Báo cáo theo Thông tư 121/2020/TT-BTC &gt;&gt; Ủy thác quản lý tài khoản giao dịch chứng khoán của nhà đầu tư cá nhân</t>
        </is>
      </c>
      <c r="D1334" s="386" t="inlineStr">
        <is>
          <t>Tên công ty chứng khoán</t>
        </is>
      </c>
      <c r="E1334" s="386" t="inlineStr">
        <is>
          <t>Tên công ty chứng khoán</t>
        </is>
      </c>
      <c r="F1334" s="386" t="inlineStr">
        <is>
          <t>Data Explorer</t>
        </is>
      </c>
      <c r="G1334" s="386" t="inlineStr">
        <is>
          <t>Chỉ tiêu cơ sở</t>
        </is>
      </c>
      <c r="H1334" s="386" t="inlineStr">
        <is>
          <t>Dễ</t>
        </is>
      </c>
      <c r="I1334" s="386" t="inlineStr">
        <is>
          <t>Ngày, CTCK</t>
        </is>
      </c>
      <c r="J1334" s="395" t="inlineStr">
        <is>
          <t>SCMS</t>
        </is>
      </c>
      <c r="K1334" s="395" t="n"/>
      <c r="L1334" s="395" t="inlineStr">
        <is>
          <t>X</t>
        </is>
      </c>
      <c r="M1334" s="395" t="n"/>
      <c r="N1334" s="395" t="inlineStr">
        <is>
          <t>Done</t>
        </is>
      </c>
      <c r="O1334" s="401" t="n"/>
      <c r="P1334" s="395" t="n"/>
      <c r="Q1334" s="427" t="inlineStr">
        <is>
          <t>SCMS.BC_THANH_VIEN
SCMS.BM_BAO_CAO
SCMS.BC_BAO_CAO_GT
SCMS.BM_BAO_CAO_HANG
SCMS.BM_BAO_CAO_COT
SCMS.CTCK_THONG_TIN</t>
        </is>
      </c>
      <c r="R1334" s="427" t="inlineStr">
        <is>
          <t>btv.ID,
btv.NGAY_SO_LIEU,
btv.BM_BAO_CAO_ID,
btv.CTCK_THONG_TIN_ID,
btv.TRANG_THAI,
c.CTCK_THONG_TIN_ID,
c.TEN_VIET_TAT,
c.SAN_NIEM_YET,
c.MA_CHUNG_KHOAN,
c.GIAY_PHEP_KINH_DOANH,
c.NGAY_CAP_GPKD,
bsh.ID,
bsh.MA_HANG,
bsc.TEN_COT,
bsc.BM_SHEET_ID,
gt.BC_THANH_VIEN_ID,
gt.BM_SHEET_HANG_ID,
gt.GIA_TRI,
bm.ID,
bm.MA_BAO_CAO</t>
        </is>
      </c>
      <c r="S1334" s="395" t="n"/>
      <c r="T1334"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 Trong nước (MA_HANG=1)
    MAX(CASE WHEN bsh.MA_HANG='1' AND bsc.TEN_COT=N'Đầu kỳ' THEN CAST(gt.GIA_TRI AS VARCHAR2(4000)) END) AS "Trong nước_Đầu kỳ",
    MAX(CASE WHEN bsh.MA_HANG='1' AND bsc.TEN_COT=N'Cuối kỳ' THEN CAST(gt.GIA_TRI AS VARCHAR2(4000)) END) AS "Trong nước_Cuối kỳ",
    MAX(CASE WHEN bsh.MA_HANG='1' AND bsc.TEN_COT=N'Tăng/giảm' THEN CAST(gt.GIA_TRI AS VARCHAR2(4000)) END) AS "Trong nước_Tăng/giảm",
    MAX(CASE WHEN bsh.MA_HANG='1' AND bsc.TEN_COT=N'Giá trị ủy thác(triệu đồng)' THEN CAST(gt.GIA_TRI AS VARCHAR2(4000)) END) AS "Trong nước_Giá trị ủy thác",
    -- Nước ngoài (MA_HANG=2)
    MAX(CASE WHEN bsh.MA_HANG='2' AND bsc.TEN_COT=N'Đầu kỳ' THEN CAST(gt.GIA_TRI AS VARCHAR2(4000)) END) AS "Nước ngoài_Đầu kỳ",
    MAX(CASE WHEN bsh.MA_HANG='2' AND bsc.TEN_COT=N'Cuối kỳ' THEN CAST(gt.GIA_TRI AS VARCHAR2(4000)) END) AS "Nước ngoài_Cuối kỳ",
    MAX(CASE WHEN bsh.MA_HANG='2' AND bsc.TEN_COT=N'Tăng/giảm' THEN CAST(gt.GIA_TRI AS VARCHAR2(4000)) END) AS "Nước ngoài_Tăng/giảm",
    MAX(CASE WHEN bsh.MA_HANG='2' AND bsc.TEN_COT=N'Giá trị ủy thác(triệu đồng)' THEN CAST(gt.GIA_TRI AS VARCHAR2(4000)) END) AS "Nước ngoài_Giá trị ủy thác",
    -- Tổng cộng (MA_HANG=3)
    MAX(CASE WHEN bsh.MA_HANG='3' AND bsc.TEN_COT=N'Đầu kỳ' THEN CAST(gt.GIA_TRI AS VARCHAR2(4000)) END) AS "Tổng cộng_Đầu kỳ",
    MAX(CASE WHEN bsh.MA_HANG='3' AND bsc.TEN_COT=N'Cuối kỳ' THEN CAST(gt.GIA_TRI AS VARCHAR2(4000)) END) AS "Tổng cộng_Cuối kỳ",
    MAX(CASE WHEN bsh.MA_HANG='3' AND bsc.TEN_COT=N'Tăng/giảm' THEN CAST(gt.GIA_TRI AS VARCHAR2(4000)) END) AS "Tổng cộng_Tăng/giảm",
    MAX(CASE WHEN bsh.MA_HANG='3' AND bsc.TEN_COT=N'Giá trị ủy thác(triệu đồng)' THEN CAST(gt.GIA_TRI AS VARCHAR2(4000)) END) AS "Tổng cộng_Giá trị ủy thác"
FROM SCMS.BC_THANH_VIEN btv
JOIN SCMS.BM_BAO_CAO bm ON bm.ID = btv.BM_BAO_CAO_ID
JOIN SCMS.BC_BAO_CAO_GT gt ON gt.BC_THANH_VIEN_ID = btv.ID
JOIN SCMS.BM_BAO_CAO_HANG bsh ON bsh.ID = gt.BM_SHEET_HANG_ID
JOIN SCMS.BM_BAO_CAO_COT bsc ON bsc.BM_SHEET_ID = 7432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is>
      </c>
      <c r="U1334" s="386" t="n"/>
      <c r="V1334" s="395" t="n"/>
      <c r="W1334" s="395" t="n"/>
      <c r="X1334" s="395" t="n"/>
      <c r="Y1334" s="395" t="n"/>
      <c r="Z1334" s="395" t="n"/>
      <c r="AA1334" s="395" t="n"/>
      <c r="AB1334" s="395" t="n"/>
      <c r="AC1334" s="395" t="n"/>
      <c r="AD1334" s="395" t="n"/>
      <c r="AE1334" s="395" t="n"/>
    </row>
    <row r="1335" ht="70" customHeight="1" s="380">
      <c r="A1335" s="73" t="n">
        <v>71</v>
      </c>
      <c r="B1335" s="386" t="n"/>
      <c r="C1335" s="386" t="inlineStr">
        <is>
          <t>Báo cáo theo Thông tư 121/2020/TT-BTC &gt;&gt; Ủy thác quản lý tài khoản giao dịch chứng khoán của nhà đầu tư cá nhân</t>
        </is>
      </c>
      <c r="D1335" s="386" t="inlineStr">
        <is>
          <t>Sàn giao dịch</t>
        </is>
      </c>
      <c r="E1335" s="386" t="inlineStr">
        <is>
          <t>Sàn giao dịch</t>
        </is>
      </c>
      <c r="F1335" s="386" t="inlineStr">
        <is>
          <t>Data Explorer</t>
        </is>
      </c>
      <c r="G1335" s="386" t="inlineStr">
        <is>
          <t>Chỉ tiêu cơ sở</t>
        </is>
      </c>
      <c r="H1335" s="386" t="inlineStr">
        <is>
          <t>Dễ</t>
        </is>
      </c>
      <c r="I1335" s="386" t="inlineStr">
        <is>
          <t>Ngày, CTCK</t>
        </is>
      </c>
      <c r="J1335" s="395" t="inlineStr">
        <is>
          <t>SCMS</t>
        </is>
      </c>
      <c r="K1335" s="395" t="n"/>
      <c r="L1335" s="395" t="inlineStr">
        <is>
          <t>X</t>
        </is>
      </c>
      <c r="M1335" s="395" t="n"/>
      <c r="N1335" s="395" t="inlineStr">
        <is>
          <t>Done</t>
        </is>
      </c>
      <c r="O1335" s="401" t="n"/>
      <c r="P1335" s="395" t="n"/>
      <c r="S1335" s="395" t="n"/>
      <c r="U1335" s="386" t="n"/>
      <c r="V1335" s="395" t="n"/>
      <c r="W1335" s="395" t="n"/>
      <c r="X1335" s="395" t="n"/>
      <c r="Y1335" s="395" t="n"/>
      <c r="Z1335" s="395" t="n"/>
      <c r="AA1335" s="395" t="n"/>
      <c r="AB1335" s="395" t="n"/>
      <c r="AC1335" s="395" t="n"/>
      <c r="AD1335" s="395" t="n"/>
      <c r="AE1335" s="395" t="n"/>
    </row>
    <row r="1336" ht="70" customHeight="1" s="380">
      <c r="A1336" s="73" t="n">
        <v>71</v>
      </c>
      <c r="B1336" s="386" t="n"/>
      <c r="C1336" s="386" t="inlineStr">
        <is>
          <t>Báo cáo theo Thông tư 121/2020/TT-BTC &gt;&gt; Ủy thác quản lý tài khoản giao dịch chứng khoán của nhà đầu tư cá nhân</t>
        </is>
      </c>
      <c r="D1336" s="386" t="inlineStr">
        <is>
          <t>Mã chứng khoán</t>
        </is>
      </c>
      <c r="E1336" s="386" t="inlineStr">
        <is>
          <t>Mã chứng khoán</t>
        </is>
      </c>
      <c r="F1336" s="386" t="inlineStr">
        <is>
          <t>Data Explorer</t>
        </is>
      </c>
      <c r="G1336" s="386" t="inlineStr">
        <is>
          <t>Chỉ tiêu cơ sở</t>
        </is>
      </c>
      <c r="H1336" s="386" t="inlineStr">
        <is>
          <t>Dễ</t>
        </is>
      </c>
      <c r="I1336" s="386" t="inlineStr">
        <is>
          <t>Ngày, CTCK</t>
        </is>
      </c>
      <c r="J1336" s="395" t="inlineStr">
        <is>
          <t>SCMS</t>
        </is>
      </c>
      <c r="K1336" s="395" t="n"/>
      <c r="L1336" s="395" t="inlineStr">
        <is>
          <t>X</t>
        </is>
      </c>
      <c r="M1336" s="395" t="n"/>
      <c r="N1336" s="395" t="inlineStr">
        <is>
          <t>Done</t>
        </is>
      </c>
      <c r="O1336" s="401" t="n"/>
      <c r="P1336" s="395" t="n"/>
      <c r="S1336" s="395" t="n"/>
      <c r="U1336" s="386" t="n"/>
      <c r="V1336" s="395" t="n"/>
      <c r="W1336" s="395" t="n"/>
      <c r="X1336" s="395" t="n"/>
      <c r="Y1336" s="395" t="n"/>
      <c r="Z1336" s="395" t="n"/>
      <c r="AA1336" s="395" t="n"/>
      <c r="AB1336" s="395" t="n"/>
      <c r="AC1336" s="395" t="n"/>
      <c r="AD1336" s="395" t="n"/>
      <c r="AE1336" s="395" t="n"/>
    </row>
    <row r="1337" ht="70" customHeight="1" s="380">
      <c r="A1337" s="73" t="n">
        <v>71</v>
      </c>
      <c r="B1337" s="386" t="n"/>
      <c r="C1337" s="386" t="inlineStr">
        <is>
          <t>Báo cáo theo Thông tư 121/2020/TT-BTC &gt;&gt; Ủy thác quản lý tài khoản giao dịch chứng khoán của nhà đầu tư cá nhân</t>
        </is>
      </c>
      <c r="D1337" s="386" t="inlineStr">
        <is>
          <t>Giấy phép hoạt động &gt;&gt; Số</t>
        </is>
      </c>
      <c r="E1337" s="386" t="inlineStr">
        <is>
          <t>Giấy phép hoạt động &gt;&gt; Số</t>
        </is>
      </c>
      <c r="F1337" s="386" t="inlineStr">
        <is>
          <t>Data Explorer</t>
        </is>
      </c>
      <c r="G1337" s="386" t="inlineStr">
        <is>
          <t>Chỉ tiêu cơ sở</t>
        </is>
      </c>
      <c r="H1337" s="386" t="inlineStr">
        <is>
          <t>Dễ</t>
        </is>
      </c>
      <c r="I1337" s="386" t="inlineStr">
        <is>
          <t>Ngày, CTCK</t>
        </is>
      </c>
      <c r="J1337" s="395" t="inlineStr">
        <is>
          <t>SCMS</t>
        </is>
      </c>
      <c r="K1337" s="395" t="n"/>
      <c r="L1337" s="395" t="inlineStr">
        <is>
          <t>X</t>
        </is>
      </c>
      <c r="M1337" s="395" t="n"/>
      <c r="N1337" s="395" t="inlineStr">
        <is>
          <t>Done</t>
        </is>
      </c>
      <c r="O1337" s="401" t="n"/>
      <c r="P1337" s="395" t="n"/>
      <c r="S1337" s="395" t="n"/>
      <c r="U1337" s="386" t="n"/>
      <c r="V1337" s="395" t="n"/>
      <c r="W1337" s="395" t="n"/>
      <c r="X1337" s="395" t="n"/>
      <c r="Y1337" s="395" t="n"/>
      <c r="Z1337" s="395" t="n"/>
      <c r="AA1337" s="395" t="n"/>
      <c r="AB1337" s="395" t="n"/>
      <c r="AC1337" s="395" t="n"/>
      <c r="AD1337" s="395" t="n"/>
      <c r="AE1337" s="395" t="n"/>
    </row>
    <row r="1338" ht="70" customHeight="1" s="380">
      <c r="A1338" s="73" t="n">
        <v>71</v>
      </c>
      <c r="B1338" s="386" t="n"/>
      <c r="C1338" s="386" t="inlineStr">
        <is>
          <t>Báo cáo theo Thông tư 121/2020/TT-BTC &gt;&gt; Ủy thác quản lý tài khoản giao dịch chứng khoán của nhà đầu tư cá nhân</t>
        </is>
      </c>
      <c r="D1338" s="386" t="inlineStr">
        <is>
          <t>Giấy phép hoạt động &gt;&gt; Ngày cấp
(Ngày/tháng/năm)</t>
        </is>
      </c>
      <c r="E1338" s="386" t="inlineStr">
        <is>
          <t>Giấy phép hoạt động &gt;&gt; Ngày cấp
(Ngày/tháng/năm)</t>
        </is>
      </c>
      <c r="F1338" s="386" t="inlineStr">
        <is>
          <t>Data Explorer</t>
        </is>
      </c>
      <c r="G1338" s="386" t="inlineStr">
        <is>
          <t>Chỉ tiêu cơ sở</t>
        </is>
      </c>
      <c r="H1338" s="386" t="inlineStr">
        <is>
          <t>Dễ</t>
        </is>
      </c>
      <c r="I1338" s="386" t="inlineStr">
        <is>
          <t>Ngày, CTCK</t>
        </is>
      </c>
      <c r="J1338" s="395" t="inlineStr">
        <is>
          <t>SCMS</t>
        </is>
      </c>
      <c r="K1338" s="395" t="n"/>
      <c r="L1338" s="395" t="inlineStr">
        <is>
          <t>X</t>
        </is>
      </c>
      <c r="M1338" s="395" t="n"/>
      <c r="N1338" s="395" t="inlineStr">
        <is>
          <t>Done</t>
        </is>
      </c>
      <c r="O1338" s="401" t="n"/>
      <c r="P1338" s="395" t="n"/>
      <c r="S1338" s="395" t="n"/>
      <c r="U1338" s="386" t="n"/>
      <c r="V1338" s="395" t="n"/>
      <c r="W1338" s="395" t="n"/>
      <c r="X1338" s="395" t="n"/>
      <c r="Y1338" s="395" t="n"/>
      <c r="Z1338" s="395" t="n"/>
      <c r="AA1338" s="395" t="n"/>
      <c r="AB1338" s="395" t="n"/>
      <c r="AC1338" s="395" t="n"/>
      <c r="AD1338" s="395" t="n"/>
      <c r="AE1338" s="395" t="n"/>
    </row>
    <row r="1339" ht="70" customHeight="1" s="380">
      <c r="A1339" s="73" t="n">
        <v>71</v>
      </c>
      <c r="B1339" s="386" t="n"/>
      <c r="C1339" s="386" t="inlineStr">
        <is>
          <t>Báo cáo theo Thông tư 121/2020/TT-BTC &gt;&gt; Ủy thác quản lý tài khoản giao dịch chứng khoán của nhà đầu tư cá nhân</t>
        </is>
      </c>
      <c r="D1339" s="386" t="inlineStr">
        <is>
          <t xml:space="preserve">Khách hàng trong nước &gt;&gt; Tổng số tài sản ủy thác &gt;&gt; Đầu kỳ </t>
        </is>
      </c>
      <c r="E1339" s="386" t="inlineStr">
        <is>
          <t xml:space="preserve">Khách hàng trong nước &gt;&gt; Tổng số tài sản ủy thác &gt;&gt; Đầu kỳ </t>
        </is>
      </c>
      <c r="F1339" s="386" t="inlineStr">
        <is>
          <t>Data Explorer</t>
        </is>
      </c>
      <c r="G1339" s="386" t="inlineStr">
        <is>
          <t>Chỉ tiêu cơ sở</t>
        </is>
      </c>
      <c r="H1339" s="386" t="inlineStr">
        <is>
          <t>TB</t>
        </is>
      </c>
      <c r="I1339" s="386" t="inlineStr">
        <is>
          <t>Ngày, CTCK</t>
        </is>
      </c>
      <c r="J1339" s="395" t="inlineStr">
        <is>
          <t>SCMS</t>
        </is>
      </c>
      <c r="K1339" s="395" t="n"/>
      <c r="L1339" s="395" t="inlineStr">
        <is>
          <t>X</t>
        </is>
      </c>
      <c r="M1339" s="395" t="n"/>
      <c r="N1339" s="395" t="inlineStr">
        <is>
          <t>Done</t>
        </is>
      </c>
      <c r="O1339" s="401" t="n"/>
      <c r="P1339" s="395" t="n"/>
      <c r="S1339" s="395" t="n"/>
      <c r="U1339" s="386" t="n"/>
      <c r="V1339" s="395" t="n"/>
      <c r="W1339" s="395" t="n"/>
      <c r="X1339" s="395" t="n"/>
      <c r="Y1339" s="395" t="n"/>
      <c r="Z1339" s="395" t="n"/>
      <c r="AA1339" s="395" t="n"/>
      <c r="AB1339" s="395" t="n"/>
      <c r="AC1339" s="395" t="n"/>
      <c r="AD1339" s="395" t="n"/>
      <c r="AE1339" s="395" t="n"/>
    </row>
    <row r="1340" ht="70" customHeight="1" s="380">
      <c r="A1340" s="73" t="n">
        <v>71</v>
      </c>
      <c r="B1340" s="386" t="n"/>
      <c r="C1340" s="386" t="inlineStr">
        <is>
          <t>Báo cáo theo Thông tư 121/2020/TT-BTC &gt;&gt; Ủy thác quản lý tài khoản giao dịch chứng khoán của nhà đầu tư cá nhân</t>
        </is>
      </c>
      <c r="D1340" s="386" t="inlineStr">
        <is>
          <t xml:space="preserve">Khách hàng trong nước &gt;&gt; Tổng số tài sản ủy thác &gt;&gt; Cuối kỳ </t>
        </is>
      </c>
      <c r="E1340" s="386" t="inlineStr">
        <is>
          <t xml:space="preserve">Khách hàng trong nước &gt;&gt; Tổng số tài sản ủy thác &gt;&gt; Cuối kỳ </t>
        </is>
      </c>
      <c r="F1340" s="386" t="inlineStr">
        <is>
          <t>Data Explorer</t>
        </is>
      </c>
      <c r="G1340" s="386" t="inlineStr">
        <is>
          <t>Chỉ tiêu cơ sở</t>
        </is>
      </c>
      <c r="H1340" s="386" t="inlineStr">
        <is>
          <t>TB</t>
        </is>
      </c>
      <c r="I1340" s="386" t="inlineStr">
        <is>
          <t>Ngày, CTCK</t>
        </is>
      </c>
      <c r="J1340" s="395" t="inlineStr">
        <is>
          <t>SCMS</t>
        </is>
      </c>
      <c r="K1340" s="395" t="n"/>
      <c r="L1340" s="395" t="inlineStr">
        <is>
          <t>X</t>
        </is>
      </c>
      <c r="M1340" s="395" t="n"/>
      <c r="N1340" s="395" t="inlineStr">
        <is>
          <t>Done</t>
        </is>
      </c>
      <c r="O1340" s="401" t="n"/>
      <c r="P1340" s="395" t="n"/>
      <c r="S1340" s="395" t="n"/>
      <c r="U1340" s="386" t="n"/>
      <c r="V1340" s="395" t="n"/>
      <c r="W1340" s="395" t="n"/>
      <c r="X1340" s="395" t="n"/>
      <c r="Y1340" s="395" t="n"/>
      <c r="Z1340" s="395" t="n"/>
      <c r="AA1340" s="395" t="n"/>
      <c r="AB1340" s="395" t="n"/>
      <c r="AC1340" s="395" t="n"/>
      <c r="AD1340" s="395" t="n"/>
      <c r="AE1340" s="395" t="n"/>
    </row>
    <row r="1341" ht="70" customHeight="1" s="380">
      <c r="A1341" s="73" t="n">
        <v>71</v>
      </c>
      <c r="B1341" s="386" t="n"/>
      <c r="C1341" s="386" t="inlineStr">
        <is>
          <t>Báo cáo theo Thông tư 121/2020/TT-BTC &gt;&gt; Ủy thác quản lý tài khoản giao dịch chứng khoán của nhà đầu tư cá nhân</t>
        </is>
      </c>
      <c r="D1341" s="386" t="inlineStr">
        <is>
          <t>Khách hàng trong nước &gt;&gt; Tổng số tài sản ủy thác &gt;&gt; Tăng/Giảm</t>
        </is>
      </c>
      <c r="E1341" s="386" t="inlineStr">
        <is>
          <t>Khách hàng trong nước &gt;&gt; Tổng số tài sản ủy thác &gt;&gt; Tăng/Giảm</t>
        </is>
      </c>
      <c r="F1341" s="386" t="inlineStr">
        <is>
          <t>Data Explorer</t>
        </is>
      </c>
      <c r="G1341" s="386" t="inlineStr">
        <is>
          <t>Chỉ tiêu cơ sở</t>
        </is>
      </c>
      <c r="H1341" s="386" t="inlineStr">
        <is>
          <t>TB</t>
        </is>
      </c>
      <c r="I1341" s="386" t="inlineStr">
        <is>
          <t>Ngày, CTCK</t>
        </is>
      </c>
      <c r="J1341" s="395" t="inlineStr">
        <is>
          <t>SCMS</t>
        </is>
      </c>
      <c r="K1341" s="395" t="n"/>
      <c r="L1341" s="395" t="inlineStr">
        <is>
          <t>X</t>
        </is>
      </c>
      <c r="M1341" s="395" t="n"/>
      <c r="N1341" s="395" t="inlineStr">
        <is>
          <t>Done</t>
        </is>
      </c>
      <c r="O1341" s="401" t="n"/>
      <c r="P1341" s="395" t="n"/>
      <c r="S1341" s="395" t="n"/>
      <c r="U1341" s="386" t="n"/>
      <c r="V1341" s="395" t="n"/>
      <c r="W1341" s="395" t="n"/>
      <c r="X1341" s="395" t="n"/>
      <c r="Y1341" s="395" t="n"/>
      <c r="Z1341" s="395" t="n"/>
      <c r="AA1341" s="395" t="n"/>
      <c r="AB1341" s="395" t="n"/>
      <c r="AC1341" s="395" t="n"/>
      <c r="AD1341" s="395" t="n"/>
      <c r="AE1341" s="395" t="n"/>
    </row>
    <row r="1342" ht="70" customHeight="1" s="380">
      <c r="A1342" s="73" t="n">
        <v>71</v>
      </c>
      <c r="B1342" s="386" t="n"/>
      <c r="C1342" s="386" t="inlineStr">
        <is>
          <t>Báo cáo theo Thông tư 121/2020/TT-BTC &gt;&gt; Ủy thác quản lý tài khoản giao dịch chứng khoán của nhà đầu tư cá nhân</t>
        </is>
      </c>
      <c r="D1342" s="386" t="inlineStr">
        <is>
          <t>Khách hàng trong nước &gt;&gt; Giá trị ủy thác (Triệu đồng)</t>
        </is>
      </c>
      <c r="E1342" s="386" t="inlineStr">
        <is>
          <t>Khách hàng trong nước &gt;&gt; Giá trị ủy thác (Triệu đồng)</t>
        </is>
      </c>
      <c r="F1342" s="386" t="inlineStr">
        <is>
          <t>Data Explorer</t>
        </is>
      </c>
      <c r="G1342" s="386" t="inlineStr">
        <is>
          <t>Chỉ tiêu cơ sở</t>
        </is>
      </c>
      <c r="H1342" s="386" t="inlineStr">
        <is>
          <t>TB</t>
        </is>
      </c>
      <c r="I1342" s="386" t="inlineStr">
        <is>
          <t>Ngày, CTCK</t>
        </is>
      </c>
      <c r="J1342" s="395" t="inlineStr">
        <is>
          <t>SCMS</t>
        </is>
      </c>
      <c r="K1342" s="395" t="n"/>
      <c r="L1342" s="395" t="inlineStr">
        <is>
          <t>X</t>
        </is>
      </c>
      <c r="M1342" s="395" t="n"/>
      <c r="N1342" s="395" t="inlineStr">
        <is>
          <t>Done</t>
        </is>
      </c>
      <c r="O1342" s="401" t="n"/>
      <c r="P1342" s="395" t="n"/>
      <c r="S1342" s="395" t="n"/>
      <c r="U1342" s="386" t="n"/>
      <c r="V1342" s="395" t="n"/>
      <c r="W1342" s="395" t="n"/>
      <c r="X1342" s="395" t="n"/>
      <c r="Y1342" s="395" t="n"/>
      <c r="Z1342" s="395" t="n"/>
      <c r="AA1342" s="395" t="n"/>
      <c r="AB1342" s="395" t="n"/>
      <c r="AC1342" s="395" t="n"/>
      <c r="AD1342" s="395" t="n"/>
      <c r="AE1342" s="395" t="n"/>
    </row>
    <row r="1343" ht="70" customHeight="1" s="380">
      <c r="A1343" s="73" t="n">
        <v>71</v>
      </c>
      <c r="B1343" s="386" t="n"/>
      <c r="C1343" s="386" t="inlineStr">
        <is>
          <t>Báo cáo theo Thông tư 121/2020/TT-BTC &gt;&gt; Ủy thác quản lý tài khoản giao dịch chứng khoán của nhà đầu tư cá nhân</t>
        </is>
      </c>
      <c r="D1343" s="386" t="inlineStr">
        <is>
          <t xml:space="preserve">Khách hàng nước ngoài &gt;&gt; Tổng số tài sản ủy thác &gt;&gt; Đầu kỳ </t>
        </is>
      </c>
      <c r="E1343" s="386" t="inlineStr">
        <is>
          <t xml:space="preserve">Khách hàng nước ngoài &gt;&gt; Tổng số tài sản ủy thác &gt;&gt; Đầu kỳ </t>
        </is>
      </c>
      <c r="F1343" s="386" t="inlineStr">
        <is>
          <t>Data Explorer</t>
        </is>
      </c>
      <c r="G1343" s="386" t="inlineStr">
        <is>
          <t>Chỉ tiêu cơ sở</t>
        </is>
      </c>
      <c r="H1343" s="386" t="inlineStr">
        <is>
          <t>TB</t>
        </is>
      </c>
      <c r="I1343" s="386" t="inlineStr">
        <is>
          <t>Ngày, CTCK</t>
        </is>
      </c>
      <c r="J1343" s="395" t="inlineStr">
        <is>
          <t>SCMS</t>
        </is>
      </c>
      <c r="K1343" s="395" t="n"/>
      <c r="L1343" s="395" t="inlineStr">
        <is>
          <t>X</t>
        </is>
      </c>
      <c r="M1343" s="395" t="n"/>
      <c r="N1343" s="395" t="inlineStr">
        <is>
          <t>Done</t>
        </is>
      </c>
      <c r="O1343" s="401" t="n"/>
      <c r="P1343" s="395" t="n"/>
      <c r="S1343" s="395" t="n"/>
      <c r="U1343" s="386" t="n"/>
      <c r="V1343" s="395" t="n"/>
      <c r="W1343" s="395" t="n"/>
      <c r="X1343" s="395" t="n"/>
      <c r="Y1343" s="395" t="n"/>
      <c r="Z1343" s="395" t="n"/>
      <c r="AA1343" s="395" t="n"/>
      <c r="AB1343" s="395" t="n"/>
      <c r="AC1343" s="395" t="n"/>
      <c r="AD1343" s="395" t="n"/>
      <c r="AE1343" s="395" t="n"/>
    </row>
    <row r="1344" ht="70" customHeight="1" s="380">
      <c r="A1344" s="73" t="n">
        <v>71</v>
      </c>
      <c r="B1344" s="386" t="n"/>
      <c r="C1344" s="386" t="inlineStr">
        <is>
          <t>Báo cáo theo Thông tư 121/2020/TT-BTC &gt;&gt; Ủy thác quản lý tài khoản giao dịch chứng khoán của nhà đầu tư cá nhân</t>
        </is>
      </c>
      <c r="D1344" s="386" t="inlineStr">
        <is>
          <t xml:space="preserve">Khách hàng nước ngoài &gt;&gt; Tổng số tài sản ủy thác &gt;&gt; Cuối kỳ </t>
        </is>
      </c>
      <c r="E1344" s="386" t="inlineStr">
        <is>
          <t xml:space="preserve">Khách hàng nước ngoài &gt;&gt; Tổng số tài sản ủy thác &gt;&gt; Cuối kỳ </t>
        </is>
      </c>
      <c r="F1344" s="386" t="inlineStr">
        <is>
          <t>Data Explorer</t>
        </is>
      </c>
      <c r="G1344" s="386" t="inlineStr">
        <is>
          <t>Chỉ tiêu cơ sở</t>
        </is>
      </c>
      <c r="H1344" s="386" t="inlineStr">
        <is>
          <t>TB</t>
        </is>
      </c>
      <c r="I1344" s="386" t="inlineStr">
        <is>
          <t>Ngày, CTCK</t>
        </is>
      </c>
      <c r="J1344" s="395" t="inlineStr">
        <is>
          <t>SCMS</t>
        </is>
      </c>
      <c r="K1344" s="395" t="n"/>
      <c r="L1344" s="395" t="inlineStr">
        <is>
          <t>X</t>
        </is>
      </c>
      <c r="M1344" s="395" t="n"/>
      <c r="N1344" s="395" t="inlineStr">
        <is>
          <t>Done</t>
        </is>
      </c>
      <c r="O1344" s="401" t="n"/>
      <c r="P1344" s="395" t="n"/>
      <c r="S1344" s="395" t="n"/>
      <c r="U1344" s="386" t="n"/>
      <c r="V1344" s="395" t="n"/>
      <c r="W1344" s="395" t="n"/>
      <c r="X1344" s="395" t="n"/>
      <c r="Y1344" s="395" t="n"/>
      <c r="Z1344" s="395" t="n"/>
      <c r="AA1344" s="395" t="n"/>
      <c r="AB1344" s="395" t="n"/>
      <c r="AC1344" s="395" t="n"/>
      <c r="AD1344" s="395" t="n"/>
      <c r="AE1344" s="395" t="n"/>
    </row>
    <row r="1345" ht="70" customHeight="1" s="380">
      <c r="A1345" s="73" t="n">
        <v>71</v>
      </c>
      <c r="B1345" s="386" t="n"/>
      <c r="C1345" s="386" t="inlineStr">
        <is>
          <t>Báo cáo theo Thông tư 121/2020/TT-BTC &gt;&gt; Ủy thác quản lý tài khoản giao dịch chứng khoán của nhà đầu tư cá nhân</t>
        </is>
      </c>
      <c r="D1345" s="386" t="inlineStr">
        <is>
          <t>Khách hàng nước ngoài &gt;&gt; Tổng số tài sản ủy thác &gt;&gt; Tăng/Giảm</t>
        </is>
      </c>
      <c r="E1345" s="386" t="inlineStr">
        <is>
          <t>Khách hàng nước ngoài &gt;&gt; Tổng số tài sản ủy thác &gt;&gt; Tăng/Giảm</t>
        </is>
      </c>
      <c r="F1345" s="386" t="inlineStr">
        <is>
          <t>Data Explorer</t>
        </is>
      </c>
      <c r="G1345" s="386" t="inlineStr">
        <is>
          <t>Chỉ tiêu cơ sở</t>
        </is>
      </c>
      <c r="H1345" s="386" t="inlineStr">
        <is>
          <t>TB</t>
        </is>
      </c>
      <c r="I1345" s="386" t="inlineStr">
        <is>
          <t>Ngày, CTCK</t>
        </is>
      </c>
      <c r="J1345" s="395" t="inlineStr">
        <is>
          <t>SCMS</t>
        </is>
      </c>
      <c r="K1345" s="395" t="n"/>
      <c r="L1345" s="395" t="inlineStr">
        <is>
          <t>X</t>
        </is>
      </c>
      <c r="M1345" s="395" t="n"/>
      <c r="N1345" s="395" t="inlineStr">
        <is>
          <t>Done</t>
        </is>
      </c>
      <c r="O1345" s="401" t="n"/>
      <c r="P1345" s="395" t="n"/>
      <c r="S1345" s="395" t="n"/>
      <c r="U1345" s="386" t="n"/>
      <c r="V1345" s="395" t="n"/>
      <c r="W1345" s="395" t="n"/>
      <c r="X1345" s="395" t="n"/>
      <c r="Y1345" s="395" t="n"/>
      <c r="Z1345" s="395" t="n"/>
      <c r="AA1345" s="395" t="n"/>
      <c r="AB1345" s="395" t="n"/>
      <c r="AC1345" s="395" t="n"/>
      <c r="AD1345" s="395" t="n"/>
      <c r="AE1345" s="395" t="n"/>
    </row>
    <row r="1346" ht="70" customHeight="1" s="380">
      <c r="A1346" s="73" t="n">
        <v>71</v>
      </c>
      <c r="B1346" s="386" t="n"/>
      <c r="C1346" s="386" t="inlineStr">
        <is>
          <t>Báo cáo theo Thông tư 121/2020/TT-BTC &gt;&gt; Ủy thác quản lý tài khoản giao dịch chứng khoán của nhà đầu tư cá nhân</t>
        </is>
      </c>
      <c r="D1346" s="386" t="inlineStr">
        <is>
          <t>Khách hàng nước ngoài &gt;&gt; Giá trị ủy thác (Triệu đồng)</t>
        </is>
      </c>
      <c r="E1346" s="386" t="inlineStr">
        <is>
          <t>Khách hàng nước ngoài &gt;&gt; Giá trị ủy thác (Triệu đồng)</t>
        </is>
      </c>
      <c r="F1346" s="386" t="inlineStr">
        <is>
          <t>Data Explorer</t>
        </is>
      </c>
      <c r="G1346" s="386" t="inlineStr">
        <is>
          <t>Chỉ tiêu cơ sở</t>
        </is>
      </c>
      <c r="H1346" s="386" t="inlineStr">
        <is>
          <t>TB</t>
        </is>
      </c>
      <c r="I1346" s="386" t="inlineStr">
        <is>
          <t>Ngày, CTCK</t>
        </is>
      </c>
      <c r="J1346" s="395" t="inlineStr">
        <is>
          <t>SCMS</t>
        </is>
      </c>
      <c r="K1346" s="395" t="n"/>
      <c r="L1346" s="395" t="inlineStr">
        <is>
          <t>X</t>
        </is>
      </c>
      <c r="M1346" s="395" t="n"/>
      <c r="N1346" s="395" t="inlineStr">
        <is>
          <t>Done</t>
        </is>
      </c>
      <c r="O1346" s="401" t="n"/>
      <c r="P1346" s="395" t="n"/>
      <c r="S1346" s="395" t="n"/>
      <c r="U1346" s="386" t="n"/>
      <c r="V1346" s="395" t="n"/>
      <c r="W1346" s="395" t="n"/>
      <c r="X1346" s="395" t="n"/>
      <c r="Y1346" s="395" t="n"/>
      <c r="Z1346" s="395" t="n"/>
      <c r="AA1346" s="395" t="n"/>
      <c r="AB1346" s="395" t="n"/>
      <c r="AC1346" s="395" t="n"/>
      <c r="AD1346" s="395" t="n"/>
      <c r="AE1346" s="395" t="n"/>
    </row>
    <row r="1347" ht="70" customHeight="1" s="380">
      <c r="A1347" s="73" t="n">
        <v>71</v>
      </c>
      <c r="B1347" s="386" t="n"/>
      <c r="C1347" s="386" t="inlineStr">
        <is>
          <t>Báo cáo theo Thông tư 121/2020/TT-BTC &gt;&gt; Ủy thác quản lý tài khoản giao dịch chứng khoán của nhà đầu tư cá nhân</t>
        </is>
      </c>
      <c r="D1347" s="386" t="inlineStr">
        <is>
          <t xml:space="preserve">Tổng cộng &gt;&gt; Tổng số tài sản ủy thác &gt;&gt; Đầu kỳ </t>
        </is>
      </c>
      <c r="E1347" s="386" t="inlineStr">
        <is>
          <t xml:space="preserve">Tổng cộng &gt;&gt; Tổng số tài sản ủy thác &gt;&gt; Đầu kỳ </t>
        </is>
      </c>
      <c r="F1347" s="386" t="inlineStr">
        <is>
          <t>Data Explorer</t>
        </is>
      </c>
      <c r="G1347" s="386" t="inlineStr">
        <is>
          <t>Chỉ tiêu cơ sở</t>
        </is>
      </c>
      <c r="H1347" s="386" t="inlineStr">
        <is>
          <t>TB</t>
        </is>
      </c>
      <c r="I1347" s="386" t="inlineStr">
        <is>
          <t>Ngày, CTCK</t>
        </is>
      </c>
      <c r="J1347" s="395" t="inlineStr">
        <is>
          <t>SCMS</t>
        </is>
      </c>
      <c r="K1347" s="395" t="n"/>
      <c r="L1347" s="395" t="inlineStr">
        <is>
          <t>X</t>
        </is>
      </c>
      <c r="M1347" s="395" t="n"/>
      <c r="N1347" s="395" t="inlineStr">
        <is>
          <t>Done</t>
        </is>
      </c>
      <c r="O1347" s="401" t="n"/>
      <c r="P1347" s="395" t="n"/>
      <c r="S1347" s="395" t="n"/>
      <c r="U1347" s="386" t="n"/>
      <c r="V1347" s="395" t="n"/>
      <c r="W1347" s="395" t="n"/>
      <c r="X1347" s="395" t="n"/>
      <c r="Y1347" s="395" t="n"/>
      <c r="Z1347" s="395" t="n"/>
      <c r="AA1347" s="395" t="n"/>
      <c r="AB1347" s="395" t="n"/>
      <c r="AC1347" s="395" t="n"/>
      <c r="AD1347" s="395" t="n"/>
      <c r="AE1347" s="395" t="n"/>
    </row>
    <row r="1348" ht="70" customHeight="1" s="380">
      <c r="A1348" s="73" t="n">
        <v>71</v>
      </c>
      <c r="B1348" s="386" t="n"/>
      <c r="C1348" s="386" t="inlineStr">
        <is>
          <t>Báo cáo theo Thông tư 121/2020/TT-BTC &gt;&gt; Ủy thác quản lý tài khoản giao dịch chứng khoán của nhà đầu tư cá nhân</t>
        </is>
      </c>
      <c r="D1348" s="386" t="inlineStr">
        <is>
          <t xml:space="preserve">Tổng cộng &gt;&gt; Tổng số tài sản ủy thác &gt;&gt; Cuối kỳ </t>
        </is>
      </c>
      <c r="E1348" s="386" t="inlineStr">
        <is>
          <t xml:space="preserve">Tổng cộng &gt;&gt; Tổng số tài sản ủy thác &gt;&gt; Cuối kỳ </t>
        </is>
      </c>
      <c r="F1348" s="386" t="inlineStr">
        <is>
          <t>Data Explorer</t>
        </is>
      </c>
      <c r="G1348" s="386" t="inlineStr">
        <is>
          <t>Chỉ tiêu cơ sở</t>
        </is>
      </c>
      <c r="H1348" s="386" t="inlineStr">
        <is>
          <t>TB</t>
        </is>
      </c>
      <c r="I1348" s="386" t="inlineStr">
        <is>
          <t>Ngày, CTCK</t>
        </is>
      </c>
      <c r="J1348" s="395" t="inlineStr">
        <is>
          <t>SCMS</t>
        </is>
      </c>
      <c r="K1348" s="395" t="n"/>
      <c r="L1348" s="395" t="inlineStr">
        <is>
          <t>X</t>
        </is>
      </c>
      <c r="M1348" s="395" t="n"/>
      <c r="N1348" s="395" t="inlineStr">
        <is>
          <t>Done</t>
        </is>
      </c>
      <c r="O1348" s="401" t="n"/>
      <c r="P1348" s="395" t="n"/>
      <c r="S1348" s="395" t="n"/>
      <c r="U1348" s="386" t="n"/>
      <c r="V1348" s="395" t="n"/>
      <c r="W1348" s="395" t="n"/>
      <c r="X1348" s="395" t="n"/>
      <c r="Y1348" s="36" t="n"/>
      <c r="Z1348" s="395" t="n"/>
      <c r="AA1348" s="395" t="n"/>
      <c r="AB1348" s="395" t="n"/>
      <c r="AC1348" s="395" t="n"/>
      <c r="AD1348" s="395" t="n"/>
      <c r="AE1348" s="395" t="n"/>
    </row>
    <row r="1349" ht="70" customHeight="1" s="380">
      <c r="A1349" s="73" t="n">
        <v>71</v>
      </c>
      <c r="B1349" s="386" t="n"/>
      <c r="C1349" s="386" t="inlineStr">
        <is>
          <t>Báo cáo theo Thông tư 121/2020/TT-BTC &gt;&gt; Ủy thác quản lý tài khoản giao dịch chứng khoán của nhà đầu tư cá nhân</t>
        </is>
      </c>
      <c r="D1349" s="386" t="inlineStr">
        <is>
          <t>Tổng cộng &gt;&gt; Tổng số tài sản ủy thác &gt;&gt; Tăng/Giảm</t>
        </is>
      </c>
      <c r="E1349" s="386" t="inlineStr">
        <is>
          <t>Tổng cộng &gt;&gt; Tổng số tài sản ủy thác &gt;&gt; Tăng/Giảm</t>
        </is>
      </c>
      <c r="F1349" s="386" t="inlineStr">
        <is>
          <t>Data Explorer</t>
        </is>
      </c>
      <c r="G1349" s="386" t="inlineStr">
        <is>
          <t>Chỉ tiêu cơ sở</t>
        </is>
      </c>
      <c r="H1349" s="386" t="inlineStr">
        <is>
          <t>TB</t>
        </is>
      </c>
      <c r="I1349" s="386" t="inlineStr">
        <is>
          <t>Ngày, CTCK</t>
        </is>
      </c>
      <c r="J1349" s="395" t="inlineStr">
        <is>
          <t>SCMS</t>
        </is>
      </c>
      <c r="K1349" s="395" t="n"/>
      <c r="L1349" s="395" t="inlineStr">
        <is>
          <t>X</t>
        </is>
      </c>
      <c r="M1349" s="395" t="n"/>
      <c r="N1349" s="395" t="inlineStr">
        <is>
          <t>Done</t>
        </is>
      </c>
      <c r="O1349" s="401" t="n"/>
      <c r="P1349" s="395" t="n"/>
      <c r="S1349" s="395" t="n"/>
      <c r="U1349" s="386" t="n"/>
      <c r="V1349" s="395" t="n"/>
      <c r="W1349" s="395" t="n"/>
      <c r="X1349" s="395" t="n"/>
      <c r="Y1349" s="395" t="n"/>
      <c r="Z1349" s="395" t="n"/>
      <c r="AA1349" s="395" t="n"/>
      <c r="AB1349" s="395" t="n"/>
      <c r="AC1349" s="395" t="n"/>
      <c r="AD1349" s="395" t="n"/>
      <c r="AE1349" s="395" t="n"/>
    </row>
    <row r="1350" ht="70" customHeight="1" s="380">
      <c r="A1350" s="83" t="n">
        <v>71</v>
      </c>
      <c r="B1350" s="68" t="n"/>
      <c r="C1350" s="68" t="inlineStr">
        <is>
          <t>Báo cáo theo Thông tư 121/2020/TT-BTC &gt;&gt; Ủy thác quản lý tài khoản giao dịch chứng khoán của nhà đầu tư cá nhân</t>
        </is>
      </c>
      <c r="D1350" s="68" t="inlineStr">
        <is>
          <t>Tổng cộng &gt;&gt; Giá trị ủy thác (Triệu đồng)</t>
        </is>
      </c>
      <c r="E1350" s="68" t="inlineStr">
        <is>
          <t>Tổng cộng &gt;&gt; Giá trị ủy thác (Triệu đồng)</t>
        </is>
      </c>
      <c r="F1350" s="68" t="inlineStr">
        <is>
          <t>Data Explorer</t>
        </is>
      </c>
      <c r="G1350" s="68" t="inlineStr">
        <is>
          <t>Chỉ tiêu cơ sở</t>
        </is>
      </c>
      <c r="H1350" s="68" t="inlineStr">
        <is>
          <t>TB</t>
        </is>
      </c>
      <c r="I1350" s="68" t="inlineStr">
        <is>
          <t>Ngày, CTCK</t>
        </is>
      </c>
      <c r="J1350" s="69" t="inlineStr">
        <is>
          <t>SCMS</t>
        </is>
      </c>
      <c r="K1350" s="69" t="n"/>
      <c r="L1350" s="69" t="inlineStr">
        <is>
          <t>X</t>
        </is>
      </c>
      <c r="M1350" s="69" t="n"/>
      <c r="N1350" s="69" t="inlineStr">
        <is>
          <t>Done</t>
        </is>
      </c>
      <c r="O1350" s="85" t="n"/>
      <c r="P1350" s="69" t="n"/>
      <c r="Q1350" s="426" t="n"/>
      <c r="R1350" s="426" t="n"/>
      <c r="S1350" s="69" t="n"/>
      <c r="T1350" s="426" t="n"/>
      <c r="U1350" s="68" t="n"/>
      <c r="V1350" s="69" t="n"/>
      <c r="W1350" s="69" t="n"/>
      <c r="X1350" s="69" t="n"/>
      <c r="Y1350" s="69" t="n"/>
      <c r="Z1350" s="69" t="n"/>
      <c r="AA1350" s="69" t="n"/>
      <c r="AB1350" s="69" t="n"/>
      <c r="AC1350" s="69" t="n"/>
      <c r="AD1350" s="69" t="n"/>
      <c r="AE1350" s="69" t="n"/>
    </row>
    <row r="1351" ht="56" customHeight="1" s="380">
      <c r="A1351" s="73" t="n">
        <v>72</v>
      </c>
      <c r="B1351" s="122" t="inlineStr">
        <is>
          <t>Nga</t>
        </is>
      </c>
      <c r="C1351" s="81" t="inlineStr">
        <is>
          <t>Báo cáo theo Thông tư 121/2020/TT-BTC &gt;&gt; Các hoạt động tư vấn và cung cấp dịch vụ</t>
        </is>
      </c>
      <c r="D1351" s="106" t="inlineStr">
        <is>
          <t>Loại báo cáo</t>
        </is>
      </c>
      <c r="E1351" s="107" t="inlineStr">
        <is>
          <t>Loại báo cáo</t>
        </is>
      </c>
      <c r="F1351" s="390" t="inlineStr">
        <is>
          <t>Data Explorer</t>
        </is>
      </c>
      <c r="G1351" s="390" t="inlineStr">
        <is>
          <t>Chiều</t>
        </is>
      </c>
      <c r="H1351" s="390" t="inlineStr">
        <is>
          <t>Dễ</t>
        </is>
      </c>
      <c r="I1351" s="390" t="inlineStr">
        <is>
          <t>Ngày, CTCK</t>
        </is>
      </c>
      <c r="J1351" s="401" t="inlineStr">
        <is>
          <t>SCMS</t>
        </is>
      </c>
      <c r="K1351" s="401" t="inlineStr">
        <is>
          <t>X</t>
        </is>
      </c>
      <c r="L1351" s="395" t="inlineStr">
        <is>
          <t>X</t>
        </is>
      </c>
      <c r="M1351" s="401" t="n"/>
      <c r="N1351" s="395" t="inlineStr">
        <is>
          <t>Done</t>
        </is>
      </c>
      <c r="O1351" s="401" t="n"/>
      <c r="P1351" s="395" t="n"/>
      <c r="Q1351" s="404" t="inlineStr">
        <is>
          <t>SCMS.BM_BAO_CAO
SCMS.BM_BAO_CAO_DINH_KY</t>
        </is>
      </c>
      <c r="R1351" s="404" t="inlineStr">
        <is>
          <t>bm.ID,
bm.MA_BAO_CAO,
bm.LOAI_BAO_CAO,
bm.TEN_BAO_CAO,
bm.SU_DUNG,
bdk.BM_BAO_CAO_ID,
bdk.KY_BAO_CAO,
bdk.SU_DUNG</t>
        </is>
      </c>
      <c r="S1351" s="395" t="n"/>
      <c r="T1351"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351" s="386" t="n"/>
      <c r="V1351" s="395" t="n"/>
      <c r="W1351" s="395" t="n"/>
      <c r="X1351" s="395" t="n"/>
      <c r="Y1351" s="37" t="n"/>
      <c r="Z1351" s="395" t="n"/>
      <c r="AA1351" s="395" t="n"/>
      <c r="AB1351" s="395" t="n"/>
      <c r="AC1351" s="395" t="n"/>
      <c r="AD1351" s="395" t="n"/>
      <c r="AE1351" s="395" t="n"/>
    </row>
    <row r="1352" ht="56" customHeight="1" s="380">
      <c r="A1352" s="73" t="n">
        <v>72</v>
      </c>
      <c r="B1352" s="386" t="n"/>
      <c r="C1352" s="386" t="inlineStr">
        <is>
          <t>Báo cáo theo Thông tư 121/2020/TT-BTC &gt;&gt; Các hoạt động tư vấn và cung cấp dịch vụ</t>
        </is>
      </c>
      <c r="D1352" s="106" t="inlineStr">
        <is>
          <t>Kỳ báo cáo</t>
        </is>
      </c>
      <c r="E1352" s="107" t="inlineStr">
        <is>
          <t>Kỳ báo cáo</t>
        </is>
      </c>
      <c r="F1352" s="390" t="inlineStr">
        <is>
          <t>Data Explorer</t>
        </is>
      </c>
      <c r="G1352" s="390" t="inlineStr">
        <is>
          <t>Chiều</t>
        </is>
      </c>
      <c r="H1352" s="390" t="inlineStr">
        <is>
          <t>Dễ</t>
        </is>
      </c>
      <c r="I1352" s="390" t="inlineStr">
        <is>
          <t>Ngày, CTCK</t>
        </is>
      </c>
      <c r="J1352" s="401" t="inlineStr">
        <is>
          <t>SCMS</t>
        </is>
      </c>
      <c r="K1352" s="401" t="inlineStr">
        <is>
          <t>X</t>
        </is>
      </c>
      <c r="L1352" s="395" t="inlineStr">
        <is>
          <t>X</t>
        </is>
      </c>
      <c r="M1352" s="401" t="n"/>
      <c r="N1352" s="395" t="inlineStr">
        <is>
          <t>Done</t>
        </is>
      </c>
      <c r="O1352" s="401" t="n"/>
      <c r="P1352" s="395" t="n"/>
      <c r="S1352" s="395" t="n"/>
      <c r="U1352" s="386" t="n"/>
      <c r="V1352" s="395" t="n"/>
      <c r="W1352" s="395" t="n"/>
      <c r="X1352" s="395" t="n"/>
      <c r="Y1352" s="395" t="n"/>
      <c r="Z1352" s="395" t="n"/>
      <c r="AA1352" s="395" t="n"/>
      <c r="AB1352" s="395" t="n"/>
      <c r="AC1352" s="395" t="n"/>
      <c r="AD1352" s="395" t="n"/>
      <c r="AE1352" s="395" t="n"/>
    </row>
    <row r="1353" ht="56" customHeight="1" s="380">
      <c r="A1353" s="73" t="n">
        <v>72</v>
      </c>
      <c r="B1353" s="386" t="n"/>
      <c r="C1353" s="386" t="inlineStr">
        <is>
          <t>Báo cáo theo Thông tư 121/2020/TT-BTC &gt;&gt; Các hoạt động tư vấn và cung cấp dịch vụ</t>
        </is>
      </c>
      <c r="D1353" s="106" t="inlineStr">
        <is>
          <t>Mã báo cáo</t>
        </is>
      </c>
      <c r="E1353" s="107" t="inlineStr">
        <is>
          <t>Mã báo cáo</t>
        </is>
      </c>
      <c r="F1353" s="390" t="inlineStr">
        <is>
          <t>Data Explorer</t>
        </is>
      </c>
      <c r="G1353" s="390" t="inlineStr">
        <is>
          <t>Chiều</t>
        </is>
      </c>
      <c r="H1353" s="390" t="inlineStr">
        <is>
          <t>Dễ</t>
        </is>
      </c>
      <c r="I1353" s="390" t="inlineStr">
        <is>
          <t>Ngày, CTCK</t>
        </is>
      </c>
      <c r="J1353" s="401" t="inlineStr">
        <is>
          <t>SCMS</t>
        </is>
      </c>
      <c r="K1353" s="401" t="inlineStr">
        <is>
          <t>X</t>
        </is>
      </c>
      <c r="L1353" s="395" t="inlineStr">
        <is>
          <t>X</t>
        </is>
      </c>
      <c r="M1353" s="401" t="n"/>
      <c r="N1353" s="395" t="inlineStr">
        <is>
          <t>Done</t>
        </is>
      </c>
      <c r="O1353" s="401" t="n"/>
      <c r="P1353" s="395" t="n"/>
      <c r="S1353" s="395" t="n"/>
      <c r="U1353" s="386" t="n"/>
      <c r="V1353" s="395" t="n"/>
      <c r="W1353" s="395" t="n"/>
      <c r="X1353" s="395" t="n"/>
      <c r="Y1353" s="395" t="n"/>
      <c r="Z1353" s="395" t="n"/>
      <c r="AA1353" s="395" t="n"/>
      <c r="AB1353" s="395" t="n"/>
      <c r="AC1353" s="395" t="n"/>
      <c r="AD1353" s="395" t="n"/>
      <c r="AE1353" s="395" t="n"/>
    </row>
    <row r="1354" ht="56" customHeight="1" s="380">
      <c r="A1354" s="73" t="n">
        <v>72</v>
      </c>
      <c r="B1354" s="386" t="n"/>
      <c r="C1354" s="386" t="inlineStr">
        <is>
          <t>Báo cáo theo Thông tư 121/2020/TT-BTC &gt;&gt; Các hoạt động tư vấn và cung cấp dịch vụ</t>
        </is>
      </c>
      <c r="D1354" s="106" t="inlineStr">
        <is>
          <t>Tên báo cáo</t>
        </is>
      </c>
      <c r="E1354" s="107" t="inlineStr">
        <is>
          <t>Tên báo cáo</t>
        </is>
      </c>
      <c r="F1354" s="390" t="inlineStr">
        <is>
          <t>Data Explorer</t>
        </is>
      </c>
      <c r="G1354" s="390" t="inlineStr">
        <is>
          <t>Chiều</t>
        </is>
      </c>
      <c r="H1354" s="390" t="inlineStr">
        <is>
          <t>Dễ</t>
        </is>
      </c>
      <c r="I1354" s="390" t="inlineStr">
        <is>
          <t>Ngày, CTCK</t>
        </is>
      </c>
      <c r="J1354" s="401" t="inlineStr">
        <is>
          <t>SCMS</t>
        </is>
      </c>
      <c r="K1354" s="401" t="inlineStr">
        <is>
          <t>X</t>
        </is>
      </c>
      <c r="L1354" s="395" t="inlineStr">
        <is>
          <t>X</t>
        </is>
      </c>
      <c r="M1354" s="401" t="n"/>
      <c r="N1354" s="395" t="inlineStr">
        <is>
          <t>Done</t>
        </is>
      </c>
      <c r="O1354" s="401" t="n"/>
      <c r="P1354" s="395" t="n"/>
      <c r="S1354" s="395" t="n"/>
      <c r="U1354" s="386" t="n"/>
      <c r="V1354" s="395" t="n"/>
      <c r="W1354" s="395" t="n"/>
      <c r="X1354" s="395" t="n"/>
      <c r="Y1354" s="395" t="n"/>
      <c r="Z1354" s="395" t="n"/>
      <c r="AA1354" s="395" t="n"/>
      <c r="AB1354" s="395" t="n"/>
      <c r="AC1354" s="395" t="n"/>
      <c r="AD1354" s="395" t="n"/>
      <c r="AE1354" s="395" t="n"/>
    </row>
    <row r="1355" ht="56" customHeight="1" s="380">
      <c r="A1355" s="73" t="n">
        <v>72</v>
      </c>
      <c r="B1355" s="386" t="n"/>
      <c r="C1355" s="386" t="inlineStr">
        <is>
          <t>Báo cáo theo Thông tư 121/2020/TT-BTC &gt;&gt; Các hoạt động tư vấn và cung cấp dịch vụ</t>
        </is>
      </c>
      <c r="D1355" s="106" t="inlineStr">
        <is>
          <t>Mã sheet</t>
        </is>
      </c>
      <c r="E1355" s="106" t="inlineStr">
        <is>
          <t>Mã sheet</t>
        </is>
      </c>
      <c r="F1355" s="390" t="inlineStr">
        <is>
          <t>Data Explorer</t>
        </is>
      </c>
      <c r="G1355" s="390" t="inlineStr">
        <is>
          <t>Chiều</t>
        </is>
      </c>
      <c r="H1355" s="390" t="inlineStr">
        <is>
          <t>Dễ</t>
        </is>
      </c>
      <c r="I1355" s="390" t="inlineStr">
        <is>
          <t>Ngày, CTCK</t>
        </is>
      </c>
      <c r="J1355" s="401" t="inlineStr">
        <is>
          <t>SCMS</t>
        </is>
      </c>
      <c r="K1355" s="401" t="inlineStr">
        <is>
          <t>X</t>
        </is>
      </c>
      <c r="L1355" s="395" t="inlineStr">
        <is>
          <t>X</t>
        </is>
      </c>
      <c r="M1355" s="401" t="n"/>
      <c r="N1355" s="395" t="inlineStr">
        <is>
          <t>Done</t>
        </is>
      </c>
      <c r="O1355" s="401" t="n"/>
      <c r="P1355" s="395" t="n"/>
      <c r="Q1355" s="401" t="inlineStr">
        <is>
          <t>SCMS.BM_BAO_CAO
SCMS.BM_SHEET</t>
        </is>
      </c>
      <c r="R1355" s="401" t="inlineStr">
        <is>
          <t>bm.ID,
bm.MA_BAO_CAO,
bm.SU_DUNG,
s.BM_BAO_CAO_ID,
s.MA_SHEET,
s.TEN_SHEET,
s.SAP_XEP</t>
        </is>
      </c>
      <c r="S1355" s="395" t="n"/>
      <c r="T1355" s="384" t="inlineStr">
        <is>
          <t>-- Mã sheet / Tên sheet
-- TEN_SHEET: THNS
SELECT bm.MA_BAO_CAO,
s.MA_SHEET,
s.TEN_SHEET
FROM SCMS.BM_BAO_CAO bm
JOIN SCMS.BM_SHEET s ON s.BM_BAO_CAO_ID = bm.ID
WHERE bm.MA_BAO_CAO LIKE 'BCTHHDKD%'
AND s.TEN_SHEET = 'HDTV_CCDV'  -- Check lại
AND bm.SU_DUNG = 1
ORDER BY bm.MA_BAO_CAO, s.SAP_XEP;</t>
        </is>
      </c>
      <c r="U1355" s="386" t="n"/>
      <c r="V1355" s="395" t="n"/>
      <c r="W1355" s="395" t="n"/>
      <c r="X1355" s="395" t="n"/>
      <c r="Y1355" s="395" t="n"/>
      <c r="Z1355" s="395" t="n"/>
      <c r="AA1355" s="395" t="n"/>
      <c r="AB1355" s="395" t="n"/>
      <c r="AC1355" s="395" t="n"/>
      <c r="AD1355" s="395" t="n"/>
      <c r="AE1355" s="395" t="n"/>
    </row>
    <row r="1356" ht="56" customHeight="1" s="380">
      <c r="A1356" s="73" t="n">
        <v>72</v>
      </c>
      <c r="B1356" s="386" t="n"/>
      <c r="C1356" s="386" t="inlineStr">
        <is>
          <t>Báo cáo theo Thông tư 121/2020/TT-BTC &gt;&gt; Các hoạt động tư vấn và cung cấp dịch vụ</t>
        </is>
      </c>
      <c r="D1356" s="106" t="inlineStr">
        <is>
          <t>Tên sheet</t>
        </is>
      </c>
      <c r="E1356" s="106" t="inlineStr">
        <is>
          <t>Tên sheet</t>
        </is>
      </c>
      <c r="F1356" s="390" t="inlineStr">
        <is>
          <t>Data Explorer</t>
        </is>
      </c>
      <c r="G1356" s="390" t="inlineStr">
        <is>
          <t>Chiều</t>
        </is>
      </c>
      <c r="H1356" s="390" t="inlineStr">
        <is>
          <t>Dễ</t>
        </is>
      </c>
      <c r="I1356" s="390" t="inlineStr">
        <is>
          <t>Ngày, CTCK</t>
        </is>
      </c>
      <c r="J1356" s="401" t="inlineStr">
        <is>
          <t>SCMS</t>
        </is>
      </c>
      <c r="K1356" s="401" t="inlineStr">
        <is>
          <t>X</t>
        </is>
      </c>
      <c r="L1356" s="395" t="inlineStr">
        <is>
          <t>X</t>
        </is>
      </c>
      <c r="M1356" s="401" t="n"/>
      <c r="N1356" s="395" t="inlineStr">
        <is>
          <t>Done</t>
        </is>
      </c>
      <c r="O1356" s="401" t="n"/>
      <c r="P1356" s="395" t="n"/>
      <c r="S1356" s="395" t="n"/>
      <c r="U1356" s="386" t="n"/>
      <c r="V1356" s="395" t="n"/>
      <c r="W1356" s="395" t="n"/>
      <c r="X1356" s="395" t="n"/>
      <c r="Y1356" s="395" t="n"/>
      <c r="Z1356" s="395" t="n"/>
      <c r="AA1356" s="395" t="n"/>
      <c r="AB1356" s="395" t="n"/>
      <c r="AC1356" s="395" t="n"/>
      <c r="AD1356" s="395" t="n"/>
      <c r="AE1356" s="395" t="n"/>
    </row>
    <row r="1357" ht="56" customHeight="1" s="380">
      <c r="A1357" s="73" t="n">
        <v>72</v>
      </c>
      <c r="B1357" s="386" t="n"/>
      <c r="C1357" s="386" t="inlineStr">
        <is>
          <t>Báo cáo theo Thông tư 121/2020/TT-BTC &gt;&gt; Các hoạt động tư vấn và cung cấp dịch vụ</t>
        </is>
      </c>
      <c r="D1357" s="106" t="inlineStr">
        <is>
          <t>Mã chỉ tiêu</t>
        </is>
      </c>
      <c r="E1357" s="107" t="inlineStr">
        <is>
          <t>Mã chỉ tiêu</t>
        </is>
      </c>
      <c r="F1357" s="390" t="inlineStr">
        <is>
          <t>Data Explorer</t>
        </is>
      </c>
      <c r="G1357" s="390" t="inlineStr">
        <is>
          <t>Chiều</t>
        </is>
      </c>
      <c r="H1357" s="390" t="inlineStr">
        <is>
          <t>Dễ</t>
        </is>
      </c>
      <c r="I1357" s="390" t="inlineStr">
        <is>
          <t>Ngày, CTCK</t>
        </is>
      </c>
      <c r="J1357" s="401" t="inlineStr">
        <is>
          <t>SCMS</t>
        </is>
      </c>
      <c r="K1357" s="401" t="inlineStr">
        <is>
          <t>X</t>
        </is>
      </c>
      <c r="L1357" s="395" t="inlineStr">
        <is>
          <t>X</t>
        </is>
      </c>
      <c r="M1357" s="401" t="n"/>
      <c r="N1357" s="395" t="inlineStr">
        <is>
          <t>Done</t>
        </is>
      </c>
      <c r="O1357" s="401" t="n"/>
      <c r="P1357" s="395" t="n"/>
      <c r="Q1357" s="401" t="inlineStr">
        <is>
          <t>SCMS.BM_BAO_CAO
SCMS.BM_SHEET
SCMS.BM_BAO_CAO_CT
SCMS.DM_CHI_TIEU</t>
        </is>
      </c>
      <c r="R1357" s="402" t="inlineStr">
        <is>
          <t>dct.ID,
dct.MA_CHI_TIEU,
dct.TEN_CHI_TIEU,
dct.SU_DUNG,
s.BM_BAO_CAO_ID,
s.MA_SHEET,
ct.BM_BAO_CAO_ID,
ct.DM_CHI_TIEU_ID,
ct.SU_DUNG,
bm.ID,
bm.MA_BAO_CAO,
bm.SU_DUNG</t>
        </is>
      </c>
      <c r="S1357" s="395" t="n"/>
      <c r="T1357" s="384" t="inlineStr">
        <is>
          <t>-- Mã chỉ tiêu / Tên chỉ tiêu
SELECT DISTINCT
    dct.MA_CHI_TIEU  AS ma_chi_tieu,
    dct.TEN_CHI_TIEU AS ten_chi_tieu
FROM SCMS.BM_BAO_CAO bm
JOIN SCMS.BM_SHEET s ON s.BM_BAO_CAO_ID = bm.ID
	AND s.TEN_SHEET = 'HDTV_CCDV'
JOIN SCMS.BM_BAO_CAO_CT ct ON ct.BM_SHEET_ID = s.ID
	AND ct.SU_DUNG = 1
JOIN SCMS.DM_CHI_TIEU dct ON dct.ID = ct.DM_CHI_TIEU_ID
	AND dct.SU_DUNG = 1
WHERE bm.MA_BAO_CAO LIKE 'BCTHHDKD%'
	AND bm.SU_DUNG = 1
ORDER BY dct.MA_CHI_TIEU;</t>
        </is>
      </c>
      <c r="U1357" s="386" t="n"/>
      <c r="V1357" s="395" t="n"/>
      <c r="W1357" s="395" t="n"/>
      <c r="X1357" s="395" t="n"/>
      <c r="Y1357" s="395" t="n"/>
      <c r="Z1357" s="395" t="n"/>
      <c r="AA1357" s="395" t="n"/>
      <c r="AB1357" s="395" t="n"/>
      <c r="AC1357" s="395" t="n"/>
      <c r="AD1357" s="395" t="n"/>
      <c r="AE1357" s="395" t="n"/>
    </row>
    <row r="1358" ht="56" customHeight="1" s="380">
      <c r="A1358" s="73" t="n">
        <v>72</v>
      </c>
      <c r="B1358" s="386" t="n"/>
      <c r="C1358" s="386" t="inlineStr">
        <is>
          <t>Báo cáo theo Thông tư 121/2020/TT-BTC &gt;&gt; Các hoạt động tư vấn và cung cấp dịch vụ</t>
        </is>
      </c>
      <c r="D1358" s="106" t="inlineStr">
        <is>
          <t>Tên chỉ tiêu</t>
        </is>
      </c>
      <c r="E1358" s="107" t="inlineStr">
        <is>
          <t>Tên chỉ tiêu</t>
        </is>
      </c>
      <c r="F1358" s="390" t="inlineStr">
        <is>
          <t>Data Explorer</t>
        </is>
      </c>
      <c r="G1358" s="390" t="inlineStr">
        <is>
          <t>Chiều</t>
        </is>
      </c>
      <c r="H1358" s="390" t="inlineStr">
        <is>
          <t>Dễ</t>
        </is>
      </c>
      <c r="I1358" s="390" t="inlineStr">
        <is>
          <t>Ngày, CTCK</t>
        </is>
      </c>
      <c r="J1358" s="401" t="inlineStr">
        <is>
          <t>SCMS</t>
        </is>
      </c>
      <c r="K1358" s="401" t="inlineStr">
        <is>
          <t>X</t>
        </is>
      </c>
      <c r="L1358" s="395" t="inlineStr">
        <is>
          <t>X</t>
        </is>
      </c>
      <c r="M1358" s="401" t="n"/>
      <c r="N1358" s="395" t="inlineStr">
        <is>
          <t>Done</t>
        </is>
      </c>
      <c r="O1358" s="401" t="n"/>
      <c r="P1358" s="395" t="n"/>
      <c r="S1358" s="395" t="n"/>
      <c r="U1358" s="386" t="n"/>
      <c r="V1358" s="395" t="n"/>
      <c r="W1358" s="395" t="n"/>
      <c r="X1358" s="395" t="n"/>
      <c r="Y1358" s="395" t="n"/>
      <c r="Z1358" s="395" t="n"/>
      <c r="AA1358" s="395" t="n"/>
      <c r="AB1358" s="395" t="n"/>
      <c r="AC1358" s="395" t="n"/>
      <c r="AD1358" s="395" t="n"/>
      <c r="AE1358" s="395" t="n"/>
    </row>
    <row r="1359" ht="56" customHeight="1" s="380">
      <c r="A1359" s="73" t="n">
        <v>72</v>
      </c>
      <c r="B1359" s="386" t="n"/>
      <c r="C1359" s="386" t="inlineStr">
        <is>
          <t>Báo cáo theo Thông tư 121/2020/TT-BTC &gt;&gt; Các hoạt động tư vấn và cung cấp dịch vụ</t>
        </is>
      </c>
      <c r="D1359" s="386" t="inlineStr">
        <is>
          <t>Tên công ty chứng khoán</t>
        </is>
      </c>
      <c r="E1359" s="386" t="inlineStr">
        <is>
          <t>Tên công ty chứng khoán</t>
        </is>
      </c>
      <c r="F1359" s="386" t="inlineStr">
        <is>
          <t>Data Explorer</t>
        </is>
      </c>
      <c r="G1359" s="386" t="inlineStr">
        <is>
          <t>Chỉ tiêu cơ sở</t>
        </is>
      </c>
      <c r="H1359" s="386" t="inlineStr">
        <is>
          <t>Dễ</t>
        </is>
      </c>
      <c r="I1359" s="386" t="inlineStr">
        <is>
          <t>Ngày, CTCK</t>
        </is>
      </c>
      <c r="J1359" s="395" t="inlineStr">
        <is>
          <t>SCMS</t>
        </is>
      </c>
      <c r="K1359" s="395" t="n"/>
      <c r="L1359" s="395" t="inlineStr">
        <is>
          <t>X</t>
        </is>
      </c>
      <c r="M1359" s="395" t="n"/>
      <c r="N1359" s="395" t="inlineStr">
        <is>
          <t>Done</t>
        </is>
      </c>
      <c r="O1359" s="401" t="n"/>
      <c r="P1359" s="395" t="n"/>
      <c r="Q1359" s="427" t="inlineStr">
        <is>
          <t>SCMS.BC_THANH_VIEN
SCMS.BM_BAO_CAO
SCMS.BC_BAO_CAO_GT
SCMS.BM_BAO_CAO_HANG
SCMS.BM_BAO_CAO_COT
SCMS.CTCK_THONG_TIN
SCMS.CTCK_DICH_VU
SCMS.DM_DICH_VU</t>
        </is>
      </c>
      <c r="R1359" s="427" t="inlineStr">
        <is>
          <t xml:space="preserve">btv.ID,
btv.NGAY_SO_LIEU,
btv.BM_BAO_CAO_ID,
btv.CTCK_THONG_TIN_ID,
btv.TRANG_THAI,
c.CTCK_THONG_TIN_ID,
c.TEN_VIET_TAT,
c.SAN_NIEM_YET,
c.MA_CHUNG_KHOAN,
c.GIAY_PHEP_KINH_DOANH,
c.NGAY_CAP_GPKD,
bsh.ID,
bsh.MA_HANG,
bsc.TEN_COT,
bsc.BM_SHEET_ID,
gt.BC_THANH_VIEN_ID,
gt.BM_SHEET_HANG_ID,
gt.GIA_TRI,
bm.ID,
bm.MA_BAO_CAO,
dv.CTCK_THONG_TIN_ID,
dv.DM_DICH_VU_ID,
dv.TRANG_THAI,
dd.ID,
dd.TEN_DICH_VU
</t>
        </is>
      </c>
      <c r="S1359" s="395" t="n"/>
      <c r="T1359"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 Nghiệp vụ hoạt động
    MAX(CASE WHEN LOWER(dd.TEN_DICH_VU) LIKE '%môi giới chứng khoán%' THEN 'X' END) AS "Môi giới chứng khoán",
    MAX(CASE WHEN LOWER(dd.TEN_DICH_VU) LIKE '%tự doanh chứng khoán%' THEN 'X' END) AS "Tự doanh chứng khoán",
    MAX(CASE WHEN LOWER(dd.TEN_DICH_VU) LIKE '%bảo lãnh phát hành chứng khoán%' THEN 'X' END) AS "Bảo lãnh phát hành chứng khoán",
    MAX(CASE WHEN LOWER(dd.TEN_DICH_VU) LIKE '%tư vấn đầu tư chứng khoán%' THEN 'X' END) AS "Tư vấn đầu tư chứng khoán",
    -- Loại hoạt động
    -- Tư vấn đầu tư chứng khoán (MA_HANG=1)
    MAX(CASE WHEN bsh.MA_HANG='1' AND bsc.TEN_COT=N'Số lượng hợp đồng' THEN CAST(gt.GIA_TRI AS VARCHAR2(4000)) END) AS "Tư vấn đầu tư chứng khoán_Số lượng hợp đồng",
    MAX(CASE WHEN bsh.MA_HANG='1' AND bsc.TEN_COT=N'Số lượng hợp đồng tăng/giảm trong kỳ' THEN CAST(gt.GIA_TRI AS VARCHAR2(4000)) END) AS "Tư vấn đầu tư chứng khoán_Số lượng hợp đồng tăng/giảm trong kỳ",
    -- Tư vấn tài chính (MA_HANG=2)
    MAX(CASE WHEN bsh.MA_HANG='2' AND bsc.TEN_COT=N'Số lượng hợp đồng' THEN CAST(gt.GIA_TRI AS VARCHAR2(4000)) END) AS "Tư vấn tài chính_Số lượng hợp đồng",
    MAX(CASE WHEN bsh.MA_HANG='2' AND bsc.TEN_COT=N'Số lượng hợp đồng tăng/giảm trong kỳ' THEN CAST(gt.GIA_TRI AS VARCHAR2(4000)) END) AS "Tư vấn tài chính_Số lượng hợp đồng tăng/giảm trong kỳ",
    -- Dịch vụ khác (MA_HANG=3)
    MAX(CASE WHEN bsh.MA_HANG='3' AND bsc.TEN_COT=N'Số lượng hợp đồng' THEN CAST(gt.GIA_TRI AS VARCHAR2(4000)) END) AS "Dịch vụ khác_Số lượng hợp đồng",
    MAX(CASE WHEN bsh.MA_HANG='3' AND bsc.TEN_COT=N'Số lượng hợp đồng tăng/giảm trong kỳ' THEN CAST(gt.GIA_TRI AS VARCHAR2(4000)) END) AS "Dịch vụ khác_Số lượng hợp đồng tăng/giảm trong kỳ"
FROM SCMS.BC_THANH_VIEN btv
JOIN SCMS.BM_BAO_CAO bm ON bm.ID = btv.BM_BAO_CAO_ID
JOIN SCMS.BC_BAO_CAO_GT gt ON gt.BC_THANH_VIEN_ID = btv.ID
JOIN SCMS.BM_BAO_CAO_HANG bsh ON bsh.ID = gt.BM_SHEET_HANG_ID
JOIN SCMS.BM_BAO_CAO_COT bsc ON bsc.BM_SHEET_ID = 7428
--                               AND bsc.TEN_COT = gt.TEN_COT
JOIN SCMS.CTCK_THONG_TIN c ON c.CTCK_THONG_TIN_ID = btv.CTCK_THONG_TIN_ID
LEFT JOIN SCMS.CTCK_DICH_VU dv ON dv.CTCK_THONG_TIN_ID = c.CTCK_THONG_TIN_ID
                                   AND dv.TRANG_THAI = 1
LEFT JOIN SCMS.DM_DICH_VU dd ON dd.ID = dv.DM_DICH_VU_ID
WHERE bm.MA_BAO_CAO LIKE 'BCTHHDKD%'
  AND btv.TRANG_THAI IN (2, 3)
GROUP BY
    btv.ID, btv.CTCK_THONG_TIN_ID, btv.NGAY_SO_LIEU, btv.TRANG_THAI,
    bm.MA_BAO_CAO,
    c.TEN_VIET_TAT, c.SAN_NIEM_YET, c.MA_CHUNG_KHOAN,
    c.GIAY_PHEP_KINH_DOANH, c.NGAY_CAP_GPKD
ORDER BY btv.NGAY_SO_LIEU DESC, c.TEN_VIET_TAT;</t>
        </is>
      </c>
      <c r="U1359" s="386" t="n"/>
      <c r="V1359" s="395" t="n"/>
      <c r="W1359" s="395" t="n"/>
      <c r="X1359" s="395" t="n"/>
      <c r="Y1359" s="395" t="n"/>
      <c r="Z1359" s="395" t="n"/>
      <c r="AA1359" s="395" t="n"/>
      <c r="AB1359" s="395" t="n"/>
      <c r="AC1359" s="395" t="n"/>
      <c r="AD1359" s="395" t="n"/>
      <c r="AE1359" s="395" t="n"/>
    </row>
    <row r="1360" ht="56" customHeight="1" s="380">
      <c r="A1360" s="73" t="n">
        <v>72</v>
      </c>
      <c r="B1360" s="386" t="n"/>
      <c r="C1360" s="386" t="inlineStr">
        <is>
          <t>Báo cáo theo Thông tư 121/2020/TT-BTC &gt;&gt; Các hoạt động tư vấn và cung cấp dịch vụ</t>
        </is>
      </c>
      <c r="D1360" s="386" t="inlineStr">
        <is>
          <t>Sàn giao dịch</t>
        </is>
      </c>
      <c r="E1360" s="386" t="inlineStr">
        <is>
          <t>Sàn giao dịch</t>
        </is>
      </c>
      <c r="F1360" s="386" t="inlineStr">
        <is>
          <t>Data Explorer</t>
        </is>
      </c>
      <c r="G1360" s="386" t="inlineStr">
        <is>
          <t>Chỉ tiêu cơ sở</t>
        </is>
      </c>
      <c r="H1360" s="386" t="inlineStr">
        <is>
          <t>Dễ</t>
        </is>
      </c>
      <c r="I1360" s="386" t="inlineStr">
        <is>
          <t>Ngày, CTCK</t>
        </is>
      </c>
      <c r="J1360" s="395" t="inlineStr">
        <is>
          <t>SCMS</t>
        </is>
      </c>
      <c r="K1360" s="395" t="n"/>
      <c r="L1360" s="395" t="inlineStr">
        <is>
          <t>X</t>
        </is>
      </c>
      <c r="M1360" s="395" t="n"/>
      <c r="N1360" s="395" t="inlineStr">
        <is>
          <t>Done</t>
        </is>
      </c>
      <c r="O1360" s="401" t="n"/>
      <c r="P1360" s="395" t="n"/>
      <c r="S1360" s="395" t="n"/>
      <c r="U1360" s="386" t="n"/>
      <c r="V1360" s="395" t="n"/>
      <c r="W1360" s="395" t="n"/>
      <c r="X1360" s="395" t="n"/>
      <c r="Y1360" s="36" t="n"/>
      <c r="Z1360" s="395" t="n"/>
      <c r="AA1360" s="395" t="n"/>
      <c r="AB1360" s="395" t="n"/>
      <c r="AC1360" s="395" t="n"/>
      <c r="AD1360" s="395" t="n"/>
      <c r="AE1360" s="395" t="n"/>
    </row>
    <row r="1361" ht="56" customHeight="1" s="380">
      <c r="A1361" s="73" t="n">
        <v>72</v>
      </c>
      <c r="B1361" s="386" t="n"/>
      <c r="C1361" s="386" t="inlineStr">
        <is>
          <t>Báo cáo theo Thông tư 121/2020/TT-BTC &gt;&gt; Các hoạt động tư vấn và cung cấp dịch vụ</t>
        </is>
      </c>
      <c r="D1361" s="386" t="inlineStr">
        <is>
          <t>Mã chứng khoán</t>
        </is>
      </c>
      <c r="E1361" s="386" t="inlineStr">
        <is>
          <t>Mã chứng khoán</t>
        </is>
      </c>
      <c r="F1361" s="386" t="inlineStr">
        <is>
          <t>Data Explorer</t>
        </is>
      </c>
      <c r="G1361" s="386" t="inlineStr">
        <is>
          <t>Chỉ tiêu cơ sở</t>
        </is>
      </c>
      <c r="H1361" s="386" t="inlineStr">
        <is>
          <t>Dễ</t>
        </is>
      </c>
      <c r="I1361" s="386" t="inlineStr">
        <is>
          <t>Ngày, CTCK</t>
        </is>
      </c>
      <c r="J1361" s="395" t="inlineStr">
        <is>
          <t>SCMS</t>
        </is>
      </c>
      <c r="K1361" s="395" t="n"/>
      <c r="L1361" s="395" t="inlineStr">
        <is>
          <t>X</t>
        </is>
      </c>
      <c r="M1361" s="395" t="n"/>
      <c r="N1361" s="395" t="inlineStr">
        <is>
          <t>Done</t>
        </is>
      </c>
      <c r="O1361" s="401" t="n"/>
      <c r="P1361" s="395" t="n"/>
      <c r="S1361" s="395" t="n"/>
      <c r="U1361" s="386" t="n"/>
      <c r="V1361" s="395" t="n"/>
      <c r="W1361" s="395" t="n"/>
      <c r="X1361" s="395" t="n"/>
      <c r="Y1361" s="395" t="n"/>
      <c r="Z1361" s="395" t="n"/>
      <c r="AA1361" s="395" t="n"/>
      <c r="AB1361" s="395" t="n"/>
      <c r="AC1361" s="395" t="n"/>
      <c r="AD1361" s="395" t="n"/>
      <c r="AE1361" s="395" t="n"/>
    </row>
    <row r="1362" ht="56" customHeight="1" s="380">
      <c r="A1362" s="73" t="n">
        <v>72</v>
      </c>
      <c r="B1362" s="386" t="n"/>
      <c r="C1362" s="386" t="inlineStr">
        <is>
          <t>Báo cáo theo Thông tư 121/2020/TT-BTC &gt;&gt; Các hoạt động tư vấn và cung cấp dịch vụ</t>
        </is>
      </c>
      <c r="D1362" s="386" t="inlineStr">
        <is>
          <t>Giấy phép hoạt động &gt;&gt; Số</t>
        </is>
      </c>
      <c r="E1362" s="386" t="inlineStr">
        <is>
          <t>Giấy phép hoạt động &gt;&gt; Số</t>
        </is>
      </c>
      <c r="F1362" s="386" t="inlineStr">
        <is>
          <t>Data Explorer</t>
        </is>
      </c>
      <c r="G1362" s="386" t="inlineStr">
        <is>
          <t>Chỉ tiêu cơ sở</t>
        </is>
      </c>
      <c r="H1362" s="386" t="inlineStr">
        <is>
          <t>Dễ</t>
        </is>
      </c>
      <c r="I1362" s="386" t="inlineStr">
        <is>
          <t>Ngày, CTCK</t>
        </is>
      </c>
      <c r="J1362" s="395" t="inlineStr">
        <is>
          <t>SCMS</t>
        </is>
      </c>
      <c r="K1362" s="395" t="n"/>
      <c r="L1362" s="395" t="inlineStr">
        <is>
          <t>X</t>
        </is>
      </c>
      <c r="M1362" s="395" t="n"/>
      <c r="N1362" s="395" t="inlineStr">
        <is>
          <t>Done</t>
        </is>
      </c>
      <c r="O1362" s="401" t="n"/>
      <c r="P1362" s="395" t="n"/>
      <c r="S1362" s="395" t="n"/>
      <c r="U1362" s="386" t="n"/>
      <c r="V1362" s="395" t="n"/>
      <c r="W1362" s="395" t="n"/>
      <c r="X1362" s="395" t="n"/>
      <c r="Y1362" s="395" t="n"/>
      <c r="Z1362" s="395" t="n"/>
      <c r="AA1362" s="395" t="n"/>
      <c r="AB1362" s="395" t="n"/>
      <c r="AC1362" s="395" t="n"/>
      <c r="AD1362" s="395" t="n"/>
      <c r="AE1362" s="395" t="n"/>
    </row>
    <row r="1363" ht="56" customHeight="1" s="380">
      <c r="A1363" s="73" t="n">
        <v>72</v>
      </c>
      <c r="B1363" s="386" t="n"/>
      <c r="C1363" s="386" t="inlineStr">
        <is>
          <t>Báo cáo theo Thông tư 121/2020/TT-BTC &gt;&gt; Các hoạt động tư vấn và cung cấp dịch vụ</t>
        </is>
      </c>
      <c r="D1363" s="386" t="inlineStr">
        <is>
          <t>Giấy phép hoạt động &gt;&gt; Ngày cấp
(Ngày/tháng/năm)</t>
        </is>
      </c>
      <c r="E1363" s="386" t="inlineStr">
        <is>
          <t>Giấy phép hoạt động &gt;&gt; Ngày cấp
(Ngày/tháng/năm)</t>
        </is>
      </c>
      <c r="F1363" s="386" t="inlineStr">
        <is>
          <t>Data Explorer</t>
        </is>
      </c>
      <c r="G1363" s="386" t="inlineStr">
        <is>
          <t>Chỉ tiêu cơ sở</t>
        </is>
      </c>
      <c r="H1363" s="386" t="inlineStr">
        <is>
          <t>Dễ</t>
        </is>
      </c>
      <c r="I1363" s="386" t="inlineStr">
        <is>
          <t>Ngày, CTCK</t>
        </is>
      </c>
      <c r="J1363" s="395" t="inlineStr">
        <is>
          <t>SCMS</t>
        </is>
      </c>
      <c r="K1363" s="395" t="n"/>
      <c r="L1363" s="395" t="inlineStr">
        <is>
          <t>X</t>
        </is>
      </c>
      <c r="M1363" s="395" t="n"/>
      <c r="N1363" s="395" t="inlineStr">
        <is>
          <t>Done</t>
        </is>
      </c>
      <c r="O1363" s="401" t="n"/>
      <c r="P1363" s="395" t="n"/>
      <c r="S1363" s="395" t="n"/>
      <c r="U1363" s="386" t="n"/>
      <c r="V1363" s="395" t="n"/>
      <c r="W1363" s="395" t="n"/>
      <c r="X1363" s="395" t="n"/>
      <c r="Y1363" s="395" t="n"/>
      <c r="Z1363" s="395" t="n"/>
      <c r="AA1363" s="395" t="n"/>
      <c r="AB1363" s="395" t="n"/>
      <c r="AC1363" s="395" t="n"/>
      <c r="AD1363" s="395" t="n"/>
      <c r="AE1363" s="395" t="n"/>
    </row>
    <row r="1364" ht="56" customHeight="1" s="380">
      <c r="A1364" s="73" t="n">
        <v>72</v>
      </c>
      <c r="B1364" s="386" t="n"/>
      <c r="C1364" s="386" t="inlineStr">
        <is>
          <t>Báo cáo theo Thông tư 121/2020/TT-BTC &gt;&gt; Các hoạt động tư vấn và cung cấp dịch vụ</t>
        </is>
      </c>
      <c r="D1364" s="386" t="inlineStr">
        <is>
          <t>Nghiệp vụ hoạt động &gt;&gt; Môi giới chứng khoán</t>
        </is>
      </c>
      <c r="E1364" s="395" t="inlineStr">
        <is>
          <t>Môi giới chứng khoán</t>
        </is>
      </c>
      <c r="F1364" s="386" t="inlineStr">
        <is>
          <t>Data Explorer</t>
        </is>
      </c>
      <c r="G1364" s="386" t="inlineStr">
        <is>
          <t>Chỉ tiêu cơ sở</t>
        </is>
      </c>
      <c r="H1364" s="386" t="inlineStr">
        <is>
          <t>TB</t>
        </is>
      </c>
      <c r="I1364" s="386" t="inlineStr">
        <is>
          <t>Ngày, CTCK</t>
        </is>
      </c>
      <c r="J1364" s="395" t="inlineStr">
        <is>
          <t>SCMS</t>
        </is>
      </c>
      <c r="K1364" s="395" t="n"/>
      <c r="L1364" s="395" t="inlineStr">
        <is>
          <t>X</t>
        </is>
      </c>
      <c r="M1364" s="395" t="n"/>
      <c r="N1364" s="395" t="inlineStr">
        <is>
          <t>Done</t>
        </is>
      </c>
      <c r="O1364" s="401" t="n"/>
      <c r="P1364" s="395" t="n"/>
      <c r="S1364" s="395" t="n"/>
      <c r="U1364" s="386" t="n"/>
      <c r="V1364" s="395" t="n"/>
      <c r="W1364" s="395" t="n"/>
      <c r="X1364" s="395" t="n"/>
      <c r="Y1364" s="395" t="n"/>
      <c r="Z1364" s="395" t="n"/>
      <c r="AA1364" s="395" t="n"/>
      <c r="AB1364" s="395" t="n"/>
      <c r="AC1364" s="395" t="n"/>
      <c r="AD1364" s="395" t="n"/>
      <c r="AE1364" s="395" t="n"/>
    </row>
    <row r="1365" ht="56" customHeight="1" s="380">
      <c r="A1365" s="73" t="n">
        <v>72</v>
      </c>
      <c r="B1365" s="386" t="n"/>
      <c r="C1365" s="386" t="inlineStr">
        <is>
          <t>Báo cáo theo Thông tư 121/2020/TT-BTC &gt;&gt; Các hoạt động tư vấn và cung cấp dịch vụ</t>
        </is>
      </c>
      <c r="D1365" s="386" t="inlineStr">
        <is>
          <t>Nghiệp vụ hoạt động &gt;&gt; Tự doanh chứng khoán</t>
        </is>
      </c>
      <c r="E1365" s="395" t="inlineStr">
        <is>
          <t>Tự doanh chứng khoán</t>
        </is>
      </c>
      <c r="F1365" s="386" t="inlineStr">
        <is>
          <t>Data Explorer</t>
        </is>
      </c>
      <c r="G1365" s="386" t="inlineStr">
        <is>
          <t>Chỉ tiêu cơ sở</t>
        </is>
      </c>
      <c r="H1365" s="386" t="inlineStr">
        <is>
          <t>TB</t>
        </is>
      </c>
      <c r="I1365" s="386" t="inlineStr">
        <is>
          <t>Ngày, CTCK</t>
        </is>
      </c>
      <c r="J1365" s="395" t="inlineStr">
        <is>
          <t>SCMS</t>
        </is>
      </c>
      <c r="K1365" s="395" t="n"/>
      <c r="L1365" s="395" t="inlineStr">
        <is>
          <t>X</t>
        </is>
      </c>
      <c r="M1365" s="395" t="n"/>
      <c r="N1365" s="395" t="inlineStr">
        <is>
          <t>Done</t>
        </is>
      </c>
      <c r="O1365" s="401" t="n"/>
      <c r="P1365" s="395" t="n"/>
      <c r="S1365" s="395" t="n"/>
      <c r="U1365" s="386" t="n"/>
      <c r="V1365" s="395" t="n"/>
      <c r="W1365" s="395" t="n"/>
      <c r="X1365" s="395" t="n"/>
      <c r="Y1365" s="395" t="n"/>
      <c r="Z1365" s="395" t="n"/>
      <c r="AA1365" s="395" t="n"/>
      <c r="AB1365" s="395" t="n"/>
      <c r="AC1365" s="395" t="n"/>
      <c r="AD1365" s="395" t="n"/>
      <c r="AE1365" s="395" t="n"/>
    </row>
    <row r="1366" ht="56" customHeight="1" s="380">
      <c r="A1366" s="73" t="n">
        <v>72</v>
      </c>
      <c r="B1366" s="386" t="n"/>
      <c r="C1366" s="386" t="inlineStr">
        <is>
          <t>Báo cáo theo Thông tư 121/2020/TT-BTC &gt;&gt; Các hoạt động tư vấn và cung cấp dịch vụ</t>
        </is>
      </c>
      <c r="D1366" s="386" t="inlineStr">
        <is>
          <t>Nghiệp vụ hoạt động &gt;&gt; Bảo lãnh phát hành chứng khoán</t>
        </is>
      </c>
      <c r="E1366" s="395" t="inlineStr">
        <is>
          <t>Bảo lãnh phát hành chứng khoán</t>
        </is>
      </c>
      <c r="F1366" s="386" t="inlineStr">
        <is>
          <t>Data Explorer</t>
        </is>
      </c>
      <c r="G1366" s="386" t="inlineStr">
        <is>
          <t>Chỉ tiêu cơ sở</t>
        </is>
      </c>
      <c r="H1366" s="386" t="inlineStr">
        <is>
          <t>TB</t>
        </is>
      </c>
      <c r="I1366" s="386" t="inlineStr">
        <is>
          <t>Ngày, CTCK</t>
        </is>
      </c>
      <c r="J1366" s="395" t="inlineStr">
        <is>
          <t>SCMS</t>
        </is>
      </c>
      <c r="K1366" s="395" t="n"/>
      <c r="L1366" s="395" t="inlineStr">
        <is>
          <t>X</t>
        </is>
      </c>
      <c r="M1366" s="395" t="n"/>
      <c r="N1366" s="395" t="inlineStr">
        <is>
          <t>Done</t>
        </is>
      </c>
      <c r="O1366" s="401" t="n"/>
      <c r="P1366" s="395" t="n"/>
      <c r="S1366" s="395" t="n"/>
      <c r="U1366" s="386" t="n"/>
      <c r="V1366" s="395" t="n"/>
      <c r="W1366" s="395" t="n"/>
      <c r="X1366" s="395" t="n"/>
      <c r="Y1366" s="395" t="n"/>
      <c r="Z1366" s="395" t="n"/>
      <c r="AA1366" s="395" t="n"/>
      <c r="AB1366" s="395" t="n"/>
      <c r="AC1366" s="395" t="n"/>
      <c r="AD1366" s="395" t="n"/>
      <c r="AE1366" s="395" t="n"/>
    </row>
    <row r="1367" ht="56" customHeight="1" s="380">
      <c r="A1367" s="73" t="n">
        <v>72</v>
      </c>
      <c r="B1367" s="386" t="n"/>
      <c r="C1367" s="386" t="inlineStr">
        <is>
          <t>Báo cáo theo Thông tư 121/2020/TT-BTC &gt;&gt; Các hoạt động tư vấn và cung cấp dịch vụ</t>
        </is>
      </c>
      <c r="D1367" s="386" t="inlineStr">
        <is>
          <t>Nghiệp vụ hoạt động &gt;&gt; Tư vấn đầu tư chứng khoán</t>
        </is>
      </c>
      <c r="E1367" s="395" t="inlineStr">
        <is>
          <t>Tư vấn đầu tư chứng khoán</t>
        </is>
      </c>
      <c r="F1367" s="386" t="inlineStr">
        <is>
          <t>Data Explorer</t>
        </is>
      </c>
      <c r="G1367" s="386" t="inlineStr">
        <is>
          <t>Chỉ tiêu cơ sở</t>
        </is>
      </c>
      <c r="H1367" s="386" t="inlineStr">
        <is>
          <t>TB</t>
        </is>
      </c>
      <c r="I1367" s="386" t="inlineStr">
        <is>
          <t>Ngày, CTCK</t>
        </is>
      </c>
      <c r="J1367" s="395" t="inlineStr">
        <is>
          <t>SCMS</t>
        </is>
      </c>
      <c r="K1367" s="395" t="n"/>
      <c r="L1367" s="395" t="inlineStr">
        <is>
          <t>X</t>
        </is>
      </c>
      <c r="M1367" s="395" t="n"/>
      <c r="N1367" s="395" t="inlineStr">
        <is>
          <t>Done</t>
        </is>
      </c>
      <c r="O1367" s="401" t="n"/>
      <c r="P1367" s="395" t="n"/>
      <c r="S1367" s="395" t="n"/>
      <c r="U1367" s="386" t="n"/>
      <c r="V1367" s="395" t="n"/>
      <c r="W1367" s="395" t="n"/>
      <c r="X1367" s="395" t="n"/>
      <c r="Y1367" s="36" t="n"/>
      <c r="Z1367" s="395" t="n"/>
      <c r="AA1367" s="395" t="n"/>
      <c r="AB1367" s="395" t="n"/>
      <c r="AC1367" s="395" t="n"/>
      <c r="AD1367" s="395" t="n"/>
      <c r="AE1367" s="395" t="n"/>
    </row>
    <row r="1368" ht="56" customHeight="1" s="380">
      <c r="A1368" s="73" t="n">
        <v>72</v>
      </c>
      <c r="B1368" s="386" t="n"/>
      <c r="C1368" s="386" t="inlineStr">
        <is>
          <t>Báo cáo theo Thông tư 121/2020/TT-BTC &gt;&gt; Các hoạt động tư vấn và cung cấp dịch vụ</t>
        </is>
      </c>
      <c r="D1368" s="386" t="inlineStr">
        <is>
          <t>Tư vấn đầu tư chứng khoán &gt;&gt; Số lượng hợp đồng</t>
        </is>
      </c>
      <c r="E1368" s="386" t="inlineStr">
        <is>
          <t>Tư vấn đầu tư chứng khoán &gt;&gt; Số lượng hợp đồng</t>
        </is>
      </c>
      <c r="F1368" s="386" t="inlineStr">
        <is>
          <t>Data Explorer</t>
        </is>
      </c>
      <c r="G1368" s="386" t="inlineStr">
        <is>
          <t>Chỉ tiêu cơ sở</t>
        </is>
      </c>
      <c r="H1368" s="386" t="inlineStr">
        <is>
          <t>TB</t>
        </is>
      </c>
      <c r="I1368" s="386" t="inlineStr">
        <is>
          <t>Ngày, CTCK</t>
        </is>
      </c>
      <c r="J1368" s="395" t="inlineStr">
        <is>
          <t>SCMS</t>
        </is>
      </c>
      <c r="K1368" s="395" t="n"/>
      <c r="L1368" s="395" t="inlineStr">
        <is>
          <t>X</t>
        </is>
      </c>
      <c r="M1368" s="395" t="n"/>
      <c r="N1368" s="395" t="inlineStr">
        <is>
          <t>Done</t>
        </is>
      </c>
      <c r="O1368" s="401" t="n"/>
      <c r="P1368" s="395" t="n"/>
      <c r="S1368" s="395" t="n"/>
      <c r="U1368" s="386" t="n"/>
      <c r="V1368" s="395" t="n"/>
      <c r="W1368" s="395" t="n"/>
      <c r="X1368" s="395" t="n"/>
      <c r="Y1368" s="395" t="n"/>
      <c r="Z1368" s="395" t="n"/>
      <c r="AA1368" s="395" t="n"/>
      <c r="AB1368" s="395" t="n"/>
      <c r="AC1368" s="395" t="n"/>
      <c r="AD1368" s="395" t="n"/>
      <c r="AE1368" s="395" t="n"/>
    </row>
    <row r="1369" ht="56" customHeight="1" s="380">
      <c r="A1369" s="73" t="n">
        <v>72</v>
      </c>
      <c r="B1369" s="386" t="n"/>
      <c r="C1369" s="386" t="inlineStr">
        <is>
          <t>Báo cáo theo Thông tư 121/2020/TT-BTC &gt;&gt; Các hoạt động tư vấn và cung cấp dịch vụ</t>
        </is>
      </c>
      <c r="D1369" s="386" t="inlineStr">
        <is>
          <t>Tư vấn đầu tư chứng khoán &gt;&gt; Số lượng hợp đồng tăng/giảm trong kỳ</t>
        </is>
      </c>
      <c r="E1369" s="386" t="inlineStr">
        <is>
          <t>Tư vấn đầu tư chứng khoán &gt;&gt; Số lượng hợp đồng tăng/giảm trong kỳ</t>
        </is>
      </c>
      <c r="F1369" s="386" t="inlineStr">
        <is>
          <t>Data Explorer</t>
        </is>
      </c>
      <c r="G1369" s="386" t="inlineStr">
        <is>
          <t>Chỉ tiêu cơ sở</t>
        </is>
      </c>
      <c r="H1369" s="386" t="inlineStr">
        <is>
          <t>TB</t>
        </is>
      </c>
      <c r="I1369" s="386" t="inlineStr">
        <is>
          <t>Ngày, CTCK</t>
        </is>
      </c>
      <c r="J1369" s="395" t="inlineStr">
        <is>
          <t>SCMS</t>
        </is>
      </c>
      <c r="K1369" s="395" t="n"/>
      <c r="L1369" s="395" t="inlineStr">
        <is>
          <t>X</t>
        </is>
      </c>
      <c r="M1369" s="395" t="n"/>
      <c r="N1369" s="395" t="inlineStr">
        <is>
          <t>Done</t>
        </is>
      </c>
      <c r="O1369" s="401" t="n"/>
      <c r="P1369" s="395" t="n"/>
      <c r="S1369" s="395" t="n"/>
      <c r="U1369" s="386" t="n"/>
      <c r="V1369" s="395" t="n"/>
      <c r="W1369" s="395" t="n"/>
      <c r="X1369" s="395" t="n"/>
      <c r="Y1369" s="36" t="n"/>
      <c r="Z1369" s="395" t="n"/>
      <c r="AA1369" s="395" t="n"/>
      <c r="AB1369" s="395" t="n"/>
      <c r="AC1369" s="395" t="n"/>
      <c r="AD1369" s="395" t="n"/>
      <c r="AE1369" s="395" t="n"/>
    </row>
    <row r="1370" ht="56" customHeight="1" s="380">
      <c r="A1370" s="73" t="n">
        <v>72</v>
      </c>
      <c r="B1370" s="386" t="n"/>
      <c r="C1370" s="386" t="inlineStr">
        <is>
          <t>Báo cáo theo Thông tư 121/2020/TT-BTC &gt;&gt; Các hoạt động tư vấn và cung cấp dịch vụ</t>
        </is>
      </c>
      <c r="D1370" s="386" t="inlineStr">
        <is>
          <t>Tư vấn tài chính &gt;&gt; Số lượng hợp đồng</t>
        </is>
      </c>
      <c r="E1370" s="395" t="inlineStr">
        <is>
          <t>Tư vấn tài chính &gt;&gt; Số lượng hợp đồng</t>
        </is>
      </c>
      <c r="F1370" s="386" t="inlineStr">
        <is>
          <t>Data Explorer</t>
        </is>
      </c>
      <c r="G1370" s="386" t="inlineStr">
        <is>
          <t>Chỉ tiêu cơ sở</t>
        </is>
      </c>
      <c r="H1370" s="386" t="inlineStr">
        <is>
          <t>TB</t>
        </is>
      </c>
      <c r="I1370" s="386" t="inlineStr">
        <is>
          <t>Ngày, CTCK</t>
        </is>
      </c>
      <c r="J1370" s="395" t="inlineStr">
        <is>
          <t>SCMS</t>
        </is>
      </c>
      <c r="K1370" s="395" t="n"/>
      <c r="L1370" s="395" t="inlineStr">
        <is>
          <t>X</t>
        </is>
      </c>
      <c r="M1370" s="395" t="n"/>
      <c r="N1370" s="395" t="inlineStr">
        <is>
          <t>Done</t>
        </is>
      </c>
      <c r="O1370" s="401" t="n"/>
      <c r="P1370" s="395" t="n"/>
      <c r="S1370" s="395" t="n"/>
      <c r="U1370" s="386" t="n"/>
      <c r="V1370" s="395" t="n"/>
      <c r="W1370" s="395" t="n"/>
      <c r="X1370" s="395" t="n"/>
      <c r="Y1370" s="395" t="n"/>
      <c r="Z1370" s="395" t="n"/>
      <c r="AA1370" s="395" t="n"/>
      <c r="AB1370" s="395" t="n"/>
      <c r="AC1370" s="395" t="n"/>
      <c r="AD1370" s="395" t="n"/>
      <c r="AE1370" s="395" t="n"/>
    </row>
    <row r="1371" ht="56" customHeight="1" s="380">
      <c r="A1371" s="73" t="n">
        <v>72</v>
      </c>
      <c r="B1371" s="386" t="n"/>
      <c r="C1371" s="386" t="inlineStr">
        <is>
          <t>Báo cáo theo Thông tư 121/2020/TT-BTC &gt;&gt; Các hoạt động tư vấn và cung cấp dịch vụ</t>
        </is>
      </c>
      <c r="D1371" s="386" t="inlineStr">
        <is>
          <t>Tư vấn tài chính &gt;&gt; Số lượng hợp đồng tăng/giảm trong kỳ</t>
        </is>
      </c>
      <c r="E1371" s="386" t="inlineStr">
        <is>
          <t>Tư vấn tài chính &gt;&gt; Số lượng hợp đồng tăng/giảm trong kỳ</t>
        </is>
      </c>
      <c r="F1371" s="386" t="inlineStr">
        <is>
          <t>Data Explorer</t>
        </is>
      </c>
      <c r="G1371" s="386" t="inlineStr">
        <is>
          <t>Chỉ tiêu cơ sở</t>
        </is>
      </c>
      <c r="H1371" s="386" t="inlineStr">
        <is>
          <t>TB</t>
        </is>
      </c>
      <c r="I1371" s="386" t="inlineStr">
        <is>
          <t>Ngày, CTCK</t>
        </is>
      </c>
      <c r="J1371" s="395" t="inlineStr">
        <is>
          <t>SCMS</t>
        </is>
      </c>
      <c r="K1371" s="395" t="n"/>
      <c r="L1371" s="395" t="inlineStr">
        <is>
          <t>X</t>
        </is>
      </c>
      <c r="M1371" s="395" t="n"/>
      <c r="N1371" s="395" t="inlineStr">
        <is>
          <t>Done</t>
        </is>
      </c>
      <c r="O1371" s="401" t="n"/>
      <c r="P1371" s="395" t="n"/>
      <c r="S1371" s="395" t="n"/>
      <c r="U1371" s="386" t="n"/>
      <c r="V1371" s="395" t="n"/>
      <c r="W1371" s="395" t="n"/>
      <c r="X1371" s="395" t="n"/>
      <c r="Y1371" s="395" t="n"/>
      <c r="Z1371" s="395" t="n"/>
      <c r="AA1371" s="395" t="n"/>
      <c r="AB1371" s="395" t="n"/>
      <c r="AC1371" s="395" t="n"/>
      <c r="AD1371" s="395" t="n"/>
      <c r="AE1371" s="395" t="n"/>
    </row>
    <row r="1372" ht="56" customHeight="1" s="380">
      <c r="A1372" s="73" t="n">
        <v>72</v>
      </c>
      <c r="B1372" s="386" t="n"/>
      <c r="C1372" s="386" t="inlineStr">
        <is>
          <t>Báo cáo theo Thông tư 121/2020/TT-BTC &gt;&gt; Các hoạt động tư vấn và cung cấp dịch vụ</t>
        </is>
      </c>
      <c r="D1372" s="386" t="inlineStr">
        <is>
          <t>Tư vấn tài chính &gt;&gt; Số loại tư vấn tài chính</t>
        </is>
      </c>
      <c r="E1372" s="386" t="inlineStr">
        <is>
          <t>Tư vấn tài chính &gt;&gt; Số loại tư vấn tài chính</t>
        </is>
      </c>
      <c r="F1372" s="386" t="inlineStr">
        <is>
          <t>Data Explorer</t>
        </is>
      </c>
      <c r="G1372" s="386" t="inlineStr">
        <is>
          <t>Chỉ tiêu cơ sở</t>
        </is>
      </c>
      <c r="H1372" s="386" t="inlineStr">
        <is>
          <t>TB</t>
        </is>
      </c>
      <c r="I1372" s="386" t="inlineStr">
        <is>
          <t>Ngày, CTCK</t>
        </is>
      </c>
      <c r="J1372" s="395" t="inlineStr">
        <is>
          <t>SCMS</t>
        </is>
      </c>
      <c r="K1372" s="395" t="n"/>
      <c r="L1372" s="395" t="inlineStr">
        <is>
          <t>X</t>
        </is>
      </c>
      <c r="M1372" s="395" t="n"/>
      <c r="N1372" s="395" t="inlineStr">
        <is>
          <t>Done</t>
        </is>
      </c>
      <c r="O1372" s="401" t="n"/>
      <c r="P1372" s="395" t="n"/>
      <c r="S1372" s="395" t="n"/>
      <c r="U1372" s="386" t="n"/>
      <c r="V1372" s="395" t="n"/>
      <c r="W1372" s="395" t="n"/>
      <c r="X1372" s="395" t="n"/>
      <c r="Y1372" s="395" t="n"/>
      <c r="Z1372" s="395" t="n"/>
      <c r="AA1372" s="395" t="n"/>
      <c r="AB1372" s="395" t="n"/>
      <c r="AC1372" s="395" t="n"/>
      <c r="AD1372" s="395" t="n"/>
      <c r="AE1372" s="395" t="n"/>
    </row>
    <row r="1373" ht="56" customHeight="1" s="380">
      <c r="A1373" s="73" t="n">
        <v>72</v>
      </c>
      <c r="B1373" s="386" t="n"/>
      <c r="C1373" s="386" t="inlineStr">
        <is>
          <t>Báo cáo theo Thông tư 121/2020/TT-BTC &gt;&gt; Các hoạt động tư vấn và cung cấp dịch vụ</t>
        </is>
      </c>
      <c r="D1373" s="386" t="inlineStr">
        <is>
          <t>Dịch vụ khác &gt;&gt; Số lượng hợp đồng</t>
        </is>
      </c>
      <c r="E1373" s="395" t="inlineStr">
        <is>
          <t>Dịch vụ khác &gt;&gt; Số lượng hợp đồng</t>
        </is>
      </c>
      <c r="F1373" s="386" t="inlineStr">
        <is>
          <t>Data Explorer</t>
        </is>
      </c>
      <c r="G1373" s="386" t="inlineStr">
        <is>
          <t>Chỉ tiêu cơ sở</t>
        </is>
      </c>
      <c r="H1373" s="386" t="inlineStr">
        <is>
          <t>TB</t>
        </is>
      </c>
      <c r="I1373" s="386" t="inlineStr">
        <is>
          <t>Ngày, CTCK</t>
        </is>
      </c>
      <c r="J1373" s="395" t="inlineStr">
        <is>
          <t>SCMS</t>
        </is>
      </c>
      <c r="K1373" s="395" t="n"/>
      <c r="L1373" s="395" t="inlineStr">
        <is>
          <t>X</t>
        </is>
      </c>
      <c r="M1373" s="395" t="n"/>
      <c r="N1373" s="395" t="inlineStr">
        <is>
          <t>Done</t>
        </is>
      </c>
      <c r="O1373" s="401" t="n"/>
      <c r="P1373" s="395" t="n"/>
      <c r="S1373" s="395" t="n"/>
      <c r="U1373" s="386" t="n"/>
      <c r="V1373" s="395" t="n"/>
      <c r="W1373" s="395" t="n"/>
      <c r="X1373" s="395" t="n"/>
      <c r="Y1373" s="395" t="n"/>
      <c r="Z1373" s="395" t="n"/>
      <c r="AA1373" s="395" t="n"/>
      <c r="AB1373" s="395" t="n"/>
      <c r="AC1373" s="395" t="n"/>
      <c r="AD1373" s="395" t="n"/>
      <c r="AE1373" s="395" t="n"/>
    </row>
    <row r="1374" ht="56" customHeight="1" s="380">
      <c r="A1374" s="73" t="n">
        <v>72</v>
      </c>
      <c r="B1374" s="386" t="n"/>
      <c r="C1374" s="386" t="inlineStr">
        <is>
          <t>Báo cáo theo Thông tư 121/2020/TT-BTC &gt;&gt; Các hoạt động tư vấn và cung cấp dịch vụ</t>
        </is>
      </c>
      <c r="D1374" s="386" t="inlineStr">
        <is>
          <t>Dịch vụ khác &gt;&gt; Số lượng hợp đồng tăng/giảm trong kỳ</t>
        </is>
      </c>
      <c r="E1374" s="386" t="inlineStr">
        <is>
          <t>Dịch vụ khác &gt;&gt; Số lượng hợp đồng tăng/giảm trong kỳ</t>
        </is>
      </c>
      <c r="F1374" s="386" t="inlineStr">
        <is>
          <t>Data Explorer</t>
        </is>
      </c>
      <c r="G1374" s="386" t="inlineStr">
        <is>
          <t>Chỉ tiêu cơ sở</t>
        </is>
      </c>
      <c r="H1374" s="386" t="inlineStr">
        <is>
          <t>TB</t>
        </is>
      </c>
      <c r="I1374" s="386" t="inlineStr">
        <is>
          <t>Ngày, CTCK</t>
        </is>
      </c>
      <c r="J1374" s="395" t="inlineStr">
        <is>
          <t>SCMS</t>
        </is>
      </c>
      <c r="K1374" s="395" t="n"/>
      <c r="L1374" s="395" t="inlineStr">
        <is>
          <t>X</t>
        </is>
      </c>
      <c r="M1374" s="395" t="n"/>
      <c r="N1374" s="395" t="inlineStr">
        <is>
          <t>Done</t>
        </is>
      </c>
      <c r="O1374" s="401" t="n"/>
      <c r="P1374" s="395" t="n"/>
      <c r="S1374" s="395" t="n"/>
      <c r="U1374" s="386" t="n"/>
      <c r="V1374" s="395" t="n"/>
      <c r="W1374" s="395" t="n"/>
      <c r="X1374" s="395" t="n"/>
      <c r="Y1374" s="36" t="n"/>
      <c r="Z1374" s="395" t="n"/>
      <c r="AA1374" s="395" t="n"/>
      <c r="AB1374" s="395" t="n"/>
      <c r="AC1374" s="395" t="n"/>
      <c r="AD1374" s="395" t="n"/>
      <c r="AE1374" s="395" t="n"/>
    </row>
    <row r="1375" ht="56" customHeight="1" s="380">
      <c r="A1375" s="83" t="n">
        <v>72</v>
      </c>
      <c r="B1375" s="68" t="n"/>
      <c r="C1375" s="68" t="inlineStr">
        <is>
          <t>Báo cáo theo Thông tư 121/2020/TT-BTC &gt;&gt; Các hoạt động tư vấn và cung cấp dịch vụ</t>
        </is>
      </c>
      <c r="D1375" s="68" t="inlineStr">
        <is>
          <t>Dịch vụ khác &gt;&gt; Số loại dịch vụ khác</t>
        </is>
      </c>
      <c r="E1375" s="69" t="inlineStr">
        <is>
          <t>Dịch vụ khác &gt;&gt; Số loại dịch vụ khác</t>
        </is>
      </c>
      <c r="F1375" s="68" t="inlineStr">
        <is>
          <t>Data Explorer</t>
        </is>
      </c>
      <c r="G1375" s="68" t="inlineStr">
        <is>
          <t>Chỉ tiêu cơ sở</t>
        </is>
      </c>
      <c r="H1375" s="68" t="inlineStr">
        <is>
          <t>TB</t>
        </is>
      </c>
      <c r="I1375" s="68" t="inlineStr">
        <is>
          <t>Ngày, CTCK</t>
        </is>
      </c>
      <c r="J1375" s="69" t="inlineStr">
        <is>
          <t>SCMS</t>
        </is>
      </c>
      <c r="K1375" s="69" t="n"/>
      <c r="L1375" s="69" t="inlineStr">
        <is>
          <t>X</t>
        </is>
      </c>
      <c r="M1375" s="69" t="n"/>
      <c r="N1375" s="69" t="inlineStr">
        <is>
          <t>Done</t>
        </is>
      </c>
      <c r="O1375" s="85" t="n"/>
      <c r="P1375" s="69" t="n"/>
      <c r="Q1375" s="426" t="n"/>
      <c r="R1375" s="426" t="n"/>
      <c r="S1375" s="69" t="n"/>
      <c r="T1375" s="426" t="n"/>
      <c r="U1375" s="68" t="n"/>
      <c r="V1375" s="69" t="n"/>
      <c r="W1375" s="69" t="n"/>
      <c r="X1375" s="69" t="n"/>
      <c r="Y1375" s="37" t="n"/>
      <c r="Z1375" s="69" t="n"/>
      <c r="AA1375" s="69" t="n"/>
      <c r="AB1375" s="69" t="n"/>
      <c r="AC1375" s="69" t="n"/>
      <c r="AD1375" s="69" t="n"/>
      <c r="AE1375" s="69" t="n"/>
    </row>
    <row r="1376" ht="56" customHeight="1" s="380">
      <c r="A1376" s="73" t="n">
        <v>73</v>
      </c>
      <c r="B1376" s="122" t="inlineStr">
        <is>
          <t>Nga</t>
        </is>
      </c>
      <c r="C1376" s="81" t="inlineStr">
        <is>
          <t>Báo cáo theo Thông tư 121/2020/TT-BTC &gt;&gt; Tiền gửi giao dịch chứng khoán của nhà đầu tư - II.5.1</t>
        </is>
      </c>
      <c r="D1376" s="106" t="inlineStr">
        <is>
          <t>Loại báo cáo</t>
        </is>
      </c>
      <c r="E1376" s="107" t="inlineStr">
        <is>
          <t>Loại báo cáo</t>
        </is>
      </c>
      <c r="F1376" s="390" t="inlineStr">
        <is>
          <t>Data Explorer</t>
        </is>
      </c>
      <c r="G1376" s="390" t="inlineStr">
        <is>
          <t>Chiều</t>
        </is>
      </c>
      <c r="H1376" s="390" t="inlineStr">
        <is>
          <t>Dễ</t>
        </is>
      </c>
      <c r="I1376" s="390" t="inlineStr">
        <is>
          <t>Ngày, CTCK</t>
        </is>
      </c>
      <c r="J1376" s="401" t="inlineStr">
        <is>
          <t>SCMS</t>
        </is>
      </c>
      <c r="K1376" s="401" t="inlineStr">
        <is>
          <t>X</t>
        </is>
      </c>
      <c r="L1376" s="395" t="inlineStr">
        <is>
          <t>X</t>
        </is>
      </c>
      <c r="M1376" s="401" t="n"/>
      <c r="N1376" s="395" t="inlineStr">
        <is>
          <t>Done</t>
        </is>
      </c>
      <c r="O1376" s="401" t="n"/>
      <c r="P1376" s="395" t="n"/>
      <c r="Q1376" s="404" t="inlineStr">
        <is>
          <t>SCMS.BM_BAO_CAO
SCMS.BM_BAO_CAO_DINH_KY</t>
        </is>
      </c>
      <c r="R1376" s="404" t="inlineStr">
        <is>
          <t>bm.ID,
bm.MA_BAO_CAO,
bm.LOAI_BAO_CAO,
bm.TEN_BAO_CAO,
bm.SU_DUNG,
bdk.BM_BAO_CAO_ID,
bdk.KY_BAO_CAO,
bdk.SU_DUNG</t>
        </is>
      </c>
      <c r="S1376" s="395" t="n"/>
      <c r="T1376"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376" s="386" t="n"/>
      <c r="V1376" s="395" t="n"/>
      <c r="W1376" s="395" t="n"/>
      <c r="X1376" s="395" t="n"/>
      <c r="Y1376" s="395" t="n"/>
      <c r="Z1376" s="395" t="n"/>
      <c r="AA1376" s="395" t="n"/>
      <c r="AB1376" s="395" t="n"/>
      <c r="AC1376" s="395" t="n"/>
      <c r="AD1376" s="395" t="n"/>
      <c r="AE1376" s="395" t="n"/>
    </row>
    <row r="1377" ht="56" customHeight="1" s="380">
      <c r="A1377" s="73" t="n">
        <v>73</v>
      </c>
      <c r="B1377" s="386" t="n"/>
      <c r="C1377" s="386" t="inlineStr">
        <is>
          <t>Báo cáo theo Thông tư 121/2020/TT-BTC &gt;&gt; Tiền gửi giao dịch chứng khoán của nhà đầu tư - II.5.1</t>
        </is>
      </c>
      <c r="D1377" s="106" t="inlineStr">
        <is>
          <t>Kỳ báo cáo</t>
        </is>
      </c>
      <c r="E1377" s="107" t="inlineStr">
        <is>
          <t>Kỳ báo cáo</t>
        </is>
      </c>
      <c r="F1377" s="390" t="inlineStr">
        <is>
          <t>Data Explorer</t>
        </is>
      </c>
      <c r="G1377" s="390" t="inlineStr">
        <is>
          <t>Chiều</t>
        </is>
      </c>
      <c r="H1377" s="390" t="inlineStr">
        <is>
          <t>Dễ</t>
        </is>
      </c>
      <c r="I1377" s="390" t="inlineStr">
        <is>
          <t>Ngày, CTCK</t>
        </is>
      </c>
      <c r="J1377" s="401" t="inlineStr">
        <is>
          <t>SCMS</t>
        </is>
      </c>
      <c r="K1377" s="401" t="inlineStr">
        <is>
          <t>X</t>
        </is>
      </c>
      <c r="L1377" s="395" t="inlineStr">
        <is>
          <t>X</t>
        </is>
      </c>
      <c r="M1377" s="401" t="n"/>
      <c r="N1377" s="395" t="inlineStr">
        <is>
          <t>Done</t>
        </is>
      </c>
      <c r="O1377" s="401" t="n"/>
      <c r="P1377" s="395" t="n"/>
      <c r="S1377" s="395" t="n"/>
      <c r="U1377" s="386" t="n"/>
      <c r="V1377" s="395" t="n"/>
      <c r="W1377" s="395" t="n"/>
      <c r="X1377" s="395" t="n"/>
      <c r="Y1377" s="395" t="n"/>
      <c r="Z1377" s="395" t="n"/>
      <c r="AA1377" s="395" t="n"/>
      <c r="AB1377" s="395" t="n"/>
      <c r="AC1377" s="395" t="n"/>
      <c r="AD1377" s="395" t="n"/>
      <c r="AE1377" s="395" t="n"/>
    </row>
    <row r="1378" ht="56" customHeight="1" s="380">
      <c r="A1378" s="73" t="n">
        <v>73</v>
      </c>
      <c r="B1378" s="386" t="n"/>
      <c r="C1378" s="386" t="inlineStr">
        <is>
          <t>Báo cáo theo Thông tư 121/2020/TT-BTC &gt;&gt; Tiền gửi giao dịch chứng khoán của nhà đầu tư - II.5.1</t>
        </is>
      </c>
      <c r="D1378" s="106" t="inlineStr">
        <is>
          <t>Mã báo cáo</t>
        </is>
      </c>
      <c r="E1378" s="107" t="inlineStr">
        <is>
          <t>Mã báo cáo</t>
        </is>
      </c>
      <c r="F1378" s="390" t="inlineStr">
        <is>
          <t>Data Explorer</t>
        </is>
      </c>
      <c r="G1378" s="390" t="inlineStr">
        <is>
          <t>Chiều</t>
        </is>
      </c>
      <c r="H1378" s="390" t="inlineStr">
        <is>
          <t>Dễ</t>
        </is>
      </c>
      <c r="I1378" s="390" t="inlineStr">
        <is>
          <t>Ngày, CTCK</t>
        </is>
      </c>
      <c r="J1378" s="401" t="inlineStr">
        <is>
          <t>SCMS</t>
        </is>
      </c>
      <c r="K1378" s="401" t="inlineStr">
        <is>
          <t>X</t>
        </is>
      </c>
      <c r="L1378" s="395" t="inlineStr">
        <is>
          <t>X</t>
        </is>
      </c>
      <c r="M1378" s="401" t="n"/>
      <c r="N1378" s="395" t="inlineStr">
        <is>
          <t>Done</t>
        </is>
      </c>
      <c r="O1378" s="401" t="n"/>
      <c r="P1378" s="395" t="n"/>
      <c r="S1378" s="395" t="n"/>
      <c r="U1378" s="386" t="n"/>
      <c r="V1378" s="395" t="n"/>
      <c r="W1378" s="395" t="n"/>
      <c r="X1378" s="395" t="n"/>
      <c r="Y1378" s="395" t="n"/>
      <c r="Z1378" s="395" t="n"/>
      <c r="AA1378" s="395" t="n"/>
      <c r="AB1378" s="395" t="n"/>
      <c r="AC1378" s="395" t="n"/>
      <c r="AD1378" s="395" t="n"/>
      <c r="AE1378" s="395" t="n"/>
    </row>
    <row r="1379" ht="56" customHeight="1" s="380">
      <c r="A1379" s="73" t="n">
        <v>73</v>
      </c>
      <c r="B1379" s="386" t="n"/>
      <c r="C1379" s="386" t="inlineStr">
        <is>
          <t>Báo cáo theo Thông tư 121/2020/TT-BTC &gt;&gt; Tiền gửi giao dịch chứng khoán của nhà đầu tư - II.5.1</t>
        </is>
      </c>
      <c r="D1379" s="106" t="inlineStr">
        <is>
          <t>Tên báo cáo</t>
        </is>
      </c>
      <c r="E1379" s="107" t="inlineStr">
        <is>
          <t>Tên báo cáo</t>
        </is>
      </c>
      <c r="F1379" s="390" t="inlineStr">
        <is>
          <t>Data Explorer</t>
        </is>
      </c>
      <c r="G1379" s="390" t="inlineStr">
        <is>
          <t>Chiều</t>
        </is>
      </c>
      <c r="H1379" s="390" t="inlineStr">
        <is>
          <t>Dễ</t>
        </is>
      </c>
      <c r="I1379" s="390" t="inlineStr">
        <is>
          <t>Ngày, CTCK</t>
        </is>
      </c>
      <c r="J1379" s="401" t="inlineStr">
        <is>
          <t>SCMS</t>
        </is>
      </c>
      <c r="K1379" s="401" t="inlineStr">
        <is>
          <t>X</t>
        </is>
      </c>
      <c r="L1379" s="395" t="inlineStr">
        <is>
          <t>X</t>
        </is>
      </c>
      <c r="M1379" s="401" t="n"/>
      <c r="N1379" s="395" t="inlineStr">
        <is>
          <t>Done</t>
        </is>
      </c>
      <c r="O1379" s="401" t="n"/>
      <c r="P1379" s="395" t="n"/>
      <c r="S1379" s="395" t="n"/>
      <c r="U1379" s="386" t="n"/>
      <c r="V1379" s="395" t="n"/>
      <c r="W1379" s="395" t="n"/>
      <c r="X1379" s="395" t="n"/>
      <c r="Y1379" s="395" t="n"/>
      <c r="Z1379" s="395" t="n"/>
      <c r="AA1379" s="395" t="n"/>
      <c r="AB1379" s="395" t="n"/>
      <c r="AC1379" s="395" t="n"/>
      <c r="AD1379" s="395" t="n"/>
      <c r="AE1379" s="395" t="n"/>
    </row>
    <row r="1380" ht="56" customHeight="1" s="380">
      <c r="A1380" s="73" t="n">
        <v>73</v>
      </c>
      <c r="B1380" s="386" t="n"/>
      <c r="C1380" s="386" t="inlineStr">
        <is>
          <t>Báo cáo theo Thông tư 121/2020/TT-BTC &gt;&gt; Tiền gửi giao dịch chứng khoán của nhà đầu tư - II.5.1</t>
        </is>
      </c>
      <c r="D1380" s="106" t="inlineStr">
        <is>
          <t>Mã sheet</t>
        </is>
      </c>
      <c r="E1380" s="106" t="inlineStr">
        <is>
          <t>Mã sheet</t>
        </is>
      </c>
      <c r="F1380" s="390" t="inlineStr">
        <is>
          <t>Data Explorer</t>
        </is>
      </c>
      <c r="G1380" s="390" t="inlineStr">
        <is>
          <t>Chiều</t>
        </is>
      </c>
      <c r="H1380" s="390" t="inlineStr">
        <is>
          <t>Dễ</t>
        </is>
      </c>
      <c r="I1380" s="390" t="inlineStr">
        <is>
          <t>Ngày, CTCK</t>
        </is>
      </c>
      <c r="J1380" s="401" t="inlineStr">
        <is>
          <t>SCMS</t>
        </is>
      </c>
      <c r="K1380" s="401" t="inlineStr">
        <is>
          <t>X</t>
        </is>
      </c>
      <c r="L1380" s="395" t="inlineStr">
        <is>
          <t>X</t>
        </is>
      </c>
      <c r="M1380" s="401" t="n"/>
      <c r="N1380" s="395" t="inlineStr">
        <is>
          <t>Done</t>
        </is>
      </c>
      <c r="O1380" s="401" t="n"/>
      <c r="P1380" s="395" t="n"/>
      <c r="Q1380" s="401" t="inlineStr">
        <is>
          <t>SCMS.BM_BAO_CAO
SCMS.BM_SHEET</t>
        </is>
      </c>
      <c r="R1380" s="401" t="inlineStr">
        <is>
          <t>bm.ID,
bm.MA_BAO_CAO,
bm.SU_DUNG,
s.BM_BAO_CAO_ID,
s.MA_SHEET,
s.TEN_SHEET,
s.SAP_XEP</t>
        </is>
      </c>
      <c r="S1380" s="395" t="n"/>
      <c r="T1380" s="384" t="inlineStr">
        <is>
          <t>-- Mã sheet / Tên sheet
-- TEN_SHEET: THNS
SELECT bm.MA_BAO_CAO,
s.MA_SHEET,
s.TEN_SHEET
FROM SCMS.BM_BAO_CAO bm
JOIN SCMS.BM_SHEET s ON s.BM_BAO_CAO_ID = bm.ID
WHERE bm.MA_BAO_CAO LIKE 'BCTHHDKD%'
AND s.TEN_SHEET = 'TGGDCKNĐT'  -- Check lại
AND bm.SU_DUNG = 1
ORDER BY bm.MA_BAO_CAO, s.SAP_XEP;</t>
        </is>
      </c>
      <c r="U1380" s="386" t="n"/>
      <c r="V1380" s="395" t="n"/>
      <c r="W1380" s="395" t="n"/>
      <c r="X1380" s="395" t="n"/>
      <c r="Y1380" s="395" t="n"/>
      <c r="Z1380" s="395" t="n"/>
      <c r="AA1380" s="395" t="n"/>
      <c r="AB1380" s="395" t="n"/>
      <c r="AC1380" s="395" t="n"/>
      <c r="AD1380" s="395" t="n"/>
      <c r="AE1380" s="395" t="n"/>
    </row>
    <row r="1381" ht="56" customHeight="1" s="380">
      <c r="A1381" s="73" t="n">
        <v>73</v>
      </c>
      <c r="B1381" s="386" t="n"/>
      <c r="C1381" s="386" t="inlineStr">
        <is>
          <t>Báo cáo theo Thông tư 121/2020/TT-BTC &gt;&gt; Tiền gửi giao dịch chứng khoán của nhà đầu tư - II.5.1</t>
        </is>
      </c>
      <c r="D1381" s="106" t="inlineStr">
        <is>
          <t>Tên sheet</t>
        </is>
      </c>
      <c r="E1381" s="106" t="inlineStr">
        <is>
          <t>Tên sheet</t>
        </is>
      </c>
      <c r="F1381" s="390" t="inlineStr">
        <is>
          <t>Data Explorer</t>
        </is>
      </c>
      <c r="G1381" s="390" t="inlineStr">
        <is>
          <t>Chiều</t>
        </is>
      </c>
      <c r="H1381" s="390" t="inlineStr">
        <is>
          <t>Dễ</t>
        </is>
      </c>
      <c r="I1381" s="390" t="inlineStr">
        <is>
          <t>Ngày, CTCK</t>
        </is>
      </c>
      <c r="J1381" s="401" t="inlineStr">
        <is>
          <t>SCMS</t>
        </is>
      </c>
      <c r="K1381" s="401" t="inlineStr">
        <is>
          <t>X</t>
        </is>
      </c>
      <c r="L1381" s="395" t="inlineStr">
        <is>
          <t>X</t>
        </is>
      </c>
      <c r="M1381" s="401" t="n"/>
      <c r="N1381" s="395" t="inlineStr">
        <is>
          <t>Done</t>
        </is>
      </c>
      <c r="O1381" s="401" t="n"/>
      <c r="P1381" s="395" t="n"/>
      <c r="S1381" s="395" t="n"/>
      <c r="U1381" s="386" t="n"/>
      <c r="V1381" s="395" t="n"/>
      <c r="W1381" s="395" t="n"/>
      <c r="X1381" s="395" t="n"/>
      <c r="Y1381" s="395" t="n"/>
      <c r="Z1381" s="395" t="n"/>
      <c r="AA1381" s="395" t="n"/>
      <c r="AB1381" s="395" t="n"/>
      <c r="AC1381" s="395" t="n"/>
      <c r="AD1381" s="395" t="n"/>
      <c r="AE1381" s="395" t="n"/>
    </row>
    <row r="1382" ht="56" customHeight="1" s="380">
      <c r="A1382" s="73" t="n">
        <v>73</v>
      </c>
      <c r="B1382" s="386" t="n"/>
      <c r="C1382" s="386" t="inlineStr">
        <is>
          <t>Báo cáo theo Thông tư 121/2020/TT-BTC &gt;&gt; Tiền gửi giao dịch chứng khoán của nhà đầu tư - II.5.1</t>
        </is>
      </c>
      <c r="D1382" s="106" t="inlineStr">
        <is>
          <t>Mã chỉ tiêu</t>
        </is>
      </c>
      <c r="E1382" s="107" t="inlineStr">
        <is>
          <t>Mã chỉ tiêu</t>
        </is>
      </c>
      <c r="F1382" s="390" t="inlineStr">
        <is>
          <t>Data Explorer</t>
        </is>
      </c>
      <c r="G1382" s="390" t="inlineStr">
        <is>
          <t>Chiều</t>
        </is>
      </c>
      <c r="H1382" s="390" t="inlineStr">
        <is>
          <t>Dễ</t>
        </is>
      </c>
      <c r="I1382" s="390" t="inlineStr">
        <is>
          <t>Ngày, CTCK</t>
        </is>
      </c>
      <c r="J1382" s="401" t="inlineStr">
        <is>
          <t>SCMS</t>
        </is>
      </c>
      <c r="K1382" s="401" t="inlineStr">
        <is>
          <t>X</t>
        </is>
      </c>
      <c r="L1382" s="395" t="inlineStr">
        <is>
          <t>X</t>
        </is>
      </c>
      <c r="M1382" s="401" t="n"/>
      <c r="N1382" s="395" t="inlineStr">
        <is>
          <t>Done</t>
        </is>
      </c>
      <c r="O1382" s="401" t="n"/>
      <c r="P1382" s="395" t="n"/>
      <c r="Q1382" s="401" t="inlineStr">
        <is>
          <t>SCMS.BM_BAO_CAO
SCMS.BM_SHEET
SCMS.BM_BAO_CAO_CT
SCMS.DM_CHI_TIEU</t>
        </is>
      </c>
      <c r="R1382" s="402" t="inlineStr">
        <is>
          <t>dct.ID,
dct.MA_CHI_TIEU,
dct.TEN_CHI_TIEU,
dct.SU_DUNG,
s.BM_BAO_CAO_ID,
s.MA_SHEET,
ct.BM_BAO_CAO_ID,
ct.DM_CHI_TIEU_ID,
ct.SU_DUNG,
bm.ID,
bm.MA_BAO_CAO,
bm.SU_DUNG</t>
        </is>
      </c>
      <c r="S1382" s="395" t="n"/>
      <c r="T1382" s="384" t="inlineStr">
        <is>
          <t>-- Mã chỉ tiêu / Tên chỉ tiêu
SELECT DISTINCT
    dct.MA_CHI_TIEU  AS ma_chi_tieu,
    dct.TEN_CHI_TIEU AS ten_chi_tieu
FROM SCMS.BM_BAO_CAO bm
JOIN SCMS.BM_SHEET s ON s.BM_BAO_CAO_ID = bm.ID
	AND s.TEN_SHEET = 'TGGDCKNĐT'
JOIN SCMS.BM_BAO_CAO_CT ct ON ct.BM_SHEET_ID = s.ID
	AND ct.SU_DUNG = 1
JOIN SCMS.DM_CHI_TIEU dct ON dct.ID = ct.DM_CHI_TIEU_ID
	AND dct.SU_DUNG = 1
WHERE bm.MA_BAO_CAO LIKE 'BCTHHDKD%'
	AND bm.SU_DUNG = 1
ORDER BY dct.MA_CHI_TIEU;</t>
        </is>
      </c>
      <c r="U1382" s="386" t="n"/>
      <c r="V1382" s="395" t="n"/>
      <c r="W1382" s="395" t="n"/>
      <c r="X1382" s="395" t="n"/>
      <c r="Y1382" s="36" t="n"/>
      <c r="Z1382" s="395" t="n"/>
      <c r="AA1382" s="395" t="n"/>
      <c r="AB1382" s="395" t="n"/>
      <c r="AC1382" s="395" t="n"/>
      <c r="AD1382" s="395" t="n"/>
      <c r="AE1382" s="395" t="n"/>
    </row>
    <row r="1383" ht="56" customHeight="1" s="380">
      <c r="A1383" s="73" t="n">
        <v>73</v>
      </c>
      <c r="B1383" s="386" t="n"/>
      <c r="C1383" s="386" t="inlineStr">
        <is>
          <t>Báo cáo theo Thông tư 121/2020/TT-BTC &gt;&gt; Tiền gửi giao dịch chứng khoán của nhà đầu tư - II.5.1</t>
        </is>
      </c>
      <c r="D1383" s="106" t="inlineStr">
        <is>
          <t>Tên chỉ tiêu</t>
        </is>
      </c>
      <c r="E1383" s="107" t="inlineStr">
        <is>
          <t>Tên chỉ tiêu</t>
        </is>
      </c>
      <c r="F1383" s="390" t="inlineStr">
        <is>
          <t>Data Explorer</t>
        </is>
      </c>
      <c r="G1383" s="390" t="inlineStr">
        <is>
          <t>Chiều</t>
        </is>
      </c>
      <c r="H1383" s="390" t="inlineStr">
        <is>
          <t>Dễ</t>
        </is>
      </c>
      <c r="I1383" s="390" t="inlineStr">
        <is>
          <t>Ngày, CTCK</t>
        </is>
      </c>
      <c r="J1383" s="401" t="inlineStr">
        <is>
          <t>SCMS</t>
        </is>
      </c>
      <c r="K1383" s="401" t="inlineStr">
        <is>
          <t>X</t>
        </is>
      </c>
      <c r="L1383" s="395" t="inlineStr">
        <is>
          <t>X</t>
        </is>
      </c>
      <c r="M1383" s="401" t="n"/>
      <c r="N1383" s="395" t="inlineStr">
        <is>
          <t>Done</t>
        </is>
      </c>
      <c r="O1383" s="401" t="n"/>
      <c r="P1383" s="395" t="n"/>
      <c r="S1383" s="395" t="n"/>
      <c r="U1383" s="386" t="n"/>
      <c r="V1383" s="395" t="n"/>
      <c r="W1383" s="395" t="n"/>
      <c r="X1383" s="395" t="n"/>
      <c r="Y1383" s="36" t="n"/>
      <c r="Z1383" s="395" t="n"/>
      <c r="AA1383" s="395" t="n"/>
      <c r="AB1383" s="395" t="n"/>
      <c r="AC1383" s="395" t="n"/>
      <c r="AD1383" s="395" t="n"/>
      <c r="AE1383" s="395" t="n"/>
    </row>
    <row r="1384" ht="56" customHeight="1" s="380">
      <c r="A1384" s="73" t="n">
        <v>73</v>
      </c>
      <c r="B1384" s="386" t="n"/>
      <c r="C1384" s="386" t="inlineStr">
        <is>
          <t>Báo cáo theo Thông tư 121/2020/TT-BTC &gt;&gt; Tiền gửi giao dịch chứng khoán của nhà đầu tư - II.5.1</t>
        </is>
      </c>
      <c r="D1384" s="386" t="inlineStr">
        <is>
          <t>Tên công ty chứng khoán</t>
        </is>
      </c>
      <c r="E1384" s="386" t="inlineStr">
        <is>
          <t>Tên công ty chứng khoán</t>
        </is>
      </c>
      <c r="F1384" s="386" t="inlineStr">
        <is>
          <t>Data Explorer</t>
        </is>
      </c>
      <c r="G1384" s="386" t="inlineStr">
        <is>
          <t>Chỉ tiêu cơ sở</t>
        </is>
      </c>
      <c r="H1384" s="386" t="inlineStr">
        <is>
          <t>Dễ</t>
        </is>
      </c>
      <c r="I1384" s="386" t="inlineStr">
        <is>
          <t>Ngày, CTCK</t>
        </is>
      </c>
      <c r="J1384" s="395" t="inlineStr">
        <is>
          <t>SCMS</t>
        </is>
      </c>
      <c r="K1384" s="395" t="n"/>
      <c r="L1384" s="395" t="inlineStr">
        <is>
          <t>X</t>
        </is>
      </c>
      <c r="M1384" s="395" t="n"/>
      <c r="N1384" s="395" t="inlineStr">
        <is>
          <t>Done</t>
        </is>
      </c>
      <c r="O1384" s="401" t="n"/>
      <c r="P1384" s="395" t="n"/>
      <c r="Q1384" s="427" t="inlineStr">
        <is>
          <t>SCMS.BC_THANH_VIEN
SCMS.BM_BAO_CAO
SCMS.BC_BAO_CAO_GT
SCMS.BM_BAO_CAO_HANG
SCMS.BM_BAO_CAO_COT
SCMS.CTCK_THONG_TIN</t>
        </is>
      </c>
      <c r="R1384" s="427" t="inlineStr">
        <is>
          <t>btv.ID,
btv.NGAY_SO_LIEU,
btv.BM_BAO_CAO_ID,
btv.CTCK_THONG_TIN_ID,
btv.TRANG_THAI,
c.CTCK_THONG_TIN_ID,
c.TEN_VIET_TAT,
c.SAN_NIEM_YET,
c.MA_CHUNG_KHOAN,
c.GIAY_PHEP_KINH_DOANH,
c.NGAY_CAP_GPKD,
bsh.ID,
bsh.MA_HANG,
bsc.TEN_COT,
bsc.BM_SHEET_ID,
gt.BC_THANH_VIEN_ID,
gt.BM_SHEET_HANG_ID,
gt.GIA_TRI,
bm.ID,
bm.MA_BAO_CAO</t>
        </is>
      </c>
      <c r="S1384" s="395" t="n"/>
      <c r="T1384"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 Ngân hàng A (MA_HANG=1)
    MAX(CASE WHEN bsh.MA_HANG='1' AND bsc.TEN_COT=N'Ngân hàng nhận tiền gửi' THEN CAST(gt.GIA_TRI AS VARCHAR2(4000)) END) AS "Ngân hàng A_Ngân hàng nhận tiền gửi",   -- Check lại xem có lưu giá trị Tên ngân hàng, Số tài khoản không?
    MAX(CASE WHEN bsh.MA_HANG='1' AND bsc.TEN_COT=N'Số dư trên tài khoản(triệu đồng)' THEN CAST(gt.GIA_TRI AS VARCHAR2(4000)) END) AS "Ngân hàng A_Số dư trên tài khoản",
    MAX(CASE WHEN bsh.MA_HANG='1' AND bsc.TEN_COT=N'Ghi chú' THEN CAST(gt.GIA_TRI AS VARCHAR2(4000)) END) AS "Ngân hàng A_Ghi chú",
    -- Ngân hàng B (MA_HANG=2)
    MAX(CASE WHEN bsh.MA_HANG='2' AND bsc.TEN_COT=N'Ngân hàng nhận tiền gửi' THEN CAST(gt.GIA_TRI AS VARCHAR2(4000)) END) AS "Ngân hàng B_Ngân hàng nhận tiền gửi",   -- Check lại xem có lưu giá trị Tên ngân hàng, Số tài khoản không?
    MAX(CASE WHEN bsh.MA_HANG='2' AND bsc.TEN_COT=N'Số dư trên tài khoản(triệu đồng)' THEN CAST(gt.GIA_TRI AS VARCHAR2(4000)) END) AS "Ngân hàng B_Số dư trên tài khoản",
    MAX(CASE WHEN bsh.MA_HANG='2' AND bsc.TEN_COT=N'Ghi chú' THEN CAST(gt.GIA_TRI AS VARCHAR2(4000)) END) AS "Ngân hàng B_Ghi chú"
FROM SCMS.BC_THANH_VIEN btv
JOIN SCMS.BM_BAO_CAO bm ON bm.ID = btv.BM_BAO_CAO_ID
JOIN SCMS.BC_BAO_CAO_GT gt ON gt.BC_THANH_VIEN_ID = btv.ID
JOIN SCMS.BM_BAO_CAO_HANG bsh ON bsh.ID = gt.BM_SHEET_HANG_ID
JOIN SCMS.BM_BAO_CAO_COT bsc ON bsc.BM_SHEET_ID = 7429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is>
      </c>
      <c r="U1384" s="386" t="n"/>
      <c r="V1384" s="395" t="n"/>
      <c r="W1384" s="395" t="n"/>
      <c r="X1384" s="395" t="n"/>
      <c r="Y1384" s="395" t="n"/>
      <c r="Z1384" s="395" t="n"/>
      <c r="AA1384" s="395" t="n"/>
      <c r="AB1384" s="395" t="n"/>
      <c r="AC1384" s="395" t="n"/>
      <c r="AD1384" s="395" t="n"/>
      <c r="AE1384" s="395" t="n"/>
    </row>
    <row r="1385" ht="56" customHeight="1" s="380">
      <c r="A1385" s="73" t="n">
        <v>73</v>
      </c>
      <c r="B1385" s="386" t="n"/>
      <c r="C1385" s="386" t="inlineStr">
        <is>
          <t>Báo cáo theo Thông tư 121/2020/TT-BTC &gt;&gt; Tiền gửi giao dịch chứng khoán của nhà đầu tư - II.5.1</t>
        </is>
      </c>
      <c r="D1385" s="386" t="inlineStr">
        <is>
          <t>Sàn giao dịch</t>
        </is>
      </c>
      <c r="E1385" s="386" t="inlineStr">
        <is>
          <t>Sàn giao dịch</t>
        </is>
      </c>
      <c r="F1385" s="386" t="inlineStr">
        <is>
          <t>Data Explorer</t>
        </is>
      </c>
      <c r="G1385" s="386" t="inlineStr">
        <is>
          <t>Chỉ tiêu cơ sở</t>
        </is>
      </c>
      <c r="H1385" s="386" t="inlineStr">
        <is>
          <t>Dễ</t>
        </is>
      </c>
      <c r="I1385" s="386" t="inlineStr">
        <is>
          <t>Ngày, CTCK</t>
        </is>
      </c>
      <c r="J1385" s="395" t="inlineStr">
        <is>
          <t>SCMS</t>
        </is>
      </c>
      <c r="K1385" s="395" t="n"/>
      <c r="L1385" s="395" t="inlineStr">
        <is>
          <t>X</t>
        </is>
      </c>
      <c r="M1385" s="395" t="n"/>
      <c r="N1385" s="395" t="inlineStr">
        <is>
          <t>Done</t>
        </is>
      </c>
      <c r="O1385" s="401" t="n"/>
      <c r="P1385" s="395" t="n"/>
      <c r="S1385" s="395" t="n"/>
      <c r="U1385" s="386" t="n"/>
      <c r="V1385" s="395" t="n"/>
      <c r="W1385" s="395" t="n"/>
      <c r="X1385" s="395" t="n"/>
      <c r="Y1385" s="395" t="n"/>
      <c r="Z1385" s="395" t="n"/>
      <c r="AA1385" s="395" t="n"/>
      <c r="AB1385" s="395" t="n"/>
      <c r="AC1385" s="395" t="n"/>
      <c r="AD1385" s="395" t="n"/>
      <c r="AE1385" s="395" t="n"/>
    </row>
    <row r="1386" ht="56" customHeight="1" s="380">
      <c r="A1386" s="73" t="n">
        <v>73</v>
      </c>
      <c r="B1386" s="386" t="n"/>
      <c r="C1386" s="386" t="inlineStr">
        <is>
          <t>Báo cáo theo Thông tư 121/2020/TT-BTC &gt;&gt; Tiền gửi giao dịch chứng khoán của nhà đầu tư - II.5.1</t>
        </is>
      </c>
      <c r="D1386" s="386" t="inlineStr">
        <is>
          <t>Mã chứng khoán</t>
        </is>
      </c>
      <c r="E1386" s="386" t="inlineStr">
        <is>
          <t>Mã chứng khoán</t>
        </is>
      </c>
      <c r="F1386" s="386" t="inlineStr">
        <is>
          <t>Data Explorer</t>
        </is>
      </c>
      <c r="G1386" s="386" t="inlineStr">
        <is>
          <t>Chỉ tiêu cơ sở</t>
        </is>
      </c>
      <c r="H1386" s="386" t="inlineStr">
        <is>
          <t>Dễ</t>
        </is>
      </c>
      <c r="I1386" s="386" t="inlineStr">
        <is>
          <t>Ngày, CTCK</t>
        </is>
      </c>
      <c r="J1386" s="395" t="inlineStr">
        <is>
          <t>SCMS</t>
        </is>
      </c>
      <c r="K1386" s="395" t="n"/>
      <c r="L1386" s="395" t="inlineStr">
        <is>
          <t>X</t>
        </is>
      </c>
      <c r="M1386" s="395" t="n"/>
      <c r="N1386" s="395" t="inlineStr">
        <is>
          <t>Done</t>
        </is>
      </c>
      <c r="O1386" s="401" t="n"/>
      <c r="P1386" s="395" t="n"/>
      <c r="S1386" s="395" t="n"/>
      <c r="U1386" s="386" t="n"/>
      <c r="V1386" s="395" t="n"/>
      <c r="W1386" s="395" t="n"/>
      <c r="X1386" s="395" t="n"/>
      <c r="Y1386" s="395" t="n"/>
      <c r="Z1386" s="395" t="n"/>
      <c r="AA1386" s="395" t="n"/>
      <c r="AB1386" s="395" t="n"/>
      <c r="AC1386" s="395" t="n"/>
      <c r="AD1386" s="395" t="n"/>
      <c r="AE1386" s="395" t="n"/>
    </row>
    <row r="1387" ht="56" customHeight="1" s="380">
      <c r="A1387" s="73" t="n">
        <v>73</v>
      </c>
      <c r="B1387" s="386" t="n"/>
      <c r="C1387" s="386" t="inlineStr">
        <is>
          <t>Báo cáo theo Thông tư 121/2020/TT-BTC &gt;&gt; Tiền gửi giao dịch chứng khoán của nhà đầu tư - II.5.1</t>
        </is>
      </c>
      <c r="D1387" s="386" t="inlineStr">
        <is>
          <t>Giấy phép hoạt động &gt;&gt; Số</t>
        </is>
      </c>
      <c r="E1387" s="386" t="inlineStr">
        <is>
          <t>Giấy phép hoạt động &gt;&gt; Số</t>
        </is>
      </c>
      <c r="F1387" s="386" t="inlineStr">
        <is>
          <t>Data Explorer</t>
        </is>
      </c>
      <c r="G1387" s="386" t="inlineStr">
        <is>
          <t>Chỉ tiêu cơ sở</t>
        </is>
      </c>
      <c r="H1387" s="386" t="inlineStr">
        <is>
          <t>Dễ</t>
        </is>
      </c>
      <c r="I1387" s="386" t="inlineStr">
        <is>
          <t>Ngày, CTCK</t>
        </is>
      </c>
      <c r="J1387" s="395" t="inlineStr">
        <is>
          <t>SCMS</t>
        </is>
      </c>
      <c r="K1387" s="395" t="n"/>
      <c r="L1387" s="395" t="inlineStr">
        <is>
          <t>X</t>
        </is>
      </c>
      <c r="M1387" s="395" t="n"/>
      <c r="N1387" s="395" t="inlineStr">
        <is>
          <t>Done</t>
        </is>
      </c>
      <c r="O1387" s="401" t="n"/>
      <c r="P1387" s="395" t="n"/>
      <c r="S1387" s="395" t="n"/>
      <c r="U1387" s="386" t="n"/>
      <c r="V1387" s="395" t="n"/>
      <c r="W1387" s="395" t="n"/>
      <c r="X1387" s="395" t="n"/>
      <c r="Y1387" s="395" t="n"/>
      <c r="Z1387" s="395" t="n"/>
      <c r="AA1387" s="395" t="n"/>
      <c r="AB1387" s="395" t="n"/>
      <c r="AC1387" s="395" t="n"/>
      <c r="AD1387" s="395" t="n"/>
      <c r="AE1387" s="395" t="n"/>
    </row>
    <row r="1388" ht="56" customHeight="1" s="380">
      <c r="A1388" s="73" t="n">
        <v>73</v>
      </c>
      <c r="B1388" s="386" t="n"/>
      <c r="C1388" s="386" t="inlineStr">
        <is>
          <t>Báo cáo theo Thông tư 121/2020/TT-BTC &gt;&gt; Tiền gửi giao dịch chứng khoán của nhà đầu tư - II.5.1</t>
        </is>
      </c>
      <c r="D1388" s="386" t="inlineStr">
        <is>
          <t>Giấy phép hoạt động &gt;&gt; Ngày cấp</t>
        </is>
      </c>
      <c r="E1388" s="386" t="inlineStr">
        <is>
          <t>Giấy phép hoạt động &gt;&gt; Ngày cấp</t>
        </is>
      </c>
      <c r="F1388" s="386" t="inlineStr">
        <is>
          <t>Data Explorer</t>
        </is>
      </c>
      <c r="G1388" s="386" t="inlineStr">
        <is>
          <t>Chỉ tiêu cơ sở</t>
        </is>
      </c>
      <c r="H1388" s="386" t="inlineStr">
        <is>
          <t>Dễ</t>
        </is>
      </c>
      <c r="I1388" s="386" t="inlineStr">
        <is>
          <t>Ngày, CTCK</t>
        </is>
      </c>
      <c r="J1388" s="395" t="inlineStr">
        <is>
          <t>SCMS</t>
        </is>
      </c>
      <c r="K1388" s="395" t="n"/>
      <c r="L1388" s="395" t="inlineStr">
        <is>
          <t>X</t>
        </is>
      </c>
      <c r="M1388" s="395" t="n"/>
      <c r="N1388" s="395" t="inlineStr">
        <is>
          <t>Done</t>
        </is>
      </c>
      <c r="O1388" s="401" t="n"/>
      <c r="P1388" s="395" t="n"/>
      <c r="S1388" s="395" t="n"/>
      <c r="U1388" s="386" t="n"/>
      <c r="V1388" s="395" t="n"/>
      <c r="W1388" s="395" t="n"/>
      <c r="X1388" s="395" t="n"/>
      <c r="Y1388" s="37" t="n"/>
      <c r="Z1388" s="395" t="n"/>
      <c r="AA1388" s="395" t="n"/>
      <c r="AB1388" s="395" t="n"/>
      <c r="AC1388" s="395" t="n"/>
      <c r="AD1388" s="395" t="n"/>
      <c r="AE1388" s="395" t="n"/>
    </row>
    <row r="1389" ht="56" customHeight="1" s="380">
      <c r="A1389" s="73" t="n">
        <v>73</v>
      </c>
      <c r="B1389" s="386" t="n"/>
      <c r="C1389" s="386" t="inlineStr">
        <is>
          <t>Báo cáo theo Thông tư 121/2020/TT-BTC &gt;&gt; Tiền gửi giao dịch chứng khoán của nhà đầu tư - II.5.1</t>
        </is>
      </c>
      <c r="D1389" s="386" t="inlineStr">
        <is>
          <t>Tên ngân hàng nhận tiền gửi</t>
        </is>
      </c>
      <c r="E1389" s="395" t="inlineStr">
        <is>
          <t>Tên ngân hàng nhận tiền gửi</t>
        </is>
      </c>
      <c r="F1389" s="386" t="inlineStr">
        <is>
          <t>Data Explorer</t>
        </is>
      </c>
      <c r="G1389" s="386" t="inlineStr">
        <is>
          <t>Chỉ tiêu cơ sở</t>
        </is>
      </c>
      <c r="H1389" s="386" t="inlineStr">
        <is>
          <t>Dễ</t>
        </is>
      </c>
      <c r="I1389" s="386" t="inlineStr">
        <is>
          <t>Ngày, CTCK</t>
        </is>
      </c>
      <c r="J1389" s="395" t="inlineStr">
        <is>
          <t>SCMS</t>
        </is>
      </c>
      <c r="K1389" s="395" t="n"/>
      <c r="L1389" s="395" t="inlineStr">
        <is>
          <t>X</t>
        </is>
      </c>
      <c r="M1389" s="395" t="n"/>
      <c r="N1389" s="395" t="inlineStr">
        <is>
          <t>Done</t>
        </is>
      </c>
      <c r="O1389" s="401" t="n"/>
      <c r="P1389" s="395" t="n"/>
      <c r="S1389" s="395" t="n"/>
      <c r="U1389" s="20" t="inlineStr">
        <is>
          <t>Check với data thực tế</t>
        </is>
      </c>
      <c r="V1389" s="395" t="n"/>
      <c r="W1389" s="395" t="n"/>
      <c r="X1389" s="395" t="n"/>
      <c r="Y1389" s="395" t="n"/>
      <c r="Z1389" s="395" t="n"/>
      <c r="AA1389" s="395" t="n"/>
      <c r="AB1389" s="395" t="n"/>
      <c r="AC1389" s="395" t="n"/>
      <c r="AD1389" s="395" t="n"/>
      <c r="AE1389" s="395" t="n"/>
    </row>
    <row r="1390" ht="56" customHeight="1" s="380">
      <c r="A1390" s="73" t="n">
        <v>73</v>
      </c>
      <c r="B1390" s="386" t="n"/>
      <c r="C1390" s="386" t="inlineStr">
        <is>
          <t>Báo cáo theo Thông tư 121/2020/TT-BTC &gt;&gt; Tiền gửi giao dịch chứng khoán của nhà đầu tư - II.5.1</t>
        </is>
      </c>
      <c r="D1390" s="386" t="inlineStr">
        <is>
          <t>Số tài khoản</t>
        </is>
      </c>
      <c r="E1390" s="395" t="inlineStr">
        <is>
          <t>Số tài khoản</t>
        </is>
      </c>
      <c r="F1390" s="386" t="inlineStr">
        <is>
          <t>Data Explorer</t>
        </is>
      </c>
      <c r="G1390" s="386" t="inlineStr">
        <is>
          <t>Chỉ tiêu cơ sở</t>
        </is>
      </c>
      <c r="H1390" s="386" t="inlineStr">
        <is>
          <t>Dễ</t>
        </is>
      </c>
      <c r="I1390" s="386" t="inlineStr">
        <is>
          <t>Ngày, CTCK</t>
        </is>
      </c>
      <c r="J1390" s="395" t="inlineStr">
        <is>
          <t>SCMS</t>
        </is>
      </c>
      <c r="K1390" s="395" t="n"/>
      <c r="L1390" s="395" t="inlineStr">
        <is>
          <t>X</t>
        </is>
      </c>
      <c r="M1390" s="395" t="n"/>
      <c r="N1390" s="395" t="inlineStr">
        <is>
          <t>Done</t>
        </is>
      </c>
      <c r="O1390" s="401" t="n"/>
      <c r="P1390" s="395" t="n"/>
      <c r="S1390" s="395" t="n"/>
      <c r="U1390" s="20" t="inlineStr">
        <is>
          <t>Check với data thực tế</t>
        </is>
      </c>
      <c r="V1390" s="395" t="n"/>
      <c r="W1390" s="395" t="n"/>
      <c r="X1390" s="395" t="n"/>
      <c r="Y1390" s="13" t="n"/>
      <c r="Z1390" s="395" t="n"/>
      <c r="AA1390" s="395" t="n"/>
      <c r="AB1390" s="395" t="n"/>
      <c r="AC1390" s="395" t="n"/>
      <c r="AD1390" s="395" t="n"/>
      <c r="AE1390" s="395" t="n"/>
    </row>
    <row r="1391" ht="56" customHeight="1" s="380">
      <c r="A1391" s="73" t="n">
        <v>73</v>
      </c>
      <c r="B1391" s="386" t="n"/>
      <c r="C1391" s="386" t="inlineStr">
        <is>
          <t>Báo cáo theo Thông tư 121/2020/TT-BTC &gt;&gt; Tiền gửi giao dịch chứng khoán của nhà đầu tư - II.5.1</t>
        </is>
      </c>
      <c r="D1391" s="386" t="inlineStr">
        <is>
          <t>Số dư trên tài khoản (Triệu đồng)</t>
        </is>
      </c>
      <c r="E1391" s="395" t="inlineStr">
        <is>
          <t>Số dư trên tài khoản (Triệu đồng)</t>
        </is>
      </c>
      <c r="F1391" s="386" t="inlineStr">
        <is>
          <t>Data Explorer</t>
        </is>
      </c>
      <c r="G1391" s="386" t="inlineStr">
        <is>
          <t>Chỉ tiêu cơ sở</t>
        </is>
      </c>
      <c r="H1391" s="386" t="inlineStr">
        <is>
          <t>TB</t>
        </is>
      </c>
      <c r="I1391" s="386" t="inlineStr">
        <is>
          <t>Ngày, CTCK</t>
        </is>
      </c>
      <c r="J1391" s="395" t="inlineStr">
        <is>
          <t>SCMS</t>
        </is>
      </c>
      <c r="K1391" s="395" t="n"/>
      <c r="L1391" s="395" t="inlineStr">
        <is>
          <t>X</t>
        </is>
      </c>
      <c r="M1391" s="395" t="n"/>
      <c r="N1391" s="395" t="inlineStr">
        <is>
          <t>Done</t>
        </is>
      </c>
      <c r="O1391" s="401" t="n"/>
      <c r="P1391" s="395" t="n"/>
      <c r="S1391" s="395" t="n"/>
      <c r="U1391" s="386" t="n"/>
      <c r="V1391" s="395" t="n"/>
      <c r="W1391" s="395" t="n"/>
      <c r="X1391" s="395" t="n"/>
      <c r="Y1391" s="13" t="n"/>
      <c r="Z1391" s="395" t="n"/>
      <c r="AA1391" s="395" t="n"/>
      <c r="AB1391" s="395" t="n"/>
      <c r="AC1391" s="395" t="n"/>
      <c r="AD1391" s="395" t="n"/>
      <c r="AE1391" s="395" t="n"/>
    </row>
    <row r="1392" ht="56" customHeight="1" s="380">
      <c r="A1392" s="83" t="n">
        <v>73</v>
      </c>
      <c r="B1392" s="68" t="n"/>
      <c r="C1392" s="68" t="inlineStr">
        <is>
          <t>Báo cáo theo Thông tư 121/2020/TT-BTC &gt;&gt; Tiền gửi giao dịch chứng khoán của nhà đầu tư - II.5.1</t>
        </is>
      </c>
      <c r="D1392" s="68" t="inlineStr">
        <is>
          <t>Ghi chú</t>
        </is>
      </c>
      <c r="E1392" s="69" t="inlineStr">
        <is>
          <t>Ghi chú</t>
        </is>
      </c>
      <c r="F1392" s="68" t="inlineStr">
        <is>
          <t>Data Explorer</t>
        </is>
      </c>
      <c r="G1392" s="68" t="inlineStr">
        <is>
          <t>Chỉ tiêu cơ sở</t>
        </is>
      </c>
      <c r="H1392" s="68" t="inlineStr">
        <is>
          <t>Dễ</t>
        </is>
      </c>
      <c r="I1392" s="68" t="inlineStr">
        <is>
          <t>Ngày, CTCK</t>
        </is>
      </c>
      <c r="J1392" s="69" t="inlineStr">
        <is>
          <t>SCMS</t>
        </is>
      </c>
      <c r="K1392" s="69" t="n"/>
      <c r="L1392" s="69" t="inlineStr">
        <is>
          <t>X</t>
        </is>
      </c>
      <c r="M1392" s="69" t="n"/>
      <c r="N1392" s="69" t="inlineStr">
        <is>
          <t>Done</t>
        </is>
      </c>
      <c r="O1392" s="85" t="n"/>
      <c r="P1392" s="69" t="n"/>
      <c r="Q1392" s="426" t="n"/>
      <c r="R1392" s="426" t="n"/>
      <c r="S1392" s="69" t="n"/>
      <c r="T1392" s="426" t="n"/>
      <c r="U1392" s="68" t="n"/>
      <c r="V1392" s="69" t="n"/>
      <c r="W1392" s="69" t="n"/>
      <c r="X1392" s="69" t="n"/>
      <c r="Y1392" s="97" t="n"/>
      <c r="Z1392" s="69" t="n"/>
      <c r="AA1392" s="69" t="n"/>
      <c r="AB1392" s="69" t="n"/>
      <c r="AC1392" s="69" t="n"/>
      <c r="AD1392" s="69" t="n"/>
      <c r="AE1392" s="69" t="n"/>
    </row>
    <row r="1393" ht="56" customHeight="1" s="380">
      <c r="A1393" s="73" t="n">
        <v>74</v>
      </c>
      <c r="B1393" s="122" t="inlineStr">
        <is>
          <t>Nga</t>
        </is>
      </c>
      <c r="C1393" s="81" t="inlineStr">
        <is>
          <t>Báo cáo theo Thông tư 121/2020/TT-BTC &gt;&gt; Tiền gửi giao dịch chứng khoán của nhà đầu tư - II.5.2</t>
        </is>
      </c>
      <c r="D1393" s="106" t="inlineStr">
        <is>
          <t>Loại báo cáo</t>
        </is>
      </c>
      <c r="E1393" s="107" t="inlineStr">
        <is>
          <t>Loại báo cáo</t>
        </is>
      </c>
      <c r="F1393" s="390" t="inlineStr">
        <is>
          <t>Data Explorer</t>
        </is>
      </c>
      <c r="G1393" s="390" t="inlineStr">
        <is>
          <t>Chiều</t>
        </is>
      </c>
      <c r="H1393" s="390" t="inlineStr">
        <is>
          <t>Dễ</t>
        </is>
      </c>
      <c r="I1393" s="390" t="inlineStr">
        <is>
          <t>Ngày, CTCK</t>
        </is>
      </c>
      <c r="J1393" s="401" t="inlineStr">
        <is>
          <t>SCMS</t>
        </is>
      </c>
      <c r="K1393" s="401" t="inlineStr">
        <is>
          <t>X</t>
        </is>
      </c>
      <c r="L1393" s="395" t="inlineStr">
        <is>
          <t>X</t>
        </is>
      </c>
      <c r="M1393" s="401" t="n"/>
      <c r="N1393" s="395" t="inlineStr">
        <is>
          <t>Done</t>
        </is>
      </c>
      <c r="O1393" s="401" t="n"/>
      <c r="P1393" s="395" t="n"/>
      <c r="Q1393" s="404" t="inlineStr">
        <is>
          <t>SCMS.BM_BAO_CAO
SCMS.BM_BAO_CAO_DINH_KY</t>
        </is>
      </c>
      <c r="R1393" s="404" t="inlineStr">
        <is>
          <t>bm.ID,
bm.MA_BAO_CAO,
bm.LOAI_BAO_CAO,
bm.TEN_BAO_CAO,
bm.SU_DUNG,
bdk.BM_BAO_CAO_ID,
bdk.KY_BAO_CAO,
bdk.SU_DUNG</t>
        </is>
      </c>
      <c r="S1393" s="395" t="n"/>
      <c r="T1393"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393" s="386" t="n"/>
      <c r="V1393" s="395" t="n"/>
      <c r="W1393" s="395" t="n"/>
      <c r="X1393" s="395" t="n"/>
      <c r="Y1393" s="13" t="n"/>
      <c r="Z1393" s="395" t="n"/>
      <c r="AA1393" s="395" t="n"/>
      <c r="AB1393" s="395" t="n"/>
      <c r="AC1393" s="395" t="n"/>
      <c r="AD1393" s="395" t="n"/>
      <c r="AE1393" s="395" t="n"/>
    </row>
    <row r="1394" ht="56" customHeight="1" s="380">
      <c r="A1394" s="73" t="n">
        <v>74</v>
      </c>
      <c r="B1394" s="386" t="n"/>
      <c r="C1394" s="386" t="inlineStr">
        <is>
          <t>Báo cáo theo Thông tư 121/2020/TT-BTC &gt;&gt; Tiền gửi giao dịch chứng khoán của nhà đầu tư - II.5.2</t>
        </is>
      </c>
      <c r="D1394" s="106" t="inlineStr">
        <is>
          <t>Kỳ báo cáo</t>
        </is>
      </c>
      <c r="E1394" s="107" t="inlineStr">
        <is>
          <t>Kỳ báo cáo</t>
        </is>
      </c>
      <c r="F1394" s="390" t="inlineStr">
        <is>
          <t>Data Explorer</t>
        </is>
      </c>
      <c r="G1394" s="390" t="inlineStr">
        <is>
          <t>Chiều</t>
        </is>
      </c>
      <c r="H1394" s="390" t="inlineStr">
        <is>
          <t>Dễ</t>
        </is>
      </c>
      <c r="I1394" s="390" t="inlineStr">
        <is>
          <t>Ngày, CTCK</t>
        </is>
      </c>
      <c r="J1394" s="401" t="inlineStr">
        <is>
          <t>SCMS</t>
        </is>
      </c>
      <c r="K1394" s="401" t="inlineStr">
        <is>
          <t>X</t>
        </is>
      </c>
      <c r="L1394" s="395" t="inlineStr">
        <is>
          <t>X</t>
        </is>
      </c>
      <c r="M1394" s="401" t="n"/>
      <c r="N1394" s="395" t="inlineStr">
        <is>
          <t>Done</t>
        </is>
      </c>
      <c r="O1394" s="401" t="n"/>
      <c r="P1394" s="395" t="n"/>
      <c r="S1394" s="395" t="n"/>
      <c r="U1394" s="386" t="n"/>
      <c r="V1394" s="395" t="n"/>
      <c r="W1394" s="395" t="n"/>
      <c r="X1394" s="395" t="n"/>
      <c r="Y1394" s="13" t="n"/>
      <c r="Z1394" s="395" t="n"/>
      <c r="AA1394" s="395" t="n"/>
      <c r="AB1394" s="395" t="n"/>
      <c r="AC1394" s="395" t="n"/>
      <c r="AD1394" s="395" t="n"/>
      <c r="AE1394" s="395" t="n"/>
    </row>
    <row r="1395" ht="56" customHeight="1" s="380">
      <c r="A1395" s="73" t="n">
        <v>74</v>
      </c>
      <c r="B1395" s="386" t="n"/>
      <c r="C1395" s="386" t="inlineStr">
        <is>
          <t>Báo cáo theo Thông tư 121/2020/TT-BTC &gt;&gt; Tiền gửi giao dịch chứng khoán của nhà đầu tư - II.5.2</t>
        </is>
      </c>
      <c r="D1395" s="106" t="inlineStr">
        <is>
          <t>Mã báo cáo</t>
        </is>
      </c>
      <c r="E1395" s="107" t="inlineStr">
        <is>
          <t>Mã báo cáo</t>
        </is>
      </c>
      <c r="F1395" s="390" t="inlineStr">
        <is>
          <t>Data Explorer</t>
        </is>
      </c>
      <c r="G1395" s="390" t="inlineStr">
        <is>
          <t>Chiều</t>
        </is>
      </c>
      <c r="H1395" s="390" t="inlineStr">
        <is>
          <t>Dễ</t>
        </is>
      </c>
      <c r="I1395" s="390" t="inlineStr">
        <is>
          <t>Ngày, CTCK</t>
        </is>
      </c>
      <c r="J1395" s="401" t="inlineStr">
        <is>
          <t>SCMS</t>
        </is>
      </c>
      <c r="K1395" s="401" t="inlineStr">
        <is>
          <t>X</t>
        </is>
      </c>
      <c r="L1395" s="395" t="inlineStr">
        <is>
          <t>X</t>
        </is>
      </c>
      <c r="M1395" s="401" t="n"/>
      <c r="N1395" s="395" t="inlineStr">
        <is>
          <t>Done</t>
        </is>
      </c>
      <c r="O1395" s="401" t="n"/>
      <c r="P1395" s="395" t="n"/>
      <c r="S1395" s="395" t="n"/>
      <c r="U1395" s="386" t="n"/>
      <c r="V1395" s="395" t="n"/>
      <c r="W1395" s="395" t="n"/>
      <c r="X1395" s="395" t="n"/>
      <c r="Y1395" s="13" t="n"/>
      <c r="Z1395" s="395" t="n"/>
      <c r="AA1395" s="395" t="n"/>
      <c r="AB1395" s="395" t="n"/>
      <c r="AC1395" s="395" t="n"/>
      <c r="AD1395" s="395" t="n"/>
      <c r="AE1395" s="395" t="n"/>
    </row>
    <row r="1396" ht="56" customHeight="1" s="380">
      <c r="A1396" s="73" t="n">
        <v>74</v>
      </c>
      <c r="B1396" s="386" t="n"/>
      <c r="C1396" s="386" t="inlineStr">
        <is>
          <t>Báo cáo theo Thông tư 121/2020/TT-BTC &gt;&gt; Tiền gửi giao dịch chứng khoán của nhà đầu tư - II.5.2</t>
        </is>
      </c>
      <c r="D1396" s="106" t="inlineStr">
        <is>
          <t>Tên báo cáo</t>
        </is>
      </c>
      <c r="E1396" s="106" t="inlineStr">
        <is>
          <t>Tên báo cáo</t>
        </is>
      </c>
      <c r="F1396" s="390" t="inlineStr">
        <is>
          <t>Data Explorer</t>
        </is>
      </c>
      <c r="G1396" s="390" t="inlineStr">
        <is>
          <t>Chiều</t>
        </is>
      </c>
      <c r="H1396" s="390" t="inlineStr">
        <is>
          <t>Dễ</t>
        </is>
      </c>
      <c r="I1396" s="390" t="inlineStr">
        <is>
          <t>Ngày, CTCK</t>
        </is>
      </c>
      <c r="J1396" s="401" t="inlineStr">
        <is>
          <t>SCMS</t>
        </is>
      </c>
      <c r="K1396" s="401" t="inlineStr">
        <is>
          <t>X</t>
        </is>
      </c>
      <c r="L1396" s="395" t="inlineStr">
        <is>
          <t>X</t>
        </is>
      </c>
      <c r="M1396" s="401" t="n"/>
      <c r="N1396" s="395" t="inlineStr">
        <is>
          <t>Done</t>
        </is>
      </c>
      <c r="O1396" s="401" t="n"/>
      <c r="P1396" s="395" t="n"/>
      <c r="S1396" s="395" t="n"/>
      <c r="U1396" s="386" t="n"/>
      <c r="V1396" s="395" t="n"/>
      <c r="W1396" s="395" t="n"/>
      <c r="X1396" s="395" t="n"/>
      <c r="Y1396" s="13" t="n"/>
      <c r="Z1396" s="395" t="n"/>
      <c r="AA1396" s="395" t="n"/>
      <c r="AB1396" s="395" t="n"/>
      <c r="AC1396" s="395" t="n"/>
      <c r="AD1396" s="395" t="n"/>
      <c r="AE1396" s="395" t="n"/>
    </row>
    <row r="1397" ht="56" customHeight="1" s="380">
      <c r="A1397" s="73" t="n">
        <v>74</v>
      </c>
      <c r="B1397" s="386" t="n"/>
      <c r="C1397" s="386" t="inlineStr">
        <is>
          <t>Báo cáo theo Thông tư 121/2020/TT-BTC &gt;&gt; Tiền gửi giao dịch chứng khoán của nhà đầu tư - II.5.2</t>
        </is>
      </c>
      <c r="D1397" s="106" t="inlineStr">
        <is>
          <t>Mã sheet</t>
        </is>
      </c>
      <c r="E1397" s="106" t="inlineStr">
        <is>
          <t>Mã sheet</t>
        </is>
      </c>
      <c r="F1397" s="390" t="inlineStr">
        <is>
          <t>Data Explorer</t>
        </is>
      </c>
      <c r="G1397" s="390" t="inlineStr">
        <is>
          <t>Chiều</t>
        </is>
      </c>
      <c r="H1397" s="390" t="inlineStr">
        <is>
          <t>Dễ</t>
        </is>
      </c>
      <c r="I1397" s="390" t="inlineStr">
        <is>
          <t>Ngày, CTCK</t>
        </is>
      </c>
      <c r="J1397" s="401" t="inlineStr">
        <is>
          <t>SCMS</t>
        </is>
      </c>
      <c r="K1397" s="401" t="inlineStr">
        <is>
          <t>X</t>
        </is>
      </c>
      <c r="L1397" s="395" t="inlineStr">
        <is>
          <t>X</t>
        </is>
      </c>
      <c r="M1397" s="401" t="n"/>
      <c r="N1397" s="395" t="inlineStr">
        <is>
          <t>Done</t>
        </is>
      </c>
      <c r="O1397" s="401" t="n"/>
      <c r="P1397" s="395" t="n"/>
      <c r="Q1397" s="401" t="inlineStr">
        <is>
          <t>SCMS.BM_BAO_CAO
SCMS.BM_SHEET</t>
        </is>
      </c>
      <c r="R1397" s="401" t="inlineStr">
        <is>
          <t>bm.ID,
bm.MA_BAO_CAO,
bm.SU_DUNG,
s.BM_BAO_CAO_ID,
s.MA_SHEET,
s.TEN_SHEET,
s.SAP_XEP</t>
        </is>
      </c>
      <c r="S1397" s="395" t="n"/>
      <c r="T1397" s="384" t="inlineStr">
        <is>
          <t>-- Mã sheet / Tên sheet
-- TEN_SHEET: THNS
SELECT bm.MA_BAO_CAO,
s.MA_SHEET,
s.TEN_SHEET
FROM SCMS.BM_BAO_CAO bm
JOIN SCMS.BM_SHEET s ON s.BM_BAO_CAO_ID = bm.ID
WHERE bm.MA_BAO_CAO LIKE 'BCTHHDKD%'
AND s.TEN_SHEET = 'TGGDCKNĐT'  -- Check lại
AND bm.SU_DUNG = 1
ORDER BY bm.MA_BAO_CAO, s.SAP_XEP;</t>
        </is>
      </c>
      <c r="U1397" s="386" t="n"/>
      <c r="V1397" s="395" t="n"/>
      <c r="W1397" s="395" t="n"/>
      <c r="X1397" s="395" t="n"/>
      <c r="Y1397" s="13" t="n"/>
      <c r="Z1397" s="395" t="n"/>
      <c r="AA1397" s="395" t="n"/>
      <c r="AB1397" s="395" t="n"/>
      <c r="AC1397" s="395" t="n"/>
      <c r="AD1397" s="395" t="n"/>
      <c r="AE1397" s="395" t="n"/>
    </row>
    <row r="1398" ht="56" customHeight="1" s="380">
      <c r="A1398" s="73" t="n">
        <v>74</v>
      </c>
      <c r="B1398" s="386" t="n"/>
      <c r="C1398" s="386" t="inlineStr">
        <is>
          <t>Báo cáo theo Thông tư 121/2020/TT-BTC &gt;&gt; Tiền gửi giao dịch chứng khoán của nhà đầu tư - II.5.2</t>
        </is>
      </c>
      <c r="D1398" s="106" t="inlineStr">
        <is>
          <t>Tên sheet</t>
        </is>
      </c>
      <c r="E1398" s="106" t="inlineStr">
        <is>
          <t>Tên sheet</t>
        </is>
      </c>
      <c r="F1398" s="390" t="inlineStr">
        <is>
          <t>Data Explorer</t>
        </is>
      </c>
      <c r="G1398" s="390" t="inlineStr">
        <is>
          <t>Chiều</t>
        </is>
      </c>
      <c r="H1398" s="390" t="inlineStr">
        <is>
          <t>Dễ</t>
        </is>
      </c>
      <c r="I1398" s="390" t="inlineStr">
        <is>
          <t>Ngày, CTCK</t>
        </is>
      </c>
      <c r="J1398" s="401" t="inlineStr">
        <is>
          <t>SCMS</t>
        </is>
      </c>
      <c r="K1398" s="401" t="inlineStr">
        <is>
          <t>X</t>
        </is>
      </c>
      <c r="L1398" s="395" t="inlineStr">
        <is>
          <t>X</t>
        </is>
      </c>
      <c r="M1398" s="401" t="n"/>
      <c r="N1398" s="395" t="inlineStr">
        <is>
          <t>Done</t>
        </is>
      </c>
      <c r="O1398" s="401" t="n"/>
      <c r="P1398" s="395" t="n"/>
      <c r="S1398" s="395" t="n"/>
      <c r="U1398" s="386" t="n"/>
      <c r="V1398" s="395" t="n"/>
      <c r="W1398" s="395" t="n"/>
      <c r="X1398" s="395" t="n"/>
      <c r="Y1398" s="13" t="n"/>
      <c r="Z1398" s="395" t="n"/>
      <c r="AA1398" s="395" t="n"/>
      <c r="AB1398" s="395" t="n"/>
      <c r="AC1398" s="395" t="n"/>
      <c r="AD1398" s="395" t="n"/>
      <c r="AE1398" s="395" t="n"/>
    </row>
    <row r="1399" ht="56" customHeight="1" s="380">
      <c r="A1399" s="73" t="n">
        <v>74</v>
      </c>
      <c r="B1399" s="386" t="n"/>
      <c r="C1399" s="386" t="inlineStr">
        <is>
          <t>Báo cáo theo Thông tư 121/2020/TT-BTC &gt;&gt; Tiền gửi giao dịch chứng khoán của nhà đầu tư - II.5.2</t>
        </is>
      </c>
      <c r="D1399" s="106" t="inlineStr">
        <is>
          <t>Mã chỉ tiêu</t>
        </is>
      </c>
      <c r="E1399" s="107" t="inlineStr">
        <is>
          <t>Mã chỉ tiêu</t>
        </is>
      </c>
      <c r="F1399" s="390" t="inlineStr">
        <is>
          <t>Data Explorer</t>
        </is>
      </c>
      <c r="G1399" s="390" t="inlineStr">
        <is>
          <t>Chiều</t>
        </is>
      </c>
      <c r="H1399" s="390" t="inlineStr">
        <is>
          <t>Dễ</t>
        </is>
      </c>
      <c r="I1399" s="390" t="inlineStr">
        <is>
          <t>Ngày, CTCK</t>
        </is>
      </c>
      <c r="J1399" s="401" t="inlineStr">
        <is>
          <t>SCMS</t>
        </is>
      </c>
      <c r="K1399" s="401" t="inlineStr">
        <is>
          <t>X</t>
        </is>
      </c>
      <c r="L1399" s="395" t="inlineStr">
        <is>
          <t>X</t>
        </is>
      </c>
      <c r="M1399" s="401" t="n"/>
      <c r="N1399" s="395" t="inlineStr">
        <is>
          <t>Done</t>
        </is>
      </c>
      <c r="O1399" s="401" t="n"/>
      <c r="P1399" s="395" t="n"/>
      <c r="Q1399" s="401" t="inlineStr">
        <is>
          <t>SCMS.BM_BAO_CAO
SCMS.BM_SHEET
SCMS.BM_BAO_CAO_CT
SCMS.DM_CHI_TIEU</t>
        </is>
      </c>
      <c r="R1399" s="402" t="inlineStr">
        <is>
          <t>dct.ID,
dct.MA_CHI_TIEU,
dct.TEN_CHI_TIEU,
dct.SU_DUNG,
s.BM_BAO_CAO_ID,
s.MA_SHEET,
ct.BM_BAO_CAO_ID,
ct.DM_CHI_TIEU_ID,
ct.SU_DUNG,
bm.ID,
bm.MA_BAO_CAO,
bm.SU_DUNG</t>
        </is>
      </c>
      <c r="S1399" s="395" t="n"/>
      <c r="T1399" s="384" t="inlineStr">
        <is>
          <t>-- Mã chỉ tiêu / Tên chỉ tiêu
SELECT DISTINCT
    dct.MA_CHI_TIEU  AS ma_chi_tieu,
    dct.TEN_CHI_TIEU AS ten_chi_tieu
FROM SCMS.BM_BAO_CAO bm
JOIN SCMS.BM_SHEET s ON s.BM_BAO_CAO_ID = bm.ID
	AND s.TEN_SHEET = 'TGGDCKNĐT'
JOIN SCMS.BM_BAO_CAO_CT ct ON ct.BM_SHEET_ID = s.ID
	AND ct.SU_DUNG = 1
JOIN SCMS.DM_CHI_TIEU dct ON dct.ID = ct.DM_CHI_TIEU_ID
	AND dct.SU_DUNG = 1
WHERE bm.MA_BAO_CAO LIKE 'BCTHHDKD%'
	AND bm.SU_DUNG = 1
ORDER BY dct.MA_CHI_TIEU;</t>
        </is>
      </c>
      <c r="U1399" s="386" t="n"/>
      <c r="V1399" s="395" t="n"/>
      <c r="W1399" s="395" t="n"/>
      <c r="X1399" s="395" t="n"/>
      <c r="Y1399" s="13" t="n"/>
      <c r="Z1399" s="395" t="n"/>
      <c r="AA1399" s="395" t="n"/>
      <c r="AB1399" s="395" t="n"/>
      <c r="AC1399" s="395" t="n"/>
      <c r="AD1399" s="395" t="n"/>
      <c r="AE1399" s="395" t="n"/>
    </row>
    <row r="1400" ht="56" customHeight="1" s="380">
      <c r="A1400" s="73" t="n">
        <v>74</v>
      </c>
      <c r="B1400" s="386" t="n"/>
      <c r="C1400" s="386" t="inlineStr">
        <is>
          <t>Báo cáo theo Thông tư 121/2020/TT-BTC &gt;&gt; Tiền gửi giao dịch chứng khoán của nhà đầu tư - II.5.2</t>
        </is>
      </c>
      <c r="D1400" s="106" t="inlineStr">
        <is>
          <t>Tên chỉ tiêu</t>
        </is>
      </c>
      <c r="E1400" s="107" t="inlineStr">
        <is>
          <t>Tên chỉ tiêu</t>
        </is>
      </c>
      <c r="F1400" s="390" t="inlineStr">
        <is>
          <t>Data Explorer</t>
        </is>
      </c>
      <c r="G1400" s="390" t="inlineStr">
        <is>
          <t>Chiều</t>
        </is>
      </c>
      <c r="H1400" s="390" t="inlineStr">
        <is>
          <t>Dễ</t>
        </is>
      </c>
      <c r="I1400" s="390" t="inlineStr">
        <is>
          <t>Ngày, CTCK</t>
        </is>
      </c>
      <c r="J1400" s="401" t="inlineStr">
        <is>
          <t>SCMS</t>
        </is>
      </c>
      <c r="K1400" s="401" t="inlineStr">
        <is>
          <t>X</t>
        </is>
      </c>
      <c r="L1400" s="395" t="inlineStr">
        <is>
          <t>X</t>
        </is>
      </c>
      <c r="M1400" s="401" t="n"/>
      <c r="N1400" s="395" t="inlineStr">
        <is>
          <t>Done</t>
        </is>
      </c>
      <c r="O1400" s="401" t="n"/>
      <c r="P1400" s="395" t="n"/>
      <c r="S1400" s="395" t="n"/>
      <c r="U1400" s="386" t="n"/>
      <c r="V1400" s="395" t="n"/>
      <c r="W1400" s="395" t="n"/>
      <c r="X1400" s="395" t="n"/>
      <c r="Y1400" s="13" t="n"/>
      <c r="Z1400" s="395" t="n"/>
      <c r="AA1400" s="395" t="n"/>
      <c r="AB1400" s="395" t="n"/>
      <c r="AC1400" s="395" t="n"/>
      <c r="AD1400" s="395" t="n"/>
      <c r="AE1400" s="395" t="n"/>
    </row>
    <row r="1401" ht="56" customHeight="1" s="380">
      <c r="A1401" s="73" t="n">
        <v>74</v>
      </c>
      <c r="B1401" s="386" t="n"/>
      <c r="C1401" s="386" t="inlineStr">
        <is>
          <t>Báo cáo theo Thông tư 121/2020/TT-BTC &gt;&gt; Tiền gửi giao dịch chứng khoán của nhà đầu tư - II.5.2</t>
        </is>
      </c>
      <c r="D1401" s="386" t="inlineStr">
        <is>
          <t>Tên công ty chứng khoán</t>
        </is>
      </c>
      <c r="E1401" s="386" t="inlineStr">
        <is>
          <t>Tên công ty chứng khoán</t>
        </is>
      </c>
      <c r="F1401" s="386" t="inlineStr">
        <is>
          <t>Data Explorer</t>
        </is>
      </c>
      <c r="G1401" s="386" t="inlineStr">
        <is>
          <t>Chỉ tiêu cơ sở</t>
        </is>
      </c>
      <c r="H1401" s="386" t="inlineStr">
        <is>
          <t>Trùng</t>
        </is>
      </c>
      <c r="I1401" s="386" t="inlineStr">
        <is>
          <t>Ngày, CTCK</t>
        </is>
      </c>
      <c r="J1401" s="395" t="inlineStr">
        <is>
          <t>SCMS</t>
        </is>
      </c>
      <c r="K1401" s="395" t="n"/>
      <c r="L1401" s="395" t="inlineStr">
        <is>
          <t>X</t>
        </is>
      </c>
      <c r="M1401" s="395" t="n"/>
      <c r="N1401" s="395" t="inlineStr">
        <is>
          <t>Done</t>
        </is>
      </c>
      <c r="O1401" s="401" t="n"/>
      <c r="P1401" s="395" t="n"/>
      <c r="Q1401" s="427" t="inlineStr">
        <is>
          <t>SCMS.BC_THANH_VIEN
SCMS.BM_BAO_CAO
SCMS.BC_BAO_CAO_GT
SCMS.BM_BAO_CAO_HANG
SCMS.BM_BAO_CAO_COT
SCMS.CTCK_THONG_TIN</t>
        </is>
      </c>
      <c r="R1401" s="427" t="inlineStr">
        <is>
          <t>btv.ID,
btv.NGAY_SO_LIEU,
btv.BM_BAO_CAO_ID,
btv.CTCK_THONG_TIN_ID,
btv.TRANG_THAI,
c.CTCK_THONG_TIN_ID,
c.TEN_VIET_TAT,
c.SAN_NIEM_YET,
c.MA_CHUNG_KHOAN,
c.GIAY_PHEP_KINH_DOANH,
c.NGAY_CAP_GPKD,
bsh.ID,
bsh.MA_HANG,
bsc.TEN_COT,
bsc.BM_SHEET_ID,
gt.BC_THANH_VIEN_ID,
gt.BM_SHEET_HANG_ID,
gt.GIA_TRI,
bm.ID,
bm.MA_BAO_CAO</t>
        </is>
      </c>
      <c r="S1401" s="395" t="n"/>
      <c r="T1401"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 Tổng cộng (MA_HANG=3)
    COUNT(DISTINCT bsh.MA_HANG) AS "Số lượng ngân hàng nhận tiền gửi của 01 CTCK",  -- Check lại
	COUNT(DISTINCT bsh.ID) AS "Số lượng tài khoản ngân hàng",  -- Check lại
    MAX(CASE WHEN bsh.MA_HANG='3' AND bsc.TEN_COT=N'Số dư trên tài khoản(triệu đồng)' THEN CAST(gt.GIA_TRI AS VARCHAR2(4000)) END) AS "Số dư trên tài khoản",
    MAX(CASE WHEN bsh.MA_HANG='3' AND bsc.TEN_COT=N'Ghi chú' THEN CAST(gt.GIA_TRI AS VARCHAR2(4000)) END) AS "Ghi chú"
FROM SCMS.BC_THANH_VIEN btv
JOIN SCMS.BM_BAO_CAO bm ON bm.ID = btv.BM_BAO_CAO_ID
JOIN SCMS.BC_BAO_CAO_GT gt ON gt.BC_THANH_VIEN_ID = btv.ID
JOIN SCMS.BM_BAO_CAO_HANG bsh ON bsh.ID = gt.BM_SHEET_HANG_ID
JOIN SCMS.BM_BAO_CAO_COT bsc ON bsc.BM_SHEET_ID = 7429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is>
      </c>
      <c r="U1401" s="386" t="n"/>
      <c r="V1401" s="395" t="n"/>
      <c r="W1401" s="395" t="n"/>
      <c r="X1401" s="395" t="n"/>
      <c r="Y1401" s="13" t="n"/>
      <c r="Z1401" s="395" t="n"/>
      <c r="AA1401" s="395" t="n"/>
      <c r="AB1401" s="395" t="n"/>
      <c r="AC1401" s="395" t="n"/>
      <c r="AD1401" s="395" t="n"/>
      <c r="AE1401" s="395" t="n"/>
    </row>
    <row r="1402" ht="56" customHeight="1" s="380">
      <c r="A1402" s="73" t="n">
        <v>74</v>
      </c>
      <c r="B1402" s="386" t="n"/>
      <c r="C1402" s="386" t="inlineStr">
        <is>
          <t>Báo cáo theo Thông tư 121/2020/TT-BTC &gt;&gt; Tiền gửi giao dịch chứng khoán của nhà đầu tư - II.5.2</t>
        </is>
      </c>
      <c r="D1402" s="386" t="inlineStr">
        <is>
          <t>Sàn giao dịch</t>
        </is>
      </c>
      <c r="E1402" s="386" t="inlineStr">
        <is>
          <t>Sàn giao dịch</t>
        </is>
      </c>
      <c r="F1402" s="386" t="inlineStr">
        <is>
          <t>Data Explorer</t>
        </is>
      </c>
      <c r="G1402" s="386" t="inlineStr">
        <is>
          <t>Chỉ tiêu cơ sở</t>
        </is>
      </c>
      <c r="H1402" s="386" t="inlineStr">
        <is>
          <t>Trùng</t>
        </is>
      </c>
      <c r="I1402" s="386" t="inlineStr">
        <is>
          <t>Ngày, CTCK</t>
        </is>
      </c>
      <c r="J1402" s="395" t="inlineStr">
        <is>
          <t>SCMS</t>
        </is>
      </c>
      <c r="K1402" s="395" t="n"/>
      <c r="L1402" s="395" t="inlineStr">
        <is>
          <t>X</t>
        </is>
      </c>
      <c r="M1402" s="395" t="n"/>
      <c r="N1402" s="395" t="inlineStr">
        <is>
          <t>Done</t>
        </is>
      </c>
      <c r="O1402" s="401" t="n"/>
      <c r="P1402" s="395" t="n"/>
      <c r="S1402" s="395" t="n"/>
      <c r="U1402" s="386" t="n"/>
      <c r="V1402" s="395" t="n"/>
      <c r="W1402" s="395" t="n"/>
      <c r="X1402" s="395" t="n"/>
      <c r="Y1402" s="38" t="n"/>
      <c r="Z1402" s="395" t="n"/>
      <c r="AA1402" s="395" t="n"/>
      <c r="AB1402" s="395" t="n"/>
      <c r="AC1402" s="395" t="n"/>
      <c r="AD1402" s="395" t="n"/>
      <c r="AE1402" s="395" t="n"/>
    </row>
    <row r="1403" ht="56" customHeight="1" s="380">
      <c r="A1403" s="73" t="n">
        <v>74</v>
      </c>
      <c r="B1403" s="386" t="n"/>
      <c r="C1403" s="386" t="inlineStr">
        <is>
          <t>Báo cáo theo Thông tư 121/2020/TT-BTC &gt;&gt; Tiền gửi giao dịch chứng khoán của nhà đầu tư - II.5.2</t>
        </is>
      </c>
      <c r="D1403" s="386" t="inlineStr">
        <is>
          <t>Mã chứng khoán</t>
        </is>
      </c>
      <c r="E1403" s="386" t="inlineStr">
        <is>
          <t>Mã chứng khoán</t>
        </is>
      </c>
      <c r="F1403" s="386" t="inlineStr">
        <is>
          <t>Data Explorer</t>
        </is>
      </c>
      <c r="G1403" s="386" t="inlineStr">
        <is>
          <t>Chỉ tiêu cơ sở</t>
        </is>
      </c>
      <c r="H1403" s="386" t="inlineStr">
        <is>
          <t>Trùng</t>
        </is>
      </c>
      <c r="I1403" s="386" t="inlineStr">
        <is>
          <t>Ngày, CTCK</t>
        </is>
      </c>
      <c r="J1403" s="395" t="inlineStr">
        <is>
          <t>SCMS</t>
        </is>
      </c>
      <c r="K1403" s="395" t="n"/>
      <c r="L1403" s="395" t="inlineStr">
        <is>
          <t>X</t>
        </is>
      </c>
      <c r="M1403" s="395" t="n"/>
      <c r="N1403" s="395" t="inlineStr">
        <is>
          <t>Done</t>
        </is>
      </c>
      <c r="O1403" s="401" t="n"/>
      <c r="P1403" s="395" t="n"/>
      <c r="S1403" s="395" t="n"/>
      <c r="U1403" s="386" t="n"/>
      <c r="V1403" s="395" t="n"/>
      <c r="W1403" s="395" t="n"/>
      <c r="X1403" s="395" t="n"/>
      <c r="Y1403" s="13" t="n"/>
      <c r="Z1403" s="395" t="n"/>
      <c r="AA1403" s="395" t="n"/>
      <c r="AB1403" s="395" t="n"/>
      <c r="AC1403" s="395" t="n"/>
      <c r="AD1403" s="395" t="n"/>
      <c r="AE1403" s="395" t="n"/>
    </row>
    <row r="1404" ht="56" customHeight="1" s="380">
      <c r="A1404" s="73" t="n">
        <v>74</v>
      </c>
      <c r="B1404" s="386" t="n"/>
      <c r="C1404" s="386" t="inlineStr">
        <is>
          <t>Báo cáo theo Thông tư 121/2020/TT-BTC &gt;&gt; Tiền gửi giao dịch chứng khoán của nhà đầu tư - II.5.2</t>
        </is>
      </c>
      <c r="D1404" s="386" t="inlineStr">
        <is>
          <t>Giấy phép hoạt động &gt;&gt; Số</t>
        </is>
      </c>
      <c r="E1404" s="386" t="inlineStr">
        <is>
          <t>Giấy phép hoạt động &gt;&gt; Số</t>
        </is>
      </c>
      <c r="F1404" s="386" t="inlineStr">
        <is>
          <t>Data Explorer</t>
        </is>
      </c>
      <c r="G1404" s="386" t="inlineStr">
        <is>
          <t>Chỉ tiêu cơ sở</t>
        </is>
      </c>
      <c r="H1404" s="386" t="inlineStr">
        <is>
          <t>Trùng</t>
        </is>
      </c>
      <c r="I1404" s="386" t="inlineStr">
        <is>
          <t>Ngày, CTCK</t>
        </is>
      </c>
      <c r="J1404" s="395" t="inlineStr">
        <is>
          <t>SCMS</t>
        </is>
      </c>
      <c r="K1404" s="395" t="n"/>
      <c r="L1404" s="395" t="inlineStr">
        <is>
          <t>X</t>
        </is>
      </c>
      <c r="M1404" s="395" t="n"/>
      <c r="N1404" s="395" t="inlineStr">
        <is>
          <t>Done</t>
        </is>
      </c>
      <c r="O1404" s="401" t="n"/>
      <c r="P1404" s="395" t="n"/>
      <c r="S1404" s="395" t="n"/>
      <c r="U1404" s="386" t="n"/>
      <c r="V1404" s="395" t="n"/>
      <c r="W1404" s="395" t="n"/>
      <c r="X1404" s="395" t="n"/>
      <c r="Y1404" s="13" t="n"/>
      <c r="Z1404" s="395" t="n"/>
      <c r="AA1404" s="395" t="n"/>
      <c r="AB1404" s="395" t="n"/>
      <c r="AC1404" s="395" t="n"/>
      <c r="AD1404" s="395" t="n"/>
      <c r="AE1404" s="395" t="n"/>
    </row>
    <row r="1405" ht="56" customHeight="1" s="380">
      <c r="A1405" s="73" t="n">
        <v>74</v>
      </c>
      <c r="B1405" s="386" t="n"/>
      <c r="C1405" s="386" t="inlineStr">
        <is>
          <t>Báo cáo theo Thông tư 121/2020/TT-BTC &gt;&gt; Tiền gửi giao dịch chứng khoán của nhà đầu tư - II.5.2</t>
        </is>
      </c>
      <c r="D1405" s="386" t="inlineStr">
        <is>
          <t>Giấy phép hoạt động &gt;&gt; Ngày cấp</t>
        </is>
      </c>
      <c r="E1405" s="386" t="inlineStr">
        <is>
          <t>Giấy phép hoạt động &gt;&gt; Ngày cấp</t>
        </is>
      </c>
      <c r="F1405" s="386" t="inlineStr">
        <is>
          <t>Data Explorer</t>
        </is>
      </c>
      <c r="G1405" s="386" t="inlineStr">
        <is>
          <t>Chỉ tiêu cơ sở</t>
        </is>
      </c>
      <c r="H1405" s="386" t="inlineStr">
        <is>
          <t>Trùng</t>
        </is>
      </c>
      <c r="I1405" s="386" t="inlineStr">
        <is>
          <t>Ngày, CTCK</t>
        </is>
      </c>
      <c r="J1405" s="395" t="inlineStr">
        <is>
          <t>SCMS</t>
        </is>
      </c>
      <c r="K1405" s="395" t="n"/>
      <c r="L1405" s="395" t="inlineStr">
        <is>
          <t>X</t>
        </is>
      </c>
      <c r="M1405" s="395" t="n"/>
      <c r="N1405" s="395" t="inlineStr">
        <is>
          <t>Done</t>
        </is>
      </c>
      <c r="O1405" s="401" t="n"/>
      <c r="P1405" s="395" t="n"/>
      <c r="S1405" s="395" t="n"/>
      <c r="U1405" s="386" t="n"/>
      <c r="V1405" s="395" t="n"/>
      <c r="W1405" s="395" t="n"/>
      <c r="X1405" s="395" t="n"/>
      <c r="Y1405" s="13" t="n"/>
      <c r="Z1405" s="395" t="n"/>
      <c r="AA1405" s="395" t="n"/>
      <c r="AB1405" s="395" t="n"/>
      <c r="AC1405" s="395" t="n"/>
      <c r="AD1405" s="395" t="n"/>
      <c r="AE1405" s="395" t="n"/>
    </row>
    <row r="1406" ht="56" customHeight="1" s="380">
      <c r="A1406" s="73" t="n">
        <v>74</v>
      </c>
      <c r="B1406" s="386" t="n"/>
      <c r="C1406" s="386" t="inlineStr">
        <is>
          <t>Báo cáo theo Thông tư 121/2020/TT-BTC &gt;&gt; Tiền gửi giao dịch chứng khoán của nhà đầu tư - II.5.2</t>
        </is>
      </c>
      <c r="D1406" s="386" t="inlineStr">
        <is>
          <t>Số lượng ngân hàng nhận tiền gửi của 01 CTCK</t>
        </is>
      </c>
      <c r="E1406" s="386" t="inlineStr">
        <is>
          <t>Số lượng ngân hàng nhận tiền gửi của 01 CTCK</t>
        </is>
      </c>
      <c r="F1406" s="386" t="inlineStr">
        <is>
          <t>Data Explorer</t>
        </is>
      </c>
      <c r="G1406" s="386" t="inlineStr">
        <is>
          <t>Chỉ tiêu cơ sở</t>
        </is>
      </c>
      <c r="H1406" s="386" t="inlineStr">
        <is>
          <t>TB</t>
        </is>
      </c>
      <c r="I1406" s="386" t="inlineStr">
        <is>
          <t>Ngày, CTCK</t>
        </is>
      </c>
      <c r="J1406" s="395" t="inlineStr">
        <is>
          <t>SCMS</t>
        </is>
      </c>
      <c r="K1406" s="395" t="n"/>
      <c r="L1406" s="395" t="inlineStr">
        <is>
          <t>X</t>
        </is>
      </c>
      <c r="M1406" s="395" t="n"/>
      <c r="N1406" s="395" t="inlineStr">
        <is>
          <t>Done</t>
        </is>
      </c>
      <c r="O1406" s="401" t="n"/>
      <c r="P1406" s="395" t="n"/>
      <c r="S1406" s="395" t="n"/>
      <c r="U1406" s="386" t="n"/>
      <c r="V1406" s="395" t="n"/>
      <c r="W1406" s="395" t="n"/>
      <c r="X1406" s="395" t="n"/>
      <c r="Y1406" s="13" t="n"/>
      <c r="Z1406" s="395" t="n"/>
      <c r="AA1406" s="395" t="n"/>
      <c r="AB1406" s="395" t="n"/>
      <c r="AC1406" s="395" t="n"/>
      <c r="AD1406" s="395" t="n"/>
      <c r="AE1406" s="395" t="n"/>
    </row>
    <row r="1407" ht="56" customHeight="1" s="380">
      <c r="A1407" s="73" t="n">
        <v>74</v>
      </c>
      <c r="B1407" s="386" t="n"/>
      <c r="C1407" s="386" t="inlineStr">
        <is>
          <t>Báo cáo theo Thông tư 121/2020/TT-BTC &gt;&gt; Tiền gửi giao dịch chứng khoán của nhà đầu tư - II.5.2</t>
        </is>
      </c>
      <c r="D1407" s="386" t="inlineStr">
        <is>
          <t>Số lượng tài khoản ngân hàng</t>
        </is>
      </c>
      <c r="E1407" s="395" t="inlineStr">
        <is>
          <t>Số lượng tài khoản ngân hàng</t>
        </is>
      </c>
      <c r="F1407" s="386" t="inlineStr">
        <is>
          <t>Data Explorer</t>
        </is>
      </c>
      <c r="G1407" s="386" t="inlineStr">
        <is>
          <t>Chỉ tiêu cơ sở</t>
        </is>
      </c>
      <c r="H1407" s="386" t="inlineStr">
        <is>
          <t>TB</t>
        </is>
      </c>
      <c r="I1407" s="386" t="inlineStr">
        <is>
          <t>Ngày, CTCK</t>
        </is>
      </c>
      <c r="J1407" s="395" t="inlineStr">
        <is>
          <t>SCMS</t>
        </is>
      </c>
      <c r="K1407" s="395" t="n"/>
      <c r="L1407" s="395" t="inlineStr">
        <is>
          <t>X</t>
        </is>
      </c>
      <c r="M1407" s="395" t="n"/>
      <c r="N1407" s="395" t="inlineStr">
        <is>
          <t>Done</t>
        </is>
      </c>
      <c r="O1407" s="401" t="n"/>
      <c r="P1407" s="395" t="n"/>
      <c r="S1407" s="395" t="n"/>
      <c r="U1407" s="386" t="n"/>
      <c r="V1407" s="395" t="n"/>
      <c r="W1407" s="395" t="n"/>
      <c r="X1407" s="395" t="n"/>
      <c r="Y1407" s="13" t="n"/>
      <c r="Z1407" s="395" t="n"/>
      <c r="AA1407" s="395" t="n"/>
      <c r="AB1407" s="395" t="n"/>
      <c r="AC1407" s="395" t="n"/>
      <c r="AD1407" s="395" t="n"/>
      <c r="AE1407" s="395" t="n"/>
    </row>
    <row r="1408" ht="56" customHeight="1" s="380">
      <c r="A1408" s="73" t="n">
        <v>74</v>
      </c>
      <c r="B1408" s="386" t="n"/>
      <c r="C1408" s="386" t="inlineStr">
        <is>
          <t>Báo cáo theo Thông tư 121/2020/TT-BTC &gt;&gt; Tiền gửi giao dịch chứng khoán của nhà đầu tư - II.5.2</t>
        </is>
      </c>
      <c r="D1408" s="386" t="inlineStr">
        <is>
          <t>Số dư trên các tài khoản (Triệu đồng)</t>
        </is>
      </c>
      <c r="E1408" s="395" t="inlineStr">
        <is>
          <t>Số dư trên các tài khoản (Triệu đồng)</t>
        </is>
      </c>
      <c r="F1408" s="386" t="inlineStr">
        <is>
          <t>Data Explorer</t>
        </is>
      </c>
      <c r="G1408" s="386" t="inlineStr">
        <is>
          <t>Chỉ tiêu cơ sở</t>
        </is>
      </c>
      <c r="H1408" s="386" t="inlineStr">
        <is>
          <t>TB</t>
        </is>
      </c>
      <c r="I1408" s="386" t="inlineStr">
        <is>
          <t>Ngày, CTCK</t>
        </is>
      </c>
      <c r="J1408" s="395" t="inlineStr">
        <is>
          <t>SCMS</t>
        </is>
      </c>
      <c r="K1408" s="395" t="n"/>
      <c r="L1408" s="395" t="inlineStr">
        <is>
          <t>X</t>
        </is>
      </c>
      <c r="M1408" s="395" t="n"/>
      <c r="N1408" s="395" t="inlineStr">
        <is>
          <t>Done</t>
        </is>
      </c>
      <c r="O1408" s="401" t="n"/>
      <c r="P1408" s="395" t="n"/>
      <c r="S1408" s="395" t="n"/>
      <c r="U1408" s="386" t="n"/>
      <c r="V1408" s="395" t="n"/>
      <c r="W1408" s="395" t="n"/>
      <c r="X1408" s="395" t="n"/>
      <c r="Y1408" s="14" t="n"/>
      <c r="Z1408" s="395" t="n"/>
      <c r="AA1408" s="395" t="n"/>
      <c r="AB1408" s="395" t="n"/>
      <c r="AC1408" s="395" t="n"/>
      <c r="AD1408" s="395" t="n"/>
      <c r="AE1408" s="395" t="n"/>
    </row>
    <row r="1409" ht="56" customHeight="1" s="380">
      <c r="A1409" s="83" t="n">
        <v>74</v>
      </c>
      <c r="B1409" s="68" t="n"/>
      <c r="C1409" s="68" t="inlineStr">
        <is>
          <t>Báo cáo theo Thông tư 121/2020/TT-BTC &gt;&gt; Tiền gửi giao dịch chứng khoán của nhà đầu tư - II.5.2</t>
        </is>
      </c>
      <c r="D1409" s="68" t="inlineStr">
        <is>
          <t>Ghi chú</t>
        </is>
      </c>
      <c r="E1409" s="69" t="inlineStr">
        <is>
          <t>Ghi chú</t>
        </is>
      </c>
      <c r="F1409" s="68" t="inlineStr">
        <is>
          <t>Data Explorer</t>
        </is>
      </c>
      <c r="G1409" s="68" t="inlineStr">
        <is>
          <t>Chỉ tiêu cơ sở</t>
        </is>
      </c>
      <c r="H1409" s="68" t="inlineStr">
        <is>
          <t>Dễ</t>
        </is>
      </c>
      <c r="I1409" s="68" t="inlineStr">
        <is>
          <t>Ngày, CTCK</t>
        </is>
      </c>
      <c r="J1409" s="69" t="inlineStr">
        <is>
          <t>SCMS</t>
        </is>
      </c>
      <c r="K1409" s="69" t="n"/>
      <c r="L1409" s="69" t="inlineStr">
        <is>
          <t>X</t>
        </is>
      </c>
      <c r="M1409" s="69" t="n"/>
      <c r="N1409" s="69" t="inlineStr">
        <is>
          <t>Done</t>
        </is>
      </c>
      <c r="O1409" s="85" t="n"/>
      <c r="P1409" s="69" t="n"/>
      <c r="Q1409" s="426" t="n"/>
      <c r="R1409" s="426" t="n"/>
      <c r="S1409" s="69" t="n"/>
      <c r="T1409" s="426" t="n"/>
      <c r="U1409" s="68" t="n"/>
      <c r="V1409" s="69" t="n"/>
      <c r="W1409" s="69" t="n"/>
      <c r="X1409" s="69" t="n"/>
      <c r="Y1409" s="97" t="n"/>
      <c r="Z1409" s="69" t="n"/>
      <c r="AA1409" s="69" t="n"/>
      <c r="AB1409" s="69" t="n"/>
      <c r="AC1409" s="69" t="n"/>
      <c r="AD1409" s="69" t="n"/>
      <c r="AE1409" s="69" t="n"/>
    </row>
    <row r="1410" ht="56" customHeight="1" s="380">
      <c r="A1410" s="73" t="n">
        <v>75</v>
      </c>
      <c r="B1410" s="122" t="inlineStr">
        <is>
          <t>Nga</t>
        </is>
      </c>
      <c r="C1410" s="81" t="inlineStr">
        <is>
          <t>Báo cáo theo Thông tư 121/2020/TT-BTC &gt;&gt; Tiền gửi giao dịch chứng khoán của nhà đầu tư - II.5.3</t>
        </is>
      </c>
      <c r="D1410" s="106" t="inlineStr">
        <is>
          <t>Loại báo cáo</t>
        </is>
      </c>
      <c r="E1410" s="107" t="inlineStr">
        <is>
          <t>Loại báo cáo</t>
        </is>
      </c>
      <c r="F1410" s="390" t="inlineStr">
        <is>
          <t>Data Explorer</t>
        </is>
      </c>
      <c r="G1410" s="390" t="inlineStr">
        <is>
          <t>Chiều</t>
        </is>
      </c>
      <c r="H1410" s="390" t="inlineStr">
        <is>
          <t>Dễ</t>
        </is>
      </c>
      <c r="I1410" s="390" t="inlineStr">
        <is>
          <t>Ngày, CTCK</t>
        </is>
      </c>
      <c r="J1410" s="401" t="inlineStr">
        <is>
          <t>SCMS</t>
        </is>
      </c>
      <c r="K1410" s="401" t="inlineStr">
        <is>
          <t>X</t>
        </is>
      </c>
      <c r="L1410" s="395" t="inlineStr">
        <is>
          <t>X</t>
        </is>
      </c>
      <c r="M1410" s="401" t="n"/>
      <c r="N1410" s="395" t="inlineStr">
        <is>
          <t>Done</t>
        </is>
      </c>
      <c r="O1410" s="401" t="n"/>
      <c r="P1410" s="395" t="n"/>
      <c r="Q1410" s="404" t="inlineStr">
        <is>
          <t>SCMS.BM_BAO_CAO
SCMS.BM_BAO_CAO_DINH_KY</t>
        </is>
      </c>
      <c r="R1410" s="404" t="inlineStr">
        <is>
          <t>bm.ID,
bm.MA_BAO_CAO,
bm.LOAI_BAO_CAO,
bm.TEN_BAO_CAO,
bm.SU_DUNG,
bdk.BM_BAO_CAO_ID,
bdk.KY_BAO_CAO,
bdk.SU_DUNG</t>
        </is>
      </c>
      <c r="S1410" s="395" t="n"/>
      <c r="T1410"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410" s="386" t="n"/>
      <c r="V1410" s="395" t="n"/>
      <c r="W1410" s="395" t="n"/>
      <c r="X1410" s="395" t="n"/>
      <c r="Y1410" s="13" t="n"/>
      <c r="Z1410" s="395" t="n"/>
      <c r="AA1410" s="395" t="n"/>
      <c r="AB1410" s="395" t="n"/>
      <c r="AC1410" s="395" t="n"/>
      <c r="AD1410" s="395" t="n"/>
      <c r="AE1410" s="395" t="n"/>
    </row>
    <row r="1411" ht="56" customHeight="1" s="380">
      <c r="A1411" s="73" t="n">
        <v>75</v>
      </c>
      <c r="B1411" s="386" t="n"/>
      <c r="C1411" s="386" t="inlineStr">
        <is>
          <t>Báo cáo theo Thông tư 121/2020/TT-BTC &gt;&gt; Tiền gửi giao dịch chứng khoán của nhà đầu tư - II.5.3</t>
        </is>
      </c>
      <c r="D1411" s="106" t="inlineStr">
        <is>
          <t>Kỳ báo cáo</t>
        </is>
      </c>
      <c r="E1411" s="107" t="inlineStr">
        <is>
          <t>Kỳ báo cáo</t>
        </is>
      </c>
      <c r="F1411" s="390" t="inlineStr">
        <is>
          <t>Data Explorer</t>
        </is>
      </c>
      <c r="G1411" s="390" t="inlineStr">
        <is>
          <t>Chiều</t>
        </is>
      </c>
      <c r="H1411" s="390" t="inlineStr">
        <is>
          <t>Dễ</t>
        </is>
      </c>
      <c r="I1411" s="390" t="inlineStr">
        <is>
          <t>Ngày, CTCK</t>
        </is>
      </c>
      <c r="J1411" s="401" t="inlineStr">
        <is>
          <t>SCMS</t>
        </is>
      </c>
      <c r="K1411" s="401" t="inlineStr">
        <is>
          <t>X</t>
        </is>
      </c>
      <c r="L1411" s="395" t="inlineStr">
        <is>
          <t>X</t>
        </is>
      </c>
      <c r="M1411" s="401" t="n"/>
      <c r="N1411" s="395" t="inlineStr">
        <is>
          <t>Done</t>
        </is>
      </c>
      <c r="O1411" s="401" t="n"/>
      <c r="P1411" s="395" t="n"/>
      <c r="S1411" s="395" t="n"/>
      <c r="U1411" s="386" t="n"/>
      <c r="V1411" s="395" t="n"/>
      <c r="W1411" s="395" t="n"/>
      <c r="X1411" s="395" t="n"/>
      <c r="Y1411" s="13" t="n"/>
      <c r="Z1411" s="395" t="n"/>
      <c r="AA1411" s="395" t="n"/>
      <c r="AB1411" s="395" t="n"/>
      <c r="AC1411" s="395" t="n"/>
      <c r="AD1411" s="395" t="n"/>
      <c r="AE1411" s="395" t="n"/>
    </row>
    <row r="1412" ht="56" customHeight="1" s="380">
      <c r="A1412" s="73" t="n">
        <v>75</v>
      </c>
      <c r="B1412" s="386" t="n"/>
      <c r="C1412" s="386" t="inlineStr">
        <is>
          <t>Báo cáo theo Thông tư 121/2020/TT-BTC &gt;&gt; Tiền gửi giao dịch chứng khoán của nhà đầu tư - II.5.3</t>
        </is>
      </c>
      <c r="D1412" s="106" t="inlineStr">
        <is>
          <t>Mã báo cáo</t>
        </is>
      </c>
      <c r="E1412" s="107" t="inlineStr">
        <is>
          <t>Mã báo cáo</t>
        </is>
      </c>
      <c r="F1412" s="390" t="inlineStr">
        <is>
          <t>Data Explorer</t>
        </is>
      </c>
      <c r="G1412" s="390" t="inlineStr">
        <is>
          <t>Chiều</t>
        </is>
      </c>
      <c r="H1412" s="390" t="inlineStr">
        <is>
          <t>Dễ</t>
        </is>
      </c>
      <c r="I1412" s="390" t="inlineStr">
        <is>
          <t>Ngày, CTCK</t>
        </is>
      </c>
      <c r="J1412" s="401" t="inlineStr">
        <is>
          <t>SCMS</t>
        </is>
      </c>
      <c r="K1412" s="401" t="inlineStr">
        <is>
          <t>X</t>
        </is>
      </c>
      <c r="L1412" s="395" t="inlineStr">
        <is>
          <t>X</t>
        </is>
      </c>
      <c r="M1412" s="401" t="n"/>
      <c r="N1412" s="395" t="inlineStr">
        <is>
          <t>Done</t>
        </is>
      </c>
      <c r="O1412" s="401" t="n"/>
      <c r="P1412" s="395" t="n"/>
      <c r="S1412" s="395" t="n"/>
      <c r="U1412" s="386" t="n"/>
      <c r="V1412" s="395" t="n"/>
      <c r="W1412" s="395" t="n"/>
      <c r="X1412" s="395" t="n"/>
      <c r="Y1412" s="13" t="n"/>
      <c r="Z1412" s="395" t="n"/>
      <c r="AA1412" s="395" t="n"/>
      <c r="AB1412" s="395" t="n"/>
      <c r="AC1412" s="395" t="n"/>
      <c r="AD1412" s="395" t="n"/>
      <c r="AE1412" s="395" t="n"/>
    </row>
    <row r="1413" ht="56" customHeight="1" s="380">
      <c r="A1413" s="73" t="n">
        <v>75</v>
      </c>
      <c r="B1413" s="386" t="n"/>
      <c r="C1413" s="386" t="inlineStr">
        <is>
          <t>Báo cáo theo Thông tư 121/2020/TT-BTC &gt;&gt; Tiền gửi giao dịch chứng khoán của nhà đầu tư - II.5.3</t>
        </is>
      </c>
      <c r="D1413" s="106" t="inlineStr">
        <is>
          <t>Tên báo cáo</t>
        </is>
      </c>
      <c r="E1413" s="107" t="inlineStr">
        <is>
          <t>Tên báo cáo</t>
        </is>
      </c>
      <c r="F1413" s="390" t="inlineStr">
        <is>
          <t>Data Explorer</t>
        </is>
      </c>
      <c r="G1413" s="390" t="inlineStr">
        <is>
          <t>Chiều</t>
        </is>
      </c>
      <c r="H1413" s="390" t="inlineStr">
        <is>
          <t>Dễ</t>
        </is>
      </c>
      <c r="I1413" s="390" t="inlineStr">
        <is>
          <t>Ngày, CTCK</t>
        </is>
      </c>
      <c r="J1413" s="401" t="inlineStr">
        <is>
          <t>SCMS</t>
        </is>
      </c>
      <c r="K1413" s="401" t="inlineStr">
        <is>
          <t>X</t>
        </is>
      </c>
      <c r="L1413" s="395" t="inlineStr">
        <is>
          <t>X</t>
        </is>
      </c>
      <c r="M1413" s="401" t="n"/>
      <c r="N1413" s="395" t="inlineStr">
        <is>
          <t>Done</t>
        </is>
      </c>
      <c r="O1413" s="401" t="n"/>
      <c r="P1413" s="395" t="n"/>
      <c r="S1413" s="395" t="n"/>
      <c r="U1413" s="386" t="n"/>
      <c r="V1413" s="395" t="n"/>
      <c r="W1413" s="395" t="n"/>
      <c r="X1413" s="395" t="n"/>
      <c r="Y1413" s="14" t="n"/>
      <c r="Z1413" s="395" t="n"/>
      <c r="AA1413" s="395" t="n"/>
      <c r="AB1413" s="395" t="n"/>
      <c r="AC1413" s="395" t="n"/>
      <c r="AD1413" s="395" t="n"/>
      <c r="AE1413" s="395" t="n"/>
    </row>
    <row r="1414" ht="56" customHeight="1" s="380">
      <c r="A1414" s="73" t="n">
        <v>75</v>
      </c>
      <c r="B1414" s="386" t="n"/>
      <c r="C1414" s="386" t="inlineStr">
        <is>
          <t>Báo cáo theo Thông tư 121/2020/TT-BTC &gt;&gt; Tiền gửi giao dịch chứng khoán của nhà đầu tư - II.5.3</t>
        </is>
      </c>
      <c r="D1414" s="106" t="inlineStr">
        <is>
          <t>Mã sheet</t>
        </is>
      </c>
      <c r="E1414" s="106" t="inlineStr">
        <is>
          <t>Mã sheet</t>
        </is>
      </c>
      <c r="F1414" s="390" t="inlineStr">
        <is>
          <t>Data Explorer</t>
        </is>
      </c>
      <c r="G1414" s="390" t="inlineStr">
        <is>
          <t>Chiều</t>
        </is>
      </c>
      <c r="H1414" s="390" t="inlineStr">
        <is>
          <t>Dễ</t>
        </is>
      </c>
      <c r="I1414" s="390" t="inlineStr">
        <is>
          <t>Ngày, CTCK</t>
        </is>
      </c>
      <c r="J1414" s="401" t="inlineStr">
        <is>
          <t>SCMS</t>
        </is>
      </c>
      <c r="K1414" s="401" t="inlineStr">
        <is>
          <t>X</t>
        </is>
      </c>
      <c r="L1414" s="395" t="inlineStr">
        <is>
          <t>X</t>
        </is>
      </c>
      <c r="M1414" s="401" t="n"/>
      <c r="N1414" s="395" t="inlineStr">
        <is>
          <t>Done</t>
        </is>
      </c>
      <c r="O1414" s="401" t="n"/>
      <c r="P1414" s="395" t="n"/>
      <c r="Q1414" s="401" t="inlineStr">
        <is>
          <t>SCMS.BM_BAO_CAO
SCMS.BM_SHEET</t>
        </is>
      </c>
      <c r="R1414" s="401" t="inlineStr">
        <is>
          <t>bm.ID,
bm.MA_BAO_CAO,
bm.SU_DUNG,
s.BM_BAO_CAO_ID,
s.MA_SHEET,
s.TEN_SHEET,
s.SAP_XEP</t>
        </is>
      </c>
      <c r="S1414" s="395" t="n"/>
      <c r="T1414" s="384" t="inlineStr">
        <is>
          <t>-- Mã sheet / Tên sheet
-- TEN_SHEET: THNS
SELECT bm.MA_BAO_CAO,
s.MA_SHEET,
s.TEN_SHEET
FROM SCMS.BM_BAO_CAO bm
JOIN SCMS.BM_SHEET s ON s.BM_BAO_CAO_ID = bm.ID
WHERE bm.MA_BAO_CAO LIKE 'BCTHHDKD%'
AND s.TEN_SHEET = 'TGGDCKNĐT'  -- Check lại
AND bm.SU_DUNG = 1
ORDER BY bm.MA_BAO_CAO, s.SAP_XEP;</t>
        </is>
      </c>
      <c r="U1414" s="386" t="n"/>
      <c r="V1414" s="395" t="n"/>
      <c r="W1414" s="395" t="n"/>
      <c r="X1414" s="395" t="n"/>
      <c r="Y1414" s="13" t="n"/>
      <c r="Z1414" s="395" t="n"/>
      <c r="AA1414" s="395" t="n"/>
      <c r="AB1414" s="395" t="n"/>
      <c r="AC1414" s="395" t="n"/>
      <c r="AD1414" s="395" t="n"/>
      <c r="AE1414" s="395" t="n"/>
    </row>
    <row r="1415" ht="56" customHeight="1" s="380">
      <c r="A1415" s="73" t="n">
        <v>75</v>
      </c>
      <c r="B1415" s="386" t="n"/>
      <c r="C1415" s="386" t="inlineStr">
        <is>
          <t>Báo cáo theo Thông tư 121/2020/TT-BTC &gt;&gt; Tiền gửi giao dịch chứng khoán của nhà đầu tư - II.5.3</t>
        </is>
      </c>
      <c r="D1415" s="106" t="inlineStr">
        <is>
          <t>Tên sheet</t>
        </is>
      </c>
      <c r="E1415" s="106" t="inlineStr">
        <is>
          <t>Tên sheet</t>
        </is>
      </c>
      <c r="F1415" s="390" t="inlineStr">
        <is>
          <t>Data Explorer</t>
        </is>
      </c>
      <c r="G1415" s="390" t="inlineStr">
        <is>
          <t>Chiều</t>
        </is>
      </c>
      <c r="H1415" s="390" t="inlineStr">
        <is>
          <t>Dễ</t>
        </is>
      </c>
      <c r="I1415" s="390" t="inlineStr">
        <is>
          <t>Ngày, CTCK</t>
        </is>
      </c>
      <c r="J1415" s="401" t="inlineStr">
        <is>
          <t>SCMS</t>
        </is>
      </c>
      <c r="K1415" s="401" t="inlineStr">
        <is>
          <t>X</t>
        </is>
      </c>
      <c r="L1415" s="395" t="inlineStr">
        <is>
          <t>X</t>
        </is>
      </c>
      <c r="M1415" s="401" t="n"/>
      <c r="N1415" s="395" t="inlineStr">
        <is>
          <t>Done</t>
        </is>
      </c>
      <c r="O1415" s="401" t="n"/>
      <c r="P1415" s="395" t="n"/>
      <c r="S1415" s="395" t="n"/>
      <c r="U1415" s="386" t="n"/>
      <c r="V1415" s="395" t="n"/>
      <c r="W1415" s="395" t="n"/>
      <c r="X1415" s="395" t="n"/>
      <c r="Y1415" s="13" t="n"/>
      <c r="Z1415" s="395" t="n"/>
      <c r="AA1415" s="395" t="n"/>
      <c r="AB1415" s="395" t="n"/>
      <c r="AC1415" s="395" t="n"/>
      <c r="AD1415" s="395" t="n"/>
      <c r="AE1415" s="395" t="n"/>
    </row>
    <row r="1416" ht="56" customHeight="1" s="380">
      <c r="A1416" s="73" t="n">
        <v>75</v>
      </c>
      <c r="B1416" s="386" t="n"/>
      <c r="C1416" s="386" t="inlineStr">
        <is>
          <t>Báo cáo theo Thông tư 121/2020/TT-BTC &gt;&gt; Tiền gửi giao dịch chứng khoán của nhà đầu tư - II.5.3</t>
        </is>
      </c>
      <c r="D1416" s="106" t="inlineStr">
        <is>
          <t>Mã chỉ tiêu</t>
        </is>
      </c>
      <c r="E1416" s="107" t="inlineStr">
        <is>
          <t>Mã chỉ tiêu</t>
        </is>
      </c>
      <c r="F1416" s="390" t="inlineStr">
        <is>
          <t>Data Explorer</t>
        </is>
      </c>
      <c r="G1416" s="390" t="inlineStr">
        <is>
          <t>Chiều</t>
        </is>
      </c>
      <c r="H1416" s="390" t="inlineStr">
        <is>
          <t>Dễ</t>
        </is>
      </c>
      <c r="I1416" s="390" t="inlineStr">
        <is>
          <t>Ngày, CTCK</t>
        </is>
      </c>
      <c r="J1416" s="401" t="inlineStr">
        <is>
          <t>SCMS</t>
        </is>
      </c>
      <c r="K1416" s="401" t="inlineStr">
        <is>
          <t>X</t>
        </is>
      </c>
      <c r="L1416" s="395" t="inlineStr">
        <is>
          <t>X</t>
        </is>
      </c>
      <c r="M1416" s="401" t="n"/>
      <c r="N1416" s="395" t="inlineStr">
        <is>
          <t>Done</t>
        </is>
      </c>
      <c r="O1416" s="401" t="n"/>
      <c r="P1416" s="395" t="n"/>
      <c r="Q1416" s="401" t="inlineStr">
        <is>
          <t>SCMS.BM_BAO_CAO
SCMS.BM_SHEET
SCMS.BM_BAO_CAO_CT
SCMS.DM_CHI_TIEU</t>
        </is>
      </c>
      <c r="R1416" s="402" t="inlineStr">
        <is>
          <t>dct.ID,
dct.MA_CHI_TIEU,
dct.TEN_CHI_TIEU,
dct.SU_DUNG,
s.BM_BAO_CAO_ID,
s.MA_SHEET,
ct.BM_BAO_CAO_ID,
ct.DM_CHI_TIEU_ID,
ct.SU_DUNG,
bm.ID,
bm.MA_BAO_CAO,
bm.SU_DUNG</t>
        </is>
      </c>
      <c r="S1416" s="395" t="n"/>
      <c r="T1416" s="384" t="inlineStr">
        <is>
          <t>-- Mã chỉ tiêu / Tên chỉ tiêu
SELECT DISTINCT
    dct.MA_CHI_TIEU  AS ma_chi_tieu,
    dct.TEN_CHI_TIEU AS ten_chi_tieu
FROM SCMS.BM_BAO_CAO bm
JOIN SCMS.BM_SHEET s ON s.BM_BAO_CAO_ID = bm.ID
	AND s.TEN_SHEET = 'TGGDCKNĐT'
JOIN SCMS.BM_BAO_CAO_CT ct ON ct.BM_SHEET_ID = s.ID
	AND ct.SU_DUNG = 1
JOIN SCMS.DM_CHI_TIEU dct ON dct.ID = ct.DM_CHI_TIEU_ID
	AND dct.SU_DUNG = 1
WHERE bm.MA_BAO_CAO LIKE 'BCTHHDKD%'
	AND bm.SU_DUNG = 1
ORDER BY dct.MA_CHI_TIEU;</t>
        </is>
      </c>
      <c r="U1416" s="386" t="n"/>
      <c r="V1416" s="395" t="n"/>
      <c r="W1416" s="395" t="n"/>
      <c r="X1416" s="395" t="n"/>
      <c r="Y1416" s="13" t="n"/>
      <c r="Z1416" s="395" t="n"/>
      <c r="AA1416" s="395" t="n"/>
      <c r="AB1416" s="395" t="n"/>
      <c r="AC1416" s="395" t="n"/>
      <c r="AD1416" s="395" t="n"/>
      <c r="AE1416" s="395" t="n"/>
    </row>
    <row r="1417" ht="56" customHeight="1" s="380">
      <c r="A1417" s="73" t="n">
        <v>75</v>
      </c>
      <c r="B1417" s="386" t="n"/>
      <c r="C1417" s="386" t="inlineStr">
        <is>
          <t>Báo cáo theo Thông tư 121/2020/TT-BTC &gt;&gt; Tiền gửi giao dịch chứng khoán của nhà đầu tư - II.5.3</t>
        </is>
      </c>
      <c r="D1417" s="106" t="inlineStr">
        <is>
          <t>Tên chỉ tiêu</t>
        </is>
      </c>
      <c r="E1417" s="107" t="inlineStr">
        <is>
          <t>Tên chỉ tiêu</t>
        </is>
      </c>
      <c r="F1417" s="390" t="inlineStr">
        <is>
          <t>Data Explorer</t>
        </is>
      </c>
      <c r="G1417" s="390" t="inlineStr">
        <is>
          <t>Chiều</t>
        </is>
      </c>
      <c r="H1417" s="390" t="inlineStr">
        <is>
          <t>Dễ</t>
        </is>
      </c>
      <c r="I1417" s="390" t="inlineStr">
        <is>
          <t>Ngày, CTCK</t>
        </is>
      </c>
      <c r="J1417" s="401" t="inlineStr">
        <is>
          <t>SCMS</t>
        </is>
      </c>
      <c r="K1417" s="401" t="inlineStr">
        <is>
          <t>X</t>
        </is>
      </c>
      <c r="L1417" s="395" t="inlineStr">
        <is>
          <t>X</t>
        </is>
      </c>
      <c r="M1417" s="401" t="n"/>
      <c r="N1417" s="395" t="inlineStr">
        <is>
          <t>Done</t>
        </is>
      </c>
      <c r="O1417" s="401" t="n"/>
      <c r="P1417" s="395" t="n"/>
      <c r="S1417" s="395" t="n"/>
      <c r="U1417" s="386" t="n"/>
      <c r="V1417" s="395" t="n"/>
      <c r="W1417" s="395" t="n"/>
      <c r="X1417" s="395" t="n"/>
      <c r="Y1417" s="13" t="n"/>
      <c r="Z1417" s="395" t="n"/>
      <c r="AA1417" s="395" t="n"/>
      <c r="AB1417" s="395" t="n"/>
      <c r="AC1417" s="395" t="n"/>
      <c r="AD1417" s="395" t="n"/>
      <c r="AE1417" s="395" t="n"/>
    </row>
    <row r="1418" ht="56" customHeight="1" s="380">
      <c r="A1418" s="73" t="n">
        <v>75</v>
      </c>
      <c r="B1418" s="386" t="n"/>
      <c r="C1418" s="386" t="inlineStr">
        <is>
          <t>Báo cáo theo Thông tư 121/2020/TT-BTC &gt;&gt; Tiền gửi giao dịch chứng khoán của nhà đầu tư - II.5.3</t>
        </is>
      </c>
      <c r="D1418" s="386" t="inlineStr">
        <is>
          <t>Tên ngân hàng nhận tiền gửi</t>
        </is>
      </c>
      <c r="E1418" s="395" t="inlineStr">
        <is>
          <t>Tên ngân hàng nhận tiền gửi</t>
        </is>
      </c>
      <c r="F1418" s="386" t="inlineStr">
        <is>
          <t>Data Explorer</t>
        </is>
      </c>
      <c r="G1418" s="386" t="inlineStr">
        <is>
          <t>Chỉ tiêu cơ sở</t>
        </is>
      </c>
      <c r="H1418" s="386" t="inlineStr">
        <is>
          <t>Dễ</t>
        </is>
      </c>
      <c r="I1418" s="386" t="inlineStr">
        <is>
          <t>Ngày, CTCK</t>
        </is>
      </c>
      <c r="J1418" s="395" t="inlineStr">
        <is>
          <t>SCMS</t>
        </is>
      </c>
      <c r="K1418" s="395" t="n"/>
      <c r="L1418" s="395" t="inlineStr">
        <is>
          <t>X</t>
        </is>
      </c>
      <c r="M1418" s="395" t="n"/>
      <c r="N1418" s="395" t="inlineStr">
        <is>
          <t>Done</t>
        </is>
      </c>
      <c r="O1418" s="401" t="n"/>
      <c r="P1418" s="395" t="n"/>
      <c r="Q1418" s="69" t="inlineStr">
        <is>
          <t>SCMS.BC_THANH_VIEN
SCMS.BM_BAO_CAO
SCMS.BC_BAO_CAO_GT
SCMS.BM_BAO_CAO_HANG
SCMS.BM_BAO_CAO_COT
SCMS.CTCK_THONG_TIN</t>
        </is>
      </c>
      <c r="R1418" s="427" t="inlineStr">
        <is>
          <t>btv.ID,
btv.NGAY_SO_LIEU,
btv.BM_BAO_CAO_ID,
btv.CTCK_THONG_TIN_ID,
btv.TRANG_THAI,
c.CTCK_THONG_TIN_ID,
bsh.ID,
bsh.MA_HANG,
bsc.TEN_COT,
bsc.BM_SHEET_ID,
gt.BC_THANH_VIEN_ID,
gt.BM_SHEET_HANG_ID,
gt.GIA_TRI,
bm.ID,
bm.MA_BAO_CAO</t>
        </is>
      </c>
      <c r="S1418" s="395" t="n"/>
      <c r="T1418" s="425" t="inlineStr">
        <is>
          <t>-- CHỈ TIÊU
SELECT
    ROW_NUMBER() OVER (ORDER BY ngay_bao_cao DESC, ten_ngan_hang) AS stt,
    ten_ngan_hang AS "Tên ngân hàng nhận tiền gửi",
    COUNT(DISTINCT CTCK_THONG_TIN_ID) AS "Số lượng công ty chứng khoán mở tài khoản",
    SUM(so_du) AS "Số dư trên tài khoản (tổng)",
    LISTAGG(ghi_chu, '; ') WITHIN GROUP (ORDER BY ngay_bao_cao) AS "Ghi chú"
FROM (
    SELECT
        btv.CTCK_THONG_TIN_ID,
        btv.NGAY_SO_LIEU AS ngay_bao_cao,
        MAX(CASE WHEN bsc.TEN_COT=N'Ngân hàng nhận tiền gửi' THEN CAST(gt.GIA_TRI AS VARCHAR2(4000)) END) AS ten_ngan_hang,	
        MAX(CASE WHEN bsc.TEN_COT=N'Số dư trên tài khoản(triệu đồng)' THEN CAST(gt.GIA_TRI AS VARCHAR2(4000)) END) AS so_du,
        MAX(CASE WHEN bsc.TEN_COT=N'Ghi chú' THEN CAST(gt.GIA_TRI AS VARCHAR2(4000)) END) AS ghi_chu
    FROM SCMS.BC_THANH_VIEN btv
    JOIN SCMS.BM_BAO_CAO bm ON bm.ID = btv.BM_BAO_CAO_ID
    JOIN SCMS.BC_BAO_CAO_GT gt ON gt.BC_THANH_VIEN_ID = btv.ID
    JOIN SCMS.BM_BAO_CAO_HANG bsh ON bsh.ID = gt.BM_SHEET_HANG_ID
    JOIN SCMS.BM_BAO_CAO_COT bsc ON bsc.BM_SHEET_ID = 7429 
    --                               AND bsc.TEN_COT = gt.TEN_COT
    JOIN SCMS.CTCK_THONG_TIN c ON c.CTCK_THONG_TIN_ID = btv.CTCK_THONG_TIN_ID
    WHERE bm.MA_BAO_CAO LIKE 'BCTHHDKD%'
      AND btv.TRANG_THAI IN (2, 3)
    GROUP BY
        btv.CTCK_THONG_TIN_ID, btv.NGAY_SO_LIEU,
        btv.ID, btv.TRANG_THAI, bm.MA_BAO_CAO,
        bsh.MA_HANG,
        c.TEN_VIET_TAT, c.SAN_NIEM_YET,
        c.MA_CHUNG_KHOAN, c.GIAY_PHEP_KINH_DOANH, c.NGAY_CAP_GPKD
)
GROUP BY ngay_bao_cao, ten_ngan_hang
ORDER BY ngay_bao_cao DESC, ten_ngan_hang;</t>
        </is>
      </c>
      <c r="U1418" s="386" t="n"/>
      <c r="V1418" s="395" t="n"/>
      <c r="W1418" s="395" t="n"/>
      <c r="X1418" s="395" t="n"/>
      <c r="Y1418" s="13" t="n"/>
      <c r="Z1418" s="395" t="n"/>
      <c r="AA1418" s="395" t="n"/>
      <c r="AB1418" s="395" t="n"/>
      <c r="AC1418" s="395" t="n"/>
      <c r="AD1418" s="395" t="n"/>
      <c r="AE1418" s="395" t="n"/>
    </row>
    <row r="1419" ht="56" customHeight="1" s="380">
      <c r="A1419" s="73" t="n">
        <v>75</v>
      </c>
      <c r="B1419" s="386" t="n"/>
      <c r="C1419" s="386" t="inlineStr">
        <is>
          <t>Báo cáo theo Thông tư 121/2020/TT-BTC &gt;&gt; Tiền gửi giao dịch chứng khoán của nhà đầu tư - II.5.3</t>
        </is>
      </c>
      <c r="D1419" s="386" t="inlineStr">
        <is>
          <t>Số lượng công ty chứng khoán mở tài khoản</t>
        </is>
      </c>
      <c r="E1419" s="386" t="inlineStr">
        <is>
          <t>Số lượng công ty chứng khoán mở tài khoản</t>
        </is>
      </c>
      <c r="F1419" s="386" t="inlineStr">
        <is>
          <t>Data Explorer</t>
        </is>
      </c>
      <c r="G1419" s="386" t="inlineStr">
        <is>
          <t>Chỉ tiêu cơ sở</t>
        </is>
      </c>
      <c r="H1419" s="386" t="inlineStr">
        <is>
          <t>TB</t>
        </is>
      </c>
      <c r="I1419" s="386" t="inlineStr">
        <is>
          <t>Ngày, CTCK</t>
        </is>
      </c>
      <c r="J1419" s="395" t="inlineStr">
        <is>
          <t>SCMS</t>
        </is>
      </c>
      <c r="K1419" s="395" t="n"/>
      <c r="L1419" s="395" t="inlineStr">
        <is>
          <t>X</t>
        </is>
      </c>
      <c r="M1419" s="395" t="n"/>
      <c r="N1419" s="395" t="inlineStr">
        <is>
          <t>Done</t>
        </is>
      </c>
      <c r="O1419" s="401" t="n"/>
      <c r="P1419" s="395" t="n"/>
      <c r="S1419" s="395" t="n"/>
      <c r="U1419" s="386" t="n"/>
      <c r="V1419" s="395" t="n"/>
      <c r="W1419" s="395" t="n"/>
      <c r="X1419" s="395" t="n"/>
      <c r="Y1419" s="14" t="n"/>
      <c r="Z1419" s="395" t="n"/>
      <c r="AA1419" s="395" t="n"/>
      <c r="AB1419" s="395" t="n"/>
      <c r="AC1419" s="395" t="n"/>
      <c r="AD1419" s="395" t="n"/>
      <c r="AE1419" s="395" t="n"/>
    </row>
    <row r="1420" ht="56" customHeight="1" s="380">
      <c r="A1420" s="73" t="n">
        <v>75</v>
      </c>
      <c r="B1420" s="386" t="n"/>
      <c r="C1420" s="386" t="inlineStr">
        <is>
          <t>Báo cáo theo Thông tư 121/2020/TT-BTC &gt;&gt; Tiền gửi giao dịch chứng khoán của nhà đầu tư - II.5.3</t>
        </is>
      </c>
      <c r="D1420" s="386" t="inlineStr">
        <is>
          <t>Số dư trên tài khoản (đồng)</t>
        </is>
      </c>
      <c r="E1420" s="395" t="inlineStr">
        <is>
          <t>Số dư trên tài khoản (đồng)</t>
        </is>
      </c>
      <c r="F1420" s="386" t="inlineStr">
        <is>
          <t>Data Explorer</t>
        </is>
      </c>
      <c r="G1420" s="386" t="inlineStr">
        <is>
          <t>Chỉ tiêu cơ sở</t>
        </is>
      </c>
      <c r="H1420" s="386" t="inlineStr">
        <is>
          <t>TB</t>
        </is>
      </c>
      <c r="I1420" s="386" t="inlineStr">
        <is>
          <t>Ngày, CTCK</t>
        </is>
      </c>
      <c r="J1420" s="395" t="inlineStr">
        <is>
          <t>SCMS</t>
        </is>
      </c>
      <c r="K1420" s="395" t="n"/>
      <c r="L1420" s="395" t="inlineStr">
        <is>
          <t>X</t>
        </is>
      </c>
      <c r="M1420" s="395" t="n"/>
      <c r="N1420" s="395" t="inlineStr">
        <is>
          <t>Done</t>
        </is>
      </c>
      <c r="O1420" s="401" t="n"/>
      <c r="P1420" s="395" t="n"/>
      <c r="S1420" s="395" t="n"/>
      <c r="U1420" s="386" t="n"/>
      <c r="V1420" s="395" t="n"/>
      <c r="W1420" s="395" t="n"/>
      <c r="X1420" s="395" t="n"/>
      <c r="Y1420" s="13" t="n"/>
      <c r="Z1420" s="395" t="n"/>
      <c r="AA1420" s="395" t="n"/>
      <c r="AB1420" s="395" t="n"/>
      <c r="AC1420" s="395" t="n"/>
      <c r="AD1420" s="395" t="n"/>
      <c r="AE1420" s="395" t="n"/>
    </row>
    <row r="1421" ht="56" customHeight="1" s="380">
      <c r="A1421" s="83" t="n">
        <v>75</v>
      </c>
      <c r="B1421" s="68" t="n"/>
      <c r="C1421" s="68" t="inlineStr">
        <is>
          <t>Báo cáo theo Thông tư 121/2020/TT-BTC &gt;&gt; Tiền gửi giao dịch chứng khoán của nhà đầu tư - II.5.3</t>
        </is>
      </c>
      <c r="D1421" s="68" t="inlineStr">
        <is>
          <t>Ghi chú</t>
        </is>
      </c>
      <c r="E1421" s="69" t="inlineStr">
        <is>
          <t>Ghi chú</t>
        </is>
      </c>
      <c r="F1421" s="68" t="inlineStr">
        <is>
          <t>Data Explorer</t>
        </is>
      </c>
      <c r="G1421" s="68" t="inlineStr">
        <is>
          <t>Chỉ tiêu cơ sở</t>
        </is>
      </c>
      <c r="H1421" s="68" t="inlineStr">
        <is>
          <t>Dễ</t>
        </is>
      </c>
      <c r="I1421" s="68" t="inlineStr">
        <is>
          <t>Ngày, CTCK</t>
        </is>
      </c>
      <c r="J1421" s="69" t="inlineStr">
        <is>
          <t>SCMS</t>
        </is>
      </c>
      <c r="K1421" s="69" t="n"/>
      <c r="L1421" s="69" t="inlineStr">
        <is>
          <t>X</t>
        </is>
      </c>
      <c r="M1421" s="69" t="n"/>
      <c r="N1421" s="69" t="inlineStr">
        <is>
          <t>Done</t>
        </is>
      </c>
      <c r="O1421" s="85" t="n"/>
      <c r="P1421" s="69" t="n"/>
      <c r="Q1421" s="426" t="n"/>
      <c r="R1421" s="426" t="n"/>
      <c r="S1421" s="69" t="n"/>
      <c r="T1421" s="426" t="n"/>
      <c r="U1421" s="68" t="n"/>
      <c r="V1421" s="69" t="n"/>
      <c r="W1421" s="69" t="n"/>
      <c r="X1421" s="69" t="n"/>
      <c r="Y1421" s="97" t="n"/>
      <c r="Z1421" s="69" t="n"/>
      <c r="AA1421" s="69" t="n"/>
      <c r="AB1421" s="69" t="n"/>
      <c r="AC1421" s="69" t="n"/>
      <c r="AD1421" s="69" t="n"/>
      <c r="AE1421" s="69" t="n"/>
    </row>
    <row r="1422" ht="56" customHeight="1" s="380">
      <c r="A1422" s="73" t="n">
        <v>76</v>
      </c>
      <c r="B1422" s="122" t="inlineStr">
        <is>
          <t>Nga</t>
        </is>
      </c>
      <c r="C1422" s="81" t="inlineStr">
        <is>
          <t>Báo cáo theo Thông tư 121/2020/TT-BTC &gt;&gt; Tình hình giao dịch ký quỹ chứng khoán - II.8</t>
        </is>
      </c>
      <c r="D1422" s="106" t="inlineStr">
        <is>
          <t>Loại báo cáo</t>
        </is>
      </c>
      <c r="E1422" s="107" t="inlineStr">
        <is>
          <t>Loại báo cáo</t>
        </is>
      </c>
      <c r="F1422" s="390" t="inlineStr">
        <is>
          <t>Data Explorer</t>
        </is>
      </c>
      <c r="G1422" s="390" t="inlineStr">
        <is>
          <t>Chiều</t>
        </is>
      </c>
      <c r="H1422" s="390" t="inlineStr">
        <is>
          <t>Dễ</t>
        </is>
      </c>
      <c r="I1422" s="390" t="inlineStr">
        <is>
          <t>Ngày, CTCK</t>
        </is>
      </c>
      <c r="J1422" s="401" t="inlineStr">
        <is>
          <t>SCMS</t>
        </is>
      </c>
      <c r="K1422" s="401" t="inlineStr">
        <is>
          <t>X</t>
        </is>
      </c>
      <c r="L1422" s="395" t="inlineStr">
        <is>
          <t>X</t>
        </is>
      </c>
      <c r="M1422" s="401" t="n"/>
      <c r="N1422" s="395" t="inlineStr">
        <is>
          <t>Done</t>
        </is>
      </c>
      <c r="O1422" s="401" t="n"/>
      <c r="P1422" s="395" t="n"/>
      <c r="Q1422" s="404" t="inlineStr">
        <is>
          <t>SCMS.BM_BAO_CAO
SCMS.BM_BAO_CAO_DINH_KY</t>
        </is>
      </c>
      <c r="R1422" s="404" t="inlineStr">
        <is>
          <t>bm.ID,
bm.MA_BAO_CAO,
bm.LOAI_BAO_CAO,
bm.TEN_BAO_CAO,
bm.SU_DUNG,
bdk.BM_BAO_CAO_ID,
bdk.KY_BAO_CAO,
bdk.SU_DUNG</t>
        </is>
      </c>
      <c r="S1422" s="395" t="n"/>
      <c r="T1422"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422" s="386" t="n"/>
      <c r="V1422" s="395" t="n"/>
      <c r="W1422" s="395" t="n"/>
      <c r="X1422" s="395" t="n"/>
      <c r="Y1422" s="13" t="n"/>
      <c r="Z1422" s="395" t="n"/>
      <c r="AA1422" s="395" t="n"/>
      <c r="AB1422" s="395" t="n"/>
      <c r="AC1422" s="395" t="n"/>
      <c r="AD1422" s="395" t="n"/>
      <c r="AE1422" s="395" t="n"/>
    </row>
    <row r="1423" ht="56" customHeight="1" s="380">
      <c r="A1423" s="73" t="n">
        <v>76</v>
      </c>
      <c r="B1423" s="386" t="n"/>
      <c r="C1423" s="386" t="inlineStr">
        <is>
          <t>Báo cáo theo Thông tư 121/2020/TT-BTC &gt;&gt; Tình hình giao dịch ký quỹ chứng khoán - II.8</t>
        </is>
      </c>
      <c r="D1423" s="106" t="inlineStr">
        <is>
          <t>Kỳ báo cáo</t>
        </is>
      </c>
      <c r="E1423" s="107" t="inlineStr">
        <is>
          <t>Kỳ báo cáo</t>
        </is>
      </c>
      <c r="F1423" s="390" t="inlineStr">
        <is>
          <t>Data Explorer</t>
        </is>
      </c>
      <c r="G1423" s="390" t="inlineStr">
        <is>
          <t>Chiều</t>
        </is>
      </c>
      <c r="H1423" s="390" t="inlineStr">
        <is>
          <t>Dễ</t>
        </is>
      </c>
      <c r="I1423" s="390" t="inlineStr">
        <is>
          <t>Ngày, CTCK</t>
        </is>
      </c>
      <c r="J1423" s="401" t="inlineStr">
        <is>
          <t>SCMS</t>
        </is>
      </c>
      <c r="K1423" s="401" t="inlineStr">
        <is>
          <t>X</t>
        </is>
      </c>
      <c r="L1423" s="395" t="inlineStr">
        <is>
          <t>X</t>
        </is>
      </c>
      <c r="M1423" s="401" t="n"/>
      <c r="N1423" s="395" t="inlineStr">
        <is>
          <t>Done</t>
        </is>
      </c>
      <c r="O1423" s="401" t="n"/>
      <c r="P1423" s="395" t="n"/>
      <c r="S1423" s="395" t="n"/>
      <c r="U1423" s="386" t="n"/>
      <c r="V1423" s="395" t="n"/>
      <c r="W1423" s="395" t="n"/>
      <c r="X1423" s="395" t="n"/>
      <c r="Y1423" s="13" t="n"/>
      <c r="Z1423" s="395" t="n"/>
      <c r="AA1423" s="395" t="n"/>
      <c r="AB1423" s="395" t="n"/>
      <c r="AC1423" s="395" t="n"/>
      <c r="AD1423" s="395" t="n"/>
      <c r="AE1423" s="395" t="n"/>
    </row>
    <row r="1424" ht="56" customHeight="1" s="380">
      <c r="A1424" s="73" t="n">
        <v>76</v>
      </c>
      <c r="B1424" s="386" t="n"/>
      <c r="C1424" s="386" t="inlineStr">
        <is>
          <t>Báo cáo theo Thông tư 121/2020/TT-BTC &gt;&gt; Tình hình giao dịch ký quỹ chứng khoán - II.8</t>
        </is>
      </c>
      <c r="D1424" s="106" t="inlineStr">
        <is>
          <t>Mã báo cáo</t>
        </is>
      </c>
      <c r="E1424" s="107" t="inlineStr">
        <is>
          <t>Mã báo cáo</t>
        </is>
      </c>
      <c r="F1424" s="390" t="inlineStr">
        <is>
          <t>Data Explorer</t>
        </is>
      </c>
      <c r="G1424" s="390" t="inlineStr">
        <is>
          <t>Chiều</t>
        </is>
      </c>
      <c r="H1424" s="390" t="inlineStr">
        <is>
          <t>Dễ</t>
        </is>
      </c>
      <c r="I1424" s="390" t="inlineStr">
        <is>
          <t>Ngày, CTCK</t>
        </is>
      </c>
      <c r="J1424" s="401" t="inlineStr">
        <is>
          <t>SCMS</t>
        </is>
      </c>
      <c r="K1424" s="401" t="inlineStr">
        <is>
          <t>X</t>
        </is>
      </c>
      <c r="L1424" s="395" t="inlineStr">
        <is>
          <t>X</t>
        </is>
      </c>
      <c r="M1424" s="401" t="n"/>
      <c r="N1424" s="395" t="inlineStr">
        <is>
          <t>Done</t>
        </is>
      </c>
      <c r="O1424" s="401" t="n"/>
      <c r="P1424" s="395" t="n"/>
      <c r="S1424" s="395" t="n"/>
      <c r="U1424" s="386" t="n"/>
      <c r="V1424" s="395" t="n"/>
      <c r="W1424" s="395" t="n"/>
      <c r="X1424" s="395" t="n"/>
      <c r="Y1424" s="13" t="n"/>
      <c r="Z1424" s="395" t="n"/>
      <c r="AA1424" s="395" t="n"/>
      <c r="AB1424" s="395" t="n"/>
      <c r="AC1424" s="395" t="n"/>
      <c r="AD1424" s="395" t="n"/>
      <c r="AE1424" s="395" t="n"/>
    </row>
    <row r="1425" ht="56" customHeight="1" s="380">
      <c r="A1425" s="73" t="n">
        <v>76</v>
      </c>
      <c r="B1425" s="386" t="n"/>
      <c r="C1425" s="386" t="inlineStr">
        <is>
          <t>Báo cáo theo Thông tư 121/2020/TT-BTC &gt;&gt; Tình hình giao dịch ký quỹ chứng khoán - II.8</t>
        </is>
      </c>
      <c r="D1425" s="106" t="inlineStr">
        <is>
          <t>Tên báo cáo</t>
        </is>
      </c>
      <c r="E1425" s="107" t="inlineStr">
        <is>
          <t>Tên báo cáo</t>
        </is>
      </c>
      <c r="F1425" s="390" t="inlineStr">
        <is>
          <t>Data Explorer</t>
        </is>
      </c>
      <c r="G1425" s="390" t="inlineStr">
        <is>
          <t>Chiều</t>
        </is>
      </c>
      <c r="H1425" s="390" t="inlineStr">
        <is>
          <t>Dễ</t>
        </is>
      </c>
      <c r="I1425" s="390" t="inlineStr">
        <is>
          <t>Ngày, CTCK</t>
        </is>
      </c>
      <c r="J1425" s="401" t="inlineStr">
        <is>
          <t>SCMS</t>
        </is>
      </c>
      <c r="K1425" s="401" t="inlineStr">
        <is>
          <t>X</t>
        </is>
      </c>
      <c r="L1425" s="395" t="inlineStr">
        <is>
          <t>X</t>
        </is>
      </c>
      <c r="M1425" s="401" t="n"/>
      <c r="N1425" s="395" t="inlineStr">
        <is>
          <t>Done</t>
        </is>
      </c>
      <c r="O1425" s="401" t="n"/>
      <c r="P1425" s="395" t="n"/>
      <c r="S1425" s="395" t="n"/>
      <c r="U1425" s="386" t="n"/>
      <c r="V1425" s="395" t="n"/>
      <c r="W1425" s="395" t="n"/>
      <c r="X1425" s="395" t="n"/>
      <c r="Y1425" s="14" t="n"/>
      <c r="Z1425" s="395" t="n"/>
      <c r="AA1425" s="395" t="n"/>
      <c r="AB1425" s="395" t="n"/>
      <c r="AC1425" s="395" t="n"/>
      <c r="AD1425" s="395" t="n"/>
      <c r="AE1425" s="395" t="n"/>
    </row>
    <row r="1426" ht="56" customHeight="1" s="380">
      <c r="A1426" s="73" t="n">
        <v>76</v>
      </c>
      <c r="B1426" s="386" t="n"/>
      <c r="C1426" s="386" t="inlineStr">
        <is>
          <t>Báo cáo theo Thông tư 121/2020/TT-BTC &gt;&gt; Tình hình giao dịch ký quỹ chứng khoán - II.8</t>
        </is>
      </c>
      <c r="D1426" s="106" t="inlineStr">
        <is>
          <t>Mã sheet</t>
        </is>
      </c>
      <c r="E1426" s="106" t="inlineStr">
        <is>
          <t>Mã sheet</t>
        </is>
      </c>
      <c r="F1426" s="390" t="inlineStr">
        <is>
          <t>Data Explorer</t>
        </is>
      </c>
      <c r="G1426" s="390" t="inlineStr">
        <is>
          <t>Chiều</t>
        </is>
      </c>
      <c r="H1426" s="390" t="inlineStr">
        <is>
          <t>Dễ</t>
        </is>
      </c>
      <c r="I1426" s="390" t="inlineStr">
        <is>
          <t>Ngày, CTCK</t>
        </is>
      </c>
      <c r="J1426" s="401" t="inlineStr">
        <is>
          <t>SCMS</t>
        </is>
      </c>
      <c r="K1426" s="401" t="inlineStr">
        <is>
          <t>X</t>
        </is>
      </c>
      <c r="L1426" s="395" t="inlineStr">
        <is>
          <t>X</t>
        </is>
      </c>
      <c r="M1426" s="401" t="n"/>
      <c r="N1426" s="395" t="inlineStr">
        <is>
          <t>Done</t>
        </is>
      </c>
      <c r="O1426" s="401" t="n"/>
      <c r="P1426" s="395" t="n"/>
      <c r="Q1426" s="401" t="inlineStr">
        <is>
          <t>SCMS.BM_BAO_CAO
SCMS.BM_SHEET</t>
        </is>
      </c>
      <c r="R1426" s="401" t="inlineStr">
        <is>
          <t>bm.ID,
bm.MA_BAO_CAO,
bm.SU_DUNG,
s.BM_BAO_CAO_ID,
s.MA_SHEET,
s.TEN_SHEET,
s.SAP_XEP</t>
        </is>
      </c>
      <c r="S1426" s="395" t="n"/>
      <c r="T1426" s="384" t="inlineStr">
        <is>
          <t>-- Mã sheet / Tên sheet
-- TEN_SHEET: THNS
SELECT bm.MA_BAO_CAO,
s.MA_SHEET,
s.TEN_SHEET
FROM SCMS.BM_BAO_CAO bm
JOIN SCMS.BM_SHEET s ON s.BM_BAO_CAO_ID = bm.ID
WHERE bm.MA_BAO_CAO LIKE 'BCTHHDKD%'
AND s.TEN_SHEET = 'GDKQCK'  -- Check lại
AND bm.SU_DUNG = 1
ORDER BY bm.MA_BAO_CAO, s.SAP_XEP;</t>
        </is>
      </c>
      <c r="U1426" s="386" t="n"/>
      <c r="V1426" s="395" t="n"/>
      <c r="W1426" s="395" t="n"/>
      <c r="X1426" s="395" t="n"/>
      <c r="Y1426" s="13" t="n"/>
      <c r="Z1426" s="395" t="n"/>
      <c r="AA1426" s="395" t="n"/>
      <c r="AB1426" s="395" t="n"/>
      <c r="AC1426" s="395" t="n"/>
      <c r="AD1426" s="395" t="n"/>
      <c r="AE1426" s="395" t="n"/>
    </row>
    <row r="1427" ht="56" customHeight="1" s="380">
      <c r="A1427" s="73" t="n">
        <v>76</v>
      </c>
      <c r="B1427" s="386" t="n"/>
      <c r="C1427" s="386" t="inlineStr">
        <is>
          <t>Báo cáo theo Thông tư 121/2020/TT-BTC &gt;&gt; Tình hình giao dịch ký quỹ chứng khoán - II.8</t>
        </is>
      </c>
      <c r="D1427" s="106" t="inlineStr">
        <is>
          <t>Tên sheet</t>
        </is>
      </c>
      <c r="E1427" s="106" t="inlineStr">
        <is>
          <t>Tên sheet</t>
        </is>
      </c>
      <c r="F1427" s="390" t="inlineStr">
        <is>
          <t>Data Explorer</t>
        </is>
      </c>
      <c r="G1427" s="390" t="inlineStr">
        <is>
          <t>Chiều</t>
        </is>
      </c>
      <c r="H1427" s="390" t="inlineStr">
        <is>
          <t>Dễ</t>
        </is>
      </c>
      <c r="I1427" s="390" t="inlineStr">
        <is>
          <t>Ngày, CTCK</t>
        </is>
      </c>
      <c r="J1427" s="401" t="inlineStr">
        <is>
          <t>SCMS</t>
        </is>
      </c>
      <c r="K1427" s="401" t="inlineStr">
        <is>
          <t>X</t>
        </is>
      </c>
      <c r="L1427" s="395" t="inlineStr">
        <is>
          <t>X</t>
        </is>
      </c>
      <c r="M1427" s="401" t="n"/>
      <c r="N1427" s="395" t="inlineStr">
        <is>
          <t>Done</t>
        </is>
      </c>
      <c r="O1427" s="401" t="n"/>
      <c r="P1427" s="395" t="n"/>
      <c r="S1427" s="395" t="n"/>
      <c r="U1427" s="386" t="n"/>
      <c r="V1427" s="395" t="n"/>
      <c r="W1427" s="395" t="n"/>
      <c r="X1427" s="395" t="n"/>
      <c r="Y1427" s="13" t="n"/>
      <c r="Z1427" s="395" t="n"/>
      <c r="AA1427" s="395" t="n"/>
      <c r="AB1427" s="395" t="n"/>
      <c r="AC1427" s="395" t="n"/>
      <c r="AD1427" s="395" t="n"/>
      <c r="AE1427" s="395" t="n"/>
    </row>
    <row r="1428" ht="56" customHeight="1" s="380">
      <c r="A1428" s="73" t="n">
        <v>76</v>
      </c>
      <c r="B1428" s="386" t="n"/>
      <c r="C1428" s="386" t="inlineStr">
        <is>
          <t>Báo cáo theo Thông tư 121/2020/TT-BTC &gt;&gt; Tình hình giao dịch ký quỹ chứng khoán - II.8</t>
        </is>
      </c>
      <c r="D1428" s="106" t="inlineStr">
        <is>
          <t>Mã chỉ tiêu</t>
        </is>
      </c>
      <c r="E1428" s="107" t="inlineStr">
        <is>
          <t>Mã chỉ tiêu</t>
        </is>
      </c>
      <c r="F1428" s="390" t="inlineStr">
        <is>
          <t>Data Explorer</t>
        </is>
      </c>
      <c r="G1428" s="390" t="inlineStr">
        <is>
          <t>Chiều</t>
        </is>
      </c>
      <c r="H1428" s="390" t="inlineStr">
        <is>
          <t>Dễ</t>
        </is>
      </c>
      <c r="I1428" s="390" t="inlineStr">
        <is>
          <t>Ngày, CTCK</t>
        </is>
      </c>
      <c r="J1428" s="401" t="inlineStr">
        <is>
          <t>SCMS</t>
        </is>
      </c>
      <c r="K1428" s="401" t="inlineStr">
        <is>
          <t>X</t>
        </is>
      </c>
      <c r="L1428" s="395" t="inlineStr">
        <is>
          <t>X</t>
        </is>
      </c>
      <c r="M1428" s="401" t="n"/>
      <c r="N1428" s="395" t="inlineStr">
        <is>
          <t>Done</t>
        </is>
      </c>
      <c r="O1428" s="401" t="n"/>
      <c r="P1428" s="395" t="n"/>
      <c r="Q1428" s="401" t="inlineStr">
        <is>
          <t>SCMS.BM_BAO_CAO
SCMS.BM_SHEET
SCMS.BM_BAO_CAO_CT
SCMS.DM_CHI_TIEU</t>
        </is>
      </c>
      <c r="R1428" s="402" t="inlineStr">
        <is>
          <t>dct.ID,
dct.MA_CHI_TIEU,
dct.TEN_CHI_TIEU,
dct.SU_DUNG,
s.BM_BAO_CAO_ID,
s.MA_SHEET,
ct.BM_BAO_CAO_ID,
ct.DM_CHI_TIEU_ID,
ct.SU_DUNG,
bm.ID,
bm.MA_BAO_CAO,
bm.SU_DUNG</t>
        </is>
      </c>
      <c r="S1428" s="395" t="n"/>
      <c r="T1428" s="384" t="inlineStr">
        <is>
          <t>-- Mã chỉ tiêu / Tên chỉ tiêu
SELECT DISTINCT
    dct.MA_CHI_TIEU  AS ma_chi_tieu,
    dct.TEN_CHI_TIEU AS ten_chi_tieu
FROM SCMS.BM_BAO_CAO bm
JOIN SCMS.BM_SHEET s ON s.BM_BAO_CAO_ID = bm.ID
	AND s.TEN_SHEET = 'GDKQCK'
JOIN SCMS.BM_BAO_CAO_CT ct ON ct.BM_SHEET_ID = s.ID
	AND ct.SU_DUNG = 1
JOIN SCMS.DM_CHI_TIEU dct ON dct.ID = ct.DM_CHI_TIEU_ID
	AND dct.SU_DUNG = 1
WHERE bm.MA_BAO_CAO LIKE 'BCTHHDKD%'
	AND bm.SU_DUNG = 1
ORDER BY dct.MA_CHI_TIEU;</t>
        </is>
      </c>
      <c r="U1428" s="386" t="n"/>
      <c r="V1428" s="395" t="n"/>
      <c r="W1428" s="395" t="n"/>
      <c r="X1428" s="395" t="n"/>
      <c r="Y1428" s="13" t="n"/>
      <c r="Z1428" s="395" t="n"/>
      <c r="AA1428" s="395" t="n"/>
      <c r="AB1428" s="395" t="n"/>
      <c r="AC1428" s="395" t="n"/>
      <c r="AD1428" s="395" t="n"/>
      <c r="AE1428" s="395" t="n"/>
    </row>
    <row r="1429" ht="56" customHeight="1" s="380">
      <c r="A1429" s="73" t="n">
        <v>76</v>
      </c>
      <c r="B1429" s="386" t="n"/>
      <c r="C1429" s="386" t="inlineStr">
        <is>
          <t>Báo cáo theo Thông tư 121/2020/TT-BTC &gt;&gt; Tình hình giao dịch ký quỹ chứng khoán - II.8</t>
        </is>
      </c>
      <c r="D1429" s="106" t="inlineStr">
        <is>
          <t>Tên chỉ tiêu</t>
        </is>
      </c>
      <c r="E1429" s="107" t="inlineStr">
        <is>
          <t>Tên chỉ tiêu</t>
        </is>
      </c>
      <c r="F1429" s="390" t="inlineStr">
        <is>
          <t>Data Explorer</t>
        </is>
      </c>
      <c r="G1429" s="390" t="inlineStr">
        <is>
          <t>Chiều</t>
        </is>
      </c>
      <c r="H1429" s="390" t="inlineStr">
        <is>
          <t>Dễ</t>
        </is>
      </c>
      <c r="I1429" s="390" t="inlineStr">
        <is>
          <t>Ngày, CTCK</t>
        </is>
      </c>
      <c r="J1429" s="401" t="inlineStr">
        <is>
          <t>SCMS</t>
        </is>
      </c>
      <c r="K1429" s="401" t="inlineStr">
        <is>
          <t>X</t>
        </is>
      </c>
      <c r="L1429" s="395" t="inlineStr">
        <is>
          <t>X</t>
        </is>
      </c>
      <c r="M1429" s="401" t="n"/>
      <c r="N1429" s="395" t="inlineStr">
        <is>
          <t>Done</t>
        </is>
      </c>
      <c r="O1429" s="401" t="n"/>
      <c r="P1429" s="395" t="n"/>
      <c r="S1429" s="395" t="n"/>
      <c r="U1429" s="386" t="n"/>
      <c r="V1429" s="395" t="n"/>
      <c r="W1429" s="395" t="n"/>
      <c r="X1429" s="395" t="n"/>
      <c r="Y1429" s="13" t="n"/>
      <c r="Z1429" s="395" t="n"/>
      <c r="AA1429" s="395" t="n"/>
      <c r="AB1429" s="395" t="n"/>
      <c r="AC1429" s="395" t="n"/>
      <c r="AD1429" s="395" t="n"/>
      <c r="AE1429" s="395" t="n"/>
    </row>
    <row r="1430" ht="56" customHeight="1" s="380">
      <c r="A1430" s="73" t="n">
        <v>76</v>
      </c>
      <c r="B1430" s="386" t="n"/>
      <c r="C1430" s="386" t="inlineStr">
        <is>
          <t>Báo cáo theo Thông tư 121/2020/TT-BTC &gt;&gt; Tình hình giao dịch ký quỹ chứng khoán - II.8</t>
        </is>
      </c>
      <c r="D1430" s="386" t="inlineStr">
        <is>
          <t>Tên công ty chứng khoán</t>
        </is>
      </c>
      <c r="E1430" s="386" t="inlineStr">
        <is>
          <t>Tên công ty chứng khoán</t>
        </is>
      </c>
      <c r="F1430" s="386" t="inlineStr">
        <is>
          <t>Data Explorer</t>
        </is>
      </c>
      <c r="G1430" s="386" t="inlineStr">
        <is>
          <t>Chỉ tiêu cơ sở</t>
        </is>
      </c>
      <c r="H1430" s="386" t="inlineStr">
        <is>
          <t>Dễ</t>
        </is>
      </c>
      <c r="I1430" s="386" t="inlineStr">
        <is>
          <t>Ngày, CTCK</t>
        </is>
      </c>
      <c r="J1430" s="395" t="inlineStr">
        <is>
          <t>SCMS</t>
        </is>
      </c>
      <c r="K1430" s="395" t="n"/>
      <c r="L1430" s="395" t="inlineStr">
        <is>
          <t>X</t>
        </is>
      </c>
      <c r="M1430" s="395" t="n"/>
      <c r="N1430" s="395" t="inlineStr">
        <is>
          <t>Done</t>
        </is>
      </c>
      <c r="O1430" s="401" t="n"/>
      <c r="P1430" s="395" t="n"/>
      <c r="Q1430" s="427" t="inlineStr">
        <is>
          <t>SCMS.BC_THANH_VIEN
SCMS.BM_BAO_CAO
SCMS.BC_BAO_CAO_GT
SCMS.BM_BAO_CAO_HANG
SCMS.BM_BAO_CAO_COT
SCMS.CTCK_THONG_TIN</t>
        </is>
      </c>
      <c r="R1430" s="427" t="inlineStr">
        <is>
          <t>btv.ID,
btv.NGAY_SO_LIEU,
btv.BM_BAO_CAO_ID,
btv.CTCK_THONG_TIN_ID,
btv.TRANG_THAI,
btv2.XOA_DU_LIEU,
c.CTCK_THONG_TIN_ID,
bsh.ID,
bsh.MA_HANG,
bsc.TEN_COT,
bsc.BM_SHEET_ID,
gt.BC_THANH_VIEN_ID,
gt.BM_SHEET_HANG_ID,
gt.GIA_TRI,
bm.ID,
bm.MA_BAO_CAO</t>
        </is>
      </c>
      <c r="S1430" s="395" t="n"/>
      <c r="T1430"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gt_bctc.TEN_HANG LIKE N'%Vốn chủ sở hữu%' THEN CAST(gt_bctc.GIA_TRI AS VARCHAR2(4000)) END)  AS "Vốn chủ sở hữu (triệu đồng)",  -- Check lại
    MAX(CASE WHEN bsh.MA_HANG='1' AND bsc.TEN_COT=N'Số lượng' THEN CAST(gt.GIA_TRI AS VARCHAR2(4000)) END) AS "Số lượng tài khoản giao dịch ký quỹ",
    MAX(CASE WHEN bsh.MA_HANG='2' AND bsc.TEN_COT=N'Giá trị(triệu đồng)' THEN CAST(gt.GIA_TRI AS VARCHAR2(4000)) END) AS "Giá trị chứng khoán ký quỹ",
    MAX(CASE WHEN bsh.MA_HANG='4' AND bsc.TEN_COT=N'Giá trị(triệu đồng)' THEN CAST(gt.GIA_TRI AS VARCHAR2(4000)) END) AS "Vốn chủ sở hữu",
    MAX(CASE WHEN bsh.MA_HANG='5' AND bsc.TEN_COT=N'Giá trị(triệu đồng)' THEN CAST(gt.GIA_TRI AS VARCHAR2(4000)) END) AS "Vốn tay từ tổ chức tín dụng",
    MAX(CASE WHEN bsh.MA_HANG='6' AND bsc.TEN_COT=N'Giá trị(triệu đồng)' THEN CAST(gt.GIA_TRI AS VARCHAR2(4000)) END) AS "Vốn vay từ nguồn khác",
    MAX(CASE WHEN bsh.MA_HANG='7' AND bsc.TEN_COT=N'Giá trị(triệu đồng)' THEN CAST(gt.GIA_TRI AS VARCHAR2(4000)) END) AS "Giá trị Thu từ hoạt động ký quỹ",
    MAX(CASE WHEN bsh.MA_HANG='8' AND bsc.TEN_COT=N'Giá trị(triệu đồng)' THEN CAST(gt.GIA_TRI AS VARCHAR2(4000)) END) AS "Dư nợ cho vay ký quỹ tại HSX",
    MAX(CASE WHEN bsh.MA_HANG='8' AND bsc.TEN_COT=N'Khối lượng chứng khoán cầm cố' THEN CAST(gt.GIA_TRI AS VARCHAR2(4000)) END) AS "Khối lượng chứng khoán cầm cố tại HSX",
    MAX(CASE WHEN bsh.MA_HANG='9' AND bsc.TEN_COT=N'Giá trị(triệu đồng)' THEN CAST(gt.GIA_TRI AS VARCHAR2(4000)) END) AS "Dư nợ cho vay ký quỹ tại HNX",
    MAX(CASE WHEN bsh.MA_HANG='9' AND bsc.TEN_COT=N'Khối lượng chứng khoán cầm cố' THEN CAST(gt.GIA_TRI AS VARCHAR2(4000)) END) AS "Khối lượng chứng khoán cầm cố tại HNX",
    MAX(CASE WHEN bsh.MA_HANG='10' AND bsc.TEN_COT=N'Giá trị(triệu đồng)' THEN CAST(gt.GIA_TRI AS VARCHAR2(4000)) END) AS "Tổng dư nợ cho vay ký quỹ",
    MAX(CASE WHEN bsh.MA_HANG='10' AND bsc.TEN_COT=N'Khối lượng chứng khoán cầm cố' THEN CAST(gt.GIA_TRI AS VARCHAR2(4000)) END) AS "Tổng khối lượng chứng khoán cầm"
FROM SCMS.BC_THANH_VIEN btv
JOIN SCMS.BM_BAO_CAO bm ON bm.ID = btv.BM_BAO_CAO_ID
JOIN SCMS.BC_BAO_CAO_GT gt ON gt.BC_THANH_VIEN_ID = btv.ID
JOIN SCMS.BM_BAO_CAO_HANG bsh ON bsh.ID = gt.BM_SHEET_HANG_ID
JOIN SCMS.BM_BAO_CAO_COT bsc ON bsc.BM_SHEET_ID = 7426
--                               AND bsc.TEN_COT = gt.TEN_COT
JOIN SCMS.CTCK_THONG_TIN c ON c.CTCK_THONG_TIN_ID = btv.CTCK_THONG_TIN_ID
-- BCTC năm:
LEFT JOIN SCMS.BC_THANH_VIEN btv2 ON btv2.CTCK_THONG_TIN_ID = btv.CTCK_THONG_TIN_ID
                                      AND btv2.TRANG_THAI IN (4, 6)
                                      AND btv2.XOA_DU_LIEU = 0
                                      AND TRUNC(btv2.NGAY_SO_LIEU) = ADD_MONTHS(TRUNC(btv.NGAY_SO_LIEU, 'YYYY'), 12) - 1
LEFT JOIN SCMS.BM_BAO_CAO bm2 ON bm2.ID = btv2.BM_BAO_CAO_ID
                                  AND bm2.MA_BAO_CAO LIKE '%BCTCRLCTCK%'   -- Xác nhận
LEFT JOIN SCMS.BC_BAO_CAO_GT gt_bctc ON gt_bctc.BC_THANH_VIEN_ID = btv2.ID
WHERE bm.MA_BAO_CAO LIKE 'BCTHHDKD%'
  AND btv.TRANG_THAI IN (2, 3)
GROUP BY
    btv.ID, btv.CTCK_THONG_TIN_ID, btv.NGAY_SO_LIEU, btv.TRANG_THAI,
    bm.MA_BAO_CAO,
    c.TEN_VIET_TAT, c.SAN_NIEM_YET, c.MA_CHUNG_KHOAN,
    c.GIAY_PHEP_KINH_DOANH, c.NGAY_CAP_GPKD
ORDER BY btv.NGAY_SO_LIEU DESC, c.TEN_VIET_TAT;</t>
        </is>
      </c>
      <c r="U1430" s="386" t="n"/>
      <c r="V1430" s="395" t="n"/>
      <c r="W1430" s="395" t="n"/>
      <c r="X1430" s="395" t="n"/>
      <c r="Y1430" s="13" t="n"/>
      <c r="Z1430" s="395" t="n"/>
      <c r="AA1430" s="395" t="n"/>
      <c r="AB1430" s="395" t="n"/>
      <c r="AC1430" s="395" t="n"/>
      <c r="AD1430" s="395" t="n"/>
      <c r="AE1430" s="395" t="n"/>
    </row>
    <row r="1431" ht="56" customHeight="1" s="380">
      <c r="A1431" s="73" t="n">
        <v>76</v>
      </c>
      <c r="B1431" s="386" t="n"/>
      <c r="C1431" s="386" t="inlineStr">
        <is>
          <t>Báo cáo theo Thông tư 121/2020/TT-BTC &gt;&gt; Tình hình giao dịch ký quỹ chứng khoán - II.8</t>
        </is>
      </c>
      <c r="D1431" s="386" t="inlineStr">
        <is>
          <t>Sàn giao dịch</t>
        </is>
      </c>
      <c r="E1431" s="386" t="inlineStr">
        <is>
          <t>Sàn giao dịch</t>
        </is>
      </c>
      <c r="F1431" s="386" t="inlineStr">
        <is>
          <t>Data Explorer</t>
        </is>
      </c>
      <c r="G1431" s="386" t="inlineStr">
        <is>
          <t>Chỉ tiêu cơ sở</t>
        </is>
      </c>
      <c r="H1431" s="386" t="inlineStr">
        <is>
          <t>Dễ</t>
        </is>
      </c>
      <c r="I1431" s="386" t="inlineStr">
        <is>
          <t>Ngày, CTCK</t>
        </is>
      </c>
      <c r="J1431" s="395" t="inlineStr">
        <is>
          <t>SCMS</t>
        </is>
      </c>
      <c r="K1431" s="395" t="n"/>
      <c r="L1431" s="395" t="inlineStr">
        <is>
          <t>X</t>
        </is>
      </c>
      <c r="M1431" s="395" t="n"/>
      <c r="N1431" s="395" t="inlineStr">
        <is>
          <t>Done</t>
        </is>
      </c>
      <c r="O1431" s="401" t="n"/>
      <c r="P1431" s="395" t="n"/>
      <c r="S1431" s="395" t="n"/>
      <c r="U1431" s="386" t="n"/>
      <c r="V1431" s="395" t="n"/>
      <c r="W1431" s="395" t="n"/>
      <c r="X1431" s="395" t="n"/>
      <c r="Y1431" s="13" t="n"/>
      <c r="Z1431" s="395" t="n"/>
      <c r="AA1431" s="395" t="n"/>
      <c r="AB1431" s="395" t="n"/>
      <c r="AC1431" s="395" t="n"/>
      <c r="AD1431" s="395" t="n"/>
      <c r="AE1431" s="395" t="n"/>
    </row>
    <row r="1432" ht="56" customHeight="1" s="380">
      <c r="A1432" s="73" t="n">
        <v>76</v>
      </c>
      <c r="B1432" s="386" t="n"/>
      <c r="C1432" s="386" t="inlineStr">
        <is>
          <t>Báo cáo theo Thông tư 121/2020/TT-BTC &gt;&gt; Tình hình giao dịch ký quỹ chứng khoán - II.8</t>
        </is>
      </c>
      <c r="D1432" s="386" t="inlineStr">
        <is>
          <t>Mã chứng khoán</t>
        </is>
      </c>
      <c r="E1432" s="386" t="inlineStr">
        <is>
          <t>Mã chứng khoán</t>
        </is>
      </c>
      <c r="F1432" s="386" t="inlineStr">
        <is>
          <t>Data Explorer</t>
        </is>
      </c>
      <c r="G1432" s="386" t="inlineStr">
        <is>
          <t>Chỉ tiêu cơ sở</t>
        </is>
      </c>
      <c r="H1432" s="386" t="inlineStr">
        <is>
          <t>Dễ</t>
        </is>
      </c>
      <c r="I1432" s="386" t="inlineStr">
        <is>
          <t>Ngày, CTCK</t>
        </is>
      </c>
      <c r="J1432" s="395" t="inlineStr">
        <is>
          <t>SCMS</t>
        </is>
      </c>
      <c r="K1432" s="395" t="n"/>
      <c r="L1432" s="395" t="inlineStr">
        <is>
          <t>X</t>
        </is>
      </c>
      <c r="M1432" s="395" t="n"/>
      <c r="N1432" s="395" t="inlineStr">
        <is>
          <t>Done</t>
        </is>
      </c>
      <c r="O1432" s="401" t="n"/>
      <c r="P1432" s="395" t="n"/>
      <c r="S1432" s="395" t="n"/>
      <c r="U1432" s="386" t="n"/>
      <c r="V1432" s="395" t="n"/>
      <c r="W1432" s="395" t="n"/>
      <c r="X1432" s="395" t="n"/>
      <c r="Y1432" s="13" t="n"/>
      <c r="Z1432" s="395" t="n"/>
      <c r="AA1432" s="395" t="n"/>
      <c r="AB1432" s="395" t="n"/>
      <c r="AC1432" s="395" t="n"/>
      <c r="AD1432" s="395" t="n"/>
      <c r="AE1432" s="395" t="n"/>
    </row>
    <row r="1433" ht="56" customHeight="1" s="380">
      <c r="A1433" s="73" t="n">
        <v>76</v>
      </c>
      <c r="B1433" s="386" t="n"/>
      <c r="C1433" s="386" t="inlineStr">
        <is>
          <t>Báo cáo theo Thông tư 121/2020/TT-BTC &gt;&gt; Tình hình giao dịch ký quỹ chứng khoán - II.8</t>
        </is>
      </c>
      <c r="D1433" s="386" t="inlineStr">
        <is>
          <t>Giấy phép hoạt động &gt;&gt; Số</t>
        </is>
      </c>
      <c r="E1433" s="386" t="inlineStr">
        <is>
          <t>Giấy phép hoạt động &gt;&gt; Số</t>
        </is>
      </c>
      <c r="F1433" s="386" t="inlineStr">
        <is>
          <t>Data Explorer</t>
        </is>
      </c>
      <c r="G1433" s="386" t="inlineStr">
        <is>
          <t>Chỉ tiêu cơ sở</t>
        </is>
      </c>
      <c r="H1433" s="386" t="inlineStr">
        <is>
          <t>Dễ</t>
        </is>
      </c>
      <c r="I1433" s="386" t="inlineStr">
        <is>
          <t>Ngày, CTCK</t>
        </is>
      </c>
      <c r="J1433" s="395" t="inlineStr">
        <is>
          <t>SCMS</t>
        </is>
      </c>
      <c r="K1433" s="395" t="n"/>
      <c r="L1433" s="395" t="inlineStr">
        <is>
          <t>X</t>
        </is>
      </c>
      <c r="M1433" s="395" t="n"/>
      <c r="N1433" s="395" t="inlineStr">
        <is>
          <t>Done</t>
        </is>
      </c>
      <c r="O1433" s="401" t="n"/>
      <c r="P1433" s="395" t="n"/>
      <c r="S1433" s="395" t="n"/>
      <c r="U1433" s="386" t="n"/>
      <c r="V1433" s="395" t="n"/>
      <c r="W1433" s="395" t="n"/>
      <c r="X1433" s="395" t="n"/>
      <c r="Y1433" s="38" t="n"/>
      <c r="Z1433" s="395" t="n"/>
      <c r="AA1433" s="395" t="n"/>
      <c r="AB1433" s="395" t="n"/>
      <c r="AC1433" s="395" t="n"/>
      <c r="AD1433" s="395" t="n"/>
      <c r="AE1433" s="395" t="n"/>
    </row>
    <row r="1434" ht="56" customHeight="1" s="380">
      <c r="A1434" s="73" t="n">
        <v>76</v>
      </c>
      <c r="B1434" s="386" t="n"/>
      <c r="C1434" s="386" t="inlineStr">
        <is>
          <t>Báo cáo theo Thông tư 121/2020/TT-BTC &gt;&gt; Tình hình giao dịch ký quỹ chứng khoán - II.8</t>
        </is>
      </c>
      <c r="D1434" s="386" t="inlineStr">
        <is>
          <t>Giấy phép hoạt động &gt;&gt; Ngày cấp</t>
        </is>
      </c>
      <c r="E1434" s="386" t="inlineStr">
        <is>
          <t>Giấy phép hoạt động &gt;&gt; Ngày cấp</t>
        </is>
      </c>
      <c r="F1434" s="386" t="inlineStr">
        <is>
          <t>Data Explorer</t>
        </is>
      </c>
      <c r="G1434" s="386" t="inlineStr">
        <is>
          <t>Chỉ tiêu cơ sở</t>
        </is>
      </c>
      <c r="H1434" s="386" t="inlineStr">
        <is>
          <t>Dễ</t>
        </is>
      </c>
      <c r="I1434" s="386" t="inlineStr">
        <is>
          <t>Ngày, CTCK</t>
        </is>
      </c>
      <c r="J1434" s="395" t="inlineStr">
        <is>
          <t>SCMS</t>
        </is>
      </c>
      <c r="K1434" s="395" t="n"/>
      <c r="L1434" s="395" t="inlineStr">
        <is>
          <t>X</t>
        </is>
      </c>
      <c r="M1434" s="395" t="n"/>
      <c r="N1434" s="395" t="inlineStr">
        <is>
          <t>Done</t>
        </is>
      </c>
      <c r="O1434" s="401" t="n"/>
      <c r="P1434" s="395" t="n"/>
      <c r="S1434" s="395" t="n"/>
      <c r="U1434" s="386" t="n"/>
      <c r="V1434" s="395" t="n"/>
      <c r="W1434" s="395" t="n"/>
      <c r="X1434" s="395" t="n"/>
      <c r="Y1434" s="13" t="n"/>
      <c r="Z1434" s="395" t="n"/>
      <c r="AA1434" s="395" t="n"/>
      <c r="AB1434" s="395" t="n"/>
      <c r="AC1434" s="395" t="n"/>
      <c r="AD1434" s="395" t="n"/>
      <c r="AE1434" s="395" t="n"/>
    </row>
    <row r="1435" ht="56" customHeight="1" s="380">
      <c r="A1435" s="73" t="n">
        <v>76</v>
      </c>
      <c r="B1435" s="386" t="n"/>
      <c r="C1435" s="386" t="inlineStr">
        <is>
          <t>Báo cáo theo Thông tư 121/2020/TT-BTC &gt;&gt; Tình hình giao dịch ký quỹ chứng khoán - II.8</t>
        </is>
      </c>
      <c r="D1435" s="386" t="inlineStr">
        <is>
          <t>Vốn chủ sở hữu (triệu đồng)</t>
        </is>
      </c>
      <c r="E1435" s="395" t="inlineStr">
        <is>
          <t>Vốn chủ sở hữu (triệu đồng)</t>
        </is>
      </c>
      <c r="F1435" s="386" t="inlineStr">
        <is>
          <t>Data Explorer</t>
        </is>
      </c>
      <c r="G1435" s="386" t="inlineStr">
        <is>
          <t>Chỉ tiêu cơ sở</t>
        </is>
      </c>
      <c r="H1435" s="386" t="inlineStr">
        <is>
          <t>TB</t>
        </is>
      </c>
      <c r="I1435" s="386" t="inlineStr">
        <is>
          <t>Ngày, CTCK</t>
        </is>
      </c>
      <c r="J1435" s="395" t="inlineStr">
        <is>
          <t>SCMS</t>
        </is>
      </c>
      <c r="K1435" s="395" t="n"/>
      <c r="L1435" s="395" t="inlineStr">
        <is>
          <t>X</t>
        </is>
      </c>
      <c r="M1435" s="395" t="n"/>
      <c r="N1435" s="395" t="inlineStr">
        <is>
          <t>Done</t>
        </is>
      </c>
      <c r="O1435" s="401" t="n"/>
      <c r="P1435" s="395" t="n"/>
      <c r="S1435" s="395" t="n"/>
      <c r="U1435" s="386" t="n"/>
      <c r="V1435" s="395" t="n"/>
      <c r="W1435" s="395" t="n"/>
      <c r="X1435" s="395" t="n"/>
      <c r="Y1435" s="13" t="n"/>
      <c r="Z1435" s="395" t="n"/>
      <c r="AA1435" s="395" t="n"/>
      <c r="AB1435" s="395" t="n"/>
      <c r="AC1435" s="395" t="n"/>
      <c r="AD1435" s="395" t="n"/>
      <c r="AE1435" s="395" t="n"/>
    </row>
    <row r="1436" ht="56" customHeight="1" s="380">
      <c r="A1436" s="73" t="n">
        <v>76</v>
      </c>
      <c r="B1436" s="386" t="n"/>
      <c r="C1436" s="386" t="inlineStr">
        <is>
          <t>Báo cáo theo Thông tư 121/2020/TT-BTC &gt;&gt; Tình hình giao dịch ký quỹ chứng khoán - II.8</t>
        </is>
      </c>
      <c r="D1436" s="386" t="inlineStr">
        <is>
          <t>Số lượng tài khoản giao dịch ký quỹ</t>
        </is>
      </c>
      <c r="E1436" s="395" t="inlineStr">
        <is>
          <t>Số lượng tài khoản giao dịch ký quỹ</t>
        </is>
      </c>
      <c r="F1436" s="386" t="inlineStr">
        <is>
          <t>Data Explorer</t>
        </is>
      </c>
      <c r="G1436" s="386" t="inlineStr">
        <is>
          <t>Chỉ tiêu cơ sở</t>
        </is>
      </c>
      <c r="H1436" s="386" t="inlineStr">
        <is>
          <t>TB</t>
        </is>
      </c>
      <c r="I1436" s="386" t="inlineStr">
        <is>
          <t>Ngày, CTCK</t>
        </is>
      </c>
      <c r="J1436" s="395" t="inlineStr">
        <is>
          <t>SCMS</t>
        </is>
      </c>
      <c r="K1436" s="395" t="n"/>
      <c r="L1436" s="395" t="inlineStr">
        <is>
          <t>X</t>
        </is>
      </c>
      <c r="M1436" s="395" t="n"/>
      <c r="N1436" s="395" t="inlineStr">
        <is>
          <t>Done</t>
        </is>
      </c>
      <c r="O1436" s="401" t="n"/>
      <c r="P1436" s="395" t="n"/>
      <c r="S1436" s="395" t="n"/>
      <c r="U1436" s="386" t="n"/>
      <c r="V1436" s="395" t="n"/>
      <c r="W1436" s="395" t="n"/>
      <c r="X1436" s="395" t="n"/>
      <c r="Y1436" s="13" t="n"/>
      <c r="Z1436" s="395" t="n"/>
      <c r="AA1436" s="395" t="n"/>
      <c r="AB1436" s="395" t="n"/>
      <c r="AC1436" s="395" t="n"/>
      <c r="AD1436" s="395" t="n"/>
      <c r="AE1436" s="395" t="n"/>
    </row>
    <row r="1437" ht="56" customHeight="1" s="380">
      <c r="A1437" s="73" t="n">
        <v>76</v>
      </c>
      <c r="B1437" s="386" t="n"/>
      <c r="C1437" s="386" t="inlineStr">
        <is>
          <t>Báo cáo theo Thông tư 121/2020/TT-BTC &gt;&gt; Tình hình giao dịch ký quỹ chứng khoán - II.8</t>
        </is>
      </c>
      <c r="D1437" s="386" t="inlineStr">
        <is>
          <t>Giá trị chứng khoán ký quỹ (triệu đồng)</t>
        </is>
      </c>
      <c r="E1437" s="395" t="inlineStr">
        <is>
          <t>Giá trị chứng khoán ký quỹ (triệu đồng)</t>
        </is>
      </c>
      <c r="F1437" s="386" t="inlineStr">
        <is>
          <t>Data Explorer</t>
        </is>
      </c>
      <c r="G1437" s="386" t="inlineStr">
        <is>
          <t>Chỉ tiêu cơ sở</t>
        </is>
      </c>
      <c r="H1437" s="386" t="inlineStr">
        <is>
          <t>TB</t>
        </is>
      </c>
      <c r="I1437" s="386" t="inlineStr">
        <is>
          <t>Ngày, CTCK</t>
        </is>
      </c>
      <c r="J1437" s="395" t="inlineStr">
        <is>
          <t>SCMS</t>
        </is>
      </c>
      <c r="K1437" s="395" t="n"/>
      <c r="L1437" s="395" t="inlineStr">
        <is>
          <t>X</t>
        </is>
      </c>
      <c r="M1437" s="395" t="n"/>
      <c r="N1437" s="395" t="inlineStr">
        <is>
          <t>Done</t>
        </is>
      </c>
      <c r="O1437" s="401" t="n"/>
      <c r="P1437" s="395" t="n"/>
      <c r="S1437" s="395" t="n"/>
      <c r="U1437" s="386" t="n"/>
      <c r="V1437" s="395" t="n"/>
      <c r="W1437" s="395" t="n"/>
      <c r="X1437" s="395" t="n"/>
      <c r="Y1437" s="13" t="n"/>
      <c r="Z1437" s="395" t="n"/>
      <c r="AA1437" s="395" t="n"/>
      <c r="AB1437" s="395" t="n"/>
      <c r="AC1437" s="395" t="n"/>
      <c r="AD1437" s="395" t="n"/>
      <c r="AE1437" s="395" t="n"/>
    </row>
    <row r="1438" ht="56" customHeight="1" s="380">
      <c r="A1438" s="73" t="n">
        <v>76</v>
      </c>
      <c r="B1438" s="386" t="n"/>
      <c r="C1438" s="386" t="inlineStr">
        <is>
          <t>Báo cáo theo Thông tư 121/2020/TT-BTC &gt;&gt; Tình hình giao dịch ký quỹ chứng khoán - II.8</t>
        </is>
      </c>
      <c r="D1438" s="386" t="inlineStr">
        <is>
          <t>Nguồn vốn tài trợ giao dịch ký quỹ (triệu đồng) &gt;&gt; Vốn chủ sở hữu</t>
        </is>
      </c>
      <c r="E1438" s="386" t="inlineStr">
        <is>
          <t>Nguồn vốn tài trợ giao dịch ký quỹ (triệu đồng) &gt;&gt; Vốn chủ sở hữu</t>
        </is>
      </c>
      <c r="F1438" s="386" t="inlineStr">
        <is>
          <t>Data Explorer</t>
        </is>
      </c>
      <c r="G1438" s="386" t="inlineStr">
        <is>
          <t>Chỉ tiêu cơ sở</t>
        </is>
      </c>
      <c r="H1438" s="386" t="inlineStr">
        <is>
          <t>TB</t>
        </is>
      </c>
      <c r="I1438" s="386" t="inlineStr">
        <is>
          <t>Ngày, CTCK</t>
        </is>
      </c>
      <c r="J1438" s="395" t="inlineStr">
        <is>
          <t>SCMS</t>
        </is>
      </c>
      <c r="K1438" s="395" t="n"/>
      <c r="L1438" s="395" t="inlineStr">
        <is>
          <t>X</t>
        </is>
      </c>
      <c r="M1438" s="395" t="n"/>
      <c r="N1438" s="395" t="inlineStr">
        <is>
          <t>Done</t>
        </is>
      </c>
      <c r="O1438" s="401" t="n"/>
      <c r="P1438" s="395" t="n"/>
      <c r="S1438" s="395" t="n"/>
      <c r="U1438" s="386" t="n"/>
      <c r="V1438" s="395" t="n"/>
      <c r="W1438" s="395" t="n"/>
      <c r="X1438" s="395" t="n"/>
      <c r="Y1438" s="13" t="n"/>
      <c r="Z1438" s="395" t="n"/>
      <c r="AA1438" s="395" t="n"/>
      <c r="AB1438" s="395" t="n"/>
      <c r="AC1438" s="395" t="n"/>
      <c r="AD1438" s="395" t="n"/>
      <c r="AE1438" s="395" t="n"/>
    </row>
    <row r="1439" ht="56" customHeight="1" s="380">
      <c r="A1439" s="73" t="n">
        <v>76</v>
      </c>
      <c r="B1439" s="386" t="n"/>
      <c r="C1439" s="386" t="inlineStr">
        <is>
          <t>Báo cáo theo Thông tư 121/2020/TT-BTC &gt;&gt; Tình hình giao dịch ký quỹ chứng khoán - II.8</t>
        </is>
      </c>
      <c r="D1439" s="386" t="inlineStr">
        <is>
          <t>Nguồn vốn tài trợ giao dịch ký quỹ (triệu đồng) &gt;&gt; Vốn tay từ tổ chức tín dụng</t>
        </is>
      </c>
      <c r="E1439" s="386" t="inlineStr">
        <is>
          <t>Nguồn vốn tài trợ giao dịch ký quỹ (triệu đồng) &gt;&gt; Vốn tay từ tổ chức tín dụng</t>
        </is>
      </c>
      <c r="F1439" s="386" t="inlineStr">
        <is>
          <t>Data Explorer</t>
        </is>
      </c>
      <c r="G1439" s="386" t="inlineStr">
        <is>
          <t>Chỉ tiêu cơ sở</t>
        </is>
      </c>
      <c r="H1439" s="386" t="inlineStr">
        <is>
          <t>TB</t>
        </is>
      </c>
      <c r="I1439" s="386" t="inlineStr">
        <is>
          <t>Ngày, CTCK</t>
        </is>
      </c>
      <c r="J1439" s="395" t="inlineStr">
        <is>
          <t>SCMS</t>
        </is>
      </c>
      <c r="K1439" s="395" t="n"/>
      <c r="L1439" s="395" t="inlineStr">
        <is>
          <t>X</t>
        </is>
      </c>
      <c r="M1439" s="395" t="n"/>
      <c r="N1439" s="395" t="inlineStr">
        <is>
          <t>Done</t>
        </is>
      </c>
      <c r="O1439" s="401" t="n"/>
      <c r="P1439" s="395" t="n"/>
      <c r="S1439" s="395" t="n"/>
      <c r="U1439" s="386" t="n"/>
      <c r="V1439" s="395" t="n"/>
      <c r="W1439" s="395" t="n"/>
      <c r="X1439" s="395" t="n"/>
      <c r="Y1439" s="14" t="n"/>
      <c r="Z1439" s="395" t="n"/>
      <c r="AA1439" s="395" t="n"/>
      <c r="AB1439" s="395" t="n"/>
      <c r="AC1439" s="395" t="n"/>
      <c r="AD1439" s="395" t="n"/>
      <c r="AE1439" s="395" t="n"/>
    </row>
    <row r="1440" ht="56" customHeight="1" s="380">
      <c r="A1440" s="73" t="n">
        <v>76</v>
      </c>
      <c r="B1440" s="386" t="n"/>
      <c r="C1440" s="386" t="inlineStr">
        <is>
          <t>Báo cáo theo Thông tư 121/2020/TT-BTC &gt;&gt; Tình hình giao dịch ký quỹ chứng khoán - II.8</t>
        </is>
      </c>
      <c r="D1440" s="386" t="inlineStr">
        <is>
          <t>Nguồn vốn tài trợ giao dịch ký quỹ (triệu đồng) &gt;&gt; Vốn vay từ nguồn khác</t>
        </is>
      </c>
      <c r="E1440" s="386" t="inlineStr">
        <is>
          <t>Nguồn vốn tài trợ giao dịch ký quỹ (triệu đồng) &gt;&gt; Vốn vay từ nguồn khác</t>
        </is>
      </c>
      <c r="F1440" s="386" t="inlineStr">
        <is>
          <t>Data Explorer</t>
        </is>
      </c>
      <c r="G1440" s="386" t="inlineStr">
        <is>
          <t>Chỉ tiêu cơ sở</t>
        </is>
      </c>
      <c r="H1440" s="386" t="inlineStr">
        <is>
          <t>TB</t>
        </is>
      </c>
      <c r="I1440" s="386" t="inlineStr">
        <is>
          <t>Ngày, CTCK</t>
        </is>
      </c>
      <c r="J1440" s="395" t="inlineStr">
        <is>
          <t>SCMS</t>
        </is>
      </c>
      <c r="K1440" s="395" t="n"/>
      <c r="L1440" s="395" t="inlineStr">
        <is>
          <t>X</t>
        </is>
      </c>
      <c r="M1440" s="395" t="n"/>
      <c r="N1440" s="395" t="inlineStr">
        <is>
          <t>Done</t>
        </is>
      </c>
      <c r="O1440" s="401" t="n"/>
      <c r="P1440" s="395" t="n"/>
      <c r="S1440" s="395" t="n"/>
      <c r="U1440" s="386" t="n"/>
      <c r="V1440" s="395" t="n"/>
      <c r="W1440" s="395" t="n"/>
      <c r="X1440" s="395" t="n"/>
      <c r="Y1440" s="13" t="n"/>
      <c r="Z1440" s="395" t="n"/>
      <c r="AA1440" s="395" t="n"/>
      <c r="AB1440" s="395" t="n"/>
      <c r="AC1440" s="395" t="n"/>
      <c r="AD1440" s="395" t="n"/>
      <c r="AE1440" s="395" t="n"/>
    </row>
    <row r="1441" ht="56" customHeight="1" s="380">
      <c r="A1441" s="73" t="n">
        <v>76</v>
      </c>
      <c r="B1441" s="386" t="n"/>
      <c r="C1441" s="386" t="inlineStr">
        <is>
          <t>Báo cáo theo Thông tư 121/2020/TT-BTC &gt;&gt; Tình hình giao dịch ký quỹ chứng khoán - II.8</t>
        </is>
      </c>
      <c r="D1441" s="386" t="inlineStr">
        <is>
          <t>Giá trị Thu từ hoạt động ký quỹ (triệu đồng)</t>
        </is>
      </c>
      <c r="E1441" s="395" t="inlineStr">
        <is>
          <t>Giá trị Thu từ hoạt động ký quỹ (triệu đồng)</t>
        </is>
      </c>
      <c r="F1441" s="386" t="inlineStr">
        <is>
          <t>Data Explorer</t>
        </is>
      </c>
      <c r="G1441" s="386" t="inlineStr">
        <is>
          <t>Chỉ tiêu cơ sở</t>
        </is>
      </c>
      <c r="H1441" s="386" t="inlineStr">
        <is>
          <t>TB</t>
        </is>
      </c>
      <c r="I1441" s="386" t="inlineStr">
        <is>
          <t>Ngày, CTCK</t>
        </is>
      </c>
      <c r="J1441" s="395" t="inlineStr">
        <is>
          <t>SCMS</t>
        </is>
      </c>
      <c r="K1441" s="395" t="n"/>
      <c r="L1441" s="395" t="inlineStr">
        <is>
          <t>X</t>
        </is>
      </c>
      <c r="M1441" s="395" t="n"/>
      <c r="N1441" s="395" t="inlineStr">
        <is>
          <t>Done</t>
        </is>
      </c>
      <c r="O1441" s="401" t="n"/>
      <c r="P1441" s="395" t="n"/>
      <c r="S1441" s="395" t="n"/>
      <c r="U1441" s="386" t="n"/>
      <c r="V1441" s="395" t="n"/>
      <c r="W1441" s="395" t="n"/>
      <c r="X1441" s="395" t="n"/>
      <c r="Y1441" s="13" t="n"/>
      <c r="Z1441" s="395" t="n"/>
      <c r="AA1441" s="395" t="n"/>
      <c r="AB1441" s="395" t="n"/>
      <c r="AC1441" s="395" t="n"/>
      <c r="AD1441" s="395" t="n"/>
      <c r="AE1441" s="395" t="n"/>
    </row>
    <row r="1442" ht="56" customHeight="1" s="380">
      <c r="A1442" s="73" t="n">
        <v>76</v>
      </c>
      <c r="B1442" s="386" t="n"/>
      <c r="C1442" s="386" t="inlineStr">
        <is>
          <t>Báo cáo theo Thông tư 121/2020/TT-BTC &gt;&gt; Tình hình giao dịch ký quỹ chứng khoán - II.8</t>
        </is>
      </c>
      <c r="D1442" s="386" t="inlineStr">
        <is>
          <t>HSX &gt;&gt; Dư nợ cho vay ký quỹ</t>
        </is>
      </c>
      <c r="E1442" s="395" t="inlineStr">
        <is>
          <t>HSX &gt;&gt; Dư nợ cho vay ký quỹ</t>
        </is>
      </c>
      <c r="F1442" s="386" t="inlineStr">
        <is>
          <t>Data Explorer</t>
        </is>
      </c>
      <c r="G1442" s="386" t="inlineStr">
        <is>
          <t>Chỉ tiêu cơ sở</t>
        </is>
      </c>
      <c r="H1442" s="386" t="inlineStr">
        <is>
          <t>TB</t>
        </is>
      </c>
      <c r="I1442" s="386" t="inlineStr">
        <is>
          <t>Ngày, CTCK</t>
        </is>
      </c>
      <c r="J1442" s="395" t="inlineStr">
        <is>
          <t>SCMS</t>
        </is>
      </c>
      <c r="K1442" s="395" t="n"/>
      <c r="L1442" s="395" t="inlineStr">
        <is>
          <t>X</t>
        </is>
      </c>
      <c r="M1442" s="395" t="n"/>
      <c r="N1442" s="395" t="inlineStr">
        <is>
          <t>Done</t>
        </is>
      </c>
      <c r="O1442" s="401" t="n"/>
      <c r="P1442" s="395" t="n"/>
      <c r="S1442" s="395" t="n"/>
      <c r="U1442" s="386" t="n"/>
      <c r="V1442" s="395" t="n"/>
      <c r="W1442" s="395" t="n"/>
      <c r="X1442" s="395" t="n"/>
      <c r="Y1442" s="13" t="n"/>
      <c r="Z1442" s="395" t="n"/>
      <c r="AA1442" s="395" t="n"/>
      <c r="AB1442" s="395" t="n"/>
      <c r="AC1442" s="395" t="n"/>
      <c r="AD1442" s="395" t="n"/>
      <c r="AE1442" s="395" t="n"/>
    </row>
    <row r="1443" ht="56" customHeight="1" s="380">
      <c r="A1443" s="73" t="n">
        <v>76</v>
      </c>
      <c r="B1443" s="386" t="n"/>
      <c r="C1443" s="386" t="inlineStr">
        <is>
          <t>Báo cáo theo Thông tư 121/2020/TT-BTC &gt;&gt; Tình hình giao dịch ký quỹ chứng khoán - II.8</t>
        </is>
      </c>
      <c r="D1443" s="386" t="inlineStr">
        <is>
          <t>HSX &gt;&gt; Khối lượng chứng khoán cầm cố</t>
        </is>
      </c>
      <c r="E1443" s="395" t="inlineStr">
        <is>
          <t>HSX &gt;&gt; Khối lượng chứng khoán cầm cố</t>
        </is>
      </c>
      <c r="F1443" s="386" t="inlineStr">
        <is>
          <t>Data Explorer</t>
        </is>
      </c>
      <c r="G1443" s="386" t="inlineStr">
        <is>
          <t>Chỉ tiêu cơ sở</t>
        </is>
      </c>
      <c r="H1443" s="386" t="inlineStr">
        <is>
          <t>TB</t>
        </is>
      </c>
      <c r="I1443" s="386" t="inlineStr">
        <is>
          <t>Ngày, CTCK</t>
        </is>
      </c>
      <c r="J1443" s="395" t="inlineStr">
        <is>
          <t>SCMS</t>
        </is>
      </c>
      <c r="K1443" s="395" t="n"/>
      <c r="L1443" s="395" t="inlineStr">
        <is>
          <t>X</t>
        </is>
      </c>
      <c r="M1443" s="395" t="n"/>
      <c r="N1443" s="395" t="inlineStr">
        <is>
          <t>Done</t>
        </is>
      </c>
      <c r="O1443" s="401" t="n"/>
      <c r="P1443" s="395" t="n"/>
      <c r="S1443" s="395" t="n"/>
      <c r="U1443" s="386" t="n"/>
      <c r="V1443" s="395" t="n"/>
      <c r="W1443" s="395" t="n"/>
      <c r="X1443" s="395" t="n"/>
      <c r="Y1443" s="13" t="n"/>
      <c r="Z1443" s="395" t="n"/>
      <c r="AA1443" s="395" t="n"/>
      <c r="AB1443" s="395" t="n"/>
      <c r="AC1443" s="395" t="n"/>
      <c r="AD1443" s="395" t="n"/>
      <c r="AE1443" s="395" t="n"/>
    </row>
    <row r="1444" ht="56" customHeight="1" s="380">
      <c r="A1444" s="73" t="n">
        <v>76</v>
      </c>
      <c r="B1444" s="386" t="n"/>
      <c r="C1444" s="386" t="inlineStr">
        <is>
          <t>Báo cáo theo Thông tư 121/2020/TT-BTC &gt;&gt; Tình hình giao dịch ký quỹ chứng khoán - II.8</t>
        </is>
      </c>
      <c r="D1444" s="386" t="inlineStr">
        <is>
          <t>HNX &gt;&gt; Dư nợ cho vay ký quỹ</t>
        </is>
      </c>
      <c r="E1444" s="395" t="inlineStr">
        <is>
          <t>HNX &gt;&gt; Dư nợ cho vay ký quỹ</t>
        </is>
      </c>
      <c r="F1444" s="386" t="inlineStr">
        <is>
          <t>Data Explorer</t>
        </is>
      </c>
      <c r="G1444" s="386" t="inlineStr">
        <is>
          <t>Chỉ tiêu cơ sở</t>
        </is>
      </c>
      <c r="H1444" s="386" t="inlineStr">
        <is>
          <t>TB</t>
        </is>
      </c>
      <c r="I1444" s="386" t="inlineStr">
        <is>
          <t>Ngày, CTCK</t>
        </is>
      </c>
      <c r="J1444" s="395" t="inlineStr">
        <is>
          <t>SCMS</t>
        </is>
      </c>
      <c r="K1444" s="395" t="n"/>
      <c r="L1444" s="395" t="inlineStr">
        <is>
          <t>X</t>
        </is>
      </c>
      <c r="M1444" s="395" t="n"/>
      <c r="N1444" s="395" t="inlineStr">
        <is>
          <t>Done</t>
        </is>
      </c>
      <c r="O1444" s="401" t="n"/>
      <c r="P1444" s="395" t="n"/>
      <c r="S1444" s="395" t="n"/>
      <c r="U1444" s="386" t="n"/>
      <c r="V1444" s="395" t="n"/>
      <c r="W1444" s="395" t="n"/>
      <c r="X1444" s="395" t="n"/>
      <c r="Y1444" s="13" t="n"/>
      <c r="Z1444" s="395" t="n"/>
      <c r="AA1444" s="395" t="n"/>
      <c r="AB1444" s="395" t="n"/>
      <c r="AC1444" s="395" t="n"/>
      <c r="AD1444" s="395" t="n"/>
      <c r="AE1444" s="395" t="n"/>
    </row>
    <row r="1445" ht="56" customHeight="1" s="380">
      <c r="A1445" s="73" t="n">
        <v>76</v>
      </c>
      <c r="B1445" s="386" t="n"/>
      <c r="C1445" s="386" t="inlineStr">
        <is>
          <t>Báo cáo theo Thông tư 121/2020/TT-BTC &gt;&gt; Tình hình giao dịch ký quỹ chứng khoán - II.8</t>
        </is>
      </c>
      <c r="D1445" s="386" t="inlineStr">
        <is>
          <t>HNX &gt;&gt; Khối lượng chứng khoán cầm cố</t>
        </is>
      </c>
      <c r="E1445" s="395" t="inlineStr">
        <is>
          <t>HNX &gt;&gt; Khối lượng chứng khoán cầm cố</t>
        </is>
      </c>
      <c r="F1445" s="386" t="inlineStr">
        <is>
          <t>Data Explorer</t>
        </is>
      </c>
      <c r="G1445" s="386" t="inlineStr">
        <is>
          <t>Chỉ tiêu cơ sở</t>
        </is>
      </c>
      <c r="H1445" s="386" t="inlineStr">
        <is>
          <t>TB</t>
        </is>
      </c>
      <c r="I1445" s="386" t="inlineStr">
        <is>
          <t>Ngày, CTCK</t>
        </is>
      </c>
      <c r="J1445" s="395" t="inlineStr">
        <is>
          <t>SCMS</t>
        </is>
      </c>
      <c r="K1445" s="395" t="n"/>
      <c r="L1445" s="395" t="inlineStr">
        <is>
          <t>X</t>
        </is>
      </c>
      <c r="M1445" s="395" t="n"/>
      <c r="N1445" s="395" t="inlineStr">
        <is>
          <t>Done</t>
        </is>
      </c>
      <c r="O1445" s="401" t="n"/>
      <c r="P1445" s="395" t="n"/>
      <c r="S1445" s="395" t="n"/>
      <c r="U1445" s="386" t="n"/>
      <c r="V1445" s="395" t="n"/>
      <c r="W1445" s="395" t="n"/>
      <c r="X1445" s="395" t="n"/>
      <c r="Y1445" s="38" t="n"/>
      <c r="Z1445" s="395" t="n"/>
      <c r="AA1445" s="395" t="n"/>
      <c r="AB1445" s="395" t="n"/>
      <c r="AC1445" s="395" t="n"/>
      <c r="AD1445" s="395" t="n"/>
      <c r="AE1445" s="395" t="n"/>
    </row>
    <row r="1446" ht="56" customHeight="1" s="380">
      <c r="A1446" s="73" t="n">
        <v>76</v>
      </c>
      <c r="B1446" s="386" t="n"/>
      <c r="C1446" s="386" t="inlineStr">
        <is>
          <t>Báo cáo theo Thông tư 121/2020/TT-BTC &gt;&gt; Tình hình giao dịch ký quỹ chứng khoán - II.8</t>
        </is>
      </c>
      <c r="D1446" s="386" t="inlineStr">
        <is>
          <t>Tổng cộng 2 sàn &gt;&gt; Dư nợ cho vay ký quỹ</t>
        </is>
      </c>
      <c r="E1446" s="395" t="inlineStr">
        <is>
          <t>Tổng cộng 2 sàn &gt;&gt; Dư nợ cho vay ký quỹ</t>
        </is>
      </c>
      <c r="F1446" s="386" t="inlineStr">
        <is>
          <t>Data Explorer</t>
        </is>
      </c>
      <c r="G1446" s="386" t="inlineStr">
        <is>
          <t>Chỉ tiêu cơ sở</t>
        </is>
      </c>
      <c r="H1446" s="386" t="inlineStr">
        <is>
          <t>TB</t>
        </is>
      </c>
      <c r="I1446" s="386" t="inlineStr">
        <is>
          <t>Ngày, CTCK</t>
        </is>
      </c>
      <c r="J1446" s="395" t="inlineStr">
        <is>
          <t>SCMS</t>
        </is>
      </c>
      <c r="K1446" s="395" t="n"/>
      <c r="L1446" s="395" t="inlineStr">
        <is>
          <t>X</t>
        </is>
      </c>
      <c r="M1446" s="395" t="n"/>
      <c r="N1446" s="395" t="inlineStr">
        <is>
          <t>Done</t>
        </is>
      </c>
      <c r="O1446" s="401" t="n"/>
      <c r="P1446" s="395" t="n"/>
      <c r="S1446" s="395" t="n"/>
      <c r="U1446" s="386" t="n"/>
      <c r="V1446" s="395" t="n"/>
      <c r="W1446" s="395" t="n"/>
      <c r="X1446" s="395" t="n"/>
      <c r="Y1446" s="13" t="n"/>
      <c r="Z1446" s="395" t="n"/>
      <c r="AA1446" s="395" t="n"/>
      <c r="AB1446" s="395" t="n"/>
      <c r="AC1446" s="395" t="n"/>
      <c r="AD1446" s="395" t="n"/>
      <c r="AE1446" s="395" t="n"/>
    </row>
    <row r="1447" ht="56" customHeight="1" s="380">
      <c r="A1447" s="83" t="n">
        <v>76</v>
      </c>
      <c r="B1447" s="68" t="n"/>
      <c r="C1447" s="68" t="inlineStr">
        <is>
          <t>Báo cáo theo Thông tư 121/2020/TT-BTC &gt;&gt; Tình hình giao dịch ký quỹ chứng khoán - II.8</t>
        </is>
      </c>
      <c r="D1447" s="68" t="inlineStr">
        <is>
          <t>Tổng cộng 2 sàn &gt;&gt; Khối lượng chứng khoán cầm cố</t>
        </is>
      </c>
      <c r="E1447" s="68" t="inlineStr">
        <is>
          <t>Tổng cộng 2 sàn &gt;&gt; Khối lượng chứng khoán cầm cố</t>
        </is>
      </c>
      <c r="F1447" s="68" t="inlineStr">
        <is>
          <t>Data Explorer</t>
        </is>
      </c>
      <c r="G1447" s="68" t="inlineStr">
        <is>
          <t>Chỉ tiêu cơ sở</t>
        </is>
      </c>
      <c r="H1447" s="68" t="inlineStr">
        <is>
          <t>TB</t>
        </is>
      </c>
      <c r="I1447" s="68" t="inlineStr">
        <is>
          <t>Ngày, CTCK</t>
        </is>
      </c>
      <c r="J1447" s="69" t="inlineStr">
        <is>
          <t>SCMS</t>
        </is>
      </c>
      <c r="K1447" s="69" t="n"/>
      <c r="L1447" s="69" t="inlineStr">
        <is>
          <t>X</t>
        </is>
      </c>
      <c r="M1447" s="69" t="n"/>
      <c r="N1447" s="69" t="inlineStr">
        <is>
          <t>Done</t>
        </is>
      </c>
      <c r="O1447" s="85" t="n"/>
      <c r="P1447" s="69" t="n"/>
      <c r="Q1447" s="426" t="n"/>
      <c r="R1447" s="426" t="n"/>
      <c r="S1447" s="69" t="n"/>
      <c r="T1447" s="426" t="n"/>
      <c r="U1447" s="68" t="n"/>
      <c r="V1447" s="69" t="n"/>
      <c r="W1447" s="69" t="n"/>
      <c r="X1447" s="69" t="n"/>
      <c r="Y1447" s="97" t="n"/>
      <c r="Z1447" s="69" t="n"/>
      <c r="AA1447" s="69" t="n"/>
      <c r="AB1447" s="69" t="n"/>
      <c r="AC1447" s="69" t="n"/>
      <c r="AD1447" s="69" t="n"/>
      <c r="AE1447" s="69" t="n"/>
    </row>
    <row r="1448" ht="56" customHeight="1" s="380">
      <c r="A1448" s="73" t="n">
        <v>77</v>
      </c>
      <c r="B1448" s="122" t="inlineStr">
        <is>
          <t>Nga</t>
        </is>
      </c>
      <c r="C1448" s="81" t="inlineStr">
        <is>
          <t>Báo cáo theo Thông tư 121/2020/TT-BTC &gt;&gt; Tình hình giao dịch ký quỹ chứng khoán - II.8B</t>
        </is>
      </c>
      <c r="D1448" s="106" t="inlineStr">
        <is>
          <t>Loại báo cáo</t>
        </is>
      </c>
      <c r="E1448" s="107" t="inlineStr">
        <is>
          <t>Loại báo cáo</t>
        </is>
      </c>
      <c r="F1448" s="390" t="inlineStr">
        <is>
          <t>Data Explorer</t>
        </is>
      </c>
      <c r="G1448" s="390" t="inlineStr">
        <is>
          <t>Chiều</t>
        </is>
      </c>
      <c r="H1448" s="390" t="inlineStr">
        <is>
          <t>Dễ</t>
        </is>
      </c>
      <c r="I1448" s="390" t="inlineStr">
        <is>
          <t>Ngày, CTCK</t>
        </is>
      </c>
      <c r="J1448" s="401" t="inlineStr">
        <is>
          <t>SCMS</t>
        </is>
      </c>
      <c r="K1448" s="401" t="inlineStr">
        <is>
          <t>X</t>
        </is>
      </c>
      <c r="L1448" s="395" t="inlineStr">
        <is>
          <t>X</t>
        </is>
      </c>
      <c r="M1448" s="401" t="n"/>
      <c r="N1448" s="395" t="inlineStr">
        <is>
          <t>Done</t>
        </is>
      </c>
      <c r="O1448" s="401" t="n"/>
      <c r="P1448" s="395" t="n"/>
      <c r="Q1448" s="404" t="inlineStr">
        <is>
          <t>SCMS.BM_BAO_CAO
SCMS.BM_BAO_CAO_DINH_KY</t>
        </is>
      </c>
      <c r="R1448" s="404" t="inlineStr">
        <is>
          <t>bm.ID,
bm.MA_BAO_CAO,
bm.LOAI_BAO_CAO,
bm.TEN_BAO_CAO,
bm.SU_DUNG,
bdk.BM_BAO_CAO_ID,
bdk.KY_BAO_CAO,
bdk.SU_DUNG</t>
        </is>
      </c>
      <c r="S1448" s="395" t="n"/>
      <c r="T1448"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448" s="386" t="n"/>
      <c r="V1448" s="395" t="n"/>
      <c r="W1448" s="395" t="n"/>
      <c r="X1448" s="395" t="n"/>
      <c r="Y1448" s="13" t="n"/>
      <c r="Z1448" s="395" t="n"/>
      <c r="AA1448" s="395" t="n"/>
      <c r="AB1448" s="395" t="n"/>
      <c r="AC1448" s="395" t="n"/>
      <c r="AD1448" s="395" t="n"/>
      <c r="AE1448" s="395" t="n"/>
    </row>
    <row r="1449" ht="56" customHeight="1" s="380">
      <c r="A1449" s="73" t="n">
        <v>77</v>
      </c>
      <c r="B1449" s="386" t="n"/>
      <c r="C1449" s="386" t="inlineStr">
        <is>
          <t>Báo cáo theo Thông tư 121/2020/TT-BTC &gt;&gt; Tình hình giao dịch ký quỹ chứng khoán - II.8B</t>
        </is>
      </c>
      <c r="D1449" s="106" t="inlineStr">
        <is>
          <t>Kỳ báo cáo</t>
        </is>
      </c>
      <c r="E1449" s="107" t="inlineStr">
        <is>
          <t>Kỳ báo cáo</t>
        </is>
      </c>
      <c r="F1449" s="390" t="inlineStr">
        <is>
          <t>Data Explorer</t>
        </is>
      </c>
      <c r="G1449" s="390" t="inlineStr">
        <is>
          <t>Chiều</t>
        </is>
      </c>
      <c r="H1449" s="390" t="inlineStr">
        <is>
          <t>Dễ</t>
        </is>
      </c>
      <c r="I1449" s="390" t="inlineStr">
        <is>
          <t>Ngày, CTCK</t>
        </is>
      </c>
      <c r="J1449" s="401" t="inlineStr">
        <is>
          <t>SCMS</t>
        </is>
      </c>
      <c r="K1449" s="401" t="inlineStr">
        <is>
          <t>X</t>
        </is>
      </c>
      <c r="L1449" s="395" t="inlineStr">
        <is>
          <t>X</t>
        </is>
      </c>
      <c r="M1449" s="401" t="n"/>
      <c r="N1449" s="395" t="inlineStr">
        <is>
          <t>Done</t>
        </is>
      </c>
      <c r="O1449" s="401" t="n"/>
      <c r="P1449" s="395" t="n"/>
      <c r="S1449" s="395" t="n"/>
      <c r="U1449" s="386" t="n"/>
      <c r="V1449" s="395" t="n"/>
      <c r="W1449" s="395" t="n"/>
      <c r="X1449" s="395" t="n"/>
      <c r="Y1449" s="13" t="n"/>
      <c r="Z1449" s="395" t="n"/>
      <c r="AA1449" s="395" t="n"/>
      <c r="AB1449" s="395" t="n"/>
      <c r="AC1449" s="395" t="n"/>
      <c r="AD1449" s="395" t="n"/>
      <c r="AE1449" s="395" t="n"/>
    </row>
    <row r="1450" ht="56" customHeight="1" s="380">
      <c r="A1450" s="73" t="n">
        <v>77</v>
      </c>
      <c r="B1450" s="386" t="n"/>
      <c r="C1450" s="386" t="inlineStr">
        <is>
          <t>Báo cáo theo Thông tư 121/2020/TT-BTC &gt;&gt; Tình hình giao dịch ký quỹ chứng khoán - II.8B</t>
        </is>
      </c>
      <c r="D1450" s="106" t="inlineStr">
        <is>
          <t>Mã báo cáo</t>
        </is>
      </c>
      <c r="E1450" s="107" t="inlineStr">
        <is>
          <t>Mã báo cáo</t>
        </is>
      </c>
      <c r="F1450" s="390" t="inlineStr">
        <is>
          <t>Data Explorer</t>
        </is>
      </c>
      <c r="G1450" s="390" t="inlineStr">
        <is>
          <t>Chiều</t>
        </is>
      </c>
      <c r="H1450" s="390" t="inlineStr">
        <is>
          <t>Dễ</t>
        </is>
      </c>
      <c r="I1450" s="390" t="inlineStr">
        <is>
          <t>Ngày, CTCK</t>
        </is>
      </c>
      <c r="J1450" s="401" t="inlineStr">
        <is>
          <t>SCMS</t>
        </is>
      </c>
      <c r="K1450" s="401" t="inlineStr">
        <is>
          <t>X</t>
        </is>
      </c>
      <c r="L1450" s="395" t="inlineStr">
        <is>
          <t>X</t>
        </is>
      </c>
      <c r="M1450" s="401" t="n"/>
      <c r="N1450" s="395" t="inlineStr">
        <is>
          <t>Done</t>
        </is>
      </c>
      <c r="O1450" s="401" t="n"/>
      <c r="P1450" s="395" t="n"/>
      <c r="S1450" s="395" t="n"/>
      <c r="U1450" s="386" t="n"/>
      <c r="V1450" s="395" t="n"/>
      <c r="W1450" s="395" t="n"/>
      <c r="X1450" s="395" t="n"/>
      <c r="Y1450" s="13" t="n"/>
      <c r="Z1450" s="395" t="n"/>
      <c r="AA1450" s="395" t="n"/>
      <c r="AB1450" s="395" t="n"/>
      <c r="AC1450" s="395" t="n"/>
      <c r="AD1450" s="395" t="n"/>
      <c r="AE1450" s="395" t="n"/>
    </row>
    <row r="1451" ht="56" customHeight="1" s="380">
      <c r="A1451" s="73" t="n">
        <v>77</v>
      </c>
      <c r="B1451" s="386" t="n"/>
      <c r="C1451" s="386" t="inlineStr">
        <is>
          <t>Báo cáo theo Thông tư 121/2020/TT-BTC &gt;&gt; Tình hình giao dịch ký quỹ chứng khoán - II.8B</t>
        </is>
      </c>
      <c r="D1451" s="106" t="inlineStr">
        <is>
          <t>Tên báo cáo</t>
        </is>
      </c>
      <c r="E1451" s="107" t="inlineStr">
        <is>
          <t>Tên báo cáo</t>
        </is>
      </c>
      <c r="F1451" s="390" t="inlineStr">
        <is>
          <t>Data Explorer</t>
        </is>
      </c>
      <c r="G1451" s="390" t="inlineStr">
        <is>
          <t>Chiều</t>
        </is>
      </c>
      <c r="H1451" s="390" t="inlineStr">
        <is>
          <t>Dễ</t>
        </is>
      </c>
      <c r="I1451" s="390" t="inlineStr">
        <is>
          <t>Ngày, CTCK</t>
        </is>
      </c>
      <c r="J1451" s="401" t="inlineStr">
        <is>
          <t>SCMS</t>
        </is>
      </c>
      <c r="K1451" s="401" t="inlineStr">
        <is>
          <t>X</t>
        </is>
      </c>
      <c r="L1451" s="395" t="inlineStr">
        <is>
          <t>X</t>
        </is>
      </c>
      <c r="M1451" s="401" t="n"/>
      <c r="N1451" s="395" t="inlineStr">
        <is>
          <t>Done</t>
        </is>
      </c>
      <c r="O1451" s="401" t="n"/>
      <c r="P1451" s="395" t="n"/>
      <c r="S1451" s="395" t="n"/>
      <c r="U1451" s="386" t="n"/>
      <c r="V1451" s="395" t="n"/>
      <c r="W1451" s="395" t="n"/>
      <c r="X1451" s="395" t="n"/>
      <c r="Y1451" s="38" t="n"/>
      <c r="Z1451" s="395" t="n"/>
      <c r="AA1451" s="395" t="n"/>
      <c r="AB1451" s="395" t="n"/>
      <c r="AC1451" s="395" t="n"/>
      <c r="AD1451" s="395" t="n"/>
      <c r="AE1451" s="395" t="n"/>
    </row>
    <row r="1452" ht="56" customHeight="1" s="380">
      <c r="A1452" s="73" t="n">
        <v>77</v>
      </c>
      <c r="B1452" s="386" t="n"/>
      <c r="C1452" s="386" t="inlineStr">
        <is>
          <t>Báo cáo theo Thông tư 121/2020/TT-BTC &gt;&gt; Tình hình giao dịch ký quỹ chứng khoán - II.8B</t>
        </is>
      </c>
      <c r="D1452" s="106" t="inlineStr">
        <is>
          <t>Mã sheet</t>
        </is>
      </c>
      <c r="E1452" s="106" t="inlineStr">
        <is>
          <t>Mã sheet</t>
        </is>
      </c>
      <c r="F1452" s="390" t="inlineStr">
        <is>
          <t>Data Explorer</t>
        </is>
      </c>
      <c r="G1452" s="390" t="inlineStr">
        <is>
          <t>Chiều</t>
        </is>
      </c>
      <c r="H1452" s="390" t="inlineStr">
        <is>
          <t>Dễ</t>
        </is>
      </c>
      <c r="I1452" s="390" t="inlineStr">
        <is>
          <t>Ngày, CTCK</t>
        </is>
      </c>
      <c r="J1452" s="401" t="inlineStr">
        <is>
          <t>SCMS</t>
        </is>
      </c>
      <c r="K1452" s="401" t="inlineStr">
        <is>
          <t>X</t>
        </is>
      </c>
      <c r="L1452" s="395" t="inlineStr">
        <is>
          <t>X</t>
        </is>
      </c>
      <c r="M1452" s="401" t="n"/>
      <c r="N1452" s="395" t="inlineStr">
        <is>
          <t>Done</t>
        </is>
      </c>
      <c r="O1452" s="401" t="n"/>
      <c r="P1452" s="395" t="n"/>
      <c r="Q1452" s="401" t="inlineStr">
        <is>
          <t>SCMS.BM_BAO_CAO
SCMS.BM_SHEET</t>
        </is>
      </c>
      <c r="R1452" s="401" t="inlineStr">
        <is>
          <t>bm.ID,
bm.MA_BAO_CAO,
bm.SU_DUNG,
s.BM_BAO_CAO_ID,
s.MA_SHEET,
s.TEN_SHEET,
s.SAP_XEP</t>
        </is>
      </c>
      <c r="S1452" s="395" t="n"/>
      <c r="T1452" s="384" t="inlineStr">
        <is>
          <t>-- Mã sheet / Tên sheet
-- TEN_SHEET: THNS
SELECT bm.MA_BAO_CAO,
s.MA_SHEET,
s.TEN_SHEET
FROM SCMS.BM_BAO_CAO bm
JOIN SCMS.BM_SHEET s ON s.BM_BAO_CAO_ID = bm.ID
WHERE bm.MA_BAO_CAO LIKE 'BCTHHDKD%'
AND s.TEN_SHEET = 'GDKQCK'  -- Check lại
AND bm.SU_DUNG = 1
ORDER BY bm.MA_BAO_CAO, s.SAP_XEP;</t>
        </is>
      </c>
      <c r="U1452" s="386" t="n"/>
      <c r="V1452" s="395" t="n"/>
      <c r="W1452" s="395" t="n"/>
      <c r="X1452" s="395" t="n"/>
      <c r="Y1452" s="13" t="n"/>
      <c r="Z1452" s="395" t="n"/>
      <c r="AA1452" s="395" t="n"/>
      <c r="AB1452" s="395" t="n"/>
      <c r="AC1452" s="395" t="n"/>
      <c r="AD1452" s="395" t="n"/>
      <c r="AE1452" s="395" t="n"/>
    </row>
    <row r="1453" ht="56" customHeight="1" s="380">
      <c r="A1453" s="73" t="n">
        <v>77</v>
      </c>
      <c r="B1453" s="386" t="n"/>
      <c r="C1453" s="386" t="inlineStr">
        <is>
          <t>Báo cáo theo Thông tư 121/2020/TT-BTC &gt;&gt; Tình hình giao dịch ký quỹ chứng khoán - II.8B</t>
        </is>
      </c>
      <c r="D1453" s="106" t="inlineStr">
        <is>
          <t>Tên sheet</t>
        </is>
      </c>
      <c r="E1453" s="106" t="inlineStr">
        <is>
          <t>Tên sheet</t>
        </is>
      </c>
      <c r="F1453" s="390" t="inlineStr">
        <is>
          <t>Data Explorer</t>
        </is>
      </c>
      <c r="G1453" s="390" t="inlineStr">
        <is>
          <t>Chiều</t>
        </is>
      </c>
      <c r="H1453" s="390" t="inlineStr">
        <is>
          <t>Dễ</t>
        </is>
      </c>
      <c r="I1453" s="390" t="inlineStr">
        <is>
          <t>Ngày, CTCK</t>
        </is>
      </c>
      <c r="J1453" s="401" t="inlineStr">
        <is>
          <t>SCMS</t>
        </is>
      </c>
      <c r="K1453" s="401" t="inlineStr">
        <is>
          <t>X</t>
        </is>
      </c>
      <c r="L1453" s="395" t="inlineStr">
        <is>
          <t>X</t>
        </is>
      </c>
      <c r="M1453" s="401" t="n"/>
      <c r="N1453" s="395" t="inlineStr">
        <is>
          <t>Done</t>
        </is>
      </c>
      <c r="O1453" s="401" t="n"/>
      <c r="P1453" s="395" t="n"/>
      <c r="S1453" s="395" t="n"/>
      <c r="U1453" s="386" t="n"/>
      <c r="V1453" s="395" t="n"/>
      <c r="W1453" s="395" t="n"/>
      <c r="X1453" s="395" t="n"/>
      <c r="Y1453" s="13" t="n"/>
      <c r="Z1453" s="395" t="n"/>
      <c r="AA1453" s="395" t="n"/>
      <c r="AB1453" s="395" t="n"/>
      <c r="AC1453" s="395" t="n"/>
      <c r="AD1453" s="395" t="n"/>
      <c r="AE1453" s="395" t="n"/>
    </row>
    <row r="1454" ht="56" customHeight="1" s="380">
      <c r="A1454" s="73" t="n">
        <v>77</v>
      </c>
      <c r="B1454" s="386" t="n"/>
      <c r="C1454" s="386" t="inlineStr">
        <is>
          <t>Báo cáo theo Thông tư 121/2020/TT-BTC &gt;&gt; Tình hình giao dịch ký quỹ chứng khoán - II.8B</t>
        </is>
      </c>
      <c r="D1454" s="106" t="inlineStr">
        <is>
          <t>Mã chỉ tiêu</t>
        </is>
      </c>
      <c r="E1454" s="107" t="inlineStr">
        <is>
          <t>Mã chỉ tiêu</t>
        </is>
      </c>
      <c r="F1454" s="390" t="inlineStr">
        <is>
          <t>Data Explorer</t>
        </is>
      </c>
      <c r="G1454" s="390" t="inlineStr">
        <is>
          <t>Chiều</t>
        </is>
      </c>
      <c r="H1454" s="390" t="inlineStr">
        <is>
          <t>Dễ</t>
        </is>
      </c>
      <c r="I1454" s="390" t="inlineStr">
        <is>
          <t>Ngày, CTCK</t>
        </is>
      </c>
      <c r="J1454" s="401" t="inlineStr">
        <is>
          <t>SCMS</t>
        </is>
      </c>
      <c r="K1454" s="401" t="inlineStr">
        <is>
          <t>X</t>
        </is>
      </c>
      <c r="L1454" s="395" t="inlineStr">
        <is>
          <t>X</t>
        </is>
      </c>
      <c r="M1454" s="401" t="n"/>
      <c r="N1454" s="395" t="inlineStr">
        <is>
          <t>Done</t>
        </is>
      </c>
      <c r="O1454" s="401" t="n"/>
      <c r="P1454" s="395" t="n"/>
      <c r="Q1454" s="401" t="inlineStr">
        <is>
          <t>SCMS.BM_BAO_CAO
SCMS.BM_SHEET
SCMS.BM_BAO_CAO_CT
SCMS.DM_CHI_TIEU</t>
        </is>
      </c>
      <c r="R1454" s="402" t="inlineStr">
        <is>
          <t>dct.ID,
dct.MA_CHI_TIEU,
dct.TEN_CHI_TIEU,
dct.SU_DUNG,
s.BM_BAO_CAO_ID,
s.MA_SHEET,
ct.BM_BAO_CAO_ID,
ct.DM_CHI_TIEU_ID,
ct.SU_DUNG,
bm.ID,
bm.MA_BAO_CAO,
bm.SU_DUNG</t>
        </is>
      </c>
      <c r="S1454" s="395" t="n"/>
      <c r="T1454" s="384" t="inlineStr">
        <is>
          <t>-- Mã chỉ tiêu / Tên chỉ tiêu
SELECT DISTINCT
    dct.MA_CHI_TIEU  AS ma_chi_tieu,
    dct.TEN_CHI_TIEU AS ten_chi_tieu
FROM SCMS.BM_BAO_CAO bm
JOIN SCMS.BM_SHEET s ON s.BM_BAO_CAO_ID = bm.ID
	AND s.TEN_SHEET = 'GDKQCK'
JOIN SCMS.BM_BAO_CAO_CT ct ON ct.BM_SHEET_ID = s.ID
	AND ct.SU_DUNG = 1
JOIN SCMS.DM_CHI_TIEU dct ON dct.ID = ct.DM_CHI_TIEU_ID
	AND dct.SU_DUNG = 1
WHERE bm.MA_BAO_CAO LIKE 'BCTHHDKD%'
	AND bm.SU_DUNG = 1
ORDER BY dct.MA_CHI_TIEU;</t>
        </is>
      </c>
      <c r="U1454" s="386" t="n"/>
      <c r="V1454" s="395" t="n"/>
      <c r="W1454" s="395" t="n"/>
      <c r="X1454" s="395" t="n"/>
      <c r="Y1454" s="13" t="n"/>
      <c r="Z1454" s="395" t="n"/>
      <c r="AA1454" s="395" t="n"/>
      <c r="AB1454" s="395" t="n"/>
      <c r="AC1454" s="395" t="n"/>
      <c r="AD1454" s="395" t="n"/>
      <c r="AE1454" s="395" t="n"/>
    </row>
    <row r="1455" ht="56" customHeight="1" s="380">
      <c r="A1455" s="73" t="n">
        <v>77</v>
      </c>
      <c r="B1455" s="386" t="n"/>
      <c r="C1455" s="386" t="inlineStr">
        <is>
          <t>Báo cáo theo Thông tư 121/2020/TT-BTC &gt;&gt; Tình hình giao dịch ký quỹ chứng khoán - II.8B</t>
        </is>
      </c>
      <c r="D1455" s="106" t="inlineStr">
        <is>
          <t>Tên chỉ tiêu</t>
        </is>
      </c>
      <c r="E1455" s="107" t="inlineStr">
        <is>
          <t>Tên chỉ tiêu</t>
        </is>
      </c>
      <c r="F1455" s="390" t="inlineStr">
        <is>
          <t>Data Explorer</t>
        </is>
      </c>
      <c r="G1455" s="390" t="inlineStr">
        <is>
          <t>Chiều</t>
        </is>
      </c>
      <c r="H1455" s="390" t="inlineStr">
        <is>
          <t>Dễ</t>
        </is>
      </c>
      <c r="I1455" s="390" t="inlineStr">
        <is>
          <t>Ngày, CTCK</t>
        </is>
      </c>
      <c r="J1455" s="401" t="inlineStr">
        <is>
          <t>SCMS</t>
        </is>
      </c>
      <c r="K1455" s="401" t="inlineStr">
        <is>
          <t>X</t>
        </is>
      </c>
      <c r="L1455" s="395" t="inlineStr">
        <is>
          <t>X</t>
        </is>
      </c>
      <c r="M1455" s="401" t="n"/>
      <c r="N1455" s="395" t="inlineStr">
        <is>
          <t>Done</t>
        </is>
      </c>
      <c r="O1455" s="401" t="n"/>
      <c r="P1455" s="395" t="n"/>
      <c r="S1455" s="395" t="n"/>
      <c r="U1455" s="386" t="n"/>
      <c r="V1455" s="395" t="n"/>
      <c r="W1455" s="395" t="n"/>
      <c r="X1455" s="395" t="n"/>
      <c r="Y1455" s="13" t="n"/>
      <c r="Z1455" s="395" t="n"/>
      <c r="AA1455" s="395" t="n"/>
      <c r="AB1455" s="395" t="n"/>
      <c r="AC1455" s="395" t="n"/>
      <c r="AD1455" s="395" t="n"/>
      <c r="AE1455" s="395" t="n"/>
    </row>
    <row r="1456" ht="56" customHeight="1" s="380">
      <c r="A1456" s="73" t="n">
        <v>77</v>
      </c>
      <c r="B1456" s="386" t="n"/>
      <c r="C1456" s="386" t="inlineStr">
        <is>
          <t>Báo cáo theo Thông tư 121/2020/TT-BTC &gt;&gt; Tình hình giao dịch ký quỹ chứng khoán - II.8B</t>
        </is>
      </c>
      <c r="D1456" s="386" t="inlineStr">
        <is>
          <t>Tên công ty chứng khoán</t>
        </is>
      </c>
      <c r="E1456" s="386" t="inlineStr">
        <is>
          <t>Tên công ty chứng khoán</t>
        </is>
      </c>
      <c r="F1456" s="386" t="inlineStr">
        <is>
          <t>Data Explorer</t>
        </is>
      </c>
      <c r="G1456" s="386" t="inlineStr">
        <is>
          <t>Chỉ tiêu cơ sở</t>
        </is>
      </c>
      <c r="H1456" s="386" t="inlineStr">
        <is>
          <t>Trùng</t>
        </is>
      </c>
      <c r="I1456" s="386" t="inlineStr">
        <is>
          <t>Ngày, CTCK</t>
        </is>
      </c>
      <c r="J1456" s="395" t="inlineStr">
        <is>
          <t>SCMS</t>
        </is>
      </c>
      <c r="K1456" s="395" t="n"/>
      <c r="L1456" s="395" t="inlineStr">
        <is>
          <t>X</t>
        </is>
      </c>
      <c r="M1456" s="395" t="n"/>
      <c r="N1456" s="395" t="inlineStr">
        <is>
          <t>Done</t>
        </is>
      </c>
      <c r="O1456" s="401" t="n"/>
      <c r="P1456" s="395" t="n"/>
      <c r="Q1456" s="428" t="inlineStr">
        <is>
          <t>SCMS.BC_THANH_VIEN
SCMS.BM_BAO_CAO
SCMS.BC_BAO_CAO_GT
SCMS.BM_BAO_CAO_HANG
SCMS.BM_BAO_CAO_COT
SCMS.CTCK_THONG_TIN</t>
        </is>
      </c>
      <c r="R1456" s="428" t="inlineStr">
        <is>
          <t>btv.ID,
btv.NGAY_SO_LIEU,
btv.BM_BAO_CAO_ID,
btv.CTCK_THONG_TIN_ID,
btv.TRANG_THAI,
btv2.XOA_DU_LIEU,
c.CTCK_THONG_TIN_ID,
bsh.ID,
bsh.MA_HANG,
bsc.TEN_COT,
bsc.BM_SHEET_ID,
gt.BC_THANH_VIEN_ID,
gt.BM_SHEET_HANG_ID,
gt.GIA_TRI,
bm.ID,
bm.MA_BAO_CAO</t>
        </is>
      </c>
      <c r="S1456" s="395" t="n"/>
      <c r="T1456" s="429"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gt_bctc.TEN_HANG LIKE N'%Vốn chủ sở hữu%' THEN CAST(gt_bctc.GIA_TRI AS VARCHAR2(4000)) END)  AS "Vốn chủ sở hữu (triệu đồng)",  -- Check lại
    MAX(CASE WHEN bsh.MA_HANG='8' AND bsc.TEN_COT=N'Mã chứng khoán' THEN CAST(gt.GIA_TRI AS VARCHAR2(4000)) END) AS "Mã chứng khoán tại HSX",
    MAX(CASE WHEN bsh.MA_HANG='8' AND bsc.TEN_COT=N'Khối lượng chứng khoán cầm cố' THEN CAST(gt.GIA_TRI AS VARCHAR2(4000)) END) AS "Khối lượng cầm cố tại HSX",
    MAX(CASE WHEN bsh.MA_HANG='8' AND bsc.TEN_COT=N'Dư nợ cho vay' THEN CAST(gt.GIA_TRI AS VARCHAR2(4000)) END) AS "Dư nợ cho vay tại HSX",
    MAX(CASE WHEN bsh.MA_HANG='9' AND bsc.TEN_COT=N'Mã chứng khoán' THEN CAST(gt.GIA_TRI AS VARCHAR2(4000)) END) AS "Mã chứng khoán tại HNX",
    MAX(CASE WHEN bsh.MA_HANG='9' AND bsc.TEN_COT=N'Khối lượng chứng khoán cầm cố' THEN CAST(gt.GIA_TRI AS VARCHAR2(4000)) END) AS "Khối lượng cầm cố tại HNX",
    MAX(CASE WHEN bsh.MA_HANG='9' AND bsc.TEN_COT=N'Dư nợ cho vay' THEN CAST(gt.GIA_TRI AS VARCHAR2(4000)) END) AS "Dư nợ cho vay tại HNX"
FROM SCMS.BC_THANH_VIEN btv
JOIN SCMS.BM_BAO_CAO bm ON bm.ID = btv.BM_BAO_CAO_ID
JOIN SCMS.BC_BAO_CAO_GT gt ON gt.BC_THANH_VIEN_ID = btv.ID
JOIN SCMS.BM_BAO_CAO_HANG bsh ON bsh.ID = gt.BM_SHEET_HANG_ID
JOIN SCMS.BM_BAO_CAO_COT bsc ON bsc.BM_SHEET_ID = 7426
--                               AND bsc.TEN_COT = gt.TEN_COT
JOIN SCMS.CTCK_THONG_TIN c ON c.CTCK_THONG_TIN_ID = btv.CTCK_THONG_TIN_ID
-- BCTC năm:
LEFT JOIN SCMS.BC_THANH_VIEN btv2 ON btv2.CTCK_THONG_TIN_ID = btv.CTCK_THONG_TIN_ID
                                      AND btv2.TRANG_THAI IN (4, 6)
                                      AND btv2.XOA_DU_LIEU = 0
                                      AND TRUNC(btv2.NGAY_SO_LIEU) = ADD_MONTHS(TRUNC(btv.NGAY_SO_LIEU, 'YYYY'), 12) - 1
LEFT JOIN SCMS.BM_BAO_CAO bm2 ON bm2.ID = btv2.BM_BAO_CAO_ID
                                  AND bm2.MA_BAO_CAO LIKE '%BCTCRLCTCK%'   -- Xác nhận
LEFT JOIN SCMS.BC_BAO_CAO_GT gt_bctc ON gt_bctc.BC_THANH_VIEN_ID = btv2.ID
WHERE bm.MA_BAO_CAO LIKE 'BCTHHDKD%'
  AND btv.TRANG_THAI IN (2, 3)
GROUP BY
    btv.ID, btv.CTCK_THONG_TIN_ID, btv.NGAY_SO_LIEU, btv.TRANG_THAI,
    bm.MA_BAO_CAO,
    c.TEN_VIET_TAT, c.SAN_NIEM_YET, c.MA_CHUNG_KHOAN,
    c.GIAY_PHEP_KINH_DOANH, c.NGAY_CAP_GPKD
ORDER BY btv.NGAY_SO_LIEU DESC, c.TEN_VIET_TAT;</t>
        </is>
      </c>
      <c r="U1456" s="386" t="n"/>
      <c r="V1456" s="395" t="n"/>
      <c r="W1456" s="395" t="n"/>
      <c r="X1456" s="395" t="n"/>
      <c r="Y1456" s="13" t="n"/>
      <c r="Z1456" s="395" t="n"/>
      <c r="AA1456" s="395" t="n"/>
      <c r="AB1456" s="395" t="n"/>
      <c r="AC1456" s="395" t="n"/>
      <c r="AD1456" s="395" t="n"/>
      <c r="AE1456" s="395" t="n"/>
    </row>
    <row r="1457" ht="56" customHeight="1" s="380">
      <c r="A1457" s="73" t="n">
        <v>77</v>
      </c>
      <c r="B1457" s="386" t="n"/>
      <c r="C1457" s="386" t="inlineStr">
        <is>
          <t>Báo cáo theo Thông tư 121/2020/TT-BTC &gt;&gt; Tình hình giao dịch ký quỹ chứng khoán - II.8B</t>
        </is>
      </c>
      <c r="D1457" s="386" t="inlineStr">
        <is>
          <t>Sàn giao dịch</t>
        </is>
      </c>
      <c r="E1457" s="386" t="inlineStr">
        <is>
          <t>Sàn giao dịch</t>
        </is>
      </c>
      <c r="F1457" s="386" t="inlineStr">
        <is>
          <t>Data Explorer</t>
        </is>
      </c>
      <c r="G1457" s="386" t="inlineStr">
        <is>
          <t>Chỉ tiêu cơ sở</t>
        </is>
      </c>
      <c r="H1457" s="386" t="inlineStr">
        <is>
          <t>Trùng</t>
        </is>
      </c>
      <c r="I1457" s="386" t="inlineStr">
        <is>
          <t>Ngày, CTCK</t>
        </is>
      </c>
      <c r="J1457" s="395" t="inlineStr">
        <is>
          <t>SCMS</t>
        </is>
      </c>
      <c r="K1457" s="395" t="n"/>
      <c r="L1457" s="395" t="inlineStr">
        <is>
          <t>X</t>
        </is>
      </c>
      <c r="M1457" s="395" t="n"/>
      <c r="N1457" s="395" t="inlineStr">
        <is>
          <t>Done</t>
        </is>
      </c>
      <c r="O1457" s="401" t="n"/>
      <c r="P1457" s="395" t="n"/>
      <c r="S1457" s="395" t="n"/>
      <c r="U1457" s="386" t="n"/>
      <c r="V1457" s="395" t="n"/>
      <c r="W1457" s="395" t="n"/>
      <c r="X1457" s="395" t="n"/>
      <c r="Y1457" s="13" t="n"/>
      <c r="Z1457" s="395" t="n"/>
      <c r="AA1457" s="395" t="n"/>
      <c r="AB1457" s="395" t="n"/>
      <c r="AC1457" s="395" t="n"/>
      <c r="AD1457" s="395" t="n"/>
      <c r="AE1457" s="395" t="n"/>
    </row>
    <row r="1458" ht="56" customHeight="1" s="380">
      <c r="A1458" s="73" t="n">
        <v>77</v>
      </c>
      <c r="B1458" s="386" t="n"/>
      <c r="C1458" s="386" t="inlineStr">
        <is>
          <t>Báo cáo theo Thông tư 121/2020/TT-BTC &gt;&gt; Tình hình giao dịch ký quỹ chứng khoán - II.8B</t>
        </is>
      </c>
      <c r="D1458" s="386" t="inlineStr">
        <is>
          <t>Mã chứng khoán</t>
        </is>
      </c>
      <c r="E1458" s="386" t="inlineStr">
        <is>
          <t>Mã chứng khoán</t>
        </is>
      </c>
      <c r="F1458" s="386" t="inlineStr">
        <is>
          <t>Data Explorer</t>
        </is>
      </c>
      <c r="G1458" s="386" t="inlineStr">
        <is>
          <t>Chỉ tiêu cơ sở</t>
        </is>
      </c>
      <c r="H1458" s="386" t="inlineStr">
        <is>
          <t>Trùng</t>
        </is>
      </c>
      <c r="I1458" s="386" t="inlineStr">
        <is>
          <t>Ngày, CTCK</t>
        </is>
      </c>
      <c r="J1458" s="395" t="inlineStr">
        <is>
          <t>SCMS</t>
        </is>
      </c>
      <c r="K1458" s="395" t="n"/>
      <c r="L1458" s="395" t="inlineStr">
        <is>
          <t>X</t>
        </is>
      </c>
      <c r="M1458" s="395" t="n"/>
      <c r="N1458" s="395" t="inlineStr">
        <is>
          <t>Done</t>
        </is>
      </c>
      <c r="O1458" s="401" t="n"/>
      <c r="P1458" s="395" t="n"/>
      <c r="S1458" s="395" t="n"/>
      <c r="U1458" s="386" t="n"/>
      <c r="V1458" s="395" t="n"/>
      <c r="W1458" s="395" t="n"/>
      <c r="X1458" s="395" t="n"/>
      <c r="Y1458" s="13" t="n"/>
      <c r="Z1458" s="395" t="n"/>
      <c r="AA1458" s="395" t="n"/>
      <c r="AB1458" s="395" t="n"/>
      <c r="AC1458" s="395" t="n"/>
      <c r="AD1458" s="395" t="n"/>
      <c r="AE1458" s="395" t="n"/>
    </row>
    <row r="1459" ht="56" customHeight="1" s="380">
      <c r="A1459" s="73" t="n">
        <v>77</v>
      </c>
      <c r="B1459" s="386" t="n"/>
      <c r="C1459" s="386" t="inlineStr">
        <is>
          <t>Báo cáo theo Thông tư 121/2020/TT-BTC &gt;&gt; Tình hình giao dịch ký quỹ chứng khoán - II.8B</t>
        </is>
      </c>
      <c r="D1459" s="386" t="inlineStr">
        <is>
          <t>Giấy phép hoạt động &gt;&gt; Số</t>
        </is>
      </c>
      <c r="E1459" s="386" t="inlineStr">
        <is>
          <t>Giấy phép hoạt động &gt;&gt; Số</t>
        </is>
      </c>
      <c r="F1459" s="386" t="inlineStr">
        <is>
          <t>Data Explorer</t>
        </is>
      </c>
      <c r="G1459" s="386" t="inlineStr">
        <is>
          <t>Chỉ tiêu cơ sở</t>
        </is>
      </c>
      <c r="H1459" s="386" t="inlineStr">
        <is>
          <t>Trùng</t>
        </is>
      </c>
      <c r="I1459" s="386" t="inlineStr">
        <is>
          <t>Ngày, CTCK</t>
        </is>
      </c>
      <c r="J1459" s="395" t="inlineStr">
        <is>
          <t>SCMS</t>
        </is>
      </c>
      <c r="K1459" s="395" t="n"/>
      <c r="L1459" s="395" t="inlineStr">
        <is>
          <t>X</t>
        </is>
      </c>
      <c r="M1459" s="395" t="n"/>
      <c r="N1459" s="395" t="inlineStr">
        <is>
          <t>Done</t>
        </is>
      </c>
      <c r="O1459" s="401" t="n"/>
      <c r="P1459" s="395" t="n"/>
      <c r="S1459" s="395" t="n"/>
      <c r="U1459" s="386" t="n"/>
      <c r="V1459" s="395" t="n"/>
      <c r="W1459" s="395" t="n"/>
      <c r="X1459" s="395" t="n"/>
      <c r="Y1459" s="38" t="n"/>
      <c r="Z1459" s="395" t="n"/>
      <c r="AA1459" s="395" t="n"/>
      <c r="AB1459" s="395" t="n"/>
      <c r="AC1459" s="395" t="n"/>
      <c r="AD1459" s="395" t="n"/>
      <c r="AE1459" s="395" t="n"/>
    </row>
    <row r="1460" ht="56" customHeight="1" s="380">
      <c r="A1460" s="73" t="n">
        <v>77</v>
      </c>
      <c r="B1460" s="386" t="n"/>
      <c r="C1460" s="386" t="inlineStr">
        <is>
          <t>Báo cáo theo Thông tư 121/2020/TT-BTC &gt;&gt; Tình hình giao dịch ký quỹ chứng khoán - II.8B</t>
        </is>
      </c>
      <c r="D1460" s="386" t="inlineStr">
        <is>
          <t>Giấy phép hoạt động &gt;&gt; Ngày cấp</t>
        </is>
      </c>
      <c r="E1460" s="386" t="inlineStr">
        <is>
          <t>Giấy phép hoạt động &gt;&gt; Ngày cấp</t>
        </is>
      </c>
      <c r="F1460" s="386" t="inlineStr">
        <is>
          <t>Data Explorer</t>
        </is>
      </c>
      <c r="G1460" s="386" t="inlineStr">
        <is>
          <t>Chỉ tiêu cơ sở</t>
        </is>
      </c>
      <c r="H1460" s="386" t="inlineStr">
        <is>
          <t>Trùng</t>
        </is>
      </c>
      <c r="I1460" s="386" t="inlineStr">
        <is>
          <t>Ngày, CTCK</t>
        </is>
      </c>
      <c r="J1460" s="395" t="inlineStr">
        <is>
          <t>SCMS</t>
        </is>
      </c>
      <c r="K1460" s="395" t="n"/>
      <c r="L1460" s="395" t="inlineStr">
        <is>
          <t>X</t>
        </is>
      </c>
      <c r="M1460" s="395" t="n"/>
      <c r="N1460" s="395" t="inlineStr">
        <is>
          <t>Done</t>
        </is>
      </c>
      <c r="O1460" s="401" t="n"/>
      <c r="P1460" s="395" t="n"/>
      <c r="S1460" s="395" t="n"/>
      <c r="U1460" s="386" t="n"/>
      <c r="V1460" s="395" t="n"/>
      <c r="W1460" s="395" t="n"/>
      <c r="X1460" s="395" t="n"/>
      <c r="Y1460" s="13" t="n"/>
      <c r="Z1460" s="395" t="n"/>
      <c r="AA1460" s="395" t="n"/>
      <c r="AB1460" s="395" t="n"/>
      <c r="AC1460" s="395" t="n"/>
      <c r="AD1460" s="395" t="n"/>
      <c r="AE1460" s="395" t="n"/>
    </row>
    <row r="1461" ht="56" customHeight="1" s="380">
      <c r="A1461" s="73" t="n">
        <v>77</v>
      </c>
      <c r="B1461" s="386" t="n"/>
      <c r="C1461" s="386" t="inlineStr">
        <is>
          <t>Báo cáo theo Thông tư 121/2020/TT-BTC &gt;&gt; Tình hình giao dịch ký quỹ chứng khoán - II.8B</t>
        </is>
      </c>
      <c r="D1461" s="386" t="inlineStr">
        <is>
          <t>Vốn chủ sở hữu (triệu đồng)</t>
        </is>
      </c>
      <c r="E1461" s="395" t="inlineStr">
        <is>
          <t>Vốn chủ sở hữu (triệu đồng)</t>
        </is>
      </c>
      <c r="F1461" s="386" t="inlineStr">
        <is>
          <t>Data Explorer</t>
        </is>
      </c>
      <c r="G1461" s="386" t="inlineStr">
        <is>
          <t>Chỉ tiêu cơ sở</t>
        </is>
      </c>
      <c r="H1461" s="386" t="inlineStr">
        <is>
          <t>TB</t>
        </is>
      </c>
      <c r="I1461" s="386" t="inlineStr">
        <is>
          <t>Ngày, CTCK</t>
        </is>
      </c>
      <c r="J1461" s="395" t="inlineStr">
        <is>
          <t>SCMS</t>
        </is>
      </c>
      <c r="K1461" s="395" t="n"/>
      <c r="L1461" s="395" t="inlineStr">
        <is>
          <t>X</t>
        </is>
      </c>
      <c r="M1461" s="395" t="n"/>
      <c r="N1461" s="395" t="inlineStr">
        <is>
          <t>Done</t>
        </is>
      </c>
      <c r="O1461" s="401" t="n"/>
      <c r="P1461" s="395" t="n"/>
      <c r="S1461" s="395" t="n"/>
      <c r="U1461" s="386" t="n"/>
      <c r="V1461" s="395" t="n"/>
      <c r="W1461" s="395" t="n"/>
      <c r="X1461" s="395" t="n"/>
      <c r="Y1461" s="13" t="n"/>
      <c r="Z1461" s="395" t="n"/>
      <c r="AA1461" s="395" t="n"/>
      <c r="AB1461" s="395" t="n"/>
      <c r="AC1461" s="395" t="n"/>
      <c r="AD1461" s="395" t="n"/>
      <c r="AE1461" s="395" t="n"/>
    </row>
    <row r="1462" ht="56" customHeight="1" s="380">
      <c r="A1462" s="73" t="n">
        <v>77</v>
      </c>
      <c r="B1462" s="386" t="n"/>
      <c r="C1462" s="386" t="inlineStr">
        <is>
          <t>Báo cáo theo Thông tư 121/2020/TT-BTC &gt;&gt; Tình hình giao dịch ký quỹ chứng khoán - II.8B</t>
        </is>
      </c>
      <c r="D1462" s="386" t="inlineStr">
        <is>
          <t>HSX &gt;&gt; Mã chứng khoán</t>
        </is>
      </c>
      <c r="E1462" s="395" t="inlineStr">
        <is>
          <t>HSX &gt;&gt; Mã chứng khoán</t>
        </is>
      </c>
      <c r="F1462" s="386" t="inlineStr">
        <is>
          <t>Data Explorer</t>
        </is>
      </c>
      <c r="G1462" s="386" t="inlineStr">
        <is>
          <t>Chỉ tiêu cơ sở</t>
        </is>
      </c>
      <c r="H1462" s="386" t="inlineStr">
        <is>
          <t>TB</t>
        </is>
      </c>
      <c r="I1462" s="386" t="inlineStr">
        <is>
          <t>Ngày, CTCK</t>
        </is>
      </c>
      <c r="J1462" s="395" t="inlineStr">
        <is>
          <t>SCMS</t>
        </is>
      </c>
      <c r="K1462" s="395" t="n"/>
      <c r="L1462" s="395" t="inlineStr">
        <is>
          <t>X</t>
        </is>
      </c>
      <c r="M1462" s="395" t="n"/>
      <c r="N1462" s="395" t="inlineStr">
        <is>
          <t>Done</t>
        </is>
      </c>
      <c r="O1462" s="401" t="n"/>
      <c r="P1462" s="395" t="n"/>
      <c r="S1462" s="395" t="n"/>
      <c r="U1462" s="20" t="inlineStr">
        <is>
          <t>BM_SHEET_COT, BM_SHEET_HANG không thấy lưu chỉ tiêu này</t>
        </is>
      </c>
      <c r="V1462" s="395" t="n"/>
      <c r="W1462" s="395" t="n"/>
      <c r="X1462" s="395" t="n"/>
      <c r="Y1462" s="13" t="n"/>
      <c r="Z1462" s="395" t="n"/>
      <c r="AA1462" s="395" t="n"/>
      <c r="AB1462" s="395" t="n"/>
      <c r="AC1462" s="395" t="n"/>
      <c r="AD1462" s="395" t="n"/>
      <c r="AE1462" s="395" t="n"/>
    </row>
    <row r="1463" ht="56" customHeight="1" s="380">
      <c r="A1463" s="73" t="n">
        <v>77</v>
      </c>
      <c r="B1463" s="386" t="n"/>
      <c r="C1463" s="386" t="inlineStr">
        <is>
          <t>Báo cáo theo Thông tư 121/2020/TT-BTC &gt;&gt; Tình hình giao dịch ký quỹ chứng khoán - II.8B</t>
        </is>
      </c>
      <c r="D1463" s="386" t="inlineStr">
        <is>
          <t>HSX &gt;&gt; Khối lượng cầm cố</t>
        </is>
      </c>
      <c r="E1463" s="395" t="inlineStr">
        <is>
          <t>HSX &gt;&gt; Khối lượng cầm cố</t>
        </is>
      </c>
      <c r="F1463" s="386" t="inlineStr">
        <is>
          <t>Data Explorer</t>
        </is>
      </c>
      <c r="G1463" s="386" t="inlineStr">
        <is>
          <t>Chỉ tiêu cơ sở</t>
        </is>
      </c>
      <c r="H1463" s="386" t="inlineStr">
        <is>
          <t>TB</t>
        </is>
      </c>
      <c r="I1463" s="386" t="inlineStr">
        <is>
          <t>Ngày, CTCK</t>
        </is>
      </c>
      <c r="J1463" s="395" t="inlineStr">
        <is>
          <t>SCMS</t>
        </is>
      </c>
      <c r="K1463" s="395" t="n"/>
      <c r="L1463" s="395" t="inlineStr">
        <is>
          <t>X</t>
        </is>
      </c>
      <c r="M1463" s="395" t="n"/>
      <c r="N1463" s="395" t="inlineStr">
        <is>
          <t>Done</t>
        </is>
      </c>
      <c r="O1463" s="401" t="n"/>
      <c r="P1463" s="395" t="n"/>
      <c r="S1463" s="395" t="n"/>
      <c r="U1463" s="20" t="n"/>
      <c r="V1463" s="395" t="n"/>
      <c r="W1463" s="395" t="n"/>
      <c r="X1463" s="395" t="n"/>
      <c r="Y1463" s="13" t="n"/>
      <c r="Z1463" s="395" t="n"/>
      <c r="AA1463" s="395" t="n"/>
      <c r="AB1463" s="395" t="n"/>
      <c r="AC1463" s="395" t="n"/>
      <c r="AD1463" s="395" t="n"/>
      <c r="AE1463" s="395" t="n"/>
    </row>
    <row r="1464" ht="56" customHeight="1" s="380">
      <c r="A1464" s="73" t="n">
        <v>77</v>
      </c>
      <c r="B1464" s="386" t="n"/>
      <c r="C1464" s="386" t="inlineStr">
        <is>
          <t>Báo cáo theo Thông tư 121/2020/TT-BTC &gt;&gt; Tình hình giao dịch ký quỹ chứng khoán - II.8B</t>
        </is>
      </c>
      <c r="D1464" s="386" t="inlineStr">
        <is>
          <t>HSX &gt;&gt; Dư nợ cho vay (triệu đồng)</t>
        </is>
      </c>
      <c r="E1464" s="395" t="inlineStr">
        <is>
          <t>HSX &gt;&gt; Dư nợ cho vay (triệu đồng)</t>
        </is>
      </c>
      <c r="F1464" s="386" t="inlineStr">
        <is>
          <t>Data Explorer</t>
        </is>
      </c>
      <c r="G1464" s="386" t="inlineStr">
        <is>
          <t>Chỉ tiêu cơ sở</t>
        </is>
      </c>
      <c r="H1464" s="386" t="inlineStr">
        <is>
          <t>TB</t>
        </is>
      </c>
      <c r="I1464" s="386" t="inlineStr">
        <is>
          <t>Ngày, CTCK</t>
        </is>
      </c>
      <c r="J1464" s="395" t="inlineStr">
        <is>
          <t>SCMS</t>
        </is>
      </c>
      <c r="K1464" s="395" t="n"/>
      <c r="L1464" s="395" t="inlineStr">
        <is>
          <t>X</t>
        </is>
      </c>
      <c r="M1464" s="395" t="n"/>
      <c r="N1464" s="395" t="inlineStr">
        <is>
          <t>Done</t>
        </is>
      </c>
      <c r="O1464" s="401" t="n"/>
      <c r="P1464" s="395" t="n"/>
      <c r="S1464" s="395" t="n"/>
      <c r="U1464" s="386" t="n"/>
      <c r="V1464" s="395" t="n"/>
      <c r="W1464" s="395" t="n"/>
      <c r="X1464" s="395" t="n"/>
      <c r="Y1464" s="13" t="n"/>
      <c r="Z1464" s="395" t="n"/>
      <c r="AA1464" s="395" t="n"/>
      <c r="AB1464" s="395" t="n"/>
      <c r="AC1464" s="395" t="n"/>
      <c r="AD1464" s="395" t="n"/>
      <c r="AE1464" s="395" t="n"/>
    </row>
    <row r="1465" ht="56" customHeight="1" s="380">
      <c r="A1465" s="73" t="n">
        <v>77</v>
      </c>
      <c r="B1465" s="386" t="n"/>
      <c r="C1465" s="386" t="inlineStr">
        <is>
          <t>Báo cáo theo Thông tư 121/2020/TT-BTC &gt;&gt; Tình hình giao dịch ký quỹ chứng khoán - II.8B</t>
        </is>
      </c>
      <c r="D1465" s="386" t="inlineStr">
        <is>
          <t>HNX &gt;&gt; Mã chứng khoán</t>
        </is>
      </c>
      <c r="E1465" s="395" t="inlineStr">
        <is>
          <t>HNX &gt;&gt; Mã chứng khoán</t>
        </is>
      </c>
      <c r="F1465" s="386" t="inlineStr">
        <is>
          <t>Data Explorer</t>
        </is>
      </c>
      <c r="G1465" s="386" t="inlineStr">
        <is>
          <t>Chỉ tiêu cơ sở</t>
        </is>
      </c>
      <c r="H1465" s="386" t="inlineStr">
        <is>
          <t>TB</t>
        </is>
      </c>
      <c r="I1465" s="386" t="inlineStr">
        <is>
          <t>Ngày, CTCK</t>
        </is>
      </c>
      <c r="J1465" s="395" t="inlineStr">
        <is>
          <t>SCMS</t>
        </is>
      </c>
      <c r="K1465" s="395" t="n"/>
      <c r="L1465" s="395" t="inlineStr">
        <is>
          <t>X</t>
        </is>
      </c>
      <c r="M1465" s="395" t="n"/>
      <c r="N1465" s="395" t="inlineStr">
        <is>
          <t>Done</t>
        </is>
      </c>
      <c r="O1465" s="401" t="n"/>
      <c r="P1465" s="395" t="n"/>
      <c r="S1465" s="395" t="n"/>
      <c r="U1465" s="20" t="inlineStr">
        <is>
          <t>BM_SHEET_COT, BM_SHEET_HANG không thấy lưu chỉ tiêu này</t>
        </is>
      </c>
      <c r="V1465" s="395" t="n"/>
      <c r="W1465" s="395" t="n"/>
      <c r="X1465" s="395" t="n"/>
      <c r="Y1465" s="14" t="n"/>
      <c r="Z1465" s="395" t="n"/>
      <c r="AA1465" s="395" t="n"/>
      <c r="AB1465" s="395" t="n"/>
      <c r="AC1465" s="395" t="n"/>
      <c r="AD1465" s="395" t="n"/>
      <c r="AE1465" s="395" t="n"/>
    </row>
    <row r="1466" ht="56" customHeight="1" s="380">
      <c r="A1466" s="73" t="n">
        <v>77</v>
      </c>
      <c r="B1466" s="386" t="n"/>
      <c r="C1466" s="386" t="inlineStr">
        <is>
          <t>Báo cáo theo Thông tư 121/2020/TT-BTC &gt;&gt; Tình hình giao dịch ký quỹ chứng khoán - II.8B</t>
        </is>
      </c>
      <c r="D1466" s="386" t="inlineStr">
        <is>
          <t>HNX &gt;&gt; Khối lượng cầm cố</t>
        </is>
      </c>
      <c r="E1466" s="395" t="inlineStr">
        <is>
          <t>HNX &gt;&gt; Khối lượng cầm cố</t>
        </is>
      </c>
      <c r="F1466" s="386" t="inlineStr">
        <is>
          <t>Data Explorer</t>
        </is>
      </c>
      <c r="G1466" s="386" t="inlineStr">
        <is>
          <t>Chỉ tiêu cơ sở</t>
        </is>
      </c>
      <c r="H1466" s="386" t="inlineStr">
        <is>
          <t>TB</t>
        </is>
      </c>
      <c r="I1466" s="386" t="inlineStr">
        <is>
          <t>Ngày, CTCK</t>
        </is>
      </c>
      <c r="J1466" s="395" t="inlineStr">
        <is>
          <t>SCMS</t>
        </is>
      </c>
      <c r="K1466" s="395" t="n"/>
      <c r="L1466" s="395" t="inlineStr">
        <is>
          <t>X</t>
        </is>
      </c>
      <c r="M1466" s="395" t="n"/>
      <c r="N1466" s="395" t="inlineStr">
        <is>
          <t>Done</t>
        </is>
      </c>
      <c r="O1466" s="401" t="n"/>
      <c r="P1466" s="395" t="n"/>
      <c r="S1466" s="395" t="n"/>
      <c r="U1466" s="386" t="n"/>
      <c r="V1466" s="395" t="n"/>
      <c r="W1466" s="395" t="n"/>
      <c r="X1466" s="395" t="n"/>
      <c r="Y1466" s="13" t="n"/>
      <c r="Z1466" s="395" t="n"/>
      <c r="AA1466" s="395" t="n"/>
      <c r="AB1466" s="395" t="n"/>
      <c r="AC1466" s="395" t="n"/>
      <c r="AD1466" s="395" t="n"/>
      <c r="AE1466" s="395" t="n"/>
    </row>
    <row r="1467" ht="56" customHeight="1" s="380">
      <c r="A1467" s="83" t="n">
        <v>77</v>
      </c>
      <c r="B1467" s="68" t="n"/>
      <c r="C1467" s="68" t="inlineStr">
        <is>
          <t>Báo cáo theo Thông tư 121/2020/TT-BTC &gt;&gt; Tình hình giao dịch ký quỹ chứng khoán - II.8B</t>
        </is>
      </c>
      <c r="D1467" s="68" t="inlineStr">
        <is>
          <t>HNX &gt;&gt; Dư nợ cho vay (triệu đồng)</t>
        </is>
      </c>
      <c r="E1467" s="69" t="inlineStr">
        <is>
          <t>HNX &gt;&gt; Dư nợ cho vay (triệu đồng)</t>
        </is>
      </c>
      <c r="F1467" s="68" t="inlineStr">
        <is>
          <t>Data Explorer</t>
        </is>
      </c>
      <c r="G1467" s="68" t="inlineStr">
        <is>
          <t>Chỉ tiêu cơ sở</t>
        </is>
      </c>
      <c r="H1467" s="68" t="inlineStr">
        <is>
          <t>TB</t>
        </is>
      </c>
      <c r="I1467" s="68" t="inlineStr">
        <is>
          <t>Ngày, CTCK</t>
        </is>
      </c>
      <c r="J1467" s="69" t="inlineStr">
        <is>
          <t>SCMS</t>
        </is>
      </c>
      <c r="K1467" s="69" t="n"/>
      <c r="L1467" s="69" t="inlineStr">
        <is>
          <t>X</t>
        </is>
      </c>
      <c r="M1467" s="69" t="n"/>
      <c r="N1467" s="69" t="inlineStr">
        <is>
          <t>Done</t>
        </is>
      </c>
      <c r="O1467" s="85" t="n"/>
      <c r="P1467" s="69" t="n"/>
      <c r="Q1467" s="426" t="n"/>
      <c r="R1467" s="426" t="n"/>
      <c r="S1467" s="69" t="n"/>
      <c r="T1467" s="426" t="n"/>
      <c r="U1467" s="68" t="n"/>
      <c r="V1467" s="69" t="n"/>
      <c r="W1467" s="69" t="n"/>
      <c r="X1467" s="69" t="n"/>
      <c r="Y1467" s="97" t="n"/>
      <c r="Z1467" s="69" t="n"/>
      <c r="AA1467" s="69" t="n"/>
      <c r="AB1467" s="69" t="n"/>
      <c r="AC1467" s="69" t="n"/>
      <c r="AD1467" s="69" t="n"/>
      <c r="AE1467" s="69" t="n"/>
    </row>
    <row r="1468" ht="56" customHeight="1" s="380">
      <c r="A1468" s="73" t="n">
        <v>78</v>
      </c>
      <c r="B1468" s="122" t="inlineStr">
        <is>
          <t>Nga</t>
        </is>
      </c>
      <c r="C1468" s="81" t="inlineStr">
        <is>
          <t>Báo cáo theo Thông tư 121/2020/TT-BTC &gt;&gt; Giao dịch chứng khoán niêm yết/đăng ký giao dịch</t>
        </is>
      </c>
      <c r="D1468" s="106" t="inlineStr">
        <is>
          <t>Loại báo cáo</t>
        </is>
      </c>
      <c r="E1468" s="107" t="inlineStr">
        <is>
          <t>Loại báo cáo</t>
        </is>
      </c>
      <c r="F1468" s="390" t="inlineStr">
        <is>
          <t>Data Explorer</t>
        </is>
      </c>
      <c r="G1468" s="390" t="inlineStr">
        <is>
          <t>Chiều</t>
        </is>
      </c>
      <c r="H1468" s="390" t="inlineStr">
        <is>
          <t>Dễ</t>
        </is>
      </c>
      <c r="I1468" s="390" t="inlineStr">
        <is>
          <t>Ngày, CTCK</t>
        </is>
      </c>
      <c r="J1468" s="401" t="inlineStr">
        <is>
          <t>SCMS</t>
        </is>
      </c>
      <c r="K1468" s="401" t="inlineStr">
        <is>
          <t>X</t>
        </is>
      </c>
      <c r="L1468" s="395" t="inlineStr">
        <is>
          <t>X</t>
        </is>
      </c>
      <c r="M1468" s="401" t="n"/>
      <c r="N1468" s="395" t="inlineStr">
        <is>
          <t>Done</t>
        </is>
      </c>
      <c r="O1468" s="401" t="n"/>
      <c r="P1468" s="395" t="n"/>
      <c r="Q1468" s="404" t="inlineStr">
        <is>
          <t>SCMS.BM_BAO_CAO
SCMS.BM_BAO_CAO_DINH_KY</t>
        </is>
      </c>
      <c r="R1468" s="404" t="inlineStr">
        <is>
          <t>bm.ID,
bm.MA_BAO_CAO,
bm.LOAI_BAO_CAO,
bm.TEN_BAO_CAO,
bm.SU_DUNG,
bdk.BM_BAO_CAO_ID,
bdk.KY_BAO_CAO,
bdk.SU_DUNG</t>
        </is>
      </c>
      <c r="S1468" s="395" t="n"/>
      <c r="T1468"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468" s="386" t="n"/>
      <c r="V1468" s="395" t="n"/>
      <c r="W1468" s="395" t="n"/>
      <c r="X1468" s="395" t="n"/>
      <c r="Y1468" s="13" t="n"/>
      <c r="Z1468" s="395" t="n"/>
      <c r="AA1468" s="395" t="n"/>
      <c r="AB1468" s="395" t="n"/>
      <c r="AC1468" s="395" t="n"/>
      <c r="AD1468" s="395" t="n"/>
      <c r="AE1468" s="395" t="n"/>
    </row>
    <row r="1469" ht="56" customHeight="1" s="380">
      <c r="A1469" s="73" t="n">
        <v>78</v>
      </c>
      <c r="B1469" s="386" t="n"/>
      <c r="C1469" s="386" t="inlineStr">
        <is>
          <t>Báo cáo theo Thông tư 121/2020/TT-BTC &gt;&gt; Giao dịch chứng khoán niêm yết/đăng ký giao dịch</t>
        </is>
      </c>
      <c r="D1469" s="106" t="inlineStr">
        <is>
          <t>Kỳ báo cáo</t>
        </is>
      </c>
      <c r="E1469" s="107" t="inlineStr">
        <is>
          <t>Kỳ báo cáo</t>
        </is>
      </c>
      <c r="F1469" s="390" t="inlineStr">
        <is>
          <t>Data Explorer</t>
        </is>
      </c>
      <c r="G1469" s="390" t="inlineStr">
        <is>
          <t>Chiều</t>
        </is>
      </c>
      <c r="H1469" s="390" t="inlineStr">
        <is>
          <t>Dễ</t>
        </is>
      </c>
      <c r="I1469" s="390" t="inlineStr">
        <is>
          <t>Ngày, CTCK</t>
        </is>
      </c>
      <c r="J1469" s="401" t="inlineStr">
        <is>
          <t>SCMS</t>
        </is>
      </c>
      <c r="K1469" s="401" t="inlineStr">
        <is>
          <t>X</t>
        </is>
      </c>
      <c r="L1469" s="395" t="inlineStr">
        <is>
          <t>X</t>
        </is>
      </c>
      <c r="M1469" s="401" t="n"/>
      <c r="N1469" s="395" t="inlineStr">
        <is>
          <t>Done</t>
        </is>
      </c>
      <c r="O1469" s="401" t="n"/>
      <c r="P1469" s="395" t="n"/>
      <c r="S1469" s="395" t="n"/>
      <c r="U1469" s="386" t="n"/>
      <c r="V1469" s="395" t="n"/>
      <c r="W1469" s="395" t="n"/>
      <c r="X1469" s="395" t="n"/>
      <c r="Y1469" s="13" t="n"/>
      <c r="Z1469" s="395" t="n"/>
      <c r="AA1469" s="395" t="n"/>
      <c r="AB1469" s="395" t="n"/>
      <c r="AC1469" s="395" t="n"/>
      <c r="AD1469" s="395" t="n"/>
      <c r="AE1469" s="395" t="n"/>
    </row>
    <row r="1470" ht="56" customHeight="1" s="380">
      <c r="A1470" s="73" t="n">
        <v>78</v>
      </c>
      <c r="B1470" s="386" t="n"/>
      <c r="C1470" s="386" t="inlineStr">
        <is>
          <t>Báo cáo theo Thông tư 121/2020/TT-BTC &gt;&gt; Giao dịch chứng khoán niêm yết/đăng ký giao dịch</t>
        </is>
      </c>
      <c r="D1470" s="106" t="inlineStr">
        <is>
          <t>Mã báo cáo</t>
        </is>
      </c>
      <c r="E1470" s="107" t="inlineStr">
        <is>
          <t>Mã báo cáo</t>
        </is>
      </c>
      <c r="F1470" s="390" t="inlineStr">
        <is>
          <t>Data Explorer</t>
        </is>
      </c>
      <c r="G1470" s="390" t="inlineStr">
        <is>
          <t>Chiều</t>
        </is>
      </c>
      <c r="H1470" s="390" t="inlineStr">
        <is>
          <t>Dễ</t>
        </is>
      </c>
      <c r="I1470" s="390" t="inlineStr">
        <is>
          <t>Ngày, CTCK</t>
        </is>
      </c>
      <c r="J1470" s="401" t="inlineStr">
        <is>
          <t>SCMS</t>
        </is>
      </c>
      <c r="K1470" s="401" t="inlineStr">
        <is>
          <t>X</t>
        </is>
      </c>
      <c r="L1470" s="395" t="inlineStr">
        <is>
          <t>X</t>
        </is>
      </c>
      <c r="M1470" s="401" t="n"/>
      <c r="N1470" s="395" t="inlineStr">
        <is>
          <t>Done</t>
        </is>
      </c>
      <c r="O1470" s="401" t="n"/>
      <c r="P1470" s="395" t="n"/>
      <c r="S1470" s="395" t="n"/>
      <c r="U1470" s="386" t="n"/>
      <c r="V1470" s="395" t="n"/>
      <c r="W1470" s="395" t="n"/>
      <c r="X1470" s="395" t="n"/>
      <c r="Y1470" s="13" t="n"/>
      <c r="Z1470" s="395" t="n"/>
      <c r="AA1470" s="395" t="n"/>
      <c r="AB1470" s="395" t="n"/>
      <c r="AC1470" s="395" t="n"/>
      <c r="AD1470" s="395" t="n"/>
      <c r="AE1470" s="395" t="n"/>
    </row>
    <row r="1471" ht="56" customHeight="1" s="380">
      <c r="A1471" s="73" t="n">
        <v>78</v>
      </c>
      <c r="B1471" s="386" t="n"/>
      <c r="C1471" s="386" t="inlineStr">
        <is>
          <t>Báo cáo theo Thông tư 121/2020/TT-BTC &gt;&gt; Giao dịch chứng khoán niêm yết/đăng ký giao dịch</t>
        </is>
      </c>
      <c r="D1471" s="106" t="inlineStr">
        <is>
          <t>Tên báo cáo</t>
        </is>
      </c>
      <c r="E1471" s="107" t="inlineStr">
        <is>
          <t>Tên báo cáo</t>
        </is>
      </c>
      <c r="F1471" s="390" t="inlineStr">
        <is>
          <t>Data Explorer</t>
        </is>
      </c>
      <c r="G1471" s="390" t="inlineStr">
        <is>
          <t>Chiều</t>
        </is>
      </c>
      <c r="H1471" s="390" t="inlineStr">
        <is>
          <t>Dễ</t>
        </is>
      </c>
      <c r="I1471" s="390" t="inlineStr">
        <is>
          <t>Ngày, CTCK</t>
        </is>
      </c>
      <c r="J1471" s="401" t="inlineStr">
        <is>
          <t>SCMS</t>
        </is>
      </c>
      <c r="K1471" s="401" t="inlineStr">
        <is>
          <t>X</t>
        </is>
      </c>
      <c r="L1471" s="395" t="inlineStr">
        <is>
          <t>X</t>
        </is>
      </c>
      <c r="M1471" s="401" t="n"/>
      <c r="N1471" s="395" t="inlineStr">
        <is>
          <t>Done</t>
        </is>
      </c>
      <c r="O1471" s="401" t="n"/>
      <c r="P1471" s="395" t="n"/>
      <c r="S1471" s="395" t="n"/>
      <c r="U1471" s="386" t="n"/>
      <c r="V1471" s="395" t="n"/>
      <c r="W1471" s="395" t="n"/>
      <c r="X1471" s="395" t="n"/>
      <c r="Y1471" s="38" t="n"/>
      <c r="Z1471" s="395" t="n"/>
      <c r="AA1471" s="395" t="n"/>
      <c r="AB1471" s="395" t="n"/>
      <c r="AC1471" s="395" t="n"/>
      <c r="AD1471" s="395" t="n"/>
      <c r="AE1471" s="395" t="n"/>
    </row>
    <row r="1472" ht="56" customHeight="1" s="380">
      <c r="A1472" s="73" t="n">
        <v>78</v>
      </c>
      <c r="B1472" s="386" t="n"/>
      <c r="C1472" s="386" t="inlineStr">
        <is>
          <t>Báo cáo theo Thông tư 121/2020/TT-BTC &gt;&gt; Giao dịch chứng khoán niêm yết/đăng ký giao dịch</t>
        </is>
      </c>
      <c r="D1472" s="106" t="inlineStr">
        <is>
          <t>Mã sheet</t>
        </is>
      </c>
      <c r="E1472" s="106" t="inlineStr">
        <is>
          <t>Mã sheet</t>
        </is>
      </c>
      <c r="F1472" s="390" t="inlineStr">
        <is>
          <t>Data Explorer</t>
        </is>
      </c>
      <c r="G1472" s="390" t="inlineStr">
        <is>
          <t>Chiều</t>
        </is>
      </c>
      <c r="H1472" s="390" t="inlineStr">
        <is>
          <t>Dễ</t>
        </is>
      </c>
      <c r="I1472" s="390" t="inlineStr">
        <is>
          <t>Ngày, CTCK</t>
        </is>
      </c>
      <c r="J1472" s="401" t="inlineStr">
        <is>
          <t>SCMS</t>
        </is>
      </c>
      <c r="K1472" s="401" t="inlineStr">
        <is>
          <t>X</t>
        </is>
      </c>
      <c r="L1472" s="395" t="inlineStr">
        <is>
          <t>X</t>
        </is>
      </c>
      <c r="M1472" s="401" t="n"/>
      <c r="N1472" s="395" t="inlineStr">
        <is>
          <t>Done</t>
        </is>
      </c>
      <c r="O1472" s="401" t="n"/>
      <c r="P1472" s="395" t="n"/>
      <c r="Q1472" s="401" t="inlineStr">
        <is>
          <t>SCMS.BM_BAO_CAO
SCMS.BM_SHEET</t>
        </is>
      </c>
      <c r="R1472" s="401" t="inlineStr">
        <is>
          <t>bm.ID,
bm.MA_BAO_CAO,
bm.SU_DUNG,
s.BM_BAO_CAO_ID,
s.MA_SHEET,
s.TEN_SHEET,
s.SAP_XEP</t>
        </is>
      </c>
      <c r="S1472" s="395" t="n"/>
      <c r="T1472" s="384" t="inlineStr">
        <is>
          <t>-- Mã sheet / Tên sheet
-- TEN_SHEET: GDCKCNY
SELECT bm.MA_BAO_CAO,
s.MA_SHEET,
s.TEN_SHEET
FROM SCMS.BM_BAO_CAO bm
JOIN SCMS.BM_SHEET s ON s.BM_BAO_CAO_ID = bm.ID
WHERE bm.MA_BAO_CAO LIKE 'BCTHHDKD%'
AND s.TEN_SHEET = 'GDCKNY'  -- Check lại
AND bm.SU_DUNG = 1
ORDER BY bm.MA_BAO_CAO, s.SAP_XEP;</t>
        </is>
      </c>
      <c r="U1472" s="386" t="n"/>
      <c r="V1472" s="395" t="n"/>
      <c r="W1472" s="395" t="n"/>
      <c r="X1472" s="395" t="n"/>
      <c r="Y1472" s="13" t="n"/>
      <c r="Z1472" s="395" t="n"/>
      <c r="AA1472" s="395" t="n"/>
      <c r="AB1472" s="395" t="n"/>
      <c r="AC1472" s="395" t="n"/>
      <c r="AD1472" s="395" t="n"/>
      <c r="AE1472" s="395" t="n"/>
    </row>
    <row r="1473" ht="56" customHeight="1" s="380">
      <c r="A1473" s="73" t="n">
        <v>78</v>
      </c>
      <c r="B1473" s="386" t="n"/>
      <c r="C1473" s="386" t="inlineStr">
        <is>
          <t>Báo cáo theo Thông tư 121/2020/TT-BTC &gt;&gt; Giao dịch chứng khoán niêm yết/đăng ký giao dịch</t>
        </is>
      </c>
      <c r="D1473" s="106" t="inlineStr">
        <is>
          <t>Tên sheet</t>
        </is>
      </c>
      <c r="E1473" s="106" t="inlineStr">
        <is>
          <t>Tên sheet</t>
        </is>
      </c>
      <c r="F1473" s="390" t="inlineStr">
        <is>
          <t>Data Explorer</t>
        </is>
      </c>
      <c r="G1473" s="390" t="inlineStr">
        <is>
          <t>Chiều</t>
        </is>
      </c>
      <c r="H1473" s="390" t="inlineStr">
        <is>
          <t>Dễ</t>
        </is>
      </c>
      <c r="I1473" s="390" t="inlineStr">
        <is>
          <t>Ngày, CTCK</t>
        </is>
      </c>
      <c r="J1473" s="401" t="inlineStr">
        <is>
          <t>SCMS</t>
        </is>
      </c>
      <c r="K1473" s="401" t="inlineStr">
        <is>
          <t>X</t>
        </is>
      </c>
      <c r="L1473" s="395" t="inlineStr">
        <is>
          <t>X</t>
        </is>
      </c>
      <c r="M1473" s="401" t="n"/>
      <c r="N1473" s="395" t="inlineStr">
        <is>
          <t>Done</t>
        </is>
      </c>
      <c r="O1473" s="401" t="n"/>
      <c r="P1473" s="395" t="n"/>
      <c r="S1473" s="395" t="n"/>
      <c r="U1473" s="386" t="n"/>
      <c r="V1473" s="395" t="n"/>
      <c r="W1473" s="395" t="n"/>
      <c r="X1473" s="395" t="n"/>
      <c r="Y1473" s="13" t="n"/>
      <c r="Z1473" s="395" t="n"/>
      <c r="AA1473" s="395" t="n"/>
      <c r="AB1473" s="395" t="n"/>
      <c r="AC1473" s="395" t="n"/>
      <c r="AD1473" s="395" t="n"/>
      <c r="AE1473" s="395" t="n"/>
    </row>
    <row r="1474" ht="56" customHeight="1" s="380">
      <c r="A1474" s="73" t="n">
        <v>78</v>
      </c>
      <c r="B1474" s="386" t="n"/>
      <c r="C1474" s="386" t="inlineStr">
        <is>
          <t>Báo cáo theo Thông tư 121/2020/TT-BTC &gt;&gt; Giao dịch chứng khoán niêm yết/đăng ký giao dịch</t>
        </is>
      </c>
      <c r="D1474" s="106" t="inlineStr">
        <is>
          <t>Mã chỉ tiêu</t>
        </is>
      </c>
      <c r="E1474" s="107" t="inlineStr">
        <is>
          <t>Mã chỉ tiêu</t>
        </is>
      </c>
      <c r="F1474" s="390" t="inlineStr">
        <is>
          <t>Data Explorer</t>
        </is>
      </c>
      <c r="G1474" s="390" t="inlineStr">
        <is>
          <t>Chiều</t>
        </is>
      </c>
      <c r="H1474" s="390" t="inlineStr">
        <is>
          <t>Dễ</t>
        </is>
      </c>
      <c r="I1474" s="390" t="inlineStr">
        <is>
          <t>Ngày, CTCK</t>
        </is>
      </c>
      <c r="J1474" s="401" t="inlineStr">
        <is>
          <t>SCMS</t>
        </is>
      </c>
      <c r="K1474" s="401" t="inlineStr">
        <is>
          <t>X</t>
        </is>
      </c>
      <c r="L1474" s="395" t="inlineStr">
        <is>
          <t>X</t>
        </is>
      </c>
      <c r="M1474" s="401" t="n"/>
      <c r="N1474" s="395" t="inlineStr">
        <is>
          <t>Done</t>
        </is>
      </c>
      <c r="O1474" s="401" t="n"/>
      <c r="P1474" s="395" t="n"/>
      <c r="Q1474" s="401" t="inlineStr">
        <is>
          <t>SCMS.BM_BAO_CAO
SCMS.BM_SHEET
SCMS.BM_BAO_CAO_CT
SCMS.DM_CHI_TIEU</t>
        </is>
      </c>
      <c r="R1474" s="402" t="inlineStr">
        <is>
          <t>dct.ID,
dct.MA_CHI_TIEU,
dct.TEN_CHI_TIEU,
dct.SU_DUNG,
s.BM_BAO_CAO_ID,
s.MA_SHEET,
ct.BM_BAO_CAO_ID,
ct.DM_CHI_TIEU_ID,
ct.SU_DUNG,
bm.ID,
bm.MA_BAO_CAO,
bm.SU_DUNG</t>
        </is>
      </c>
      <c r="S1474" s="395" t="n"/>
      <c r="T1474" s="384" t="inlineStr">
        <is>
          <t>-- Mã chỉ tiêu / Tên chỉ tiêu
SELECT DISTINCT
    dct.MA_CHI_TIEU  AS ma_chi_tieu,
    dct.TEN_CHI_TIEU AS ten_chi_tieu
FROM SCMS.BM_BAO_CAO bm
JOIN SCMS.BM_SHEET s ON s.BM_BAO_CAO_ID = bm.ID
        AND s.TEN_SHEET = 'GDCKNY'
JOIN SCMS.BM_BAO_CAO_CT ct ON ct.BM_SHEET_ID = s.ID
        AND ct.SU_DUNG = 1
JOIN SCMS.DM_CHI_TIEU dct ON dct.ID = ct.DM_CHI_TIEU_ID
        AND dct.SU_DUNG = 1
WHERE bm.MA_BAO_CAO LIKE 'BCTHHDKD%'
        AND bm.SU_DUNG = 1
ORDER BY dct.MA_CHI_TIEU;</t>
        </is>
      </c>
      <c r="U1474" s="386" t="n"/>
      <c r="V1474" s="395" t="n"/>
      <c r="W1474" s="395" t="n"/>
      <c r="X1474" s="395" t="n"/>
      <c r="Y1474" s="13" t="n"/>
      <c r="Z1474" s="395" t="n"/>
      <c r="AA1474" s="395" t="n"/>
      <c r="AB1474" s="395" t="n"/>
      <c r="AC1474" s="395" t="n"/>
      <c r="AD1474" s="395" t="n"/>
      <c r="AE1474" s="395" t="n"/>
    </row>
    <row r="1475" ht="56" customHeight="1" s="380">
      <c r="A1475" s="73" t="n">
        <v>78</v>
      </c>
      <c r="B1475" s="386" t="n"/>
      <c r="C1475" s="386" t="inlineStr">
        <is>
          <t>Báo cáo theo Thông tư 121/2020/TT-BTC &gt;&gt; Giao dịch chứng khoán niêm yết/đăng ký giao dịch</t>
        </is>
      </c>
      <c r="D1475" s="106" t="inlineStr">
        <is>
          <t>Tên chỉ tiêu</t>
        </is>
      </c>
      <c r="E1475" s="107" t="inlineStr">
        <is>
          <t>Tên chỉ tiêu</t>
        </is>
      </c>
      <c r="F1475" s="390" t="inlineStr">
        <is>
          <t>Data Explorer</t>
        </is>
      </c>
      <c r="G1475" s="390" t="inlineStr">
        <is>
          <t>Chiều</t>
        </is>
      </c>
      <c r="H1475" s="390" t="inlineStr">
        <is>
          <t>Dễ</t>
        </is>
      </c>
      <c r="I1475" s="390" t="inlineStr">
        <is>
          <t>Ngày, CTCK</t>
        </is>
      </c>
      <c r="J1475" s="401" t="inlineStr">
        <is>
          <t>SCMS</t>
        </is>
      </c>
      <c r="K1475" s="401" t="inlineStr">
        <is>
          <t>X</t>
        </is>
      </c>
      <c r="L1475" s="395" t="inlineStr">
        <is>
          <t>X</t>
        </is>
      </c>
      <c r="M1475" s="401" t="n"/>
      <c r="N1475" s="395" t="inlineStr">
        <is>
          <t>Done</t>
        </is>
      </c>
      <c r="O1475" s="401" t="n"/>
      <c r="P1475" s="395" t="n"/>
      <c r="S1475" s="395" t="n"/>
      <c r="U1475" s="386" t="n"/>
      <c r="V1475" s="395" t="n"/>
      <c r="W1475" s="395" t="n"/>
      <c r="X1475" s="395" t="n"/>
      <c r="Y1475" s="13" t="n"/>
      <c r="Z1475" s="395" t="n"/>
      <c r="AA1475" s="395" t="n"/>
      <c r="AB1475" s="395" t="n"/>
      <c r="AC1475" s="395" t="n"/>
      <c r="AD1475" s="395" t="n"/>
      <c r="AE1475" s="395" t="n"/>
    </row>
    <row r="1476" ht="56" customHeight="1" s="380">
      <c r="A1476" s="73" t="n">
        <v>78</v>
      </c>
      <c r="B1476" s="386" t="n"/>
      <c r="C1476" s="386" t="inlineStr">
        <is>
          <t>Báo cáo theo Thông tư 121/2020/TT-BTC &gt;&gt; Giao dịch chứng khoán niêm yết/đăng ký giao dịch</t>
        </is>
      </c>
      <c r="D1476" s="386" t="inlineStr">
        <is>
          <t>Tên công ty chứng khoán</t>
        </is>
      </c>
      <c r="E1476" s="386" t="inlineStr">
        <is>
          <t>Tên công ty chứng khoán</t>
        </is>
      </c>
      <c r="F1476" s="386" t="inlineStr">
        <is>
          <t>Data Explorer</t>
        </is>
      </c>
      <c r="G1476" s="386" t="inlineStr">
        <is>
          <t>Chỉ tiêu cơ sở</t>
        </is>
      </c>
      <c r="H1476" s="386" t="inlineStr">
        <is>
          <t>Dễ</t>
        </is>
      </c>
      <c r="I1476" s="386" t="inlineStr">
        <is>
          <t>Ngày, CTCK</t>
        </is>
      </c>
      <c r="J1476" s="395" t="inlineStr">
        <is>
          <t>SCMS</t>
        </is>
      </c>
      <c r="K1476" s="395" t="n"/>
      <c r="L1476" s="395" t="inlineStr">
        <is>
          <t>X</t>
        </is>
      </c>
      <c r="M1476" s="395" t="n"/>
      <c r="N1476" s="395" t="inlineStr">
        <is>
          <t>Done</t>
        </is>
      </c>
      <c r="O1476" s="401" t="n"/>
      <c r="P1476" s="395" t="n"/>
      <c r="Q1476" s="427" t="inlineStr">
        <is>
          <t>SCMS.BC_THANH_VIEN
SCMS.BM_BAO_CAO
SCMS.BC_BAO_CAO_GT
SCMS.BM_BAO_CAO_HANG
SCMS.BM_BAO_CAO_COT
SCMS.CTCK_THONG_TIN</t>
        </is>
      </c>
      <c r="R1476" s="427" t="inlineStr">
        <is>
          <t>btv.ID,
btv.NGAY_SO_LIEU,
btv.BM_BAO_CAO_ID,
btv.CTCK_THONG_TIN_ID,
btv.TRANG_THAI,
c.CTCK_THONG_TIN_ID,
bsh.ID,
bsh.MA_HANG,
bsc.MA_COT,
bsc.TEN_COT,
bsc.BM_SHEET_ID,
gt.BC_THANH_VIEN_ID,
gt.BM_SHEET_ID,
gt.BM_SHEET_HANG_ID,
gt.GIA_TRI,
bm.ID,
bm.MA_BAO_CAO</t>
        </is>
      </c>
      <c r="S1476" s="395" t="n"/>
      <c r="T1476"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 Giao dịch cổ phiếu của nhà đầu tư trong nước
    MAX(CASE WHEN bsh.MA_HANG='2' AND bsc.TEN_COT=N'HNX' AND bsc.MA_COT='C3' THEN CAST(gt.GIA_TRI AS VARCHAR2(4000)) END) AS "Tổng mua &gt;&gt; Trong kỳ &gt;&gt; HNX",
    MAX(CASE WHEN bsh.MA_HANG='2' AND bsc.TEN_COT=N'HSX' AND bsc.MA_COT='C4' THEN CAST(gt.GIA_TRI AS VARCHAR2(4000)) END) AS "Tổng mua &gt;&gt; Trong kỳ &gt;&gt; HSX",
    MAX(CASE WHEN bsh.MA_HANG='2' AND bsc.TEN_COT=N'HNX' AND bsc.MA_COT='C5' THEN CAST(gt.GIA_TRI AS VARCHAR2(4000)) END) AS "Tổng mua &gt;&gt; Lũy kế đầu năm &gt;&gt; HNX",
    MAX(CASE WHEN bsh.MA_HANG='2' AND bsc.TEN_COT=N'HSX' AND bsc.MA_COT='C6' THEN CAST(gt.GIA_TRI AS VARCHAR2(4000)) END) AS "Tổng mua &gt;&gt; Lũy kế đầu năm &gt;&gt; HSX",
    MAX(CASE WHEN bsh.MA_HANG='2' AND bsc.TEN_COT=N'HNX' AND bsc.MA_COT='C7' THEN CAST(gt.GIA_TRI AS VARCHAR2(4000)) END) AS "Tổng bán &gt;&gt; Trong kỳ &gt;&gt; HNX",
    MAX(CASE WHEN bsh.MA_HANG='2' AND bsc.TEN_COT=N'HSX' AND bsc.MA_COT='C8' THEN CAST(gt.GIA_TRI AS VARCHAR2(4000)) END) AS "Tổng bán &gt;&gt; Trong kỳ &gt;&gt; HSX",
    MAX(CASE WHEN bsh.MA_HANG='2' AND bsc.TEN_COT=N'HNX' AND bsc.MA_COT='C9' THEN CAST(gt.GIA_TRI AS VARCHAR2(4000)) END) AS "Tổng bán &gt;&gt; Lũy kế đầu năm &gt;&gt; HNX",
    MAX(CASE WHEN bsh.MA_HANG='2' AND bsc.TEN_COT=N'HSX' AND bsc.MA_COT='C10' THEN CAST(gt.GIA_TRI AS VARCHAR2(4000)) END) AS "Tổng bán &gt;&gt; Lũy kế đầu năm &gt;&gt; HSX",
    MAX(CASE WHEN bsh.MA_HANG='2' AND bsc.TEN_COT=N'HNX' AND bsc.MA_COT='C11' THEN CAST(gt.GIA_TRI AS VARCHAR2(4000)) END) AS "Tổng mua và bán &gt;&gt; Trong kỳ &gt;&gt; HNX",
    MAX(CASE WHEN bsh.MA_HANG='2' AND bsc.TEN_COT=N'HSX' AND bsc.MA_COT='C12' THEN CAST(gt.GIA_TRI AS VARCHAR2(4000)) END) AS "Tổng mua và bán &gt;&gt; Trong kỳ &gt;&gt; HSX",
    MAX(CASE WHEN bsh.MA_HANG='2' AND bsc.TEN_COT=N'HNX' AND bsc.MA_COT='C13' THEN CAST(gt.GIA_TRI AS VARCHAR2(4000)) END) AS "Tổng mua và bán &gt;&gt; Lũy kế đầu năm &gt;&gt; HNX",
    MAX(CASE WHEN bsh.MA_HANG='2' AND bsc.TEN_COT=N'HSX' AND bsc.MA_COT='C14' THEN CAST(gt.GIA_TRI AS VARCHAR2(4000)) END) AS "Tổng mua và bán &gt;&gt; Lũy kế đầu năm &gt;&gt; HSX",
    -- Giao dịch cổ phiếu của nhà đầu tư nước ngoài
    MAX(CASE WHEN bsh.MA_HANG='3' AND bsc.TEN_COT=N'HNX' AND bsc.MA_COT='C3' THEN CAST(gt.GIA_TRI AS VARCHAR2(4000)) END) AS "Tổng mua &gt;&gt; Trong kỳ &gt;&gt; HNX",
    MAX(CASE WHEN bsh.MA_HANG='3' AND bsc.TEN_COT=N'HSX' AND bsc.MA_COT='C4' THEN CAST(gt.GIA_TRI AS VARCHAR2(4000)) END) AS "Tổng mua &gt;&gt; Trong kỳ &gt;&gt; HSX",
    MAX(CASE WHEN bsh.MA_HANG='3' AND bsc.TEN_COT=N'HNX' AND bsc.MA_COT='C5' THEN CAST(gt.GIA_TRI AS VARCHAR2(4000)) END) AS "Tổng mua &gt;&gt; Lũy kế đầu năm &gt;&gt; HNX",
    MAX(CASE WHEN bsh.MA_HANG='3' AND bsc.TEN_COT=N'HSX' AND bsc.MA_COT='C6' THEN CAST(gt.GIA_TRI AS VARCHAR2(4000)) END) AS "Tổng mua &gt;&gt; Lũy kế đầu năm &gt;&gt; HSX",
    MAX(CASE WHEN bsh.MA_HANG='3' AND bsc.TEN_COT=N'HNX' AND bsc.MA_COT='C7' THEN CAST(gt.GIA_TRI AS VARCHAR2(4000)) END) AS "Tổng bán &gt;&gt; Trong kỳ &gt;&gt; HNX",
    MAX(CASE WHEN bsh.MA_HANG='3' AND bsc.TEN_COT=N'HSX' AND bsc.MA_COT='C8' THEN CAST(gt.GIA_TRI AS VARCHAR2(4000)) END) AS "Tổng bán &gt;&gt; Trong kỳ &gt;&gt; HSX",
    MAX(CASE WHEN bsh.MA_HANG='3' AND bsc.TEN_COT=N'HNX' AND bsc.MA_COT='C9' THEN CAST(gt.GIA_TRI AS VARCHAR2(4000)) END) AS "Tổng bán &gt;&gt; Lũy kế đầu năm &gt;&gt; HNX",
    MAX(CASE WHEN bsh.MA_HANG='3' AND bsc.TEN_COT=N'HSX' AND bsc.MA_COT='C10' THEN CAST(gt.GIA_TRI AS VARCHAR2(4000)) END) AS "Tổng bán &gt;&gt; Lũy kế đầu năm &gt;&gt; HSX",
    MAX(CASE WHEN bsh.MA_HANG='3' AND bsc.TEN_COT=N'HNX' AND bsc.MA_COT='C11' THEN CAST(gt.GIA_TRI AS VARCHAR2(4000)) END) AS "Tổng mua và bán &gt;&gt; Trong kỳ &gt;&gt; HNX",
    MAX(CASE WHEN bsh.MA_HANG='3' AND bsc.TEN_COT=N'HSX' AND bsc.MA_COT='C12' THEN CAST(gt.GIA_TRI AS VARCHAR2(4000)) END) AS "Tổng mua và bán &gt;&gt; Trong kỳ &gt;&gt; HSX",
    MAX(CASE WHEN bsh.MA_HANG='3' AND bsc.TEN_COT=N'HNX' AND bsc.MA_COT='C13' THEN CAST(gt.GIA_TRI AS VARCHAR2(4000)) END) AS "Tổng mua và bán &gt;&gt; Lũy kế đầu năm &gt;&gt; HNX",
    MAX(CASE WHEN bsh.MA_HANG='3' AND bsc.TEN_COT=N'HSX' AND bsc.MA_COT='C14' THEN CAST(gt.GIA_TRI AS VARCHAR2(4000)) END) AS "Tổng mua và bán &gt;&gt; Lũy kế đầu năm &gt;&gt; HSX",
    -- Giao dịch chứng chỉ quỹ của nhà đầu tư trong nước
    MAX(CASE WHEN bsh.MA_HANG='4' AND bsc.TEN_COT=N'HNX' AND bsc.MA_COT='C3' THEN CAST(gt.GIA_TRI AS VARCHAR2(4000)) END) AS "Tổng mua &gt;&gt; Trong kỳ &gt;&gt; HNX",
    MAX(CASE WHEN bsh.MA_HANG='4' AND bsc.TEN_COT=N'HSX' AND bsc.MA_COT='C4' THEN CAST(gt.GIA_TRI AS VARCHAR2(4000)) END) AS "Tổng mua &gt;&gt; Trong kỳ &gt;&gt; HSX",
    MAX(CASE WHEN bsh.MA_HANG='4' AND bsc.TEN_COT=N'HNX' AND bsc.MA_COT='C5' THEN CAST(gt.GIA_TRI AS VARCHAR2(4000)) END) AS "Tổng mua &gt;&gt; Lũy kế đầu năm &gt;&gt; HNX",
    MAX(CASE WHEN bsh.MA_HANG='4' AND bsc.TEN_COT=N'HSX' AND bsc.MA_COT='C6' THEN CAST(gt.GIA_TRI AS VARCHAR2(4000)) END) AS "Tổng mua &gt;&gt; Lũy kế đầu năm &gt;&gt; HSX",
    MAX(CASE WHEN bsh.MA_HANG='4' AND bsc.TEN_COT=N'HNX' AND bsc.MA_COT='C7' THEN CAST(gt.GIA_TRI AS VARCHAR2(4000)) END) AS "Tổng bán &gt;&gt; Trong kỳ &gt;&gt; HNX",
    MAX(CASE WHEN bsh.MA_HANG='4' AND bsc.TEN_COT=N'HSX' AND bsc.MA_COT='C8' THEN CAST(gt.GIA_TRI AS VARCHAR2(4000)) END) AS "Tổng bán &gt;&gt; Trong kỳ &gt;&gt; HSX",
    MAX(CASE WHEN bsh.MA_HANG='4' AND bsc.TEN_COT=N'HNX' AND bsc.MA_COT='C9' THEN CAST(gt.GIA_TRI AS VARCHAR2(4000)) END) AS "Tổng bán &gt;&gt; Lũy kế đầu năm &gt;&gt; HNX",
    MAX(CASE WHEN bsh.MA_HANG='4' AND bsc.TEN_COT=N'HSX' AND bsc.MA_COT='C10' THEN CAST(gt.GIA_TRI AS VARCHAR2(4000)) END) AS "Tổng bán &gt;&gt; Lũy kế đầu năm &gt;&gt; HSX",
    MAX(CASE WHEN bsh.MA_HANG='4' AND bsc.TEN_COT=N'HNX' AND bsc.MA_COT='C11' THEN CAST(gt.GIA_TRI AS VARCHAR2(4000)) END) AS "Tổng mua và bán &gt;&gt; Trong kỳ &gt;&gt; HNX",
    MAX(CASE WHEN bsh.MA_HANG='4' AND bsc.TEN_COT=N'HSX' AND bsc.MA_COT='C12' THEN CAST(gt.GIA_TRI AS VARCHAR2(4000)) END) AS "Tổng mua và bán &gt;&gt; Trong kỳ &gt;&gt; HSX",
    MAX(CASE WHEN bsh.MA_HANG='4' AND bsc.TEN_COT=N'HNX' AND bsc.MA_COT='C13' THEN CAST(gt.GIA_TRI AS VARCHAR2(4000)) END) AS "Tổng mua và bán &gt;&gt; Lũy kế đầu năm &gt;&gt; HNX",
    MAX(CASE WHEN bsh.MA_HANG='4' AND bsc.TEN_COT=N'HSX' AND bsc.MA_COT='C14' THEN CAST(gt.GIA_TRI AS VARCHAR2(4000)) END) AS "Tổng mua và bán &gt;&gt; Lũy kế đầu năm &gt;&gt; HSX",
    -- Giao dịch chứng chỉ quỹ của nhà đầu tư nước ngoài
    MAX(CASE WHEN bsh.MA_HANG='5' AND bsc.TEN_COT=N'HNX' AND bsc.MA_COT='C3' THEN CAST(gt.GIA_TRI AS VARCHAR2(4000)) END) AS "Tổng mua &gt;&gt; Trong kỳ &gt;&gt; HNX",
    MAX(CASE WHEN bsh.MA_HANG='5' AND bsc.TEN_COT=N'HSX' AND bsc.MA_COT='C4' THEN CAST(gt.GIA_TRI AS VARCHAR2(4000)) END) AS "Tổng mua &gt;&gt; Trong kỳ &gt;&gt; HSX",
    MAX(CASE WHEN bsh.MA_HANG='5' AND bsc.TEN_COT=N'HNX' AND bsc.MA_COT='C5' THEN CAST(gt.GIA_TRI AS VARCHAR2(4000)) END) AS "Tổng mua &gt;&gt; Lũy kế đầu năm &gt;&gt; HNX",
    MAX(CASE WHEN bsh.MA_HANG='5' AND bsc.TEN_COT=N'HSX' AND bsc.MA_COT='C6' THEN CAST(gt.GIA_TRI AS VARCHAR2(4000)) END) AS "Tổng mua &gt;&gt; Lũy kế đầu năm &gt;&gt; HSX",
    MAX(CASE WHEN bsh.MA_HANG='5' AND bsc.TEN_COT=N'HNX' AND bsc.MA_COT='C7' THEN CAST(gt.GIA_TRI AS VARCHAR2(4000)) END) AS "Tổng bán &gt;&gt; Trong kỳ &gt;&gt; HNX",
    MAX(CASE WHEN bsh.MA_HANG='5' AND bsc.TEN_COT=N'HSX' AND bsc.MA_COT='C8' THEN CAST(gt.GIA_TRI AS VARCHAR2(4000)) END) AS "Tổng bán &gt;&gt; Trong kỳ &gt;&gt; HSX",
    MAX(CASE WHEN bsh.MA_HANG='5' AND bsc.TEN_COT=N'HNX' AND bsc.MA_COT='C9' THEN CAST(gt.GIA_TRI AS VARCHAR2(4000)) END) AS "Tổng bán &gt;&gt; Lũy kế đầu năm &gt;&gt; HNX",
    MAX(CASE WHEN bsh.MA_HANG='5' AND bsc.TEN_COT=N'HSX' AND bsc.MA_COT='C10' THEN CAST(gt.GIA_TRI AS VARCHAR2(4000)) END) AS "Tổng bán &gt;&gt; Lũy kế đầu năm &gt;&gt; HSX",
    MAX(CASE WHEN bsh.MA_HANG='5' AND bsc.TEN_COT=N'HNX' AND bsc.MA_COT='C11' THEN CAST(gt.GIA_TRI AS VARCHAR2(4000)) END) AS "Tổng mua và bán &gt;&gt; Trong kỳ &gt;&gt; HNX",
    MAX(CASE WHEN bsh.MA_HANG='5' AND bsc.TEN_COT=N'HSX' AND bsc.MA_COT='C12' THEN CAST(gt.GIA_TRI AS VARCHAR2(4000)) END) AS "Tổng mua và bán &gt;&gt; Trong kỳ &gt;&gt; HSX",
    MAX(CASE WHEN bsh.MA_HANG='5' AND bsc.TEN_COT=N'HNX' AND bsc.MA_COT='C13' THEN CAST(gt.GIA_TRI AS VARCHAR2(4000)) END) AS "Tổng mua và bán &gt;&gt; Lũy kế đầu năm &gt;&gt; HNX",
    MAX(CASE WHEN bsh.MA_HANG='5' AND bsc.TEN_COT=N'HSX' AND bsc.MA_COT='C14' THEN CAST(gt.GIA_TRI AS VARCHAR2(4000)) END) AS "Tổng mua và bán &gt;&gt; Lũy kế đầu năm &gt;&gt; HSX",
    -- Tự doanh - Cổ phiếu
    MAX(CASE WHEN bsh.MA_HANG='7' AND bsc.TEN_COT=N'HNX' AND bsc.MA_COT='C3' THEN CAST(gt.GIA_TRI AS VARCHAR2(4000)) END) AS "Tổng mua &gt;&gt; Trong kỳ &gt;&gt; HNX",
    MAX(CASE WHEN bsh.MA_HANG='7' AND bsc.TEN_COT=N'HSX' AND bsc.MA_COT='C4' THEN CAST(gt.GIA_TRI AS VARCHAR2(4000)) END) AS "Tổng mua &gt;&gt; Trong kỳ &gt;&gt; HSX",
    MAX(CASE WHEN bsh.MA_HANG='7' AND bsc.TEN_COT=N'HNX' AND bsc.MA_COT='C5' THEN CAST(gt.GIA_TRI AS VARCHAR2(4000)) END) AS "Tổng mua &gt;&gt; Lũy kế đầu năm &gt;&gt; HNX",
    MAX(CASE WHEN bsh.MA_HANG='7' AND bsc.TEN_COT=N'HSX' AND bsc.MA_COT='C6' THEN CAST(gt.GIA_TRI AS VARCHAR2(4000)) END) AS "Tổng mua &gt;&gt; Lũy kế đầu năm &gt;&gt; HSX",
    MAX(CASE WHEN bsh.MA_HANG='7' AND bsc.TEN_COT=N'HNX' AND bsc.MA_COT='C7' THEN CAST(gt.GIA_TRI AS VARCHAR2(4000)) END) AS "Tổng bán &gt;&gt; Trong kỳ &gt;&gt; HNX",
    MAX(CASE WHEN bsh.MA_HANG='7' AND bsc.TEN_COT=N'HSX' AND bsc.MA_COT='C8' THEN CAST(gt.GIA_TRI AS VARCHAR2(4000)) END) AS "Tổng bán &gt;&gt; Trong kỳ &gt;&gt; HSX",
    MAX(CASE WHEN bsh.MA_HANG='7' AND bsc.TEN_COT=N'HNX' AND bsc.MA_COT='C9' THEN CAST(gt.GIA_TRI AS VARCHAR2(4000)) END) AS "Tổng bán &gt;&gt; Lũy kế đầu năm &gt;&gt; HNX",
    MAX(CASE WHEN bsh.MA_HANG='7' AND bsc.TEN_COT=N'HSX' AND bsc.MA_COT='C10' THEN CAST(gt.GIA_TRI AS VARCHAR2(4000)) END) AS "Tổng bán &gt;&gt; Lũy kế đầu năm &gt;&gt; HSX",
    MAX(CASE WHEN bsh.MA_HANG='7' AND bsc.TEN_COT=N'HNX' AND bsc.MA_COT='C11' THEN CAST(gt.GIA_TRI AS VARCHAR2(4000)) END) AS "Tổng mua và bán &gt;&gt; Trong kỳ &gt;&gt; HNX",
    MAX(CASE WHEN bsh.MA_HANG='7' AND bsc.TEN_COT=N'HSX' AND bsc.MA_COT='C12' THEN CAST(gt.GIA_TRI AS VARCHAR2(4000)) END) AS "Tổng mua và bán &gt;&gt; Trong kỳ &gt;&gt; HSX",
    MAX(CASE WHEN bsh.MA_HANG='7' AND bsc.TEN_COT=N'HNX' AND bsc.MA_COT='C13' THEN CAST(gt.GIA_TRI AS VARCHAR2(4000)) END) AS "Tổng mua và bán &gt;&gt; Lũy kế đầu năm &gt;&gt; HNX",
    MAX(CASE WHEN bsh.MA_HANG='7' AND bsc.TEN_COT=N'HSX' AND bsc.MA_COT='C14' THEN CAST(gt.GIA_TRI AS VARCHAR2(4000)) END) AS "Tổng mua và bán &gt;&gt; Lũy kế đầu năm &gt;&gt; HSX",
    -- Tự doanh - Trái phiếu
    MAX(CASE WHEN bsh.MA_HANG='8' AND bsc.TEN_COT=N'HNX' AND bsc.MA_COT='C3' THEN CAST(gt.GIA_TRI AS VARCHAR2(4000)) END) AS "Tổng mua &gt;&gt; Trong kỳ &gt;&gt; HNX",
    MAX(CASE WHEN bsh.MA_HANG='8' AND bsc.TEN_COT=N'HSX' AND bsc.MA_COT='C4' THEN CAST(gt.GIA_TRI AS VARCHAR2(4000)) END) AS "Tổng mua &gt;&gt; Trong kỳ &gt;&gt; HSX",
    MAX(CASE WHEN bsh.MA_HANG='8' AND bsc.TEN_COT=N'HNX' AND bsc.MA_COT='C5' THEN CAST(gt.GIA_TRI AS VARCHAR2(4000)) END) AS "Tổng mua &gt;&gt; Lũy kế đầu năm &gt;&gt; HNX",
    MAX(CASE WHEN bsh.MA_HANG='8' AND bsc.TEN_COT=N'HSX' AND bsc.MA_COT='C6' THEN CAST(gt.GIA_TRI AS VARCHAR2(4000)) END) AS "Tổng mua &gt;&gt; Lũy kế đầu năm &gt;&gt; HSX",
    MAX(CASE WHEN bsh.MA_HANG='8' AND bsc.TEN_COT=N'HNX' AND bsc.MA_COT='C7' THEN CAST(gt.GIA_TRI AS VARCHAR2(4000)) END) AS "Tổng bán &gt;&gt; Trong kỳ &gt;&gt; HNX",
    MAX(CASE WHEN bsh.MA_HANG='8' AND bsc.TEN_COT=N'HSX' AND bsc.MA_COT='C8' THEN CAST(gt.GIA_TRI AS VARCHAR2(4000)) END) AS "Tổng bán &gt;&gt; Trong kỳ &gt;&gt; HSX",
    MAX(CASE WHEN bsh.MA_HANG='8' AND bsc.TEN_COT=N'HNX' AND bsc.MA_COT='C9' THEN CAST(gt.GIA_TRI AS VARCHAR2(4000)) END) AS "Tổng bán &gt;&gt; Lũy kế đầu năm &gt;&gt; HNX",
    MAX(CASE WHEN bsh.MA_HANG='8' AND bsc.TEN_COT=N'HSX' AND bsc.MA_COT='C10' THEN CAST(gt.GIA_TRI AS VARCHAR2(4000)) END) AS "Tổng bán &gt;&gt; Lũy kế đầu năm &gt;&gt; HSX",
    MAX(CASE WHEN bsh.MA_HANG='8' AND bsc.TEN_COT=N'HNX' AND bsc.MA_COT='C11' THEN CAST(gt.GIA_TRI AS VARCHAR2(4000)) END) AS "Tổng mua và bán &gt;&gt; Trong kỳ &gt;&gt; HNX",
    MAX(CASE WHEN bsh.MA_HANG='8' AND bsc.TEN_COT=N'HSX' AND bsc.MA_COT='C12' THEN CAST(gt.GIA_TRI AS VARCHAR2(4000)) END) AS "Tổng mua và bán &gt;&gt; Trong kỳ &gt;&gt; HSX",
    MAX(CASE WHEN bsh.MA_HANG='8' AND bsc.TEN_COT=N'HNX' AND bsc.MA_COT='C13' THEN CAST(gt.GIA_TRI AS VARCHAR2(4000)) END) AS "Tổng mua và bán &gt;&gt; Lũy kế đầu năm &gt;&gt; HNX",
    MAX(CASE WHEN bsh.MA_HANG='8' AND bsc.TEN_COT=N'HSX' AND bsc.MA_COT='C14' THEN CAST(gt.GIA_TRI AS VARCHAR2(4000)) END) AS "Tổng mua và bán &gt;&gt; Lũy kế đầu năm &gt;&gt; HSX",
    -- Tự doanh - Chứng chỉ quỹ
    MAX(CASE WHEN bsh.MA_HANG='9' AND bsc.TEN_COT=N'HNX' AND bsc.MA_COT='C3' THEN CAST(gt.GIA_TRI AS VARCHAR2(4000)) END) AS "Tổng mua &gt;&gt; Trong kỳ &gt;&gt; HNX",
    MAX(CASE WHEN bsh.MA_HANG='9' AND bsc.TEN_COT=N'HSX' AND bsc.MA_COT='C4' THEN CAST(gt.GIA_TRI AS VARCHAR2(4000)) END) AS "Tổng mua &gt;&gt; Trong kỳ &gt;&gt; HSX",
    MAX(CASE WHEN bsh.MA_HANG='9' AND bsc.TEN_COT=N'HNX' AND bsc.MA_COT='C5' THEN CAST(gt.GIA_TRI AS VARCHAR2(4000)) END) AS "Tổng mua &gt;&gt; Lũy kế đầu năm &gt;&gt; HNX",
    MAX(CASE WHEN bsh.MA_HANG='9' AND bsc.TEN_COT=N'HSX' AND bsc.MA_COT='C6' THEN CAST(gt.GIA_TRI AS VARCHAR2(4000)) END) AS "Tổng mua &gt;&gt; Lũy kế đầu năm &gt;&gt; HSX",
    MAX(CASE WHEN bsh.MA_HANG='9' AND bsc.TEN_COT=N'HNX' AND bsc.MA_COT='C7' THEN CAST(gt.GIA_TRI AS VARCHAR2(4000)) END) AS "Tổng bán &gt;&gt; Trong kỳ &gt;&gt; HNX",
    MAX(CASE WHEN bsh.MA_HANG='9' AND bsc.TEN_COT=N'HSX' AND bsc.MA_COT='C8' THEN CAST(gt.GIA_TRI AS VARCHAR2(4000)) END) AS "Tổng bán &gt;&gt; Trong kỳ &gt;&gt; HSX",
    MAX(CASE WHEN bsh.MA_HANG='9' AND bsc.TEN_COT=N'HNX' AND bsc.MA_COT='C9' THEN CAST(gt.GIA_TRI AS VARCHAR2(4000)) END) AS "Tổng bán &gt;&gt; Lũy kế đầu năm &gt;&gt; HNX",
    MAX(CASE WHEN bsh.MA_HANG='9' AND bsc.TEN_COT=N'HSX' AND bsc.MA_COT='C10' THEN CAST(gt.GIA_TRI AS VARCHAR2(4000)) END) AS "Tổng bán &gt;&gt; Lũy kế đầu năm &gt;&gt; HSX",
    MAX(CASE WHEN bsh.MA_HANG='9' AND bsc.TEN_COT=N'HNX' AND bsc.MA_COT='C11' THEN CAST(gt.GIA_TRI AS VARCHAR2(4000)) END) AS "Tổng mua và bán &gt;&gt; Trong kỳ &gt;&gt; HNX",
    MAX(CASE WHEN bsh.MA_HANG='9' AND bsc.TEN_COT=N'HSX' AND bsc.MA_COT='C12' THEN CAST(gt.GIA_TRI AS VARCHAR2(4000)) END) AS "Tổng mua và bán &gt;&gt; Trong kỳ &gt;&gt; HSX",
    MAX(CASE WHEN bsh.MA_HANG='9' AND bsc.TEN_COT=N'HNX' AND bsc.MA_COT='C13' THEN CAST(gt.GIA_TRI AS VARCHAR2(4000)) END) AS "Tổng mua và bán &gt;&gt; Lũy kế đầu năm &gt;&gt; HNX",
    MAX(CASE WHEN bsh.MA_HANG='9' AND bsc.TEN_COT=N'HSX' AND bsc.MA_COT='C14' THEN CAST(gt.GIA_TRI AS VARCHAR2(4000)) END) AS "Tổng mua và bán &gt;&gt; Lũy kế đầu năm &gt;&gt; HSX"
FROM SCMS.BC_THANH_VIEN btv
JOIN SCMS.BM_BAO_CAO bm ON bm.ID = btv.BM_BAO_CAO_ID
JOIN SCMS.BC_BAO_CAO_GT gt ON gt.BC_THANH_VIEN_ID = btv.ID
JOIN SCMS.BM_BAO_CAO_HANG bsh ON bsh.ID = gt.BM_SHEET_HANG_ID
JOIN SCMS.BM_BAO_CAO_COT bsc ON bsc.BM_SHEET_ID = gt.BM_SHEET_ID
                                                            AND bsc.BM_SHEET_ID = 7417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is>
      </c>
      <c r="U1476" s="386" t="n"/>
      <c r="V1476" s="395" t="n"/>
      <c r="W1476" s="395" t="n"/>
      <c r="X1476" s="395" t="n"/>
      <c r="Y1476" s="13" t="n"/>
      <c r="Z1476" s="395" t="n"/>
      <c r="AA1476" s="395" t="n"/>
      <c r="AB1476" s="395" t="n"/>
      <c r="AC1476" s="395" t="n"/>
      <c r="AD1476" s="395" t="n"/>
      <c r="AE1476" s="395" t="n"/>
    </row>
    <row r="1477" ht="56" customHeight="1" s="380">
      <c r="A1477" s="73" t="n">
        <v>78</v>
      </c>
      <c r="B1477" s="386" t="n"/>
      <c r="C1477" s="386" t="inlineStr">
        <is>
          <t>Báo cáo theo Thông tư 121/2020/TT-BTC &gt;&gt; Giao dịch chứng khoán niêm yết/đăng ký giao dịch</t>
        </is>
      </c>
      <c r="D1477" s="386" t="inlineStr">
        <is>
          <t>Sàn giao dịch</t>
        </is>
      </c>
      <c r="E1477" s="386" t="inlineStr">
        <is>
          <t>Sàn giao dịch</t>
        </is>
      </c>
      <c r="F1477" s="386" t="inlineStr">
        <is>
          <t>Data Explorer</t>
        </is>
      </c>
      <c r="G1477" s="386" t="inlineStr">
        <is>
          <t>Chỉ tiêu cơ sở</t>
        </is>
      </c>
      <c r="H1477" s="386" t="inlineStr">
        <is>
          <t>Dễ</t>
        </is>
      </c>
      <c r="I1477" s="386" t="inlineStr">
        <is>
          <t>Ngày, CTCK</t>
        </is>
      </c>
      <c r="J1477" s="395" t="inlineStr">
        <is>
          <t>SCMS</t>
        </is>
      </c>
      <c r="K1477" s="395" t="n"/>
      <c r="L1477" s="395" t="inlineStr">
        <is>
          <t>X</t>
        </is>
      </c>
      <c r="M1477" s="395" t="n"/>
      <c r="N1477" s="395" t="inlineStr">
        <is>
          <t>Done</t>
        </is>
      </c>
      <c r="O1477" s="401" t="n"/>
      <c r="P1477" s="395" t="n"/>
      <c r="S1477" s="395" t="n"/>
      <c r="U1477" s="386" t="n"/>
      <c r="V1477" s="395" t="n"/>
      <c r="W1477" s="395" t="n"/>
      <c r="X1477" s="395" t="n"/>
      <c r="Y1477" s="13" t="n"/>
      <c r="Z1477" s="395" t="n"/>
      <c r="AA1477" s="395" t="n"/>
      <c r="AB1477" s="395" t="n"/>
      <c r="AC1477" s="395" t="n"/>
      <c r="AD1477" s="395" t="n"/>
      <c r="AE1477" s="395" t="n"/>
    </row>
    <row r="1478" ht="56" customHeight="1" s="380">
      <c r="A1478" s="73" t="n">
        <v>78</v>
      </c>
      <c r="B1478" s="386" t="n"/>
      <c r="C1478" s="386" t="inlineStr">
        <is>
          <t>Báo cáo theo Thông tư 121/2020/TT-BTC &gt;&gt; Giao dịch chứng khoán niêm yết/đăng ký giao dịch</t>
        </is>
      </c>
      <c r="D1478" s="386" t="inlineStr">
        <is>
          <t>Mã chứng khoán</t>
        </is>
      </c>
      <c r="E1478" s="386" t="inlineStr">
        <is>
          <t>Mã chứng khoán</t>
        </is>
      </c>
      <c r="F1478" s="386" t="inlineStr">
        <is>
          <t>Data Explorer</t>
        </is>
      </c>
      <c r="G1478" s="386" t="inlineStr">
        <is>
          <t>Chỉ tiêu cơ sở</t>
        </is>
      </c>
      <c r="H1478" s="386" t="inlineStr">
        <is>
          <t>Dễ</t>
        </is>
      </c>
      <c r="I1478" s="386" t="inlineStr">
        <is>
          <t>Ngày, CTCK</t>
        </is>
      </c>
      <c r="J1478" s="395" t="inlineStr">
        <is>
          <t>SCMS</t>
        </is>
      </c>
      <c r="K1478" s="395" t="n"/>
      <c r="L1478" s="395" t="inlineStr">
        <is>
          <t>X</t>
        </is>
      </c>
      <c r="M1478" s="395" t="n"/>
      <c r="N1478" s="395" t="inlineStr">
        <is>
          <t>Done</t>
        </is>
      </c>
      <c r="O1478" s="401" t="n"/>
      <c r="P1478" s="395" t="n"/>
      <c r="S1478" s="395" t="n"/>
      <c r="U1478" s="386" t="n"/>
      <c r="V1478" s="395" t="n"/>
      <c r="W1478" s="395" t="n"/>
      <c r="X1478" s="395" t="n"/>
      <c r="Y1478" s="13" t="n"/>
      <c r="Z1478" s="395" t="n"/>
      <c r="AA1478" s="395" t="n"/>
      <c r="AB1478" s="395" t="n"/>
      <c r="AC1478" s="395" t="n"/>
      <c r="AD1478" s="395" t="n"/>
      <c r="AE1478" s="395" t="n"/>
    </row>
    <row r="1479" ht="56" customHeight="1" s="380">
      <c r="A1479" s="73" t="n">
        <v>78</v>
      </c>
      <c r="B1479" s="386" t="n"/>
      <c r="C1479" s="386" t="inlineStr">
        <is>
          <t>Báo cáo theo Thông tư 121/2020/TT-BTC &gt;&gt; Giao dịch chứng khoán niêm yết/đăng ký giao dịch</t>
        </is>
      </c>
      <c r="D1479" s="386" t="inlineStr">
        <is>
          <t>Giấy phép hoạt động &gt;&gt; Số</t>
        </is>
      </c>
      <c r="E1479" s="386" t="inlineStr">
        <is>
          <t>Giấy phép hoạt động &gt;&gt; Số</t>
        </is>
      </c>
      <c r="F1479" s="386" t="inlineStr">
        <is>
          <t>Data Explorer</t>
        </is>
      </c>
      <c r="G1479" s="386" t="inlineStr">
        <is>
          <t>Chỉ tiêu cơ sở</t>
        </is>
      </c>
      <c r="H1479" s="386" t="inlineStr">
        <is>
          <t>Dễ</t>
        </is>
      </c>
      <c r="I1479" s="386" t="inlineStr">
        <is>
          <t>Ngày, CTCK</t>
        </is>
      </c>
      <c r="J1479" s="395" t="inlineStr">
        <is>
          <t>SCMS</t>
        </is>
      </c>
      <c r="K1479" s="395" t="n"/>
      <c r="L1479" s="395" t="inlineStr">
        <is>
          <t>X</t>
        </is>
      </c>
      <c r="M1479" s="395" t="n"/>
      <c r="N1479" s="395" t="inlineStr">
        <is>
          <t>Done</t>
        </is>
      </c>
      <c r="O1479" s="401" t="n"/>
      <c r="P1479" s="395" t="n"/>
      <c r="S1479" s="395" t="n"/>
      <c r="U1479" s="386" t="n"/>
      <c r="V1479" s="395" t="n"/>
      <c r="W1479" s="395" t="n"/>
      <c r="X1479" s="395" t="n"/>
      <c r="Y1479" s="38" t="n"/>
      <c r="Z1479" s="395" t="n"/>
      <c r="AA1479" s="395" t="n"/>
      <c r="AB1479" s="395" t="n"/>
      <c r="AC1479" s="395" t="n"/>
      <c r="AD1479" s="395" t="n"/>
      <c r="AE1479" s="395" t="n"/>
    </row>
    <row r="1480" ht="56" customHeight="1" s="380">
      <c r="A1480" s="73" t="n">
        <v>78</v>
      </c>
      <c r="B1480" s="386" t="n"/>
      <c r="C1480" s="386" t="inlineStr">
        <is>
          <t>Báo cáo theo Thông tư 121/2020/TT-BTC &gt;&gt; Giao dịch chứng khoán niêm yết/đăng ký giao dịch</t>
        </is>
      </c>
      <c r="D1480" s="386" t="inlineStr">
        <is>
          <t>Giấy phép hoạt động &gt;&gt; Ngày cấp</t>
        </is>
      </c>
      <c r="E1480" s="386" t="inlineStr">
        <is>
          <t>Giấy phép hoạt động &gt;&gt; Ngày cấp</t>
        </is>
      </c>
      <c r="F1480" s="386" t="inlineStr">
        <is>
          <t>Data Explorer</t>
        </is>
      </c>
      <c r="G1480" s="386" t="inlineStr">
        <is>
          <t>Chỉ tiêu cơ sở</t>
        </is>
      </c>
      <c r="H1480" s="386" t="inlineStr">
        <is>
          <t>Dễ</t>
        </is>
      </c>
      <c r="I1480" s="386" t="inlineStr">
        <is>
          <t>Ngày, CTCK</t>
        </is>
      </c>
      <c r="J1480" s="395" t="inlineStr">
        <is>
          <t>SCMS</t>
        </is>
      </c>
      <c r="K1480" s="395" t="n"/>
      <c r="L1480" s="395" t="inlineStr">
        <is>
          <t>X</t>
        </is>
      </c>
      <c r="M1480" s="395" t="n"/>
      <c r="N1480" s="395" t="inlineStr">
        <is>
          <t>Done</t>
        </is>
      </c>
      <c r="O1480" s="401" t="n"/>
      <c r="P1480" s="395" t="n"/>
      <c r="S1480" s="395" t="n"/>
      <c r="U1480" s="386" t="n"/>
      <c r="V1480" s="395" t="n"/>
      <c r="W1480" s="395" t="n"/>
      <c r="X1480" s="395" t="n"/>
      <c r="Y1480" s="13" t="n"/>
      <c r="Z1480" s="395" t="n"/>
      <c r="AA1480" s="395" t="n"/>
      <c r="AB1480" s="395" t="n"/>
      <c r="AC1480" s="395" t="n"/>
      <c r="AD1480" s="395" t="n"/>
      <c r="AE1480" s="395" t="n"/>
    </row>
    <row r="1481" ht="56" customHeight="1" s="380">
      <c r="A1481" s="73" t="n">
        <v>78</v>
      </c>
      <c r="B1481" s="386" t="n"/>
      <c r="C1481" s="386" t="inlineStr">
        <is>
          <t>Báo cáo theo Thông tư 121/2020/TT-BTC &gt;&gt; Giao dịch chứng khoán niêm yết/đăng ký giao dịch</t>
        </is>
      </c>
      <c r="D1481" s="386" t="inlineStr">
        <is>
          <t>Nhà đầu tư &gt;&gt; Giao dịch cổ phiếu của nhà đầu tư trong nước &gt;&gt; Tổng mua &gt;&gt; Trong kỳ &gt;&gt; HNX</t>
        </is>
      </c>
      <c r="E1481" s="386" t="inlineStr">
        <is>
          <t>Nhà đầu tư &gt;&gt; Giao dịch cổ phiếu của nhà đầu tư trong nước &gt;&gt; Tổng mua &gt;&gt; Trong kỳ &gt;&gt; HNX</t>
        </is>
      </c>
      <c r="F1481" s="386" t="inlineStr">
        <is>
          <t>Data Explorer</t>
        </is>
      </c>
      <c r="G1481" s="386" t="inlineStr">
        <is>
          <t>Chỉ tiêu cơ sở</t>
        </is>
      </c>
      <c r="H1481" s="386" t="inlineStr">
        <is>
          <t>TB</t>
        </is>
      </c>
      <c r="I1481" s="386" t="inlineStr">
        <is>
          <t>Ngày, CTCK</t>
        </is>
      </c>
      <c r="J1481" s="395" t="inlineStr">
        <is>
          <t>SCMS</t>
        </is>
      </c>
      <c r="K1481" s="395" t="n"/>
      <c r="L1481" s="395" t="inlineStr">
        <is>
          <t>X</t>
        </is>
      </c>
      <c r="M1481" s="395" t="n"/>
      <c r="N1481" s="395" t="inlineStr">
        <is>
          <t>Done</t>
        </is>
      </c>
      <c r="O1481" s="401" t="n"/>
      <c r="P1481" s="395" t="n"/>
      <c r="S1481" s="395" t="n"/>
      <c r="U1481" s="386" t="n"/>
      <c r="V1481" s="395" t="n"/>
      <c r="W1481" s="395" t="n"/>
      <c r="X1481" s="395" t="n"/>
      <c r="Y1481" s="13" t="n"/>
      <c r="Z1481" s="395" t="n"/>
      <c r="AA1481" s="395" t="n"/>
      <c r="AB1481" s="395" t="n"/>
      <c r="AC1481" s="395" t="n"/>
      <c r="AD1481" s="395" t="n"/>
      <c r="AE1481" s="395" t="n"/>
    </row>
    <row r="1482" ht="56" customHeight="1" s="380">
      <c r="A1482" s="73" t="n">
        <v>78</v>
      </c>
      <c r="B1482" s="386" t="n"/>
      <c r="C1482" s="386" t="inlineStr">
        <is>
          <t>Báo cáo theo Thông tư 121/2020/TT-BTC &gt;&gt; Giao dịch chứng khoán niêm yết/đăng ký giao dịch</t>
        </is>
      </c>
      <c r="D1482" s="386" t="inlineStr">
        <is>
          <t>Nhà đầu tư &gt;&gt; Giao dịch cổ phiếu của nhà đầu tư trong nước &gt;&gt; Tổng mua &gt;&gt; Trong kỳ &gt;&gt; HSX</t>
        </is>
      </c>
      <c r="E1482" s="386" t="inlineStr">
        <is>
          <t>Nhà đầu tư &gt;&gt; Giao dịch cổ phiếu của nhà đầu tư trong nước &gt;&gt; Tổng mua &gt;&gt; Trong kỳ &gt;&gt; HSX</t>
        </is>
      </c>
      <c r="F1482" s="386" t="inlineStr">
        <is>
          <t>Data Explorer</t>
        </is>
      </c>
      <c r="G1482" s="386" t="inlineStr">
        <is>
          <t>Chỉ tiêu cơ sở</t>
        </is>
      </c>
      <c r="H1482" s="386" t="inlineStr">
        <is>
          <t>TB</t>
        </is>
      </c>
      <c r="I1482" s="386" t="inlineStr">
        <is>
          <t>Ngày, CTCK</t>
        </is>
      </c>
      <c r="J1482" s="395" t="inlineStr">
        <is>
          <t>SCMS</t>
        </is>
      </c>
      <c r="K1482" s="395" t="n"/>
      <c r="L1482" s="395" t="inlineStr">
        <is>
          <t>X</t>
        </is>
      </c>
      <c r="M1482" s="395" t="n"/>
      <c r="N1482" s="395" t="inlineStr">
        <is>
          <t>Done</t>
        </is>
      </c>
      <c r="O1482" s="401" t="n"/>
      <c r="P1482" s="395" t="n"/>
      <c r="S1482" s="395" t="n"/>
      <c r="U1482" s="386" t="n"/>
      <c r="V1482" s="395" t="n"/>
      <c r="W1482" s="395" t="n"/>
      <c r="X1482" s="395" t="n"/>
      <c r="Y1482" s="13" t="n"/>
      <c r="Z1482" s="395" t="n"/>
      <c r="AA1482" s="395" t="n"/>
      <c r="AB1482" s="395" t="n"/>
      <c r="AC1482" s="395" t="n"/>
      <c r="AD1482" s="395" t="n"/>
      <c r="AE1482" s="395" t="n"/>
    </row>
    <row r="1483" ht="70" customHeight="1" s="380">
      <c r="A1483" s="73" t="n">
        <v>78</v>
      </c>
      <c r="B1483" s="386" t="n"/>
      <c r="C1483" s="386" t="inlineStr">
        <is>
          <t>Báo cáo theo Thông tư 121/2020/TT-BTC &gt;&gt; Giao dịch chứng khoán niêm yết/đăng ký giao dịch</t>
        </is>
      </c>
      <c r="D1483" s="386" t="inlineStr">
        <is>
          <t>Nhà đầu tư &gt;&gt; Giao dịch cổ phiếu của nhà đầu tư trong nước &gt;&gt; Tổng mua &gt;&gt; Lũy kế đầu năm &gt;&gt; HNX</t>
        </is>
      </c>
      <c r="E1483" s="386" t="inlineStr">
        <is>
          <t>Nhà đầu tư &gt;&gt; Giao dịch cổ phiếu của nhà đầu tư trong nước &gt;&gt; Tổng mua &gt;&gt; Lũy kế đầu năm &gt;&gt; HNX</t>
        </is>
      </c>
      <c r="F1483" s="386" t="inlineStr">
        <is>
          <t>Data Explorer</t>
        </is>
      </c>
      <c r="G1483" s="386" t="inlineStr">
        <is>
          <t>Chỉ tiêu cơ sở</t>
        </is>
      </c>
      <c r="H1483" s="386" t="inlineStr">
        <is>
          <t>TB</t>
        </is>
      </c>
      <c r="I1483" s="386" t="inlineStr">
        <is>
          <t>Ngày, CTCK</t>
        </is>
      </c>
      <c r="J1483" s="395" t="inlineStr">
        <is>
          <t>SCMS</t>
        </is>
      </c>
      <c r="K1483" s="395" t="n"/>
      <c r="L1483" s="395" t="inlineStr">
        <is>
          <t>X</t>
        </is>
      </c>
      <c r="M1483" s="395" t="n"/>
      <c r="N1483" s="395" t="inlineStr">
        <is>
          <t>Done</t>
        </is>
      </c>
      <c r="O1483" s="401" t="n"/>
      <c r="P1483" s="395" t="n"/>
      <c r="S1483" s="395" t="n"/>
      <c r="U1483" s="386" t="n"/>
      <c r="V1483" s="395" t="n"/>
      <c r="W1483" s="395" t="n"/>
      <c r="X1483" s="395" t="n"/>
      <c r="Y1483" s="13" t="n"/>
      <c r="Z1483" s="395" t="n"/>
      <c r="AA1483" s="395" t="n"/>
      <c r="AB1483" s="395" t="n"/>
      <c r="AC1483" s="395" t="n"/>
      <c r="AD1483" s="395" t="n"/>
      <c r="AE1483" s="395" t="n"/>
    </row>
    <row r="1484" ht="70" customHeight="1" s="380">
      <c r="A1484" s="73" t="n">
        <v>78</v>
      </c>
      <c r="B1484" s="386" t="n"/>
      <c r="C1484" s="386" t="inlineStr">
        <is>
          <t>Báo cáo theo Thông tư 121/2020/TT-BTC &gt;&gt; Giao dịch chứng khoán niêm yết/đăng ký giao dịch</t>
        </is>
      </c>
      <c r="D1484" s="386" t="inlineStr">
        <is>
          <t>Nhà đầu tư &gt;&gt; Giao dịch cổ phiếu của nhà đầu tư trong nước &gt;&gt; Tổng mua &gt;&gt; Lũy kế đầu năm &gt;&gt; HSX</t>
        </is>
      </c>
      <c r="E1484" s="386" t="inlineStr">
        <is>
          <t>Nhà đầu tư &gt;&gt; Giao dịch cổ phiếu của nhà đầu tư trong nước &gt;&gt; Tổng mua &gt;&gt; Lũy kế đầu năm &gt;&gt; HSX</t>
        </is>
      </c>
      <c r="F1484" s="386" t="inlineStr">
        <is>
          <t>Data Explorer</t>
        </is>
      </c>
      <c r="G1484" s="386" t="inlineStr">
        <is>
          <t>Chỉ tiêu cơ sở</t>
        </is>
      </c>
      <c r="H1484" s="386" t="inlineStr">
        <is>
          <t>TB</t>
        </is>
      </c>
      <c r="I1484" s="386" t="inlineStr">
        <is>
          <t>Ngày, CTCK</t>
        </is>
      </c>
      <c r="J1484" s="395" t="inlineStr">
        <is>
          <t>SCMS</t>
        </is>
      </c>
      <c r="K1484" s="395" t="n"/>
      <c r="L1484" s="395" t="inlineStr">
        <is>
          <t>X</t>
        </is>
      </c>
      <c r="M1484" s="395" t="n"/>
      <c r="N1484" s="395" t="inlineStr">
        <is>
          <t>Done</t>
        </is>
      </c>
      <c r="O1484" s="401" t="n"/>
      <c r="P1484" s="395" t="n"/>
      <c r="S1484" s="395" t="n"/>
      <c r="U1484" s="386" t="n"/>
      <c r="V1484" s="395" t="n"/>
      <c r="W1484" s="395" t="n"/>
      <c r="X1484" s="395" t="n"/>
      <c r="Y1484" s="13" t="n"/>
      <c r="Z1484" s="395" t="n"/>
      <c r="AA1484" s="395" t="n"/>
      <c r="AB1484" s="395" t="n"/>
      <c r="AC1484" s="395" t="n"/>
      <c r="AD1484" s="395" t="n"/>
      <c r="AE1484" s="395" t="n"/>
    </row>
    <row r="1485" ht="56" customHeight="1" s="380">
      <c r="A1485" s="73" t="n">
        <v>78</v>
      </c>
      <c r="B1485" s="386" t="n"/>
      <c r="C1485" s="386" t="inlineStr">
        <is>
          <t>Báo cáo theo Thông tư 121/2020/TT-BTC &gt;&gt; Giao dịch chứng khoán niêm yết/đăng ký giao dịch</t>
        </is>
      </c>
      <c r="D1485" s="386" t="inlineStr">
        <is>
          <t>Nhà đầu tư &gt;&gt; Giao dịch cổ phiếu của nhà đầu tư trong nước &gt;&gt; Tổng bán &gt;&gt; Trong kỳ &gt;&gt; HNX</t>
        </is>
      </c>
      <c r="E1485" s="386" t="inlineStr">
        <is>
          <t>Nhà đầu tư &gt;&gt; Giao dịch cổ phiếu của nhà đầu tư trong nước &gt;&gt; Tổng bán &gt;&gt; Trong kỳ &gt;&gt; HNX</t>
        </is>
      </c>
      <c r="F1485" s="386" t="inlineStr">
        <is>
          <t>Data Explorer</t>
        </is>
      </c>
      <c r="G1485" s="386" t="inlineStr">
        <is>
          <t>Chỉ tiêu cơ sở</t>
        </is>
      </c>
      <c r="H1485" s="386" t="inlineStr">
        <is>
          <t>TB</t>
        </is>
      </c>
      <c r="I1485" s="386" t="inlineStr">
        <is>
          <t>Ngày, CTCK</t>
        </is>
      </c>
      <c r="J1485" s="395" t="inlineStr">
        <is>
          <t>SCMS</t>
        </is>
      </c>
      <c r="K1485" s="395" t="n"/>
      <c r="L1485" s="395" t="inlineStr">
        <is>
          <t>X</t>
        </is>
      </c>
      <c r="M1485" s="395" t="n"/>
      <c r="N1485" s="395" t="inlineStr">
        <is>
          <t>Done</t>
        </is>
      </c>
      <c r="O1485" s="401" t="n"/>
      <c r="P1485" s="395" t="n"/>
      <c r="S1485" s="395" t="n"/>
      <c r="U1485" s="386" t="n"/>
      <c r="V1485" s="395" t="n"/>
      <c r="W1485" s="395" t="n"/>
      <c r="X1485" s="395" t="n"/>
      <c r="Y1485" s="38" t="n"/>
      <c r="Z1485" s="395" t="n"/>
      <c r="AA1485" s="395" t="n"/>
      <c r="AB1485" s="395" t="n"/>
      <c r="AC1485" s="395" t="n"/>
      <c r="AD1485" s="395" t="n"/>
      <c r="AE1485" s="395" t="n"/>
    </row>
    <row r="1486" ht="56" customHeight="1" s="380">
      <c r="A1486" s="73" t="n">
        <v>78</v>
      </c>
      <c r="B1486" s="386" t="n"/>
      <c r="C1486" s="386" t="inlineStr">
        <is>
          <t>Báo cáo theo Thông tư 121/2020/TT-BTC &gt;&gt; Giao dịch chứng khoán niêm yết/đăng ký giao dịch</t>
        </is>
      </c>
      <c r="D1486" s="386" t="inlineStr">
        <is>
          <t>Nhà đầu tư &gt;&gt; Giao dịch cổ phiếu của nhà đầu tư trong nước &gt;&gt; Tổng bán &gt;&gt; Trong kỳ &gt;&gt; HSX</t>
        </is>
      </c>
      <c r="E1486" s="386" t="inlineStr">
        <is>
          <t>Nhà đầu tư &gt;&gt; Giao dịch cổ phiếu của nhà đầu tư trong nước &gt;&gt; Tổng bán &gt;&gt; Trong kỳ &gt;&gt; HSX</t>
        </is>
      </c>
      <c r="F1486" s="386" t="inlineStr">
        <is>
          <t>Data Explorer</t>
        </is>
      </c>
      <c r="G1486" s="386" t="inlineStr">
        <is>
          <t>Chỉ tiêu cơ sở</t>
        </is>
      </c>
      <c r="H1486" s="386" t="inlineStr">
        <is>
          <t>TB</t>
        </is>
      </c>
      <c r="I1486" s="386" t="inlineStr">
        <is>
          <t>Ngày, CTCK</t>
        </is>
      </c>
      <c r="J1486" s="395" t="inlineStr">
        <is>
          <t>SCMS</t>
        </is>
      </c>
      <c r="K1486" s="395" t="n"/>
      <c r="L1486" s="395" t="inlineStr">
        <is>
          <t>X</t>
        </is>
      </c>
      <c r="M1486" s="395" t="n"/>
      <c r="N1486" s="395" t="inlineStr">
        <is>
          <t>Done</t>
        </is>
      </c>
      <c r="O1486" s="401" t="n"/>
      <c r="P1486" s="395" t="n"/>
      <c r="S1486" s="395" t="n"/>
      <c r="U1486" s="386" t="n"/>
      <c r="V1486" s="395" t="n"/>
      <c r="W1486" s="395" t="n"/>
      <c r="X1486" s="395" t="n"/>
      <c r="Y1486" s="13" t="n"/>
      <c r="Z1486" s="395" t="n"/>
      <c r="AA1486" s="395" t="n"/>
      <c r="AB1486" s="395" t="n"/>
      <c r="AC1486" s="395" t="n"/>
      <c r="AD1486" s="395" t="n"/>
      <c r="AE1486" s="395" t="n"/>
    </row>
    <row r="1487" ht="70" customHeight="1" s="380">
      <c r="A1487" s="73" t="n">
        <v>78</v>
      </c>
      <c r="B1487" s="386" t="n"/>
      <c r="C1487" s="386" t="inlineStr">
        <is>
          <t>Báo cáo theo Thông tư 121/2020/TT-BTC &gt;&gt; Giao dịch chứng khoán niêm yết/đăng ký giao dịch</t>
        </is>
      </c>
      <c r="D1487" s="386" t="inlineStr">
        <is>
          <t>Nhà đầu tư &gt;&gt; Giao dịch cổ phiếu của nhà đầu tư trong nước &gt;&gt; Tổng bán &gt;&gt; Lũy kế đầu năm &gt;&gt; HNX</t>
        </is>
      </c>
      <c r="E1487" s="386" t="inlineStr">
        <is>
          <t>Nhà đầu tư &gt;&gt; Giao dịch cổ phiếu của nhà đầu tư trong nước &gt;&gt; Tổng bán &gt;&gt; Lũy kế đầu năm &gt;&gt; HNX</t>
        </is>
      </c>
      <c r="F1487" s="386" t="inlineStr">
        <is>
          <t>Data Explorer</t>
        </is>
      </c>
      <c r="G1487" s="386" t="inlineStr">
        <is>
          <t>Chỉ tiêu cơ sở</t>
        </is>
      </c>
      <c r="H1487" s="386" t="inlineStr">
        <is>
          <t>TB</t>
        </is>
      </c>
      <c r="I1487" s="386" t="inlineStr">
        <is>
          <t>Ngày, CTCK</t>
        </is>
      </c>
      <c r="J1487" s="395" t="inlineStr">
        <is>
          <t>SCMS</t>
        </is>
      </c>
      <c r="K1487" s="395" t="n"/>
      <c r="L1487" s="395" t="inlineStr">
        <is>
          <t>X</t>
        </is>
      </c>
      <c r="M1487" s="395" t="n"/>
      <c r="N1487" s="395" t="inlineStr">
        <is>
          <t>Done</t>
        </is>
      </c>
      <c r="O1487" s="401" t="n"/>
      <c r="P1487" s="395" t="n"/>
      <c r="S1487" s="395" t="n"/>
      <c r="U1487" s="386" t="n"/>
      <c r="V1487" s="395" t="n"/>
      <c r="W1487" s="395" t="n"/>
      <c r="X1487" s="395" t="n"/>
      <c r="Y1487" s="13" t="n"/>
      <c r="Z1487" s="395" t="n"/>
      <c r="AA1487" s="395" t="n"/>
      <c r="AB1487" s="395" t="n"/>
      <c r="AC1487" s="395" t="n"/>
      <c r="AD1487" s="395" t="n"/>
      <c r="AE1487" s="395" t="n"/>
    </row>
    <row r="1488" ht="70" customHeight="1" s="380">
      <c r="A1488" s="73" t="n">
        <v>78</v>
      </c>
      <c r="B1488" s="386" t="n"/>
      <c r="C1488" s="386" t="inlineStr">
        <is>
          <t>Báo cáo theo Thông tư 121/2020/TT-BTC &gt;&gt; Giao dịch chứng khoán niêm yết/đăng ký giao dịch</t>
        </is>
      </c>
      <c r="D1488" s="386" t="inlineStr">
        <is>
          <t>Nhà đầu tư &gt;&gt; Giao dịch cổ phiếu của nhà đầu tư trong nước &gt;&gt; Tổng bán &gt;&gt; Lũy kế đầu năm &gt;&gt; HSX</t>
        </is>
      </c>
      <c r="E1488" s="386" t="inlineStr">
        <is>
          <t>Nhà đầu tư &gt;&gt; Giao dịch cổ phiếu của nhà đầu tư trong nước &gt;&gt; Tổng bán &gt;&gt; Lũy kế đầu năm &gt;&gt; HSX</t>
        </is>
      </c>
      <c r="F1488" s="386" t="inlineStr">
        <is>
          <t>Data Explorer</t>
        </is>
      </c>
      <c r="G1488" s="386" t="inlineStr">
        <is>
          <t>Chỉ tiêu cơ sở</t>
        </is>
      </c>
      <c r="H1488" s="386" t="inlineStr">
        <is>
          <t>TB</t>
        </is>
      </c>
      <c r="I1488" s="386" t="inlineStr">
        <is>
          <t>Ngày, CTCK</t>
        </is>
      </c>
      <c r="J1488" s="395" t="inlineStr">
        <is>
          <t>SCMS</t>
        </is>
      </c>
      <c r="K1488" s="395" t="n"/>
      <c r="L1488" s="395" t="inlineStr">
        <is>
          <t>X</t>
        </is>
      </c>
      <c r="M1488" s="395" t="n"/>
      <c r="N1488" s="395" t="inlineStr">
        <is>
          <t>Done</t>
        </is>
      </c>
      <c r="O1488" s="401" t="n"/>
      <c r="P1488" s="395" t="n"/>
      <c r="S1488" s="395" t="n"/>
      <c r="U1488" s="386" t="n"/>
      <c r="V1488" s="395" t="n"/>
      <c r="W1488" s="395" t="n"/>
      <c r="X1488" s="395" t="n"/>
      <c r="Y1488" s="13" t="n"/>
      <c r="Z1488" s="395" t="n"/>
      <c r="AA1488" s="395" t="n"/>
      <c r="AB1488" s="395" t="n"/>
      <c r="AC1488" s="395" t="n"/>
      <c r="AD1488" s="395" t="n"/>
      <c r="AE1488" s="395" t="n"/>
    </row>
    <row r="1489" ht="70" customHeight="1" s="380">
      <c r="A1489" s="73" t="n">
        <v>78</v>
      </c>
      <c r="B1489" s="386" t="n"/>
      <c r="C1489" s="386" t="inlineStr">
        <is>
          <t>Báo cáo theo Thông tư 121/2020/TT-BTC &gt;&gt; Giao dịch chứng khoán niêm yết/đăng ký giao dịch</t>
        </is>
      </c>
      <c r="D1489" s="386" t="inlineStr">
        <is>
          <t>Nhà đầu tư &gt;&gt; Giao dịch cổ phiếu của nhà đầu tư trong nước &gt;&gt; Tổng mua và bán &gt;&gt; Trong kỳ &gt;&gt; HNX</t>
        </is>
      </c>
      <c r="E1489" s="386" t="inlineStr">
        <is>
          <t>Nhà đầu tư &gt;&gt; Giao dịch cổ phiếu của nhà đầu tư trong nước &gt;&gt; Tổng mua và bán &gt;&gt; Trong kỳ &gt;&gt; HNX</t>
        </is>
      </c>
      <c r="F1489" s="386" t="inlineStr">
        <is>
          <t>Data Explorer</t>
        </is>
      </c>
      <c r="G1489" s="386" t="inlineStr">
        <is>
          <t>Chỉ tiêu cơ sở</t>
        </is>
      </c>
      <c r="H1489" s="386" t="inlineStr">
        <is>
          <t>TB</t>
        </is>
      </c>
      <c r="I1489" s="386" t="inlineStr">
        <is>
          <t>Ngày, CTCK</t>
        </is>
      </c>
      <c r="J1489" s="395" t="inlineStr">
        <is>
          <t>SCMS</t>
        </is>
      </c>
      <c r="K1489" s="395" t="n"/>
      <c r="L1489" s="395" t="inlineStr">
        <is>
          <t>X</t>
        </is>
      </c>
      <c r="M1489" s="395" t="n"/>
      <c r="N1489" s="395" t="inlineStr">
        <is>
          <t>Done</t>
        </is>
      </c>
      <c r="O1489" s="401" t="n"/>
      <c r="P1489" s="395" t="n"/>
      <c r="S1489" s="395" t="n"/>
      <c r="U1489" s="386" t="n"/>
      <c r="V1489" s="395" t="n"/>
      <c r="W1489" s="395" t="n"/>
      <c r="X1489" s="395" t="n"/>
      <c r="Y1489" s="13" t="n"/>
      <c r="Z1489" s="395" t="n"/>
      <c r="AA1489" s="395" t="n"/>
      <c r="AB1489" s="395" t="n"/>
      <c r="AC1489" s="395" t="n"/>
      <c r="AD1489" s="395" t="n"/>
      <c r="AE1489" s="395" t="n"/>
    </row>
    <row r="1490" ht="70" customHeight="1" s="380">
      <c r="A1490" s="73" t="n">
        <v>78</v>
      </c>
      <c r="B1490" s="386" t="n"/>
      <c r="C1490" s="386" t="inlineStr">
        <is>
          <t>Báo cáo theo Thông tư 121/2020/TT-BTC &gt;&gt; Giao dịch chứng khoán niêm yết/đăng ký giao dịch</t>
        </is>
      </c>
      <c r="D1490" s="386" t="inlineStr">
        <is>
          <t>Nhà đầu tư &gt;&gt; Giao dịch cổ phiếu của nhà đầu tư trong nước &gt;&gt; Tổng mua và bán &gt;&gt; Trong kỳ &gt;&gt; HSX</t>
        </is>
      </c>
      <c r="E1490" s="386" t="inlineStr">
        <is>
          <t>Nhà đầu tư &gt;&gt; Giao dịch cổ phiếu của nhà đầu tư trong nước &gt;&gt; Tổng mua và bán &gt;&gt; Trong kỳ &gt;&gt; HSX</t>
        </is>
      </c>
      <c r="F1490" s="386" t="inlineStr">
        <is>
          <t>Data Explorer</t>
        </is>
      </c>
      <c r="G1490" s="386" t="inlineStr">
        <is>
          <t>Chỉ tiêu cơ sở</t>
        </is>
      </c>
      <c r="H1490" s="386" t="inlineStr">
        <is>
          <t>TB</t>
        </is>
      </c>
      <c r="I1490" s="386" t="inlineStr">
        <is>
          <t>Ngày, CTCK</t>
        </is>
      </c>
      <c r="J1490" s="395" t="inlineStr">
        <is>
          <t>SCMS</t>
        </is>
      </c>
      <c r="K1490" s="395" t="n"/>
      <c r="L1490" s="395" t="inlineStr">
        <is>
          <t>X</t>
        </is>
      </c>
      <c r="M1490" s="395" t="n"/>
      <c r="N1490" s="395" t="inlineStr">
        <is>
          <t>Done</t>
        </is>
      </c>
      <c r="O1490" s="401" t="n"/>
      <c r="P1490" s="395" t="n"/>
      <c r="S1490" s="395" t="n"/>
      <c r="U1490" s="386" t="n"/>
      <c r="V1490" s="395" t="n"/>
      <c r="W1490" s="395" t="n"/>
      <c r="X1490" s="395" t="n"/>
      <c r="Y1490" s="13" t="n"/>
      <c r="Z1490" s="395" t="n"/>
      <c r="AA1490" s="395" t="n"/>
      <c r="AB1490" s="395" t="n"/>
      <c r="AC1490" s="395" t="n"/>
      <c r="AD1490" s="395" t="n"/>
      <c r="AE1490" s="395" t="n"/>
    </row>
    <row r="1491" ht="70" customHeight="1" s="380">
      <c r="A1491" s="73" t="n">
        <v>78</v>
      </c>
      <c r="B1491" s="386" t="n"/>
      <c r="C1491" s="386" t="inlineStr">
        <is>
          <t>Báo cáo theo Thông tư 121/2020/TT-BTC &gt;&gt; Giao dịch chứng khoán niêm yết/đăng ký giao dịch</t>
        </is>
      </c>
      <c r="D1491" s="386" t="inlineStr">
        <is>
          <t>Nhà đầu tư &gt;&gt; Giao dịch cổ phiếu của nhà đầu tư trong nước &gt;&gt; Tổng mua và bán &gt;&gt; Lũy kế đầu năm &gt;&gt; HNX</t>
        </is>
      </c>
      <c r="E1491" s="386" t="inlineStr">
        <is>
          <t>Nhà đầu tư &gt;&gt; Giao dịch cổ phiếu của nhà đầu tư trong nước &gt;&gt; Tổng mua và bán &gt;&gt; Lũy kế đầu năm &gt;&gt; HNX</t>
        </is>
      </c>
      <c r="F1491" s="386" t="inlineStr">
        <is>
          <t>Data Explorer</t>
        </is>
      </c>
      <c r="G1491" s="386" t="inlineStr">
        <is>
          <t>Chỉ tiêu cơ sở</t>
        </is>
      </c>
      <c r="H1491" s="386" t="inlineStr">
        <is>
          <t>TB</t>
        </is>
      </c>
      <c r="I1491" s="386" t="inlineStr">
        <is>
          <t>Ngày, CTCK</t>
        </is>
      </c>
      <c r="J1491" s="395" t="inlineStr">
        <is>
          <t>SCMS</t>
        </is>
      </c>
      <c r="K1491" s="395" t="n"/>
      <c r="L1491" s="395" t="inlineStr">
        <is>
          <t>X</t>
        </is>
      </c>
      <c r="M1491" s="395" t="n"/>
      <c r="N1491" s="395" t="inlineStr">
        <is>
          <t>Done</t>
        </is>
      </c>
      <c r="O1491" s="401" t="n"/>
      <c r="P1491" s="395" t="n"/>
      <c r="S1491" s="395" t="n"/>
      <c r="U1491" s="386" t="n"/>
      <c r="V1491" s="395" t="n"/>
      <c r="W1491" s="395" t="n"/>
      <c r="X1491" s="395" t="n"/>
      <c r="Y1491" s="38" t="n"/>
      <c r="Z1491" s="395" t="n"/>
      <c r="AA1491" s="395" t="n"/>
      <c r="AB1491" s="395" t="n"/>
      <c r="AC1491" s="395" t="n"/>
      <c r="AD1491" s="395" t="n"/>
      <c r="AE1491" s="395" t="n"/>
    </row>
    <row r="1492" ht="70" customHeight="1" s="380">
      <c r="A1492" s="73" t="n">
        <v>78</v>
      </c>
      <c r="B1492" s="386" t="n"/>
      <c r="C1492" s="386" t="inlineStr">
        <is>
          <t>Báo cáo theo Thông tư 121/2020/TT-BTC &gt;&gt; Giao dịch chứng khoán niêm yết/đăng ký giao dịch</t>
        </is>
      </c>
      <c r="D1492" s="386" t="inlineStr">
        <is>
          <t>Nhà đầu tư &gt;&gt; Giao dịch cổ phiếu của nhà đầu tư trong nước &gt;&gt; Tổng mua và bán &gt;&gt; Lũy kế đầu năm &gt;&gt; HSX</t>
        </is>
      </c>
      <c r="E1492" s="386" t="inlineStr">
        <is>
          <t>Nhà đầu tư &gt;&gt; Giao dịch cổ phiếu của nhà đầu tư trong nước &gt;&gt; Tổng mua và bán &gt;&gt; Lũy kế đầu năm &gt;&gt; HSX</t>
        </is>
      </c>
      <c r="F1492" s="386" t="inlineStr">
        <is>
          <t>Data Explorer</t>
        </is>
      </c>
      <c r="G1492" s="386" t="inlineStr">
        <is>
          <t>Chỉ tiêu cơ sở</t>
        </is>
      </c>
      <c r="H1492" s="386" t="inlineStr">
        <is>
          <t>TB</t>
        </is>
      </c>
      <c r="I1492" s="386" t="inlineStr">
        <is>
          <t>Ngày, CTCK</t>
        </is>
      </c>
      <c r="J1492" s="395" t="inlineStr">
        <is>
          <t>SCMS</t>
        </is>
      </c>
      <c r="K1492" s="395" t="n"/>
      <c r="L1492" s="395" t="inlineStr">
        <is>
          <t>X</t>
        </is>
      </c>
      <c r="M1492" s="395" t="n"/>
      <c r="N1492" s="395" t="inlineStr">
        <is>
          <t>Done</t>
        </is>
      </c>
      <c r="O1492" s="401" t="n"/>
      <c r="P1492" s="395" t="n"/>
      <c r="S1492" s="395" t="n"/>
      <c r="U1492" s="386" t="n"/>
      <c r="V1492" s="395" t="n"/>
      <c r="W1492" s="395" t="n"/>
      <c r="X1492" s="395" t="n"/>
      <c r="Y1492" s="13" t="n"/>
      <c r="Z1492" s="395" t="n"/>
      <c r="AA1492" s="395" t="n"/>
      <c r="AB1492" s="395" t="n"/>
      <c r="AC1492" s="395" t="n"/>
      <c r="AD1492" s="395" t="n"/>
      <c r="AE1492" s="395" t="n"/>
    </row>
    <row r="1493" ht="56" customHeight="1" s="380">
      <c r="A1493" s="73" t="n">
        <v>78</v>
      </c>
      <c r="B1493" s="386" t="n"/>
      <c r="C1493" s="386" t="inlineStr">
        <is>
          <t>Báo cáo theo Thông tư 121/2020/TT-BTC &gt;&gt; Giao dịch chứng khoán niêm yết/đăng ký giao dịch</t>
        </is>
      </c>
      <c r="D1493" s="386" t="inlineStr">
        <is>
          <t>Nhà đầu tư &gt;&gt; Giao dịch cổ phiếu của nhà đầu tư nước ngoài &gt;&gt; Tổng mua &gt;&gt; Trong kỳ &gt;&gt; HNX</t>
        </is>
      </c>
      <c r="E1493" s="386" t="inlineStr">
        <is>
          <t>Nhà đầu tư &gt;&gt; Giao dịch cổ phiếu của nhà đầu tư nước ngoài &gt;&gt; Tổng mua &gt;&gt; Trong kỳ &gt;&gt; HNX</t>
        </is>
      </c>
      <c r="F1493" s="386" t="inlineStr">
        <is>
          <t>Data Explorer</t>
        </is>
      </c>
      <c r="G1493" s="386" t="inlineStr">
        <is>
          <t>Chỉ tiêu cơ sở</t>
        </is>
      </c>
      <c r="H1493" s="386" t="inlineStr">
        <is>
          <t>TB</t>
        </is>
      </c>
      <c r="I1493" s="386" t="inlineStr">
        <is>
          <t>Ngày, CTCK</t>
        </is>
      </c>
      <c r="J1493" s="395" t="inlineStr">
        <is>
          <t>SCMS</t>
        </is>
      </c>
      <c r="K1493" s="395" t="n"/>
      <c r="L1493" s="395" t="inlineStr">
        <is>
          <t>X</t>
        </is>
      </c>
      <c r="M1493" s="395" t="n"/>
      <c r="N1493" s="395" t="inlineStr">
        <is>
          <t>Done</t>
        </is>
      </c>
      <c r="O1493" s="401" t="n"/>
      <c r="P1493" s="395" t="n"/>
      <c r="S1493" s="395" t="n"/>
      <c r="U1493" s="386" t="n"/>
      <c r="V1493" s="395" t="n"/>
      <c r="W1493" s="395" t="n"/>
      <c r="X1493" s="395" t="n"/>
      <c r="Y1493" s="13" t="n"/>
      <c r="Z1493" s="395" t="n"/>
      <c r="AA1493" s="395" t="n"/>
      <c r="AB1493" s="395" t="n"/>
      <c r="AC1493" s="395" t="n"/>
      <c r="AD1493" s="395" t="n"/>
      <c r="AE1493" s="395" t="n"/>
    </row>
    <row r="1494" ht="56" customHeight="1" s="380">
      <c r="A1494" s="73" t="n">
        <v>78</v>
      </c>
      <c r="B1494" s="386" t="n"/>
      <c r="C1494" s="386" t="inlineStr">
        <is>
          <t>Báo cáo theo Thông tư 121/2020/TT-BTC &gt;&gt; Giao dịch chứng khoán niêm yết/đăng ký giao dịch</t>
        </is>
      </c>
      <c r="D1494" s="386" t="inlineStr">
        <is>
          <t>Nhà đầu tư &gt;&gt; Giao dịch cổ phiếu của nhà đầu tư nước ngoài &gt;&gt; Tổng mua &gt;&gt; Trong kỳ &gt;&gt; HSX</t>
        </is>
      </c>
      <c r="E1494" s="386" t="inlineStr">
        <is>
          <t>Nhà đầu tư &gt;&gt; Giao dịch cổ phiếu của nhà đầu tư nước ngoài &gt;&gt; Tổng mua &gt;&gt; Trong kỳ &gt;&gt; HSX</t>
        </is>
      </c>
      <c r="F1494" s="386" t="inlineStr">
        <is>
          <t>Data Explorer</t>
        </is>
      </c>
      <c r="G1494" s="386" t="inlineStr">
        <is>
          <t>Chỉ tiêu cơ sở</t>
        </is>
      </c>
      <c r="H1494" s="386" t="inlineStr">
        <is>
          <t>TB</t>
        </is>
      </c>
      <c r="I1494" s="386" t="inlineStr">
        <is>
          <t>Ngày, CTCK</t>
        </is>
      </c>
      <c r="J1494" s="395" t="inlineStr">
        <is>
          <t>SCMS</t>
        </is>
      </c>
      <c r="K1494" s="395" t="n"/>
      <c r="L1494" s="395" t="inlineStr">
        <is>
          <t>X</t>
        </is>
      </c>
      <c r="M1494" s="395" t="n"/>
      <c r="N1494" s="395" t="inlineStr">
        <is>
          <t>Done</t>
        </is>
      </c>
      <c r="O1494" s="401" t="n"/>
      <c r="P1494" s="395" t="n"/>
      <c r="S1494" s="395" t="n"/>
      <c r="U1494" s="386" t="n"/>
      <c r="V1494" s="395" t="n"/>
      <c r="W1494" s="395" t="n"/>
      <c r="X1494" s="395" t="n"/>
      <c r="Y1494" s="13" t="n"/>
      <c r="Z1494" s="395" t="n"/>
      <c r="AA1494" s="395" t="n"/>
      <c r="AB1494" s="395" t="n"/>
      <c r="AC1494" s="395" t="n"/>
      <c r="AD1494" s="395" t="n"/>
      <c r="AE1494" s="395" t="n"/>
    </row>
    <row r="1495" ht="70" customHeight="1" s="380">
      <c r="A1495" s="73" t="n">
        <v>78</v>
      </c>
      <c r="B1495" s="386" t="n"/>
      <c r="C1495" s="386" t="inlineStr">
        <is>
          <t>Báo cáo theo Thông tư 121/2020/TT-BTC &gt;&gt; Giao dịch chứng khoán niêm yết/đăng ký giao dịch</t>
        </is>
      </c>
      <c r="D1495" s="386" t="inlineStr">
        <is>
          <t>Nhà đầu tư &gt;&gt; Giao dịch cổ phiếu của nhà đầu tư nước ngoài &gt;&gt; Tổng mua &gt;&gt; Lũy kế đầu năm &gt;&gt; HNX</t>
        </is>
      </c>
      <c r="E1495" s="386" t="inlineStr">
        <is>
          <t>Nhà đầu tư &gt;&gt; Giao dịch cổ phiếu của nhà đầu tư nước ngoài &gt;&gt; Tổng mua &gt;&gt; Lũy kế đầu năm &gt;&gt; HNX</t>
        </is>
      </c>
      <c r="F1495" s="386" t="inlineStr">
        <is>
          <t>Data Explorer</t>
        </is>
      </c>
      <c r="G1495" s="386" t="inlineStr">
        <is>
          <t>Chỉ tiêu cơ sở</t>
        </is>
      </c>
      <c r="H1495" s="386" t="inlineStr">
        <is>
          <t>TB</t>
        </is>
      </c>
      <c r="I1495" s="386" t="inlineStr">
        <is>
          <t>Ngày, CTCK</t>
        </is>
      </c>
      <c r="J1495" s="395" t="inlineStr">
        <is>
          <t>SCMS</t>
        </is>
      </c>
      <c r="K1495" s="395" t="n"/>
      <c r="L1495" s="395" t="inlineStr">
        <is>
          <t>X</t>
        </is>
      </c>
      <c r="M1495" s="395" t="n"/>
      <c r="N1495" s="395" t="inlineStr">
        <is>
          <t>Done</t>
        </is>
      </c>
      <c r="O1495" s="401" t="n"/>
      <c r="P1495" s="395" t="n"/>
      <c r="S1495" s="395" t="n"/>
      <c r="U1495" s="386" t="n"/>
      <c r="V1495" s="395" t="n"/>
      <c r="W1495" s="395" t="n"/>
      <c r="X1495" s="395" t="n"/>
      <c r="Y1495" s="13" t="n"/>
      <c r="Z1495" s="395" t="n"/>
      <c r="AA1495" s="395" t="n"/>
      <c r="AB1495" s="395" t="n"/>
      <c r="AC1495" s="395" t="n"/>
      <c r="AD1495" s="395" t="n"/>
      <c r="AE1495" s="395" t="n"/>
    </row>
    <row r="1496" ht="70" customHeight="1" s="380">
      <c r="A1496" s="73" t="n">
        <v>78</v>
      </c>
      <c r="B1496" s="386" t="n"/>
      <c r="C1496" s="386" t="inlineStr">
        <is>
          <t>Báo cáo theo Thông tư 121/2020/TT-BTC &gt;&gt; Giao dịch chứng khoán niêm yết/đăng ký giao dịch</t>
        </is>
      </c>
      <c r="D1496" s="386" t="inlineStr">
        <is>
          <t>Nhà đầu tư &gt;&gt; Giao dịch cổ phiếu của nhà đầu tư nước ngoài &gt;&gt; Tổng mua &gt;&gt; Lũy kế đầu năm &gt;&gt; HSX</t>
        </is>
      </c>
      <c r="E1496" s="386" t="inlineStr">
        <is>
          <t>Nhà đầu tư &gt;&gt; Giao dịch cổ phiếu của nhà đầu tư nước ngoài &gt;&gt; Tổng mua &gt;&gt; Lũy kế đầu năm &gt;&gt; HSX</t>
        </is>
      </c>
      <c r="F1496" s="386" t="inlineStr">
        <is>
          <t>Data Explorer</t>
        </is>
      </c>
      <c r="G1496" s="386" t="inlineStr">
        <is>
          <t>Chỉ tiêu cơ sở</t>
        </is>
      </c>
      <c r="H1496" s="386" t="inlineStr">
        <is>
          <t>TB</t>
        </is>
      </c>
      <c r="I1496" s="386" t="inlineStr">
        <is>
          <t>Ngày, CTCK</t>
        </is>
      </c>
      <c r="J1496" s="395" t="inlineStr">
        <is>
          <t>SCMS</t>
        </is>
      </c>
      <c r="K1496" s="395" t="n"/>
      <c r="L1496" s="395" t="inlineStr">
        <is>
          <t>X</t>
        </is>
      </c>
      <c r="M1496" s="395" t="n"/>
      <c r="N1496" s="395" t="inlineStr">
        <is>
          <t>Done</t>
        </is>
      </c>
      <c r="O1496" s="401" t="n"/>
      <c r="P1496" s="395" t="n"/>
      <c r="S1496" s="395" t="n"/>
      <c r="U1496" s="386" t="n"/>
      <c r="V1496" s="395" t="n"/>
      <c r="W1496" s="395" t="n"/>
      <c r="X1496" s="395" t="n"/>
      <c r="Y1496" s="13" t="n"/>
      <c r="Z1496" s="395" t="n"/>
      <c r="AA1496" s="395" t="n"/>
      <c r="AB1496" s="395" t="n"/>
      <c r="AC1496" s="395" t="n"/>
      <c r="AD1496" s="395" t="n"/>
      <c r="AE1496" s="395" t="n"/>
    </row>
    <row r="1497" ht="56" customHeight="1" s="380">
      <c r="A1497" s="73" t="n">
        <v>78</v>
      </c>
      <c r="B1497" s="386" t="n"/>
      <c r="C1497" s="386" t="inlineStr">
        <is>
          <t>Báo cáo theo Thông tư 121/2020/TT-BTC &gt;&gt; Giao dịch chứng khoán niêm yết/đăng ký giao dịch</t>
        </is>
      </c>
      <c r="D1497" s="386" t="inlineStr">
        <is>
          <t>Nhà đầu tư &gt;&gt; Giao dịch cổ phiếu của nhà đầu tư nước ngoài &gt;&gt; Tổng bán &gt;&gt; Trong kỳ &gt;&gt; HNX</t>
        </is>
      </c>
      <c r="E1497" s="386" t="inlineStr">
        <is>
          <t>Nhà đầu tư &gt;&gt; Giao dịch cổ phiếu của nhà đầu tư nước ngoài &gt;&gt; Tổng bán &gt;&gt; Trong kỳ &gt;&gt; HNX</t>
        </is>
      </c>
      <c r="F1497" s="386" t="inlineStr">
        <is>
          <t>Data Explorer</t>
        </is>
      </c>
      <c r="G1497" s="386" t="inlineStr">
        <is>
          <t>Chỉ tiêu cơ sở</t>
        </is>
      </c>
      <c r="H1497" s="386" t="inlineStr">
        <is>
          <t>TB</t>
        </is>
      </c>
      <c r="I1497" s="386" t="inlineStr">
        <is>
          <t>Ngày, CTCK</t>
        </is>
      </c>
      <c r="J1497" s="395" t="inlineStr">
        <is>
          <t>SCMS</t>
        </is>
      </c>
      <c r="K1497" s="395" t="n"/>
      <c r="L1497" s="395" t="inlineStr">
        <is>
          <t>X</t>
        </is>
      </c>
      <c r="M1497" s="395" t="n"/>
      <c r="N1497" s="395" t="inlineStr">
        <is>
          <t>Done</t>
        </is>
      </c>
      <c r="O1497" s="401" t="n"/>
      <c r="P1497" s="395" t="n"/>
      <c r="S1497" s="395" t="n"/>
      <c r="U1497" s="386" t="n"/>
      <c r="V1497" s="395" t="n"/>
      <c r="W1497" s="395" t="n"/>
      <c r="X1497" s="395" t="n"/>
      <c r="Y1497" s="38" t="n"/>
      <c r="Z1497" s="395" t="n"/>
      <c r="AA1497" s="395" t="n"/>
      <c r="AB1497" s="395" t="n"/>
      <c r="AC1497" s="395" t="n"/>
      <c r="AD1497" s="395" t="n"/>
      <c r="AE1497" s="395" t="n"/>
    </row>
    <row r="1498" ht="56" customHeight="1" s="380">
      <c r="A1498" s="73" t="n">
        <v>78</v>
      </c>
      <c r="B1498" s="386" t="n"/>
      <c r="C1498" s="386" t="inlineStr">
        <is>
          <t>Báo cáo theo Thông tư 121/2020/TT-BTC &gt;&gt; Giao dịch chứng khoán niêm yết/đăng ký giao dịch</t>
        </is>
      </c>
      <c r="D1498" s="386" t="inlineStr">
        <is>
          <t>Nhà đầu tư &gt;&gt; Giao dịch cổ phiếu của nhà đầu tư nước ngoài &gt;&gt; Tổng bán &gt;&gt; Trong kỳ &gt;&gt; HSX</t>
        </is>
      </c>
      <c r="E1498" s="386" t="inlineStr">
        <is>
          <t>Nhà đầu tư &gt;&gt; Giao dịch cổ phiếu của nhà đầu tư nước ngoài &gt;&gt; Tổng bán &gt;&gt; Trong kỳ &gt;&gt; HSX</t>
        </is>
      </c>
      <c r="F1498" s="386" t="inlineStr">
        <is>
          <t>Data Explorer</t>
        </is>
      </c>
      <c r="G1498" s="386" t="inlineStr">
        <is>
          <t>Chỉ tiêu cơ sở</t>
        </is>
      </c>
      <c r="H1498" s="386" t="inlineStr">
        <is>
          <t>TB</t>
        </is>
      </c>
      <c r="I1498" s="386" t="inlineStr">
        <is>
          <t>Ngày, CTCK</t>
        </is>
      </c>
      <c r="J1498" s="395" t="inlineStr">
        <is>
          <t>SCMS</t>
        </is>
      </c>
      <c r="K1498" s="395" t="n"/>
      <c r="L1498" s="395" t="inlineStr">
        <is>
          <t>X</t>
        </is>
      </c>
      <c r="M1498" s="395" t="n"/>
      <c r="N1498" s="395" t="inlineStr">
        <is>
          <t>Done</t>
        </is>
      </c>
      <c r="O1498" s="401" t="n"/>
      <c r="P1498" s="395" t="n"/>
      <c r="S1498" s="395" t="n"/>
      <c r="U1498" s="386" t="n"/>
      <c r="V1498" s="395" t="n"/>
      <c r="W1498" s="395" t="n"/>
      <c r="X1498" s="395" t="n"/>
      <c r="Y1498" s="13" t="n"/>
      <c r="Z1498" s="395" t="n"/>
      <c r="AA1498" s="395" t="n"/>
      <c r="AB1498" s="395" t="n"/>
      <c r="AC1498" s="395" t="n"/>
      <c r="AD1498" s="395" t="n"/>
      <c r="AE1498" s="395" t="n"/>
    </row>
    <row r="1499" ht="70" customHeight="1" s="380">
      <c r="A1499" s="73" t="n">
        <v>78</v>
      </c>
      <c r="B1499" s="386" t="n"/>
      <c r="C1499" s="386" t="inlineStr">
        <is>
          <t>Báo cáo theo Thông tư 121/2020/TT-BTC &gt;&gt; Giao dịch chứng khoán niêm yết/đăng ký giao dịch</t>
        </is>
      </c>
      <c r="D1499" s="386" t="inlineStr">
        <is>
          <t>Nhà đầu tư &gt;&gt; Giao dịch cổ phiếu của nhà đầu tư nước ngoài &gt;&gt; Tổng bán &gt;&gt; Lũy kế đầu năm &gt;&gt; HNX</t>
        </is>
      </c>
      <c r="E1499" s="386" t="inlineStr">
        <is>
          <t>Nhà đầu tư &gt;&gt; Giao dịch cổ phiếu của nhà đầu tư nước ngoài &gt;&gt; Tổng bán &gt;&gt; Lũy kế đầu năm &gt;&gt; HNX</t>
        </is>
      </c>
      <c r="F1499" s="386" t="inlineStr">
        <is>
          <t>Data Explorer</t>
        </is>
      </c>
      <c r="G1499" s="386" t="inlineStr">
        <is>
          <t>Chỉ tiêu cơ sở</t>
        </is>
      </c>
      <c r="H1499" s="386" t="inlineStr">
        <is>
          <t>TB</t>
        </is>
      </c>
      <c r="I1499" s="386" t="inlineStr">
        <is>
          <t>Ngày, CTCK</t>
        </is>
      </c>
      <c r="J1499" s="395" t="inlineStr">
        <is>
          <t>SCMS</t>
        </is>
      </c>
      <c r="K1499" s="395" t="n"/>
      <c r="L1499" s="395" t="inlineStr">
        <is>
          <t>X</t>
        </is>
      </c>
      <c r="M1499" s="395" t="n"/>
      <c r="N1499" s="395" t="inlineStr">
        <is>
          <t>Done</t>
        </is>
      </c>
      <c r="O1499" s="401" t="n"/>
      <c r="P1499" s="395" t="n"/>
      <c r="S1499" s="395" t="n"/>
      <c r="U1499" s="386" t="n"/>
      <c r="V1499" s="395" t="n"/>
      <c r="W1499" s="395" t="n"/>
      <c r="X1499" s="395" t="n"/>
      <c r="Y1499" s="13" t="n"/>
      <c r="Z1499" s="395" t="n"/>
      <c r="AA1499" s="395" t="n"/>
      <c r="AB1499" s="395" t="n"/>
      <c r="AC1499" s="395" t="n"/>
      <c r="AD1499" s="395" t="n"/>
      <c r="AE1499" s="395" t="n"/>
    </row>
    <row r="1500" ht="70" customHeight="1" s="380">
      <c r="A1500" s="73" t="n">
        <v>78</v>
      </c>
      <c r="B1500" s="386" t="n"/>
      <c r="C1500" s="386" t="inlineStr">
        <is>
          <t>Báo cáo theo Thông tư 121/2020/TT-BTC &gt;&gt; Giao dịch chứng khoán niêm yết/đăng ký giao dịch</t>
        </is>
      </c>
      <c r="D1500" s="386" t="inlineStr">
        <is>
          <t>Nhà đầu tư &gt;&gt; Giao dịch cổ phiếu của nhà đầu tư nước ngoài &gt;&gt; Tổng bán &gt;&gt; Lũy kế đầu năm &gt;&gt; HSX</t>
        </is>
      </c>
      <c r="E1500" s="386" t="inlineStr">
        <is>
          <t>Nhà đầu tư &gt;&gt; Giao dịch cổ phiếu của nhà đầu tư nước ngoài &gt;&gt; Tổng bán &gt;&gt; Lũy kế đầu năm &gt;&gt; HSX</t>
        </is>
      </c>
      <c r="F1500" s="386" t="inlineStr">
        <is>
          <t>Data Explorer</t>
        </is>
      </c>
      <c r="G1500" s="386" t="inlineStr">
        <is>
          <t>Chỉ tiêu cơ sở</t>
        </is>
      </c>
      <c r="H1500" s="386" t="inlineStr">
        <is>
          <t>TB</t>
        </is>
      </c>
      <c r="I1500" s="386" t="inlineStr">
        <is>
          <t>Ngày, CTCK</t>
        </is>
      </c>
      <c r="J1500" s="395" t="inlineStr">
        <is>
          <t>SCMS</t>
        </is>
      </c>
      <c r="K1500" s="395" t="n"/>
      <c r="L1500" s="395" t="inlineStr">
        <is>
          <t>X</t>
        </is>
      </c>
      <c r="M1500" s="395" t="n"/>
      <c r="N1500" s="395" t="inlineStr">
        <is>
          <t>Done</t>
        </is>
      </c>
      <c r="O1500" s="401" t="n"/>
      <c r="P1500" s="395" t="n"/>
      <c r="S1500" s="395" t="n"/>
      <c r="U1500" s="386" t="n"/>
      <c r="V1500" s="395" t="n"/>
      <c r="W1500" s="395" t="n"/>
      <c r="X1500" s="395" t="n"/>
      <c r="Y1500" s="13" t="n"/>
      <c r="Z1500" s="395" t="n"/>
      <c r="AA1500" s="395" t="n"/>
      <c r="AB1500" s="395" t="n"/>
      <c r="AC1500" s="395" t="n"/>
      <c r="AD1500" s="395" t="n"/>
      <c r="AE1500" s="395" t="n"/>
    </row>
    <row r="1501" ht="70" customHeight="1" s="380">
      <c r="A1501" s="73" t="n">
        <v>78</v>
      </c>
      <c r="B1501" s="386" t="n"/>
      <c r="C1501" s="386" t="inlineStr">
        <is>
          <t>Báo cáo theo Thông tư 121/2020/TT-BTC &gt;&gt; Giao dịch chứng khoán niêm yết/đăng ký giao dịch</t>
        </is>
      </c>
      <c r="D1501" s="386" t="inlineStr">
        <is>
          <t>Nhà đầu tư &gt;&gt; Giao dịch cổ phiếu của nhà đầu tư nước ngoài &gt;&gt; Tổng mua và bán &gt;&gt; Trong kỳ &gt;&gt; HNX</t>
        </is>
      </c>
      <c r="E1501" s="386" t="inlineStr">
        <is>
          <t>Nhà đầu tư &gt;&gt; Giao dịch cổ phiếu của nhà đầu tư nước ngoài &gt;&gt; Tổng mua và bán &gt;&gt; Trong kỳ &gt;&gt; HNX</t>
        </is>
      </c>
      <c r="F1501" s="386" t="inlineStr">
        <is>
          <t>Data Explorer</t>
        </is>
      </c>
      <c r="G1501" s="386" t="inlineStr">
        <is>
          <t>Chỉ tiêu cơ sở</t>
        </is>
      </c>
      <c r="H1501" s="386" t="inlineStr">
        <is>
          <t>TB</t>
        </is>
      </c>
      <c r="I1501" s="386" t="inlineStr">
        <is>
          <t>Ngày, CTCK</t>
        </is>
      </c>
      <c r="J1501" s="395" t="inlineStr">
        <is>
          <t>SCMS</t>
        </is>
      </c>
      <c r="K1501" s="395" t="n"/>
      <c r="L1501" s="395" t="inlineStr">
        <is>
          <t>X</t>
        </is>
      </c>
      <c r="M1501" s="395" t="n"/>
      <c r="N1501" s="395" t="inlineStr">
        <is>
          <t>Done</t>
        </is>
      </c>
      <c r="O1501" s="401" t="n"/>
      <c r="P1501" s="395" t="n"/>
      <c r="S1501" s="395" t="n"/>
      <c r="U1501" s="386" t="n"/>
      <c r="V1501" s="395" t="n"/>
      <c r="W1501" s="395" t="n"/>
      <c r="X1501" s="395" t="n"/>
      <c r="Y1501" s="13" t="n"/>
      <c r="Z1501" s="395" t="n"/>
      <c r="AA1501" s="395" t="n"/>
      <c r="AB1501" s="395" t="n"/>
      <c r="AC1501" s="395" t="n"/>
      <c r="AD1501" s="395" t="n"/>
      <c r="AE1501" s="395" t="n"/>
    </row>
    <row r="1502" ht="70" customHeight="1" s="380">
      <c r="A1502" s="73" t="n">
        <v>78</v>
      </c>
      <c r="B1502" s="386" t="n"/>
      <c r="C1502" s="386" t="inlineStr">
        <is>
          <t>Báo cáo theo Thông tư 121/2020/TT-BTC &gt;&gt; Giao dịch chứng khoán niêm yết/đăng ký giao dịch</t>
        </is>
      </c>
      <c r="D1502" s="386" t="inlineStr">
        <is>
          <t>Nhà đầu tư &gt;&gt; Giao dịch cổ phiếu của nhà đầu tư nước ngoài &gt;&gt; Tổng mua và bán &gt;&gt; Trong kỳ &gt;&gt; HSX</t>
        </is>
      </c>
      <c r="E1502" s="386" t="inlineStr">
        <is>
          <t>Nhà đầu tư &gt;&gt; Giao dịch cổ phiếu của nhà đầu tư nước ngoài &gt;&gt; Tổng mua và bán &gt;&gt; Trong kỳ &gt;&gt; HSX</t>
        </is>
      </c>
      <c r="F1502" s="386" t="inlineStr">
        <is>
          <t>Data Explorer</t>
        </is>
      </c>
      <c r="G1502" s="386" t="inlineStr">
        <is>
          <t>Chỉ tiêu cơ sở</t>
        </is>
      </c>
      <c r="H1502" s="386" t="inlineStr">
        <is>
          <t>TB</t>
        </is>
      </c>
      <c r="I1502" s="386" t="inlineStr">
        <is>
          <t>Ngày, CTCK</t>
        </is>
      </c>
      <c r="J1502" s="395" t="inlineStr">
        <is>
          <t>SCMS</t>
        </is>
      </c>
      <c r="K1502" s="395" t="n"/>
      <c r="L1502" s="395" t="inlineStr">
        <is>
          <t>X</t>
        </is>
      </c>
      <c r="M1502" s="395" t="n"/>
      <c r="N1502" s="395" t="inlineStr">
        <is>
          <t>Done</t>
        </is>
      </c>
      <c r="O1502" s="401" t="n"/>
      <c r="P1502" s="395" t="n"/>
      <c r="S1502" s="395" t="n"/>
      <c r="U1502" s="386" t="n"/>
      <c r="V1502" s="395" t="n"/>
      <c r="W1502" s="395" t="n"/>
      <c r="X1502" s="395" t="n"/>
      <c r="Y1502" s="13" t="n"/>
      <c r="Z1502" s="395" t="n"/>
      <c r="AA1502" s="395" t="n"/>
      <c r="AB1502" s="395" t="n"/>
      <c r="AC1502" s="395" t="n"/>
      <c r="AD1502" s="395" t="n"/>
      <c r="AE1502" s="395" t="n"/>
    </row>
    <row r="1503" ht="70" customHeight="1" s="380">
      <c r="A1503" s="73" t="n">
        <v>78</v>
      </c>
      <c r="B1503" s="386" t="n"/>
      <c r="C1503" s="386" t="inlineStr">
        <is>
          <t>Báo cáo theo Thông tư 121/2020/TT-BTC &gt;&gt; Giao dịch chứng khoán niêm yết/đăng ký giao dịch</t>
        </is>
      </c>
      <c r="D1503" s="386" t="inlineStr">
        <is>
          <t>Nhà đầu tư &gt;&gt; Giao dịch cổ phiếu của nhà đầu tư nước ngoài &gt;&gt; Tổng mua và bán &gt;&gt; Lũy kế đầu năm &gt;&gt; HNX</t>
        </is>
      </c>
      <c r="E1503" s="386" t="inlineStr">
        <is>
          <t>Nhà đầu tư &gt;&gt; Giao dịch cổ phiếu của nhà đầu tư nước ngoài &gt;&gt; Tổng mua và bán &gt;&gt; Lũy kế đầu năm &gt;&gt; HNX</t>
        </is>
      </c>
      <c r="F1503" s="386" t="inlineStr">
        <is>
          <t>Data Explorer</t>
        </is>
      </c>
      <c r="G1503" s="386" t="inlineStr">
        <is>
          <t>Chỉ tiêu cơ sở</t>
        </is>
      </c>
      <c r="H1503" s="386" t="inlineStr">
        <is>
          <t>TB</t>
        </is>
      </c>
      <c r="I1503" s="386" t="inlineStr">
        <is>
          <t>Ngày, CTCK</t>
        </is>
      </c>
      <c r="J1503" s="395" t="inlineStr">
        <is>
          <t>SCMS</t>
        </is>
      </c>
      <c r="K1503" s="395" t="n"/>
      <c r="L1503" s="395" t="inlineStr">
        <is>
          <t>X</t>
        </is>
      </c>
      <c r="M1503" s="395" t="n"/>
      <c r="N1503" s="395" t="inlineStr">
        <is>
          <t>Done</t>
        </is>
      </c>
      <c r="O1503" s="401" t="n"/>
      <c r="P1503" s="395" t="n"/>
      <c r="S1503" s="395" t="n"/>
      <c r="U1503" s="386" t="n"/>
      <c r="V1503" s="395" t="n"/>
      <c r="W1503" s="395" t="n"/>
      <c r="X1503" s="395" t="n"/>
      <c r="Y1503" s="14" t="n"/>
      <c r="Z1503" s="395" t="n"/>
      <c r="AA1503" s="395" t="n"/>
      <c r="AB1503" s="395" t="n"/>
      <c r="AC1503" s="395" t="n"/>
      <c r="AD1503" s="395" t="n"/>
      <c r="AE1503" s="395" t="n"/>
    </row>
    <row r="1504" ht="70" customHeight="1" s="380">
      <c r="A1504" s="73" t="n">
        <v>78</v>
      </c>
      <c r="B1504" s="386" t="n"/>
      <c r="C1504" s="386" t="inlineStr">
        <is>
          <t>Báo cáo theo Thông tư 121/2020/TT-BTC &gt;&gt; Giao dịch chứng khoán niêm yết/đăng ký giao dịch</t>
        </is>
      </c>
      <c r="D1504" s="386" t="inlineStr">
        <is>
          <t>Nhà đầu tư &gt;&gt; Giao dịch cổ phiếu của nhà đầu tư nước ngoài &gt;&gt; Tổng mua và bán &gt;&gt; Lũy kế đầu năm &gt;&gt; HSX</t>
        </is>
      </c>
      <c r="E1504" s="386" t="inlineStr">
        <is>
          <t>Nhà đầu tư &gt;&gt; Giao dịch cổ phiếu của nhà đầu tư nước ngoài &gt;&gt; Tổng mua và bán &gt;&gt; Lũy kế đầu năm &gt;&gt; HSX</t>
        </is>
      </c>
      <c r="F1504" s="386" t="inlineStr">
        <is>
          <t>Data Explorer</t>
        </is>
      </c>
      <c r="G1504" s="386" t="inlineStr">
        <is>
          <t>Chỉ tiêu cơ sở</t>
        </is>
      </c>
      <c r="H1504" s="386" t="inlineStr">
        <is>
          <t>TB</t>
        </is>
      </c>
      <c r="I1504" s="386" t="inlineStr">
        <is>
          <t>Ngày, CTCK</t>
        </is>
      </c>
      <c r="J1504" s="395" t="inlineStr">
        <is>
          <t>SCMS</t>
        </is>
      </c>
      <c r="K1504" s="395" t="n"/>
      <c r="L1504" s="395" t="inlineStr">
        <is>
          <t>X</t>
        </is>
      </c>
      <c r="M1504" s="395" t="n"/>
      <c r="N1504" s="395" t="inlineStr">
        <is>
          <t>Done</t>
        </is>
      </c>
      <c r="O1504" s="401" t="n"/>
      <c r="P1504" s="395" t="n"/>
      <c r="S1504" s="395" t="n"/>
      <c r="U1504" s="386" t="n"/>
      <c r="V1504" s="395" t="n"/>
      <c r="W1504" s="395" t="n"/>
      <c r="X1504" s="395" t="n"/>
      <c r="Y1504" s="13" t="n"/>
      <c r="Z1504" s="395" t="n"/>
      <c r="AA1504" s="395" t="n"/>
      <c r="AB1504" s="395" t="n"/>
      <c r="AC1504" s="395" t="n"/>
      <c r="AD1504" s="395" t="n"/>
      <c r="AE1504" s="395" t="n"/>
    </row>
    <row r="1505" ht="70" customHeight="1" s="380">
      <c r="A1505" s="73" t="n">
        <v>78</v>
      </c>
      <c r="B1505" s="386" t="n"/>
      <c r="C1505" s="386" t="inlineStr">
        <is>
          <t>Báo cáo theo Thông tư 121/2020/TT-BTC &gt;&gt; Giao dịch chứng khoán niêm yết/đăng ký giao dịch</t>
        </is>
      </c>
      <c r="D1505" s="386" t="inlineStr">
        <is>
          <t>Nhà đầu tư &gt;&gt; Giao dịch chứng chỉ quỹ của nhà đầu tư trong nước &gt;&gt; Tổng mua &gt;&gt; Trong kỳ &gt;&gt; HNX</t>
        </is>
      </c>
      <c r="E1505" s="386" t="inlineStr">
        <is>
          <t>Nhà đầu tư &gt;&gt; Giao dịch chứng chỉ quỹ của nhà đầu tư trong nước &gt;&gt; Tổng mua &gt;&gt; Trong kỳ &gt;&gt; HNX</t>
        </is>
      </c>
      <c r="F1505" s="386" t="inlineStr">
        <is>
          <t>Data Explorer</t>
        </is>
      </c>
      <c r="G1505" s="386" t="inlineStr">
        <is>
          <t>Chỉ tiêu cơ sở</t>
        </is>
      </c>
      <c r="H1505" s="386" t="inlineStr">
        <is>
          <t>TB</t>
        </is>
      </c>
      <c r="I1505" s="386" t="inlineStr">
        <is>
          <t>Ngày, CTCK</t>
        </is>
      </c>
      <c r="J1505" s="395" t="inlineStr">
        <is>
          <t>SCMS</t>
        </is>
      </c>
      <c r="K1505" s="395" t="n"/>
      <c r="L1505" s="395" t="inlineStr">
        <is>
          <t>X</t>
        </is>
      </c>
      <c r="M1505" s="395" t="n"/>
      <c r="N1505" s="395" t="inlineStr">
        <is>
          <t>Done</t>
        </is>
      </c>
      <c r="O1505" s="401" t="n"/>
      <c r="P1505" s="395" t="n"/>
      <c r="S1505" s="395" t="n"/>
      <c r="U1505" s="386" t="n"/>
      <c r="V1505" s="395" t="n"/>
      <c r="W1505" s="395" t="n"/>
      <c r="X1505" s="395" t="n"/>
      <c r="Y1505" s="13" t="n"/>
      <c r="Z1505" s="395" t="n"/>
      <c r="AA1505" s="395" t="n"/>
      <c r="AB1505" s="395" t="n"/>
      <c r="AC1505" s="395" t="n"/>
      <c r="AD1505" s="395" t="n"/>
      <c r="AE1505" s="395" t="n"/>
    </row>
    <row r="1506" ht="70" customHeight="1" s="380">
      <c r="A1506" s="73" t="n">
        <v>78</v>
      </c>
      <c r="B1506" s="386" t="n"/>
      <c r="C1506" s="386" t="inlineStr">
        <is>
          <t>Báo cáo theo Thông tư 121/2020/TT-BTC &gt;&gt; Giao dịch chứng khoán niêm yết/đăng ký giao dịch</t>
        </is>
      </c>
      <c r="D1506" s="386" t="inlineStr">
        <is>
          <t>Nhà đầu tư &gt;&gt; Giao dịch chứng chỉ quỹ của nhà đầu tư trong nước &gt;&gt; Tổng mua &gt;&gt; Trong kỳ &gt;&gt; HSX</t>
        </is>
      </c>
      <c r="E1506" s="386" t="inlineStr">
        <is>
          <t>Nhà đầu tư &gt;&gt; Giao dịch chứng chỉ quỹ của nhà đầu tư trong nước &gt;&gt; Tổng mua &gt;&gt; Trong kỳ &gt;&gt; HSX</t>
        </is>
      </c>
      <c r="F1506" s="386" t="inlineStr">
        <is>
          <t>Data Explorer</t>
        </is>
      </c>
      <c r="G1506" s="386" t="inlineStr">
        <is>
          <t>Chỉ tiêu cơ sở</t>
        </is>
      </c>
      <c r="H1506" s="386" t="inlineStr">
        <is>
          <t>TB</t>
        </is>
      </c>
      <c r="I1506" s="386" t="inlineStr">
        <is>
          <t>Ngày, CTCK</t>
        </is>
      </c>
      <c r="J1506" s="395" t="inlineStr">
        <is>
          <t>SCMS</t>
        </is>
      </c>
      <c r="K1506" s="395" t="n"/>
      <c r="L1506" s="395" t="inlineStr">
        <is>
          <t>X</t>
        </is>
      </c>
      <c r="M1506" s="395" t="n"/>
      <c r="N1506" s="395" t="inlineStr">
        <is>
          <t>Done</t>
        </is>
      </c>
      <c r="O1506" s="401" t="n"/>
      <c r="P1506" s="395" t="n"/>
      <c r="S1506" s="395" t="n"/>
      <c r="U1506" s="386" t="n"/>
      <c r="V1506" s="395" t="n"/>
      <c r="W1506" s="395" t="n"/>
      <c r="X1506" s="395" t="n"/>
      <c r="Y1506" s="13" t="n"/>
      <c r="Z1506" s="395" t="n"/>
      <c r="AA1506" s="395" t="n"/>
      <c r="AB1506" s="395" t="n"/>
      <c r="AC1506" s="395" t="n"/>
      <c r="AD1506" s="395" t="n"/>
      <c r="AE1506" s="395" t="n"/>
    </row>
    <row r="1507" ht="70" customHeight="1" s="380">
      <c r="A1507" s="73" t="n">
        <v>78</v>
      </c>
      <c r="B1507" s="386" t="n"/>
      <c r="C1507" s="386" t="inlineStr">
        <is>
          <t>Báo cáo theo Thông tư 121/2020/TT-BTC &gt;&gt; Giao dịch chứng khoán niêm yết/đăng ký giao dịch</t>
        </is>
      </c>
      <c r="D1507" s="386" t="inlineStr">
        <is>
          <t>Nhà đầu tư &gt;&gt; Giao dịch chứng chỉ quỹ của nhà đầu tư trong nước &gt;&gt; Tổng mua &gt;&gt; Lũy kế đầu năm &gt;&gt; HNX</t>
        </is>
      </c>
      <c r="E1507" s="386" t="inlineStr">
        <is>
          <t>Nhà đầu tư &gt;&gt; Giao dịch chứng chỉ quỹ của nhà đầu tư trong nước &gt;&gt; Tổng mua &gt;&gt; Lũy kế đầu năm &gt;&gt; HNX</t>
        </is>
      </c>
      <c r="F1507" s="386" t="inlineStr">
        <is>
          <t>Data Explorer</t>
        </is>
      </c>
      <c r="G1507" s="386" t="inlineStr">
        <is>
          <t>Chỉ tiêu cơ sở</t>
        </is>
      </c>
      <c r="H1507" s="386" t="inlineStr">
        <is>
          <t>TB</t>
        </is>
      </c>
      <c r="I1507" s="386" t="inlineStr">
        <is>
          <t>Ngày, CTCK</t>
        </is>
      </c>
      <c r="J1507" s="395" t="inlineStr">
        <is>
          <t>SCMS</t>
        </is>
      </c>
      <c r="K1507" s="395" t="n"/>
      <c r="L1507" s="395" t="inlineStr">
        <is>
          <t>X</t>
        </is>
      </c>
      <c r="M1507" s="395" t="n"/>
      <c r="N1507" s="395" t="inlineStr">
        <is>
          <t>Done</t>
        </is>
      </c>
      <c r="O1507" s="401" t="n"/>
      <c r="P1507" s="395" t="n"/>
      <c r="S1507" s="395" t="n"/>
      <c r="U1507" s="386" t="n"/>
      <c r="V1507" s="395" t="n"/>
      <c r="W1507" s="395" t="n"/>
      <c r="X1507" s="395" t="n"/>
      <c r="Y1507" s="13" t="n"/>
      <c r="Z1507" s="395" t="n"/>
      <c r="AA1507" s="395" t="n"/>
      <c r="AB1507" s="395" t="n"/>
      <c r="AC1507" s="395" t="n"/>
      <c r="AD1507" s="395" t="n"/>
      <c r="AE1507" s="395" t="n"/>
    </row>
    <row r="1508" ht="70" customHeight="1" s="380">
      <c r="A1508" s="73" t="n">
        <v>78</v>
      </c>
      <c r="B1508" s="386" t="n"/>
      <c r="C1508" s="386" t="inlineStr">
        <is>
          <t>Báo cáo theo Thông tư 121/2020/TT-BTC &gt;&gt; Giao dịch chứng khoán niêm yết/đăng ký giao dịch</t>
        </is>
      </c>
      <c r="D1508" s="386" t="inlineStr">
        <is>
          <t>Nhà đầu tư &gt;&gt; Giao dịch chứng chỉ quỹ của nhà đầu tư trong nước &gt;&gt; Tổng mua &gt;&gt; Lũy kế đầu năm &gt;&gt; HSX</t>
        </is>
      </c>
      <c r="E1508" s="386" t="inlineStr">
        <is>
          <t>Nhà đầu tư &gt;&gt; Giao dịch chứng chỉ quỹ của nhà đầu tư trong nước &gt;&gt; Tổng mua &gt;&gt; Lũy kế đầu năm &gt;&gt; HSX</t>
        </is>
      </c>
      <c r="F1508" s="386" t="inlineStr">
        <is>
          <t>Data Explorer</t>
        </is>
      </c>
      <c r="G1508" s="386" t="inlineStr">
        <is>
          <t>Chỉ tiêu cơ sở</t>
        </is>
      </c>
      <c r="H1508" s="386" t="inlineStr">
        <is>
          <t>TB</t>
        </is>
      </c>
      <c r="I1508" s="386" t="inlineStr">
        <is>
          <t>Ngày, CTCK</t>
        </is>
      </c>
      <c r="J1508" s="395" t="inlineStr">
        <is>
          <t>SCMS</t>
        </is>
      </c>
      <c r="K1508" s="395" t="n"/>
      <c r="L1508" s="395" t="inlineStr">
        <is>
          <t>X</t>
        </is>
      </c>
      <c r="M1508" s="395" t="n"/>
      <c r="N1508" s="395" t="inlineStr">
        <is>
          <t>Done</t>
        </is>
      </c>
      <c r="O1508" s="401" t="n"/>
      <c r="P1508" s="395" t="n"/>
      <c r="S1508" s="395" t="n"/>
      <c r="U1508" s="386" t="n"/>
      <c r="V1508" s="395" t="n"/>
      <c r="W1508" s="395" t="n"/>
      <c r="X1508" s="395" t="n"/>
      <c r="Y1508" s="13" t="n"/>
      <c r="Z1508" s="395" t="n"/>
      <c r="AA1508" s="395" t="n"/>
      <c r="AB1508" s="395" t="n"/>
      <c r="AC1508" s="395" t="n"/>
      <c r="AD1508" s="395" t="n"/>
      <c r="AE1508" s="395" t="n"/>
    </row>
    <row r="1509" ht="70" customHeight="1" s="380">
      <c r="A1509" s="73" t="n">
        <v>78</v>
      </c>
      <c r="B1509" s="386" t="n"/>
      <c r="C1509" s="386" t="inlineStr">
        <is>
          <t>Báo cáo theo Thông tư 121/2020/TT-BTC &gt;&gt; Giao dịch chứng khoán niêm yết/đăng ký giao dịch</t>
        </is>
      </c>
      <c r="D1509" s="386" t="inlineStr">
        <is>
          <t>Nhà đầu tư &gt;&gt; Giao dịch chứng chỉ quỹ của nhà đầu tư trong nước &gt;&gt; Tổng bán &gt;&gt; Trong kỳ &gt;&gt; HNX</t>
        </is>
      </c>
      <c r="E1509" s="386" t="inlineStr">
        <is>
          <t>Nhà đầu tư &gt;&gt; Giao dịch chứng chỉ quỹ của nhà đầu tư trong nước &gt;&gt; Tổng bán &gt;&gt; Trong kỳ &gt;&gt; HNX</t>
        </is>
      </c>
      <c r="F1509" s="386" t="inlineStr">
        <is>
          <t>Data Explorer</t>
        </is>
      </c>
      <c r="G1509" s="386" t="inlineStr">
        <is>
          <t>Chỉ tiêu cơ sở</t>
        </is>
      </c>
      <c r="H1509" s="386" t="inlineStr">
        <is>
          <t>TB</t>
        </is>
      </c>
      <c r="I1509" s="386" t="inlineStr">
        <is>
          <t>Ngày, CTCK</t>
        </is>
      </c>
      <c r="J1509" s="395" t="inlineStr">
        <is>
          <t>SCMS</t>
        </is>
      </c>
      <c r="K1509" s="395" t="n"/>
      <c r="L1509" s="395" t="inlineStr">
        <is>
          <t>X</t>
        </is>
      </c>
      <c r="M1509" s="395" t="n"/>
      <c r="N1509" s="395" t="inlineStr">
        <is>
          <t>Done</t>
        </is>
      </c>
      <c r="O1509" s="401" t="n"/>
      <c r="P1509" s="395" t="n"/>
      <c r="S1509" s="395" t="n"/>
      <c r="U1509" s="386" t="n"/>
      <c r="V1509" s="395" t="n"/>
      <c r="W1509" s="395" t="n"/>
      <c r="X1509" s="395" t="n"/>
      <c r="Y1509" s="14" t="n"/>
      <c r="Z1509" s="395" t="n"/>
      <c r="AA1509" s="395" t="n"/>
      <c r="AB1509" s="395" t="n"/>
      <c r="AC1509" s="395" t="n"/>
      <c r="AD1509" s="395" t="n"/>
      <c r="AE1509" s="395" t="n"/>
    </row>
    <row r="1510" ht="70" customHeight="1" s="380">
      <c r="A1510" s="73" t="n">
        <v>78</v>
      </c>
      <c r="B1510" s="386" t="n"/>
      <c r="C1510" s="386" t="inlineStr">
        <is>
          <t>Báo cáo theo Thông tư 121/2020/TT-BTC &gt;&gt; Giao dịch chứng khoán niêm yết/đăng ký giao dịch</t>
        </is>
      </c>
      <c r="D1510" s="386" t="inlineStr">
        <is>
          <t>Nhà đầu tư &gt;&gt; Giao dịch chứng chỉ quỹ của nhà đầu tư trong nước &gt;&gt; Tổng bán &gt;&gt; Trong kỳ &gt;&gt; HSX</t>
        </is>
      </c>
      <c r="E1510" s="386" t="inlineStr">
        <is>
          <t>Nhà đầu tư &gt;&gt; Giao dịch chứng chỉ quỹ của nhà đầu tư trong nước &gt;&gt; Tổng bán &gt;&gt; Trong kỳ &gt;&gt; HSX</t>
        </is>
      </c>
      <c r="F1510" s="386" t="inlineStr">
        <is>
          <t>Data Explorer</t>
        </is>
      </c>
      <c r="G1510" s="386" t="inlineStr">
        <is>
          <t>Chỉ tiêu cơ sở</t>
        </is>
      </c>
      <c r="H1510" s="386" t="inlineStr">
        <is>
          <t>TB</t>
        </is>
      </c>
      <c r="I1510" s="386" t="inlineStr">
        <is>
          <t>Ngày, CTCK</t>
        </is>
      </c>
      <c r="J1510" s="395" t="inlineStr">
        <is>
          <t>SCMS</t>
        </is>
      </c>
      <c r="K1510" s="395" t="n"/>
      <c r="L1510" s="395" t="inlineStr">
        <is>
          <t>X</t>
        </is>
      </c>
      <c r="M1510" s="395" t="n"/>
      <c r="N1510" s="395" t="inlineStr">
        <is>
          <t>Done</t>
        </is>
      </c>
      <c r="O1510" s="401" t="n"/>
      <c r="P1510" s="395" t="n"/>
      <c r="S1510" s="395" t="n"/>
      <c r="U1510" s="386" t="n"/>
      <c r="V1510" s="395" t="n"/>
      <c r="W1510" s="395" t="n"/>
      <c r="X1510" s="395" t="n"/>
      <c r="Y1510" s="13" t="n"/>
      <c r="Z1510" s="395" t="n"/>
      <c r="AA1510" s="395" t="n"/>
      <c r="AB1510" s="395" t="n"/>
      <c r="AC1510" s="395" t="n"/>
      <c r="AD1510" s="395" t="n"/>
      <c r="AE1510" s="395" t="n"/>
    </row>
    <row r="1511" ht="70" customHeight="1" s="380">
      <c r="A1511" s="73" t="n">
        <v>78</v>
      </c>
      <c r="B1511" s="386" t="n"/>
      <c r="C1511" s="386" t="inlineStr">
        <is>
          <t>Báo cáo theo Thông tư 121/2020/TT-BTC &gt;&gt; Giao dịch chứng khoán niêm yết/đăng ký giao dịch</t>
        </is>
      </c>
      <c r="D1511" s="386" t="inlineStr">
        <is>
          <t>Nhà đầu tư &gt;&gt; Giao dịch chứng chỉ quỹ của nhà đầu tư trong nước &gt;&gt; Tổng bán &gt;&gt; Lũy kế đầu năm &gt;&gt; HNX</t>
        </is>
      </c>
      <c r="E1511" s="386" t="inlineStr">
        <is>
          <t>Nhà đầu tư &gt;&gt; Giao dịch chứng chỉ quỹ của nhà đầu tư trong nước &gt;&gt; Tổng bán &gt;&gt; Lũy kế đầu năm &gt;&gt; HNX</t>
        </is>
      </c>
      <c r="F1511" s="386" t="inlineStr">
        <is>
          <t>Data Explorer</t>
        </is>
      </c>
      <c r="G1511" s="386" t="inlineStr">
        <is>
          <t>Chỉ tiêu cơ sở</t>
        </is>
      </c>
      <c r="H1511" s="386" t="inlineStr">
        <is>
          <t>TB</t>
        </is>
      </c>
      <c r="I1511" s="386" t="inlineStr">
        <is>
          <t>Ngày, CTCK</t>
        </is>
      </c>
      <c r="J1511" s="395" t="inlineStr">
        <is>
          <t>SCMS</t>
        </is>
      </c>
      <c r="K1511" s="395" t="n"/>
      <c r="L1511" s="395" t="inlineStr">
        <is>
          <t>X</t>
        </is>
      </c>
      <c r="M1511" s="395" t="n"/>
      <c r="N1511" s="395" t="inlineStr">
        <is>
          <t>Done</t>
        </is>
      </c>
      <c r="O1511" s="401" t="n"/>
      <c r="P1511" s="395" t="n"/>
      <c r="S1511" s="395" t="n"/>
      <c r="U1511" s="386" t="n"/>
      <c r="V1511" s="395" t="n"/>
      <c r="W1511" s="395" t="n"/>
      <c r="X1511" s="395" t="n"/>
      <c r="Y1511" s="13" t="n"/>
      <c r="Z1511" s="395" t="n"/>
      <c r="AA1511" s="395" t="n"/>
      <c r="AB1511" s="395" t="n"/>
      <c r="AC1511" s="395" t="n"/>
      <c r="AD1511" s="395" t="n"/>
      <c r="AE1511" s="395" t="n"/>
    </row>
    <row r="1512" ht="70" customHeight="1" s="380">
      <c r="A1512" s="73" t="n">
        <v>78</v>
      </c>
      <c r="B1512" s="386" t="n"/>
      <c r="C1512" s="386" t="inlineStr">
        <is>
          <t>Báo cáo theo Thông tư 121/2020/TT-BTC &gt;&gt; Giao dịch chứng khoán niêm yết/đăng ký giao dịch</t>
        </is>
      </c>
      <c r="D1512" s="386" t="inlineStr">
        <is>
          <t>Nhà đầu tư &gt;&gt; Giao dịch chứng chỉ quỹ của nhà đầu tư trong nước &gt;&gt; Tổng bán &gt;&gt; Lũy kế đầu năm &gt;&gt; HSX</t>
        </is>
      </c>
      <c r="E1512" s="386" t="inlineStr">
        <is>
          <t>Nhà đầu tư &gt;&gt; Giao dịch chứng chỉ quỹ của nhà đầu tư trong nước &gt;&gt; Tổng bán &gt;&gt; Lũy kế đầu năm &gt;&gt; HSX</t>
        </is>
      </c>
      <c r="F1512" s="386" t="inlineStr">
        <is>
          <t>Data Explorer</t>
        </is>
      </c>
      <c r="G1512" s="386" t="inlineStr">
        <is>
          <t>Chỉ tiêu cơ sở</t>
        </is>
      </c>
      <c r="H1512" s="386" t="inlineStr">
        <is>
          <t>TB</t>
        </is>
      </c>
      <c r="I1512" s="386" t="inlineStr">
        <is>
          <t>Ngày, CTCK</t>
        </is>
      </c>
      <c r="J1512" s="395" t="inlineStr">
        <is>
          <t>SCMS</t>
        </is>
      </c>
      <c r="K1512" s="395" t="n"/>
      <c r="L1512" s="395" t="inlineStr">
        <is>
          <t>X</t>
        </is>
      </c>
      <c r="M1512" s="395" t="n"/>
      <c r="N1512" s="395" t="inlineStr">
        <is>
          <t>Done</t>
        </is>
      </c>
      <c r="O1512" s="401" t="n"/>
      <c r="P1512" s="395" t="n"/>
      <c r="S1512" s="395" t="n"/>
      <c r="U1512" s="386" t="n"/>
      <c r="V1512" s="395" t="n"/>
      <c r="W1512" s="395" t="n"/>
      <c r="X1512" s="395" t="n"/>
      <c r="Y1512" s="13" t="n"/>
      <c r="Z1512" s="395" t="n"/>
      <c r="AA1512" s="395" t="n"/>
      <c r="AB1512" s="395" t="n"/>
      <c r="AC1512" s="395" t="n"/>
      <c r="AD1512" s="395" t="n"/>
      <c r="AE1512" s="395" t="n"/>
    </row>
    <row r="1513" ht="70" customHeight="1" s="380">
      <c r="A1513" s="73" t="n">
        <v>78</v>
      </c>
      <c r="B1513" s="386" t="n"/>
      <c r="C1513" s="386" t="inlineStr">
        <is>
          <t>Báo cáo theo Thông tư 121/2020/TT-BTC &gt;&gt; Giao dịch chứng khoán niêm yết/đăng ký giao dịch</t>
        </is>
      </c>
      <c r="D1513" s="386" t="inlineStr">
        <is>
          <t>Nhà đầu tư &gt;&gt; Giao dịch chứng chỉ quỹ của nhà đầu tư trong nước &gt;&gt; Tổng mua và bán &gt;&gt; Trong kỳ &gt;&gt; HNX</t>
        </is>
      </c>
      <c r="E1513" s="386" t="inlineStr">
        <is>
          <t>Nhà đầu tư &gt;&gt; Giao dịch chứng chỉ quỹ của nhà đầu tư trong nước &gt;&gt; Tổng mua và bán &gt;&gt; Trong kỳ &gt;&gt; HNX</t>
        </is>
      </c>
      <c r="F1513" s="386" t="inlineStr">
        <is>
          <t>Data Explorer</t>
        </is>
      </c>
      <c r="G1513" s="386" t="inlineStr">
        <is>
          <t>Chỉ tiêu cơ sở</t>
        </is>
      </c>
      <c r="H1513" s="386" t="inlineStr">
        <is>
          <t>TB</t>
        </is>
      </c>
      <c r="I1513" s="386" t="inlineStr">
        <is>
          <t>Ngày, CTCK</t>
        </is>
      </c>
      <c r="J1513" s="395" t="inlineStr">
        <is>
          <t>SCMS</t>
        </is>
      </c>
      <c r="K1513" s="395" t="n"/>
      <c r="L1513" s="395" t="inlineStr">
        <is>
          <t>X</t>
        </is>
      </c>
      <c r="M1513" s="395" t="n"/>
      <c r="N1513" s="395" t="inlineStr">
        <is>
          <t>Done</t>
        </is>
      </c>
      <c r="O1513" s="401" t="n"/>
      <c r="P1513" s="395" t="n"/>
      <c r="S1513" s="395" t="n"/>
      <c r="U1513" s="386" t="n"/>
      <c r="V1513" s="395" t="n"/>
      <c r="W1513" s="395" t="n"/>
      <c r="X1513" s="395" t="n"/>
      <c r="Y1513" s="13" t="n"/>
      <c r="Z1513" s="395" t="n"/>
      <c r="AA1513" s="395" t="n"/>
      <c r="AB1513" s="395" t="n"/>
      <c r="AC1513" s="395" t="n"/>
      <c r="AD1513" s="395" t="n"/>
      <c r="AE1513" s="395" t="n"/>
    </row>
    <row r="1514" ht="70" customHeight="1" s="380">
      <c r="A1514" s="73" t="n">
        <v>78</v>
      </c>
      <c r="B1514" s="386" t="n"/>
      <c r="C1514" s="386" t="inlineStr">
        <is>
          <t>Báo cáo theo Thông tư 121/2020/TT-BTC &gt;&gt; Giao dịch chứng khoán niêm yết/đăng ký giao dịch</t>
        </is>
      </c>
      <c r="D1514" s="386" t="inlineStr">
        <is>
          <t>Nhà đầu tư &gt;&gt; Giao dịch chứng chỉ quỹ của nhà đầu tư trong nước &gt;&gt; Tổng mua và bán &gt;&gt; Trong kỳ &gt;&gt; HSX</t>
        </is>
      </c>
      <c r="E1514" s="386" t="inlineStr">
        <is>
          <t>Nhà đầu tư &gt;&gt; Giao dịch chứng chỉ quỹ của nhà đầu tư trong nước &gt;&gt; Tổng mua và bán &gt;&gt; Trong kỳ &gt;&gt; HSX</t>
        </is>
      </c>
      <c r="F1514" s="386" t="inlineStr">
        <is>
          <t>Data Explorer</t>
        </is>
      </c>
      <c r="G1514" s="386" t="inlineStr">
        <is>
          <t>Chỉ tiêu cơ sở</t>
        </is>
      </c>
      <c r="H1514" s="386" t="inlineStr">
        <is>
          <t>TB</t>
        </is>
      </c>
      <c r="I1514" s="386" t="inlineStr">
        <is>
          <t>Ngày, CTCK</t>
        </is>
      </c>
      <c r="J1514" s="395" t="inlineStr">
        <is>
          <t>SCMS</t>
        </is>
      </c>
      <c r="K1514" s="395" t="n"/>
      <c r="L1514" s="395" t="inlineStr">
        <is>
          <t>X</t>
        </is>
      </c>
      <c r="M1514" s="395" t="n"/>
      <c r="N1514" s="395" t="inlineStr">
        <is>
          <t>Done</t>
        </is>
      </c>
      <c r="O1514" s="401" t="n"/>
      <c r="P1514" s="395" t="n"/>
      <c r="S1514" s="395" t="n"/>
      <c r="U1514" s="386" t="n"/>
      <c r="V1514" s="395" t="n"/>
      <c r="W1514" s="395" t="n"/>
      <c r="X1514" s="395" t="n"/>
      <c r="Y1514" s="13" t="n"/>
      <c r="Z1514" s="395" t="n"/>
      <c r="AA1514" s="395" t="n"/>
      <c r="AB1514" s="395" t="n"/>
      <c r="AC1514" s="395" t="n"/>
      <c r="AD1514" s="395" t="n"/>
      <c r="AE1514" s="395" t="n"/>
    </row>
    <row r="1515" ht="70" customHeight="1" s="380">
      <c r="A1515" s="73" t="n">
        <v>78</v>
      </c>
      <c r="B1515" s="386" t="n"/>
      <c r="C1515" s="386" t="inlineStr">
        <is>
          <t>Báo cáo theo Thông tư 121/2020/TT-BTC &gt;&gt; Giao dịch chứng khoán niêm yết/đăng ký giao dịch</t>
        </is>
      </c>
      <c r="D1515" s="386" t="inlineStr">
        <is>
          <t>Nhà đầu tư &gt;&gt; Giao dịch chứng chỉ quỹ của nhà đầu tư trong nước &gt;&gt; Tổng mua và bán &gt;&gt; Lũy kế đầu năm &gt;&gt; HNX</t>
        </is>
      </c>
      <c r="E1515" s="386" t="inlineStr">
        <is>
          <t>Nhà đầu tư &gt;&gt; Giao dịch chứng chỉ quỹ của nhà đầu tư trong nước &gt;&gt; Tổng mua và bán &gt;&gt; Lũy kế đầu năm &gt;&gt; HNX</t>
        </is>
      </c>
      <c r="F1515" s="386" t="inlineStr">
        <is>
          <t>Data Explorer</t>
        </is>
      </c>
      <c r="G1515" s="386" t="inlineStr">
        <is>
          <t>Chỉ tiêu cơ sở</t>
        </is>
      </c>
      <c r="H1515" s="386" t="inlineStr">
        <is>
          <t>TB</t>
        </is>
      </c>
      <c r="I1515" s="386" t="inlineStr">
        <is>
          <t>Ngày, CTCK</t>
        </is>
      </c>
      <c r="J1515" s="395" t="inlineStr">
        <is>
          <t>SCMS</t>
        </is>
      </c>
      <c r="K1515" s="395" t="n"/>
      <c r="L1515" s="395" t="inlineStr">
        <is>
          <t>X</t>
        </is>
      </c>
      <c r="M1515" s="395" t="n"/>
      <c r="N1515" s="395" t="inlineStr">
        <is>
          <t>Done</t>
        </is>
      </c>
      <c r="O1515" s="401" t="n"/>
      <c r="P1515" s="395" t="n"/>
      <c r="S1515" s="395" t="n"/>
      <c r="U1515" s="386" t="n"/>
      <c r="V1515" s="395" t="n"/>
      <c r="W1515" s="395" t="n"/>
      <c r="X1515" s="395" t="n"/>
      <c r="Y1515" s="38" t="n"/>
      <c r="Z1515" s="395" t="n"/>
      <c r="AA1515" s="395" t="n"/>
      <c r="AB1515" s="395" t="n"/>
      <c r="AC1515" s="395" t="n"/>
      <c r="AD1515" s="395" t="n"/>
      <c r="AE1515" s="395" t="n"/>
    </row>
    <row r="1516" ht="70" customHeight="1" s="380">
      <c r="A1516" s="73" t="n">
        <v>78</v>
      </c>
      <c r="B1516" s="386" t="n"/>
      <c r="C1516" s="386" t="inlineStr">
        <is>
          <t>Báo cáo theo Thông tư 121/2020/TT-BTC &gt;&gt; Giao dịch chứng khoán niêm yết/đăng ký giao dịch</t>
        </is>
      </c>
      <c r="D1516" s="386" t="inlineStr">
        <is>
          <t>Nhà đầu tư &gt;&gt; Giao dịch chứng chỉ quỹ của nhà đầu tư trong nước &gt;&gt; Tổng mua và bán &gt;&gt; Lũy kế đầu năm &gt;&gt; HSX</t>
        </is>
      </c>
      <c r="E1516" s="386" t="inlineStr">
        <is>
          <t>Nhà đầu tư &gt;&gt; Giao dịch chứng chỉ quỹ của nhà đầu tư trong nước &gt;&gt; Tổng mua và bán &gt;&gt; Lũy kế đầu năm &gt;&gt; HSX</t>
        </is>
      </c>
      <c r="F1516" s="386" t="inlineStr">
        <is>
          <t>Data Explorer</t>
        </is>
      </c>
      <c r="G1516" s="386" t="inlineStr">
        <is>
          <t>Chỉ tiêu cơ sở</t>
        </is>
      </c>
      <c r="H1516" s="386" t="inlineStr">
        <is>
          <t>TB</t>
        </is>
      </c>
      <c r="I1516" s="386" t="inlineStr">
        <is>
          <t>Ngày, CTCK</t>
        </is>
      </c>
      <c r="J1516" s="395" t="inlineStr">
        <is>
          <t>SCMS</t>
        </is>
      </c>
      <c r="K1516" s="395" t="n"/>
      <c r="L1516" s="395" t="inlineStr">
        <is>
          <t>X</t>
        </is>
      </c>
      <c r="M1516" s="395" t="n"/>
      <c r="N1516" s="395" t="inlineStr">
        <is>
          <t>Done</t>
        </is>
      </c>
      <c r="O1516" s="401" t="n"/>
      <c r="P1516" s="395" t="n"/>
      <c r="S1516" s="395" t="n"/>
      <c r="U1516" s="386" t="n"/>
      <c r="V1516" s="395" t="n"/>
      <c r="W1516" s="395" t="n"/>
      <c r="X1516" s="395" t="n"/>
      <c r="Y1516" s="13" t="n"/>
      <c r="Z1516" s="395" t="n"/>
      <c r="AA1516" s="395" t="n"/>
      <c r="AB1516" s="395" t="n"/>
      <c r="AC1516" s="395" t="n"/>
      <c r="AD1516" s="395" t="n"/>
      <c r="AE1516" s="395" t="n"/>
    </row>
    <row r="1517" ht="70" customHeight="1" s="380">
      <c r="A1517" s="73" t="n">
        <v>78</v>
      </c>
      <c r="B1517" s="386" t="n"/>
      <c r="C1517" s="386" t="inlineStr">
        <is>
          <t>Báo cáo theo Thông tư 121/2020/TT-BTC &gt;&gt; Giao dịch chứng khoán niêm yết/đăng ký giao dịch</t>
        </is>
      </c>
      <c r="D1517" s="386" t="inlineStr">
        <is>
          <t>Nhà đầu tư &gt;&gt; Giao dịch chứng chỉ quỹ của nhà đầu tư nước ngoài &gt;&gt; Tổng mua &gt;&gt; Trong kỳ &gt;&gt; HNX</t>
        </is>
      </c>
      <c r="E1517" s="386" t="inlineStr">
        <is>
          <t>Nhà đầu tư &gt;&gt; Giao dịch chứng chỉ quỹ của nhà đầu tư nước ngoài &gt;&gt; Tổng mua &gt;&gt; Trong kỳ &gt;&gt; HNX</t>
        </is>
      </c>
      <c r="F1517" s="386" t="inlineStr">
        <is>
          <t>Data Explorer</t>
        </is>
      </c>
      <c r="G1517" s="386" t="inlineStr">
        <is>
          <t>Chỉ tiêu cơ sở</t>
        </is>
      </c>
      <c r="H1517" s="386" t="inlineStr">
        <is>
          <t>TB</t>
        </is>
      </c>
      <c r="I1517" s="386" t="inlineStr">
        <is>
          <t>Ngày, CTCK</t>
        </is>
      </c>
      <c r="J1517" s="395" t="inlineStr">
        <is>
          <t>SCMS</t>
        </is>
      </c>
      <c r="K1517" s="395" t="n"/>
      <c r="L1517" s="395" t="inlineStr">
        <is>
          <t>X</t>
        </is>
      </c>
      <c r="M1517" s="395" t="n"/>
      <c r="N1517" s="395" t="inlineStr">
        <is>
          <t>Done</t>
        </is>
      </c>
      <c r="O1517" s="401" t="n"/>
      <c r="P1517" s="395" t="n"/>
      <c r="S1517" s="395" t="n"/>
      <c r="U1517" s="386" t="n"/>
      <c r="V1517" s="395" t="n"/>
      <c r="W1517" s="395" t="n"/>
      <c r="X1517" s="395" t="n"/>
      <c r="Y1517" s="13" t="n"/>
      <c r="Z1517" s="395" t="n"/>
      <c r="AA1517" s="395" t="n"/>
      <c r="AB1517" s="395" t="n"/>
      <c r="AC1517" s="395" t="n"/>
      <c r="AD1517" s="395" t="n"/>
      <c r="AE1517" s="395" t="n"/>
    </row>
    <row r="1518" ht="70" customHeight="1" s="380">
      <c r="A1518" s="73" t="n">
        <v>78</v>
      </c>
      <c r="B1518" s="386" t="n"/>
      <c r="C1518" s="386" t="inlineStr">
        <is>
          <t>Báo cáo theo Thông tư 121/2020/TT-BTC &gt;&gt; Giao dịch chứng khoán niêm yết/đăng ký giao dịch</t>
        </is>
      </c>
      <c r="D1518" s="386" t="inlineStr">
        <is>
          <t>Nhà đầu tư &gt;&gt; Giao dịch chứng chỉ quỹ của nhà đầu tư nước ngoài &gt;&gt; Tổng mua &gt;&gt; Trong kỳ &gt;&gt; HSX</t>
        </is>
      </c>
      <c r="E1518" s="386" t="inlineStr">
        <is>
          <t>Nhà đầu tư &gt;&gt; Giao dịch chứng chỉ quỹ của nhà đầu tư nước ngoài &gt;&gt; Tổng mua &gt;&gt; Trong kỳ &gt;&gt; HSX</t>
        </is>
      </c>
      <c r="F1518" s="386" t="inlineStr">
        <is>
          <t>Data Explorer</t>
        </is>
      </c>
      <c r="G1518" s="386" t="inlineStr">
        <is>
          <t>Chỉ tiêu cơ sở</t>
        </is>
      </c>
      <c r="H1518" s="386" t="inlineStr">
        <is>
          <t>TB</t>
        </is>
      </c>
      <c r="I1518" s="386" t="inlineStr">
        <is>
          <t>Ngày, CTCK</t>
        </is>
      </c>
      <c r="J1518" s="395" t="inlineStr">
        <is>
          <t>SCMS</t>
        </is>
      </c>
      <c r="K1518" s="395" t="n"/>
      <c r="L1518" s="395" t="inlineStr">
        <is>
          <t>X</t>
        </is>
      </c>
      <c r="M1518" s="395" t="n"/>
      <c r="N1518" s="395" t="inlineStr">
        <is>
          <t>Done</t>
        </is>
      </c>
      <c r="O1518" s="401" t="n"/>
      <c r="P1518" s="395" t="n"/>
      <c r="S1518" s="395" t="n"/>
      <c r="U1518" s="386" t="n"/>
      <c r="V1518" s="395" t="n"/>
      <c r="W1518" s="395" t="n"/>
      <c r="X1518" s="395" t="n"/>
      <c r="Y1518" s="13" t="n"/>
      <c r="Z1518" s="395" t="n"/>
      <c r="AA1518" s="395" t="n"/>
      <c r="AB1518" s="395" t="n"/>
      <c r="AC1518" s="395" t="n"/>
      <c r="AD1518" s="395" t="n"/>
      <c r="AE1518" s="395" t="n"/>
    </row>
    <row r="1519" ht="70" customHeight="1" s="380">
      <c r="A1519" s="73" t="n">
        <v>78</v>
      </c>
      <c r="B1519" s="386" t="n"/>
      <c r="C1519" s="386" t="inlineStr">
        <is>
          <t>Báo cáo theo Thông tư 121/2020/TT-BTC &gt;&gt; Giao dịch chứng khoán niêm yết/đăng ký giao dịch</t>
        </is>
      </c>
      <c r="D1519" s="386" t="inlineStr">
        <is>
          <t>Nhà đầu tư &gt;&gt; Giao dịch chứng chỉ quỹ của nhà đầu tư nước ngoài &gt;&gt; Tổng mua &gt;&gt; Lũy kế đầu năm &gt;&gt; HNX</t>
        </is>
      </c>
      <c r="E1519" s="386" t="inlineStr">
        <is>
          <t>Nhà đầu tư &gt;&gt; Giao dịch chứng chỉ quỹ của nhà đầu tư nước ngoài &gt;&gt; Tổng mua &gt;&gt; Lũy kế đầu năm &gt;&gt; HNX</t>
        </is>
      </c>
      <c r="F1519" s="386" t="inlineStr">
        <is>
          <t>Data Explorer</t>
        </is>
      </c>
      <c r="G1519" s="386" t="inlineStr">
        <is>
          <t>Chỉ tiêu cơ sở</t>
        </is>
      </c>
      <c r="H1519" s="386" t="inlineStr">
        <is>
          <t>TB</t>
        </is>
      </c>
      <c r="I1519" s="386" t="inlineStr">
        <is>
          <t>Ngày, CTCK</t>
        </is>
      </c>
      <c r="J1519" s="395" t="inlineStr">
        <is>
          <t>SCMS</t>
        </is>
      </c>
      <c r="K1519" s="395" t="n"/>
      <c r="L1519" s="395" t="inlineStr">
        <is>
          <t>X</t>
        </is>
      </c>
      <c r="M1519" s="395" t="n"/>
      <c r="N1519" s="395" t="inlineStr">
        <is>
          <t>Done</t>
        </is>
      </c>
      <c r="O1519" s="401" t="n"/>
      <c r="P1519" s="395" t="n"/>
      <c r="S1519" s="395" t="n"/>
      <c r="U1519" s="386" t="n"/>
      <c r="V1519" s="395" t="n"/>
      <c r="W1519" s="395" t="n"/>
      <c r="X1519" s="395" t="n"/>
      <c r="Y1519" s="13" t="n"/>
      <c r="Z1519" s="395" t="n"/>
      <c r="AA1519" s="395" t="n"/>
      <c r="AB1519" s="395" t="n"/>
      <c r="AC1519" s="395" t="n"/>
      <c r="AD1519" s="395" t="n"/>
      <c r="AE1519" s="395" t="n"/>
    </row>
    <row r="1520" ht="70" customHeight="1" s="380">
      <c r="A1520" s="73" t="n">
        <v>78</v>
      </c>
      <c r="B1520" s="386" t="n"/>
      <c r="C1520" s="386" t="inlineStr">
        <is>
          <t>Báo cáo theo Thông tư 121/2020/TT-BTC &gt;&gt; Giao dịch chứng khoán niêm yết/đăng ký giao dịch</t>
        </is>
      </c>
      <c r="D1520" s="386" t="inlineStr">
        <is>
          <t>Nhà đầu tư &gt;&gt; Giao dịch chứng chỉ quỹ của nhà đầu tư nước ngoài &gt;&gt; Tổng mua &gt;&gt; Lũy kế đầu năm &gt;&gt; HSX</t>
        </is>
      </c>
      <c r="E1520" s="386" t="inlineStr">
        <is>
          <t>Nhà đầu tư &gt;&gt; Giao dịch chứng chỉ quỹ của nhà đầu tư nước ngoài &gt;&gt; Tổng mua &gt;&gt; Lũy kế đầu năm &gt;&gt; HSX</t>
        </is>
      </c>
      <c r="F1520" s="386" t="inlineStr">
        <is>
          <t>Data Explorer</t>
        </is>
      </c>
      <c r="G1520" s="386" t="inlineStr">
        <is>
          <t>Chỉ tiêu cơ sở</t>
        </is>
      </c>
      <c r="H1520" s="386" t="inlineStr">
        <is>
          <t>TB</t>
        </is>
      </c>
      <c r="I1520" s="386" t="inlineStr">
        <is>
          <t>Ngày, CTCK</t>
        </is>
      </c>
      <c r="J1520" s="395" t="inlineStr">
        <is>
          <t>SCMS</t>
        </is>
      </c>
      <c r="K1520" s="395" t="n"/>
      <c r="L1520" s="395" t="inlineStr">
        <is>
          <t>X</t>
        </is>
      </c>
      <c r="M1520" s="395" t="n"/>
      <c r="N1520" s="395" t="inlineStr">
        <is>
          <t>Done</t>
        </is>
      </c>
      <c r="O1520" s="401" t="n"/>
      <c r="P1520" s="395" t="n"/>
      <c r="S1520" s="395" t="n"/>
      <c r="U1520" s="386" t="n"/>
      <c r="V1520" s="395" t="n"/>
      <c r="W1520" s="395" t="n"/>
      <c r="X1520" s="395" t="n"/>
      <c r="Y1520" s="13" t="n"/>
      <c r="Z1520" s="395" t="n"/>
      <c r="AA1520" s="395" t="n"/>
      <c r="AB1520" s="395" t="n"/>
      <c r="AC1520" s="395" t="n"/>
      <c r="AD1520" s="395" t="n"/>
      <c r="AE1520" s="395" t="n"/>
    </row>
    <row r="1521" ht="70" customHeight="1" s="380">
      <c r="A1521" s="73" t="n">
        <v>78</v>
      </c>
      <c r="B1521" s="386" t="n"/>
      <c r="C1521" s="386" t="inlineStr">
        <is>
          <t>Báo cáo theo Thông tư 121/2020/TT-BTC &gt;&gt; Giao dịch chứng khoán niêm yết/đăng ký giao dịch</t>
        </is>
      </c>
      <c r="D1521" s="386" t="inlineStr">
        <is>
          <t>Nhà đầu tư &gt;&gt; Giao dịch chứng chỉ quỹ của nhà đầu tư nước ngoài &gt;&gt; Tổng bán &gt;&gt; Trong kỳ &gt;&gt; HNX</t>
        </is>
      </c>
      <c r="E1521" s="386" t="inlineStr">
        <is>
          <t>Nhà đầu tư &gt;&gt; Giao dịch chứng chỉ quỹ của nhà đầu tư nước ngoài &gt;&gt; Tổng bán &gt;&gt; Trong kỳ &gt;&gt; HNX</t>
        </is>
      </c>
      <c r="F1521" s="386" t="inlineStr">
        <is>
          <t>Data Explorer</t>
        </is>
      </c>
      <c r="G1521" s="386" t="inlineStr">
        <is>
          <t>Chỉ tiêu cơ sở</t>
        </is>
      </c>
      <c r="H1521" s="386" t="inlineStr">
        <is>
          <t>TB</t>
        </is>
      </c>
      <c r="I1521" s="386" t="inlineStr">
        <is>
          <t>Ngày, CTCK</t>
        </is>
      </c>
      <c r="J1521" s="395" t="inlineStr">
        <is>
          <t>SCMS</t>
        </is>
      </c>
      <c r="K1521" s="395" t="n"/>
      <c r="L1521" s="395" t="inlineStr">
        <is>
          <t>X</t>
        </is>
      </c>
      <c r="M1521" s="395" t="n"/>
      <c r="N1521" s="395" t="inlineStr">
        <is>
          <t>Done</t>
        </is>
      </c>
      <c r="O1521" s="401" t="n"/>
      <c r="P1521" s="395" t="n"/>
      <c r="S1521" s="395" t="n"/>
      <c r="U1521" s="386" t="n"/>
      <c r="V1521" s="395" t="n"/>
      <c r="W1521" s="395" t="n"/>
      <c r="X1521" s="395" t="n"/>
      <c r="Y1521" s="38" t="n"/>
      <c r="Z1521" s="395" t="n"/>
      <c r="AA1521" s="395" t="n"/>
      <c r="AB1521" s="395" t="n"/>
      <c r="AC1521" s="395" t="n"/>
      <c r="AD1521" s="395" t="n"/>
      <c r="AE1521" s="395" t="n"/>
    </row>
    <row r="1522" ht="70" customHeight="1" s="380">
      <c r="A1522" s="73" t="n">
        <v>78</v>
      </c>
      <c r="B1522" s="386" t="n"/>
      <c r="C1522" s="386" t="inlineStr">
        <is>
          <t>Báo cáo theo Thông tư 121/2020/TT-BTC &gt;&gt; Giao dịch chứng khoán niêm yết/đăng ký giao dịch</t>
        </is>
      </c>
      <c r="D1522" s="386" t="inlineStr">
        <is>
          <t>Nhà đầu tư &gt;&gt; Giao dịch chứng chỉ quỹ của nhà đầu tư nước ngoài &gt;&gt; Tổng bán &gt;&gt; Trong kỳ &gt;&gt; HSX</t>
        </is>
      </c>
      <c r="E1522" s="386" t="inlineStr">
        <is>
          <t>Nhà đầu tư &gt;&gt; Giao dịch chứng chỉ quỹ của nhà đầu tư nước ngoài &gt;&gt; Tổng bán &gt;&gt; Trong kỳ &gt;&gt; HSX</t>
        </is>
      </c>
      <c r="F1522" s="386" t="inlineStr">
        <is>
          <t>Data Explorer</t>
        </is>
      </c>
      <c r="G1522" s="386" t="inlineStr">
        <is>
          <t>Chỉ tiêu cơ sở</t>
        </is>
      </c>
      <c r="H1522" s="386" t="inlineStr">
        <is>
          <t>TB</t>
        </is>
      </c>
      <c r="I1522" s="386" t="inlineStr">
        <is>
          <t>Ngày, CTCK</t>
        </is>
      </c>
      <c r="J1522" s="395" t="inlineStr">
        <is>
          <t>SCMS</t>
        </is>
      </c>
      <c r="K1522" s="395" t="n"/>
      <c r="L1522" s="395" t="inlineStr">
        <is>
          <t>X</t>
        </is>
      </c>
      <c r="M1522" s="395" t="n"/>
      <c r="N1522" s="395" t="inlineStr">
        <is>
          <t>Done</t>
        </is>
      </c>
      <c r="O1522" s="401" t="n"/>
      <c r="P1522" s="395" t="n"/>
      <c r="S1522" s="395" t="n"/>
      <c r="U1522" s="386" t="n"/>
      <c r="V1522" s="395" t="n"/>
      <c r="W1522" s="395" t="n"/>
      <c r="X1522" s="395" t="n"/>
      <c r="Y1522" s="13" t="n"/>
      <c r="Z1522" s="395" t="n"/>
      <c r="AA1522" s="395" t="n"/>
      <c r="AB1522" s="395" t="n"/>
      <c r="AC1522" s="395" t="n"/>
      <c r="AD1522" s="395" t="n"/>
      <c r="AE1522" s="395" t="n"/>
    </row>
    <row r="1523" ht="70" customHeight="1" s="380">
      <c r="A1523" s="73" t="n">
        <v>78</v>
      </c>
      <c r="B1523" s="386" t="n"/>
      <c r="C1523" s="386" t="inlineStr">
        <is>
          <t>Báo cáo theo Thông tư 121/2020/TT-BTC &gt;&gt; Giao dịch chứng khoán niêm yết/đăng ký giao dịch</t>
        </is>
      </c>
      <c r="D1523" s="386" t="inlineStr">
        <is>
          <t>Nhà đầu tư &gt;&gt; Giao dịch chứng chỉ quỹ của nhà đầu tư nước ngoài &gt;&gt; Tổng bán &gt;&gt; Lũy kế đầu năm &gt;&gt; HNX</t>
        </is>
      </c>
      <c r="E1523" s="386" t="inlineStr">
        <is>
          <t>Nhà đầu tư &gt;&gt; Giao dịch chứng chỉ quỹ của nhà đầu tư nước ngoài &gt;&gt; Tổng bán &gt;&gt; Lũy kế đầu năm &gt;&gt; HNX</t>
        </is>
      </c>
      <c r="F1523" s="386" t="inlineStr">
        <is>
          <t>Data Explorer</t>
        </is>
      </c>
      <c r="G1523" s="386" t="inlineStr">
        <is>
          <t>Chỉ tiêu cơ sở</t>
        </is>
      </c>
      <c r="H1523" s="386" t="inlineStr">
        <is>
          <t>TB</t>
        </is>
      </c>
      <c r="I1523" s="386" t="inlineStr">
        <is>
          <t>Ngày, CTCK</t>
        </is>
      </c>
      <c r="J1523" s="395" t="inlineStr">
        <is>
          <t>SCMS</t>
        </is>
      </c>
      <c r="K1523" s="395" t="n"/>
      <c r="L1523" s="395" t="inlineStr">
        <is>
          <t>X</t>
        </is>
      </c>
      <c r="M1523" s="395" t="n"/>
      <c r="N1523" s="395" t="inlineStr">
        <is>
          <t>Done</t>
        </is>
      </c>
      <c r="O1523" s="401" t="n"/>
      <c r="P1523" s="395" t="n"/>
      <c r="S1523" s="395" t="n"/>
      <c r="U1523" s="386" t="n"/>
      <c r="V1523" s="395" t="n"/>
      <c r="W1523" s="395" t="n"/>
      <c r="X1523" s="395" t="n"/>
      <c r="Y1523" s="13" t="n"/>
      <c r="Z1523" s="395" t="n"/>
      <c r="AA1523" s="395" t="n"/>
      <c r="AB1523" s="395" t="n"/>
      <c r="AC1523" s="395" t="n"/>
      <c r="AD1523" s="395" t="n"/>
      <c r="AE1523" s="395" t="n"/>
    </row>
    <row r="1524" ht="70" customHeight="1" s="380">
      <c r="A1524" s="73" t="n">
        <v>78</v>
      </c>
      <c r="B1524" s="386" t="n"/>
      <c r="C1524" s="386" t="inlineStr">
        <is>
          <t>Báo cáo theo Thông tư 121/2020/TT-BTC &gt;&gt; Giao dịch chứng khoán niêm yết/đăng ký giao dịch</t>
        </is>
      </c>
      <c r="D1524" s="386" t="inlineStr">
        <is>
          <t>Nhà đầu tư &gt;&gt; Giao dịch chứng chỉ quỹ của nhà đầu tư nước ngoài &gt;&gt; Tổng bán &gt;&gt; Lũy kế đầu năm &gt;&gt; HSX</t>
        </is>
      </c>
      <c r="E1524" s="386" t="inlineStr">
        <is>
          <t>Nhà đầu tư &gt;&gt; Giao dịch chứng chỉ quỹ của nhà đầu tư nước ngoài &gt;&gt; Tổng bán &gt;&gt; Lũy kế đầu năm &gt;&gt; HSX</t>
        </is>
      </c>
      <c r="F1524" s="386" t="inlineStr">
        <is>
          <t>Data Explorer</t>
        </is>
      </c>
      <c r="G1524" s="386" t="inlineStr">
        <is>
          <t>Chỉ tiêu cơ sở</t>
        </is>
      </c>
      <c r="H1524" s="386" t="inlineStr">
        <is>
          <t>TB</t>
        </is>
      </c>
      <c r="I1524" s="386" t="inlineStr">
        <is>
          <t>Ngày, CTCK</t>
        </is>
      </c>
      <c r="J1524" s="395" t="inlineStr">
        <is>
          <t>SCMS</t>
        </is>
      </c>
      <c r="K1524" s="395" t="n"/>
      <c r="L1524" s="395" t="inlineStr">
        <is>
          <t>X</t>
        </is>
      </c>
      <c r="M1524" s="395" t="n"/>
      <c r="N1524" s="395" t="inlineStr">
        <is>
          <t>Done</t>
        </is>
      </c>
      <c r="O1524" s="401" t="n"/>
      <c r="P1524" s="395" t="n"/>
      <c r="S1524" s="395" t="n"/>
      <c r="U1524" s="386" t="n"/>
      <c r="V1524" s="395" t="n"/>
      <c r="W1524" s="395" t="n"/>
      <c r="X1524" s="395" t="n"/>
      <c r="Y1524" s="13" t="n"/>
      <c r="Z1524" s="395" t="n"/>
      <c r="AA1524" s="395" t="n"/>
      <c r="AB1524" s="395" t="n"/>
      <c r="AC1524" s="395" t="n"/>
      <c r="AD1524" s="395" t="n"/>
      <c r="AE1524" s="395" t="n"/>
    </row>
    <row r="1525" ht="70" customHeight="1" s="380">
      <c r="A1525" s="73" t="n">
        <v>78</v>
      </c>
      <c r="B1525" s="386" t="n"/>
      <c r="C1525" s="386" t="inlineStr">
        <is>
          <t>Báo cáo theo Thông tư 121/2020/TT-BTC &gt;&gt; Giao dịch chứng khoán niêm yết/đăng ký giao dịch</t>
        </is>
      </c>
      <c r="D1525" s="386" t="inlineStr">
        <is>
          <t>Nhà đầu tư &gt;&gt; Giao dịch chứng chỉ quỹ của nhà đầu tư nước ngoài &gt;&gt; Tổng mua và bán &gt;&gt; Trong kỳ &gt;&gt; HNX</t>
        </is>
      </c>
      <c r="E1525" s="386" t="inlineStr">
        <is>
          <t>Nhà đầu tư &gt;&gt; Giao dịch chứng chỉ quỹ của nhà đầu tư nước ngoài &gt;&gt; Tổng mua và bán &gt;&gt; Trong kỳ &gt;&gt; HNX</t>
        </is>
      </c>
      <c r="F1525" s="386" t="inlineStr">
        <is>
          <t>Data Explorer</t>
        </is>
      </c>
      <c r="G1525" s="386" t="inlineStr">
        <is>
          <t>Chỉ tiêu cơ sở</t>
        </is>
      </c>
      <c r="H1525" s="386" t="inlineStr">
        <is>
          <t>TB</t>
        </is>
      </c>
      <c r="I1525" s="386" t="inlineStr">
        <is>
          <t>Ngày, CTCK</t>
        </is>
      </c>
      <c r="J1525" s="395" t="inlineStr">
        <is>
          <t>SCMS</t>
        </is>
      </c>
      <c r="K1525" s="395" t="n"/>
      <c r="L1525" s="395" t="inlineStr">
        <is>
          <t>X</t>
        </is>
      </c>
      <c r="M1525" s="395" t="n"/>
      <c r="N1525" s="395" t="inlineStr">
        <is>
          <t>Done</t>
        </is>
      </c>
      <c r="O1525" s="401" t="n"/>
      <c r="P1525" s="395" t="n"/>
      <c r="S1525" s="395" t="n"/>
      <c r="U1525" s="386" t="n"/>
      <c r="V1525" s="395" t="n"/>
      <c r="W1525" s="395" t="n"/>
      <c r="X1525" s="395" t="n"/>
      <c r="Y1525" s="13" t="n"/>
      <c r="Z1525" s="395" t="n"/>
      <c r="AA1525" s="395" t="n"/>
      <c r="AB1525" s="395" t="n"/>
      <c r="AC1525" s="395" t="n"/>
      <c r="AD1525" s="395" t="n"/>
      <c r="AE1525" s="395" t="n"/>
    </row>
    <row r="1526" ht="70" customHeight="1" s="380">
      <c r="A1526" s="73" t="n">
        <v>78</v>
      </c>
      <c r="B1526" s="386" t="n"/>
      <c r="C1526" s="386" t="inlineStr">
        <is>
          <t>Báo cáo theo Thông tư 121/2020/TT-BTC &gt;&gt; Giao dịch chứng khoán niêm yết/đăng ký giao dịch</t>
        </is>
      </c>
      <c r="D1526" s="386" t="inlineStr">
        <is>
          <t>Nhà đầu tư &gt;&gt; Giao dịch chứng chỉ quỹ của nhà đầu tư nước ngoài &gt;&gt; Tổng mua và bán &gt;&gt; Trong kỳ &gt;&gt; HSX</t>
        </is>
      </c>
      <c r="E1526" s="386" t="inlineStr">
        <is>
          <t>Nhà đầu tư &gt;&gt; Giao dịch chứng chỉ quỹ của nhà đầu tư nước ngoài &gt;&gt; Tổng mua và bán &gt;&gt; Trong kỳ &gt;&gt; HSX</t>
        </is>
      </c>
      <c r="F1526" s="386" t="inlineStr">
        <is>
          <t>Data Explorer</t>
        </is>
      </c>
      <c r="G1526" s="386" t="inlineStr">
        <is>
          <t>Chỉ tiêu cơ sở</t>
        </is>
      </c>
      <c r="H1526" s="386" t="inlineStr">
        <is>
          <t>TB</t>
        </is>
      </c>
      <c r="I1526" s="386" t="inlineStr">
        <is>
          <t>Ngày, CTCK</t>
        </is>
      </c>
      <c r="J1526" s="395" t="inlineStr">
        <is>
          <t>SCMS</t>
        </is>
      </c>
      <c r="K1526" s="395" t="n"/>
      <c r="L1526" s="395" t="inlineStr">
        <is>
          <t>X</t>
        </is>
      </c>
      <c r="M1526" s="395" t="n"/>
      <c r="N1526" s="395" t="inlineStr">
        <is>
          <t>Done</t>
        </is>
      </c>
      <c r="O1526" s="401" t="n"/>
      <c r="P1526" s="395" t="n"/>
      <c r="S1526" s="395" t="n"/>
      <c r="U1526" s="386" t="n"/>
      <c r="V1526" s="395" t="n"/>
      <c r="W1526" s="395" t="n"/>
      <c r="X1526" s="395" t="n"/>
      <c r="Y1526" s="13" t="n"/>
      <c r="Z1526" s="395" t="n"/>
      <c r="AA1526" s="395" t="n"/>
      <c r="AB1526" s="395" t="n"/>
      <c r="AC1526" s="395" t="n"/>
      <c r="AD1526" s="395" t="n"/>
      <c r="AE1526" s="395" t="n"/>
    </row>
    <row r="1527" ht="70" customHeight="1" s="380">
      <c r="A1527" s="73" t="n">
        <v>78</v>
      </c>
      <c r="B1527" s="386" t="n"/>
      <c r="C1527" s="386" t="inlineStr">
        <is>
          <t>Báo cáo theo Thông tư 121/2020/TT-BTC &gt;&gt; Giao dịch chứng khoán niêm yết/đăng ký giao dịch</t>
        </is>
      </c>
      <c r="D1527" s="386" t="inlineStr">
        <is>
          <t>Nhà đầu tư &gt;&gt; Giao dịch chứng chỉ quỹ của nhà đầu tư nước ngoài &gt;&gt; Tổng mua và bán &gt;&gt; Lũy kế đầu năm &gt;&gt; HNX</t>
        </is>
      </c>
      <c r="E1527" s="386" t="inlineStr">
        <is>
          <t>Nhà đầu tư &gt;&gt; Giao dịch chứng chỉ quỹ của nhà đầu tư nước ngoài &gt;&gt; Tổng mua và bán &gt;&gt; Lũy kế đầu năm &gt;&gt; HNX</t>
        </is>
      </c>
      <c r="F1527" s="386" t="inlineStr">
        <is>
          <t>Data Explorer</t>
        </is>
      </c>
      <c r="G1527" s="386" t="inlineStr">
        <is>
          <t>Chỉ tiêu cơ sở</t>
        </is>
      </c>
      <c r="H1527" s="386" t="inlineStr">
        <is>
          <t>TB</t>
        </is>
      </c>
      <c r="I1527" s="386" t="inlineStr">
        <is>
          <t>Ngày, CTCK</t>
        </is>
      </c>
      <c r="J1527" s="395" t="inlineStr">
        <is>
          <t>SCMS</t>
        </is>
      </c>
      <c r="K1527" s="395" t="n"/>
      <c r="L1527" s="395" t="inlineStr">
        <is>
          <t>X</t>
        </is>
      </c>
      <c r="M1527" s="395" t="n"/>
      <c r="N1527" s="395" t="inlineStr">
        <is>
          <t>Done</t>
        </is>
      </c>
      <c r="O1527" s="401" t="n"/>
      <c r="P1527" s="395" t="n"/>
      <c r="S1527" s="395" t="n"/>
      <c r="U1527" s="386" t="n"/>
      <c r="V1527" s="395" t="n"/>
      <c r="W1527" s="395" t="n"/>
      <c r="X1527" s="395" t="n"/>
      <c r="Y1527" s="38" t="n"/>
      <c r="Z1527" s="395" t="n"/>
      <c r="AA1527" s="395" t="n"/>
      <c r="AB1527" s="395" t="n"/>
      <c r="AC1527" s="395" t="n"/>
      <c r="AD1527" s="395" t="n"/>
      <c r="AE1527" s="395" t="n"/>
    </row>
    <row r="1528" ht="70" customHeight="1" s="380">
      <c r="A1528" s="73" t="n">
        <v>78</v>
      </c>
      <c r="B1528" s="386" t="n"/>
      <c r="C1528" s="386" t="inlineStr">
        <is>
          <t>Báo cáo theo Thông tư 121/2020/TT-BTC &gt;&gt; Giao dịch chứng khoán niêm yết/đăng ký giao dịch</t>
        </is>
      </c>
      <c r="D1528" s="386" t="inlineStr">
        <is>
          <t>Nhà đầu tư &gt;&gt; Giao dịch chứng chỉ quỹ của nhà đầu tư nước ngoài &gt;&gt; Tổng mua và bán &gt;&gt; Lũy kế đầu năm &gt;&gt; HSX</t>
        </is>
      </c>
      <c r="E1528" s="386" t="inlineStr">
        <is>
          <t>Nhà đầu tư &gt;&gt; Giao dịch chứng chỉ quỹ của nhà đầu tư nước ngoài &gt;&gt; Tổng mua và bán &gt;&gt; Lũy kế đầu năm &gt;&gt; HSX</t>
        </is>
      </c>
      <c r="F1528" s="386" t="inlineStr">
        <is>
          <t>Data Explorer</t>
        </is>
      </c>
      <c r="G1528" s="386" t="inlineStr">
        <is>
          <t>Chỉ tiêu cơ sở</t>
        </is>
      </c>
      <c r="H1528" s="386" t="inlineStr">
        <is>
          <t>TB</t>
        </is>
      </c>
      <c r="I1528" s="386" t="inlineStr">
        <is>
          <t>Ngày, CTCK</t>
        </is>
      </c>
      <c r="J1528" s="395" t="inlineStr">
        <is>
          <t>SCMS</t>
        </is>
      </c>
      <c r="K1528" s="395" t="n"/>
      <c r="L1528" s="395" t="inlineStr">
        <is>
          <t>X</t>
        </is>
      </c>
      <c r="M1528" s="395" t="n"/>
      <c r="N1528" s="395" t="inlineStr">
        <is>
          <t>Done</t>
        </is>
      </c>
      <c r="O1528" s="401" t="n"/>
      <c r="P1528" s="395" t="n"/>
      <c r="S1528" s="395" t="n"/>
      <c r="U1528" s="386" t="n"/>
      <c r="V1528" s="395" t="n"/>
      <c r="W1528" s="395" t="n"/>
      <c r="X1528" s="395" t="n"/>
      <c r="Y1528" s="13" t="n"/>
      <c r="Z1528" s="395" t="n"/>
      <c r="AA1528" s="395" t="n"/>
      <c r="AB1528" s="395" t="n"/>
      <c r="AC1528" s="395" t="n"/>
      <c r="AD1528" s="395" t="n"/>
      <c r="AE1528" s="395" t="n"/>
    </row>
    <row r="1529" ht="56" customHeight="1" s="380">
      <c r="A1529" s="73" t="n">
        <v>78</v>
      </c>
      <c r="B1529" s="386" t="n"/>
      <c r="C1529" s="386" t="inlineStr">
        <is>
          <t>Báo cáo theo Thông tư 121/2020/TT-BTC &gt;&gt; Giao dịch chứng khoán niêm yết/đăng ký giao dịch</t>
        </is>
      </c>
      <c r="D1529" s="386" t="inlineStr">
        <is>
          <t>Tự doanh &gt;&gt; Cổ phiếu &gt;&gt; Tổng mua &gt;&gt; Trong kỳ &gt;&gt; HNX</t>
        </is>
      </c>
      <c r="E1529" s="386" t="inlineStr">
        <is>
          <t>Tự doanh &gt;&gt; Cổ phiếu &gt;&gt; Tổng mua &gt;&gt; Trong kỳ &gt;&gt; HNX</t>
        </is>
      </c>
      <c r="F1529" s="386" t="inlineStr">
        <is>
          <t>Data Explorer</t>
        </is>
      </c>
      <c r="G1529" s="386" t="inlineStr">
        <is>
          <t>Chỉ tiêu cơ sở</t>
        </is>
      </c>
      <c r="H1529" s="386" t="inlineStr">
        <is>
          <t>TB</t>
        </is>
      </c>
      <c r="I1529" s="386" t="inlineStr">
        <is>
          <t>Ngày, CTCK</t>
        </is>
      </c>
      <c r="J1529" s="395" t="inlineStr">
        <is>
          <t>SCMS</t>
        </is>
      </c>
      <c r="K1529" s="395" t="n"/>
      <c r="L1529" s="395" t="inlineStr">
        <is>
          <t>X</t>
        </is>
      </c>
      <c r="M1529" s="395" t="n"/>
      <c r="N1529" s="395" t="inlineStr">
        <is>
          <t>Done</t>
        </is>
      </c>
      <c r="O1529" s="401" t="n"/>
      <c r="P1529" s="395" t="n"/>
      <c r="S1529" s="395" t="n"/>
      <c r="U1529" s="386" t="n"/>
      <c r="V1529" s="395" t="n"/>
      <c r="W1529" s="395" t="n"/>
      <c r="X1529" s="395" t="n"/>
      <c r="Y1529" s="13" t="n"/>
      <c r="Z1529" s="395" t="n"/>
      <c r="AA1529" s="395" t="n"/>
      <c r="AB1529" s="395" t="n"/>
      <c r="AC1529" s="395" t="n"/>
      <c r="AD1529" s="395" t="n"/>
      <c r="AE1529" s="395" t="n"/>
    </row>
    <row r="1530" ht="56" customHeight="1" s="380">
      <c r="A1530" s="73" t="n">
        <v>78</v>
      </c>
      <c r="B1530" s="386" t="n"/>
      <c r="C1530" s="386" t="inlineStr">
        <is>
          <t>Báo cáo theo Thông tư 121/2020/TT-BTC &gt;&gt; Giao dịch chứng khoán niêm yết/đăng ký giao dịch</t>
        </is>
      </c>
      <c r="D1530" s="386" t="inlineStr">
        <is>
          <t>Tự doanh &gt;&gt; Cổ phiếu &gt;&gt; Tổng mua &gt;&gt; Trong kỳ &gt;&gt; HSX</t>
        </is>
      </c>
      <c r="E1530" s="386" t="inlineStr">
        <is>
          <t>Tự doanh &gt;&gt; Cổ phiếu &gt;&gt; Tổng mua &gt;&gt; Trong kỳ &gt;&gt; HSX</t>
        </is>
      </c>
      <c r="F1530" s="386" t="inlineStr">
        <is>
          <t>Data Explorer</t>
        </is>
      </c>
      <c r="G1530" s="386" t="inlineStr">
        <is>
          <t>Chỉ tiêu cơ sở</t>
        </is>
      </c>
      <c r="H1530" s="386" t="inlineStr">
        <is>
          <t>TB</t>
        </is>
      </c>
      <c r="I1530" s="386" t="inlineStr">
        <is>
          <t>Ngày, CTCK</t>
        </is>
      </c>
      <c r="J1530" s="395" t="inlineStr">
        <is>
          <t>SCMS</t>
        </is>
      </c>
      <c r="K1530" s="395" t="n"/>
      <c r="L1530" s="395" t="inlineStr">
        <is>
          <t>X</t>
        </is>
      </c>
      <c r="M1530" s="395" t="n"/>
      <c r="N1530" s="395" t="inlineStr">
        <is>
          <t>Done</t>
        </is>
      </c>
      <c r="O1530" s="401" t="n"/>
      <c r="P1530" s="395" t="n"/>
      <c r="S1530" s="395" t="n"/>
      <c r="U1530" s="386" t="n"/>
      <c r="V1530" s="395" t="n"/>
      <c r="W1530" s="395" t="n"/>
      <c r="X1530" s="395" t="n"/>
      <c r="Y1530" s="13" t="n"/>
      <c r="Z1530" s="395" t="n"/>
      <c r="AA1530" s="395" t="n"/>
      <c r="AB1530" s="395" t="n"/>
      <c r="AC1530" s="395" t="n"/>
      <c r="AD1530" s="395" t="n"/>
      <c r="AE1530" s="395" t="n"/>
    </row>
    <row r="1531" ht="56" customHeight="1" s="380">
      <c r="A1531" s="73" t="n">
        <v>78</v>
      </c>
      <c r="B1531" s="386" t="n"/>
      <c r="C1531" s="386" t="inlineStr">
        <is>
          <t>Báo cáo theo Thông tư 121/2020/TT-BTC &gt;&gt; Giao dịch chứng khoán niêm yết/đăng ký giao dịch</t>
        </is>
      </c>
      <c r="D1531" s="386" t="inlineStr">
        <is>
          <t>Tự doanh &gt;&gt; Cổ phiếu &gt;&gt; Tổng mua &gt;&gt; Lũy kế đầu năm &gt;&gt; HNX</t>
        </is>
      </c>
      <c r="E1531" s="386" t="inlineStr">
        <is>
          <t>Tự doanh &gt;&gt; Cổ phiếu &gt;&gt; Tổng mua &gt;&gt; Lũy kế đầu năm &gt;&gt; HNX</t>
        </is>
      </c>
      <c r="F1531" s="386" t="inlineStr">
        <is>
          <t>Data Explorer</t>
        </is>
      </c>
      <c r="G1531" s="386" t="inlineStr">
        <is>
          <t>Chỉ tiêu cơ sở</t>
        </is>
      </c>
      <c r="H1531" s="386" t="inlineStr">
        <is>
          <t>TB</t>
        </is>
      </c>
      <c r="I1531" s="386" t="inlineStr">
        <is>
          <t>Ngày, CTCK</t>
        </is>
      </c>
      <c r="J1531" s="395" t="inlineStr">
        <is>
          <t>SCMS</t>
        </is>
      </c>
      <c r="K1531" s="395" t="n"/>
      <c r="L1531" s="395" t="inlineStr">
        <is>
          <t>X</t>
        </is>
      </c>
      <c r="M1531" s="395" t="n"/>
      <c r="N1531" s="395" t="inlineStr">
        <is>
          <t>Done</t>
        </is>
      </c>
      <c r="O1531" s="401" t="n"/>
      <c r="P1531" s="395" t="n"/>
      <c r="S1531" s="395" t="n"/>
      <c r="U1531" s="386" t="n"/>
      <c r="V1531" s="395" t="n"/>
      <c r="W1531" s="395" t="n"/>
      <c r="X1531" s="395" t="n"/>
      <c r="Y1531" s="13" t="n"/>
      <c r="Z1531" s="395" t="n"/>
      <c r="AA1531" s="395" t="n"/>
      <c r="AB1531" s="395" t="n"/>
      <c r="AC1531" s="395" t="n"/>
      <c r="AD1531" s="395" t="n"/>
      <c r="AE1531" s="395" t="n"/>
    </row>
    <row r="1532" ht="56" customHeight="1" s="380">
      <c r="A1532" s="73" t="n">
        <v>78</v>
      </c>
      <c r="B1532" s="386" t="n"/>
      <c r="C1532" s="386" t="inlineStr">
        <is>
          <t>Báo cáo theo Thông tư 121/2020/TT-BTC &gt;&gt; Giao dịch chứng khoán niêm yết/đăng ký giao dịch</t>
        </is>
      </c>
      <c r="D1532" s="386" t="inlineStr">
        <is>
          <t>Tự doanh &gt;&gt; Cổ phiếu &gt;&gt; Tổng mua &gt;&gt; Lũy kế đầu năm &gt;&gt; HSX</t>
        </is>
      </c>
      <c r="E1532" s="386" t="inlineStr">
        <is>
          <t>Tự doanh &gt;&gt; Cổ phiếu &gt;&gt; Tổng mua &gt;&gt; Lũy kế đầu năm &gt;&gt; HSX</t>
        </is>
      </c>
      <c r="F1532" s="386" t="inlineStr">
        <is>
          <t>Data Explorer</t>
        </is>
      </c>
      <c r="G1532" s="386" t="inlineStr">
        <is>
          <t>Chỉ tiêu cơ sở</t>
        </is>
      </c>
      <c r="H1532" s="386" t="inlineStr">
        <is>
          <t>TB</t>
        </is>
      </c>
      <c r="I1532" s="386" t="inlineStr">
        <is>
          <t>Ngày, CTCK</t>
        </is>
      </c>
      <c r="J1532" s="395" t="inlineStr">
        <is>
          <t>SCMS</t>
        </is>
      </c>
      <c r="K1532" s="395" t="n"/>
      <c r="L1532" s="395" t="inlineStr">
        <is>
          <t>X</t>
        </is>
      </c>
      <c r="M1532" s="395" t="n"/>
      <c r="N1532" s="395" t="inlineStr">
        <is>
          <t>Done</t>
        </is>
      </c>
      <c r="O1532" s="401" t="n"/>
      <c r="P1532" s="395" t="n"/>
      <c r="S1532" s="395" t="n"/>
      <c r="U1532" s="386" t="n"/>
      <c r="V1532" s="395" t="n"/>
      <c r="W1532" s="395" t="n"/>
      <c r="X1532" s="395" t="n"/>
      <c r="Y1532" s="13" t="n"/>
      <c r="Z1532" s="395" t="n"/>
      <c r="AA1532" s="395" t="n"/>
      <c r="AB1532" s="395" t="n"/>
      <c r="AC1532" s="395" t="n"/>
      <c r="AD1532" s="395" t="n"/>
      <c r="AE1532" s="395" t="n"/>
    </row>
    <row r="1533" ht="56" customHeight="1" s="380">
      <c r="A1533" s="73" t="n">
        <v>78</v>
      </c>
      <c r="B1533" s="386" t="n"/>
      <c r="C1533" s="386" t="inlineStr">
        <is>
          <t>Báo cáo theo Thông tư 121/2020/TT-BTC &gt;&gt; Giao dịch chứng khoán niêm yết/đăng ký giao dịch</t>
        </is>
      </c>
      <c r="D1533" s="386" t="inlineStr">
        <is>
          <t>Tự doanh &gt;&gt; Cổ phiếu &gt;&gt; Tổng bán &gt;&gt; Trong kỳ &gt;&gt; HNX</t>
        </is>
      </c>
      <c r="E1533" s="386" t="inlineStr">
        <is>
          <t>Tự doanh &gt;&gt; Cổ phiếu &gt;&gt; Tổng bán &gt;&gt; Trong kỳ &gt;&gt; HNX</t>
        </is>
      </c>
      <c r="F1533" s="386" t="inlineStr">
        <is>
          <t>Data Explorer</t>
        </is>
      </c>
      <c r="G1533" s="386" t="inlineStr">
        <is>
          <t>Chỉ tiêu cơ sở</t>
        </is>
      </c>
      <c r="H1533" s="386" t="inlineStr">
        <is>
          <t>TB</t>
        </is>
      </c>
      <c r="I1533" s="386" t="inlineStr">
        <is>
          <t>Ngày, CTCK</t>
        </is>
      </c>
      <c r="J1533" s="395" t="inlineStr">
        <is>
          <t>SCMS</t>
        </is>
      </c>
      <c r="K1533" s="395" t="n"/>
      <c r="L1533" s="395" t="inlineStr">
        <is>
          <t>X</t>
        </is>
      </c>
      <c r="M1533" s="395" t="n"/>
      <c r="N1533" s="395" t="inlineStr">
        <is>
          <t>Done</t>
        </is>
      </c>
      <c r="O1533" s="401" t="n"/>
      <c r="P1533" s="395" t="n"/>
      <c r="S1533" s="395" t="n"/>
      <c r="U1533" s="386" t="n"/>
      <c r="V1533" s="395" t="n"/>
      <c r="W1533" s="395" t="n"/>
      <c r="X1533" s="395" t="n"/>
      <c r="Y1533" s="38" t="n"/>
      <c r="Z1533" s="395" t="n"/>
      <c r="AA1533" s="395" t="n"/>
      <c r="AB1533" s="395" t="n"/>
      <c r="AC1533" s="395" t="n"/>
      <c r="AD1533" s="395" t="n"/>
      <c r="AE1533" s="395" t="n"/>
    </row>
    <row r="1534" ht="56" customHeight="1" s="380">
      <c r="A1534" s="73" t="n">
        <v>78</v>
      </c>
      <c r="B1534" s="386" t="n"/>
      <c r="C1534" s="386" t="inlineStr">
        <is>
          <t>Báo cáo theo Thông tư 121/2020/TT-BTC &gt;&gt; Giao dịch chứng khoán niêm yết/đăng ký giao dịch</t>
        </is>
      </c>
      <c r="D1534" s="386" t="inlineStr">
        <is>
          <t>Tự doanh &gt;&gt; Cổ phiếu &gt;&gt; Tổng bán &gt;&gt; Trong kỳ &gt;&gt; HSX</t>
        </is>
      </c>
      <c r="E1534" s="386" t="inlineStr">
        <is>
          <t>Tự doanh &gt;&gt; Cổ phiếu &gt;&gt; Tổng bán &gt;&gt; Trong kỳ &gt;&gt; HSX</t>
        </is>
      </c>
      <c r="F1534" s="386" t="inlineStr">
        <is>
          <t>Data Explorer</t>
        </is>
      </c>
      <c r="G1534" s="386" t="inlineStr">
        <is>
          <t>Chỉ tiêu cơ sở</t>
        </is>
      </c>
      <c r="H1534" s="386" t="inlineStr">
        <is>
          <t>TB</t>
        </is>
      </c>
      <c r="I1534" s="386" t="inlineStr">
        <is>
          <t>Ngày, CTCK</t>
        </is>
      </c>
      <c r="J1534" s="395" t="inlineStr">
        <is>
          <t>SCMS</t>
        </is>
      </c>
      <c r="K1534" s="395" t="n"/>
      <c r="L1534" s="395" t="inlineStr">
        <is>
          <t>X</t>
        </is>
      </c>
      <c r="M1534" s="395" t="n"/>
      <c r="N1534" s="395" t="inlineStr">
        <is>
          <t>Done</t>
        </is>
      </c>
      <c r="O1534" s="401" t="n"/>
      <c r="P1534" s="395" t="n"/>
      <c r="S1534" s="395" t="n"/>
      <c r="U1534" s="386" t="n"/>
      <c r="V1534" s="395" t="n"/>
      <c r="W1534" s="395" t="n"/>
      <c r="X1534" s="395" t="n"/>
      <c r="Y1534" s="13" t="n"/>
      <c r="Z1534" s="395" t="n"/>
      <c r="AA1534" s="395" t="n"/>
      <c r="AB1534" s="395" t="n"/>
      <c r="AC1534" s="395" t="n"/>
      <c r="AD1534" s="395" t="n"/>
      <c r="AE1534" s="395" t="n"/>
    </row>
    <row r="1535" ht="56" customHeight="1" s="380">
      <c r="A1535" s="73" t="n">
        <v>78</v>
      </c>
      <c r="B1535" s="386" t="n"/>
      <c r="C1535" s="386" t="inlineStr">
        <is>
          <t>Báo cáo theo Thông tư 121/2020/TT-BTC &gt;&gt; Giao dịch chứng khoán niêm yết/đăng ký giao dịch</t>
        </is>
      </c>
      <c r="D1535" s="386" t="inlineStr">
        <is>
          <t>Tự doanh &gt;&gt; Cổ phiếu &gt;&gt; Tổng bán &gt;&gt; Lũy kế đầu năm &gt;&gt; HNX</t>
        </is>
      </c>
      <c r="E1535" s="386" t="inlineStr">
        <is>
          <t>Tự doanh &gt;&gt; Cổ phiếu &gt;&gt; Tổng bán &gt;&gt; Lũy kế đầu năm &gt;&gt; HNX</t>
        </is>
      </c>
      <c r="F1535" s="386" t="inlineStr">
        <is>
          <t>Data Explorer</t>
        </is>
      </c>
      <c r="G1535" s="386" t="inlineStr">
        <is>
          <t>Chỉ tiêu cơ sở</t>
        </is>
      </c>
      <c r="H1535" s="386" t="inlineStr">
        <is>
          <t>TB</t>
        </is>
      </c>
      <c r="I1535" s="386" t="inlineStr">
        <is>
          <t>Ngày, CTCK</t>
        </is>
      </c>
      <c r="J1535" s="395" t="inlineStr">
        <is>
          <t>SCMS</t>
        </is>
      </c>
      <c r="K1535" s="395" t="n"/>
      <c r="L1535" s="395" t="inlineStr">
        <is>
          <t>X</t>
        </is>
      </c>
      <c r="M1535" s="395" t="n"/>
      <c r="N1535" s="395" t="inlineStr">
        <is>
          <t>Done</t>
        </is>
      </c>
      <c r="O1535" s="401" t="n"/>
      <c r="P1535" s="395" t="n"/>
      <c r="S1535" s="395" t="n"/>
      <c r="U1535" s="386" t="n"/>
      <c r="V1535" s="395" t="n"/>
      <c r="W1535" s="395" t="n"/>
      <c r="X1535" s="395" t="n"/>
      <c r="Y1535" s="13" t="n"/>
      <c r="Z1535" s="395" t="n"/>
      <c r="AA1535" s="395" t="n"/>
      <c r="AB1535" s="395" t="n"/>
      <c r="AC1535" s="395" t="n"/>
      <c r="AD1535" s="395" t="n"/>
      <c r="AE1535" s="395" t="n"/>
    </row>
    <row r="1536" ht="56" customHeight="1" s="380">
      <c r="A1536" s="73" t="n">
        <v>78</v>
      </c>
      <c r="B1536" s="386" t="n"/>
      <c r="C1536" s="386" t="inlineStr">
        <is>
          <t>Báo cáo theo Thông tư 121/2020/TT-BTC &gt;&gt; Giao dịch chứng khoán niêm yết/đăng ký giao dịch</t>
        </is>
      </c>
      <c r="D1536" s="386" t="inlineStr">
        <is>
          <t>Tự doanh &gt;&gt; Cổ phiếu &gt;&gt; Tổng bán &gt;&gt; Lũy kế đầu năm &gt;&gt; HSX</t>
        </is>
      </c>
      <c r="E1536" s="386" t="inlineStr">
        <is>
          <t>Tự doanh &gt;&gt; Cổ phiếu &gt;&gt; Tổng bán &gt;&gt; Lũy kế đầu năm &gt;&gt; HSX</t>
        </is>
      </c>
      <c r="F1536" s="386" t="inlineStr">
        <is>
          <t>Data Explorer</t>
        </is>
      </c>
      <c r="G1536" s="386" t="inlineStr">
        <is>
          <t>Chỉ tiêu cơ sở</t>
        </is>
      </c>
      <c r="H1536" s="386" t="inlineStr">
        <is>
          <t>TB</t>
        </is>
      </c>
      <c r="I1536" s="386" t="inlineStr">
        <is>
          <t>Ngày, CTCK</t>
        </is>
      </c>
      <c r="J1536" s="395" t="inlineStr">
        <is>
          <t>SCMS</t>
        </is>
      </c>
      <c r="K1536" s="395" t="n"/>
      <c r="L1536" s="395" t="inlineStr">
        <is>
          <t>X</t>
        </is>
      </c>
      <c r="M1536" s="395" t="n"/>
      <c r="N1536" s="395" t="inlineStr">
        <is>
          <t>Done</t>
        </is>
      </c>
      <c r="O1536" s="401" t="n"/>
      <c r="P1536" s="395" t="n"/>
      <c r="S1536" s="395" t="n"/>
      <c r="U1536" s="386" t="n"/>
      <c r="V1536" s="395" t="n"/>
      <c r="W1536" s="395" t="n"/>
      <c r="X1536" s="395" t="n"/>
      <c r="Y1536" s="13" t="n"/>
      <c r="Z1536" s="395" t="n"/>
      <c r="AA1536" s="395" t="n"/>
      <c r="AB1536" s="395" t="n"/>
      <c r="AC1536" s="395" t="n"/>
      <c r="AD1536" s="395" t="n"/>
      <c r="AE1536" s="395" t="n"/>
    </row>
    <row r="1537" ht="56" customHeight="1" s="380">
      <c r="A1537" s="73" t="n">
        <v>78</v>
      </c>
      <c r="B1537" s="386" t="n"/>
      <c r="C1537" s="386" t="inlineStr">
        <is>
          <t>Báo cáo theo Thông tư 121/2020/TT-BTC &gt;&gt; Giao dịch chứng khoán niêm yết/đăng ký giao dịch</t>
        </is>
      </c>
      <c r="D1537" s="386" t="inlineStr">
        <is>
          <t>Tự doanh &gt;&gt; Cổ phiếu &gt;&gt; Tổng mua và bán &gt;&gt; Trong kỳ &gt;&gt; HNX</t>
        </is>
      </c>
      <c r="E1537" s="386" t="inlineStr">
        <is>
          <t>Tự doanh &gt;&gt; Cổ phiếu &gt;&gt; Tổng mua và bán &gt;&gt; Trong kỳ &gt;&gt; HNX</t>
        </is>
      </c>
      <c r="F1537" s="386" t="inlineStr">
        <is>
          <t>Data Explorer</t>
        </is>
      </c>
      <c r="G1537" s="386" t="inlineStr">
        <is>
          <t>Chỉ tiêu cơ sở</t>
        </is>
      </c>
      <c r="H1537" s="386" t="inlineStr">
        <is>
          <t>TB</t>
        </is>
      </c>
      <c r="I1537" s="386" t="inlineStr">
        <is>
          <t>Ngày, CTCK</t>
        </is>
      </c>
      <c r="J1537" s="395" t="inlineStr">
        <is>
          <t>SCMS</t>
        </is>
      </c>
      <c r="K1537" s="395" t="n"/>
      <c r="L1537" s="395" t="inlineStr">
        <is>
          <t>X</t>
        </is>
      </c>
      <c r="M1537" s="395" t="n"/>
      <c r="N1537" s="395" t="inlineStr">
        <is>
          <t>Done</t>
        </is>
      </c>
      <c r="O1537" s="401" t="n"/>
      <c r="P1537" s="395" t="n"/>
      <c r="S1537" s="395" t="n"/>
      <c r="U1537" s="386" t="n"/>
      <c r="V1537" s="395" t="n"/>
      <c r="W1537" s="395" t="n"/>
      <c r="X1537" s="395" t="n"/>
      <c r="Y1537" s="13" t="n"/>
      <c r="Z1537" s="395" t="n"/>
      <c r="AA1537" s="395" t="n"/>
      <c r="AB1537" s="395" t="n"/>
      <c r="AC1537" s="395" t="n"/>
      <c r="AD1537" s="395" t="n"/>
      <c r="AE1537" s="395" t="n"/>
    </row>
    <row r="1538" ht="56" customHeight="1" s="380">
      <c r="A1538" s="73" t="n">
        <v>78</v>
      </c>
      <c r="B1538" s="386" t="n"/>
      <c r="C1538" s="386" t="inlineStr">
        <is>
          <t>Báo cáo theo Thông tư 121/2020/TT-BTC &gt;&gt; Giao dịch chứng khoán niêm yết/đăng ký giao dịch</t>
        </is>
      </c>
      <c r="D1538" s="386" t="inlineStr">
        <is>
          <t>Tự doanh &gt;&gt; Cổ phiếu &gt;&gt; Tổng mua và bán &gt;&gt; Trong kỳ &gt;&gt; HSX</t>
        </is>
      </c>
      <c r="E1538" s="386" t="inlineStr">
        <is>
          <t>Tự doanh &gt;&gt; Cổ phiếu &gt;&gt; Tổng mua và bán &gt;&gt; Trong kỳ &gt;&gt; HSX</t>
        </is>
      </c>
      <c r="F1538" s="386" t="inlineStr">
        <is>
          <t>Data Explorer</t>
        </is>
      </c>
      <c r="G1538" s="386" t="inlineStr">
        <is>
          <t>Chỉ tiêu cơ sở</t>
        </is>
      </c>
      <c r="H1538" s="386" t="inlineStr">
        <is>
          <t>TB</t>
        </is>
      </c>
      <c r="I1538" s="386" t="inlineStr">
        <is>
          <t>Ngày, CTCK</t>
        </is>
      </c>
      <c r="J1538" s="395" t="inlineStr">
        <is>
          <t>SCMS</t>
        </is>
      </c>
      <c r="K1538" s="395" t="n"/>
      <c r="L1538" s="395" t="inlineStr">
        <is>
          <t>X</t>
        </is>
      </c>
      <c r="M1538" s="395" t="n"/>
      <c r="N1538" s="395" t="inlineStr">
        <is>
          <t>Done</t>
        </is>
      </c>
      <c r="O1538" s="401" t="n"/>
      <c r="P1538" s="395" t="n"/>
      <c r="S1538" s="395" t="n"/>
      <c r="U1538" s="386" t="n"/>
      <c r="V1538" s="395" t="n"/>
      <c r="W1538" s="395" t="n"/>
      <c r="X1538" s="395" t="n"/>
      <c r="Y1538" s="13" t="n"/>
      <c r="Z1538" s="395" t="n"/>
      <c r="AA1538" s="395" t="n"/>
      <c r="AB1538" s="395" t="n"/>
      <c r="AC1538" s="395" t="n"/>
      <c r="AD1538" s="395" t="n"/>
      <c r="AE1538" s="395" t="n"/>
    </row>
    <row r="1539" ht="56" customHeight="1" s="380">
      <c r="A1539" s="73" t="n">
        <v>78</v>
      </c>
      <c r="B1539" s="386" t="n"/>
      <c r="C1539" s="386" t="inlineStr">
        <is>
          <t>Báo cáo theo Thông tư 121/2020/TT-BTC &gt;&gt; Giao dịch chứng khoán niêm yết/đăng ký giao dịch</t>
        </is>
      </c>
      <c r="D1539" s="386" t="inlineStr">
        <is>
          <t>Tự doanh &gt;&gt; Cổ phiếu &gt;&gt; Tổng mua và bán &gt;&gt; Lũy kế đầu năm &gt;&gt; HNX</t>
        </is>
      </c>
      <c r="E1539" s="386" t="inlineStr">
        <is>
          <t>Tự doanh &gt;&gt; Cổ phiếu &gt;&gt; Tổng mua và bán &gt;&gt; Lũy kế đầu năm &gt;&gt; HNX</t>
        </is>
      </c>
      <c r="F1539" s="386" t="inlineStr">
        <is>
          <t>Data Explorer</t>
        </is>
      </c>
      <c r="G1539" s="386" t="inlineStr">
        <is>
          <t>Chỉ tiêu cơ sở</t>
        </is>
      </c>
      <c r="H1539" s="386" t="inlineStr">
        <is>
          <t>TB</t>
        </is>
      </c>
      <c r="I1539" s="386" t="inlineStr">
        <is>
          <t>Ngày, CTCK</t>
        </is>
      </c>
      <c r="J1539" s="395" t="inlineStr">
        <is>
          <t>SCMS</t>
        </is>
      </c>
      <c r="K1539" s="395" t="n"/>
      <c r="L1539" s="395" t="inlineStr">
        <is>
          <t>X</t>
        </is>
      </c>
      <c r="M1539" s="395" t="n"/>
      <c r="N1539" s="395" t="inlineStr">
        <is>
          <t>Done</t>
        </is>
      </c>
      <c r="O1539" s="401" t="n"/>
      <c r="P1539" s="395" t="n"/>
      <c r="S1539" s="395" t="n"/>
      <c r="U1539" s="386" t="n"/>
      <c r="V1539" s="395" t="n"/>
      <c r="W1539" s="395" t="n"/>
      <c r="X1539" s="395" t="n"/>
      <c r="Y1539" s="38" t="n"/>
      <c r="Z1539" s="395" t="n"/>
      <c r="AA1539" s="395" t="n"/>
      <c r="AB1539" s="395" t="n"/>
      <c r="AC1539" s="395" t="n"/>
      <c r="AD1539" s="395" t="n"/>
      <c r="AE1539" s="395" t="n"/>
    </row>
    <row r="1540" ht="56" customHeight="1" s="380">
      <c r="A1540" s="73" t="n">
        <v>78</v>
      </c>
      <c r="B1540" s="386" t="n"/>
      <c r="C1540" s="386" t="inlineStr">
        <is>
          <t>Báo cáo theo Thông tư 121/2020/TT-BTC &gt;&gt; Giao dịch chứng khoán niêm yết/đăng ký giao dịch</t>
        </is>
      </c>
      <c r="D1540" s="386" t="inlineStr">
        <is>
          <t>Tự doanh &gt;&gt; Cổ phiếu &gt;&gt; Tổng mua và bán &gt;&gt; Lũy kế đầu năm &gt;&gt; HSX</t>
        </is>
      </c>
      <c r="E1540" s="386" t="inlineStr">
        <is>
          <t>Tự doanh &gt;&gt; Cổ phiếu &gt;&gt; Tổng mua và bán &gt;&gt; Lũy kế đầu năm &gt;&gt; HSX</t>
        </is>
      </c>
      <c r="F1540" s="386" t="inlineStr">
        <is>
          <t>Data Explorer</t>
        </is>
      </c>
      <c r="G1540" s="386" t="inlineStr">
        <is>
          <t>Chỉ tiêu cơ sở</t>
        </is>
      </c>
      <c r="H1540" s="386" t="inlineStr">
        <is>
          <t>TB</t>
        </is>
      </c>
      <c r="I1540" s="386" t="inlineStr">
        <is>
          <t>Ngày, CTCK</t>
        </is>
      </c>
      <c r="J1540" s="395" t="inlineStr">
        <is>
          <t>SCMS</t>
        </is>
      </c>
      <c r="K1540" s="395" t="n"/>
      <c r="L1540" s="395" t="inlineStr">
        <is>
          <t>X</t>
        </is>
      </c>
      <c r="M1540" s="395" t="n"/>
      <c r="N1540" s="395" t="inlineStr">
        <is>
          <t>Done</t>
        </is>
      </c>
      <c r="O1540" s="401" t="n"/>
      <c r="P1540" s="395" t="n"/>
      <c r="S1540" s="395" t="n"/>
      <c r="U1540" s="386" t="n"/>
      <c r="V1540" s="395" t="n"/>
      <c r="W1540" s="395" t="n"/>
      <c r="X1540" s="395" t="n"/>
      <c r="Y1540" s="13" t="n"/>
      <c r="Z1540" s="395" t="n"/>
      <c r="AA1540" s="395" t="n"/>
      <c r="AB1540" s="395" t="n"/>
      <c r="AC1540" s="395" t="n"/>
      <c r="AD1540" s="395" t="n"/>
      <c r="AE1540" s="395" t="n"/>
    </row>
    <row r="1541" ht="56" customHeight="1" s="380">
      <c r="A1541" s="73" t="n">
        <v>78</v>
      </c>
      <c r="B1541" s="386" t="n"/>
      <c r="C1541" s="386" t="inlineStr">
        <is>
          <t>Báo cáo theo Thông tư 121/2020/TT-BTC &gt;&gt; Giao dịch chứng khoán niêm yết/đăng ký giao dịch</t>
        </is>
      </c>
      <c r="D1541" s="386" t="inlineStr">
        <is>
          <t>Tự doanh &gt;&gt; Trái phiếu &gt;&gt; Tổng mua &gt;&gt; Trong kỳ &gt;&gt; HNX</t>
        </is>
      </c>
      <c r="E1541" s="386" t="inlineStr">
        <is>
          <t>Tự doanh &gt;&gt; Trái phiếu &gt;&gt; Tổng mua &gt;&gt; Trong kỳ &gt;&gt; HNX</t>
        </is>
      </c>
      <c r="F1541" s="386" t="inlineStr">
        <is>
          <t>Data Explorer</t>
        </is>
      </c>
      <c r="G1541" s="386" t="inlineStr">
        <is>
          <t>Chỉ tiêu cơ sở</t>
        </is>
      </c>
      <c r="H1541" s="386" t="inlineStr">
        <is>
          <t>TB</t>
        </is>
      </c>
      <c r="I1541" s="386" t="inlineStr">
        <is>
          <t>Ngày, CTCK</t>
        </is>
      </c>
      <c r="J1541" s="395" t="inlineStr">
        <is>
          <t>SCMS</t>
        </is>
      </c>
      <c r="K1541" s="395" t="n"/>
      <c r="L1541" s="395" t="inlineStr">
        <is>
          <t>X</t>
        </is>
      </c>
      <c r="M1541" s="395" t="n"/>
      <c r="N1541" s="395" t="inlineStr">
        <is>
          <t>Done</t>
        </is>
      </c>
      <c r="O1541" s="401" t="n"/>
      <c r="P1541" s="395" t="n"/>
      <c r="S1541" s="395" t="n"/>
      <c r="U1541" s="386" t="n"/>
      <c r="V1541" s="395" t="n"/>
      <c r="W1541" s="395" t="n"/>
      <c r="X1541" s="395" t="n"/>
      <c r="Y1541" s="13" t="n"/>
      <c r="Z1541" s="395" t="n"/>
      <c r="AA1541" s="395" t="n"/>
      <c r="AB1541" s="395" t="n"/>
      <c r="AC1541" s="395" t="n"/>
      <c r="AD1541" s="395" t="n"/>
      <c r="AE1541" s="395" t="n"/>
    </row>
    <row r="1542" ht="56" customHeight="1" s="380">
      <c r="A1542" s="73" t="n">
        <v>78</v>
      </c>
      <c r="B1542" s="386" t="n"/>
      <c r="C1542" s="386" t="inlineStr">
        <is>
          <t>Báo cáo theo Thông tư 121/2020/TT-BTC &gt;&gt; Giao dịch chứng khoán niêm yết/đăng ký giao dịch</t>
        </is>
      </c>
      <c r="D1542" s="386" t="inlineStr">
        <is>
          <t>Tự doanh &gt;&gt; Trái phiếu &gt;&gt; Tổng mua &gt;&gt; Trong kỳ &gt;&gt; HSX</t>
        </is>
      </c>
      <c r="E1542" s="386" t="inlineStr">
        <is>
          <t>Tự doanh &gt;&gt; Trái phiếu &gt;&gt; Tổng mua &gt;&gt; Trong kỳ &gt;&gt; HSX</t>
        </is>
      </c>
      <c r="F1542" s="386" t="inlineStr">
        <is>
          <t>Data Explorer</t>
        </is>
      </c>
      <c r="G1542" s="386" t="inlineStr">
        <is>
          <t>Chỉ tiêu cơ sở</t>
        </is>
      </c>
      <c r="H1542" s="386" t="inlineStr">
        <is>
          <t>TB</t>
        </is>
      </c>
      <c r="I1542" s="386" t="inlineStr">
        <is>
          <t>Ngày, CTCK</t>
        </is>
      </c>
      <c r="J1542" s="395" t="inlineStr">
        <is>
          <t>SCMS</t>
        </is>
      </c>
      <c r="K1542" s="395" t="n"/>
      <c r="L1542" s="395" t="inlineStr">
        <is>
          <t>X</t>
        </is>
      </c>
      <c r="M1542" s="395" t="n"/>
      <c r="N1542" s="395" t="inlineStr">
        <is>
          <t>Done</t>
        </is>
      </c>
      <c r="O1542" s="401" t="n"/>
      <c r="P1542" s="395" t="n"/>
      <c r="S1542" s="395" t="n"/>
      <c r="U1542" s="386" t="n"/>
      <c r="V1542" s="395" t="n"/>
      <c r="W1542" s="395" t="n"/>
      <c r="X1542" s="395" t="n"/>
      <c r="Y1542" s="13" t="n"/>
      <c r="Z1542" s="395" t="n"/>
      <c r="AA1542" s="395" t="n"/>
      <c r="AB1542" s="395" t="n"/>
      <c r="AC1542" s="395" t="n"/>
      <c r="AD1542" s="395" t="n"/>
      <c r="AE1542" s="395" t="n"/>
    </row>
    <row r="1543" ht="56" customHeight="1" s="380">
      <c r="A1543" s="73" t="n">
        <v>78</v>
      </c>
      <c r="B1543" s="386" t="n"/>
      <c r="C1543" s="386" t="inlineStr">
        <is>
          <t>Báo cáo theo Thông tư 121/2020/TT-BTC &gt;&gt; Giao dịch chứng khoán niêm yết/đăng ký giao dịch</t>
        </is>
      </c>
      <c r="D1543" s="386" t="inlineStr">
        <is>
          <t>Tự doanh &gt;&gt; Trái phiếu &gt;&gt; Tổng mua &gt;&gt; Lũy kế đầu năm &gt;&gt; HNX</t>
        </is>
      </c>
      <c r="E1543" s="386" t="inlineStr">
        <is>
          <t>Tự doanh &gt;&gt; Trái phiếu &gt;&gt; Tổng mua &gt;&gt; Lũy kế đầu năm &gt;&gt; HNX</t>
        </is>
      </c>
      <c r="F1543" s="386" t="inlineStr">
        <is>
          <t>Data Explorer</t>
        </is>
      </c>
      <c r="G1543" s="386" t="inlineStr">
        <is>
          <t>Chỉ tiêu cơ sở</t>
        </is>
      </c>
      <c r="H1543" s="386" t="inlineStr">
        <is>
          <t>TB</t>
        </is>
      </c>
      <c r="I1543" s="386" t="inlineStr">
        <is>
          <t>Ngày, CTCK</t>
        </is>
      </c>
      <c r="J1543" s="395" t="inlineStr">
        <is>
          <t>SCMS</t>
        </is>
      </c>
      <c r="K1543" s="395" t="n"/>
      <c r="L1543" s="395" t="inlineStr">
        <is>
          <t>X</t>
        </is>
      </c>
      <c r="M1543" s="395" t="n"/>
      <c r="N1543" s="395" t="inlineStr">
        <is>
          <t>Done</t>
        </is>
      </c>
      <c r="O1543" s="401" t="n"/>
      <c r="P1543" s="395" t="n"/>
      <c r="S1543" s="395" t="n"/>
      <c r="U1543" s="386" t="n"/>
      <c r="V1543" s="395" t="n"/>
      <c r="W1543" s="395" t="n"/>
      <c r="X1543" s="395" t="n"/>
      <c r="Y1543" s="13" t="n"/>
      <c r="Z1543" s="395" t="n"/>
      <c r="AA1543" s="395" t="n"/>
      <c r="AB1543" s="395" t="n"/>
      <c r="AC1543" s="395" t="n"/>
      <c r="AD1543" s="395" t="n"/>
      <c r="AE1543" s="395" t="n"/>
    </row>
    <row r="1544" ht="56" customHeight="1" s="380">
      <c r="A1544" s="73" t="n">
        <v>78</v>
      </c>
      <c r="B1544" s="386" t="n"/>
      <c r="C1544" s="386" t="inlineStr">
        <is>
          <t>Báo cáo theo Thông tư 121/2020/TT-BTC &gt;&gt; Giao dịch chứng khoán niêm yết/đăng ký giao dịch</t>
        </is>
      </c>
      <c r="D1544" s="386" t="inlineStr">
        <is>
          <t>Tự doanh &gt;&gt; Trái phiếu &gt;&gt; Tổng mua &gt;&gt; Lũy kế đầu năm &gt;&gt; HSX</t>
        </is>
      </c>
      <c r="E1544" s="386" t="inlineStr">
        <is>
          <t>Tự doanh &gt;&gt; Trái phiếu &gt;&gt; Tổng mua &gt;&gt; Lũy kế đầu năm &gt;&gt; HSX</t>
        </is>
      </c>
      <c r="F1544" s="386" t="inlineStr">
        <is>
          <t>Data Explorer</t>
        </is>
      </c>
      <c r="G1544" s="386" t="inlineStr">
        <is>
          <t>Chỉ tiêu cơ sở</t>
        </is>
      </c>
      <c r="H1544" s="386" t="inlineStr">
        <is>
          <t>TB</t>
        </is>
      </c>
      <c r="I1544" s="386" t="inlineStr">
        <is>
          <t>Ngày, CTCK</t>
        </is>
      </c>
      <c r="J1544" s="395" t="inlineStr">
        <is>
          <t>SCMS</t>
        </is>
      </c>
      <c r="K1544" s="395" t="n"/>
      <c r="L1544" s="395" t="inlineStr">
        <is>
          <t>X</t>
        </is>
      </c>
      <c r="M1544" s="395" t="n"/>
      <c r="N1544" s="395" t="inlineStr">
        <is>
          <t>Done</t>
        </is>
      </c>
      <c r="O1544" s="401" t="n"/>
      <c r="P1544" s="395" t="n"/>
      <c r="S1544" s="395" t="n"/>
      <c r="U1544" s="386" t="n"/>
      <c r="V1544" s="395" t="n"/>
      <c r="W1544" s="395" t="n"/>
      <c r="X1544" s="395" t="n"/>
      <c r="Y1544" s="13" t="n"/>
      <c r="Z1544" s="395" t="n"/>
      <c r="AA1544" s="395" t="n"/>
      <c r="AB1544" s="395" t="n"/>
      <c r="AC1544" s="395" t="n"/>
      <c r="AD1544" s="395" t="n"/>
      <c r="AE1544" s="395" t="n"/>
    </row>
    <row r="1545" ht="56" customHeight="1" s="380">
      <c r="A1545" s="73" t="n">
        <v>78</v>
      </c>
      <c r="B1545" s="386" t="n"/>
      <c r="C1545" s="386" t="inlineStr">
        <is>
          <t>Báo cáo theo Thông tư 121/2020/TT-BTC &gt;&gt; Giao dịch chứng khoán niêm yết/đăng ký giao dịch</t>
        </is>
      </c>
      <c r="D1545" s="386" t="inlineStr">
        <is>
          <t>Tự doanh &gt;&gt; Trái phiếu &gt;&gt; Tổng bán &gt;&gt; Trong kỳ &gt;&gt; HNX</t>
        </is>
      </c>
      <c r="E1545" s="386" t="inlineStr">
        <is>
          <t>Tự doanh &gt;&gt; Trái phiếu &gt;&gt; Tổng bán &gt;&gt; Trong kỳ &gt;&gt; HNX</t>
        </is>
      </c>
      <c r="F1545" s="386" t="inlineStr">
        <is>
          <t>Data Explorer</t>
        </is>
      </c>
      <c r="G1545" s="386" t="inlineStr">
        <is>
          <t>Chỉ tiêu cơ sở</t>
        </is>
      </c>
      <c r="H1545" s="386" t="inlineStr">
        <is>
          <t>TB</t>
        </is>
      </c>
      <c r="I1545" s="386" t="inlineStr">
        <is>
          <t>Ngày, CTCK</t>
        </is>
      </c>
      <c r="J1545" s="395" t="inlineStr">
        <is>
          <t>SCMS</t>
        </is>
      </c>
      <c r="K1545" s="395" t="n"/>
      <c r="L1545" s="395" t="inlineStr">
        <is>
          <t>X</t>
        </is>
      </c>
      <c r="M1545" s="395" t="n"/>
      <c r="N1545" s="395" t="inlineStr">
        <is>
          <t>Done</t>
        </is>
      </c>
      <c r="O1545" s="401" t="n"/>
      <c r="P1545" s="395" t="n"/>
      <c r="S1545" s="395" t="n"/>
      <c r="U1545" s="386" t="n"/>
      <c r="V1545" s="395" t="n"/>
      <c r="W1545" s="395" t="n"/>
      <c r="X1545" s="395" t="n"/>
      <c r="Y1545" s="14" t="n"/>
      <c r="Z1545" s="395" t="n"/>
      <c r="AA1545" s="395" t="n"/>
      <c r="AB1545" s="395" t="n"/>
      <c r="AC1545" s="395" t="n"/>
      <c r="AD1545" s="395" t="n"/>
      <c r="AE1545" s="395" t="n"/>
    </row>
    <row r="1546" ht="56" customHeight="1" s="380">
      <c r="A1546" s="73" t="n">
        <v>78</v>
      </c>
      <c r="B1546" s="386" t="n"/>
      <c r="C1546" s="386" t="inlineStr">
        <is>
          <t>Báo cáo theo Thông tư 121/2020/TT-BTC &gt;&gt; Giao dịch chứng khoán niêm yết/đăng ký giao dịch</t>
        </is>
      </c>
      <c r="D1546" s="386" t="inlineStr">
        <is>
          <t>Tự doanh &gt;&gt; Trái phiếu &gt;&gt; Tổng bán &gt;&gt; Trong kỳ &gt;&gt; HSX</t>
        </is>
      </c>
      <c r="E1546" s="386" t="inlineStr">
        <is>
          <t>Tự doanh &gt;&gt; Trái phiếu &gt;&gt; Tổng bán &gt;&gt; Trong kỳ &gt;&gt; HSX</t>
        </is>
      </c>
      <c r="F1546" s="386" t="inlineStr">
        <is>
          <t>Data Explorer</t>
        </is>
      </c>
      <c r="G1546" s="386" t="inlineStr">
        <is>
          <t>Chỉ tiêu cơ sở</t>
        </is>
      </c>
      <c r="H1546" s="386" t="inlineStr">
        <is>
          <t>TB</t>
        </is>
      </c>
      <c r="I1546" s="386" t="inlineStr">
        <is>
          <t>Ngày, CTCK</t>
        </is>
      </c>
      <c r="J1546" s="395" t="inlineStr">
        <is>
          <t>SCMS</t>
        </is>
      </c>
      <c r="K1546" s="395" t="n"/>
      <c r="L1546" s="395" t="inlineStr">
        <is>
          <t>X</t>
        </is>
      </c>
      <c r="M1546" s="395" t="n"/>
      <c r="N1546" s="395" t="inlineStr">
        <is>
          <t>Done</t>
        </is>
      </c>
      <c r="O1546" s="401" t="n"/>
      <c r="P1546" s="395" t="n"/>
      <c r="S1546" s="395" t="n"/>
      <c r="U1546" s="386" t="n"/>
      <c r="V1546" s="395" t="n"/>
      <c r="W1546" s="395" t="n"/>
      <c r="X1546" s="395" t="n"/>
      <c r="Y1546" s="13" t="n"/>
      <c r="Z1546" s="395" t="n"/>
      <c r="AA1546" s="395" t="n"/>
      <c r="AB1546" s="395" t="n"/>
      <c r="AC1546" s="395" t="n"/>
      <c r="AD1546" s="395" t="n"/>
      <c r="AE1546" s="395" t="n"/>
    </row>
    <row r="1547" ht="56" customHeight="1" s="380">
      <c r="A1547" s="73" t="n">
        <v>78</v>
      </c>
      <c r="B1547" s="386" t="n"/>
      <c r="C1547" s="386" t="inlineStr">
        <is>
          <t>Báo cáo theo Thông tư 121/2020/TT-BTC &gt;&gt; Giao dịch chứng khoán niêm yết/đăng ký giao dịch</t>
        </is>
      </c>
      <c r="D1547" s="386" t="inlineStr">
        <is>
          <t>Tự doanh &gt;&gt; Trái phiếu &gt;&gt; Tổng bán &gt;&gt; Lũy kế đầu năm &gt;&gt; HNX</t>
        </is>
      </c>
      <c r="E1547" s="386" t="inlineStr">
        <is>
          <t>Tự doanh &gt;&gt; Trái phiếu &gt;&gt; Tổng bán &gt;&gt; Lũy kế đầu năm &gt;&gt; HNX</t>
        </is>
      </c>
      <c r="F1547" s="386" t="inlineStr">
        <is>
          <t>Data Explorer</t>
        </is>
      </c>
      <c r="G1547" s="386" t="inlineStr">
        <is>
          <t>Chỉ tiêu cơ sở</t>
        </is>
      </c>
      <c r="H1547" s="386" t="inlineStr">
        <is>
          <t>TB</t>
        </is>
      </c>
      <c r="I1547" s="386" t="inlineStr">
        <is>
          <t>Ngày, CTCK</t>
        </is>
      </c>
      <c r="J1547" s="395" t="inlineStr">
        <is>
          <t>SCMS</t>
        </is>
      </c>
      <c r="K1547" s="395" t="n"/>
      <c r="L1547" s="395" t="inlineStr">
        <is>
          <t>X</t>
        </is>
      </c>
      <c r="M1547" s="395" t="n"/>
      <c r="N1547" s="395" t="inlineStr">
        <is>
          <t>Done</t>
        </is>
      </c>
      <c r="O1547" s="401" t="n"/>
      <c r="P1547" s="395" t="n"/>
      <c r="S1547" s="395" t="n"/>
      <c r="U1547" s="386" t="n"/>
      <c r="V1547" s="395" t="n"/>
      <c r="W1547" s="395" t="n"/>
      <c r="X1547" s="395" t="n"/>
      <c r="Y1547" s="13" t="n"/>
      <c r="Z1547" s="395" t="n"/>
      <c r="AA1547" s="395" t="n"/>
      <c r="AB1547" s="395" t="n"/>
      <c r="AC1547" s="395" t="n"/>
      <c r="AD1547" s="395" t="n"/>
      <c r="AE1547" s="395" t="n"/>
    </row>
    <row r="1548" ht="56" customHeight="1" s="380">
      <c r="A1548" s="73" t="n">
        <v>78</v>
      </c>
      <c r="B1548" s="386" t="n"/>
      <c r="C1548" s="386" t="inlineStr">
        <is>
          <t>Báo cáo theo Thông tư 121/2020/TT-BTC &gt;&gt; Giao dịch chứng khoán niêm yết/đăng ký giao dịch</t>
        </is>
      </c>
      <c r="D1548" s="386" t="inlineStr">
        <is>
          <t>Tự doanh &gt;&gt; Trái phiếu &gt;&gt; Tổng bán &gt;&gt; Lũy kế đầu năm &gt;&gt; HSX</t>
        </is>
      </c>
      <c r="E1548" s="386" t="inlineStr">
        <is>
          <t>Tự doanh &gt;&gt; Trái phiếu &gt;&gt; Tổng bán &gt;&gt; Lũy kế đầu năm &gt;&gt; HSX</t>
        </is>
      </c>
      <c r="F1548" s="386" t="inlineStr">
        <is>
          <t>Data Explorer</t>
        </is>
      </c>
      <c r="G1548" s="386" t="inlineStr">
        <is>
          <t>Chỉ tiêu cơ sở</t>
        </is>
      </c>
      <c r="H1548" s="386" t="inlineStr">
        <is>
          <t>TB</t>
        </is>
      </c>
      <c r="I1548" s="386" t="inlineStr">
        <is>
          <t>Ngày, CTCK</t>
        </is>
      </c>
      <c r="J1548" s="395" t="inlineStr">
        <is>
          <t>SCMS</t>
        </is>
      </c>
      <c r="K1548" s="395" t="n"/>
      <c r="L1548" s="395" t="inlineStr">
        <is>
          <t>X</t>
        </is>
      </c>
      <c r="M1548" s="395" t="n"/>
      <c r="N1548" s="395" t="inlineStr">
        <is>
          <t>Done</t>
        </is>
      </c>
      <c r="O1548" s="401" t="n"/>
      <c r="P1548" s="395" t="n"/>
      <c r="S1548" s="395" t="n"/>
      <c r="U1548" s="386" t="n"/>
      <c r="V1548" s="395" t="n"/>
      <c r="W1548" s="395" t="n"/>
      <c r="X1548" s="395" t="n"/>
      <c r="Y1548" s="13" t="n"/>
      <c r="Z1548" s="395" t="n"/>
      <c r="AA1548" s="395" t="n"/>
      <c r="AB1548" s="395" t="n"/>
      <c r="AC1548" s="395" t="n"/>
      <c r="AD1548" s="395" t="n"/>
      <c r="AE1548" s="395" t="n"/>
    </row>
    <row r="1549" ht="56" customHeight="1" s="380">
      <c r="A1549" s="73" t="n">
        <v>78</v>
      </c>
      <c r="B1549" s="386" t="n"/>
      <c r="C1549" s="386" t="inlineStr">
        <is>
          <t>Báo cáo theo Thông tư 121/2020/TT-BTC &gt;&gt; Giao dịch chứng khoán niêm yết/đăng ký giao dịch</t>
        </is>
      </c>
      <c r="D1549" s="386" t="inlineStr">
        <is>
          <t>Tự doanh &gt;&gt; Trái phiếu &gt;&gt; Tổng mua và bán &gt;&gt; Trong kỳ &gt;&gt; HNX</t>
        </is>
      </c>
      <c r="E1549" s="386" t="inlineStr">
        <is>
          <t>Tự doanh &gt;&gt; Trái phiếu &gt;&gt; Tổng mua và bán &gt;&gt; Trong kỳ &gt;&gt; HNX</t>
        </is>
      </c>
      <c r="F1549" s="386" t="inlineStr">
        <is>
          <t>Data Explorer</t>
        </is>
      </c>
      <c r="G1549" s="386" t="inlineStr">
        <is>
          <t>Chỉ tiêu cơ sở</t>
        </is>
      </c>
      <c r="H1549" s="386" t="inlineStr">
        <is>
          <t>TB</t>
        </is>
      </c>
      <c r="I1549" s="386" t="inlineStr">
        <is>
          <t>Ngày, CTCK</t>
        </is>
      </c>
      <c r="J1549" s="395" t="inlineStr">
        <is>
          <t>SCMS</t>
        </is>
      </c>
      <c r="K1549" s="395" t="n"/>
      <c r="L1549" s="395" t="inlineStr">
        <is>
          <t>X</t>
        </is>
      </c>
      <c r="M1549" s="395" t="n"/>
      <c r="N1549" s="395" t="inlineStr">
        <is>
          <t>Done</t>
        </is>
      </c>
      <c r="O1549" s="401" t="n"/>
      <c r="P1549" s="395" t="n"/>
      <c r="S1549" s="395" t="n"/>
      <c r="U1549" s="386" t="n"/>
      <c r="V1549" s="395" t="n"/>
      <c r="W1549" s="395" t="n"/>
      <c r="X1549" s="395" t="n"/>
      <c r="Y1549" s="13" t="n"/>
      <c r="Z1549" s="395" t="n"/>
      <c r="AA1549" s="395" t="n"/>
      <c r="AB1549" s="395" t="n"/>
      <c r="AC1549" s="395" t="n"/>
      <c r="AD1549" s="395" t="n"/>
      <c r="AE1549" s="395" t="n"/>
    </row>
    <row r="1550" ht="56" customHeight="1" s="380">
      <c r="A1550" s="73" t="n">
        <v>78</v>
      </c>
      <c r="B1550" s="386" t="n"/>
      <c r="C1550" s="386" t="inlineStr">
        <is>
          <t>Báo cáo theo Thông tư 121/2020/TT-BTC &gt;&gt; Giao dịch chứng khoán niêm yết/đăng ký giao dịch</t>
        </is>
      </c>
      <c r="D1550" s="386" t="inlineStr">
        <is>
          <t>Tự doanh &gt;&gt; Trái phiếu &gt;&gt; Tổng mua và bán &gt;&gt; Trong kỳ &gt;&gt; HSX</t>
        </is>
      </c>
      <c r="E1550" s="386" t="inlineStr">
        <is>
          <t>Tự doanh &gt;&gt; Trái phiếu &gt;&gt; Tổng mua và bán &gt;&gt; Trong kỳ &gt;&gt; HSX</t>
        </is>
      </c>
      <c r="F1550" s="386" t="inlineStr">
        <is>
          <t>Data Explorer</t>
        </is>
      </c>
      <c r="G1550" s="386" t="inlineStr">
        <is>
          <t>Chỉ tiêu cơ sở</t>
        </is>
      </c>
      <c r="H1550" s="386" t="inlineStr">
        <is>
          <t>TB</t>
        </is>
      </c>
      <c r="I1550" s="386" t="inlineStr">
        <is>
          <t>Ngày, CTCK</t>
        </is>
      </c>
      <c r="J1550" s="395" t="inlineStr">
        <is>
          <t>SCMS</t>
        </is>
      </c>
      <c r="K1550" s="395" t="n"/>
      <c r="L1550" s="395" t="inlineStr">
        <is>
          <t>X</t>
        </is>
      </c>
      <c r="M1550" s="395" t="n"/>
      <c r="N1550" s="395" t="inlineStr">
        <is>
          <t>Done</t>
        </is>
      </c>
      <c r="O1550" s="401" t="n"/>
      <c r="P1550" s="395" t="n"/>
      <c r="S1550" s="395" t="n"/>
      <c r="U1550" s="386" t="n"/>
      <c r="V1550" s="395" t="n"/>
      <c r="W1550" s="395" t="n"/>
      <c r="X1550" s="395" t="n"/>
      <c r="Y1550" s="13" t="n"/>
      <c r="Z1550" s="395" t="n"/>
      <c r="AA1550" s="395" t="n"/>
      <c r="AB1550" s="395" t="n"/>
      <c r="AC1550" s="395" t="n"/>
      <c r="AD1550" s="395" t="n"/>
      <c r="AE1550" s="395" t="n"/>
    </row>
    <row r="1551" ht="56" customHeight="1" s="380">
      <c r="A1551" s="73" t="n">
        <v>78</v>
      </c>
      <c r="B1551" s="386" t="n"/>
      <c r="C1551" s="386" t="inlineStr">
        <is>
          <t>Báo cáo theo Thông tư 121/2020/TT-BTC &gt;&gt; Giao dịch chứng khoán niêm yết/đăng ký giao dịch</t>
        </is>
      </c>
      <c r="D1551" s="386" t="inlineStr">
        <is>
          <t>Tự doanh &gt;&gt; Trái phiếu &gt;&gt; Tổng mua và bán &gt;&gt; Lũy kế đầu năm &gt;&gt; HNX</t>
        </is>
      </c>
      <c r="E1551" s="386" t="inlineStr">
        <is>
          <t>Tự doanh &gt;&gt; Trái phiếu &gt;&gt; Tổng mua và bán &gt;&gt; Lũy kế đầu năm &gt;&gt; HNX</t>
        </is>
      </c>
      <c r="F1551" s="386" t="inlineStr">
        <is>
          <t>Data Explorer</t>
        </is>
      </c>
      <c r="G1551" s="386" t="inlineStr">
        <is>
          <t>Chỉ tiêu cơ sở</t>
        </is>
      </c>
      <c r="H1551" s="386" t="inlineStr">
        <is>
          <t>TB</t>
        </is>
      </c>
      <c r="I1551" s="386" t="inlineStr">
        <is>
          <t>Ngày, CTCK</t>
        </is>
      </c>
      <c r="J1551" s="395" t="inlineStr">
        <is>
          <t>SCMS</t>
        </is>
      </c>
      <c r="K1551" s="395" t="n"/>
      <c r="L1551" s="395" t="inlineStr">
        <is>
          <t>X</t>
        </is>
      </c>
      <c r="M1551" s="395" t="n"/>
      <c r="N1551" s="395" t="inlineStr">
        <is>
          <t>Done</t>
        </is>
      </c>
      <c r="O1551" s="401" t="n"/>
      <c r="P1551" s="395" t="n"/>
      <c r="S1551" s="395" t="n"/>
      <c r="U1551" s="386" t="n"/>
      <c r="V1551" s="395" t="n"/>
      <c r="W1551" s="395" t="n"/>
      <c r="X1551" s="395" t="n"/>
      <c r="Y1551" s="14" t="n"/>
      <c r="Z1551" s="395" t="n"/>
      <c r="AA1551" s="395" t="n"/>
      <c r="AB1551" s="395" t="n"/>
      <c r="AC1551" s="395" t="n"/>
      <c r="AD1551" s="395" t="n"/>
      <c r="AE1551" s="395" t="n"/>
    </row>
    <row r="1552" ht="56" customHeight="1" s="380">
      <c r="A1552" s="73" t="n">
        <v>78</v>
      </c>
      <c r="B1552" s="386" t="n"/>
      <c r="C1552" s="386" t="inlineStr">
        <is>
          <t>Báo cáo theo Thông tư 121/2020/TT-BTC &gt;&gt; Giao dịch chứng khoán niêm yết/đăng ký giao dịch</t>
        </is>
      </c>
      <c r="D1552" s="386" t="inlineStr">
        <is>
          <t>Tự doanh &gt;&gt; Trái phiếu &gt; Tổng mua và bán &gt;&gt; Lũy kế đầu năm &gt;&gt; HSX</t>
        </is>
      </c>
      <c r="E1552" s="386" t="inlineStr">
        <is>
          <t>Tự doanh &gt;&gt; Trái phiếu &gt; Tổng mua và bán &gt;&gt; Lũy kế đầu năm &gt;&gt; HSX</t>
        </is>
      </c>
      <c r="F1552" s="386" t="inlineStr">
        <is>
          <t>Data Explorer</t>
        </is>
      </c>
      <c r="G1552" s="386" t="inlineStr">
        <is>
          <t>Chỉ tiêu cơ sở</t>
        </is>
      </c>
      <c r="H1552" s="386" t="inlineStr">
        <is>
          <t>TB</t>
        </is>
      </c>
      <c r="I1552" s="386" t="inlineStr">
        <is>
          <t>Ngày, CTCK</t>
        </is>
      </c>
      <c r="J1552" s="395" t="inlineStr">
        <is>
          <t>SCMS</t>
        </is>
      </c>
      <c r="K1552" s="395" t="n"/>
      <c r="L1552" s="395" t="inlineStr">
        <is>
          <t>X</t>
        </is>
      </c>
      <c r="M1552" s="395" t="n"/>
      <c r="N1552" s="395" t="inlineStr">
        <is>
          <t>Done</t>
        </is>
      </c>
      <c r="O1552" s="401" t="n"/>
      <c r="P1552" s="395" t="n"/>
      <c r="S1552" s="395" t="n"/>
      <c r="U1552" s="386" t="n"/>
      <c r="V1552" s="395" t="n"/>
      <c r="W1552" s="395" t="n"/>
      <c r="X1552" s="395" t="n"/>
      <c r="Y1552" s="13" t="n"/>
      <c r="Z1552" s="395" t="n"/>
      <c r="AA1552" s="395" t="n"/>
      <c r="AB1552" s="395" t="n"/>
      <c r="AC1552" s="395" t="n"/>
      <c r="AD1552" s="395" t="n"/>
      <c r="AE1552" s="395" t="n"/>
    </row>
    <row r="1553" ht="56" customHeight="1" s="380">
      <c r="A1553" s="73" t="n">
        <v>78</v>
      </c>
      <c r="B1553" s="386" t="n"/>
      <c r="C1553" s="386" t="inlineStr">
        <is>
          <t>Báo cáo theo Thông tư 121/2020/TT-BTC &gt;&gt; Giao dịch chứng khoán niêm yết/đăng ký giao dịch</t>
        </is>
      </c>
      <c r="D1553" s="386" t="inlineStr">
        <is>
          <t>Tự doanh &gt;&gt; Chứng chỉ quỹ &gt;&gt; Tổng mua &gt;&gt; Trong kỳ &gt;&gt; HNX</t>
        </is>
      </c>
      <c r="E1553" s="386" t="inlineStr">
        <is>
          <t>Tự doanh &gt;&gt; Chứng chỉ quỹ &gt;&gt; Tổng mua &gt;&gt; Trong kỳ &gt;&gt; HNX</t>
        </is>
      </c>
      <c r="F1553" s="386" t="inlineStr">
        <is>
          <t>Data Explorer</t>
        </is>
      </c>
      <c r="G1553" s="386" t="inlineStr">
        <is>
          <t>Chỉ tiêu cơ sở</t>
        </is>
      </c>
      <c r="H1553" s="386" t="inlineStr">
        <is>
          <t>TB</t>
        </is>
      </c>
      <c r="I1553" s="386" t="inlineStr">
        <is>
          <t>Ngày, CTCK</t>
        </is>
      </c>
      <c r="J1553" s="395" t="inlineStr">
        <is>
          <t>SCMS</t>
        </is>
      </c>
      <c r="K1553" s="395" t="n"/>
      <c r="L1553" s="395" t="inlineStr">
        <is>
          <t>X</t>
        </is>
      </c>
      <c r="M1553" s="395" t="n"/>
      <c r="N1553" s="395" t="inlineStr">
        <is>
          <t>Done</t>
        </is>
      </c>
      <c r="O1553" s="401" t="n"/>
      <c r="P1553" s="395" t="n"/>
      <c r="S1553" s="395" t="n"/>
      <c r="U1553" s="386" t="n"/>
      <c r="V1553" s="395" t="n"/>
      <c r="W1553" s="395" t="n"/>
      <c r="X1553" s="395" t="n"/>
      <c r="Y1553" s="13" t="n"/>
      <c r="Z1553" s="395" t="n"/>
      <c r="AA1553" s="395" t="n"/>
      <c r="AB1553" s="395" t="n"/>
      <c r="AC1553" s="395" t="n"/>
      <c r="AD1553" s="395" t="n"/>
      <c r="AE1553" s="395" t="n"/>
    </row>
    <row r="1554" ht="56" customHeight="1" s="380">
      <c r="A1554" s="73" t="n">
        <v>78</v>
      </c>
      <c r="B1554" s="386" t="n"/>
      <c r="C1554" s="386" t="inlineStr">
        <is>
          <t>Báo cáo theo Thông tư 121/2020/TT-BTC &gt;&gt; Giao dịch chứng khoán niêm yết/đăng ký giao dịch</t>
        </is>
      </c>
      <c r="D1554" s="386" t="inlineStr">
        <is>
          <t>Tự doanh &gt;&gt; Chứng chỉ quỹ &gt;&gt; Tổng mua &gt;&gt; Trong kỳ &gt;&gt; HSX</t>
        </is>
      </c>
      <c r="E1554" s="386" t="inlineStr">
        <is>
          <t>Tự doanh &gt;&gt; Chứng chỉ quỹ &gt;&gt; Tổng mua &gt;&gt; Trong kỳ &gt;&gt; HSX</t>
        </is>
      </c>
      <c r="F1554" s="386" t="inlineStr">
        <is>
          <t>Data Explorer</t>
        </is>
      </c>
      <c r="G1554" s="386" t="inlineStr">
        <is>
          <t>Chỉ tiêu cơ sở</t>
        </is>
      </c>
      <c r="H1554" s="386" t="inlineStr">
        <is>
          <t>TB</t>
        </is>
      </c>
      <c r="I1554" s="386" t="inlineStr">
        <is>
          <t>Ngày, CTCK</t>
        </is>
      </c>
      <c r="J1554" s="395" t="inlineStr">
        <is>
          <t>SCMS</t>
        </is>
      </c>
      <c r="K1554" s="395" t="n"/>
      <c r="L1554" s="395" t="inlineStr">
        <is>
          <t>X</t>
        </is>
      </c>
      <c r="M1554" s="395" t="n"/>
      <c r="N1554" s="395" t="inlineStr">
        <is>
          <t>Done</t>
        </is>
      </c>
      <c r="O1554" s="401" t="n"/>
      <c r="P1554" s="395" t="n"/>
      <c r="S1554" s="395" t="n"/>
      <c r="U1554" s="386" t="n"/>
      <c r="V1554" s="395" t="n"/>
      <c r="W1554" s="395" t="n"/>
      <c r="X1554" s="395" t="n"/>
      <c r="Y1554" s="13" t="n"/>
      <c r="Z1554" s="395" t="n"/>
      <c r="AA1554" s="395" t="n"/>
      <c r="AB1554" s="395" t="n"/>
      <c r="AC1554" s="395" t="n"/>
      <c r="AD1554" s="395" t="n"/>
      <c r="AE1554" s="395" t="n"/>
    </row>
    <row r="1555" ht="56" customHeight="1" s="380">
      <c r="A1555" s="73" t="n">
        <v>78</v>
      </c>
      <c r="B1555" s="386" t="n"/>
      <c r="C1555" s="386" t="inlineStr">
        <is>
          <t>Báo cáo theo Thông tư 121/2020/TT-BTC &gt;&gt; Giao dịch chứng khoán niêm yết/đăng ký giao dịch</t>
        </is>
      </c>
      <c r="D1555" s="386" t="inlineStr">
        <is>
          <t>Tự doanh &gt;&gt; Chứng chỉ quỹ &gt;&gt; Tổng mua &gt;&gt; Lũy kế đầu năm &gt;&gt; HNX</t>
        </is>
      </c>
      <c r="E1555" s="386" t="inlineStr">
        <is>
          <t>Tự doanh &gt;&gt; Chứng chỉ quỹ &gt;&gt; Tổng mua &gt;&gt; Lũy kế đầu năm &gt;&gt; HNX</t>
        </is>
      </c>
      <c r="F1555" s="386" t="inlineStr">
        <is>
          <t>Data Explorer</t>
        </is>
      </c>
      <c r="G1555" s="386" t="inlineStr">
        <is>
          <t>Chỉ tiêu cơ sở</t>
        </is>
      </c>
      <c r="H1555" s="386" t="inlineStr">
        <is>
          <t>TB</t>
        </is>
      </c>
      <c r="I1555" s="386" t="inlineStr">
        <is>
          <t>Ngày, CTCK</t>
        </is>
      </c>
      <c r="J1555" s="395" t="inlineStr">
        <is>
          <t>SCMS</t>
        </is>
      </c>
      <c r="K1555" s="395" t="n"/>
      <c r="L1555" s="395" t="inlineStr">
        <is>
          <t>X</t>
        </is>
      </c>
      <c r="M1555" s="395" t="n"/>
      <c r="N1555" s="395" t="inlineStr">
        <is>
          <t>Done</t>
        </is>
      </c>
      <c r="O1555" s="401" t="n"/>
      <c r="P1555" s="395" t="n"/>
      <c r="S1555" s="395" t="n"/>
      <c r="U1555" s="386" t="n"/>
      <c r="V1555" s="395" t="n"/>
      <c r="W1555" s="395" t="n"/>
      <c r="X1555" s="395" t="n"/>
      <c r="Y1555" s="13" t="n"/>
      <c r="Z1555" s="395" t="n"/>
      <c r="AA1555" s="395" t="n"/>
      <c r="AB1555" s="395" t="n"/>
      <c r="AC1555" s="395" t="n"/>
      <c r="AD1555" s="395" t="n"/>
      <c r="AE1555" s="395" t="n"/>
    </row>
    <row r="1556" ht="56" customHeight="1" s="380">
      <c r="A1556" s="73" t="n">
        <v>78</v>
      </c>
      <c r="B1556" s="386" t="n"/>
      <c r="C1556" s="386" t="inlineStr">
        <is>
          <t>Báo cáo theo Thông tư 121/2020/TT-BTC &gt;&gt; Giao dịch chứng khoán niêm yết/đăng ký giao dịch</t>
        </is>
      </c>
      <c r="D1556" s="386" t="inlineStr">
        <is>
          <t>Tự doanh &gt;&gt; Chứng chỉ quỹ &gt;&gt; Tổng mua &gt;&gt; Lũy kế đầu năm &gt;&gt; HSX</t>
        </is>
      </c>
      <c r="E1556" s="386" t="inlineStr">
        <is>
          <t>Tự doanh &gt;&gt; Chứng chỉ quỹ &gt;&gt; Tổng mua &gt;&gt; Lũy kế đầu năm &gt;&gt; HSX</t>
        </is>
      </c>
      <c r="F1556" s="386" t="inlineStr">
        <is>
          <t>Data Explorer</t>
        </is>
      </c>
      <c r="G1556" s="386" t="inlineStr">
        <is>
          <t>Chỉ tiêu cơ sở</t>
        </is>
      </c>
      <c r="H1556" s="386" t="inlineStr">
        <is>
          <t>TB</t>
        </is>
      </c>
      <c r="I1556" s="386" t="inlineStr">
        <is>
          <t>Ngày, CTCK</t>
        </is>
      </c>
      <c r="J1556" s="395" t="inlineStr">
        <is>
          <t>SCMS</t>
        </is>
      </c>
      <c r="K1556" s="395" t="n"/>
      <c r="L1556" s="395" t="inlineStr">
        <is>
          <t>X</t>
        </is>
      </c>
      <c r="M1556" s="395" t="n"/>
      <c r="N1556" s="395" t="inlineStr">
        <is>
          <t>Done</t>
        </is>
      </c>
      <c r="O1556" s="401" t="n"/>
      <c r="P1556" s="395" t="n"/>
      <c r="S1556" s="395" t="n"/>
      <c r="U1556" s="386" t="n"/>
      <c r="V1556" s="395" t="n"/>
      <c r="W1556" s="395" t="n"/>
      <c r="X1556" s="395" t="n"/>
      <c r="Y1556" s="13" t="n"/>
      <c r="Z1556" s="395" t="n"/>
      <c r="AA1556" s="395" t="n"/>
      <c r="AB1556" s="395" t="n"/>
      <c r="AC1556" s="395" t="n"/>
      <c r="AD1556" s="395" t="n"/>
      <c r="AE1556" s="395" t="n"/>
    </row>
    <row r="1557" ht="56" customHeight="1" s="380">
      <c r="A1557" s="73" t="n">
        <v>78</v>
      </c>
      <c r="B1557" s="386" t="n"/>
      <c r="C1557" s="386" t="inlineStr">
        <is>
          <t>Báo cáo theo Thông tư 121/2020/TT-BTC &gt;&gt; Giao dịch chứng khoán niêm yết/đăng ký giao dịch</t>
        </is>
      </c>
      <c r="D1557" s="386" t="inlineStr">
        <is>
          <t>Tự doanh &gt;&gt; Chứng chỉ quỹ &gt;&gt; Tổng bán &gt;&gt; Trong kỳ &gt;&gt; HNX</t>
        </is>
      </c>
      <c r="E1557" s="386" t="inlineStr">
        <is>
          <t>Tự doanh &gt;&gt; Chứng chỉ quỹ &gt;&gt; Tổng bán &gt;&gt; Trong kỳ &gt;&gt; HNX</t>
        </is>
      </c>
      <c r="F1557" s="386" t="inlineStr">
        <is>
          <t>Data Explorer</t>
        </is>
      </c>
      <c r="G1557" s="386" t="inlineStr">
        <is>
          <t>Chỉ tiêu cơ sở</t>
        </is>
      </c>
      <c r="H1557" s="386" t="inlineStr">
        <is>
          <t>TB</t>
        </is>
      </c>
      <c r="I1557" s="386" t="inlineStr">
        <is>
          <t>Ngày, CTCK</t>
        </is>
      </c>
      <c r="J1557" s="395" t="inlineStr">
        <is>
          <t>SCMS</t>
        </is>
      </c>
      <c r="K1557" s="395" t="n"/>
      <c r="L1557" s="395" t="inlineStr">
        <is>
          <t>X</t>
        </is>
      </c>
      <c r="M1557" s="395" t="n"/>
      <c r="N1557" s="395" t="inlineStr">
        <is>
          <t>Done</t>
        </is>
      </c>
      <c r="O1557" s="401" t="n"/>
      <c r="P1557" s="395" t="n"/>
      <c r="S1557" s="395" t="n"/>
      <c r="U1557" s="386" t="n"/>
      <c r="V1557" s="395" t="n"/>
      <c r="W1557" s="395" t="n"/>
      <c r="X1557" s="395" t="n"/>
      <c r="Y1557" s="38" t="n"/>
      <c r="Z1557" s="395" t="n"/>
      <c r="AA1557" s="395" t="n"/>
      <c r="AB1557" s="395" t="n"/>
      <c r="AC1557" s="395" t="n"/>
      <c r="AD1557" s="395" t="n"/>
      <c r="AE1557" s="395" t="n"/>
    </row>
    <row r="1558" ht="56" customHeight="1" s="380">
      <c r="A1558" s="73" t="n">
        <v>78</v>
      </c>
      <c r="B1558" s="386" t="n"/>
      <c r="C1558" s="386" t="inlineStr">
        <is>
          <t>Báo cáo theo Thông tư 121/2020/TT-BTC &gt;&gt; Giao dịch chứng khoán niêm yết/đăng ký giao dịch</t>
        </is>
      </c>
      <c r="D1558" s="386" t="inlineStr">
        <is>
          <t>Tự doanh &gt;&gt; Chứng chỉ quỹ &gt;&gt; Tổng bán &gt;&gt; Trong kỳ &gt;&gt; HSX</t>
        </is>
      </c>
      <c r="E1558" s="386" t="inlineStr">
        <is>
          <t>Tự doanh &gt;&gt; Chứng chỉ quỹ &gt;&gt; Tổng bán &gt;&gt; Trong kỳ &gt;&gt; HSX</t>
        </is>
      </c>
      <c r="F1558" s="386" t="inlineStr">
        <is>
          <t>Data Explorer</t>
        </is>
      </c>
      <c r="G1558" s="386" t="inlineStr">
        <is>
          <t>Chỉ tiêu cơ sở</t>
        </is>
      </c>
      <c r="H1558" s="386" t="inlineStr">
        <is>
          <t>TB</t>
        </is>
      </c>
      <c r="I1558" s="386" t="inlineStr">
        <is>
          <t>Ngày, CTCK</t>
        </is>
      </c>
      <c r="J1558" s="395" t="inlineStr">
        <is>
          <t>SCMS</t>
        </is>
      </c>
      <c r="K1558" s="395" t="n"/>
      <c r="L1558" s="395" t="inlineStr">
        <is>
          <t>X</t>
        </is>
      </c>
      <c r="M1558" s="395" t="n"/>
      <c r="N1558" s="395" t="inlineStr">
        <is>
          <t>Done</t>
        </is>
      </c>
      <c r="O1558" s="401" t="n"/>
      <c r="P1558" s="395" t="n"/>
      <c r="S1558" s="395" t="n"/>
      <c r="U1558" s="386" t="n"/>
      <c r="V1558" s="395" t="n"/>
      <c r="W1558" s="395" t="n"/>
      <c r="X1558" s="395" t="n"/>
      <c r="Y1558" s="13" t="n"/>
      <c r="Z1558" s="395" t="n"/>
      <c r="AA1558" s="395" t="n"/>
      <c r="AB1558" s="395" t="n"/>
      <c r="AC1558" s="395" t="n"/>
      <c r="AD1558" s="395" t="n"/>
      <c r="AE1558" s="395" t="n"/>
    </row>
    <row r="1559" ht="56" customHeight="1" s="380">
      <c r="A1559" s="73" t="n">
        <v>78</v>
      </c>
      <c r="B1559" s="386" t="n"/>
      <c r="C1559" s="386" t="inlineStr">
        <is>
          <t>Báo cáo theo Thông tư 121/2020/TT-BTC &gt;&gt; Giao dịch chứng khoán niêm yết/đăng ký giao dịch</t>
        </is>
      </c>
      <c r="D1559" s="386" t="inlineStr">
        <is>
          <t>Tự doanh &gt;&gt; Chứng chỉ quỹ &gt;&gt; Tổng bán &gt;&gt; Lũy kế đầu năm &gt;&gt; HNX</t>
        </is>
      </c>
      <c r="E1559" s="386" t="inlineStr">
        <is>
          <t>Tự doanh &gt;&gt; Chứng chỉ quỹ &gt;&gt; Tổng bán &gt;&gt; Lũy kế đầu năm &gt;&gt; HNX</t>
        </is>
      </c>
      <c r="F1559" s="386" t="inlineStr">
        <is>
          <t>Data Explorer</t>
        </is>
      </c>
      <c r="G1559" s="386" t="inlineStr">
        <is>
          <t>Chỉ tiêu cơ sở</t>
        </is>
      </c>
      <c r="H1559" s="386" t="inlineStr">
        <is>
          <t>TB</t>
        </is>
      </c>
      <c r="I1559" s="386" t="inlineStr">
        <is>
          <t>Ngày, CTCK</t>
        </is>
      </c>
      <c r="J1559" s="395" t="inlineStr">
        <is>
          <t>SCMS</t>
        </is>
      </c>
      <c r="K1559" s="395" t="n"/>
      <c r="L1559" s="395" t="inlineStr">
        <is>
          <t>X</t>
        </is>
      </c>
      <c r="M1559" s="395" t="n"/>
      <c r="N1559" s="395" t="inlineStr">
        <is>
          <t>Done</t>
        </is>
      </c>
      <c r="O1559" s="401" t="n"/>
      <c r="P1559" s="395" t="n"/>
      <c r="S1559" s="395" t="n"/>
      <c r="U1559" s="386" t="n"/>
      <c r="V1559" s="395" t="n"/>
      <c r="W1559" s="395" t="n"/>
      <c r="X1559" s="395" t="n"/>
      <c r="Y1559" s="13" t="n"/>
      <c r="Z1559" s="395" t="n"/>
      <c r="AA1559" s="395" t="n"/>
      <c r="AB1559" s="395" t="n"/>
      <c r="AC1559" s="395" t="n"/>
      <c r="AD1559" s="395" t="n"/>
      <c r="AE1559" s="395" t="n"/>
    </row>
    <row r="1560" ht="56" customHeight="1" s="380">
      <c r="A1560" s="73" t="n">
        <v>78</v>
      </c>
      <c r="B1560" s="386" t="n"/>
      <c r="C1560" s="386" t="inlineStr">
        <is>
          <t>Báo cáo theo Thông tư 121/2020/TT-BTC &gt;&gt; Giao dịch chứng khoán niêm yết/đăng ký giao dịch</t>
        </is>
      </c>
      <c r="D1560" s="386" t="inlineStr">
        <is>
          <t>Tự doanh &gt;&gt; Chứng chỉ quỹ &gt;&gt; Tổng bán &gt;&gt; Lũy kế đầu năm &gt;&gt; HSX</t>
        </is>
      </c>
      <c r="E1560" s="386" t="inlineStr">
        <is>
          <t>Tự doanh &gt;&gt; Chứng chỉ quỹ &gt;&gt; Tổng bán &gt;&gt; Lũy kế đầu năm &gt;&gt; HSX</t>
        </is>
      </c>
      <c r="F1560" s="386" t="inlineStr">
        <is>
          <t>Data Explorer</t>
        </is>
      </c>
      <c r="G1560" s="386" t="inlineStr">
        <is>
          <t>Chỉ tiêu cơ sở</t>
        </is>
      </c>
      <c r="H1560" s="386" t="inlineStr">
        <is>
          <t>TB</t>
        </is>
      </c>
      <c r="I1560" s="386" t="inlineStr">
        <is>
          <t>Ngày, CTCK</t>
        </is>
      </c>
      <c r="J1560" s="395" t="inlineStr">
        <is>
          <t>SCMS</t>
        </is>
      </c>
      <c r="K1560" s="395" t="n"/>
      <c r="L1560" s="395" t="inlineStr">
        <is>
          <t>X</t>
        </is>
      </c>
      <c r="M1560" s="395" t="n"/>
      <c r="N1560" s="395" t="inlineStr">
        <is>
          <t>Done</t>
        </is>
      </c>
      <c r="O1560" s="401" t="n"/>
      <c r="P1560" s="395" t="n"/>
      <c r="S1560" s="395" t="n"/>
      <c r="U1560" s="386" t="n"/>
      <c r="V1560" s="395" t="n"/>
      <c r="W1560" s="395" t="n"/>
      <c r="X1560" s="395" t="n"/>
      <c r="Y1560" s="13" t="n"/>
      <c r="Z1560" s="395" t="n"/>
      <c r="AA1560" s="395" t="n"/>
      <c r="AB1560" s="395" t="n"/>
      <c r="AC1560" s="395" t="n"/>
      <c r="AD1560" s="395" t="n"/>
      <c r="AE1560" s="395" t="n"/>
    </row>
    <row r="1561" ht="56" customHeight="1" s="380">
      <c r="A1561" s="73" t="n">
        <v>78</v>
      </c>
      <c r="B1561" s="386" t="n"/>
      <c r="C1561" s="386" t="inlineStr">
        <is>
          <t>Báo cáo theo Thông tư 121/2020/TT-BTC &gt;&gt; Giao dịch chứng khoán niêm yết/đăng ký giao dịch</t>
        </is>
      </c>
      <c r="D1561" s="386" t="inlineStr">
        <is>
          <t>Tự doanh &gt;&gt; Chứng chỉ quỹ &gt;&gt; Tổng mua và bán &gt;&gt; Trong kỳ &gt;&gt; HNX</t>
        </is>
      </c>
      <c r="E1561" s="386" t="inlineStr">
        <is>
          <t>Tự doanh &gt;&gt; Chứng chỉ quỹ &gt;&gt; Tổng mua và bán &gt;&gt; Trong kỳ &gt;&gt; HNX</t>
        </is>
      </c>
      <c r="F1561" s="386" t="inlineStr">
        <is>
          <t>Data Explorer</t>
        </is>
      </c>
      <c r="G1561" s="386" t="inlineStr">
        <is>
          <t>Chỉ tiêu cơ sở</t>
        </is>
      </c>
      <c r="H1561" s="386" t="inlineStr">
        <is>
          <t>TB</t>
        </is>
      </c>
      <c r="I1561" s="386" t="inlineStr">
        <is>
          <t>Ngày, CTCK</t>
        </is>
      </c>
      <c r="J1561" s="395" t="inlineStr">
        <is>
          <t>SCMS</t>
        </is>
      </c>
      <c r="K1561" s="395" t="n"/>
      <c r="L1561" s="395" t="inlineStr">
        <is>
          <t>X</t>
        </is>
      </c>
      <c r="M1561" s="395" t="n"/>
      <c r="N1561" s="395" t="inlineStr">
        <is>
          <t>Done</t>
        </is>
      </c>
      <c r="O1561" s="401" t="n"/>
      <c r="P1561" s="395" t="n"/>
      <c r="S1561" s="395" t="n"/>
      <c r="U1561" s="386" t="n"/>
      <c r="V1561" s="395" t="n"/>
      <c r="W1561" s="395" t="n"/>
      <c r="X1561" s="395" t="n"/>
      <c r="Y1561" s="13" t="n"/>
      <c r="Z1561" s="395" t="n"/>
      <c r="AA1561" s="395" t="n"/>
      <c r="AB1561" s="395" t="n"/>
      <c r="AC1561" s="395" t="n"/>
      <c r="AD1561" s="395" t="n"/>
      <c r="AE1561" s="395" t="n"/>
    </row>
    <row r="1562" ht="56" customHeight="1" s="380">
      <c r="A1562" s="73" t="n">
        <v>78</v>
      </c>
      <c r="B1562" s="386" t="n"/>
      <c r="C1562" s="386" t="inlineStr">
        <is>
          <t>Báo cáo theo Thông tư 121/2020/TT-BTC &gt;&gt; Giao dịch chứng khoán niêm yết/đăng ký giao dịch</t>
        </is>
      </c>
      <c r="D1562" s="386" t="inlineStr">
        <is>
          <t>Tự doanh &gt;&gt; Chứng chỉ quỹ &gt;&gt; Tổng mua và bán &gt;&gt; Trong kỳ &gt;&gt; HSX</t>
        </is>
      </c>
      <c r="E1562" s="386" t="inlineStr">
        <is>
          <t>Tự doanh &gt;&gt; Chứng chỉ quỹ &gt;&gt; Tổng mua và bán &gt;&gt; Trong kỳ &gt;&gt; HSX</t>
        </is>
      </c>
      <c r="F1562" s="386" t="inlineStr">
        <is>
          <t>Data Explorer</t>
        </is>
      </c>
      <c r="G1562" s="386" t="inlineStr">
        <is>
          <t>Chỉ tiêu cơ sở</t>
        </is>
      </c>
      <c r="H1562" s="386" t="inlineStr">
        <is>
          <t>TB</t>
        </is>
      </c>
      <c r="I1562" s="386" t="inlineStr">
        <is>
          <t>Ngày, CTCK</t>
        </is>
      </c>
      <c r="J1562" s="395" t="inlineStr">
        <is>
          <t>SCMS</t>
        </is>
      </c>
      <c r="K1562" s="395" t="n"/>
      <c r="L1562" s="395" t="inlineStr">
        <is>
          <t>X</t>
        </is>
      </c>
      <c r="M1562" s="395" t="n"/>
      <c r="N1562" s="395" t="inlineStr">
        <is>
          <t>Done</t>
        </is>
      </c>
      <c r="O1562" s="401" t="n"/>
      <c r="P1562" s="395" t="n"/>
      <c r="S1562" s="395" t="n"/>
      <c r="U1562" s="386" t="n"/>
      <c r="V1562" s="395" t="n"/>
      <c r="W1562" s="395" t="n"/>
      <c r="X1562" s="395" t="n"/>
      <c r="Y1562" s="13" t="n"/>
      <c r="Z1562" s="395" t="n"/>
      <c r="AA1562" s="395" t="n"/>
      <c r="AB1562" s="395" t="n"/>
      <c r="AC1562" s="395" t="n"/>
      <c r="AD1562" s="395" t="n"/>
      <c r="AE1562" s="395" t="n"/>
    </row>
    <row r="1563" ht="56" customHeight="1" s="380">
      <c r="A1563" s="73" t="n">
        <v>78</v>
      </c>
      <c r="B1563" s="386" t="n"/>
      <c r="C1563" s="386" t="inlineStr">
        <is>
          <t>Báo cáo theo Thông tư 121/2020/TT-BTC &gt;&gt; Giao dịch chứng khoán niêm yết/đăng ký giao dịch</t>
        </is>
      </c>
      <c r="D1563" s="386" t="inlineStr">
        <is>
          <t>Tự doanh &gt;&gt; Chứng chỉ quỹ &gt;&gt; Tổng mua và bán &gt;&gt; Lũy kế đầu năm &gt;&gt; HNX</t>
        </is>
      </c>
      <c r="E1563" s="386" t="inlineStr">
        <is>
          <t>Tự doanh &gt;&gt; Chứng chỉ quỹ &gt;&gt; Tổng mua và bán &gt;&gt; Lũy kế đầu năm &gt;&gt; HNX</t>
        </is>
      </c>
      <c r="F1563" s="386" t="inlineStr">
        <is>
          <t>Data Explorer</t>
        </is>
      </c>
      <c r="G1563" s="386" t="inlineStr">
        <is>
          <t>Chỉ tiêu cơ sở</t>
        </is>
      </c>
      <c r="H1563" s="386" t="inlineStr">
        <is>
          <t>TB</t>
        </is>
      </c>
      <c r="I1563" s="386" t="inlineStr">
        <is>
          <t>Ngày, CTCK</t>
        </is>
      </c>
      <c r="J1563" s="395" t="inlineStr">
        <is>
          <t>SCMS</t>
        </is>
      </c>
      <c r="K1563" s="395" t="n"/>
      <c r="L1563" s="395" t="inlineStr">
        <is>
          <t>X</t>
        </is>
      </c>
      <c r="M1563" s="395" t="n"/>
      <c r="N1563" s="395" t="inlineStr">
        <is>
          <t>Done</t>
        </is>
      </c>
      <c r="O1563" s="401" t="n"/>
      <c r="P1563" s="395" t="n"/>
      <c r="S1563" s="395" t="n"/>
      <c r="U1563" s="386" t="n"/>
      <c r="V1563" s="395" t="n"/>
      <c r="W1563" s="395" t="n"/>
      <c r="X1563" s="395" t="n"/>
      <c r="Y1563" s="38" t="n"/>
      <c r="Z1563" s="395" t="n"/>
      <c r="AA1563" s="395" t="n"/>
      <c r="AB1563" s="395" t="n"/>
      <c r="AC1563" s="395" t="n"/>
      <c r="AD1563" s="395" t="n"/>
      <c r="AE1563" s="395" t="n"/>
    </row>
    <row r="1564" ht="56" customHeight="1" s="380">
      <c r="A1564" s="83" t="n">
        <v>78</v>
      </c>
      <c r="B1564" s="68" t="n"/>
      <c r="C1564" s="68" t="inlineStr">
        <is>
          <t>Báo cáo theo Thông tư 121/2020/TT-BTC &gt;&gt; Giao dịch chứng khoán niêm yết/đăng ký giao dịch</t>
        </is>
      </c>
      <c r="D1564" s="68" t="inlineStr">
        <is>
          <t>Tự doanh &gt;&gt; Chứng chỉ quỹ &gt;&gt; Tổng mua và bán &gt;&gt; Lũy kế đầu năm &gt;&gt; HSX</t>
        </is>
      </c>
      <c r="E1564" s="68" t="inlineStr">
        <is>
          <t>Tự doanh &gt;&gt; Chứng chỉ quỹ &gt;&gt; Tổng mua và bán &gt;&gt; Lũy kế đầu năm &gt;&gt; HSX</t>
        </is>
      </c>
      <c r="F1564" s="68" t="inlineStr">
        <is>
          <t>Data Explorer</t>
        </is>
      </c>
      <c r="G1564" s="68" t="inlineStr">
        <is>
          <t>Chỉ tiêu cơ sở</t>
        </is>
      </c>
      <c r="H1564" s="68" t="inlineStr">
        <is>
          <t>TB</t>
        </is>
      </c>
      <c r="I1564" s="68" t="inlineStr">
        <is>
          <t>Ngày, CTCK</t>
        </is>
      </c>
      <c r="J1564" s="69" t="inlineStr">
        <is>
          <t>SCMS</t>
        </is>
      </c>
      <c r="K1564" s="69" t="n"/>
      <c r="L1564" s="69" t="inlineStr">
        <is>
          <t>X</t>
        </is>
      </c>
      <c r="M1564" s="69" t="n"/>
      <c r="N1564" s="69" t="inlineStr">
        <is>
          <t>Done</t>
        </is>
      </c>
      <c r="O1564" s="85" t="n"/>
      <c r="P1564" s="69" t="n"/>
      <c r="Q1564" s="426" t="n"/>
      <c r="R1564" s="426" t="n"/>
      <c r="S1564" s="69" t="n"/>
      <c r="T1564" s="426" t="n"/>
      <c r="U1564" s="68" t="n"/>
      <c r="V1564" s="69" t="n"/>
      <c r="W1564" s="69" t="n"/>
      <c r="X1564" s="69" t="n"/>
      <c r="Y1564" s="97" t="n"/>
      <c r="Z1564" s="69" t="n"/>
      <c r="AA1564" s="69" t="n"/>
      <c r="AB1564" s="69" t="n"/>
      <c r="AC1564" s="69" t="n"/>
      <c r="AD1564" s="69" t="n"/>
      <c r="AE1564" s="69" t="n"/>
    </row>
    <row r="1565" ht="70" customHeight="1" s="380">
      <c r="A1565" s="73" t="n">
        <v>79</v>
      </c>
      <c r="B1565" s="122" t="inlineStr">
        <is>
          <t>Nga</t>
        </is>
      </c>
      <c r="C1565" s="81" t="inlineStr">
        <is>
          <t>Báo cáo theo Thông tư 121/2020/TT-BTC &gt;&gt; Giao dịch chứng khoán chưa niêm yết/đăng ký giao dịch - II.7.1.CP</t>
        </is>
      </c>
      <c r="D1565" s="106" t="inlineStr">
        <is>
          <t>Loại báo cáo</t>
        </is>
      </c>
      <c r="E1565" s="107" t="inlineStr">
        <is>
          <t>Loại báo cáo</t>
        </is>
      </c>
      <c r="F1565" s="390" t="inlineStr">
        <is>
          <t>Data Explorer</t>
        </is>
      </c>
      <c r="G1565" s="390" t="inlineStr">
        <is>
          <t>Chiều</t>
        </is>
      </c>
      <c r="H1565" s="390" t="inlineStr">
        <is>
          <t>Dễ</t>
        </is>
      </c>
      <c r="I1565" s="390" t="inlineStr">
        <is>
          <t>Ngày, CTCK</t>
        </is>
      </c>
      <c r="J1565" s="401" t="inlineStr">
        <is>
          <t>SCMS</t>
        </is>
      </c>
      <c r="K1565" s="401" t="inlineStr">
        <is>
          <t>X</t>
        </is>
      </c>
      <c r="L1565" s="395" t="inlineStr">
        <is>
          <t>X</t>
        </is>
      </c>
      <c r="M1565" s="401" t="n"/>
      <c r="N1565" s="395" t="inlineStr">
        <is>
          <t>Done</t>
        </is>
      </c>
      <c r="O1565" s="401" t="n"/>
      <c r="P1565" s="395" t="n"/>
      <c r="Q1565" s="404" t="inlineStr">
        <is>
          <t>SCMS.BM_BAO_CAO
SCMS.BM_BAO_CAO_DINH_KY</t>
        </is>
      </c>
      <c r="R1565" s="404" t="inlineStr">
        <is>
          <t>bm.ID,
bm.MA_BAO_CAO,
bm.LOAI_BAO_CAO,
bm.TEN_BAO_CAO,
bm.SU_DUNG,
bdk.BM_BAO_CAO_ID,
bdk.KY_BAO_CAO,
bdk.SU_DUNG</t>
        </is>
      </c>
      <c r="S1565" s="395" t="n"/>
      <c r="T1565"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565" s="386" t="n"/>
      <c r="V1565" s="395" t="n"/>
      <c r="W1565" s="395" t="n"/>
      <c r="X1565" s="395" t="n"/>
      <c r="Y1565" s="13" t="n"/>
      <c r="Z1565" s="395" t="n"/>
      <c r="AA1565" s="395" t="n"/>
      <c r="AB1565" s="395" t="n"/>
      <c r="AC1565" s="395" t="n"/>
      <c r="AD1565" s="395" t="n"/>
      <c r="AE1565" s="395" t="n"/>
    </row>
    <row r="1566" ht="70" customHeight="1" s="380">
      <c r="A1566" s="73" t="n">
        <v>79</v>
      </c>
      <c r="B1566" s="386" t="n"/>
      <c r="C1566" s="386" t="inlineStr">
        <is>
          <t>Báo cáo theo Thông tư 121/2020/TT-BTC &gt;&gt; Giao dịch chứng khoán chưa niêm yết/đăng ký giao dịch - II.7.1.CP</t>
        </is>
      </c>
      <c r="D1566" s="106" t="inlineStr">
        <is>
          <t>Kỳ báo cáo</t>
        </is>
      </c>
      <c r="E1566" s="107" t="inlineStr">
        <is>
          <t>Kỳ báo cáo</t>
        </is>
      </c>
      <c r="F1566" s="390" t="inlineStr">
        <is>
          <t>Data Explorer</t>
        </is>
      </c>
      <c r="G1566" s="390" t="inlineStr">
        <is>
          <t>Chiều</t>
        </is>
      </c>
      <c r="H1566" s="390" t="inlineStr">
        <is>
          <t>Dễ</t>
        </is>
      </c>
      <c r="I1566" s="390" t="inlineStr">
        <is>
          <t>Ngày, CTCK</t>
        </is>
      </c>
      <c r="J1566" s="401" t="inlineStr">
        <is>
          <t>SCMS</t>
        </is>
      </c>
      <c r="K1566" s="401" t="inlineStr">
        <is>
          <t>X</t>
        </is>
      </c>
      <c r="L1566" s="395" t="inlineStr">
        <is>
          <t>X</t>
        </is>
      </c>
      <c r="M1566" s="401" t="n"/>
      <c r="N1566" s="395" t="inlineStr">
        <is>
          <t>Done</t>
        </is>
      </c>
      <c r="O1566" s="401" t="n"/>
      <c r="P1566" s="395" t="n"/>
      <c r="S1566" s="395" t="n"/>
      <c r="U1566" s="386" t="n"/>
      <c r="V1566" s="395" t="n"/>
      <c r="W1566" s="395" t="n"/>
      <c r="X1566" s="395" t="n"/>
      <c r="Y1566" s="13" t="n"/>
      <c r="Z1566" s="395" t="n"/>
      <c r="AA1566" s="395" t="n"/>
      <c r="AB1566" s="395" t="n"/>
      <c r="AC1566" s="395" t="n"/>
      <c r="AD1566" s="395" t="n"/>
      <c r="AE1566" s="395" t="n"/>
    </row>
    <row r="1567" ht="70" customHeight="1" s="380">
      <c r="A1567" s="73" t="n">
        <v>79</v>
      </c>
      <c r="B1567" s="386" t="n"/>
      <c r="C1567" s="386" t="inlineStr">
        <is>
          <t>Báo cáo theo Thông tư 121/2020/TT-BTC &gt;&gt; Giao dịch chứng khoán chưa niêm yết/đăng ký giao dịch - II.7.1.CP</t>
        </is>
      </c>
      <c r="D1567" s="106" t="inlineStr">
        <is>
          <t>Mã báo cáo</t>
        </is>
      </c>
      <c r="E1567" s="107" t="inlineStr">
        <is>
          <t>Mã báo cáo</t>
        </is>
      </c>
      <c r="F1567" s="390" t="inlineStr">
        <is>
          <t>Data Explorer</t>
        </is>
      </c>
      <c r="G1567" s="390" t="inlineStr">
        <is>
          <t>Chiều</t>
        </is>
      </c>
      <c r="H1567" s="390" t="inlineStr">
        <is>
          <t>Dễ</t>
        </is>
      </c>
      <c r="I1567" s="390" t="inlineStr">
        <is>
          <t>Ngày, CTCK</t>
        </is>
      </c>
      <c r="J1567" s="401" t="inlineStr">
        <is>
          <t>SCMS</t>
        </is>
      </c>
      <c r="K1567" s="401" t="inlineStr">
        <is>
          <t>X</t>
        </is>
      </c>
      <c r="L1567" s="395" t="inlineStr">
        <is>
          <t>X</t>
        </is>
      </c>
      <c r="M1567" s="401" t="n"/>
      <c r="N1567" s="395" t="inlineStr">
        <is>
          <t>Done</t>
        </is>
      </c>
      <c r="O1567" s="401" t="n"/>
      <c r="P1567" s="395" t="n"/>
      <c r="S1567" s="395" t="n"/>
      <c r="U1567" s="386" t="n"/>
      <c r="V1567" s="395" t="n"/>
      <c r="W1567" s="395" t="n"/>
      <c r="X1567" s="395" t="n"/>
      <c r="Y1567" s="13" t="n"/>
      <c r="Z1567" s="395" t="n"/>
      <c r="AA1567" s="395" t="n"/>
      <c r="AB1567" s="395" t="n"/>
      <c r="AC1567" s="395" t="n"/>
      <c r="AD1567" s="395" t="n"/>
      <c r="AE1567" s="395" t="n"/>
    </row>
    <row r="1568" ht="70" customHeight="1" s="380">
      <c r="A1568" s="73" t="n">
        <v>79</v>
      </c>
      <c r="B1568" s="386" t="n"/>
      <c r="C1568" s="386" t="inlineStr">
        <is>
          <t>Báo cáo theo Thông tư 121/2020/TT-BTC &gt;&gt; Giao dịch chứng khoán chưa niêm yết/đăng ký giao dịch - II.7.1.CP</t>
        </is>
      </c>
      <c r="D1568" s="106" t="inlineStr">
        <is>
          <t>Tên báo cáo</t>
        </is>
      </c>
      <c r="E1568" s="107" t="inlineStr">
        <is>
          <t>Tên báo cáo</t>
        </is>
      </c>
      <c r="F1568" s="390" t="inlineStr">
        <is>
          <t>Data Explorer</t>
        </is>
      </c>
      <c r="G1568" s="390" t="inlineStr">
        <is>
          <t>Chiều</t>
        </is>
      </c>
      <c r="H1568" s="390" t="inlineStr">
        <is>
          <t>Dễ</t>
        </is>
      </c>
      <c r="I1568" s="390" t="inlineStr">
        <is>
          <t>Ngày, CTCK</t>
        </is>
      </c>
      <c r="J1568" s="401" t="inlineStr">
        <is>
          <t>SCMS</t>
        </is>
      </c>
      <c r="K1568" s="401" t="inlineStr">
        <is>
          <t>X</t>
        </is>
      </c>
      <c r="L1568" s="395" t="inlineStr">
        <is>
          <t>X</t>
        </is>
      </c>
      <c r="M1568" s="401" t="n"/>
      <c r="N1568" s="395" t="inlineStr">
        <is>
          <t>Done</t>
        </is>
      </c>
      <c r="O1568" s="401" t="n"/>
      <c r="P1568" s="395" t="n"/>
      <c r="S1568" s="395" t="n"/>
      <c r="U1568" s="386" t="n"/>
      <c r="V1568" s="395" t="n"/>
      <c r="W1568" s="395" t="n"/>
      <c r="X1568" s="395" t="n"/>
      <c r="Y1568" s="13" t="n"/>
      <c r="Z1568" s="395" t="n"/>
      <c r="AA1568" s="395" t="n"/>
      <c r="AB1568" s="395" t="n"/>
      <c r="AC1568" s="395" t="n"/>
      <c r="AD1568" s="395" t="n"/>
      <c r="AE1568" s="395" t="n"/>
    </row>
    <row r="1569" ht="70" customHeight="1" s="380">
      <c r="A1569" s="73" t="n">
        <v>79</v>
      </c>
      <c r="B1569" s="386" t="n"/>
      <c r="C1569" s="386" t="inlineStr">
        <is>
          <t>Báo cáo theo Thông tư 121/2020/TT-BTC &gt;&gt; Giao dịch chứng khoán chưa niêm yết/đăng ký giao dịch - II.7.1.CP</t>
        </is>
      </c>
      <c r="D1569" s="106" t="inlineStr">
        <is>
          <t>Mã sheet</t>
        </is>
      </c>
      <c r="E1569" s="106" t="inlineStr">
        <is>
          <t>Mã sheet</t>
        </is>
      </c>
      <c r="F1569" s="390" t="inlineStr">
        <is>
          <t>Data Explorer</t>
        </is>
      </c>
      <c r="G1569" s="390" t="inlineStr">
        <is>
          <t>Chiều</t>
        </is>
      </c>
      <c r="H1569" s="390" t="inlineStr">
        <is>
          <t>Dễ</t>
        </is>
      </c>
      <c r="I1569" s="390" t="inlineStr">
        <is>
          <t>Ngày, CTCK</t>
        </is>
      </c>
      <c r="J1569" s="401" t="inlineStr">
        <is>
          <t>SCMS</t>
        </is>
      </c>
      <c r="K1569" s="401" t="inlineStr">
        <is>
          <t>X</t>
        </is>
      </c>
      <c r="L1569" s="395" t="inlineStr">
        <is>
          <t>X</t>
        </is>
      </c>
      <c r="M1569" s="401" t="n"/>
      <c r="N1569" s="395" t="inlineStr">
        <is>
          <t>Done</t>
        </is>
      </c>
      <c r="O1569" s="401" t="n"/>
      <c r="P1569" s="395" t="n"/>
      <c r="Q1569" s="401" t="inlineStr">
        <is>
          <t>SCMS.BM_BAO_CAO
SCMS.BM_SHEET</t>
        </is>
      </c>
      <c r="R1569" s="401" t="inlineStr">
        <is>
          <t>bm.ID,
bm.MA_BAO_CAO,
bm.SU_DUNG,
s.BM_BAO_CAO_ID,
s.MA_SHEET,
s.TEN_SHEET,
s.SAP_XEP</t>
        </is>
      </c>
      <c r="S1569" s="395" t="n"/>
      <c r="T1569" s="384" t="inlineStr">
        <is>
          <t>-- Mã sheet / Tên sheet
-- TEN_SHEET: GDCKCNY
SELECT bm.MA_BAO_CAO,
s.MA_SHEET,
s.TEN_SHEET
FROM SCMS.BM_BAO_CAO bm
JOIN SCMS.BM_SHEET s ON s.BM_BAO_CAO_ID = bm.ID
WHERE bm.MA_BAO_CAO LIKE 'BCTHHDKD%'
AND s.TEN_SHEET = 'GDCKCNY'  -- Check lại
AND bm.SU_DUNG = 1
ORDER BY bm.MA_BAO_CAO, s.SAP_XEP;</t>
        </is>
      </c>
      <c r="U1569" s="386" t="n"/>
      <c r="V1569" s="395" t="n"/>
      <c r="W1569" s="395" t="n"/>
      <c r="X1569" s="395" t="n"/>
      <c r="Y1569" s="13" t="n"/>
      <c r="Z1569" s="395" t="n"/>
      <c r="AA1569" s="395" t="n"/>
      <c r="AB1569" s="395" t="n"/>
      <c r="AC1569" s="395" t="n"/>
      <c r="AD1569" s="395" t="n"/>
      <c r="AE1569" s="395" t="n"/>
    </row>
    <row r="1570" ht="70" customHeight="1" s="380">
      <c r="A1570" s="73" t="n">
        <v>79</v>
      </c>
      <c r="B1570" s="386" t="n"/>
      <c r="C1570" s="386" t="inlineStr">
        <is>
          <t>Báo cáo theo Thông tư 121/2020/TT-BTC &gt;&gt; Giao dịch chứng khoán chưa niêm yết/đăng ký giao dịch - II.7.1.CP</t>
        </is>
      </c>
      <c r="D1570" s="106" t="inlineStr">
        <is>
          <t>Tên sheet</t>
        </is>
      </c>
      <c r="E1570" s="106" t="inlineStr">
        <is>
          <t>Tên sheet</t>
        </is>
      </c>
      <c r="F1570" s="390" t="inlineStr">
        <is>
          <t>Data Explorer</t>
        </is>
      </c>
      <c r="G1570" s="390" t="inlineStr">
        <is>
          <t>Chiều</t>
        </is>
      </c>
      <c r="H1570" s="390" t="inlineStr">
        <is>
          <t>Dễ</t>
        </is>
      </c>
      <c r="I1570" s="390" t="inlineStr">
        <is>
          <t>Ngày, CTCK</t>
        </is>
      </c>
      <c r="J1570" s="401" t="inlineStr">
        <is>
          <t>SCMS</t>
        </is>
      </c>
      <c r="K1570" s="401" t="inlineStr">
        <is>
          <t>X</t>
        </is>
      </c>
      <c r="L1570" s="395" t="inlineStr">
        <is>
          <t>X</t>
        </is>
      </c>
      <c r="M1570" s="401" t="n"/>
      <c r="N1570" s="395" t="inlineStr">
        <is>
          <t>Done</t>
        </is>
      </c>
      <c r="O1570" s="401" t="n"/>
      <c r="P1570" s="395" t="n"/>
      <c r="S1570" s="395" t="n"/>
      <c r="U1570" s="386" t="n"/>
      <c r="V1570" s="395" t="n"/>
      <c r="W1570" s="395" t="n"/>
      <c r="X1570" s="395" t="n"/>
      <c r="Y1570" s="13" t="n"/>
      <c r="Z1570" s="395" t="n"/>
      <c r="AA1570" s="395" t="n"/>
      <c r="AB1570" s="395" t="n"/>
      <c r="AC1570" s="395" t="n"/>
      <c r="AD1570" s="395" t="n"/>
      <c r="AE1570" s="395" t="n"/>
    </row>
    <row r="1571" ht="70" customHeight="1" s="380">
      <c r="A1571" s="73" t="n">
        <v>79</v>
      </c>
      <c r="B1571" s="386" t="n"/>
      <c r="C1571" s="386" t="inlineStr">
        <is>
          <t>Báo cáo theo Thông tư 121/2020/TT-BTC &gt;&gt; Giao dịch chứng khoán chưa niêm yết/đăng ký giao dịch - II.7.1.CP</t>
        </is>
      </c>
      <c r="D1571" s="106" t="inlineStr">
        <is>
          <t>Mã chỉ tiêu</t>
        </is>
      </c>
      <c r="E1571" s="107" t="inlineStr">
        <is>
          <t>Mã chỉ tiêu</t>
        </is>
      </c>
      <c r="F1571" s="390" t="inlineStr">
        <is>
          <t>Data Explorer</t>
        </is>
      </c>
      <c r="G1571" s="390" t="inlineStr">
        <is>
          <t>Chiều</t>
        </is>
      </c>
      <c r="H1571" s="390" t="inlineStr">
        <is>
          <t>Dễ</t>
        </is>
      </c>
      <c r="I1571" s="390" t="inlineStr">
        <is>
          <t>Ngày, CTCK</t>
        </is>
      </c>
      <c r="J1571" s="401" t="inlineStr">
        <is>
          <t>SCMS</t>
        </is>
      </c>
      <c r="K1571" s="401" t="inlineStr">
        <is>
          <t>X</t>
        </is>
      </c>
      <c r="L1571" s="395" t="inlineStr">
        <is>
          <t>X</t>
        </is>
      </c>
      <c r="M1571" s="401" t="n"/>
      <c r="N1571" s="395" t="inlineStr">
        <is>
          <t>Done</t>
        </is>
      </c>
      <c r="O1571" s="401" t="n"/>
      <c r="P1571" s="395" t="n"/>
      <c r="Q1571" s="401" t="inlineStr">
        <is>
          <t>SCMS.BM_BAO_CAO
SCMS.BM_SHEET
SCMS.BM_BAO_CAO_CT
SCMS.DM_CHI_TIEU</t>
        </is>
      </c>
      <c r="R1571" s="402" t="inlineStr">
        <is>
          <t>dct.ID,
dct.MA_CHI_TIEU,
dct.TEN_CHI_TIEU,
dct.SU_DUNG,
s.BM_BAO_CAO_ID,
s.MA_SHEET,
ct.BM_BAO_CAO_ID,
ct.DM_CHI_TIEU_ID,
ct.SU_DUNG,
bm.ID,
bm.MA_BAO_CAO,
bm.SU_DUNG</t>
        </is>
      </c>
      <c r="S1571" s="395" t="n"/>
      <c r="T1571" s="384" t="inlineStr">
        <is>
          <t>-- Mã chỉ tiêu / Tên chỉ tiêu
SELECT DISTINCT
    dct.MA_CHI_TIEU  AS ma_chi_tieu,
    dct.TEN_CHI_TIEU AS ten_chi_tieu
FROM SCMS.BM_BAO_CAO bm
JOIN SCMS.BM_SHEET s ON s.BM_BAO_CAO_ID = bm.ID
	AND s.TEN_SHEET = 'GDCKCNY'
JOIN SCMS.BM_BAO_CAO_CT ct ON ct.BM_SHEET_ID = s.ID
	AND ct.SU_DUNG = 1
JOIN SCMS.DM_CHI_TIEU dct ON dct.ID = ct.DM_CHI_TIEU_ID
	AND dct.SU_DUNG = 1
WHERE bm.MA_BAO_CAO LIKE 'BCTHHDKD%'
	AND bm.SU_DUNG = 1
ORDER BY dct.MA_CHI_TIEU;</t>
        </is>
      </c>
      <c r="U1571" s="386" t="n"/>
      <c r="V1571" s="395" t="n"/>
      <c r="W1571" s="395" t="n"/>
      <c r="X1571" s="395" t="n"/>
      <c r="Y1571" s="38" t="n"/>
      <c r="Z1571" s="395" t="n"/>
      <c r="AA1571" s="395" t="n"/>
      <c r="AB1571" s="395" t="n"/>
      <c r="AC1571" s="395" t="n"/>
      <c r="AD1571" s="395" t="n"/>
      <c r="AE1571" s="395" t="n"/>
    </row>
    <row r="1572" ht="70" customHeight="1" s="380">
      <c r="A1572" s="73" t="n">
        <v>79</v>
      </c>
      <c r="B1572" s="386" t="n"/>
      <c r="C1572" s="386" t="inlineStr">
        <is>
          <t>Báo cáo theo Thông tư 121/2020/TT-BTC &gt;&gt; Giao dịch chứng khoán chưa niêm yết/đăng ký giao dịch - II.7.1.CP</t>
        </is>
      </c>
      <c r="D1572" s="106" t="inlineStr">
        <is>
          <t>Tên chỉ tiêu</t>
        </is>
      </c>
      <c r="E1572" s="107" t="inlineStr">
        <is>
          <t>Tên chỉ tiêu</t>
        </is>
      </c>
      <c r="F1572" s="390" t="inlineStr">
        <is>
          <t>Data Explorer</t>
        </is>
      </c>
      <c r="G1572" s="390" t="inlineStr">
        <is>
          <t>Chiều</t>
        </is>
      </c>
      <c r="H1572" s="390" t="inlineStr">
        <is>
          <t>Dễ</t>
        </is>
      </c>
      <c r="I1572" s="390" t="inlineStr">
        <is>
          <t>Ngày, CTCK</t>
        </is>
      </c>
      <c r="J1572" s="401" t="inlineStr">
        <is>
          <t>SCMS</t>
        </is>
      </c>
      <c r="K1572" s="401" t="inlineStr">
        <is>
          <t>X</t>
        </is>
      </c>
      <c r="L1572" s="395" t="inlineStr">
        <is>
          <t>X</t>
        </is>
      </c>
      <c r="M1572" s="401" t="n"/>
      <c r="N1572" s="395" t="inlineStr">
        <is>
          <t>Done</t>
        </is>
      </c>
      <c r="O1572" s="401" t="n"/>
      <c r="P1572" s="395" t="n"/>
      <c r="S1572" s="395" t="n"/>
      <c r="U1572" s="386" t="n"/>
      <c r="V1572" s="395" t="n"/>
      <c r="W1572" s="395" t="n"/>
      <c r="X1572" s="395" t="n"/>
      <c r="Y1572" s="13" t="n"/>
      <c r="Z1572" s="395" t="n"/>
      <c r="AA1572" s="395" t="n"/>
      <c r="AB1572" s="395" t="n"/>
      <c r="AC1572" s="395" t="n"/>
      <c r="AD1572" s="395" t="n"/>
      <c r="AE1572" s="395" t="n"/>
    </row>
    <row r="1573" ht="70" customHeight="1" s="380">
      <c r="A1573" s="73" t="n">
        <v>79</v>
      </c>
      <c r="B1573" s="386" t="n"/>
      <c r="C1573" s="386" t="inlineStr">
        <is>
          <t>Báo cáo theo Thông tư 121/2020/TT-BTC &gt;&gt; Giao dịch chứng khoán chưa niêm yết/đăng ký giao dịch - II.7.1.CP</t>
        </is>
      </c>
      <c r="D1573" s="386" t="inlineStr">
        <is>
          <t>Tên công ty chứng khoán</t>
        </is>
      </c>
      <c r="E1573" s="386" t="inlineStr">
        <is>
          <t>Tên công ty chứng khoán</t>
        </is>
      </c>
      <c r="F1573" s="386" t="inlineStr">
        <is>
          <t>Data Explorer</t>
        </is>
      </c>
      <c r="G1573" s="386" t="inlineStr">
        <is>
          <t>Chỉ tiêu cơ sở</t>
        </is>
      </c>
      <c r="H1573" s="386" t="inlineStr">
        <is>
          <t>Dễ</t>
        </is>
      </c>
      <c r="I1573" s="386" t="inlineStr">
        <is>
          <t>Ngày, CTCK</t>
        </is>
      </c>
      <c r="J1573" s="395" t="inlineStr">
        <is>
          <t>SCMS</t>
        </is>
      </c>
      <c r="K1573" s="395" t="n"/>
      <c r="L1573" s="395" t="inlineStr">
        <is>
          <t>X</t>
        </is>
      </c>
      <c r="M1573" s="395" t="n"/>
      <c r="N1573" s="395" t="inlineStr">
        <is>
          <t>Done</t>
        </is>
      </c>
      <c r="O1573" s="401" t="n"/>
      <c r="P1573" s="395" t="n"/>
      <c r="Q1573" s="427" t="inlineStr">
        <is>
          <t>SCMS.BC_THANH_VIEN
SCMS.BM_BAO_CAO
SCMS.BC_BAO_CAO_GT
SCMS.BM_BAO_CAO_HANG
SCMS.BM_BAO_CAO_COT
SCMS.CTCK_THONG_TIN</t>
        </is>
      </c>
      <c r="R1573" s="427" t="inlineStr">
        <is>
          <t>btv.ID,
btv.NGAY_SO_LIEU,
btv.BM_BAO_CAO_ID,
btv.CTCK_THONG_TIN_ID,
btv.TRANG_THAI,
c.CTCK_THONG_TIN_ID,
bsh.ID,
bsh.MA_HANG,
bsc.MA_COT,
bsc.TEN_COT,
bsc.BM_SHEET_ID,
gt.BC_THANH_VIEN_ID,
gt.BM_SHEET_ID,
gt.BM_SHEET_HANG_ID,
gt.GIA_TRI,
bm.ID,
bm.MA_BAO_CAO</t>
        </is>
      </c>
      <c r="S1573" s="395" t="n"/>
      <c r="T1573"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bsh.MA_HANG='1' AND bsc.TEN_COT=N'Chứng khoán' THEN CAST(gt.GIA_TRI AS VARCHAR2(4000)) END) AS "Mã cổ phiếu",
    MAX(CASE WHEN bsh.MA_HANG='1' AND bsc.TEN_COT=N'Khối lượng' AND bsc.MA_COT='6' THEN CAST(gt.GIA_TRI AS VARCHAR2(4000)) END) AS "Khối lượng mua trong kỳ",
    MAX(CASE WHEN bsh.MA_HANG='1' AND bsc.TEN_COT=N'Giá trị (Triệu đồng)' AND bsc.MA_COT='7' THEN CAST(gt.GIA_TRI AS VARCHAR2(4000)) END) AS "Giá trị mua trong kỳ",
    MAX(CASE WHEN bsh.MA_HANG='1' AND bsc.TEN_COT=N'Khối lượng' AND bsc.MA_COT='8' THEN CAST(gt.GIA_TRI AS VARCHAR2(4000)) END) AS "Khối lượng bán trong kỳ",
    MAX(CASE WHEN bsh.MA_HANG='1' AND bsc.TEN_COT=N'Giá trị (Triệu đồng)' AND bsc.MA_COT='9' THEN CAST(gt.GIA_TRI AS VARCHAR2(4000)) END) AS "Giá trị bán trong kỳ"
FROM SCMS.BC_THANH_VIEN btv
JOIN SCMS.BM_BAO_CAO bm ON bm.ID = btv.BM_BAO_CAO_ID
JOIN SCMS.BC_BAO_CAO_GT gt ON gt.BC_THANH_VIEN_ID = btv.ID
JOIN SCMS.BM_BAO_CAO_HANG bsh ON bsh.ID = gt.BM_SHEET_HANG_ID
JOIN SCMS.BM_BAO_CAO_COT bsc ON bsc.BM_SHEET_ID = 7418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is>
      </c>
      <c r="U1573" s="386" t="n"/>
      <c r="V1573" s="395" t="n"/>
      <c r="W1573" s="395" t="n"/>
      <c r="X1573" s="395" t="n"/>
      <c r="Y1573" s="13" t="n"/>
      <c r="Z1573" s="395" t="n"/>
      <c r="AA1573" s="395" t="n"/>
      <c r="AB1573" s="395" t="n"/>
      <c r="AC1573" s="395" t="n"/>
      <c r="AD1573" s="395" t="n"/>
      <c r="AE1573" s="395" t="n"/>
    </row>
    <row r="1574" ht="70" customHeight="1" s="380">
      <c r="A1574" s="73" t="n">
        <v>79</v>
      </c>
      <c r="B1574" s="386" t="n"/>
      <c r="C1574" s="386" t="inlineStr">
        <is>
          <t>Báo cáo theo Thông tư 121/2020/TT-BTC &gt;&gt; Giao dịch chứng khoán chưa niêm yết/đăng ký giao dịch - II.7.1.CP</t>
        </is>
      </c>
      <c r="D1574" s="386" t="inlineStr">
        <is>
          <t>Sàn giao dịch</t>
        </is>
      </c>
      <c r="E1574" s="386" t="inlineStr">
        <is>
          <t>Sàn giao dịch</t>
        </is>
      </c>
      <c r="F1574" s="386" t="inlineStr">
        <is>
          <t>Data Explorer</t>
        </is>
      </c>
      <c r="G1574" s="386" t="inlineStr">
        <is>
          <t>Chỉ tiêu cơ sở</t>
        </is>
      </c>
      <c r="H1574" s="386" t="inlineStr">
        <is>
          <t>Dễ</t>
        </is>
      </c>
      <c r="I1574" s="386" t="inlineStr">
        <is>
          <t>Ngày, CTCK</t>
        </is>
      </c>
      <c r="J1574" s="395" t="inlineStr">
        <is>
          <t>SCMS</t>
        </is>
      </c>
      <c r="K1574" s="395" t="n"/>
      <c r="L1574" s="395" t="inlineStr">
        <is>
          <t>X</t>
        </is>
      </c>
      <c r="M1574" s="395" t="n"/>
      <c r="N1574" s="395" t="inlineStr">
        <is>
          <t>Done</t>
        </is>
      </c>
      <c r="O1574" s="401" t="n"/>
      <c r="P1574" s="395" t="n"/>
      <c r="S1574" s="395" t="n"/>
      <c r="U1574" s="386" t="n"/>
      <c r="V1574" s="395" t="n"/>
      <c r="W1574" s="395" t="n"/>
      <c r="X1574" s="395" t="n"/>
      <c r="Y1574" s="13" t="n"/>
      <c r="Z1574" s="395" t="n"/>
      <c r="AA1574" s="395" t="n"/>
      <c r="AB1574" s="395" t="n"/>
      <c r="AC1574" s="395" t="n"/>
      <c r="AD1574" s="395" t="n"/>
      <c r="AE1574" s="395" t="n"/>
    </row>
    <row r="1575" ht="70" customHeight="1" s="380">
      <c r="A1575" s="73" t="n">
        <v>79</v>
      </c>
      <c r="B1575" s="386" t="n"/>
      <c r="C1575" s="386" t="inlineStr">
        <is>
          <t>Báo cáo theo Thông tư 121/2020/TT-BTC &gt;&gt; Giao dịch chứng khoán chưa niêm yết/đăng ký giao dịch - II.7.1.CP</t>
        </is>
      </c>
      <c r="D1575" s="386" t="inlineStr">
        <is>
          <t>Mã chứng khoán</t>
        </is>
      </c>
      <c r="E1575" s="386" t="inlineStr">
        <is>
          <t>Mã chứng khoán</t>
        </is>
      </c>
      <c r="F1575" s="386" t="inlineStr">
        <is>
          <t>Data Explorer</t>
        </is>
      </c>
      <c r="G1575" s="386" t="inlineStr">
        <is>
          <t>Chỉ tiêu cơ sở</t>
        </is>
      </c>
      <c r="H1575" s="386" t="inlineStr">
        <is>
          <t>Dễ</t>
        </is>
      </c>
      <c r="I1575" s="386" t="inlineStr">
        <is>
          <t>Ngày, CTCK</t>
        </is>
      </c>
      <c r="J1575" s="395" t="inlineStr">
        <is>
          <t>SCMS</t>
        </is>
      </c>
      <c r="K1575" s="395" t="n"/>
      <c r="L1575" s="395" t="inlineStr">
        <is>
          <t>X</t>
        </is>
      </c>
      <c r="M1575" s="395" t="n"/>
      <c r="N1575" s="395" t="inlineStr">
        <is>
          <t>Done</t>
        </is>
      </c>
      <c r="O1575" s="401" t="n"/>
      <c r="P1575" s="395" t="n"/>
      <c r="S1575" s="395" t="n"/>
      <c r="U1575" s="386" t="n"/>
      <c r="V1575" s="395" t="n"/>
      <c r="W1575" s="395" t="n"/>
      <c r="X1575" s="395" t="n"/>
      <c r="Y1575" s="13" t="n"/>
      <c r="Z1575" s="395" t="n"/>
      <c r="AA1575" s="395" t="n"/>
      <c r="AB1575" s="395" t="n"/>
      <c r="AC1575" s="395" t="n"/>
      <c r="AD1575" s="395" t="n"/>
      <c r="AE1575" s="395" t="n"/>
    </row>
    <row r="1576" ht="70" customHeight="1" s="380">
      <c r="A1576" s="73" t="n">
        <v>79</v>
      </c>
      <c r="B1576" s="386" t="n"/>
      <c r="C1576" s="386" t="inlineStr">
        <is>
          <t>Báo cáo theo Thông tư 121/2020/TT-BTC &gt;&gt; Giao dịch chứng khoán chưa niêm yết/đăng ký giao dịch - II.7.1.CP</t>
        </is>
      </c>
      <c r="D1576" s="386" t="inlineStr">
        <is>
          <t>Giấy phép hoạt động &gt;&gt; Số</t>
        </is>
      </c>
      <c r="E1576" s="386" t="inlineStr">
        <is>
          <t>Giấy phép hoạt động &gt;&gt; Số</t>
        </is>
      </c>
      <c r="F1576" s="386" t="inlineStr">
        <is>
          <t>Data Explorer</t>
        </is>
      </c>
      <c r="G1576" s="386" t="inlineStr">
        <is>
          <t>Chỉ tiêu cơ sở</t>
        </is>
      </c>
      <c r="H1576" s="386" t="inlineStr">
        <is>
          <t>Dễ</t>
        </is>
      </c>
      <c r="I1576" s="386" t="inlineStr">
        <is>
          <t>Ngày, CTCK</t>
        </is>
      </c>
      <c r="J1576" s="395" t="inlineStr">
        <is>
          <t>SCMS</t>
        </is>
      </c>
      <c r="K1576" s="395" t="n"/>
      <c r="L1576" s="395" t="inlineStr">
        <is>
          <t>X</t>
        </is>
      </c>
      <c r="M1576" s="395" t="n"/>
      <c r="N1576" s="395" t="inlineStr">
        <is>
          <t>Done</t>
        </is>
      </c>
      <c r="O1576" s="401" t="n"/>
      <c r="P1576" s="395" t="n"/>
      <c r="S1576" s="395" t="n"/>
      <c r="U1576" s="386" t="n"/>
      <c r="V1576" s="395" t="n"/>
      <c r="W1576" s="395" t="n"/>
      <c r="X1576" s="395" t="n"/>
      <c r="Y1576" s="13" t="n"/>
      <c r="Z1576" s="395" t="n"/>
      <c r="AA1576" s="395" t="n"/>
      <c r="AB1576" s="395" t="n"/>
      <c r="AC1576" s="395" t="n"/>
      <c r="AD1576" s="395" t="n"/>
      <c r="AE1576" s="395" t="n"/>
    </row>
    <row r="1577" ht="70" customHeight="1" s="380">
      <c r="A1577" s="73" t="n">
        <v>79</v>
      </c>
      <c r="B1577" s="386" t="n"/>
      <c r="C1577" s="386" t="inlineStr">
        <is>
          <t>Báo cáo theo Thông tư 121/2020/TT-BTC &gt;&gt; Giao dịch chứng khoán chưa niêm yết/đăng ký giao dịch - II.7.1.CP</t>
        </is>
      </c>
      <c r="D1577" s="386" t="inlineStr">
        <is>
          <t>Giấy phép hoạt động &gt;&gt; Ngày cấp</t>
        </is>
      </c>
      <c r="E1577" s="386" t="inlineStr">
        <is>
          <t>Giấy phép hoạt động &gt;&gt; Ngày cấp</t>
        </is>
      </c>
      <c r="F1577" s="386" t="inlineStr">
        <is>
          <t>Data Explorer</t>
        </is>
      </c>
      <c r="G1577" s="386" t="inlineStr">
        <is>
          <t>Chỉ tiêu cơ sở</t>
        </is>
      </c>
      <c r="H1577" s="386" t="inlineStr">
        <is>
          <t>Dễ</t>
        </is>
      </c>
      <c r="I1577" s="386" t="inlineStr">
        <is>
          <t>Ngày, CTCK</t>
        </is>
      </c>
      <c r="J1577" s="395" t="inlineStr">
        <is>
          <t>SCMS</t>
        </is>
      </c>
      <c r="K1577" s="395" t="n"/>
      <c r="L1577" s="395" t="inlineStr">
        <is>
          <t>X</t>
        </is>
      </c>
      <c r="M1577" s="395" t="n"/>
      <c r="N1577" s="395" t="inlineStr">
        <is>
          <t>Done</t>
        </is>
      </c>
      <c r="O1577" s="401" t="n"/>
      <c r="P1577" s="395" t="n"/>
      <c r="S1577" s="395" t="n"/>
      <c r="U1577" s="386" t="n"/>
      <c r="V1577" s="395" t="n"/>
      <c r="W1577" s="395" t="n"/>
      <c r="X1577" s="395" t="n"/>
      <c r="Y1577" s="38" t="n"/>
      <c r="Z1577" s="395" t="n"/>
      <c r="AA1577" s="395" t="n"/>
      <c r="AB1577" s="395" t="n"/>
      <c r="AC1577" s="395" t="n"/>
      <c r="AD1577" s="395" t="n"/>
      <c r="AE1577" s="395" t="n"/>
    </row>
    <row r="1578" ht="70" customHeight="1" s="380">
      <c r="A1578" s="73" t="n">
        <v>79</v>
      </c>
      <c r="B1578" s="386" t="n"/>
      <c r="C1578" s="386" t="inlineStr">
        <is>
          <t>Báo cáo theo Thông tư 121/2020/TT-BTC &gt;&gt; Giao dịch chứng khoán chưa niêm yết/đăng ký giao dịch - II.7.1.CP</t>
        </is>
      </c>
      <c r="D1578" s="386" t="inlineStr">
        <is>
          <t>Mã cổ phiếu</t>
        </is>
      </c>
      <c r="E1578" s="395" t="inlineStr">
        <is>
          <t>Mã cổ phiếu</t>
        </is>
      </c>
      <c r="F1578" s="386" t="inlineStr">
        <is>
          <t>Data Explorer</t>
        </is>
      </c>
      <c r="G1578" s="386" t="inlineStr">
        <is>
          <t>Chỉ tiêu cơ sở</t>
        </is>
      </c>
      <c r="H1578" s="386" t="inlineStr">
        <is>
          <t>TB</t>
        </is>
      </c>
      <c r="I1578" s="386" t="inlineStr">
        <is>
          <t>Ngày, CTCK</t>
        </is>
      </c>
      <c r="J1578" s="395" t="inlineStr">
        <is>
          <t>SCMS</t>
        </is>
      </c>
      <c r="K1578" s="395" t="n"/>
      <c r="L1578" s="395" t="inlineStr">
        <is>
          <t>X</t>
        </is>
      </c>
      <c r="M1578" s="395" t="n"/>
      <c r="N1578" s="395" t="inlineStr">
        <is>
          <t>Done</t>
        </is>
      </c>
      <c r="O1578" s="401" t="n"/>
      <c r="P1578" s="395" t="n"/>
      <c r="S1578" s="395" t="n"/>
      <c r="U1578" s="386" t="n"/>
      <c r="V1578" s="395" t="n"/>
      <c r="W1578" s="395" t="n"/>
      <c r="X1578" s="395" t="n"/>
      <c r="Y1578" s="13" t="n"/>
      <c r="Z1578" s="395" t="n"/>
      <c r="AA1578" s="395" t="n"/>
      <c r="AB1578" s="395" t="n"/>
      <c r="AC1578" s="395" t="n"/>
      <c r="AD1578" s="395" t="n"/>
      <c r="AE1578" s="395" t="n"/>
    </row>
    <row r="1579" ht="70" customHeight="1" s="380">
      <c r="A1579" s="73" t="n">
        <v>79</v>
      </c>
      <c r="B1579" s="386" t="n"/>
      <c r="C1579" s="386" t="inlineStr">
        <is>
          <t>Báo cáo theo Thông tư 121/2020/TT-BTC &gt;&gt; Giao dịch chứng khoán chưa niêm yết/đăng ký giao dịch - II.7.1.CP</t>
        </is>
      </c>
      <c r="D1579" s="386" t="inlineStr">
        <is>
          <t>Mua trong kỳ &gt;&gt; Khối lượng</t>
        </is>
      </c>
      <c r="E1579" s="395" t="inlineStr">
        <is>
          <t>Mua trong kỳ &gt;&gt; Khối lượng</t>
        </is>
      </c>
      <c r="F1579" s="386" t="inlineStr">
        <is>
          <t>Data Explorer</t>
        </is>
      </c>
      <c r="G1579" s="386" t="inlineStr">
        <is>
          <t>Chỉ tiêu cơ sở</t>
        </is>
      </c>
      <c r="H1579" s="386" t="inlineStr">
        <is>
          <t>TB</t>
        </is>
      </c>
      <c r="I1579" s="386" t="inlineStr">
        <is>
          <t>Ngày, CTCK</t>
        </is>
      </c>
      <c r="J1579" s="395" t="inlineStr">
        <is>
          <t>SCMS</t>
        </is>
      </c>
      <c r="K1579" s="395" t="n"/>
      <c r="L1579" s="395" t="inlineStr">
        <is>
          <t>X</t>
        </is>
      </c>
      <c r="M1579" s="395" t="n"/>
      <c r="N1579" s="395" t="inlineStr">
        <is>
          <t>Done</t>
        </is>
      </c>
      <c r="O1579" s="401" t="n"/>
      <c r="P1579" s="395" t="n"/>
      <c r="S1579" s="395" t="n"/>
      <c r="U1579" s="386" t="n"/>
      <c r="V1579" s="395" t="n"/>
      <c r="W1579" s="395" t="n"/>
      <c r="X1579" s="395" t="n"/>
      <c r="Y1579" s="13" t="n"/>
      <c r="Z1579" s="395" t="n"/>
      <c r="AA1579" s="395" t="n"/>
      <c r="AB1579" s="395" t="n"/>
      <c r="AC1579" s="395" t="n"/>
      <c r="AD1579" s="395" t="n"/>
      <c r="AE1579" s="395" t="n"/>
    </row>
    <row r="1580" ht="70" customHeight="1" s="380">
      <c r="A1580" s="73" t="n">
        <v>79</v>
      </c>
      <c r="B1580" s="386" t="n"/>
      <c r="C1580" s="386" t="inlineStr">
        <is>
          <t>Báo cáo theo Thông tư 121/2020/TT-BTC &gt;&gt; Giao dịch chứng khoán chưa niêm yết/đăng ký giao dịch - II.7.1.CP</t>
        </is>
      </c>
      <c r="D1580" s="386" t="inlineStr">
        <is>
          <t>Mua trong kỳ &gt;&gt; Giá trị (Triệu đồng)</t>
        </is>
      </c>
      <c r="E1580" s="395" t="inlineStr">
        <is>
          <t>Mua trong kỳ &gt;&gt; Giá trị (Triệu đồng)</t>
        </is>
      </c>
      <c r="F1580" s="386" t="inlineStr">
        <is>
          <t>Data Explorer</t>
        </is>
      </c>
      <c r="G1580" s="386" t="inlineStr">
        <is>
          <t>Chỉ tiêu cơ sở</t>
        </is>
      </c>
      <c r="H1580" s="386" t="inlineStr">
        <is>
          <t>TB</t>
        </is>
      </c>
      <c r="I1580" s="386" t="inlineStr">
        <is>
          <t>Ngày, CTCK</t>
        </is>
      </c>
      <c r="J1580" s="395" t="inlineStr">
        <is>
          <t>SCMS</t>
        </is>
      </c>
      <c r="K1580" s="395" t="n"/>
      <c r="L1580" s="395" t="inlineStr">
        <is>
          <t>X</t>
        </is>
      </c>
      <c r="M1580" s="395" t="n"/>
      <c r="N1580" s="395" t="inlineStr">
        <is>
          <t>Done</t>
        </is>
      </c>
      <c r="O1580" s="401" t="n"/>
      <c r="P1580" s="395" t="n"/>
      <c r="S1580" s="395" t="n"/>
      <c r="U1580" s="386" t="n"/>
      <c r="V1580" s="395" t="n"/>
      <c r="W1580" s="395" t="n"/>
      <c r="X1580" s="395" t="n"/>
      <c r="Y1580" s="13" t="n"/>
      <c r="Z1580" s="395" t="n"/>
      <c r="AA1580" s="395" t="n"/>
      <c r="AB1580" s="395" t="n"/>
      <c r="AC1580" s="395" t="n"/>
      <c r="AD1580" s="395" t="n"/>
      <c r="AE1580" s="395" t="n"/>
    </row>
    <row r="1581" ht="70" customHeight="1" s="380">
      <c r="A1581" s="73" t="n">
        <v>79</v>
      </c>
      <c r="B1581" s="386" t="n"/>
      <c r="C1581" s="386" t="inlineStr">
        <is>
          <t>Báo cáo theo Thông tư 121/2020/TT-BTC &gt;&gt; Giao dịch chứng khoán chưa niêm yết/đăng ký giao dịch - II.7.1.CP</t>
        </is>
      </c>
      <c r="D1581" s="386" t="inlineStr">
        <is>
          <t>Bán trong kỳ &gt;&gt; Khối lượng</t>
        </is>
      </c>
      <c r="E1581" s="395" t="inlineStr">
        <is>
          <t>Bán trong kỳ &gt;&gt; Khối lượng</t>
        </is>
      </c>
      <c r="F1581" s="386" t="inlineStr">
        <is>
          <t>Data Explorer</t>
        </is>
      </c>
      <c r="G1581" s="386" t="inlineStr">
        <is>
          <t>Chỉ tiêu cơ sở</t>
        </is>
      </c>
      <c r="H1581" s="386" t="inlineStr">
        <is>
          <t>TB</t>
        </is>
      </c>
      <c r="I1581" s="386" t="inlineStr">
        <is>
          <t>Ngày, CTCK</t>
        </is>
      </c>
      <c r="J1581" s="395" t="inlineStr">
        <is>
          <t>SCMS</t>
        </is>
      </c>
      <c r="K1581" s="395" t="n"/>
      <c r="L1581" s="395" t="inlineStr">
        <is>
          <t>X</t>
        </is>
      </c>
      <c r="M1581" s="395" t="n"/>
      <c r="N1581" s="395" t="inlineStr">
        <is>
          <t>Done</t>
        </is>
      </c>
      <c r="O1581" s="401" t="n"/>
      <c r="P1581" s="395" t="n"/>
      <c r="S1581" s="395" t="n"/>
      <c r="U1581" s="386" t="n"/>
      <c r="V1581" s="395" t="n"/>
      <c r="W1581" s="395" t="n"/>
      <c r="X1581" s="395" t="n"/>
      <c r="Y1581" s="13" t="n"/>
      <c r="Z1581" s="395" t="n"/>
      <c r="AA1581" s="395" t="n"/>
      <c r="AB1581" s="395" t="n"/>
      <c r="AC1581" s="395" t="n"/>
      <c r="AD1581" s="395" t="n"/>
      <c r="AE1581" s="395" t="n"/>
    </row>
    <row r="1582" ht="70" customHeight="1" s="380">
      <c r="A1582" s="83" t="n">
        <v>79</v>
      </c>
      <c r="B1582" s="68" t="n"/>
      <c r="C1582" s="68" t="inlineStr">
        <is>
          <t>Báo cáo theo Thông tư 121/2020/TT-BTC &gt;&gt; Giao dịch chứng khoán chưa niêm yết/đăng ký giao dịch - II.7.1.CP</t>
        </is>
      </c>
      <c r="D1582" s="68" t="inlineStr">
        <is>
          <t>Bán trong kỳ &gt;&gt; Giá trị (Triệu đồng)</t>
        </is>
      </c>
      <c r="E1582" s="69" t="inlineStr">
        <is>
          <t>Bán trong kỳ &gt;&gt; Giá trị (Triệu đồng)</t>
        </is>
      </c>
      <c r="F1582" s="68" t="inlineStr">
        <is>
          <t>Data Explorer</t>
        </is>
      </c>
      <c r="G1582" s="68" t="inlineStr">
        <is>
          <t>Chỉ tiêu cơ sở</t>
        </is>
      </c>
      <c r="H1582" s="68" t="inlineStr">
        <is>
          <t>TB</t>
        </is>
      </c>
      <c r="I1582" s="68" t="inlineStr">
        <is>
          <t>Ngày, CTCK</t>
        </is>
      </c>
      <c r="J1582" s="69" t="inlineStr">
        <is>
          <t>SCMS</t>
        </is>
      </c>
      <c r="K1582" s="69" t="n"/>
      <c r="L1582" s="69" t="inlineStr">
        <is>
          <t>X</t>
        </is>
      </c>
      <c r="M1582" s="69" t="n"/>
      <c r="N1582" s="69" t="inlineStr">
        <is>
          <t>Done</t>
        </is>
      </c>
      <c r="O1582" s="85" t="n"/>
      <c r="P1582" s="69" t="n"/>
      <c r="Q1582" s="426" t="n"/>
      <c r="R1582" s="426" t="n"/>
      <c r="S1582" s="69" t="n"/>
      <c r="T1582" s="426" t="n"/>
      <c r="U1582" s="68" t="n"/>
      <c r="V1582" s="69" t="n"/>
      <c r="W1582" s="69" t="n"/>
      <c r="X1582" s="69" t="n"/>
      <c r="Y1582" s="97" t="n"/>
      <c r="Z1582" s="69" t="n"/>
      <c r="AA1582" s="69" t="n"/>
      <c r="AB1582" s="69" t="n"/>
      <c r="AC1582" s="69" t="n"/>
      <c r="AD1582" s="69" t="n"/>
      <c r="AE1582" s="69" t="n"/>
    </row>
    <row r="1583" ht="42" customHeight="1" s="380">
      <c r="A1583" s="73" t="n">
        <v>80</v>
      </c>
      <c r="B1583" s="122" t="inlineStr">
        <is>
          <t>Nga</t>
        </is>
      </c>
      <c r="C1583" s="81" t="inlineStr">
        <is>
          <t>Báo cáo theo Thông tư 121/2020/TT-BTC &gt;&gt; Giao dịch trái phiếu - II.7.2.TP</t>
        </is>
      </c>
      <c r="D1583" s="106" t="inlineStr">
        <is>
          <t>Loại báo cáo</t>
        </is>
      </c>
      <c r="E1583" s="107" t="inlineStr">
        <is>
          <t>Loại báo cáo</t>
        </is>
      </c>
      <c r="F1583" s="390" t="inlineStr">
        <is>
          <t>Data Explorer</t>
        </is>
      </c>
      <c r="G1583" s="390" t="inlineStr">
        <is>
          <t>Chiều</t>
        </is>
      </c>
      <c r="H1583" s="390" t="inlineStr">
        <is>
          <t>Dễ</t>
        </is>
      </c>
      <c r="I1583" s="390" t="inlineStr">
        <is>
          <t>Ngày, CTCK</t>
        </is>
      </c>
      <c r="J1583" s="401" t="inlineStr">
        <is>
          <t>SCMS</t>
        </is>
      </c>
      <c r="K1583" s="401" t="inlineStr">
        <is>
          <t>X</t>
        </is>
      </c>
      <c r="L1583" s="395" t="inlineStr">
        <is>
          <t>X</t>
        </is>
      </c>
      <c r="M1583" s="401" t="n"/>
      <c r="N1583" s="395" t="inlineStr">
        <is>
          <t>Done</t>
        </is>
      </c>
      <c r="O1583" s="401" t="n"/>
      <c r="P1583" s="395" t="n"/>
      <c r="Q1583" s="404" t="inlineStr">
        <is>
          <t>SCMS.BM_BAO_CAO
SCMS.BM_BAO_CAO_DINH_KY</t>
        </is>
      </c>
      <c r="R1583" s="404" t="inlineStr">
        <is>
          <t>bm.ID,
bm.MA_BAO_CAO,
bm.LOAI_BAO_CAO,
bm.TEN_BAO_CAO,
bm.SU_DUNG,
bdk.BM_BAO_CAO_ID,
bdk.KY_BAO_CAO,
bdk.SU_DUNG</t>
        </is>
      </c>
      <c r="S1583" s="395" t="n"/>
      <c r="T1583"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583" s="386" t="n"/>
      <c r="V1583" s="395" t="n"/>
      <c r="W1583" s="395" t="n"/>
      <c r="X1583" s="395" t="n"/>
      <c r="Y1583" s="14" t="n"/>
      <c r="Z1583" s="395" t="n"/>
      <c r="AA1583" s="395" t="n"/>
      <c r="AB1583" s="395" t="n"/>
      <c r="AC1583" s="395" t="n"/>
      <c r="AD1583" s="395" t="n"/>
      <c r="AE1583" s="395" t="n"/>
    </row>
    <row r="1584" ht="42" customHeight="1" s="380">
      <c r="A1584" s="73" t="n">
        <v>80</v>
      </c>
      <c r="B1584" s="386" t="n"/>
      <c r="C1584" s="386" t="inlineStr">
        <is>
          <t>Báo cáo theo Thông tư 121/2020/TT-BTC &gt;&gt; Giao dịch trái phiếu - II.7.2.TP</t>
        </is>
      </c>
      <c r="D1584" s="106" t="inlineStr">
        <is>
          <t>Kỳ báo cáo</t>
        </is>
      </c>
      <c r="E1584" s="107" t="inlineStr">
        <is>
          <t>Kỳ báo cáo</t>
        </is>
      </c>
      <c r="F1584" s="390" t="inlineStr">
        <is>
          <t>Data Explorer</t>
        </is>
      </c>
      <c r="G1584" s="390" t="inlineStr">
        <is>
          <t>Chiều</t>
        </is>
      </c>
      <c r="H1584" s="390" t="inlineStr">
        <is>
          <t>Dễ</t>
        </is>
      </c>
      <c r="I1584" s="390" t="inlineStr">
        <is>
          <t>Ngày, CTCK</t>
        </is>
      </c>
      <c r="J1584" s="401" t="inlineStr">
        <is>
          <t>SCMS</t>
        </is>
      </c>
      <c r="K1584" s="401" t="inlineStr">
        <is>
          <t>X</t>
        </is>
      </c>
      <c r="L1584" s="395" t="inlineStr">
        <is>
          <t>X</t>
        </is>
      </c>
      <c r="M1584" s="401" t="n"/>
      <c r="N1584" s="395" t="inlineStr">
        <is>
          <t>Done</t>
        </is>
      </c>
      <c r="O1584" s="401" t="n"/>
      <c r="P1584" s="395" t="n"/>
      <c r="S1584" s="395" t="n"/>
      <c r="U1584" s="386" t="n"/>
      <c r="V1584" s="395" t="n"/>
      <c r="W1584" s="395" t="n"/>
      <c r="X1584" s="395" t="n"/>
      <c r="Y1584" s="6" t="n"/>
      <c r="Z1584" s="395" t="n"/>
      <c r="AA1584" s="395" t="n"/>
      <c r="AB1584" s="395" t="n"/>
      <c r="AC1584" s="395" t="n"/>
      <c r="AD1584" s="395" t="n"/>
      <c r="AE1584" s="395" t="n"/>
    </row>
    <row r="1585" ht="42" customHeight="1" s="380">
      <c r="A1585" s="73" t="n">
        <v>80</v>
      </c>
      <c r="B1585" s="386" t="n"/>
      <c r="C1585" s="386" t="inlineStr">
        <is>
          <t>Báo cáo theo Thông tư 121/2020/TT-BTC &gt;&gt; Giao dịch trái phiếu - II.7.2.TP</t>
        </is>
      </c>
      <c r="D1585" s="106" t="inlineStr">
        <is>
          <t>Mã báo cáo</t>
        </is>
      </c>
      <c r="E1585" s="107" t="inlineStr">
        <is>
          <t>Mã báo cáo</t>
        </is>
      </c>
      <c r="F1585" s="390" t="inlineStr">
        <is>
          <t>Data Explorer</t>
        </is>
      </c>
      <c r="G1585" s="390" t="inlineStr">
        <is>
          <t>Chiều</t>
        </is>
      </c>
      <c r="H1585" s="390" t="inlineStr">
        <is>
          <t>Dễ</t>
        </is>
      </c>
      <c r="I1585" s="390" t="inlineStr">
        <is>
          <t>Ngày, CTCK</t>
        </is>
      </c>
      <c r="J1585" s="401" t="inlineStr">
        <is>
          <t>SCMS</t>
        </is>
      </c>
      <c r="K1585" s="401" t="inlineStr">
        <is>
          <t>X</t>
        </is>
      </c>
      <c r="L1585" s="395" t="inlineStr">
        <is>
          <t>X</t>
        </is>
      </c>
      <c r="M1585" s="401" t="n"/>
      <c r="N1585" s="395" t="inlineStr">
        <is>
          <t>Done</t>
        </is>
      </c>
      <c r="O1585" s="401" t="n"/>
      <c r="P1585" s="395" t="n"/>
      <c r="S1585" s="395" t="n"/>
      <c r="U1585" s="386" t="n"/>
      <c r="V1585" s="395" t="n"/>
      <c r="W1585" s="395" t="n"/>
      <c r="X1585" s="395" t="n"/>
      <c r="Y1585" s="6" t="n"/>
      <c r="Z1585" s="395" t="n"/>
      <c r="AA1585" s="395" t="n"/>
      <c r="AB1585" s="395" t="n"/>
      <c r="AC1585" s="395" t="n"/>
      <c r="AD1585" s="395" t="n"/>
      <c r="AE1585" s="395" t="n"/>
    </row>
    <row r="1586" ht="42" customHeight="1" s="380">
      <c r="A1586" s="73" t="n">
        <v>80</v>
      </c>
      <c r="B1586" s="386" t="n"/>
      <c r="C1586" s="386" t="inlineStr">
        <is>
          <t>Báo cáo theo Thông tư 121/2020/TT-BTC &gt;&gt; Giao dịch trái phiếu - II.7.2.TP</t>
        </is>
      </c>
      <c r="D1586" s="106" t="inlineStr">
        <is>
          <t>Tên báo cáo</t>
        </is>
      </c>
      <c r="E1586" s="107" t="inlineStr">
        <is>
          <t>Tên báo cáo</t>
        </is>
      </c>
      <c r="F1586" s="390" t="inlineStr">
        <is>
          <t>Data Explorer</t>
        </is>
      </c>
      <c r="G1586" s="390" t="inlineStr">
        <is>
          <t>Chiều</t>
        </is>
      </c>
      <c r="H1586" s="390" t="inlineStr">
        <is>
          <t>Dễ</t>
        </is>
      </c>
      <c r="I1586" s="390" t="inlineStr">
        <is>
          <t>Ngày, CTCK</t>
        </is>
      </c>
      <c r="J1586" s="401" t="inlineStr">
        <is>
          <t>SCMS</t>
        </is>
      </c>
      <c r="K1586" s="401" t="inlineStr">
        <is>
          <t>X</t>
        </is>
      </c>
      <c r="L1586" s="395" t="inlineStr">
        <is>
          <t>X</t>
        </is>
      </c>
      <c r="M1586" s="401" t="n"/>
      <c r="N1586" s="395" t="inlineStr">
        <is>
          <t>Done</t>
        </is>
      </c>
      <c r="O1586" s="401" t="n"/>
      <c r="P1586" s="395" t="n"/>
      <c r="S1586" s="395" t="n"/>
      <c r="U1586" s="386" t="n"/>
      <c r="V1586" s="395" t="n"/>
      <c r="W1586" s="395" t="n"/>
      <c r="X1586" s="395" t="n"/>
      <c r="Y1586" s="395" t="n"/>
      <c r="Z1586" s="395" t="n"/>
      <c r="AA1586" s="395" t="n"/>
      <c r="AB1586" s="395" t="n"/>
      <c r="AC1586" s="395" t="n"/>
      <c r="AD1586" s="395" t="n"/>
      <c r="AE1586" s="395" t="n"/>
    </row>
    <row r="1587" ht="42" customHeight="1" s="380">
      <c r="A1587" s="73" t="n">
        <v>80</v>
      </c>
      <c r="B1587" s="386" t="n"/>
      <c r="C1587" s="386" t="inlineStr">
        <is>
          <t>Báo cáo theo Thông tư 121/2020/TT-BTC &gt;&gt; Giao dịch trái phiếu - II.7.2.TP</t>
        </is>
      </c>
      <c r="D1587" s="106" t="inlineStr">
        <is>
          <t>Mã sheet</t>
        </is>
      </c>
      <c r="E1587" s="106" t="inlineStr">
        <is>
          <t>Mã sheet</t>
        </is>
      </c>
      <c r="F1587" s="390" t="inlineStr">
        <is>
          <t>Data Explorer</t>
        </is>
      </c>
      <c r="G1587" s="390" t="inlineStr">
        <is>
          <t>Chiều</t>
        </is>
      </c>
      <c r="H1587" s="390" t="inlineStr">
        <is>
          <t>Dễ</t>
        </is>
      </c>
      <c r="I1587" s="390" t="inlineStr">
        <is>
          <t>Ngày, CTCK</t>
        </is>
      </c>
      <c r="J1587" s="401" t="inlineStr">
        <is>
          <t>SCMS</t>
        </is>
      </c>
      <c r="K1587" s="401" t="inlineStr">
        <is>
          <t>X</t>
        </is>
      </c>
      <c r="L1587" s="395" t="inlineStr">
        <is>
          <t>X</t>
        </is>
      </c>
      <c r="M1587" s="401" t="n"/>
      <c r="N1587" s="395" t="inlineStr">
        <is>
          <t>Done</t>
        </is>
      </c>
      <c r="O1587" s="401" t="n"/>
      <c r="P1587" s="395" t="n"/>
      <c r="Q1587" s="401" t="inlineStr">
        <is>
          <t>SCMS.BM_BAO_CAO
SCMS.BM_SHEET</t>
        </is>
      </c>
      <c r="R1587" s="401" t="inlineStr">
        <is>
          <t>bm.ID,
bm.MA_BAO_CAO,
bm.SU_DUNG,
s.BM_BAO_CAO_ID,
s.MA_SHEET,
s.TEN_SHEET,
s.SAP_XEP</t>
        </is>
      </c>
      <c r="S1587" s="395" t="n"/>
      <c r="T1587" s="384" t="inlineStr">
        <is>
          <t>-- Mã sheet / Tên sheet
-- TEN_SHEET: GDCKCNY
SELECT bm.MA_BAO_CAO,
s.MA_SHEET,
s.TEN_SHEET
FROM SCMS.BM_BAO_CAO bm
JOIN SCMS.BM_SHEET s ON s.BM_BAO_CAO_ID = bm.ID
WHERE bm.MA_BAO_CAO LIKE 'BCTHHDKD%'
AND s.TEN_SHEET = 'GDCKCNY'  -- Check lại
AND bm.SU_DUNG = 1
ORDER BY bm.MA_BAO_CAO, s.SAP_XEP;</t>
        </is>
      </c>
      <c r="U1587" s="386" t="n"/>
      <c r="V1587" s="395" t="n"/>
      <c r="W1587" s="395" t="n"/>
      <c r="X1587" s="395" t="n"/>
      <c r="Y1587" s="395" t="n"/>
      <c r="Z1587" s="395" t="n"/>
      <c r="AA1587" s="395" t="n"/>
      <c r="AB1587" s="395" t="n"/>
      <c r="AC1587" s="395" t="n"/>
      <c r="AD1587" s="395" t="n"/>
      <c r="AE1587" s="395" t="n"/>
    </row>
    <row r="1588" ht="42" customHeight="1" s="380">
      <c r="A1588" s="73" t="n">
        <v>80</v>
      </c>
      <c r="B1588" s="386" t="n"/>
      <c r="C1588" s="386" t="inlineStr">
        <is>
          <t>Báo cáo theo Thông tư 121/2020/TT-BTC &gt;&gt; Giao dịch trái phiếu - II.7.2.TP</t>
        </is>
      </c>
      <c r="D1588" s="106" t="inlineStr">
        <is>
          <t>Tên sheet</t>
        </is>
      </c>
      <c r="E1588" s="106" t="inlineStr">
        <is>
          <t>Tên sheet</t>
        </is>
      </c>
      <c r="F1588" s="390" t="inlineStr">
        <is>
          <t>Data Explorer</t>
        </is>
      </c>
      <c r="G1588" s="390" t="inlineStr">
        <is>
          <t>Chiều</t>
        </is>
      </c>
      <c r="H1588" s="390" t="inlineStr">
        <is>
          <t>Dễ</t>
        </is>
      </c>
      <c r="I1588" s="390" t="inlineStr">
        <is>
          <t>Ngày, CTCK</t>
        </is>
      </c>
      <c r="J1588" s="401" t="inlineStr">
        <is>
          <t>SCMS</t>
        </is>
      </c>
      <c r="K1588" s="401" t="inlineStr">
        <is>
          <t>X</t>
        </is>
      </c>
      <c r="L1588" s="395" t="inlineStr">
        <is>
          <t>X</t>
        </is>
      </c>
      <c r="M1588" s="401" t="n"/>
      <c r="N1588" s="395" t="inlineStr">
        <is>
          <t>Done</t>
        </is>
      </c>
      <c r="O1588" s="401" t="n"/>
      <c r="P1588" s="395" t="n"/>
      <c r="S1588" s="395" t="n"/>
      <c r="U1588" s="386" t="n"/>
      <c r="V1588" s="395" t="n"/>
      <c r="W1588" s="395" t="n"/>
      <c r="X1588" s="395" t="n"/>
      <c r="Y1588" s="395" t="n"/>
      <c r="Z1588" s="395" t="n"/>
      <c r="AA1588" s="395" t="n"/>
      <c r="AB1588" s="395" t="n"/>
      <c r="AC1588" s="395" t="n"/>
      <c r="AD1588" s="395" t="n"/>
      <c r="AE1588" s="395" t="n"/>
    </row>
    <row r="1589" ht="42" customHeight="1" s="380">
      <c r="A1589" s="73" t="n">
        <v>80</v>
      </c>
      <c r="B1589" s="386" t="n"/>
      <c r="C1589" s="386" t="inlineStr">
        <is>
          <t>Báo cáo theo Thông tư 121/2020/TT-BTC &gt;&gt; Giao dịch trái phiếu - II.7.2.TP</t>
        </is>
      </c>
      <c r="D1589" s="106" t="inlineStr">
        <is>
          <t>Mã chỉ tiêu</t>
        </is>
      </c>
      <c r="E1589" s="107" t="inlineStr">
        <is>
          <t>Mã chỉ tiêu</t>
        </is>
      </c>
      <c r="F1589" s="390" t="inlineStr">
        <is>
          <t>Data Explorer</t>
        </is>
      </c>
      <c r="G1589" s="390" t="inlineStr">
        <is>
          <t>Chiều</t>
        </is>
      </c>
      <c r="H1589" s="390" t="inlineStr">
        <is>
          <t>Dễ</t>
        </is>
      </c>
      <c r="I1589" s="390" t="inlineStr">
        <is>
          <t>Ngày, CTCK</t>
        </is>
      </c>
      <c r="J1589" s="401" t="inlineStr">
        <is>
          <t>SCMS</t>
        </is>
      </c>
      <c r="K1589" s="401" t="inlineStr">
        <is>
          <t>X</t>
        </is>
      </c>
      <c r="L1589" s="395" t="inlineStr">
        <is>
          <t>X</t>
        </is>
      </c>
      <c r="M1589" s="401" t="n"/>
      <c r="N1589" s="395" t="inlineStr">
        <is>
          <t>Done</t>
        </is>
      </c>
      <c r="O1589" s="401" t="n"/>
      <c r="P1589" s="395" t="n"/>
      <c r="Q1589" s="401" t="inlineStr">
        <is>
          <t>SCMS.BM_BAO_CAO
SCMS.BM_SHEET
SCMS.BM_BAO_CAO_CT
SCMS.DM_CHI_TIEU</t>
        </is>
      </c>
      <c r="R1589" s="402" t="inlineStr">
        <is>
          <t>dct.ID,
dct.MA_CHI_TIEU,
dct.TEN_CHI_TIEU,
dct.SU_DUNG,
s.BM_BAO_CAO_ID,
s.MA_SHEET,
ct.BM_BAO_CAO_ID,
ct.DM_CHI_TIEU_ID,
ct.SU_DUNG,
bm.ID,
bm.MA_BAO_CAO,
bm.SU_DUNG</t>
        </is>
      </c>
      <c r="S1589" s="395" t="n"/>
      <c r="T1589" s="384" t="inlineStr">
        <is>
          <t>-- Mã chỉ tiêu / Tên chỉ tiêu
SELECT DISTINCT
    dct.MA_CHI_TIEU  AS ma_chi_tieu,
    dct.TEN_CHI_TIEU AS ten_chi_tieu
FROM SCMS.BM_BAO_CAO bm
JOIN SCMS.BM_SHEET s ON s.BM_BAO_CAO_ID = bm.ID
	AND s.TEN_SHEET = 'GDCKCNY'
JOIN SCMS.BM_BAO_CAO_CT ct ON ct.BM_SHEET_ID = s.ID
	AND ct.SU_DUNG = 1
JOIN SCMS.DM_CHI_TIEU dct ON dct.ID = ct.DM_CHI_TIEU_ID
	AND dct.SU_DUNG = 1
WHERE bm.MA_BAO_CAO LIKE 'BCTHHDKD%'
	AND bm.SU_DUNG = 1
ORDER BY dct.MA_CHI_TIEU;</t>
        </is>
      </c>
      <c r="U1589" s="386" t="n"/>
      <c r="V1589" s="395" t="n"/>
      <c r="W1589" s="395" t="n"/>
      <c r="X1589" s="395" t="n"/>
      <c r="Y1589" s="395" t="n"/>
      <c r="Z1589" s="395" t="n"/>
      <c r="AA1589" s="395" t="n"/>
      <c r="AB1589" s="395" t="n"/>
      <c r="AC1589" s="395" t="n"/>
      <c r="AD1589" s="395" t="n"/>
      <c r="AE1589" s="395" t="n"/>
    </row>
    <row r="1590" ht="42" customHeight="1" s="380">
      <c r="A1590" s="73" t="n">
        <v>80</v>
      </c>
      <c r="B1590" s="386" t="n"/>
      <c r="C1590" s="386" t="inlineStr">
        <is>
          <t>Báo cáo theo Thông tư 121/2020/TT-BTC &gt;&gt; Giao dịch trái phiếu - II.7.2.TP</t>
        </is>
      </c>
      <c r="D1590" s="106" t="inlineStr">
        <is>
          <t>Tên chỉ tiêu</t>
        </is>
      </c>
      <c r="E1590" s="107" t="inlineStr">
        <is>
          <t>Tên chỉ tiêu</t>
        </is>
      </c>
      <c r="F1590" s="390" t="inlineStr">
        <is>
          <t>Data Explorer</t>
        </is>
      </c>
      <c r="G1590" s="390" t="inlineStr">
        <is>
          <t>Chiều</t>
        </is>
      </c>
      <c r="H1590" s="390" t="inlineStr">
        <is>
          <t>Dễ</t>
        </is>
      </c>
      <c r="I1590" s="390" t="inlineStr">
        <is>
          <t>Ngày, CTCK</t>
        </is>
      </c>
      <c r="J1590" s="401" t="inlineStr">
        <is>
          <t>SCMS</t>
        </is>
      </c>
      <c r="K1590" s="401" t="inlineStr">
        <is>
          <t>X</t>
        </is>
      </c>
      <c r="L1590" s="395" t="inlineStr">
        <is>
          <t>X</t>
        </is>
      </c>
      <c r="M1590" s="401" t="n"/>
      <c r="N1590" s="395" t="inlineStr">
        <is>
          <t>Done</t>
        </is>
      </c>
      <c r="O1590" s="401" t="n"/>
      <c r="P1590" s="395" t="n"/>
      <c r="S1590" s="395" t="n"/>
      <c r="U1590" s="386" t="n"/>
      <c r="V1590" s="395" t="n"/>
      <c r="W1590" s="395" t="n"/>
      <c r="X1590" s="395" t="n"/>
      <c r="Y1590" s="395" t="n"/>
      <c r="Z1590" s="395" t="n"/>
      <c r="AA1590" s="395" t="n"/>
      <c r="AB1590" s="395" t="n"/>
      <c r="AC1590" s="395" t="n"/>
      <c r="AD1590" s="395" t="n"/>
      <c r="AE1590" s="395" t="n"/>
    </row>
    <row r="1591" ht="42" customHeight="1" s="380">
      <c r="A1591" s="73" t="n">
        <v>80</v>
      </c>
      <c r="B1591" s="386" t="n"/>
      <c r="C1591" s="386" t="inlineStr">
        <is>
          <t>Báo cáo theo Thông tư 121/2020/TT-BTC &gt;&gt; Giao dịch trái phiếu - II.7.2.TP</t>
        </is>
      </c>
      <c r="D1591" s="386" t="inlineStr">
        <is>
          <t>Tên công ty chứng khoán</t>
        </is>
      </c>
      <c r="E1591" s="386" t="inlineStr">
        <is>
          <t>Tên công ty chứng khoán</t>
        </is>
      </c>
      <c r="F1591" s="386" t="inlineStr">
        <is>
          <t>Data Explorer</t>
        </is>
      </c>
      <c r="G1591" s="386" t="inlineStr">
        <is>
          <t>Chỉ tiêu cơ sở</t>
        </is>
      </c>
      <c r="H1591" s="386" t="inlineStr">
        <is>
          <t>Dễ</t>
        </is>
      </c>
      <c r="I1591" s="386" t="inlineStr">
        <is>
          <t>Ngày, CTCK</t>
        </is>
      </c>
      <c r="J1591" s="395" t="inlineStr">
        <is>
          <t>SCMS</t>
        </is>
      </c>
      <c r="K1591" s="395" t="n"/>
      <c r="L1591" s="395" t="inlineStr">
        <is>
          <t>X</t>
        </is>
      </c>
      <c r="M1591" s="395" t="n"/>
      <c r="N1591" s="395" t="inlineStr">
        <is>
          <t>Done</t>
        </is>
      </c>
      <c r="O1591" s="401" t="n"/>
      <c r="P1591" s="395" t="n"/>
      <c r="Q1591" s="427" t="inlineStr">
        <is>
          <t>SCMS.BC_THANH_VIEN
SCMS.BM_BAO_CAO
SCMS.BC_BAO_CAO_GT
SCMS.BM_BAO_CAO_HANG
SCMS.BM_BAO_CAO_COT
SCMS.CTCK_THONG_TIN</t>
        </is>
      </c>
      <c r="R1591" s="427" t="inlineStr">
        <is>
          <t>btv.ID,
btv.NGAY_SO_LIEU,
btv.BM_BAO_CAO_ID,
btv.CTCK_THONG_TIN_ID,
btv.TRANG_THAI,
c.CTCK_THONG_TIN_ID,
bsh.ID,
bsh.MA_HANG,
bsc.MA_COT,
bsc.TEN_COT,
bsc.BM_SHEET_ID,
gt.BC_THANH_VIEN_ID,
gt.BM_SHEET_ID,
gt.BM_SHEET_HANG_ID,
gt.GIA_TRI,
bm.ID,
bm.MA_BAO_CAO</t>
        </is>
      </c>
      <c r="S1591" s="395" t="n"/>
      <c r="T1591"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bsh.MA_HANG='2' AND bsc.TEN_COT=N'Chứng khoán' THEN CAST(gt.GIA_TRI AS VARCHAR2(4000)) END) AS "Tên trái phiếu",
    MAX(CASE WHEN bsh.MA_HANG='2' AND bsc.MA_COT='3' AND gt.GIA_TRI IS NOT NULL THEN N'&lt;= 2 năm'
		     WHEN bsh.MA_HANG='2' AND bsc.MA_COT='4' AND gt.GIA_TRI IS NOT NULL THEN N'&gt; 2 năm và &lt; 5 năm'
		     WHEN bsh.MA_HANG='2' AND bsc.MA_COT='5' AND gt.GIA_TRI IS NOT NULL THEN N'&gt;= 5 năm'
		END) AS "Kỳ hạn",
    MAX(CASE WHEN bsh.MA_HANG='2' AND bsc.TEN_COT=N'Khối lượng' AND bsc.MA_COT='6' THEN CAST(gt.GIA_TRI AS VARCHAR2(4000)) END) AS "Khối lượng mua trong kỳ",
    MAX(CASE WHEN bsh.MA_HANG='2' AND bsc.TEN_COT=N'Giá trị (Triệu đồng)' AND bsc.MA_COT='7' THEN CAST(gt.GIA_TRI AS VARCHAR2(4000)) END) AS "Giá trị mua trong kỳ",
    MAX(CASE WHEN bsh.MA_HANG='2' AND bsc.TEN_COT=N'Khối lượng' AND bsc.MA_COT='8' THEN CAST(gt.GIA_TRI AS VARCHAR2(4000)) END) AS "Khối lượng bán trong kỳ",
    MAX(CASE WHEN bsh.MA_HANG='2' AND bsc.TEN_COT=N'Giá trị (Triệu đồng)' AND bsc.MA_COT='9' THEN CAST(gt.GIA_TRI AS VARCHAR2(4000)) END) AS "Giá trị bán trong kỳ"
FROM SCMS.BC_THANH_VIEN btv
JOIN SCMS.BM_BAO_CAO bm ON bm.ID = btv.BM_BAO_CAO_ID
JOIN SCMS.BC_BAO_CAO_GT gt ON gt.BC_THANH_VIEN_ID = btv.ID
JOIN SCMS.BM_BAO_CAO_HANG bsh ON bsh.ID = gt.BM_SHEET_HANG_ID
JOIN SCMS.BM_BAO_CAO_COT bsc ON bsc.BM_SHEET_ID = 7418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is>
      </c>
      <c r="U1591" s="386" t="n"/>
      <c r="V1591" s="395" t="n"/>
      <c r="W1591" s="395" t="n"/>
      <c r="X1591" s="395" t="n"/>
      <c r="Y1591" s="395" t="n"/>
      <c r="Z1591" s="395" t="n"/>
      <c r="AA1591" s="395" t="n"/>
      <c r="AB1591" s="395" t="n"/>
      <c r="AC1591" s="395" t="n"/>
      <c r="AD1591" s="395" t="n"/>
      <c r="AE1591" s="395" t="n"/>
    </row>
    <row r="1592" ht="42" customHeight="1" s="380">
      <c r="A1592" s="73" t="n">
        <v>80</v>
      </c>
      <c r="B1592" s="386" t="n"/>
      <c r="C1592" s="386" t="inlineStr">
        <is>
          <t>Báo cáo theo Thông tư 121/2020/TT-BTC &gt;&gt; Giao dịch trái phiếu - II.7.2.TP</t>
        </is>
      </c>
      <c r="D1592" s="386" t="inlineStr">
        <is>
          <t>Sàn giao dịch</t>
        </is>
      </c>
      <c r="E1592" s="386" t="inlineStr">
        <is>
          <t>Sàn giao dịch</t>
        </is>
      </c>
      <c r="F1592" s="386" t="inlineStr">
        <is>
          <t>Data Explorer</t>
        </is>
      </c>
      <c r="G1592" s="386" t="inlineStr">
        <is>
          <t>Chỉ tiêu cơ sở</t>
        </is>
      </c>
      <c r="H1592" s="386" t="inlineStr">
        <is>
          <t>Dễ</t>
        </is>
      </c>
      <c r="I1592" s="386" t="inlineStr">
        <is>
          <t>Ngày, CTCK</t>
        </is>
      </c>
      <c r="J1592" s="395" t="inlineStr">
        <is>
          <t>SCMS</t>
        </is>
      </c>
      <c r="K1592" s="395" t="n"/>
      <c r="L1592" s="395" t="inlineStr">
        <is>
          <t>X</t>
        </is>
      </c>
      <c r="M1592" s="395" t="n"/>
      <c r="N1592" s="395" t="inlineStr">
        <is>
          <t>Done</t>
        </is>
      </c>
      <c r="O1592" s="401" t="n"/>
      <c r="P1592" s="395" t="n"/>
      <c r="S1592" s="395" t="n"/>
      <c r="U1592" s="386" t="n"/>
      <c r="V1592" s="395" t="n"/>
      <c r="W1592" s="395" t="n"/>
      <c r="X1592" s="395" t="n"/>
      <c r="Y1592" s="395" t="n"/>
      <c r="Z1592" s="395" t="n"/>
      <c r="AA1592" s="395" t="n"/>
      <c r="AB1592" s="395" t="n"/>
      <c r="AC1592" s="395" t="n"/>
      <c r="AD1592" s="395" t="n"/>
      <c r="AE1592" s="395" t="n"/>
    </row>
    <row r="1593" ht="42" customHeight="1" s="380">
      <c r="A1593" s="73" t="n">
        <v>80</v>
      </c>
      <c r="B1593" s="386" t="n"/>
      <c r="C1593" s="386" t="inlineStr">
        <is>
          <t>Báo cáo theo Thông tư 121/2020/TT-BTC &gt;&gt; Giao dịch trái phiếu - II.7.2.TP</t>
        </is>
      </c>
      <c r="D1593" s="386" t="inlineStr">
        <is>
          <t>Mã chứng khoán</t>
        </is>
      </c>
      <c r="E1593" s="386" t="inlineStr">
        <is>
          <t>Mã chứng khoán</t>
        </is>
      </c>
      <c r="F1593" s="386" t="inlineStr">
        <is>
          <t>Data Explorer</t>
        </is>
      </c>
      <c r="G1593" s="386" t="inlineStr">
        <is>
          <t>Chỉ tiêu cơ sở</t>
        </is>
      </c>
      <c r="H1593" s="386" t="inlineStr">
        <is>
          <t>Dễ</t>
        </is>
      </c>
      <c r="I1593" s="386" t="inlineStr">
        <is>
          <t>Ngày, CTCK</t>
        </is>
      </c>
      <c r="J1593" s="395" t="inlineStr">
        <is>
          <t>SCMS</t>
        </is>
      </c>
      <c r="K1593" s="395" t="n"/>
      <c r="L1593" s="395" t="inlineStr">
        <is>
          <t>X</t>
        </is>
      </c>
      <c r="M1593" s="395" t="n"/>
      <c r="N1593" s="395" t="inlineStr">
        <is>
          <t>Done</t>
        </is>
      </c>
      <c r="O1593" s="401" t="n"/>
      <c r="P1593" s="395" t="n"/>
      <c r="S1593" s="395" t="n"/>
      <c r="U1593" s="386" t="n"/>
      <c r="V1593" s="395" t="n"/>
      <c r="W1593" s="395" t="n"/>
      <c r="X1593" s="395" t="n"/>
      <c r="Y1593" s="395" t="n"/>
      <c r="Z1593" s="395" t="n"/>
      <c r="AA1593" s="395" t="n"/>
      <c r="AB1593" s="395" t="n"/>
      <c r="AC1593" s="395" t="n"/>
      <c r="AD1593" s="395" t="n"/>
      <c r="AE1593" s="395" t="n"/>
    </row>
    <row r="1594" ht="42" customHeight="1" s="380">
      <c r="A1594" s="73" t="n">
        <v>80</v>
      </c>
      <c r="B1594" s="386" t="n"/>
      <c r="C1594" s="386" t="inlineStr">
        <is>
          <t>Báo cáo theo Thông tư 121/2020/TT-BTC &gt;&gt; Giao dịch trái phiếu - II.7.2.TP</t>
        </is>
      </c>
      <c r="D1594" s="386" t="inlineStr">
        <is>
          <t>Giấy phép hoạt động &gt;&gt; Số</t>
        </is>
      </c>
      <c r="E1594" s="386" t="inlineStr">
        <is>
          <t>Giấy phép hoạt động &gt;&gt; Số</t>
        </is>
      </c>
      <c r="F1594" s="386" t="inlineStr">
        <is>
          <t>Data Explorer</t>
        </is>
      </c>
      <c r="G1594" s="386" t="inlineStr">
        <is>
          <t>Chỉ tiêu cơ sở</t>
        </is>
      </c>
      <c r="H1594" s="386" t="inlineStr">
        <is>
          <t>Dễ</t>
        </is>
      </c>
      <c r="I1594" s="386" t="inlineStr">
        <is>
          <t>Ngày, CTCK</t>
        </is>
      </c>
      <c r="J1594" s="395" t="inlineStr">
        <is>
          <t>SCMS</t>
        </is>
      </c>
      <c r="K1594" s="395" t="n"/>
      <c r="L1594" s="395" t="inlineStr">
        <is>
          <t>X</t>
        </is>
      </c>
      <c r="M1594" s="395" t="n"/>
      <c r="N1594" s="395" t="inlineStr">
        <is>
          <t>Done</t>
        </is>
      </c>
      <c r="O1594" s="401" t="n"/>
      <c r="P1594" s="395" t="n"/>
      <c r="S1594" s="395" t="n"/>
      <c r="U1594" s="386" t="n"/>
      <c r="V1594" s="395" t="n"/>
      <c r="W1594" s="395" t="n"/>
      <c r="X1594" s="395" t="n"/>
      <c r="Y1594" s="395" t="n"/>
      <c r="Z1594" s="395" t="n"/>
      <c r="AA1594" s="395" t="n"/>
      <c r="AB1594" s="395" t="n"/>
      <c r="AC1594" s="395" t="n"/>
      <c r="AD1594" s="395" t="n"/>
      <c r="AE1594" s="395" t="n"/>
    </row>
    <row r="1595" ht="42" customHeight="1" s="380">
      <c r="A1595" s="73" t="n">
        <v>80</v>
      </c>
      <c r="B1595" s="386" t="n"/>
      <c r="C1595" s="386" t="inlineStr">
        <is>
          <t>Báo cáo theo Thông tư 121/2020/TT-BTC &gt;&gt; Giao dịch trái phiếu - II.7.2.TP</t>
        </is>
      </c>
      <c r="D1595" s="386" t="inlineStr">
        <is>
          <t>Giấy phép hoạt động &gt;&gt; Ngày cấp</t>
        </is>
      </c>
      <c r="E1595" s="386" t="inlineStr">
        <is>
          <t>Giấy phép hoạt động &gt;&gt; Ngày cấp</t>
        </is>
      </c>
      <c r="F1595" s="386" t="inlineStr">
        <is>
          <t>Data Explorer</t>
        </is>
      </c>
      <c r="G1595" s="386" t="inlineStr">
        <is>
          <t>Chỉ tiêu cơ sở</t>
        </is>
      </c>
      <c r="H1595" s="386" t="inlineStr">
        <is>
          <t>Dễ</t>
        </is>
      </c>
      <c r="I1595" s="386" t="inlineStr">
        <is>
          <t>Ngày, CTCK</t>
        </is>
      </c>
      <c r="J1595" s="395" t="inlineStr">
        <is>
          <t>SCMS</t>
        </is>
      </c>
      <c r="K1595" s="395" t="n"/>
      <c r="L1595" s="395" t="inlineStr">
        <is>
          <t>X</t>
        </is>
      </c>
      <c r="M1595" s="395" t="n"/>
      <c r="N1595" s="395" t="inlineStr">
        <is>
          <t>Done</t>
        </is>
      </c>
      <c r="O1595" s="401" t="n"/>
      <c r="P1595" s="395" t="n"/>
      <c r="S1595" s="395" t="n"/>
      <c r="U1595" s="386" t="n"/>
      <c r="V1595" s="395" t="n"/>
      <c r="W1595" s="395" t="n"/>
      <c r="X1595" s="395" t="n"/>
      <c r="Y1595" s="395" t="n"/>
      <c r="Z1595" s="395" t="n"/>
      <c r="AA1595" s="395" t="n"/>
      <c r="AB1595" s="395" t="n"/>
      <c r="AC1595" s="395" t="n"/>
      <c r="AD1595" s="395" t="n"/>
      <c r="AE1595" s="395" t="n"/>
    </row>
    <row r="1596" ht="42" customHeight="1" s="380">
      <c r="A1596" s="73" t="n">
        <v>80</v>
      </c>
      <c r="B1596" s="386" t="n"/>
      <c r="C1596" s="386" t="inlineStr">
        <is>
          <t>Báo cáo theo Thông tư 121/2020/TT-BTC &gt;&gt; Giao dịch trái phiếu - II.7.2.TP</t>
        </is>
      </c>
      <c r="D1596" s="386" t="inlineStr">
        <is>
          <t>Tên trái phiếu</t>
        </is>
      </c>
      <c r="E1596" s="395" t="inlineStr">
        <is>
          <t>Tên trái phiếu</t>
        </is>
      </c>
      <c r="F1596" s="386" t="inlineStr">
        <is>
          <t>Data Explorer</t>
        </is>
      </c>
      <c r="G1596" s="386" t="inlineStr">
        <is>
          <t>Chỉ tiêu cơ sở</t>
        </is>
      </c>
      <c r="H1596" s="386" t="inlineStr">
        <is>
          <t>TB</t>
        </is>
      </c>
      <c r="I1596" s="386" t="inlineStr">
        <is>
          <t>Ngày, CTCK</t>
        </is>
      </c>
      <c r="J1596" s="395" t="inlineStr">
        <is>
          <t>SCMS</t>
        </is>
      </c>
      <c r="K1596" s="395" t="n"/>
      <c r="L1596" s="395" t="inlineStr">
        <is>
          <t>X</t>
        </is>
      </c>
      <c r="M1596" s="395" t="n"/>
      <c r="N1596" s="395" t="inlineStr">
        <is>
          <t>Done</t>
        </is>
      </c>
      <c r="O1596" s="401" t="n"/>
      <c r="P1596" s="395" t="n"/>
      <c r="S1596" s="395" t="n"/>
      <c r="U1596" s="386" t="n"/>
      <c r="V1596" s="395" t="n"/>
      <c r="W1596" s="395" t="n"/>
      <c r="X1596" s="395" t="n"/>
      <c r="Y1596" s="395" t="n"/>
      <c r="Z1596" s="395" t="n"/>
      <c r="AA1596" s="395" t="n"/>
      <c r="AB1596" s="395" t="n"/>
      <c r="AC1596" s="395" t="n"/>
      <c r="AD1596" s="395" t="n"/>
      <c r="AE1596" s="395" t="n"/>
    </row>
    <row r="1597" ht="42" customHeight="1" s="380">
      <c r="A1597" s="73" t="n">
        <v>80</v>
      </c>
      <c r="B1597" s="386" t="n"/>
      <c r="C1597" s="386" t="inlineStr">
        <is>
          <t>Báo cáo theo Thông tư 121/2020/TT-BTC &gt;&gt; Giao dịch trái phiếu - II.7.2.TP</t>
        </is>
      </c>
      <c r="D1597" s="386" t="inlineStr">
        <is>
          <t>Kỳ hạn (≤ 2 năm/&gt; 2 năm và &lt; 5 năm/≥ 5 năm)</t>
        </is>
      </c>
      <c r="E1597" s="386" t="inlineStr">
        <is>
          <t>Kỳ hạn (≤ 2 năm/&gt; 2 năm và &lt; 5 năm/≥ 5 năm)</t>
        </is>
      </c>
      <c r="F1597" s="386" t="inlineStr">
        <is>
          <t>Data Explorer</t>
        </is>
      </c>
      <c r="G1597" s="386" t="inlineStr">
        <is>
          <t>Chỉ tiêu cơ sở</t>
        </is>
      </c>
      <c r="H1597" s="386" t="inlineStr">
        <is>
          <t>TB</t>
        </is>
      </c>
      <c r="I1597" s="386" t="inlineStr">
        <is>
          <t>Ngày, CTCK</t>
        </is>
      </c>
      <c r="J1597" s="395" t="inlineStr">
        <is>
          <t>SCMS</t>
        </is>
      </c>
      <c r="K1597" s="395" t="n"/>
      <c r="L1597" s="395" t="inlineStr">
        <is>
          <t>X</t>
        </is>
      </c>
      <c r="M1597" s="395" t="n"/>
      <c r="N1597" s="395" t="inlineStr">
        <is>
          <t>Done</t>
        </is>
      </c>
      <c r="O1597" s="401" t="n"/>
      <c r="P1597" s="395" t="n"/>
      <c r="S1597" s="395" t="n"/>
      <c r="U1597" s="386" t="n"/>
      <c r="V1597" s="395" t="n"/>
      <c r="W1597" s="395" t="n"/>
      <c r="X1597" s="395" t="n"/>
      <c r="Y1597" s="395" t="n"/>
      <c r="Z1597" s="395" t="n"/>
      <c r="AA1597" s="395" t="n"/>
      <c r="AB1597" s="395" t="n"/>
      <c r="AC1597" s="395" t="n"/>
      <c r="AD1597" s="395" t="n"/>
      <c r="AE1597" s="395" t="n"/>
    </row>
    <row r="1598" ht="42" customHeight="1" s="380">
      <c r="A1598" s="73" t="n">
        <v>80</v>
      </c>
      <c r="B1598" s="386" t="n"/>
      <c r="C1598" s="386" t="inlineStr">
        <is>
          <t>Báo cáo theo Thông tư 121/2020/TT-BTC &gt;&gt; Giao dịch trái phiếu - II.7.2.TP</t>
        </is>
      </c>
      <c r="D1598" s="386" t="inlineStr">
        <is>
          <t>Mua trong kỳ &gt;&gt; Khối lượng</t>
        </is>
      </c>
      <c r="E1598" s="395" t="inlineStr">
        <is>
          <t>Mua trong kỳ &gt;&gt; Khối lượng</t>
        </is>
      </c>
      <c r="F1598" s="386" t="inlineStr">
        <is>
          <t>Data Explorer</t>
        </is>
      </c>
      <c r="G1598" s="386" t="inlineStr">
        <is>
          <t>Chỉ tiêu cơ sở</t>
        </is>
      </c>
      <c r="H1598" s="386" t="inlineStr">
        <is>
          <t>TB</t>
        </is>
      </c>
      <c r="I1598" s="386" t="inlineStr">
        <is>
          <t>Ngày, CTCK</t>
        </is>
      </c>
      <c r="J1598" s="395" t="inlineStr">
        <is>
          <t>SCMS</t>
        </is>
      </c>
      <c r="K1598" s="395" t="n"/>
      <c r="L1598" s="395" t="inlineStr">
        <is>
          <t>X</t>
        </is>
      </c>
      <c r="M1598" s="395" t="n"/>
      <c r="N1598" s="395" t="inlineStr">
        <is>
          <t>Done</t>
        </is>
      </c>
      <c r="O1598" s="401" t="n"/>
      <c r="P1598" s="395" t="n"/>
      <c r="S1598" s="395" t="n"/>
      <c r="U1598" s="386" t="n"/>
      <c r="V1598" s="395" t="n"/>
      <c r="W1598" s="395" t="n"/>
      <c r="X1598" s="395" t="n"/>
      <c r="Y1598" s="395" t="n"/>
      <c r="Z1598" s="395" t="n"/>
      <c r="AA1598" s="395" t="n"/>
      <c r="AB1598" s="395" t="n"/>
      <c r="AC1598" s="395" t="n"/>
      <c r="AD1598" s="395" t="n"/>
      <c r="AE1598" s="395" t="n"/>
    </row>
    <row r="1599" ht="42" customHeight="1" s="380">
      <c r="A1599" s="73" t="n">
        <v>80</v>
      </c>
      <c r="B1599" s="386" t="n"/>
      <c r="C1599" s="386" t="inlineStr">
        <is>
          <t>Báo cáo theo Thông tư 121/2020/TT-BTC &gt;&gt; Giao dịch trái phiếu - II.7.2.TP</t>
        </is>
      </c>
      <c r="D1599" s="386" t="inlineStr">
        <is>
          <t>Mua trong kỳ &gt;&gt; Giá trị (Triệu đồng)</t>
        </is>
      </c>
      <c r="E1599" s="395" t="inlineStr">
        <is>
          <t>Mua trong kỳ &gt;&gt; Giá trị (Triệu đồng)</t>
        </is>
      </c>
      <c r="F1599" s="386" t="inlineStr">
        <is>
          <t>Data Explorer</t>
        </is>
      </c>
      <c r="G1599" s="386" t="inlineStr">
        <is>
          <t>Chỉ tiêu cơ sở</t>
        </is>
      </c>
      <c r="H1599" s="386" t="inlineStr">
        <is>
          <t>TB</t>
        </is>
      </c>
      <c r="I1599" s="386" t="inlineStr">
        <is>
          <t>Ngày, CTCK</t>
        </is>
      </c>
      <c r="J1599" s="395" t="inlineStr">
        <is>
          <t>SCMS</t>
        </is>
      </c>
      <c r="K1599" s="395" t="n"/>
      <c r="L1599" s="395" t="inlineStr">
        <is>
          <t>X</t>
        </is>
      </c>
      <c r="M1599" s="395" t="n"/>
      <c r="N1599" s="395" t="inlineStr">
        <is>
          <t>Done</t>
        </is>
      </c>
      <c r="O1599" s="401" t="n"/>
      <c r="P1599" s="395" t="n"/>
      <c r="S1599" s="395" t="n"/>
      <c r="U1599" s="386" t="n"/>
      <c r="V1599" s="395" t="n"/>
      <c r="W1599" s="395" t="n"/>
      <c r="X1599" s="395" t="n"/>
      <c r="Y1599" s="395" t="n"/>
      <c r="Z1599" s="395" t="n"/>
      <c r="AA1599" s="395" t="n"/>
      <c r="AB1599" s="395" t="n"/>
      <c r="AC1599" s="395" t="n"/>
      <c r="AD1599" s="395" t="n"/>
      <c r="AE1599" s="395" t="n"/>
    </row>
    <row r="1600" ht="42" customHeight="1" s="380">
      <c r="A1600" s="73" t="n">
        <v>80</v>
      </c>
      <c r="B1600" s="386" t="n"/>
      <c r="C1600" s="386" t="inlineStr">
        <is>
          <t>Báo cáo theo Thông tư 121/2020/TT-BTC &gt;&gt; Giao dịch trái phiếu - II.7.2.TP</t>
        </is>
      </c>
      <c r="D1600" s="386" t="inlineStr">
        <is>
          <t>Bán trong kỳ &gt;&gt; Khối lượng</t>
        </is>
      </c>
      <c r="E1600" s="395" t="inlineStr">
        <is>
          <t>Bán trong kỳ &gt;&gt; Khối lượng</t>
        </is>
      </c>
      <c r="F1600" s="386" t="inlineStr">
        <is>
          <t>Data Explorer</t>
        </is>
      </c>
      <c r="G1600" s="386" t="inlineStr">
        <is>
          <t>Chỉ tiêu cơ sở</t>
        </is>
      </c>
      <c r="H1600" s="386" t="inlineStr">
        <is>
          <t>TB</t>
        </is>
      </c>
      <c r="I1600" s="386" t="inlineStr">
        <is>
          <t>Ngày, CTCK</t>
        </is>
      </c>
      <c r="J1600" s="395" t="inlineStr">
        <is>
          <t>SCMS</t>
        </is>
      </c>
      <c r="K1600" s="395" t="n"/>
      <c r="L1600" s="395" t="inlineStr">
        <is>
          <t>X</t>
        </is>
      </c>
      <c r="M1600" s="395" t="n"/>
      <c r="N1600" s="395" t="inlineStr">
        <is>
          <t>Done</t>
        </is>
      </c>
      <c r="O1600" s="401" t="n"/>
      <c r="P1600" s="395" t="n"/>
      <c r="S1600" s="395" t="n"/>
      <c r="U1600" s="386" t="n"/>
      <c r="V1600" s="395" t="n"/>
      <c r="W1600" s="395" t="n"/>
      <c r="X1600" s="395" t="n"/>
      <c r="Y1600" s="395" t="n"/>
      <c r="Z1600" s="395" t="n"/>
      <c r="AA1600" s="395" t="n"/>
      <c r="AB1600" s="395" t="n"/>
      <c r="AC1600" s="395" t="n"/>
      <c r="AD1600" s="395" t="n"/>
      <c r="AE1600" s="395" t="n"/>
    </row>
    <row r="1601" ht="42" customHeight="1" s="380">
      <c r="A1601" s="83" t="n">
        <v>80</v>
      </c>
      <c r="B1601" s="68" t="n"/>
      <c r="C1601" s="68" t="inlineStr">
        <is>
          <t>Báo cáo theo Thông tư 121/2020/TT-BTC &gt;&gt; Giao dịch trái phiếu - II.7.2.TP</t>
        </is>
      </c>
      <c r="D1601" s="68" t="inlineStr">
        <is>
          <t>Bán trong kỳ &gt;&gt; Giá trị (Triệu đồng)</t>
        </is>
      </c>
      <c r="E1601" s="69" t="inlineStr">
        <is>
          <t>Bán trong kỳ &gt;&gt; Giá trị (Triệu đồng)</t>
        </is>
      </c>
      <c r="F1601" s="68" t="inlineStr">
        <is>
          <t>Data Explorer</t>
        </is>
      </c>
      <c r="G1601" s="68" t="inlineStr">
        <is>
          <t>Chỉ tiêu cơ sở</t>
        </is>
      </c>
      <c r="H1601" s="68" t="inlineStr">
        <is>
          <t>TB</t>
        </is>
      </c>
      <c r="I1601" s="68" t="inlineStr">
        <is>
          <t>Ngày, CTCK</t>
        </is>
      </c>
      <c r="J1601" s="69" t="inlineStr">
        <is>
          <t>SCMS</t>
        </is>
      </c>
      <c r="K1601" s="69" t="n"/>
      <c r="L1601" s="69" t="inlineStr">
        <is>
          <t>X</t>
        </is>
      </c>
      <c r="M1601" s="69" t="n"/>
      <c r="N1601" s="69" t="inlineStr">
        <is>
          <t>Done</t>
        </is>
      </c>
      <c r="O1601" s="85" t="n"/>
      <c r="P1601" s="69" t="n"/>
      <c r="Q1601" s="426" t="n"/>
      <c r="R1601" s="426" t="n"/>
      <c r="S1601" s="69" t="n"/>
      <c r="T1601" s="426" t="n"/>
      <c r="U1601" s="68" t="n"/>
      <c r="V1601" s="69" t="n"/>
      <c r="W1601" s="69" t="n"/>
      <c r="X1601" s="69" t="n"/>
      <c r="Y1601" s="69" t="n"/>
      <c r="Z1601" s="69" t="n"/>
      <c r="AA1601" s="69" t="n"/>
      <c r="AB1601" s="69" t="n"/>
      <c r="AC1601" s="69" t="n"/>
      <c r="AD1601" s="69" t="n"/>
      <c r="AE1601" s="69" t="n"/>
    </row>
    <row r="1602" ht="70" customHeight="1" s="380">
      <c r="A1602" s="73" t="n">
        <v>81</v>
      </c>
      <c r="B1602" s="122" t="inlineStr">
        <is>
          <t>Nga</t>
        </is>
      </c>
      <c r="C1602" s="81" t="inlineStr">
        <is>
          <t>Báo cáo theo Thông tư 121/2020/TT-BTC &gt;&gt; Giao dịch chứng khoán chưa niêm yết/đăng ký giao dịch - II.7.3.Tổng cộng</t>
        </is>
      </c>
      <c r="D1602" s="106" t="inlineStr">
        <is>
          <t>Loại báo cáo</t>
        </is>
      </c>
      <c r="E1602" s="107" t="inlineStr">
        <is>
          <t>Loại báo cáo</t>
        </is>
      </c>
      <c r="F1602" s="390" t="inlineStr">
        <is>
          <t>Data Explorer</t>
        </is>
      </c>
      <c r="G1602" s="390" t="inlineStr">
        <is>
          <t>Chiều</t>
        </is>
      </c>
      <c r="H1602" s="390" t="inlineStr">
        <is>
          <t>Dễ</t>
        </is>
      </c>
      <c r="I1602" s="390" t="inlineStr">
        <is>
          <t>Ngày, CTCK</t>
        </is>
      </c>
      <c r="J1602" s="401" t="inlineStr">
        <is>
          <t>SCMS</t>
        </is>
      </c>
      <c r="K1602" s="401" t="inlineStr">
        <is>
          <t>X</t>
        </is>
      </c>
      <c r="L1602" s="395" t="inlineStr">
        <is>
          <t>X</t>
        </is>
      </c>
      <c r="M1602" s="401" t="n"/>
      <c r="N1602" s="395" t="inlineStr">
        <is>
          <t>Done</t>
        </is>
      </c>
      <c r="O1602" s="401" t="n"/>
      <c r="P1602" s="395" t="n"/>
      <c r="Q1602" s="404" t="inlineStr">
        <is>
          <t>SCMS.BM_BAO_CAO
SCMS.BM_BAO_CAO_DINH_KY</t>
        </is>
      </c>
      <c r="R1602" s="404" t="inlineStr">
        <is>
          <t>bm.ID,
bm.MA_BAO_CAO,
bm.LOAI_BAO_CAO,
bm.TEN_BAO_CAO,
bm.SU_DUNG,
bdk.BM_BAO_CAO_ID,
bdk.KY_BAO_CAO,
bdk.SU_DUNG</t>
        </is>
      </c>
      <c r="S1602" s="395" t="n"/>
      <c r="T1602"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602" s="386" t="n"/>
      <c r="V1602" s="395" t="n"/>
      <c r="W1602" s="395" t="n"/>
      <c r="X1602" s="395" t="n"/>
      <c r="Y1602" s="395" t="n"/>
      <c r="Z1602" s="395" t="n"/>
      <c r="AA1602" s="395" t="n"/>
      <c r="AB1602" s="395" t="n"/>
      <c r="AC1602" s="395" t="n"/>
      <c r="AD1602" s="395" t="n"/>
      <c r="AE1602" s="395" t="n"/>
    </row>
    <row r="1603" ht="70" customHeight="1" s="380">
      <c r="A1603" s="73" t="n">
        <v>81</v>
      </c>
      <c r="B1603" s="386" t="n"/>
      <c r="C1603" s="386" t="inlineStr">
        <is>
          <t>Báo cáo theo Thông tư 121/2020/TT-BTC &gt;&gt; Giao dịch chứng khoán chưa niêm yết/đăng ký giao dịch - II.7.3.Tổng cộng</t>
        </is>
      </c>
      <c r="D1603" s="106" t="inlineStr">
        <is>
          <t>Kỳ báo cáo</t>
        </is>
      </c>
      <c r="E1603" s="107" t="inlineStr">
        <is>
          <t>Kỳ báo cáo</t>
        </is>
      </c>
      <c r="F1603" s="390" t="inlineStr">
        <is>
          <t>Data Explorer</t>
        </is>
      </c>
      <c r="G1603" s="390" t="inlineStr">
        <is>
          <t>Chiều</t>
        </is>
      </c>
      <c r="H1603" s="390" t="inlineStr">
        <is>
          <t>Dễ</t>
        </is>
      </c>
      <c r="I1603" s="390" t="inlineStr">
        <is>
          <t>Ngày, CTCK</t>
        </is>
      </c>
      <c r="J1603" s="401" t="inlineStr">
        <is>
          <t>SCMS</t>
        </is>
      </c>
      <c r="K1603" s="401" t="inlineStr">
        <is>
          <t>X</t>
        </is>
      </c>
      <c r="L1603" s="395" t="inlineStr">
        <is>
          <t>X</t>
        </is>
      </c>
      <c r="M1603" s="401" t="n"/>
      <c r="N1603" s="395" t="inlineStr">
        <is>
          <t>Done</t>
        </is>
      </c>
      <c r="O1603" s="401" t="n"/>
      <c r="P1603" s="395" t="n"/>
      <c r="S1603" s="395" t="n"/>
      <c r="U1603" s="386" t="n"/>
      <c r="V1603" s="395" t="n"/>
      <c r="W1603" s="395" t="n"/>
      <c r="X1603" s="395" t="n"/>
      <c r="Y1603" s="395" t="n"/>
      <c r="Z1603" s="395" t="n"/>
      <c r="AA1603" s="395" t="n"/>
      <c r="AB1603" s="395" t="n"/>
      <c r="AC1603" s="395" t="n"/>
      <c r="AD1603" s="395" t="n"/>
      <c r="AE1603" s="395" t="n"/>
    </row>
    <row r="1604" ht="70" customHeight="1" s="380">
      <c r="A1604" s="73" t="n">
        <v>81</v>
      </c>
      <c r="B1604" s="386" t="n"/>
      <c r="C1604" s="386" t="inlineStr">
        <is>
          <t>Báo cáo theo Thông tư 121/2020/TT-BTC &gt;&gt; Giao dịch chứng khoán chưa niêm yết/đăng ký giao dịch - II.7.3.Tổng cộng</t>
        </is>
      </c>
      <c r="D1604" s="106" t="inlineStr">
        <is>
          <t>Mã báo cáo</t>
        </is>
      </c>
      <c r="E1604" s="107" t="inlineStr">
        <is>
          <t>Mã báo cáo</t>
        </is>
      </c>
      <c r="F1604" s="390" t="inlineStr">
        <is>
          <t>Data Explorer</t>
        </is>
      </c>
      <c r="G1604" s="390" t="inlineStr">
        <is>
          <t>Chiều</t>
        </is>
      </c>
      <c r="H1604" s="390" t="inlineStr">
        <is>
          <t>Dễ</t>
        </is>
      </c>
      <c r="I1604" s="390" t="inlineStr">
        <is>
          <t>Ngày, CTCK</t>
        </is>
      </c>
      <c r="J1604" s="401" t="inlineStr">
        <is>
          <t>SCMS</t>
        </is>
      </c>
      <c r="K1604" s="401" t="inlineStr">
        <is>
          <t>X</t>
        </is>
      </c>
      <c r="L1604" s="395" t="inlineStr">
        <is>
          <t>X</t>
        </is>
      </c>
      <c r="M1604" s="401" t="n"/>
      <c r="N1604" s="395" t="inlineStr">
        <is>
          <t>Done</t>
        </is>
      </c>
      <c r="O1604" s="401" t="n"/>
      <c r="P1604" s="395" t="n"/>
      <c r="S1604" s="395" t="n"/>
      <c r="U1604" s="386" t="n"/>
      <c r="V1604" s="395" t="n"/>
      <c r="W1604" s="395" t="n"/>
      <c r="X1604" s="395" t="n"/>
      <c r="Y1604" s="395" t="n"/>
      <c r="Z1604" s="395" t="n"/>
      <c r="AA1604" s="395" t="n"/>
      <c r="AB1604" s="395" t="n"/>
      <c r="AC1604" s="395" t="n"/>
      <c r="AD1604" s="395" t="n"/>
      <c r="AE1604" s="395" t="n"/>
    </row>
    <row r="1605" ht="70" customHeight="1" s="380">
      <c r="A1605" s="73" t="n">
        <v>81</v>
      </c>
      <c r="B1605" s="386" t="n"/>
      <c r="C1605" s="386" t="inlineStr">
        <is>
          <t>Báo cáo theo Thông tư 121/2020/TT-BTC &gt;&gt; Giao dịch chứng khoán chưa niêm yết/đăng ký giao dịch - II.7.3.Tổng cộng</t>
        </is>
      </c>
      <c r="D1605" s="106" t="inlineStr">
        <is>
          <t>Tên báo cáo</t>
        </is>
      </c>
      <c r="E1605" s="107" t="inlineStr">
        <is>
          <t>Tên báo cáo</t>
        </is>
      </c>
      <c r="F1605" s="390" t="inlineStr">
        <is>
          <t>Data Explorer</t>
        </is>
      </c>
      <c r="G1605" s="390" t="inlineStr">
        <is>
          <t>Chiều</t>
        </is>
      </c>
      <c r="H1605" s="390" t="inlineStr">
        <is>
          <t>Dễ</t>
        </is>
      </c>
      <c r="I1605" s="390" t="inlineStr">
        <is>
          <t>Ngày, CTCK</t>
        </is>
      </c>
      <c r="J1605" s="401" t="inlineStr">
        <is>
          <t>SCMS</t>
        </is>
      </c>
      <c r="K1605" s="401" t="inlineStr">
        <is>
          <t>X</t>
        </is>
      </c>
      <c r="L1605" s="395" t="inlineStr">
        <is>
          <t>X</t>
        </is>
      </c>
      <c r="M1605" s="401" t="n"/>
      <c r="N1605" s="395" t="inlineStr">
        <is>
          <t>Done</t>
        </is>
      </c>
      <c r="O1605" s="401" t="n"/>
      <c r="P1605" s="395" t="n"/>
      <c r="S1605" s="395" t="n"/>
      <c r="U1605" s="386" t="n"/>
      <c r="V1605" s="395" t="n"/>
      <c r="W1605" s="395" t="n"/>
      <c r="X1605" s="395" t="n"/>
      <c r="Y1605" s="395" t="n"/>
      <c r="Z1605" s="395" t="n"/>
      <c r="AA1605" s="395" t="n"/>
      <c r="AB1605" s="395" t="n"/>
      <c r="AC1605" s="395" t="n"/>
      <c r="AD1605" s="395" t="n"/>
      <c r="AE1605" s="395" t="n"/>
    </row>
    <row r="1606" ht="70" customHeight="1" s="380">
      <c r="A1606" s="73" t="n">
        <v>81</v>
      </c>
      <c r="B1606" s="386" t="n"/>
      <c r="C1606" s="386" t="inlineStr">
        <is>
          <t>Báo cáo theo Thông tư 121/2020/TT-BTC &gt;&gt; Giao dịch chứng khoán chưa niêm yết/đăng ký giao dịch - II.7.3.Tổng cộng</t>
        </is>
      </c>
      <c r="D1606" s="106" t="inlineStr">
        <is>
          <t>Mã sheet</t>
        </is>
      </c>
      <c r="E1606" s="106" t="inlineStr">
        <is>
          <t>Mã sheet</t>
        </is>
      </c>
      <c r="F1606" s="390" t="inlineStr">
        <is>
          <t>Data Explorer</t>
        </is>
      </c>
      <c r="G1606" s="390" t="inlineStr">
        <is>
          <t>Chiều</t>
        </is>
      </c>
      <c r="H1606" s="390" t="inlineStr">
        <is>
          <t>Dễ</t>
        </is>
      </c>
      <c r="I1606" s="390" t="inlineStr">
        <is>
          <t>Ngày, CTCK</t>
        </is>
      </c>
      <c r="J1606" s="401" t="inlineStr">
        <is>
          <t>SCMS</t>
        </is>
      </c>
      <c r="K1606" s="401" t="inlineStr">
        <is>
          <t>X</t>
        </is>
      </c>
      <c r="L1606" s="395" t="inlineStr">
        <is>
          <t>X</t>
        </is>
      </c>
      <c r="M1606" s="401" t="n"/>
      <c r="N1606" s="395" t="inlineStr">
        <is>
          <t>Done</t>
        </is>
      </c>
      <c r="O1606" s="401" t="n"/>
      <c r="P1606" s="395" t="n"/>
      <c r="Q1606" s="401" t="inlineStr">
        <is>
          <t>SCMS.BM_BAO_CAO
SCMS.BM_SHEET</t>
        </is>
      </c>
      <c r="R1606" s="401" t="inlineStr">
        <is>
          <t>bm.ID,
bm.MA_BAO_CAO,
bm.SU_DUNG,
s.BM_BAO_CAO_ID,
s.MA_SHEET,
s.TEN_SHEET,
s.SAP_XEP</t>
        </is>
      </c>
      <c r="S1606" s="395" t="n"/>
      <c r="T1606" s="384" t="inlineStr">
        <is>
          <t>-- Mã sheet / Tên sheet
-- TEN_SHEET: GDCKCNY
SELECT bm.MA_BAO_CAO,
s.MA_SHEET,
s.TEN_SHEET
FROM SCMS.BM_BAO_CAO bm
JOIN SCMS.BM_SHEET s ON s.BM_BAO_CAO_ID = bm.ID
WHERE bm.MA_BAO_CAO LIKE 'BCTHHDKD%'
AND s.TEN_SHEET = 'GDCKCNY'  -- Check lại
AND bm.SU_DUNG = 1
ORDER BY bm.MA_BAO_CAO, s.SAP_XEP;</t>
        </is>
      </c>
      <c r="U1606" s="386" t="n"/>
      <c r="V1606" s="395" t="n"/>
      <c r="W1606" s="395" t="n"/>
      <c r="X1606" s="395" t="n"/>
      <c r="Y1606" s="395" t="n"/>
      <c r="Z1606" s="395" t="n"/>
      <c r="AA1606" s="395" t="n"/>
      <c r="AB1606" s="395" t="n"/>
      <c r="AC1606" s="395" t="n"/>
      <c r="AD1606" s="395" t="n"/>
      <c r="AE1606" s="395" t="n"/>
    </row>
    <row r="1607" ht="70" customHeight="1" s="380">
      <c r="A1607" s="73" t="n">
        <v>81</v>
      </c>
      <c r="B1607" s="386" t="n"/>
      <c r="C1607" s="386" t="inlineStr">
        <is>
          <t>Báo cáo theo Thông tư 121/2020/TT-BTC &gt;&gt; Giao dịch chứng khoán chưa niêm yết/đăng ký giao dịch - II.7.3.Tổng cộng</t>
        </is>
      </c>
      <c r="D1607" s="106" t="inlineStr">
        <is>
          <t>Tên sheet</t>
        </is>
      </c>
      <c r="E1607" s="106" t="inlineStr">
        <is>
          <t>Tên sheet</t>
        </is>
      </c>
      <c r="F1607" s="390" t="inlineStr">
        <is>
          <t>Data Explorer</t>
        </is>
      </c>
      <c r="G1607" s="390" t="inlineStr">
        <is>
          <t>Chiều</t>
        </is>
      </c>
      <c r="H1607" s="390" t="inlineStr">
        <is>
          <t>Dễ</t>
        </is>
      </c>
      <c r="I1607" s="390" t="inlineStr">
        <is>
          <t>Ngày, CTCK</t>
        </is>
      </c>
      <c r="J1607" s="401" t="inlineStr">
        <is>
          <t>SCMS</t>
        </is>
      </c>
      <c r="K1607" s="401" t="inlineStr">
        <is>
          <t>X</t>
        </is>
      </c>
      <c r="L1607" s="395" t="inlineStr">
        <is>
          <t>X</t>
        </is>
      </c>
      <c r="M1607" s="401" t="n"/>
      <c r="N1607" s="395" t="inlineStr">
        <is>
          <t>Done</t>
        </is>
      </c>
      <c r="O1607" s="401" t="n"/>
      <c r="P1607" s="395" t="n"/>
      <c r="S1607" s="395" t="n"/>
      <c r="U1607" s="386" t="n"/>
      <c r="V1607" s="395" t="n"/>
      <c r="W1607" s="395" t="n"/>
      <c r="X1607" s="395" t="n"/>
      <c r="Y1607" s="395" t="n"/>
      <c r="Z1607" s="395" t="n"/>
      <c r="AA1607" s="395" t="n"/>
      <c r="AB1607" s="395" t="n"/>
      <c r="AC1607" s="395" t="n"/>
      <c r="AD1607" s="395" t="n"/>
      <c r="AE1607" s="395" t="n"/>
    </row>
    <row r="1608" ht="70" customHeight="1" s="380">
      <c r="A1608" s="73" t="n">
        <v>81</v>
      </c>
      <c r="B1608" s="386" t="n"/>
      <c r="C1608" s="386" t="inlineStr">
        <is>
          <t>Báo cáo theo Thông tư 121/2020/TT-BTC &gt;&gt; Giao dịch chứng khoán chưa niêm yết/đăng ký giao dịch - II.7.3.Tổng cộng</t>
        </is>
      </c>
      <c r="D1608" s="106" t="inlineStr">
        <is>
          <t>Mã chỉ tiêu</t>
        </is>
      </c>
      <c r="E1608" s="107" t="inlineStr">
        <is>
          <t>Mã chỉ tiêu</t>
        </is>
      </c>
      <c r="F1608" s="390" t="inlineStr">
        <is>
          <t>Data Explorer</t>
        </is>
      </c>
      <c r="G1608" s="390" t="inlineStr">
        <is>
          <t>Chiều</t>
        </is>
      </c>
      <c r="H1608" s="390" t="inlineStr">
        <is>
          <t>Dễ</t>
        </is>
      </c>
      <c r="I1608" s="390" t="inlineStr">
        <is>
          <t>Ngày, CTCK</t>
        </is>
      </c>
      <c r="J1608" s="401" t="inlineStr">
        <is>
          <t>SCMS</t>
        </is>
      </c>
      <c r="K1608" s="401" t="inlineStr">
        <is>
          <t>X</t>
        </is>
      </c>
      <c r="L1608" s="395" t="inlineStr">
        <is>
          <t>X</t>
        </is>
      </c>
      <c r="M1608" s="401" t="n"/>
      <c r="N1608" s="395" t="inlineStr">
        <is>
          <t>Done</t>
        </is>
      </c>
      <c r="O1608" s="401" t="n"/>
      <c r="P1608" s="395" t="n"/>
      <c r="Q1608" s="401" t="inlineStr">
        <is>
          <t>SCMS.BM_BAO_CAO
SCMS.BM_SHEET
SCMS.BM_BAO_CAO_CT
SCMS.DM_CHI_TIEU</t>
        </is>
      </c>
      <c r="R1608" s="402" t="inlineStr">
        <is>
          <t>dct.ID,
dct.MA_CHI_TIEU,
dct.TEN_CHI_TIEU,
dct.SU_DUNG,
s.BM_BAO_CAO_ID,
s.MA_SHEET,
ct.BM_BAO_CAO_ID,
ct.DM_CHI_TIEU_ID,
ct.SU_DUNG,
bm.ID,
bm.MA_BAO_CAO,
bm.SU_DUNG</t>
        </is>
      </c>
      <c r="S1608" s="395" t="n"/>
      <c r="T1608" s="384" t="inlineStr">
        <is>
          <t>-- Mã chỉ tiêu / Tên chỉ tiêu
SELECT DISTINCT
    dct.MA_CHI_TIEU  AS ma_chi_tieu,
    dct.TEN_CHI_TIEU AS ten_chi_tieu
FROM SCMS.BM_BAO_CAO bm
JOIN SCMS.BM_SHEET s ON s.BM_BAO_CAO_ID = bm.ID
	AND s.TEN_SHEET = 'GDCKCNY'
JOIN SCMS.BM_BAO_CAO_CT ct ON ct.BM_SHEET_ID = s.ID
	AND ct.SU_DUNG = 1
JOIN SCMS.DM_CHI_TIEU dct ON dct.ID = ct.DM_CHI_TIEU_ID
	AND dct.SU_DUNG = 1
WHERE bm.MA_BAO_CAO LIKE 'BCTHHDKD%'
	AND bm.SU_DUNG = 1
ORDER BY dct.MA_CHI_TIEU;</t>
        </is>
      </c>
      <c r="U1608" s="386" t="n"/>
      <c r="V1608" s="395" t="n"/>
      <c r="W1608" s="395" t="n"/>
      <c r="X1608" s="395" t="n"/>
      <c r="Y1608" s="395" t="n"/>
      <c r="Z1608" s="395" t="n"/>
      <c r="AA1608" s="395" t="n"/>
      <c r="AB1608" s="395" t="n"/>
      <c r="AC1608" s="395" t="n"/>
      <c r="AD1608" s="395" t="n"/>
      <c r="AE1608" s="395" t="n"/>
    </row>
    <row r="1609" ht="70" customHeight="1" s="380">
      <c r="A1609" s="73" t="n">
        <v>81</v>
      </c>
      <c r="B1609" s="386" t="n"/>
      <c r="C1609" s="386" t="inlineStr">
        <is>
          <t>Báo cáo theo Thông tư 121/2020/TT-BTC &gt;&gt; Giao dịch chứng khoán chưa niêm yết/đăng ký giao dịch - II.7.3.Tổng cộng</t>
        </is>
      </c>
      <c r="D1609" s="106" t="inlineStr">
        <is>
          <t>Tên chỉ tiêu</t>
        </is>
      </c>
      <c r="E1609" s="107" t="inlineStr">
        <is>
          <t>Tên chỉ tiêu</t>
        </is>
      </c>
      <c r="F1609" s="390" t="inlineStr">
        <is>
          <t>Data Explorer</t>
        </is>
      </c>
      <c r="G1609" s="390" t="inlineStr">
        <is>
          <t>Chiều</t>
        </is>
      </c>
      <c r="H1609" s="390" t="inlineStr">
        <is>
          <t>Dễ</t>
        </is>
      </c>
      <c r="I1609" s="390" t="inlineStr">
        <is>
          <t>Ngày, CTCK</t>
        </is>
      </c>
      <c r="J1609" s="401" t="inlineStr">
        <is>
          <t>SCMS</t>
        </is>
      </c>
      <c r="K1609" s="401" t="inlineStr">
        <is>
          <t>X</t>
        </is>
      </c>
      <c r="L1609" s="395" t="inlineStr">
        <is>
          <t>X</t>
        </is>
      </c>
      <c r="M1609" s="401" t="n"/>
      <c r="N1609" s="395" t="inlineStr">
        <is>
          <t>Done</t>
        </is>
      </c>
      <c r="O1609" s="401" t="n"/>
      <c r="P1609" s="395" t="n"/>
      <c r="S1609" s="395" t="n"/>
      <c r="U1609" s="386" t="n"/>
      <c r="V1609" s="395" t="n"/>
      <c r="W1609" s="395" t="n"/>
      <c r="X1609" s="395" t="n"/>
      <c r="Y1609" s="395" t="n"/>
      <c r="Z1609" s="395" t="n"/>
      <c r="AA1609" s="395" t="n"/>
      <c r="AB1609" s="395" t="n"/>
      <c r="AC1609" s="395" t="n"/>
      <c r="AD1609" s="395" t="n"/>
      <c r="AE1609" s="395" t="n"/>
    </row>
    <row r="1610" ht="70" customHeight="1" s="380">
      <c r="A1610" s="73" t="n">
        <v>81</v>
      </c>
      <c r="B1610" s="386" t="n"/>
      <c r="C1610" s="386" t="inlineStr">
        <is>
          <t>Báo cáo theo Thông tư 121/2020/TT-BTC &gt;&gt; Giao dịch chứng khoán chưa niêm yết/đăng ký giao dịch - II.7.3.Tổng cộng</t>
        </is>
      </c>
      <c r="D1610" s="386" t="inlineStr">
        <is>
          <t>Tên công ty chứng khoán</t>
        </is>
      </c>
      <c r="E1610" s="386" t="inlineStr">
        <is>
          <t>Tên công ty chứng khoán</t>
        </is>
      </c>
      <c r="F1610" s="386" t="inlineStr">
        <is>
          <t>Data Explorer</t>
        </is>
      </c>
      <c r="G1610" s="386" t="inlineStr">
        <is>
          <t>Chỉ tiêu cơ sở</t>
        </is>
      </c>
      <c r="H1610" s="386" t="inlineStr">
        <is>
          <t>Dễ</t>
        </is>
      </c>
      <c r="I1610" s="386" t="inlineStr">
        <is>
          <t>Ngày, CTCK</t>
        </is>
      </c>
      <c r="J1610" s="395" t="inlineStr">
        <is>
          <t>SCMS</t>
        </is>
      </c>
      <c r="K1610" s="395" t="n"/>
      <c r="L1610" s="395" t="inlineStr">
        <is>
          <t>X</t>
        </is>
      </c>
      <c r="M1610" s="395" t="n"/>
      <c r="N1610" s="395" t="inlineStr">
        <is>
          <t>Done</t>
        </is>
      </c>
      <c r="O1610" s="401" t="n"/>
      <c r="P1610" s="395" t="n"/>
      <c r="Q1610" s="427" t="inlineStr">
        <is>
          <t>SCMS.BC_THANH_VIEN
SCMS.BM_BAO_CAO
SCMS.BC_BAO_CAO_GT
SCMS.BM_BAO_CAO_HANG
SCMS.BM_BAO_CAO_COT
SCMS.CTCK_THONG_TIN</t>
        </is>
      </c>
      <c r="R1610" s="427" t="inlineStr">
        <is>
          <t>btv.ID,
btv.NGAY_SO_LIEU,
btv.BM_BAO_CAO_ID,
btv.CTCK_THONG_TIN_ID,
btv.TRANG_THAI,
c.CTCK_THONG_TIN_ID,
bsh.ID,
bsh.MA_HANG,
bsc.MA_COT,
bsc.TEN_COT,
bsc.BM_SHEET_ID,
gt.BC_THANH_VIEN_ID,
gt.BM_SHEET_ID,
gt.BM_SHEET_HANG_ID,
gt.GIA_TRI,
bm.ID,
bm.MA_BAO_CAO</t>
        </is>
      </c>
      <c r="S1610" s="395" t="n"/>
      <c r="T1610"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 Cổ phiếu
    MAX(CASE WHEN bsh.MA_HANG='1' AND bsc.TEN_COT=N'Khối lượng' AND bsc.MA_COT='6' THEN CAST(gt.GIA_TRI AS VARCHAR2(4000)) END) AS "CP_Khối lượng mua trong kỳ",
    MAX(CASE WHEN bsh.MA_HANG='1' AND bsc.TEN_COT=N'Giá trị (Triệu đồng)' AND bsc.MA_COT='7' THEN CAST(gt.GIA_TRI AS VARCHAR2(4000)) END) AS "CP_Giá trị mua trong kỳ",
    MAX(CASE WHEN bsh.MA_HANG='1' AND bsc.TEN_COT=N'Khối lượng' AND bsc.MA_COT='8' THEN CAST(gt.GIA_TRI AS VARCHAR2(4000)) END) AS "CP_Khối lượng bán trong kỳ",
    MAX(CASE WHEN bsh.MA_HANG='1' AND bsc.TEN_COT=N'Giá trị (Triệu đồng)' AND bsc.MA_COT='9' THEN CAST(gt.GIA_TRI AS VARCHAR2(4000)) END) AS "CP_Giá trị bán trong kỳ",
    -- Trái phiếu
    MAX(CASE WHEN bsh.MA_HANG='2' AND bsc.MA_COT='3' AND gt.GIA_TRI IS NOT NULL THEN 'X' END) AS "&lt;= 2 năm",
    MAX(CASE WHEN bsh.MA_HANG='2' AND bsc.MA_COT='4' AND gt.GIA_TRI IS NOT NULL THEN 'X' END) AS "&gt; 2 năm và &lt; 5 năm",
    MAX(CASE WHEN bsh.MA_HANG='2' AND bsc.MA_COT='5' AND gt.GIA_TRI IS NOT NULL THEN 'X' END) AS "&gt;= 5 năm",
    MAX(CASE WHEN bsh.MA_HANG='2' AND bsc.TEN_COT=N'Khối lượng' AND bsc.MA_COT='6' THEN CAST(gt.GIA_TRI AS VARCHAR2(4000)) END) AS "TP_Khối lượng mua trong kỳ",
    MAX(CASE WHEN bsh.MA_HANG='2' AND bsc.TEN_COT=N'Giá trị (Triệu đồng)' AND bsc.MA_COT='7' THEN CAST(gt.GIA_TRI AS VARCHAR2(4000)) END) AS "TP_Giá trị mua trong kỳ",
    MAX(CASE WHEN bsh.MA_HANG='2' AND bsc.TEN_COT=N'Khối lượng' AND bsc.MA_COT='8' THEN CAST(gt.GIA_TRI AS VARCHAR2(4000)) END) AS "TP_Khối lượng bán trong kỳ",
    MAX(CASE WHEN bsh.MA_HANG='2' AND bsc.TEN_COT=N'Giá trị (Triệu đồng)' AND bsc.MA_COT='9' THEN CAST(gt.GIA_TRI AS VARCHAR2(4000)) END) AS "TP_Giá trị bán trong kỳ"
FROM SCMS.BC_THANH_VIEN btv
JOIN SCMS.BM_BAO_CAO bm ON bm.ID = btv.BM_BAO_CAO_ID
JOIN SCMS.BC_BAO_CAO_GT gt ON gt.BC_THANH_VIEN_ID = btv.ID
JOIN SCMS.BM_BAO_CAO_HANG bsh ON bsh.ID = gt.BM_SHEET_HANG_ID
JOIN SCMS.BM_BAO_CAO_COT bsc ON bsc.BM_SHEET_ID = 7418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is>
      </c>
      <c r="U1610" s="386" t="n"/>
      <c r="V1610" s="395" t="n"/>
      <c r="W1610" s="395" t="n"/>
      <c r="X1610" s="395" t="n"/>
      <c r="Y1610" s="395" t="n"/>
      <c r="Z1610" s="395" t="n"/>
      <c r="AA1610" s="395" t="n"/>
      <c r="AB1610" s="395" t="n"/>
      <c r="AC1610" s="395" t="n"/>
      <c r="AD1610" s="395" t="n"/>
      <c r="AE1610" s="395" t="n"/>
    </row>
    <row r="1611" ht="70" customHeight="1" s="380">
      <c r="A1611" s="73" t="n">
        <v>81</v>
      </c>
      <c r="B1611" s="386" t="n"/>
      <c r="C1611" s="386" t="inlineStr">
        <is>
          <t>Báo cáo theo Thông tư 121/2020/TT-BTC &gt;&gt; Giao dịch chứng khoán chưa niêm yết/đăng ký giao dịch - II.7.3.Tổng cộng</t>
        </is>
      </c>
      <c r="D1611" s="386" t="inlineStr">
        <is>
          <t>Sàn giao dịch</t>
        </is>
      </c>
      <c r="E1611" s="386" t="inlineStr">
        <is>
          <t>Sàn giao dịch</t>
        </is>
      </c>
      <c r="F1611" s="386" t="inlineStr">
        <is>
          <t>Data Explorer</t>
        </is>
      </c>
      <c r="G1611" s="386" t="inlineStr">
        <is>
          <t>Chỉ tiêu cơ sở</t>
        </is>
      </c>
      <c r="H1611" s="386" t="inlineStr">
        <is>
          <t>Dễ</t>
        </is>
      </c>
      <c r="I1611" s="386" t="inlineStr">
        <is>
          <t>Ngày, CTCK</t>
        </is>
      </c>
      <c r="J1611" s="395" t="inlineStr">
        <is>
          <t>SCMS</t>
        </is>
      </c>
      <c r="K1611" s="395" t="n"/>
      <c r="L1611" s="395" t="inlineStr">
        <is>
          <t>X</t>
        </is>
      </c>
      <c r="M1611" s="395" t="n"/>
      <c r="N1611" s="395" t="inlineStr">
        <is>
          <t>Done</t>
        </is>
      </c>
      <c r="O1611" s="401" t="n"/>
      <c r="P1611" s="395" t="n"/>
      <c r="S1611" s="395" t="n"/>
      <c r="U1611" s="386" t="n"/>
      <c r="V1611" s="395" t="n"/>
      <c r="W1611" s="395" t="n"/>
      <c r="X1611" s="395" t="n"/>
      <c r="Y1611" s="395" t="n"/>
      <c r="Z1611" s="395" t="n"/>
      <c r="AA1611" s="395" t="n"/>
      <c r="AB1611" s="395" t="n"/>
      <c r="AC1611" s="395" t="n"/>
      <c r="AD1611" s="395" t="n"/>
      <c r="AE1611" s="395" t="n"/>
    </row>
    <row r="1612" ht="70" customHeight="1" s="380">
      <c r="A1612" s="73" t="n">
        <v>81</v>
      </c>
      <c r="B1612" s="386" t="n"/>
      <c r="C1612" s="386" t="inlineStr">
        <is>
          <t>Báo cáo theo Thông tư 121/2020/TT-BTC &gt;&gt; Giao dịch chứng khoán chưa niêm yết/đăng ký giao dịch - II.7.3.Tổng cộng</t>
        </is>
      </c>
      <c r="D1612" s="386" t="inlineStr">
        <is>
          <t>Mã chứng khoán</t>
        </is>
      </c>
      <c r="E1612" s="386" t="inlineStr">
        <is>
          <t>Mã chứng khoán</t>
        </is>
      </c>
      <c r="F1612" s="386" t="inlineStr">
        <is>
          <t>Data Explorer</t>
        </is>
      </c>
      <c r="G1612" s="386" t="inlineStr">
        <is>
          <t>Chỉ tiêu cơ sở</t>
        </is>
      </c>
      <c r="H1612" s="386" t="inlineStr">
        <is>
          <t>Dễ</t>
        </is>
      </c>
      <c r="I1612" s="386" t="inlineStr">
        <is>
          <t>Ngày, CTCK</t>
        </is>
      </c>
      <c r="J1612" s="395" t="inlineStr">
        <is>
          <t>SCMS</t>
        </is>
      </c>
      <c r="K1612" s="395" t="n"/>
      <c r="L1612" s="395" t="inlineStr">
        <is>
          <t>X</t>
        </is>
      </c>
      <c r="M1612" s="395" t="n"/>
      <c r="N1612" s="395" t="inlineStr">
        <is>
          <t>Done</t>
        </is>
      </c>
      <c r="O1612" s="401" t="n"/>
      <c r="P1612" s="395" t="n"/>
      <c r="S1612" s="395" t="n"/>
      <c r="U1612" s="386" t="n"/>
      <c r="V1612" s="395" t="n"/>
      <c r="W1612" s="395" t="n"/>
      <c r="X1612" s="395" t="n"/>
      <c r="Y1612" s="395" t="n"/>
      <c r="Z1612" s="395" t="n"/>
      <c r="AA1612" s="395" t="n"/>
      <c r="AB1612" s="395" t="n"/>
      <c r="AC1612" s="395" t="n"/>
      <c r="AD1612" s="395" t="n"/>
      <c r="AE1612" s="395" t="n"/>
    </row>
    <row r="1613" ht="70" customHeight="1" s="380">
      <c r="A1613" s="73" t="n">
        <v>81</v>
      </c>
      <c r="B1613" s="386" t="n"/>
      <c r="C1613" s="386" t="inlineStr">
        <is>
          <t>Báo cáo theo Thông tư 121/2020/TT-BTC &gt;&gt; Giao dịch chứng khoán chưa niêm yết/đăng ký giao dịch - II.7.3.Tổng cộng</t>
        </is>
      </c>
      <c r="D1613" s="386" t="inlineStr">
        <is>
          <t>Giấy phép hoạt động &gt;&gt; Số</t>
        </is>
      </c>
      <c r="E1613" s="386" t="inlineStr">
        <is>
          <t>Giấy phép hoạt động &gt;&gt; Số</t>
        </is>
      </c>
      <c r="F1613" s="386" t="inlineStr">
        <is>
          <t>Data Explorer</t>
        </is>
      </c>
      <c r="G1613" s="386" t="inlineStr">
        <is>
          <t>Chỉ tiêu cơ sở</t>
        </is>
      </c>
      <c r="H1613" s="386" t="inlineStr">
        <is>
          <t>Dễ</t>
        </is>
      </c>
      <c r="I1613" s="386" t="inlineStr">
        <is>
          <t>Ngày, CTCK</t>
        </is>
      </c>
      <c r="J1613" s="395" t="inlineStr">
        <is>
          <t>SCMS</t>
        </is>
      </c>
      <c r="K1613" s="395" t="n"/>
      <c r="L1613" s="395" t="inlineStr">
        <is>
          <t>X</t>
        </is>
      </c>
      <c r="M1613" s="395" t="n"/>
      <c r="N1613" s="395" t="inlineStr">
        <is>
          <t>Done</t>
        </is>
      </c>
      <c r="O1613" s="401" t="n"/>
      <c r="P1613" s="395" t="n"/>
      <c r="S1613" s="395" t="n"/>
      <c r="U1613" s="386" t="n"/>
      <c r="V1613" s="395" t="n"/>
      <c r="W1613" s="395" t="n"/>
      <c r="X1613" s="395" t="n"/>
      <c r="Y1613" s="395" t="n"/>
      <c r="Z1613" s="395" t="n"/>
      <c r="AA1613" s="395" t="n"/>
      <c r="AB1613" s="395" t="n"/>
      <c r="AC1613" s="395" t="n"/>
      <c r="AD1613" s="395" t="n"/>
      <c r="AE1613" s="395" t="n"/>
    </row>
    <row r="1614" ht="70" customHeight="1" s="380">
      <c r="A1614" s="73" t="n">
        <v>81</v>
      </c>
      <c r="B1614" s="386" t="n"/>
      <c r="C1614" s="386" t="inlineStr">
        <is>
          <t>Báo cáo theo Thông tư 121/2020/TT-BTC &gt;&gt; Giao dịch chứng khoán chưa niêm yết/đăng ký giao dịch - II.7.3.Tổng cộng</t>
        </is>
      </c>
      <c r="D1614" s="386" t="inlineStr">
        <is>
          <t>Giấy phép hoạt động &gt;&gt; Ngày cấp</t>
        </is>
      </c>
      <c r="E1614" s="386" t="inlineStr">
        <is>
          <t>Giấy phép hoạt động &gt;&gt; Ngày cấp</t>
        </is>
      </c>
      <c r="F1614" s="386" t="inlineStr">
        <is>
          <t>Data Explorer</t>
        </is>
      </c>
      <c r="G1614" s="386" t="inlineStr">
        <is>
          <t>Chỉ tiêu cơ sở</t>
        </is>
      </c>
      <c r="H1614" s="386" t="inlineStr">
        <is>
          <t>Dễ</t>
        </is>
      </c>
      <c r="I1614" s="386" t="inlineStr">
        <is>
          <t>Ngày, CTCK</t>
        </is>
      </c>
      <c r="J1614" s="395" t="inlineStr">
        <is>
          <t>SCMS</t>
        </is>
      </c>
      <c r="K1614" s="395" t="n"/>
      <c r="L1614" s="395" t="inlineStr">
        <is>
          <t>X</t>
        </is>
      </c>
      <c r="M1614" s="395" t="n"/>
      <c r="N1614" s="395" t="inlineStr">
        <is>
          <t>Done</t>
        </is>
      </c>
      <c r="O1614" s="401" t="n"/>
      <c r="P1614" s="395" t="n"/>
      <c r="S1614" s="395" t="n"/>
      <c r="U1614" s="386" t="n"/>
      <c r="V1614" s="395" t="n"/>
      <c r="W1614" s="395" t="n"/>
      <c r="X1614" s="395" t="n"/>
      <c r="Y1614" s="395" t="n"/>
      <c r="Z1614" s="395" t="n"/>
      <c r="AA1614" s="395" t="n"/>
      <c r="AB1614" s="395" t="n"/>
      <c r="AC1614" s="395" t="n"/>
      <c r="AD1614" s="395" t="n"/>
      <c r="AE1614" s="395" t="n"/>
    </row>
    <row r="1615" ht="70" customHeight="1" s="380">
      <c r="A1615" s="73" t="n">
        <v>81</v>
      </c>
      <c r="B1615" s="386" t="n"/>
      <c r="C1615" s="386" t="inlineStr">
        <is>
          <t>Báo cáo theo Thông tư 121/2020/TT-BTC &gt;&gt; Giao dịch chứng khoán chưa niêm yết/đăng ký giao dịch - II.7.3.Tổng cộng</t>
        </is>
      </c>
      <c r="D1615" s="386" t="inlineStr">
        <is>
          <t>Cổ phiếu &gt;&gt; Mua trong kỳ &gt;&gt; Khối lượng</t>
        </is>
      </c>
      <c r="E1615" s="395" t="inlineStr">
        <is>
          <t>Cổ phiếu &gt;&gt; Mua trong kỳ &gt;&gt; Khối lượng</t>
        </is>
      </c>
      <c r="F1615" s="386" t="inlineStr">
        <is>
          <t>Data Explorer</t>
        </is>
      </c>
      <c r="G1615" s="386" t="inlineStr">
        <is>
          <t>Chỉ tiêu cơ sở</t>
        </is>
      </c>
      <c r="H1615" s="386" t="inlineStr">
        <is>
          <t>TB</t>
        </is>
      </c>
      <c r="I1615" s="386" t="inlineStr">
        <is>
          <t>Ngày, CTCK</t>
        </is>
      </c>
      <c r="J1615" s="395" t="inlineStr">
        <is>
          <t>SCMS</t>
        </is>
      </c>
      <c r="K1615" s="395" t="n"/>
      <c r="L1615" s="395" t="inlineStr">
        <is>
          <t>X</t>
        </is>
      </c>
      <c r="M1615" s="395" t="n"/>
      <c r="N1615" s="395" t="inlineStr">
        <is>
          <t>Done</t>
        </is>
      </c>
      <c r="O1615" s="401" t="n"/>
      <c r="P1615" s="395" t="n"/>
      <c r="S1615" s="395" t="n"/>
      <c r="U1615" s="386" t="n"/>
      <c r="V1615" s="395" t="n"/>
      <c r="W1615" s="395" t="n"/>
      <c r="X1615" s="395" t="n"/>
      <c r="Y1615" s="395" t="n"/>
      <c r="Z1615" s="395" t="n"/>
      <c r="AA1615" s="395" t="n"/>
      <c r="AB1615" s="395" t="n"/>
      <c r="AC1615" s="395" t="n"/>
      <c r="AD1615" s="395" t="n"/>
      <c r="AE1615" s="395" t="n"/>
    </row>
    <row r="1616" ht="70" customHeight="1" s="380">
      <c r="A1616" s="73" t="n">
        <v>81</v>
      </c>
      <c r="B1616" s="386" t="n"/>
      <c r="C1616" s="386" t="inlineStr">
        <is>
          <t>Báo cáo theo Thông tư 121/2020/TT-BTC &gt;&gt; Giao dịch chứng khoán chưa niêm yết/đăng ký giao dịch - II.7.3.Tổng cộng</t>
        </is>
      </c>
      <c r="D1616" s="386" t="inlineStr">
        <is>
          <t>Cổ phiếu &gt;&gt; Mua trong kỳ &gt;&gt; Giá trị (Triệu đồng)</t>
        </is>
      </c>
      <c r="E1616" s="386" t="inlineStr">
        <is>
          <t>Cổ phiếu &gt;&gt; Mua trong kỳ &gt;&gt; Giá trị (Triệu đồng)</t>
        </is>
      </c>
      <c r="F1616" s="386" t="inlineStr">
        <is>
          <t>Data Explorer</t>
        </is>
      </c>
      <c r="G1616" s="386" t="inlineStr">
        <is>
          <t>Chỉ tiêu cơ sở</t>
        </is>
      </c>
      <c r="H1616" s="386" t="inlineStr">
        <is>
          <t>TB</t>
        </is>
      </c>
      <c r="I1616" s="386" t="inlineStr">
        <is>
          <t>Ngày, CTCK</t>
        </is>
      </c>
      <c r="J1616" s="395" t="inlineStr">
        <is>
          <t>SCMS</t>
        </is>
      </c>
      <c r="K1616" s="395" t="n"/>
      <c r="L1616" s="395" t="inlineStr">
        <is>
          <t>X</t>
        </is>
      </c>
      <c r="M1616" s="395" t="n"/>
      <c r="N1616" s="395" t="inlineStr">
        <is>
          <t>Done</t>
        </is>
      </c>
      <c r="O1616" s="401" t="n"/>
      <c r="P1616" s="395" t="n"/>
      <c r="S1616" s="395" t="n"/>
      <c r="U1616" s="386" t="n"/>
      <c r="V1616" s="395" t="n"/>
      <c r="W1616" s="395" t="n"/>
      <c r="X1616" s="395" t="n"/>
      <c r="Y1616" s="395" t="n"/>
      <c r="Z1616" s="395" t="n"/>
      <c r="AA1616" s="395" t="n"/>
      <c r="AB1616" s="395" t="n"/>
      <c r="AC1616" s="395" t="n"/>
      <c r="AD1616" s="395" t="n"/>
      <c r="AE1616" s="395" t="n"/>
    </row>
    <row r="1617" ht="70" customHeight="1" s="380">
      <c r="A1617" s="73" t="n">
        <v>81</v>
      </c>
      <c r="B1617" s="386" t="n"/>
      <c r="C1617" s="386" t="inlineStr">
        <is>
          <t>Báo cáo theo Thông tư 121/2020/TT-BTC &gt;&gt; Giao dịch chứng khoán chưa niêm yết/đăng ký giao dịch - II.7.3.Tổng cộng</t>
        </is>
      </c>
      <c r="D1617" s="386" t="inlineStr">
        <is>
          <t>Cổ phiếu &gt;&gt; Bán trong kỳ &gt;&gt; Khối lượng</t>
        </is>
      </c>
      <c r="E1617" s="395" t="inlineStr">
        <is>
          <t>Cổ phiếu &gt;&gt; Bán trong kỳ &gt;&gt; Khối lượng</t>
        </is>
      </c>
      <c r="F1617" s="386" t="inlineStr">
        <is>
          <t>Data Explorer</t>
        </is>
      </c>
      <c r="G1617" s="386" t="inlineStr">
        <is>
          <t>Chỉ tiêu cơ sở</t>
        </is>
      </c>
      <c r="H1617" s="386" t="inlineStr">
        <is>
          <t>TB</t>
        </is>
      </c>
      <c r="I1617" s="386" t="inlineStr">
        <is>
          <t>Ngày, CTCK</t>
        </is>
      </c>
      <c r="J1617" s="395" t="inlineStr">
        <is>
          <t>SCMS</t>
        </is>
      </c>
      <c r="K1617" s="395" t="n"/>
      <c r="L1617" s="395" t="inlineStr">
        <is>
          <t>X</t>
        </is>
      </c>
      <c r="M1617" s="395" t="n"/>
      <c r="N1617" s="395" t="inlineStr">
        <is>
          <t>Done</t>
        </is>
      </c>
      <c r="O1617" s="401" t="n"/>
      <c r="P1617" s="395" t="n"/>
      <c r="S1617" s="395" t="n"/>
      <c r="U1617" s="386" t="n"/>
      <c r="V1617" s="395" t="n"/>
      <c r="W1617" s="395" t="n"/>
      <c r="X1617" s="395" t="n"/>
      <c r="Y1617" s="395" t="n"/>
      <c r="Z1617" s="395" t="n"/>
      <c r="AA1617" s="395" t="n"/>
      <c r="AB1617" s="395" t="n"/>
      <c r="AC1617" s="395" t="n"/>
      <c r="AD1617" s="395" t="n"/>
      <c r="AE1617" s="395" t="n"/>
    </row>
    <row r="1618" ht="70" customHeight="1" s="380">
      <c r="A1618" s="73" t="n">
        <v>81</v>
      </c>
      <c r="B1618" s="386" t="n"/>
      <c r="C1618" s="386" t="inlineStr">
        <is>
          <t>Báo cáo theo Thông tư 121/2020/TT-BTC &gt;&gt; Giao dịch chứng khoán chưa niêm yết/đăng ký giao dịch - II.7.3.Tổng cộng</t>
        </is>
      </c>
      <c r="D1618" s="386" t="inlineStr">
        <is>
          <t>Cổ phiếu &gt;&gt; Bán trong kỳ &gt;&gt; Giá trị (Triệu đồng)</t>
        </is>
      </c>
      <c r="E1618" s="386" t="inlineStr">
        <is>
          <t>Cổ phiếu &gt;&gt; Bán trong kỳ &gt;&gt; Giá trị (Triệu đồng)</t>
        </is>
      </c>
      <c r="F1618" s="386" t="inlineStr">
        <is>
          <t>Data Explorer</t>
        </is>
      </c>
      <c r="G1618" s="386" t="inlineStr">
        <is>
          <t>Chỉ tiêu cơ sở</t>
        </is>
      </c>
      <c r="H1618" s="386" t="inlineStr">
        <is>
          <t>TB</t>
        </is>
      </c>
      <c r="I1618" s="386" t="inlineStr">
        <is>
          <t>Ngày, CTCK</t>
        </is>
      </c>
      <c r="J1618" s="395" t="inlineStr">
        <is>
          <t>SCMS</t>
        </is>
      </c>
      <c r="K1618" s="395" t="n"/>
      <c r="L1618" s="395" t="inlineStr">
        <is>
          <t>X</t>
        </is>
      </c>
      <c r="M1618" s="395" t="n"/>
      <c r="N1618" s="395" t="inlineStr">
        <is>
          <t>Done</t>
        </is>
      </c>
      <c r="O1618" s="401" t="n"/>
      <c r="P1618" s="395" t="n"/>
      <c r="S1618" s="395" t="n"/>
      <c r="U1618" s="386" t="n"/>
      <c r="V1618" s="395" t="n"/>
      <c r="W1618" s="395" t="n"/>
      <c r="X1618" s="395" t="n"/>
      <c r="Y1618" s="395" t="n"/>
      <c r="Z1618" s="395" t="n"/>
      <c r="AA1618" s="395" t="n"/>
      <c r="AB1618" s="395" t="n"/>
      <c r="AC1618" s="395" t="n"/>
      <c r="AD1618" s="395" t="n"/>
      <c r="AE1618" s="395" t="n"/>
    </row>
    <row r="1619" ht="70" customHeight="1" s="380">
      <c r="A1619" s="73" t="n">
        <v>81</v>
      </c>
      <c r="B1619" s="386" t="n"/>
      <c r="C1619" s="386" t="inlineStr">
        <is>
          <t>Báo cáo theo Thông tư 121/2020/TT-BTC &gt;&gt; Giao dịch chứng khoán chưa niêm yết/đăng ký giao dịch - II.7.3.Tổng cộng</t>
        </is>
      </c>
      <c r="D1619" s="386" t="inlineStr">
        <is>
          <t>Trái phiếu &gt;&gt; Kỳ hạn &gt;&gt; ≤ 2 năm</t>
        </is>
      </c>
      <c r="E1619" s="395" t="inlineStr">
        <is>
          <t>Trái phiếu &gt;&gt; Kỳ hạn &gt;&gt; ≤ 2 năm</t>
        </is>
      </c>
      <c r="F1619" s="386" t="inlineStr">
        <is>
          <t>Data Explorer</t>
        </is>
      </c>
      <c r="G1619" s="386" t="inlineStr">
        <is>
          <t>Chỉ tiêu cơ sở</t>
        </is>
      </c>
      <c r="H1619" s="386" t="inlineStr">
        <is>
          <t>TB</t>
        </is>
      </c>
      <c r="I1619" s="386" t="inlineStr">
        <is>
          <t>Ngày, CTCK</t>
        </is>
      </c>
      <c r="J1619" s="395" t="inlineStr">
        <is>
          <t>SCMS</t>
        </is>
      </c>
      <c r="K1619" s="395" t="n"/>
      <c r="L1619" s="395" t="inlineStr">
        <is>
          <t>X</t>
        </is>
      </c>
      <c r="M1619" s="395" t="n"/>
      <c r="N1619" s="395" t="inlineStr">
        <is>
          <t>Done</t>
        </is>
      </c>
      <c r="O1619" s="401" t="n"/>
      <c r="P1619" s="395" t="n"/>
      <c r="S1619" s="395" t="n"/>
      <c r="U1619" s="386" t="n"/>
      <c r="V1619" s="395" t="n"/>
      <c r="W1619" s="395" t="n"/>
      <c r="X1619" s="395" t="n"/>
      <c r="Y1619" s="395" t="n"/>
      <c r="Z1619" s="395" t="n"/>
      <c r="AA1619" s="395" t="n"/>
      <c r="AB1619" s="395" t="n"/>
      <c r="AC1619" s="395" t="n"/>
      <c r="AD1619" s="395" t="n"/>
      <c r="AE1619" s="395" t="n"/>
    </row>
    <row r="1620" ht="70" customHeight="1" s="380">
      <c r="A1620" s="73" t="n">
        <v>81</v>
      </c>
      <c r="B1620" s="386" t="n"/>
      <c r="C1620" s="386" t="inlineStr">
        <is>
          <t>Báo cáo theo Thông tư 121/2020/TT-BTC &gt;&gt; Giao dịch chứng khoán chưa niêm yết/đăng ký giao dịch - II.7.3.Tổng cộng</t>
        </is>
      </c>
      <c r="D1620" s="386" t="inlineStr">
        <is>
          <t>Trái phiếu &gt;&gt; Kỳ hạn &gt;&gt; &gt; 2 năm và &lt; 5 năm</t>
        </is>
      </c>
      <c r="E1620" s="386" t="inlineStr">
        <is>
          <t>Trái phiếu &gt;&gt; Kỳ hạn &gt;&gt; &gt; 2 năm và &lt; 5 năm</t>
        </is>
      </c>
      <c r="F1620" s="386" t="inlineStr">
        <is>
          <t>Data Explorer</t>
        </is>
      </c>
      <c r="G1620" s="386" t="inlineStr">
        <is>
          <t>Chỉ tiêu cơ sở</t>
        </is>
      </c>
      <c r="H1620" s="386" t="inlineStr">
        <is>
          <t>TB</t>
        </is>
      </c>
      <c r="I1620" s="386" t="inlineStr">
        <is>
          <t>Ngày, CTCK</t>
        </is>
      </c>
      <c r="J1620" s="395" t="inlineStr">
        <is>
          <t>SCMS</t>
        </is>
      </c>
      <c r="K1620" s="395" t="n"/>
      <c r="L1620" s="395" t="inlineStr">
        <is>
          <t>X</t>
        </is>
      </c>
      <c r="M1620" s="395" t="n"/>
      <c r="N1620" s="395" t="inlineStr">
        <is>
          <t>Done</t>
        </is>
      </c>
      <c r="O1620" s="401" t="n"/>
      <c r="P1620" s="395" t="n"/>
      <c r="S1620" s="395" t="n"/>
      <c r="U1620" s="386" t="n"/>
      <c r="V1620" s="395" t="n"/>
      <c r="W1620" s="395" t="n"/>
      <c r="X1620" s="395" t="n"/>
      <c r="Y1620" s="395" t="n"/>
      <c r="Z1620" s="395" t="n"/>
      <c r="AA1620" s="395" t="n"/>
      <c r="AB1620" s="395" t="n"/>
      <c r="AC1620" s="395" t="n"/>
      <c r="AD1620" s="395" t="n"/>
      <c r="AE1620" s="395" t="n"/>
    </row>
    <row r="1621" ht="70" customHeight="1" s="380">
      <c r="A1621" s="73" t="n">
        <v>81</v>
      </c>
      <c r="B1621" s="386" t="n"/>
      <c r="C1621" s="386" t="inlineStr">
        <is>
          <t>Báo cáo theo Thông tư 121/2020/TT-BTC &gt;&gt; Giao dịch chứng khoán chưa niêm yết/đăng ký giao dịch - II.7.3.Tổng cộng</t>
        </is>
      </c>
      <c r="D1621" s="386" t="inlineStr">
        <is>
          <t>Trái phiếu &gt;&gt; Kỳ hạn &gt;&gt; ≥ 5 năm</t>
        </is>
      </c>
      <c r="E1621" s="395" t="inlineStr">
        <is>
          <t>Trái phiếu &gt;&gt; Kỳ hạn &gt;&gt; ≥ 5 năm</t>
        </is>
      </c>
      <c r="F1621" s="386" t="inlineStr">
        <is>
          <t>Data Explorer</t>
        </is>
      </c>
      <c r="G1621" s="386" t="inlineStr">
        <is>
          <t>Chỉ tiêu cơ sở</t>
        </is>
      </c>
      <c r="H1621" s="386" t="inlineStr">
        <is>
          <t>TB</t>
        </is>
      </c>
      <c r="I1621" s="386" t="inlineStr">
        <is>
          <t>Ngày, CTCK</t>
        </is>
      </c>
      <c r="J1621" s="395" t="inlineStr">
        <is>
          <t>SCMS</t>
        </is>
      </c>
      <c r="K1621" s="395" t="n"/>
      <c r="L1621" s="395" t="inlineStr">
        <is>
          <t>X</t>
        </is>
      </c>
      <c r="M1621" s="395" t="n"/>
      <c r="N1621" s="395" t="inlineStr">
        <is>
          <t>Done</t>
        </is>
      </c>
      <c r="O1621" s="401" t="n"/>
      <c r="P1621" s="395" t="n"/>
      <c r="S1621" s="395" t="n"/>
      <c r="U1621" s="386" t="n"/>
      <c r="V1621" s="395" t="n"/>
      <c r="W1621" s="395" t="n"/>
      <c r="X1621" s="395" t="n"/>
      <c r="Y1621" s="395" t="n"/>
      <c r="Z1621" s="395" t="n"/>
      <c r="AA1621" s="395" t="n"/>
      <c r="AB1621" s="395" t="n"/>
      <c r="AC1621" s="395" t="n"/>
      <c r="AD1621" s="395" t="n"/>
      <c r="AE1621" s="395" t="n"/>
    </row>
    <row r="1622" ht="70" customHeight="1" s="380">
      <c r="A1622" s="73" t="n">
        <v>81</v>
      </c>
      <c r="B1622" s="386" t="n"/>
      <c r="C1622" s="386" t="inlineStr">
        <is>
          <t>Báo cáo theo Thông tư 121/2020/TT-BTC &gt;&gt; Giao dịch chứng khoán chưa niêm yết/đăng ký giao dịch - II.7.3.Tổng cộng</t>
        </is>
      </c>
      <c r="D1622" s="386" t="inlineStr">
        <is>
          <t>Trái phiếu &gt;&gt; Mua trong kỳ &gt;&gt; Khối lượng</t>
        </is>
      </c>
      <c r="E1622" s="395" t="inlineStr">
        <is>
          <t>Trái phiếu &gt;&gt; Mua trong kỳ &gt;&gt; Khối lượng</t>
        </is>
      </c>
      <c r="F1622" s="386" t="inlineStr">
        <is>
          <t>Data Explorer</t>
        </is>
      </c>
      <c r="G1622" s="386" t="inlineStr">
        <is>
          <t>Chỉ tiêu cơ sở</t>
        </is>
      </c>
      <c r="H1622" s="386" t="inlineStr">
        <is>
          <t>TB</t>
        </is>
      </c>
      <c r="I1622" s="386" t="inlineStr">
        <is>
          <t>Ngày, CTCK</t>
        </is>
      </c>
      <c r="J1622" s="395" t="inlineStr">
        <is>
          <t>SCMS</t>
        </is>
      </c>
      <c r="K1622" s="395" t="n"/>
      <c r="L1622" s="395" t="inlineStr">
        <is>
          <t>X</t>
        </is>
      </c>
      <c r="M1622" s="395" t="n"/>
      <c r="N1622" s="395" t="inlineStr">
        <is>
          <t>Done</t>
        </is>
      </c>
      <c r="O1622" s="401" t="n"/>
      <c r="P1622" s="395" t="n"/>
      <c r="S1622" s="395" t="n"/>
      <c r="U1622" s="386" t="n"/>
      <c r="V1622" s="395" t="n"/>
      <c r="W1622" s="395" t="n"/>
      <c r="X1622" s="395" t="n"/>
      <c r="Y1622" s="395" t="n"/>
      <c r="Z1622" s="395" t="n"/>
      <c r="AA1622" s="395" t="n"/>
      <c r="AB1622" s="395" t="n"/>
      <c r="AC1622" s="395" t="n"/>
      <c r="AD1622" s="395" t="n"/>
      <c r="AE1622" s="395" t="n"/>
    </row>
    <row r="1623" ht="70" customHeight="1" s="380">
      <c r="A1623" s="73" t="n">
        <v>81</v>
      </c>
      <c r="B1623" s="386" t="n"/>
      <c r="C1623" s="386" t="inlineStr">
        <is>
          <t>Báo cáo theo Thông tư 121/2020/TT-BTC &gt;&gt; Giao dịch chứng khoán chưa niêm yết/đăng ký giao dịch - II.7.3.Tổng cộng</t>
        </is>
      </c>
      <c r="D1623" s="386" t="inlineStr">
        <is>
          <t>Trái phiếu &gt;&gt; Mua trong kỳ &gt;&gt; Giá trị (Triệu đồng)</t>
        </is>
      </c>
      <c r="E1623" s="386" t="inlineStr">
        <is>
          <t>Trái phiếu &gt;&gt; Mua trong kỳ &gt;&gt; Giá trị (Triệu đồng)</t>
        </is>
      </c>
      <c r="F1623" s="386" t="inlineStr">
        <is>
          <t>Data Explorer</t>
        </is>
      </c>
      <c r="G1623" s="386" t="inlineStr">
        <is>
          <t>Chỉ tiêu cơ sở</t>
        </is>
      </c>
      <c r="H1623" s="386" t="inlineStr">
        <is>
          <t>TB</t>
        </is>
      </c>
      <c r="I1623" s="386" t="inlineStr">
        <is>
          <t>Ngày, CTCK</t>
        </is>
      </c>
      <c r="J1623" s="395" t="inlineStr">
        <is>
          <t>SCMS</t>
        </is>
      </c>
      <c r="K1623" s="395" t="n"/>
      <c r="L1623" s="395" t="inlineStr">
        <is>
          <t>X</t>
        </is>
      </c>
      <c r="M1623" s="395" t="n"/>
      <c r="N1623" s="395" t="inlineStr">
        <is>
          <t>Done</t>
        </is>
      </c>
      <c r="O1623" s="401" t="n"/>
      <c r="P1623" s="395" t="n"/>
      <c r="S1623" s="395" t="n"/>
      <c r="U1623" s="386" t="n"/>
      <c r="V1623" s="395" t="n"/>
      <c r="W1623" s="395" t="n"/>
      <c r="X1623" s="395" t="n"/>
      <c r="Y1623" s="395" t="n"/>
      <c r="Z1623" s="395" t="n"/>
      <c r="AA1623" s="395" t="n"/>
      <c r="AB1623" s="395" t="n"/>
      <c r="AC1623" s="395" t="n"/>
      <c r="AD1623" s="395" t="n"/>
      <c r="AE1623" s="395" t="n"/>
    </row>
    <row r="1624" ht="70" customHeight="1" s="380">
      <c r="A1624" s="73" t="n">
        <v>81</v>
      </c>
      <c r="B1624" s="386" t="n"/>
      <c r="C1624" s="386" t="inlineStr">
        <is>
          <t>Báo cáo theo Thông tư 121/2020/TT-BTC &gt;&gt; Giao dịch chứng khoán chưa niêm yết/đăng ký giao dịch - II.7.3.Tổng cộng</t>
        </is>
      </c>
      <c r="D1624" s="386" t="inlineStr">
        <is>
          <t>Trái phiếu &gt;&gt; Bán trong kỳ &gt;&gt; Khối lượng</t>
        </is>
      </c>
      <c r="E1624" s="395" t="inlineStr">
        <is>
          <t>Trái phiếu &gt;&gt; Bán trong kỳ &gt;&gt; Khối lượng</t>
        </is>
      </c>
      <c r="F1624" s="386" t="inlineStr">
        <is>
          <t>Data Explorer</t>
        </is>
      </c>
      <c r="G1624" s="386" t="inlineStr">
        <is>
          <t>Chỉ tiêu cơ sở</t>
        </is>
      </c>
      <c r="H1624" s="386" t="inlineStr">
        <is>
          <t>TB</t>
        </is>
      </c>
      <c r="I1624" s="386" t="inlineStr">
        <is>
          <t>Ngày, CTCK</t>
        </is>
      </c>
      <c r="J1624" s="395" t="inlineStr">
        <is>
          <t>SCMS</t>
        </is>
      </c>
      <c r="K1624" s="395" t="n"/>
      <c r="L1624" s="395" t="inlineStr">
        <is>
          <t>X</t>
        </is>
      </c>
      <c r="M1624" s="395" t="n"/>
      <c r="N1624" s="395" t="inlineStr">
        <is>
          <t>Done</t>
        </is>
      </c>
      <c r="O1624" s="401" t="n"/>
      <c r="P1624" s="395" t="n"/>
      <c r="S1624" s="395" t="n"/>
      <c r="U1624" s="386" t="n"/>
      <c r="V1624" s="395" t="n"/>
      <c r="W1624" s="395" t="n"/>
      <c r="X1624" s="395" t="n"/>
      <c r="Y1624" s="395" t="n"/>
      <c r="Z1624" s="395" t="n"/>
      <c r="AA1624" s="395" t="n"/>
      <c r="AB1624" s="395" t="n"/>
      <c r="AC1624" s="395" t="n"/>
      <c r="AD1624" s="395" t="n"/>
      <c r="AE1624" s="395" t="n"/>
    </row>
    <row r="1625" ht="70" customHeight="1" s="380">
      <c r="A1625" s="83" t="n">
        <v>81</v>
      </c>
      <c r="B1625" s="68" t="n"/>
      <c r="C1625" s="68" t="inlineStr">
        <is>
          <t>Báo cáo theo Thông tư 121/2020/TT-BTC &gt;&gt; Giao dịch chứng khoán chưa niêm yết/đăng ký giao dịch - II.7.3.Tổng cộng</t>
        </is>
      </c>
      <c r="D1625" s="68" t="inlineStr">
        <is>
          <t>Trái phiếu &gt;&gt; Bán trong kỳ &gt;&gt; Giá trị (Triệu đồng)</t>
        </is>
      </c>
      <c r="E1625" s="68" t="inlineStr">
        <is>
          <t>Trái phiếu &gt;&gt; Bán trong kỳ &gt;&gt; Giá trị (Triệu đồng)</t>
        </is>
      </c>
      <c r="F1625" s="68" t="inlineStr">
        <is>
          <t>Data Explorer</t>
        </is>
      </c>
      <c r="G1625" s="68" t="inlineStr">
        <is>
          <t>Chỉ tiêu cơ sở</t>
        </is>
      </c>
      <c r="H1625" s="68" t="inlineStr">
        <is>
          <t>TB</t>
        </is>
      </c>
      <c r="I1625" s="68" t="inlineStr">
        <is>
          <t>Ngày, CTCK</t>
        </is>
      </c>
      <c r="J1625" s="69" t="inlineStr">
        <is>
          <t>SCMS</t>
        </is>
      </c>
      <c r="K1625" s="69" t="n"/>
      <c r="L1625" s="69" t="inlineStr">
        <is>
          <t>X</t>
        </is>
      </c>
      <c r="M1625" s="69" t="n"/>
      <c r="N1625" s="69" t="inlineStr">
        <is>
          <t>Done</t>
        </is>
      </c>
      <c r="O1625" s="85" t="n"/>
      <c r="P1625" s="69" t="n"/>
      <c r="Q1625" s="426" t="n"/>
      <c r="R1625" s="426" t="n"/>
      <c r="S1625" s="69" t="n"/>
      <c r="T1625" s="426" t="n"/>
      <c r="U1625" s="68" t="n"/>
      <c r="V1625" s="69" t="n"/>
      <c r="W1625" s="69" t="n"/>
      <c r="X1625" s="69" t="n"/>
      <c r="Y1625" s="69" t="n"/>
      <c r="Z1625" s="69" t="n"/>
      <c r="AA1625" s="69" t="n"/>
      <c r="AB1625" s="69" t="n"/>
      <c r="AC1625" s="69" t="n"/>
      <c r="AD1625" s="69" t="n"/>
      <c r="AE1625" s="69" t="n"/>
    </row>
    <row r="1626" ht="56" customHeight="1" s="380">
      <c r="A1626" s="73" t="n">
        <v>82</v>
      </c>
      <c r="B1626" s="122" t="inlineStr">
        <is>
          <t>Nga</t>
        </is>
      </c>
      <c r="C1626" s="81" t="inlineStr">
        <is>
          <t>Báo cáo theo Thông tư 121/2020/TT-BTC &gt;&gt; Tình hình nắm giữ chứng khoán niêm yết - II.10.1</t>
        </is>
      </c>
      <c r="D1626" s="106" t="inlineStr">
        <is>
          <t>Loại báo cáo</t>
        </is>
      </c>
      <c r="E1626" s="107" t="inlineStr">
        <is>
          <t>Loại báo cáo</t>
        </is>
      </c>
      <c r="F1626" s="390" t="inlineStr">
        <is>
          <t>Data Explorer</t>
        </is>
      </c>
      <c r="G1626" s="390" t="inlineStr">
        <is>
          <t>Chiều</t>
        </is>
      </c>
      <c r="H1626" s="390" t="inlineStr">
        <is>
          <t>Dễ</t>
        </is>
      </c>
      <c r="I1626" s="390" t="inlineStr">
        <is>
          <t>Ngày, CTCK</t>
        </is>
      </c>
      <c r="J1626" s="401" t="inlineStr">
        <is>
          <t>SCMS</t>
        </is>
      </c>
      <c r="K1626" s="401" t="inlineStr">
        <is>
          <t>X</t>
        </is>
      </c>
      <c r="L1626" s="395" t="inlineStr">
        <is>
          <t>X</t>
        </is>
      </c>
      <c r="M1626" s="401" t="n"/>
      <c r="N1626" s="395" t="inlineStr">
        <is>
          <t>Done</t>
        </is>
      </c>
      <c r="O1626" s="401" t="n"/>
      <c r="P1626" s="395" t="n"/>
      <c r="Q1626" s="404" t="inlineStr">
        <is>
          <t>SCMS.BM_BAO_CAO
SCMS.BM_BAO_CAO_DINH_KY</t>
        </is>
      </c>
      <c r="R1626" s="404" t="inlineStr">
        <is>
          <t>bm.ID,
bm.MA_BAO_CAO,
bm.LOAI_BAO_CAO,
bm.TEN_BAO_CAO,
bm.SU_DUNG,
bdk.BM_BAO_CAO_ID,
bdk.KY_BAO_CAO,
bdk.SU_DUNG</t>
        </is>
      </c>
      <c r="S1626" s="395" t="n"/>
      <c r="T1626"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626" s="386" t="n"/>
      <c r="V1626" s="395" t="n"/>
      <c r="W1626" s="395" t="n"/>
      <c r="X1626" s="395" t="n"/>
      <c r="Y1626" s="36" t="n"/>
      <c r="Z1626" s="395" t="n"/>
      <c r="AA1626" s="395" t="n"/>
      <c r="AB1626" s="395" t="n"/>
      <c r="AC1626" s="395" t="n"/>
      <c r="AD1626" s="395" t="n"/>
      <c r="AE1626" s="395" t="n"/>
    </row>
    <row r="1627" ht="56" customHeight="1" s="380">
      <c r="A1627" s="73" t="n">
        <v>82</v>
      </c>
      <c r="B1627" s="386" t="n"/>
      <c r="C1627" s="386" t="inlineStr">
        <is>
          <t>Báo cáo theo Thông tư 121/2020/TT-BTC &gt;&gt; Tình hình nắm giữ chứng khoán niêm yết - II.10.1</t>
        </is>
      </c>
      <c r="D1627" s="106" t="inlineStr">
        <is>
          <t>Kỳ báo cáo</t>
        </is>
      </c>
      <c r="E1627" s="107" t="inlineStr">
        <is>
          <t>Kỳ báo cáo</t>
        </is>
      </c>
      <c r="F1627" s="390" t="inlineStr">
        <is>
          <t>Data Explorer</t>
        </is>
      </c>
      <c r="G1627" s="390" t="inlineStr">
        <is>
          <t>Chiều</t>
        </is>
      </c>
      <c r="H1627" s="390" t="inlineStr">
        <is>
          <t>Dễ</t>
        </is>
      </c>
      <c r="I1627" s="390" t="inlineStr">
        <is>
          <t>Ngày, CTCK</t>
        </is>
      </c>
      <c r="J1627" s="401" t="inlineStr">
        <is>
          <t>SCMS</t>
        </is>
      </c>
      <c r="K1627" s="401" t="inlineStr">
        <is>
          <t>X</t>
        </is>
      </c>
      <c r="L1627" s="395" t="inlineStr">
        <is>
          <t>X</t>
        </is>
      </c>
      <c r="M1627" s="401" t="n"/>
      <c r="N1627" s="395" t="inlineStr">
        <is>
          <t>Done</t>
        </is>
      </c>
      <c r="O1627" s="401" t="n"/>
      <c r="P1627" s="395" t="n"/>
      <c r="S1627" s="395" t="n"/>
      <c r="U1627" s="386" t="n"/>
      <c r="V1627" s="395" t="n"/>
      <c r="W1627" s="395" t="n"/>
      <c r="X1627" s="395" t="n"/>
      <c r="Y1627" s="395" t="n"/>
      <c r="Z1627" s="395" t="n"/>
      <c r="AA1627" s="395" t="n"/>
      <c r="AB1627" s="395" t="n"/>
      <c r="AC1627" s="395" t="n"/>
      <c r="AD1627" s="395" t="n"/>
      <c r="AE1627" s="395" t="n"/>
    </row>
    <row r="1628" ht="56" customHeight="1" s="380">
      <c r="A1628" s="73" t="n">
        <v>82</v>
      </c>
      <c r="B1628" s="386" t="n"/>
      <c r="C1628" s="386" t="inlineStr">
        <is>
          <t>Báo cáo theo Thông tư 121/2020/TT-BTC &gt;&gt; Tình hình nắm giữ chứng khoán niêm yết - II.10.1</t>
        </is>
      </c>
      <c r="D1628" s="106" t="inlineStr">
        <is>
          <t>Mã báo cáo</t>
        </is>
      </c>
      <c r="E1628" s="107" t="inlineStr">
        <is>
          <t>Mã báo cáo</t>
        </is>
      </c>
      <c r="F1628" s="390" t="inlineStr">
        <is>
          <t>Data Explorer</t>
        </is>
      </c>
      <c r="G1628" s="390" t="inlineStr">
        <is>
          <t>Chiều</t>
        </is>
      </c>
      <c r="H1628" s="390" t="inlineStr">
        <is>
          <t>Dễ</t>
        </is>
      </c>
      <c r="I1628" s="390" t="inlineStr">
        <is>
          <t>Ngày, CTCK</t>
        </is>
      </c>
      <c r="J1628" s="401" t="inlineStr">
        <is>
          <t>SCMS</t>
        </is>
      </c>
      <c r="K1628" s="401" t="inlineStr">
        <is>
          <t>X</t>
        </is>
      </c>
      <c r="L1628" s="395" t="inlineStr">
        <is>
          <t>X</t>
        </is>
      </c>
      <c r="M1628" s="401" t="n"/>
      <c r="N1628" s="395" t="inlineStr">
        <is>
          <t>Done</t>
        </is>
      </c>
      <c r="O1628" s="401" t="n"/>
      <c r="P1628" s="395" t="n"/>
      <c r="S1628" s="395" t="n"/>
      <c r="U1628" s="386" t="n"/>
      <c r="V1628" s="395" t="n"/>
      <c r="W1628" s="395" t="n"/>
      <c r="X1628" s="395" t="n"/>
      <c r="Y1628" s="395" t="n"/>
      <c r="Z1628" s="395" t="n"/>
      <c r="AA1628" s="395" t="n"/>
      <c r="AB1628" s="395" t="n"/>
      <c r="AC1628" s="395" t="n"/>
      <c r="AD1628" s="395" t="n"/>
      <c r="AE1628" s="395" t="n"/>
    </row>
    <row r="1629" ht="56" customHeight="1" s="380">
      <c r="A1629" s="73" t="n">
        <v>82</v>
      </c>
      <c r="B1629" s="386" t="n"/>
      <c r="C1629" s="386" t="inlineStr">
        <is>
          <t>Báo cáo theo Thông tư 121/2020/TT-BTC &gt;&gt; Tình hình nắm giữ chứng khoán niêm yết - II.10.1</t>
        </is>
      </c>
      <c r="D1629" s="106" t="inlineStr">
        <is>
          <t>Tên báo cáo</t>
        </is>
      </c>
      <c r="E1629" s="107" t="inlineStr">
        <is>
          <t>Tên báo cáo</t>
        </is>
      </c>
      <c r="F1629" s="390" t="inlineStr">
        <is>
          <t>Data Explorer</t>
        </is>
      </c>
      <c r="G1629" s="390" t="inlineStr">
        <is>
          <t>Chiều</t>
        </is>
      </c>
      <c r="H1629" s="390" t="inlineStr">
        <is>
          <t>Dễ</t>
        </is>
      </c>
      <c r="I1629" s="390" t="inlineStr">
        <is>
          <t>Ngày, CTCK</t>
        </is>
      </c>
      <c r="J1629" s="401" t="inlineStr">
        <is>
          <t>SCMS</t>
        </is>
      </c>
      <c r="K1629" s="401" t="inlineStr">
        <is>
          <t>X</t>
        </is>
      </c>
      <c r="L1629" s="395" t="inlineStr">
        <is>
          <t>X</t>
        </is>
      </c>
      <c r="M1629" s="401" t="n"/>
      <c r="N1629" s="395" t="inlineStr">
        <is>
          <t>Done</t>
        </is>
      </c>
      <c r="O1629" s="401" t="n"/>
      <c r="P1629" s="395" t="n"/>
      <c r="S1629" s="395" t="n"/>
      <c r="U1629" s="386" t="n"/>
      <c r="V1629" s="395" t="n"/>
      <c r="W1629" s="395" t="n"/>
      <c r="X1629" s="395" t="n"/>
      <c r="Y1629" s="37" t="n"/>
      <c r="Z1629" s="395" t="n"/>
      <c r="AA1629" s="395" t="n"/>
      <c r="AB1629" s="395" t="n"/>
      <c r="AC1629" s="395" t="n"/>
      <c r="AD1629" s="395" t="n"/>
      <c r="AE1629" s="395" t="n"/>
    </row>
    <row r="1630" ht="56" customHeight="1" s="380">
      <c r="A1630" s="73" t="n">
        <v>82</v>
      </c>
      <c r="B1630" s="386" t="n"/>
      <c r="C1630" s="386" t="inlineStr">
        <is>
          <t>Báo cáo theo Thông tư 121/2020/TT-BTC &gt;&gt; Tình hình nắm giữ chứng khoán niêm yết - II.10.1</t>
        </is>
      </c>
      <c r="D1630" s="106" t="inlineStr">
        <is>
          <t>Mã sheet</t>
        </is>
      </c>
      <c r="E1630" s="106" t="inlineStr">
        <is>
          <t>Mã sheet</t>
        </is>
      </c>
      <c r="F1630" s="390" t="inlineStr">
        <is>
          <t>Data Explorer</t>
        </is>
      </c>
      <c r="G1630" s="390" t="inlineStr">
        <is>
          <t>Chiều</t>
        </is>
      </c>
      <c r="H1630" s="390" t="inlineStr">
        <is>
          <t>Dễ</t>
        </is>
      </c>
      <c r="I1630" s="390" t="inlineStr">
        <is>
          <t>Ngày, CTCK</t>
        </is>
      </c>
      <c r="J1630" s="401" t="inlineStr">
        <is>
          <t>SCMS</t>
        </is>
      </c>
      <c r="K1630" s="401" t="inlineStr">
        <is>
          <t>X</t>
        </is>
      </c>
      <c r="L1630" s="395" t="inlineStr">
        <is>
          <t>X</t>
        </is>
      </c>
      <c r="M1630" s="401" t="n"/>
      <c r="N1630" s="395" t="inlineStr">
        <is>
          <t>Done</t>
        </is>
      </c>
      <c r="O1630" s="401" t="n"/>
      <c r="P1630" s="395" t="n"/>
      <c r="Q1630" s="401" t="inlineStr">
        <is>
          <t>SCMS.BM_BAO_CAO
SCMS.BM_SHEET</t>
        </is>
      </c>
      <c r="R1630" s="401" t="inlineStr">
        <is>
          <t>bm.ID,
bm.MA_BAO_CAO,
bm.SU_DUNG,
s.BM_BAO_CAO_ID,
s.MA_SHEET,
s.TEN_SHEET,
s.SAP_XEP</t>
        </is>
      </c>
      <c r="S1630" s="395" t="n"/>
      <c r="T1630" s="384" t="inlineStr">
        <is>
          <t>-- Mã sheet / Tên sheet
-- TEN_SHEET: THNGCKNY
SELECT bm.MA_BAO_CAO,
s.MA_SHEET,
s.TEN_SHEET
FROM SCMS.BM_BAO_CAO bm
JOIN SCMS.BM_SHEET s ON s.BM_BAO_CAO_ID = bm.ID
WHERE bm.MA_BAO_CAO LIKE 'BCTHHDKD%'
AND s.TEN_SHEET = 'THNGCKNY'  -- Check lại
AND bm.SU_DUNG = 1
ORDER BY bm.MA_BAO_CAO, s.SAP_XEP;</t>
        </is>
      </c>
      <c r="U1630" s="386" t="n"/>
      <c r="V1630" s="395" t="n"/>
      <c r="W1630" s="395" t="n"/>
      <c r="X1630" s="395" t="n"/>
      <c r="Y1630" s="395" t="n"/>
      <c r="Z1630" s="395" t="n"/>
      <c r="AA1630" s="395" t="n"/>
      <c r="AB1630" s="395" t="n"/>
      <c r="AC1630" s="395" t="n"/>
      <c r="AD1630" s="395" t="n"/>
      <c r="AE1630" s="395" t="n"/>
    </row>
    <row r="1631" ht="56" customHeight="1" s="380">
      <c r="A1631" s="73" t="n">
        <v>82</v>
      </c>
      <c r="B1631" s="386" t="n"/>
      <c r="C1631" s="386" t="inlineStr">
        <is>
          <t>Báo cáo theo Thông tư 121/2020/TT-BTC &gt;&gt; Tình hình nắm giữ chứng khoán niêm yết - II.10.1</t>
        </is>
      </c>
      <c r="D1631" s="106" t="inlineStr">
        <is>
          <t>Tên sheet</t>
        </is>
      </c>
      <c r="E1631" s="106" t="inlineStr">
        <is>
          <t>Tên sheet</t>
        </is>
      </c>
      <c r="F1631" s="390" t="inlineStr">
        <is>
          <t>Data Explorer</t>
        </is>
      </c>
      <c r="G1631" s="390" t="inlineStr">
        <is>
          <t>Chiều</t>
        </is>
      </c>
      <c r="H1631" s="390" t="inlineStr">
        <is>
          <t>Dễ</t>
        </is>
      </c>
      <c r="I1631" s="390" t="inlineStr">
        <is>
          <t>Ngày, CTCK</t>
        </is>
      </c>
      <c r="J1631" s="401" t="inlineStr">
        <is>
          <t>SCMS</t>
        </is>
      </c>
      <c r="K1631" s="401" t="inlineStr">
        <is>
          <t>X</t>
        </is>
      </c>
      <c r="L1631" s="395" t="inlineStr">
        <is>
          <t>X</t>
        </is>
      </c>
      <c r="M1631" s="401" t="n"/>
      <c r="N1631" s="395" t="inlineStr">
        <is>
          <t>Done</t>
        </is>
      </c>
      <c r="O1631" s="401" t="n"/>
      <c r="P1631" s="395" t="n"/>
      <c r="S1631" s="395" t="n"/>
      <c r="U1631" s="386" t="n"/>
      <c r="V1631" s="395" t="n"/>
      <c r="W1631" s="395" t="n"/>
      <c r="X1631" s="395" t="n"/>
      <c r="Y1631" s="395" t="n"/>
      <c r="Z1631" s="395" t="n"/>
      <c r="AA1631" s="395" t="n"/>
      <c r="AB1631" s="395" t="n"/>
      <c r="AC1631" s="395" t="n"/>
      <c r="AD1631" s="395" t="n"/>
      <c r="AE1631" s="395" t="n"/>
    </row>
    <row r="1632" ht="56" customHeight="1" s="380">
      <c r="A1632" s="73" t="n">
        <v>82</v>
      </c>
      <c r="B1632" s="386" t="n"/>
      <c r="C1632" s="386" t="inlineStr">
        <is>
          <t>Báo cáo theo Thông tư 121/2020/TT-BTC &gt;&gt; Tình hình nắm giữ chứng khoán niêm yết - II.10.1</t>
        </is>
      </c>
      <c r="D1632" s="106" t="inlineStr">
        <is>
          <t>Mã chỉ tiêu</t>
        </is>
      </c>
      <c r="E1632" s="107" t="inlineStr">
        <is>
          <t>Mã chỉ tiêu</t>
        </is>
      </c>
      <c r="F1632" s="390" t="inlineStr">
        <is>
          <t>Data Explorer</t>
        </is>
      </c>
      <c r="G1632" s="390" t="inlineStr">
        <is>
          <t>Chiều</t>
        </is>
      </c>
      <c r="H1632" s="390" t="inlineStr">
        <is>
          <t>Dễ</t>
        </is>
      </c>
      <c r="I1632" s="390" t="inlineStr">
        <is>
          <t>Ngày, CTCK</t>
        </is>
      </c>
      <c r="J1632" s="401" t="inlineStr">
        <is>
          <t>SCMS</t>
        </is>
      </c>
      <c r="K1632" s="401" t="inlineStr">
        <is>
          <t>X</t>
        </is>
      </c>
      <c r="L1632" s="395" t="inlineStr">
        <is>
          <t>X</t>
        </is>
      </c>
      <c r="M1632" s="401" t="n"/>
      <c r="N1632" s="395" t="inlineStr">
        <is>
          <t>Done</t>
        </is>
      </c>
      <c r="O1632" s="401" t="n"/>
      <c r="P1632" s="395" t="n"/>
      <c r="Q1632" s="401" t="inlineStr">
        <is>
          <t>SCMS.BM_BAO_CAO
SCMS.BM_SHEET
SCMS.BM_BAO_CAO_CT
SCMS.DM_CHI_TIEU</t>
        </is>
      </c>
      <c r="R1632" s="402" t="inlineStr">
        <is>
          <t>dct.ID,
dct.MA_CHI_TIEU,
dct.TEN_CHI_TIEU,
dct.SU_DUNG,
s.BM_BAO_CAO_ID,
s.MA_SHEET,
ct.BM_BAO_CAO_ID,
ct.DM_CHI_TIEU_ID,
ct.SU_DUNG,
bm.ID,
bm.MA_BAO_CAO,
bm.SU_DUNG</t>
        </is>
      </c>
      <c r="S1632" s="395" t="n"/>
      <c r="T1632" s="384" t="inlineStr">
        <is>
          <t>-- Mã chỉ tiêu / Tên chỉ tiêu
SELECT DISTINCT
    dct.MA_CHI_TIEU  AS ma_chi_tieu,
    dct.TEN_CHI_TIEU AS ten_chi_tieu
FROM SCMS.BM_BAO_CAO bm
JOIN SCMS.BM_SHEET s ON s.BM_BAO_CAO_ID = bm.ID
	AND s.TEN_SHEET = 'THNGCKNY'
JOIN SCMS.BM_BAO_CAO_CT ct ON ct.BM_SHEET_ID = s.ID
	AND ct.SU_DUNG = 1
JOIN SCMS.DM_CHI_TIEU dct ON dct.ID = ct.DM_CHI_TIEU_ID
	AND dct.SU_DUNG = 1
WHERE bm.MA_BAO_CAO LIKE 'BCTHHDKD%'
	AND bm.SU_DUNG = 1
ORDER BY dct.MA_CHI_TIEU;</t>
        </is>
      </c>
      <c r="U1632" s="386" t="n"/>
      <c r="V1632" s="395" t="n"/>
      <c r="W1632" s="395" t="n"/>
      <c r="X1632" s="395" t="n"/>
      <c r="Y1632" s="395" t="n"/>
      <c r="Z1632" s="395" t="n"/>
      <c r="AA1632" s="395" t="n"/>
      <c r="AB1632" s="395" t="n"/>
      <c r="AC1632" s="395" t="n"/>
      <c r="AD1632" s="395" t="n"/>
      <c r="AE1632" s="395" t="n"/>
    </row>
    <row r="1633" ht="56" customHeight="1" s="380">
      <c r="A1633" s="73" t="n">
        <v>82</v>
      </c>
      <c r="B1633" s="386" t="n"/>
      <c r="C1633" s="386" t="inlineStr">
        <is>
          <t>Báo cáo theo Thông tư 121/2020/TT-BTC &gt;&gt; Tình hình nắm giữ chứng khoán niêm yết - II.10.1</t>
        </is>
      </c>
      <c r="D1633" s="106" t="inlineStr">
        <is>
          <t>Tên chỉ tiêu</t>
        </is>
      </c>
      <c r="E1633" s="107" t="inlineStr">
        <is>
          <t>Tên chỉ tiêu</t>
        </is>
      </c>
      <c r="F1633" s="390" t="inlineStr">
        <is>
          <t>Data Explorer</t>
        </is>
      </c>
      <c r="G1633" s="390" t="inlineStr">
        <is>
          <t>Chiều</t>
        </is>
      </c>
      <c r="H1633" s="390" t="inlineStr">
        <is>
          <t>Dễ</t>
        </is>
      </c>
      <c r="I1633" s="390" t="inlineStr">
        <is>
          <t>Ngày, CTCK</t>
        </is>
      </c>
      <c r="J1633" s="401" t="inlineStr">
        <is>
          <t>SCMS</t>
        </is>
      </c>
      <c r="K1633" s="401" t="inlineStr">
        <is>
          <t>X</t>
        </is>
      </c>
      <c r="L1633" s="395" t="inlineStr">
        <is>
          <t>X</t>
        </is>
      </c>
      <c r="M1633" s="401" t="n"/>
      <c r="N1633" s="395" t="inlineStr">
        <is>
          <t>Done</t>
        </is>
      </c>
      <c r="O1633" s="401" t="n"/>
      <c r="P1633" s="395" t="n"/>
      <c r="S1633" s="395" t="n"/>
      <c r="U1633" s="386" t="n"/>
      <c r="V1633" s="395" t="n"/>
      <c r="W1633" s="395" t="n"/>
      <c r="X1633" s="395" t="n"/>
      <c r="Y1633" s="395" t="n"/>
      <c r="Z1633" s="395" t="n"/>
      <c r="AA1633" s="395" t="n"/>
      <c r="AB1633" s="395" t="n"/>
      <c r="AC1633" s="395" t="n"/>
      <c r="AD1633" s="395" t="n"/>
      <c r="AE1633" s="395" t="n"/>
    </row>
    <row r="1634" ht="56" customHeight="1" s="380">
      <c r="A1634" s="73" t="n">
        <v>82</v>
      </c>
      <c r="B1634" s="386" t="n"/>
      <c r="C1634" s="386" t="inlineStr">
        <is>
          <t>Báo cáo theo Thông tư 121/2020/TT-BTC &gt;&gt; Tình hình nắm giữ chứng khoán niêm yết - II.10.1</t>
        </is>
      </c>
      <c r="D1634" s="386" t="inlineStr">
        <is>
          <t>Tên công ty chứng khoán</t>
        </is>
      </c>
      <c r="E1634" s="386" t="inlineStr">
        <is>
          <t>Tên công ty chứng khoán</t>
        </is>
      </c>
      <c r="F1634" s="386" t="inlineStr">
        <is>
          <t>Data Explorer</t>
        </is>
      </c>
      <c r="G1634" s="386" t="inlineStr">
        <is>
          <t>Chỉ tiêu cơ sở</t>
        </is>
      </c>
      <c r="H1634" s="386" t="inlineStr">
        <is>
          <t>Dễ</t>
        </is>
      </c>
      <c r="I1634" s="386" t="inlineStr">
        <is>
          <t>Ngày, CTCK</t>
        </is>
      </c>
      <c r="J1634" s="395" t="inlineStr">
        <is>
          <t>SCMS</t>
        </is>
      </c>
      <c r="K1634" s="395" t="n"/>
      <c r="L1634" s="395" t="inlineStr">
        <is>
          <t>X</t>
        </is>
      </c>
      <c r="M1634" s="395" t="n"/>
      <c r="N1634" s="395" t="inlineStr">
        <is>
          <t>Done</t>
        </is>
      </c>
      <c r="O1634" s="401" t="n"/>
      <c r="P1634" s="395" t="n"/>
      <c r="Q1634" s="427" t="inlineStr">
        <is>
          <t>SCMS.BC_THANH_VIEN
SCMS.BM_BAO_CAO
SCMS.BC_BAO_CAO_GT
SCMS.BM_BAO_CAO_HANG
SCMS.BM_BAO_CAO_COT
SCMS.CTCK_THONG_TIN</t>
        </is>
      </c>
      <c r="R1634" s="427" t="inlineStr">
        <is>
          <t>btv.ID,
btv.NGAY_SO_LIEU,
btv.BM_BAO_CAO_ID,
btv.CTCK_THONG_TIN_ID,
btv.TRANG_THAI,
btv2.XOA_DU_LIEU,
c.CTCK_THONG_TIN_ID,
bsh.ID,
bsh.MA_HANG,
bsc.TEN_COT,
bsc.BM_SHEET_ID,
gt.BC_THANH_VIEN_ID,
gt.BM_SHEET_HANG_ID,
gt.GIA_TRI,
bm.ID,
bm.MA_BAO_CAO,
gt_loai.TEN_COT,
gt_loai.GIA_TRI</t>
        </is>
      </c>
      <c r="S1634" s="395" t="n"/>
      <c r="T1634"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gt_bctc.TEN_HANG LIKE N'%Vốn chủ sở hữu%' THEN CAST(gt_bctc.GIA_TRI AS VARCHAR2(4000)) END)  AS "Vốn chủ sở hữu (triệu đồng)",  -- Check lại
    MAX(CASE WHEN bsc.TEN_COT=N'Loại chứng khoán' THEN CAST(gt.GIA_TRI AS VARCHAR2(4000)) END) AS "Mã chứng khoán (Cổ phiếu/chứng chỉ quỹ)",
    MAX(CASE WHEN bsc.TEN_COT=N'Số lượng chứng khoán nắm giữ' THEN CAST(gt.GIA_TRI AS VARCHAR2(4000)) END) AS "Số lượng chứng khoán nắm giữ",
    MAX(CASE WHEN bsc.TEN_COT=N'Giá trị chứng khoán nắm giữ' THEN CAST(gt.GIA_TRI AS VARCHAR2(4000)) END) AS "Giá trị chứng khoán nắm giữ",
    MAX(CASE WHEN bsc.TEN_COT=N'Tổng số chứng khoán đang lưu hành của tổ chức phát hành vào thời điểm báo cáo' THEN CAST(gt.GIA_TRI AS VARCHAR2(4000)) END) AS "Tổng số chứng khoán đang lưu hành của tổ chức phát hành vào thời điểm báo cáo",
    MAX(CASE WHEN bsc.TEN_COT=N'Tỷ lệ sở hữu' THEN CAST(gt.GIA_TRI AS VARCHAR2(4000)) END) AS "Tỷ lệ sở hữu",
    -- Tổng
    SUM(CASE WHEN bsc.TEN_COT=N'Giá trị chứng khoán nắm giữ' THEN TO_NUMBER(NULLIF(CAST(gt.GIA_TRI AS VARCHAR2(4000)), '')) END) AS "Tổng Giá trị chứng khoán nắm giữ",
    SUM(CASE WHEN bsc.TEN_COT=N'Giá trị chứng khoán nắm giữ' AND CAST(gt_loai.GIA_TRI AS VARCHAR2(4000)) LIKE N'%cổ phiếu%'
             THEN TO_NUMBER(NULLIF(CAST(gt.GIA_TRI AS VARCHAR2(4000)), '')) END) AS "Tổng Giá trị cổ phiếu đang nắm giữ",
    SUM(CASE WHEN bsc.TEN_COT=N'Giá trị chứng khoán nắm giữ' AND CAST(gt_loai.GIA_TRI AS VARCHAR2(4000)) LIKE N'%chứng chỉ quỹ%'
             THEN TO_NUMBER(NULLIF(CAST(gt.GIA_TRI AS VARCHAR2(4000)), '')) END) AS "Tổng Giá trị chứng chỉ quỹ nắm giữ"
FROM SCMS.BC_THANH_VIEN btv
JOIN SCMS.BM_BAO_CAO bm ON bm.ID = btv.BM_BAO_CAO_ID
JOIN SCMS.BC_BAO_CAO_GT gt ON gt.BC_THANH_VIEN_ID = btv.ID
JOIN SCMS.BM_BAO_CAO_HANG bsh ON bsh.ID = gt.BM_SHEET_HANG_ID
JOIN SCMS.BM_BAO_CAO_COT bsc ON bsc.BM_SHEET_ID = 7427
--                               AND bsc.TEN_COT = gt.TEN_COT
JOIN SCMS.CTCK_THONG_TIN c ON c.CTCK_THONG_TIN_ID = btv.CTCK_THONG_TIN_ID
LEFT JOIN SCMS.BC_BAO_CAO_GT gt_loai ON gt_loai.BC_THANH_VIEN_ID = btv.ID
                                                                             AND gt_loai.BM_SHEET_HANG_ID = gt.BM_SHEET_HANG_ID
                                                                             AND gt_loai.TEN_COT = N'Loại chứng khoán'
-- BCTC năm:
LEFT JOIN SCMS.BC_THANH_VIEN btv2 ON btv2.CTCK_THONG_TIN_ID = btv.CTCK_THONG_TIN_ID
                                      AND btv2.TRANG_THAI IN (4, 6)
                                      AND btv2.XOA_DU_LIEU = 0
                                      AND TRUNC(btv2.NGAY_SO_LIEU) = ADD_MONTHS(TRUNC(btv.NGAY_SO_LIEU, 'YYYY'), 12) - 1
LEFT JOIN SCMS.BM_BAO_CAO bm2 ON bm2.ID = btv2.BM_BAO_CAO_ID
                                  AND bm2.MA_BAO_CAO LIKE '%BCTCRLCTCK%'   -- Xác nhận
LEFT JOIN SCMS.BC_BAO_CAO_GT gt_bctc ON gt_bctc.BC_THANH_VIEN_ID = btv2.ID
WHERE bm.MA_BAO_CAO LIKE 'BCTHHDKD%'
  AND btv.TRANG_THAI IN (2, 3)
GROUP BY
    btv.ID, btv.CTCK_THONG_TIN_ID, btv.NGAY_SO_LIEU, btv.TRANG_THAI,
    bm.MA_BAO_CAO,
    c.TEN_VIET_TAT, c.SAN_NIEM_YET, c.MA_CHUNG_KHOAN,
    c.GIAY_PHEP_KINH_DOANH, c.NGAY_CAP_GPKD
ORDER BY btv.NGAY_SO_LIEU DESC, c.TEN_VIET_TAT;</t>
        </is>
      </c>
      <c r="U1634" s="386" t="n"/>
      <c r="V1634" s="395" t="n"/>
      <c r="W1634" s="395" t="n"/>
      <c r="X1634" s="395" t="n"/>
      <c r="Y1634" s="395" t="n"/>
      <c r="Z1634" s="395" t="n"/>
      <c r="AA1634" s="395" t="n"/>
      <c r="AB1634" s="395" t="n"/>
      <c r="AC1634" s="395" t="n"/>
      <c r="AD1634" s="395" t="n"/>
      <c r="AE1634" s="395" t="n"/>
    </row>
    <row r="1635" ht="56" customHeight="1" s="380">
      <c r="A1635" s="73" t="n">
        <v>82</v>
      </c>
      <c r="B1635" s="386" t="n"/>
      <c r="C1635" s="386" t="inlineStr">
        <is>
          <t>Báo cáo theo Thông tư 121/2020/TT-BTC &gt;&gt; Tình hình nắm giữ chứng khoán niêm yết - II.10.1</t>
        </is>
      </c>
      <c r="D1635" s="386" t="inlineStr">
        <is>
          <t>Sàn giao dịch</t>
        </is>
      </c>
      <c r="E1635" s="386" t="inlineStr">
        <is>
          <t>Sàn giao dịch</t>
        </is>
      </c>
      <c r="F1635" s="386" t="inlineStr">
        <is>
          <t>Data Explorer</t>
        </is>
      </c>
      <c r="G1635" s="386" t="inlineStr">
        <is>
          <t>Chỉ tiêu cơ sở</t>
        </is>
      </c>
      <c r="H1635" s="386" t="inlineStr">
        <is>
          <t>Dễ</t>
        </is>
      </c>
      <c r="I1635" s="386" t="inlineStr">
        <is>
          <t>Ngày, CTCK</t>
        </is>
      </c>
      <c r="J1635" s="395" t="inlineStr">
        <is>
          <t>SCMS</t>
        </is>
      </c>
      <c r="K1635" s="395" t="n"/>
      <c r="L1635" s="395" t="inlineStr">
        <is>
          <t>X</t>
        </is>
      </c>
      <c r="M1635" s="395" t="n"/>
      <c r="N1635" s="395" t="inlineStr">
        <is>
          <t>Done</t>
        </is>
      </c>
      <c r="O1635" s="401" t="n"/>
      <c r="P1635" s="395" t="n"/>
      <c r="S1635" s="395" t="n"/>
      <c r="U1635" s="386" t="n"/>
      <c r="V1635" s="395" t="n"/>
      <c r="W1635" s="395" t="n"/>
      <c r="X1635" s="395" t="n"/>
      <c r="Y1635" s="395" t="n"/>
      <c r="Z1635" s="395" t="n"/>
      <c r="AA1635" s="395" t="n"/>
      <c r="AB1635" s="395" t="n"/>
      <c r="AC1635" s="395" t="n"/>
      <c r="AD1635" s="395" t="n"/>
      <c r="AE1635" s="395" t="n"/>
    </row>
    <row r="1636" ht="56" customHeight="1" s="380">
      <c r="A1636" s="73" t="n">
        <v>82</v>
      </c>
      <c r="B1636" s="386" t="n"/>
      <c r="C1636" s="386" t="inlineStr">
        <is>
          <t>Báo cáo theo Thông tư 121/2020/TT-BTC &gt;&gt; Tình hình nắm giữ chứng khoán niêm yết - II.10.1</t>
        </is>
      </c>
      <c r="D1636" s="386" t="inlineStr">
        <is>
          <t>Mã chứng khoán</t>
        </is>
      </c>
      <c r="E1636" s="386" t="inlineStr">
        <is>
          <t>Mã chứng khoán</t>
        </is>
      </c>
      <c r="F1636" s="386" t="inlineStr">
        <is>
          <t>Data Explorer</t>
        </is>
      </c>
      <c r="G1636" s="386" t="inlineStr">
        <is>
          <t>Chỉ tiêu cơ sở</t>
        </is>
      </c>
      <c r="H1636" s="386" t="inlineStr">
        <is>
          <t>Dễ</t>
        </is>
      </c>
      <c r="I1636" s="386" t="inlineStr">
        <is>
          <t>Ngày, CTCK</t>
        </is>
      </c>
      <c r="J1636" s="395" t="inlineStr">
        <is>
          <t>SCMS</t>
        </is>
      </c>
      <c r="K1636" s="395" t="n"/>
      <c r="L1636" s="395" t="inlineStr">
        <is>
          <t>X</t>
        </is>
      </c>
      <c r="M1636" s="395" t="n"/>
      <c r="N1636" s="395" t="inlineStr">
        <is>
          <t>Done</t>
        </is>
      </c>
      <c r="O1636" s="401" t="n"/>
      <c r="P1636" s="395" t="n"/>
      <c r="S1636" s="395" t="n"/>
      <c r="U1636" s="386" t="n"/>
      <c r="V1636" s="395" t="n"/>
      <c r="W1636" s="395" t="n"/>
      <c r="X1636" s="395" t="n"/>
      <c r="Y1636" s="395" t="n"/>
      <c r="Z1636" s="395" t="n"/>
      <c r="AA1636" s="395" t="n"/>
      <c r="AB1636" s="395" t="n"/>
      <c r="AC1636" s="395" t="n"/>
      <c r="AD1636" s="395" t="n"/>
      <c r="AE1636" s="395" t="n"/>
    </row>
    <row r="1637" ht="56" customHeight="1" s="380">
      <c r="A1637" s="73" t="n">
        <v>82</v>
      </c>
      <c r="B1637" s="386" t="n"/>
      <c r="C1637" s="386" t="inlineStr">
        <is>
          <t>Báo cáo theo Thông tư 121/2020/TT-BTC &gt;&gt; Tình hình nắm giữ chứng khoán niêm yết - II.10.1</t>
        </is>
      </c>
      <c r="D1637" s="386" t="inlineStr">
        <is>
          <t>Giấy phép &gt;&gt; Số</t>
        </is>
      </c>
      <c r="E1637" s="386" t="inlineStr">
        <is>
          <t>Giấy phép &gt;&gt; Số</t>
        </is>
      </c>
      <c r="F1637" s="386" t="inlineStr">
        <is>
          <t>Data Explorer</t>
        </is>
      </c>
      <c r="G1637" s="386" t="inlineStr">
        <is>
          <t>Chỉ tiêu cơ sở</t>
        </is>
      </c>
      <c r="H1637" s="386" t="inlineStr">
        <is>
          <t>Dễ</t>
        </is>
      </c>
      <c r="I1637" s="386" t="inlineStr">
        <is>
          <t>Ngày, CTCK</t>
        </is>
      </c>
      <c r="J1637" s="395" t="inlineStr">
        <is>
          <t>SCMS</t>
        </is>
      </c>
      <c r="K1637" s="395" t="n"/>
      <c r="L1637" s="395" t="inlineStr">
        <is>
          <t>X</t>
        </is>
      </c>
      <c r="M1637" s="395" t="n"/>
      <c r="N1637" s="395" t="inlineStr">
        <is>
          <t>Done</t>
        </is>
      </c>
      <c r="O1637" s="401" t="n"/>
      <c r="P1637" s="395" t="n"/>
      <c r="S1637" s="395" t="n"/>
      <c r="U1637" s="386" t="n"/>
      <c r="V1637" s="395" t="n"/>
      <c r="W1637" s="395" t="n"/>
      <c r="X1637" s="395" t="n"/>
      <c r="Y1637" s="395" t="n"/>
      <c r="Z1637" s="395" t="n"/>
      <c r="AA1637" s="395" t="n"/>
      <c r="AB1637" s="395" t="n"/>
      <c r="AC1637" s="395" t="n"/>
      <c r="AD1637" s="395" t="n"/>
      <c r="AE1637" s="395" t="n"/>
    </row>
    <row r="1638" ht="56" customHeight="1" s="380">
      <c r="A1638" s="73" t="n">
        <v>82</v>
      </c>
      <c r="B1638" s="386" t="n"/>
      <c r="C1638" s="386" t="inlineStr">
        <is>
          <t>Báo cáo theo Thông tư 121/2020/TT-BTC &gt;&gt; Tình hình nắm giữ chứng khoán niêm yết - II.10.1</t>
        </is>
      </c>
      <c r="D1638" s="386" t="inlineStr">
        <is>
          <t>Giấy phép &gt;&gt; Ngày cấp
(Ngày/tháng/năm)</t>
        </is>
      </c>
      <c r="E1638" s="386" t="inlineStr">
        <is>
          <t>Giấy phép &gt;&gt; Ngày cấp
(Ngày/tháng/năm)</t>
        </is>
      </c>
      <c r="F1638" s="386" t="inlineStr">
        <is>
          <t>Data Explorer</t>
        </is>
      </c>
      <c r="G1638" s="386" t="inlineStr">
        <is>
          <t>Chỉ tiêu cơ sở</t>
        </is>
      </c>
      <c r="H1638" s="386" t="inlineStr">
        <is>
          <t>Dễ</t>
        </is>
      </c>
      <c r="I1638" s="386" t="inlineStr">
        <is>
          <t>Ngày, CTCK</t>
        </is>
      </c>
      <c r="J1638" s="395" t="inlineStr">
        <is>
          <t>SCMS</t>
        </is>
      </c>
      <c r="K1638" s="395" t="n"/>
      <c r="L1638" s="395" t="inlineStr">
        <is>
          <t>X</t>
        </is>
      </c>
      <c r="M1638" s="395" t="n"/>
      <c r="N1638" s="395" t="inlineStr">
        <is>
          <t>Done</t>
        </is>
      </c>
      <c r="O1638" s="401" t="n"/>
      <c r="P1638" s="395" t="n"/>
      <c r="S1638" s="395" t="n"/>
      <c r="U1638" s="386" t="n"/>
      <c r="V1638" s="395" t="n"/>
      <c r="W1638" s="395" t="n"/>
      <c r="X1638" s="395" t="n"/>
      <c r="Y1638" s="36" t="n"/>
      <c r="Z1638" s="395" t="n"/>
      <c r="AA1638" s="395" t="n"/>
      <c r="AB1638" s="395" t="n"/>
      <c r="AC1638" s="395" t="n"/>
      <c r="AD1638" s="395" t="n"/>
      <c r="AE1638" s="395" t="n"/>
    </row>
    <row r="1639" ht="56" customHeight="1" s="380">
      <c r="A1639" s="73" t="n">
        <v>82</v>
      </c>
      <c r="B1639" s="386" t="n"/>
      <c r="C1639" s="386" t="inlineStr">
        <is>
          <t>Báo cáo theo Thông tư 121/2020/TT-BTC &gt;&gt; Tình hình nắm giữ chứng khoán niêm yết - II.10.1</t>
        </is>
      </c>
      <c r="D1639" s="386" t="inlineStr">
        <is>
          <t>Vốn chủ sở hữu
(triệu đồng)</t>
        </is>
      </c>
      <c r="E1639" s="395" t="inlineStr">
        <is>
          <t>Vốn chủ sở hữu
(triệu đồng)</t>
        </is>
      </c>
      <c r="F1639" s="386" t="inlineStr">
        <is>
          <t>Data Explorer</t>
        </is>
      </c>
      <c r="G1639" s="386" t="inlineStr">
        <is>
          <t>Chỉ tiêu cơ sở</t>
        </is>
      </c>
      <c r="H1639" s="386" t="inlineStr">
        <is>
          <t>TB</t>
        </is>
      </c>
      <c r="I1639" s="386" t="inlineStr">
        <is>
          <t>Ngày, CTCK</t>
        </is>
      </c>
      <c r="J1639" s="395" t="inlineStr">
        <is>
          <t>SCMS</t>
        </is>
      </c>
      <c r="K1639" s="395" t="n"/>
      <c r="L1639" s="395" t="inlineStr">
        <is>
          <t>X</t>
        </is>
      </c>
      <c r="M1639" s="395" t="n"/>
      <c r="N1639" s="395" t="inlineStr">
        <is>
          <t>Done</t>
        </is>
      </c>
      <c r="O1639" s="401" t="n"/>
      <c r="P1639" s="395" t="n"/>
      <c r="S1639" s="395" t="n"/>
      <c r="U1639" s="386" t="n"/>
      <c r="V1639" s="395" t="n"/>
      <c r="W1639" s="395" t="n"/>
      <c r="X1639" s="395" t="n"/>
      <c r="Y1639" s="395" t="n"/>
      <c r="Z1639" s="395" t="n"/>
      <c r="AA1639" s="395" t="n"/>
      <c r="AB1639" s="395" t="n"/>
      <c r="AC1639" s="395" t="n"/>
      <c r="AD1639" s="395" t="n"/>
      <c r="AE1639" s="395" t="n"/>
    </row>
    <row r="1640" ht="56" customHeight="1" s="380">
      <c r="A1640" s="73" t="n">
        <v>82</v>
      </c>
      <c r="B1640" s="386" t="n"/>
      <c r="C1640" s="386" t="inlineStr">
        <is>
          <t>Báo cáo theo Thông tư 121/2020/TT-BTC &gt;&gt; Tình hình nắm giữ chứng khoán niêm yết - II.10.1</t>
        </is>
      </c>
      <c r="D1640" s="386" t="inlineStr">
        <is>
          <t>Mã chứng khoán (Cổ phiếu/chứng chỉ quỹ)</t>
        </is>
      </c>
      <c r="E1640" s="395" t="inlineStr">
        <is>
          <t>Mã chứng khoán (Cổ phiếu/chứng chỉ quỹ)</t>
        </is>
      </c>
      <c r="F1640" s="386" t="inlineStr">
        <is>
          <t>Data Explorer</t>
        </is>
      </c>
      <c r="G1640" s="386" t="inlineStr">
        <is>
          <t>Chỉ tiêu cơ sở</t>
        </is>
      </c>
      <c r="H1640" s="386" t="inlineStr">
        <is>
          <t>TB</t>
        </is>
      </c>
      <c r="I1640" s="386" t="inlineStr">
        <is>
          <t>Ngày, CTCK</t>
        </is>
      </c>
      <c r="J1640" s="395" t="inlineStr">
        <is>
          <t>SCMS</t>
        </is>
      </c>
      <c r="K1640" s="395" t="n"/>
      <c r="L1640" s="395" t="inlineStr">
        <is>
          <t>X</t>
        </is>
      </c>
      <c r="M1640" s="395" t="n"/>
      <c r="N1640" s="395" t="inlineStr">
        <is>
          <t>Done</t>
        </is>
      </c>
      <c r="O1640" s="401" t="n"/>
      <c r="P1640" s="395" t="n"/>
      <c r="S1640" s="395" t="n"/>
      <c r="U1640" s="386" t="n"/>
      <c r="V1640" s="395" t="n"/>
      <c r="W1640" s="395" t="n"/>
      <c r="X1640" s="395" t="n"/>
      <c r="Y1640" s="395" t="n"/>
      <c r="Z1640" s="395" t="n"/>
      <c r="AA1640" s="395" t="n"/>
      <c r="AB1640" s="395" t="n"/>
      <c r="AC1640" s="395" t="n"/>
      <c r="AD1640" s="395" t="n"/>
      <c r="AE1640" s="395" t="n"/>
    </row>
    <row r="1641" ht="56" customHeight="1" s="380">
      <c r="A1641" s="73" t="n">
        <v>82</v>
      </c>
      <c r="B1641" s="386" t="n"/>
      <c r="C1641" s="386" t="inlineStr">
        <is>
          <t>Báo cáo theo Thông tư 121/2020/TT-BTC &gt;&gt; Tình hình nắm giữ chứng khoán niêm yết - II.10.1</t>
        </is>
      </c>
      <c r="D1641" s="386" t="inlineStr">
        <is>
          <t>Số lượng chứng khoán nắm giữ</t>
        </is>
      </c>
      <c r="E1641" s="395" t="inlineStr">
        <is>
          <t>Số lượng chứng khoán nắm giữ</t>
        </is>
      </c>
      <c r="F1641" s="386" t="inlineStr">
        <is>
          <t>Data Explorer</t>
        </is>
      </c>
      <c r="G1641" s="386" t="inlineStr">
        <is>
          <t>Chỉ tiêu cơ sở</t>
        </is>
      </c>
      <c r="H1641" s="386" t="inlineStr">
        <is>
          <t>TB</t>
        </is>
      </c>
      <c r="I1641" s="386" t="inlineStr">
        <is>
          <t>Ngày, CTCK</t>
        </is>
      </c>
      <c r="J1641" s="395" t="inlineStr">
        <is>
          <t>SCMS</t>
        </is>
      </c>
      <c r="K1641" s="395" t="n"/>
      <c r="L1641" s="395" t="inlineStr">
        <is>
          <t>X</t>
        </is>
      </c>
      <c r="M1641" s="395" t="n"/>
      <c r="N1641" s="395" t="inlineStr">
        <is>
          <t>Done</t>
        </is>
      </c>
      <c r="O1641" s="401" t="n"/>
      <c r="P1641" s="395" t="n"/>
      <c r="S1641" s="395" t="n"/>
      <c r="U1641" s="386" t="n"/>
      <c r="V1641" s="395" t="n"/>
      <c r="W1641" s="395" t="n"/>
      <c r="X1641" s="395" t="n"/>
      <c r="Y1641" s="395" t="n"/>
      <c r="Z1641" s="395" t="n"/>
      <c r="AA1641" s="395" t="n"/>
      <c r="AB1641" s="395" t="n"/>
      <c r="AC1641" s="395" t="n"/>
      <c r="AD1641" s="395" t="n"/>
      <c r="AE1641" s="395" t="n"/>
    </row>
    <row r="1642" ht="56" customHeight="1" s="380">
      <c r="A1642" s="73" t="n">
        <v>82</v>
      </c>
      <c r="B1642" s="386" t="n"/>
      <c r="C1642" s="386" t="inlineStr">
        <is>
          <t>Báo cáo theo Thông tư 121/2020/TT-BTC &gt;&gt; Tình hình nắm giữ chứng khoán niêm yết - II.10.1</t>
        </is>
      </c>
      <c r="D1642" s="386" t="inlineStr">
        <is>
          <t>Giá trị chứng khoán nắm giữ (triệu đồng)</t>
        </is>
      </c>
      <c r="E1642" s="395" t="inlineStr">
        <is>
          <t>Giá trị chứng khoán nắm giữ (triệu đồng)</t>
        </is>
      </c>
      <c r="F1642" s="386" t="inlineStr">
        <is>
          <t>Data Explorer</t>
        </is>
      </c>
      <c r="G1642" s="386" t="inlineStr">
        <is>
          <t>Chỉ tiêu cơ sở</t>
        </is>
      </c>
      <c r="H1642" s="386" t="inlineStr">
        <is>
          <t>TB</t>
        </is>
      </c>
      <c r="I1642" s="386" t="inlineStr">
        <is>
          <t>Ngày, CTCK</t>
        </is>
      </c>
      <c r="J1642" s="395" t="inlineStr">
        <is>
          <t>SCMS</t>
        </is>
      </c>
      <c r="K1642" s="395" t="n"/>
      <c r="L1642" s="395" t="inlineStr">
        <is>
          <t>X</t>
        </is>
      </c>
      <c r="M1642" s="395" t="n"/>
      <c r="N1642" s="395" t="inlineStr">
        <is>
          <t>Done</t>
        </is>
      </c>
      <c r="O1642" s="401" t="n"/>
      <c r="P1642" s="395" t="n"/>
      <c r="S1642" s="395" t="n"/>
      <c r="U1642" s="386" t="n"/>
      <c r="V1642" s="395" t="n"/>
      <c r="W1642" s="395" t="n"/>
      <c r="X1642" s="395" t="n"/>
      <c r="Y1642" s="395" t="n"/>
      <c r="Z1642" s="395" t="n"/>
      <c r="AA1642" s="395" t="n"/>
      <c r="AB1642" s="395" t="n"/>
      <c r="AC1642" s="395" t="n"/>
      <c r="AD1642" s="395" t="n"/>
      <c r="AE1642" s="395" t="n"/>
    </row>
    <row r="1643" ht="56" customHeight="1" s="380">
      <c r="A1643" s="73" t="n">
        <v>82</v>
      </c>
      <c r="B1643" s="386" t="n"/>
      <c r="C1643" s="386" t="inlineStr">
        <is>
          <t>Báo cáo theo Thông tư 121/2020/TT-BTC &gt;&gt; Tình hình nắm giữ chứng khoán niêm yết - II.10.1</t>
        </is>
      </c>
      <c r="D1643" s="386" t="inlineStr">
        <is>
          <t>Tổng số chứng khoán đang lưu hành của tổ chức phát hành vào thời điểm báo cáo</t>
        </is>
      </c>
      <c r="E1643" s="386" t="inlineStr">
        <is>
          <t>Tổng số chứng khoán đang lưu hành của tổ chức phát hành vào thời điểm báo cáo</t>
        </is>
      </c>
      <c r="F1643" s="386" t="inlineStr">
        <is>
          <t>Data Explorer</t>
        </is>
      </c>
      <c r="G1643" s="386" t="inlineStr">
        <is>
          <t>Chỉ tiêu cơ sở</t>
        </is>
      </c>
      <c r="H1643" s="386" t="inlineStr">
        <is>
          <t>TB</t>
        </is>
      </c>
      <c r="I1643" s="386" t="inlineStr">
        <is>
          <t>Ngày, CTCK</t>
        </is>
      </c>
      <c r="J1643" s="395" t="inlineStr">
        <is>
          <t>SCMS</t>
        </is>
      </c>
      <c r="K1643" s="395" t="n"/>
      <c r="L1643" s="395" t="inlineStr">
        <is>
          <t>X</t>
        </is>
      </c>
      <c r="M1643" s="395" t="n"/>
      <c r="N1643" s="395" t="inlineStr">
        <is>
          <t>Done</t>
        </is>
      </c>
      <c r="O1643" s="401" t="n"/>
      <c r="P1643" s="395" t="n"/>
      <c r="S1643" s="395" t="n"/>
      <c r="U1643" s="386" t="n"/>
      <c r="V1643" s="395" t="n"/>
      <c r="W1643" s="395" t="n"/>
      <c r="X1643" s="395" t="n"/>
      <c r="Y1643" s="395" t="n"/>
      <c r="Z1643" s="395" t="n"/>
      <c r="AA1643" s="395" t="n"/>
      <c r="AB1643" s="395" t="n"/>
      <c r="AC1643" s="395" t="n"/>
      <c r="AD1643" s="395" t="n"/>
      <c r="AE1643" s="395" t="n"/>
    </row>
    <row r="1644" ht="56" customHeight="1" s="380">
      <c r="A1644" s="73" t="n">
        <v>82</v>
      </c>
      <c r="B1644" s="386" t="n"/>
      <c r="C1644" s="386" t="inlineStr">
        <is>
          <t>Báo cáo theo Thông tư 121/2020/TT-BTC &gt;&gt; Tình hình nắm giữ chứng khoán niêm yết - II.10.1</t>
        </is>
      </c>
      <c r="D1644" s="386" t="inlineStr">
        <is>
          <t>Tỷ lệ sở hữu (%)</t>
        </is>
      </c>
      <c r="E1644" s="395" t="inlineStr">
        <is>
          <t>Tỷ lệ sở hữu (%)</t>
        </is>
      </c>
      <c r="F1644" s="386" t="inlineStr">
        <is>
          <t>Data Explorer</t>
        </is>
      </c>
      <c r="G1644" s="386" t="inlineStr">
        <is>
          <t>Chỉ tiêu cơ sở</t>
        </is>
      </c>
      <c r="H1644" s="386" t="inlineStr">
        <is>
          <t>TB</t>
        </is>
      </c>
      <c r="I1644" s="386" t="inlineStr">
        <is>
          <t>Ngày, CTCK</t>
        </is>
      </c>
      <c r="J1644" s="395" t="inlineStr">
        <is>
          <t>SCMS</t>
        </is>
      </c>
      <c r="K1644" s="395" t="n"/>
      <c r="L1644" s="395" t="inlineStr">
        <is>
          <t>X</t>
        </is>
      </c>
      <c r="M1644" s="395" t="n"/>
      <c r="N1644" s="395" t="inlineStr">
        <is>
          <t>Done</t>
        </is>
      </c>
      <c r="O1644" s="401" t="n"/>
      <c r="P1644" s="395" t="n"/>
      <c r="S1644" s="395" t="n"/>
      <c r="U1644" s="386" t="n"/>
      <c r="V1644" s="395" t="n"/>
      <c r="W1644" s="395" t="n"/>
      <c r="X1644" s="395" t="n"/>
      <c r="Y1644" s="395" t="n"/>
      <c r="Z1644" s="395" t="n"/>
      <c r="AA1644" s="395" t="n"/>
      <c r="AB1644" s="395" t="n"/>
      <c r="AC1644" s="395" t="n"/>
      <c r="AD1644" s="395" t="n"/>
      <c r="AE1644" s="395" t="n"/>
    </row>
    <row r="1645" ht="56" customHeight="1" s="380">
      <c r="A1645" s="73" t="n">
        <v>82</v>
      </c>
      <c r="B1645" s="386" t="n"/>
      <c r="C1645" s="386" t="inlineStr">
        <is>
          <t>Báo cáo theo Thông tư 121/2020/TT-BTC &gt;&gt; Tình hình nắm giữ chứng khoán niêm yết - II.10.1</t>
        </is>
      </c>
      <c r="D1645" s="386" t="inlineStr">
        <is>
          <t>Tổng Giá trị chứng khoán nắm giữ (triệu đồng)</t>
        </is>
      </c>
      <c r="E1645" s="386" t="inlineStr">
        <is>
          <t>Tổng Giá trị chứng khoán nắm giữ (triệu đồng)</t>
        </is>
      </c>
      <c r="F1645" s="386" t="inlineStr">
        <is>
          <t>Data Explorer</t>
        </is>
      </c>
      <c r="G1645" s="386" t="inlineStr">
        <is>
          <t>Chỉ tiêu cơ sở</t>
        </is>
      </c>
      <c r="H1645" s="386" t="inlineStr">
        <is>
          <t>TB</t>
        </is>
      </c>
      <c r="I1645" s="386" t="inlineStr">
        <is>
          <t>Ngày, CTCK</t>
        </is>
      </c>
      <c r="J1645" s="395" t="inlineStr">
        <is>
          <t>SCMS</t>
        </is>
      </c>
      <c r="K1645" s="395" t="n"/>
      <c r="L1645" s="395" t="inlineStr">
        <is>
          <t>X</t>
        </is>
      </c>
      <c r="M1645" s="395" t="n"/>
      <c r="N1645" s="395" t="inlineStr">
        <is>
          <t>Done</t>
        </is>
      </c>
      <c r="O1645" s="401" t="n"/>
      <c r="P1645" s="395" t="n"/>
      <c r="S1645" s="395" t="n"/>
      <c r="U1645" s="386" t="n"/>
      <c r="V1645" s="395" t="n"/>
      <c r="W1645" s="395" t="n"/>
      <c r="X1645" s="395" t="n"/>
      <c r="Y1645" s="36" t="n"/>
      <c r="Z1645" s="395" t="n"/>
      <c r="AA1645" s="395" t="n"/>
      <c r="AB1645" s="395" t="n"/>
      <c r="AC1645" s="395" t="n"/>
      <c r="AD1645" s="395" t="n"/>
      <c r="AE1645" s="395" t="n"/>
    </row>
    <row r="1646" ht="56" customHeight="1" s="380">
      <c r="A1646" s="73" t="n">
        <v>82</v>
      </c>
      <c r="B1646" s="386" t="n"/>
      <c r="C1646" s="386" t="inlineStr">
        <is>
          <t>Báo cáo theo Thông tư 121/2020/TT-BTC &gt;&gt; Tình hình nắm giữ chứng khoán niêm yết - II.10.1</t>
        </is>
      </c>
      <c r="D1646" s="386" t="inlineStr">
        <is>
          <t>Tổng Giá trị cổ phiếu đang nắm giữ (triệu đồng)</t>
        </is>
      </c>
      <c r="E1646" s="386" t="inlineStr">
        <is>
          <t>Tổng Giá trị cổ phiếu đang nắm giữ (triệu đồng)</t>
        </is>
      </c>
      <c r="F1646" s="386" t="inlineStr">
        <is>
          <t>Data Explorer</t>
        </is>
      </c>
      <c r="G1646" s="386" t="inlineStr">
        <is>
          <t>Chỉ tiêu cơ sở</t>
        </is>
      </c>
      <c r="H1646" s="386" t="inlineStr">
        <is>
          <t>TB</t>
        </is>
      </c>
      <c r="I1646" s="386" t="inlineStr">
        <is>
          <t>Ngày, CTCK</t>
        </is>
      </c>
      <c r="J1646" s="395" t="inlineStr">
        <is>
          <t>SCMS</t>
        </is>
      </c>
      <c r="K1646" s="395" t="n"/>
      <c r="L1646" s="395" t="inlineStr">
        <is>
          <t>X</t>
        </is>
      </c>
      <c r="M1646" s="395" t="n"/>
      <c r="N1646" s="395" t="inlineStr">
        <is>
          <t>Done</t>
        </is>
      </c>
      <c r="O1646" s="401" t="n"/>
      <c r="P1646" s="395" t="n"/>
      <c r="S1646" s="395" t="n"/>
      <c r="U1646" s="386" t="n"/>
      <c r="V1646" s="395" t="n"/>
      <c r="W1646" s="395" t="n"/>
      <c r="X1646" s="395" t="n"/>
      <c r="Y1646" s="395" t="n"/>
      <c r="Z1646" s="395" t="n"/>
      <c r="AA1646" s="395" t="n"/>
      <c r="AB1646" s="395" t="n"/>
      <c r="AC1646" s="395" t="n"/>
      <c r="AD1646" s="395" t="n"/>
      <c r="AE1646" s="395" t="n"/>
    </row>
    <row r="1647" ht="56" customHeight="1" s="380">
      <c r="A1647" s="83" t="n">
        <v>82</v>
      </c>
      <c r="B1647" s="68" t="n"/>
      <c r="C1647" s="68" t="inlineStr">
        <is>
          <t>Báo cáo theo Thông tư 121/2020/TT-BTC &gt;&gt; Tình hình nắm giữ chứng khoán niêm yết - II.10.1</t>
        </is>
      </c>
      <c r="D1647" s="68" t="inlineStr">
        <is>
          <t>Tổng Giá trị chứng chỉ quỹ nắm giữ (triệu đồng)</t>
        </is>
      </c>
      <c r="E1647" s="68" t="inlineStr">
        <is>
          <t>Tổng Giá trị chứng chỉ quỹ nắm giữ (triệu đồng)</t>
        </is>
      </c>
      <c r="F1647" s="68" t="inlineStr">
        <is>
          <t>Data Explorer</t>
        </is>
      </c>
      <c r="G1647" s="68" t="inlineStr">
        <is>
          <t>Chỉ tiêu cơ sở</t>
        </is>
      </c>
      <c r="H1647" s="68" t="inlineStr">
        <is>
          <t>TB</t>
        </is>
      </c>
      <c r="I1647" s="68" t="inlineStr">
        <is>
          <t>Ngày, CTCK</t>
        </is>
      </c>
      <c r="J1647" s="69" t="inlineStr">
        <is>
          <t>SCMS</t>
        </is>
      </c>
      <c r="K1647" s="69" t="n"/>
      <c r="L1647" s="69" t="inlineStr">
        <is>
          <t>X</t>
        </is>
      </c>
      <c r="M1647" s="69" t="n"/>
      <c r="N1647" s="69" t="inlineStr">
        <is>
          <t>Done</t>
        </is>
      </c>
      <c r="O1647" s="85" t="n"/>
      <c r="P1647" s="69" t="n"/>
      <c r="Q1647" s="426" t="n"/>
      <c r="R1647" s="426" t="n"/>
      <c r="S1647" s="69" t="n"/>
      <c r="T1647" s="426" t="n"/>
      <c r="U1647" s="68" t="n"/>
      <c r="V1647" s="69" t="n"/>
      <c r="W1647" s="69" t="n"/>
      <c r="X1647" s="69" t="n"/>
      <c r="Y1647" s="36" t="n"/>
      <c r="Z1647" s="69" t="n"/>
      <c r="AA1647" s="69" t="n"/>
      <c r="AB1647" s="69" t="n"/>
      <c r="AC1647" s="69" t="n"/>
      <c r="AD1647" s="69" t="n"/>
      <c r="AE1647" s="69" t="n"/>
    </row>
    <row r="1648" ht="56" customHeight="1" s="380">
      <c r="A1648" s="73" t="n">
        <v>83</v>
      </c>
      <c r="B1648" s="122" t="inlineStr">
        <is>
          <t>Nga</t>
        </is>
      </c>
      <c r="C1648" s="81" t="inlineStr">
        <is>
          <t>Báo cáo theo Thông tư 121/2020/TT-BTC &gt;&gt; Tình hình nắm giữ chứng khoán niêm yết - II.10.2</t>
        </is>
      </c>
      <c r="D1648" s="106" t="inlineStr">
        <is>
          <t>Loại báo cáo</t>
        </is>
      </c>
      <c r="E1648" s="107" t="inlineStr">
        <is>
          <t>Loại báo cáo</t>
        </is>
      </c>
      <c r="F1648" s="390" t="inlineStr">
        <is>
          <t>Data Explorer</t>
        </is>
      </c>
      <c r="G1648" s="390" t="inlineStr">
        <is>
          <t>Chiều</t>
        </is>
      </c>
      <c r="H1648" s="390" t="inlineStr">
        <is>
          <t>Dễ</t>
        </is>
      </c>
      <c r="I1648" s="390" t="inlineStr">
        <is>
          <t>Ngày, CTCK</t>
        </is>
      </c>
      <c r="J1648" s="401" t="inlineStr">
        <is>
          <t>SCMS</t>
        </is>
      </c>
      <c r="K1648" s="401" t="inlineStr">
        <is>
          <t>X</t>
        </is>
      </c>
      <c r="L1648" s="395" t="inlineStr">
        <is>
          <t>X</t>
        </is>
      </c>
      <c r="M1648" s="401" t="n"/>
      <c r="N1648" s="395" t="inlineStr">
        <is>
          <t>Done</t>
        </is>
      </c>
      <c r="O1648" s="401" t="n"/>
      <c r="P1648" s="395" t="n"/>
      <c r="Q1648" s="404" t="inlineStr">
        <is>
          <t>SCMS.BM_BAO_CAO
SCMS.BM_BAO_CAO_DINH_KY</t>
        </is>
      </c>
      <c r="R1648" s="404" t="inlineStr">
        <is>
          <t>bm.ID,
bm.MA_BAO_CAO,
bm.LOAI_BAO_CAO,
bm.TEN_BAO_CAO,
bm.SU_DUNG,
bdk.BM_BAO_CAO_ID,
bdk.KY_BAO_CAO,
bdk.SU_DUNG</t>
        </is>
      </c>
      <c r="S1648" s="395" t="n"/>
      <c r="T1648"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648" s="386" t="n"/>
      <c r="V1648" s="395" t="n"/>
      <c r="W1648" s="395" t="n"/>
      <c r="X1648" s="395" t="n"/>
      <c r="Y1648" s="395" t="n"/>
      <c r="Z1648" s="395" t="n"/>
      <c r="AA1648" s="395" t="n"/>
      <c r="AB1648" s="395" t="n"/>
      <c r="AC1648" s="395" t="n"/>
      <c r="AD1648" s="395" t="n"/>
      <c r="AE1648" s="395" t="n"/>
    </row>
    <row r="1649" ht="56" customHeight="1" s="380">
      <c r="A1649" s="73" t="n">
        <v>83</v>
      </c>
      <c r="B1649" s="386" t="n"/>
      <c r="C1649" s="386" t="inlineStr">
        <is>
          <t>Báo cáo theo Thông tư 121/2020/TT-BTC &gt;&gt; Tình hình nắm giữ chứng khoán niêm yết - II.10.2</t>
        </is>
      </c>
      <c r="D1649" s="106" t="inlineStr">
        <is>
          <t>Kỳ báo cáo</t>
        </is>
      </c>
      <c r="E1649" s="107" t="inlineStr">
        <is>
          <t>Kỳ báo cáo</t>
        </is>
      </c>
      <c r="F1649" s="390" t="inlineStr">
        <is>
          <t>Data Explorer</t>
        </is>
      </c>
      <c r="G1649" s="390" t="inlineStr">
        <is>
          <t>Chiều</t>
        </is>
      </c>
      <c r="H1649" s="390" t="inlineStr">
        <is>
          <t>Dễ</t>
        </is>
      </c>
      <c r="I1649" s="390" t="inlineStr">
        <is>
          <t>Ngày, CTCK</t>
        </is>
      </c>
      <c r="J1649" s="401" t="inlineStr">
        <is>
          <t>SCMS</t>
        </is>
      </c>
      <c r="K1649" s="401" t="inlineStr">
        <is>
          <t>X</t>
        </is>
      </c>
      <c r="L1649" s="395" t="inlineStr">
        <is>
          <t>X</t>
        </is>
      </c>
      <c r="M1649" s="401" t="n"/>
      <c r="N1649" s="395" t="inlineStr">
        <is>
          <t>Done</t>
        </is>
      </c>
      <c r="O1649" s="401" t="n"/>
      <c r="P1649" s="395" t="n"/>
      <c r="S1649" s="395" t="n"/>
      <c r="U1649" s="386" t="n"/>
      <c r="V1649" s="395" t="n"/>
      <c r="W1649" s="395" t="n"/>
      <c r="X1649" s="395" t="n"/>
      <c r="Y1649" s="395" t="n"/>
      <c r="Z1649" s="395" t="n"/>
      <c r="AA1649" s="395" t="n"/>
      <c r="AB1649" s="395" t="n"/>
      <c r="AC1649" s="395" t="n"/>
      <c r="AD1649" s="395" t="n"/>
      <c r="AE1649" s="395" t="n"/>
    </row>
    <row r="1650" ht="56" customHeight="1" s="380">
      <c r="A1650" s="73" t="n">
        <v>83</v>
      </c>
      <c r="B1650" s="386" t="n"/>
      <c r="C1650" s="386" t="inlineStr">
        <is>
          <t>Báo cáo theo Thông tư 121/2020/TT-BTC &gt;&gt; Tình hình nắm giữ chứng khoán niêm yết - II.10.2</t>
        </is>
      </c>
      <c r="D1650" s="106" t="inlineStr">
        <is>
          <t>Mã báo cáo</t>
        </is>
      </c>
      <c r="E1650" s="107" t="inlineStr">
        <is>
          <t>Mã báo cáo</t>
        </is>
      </c>
      <c r="F1650" s="390" t="inlineStr">
        <is>
          <t>Data Explorer</t>
        </is>
      </c>
      <c r="G1650" s="390" t="inlineStr">
        <is>
          <t>Chiều</t>
        </is>
      </c>
      <c r="H1650" s="390" t="inlineStr">
        <is>
          <t>Dễ</t>
        </is>
      </c>
      <c r="I1650" s="390" t="inlineStr">
        <is>
          <t>Ngày, CTCK</t>
        </is>
      </c>
      <c r="J1650" s="401" t="inlineStr">
        <is>
          <t>SCMS</t>
        </is>
      </c>
      <c r="K1650" s="401" t="inlineStr">
        <is>
          <t>X</t>
        </is>
      </c>
      <c r="L1650" s="395" t="inlineStr">
        <is>
          <t>X</t>
        </is>
      </c>
      <c r="M1650" s="401" t="n"/>
      <c r="N1650" s="395" t="inlineStr">
        <is>
          <t>Done</t>
        </is>
      </c>
      <c r="O1650" s="401" t="n"/>
      <c r="P1650" s="395" t="n"/>
      <c r="S1650" s="395" t="n"/>
      <c r="U1650" s="386" t="n"/>
      <c r="V1650" s="395" t="n"/>
      <c r="W1650" s="395" t="n"/>
      <c r="X1650" s="395" t="n"/>
      <c r="Y1650" s="395" t="n"/>
      <c r="Z1650" s="395" t="n"/>
      <c r="AA1650" s="395" t="n"/>
      <c r="AB1650" s="395" t="n"/>
      <c r="AC1650" s="395" t="n"/>
      <c r="AD1650" s="395" t="n"/>
      <c r="AE1650" s="395" t="n"/>
    </row>
    <row r="1651" ht="56" customHeight="1" s="380">
      <c r="A1651" s="73" t="n">
        <v>83</v>
      </c>
      <c r="B1651" s="386" t="n"/>
      <c r="C1651" s="386" t="inlineStr">
        <is>
          <t>Báo cáo theo Thông tư 121/2020/TT-BTC &gt;&gt; Tình hình nắm giữ chứng khoán niêm yết - II.10.2</t>
        </is>
      </c>
      <c r="D1651" s="106" t="inlineStr">
        <is>
          <t>Tên báo cáo</t>
        </is>
      </c>
      <c r="E1651" s="107" t="inlineStr">
        <is>
          <t>Tên báo cáo</t>
        </is>
      </c>
      <c r="F1651" s="390" t="inlineStr">
        <is>
          <t>Data Explorer</t>
        </is>
      </c>
      <c r="G1651" s="390" t="inlineStr">
        <is>
          <t>Chiều</t>
        </is>
      </c>
      <c r="H1651" s="390" t="inlineStr">
        <is>
          <t>Dễ</t>
        </is>
      </c>
      <c r="I1651" s="390" t="inlineStr">
        <is>
          <t>Ngày, CTCK</t>
        </is>
      </c>
      <c r="J1651" s="401" t="inlineStr">
        <is>
          <t>SCMS</t>
        </is>
      </c>
      <c r="K1651" s="401" t="inlineStr">
        <is>
          <t>X</t>
        </is>
      </c>
      <c r="L1651" s="395" t="inlineStr">
        <is>
          <t>X</t>
        </is>
      </c>
      <c r="M1651" s="401" t="n"/>
      <c r="N1651" s="395" t="inlineStr">
        <is>
          <t>Done</t>
        </is>
      </c>
      <c r="O1651" s="401" t="n"/>
      <c r="P1651" s="395" t="n"/>
      <c r="S1651" s="395" t="n"/>
      <c r="U1651" s="386" t="n"/>
      <c r="V1651" s="395" t="n"/>
      <c r="W1651" s="395" t="n"/>
      <c r="X1651" s="395" t="n"/>
      <c r="Y1651" s="395" t="n"/>
      <c r="Z1651" s="395" t="n"/>
      <c r="AA1651" s="395" t="n"/>
      <c r="AB1651" s="395" t="n"/>
      <c r="AC1651" s="395" t="n"/>
      <c r="AD1651" s="395" t="n"/>
      <c r="AE1651" s="395" t="n"/>
    </row>
    <row r="1652" ht="56" customHeight="1" s="380">
      <c r="A1652" s="73" t="n">
        <v>83</v>
      </c>
      <c r="B1652" s="386" t="n"/>
      <c r="C1652" s="386" t="inlineStr">
        <is>
          <t>Báo cáo theo Thông tư 121/2020/TT-BTC &gt;&gt; Tình hình nắm giữ chứng khoán niêm yết - II.10.2</t>
        </is>
      </c>
      <c r="D1652" s="106" t="inlineStr">
        <is>
          <t>Mã sheet</t>
        </is>
      </c>
      <c r="E1652" s="106" t="inlineStr">
        <is>
          <t>Mã sheet</t>
        </is>
      </c>
      <c r="F1652" s="390" t="inlineStr">
        <is>
          <t>Data Explorer</t>
        </is>
      </c>
      <c r="G1652" s="390" t="inlineStr">
        <is>
          <t>Chiều</t>
        </is>
      </c>
      <c r="H1652" s="390" t="inlineStr">
        <is>
          <t>Dễ</t>
        </is>
      </c>
      <c r="I1652" s="390" t="inlineStr">
        <is>
          <t>Ngày, CTCK</t>
        </is>
      </c>
      <c r="J1652" s="401" t="inlineStr">
        <is>
          <t>SCMS</t>
        </is>
      </c>
      <c r="K1652" s="401" t="inlineStr">
        <is>
          <t>X</t>
        </is>
      </c>
      <c r="L1652" s="395" t="inlineStr">
        <is>
          <t>X</t>
        </is>
      </c>
      <c r="M1652" s="401" t="n"/>
      <c r="N1652" s="395" t="inlineStr">
        <is>
          <t>Done</t>
        </is>
      </c>
      <c r="O1652" s="401" t="n"/>
      <c r="P1652" s="395" t="n"/>
      <c r="Q1652" s="401" t="inlineStr">
        <is>
          <t>SCMS.BM_BAO_CAO
SCMS.BM_SHEET</t>
        </is>
      </c>
      <c r="R1652" s="401" t="inlineStr">
        <is>
          <t>bm.ID,
bm.MA_BAO_CAO,
bm.SU_DUNG,
s.BM_BAO_CAO_ID,
s.MA_SHEET,
s.TEN_SHEET,
s.SAP_XEP</t>
        </is>
      </c>
      <c r="S1652" s="395" t="n"/>
      <c r="T1652" s="384" t="inlineStr">
        <is>
          <t>-- Mã sheet / Tên sheet
-- TEN_SHEET: THNGCKNY
SELECT bm.MA_BAO_CAO,
s.MA_SHEET,
s.TEN_SHEET
FROM SCMS.BM_BAO_CAO bm
JOIN SCMS.BM_SHEET s ON s.BM_BAO_CAO_ID = bm.ID
WHERE bm.MA_BAO_CAO LIKE 'BCTHHDKD%'
AND s.TEN_SHEET = 'THNGCKNY'  -- Check lại
AND bm.SU_DUNG = 1
ORDER BY bm.MA_BAO_CAO, s.SAP_XEP;</t>
        </is>
      </c>
      <c r="U1652" s="386" t="n"/>
      <c r="V1652" s="395" t="n"/>
      <c r="W1652" s="395" t="n"/>
      <c r="X1652" s="395" t="n"/>
      <c r="Y1652" s="395" t="n"/>
      <c r="Z1652" s="395" t="n"/>
      <c r="AA1652" s="395" t="n"/>
      <c r="AB1652" s="395" t="n"/>
      <c r="AC1652" s="395" t="n"/>
      <c r="AD1652" s="395" t="n"/>
      <c r="AE1652" s="395" t="n"/>
    </row>
    <row r="1653" ht="56" customHeight="1" s="380">
      <c r="A1653" s="73" t="n">
        <v>83</v>
      </c>
      <c r="B1653" s="386" t="n"/>
      <c r="C1653" s="386" t="inlineStr">
        <is>
          <t>Báo cáo theo Thông tư 121/2020/TT-BTC &gt;&gt; Tình hình nắm giữ chứng khoán niêm yết - II.10.2</t>
        </is>
      </c>
      <c r="D1653" s="106" t="inlineStr">
        <is>
          <t>Tên sheet</t>
        </is>
      </c>
      <c r="E1653" s="106" t="inlineStr">
        <is>
          <t>Tên sheet</t>
        </is>
      </c>
      <c r="F1653" s="390" t="inlineStr">
        <is>
          <t>Data Explorer</t>
        </is>
      </c>
      <c r="G1653" s="390" t="inlineStr">
        <is>
          <t>Chiều</t>
        </is>
      </c>
      <c r="H1653" s="390" t="inlineStr">
        <is>
          <t>Dễ</t>
        </is>
      </c>
      <c r="I1653" s="390" t="inlineStr">
        <is>
          <t>Ngày, CTCK</t>
        </is>
      </c>
      <c r="J1653" s="401" t="inlineStr">
        <is>
          <t>SCMS</t>
        </is>
      </c>
      <c r="K1653" s="401" t="inlineStr">
        <is>
          <t>X</t>
        </is>
      </c>
      <c r="L1653" s="395" t="inlineStr">
        <is>
          <t>X</t>
        </is>
      </c>
      <c r="M1653" s="401" t="n"/>
      <c r="N1653" s="395" t="inlineStr">
        <is>
          <t>Done</t>
        </is>
      </c>
      <c r="O1653" s="401" t="n"/>
      <c r="P1653" s="395" t="n"/>
      <c r="S1653" s="395" t="n"/>
      <c r="U1653" s="386" t="n"/>
      <c r="V1653" s="395" t="n"/>
      <c r="W1653" s="395" t="n"/>
      <c r="X1653" s="395" t="n"/>
      <c r="Y1653" s="395" t="n"/>
      <c r="Z1653" s="395" t="n"/>
      <c r="AA1653" s="395" t="n"/>
      <c r="AB1653" s="395" t="n"/>
      <c r="AC1653" s="395" t="n"/>
      <c r="AD1653" s="395" t="n"/>
      <c r="AE1653" s="395" t="n"/>
    </row>
    <row r="1654" ht="56" customHeight="1" s="380">
      <c r="A1654" s="73" t="n">
        <v>83</v>
      </c>
      <c r="B1654" s="386" t="n"/>
      <c r="C1654" s="386" t="inlineStr">
        <is>
          <t>Báo cáo theo Thông tư 121/2020/TT-BTC &gt;&gt; Tình hình nắm giữ chứng khoán niêm yết - II.10.2</t>
        </is>
      </c>
      <c r="D1654" s="106" t="inlineStr">
        <is>
          <t>Mã chỉ tiêu</t>
        </is>
      </c>
      <c r="E1654" s="107" t="inlineStr">
        <is>
          <t>Mã chỉ tiêu</t>
        </is>
      </c>
      <c r="F1654" s="390" t="inlineStr">
        <is>
          <t>Data Explorer</t>
        </is>
      </c>
      <c r="G1654" s="390" t="inlineStr">
        <is>
          <t>Chiều</t>
        </is>
      </c>
      <c r="H1654" s="390" t="inlineStr">
        <is>
          <t>Dễ</t>
        </is>
      </c>
      <c r="I1654" s="390" t="inlineStr">
        <is>
          <t>Ngày, CTCK</t>
        </is>
      </c>
      <c r="J1654" s="401" t="inlineStr">
        <is>
          <t>SCMS</t>
        </is>
      </c>
      <c r="K1654" s="401" t="inlineStr">
        <is>
          <t>X</t>
        </is>
      </c>
      <c r="L1654" s="395" t="inlineStr">
        <is>
          <t>X</t>
        </is>
      </c>
      <c r="M1654" s="401" t="n"/>
      <c r="N1654" s="395" t="inlineStr">
        <is>
          <t>Done</t>
        </is>
      </c>
      <c r="O1654" s="401" t="n"/>
      <c r="P1654" s="395" t="n"/>
      <c r="Q1654" s="401" t="inlineStr">
        <is>
          <t>SCMS.BM_BAO_CAO
SCMS.BM_SHEET
SCMS.BM_BAO_CAO_CT
SCMS.DM_CHI_TIEU</t>
        </is>
      </c>
      <c r="R1654" s="402" t="inlineStr">
        <is>
          <t>dct.ID,
dct.MA_CHI_TIEU,
dct.TEN_CHI_TIEU,
dct.SU_DUNG,
s.BM_BAO_CAO_ID,
s.MA_SHEET,
ct.BM_BAO_CAO_ID,
ct.DM_CHI_TIEU_ID,
ct.SU_DUNG,
bm.ID,
bm.MA_BAO_CAO,
bm.SU_DUNG</t>
        </is>
      </c>
      <c r="S1654" s="395" t="n"/>
      <c r="T1654" s="384" t="inlineStr">
        <is>
          <t>-- Mã chỉ tiêu / Tên chỉ tiêu
SELECT DISTINCT
    dct.MA_CHI_TIEU  AS ma_chi_tieu,
    dct.TEN_CHI_TIEU AS ten_chi_tieu
FROM SCMS.BM_BAO_CAO bm
JOIN SCMS.BM_SHEET s ON s.BM_BAO_CAO_ID = bm.ID
	AND s.TEN_SHEET = 'THNGCKNY'
JOIN SCMS.BM_BAO_CAO_CT ct ON ct.BM_SHEET_ID = s.ID
	AND ct.SU_DUNG = 1
JOIN SCMS.DM_CHI_TIEU dct ON dct.ID = ct.DM_CHI_TIEU_ID
	AND dct.SU_DUNG = 1
WHERE bm.MA_BAO_CAO LIKE 'BCTHHDKD%'
	AND bm.SU_DUNG = 1
ORDER BY dct.MA_CHI_TIEU;</t>
        </is>
      </c>
      <c r="U1654" s="386" t="n"/>
      <c r="V1654" s="395" t="n"/>
      <c r="W1654" s="395" t="n"/>
      <c r="X1654" s="395" t="n"/>
      <c r="Y1654" s="36" t="n"/>
      <c r="Z1654" s="395" t="n"/>
      <c r="AA1654" s="395" t="n"/>
      <c r="AB1654" s="395" t="n"/>
      <c r="AC1654" s="395" t="n"/>
      <c r="AD1654" s="395" t="n"/>
      <c r="AE1654" s="395" t="n"/>
    </row>
    <row r="1655" ht="56" customHeight="1" s="380">
      <c r="A1655" s="73" t="n">
        <v>83</v>
      </c>
      <c r="B1655" s="386" t="n"/>
      <c r="C1655" s="386" t="inlineStr">
        <is>
          <t>Báo cáo theo Thông tư 121/2020/TT-BTC &gt;&gt; Tình hình nắm giữ chứng khoán niêm yết - II.10.2</t>
        </is>
      </c>
      <c r="D1655" s="106" t="inlineStr">
        <is>
          <t>Tên chỉ tiêu</t>
        </is>
      </c>
      <c r="E1655" s="107" t="inlineStr">
        <is>
          <t>Tên chỉ tiêu</t>
        </is>
      </c>
      <c r="F1655" s="390" t="inlineStr">
        <is>
          <t>Data Explorer</t>
        </is>
      </c>
      <c r="G1655" s="390" t="inlineStr">
        <is>
          <t>Chiều</t>
        </is>
      </c>
      <c r="H1655" s="390" t="inlineStr">
        <is>
          <t>Dễ</t>
        </is>
      </c>
      <c r="I1655" s="390" t="inlineStr">
        <is>
          <t>Ngày, CTCK</t>
        </is>
      </c>
      <c r="J1655" s="401" t="inlineStr">
        <is>
          <t>SCMS</t>
        </is>
      </c>
      <c r="K1655" s="401" t="inlineStr">
        <is>
          <t>X</t>
        </is>
      </c>
      <c r="L1655" s="395" t="inlineStr">
        <is>
          <t>X</t>
        </is>
      </c>
      <c r="M1655" s="401" t="n"/>
      <c r="N1655" s="395" t="inlineStr">
        <is>
          <t>Done</t>
        </is>
      </c>
      <c r="O1655" s="401" t="n"/>
      <c r="P1655" s="395" t="n"/>
      <c r="S1655" s="395" t="n"/>
      <c r="U1655" s="386" t="n"/>
      <c r="V1655" s="395" t="n"/>
      <c r="W1655" s="395" t="n"/>
      <c r="X1655" s="395" t="n"/>
      <c r="Y1655" s="37" t="n"/>
      <c r="Z1655" s="395" t="n"/>
      <c r="AA1655" s="395" t="n"/>
      <c r="AB1655" s="395" t="n"/>
      <c r="AC1655" s="395" t="n"/>
      <c r="AD1655" s="395" t="n"/>
      <c r="AE1655" s="395" t="n"/>
    </row>
    <row r="1656" ht="56" customHeight="1" s="380">
      <c r="A1656" s="73" t="n">
        <v>83</v>
      </c>
      <c r="B1656" s="386" t="n"/>
      <c r="C1656" s="386" t="inlineStr">
        <is>
          <t>Báo cáo theo Thông tư 121/2020/TT-BTC &gt;&gt; Tình hình nắm giữ chứng khoán niêm yết - II.10.2</t>
        </is>
      </c>
      <c r="D1656" s="386" t="inlineStr">
        <is>
          <t>Tên công ty chứng khoán</t>
        </is>
      </c>
      <c r="E1656" s="386" t="inlineStr">
        <is>
          <t>Tên công ty chứng khoán</t>
        </is>
      </c>
      <c r="F1656" s="386" t="inlineStr">
        <is>
          <t>Data Explorer</t>
        </is>
      </c>
      <c r="G1656" s="386" t="inlineStr">
        <is>
          <t>Chỉ tiêu cơ sở</t>
        </is>
      </c>
      <c r="H1656" s="386" t="inlineStr">
        <is>
          <t>Trùng</t>
        </is>
      </c>
      <c r="I1656" s="386" t="inlineStr">
        <is>
          <t>Ngày, CTCK</t>
        </is>
      </c>
      <c r="J1656" s="395" t="inlineStr">
        <is>
          <t>SCMS</t>
        </is>
      </c>
      <c r="K1656" s="395" t="n"/>
      <c r="L1656" s="395" t="inlineStr">
        <is>
          <t>X</t>
        </is>
      </c>
      <c r="M1656" s="395" t="n"/>
      <c r="N1656" s="395" t="inlineStr">
        <is>
          <t>Done</t>
        </is>
      </c>
      <c r="O1656" s="401" t="n"/>
      <c r="P1656" s="395" t="n"/>
      <c r="Q1656" s="427" t="inlineStr">
        <is>
          <t>SCMS.BC_THANH_VIEN
SCMS.BM_BAO_CAO
SCMS.BC_BAO_CAO_GT
SCMS.BM_BAO_CAO_HANG
SCMS.BM_BAO_CAO_COT
SCMS.CTCK_THONG_TIN</t>
        </is>
      </c>
      <c r="R1656" s="427" t="inlineStr">
        <is>
          <t>btv.ID,
btv.NGAY_SO_LIEU,
btv.BM_BAO_CAO_ID,
btv.CTCK_THONG_TIN_ID,
btv.TRANG_THAI,
btv2.XOA_DU_LIEU,
c.CTCK_THONG_TIN_ID,
bsh.ID,
bsh.MA_HANG,
bsc.TEN_COT,
bsc.BM_SHEET_ID,
gt.BC_THANH_VIEN_ID,
gt.BM_SHEET_HANG_ID,
gt.GIA_TRI,
bm.ID,
bm.MA_BAO_CAO,
gt_loai.TEN_COT,
gt_loai.GIA_TRI</t>
        </is>
      </c>
      <c r="S1656" s="395" t="n"/>
      <c r="T1656"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gt_bctc.TEN_HANG LIKE N'%Vốn chủ sở hữu%' THEN CAST(gt_bctc.GIA_TRI AS VARCHAR2(4000)) END)  AS "Vốn chủ sở hữu (triệu đồng)",  -- Check lại
    SUM(CASE WHEN bsc.TEN_COT=N'Giá trị chứng khoán nắm giữ' THEN TO_NUMBER(NULLIF(CAST(gt.GIA_TRI AS VARCHAR2(4000)), '')) END) AS "Tổng Giá trị chứng khoán nắm giữ",
    SUM(CASE WHEN bsc.TEN_COT=N'Giá trị chứng khoán nắm giữ' AND CAST(gt_loai.GIA_TRI AS VARCHAR2(4000)) LIKE N'%cổ phiếu%'
             THEN TO_NUMBER(NULLIF(CAST(gt.GIA_TRI AS VARCHAR2(4000)), '')) END) AS "Tổng Giá trị cổ phiếu đang nắm giữ",
    SUM(CASE WHEN bsc.TEN_COT=N'Giá trị chứng khoán nắm giữ' AND CAST(gt_loai.GIA_TRI AS VARCHAR2(4000)) LIKE N'%chứng chỉ quỹ%'
             THEN TO_NUMBER(NULLIF(CAST(gt.GIA_TRI AS VARCHAR2(4000)), '')) END) AS "Tổng Giá trị chứng chỉ quỹ nắm giữ"
FROM SCMS.BC_THANH_VIEN btv
JOIN SCMS.BM_BAO_CAO bm ON bm.ID = btv.BM_BAO_CAO_ID
JOIN SCMS.BC_BAO_CAO_GT gt ON gt.BC_THANH_VIEN_ID = btv.ID
JOIN SCMS.BM_SHEET_HANG bsh ON bsh.ID = gt.BM_SHEET_HANG_ID
JOIN SCMS.BM_SHEET_COT bsc ON bsc.BM_SHEET_ID = 7427
--                               AND bsc.TEN_COT = gt.TEN_COT
JOIN SCMS.CTCK_THONG_TIN c ON c.CTCK_THONG_TIN_ID = btv.CTCK_THONG_TIN_ID
LEFT JOIN SCMS.BC_BAO_CAO_GT gt_loai ON gt_loai.BC_THANH_VIEN_ID = btv.ID
                                                                             AND gt_loai.BM_SHEET_HANG_ID = gt.BM_SHEET_HANG_ID
                                                                             AND gt_loai.TEN_COT = N'Loại chứng khoán'
-- BCTC năm:
LEFT JOIN SCMS.BC_THANH_VIEN btv2 ON btv2.CTCK_THONG_TIN_ID = btv.CTCK_THONG_TIN_ID
                                      AND btv2.TRANG_THAI IN (4, 6)
                                      AND btv2.XOA_DU_LIEU = 0
                                      AND TRUNC(btv2.NGAY_SO_LIEU) = ADD_MONTHS(TRUNC(btv.NGAY_SO_LIEU, 'YYYY'), 12) - 1
LEFT JOIN SCMS.BM_BAO_CAO bm2 ON bm2.ID = btv2.BM_BAO_CAO_ID
                                  AND bm2.MA_BAO_CAO LIKE '%BCTCRLCTCK%'   -- Xác nhận
LEFT JOIN SCMS.BC_BAO_CAO_GT gt_bctc ON gt_bctc.BC_THANH_VIEN_ID = btv2.ID
WHERE bm.MA_BAO_CAO LIKE 'BCTHHDKD%'
  AND btv.TRANG_THAI IN (2, 3)
GROUP BY
    btv.ID, btv.CTCK_THONG_TIN_ID, btv.NGAY_SO_LIEU, btv.TRANG_THAI,
    bm.MA_BAO_CAO,
    c.TEN_VIET_TAT, c.SAN_NIEM_YET, c.MA_CHUNG_KHOAN,
    c.GIAY_PHEP_KINH_DOANH, c.NGAY_CAP_GPKD
ORDER BY btv.NGAY_SO_LIEU DESC, c.TEN_VIET_TAT;</t>
        </is>
      </c>
      <c r="U1656" s="386" t="n"/>
      <c r="V1656" s="395" t="n"/>
      <c r="W1656" s="395" t="n"/>
      <c r="X1656" s="395" t="n"/>
      <c r="Y1656" s="395" t="n"/>
      <c r="Z1656" s="395" t="n"/>
      <c r="AA1656" s="395" t="n"/>
      <c r="AB1656" s="395" t="n"/>
      <c r="AC1656" s="395" t="n"/>
      <c r="AD1656" s="395" t="n"/>
      <c r="AE1656" s="395" t="n"/>
    </row>
    <row r="1657" ht="56" customHeight="1" s="380">
      <c r="A1657" s="73" t="n">
        <v>83</v>
      </c>
      <c r="B1657" s="386" t="n"/>
      <c r="C1657" s="386" t="inlineStr">
        <is>
          <t>Báo cáo theo Thông tư 121/2020/TT-BTC &gt;&gt; Tình hình nắm giữ chứng khoán niêm yết - II.10.2</t>
        </is>
      </c>
      <c r="D1657" s="386" t="inlineStr">
        <is>
          <t>Sàn giao dịch</t>
        </is>
      </c>
      <c r="E1657" s="386" t="inlineStr">
        <is>
          <t>Sàn giao dịch</t>
        </is>
      </c>
      <c r="F1657" s="386" t="inlineStr">
        <is>
          <t>Data Explorer</t>
        </is>
      </c>
      <c r="G1657" s="386" t="inlineStr">
        <is>
          <t>Chỉ tiêu cơ sở</t>
        </is>
      </c>
      <c r="H1657" s="386" t="inlineStr">
        <is>
          <t>Trùng</t>
        </is>
      </c>
      <c r="I1657" s="386" t="inlineStr">
        <is>
          <t>Ngày, CTCK</t>
        </is>
      </c>
      <c r="J1657" s="395" t="inlineStr">
        <is>
          <t>SCMS</t>
        </is>
      </c>
      <c r="K1657" s="395" t="n"/>
      <c r="L1657" s="395" t="inlineStr">
        <is>
          <t>X</t>
        </is>
      </c>
      <c r="M1657" s="395" t="n"/>
      <c r="N1657" s="395" t="inlineStr">
        <is>
          <t>Done</t>
        </is>
      </c>
      <c r="O1657" s="401" t="n"/>
      <c r="P1657" s="395" t="n"/>
      <c r="S1657" s="395" t="n"/>
      <c r="U1657" s="386" t="n"/>
      <c r="V1657" s="395" t="n"/>
      <c r="W1657" s="395" t="n"/>
      <c r="X1657" s="395" t="n"/>
      <c r="Y1657" s="395" t="n"/>
      <c r="Z1657" s="395" t="n"/>
      <c r="AA1657" s="395" t="n"/>
      <c r="AB1657" s="395" t="n"/>
      <c r="AC1657" s="395" t="n"/>
      <c r="AD1657" s="395" t="n"/>
      <c r="AE1657" s="395" t="n"/>
    </row>
    <row r="1658" ht="56" customHeight="1" s="380">
      <c r="A1658" s="73" t="n">
        <v>83</v>
      </c>
      <c r="B1658" s="386" t="n"/>
      <c r="C1658" s="386" t="inlineStr">
        <is>
          <t>Báo cáo theo Thông tư 121/2020/TT-BTC &gt;&gt; Tình hình nắm giữ chứng khoán niêm yết - II.10.2</t>
        </is>
      </c>
      <c r="D1658" s="386" t="inlineStr">
        <is>
          <t>Mã chứng khoán</t>
        </is>
      </c>
      <c r="E1658" s="386" t="inlineStr">
        <is>
          <t>Mã chứng khoán</t>
        </is>
      </c>
      <c r="F1658" s="386" t="inlineStr">
        <is>
          <t>Data Explorer</t>
        </is>
      </c>
      <c r="G1658" s="386" t="inlineStr">
        <is>
          <t>Chỉ tiêu cơ sở</t>
        </is>
      </c>
      <c r="H1658" s="386" t="inlineStr">
        <is>
          <t>Trùng</t>
        </is>
      </c>
      <c r="I1658" s="386" t="inlineStr">
        <is>
          <t>Ngày, CTCK</t>
        </is>
      </c>
      <c r="J1658" s="395" t="inlineStr">
        <is>
          <t>SCMS</t>
        </is>
      </c>
      <c r="K1658" s="395" t="n"/>
      <c r="L1658" s="395" t="inlineStr">
        <is>
          <t>X</t>
        </is>
      </c>
      <c r="M1658" s="395" t="n"/>
      <c r="N1658" s="395" t="inlineStr">
        <is>
          <t>Done</t>
        </is>
      </c>
      <c r="O1658" s="401" t="n"/>
      <c r="P1658" s="395" t="n"/>
      <c r="S1658" s="395" t="n"/>
      <c r="U1658" s="386" t="n"/>
      <c r="V1658" s="395" t="n"/>
      <c r="W1658" s="395" t="n"/>
      <c r="X1658" s="395" t="n"/>
      <c r="Y1658" s="395" t="n"/>
      <c r="Z1658" s="395" t="n"/>
      <c r="AA1658" s="395" t="n"/>
      <c r="AB1658" s="395" t="n"/>
      <c r="AC1658" s="395" t="n"/>
      <c r="AD1658" s="395" t="n"/>
      <c r="AE1658" s="395" t="n"/>
    </row>
    <row r="1659" ht="56" customHeight="1" s="380">
      <c r="A1659" s="73" t="n">
        <v>83</v>
      </c>
      <c r="B1659" s="386" t="n"/>
      <c r="C1659" s="386" t="inlineStr">
        <is>
          <t>Báo cáo theo Thông tư 121/2020/TT-BTC &gt;&gt; Tình hình nắm giữ chứng khoán niêm yết - II.10.2</t>
        </is>
      </c>
      <c r="D1659" s="386" t="inlineStr">
        <is>
          <t>Giấy phép &gt;&gt; Số</t>
        </is>
      </c>
      <c r="E1659" s="386" t="inlineStr">
        <is>
          <t>Giấy phép &gt;&gt; Số</t>
        </is>
      </c>
      <c r="F1659" s="386" t="inlineStr">
        <is>
          <t>Data Explorer</t>
        </is>
      </c>
      <c r="G1659" s="386" t="inlineStr">
        <is>
          <t>Chỉ tiêu cơ sở</t>
        </is>
      </c>
      <c r="H1659" s="386" t="inlineStr">
        <is>
          <t>Trùng</t>
        </is>
      </c>
      <c r="I1659" s="386" t="inlineStr">
        <is>
          <t>Ngày, CTCK</t>
        </is>
      </c>
      <c r="J1659" s="395" t="inlineStr">
        <is>
          <t>SCMS</t>
        </is>
      </c>
      <c r="K1659" s="395" t="n"/>
      <c r="L1659" s="395" t="inlineStr">
        <is>
          <t>X</t>
        </is>
      </c>
      <c r="M1659" s="395" t="n"/>
      <c r="N1659" s="395" t="inlineStr">
        <is>
          <t>Done</t>
        </is>
      </c>
      <c r="O1659" s="401" t="n"/>
      <c r="P1659" s="395" t="n"/>
      <c r="S1659" s="395" t="n"/>
      <c r="U1659" s="386" t="n"/>
      <c r="V1659" s="395" t="n"/>
      <c r="W1659" s="395" t="n"/>
      <c r="X1659" s="395" t="n"/>
      <c r="Y1659" s="395" t="n"/>
      <c r="Z1659" s="395" t="n"/>
      <c r="AA1659" s="395" t="n"/>
      <c r="AB1659" s="395" t="n"/>
      <c r="AC1659" s="395" t="n"/>
      <c r="AD1659" s="395" t="n"/>
      <c r="AE1659" s="395" t="n"/>
    </row>
    <row r="1660" ht="56" customHeight="1" s="380">
      <c r="A1660" s="73" t="n">
        <v>83</v>
      </c>
      <c r="B1660" s="386" t="n"/>
      <c r="C1660" s="386" t="inlineStr">
        <is>
          <t>Báo cáo theo Thông tư 121/2020/TT-BTC &gt;&gt; Tình hình nắm giữ chứng khoán niêm yết - II.10.2</t>
        </is>
      </c>
      <c r="D1660" s="386" t="inlineStr">
        <is>
          <t>Giấy phép &gt;&gt; Ngày cấp
(Ngày/tháng/năm)</t>
        </is>
      </c>
      <c r="E1660" s="386" t="inlineStr">
        <is>
          <t>Giấy phép &gt;&gt; Ngày cấp
(Ngày/tháng/năm)</t>
        </is>
      </c>
      <c r="F1660" s="386" t="inlineStr">
        <is>
          <t>Data Explorer</t>
        </is>
      </c>
      <c r="G1660" s="386" t="inlineStr">
        <is>
          <t>Chỉ tiêu cơ sở</t>
        </is>
      </c>
      <c r="H1660" s="386" t="inlineStr">
        <is>
          <t>Trùng</t>
        </is>
      </c>
      <c r="I1660" s="386" t="inlineStr">
        <is>
          <t>Ngày, CTCK</t>
        </is>
      </c>
      <c r="J1660" s="395" t="inlineStr">
        <is>
          <t>SCMS</t>
        </is>
      </c>
      <c r="K1660" s="395" t="n"/>
      <c r="L1660" s="395" t="inlineStr">
        <is>
          <t>X</t>
        </is>
      </c>
      <c r="M1660" s="395" t="n"/>
      <c r="N1660" s="395" t="inlineStr">
        <is>
          <t>Done</t>
        </is>
      </c>
      <c r="O1660" s="401" t="n"/>
      <c r="P1660" s="395" t="n"/>
      <c r="S1660" s="395" t="n"/>
      <c r="U1660" s="386" t="n"/>
      <c r="V1660" s="395" t="n"/>
      <c r="W1660" s="395" t="n"/>
      <c r="X1660" s="395" t="n"/>
      <c r="Y1660" s="36" t="n"/>
      <c r="Z1660" s="395" t="n"/>
      <c r="AA1660" s="395" t="n"/>
      <c r="AB1660" s="395" t="n"/>
      <c r="AC1660" s="395" t="n"/>
      <c r="AD1660" s="395" t="n"/>
      <c r="AE1660" s="395" t="n"/>
    </row>
    <row r="1661" ht="56" customHeight="1" s="380">
      <c r="A1661" s="73" t="n">
        <v>83</v>
      </c>
      <c r="B1661" s="386" t="n"/>
      <c r="C1661" s="386" t="inlineStr">
        <is>
          <t>Báo cáo theo Thông tư 121/2020/TT-BTC &gt;&gt; Tình hình nắm giữ chứng khoán niêm yết - II.10.2</t>
        </is>
      </c>
      <c r="D1661" s="386" t="inlineStr">
        <is>
          <t>Vốn chủ sở hữu
(triệu đồng)</t>
        </is>
      </c>
      <c r="E1661" s="395" t="inlineStr">
        <is>
          <t>Vốn chủ sở hữu
(triệu đồng)</t>
        </is>
      </c>
      <c r="F1661" s="386" t="inlineStr">
        <is>
          <t>Data Explorer</t>
        </is>
      </c>
      <c r="G1661" s="386" t="inlineStr">
        <is>
          <t>Chỉ tiêu cơ sở</t>
        </is>
      </c>
      <c r="H1661" s="386" t="inlineStr">
        <is>
          <t>Trùng</t>
        </is>
      </c>
      <c r="I1661" s="386" t="inlineStr">
        <is>
          <t>Ngày, CTCK</t>
        </is>
      </c>
      <c r="J1661" s="395" t="inlineStr">
        <is>
          <t>SCMS</t>
        </is>
      </c>
      <c r="K1661" s="395" t="n"/>
      <c r="L1661" s="395" t="inlineStr">
        <is>
          <t>X</t>
        </is>
      </c>
      <c r="M1661" s="395" t="n"/>
      <c r="N1661" s="395" t="inlineStr">
        <is>
          <t>Done</t>
        </is>
      </c>
      <c r="O1661" s="401" t="n"/>
      <c r="P1661" s="395" t="n"/>
      <c r="S1661" s="395" t="n"/>
      <c r="U1661" s="386" t="n"/>
      <c r="V1661" s="395" t="n"/>
      <c r="W1661" s="395" t="n"/>
      <c r="X1661" s="395" t="n"/>
      <c r="Y1661" s="36" t="n"/>
      <c r="Z1661" s="395" t="n"/>
      <c r="AA1661" s="395" t="n"/>
      <c r="AB1661" s="395" t="n"/>
      <c r="AC1661" s="395" t="n"/>
      <c r="AD1661" s="395" t="n"/>
      <c r="AE1661" s="395" t="n"/>
    </row>
    <row r="1662" ht="56" customHeight="1" s="380">
      <c r="A1662" s="73" t="n">
        <v>83</v>
      </c>
      <c r="B1662" s="386" t="n"/>
      <c r="C1662" s="386" t="inlineStr">
        <is>
          <t>Báo cáo theo Thông tư 121/2020/TT-BTC &gt;&gt; Tình hình nắm giữ chứng khoán niêm yết - II.10.2</t>
        </is>
      </c>
      <c r="D1662" s="386" t="inlineStr">
        <is>
          <t>Tổng giá trị chứng khoán nắm giữ (triệu đồng)</t>
        </is>
      </c>
      <c r="E1662" s="386" t="inlineStr">
        <is>
          <t>Tổng giá trị chứng khoán nắm giữ (triệu đồng)</t>
        </is>
      </c>
      <c r="F1662" s="386" t="inlineStr">
        <is>
          <t>Data Explorer</t>
        </is>
      </c>
      <c r="G1662" s="386" t="inlineStr">
        <is>
          <t>Chỉ tiêu cơ sở</t>
        </is>
      </c>
      <c r="H1662" s="386" t="inlineStr">
        <is>
          <t>TB</t>
        </is>
      </c>
      <c r="I1662" s="386" t="inlineStr">
        <is>
          <t>Ngày, CTCK</t>
        </is>
      </c>
      <c r="J1662" s="395" t="inlineStr">
        <is>
          <t>SCMS</t>
        </is>
      </c>
      <c r="K1662" s="395" t="n"/>
      <c r="L1662" s="395" t="inlineStr">
        <is>
          <t>X</t>
        </is>
      </c>
      <c r="M1662" s="395" t="n"/>
      <c r="N1662" s="395" t="inlineStr">
        <is>
          <t>Done</t>
        </is>
      </c>
      <c r="O1662" s="401" t="n"/>
      <c r="P1662" s="395" t="n"/>
      <c r="S1662" s="395" t="n"/>
      <c r="U1662" s="386" t="n"/>
      <c r="V1662" s="395" t="n"/>
      <c r="W1662" s="395" t="n"/>
      <c r="X1662" s="395" t="n"/>
      <c r="Y1662" s="395" t="n"/>
      <c r="Z1662" s="395" t="n"/>
      <c r="AA1662" s="395" t="n"/>
      <c r="AB1662" s="395" t="n"/>
      <c r="AC1662" s="395" t="n"/>
      <c r="AD1662" s="395" t="n"/>
      <c r="AE1662" s="395" t="n"/>
    </row>
    <row r="1663" ht="56" customHeight="1" s="380">
      <c r="A1663" s="73" t="n">
        <v>83</v>
      </c>
      <c r="B1663" s="386" t="n"/>
      <c r="C1663" s="386" t="inlineStr">
        <is>
          <t>Báo cáo theo Thông tư 121/2020/TT-BTC &gt;&gt; Tình hình nắm giữ chứng khoán niêm yết - II.10.2</t>
        </is>
      </c>
      <c r="D1663" s="386" t="inlineStr">
        <is>
          <t>Tổng giá trị cổ phiếu đang nắm giữ (triệu đồng)</t>
        </is>
      </c>
      <c r="E1663" s="386" t="inlineStr">
        <is>
          <t>Tổng giá trị cổ phiếu đang nắm giữ (triệu đồng)</t>
        </is>
      </c>
      <c r="F1663" s="386" t="inlineStr">
        <is>
          <t>Data Explorer</t>
        </is>
      </c>
      <c r="G1663" s="386" t="inlineStr">
        <is>
          <t>Chỉ tiêu cơ sở</t>
        </is>
      </c>
      <c r="H1663" s="386" t="inlineStr">
        <is>
          <t>TB</t>
        </is>
      </c>
      <c r="I1663" s="386" t="inlineStr">
        <is>
          <t>Ngày, CTCK</t>
        </is>
      </c>
      <c r="J1663" s="395" t="inlineStr">
        <is>
          <t>SCMS</t>
        </is>
      </c>
      <c r="K1663" s="395" t="n"/>
      <c r="L1663" s="395" t="inlineStr">
        <is>
          <t>X</t>
        </is>
      </c>
      <c r="M1663" s="395" t="n"/>
      <c r="N1663" s="395" t="inlineStr">
        <is>
          <t>Done</t>
        </is>
      </c>
      <c r="O1663" s="401" t="n"/>
      <c r="P1663" s="395" t="n"/>
      <c r="S1663" s="395" t="n"/>
      <c r="U1663" s="386" t="n"/>
      <c r="V1663" s="395" t="n"/>
      <c r="W1663" s="395" t="n"/>
      <c r="X1663" s="395" t="n"/>
      <c r="Y1663" s="395" t="n"/>
      <c r="Z1663" s="395" t="n"/>
      <c r="AA1663" s="395" t="n"/>
      <c r="AB1663" s="395" t="n"/>
      <c r="AC1663" s="395" t="n"/>
      <c r="AD1663" s="395" t="n"/>
      <c r="AE1663" s="395" t="n"/>
    </row>
    <row r="1664" ht="56" customHeight="1" s="380">
      <c r="A1664" s="83" t="n">
        <v>83</v>
      </c>
      <c r="B1664" s="68" t="n"/>
      <c r="C1664" s="68" t="inlineStr">
        <is>
          <t>Báo cáo theo Thông tư 121/2020/TT-BTC &gt;&gt; Tình hình nắm giữ chứng khoán niêm yết - II.10.2</t>
        </is>
      </c>
      <c r="D1664" s="68" t="inlineStr">
        <is>
          <t>Tổng giá trị chứng chỉ quỹ nắm giữ (triệu đồng)</t>
        </is>
      </c>
      <c r="E1664" s="68" t="inlineStr">
        <is>
          <t>Tổng giá trị chứng chỉ quỹ nắm giữ (triệu đồng)</t>
        </is>
      </c>
      <c r="F1664" s="68" t="inlineStr">
        <is>
          <t>Data Explorer</t>
        </is>
      </c>
      <c r="G1664" s="68" t="inlineStr">
        <is>
          <t>Chỉ tiêu cơ sở</t>
        </is>
      </c>
      <c r="H1664" s="68" t="inlineStr">
        <is>
          <t>TB</t>
        </is>
      </c>
      <c r="I1664" s="68" t="inlineStr">
        <is>
          <t>Ngày, CTCK</t>
        </is>
      </c>
      <c r="J1664" s="69" t="inlineStr">
        <is>
          <t>SCMS</t>
        </is>
      </c>
      <c r="K1664" s="69" t="n"/>
      <c r="L1664" s="69" t="inlineStr">
        <is>
          <t>X</t>
        </is>
      </c>
      <c r="M1664" s="69" t="n"/>
      <c r="N1664" s="69" t="inlineStr">
        <is>
          <t>Done</t>
        </is>
      </c>
      <c r="O1664" s="85" t="n"/>
      <c r="P1664" s="69" t="n"/>
      <c r="Q1664" s="426" t="n"/>
      <c r="R1664" s="426" t="n"/>
      <c r="S1664" s="69" t="n"/>
      <c r="T1664" s="426" t="n"/>
      <c r="U1664" s="68" t="n"/>
      <c r="V1664" s="69" t="n"/>
      <c r="W1664" s="69" t="n"/>
      <c r="X1664" s="69" t="n"/>
      <c r="Y1664" s="69" t="n"/>
      <c r="Z1664" s="69" t="n"/>
      <c r="AA1664" s="69" t="n"/>
      <c r="AB1664" s="69" t="n"/>
      <c r="AC1664" s="69" t="n"/>
      <c r="AD1664" s="69" t="n"/>
      <c r="AE1664" s="69" t="n"/>
    </row>
    <row r="1665" ht="70" customHeight="1" s="380">
      <c r="A1665" s="73" t="n">
        <v>84</v>
      </c>
      <c r="B1665" s="122" t="inlineStr">
        <is>
          <t>Nga</t>
        </is>
      </c>
      <c r="C1665" s="81" t="inlineStr">
        <is>
          <t>Báo cáo theo Thông tư 121/2020/TT-BTC &gt;&gt; Tình hình đầu tư, góp vốn vào tổ chức khác - II.11.Tổng CP, DA</t>
        </is>
      </c>
      <c r="D1665" s="106" t="inlineStr">
        <is>
          <t>Loại báo cáo</t>
        </is>
      </c>
      <c r="E1665" s="107" t="inlineStr">
        <is>
          <t>Loại báo cáo</t>
        </is>
      </c>
      <c r="F1665" s="390" t="inlineStr">
        <is>
          <t>Data Explorer</t>
        </is>
      </c>
      <c r="G1665" s="390" t="inlineStr">
        <is>
          <t>Chiều</t>
        </is>
      </c>
      <c r="H1665" s="390" t="inlineStr">
        <is>
          <t>Dễ</t>
        </is>
      </c>
      <c r="I1665" s="390" t="inlineStr">
        <is>
          <t>Ngày, CTCK</t>
        </is>
      </c>
      <c r="J1665" s="401" t="inlineStr">
        <is>
          <t>SCMS</t>
        </is>
      </c>
      <c r="K1665" s="401" t="inlineStr">
        <is>
          <t>X</t>
        </is>
      </c>
      <c r="L1665" s="395" t="inlineStr">
        <is>
          <t>X</t>
        </is>
      </c>
      <c r="M1665" s="401" t="n"/>
      <c r="N1665" s="395" t="inlineStr">
        <is>
          <t>Done</t>
        </is>
      </c>
      <c r="O1665" s="401" t="n"/>
      <c r="P1665" s="395" t="n"/>
      <c r="Q1665" s="404" t="inlineStr">
        <is>
          <t>SCMS.BM_BAO_CAO
SCMS.BM_BAO_CAO_DINH_KY</t>
        </is>
      </c>
      <c r="R1665" s="404" t="inlineStr">
        <is>
          <t>bm.ID,
bm.MA_BAO_CAO,
bm.LOAI_BAO_CAO,
bm.TEN_BAO_CAO,
bm.SU_DUNG,
bdk.BM_BAO_CAO_ID,
bdk.KY_BAO_CAO,
bdk.SU_DUNG</t>
        </is>
      </c>
      <c r="S1665" s="395" t="n"/>
      <c r="T1665"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665" s="386" t="n"/>
      <c r="V1665" s="395" t="n"/>
      <c r="W1665" s="395" t="n"/>
      <c r="X1665" s="395" t="n"/>
      <c r="Y1665" s="395" t="n"/>
      <c r="Z1665" s="395" t="n"/>
      <c r="AA1665" s="395" t="n"/>
      <c r="AB1665" s="395" t="n"/>
      <c r="AC1665" s="395" t="n"/>
      <c r="AD1665" s="395" t="n"/>
      <c r="AE1665" s="395" t="n"/>
    </row>
    <row r="1666" ht="70" customHeight="1" s="380">
      <c r="A1666" s="73" t="n">
        <v>84</v>
      </c>
      <c r="B1666" s="386" t="n"/>
      <c r="C1666" s="386" t="inlineStr">
        <is>
          <t>Báo cáo theo Thông tư 121/2020/TT-BTC &gt;&gt; Tình hình đầu tư, góp vốn vào tổ chức khác - II.11.Tổng CP, DA</t>
        </is>
      </c>
      <c r="D1666" s="106" t="inlineStr">
        <is>
          <t>Kỳ báo cáo</t>
        </is>
      </c>
      <c r="E1666" s="107" t="inlineStr">
        <is>
          <t>Kỳ báo cáo</t>
        </is>
      </c>
      <c r="F1666" s="390" t="inlineStr">
        <is>
          <t>Data Explorer</t>
        </is>
      </c>
      <c r="G1666" s="390" t="inlineStr">
        <is>
          <t>Chiều</t>
        </is>
      </c>
      <c r="H1666" s="390" t="inlineStr">
        <is>
          <t>Dễ</t>
        </is>
      </c>
      <c r="I1666" s="390" t="inlineStr">
        <is>
          <t>Ngày, CTCK</t>
        </is>
      </c>
      <c r="J1666" s="401" t="inlineStr">
        <is>
          <t>SCMS</t>
        </is>
      </c>
      <c r="K1666" s="401" t="inlineStr">
        <is>
          <t>X</t>
        </is>
      </c>
      <c r="L1666" s="395" t="inlineStr">
        <is>
          <t>X</t>
        </is>
      </c>
      <c r="M1666" s="401" t="n"/>
      <c r="N1666" s="395" t="inlineStr">
        <is>
          <t>Done</t>
        </is>
      </c>
      <c r="O1666" s="401" t="n"/>
      <c r="P1666" s="395" t="n"/>
      <c r="S1666" s="395" t="n"/>
      <c r="U1666" s="386" t="n"/>
      <c r="V1666" s="395" t="n"/>
      <c r="W1666" s="395" t="n"/>
      <c r="X1666" s="395" t="n"/>
      <c r="Y1666" s="37" t="n"/>
      <c r="Z1666" s="395" t="n"/>
      <c r="AA1666" s="395" t="n"/>
      <c r="AB1666" s="395" t="n"/>
      <c r="AC1666" s="395" t="n"/>
      <c r="AD1666" s="395" t="n"/>
      <c r="AE1666" s="395" t="n"/>
    </row>
    <row r="1667" ht="70" customHeight="1" s="380">
      <c r="A1667" s="73" t="n">
        <v>84</v>
      </c>
      <c r="B1667" s="386" t="n"/>
      <c r="C1667" s="386" t="inlineStr">
        <is>
          <t>Báo cáo theo Thông tư 121/2020/TT-BTC &gt;&gt; Tình hình đầu tư, góp vốn vào tổ chức khác - II.11.Tổng CP, DA</t>
        </is>
      </c>
      <c r="D1667" s="106" t="inlineStr">
        <is>
          <t>Mã báo cáo</t>
        </is>
      </c>
      <c r="E1667" s="107" t="inlineStr">
        <is>
          <t>Mã báo cáo</t>
        </is>
      </c>
      <c r="F1667" s="390" t="inlineStr">
        <is>
          <t>Data Explorer</t>
        </is>
      </c>
      <c r="G1667" s="390" t="inlineStr">
        <is>
          <t>Chiều</t>
        </is>
      </c>
      <c r="H1667" s="390" t="inlineStr">
        <is>
          <t>Dễ</t>
        </is>
      </c>
      <c r="I1667" s="390" t="inlineStr">
        <is>
          <t>Ngày, CTCK</t>
        </is>
      </c>
      <c r="J1667" s="401" t="inlineStr">
        <is>
          <t>SCMS</t>
        </is>
      </c>
      <c r="K1667" s="401" t="inlineStr">
        <is>
          <t>X</t>
        </is>
      </c>
      <c r="L1667" s="395" t="inlineStr">
        <is>
          <t>X</t>
        </is>
      </c>
      <c r="M1667" s="401" t="n"/>
      <c r="N1667" s="395" t="inlineStr">
        <is>
          <t>Done</t>
        </is>
      </c>
      <c r="O1667" s="401" t="n"/>
      <c r="P1667" s="395" t="n"/>
      <c r="S1667" s="395" t="n"/>
      <c r="U1667" s="386" t="n"/>
      <c r="V1667" s="395" t="n"/>
      <c r="W1667" s="395" t="n"/>
      <c r="X1667" s="395" t="n"/>
      <c r="Y1667" s="395" t="n"/>
      <c r="Z1667" s="395" t="n"/>
      <c r="AA1667" s="395" t="n"/>
      <c r="AB1667" s="395" t="n"/>
      <c r="AC1667" s="395" t="n"/>
      <c r="AD1667" s="395" t="n"/>
      <c r="AE1667" s="395" t="n"/>
    </row>
    <row r="1668" ht="70" customHeight="1" s="380">
      <c r="A1668" s="73" t="n">
        <v>84</v>
      </c>
      <c r="B1668" s="386" t="n"/>
      <c r="C1668" s="386" t="inlineStr">
        <is>
          <t>Báo cáo theo Thông tư 121/2020/TT-BTC &gt;&gt; Tình hình đầu tư, góp vốn vào tổ chức khác - II.11.Tổng CP, DA</t>
        </is>
      </c>
      <c r="D1668" s="106" t="inlineStr">
        <is>
          <t>Tên báo cáo</t>
        </is>
      </c>
      <c r="E1668" s="107" t="inlineStr">
        <is>
          <t>Tên báo cáo</t>
        </is>
      </c>
      <c r="F1668" s="390" t="inlineStr">
        <is>
          <t>Data Explorer</t>
        </is>
      </c>
      <c r="G1668" s="390" t="inlineStr">
        <is>
          <t>Chiều</t>
        </is>
      </c>
      <c r="H1668" s="390" t="inlineStr">
        <is>
          <t>Dễ</t>
        </is>
      </c>
      <c r="I1668" s="390" t="inlineStr">
        <is>
          <t>Ngày, CTCK</t>
        </is>
      </c>
      <c r="J1668" s="401" t="inlineStr">
        <is>
          <t>SCMS</t>
        </is>
      </c>
      <c r="K1668" s="401" t="inlineStr">
        <is>
          <t>X</t>
        </is>
      </c>
      <c r="L1668" s="395" t="inlineStr">
        <is>
          <t>X</t>
        </is>
      </c>
      <c r="M1668" s="401" t="n"/>
      <c r="N1668" s="395" t="inlineStr">
        <is>
          <t>Done</t>
        </is>
      </c>
      <c r="O1668" s="401" t="n"/>
      <c r="P1668" s="395" t="n"/>
      <c r="S1668" s="395" t="n"/>
      <c r="U1668" s="386" t="n"/>
      <c r="V1668" s="395" t="n"/>
      <c r="W1668" s="395" t="n"/>
      <c r="X1668" s="395" t="n"/>
      <c r="Y1668" s="13" t="n"/>
      <c r="Z1668" s="395" t="n"/>
      <c r="AA1668" s="395" t="n"/>
      <c r="AB1668" s="395" t="n"/>
      <c r="AC1668" s="395" t="n"/>
      <c r="AD1668" s="395" t="n"/>
      <c r="AE1668" s="395" t="n"/>
    </row>
    <row r="1669" ht="70" customHeight="1" s="380">
      <c r="A1669" s="73" t="n">
        <v>84</v>
      </c>
      <c r="B1669" s="386" t="n"/>
      <c r="C1669" s="386" t="inlineStr">
        <is>
          <t>Báo cáo theo Thông tư 121/2020/TT-BTC &gt;&gt; Tình hình đầu tư, góp vốn vào tổ chức khác - II.11.Tổng CP, DA</t>
        </is>
      </c>
      <c r="D1669" s="106" t="inlineStr">
        <is>
          <t>Mã sheet</t>
        </is>
      </c>
      <c r="E1669" s="106" t="inlineStr">
        <is>
          <t>Mã sheet</t>
        </is>
      </c>
      <c r="F1669" s="390" t="inlineStr">
        <is>
          <t>Data Explorer</t>
        </is>
      </c>
      <c r="G1669" s="390" t="inlineStr">
        <is>
          <t>Chiều</t>
        </is>
      </c>
      <c r="H1669" s="390" t="inlineStr">
        <is>
          <t>Dễ</t>
        </is>
      </c>
      <c r="I1669" s="390" t="inlineStr">
        <is>
          <t>Ngày, CTCK</t>
        </is>
      </c>
      <c r="J1669" s="401" t="inlineStr">
        <is>
          <t>SCMS</t>
        </is>
      </c>
      <c r="K1669" s="401" t="inlineStr">
        <is>
          <t>X</t>
        </is>
      </c>
      <c r="L1669" s="395" t="inlineStr">
        <is>
          <t>X</t>
        </is>
      </c>
      <c r="M1669" s="401" t="n"/>
      <c r="N1669" s="395" t="inlineStr">
        <is>
          <t>Done</t>
        </is>
      </c>
      <c r="O1669" s="401" t="n"/>
      <c r="P1669" s="395" t="n"/>
      <c r="Q1669" s="401" t="inlineStr">
        <is>
          <t>SCMS.BM_BAO_CAO
SCMS.BM_SHEET</t>
        </is>
      </c>
      <c r="R1669" s="401" t="inlineStr">
        <is>
          <t>bm.ID,
bm.MA_BAO_CAO,
bm.SU_DUNG,
s.BM_BAO_CAO_ID,
s.MA_SHEET,
s.TEN_SHEET,
s.SAP_XEP</t>
        </is>
      </c>
      <c r="S1669" s="395" t="n"/>
      <c r="T1669" s="384" t="inlineStr">
        <is>
          <t>-- Mã sheet / Tên sheet
-- TEN_SHEET: THDTGV
SELECT bm.MA_BAO_CAO,
s.MA_SHEET,
s.TEN_SHEET
FROM SCMS.BM_BAO_CAO bm
JOIN SCMS.BM_SHEET s ON s.BM_BAO_CAO_ID = bm.ID
WHERE bm.MA_BAO_CAO LIKE 'BCTHHDKD%'
AND s.TEN_SHEET = 'THDTGV'  -- Check lại
AND bm.SU_DUNG = 1
ORDER BY bm.MA_BAO_CAO, s.SAP_XEP;</t>
        </is>
      </c>
      <c r="U1669" s="386" t="n"/>
      <c r="V1669" s="395" t="n"/>
      <c r="W1669" s="395" t="n"/>
      <c r="X1669" s="395" t="n"/>
      <c r="Y1669" s="13" t="n"/>
      <c r="Z1669" s="395" t="n"/>
      <c r="AA1669" s="395" t="n"/>
      <c r="AB1669" s="395" t="n"/>
      <c r="AC1669" s="395" t="n"/>
      <c r="AD1669" s="395" t="n"/>
      <c r="AE1669" s="395" t="n"/>
    </row>
    <row r="1670" ht="70" customHeight="1" s="380">
      <c r="A1670" s="73" t="n">
        <v>84</v>
      </c>
      <c r="B1670" s="386" t="n"/>
      <c r="C1670" s="386" t="inlineStr">
        <is>
          <t>Báo cáo theo Thông tư 121/2020/TT-BTC &gt;&gt; Tình hình đầu tư, góp vốn vào tổ chức khác - II.11.Tổng CP, DA</t>
        </is>
      </c>
      <c r="D1670" s="106" t="inlineStr">
        <is>
          <t>Tên sheet</t>
        </is>
      </c>
      <c r="E1670" s="106" t="inlineStr">
        <is>
          <t>Tên sheet</t>
        </is>
      </c>
      <c r="F1670" s="390" t="inlineStr">
        <is>
          <t>Data Explorer</t>
        </is>
      </c>
      <c r="G1670" s="390" t="inlineStr">
        <is>
          <t>Chiều</t>
        </is>
      </c>
      <c r="H1670" s="390" t="inlineStr">
        <is>
          <t>Dễ</t>
        </is>
      </c>
      <c r="I1670" s="390" t="inlineStr">
        <is>
          <t>Ngày, CTCK</t>
        </is>
      </c>
      <c r="J1670" s="401" t="inlineStr">
        <is>
          <t>SCMS</t>
        </is>
      </c>
      <c r="K1670" s="401" t="inlineStr">
        <is>
          <t>X</t>
        </is>
      </c>
      <c r="L1670" s="395" t="inlineStr">
        <is>
          <t>X</t>
        </is>
      </c>
      <c r="M1670" s="401" t="n"/>
      <c r="N1670" s="395" t="inlineStr">
        <is>
          <t>Done</t>
        </is>
      </c>
      <c r="O1670" s="401" t="n"/>
      <c r="P1670" s="395" t="n"/>
      <c r="S1670" s="395" t="n"/>
      <c r="U1670" s="386" t="n"/>
      <c r="V1670" s="395" t="n"/>
      <c r="W1670" s="395" t="n"/>
      <c r="X1670" s="395" t="n"/>
      <c r="Y1670" s="13" t="n"/>
      <c r="Z1670" s="395" t="n"/>
      <c r="AA1670" s="395" t="n"/>
      <c r="AB1670" s="395" t="n"/>
      <c r="AC1670" s="395" t="n"/>
      <c r="AD1670" s="395" t="n"/>
      <c r="AE1670" s="395" t="n"/>
    </row>
    <row r="1671" ht="70" customHeight="1" s="380">
      <c r="A1671" s="73" t="n">
        <v>84</v>
      </c>
      <c r="B1671" s="386" t="n"/>
      <c r="C1671" s="386" t="inlineStr">
        <is>
          <t>Báo cáo theo Thông tư 121/2020/TT-BTC &gt;&gt; Tình hình đầu tư, góp vốn vào tổ chức khác - II.11.Tổng CP, DA</t>
        </is>
      </c>
      <c r="D1671" s="106" t="inlineStr">
        <is>
          <t>Mã chỉ tiêu</t>
        </is>
      </c>
      <c r="E1671" s="107" t="inlineStr">
        <is>
          <t>Mã chỉ tiêu</t>
        </is>
      </c>
      <c r="F1671" s="390" t="inlineStr">
        <is>
          <t>Data Explorer</t>
        </is>
      </c>
      <c r="G1671" s="390" t="inlineStr">
        <is>
          <t>Chiều</t>
        </is>
      </c>
      <c r="H1671" s="390" t="inlineStr">
        <is>
          <t>Dễ</t>
        </is>
      </c>
      <c r="I1671" s="390" t="inlineStr">
        <is>
          <t>Ngày, CTCK</t>
        </is>
      </c>
      <c r="J1671" s="401" t="inlineStr">
        <is>
          <t>SCMS</t>
        </is>
      </c>
      <c r="K1671" s="401" t="inlineStr">
        <is>
          <t>X</t>
        </is>
      </c>
      <c r="L1671" s="395" t="inlineStr">
        <is>
          <t>X</t>
        </is>
      </c>
      <c r="M1671" s="401" t="n"/>
      <c r="N1671" s="395" t="inlineStr">
        <is>
          <t>Done</t>
        </is>
      </c>
      <c r="O1671" s="401" t="n"/>
      <c r="P1671" s="395" t="n"/>
      <c r="Q1671" s="401" t="inlineStr">
        <is>
          <t>SCMS.BM_BAO_CAO
SCMS.BM_SHEET
SCMS.BM_BAO_CAO_CT
SCMS.DM_CHI_TIEU</t>
        </is>
      </c>
      <c r="R1671" s="402" t="inlineStr">
        <is>
          <t>dct.ID,
dct.MA_CHI_TIEU,
dct.TEN_CHI_TIEU,
dct.SU_DUNG,
s.BM_BAO_CAO_ID,
s.MA_SHEET,
ct.BM_BAO_CAO_ID,
ct.DM_CHI_TIEU_ID,
ct.SU_DUNG,
bm.ID,
bm.MA_BAO_CAO,
bm.SU_DUNG</t>
        </is>
      </c>
      <c r="S1671" s="395" t="n"/>
      <c r="T1671" s="384" t="inlineStr">
        <is>
          <t>-- Mã chỉ tiêu / Tên chỉ tiêu
SELECT DISTINCT
    dct.MA_CHI_TIEU  AS ma_chi_tieu,
    dct.TEN_CHI_TIEU AS ten_chi_tieu
FROM SCMS.BM_BAO_CAO bm
JOIN SCMS.BM_SHEET s ON s.BM_BAO_CAO_ID = bm.ID
	AND s.TEN_SHEET = 'THDTGV'
JOIN SCMS.BM_BAO_CAO_CT ct ON ct.BM_SHEET_ID = s.ID
	AND ct.SU_DUNG = 1
JOIN SCMS.DM_CHI_TIEU dct ON dct.ID = ct.DM_CHI_TIEU_ID
	AND dct.SU_DUNG = 1
WHERE bm.MA_BAO_CAO LIKE 'BCTHHDKD%'
	AND bm.SU_DUNG = 1
ORDER BY dct.MA_CHI_TIEU;</t>
        </is>
      </c>
      <c r="U1671" s="386" t="n"/>
      <c r="V1671" s="395" t="n"/>
      <c r="W1671" s="395" t="n"/>
      <c r="X1671" s="395" t="n"/>
      <c r="Y1671" s="13" t="n"/>
      <c r="Z1671" s="395" t="n"/>
      <c r="AA1671" s="395" t="n"/>
      <c r="AB1671" s="395" t="n"/>
      <c r="AC1671" s="395" t="n"/>
      <c r="AD1671" s="395" t="n"/>
      <c r="AE1671" s="395" t="n"/>
    </row>
    <row r="1672" ht="70" customHeight="1" s="380">
      <c r="A1672" s="73" t="n">
        <v>84</v>
      </c>
      <c r="B1672" s="386" t="n"/>
      <c r="C1672" s="386" t="inlineStr">
        <is>
          <t>Báo cáo theo Thông tư 121/2020/TT-BTC &gt;&gt; Tình hình đầu tư, góp vốn vào tổ chức khác - II.11.Tổng CP, DA</t>
        </is>
      </c>
      <c r="D1672" s="106" t="inlineStr">
        <is>
          <t>Tên chỉ tiêu</t>
        </is>
      </c>
      <c r="E1672" s="107" t="inlineStr">
        <is>
          <t>Tên chỉ tiêu</t>
        </is>
      </c>
      <c r="F1672" s="390" t="inlineStr">
        <is>
          <t>Data Explorer</t>
        </is>
      </c>
      <c r="G1672" s="390" t="inlineStr">
        <is>
          <t>Chiều</t>
        </is>
      </c>
      <c r="H1672" s="390" t="inlineStr">
        <is>
          <t>Dễ</t>
        </is>
      </c>
      <c r="I1672" s="390" t="inlineStr">
        <is>
          <t>Ngày, CTCK</t>
        </is>
      </c>
      <c r="J1672" s="401" t="inlineStr">
        <is>
          <t>SCMS</t>
        </is>
      </c>
      <c r="K1672" s="401" t="inlineStr">
        <is>
          <t>X</t>
        </is>
      </c>
      <c r="L1672" s="395" t="inlineStr">
        <is>
          <t>X</t>
        </is>
      </c>
      <c r="M1672" s="401" t="n"/>
      <c r="N1672" s="395" t="inlineStr">
        <is>
          <t>Done</t>
        </is>
      </c>
      <c r="O1672" s="401" t="n"/>
      <c r="P1672" s="395" t="n"/>
      <c r="S1672" s="395" t="n"/>
      <c r="U1672" s="386" t="n"/>
      <c r="V1672" s="395" t="n"/>
      <c r="W1672" s="395" t="n"/>
      <c r="X1672" s="395" t="n"/>
      <c r="Y1672" s="13" t="n"/>
      <c r="Z1672" s="395" t="n"/>
      <c r="AA1672" s="395" t="n"/>
      <c r="AB1672" s="395" t="n"/>
      <c r="AC1672" s="395" t="n"/>
      <c r="AD1672" s="395" t="n"/>
      <c r="AE1672" s="395" t="n"/>
    </row>
    <row r="1673" ht="70" customHeight="1" s="380">
      <c r="A1673" s="73" t="n">
        <v>84</v>
      </c>
      <c r="B1673" s="386" t="n"/>
      <c r="C1673" s="386" t="inlineStr">
        <is>
          <t>Báo cáo theo Thông tư 121/2020/TT-BTC &gt;&gt; Tình hình đầu tư, góp vốn vào tổ chức khác - II.11.Tổng CP, DA</t>
        </is>
      </c>
      <c r="D1673" s="386" t="inlineStr">
        <is>
          <t>Tên công ty chứng khoán</t>
        </is>
      </c>
      <c r="E1673" s="386" t="inlineStr">
        <is>
          <t>Tên công ty chứng khoán</t>
        </is>
      </c>
      <c r="F1673" s="386" t="inlineStr">
        <is>
          <t>Data Explorer</t>
        </is>
      </c>
      <c r="G1673" s="386" t="inlineStr">
        <is>
          <t>Chỉ tiêu cơ sở</t>
        </is>
      </c>
      <c r="H1673" s="386" t="inlineStr">
        <is>
          <t>Dễ</t>
        </is>
      </c>
      <c r="I1673" s="386" t="inlineStr">
        <is>
          <t>Ngày, CTCK</t>
        </is>
      </c>
      <c r="J1673" s="395" t="inlineStr">
        <is>
          <t>SCMS</t>
        </is>
      </c>
      <c r="K1673" s="395" t="n"/>
      <c r="L1673" s="395" t="inlineStr">
        <is>
          <t>X</t>
        </is>
      </c>
      <c r="M1673" s="395" t="n"/>
      <c r="N1673" s="395" t="inlineStr">
        <is>
          <t>Done</t>
        </is>
      </c>
      <c r="O1673" s="401" t="n"/>
      <c r="P1673" s="395" t="n"/>
      <c r="Q1673" s="428" t="inlineStr">
        <is>
          <t>SCMS.BC_THANH_VIEN
SCMS.BM_BAO_CAO
SCMS.BC_BAO_CAO_GT
SCMS.BM_BAO_CAO_HANG
SCMS.BM_BAO_CAO_COT
SCMS.CTCK_THONG_TIN</t>
        </is>
      </c>
      <c r="R1673" s="428" t="inlineStr">
        <is>
          <t>btv.ID,
btv.NGAY_SO_LIEU,
btv.BM_BAO_CAO_ID,
btv.CTCK_THONG_TIN_ID,
btv.TRANG_THAI,
btv2.XOA_DU_LIEU,
c.CTCK_THONG_TIN_ID,
bsh.ID,
bsh.MA_HANG,
bsc.TEN_COT,
bsc.BM_SHEET_ID,
gt.BC_THANH_VIEN_ID,
gt.BM_SHEET_HANG_ID,
gt.GIA_TRI,
bm.ID,
bm.MA_BAO_CAO</t>
        </is>
      </c>
      <c r="S1673" s="397" t="n"/>
      <c r="T1673" s="429"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gt_bctc.TEN_HANG LIKE N'%Vốn chủ sở hữu%' THEN CAST(gt_bctc.GIA_TRI AS VARCHAR2(4000)) END)  AS "Vốn chủ sở hữu (triệu đồng)",  -- Check lại
    MAX(CASE WHEN bsh.MA_HANG='1' THEN CAST(gt.GIA_TRI AS VARCHAR2(4000)) END) AS "Cổ phiếu_Giá trị đầu tư trong nước",
    MAX(CASE WHEN bsh.MA_HANG='2' THEN CAST(gt.GIA_TRI AS VARCHAR2(4000)) END) AS "Cổ phiếu_Giá trị đầu tư ra nước ngoài",
    MAX(CASE WHEN bsh.MA_HANG='3' THEN CAST(gt.GIA_TRI AS VARCHAR2(4000)) END) AS "Cổ phiếu_Tổng",
    MAX(CASE WHEN bsh.MA_HANG='1' THEN CAST(gt.GIA_TRI AS VARCHAR2(4000)) END) AS "Dự án kinh doanh/tổ chức khác_Giá trị đầu tư trong nước",  -- Check lại
    MAX(CASE WHEN bsh.MA_HANG='2' THEN CAST(gt.GIA_TRI AS VARCHAR2(4000)) END) AS "Dự án kinh doanh/tổ chức khác_Giá trị đầu tư ra nước ngoài",  -- Check lại
    MAX(CASE WHEN bsh.MA_HANG='3' THEN CAST(gt.GIA_TRI AS VARCHAR2(4000)) END) AS "Dự án kinh doanh/tổ chức khác_Tổng",  -- Check lại
    MAX(CASE WHEN bsh.MA_HANG='4' THEN CAST(gt.GIA_TRI AS VARCHAR2(4000)) END) AS "Tổng giá trị đầu tư vào cổ phiếu, dự án đầu tư",  -- Check lại
    MAX(CASE WHEN bsh.MA_HANG='7' THEN CAST(gt.GIA_TRI AS VARCHAR2(4000)) END) AS "Tỷ lệ đầu tư vào cố phiếu, phần vốn góp và dự án kinh doanh"   
FROM SCMS.BC_THANH_VIEN btv
JOIN SCMS.BM_BAO_CAO bm ON bm.ID = btv.BM_BAO_CAO_ID
JOIN SCMS.BC_BAO_CAO_GT gt ON gt.BC_THANH_VIEN_ID = btv.ID
JOIN SCMS.BM_BAO_CAO_HANG bsh ON bsh.ID = gt.BM_SHEET_HANG_ID
JOIN SCMS.BM_BAO_CAO_COT bsc ON bsc.BM_SHEET_ID = 7431
--                               AND bsc.TEN_COT = gt.TEN_COT
JOIN SCMS.CTCK_THONG_TIN c ON c.CTCK_THONG_TIN_ID = btv.CTCK_THONG_TIN_ID
-- BCTC năm:
LEFT JOIN SCMS.BC_THANH_VIEN btv2 ON btv2.CTCK_THONG_TIN_ID = btv.CTCK_THONG_TIN_ID
                                      AND btv2.TRANG_THAI IN (4, 6)
                                      AND btv2.XOA_DU_LIEU = 0
                                      AND TRUNC(btv2.NGAY_SO_LIEU) = ADD_MONTHS(TRUNC(btv.NGAY_SO_LIEU, 'YYYY'), 12) - 1
LEFT JOIN SCMS.BM_BAO_CAO bm2 ON bm2.ID = btv2.BM_BAO_CAO_ID
                                  AND bm2.MA_BAO_CAO LIKE '%BCTCRLCTCK%'   -- Xác nhận
LEFT JOIN SCMS.BC_BAO_CAO_GT gt_bctc ON gt_bctc.BC_THANH_VIEN_ID = btv2.ID
WHERE bm.MA_BAO_CAO LIKE 'BCTHHDKD%'
  AND btv.TRANG_THAI IN (2, 3)
GROUP BY
    btv.ID, btv.CTCK_THONG_TIN_ID, btv.NGAY_SO_LIEU, btv.TRANG_THAI,
    bm.MA_BAO_CAO,
    c.TEN_VIET_TAT, c.SAN_NIEM_YET, c.MA_CHUNG_KHOAN,
    c.GIAY_PHEP_KINH_DOANH, c.NGAY_CAP_GPKD
ORDER BY btv.NGAY_SO_LIEU DESC, c.TEN_VIET_TAT;</t>
        </is>
      </c>
      <c r="U1673" s="386" t="n"/>
      <c r="V1673" s="395" t="n"/>
      <c r="W1673" s="395" t="n"/>
      <c r="X1673" s="395" t="n"/>
      <c r="Y1673" s="13" t="n"/>
      <c r="Z1673" s="395" t="n"/>
      <c r="AA1673" s="395" t="n"/>
      <c r="AB1673" s="395" t="n"/>
      <c r="AC1673" s="395" t="n"/>
      <c r="AD1673" s="395" t="n"/>
      <c r="AE1673" s="395" t="n"/>
    </row>
    <row r="1674" ht="70" customHeight="1" s="380">
      <c r="A1674" s="73" t="n">
        <v>84</v>
      </c>
      <c r="B1674" s="386" t="n"/>
      <c r="C1674" s="386" t="inlineStr">
        <is>
          <t>Báo cáo theo Thông tư 121/2020/TT-BTC &gt;&gt; Tình hình đầu tư, góp vốn vào tổ chức khác - II.11.Tổng CP, DA</t>
        </is>
      </c>
      <c r="D1674" s="386" t="inlineStr">
        <is>
          <t>Sàn giao dịch</t>
        </is>
      </c>
      <c r="E1674" s="386" t="inlineStr">
        <is>
          <t>Sàn giao dịch</t>
        </is>
      </c>
      <c r="F1674" s="386" t="inlineStr">
        <is>
          <t>Data Explorer</t>
        </is>
      </c>
      <c r="G1674" s="386" t="inlineStr">
        <is>
          <t>Chỉ tiêu cơ sở</t>
        </is>
      </c>
      <c r="H1674" s="386" t="inlineStr">
        <is>
          <t>Dễ</t>
        </is>
      </c>
      <c r="I1674" s="386" t="inlineStr">
        <is>
          <t>Ngày, CTCK</t>
        </is>
      </c>
      <c r="J1674" s="395" t="inlineStr">
        <is>
          <t>SCMS</t>
        </is>
      </c>
      <c r="K1674" s="395" t="n"/>
      <c r="L1674" s="395" t="inlineStr">
        <is>
          <t>X</t>
        </is>
      </c>
      <c r="M1674" s="395" t="n"/>
      <c r="N1674" s="395" t="inlineStr">
        <is>
          <t>Done</t>
        </is>
      </c>
      <c r="O1674" s="401" t="n"/>
      <c r="P1674" s="395" t="n"/>
      <c r="S1674" s="397" t="n"/>
      <c r="U1674" s="386" t="n"/>
      <c r="V1674" s="395" t="n"/>
      <c r="W1674" s="395" t="n"/>
      <c r="X1674" s="395" t="n"/>
      <c r="Y1674" s="13" t="n"/>
      <c r="Z1674" s="395" t="n"/>
      <c r="AA1674" s="395" t="n"/>
      <c r="AB1674" s="395" t="n"/>
      <c r="AC1674" s="395" t="n"/>
      <c r="AD1674" s="395" t="n"/>
      <c r="AE1674" s="395" t="n"/>
    </row>
    <row r="1675" ht="70" customHeight="1" s="380">
      <c r="A1675" s="73" t="n">
        <v>84</v>
      </c>
      <c r="B1675" s="386" t="n"/>
      <c r="C1675" s="386" t="inlineStr">
        <is>
          <t>Báo cáo theo Thông tư 121/2020/TT-BTC &gt;&gt; Tình hình đầu tư, góp vốn vào tổ chức khác - II.11.Tổng CP, DA</t>
        </is>
      </c>
      <c r="D1675" s="386" t="inlineStr">
        <is>
          <t>Mã chứng khoán</t>
        </is>
      </c>
      <c r="E1675" s="386" t="inlineStr">
        <is>
          <t>Mã chứng khoán</t>
        </is>
      </c>
      <c r="F1675" s="386" t="inlineStr">
        <is>
          <t>Data Explorer</t>
        </is>
      </c>
      <c r="G1675" s="386" t="inlineStr">
        <is>
          <t>Chỉ tiêu cơ sở</t>
        </is>
      </c>
      <c r="H1675" s="386" t="inlineStr">
        <is>
          <t>Dễ</t>
        </is>
      </c>
      <c r="I1675" s="386" t="inlineStr">
        <is>
          <t>Ngày, CTCK</t>
        </is>
      </c>
      <c r="J1675" s="395" t="inlineStr">
        <is>
          <t>SCMS</t>
        </is>
      </c>
      <c r="K1675" s="395" t="n"/>
      <c r="L1675" s="395" t="inlineStr">
        <is>
          <t>X</t>
        </is>
      </c>
      <c r="M1675" s="395" t="n"/>
      <c r="N1675" s="395" t="inlineStr">
        <is>
          <t>Done</t>
        </is>
      </c>
      <c r="O1675" s="401" t="n"/>
      <c r="P1675" s="395" t="n"/>
      <c r="S1675" s="397" t="n"/>
      <c r="U1675" s="386" t="n"/>
      <c r="V1675" s="395" t="n"/>
      <c r="W1675" s="395" t="n"/>
      <c r="X1675" s="395" t="n"/>
      <c r="Y1675" s="13" t="n"/>
      <c r="Z1675" s="395" t="n"/>
      <c r="AA1675" s="395" t="n"/>
      <c r="AB1675" s="395" t="n"/>
      <c r="AC1675" s="395" t="n"/>
      <c r="AD1675" s="395" t="n"/>
      <c r="AE1675" s="395" t="n"/>
    </row>
    <row r="1676" ht="70" customHeight="1" s="380">
      <c r="A1676" s="73" t="n">
        <v>84</v>
      </c>
      <c r="B1676" s="386" t="n"/>
      <c r="C1676" s="386" t="inlineStr">
        <is>
          <t>Báo cáo theo Thông tư 121/2020/TT-BTC &gt;&gt; Tình hình đầu tư, góp vốn vào tổ chức khác - II.11.Tổng CP, DA</t>
        </is>
      </c>
      <c r="D1676" s="386" t="inlineStr">
        <is>
          <t>Giấy phép &gt;&gt; Số</t>
        </is>
      </c>
      <c r="E1676" s="386" t="inlineStr">
        <is>
          <t>Giấy phép &gt;&gt; Số</t>
        </is>
      </c>
      <c r="F1676" s="386" t="inlineStr">
        <is>
          <t>Data Explorer</t>
        </is>
      </c>
      <c r="G1676" s="386" t="inlineStr">
        <is>
          <t>Chỉ tiêu cơ sở</t>
        </is>
      </c>
      <c r="H1676" s="386" t="inlineStr">
        <is>
          <t>Dễ</t>
        </is>
      </c>
      <c r="I1676" s="386" t="inlineStr">
        <is>
          <t>Ngày, CTCK</t>
        </is>
      </c>
      <c r="J1676" s="395" t="inlineStr">
        <is>
          <t>SCMS</t>
        </is>
      </c>
      <c r="K1676" s="395" t="n"/>
      <c r="L1676" s="395" t="inlineStr">
        <is>
          <t>X</t>
        </is>
      </c>
      <c r="M1676" s="395" t="n"/>
      <c r="N1676" s="395" t="inlineStr">
        <is>
          <t>Done</t>
        </is>
      </c>
      <c r="O1676" s="401" t="n"/>
      <c r="P1676" s="395" t="n"/>
      <c r="S1676" s="397" t="n"/>
      <c r="U1676" s="386" t="n"/>
      <c r="V1676" s="395" t="n"/>
      <c r="W1676" s="395" t="n"/>
      <c r="X1676" s="395" t="n"/>
      <c r="Y1676" s="13" t="n"/>
      <c r="Z1676" s="395" t="n"/>
      <c r="AA1676" s="395" t="n"/>
      <c r="AB1676" s="395" t="n"/>
      <c r="AC1676" s="395" t="n"/>
      <c r="AD1676" s="395" t="n"/>
      <c r="AE1676" s="395" t="n"/>
    </row>
    <row r="1677" ht="70" customHeight="1" s="380">
      <c r="A1677" s="73" t="n">
        <v>84</v>
      </c>
      <c r="B1677" s="386" t="n"/>
      <c r="C1677" s="386" t="inlineStr">
        <is>
          <t>Báo cáo theo Thông tư 121/2020/TT-BTC &gt;&gt; Tình hình đầu tư, góp vốn vào tổ chức khác - II.11.Tổng CP, DA</t>
        </is>
      </c>
      <c r="D1677" s="386" t="inlineStr">
        <is>
          <t>Giấy phép &gt;&gt; Ngày cấp
(Ngày/tháng/năm)</t>
        </is>
      </c>
      <c r="E1677" s="386" t="inlineStr">
        <is>
          <t>Giấy phép &gt;&gt; Ngày cấp
(Ngày/tháng/năm)</t>
        </is>
      </c>
      <c r="F1677" s="386" t="inlineStr">
        <is>
          <t>Data Explorer</t>
        </is>
      </c>
      <c r="G1677" s="386" t="inlineStr">
        <is>
          <t>Chỉ tiêu cơ sở</t>
        </is>
      </c>
      <c r="H1677" s="386" t="inlineStr">
        <is>
          <t>Dễ</t>
        </is>
      </c>
      <c r="I1677" s="386" t="inlineStr">
        <is>
          <t>Ngày, CTCK</t>
        </is>
      </c>
      <c r="J1677" s="395" t="inlineStr">
        <is>
          <t>SCMS</t>
        </is>
      </c>
      <c r="K1677" s="395" t="n"/>
      <c r="L1677" s="395" t="inlineStr">
        <is>
          <t>X</t>
        </is>
      </c>
      <c r="M1677" s="395" t="n"/>
      <c r="N1677" s="395" t="inlineStr">
        <is>
          <t>Done</t>
        </is>
      </c>
      <c r="O1677" s="401" t="n"/>
      <c r="P1677" s="395" t="n"/>
      <c r="S1677" s="397" t="n"/>
      <c r="U1677" s="386" t="n"/>
      <c r="V1677" s="395" t="n"/>
      <c r="W1677" s="395" t="n"/>
      <c r="X1677" s="395" t="n"/>
      <c r="Y1677" s="13" t="n"/>
      <c r="Z1677" s="395" t="n"/>
      <c r="AA1677" s="395" t="n"/>
      <c r="AB1677" s="395" t="n"/>
      <c r="AC1677" s="395" t="n"/>
      <c r="AD1677" s="395" t="n"/>
      <c r="AE1677" s="395" t="n"/>
    </row>
    <row r="1678" ht="70" customHeight="1" s="380">
      <c r="A1678" s="73" t="n">
        <v>84</v>
      </c>
      <c r="B1678" s="386" t="n"/>
      <c r="C1678" s="386" t="inlineStr">
        <is>
          <t>Báo cáo theo Thông tư 121/2020/TT-BTC &gt;&gt; Tình hình đầu tư, góp vốn vào tổ chức khác - II.11.Tổng CP, DA</t>
        </is>
      </c>
      <c r="D1678" s="386" t="inlineStr">
        <is>
          <t>Vốn chủ sở hữu
(triệu đồng)</t>
        </is>
      </c>
      <c r="E1678" s="395" t="inlineStr">
        <is>
          <t>Vốn chủ sở hữu
(triệu đồng)</t>
        </is>
      </c>
      <c r="F1678" s="386" t="inlineStr">
        <is>
          <t>Data Explorer</t>
        </is>
      </c>
      <c r="G1678" s="386" t="inlineStr">
        <is>
          <t>Chỉ tiêu cơ sở</t>
        </is>
      </c>
      <c r="H1678" s="386" t="inlineStr">
        <is>
          <t>Dễ</t>
        </is>
      </c>
      <c r="I1678" s="386" t="inlineStr">
        <is>
          <t>Ngày, CTCK</t>
        </is>
      </c>
      <c r="J1678" s="395" t="inlineStr">
        <is>
          <t>SCMS</t>
        </is>
      </c>
      <c r="K1678" s="395" t="n"/>
      <c r="L1678" s="395" t="inlineStr">
        <is>
          <t>X</t>
        </is>
      </c>
      <c r="M1678" s="395" t="n"/>
      <c r="N1678" s="395" t="inlineStr">
        <is>
          <t>Done</t>
        </is>
      </c>
      <c r="O1678" s="401" t="n"/>
      <c r="P1678" s="395" t="n"/>
      <c r="S1678" s="397" t="n"/>
      <c r="U1678" s="386" t="n"/>
      <c r="V1678" s="395" t="n"/>
      <c r="W1678" s="395" t="n"/>
      <c r="X1678" s="395" t="n"/>
      <c r="Y1678" s="13" t="n"/>
      <c r="Z1678" s="395" t="n"/>
      <c r="AA1678" s="395" t="n"/>
      <c r="AB1678" s="395" t="n"/>
      <c r="AC1678" s="395" t="n"/>
      <c r="AD1678" s="395" t="n"/>
      <c r="AE1678" s="395" t="n"/>
    </row>
    <row r="1679" ht="70" customHeight="1" s="380">
      <c r="A1679" s="73" t="n">
        <v>84</v>
      </c>
      <c r="B1679" s="386" t="n"/>
      <c r="C1679" s="386" t="inlineStr">
        <is>
          <t>Báo cáo theo Thông tư 121/2020/TT-BTC &gt;&gt; Tình hình đầu tư, góp vốn vào tổ chức khác - II.11.Tổng CP, DA</t>
        </is>
      </c>
      <c r="D1679" s="386" t="inlineStr">
        <is>
          <t>Cổ phiếu &gt;&gt; Giá trị đầu tư trong nước</t>
        </is>
      </c>
      <c r="E1679" s="395" t="inlineStr">
        <is>
          <t>Cổ phiếu &gt;&gt; Giá trị đầu tư trong nước</t>
        </is>
      </c>
      <c r="F1679" s="386" t="inlineStr">
        <is>
          <t>Data Explorer</t>
        </is>
      </c>
      <c r="G1679" s="386" t="inlineStr">
        <is>
          <t>Chỉ tiêu cơ sở</t>
        </is>
      </c>
      <c r="H1679" s="386" t="inlineStr">
        <is>
          <t>TB</t>
        </is>
      </c>
      <c r="I1679" s="386" t="inlineStr">
        <is>
          <t>Ngày, CTCK</t>
        </is>
      </c>
      <c r="J1679" s="395" t="inlineStr">
        <is>
          <t>SCMS</t>
        </is>
      </c>
      <c r="K1679" s="395" t="n"/>
      <c r="L1679" s="395" t="inlineStr">
        <is>
          <t>X</t>
        </is>
      </c>
      <c r="M1679" s="395" t="n"/>
      <c r="N1679" s="395" t="inlineStr">
        <is>
          <t>Done</t>
        </is>
      </c>
      <c r="O1679" s="401" t="n"/>
      <c r="P1679" s="395" t="n"/>
      <c r="S1679" s="397" t="n"/>
      <c r="U1679" s="386" t="n"/>
      <c r="V1679" s="395" t="n"/>
      <c r="W1679" s="395" t="n"/>
      <c r="X1679" s="395" t="n"/>
      <c r="Y1679" s="13" t="n"/>
      <c r="Z1679" s="395" t="n"/>
      <c r="AA1679" s="395" t="n"/>
      <c r="AB1679" s="395" t="n"/>
      <c r="AC1679" s="395" t="n"/>
      <c r="AD1679" s="395" t="n"/>
      <c r="AE1679" s="395" t="n"/>
    </row>
    <row r="1680" ht="70" customHeight="1" s="380">
      <c r="A1680" s="73" t="n">
        <v>84</v>
      </c>
      <c r="B1680" s="386" t="n"/>
      <c r="C1680" s="386" t="inlineStr">
        <is>
          <t>Báo cáo theo Thông tư 121/2020/TT-BTC &gt;&gt; Tình hình đầu tư, góp vốn vào tổ chức khác - II.11.Tổng CP, DA</t>
        </is>
      </c>
      <c r="D1680" s="386" t="inlineStr">
        <is>
          <t>Cổ phiếu &gt;&gt; Giá trị đầu tư ra nước ngoài</t>
        </is>
      </c>
      <c r="E1680" s="395" t="inlineStr">
        <is>
          <t>Cổ phiếu &gt;&gt; Giá trị đầu tư ra nước ngoài</t>
        </is>
      </c>
      <c r="F1680" s="386" t="inlineStr">
        <is>
          <t>Data Explorer</t>
        </is>
      </c>
      <c r="G1680" s="386" t="inlineStr">
        <is>
          <t>Chỉ tiêu cơ sở</t>
        </is>
      </c>
      <c r="H1680" s="386" t="inlineStr">
        <is>
          <t>TB</t>
        </is>
      </c>
      <c r="I1680" s="386" t="inlineStr">
        <is>
          <t>Ngày, CTCK</t>
        </is>
      </c>
      <c r="J1680" s="395" t="inlineStr">
        <is>
          <t>SCMS</t>
        </is>
      </c>
      <c r="K1680" s="395" t="n"/>
      <c r="L1680" s="395" t="inlineStr">
        <is>
          <t>X</t>
        </is>
      </c>
      <c r="M1680" s="395" t="n"/>
      <c r="N1680" s="395" t="inlineStr">
        <is>
          <t>Done</t>
        </is>
      </c>
      <c r="O1680" s="401" t="n"/>
      <c r="P1680" s="395" t="n"/>
      <c r="S1680" s="397" t="n"/>
      <c r="U1680" s="386" t="n"/>
      <c r="V1680" s="395" t="n"/>
      <c r="W1680" s="395" t="n"/>
      <c r="X1680" s="395" t="n"/>
      <c r="Y1680" s="38" t="n"/>
      <c r="Z1680" s="395" t="n"/>
      <c r="AA1680" s="395" t="n"/>
      <c r="AB1680" s="395" t="n"/>
      <c r="AC1680" s="395" t="n"/>
      <c r="AD1680" s="395" t="n"/>
      <c r="AE1680" s="395" t="n"/>
    </row>
    <row r="1681" ht="70" customHeight="1" s="380">
      <c r="A1681" s="73" t="n">
        <v>84</v>
      </c>
      <c r="B1681" s="386" t="n"/>
      <c r="C1681" s="386" t="inlineStr">
        <is>
          <t>Báo cáo theo Thông tư 121/2020/TT-BTC &gt;&gt; Tình hình đầu tư, góp vốn vào tổ chức khác - II.11.Tổng CP, DA</t>
        </is>
      </c>
      <c r="D1681" s="386" t="inlineStr">
        <is>
          <t>Cổ phiếu &gt;&gt; Tổng</t>
        </is>
      </c>
      <c r="E1681" s="395" t="inlineStr">
        <is>
          <t>Cổ phiếu &gt;&gt; Tổng</t>
        </is>
      </c>
      <c r="F1681" s="386" t="inlineStr">
        <is>
          <t>Data Explorer</t>
        </is>
      </c>
      <c r="G1681" s="386" t="inlineStr">
        <is>
          <t>Chỉ tiêu cơ sở</t>
        </is>
      </c>
      <c r="H1681" s="386" t="inlineStr">
        <is>
          <t>TB</t>
        </is>
      </c>
      <c r="I1681" s="386" t="inlineStr">
        <is>
          <t>Ngày, CTCK</t>
        </is>
      </c>
      <c r="J1681" s="395" t="inlineStr">
        <is>
          <t>SCMS</t>
        </is>
      </c>
      <c r="K1681" s="395" t="n"/>
      <c r="L1681" s="395" t="inlineStr">
        <is>
          <t>X</t>
        </is>
      </c>
      <c r="M1681" s="395" t="n"/>
      <c r="N1681" s="395" t="inlineStr">
        <is>
          <t>Done</t>
        </is>
      </c>
      <c r="O1681" s="401" t="n"/>
      <c r="P1681" s="395" t="n"/>
      <c r="S1681" s="397" t="n"/>
      <c r="U1681" s="386" t="n"/>
      <c r="V1681" s="395" t="n"/>
      <c r="W1681" s="395" t="n"/>
      <c r="X1681" s="395" t="n"/>
      <c r="Y1681" s="13" t="n"/>
      <c r="Z1681" s="395" t="n"/>
      <c r="AA1681" s="395" t="n"/>
      <c r="AB1681" s="395" t="n"/>
      <c r="AC1681" s="395" t="n"/>
      <c r="AD1681" s="395" t="n"/>
      <c r="AE1681" s="395" t="n"/>
    </row>
    <row r="1682" ht="70" customHeight="1" s="380">
      <c r="A1682" s="73" t="n">
        <v>84</v>
      </c>
      <c r="B1682" s="386" t="n"/>
      <c r="C1682" s="386" t="inlineStr">
        <is>
          <t>Báo cáo theo Thông tư 121/2020/TT-BTC &gt;&gt; Tình hình đầu tư, góp vốn vào tổ chức khác - II.11.Tổng CP, DA</t>
        </is>
      </c>
      <c r="D1682" s="386" t="inlineStr">
        <is>
          <t>Dự án kinh doanh/tổ chức khác &gt;&gt; Giá trị đầu tư trong nước</t>
        </is>
      </c>
      <c r="E1682" s="386" t="inlineStr">
        <is>
          <t>Dự án kinh doanh/tổ chức khác &gt;&gt; Giá trị đầu tư trong nước</t>
        </is>
      </c>
      <c r="F1682" s="386" t="inlineStr">
        <is>
          <t>Data Explorer</t>
        </is>
      </c>
      <c r="G1682" s="386" t="inlineStr">
        <is>
          <t>Chỉ tiêu cơ sở</t>
        </is>
      </c>
      <c r="H1682" s="386" t="inlineStr">
        <is>
          <t>TB</t>
        </is>
      </c>
      <c r="I1682" s="386" t="inlineStr">
        <is>
          <t>Ngày, CTCK</t>
        </is>
      </c>
      <c r="J1682" s="395" t="inlineStr">
        <is>
          <t>SCMS</t>
        </is>
      </c>
      <c r="K1682" s="395" t="n"/>
      <c r="L1682" s="395" t="inlineStr">
        <is>
          <t>X</t>
        </is>
      </c>
      <c r="M1682" s="395" t="n"/>
      <c r="N1682" s="395" t="inlineStr">
        <is>
          <t>Done</t>
        </is>
      </c>
      <c r="O1682" s="401" t="n"/>
      <c r="P1682" s="395" t="n"/>
      <c r="S1682" s="397" t="n"/>
      <c r="U1682" s="386" t="n"/>
      <c r="V1682" s="395" t="n"/>
      <c r="W1682" s="395" t="n"/>
      <c r="X1682" s="395" t="n"/>
      <c r="Y1682" s="13" t="n"/>
      <c r="Z1682" s="395" t="n"/>
      <c r="AA1682" s="395" t="n"/>
      <c r="AB1682" s="395" t="n"/>
      <c r="AC1682" s="395" t="n"/>
      <c r="AD1682" s="395" t="n"/>
      <c r="AE1682" s="395" t="n"/>
    </row>
    <row r="1683" ht="70" customHeight="1" s="380">
      <c r="A1683" s="73" t="n">
        <v>84</v>
      </c>
      <c r="B1683" s="386" t="n"/>
      <c r="C1683" s="386" t="inlineStr">
        <is>
          <t>Báo cáo theo Thông tư 121/2020/TT-BTC &gt;&gt; Tình hình đầu tư, góp vốn vào tổ chức khác - II.11.Tổng CP, DA</t>
        </is>
      </c>
      <c r="D1683" s="386" t="inlineStr">
        <is>
          <t>Dự án kinh doanh/tổ chức khác &gt;&gt; Giá trị đầu tư ra nước ngoài</t>
        </is>
      </c>
      <c r="E1683" s="386" t="inlineStr">
        <is>
          <t>Dự án kinh doanh/tổ chức khác &gt;&gt; Giá trị đầu tư ra nước ngoài</t>
        </is>
      </c>
      <c r="F1683" s="386" t="inlineStr">
        <is>
          <t>Data Explorer</t>
        </is>
      </c>
      <c r="G1683" s="386" t="inlineStr">
        <is>
          <t>Chỉ tiêu cơ sở</t>
        </is>
      </c>
      <c r="H1683" s="386" t="inlineStr">
        <is>
          <t>TB</t>
        </is>
      </c>
      <c r="I1683" s="386" t="inlineStr">
        <is>
          <t>Ngày, CTCK</t>
        </is>
      </c>
      <c r="J1683" s="395" t="inlineStr">
        <is>
          <t>SCMS</t>
        </is>
      </c>
      <c r="K1683" s="395" t="n"/>
      <c r="L1683" s="395" t="inlineStr">
        <is>
          <t>X</t>
        </is>
      </c>
      <c r="M1683" s="395" t="n"/>
      <c r="N1683" s="395" t="inlineStr">
        <is>
          <t>Done</t>
        </is>
      </c>
      <c r="O1683" s="401" t="n"/>
      <c r="P1683" s="395" t="n"/>
      <c r="S1683" s="397" t="n"/>
      <c r="U1683" s="386" t="n"/>
      <c r="V1683" s="395" t="n"/>
      <c r="W1683" s="395" t="n"/>
      <c r="X1683" s="395" t="n"/>
      <c r="Y1683" s="13" t="n"/>
      <c r="Z1683" s="395" t="n"/>
      <c r="AA1683" s="395" t="n"/>
      <c r="AB1683" s="395" t="n"/>
      <c r="AC1683" s="395" t="n"/>
      <c r="AD1683" s="395" t="n"/>
      <c r="AE1683" s="395" t="n"/>
    </row>
    <row r="1684" ht="70" customHeight="1" s="380">
      <c r="A1684" s="73" t="n">
        <v>84</v>
      </c>
      <c r="B1684" s="386" t="n"/>
      <c r="C1684" s="386" t="inlineStr">
        <is>
          <t>Báo cáo theo Thông tư 121/2020/TT-BTC &gt;&gt; Tình hình đầu tư, góp vốn vào tổ chức khác - II.11.Tổng CP, DA</t>
        </is>
      </c>
      <c r="D1684" s="386" t="inlineStr">
        <is>
          <t>Dự án kinh doanh/tổ chức khác &gt;&gt; Tổng</t>
        </is>
      </c>
      <c r="E1684" s="386" t="inlineStr">
        <is>
          <t>Dự án kinh doanh/tổ chức khác &gt;&gt; Tổng</t>
        </is>
      </c>
      <c r="F1684" s="386" t="inlineStr">
        <is>
          <t>Data Explorer</t>
        </is>
      </c>
      <c r="G1684" s="386" t="inlineStr">
        <is>
          <t>Chỉ tiêu cơ sở</t>
        </is>
      </c>
      <c r="H1684" s="386" t="inlineStr">
        <is>
          <t>TB</t>
        </is>
      </c>
      <c r="I1684" s="386" t="inlineStr">
        <is>
          <t>Ngày, CTCK</t>
        </is>
      </c>
      <c r="J1684" s="395" t="inlineStr">
        <is>
          <t>SCMS</t>
        </is>
      </c>
      <c r="K1684" s="395" t="n"/>
      <c r="L1684" s="395" t="inlineStr">
        <is>
          <t>X</t>
        </is>
      </c>
      <c r="M1684" s="395" t="n"/>
      <c r="N1684" s="395" t="inlineStr">
        <is>
          <t>Done</t>
        </is>
      </c>
      <c r="O1684" s="401" t="n"/>
      <c r="P1684" s="395" t="n"/>
      <c r="S1684" s="397" t="n"/>
      <c r="U1684" s="386" t="n"/>
      <c r="V1684" s="395" t="n"/>
      <c r="W1684" s="395" t="n"/>
      <c r="X1684" s="395" t="n"/>
      <c r="Y1684" s="13" t="n"/>
      <c r="Z1684" s="395" t="n"/>
      <c r="AA1684" s="395" t="n"/>
      <c r="AB1684" s="395" t="n"/>
      <c r="AC1684" s="395" t="n"/>
      <c r="AD1684" s="395" t="n"/>
      <c r="AE1684" s="395" t="n"/>
    </row>
    <row r="1685" ht="70" customHeight="1" s="380">
      <c r="A1685" s="73" t="n">
        <v>84</v>
      </c>
      <c r="B1685" s="386" t="n"/>
      <c r="C1685" s="386" t="inlineStr">
        <is>
          <t>Báo cáo theo Thông tư 121/2020/TT-BTC &gt;&gt; Tình hình đầu tư, góp vốn vào tổ chức khác - II.11.Tổng CP, DA</t>
        </is>
      </c>
      <c r="D1685" s="386" t="inlineStr">
        <is>
          <t>Tổng giá trị đầu tư vào cổ phiếu, dự án đầu tư (trong và ngoài nước)</t>
        </is>
      </c>
      <c r="E1685" s="386" t="inlineStr">
        <is>
          <t>Tổng giá trị đầu tư vào cổ phiếu, dự án đầu tư (trong và ngoài nước)</t>
        </is>
      </c>
      <c r="F1685" s="386" t="inlineStr">
        <is>
          <t>Data Explorer</t>
        </is>
      </c>
      <c r="G1685" s="386" t="inlineStr">
        <is>
          <t>Chỉ tiêu cơ sở</t>
        </is>
      </c>
      <c r="H1685" s="386" t="inlineStr">
        <is>
          <t>TB</t>
        </is>
      </c>
      <c r="I1685" s="386" t="inlineStr">
        <is>
          <t>Ngày, CTCK</t>
        </is>
      </c>
      <c r="J1685" s="395" t="inlineStr">
        <is>
          <t>SCMS</t>
        </is>
      </c>
      <c r="K1685" s="395" t="n"/>
      <c r="L1685" s="395" t="inlineStr">
        <is>
          <t>X</t>
        </is>
      </c>
      <c r="M1685" s="395" t="n"/>
      <c r="N1685" s="395" t="inlineStr">
        <is>
          <t>Done</t>
        </is>
      </c>
      <c r="O1685" s="401" t="n"/>
      <c r="P1685" s="395" t="n"/>
      <c r="S1685" s="397" t="n"/>
      <c r="U1685" s="386" t="n"/>
      <c r="V1685" s="395" t="n"/>
      <c r="W1685" s="395" t="n"/>
      <c r="X1685" s="395" t="n"/>
      <c r="Y1685" s="13" t="n"/>
      <c r="Z1685" s="395" t="n"/>
      <c r="AA1685" s="395" t="n"/>
      <c r="AB1685" s="395" t="n"/>
      <c r="AC1685" s="395" t="n"/>
      <c r="AD1685" s="395" t="n"/>
      <c r="AE1685" s="395" t="n"/>
    </row>
    <row r="1686" ht="70" customHeight="1" s="380">
      <c r="A1686" s="83" t="n">
        <v>84</v>
      </c>
      <c r="B1686" s="68" t="n"/>
      <c r="C1686" s="68" t="inlineStr">
        <is>
          <t>Báo cáo theo Thông tư 121/2020/TT-BTC &gt;&gt; Tình hình đầu tư, góp vốn vào tổ chức khác - II.11.Tổng CP, DA</t>
        </is>
      </c>
      <c r="D1686" s="68" t="inlineStr">
        <is>
          <t>Tỷ lệ đầu tư vào cổ phiếu, phần vốn góp và dự án kinh doanh</t>
        </is>
      </c>
      <c r="E1686" s="68" t="inlineStr">
        <is>
          <t>Tỷ lệ đầu tư vào cổ phiếu, phần vốn góp và dự án kinh doanh</t>
        </is>
      </c>
      <c r="F1686" s="68" t="inlineStr">
        <is>
          <t>Data Explorer</t>
        </is>
      </c>
      <c r="G1686" s="68" t="inlineStr">
        <is>
          <t>Chỉ tiêu cơ sở</t>
        </is>
      </c>
      <c r="H1686" s="68" t="inlineStr">
        <is>
          <t>TB</t>
        </is>
      </c>
      <c r="I1686" s="68" t="inlineStr">
        <is>
          <t>Ngày, CTCK</t>
        </is>
      </c>
      <c r="J1686" s="69" t="inlineStr">
        <is>
          <t>SCMS</t>
        </is>
      </c>
      <c r="K1686" s="69" t="n"/>
      <c r="L1686" s="69" t="inlineStr">
        <is>
          <t>X</t>
        </is>
      </c>
      <c r="M1686" s="69" t="n"/>
      <c r="N1686" s="69" t="inlineStr">
        <is>
          <t>Done</t>
        </is>
      </c>
      <c r="O1686" s="85" t="n"/>
      <c r="P1686" s="69" t="n"/>
      <c r="Q1686" s="426" t="n"/>
      <c r="R1686" s="426" t="n"/>
      <c r="S1686" s="86" t="n"/>
      <c r="T1686" s="426" t="n"/>
      <c r="U1686" s="68" t="n"/>
      <c r="V1686" s="69" t="n"/>
      <c r="W1686" s="69" t="n"/>
      <c r="X1686" s="69" t="n"/>
      <c r="Y1686" s="14" t="n"/>
      <c r="Z1686" s="69" t="n"/>
      <c r="AA1686" s="69" t="n"/>
      <c r="AB1686" s="69" t="n"/>
      <c r="AC1686" s="69" t="n"/>
      <c r="AD1686" s="69" t="n"/>
      <c r="AE1686" s="69" t="n"/>
    </row>
    <row r="1687" ht="70" customHeight="1" s="380">
      <c r="A1687" s="73" t="n">
        <v>85</v>
      </c>
      <c r="B1687" s="122" t="inlineStr">
        <is>
          <t>Nga</t>
        </is>
      </c>
      <c r="C1687" s="81" t="inlineStr">
        <is>
          <t>Báo cáo theo Thông tư 121/2020/TT-BTC &gt;&gt; Tình hình đầu tư, góp vốn vào tổ chức khác - II.11.1.CP trong nước</t>
        </is>
      </c>
      <c r="D1687" s="106" t="inlineStr">
        <is>
          <t>Loại báo cáo</t>
        </is>
      </c>
      <c r="E1687" s="107" t="inlineStr">
        <is>
          <t>Loại báo cáo</t>
        </is>
      </c>
      <c r="F1687" s="390" t="inlineStr">
        <is>
          <t>Data Explorer</t>
        </is>
      </c>
      <c r="G1687" s="390" t="inlineStr">
        <is>
          <t>Chiều</t>
        </is>
      </c>
      <c r="H1687" s="390" t="inlineStr">
        <is>
          <t>Dễ</t>
        </is>
      </c>
      <c r="I1687" s="390" t="inlineStr">
        <is>
          <t>Ngày, CTCK</t>
        </is>
      </c>
      <c r="J1687" s="401" t="inlineStr">
        <is>
          <t>SCMS</t>
        </is>
      </c>
      <c r="K1687" s="401" t="inlineStr">
        <is>
          <t>X</t>
        </is>
      </c>
      <c r="L1687" s="395" t="inlineStr">
        <is>
          <t>X</t>
        </is>
      </c>
      <c r="M1687" s="401" t="n"/>
      <c r="N1687" s="395" t="inlineStr">
        <is>
          <t>Done</t>
        </is>
      </c>
      <c r="O1687" s="401" t="n"/>
      <c r="P1687" s="395" t="n"/>
      <c r="Q1687" s="404" t="inlineStr">
        <is>
          <t>SCMS.BM_BAO_CAO
SCMS.BM_BAO_CAO_DINH_KY</t>
        </is>
      </c>
      <c r="R1687" s="404" t="inlineStr">
        <is>
          <t>bm.ID,
bm.MA_BAO_CAO,
bm.LOAI_BAO_CAO,
bm.TEN_BAO_CAO,
bm.SU_DUNG,
bdk.BM_BAO_CAO_ID,
bdk.KY_BAO_CAO,
bdk.SU_DUNG</t>
        </is>
      </c>
      <c r="S1687" s="395" t="n"/>
      <c r="T1687"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687" s="386" t="n"/>
      <c r="V1687" s="395" t="n"/>
      <c r="W1687" s="395" t="n"/>
      <c r="X1687" s="395" t="n"/>
      <c r="Y1687" s="13" t="n"/>
      <c r="Z1687" s="395" t="n"/>
      <c r="AA1687" s="395" t="n"/>
      <c r="AB1687" s="395" t="n"/>
      <c r="AC1687" s="395" t="n"/>
      <c r="AD1687" s="395" t="n"/>
      <c r="AE1687" s="395" t="n"/>
    </row>
    <row r="1688" ht="70" customHeight="1" s="380">
      <c r="A1688" s="73" t="n">
        <v>85</v>
      </c>
      <c r="B1688" s="386" t="n"/>
      <c r="C1688" s="386" t="inlineStr">
        <is>
          <t>Báo cáo theo Thông tư 121/2020/TT-BTC &gt;&gt; Tình hình đầu tư, góp vốn vào tổ chức khác - II.11.1.CP trong nước</t>
        </is>
      </c>
      <c r="D1688" s="106" t="inlineStr">
        <is>
          <t>Kỳ báo cáo</t>
        </is>
      </c>
      <c r="E1688" s="107" t="inlineStr">
        <is>
          <t>Kỳ báo cáo</t>
        </is>
      </c>
      <c r="F1688" s="390" t="inlineStr">
        <is>
          <t>Data Explorer</t>
        </is>
      </c>
      <c r="G1688" s="390" t="inlineStr">
        <is>
          <t>Chiều</t>
        </is>
      </c>
      <c r="H1688" s="390" t="inlineStr">
        <is>
          <t>Dễ</t>
        </is>
      </c>
      <c r="I1688" s="390" t="inlineStr">
        <is>
          <t>Ngày, CTCK</t>
        </is>
      </c>
      <c r="J1688" s="401" t="inlineStr">
        <is>
          <t>SCMS</t>
        </is>
      </c>
      <c r="K1688" s="401" t="inlineStr">
        <is>
          <t>X</t>
        </is>
      </c>
      <c r="L1688" s="395" t="inlineStr">
        <is>
          <t>X</t>
        </is>
      </c>
      <c r="M1688" s="401" t="n"/>
      <c r="N1688" s="395" t="inlineStr">
        <is>
          <t>Done</t>
        </is>
      </c>
      <c r="O1688" s="401" t="n"/>
      <c r="P1688" s="395" t="n"/>
      <c r="S1688" s="395" t="n"/>
      <c r="U1688" s="386" t="n"/>
      <c r="V1688" s="395" t="n"/>
      <c r="W1688" s="395" t="n"/>
      <c r="X1688" s="395" t="n"/>
      <c r="Y1688" s="13" t="n"/>
      <c r="Z1688" s="395" t="n"/>
      <c r="AA1688" s="395" t="n"/>
      <c r="AB1688" s="395" t="n"/>
      <c r="AC1688" s="395" t="n"/>
      <c r="AD1688" s="395" t="n"/>
      <c r="AE1688" s="395" t="n"/>
    </row>
    <row r="1689" ht="70" customHeight="1" s="380">
      <c r="A1689" s="73" t="n">
        <v>85</v>
      </c>
      <c r="B1689" s="386" t="n"/>
      <c r="C1689" s="386" t="inlineStr">
        <is>
          <t>Báo cáo theo Thông tư 121/2020/TT-BTC &gt;&gt; Tình hình đầu tư, góp vốn vào tổ chức khác - II.11.1.CP trong nước</t>
        </is>
      </c>
      <c r="D1689" s="106" t="inlineStr">
        <is>
          <t>Mã báo cáo</t>
        </is>
      </c>
      <c r="E1689" s="107" t="inlineStr">
        <is>
          <t>Mã báo cáo</t>
        </is>
      </c>
      <c r="F1689" s="390" t="inlineStr">
        <is>
          <t>Data Explorer</t>
        </is>
      </c>
      <c r="G1689" s="390" t="inlineStr">
        <is>
          <t>Chiều</t>
        </is>
      </c>
      <c r="H1689" s="390" t="inlineStr">
        <is>
          <t>Dễ</t>
        </is>
      </c>
      <c r="I1689" s="390" t="inlineStr">
        <is>
          <t>Ngày, CTCK</t>
        </is>
      </c>
      <c r="J1689" s="401" t="inlineStr">
        <is>
          <t>SCMS</t>
        </is>
      </c>
      <c r="K1689" s="401" t="inlineStr">
        <is>
          <t>X</t>
        </is>
      </c>
      <c r="L1689" s="395" t="inlineStr">
        <is>
          <t>X</t>
        </is>
      </c>
      <c r="M1689" s="401" t="n"/>
      <c r="N1689" s="395" t="inlineStr">
        <is>
          <t>Done</t>
        </is>
      </c>
      <c r="O1689" s="401" t="n"/>
      <c r="P1689" s="395" t="n"/>
      <c r="S1689" s="395" t="n"/>
      <c r="U1689" s="386" t="n"/>
      <c r="V1689" s="395" t="n"/>
      <c r="W1689" s="395" t="n"/>
      <c r="X1689" s="395" t="n"/>
      <c r="Y1689" s="13" t="n"/>
      <c r="Z1689" s="395" t="n"/>
      <c r="AA1689" s="395" t="n"/>
      <c r="AB1689" s="395" t="n"/>
      <c r="AC1689" s="395" t="n"/>
      <c r="AD1689" s="395" t="n"/>
      <c r="AE1689" s="395" t="n"/>
    </row>
    <row r="1690" ht="70" customHeight="1" s="380">
      <c r="A1690" s="73" t="n">
        <v>85</v>
      </c>
      <c r="B1690" s="386" t="n"/>
      <c r="C1690" s="386" t="inlineStr">
        <is>
          <t>Báo cáo theo Thông tư 121/2020/TT-BTC &gt;&gt; Tình hình đầu tư, góp vốn vào tổ chức khác - II.11.1.CP trong nước</t>
        </is>
      </c>
      <c r="D1690" s="106" t="inlineStr">
        <is>
          <t>Tên báo cáo</t>
        </is>
      </c>
      <c r="E1690" s="107" t="inlineStr">
        <is>
          <t>Tên báo cáo</t>
        </is>
      </c>
      <c r="F1690" s="390" t="inlineStr">
        <is>
          <t>Data Explorer</t>
        </is>
      </c>
      <c r="G1690" s="390" t="inlineStr">
        <is>
          <t>Chiều</t>
        </is>
      </c>
      <c r="H1690" s="390" t="inlineStr">
        <is>
          <t>Dễ</t>
        </is>
      </c>
      <c r="I1690" s="390" t="inlineStr">
        <is>
          <t>Ngày, CTCK</t>
        </is>
      </c>
      <c r="J1690" s="401" t="inlineStr">
        <is>
          <t>SCMS</t>
        </is>
      </c>
      <c r="K1690" s="401" t="inlineStr">
        <is>
          <t>X</t>
        </is>
      </c>
      <c r="L1690" s="395" t="inlineStr">
        <is>
          <t>X</t>
        </is>
      </c>
      <c r="M1690" s="401" t="n"/>
      <c r="N1690" s="395" t="inlineStr">
        <is>
          <t>Done</t>
        </is>
      </c>
      <c r="O1690" s="401" t="n"/>
      <c r="P1690" s="395" t="n"/>
      <c r="S1690" s="395" t="n"/>
      <c r="U1690" s="386" t="n"/>
      <c r="V1690" s="395" t="n"/>
      <c r="W1690" s="395" t="n"/>
      <c r="X1690" s="395" t="n"/>
      <c r="Y1690" s="13" t="n"/>
      <c r="Z1690" s="395" t="n"/>
      <c r="AA1690" s="395" t="n"/>
      <c r="AB1690" s="395" t="n"/>
      <c r="AC1690" s="395" t="n"/>
      <c r="AD1690" s="395" t="n"/>
      <c r="AE1690" s="395" t="n"/>
    </row>
    <row r="1691" ht="70" customHeight="1" s="380">
      <c r="A1691" s="73" t="n">
        <v>85</v>
      </c>
      <c r="B1691" s="386" t="n"/>
      <c r="C1691" s="386" t="inlineStr">
        <is>
          <t>Báo cáo theo Thông tư 121/2020/TT-BTC &gt;&gt; Tình hình đầu tư, góp vốn vào tổ chức khác - II.11.1.CP trong nước</t>
        </is>
      </c>
      <c r="D1691" s="106" t="inlineStr">
        <is>
          <t>Mã sheet</t>
        </is>
      </c>
      <c r="E1691" s="106" t="inlineStr">
        <is>
          <t>Mã sheet</t>
        </is>
      </c>
      <c r="F1691" s="390" t="inlineStr">
        <is>
          <t>Data Explorer</t>
        </is>
      </c>
      <c r="G1691" s="390" t="inlineStr">
        <is>
          <t>Chiều</t>
        </is>
      </c>
      <c r="H1691" s="390" t="inlineStr">
        <is>
          <t>Dễ</t>
        </is>
      </c>
      <c r="I1691" s="390" t="inlineStr">
        <is>
          <t>Ngày, CTCK</t>
        </is>
      </c>
      <c r="J1691" s="401" t="inlineStr">
        <is>
          <t>SCMS</t>
        </is>
      </c>
      <c r="K1691" s="401" t="inlineStr">
        <is>
          <t>X</t>
        </is>
      </c>
      <c r="L1691" s="395" t="inlineStr">
        <is>
          <t>X</t>
        </is>
      </c>
      <c r="M1691" s="401" t="n"/>
      <c r="N1691" s="395" t="inlineStr">
        <is>
          <t>Done</t>
        </is>
      </c>
      <c r="O1691" s="401" t="n"/>
      <c r="P1691" s="395" t="n"/>
      <c r="Q1691" s="401" t="inlineStr">
        <is>
          <t>SCMS.BM_BAO_CAO
SCMS.BM_SHEET</t>
        </is>
      </c>
      <c r="R1691" s="401" t="inlineStr">
        <is>
          <t>bm.ID,
bm.MA_BAO_CAO,
bm.SU_DUNG,
s.BM_BAO_CAO_ID,
s.MA_SHEET,
s.TEN_SHEET,
s.SAP_XEP</t>
        </is>
      </c>
      <c r="S1691" s="395" t="n"/>
      <c r="T1691" s="384" t="inlineStr">
        <is>
          <t>-- Mã sheet / Tên sheet
-- TEN_SHEET: THDTGV
SELECT bm.MA_BAO_CAO,
s.MA_SHEET,
s.TEN_SHEET
FROM SCMS.BM_BAO_CAO bm
JOIN SCMS.BM_SHEET s ON s.BM_BAO_CAO_ID = bm.ID
WHERE bm.MA_BAO_CAO LIKE 'BCTHHDKD%'
AND s.TEN_SHEET = 'THDTGV'  -- Check lại
AND bm.SU_DUNG = 1
ORDER BY bm.MA_BAO_CAO, s.SAP_XEP;</t>
        </is>
      </c>
      <c r="U1691" s="386" t="n"/>
      <c r="V1691" s="395" t="n"/>
      <c r="W1691" s="395" t="n"/>
      <c r="X1691" s="395" t="n"/>
      <c r="Y1691" s="13" t="n"/>
      <c r="Z1691" s="395" t="n"/>
      <c r="AA1691" s="395" t="n"/>
      <c r="AB1691" s="395" t="n"/>
      <c r="AC1691" s="395" t="n"/>
      <c r="AD1691" s="395" t="n"/>
      <c r="AE1691" s="395" t="n"/>
    </row>
    <row r="1692" ht="70" customHeight="1" s="380">
      <c r="A1692" s="73" t="n">
        <v>85</v>
      </c>
      <c r="B1692" s="386" t="n"/>
      <c r="C1692" s="386" t="inlineStr">
        <is>
          <t>Báo cáo theo Thông tư 121/2020/TT-BTC &gt;&gt; Tình hình đầu tư, góp vốn vào tổ chức khác - II.11.1.CP trong nước</t>
        </is>
      </c>
      <c r="D1692" s="106" t="inlineStr">
        <is>
          <t>Tên sheet</t>
        </is>
      </c>
      <c r="E1692" s="106" t="inlineStr">
        <is>
          <t>Tên sheet</t>
        </is>
      </c>
      <c r="F1692" s="390" t="inlineStr">
        <is>
          <t>Data Explorer</t>
        </is>
      </c>
      <c r="G1692" s="390" t="inlineStr">
        <is>
          <t>Chiều</t>
        </is>
      </c>
      <c r="H1692" s="390" t="inlineStr">
        <is>
          <t>Dễ</t>
        </is>
      </c>
      <c r="I1692" s="390" t="inlineStr">
        <is>
          <t>Ngày, CTCK</t>
        </is>
      </c>
      <c r="J1692" s="401" t="inlineStr">
        <is>
          <t>SCMS</t>
        </is>
      </c>
      <c r="K1692" s="401" t="inlineStr">
        <is>
          <t>X</t>
        </is>
      </c>
      <c r="L1692" s="395" t="inlineStr">
        <is>
          <t>X</t>
        </is>
      </c>
      <c r="M1692" s="401" t="n"/>
      <c r="N1692" s="395" t="inlineStr">
        <is>
          <t>Done</t>
        </is>
      </c>
      <c r="O1692" s="401" t="n"/>
      <c r="P1692" s="395" t="n"/>
      <c r="S1692" s="395" t="n"/>
      <c r="U1692" s="386" t="n"/>
      <c r="V1692" s="395" t="n"/>
      <c r="W1692" s="395" t="n"/>
      <c r="X1692" s="395" t="n"/>
      <c r="Y1692" s="13" t="n"/>
      <c r="Z1692" s="395" t="n"/>
      <c r="AA1692" s="395" t="n"/>
      <c r="AB1692" s="395" t="n"/>
      <c r="AC1692" s="395" t="n"/>
      <c r="AD1692" s="395" t="n"/>
      <c r="AE1692" s="395" t="n"/>
    </row>
    <row r="1693" ht="70" customHeight="1" s="380">
      <c r="A1693" s="73" t="n">
        <v>85</v>
      </c>
      <c r="B1693" s="386" t="n"/>
      <c r="C1693" s="386" t="inlineStr">
        <is>
          <t>Báo cáo theo Thông tư 121/2020/TT-BTC &gt;&gt; Tình hình đầu tư, góp vốn vào tổ chức khác - II.11.1.CP trong nước</t>
        </is>
      </c>
      <c r="D1693" s="106" t="inlineStr">
        <is>
          <t>Mã chỉ tiêu</t>
        </is>
      </c>
      <c r="E1693" s="107" t="inlineStr">
        <is>
          <t>Mã chỉ tiêu</t>
        </is>
      </c>
      <c r="F1693" s="390" t="inlineStr">
        <is>
          <t>Data Explorer</t>
        </is>
      </c>
      <c r="G1693" s="390" t="inlineStr">
        <is>
          <t>Chiều</t>
        </is>
      </c>
      <c r="H1693" s="390" t="inlineStr">
        <is>
          <t>Dễ</t>
        </is>
      </c>
      <c r="I1693" s="390" t="inlineStr">
        <is>
          <t>Ngày, CTCK</t>
        </is>
      </c>
      <c r="J1693" s="401" t="inlineStr">
        <is>
          <t>SCMS</t>
        </is>
      </c>
      <c r="K1693" s="401" t="inlineStr">
        <is>
          <t>X</t>
        </is>
      </c>
      <c r="L1693" s="395" t="inlineStr">
        <is>
          <t>X</t>
        </is>
      </c>
      <c r="M1693" s="401" t="n"/>
      <c r="N1693" s="395" t="inlineStr">
        <is>
          <t>Done</t>
        </is>
      </c>
      <c r="O1693" s="401" t="n"/>
      <c r="P1693" s="395" t="n"/>
      <c r="Q1693" s="401" t="inlineStr">
        <is>
          <t>SCMS.BM_BAO_CAO
SCMS.BM_SHEET
SCMS.BM_BAO_CAO_CT
SCMS.DM_CHI_TIEU</t>
        </is>
      </c>
      <c r="R1693" s="402" t="inlineStr">
        <is>
          <t>dct.ID,
dct.MA_CHI_TIEU,
dct.TEN_CHI_TIEU,
dct.SU_DUNG,
s.BM_BAO_CAO_ID,
s.MA_SHEET,
ct.BM_BAO_CAO_ID,
ct.DM_CHI_TIEU_ID,
ct.SU_DUNG,
bm.ID,
bm.MA_BAO_CAO,
bm.SU_DUNG</t>
        </is>
      </c>
      <c r="S1693" s="395" t="n"/>
      <c r="T1693" s="384" t="inlineStr">
        <is>
          <t>-- Mã chỉ tiêu / Tên chỉ tiêu
SELECT DISTINCT
    dct.MA_CHI_TIEU  AS ma_chi_tieu,
    dct.TEN_CHI_TIEU AS ten_chi_tieu
FROM SCMS.BM_BAO_CAO bm
JOIN SCMS.BM_SHEET s ON s.BM_BAO_CAO_ID = bm.ID
	AND s.TEN_SHEET = 'THDTGV'
JOIN SCMS.BM_BAO_CAO_CT ct ON ct.BM_SHEET_ID = s.ID
	AND ct.SU_DUNG = 1
JOIN SCMS.DM_CHI_TIEU dct ON dct.ID = ct.DM_CHI_TIEU_ID
	AND dct.SU_DUNG = 1
WHERE bm.MA_BAO_CAO LIKE 'BCTHHDKD%'
	AND bm.SU_DUNG = 1
ORDER BY dct.MA_CHI_TIEU;</t>
        </is>
      </c>
      <c r="U1693" s="386" t="n"/>
      <c r="V1693" s="395" t="n"/>
      <c r="W1693" s="395" t="n"/>
      <c r="X1693" s="395" t="n"/>
      <c r="Y1693" s="14" t="n"/>
      <c r="Z1693" s="395" t="n"/>
      <c r="AA1693" s="395" t="n"/>
      <c r="AB1693" s="395" t="n"/>
      <c r="AC1693" s="395" t="n"/>
      <c r="AD1693" s="395" t="n"/>
      <c r="AE1693" s="395" t="n"/>
    </row>
    <row r="1694" ht="70" customHeight="1" s="380">
      <c r="A1694" s="73" t="n">
        <v>85</v>
      </c>
      <c r="B1694" s="386" t="n"/>
      <c r="C1694" s="386" t="inlineStr">
        <is>
          <t>Báo cáo theo Thông tư 121/2020/TT-BTC &gt;&gt; Tình hình đầu tư, góp vốn vào tổ chức khác - II.11.1.CP trong nước</t>
        </is>
      </c>
      <c r="D1694" s="106" t="inlineStr">
        <is>
          <t>Tên chỉ tiêu</t>
        </is>
      </c>
      <c r="E1694" s="107" t="inlineStr">
        <is>
          <t>Tên chỉ tiêu</t>
        </is>
      </c>
      <c r="F1694" s="390" t="inlineStr">
        <is>
          <t>Data Explorer</t>
        </is>
      </c>
      <c r="G1694" s="390" t="inlineStr">
        <is>
          <t>Chiều</t>
        </is>
      </c>
      <c r="H1694" s="390" t="inlineStr">
        <is>
          <t>Dễ</t>
        </is>
      </c>
      <c r="I1694" s="390" t="inlineStr">
        <is>
          <t>Ngày, CTCK</t>
        </is>
      </c>
      <c r="J1694" s="401" t="inlineStr">
        <is>
          <t>SCMS</t>
        </is>
      </c>
      <c r="K1694" s="401" t="inlineStr">
        <is>
          <t>X</t>
        </is>
      </c>
      <c r="L1694" s="395" t="inlineStr">
        <is>
          <t>X</t>
        </is>
      </c>
      <c r="M1694" s="401" t="n"/>
      <c r="N1694" s="395" t="inlineStr">
        <is>
          <t>Done</t>
        </is>
      </c>
      <c r="O1694" s="401" t="n"/>
      <c r="P1694" s="395" t="n"/>
      <c r="S1694" s="395" t="n"/>
      <c r="U1694" s="386" t="n"/>
      <c r="V1694" s="395" t="n"/>
      <c r="W1694" s="395" t="n"/>
      <c r="X1694" s="395" t="n"/>
      <c r="Y1694" s="13" t="n"/>
      <c r="Z1694" s="395" t="n"/>
      <c r="AA1694" s="395" t="n"/>
      <c r="AB1694" s="395" t="n"/>
      <c r="AC1694" s="395" t="n"/>
      <c r="AD1694" s="395" t="n"/>
      <c r="AE1694" s="395" t="n"/>
    </row>
    <row r="1695" ht="70" customHeight="1" s="380">
      <c r="A1695" s="73" t="n">
        <v>85</v>
      </c>
      <c r="B1695" s="386" t="n"/>
      <c r="C1695" s="386" t="inlineStr">
        <is>
          <t>Báo cáo theo Thông tư 121/2020/TT-BTC &gt;&gt; Tình hình đầu tư, góp vốn vào tổ chức khác - II.11.1.CP trong nước</t>
        </is>
      </c>
      <c r="D1695" s="386" t="inlineStr">
        <is>
          <t>Tên công ty chứng khoán</t>
        </is>
      </c>
      <c r="E1695" s="386" t="inlineStr">
        <is>
          <t>Tên công ty chứng khoán</t>
        </is>
      </c>
      <c r="F1695" s="386" t="inlineStr">
        <is>
          <t>Data Explorer</t>
        </is>
      </c>
      <c r="G1695" s="386" t="inlineStr">
        <is>
          <t>Chỉ tiêu cơ sở</t>
        </is>
      </c>
      <c r="H1695" s="386" t="inlineStr">
        <is>
          <t>Trùng</t>
        </is>
      </c>
      <c r="I1695" s="386" t="inlineStr">
        <is>
          <t>Ngày, CTCK</t>
        </is>
      </c>
      <c r="J1695" s="395" t="inlineStr">
        <is>
          <t>SCMS</t>
        </is>
      </c>
      <c r="K1695" s="395" t="n"/>
      <c r="L1695" s="395" t="inlineStr">
        <is>
          <t>X</t>
        </is>
      </c>
      <c r="M1695" s="395" t="n"/>
      <c r="N1695" s="395" t="inlineStr">
        <is>
          <t>Done</t>
        </is>
      </c>
      <c r="O1695" s="401" t="n"/>
      <c r="P1695" s="395" t="n"/>
      <c r="Q1695" s="427" t="inlineStr">
        <is>
          <t>SCMS.BC_THANH_VIEN
SCMS.BM_BAO_CAO
SCMS.BC_BAO_CAO_GT
SCMS.BM_BAO_CAO_HANG
SCMS.BM_BAO_CAO_COT
SCMS.CTCK_THONG_TIN</t>
        </is>
      </c>
      <c r="R1695" s="427" t="inlineStr">
        <is>
          <t>btv.ID,
btv.NGAY_SO_LIEU,
btv.BM_BAO_CAO_ID,
btv.CTCK_THONG_TIN_ID,
btv.TRANG_THAI,
c.CTCK_THONG_TIN_ID,
bsh.ID,
bsh.MA_HANG,
bsc.TEN_COT,
bsc.BM_SHEET_ID,
gt.BC_THANH_VIEN_ID,
gt.BM_SHEET_HANG_ID,
gt.GIA_TRI,
bm.ID,
bm.MA_BAO_CAO</t>
        </is>
      </c>
      <c r="S1695" s="395" t="n"/>
      <c r="T1695"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 Chỉ tiêu "Tên tổ chức khác" chưa xác định được lưu ở đâu?
    MAX(CASE WHEN bsh.MA_HANG='1' AND bsc.TEN_COT=N'Số lượng cổ phiếu nắm giữ' THEN CAST(gt.GIA_TRI AS VARCHAR2(4000)) END) AS "Số lượng cổ phiếu nắm giữ",
    MAX(CASE WHEN bsh.MA_HANG='1' AND bsc.TEN_COT=N'Giá trị cổ phiếu nắm giữ (triệu đồng)' THEN CAST(gt.GIA_TRI AS VARCHAR2(4000)) END) AS "Giá trị cổ phiếu nắm giữ",
    MAX(CASE WHEN bsh.MA_HANG='1' AND bsc.TEN_COT=N'Tỷ lệ đầu tư' THEN CAST(gt.GIA_TRI AS VARCHAR2(4000)) END) AS "Tỷ lệ đầu tư"
FROM SCMS.BC_THANH_VIEN btv
JOIN SCMS.BM_BAO_CAO bm ON bm.ID = btv.BM_BAO_CAO_ID
JOIN SCMS.BC_BAO_CAO_GT gt ON gt.BC_THANH_VIEN_ID = btv.ID
JOIN SCMS.BM_BAO_CAO_HANG bsh ON bsh.ID = gt.BM_SHEET_HANG_ID
JOIN SCMS.BM_BAO_CAO_COT bsc ON bsc.BM_SHEET_ID = 7431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is>
      </c>
      <c r="U1695" s="386" t="n"/>
      <c r="V1695" s="395" t="n"/>
      <c r="W1695" s="395" t="n"/>
      <c r="X1695" s="395" t="n"/>
      <c r="Y1695" s="13" t="n"/>
      <c r="Z1695" s="395" t="n"/>
      <c r="AA1695" s="395" t="n"/>
      <c r="AB1695" s="395" t="n"/>
      <c r="AC1695" s="395" t="n"/>
      <c r="AD1695" s="395" t="n"/>
      <c r="AE1695" s="395" t="n"/>
    </row>
    <row r="1696" ht="70" customHeight="1" s="380">
      <c r="A1696" s="73" t="n">
        <v>85</v>
      </c>
      <c r="B1696" s="386" t="n"/>
      <c r="C1696" s="386" t="inlineStr">
        <is>
          <t>Báo cáo theo Thông tư 121/2020/TT-BTC &gt;&gt; Tình hình đầu tư, góp vốn vào tổ chức khác - II.11.1.CP trong nước</t>
        </is>
      </c>
      <c r="D1696" s="386" t="inlineStr">
        <is>
          <t>Sàn giao dịch</t>
        </is>
      </c>
      <c r="E1696" s="386" t="inlineStr">
        <is>
          <t>Sàn giao dịch</t>
        </is>
      </c>
      <c r="F1696" s="386" t="inlineStr">
        <is>
          <t>Data Explorer</t>
        </is>
      </c>
      <c r="G1696" s="386" t="inlineStr">
        <is>
          <t>Chỉ tiêu cơ sở</t>
        </is>
      </c>
      <c r="H1696" s="386" t="inlineStr">
        <is>
          <t>Trùng</t>
        </is>
      </c>
      <c r="I1696" s="386" t="inlineStr">
        <is>
          <t>Ngày, CTCK</t>
        </is>
      </c>
      <c r="J1696" s="395" t="inlineStr">
        <is>
          <t>SCMS</t>
        </is>
      </c>
      <c r="K1696" s="395" t="n"/>
      <c r="L1696" s="395" t="inlineStr">
        <is>
          <t>X</t>
        </is>
      </c>
      <c r="M1696" s="395" t="n"/>
      <c r="N1696" s="395" t="inlineStr">
        <is>
          <t>Done</t>
        </is>
      </c>
      <c r="O1696" s="401" t="n"/>
      <c r="P1696" s="395" t="n"/>
      <c r="S1696" s="395" t="n"/>
      <c r="U1696" s="386" t="n"/>
      <c r="V1696" s="395" t="n"/>
      <c r="W1696" s="395" t="n"/>
      <c r="X1696" s="395" t="n"/>
      <c r="Y1696" s="13" t="n"/>
      <c r="Z1696" s="395" t="n"/>
      <c r="AA1696" s="395" t="n"/>
      <c r="AB1696" s="395" t="n"/>
      <c r="AC1696" s="395" t="n"/>
      <c r="AD1696" s="395" t="n"/>
      <c r="AE1696" s="395" t="n"/>
    </row>
    <row r="1697" ht="70" customHeight="1" s="380">
      <c r="A1697" s="73" t="n">
        <v>85</v>
      </c>
      <c r="B1697" s="386" t="n"/>
      <c r="C1697" s="386" t="inlineStr">
        <is>
          <t>Báo cáo theo Thông tư 121/2020/TT-BTC &gt;&gt; Tình hình đầu tư, góp vốn vào tổ chức khác - II.11.1.CP trong nước</t>
        </is>
      </c>
      <c r="D1697" s="386" t="inlineStr">
        <is>
          <t>Mã chứng khoán</t>
        </is>
      </c>
      <c r="E1697" s="386" t="inlineStr">
        <is>
          <t>Mã chứng khoán</t>
        </is>
      </c>
      <c r="F1697" s="386" t="inlineStr">
        <is>
          <t>Data Explorer</t>
        </is>
      </c>
      <c r="G1697" s="386" t="inlineStr">
        <is>
          <t>Chỉ tiêu cơ sở</t>
        </is>
      </c>
      <c r="H1697" s="386" t="inlineStr">
        <is>
          <t>Trùng</t>
        </is>
      </c>
      <c r="I1697" s="386" t="inlineStr">
        <is>
          <t>Ngày, CTCK</t>
        </is>
      </c>
      <c r="J1697" s="395" t="inlineStr">
        <is>
          <t>SCMS</t>
        </is>
      </c>
      <c r="K1697" s="395" t="n"/>
      <c r="L1697" s="395" t="inlineStr">
        <is>
          <t>X</t>
        </is>
      </c>
      <c r="M1697" s="395" t="n"/>
      <c r="N1697" s="395" t="inlineStr">
        <is>
          <t>Done</t>
        </is>
      </c>
      <c r="O1697" s="401" t="n"/>
      <c r="P1697" s="395" t="n"/>
      <c r="S1697" s="395" t="n"/>
      <c r="U1697" s="386" t="n"/>
      <c r="V1697" s="395" t="n"/>
      <c r="W1697" s="395" t="n"/>
      <c r="X1697" s="395" t="n"/>
      <c r="Y1697" s="14" t="n"/>
      <c r="Z1697" s="395" t="n"/>
      <c r="AA1697" s="395" t="n"/>
      <c r="AB1697" s="395" t="n"/>
      <c r="AC1697" s="395" t="n"/>
      <c r="AD1697" s="395" t="n"/>
      <c r="AE1697" s="395" t="n"/>
    </row>
    <row r="1698" ht="70" customHeight="1" s="380">
      <c r="A1698" s="73" t="n">
        <v>85</v>
      </c>
      <c r="B1698" s="386" t="n"/>
      <c r="C1698" s="386" t="inlineStr">
        <is>
          <t>Báo cáo theo Thông tư 121/2020/TT-BTC &gt;&gt; Tình hình đầu tư, góp vốn vào tổ chức khác - II.11.1.CP trong nước</t>
        </is>
      </c>
      <c r="D1698" s="386" t="inlineStr">
        <is>
          <t>Giấy phép &gt;&gt; Số</t>
        </is>
      </c>
      <c r="E1698" s="386" t="inlineStr">
        <is>
          <t>Giấy phép &gt;&gt; Số</t>
        </is>
      </c>
      <c r="F1698" s="386" t="inlineStr">
        <is>
          <t>Data Explorer</t>
        </is>
      </c>
      <c r="G1698" s="386" t="inlineStr">
        <is>
          <t>Chỉ tiêu cơ sở</t>
        </is>
      </c>
      <c r="H1698" s="386" t="inlineStr">
        <is>
          <t>Trùng</t>
        </is>
      </c>
      <c r="I1698" s="386" t="inlineStr">
        <is>
          <t>Ngày, CTCK</t>
        </is>
      </c>
      <c r="J1698" s="395" t="inlineStr">
        <is>
          <t>SCMS</t>
        </is>
      </c>
      <c r="K1698" s="395" t="n"/>
      <c r="L1698" s="395" t="inlineStr">
        <is>
          <t>X</t>
        </is>
      </c>
      <c r="M1698" s="395" t="n"/>
      <c r="N1698" s="395" t="inlineStr">
        <is>
          <t>Done</t>
        </is>
      </c>
      <c r="O1698" s="401" t="n"/>
      <c r="P1698" s="395" t="n"/>
      <c r="S1698" s="395" t="n"/>
      <c r="U1698" s="386" t="n"/>
      <c r="V1698" s="395" t="n"/>
      <c r="W1698" s="395" t="n"/>
      <c r="X1698" s="395" t="n"/>
      <c r="Y1698" s="13" t="n"/>
      <c r="Z1698" s="395" t="n"/>
      <c r="AA1698" s="395" t="n"/>
      <c r="AB1698" s="395" t="n"/>
      <c r="AC1698" s="395" t="n"/>
      <c r="AD1698" s="395" t="n"/>
      <c r="AE1698" s="395" t="n"/>
    </row>
    <row r="1699" ht="70" customHeight="1" s="380">
      <c r="A1699" s="73" t="n">
        <v>85</v>
      </c>
      <c r="B1699" s="386" t="n"/>
      <c r="C1699" s="386" t="inlineStr">
        <is>
          <t>Báo cáo theo Thông tư 121/2020/TT-BTC &gt;&gt; Tình hình đầu tư, góp vốn vào tổ chức khác - II.11.1.CP trong nước</t>
        </is>
      </c>
      <c r="D1699" s="386" t="inlineStr">
        <is>
          <t>Giấy phép &gt;&gt; Ngày cấp
(Ngày/tháng/năm)</t>
        </is>
      </c>
      <c r="E1699" s="386" t="inlineStr">
        <is>
          <t>Giấy phép &gt;&gt; Ngày cấp
(Ngày/tháng/năm)</t>
        </is>
      </c>
      <c r="F1699" s="386" t="inlineStr">
        <is>
          <t>Data Explorer</t>
        </is>
      </c>
      <c r="G1699" s="386" t="inlineStr">
        <is>
          <t>Chỉ tiêu cơ sở</t>
        </is>
      </c>
      <c r="H1699" s="386" t="inlineStr">
        <is>
          <t>Trùng</t>
        </is>
      </c>
      <c r="I1699" s="386" t="inlineStr">
        <is>
          <t>Ngày, CTCK</t>
        </is>
      </c>
      <c r="J1699" s="395" t="inlineStr">
        <is>
          <t>SCMS</t>
        </is>
      </c>
      <c r="K1699" s="395" t="n"/>
      <c r="L1699" s="395" t="inlineStr">
        <is>
          <t>X</t>
        </is>
      </c>
      <c r="M1699" s="395" t="n"/>
      <c r="N1699" s="395" t="inlineStr">
        <is>
          <t>Done</t>
        </is>
      </c>
      <c r="O1699" s="401" t="n"/>
      <c r="P1699" s="395" t="n"/>
      <c r="S1699" s="395" t="n"/>
      <c r="U1699" s="386" t="n"/>
      <c r="V1699" s="395" t="n"/>
      <c r="W1699" s="395" t="n"/>
      <c r="X1699" s="395" t="n"/>
      <c r="Y1699" s="13" t="n"/>
      <c r="Z1699" s="395" t="n"/>
      <c r="AA1699" s="395" t="n"/>
      <c r="AB1699" s="395" t="n"/>
      <c r="AC1699" s="395" t="n"/>
      <c r="AD1699" s="395" t="n"/>
      <c r="AE1699" s="395" t="n"/>
    </row>
    <row r="1700" ht="70" customHeight="1" s="380">
      <c r="A1700" s="73" t="n">
        <v>85</v>
      </c>
      <c r="B1700" s="386" t="n"/>
      <c r="C1700" s="386" t="inlineStr">
        <is>
          <t>Báo cáo theo Thông tư 121/2020/TT-BTC &gt;&gt; Tình hình đầu tư, góp vốn vào tổ chức khác - II.11.1.CP trong nước</t>
        </is>
      </c>
      <c r="D1700" s="386" t="inlineStr">
        <is>
          <t>Đầu tư trong nước &gt;&gt; Tên tổ chức khác</t>
        </is>
      </c>
      <c r="E1700" s="386" t="inlineStr">
        <is>
          <t>Đầu tư trong nước &gt;&gt; Tên tổ chức khác</t>
        </is>
      </c>
      <c r="F1700" s="386" t="inlineStr">
        <is>
          <t>Data Explorer</t>
        </is>
      </c>
      <c r="G1700" s="386" t="inlineStr">
        <is>
          <t>Chỉ tiêu cơ sở</t>
        </is>
      </c>
      <c r="H1700" s="386" t="inlineStr">
        <is>
          <t>TB</t>
        </is>
      </c>
      <c r="I1700" s="386" t="inlineStr">
        <is>
          <t>Ngày, CTCK</t>
        </is>
      </c>
      <c r="J1700" s="395" t="inlineStr">
        <is>
          <t>SCMS</t>
        </is>
      </c>
      <c r="K1700" s="395" t="n"/>
      <c r="L1700" s="395" t="inlineStr">
        <is>
          <t>X</t>
        </is>
      </c>
      <c r="M1700" s="395" t="n"/>
      <c r="N1700" s="395" t="inlineStr">
        <is>
          <t>Pending</t>
        </is>
      </c>
      <c r="O1700" s="401" t="n"/>
      <c r="P1700" s="395" t="n"/>
      <c r="S1700" s="395" t="n"/>
      <c r="U1700" s="20" t="inlineStr">
        <is>
          <t>Chưa xác định được lưu ở đâu?</t>
        </is>
      </c>
      <c r="V1700" s="395" t="n"/>
      <c r="W1700" s="395" t="n"/>
      <c r="X1700" s="395" t="n"/>
      <c r="Y1700" s="13" t="n"/>
      <c r="Z1700" s="395" t="n"/>
      <c r="AA1700" s="395" t="n"/>
      <c r="AB1700" s="395" t="n"/>
      <c r="AC1700" s="395" t="n"/>
      <c r="AD1700" s="395" t="n"/>
      <c r="AE1700" s="395" t="n"/>
    </row>
    <row r="1701" ht="70" customHeight="1" s="380">
      <c r="A1701" s="73" t="n">
        <v>85</v>
      </c>
      <c r="B1701" s="386" t="n"/>
      <c r="C1701" s="386" t="inlineStr">
        <is>
          <t>Báo cáo theo Thông tư 121/2020/TT-BTC &gt;&gt; Tình hình đầu tư, góp vốn vào tổ chức khác - II.11.1.CP trong nước</t>
        </is>
      </c>
      <c r="D1701" s="386" t="inlineStr">
        <is>
          <t>Đầu tư trong nước &gt;&gt; Số lượng cổ phiếu nắm giữ</t>
        </is>
      </c>
      <c r="E1701" s="386" t="inlineStr">
        <is>
          <t>Đầu tư trong nước &gt;&gt; Số lượng cổ phiếu nắm giữ</t>
        </is>
      </c>
      <c r="F1701" s="386" t="inlineStr">
        <is>
          <t>Data Explorer</t>
        </is>
      </c>
      <c r="G1701" s="386" t="inlineStr">
        <is>
          <t>Chỉ tiêu cơ sở</t>
        </is>
      </c>
      <c r="H1701" s="386" t="inlineStr">
        <is>
          <t>TB</t>
        </is>
      </c>
      <c r="I1701" s="386" t="inlineStr">
        <is>
          <t>Ngày, CTCK</t>
        </is>
      </c>
      <c r="J1701" s="395" t="inlineStr">
        <is>
          <t>SCMS</t>
        </is>
      </c>
      <c r="K1701" s="395" t="n"/>
      <c r="L1701" s="395" t="inlineStr">
        <is>
          <t>X</t>
        </is>
      </c>
      <c r="M1701" s="395" t="n"/>
      <c r="N1701" s="395" t="inlineStr">
        <is>
          <t>Done</t>
        </is>
      </c>
      <c r="O1701" s="401" t="n"/>
      <c r="P1701" s="395" t="n"/>
      <c r="S1701" s="395" t="n"/>
      <c r="U1701" s="386" t="n"/>
      <c r="V1701" s="395" t="n"/>
      <c r="W1701" s="395" t="n"/>
      <c r="X1701" s="395" t="n"/>
      <c r="Y1701" s="13" t="n"/>
      <c r="Z1701" s="395" t="n"/>
      <c r="AA1701" s="395" t="n"/>
      <c r="AB1701" s="395" t="n"/>
      <c r="AC1701" s="395" t="n"/>
      <c r="AD1701" s="395" t="n"/>
      <c r="AE1701" s="395" t="n"/>
    </row>
    <row r="1702" ht="70" customHeight="1" s="380">
      <c r="A1702" s="73" t="n">
        <v>85</v>
      </c>
      <c r="B1702" s="386" t="n"/>
      <c r="C1702" s="386" t="inlineStr">
        <is>
          <t>Báo cáo theo Thông tư 121/2020/TT-BTC &gt;&gt; Tình hình đầu tư, góp vốn vào tổ chức khác - II.11.1.CP trong nước</t>
        </is>
      </c>
      <c r="D1702" s="386" t="inlineStr">
        <is>
          <t>Đầu tư trong nước &gt;&gt; Giá trị cổ phiếu nắm giữ (Triệu đồng)</t>
        </is>
      </c>
      <c r="E1702" s="386" t="inlineStr">
        <is>
          <t>Đầu tư trong nước &gt;&gt; Giá trị cổ phiếu nắm giữ (Triệu đồng)</t>
        </is>
      </c>
      <c r="F1702" s="386" t="inlineStr">
        <is>
          <t>Data Explorer</t>
        </is>
      </c>
      <c r="G1702" s="386" t="inlineStr">
        <is>
          <t>Chỉ tiêu cơ sở</t>
        </is>
      </c>
      <c r="H1702" s="386" t="inlineStr">
        <is>
          <t>TB</t>
        </is>
      </c>
      <c r="I1702" s="386" t="inlineStr">
        <is>
          <t>Ngày, CTCK</t>
        </is>
      </c>
      <c r="J1702" s="395" t="inlineStr">
        <is>
          <t>SCMS</t>
        </is>
      </c>
      <c r="K1702" s="395" t="n"/>
      <c r="L1702" s="395" t="inlineStr">
        <is>
          <t>X</t>
        </is>
      </c>
      <c r="M1702" s="395" t="n"/>
      <c r="N1702" s="395" t="inlineStr">
        <is>
          <t>Done</t>
        </is>
      </c>
      <c r="O1702" s="401" t="n"/>
      <c r="P1702" s="395" t="n"/>
      <c r="S1702" s="395" t="n"/>
      <c r="U1702" s="386" t="n"/>
      <c r="V1702" s="395" t="n"/>
      <c r="W1702" s="395" t="n"/>
      <c r="X1702" s="395" t="n"/>
      <c r="Y1702" s="13" t="n"/>
      <c r="Z1702" s="395" t="n"/>
      <c r="AA1702" s="395" t="n"/>
      <c r="AB1702" s="395" t="n"/>
      <c r="AC1702" s="395" t="n"/>
      <c r="AD1702" s="395" t="n"/>
      <c r="AE1702" s="395" t="n"/>
    </row>
    <row r="1703" ht="70" customHeight="1" s="380">
      <c r="A1703" s="83" t="n">
        <v>85</v>
      </c>
      <c r="B1703" s="68" t="n"/>
      <c r="C1703" s="68" t="inlineStr">
        <is>
          <t>Báo cáo theo Thông tư 121/2020/TT-BTC &gt;&gt; Tình hình đầu tư, góp vốn vào tổ chức khác - II.11.1.CP trong nước</t>
        </is>
      </c>
      <c r="D1703" s="68" t="inlineStr">
        <is>
          <t>Đầu tư trong nước &gt;&gt; Tỷ lệ đầu tư (%)</t>
        </is>
      </c>
      <c r="E1703" s="68" t="inlineStr">
        <is>
          <t>Đầu tư trong nước &gt;&gt; Tỷ lệ đầu tư (%)</t>
        </is>
      </c>
      <c r="F1703" s="68" t="inlineStr">
        <is>
          <t>Data Explorer</t>
        </is>
      </c>
      <c r="G1703" s="68" t="inlineStr">
        <is>
          <t>Chỉ tiêu cơ sở</t>
        </is>
      </c>
      <c r="H1703" s="68" t="inlineStr">
        <is>
          <t>TB</t>
        </is>
      </c>
      <c r="I1703" s="68" t="inlineStr">
        <is>
          <t>Ngày, CTCK</t>
        </is>
      </c>
      <c r="J1703" s="69" t="inlineStr">
        <is>
          <t>SCMS</t>
        </is>
      </c>
      <c r="K1703" s="69" t="n"/>
      <c r="L1703" s="69" t="inlineStr">
        <is>
          <t>X</t>
        </is>
      </c>
      <c r="M1703" s="69" t="n"/>
      <c r="N1703" s="69" t="inlineStr">
        <is>
          <t>Done</t>
        </is>
      </c>
      <c r="O1703" s="85" t="n"/>
      <c r="P1703" s="69" t="n"/>
      <c r="Q1703" s="426" t="n"/>
      <c r="R1703" s="426" t="n"/>
      <c r="S1703" s="69" t="n"/>
      <c r="T1703" s="426" t="n"/>
      <c r="U1703" s="68" t="n"/>
      <c r="V1703" s="69" t="n"/>
      <c r="W1703" s="69" t="n"/>
      <c r="X1703" s="69" t="n"/>
      <c r="Y1703" s="14" t="n"/>
      <c r="Z1703" s="69" t="n"/>
      <c r="AA1703" s="69" t="n"/>
      <c r="AB1703" s="69" t="n"/>
      <c r="AC1703" s="69" t="n"/>
      <c r="AD1703" s="69" t="n"/>
      <c r="AE1703" s="69" t="n"/>
    </row>
    <row r="1704" ht="70" customHeight="1" s="380">
      <c r="A1704" s="73" t="n">
        <v>86</v>
      </c>
      <c r="B1704" s="122" t="inlineStr">
        <is>
          <t>Nga</t>
        </is>
      </c>
      <c r="C1704" s="81" t="inlineStr">
        <is>
          <t>Báo cáo theo Thông tư 121/2020/TT-BTC &gt;&gt; Tình hình đầu tư, góp vốn vào tổ chức khác - II.11.2.CP nước ngoài</t>
        </is>
      </c>
      <c r="D1704" s="106" t="inlineStr">
        <is>
          <t>Loại báo cáo</t>
        </is>
      </c>
      <c r="E1704" s="107" t="inlineStr">
        <is>
          <t>Loại báo cáo</t>
        </is>
      </c>
      <c r="F1704" s="390" t="inlineStr">
        <is>
          <t>Data Explorer</t>
        </is>
      </c>
      <c r="G1704" s="390" t="inlineStr">
        <is>
          <t>Chiều</t>
        </is>
      </c>
      <c r="H1704" s="390" t="inlineStr">
        <is>
          <t>Dễ</t>
        </is>
      </c>
      <c r="I1704" s="390" t="inlineStr">
        <is>
          <t>Ngày, CTCK</t>
        </is>
      </c>
      <c r="J1704" s="401" t="inlineStr">
        <is>
          <t>SCMS</t>
        </is>
      </c>
      <c r="K1704" s="401" t="inlineStr">
        <is>
          <t>X</t>
        </is>
      </c>
      <c r="L1704" s="395" t="inlineStr">
        <is>
          <t>X</t>
        </is>
      </c>
      <c r="M1704" s="401" t="n"/>
      <c r="N1704" s="395" t="inlineStr">
        <is>
          <t>Done</t>
        </is>
      </c>
      <c r="O1704" s="401" t="n"/>
      <c r="P1704" s="395" t="n"/>
      <c r="Q1704" s="404" t="inlineStr">
        <is>
          <t>SCMS.BM_BAO_CAO
SCMS.BM_BAO_CAO_DINH_KY</t>
        </is>
      </c>
      <c r="R1704" s="404" t="inlineStr">
        <is>
          <t>bm.ID,
bm.MA_BAO_CAO,
bm.LOAI_BAO_CAO,
bm.TEN_BAO_CAO,
bm.SU_DUNG,
bdk.BM_BAO_CAO_ID,
bdk.KY_BAO_CAO,
bdk.SU_DUNG</t>
        </is>
      </c>
      <c r="S1704" s="395" t="n"/>
      <c r="T1704"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704" s="386" t="n"/>
      <c r="V1704" s="395" t="n"/>
      <c r="W1704" s="395" t="n"/>
      <c r="X1704" s="395" t="n"/>
      <c r="Y1704" s="13" t="n"/>
      <c r="Z1704" s="395" t="n"/>
      <c r="AA1704" s="395" t="n"/>
      <c r="AB1704" s="395" t="n"/>
      <c r="AC1704" s="395" t="n"/>
      <c r="AD1704" s="395" t="n"/>
      <c r="AE1704" s="395" t="n"/>
    </row>
    <row r="1705" ht="70" customHeight="1" s="380">
      <c r="A1705" s="73" t="n">
        <v>86</v>
      </c>
      <c r="B1705" s="386" t="n"/>
      <c r="C1705" s="386" t="inlineStr">
        <is>
          <t>Báo cáo theo Thông tư 121/2020/TT-BTC &gt;&gt; Tình hình đầu tư, góp vốn vào tổ chức khác - II.11.2.CP nước ngoài</t>
        </is>
      </c>
      <c r="D1705" s="106" t="inlineStr">
        <is>
          <t>Kỳ báo cáo</t>
        </is>
      </c>
      <c r="E1705" s="107" t="inlineStr">
        <is>
          <t>Kỳ báo cáo</t>
        </is>
      </c>
      <c r="F1705" s="390" t="inlineStr">
        <is>
          <t>Data Explorer</t>
        </is>
      </c>
      <c r="G1705" s="390" t="inlineStr">
        <is>
          <t>Chiều</t>
        </is>
      </c>
      <c r="H1705" s="390" t="inlineStr">
        <is>
          <t>Dễ</t>
        </is>
      </c>
      <c r="I1705" s="390" t="inlineStr">
        <is>
          <t>Ngày, CTCK</t>
        </is>
      </c>
      <c r="J1705" s="401" t="inlineStr">
        <is>
          <t>SCMS</t>
        </is>
      </c>
      <c r="K1705" s="401" t="inlineStr">
        <is>
          <t>X</t>
        </is>
      </c>
      <c r="L1705" s="395" t="inlineStr">
        <is>
          <t>X</t>
        </is>
      </c>
      <c r="M1705" s="401" t="n"/>
      <c r="N1705" s="395" t="inlineStr">
        <is>
          <t>Done</t>
        </is>
      </c>
      <c r="O1705" s="401" t="n"/>
      <c r="P1705" s="395" t="n"/>
      <c r="S1705" s="395" t="n"/>
      <c r="U1705" s="386" t="n"/>
      <c r="V1705" s="395" t="n"/>
      <c r="W1705" s="395" t="n"/>
      <c r="X1705" s="395" t="n"/>
      <c r="Y1705" s="13" t="n"/>
      <c r="Z1705" s="395" t="n"/>
      <c r="AA1705" s="395" t="n"/>
      <c r="AB1705" s="395" t="n"/>
      <c r="AC1705" s="395" t="n"/>
      <c r="AD1705" s="395" t="n"/>
      <c r="AE1705" s="395" t="n"/>
    </row>
    <row r="1706" ht="70" customHeight="1" s="380">
      <c r="A1706" s="73" t="n">
        <v>86</v>
      </c>
      <c r="B1706" s="386" t="n"/>
      <c r="C1706" s="386" t="inlineStr">
        <is>
          <t>Báo cáo theo Thông tư 121/2020/TT-BTC &gt;&gt; Tình hình đầu tư, góp vốn vào tổ chức khác - II.11.2.CP nước ngoài</t>
        </is>
      </c>
      <c r="D1706" s="106" t="inlineStr">
        <is>
          <t>Mã báo cáo</t>
        </is>
      </c>
      <c r="E1706" s="107" t="inlineStr">
        <is>
          <t>Mã báo cáo</t>
        </is>
      </c>
      <c r="F1706" s="390" t="inlineStr">
        <is>
          <t>Data Explorer</t>
        </is>
      </c>
      <c r="G1706" s="390" t="inlineStr">
        <is>
          <t>Chiều</t>
        </is>
      </c>
      <c r="H1706" s="390" t="inlineStr">
        <is>
          <t>Dễ</t>
        </is>
      </c>
      <c r="I1706" s="390" t="inlineStr">
        <is>
          <t>Ngày, CTCK</t>
        </is>
      </c>
      <c r="J1706" s="401" t="inlineStr">
        <is>
          <t>SCMS</t>
        </is>
      </c>
      <c r="K1706" s="401" t="inlineStr">
        <is>
          <t>X</t>
        </is>
      </c>
      <c r="L1706" s="395" t="inlineStr">
        <is>
          <t>X</t>
        </is>
      </c>
      <c r="M1706" s="401" t="n"/>
      <c r="N1706" s="395" t="inlineStr">
        <is>
          <t>Done</t>
        </is>
      </c>
      <c r="O1706" s="401" t="n"/>
      <c r="P1706" s="395" t="n"/>
      <c r="S1706" s="395" t="n"/>
      <c r="U1706" s="386" t="n"/>
      <c r="V1706" s="395" t="n"/>
      <c r="W1706" s="395" t="n"/>
      <c r="X1706" s="395" t="n"/>
      <c r="Y1706" s="13" t="n"/>
      <c r="Z1706" s="395" t="n"/>
      <c r="AA1706" s="395" t="n"/>
      <c r="AB1706" s="395" t="n"/>
      <c r="AC1706" s="395" t="n"/>
      <c r="AD1706" s="395" t="n"/>
      <c r="AE1706" s="395" t="n"/>
    </row>
    <row r="1707" ht="70" customHeight="1" s="380">
      <c r="A1707" s="73" t="n">
        <v>86</v>
      </c>
      <c r="B1707" s="386" t="n"/>
      <c r="C1707" s="386" t="inlineStr">
        <is>
          <t>Báo cáo theo Thông tư 121/2020/TT-BTC &gt;&gt; Tình hình đầu tư, góp vốn vào tổ chức khác - II.11.2.CP nước ngoài</t>
        </is>
      </c>
      <c r="D1707" s="106" t="inlineStr">
        <is>
          <t>Tên báo cáo</t>
        </is>
      </c>
      <c r="E1707" s="107" t="inlineStr">
        <is>
          <t>Tên báo cáo</t>
        </is>
      </c>
      <c r="F1707" s="390" t="inlineStr">
        <is>
          <t>Data Explorer</t>
        </is>
      </c>
      <c r="G1707" s="390" t="inlineStr">
        <is>
          <t>Chiều</t>
        </is>
      </c>
      <c r="H1707" s="390" t="inlineStr">
        <is>
          <t>Dễ</t>
        </is>
      </c>
      <c r="I1707" s="390" t="inlineStr">
        <is>
          <t>Ngày, CTCK</t>
        </is>
      </c>
      <c r="J1707" s="401" t="inlineStr">
        <is>
          <t>SCMS</t>
        </is>
      </c>
      <c r="K1707" s="401" t="inlineStr">
        <is>
          <t>X</t>
        </is>
      </c>
      <c r="L1707" s="395" t="inlineStr">
        <is>
          <t>X</t>
        </is>
      </c>
      <c r="M1707" s="401" t="n"/>
      <c r="N1707" s="395" t="inlineStr">
        <is>
          <t>Done</t>
        </is>
      </c>
      <c r="O1707" s="401" t="n"/>
      <c r="P1707" s="395" t="n"/>
      <c r="S1707" s="395" t="n"/>
      <c r="U1707" s="386" t="n"/>
      <c r="V1707" s="395" t="n"/>
      <c r="W1707" s="395" t="n"/>
      <c r="X1707" s="395" t="n"/>
      <c r="Y1707" s="13" t="n"/>
      <c r="Z1707" s="395" t="n"/>
      <c r="AA1707" s="395" t="n"/>
      <c r="AB1707" s="395" t="n"/>
      <c r="AC1707" s="395" t="n"/>
      <c r="AD1707" s="395" t="n"/>
      <c r="AE1707" s="395" t="n"/>
    </row>
    <row r="1708" ht="70" customHeight="1" s="380">
      <c r="A1708" s="73" t="n">
        <v>86</v>
      </c>
      <c r="B1708" s="386" t="n"/>
      <c r="C1708" s="386" t="inlineStr">
        <is>
          <t>Báo cáo theo Thông tư 121/2020/TT-BTC &gt;&gt; Tình hình đầu tư, góp vốn vào tổ chức khác - II.11.2.CP nước ngoài</t>
        </is>
      </c>
      <c r="D1708" s="106" t="inlineStr">
        <is>
          <t>Mã sheet</t>
        </is>
      </c>
      <c r="E1708" s="106" t="inlineStr">
        <is>
          <t>Mã sheet</t>
        </is>
      </c>
      <c r="F1708" s="390" t="inlineStr">
        <is>
          <t>Data Explorer</t>
        </is>
      </c>
      <c r="G1708" s="390" t="inlineStr">
        <is>
          <t>Chiều</t>
        </is>
      </c>
      <c r="H1708" s="390" t="inlineStr">
        <is>
          <t>Dễ</t>
        </is>
      </c>
      <c r="I1708" s="390" t="inlineStr">
        <is>
          <t>Ngày, CTCK</t>
        </is>
      </c>
      <c r="J1708" s="401" t="inlineStr">
        <is>
          <t>SCMS</t>
        </is>
      </c>
      <c r="K1708" s="401" t="inlineStr">
        <is>
          <t>X</t>
        </is>
      </c>
      <c r="L1708" s="395" t="inlineStr">
        <is>
          <t>X</t>
        </is>
      </c>
      <c r="M1708" s="401" t="n"/>
      <c r="N1708" s="395" t="inlineStr">
        <is>
          <t>Done</t>
        </is>
      </c>
      <c r="O1708" s="401" t="n"/>
      <c r="P1708" s="395" t="n"/>
      <c r="Q1708" s="401" t="inlineStr">
        <is>
          <t>SCMS.BM_BAO_CAO
SCMS.BM_SHEET</t>
        </is>
      </c>
      <c r="R1708" s="401" t="inlineStr">
        <is>
          <t>bm.ID,
bm.MA_BAO_CAO,
bm.SU_DUNG,
s.BM_BAO_CAO_ID,
s.MA_SHEET,
s.TEN_SHEET,
s.SAP_XEP</t>
        </is>
      </c>
      <c r="S1708" s="395" t="n"/>
      <c r="T1708" s="384" t="inlineStr">
        <is>
          <t>-- Mã sheet / Tên sheet
-- TEN_SHEET: THDTGV
SELECT bm.MA_BAO_CAO,
s.MA_SHEET,
s.TEN_SHEET
FROM SCMS.BM_BAO_CAO bm
JOIN SCMS.BM_SHEET s ON s.BM_BAO_CAO_ID = bm.ID
WHERE bm.MA_BAO_CAO LIKE 'BCTHHDKD%'
AND s.TEN_SHEET = 'THDTGV'  -- Check lại
AND bm.SU_DUNG = 1
ORDER BY bm.MA_BAO_CAO, s.SAP_XEP;</t>
        </is>
      </c>
      <c r="U1708" s="386" t="n"/>
      <c r="V1708" s="395" t="n"/>
      <c r="W1708" s="395" t="n"/>
      <c r="X1708" s="395" t="n"/>
      <c r="Y1708" s="13" t="n"/>
      <c r="Z1708" s="395" t="n"/>
      <c r="AA1708" s="395" t="n"/>
      <c r="AB1708" s="395" t="n"/>
      <c r="AC1708" s="395" t="n"/>
      <c r="AD1708" s="395" t="n"/>
      <c r="AE1708" s="395" t="n"/>
    </row>
    <row r="1709" ht="70" customHeight="1" s="380">
      <c r="A1709" s="73" t="n">
        <v>86</v>
      </c>
      <c r="B1709" s="386" t="n"/>
      <c r="C1709" s="386" t="inlineStr">
        <is>
          <t>Báo cáo theo Thông tư 121/2020/TT-BTC &gt;&gt; Tình hình đầu tư, góp vốn vào tổ chức khác - II.11.2.CP nước ngoài</t>
        </is>
      </c>
      <c r="D1709" s="106" t="inlineStr">
        <is>
          <t>Tên sheet</t>
        </is>
      </c>
      <c r="E1709" s="106" t="inlineStr">
        <is>
          <t>Tên sheet</t>
        </is>
      </c>
      <c r="F1709" s="390" t="inlineStr">
        <is>
          <t>Data Explorer</t>
        </is>
      </c>
      <c r="G1709" s="390" t="inlineStr">
        <is>
          <t>Chiều</t>
        </is>
      </c>
      <c r="H1709" s="390" t="inlineStr">
        <is>
          <t>Dễ</t>
        </is>
      </c>
      <c r="I1709" s="390" t="inlineStr">
        <is>
          <t>Ngày, CTCK</t>
        </is>
      </c>
      <c r="J1709" s="401" t="inlineStr">
        <is>
          <t>SCMS</t>
        </is>
      </c>
      <c r="K1709" s="401" t="inlineStr">
        <is>
          <t>X</t>
        </is>
      </c>
      <c r="L1709" s="395" t="inlineStr">
        <is>
          <t>X</t>
        </is>
      </c>
      <c r="M1709" s="401" t="n"/>
      <c r="N1709" s="395" t="inlineStr">
        <is>
          <t>Done</t>
        </is>
      </c>
      <c r="O1709" s="401" t="n"/>
      <c r="P1709" s="395" t="n"/>
      <c r="S1709" s="395" t="n"/>
      <c r="U1709" s="386" t="n"/>
      <c r="V1709" s="395" t="n"/>
      <c r="W1709" s="395" t="n"/>
      <c r="X1709" s="395" t="n"/>
      <c r="Y1709" s="13" t="n"/>
      <c r="Z1709" s="395" t="n"/>
      <c r="AA1709" s="395" t="n"/>
      <c r="AB1709" s="395" t="n"/>
      <c r="AC1709" s="395" t="n"/>
      <c r="AD1709" s="395" t="n"/>
      <c r="AE1709" s="395" t="n"/>
    </row>
    <row r="1710" ht="70" customHeight="1" s="380">
      <c r="A1710" s="73" t="n">
        <v>86</v>
      </c>
      <c r="B1710" s="386" t="n"/>
      <c r="C1710" s="386" t="inlineStr">
        <is>
          <t>Báo cáo theo Thông tư 121/2020/TT-BTC &gt;&gt; Tình hình đầu tư, góp vốn vào tổ chức khác - II.11.2.CP nước ngoài</t>
        </is>
      </c>
      <c r="D1710" s="106" t="inlineStr">
        <is>
          <t>Mã chỉ tiêu</t>
        </is>
      </c>
      <c r="E1710" s="107" t="inlineStr">
        <is>
          <t>Mã chỉ tiêu</t>
        </is>
      </c>
      <c r="F1710" s="390" t="inlineStr">
        <is>
          <t>Data Explorer</t>
        </is>
      </c>
      <c r="G1710" s="390" t="inlineStr">
        <is>
          <t>Chiều</t>
        </is>
      </c>
      <c r="H1710" s="390" t="inlineStr">
        <is>
          <t>Dễ</t>
        </is>
      </c>
      <c r="I1710" s="390" t="inlineStr">
        <is>
          <t>Ngày, CTCK</t>
        </is>
      </c>
      <c r="J1710" s="401" t="inlineStr">
        <is>
          <t>SCMS</t>
        </is>
      </c>
      <c r="K1710" s="401" t="inlineStr">
        <is>
          <t>X</t>
        </is>
      </c>
      <c r="L1710" s="395" t="inlineStr">
        <is>
          <t>X</t>
        </is>
      </c>
      <c r="M1710" s="401" t="n"/>
      <c r="N1710" s="395" t="inlineStr">
        <is>
          <t>Done</t>
        </is>
      </c>
      <c r="O1710" s="401" t="n"/>
      <c r="P1710" s="395" t="n"/>
      <c r="Q1710" s="401" t="inlineStr">
        <is>
          <t>SCMS.BM_BAO_CAO
SCMS.BM_SHEET
SCMS.BM_BAO_CAO_CT
SCMS.DM_CHI_TIEU</t>
        </is>
      </c>
      <c r="R1710" s="402" t="inlineStr">
        <is>
          <t>dct.ID,
dct.MA_CHI_TIEU,
dct.TEN_CHI_TIEU,
dct.SU_DUNG,
s.BM_BAO_CAO_ID,
s.MA_SHEET,
ct.BM_BAO_CAO_ID,
ct.DM_CHI_TIEU_ID,
ct.SU_DUNG,
bm.ID,
bm.MA_BAO_CAO,
bm.SU_DUNG</t>
        </is>
      </c>
      <c r="S1710" s="395" t="n"/>
      <c r="T1710" s="384" t="inlineStr">
        <is>
          <t>-- Mã chỉ tiêu / Tên chỉ tiêu
SELECT DISTINCT
    dct.MA_CHI_TIEU  AS ma_chi_tieu,
    dct.TEN_CHI_TIEU AS ten_chi_tieu
FROM SCMS.BM_BAO_CAO bm
JOIN SCMS.BM_SHEET s ON s.BM_BAO_CAO_ID = bm.ID
	AND s.TEN_SHEET = 'THDTGV'
JOIN SCMS.BM_BAO_CAO_CT ct ON ct.BM_SHEET_ID = s.ID
	AND ct.SU_DUNG = 1
JOIN SCMS.DM_CHI_TIEU dct ON dct.ID = ct.DM_CHI_TIEU_ID
	AND dct.SU_DUNG = 1
WHERE bm.MA_BAO_CAO LIKE 'BCTHHDKD%'
	AND bm.SU_DUNG = 1
ORDER BY dct.MA_CHI_TIEU;</t>
        </is>
      </c>
      <c r="U1710" s="386" t="n"/>
      <c r="V1710" s="395" t="n"/>
      <c r="W1710" s="395" t="n"/>
      <c r="X1710" s="395" t="n"/>
      <c r="Y1710" s="13" t="n"/>
      <c r="Z1710" s="395" t="n"/>
      <c r="AA1710" s="395" t="n"/>
      <c r="AB1710" s="395" t="n"/>
      <c r="AC1710" s="395" t="n"/>
      <c r="AD1710" s="395" t="n"/>
      <c r="AE1710" s="395" t="n"/>
    </row>
    <row r="1711" ht="70" customHeight="1" s="380">
      <c r="A1711" s="73" t="n">
        <v>86</v>
      </c>
      <c r="B1711" s="386" t="n"/>
      <c r="C1711" s="386" t="inlineStr">
        <is>
          <t>Báo cáo theo Thông tư 121/2020/TT-BTC &gt;&gt; Tình hình đầu tư, góp vốn vào tổ chức khác - II.11.2.CP nước ngoài</t>
        </is>
      </c>
      <c r="D1711" s="106" t="inlineStr">
        <is>
          <t>Tên chỉ tiêu</t>
        </is>
      </c>
      <c r="E1711" s="107" t="inlineStr">
        <is>
          <t>Tên chỉ tiêu</t>
        </is>
      </c>
      <c r="F1711" s="390" t="inlineStr">
        <is>
          <t>Data Explorer</t>
        </is>
      </c>
      <c r="G1711" s="390" t="inlineStr">
        <is>
          <t>Chiều</t>
        </is>
      </c>
      <c r="H1711" s="390" t="inlineStr">
        <is>
          <t>Dễ</t>
        </is>
      </c>
      <c r="I1711" s="390" t="inlineStr">
        <is>
          <t>Ngày, CTCK</t>
        </is>
      </c>
      <c r="J1711" s="401" t="inlineStr">
        <is>
          <t>SCMS</t>
        </is>
      </c>
      <c r="K1711" s="401" t="inlineStr">
        <is>
          <t>X</t>
        </is>
      </c>
      <c r="L1711" s="395" t="inlineStr">
        <is>
          <t>X</t>
        </is>
      </c>
      <c r="M1711" s="401" t="n"/>
      <c r="N1711" s="395" t="inlineStr">
        <is>
          <t>Done</t>
        </is>
      </c>
      <c r="O1711" s="401" t="n"/>
      <c r="P1711" s="395" t="n"/>
      <c r="S1711" s="395" t="n"/>
      <c r="U1711" s="386" t="n"/>
      <c r="V1711" s="395" t="n"/>
      <c r="W1711" s="395" t="n"/>
      <c r="X1711" s="395" t="n"/>
      <c r="Y1711" s="38" t="n"/>
      <c r="Z1711" s="395" t="n"/>
      <c r="AA1711" s="395" t="n"/>
      <c r="AB1711" s="395" t="n"/>
      <c r="AC1711" s="395" t="n"/>
      <c r="AD1711" s="395" t="n"/>
      <c r="AE1711" s="395" t="n"/>
    </row>
    <row r="1712" ht="70" customHeight="1" s="380">
      <c r="A1712" s="73" t="n">
        <v>86</v>
      </c>
      <c r="B1712" s="386" t="n"/>
      <c r="C1712" s="386" t="inlineStr">
        <is>
          <t>Báo cáo theo Thông tư 121/2020/TT-BTC &gt;&gt; Tình hình đầu tư, góp vốn vào tổ chức khác - II.11.2.CP nước ngoài</t>
        </is>
      </c>
      <c r="D1712" s="386" t="inlineStr">
        <is>
          <t>Tên công ty chứng khoán</t>
        </is>
      </c>
      <c r="E1712" s="386" t="inlineStr">
        <is>
          <t>Tên công ty chứng khoán</t>
        </is>
      </c>
      <c r="F1712" s="386" t="inlineStr">
        <is>
          <t>Data Explorer</t>
        </is>
      </c>
      <c r="G1712" s="386" t="inlineStr">
        <is>
          <t>Chỉ tiêu cơ sở</t>
        </is>
      </c>
      <c r="H1712" s="386" t="inlineStr">
        <is>
          <t>Trùng</t>
        </is>
      </c>
      <c r="I1712" s="386" t="inlineStr">
        <is>
          <t>Ngày, CTCK</t>
        </is>
      </c>
      <c r="J1712" s="395" t="inlineStr">
        <is>
          <t>SCMS</t>
        </is>
      </c>
      <c r="K1712" s="395" t="n"/>
      <c r="L1712" s="395" t="inlineStr">
        <is>
          <t>X</t>
        </is>
      </c>
      <c r="M1712" s="395" t="n"/>
      <c r="N1712" s="395" t="inlineStr">
        <is>
          <t>Done</t>
        </is>
      </c>
      <c r="O1712" s="401" t="n"/>
      <c r="P1712" s="395" t="n"/>
      <c r="Q1712" s="427" t="inlineStr">
        <is>
          <t>SCMS.BC_THANH_VIEN
SCMS.BM_BAO_CAO
SCMS.BC_BAO_CAO_GT
SCMS.BM_BAO_CAO_HANG
SCMS.BM_BAO_CAO_COT
SCMS.CTCK_THONG_TIN</t>
        </is>
      </c>
      <c r="R1712" s="427" t="inlineStr">
        <is>
          <t>btv.ID,
btv.NGAY_SO_LIEU,
btv.BM_BAO_CAO_ID,
btv.CTCK_THONG_TIN_ID,
btv.TRANG_THAI,
c.CTCK_THONG_TIN_ID,
bsh.ID,
bsh.MA_HANG,
bsc.TEN_COT,
bsc.BM_SHEET_ID,
gt.BC_THANH_VIEN_ID,
gt.BM_SHEET_HANG_ID,
gt.GIA_TRI,
bm.ID,
bm.MA_BAO_CAO</t>
        </is>
      </c>
      <c r="S1712" s="395" t="n"/>
      <c r="T1712"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 Chỉ tiêu "Tên tổ chức khác" chưa xác định được lưu ở đâu?
    MAX(CASE WHEN bsh.MA_HANG='2' AND bsc.TEN_COT=N'Số lượng cổ phiếu nắm giữ' THEN CAST(gt.GIA_TRI AS VARCHAR2(4000)) END) AS "Số lượng cổ phiếu nắm giữ",
    MAX(CASE WHEN bsh.MA_HANG='2' AND bsc.TEN_COT=N'Giá trị cổ phiếu nắm giữ (triệu đồng)' THEN CAST(gt.GIA_TRI AS VARCHAR2(4000)) END) AS "Giá trị cổ phiếu nắm giữ",
    MAX(CASE WHEN bsh.MA_HANG='2' AND bsc.TEN_COT=N'Tỷ lệ đầu tư' THEN CAST(gt.GIA_TRI AS VARCHAR2(4000)) END) AS "Tỷ lệ đầu tư"
FROM SCMS.BC_THANH_VIEN btv
JOIN SCMS.BM_BAO_CAO bm ON bm.ID = btv.BM_BAO_CAO_ID
JOIN SCMS.BC_BAO_CAO_GT gt ON gt.BC_THANH_VIEN_ID = btv.ID
JOIN SCMS.BM_BAO_CAO_HANG bsh ON bsh.ID = gt.BM_SHEET_HANG_ID
JOIN SCMS.BM_BAO_CAO_COT bsc ON bsc.BM_SHEET_ID = 7431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is>
      </c>
      <c r="U1712" s="386" t="n"/>
      <c r="V1712" s="395" t="n"/>
      <c r="W1712" s="395" t="n"/>
      <c r="X1712" s="395" t="n"/>
      <c r="Y1712" s="13" t="n"/>
      <c r="Z1712" s="395" t="n"/>
      <c r="AA1712" s="395" t="n"/>
      <c r="AB1712" s="395" t="n"/>
      <c r="AC1712" s="395" t="n"/>
      <c r="AD1712" s="395" t="n"/>
      <c r="AE1712" s="395" t="n"/>
    </row>
    <row r="1713" ht="70" customHeight="1" s="380">
      <c r="A1713" s="73" t="n">
        <v>86</v>
      </c>
      <c r="B1713" s="386" t="n"/>
      <c r="C1713" s="386" t="inlineStr">
        <is>
          <t>Báo cáo theo Thông tư 121/2020/TT-BTC &gt;&gt; Tình hình đầu tư, góp vốn vào tổ chức khác - II.11.2.CP nước ngoài</t>
        </is>
      </c>
      <c r="D1713" s="386" t="inlineStr">
        <is>
          <t>Sàn giao dịch</t>
        </is>
      </c>
      <c r="E1713" s="386" t="inlineStr">
        <is>
          <t>Sàn giao dịch</t>
        </is>
      </c>
      <c r="F1713" s="386" t="inlineStr">
        <is>
          <t>Data Explorer</t>
        </is>
      </c>
      <c r="G1713" s="386" t="inlineStr">
        <is>
          <t>Chỉ tiêu cơ sở</t>
        </is>
      </c>
      <c r="H1713" s="386" t="inlineStr">
        <is>
          <t>Trùng</t>
        </is>
      </c>
      <c r="I1713" s="386" t="inlineStr">
        <is>
          <t>Ngày, CTCK</t>
        </is>
      </c>
      <c r="J1713" s="395" t="inlineStr">
        <is>
          <t>SCMS</t>
        </is>
      </c>
      <c r="K1713" s="395" t="n"/>
      <c r="L1713" s="395" t="inlineStr">
        <is>
          <t>X</t>
        </is>
      </c>
      <c r="M1713" s="395" t="n"/>
      <c r="N1713" s="395" t="inlineStr">
        <is>
          <t>Done</t>
        </is>
      </c>
      <c r="O1713" s="401" t="n"/>
      <c r="P1713" s="395" t="n"/>
      <c r="S1713" s="395" t="n"/>
      <c r="U1713" s="386" t="n"/>
      <c r="V1713" s="395" t="n"/>
      <c r="W1713" s="395" t="n"/>
      <c r="X1713" s="395" t="n"/>
      <c r="Y1713" s="13" t="n"/>
      <c r="Z1713" s="395" t="n"/>
      <c r="AA1713" s="395" t="n"/>
      <c r="AB1713" s="395" t="n"/>
      <c r="AC1713" s="395" t="n"/>
      <c r="AD1713" s="395" t="n"/>
      <c r="AE1713" s="395" t="n"/>
    </row>
    <row r="1714" ht="70" customHeight="1" s="380">
      <c r="A1714" s="73" t="n">
        <v>86</v>
      </c>
      <c r="B1714" s="386" t="n"/>
      <c r="C1714" s="386" t="inlineStr">
        <is>
          <t>Báo cáo theo Thông tư 121/2020/TT-BTC &gt;&gt; Tình hình đầu tư, góp vốn vào tổ chức khác - II.11.2.CP nước ngoài</t>
        </is>
      </c>
      <c r="D1714" s="386" t="inlineStr">
        <is>
          <t>Mã chứng khoán</t>
        </is>
      </c>
      <c r="E1714" s="386" t="inlineStr">
        <is>
          <t>Mã chứng khoán</t>
        </is>
      </c>
      <c r="F1714" s="386" t="inlineStr">
        <is>
          <t>Data Explorer</t>
        </is>
      </c>
      <c r="G1714" s="386" t="inlineStr">
        <is>
          <t>Chỉ tiêu cơ sở</t>
        </is>
      </c>
      <c r="H1714" s="386" t="inlineStr">
        <is>
          <t>Trùng</t>
        </is>
      </c>
      <c r="I1714" s="386" t="inlineStr">
        <is>
          <t>Ngày, CTCK</t>
        </is>
      </c>
      <c r="J1714" s="395" t="inlineStr">
        <is>
          <t>SCMS</t>
        </is>
      </c>
      <c r="K1714" s="395" t="n"/>
      <c r="L1714" s="395" t="inlineStr">
        <is>
          <t>X</t>
        </is>
      </c>
      <c r="M1714" s="395" t="n"/>
      <c r="N1714" s="395" t="inlineStr">
        <is>
          <t>Done</t>
        </is>
      </c>
      <c r="O1714" s="401" t="n"/>
      <c r="P1714" s="395" t="n"/>
      <c r="S1714" s="395" t="n"/>
      <c r="U1714" s="386" t="n"/>
      <c r="V1714" s="395" t="n"/>
      <c r="W1714" s="395" t="n"/>
      <c r="X1714" s="395" t="n"/>
      <c r="Y1714" s="13" t="n"/>
      <c r="Z1714" s="395" t="n"/>
      <c r="AA1714" s="395" t="n"/>
      <c r="AB1714" s="395" t="n"/>
      <c r="AC1714" s="395" t="n"/>
      <c r="AD1714" s="395" t="n"/>
      <c r="AE1714" s="395" t="n"/>
    </row>
    <row r="1715" ht="70" customHeight="1" s="380">
      <c r="A1715" s="73" t="n">
        <v>86</v>
      </c>
      <c r="B1715" s="386" t="n"/>
      <c r="C1715" s="386" t="inlineStr">
        <is>
          <t>Báo cáo theo Thông tư 121/2020/TT-BTC &gt;&gt; Tình hình đầu tư, góp vốn vào tổ chức khác - II.11.2.CP nước ngoài</t>
        </is>
      </c>
      <c r="D1715" s="386" t="inlineStr">
        <is>
          <t>Giấy phép &gt;&gt; Số</t>
        </is>
      </c>
      <c r="E1715" s="386" t="inlineStr">
        <is>
          <t>Giấy phép &gt;&gt; Số</t>
        </is>
      </c>
      <c r="F1715" s="386" t="inlineStr">
        <is>
          <t>Data Explorer</t>
        </is>
      </c>
      <c r="G1715" s="386" t="inlineStr">
        <is>
          <t>Chỉ tiêu cơ sở</t>
        </is>
      </c>
      <c r="H1715" s="386" t="inlineStr">
        <is>
          <t>Trùng</t>
        </is>
      </c>
      <c r="I1715" s="386" t="inlineStr">
        <is>
          <t>Ngày, CTCK</t>
        </is>
      </c>
      <c r="J1715" s="395" t="inlineStr">
        <is>
          <t>SCMS</t>
        </is>
      </c>
      <c r="K1715" s="395" t="n"/>
      <c r="L1715" s="395" t="inlineStr">
        <is>
          <t>X</t>
        </is>
      </c>
      <c r="M1715" s="395" t="n"/>
      <c r="N1715" s="395" t="inlineStr">
        <is>
          <t>Done</t>
        </is>
      </c>
      <c r="O1715" s="401" t="n"/>
      <c r="P1715" s="395" t="n"/>
      <c r="S1715" s="395" t="n"/>
      <c r="U1715" s="386" t="n"/>
      <c r="V1715" s="395" t="n"/>
      <c r="W1715" s="395" t="n"/>
      <c r="X1715" s="395" t="n"/>
      <c r="Y1715" s="13" t="n"/>
      <c r="Z1715" s="395" t="n"/>
      <c r="AA1715" s="395" t="n"/>
      <c r="AB1715" s="395" t="n"/>
      <c r="AC1715" s="395" t="n"/>
      <c r="AD1715" s="395" t="n"/>
      <c r="AE1715" s="395" t="n"/>
    </row>
    <row r="1716" ht="70" customHeight="1" s="380">
      <c r="A1716" s="73" t="n">
        <v>86</v>
      </c>
      <c r="B1716" s="386" t="n"/>
      <c r="C1716" s="386" t="inlineStr">
        <is>
          <t>Báo cáo theo Thông tư 121/2020/TT-BTC &gt;&gt; Tình hình đầu tư, góp vốn vào tổ chức khác - II.11.2.CP nước ngoài</t>
        </is>
      </c>
      <c r="D1716" s="386" t="inlineStr">
        <is>
          <t>Giấy phép &gt;&gt; Ngày cấp
(Ngày/tháng/năm)</t>
        </is>
      </c>
      <c r="E1716" s="386" t="inlineStr">
        <is>
          <t>Giấy phép &gt;&gt; Ngày cấp
(Ngày/tháng/năm)</t>
        </is>
      </c>
      <c r="F1716" s="386" t="inlineStr">
        <is>
          <t>Data Explorer</t>
        </is>
      </c>
      <c r="G1716" s="386" t="inlineStr">
        <is>
          <t>Chỉ tiêu cơ sở</t>
        </is>
      </c>
      <c r="H1716" s="386" t="inlineStr">
        <is>
          <t>Trùng</t>
        </is>
      </c>
      <c r="I1716" s="386" t="inlineStr">
        <is>
          <t>Ngày, CTCK</t>
        </is>
      </c>
      <c r="J1716" s="395" t="inlineStr">
        <is>
          <t>SCMS</t>
        </is>
      </c>
      <c r="K1716" s="395" t="n"/>
      <c r="L1716" s="395" t="inlineStr">
        <is>
          <t>X</t>
        </is>
      </c>
      <c r="M1716" s="395" t="n"/>
      <c r="N1716" s="395" t="inlineStr">
        <is>
          <t>Done</t>
        </is>
      </c>
      <c r="O1716" s="401" t="n"/>
      <c r="P1716" s="395" t="n"/>
      <c r="S1716" s="395" t="n"/>
      <c r="U1716" s="386" t="n"/>
      <c r="V1716" s="395" t="n"/>
      <c r="W1716" s="395" t="n"/>
      <c r="X1716" s="395" t="n"/>
      <c r="Y1716" s="13" t="n"/>
      <c r="Z1716" s="395" t="n"/>
      <c r="AA1716" s="395" t="n"/>
      <c r="AB1716" s="395" t="n"/>
      <c r="AC1716" s="395" t="n"/>
      <c r="AD1716" s="395" t="n"/>
      <c r="AE1716" s="395" t="n"/>
    </row>
    <row r="1717" ht="70" customHeight="1" s="380">
      <c r="A1717" s="73" t="n">
        <v>86</v>
      </c>
      <c r="B1717" s="386" t="n"/>
      <c r="C1717" s="386" t="inlineStr">
        <is>
          <t>Báo cáo theo Thông tư 121/2020/TT-BTC &gt;&gt; Tình hình đầu tư, góp vốn vào tổ chức khác - II.11.2.CP nước ngoài</t>
        </is>
      </c>
      <c r="D1717" s="386" t="inlineStr">
        <is>
          <t>Đầu tư ra nước ngoài &gt;&gt; Tên tổ chức khác</t>
        </is>
      </c>
      <c r="E1717" s="386" t="inlineStr">
        <is>
          <t>Đầu tư ra nước ngoài &gt;&gt; Tên tổ chức khác</t>
        </is>
      </c>
      <c r="F1717" s="386" t="inlineStr">
        <is>
          <t>Data Explorer</t>
        </is>
      </c>
      <c r="G1717" s="386" t="inlineStr">
        <is>
          <t>Chỉ tiêu cơ sở</t>
        </is>
      </c>
      <c r="H1717" s="386" t="inlineStr">
        <is>
          <t>TB</t>
        </is>
      </c>
      <c r="I1717" s="386" t="inlineStr">
        <is>
          <t>Ngày, CTCK</t>
        </is>
      </c>
      <c r="J1717" s="395" t="inlineStr">
        <is>
          <t>SCMS</t>
        </is>
      </c>
      <c r="K1717" s="395" t="n"/>
      <c r="L1717" s="395" t="inlineStr">
        <is>
          <t>X</t>
        </is>
      </c>
      <c r="M1717" s="395" t="n"/>
      <c r="N1717" s="395" t="inlineStr">
        <is>
          <t>Pending</t>
        </is>
      </c>
      <c r="O1717" s="401" t="n"/>
      <c r="P1717" s="395" t="n"/>
      <c r="S1717" s="395" t="n"/>
      <c r="U1717" s="20" t="inlineStr">
        <is>
          <t>Chưa xác định được lưu ở đâu?</t>
        </is>
      </c>
      <c r="V1717" s="395" t="n"/>
      <c r="W1717" s="395" t="n"/>
      <c r="X1717" s="395" t="n"/>
      <c r="Y1717" s="14" t="n"/>
      <c r="Z1717" s="395" t="n"/>
      <c r="AA1717" s="395" t="n"/>
      <c r="AB1717" s="395" t="n"/>
      <c r="AC1717" s="395" t="n"/>
      <c r="AD1717" s="395" t="n"/>
      <c r="AE1717" s="395" t="n"/>
    </row>
    <row r="1718" ht="70" customHeight="1" s="380">
      <c r="A1718" s="73" t="n">
        <v>86</v>
      </c>
      <c r="B1718" s="386" t="n"/>
      <c r="C1718" s="386" t="inlineStr">
        <is>
          <t>Báo cáo theo Thông tư 121/2020/TT-BTC &gt;&gt; Tình hình đầu tư, góp vốn vào tổ chức khác - II.11.2.CP nước ngoài</t>
        </is>
      </c>
      <c r="D1718" s="386" t="inlineStr">
        <is>
          <t>Đầu tư ra nước ngoài &gt;&gt; Số lượng cổ phiếu nắm giữ</t>
        </is>
      </c>
      <c r="E1718" s="386" t="inlineStr">
        <is>
          <t>Đầu tư ra nước ngoài &gt;&gt; Số lượng cổ phiếu nắm giữ</t>
        </is>
      </c>
      <c r="F1718" s="386" t="inlineStr">
        <is>
          <t>Data Explorer</t>
        </is>
      </c>
      <c r="G1718" s="386" t="inlineStr">
        <is>
          <t>Chỉ tiêu cơ sở</t>
        </is>
      </c>
      <c r="H1718" s="386" t="inlineStr">
        <is>
          <t>TB</t>
        </is>
      </c>
      <c r="I1718" s="386" t="inlineStr">
        <is>
          <t>Ngày, CTCK</t>
        </is>
      </c>
      <c r="J1718" s="395" t="inlineStr">
        <is>
          <t>SCMS</t>
        </is>
      </c>
      <c r="K1718" s="395" t="n"/>
      <c r="L1718" s="395" t="inlineStr">
        <is>
          <t>X</t>
        </is>
      </c>
      <c r="M1718" s="395" t="n"/>
      <c r="N1718" s="395" t="inlineStr">
        <is>
          <t>Done</t>
        </is>
      </c>
      <c r="O1718" s="401" t="n"/>
      <c r="P1718" s="395" t="n"/>
      <c r="S1718" s="395" t="n"/>
      <c r="U1718" s="386" t="n"/>
      <c r="V1718" s="395" t="n"/>
      <c r="W1718" s="395" t="n"/>
      <c r="X1718" s="395" t="n"/>
      <c r="Y1718" s="13" t="n"/>
      <c r="Z1718" s="395" t="n"/>
      <c r="AA1718" s="395" t="n"/>
      <c r="AB1718" s="395" t="n"/>
      <c r="AC1718" s="395" t="n"/>
      <c r="AD1718" s="395" t="n"/>
      <c r="AE1718" s="395" t="n"/>
    </row>
    <row r="1719" ht="70" customHeight="1" s="380">
      <c r="A1719" s="73" t="n">
        <v>86</v>
      </c>
      <c r="B1719" s="386" t="n"/>
      <c r="C1719" s="386" t="inlineStr">
        <is>
          <t>Báo cáo theo Thông tư 121/2020/TT-BTC &gt;&gt; Tình hình đầu tư, góp vốn vào tổ chức khác - II.11.2.CP nước ngoài</t>
        </is>
      </c>
      <c r="D1719" s="386" t="inlineStr">
        <is>
          <t>Đầu tư ra nước ngoài &gt;&gt; Giá trị cổ phiếu nắm giữ (Triệu đồng)</t>
        </is>
      </c>
      <c r="E1719" s="386" t="inlineStr">
        <is>
          <t>Đầu tư ra nước ngoài &gt;&gt; Giá trị cổ phiếu nắm giữ (Triệu đồng)</t>
        </is>
      </c>
      <c r="F1719" s="386" t="inlineStr">
        <is>
          <t>Data Explorer</t>
        </is>
      </c>
      <c r="G1719" s="386" t="inlineStr">
        <is>
          <t>Chỉ tiêu cơ sở</t>
        </is>
      </c>
      <c r="H1719" s="386" t="inlineStr">
        <is>
          <t>TB</t>
        </is>
      </c>
      <c r="I1719" s="386" t="inlineStr">
        <is>
          <t>Ngày, CTCK</t>
        </is>
      </c>
      <c r="J1719" s="395" t="inlineStr">
        <is>
          <t>SCMS</t>
        </is>
      </c>
      <c r="K1719" s="395" t="n"/>
      <c r="L1719" s="395" t="inlineStr">
        <is>
          <t>X</t>
        </is>
      </c>
      <c r="M1719" s="395" t="n"/>
      <c r="N1719" s="395" t="inlineStr">
        <is>
          <t>Done</t>
        </is>
      </c>
      <c r="O1719" s="401" t="n"/>
      <c r="P1719" s="395" t="n"/>
      <c r="S1719" s="395" t="n"/>
      <c r="U1719" s="386" t="n"/>
      <c r="V1719" s="395" t="n"/>
      <c r="W1719" s="395" t="n"/>
      <c r="X1719" s="395" t="n"/>
      <c r="Y1719" s="13" t="n"/>
      <c r="Z1719" s="395" t="n"/>
      <c r="AA1719" s="395" t="n"/>
      <c r="AB1719" s="395" t="n"/>
      <c r="AC1719" s="395" t="n"/>
      <c r="AD1719" s="395" t="n"/>
      <c r="AE1719" s="395" t="n"/>
    </row>
    <row r="1720" ht="70" customHeight="1" s="380">
      <c r="A1720" s="83" t="n">
        <v>86</v>
      </c>
      <c r="B1720" s="68" t="n"/>
      <c r="C1720" s="68" t="inlineStr">
        <is>
          <t>Báo cáo theo Thông tư 121/2020/TT-BTC &gt;&gt; Tình hình đầu tư, góp vốn vào tổ chức khác - II.11.2.CP nước ngoài</t>
        </is>
      </c>
      <c r="D1720" s="68" t="inlineStr">
        <is>
          <t>Đầu tư ra nước ngoài &gt;&gt; Tỷ lệ đầu tư (%)</t>
        </is>
      </c>
      <c r="E1720" s="68" t="inlineStr">
        <is>
          <t>Đầu tư ra nước ngoài &gt;&gt; Tỷ lệ đầu tư (%)</t>
        </is>
      </c>
      <c r="F1720" s="68" t="inlineStr">
        <is>
          <t>Data Explorer</t>
        </is>
      </c>
      <c r="G1720" s="68" t="inlineStr">
        <is>
          <t>Chỉ tiêu cơ sở</t>
        </is>
      </c>
      <c r="H1720" s="68" t="inlineStr">
        <is>
          <t>TB</t>
        </is>
      </c>
      <c r="I1720" s="68" t="inlineStr">
        <is>
          <t>Ngày, CTCK</t>
        </is>
      </c>
      <c r="J1720" s="69" t="inlineStr">
        <is>
          <t>SCMS</t>
        </is>
      </c>
      <c r="K1720" s="69" t="n"/>
      <c r="L1720" s="69" t="inlineStr">
        <is>
          <t>X</t>
        </is>
      </c>
      <c r="M1720" s="69" t="n"/>
      <c r="N1720" s="69" t="inlineStr">
        <is>
          <t>Done</t>
        </is>
      </c>
      <c r="O1720" s="85" t="n"/>
      <c r="P1720" s="69" t="n"/>
      <c r="Q1720" s="426" t="n"/>
      <c r="R1720" s="426" t="n"/>
      <c r="S1720" s="69" t="n"/>
      <c r="T1720" s="426" t="n"/>
      <c r="U1720" s="68" t="n"/>
      <c r="V1720" s="69" t="n"/>
      <c r="W1720" s="69" t="n"/>
      <c r="X1720" s="69" t="n"/>
      <c r="Y1720" s="97" t="n"/>
      <c r="Z1720" s="69" t="n"/>
      <c r="AA1720" s="69" t="n"/>
      <c r="AB1720" s="69" t="n"/>
      <c r="AC1720" s="69" t="n"/>
      <c r="AD1720" s="69" t="n"/>
      <c r="AE1720" s="69" t="n"/>
    </row>
    <row r="1721" ht="70" customHeight="1" s="380">
      <c r="A1721" s="73" t="n">
        <v>87</v>
      </c>
      <c r="B1721" s="122" t="inlineStr">
        <is>
          <t>Nga</t>
        </is>
      </c>
      <c r="C1721" s="81" t="inlineStr">
        <is>
          <t>Báo cáo theo Thông tư 121/2020/TT-BTC &gt;&gt; Tình hình đầu tư, góp vốn vào tổ chức khác - II.11.3.DA trong nước</t>
        </is>
      </c>
      <c r="D1721" s="106" t="inlineStr">
        <is>
          <t>Loại báo cáo</t>
        </is>
      </c>
      <c r="E1721" s="107" t="inlineStr">
        <is>
          <t>Loại báo cáo</t>
        </is>
      </c>
      <c r="F1721" s="390" t="inlineStr">
        <is>
          <t>Data Explorer</t>
        </is>
      </c>
      <c r="G1721" s="390" t="inlineStr">
        <is>
          <t>Chiều</t>
        </is>
      </c>
      <c r="H1721" s="390" t="inlineStr">
        <is>
          <t>Dễ</t>
        </is>
      </c>
      <c r="I1721" s="390" t="inlineStr">
        <is>
          <t>Ngày, CTCK</t>
        </is>
      </c>
      <c r="J1721" s="401" t="inlineStr">
        <is>
          <t>SCMS</t>
        </is>
      </c>
      <c r="K1721" s="401" t="inlineStr">
        <is>
          <t>X</t>
        </is>
      </c>
      <c r="L1721" s="395" t="inlineStr">
        <is>
          <t>X</t>
        </is>
      </c>
      <c r="M1721" s="401" t="n"/>
      <c r="N1721" s="395" t="inlineStr">
        <is>
          <t>Done</t>
        </is>
      </c>
      <c r="O1721" s="401" t="n"/>
      <c r="P1721" s="395" t="n"/>
      <c r="Q1721" s="404" t="inlineStr">
        <is>
          <t>SCMS.BM_BAO_CAO
SCMS.BM_BAO_CAO_DINH_KY</t>
        </is>
      </c>
      <c r="R1721" s="404" t="inlineStr">
        <is>
          <t>bm.ID,
bm.MA_BAO_CAO,
bm.LOAI_BAO_CAO,
bm.TEN_BAO_CAO,
bm.SU_DUNG,
bdk.BM_BAO_CAO_ID,
bdk.KY_BAO_CAO,
bdk.SU_DUNG</t>
        </is>
      </c>
      <c r="S1721" s="395" t="n"/>
      <c r="T1721"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721" s="386" t="n"/>
      <c r="V1721" s="395" t="n"/>
      <c r="W1721" s="395" t="n"/>
      <c r="X1721" s="395" t="n"/>
      <c r="Y1721" s="13" t="n"/>
      <c r="Z1721" s="395" t="n"/>
      <c r="AA1721" s="395" t="n"/>
      <c r="AB1721" s="395" t="n"/>
      <c r="AC1721" s="395" t="n"/>
      <c r="AD1721" s="395" t="n"/>
      <c r="AE1721" s="395" t="n"/>
    </row>
    <row r="1722" ht="70" customHeight="1" s="380">
      <c r="A1722" s="73" t="n">
        <v>87</v>
      </c>
      <c r="B1722" s="386" t="n"/>
      <c r="C1722" s="386" t="inlineStr">
        <is>
          <t>Báo cáo theo Thông tư 121/2020/TT-BTC &gt;&gt; Tình hình đầu tư, góp vốn vào tổ chức khác - II.11.3.DA trong nước</t>
        </is>
      </c>
      <c r="D1722" s="106" t="inlineStr">
        <is>
          <t>Kỳ báo cáo</t>
        </is>
      </c>
      <c r="E1722" s="107" t="inlineStr">
        <is>
          <t>Kỳ báo cáo</t>
        </is>
      </c>
      <c r="F1722" s="390" t="inlineStr">
        <is>
          <t>Data Explorer</t>
        </is>
      </c>
      <c r="G1722" s="390" t="inlineStr">
        <is>
          <t>Chiều</t>
        </is>
      </c>
      <c r="H1722" s="390" t="inlineStr">
        <is>
          <t>Dễ</t>
        </is>
      </c>
      <c r="I1722" s="390" t="inlineStr">
        <is>
          <t>Ngày, CTCK</t>
        </is>
      </c>
      <c r="J1722" s="401" t="inlineStr">
        <is>
          <t>SCMS</t>
        </is>
      </c>
      <c r="K1722" s="401" t="inlineStr">
        <is>
          <t>X</t>
        </is>
      </c>
      <c r="L1722" s="395" t="inlineStr">
        <is>
          <t>X</t>
        </is>
      </c>
      <c r="M1722" s="401" t="n"/>
      <c r="N1722" s="395" t="inlineStr">
        <is>
          <t>Done</t>
        </is>
      </c>
      <c r="O1722" s="401" t="n"/>
      <c r="P1722" s="395" t="n"/>
      <c r="S1722" s="395" t="n"/>
      <c r="U1722" s="386" t="n"/>
      <c r="V1722" s="395" t="n"/>
      <c r="W1722" s="395" t="n"/>
      <c r="X1722" s="395" t="n"/>
      <c r="Y1722" s="13" t="n"/>
      <c r="Z1722" s="395" t="n"/>
      <c r="AA1722" s="395" t="n"/>
      <c r="AB1722" s="395" t="n"/>
      <c r="AC1722" s="395" t="n"/>
      <c r="AD1722" s="395" t="n"/>
      <c r="AE1722" s="395" t="n"/>
    </row>
    <row r="1723" ht="70" customHeight="1" s="380">
      <c r="A1723" s="73" t="n">
        <v>87</v>
      </c>
      <c r="B1723" s="386" t="n"/>
      <c r="C1723" s="386" t="inlineStr">
        <is>
          <t>Báo cáo theo Thông tư 121/2020/TT-BTC &gt;&gt; Tình hình đầu tư, góp vốn vào tổ chức khác - II.11.3.DA trong nước</t>
        </is>
      </c>
      <c r="D1723" s="106" t="inlineStr">
        <is>
          <t>Mã báo cáo</t>
        </is>
      </c>
      <c r="E1723" s="107" t="inlineStr">
        <is>
          <t>Mã báo cáo</t>
        </is>
      </c>
      <c r="F1723" s="390" t="inlineStr">
        <is>
          <t>Data Explorer</t>
        </is>
      </c>
      <c r="G1723" s="390" t="inlineStr">
        <is>
          <t>Chiều</t>
        </is>
      </c>
      <c r="H1723" s="390" t="inlineStr">
        <is>
          <t>Dễ</t>
        </is>
      </c>
      <c r="I1723" s="390" t="inlineStr">
        <is>
          <t>Ngày, CTCK</t>
        </is>
      </c>
      <c r="J1723" s="401" t="inlineStr">
        <is>
          <t>SCMS</t>
        </is>
      </c>
      <c r="K1723" s="401" t="inlineStr">
        <is>
          <t>X</t>
        </is>
      </c>
      <c r="L1723" s="395" t="inlineStr">
        <is>
          <t>X</t>
        </is>
      </c>
      <c r="M1723" s="401" t="n"/>
      <c r="N1723" s="395" t="inlineStr">
        <is>
          <t>Done</t>
        </is>
      </c>
      <c r="O1723" s="401" t="n"/>
      <c r="P1723" s="395" t="n"/>
      <c r="S1723" s="395" t="n"/>
      <c r="U1723" s="386" t="n"/>
      <c r="V1723" s="395" t="n"/>
      <c r="W1723" s="395" t="n"/>
      <c r="X1723" s="395" t="n"/>
      <c r="Y1723" s="38" t="n"/>
      <c r="Z1723" s="395" t="n"/>
      <c r="AA1723" s="395" t="n"/>
      <c r="AB1723" s="395" t="n"/>
      <c r="AC1723" s="395" t="n"/>
      <c r="AD1723" s="395" t="n"/>
      <c r="AE1723" s="395" t="n"/>
    </row>
    <row r="1724" ht="70" customHeight="1" s="380">
      <c r="A1724" s="73" t="n">
        <v>87</v>
      </c>
      <c r="B1724" s="386" t="n"/>
      <c r="C1724" s="386" t="inlineStr">
        <is>
          <t>Báo cáo theo Thông tư 121/2020/TT-BTC &gt;&gt; Tình hình đầu tư, góp vốn vào tổ chức khác - II.11.3.DA trong nước</t>
        </is>
      </c>
      <c r="D1724" s="106" t="inlineStr">
        <is>
          <t>Tên báo cáo</t>
        </is>
      </c>
      <c r="E1724" s="107" t="inlineStr">
        <is>
          <t>Tên báo cáo</t>
        </is>
      </c>
      <c r="F1724" s="390" t="inlineStr">
        <is>
          <t>Data Explorer</t>
        </is>
      </c>
      <c r="G1724" s="390" t="inlineStr">
        <is>
          <t>Chiều</t>
        </is>
      </c>
      <c r="H1724" s="390" t="inlineStr">
        <is>
          <t>Dễ</t>
        </is>
      </c>
      <c r="I1724" s="390" t="inlineStr">
        <is>
          <t>Ngày, CTCK</t>
        </is>
      </c>
      <c r="J1724" s="401" t="inlineStr">
        <is>
          <t>SCMS</t>
        </is>
      </c>
      <c r="K1724" s="401" t="inlineStr">
        <is>
          <t>X</t>
        </is>
      </c>
      <c r="L1724" s="395" t="inlineStr">
        <is>
          <t>X</t>
        </is>
      </c>
      <c r="M1724" s="401" t="n"/>
      <c r="N1724" s="395" t="inlineStr">
        <is>
          <t>Done</t>
        </is>
      </c>
      <c r="O1724" s="401" t="n"/>
      <c r="P1724" s="395" t="n"/>
      <c r="S1724" s="395" t="n"/>
      <c r="U1724" s="386" t="n"/>
      <c r="V1724" s="395" t="n"/>
      <c r="W1724" s="395" t="n"/>
      <c r="X1724" s="395" t="n"/>
      <c r="Y1724" s="13" t="n"/>
      <c r="Z1724" s="395" t="n"/>
      <c r="AA1724" s="395" t="n"/>
      <c r="AB1724" s="395" t="n"/>
      <c r="AC1724" s="395" t="n"/>
      <c r="AD1724" s="395" t="n"/>
      <c r="AE1724" s="395" t="n"/>
    </row>
    <row r="1725" ht="70" customHeight="1" s="380">
      <c r="A1725" s="73" t="n">
        <v>87</v>
      </c>
      <c r="B1725" s="386" t="n"/>
      <c r="C1725" s="386" t="inlineStr">
        <is>
          <t>Báo cáo theo Thông tư 121/2020/TT-BTC &gt;&gt; Tình hình đầu tư, góp vốn vào tổ chức khác - II.11.3.DA trong nước</t>
        </is>
      </c>
      <c r="D1725" s="106" t="inlineStr">
        <is>
          <t>Mã sheet</t>
        </is>
      </c>
      <c r="E1725" s="106" t="inlineStr">
        <is>
          <t>Mã sheet</t>
        </is>
      </c>
      <c r="F1725" s="390" t="inlineStr">
        <is>
          <t>Data Explorer</t>
        </is>
      </c>
      <c r="G1725" s="390" t="inlineStr">
        <is>
          <t>Chiều</t>
        </is>
      </c>
      <c r="H1725" s="390" t="inlineStr">
        <is>
          <t>Dễ</t>
        </is>
      </c>
      <c r="I1725" s="390" t="inlineStr">
        <is>
          <t>Ngày, CTCK</t>
        </is>
      </c>
      <c r="J1725" s="401" t="inlineStr">
        <is>
          <t>SCMS</t>
        </is>
      </c>
      <c r="K1725" s="401" t="inlineStr">
        <is>
          <t>X</t>
        </is>
      </c>
      <c r="L1725" s="395" t="inlineStr">
        <is>
          <t>X</t>
        </is>
      </c>
      <c r="M1725" s="401" t="n"/>
      <c r="N1725" s="395" t="inlineStr">
        <is>
          <t>Done</t>
        </is>
      </c>
      <c r="O1725" s="401" t="n"/>
      <c r="P1725" s="395" t="n"/>
      <c r="Q1725" s="401" t="inlineStr">
        <is>
          <t>SCMS.BM_BAO_CAO
SCMS.BM_SHEET</t>
        </is>
      </c>
      <c r="R1725" s="401" t="inlineStr">
        <is>
          <t>bm.ID,
bm.MA_BAO_CAO,
bm.SU_DUNG,
s.BM_BAO_CAO_ID,
s.MA_SHEET,
s.TEN_SHEET,
s.SAP_XEP</t>
        </is>
      </c>
      <c r="S1725" s="395" t="n"/>
      <c r="T1725" s="384" t="inlineStr">
        <is>
          <t>-- Mã sheet / Tên sheet
-- TEN_SHEET: THDTGV
SELECT bm.MA_BAO_CAO,
s.MA_SHEET,
s.TEN_SHEET
FROM SCMS.BM_BAO_CAO bm
JOIN SCMS.BM_SHEET s ON s.BM_BAO_CAO_ID = bm.ID
WHERE bm.MA_BAO_CAO LIKE 'BCTHHDKD%'
AND s.TEN_SHEET = 'THDTGV'  -- Check lại
AND bm.SU_DUNG = 1
ORDER BY bm.MA_BAO_CAO, s.SAP_XEP;</t>
        </is>
      </c>
      <c r="U1725" s="386" t="n"/>
      <c r="V1725" s="395" t="n"/>
      <c r="W1725" s="395" t="n"/>
      <c r="X1725" s="395" t="n"/>
      <c r="Y1725" s="13" t="n"/>
      <c r="Z1725" s="395" t="n"/>
      <c r="AA1725" s="395" t="n"/>
      <c r="AB1725" s="395" t="n"/>
      <c r="AC1725" s="395" t="n"/>
      <c r="AD1725" s="395" t="n"/>
      <c r="AE1725" s="395" t="n"/>
    </row>
    <row r="1726" ht="70" customHeight="1" s="380">
      <c r="A1726" s="73" t="n">
        <v>87</v>
      </c>
      <c r="B1726" s="386" t="n"/>
      <c r="C1726" s="386" t="inlineStr">
        <is>
          <t>Báo cáo theo Thông tư 121/2020/TT-BTC &gt;&gt; Tình hình đầu tư, góp vốn vào tổ chức khác - II.11.3.DA trong nước</t>
        </is>
      </c>
      <c r="D1726" s="106" t="inlineStr">
        <is>
          <t>Tên sheet</t>
        </is>
      </c>
      <c r="E1726" s="106" t="inlineStr">
        <is>
          <t>Tên sheet</t>
        </is>
      </c>
      <c r="F1726" s="390" t="inlineStr">
        <is>
          <t>Data Explorer</t>
        </is>
      </c>
      <c r="G1726" s="390" t="inlineStr">
        <is>
          <t>Chiều</t>
        </is>
      </c>
      <c r="H1726" s="390" t="inlineStr">
        <is>
          <t>Dễ</t>
        </is>
      </c>
      <c r="I1726" s="390" t="inlineStr">
        <is>
          <t>Ngày, CTCK</t>
        </is>
      </c>
      <c r="J1726" s="401" t="inlineStr">
        <is>
          <t>SCMS</t>
        </is>
      </c>
      <c r="K1726" s="401" t="inlineStr">
        <is>
          <t>X</t>
        </is>
      </c>
      <c r="L1726" s="395" t="inlineStr">
        <is>
          <t>X</t>
        </is>
      </c>
      <c r="M1726" s="401" t="n"/>
      <c r="N1726" s="395" t="inlineStr">
        <is>
          <t>Done</t>
        </is>
      </c>
      <c r="O1726" s="401" t="n"/>
      <c r="P1726" s="395" t="n"/>
      <c r="S1726" s="395" t="n"/>
      <c r="U1726" s="386" t="n"/>
      <c r="V1726" s="395" t="n"/>
      <c r="W1726" s="395" t="n"/>
      <c r="X1726" s="395" t="n"/>
      <c r="Y1726" s="13" t="n"/>
      <c r="Z1726" s="395" t="n"/>
      <c r="AA1726" s="395" t="n"/>
      <c r="AB1726" s="395" t="n"/>
      <c r="AC1726" s="395" t="n"/>
      <c r="AD1726" s="395" t="n"/>
      <c r="AE1726" s="395" t="n"/>
    </row>
    <row r="1727" ht="70" customHeight="1" s="380">
      <c r="A1727" s="73" t="n">
        <v>87</v>
      </c>
      <c r="B1727" s="386" t="n"/>
      <c r="C1727" s="386" t="inlineStr">
        <is>
          <t>Báo cáo theo Thông tư 121/2020/TT-BTC &gt;&gt; Tình hình đầu tư, góp vốn vào tổ chức khác - II.11.3.DA trong nước</t>
        </is>
      </c>
      <c r="D1727" s="106" t="inlineStr">
        <is>
          <t>Mã chỉ tiêu</t>
        </is>
      </c>
      <c r="E1727" s="107" t="inlineStr">
        <is>
          <t>Mã chỉ tiêu</t>
        </is>
      </c>
      <c r="F1727" s="390" t="inlineStr">
        <is>
          <t>Data Explorer</t>
        </is>
      </c>
      <c r="G1727" s="390" t="inlineStr">
        <is>
          <t>Chiều</t>
        </is>
      </c>
      <c r="H1727" s="390" t="inlineStr">
        <is>
          <t>Dễ</t>
        </is>
      </c>
      <c r="I1727" s="390" t="inlineStr">
        <is>
          <t>Ngày, CTCK</t>
        </is>
      </c>
      <c r="J1727" s="401" t="inlineStr">
        <is>
          <t>SCMS</t>
        </is>
      </c>
      <c r="K1727" s="401" t="inlineStr">
        <is>
          <t>X</t>
        </is>
      </c>
      <c r="L1727" s="395" t="inlineStr">
        <is>
          <t>X</t>
        </is>
      </c>
      <c r="M1727" s="401" t="n"/>
      <c r="N1727" s="395" t="inlineStr">
        <is>
          <t>Done</t>
        </is>
      </c>
      <c r="O1727" s="401" t="n"/>
      <c r="P1727" s="395" t="n"/>
      <c r="Q1727" s="401" t="inlineStr">
        <is>
          <t>SCMS.BM_BAO_CAO
SCMS.BM_SHEET
SCMS.BM_BAO_CAO_CT
SCMS.DM_CHI_TIEU</t>
        </is>
      </c>
      <c r="R1727" s="402" t="inlineStr">
        <is>
          <t>dct.ID,
dct.MA_CHI_TIEU,
dct.TEN_CHI_TIEU,
dct.SU_DUNG,
s.BM_BAO_CAO_ID,
s.MA_SHEET,
ct.BM_BAO_CAO_ID,
ct.DM_CHI_TIEU_ID,
ct.SU_DUNG,
bm.ID,
bm.MA_BAO_CAO,
bm.SU_DUNG</t>
        </is>
      </c>
      <c r="S1727" s="395" t="n"/>
      <c r="T1727" s="384" t="inlineStr">
        <is>
          <t>-- Mã chỉ tiêu / Tên chỉ tiêu
SELECT DISTINCT
    dct.MA_CHI_TIEU  AS ma_chi_tieu,
    dct.TEN_CHI_TIEU AS ten_chi_tieu
FROM SCMS.BM_BAO_CAO bm
JOIN SCMS.BM_SHEET s ON s.BM_BAO_CAO_ID = bm.ID
	AND s.TEN_SHEET = 'THDTGV'
JOIN SCMS.BM_BAO_CAO_CT ct ON ct.BM_SHEET_ID = s.ID
	AND ct.SU_DUNG = 1
JOIN SCMS.DM_CHI_TIEU dct ON dct.ID = ct.DM_CHI_TIEU_ID
	AND dct.SU_DUNG = 1
WHERE bm.MA_BAO_CAO LIKE 'BCTHHDKD%'
	AND bm.SU_DUNG = 1
ORDER BY dct.MA_CHI_TIEU;</t>
        </is>
      </c>
      <c r="U1727" s="386" t="n"/>
      <c r="V1727" s="395" t="n"/>
      <c r="W1727" s="395" t="n"/>
      <c r="X1727" s="395" t="n"/>
      <c r="Y1727" s="13" t="n"/>
      <c r="Z1727" s="395" t="n"/>
      <c r="AA1727" s="395" t="n"/>
      <c r="AB1727" s="395" t="n"/>
      <c r="AC1727" s="395" t="n"/>
      <c r="AD1727" s="395" t="n"/>
      <c r="AE1727" s="395" t="n"/>
    </row>
    <row r="1728" ht="70" customHeight="1" s="380">
      <c r="A1728" s="73" t="n">
        <v>87</v>
      </c>
      <c r="B1728" s="386" t="n"/>
      <c r="C1728" s="386" t="inlineStr">
        <is>
          <t>Báo cáo theo Thông tư 121/2020/TT-BTC &gt;&gt; Tình hình đầu tư, góp vốn vào tổ chức khác - II.11.3.DA trong nước</t>
        </is>
      </c>
      <c r="D1728" s="106" t="inlineStr">
        <is>
          <t>Tên chỉ tiêu</t>
        </is>
      </c>
      <c r="E1728" s="107" t="inlineStr">
        <is>
          <t>Tên chỉ tiêu</t>
        </is>
      </c>
      <c r="F1728" s="390" t="inlineStr">
        <is>
          <t>Data Explorer</t>
        </is>
      </c>
      <c r="G1728" s="390" t="inlineStr">
        <is>
          <t>Chiều</t>
        </is>
      </c>
      <c r="H1728" s="390" t="inlineStr">
        <is>
          <t>Dễ</t>
        </is>
      </c>
      <c r="I1728" s="390" t="inlineStr">
        <is>
          <t>Ngày, CTCK</t>
        </is>
      </c>
      <c r="J1728" s="401" t="inlineStr">
        <is>
          <t>SCMS</t>
        </is>
      </c>
      <c r="K1728" s="401" t="inlineStr">
        <is>
          <t>X</t>
        </is>
      </c>
      <c r="L1728" s="395" t="inlineStr">
        <is>
          <t>X</t>
        </is>
      </c>
      <c r="M1728" s="401" t="n"/>
      <c r="N1728" s="395" t="inlineStr">
        <is>
          <t>Done</t>
        </is>
      </c>
      <c r="O1728" s="401" t="n"/>
      <c r="P1728" s="395" t="n"/>
      <c r="S1728" s="395" t="n"/>
      <c r="U1728" s="386" t="n"/>
      <c r="V1728" s="395" t="n"/>
      <c r="W1728" s="395" t="n"/>
      <c r="X1728" s="395" t="n"/>
      <c r="Y1728" s="13" t="n"/>
      <c r="Z1728" s="395" t="n"/>
      <c r="AA1728" s="395" t="n"/>
      <c r="AB1728" s="395" t="n"/>
      <c r="AC1728" s="395" t="n"/>
      <c r="AD1728" s="395" t="n"/>
      <c r="AE1728" s="395" t="n"/>
    </row>
    <row r="1729" ht="70" customHeight="1" s="380">
      <c r="A1729" s="73" t="n">
        <v>87</v>
      </c>
      <c r="B1729" s="386" t="n"/>
      <c r="C1729" s="386" t="inlineStr">
        <is>
          <t>Báo cáo theo Thông tư 121/2020/TT-BTC &gt;&gt; Tình hình đầu tư, góp vốn vào tổ chức khác - II.11.3.DA trong nước</t>
        </is>
      </c>
      <c r="D1729" s="386" t="inlineStr">
        <is>
          <t>Tên công ty chứng khoán</t>
        </is>
      </c>
      <c r="E1729" s="386" t="inlineStr">
        <is>
          <t>Tên công ty chứng khoán</t>
        </is>
      </c>
      <c r="F1729" s="386" t="inlineStr">
        <is>
          <t>Data Explorer</t>
        </is>
      </c>
      <c r="G1729" s="386" t="inlineStr">
        <is>
          <t>Chỉ tiêu cơ sở</t>
        </is>
      </c>
      <c r="H1729" s="386" t="inlineStr">
        <is>
          <t>Trùng</t>
        </is>
      </c>
      <c r="I1729" s="386" t="inlineStr">
        <is>
          <t>Ngày, CTCK</t>
        </is>
      </c>
      <c r="J1729" s="395" t="inlineStr">
        <is>
          <t>SCMS</t>
        </is>
      </c>
      <c r="K1729" s="395" t="n"/>
      <c r="L1729" s="395" t="inlineStr">
        <is>
          <t>X</t>
        </is>
      </c>
      <c r="M1729" s="395" t="n"/>
      <c r="N1729" s="395" t="inlineStr">
        <is>
          <t>Done</t>
        </is>
      </c>
      <c r="O1729" s="401" t="n"/>
      <c r="P1729" s="395" t="n"/>
      <c r="Q1729" s="427" t="inlineStr">
        <is>
          <t>SCMS.BC_THANH_VIEN
SCMS.BM_BAO_CAO
SCMS.BC_BAO_CAO_GT
SCMS.BM_BAO_CAO_HANG
SCMS.BM_BAO_CAO_COT
SCMS.CTCK_THONG_TIN</t>
        </is>
      </c>
      <c r="R1729" s="427" t="inlineStr">
        <is>
          <t>btv.ID,
btv.NGAY_SO_LIEU,
btv.BM_BAO_CAO_ID,
btv.CTCK_THONG_TIN_ID,
btv.TRANG_THAI,
c.CTCK_THONG_TIN_ID,
bsh.ID,
bsh.MA_HANG,
bsc.TEN_COT,
bsc.BM_SHEET_ID,
gt.BC_THANH_VIEN_ID,
gt.BM_SHEET_HANG_ID,
gt.GIA_TRI,
bm.ID,
bm.MA_BAO_CAO</t>
        </is>
      </c>
      <c r="S1729" s="395" t="n"/>
      <c r="T1729"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 Chỉ tiêu "Tên tổ chức/dự án kinh doanh" chưa xác định được lưu ở đâu?
    MAX(CASE WHEN bsh.MA_HANG='1' AND bsc.TEN_COT=N'Giá trị (triệu đồng)' THEN CAST(gt.GIA_TRI AS VARCHAR2(4000)) END) AS "Giá trị vốn góp vào tổ chức/dự án kinh doanh",
    MAX(CASE WHEN bsh.MA_HANG='1' AND bsc.TEN_COT=N'Tỷ lệ đầu tư (%)' THEN CAST(gt.GIA_TRI AS VARCHAR2(4000)) END) AS "Tỷ lệ đầu tư (%)"
FROM SCMS.BC_THANH_VIEN btv
JOIN SCMS.BM_BAO_CAO bm ON bm.ID = btv.BM_BAO_CAO_ID
JOIN SCMS.BC_BAO_CAO_GT gt ON gt.BC_THANH_VIEN_ID = btv.ID
JOIN SCMS.BM_BAO_CAO_HANG bsh ON bsh.ID = gt.BM_SHEET_HANG_ID
JOIN SCMS.BM_BAO_CAO_COT bsc ON bsc.BM_SHEET_ID = 7431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is>
      </c>
      <c r="U1729" s="386" t="n"/>
      <c r="V1729" s="395" t="n"/>
      <c r="W1729" s="395" t="n"/>
      <c r="X1729" s="395" t="n"/>
      <c r="Y1729" s="13" t="n"/>
      <c r="Z1729" s="395" t="n"/>
      <c r="AA1729" s="395" t="n"/>
      <c r="AB1729" s="395" t="n"/>
      <c r="AC1729" s="395" t="n"/>
      <c r="AD1729" s="395" t="n"/>
      <c r="AE1729" s="395" t="n"/>
    </row>
    <row r="1730" ht="70" customHeight="1" s="380">
      <c r="A1730" s="73" t="n">
        <v>87</v>
      </c>
      <c r="B1730" s="386" t="n"/>
      <c r="C1730" s="386" t="inlineStr">
        <is>
          <t>Báo cáo theo Thông tư 121/2020/TT-BTC &gt;&gt; Tình hình đầu tư, góp vốn vào tổ chức khác - II.11.3.DA trong nước</t>
        </is>
      </c>
      <c r="D1730" s="386" t="inlineStr">
        <is>
          <t>Sàn giao dịch</t>
        </is>
      </c>
      <c r="E1730" s="386" t="inlineStr">
        <is>
          <t>Sàn giao dịch</t>
        </is>
      </c>
      <c r="F1730" s="386" t="inlineStr">
        <is>
          <t>Data Explorer</t>
        </is>
      </c>
      <c r="G1730" s="386" t="inlineStr">
        <is>
          <t>Chỉ tiêu cơ sở</t>
        </is>
      </c>
      <c r="H1730" s="386" t="inlineStr">
        <is>
          <t>Trùng</t>
        </is>
      </c>
      <c r="I1730" s="386" t="inlineStr">
        <is>
          <t>Ngày, CTCK</t>
        </is>
      </c>
      <c r="J1730" s="395" t="inlineStr">
        <is>
          <t>SCMS</t>
        </is>
      </c>
      <c r="K1730" s="395" t="n"/>
      <c r="L1730" s="395" t="inlineStr">
        <is>
          <t>X</t>
        </is>
      </c>
      <c r="M1730" s="395" t="n"/>
      <c r="N1730" s="395" t="inlineStr">
        <is>
          <t>Done</t>
        </is>
      </c>
      <c r="O1730" s="401" t="n"/>
      <c r="P1730" s="395" t="n"/>
      <c r="S1730" s="395" t="n"/>
      <c r="U1730" s="386" t="n"/>
      <c r="V1730" s="395" t="n"/>
      <c r="W1730" s="395" t="n"/>
      <c r="X1730" s="395" t="n"/>
      <c r="Y1730" s="13" t="n"/>
      <c r="Z1730" s="395" t="n"/>
      <c r="AA1730" s="395" t="n"/>
      <c r="AB1730" s="395" t="n"/>
      <c r="AC1730" s="395" t="n"/>
      <c r="AD1730" s="395" t="n"/>
      <c r="AE1730" s="395" t="n"/>
    </row>
    <row r="1731" ht="70" customHeight="1" s="380">
      <c r="A1731" s="73" t="n">
        <v>87</v>
      </c>
      <c r="B1731" s="386" t="n"/>
      <c r="C1731" s="386" t="inlineStr">
        <is>
          <t>Báo cáo theo Thông tư 121/2020/TT-BTC &gt;&gt; Tình hình đầu tư, góp vốn vào tổ chức khác - II.11.3.DA trong nước</t>
        </is>
      </c>
      <c r="D1731" s="386" t="inlineStr">
        <is>
          <t>Mã chứng khoán</t>
        </is>
      </c>
      <c r="E1731" s="386" t="inlineStr">
        <is>
          <t>Mã chứng khoán</t>
        </is>
      </c>
      <c r="F1731" s="386" t="inlineStr">
        <is>
          <t>Data Explorer</t>
        </is>
      </c>
      <c r="G1731" s="386" t="inlineStr">
        <is>
          <t>Chỉ tiêu cơ sở</t>
        </is>
      </c>
      <c r="H1731" s="386" t="inlineStr">
        <is>
          <t>Trùng</t>
        </is>
      </c>
      <c r="I1731" s="386" t="inlineStr">
        <is>
          <t>Ngày, CTCK</t>
        </is>
      </c>
      <c r="J1731" s="395" t="inlineStr">
        <is>
          <t>SCMS</t>
        </is>
      </c>
      <c r="K1731" s="395" t="n"/>
      <c r="L1731" s="395" t="inlineStr">
        <is>
          <t>X</t>
        </is>
      </c>
      <c r="M1731" s="395" t="n"/>
      <c r="N1731" s="395" t="inlineStr">
        <is>
          <t>Done</t>
        </is>
      </c>
      <c r="O1731" s="401" t="n"/>
      <c r="P1731" s="395" t="n"/>
      <c r="S1731" s="395" t="n"/>
      <c r="U1731" s="386" t="n"/>
      <c r="V1731" s="395" t="n"/>
      <c r="W1731" s="395" t="n"/>
      <c r="X1731" s="395" t="n"/>
      <c r="Y1731" s="38" t="n"/>
      <c r="Z1731" s="395" t="n"/>
      <c r="AA1731" s="395" t="n"/>
      <c r="AB1731" s="395" t="n"/>
      <c r="AC1731" s="395" t="n"/>
      <c r="AD1731" s="395" t="n"/>
      <c r="AE1731" s="395" t="n"/>
    </row>
    <row r="1732" ht="70" customHeight="1" s="380">
      <c r="A1732" s="73" t="n">
        <v>87</v>
      </c>
      <c r="B1732" s="386" t="n"/>
      <c r="C1732" s="386" t="inlineStr">
        <is>
          <t>Báo cáo theo Thông tư 121/2020/TT-BTC &gt;&gt; Tình hình đầu tư, góp vốn vào tổ chức khác - II.11.3.DA trong nước</t>
        </is>
      </c>
      <c r="D1732" s="386" t="inlineStr">
        <is>
          <t>Giấy phép &gt;&gt; Số</t>
        </is>
      </c>
      <c r="E1732" s="386" t="inlineStr">
        <is>
          <t>Giấy phép &gt;&gt; Số</t>
        </is>
      </c>
      <c r="F1732" s="386" t="inlineStr">
        <is>
          <t>Data Explorer</t>
        </is>
      </c>
      <c r="G1732" s="386" t="inlineStr">
        <is>
          <t>Chỉ tiêu cơ sở</t>
        </is>
      </c>
      <c r="H1732" s="386" t="inlineStr">
        <is>
          <t>Trùng</t>
        </is>
      </c>
      <c r="I1732" s="386" t="inlineStr">
        <is>
          <t>Ngày, CTCK</t>
        </is>
      </c>
      <c r="J1732" s="395" t="inlineStr">
        <is>
          <t>SCMS</t>
        </is>
      </c>
      <c r="K1732" s="395" t="n"/>
      <c r="L1732" s="395" t="inlineStr">
        <is>
          <t>X</t>
        </is>
      </c>
      <c r="M1732" s="395" t="n"/>
      <c r="N1732" s="395" t="inlineStr">
        <is>
          <t>Done</t>
        </is>
      </c>
      <c r="O1732" s="401" t="n"/>
      <c r="P1732" s="395" t="n"/>
      <c r="S1732" s="395" t="n"/>
      <c r="U1732" s="386" t="n"/>
      <c r="V1732" s="395" t="n"/>
      <c r="W1732" s="395" t="n"/>
      <c r="X1732" s="395" t="n"/>
      <c r="Y1732" s="13" t="n"/>
      <c r="Z1732" s="395" t="n"/>
      <c r="AA1732" s="395" t="n"/>
      <c r="AB1732" s="395" t="n"/>
      <c r="AC1732" s="395" t="n"/>
      <c r="AD1732" s="395" t="n"/>
      <c r="AE1732" s="395" t="n"/>
    </row>
    <row r="1733" ht="70" customHeight="1" s="380">
      <c r="A1733" s="73" t="n">
        <v>87</v>
      </c>
      <c r="B1733" s="386" t="n"/>
      <c r="C1733" s="386" t="inlineStr">
        <is>
          <t>Báo cáo theo Thông tư 121/2020/TT-BTC &gt;&gt; Tình hình đầu tư, góp vốn vào tổ chức khác - II.11.3.DA trong nước</t>
        </is>
      </c>
      <c r="D1733" s="386" t="inlineStr">
        <is>
          <t>Giấy phép &gt;&gt; Ngày cấp
(Ngày/tháng/năm)</t>
        </is>
      </c>
      <c r="E1733" s="386" t="inlineStr">
        <is>
          <t>Giấy phép &gt;&gt; Ngày cấp
(Ngày/tháng/năm)</t>
        </is>
      </c>
      <c r="F1733" s="386" t="inlineStr">
        <is>
          <t>Data Explorer</t>
        </is>
      </c>
      <c r="G1733" s="386" t="inlineStr">
        <is>
          <t>Chỉ tiêu cơ sở</t>
        </is>
      </c>
      <c r="H1733" s="386" t="inlineStr">
        <is>
          <t>Trùng</t>
        </is>
      </c>
      <c r="I1733" s="386" t="inlineStr">
        <is>
          <t>Ngày, CTCK</t>
        </is>
      </c>
      <c r="J1733" s="395" t="inlineStr">
        <is>
          <t>SCMS</t>
        </is>
      </c>
      <c r="K1733" s="395" t="n"/>
      <c r="L1733" s="395" t="inlineStr">
        <is>
          <t>X</t>
        </is>
      </c>
      <c r="M1733" s="395" t="n"/>
      <c r="N1733" s="395" t="inlineStr">
        <is>
          <t>Done</t>
        </is>
      </c>
      <c r="O1733" s="401" t="n"/>
      <c r="P1733" s="395" t="n"/>
      <c r="S1733" s="395" t="n"/>
      <c r="U1733" s="386" t="n"/>
      <c r="V1733" s="395" t="n"/>
      <c r="W1733" s="395" t="n"/>
      <c r="X1733" s="395" t="n"/>
      <c r="Y1733" s="13" t="n"/>
      <c r="Z1733" s="395" t="n"/>
      <c r="AA1733" s="395" t="n"/>
      <c r="AB1733" s="395" t="n"/>
      <c r="AC1733" s="395" t="n"/>
      <c r="AD1733" s="395" t="n"/>
      <c r="AE1733" s="395" t="n"/>
    </row>
    <row r="1734" ht="70" customHeight="1" s="380">
      <c r="A1734" s="73" t="n">
        <v>87</v>
      </c>
      <c r="B1734" s="386" t="n"/>
      <c r="C1734" s="386" t="inlineStr">
        <is>
          <t>Báo cáo theo Thông tư 121/2020/TT-BTC &gt;&gt; Tình hình đầu tư, góp vốn vào tổ chức khác - II.11.3.DA trong nước</t>
        </is>
      </c>
      <c r="D1734" s="386" t="inlineStr">
        <is>
          <t>Đầu tư trong nước &gt;&gt; Tên tổ chức/dự án kinh doanh</t>
        </is>
      </c>
      <c r="E1734" s="386" t="inlineStr">
        <is>
          <t>Đầu tư trong nước &gt;&gt; Tên tổ chức/dự án kinh doanh</t>
        </is>
      </c>
      <c r="F1734" s="386" t="inlineStr">
        <is>
          <t>Data Explorer</t>
        </is>
      </c>
      <c r="G1734" s="386" t="inlineStr">
        <is>
          <t>Chỉ tiêu cơ sở</t>
        </is>
      </c>
      <c r="H1734" s="386" t="inlineStr">
        <is>
          <t>TB</t>
        </is>
      </c>
      <c r="I1734" s="386" t="inlineStr">
        <is>
          <t>Ngày, CTCK</t>
        </is>
      </c>
      <c r="J1734" s="395" t="inlineStr">
        <is>
          <t>SCMS</t>
        </is>
      </c>
      <c r="K1734" s="395" t="n"/>
      <c r="L1734" s="395" t="inlineStr">
        <is>
          <t>X</t>
        </is>
      </c>
      <c r="M1734" s="395" t="n"/>
      <c r="N1734" s="395" t="inlineStr">
        <is>
          <t>Pending</t>
        </is>
      </c>
      <c r="O1734" s="401" t="n"/>
      <c r="P1734" s="395" t="n"/>
      <c r="S1734" s="395" t="n"/>
      <c r="U1734" s="20" t="inlineStr">
        <is>
          <t>Chưa xác định được lưu ở đâu?</t>
        </is>
      </c>
      <c r="V1734" s="395" t="n"/>
      <c r="W1734" s="395" t="n"/>
      <c r="X1734" s="395" t="n"/>
      <c r="Y1734" s="13" t="n"/>
      <c r="Z1734" s="395" t="n"/>
      <c r="AA1734" s="395" t="n"/>
      <c r="AB1734" s="395" t="n"/>
      <c r="AC1734" s="395" t="n"/>
      <c r="AD1734" s="395" t="n"/>
      <c r="AE1734" s="395" t="n"/>
    </row>
    <row r="1735" ht="70" customHeight="1" s="380">
      <c r="A1735" s="73" t="n">
        <v>87</v>
      </c>
      <c r="B1735" s="386" t="n"/>
      <c r="C1735" s="386" t="inlineStr">
        <is>
          <t>Báo cáo theo Thông tư 121/2020/TT-BTC &gt;&gt; Tình hình đầu tư, góp vốn vào tổ chức khác - II.11.3.DA trong nước</t>
        </is>
      </c>
      <c r="D1735" s="386" t="inlineStr">
        <is>
          <t>Đầu tư trong nước &gt;&gt; Giá trị vốn góp vào tổ chức/dự án kinh doanh (triệu đồng)</t>
        </is>
      </c>
      <c r="E1735" s="386" t="inlineStr">
        <is>
          <t>Đầu tư trong nước &gt;&gt; Giá trị vốn góp vào tổ chức/dự án kinh doanh (triệu đồng)</t>
        </is>
      </c>
      <c r="F1735" s="386" t="inlineStr">
        <is>
          <t>Data Explorer</t>
        </is>
      </c>
      <c r="G1735" s="386" t="inlineStr">
        <is>
          <t>Chỉ tiêu cơ sở</t>
        </is>
      </c>
      <c r="H1735" s="386" t="inlineStr">
        <is>
          <t>TB</t>
        </is>
      </c>
      <c r="I1735" s="386" t="inlineStr">
        <is>
          <t>Ngày, CTCK</t>
        </is>
      </c>
      <c r="J1735" s="395" t="inlineStr">
        <is>
          <t>SCMS</t>
        </is>
      </c>
      <c r="K1735" s="395" t="n"/>
      <c r="L1735" s="395" t="inlineStr">
        <is>
          <t>X</t>
        </is>
      </c>
      <c r="M1735" s="395" t="n"/>
      <c r="N1735" s="395" t="inlineStr">
        <is>
          <t>Done</t>
        </is>
      </c>
      <c r="O1735" s="401" t="n"/>
      <c r="P1735" s="395" t="n"/>
      <c r="S1735" s="395" t="n"/>
      <c r="U1735" s="386" t="n"/>
      <c r="V1735" s="395" t="n"/>
      <c r="W1735" s="395" t="n"/>
      <c r="X1735" s="395" t="n"/>
      <c r="Y1735" s="13" t="n"/>
      <c r="Z1735" s="395" t="n"/>
      <c r="AA1735" s="395" t="n"/>
      <c r="AB1735" s="395" t="n"/>
      <c r="AC1735" s="395" t="n"/>
      <c r="AD1735" s="395" t="n"/>
      <c r="AE1735" s="395" t="n"/>
    </row>
    <row r="1736" ht="70" customHeight="1" s="380">
      <c r="A1736" s="83" t="n">
        <v>87</v>
      </c>
      <c r="B1736" s="68" t="n"/>
      <c r="C1736" s="68" t="inlineStr">
        <is>
          <t>Báo cáo theo Thông tư 121/2020/TT-BTC &gt;&gt; Tình hình đầu tư, góp vốn vào tổ chức khác - II.11.3.DA trong nước</t>
        </is>
      </c>
      <c r="D1736" s="68" t="inlineStr">
        <is>
          <t>Đầu tư trong nước &gt;&gt; Tỷ lệ đầu tư (%)</t>
        </is>
      </c>
      <c r="E1736" s="68" t="inlineStr">
        <is>
          <t>Đầu tư trong nước &gt;&gt; Tỷ lệ đầu tư (%)</t>
        </is>
      </c>
      <c r="F1736" s="68" t="inlineStr">
        <is>
          <t>Data Explorer</t>
        </is>
      </c>
      <c r="G1736" s="68" t="inlineStr">
        <is>
          <t>Chỉ tiêu cơ sở</t>
        </is>
      </c>
      <c r="H1736" s="68" t="inlineStr">
        <is>
          <t>TB</t>
        </is>
      </c>
      <c r="I1736" s="68" t="inlineStr">
        <is>
          <t>Ngày, CTCK</t>
        </is>
      </c>
      <c r="J1736" s="69" t="inlineStr">
        <is>
          <t>SCMS</t>
        </is>
      </c>
      <c r="K1736" s="69" t="n"/>
      <c r="L1736" s="69" t="inlineStr">
        <is>
          <t>X</t>
        </is>
      </c>
      <c r="M1736" s="69" t="n"/>
      <c r="N1736" s="69" t="inlineStr">
        <is>
          <t>Done</t>
        </is>
      </c>
      <c r="O1736" s="85" t="n"/>
      <c r="P1736" s="69" t="n"/>
      <c r="Q1736" s="426" t="n"/>
      <c r="R1736" s="426" t="n"/>
      <c r="S1736" s="69" t="n"/>
      <c r="T1736" s="426" t="n"/>
      <c r="U1736" s="68" t="n"/>
      <c r="V1736" s="69" t="n"/>
      <c r="W1736" s="69" t="n"/>
      <c r="X1736" s="69" t="n"/>
      <c r="Y1736" s="97" t="n"/>
      <c r="Z1736" s="69" t="n"/>
      <c r="AA1736" s="69" t="n"/>
      <c r="AB1736" s="69" t="n"/>
      <c r="AC1736" s="69" t="n"/>
      <c r="AD1736" s="69" t="n"/>
      <c r="AE1736" s="69" t="n"/>
    </row>
    <row r="1737" ht="70" customHeight="1" s="380">
      <c r="A1737" s="73" t="n">
        <v>88</v>
      </c>
      <c r="B1737" s="122" t="inlineStr">
        <is>
          <t>Nga</t>
        </is>
      </c>
      <c r="C1737" s="81" t="inlineStr">
        <is>
          <t>Báo cáo theo Thông tư 121/2020/TT-BTC &gt;&gt; Tình hình đầu tư, góp vốn vào tổ chức khác - II.11.4.DA nước ngoài</t>
        </is>
      </c>
      <c r="D1737" s="106" t="inlineStr">
        <is>
          <t>Loại báo cáo</t>
        </is>
      </c>
      <c r="E1737" s="107" t="inlineStr">
        <is>
          <t>Loại báo cáo</t>
        </is>
      </c>
      <c r="F1737" s="390" t="inlineStr">
        <is>
          <t>Data Explorer</t>
        </is>
      </c>
      <c r="G1737" s="390" t="inlineStr">
        <is>
          <t>Chiều</t>
        </is>
      </c>
      <c r="H1737" s="390" t="inlineStr">
        <is>
          <t>Dễ</t>
        </is>
      </c>
      <c r="I1737" s="390" t="inlineStr">
        <is>
          <t>Ngày, CTCK</t>
        </is>
      </c>
      <c r="J1737" s="401" t="inlineStr">
        <is>
          <t>SCMS</t>
        </is>
      </c>
      <c r="K1737" s="401" t="inlineStr">
        <is>
          <t>X</t>
        </is>
      </c>
      <c r="L1737" s="395" t="inlineStr">
        <is>
          <t>X</t>
        </is>
      </c>
      <c r="M1737" s="401" t="n"/>
      <c r="N1737" s="395" t="inlineStr">
        <is>
          <t>Done</t>
        </is>
      </c>
      <c r="O1737" s="401" t="n"/>
      <c r="P1737" s="395" t="n"/>
      <c r="Q1737" s="404" t="inlineStr">
        <is>
          <t>SCMS.BM_BAO_CAO
SCMS.BM_BAO_CAO_DINH_KY</t>
        </is>
      </c>
      <c r="R1737" s="404" t="inlineStr">
        <is>
          <t>bm.ID,
bm.MA_BAO_CAO,
bm.LOAI_BAO_CAO,
bm.TEN_BAO_CAO,
bm.SU_DUNG,
bdk.BM_BAO_CAO_ID,
bdk.KY_BAO_CAO,
bdk.SU_DUNG</t>
        </is>
      </c>
      <c r="S1737" s="395" t="n"/>
      <c r="T1737"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737" s="386" t="n"/>
      <c r="V1737" s="395" t="n"/>
      <c r="W1737" s="395" t="n"/>
      <c r="X1737" s="395" t="n"/>
      <c r="Y1737" s="38" t="n"/>
      <c r="Z1737" s="395" t="n"/>
      <c r="AA1737" s="395" t="n"/>
      <c r="AB1737" s="395" t="n"/>
      <c r="AC1737" s="395" t="n"/>
      <c r="AD1737" s="395" t="n"/>
      <c r="AE1737" s="395" t="n"/>
    </row>
    <row r="1738" ht="70" customHeight="1" s="380">
      <c r="A1738" s="73" t="n">
        <v>88</v>
      </c>
      <c r="B1738" s="386" t="n"/>
      <c r="C1738" s="386" t="inlineStr">
        <is>
          <t>Báo cáo theo Thông tư 121/2020/TT-BTC &gt;&gt; Tình hình đầu tư, góp vốn vào tổ chức khác - II.11.4.DA nước ngoài</t>
        </is>
      </c>
      <c r="D1738" s="106" t="inlineStr">
        <is>
          <t>Kỳ báo cáo</t>
        </is>
      </c>
      <c r="E1738" s="107" t="inlineStr">
        <is>
          <t>Kỳ báo cáo</t>
        </is>
      </c>
      <c r="F1738" s="390" t="inlineStr">
        <is>
          <t>Data Explorer</t>
        </is>
      </c>
      <c r="G1738" s="390" t="inlineStr">
        <is>
          <t>Chiều</t>
        </is>
      </c>
      <c r="H1738" s="390" t="inlineStr">
        <is>
          <t>Dễ</t>
        </is>
      </c>
      <c r="I1738" s="390" t="inlineStr">
        <is>
          <t>Ngày, CTCK</t>
        </is>
      </c>
      <c r="J1738" s="401" t="inlineStr">
        <is>
          <t>SCMS</t>
        </is>
      </c>
      <c r="K1738" s="401" t="inlineStr">
        <is>
          <t>X</t>
        </is>
      </c>
      <c r="L1738" s="395" t="inlineStr">
        <is>
          <t>X</t>
        </is>
      </c>
      <c r="M1738" s="401" t="n"/>
      <c r="N1738" s="395" t="inlineStr">
        <is>
          <t>Done</t>
        </is>
      </c>
      <c r="O1738" s="401" t="n"/>
      <c r="P1738" s="395" t="n"/>
      <c r="S1738" s="395" t="n"/>
      <c r="U1738" s="386" t="n"/>
      <c r="V1738" s="395" t="n"/>
      <c r="W1738" s="395" t="n"/>
      <c r="X1738" s="395" t="n"/>
      <c r="Y1738" s="13" t="n"/>
      <c r="Z1738" s="395" t="n"/>
      <c r="AA1738" s="395" t="n"/>
      <c r="AB1738" s="395" t="n"/>
      <c r="AC1738" s="395" t="n"/>
      <c r="AD1738" s="395" t="n"/>
      <c r="AE1738" s="395" t="n"/>
    </row>
    <row r="1739" ht="70" customHeight="1" s="380">
      <c r="A1739" s="73" t="n">
        <v>88</v>
      </c>
      <c r="B1739" s="386" t="n"/>
      <c r="C1739" s="386" t="inlineStr">
        <is>
          <t>Báo cáo theo Thông tư 121/2020/TT-BTC &gt;&gt; Tình hình đầu tư, góp vốn vào tổ chức khác - II.11.4.DA nước ngoài</t>
        </is>
      </c>
      <c r="D1739" s="106" t="inlineStr">
        <is>
          <t>Mã báo cáo</t>
        </is>
      </c>
      <c r="E1739" s="107" t="inlineStr">
        <is>
          <t>Mã báo cáo</t>
        </is>
      </c>
      <c r="F1739" s="390" t="inlineStr">
        <is>
          <t>Data Explorer</t>
        </is>
      </c>
      <c r="G1739" s="390" t="inlineStr">
        <is>
          <t>Chiều</t>
        </is>
      </c>
      <c r="H1739" s="390" t="inlineStr">
        <is>
          <t>Dễ</t>
        </is>
      </c>
      <c r="I1739" s="390" t="inlineStr">
        <is>
          <t>Ngày, CTCK</t>
        </is>
      </c>
      <c r="J1739" s="401" t="inlineStr">
        <is>
          <t>SCMS</t>
        </is>
      </c>
      <c r="K1739" s="401" t="inlineStr">
        <is>
          <t>X</t>
        </is>
      </c>
      <c r="L1739" s="395" t="inlineStr">
        <is>
          <t>X</t>
        </is>
      </c>
      <c r="M1739" s="401" t="n"/>
      <c r="N1739" s="395" t="inlineStr">
        <is>
          <t>Done</t>
        </is>
      </c>
      <c r="O1739" s="401" t="n"/>
      <c r="P1739" s="395" t="n"/>
      <c r="S1739" s="395" t="n"/>
      <c r="U1739" s="386" t="n"/>
      <c r="V1739" s="395" t="n"/>
      <c r="W1739" s="395" t="n"/>
      <c r="X1739" s="395" t="n"/>
      <c r="Y1739" s="13" t="n"/>
      <c r="Z1739" s="395" t="n"/>
      <c r="AA1739" s="395" t="n"/>
      <c r="AB1739" s="395" t="n"/>
      <c r="AC1739" s="395" t="n"/>
      <c r="AD1739" s="395" t="n"/>
      <c r="AE1739" s="395" t="n"/>
    </row>
    <row r="1740" ht="70" customHeight="1" s="380">
      <c r="A1740" s="73" t="n">
        <v>88</v>
      </c>
      <c r="B1740" s="386" t="n"/>
      <c r="C1740" s="386" t="inlineStr">
        <is>
          <t>Báo cáo theo Thông tư 121/2020/TT-BTC &gt;&gt; Tình hình đầu tư, góp vốn vào tổ chức khác - II.11.4.DA nước ngoài</t>
        </is>
      </c>
      <c r="D1740" s="106" t="inlineStr">
        <is>
          <t>Tên báo cáo</t>
        </is>
      </c>
      <c r="E1740" s="107" t="inlineStr">
        <is>
          <t>Tên báo cáo</t>
        </is>
      </c>
      <c r="F1740" s="390" t="inlineStr">
        <is>
          <t>Data Explorer</t>
        </is>
      </c>
      <c r="G1740" s="390" t="inlineStr">
        <is>
          <t>Chiều</t>
        </is>
      </c>
      <c r="H1740" s="390" t="inlineStr">
        <is>
          <t>Dễ</t>
        </is>
      </c>
      <c r="I1740" s="390" t="inlineStr">
        <is>
          <t>Ngày, CTCK</t>
        </is>
      </c>
      <c r="J1740" s="401" t="inlineStr">
        <is>
          <t>SCMS</t>
        </is>
      </c>
      <c r="K1740" s="401" t="inlineStr">
        <is>
          <t>X</t>
        </is>
      </c>
      <c r="L1740" s="395" t="inlineStr">
        <is>
          <t>X</t>
        </is>
      </c>
      <c r="M1740" s="401" t="n"/>
      <c r="N1740" s="395" t="inlineStr">
        <is>
          <t>Done</t>
        </is>
      </c>
      <c r="O1740" s="401" t="n"/>
      <c r="P1740" s="395" t="n"/>
      <c r="S1740" s="395" t="n"/>
      <c r="U1740" s="386" t="n"/>
      <c r="V1740" s="395" t="n"/>
      <c r="W1740" s="395" t="n"/>
      <c r="X1740" s="395" t="n"/>
      <c r="Y1740" s="13" t="n"/>
      <c r="Z1740" s="395" t="n"/>
      <c r="AA1740" s="395" t="n"/>
      <c r="AB1740" s="395" t="n"/>
      <c r="AC1740" s="395" t="n"/>
      <c r="AD1740" s="395" t="n"/>
      <c r="AE1740" s="395" t="n"/>
    </row>
    <row r="1741" ht="70" customHeight="1" s="380">
      <c r="A1741" s="73" t="n">
        <v>88</v>
      </c>
      <c r="B1741" s="386" t="n"/>
      <c r="C1741" s="386" t="inlineStr">
        <is>
          <t>Báo cáo theo Thông tư 121/2020/TT-BTC &gt;&gt; Tình hình đầu tư, góp vốn vào tổ chức khác - II.11.4.DA nước ngoài</t>
        </is>
      </c>
      <c r="D1741" s="106" t="inlineStr">
        <is>
          <t>Mã sheet</t>
        </is>
      </c>
      <c r="E1741" s="106" t="inlineStr">
        <is>
          <t>Mã sheet</t>
        </is>
      </c>
      <c r="F1741" s="390" t="inlineStr">
        <is>
          <t>Data Explorer</t>
        </is>
      </c>
      <c r="G1741" s="390" t="inlineStr">
        <is>
          <t>Chiều</t>
        </is>
      </c>
      <c r="H1741" s="390" t="inlineStr">
        <is>
          <t>Dễ</t>
        </is>
      </c>
      <c r="I1741" s="390" t="inlineStr">
        <is>
          <t>Ngày, CTCK</t>
        </is>
      </c>
      <c r="J1741" s="401" t="inlineStr">
        <is>
          <t>SCMS</t>
        </is>
      </c>
      <c r="K1741" s="401" t="inlineStr">
        <is>
          <t>X</t>
        </is>
      </c>
      <c r="L1741" s="395" t="inlineStr">
        <is>
          <t>X</t>
        </is>
      </c>
      <c r="M1741" s="401" t="n"/>
      <c r="N1741" s="395" t="inlineStr">
        <is>
          <t>Done</t>
        </is>
      </c>
      <c r="O1741" s="401" t="n"/>
      <c r="P1741" s="395" t="n"/>
      <c r="Q1741" s="401" t="inlineStr">
        <is>
          <t>SCMS.BM_BAO_CAO
SCMS.BM_SHEET</t>
        </is>
      </c>
      <c r="R1741" s="401" t="inlineStr">
        <is>
          <t>bm.ID,
bm.MA_BAO_CAO,
bm.SU_DUNG,
s.BM_BAO_CAO_ID,
s.MA_SHEET,
s.TEN_SHEET,
s.SAP_XEP</t>
        </is>
      </c>
      <c r="S1741" s="395" t="n"/>
      <c r="T1741" s="384" t="inlineStr">
        <is>
          <t>-- Mã sheet / Tên sheet
-- TEN_SHEET: THDTGV
SELECT bm.MA_BAO_CAO,
s.MA_SHEET,
s.TEN_SHEET
FROM SCMS.BM_BAO_CAO bm
JOIN SCMS.BM_SHEET s ON s.BM_BAO_CAO_ID = bm.ID
WHERE bm.MA_BAO_CAO LIKE 'BCTHHDKD%'
AND s.TEN_SHEET = 'THDTGV'  -- Check lại
AND bm.SU_DUNG = 1
ORDER BY bm.MA_BAO_CAO, s.SAP_XEP;</t>
        </is>
      </c>
      <c r="U1741" s="386" t="n"/>
      <c r="V1741" s="395" t="n"/>
      <c r="W1741" s="395" t="n"/>
      <c r="X1741" s="395" t="n"/>
      <c r="Y1741" s="13" t="n"/>
      <c r="Z1741" s="395" t="n"/>
      <c r="AA1741" s="395" t="n"/>
      <c r="AB1741" s="395" t="n"/>
      <c r="AC1741" s="395" t="n"/>
      <c r="AD1741" s="395" t="n"/>
      <c r="AE1741" s="395" t="n"/>
    </row>
    <row r="1742" ht="70" customHeight="1" s="380">
      <c r="A1742" s="73" t="n">
        <v>88</v>
      </c>
      <c r="B1742" s="386" t="n"/>
      <c r="C1742" s="386" t="inlineStr">
        <is>
          <t>Báo cáo theo Thông tư 121/2020/TT-BTC &gt;&gt; Tình hình đầu tư, góp vốn vào tổ chức khác - II.11.4.DA nước ngoài</t>
        </is>
      </c>
      <c r="D1742" s="106" t="inlineStr">
        <is>
          <t>Tên sheet</t>
        </is>
      </c>
      <c r="E1742" s="106" t="inlineStr">
        <is>
          <t>Tên sheet</t>
        </is>
      </c>
      <c r="F1742" s="390" t="inlineStr">
        <is>
          <t>Data Explorer</t>
        </is>
      </c>
      <c r="G1742" s="390" t="inlineStr">
        <is>
          <t>Chiều</t>
        </is>
      </c>
      <c r="H1742" s="390" t="inlineStr">
        <is>
          <t>Dễ</t>
        </is>
      </c>
      <c r="I1742" s="390" t="inlineStr">
        <is>
          <t>Ngày, CTCK</t>
        </is>
      </c>
      <c r="J1742" s="401" t="inlineStr">
        <is>
          <t>SCMS</t>
        </is>
      </c>
      <c r="K1742" s="401" t="inlineStr">
        <is>
          <t>X</t>
        </is>
      </c>
      <c r="L1742" s="395" t="inlineStr">
        <is>
          <t>X</t>
        </is>
      </c>
      <c r="M1742" s="401" t="n"/>
      <c r="N1742" s="395" t="inlineStr">
        <is>
          <t>Done</t>
        </is>
      </c>
      <c r="O1742" s="401" t="n"/>
      <c r="P1742" s="395" t="n"/>
      <c r="S1742" s="395" t="n"/>
      <c r="U1742" s="386" t="n"/>
      <c r="V1742" s="395" t="n"/>
      <c r="W1742" s="395" t="n"/>
      <c r="X1742" s="395" t="n"/>
      <c r="Y1742" s="13" t="n"/>
      <c r="Z1742" s="395" t="n"/>
      <c r="AA1742" s="395" t="n"/>
      <c r="AB1742" s="395" t="n"/>
      <c r="AC1742" s="395" t="n"/>
      <c r="AD1742" s="395" t="n"/>
      <c r="AE1742" s="395" t="n"/>
    </row>
    <row r="1743" ht="70" customHeight="1" s="380">
      <c r="A1743" s="73" t="n">
        <v>88</v>
      </c>
      <c r="B1743" s="386" t="n"/>
      <c r="C1743" s="386" t="inlineStr">
        <is>
          <t>Báo cáo theo Thông tư 121/2020/TT-BTC &gt;&gt; Tình hình đầu tư, góp vốn vào tổ chức khác - II.11.4.DA nước ngoài</t>
        </is>
      </c>
      <c r="D1743" s="106" t="inlineStr">
        <is>
          <t>Mã chỉ tiêu</t>
        </is>
      </c>
      <c r="E1743" s="107" t="inlineStr">
        <is>
          <t>Mã chỉ tiêu</t>
        </is>
      </c>
      <c r="F1743" s="390" t="inlineStr">
        <is>
          <t>Data Explorer</t>
        </is>
      </c>
      <c r="G1743" s="390" t="inlineStr">
        <is>
          <t>Chiều</t>
        </is>
      </c>
      <c r="H1743" s="390" t="inlineStr">
        <is>
          <t>Dễ</t>
        </is>
      </c>
      <c r="I1743" s="390" t="inlineStr">
        <is>
          <t>Ngày, CTCK</t>
        </is>
      </c>
      <c r="J1743" s="401" t="inlineStr">
        <is>
          <t>SCMS</t>
        </is>
      </c>
      <c r="K1743" s="401" t="inlineStr">
        <is>
          <t>X</t>
        </is>
      </c>
      <c r="L1743" s="395" t="inlineStr">
        <is>
          <t>X</t>
        </is>
      </c>
      <c r="M1743" s="401" t="n"/>
      <c r="N1743" s="395" t="inlineStr">
        <is>
          <t>Done</t>
        </is>
      </c>
      <c r="O1743" s="401" t="n"/>
      <c r="P1743" s="395" t="n"/>
      <c r="Q1743" s="401" t="inlineStr">
        <is>
          <t>SCMS.BM_BAO_CAO
SCMS.BM_SHEET
SCMS.BM_BAO_CAO_CT
SCMS.DM_CHI_TIEU</t>
        </is>
      </c>
      <c r="R1743" s="402" t="inlineStr">
        <is>
          <t>dct.ID,
dct.MA_CHI_TIEU,
dct.TEN_CHI_TIEU,
dct.SU_DUNG,
s.BM_BAO_CAO_ID,
s.MA_SHEET,
ct.BM_BAO_CAO_ID,
ct.DM_CHI_TIEU_ID,
ct.SU_DUNG,
bm.ID,
bm.MA_BAO_CAO,
bm.SU_DUNG</t>
        </is>
      </c>
      <c r="S1743" s="395" t="n"/>
      <c r="T1743" s="384" t="inlineStr">
        <is>
          <t>-- Mã chỉ tiêu / Tên chỉ tiêu
SELECT DISTINCT
    dct.MA_CHI_TIEU  AS ma_chi_tieu,
    dct.TEN_CHI_TIEU AS ten_chi_tieu
FROM SCMS.BM_BAO_CAO bm
JOIN SCMS.BM_SHEET s ON s.BM_BAO_CAO_ID = bm.ID
	AND s.TEN_SHEET = 'THDTGV'
JOIN SCMS.BM_BAO_CAO_CT ct ON ct.BM_SHEET_ID = s.ID
	AND ct.SU_DUNG = 1
JOIN SCMS.DM_CHI_TIEU dct ON dct.ID = ct.DM_CHI_TIEU_ID
	AND dct.SU_DUNG = 1
WHERE bm.MA_BAO_CAO LIKE 'BCTHHDKD%'
	AND bm.SU_DUNG = 1
ORDER BY dct.MA_CHI_TIEU;</t>
        </is>
      </c>
      <c r="U1743" s="386" t="n"/>
      <c r="V1743" s="395" t="n"/>
      <c r="W1743" s="395" t="n"/>
      <c r="X1743" s="395" t="n"/>
      <c r="Y1743" s="13" t="n"/>
      <c r="Z1743" s="395" t="n"/>
      <c r="AA1743" s="395" t="n"/>
      <c r="AB1743" s="395" t="n"/>
      <c r="AC1743" s="395" t="n"/>
      <c r="AD1743" s="395" t="n"/>
      <c r="AE1743" s="395" t="n"/>
    </row>
    <row r="1744" ht="70" customHeight="1" s="380">
      <c r="A1744" s="73" t="n">
        <v>88</v>
      </c>
      <c r="B1744" s="386" t="n"/>
      <c r="C1744" s="386" t="inlineStr">
        <is>
          <t>Báo cáo theo Thông tư 121/2020/TT-BTC &gt;&gt; Tình hình đầu tư, góp vốn vào tổ chức khác - II.11.4.DA nước ngoài</t>
        </is>
      </c>
      <c r="D1744" s="106" t="inlineStr">
        <is>
          <t>Tên chỉ tiêu</t>
        </is>
      </c>
      <c r="E1744" s="107" t="inlineStr">
        <is>
          <t>Tên chỉ tiêu</t>
        </is>
      </c>
      <c r="F1744" s="390" t="inlineStr">
        <is>
          <t>Data Explorer</t>
        </is>
      </c>
      <c r="G1744" s="390" t="inlineStr">
        <is>
          <t>Chiều</t>
        </is>
      </c>
      <c r="H1744" s="390" t="inlineStr">
        <is>
          <t>Dễ</t>
        </is>
      </c>
      <c r="I1744" s="390" t="inlineStr">
        <is>
          <t>Ngày, CTCK</t>
        </is>
      </c>
      <c r="J1744" s="401" t="inlineStr">
        <is>
          <t>SCMS</t>
        </is>
      </c>
      <c r="K1744" s="401" t="inlineStr">
        <is>
          <t>X</t>
        </is>
      </c>
      <c r="L1744" s="395" t="inlineStr">
        <is>
          <t>X</t>
        </is>
      </c>
      <c r="M1744" s="401" t="n"/>
      <c r="N1744" s="395" t="inlineStr">
        <is>
          <t>Done</t>
        </is>
      </c>
      <c r="O1744" s="401" t="n"/>
      <c r="P1744" s="395" t="n"/>
      <c r="S1744" s="395" t="n"/>
      <c r="U1744" s="386" t="n"/>
      <c r="V1744" s="395" t="n"/>
      <c r="W1744" s="395" t="n"/>
      <c r="X1744" s="395" t="n"/>
      <c r="Y1744" s="13" t="n"/>
      <c r="Z1744" s="395" t="n"/>
      <c r="AA1744" s="395" t="n"/>
      <c r="AB1744" s="395" t="n"/>
      <c r="AC1744" s="395" t="n"/>
      <c r="AD1744" s="395" t="n"/>
      <c r="AE1744" s="395" t="n"/>
    </row>
    <row r="1745" ht="70" customHeight="1" s="380">
      <c r="A1745" s="73" t="n">
        <v>88</v>
      </c>
      <c r="B1745" s="386" t="n"/>
      <c r="C1745" s="386" t="inlineStr">
        <is>
          <t>Báo cáo theo Thông tư 121/2020/TT-BTC &gt;&gt; Tình hình đầu tư, góp vốn vào tổ chức khác - II.11.4.DA nước ngoài</t>
        </is>
      </c>
      <c r="D1745" s="386" t="inlineStr">
        <is>
          <t>Tên công ty chứng khoán</t>
        </is>
      </c>
      <c r="E1745" s="386" t="inlineStr">
        <is>
          <t>Tên công ty chứng khoán</t>
        </is>
      </c>
      <c r="F1745" s="386" t="inlineStr">
        <is>
          <t>Data Explorer</t>
        </is>
      </c>
      <c r="G1745" s="386" t="inlineStr">
        <is>
          <t>Chỉ tiêu cơ sở</t>
        </is>
      </c>
      <c r="H1745" s="386" t="inlineStr">
        <is>
          <t>Trùng</t>
        </is>
      </c>
      <c r="I1745" s="386" t="inlineStr">
        <is>
          <t>Ngày, CTCK</t>
        </is>
      </c>
      <c r="J1745" s="395" t="inlineStr">
        <is>
          <t>SCMS</t>
        </is>
      </c>
      <c r="K1745" s="395" t="n"/>
      <c r="L1745" s="395" t="inlineStr">
        <is>
          <t>X</t>
        </is>
      </c>
      <c r="M1745" s="395" t="n"/>
      <c r="N1745" s="395" t="inlineStr">
        <is>
          <t>Done</t>
        </is>
      </c>
      <c r="O1745" s="401" t="n"/>
      <c r="P1745" s="395" t="n"/>
      <c r="Q1745" s="427" t="inlineStr">
        <is>
          <t>SCMS.BC_THANH_VIEN
SCMS.BM_BAO_CAO
SCMS.BC_BAO_CAO_GT
SCMS.BM_BAO_CAO_HANG
SCMS.BM_BAO_CAO_COT
SCMS.CTCK_THONG_TIN</t>
        </is>
      </c>
      <c r="R1745" s="427" t="inlineStr">
        <is>
          <t>btv.ID,
btv.NGAY_SO_LIEU,
btv.BM_BAO_CAO_ID,
btv.CTCK_THONG_TIN_ID,
btv.TRANG_THAI,
c.CTCK_THONG_TIN_ID,
bsh.ID,
bsh.MA_HANG,
bsc.TEN_COT,
bsc.BM_SHEET_ID,
gt.BC_THANH_VIEN_ID,
gt.BM_SHEET_HANG_ID,
gt.GIA_TRI,
bm.ID,
bm.MA_BAO_CAO</t>
        </is>
      </c>
      <c r="S1745" s="395" t="n"/>
      <c r="T1745"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 Chỉ tiêu "Tên tổ chức/dự án kinh doanh" chưa xác định được lưu ở đâu?
    MAX(CASE WHEN bsh.MA_HANG='2' AND bsc.TEN_COT=N'Giá trị (triệu đồng)' THEN CAST(gt.GIA_TRI AS VARCHAR2(4000)) END) AS "Giá trị vốn góp vào tổ chức/dự án kinh doanh",
    MAX(CASE WHEN bsh.MA_HANG='2' AND bsc.TEN_COT=N'Tỷ lệ đầu tư (%)' THEN CAST(gt.GIA_TRI AS VARCHAR2(4000)) END) AS "Tỷ lệ đầu tư (%)"
FROM SCMS.BC_THANH_VIEN btv
JOIN SCMS.BM_BAO_CAO bm ON bm.ID = btv.BM_BAO_CAO_ID
JOIN SCMS.BC_BAO_CAO_GT gt ON gt.BC_THANH_VIEN_ID = btv.ID
JOIN SCMS.BM_BAO_CAO_HANG bsh ON bsh.ID = gt.BM_SHEET_HANG_ID
JOIN SCMS.BM_BAO_CAO_COT bsc ON bsc.BM_SHEET_ID = 7431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is>
      </c>
      <c r="U1745" s="386" t="n"/>
      <c r="V1745" s="395" t="n"/>
      <c r="W1745" s="395" t="n"/>
      <c r="X1745" s="395" t="n"/>
      <c r="Y1745" s="14" t="n"/>
      <c r="Z1745" s="395" t="n"/>
      <c r="AA1745" s="395" t="n"/>
      <c r="AB1745" s="395" t="n"/>
      <c r="AC1745" s="395" t="n"/>
      <c r="AD1745" s="395" t="n"/>
      <c r="AE1745" s="395" t="n"/>
    </row>
    <row r="1746" ht="70" customHeight="1" s="380">
      <c r="A1746" s="73" t="n">
        <v>88</v>
      </c>
      <c r="B1746" s="386" t="n"/>
      <c r="C1746" s="386" t="inlineStr">
        <is>
          <t>Báo cáo theo Thông tư 121/2020/TT-BTC &gt;&gt; Tình hình đầu tư, góp vốn vào tổ chức khác - II.11.4.DA nước ngoài</t>
        </is>
      </c>
      <c r="D1746" s="386" t="inlineStr">
        <is>
          <t>Sàn giao dịch</t>
        </is>
      </c>
      <c r="E1746" s="386" t="inlineStr">
        <is>
          <t>Sàn giao dịch</t>
        </is>
      </c>
      <c r="F1746" s="386" t="inlineStr">
        <is>
          <t>Data Explorer</t>
        </is>
      </c>
      <c r="G1746" s="386" t="inlineStr">
        <is>
          <t>Chỉ tiêu cơ sở</t>
        </is>
      </c>
      <c r="H1746" s="386" t="inlineStr">
        <is>
          <t>Trùng</t>
        </is>
      </c>
      <c r="I1746" s="386" t="inlineStr">
        <is>
          <t>Ngày, CTCK</t>
        </is>
      </c>
      <c r="J1746" s="395" t="inlineStr">
        <is>
          <t>SCMS</t>
        </is>
      </c>
      <c r="K1746" s="395" t="n"/>
      <c r="L1746" s="395" t="inlineStr">
        <is>
          <t>X</t>
        </is>
      </c>
      <c r="M1746" s="395" t="n"/>
      <c r="N1746" s="395" t="inlineStr">
        <is>
          <t>Done</t>
        </is>
      </c>
      <c r="O1746" s="401" t="n"/>
      <c r="P1746" s="395" t="n"/>
      <c r="S1746" s="395" t="n"/>
      <c r="U1746" s="386" t="n"/>
      <c r="V1746" s="395" t="n"/>
      <c r="W1746" s="395" t="n"/>
      <c r="X1746" s="395" t="n"/>
      <c r="Y1746" s="13" t="n"/>
      <c r="Z1746" s="395" t="n"/>
      <c r="AA1746" s="395" t="n"/>
      <c r="AB1746" s="395" t="n"/>
      <c r="AC1746" s="395" t="n"/>
      <c r="AD1746" s="395" t="n"/>
      <c r="AE1746" s="395" t="n"/>
    </row>
    <row r="1747" ht="70" customHeight="1" s="380">
      <c r="A1747" s="73" t="n">
        <v>88</v>
      </c>
      <c r="B1747" s="386" t="n"/>
      <c r="C1747" s="386" t="inlineStr">
        <is>
          <t>Báo cáo theo Thông tư 121/2020/TT-BTC &gt;&gt; Tình hình đầu tư, góp vốn vào tổ chức khác - II.11.4.DA nước ngoài</t>
        </is>
      </c>
      <c r="D1747" s="386" t="inlineStr">
        <is>
          <t>Mã chứng khoán</t>
        </is>
      </c>
      <c r="E1747" s="386" t="inlineStr">
        <is>
          <t>Mã chứng khoán</t>
        </is>
      </c>
      <c r="F1747" s="386" t="inlineStr">
        <is>
          <t>Data Explorer</t>
        </is>
      </c>
      <c r="G1747" s="386" t="inlineStr">
        <is>
          <t>Chỉ tiêu cơ sở</t>
        </is>
      </c>
      <c r="H1747" s="386" t="inlineStr">
        <is>
          <t>Trùng</t>
        </is>
      </c>
      <c r="I1747" s="386" t="inlineStr">
        <is>
          <t>Ngày, CTCK</t>
        </is>
      </c>
      <c r="J1747" s="395" t="inlineStr">
        <is>
          <t>SCMS</t>
        </is>
      </c>
      <c r="K1747" s="395" t="n"/>
      <c r="L1747" s="395" t="inlineStr">
        <is>
          <t>X</t>
        </is>
      </c>
      <c r="M1747" s="395" t="n"/>
      <c r="N1747" s="395" t="inlineStr">
        <is>
          <t>Done</t>
        </is>
      </c>
      <c r="O1747" s="401" t="n"/>
      <c r="P1747" s="395" t="n"/>
      <c r="S1747" s="395" t="n"/>
      <c r="U1747" s="386" t="n"/>
      <c r="V1747" s="395" t="n"/>
      <c r="W1747" s="395" t="n"/>
      <c r="X1747" s="395" t="n"/>
      <c r="Y1747" s="13" t="n"/>
      <c r="Z1747" s="395" t="n"/>
      <c r="AA1747" s="395" t="n"/>
      <c r="AB1747" s="395" t="n"/>
      <c r="AC1747" s="395" t="n"/>
      <c r="AD1747" s="395" t="n"/>
      <c r="AE1747" s="395" t="n"/>
    </row>
    <row r="1748" ht="70" customHeight="1" s="380">
      <c r="A1748" s="73" t="n">
        <v>88</v>
      </c>
      <c r="B1748" s="386" t="n"/>
      <c r="C1748" s="386" t="inlineStr">
        <is>
          <t>Báo cáo theo Thông tư 121/2020/TT-BTC &gt;&gt; Tình hình đầu tư, góp vốn vào tổ chức khác - II.11.4.DA nước ngoài</t>
        </is>
      </c>
      <c r="D1748" s="386" t="inlineStr">
        <is>
          <t>Giấy phép &gt;&gt; Số</t>
        </is>
      </c>
      <c r="E1748" s="386" t="inlineStr">
        <is>
          <t>Giấy phép &gt;&gt; Số</t>
        </is>
      </c>
      <c r="F1748" s="386" t="inlineStr">
        <is>
          <t>Data Explorer</t>
        </is>
      </c>
      <c r="G1748" s="386" t="inlineStr">
        <is>
          <t>Chỉ tiêu cơ sở</t>
        </is>
      </c>
      <c r="H1748" s="386" t="inlineStr">
        <is>
          <t>Trùng</t>
        </is>
      </c>
      <c r="I1748" s="386" t="inlineStr">
        <is>
          <t>Ngày, CTCK</t>
        </is>
      </c>
      <c r="J1748" s="395" t="inlineStr">
        <is>
          <t>SCMS</t>
        </is>
      </c>
      <c r="K1748" s="395" t="n"/>
      <c r="L1748" s="395" t="inlineStr">
        <is>
          <t>X</t>
        </is>
      </c>
      <c r="M1748" s="395" t="n"/>
      <c r="N1748" s="395" t="inlineStr">
        <is>
          <t>Done</t>
        </is>
      </c>
      <c r="O1748" s="401" t="n"/>
      <c r="P1748" s="395" t="n"/>
      <c r="S1748" s="395" t="n"/>
      <c r="U1748" s="386" t="n"/>
      <c r="V1748" s="395" t="n"/>
      <c r="W1748" s="395" t="n"/>
      <c r="X1748" s="395" t="n"/>
      <c r="Y1748" s="13" t="n"/>
      <c r="Z1748" s="395" t="n"/>
      <c r="AA1748" s="395" t="n"/>
      <c r="AB1748" s="395" t="n"/>
      <c r="AC1748" s="395" t="n"/>
      <c r="AD1748" s="395" t="n"/>
      <c r="AE1748" s="395" t="n"/>
    </row>
    <row r="1749" ht="70" customHeight="1" s="380">
      <c r="A1749" s="73" t="n">
        <v>88</v>
      </c>
      <c r="B1749" s="386" t="n"/>
      <c r="C1749" s="386" t="inlineStr">
        <is>
          <t>Báo cáo theo Thông tư 121/2020/TT-BTC &gt;&gt; Tình hình đầu tư, góp vốn vào tổ chức khác - II.11.4.DA nước ngoài</t>
        </is>
      </c>
      <c r="D1749" s="386" t="inlineStr">
        <is>
          <t>Giấy phép &gt;&gt; Ngày cấp
(Ngày/tháng/năm)</t>
        </is>
      </c>
      <c r="E1749" s="386" t="inlineStr">
        <is>
          <t>Giấy phép &gt;&gt; Ngày cấp
(Ngày/tháng/năm)</t>
        </is>
      </c>
      <c r="F1749" s="386" t="inlineStr">
        <is>
          <t>Data Explorer</t>
        </is>
      </c>
      <c r="G1749" s="386" t="inlineStr">
        <is>
          <t>Chỉ tiêu cơ sở</t>
        </is>
      </c>
      <c r="H1749" s="386" t="inlineStr">
        <is>
          <t>Trùng</t>
        </is>
      </c>
      <c r="I1749" s="386" t="inlineStr">
        <is>
          <t>Ngày, CTCK</t>
        </is>
      </c>
      <c r="J1749" s="395" t="inlineStr">
        <is>
          <t>SCMS</t>
        </is>
      </c>
      <c r="K1749" s="395" t="n"/>
      <c r="L1749" s="395" t="inlineStr">
        <is>
          <t>X</t>
        </is>
      </c>
      <c r="M1749" s="395" t="n"/>
      <c r="N1749" s="395" t="inlineStr">
        <is>
          <t>Done</t>
        </is>
      </c>
      <c r="O1749" s="401" t="n"/>
      <c r="P1749" s="395" t="n"/>
      <c r="S1749" s="395" t="n"/>
      <c r="U1749" s="386" t="n"/>
      <c r="V1749" s="395" t="n"/>
      <c r="W1749" s="395" t="n"/>
      <c r="X1749" s="395" t="n"/>
      <c r="Y1749" s="13" t="n"/>
      <c r="Z1749" s="395" t="n"/>
      <c r="AA1749" s="395" t="n"/>
      <c r="AB1749" s="395" t="n"/>
      <c r="AC1749" s="395" t="n"/>
      <c r="AD1749" s="395" t="n"/>
      <c r="AE1749" s="395" t="n"/>
    </row>
    <row r="1750" ht="70" customHeight="1" s="380">
      <c r="A1750" s="73" t="n">
        <v>88</v>
      </c>
      <c r="B1750" s="386" t="n"/>
      <c r="C1750" s="386" t="inlineStr">
        <is>
          <t>Báo cáo theo Thông tư 121/2020/TT-BTC &gt;&gt; Tình hình đầu tư, góp vốn vào tổ chức khác - II.11.4.DA nước ngoài</t>
        </is>
      </c>
      <c r="D1750" s="386" t="inlineStr">
        <is>
          <t>Đầu tư ra nước ngoài &gt;&gt; Tên tổ chức/dự án kinh doanh</t>
        </is>
      </c>
      <c r="E1750" s="386" t="inlineStr">
        <is>
          <t>Đầu tư trong nước &gt;&gt; Tên tổ chức/dự án kinh doanh</t>
        </is>
      </c>
      <c r="F1750" s="386" t="inlineStr">
        <is>
          <t>Data Explorer</t>
        </is>
      </c>
      <c r="G1750" s="386" t="inlineStr">
        <is>
          <t>Chỉ tiêu cơ sở</t>
        </is>
      </c>
      <c r="H1750" s="386" t="inlineStr">
        <is>
          <t>TB</t>
        </is>
      </c>
      <c r="I1750" s="386" t="inlineStr">
        <is>
          <t>Ngày, CTCK</t>
        </is>
      </c>
      <c r="J1750" s="395" t="inlineStr">
        <is>
          <t>SCMS</t>
        </is>
      </c>
      <c r="K1750" s="395" t="n"/>
      <c r="L1750" s="395" t="inlineStr">
        <is>
          <t>X</t>
        </is>
      </c>
      <c r="M1750" s="395" t="n"/>
      <c r="N1750" s="395" t="inlineStr">
        <is>
          <t>Pending</t>
        </is>
      </c>
      <c r="O1750" s="401" t="n"/>
      <c r="P1750" s="395" t="n"/>
      <c r="S1750" s="395" t="n"/>
      <c r="U1750" s="20" t="inlineStr">
        <is>
          <t>Chưa xác định được lưu ở đâu?</t>
        </is>
      </c>
      <c r="V1750" s="395" t="n"/>
      <c r="W1750" s="395" t="n"/>
      <c r="X1750" s="395" t="n"/>
      <c r="Y1750" s="13" t="n"/>
      <c r="Z1750" s="395" t="n"/>
      <c r="AA1750" s="395" t="n"/>
      <c r="AB1750" s="395" t="n"/>
      <c r="AC1750" s="395" t="n"/>
      <c r="AD1750" s="395" t="n"/>
      <c r="AE1750" s="395" t="n"/>
    </row>
    <row r="1751" ht="70" customHeight="1" s="380">
      <c r="A1751" s="73" t="n">
        <v>88</v>
      </c>
      <c r="B1751" s="386" t="n"/>
      <c r="C1751" s="386" t="inlineStr">
        <is>
          <t>Báo cáo theo Thông tư 121/2020/TT-BTC &gt;&gt; Tình hình đầu tư, góp vốn vào tổ chức khác - II.11.4.DA nước ngoài</t>
        </is>
      </c>
      <c r="D1751" s="386" t="inlineStr">
        <is>
          <t>Đầu tư ra nước ngoài &gt;&gt; Giá trị vốn góp vào tổ chức/dự án kinh doanh (triệu đồng)</t>
        </is>
      </c>
      <c r="E1751" s="386" t="inlineStr">
        <is>
          <t>Đầu tư trong nước &gt;&gt; Giá trị vốn góp vào tổ chức/dự án kinh doanh (triệu đồng)</t>
        </is>
      </c>
      <c r="F1751" s="386" t="inlineStr">
        <is>
          <t>Data Explorer</t>
        </is>
      </c>
      <c r="G1751" s="386" t="inlineStr">
        <is>
          <t>Chỉ tiêu cơ sở</t>
        </is>
      </c>
      <c r="H1751" s="386" t="inlineStr">
        <is>
          <t>TB</t>
        </is>
      </c>
      <c r="I1751" s="386" t="inlineStr">
        <is>
          <t>Ngày, CTCK</t>
        </is>
      </c>
      <c r="J1751" s="395" t="inlineStr">
        <is>
          <t>SCMS</t>
        </is>
      </c>
      <c r="K1751" s="395" t="n"/>
      <c r="L1751" s="395" t="inlineStr">
        <is>
          <t>X</t>
        </is>
      </c>
      <c r="M1751" s="395" t="n"/>
      <c r="N1751" s="395" t="inlineStr">
        <is>
          <t>Done</t>
        </is>
      </c>
      <c r="O1751" s="401" t="n"/>
      <c r="P1751" s="395" t="n"/>
      <c r="S1751" s="395" t="n"/>
      <c r="U1751" s="386" t="n"/>
      <c r="V1751" s="395" t="n"/>
      <c r="W1751" s="395" t="n"/>
      <c r="X1751" s="395" t="n"/>
      <c r="Y1751" s="38" t="n"/>
      <c r="Z1751" s="395" t="n"/>
      <c r="AA1751" s="395" t="n"/>
      <c r="AB1751" s="395" t="n"/>
      <c r="AC1751" s="395" t="n"/>
      <c r="AD1751" s="395" t="n"/>
      <c r="AE1751" s="395" t="n"/>
    </row>
    <row r="1752" ht="70" customHeight="1" s="380">
      <c r="A1752" s="83" t="n">
        <v>88</v>
      </c>
      <c r="B1752" s="68" t="n"/>
      <c r="C1752" s="68" t="inlineStr">
        <is>
          <t>Báo cáo theo Thông tư 121/2020/TT-BTC &gt;&gt; Tình hình đầu tư, góp vốn vào tổ chức khác - II.11.4.DA nước ngoài</t>
        </is>
      </c>
      <c r="D1752" s="68" t="inlineStr">
        <is>
          <t>Đầu tư ra nước ngoài &gt;&gt; Tỷ lệ đầu tư (%)</t>
        </is>
      </c>
      <c r="E1752" s="68" t="inlineStr">
        <is>
          <t>Đầu tư trong nước &gt;&gt; Tỷ lệ đầu tư (%)</t>
        </is>
      </c>
      <c r="F1752" s="68" t="inlineStr">
        <is>
          <t>Data Explorer</t>
        </is>
      </c>
      <c r="G1752" s="68" t="inlineStr">
        <is>
          <t>Chỉ tiêu cơ sở</t>
        </is>
      </c>
      <c r="H1752" s="68" t="inlineStr">
        <is>
          <t>TB</t>
        </is>
      </c>
      <c r="I1752" s="68" t="inlineStr">
        <is>
          <t>Ngày, CTCK</t>
        </is>
      </c>
      <c r="J1752" s="69" t="inlineStr">
        <is>
          <t>SCMS</t>
        </is>
      </c>
      <c r="K1752" s="69" t="n"/>
      <c r="L1752" s="69" t="inlineStr">
        <is>
          <t>X</t>
        </is>
      </c>
      <c r="M1752" s="69" t="n"/>
      <c r="N1752" s="69" t="inlineStr">
        <is>
          <t>Done</t>
        </is>
      </c>
      <c r="O1752" s="85" t="n"/>
      <c r="P1752" s="69" t="n"/>
      <c r="Q1752" s="426" t="n"/>
      <c r="R1752" s="426" t="n"/>
      <c r="S1752" s="69" t="n"/>
      <c r="T1752" s="426" t="n"/>
      <c r="U1752" s="68" t="n"/>
      <c r="V1752" s="69" t="n"/>
      <c r="W1752" s="69" t="n"/>
      <c r="X1752" s="69" t="n"/>
      <c r="Y1752" s="97" t="n"/>
      <c r="Z1752" s="69" t="n"/>
      <c r="AA1752" s="69" t="n"/>
      <c r="AB1752" s="69" t="n"/>
      <c r="AC1752" s="69" t="n"/>
      <c r="AD1752" s="69" t="n"/>
      <c r="AE1752" s="69" t="n"/>
    </row>
    <row r="1753" ht="70" customHeight="1" s="380">
      <c r="A1753" s="73" t="n">
        <v>89</v>
      </c>
      <c r="B1753" s="122" t="inlineStr">
        <is>
          <t>Nga</t>
        </is>
      </c>
      <c r="C1753" s="81" t="inlineStr">
        <is>
          <t>Báo cáo theo Thông tư 121/2020/TT-BTC &gt;&gt; Tình hình đầu tư, góp vốn vào tổ chức khác - II.11.5.TSCD</t>
        </is>
      </c>
      <c r="D1753" s="106" t="inlineStr">
        <is>
          <t>Loại báo cáo</t>
        </is>
      </c>
      <c r="E1753" s="107" t="inlineStr">
        <is>
          <t>Loại báo cáo</t>
        </is>
      </c>
      <c r="F1753" s="390" t="inlineStr">
        <is>
          <t>Data Explorer</t>
        </is>
      </c>
      <c r="G1753" s="390" t="inlineStr">
        <is>
          <t>Chiều</t>
        </is>
      </c>
      <c r="H1753" s="390" t="inlineStr">
        <is>
          <t>Dễ</t>
        </is>
      </c>
      <c r="I1753" s="390" t="inlineStr">
        <is>
          <t>Ngày, CTCK</t>
        </is>
      </c>
      <c r="J1753" s="401" t="inlineStr">
        <is>
          <t>SCMS</t>
        </is>
      </c>
      <c r="K1753" s="401" t="inlineStr">
        <is>
          <t>X</t>
        </is>
      </c>
      <c r="L1753" s="395" t="inlineStr">
        <is>
          <t>X</t>
        </is>
      </c>
      <c r="M1753" s="401" t="n"/>
      <c r="N1753" s="395" t="inlineStr">
        <is>
          <t>Done</t>
        </is>
      </c>
      <c r="O1753" s="401" t="n"/>
      <c r="P1753" s="395" t="n"/>
      <c r="Q1753" s="404" t="inlineStr">
        <is>
          <t>SCMS.BM_BAO_CAO
SCMS.BM_BAO_CAO_DINH_KY</t>
        </is>
      </c>
      <c r="R1753" s="404" t="inlineStr">
        <is>
          <t>bm.ID,
bm.MA_BAO_CAO,
bm.LOAI_BAO_CAO,
bm.TEN_BAO_CAO,
bm.SU_DUNG,
bdk.BM_BAO_CAO_ID,
bdk.KY_BAO_CAO,
bdk.SU_DUNG</t>
        </is>
      </c>
      <c r="S1753" s="395" t="n"/>
      <c r="T1753"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753" s="386" t="n"/>
      <c r="V1753" s="395" t="n"/>
      <c r="W1753" s="395" t="n"/>
      <c r="X1753" s="395" t="n"/>
      <c r="Y1753" s="13" t="n"/>
      <c r="Z1753" s="395" t="n"/>
      <c r="AA1753" s="395" t="n"/>
      <c r="AB1753" s="395" t="n"/>
      <c r="AC1753" s="395" t="n"/>
      <c r="AD1753" s="395" t="n"/>
      <c r="AE1753" s="395" t="n"/>
    </row>
    <row r="1754" ht="70" customHeight="1" s="380">
      <c r="A1754" s="73" t="n">
        <v>89</v>
      </c>
      <c r="B1754" s="386" t="n"/>
      <c r="C1754" s="386" t="inlineStr">
        <is>
          <t>Báo cáo theo Thông tư 121/2020/TT-BTC &gt;&gt; Tình hình đầu tư, góp vốn vào tổ chức khác - II.11.5.TSCD</t>
        </is>
      </c>
      <c r="D1754" s="106" t="inlineStr">
        <is>
          <t>Kỳ báo cáo</t>
        </is>
      </c>
      <c r="E1754" s="107" t="inlineStr">
        <is>
          <t>Kỳ báo cáo</t>
        </is>
      </c>
      <c r="F1754" s="390" t="inlineStr">
        <is>
          <t>Data Explorer</t>
        </is>
      </c>
      <c r="G1754" s="390" t="inlineStr">
        <is>
          <t>Chiều</t>
        </is>
      </c>
      <c r="H1754" s="390" t="inlineStr">
        <is>
          <t>Dễ</t>
        </is>
      </c>
      <c r="I1754" s="390" t="inlineStr">
        <is>
          <t>Ngày, CTCK</t>
        </is>
      </c>
      <c r="J1754" s="401" t="inlineStr">
        <is>
          <t>SCMS</t>
        </is>
      </c>
      <c r="K1754" s="401" t="inlineStr">
        <is>
          <t>X</t>
        </is>
      </c>
      <c r="L1754" s="395" t="inlineStr">
        <is>
          <t>X</t>
        </is>
      </c>
      <c r="M1754" s="401" t="n"/>
      <c r="N1754" s="395" t="inlineStr">
        <is>
          <t>Done</t>
        </is>
      </c>
      <c r="O1754" s="401" t="n"/>
      <c r="P1754" s="395" t="n"/>
      <c r="S1754" s="395" t="n"/>
      <c r="U1754" s="386" t="n"/>
      <c r="V1754" s="395" t="n"/>
      <c r="W1754" s="395" t="n"/>
      <c r="X1754" s="395" t="n"/>
      <c r="Y1754" s="13" t="n"/>
      <c r="Z1754" s="395" t="n"/>
      <c r="AA1754" s="395" t="n"/>
      <c r="AB1754" s="395" t="n"/>
      <c r="AC1754" s="395" t="n"/>
      <c r="AD1754" s="395" t="n"/>
      <c r="AE1754" s="395" t="n"/>
    </row>
    <row r="1755" ht="70" customHeight="1" s="380">
      <c r="A1755" s="73" t="n">
        <v>89</v>
      </c>
      <c r="B1755" s="386" t="n"/>
      <c r="C1755" s="386" t="inlineStr">
        <is>
          <t>Báo cáo theo Thông tư 121/2020/TT-BTC &gt;&gt; Tình hình đầu tư, góp vốn vào tổ chức khác - II.11.5.TSCD</t>
        </is>
      </c>
      <c r="D1755" s="106" t="inlineStr">
        <is>
          <t>Mã báo cáo</t>
        </is>
      </c>
      <c r="E1755" s="107" t="inlineStr">
        <is>
          <t>Mã báo cáo</t>
        </is>
      </c>
      <c r="F1755" s="390" t="inlineStr">
        <is>
          <t>Data Explorer</t>
        </is>
      </c>
      <c r="G1755" s="390" t="inlineStr">
        <is>
          <t>Chiều</t>
        </is>
      </c>
      <c r="H1755" s="390" t="inlineStr">
        <is>
          <t>Dễ</t>
        </is>
      </c>
      <c r="I1755" s="390" t="inlineStr">
        <is>
          <t>Ngày, CTCK</t>
        </is>
      </c>
      <c r="J1755" s="401" t="inlineStr">
        <is>
          <t>SCMS</t>
        </is>
      </c>
      <c r="K1755" s="401" t="inlineStr">
        <is>
          <t>X</t>
        </is>
      </c>
      <c r="L1755" s="395" t="inlineStr">
        <is>
          <t>X</t>
        </is>
      </c>
      <c r="M1755" s="401" t="n"/>
      <c r="N1755" s="395" t="inlineStr">
        <is>
          <t>Done</t>
        </is>
      </c>
      <c r="O1755" s="401" t="n"/>
      <c r="P1755" s="395" t="n"/>
      <c r="S1755" s="395" t="n"/>
      <c r="U1755" s="386" t="n"/>
      <c r="V1755" s="395" t="n"/>
      <c r="W1755" s="395" t="n"/>
      <c r="X1755" s="395" t="n"/>
      <c r="Y1755" s="13" t="n"/>
      <c r="Z1755" s="395" t="n"/>
      <c r="AA1755" s="395" t="n"/>
      <c r="AB1755" s="395" t="n"/>
      <c r="AC1755" s="395" t="n"/>
      <c r="AD1755" s="395" t="n"/>
      <c r="AE1755" s="395" t="n"/>
    </row>
    <row r="1756" ht="70" customHeight="1" s="380">
      <c r="A1756" s="73" t="n">
        <v>89</v>
      </c>
      <c r="B1756" s="386" t="n"/>
      <c r="C1756" s="386" t="inlineStr">
        <is>
          <t>Báo cáo theo Thông tư 121/2020/TT-BTC &gt;&gt; Tình hình đầu tư, góp vốn vào tổ chức khác - II.11.5.TSCD</t>
        </is>
      </c>
      <c r="D1756" s="106" t="inlineStr">
        <is>
          <t>Tên báo cáo</t>
        </is>
      </c>
      <c r="E1756" s="107" t="inlineStr">
        <is>
          <t>Tên báo cáo</t>
        </is>
      </c>
      <c r="F1756" s="390" t="inlineStr">
        <is>
          <t>Data Explorer</t>
        </is>
      </c>
      <c r="G1756" s="390" t="inlineStr">
        <is>
          <t>Chiều</t>
        </is>
      </c>
      <c r="H1756" s="390" t="inlineStr">
        <is>
          <t>Dễ</t>
        </is>
      </c>
      <c r="I1756" s="390" t="inlineStr">
        <is>
          <t>Ngày, CTCK</t>
        </is>
      </c>
      <c r="J1756" s="401" t="inlineStr">
        <is>
          <t>SCMS</t>
        </is>
      </c>
      <c r="K1756" s="401" t="inlineStr">
        <is>
          <t>X</t>
        </is>
      </c>
      <c r="L1756" s="395" t="inlineStr">
        <is>
          <t>X</t>
        </is>
      </c>
      <c r="M1756" s="401" t="n"/>
      <c r="N1756" s="395" t="inlineStr">
        <is>
          <t>Done</t>
        </is>
      </c>
      <c r="O1756" s="401" t="n"/>
      <c r="P1756" s="395" t="n"/>
      <c r="S1756" s="395" t="n"/>
      <c r="U1756" s="386" t="n"/>
      <c r="V1756" s="395" t="n"/>
      <c r="W1756" s="395" t="n"/>
      <c r="X1756" s="395" t="n"/>
      <c r="Y1756" s="13" t="n"/>
      <c r="Z1756" s="395" t="n"/>
      <c r="AA1756" s="395" t="n"/>
      <c r="AB1756" s="395" t="n"/>
      <c r="AC1756" s="395" t="n"/>
      <c r="AD1756" s="395" t="n"/>
      <c r="AE1756" s="395" t="n"/>
    </row>
    <row r="1757" ht="70" customHeight="1" s="380">
      <c r="A1757" s="73" t="n">
        <v>89</v>
      </c>
      <c r="B1757" s="386" t="n"/>
      <c r="C1757" s="386" t="inlineStr">
        <is>
          <t>Báo cáo theo Thông tư 121/2020/TT-BTC &gt;&gt; Tình hình đầu tư, góp vốn vào tổ chức khác - II.11.5.TSCD</t>
        </is>
      </c>
      <c r="D1757" s="106" t="inlineStr">
        <is>
          <t>Mã sheet</t>
        </is>
      </c>
      <c r="E1757" s="106" t="inlineStr">
        <is>
          <t>Mã sheet</t>
        </is>
      </c>
      <c r="F1757" s="390" t="inlineStr">
        <is>
          <t>Data Explorer</t>
        </is>
      </c>
      <c r="G1757" s="390" t="inlineStr">
        <is>
          <t>Chiều</t>
        </is>
      </c>
      <c r="H1757" s="390" t="inlineStr">
        <is>
          <t>Dễ</t>
        </is>
      </c>
      <c r="I1757" s="390" t="inlineStr">
        <is>
          <t>Ngày, CTCK</t>
        </is>
      </c>
      <c r="J1757" s="401" t="inlineStr">
        <is>
          <t>SCMS</t>
        </is>
      </c>
      <c r="K1757" s="401" t="inlineStr">
        <is>
          <t>X</t>
        </is>
      </c>
      <c r="L1757" s="395" t="inlineStr">
        <is>
          <t>X</t>
        </is>
      </c>
      <c r="M1757" s="401" t="n"/>
      <c r="N1757" s="395" t="inlineStr">
        <is>
          <t>Done</t>
        </is>
      </c>
      <c r="O1757" s="401" t="n"/>
      <c r="P1757" s="395" t="n"/>
      <c r="Q1757" s="401" t="inlineStr">
        <is>
          <t>SCMS.BM_BAO_CAO
SCMS.BM_SHEET</t>
        </is>
      </c>
      <c r="R1757" s="401" t="inlineStr">
        <is>
          <t>bm.ID,
bm.MA_BAO_CAO,
bm.SU_DUNG,
s.BM_BAO_CAO_ID,
s.MA_SHEET,
s.TEN_SHEET,
s.SAP_XEP</t>
        </is>
      </c>
      <c r="S1757" s="395" t="n"/>
      <c r="T1757" s="384" t="inlineStr">
        <is>
          <t>-- Mã sheet / Tên sheet
-- TEN_SHEET: THDTGV
SELECT bm.MA_BAO_CAO,
s.MA_SHEET,
s.TEN_SHEET
FROM SCMS.BM_BAO_CAO bm
JOIN SCMS.BM_SHEET s ON s.BM_BAO_CAO_ID = bm.ID
WHERE bm.MA_BAO_CAO LIKE 'BCTHHDKD%'
AND s.TEN_SHEET = 'THDTGV'  -- Check lại
AND bm.SU_DUNG = 1
ORDER BY bm.MA_BAO_CAO, s.SAP_XEP;</t>
        </is>
      </c>
      <c r="U1757" s="386" t="n"/>
      <c r="V1757" s="395" t="n"/>
      <c r="W1757" s="395" t="n"/>
      <c r="X1757" s="395" t="n"/>
      <c r="Y1757" s="13" t="n"/>
      <c r="Z1757" s="395" t="n"/>
      <c r="AA1757" s="395" t="n"/>
      <c r="AB1757" s="395" t="n"/>
      <c r="AC1757" s="395" t="n"/>
      <c r="AD1757" s="395" t="n"/>
      <c r="AE1757" s="395" t="n"/>
    </row>
    <row r="1758" ht="70" customHeight="1" s="380">
      <c r="A1758" s="73" t="n">
        <v>89</v>
      </c>
      <c r="B1758" s="386" t="n"/>
      <c r="C1758" s="386" t="inlineStr">
        <is>
          <t>Báo cáo theo Thông tư 121/2020/TT-BTC &gt;&gt; Tình hình đầu tư, góp vốn vào tổ chức khác - II.11.5.TSCD</t>
        </is>
      </c>
      <c r="D1758" s="106" t="inlineStr">
        <is>
          <t>Tên sheet</t>
        </is>
      </c>
      <c r="E1758" s="106" t="inlineStr">
        <is>
          <t>Tên sheet</t>
        </is>
      </c>
      <c r="F1758" s="390" t="inlineStr">
        <is>
          <t>Data Explorer</t>
        </is>
      </c>
      <c r="G1758" s="390" t="inlineStr">
        <is>
          <t>Chiều</t>
        </is>
      </c>
      <c r="H1758" s="390" t="inlineStr">
        <is>
          <t>Dễ</t>
        </is>
      </c>
      <c r="I1758" s="390" t="inlineStr">
        <is>
          <t>Ngày, CTCK</t>
        </is>
      </c>
      <c r="J1758" s="401" t="inlineStr">
        <is>
          <t>SCMS</t>
        </is>
      </c>
      <c r="K1758" s="401" t="inlineStr">
        <is>
          <t>X</t>
        </is>
      </c>
      <c r="L1758" s="395" t="inlineStr">
        <is>
          <t>X</t>
        </is>
      </c>
      <c r="M1758" s="401" t="n"/>
      <c r="N1758" s="395" t="inlineStr">
        <is>
          <t>Done</t>
        </is>
      </c>
      <c r="O1758" s="401" t="n"/>
      <c r="P1758" s="395" t="n"/>
      <c r="S1758" s="395" t="n"/>
      <c r="U1758" s="386" t="n"/>
      <c r="V1758" s="395" t="n"/>
      <c r="W1758" s="395" t="n"/>
      <c r="X1758" s="395" t="n"/>
      <c r="Y1758" s="13" t="n"/>
      <c r="Z1758" s="395" t="n"/>
      <c r="AA1758" s="395" t="n"/>
      <c r="AB1758" s="395" t="n"/>
      <c r="AC1758" s="395" t="n"/>
      <c r="AD1758" s="395" t="n"/>
      <c r="AE1758" s="395" t="n"/>
    </row>
    <row r="1759" ht="70" customHeight="1" s="380">
      <c r="A1759" s="73" t="n">
        <v>89</v>
      </c>
      <c r="B1759" s="386" t="n"/>
      <c r="C1759" s="386" t="inlineStr">
        <is>
          <t>Báo cáo theo Thông tư 121/2020/TT-BTC &gt;&gt; Tình hình đầu tư, góp vốn vào tổ chức khác - II.11.5.TSCD</t>
        </is>
      </c>
      <c r="D1759" s="106" t="inlineStr">
        <is>
          <t>Mã chỉ tiêu</t>
        </is>
      </c>
      <c r="E1759" s="107" t="inlineStr">
        <is>
          <t>Mã chỉ tiêu</t>
        </is>
      </c>
      <c r="F1759" s="390" t="inlineStr">
        <is>
          <t>Data Explorer</t>
        </is>
      </c>
      <c r="G1759" s="390" t="inlineStr">
        <is>
          <t>Chiều</t>
        </is>
      </c>
      <c r="H1759" s="390" t="inlineStr">
        <is>
          <t>Dễ</t>
        </is>
      </c>
      <c r="I1759" s="390" t="inlineStr">
        <is>
          <t>Ngày, CTCK</t>
        </is>
      </c>
      <c r="J1759" s="401" t="inlineStr">
        <is>
          <t>SCMS</t>
        </is>
      </c>
      <c r="K1759" s="401" t="inlineStr">
        <is>
          <t>X</t>
        </is>
      </c>
      <c r="L1759" s="395" t="inlineStr">
        <is>
          <t>X</t>
        </is>
      </c>
      <c r="M1759" s="401" t="n"/>
      <c r="N1759" s="395" t="inlineStr">
        <is>
          <t>Done</t>
        </is>
      </c>
      <c r="O1759" s="401" t="n"/>
      <c r="P1759" s="395" t="n"/>
      <c r="Q1759" s="401" t="inlineStr">
        <is>
          <t>SCMS.BM_BAO_CAO
SCMS.BM_SHEET
SCMS.BM_BAO_CAO_CT
SCMS.DM_CHI_TIEU</t>
        </is>
      </c>
      <c r="R1759" s="402" t="inlineStr">
        <is>
          <t>dct.ID,
dct.MA_CHI_TIEU,
dct.TEN_CHI_TIEU,
dct.SU_DUNG,
s.BM_BAO_CAO_ID,
s.MA_SHEET,
ct.BM_BAO_CAO_ID,
ct.DM_CHI_TIEU_ID,
ct.SU_DUNG,
bm.ID,
bm.MA_BAO_CAO,
bm.SU_DUNG</t>
        </is>
      </c>
      <c r="S1759" s="395" t="n"/>
      <c r="T1759" s="384" t="inlineStr">
        <is>
          <t>-- Mã chỉ tiêu / Tên chỉ tiêu
SELECT DISTINCT
    dct.MA_CHI_TIEU  AS ma_chi_tieu,
    dct.TEN_CHI_TIEU AS ten_chi_tieu
FROM SCMS.BM_BAO_CAO bm
JOIN SCMS.BM_SHEET s ON s.BM_BAO_CAO_ID = bm.ID
	AND s.TEN_SHEET = 'THDTGV'
JOIN SCMS.BM_BAO_CAO_CT ct ON ct.BM_SHEET_ID = s.ID
	AND ct.SU_DUNG = 1
JOIN SCMS.DM_CHI_TIEU dct ON dct.ID = ct.DM_CHI_TIEU_ID
	AND dct.SU_DUNG = 1
WHERE bm.MA_BAO_CAO LIKE 'BCTHHDKD%'
	AND bm.SU_DUNG = 1
ORDER BY dct.MA_CHI_TIEU;</t>
        </is>
      </c>
      <c r="U1759" s="386" t="n"/>
      <c r="V1759" s="395" t="n"/>
      <c r="W1759" s="395" t="n"/>
      <c r="X1759" s="395" t="n"/>
      <c r="Y1759" s="38" t="n"/>
      <c r="Z1759" s="395" t="n"/>
      <c r="AA1759" s="395" t="n"/>
      <c r="AB1759" s="395" t="n"/>
      <c r="AC1759" s="395" t="n"/>
      <c r="AD1759" s="395" t="n"/>
      <c r="AE1759" s="395" t="n"/>
    </row>
    <row r="1760" ht="70" customHeight="1" s="380">
      <c r="A1760" s="73" t="n">
        <v>89</v>
      </c>
      <c r="B1760" s="386" t="n"/>
      <c r="C1760" s="386" t="inlineStr">
        <is>
          <t>Báo cáo theo Thông tư 121/2020/TT-BTC &gt;&gt; Tình hình đầu tư, góp vốn vào tổ chức khác - II.11.5.TSCD</t>
        </is>
      </c>
      <c r="D1760" s="106" t="inlineStr">
        <is>
          <t>Tên chỉ tiêu</t>
        </is>
      </c>
      <c r="E1760" s="107" t="inlineStr">
        <is>
          <t>Tên chỉ tiêu</t>
        </is>
      </c>
      <c r="F1760" s="390" t="inlineStr">
        <is>
          <t>Data Explorer</t>
        </is>
      </c>
      <c r="G1760" s="390" t="inlineStr">
        <is>
          <t>Chiều</t>
        </is>
      </c>
      <c r="H1760" s="390" t="inlineStr">
        <is>
          <t>Dễ</t>
        </is>
      </c>
      <c r="I1760" s="390" t="inlineStr">
        <is>
          <t>Ngày, CTCK</t>
        </is>
      </c>
      <c r="J1760" s="401" t="inlineStr">
        <is>
          <t>SCMS</t>
        </is>
      </c>
      <c r="K1760" s="401" t="inlineStr">
        <is>
          <t>X</t>
        </is>
      </c>
      <c r="L1760" s="395" t="inlineStr">
        <is>
          <t>X</t>
        </is>
      </c>
      <c r="M1760" s="401" t="n"/>
      <c r="N1760" s="395" t="inlineStr">
        <is>
          <t>Done</t>
        </is>
      </c>
      <c r="O1760" s="401" t="n"/>
      <c r="P1760" s="395" t="n"/>
      <c r="S1760" s="395" t="n"/>
      <c r="U1760" s="386" t="n"/>
      <c r="V1760" s="395" t="n"/>
      <c r="W1760" s="395" t="n"/>
      <c r="X1760" s="395" t="n"/>
      <c r="Y1760" s="13" t="n"/>
      <c r="Z1760" s="395" t="n"/>
      <c r="AA1760" s="395" t="n"/>
      <c r="AB1760" s="395" t="n"/>
      <c r="AC1760" s="395" t="n"/>
      <c r="AD1760" s="395" t="n"/>
      <c r="AE1760" s="395" t="n"/>
    </row>
    <row r="1761" ht="70" customHeight="1" s="380">
      <c r="A1761" s="73" t="n">
        <v>89</v>
      </c>
      <c r="B1761" s="386" t="n"/>
      <c r="C1761" s="386" t="inlineStr">
        <is>
          <t>Báo cáo theo Thông tư 121/2020/TT-BTC &gt;&gt; Tình hình đầu tư, góp vốn vào tổ chức khác - II.11.5.TSCD</t>
        </is>
      </c>
      <c r="D1761" s="386" t="inlineStr">
        <is>
          <t>Tên công ty chứng khoán</t>
        </is>
      </c>
      <c r="E1761" s="386" t="inlineStr">
        <is>
          <t>Tên công ty chứng khoán</t>
        </is>
      </c>
      <c r="F1761" s="386" t="inlineStr">
        <is>
          <t>Data Explorer</t>
        </is>
      </c>
      <c r="G1761" s="386" t="inlineStr">
        <is>
          <t>Chỉ tiêu cơ sở</t>
        </is>
      </c>
      <c r="H1761" s="386" t="inlineStr">
        <is>
          <t>Trùng</t>
        </is>
      </c>
      <c r="I1761" s="386" t="inlineStr">
        <is>
          <t>Ngày, CTCK</t>
        </is>
      </c>
      <c r="J1761" s="395" t="inlineStr">
        <is>
          <t>SCMS</t>
        </is>
      </c>
      <c r="K1761" s="395" t="n"/>
      <c r="L1761" s="395" t="inlineStr">
        <is>
          <t>X</t>
        </is>
      </c>
      <c r="M1761" s="395" t="n"/>
      <c r="N1761" s="395" t="inlineStr">
        <is>
          <t>Done</t>
        </is>
      </c>
      <c r="O1761" s="401" t="n"/>
      <c r="P1761" s="395" t="n"/>
      <c r="Q1761" s="427" t="inlineStr">
        <is>
          <t>SCMS.BC_THANH_VIEN
SCMS.BM_BAO_CAO
SCMS.BC_BAO_CAO_GT
SCMS.BM_BAO_CAO_HANG
SCMS.BM_BAO_CAO_COT
SCMS.CTCK_THONG_TIN</t>
        </is>
      </c>
      <c r="R1761" s="427" t="inlineStr">
        <is>
          <t>btv.ID,
btv.NGAY_SO_LIEU,
btv.BM_BAO_CAO_ID,
btv.CTCK_THONG_TIN_ID,
btv.TRANG_THAI,
btv2.XOA_DU_LIEU,
c.CTCK_THONG_TIN_ID,
bsh.ID,
bsh.MA_HANG,
bsc.TEN_COT,
bsc.BM_SHEET_ID,
gt.BC_THANH_VIEN_ID,
gt.BM_SHEET_HANG_ID,
gt.GIA_TRI,
bm.ID,
bm.MA_BAO_CAO</t>
        </is>
      </c>
      <c r="S1761" s="395" t="n"/>
      <c r="T1761"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gt_bctc.TEN_COT LIKE N'%Tổng tài sản%' THEN CAST(gt_bctc.GIA_TRI AS VARCHAR2(4000)) END) AS "Tổng tài sản (triệu đồng)",
    MAX(CASE WHEN bsh.MA_HANG='5' AND bsc.TEN_COT=N'Giá trị (triệu đồng)' THEN CAST(gt.GIA_TRI AS VARCHAR2(4000)) END) AS "Giá trị tổng",
    ROUND(TO_NUMBER(NULLIF(MAX(CASE WHEN bsh.MA_HANG='5' AND bsc.TEN_COT=N'Giá trị (triệu đồng)' THEN CAST(gt.GIA_TRI AS VARCHAR2(4000)) END), ''))
        / NULLIF(TO_NUMBER(NULLIF(MAX(CASE WHEN gt_bctc.TEN_COT LIKE N'%Tổng tài sản%' THEN CAST(gt_bctc.GIA_TRI AS VARCHAR2(4000)) END), '')), 0) * 100, 2) AS "Tỷ lệ (%)"
FROM SCMS.BC_THANH_VIEN btv
JOIN SCMS.BM_BAO_CAO bm ON bm.ID = btv.BM_BAO_CAO_ID
JOIN SCMS.BC_BAO_CAO_GT gt ON gt.BC_THANH_VIEN_ID = btv.ID
JOIN SCMS.BM_BAO_CAO_HANG bsh ON bsh.ID = gt.BM_SHEET_HANG_ID
JOIN SCMS.BM_BAO_CAO_COT bsc ON bsc.BM_SHEET_ID = 7431
--                               AND bsc.TEN_COT = gt.TEN_COT
JOIN SCMS.CTCK_THONG_TIN c ON c.CTCK_THONG_TIN_ID = btv.CTCK_THONG_TIN_ID
-- BCTC năm:
LEFT JOIN SCMS.BC_THANH_VIEN btv2 ON btv2.CTCK_THONG_TIN_ID = btv.CTCK_THONG_TIN_ID
                                      AND btv2.TRANG_THAI IN (4, 6)
                                      AND btv2.XOA_DU_LIEU = 0
                                      AND TRUNC(btv2.NGAY_SO_LIEU) = ADD_MONTHS(TRUNC(btv.NGAY_SO_LIEU, 'YYYY'), 12) - 1
LEFT JOIN SCMS.BM_BAO_CAO bm2 ON bm2.ID = btv2.BM_BAO_CAO_ID
                                  AND bm2.MA_BAO_CAO LIKE '%BCTCRLCTCK%'   -- Xác nhận
LEFT JOIN SCMS.BC_BAO_CAO_GT gt_bctc ON gt_bctc.BC_THANH_VIEN_ID = btv2.ID
WHERE bm.MA_BAO_CAO LIKE 'BCTHHDKD%'
  AND btv.TRANG_THAI IN (2, 3)
GROUP BY
    btv.ID, btv.CTCK_THONG_TIN_ID, btv.NGAY_SO_LIEU, btv.TRANG_THAI,
    bm.MA_BAO_CAO,
    c.TEN_VIET_TAT, c.SAN_NIEM_YET, c.MA_CHUNG_KHOAN,
    c.GIAY_PHEP_KINH_DOANH, c.NGAY_CAP_GPKD
ORDER BY btv.NGAY_SO_LIEU DESC, c.TEN_VIET_TAT;</t>
        </is>
      </c>
      <c r="U1761" s="386" t="n"/>
      <c r="V1761" s="395" t="n"/>
      <c r="W1761" s="395" t="n"/>
      <c r="X1761" s="395" t="n"/>
      <c r="Y1761" s="13" t="n"/>
      <c r="Z1761" s="395" t="n"/>
      <c r="AA1761" s="395" t="n"/>
      <c r="AB1761" s="395" t="n"/>
      <c r="AC1761" s="395" t="n"/>
      <c r="AD1761" s="395" t="n"/>
      <c r="AE1761" s="395" t="n"/>
    </row>
    <row r="1762" ht="70" customHeight="1" s="380">
      <c r="A1762" s="73" t="n">
        <v>89</v>
      </c>
      <c r="B1762" s="386" t="n"/>
      <c r="C1762" s="386" t="inlineStr">
        <is>
          <t>Báo cáo theo Thông tư 121/2020/TT-BTC &gt;&gt; Tình hình đầu tư, góp vốn vào tổ chức khác - II.11.5.TSCD</t>
        </is>
      </c>
      <c r="D1762" s="386" t="inlineStr">
        <is>
          <t>Sàn giao dịch</t>
        </is>
      </c>
      <c r="E1762" s="386" t="inlineStr">
        <is>
          <t>Sàn giao dịch</t>
        </is>
      </c>
      <c r="F1762" s="386" t="inlineStr">
        <is>
          <t>Data Explorer</t>
        </is>
      </c>
      <c r="G1762" s="386" t="inlineStr">
        <is>
          <t>Chỉ tiêu cơ sở</t>
        </is>
      </c>
      <c r="H1762" s="386" t="inlineStr">
        <is>
          <t>Trùng</t>
        </is>
      </c>
      <c r="I1762" s="386" t="inlineStr">
        <is>
          <t>Ngày, CTCK</t>
        </is>
      </c>
      <c r="J1762" s="395" t="inlineStr">
        <is>
          <t>SCMS</t>
        </is>
      </c>
      <c r="K1762" s="395" t="n"/>
      <c r="L1762" s="395" t="inlineStr">
        <is>
          <t>X</t>
        </is>
      </c>
      <c r="M1762" s="395" t="n"/>
      <c r="N1762" s="395" t="inlineStr">
        <is>
          <t>Done</t>
        </is>
      </c>
      <c r="O1762" s="401" t="n"/>
      <c r="P1762" s="395" t="n"/>
      <c r="S1762" s="395" t="n"/>
      <c r="U1762" s="386" t="n"/>
      <c r="V1762" s="395" t="n"/>
      <c r="W1762" s="395" t="n"/>
      <c r="X1762" s="395" t="n"/>
      <c r="Y1762" s="13" t="n"/>
      <c r="Z1762" s="395" t="n"/>
      <c r="AA1762" s="395" t="n"/>
      <c r="AB1762" s="395" t="n"/>
      <c r="AC1762" s="395" t="n"/>
      <c r="AD1762" s="395" t="n"/>
      <c r="AE1762" s="395" t="n"/>
    </row>
    <row r="1763" ht="70" customHeight="1" s="380">
      <c r="A1763" s="73" t="n">
        <v>89</v>
      </c>
      <c r="B1763" s="386" t="n"/>
      <c r="C1763" s="386" t="inlineStr">
        <is>
          <t>Báo cáo theo Thông tư 121/2020/TT-BTC &gt;&gt; Tình hình đầu tư, góp vốn vào tổ chức khác - II.11.5.TSCD</t>
        </is>
      </c>
      <c r="D1763" s="386" t="inlineStr">
        <is>
          <t>Mã chứng khoán</t>
        </is>
      </c>
      <c r="E1763" s="386" t="inlineStr">
        <is>
          <t>Mã chứng khoán</t>
        </is>
      </c>
      <c r="F1763" s="386" t="inlineStr">
        <is>
          <t>Data Explorer</t>
        </is>
      </c>
      <c r="G1763" s="386" t="inlineStr">
        <is>
          <t>Chỉ tiêu cơ sở</t>
        </is>
      </c>
      <c r="H1763" s="386" t="inlineStr">
        <is>
          <t>Trùng</t>
        </is>
      </c>
      <c r="I1763" s="386" t="inlineStr">
        <is>
          <t>Ngày, CTCK</t>
        </is>
      </c>
      <c r="J1763" s="395" t="inlineStr">
        <is>
          <t>SCMS</t>
        </is>
      </c>
      <c r="K1763" s="395" t="n"/>
      <c r="L1763" s="395" t="inlineStr">
        <is>
          <t>X</t>
        </is>
      </c>
      <c r="M1763" s="395" t="n"/>
      <c r="N1763" s="395" t="inlineStr">
        <is>
          <t>Done</t>
        </is>
      </c>
      <c r="O1763" s="401" t="n"/>
      <c r="P1763" s="395" t="n"/>
      <c r="S1763" s="395" t="n"/>
      <c r="U1763" s="386" t="n"/>
      <c r="V1763" s="395" t="n"/>
      <c r="W1763" s="395" t="n"/>
      <c r="X1763" s="395" t="n"/>
      <c r="Y1763" s="13" t="n"/>
      <c r="Z1763" s="395" t="n"/>
      <c r="AA1763" s="395" t="n"/>
      <c r="AB1763" s="395" t="n"/>
      <c r="AC1763" s="395" t="n"/>
      <c r="AD1763" s="395" t="n"/>
      <c r="AE1763" s="395" t="n"/>
    </row>
    <row r="1764" ht="70" customHeight="1" s="380">
      <c r="A1764" s="73" t="n">
        <v>89</v>
      </c>
      <c r="B1764" s="386" t="n"/>
      <c r="C1764" s="386" t="inlineStr">
        <is>
          <t>Báo cáo theo Thông tư 121/2020/TT-BTC &gt;&gt; Tình hình đầu tư, góp vốn vào tổ chức khác - II.11.5.TSCD</t>
        </is>
      </c>
      <c r="D1764" s="386" t="inlineStr">
        <is>
          <t>Giấy phép &gt;&gt; Số</t>
        </is>
      </c>
      <c r="E1764" s="386" t="inlineStr">
        <is>
          <t>Giấy phép &gt;&gt; Số</t>
        </is>
      </c>
      <c r="F1764" s="386" t="inlineStr">
        <is>
          <t>Data Explorer</t>
        </is>
      </c>
      <c r="G1764" s="386" t="inlineStr">
        <is>
          <t>Chỉ tiêu cơ sở</t>
        </is>
      </c>
      <c r="H1764" s="386" t="inlineStr">
        <is>
          <t>Trùng</t>
        </is>
      </c>
      <c r="I1764" s="386" t="inlineStr">
        <is>
          <t>Ngày, CTCK</t>
        </is>
      </c>
      <c r="J1764" s="395" t="inlineStr">
        <is>
          <t>SCMS</t>
        </is>
      </c>
      <c r="K1764" s="395" t="n"/>
      <c r="L1764" s="395" t="inlineStr">
        <is>
          <t>X</t>
        </is>
      </c>
      <c r="M1764" s="395" t="n"/>
      <c r="N1764" s="395" t="inlineStr">
        <is>
          <t>Done</t>
        </is>
      </c>
      <c r="O1764" s="401" t="n"/>
      <c r="P1764" s="395" t="n"/>
      <c r="S1764" s="395" t="n"/>
      <c r="U1764" s="386" t="n"/>
      <c r="V1764" s="395" t="n"/>
      <c r="W1764" s="395" t="n"/>
      <c r="X1764" s="395" t="n"/>
      <c r="Y1764" s="13" t="n"/>
      <c r="Z1764" s="395" t="n"/>
      <c r="AA1764" s="395" t="n"/>
      <c r="AB1764" s="395" t="n"/>
      <c r="AC1764" s="395" t="n"/>
      <c r="AD1764" s="395" t="n"/>
      <c r="AE1764" s="395" t="n"/>
    </row>
    <row r="1765" ht="70" customHeight="1" s="380">
      <c r="A1765" s="73" t="n">
        <v>89</v>
      </c>
      <c r="B1765" s="386" t="n"/>
      <c r="C1765" s="386" t="inlineStr">
        <is>
          <t>Báo cáo theo Thông tư 121/2020/TT-BTC &gt;&gt; Tình hình đầu tư, góp vốn vào tổ chức khác - II.11.5.TSCD</t>
        </is>
      </c>
      <c r="D1765" s="386" t="inlineStr">
        <is>
          <t>Giấy phép &gt;&gt; Ngày cấp
(Ngày/tháng/năm)</t>
        </is>
      </c>
      <c r="E1765" s="386" t="inlineStr">
        <is>
          <t>Giấy phép &gt;&gt; Ngày cấp
(Ngày/tháng/năm)</t>
        </is>
      </c>
      <c r="F1765" s="386" t="inlineStr">
        <is>
          <t>Data Explorer</t>
        </is>
      </c>
      <c r="G1765" s="386" t="inlineStr">
        <is>
          <t>Chỉ tiêu cơ sở</t>
        </is>
      </c>
      <c r="H1765" s="386" t="inlineStr">
        <is>
          <t>Trùng</t>
        </is>
      </c>
      <c r="I1765" s="386" t="inlineStr">
        <is>
          <t>Ngày, CTCK</t>
        </is>
      </c>
      <c r="J1765" s="395" t="inlineStr">
        <is>
          <t>SCMS</t>
        </is>
      </c>
      <c r="K1765" s="395" t="n"/>
      <c r="L1765" s="395" t="inlineStr">
        <is>
          <t>X</t>
        </is>
      </c>
      <c r="M1765" s="395" t="n"/>
      <c r="N1765" s="395" t="inlineStr">
        <is>
          <t>Done</t>
        </is>
      </c>
      <c r="O1765" s="401" t="n"/>
      <c r="P1765" s="395" t="n"/>
      <c r="S1765" s="395" t="n"/>
      <c r="U1765" s="386" t="n"/>
      <c r="V1765" s="395" t="n"/>
      <c r="W1765" s="395" t="n"/>
      <c r="X1765" s="395" t="n"/>
      <c r="Y1765" s="38" t="n"/>
      <c r="Z1765" s="395" t="n"/>
      <c r="AA1765" s="395" t="n"/>
      <c r="AB1765" s="395" t="n"/>
      <c r="AC1765" s="395" t="n"/>
      <c r="AD1765" s="395" t="n"/>
      <c r="AE1765" s="395" t="n"/>
    </row>
    <row r="1766" ht="70" customHeight="1" s="380">
      <c r="A1766" s="73" t="n">
        <v>89</v>
      </c>
      <c r="B1766" s="386" t="n"/>
      <c r="C1766" s="386" t="inlineStr">
        <is>
          <t>Báo cáo theo Thông tư 121/2020/TT-BTC &gt;&gt; Tình hình đầu tư, góp vốn vào tổ chức khác - II.11.5.TSCD</t>
        </is>
      </c>
      <c r="D1766" s="386" t="inlineStr">
        <is>
          <t>Tổng tài sản (triệu đồng)</t>
        </is>
      </c>
      <c r="E1766" s="395" t="inlineStr">
        <is>
          <t>Tổng tài sản (triệu đồng)</t>
        </is>
      </c>
      <c r="F1766" s="386" t="inlineStr">
        <is>
          <t>Data Explorer</t>
        </is>
      </c>
      <c r="G1766" s="386" t="inlineStr">
        <is>
          <t>Chỉ tiêu cơ sở</t>
        </is>
      </c>
      <c r="H1766" s="386" t="inlineStr">
        <is>
          <t>TB</t>
        </is>
      </c>
      <c r="I1766" s="386" t="inlineStr">
        <is>
          <t>Ngày, CTCK</t>
        </is>
      </c>
      <c r="J1766" s="395" t="inlineStr">
        <is>
          <t>SCMS</t>
        </is>
      </c>
      <c r="K1766" s="395" t="n"/>
      <c r="L1766" s="395" t="inlineStr">
        <is>
          <t>X</t>
        </is>
      </c>
      <c r="M1766" s="395" t="n"/>
      <c r="N1766" s="395" t="inlineStr">
        <is>
          <t>Done</t>
        </is>
      </c>
      <c r="O1766" s="401" t="n"/>
      <c r="P1766" s="395" t="n"/>
      <c r="S1766" s="395" t="n"/>
      <c r="U1766" s="386" t="n"/>
      <c r="V1766" s="395" t="n"/>
      <c r="W1766" s="395" t="n"/>
      <c r="X1766" s="395" t="n"/>
      <c r="Y1766" s="13" t="n"/>
      <c r="Z1766" s="395" t="n"/>
      <c r="AA1766" s="395" t="n"/>
      <c r="AB1766" s="395" t="n"/>
      <c r="AC1766" s="395" t="n"/>
      <c r="AD1766" s="395" t="n"/>
      <c r="AE1766" s="395" t="n"/>
    </row>
    <row r="1767" ht="70" customHeight="1" s="380">
      <c r="A1767" s="73" t="n">
        <v>89</v>
      </c>
      <c r="B1767" s="386" t="n"/>
      <c r="C1767" s="386" t="inlineStr">
        <is>
          <t>Báo cáo theo Thông tư 121/2020/TT-BTC &gt;&gt; Tình hình đầu tư, góp vốn vào tổ chức khác - II.11.5.TSCD</t>
        </is>
      </c>
      <c r="D1767" s="386" t="inlineStr">
        <is>
          <t>Giá trị tổng = Giá trị trong nước (triệu đồng)</t>
        </is>
      </c>
      <c r="E1767" s="395" t="inlineStr">
        <is>
          <t>Giá trị tổng = Giá trị trong nước (triệu đồng)</t>
        </is>
      </c>
      <c r="F1767" s="386" t="inlineStr">
        <is>
          <t>Data Explorer</t>
        </is>
      </c>
      <c r="G1767" s="386" t="inlineStr">
        <is>
          <t>Chỉ tiêu cơ sở</t>
        </is>
      </c>
      <c r="H1767" s="386" t="inlineStr">
        <is>
          <t>TB</t>
        </is>
      </c>
      <c r="I1767" s="386" t="inlineStr">
        <is>
          <t>Ngày, CTCK</t>
        </is>
      </c>
      <c r="J1767" s="395" t="inlineStr">
        <is>
          <t>SCMS</t>
        </is>
      </c>
      <c r="K1767" s="395" t="n"/>
      <c r="L1767" s="395" t="inlineStr">
        <is>
          <t>X</t>
        </is>
      </c>
      <c r="M1767" s="395" t="n"/>
      <c r="N1767" s="395" t="inlineStr">
        <is>
          <t>Done</t>
        </is>
      </c>
      <c r="O1767" s="401" t="n"/>
      <c r="P1767" s="395" t="n"/>
      <c r="S1767" s="395" t="n"/>
      <c r="U1767" s="386" t="n"/>
      <c r="V1767" s="395" t="n"/>
      <c r="W1767" s="395" t="n"/>
      <c r="X1767" s="395" t="n"/>
      <c r="Y1767" s="13" t="n"/>
      <c r="Z1767" s="395" t="n"/>
      <c r="AA1767" s="395" t="n"/>
      <c r="AB1767" s="395" t="n"/>
      <c r="AC1767" s="395" t="n"/>
      <c r="AD1767" s="395" t="n"/>
      <c r="AE1767" s="395" t="n"/>
    </row>
    <row r="1768" ht="70" customHeight="1" s="380">
      <c r="A1768" s="83" t="n">
        <v>89</v>
      </c>
      <c r="B1768" s="68" t="n"/>
      <c r="C1768" s="68" t="inlineStr">
        <is>
          <t>Báo cáo theo Thông tư 121/2020/TT-BTC &gt;&gt; Tình hình đầu tư, góp vốn vào tổ chức khác - II.11.5.TSCD</t>
        </is>
      </c>
      <c r="D1768" s="68" t="inlineStr">
        <is>
          <t>Tỷ lệ (%) = Tổng giá trị/ Tổng tài sản</t>
        </is>
      </c>
      <c r="E1768" s="69" t="inlineStr">
        <is>
          <t>Tỷ lệ (%) = Tổng giá trị/ Tổng tài sản</t>
        </is>
      </c>
      <c r="F1768" s="68" t="inlineStr">
        <is>
          <t>Data Explorer</t>
        </is>
      </c>
      <c r="G1768" s="68" t="inlineStr">
        <is>
          <t>Chỉ tiêu cơ sở</t>
        </is>
      </c>
      <c r="H1768" s="68" t="inlineStr">
        <is>
          <t>TB</t>
        </is>
      </c>
      <c r="I1768" s="68" t="inlineStr">
        <is>
          <t>Ngày, CTCK</t>
        </is>
      </c>
      <c r="J1768" s="69" t="inlineStr">
        <is>
          <t>SCMS</t>
        </is>
      </c>
      <c r="K1768" s="69" t="n"/>
      <c r="L1768" s="69" t="inlineStr">
        <is>
          <t>X</t>
        </is>
      </c>
      <c r="M1768" s="69" t="n"/>
      <c r="N1768" s="69" t="inlineStr">
        <is>
          <t>Done</t>
        </is>
      </c>
      <c r="O1768" s="85" t="n"/>
      <c r="P1768" s="69" t="n"/>
      <c r="Q1768" s="426" t="n"/>
      <c r="R1768" s="426" t="n"/>
      <c r="S1768" s="69" t="n"/>
      <c r="T1768" s="426" t="n"/>
      <c r="U1768" s="68" t="n"/>
      <c r="V1768" s="69" t="n"/>
      <c r="W1768" s="69" t="n"/>
      <c r="X1768" s="69" t="n"/>
      <c r="Y1768" s="97" t="n"/>
      <c r="Z1768" s="69" t="n"/>
      <c r="AA1768" s="69" t="n"/>
      <c r="AB1768" s="69" t="n"/>
      <c r="AC1768" s="69" t="n"/>
      <c r="AD1768" s="69" t="n"/>
      <c r="AE1768" s="69" t="n"/>
    </row>
    <row r="1769" ht="56" customHeight="1" s="380">
      <c r="A1769" s="73" t="n">
        <v>90</v>
      </c>
      <c r="B1769" s="122" t="inlineStr">
        <is>
          <t>Nga</t>
        </is>
      </c>
      <c r="C1769" s="81" t="inlineStr">
        <is>
          <t>Báo cáo theo Thông tư 121/2020/TT-BTC &gt;&gt; Tình hình đầu tư, góp vốn vào tổ chức khác - II.11.6.1.TP</t>
        </is>
      </c>
      <c r="D1769" s="106" t="inlineStr">
        <is>
          <t>Loại báo cáo</t>
        </is>
      </c>
      <c r="E1769" s="107" t="inlineStr">
        <is>
          <t>Loại báo cáo</t>
        </is>
      </c>
      <c r="F1769" s="390" t="inlineStr">
        <is>
          <t>Data Explorer</t>
        </is>
      </c>
      <c r="G1769" s="390" t="inlineStr">
        <is>
          <t>Chiều</t>
        </is>
      </c>
      <c r="H1769" s="390" t="inlineStr">
        <is>
          <t>Dễ</t>
        </is>
      </c>
      <c r="I1769" s="390" t="inlineStr">
        <is>
          <t>Ngày, CTCK</t>
        </is>
      </c>
      <c r="J1769" s="401" t="inlineStr">
        <is>
          <t>SCMS</t>
        </is>
      </c>
      <c r="K1769" s="401" t="inlineStr">
        <is>
          <t>X</t>
        </is>
      </c>
      <c r="L1769" s="395" t="inlineStr">
        <is>
          <t>X</t>
        </is>
      </c>
      <c r="M1769" s="401" t="n"/>
      <c r="N1769" s="395" t="inlineStr">
        <is>
          <t>Done</t>
        </is>
      </c>
      <c r="O1769" s="401" t="n"/>
      <c r="P1769" s="395" t="n"/>
      <c r="Q1769" s="411" t="n"/>
      <c r="R1769" s="411" t="n"/>
      <c r="S1769" s="395" t="n"/>
      <c r="T1769"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769" s="386" t="n"/>
      <c r="V1769" s="395" t="n"/>
      <c r="W1769" s="395" t="n"/>
      <c r="X1769" s="395" t="n"/>
      <c r="Y1769" s="13" t="n"/>
      <c r="Z1769" s="395" t="n"/>
      <c r="AA1769" s="395" t="n"/>
      <c r="AB1769" s="395" t="n"/>
      <c r="AC1769" s="395" t="n"/>
      <c r="AD1769" s="395" t="n"/>
      <c r="AE1769" s="395" t="n"/>
    </row>
    <row r="1770" ht="56" customHeight="1" s="380">
      <c r="A1770" s="73" t="n">
        <v>90</v>
      </c>
      <c r="B1770" s="386" t="n"/>
      <c r="C1770" s="386" t="inlineStr">
        <is>
          <t>Báo cáo theo Thông tư 121/2020/TT-BTC &gt;&gt; Tình hình đầu tư, góp vốn vào tổ chức khác - II.11.6.1.TP</t>
        </is>
      </c>
      <c r="D1770" s="106" t="inlineStr">
        <is>
          <t>Kỳ báo cáo</t>
        </is>
      </c>
      <c r="E1770" s="107" t="inlineStr">
        <is>
          <t>Kỳ báo cáo</t>
        </is>
      </c>
      <c r="F1770" s="390" t="inlineStr">
        <is>
          <t>Data Explorer</t>
        </is>
      </c>
      <c r="G1770" s="390" t="inlineStr">
        <is>
          <t>Chiều</t>
        </is>
      </c>
      <c r="H1770" s="390" t="inlineStr">
        <is>
          <t>Dễ</t>
        </is>
      </c>
      <c r="I1770" s="390" t="inlineStr">
        <is>
          <t>Ngày, CTCK</t>
        </is>
      </c>
      <c r="J1770" s="401" t="inlineStr">
        <is>
          <t>SCMS</t>
        </is>
      </c>
      <c r="K1770" s="401" t="inlineStr">
        <is>
          <t>X</t>
        </is>
      </c>
      <c r="L1770" s="395" t="inlineStr">
        <is>
          <t>X</t>
        </is>
      </c>
      <c r="M1770" s="401" t="n"/>
      <c r="N1770" s="395" t="inlineStr">
        <is>
          <t>Done</t>
        </is>
      </c>
      <c r="O1770" s="401" t="n"/>
      <c r="P1770" s="395" t="n"/>
      <c r="S1770" s="395" t="n"/>
      <c r="U1770" s="386" t="n"/>
      <c r="V1770" s="395" t="n"/>
      <c r="W1770" s="395" t="n"/>
      <c r="X1770" s="395" t="n"/>
      <c r="Y1770" s="13" t="n"/>
      <c r="Z1770" s="395" t="n"/>
      <c r="AA1770" s="395" t="n"/>
      <c r="AB1770" s="395" t="n"/>
      <c r="AC1770" s="395" t="n"/>
      <c r="AD1770" s="395" t="n"/>
      <c r="AE1770" s="395" t="n"/>
    </row>
    <row r="1771" ht="56" customHeight="1" s="380">
      <c r="A1771" s="73" t="n">
        <v>90</v>
      </c>
      <c r="B1771" s="386" t="n"/>
      <c r="C1771" s="386" t="inlineStr">
        <is>
          <t>Báo cáo theo Thông tư 121/2020/TT-BTC &gt;&gt; Tình hình đầu tư, góp vốn vào tổ chức khác - II.11.6.1.TP</t>
        </is>
      </c>
      <c r="D1771" s="106" t="inlineStr">
        <is>
          <t>Mã báo cáo</t>
        </is>
      </c>
      <c r="E1771" s="107" t="inlineStr">
        <is>
          <t>Mã báo cáo</t>
        </is>
      </c>
      <c r="F1771" s="390" t="inlineStr">
        <is>
          <t>Data Explorer</t>
        </is>
      </c>
      <c r="G1771" s="390" t="inlineStr">
        <is>
          <t>Chiều</t>
        </is>
      </c>
      <c r="H1771" s="390" t="inlineStr">
        <is>
          <t>Dễ</t>
        </is>
      </c>
      <c r="I1771" s="390" t="inlineStr">
        <is>
          <t>Ngày, CTCK</t>
        </is>
      </c>
      <c r="J1771" s="401" t="inlineStr">
        <is>
          <t>SCMS</t>
        </is>
      </c>
      <c r="K1771" s="401" t="inlineStr">
        <is>
          <t>X</t>
        </is>
      </c>
      <c r="L1771" s="395" t="inlineStr">
        <is>
          <t>X</t>
        </is>
      </c>
      <c r="M1771" s="401" t="n"/>
      <c r="N1771" s="395" t="inlineStr">
        <is>
          <t>Done</t>
        </is>
      </c>
      <c r="O1771" s="401" t="n"/>
      <c r="P1771" s="395" t="n"/>
      <c r="S1771" s="395" t="n"/>
      <c r="U1771" s="386" t="n"/>
      <c r="V1771" s="395" t="n"/>
      <c r="W1771" s="395" t="n"/>
      <c r="X1771" s="395" t="n"/>
      <c r="Y1771" s="38" t="n"/>
      <c r="Z1771" s="395" t="n"/>
      <c r="AA1771" s="395" t="n"/>
      <c r="AB1771" s="395" t="n"/>
      <c r="AC1771" s="395" t="n"/>
      <c r="AD1771" s="395" t="n"/>
      <c r="AE1771" s="395" t="n"/>
    </row>
    <row r="1772" ht="56" customHeight="1" s="380">
      <c r="A1772" s="73" t="n">
        <v>90</v>
      </c>
      <c r="B1772" s="386" t="n"/>
      <c r="C1772" s="386" t="inlineStr">
        <is>
          <t>Báo cáo theo Thông tư 121/2020/TT-BTC &gt;&gt; Tình hình đầu tư, góp vốn vào tổ chức khác - II.11.6.1.TP</t>
        </is>
      </c>
      <c r="D1772" s="106" t="inlineStr">
        <is>
          <t>Tên báo cáo</t>
        </is>
      </c>
      <c r="E1772" s="107" t="inlineStr">
        <is>
          <t>Tên báo cáo</t>
        </is>
      </c>
      <c r="F1772" s="390" t="inlineStr">
        <is>
          <t>Data Explorer</t>
        </is>
      </c>
      <c r="G1772" s="390" t="inlineStr">
        <is>
          <t>Chiều</t>
        </is>
      </c>
      <c r="H1772" s="390" t="inlineStr">
        <is>
          <t>Dễ</t>
        </is>
      </c>
      <c r="I1772" s="390" t="inlineStr">
        <is>
          <t>Ngày, CTCK</t>
        </is>
      </c>
      <c r="J1772" s="401" t="inlineStr">
        <is>
          <t>SCMS</t>
        </is>
      </c>
      <c r="K1772" s="401" t="inlineStr">
        <is>
          <t>X</t>
        </is>
      </c>
      <c r="L1772" s="395" t="inlineStr">
        <is>
          <t>X</t>
        </is>
      </c>
      <c r="M1772" s="401" t="n"/>
      <c r="N1772" s="395" t="inlineStr">
        <is>
          <t>Done</t>
        </is>
      </c>
      <c r="O1772" s="401" t="n"/>
      <c r="P1772" s="395" t="n"/>
      <c r="S1772" s="395" t="n"/>
      <c r="U1772" s="386" t="n"/>
      <c r="V1772" s="395" t="n"/>
      <c r="W1772" s="395" t="n"/>
      <c r="X1772" s="395" t="n"/>
      <c r="Y1772" s="13" t="n"/>
      <c r="Z1772" s="395" t="n"/>
      <c r="AA1772" s="395" t="n"/>
      <c r="AB1772" s="395" t="n"/>
      <c r="AC1772" s="395" t="n"/>
      <c r="AD1772" s="395" t="n"/>
      <c r="AE1772" s="395" t="n"/>
    </row>
    <row r="1773" ht="56" customHeight="1" s="380">
      <c r="A1773" s="73" t="n">
        <v>90</v>
      </c>
      <c r="B1773" s="386" t="n"/>
      <c r="C1773" s="386" t="inlineStr">
        <is>
          <t>Báo cáo theo Thông tư 121/2020/TT-BTC &gt;&gt; Tình hình đầu tư, góp vốn vào tổ chức khác - II.11.6.1.TP</t>
        </is>
      </c>
      <c r="D1773" s="106" t="inlineStr">
        <is>
          <t>Mã sheet</t>
        </is>
      </c>
      <c r="E1773" s="106" t="inlineStr">
        <is>
          <t>Mã sheet</t>
        </is>
      </c>
      <c r="F1773" s="390" t="inlineStr">
        <is>
          <t>Data Explorer</t>
        </is>
      </c>
      <c r="G1773" s="390" t="inlineStr">
        <is>
          <t>Chiều</t>
        </is>
      </c>
      <c r="H1773" s="390" t="inlineStr">
        <is>
          <t>Dễ</t>
        </is>
      </c>
      <c r="I1773" s="390" t="inlineStr">
        <is>
          <t>Ngày, CTCK</t>
        </is>
      </c>
      <c r="J1773" s="401" t="inlineStr">
        <is>
          <t>SCMS</t>
        </is>
      </c>
      <c r="K1773" s="401" t="inlineStr">
        <is>
          <t>X</t>
        </is>
      </c>
      <c r="L1773" s="395" t="inlineStr">
        <is>
          <t>X</t>
        </is>
      </c>
      <c r="M1773" s="401" t="n"/>
      <c r="N1773" s="395" t="inlineStr">
        <is>
          <t>Done</t>
        </is>
      </c>
      <c r="O1773" s="401" t="n"/>
      <c r="P1773" s="395" t="n"/>
      <c r="Q1773" s="401" t="inlineStr">
        <is>
          <t>SCMS.BM_BAO_CAO
SCMS.BM_SHEET</t>
        </is>
      </c>
      <c r="R1773" s="401" t="inlineStr">
        <is>
          <t>bm.ID,
bm.MA_BAO_CAO,
bm.SU_DUNG,
s.BM_BAO_CAO_ID,
s.MA_SHEET,
s.TEN_SHEET,
s.SAP_XEP</t>
        </is>
      </c>
      <c r="S1773" s="395" t="n"/>
      <c r="T1773" s="384" t="inlineStr">
        <is>
          <t>-- Mã sheet / Tên sheet
-- TEN_SHEET: THDTGV
SELECT bm.MA_BAO_CAO,
s.MA_SHEET,
s.TEN_SHEET
FROM SCMS.BM_BAO_CAO bm
JOIN SCMS.BM_SHEET s ON s.BM_BAO_CAO_ID = bm.ID
WHERE bm.MA_BAO_CAO LIKE 'BCTHHDKD%'
AND s.TEN_SHEET = 'THDTGV'  -- Check lại
AND bm.SU_DUNG = 1
ORDER BY bm.MA_BAO_CAO, s.SAP_XEP;</t>
        </is>
      </c>
      <c r="U1773" s="386" t="n"/>
      <c r="V1773" s="395" t="n"/>
      <c r="W1773" s="395" t="n"/>
      <c r="X1773" s="395" t="n"/>
      <c r="Y1773" s="13" t="n"/>
      <c r="Z1773" s="395" t="n"/>
      <c r="AA1773" s="395" t="n"/>
      <c r="AB1773" s="395" t="n"/>
      <c r="AC1773" s="395" t="n"/>
      <c r="AD1773" s="395" t="n"/>
      <c r="AE1773" s="395" t="n"/>
    </row>
    <row r="1774" ht="56" customHeight="1" s="380">
      <c r="A1774" s="73" t="n">
        <v>90</v>
      </c>
      <c r="B1774" s="386" t="n"/>
      <c r="C1774" s="386" t="inlineStr">
        <is>
          <t>Báo cáo theo Thông tư 121/2020/TT-BTC &gt;&gt; Tình hình đầu tư, góp vốn vào tổ chức khác - II.11.6.1.TP</t>
        </is>
      </c>
      <c r="D1774" s="106" t="inlineStr">
        <is>
          <t>Tên sheet</t>
        </is>
      </c>
      <c r="E1774" s="106" t="inlineStr">
        <is>
          <t>Tên sheet</t>
        </is>
      </c>
      <c r="F1774" s="390" t="inlineStr">
        <is>
          <t>Data Explorer</t>
        </is>
      </c>
      <c r="G1774" s="390" t="inlineStr">
        <is>
          <t>Chiều</t>
        </is>
      </c>
      <c r="H1774" s="390" t="inlineStr">
        <is>
          <t>Dễ</t>
        </is>
      </c>
      <c r="I1774" s="390" t="inlineStr">
        <is>
          <t>Ngày, CTCK</t>
        </is>
      </c>
      <c r="J1774" s="401" t="inlineStr">
        <is>
          <t>SCMS</t>
        </is>
      </c>
      <c r="K1774" s="401" t="inlineStr">
        <is>
          <t>X</t>
        </is>
      </c>
      <c r="L1774" s="395" t="inlineStr">
        <is>
          <t>X</t>
        </is>
      </c>
      <c r="M1774" s="401" t="n"/>
      <c r="N1774" s="395" t="inlineStr">
        <is>
          <t>Done</t>
        </is>
      </c>
      <c r="O1774" s="401" t="n"/>
      <c r="P1774" s="395" t="n"/>
      <c r="S1774" s="395" t="n"/>
      <c r="U1774" s="386" t="n"/>
      <c r="V1774" s="395" t="n"/>
      <c r="W1774" s="395" t="n"/>
      <c r="X1774" s="395" t="n"/>
      <c r="Y1774" s="13" t="n"/>
      <c r="Z1774" s="395" t="n"/>
      <c r="AA1774" s="395" t="n"/>
      <c r="AB1774" s="395" t="n"/>
      <c r="AC1774" s="395" t="n"/>
      <c r="AD1774" s="395" t="n"/>
      <c r="AE1774" s="395" t="n"/>
    </row>
    <row r="1775" ht="56" customHeight="1" s="380">
      <c r="A1775" s="73" t="n">
        <v>90</v>
      </c>
      <c r="B1775" s="386" t="n"/>
      <c r="C1775" s="386" t="inlineStr">
        <is>
          <t>Báo cáo theo Thông tư 121/2020/TT-BTC &gt;&gt; Tình hình đầu tư, góp vốn vào tổ chức khác - II.11.6.1.TP</t>
        </is>
      </c>
      <c r="D1775" s="106" t="inlineStr">
        <is>
          <t>Mã chỉ tiêu</t>
        </is>
      </c>
      <c r="E1775" s="107" t="inlineStr">
        <is>
          <t>Mã chỉ tiêu</t>
        </is>
      </c>
      <c r="F1775" s="390" t="inlineStr">
        <is>
          <t>Data Explorer</t>
        </is>
      </c>
      <c r="G1775" s="390" t="inlineStr">
        <is>
          <t>Chiều</t>
        </is>
      </c>
      <c r="H1775" s="390" t="inlineStr">
        <is>
          <t>Dễ</t>
        </is>
      </c>
      <c r="I1775" s="390" t="inlineStr">
        <is>
          <t>Ngày, CTCK</t>
        </is>
      </c>
      <c r="J1775" s="401" t="inlineStr">
        <is>
          <t>SCMS</t>
        </is>
      </c>
      <c r="K1775" s="401" t="inlineStr">
        <is>
          <t>X</t>
        </is>
      </c>
      <c r="L1775" s="395" t="inlineStr">
        <is>
          <t>X</t>
        </is>
      </c>
      <c r="M1775" s="401" t="n"/>
      <c r="N1775" s="395" t="inlineStr">
        <is>
          <t>Done</t>
        </is>
      </c>
      <c r="O1775" s="401" t="n"/>
      <c r="P1775" s="395" t="n"/>
      <c r="Q1775" s="401" t="inlineStr">
        <is>
          <t>SCMS.BM_BAO_CAO
SCMS.BM_SHEET
SCMS.BM_BAO_CAO_CT
SCMS.DM_CHI_TIEU</t>
        </is>
      </c>
      <c r="R1775" s="402" t="inlineStr">
        <is>
          <t>dct.ID,
dct.MA_CHI_TIEU,
dct.TEN_CHI_TIEU,
dct.SU_DUNG,
s.BM_BAO_CAO_ID,
s.MA_SHEET,
ct.BM_BAO_CAO_ID,
ct.DM_CHI_TIEU_ID,
ct.SU_DUNG,
bm.ID,
bm.MA_BAO_CAO,
bm.SU_DUNG</t>
        </is>
      </c>
      <c r="S1775" s="395" t="n"/>
      <c r="T1775" s="384" t="inlineStr">
        <is>
          <t>-- Mã chỉ tiêu / Tên chỉ tiêu
SELECT DISTINCT
    dct.MA_CHI_TIEU  AS ma_chi_tieu,
    dct.TEN_CHI_TIEU AS ten_chi_tieu
FROM SCMS.BM_BAO_CAO bm
JOIN SCMS.BM_SHEET s ON s.BM_BAO_CAO_ID = bm.ID
	AND s.TEN_SHEET = 'THDTGV'
JOIN SCMS.BM_BAO_CAO_CT ct ON ct.BM_SHEET_ID = s.ID
	AND ct.SU_DUNG = 1
JOIN SCMS.DM_CHI_TIEU dct ON dct.ID = ct.DM_CHI_TIEU_ID
	AND dct.SU_DUNG = 1
WHERE bm.MA_BAO_CAO LIKE 'BCTHHDKD%'
	AND bm.SU_DUNG = 1
ORDER BY dct.MA_CHI_TIEU;</t>
        </is>
      </c>
      <c r="U1775" s="386" t="n"/>
      <c r="V1775" s="395" t="n"/>
      <c r="W1775" s="395" t="n"/>
      <c r="X1775" s="395" t="n"/>
      <c r="Y1775" s="13" t="n"/>
      <c r="Z1775" s="395" t="n"/>
      <c r="AA1775" s="395" t="n"/>
      <c r="AB1775" s="395" t="n"/>
      <c r="AC1775" s="395" t="n"/>
      <c r="AD1775" s="395" t="n"/>
      <c r="AE1775" s="395" t="n"/>
    </row>
    <row r="1776" ht="56" customHeight="1" s="380">
      <c r="A1776" s="73" t="n">
        <v>90</v>
      </c>
      <c r="B1776" s="386" t="n"/>
      <c r="C1776" s="386" t="inlineStr">
        <is>
          <t>Báo cáo theo Thông tư 121/2020/TT-BTC &gt;&gt; Tình hình đầu tư, góp vốn vào tổ chức khác - II.11.6.1.TP</t>
        </is>
      </c>
      <c r="D1776" s="106" t="inlineStr">
        <is>
          <t>Tên chỉ tiêu</t>
        </is>
      </c>
      <c r="E1776" s="107" t="inlineStr">
        <is>
          <t>Tên chỉ tiêu</t>
        </is>
      </c>
      <c r="F1776" s="390" t="inlineStr">
        <is>
          <t>Data Explorer</t>
        </is>
      </c>
      <c r="G1776" s="390" t="inlineStr">
        <is>
          <t>Chiều</t>
        </is>
      </c>
      <c r="H1776" s="390" t="inlineStr">
        <is>
          <t>Dễ</t>
        </is>
      </c>
      <c r="I1776" s="390" t="inlineStr">
        <is>
          <t>Ngày, CTCK</t>
        </is>
      </c>
      <c r="J1776" s="401" t="inlineStr">
        <is>
          <t>SCMS</t>
        </is>
      </c>
      <c r="K1776" s="401" t="inlineStr">
        <is>
          <t>X</t>
        </is>
      </c>
      <c r="L1776" s="395" t="inlineStr">
        <is>
          <t>X</t>
        </is>
      </c>
      <c r="M1776" s="401" t="n"/>
      <c r="N1776" s="395" t="inlineStr">
        <is>
          <t>Done</t>
        </is>
      </c>
      <c r="O1776" s="401" t="n"/>
      <c r="P1776" s="395" t="n"/>
      <c r="S1776" s="395" t="n"/>
      <c r="U1776" s="386" t="n"/>
      <c r="V1776" s="395" t="n"/>
      <c r="W1776" s="395" t="n"/>
      <c r="X1776" s="395" t="n"/>
      <c r="Y1776" s="13" t="n"/>
      <c r="Z1776" s="395" t="n"/>
      <c r="AA1776" s="395" t="n"/>
      <c r="AB1776" s="395" t="n"/>
      <c r="AC1776" s="395" t="n"/>
      <c r="AD1776" s="395" t="n"/>
      <c r="AE1776" s="395" t="n"/>
    </row>
    <row r="1777" ht="56" customHeight="1" s="380">
      <c r="A1777" s="73" t="n">
        <v>90</v>
      </c>
      <c r="B1777" s="386" t="n"/>
      <c r="C1777" s="386" t="inlineStr">
        <is>
          <t>Báo cáo theo Thông tư 121/2020/TT-BTC &gt;&gt; Tình hình đầu tư, góp vốn vào tổ chức khác - II.11.6.1.TP</t>
        </is>
      </c>
      <c r="D1777" s="386" t="inlineStr">
        <is>
          <t>Tên công ty chứng khoán</t>
        </is>
      </c>
      <c r="E1777" s="386" t="inlineStr">
        <is>
          <t>Tên công ty chứng khoán</t>
        </is>
      </c>
      <c r="F1777" s="386" t="inlineStr">
        <is>
          <t>Data Explorer</t>
        </is>
      </c>
      <c r="G1777" s="386" t="inlineStr">
        <is>
          <t>Chỉ tiêu cơ sở</t>
        </is>
      </c>
      <c r="H1777" s="386" t="inlineStr">
        <is>
          <t>Trùng</t>
        </is>
      </c>
      <c r="I1777" s="386" t="inlineStr">
        <is>
          <t>Ngày, CTCK</t>
        </is>
      </c>
      <c r="J1777" s="395" t="inlineStr">
        <is>
          <t>SCMS</t>
        </is>
      </c>
      <c r="K1777" s="395" t="n"/>
      <c r="L1777" s="395" t="inlineStr">
        <is>
          <t>X</t>
        </is>
      </c>
      <c r="M1777" s="395" t="n"/>
      <c r="N1777" s="395" t="inlineStr">
        <is>
          <t>Done</t>
        </is>
      </c>
      <c r="O1777" s="401" t="n"/>
      <c r="P1777" s="395" t="n"/>
      <c r="Q1777" s="427" t="inlineStr">
        <is>
          <t>SCMS.BC_THANH_VIEN
SCMS.BM_BAO_CAO
SCMS.BC_BAO_CAO_GT
SCMS.BM_BAO_CAO_HANG
SCMS.BM_BAO_CAO_COT
SCMS.CTCK_THONG_TIN</t>
        </is>
      </c>
      <c r="R1777" s="427" t="inlineStr">
        <is>
          <t>btv.ID,
btv.NGAY_SO_LIEU,
btv.BM_BAO_CAO_ID,
btv.CTCK_THONG_TIN_ID,
btv.TRANG_THAI,
btv2.XOA_DU_LIEU,
c.CTCK_THONG_TIN_ID,
bsh.ID,
bsh.MA_HANG,
bsc.TEN_COT,
bsc.BM_SHEET_ID,
gt.BC_THANH_VIEN_ID,
gt.BM_SHEET_HANG_ID,
gt.GIA_TRI,
bm.ID,
bm.MA_BAO_CAO</t>
        </is>
      </c>
      <c r="S1777" s="395" t="n"/>
      <c r="T1777"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gt_bctc.TEN_HANG LIKE N'%Vốn chủ sở hữu%' THEN CAST(gt_bctc.GIA_TRI AS VARCHAR2(4000)) END)  AS "Vốn chủ sở hữu (triệu đồng)",  -- Check lại
    MAX(CASE WHEN bsh.MA_HANG='1' AND bsc.TEN_COT=N'Trái phiếu doanh nghiệp(triệu đồng)' THEN CAST(gt.GIA_TRI AS VARCHAR2(4000)) END) AS "Giá trị trái phiếu doanh nghiệp &gt;&gt; Trong nước",
    MAX(CASE WHEN bsh.MA_HANG='2' AND bsc.TEN_COT=N'Trái phiếu doanh nghiệp(triệu đồng)' THEN CAST(gt.GIA_TRI AS VARCHAR2(4000)) END) AS "Giá trị trái phiếu doanh nghiệp &gt;&gt; Ngoài nước",
    MAX(CASE WHEN bsh.MA_HANG='3' AND bsc.TEN_COT=N'Trái phiếu doanh nghiệp(triệu đồng)' THEN CAST(gt.GIA_TRI AS VARCHAR2(4000)) END) AS "Giá trị trái phiếu doanh nghiệp &gt;&gt; Tổng cộng",
    -- Tỷ lệ % = Tổng giá trị TP / VCSH (phái sinh)
    ROUND(TO_NUMBER(NULLIF(MAX(CASE WHEN bsh.MA_HANG='3' AND bsc.TEN_COT=N'Trái phiếu doanh nghiệp(triệu đồng)' THEN CAST(gt.GIA_TRI AS VARCHAR2(4000)) END), ''))
        / NULLIF(TO_NUMBER(NULLIF(MAX(CASE WHEN gt_bctc.TEN_COT LIKE N'%Vốn chủ sở hữu%' THEN CAST(gt_bctc.GIA_TRI AS VARCHAR2(4000)) END), '')), 0) * 100, 2) AS "Tỷ lệ (%)"
FROM SCMS.BC_THANH_VIEN btv
JOIN SCMS.BM_BAO_CAO bm ON bm.ID = btv.BM_BAO_CAO_ID
JOIN SCMS.BC_BAO_CAO_GT gt ON gt.BC_THANH_VIEN_ID = btv.ID
JOIN SCMS.BM_BAO_CAO_HANG bsh ON bsh.ID = gt.BM_SHEET_HANG_ID
JOIN SCMS.BM_BAO_CAO_COT bsc ON bsc.BM_SHEET_ID = 7431
--                               AND bsc.TEN_COT = gt.TEN_COT
JOIN SCMS.CTCK_THONG_TIN c ON c.CTCK_THONG_TIN_ID = btv.CTCK_THONG_TIN_ID
-- BCTC năm:
LEFT JOIN SCMS.BC_THANH_VIEN btv2 ON btv2.CTCK_THONG_TIN_ID = btv.CTCK_THONG_TIN_ID
                                      AND btv2.TRANG_THAI IN (4, 6)
                                      AND btv2.XOA_DU_LIEU = 0
                                      AND TRUNC(btv2.NGAY_SO_LIEU) = ADD_MONTHS(TRUNC(btv.NGAY_SO_LIEU, 'YYYY'), 12) - 1
LEFT JOIN SCMS.BM_BAO_CAO bm2 ON bm2.ID = btv2.BM_BAO_CAO_ID
                                  AND bm2.MA_BAO_CAO LIKE '%BCTCRLCTCK%'   -- Xác nhận
LEFT JOIN SCMS.BC_BAO_CAO_GT gt_bctc ON gt_bctc.BC_THANH_VIEN_ID = btv2.ID
WHERE bm.MA_BAO_CAO LIKE 'BCTHHDKD%'
  AND btv.TRANG_THAI IN (2, 3)
GROUP BY
    btv.ID, btv.CTCK_THONG_TIN_ID, btv.NGAY_SO_LIEU, btv.TRANG_THAI,
    bm.MA_BAO_CAO,
    c.TEN_VIET_TAT, c.SAN_NIEM_YET, c.MA_CHUNG_KHOAN,
    c.GIAY_PHEP_KINH_DOANH, c.NGAY_CAP_GPKD
ORDER BY btv.NGAY_SO_LIEU DESC, c.TEN_VIET_TAT;</t>
        </is>
      </c>
      <c r="U1777" s="386" t="n"/>
      <c r="V1777" s="395" t="n"/>
      <c r="W1777" s="395" t="n"/>
      <c r="X1777" s="395" t="n"/>
      <c r="Y1777" s="13" t="n"/>
      <c r="Z1777" s="395" t="n"/>
      <c r="AA1777" s="395" t="n"/>
      <c r="AB1777" s="395" t="n"/>
      <c r="AC1777" s="395" t="n"/>
      <c r="AD1777" s="395" t="n"/>
      <c r="AE1777" s="395" t="n"/>
    </row>
    <row r="1778" ht="56" customHeight="1" s="380">
      <c r="A1778" s="73" t="n">
        <v>90</v>
      </c>
      <c r="B1778" s="386" t="n"/>
      <c r="C1778" s="386" t="inlineStr">
        <is>
          <t>Báo cáo theo Thông tư 121/2020/TT-BTC &gt;&gt; Tình hình đầu tư, góp vốn vào tổ chức khác - II.11.6.1.TP</t>
        </is>
      </c>
      <c r="D1778" s="386" t="inlineStr">
        <is>
          <t>Sàn giao dịch</t>
        </is>
      </c>
      <c r="E1778" s="386" t="inlineStr">
        <is>
          <t>Sàn giao dịch</t>
        </is>
      </c>
      <c r="F1778" s="386" t="inlineStr">
        <is>
          <t>Data Explorer</t>
        </is>
      </c>
      <c r="G1778" s="386" t="inlineStr">
        <is>
          <t>Chỉ tiêu cơ sở</t>
        </is>
      </c>
      <c r="H1778" s="386" t="inlineStr">
        <is>
          <t>Trùng</t>
        </is>
      </c>
      <c r="I1778" s="386" t="inlineStr">
        <is>
          <t>Ngày, CTCK</t>
        </is>
      </c>
      <c r="J1778" s="395" t="inlineStr">
        <is>
          <t>SCMS</t>
        </is>
      </c>
      <c r="K1778" s="395" t="n"/>
      <c r="L1778" s="395" t="inlineStr">
        <is>
          <t>X</t>
        </is>
      </c>
      <c r="M1778" s="395" t="n"/>
      <c r="N1778" s="395" t="inlineStr">
        <is>
          <t>Done</t>
        </is>
      </c>
      <c r="O1778" s="401" t="n"/>
      <c r="P1778" s="395" t="n"/>
      <c r="S1778" s="395" t="n"/>
      <c r="U1778" s="386" t="n"/>
      <c r="V1778" s="395" t="n"/>
      <c r="W1778" s="395" t="n"/>
      <c r="X1778" s="395" t="n"/>
      <c r="Y1778" s="13" t="n"/>
      <c r="Z1778" s="395" t="n"/>
      <c r="AA1778" s="395" t="n"/>
      <c r="AB1778" s="395" t="n"/>
      <c r="AC1778" s="395" t="n"/>
      <c r="AD1778" s="395" t="n"/>
      <c r="AE1778" s="395" t="n"/>
    </row>
    <row r="1779" ht="56" customHeight="1" s="380">
      <c r="A1779" s="73" t="n">
        <v>90</v>
      </c>
      <c r="B1779" s="386" t="n"/>
      <c r="C1779" s="386" t="inlineStr">
        <is>
          <t>Báo cáo theo Thông tư 121/2020/TT-BTC &gt;&gt; Tình hình đầu tư, góp vốn vào tổ chức khác - II.11.6.1.TP</t>
        </is>
      </c>
      <c r="D1779" s="386" t="inlineStr">
        <is>
          <t>Mã chứng khoán</t>
        </is>
      </c>
      <c r="E1779" s="386" t="inlineStr">
        <is>
          <t>Mã chứng khoán</t>
        </is>
      </c>
      <c r="F1779" s="386" t="inlineStr">
        <is>
          <t>Data Explorer</t>
        </is>
      </c>
      <c r="G1779" s="386" t="inlineStr">
        <is>
          <t>Chỉ tiêu cơ sở</t>
        </is>
      </c>
      <c r="H1779" s="386" t="inlineStr">
        <is>
          <t>Trùng</t>
        </is>
      </c>
      <c r="I1779" s="386" t="inlineStr">
        <is>
          <t>Ngày, CTCK</t>
        </is>
      </c>
      <c r="J1779" s="395" t="inlineStr">
        <is>
          <t>SCMS</t>
        </is>
      </c>
      <c r="K1779" s="395" t="n"/>
      <c r="L1779" s="395" t="inlineStr">
        <is>
          <t>X</t>
        </is>
      </c>
      <c r="M1779" s="395" t="n"/>
      <c r="N1779" s="395" t="inlineStr">
        <is>
          <t>Done</t>
        </is>
      </c>
      <c r="O1779" s="401" t="n"/>
      <c r="P1779" s="395" t="n"/>
      <c r="S1779" s="395" t="n"/>
      <c r="U1779" s="386" t="n"/>
      <c r="V1779" s="395" t="n"/>
      <c r="W1779" s="395" t="n"/>
      <c r="X1779" s="395" t="n"/>
      <c r="Y1779" s="38" t="n"/>
      <c r="Z1779" s="395" t="n"/>
      <c r="AA1779" s="395" t="n"/>
      <c r="AB1779" s="395" t="n"/>
      <c r="AC1779" s="395" t="n"/>
      <c r="AD1779" s="395" t="n"/>
      <c r="AE1779" s="395" t="n"/>
    </row>
    <row r="1780" ht="56" customHeight="1" s="380">
      <c r="A1780" s="73" t="n">
        <v>90</v>
      </c>
      <c r="B1780" s="386" t="n"/>
      <c r="C1780" s="386" t="inlineStr">
        <is>
          <t>Báo cáo theo Thông tư 121/2020/TT-BTC &gt;&gt; Tình hình đầu tư, góp vốn vào tổ chức khác - II.11.6.1.TP</t>
        </is>
      </c>
      <c r="D1780" s="386" t="inlineStr">
        <is>
          <t>Giấy phép &gt;&gt; Số</t>
        </is>
      </c>
      <c r="E1780" s="386" t="inlineStr">
        <is>
          <t>Giấy phép &gt;&gt; Số</t>
        </is>
      </c>
      <c r="F1780" s="386" t="inlineStr">
        <is>
          <t>Data Explorer</t>
        </is>
      </c>
      <c r="G1780" s="386" t="inlineStr">
        <is>
          <t>Chỉ tiêu cơ sở</t>
        </is>
      </c>
      <c r="H1780" s="386" t="inlineStr">
        <is>
          <t>Trùng</t>
        </is>
      </c>
      <c r="I1780" s="386" t="inlineStr">
        <is>
          <t>Ngày, CTCK</t>
        </is>
      </c>
      <c r="J1780" s="395" t="inlineStr">
        <is>
          <t>SCMS</t>
        </is>
      </c>
      <c r="K1780" s="395" t="n"/>
      <c r="L1780" s="395" t="inlineStr">
        <is>
          <t>X</t>
        </is>
      </c>
      <c r="M1780" s="395" t="n"/>
      <c r="N1780" s="395" t="inlineStr">
        <is>
          <t>Done</t>
        </is>
      </c>
      <c r="O1780" s="401" t="n"/>
      <c r="P1780" s="395" t="n"/>
      <c r="S1780" s="395" t="n"/>
      <c r="U1780" s="386" t="n"/>
      <c r="V1780" s="395" t="n"/>
      <c r="W1780" s="395" t="n"/>
      <c r="X1780" s="395" t="n"/>
      <c r="Y1780" s="13" t="n"/>
      <c r="Z1780" s="395" t="n"/>
      <c r="AA1780" s="395" t="n"/>
      <c r="AB1780" s="395" t="n"/>
      <c r="AC1780" s="395" t="n"/>
      <c r="AD1780" s="395" t="n"/>
      <c r="AE1780" s="395" t="n"/>
    </row>
    <row r="1781" ht="56" customHeight="1" s="380">
      <c r="A1781" s="73" t="n">
        <v>90</v>
      </c>
      <c r="B1781" s="386" t="n"/>
      <c r="C1781" s="386" t="inlineStr">
        <is>
          <t>Báo cáo theo Thông tư 121/2020/TT-BTC &gt;&gt; Tình hình đầu tư, góp vốn vào tổ chức khác - II.11.6.1.TP</t>
        </is>
      </c>
      <c r="D1781" s="386" t="inlineStr">
        <is>
          <t>Giấy phép &gt;&gt; Ngày cấp
(Ngày/tháng/năm)</t>
        </is>
      </c>
      <c r="E1781" s="386" t="inlineStr">
        <is>
          <t>Giấy phép &gt;&gt; Ngày cấp
(Ngày/tháng/năm)</t>
        </is>
      </c>
      <c r="F1781" s="386" t="inlineStr">
        <is>
          <t>Data Explorer</t>
        </is>
      </c>
      <c r="G1781" s="386" t="inlineStr">
        <is>
          <t>Chỉ tiêu cơ sở</t>
        </is>
      </c>
      <c r="H1781" s="386" t="inlineStr">
        <is>
          <t>Trùng</t>
        </is>
      </c>
      <c r="I1781" s="386" t="inlineStr">
        <is>
          <t>Ngày, CTCK</t>
        </is>
      </c>
      <c r="J1781" s="395" t="inlineStr">
        <is>
          <t>SCMS</t>
        </is>
      </c>
      <c r="K1781" s="395" t="n"/>
      <c r="L1781" s="395" t="inlineStr">
        <is>
          <t>X</t>
        </is>
      </c>
      <c r="M1781" s="395" t="n"/>
      <c r="N1781" s="395" t="inlineStr">
        <is>
          <t>Done</t>
        </is>
      </c>
      <c r="O1781" s="401" t="n"/>
      <c r="P1781" s="395" t="n"/>
      <c r="S1781" s="395" t="n"/>
      <c r="U1781" s="386" t="n"/>
      <c r="V1781" s="395" t="n"/>
      <c r="W1781" s="395" t="n"/>
      <c r="X1781" s="395" t="n"/>
      <c r="Y1781" s="13" t="n"/>
      <c r="Z1781" s="395" t="n"/>
      <c r="AA1781" s="395" t="n"/>
      <c r="AB1781" s="395" t="n"/>
      <c r="AC1781" s="395" t="n"/>
      <c r="AD1781" s="395" t="n"/>
      <c r="AE1781" s="395" t="n"/>
    </row>
    <row r="1782" ht="56" customHeight="1" s="380">
      <c r="A1782" s="73" t="n">
        <v>90</v>
      </c>
      <c r="B1782" s="386" t="n"/>
      <c r="C1782" s="386" t="inlineStr">
        <is>
          <t>Báo cáo theo Thông tư 121/2020/TT-BTC &gt;&gt; Tình hình đầu tư, góp vốn vào tổ chức khác - II.11.6.1.TP</t>
        </is>
      </c>
      <c r="D1782" s="386" t="inlineStr">
        <is>
          <t>Vốn chủ sở hữu (triệu đồng)</t>
        </is>
      </c>
      <c r="E1782" s="395" t="inlineStr">
        <is>
          <t>Vốn chủ sở hữu (triệu đồng)</t>
        </is>
      </c>
      <c r="F1782" s="386" t="inlineStr">
        <is>
          <t>Data Explorer</t>
        </is>
      </c>
      <c r="G1782" s="386" t="inlineStr">
        <is>
          <t>Chỉ tiêu cơ sở</t>
        </is>
      </c>
      <c r="H1782" s="386" t="inlineStr">
        <is>
          <t>TB</t>
        </is>
      </c>
      <c r="I1782" s="386" t="inlineStr">
        <is>
          <t>Ngày, CTCK</t>
        </is>
      </c>
      <c r="J1782" s="395" t="inlineStr">
        <is>
          <t>SCMS</t>
        </is>
      </c>
      <c r="K1782" s="395" t="n"/>
      <c r="L1782" s="395" t="inlineStr">
        <is>
          <t>X</t>
        </is>
      </c>
      <c r="M1782" s="395" t="n"/>
      <c r="N1782" s="395" t="inlineStr">
        <is>
          <t>Done</t>
        </is>
      </c>
      <c r="O1782" s="401" t="n"/>
      <c r="P1782" s="395" t="n"/>
      <c r="S1782" s="395" t="n"/>
      <c r="U1782" s="386" t="n"/>
      <c r="V1782" s="395" t="n"/>
      <c r="W1782" s="395" t="n"/>
      <c r="X1782" s="395" t="n"/>
      <c r="Y1782" s="13" t="n"/>
      <c r="Z1782" s="395" t="n"/>
      <c r="AA1782" s="395" t="n"/>
      <c r="AB1782" s="395" t="n"/>
      <c r="AC1782" s="395" t="n"/>
      <c r="AD1782" s="395" t="n"/>
      <c r="AE1782" s="395" t="n"/>
    </row>
    <row r="1783" ht="56" customHeight="1" s="380">
      <c r="A1783" s="73" t="n">
        <v>90</v>
      </c>
      <c r="B1783" s="386" t="n"/>
      <c r="C1783" s="386" t="inlineStr">
        <is>
          <t>Báo cáo theo Thông tư 121/2020/TT-BTC &gt;&gt; Tình hình đầu tư, góp vốn vào tổ chức khác - II.11.6.1.TP</t>
        </is>
      </c>
      <c r="D1783" s="386" t="inlineStr">
        <is>
          <t>Giá trị trái phiếu doanh nghiệp &gt;&gt; Trong nước</t>
        </is>
      </c>
      <c r="E1783" s="386" t="inlineStr">
        <is>
          <t>Giá trị trái phiếu doanh nghiệp &gt;&gt; Trong nước</t>
        </is>
      </c>
      <c r="F1783" s="386" t="inlineStr">
        <is>
          <t>Data Explorer</t>
        </is>
      </c>
      <c r="G1783" s="386" t="inlineStr">
        <is>
          <t>Chỉ tiêu cơ sở</t>
        </is>
      </c>
      <c r="H1783" s="386" t="inlineStr">
        <is>
          <t>TB</t>
        </is>
      </c>
      <c r="I1783" s="386" t="inlineStr">
        <is>
          <t>Ngày, CTCK</t>
        </is>
      </c>
      <c r="J1783" s="395" t="inlineStr">
        <is>
          <t>SCMS</t>
        </is>
      </c>
      <c r="K1783" s="395" t="n"/>
      <c r="L1783" s="395" t="inlineStr">
        <is>
          <t>X</t>
        </is>
      </c>
      <c r="M1783" s="395" t="n"/>
      <c r="N1783" s="395" t="inlineStr">
        <is>
          <t>Done</t>
        </is>
      </c>
      <c r="O1783" s="401" t="n"/>
      <c r="P1783" s="395" t="n"/>
      <c r="S1783" s="395" t="n"/>
      <c r="U1783" s="386" t="n"/>
      <c r="V1783" s="395" t="n"/>
      <c r="W1783" s="395" t="n"/>
      <c r="X1783" s="395" t="n"/>
      <c r="Y1783" s="13" t="n"/>
      <c r="Z1783" s="395" t="n"/>
      <c r="AA1783" s="395" t="n"/>
      <c r="AB1783" s="395" t="n"/>
      <c r="AC1783" s="395" t="n"/>
      <c r="AD1783" s="395" t="n"/>
      <c r="AE1783" s="395" t="n"/>
    </row>
    <row r="1784" ht="56" customHeight="1" s="380">
      <c r="A1784" s="73" t="n">
        <v>90</v>
      </c>
      <c r="B1784" s="386" t="n"/>
      <c r="C1784" s="386" t="inlineStr">
        <is>
          <t>Báo cáo theo Thông tư 121/2020/TT-BTC &gt;&gt; Tình hình đầu tư, góp vốn vào tổ chức khác - II.11.6.1.TP</t>
        </is>
      </c>
      <c r="D1784" s="386" t="inlineStr">
        <is>
          <t>Giá trị trái phiếu doanh nghiệp &gt;&gt; Ngoài nước</t>
        </is>
      </c>
      <c r="E1784" s="386" t="inlineStr">
        <is>
          <t>Giá trị trái phiếu doanh nghiệp &gt;&gt; Ngoài nước</t>
        </is>
      </c>
      <c r="F1784" s="386" t="inlineStr">
        <is>
          <t>Data Explorer</t>
        </is>
      </c>
      <c r="G1784" s="386" t="inlineStr">
        <is>
          <t>Chỉ tiêu cơ sở</t>
        </is>
      </c>
      <c r="H1784" s="386" t="inlineStr">
        <is>
          <t>TB</t>
        </is>
      </c>
      <c r="I1784" s="386" t="inlineStr">
        <is>
          <t>Ngày, CTCK</t>
        </is>
      </c>
      <c r="J1784" s="395" t="inlineStr">
        <is>
          <t>SCMS</t>
        </is>
      </c>
      <c r="K1784" s="395" t="n"/>
      <c r="L1784" s="395" t="inlineStr">
        <is>
          <t>X</t>
        </is>
      </c>
      <c r="M1784" s="395" t="n"/>
      <c r="N1784" s="395" t="inlineStr">
        <is>
          <t>Done</t>
        </is>
      </c>
      <c r="O1784" s="401" t="n"/>
      <c r="P1784" s="395" t="n"/>
      <c r="S1784" s="395" t="n"/>
      <c r="U1784" s="386" t="n"/>
      <c r="V1784" s="395" t="n"/>
      <c r="W1784" s="395" t="n"/>
      <c r="X1784" s="395" t="n"/>
      <c r="Y1784" s="13" t="n"/>
      <c r="Z1784" s="395" t="n"/>
      <c r="AA1784" s="395" t="n"/>
      <c r="AB1784" s="395" t="n"/>
      <c r="AC1784" s="395" t="n"/>
      <c r="AD1784" s="395" t="n"/>
      <c r="AE1784" s="395" t="n"/>
    </row>
    <row r="1785" ht="56" customHeight="1" s="380">
      <c r="A1785" s="73" t="n">
        <v>90</v>
      </c>
      <c r="B1785" s="386" t="n"/>
      <c r="C1785" s="386" t="inlineStr">
        <is>
          <t>Báo cáo theo Thông tư 121/2020/TT-BTC &gt;&gt; Tình hình đầu tư, góp vốn vào tổ chức khác - II.11.6.1.TP</t>
        </is>
      </c>
      <c r="D1785" s="386" t="inlineStr">
        <is>
          <t>Giá trị trái phiếu doanh nghiệp &gt;&gt; Tổng cộng</t>
        </is>
      </c>
      <c r="E1785" s="386" t="inlineStr">
        <is>
          <t>Giá trị trái phiếu doanh nghiệp &gt;&gt; Tổng cộng</t>
        </is>
      </c>
      <c r="F1785" s="386" t="inlineStr">
        <is>
          <t>Data Explorer</t>
        </is>
      </c>
      <c r="G1785" s="386" t="inlineStr">
        <is>
          <t>Chỉ tiêu cơ sở</t>
        </is>
      </c>
      <c r="H1785" s="386" t="inlineStr">
        <is>
          <t>TB</t>
        </is>
      </c>
      <c r="I1785" s="386" t="inlineStr">
        <is>
          <t>Ngày, CTCK</t>
        </is>
      </c>
      <c r="J1785" s="395" t="inlineStr">
        <is>
          <t>SCMS</t>
        </is>
      </c>
      <c r="K1785" s="395" t="n"/>
      <c r="L1785" s="395" t="inlineStr">
        <is>
          <t>X</t>
        </is>
      </c>
      <c r="M1785" s="395" t="n"/>
      <c r="N1785" s="395" t="inlineStr">
        <is>
          <t>Done</t>
        </is>
      </c>
      <c r="O1785" s="401" t="n"/>
      <c r="P1785" s="395" t="n"/>
      <c r="S1785" s="395" t="n"/>
      <c r="U1785" s="386" t="n"/>
      <c r="V1785" s="395" t="n"/>
      <c r="W1785" s="395" t="n"/>
      <c r="X1785" s="395" t="n"/>
      <c r="Y1785" s="14" t="n"/>
      <c r="Z1785" s="395" t="n"/>
      <c r="AA1785" s="395" t="n"/>
      <c r="AB1785" s="395" t="n"/>
      <c r="AC1785" s="395" t="n"/>
      <c r="AD1785" s="395" t="n"/>
      <c r="AE1785" s="395" t="n"/>
    </row>
    <row r="1786" ht="56" customHeight="1" s="380">
      <c r="A1786" s="83" t="n">
        <v>90</v>
      </c>
      <c r="B1786" s="68" t="n"/>
      <c r="C1786" s="68" t="inlineStr">
        <is>
          <t>Báo cáo theo Thông tư 121/2020/TT-BTC &gt;&gt; Tình hình đầu tư, góp vốn vào tổ chức khác - II.11.6.1.TP</t>
        </is>
      </c>
      <c r="D1786" s="68" t="inlineStr">
        <is>
          <t>Tỷ lệ (%) = Tổng giá trị trái phiếu/Vốn chủ sở hữu</t>
        </is>
      </c>
      <c r="E1786" s="68" t="inlineStr">
        <is>
          <t>Tỷ lệ (%) = Tổng giá trị trái phiếu/Vốn chủ sở hữu</t>
        </is>
      </c>
      <c r="F1786" s="68" t="inlineStr">
        <is>
          <t>Data Explorer</t>
        </is>
      </c>
      <c r="G1786" s="68" t="inlineStr">
        <is>
          <t>Chỉ tiêu cơ sở</t>
        </is>
      </c>
      <c r="H1786" s="68" t="inlineStr">
        <is>
          <t>TB</t>
        </is>
      </c>
      <c r="I1786" s="68" t="inlineStr">
        <is>
          <t>Ngày, CTCK</t>
        </is>
      </c>
      <c r="J1786" s="69" t="inlineStr">
        <is>
          <t>SCMS</t>
        </is>
      </c>
      <c r="K1786" s="69" t="n"/>
      <c r="L1786" s="69" t="inlineStr">
        <is>
          <t>X</t>
        </is>
      </c>
      <c r="M1786" s="69" t="n"/>
      <c r="N1786" s="69" t="inlineStr">
        <is>
          <t>Done</t>
        </is>
      </c>
      <c r="O1786" s="85" t="n"/>
      <c r="P1786" s="69" t="n"/>
      <c r="Q1786" s="426" t="n"/>
      <c r="R1786" s="426" t="n"/>
      <c r="S1786" s="69" t="n"/>
      <c r="T1786" s="426" t="n"/>
      <c r="U1786" s="68" t="n"/>
      <c r="V1786" s="69" t="n"/>
      <c r="W1786" s="69" t="n"/>
      <c r="X1786" s="69" t="n"/>
      <c r="Y1786" s="97" t="n"/>
      <c r="Z1786" s="69" t="n"/>
      <c r="AA1786" s="69" t="n"/>
      <c r="AB1786" s="69" t="n"/>
      <c r="AC1786" s="69" t="n"/>
      <c r="AD1786" s="69" t="n"/>
      <c r="AE1786" s="69" t="n"/>
    </row>
    <row r="1787" ht="56" customHeight="1" s="380">
      <c r="A1787" s="73" t="n">
        <v>91</v>
      </c>
      <c r="B1787" s="122" t="inlineStr">
        <is>
          <t>Nga</t>
        </is>
      </c>
      <c r="C1787" s="81" t="inlineStr">
        <is>
          <t>Báo cáo theo Thông tư 121/2020/TT-BTC &gt;&gt; Tình hình đầu tư, góp vốn vào tổ chức khác - II.11.6.TP</t>
        </is>
      </c>
      <c r="D1787" s="106" t="inlineStr">
        <is>
          <t>Loại báo cáo</t>
        </is>
      </c>
      <c r="E1787" s="107" t="inlineStr">
        <is>
          <t>Loại báo cáo</t>
        </is>
      </c>
      <c r="F1787" s="390" t="inlineStr">
        <is>
          <t>Data Explorer</t>
        </is>
      </c>
      <c r="G1787" s="390" t="inlineStr">
        <is>
          <t>Chiều</t>
        </is>
      </c>
      <c r="H1787" s="390" t="inlineStr">
        <is>
          <t>Dễ</t>
        </is>
      </c>
      <c r="I1787" s="390" t="inlineStr">
        <is>
          <t>Ngày, CTCK</t>
        </is>
      </c>
      <c r="J1787" s="401" t="inlineStr">
        <is>
          <t>SCMS</t>
        </is>
      </c>
      <c r="K1787" s="401" t="inlineStr">
        <is>
          <t>X</t>
        </is>
      </c>
      <c r="L1787" s="395" t="inlineStr">
        <is>
          <t>X</t>
        </is>
      </c>
      <c r="M1787" s="401" t="n"/>
      <c r="N1787" s="395" t="inlineStr">
        <is>
          <t>Done</t>
        </is>
      </c>
      <c r="O1787" s="401" t="n"/>
      <c r="P1787" s="395" t="n"/>
      <c r="Q1787" s="404" t="inlineStr">
        <is>
          <t>SCMS.BM_BAO_CAO
SCMS.BM_BAO_CAO_DINH_KY</t>
        </is>
      </c>
      <c r="R1787" s="404" t="inlineStr">
        <is>
          <t>bm.ID,
bm.MA_BAO_CAO,
bm.LOAI_BAO_CAO,
bm.TEN_BAO_CAO,
bm.SU_DUNG,
bdk.BM_BAO_CAO_ID,
bdk.KY_BAO_CAO,
bdk.SU_DUNG</t>
        </is>
      </c>
      <c r="S1787" s="395" t="n"/>
      <c r="T1787" s="384" t="inlineStr">
        <is>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is>
      </c>
      <c r="U1787" s="386" t="n"/>
      <c r="V1787" s="395" t="n"/>
      <c r="W1787" s="395" t="n"/>
      <c r="X1787" s="395" t="n"/>
      <c r="Y1787" s="13" t="n"/>
      <c r="Z1787" s="395" t="n"/>
      <c r="AA1787" s="395" t="n"/>
      <c r="AB1787" s="395" t="n"/>
      <c r="AC1787" s="395" t="n"/>
      <c r="AD1787" s="395" t="n"/>
      <c r="AE1787" s="395" t="n"/>
    </row>
    <row r="1788" ht="56" customHeight="1" s="380">
      <c r="A1788" s="73" t="n">
        <v>91</v>
      </c>
      <c r="B1788" s="386" t="n"/>
      <c r="C1788" s="386" t="inlineStr">
        <is>
          <t>Báo cáo theo Thông tư 121/2020/TT-BTC &gt;&gt; Tình hình đầu tư, góp vốn vào tổ chức khác - II.11.6.TP</t>
        </is>
      </c>
      <c r="D1788" s="106" t="inlineStr">
        <is>
          <t>Kỳ báo cáo</t>
        </is>
      </c>
      <c r="E1788" s="107" t="inlineStr">
        <is>
          <t>Kỳ báo cáo</t>
        </is>
      </c>
      <c r="F1788" s="390" t="inlineStr">
        <is>
          <t>Data Explorer</t>
        </is>
      </c>
      <c r="G1788" s="390" t="inlineStr">
        <is>
          <t>Chiều</t>
        </is>
      </c>
      <c r="H1788" s="390" t="inlineStr">
        <is>
          <t>Dễ</t>
        </is>
      </c>
      <c r="I1788" s="390" t="inlineStr">
        <is>
          <t>Ngày, CTCK</t>
        </is>
      </c>
      <c r="J1788" s="401" t="inlineStr">
        <is>
          <t>SCMS</t>
        </is>
      </c>
      <c r="K1788" s="401" t="inlineStr">
        <is>
          <t>X</t>
        </is>
      </c>
      <c r="L1788" s="395" t="inlineStr">
        <is>
          <t>X</t>
        </is>
      </c>
      <c r="M1788" s="401" t="n"/>
      <c r="N1788" s="395" t="inlineStr">
        <is>
          <t>Done</t>
        </is>
      </c>
      <c r="O1788" s="401" t="n"/>
      <c r="P1788" s="395" t="n"/>
      <c r="S1788" s="395" t="n"/>
      <c r="U1788" s="386" t="n"/>
      <c r="V1788" s="395" t="n"/>
      <c r="W1788" s="395" t="n"/>
      <c r="X1788" s="395" t="n"/>
      <c r="Y1788" s="13" t="n"/>
      <c r="Z1788" s="395" t="n"/>
      <c r="AA1788" s="395" t="n"/>
      <c r="AB1788" s="395" t="n"/>
      <c r="AC1788" s="395" t="n"/>
      <c r="AD1788" s="395" t="n"/>
      <c r="AE1788" s="395" t="n"/>
    </row>
    <row r="1789" ht="56" customHeight="1" s="380">
      <c r="A1789" s="73" t="n">
        <v>91</v>
      </c>
      <c r="B1789" s="386" t="n"/>
      <c r="C1789" s="386" t="inlineStr">
        <is>
          <t>Báo cáo theo Thông tư 121/2020/TT-BTC &gt;&gt; Tình hình đầu tư, góp vốn vào tổ chức khác - II.11.6.TP</t>
        </is>
      </c>
      <c r="D1789" s="106" t="inlineStr">
        <is>
          <t>Mã báo cáo</t>
        </is>
      </c>
      <c r="E1789" s="107" t="inlineStr">
        <is>
          <t>Mã báo cáo</t>
        </is>
      </c>
      <c r="F1789" s="390" t="inlineStr">
        <is>
          <t>Data Explorer</t>
        </is>
      </c>
      <c r="G1789" s="390" t="inlineStr">
        <is>
          <t>Chiều</t>
        </is>
      </c>
      <c r="H1789" s="390" t="inlineStr">
        <is>
          <t>Dễ</t>
        </is>
      </c>
      <c r="I1789" s="390" t="inlineStr">
        <is>
          <t>Ngày, CTCK</t>
        </is>
      </c>
      <c r="J1789" s="401" t="inlineStr">
        <is>
          <t>SCMS</t>
        </is>
      </c>
      <c r="K1789" s="401" t="inlineStr">
        <is>
          <t>X</t>
        </is>
      </c>
      <c r="L1789" s="395" t="inlineStr">
        <is>
          <t>X</t>
        </is>
      </c>
      <c r="M1789" s="401" t="n"/>
      <c r="N1789" s="395" t="inlineStr">
        <is>
          <t>Done</t>
        </is>
      </c>
      <c r="O1789" s="401" t="n"/>
      <c r="P1789" s="395" t="n"/>
      <c r="S1789" s="395" t="n"/>
      <c r="U1789" s="386" t="n"/>
      <c r="V1789" s="395" t="n"/>
      <c r="W1789" s="395" t="n"/>
      <c r="X1789" s="395" t="n"/>
      <c r="Y1789" s="13" t="n"/>
      <c r="Z1789" s="395" t="n"/>
      <c r="AA1789" s="395" t="n"/>
      <c r="AB1789" s="395" t="n"/>
      <c r="AC1789" s="395" t="n"/>
      <c r="AD1789" s="395" t="n"/>
      <c r="AE1789" s="395" t="n"/>
    </row>
    <row r="1790" ht="56" customHeight="1" s="380">
      <c r="A1790" s="73" t="n">
        <v>91</v>
      </c>
      <c r="B1790" s="386" t="n"/>
      <c r="C1790" s="386" t="inlineStr">
        <is>
          <t>Báo cáo theo Thông tư 121/2020/TT-BTC &gt;&gt; Tình hình đầu tư, góp vốn vào tổ chức khác - II.11.6.TP</t>
        </is>
      </c>
      <c r="D1790" s="106" t="inlineStr">
        <is>
          <t>Tên báo cáo</t>
        </is>
      </c>
      <c r="E1790" s="107" t="inlineStr">
        <is>
          <t>Tên báo cáo</t>
        </is>
      </c>
      <c r="F1790" s="390" t="inlineStr">
        <is>
          <t>Data Explorer</t>
        </is>
      </c>
      <c r="G1790" s="390" t="inlineStr">
        <is>
          <t>Chiều</t>
        </is>
      </c>
      <c r="H1790" s="390" t="inlineStr">
        <is>
          <t>Dễ</t>
        </is>
      </c>
      <c r="I1790" s="390" t="inlineStr">
        <is>
          <t>Ngày, CTCK</t>
        </is>
      </c>
      <c r="J1790" s="401" t="inlineStr">
        <is>
          <t>SCMS</t>
        </is>
      </c>
      <c r="K1790" s="401" t="inlineStr">
        <is>
          <t>X</t>
        </is>
      </c>
      <c r="L1790" s="395" t="inlineStr">
        <is>
          <t>X</t>
        </is>
      </c>
      <c r="M1790" s="401" t="n"/>
      <c r="N1790" s="395" t="inlineStr">
        <is>
          <t>Done</t>
        </is>
      </c>
      <c r="O1790" s="401" t="n"/>
      <c r="P1790" s="395" t="n"/>
      <c r="S1790" s="395" t="n"/>
      <c r="U1790" s="386" t="n"/>
      <c r="V1790" s="395" t="n"/>
      <c r="W1790" s="395" t="n"/>
      <c r="X1790" s="395" t="n"/>
      <c r="Y1790" s="13" t="n"/>
      <c r="Z1790" s="395" t="n"/>
      <c r="AA1790" s="395" t="n"/>
      <c r="AB1790" s="395" t="n"/>
      <c r="AC1790" s="395" t="n"/>
      <c r="AD1790" s="395" t="n"/>
      <c r="AE1790" s="395" t="n"/>
    </row>
    <row r="1791" ht="56" customHeight="1" s="380">
      <c r="A1791" s="73" t="n">
        <v>91</v>
      </c>
      <c r="B1791" s="386" t="n"/>
      <c r="C1791" s="386" t="inlineStr">
        <is>
          <t>Báo cáo theo Thông tư 121/2020/TT-BTC &gt;&gt; Tình hình đầu tư, góp vốn vào tổ chức khác - II.11.6.TP</t>
        </is>
      </c>
      <c r="D1791" s="106" t="inlineStr">
        <is>
          <t>Mã sheet</t>
        </is>
      </c>
      <c r="E1791" s="106" t="inlineStr">
        <is>
          <t>Mã sheet</t>
        </is>
      </c>
      <c r="F1791" s="390" t="inlineStr">
        <is>
          <t>Data Explorer</t>
        </is>
      </c>
      <c r="G1791" s="390" t="inlineStr">
        <is>
          <t>Chiều</t>
        </is>
      </c>
      <c r="H1791" s="390" t="inlineStr">
        <is>
          <t>Dễ</t>
        </is>
      </c>
      <c r="I1791" s="390" t="inlineStr">
        <is>
          <t>Ngày, CTCK</t>
        </is>
      </c>
      <c r="J1791" s="401" t="inlineStr">
        <is>
          <t>SCMS</t>
        </is>
      </c>
      <c r="K1791" s="401" t="inlineStr">
        <is>
          <t>X</t>
        </is>
      </c>
      <c r="L1791" s="395" t="inlineStr">
        <is>
          <t>X</t>
        </is>
      </c>
      <c r="M1791" s="401" t="n"/>
      <c r="N1791" s="395" t="inlineStr">
        <is>
          <t>Done</t>
        </is>
      </c>
      <c r="O1791" s="401" t="n"/>
      <c r="P1791" s="395" t="n"/>
      <c r="Q1791" s="401" t="inlineStr">
        <is>
          <t>SCMS.BM_BAO_CAO
SCMS.BM_SHEET</t>
        </is>
      </c>
      <c r="R1791" s="401" t="inlineStr">
        <is>
          <t>bm.ID,
bm.MA_BAO_CAO,
bm.SU_DUNG,
s.BM_BAO_CAO_ID,
s.MA_SHEET,
s.TEN_SHEET,
s.SAP_XEP</t>
        </is>
      </c>
      <c r="S1791" s="395" t="n"/>
      <c r="T1791" s="384" t="inlineStr">
        <is>
          <t>-- Mã sheet / Tên sheet
-- TEN_SHEET: THDTGV
SELECT bm.MA_BAO_CAO,
s.MA_SHEET,
s.TEN_SHEET
FROM SCMS.BM_BAO_CAO bm
JOIN SCMS.BM_SHEET s ON s.BM_BAO_CAO_ID = bm.ID
WHERE bm.MA_BAO_CAO LIKE 'BCTHHDKD%'
AND s.TEN_SHEET = 'THDTGV'  -- Check lại
AND bm.SU_DUNG = 1
ORDER BY bm.MA_BAO_CAO, s.SAP_XEP;</t>
        </is>
      </c>
      <c r="U1791" s="386" t="n"/>
      <c r="V1791" s="395" t="n"/>
      <c r="W1791" s="395" t="n"/>
      <c r="X1791" s="395" t="n"/>
      <c r="Y1791" s="13" t="n"/>
      <c r="Z1791" s="395" t="n"/>
      <c r="AA1791" s="395" t="n"/>
      <c r="AB1791" s="395" t="n"/>
      <c r="AC1791" s="395" t="n"/>
      <c r="AD1791" s="395" t="n"/>
      <c r="AE1791" s="395" t="n"/>
    </row>
    <row r="1792" ht="56" customHeight="1" s="380">
      <c r="A1792" s="73" t="n">
        <v>91</v>
      </c>
      <c r="B1792" s="386" t="n"/>
      <c r="C1792" s="386" t="inlineStr">
        <is>
          <t>Báo cáo theo Thông tư 121/2020/TT-BTC &gt;&gt; Tình hình đầu tư, góp vốn vào tổ chức khác - II.11.6.TP</t>
        </is>
      </c>
      <c r="D1792" s="106" t="inlineStr">
        <is>
          <t>Tên sheet</t>
        </is>
      </c>
      <c r="E1792" s="106" t="inlineStr">
        <is>
          <t>Tên sheet</t>
        </is>
      </c>
      <c r="F1792" s="390" t="inlineStr">
        <is>
          <t>Data Explorer</t>
        </is>
      </c>
      <c r="G1792" s="390" t="inlineStr">
        <is>
          <t>Chiều</t>
        </is>
      </c>
      <c r="H1792" s="390" t="inlineStr">
        <is>
          <t>Dễ</t>
        </is>
      </c>
      <c r="I1792" s="390" t="inlineStr">
        <is>
          <t>Ngày, CTCK</t>
        </is>
      </c>
      <c r="J1792" s="401" t="inlineStr">
        <is>
          <t>SCMS</t>
        </is>
      </c>
      <c r="K1792" s="401" t="inlineStr">
        <is>
          <t>X</t>
        </is>
      </c>
      <c r="L1792" s="395" t="inlineStr">
        <is>
          <t>X</t>
        </is>
      </c>
      <c r="M1792" s="401" t="n"/>
      <c r="N1792" s="395" t="inlineStr">
        <is>
          <t>Done</t>
        </is>
      </c>
      <c r="O1792" s="401" t="n"/>
      <c r="P1792" s="395" t="n"/>
      <c r="S1792" s="395" t="n"/>
      <c r="U1792" s="386" t="n"/>
      <c r="V1792" s="395" t="n"/>
      <c r="W1792" s="395" t="n"/>
      <c r="X1792" s="395" t="n"/>
      <c r="Y1792" s="13" t="n"/>
      <c r="Z1792" s="395" t="n"/>
      <c r="AA1792" s="395" t="n"/>
      <c r="AB1792" s="395" t="n"/>
      <c r="AC1792" s="395" t="n"/>
      <c r="AD1792" s="395" t="n"/>
      <c r="AE1792" s="395" t="n"/>
    </row>
    <row r="1793" ht="56" customHeight="1" s="380">
      <c r="A1793" s="73" t="n">
        <v>91</v>
      </c>
      <c r="B1793" s="386" t="n"/>
      <c r="C1793" s="386" t="inlineStr">
        <is>
          <t>Báo cáo theo Thông tư 121/2020/TT-BTC &gt;&gt; Tình hình đầu tư, góp vốn vào tổ chức khác - II.11.6.TP</t>
        </is>
      </c>
      <c r="D1793" s="106" t="inlineStr">
        <is>
          <t>Mã chỉ tiêu</t>
        </is>
      </c>
      <c r="E1793" s="107" t="inlineStr">
        <is>
          <t>Mã chỉ tiêu</t>
        </is>
      </c>
      <c r="F1793" s="390" t="inlineStr">
        <is>
          <t>Data Explorer</t>
        </is>
      </c>
      <c r="G1793" s="390" t="inlineStr">
        <is>
          <t>Chiều</t>
        </is>
      </c>
      <c r="H1793" s="390" t="inlineStr">
        <is>
          <t>Dễ</t>
        </is>
      </c>
      <c r="I1793" s="390" t="inlineStr">
        <is>
          <t>Ngày, CTCK</t>
        </is>
      </c>
      <c r="J1793" s="401" t="inlineStr">
        <is>
          <t>SCMS</t>
        </is>
      </c>
      <c r="K1793" s="401" t="inlineStr">
        <is>
          <t>X</t>
        </is>
      </c>
      <c r="L1793" s="395" t="inlineStr">
        <is>
          <t>X</t>
        </is>
      </c>
      <c r="M1793" s="401" t="n"/>
      <c r="N1793" s="395" t="inlineStr">
        <is>
          <t>Done</t>
        </is>
      </c>
      <c r="O1793" s="401" t="n"/>
      <c r="P1793" s="395" t="n"/>
      <c r="Q1793" s="401" t="inlineStr">
        <is>
          <t>SCMS.BM_BAO_CAO
SCMS.BM_SHEET
SCMS.BM_BAO_CAO_CT
SCMS.DM_CHI_TIEU</t>
        </is>
      </c>
      <c r="R1793" s="402" t="inlineStr">
        <is>
          <t>dct.ID,
dct.MA_CHI_TIEU,
dct.TEN_CHI_TIEU,
dct.SU_DUNG,
s.BM_BAO_CAO_ID,
s.MA_SHEET,
ct.BM_BAO_CAO_ID,
ct.DM_CHI_TIEU_ID,
ct.SU_DUNG,
bm.ID,
bm.MA_BAO_CAO,
bm.SU_DUNG</t>
        </is>
      </c>
      <c r="S1793" s="395" t="n"/>
      <c r="T1793" s="384" t="inlineStr">
        <is>
          <t>-- Mã chỉ tiêu / Tên chỉ tiêu
SELECT DISTINCT
    dct.MA_CHI_TIEU  AS ma_chi_tieu,
    dct.TEN_CHI_TIEU AS ten_chi_tieu
FROM SCMS.BM_BAO_CAO bm
JOIN SCMS.BM_SHEET s ON s.BM_BAO_CAO_ID = bm.ID
	AND s.TEN_SHEET = 'THDTGV'
JOIN SCMS.BM_BAO_CAO_CT ct ON ct.BM_SHEET_ID = s.ID
	AND ct.SU_DUNG = 1
JOIN SCMS.DM_CHI_TIEU dct ON dct.ID = ct.DM_CHI_TIEU_ID
	AND dct.SU_DUNG = 1
WHERE bm.MA_BAO_CAO LIKE 'BCTHHDKD%'
	AND bm.SU_DUNG = 1
ORDER BY dct.MA_CHI_TIEU;</t>
        </is>
      </c>
      <c r="U1793" s="386" t="n"/>
      <c r="V1793" s="395" t="n"/>
      <c r="W1793" s="395" t="n"/>
      <c r="X1793" s="395" t="n"/>
      <c r="Y1793" s="14" t="n"/>
      <c r="Z1793" s="395" t="n"/>
      <c r="AA1793" s="395" t="n"/>
      <c r="AB1793" s="395" t="n"/>
      <c r="AC1793" s="395" t="n"/>
      <c r="AD1793" s="395" t="n"/>
      <c r="AE1793" s="395" t="n"/>
    </row>
    <row r="1794" ht="56" customHeight="1" s="380">
      <c r="A1794" s="73" t="n">
        <v>91</v>
      </c>
      <c r="B1794" s="386" t="n"/>
      <c r="C1794" s="386" t="inlineStr">
        <is>
          <t>Báo cáo theo Thông tư 121/2020/TT-BTC &gt;&gt; Tình hình đầu tư, góp vốn vào tổ chức khác - II.11.6.TP</t>
        </is>
      </c>
      <c r="D1794" s="106" t="inlineStr">
        <is>
          <t>Tên chỉ tiêu</t>
        </is>
      </c>
      <c r="E1794" s="107" t="inlineStr">
        <is>
          <t>Tên chỉ tiêu</t>
        </is>
      </c>
      <c r="F1794" s="390" t="inlineStr">
        <is>
          <t>Data Explorer</t>
        </is>
      </c>
      <c r="G1794" s="390" t="inlineStr">
        <is>
          <t>Chiều</t>
        </is>
      </c>
      <c r="H1794" s="390" t="inlineStr">
        <is>
          <t>Dễ</t>
        </is>
      </c>
      <c r="I1794" s="390" t="inlineStr">
        <is>
          <t>Ngày, CTCK</t>
        </is>
      </c>
      <c r="J1794" s="401" t="inlineStr">
        <is>
          <t>SCMS</t>
        </is>
      </c>
      <c r="K1794" s="401" t="inlineStr">
        <is>
          <t>X</t>
        </is>
      </c>
      <c r="L1794" s="395" t="inlineStr">
        <is>
          <t>X</t>
        </is>
      </c>
      <c r="M1794" s="401" t="n"/>
      <c r="N1794" s="395" t="inlineStr">
        <is>
          <t>Done</t>
        </is>
      </c>
      <c r="O1794" s="401" t="n"/>
      <c r="P1794" s="395" t="n"/>
      <c r="S1794" s="395" t="n"/>
      <c r="U1794" s="386" t="n"/>
      <c r="V1794" s="395" t="n"/>
      <c r="W1794" s="395" t="n"/>
      <c r="X1794" s="395" t="n"/>
      <c r="Y1794" s="13" t="n"/>
      <c r="Z1794" s="395" t="n"/>
      <c r="AA1794" s="395" t="n"/>
      <c r="AB1794" s="395" t="n"/>
      <c r="AC1794" s="395" t="n"/>
      <c r="AD1794" s="395" t="n"/>
      <c r="AE1794" s="395" t="n"/>
    </row>
    <row r="1795" ht="56" customHeight="1" s="380">
      <c r="A1795" s="73" t="n">
        <v>91</v>
      </c>
      <c r="B1795" s="386" t="n"/>
      <c r="C1795" s="386" t="inlineStr">
        <is>
          <t>Báo cáo theo Thông tư 121/2020/TT-BTC &gt;&gt; Tình hình đầu tư, góp vốn vào tổ chức khác - II.11.6.TP</t>
        </is>
      </c>
      <c r="D1795" s="386" t="inlineStr">
        <is>
          <t>Tên công ty chứng khoán</t>
        </is>
      </c>
      <c r="E1795" s="386" t="inlineStr">
        <is>
          <t>Tên công ty chứng khoán</t>
        </is>
      </c>
      <c r="F1795" s="386" t="inlineStr">
        <is>
          <t>Data Explorer</t>
        </is>
      </c>
      <c r="G1795" s="386" t="inlineStr">
        <is>
          <t>Chỉ tiêu cơ sở</t>
        </is>
      </c>
      <c r="H1795" s="386" t="inlineStr">
        <is>
          <t>Trùng</t>
        </is>
      </c>
      <c r="I1795" s="386" t="inlineStr">
        <is>
          <t>Ngày, CTCK</t>
        </is>
      </c>
      <c r="J1795" s="395" t="inlineStr">
        <is>
          <t>SCMS</t>
        </is>
      </c>
      <c r="K1795" s="395" t="n"/>
      <c r="L1795" s="395" t="inlineStr">
        <is>
          <t>X</t>
        </is>
      </c>
      <c r="M1795" s="395" t="n"/>
      <c r="N1795" s="395" t="inlineStr">
        <is>
          <t>Done</t>
        </is>
      </c>
      <c r="O1795" s="401" t="n"/>
      <c r="P1795" s="395" t="n"/>
      <c r="Q1795" s="427" t="inlineStr">
        <is>
          <t>SCMS.BC_THANH_VIEN
SCMS.BM_BAO_CAO
SCMS.BC_BAO_CAO_GT
SCMS.BM_BAO_CAO_HANG
SCMS.BM_BAO_CAO_COT
SCMS.CTCK_THONG_TIN</t>
        </is>
      </c>
      <c r="R1795" s="427" t="inlineStr">
        <is>
          <t>btv.ID,
btv.NGAY_SO_LIEU,
btv.BM_BAO_CAO_ID,
btv.CTCK_THONG_TIN_ID,
btv.TRANG_THAI,
c.CTCK_THONG_TIN_ID,
bsh.ID,
bsh.MA_HANG,
bsc.TEN_COT,
bsc.BM_SHEET_ID,
gt.BC_THANH_VIEN_ID,
gt.BM_SHEET_HANG_ID,
gt.GIA_TRI,
bm.ID,
bm.MA_BAO_CAO</t>
        </is>
      </c>
      <c r="S1795" s="395" t="n"/>
      <c r="T1795" s="425" t="inlineStr">
        <is>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bsh.MA_HANG='6' AND bsc.TEN_COT=N'Tên tổ chức phát hành trái phiếu' THEN CAST(gt.GIA_TRI AS VARCHAR2(4000)) END) AS "Tên tổ chức phát hành trái phiếu",  -- Check lại
    MAX(CASE WHEN bsh.MA_HANG='6' AND bsc.TEN_COT=N'Phạm vi đầu tư' THEN CAST(gt.GIA_TRI AS VARCHAR2(4000)) END) AS "Phạm vi đầu tư",  -- Check lại
    MAX(CASE WHEN bsh.MA_HANG='6' AND bsc.TEN_COT=N'Trái phiếu doanh nghiệp(triệu đồng)' THEN CAST(gt.GIA_TRI AS VARCHAR2(4000)) END) AS "Giá trị trái phiếu doanh nghiệp"
FROM SCMS.BC_THANH_VIEN btv
JOIN SCMS.BM_BAO_CAO bm ON bm.ID = btv.BM_BAO_CAO_ID
JOIN SCMS.BC_BAO_CAO_GT gt ON gt.BC_THANH_VIEN_ID = btv.ID
JOIN SCMS.BM_BAO_CAO_HANG bsh ON bsh.ID = gt.BM_SHEET_HANG_ID
JOIN SCMS.BM_BAO_CAO_COT bsc ON bsc.BM_SHEET_ID = 7431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is>
      </c>
      <c r="U1795" s="386" t="n"/>
      <c r="V1795" s="395" t="n"/>
      <c r="W1795" s="395" t="n"/>
      <c r="X1795" s="395" t="n"/>
      <c r="Y1795" s="13" t="n"/>
      <c r="Z1795" s="395" t="n"/>
      <c r="AA1795" s="395" t="n"/>
      <c r="AB1795" s="395" t="n"/>
      <c r="AC1795" s="395" t="n"/>
      <c r="AD1795" s="395" t="n"/>
      <c r="AE1795" s="395" t="n"/>
    </row>
    <row r="1796" ht="56" customHeight="1" s="380">
      <c r="A1796" s="73" t="n">
        <v>91</v>
      </c>
      <c r="B1796" s="386" t="n"/>
      <c r="C1796" s="386" t="inlineStr">
        <is>
          <t>Báo cáo theo Thông tư 121/2020/TT-BTC &gt;&gt; Tình hình đầu tư, góp vốn vào tổ chức khác - II.11.6.TP</t>
        </is>
      </c>
      <c r="D1796" s="386" t="inlineStr">
        <is>
          <t>Sàn giao dịch</t>
        </is>
      </c>
      <c r="E1796" s="386" t="inlineStr">
        <is>
          <t>Sàn giao dịch</t>
        </is>
      </c>
      <c r="F1796" s="386" t="inlineStr">
        <is>
          <t>Data Explorer</t>
        </is>
      </c>
      <c r="G1796" s="386" t="inlineStr">
        <is>
          <t>Chỉ tiêu cơ sở</t>
        </is>
      </c>
      <c r="H1796" s="386" t="inlineStr">
        <is>
          <t>Trùng</t>
        </is>
      </c>
      <c r="I1796" s="386" t="inlineStr">
        <is>
          <t>Ngày, CTCK</t>
        </is>
      </c>
      <c r="J1796" s="395" t="inlineStr">
        <is>
          <t>SCMS</t>
        </is>
      </c>
      <c r="K1796" s="395" t="n"/>
      <c r="L1796" s="395" t="inlineStr">
        <is>
          <t>X</t>
        </is>
      </c>
      <c r="M1796" s="395" t="n"/>
      <c r="N1796" s="395" t="inlineStr">
        <is>
          <t>Done</t>
        </is>
      </c>
      <c r="O1796" s="401" t="n"/>
      <c r="P1796" s="395" t="n"/>
      <c r="S1796" s="395" t="n"/>
      <c r="U1796" s="386" t="n"/>
      <c r="V1796" s="395" t="n"/>
      <c r="W1796" s="395" t="n"/>
      <c r="X1796" s="395" t="n"/>
      <c r="Y1796" s="13" t="n"/>
      <c r="Z1796" s="395" t="n"/>
      <c r="AA1796" s="395" t="n"/>
      <c r="AB1796" s="395" t="n"/>
      <c r="AC1796" s="395" t="n"/>
      <c r="AD1796" s="395" t="n"/>
      <c r="AE1796" s="395" t="n"/>
    </row>
    <row r="1797" ht="56" customHeight="1" s="380">
      <c r="A1797" s="73" t="n">
        <v>91</v>
      </c>
      <c r="B1797" s="386" t="n"/>
      <c r="C1797" s="386" t="inlineStr">
        <is>
          <t>Báo cáo theo Thông tư 121/2020/TT-BTC &gt;&gt; Tình hình đầu tư, góp vốn vào tổ chức khác - II.11.6.TP</t>
        </is>
      </c>
      <c r="D1797" s="386" t="inlineStr">
        <is>
          <t>Mã chứng khoán</t>
        </is>
      </c>
      <c r="E1797" s="386" t="inlineStr">
        <is>
          <t>Mã chứng khoán</t>
        </is>
      </c>
      <c r="F1797" s="386" t="inlineStr">
        <is>
          <t>Data Explorer</t>
        </is>
      </c>
      <c r="G1797" s="386" t="inlineStr">
        <is>
          <t>Chỉ tiêu cơ sở</t>
        </is>
      </c>
      <c r="H1797" s="386" t="inlineStr">
        <is>
          <t>Trùng</t>
        </is>
      </c>
      <c r="I1797" s="386" t="inlineStr">
        <is>
          <t>Ngày, CTCK</t>
        </is>
      </c>
      <c r="J1797" s="395" t="inlineStr">
        <is>
          <t>SCMS</t>
        </is>
      </c>
      <c r="K1797" s="395" t="n"/>
      <c r="L1797" s="395" t="inlineStr">
        <is>
          <t>X</t>
        </is>
      </c>
      <c r="M1797" s="395" t="n"/>
      <c r="N1797" s="395" t="inlineStr">
        <is>
          <t>Done</t>
        </is>
      </c>
      <c r="O1797" s="401" t="n"/>
      <c r="P1797" s="395" t="n"/>
      <c r="S1797" s="395" t="n"/>
      <c r="U1797" s="386" t="n"/>
      <c r="V1797" s="395" t="n"/>
      <c r="W1797" s="395" t="n"/>
      <c r="X1797" s="395" t="n"/>
      <c r="Y1797" s="13" t="n"/>
      <c r="Z1797" s="395" t="n"/>
      <c r="AA1797" s="395" t="n"/>
      <c r="AB1797" s="395" t="n"/>
      <c r="AC1797" s="395" t="n"/>
      <c r="AD1797" s="395" t="n"/>
      <c r="AE1797" s="395" t="n"/>
    </row>
    <row r="1798" ht="56" customHeight="1" s="380">
      <c r="A1798" s="73" t="n">
        <v>91</v>
      </c>
      <c r="B1798" s="386" t="n"/>
      <c r="C1798" s="386" t="inlineStr">
        <is>
          <t>Báo cáo theo Thông tư 121/2020/TT-BTC &gt;&gt; Tình hình đầu tư, góp vốn vào tổ chức khác - II.11.6.TP</t>
        </is>
      </c>
      <c r="D1798" s="386" t="inlineStr">
        <is>
          <t>Giấy phép &gt;&gt; Số</t>
        </is>
      </c>
      <c r="E1798" s="386" t="inlineStr">
        <is>
          <t>Giấy phép &gt;&gt; Số</t>
        </is>
      </c>
      <c r="F1798" s="386" t="inlineStr">
        <is>
          <t>Data Explorer</t>
        </is>
      </c>
      <c r="G1798" s="386" t="inlineStr">
        <is>
          <t>Chỉ tiêu cơ sở</t>
        </is>
      </c>
      <c r="H1798" s="386" t="inlineStr">
        <is>
          <t>Trùng</t>
        </is>
      </c>
      <c r="I1798" s="386" t="inlineStr">
        <is>
          <t>Ngày, CTCK</t>
        </is>
      </c>
      <c r="J1798" s="395" t="inlineStr">
        <is>
          <t>SCMS</t>
        </is>
      </c>
      <c r="K1798" s="395" t="n"/>
      <c r="L1798" s="395" t="inlineStr">
        <is>
          <t>X</t>
        </is>
      </c>
      <c r="M1798" s="395" t="n"/>
      <c r="N1798" s="395" t="inlineStr">
        <is>
          <t>Done</t>
        </is>
      </c>
      <c r="O1798" s="401" t="n"/>
      <c r="P1798" s="395" t="n"/>
      <c r="S1798" s="395" t="n"/>
      <c r="U1798" s="386" t="n"/>
      <c r="V1798" s="395" t="n"/>
      <c r="W1798" s="395" t="n"/>
      <c r="X1798" s="395" t="n"/>
      <c r="Y1798" s="13" t="n"/>
      <c r="Z1798" s="395" t="n"/>
      <c r="AA1798" s="395" t="n"/>
      <c r="AB1798" s="395" t="n"/>
      <c r="AC1798" s="395" t="n"/>
      <c r="AD1798" s="395" t="n"/>
      <c r="AE1798" s="395" t="n"/>
    </row>
    <row r="1799" ht="56" customHeight="1" s="380">
      <c r="A1799" s="73" t="n">
        <v>91</v>
      </c>
      <c r="B1799" s="386" t="n"/>
      <c r="C1799" s="386" t="inlineStr">
        <is>
          <t>Báo cáo theo Thông tư 121/2020/TT-BTC &gt;&gt; Tình hình đầu tư, góp vốn vào tổ chức khác - II.11.6.TP</t>
        </is>
      </c>
      <c r="D1799" s="386" t="inlineStr">
        <is>
          <t>Giấy phép &gt;&gt; Ngày cấp
(Ngày/tháng/năm)</t>
        </is>
      </c>
      <c r="E1799" s="386" t="inlineStr">
        <is>
          <t>Giấy phép &gt;&gt; Ngày cấp
(Ngày/tháng/năm)</t>
        </is>
      </c>
      <c r="F1799" s="386" t="inlineStr">
        <is>
          <t>Data Explorer</t>
        </is>
      </c>
      <c r="G1799" s="386" t="inlineStr">
        <is>
          <t>Chỉ tiêu cơ sở</t>
        </is>
      </c>
      <c r="H1799" s="386" t="inlineStr">
        <is>
          <t>Trùng</t>
        </is>
      </c>
      <c r="I1799" s="386" t="inlineStr">
        <is>
          <t>Ngày, CTCK</t>
        </is>
      </c>
      <c r="J1799" s="395" t="inlineStr">
        <is>
          <t>SCMS</t>
        </is>
      </c>
      <c r="K1799" s="395" t="n"/>
      <c r="L1799" s="395" t="inlineStr">
        <is>
          <t>X</t>
        </is>
      </c>
      <c r="M1799" s="395" t="n"/>
      <c r="N1799" s="395" t="inlineStr">
        <is>
          <t>Done</t>
        </is>
      </c>
      <c r="O1799" s="401" t="n"/>
      <c r="P1799" s="395" t="n"/>
      <c r="S1799" s="395" t="n"/>
      <c r="U1799" s="386" t="n"/>
      <c r="V1799" s="395" t="n"/>
      <c r="W1799" s="395" t="n"/>
      <c r="X1799" s="395" t="n"/>
      <c r="Y1799" s="38" t="n"/>
      <c r="Z1799" s="395" t="n"/>
      <c r="AA1799" s="395" t="n"/>
      <c r="AB1799" s="395" t="n"/>
      <c r="AC1799" s="395" t="n"/>
      <c r="AD1799" s="395" t="n"/>
      <c r="AE1799" s="395" t="n"/>
    </row>
    <row r="1800" ht="56" customHeight="1" s="380">
      <c r="A1800" s="73" t="n">
        <v>91</v>
      </c>
      <c r="B1800" s="386" t="n"/>
      <c r="C1800" s="386" t="inlineStr">
        <is>
          <t>Báo cáo theo Thông tư 121/2020/TT-BTC &gt;&gt; Tình hình đầu tư, góp vốn vào tổ chức khác - II.11.6.TP</t>
        </is>
      </c>
      <c r="D1800" s="386" t="inlineStr">
        <is>
          <t>Tên tổ chức phát hành trái phiếu</t>
        </is>
      </c>
      <c r="E1800" s="395" t="inlineStr">
        <is>
          <t>Tên tổ chức phát hành trái phiếu</t>
        </is>
      </c>
      <c r="F1800" s="386" t="inlineStr">
        <is>
          <t>Data Explorer</t>
        </is>
      </c>
      <c r="G1800" s="386" t="inlineStr">
        <is>
          <t>Chỉ tiêu cơ sở</t>
        </is>
      </c>
      <c r="H1800" s="386" t="inlineStr">
        <is>
          <t>TB</t>
        </is>
      </c>
      <c r="I1800" s="386" t="inlineStr">
        <is>
          <t>Ngày, CTCK</t>
        </is>
      </c>
      <c r="J1800" s="395" t="inlineStr">
        <is>
          <t>SCMS</t>
        </is>
      </c>
      <c r="K1800" s="395" t="n"/>
      <c r="L1800" s="395" t="inlineStr">
        <is>
          <t>X</t>
        </is>
      </c>
      <c r="M1800" s="395" t="n"/>
      <c r="N1800" s="395" t="inlineStr">
        <is>
          <t>Pending</t>
        </is>
      </c>
      <c r="O1800" s="401" t="n"/>
      <c r="P1800" s="395" t="n"/>
      <c r="S1800" s="395" t="n"/>
      <c r="U1800" s="20" t="inlineStr">
        <is>
          <t>Chưa xác định được lưu ở đâu?</t>
        </is>
      </c>
      <c r="V1800" s="395" t="n"/>
      <c r="W1800" s="395" t="n"/>
      <c r="X1800" s="395" t="n"/>
      <c r="Y1800" s="13" t="n"/>
      <c r="Z1800" s="395" t="n"/>
      <c r="AA1800" s="395" t="n"/>
      <c r="AB1800" s="395" t="n"/>
      <c r="AC1800" s="395" t="n"/>
      <c r="AD1800" s="395" t="n"/>
      <c r="AE1800" s="395" t="n"/>
    </row>
    <row r="1801" ht="56" customHeight="1" s="380">
      <c r="A1801" s="73" t="n">
        <v>91</v>
      </c>
      <c r="B1801" s="386" t="n"/>
      <c r="C1801" s="386" t="inlineStr">
        <is>
          <t>Báo cáo theo Thông tư 121/2020/TT-BTC &gt;&gt; Tình hình đầu tư, góp vốn vào tổ chức khác - II.11.6.TP</t>
        </is>
      </c>
      <c r="D1801" s="386" t="inlineStr">
        <is>
          <t>Phạm vi đầu tư
(Trong nước/ngoài nước)</t>
        </is>
      </c>
      <c r="E1801" s="395" t="inlineStr">
        <is>
          <t>Phạm vi đầu tư
(Trong nước/ngoài nước)</t>
        </is>
      </c>
      <c r="F1801" s="386" t="inlineStr">
        <is>
          <t>Data Explorer</t>
        </is>
      </c>
      <c r="G1801" s="386" t="inlineStr">
        <is>
          <t>Chỉ tiêu cơ sở</t>
        </is>
      </c>
      <c r="H1801" s="386" t="inlineStr">
        <is>
          <t>TB</t>
        </is>
      </c>
      <c r="I1801" s="386" t="inlineStr">
        <is>
          <t>Ngày, CTCK</t>
        </is>
      </c>
      <c r="J1801" s="395" t="inlineStr">
        <is>
          <t>SCMS</t>
        </is>
      </c>
      <c r="K1801" s="395" t="n"/>
      <c r="L1801" s="395" t="inlineStr">
        <is>
          <t>X</t>
        </is>
      </c>
      <c r="M1801" s="395" t="n"/>
      <c r="N1801" s="395" t="inlineStr">
        <is>
          <t>Pending</t>
        </is>
      </c>
      <c r="O1801" s="401" t="n"/>
      <c r="P1801" s="395" t="n"/>
      <c r="S1801" s="395" t="n"/>
      <c r="U1801" s="20" t="inlineStr">
        <is>
          <t>Chưa xác định được lưu ở đâu?</t>
        </is>
      </c>
      <c r="V1801" s="395" t="n"/>
      <c r="W1801" s="395" t="n"/>
      <c r="X1801" s="395" t="n"/>
      <c r="Y1801" s="13" t="n"/>
      <c r="Z1801" s="395" t="n"/>
      <c r="AA1801" s="395" t="n"/>
      <c r="AB1801" s="395" t="n"/>
      <c r="AC1801" s="395" t="n"/>
      <c r="AD1801" s="395" t="n"/>
      <c r="AE1801" s="395" t="n"/>
    </row>
    <row r="1802" ht="56" customHeight="1" s="380">
      <c r="A1802" s="83" t="n">
        <v>91</v>
      </c>
      <c r="B1802" s="68" t="n"/>
      <c r="C1802" s="68" t="inlineStr">
        <is>
          <t>Báo cáo theo Thông tư 121/2020/TT-BTC &gt;&gt; Tình hình đầu tư, góp vốn vào tổ chức khác - II.11.6.TP</t>
        </is>
      </c>
      <c r="D1802" s="68" t="inlineStr">
        <is>
          <t>Giá trị trái phiếu doanh nghiệp
(triệu đồng)</t>
        </is>
      </c>
      <c r="E1802" s="69" t="inlineStr">
        <is>
          <t>Giá trị trái phiếu doanh nghiệp
(triệu đồng)</t>
        </is>
      </c>
      <c r="F1802" s="68" t="inlineStr">
        <is>
          <t>Data Explorer</t>
        </is>
      </c>
      <c r="G1802" s="68" t="inlineStr">
        <is>
          <t>Chỉ tiêu cơ sở</t>
        </is>
      </c>
      <c r="H1802" s="68" t="inlineStr">
        <is>
          <t>TB</t>
        </is>
      </c>
      <c r="I1802" s="68" t="inlineStr">
        <is>
          <t>Ngày, CTCK</t>
        </is>
      </c>
      <c r="J1802" s="69" t="inlineStr">
        <is>
          <t>SCMS</t>
        </is>
      </c>
      <c r="K1802" s="69" t="n"/>
      <c r="L1802" s="69" t="inlineStr">
        <is>
          <t>X</t>
        </is>
      </c>
      <c r="M1802" s="69" t="n"/>
      <c r="N1802" s="69" t="inlineStr">
        <is>
          <t>Done</t>
        </is>
      </c>
      <c r="O1802" s="85" t="n"/>
      <c r="P1802" s="69" t="n"/>
      <c r="Q1802" s="426" t="n"/>
      <c r="R1802" s="426" t="n"/>
      <c r="S1802" s="69" t="n"/>
      <c r="T1802" s="426" t="n"/>
      <c r="U1802" s="68" t="n"/>
      <c r="V1802" s="69" t="n"/>
      <c r="W1802" s="69" t="n"/>
      <c r="X1802" s="69" t="n"/>
      <c r="Y1802" s="97" t="n"/>
      <c r="Z1802" s="69" t="n"/>
      <c r="AA1802" s="69" t="n"/>
      <c r="AB1802" s="69" t="n"/>
      <c r="AC1802" s="69" t="n"/>
      <c r="AD1802" s="69" t="n"/>
      <c r="AE1802" s="69" t="n"/>
    </row>
    <row r="1803" ht="56" customHeight="1" s="380">
      <c r="A1803" s="126" t="n">
        <v>92</v>
      </c>
      <c r="B1803" s="122" t="inlineStr">
        <is>
          <t>Nga</t>
        </is>
      </c>
      <c r="C1803" s="127" t="inlineStr">
        <is>
          <t>Báo cáo theo Thông tư 121/2020/TT-BTC &gt;&gt; Báo báo tài chính &gt;&gt; Thông tin kiểm toán</t>
        </is>
      </c>
      <c r="D1803" s="106" t="inlineStr">
        <is>
          <t>Loại báo cáo</t>
        </is>
      </c>
      <c r="E1803" s="107" t="inlineStr">
        <is>
          <t>Loại báo cáo</t>
        </is>
      </c>
      <c r="F1803" s="390" t="inlineStr">
        <is>
          <t>Data Explorer</t>
        </is>
      </c>
      <c r="G1803" s="390" t="inlineStr">
        <is>
          <t>Chiều</t>
        </is>
      </c>
      <c r="H1803" s="390" t="inlineStr">
        <is>
          <t>Dễ</t>
        </is>
      </c>
      <c r="I1803" s="390" t="inlineStr">
        <is>
          <t>Ngày, CTCK</t>
        </is>
      </c>
      <c r="J1803" s="401" t="inlineStr">
        <is>
          <t>SCMS</t>
        </is>
      </c>
      <c r="K1803" s="401" t="inlineStr">
        <is>
          <t>X</t>
        </is>
      </c>
      <c r="L1803" s="401" t="inlineStr">
        <is>
          <t>X</t>
        </is>
      </c>
      <c r="M1803" s="401" t="n"/>
      <c r="N1803" s="401" t="inlineStr">
        <is>
          <t>Done</t>
        </is>
      </c>
      <c r="O1803" s="401" t="n"/>
      <c r="P1803" s="22" t="n"/>
      <c r="Q1803" s="404" t="inlineStr">
        <is>
          <t>SCMS.BM_BAO_CAO
SCMS.BM_BAO_CAO_DINH_KY</t>
        </is>
      </c>
      <c r="R1803" s="404" t="inlineStr">
        <is>
          <t>bm.ID,
bm.MA_BAO_CAO,
bm.LOAI_BAO_CAO,
bm.TEN_BAO_CAO,
bm.SU_DUNG,
bdk.BM_BAO_CAO_ID,
bdk.KY_BAO_CAO,
bdk.SU_DUNG</t>
        </is>
      </c>
      <c r="S1803" s="22" t="n"/>
      <c r="T1803" s="389"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V1803" s="22" t="n"/>
      <c r="W1803" s="22" t="n"/>
      <c r="X1803" s="22" t="n"/>
      <c r="Y1803" s="13" t="n"/>
      <c r="Z1803" s="22" t="n"/>
      <c r="AA1803" s="22" t="n"/>
      <c r="AB1803" s="22" t="n"/>
      <c r="AC1803" s="22" t="n"/>
      <c r="AD1803" s="22" t="n"/>
      <c r="AE1803" s="22" t="n"/>
    </row>
    <row r="1804" ht="56" customHeight="1" s="380">
      <c r="A1804" s="126" t="n">
        <v>92</v>
      </c>
      <c r="B1804" s="390" t="n"/>
      <c r="C1804" s="390" t="inlineStr">
        <is>
          <t>Báo cáo theo Thông tư 121/2020/TT-BTC &gt;&gt; Báo báo tài chính &gt;&gt; Thông tin kiểm toán</t>
        </is>
      </c>
      <c r="D1804" s="106" t="inlineStr">
        <is>
          <t>Kỳ báo cáo</t>
        </is>
      </c>
      <c r="E1804" s="107" t="inlineStr">
        <is>
          <t>Kỳ báo cáo</t>
        </is>
      </c>
      <c r="F1804" s="390" t="inlineStr">
        <is>
          <t>Data Explorer</t>
        </is>
      </c>
      <c r="G1804" s="390" t="inlineStr">
        <is>
          <t>Chiều</t>
        </is>
      </c>
      <c r="H1804" s="390" t="inlineStr">
        <is>
          <t>Dễ</t>
        </is>
      </c>
      <c r="I1804" s="390" t="inlineStr">
        <is>
          <t>Ngày, CTCK</t>
        </is>
      </c>
      <c r="J1804" s="401" t="inlineStr">
        <is>
          <t>SCMS</t>
        </is>
      </c>
      <c r="K1804" s="401" t="inlineStr">
        <is>
          <t>X</t>
        </is>
      </c>
      <c r="L1804" s="401" t="inlineStr">
        <is>
          <t>X</t>
        </is>
      </c>
      <c r="M1804" s="401" t="n"/>
      <c r="N1804" s="401" t="inlineStr">
        <is>
          <t>Done</t>
        </is>
      </c>
      <c r="O1804" s="401" t="n"/>
      <c r="P1804" s="22" t="n"/>
      <c r="S1804" s="22" t="n"/>
      <c r="U1804" s="16" t="n"/>
      <c r="V1804" s="22" t="n"/>
      <c r="W1804" s="22" t="n"/>
      <c r="X1804" s="22" t="n"/>
      <c r="Y1804" s="13" t="n"/>
      <c r="Z1804" s="22" t="n"/>
      <c r="AA1804" s="22" t="n"/>
      <c r="AB1804" s="22" t="n"/>
      <c r="AC1804" s="22" t="n"/>
      <c r="AD1804" s="22" t="n"/>
      <c r="AE1804" s="22" t="n"/>
    </row>
    <row r="1805" ht="56" customHeight="1" s="380">
      <c r="A1805" s="126" t="n">
        <v>92</v>
      </c>
      <c r="B1805" s="390" t="n"/>
      <c r="C1805" s="390" t="inlineStr">
        <is>
          <t>Báo cáo theo Thông tư 121/2020/TT-BTC &gt;&gt; Báo báo tài chính &gt;&gt; Thông tin kiểm toán</t>
        </is>
      </c>
      <c r="D1805" s="106" t="inlineStr">
        <is>
          <t>Mã báo cáo</t>
        </is>
      </c>
      <c r="E1805" s="107" t="inlineStr">
        <is>
          <t>Mã báo cáo</t>
        </is>
      </c>
      <c r="F1805" s="390" t="inlineStr">
        <is>
          <t>Data Explorer</t>
        </is>
      </c>
      <c r="G1805" s="390" t="inlineStr">
        <is>
          <t>Chiều</t>
        </is>
      </c>
      <c r="H1805" s="390" t="inlineStr">
        <is>
          <t>Dễ</t>
        </is>
      </c>
      <c r="I1805" s="390" t="inlineStr">
        <is>
          <t>Ngày, CTCK</t>
        </is>
      </c>
      <c r="J1805" s="401" t="inlineStr">
        <is>
          <t>SCMS</t>
        </is>
      </c>
      <c r="K1805" s="401" t="inlineStr">
        <is>
          <t>X</t>
        </is>
      </c>
      <c r="L1805" s="401" t="inlineStr">
        <is>
          <t>X</t>
        </is>
      </c>
      <c r="M1805" s="401" t="n"/>
      <c r="N1805" s="401" t="inlineStr">
        <is>
          <t>Done</t>
        </is>
      </c>
      <c r="O1805" s="401" t="n"/>
      <c r="P1805" s="22" t="n"/>
      <c r="S1805" s="22" t="n"/>
      <c r="U1805" s="16" t="n"/>
      <c r="V1805" s="22" t="n"/>
      <c r="W1805" s="22" t="n"/>
      <c r="X1805" s="22" t="n"/>
      <c r="Y1805" s="38" t="n"/>
      <c r="Z1805" s="22" t="n"/>
      <c r="AA1805" s="22" t="n"/>
      <c r="AB1805" s="22" t="n"/>
      <c r="AC1805" s="22" t="n"/>
      <c r="AD1805" s="22" t="n"/>
      <c r="AE1805" s="22" t="n"/>
    </row>
    <row r="1806" ht="56" customHeight="1" s="380">
      <c r="A1806" s="126" t="n">
        <v>92</v>
      </c>
      <c r="B1806" s="390" t="n"/>
      <c r="C1806" s="390" t="inlineStr">
        <is>
          <t>Báo cáo theo Thông tư 121/2020/TT-BTC &gt;&gt; Báo báo tài chính &gt;&gt; Thông tin kiểm toán</t>
        </is>
      </c>
      <c r="D1806" s="106" t="inlineStr">
        <is>
          <t>Tên báo cáo</t>
        </is>
      </c>
      <c r="E1806" s="107" t="inlineStr">
        <is>
          <t>Tên báo cáo</t>
        </is>
      </c>
      <c r="F1806" s="390" t="inlineStr">
        <is>
          <t>Data Explorer</t>
        </is>
      </c>
      <c r="G1806" s="390" t="inlineStr">
        <is>
          <t>Chiều</t>
        </is>
      </c>
      <c r="H1806" s="390" t="inlineStr">
        <is>
          <t>Dễ</t>
        </is>
      </c>
      <c r="I1806" s="390" t="inlineStr">
        <is>
          <t>Ngày, CTCK</t>
        </is>
      </c>
      <c r="J1806" s="401" t="inlineStr">
        <is>
          <t>SCMS</t>
        </is>
      </c>
      <c r="K1806" s="401" t="inlineStr">
        <is>
          <t>X</t>
        </is>
      </c>
      <c r="L1806" s="401" t="inlineStr">
        <is>
          <t>X</t>
        </is>
      </c>
      <c r="M1806" s="401" t="n"/>
      <c r="N1806" s="401" t="inlineStr">
        <is>
          <t>Done</t>
        </is>
      </c>
      <c r="O1806" s="401" t="n"/>
      <c r="P1806" s="22" t="n"/>
      <c r="S1806" s="22" t="n"/>
      <c r="U1806" s="16" t="n"/>
      <c r="V1806" s="22" t="n"/>
      <c r="W1806" s="22" t="n"/>
      <c r="X1806" s="22" t="n"/>
      <c r="Y1806" s="13" t="n"/>
      <c r="Z1806" s="22" t="n"/>
      <c r="AA1806" s="22" t="n"/>
      <c r="AB1806" s="22" t="n"/>
      <c r="AC1806" s="22" t="n"/>
      <c r="AD1806" s="22" t="n"/>
      <c r="AE1806" s="22" t="n"/>
    </row>
    <row r="1807" ht="56" customHeight="1" s="380">
      <c r="A1807" s="126" t="n">
        <v>92</v>
      </c>
      <c r="B1807" s="390" t="n"/>
      <c r="C1807" s="390" t="inlineStr">
        <is>
          <t>Báo cáo theo Thông tư 121/2020/TT-BTC &gt;&gt; Báo báo tài chính &gt;&gt; Thông tin kiểm toán</t>
        </is>
      </c>
      <c r="D1807" s="106" t="inlineStr">
        <is>
          <t>Mã sheet</t>
        </is>
      </c>
      <c r="E1807" s="106" t="inlineStr">
        <is>
          <t>Mã sheet</t>
        </is>
      </c>
      <c r="F1807" s="390" t="inlineStr">
        <is>
          <t>Data Explorer</t>
        </is>
      </c>
      <c r="G1807" s="390" t="inlineStr">
        <is>
          <t>Chiều</t>
        </is>
      </c>
      <c r="H1807" s="390" t="inlineStr">
        <is>
          <t>Dễ</t>
        </is>
      </c>
      <c r="I1807" s="390" t="inlineStr">
        <is>
          <t>Ngày, CTCK</t>
        </is>
      </c>
      <c r="J1807" s="401" t="inlineStr">
        <is>
          <t>SCMS</t>
        </is>
      </c>
      <c r="K1807" s="401" t="inlineStr">
        <is>
          <t>X</t>
        </is>
      </c>
      <c r="L1807" s="401" t="inlineStr">
        <is>
          <t>X</t>
        </is>
      </c>
      <c r="M1807" s="401" t="n"/>
      <c r="N1807" s="401" t="inlineStr">
        <is>
          <t>Done</t>
        </is>
      </c>
      <c r="O1807" s="401" t="n"/>
      <c r="P1807" s="22" t="n"/>
      <c r="Q1807" s="401" t="inlineStr">
        <is>
          <t>SCMS.BM_BAO_CAO
SCMS.BM_SHEET</t>
        </is>
      </c>
      <c r="R1807" s="401" t="inlineStr">
        <is>
          <t>bm.ID,
bm.MA_BAO_CAO,
bm.SU_DUNG,
s.BM_BAO_CAO_ID,
s.MA_SHEET,
s.TEN_SHEET,
s.SAP_XEP</t>
        </is>
      </c>
      <c r="S1807" s="22" t="n"/>
      <c r="T1807" s="389" t="inlineStr">
        <is>
          <t>-- Mã sheet / Tên sheet
-- TEN_SHEET: KT
SELECT bm.MA_BAO_CAO,
s.MA_SHEET,
s.TEN_SHEET
FROM SCMS.BM_BAO_CAO bm
JOIN SCMS.BM_SHEET s ON s.BM_BAO_CAO_ID = bm.ID
WHERE bm.MA_BAO_CAO LIKE 'BCTCRLCTCK'
AND s.TEN_SHEET = 'KT'  -- Check lại
AND bm.SU_DUNG = 1
ORDER BY bm.MA_BAO_CAO, s.SAP_XEP;</t>
        </is>
      </c>
      <c r="U1807" s="16" t="n"/>
      <c r="V1807" s="22" t="n"/>
      <c r="W1807" s="22" t="n"/>
      <c r="X1807" s="22" t="n"/>
      <c r="Y1807" s="13" t="n"/>
      <c r="Z1807" s="22" t="n"/>
      <c r="AA1807" s="22" t="n"/>
      <c r="AB1807" s="22" t="n"/>
      <c r="AC1807" s="22" t="n"/>
      <c r="AD1807" s="22" t="n"/>
      <c r="AE1807" s="22" t="n"/>
    </row>
    <row r="1808" ht="56" customHeight="1" s="380">
      <c r="A1808" s="126" t="n">
        <v>92</v>
      </c>
      <c r="B1808" s="390" t="n"/>
      <c r="C1808" s="390" t="inlineStr">
        <is>
          <t>Báo cáo theo Thông tư 121/2020/TT-BTC &gt;&gt; Báo báo tài chính &gt;&gt; Thông tin kiểm toán</t>
        </is>
      </c>
      <c r="D1808" s="106" t="inlineStr">
        <is>
          <t>Tên sheet</t>
        </is>
      </c>
      <c r="E1808" s="106" t="inlineStr">
        <is>
          <t>Tên sheet</t>
        </is>
      </c>
      <c r="F1808" s="390" t="inlineStr">
        <is>
          <t>Data Explorer</t>
        </is>
      </c>
      <c r="G1808" s="390" t="inlineStr">
        <is>
          <t>Chiều</t>
        </is>
      </c>
      <c r="H1808" s="390" t="inlineStr">
        <is>
          <t>Dễ</t>
        </is>
      </c>
      <c r="I1808" s="390" t="inlineStr">
        <is>
          <t>Ngày, CTCK</t>
        </is>
      </c>
      <c r="J1808" s="401" t="inlineStr">
        <is>
          <t>SCMS</t>
        </is>
      </c>
      <c r="K1808" s="401" t="inlineStr">
        <is>
          <t>X</t>
        </is>
      </c>
      <c r="L1808" s="401" t="inlineStr">
        <is>
          <t>X</t>
        </is>
      </c>
      <c r="M1808" s="401" t="n"/>
      <c r="N1808" s="401" t="inlineStr">
        <is>
          <t>Done</t>
        </is>
      </c>
      <c r="O1808" s="401" t="n"/>
      <c r="P1808" s="22" t="n"/>
      <c r="S1808" s="22" t="n"/>
      <c r="U1808" s="16" t="n"/>
      <c r="V1808" s="22" t="n"/>
      <c r="W1808" s="22" t="n"/>
      <c r="X1808" s="22" t="n"/>
      <c r="Y1808" s="13" t="n"/>
      <c r="Z1808" s="22" t="n"/>
      <c r="AA1808" s="22" t="n"/>
      <c r="AB1808" s="22" t="n"/>
      <c r="AC1808" s="22" t="n"/>
      <c r="AD1808" s="22" t="n"/>
      <c r="AE1808" s="22" t="n"/>
    </row>
    <row r="1809" ht="56" customHeight="1" s="380">
      <c r="A1809" s="126" t="n">
        <v>92</v>
      </c>
      <c r="B1809" s="390" t="n"/>
      <c r="C1809" s="390" t="inlineStr">
        <is>
          <t>Báo cáo theo Thông tư 121/2020/TT-BTC &gt;&gt; Báo báo tài chính &gt;&gt; Thông tin kiểm toán</t>
        </is>
      </c>
      <c r="D1809" s="106" t="inlineStr">
        <is>
          <t>Mã chỉ tiêu</t>
        </is>
      </c>
      <c r="E1809" s="107" t="inlineStr">
        <is>
          <t>Mã chỉ tiêu</t>
        </is>
      </c>
      <c r="F1809" s="390" t="inlineStr">
        <is>
          <t>Data Explorer</t>
        </is>
      </c>
      <c r="G1809" s="390" t="inlineStr">
        <is>
          <t>Chiều</t>
        </is>
      </c>
      <c r="H1809" s="390" t="inlineStr">
        <is>
          <t>Dễ</t>
        </is>
      </c>
      <c r="I1809" s="390" t="inlineStr">
        <is>
          <t>Ngày, CTCK</t>
        </is>
      </c>
      <c r="J1809" s="401" t="inlineStr">
        <is>
          <t>SCMS</t>
        </is>
      </c>
      <c r="K1809" s="401" t="inlineStr">
        <is>
          <t>X</t>
        </is>
      </c>
      <c r="L1809" s="401" t="inlineStr">
        <is>
          <t>X</t>
        </is>
      </c>
      <c r="M1809" s="401" t="n"/>
      <c r="N1809" s="401" t="inlineStr">
        <is>
          <t>Done</t>
        </is>
      </c>
      <c r="O1809" s="401" t="n"/>
      <c r="P1809" s="22" t="n"/>
      <c r="Q1809" s="401" t="inlineStr">
        <is>
          <t>SCMS.BM_BAO_CAO
SCMS.BM_SHEET
SCMS.BM_BAO_CAO_CT
SCMS.DM_CHI_TIEU</t>
        </is>
      </c>
      <c r="R1809" s="402" t="inlineStr">
        <is>
          <t>dct.ID,
dct.MA_CHI_TIEU,
dct.TEN_CHI_TIEU,
dct.SU_DUNG,
s.BM_BAO_CAO_ID,
s.MA_SHEET,
ct.BM_BAO_CAO_ID,
ct.DM_CHI_TIEU_ID,
ct.SU_DUNG,
bm.ID,
bm.MA_BAO_CAO,
bm.SU_DUNG</t>
        </is>
      </c>
      <c r="S1809" s="22" t="n"/>
      <c r="T1809" s="389" t="inlineStr">
        <is>
          <t>-- Mã chỉ tiêu / Tên chỉ tiêu
SELECT DISTINCT
    dct.MA_CHI_TIEU  AS ma_chi_tieu,
    dct.TEN_CHI_TIEU AS ten_chi_tieu
FROM SCMS.BM_BAO_CAO bm
JOIN SCMS.BM_SHEET s ON s.BM_BAO_CAO_ID = bm.ID
        AND s.TEN_SHEET = 'KT'
JOIN SCMS.BM_BAO_CAO_CT ct ON ct.BM_SHEET_ID = s.ID
        AND ct.SU_DUNG = 1
JOIN SCMS.DM_CHI_TIEU dct ON dct.ID = ct.DM_CHI_TIEU_ID
        AND dct.SU_DUNG = 1
WHERE bm.MA_BAO_CAO LIKE 'BCTCRLCTCK'
        AND bm.SU_DUNG = 1
ORDER BY dct.MA_CHI_TIEU;</t>
        </is>
      </c>
      <c r="U1809" s="16" t="n"/>
      <c r="V1809" s="22" t="n"/>
      <c r="W1809" s="22" t="n"/>
      <c r="X1809" s="22" t="n"/>
      <c r="Y1809" s="13" t="n"/>
      <c r="Z1809" s="22" t="n"/>
      <c r="AA1809" s="22" t="n"/>
      <c r="AB1809" s="22" t="n"/>
      <c r="AC1809" s="22" t="n"/>
      <c r="AD1809" s="22" t="n"/>
      <c r="AE1809" s="22" t="n"/>
    </row>
    <row r="1810" ht="56" customHeight="1" s="380">
      <c r="A1810" s="126" t="n">
        <v>92</v>
      </c>
      <c r="B1810" s="390" t="n"/>
      <c r="C1810" s="390" t="inlineStr">
        <is>
          <t>Báo cáo theo Thông tư 121/2020/TT-BTC &gt;&gt; Báo báo tài chính &gt;&gt; Thông tin kiểm toán</t>
        </is>
      </c>
      <c r="D1810" s="106" t="inlineStr">
        <is>
          <t>Tên chỉ tiêu</t>
        </is>
      </c>
      <c r="E1810" s="107" t="inlineStr">
        <is>
          <t>Tên chỉ tiêu</t>
        </is>
      </c>
      <c r="F1810" s="390" t="inlineStr">
        <is>
          <t>Data Explorer</t>
        </is>
      </c>
      <c r="G1810" s="390" t="inlineStr">
        <is>
          <t>Chiều</t>
        </is>
      </c>
      <c r="H1810" s="390" t="inlineStr">
        <is>
          <t>Dễ</t>
        </is>
      </c>
      <c r="I1810" s="390" t="inlineStr">
        <is>
          <t>Ngày, CTCK</t>
        </is>
      </c>
      <c r="J1810" s="401" t="inlineStr">
        <is>
          <t>SCMS</t>
        </is>
      </c>
      <c r="K1810" s="401" t="inlineStr">
        <is>
          <t>X</t>
        </is>
      </c>
      <c r="L1810" s="401" t="inlineStr">
        <is>
          <t>X</t>
        </is>
      </c>
      <c r="M1810" s="401" t="n"/>
      <c r="N1810" s="401" t="inlineStr">
        <is>
          <t>Done</t>
        </is>
      </c>
      <c r="O1810" s="401" t="n"/>
      <c r="P1810" s="22" t="n"/>
      <c r="S1810" s="22" t="n"/>
      <c r="U1810" s="16" t="n"/>
      <c r="V1810" s="22" t="n"/>
      <c r="W1810" s="22" t="n"/>
      <c r="X1810" s="22" t="n"/>
      <c r="Y1810" s="13" t="n"/>
      <c r="Z1810" s="22" t="n"/>
      <c r="AA1810" s="22" t="n"/>
      <c r="AB1810" s="22" t="n"/>
      <c r="AC1810" s="22" t="n"/>
      <c r="AD1810" s="22" t="n"/>
      <c r="AE1810" s="22" t="n"/>
    </row>
    <row r="1811" ht="56" customHeight="1" s="380">
      <c r="A1811" s="126" t="n">
        <v>92</v>
      </c>
      <c r="B1811" s="390" t="n"/>
      <c r="C1811" s="390" t="inlineStr">
        <is>
          <t>Báo cáo theo Thông tư 121/2020/TT-BTC &gt;&gt; Báo báo tài chính &gt;&gt; Thông tin kiểm toán</t>
        </is>
      </c>
      <c r="D1811" s="390" t="inlineStr">
        <is>
          <t>Người đại diện KT</t>
        </is>
      </c>
      <c r="E1811" s="401" t="inlineStr">
        <is>
          <t>Người đại diện KT</t>
        </is>
      </c>
      <c r="F1811" s="390" t="inlineStr">
        <is>
          <t>Data Explorer</t>
        </is>
      </c>
      <c r="G1811" s="390" t="inlineStr">
        <is>
          <t>Chỉ tiêu cơ sở</t>
        </is>
      </c>
      <c r="H1811" s="390" t="inlineStr">
        <is>
          <t>Dễ</t>
        </is>
      </c>
      <c r="I1811" s="390" t="inlineStr">
        <is>
          <t>Ngày, CTCK</t>
        </is>
      </c>
      <c r="J1811" s="401" t="inlineStr">
        <is>
          <t>SCMS</t>
        </is>
      </c>
      <c r="K1811" s="401" t="n"/>
      <c r="L1811" s="401" t="inlineStr">
        <is>
          <t>X</t>
        </is>
      </c>
      <c r="M1811" s="401" t="n"/>
      <c r="N1811" s="401" t="inlineStr">
        <is>
          <t>Done</t>
        </is>
      </c>
      <c r="O1811" s="401" t="n"/>
      <c r="P1811" s="22" t="n"/>
      <c r="Q1811" s="431" t="inlineStr">
        <is>
          <t>SCMS.BC_THANH_VIEN
SCMS.BM_BAO_CAO
SCMS.BC_BAO_CAO_GT
SCMS.BM_BAO_CAO_HANG
SCMS.BM_BAO_CAO_COT</t>
        </is>
      </c>
      <c r="R1811" s="431" t="inlineStr">
        <is>
          <t>bsc.TEN_COT,
bsc.BM_SHEET_ID,
bsh.ID,
bsh.MA_HANG,
gt.GIA_TRI,
gt.BC_THANH_VIEN_ID,
gt.BM_SHEET_HANG_ID,
bm.ID,
bm.MA_BAO_CAO,
btv.ID,
btv.BM_BAO_CAO_ID,
btv.TRANG_THAI,
btv.NGAY_SO_LIEU</t>
        </is>
      </c>
      <c r="S1811" s="22" t="n"/>
      <c r="T1811" s="432" t="inlineStr">
        <is>
          <t>-- CHỈ TIÊU
SELECT
    MAX(CASE WHEN bsc.TEN_COT=N'Người đại diện KT' THEN CAST(gt.GIA_TRI AS VARCHAR2(4000)) END) AS "Người đại diện KT",
    MAX(CASE WHEN bsc.TEN_COT=N'Chức vụ' THEN CAST(gt.GIA_TRI AS VARCHAR2(4000)) END) AS "Chức vụ",
    MAX(CASE WHEN bsc.TEN_COT=N'Giấy chứng nhận' AND bsc.MA_COT = '3' THEN CAST(gt.GIA_TRI AS VARCHAR2(4000)) END) AS "Giấy chứng nhận đại diện KT",
    MAX(CASE WHEN bsc.TEN_COT=N'Người kiểm toán' THEN CAST(gt.GIA_TRI AS VARCHAR2(4000)) END) AS "Người kiểm toán",
    MAX(CASE WHEN bsc.TEN_COT=N'Giấy chứng nhận' AND bsc.MA_COT = '5' THEN CAST(gt.GIA_TRI AS VARCHAR2(4000)) END) AS "Giấy chứng nhận người KT",
    MAX(CASE WHEN bsc.TEN_COT=N'Ngày kiểm toán' AND bsc.MA_COT = '6' THEN CAST(gt.GIA_TRI AS VARCHAR2(4000)) END) AS "Ngày kiểm toán từ",
    MAX(CASE WHEN bsc.TEN_COT=N'Ngày kiểm toán' AND bsc.MA_COT = '7' THEN CAST(gt.GIA_TRI AS VARCHAR2(4000)) END) AS "Ngày kiểm toán đến",
    MAX(CASE WHEN bsc.TEN_COT=N'Ý kiến kiểm toán' THEN CAST(gt.GIA_TRI AS VARCHAR2(4000)) END) AS "Ý kiến kiểm toán"
FROM SCMS.BC_THANH_VIEN btv
JOIN SCMS.BM_BAO_CAO bm ON bm.ID = btv.BM_BAO_CAO_ID
JOIN SCMS.BC_BAO_CAO_GT gt ON gt.BC_THANH_VIEN_ID = btv.ID
JOIN SCMS.BM_BAO_CAO_COT bsc ON bsc.BM_SHEET_ID = 5892
--                               AND bsc.TEN_COT = gt.TEN_COT
WHERE bm.MA_BAO_CAO LIKE 'BCTCRLCTCK'
  AND btv.TRANG_THAI IN (2, 3)
GROUP BY btv.ID, btv.NGAY_SO_LIEU
ORDER BY btv.NGAY_SO_LIEU DESC;</t>
        </is>
      </c>
      <c r="V1811" s="22" t="n"/>
      <c r="W1811" s="22" t="n"/>
      <c r="X1811" s="22" t="n"/>
      <c r="Y1811" s="13" t="n"/>
      <c r="Z1811" s="22" t="n"/>
      <c r="AA1811" s="22" t="n"/>
      <c r="AB1811" s="22" t="n"/>
      <c r="AC1811" s="22" t="n"/>
      <c r="AD1811" s="22" t="n"/>
      <c r="AE1811" s="22" t="n"/>
    </row>
    <row r="1812" ht="56" customHeight="1" s="380">
      <c r="A1812" s="126" t="n">
        <v>92</v>
      </c>
      <c r="B1812" s="390" t="n"/>
      <c r="C1812" s="390" t="inlineStr">
        <is>
          <t>Báo cáo theo Thông tư 121/2020/TT-BTC &gt;&gt; Báo báo tài chính &gt;&gt; Thông tin kiểm toán</t>
        </is>
      </c>
      <c r="D1812" s="390" t="inlineStr">
        <is>
          <t>Chức vụ</t>
        </is>
      </c>
      <c r="E1812" s="401" t="inlineStr">
        <is>
          <t>Chức vụ</t>
        </is>
      </c>
      <c r="F1812" s="390" t="inlineStr">
        <is>
          <t>Data Explorer</t>
        </is>
      </c>
      <c r="G1812" s="390" t="inlineStr">
        <is>
          <t>Chỉ tiêu cơ sở</t>
        </is>
      </c>
      <c r="H1812" s="390" t="inlineStr">
        <is>
          <t>Dễ</t>
        </is>
      </c>
      <c r="I1812" s="390" t="inlineStr">
        <is>
          <t>Ngày, CTCK</t>
        </is>
      </c>
      <c r="J1812" s="401" t="inlineStr">
        <is>
          <t>SCMS</t>
        </is>
      </c>
      <c r="K1812" s="401" t="n"/>
      <c r="L1812" s="401" t="inlineStr">
        <is>
          <t>X</t>
        </is>
      </c>
      <c r="M1812" s="401" t="n"/>
      <c r="N1812" s="401" t="inlineStr">
        <is>
          <t>Done</t>
        </is>
      </c>
      <c r="O1812" s="401" t="n"/>
      <c r="P1812" s="22" t="n"/>
      <c r="S1812" s="22" t="n"/>
      <c r="U1812" s="16" t="n"/>
      <c r="V1812" s="22" t="n"/>
      <c r="W1812" s="22" t="n"/>
      <c r="X1812" s="22" t="n"/>
      <c r="Y1812" s="13" t="n"/>
      <c r="Z1812" s="22" t="n"/>
      <c r="AA1812" s="22" t="n"/>
      <c r="AB1812" s="22" t="n"/>
      <c r="AC1812" s="22" t="n"/>
      <c r="AD1812" s="22" t="n"/>
      <c r="AE1812" s="22" t="n"/>
    </row>
    <row r="1813" ht="56" customHeight="1" s="380">
      <c r="A1813" s="126" t="n">
        <v>92</v>
      </c>
      <c r="B1813" s="390" t="n"/>
      <c r="C1813" s="390" t="inlineStr">
        <is>
          <t>Báo cáo theo Thông tư 121/2020/TT-BTC &gt;&gt; Báo báo tài chính &gt;&gt; Thông tin kiểm toán</t>
        </is>
      </c>
      <c r="D1813" s="390" t="inlineStr">
        <is>
          <t>Giấy chứng nhận</t>
        </is>
      </c>
      <c r="E1813" s="401" t="inlineStr">
        <is>
          <t>Giấy chứng nhận</t>
        </is>
      </c>
      <c r="F1813" s="390" t="inlineStr">
        <is>
          <t>Data Explorer</t>
        </is>
      </c>
      <c r="G1813" s="390" t="inlineStr">
        <is>
          <t>Chỉ tiêu cơ sở</t>
        </is>
      </c>
      <c r="H1813" s="390" t="inlineStr">
        <is>
          <t>Dễ</t>
        </is>
      </c>
      <c r="I1813" s="390" t="inlineStr">
        <is>
          <t>Ngày, CTCK</t>
        </is>
      </c>
      <c r="J1813" s="401" t="inlineStr">
        <is>
          <t>SCMS</t>
        </is>
      </c>
      <c r="K1813" s="401" t="n"/>
      <c r="L1813" s="401" t="inlineStr">
        <is>
          <t>X</t>
        </is>
      </c>
      <c r="M1813" s="401" t="n"/>
      <c r="N1813" s="401" t="inlineStr">
        <is>
          <t>Done</t>
        </is>
      </c>
      <c r="O1813" s="401" t="n"/>
      <c r="P1813" s="22" t="n"/>
      <c r="S1813" s="22" t="n"/>
      <c r="U1813" s="16" t="n"/>
      <c r="V1813" s="22" t="n"/>
      <c r="W1813" s="22" t="n"/>
      <c r="X1813" s="22" t="n"/>
      <c r="Y1813" s="38" t="n"/>
      <c r="Z1813" s="22" t="n"/>
      <c r="AA1813" s="22" t="n"/>
      <c r="AB1813" s="22" t="n"/>
      <c r="AC1813" s="22" t="n"/>
      <c r="AD1813" s="22" t="n"/>
      <c r="AE1813" s="22" t="n"/>
    </row>
    <row r="1814" ht="56" customHeight="1" s="380">
      <c r="A1814" s="126" t="n">
        <v>92</v>
      </c>
      <c r="B1814" s="390" t="n"/>
      <c r="C1814" s="390" t="inlineStr">
        <is>
          <t>Báo cáo theo Thông tư 121/2020/TT-BTC &gt;&gt; Báo báo tài chính &gt;&gt; Thông tin kiểm toán</t>
        </is>
      </c>
      <c r="D1814" s="390" t="inlineStr">
        <is>
          <t>Người kiểm toán</t>
        </is>
      </c>
      <c r="E1814" s="401" t="inlineStr">
        <is>
          <t>Người kiểm toán</t>
        </is>
      </c>
      <c r="F1814" s="390" t="inlineStr">
        <is>
          <t>Data Explorer</t>
        </is>
      </c>
      <c r="G1814" s="390" t="inlineStr">
        <is>
          <t>Chỉ tiêu cơ sở</t>
        </is>
      </c>
      <c r="H1814" s="390" t="inlineStr">
        <is>
          <t>Dễ</t>
        </is>
      </c>
      <c r="I1814" s="390" t="inlineStr">
        <is>
          <t>Ngày, CTCK</t>
        </is>
      </c>
      <c r="J1814" s="401" t="inlineStr">
        <is>
          <t>SCMS</t>
        </is>
      </c>
      <c r="K1814" s="401" t="n"/>
      <c r="L1814" s="401" t="inlineStr">
        <is>
          <t>X</t>
        </is>
      </c>
      <c r="M1814" s="401" t="n"/>
      <c r="N1814" s="401" t="inlineStr">
        <is>
          <t>Done</t>
        </is>
      </c>
      <c r="O1814" s="401" t="n"/>
      <c r="P1814" s="22" t="n"/>
      <c r="S1814" s="22" t="n"/>
      <c r="U1814" s="16" t="n"/>
      <c r="V1814" s="22" t="n"/>
      <c r="W1814" s="22" t="n"/>
      <c r="X1814" s="22" t="n"/>
      <c r="Y1814" s="13" t="n"/>
      <c r="Z1814" s="22" t="n"/>
      <c r="AA1814" s="22" t="n"/>
      <c r="AB1814" s="22" t="n"/>
      <c r="AC1814" s="22" t="n"/>
      <c r="AD1814" s="22" t="n"/>
      <c r="AE1814" s="22" t="n"/>
    </row>
    <row r="1815" ht="56" customHeight="1" s="380">
      <c r="A1815" s="126" t="n">
        <v>92</v>
      </c>
      <c r="B1815" s="390" t="n"/>
      <c r="C1815" s="390" t="inlineStr">
        <is>
          <t>Báo cáo theo Thông tư 121/2020/TT-BTC &gt;&gt; Báo báo tài chính &gt;&gt; Thông tin kiểm toán</t>
        </is>
      </c>
      <c r="D1815" s="390" t="inlineStr">
        <is>
          <t>Giấy chứng nhận</t>
        </is>
      </c>
      <c r="E1815" s="401" t="inlineStr">
        <is>
          <t>Giấy chứng nhận</t>
        </is>
      </c>
      <c r="F1815" s="390" t="inlineStr">
        <is>
          <t>Data Explorer</t>
        </is>
      </c>
      <c r="G1815" s="390" t="inlineStr">
        <is>
          <t>Chỉ tiêu cơ sở</t>
        </is>
      </c>
      <c r="H1815" s="390" t="inlineStr">
        <is>
          <t>Dễ</t>
        </is>
      </c>
      <c r="I1815" s="390" t="inlineStr">
        <is>
          <t>Ngày, CTCK</t>
        </is>
      </c>
      <c r="J1815" s="401" t="inlineStr">
        <is>
          <t>SCMS</t>
        </is>
      </c>
      <c r="K1815" s="401" t="n"/>
      <c r="L1815" s="401" t="inlineStr">
        <is>
          <t>X</t>
        </is>
      </c>
      <c r="M1815" s="401" t="n"/>
      <c r="N1815" s="401" t="inlineStr">
        <is>
          <t>Done</t>
        </is>
      </c>
      <c r="O1815" s="401" t="n"/>
      <c r="P1815" s="22" t="n"/>
      <c r="S1815" s="22" t="n"/>
      <c r="U1815" s="16" t="n"/>
      <c r="V1815" s="22" t="n"/>
      <c r="W1815" s="22" t="n"/>
      <c r="X1815" s="22" t="n"/>
      <c r="Y1815" s="13" t="n"/>
      <c r="Z1815" s="22" t="n"/>
      <c r="AA1815" s="22" t="n"/>
      <c r="AB1815" s="22" t="n"/>
      <c r="AC1815" s="22" t="n"/>
      <c r="AD1815" s="22" t="n"/>
      <c r="AE1815" s="22" t="n"/>
    </row>
    <row r="1816" ht="56" customHeight="1" s="380">
      <c r="A1816" s="126" t="n">
        <v>92</v>
      </c>
      <c r="B1816" s="390" t="n"/>
      <c r="C1816" s="390" t="inlineStr">
        <is>
          <t>Báo cáo theo Thông tư 121/2020/TT-BTC &gt;&gt; Báo báo tài chính &gt;&gt; Thông tin kiểm toán</t>
        </is>
      </c>
      <c r="D1816" s="390" t="inlineStr">
        <is>
          <t>Ngày kiểm toán</t>
        </is>
      </c>
      <c r="E1816" s="401" t="inlineStr">
        <is>
          <t>Ngày kiểm toán</t>
        </is>
      </c>
      <c r="F1816" s="390" t="inlineStr">
        <is>
          <t>Data Explorer</t>
        </is>
      </c>
      <c r="G1816" s="390" t="inlineStr">
        <is>
          <t>Chỉ tiêu cơ sở</t>
        </is>
      </c>
      <c r="H1816" s="390" t="inlineStr">
        <is>
          <t>Dễ</t>
        </is>
      </c>
      <c r="I1816" s="390" t="inlineStr">
        <is>
          <t>Ngày, CTCK</t>
        </is>
      </c>
      <c r="J1816" s="401" t="inlineStr">
        <is>
          <t>SCMS</t>
        </is>
      </c>
      <c r="K1816" s="401" t="n"/>
      <c r="L1816" s="401" t="inlineStr">
        <is>
          <t>X</t>
        </is>
      </c>
      <c r="M1816" s="401" t="n"/>
      <c r="N1816" s="401" t="inlineStr">
        <is>
          <t>Done</t>
        </is>
      </c>
      <c r="O1816" s="401" t="n"/>
      <c r="P1816" s="22" t="n"/>
      <c r="S1816" s="22" t="n"/>
      <c r="U1816" s="16" t="n"/>
      <c r="V1816" s="22" t="n"/>
      <c r="W1816" s="22" t="n"/>
      <c r="X1816" s="22" t="n"/>
      <c r="Y1816" s="13" t="n"/>
      <c r="Z1816" s="22" t="n"/>
      <c r="AA1816" s="22" t="n"/>
      <c r="AB1816" s="22" t="n"/>
      <c r="AC1816" s="22" t="n"/>
      <c r="AD1816" s="22" t="n"/>
      <c r="AE1816" s="22" t="n"/>
    </row>
    <row r="1817" ht="56" customHeight="1" s="380">
      <c r="A1817" s="126" t="n">
        <v>92</v>
      </c>
      <c r="B1817" s="390" t="n"/>
      <c r="C1817" s="390" t="inlineStr">
        <is>
          <t>Báo cáo theo Thông tư 121/2020/TT-BTC &gt;&gt; Báo báo tài chính &gt;&gt; Thông tin kiểm toán</t>
        </is>
      </c>
      <c r="D1817" s="390" t="inlineStr">
        <is>
          <t>Ngày kiểm toán</t>
        </is>
      </c>
      <c r="E1817" s="401" t="inlineStr">
        <is>
          <t>Ngày kiểm toán</t>
        </is>
      </c>
      <c r="F1817" s="390" t="inlineStr">
        <is>
          <t>Data Explorer</t>
        </is>
      </c>
      <c r="G1817" s="390" t="inlineStr">
        <is>
          <t>Chỉ tiêu cơ sở</t>
        </is>
      </c>
      <c r="H1817" s="390" t="inlineStr">
        <is>
          <t>Dễ</t>
        </is>
      </c>
      <c r="I1817" s="390" t="inlineStr">
        <is>
          <t>Ngày, CTCK</t>
        </is>
      </c>
      <c r="J1817" s="401" t="inlineStr">
        <is>
          <t>SCMS</t>
        </is>
      </c>
      <c r="K1817" s="401" t="n"/>
      <c r="L1817" s="401" t="inlineStr">
        <is>
          <t>X</t>
        </is>
      </c>
      <c r="M1817" s="401" t="n"/>
      <c r="N1817" s="401" t="inlineStr">
        <is>
          <t>Done</t>
        </is>
      </c>
      <c r="O1817" s="401" t="n"/>
      <c r="P1817" s="22" t="n"/>
      <c r="S1817" s="22" t="n"/>
      <c r="U1817" s="16" t="n"/>
      <c r="V1817" s="22" t="n"/>
      <c r="W1817" s="22" t="n"/>
      <c r="X1817" s="22" t="n"/>
      <c r="Y1817" s="13" t="n"/>
      <c r="Z1817" s="22" t="n"/>
      <c r="AA1817" s="22" t="n"/>
      <c r="AB1817" s="22" t="n"/>
      <c r="AC1817" s="22" t="n"/>
      <c r="AD1817" s="22" t="n"/>
      <c r="AE1817" s="22" t="n"/>
    </row>
    <row r="1818" ht="56" customHeight="1" s="380">
      <c r="A1818" s="128" t="n">
        <v>92</v>
      </c>
      <c r="B1818" s="129" t="n"/>
      <c r="C1818" s="129" t="inlineStr">
        <is>
          <t>Báo cáo theo Thông tư 121/2020/TT-BTC &gt;&gt; Báo báo tài chính &gt;&gt; Thông tin kiểm toán</t>
        </is>
      </c>
      <c r="D1818" s="129" t="inlineStr">
        <is>
          <t>Ý kiến kiểm toán</t>
        </is>
      </c>
      <c r="E1818" s="85" t="inlineStr">
        <is>
          <t>Ý kiến kiểm toán</t>
        </is>
      </c>
      <c r="F1818" s="129" t="inlineStr">
        <is>
          <t>Data Explorer</t>
        </is>
      </c>
      <c r="G1818" s="129" t="inlineStr">
        <is>
          <t>Chỉ tiêu cơ sở</t>
        </is>
      </c>
      <c r="H1818" s="129" t="inlineStr">
        <is>
          <t>Dễ</t>
        </is>
      </c>
      <c r="I1818" s="129" t="inlineStr">
        <is>
          <t>Ngày, CTCK</t>
        </is>
      </c>
      <c r="J1818" s="85" t="inlineStr">
        <is>
          <t>SCMS</t>
        </is>
      </c>
      <c r="K1818" s="85" t="n"/>
      <c r="L1818" s="85" t="inlineStr">
        <is>
          <t>X</t>
        </is>
      </c>
      <c r="M1818" s="85" t="n"/>
      <c r="N1818" s="85" t="inlineStr">
        <is>
          <t>Done</t>
        </is>
      </c>
      <c r="O1818" s="85" t="n"/>
      <c r="P1818" s="130" t="n"/>
      <c r="Q1818" s="426" t="n"/>
      <c r="R1818" s="426" t="n"/>
      <c r="S1818" s="130" t="n"/>
      <c r="T1818" s="426" t="n"/>
      <c r="U1818" s="131" t="n"/>
      <c r="V1818" s="130" t="n"/>
      <c r="W1818" s="130" t="n"/>
      <c r="X1818" s="130" t="n"/>
      <c r="Y1818" s="97" t="n"/>
      <c r="Z1818" s="130" t="n"/>
      <c r="AA1818" s="130" t="n"/>
      <c r="AB1818" s="130" t="n"/>
      <c r="AC1818" s="130" t="n"/>
      <c r="AD1818" s="130" t="n"/>
      <c r="AE1818" s="130" t="n"/>
    </row>
    <row r="1819" ht="56" customHeight="1" s="380">
      <c r="A1819" s="126" t="n">
        <v>93</v>
      </c>
      <c r="B1819" s="122" t="inlineStr">
        <is>
          <t>Nga</t>
        </is>
      </c>
      <c r="C1819" s="127" t="inlineStr">
        <is>
          <t>Báo cáo theo Thông tư 121/2020/TT-BTC &gt;&gt; Báo báo tài chính &gt;&gt; Báo cáo tình hình tài chính riêng</t>
        </is>
      </c>
      <c r="D1819" s="106" t="inlineStr">
        <is>
          <t>Loại báo cáo</t>
        </is>
      </c>
      <c r="E1819" s="107" t="inlineStr">
        <is>
          <t>Loại báo cáo</t>
        </is>
      </c>
      <c r="F1819" s="390" t="inlineStr">
        <is>
          <t>Data Explorer</t>
        </is>
      </c>
      <c r="G1819" s="390" t="inlineStr">
        <is>
          <t>Chiều</t>
        </is>
      </c>
      <c r="H1819" s="390" t="inlineStr">
        <is>
          <t>Dễ</t>
        </is>
      </c>
      <c r="I1819" s="390" t="inlineStr">
        <is>
          <t>Ngày, CTCK</t>
        </is>
      </c>
      <c r="J1819" s="401" t="inlineStr">
        <is>
          <t>SCMS</t>
        </is>
      </c>
      <c r="K1819" s="401" t="inlineStr">
        <is>
          <t>X</t>
        </is>
      </c>
      <c r="L1819" s="401" t="inlineStr">
        <is>
          <t>X</t>
        </is>
      </c>
      <c r="M1819" s="401" t="n"/>
      <c r="N1819" s="401" t="inlineStr">
        <is>
          <t>Done</t>
        </is>
      </c>
      <c r="O1819" s="401" t="n"/>
      <c r="P1819" s="22" t="n"/>
      <c r="Q1819" s="404" t="inlineStr">
        <is>
          <t>SCMS.BM_BAO_CAO
SCMS.BM_BAO_CAO_DINH_KY</t>
        </is>
      </c>
      <c r="R1819" s="404" t="inlineStr">
        <is>
          <t>bm.ID,
bm.MA_BAO_CAO,
bm.LOAI_BAO_CAO,
bm.TEN_BAO_CAO,
bm.SU_DUNG,
bdk.BM_BAO_CAO_ID,
bdk.KY_BAO_CAO,
bdk.SU_DUNG</t>
        </is>
      </c>
      <c r="S1819" s="22" t="n"/>
      <c r="T1819" s="389"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U1819" s="16" t="n"/>
      <c r="V1819" s="22" t="n"/>
      <c r="W1819" s="22" t="n"/>
      <c r="X1819" s="22" t="n"/>
      <c r="Y1819" s="13" t="n"/>
      <c r="Z1819" s="22" t="n"/>
      <c r="AA1819" s="22" t="n"/>
      <c r="AB1819" s="22" t="n"/>
      <c r="AC1819" s="22" t="n"/>
      <c r="AD1819" s="22" t="n"/>
      <c r="AE1819" s="22" t="n"/>
    </row>
    <row r="1820" ht="56" customHeight="1" s="380">
      <c r="A1820" s="126" t="n">
        <v>93</v>
      </c>
      <c r="B1820" s="390" t="n"/>
      <c r="C1820" s="390" t="inlineStr">
        <is>
          <t>Báo cáo theo Thông tư 121/2020/TT-BTC &gt;&gt; Báo báo tài chính &gt;&gt; Báo cáo tình hình tài chính riêng</t>
        </is>
      </c>
      <c r="D1820" s="106" t="inlineStr">
        <is>
          <t>Kỳ báo cáo</t>
        </is>
      </c>
      <c r="E1820" s="107" t="inlineStr">
        <is>
          <t>Kỳ báo cáo</t>
        </is>
      </c>
      <c r="F1820" s="390" t="inlineStr">
        <is>
          <t>Data Explorer</t>
        </is>
      </c>
      <c r="G1820" s="390" t="inlineStr">
        <is>
          <t>Chiều</t>
        </is>
      </c>
      <c r="H1820" s="390" t="inlineStr">
        <is>
          <t>Dễ</t>
        </is>
      </c>
      <c r="I1820" s="390" t="inlineStr">
        <is>
          <t>Ngày, CTCK</t>
        </is>
      </c>
      <c r="J1820" s="401" t="inlineStr">
        <is>
          <t>SCMS</t>
        </is>
      </c>
      <c r="K1820" s="401" t="inlineStr">
        <is>
          <t>X</t>
        </is>
      </c>
      <c r="L1820" s="401" t="inlineStr">
        <is>
          <t>X</t>
        </is>
      </c>
      <c r="M1820" s="401" t="n"/>
      <c r="N1820" s="401" t="inlineStr">
        <is>
          <t>Done</t>
        </is>
      </c>
      <c r="O1820" s="401" t="n"/>
      <c r="P1820" s="22" t="n"/>
      <c r="S1820" s="22" t="n"/>
      <c r="U1820" s="16" t="n"/>
      <c r="V1820" s="22" t="n"/>
      <c r="W1820" s="22" t="n"/>
      <c r="X1820" s="22" t="n"/>
      <c r="Y1820" s="38" t="n"/>
      <c r="Z1820" s="22" t="n"/>
      <c r="AA1820" s="22" t="n"/>
      <c r="AB1820" s="22" t="n"/>
      <c r="AC1820" s="22" t="n"/>
      <c r="AD1820" s="22" t="n"/>
      <c r="AE1820" s="22" t="n"/>
    </row>
    <row r="1821" ht="56" customHeight="1" s="380">
      <c r="A1821" s="126" t="n">
        <v>93</v>
      </c>
      <c r="B1821" s="390" t="n"/>
      <c r="C1821" s="390" t="inlineStr">
        <is>
          <t>Báo cáo theo Thông tư 121/2020/TT-BTC &gt;&gt; Báo báo tài chính &gt;&gt; Báo cáo tình hình tài chính riêng</t>
        </is>
      </c>
      <c r="D1821" s="106" t="inlineStr">
        <is>
          <t>Mã báo cáo</t>
        </is>
      </c>
      <c r="E1821" s="107" t="inlineStr">
        <is>
          <t>Mã báo cáo</t>
        </is>
      </c>
      <c r="F1821" s="390" t="inlineStr">
        <is>
          <t>Data Explorer</t>
        </is>
      </c>
      <c r="G1821" s="390" t="inlineStr">
        <is>
          <t>Chiều</t>
        </is>
      </c>
      <c r="H1821" s="390" t="inlineStr">
        <is>
          <t>Dễ</t>
        </is>
      </c>
      <c r="I1821" s="390" t="inlineStr">
        <is>
          <t>Ngày, CTCK</t>
        </is>
      </c>
      <c r="J1821" s="401" t="inlineStr">
        <is>
          <t>SCMS</t>
        </is>
      </c>
      <c r="K1821" s="401" t="inlineStr">
        <is>
          <t>X</t>
        </is>
      </c>
      <c r="L1821" s="401" t="inlineStr">
        <is>
          <t>X</t>
        </is>
      </c>
      <c r="M1821" s="401" t="n"/>
      <c r="N1821" s="401" t="inlineStr">
        <is>
          <t>Done</t>
        </is>
      </c>
      <c r="O1821" s="401" t="n"/>
      <c r="P1821" s="22" t="n"/>
      <c r="S1821" s="22" t="n"/>
      <c r="U1821" s="16" t="n"/>
      <c r="V1821" s="22" t="n"/>
      <c r="W1821" s="22" t="n"/>
      <c r="X1821" s="22" t="n"/>
      <c r="Y1821" s="13" t="n"/>
      <c r="Z1821" s="22" t="n"/>
      <c r="AA1821" s="22" t="n"/>
      <c r="AB1821" s="22" t="n"/>
      <c r="AC1821" s="22" t="n"/>
      <c r="AD1821" s="22" t="n"/>
      <c r="AE1821" s="22" t="n"/>
    </row>
    <row r="1822" ht="56" customHeight="1" s="380">
      <c r="A1822" s="126" t="n">
        <v>93</v>
      </c>
      <c r="B1822" s="390" t="n"/>
      <c r="C1822" s="390" t="inlineStr">
        <is>
          <t>Báo cáo theo Thông tư 121/2020/TT-BTC &gt;&gt; Báo báo tài chính &gt;&gt; Báo cáo tình hình tài chính riêng</t>
        </is>
      </c>
      <c r="D1822" s="106" t="inlineStr">
        <is>
          <t>Tên báo cáo</t>
        </is>
      </c>
      <c r="E1822" s="107" t="inlineStr">
        <is>
          <t>Tên báo cáo</t>
        </is>
      </c>
      <c r="F1822" s="390" t="inlineStr">
        <is>
          <t>Data Explorer</t>
        </is>
      </c>
      <c r="G1822" s="390" t="inlineStr">
        <is>
          <t>Chiều</t>
        </is>
      </c>
      <c r="H1822" s="390" t="inlineStr">
        <is>
          <t>Dễ</t>
        </is>
      </c>
      <c r="I1822" s="390" t="inlineStr">
        <is>
          <t>Ngày, CTCK</t>
        </is>
      </c>
      <c r="J1822" s="401" t="inlineStr">
        <is>
          <t>SCMS</t>
        </is>
      </c>
      <c r="K1822" s="401" t="inlineStr">
        <is>
          <t>X</t>
        </is>
      </c>
      <c r="L1822" s="401" t="inlineStr">
        <is>
          <t>X</t>
        </is>
      </c>
      <c r="M1822" s="401" t="n"/>
      <c r="N1822" s="401" t="inlineStr">
        <is>
          <t>Done</t>
        </is>
      </c>
      <c r="O1822" s="401" t="n"/>
      <c r="P1822" s="22" t="n"/>
      <c r="S1822" s="22" t="n"/>
      <c r="U1822" s="16" t="n"/>
      <c r="V1822" s="22" t="n"/>
      <c r="W1822" s="22" t="n"/>
      <c r="X1822" s="22" t="n"/>
      <c r="Y1822" s="13" t="n"/>
      <c r="Z1822" s="22" t="n"/>
      <c r="AA1822" s="22" t="n"/>
      <c r="AB1822" s="22" t="n"/>
      <c r="AC1822" s="22" t="n"/>
      <c r="AD1822" s="22" t="n"/>
      <c r="AE1822" s="22" t="n"/>
    </row>
    <row r="1823" ht="56" customHeight="1" s="380">
      <c r="A1823" s="126" t="n">
        <v>93</v>
      </c>
      <c r="B1823" s="390" t="n"/>
      <c r="C1823" s="390" t="inlineStr">
        <is>
          <t>Báo cáo theo Thông tư 121/2020/TT-BTC &gt;&gt; Báo báo tài chính &gt;&gt; Báo cáo tình hình tài chính riêng</t>
        </is>
      </c>
      <c r="D1823" s="106" t="inlineStr">
        <is>
          <t>Mã sheet</t>
        </is>
      </c>
      <c r="E1823" s="106" t="inlineStr">
        <is>
          <t>Mã sheet</t>
        </is>
      </c>
      <c r="F1823" s="390" t="inlineStr">
        <is>
          <t>Data Explorer</t>
        </is>
      </c>
      <c r="G1823" s="390" t="inlineStr">
        <is>
          <t>Chiều</t>
        </is>
      </c>
      <c r="H1823" s="390" t="inlineStr">
        <is>
          <t>Dễ</t>
        </is>
      </c>
      <c r="I1823" s="390" t="inlineStr">
        <is>
          <t>Ngày, CTCK</t>
        </is>
      </c>
      <c r="J1823" s="401" t="inlineStr">
        <is>
          <t>SCMS</t>
        </is>
      </c>
      <c r="K1823" s="401" t="inlineStr">
        <is>
          <t>X</t>
        </is>
      </c>
      <c r="L1823" s="401" t="inlineStr">
        <is>
          <t>X</t>
        </is>
      </c>
      <c r="M1823" s="401" t="n"/>
      <c r="N1823" s="401" t="inlineStr">
        <is>
          <t>Done</t>
        </is>
      </c>
      <c r="O1823" s="401" t="n"/>
      <c r="P1823" s="22" t="n"/>
      <c r="Q1823" s="401" t="inlineStr">
        <is>
          <t>SCMS.BM_BAO_CAO
SCMS.BM_SHEET</t>
        </is>
      </c>
      <c r="R1823" s="401" t="inlineStr">
        <is>
          <t>bm.ID,
bm.MA_BAO_CAO,
bm.SU_DUNG,
s.BM_BAO_CAO_ID,
s.MA_SHEET,
s.TEN_SHEET,
s.SAP_XEP</t>
        </is>
      </c>
      <c r="S1823" s="22" t="n"/>
      <c r="T1823" s="389" t="inlineStr">
        <is>
          <t>-- Mã sheet / Tên sheet
-- TEN_SHEET: BCTCR
SELECT bm.MA_BAO_CAO,
s.MA_SHEET,
s.TEN_SHEET
FROM SCMS.BM_BAO_CAO bm
JOIN SCMS.BM_SHEET s ON s.BM_BAO_CAO_ID = bm.ID
WHERE bm.MA_BAO_CAO LIKE 'BCTCRLCTCK'
AND s.TEN_SHEET = 'BCTCR'  -- Check lại
AND bm.SU_DUNG = 1
ORDER BY bm.MA_BAO_CAO, s.SAP_XEP;</t>
        </is>
      </c>
      <c r="U1823" s="16" t="n"/>
      <c r="V1823" s="22" t="n"/>
      <c r="W1823" s="22" t="n"/>
      <c r="X1823" s="22" t="n"/>
      <c r="Y1823" s="13" t="n"/>
      <c r="Z1823" s="22" t="n"/>
      <c r="AA1823" s="22" t="n"/>
      <c r="AB1823" s="22" t="n"/>
      <c r="AC1823" s="22" t="n"/>
      <c r="AD1823" s="22" t="n"/>
      <c r="AE1823" s="22" t="n"/>
    </row>
    <row r="1824" ht="56" customHeight="1" s="380">
      <c r="A1824" s="126" t="n">
        <v>93</v>
      </c>
      <c r="B1824" s="390" t="n"/>
      <c r="C1824" s="390" t="inlineStr">
        <is>
          <t>Báo cáo theo Thông tư 121/2020/TT-BTC &gt;&gt; Báo báo tài chính &gt;&gt; Báo cáo tình hình tài chính riêng</t>
        </is>
      </c>
      <c r="D1824" s="106" t="inlineStr">
        <is>
          <t>Tên sheet</t>
        </is>
      </c>
      <c r="E1824" s="106" t="inlineStr">
        <is>
          <t>Tên sheet</t>
        </is>
      </c>
      <c r="F1824" s="390" t="inlineStr">
        <is>
          <t>Data Explorer</t>
        </is>
      </c>
      <c r="G1824" s="390" t="inlineStr">
        <is>
          <t>Chiều</t>
        </is>
      </c>
      <c r="H1824" s="390" t="inlineStr">
        <is>
          <t>Dễ</t>
        </is>
      </c>
      <c r="I1824" s="390" t="inlineStr">
        <is>
          <t>Ngày, CTCK</t>
        </is>
      </c>
      <c r="J1824" s="401" t="inlineStr">
        <is>
          <t>SCMS</t>
        </is>
      </c>
      <c r="K1824" s="401" t="inlineStr">
        <is>
          <t>X</t>
        </is>
      </c>
      <c r="L1824" s="401" t="inlineStr">
        <is>
          <t>X</t>
        </is>
      </c>
      <c r="M1824" s="401" t="n"/>
      <c r="N1824" s="401" t="inlineStr">
        <is>
          <t>Done</t>
        </is>
      </c>
      <c r="O1824" s="401" t="n"/>
      <c r="P1824" s="22" t="n"/>
      <c r="S1824" s="22" t="n"/>
      <c r="U1824" s="16" t="n"/>
      <c r="V1824" s="22" t="n"/>
      <c r="W1824" s="22" t="n"/>
      <c r="X1824" s="22" t="n"/>
      <c r="Y1824" s="13" t="n"/>
      <c r="Z1824" s="22" t="n"/>
      <c r="AA1824" s="22" t="n"/>
      <c r="AB1824" s="22" t="n"/>
      <c r="AC1824" s="22" t="n"/>
      <c r="AD1824" s="22" t="n"/>
      <c r="AE1824" s="22" t="n"/>
    </row>
    <row r="1825" ht="56" customHeight="1" s="380">
      <c r="A1825" s="126" t="n">
        <v>93</v>
      </c>
      <c r="B1825" s="390" t="n"/>
      <c r="C1825" s="390" t="inlineStr">
        <is>
          <t>Báo cáo theo Thông tư 121/2020/TT-BTC &gt;&gt; Báo báo tài chính &gt;&gt; Báo cáo tình hình tài chính riêng</t>
        </is>
      </c>
      <c r="D1825" s="106" t="inlineStr">
        <is>
          <t>Mã chỉ tiêu</t>
        </is>
      </c>
      <c r="E1825" s="107" t="inlineStr">
        <is>
          <t>Mã chỉ tiêu</t>
        </is>
      </c>
      <c r="F1825" s="390" t="inlineStr">
        <is>
          <t>Data Explorer</t>
        </is>
      </c>
      <c r="G1825" s="390" t="inlineStr">
        <is>
          <t>Chiều</t>
        </is>
      </c>
      <c r="H1825" s="390" t="inlineStr">
        <is>
          <t>Dễ</t>
        </is>
      </c>
      <c r="I1825" s="390" t="inlineStr">
        <is>
          <t>Ngày, CTCK</t>
        </is>
      </c>
      <c r="J1825" s="401" t="inlineStr">
        <is>
          <t>SCMS</t>
        </is>
      </c>
      <c r="K1825" s="401" t="inlineStr">
        <is>
          <t>X</t>
        </is>
      </c>
      <c r="L1825" s="401" t="inlineStr">
        <is>
          <t>X</t>
        </is>
      </c>
      <c r="M1825" s="401" t="n"/>
      <c r="N1825" s="401" t="inlineStr">
        <is>
          <t>Done</t>
        </is>
      </c>
      <c r="O1825" s="401" t="n"/>
      <c r="P1825" s="22" t="n"/>
      <c r="Q1825" s="401" t="inlineStr">
        <is>
          <t>SCMS.BM_BAO_CAO
SCMS.BM_SHEET
SCMS.BM_BAO_CAO_CT
SCMS.DM_CHI_TIEU</t>
        </is>
      </c>
      <c r="R1825" s="402" t="inlineStr">
        <is>
          <t>dct.ID,
dct.MA_CHI_TIEU,
dct.TEN_CHI_TIEU,
dct.SU_DUNG,
s.BM_BAO_CAO_ID,
s.MA_SHEET,
ct.BM_BAO_CAO_ID,
ct.DM_CHI_TIEU_ID,
ct.SU_DUNG,
bm.ID,
bm.MA_BAO_CAO,
bm.SU_DUNG</t>
        </is>
      </c>
      <c r="S1825" s="22" t="n"/>
      <c r="T1825" s="389" t="inlineStr">
        <is>
          <t>-- Mã chỉ tiêu / Tên chỉ tiêu
SELECT DISTINCT
    dct.MA_CHI_TIEU  AS ma_chi_tieu,
    dct.TEN_CHI_TIEU AS ten_chi_tieu
FROM SCMS.BM_BAO_CAO bm
JOIN SCMS.BM_SHEET s ON s.BM_BAO_CAO_ID = bm.ID
	AND s.TEN_SHEET = 'BCTCR'
JOIN SCMS.BM_BAO_CAO_CT ct ON ct.BM_SHEET_ID = s.ID
	AND ct.SU_DUNG = 1
JOIN SCMS.DM_CHI_TIEU dct ON dct.ID = ct.DM_CHI_TIEU_ID
	AND dct.SU_DUNG = 1
WHERE bm.MA_BAO_CAO LIKE 'BCTCRLCTCK'
	AND bm.SU_DUNG = 1
ORDER BY dct.MA_CHI_TIEU;</t>
        </is>
      </c>
      <c r="U1825" s="16" t="n"/>
      <c r="V1825" s="22" t="n"/>
      <c r="W1825" s="22" t="n"/>
      <c r="X1825" s="22" t="n"/>
      <c r="Y1825" s="13" t="n"/>
      <c r="Z1825" s="22" t="n"/>
      <c r="AA1825" s="22" t="n"/>
      <c r="AB1825" s="22" t="n"/>
      <c r="AC1825" s="22" t="n"/>
      <c r="AD1825" s="22" t="n"/>
      <c r="AE1825" s="22" t="n"/>
    </row>
    <row r="1826" ht="56" customHeight="1" s="380">
      <c r="A1826" s="126" t="n">
        <v>93</v>
      </c>
      <c r="B1826" s="390" t="n"/>
      <c r="C1826" s="390" t="inlineStr">
        <is>
          <t>Báo cáo theo Thông tư 121/2020/TT-BTC &gt;&gt; Báo báo tài chính &gt;&gt; Báo cáo tình hình tài chính riêng</t>
        </is>
      </c>
      <c r="D1826" s="106" t="inlineStr">
        <is>
          <t>Tên chỉ tiêu</t>
        </is>
      </c>
      <c r="E1826" s="107" t="inlineStr">
        <is>
          <t>Tên chỉ tiêu</t>
        </is>
      </c>
      <c r="F1826" s="390" t="inlineStr">
        <is>
          <t>Data Explorer</t>
        </is>
      </c>
      <c r="G1826" s="390" t="inlineStr">
        <is>
          <t>Chiều</t>
        </is>
      </c>
      <c r="H1826" s="390" t="inlineStr">
        <is>
          <t>Dễ</t>
        </is>
      </c>
      <c r="I1826" s="390" t="inlineStr">
        <is>
          <t>Ngày, CTCK</t>
        </is>
      </c>
      <c r="J1826" s="401" t="inlineStr">
        <is>
          <t>SCMS</t>
        </is>
      </c>
      <c r="K1826" s="401" t="inlineStr">
        <is>
          <t>X</t>
        </is>
      </c>
      <c r="L1826" s="401" t="inlineStr">
        <is>
          <t>X</t>
        </is>
      </c>
      <c r="M1826" s="401" t="n"/>
      <c r="N1826" s="401" t="inlineStr">
        <is>
          <t>Done</t>
        </is>
      </c>
      <c r="O1826" s="401" t="n"/>
      <c r="P1826" s="22" t="n"/>
      <c r="S1826" s="22" t="n"/>
      <c r="U1826" s="16" t="n"/>
      <c r="V1826" s="22" t="n"/>
      <c r="W1826" s="22" t="n"/>
      <c r="X1826" s="22" t="n"/>
      <c r="Y1826" s="13" t="n"/>
      <c r="Z1826" s="22" t="n"/>
      <c r="AA1826" s="22" t="n"/>
      <c r="AB1826" s="22" t="n"/>
      <c r="AC1826" s="22" t="n"/>
      <c r="AD1826" s="22" t="n"/>
      <c r="AE1826" s="22" t="n"/>
    </row>
    <row r="1827" ht="56" customHeight="1" s="380">
      <c r="A1827" s="126" t="n">
        <v>93</v>
      </c>
      <c r="B1827" s="390" t="n"/>
      <c r="C1827" s="390" t="inlineStr">
        <is>
          <t>Báo cáo theo Thông tư 121/2020/TT-BTC &gt;&gt; Báo báo tài chính &gt;&gt; Báo cáo tình hình tài chính riêng</t>
        </is>
      </c>
      <c r="D1827" s="132" t="inlineStr">
        <is>
          <t>A. TÀI SẢN NGẮN HẠN (100 = 110 + 130)</t>
        </is>
      </c>
      <c r="E1827" s="133" t="n">
        <v>100</v>
      </c>
      <c r="F1827" s="390" t="inlineStr">
        <is>
          <t>Data Explorer</t>
        </is>
      </c>
      <c r="G1827" s="390" t="inlineStr">
        <is>
          <t>Chỉ tiêu cơ sở</t>
        </is>
      </c>
      <c r="H1827" s="390" t="inlineStr">
        <is>
          <t>Dễ</t>
        </is>
      </c>
      <c r="I1827" s="390" t="inlineStr">
        <is>
          <t>Ngày, CTCK</t>
        </is>
      </c>
      <c r="J1827" s="401" t="inlineStr">
        <is>
          <t>SCMS</t>
        </is>
      </c>
      <c r="K1827" s="401" t="n"/>
      <c r="L1827" s="401" t="inlineStr">
        <is>
          <t>X</t>
        </is>
      </c>
      <c r="M1827" s="401" t="n"/>
      <c r="N1827" s="401" t="inlineStr">
        <is>
          <t>Done</t>
        </is>
      </c>
      <c r="O1827" s="401" t="n"/>
      <c r="P1827" s="22" t="n"/>
      <c r="Q1827" s="431" t="inlineStr">
        <is>
          <t>SCMS.BC_THANH_VIEN
SCMS.BM_BAO_CAO
SCMS.BC_BAO_CAO_GT
SCMS.BM_BAO_CAO_HANG
SCMS.BM_BAO_CAO_COT</t>
        </is>
      </c>
      <c r="R1827" s="431" t="inlineStr">
        <is>
          <t>bsc.TEN_COT,
bsc.BM_SHEET_ID,
bsh.ID,
bsh.MA_HANG,
gt.GIA_TRI,
gt.BC_THANH_VIEN_ID,
gt.BM_SHEET_HANG_ID,
bm.ID,
bm.MA_BAO_CAO,
btv.ID,
btv.BM_BAO_CAO_ID,
btv.TRANG_THAI,
btv.NGAY_SO_LIEU</t>
        </is>
      </c>
      <c r="S1827" s="22" t="n"/>
      <c r="T1827" s="389" t="inlineStr">
        <is>
          <t>-- CHỈ TIÊU
SELECT
	-- Thuyết minh
    MAX(CASE WHEN bsc.TEN_COT=N'Thuyết minh' AND bsh.MA_HANG = '2' THEN CAST(gt.GIA_TRI AS VARCHAR2(4000)) END) AS "TÀI SẢN",
    MAX(CASE WHEN bsc.TEN_COT=N'Thuyết minh' AND bsh.MA_HANG = '3' THEN CAST(gt.GIA_TRI AS VARCHAR2(4000)) END) AS "A. TÀI SẢN NGẮN HẠN (100 = 110 + 130)",
    MAX(CASE WHEN bsc.TEN_COT=N'Thuyết minh' AND bsh.MA_HANG = '4' THEN CAST(gt.GIA_TRI AS VARCHAR2(4000)) END) AS "I. Tài sản tài chính",
    MAX(CASE WHEN bsc.TEN_COT=N'Thuyết minh' AND bsh.MA_HANG = '5' THEN CAST(gt.GIA_TRI AS VARCHAR2(4000)) END) AS "1.Tiền và các khoản tương đương tiền",
    MAX(CASE WHEN bsc.TEN_COT=N'Thuyết minh' AND bsh.MA_HANG = '6' THEN CAST(gt.GIA_TRI AS VARCHAR2(4000)) END) AS "1.1. Tiền",
    MAX(CASE WHEN bsc.TEN_COT=N'Thuyết minh' AND bsh.MA_HANG = '7' THEN CAST(gt.GIA_TRI AS VARCHAR2(4000)) END) AS "1.2. Các khoản tương đương tiền",
    MAX(CASE WHEN bsc.TEN_COT=N'Thuyết minh' AND bsh.MA_HANG = '8' THEN CAST(gt.GIA_TRI AS VARCHAR2(4000)) END) AS "2. Các tài sản tài chính ghi nhận thông qua lãi/lỗ (FVTPL)",
    MAX(CASE WHEN bsc.TEN_COT=N'Thuyết minh' AND bsh.MA_HANG = '9' THEN CAST(gt.GIA_TRI AS VARCHAR2(4000)) END) AS "3. Các  khoản đầu tư  nắm giữ đến ngày đáo hạn (HTM)",
    MAX(CASE WHEN bsc.TEN_COT=N'Thuyết minh' AND bsh.MA_HANG = '10' THEN CAST(gt.GIA_TRI AS VARCHAR2(4000)) END) AS "4. Các khoản cho vay",
    MAX(CASE WHEN bsc.TEN_COT=N'Thuyết minh' AND bsh.MA_HANG = '11' THEN CAST(gt.GIA_TRI AS VARCHAR2(4000)) END) AS "5. Tài sản tài chính sẵn sàng để bán (AFS)",
    MAX(CASE WHEN bsc.TEN_COT=N'Thuyết minh' AND bsh.MA_HANG = '12' THEN CAST(gt.GIA_TRI AS VARCHAR2(4000)) END) AS "6. Dự phòng suy giảm giá trị các tài sản tài chính và tài sản thế chấp",
    MAX(CASE WHEN bsc.TEN_COT=N'Thuyết minh' AND bsh.MA_HANG = '13' THEN CAST(gt.GIA_TRI AS VARCHAR2(4000)) END) AS "7. Các khoản phải thu",
    MAX(CASE WHEN bsc.TEN_COT=N'Thuyết minh' AND bsh.MA_HANG = '14' THEN CAST(gt.GIA_TRI AS VARCHAR2(4000)) END) AS "7.1. Phải thu bán các tài sản tài chính",
    MAX(CASE WHEN bsc.TEN_COT=N'Thuyết minh' AND bsh.MA_HANG = '15' THEN CAST(gt.GIA_TRI AS VARCHAR2(4000)) END) AS "7.2. Phải thu và dự thu cổ tức, tiền lãi các tài sản tài chính",
    MAX(CASE WHEN bsc.TEN_COT=N'Thuyết minh' AND bsh.MA_HANG = '16' THEN CAST(gt.GIA_TRI AS VARCHAR2(4000)) END) AS "7.2.1. Phải thu cổ tức, tiền lãi đến ngày nhận",
    MAX(CASE WHEN bsc.TEN_COT=N'Thuyết minh' AND bsh.MA_HANG = '17' THEN CAST(gt.GIA_TRI AS VARCHAR2(4000)) END) AS "7.2.2. Dự thu cổ tức, tiền lãi chưa đến ngày nhận",
    MAX(CASE WHEN bsc.TEN_COT=N'Thuyết minh' AND bsh.MA_HANG = '18' THEN CAST(gt.GIA_TRI AS VARCHAR2(4000)) END) AS "8. Trả trước cho người bán",
    MAX(CASE WHEN bsc.TEN_COT=N'Thuyết minh' AND bsh.MA_HANG = '19' THEN CAST(gt.GIA_TRI AS VARCHAR2(4000)) END) AS "9. Phải thu các dịch vụ CTCK cung cấp",
    MAX(CASE WHEN bsc.TEN_COT=N'Thuyết minh' AND bsh.MA_HANG = '20' THEN CAST(gt.GIA_TRI AS VARCHAR2(4000)) END) AS "10. Phải thu nội bộ",
    MAX(CASE WHEN bsc.TEN_COT=N'Thuyết minh' AND bsh.MA_HANG = '21' THEN CAST(gt.GIA_TRI AS VARCHAR2(4000)) END) AS "11. Phải thu về lỗi giao dịch chứng khoán",
    MAX(CASE WHEN bsc.TEN_COT=N'Thuyết minh' AND bsh.MA_HANG = '22' THEN CAST(gt.GIA_TRI AS VARCHAR2(4000)) END) AS "12. Các khoản phải thu khác",
    MAX(CASE WHEN bsc.TEN_COT=N'Thuyết minh' AND bsh.MA_HANG = '23' THEN CAST(gt.GIA_TRI AS VARCHAR2(4000)) END) AS "13. Dự phòng suy giảm giá trị các khoản phải thu (*)",
    MAX(CASE WHEN bsc.TEN_COT=N'Thuyết minh' AND bsh.MA_HANG = '24' THEN CAST(gt.GIA_TRI AS VARCHAR2(4000)) END) AS "II. Tài sản ngắn hạn khác",
    MAX(CASE WHEN bsc.TEN_COT=N'Thuyết minh' AND bsh.MA_HANG = '25' THEN CAST(gt.GIA_TRI AS VARCHAR2(4000)) END) AS "1. Tạm ứng",
    MAX(CASE WHEN bsc.TEN_COT=N'Thuyết minh' AND bsh.MA_HANG = '26' THEN CAST(gt.GIA_TRI AS VARCHAR2(4000)) END) AS "2. Vật tư văn phòng, công cụ, dụng cụ",
    MAX(CASE WHEN bsc.TEN_COT=N'Thuyết minh' AND bsh.MA_HANG = '27' THEN CAST(gt.GIA_TRI AS VARCHAR2(4000)) END) AS "3. Chi phí trả trước ngắn hạn",
    MAX(CASE WHEN bsc.TEN_COT=N'Thuyết minh' AND bsh.MA_HANG = '28' THEN CAST(gt.GIA_TRI AS VARCHAR2(4000)) END) AS "4. Cầm cố, thế chấp, ký quỹ, ký cược ngắn hạn",
    MAX(CASE WHEN bsc.TEN_COT=N'Thuyết minh' AND bsh.MA_HANG = '29' THEN CAST(gt.GIA_TRI AS VARCHAR2(4000)) END) AS "5. Thuế giá trị gia tăng được khấu trừ",
    MAX(CASE WHEN bsc.TEN_COT=N'Thuyết minh' AND bsh.MA_HANG = '30' THEN CAST(gt.GIA_TRI AS VARCHAR2(4000)) END) AS "6. Thuế và các khoản khác phải thu Nhà nước",
    MAX(CASE WHEN bsc.TEN_COT=N'Thuyết minh' AND bsh.MA_HANG = '31' THEN CAST(gt.GIA_TRI AS VARCHAR2(4000)) END) AS "7. Tài sản ngắn hạn khác",
    MAX(CASE WHEN bsc.TEN_COT=N'Thuyết minh' AND bsh.MA_HANG = '32' THEN CAST(gt.GIA_TRI AS VARCHAR2(4000)) END) AS "8. Giao dịch mua bán lại trái phiếu Chính phủ",
    MAX(CASE WHEN bsc.TEN_COT=N'Thuyết minh' AND bsh.MA_HANG = '33' THEN CAST(gt.GIA_TRI AS VARCHAR2(4000)) END) AS "9. Dự phòng suy giảm giá trị tài sản ngắn hạn khác",
    MAX(CASE WHEN bsc.TEN_COT=N'Thuyết minh' AND bsh.MA_HANG = '34' THEN CAST(gt.GIA_TRI AS VARCHAR2(4000)) END) AS "B. TÀI SẢN DÀI HẠN (200 = 210 + 220 + 230 + 240 + 250 - 260)",
    MAX(CASE WHEN bsc.TEN_COT=N'Thuyết minh' AND bsh.MA_HANG = '35' THEN CAST(gt.GIA_TRI AS VARCHAR2(4000)) END) AS "I. Tài sản tài chính dài hạn",
    MAX(CASE WHEN bsc.TEN_COT=N'Thuyết minh' AND bsh.MA_HANG = '36' THEN CAST(gt.GIA_TRI AS VARCHAR2(4000)) END) AS "1. Các khoản phải thu dài hạn",
    MAX(CASE WHEN bsc.TEN_COT=N'Thuyết minh' AND bsh.MA_HANG = '37' THEN CAST(gt.GIA_TRI AS VARCHAR2(4000)) END) AS "2. Các khoản đầu tư",
    MAX(CASE WHEN bsc.TEN_COT=N'Thuyết minh' AND bsh.MA_HANG = '38' THEN CAST(gt.GIA_TRI AS VARCHAR2(4000)) END) AS "2.1.Các khoản đầu tư nắm giữ đến ngày đáo hạn",
    MAX(CASE WHEN bsc.TEN_COT=N'Thuyết minh' AND bsh.MA_HANG = '39' THEN CAST(gt.GIA_TRI AS VARCHAR2(4000)) END) AS "2.2. Đầu tư vào công ty con ",
    MAX(CASE WHEN bsc.TEN_COT=N'Thuyết minh' AND bsh.MA_HANG = '40' THEN CAST(gt.GIA_TRI AS VARCHAR2(4000)) END) AS "2.3. Đầu tư vào công ty liên doanh, liên kết ",
    MAX(CASE WHEN bsc.TEN_COT=N'Thuyết minh' AND bsh.MA_HANG = '41' THEN CAST(gt.GIA_TRI AS VARCHAR2(4000)) END) AS "2.4. Đầu tư dài hạn khác",
    MAX(CASE WHEN bsc.TEN_COT=N'Thuyết minh' AND bsh.MA_HANG = '42' THEN CAST(gt.GIA_TRI AS VARCHAR2(4000)) END) AS "3. Dự phòng suy giảm tài sản tài chính dài hạn",
    MAX(CASE WHEN bsc.TEN_COT=N'Thuyết minh' AND bsh.MA_HANG = '43' THEN CAST(gt.GIA_TRI AS VARCHAR2(4000)) END) AS "II. Tài sản cố định",
    MAX(CASE WHEN bsc.TEN_COT=N'Thuyết minh' AND bsh.MA_HANG = '44' THEN CAST(gt.GIA_TRI AS VARCHAR2(4000)) END) AS "1. Tài sản cố định hữu hình",
    MAX(CASE WHEN bsc.TEN_COT=N'Thuyết minh' AND bsh.MA_HANG = '45' THEN CAST(gt.GIA_TRI AS VARCHAR2(4000)) END) AS "- Nguyên giá",
    MAX(CASE WHEN bsc.TEN_COT=N'Thuyết minh' AND bsh.MA_HANG = '46' THEN CAST(gt.GIA_TRI AS VARCHAR2(4000)) END) AS "- Giá trị hao mòn luỹ kế (*)",
    MAX(CASE WHEN bsc.TEN_COT=N'Thuyết minh' AND bsh.MA_HANG = '47' THEN CAST(gt.GIA_TRI AS VARCHAR2(4000)) END) AS "- Đánh giá TSCĐHH theo giá trị hợp lý",
    MAX(CASE WHEN bsc.TEN_COT=N'Thuyết minh' AND bsh.MA_HANG = '48' THEN CAST(gt.GIA_TRI AS VARCHAR2(4000)) END) AS "2. Tài sản cố định thuê tài chính",
    MAX(CASE WHEN bsc.TEN_COT=N'Thuyết minh' AND bsh.MA_HANG = '49' THEN CAST(gt.GIA_TRI AS VARCHAR2(4000)) END) AS "- Nguyên giá",
    MAX(CASE WHEN bsc.TEN_COT=N'Thuyết minh' AND bsh.MA_HANG = '50' THEN CAST(gt.GIA_TRI AS VARCHAR2(4000)) END) AS "- Giá trị hao mòn luỹ kế (*)",
    MAX(CASE WHEN bsc.TEN_COT=N'Thuyết minh' AND bsh.MA_HANG = '51' THEN CAST(gt.GIA_TRI AS VARCHAR2(4000)) END) AS "- Đánh giá TSCĐTTC theo giá trị hợp lý",
    MAX(CASE WHEN bsc.TEN_COT=N'Thuyết minh' AND bsh.MA_HANG = '52' THEN CAST(gt.GIA_TRI AS VARCHAR2(4000)) END) AS "3. Tài sản cố định vô hình",
    MAX(CASE WHEN bsc.TEN_COT=N'Thuyết minh' AND bsh.MA_HANG = '53' THEN CAST(gt.GIA_TRI AS VARCHAR2(4000)) END) AS "- Nguyên giá",
    MAX(CASE WHEN bsc.TEN_COT=N'Thuyết minh' AND bsh.MA_HANG = '54' THEN CAST(gt.GIA_TRI AS VARCHAR2(4000)) END) AS "- Giá trị hao mòn luỹ kế (*)",
    MAX(CASE WHEN bsc.TEN_COT=N'Thuyết minh' AND bsh.MA_HANG = '55' THEN CAST(gt.GIA_TRI AS VARCHAR2(4000)) END) AS "- Đánh giá TSCĐVH theo giá trị hợp lý",
    MAX(CASE WHEN bsc.TEN_COT=N'Thuyết minh' AND bsh.MA_HANG = '56' THEN CAST(gt.GIA_TRI AS VARCHAR2(4000)) END) AS "III. Bất động sản đầu tư",
    MAX(CASE WHEN bsc.TEN_COT=N'Thuyết minh' AND bsh.MA_HANG = '57' THEN CAST(gt.GIA_TRI AS VARCHAR2(4000)) END) AS "- Nguyên giá",
    MAX(CASE WHEN bsc.TEN_COT=N'Thuyết minh' AND bsh.MA_HANG = '58' THEN CAST(gt.GIA_TRI AS VARCHAR2(4000)) END) AS "- Giá trị hao mòn luỹ kế (*)",
    MAX(CASE WHEN bsc.TEN_COT=N'Thuyết minh' AND bsh.MA_HANG = '59' THEN CAST(gt.GIA_TRI AS VARCHAR2(4000)) END) AS "- Đánh giá TSCĐVH theo giá trị hợp lý",
    MAX(CASE WHEN bsc.TEN_COT=N'Thuyết minh' AND bsh.MA_HANG = '60' THEN CAST(gt.GIA_TRI AS VARCHAR2(4000)) END) AS "IV.Chi phí xây dựng cơ bản dở dang",
    MAX(CASE WHEN bsc.TEN_COT=N'Thuyết minh' AND bsh.MA_HANG = '61' THEN CAST(gt.GIA_TRI AS VARCHAR2(4000)) END) AS "V. Tài sản dài hạn khác",
    MAX(CASE WHEN bsc.TEN_COT=N'Thuyết minh' AND bsh.MA_HANG = '62' THEN CAST(gt.GIA_TRI AS VARCHAR2(4000)) END) AS "1. Cầm cố, thế chấp, ký quỹ, ký cược dài hạn",
    MAX(CASE WHEN bsc.TEN_COT=N'Thuyết minh' AND bsh.MA_HANG = '63' THEN CAST(gt.GIA_TRI AS VARCHAR2(4000)) END) AS "2. Chi phí trả trước dài hạn",
    MAX(CASE WHEN bsc.TEN_COT=N'Thuyết minh' AND bsh.MA_HANG = '64' THEN CAST(gt.GIA_TRI AS VARCHAR2(4000)) END) AS "3. Tài sản thuế thu nhập hoãn lại",
    MAX(CASE WHEN bsc.TEN_COT=N'Thuyết minh' AND bsh.MA_HANG = '65' THEN CAST(gt.GIA_TRI AS VARCHAR2(4000)) END) AS "4. Tiền nộp Quỹ Hỗ trợ thanh toán",
    MAX(CASE WHEN bsc.TEN_COT=N'Thuyết minh' AND bsh.MA_HANG = '66' THEN CAST(gt.GIA_TRI AS VARCHAR2(4000)) END) AS "5. Tài sản dài hạn khác",
    MAX(CASE WHEN bsc.TEN_COT=N'Thuyết minh' AND bsh.MA_HANG = '67' THEN CAST(gt.GIA_TRI AS VARCHAR2(4000)) END) AS "VI. Dự phòng suy giảm giá trị tài sản dài hạn",
    MAX(CASE WHEN bsc.TEN_COT=N'Thuyết minh' AND bsh.MA_HANG = '68' THEN CAST(gt.GIA_TRI AS VARCHAR2(4000)) END) AS "TỔNG CỘNG TÀI SẢN",
    MAX(CASE WHEN bsc.TEN_COT=N'Thuyết minh' AND bsh.MA_HANG = '69' THEN CAST(gt.GIA_TRI AS VARCHAR2(4000)) END) AS "(270 = 100 + 200)",
    MAX(CASE WHEN bsc.TEN_COT=N'Thuyết minh' AND bsh.MA_HANG = '70' THEN CAST(gt.GIA_TRI AS VARCHAR2(4000)) END) AS "C. NỢ PHẢI TRẢ (300 = 310 + 340)",
    MAX(CASE WHEN bsc.TEN_COT=N'Thuyết minh' AND bsh.MA_HANG = '71' THEN CAST(gt.GIA_TRI AS VARCHAR2(4000)) END) AS "I. Nợ phải trả ngắn hạn",
    MAX(CASE WHEN bsc.TEN_COT=N'Thuyết minh' AND bsh.MA_HANG = '72' THEN CAST(gt.GIA_TRI AS VARCHAR2(4000)) END) AS "1. Vay và nợ thuê tài chính ngắn hạn",
    MAX(CASE WHEN bsc.TEN_COT=N'Thuyết minh' AND bsh.MA_HANG = '73' THEN CAST(gt.GIA_TRI AS VARCHAR2(4000)) END) AS "1.1. Vay ngắn hạn",
    MAX(CASE WHEN bsc.TEN_COT=N'Thuyết minh' AND bsh.MA_HANG = '74' THEN CAST(gt.GIA_TRI AS VARCHAR2(4000)) END) AS "1.2. Nợ thuê tài chính ngắn hạn",
    MAX(CASE WHEN bsc.TEN_COT=N'Thuyết minh' AND bsh.MA_HANG = '75' THEN CAST(gt.GIA_TRI AS VARCHAR2(4000)) END) AS "2. Vay tài sản tài chính ngắn hạn",
    MAX(CASE WHEN bsc.TEN_COT=N'Thuyết minh' AND bsh.MA_HANG = '76' THEN CAST(gt.GIA_TRI AS VARCHAR2(4000)) END) AS "3. Trái phiếu chuyển đổi ngắn hạn - Cấu phần nợ",
    MAX(CASE WHEN bsc.TEN_COT=N'Thuyết minh' AND bsh.MA_HANG = '77' THEN CAST(gt.GIA_TRI AS VARCHAR2(4000)) END) AS "4. Trái phiếu phát hành ngắn hạn",
    MAX(CASE WHEN bsc.TEN_COT=N'Thuyết minh' AND bsh.MA_HANG = '78' THEN CAST(gt.GIA_TRI AS VARCHAR2(4000)) END) AS "5. Vay Quỹ Hỗ trợ thanh toán",
    MAX(CASE WHEN bsc.TEN_COT=N'Thuyết minh' AND bsh.MA_HANG = '79' THEN CAST(gt.GIA_TRI AS VARCHAR2(4000)) END) AS "6. Phải trả hoạt động giao dịch chứng khoán",
    MAX(CASE WHEN bsc.TEN_COT=N'Thuyết minh' AND bsh.MA_HANG = '80' THEN CAST(gt.GIA_TRI AS VARCHAR2(4000)) END) AS "7. Phải trả về lỗi giao dịch các tài sản tài chính",
    MAX(CASE WHEN bsc.TEN_COT=N'Thuyết minh' AND bsh.MA_HANG = '81' THEN CAST(gt.GIA_TRI AS VARCHAR2(4000)) END) AS "8. Phải trả người bán ngắn hạn",
    MAX(CASE WHEN bsc.TEN_COT=N'Thuyết minh' AND bsh.MA_HANG = '82' THEN CAST(gt.GIA_TRI AS VARCHAR2(4000)) END) AS "9. Người mua trả tiền trước ngắn hạn",
    MAX(CASE WHEN bsc.TEN_COT=N'Thuyết minh' AND bsh.MA_HANG = '83' THEN CAST(gt.GIA_TRI AS VARCHAR2(4000)) END) AS "10. Thuế và các khoản phải nộp Nhà nước",
    MAX(CASE WHEN bsc.TEN_COT=N'Thuyết minh' AND bsh.MA_HANG = '84' THEN CAST(gt.GIA_TRI AS VARCHAR2(4000)) END) AS "11. Phải trả người lao động",
    MAX(CASE WHEN bsc.TEN_COT=N'Thuyết minh' AND bsh.MA_HANG = '85' THEN CAST(gt.GIA_TRI AS VARCHAR2(4000)) END) AS "12. Các khoản trích nộp phúc lợi nhân viên",
    MAX(CASE WHEN bsc.TEN_COT=N'Thuyết minh' AND bsh.MA_HANG = '86' THEN CAST(gt.GIA_TRI AS VARCHAR2(4000)) END) AS "13. Chi phí phải trả ngắn hạn",
    MAX(CASE WHEN bsc.TEN_COT=N'Thuyết minh' AND bsh.MA_HANG = '87' THEN CAST(gt.GIA_TRI AS VARCHAR2(4000)) END) AS "14. Phải trả nội bộ ngắn hạn",
    MAX(CASE WHEN bsc.TEN_COT=N'Thuyết minh' AND bsh.MA_HANG = '88' THEN CAST(gt.GIA_TRI AS VARCHAR2(4000)) END) AS "15. Doanh thu chưa thực hiện ngắn hạn",
    MAX(CASE WHEN bsc.TEN_COT=N'Thuyết minh' AND bsh.MA_HANG = '89' THEN CAST(gt.GIA_TRI AS VARCHAR2(4000)) END) AS "16. Nhận ký quỹ, ký cược ngắn hạn",
    MAX(CASE WHEN bsc.TEN_COT=N'Thuyết minh' AND bsh.MA_HANG = '90' THEN CAST(gt.GIA_TRI AS VARCHAR2(4000)) END) AS "17. Các khoản phải trả, phải nộp khác ngắn hạn",
    MAX(CASE WHEN bsc.TEN_COT=N'Thuyết minh' AND bsh.MA_HANG = '91' THEN CAST(gt.GIA_TRI AS VARCHAR2(4000)) END) AS "18. Dự phòng phải trả ngắn hạn",
    MAX(CASE WHEN bsc.TEN_COT=N'Thuyết minh' AND bsh.MA_HANG = '92' THEN CAST(gt.GIA_TRI AS VARCHAR2(4000)) END) AS "19. Quỹ khen thưởng, phúc lợi",
    MAX(CASE WHEN bsc.TEN_COT=N'Thuyết minh' AND bsh.MA_HANG = '93' THEN CAST(gt.GIA_TRI AS VARCHAR2(4000)) END) AS "20. Giao dịch mua bán lại trái phiếu Chính phủ",
    MAX(CASE WHEN bsc.TEN_COT=N'Thuyết minh' AND bsh.MA_HANG = '94' THEN CAST(gt.GIA_TRI AS VARCHAR2(4000)) END) AS "II. Nợ phải trả dài hạn",
    MAX(CASE WHEN bsc.TEN_COT=N'Thuyết minh' AND bsh.MA_HANG = '95' THEN CAST(gt.GIA_TRI AS VARCHAR2(4000)) END) AS "1. Vay và nợ thuê tài chính dài hạn",
    MAX(CASE WHEN bsc.TEN_COT=N'Thuyết minh' AND bsh.MA_HANG = '96' THEN CAST(gt.GIA_TRI AS VARCHAR2(4000)) END) AS "1.1.Vay dài hạn",
    MAX(CASE WHEN bsc.TEN_COT=N'Thuyết minh' AND bsh.MA_HANG = '97' THEN CAST(gt.GIA_TRI AS VARCHAR2(4000)) END) AS "1.2. Nợ thuê tài chính dài hạn",
    MAX(CASE WHEN bsc.TEN_COT=N'Thuyết minh' AND bsh.MA_HANG = '98' THEN CAST(gt.GIA_TRI AS VARCHAR2(4000)) END) AS "2. Vay tài sản tài chính dài hạn",
    MAX(CASE WHEN bsc.TEN_COT=N'Thuyết minh' AND bsh.MA_HANG = '99' THEN CAST(gt.GIA_TRI AS VARCHAR2(4000)) END) AS "3. Trái phiếu chuyển đổi dài hạn - Cấu phần nợ",
    MAX(CASE WHEN bsc.TEN_COT=N'Thuyết minh' AND bsh.MA_HANG = '100' THEN CAST(gt.GIA_TRI AS VARCHAR2(4000)) END) AS "4. Trái phiếu phát hành dài hạn",
    MAX(CASE WHEN bsc.TEN_COT=N'Thuyết minh' AND bsh.MA_HANG = '101' THEN CAST(gt.GIA_TRI AS VARCHAR2(4000)) END) AS "5. Phải trả người bán dài hạn",
    MAX(CASE WHEN bsc.TEN_COT=N'Thuyết minh' AND bsh.MA_HANG = '102' THEN CAST(gt.GIA_TRI AS VARCHAR2(4000)) END) AS "6. Người mua trả tiền trước dài hạn",
    MAX(CASE WHEN bsc.TEN_COT=N'Thuyết minh' AND bsh.MA_HANG = '103' THEN CAST(gt.GIA_TRI AS VARCHAR2(4000)) END) AS "7. Chi phí phải trả dài hạn",
    MAX(CASE WHEN bsc.TEN_COT=N'Thuyết minh' AND bsh.MA_HANG = '104' THEN CAST(gt.GIA_TRI AS VARCHAR2(4000)) END) AS "8. Phải trả nội bộ dài hạn",
    MAX(CASE WHEN bsc.TEN_COT=N'Thuyết minh' AND bsh.MA_HANG = '105' THEN CAST(gt.GIA_TRI AS VARCHAR2(4000)) END) AS "9. Doanh thu chưa thực hiện dài hạn",
    MAX(CASE WHEN bsc.TEN_COT=N'Thuyết minh' AND bsh.MA_HANG = '106' THEN CAST(gt.GIA_TRI AS VARCHAR2(4000)) END) AS "10. Nhận ký quỹ, ký cược dài hạn",
    MAX(CASE WHEN bsc.TEN_COT=N'Thuyết minh' AND bsh.MA_HANG = '107' THEN CAST(gt.GIA_TRI AS VARCHAR2(4000)) END) AS "11. Các khoản phải trả, phải nộp khác dài hạn",
    MAX(CASE WHEN bsc.TEN_COT=N'Thuyết minh' AND bsh.MA_HANG = '108' THEN CAST(gt.GIA_TRI AS VARCHAR2(4000)) END) AS "12. Dự phòng phải trả dài hạn",
    MAX(CASE WHEN bsc.TEN_COT=N'Thuyết minh' AND bsh.MA_HANG = '109' THEN CAST(gt.GIA_TRI AS VARCHAR2(4000)) END) AS "13. Quỹ bảo vệ Nhà đầu tư",
    MAX(CASE WHEN bsc.TEN_COT=N'Thuyết minh' AND bsh.MA_HANG = '110' THEN CAST(gt.GIA_TRI AS VARCHAR2(4000)) END) AS "14. Thuế thu nhập hoãn lại phải trả",
    MAX(CASE WHEN bsc.TEN_COT=N'Thuyết minh' AND bsh.MA_HANG = '111' THEN CAST(gt.GIA_TRI AS VARCHAR2(4000)) END) AS "15. Quỹ phát triển khoa học và công nghệ",
    MAX(CASE WHEN bsc.TEN_COT=N'Thuyết minh' AND bsh.MA_HANG = '112' THEN CAST(gt.GIA_TRI AS VARCHAR2(4000)) END) AS "D. VỐN CHỦ SỞ HỮU",
    MAX(CASE WHEN bsc.TEN_COT=N'Thuyết minh' AND bsh.MA_HANG = '113' THEN CAST(gt.GIA_TRI AS VARCHAR2(4000)) END) AS "(400 = 410 + 420)",
    MAX(CASE WHEN bsc.TEN_COT=N'Thuyết minh' AND bsh.MA_HANG = '114' THEN CAST(gt.GIA_TRI AS VARCHAR2(4000)) END) AS "I. Vốn chủ sở hữu",
    MAX(CASE WHEN bsc.TEN_COT=N'Thuyết minh' AND bsh.MA_HANG = '115' THEN CAST(gt.GIA_TRI AS VARCHAR2(4000)) END) AS "1. Vốn đầu tư của chủ sở hữu",
    MAX(CASE WHEN bsc.TEN_COT=N'Thuyết minh' AND bsh.MA_HANG = '116' THEN CAST(gt.GIA_TRI AS VARCHAR2(4000)) END) AS "1.1. Vốn góp của chủ sở hữu",
    MAX(CASE WHEN bsc.TEN_COT=N'Thuyết minh' AND bsh.MA_HANG = '117' THEN CAST(gt.GIA_TRI AS VARCHAR2(4000)) END) AS "a. Cổ phiếu phổ thông có quyền biểu quyết",
    MAX(CASE WHEN bsc.TEN_COT=N'Thuyết minh' AND bsh.MA_HANG = '118' THEN CAST(gt.GIA_TRI AS VARCHAR2(4000)) END) AS "b. Cổ phiếu ưu đãi",
    MAX(CASE WHEN bsc.TEN_COT=N'Thuyết minh' AND bsh.MA_HANG = '119' THEN CAST(gt.GIA_TRI AS VARCHAR2(4000)) END) AS "1.2. Thặng dư vốn cổ phần",
    MAX(CASE WHEN bsc.TEN_COT=N'Thuyết minh' AND bsh.MA_HANG = '120' THEN CAST(gt.GIA_TRI AS VARCHAR2(4000)) END) AS "1.3. Quyền chọn chuyển đổi trái phiếu - Cấu phần vốn",
    MAX(CASE WHEN bsc.TEN_COT=N'Thuyết minh' AND bsh.MA_HANG = '121' THEN CAST(gt.GIA_TRI AS VARCHAR2(4000)) END) AS "1.4. Vốn khác của chủ sở hữu",
    MAX(CASE WHEN bsc.TEN_COT=N'Thuyết minh' AND bsh.MA_HANG = '122' THEN CAST(gt.GIA_TRI AS VARCHAR2(4000)) END) AS "1.5. Cổ phiếu quỹ (*)",
    MAX(CASE WHEN bsc.TEN_COT=N'Thuyết minh' AND bsh.MA_HANG = '123' THEN CAST(gt.GIA_TRI AS VARCHAR2(4000)) END) AS "2. Chênh lệch đánh giá tài sản theo giá trị hợp lý",
    MAX(CASE WHEN bsc.TEN_COT=N'Thuyết minh' AND bsh.MA_HANG = '124' THEN CAST(gt.GIA_TRI AS VARCHAR2(4000)) END) AS "3. Chênh lệch tỷ giá hối đoái",
    MAX(CASE WHEN bsc.TEN_COT=N'Thuyết minh' AND bsh.MA_HANG = '125' THEN CAST(gt.GIA_TRI AS VARCHAR2(4000)) END) AS "4. Quỹ dự trữ bổ sung vốn  điều lệ",
    MAX(CASE WHEN bsc.TEN_COT=N'Thuyết minh' AND bsh.MA_HANG = '126' THEN CAST(gt.GIA_TRI AS VARCHAR2(4000)) END) AS "5. Quỹ dự phòng tài chính và rủi ro nghiệp vụ",
    MAX(CASE WHEN bsc.TEN_COT=N'Thuyết minh' AND bsh.MA_HANG = '127' THEN CAST(gt.GIA_TRI AS VARCHAR2(4000)) END) AS "6. Các Quỹ khác thuộc vốn chủ sở hữu",
    MAX(CASE WHEN bsc.TEN_COT=N'Thuyết minh' AND bsh.MA_HANG = '128' THEN CAST(gt.GIA_TRI AS VARCHAR2(4000)) END) AS "7. Lợi nhuận chưa phân phối",
    MAX(CASE WHEN bsc.TEN_COT=N'Thuyết minh' AND bsh.MA_HANG = '129' THEN CAST(gt.GIA_TRI AS VARCHAR2(4000)) END) AS "7.1. Lợi nhuận sau thuế đã thực hiện",
    MAX(CASE WHEN bsc.TEN_COT=N'Thuyết minh' AND bsh.MA_HANG = '130' THEN CAST(gt.GIA_TRI AS VARCHAR2(4000)) END) AS "7.2. Lợi nhuận chưa thực hiện",
    MAX(CASE WHEN bsc.TEN_COT=N'Thuyết minh' AND bsh.MA_HANG = '131' THEN CAST(gt.GIA_TRI AS VARCHAR2(4000)) END) AS "II. Nguồn kinh phí và quỹ khác ",
    MAX(CASE WHEN bsc.TEN_COT=N'Thuyết minh' AND bsh.MA_HANG = '132' THEN CAST(gt.GIA_TRI AS VARCHAR2(4000)) END) AS "TỔNG CỘNG NỢ VÀ VỐN CHỦ SỞ HỮU",
    MAX(CASE WHEN bsc.TEN_COT=N'Thuyết minh' AND bsh.MA_HANG = '133' THEN CAST(gt.GIA_TRI AS VARCHAR2(4000)) END) AS "(440 = 300 + 400)",</t>
        </is>
      </c>
      <c r="U1827" s="106" t="inlineStr">
        <is>
          <t>Full câu query dài quá, đang phải chia nhỏ ra 3 ô</t>
        </is>
      </c>
      <c r="V1827" s="22" t="n"/>
      <c r="W1827" s="22" t="n"/>
      <c r="X1827" s="22" t="n"/>
      <c r="Y1827" s="13" t="n"/>
      <c r="Z1827" s="22" t="n"/>
      <c r="AA1827" s="22" t="n"/>
      <c r="AB1827" s="22" t="n"/>
      <c r="AC1827" s="22" t="n"/>
      <c r="AD1827" s="22" t="n"/>
      <c r="AE1827" s="22" t="n"/>
    </row>
    <row r="1828" ht="56" customHeight="1" s="380">
      <c r="A1828" s="126" t="n">
        <v>93</v>
      </c>
      <c r="B1828" s="390" t="n"/>
      <c r="C1828" s="390" t="inlineStr">
        <is>
          <t>Báo cáo theo Thông tư 121/2020/TT-BTC &gt;&gt; Báo báo tài chính &gt;&gt; Báo cáo tình hình tài chính riêng</t>
        </is>
      </c>
      <c r="D1828" s="132" t="inlineStr">
        <is>
          <t>I. Tài sản tài chính</t>
        </is>
      </c>
      <c r="E1828" s="133" t="n">
        <v>110</v>
      </c>
      <c r="F1828" s="390" t="inlineStr">
        <is>
          <t>Data Explorer</t>
        </is>
      </c>
      <c r="G1828" s="390" t="inlineStr">
        <is>
          <t>Chỉ tiêu cơ sở</t>
        </is>
      </c>
      <c r="H1828" s="390" t="inlineStr">
        <is>
          <t>Dễ</t>
        </is>
      </c>
      <c r="I1828" s="390" t="inlineStr">
        <is>
          <t>Ngày, CTCK</t>
        </is>
      </c>
      <c r="J1828" s="401" t="inlineStr">
        <is>
          <t>SCMS</t>
        </is>
      </c>
      <c r="K1828" s="401" t="n"/>
      <c r="L1828" s="401" t="inlineStr">
        <is>
          <t>X</t>
        </is>
      </c>
      <c r="M1828" s="401" t="n"/>
      <c r="N1828" s="401" t="inlineStr">
        <is>
          <t>Done</t>
        </is>
      </c>
      <c r="O1828" s="401" t="n"/>
      <c r="P1828" s="22" t="n"/>
      <c r="S1828" s="22" t="n"/>
      <c r="U1828" s="16" t="n"/>
      <c r="V1828" s="22" t="n"/>
      <c r="W1828" s="22" t="n"/>
      <c r="X1828" s="22" t="n"/>
      <c r="Y1828" s="38" t="n"/>
      <c r="Z1828" s="22" t="n"/>
      <c r="AA1828" s="22" t="n"/>
      <c r="AB1828" s="22" t="n"/>
      <c r="AC1828" s="22" t="n"/>
      <c r="AD1828" s="22" t="n"/>
      <c r="AE1828" s="22" t="n"/>
    </row>
    <row r="1829" ht="56" customHeight="1" s="380">
      <c r="A1829" s="126" t="n">
        <v>93</v>
      </c>
      <c r="B1829" s="390" t="n"/>
      <c r="C1829" s="390" t="inlineStr">
        <is>
          <t>Báo cáo theo Thông tư 121/2020/TT-BTC &gt;&gt; Báo báo tài chính &gt;&gt; Báo cáo tình hình tài chính riêng</t>
        </is>
      </c>
      <c r="D1829" s="390" t="inlineStr">
        <is>
          <t>1.Tiền và các khoản tương đương tiền</t>
        </is>
      </c>
      <c r="E1829" s="401" t="n">
        <v>111</v>
      </c>
      <c r="F1829" s="390" t="inlineStr">
        <is>
          <t>Data Explorer</t>
        </is>
      </c>
      <c r="G1829" s="390" t="inlineStr">
        <is>
          <t>Chỉ tiêu cơ sở</t>
        </is>
      </c>
      <c r="H1829" s="390" t="inlineStr">
        <is>
          <t>Dễ</t>
        </is>
      </c>
      <c r="I1829" s="390" t="inlineStr">
        <is>
          <t>Ngày, CTCK</t>
        </is>
      </c>
      <c r="J1829" s="401" t="inlineStr">
        <is>
          <t>SCMS</t>
        </is>
      </c>
      <c r="K1829" s="401" t="n"/>
      <c r="L1829" s="401" t="inlineStr">
        <is>
          <t>X</t>
        </is>
      </c>
      <c r="M1829" s="401" t="n"/>
      <c r="N1829" s="401" t="inlineStr">
        <is>
          <t>Done</t>
        </is>
      </c>
      <c r="O1829" s="401" t="n"/>
      <c r="P1829" s="22" t="n"/>
      <c r="S1829" s="22" t="n"/>
      <c r="U1829" s="16" t="n"/>
      <c r="V1829" s="22" t="n"/>
      <c r="W1829" s="22" t="n"/>
      <c r="X1829" s="22" t="n"/>
      <c r="Y1829" s="13" t="n"/>
      <c r="Z1829" s="22" t="n"/>
      <c r="AA1829" s="22" t="n"/>
      <c r="AB1829" s="22" t="n"/>
      <c r="AC1829" s="22" t="n"/>
      <c r="AD1829" s="22" t="n"/>
      <c r="AE1829" s="22" t="n"/>
    </row>
    <row r="1830" ht="56" customHeight="1" s="380">
      <c r="A1830" s="126" t="n">
        <v>93</v>
      </c>
      <c r="B1830" s="390" t="n"/>
      <c r="C1830" s="390" t="inlineStr">
        <is>
          <t>Báo cáo theo Thông tư 121/2020/TT-BTC &gt;&gt; Báo báo tài chính &gt;&gt; Báo cáo tình hình tài chính riêng</t>
        </is>
      </c>
      <c r="D1830" s="390" t="inlineStr">
        <is>
          <t>1.1. Tiền</t>
        </is>
      </c>
      <c r="E1830" s="401" t="n">
        <v>111.1</v>
      </c>
      <c r="F1830" s="390" t="inlineStr">
        <is>
          <t>Data Explorer</t>
        </is>
      </c>
      <c r="G1830" s="390" t="inlineStr">
        <is>
          <t>Chỉ tiêu cơ sở</t>
        </is>
      </c>
      <c r="H1830" s="390" t="inlineStr">
        <is>
          <t>Dễ</t>
        </is>
      </c>
      <c r="I1830" s="390" t="inlineStr">
        <is>
          <t>Ngày, CTCK</t>
        </is>
      </c>
      <c r="J1830" s="401" t="inlineStr">
        <is>
          <t>SCMS</t>
        </is>
      </c>
      <c r="K1830" s="401" t="n"/>
      <c r="L1830" s="401" t="inlineStr">
        <is>
          <t>X</t>
        </is>
      </c>
      <c r="M1830" s="401" t="n"/>
      <c r="N1830" s="401" t="inlineStr">
        <is>
          <t>Done</t>
        </is>
      </c>
      <c r="O1830" s="401" t="n"/>
      <c r="P1830" s="22" t="n"/>
      <c r="S1830" s="22" t="n"/>
      <c r="U1830" s="16" t="n"/>
      <c r="V1830" s="22" t="n"/>
      <c r="W1830" s="22" t="n"/>
      <c r="X1830" s="22" t="n"/>
      <c r="Y1830" s="13" t="n"/>
      <c r="Z1830" s="22" t="n"/>
      <c r="AA1830" s="22" t="n"/>
      <c r="AB1830" s="22" t="n"/>
      <c r="AC1830" s="22" t="n"/>
      <c r="AD1830" s="22" t="n"/>
      <c r="AE1830" s="22" t="n"/>
    </row>
    <row r="1831" ht="56" customHeight="1" s="380">
      <c r="A1831" s="126" t="n">
        <v>93</v>
      </c>
      <c r="B1831" s="390" t="n"/>
      <c r="C1831" s="390" t="inlineStr">
        <is>
          <t>Báo cáo theo Thông tư 121/2020/TT-BTC &gt;&gt; Báo báo tài chính &gt;&gt; Báo cáo tình hình tài chính riêng</t>
        </is>
      </c>
      <c r="D1831" s="390" t="inlineStr">
        <is>
          <t>1.2. Các khoản tương đương tiền</t>
        </is>
      </c>
      <c r="E1831" s="401" t="n">
        <v>111.2</v>
      </c>
      <c r="F1831" s="390" t="inlineStr">
        <is>
          <t>Data Explorer</t>
        </is>
      </c>
      <c r="G1831" s="390" t="inlineStr">
        <is>
          <t>Chỉ tiêu cơ sở</t>
        </is>
      </c>
      <c r="H1831" s="390" t="inlineStr">
        <is>
          <t>Dễ</t>
        </is>
      </c>
      <c r="I1831" s="390" t="inlineStr">
        <is>
          <t>Ngày, CTCK</t>
        </is>
      </c>
      <c r="J1831" s="401" t="inlineStr">
        <is>
          <t>SCMS</t>
        </is>
      </c>
      <c r="K1831" s="401" t="n"/>
      <c r="L1831" s="401" t="inlineStr">
        <is>
          <t>X</t>
        </is>
      </c>
      <c r="M1831" s="401" t="n"/>
      <c r="N1831" s="401" t="inlineStr">
        <is>
          <t>Done</t>
        </is>
      </c>
      <c r="O1831" s="401" t="n"/>
      <c r="P1831" s="22" t="n"/>
      <c r="S1831" s="22" t="n"/>
      <c r="U1831" s="16" t="n"/>
      <c r="V1831" s="22" t="n"/>
      <c r="W1831" s="22" t="n"/>
      <c r="X1831" s="22" t="n"/>
      <c r="Y1831" s="13" t="n"/>
      <c r="Z1831" s="22" t="n"/>
      <c r="AA1831" s="22" t="n"/>
      <c r="AB1831" s="22" t="n"/>
      <c r="AC1831" s="22" t="n"/>
      <c r="AD1831" s="22" t="n"/>
      <c r="AE1831" s="22" t="n"/>
    </row>
    <row r="1832" ht="56" customHeight="1" s="380">
      <c r="A1832" s="126" t="n">
        <v>93</v>
      </c>
      <c r="B1832" s="390" t="n"/>
      <c r="C1832" s="390" t="inlineStr">
        <is>
          <t>Báo cáo theo Thông tư 121/2020/TT-BTC &gt;&gt; Báo báo tài chính &gt;&gt; Báo cáo tình hình tài chính riêng</t>
        </is>
      </c>
      <c r="D1832" s="390" t="inlineStr">
        <is>
          <t>2. Các tài sản tài chính ghi nhận thông qua lãi/lỗ (FVTPL)</t>
        </is>
      </c>
      <c r="E1832" s="401" t="n">
        <v>112</v>
      </c>
      <c r="F1832" s="390" t="inlineStr">
        <is>
          <t>Data Explorer</t>
        </is>
      </c>
      <c r="G1832" s="390" t="inlineStr">
        <is>
          <t>Chỉ tiêu cơ sở</t>
        </is>
      </c>
      <c r="H1832" s="390" t="inlineStr">
        <is>
          <t>Dễ</t>
        </is>
      </c>
      <c r="I1832" s="390" t="inlineStr">
        <is>
          <t>Ngày, CTCK</t>
        </is>
      </c>
      <c r="J1832" s="401" t="inlineStr">
        <is>
          <t>SCMS</t>
        </is>
      </c>
      <c r="K1832" s="401" t="n"/>
      <c r="L1832" s="401" t="inlineStr">
        <is>
          <t>X</t>
        </is>
      </c>
      <c r="M1832" s="401" t="n"/>
      <c r="N1832" s="401" t="inlineStr">
        <is>
          <t>Done</t>
        </is>
      </c>
      <c r="O1832" s="401" t="n"/>
      <c r="P1832" s="22" t="n"/>
      <c r="S1832" s="22" t="n"/>
      <c r="U1832" s="16" t="n"/>
      <c r="V1832" s="22" t="n"/>
      <c r="W1832" s="22" t="n"/>
      <c r="X1832" s="22" t="n"/>
      <c r="Y1832" s="13" t="n"/>
      <c r="Z1832" s="22" t="n"/>
      <c r="AA1832" s="22" t="n"/>
      <c r="AB1832" s="22" t="n"/>
      <c r="AC1832" s="22" t="n"/>
      <c r="AD1832" s="22" t="n"/>
      <c r="AE1832" s="22" t="n"/>
    </row>
    <row r="1833" ht="56" customHeight="1" s="380">
      <c r="A1833" s="126" t="n">
        <v>93</v>
      </c>
      <c r="B1833" s="390" t="n"/>
      <c r="C1833" s="390" t="inlineStr">
        <is>
          <t>Báo cáo theo Thông tư 121/2020/TT-BTC &gt;&gt; Báo báo tài chính &gt;&gt; Báo cáo tình hình tài chính riêng</t>
        </is>
      </c>
      <c r="D1833" s="390" t="inlineStr">
        <is>
          <t>3. Các  khoản đầu tư  nắm giữ đến ngày đáo hạn (HTM)</t>
        </is>
      </c>
      <c r="E1833" s="401" t="n">
        <v>113</v>
      </c>
      <c r="F1833" s="390" t="inlineStr">
        <is>
          <t>Data Explorer</t>
        </is>
      </c>
      <c r="G1833" s="390" t="inlineStr">
        <is>
          <t>Chỉ tiêu cơ sở</t>
        </is>
      </c>
      <c r="H1833" s="390" t="inlineStr">
        <is>
          <t>Dễ</t>
        </is>
      </c>
      <c r="I1833" s="390" t="inlineStr">
        <is>
          <t>Ngày, CTCK</t>
        </is>
      </c>
      <c r="J1833" s="401" t="inlineStr">
        <is>
          <t>SCMS</t>
        </is>
      </c>
      <c r="K1833" s="401" t="n"/>
      <c r="L1833" s="401" t="inlineStr">
        <is>
          <t>X</t>
        </is>
      </c>
      <c r="M1833" s="401" t="n"/>
      <c r="N1833" s="401" t="inlineStr">
        <is>
          <t>Done</t>
        </is>
      </c>
      <c r="O1833" s="401" t="n"/>
      <c r="P1833" s="22" t="n"/>
      <c r="S1833" s="22" t="n"/>
      <c r="U1833" s="16" t="n"/>
      <c r="V1833" s="22" t="n"/>
      <c r="W1833" s="22" t="n"/>
      <c r="X1833" s="22" t="n"/>
      <c r="Y1833" s="13" t="n"/>
      <c r="Z1833" s="22" t="n"/>
      <c r="AA1833" s="22" t="n"/>
      <c r="AB1833" s="22" t="n"/>
      <c r="AC1833" s="22" t="n"/>
      <c r="AD1833" s="22" t="n"/>
      <c r="AE1833" s="22" t="n"/>
    </row>
    <row r="1834" ht="56" customHeight="1" s="380">
      <c r="A1834" s="126" t="n">
        <v>93</v>
      </c>
      <c r="B1834" s="390" t="n"/>
      <c r="C1834" s="390" t="inlineStr">
        <is>
          <t>Báo cáo theo Thông tư 121/2020/TT-BTC &gt;&gt; Báo báo tài chính &gt;&gt; Báo cáo tình hình tài chính riêng</t>
        </is>
      </c>
      <c r="D1834" s="390" t="inlineStr">
        <is>
          <t>4. Các khoản cho vay</t>
        </is>
      </c>
      <c r="E1834" s="401" t="n">
        <v>114</v>
      </c>
      <c r="F1834" s="390" t="inlineStr">
        <is>
          <t>Data Explorer</t>
        </is>
      </c>
      <c r="G1834" s="390" t="inlineStr">
        <is>
          <t>Chỉ tiêu cơ sở</t>
        </is>
      </c>
      <c r="H1834" s="390" t="inlineStr">
        <is>
          <t>Dễ</t>
        </is>
      </c>
      <c r="I1834" s="390" t="inlineStr">
        <is>
          <t>Ngày, CTCK</t>
        </is>
      </c>
      <c r="J1834" s="401" t="inlineStr">
        <is>
          <t>SCMS</t>
        </is>
      </c>
      <c r="K1834" s="401" t="n"/>
      <c r="L1834" s="401" t="inlineStr">
        <is>
          <t>X</t>
        </is>
      </c>
      <c r="M1834" s="401" t="n"/>
      <c r="N1834" s="401" t="inlineStr">
        <is>
          <t>Done</t>
        </is>
      </c>
      <c r="O1834" s="401" t="n"/>
      <c r="P1834" s="22" t="n"/>
      <c r="S1834" s="22" t="n"/>
      <c r="U1834" s="16" t="n"/>
      <c r="V1834" s="22" t="n"/>
      <c r="W1834" s="22" t="n"/>
      <c r="X1834" s="22" t="n"/>
      <c r="Y1834" s="14" t="n"/>
      <c r="Z1834" s="22" t="n"/>
      <c r="AA1834" s="22" t="n"/>
      <c r="AB1834" s="22" t="n"/>
      <c r="AC1834" s="22" t="n"/>
      <c r="AD1834" s="22" t="n"/>
      <c r="AE1834" s="22" t="n"/>
    </row>
    <row r="1835" ht="56" customHeight="1" s="380">
      <c r="A1835" s="126" t="n">
        <v>93</v>
      </c>
      <c r="B1835" s="390" t="n"/>
      <c r="C1835" s="390" t="inlineStr">
        <is>
          <t>Báo cáo theo Thông tư 121/2020/TT-BTC &gt;&gt; Báo báo tài chính &gt;&gt; Báo cáo tình hình tài chính riêng</t>
        </is>
      </c>
      <c r="D1835" s="390" t="inlineStr">
        <is>
          <t>5. Tài sản tài chính sẵn sàng để bán (AFS)</t>
        </is>
      </c>
      <c r="E1835" s="401" t="n">
        <v>115</v>
      </c>
      <c r="F1835" s="390" t="inlineStr">
        <is>
          <t>Data Explorer</t>
        </is>
      </c>
      <c r="G1835" s="390" t="inlineStr">
        <is>
          <t>Chỉ tiêu cơ sở</t>
        </is>
      </c>
      <c r="H1835" s="390" t="inlineStr">
        <is>
          <t>Dễ</t>
        </is>
      </c>
      <c r="I1835" s="390" t="inlineStr">
        <is>
          <t>Ngày, CTCK</t>
        </is>
      </c>
      <c r="J1835" s="401" t="inlineStr">
        <is>
          <t>SCMS</t>
        </is>
      </c>
      <c r="K1835" s="401" t="n"/>
      <c r="L1835" s="401" t="inlineStr">
        <is>
          <t>X</t>
        </is>
      </c>
      <c r="M1835" s="401" t="n"/>
      <c r="N1835" s="401" t="inlineStr">
        <is>
          <t>Done</t>
        </is>
      </c>
      <c r="O1835" s="401" t="n"/>
      <c r="P1835" s="22" t="n"/>
      <c r="S1835" s="22" t="n"/>
      <c r="U1835" s="16" t="n"/>
      <c r="V1835" s="22" t="n"/>
      <c r="W1835" s="22" t="n"/>
      <c r="X1835" s="22" t="n"/>
      <c r="Y1835" s="13" t="n"/>
      <c r="Z1835" s="22" t="n"/>
      <c r="AA1835" s="22" t="n"/>
      <c r="AB1835" s="22" t="n"/>
      <c r="AC1835" s="22" t="n"/>
      <c r="AD1835" s="22" t="n"/>
      <c r="AE1835" s="22" t="n"/>
    </row>
    <row r="1836" ht="56" customHeight="1" s="380">
      <c r="A1836" s="126" t="n">
        <v>93</v>
      </c>
      <c r="B1836" s="390" t="n"/>
      <c r="C1836" s="390" t="inlineStr">
        <is>
          <t>Báo cáo theo Thông tư 121/2020/TT-BTC &gt;&gt; Báo báo tài chính &gt;&gt; Báo cáo tình hình tài chính riêng</t>
        </is>
      </c>
      <c r="D1836" s="390" t="inlineStr">
        <is>
          <t xml:space="preserve">6. Dự phòng suy giảm giá trị các tài sản tài chính và tài sản thế chấp
</t>
        </is>
      </c>
      <c r="E1836" s="401" t="n">
        <v>116</v>
      </c>
      <c r="F1836" s="390" t="inlineStr">
        <is>
          <t>Data Explorer</t>
        </is>
      </c>
      <c r="G1836" s="390" t="inlineStr">
        <is>
          <t>Chỉ tiêu cơ sở</t>
        </is>
      </c>
      <c r="H1836" s="390" t="inlineStr">
        <is>
          <t>Dễ</t>
        </is>
      </c>
      <c r="I1836" s="390" t="inlineStr">
        <is>
          <t>Ngày, CTCK</t>
        </is>
      </c>
      <c r="J1836" s="401" t="inlineStr">
        <is>
          <t>SCMS</t>
        </is>
      </c>
      <c r="K1836" s="401" t="n"/>
      <c r="L1836" s="401" t="inlineStr">
        <is>
          <t>X</t>
        </is>
      </c>
      <c r="M1836" s="401" t="n"/>
      <c r="N1836" s="401" t="inlineStr">
        <is>
          <t>Done</t>
        </is>
      </c>
      <c r="O1836" s="401" t="n"/>
      <c r="P1836" s="22" t="n"/>
      <c r="S1836" s="22" t="n"/>
      <c r="U1836" s="16" t="n"/>
      <c r="V1836" s="22" t="n"/>
      <c r="W1836" s="22" t="n"/>
      <c r="X1836" s="22" t="n"/>
      <c r="Y1836" s="13" t="n"/>
      <c r="Z1836" s="22" t="n"/>
      <c r="AA1836" s="22" t="n"/>
      <c r="AB1836" s="22" t="n"/>
      <c r="AC1836" s="22" t="n"/>
      <c r="AD1836" s="22" t="n"/>
      <c r="AE1836" s="22" t="n"/>
    </row>
    <row r="1837" ht="56" customHeight="1" s="380">
      <c r="A1837" s="126" t="n">
        <v>93</v>
      </c>
      <c r="B1837" s="390" t="n"/>
      <c r="C1837" s="390" t="inlineStr">
        <is>
          <t>Báo cáo theo Thông tư 121/2020/TT-BTC &gt;&gt; Báo báo tài chính &gt;&gt; Báo cáo tình hình tài chính riêng</t>
        </is>
      </c>
      <c r="D1837" s="390" t="inlineStr">
        <is>
          <t>7. Các khoản phải thu</t>
        </is>
      </c>
      <c r="E1837" s="401" t="n">
        <v>117</v>
      </c>
      <c r="F1837" s="390" t="inlineStr">
        <is>
          <t>Data Explorer</t>
        </is>
      </c>
      <c r="G1837" s="390" t="inlineStr">
        <is>
          <t>Chỉ tiêu cơ sở</t>
        </is>
      </c>
      <c r="H1837" s="390" t="inlineStr">
        <is>
          <t>Dễ</t>
        </is>
      </c>
      <c r="I1837" s="390" t="inlineStr">
        <is>
          <t>Ngày, CTCK</t>
        </is>
      </c>
      <c r="J1837" s="401" t="inlineStr">
        <is>
          <t>SCMS</t>
        </is>
      </c>
      <c r="K1837" s="401" t="n"/>
      <c r="L1837" s="401" t="inlineStr">
        <is>
          <t>X</t>
        </is>
      </c>
      <c r="M1837" s="401" t="n"/>
      <c r="N1837" s="401" t="inlineStr">
        <is>
          <t>Done</t>
        </is>
      </c>
      <c r="O1837" s="401" t="n"/>
      <c r="P1837" s="22" t="n"/>
      <c r="S1837" s="22" t="n"/>
      <c r="U1837" s="16" t="n"/>
      <c r="V1837" s="22" t="n"/>
      <c r="W1837" s="22" t="n"/>
      <c r="X1837" s="22" t="n"/>
      <c r="Y1837" s="13" t="n"/>
      <c r="Z1837" s="22" t="n"/>
      <c r="AA1837" s="22" t="n"/>
      <c r="AB1837" s="22" t="n"/>
      <c r="AC1837" s="22" t="n"/>
      <c r="AD1837" s="22" t="n"/>
      <c r="AE1837" s="22" t="n"/>
    </row>
    <row r="1838" ht="56" customHeight="1" s="380">
      <c r="A1838" s="126" t="n">
        <v>93</v>
      </c>
      <c r="B1838" s="390" t="n"/>
      <c r="C1838" s="390" t="inlineStr">
        <is>
          <t>Báo cáo theo Thông tư 121/2020/TT-BTC &gt;&gt; Báo báo tài chính &gt;&gt; Báo cáo tình hình tài chính riêng</t>
        </is>
      </c>
      <c r="D1838" s="390" t="inlineStr">
        <is>
          <t>7.1. Phải thu bán các tài sản tài chính</t>
        </is>
      </c>
      <c r="E1838" s="401" t="n">
        <v>117.1</v>
      </c>
      <c r="F1838" s="390" t="inlineStr">
        <is>
          <t>Data Explorer</t>
        </is>
      </c>
      <c r="G1838" s="390" t="inlineStr">
        <is>
          <t>Chỉ tiêu cơ sở</t>
        </is>
      </c>
      <c r="H1838" s="390" t="inlineStr">
        <is>
          <t>Dễ</t>
        </is>
      </c>
      <c r="I1838" s="390" t="inlineStr">
        <is>
          <t>Ngày, CTCK</t>
        </is>
      </c>
      <c r="J1838" s="401" t="inlineStr">
        <is>
          <t>SCMS</t>
        </is>
      </c>
      <c r="K1838" s="401" t="n"/>
      <c r="L1838" s="401" t="inlineStr">
        <is>
          <t>X</t>
        </is>
      </c>
      <c r="M1838" s="401" t="n"/>
      <c r="N1838" s="401" t="inlineStr">
        <is>
          <t>Done</t>
        </is>
      </c>
      <c r="O1838" s="401" t="n"/>
      <c r="P1838" s="22" t="n"/>
      <c r="S1838" s="22" t="n"/>
      <c r="U1838" s="16" t="n"/>
      <c r="V1838" s="22" t="n"/>
      <c r="W1838" s="22" t="n"/>
      <c r="X1838" s="22" t="n"/>
      <c r="Y1838" s="13" t="n"/>
      <c r="Z1838" s="22" t="n"/>
      <c r="AA1838" s="22" t="n"/>
      <c r="AB1838" s="22" t="n"/>
      <c r="AC1838" s="22" t="n"/>
      <c r="AD1838" s="22" t="n"/>
      <c r="AE1838" s="22" t="n"/>
    </row>
    <row r="1839" ht="56" customHeight="1" s="380">
      <c r="A1839" s="126" t="n">
        <v>93</v>
      </c>
      <c r="B1839" s="390" t="n"/>
      <c r="C1839" s="390" t="inlineStr">
        <is>
          <t>Báo cáo theo Thông tư 121/2020/TT-BTC &gt;&gt; Báo báo tài chính &gt;&gt; Báo cáo tình hình tài chính riêng</t>
        </is>
      </c>
      <c r="D1839" s="390" t="inlineStr">
        <is>
          <t xml:space="preserve">7.2. Phải thu và dự thu cổ tức, tiền lãi các tài sản tài chính
</t>
        </is>
      </c>
      <c r="E1839" s="401" t="n">
        <v>117.2</v>
      </c>
      <c r="F1839" s="390" t="inlineStr">
        <is>
          <t>Data Explorer</t>
        </is>
      </c>
      <c r="G1839" s="390" t="inlineStr">
        <is>
          <t>Chỉ tiêu cơ sở</t>
        </is>
      </c>
      <c r="H1839" s="390" t="inlineStr">
        <is>
          <t>Dễ</t>
        </is>
      </c>
      <c r="I1839" s="390" t="inlineStr">
        <is>
          <t>Ngày, CTCK</t>
        </is>
      </c>
      <c r="J1839" s="401" t="inlineStr">
        <is>
          <t>SCMS</t>
        </is>
      </c>
      <c r="K1839" s="401" t="n"/>
      <c r="L1839" s="401" t="inlineStr">
        <is>
          <t>X</t>
        </is>
      </c>
      <c r="M1839" s="401" t="n"/>
      <c r="N1839" s="401" t="inlineStr">
        <is>
          <t>Done</t>
        </is>
      </c>
      <c r="O1839" s="401" t="n"/>
      <c r="P1839" s="22" t="n"/>
      <c r="S1839" s="22" t="n"/>
      <c r="U1839" s="16" t="n"/>
      <c r="V1839" s="22" t="n"/>
      <c r="W1839" s="22" t="n"/>
      <c r="X1839" s="22" t="n"/>
      <c r="Y1839" s="13" t="n"/>
      <c r="Z1839" s="22" t="n"/>
      <c r="AA1839" s="22" t="n"/>
      <c r="AB1839" s="22" t="n"/>
      <c r="AC1839" s="22" t="n"/>
      <c r="AD1839" s="22" t="n"/>
      <c r="AE1839" s="22" t="n"/>
    </row>
    <row r="1840" ht="56" customHeight="1" s="380">
      <c r="A1840" s="126" t="n">
        <v>93</v>
      </c>
      <c r="B1840" s="390" t="n"/>
      <c r="C1840" s="390" t="inlineStr">
        <is>
          <t>Báo cáo theo Thông tư 121/2020/TT-BTC &gt;&gt; Báo báo tài chính &gt;&gt; Báo cáo tình hình tài chính riêng</t>
        </is>
      </c>
      <c r="D1840" s="390" t="inlineStr">
        <is>
          <t>7.2.1. Phải thu cổ tức, tiền lãi đến ngày nhận</t>
        </is>
      </c>
      <c r="E1840" s="401" t="n">
        <v>117.3</v>
      </c>
      <c r="F1840" s="390" t="inlineStr">
        <is>
          <t>Data Explorer</t>
        </is>
      </c>
      <c r="G1840" s="390" t="inlineStr">
        <is>
          <t>Chỉ tiêu cơ sở</t>
        </is>
      </c>
      <c r="H1840" s="390" t="inlineStr">
        <is>
          <t>Dễ</t>
        </is>
      </c>
      <c r="I1840" s="390" t="inlineStr">
        <is>
          <t>Ngày, CTCK</t>
        </is>
      </c>
      <c r="J1840" s="401" t="inlineStr">
        <is>
          <t>SCMS</t>
        </is>
      </c>
      <c r="K1840" s="401" t="n"/>
      <c r="L1840" s="401" t="inlineStr">
        <is>
          <t>X</t>
        </is>
      </c>
      <c r="M1840" s="401" t="n"/>
      <c r="N1840" s="401" t="inlineStr">
        <is>
          <t>Done</t>
        </is>
      </c>
      <c r="O1840" s="401" t="n"/>
      <c r="P1840" s="22" t="n"/>
      <c r="S1840" s="22" t="n"/>
      <c r="U1840" s="16" t="n"/>
      <c r="V1840" s="22" t="n"/>
      <c r="W1840" s="22" t="n"/>
      <c r="X1840" s="22" t="n"/>
      <c r="Y1840" s="14" t="n"/>
      <c r="Z1840" s="22" t="n"/>
      <c r="AA1840" s="22" t="n"/>
      <c r="AB1840" s="22" t="n"/>
      <c r="AC1840" s="22" t="n"/>
      <c r="AD1840" s="22" t="n"/>
      <c r="AE1840" s="22" t="n"/>
    </row>
    <row r="1841" ht="56" customHeight="1" s="380">
      <c r="A1841" s="126" t="n">
        <v>93</v>
      </c>
      <c r="B1841" s="390" t="n"/>
      <c r="C1841" s="390" t="inlineStr">
        <is>
          <t>Báo cáo theo Thông tư 121/2020/TT-BTC &gt;&gt; Báo báo tài chính &gt;&gt; Báo cáo tình hình tài chính riêng</t>
        </is>
      </c>
      <c r="D1841" s="390" t="inlineStr">
        <is>
          <t>7.2.2. Dự thu cổ tức, tiền lãi chưa đến ngày nhận</t>
        </is>
      </c>
      <c r="E1841" s="401" t="n">
        <v>117.4</v>
      </c>
      <c r="F1841" s="390" t="inlineStr">
        <is>
          <t>Data Explorer</t>
        </is>
      </c>
      <c r="G1841" s="390" t="inlineStr">
        <is>
          <t>Chỉ tiêu cơ sở</t>
        </is>
      </c>
      <c r="H1841" s="390" t="inlineStr">
        <is>
          <t>Dễ</t>
        </is>
      </c>
      <c r="I1841" s="390" t="inlineStr">
        <is>
          <t>Ngày, CTCK</t>
        </is>
      </c>
      <c r="J1841" s="401" t="inlineStr">
        <is>
          <t>SCMS</t>
        </is>
      </c>
      <c r="K1841" s="401" t="n"/>
      <c r="L1841" s="401" t="inlineStr">
        <is>
          <t>X</t>
        </is>
      </c>
      <c r="M1841" s="401" t="n"/>
      <c r="N1841" s="401" t="inlineStr">
        <is>
          <t>Done</t>
        </is>
      </c>
      <c r="O1841" s="401" t="n"/>
      <c r="P1841" s="22" t="n"/>
      <c r="S1841" s="22" t="n"/>
      <c r="U1841" s="16" t="n"/>
      <c r="V1841" s="22" t="n"/>
      <c r="W1841" s="22" t="n"/>
      <c r="X1841" s="22" t="n"/>
      <c r="Y1841" s="13" t="n"/>
      <c r="Z1841" s="22" t="n"/>
      <c r="AA1841" s="22" t="n"/>
      <c r="AB1841" s="22" t="n"/>
      <c r="AC1841" s="22" t="n"/>
      <c r="AD1841" s="22" t="n"/>
      <c r="AE1841" s="22" t="n"/>
    </row>
    <row r="1842" ht="56" customHeight="1" s="380">
      <c r="A1842" s="126" t="n">
        <v>93</v>
      </c>
      <c r="B1842" s="390" t="n"/>
      <c r="C1842" s="390" t="inlineStr">
        <is>
          <t>Báo cáo theo Thông tư 121/2020/TT-BTC &gt;&gt; Báo báo tài chính &gt;&gt; Báo cáo tình hình tài chính riêng</t>
        </is>
      </c>
      <c r="D1842" s="390" t="inlineStr">
        <is>
          <t>8. Trả trước cho người bán</t>
        </is>
      </c>
      <c r="E1842" s="401" t="n">
        <v>118</v>
      </c>
      <c r="F1842" s="390" t="inlineStr">
        <is>
          <t>Data Explorer</t>
        </is>
      </c>
      <c r="G1842" s="390" t="inlineStr">
        <is>
          <t>Chỉ tiêu cơ sở</t>
        </is>
      </c>
      <c r="H1842" s="390" t="inlineStr">
        <is>
          <t>Dễ</t>
        </is>
      </c>
      <c r="I1842" s="390" t="inlineStr">
        <is>
          <t>Ngày, CTCK</t>
        </is>
      </c>
      <c r="J1842" s="401" t="inlineStr">
        <is>
          <t>SCMS</t>
        </is>
      </c>
      <c r="K1842" s="401" t="n"/>
      <c r="L1842" s="401" t="inlineStr">
        <is>
          <t>X</t>
        </is>
      </c>
      <c r="M1842" s="401" t="n"/>
      <c r="N1842" s="401" t="inlineStr">
        <is>
          <t>Done</t>
        </is>
      </c>
      <c r="O1842" s="401" t="n"/>
      <c r="P1842" s="22" t="n"/>
      <c r="S1842" s="22" t="n"/>
      <c r="U1842" s="16" t="n"/>
      <c r="V1842" s="22" t="n"/>
      <c r="W1842" s="22" t="n"/>
      <c r="X1842" s="22" t="n"/>
      <c r="Y1842" s="13" t="n"/>
      <c r="Z1842" s="22" t="n"/>
      <c r="AA1842" s="22" t="n"/>
      <c r="AB1842" s="22" t="n"/>
      <c r="AC1842" s="22" t="n"/>
      <c r="AD1842" s="22" t="n"/>
      <c r="AE1842" s="22" t="n"/>
    </row>
    <row r="1843" ht="56" customHeight="1" s="380">
      <c r="A1843" s="126" t="n">
        <v>93</v>
      </c>
      <c r="B1843" s="390" t="n"/>
      <c r="C1843" s="390" t="inlineStr">
        <is>
          <t>Báo cáo theo Thông tư 121/2020/TT-BTC &gt;&gt; Báo báo tài chính &gt;&gt; Báo cáo tình hình tài chính riêng</t>
        </is>
      </c>
      <c r="D1843" s="390" t="inlineStr">
        <is>
          <t>9. Phải thu các dịch vụ CTCK cung cấp</t>
        </is>
      </c>
      <c r="E1843" s="401" t="n">
        <v>119</v>
      </c>
      <c r="F1843" s="390" t="inlineStr">
        <is>
          <t>Data Explorer</t>
        </is>
      </c>
      <c r="G1843" s="390" t="inlineStr">
        <is>
          <t>Chỉ tiêu cơ sở</t>
        </is>
      </c>
      <c r="H1843" s="390" t="inlineStr">
        <is>
          <t>Dễ</t>
        </is>
      </c>
      <c r="I1843" s="390" t="inlineStr">
        <is>
          <t>Ngày, CTCK</t>
        </is>
      </c>
      <c r="J1843" s="401" t="inlineStr">
        <is>
          <t>SCMS</t>
        </is>
      </c>
      <c r="K1843" s="401" t="n"/>
      <c r="L1843" s="401" t="inlineStr">
        <is>
          <t>X</t>
        </is>
      </c>
      <c r="M1843" s="401" t="n"/>
      <c r="N1843" s="401" t="inlineStr">
        <is>
          <t>Done</t>
        </is>
      </c>
      <c r="O1843" s="401" t="n"/>
      <c r="P1843" s="22" t="n"/>
      <c r="S1843" s="22" t="n"/>
      <c r="U1843" s="16" t="n"/>
      <c r="V1843" s="22" t="n"/>
      <c r="W1843" s="22" t="n"/>
      <c r="X1843" s="22" t="n"/>
      <c r="Y1843" s="13" t="n"/>
      <c r="Z1843" s="22" t="n"/>
      <c r="AA1843" s="22" t="n"/>
      <c r="AB1843" s="22" t="n"/>
      <c r="AC1843" s="22" t="n"/>
      <c r="AD1843" s="22" t="n"/>
      <c r="AE1843" s="22" t="n"/>
    </row>
    <row r="1844" ht="56" customHeight="1" s="380">
      <c r="A1844" s="126" t="n">
        <v>93</v>
      </c>
      <c r="B1844" s="390" t="n"/>
      <c r="C1844" s="390" t="inlineStr">
        <is>
          <t>Báo cáo theo Thông tư 121/2020/TT-BTC &gt;&gt; Báo báo tài chính &gt;&gt; Báo cáo tình hình tài chính riêng</t>
        </is>
      </c>
      <c r="D1844" s="390" t="inlineStr">
        <is>
          <t>10. Phải thu nội bộ</t>
        </is>
      </c>
      <c r="E1844" s="401" t="n">
        <v>120</v>
      </c>
      <c r="F1844" s="390" t="inlineStr">
        <is>
          <t>Data Explorer</t>
        </is>
      </c>
      <c r="G1844" s="390" t="inlineStr">
        <is>
          <t>Chỉ tiêu cơ sở</t>
        </is>
      </c>
      <c r="H1844" s="390" t="inlineStr">
        <is>
          <t>Dễ</t>
        </is>
      </c>
      <c r="I1844" s="390" t="inlineStr">
        <is>
          <t>Ngày, CTCK</t>
        </is>
      </c>
      <c r="J1844" s="401" t="inlineStr">
        <is>
          <t>SCMS</t>
        </is>
      </c>
      <c r="K1844" s="401" t="n"/>
      <c r="L1844" s="401" t="inlineStr">
        <is>
          <t>X</t>
        </is>
      </c>
      <c r="M1844" s="401" t="n"/>
      <c r="N1844" s="401" t="inlineStr">
        <is>
          <t>Done</t>
        </is>
      </c>
      <c r="O1844" s="401" t="n"/>
      <c r="P1844" s="22" t="n"/>
      <c r="S1844" s="22" t="n"/>
      <c r="T1844" s="389" t="inlineStr">
        <is>
          <t xml:space="preserve">    
    -- Số cuối năm
	MAX(CASE WHEN bsc.TEN_COT=N'Số cuối năm' AND bsh.MA_HANG = '2' THEN CAST(gt.GIA_TRI AS VARCHAR2(4000)) END) AS "TÀI SẢN",
    MAX(CASE WHEN bsc.TEN_COT=N'Số cuối năm' AND bsh.MA_HANG = '3' THEN CAST(gt.GIA_TRI AS VARCHAR2(4000)) END) AS "A. TÀI SẢN NGẮN HẠN (100 = 110 + 130)",
    MAX(CASE WHEN bsc.TEN_COT=N'Số cuối năm' AND bsh.MA_HANG = '4' THEN CAST(gt.GIA_TRI AS VARCHAR2(4000)) END) AS "I. Tài sản tài chính",
    MAX(CASE WHEN bsc.TEN_COT=N'Số cuối năm' AND bsh.MA_HANG = '5' THEN CAST(gt.GIA_TRI AS VARCHAR2(4000)) END) AS "1.Tiền và các khoản tương đương tiền",
    MAX(CASE WHEN bsc.TEN_COT=N'Số cuối năm' AND bsh.MA_HANG = '6' THEN CAST(gt.GIA_TRI AS VARCHAR2(4000)) END) AS "1.1. Tiền",
    MAX(CASE WHEN bsc.TEN_COT=N'Số cuối năm' AND bsh.MA_HANG = '7' THEN CAST(gt.GIA_TRI AS VARCHAR2(4000)) END) AS "1.2. Các khoản tương đương tiền",
    MAX(CASE WHEN bsc.TEN_COT=N'Số cuối năm' AND bsh.MA_HANG = '8' THEN CAST(gt.GIA_TRI AS VARCHAR2(4000)) END) AS "2. Các tài sản tài chính ghi nhận thông qua lãi/lỗ (FVTPL)",
    MAX(CASE WHEN bsc.TEN_COT=N'Số cuối năm' AND bsh.MA_HANG = '9' THEN CAST(gt.GIA_TRI AS VARCHAR2(4000)) END) AS "3. Các  khoản đầu tư  nắm giữ đến ngày đáo hạn (HTM)",
    MAX(CASE WHEN bsc.TEN_COT=N'Số cuối năm' AND bsh.MA_HANG = '10' THEN CAST(gt.GIA_TRI AS VARCHAR2(4000)) END) AS "4. Các khoản cho vay",
    MAX(CASE WHEN bsc.TEN_COT=N'Số cuối năm' AND bsh.MA_HANG = '11' THEN CAST(gt.GIA_TRI AS VARCHAR2(4000)) END) AS "5. Tài sản tài chính sẵn sàng để bán (AFS)",
    MAX(CASE WHEN bsc.TEN_COT=N'Số cuối năm' AND bsh.MA_HANG = '12' THEN CAST(gt.GIA_TRI AS VARCHAR2(4000)) END) AS "6. Dự phòng suy giảm giá trị các tài sản tài chính và tài sản thế chấp",
    MAX(CASE WHEN bsc.TEN_COT=N'Số cuối năm' AND bsh.MA_HANG = '13' THEN CAST(gt.GIA_TRI AS VARCHAR2(4000)) END) AS "7. Các khoản phải thu",
    MAX(CASE WHEN bsc.TEN_COT=N'Số cuối năm' AND bsh.MA_HANG = '14' THEN CAST(gt.GIA_TRI AS VARCHAR2(4000)) END) AS "7.1. Phải thu bán các tài sản tài chính",
    MAX(CASE WHEN bsc.TEN_COT=N'Số cuối năm' AND bsh.MA_HANG = '15' THEN CAST(gt.GIA_TRI AS VARCHAR2(4000)) END) AS "7.2. Phải thu và dự thu cổ tức, tiền lãi các tài sản tài chính",
    MAX(CASE WHEN bsc.TEN_COT=N'Số cuối năm' AND bsh.MA_HANG = '16' THEN CAST(gt.GIA_TRI AS VARCHAR2(4000)) END) AS "7.2.1. Phải thu cổ tức, tiền lãi đến ngày nhận",
    MAX(CASE WHEN bsc.TEN_COT=N'Số cuối năm' AND bsh.MA_HANG = '17' THEN CAST(gt.GIA_TRI AS VARCHAR2(4000)) END) AS "7.2.2. Dự thu cổ tức, tiền lãi chưa đến ngày nhận",
    MAX(CASE WHEN bsc.TEN_COT=N'Số cuối năm' AND bsh.MA_HANG = '18' THEN CAST(gt.GIA_TRI AS VARCHAR2(4000)) END) AS "8. Trả trước cho người bán",
    MAX(CASE WHEN bsc.TEN_COT=N'Số cuối năm' AND bsh.MA_HANG = '19' THEN CAST(gt.GIA_TRI AS VARCHAR2(4000)) END) AS "9. Phải thu các dịch vụ CTCK cung cấp",
    MAX(CASE WHEN bsc.TEN_COT=N'Số cuối năm' AND bsh.MA_HANG = '20' THEN CAST(gt.GIA_TRI AS VARCHAR2(4000)) END) AS "10. Phải thu nội bộ",
    MAX(CASE WHEN bsc.TEN_COT=N'Số cuối năm' AND bsh.MA_HANG = '21' THEN CAST(gt.GIA_TRI AS VARCHAR2(4000)) END) AS "11. Phải thu về lỗi giao dịch chứng khoán",
    MAX(CASE WHEN bsc.TEN_COT=N'Số cuối năm' AND bsh.MA_HANG = '22' THEN CAST(gt.GIA_TRI AS VARCHAR2(4000)) END) AS "12. Các khoản phải thu khác",
    MAX(CASE WHEN bsc.TEN_COT=N'Số cuối năm' AND bsh.MA_HANG = '23' THEN CAST(gt.GIA_TRI AS VARCHAR2(4000)) END) AS "13. Dự phòng suy giảm giá trị các khoản phải thu (*)",
    MAX(CASE WHEN bsc.TEN_COT=N'Số cuối năm' AND bsh.MA_HANG = '24' THEN CAST(gt.GIA_TRI AS VARCHAR2(4000)) END) AS "II. Tài sản ngắn hạn khác",
    MAX(CASE WHEN bsc.TEN_COT=N'Số cuối năm' AND bsh.MA_HANG = '25' THEN CAST(gt.GIA_TRI AS VARCHAR2(4000)) END) AS "1. Tạm ứng",
    MAX(CASE WHEN bsc.TEN_COT=N'Số cuối năm' AND bsh.MA_HANG = '26' THEN CAST(gt.GIA_TRI AS VARCHAR2(4000)) END) AS "2. Vật tư văn phòng, công cụ, dụng cụ",
    MAX(CASE WHEN bsc.TEN_COT=N'Số cuối năm' AND bsh.MA_HANG = '27' THEN CAST(gt.GIA_TRI AS VARCHAR2(4000)) END) AS "3. Chi phí trả trước ngắn hạn",
    MAX(CASE WHEN bsc.TEN_COT=N'Số cuối năm' AND bsh.MA_HANG = '28' THEN CAST(gt.GIA_TRI AS VARCHAR2(4000)) END) AS "4. Cầm cố, thế chấp, ký quỹ, ký cược ngắn hạn",
    MAX(CASE WHEN bsc.TEN_COT=N'Số cuối năm' AND bsh.MA_HANG = '29' THEN CAST(gt.GIA_TRI AS VARCHAR2(4000)) END) AS "5. Thuế giá trị gia tăng được khấu trừ",
    MAX(CASE WHEN bsc.TEN_COT=N'Số cuối năm' AND bsh.MA_HANG = '30' THEN CAST(gt.GIA_TRI AS VARCHAR2(4000)) END) AS "6. Thuế và các khoản khác phải thu Nhà nước",
    MAX(CASE WHEN bsc.TEN_COT=N'Số cuối năm' AND bsh.MA_HANG = '31' THEN CAST(gt.GIA_TRI AS VARCHAR2(4000)) END) AS "7. Tài sản ngắn hạn khác",
    MAX(CASE WHEN bsc.TEN_COT=N'Số cuối năm' AND bsh.MA_HANG = '32' THEN CAST(gt.GIA_TRI AS VARCHAR2(4000)) END) AS "8. Giao dịch mua bán lại trái phiếu Chính phủ",
    MAX(CASE WHEN bsc.TEN_COT=N'Số cuối năm' AND bsh.MA_HANG = '33' THEN CAST(gt.GIA_TRI AS VARCHAR2(4000)) END) AS "9. Dự phòng suy giảm giá trị tài sản ngắn hạn khác",
    MAX(CASE WHEN bsc.TEN_COT=N'Số cuối năm' AND bsh.MA_HANG = '34' THEN CAST(gt.GIA_TRI AS VARCHAR2(4000)) END) AS "B. TÀI SẢN DÀI HẠN (200 = 210 + 220 + 230 + 240 + 250 - 260)",
    MAX(CASE WHEN bsc.TEN_COT=N'Số cuối năm' AND bsh.MA_HANG = '35' THEN CAST(gt.GIA_TRI AS VARCHAR2(4000)) END) AS "I. Tài sản tài chính dài hạn",
    MAX(CASE WHEN bsc.TEN_COT=N'Số cuối năm' AND bsh.MA_HANG = '36' THEN CAST(gt.GIA_TRI AS VARCHAR2(4000)) END) AS "1. Các khoản phải thu dài hạn",
    MAX(CASE WHEN bsc.TEN_COT=N'Số cuối năm' AND bsh.MA_HANG = '37' THEN CAST(gt.GIA_TRI AS VARCHAR2(4000)) END) AS "2. Các khoản đầu tư",
    MAX(CASE WHEN bsc.TEN_COT=N'Số cuối năm' AND bsh.MA_HANG = '38' THEN CAST(gt.GIA_TRI AS VARCHAR2(4000)) END) AS "2.1.Các khoản đầu tư nắm giữ đến ngày đáo hạn",
    MAX(CASE WHEN bsc.TEN_COT=N'Số cuối năm' AND bsh.MA_HANG = '39' THEN CAST(gt.GIA_TRI AS VARCHAR2(4000)) END) AS "2.2. Đầu tư vào công ty con ",
    MAX(CASE WHEN bsc.TEN_COT=N'Số cuối năm' AND bsh.MA_HANG = '40' THEN CAST(gt.GIA_TRI AS VARCHAR2(4000)) END) AS "2.3. Đầu tư vào công ty liên doanh, liên kết ",
    MAX(CASE WHEN bsc.TEN_COT=N'Số cuối năm' AND bsh.MA_HANG = '41' THEN CAST(gt.GIA_TRI AS VARCHAR2(4000)) END) AS "2.4. Đầu tư dài hạn khác",
    MAX(CASE WHEN bsc.TEN_COT=N'Số cuối năm' AND bsh.MA_HANG = '42' THEN CAST(gt.GIA_TRI AS VARCHAR2(4000)) END) AS "3. Dự phòng suy giảm tài sản tài chính dài hạn",
    MAX(CASE WHEN bsc.TEN_COT=N'Số cuối năm' AND bsh.MA_HANG = '43' THEN CAST(gt.GIA_TRI AS VARCHAR2(4000)) END) AS "II. Tài sản cố định",
    MAX(CASE WHEN bsc.TEN_COT=N'Số cuối năm' AND bsh.MA_HANG = '44' THEN CAST(gt.GIA_TRI AS VARCHAR2(4000)) END) AS "1. Tài sản cố định hữu hình",
    MAX(CASE WHEN bsc.TEN_COT=N'Số cuối năm' AND bsh.MA_HANG = '45' THEN CAST(gt.GIA_TRI AS VARCHAR2(4000)) END) AS "- Nguyên giá",
    MAX(CASE WHEN bsc.TEN_COT=N'Số cuối năm' AND bsh.MA_HANG = '46' THEN CAST(gt.GIA_TRI AS VARCHAR2(4000)) END) AS "- Giá trị hao mòn luỹ kế (*)",
    MAX(CASE WHEN bsc.TEN_COT=N'Số cuối năm' AND bsh.MA_HANG = '47' THEN CAST(gt.GIA_TRI AS VARCHAR2(4000)) END) AS "- Đánh giá TSCĐHH theo giá trị hợp lý",
    MAX(CASE WHEN bsc.TEN_COT=N'Số cuối năm' AND bsh.MA_HANG = '48' THEN CAST(gt.GIA_TRI AS VARCHAR2(4000)) END) AS "2. Tài sản cố định thuê tài chính",
    MAX(CASE WHEN bsc.TEN_COT=N'Số cuối năm' AND bsh.MA_HANG = '49' THEN CAST(gt.GIA_TRI AS VARCHAR2(4000)) END) AS "- Nguyên giá",
    MAX(CASE WHEN bsc.TEN_COT=N'Số cuối năm' AND bsh.MA_HANG = '50' THEN CAST(gt.GIA_TRI AS VARCHAR2(4000)) END) AS "- Giá trị hao mòn luỹ kế (*)",
    MAX(CASE WHEN bsc.TEN_COT=N'Số cuối năm' AND bsh.MA_HANG = '51' THEN CAST(gt.GIA_TRI AS VARCHAR2(4000)) END) AS "- Đánh giá TSCĐTTC theo giá trị hợp lý",
    MAX(CASE WHEN bsc.TEN_COT=N'Số cuối năm' AND bsh.MA_HANG = '52' THEN CAST(gt.GIA_TRI AS VARCHAR2(4000)) END) AS "3. Tài sản cố định vô hình",
    MAX(CASE WHEN bsc.TEN_COT=N'Số cuối năm' AND bsh.MA_HANG = '53' THEN CAST(gt.GIA_TRI AS VARCHAR2(4000)) END) AS "- Nguyên giá",
    MAX(CASE WHEN bsc.TEN_COT=N'Số cuối năm' AND bsh.MA_HANG = '54' THEN CAST(gt.GIA_TRI AS VARCHAR2(4000)) END) AS "- Giá trị hao mòn luỹ kế (*)",
    MAX(CASE WHEN bsc.TEN_COT=N'Số cuối năm' AND bsh.MA_HANG = '55' THEN CAST(gt.GIA_TRI AS VARCHAR2(4000)) END) AS "- Đánh giá TSCĐVH theo giá trị hợp lý",
    MAX(CASE WHEN bsc.TEN_COT=N'Số cuối năm' AND bsh.MA_HANG = '56' THEN CAST(gt.GIA_TRI AS VARCHAR2(4000)) END) AS "III. Bất động sản đầu tư",
    MAX(CASE WHEN bsc.TEN_COT=N'Số cuối năm' AND bsh.MA_HANG = '57' THEN CAST(gt.GIA_TRI AS VARCHAR2(4000)) END) AS "- Nguyên giá",
    MAX(CASE WHEN bsc.TEN_COT=N'Số cuối năm' AND bsh.MA_HANG = '58' THEN CAST(gt.GIA_TRI AS VARCHAR2(4000)) END) AS "- Giá trị hao mòn luỹ kế (*)",
    MAX(CASE WHEN bsc.TEN_COT=N'Số cuối năm' AND bsh.MA_HANG = '59' THEN CAST(gt.GIA_TRI AS VARCHAR2(4000)) END) AS "- Đánh giá TSCĐVH theo giá trị hợp lý",
    MAX(CASE WHEN bsc.TEN_COT=N'Số cuối năm' AND bsh.MA_HANG = '60' THEN CAST(gt.GIA_TRI AS VARCHAR2(4000)) END) AS "IV.Chi phí xây dựng cơ bản dở dang",
    MAX(CASE WHEN bsc.TEN_COT=N'Số cuối năm' AND bsh.MA_HANG = '61' THEN CAST(gt.GIA_TRI AS VARCHAR2(4000)) END) AS "V. Tài sản dài hạn khác",
    MAX(CASE WHEN bsc.TEN_COT=N'Số cuối năm' AND bsh.MA_HANG = '62' THEN CAST(gt.GIA_TRI AS VARCHAR2(4000)) END) AS "1. Cầm cố, thế chấp, ký quỹ, ký cược dài hạn",
    MAX(CASE WHEN bsc.TEN_COT=N'Số cuối năm' AND bsh.MA_HANG = '63' THEN CAST(gt.GIA_TRI AS VARCHAR2(4000)) END) AS "2. Chi phí trả trước dài hạn",
    MAX(CASE WHEN bsc.TEN_COT=N'Số cuối năm' AND bsh.MA_HANG = '64' THEN CAST(gt.GIA_TRI AS VARCHAR2(4000)) END) AS "3. Tài sản thuế thu nhập hoãn lại",
    MAX(CASE WHEN bsc.TEN_COT=N'Số cuối năm' AND bsh.MA_HANG = '65' THEN CAST(gt.GIA_TRI AS VARCHAR2(4000)) END) AS "4. Tiền nộp Quỹ Hỗ trợ thanh toán",
    MAX(CASE WHEN bsc.TEN_COT=N'Số cuối năm' AND bsh.MA_HANG = '66' THEN CAST(gt.GIA_TRI AS VARCHAR2(4000)) END) AS "5. Tài sản dài hạn khác",
    MAX(CASE WHEN bsc.TEN_COT=N'Số cuối năm' AND bsh.MA_HANG = '67' THEN CAST(gt.GIA_TRI AS VARCHAR2(4000)) END) AS "VI. Dự phòng suy giảm giá trị tài sản dài hạn",
    MAX(CASE WHEN bsc.TEN_COT=N'Số cuối năm' AND bsh.MA_HANG = '68' THEN CAST(gt.GIA_TRI AS VARCHAR2(4000)) END) AS "TỔNG CỘNG TÀI SẢN",
    MAX(CASE WHEN bsc.TEN_COT=N'Số cuối năm' AND bsh.MA_HANG = '69' THEN CAST(gt.GIA_TRI AS VARCHAR2(4000)) END) AS "(270 = 100 + 200)",
    MAX(CASE WHEN bsc.TEN_COT=N'Số cuối năm' AND bsh.MA_HANG = '70' THEN CAST(gt.GIA_TRI AS VARCHAR2(4000)) END) AS "C. NỢ PHẢI TRẢ (300 = 310 + 340)",
    MAX(CASE WHEN bsc.TEN_COT=N'Số cuối năm' AND bsh.MA_HANG = '71' THEN CAST(gt.GIA_TRI AS VARCHAR2(4000)) END) AS "I. Nợ phải trả ngắn hạn",
    MAX(CASE WHEN bsc.TEN_COT=N'Số cuối năm' AND bsh.MA_HANG = '72' THEN CAST(gt.GIA_TRI AS VARCHAR2(4000)) END) AS "1. Vay và nợ thuê tài chính ngắn hạn",
    MAX(CASE WHEN bsc.TEN_COT=N'Số cuối năm' AND bsh.MA_HANG = '73' THEN CAST(gt.GIA_TRI AS VARCHAR2(4000)) END) AS "1.1. Vay ngắn hạn",
    MAX(CASE WHEN bsc.TEN_COT=N'Số cuối năm' AND bsh.MA_HANG = '74' THEN CAST(gt.GIA_TRI AS VARCHAR2(4000)) END) AS "1.2. Nợ thuê tài chính ngắn hạn",
    MAX(CASE WHEN bsc.TEN_COT=N'Số cuối năm' AND bsh.MA_HANG = '75' THEN CAST(gt.GIA_TRI AS VARCHAR2(4000)) END) AS "2. Vay tài sản tài chính ngắn hạn",
    MAX(CASE WHEN bsc.TEN_COT=N'Số cuối năm' AND bsh.MA_HANG = '76' THEN CAST(gt.GIA_TRI AS VARCHAR2(4000)) END) AS "3. Trái phiếu chuyển đổi ngắn hạn - Cấu phần nợ",
    MAX(CASE WHEN bsc.TEN_COT=N'Số cuối năm' AND bsh.MA_HANG = '77' THEN CAST(gt.GIA_TRI AS VARCHAR2(4000)) END) AS "4. Trái phiếu phát hành ngắn hạn",
    MAX(CASE WHEN bsc.TEN_COT=N'Số cuối năm' AND bsh.MA_HANG = '78' THEN CAST(gt.GIA_TRI AS VARCHAR2(4000)) END) AS "5. Vay Quỹ Hỗ trợ thanh toán",
    MAX(CASE WHEN bsc.TEN_COT=N'Số cuối năm' AND bsh.MA_HANG = '79' THEN CAST(gt.GIA_TRI AS VARCHAR2(4000)) END) AS "6. Phải trả hoạt động giao dịch chứng khoán",
    MAX(CASE WHEN bsc.TEN_COT=N'Số cuối năm' AND bsh.MA_HANG = '80' THEN CAST(gt.GIA_TRI AS VARCHAR2(4000)) END) AS "7. Phải trả về lỗi giao dịch các tài sản tài chính",
    MAX(CASE WHEN bsc.TEN_COT=N'Số cuối năm' AND bsh.MA_HANG = '81' THEN CAST(gt.GIA_TRI AS VARCHAR2(4000)) END) AS "8. Phải trả người bán ngắn hạn",
    MAX(CASE WHEN bsc.TEN_COT=N'Số cuối năm' AND bsh.MA_HANG = '82' THEN CAST(gt.GIA_TRI AS VARCHAR2(4000)) END) AS "9. Người mua trả tiền trước ngắn hạn",
    MAX(CASE WHEN bsc.TEN_COT=N'Số cuối năm' AND bsh.MA_HANG = '83' THEN CAST(gt.GIA_TRI AS VARCHAR2(4000)) END) AS "10. Thuế và các khoản phải nộp Nhà nước",
    MAX(CASE WHEN bsc.TEN_COT=N'Số cuối năm' AND bsh.MA_HANG = '84' THEN CAST(gt.GIA_TRI AS VARCHAR2(4000)) END) AS "11. Phải trả người lao động",
    MAX(CASE WHEN bsc.TEN_COT=N'Số cuối năm' AND bsh.MA_HANG = '85' THEN CAST(gt.GIA_TRI AS VARCHAR2(4000)) END) AS "12. Các khoản trích nộp phúc lợi nhân viên",
    MAX(CASE WHEN bsc.TEN_COT=N'Số cuối năm' AND bsh.MA_HANG = '86' THEN CAST(gt.GIA_TRI AS VARCHAR2(4000)) END) AS "13. Chi phí phải trả ngắn hạn",
    MAX(CASE WHEN bsc.TEN_COT=N'Số cuối năm' AND bsh.MA_HANG = '87' THEN CAST(gt.GIA_TRI AS VARCHAR2(4000)) END) AS "14. Phải trả nội bộ ngắn hạn",
    MAX(CASE WHEN bsc.TEN_COT=N'Số cuối năm' AND bsh.MA_HANG = '88' THEN CAST(gt.GIA_TRI AS VARCHAR2(4000)) END) AS "15. Doanh thu chưa thực hiện ngắn hạn",
    MAX(CASE WHEN bsc.TEN_COT=N'Số cuối năm' AND bsh.MA_HANG = '89' THEN CAST(gt.GIA_TRI AS VARCHAR2(4000)) END) AS "16. Nhận ký quỹ, ký cược ngắn hạn",
    MAX(CASE WHEN bsc.TEN_COT=N'Số cuối năm' AND bsh.MA_HANG = '90' THEN CAST(gt.GIA_TRI AS VARCHAR2(4000)) END) AS "17. Các khoản phải trả, phải nộp khác ngắn hạn",
    MAX(CASE WHEN bsc.TEN_COT=N'Số cuối năm' AND bsh.MA_HANG = '91' THEN CAST(gt.GIA_TRI AS VARCHAR2(4000)) END) AS "18. Dự phòng phải trả ngắn hạn",
    MAX(CASE WHEN bsc.TEN_COT=N'Số cuối năm' AND bsh.MA_HANG = '92' THEN CAST(gt.GIA_TRI AS VARCHAR2(4000)) END) AS "19. Quỹ khen thưởng, phúc lợi",
    MAX(CASE WHEN bsc.TEN_COT=N'Số cuối năm' AND bsh.MA_HANG = '93' THEN CAST(gt.GIA_TRI AS VARCHAR2(4000)) END) AS "20. Giao dịch mua bán lại trái phiếu Chính phủ",
    MAX(CASE WHEN bsc.TEN_COT=N'Số cuối năm' AND bsh.MA_HANG = '94' THEN CAST(gt.GIA_TRI AS VARCHAR2(4000)) END) AS "II. Nợ phải trả dài hạn",
    MAX(CASE WHEN bsc.TEN_COT=N'Số cuối năm' AND bsh.MA_HANG = '95' THEN CAST(gt.GIA_TRI AS VARCHAR2(4000)) END) AS "1. Vay và nợ thuê tài chính dài hạn",
    MAX(CASE WHEN bsc.TEN_COT=N'Số cuối năm' AND bsh.MA_HANG = '96' THEN CAST(gt.GIA_TRI AS VARCHAR2(4000)) END) AS "1.1.Vay dài hạn",
    MAX(CASE WHEN bsc.TEN_COT=N'Số cuối năm' AND bsh.MA_HANG = '97' THEN CAST(gt.GIA_TRI AS VARCHAR2(4000)) END) AS "1.2. Nợ thuê tài chính dài hạn",
    MAX(CASE WHEN bsc.TEN_COT=N'Số cuối năm' AND bsh.MA_HANG = '98' THEN CAST(gt.GIA_TRI AS VARCHAR2(4000)) END) AS "2. Vay tài sản tài chính dài hạn",
    MAX(CASE WHEN bsc.TEN_COT=N'Số cuối năm' AND bsh.MA_HANG = '99' THEN CAST(gt.GIA_TRI AS VARCHAR2(4000)) END) AS "3. Trái phiếu chuyển đổi dài hạn - Cấu phần nợ",
    MAX(CASE WHEN bsc.TEN_COT=N'Số cuối năm' AND bsh.MA_HANG = '100' THEN CAST(gt.GIA_TRI AS VARCHAR2(4000)) END) AS "4. Trái phiếu phát hành dài hạn",
    MAX(CASE WHEN bsc.TEN_COT=N'Số cuối năm' AND bsh.MA_HANG = '101' THEN CAST(gt.GIA_TRI AS VARCHAR2(4000)) END) AS "5. Phải trả người bán dài hạn",
    MAX(CASE WHEN bsc.TEN_COT=N'Số cuối năm' AND bsh.MA_HANG = '102' THEN CAST(gt.GIA_TRI AS VARCHAR2(4000)) END) AS "6. Người mua trả tiền trước dài hạn",
    MAX(CASE WHEN bsc.TEN_COT=N'Số cuối năm' AND bsh.MA_HANG = '103' THEN CAST(gt.GIA_TRI AS VARCHAR2(4000)) END) AS "7. Chi phí phải trả dài hạn",
    MAX(CASE WHEN bsc.TEN_COT=N'Số cuối năm' AND bsh.MA_HANG = '104' THEN CAST(gt.GIA_TRI AS VARCHAR2(4000)) END) AS "8. Phải trả nội bộ dài hạn",
    MAX(CASE WHEN bsc.TEN_COT=N'Số cuối năm' AND bsh.MA_HANG = '105' THEN CAST(gt.GIA_TRI AS VARCHAR2(4000)) END) AS "9. Doanh thu chưa thực hiện dài hạn",
    MAX(CASE WHEN bsc.TEN_COT=N'Số cuối năm' AND bsh.MA_HANG = '106' THEN CAST(gt.GIA_TRI AS VARCHAR2(4000)) END) AS "10. Nhận ký quỹ, ký cược dài hạn",
    MAX(CASE WHEN bsc.TEN_COT=N'Số cuối năm' AND bsh.MA_HANG = '107' THEN CAST(gt.GIA_TRI AS VARCHAR2(4000)) END) AS "11. Các khoản phải trả, phải nộp khác dài hạn",
    MAX(CASE WHEN bsc.TEN_COT=N'Số cuối năm' AND bsh.MA_HANG = '108' THEN CAST(gt.GIA_TRI AS VARCHAR2(4000)) END) AS "12. Dự phòng phải trả dài hạn",
    MAX(CASE WHEN bsc.TEN_COT=N'Số cuối năm' AND bsh.MA_HANG = '109' THEN CAST(gt.GIA_TRI AS VARCHAR2(4000)) END) AS "13. Quỹ bảo vệ Nhà đầu tư",
    MAX(CASE WHEN bsc.TEN_COT=N'Số cuối năm' AND bsh.MA_HANG = '110' THEN CAST(gt.GIA_TRI AS VARCHAR2(4000)) END) AS "14. Thuế thu nhập hoãn lại phải trả",
    MAX(CASE WHEN bsc.TEN_COT=N'Số cuối năm' AND bsh.MA_HANG = '111' THEN CAST(gt.GIA_TRI AS VARCHAR2(4000)) END) AS "15. Quỹ phát triển khoa học và công nghệ",
    MAX(CASE WHEN bsc.TEN_COT=N'Số cuối năm' AND bsh.MA_HANG = '112' THEN CAST(gt.GIA_TRI AS VARCHAR2(4000)) END) AS "D. VỐN CHỦ SỞ HỮU",
    MAX(CASE WHEN bsc.TEN_COT=N'Số cuối năm' AND bsh.MA_HANG = '113' THEN CAST(gt.GIA_TRI AS VARCHAR2(4000)) END) AS "(400 = 410 + 420)",
    MAX(CASE WHEN bsc.TEN_COT=N'Số cuối năm' AND bsh.MA_HANG = '114' THEN CAST(gt.GIA_TRI AS VARCHAR2(4000)) END) AS "I. Vốn chủ sở hữu",
    MAX(CASE WHEN bsc.TEN_COT=N'Số cuối năm' AND bsh.MA_HANG = '115' THEN CAST(gt.GIA_TRI AS VARCHAR2(4000)) END) AS "1. Vốn đầu tư của chủ sở hữu",
    MAX(CASE WHEN bsc.TEN_COT=N'Số cuối năm' AND bsh.MA_HANG = '116' THEN CAST(gt.GIA_TRI AS VARCHAR2(4000)) END) AS "1.1. Vốn góp của chủ sở hữu",
    MAX(CASE WHEN bsc.TEN_COT=N'Số cuối năm' AND bsh.MA_HANG = '117' THEN CAST(gt.GIA_TRI AS VARCHAR2(4000)) END) AS "a. Cổ phiếu phổ thông có quyền biểu quyết",
    MAX(CASE WHEN bsc.TEN_COT=N'Số cuối năm' AND bsh.MA_HANG = '118' THEN CAST(gt.GIA_TRI AS VARCHAR2(4000)) END) AS "b. Cổ phiếu ưu đãi",
    MAX(CASE WHEN bsc.TEN_COT=N'Số cuối năm' AND bsh.MA_HANG = '119' THEN CAST(gt.GIA_TRI AS VARCHAR2(4000)) END) AS "1.2. Thặng dư vốn cổ phần",
    MAX(CASE WHEN bsc.TEN_COT=N'Số cuối năm' AND bsh.MA_HANG = '120' THEN CAST(gt.GIA_TRI AS VARCHAR2(4000)) END) AS "1.3. Quyền chọn chuyển đổi trái phiếu - Cấu phần vốn",
    MAX(CASE WHEN bsc.TEN_COT=N'Số cuối năm' AND bsh.MA_HANG = '121' THEN CAST(gt.GIA_TRI AS VARCHAR2(4000)) END) AS "1.4. Vốn khác của chủ sở hữu",
    MAX(CASE WHEN bsc.TEN_COT=N'Số cuối năm' AND bsh.MA_HANG = '122' THEN CAST(gt.GIA_TRI AS VARCHAR2(4000)) END) AS "1.5. Cổ phiếu quỹ (*)",
    MAX(CASE WHEN bsc.TEN_COT=N'Số cuối năm' AND bsh.MA_HANG = '123' THEN CAST(gt.GIA_TRI AS VARCHAR2(4000)) END) AS "2. Chênh lệch đánh giá tài sản theo giá trị hợp lý",
    MAX(CASE WHEN bsc.TEN_COT=N'Số cuối năm' AND bsh.MA_HANG = '124' THEN CAST(gt.GIA_TRI AS VARCHAR2(4000)) END) AS "3. Chênh lệch tỷ giá hối đoái",
    MAX(CASE WHEN bsc.TEN_COT=N'Số cuối năm' AND bsh.MA_HANG = '125' THEN CAST(gt.GIA_TRI AS VARCHAR2(4000)) END) AS "4. Quỹ dự trữ bổ sung vốn  điều lệ",
    MAX(CASE WHEN bsc.TEN_COT=N'Số cuối năm' AND bsh.MA_HANG = '126' THEN CAST(gt.GIA_TRI AS VARCHAR2(4000)) END) AS "5. Quỹ dự phòng tài chính và rủi ro nghiệp vụ",
    MAX(CASE WHEN bsc.TEN_COT=N'Số cuối năm' AND bsh.MA_HANG = '127' THEN CAST(gt.GIA_TRI AS VARCHAR2(4000)) END) AS "6. Các Quỹ khác thuộc vốn chủ sở hữu",
    MAX(CASE WHEN bsc.TEN_COT=N'Số cuối năm' AND bsh.MA_HANG = '128' THEN CAST(gt.GIA_TRI AS VARCHAR2(4000)) END) AS "7. Lợi nhuận chưa phân phối",
    MAX(CASE WHEN bsc.TEN_COT=N'Số cuối năm' AND bsh.MA_HANG = '129' THEN CAST(gt.GIA_TRI AS VARCHAR2(4000)) END) AS "7.1. Lợi nhuận sau thuế đã thực hiện",
    MAX(CASE WHEN bsc.TEN_COT=N'Số cuối năm' AND bsh.MA_HANG = '130' THEN CAST(gt.GIA_TRI AS VARCHAR2(4000)) END) AS "7.2. Lợi nhuận chưa thực hiện",
    MAX(CASE WHEN bsc.TEN_COT=N'Số cuối năm' AND bsh.MA_HANG = '131' THEN CAST(gt.GIA_TRI AS VARCHAR2(4000)) END) AS "II. Nguồn kinh phí và quỹ khác ",
    MAX(CASE WHEN bsc.TEN_COT=N'Số cuối năm' AND bsh.MA_HANG = '132' THEN CAST(gt.GIA_TRI AS VARCHAR2(4000)) END) AS "TỔNG CỘNG NỢ VÀ VỐN CHỦ SỞ HỮU",
    MAX(CASE WHEN bsc.TEN_COT=N'Số cuối năm' AND bsh.MA_HANG = '133' THEN CAST(gt.GIA_TRI AS VARCHAR2(4000)) END) AS "(440 = 300 + 400)",</t>
        </is>
      </c>
      <c r="U1844" s="106" t="inlineStr">
        <is>
          <t>Phần tiếp của câu query</t>
        </is>
      </c>
      <c r="V1844" s="22" t="n"/>
      <c r="W1844" s="22" t="n"/>
      <c r="X1844" s="22" t="n"/>
      <c r="Y1844" s="13" t="n"/>
      <c r="Z1844" s="22" t="n"/>
      <c r="AA1844" s="22" t="n"/>
      <c r="AB1844" s="22" t="n"/>
      <c r="AC1844" s="22" t="n"/>
      <c r="AD1844" s="22" t="n"/>
      <c r="AE1844" s="22" t="n"/>
    </row>
    <row r="1845" ht="56" customHeight="1" s="380">
      <c r="A1845" s="126" t="n">
        <v>93</v>
      </c>
      <c r="B1845" s="390" t="n"/>
      <c r="C1845" s="390" t="inlineStr">
        <is>
          <t>Báo cáo theo Thông tư 121/2020/TT-BTC &gt;&gt; Báo báo tài chính &gt;&gt; Báo cáo tình hình tài chính riêng</t>
        </is>
      </c>
      <c r="D1845" s="390" t="inlineStr">
        <is>
          <t>11. Phải thu về lỗi giao dịch chứng khoán</t>
        </is>
      </c>
      <c r="E1845" s="401" t="n">
        <v>121</v>
      </c>
      <c r="F1845" s="390" t="inlineStr">
        <is>
          <t>Data Explorer</t>
        </is>
      </c>
      <c r="G1845" s="390" t="inlineStr">
        <is>
          <t>Chỉ tiêu cơ sở</t>
        </is>
      </c>
      <c r="H1845" s="390" t="inlineStr">
        <is>
          <t>Dễ</t>
        </is>
      </c>
      <c r="I1845" s="390" t="inlineStr">
        <is>
          <t>Ngày, CTCK</t>
        </is>
      </c>
      <c r="J1845" s="401" t="inlineStr">
        <is>
          <t>SCMS</t>
        </is>
      </c>
      <c r="K1845" s="401" t="n"/>
      <c r="L1845" s="401" t="inlineStr">
        <is>
          <t>X</t>
        </is>
      </c>
      <c r="M1845" s="401" t="n"/>
      <c r="N1845" s="401" t="inlineStr">
        <is>
          <t>Done</t>
        </is>
      </c>
      <c r="O1845" s="401" t="n"/>
      <c r="P1845" s="22" t="n"/>
      <c r="S1845" s="22" t="n"/>
      <c r="U1845" s="16" t="n"/>
      <c r="V1845" s="22" t="n"/>
      <c r="W1845" s="22" t="n"/>
      <c r="X1845" s="22" t="n"/>
      <c r="Y1845" s="13" t="n"/>
      <c r="Z1845" s="22" t="n"/>
      <c r="AA1845" s="22" t="n"/>
      <c r="AB1845" s="22" t="n"/>
      <c r="AC1845" s="22" t="n"/>
      <c r="AD1845" s="22" t="n"/>
      <c r="AE1845" s="22" t="n"/>
    </row>
    <row r="1846" ht="56" customHeight="1" s="380">
      <c r="A1846" s="126" t="n">
        <v>93</v>
      </c>
      <c r="B1846" s="390" t="n"/>
      <c r="C1846" s="390" t="inlineStr">
        <is>
          <t>Báo cáo theo Thông tư 121/2020/TT-BTC &gt;&gt; Báo báo tài chính &gt;&gt; Báo cáo tình hình tài chính riêng</t>
        </is>
      </c>
      <c r="D1846" s="390" t="inlineStr">
        <is>
          <t>12. Các khoản phải thu khác</t>
        </is>
      </c>
      <c r="E1846" s="401" t="n">
        <v>122</v>
      </c>
      <c r="F1846" s="390" t="inlineStr">
        <is>
          <t>Data Explorer</t>
        </is>
      </c>
      <c r="G1846" s="390" t="inlineStr">
        <is>
          <t>Chỉ tiêu cơ sở</t>
        </is>
      </c>
      <c r="H1846" s="390" t="inlineStr">
        <is>
          <t>Dễ</t>
        </is>
      </c>
      <c r="I1846" s="390" t="inlineStr">
        <is>
          <t>Ngày, CTCK</t>
        </is>
      </c>
      <c r="J1846" s="401" t="inlineStr">
        <is>
          <t>SCMS</t>
        </is>
      </c>
      <c r="K1846" s="401" t="n"/>
      <c r="L1846" s="401" t="inlineStr">
        <is>
          <t>X</t>
        </is>
      </c>
      <c r="M1846" s="401" t="n"/>
      <c r="N1846" s="401" t="inlineStr">
        <is>
          <t>Done</t>
        </is>
      </c>
      <c r="O1846" s="401" t="n"/>
      <c r="P1846" s="22" t="n"/>
      <c r="S1846" s="22" t="n"/>
      <c r="U1846" s="16" t="n"/>
      <c r="V1846" s="22" t="n"/>
      <c r="W1846" s="22" t="n"/>
      <c r="X1846" s="22" t="n"/>
      <c r="Y1846" s="38" t="n"/>
      <c r="Z1846" s="22" t="n"/>
      <c r="AA1846" s="22" t="n"/>
      <c r="AB1846" s="22" t="n"/>
      <c r="AC1846" s="22" t="n"/>
      <c r="AD1846" s="22" t="n"/>
      <c r="AE1846" s="22" t="n"/>
    </row>
    <row r="1847" ht="56" customHeight="1" s="380">
      <c r="A1847" s="126" t="n">
        <v>93</v>
      </c>
      <c r="B1847" s="390" t="n"/>
      <c r="C1847" s="390" t="inlineStr">
        <is>
          <t>Báo cáo theo Thông tư 121/2020/TT-BTC &gt;&gt; Báo báo tài chính &gt;&gt; Báo cáo tình hình tài chính riêng</t>
        </is>
      </c>
      <c r="D1847" s="390" t="inlineStr">
        <is>
          <t>13. Dự phòng suy giảm giá trị các khoản phải thu (*)</t>
        </is>
      </c>
      <c r="E1847" s="401" t="n">
        <v>129</v>
      </c>
      <c r="F1847" s="390" t="inlineStr">
        <is>
          <t>Data Explorer</t>
        </is>
      </c>
      <c r="G1847" s="390" t="inlineStr">
        <is>
          <t>Chỉ tiêu cơ sở</t>
        </is>
      </c>
      <c r="H1847" s="390" t="inlineStr">
        <is>
          <t>Dễ</t>
        </is>
      </c>
      <c r="I1847" s="390" t="inlineStr">
        <is>
          <t>Ngày, CTCK</t>
        </is>
      </c>
      <c r="J1847" s="401" t="inlineStr">
        <is>
          <t>SCMS</t>
        </is>
      </c>
      <c r="K1847" s="401" t="n"/>
      <c r="L1847" s="401" t="inlineStr">
        <is>
          <t>X</t>
        </is>
      </c>
      <c r="M1847" s="401" t="n"/>
      <c r="N1847" s="401" t="inlineStr">
        <is>
          <t>Done</t>
        </is>
      </c>
      <c r="O1847" s="401" t="n"/>
      <c r="P1847" s="22" t="n"/>
      <c r="S1847" s="22" t="n"/>
      <c r="U1847" s="16" t="n"/>
      <c r="V1847" s="22" t="n"/>
      <c r="W1847" s="22" t="n"/>
      <c r="X1847" s="22" t="n"/>
      <c r="Y1847" s="13" t="n"/>
      <c r="Z1847" s="22" t="n"/>
      <c r="AA1847" s="22" t="n"/>
      <c r="AB1847" s="22" t="n"/>
      <c r="AC1847" s="22" t="n"/>
      <c r="AD1847" s="22" t="n"/>
      <c r="AE1847" s="22" t="n"/>
    </row>
    <row r="1848" ht="56" customHeight="1" s="380">
      <c r="A1848" s="126" t="n">
        <v>93</v>
      </c>
      <c r="B1848" s="390" t="n"/>
      <c r="C1848" s="390" t="inlineStr">
        <is>
          <t>Báo cáo theo Thông tư 121/2020/TT-BTC &gt;&gt; Báo báo tài chính &gt;&gt; Báo cáo tình hình tài chính riêng</t>
        </is>
      </c>
      <c r="D1848" s="132" t="inlineStr">
        <is>
          <t>II. Tài sản ngắn hạn khác</t>
        </is>
      </c>
      <c r="E1848" s="133" t="n">
        <v>130</v>
      </c>
      <c r="F1848" s="390" t="inlineStr">
        <is>
          <t>Data Explorer</t>
        </is>
      </c>
      <c r="G1848" s="390" t="inlineStr">
        <is>
          <t>Chỉ tiêu cơ sở</t>
        </is>
      </c>
      <c r="H1848" s="390" t="inlineStr">
        <is>
          <t>Dễ</t>
        </is>
      </c>
      <c r="I1848" s="390" t="inlineStr">
        <is>
          <t>Ngày, CTCK</t>
        </is>
      </c>
      <c r="J1848" s="401" t="inlineStr">
        <is>
          <t>SCMS</t>
        </is>
      </c>
      <c r="K1848" s="401" t="n"/>
      <c r="L1848" s="401" t="inlineStr">
        <is>
          <t>X</t>
        </is>
      </c>
      <c r="M1848" s="401" t="n"/>
      <c r="N1848" s="401" t="inlineStr">
        <is>
          <t>Done</t>
        </is>
      </c>
      <c r="O1848" s="401" t="n"/>
      <c r="P1848" s="22" t="n"/>
      <c r="S1848" s="22" t="n"/>
      <c r="U1848" s="16" t="n"/>
      <c r="V1848" s="22" t="n"/>
      <c r="W1848" s="22" t="n"/>
      <c r="X1848" s="22" t="n"/>
      <c r="Y1848" s="13" t="n"/>
      <c r="Z1848" s="22" t="n"/>
      <c r="AA1848" s="22" t="n"/>
      <c r="AB1848" s="22" t="n"/>
      <c r="AC1848" s="22" t="n"/>
      <c r="AD1848" s="22" t="n"/>
      <c r="AE1848" s="22" t="n"/>
    </row>
    <row r="1849" ht="56" customHeight="1" s="380">
      <c r="A1849" s="126" t="n">
        <v>93</v>
      </c>
      <c r="B1849" s="390" t="n"/>
      <c r="C1849" s="390" t="inlineStr">
        <is>
          <t>Báo cáo theo Thông tư 121/2020/TT-BTC &gt;&gt; Báo báo tài chính &gt;&gt; Báo cáo tình hình tài chính riêng</t>
        </is>
      </c>
      <c r="D1849" s="390" t="inlineStr">
        <is>
          <t>1. Tạm ứng</t>
        </is>
      </c>
      <c r="E1849" s="401" t="n">
        <v>131</v>
      </c>
      <c r="F1849" s="390" t="inlineStr">
        <is>
          <t>Data Explorer</t>
        </is>
      </c>
      <c r="G1849" s="390" t="inlineStr">
        <is>
          <t>Chỉ tiêu cơ sở</t>
        </is>
      </c>
      <c r="H1849" s="390" t="inlineStr">
        <is>
          <t>Dễ</t>
        </is>
      </c>
      <c r="I1849" s="390" t="inlineStr">
        <is>
          <t>Ngày, CTCK</t>
        </is>
      </c>
      <c r="J1849" s="401" t="inlineStr">
        <is>
          <t>SCMS</t>
        </is>
      </c>
      <c r="K1849" s="401" t="n"/>
      <c r="L1849" s="401" t="inlineStr">
        <is>
          <t>X</t>
        </is>
      </c>
      <c r="M1849" s="401" t="n"/>
      <c r="N1849" s="401" t="inlineStr">
        <is>
          <t>Done</t>
        </is>
      </c>
      <c r="O1849" s="401" t="n"/>
      <c r="P1849" s="22" t="n"/>
      <c r="S1849" s="22" t="n"/>
      <c r="U1849" s="16" t="n"/>
      <c r="V1849" s="22" t="n"/>
      <c r="W1849" s="22" t="n"/>
      <c r="X1849" s="22" t="n"/>
      <c r="Y1849" s="13" t="n"/>
      <c r="Z1849" s="22" t="n"/>
      <c r="AA1849" s="22" t="n"/>
      <c r="AB1849" s="22" t="n"/>
      <c r="AC1849" s="22" t="n"/>
      <c r="AD1849" s="22" t="n"/>
      <c r="AE1849" s="22" t="n"/>
    </row>
    <row r="1850" ht="56" customHeight="1" s="380">
      <c r="A1850" s="126" t="n">
        <v>93</v>
      </c>
      <c r="B1850" s="390" t="n"/>
      <c r="C1850" s="390" t="inlineStr">
        <is>
          <t>Báo cáo theo Thông tư 121/2020/TT-BTC &gt;&gt; Báo báo tài chính &gt;&gt; Báo cáo tình hình tài chính riêng</t>
        </is>
      </c>
      <c r="D1850" s="390" t="inlineStr">
        <is>
          <t>2. Vật tư văn phòng, công cụ, dụng cụ</t>
        </is>
      </c>
      <c r="E1850" s="401" t="n">
        <v>132</v>
      </c>
      <c r="F1850" s="390" t="inlineStr">
        <is>
          <t>Data Explorer</t>
        </is>
      </c>
      <c r="G1850" s="390" t="inlineStr">
        <is>
          <t>Chỉ tiêu cơ sở</t>
        </is>
      </c>
      <c r="H1850" s="390" t="inlineStr">
        <is>
          <t>Dễ</t>
        </is>
      </c>
      <c r="I1850" s="390" t="inlineStr">
        <is>
          <t>Ngày, CTCK</t>
        </is>
      </c>
      <c r="J1850" s="401" t="inlineStr">
        <is>
          <t>SCMS</t>
        </is>
      </c>
      <c r="K1850" s="401" t="n"/>
      <c r="L1850" s="401" t="inlineStr">
        <is>
          <t>X</t>
        </is>
      </c>
      <c r="M1850" s="401" t="n"/>
      <c r="N1850" s="401" t="inlineStr">
        <is>
          <t>Done</t>
        </is>
      </c>
      <c r="O1850" s="401" t="n"/>
      <c r="P1850" s="22" t="n"/>
      <c r="S1850" s="22" t="n"/>
      <c r="U1850" s="16" t="n"/>
      <c r="V1850" s="22" t="n"/>
      <c r="W1850" s="22" t="n"/>
      <c r="X1850" s="22" t="n"/>
      <c r="Y1850" s="13" t="n"/>
      <c r="Z1850" s="22" t="n"/>
      <c r="AA1850" s="22" t="n"/>
      <c r="AB1850" s="22" t="n"/>
      <c r="AC1850" s="22" t="n"/>
      <c r="AD1850" s="22" t="n"/>
      <c r="AE1850" s="22" t="n"/>
    </row>
    <row r="1851" ht="56" customHeight="1" s="380">
      <c r="A1851" s="126" t="n">
        <v>93</v>
      </c>
      <c r="B1851" s="390" t="n"/>
      <c r="C1851" s="390" t="inlineStr">
        <is>
          <t>Báo cáo theo Thông tư 121/2020/TT-BTC &gt;&gt; Báo báo tài chính &gt;&gt; Báo cáo tình hình tài chính riêng</t>
        </is>
      </c>
      <c r="D1851" s="390" t="inlineStr">
        <is>
          <t>3. Chi phí trả trước ngắn hạn</t>
        </is>
      </c>
      <c r="E1851" s="401" t="n">
        <v>133</v>
      </c>
      <c r="F1851" s="390" t="inlineStr">
        <is>
          <t>Data Explorer</t>
        </is>
      </c>
      <c r="G1851" s="390" t="inlineStr">
        <is>
          <t>Chỉ tiêu cơ sở</t>
        </is>
      </c>
      <c r="H1851" s="390" t="inlineStr">
        <is>
          <t>Dễ</t>
        </is>
      </c>
      <c r="I1851" s="390" t="inlineStr">
        <is>
          <t>Ngày, CTCK</t>
        </is>
      </c>
      <c r="J1851" s="401" t="inlineStr">
        <is>
          <t>SCMS</t>
        </is>
      </c>
      <c r="K1851" s="401" t="n"/>
      <c r="L1851" s="401" t="inlineStr">
        <is>
          <t>X</t>
        </is>
      </c>
      <c r="M1851" s="401" t="n"/>
      <c r="N1851" s="401" t="inlineStr">
        <is>
          <t>Done</t>
        </is>
      </c>
      <c r="O1851" s="401" t="n"/>
      <c r="P1851" s="22" t="n"/>
      <c r="S1851" s="22" t="n"/>
      <c r="U1851" s="16" t="n"/>
      <c r="V1851" s="22" t="n"/>
      <c r="W1851" s="22" t="n"/>
      <c r="X1851" s="22" t="n"/>
      <c r="Y1851" s="13" t="n"/>
      <c r="Z1851" s="22" t="n"/>
      <c r="AA1851" s="22" t="n"/>
      <c r="AB1851" s="22" t="n"/>
      <c r="AC1851" s="22" t="n"/>
      <c r="AD1851" s="22" t="n"/>
      <c r="AE1851" s="22" t="n"/>
    </row>
    <row r="1852" ht="56" customHeight="1" s="380">
      <c r="A1852" s="126" t="n">
        <v>93</v>
      </c>
      <c r="B1852" s="390" t="n"/>
      <c r="C1852" s="390" t="inlineStr">
        <is>
          <t>Báo cáo theo Thông tư 121/2020/TT-BTC &gt;&gt; Báo báo tài chính &gt;&gt; Báo cáo tình hình tài chính riêng</t>
        </is>
      </c>
      <c r="D1852" s="390" t="inlineStr">
        <is>
          <t>4. Cầm cố, thế chấp, ký quỹ, ký cược ngắn hạn</t>
        </is>
      </c>
      <c r="E1852" s="401" t="n">
        <v>134</v>
      </c>
      <c r="F1852" s="390" t="inlineStr">
        <is>
          <t>Data Explorer</t>
        </is>
      </c>
      <c r="G1852" s="390" t="inlineStr">
        <is>
          <t>Chỉ tiêu cơ sở</t>
        </is>
      </c>
      <c r="H1852" s="390" t="inlineStr">
        <is>
          <t>Dễ</t>
        </is>
      </c>
      <c r="I1852" s="390" t="inlineStr">
        <is>
          <t>Ngày, CTCK</t>
        </is>
      </c>
      <c r="J1852" s="401" t="inlineStr">
        <is>
          <t>SCMS</t>
        </is>
      </c>
      <c r="K1852" s="401" t="n"/>
      <c r="L1852" s="401" t="inlineStr">
        <is>
          <t>X</t>
        </is>
      </c>
      <c r="M1852" s="401" t="n"/>
      <c r="N1852" s="401" t="inlineStr">
        <is>
          <t>Done</t>
        </is>
      </c>
      <c r="O1852" s="401" t="n"/>
      <c r="P1852" s="22" t="n"/>
      <c r="S1852" s="22" t="n"/>
      <c r="U1852" s="16" t="n"/>
      <c r="V1852" s="22" t="n"/>
      <c r="W1852" s="22" t="n"/>
      <c r="X1852" s="22" t="n"/>
      <c r="Y1852" s="38" t="n"/>
      <c r="Z1852" s="22" t="n"/>
      <c r="AA1852" s="22" t="n"/>
      <c r="AB1852" s="22" t="n"/>
      <c r="AC1852" s="22" t="n"/>
      <c r="AD1852" s="22" t="n"/>
      <c r="AE1852" s="22" t="n"/>
    </row>
    <row r="1853" ht="56" customHeight="1" s="380">
      <c r="A1853" s="126" t="n">
        <v>93</v>
      </c>
      <c r="B1853" s="390" t="n"/>
      <c r="C1853" s="390" t="inlineStr">
        <is>
          <t>Báo cáo theo Thông tư 121/2020/TT-BTC &gt;&gt; Báo báo tài chính &gt;&gt; Báo cáo tình hình tài chính riêng</t>
        </is>
      </c>
      <c r="D1853" s="390" t="inlineStr">
        <is>
          <t>5. Thuế giá trị gia tăng được khấu trừ</t>
        </is>
      </c>
      <c r="E1853" s="401" t="n">
        <v>135</v>
      </c>
      <c r="F1853" s="390" t="inlineStr">
        <is>
          <t>Data Explorer</t>
        </is>
      </c>
      <c r="G1853" s="390" t="inlineStr">
        <is>
          <t>Chỉ tiêu cơ sở</t>
        </is>
      </c>
      <c r="H1853" s="390" t="inlineStr">
        <is>
          <t>Dễ</t>
        </is>
      </c>
      <c r="I1853" s="390" t="inlineStr">
        <is>
          <t>Ngày, CTCK</t>
        </is>
      </c>
      <c r="J1853" s="401" t="inlineStr">
        <is>
          <t>SCMS</t>
        </is>
      </c>
      <c r="K1853" s="401" t="n"/>
      <c r="L1853" s="401" t="inlineStr">
        <is>
          <t>X</t>
        </is>
      </c>
      <c r="M1853" s="401" t="n"/>
      <c r="N1853" s="401" t="inlineStr">
        <is>
          <t>Done</t>
        </is>
      </c>
      <c r="O1853" s="401" t="n"/>
      <c r="P1853" s="22" t="n"/>
      <c r="S1853" s="22" t="n"/>
      <c r="U1853" s="16" t="n"/>
      <c r="V1853" s="22" t="n"/>
      <c r="W1853" s="22" t="n"/>
      <c r="X1853" s="22" t="n"/>
      <c r="Y1853" s="13" t="n"/>
      <c r="Z1853" s="22" t="n"/>
      <c r="AA1853" s="22" t="n"/>
      <c r="AB1853" s="22" t="n"/>
      <c r="AC1853" s="22" t="n"/>
      <c r="AD1853" s="22" t="n"/>
      <c r="AE1853" s="22" t="n"/>
    </row>
    <row r="1854" ht="56" customHeight="1" s="380">
      <c r="A1854" s="126" t="n">
        <v>93</v>
      </c>
      <c r="B1854" s="390" t="n"/>
      <c r="C1854" s="390" t="inlineStr">
        <is>
          <t>Báo cáo theo Thông tư 121/2020/TT-BTC &gt;&gt; Báo báo tài chính &gt;&gt; Báo cáo tình hình tài chính riêng</t>
        </is>
      </c>
      <c r="D1854" s="390" t="inlineStr">
        <is>
          <t>6. Thuế và các khoản khác phải thu Nhà nước</t>
        </is>
      </c>
      <c r="E1854" s="401" t="n">
        <v>136</v>
      </c>
      <c r="F1854" s="390" t="inlineStr">
        <is>
          <t>Data Explorer</t>
        </is>
      </c>
      <c r="G1854" s="390" t="inlineStr">
        <is>
          <t>Chỉ tiêu cơ sở</t>
        </is>
      </c>
      <c r="H1854" s="390" t="inlineStr">
        <is>
          <t>Dễ</t>
        </is>
      </c>
      <c r="I1854" s="390" t="inlineStr">
        <is>
          <t>Ngày, CTCK</t>
        </is>
      </c>
      <c r="J1854" s="401" t="inlineStr">
        <is>
          <t>SCMS</t>
        </is>
      </c>
      <c r="K1854" s="401" t="n"/>
      <c r="L1854" s="401" t="inlineStr">
        <is>
          <t>X</t>
        </is>
      </c>
      <c r="M1854" s="401" t="n"/>
      <c r="N1854" s="401" t="inlineStr">
        <is>
          <t>Done</t>
        </is>
      </c>
      <c r="O1854" s="401" t="n"/>
      <c r="P1854" s="22" t="n"/>
      <c r="S1854" s="22" t="n"/>
      <c r="U1854" s="16" t="n"/>
      <c r="V1854" s="22" t="n"/>
      <c r="W1854" s="22" t="n"/>
      <c r="X1854" s="22" t="n"/>
      <c r="Y1854" s="13" t="n"/>
      <c r="Z1854" s="22" t="n"/>
      <c r="AA1854" s="22" t="n"/>
      <c r="AB1854" s="22" t="n"/>
      <c r="AC1854" s="22" t="n"/>
      <c r="AD1854" s="22" t="n"/>
      <c r="AE1854" s="22" t="n"/>
    </row>
    <row r="1855" ht="56" customHeight="1" s="380">
      <c r="A1855" s="126" t="n">
        <v>93</v>
      </c>
      <c r="B1855" s="390" t="n"/>
      <c r="C1855" s="390" t="inlineStr">
        <is>
          <t>Báo cáo theo Thông tư 121/2020/TT-BTC &gt;&gt; Báo báo tài chính &gt;&gt; Báo cáo tình hình tài chính riêng</t>
        </is>
      </c>
      <c r="D1855" s="390" t="inlineStr">
        <is>
          <t>7. Tài sản ngắn hạn khác</t>
        </is>
      </c>
      <c r="E1855" s="401" t="n">
        <v>137</v>
      </c>
      <c r="F1855" s="390" t="inlineStr">
        <is>
          <t>Data Explorer</t>
        </is>
      </c>
      <c r="G1855" s="390" t="inlineStr">
        <is>
          <t>Chỉ tiêu cơ sở</t>
        </is>
      </c>
      <c r="H1855" s="390" t="inlineStr">
        <is>
          <t>Dễ</t>
        </is>
      </c>
      <c r="I1855" s="390" t="inlineStr">
        <is>
          <t>Ngày, CTCK</t>
        </is>
      </c>
      <c r="J1855" s="401" t="inlineStr">
        <is>
          <t>SCMS</t>
        </is>
      </c>
      <c r="K1855" s="401" t="n"/>
      <c r="L1855" s="401" t="inlineStr">
        <is>
          <t>X</t>
        </is>
      </c>
      <c r="M1855" s="401" t="n"/>
      <c r="N1855" s="401" t="inlineStr">
        <is>
          <t>Done</t>
        </is>
      </c>
      <c r="O1855" s="401" t="n"/>
      <c r="P1855" s="22" t="n"/>
      <c r="S1855" s="22" t="n"/>
      <c r="U1855" s="16" t="n"/>
      <c r="V1855" s="22" t="n"/>
      <c r="W1855" s="22" t="n"/>
      <c r="X1855" s="22" t="n"/>
      <c r="Y1855" s="13" t="n"/>
      <c r="Z1855" s="22" t="n"/>
      <c r="AA1855" s="22" t="n"/>
      <c r="AB1855" s="22" t="n"/>
      <c r="AC1855" s="22" t="n"/>
      <c r="AD1855" s="22" t="n"/>
      <c r="AE1855" s="22" t="n"/>
    </row>
    <row r="1856" ht="56" customHeight="1" s="380">
      <c r="A1856" s="126" t="n">
        <v>93</v>
      </c>
      <c r="B1856" s="390" t="n"/>
      <c r="C1856" s="390" t="inlineStr">
        <is>
          <t>Báo cáo theo Thông tư 121/2020/TT-BTC &gt;&gt; Báo báo tài chính &gt;&gt; Báo cáo tình hình tài chính riêng</t>
        </is>
      </c>
      <c r="D1856" s="390" t="inlineStr">
        <is>
          <t>8. Giao dịch mua bán lại trái phiếu Chính phủ</t>
        </is>
      </c>
      <c r="E1856" s="401" t="n">
        <v>138</v>
      </c>
      <c r="F1856" s="390" t="inlineStr">
        <is>
          <t>Data Explorer</t>
        </is>
      </c>
      <c r="G1856" s="390" t="inlineStr">
        <is>
          <t>Chỉ tiêu cơ sở</t>
        </is>
      </c>
      <c r="H1856" s="390" t="inlineStr">
        <is>
          <t>Dễ</t>
        </is>
      </c>
      <c r="I1856" s="390" t="inlineStr">
        <is>
          <t>Ngày, CTCK</t>
        </is>
      </c>
      <c r="J1856" s="401" t="inlineStr">
        <is>
          <t>SCMS</t>
        </is>
      </c>
      <c r="K1856" s="401" t="n"/>
      <c r="L1856" s="401" t="inlineStr">
        <is>
          <t>X</t>
        </is>
      </c>
      <c r="M1856" s="401" t="n"/>
      <c r="N1856" s="401" t="inlineStr">
        <is>
          <t>Done</t>
        </is>
      </c>
      <c r="O1856" s="401" t="n"/>
      <c r="P1856" s="22" t="n"/>
      <c r="S1856" s="22" t="n"/>
      <c r="U1856" s="16" t="n"/>
      <c r="V1856" s="22" t="n"/>
      <c r="W1856" s="22" t="n"/>
      <c r="X1856" s="22" t="n"/>
      <c r="Y1856" s="13" t="n"/>
      <c r="Z1856" s="22" t="n"/>
      <c r="AA1856" s="22" t="n"/>
      <c r="AB1856" s="22" t="n"/>
      <c r="AC1856" s="22" t="n"/>
      <c r="AD1856" s="22" t="n"/>
      <c r="AE1856" s="22" t="n"/>
    </row>
    <row r="1857" ht="56" customHeight="1" s="380">
      <c r="A1857" s="126" t="n">
        <v>93</v>
      </c>
      <c r="B1857" s="390" t="n"/>
      <c r="C1857" s="390" t="inlineStr">
        <is>
          <t>Báo cáo theo Thông tư 121/2020/TT-BTC &gt;&gt; Báo báo tài chính &gt;&gt; Báo cáo tình hình tài chính riêng</t>
        </is>
      </c>
      <c r="D1857" s="390" t="inlineStr">
        <is>
          <t>9. Dự phòng suy giảm giá trị tài sản ngắn hạn khác</t>
        </is>
      </c>
      <c r="E1857" s="401" t="n">
        <v>139</v>
      </c>
      <c r="F1857" s="390" t="inlineStr">
        <is>
          <t>Data Explorer</t>
        </is>
      </c>
      <c r="G1857" s="390" t="inlineStr">
        <is>
          <t>Chỉ tiêu cơ sở</t>
        </is>
      </c>
      <c r="H1857" s="390" t="inlineStr">
        <is>
          <t>Dễ</t>
        </is>
      </c>
      <c r="I1857" s="390" t="inlineStr">
        <is>
          <t>Ngày, CTCK</t>
        </is>
      </c>
      <c r="J1857" s="401" t="inlineStr">
        <is>
          <t>SCMS</t>
        </is>
      </c>
      <c r="K1857" s="401" t="n"/>
      <c r="L1857" s="401" t="inlineStr">
        <is>
          <t>X</t>
        </is>
      </c>
      <c r="M1857" s="401" t="n"/>
      <c r="N1857" s="401" t="inlineStr">
        <is>
          <t>Done</t>
        </is>
      </c>
      <c r="O1857" s="401" t="n"/>
      <c r="P1857" s="22" t="n"/>
      <c r="S1857" s="22" t="n"/>
      <c r="U1857" s="16" t="n"/>
      <c r="V1857" s="22" t="n"/>
      <c r="W1857" s="22" t="n"/>
      <c r="X1857" s="22" t="n"/>
      <c r="Y1857" s="13" t="n"/>
      <c r="Z1857" s="22" t="n"/>
      <c r="AA1857" s="22" t="n"/>
      <c r="AB1857" s="22" t="n"/>
      <c r="AC1857" s="22" t="n"/>
      <c r="AD1857" s="22" t="n"/>
      <c r="AE1857" s="22" t="n"/>
    </row>
    <row r="1858" ht="56" customHeight="1" s="380">
      <c r="A1858" s="126" t="n">
        <v>93</v>
      </c>
      <c r="B1858" s="390" t="n"/>
      <c r="C1858" s="390" t="inlineStr">
        <is>
          <t>Báo cáo theo Thông tư 121/2020/TT-BTC &gt;&gt; Báo báo tài chính &gt;&gt; Báo cáo tình hình tài chính riêng</t>
        </is>
      </c>
      <c r="D1858" s="132" t="inlineStr">
        <is>
          <t>B. TÀI SẢN DÀI HẠN (200 = 210 + 220 + 230 + 240 + 250 - 260)</t>
        </is>
      </c>
      <c r="E1858" s="133" t="n">
        <v>200</v>
      </c>
      <c r="F1858" s="390" t="inlineStr">
        <is>
          <t>Data Explorer</t>
        </is>
      </c>
      <c r="G1858" s="390" t="inlineStr">
        <is>
          <t>Chỉ tiêu cơ sở</t>
        </is>
      </c>
      <c r="H1858" s="390" t="inlineStr">
        <is>
          <t>Dễ</t>
        </is>
      </c>
      <c r="I1858" s="390" t="inlineStr">
        <is>
          <t>Ngày, CTCK</t>
        </is>
      </c>
      <c r="J1858" s="401" t="inlineStr">
        <is>
          <t>SCMS</t>
        </is>
      </c>
      <c r="K1858" s="401" t="n"/>
      <c r="L1858" s="401" t="inlineStr">
        <is>
          <t>X</t>
        </is>
      </c>
      <c r="M1858" s="401" t="n"/>
      <c r="N1858" s="401" t="inlineStr">
        <is>
          <t>Done</t>
        </is>
      </c>
      <c r="O1858" s="401" t="n"/>
      <c r="P1858" s="22" t="n"/>
      <c r="S1858" s="22" t="n"/>
      <c r="U1858" s="16" t="n"/>
      <c r="V1858" s="22" t="n"/>
      <c r="W1858" s="22" t="n"/>
      <c r="X1858" s="22" t="n"/>
      <c r="Y1858" s="38" t="n"/>
      <c r="Z1858" s="22" t="n"/>
      <c r="AA1858" s="22" t="n"/>
      <c r="AB1858" s="22" t="n"/>
      <c r="AC1858" s="22" t="n"/>
      <c r="AD1858" s="22" t="n"/>
      <c r="AE1858" s="22" t="n"/>
    </row>
    <row r="1859" ht="56" customHeight="1" s="380">
      <c r="A1859" s="126" t="n">
        <v>93</v>
      </c>
      <c r="B1859" s="390" t="n"/>
      <c r="C1859" s="390" t="inlineStr">
        <is>
          <t>Báo cáo theo Thông tư 121/2020/TT-BTC &gt;&gt; Báo báo tài chính &gt;&gt; Báo cáo tình hình tài chính riêng</t>
        </is>
      </c>
      <c r="D1859" s="132" t="inlineStr">
        <is>
          <t>I. Tài sản tài chính dài hạn</t>
        </is>
      </c>
      <c r="E1859" s="133" t="n">
        <v>210</v>
      </c>
      <c r="F1859" s="390" t="inlineStr">
        <is>
          <t>Data Explorer</t>
        </is>
      </c>
      <c r="G1859" s="390" t="inlineStr">
        <is>
          <t>Chỉ tiêu cơ sở</t>
        </is>
      </c>
      <c r="H1859" s="390" t="inlineStr">
        <is>
          <t>Dễ</t>
        </is>
      </c>
      <c r="I1859" s="390" t="inlineStr">
        <is>
          <t>Ngày, CTCK</t>
        </is>
      </c>
      <c r="J1859" s="401" t="inlineStr">
        <is>
          <t>SCMS</t>
        </is>
      </c>
      <c r="K1859" s="401" t="n"/>
      <c r="L1859" s="401" t="inlineStr">
        <is>
          <t>X</t>
        </is>
      </c>
      <c r="M1859" s="401" t="n"/>
      <c r="N1859" s="401" t="inlineStr">
        <is>
          <t>Done</t>
        </is>
      </c>
      <c r="O1859" s="401" t="n"/>
      <c r="P1859" s="22" t="n"/>
      <c r="S1859" s="22" t="n"/>
      <c r="U1859" s="16" t="n"/>
      <c r="V1859" s="22" t="n"/>
      <c r="W1859" s="22" t="n"/>
      <c r="X1859" s="22" t="n"/>
      <c r="Y1859" s="13" t="n"/>
      <c r="Z1859" s="22" t="n"/>
      <c r="AA1859" s="22" t="n"/>
      <c r="AB1859" s="22" t="n"/>
      <c r="AC1859" s="22" t="n"/>
      <c r="AD1859" s="22" t="n"/>
      <c r="AE1859" s="22" t="n"/>
    </row>
    <row r="1860" ht="56" customHeight="1" s="380">
      <c r="A1860" s="126" t="n">
        <v>93</v>
      </c>
      <c r="B1860" s="390" t="n"/>
      <c r="C1860" s="390" t="inlineStr">
        <is>
          <t>Báo cáo theo Thông tư 121/2020/TT-BTC &gt;&gt; Báo báo tài chính &gt;&gt; Báo cáo tình hình tài chính riêng</t>
        </is>
      </c>
      <c r="D1860" s="390" t="inlineStr">
        <is>
          <t>1. Các khoản phải thu dài hạn</t>
        </is>
      </c>
      <c r="E1860" s="401" t="n">
        <v>211</v>
      </c>
      <c r="F1860" s="390" t="inlineStr">
        <is>
          <t>Data Explorer</t>
        </is>
      </c>
      <c r="G1860" s="390" t="inlineStr">
        <is>
          <t>Chỉ tiêu cơ sở</t>
        </is>
      </c>
      <c r="H1860" s="390" t="inlineStr">
        <is>
          <t>Dễ</t>
        </is>
      </c>
      <c r="I1860" s="390" t="inlineStr">
        <is>
          <t>Ngày, CTCK</t>
        </is>
      </c>
      <c r="J1860" s="401" t="inlineStr">
        <is>
          <t>SCMS</t>
        </is>
      </c>
      <c r="K1860" s="401" t="n"/>
      <c r="L1860" s="401" t="inlineStr">
        <is>
          <t>X</t>
        </is>
      </c>
      <c r="M1860" s="401" t="n"/>
      <c r="N1860" s="401" t="inlineStr">
        <is>
          <t>Done</t>
        </is>
      </c>
      <c r="O1860" s="401" t="n"/>
      <c r="P1860" s="22" t="n"/>
      <c r="S1860" s="22" t="n"/>
      <c r="U1860" s="16" t="n"/>
      <c r="V1860" s="22" t="n"/>
      <c r="W1860" s="22" t="n"/>
      <c r="X1860" s="22" t="n"/>
      <c r="Y1860" s="13" t="n"/>
      <c r="Z1860" s="22" t="n"/>
      <c r="AA1860" s="22" t="n"/>
      <c r="AB1860" s="22" t="n"/>
      <c r="AC1860" s="22" t="n"/>
      <c r="AD1860" s="22" t="n"/>
      <c r="AE1860" s="22" t="n"/>
    </row>
    <row r="1861" ht="56" customHeight="1" s="380">
      <c r="A1861" s="126" t="n">
        <v>93</v>
      </c>
      <c r="B1861" s="390" t="n"/>
      <c r="C1861" s="390" t="inlineStr">
        <is>
          <t>Báo cáo theo Thông tư 121/2020/TT-BTC &gt;&gt; Báo báo tài chính &gt;&gt; Báo cáo tình hình tài chính riêng</t>
        </is>
      </c>
      <c r="D1861" s="390" t="inlineStr">
        <is>
          <t>2. Các khoản đầu tư</t>
        </is>
      </c>
      <c r="E1861" s="401" t="n">
        <v>212</v>
      </c>
      <c r="F1861" s="390" t="inlineStr">
        <is>
          <t>Data Explorer</t>
        </is>
      </c>
      <c r="G1861" s="390" t="inlineStr">
        <is>
          <t>Chỉ tiêu cơ sở</t>
        </is>
      </c>
      <c r="H1861" s="390" t="inlineStr">
        <is>
          <t>Dễ</t>
        </is>
      </c>
      <c r="I1861" s="390" t="inlineStr">
        <is>
          <t>Ngày, CTCK</t>
        </is>
      </c>
      <c r="J1861" s="401" t="inlineStr">
        <is>
          <t>SCMS</t>
        </is>
      </c>
      <c r="K1861" s="401" t="n"/>
      <c r="L1861" s="401" t="inlineStr">
        <is>
          <t>X</t>
        </is>
      </c>
      <c r="M1861" s="401" t="n"/>
      <c r="N1861" s="401" t="inlineStr">
        <is>
          <t>Done</t>
        </is>
      </c>
      <c r="O1861" s="401" t="n"/>
      <c r="P1861" s="22" t="n"/>
      <c r="S1861" s="22" t="n"/>
      <c r="U1861" s="16" t="n"/>
      <c r="V1861" s="22" t="n"/>
      <c r="W1861" s="22" t="n"/>
      <c r="X1861" s="22" t="n"/>
      <c r="Y1861" s="13" t="n"/>
      <c r="Z1861" s="22" t="n"/>
      <c r="AA1861" s="22" t="n"/>
      <c r="AB1861" s="22" t="n"/>
      <c r="AC1861" s="22" t="n"/>
      <c r="AD1861" s="22" t="n"/>
      <c r="AE1861" s="22" t="n"/>
    </row>
    <row r="1862" ht="56" customHeight="1" s="380">
      <c r="A1862" s="126" t="n">
        <v>93</v>
      </c>
      <c r="B1862" s="390" t="n"/>
      <c r="C1862" s="390" t="inlineStr">
        <is>
          <t>Báo cáo theo Thông tư 121/2020/TT-BTC &gt;&gt; Báo báo tài chính &gt;&gt; Báo cáo tình hình tài chính riêng</t>
        </is>
      </c>
      <c r="D1862" s="390" t="inlineStr">
        <is>
          <t>2.1.Các khoản đầu tư nắm giữ đến ngày đáo hạn</t>
        </is>
      </c>
      <c r="E1862" s="401" t="n">
        <v>212.1</v>
      </c>
      <c r="F1862" s="390" t="inlineStr">
        <is>
          <t>Data Explorer</t>
        </is>
      </c>
      <c r="G1862" s="390" t="inlineStr">
        <is>
          <t>Chỉ tiêu cơ sở</t>
        </is>
      </c>
      <c r="H1862" s="390" t="inlineStr">
        <is>
          <t>Dễ</t>
        </is>
      </c>
      <c r="I1862" s="390" t="inlineStr">
        <is>
          <t>Ngày, CTCK</t>
        </is>
      </c>
      <c r="J1862" s="401" t="inlineStr">
        <is>
          <t>SCMS</t>
        </is>
      </c>
      <c r="K1862" s="401" t="n"/>
      <c r="L1862" s="401" t="inlineStr">
        <is>
          <t>X</t>
        </is>
      </c>
      <c r="M1862" s="401" t="n"/>
      <c r="N1862" s="401" t="inlineStr">
        <is>
          <t>Done</t>
        </is>
      </c>
      <c r="O1862" s="401" t="n"/>
      <c r="P1862" s="22" t="n"/>
      <c r="S1862" s="22" t="n"/>
      <c r="U1862" s="16" t="n"/>
      <c r="V1862" s="22" t="n"/>
      <c r="W1862" s="22" t="n"/>
      <c r="X1862" s="22" t="n"/>
      <c r="Y1862" s="13" t="n"/>
      <c r="Z1862" s="22" t="n"/>
      <c r="AA1862" s="22" t="n"/>
      <c r="AB1862" s="22" t="n"/>
      <c r="AC1862" s="22" t="n"/>
      <c r="AD1862" s="22" t="n"/>
      <c r="AE1862" s="22" t="n"/>
    </row>
    <row r="1863" ht="56" customHeight="1" s="380">
      <c r="A1863" s="126" t="n">
        <v>93</v>
      </c>
      <c r="B1863" s="390" t="n"/>
      <c r="C1863" s="390" t="inlineStr">
        <is>
          <t>Báo cáo theo Thông tư 121/2020/TT-BTC &gt;&gt; Báo báo tài chính &gt;&gt; Báo cáo tình hình tài chính riêng</t>
        </is>
      </c>
      <c r="D1863" s="390" t="inlineStr">
        <is>
          <t>2.2. Đầu tư vào công ty con</t>
        </is>
      </c>
      <c r="E1863" s="401" t="n">
        <v>212.2</v>
      </c>
      <c r="F1863" s="390" t="inlineStr">
        <is>
          <t>Data Explorer</t>
        </is>
      </c>
      <c r="G1863" s="390" t="inlineStr">
        <is>
          <t>Chỉ tiêu cơ sở</t>
        </is>
      </c>
      <c r="H1863" s="390" t="inlineStr">
        <is>
          <t>Dễ</t>
        </is>
      </c>
      <c r="I1863" s="390" t="inlineStr">
        <is>
          <t>Ngày, CTCK</t>
        </is>
      </c>
      <c r="J1863" s="401" t="inlineStr">
        <is>
          <t>SCMS</t>
        </is>
      </c>
      <c r="K1863" s="401" t="n"/>
      <c r="L1863" s="401" t="inlineStr">
        <is>
          <t>X</t>
        </is>
      </c>
      <c r="M1863" s="401" t="n"/>
      <c r="N1863" s="401" t="inlineStr">
        <is>
          <t>Done</t>
        </is>
      </c>
      <c r="O1863" s="401" t="n"/>
      <c r="P1863" s="22" t="n"/>
      <c r="S1863" s="22" t="n"/>
      <c r="U1863" s="16" t="n"/>
      <c r="V1863" s="22" t="n"/>
      <c r="W1863" s="22" t="n"/>
      <c r="X1863" s="22" t="n"/>
      <c r="Y1863" s="13" t="n"/>
      <c r="Z1863" s="22" t="n"/>
      <c r="AA1863" s="22" t="n"/>
      <c r="AB1863" s="22" t="n"/>
      <c r="AC1863" s="22" t="n"/>
      <c r="AD1863" s="22" t="n"/>
      <c r="AE1863" s="22" t="n"/>
    </row>
    <row r="1864" ht="56" customHeight="1" s="380">
      <c r="A1864" s="126" t="n">
        <v>93</v>
      </c>
      <c r="B1864" s="390" t="n"/>
      <c r="C1864" s="390" t="inlineStr">
        <is>
          <t>Báo cáo theo Thông tư 121/2020/TT-BTC &gt;&gt; Báo báo tài chính &gt;&gt; Báo cáo tình hình tài chính riêng</t>
        </is>
      </c>
      <c r="D1864" s="390" t="inlineStr">
        <is>
          <t>2.3. Đầu tư vào công ty liên doanh, liên kết</t>
        </is>
      </c>
      <c r="E1864" s="401" t="n">
        <v>212.3</v>
      </c>
      <c r="F1864" s="390" t="inlineStr">
        <is>
          <t>Data Explorer</t>
        </is>
      </c>
      <c r="G1864" s="390" t="inlineStr">
        <is>
          <t>Chỉ tiêu cơ sở</t>
        </is>
      </c>
      <c r="H1864" s="390" t="inlineStr">
        <is>
          <t>Dễ</t>
        </is>
      </c>
      <c r="I1864" s="390" t="inlineStr">
        <is>
          <t>Ngày, CTCK</t>
        </is>
      </c>
      <c r="J1864" s="401" t="inlineStr">
        <is>
          <t>SCMS</t>
        </is>
      </c>
      <c r="K1864" s="401" t="n"/>
      <c r="L1864" s="401" t="inlineStr">
        <is>
          <t>X</t>
        </is>
      </c>
      <c r="M1864" s="401" t="n"/>
      <c r="N1864" s="401" t="inlineStr">
        <is>
          <t>Done</t>
        </is>
      </c>
      <c r="O1864" s="401" t="n"/>
      <c r="P1864" s="22" t="n"/>
      <c r="S1864" s="22" t="n"/>
      <c r="U1864" s="16" t="n"/>
      <c r="V1864" s="22" t="n"/>
      <c r="W1864" s="22" t="n"/>
      <c r="X1864" s="22" t="n"/>
      <c r="Y1864" s="38" t="n"/>
      <c r="Z1864" s="22" t="n"/>
      <c r="AA1864" s="22" t="n"/>
      <c r="AB1864" s="22" t="n"/>
      <c r="AC1864" s="22" t="n"/>
      <c r="AD1864" s="22" t="n"/>
      <c r="AE1864" s="22" t="n"/>
    </row>
    <row r="1865" ht="56" customHeight="1" s="380">
      <c r="A1865" s="126" t="n">
        <v>93</v>
      </c>
      <c r="B1865" s="390" t="n"/>
      <c r="C1865" s="390" t="inlineStr">
        <is>
          <t>Báo cáo theo Thông tư 121/2020/TT-BTC &gt;&gt; Báo báo tài chính &gt;&gt; Báo cáo tình hình tài chính riêng</t>
        </is>
      </c>
      <c r="D1865" s="390" t="inlineStr">
        <is>
          <t>2.4. Đầu tư dài hạn khác</t>
        </is>
      </c>
      <c r="E1865" s="401" t="n">
        <v>212.4</v>
      </c>
      <c r="F1865" s="390" t="inlineStr">
        <is>
          <t>Data Explorer</t>
        </is>
      </c>
      <c r="G1865" s="390" t="inlineStr">
        <is>
          <t>Chỉ tiêu cơ sở</t>
        </is>
      </c>
      <c r="H1865" s="390" t="inlineStr">
        <is>
          <t>Dễ</t>
        </is>
      </c>
      <c r="I1865" s="390" t="inlineStr">
        <is>
          <t>Ngày, CTCK</t>
        </is>
      </c>
      <c r="J1865" s="401" t="inlineStr">
        <is>
          <t>SCMS</t>
        </is>
      </c>
      <c r="K1865" s="401" t="n"/>
      <c r="L1865" s="401" t="inlineStr">
        <is>
          <t>X</t>
        </is>
      </c>
      <c r="M1865" s="401" t="n"/>
      <c r="N1865" s="401" t="inlineStr">
        <is>
          <t>Done</t>
        </is>
      </c>
      <c r="O1865" s="401" t="n"/>
      <c r="P1865" s="22" t="n"/>
      <c r="S1865" s="22" t="n"/>
      <c r="U1865" s="16" t="n"/>
      <c r="V1865" s="22" t="n"/>
      <c r="W1865" s="22" t="n"/>
      <c r="X1865" s="22" t="n"/>
      <c r="Y1865" s="13" t="n"/>
      <c r="Z1865" s="22" t="n"/>
      <c r="AA1865" s="22" t="n"/>
      <c r="AB1865" s="22" t="n"/>
      <c r="AC1865" s="22" t="n"/>
      <c r="AD1865" s="22" t="n"/>
      <c r="AE1865" s="22" t="n"/>
    </row>
    <row r="1866" ht="56" customHeight="1" s="380">
      <c r="A1866" s="126" t="n">
        <v>93</v>
      </c>
      <c r="B1866" s="390" t="n"/>
      <c r="C1866" s="390" t="inlineStr">
        <is>
          <t>Báo cáo theo Thông tư 121/2020/TT-BTC &gt;&gt; Báo báo tài chính &gt;&gt; Báo cáo tình hình tài chính riêng</t>
        </is>
      </c>
      <c r="D1866" s="390" t="inlineStr">
        <is>
          <t>3. Dự phòng suy giảm tài sản tài chính dài hạn</t>
        </is>
      </c>
      <c r="E1866" s="401" t="n">
        <v>213</v>
      </c>
      <c r="F1866" s="390" t="inlineStr">
        <is>
          <t>Data Explorer</t>
        </is>
      </c>
      <c r="G1866" s="390" t="inlineStr">
        <is>
          <t>Chỉ tiêu cơ sở</t>
        </is>
      </c>
      <c r="H1866" s="390" t="inlineStr">
        <is>
          <t>Dễ</t>
        </is>
      </c>
      <c r="I1866" s="390" t="inlineStr">
        <is>
          <t>Ngày, CTCK</t>
        </is>
      </c>
      <c r="J1866" s="401" t="inlineStr">
        <is>
          <t>SCMS</t>
        </is>
      </c>
      <c r="K1866" s="401" t="n"/>
      <c r="L1866" s="401" t="inlineStr">
        <is>
          <t>X</t>
        </is>
      </c>
      <c r="M1866" s="401" t="n"/>
      <c r="N1866" s="401" t="inlineStr">
        <is>
          <t>Done</t>
        </is>
      </c>
      <c r="O1866" s="401" t="n"/>
      <c r="P1866" s="22" t="n"/>
      <c r="S1866" s="22" t="n"/>
      <c r="U1866" s="16" t="n"/>
      <c r="V1866" s="22" t="n"/>
      <c r="W1866" s="22" t="n"/>
      <c r="X1866" s="22" t="n"/>
      <c r="Y1866" s="13" t="n"/>
      <c r="Z1866" s="22" t="n"/>
      <c r="AA1866" s="22" t="n"/>
      <c r="AB1866" s="22" t="n"/>
      <c r="AC1866" s="22" t="n"/>
      <c r="AD1866" s="22" t="n"/>
      <c r="AE1866" s="22" t="n"/>
    </row>
    <row r="1867" ht="56" customHeight="1" s="380">
      <c r="A1867" s="126" t="n">
        <v>93</v>
      </c>
      <c r="B1867" s="390" t="n"/>
      <c r="C1867" s="390" t="inlineStr">
        <is>
          <t>Báo cáo theo Thông tư 121/2020/TT-BTC &gt;&gt; Báo báo tài chính &gt;&gt; Báo cáo tình hình tài chính riêng</t>
        </is>
      </c>
      <c r="D1867" s="132" t="inlineStr">
        <is>
          <t>II. Tài sản cố định</t>
        </is>
      </c>
      <c r="E1867" s="133" t="n">
        <v>220</v>
      </c>
      <c r="F1867" s="390" t="inlineStr">
        <is>
          <t>Data Explorer</t>
        </is>
      </c>
      <c r="G1867" s="390" t="inlineStr">
        <is>
          <t>Chỉ tiêu cơ sở</t>
        </is>
      </c>
      <c r="H1867" s="390" t="inlineStr">
        <is>
          <t>Dễ</t>
        </is>
      </c>
      <c r="I1867" s="390" t="inlineStr">
        <is>
          <t>Ngày, CTCK</t>
        </is>
      </c>
      <c r="J1867" s="401" t="inlineStr">
        <is>
          <t>SCMS</t>
        </is>
      </c>
      <c r="K1867" s="401" t="n"/>
      <c r="L1867" s="401" t="inlineStr">
        <is>
          <t>X</t>
        </is>
      </c>
      <c r="M1867" s="401" t="n"/>
      <c r="N1867" s="401" t="inlineStr">
        <is>
          <t>Done</t>
        </is>
      </c>
      <c r="O1867" s="401" t="n"/>
      <c r="P1867" s="22" t="n"/>
      <c r="S1867" s="22" t="n"/>
      <c r="U1867" s="16" t="n"/>
      <c r="V1867" s="22" t="n"/>
      <c r="W1867" s="22" t="n"/>
      <c r="X1867" s="22" t="n"/>
      <c r="Y1867" s="13" t="n"/>
      <c r="Z1867" s="22" t="n"/>
      <c r="AA1867" s="22" t="n"/>
      <c r="AB1867" s="22" t="n"/>
      <c r="AC1867" s="22" t="n"/>
      <c r="AD1867" s="22" t="n"/>
      <c r="AE1867" s="22" t="n"/>
    </row>
    <row r="1868" ht="56" customHeight="1" s="380">
      <c r="A1868" s="126" t="n">
        <v>93</v>
      </c>
      <c r="B1868" s="390" t="n"/>
      <c r="C1868" s="390" t="inlineStr">
        <is>
          <t>Báo cáo theo Thông tư 121/2020/TT-BTC &gt;&gt; Báo báo tài chính &gt;&gt; Báo cáo tình hình tài chính riêng</t>
        </is>
      </c>
      <c r="D1868" s="390" t="inlineStr">
        <is>
          <t>1. Tài sản cố định hữu hình</t>
        </is>
      </c>
      <c r="E1868" s="401" t="n">
        <v>221</v>
      </c>
      <c r="F1868" s="390" t="inlineStr">
        <is>
          <t>Data Explorer</t>
        </is>
      </c>
      <c r="G1868" s="390" t="inlineStr">
        <is>
          <t>Chỉ tiêu cơ sở</t>
        </is>
      </c>
      <c r="H1868" s="390" t="inlineStr">
        <is>
          <t>Dễ</t>
        </is>
      </c>
      <c r="I1868" s="390" t="inlineStr">
        <is>
          <t>Ngày, CTCK</t>
        </is>
      </c>
      <c r="J1868" s="401" t="inlineStr">
        <is>
          <t>SCMS</t>
        </is>
      </c>
      <c r="K1868" s="401" t="n"/>
      <c r="L1868" s="401" t="inlineStr">
        <is>
          <t>X</t>
        </is>
      </c>
      <c r="M1868" s="401" t="n"/>
      <c r="N1868" s="401" t="inlineStr">
        <is>
          <t>Done</t>
        </is>
      </c>
      <c r="O1868" s="401" t="n"/>
      <c r="P1868" s="22" t="n"/>
      <c r="S1868" s="22" t="n"/>
      <c r="U1868" s="16" t="n"/>
      <c r="V1868" s="22" t="n"/>
      <c r="W1868" s="22" t="n"/>
      <c r="X1868" s="22" t="n"/>
      <c r="Y1868" s="13" t="n"/>
      <c r="Z1868" s="22" t="n"/>
      <c r="AA1868" s="22" t="n"/>
      <c r="AB1868" s="22" t="n"/>
      <c r="AC1868" s="22" t="n"/>
      <c r="AD1868" s="22" t="n"/>
      <c r="AE1868" s="22" t="n"/>
    </row>
    <row r="1869" ht="56" customHeight="1" s="380">
      <c r="A1869" s="126" t="n">
        <v>93</v>
      </c>
      <c r="B1869" s="390" t="n"/>
      <c r="C1869" s="390" t="inlineStr">
        <is>
          <t>Báo cáo theo Thông tư 121/2020/TT-BTC &gt;&gt; Báo báo tài chính &gt;&gt; Báo cáo tình hình tài chính riêng</t>
        </is>
      </c>
      <c r="D1869" s="390" t="inlineStr">
        <is>
          <t>- Nguyên giá</t>
        </is>
      </c>
      <c r="E1869" s="401" t="n">
        <v>222</v>
      </c>
      <c r="F1869" s="390" t="inlineStr">
        <is>
          <t>Data Explorer</t>
        </is>
      </c>
      <c r="G1869" s="390" t="inlineStr">
        <is>
          <t>Chỉ tiêu cơ sở</t>
        </is>
      </c>
      <c r="H1869" s="390" t="inlineStr">
        <is>
          <t>Dễ</t>
        </is>
      </c>
      <c r="I1869" s="390" t="inlineStr">
        <is>
          <t>Ngày, CTCK</t>
        </is>
      </c>
      <c r="J1869" s="401" t="inlineStr">
        <is>
          <t>SCMS</t>
        </is>
      </c>
      <c r="K1869" s="401" t="n"/>
      <c r="L1869" s="401" t="inlineStr">
        <is>
          <t>X</t>
        </is>
      </c>
      <c r="M1869" s="401" t="n"/>
      <c r="N1869" s="401" t="inlineStr">
        <is>
          <t>Done</t>
        </is>
      </c>
      <c r="O1869" s="401" t="n"/>
      <c r="P1869" s="22" t="n"/>
      <c r="S1869" s="22" t="n"/>
      <c r="U1869" s="16" t="n"/>
      <c r="V1869" s="22" t="n"/>
      <c r="W1869" s="22" t="n"/>
      <c r="X1869" s="22" t="n"/>
      <c r="Y1869" s="13" t="n"/>
      <c r="Z1869" s="22" t="n"/>
      <c r="AA1869" s="22" t="n"/>
      <c r="AB1869" s="22" t="n"/>
      <c r="AC1869" s="22" t="n"/>
      <c r="AD1869" s="22" t="n"/>
      <c r="AE1869" s="22" t="n"/>
    </row>
    <row r="1870" ht="56" customHeight="1" s="380">
      <c r="A1870" s="126" t="n">
        <v>93</v>
      </c>
      <c r="B1870" s="390" t="n"/>
      <c r="C1870" s="390" t="inlineStr">
        <is>
          <t>Báo cáo theo Thông tư 121/2020/TT-BTC &gt;&gt; Báo báo tài chính &gt;&gt; Báo cáo tình hình tài chính riêng</t>
        </is>
      </c>
      <c r="D1870" s="390" t="inlineStr">
        <is>
          <t>- Giá trị hao mòn luỹ kế (*)</t>
        </is>
      </c>
      <c r="E1870" s="401" t="inlineStr">
        <is>
          <t xml:space="preserve">223a
</t>
        </is>
      </c>
      <c r="F1870" s="390" t="inlineStr">
        <is>
          <t>Data Explorer</t>
        </is>
      </c>
      <c r="G1870" s="390" t="inlineStr">
        <is>
          <t>Chỉ tiêu cơ sở</t>
        </is>
      </c>
      <c r="H1870" s="390" t="inlineStr">
        <is>
          <t>Dễ</t>
        </is>
      </c>
      <c r="I1870" s="390" t="inlineStr">
        <is>
          <t>Ngày, CTCK</t>
        </is>
      </c>
      <c r="J1870" s="401" t="inlineStr">
        <is>
          <t>SCMS</t>
        </is>
      </c>
      <c r="K1870" s="401" t="n"/>
      <c r="L1870" s="401" t="inlineStr">
        <is>
          <t>X</t>
        </is>
      </c>
      <c r="M1870" s="401" t="n"/>
      <c r="N1870" s="401" t="inlineStr">
        <is>
          <t>Done</t>
        </is>
      </c>
      <c r="O1870" s="401" t="n"/>
      <c r="P1870" s="22" t="n"/>
      <c r="S1870" s="22" t="n"/>
      <c r="T1870" s="432" t="inlineStr">
        <is>
          <t xml:space="preserve">
    -- Số đầu năm
	MAX(CASE WHEN bsc.TEN_COT=N'Số đầu năm' AND bsh.MA_HANG = '2' THEN CAST(gt.GIA_TRI AS VARCHAR2(4000)) END) AS "TÀI SẢN",
    MAX(CASE WHEN bsc.TEN_COT=N'Số đầu năm' AND bsh.MA_HANG = '3' THEN CAST(gt.GIA_TRI AS VARCHAR2(4000)) END) AS "A. TÀI SẢN NGẮN HẠN (100 = 110 + 130)",
    MAX(CASE WHEN bsc.TEN_COT=N'Số đầu năm' AND bsh.MA_HANG = '4' THEN CAST(gt.GIA_TRI AS VARCHAR2(4000)) END) AS "I. Tài sản tài chính",
    MAX(CASE WHEN bsc.TEN_COT=N'Số đầu năm' AND bsh.MA_HANG = '5' THEN CAST(gt.GIA_TRI AS VARCHAR2(4000)) END) AS "1.Tiền và các khoản tương đương tiền",
    MAX(CASE WHEN bsc.TEN_COT=N'Số đầu năm' AND bsh.MA_HANG = '6' THEN CAST(gt.GIA_TRI AS VARCHAR2(4000)) END) AS "1.1. Tiền",
    MAX(CASE WHEN bsc.TEN_COT=N'Số đầu năm' AND bsh.MA_HANG = '7' THEN CAST(gt.GIA_TRI AS VARCHAR2(4000)) END) AS "1.2. Các khoản tương đương tiền",
    MAX(CASE WHEN bsc.TEN_COT=N'Số đầu năm' AND bsh.MA_HANG = '8' THEN CAST(gt.GIA_TRI AS VARCHAR2(4000)) END) AS "2. Các tài sản tài chính ghi nhận thông qua lãi/lỗ (FVTPL)",
    MAX(CASE WHEN bsc.TEN_COT=N'Số đầu năm' AND bsh.MA_HANG = '9' THEN CAST(gt.GIA_TRI AS VARCHAR2(4000)) END) AS "3. Các  khoản đầu tư  nắm giữ đến ngày đáo hạn (HTM)",
    MAX(CASE WHEN bsc.TEN_COT=N'Số đầu năm' AND bsh.MA_HANG = '10' THEN CAST(gt.GIA_TRI AS VARCHAR2(4000)) END) AS "4. Các khoản cho vay",
    MAX(CASE WHEN bsc.TEN_COT=N'Số đầu năm' AND bsh.MA_HANG = '11' THEN CAST(gt.GIA_TRI AS VARCHAR2(4000)) END) AS "5. Tài sản tài chính sẵn sàng để bán (AFS)",
    MAX(CASE WHEN bsc.TEN_COT=N'Số đầu năm' AND bsh.MA_HANG = '12' THEN CAST(gt.GIA_TRI AS VARCHAR2(4000)) END) AS "6. Dự phòng suy giảm giá trị các tài sản tài chính và tài sản thế chấp",
    MAX(CASE WHEN bsc.TEN_COT=N'Số đầu năm' AND bsh.MA_HANG = '13' THEN CAST(gt.GIA_TRI AS VARCHAR2(4000)) END) AS "7. Các khoản phải thu",
    MAX(CASE WHEN bsc.TEN_COT=N'Số đầu năm' AND bsh.MA_HANG = '14' THEN CAST(gt.GIA_TRI AS VARCHAR2(4000)) END) AS "7.1. Phải thu bán các tài sản tài chính",
    MAX(CASE WHEN bsc.TEN_COT=N'Số đầu năm' AND bsh.MA_HANG = '15' THEN CAST(gt.GIA_TRI AS VARCHAR2(4000)) END) AS "7.2. Phải thu và dự thu cổ tức, tiền lãi các tài sản tài chính",
    MAX(CASE WHEN bsc.TEN_COT=N'Số đầu năm' AND bsh.MA_HANG = '16' THEN CAST(gt.GIA_TRI AS VARCHAR2(4000)) END) AS "7.2.1. Phải thu cổ tức, tiền lãi đến ngày nhận",
    MAX(CASE WHEN bsc.TEN_COT=N'Số đầu năm' AND bsh.MA_HANG = '17' THEN CAST(gt.GIA_TRI AS VARCHAR2(4000)) END) AS "7.2.2. Dự thu cổ tức, tiền lãi chưa đến ngày nhận",
    MAX(CASE WHEN bsc.TEN_COT=N'Số đầu năm' AND bsh.MA_HANG = '18' THEN CAST(gt.GIA_TRI AS VARCHAR2(4000)) END) AS "8. Trả trước cho người bán",
    MAX(CASE WHEN bsc.TEN_COT=N'Số đầu năm' AND bsh.MA_HANG = '19' THEN CAST(gt.GIA_TRI AS VARCHAR2(4000)) END) AS "9. Phải thu các dịch vụ CTCK cung cấp",
    MAX(CASE WHEN bsc.TEN_COT=N'Số đầu năm' AND bsh.MA_HANG = '20' THEN CAST(gt.GIA_TRI AS VARCHAR2(4000)) END) AS "10. Phải thu nội bộ",
    MAX(CASE WHEN bsc.TEN_COT=N'Số đầu năm' AND bsh.MA_HANG = '21' THEN CAST(gt.GIA_TRI AS VARCHAR2(4000)) END) AS "11. Phải thu về lỗi giao dịch chứng khoán",
    MAX(CASE WHEN bsc.TEN_COT=N'Số đầu năm' AND bsh.MA_HANG = '22' THEN CAST(gt.GIA_TRI AS VARCHAR2(4000)) END) AS "12. Các khoản phải thu khác",
    MAX(CASE WHEN bsc.TEN_COT=N'Số đầu năm' AND bsh.MA_HANG = '23' THEN CAST(gt.GIA_TRI AS VARCHAR2(4000)) END) AS "13. Dự phòng suy giảm giá trị các khoản phải thu (*)",
    MAX(CASE WHEN bsc.TEN_COT=N'Số đầu năm' AND bsh.MA_HANG = '24' THEN CAST(gt.GIA_TRI AS VARCHAR2(4000)) END) AS "II. Tài sản ngắn hạn khác",
    MAX(CASE WHEN bsc.TEN_COT=N'Số đầu năm' AND bsh.MA_HANG = '25' THEN CAST(gt.GIA_TRI AS VARCHAR2(4000)) END) AS "1. Tạm ứng",
    MAX(CASE WHEN bsc.TEN_COT=N'Số đầu năm' AND bsh.MA_HANG = '26' THEN CAST(gt.GIA_TRI AS VARCHAR2(4000)) END) AS "2. Vật tư văn phòng, công cụ, dụng cụ",
    MAX(CASE WHEN bsc.TEN_COT=N'Số đầu năm' AND bsh.MA_HANG = '27' THEN CAST(gt.GIA_TRI AS VARCHAR2(4000)) END) AS "3. Chi phí trả trước ngắn hạn",
    MAX(CASE WHEN bsc.TEN_COT=N'Số đầu năm' AND bsh.MA_HANG = '28' THEN CAST(gt.GIA_TRI AS VARCHAR2(4000)) END) AS "4. Cầm cố, thế chấp, ký quỹ, ký cược ngắn hạn",
    MAX(CASE WHEN bsc.TEN_COT=N'Số đầu năm' AND bsh.MA_HANG = '29' THEN CAST(gt.GIA_TRI AS VARCHAR2(4000)) END) AS "5. Thuế giá trị gia tăng được khấu trừ",
    MAX(CASE WHEN bsc.TEN_COT=N'Số đầu năm' AND bsh.MA_HANG = '30' THEN CAST(gt.GIA_TRI AS VARCHAR2(4000)) END) AS "6. Thuế và các khoản khác phải thu Nhà nước",
    MAX(CASE WHEN bsc.TEN_COT=N'Số đầu năm' AND bsh.MA_HANG = '31' THEN CAST(gt.GIA_TRI AS VARCHAR2(4000)) END) AS "7. Tài sản ngắn hạn khác",
    MAX(CASE WHEN bsc.TEN_COT=N'Số đầu năm' AND bsh.MA_HANG = '32' THEN CAST(gt.GIA_TRI AS VARCHAR2(4000)) END) AS "8. Giao dịch mua bán lại trái phiếu Chính phủ",
    MAX(CASE WHEN bsc.TEN_COT=N'Số đầu năm' AND bsh.MA_HANG = '33' THEN CAST(gt.GIA_TRI AS VARCHAR2(4000)) END) AS "9. Dự phòng suy giảm giá trị tài sản ngắn hạn khác",
    MAX(CASE WHEN bsc.TEN_COT=N'Số đầu năm' AND bsh.MA_HANG = '34' THEN CAST(gt.GIA_TRI AS VARCHAR2(4000)) END) AS "B. TÀI SẢN DÀI HẠN (200 = 210 + 220 + 230 + 240 + 250 - 260)",
    MAX(CASE WHEN bsc.TEN_COT=N'Số đầu năm' AND bsh.MA_HANG = '35' THEN CAST(gt.GIA_TRI AS VARCHAR2(4000)) END) AS "I. Tài sản tài chính dài hạn",
    MAX(CASE WHEN bsc.TEN_COT=N'Số đầu năm' AND bsh.MA_HANG = '36' THEN CAST(gt.GIA_TRI AS VARCHAR2(4000)) END) AS "1. Các khoản phải thu dài hạn",
    MAX(CASE WHEN bsc.TEN_COT=N'Số đầu năm' AND bsh.MA_HANG = '37' THEN CAST(gt.GIA_TRI AS VARCHAR2(4000)) END) AS "2. Các khoản đầu tư",
    MAX(CASE WHEN bsc.TEN_COT=N'Số đầu năm' AND bsh.MA_HANG = '38' THEN CAST(gt.GIA_TRI AS VARCHAR2(4000)) END) AS "2.1.Các khoản đầu tư nắm giữ đến ngày đáo hạn",
    MAX(CASE WHEN bsc.TEN_COT=N'Số đầu năm' AND bsh.MA_HANG = '39' THEN CAST(gt.GIA_TRI AS VARCHAR2(4000)) END) AS "2.2. Đầu tư vào công ty con ",
    MAX(CASE WHEN bsc.TEN_COT=N'Số đầu năm' AND bsh.MA_HANG = '40' THEN CAST(gt.GIA_TRI AS VARCHAR2(4000)) END) AS "2.3. Đầu tư vào công ty liên doanh, liên kết ",
    MAX(CASE WHEN bsc.TEN_COT=N'Số đầu năm' AND bsh.MA_HANG = '41' THEN CAST(gt.GIA_TRI AS VARCHAR2(4000)) END) AS "2.4. Đầu tư dài hạn khác",
    MAX(CASE WHEN bsc.TEN_COT=N'Số đầu năm' AND bsh.MA_HANG = '42' THEN CAST(gt.GIA_TRI AS VARCHAR2(4000)) END) AS "3. Dự phòng suy giảm tài sản tài chính dài hạn",
    MAX(CASE WHEN bsc.TEN_COT=N'Số đầu năm' AND bsh.MA_HANG = '43' THEN CAST(gt.GIA_TRI AS VARCHAR2(4000)) END) AS "II. Tài sản cố định",
    MAX(CASE WHEN bsc.TEN_COT=N'Số đầu năm' AND bsh.MA_HANG = '44' THEN CAST(gt.GIA_TRI AS VARCHAR2(4000)) END) AS "1. Tài sản cố định hữu hình",
    MAX(CASE WHEN bsc.TEN_COT=N'Số đầu năm' AND bsh.MA_HANG = '45' THEN CAST(gt.GIA_TRI AS VARCHAR2(4000)) END) AS "- Nguyên giá",
    MAX(CASE WHEN bsc.TEN_COT=N'Số đầu năm' AND bsh.MA_HANG = '46' THEN CAST(gt.GIA_TRI AS VARCHAR2(4000)) END) AS "- Giá trị hao mòn luỹ kế (*)",
    MAX(CASE WHEN bsc.TEN_COT=N'Số đầu năm' AND bsh.MA_HANG = '47' THEN CAST(gt.GIA_TRI AS VARCHAR2(4000)) END) AS "- Đánh giá TSCĐHH theo giá trị hợp lý",
    MAX(CASE WHEN bsc.TEN_COT=N'Số đầu năm' AND bsh.MA_HANG = '48' THEN CAST(gt.GIA_TRI AS VARCHAR2(4000)) END) AS "2. Tài sản cố định thuê tài chính",
    MAX(CASE WHEN bsc.TEN_COT=N'Số đầu năm' AND bsh.MA_HANG = '49' THEN CAST(gt.GIA_TRI AS VARCHAR2(4000)) END) AS "- Nguyên giá",
    MAX(CASE WHEN bsc.TEN_COT=N'Số đầu năm' AND bsh.MA_HANG = '50' THEN CAST(gt.GIA_TRI AS VARCHAR2(4000)) END) AS "- Giá trị hao mòn luỹ kế (*)",
    MAX(CASE WHEN bsc.TEN_COT=N'Số đầu năm' AND bsh.MA_HANG = '51' THEN CAST(gt.GIA_TRI AS VARCHAR2(4000)) END) AS "- Đánh giá TSCĐTTC theo giá trị hợp lý",
    MAX(CASE WHEN bsc.TEN_COT=N'Số đầu năm' AND bsh.MA_HANG = '52' THEN CAST(gt.GIA_TRI AS VARCHAR2(4000)) END) AS "3. Tài sản cố định vô hình",
    MAX(CASE WHEN bsc.TEN_COT=N'Số đầu năm' AND bsh.MA_HANG = '53' THEN CAST(gt.GIA_TRI AS VARCHAR2(4000)) END) AS "- Nguyên giá",
    MAX(CASE WHEN bsc.TEN_COT=N'Số đầu năm' AND bsh.MA_HANG = '54' THEN CAST(gt.GIA_TRI AS VARCHAR2(4000)) END) AS "- Giá trị hao mòn luỹ kế (*)",
    MAX(CASE WHEN bsc.TEN_COT=N'Số đầu năm' AND bsh.MA_HANG = '55' THEN CAST(gt.GIA_TRI AS VARCHAR2(4000)) END) AS "- Đánh giá TSCĐVH theo giá trị hợp lý",
    MAX(CASE WHEN bsc.TEN_COT=N'Số đầu năm' AND bsh.MA_HANG = '56' THEN CAST(gt.GIA_TRI AS VARCHAR2(4000)) END) AS "III. Bất động sản đầu tư",
    MAX(CASE WHEN bsc.TEN_COT=N'Số đầu năm' AND bsh.MA_HANG = '57' THEN CAST(gt.GIA_TRI AS VARCHAR2(4000)) END) AS "- Nguyên giá",
    MAX(CASE WHEN bsc.TEN_COT=N'Số đầu năm' AND bsh.MA_HANG = '58' THEN CAST(gt.GIA_TRI AS VARCHAR2(4000)) END) AS "- Giá trị hao mòn luỹ kế (*)",
    MAX(CASE WHEN bsc.TEN_COT=N'Số đầu năm' AND bsh.MA_HANG = '59' THEN CAST(gt.GIA_TRI AS VARCHAR2(4000)) END) AS "- Đánh giá TSCĐVH theo giá trị hợp lý",
    MAX(CASE WHEN bsc.TEN_COT=N'Số đầu năm' AND bsh.MA_HANG = '60' THEN CAST(gt.GIA_TRI AS VARCHAR2(4000)) END) AS "IV.Chi phí xây dựng cơ bản dở dang",
    MAX(CASE WHEN bsc.TEN_COT=N'Số đầu năm' AND bsh.MA_HANG = '61' THEN CAST(gt.GIA_TRI AS VARCHAR2(4000)) END) AS "V. Tài sản dài hạn khác",
    MAX(CASE WHEN bsc.TEN_COT=N'Số đầu năm' AND bsh.MA_HANG = '62' THEN CAST(gt.GIA_TRI AS VARCHAR2(4000)) END) AS "1. Cầm cố, thế chấp, ký quỹ, ký cược dài hạn",
    MAX(CASE WHEN bsc.TEN_COT=N'Số đầu năm' AND bsh.MA_HANG = '63' THEN CAST(gt.GIA_TRI AS VARCHAR2(4000)) END) AS "2. Chi phí trả trước dài hạn",
    MAX(CASE WHEN bsc.TEN_COT=N'Số đầu năm' AND bsh.MA_HANG = '64' THEN CAST(gt.GIA_TRI AS VARCHAR2(4000)) END) AS "3. Tài sản thuế thu nhập hoãn lại",
    MAX(CASE WHEN bsc.TEN_COT=N'Số đầu năm' AND bsh.MA_HANG = '65' THEN CAST(gt.GIA_TRI AS VARCHAR2(4000)) END) AS "4. Tiền nộp Quỹ Hỗ trợ thanh toán",
    MAX(CASE WHEN bsc.TEN_COT=N'Số đầu năm' AND bsh.MA_HANG = '66' THEN CAST(gt.GIA_TRI AS VARCHAR2(4000)) END) AS "5. Tài sản dài hạn khác",
    MAX(CASE WHEN bsc.TEN_COT=N'Số đầu năm' AND bsh.MA_HANG = '67' THEN CAST(gt.GIA_TRI AS VARCHAR2(4000)) END) AS "VI. Dự phòng suy giảm giá trị tài sản dài hạn",
    MAX(CASE WHEN bsc.TEN_COT=N'Số đầu năm' AND bsh.MA_HANG = '68' THEN CAST(gt.GIA_TRI AS VARCHAR2(4000)) END) AS "TỔNG CỘNG TÀI SẢN",
    MAX(CASE WHEN bsc.TEN_COT=N'Số đầu năm' AND bsh.MA_HANG = '69' THEN CAST(gt.GIA_TRI AS VARCHAR2(4000)) END) AS "(270 = 100 + 200)",
    MAX(CASE WHEN bsc.TEN_COT=N'Số đầu năm' AND bsh.MA_HANG = '70' THEN CAST(gt.GIA_TRI AS VARCHAR2(4000)) END) AS "C. NỢ PHẢI TRẢ (300 = 310 + 340)",
    MAX(CASE WHEN bsc.TEN_COT=N'Số đầu năm' AND bsh.MA_HANG = '71' THEN CAST(gt.GIA_TRI AS VARCHAR2(4000)) END) AS "I. Nợ phải trả ngắn hạn",
    MAX(CASE WHEN bsc.TEN_COT=N'Số đầu năm' AND bsh.MA_HANG = '72' THEN CAST(gt.GIA_TRI AS VARCHAR2(4000)) END) AS "1. Vay và nợ thuê tài chính ngắn hạn",
    MAX(CASE WHEN bsc.TEN_COT=N'Số đầu năm' AND bsh.MA_HANG = '73' THEN CAST(gt.GIA_TRI AS VARCHAR2(4000)) END) AS "1.1. Vay ngắn hạn",
    MAX(CASE WHEN bsc.TEN_COT=N'Số đầu năm' AND bsh.MA_HANG = '74' THEN CAST(gt.GIA_TRI AS VARCHAR2(4000)) END) AS "1.2. Nợ thuê tài chính ngắn hạn",
    MAX(CASE WHEN bsc.TEN_COT=N'Số đầu năm' AND bsh.MA_HANG = '75' THEN CAST(gt.GIA_TRI AS VARCHAR2(4000)) END) AS "2. Vay tài sản tài chính ngắn hạn",
    MAX(CASE WHEN bsc.TEN_COT=N'Số đầu năm' AND bsh.MA_HANG = '76' THEN CAST(gt.GIA_TRI AS VARCHAR2(4000)) END) AS "3. Trái phiếu chuyển đổi ngắn hạn - Cấu phần nợ",
    MAX(CASE WHEN bsc.TEN_COT=N'Số đầu năm' AND bsh.MA_HANG = '77' THEN CAST(gt.GIA_TRI AS VARCHAR2(4000)) END) AS "4. Trái phiếu phát hành ngắn hạn",
    MAX(CASE WHEN bsc.TEN_COT=N'Số đầu năm' AND bsh.MA_HANG = '78' THEN CAST(gt.GIA_TRI AS VARCHAR2(4000)) END) AS "5. Vay Quỹ Hỗ trợ thanh toán",
    MAX(CASE WHEN bsc.TEN_COT=N'Số đầu năm' AND bsh.MA_HANG = '79' THEN CAST(gt.GIA_TRI AS VARCHAR2(4000)) END) AS "6. Phải trả hoạt động giao dịch chứng khoán",
    MAX(CASE WHEN bsc.TEN_COT=N'Số đầu năm' AND bsh.MA_HANG = '80' THEN CAST(gt.GIA_TRI AS VARCHAR2(4000)) END) AS "7. Phải trả về lỗi giao dịch các tài sản tài chính",
    MAX(CASE WHEN bsc.TEN_COT=N'Số đầu năm' AND bsh.MA_HANG = '81' THEN CAST(gt.GIA_TRI AS VARCHAR2(4000)) END) AS "8. Phải trả người bán ngắn hạn",
    MAX(CASE WHEN bsc.TEN_COT=N'Số đầu năm' AND bsh.MA_HANG = '82' THEN CAST(gt.GIA_TRI AS VARCHAR2(4000)) END) AS "9. Người mua trả tiền trước ngắn hạn",
    MAX(CASE WHEN bsc.TEN_COT=N'Số đầu năm' AND bsh.MA_HANG = '83' THEN CAST(gt.GIA_TRI AS VARCHAR2(4000)) END) AS "10. Thuế và các khoản phải nộp Nhà nước",
    MAX(CASE WHEN bsc.TEN_COT=N'Số đầu năm' AND bsh.MA_HANG = '84' THEN CAST(gt.GIA_TRI AS VARCHAR2(4000)) END) AS "11. Phải trả người lao động",
    MAX(CASE WHEN bsc.TEN_COT=N'Số đầu năm' AND bsh.MA_HANG = '85' THEN CAST(gt.GIA_TRI AS VARCHAR2(4000)) END) AS "12. Các khoản trích nộp phúc lợi nhân viên",
    MAX(CASE WHEN bsc.TEN_COT=N'Số đầu năm' AND bsh.MA_HANG = '86' THEN CAST(gt.GIA_TRI AS VARCHAR2(4000)) END) AS "13. Chi phí phải trả ngắn hạn",
    MAX(CASE WHEN bsc.TEN_COT=N'Số đầu năm' AND bsh.MA_HANG = '87' THEN CAST(gt.GIA_TRI AS VARCHAR2(4000)) END) AS "14. Phải trả nội bộ ngắn hạn",
    MAX(CASE WHEN bsc.TEN_COT=N'Số đầu năm' AND bsh.MA_HANG = '88' THEN CAST(gt.GIA_TRI AS VARCHAR2(4000)) END) AS "15. Doanh thu chưa thực hiện ngắn hạn",
    MAX(CASE WHEN bsc.TEN_COT=N'Số đầu năm' AND bsh.MA_HANG = '89' THEN CAST(gt.GIA_TRI AS VARCHAR2(4000)) END) AS "16. Nhận ký quỹ, ký cược ngắn hạn",
    MAX(CASE WHEN bsc.TEN_COT=N'Số đầu năm' AND bsh.MA_HANG = '90' THEN CAST(gt.GIA_TRI AS VARCHAR2(4000)) END) AS "17. Các khoản phải trả, phải nộp khác ngắn hạn",
    MAX(CASE WHEN bsc.TEN_COT=N'Số đầu năm' AND bsh.MA_HANG = '91' THEN CAST(gt.GIA_TRI AS VARCHAR2(4000)) END) AS "18. Dự phòng phải trả ngắn hạn",
    MAX(CASE WHEN bsc.TEN_COT=N'Số đầu năm' AND bsh.MA_HANG = '92' THEN CAST(gt.GIA_TRI AS VARCHAR2(4000)) END) AS "19. Quỹ khen thưởng, phúc lợi",
    MAX(CASE WHEN bsc.TEN_COT=N'Số đầu năm' AND bsh.MA_HANG = '93' THEN CAST(gt.GIA_TRI AS VARCHAR2(4000)) END) AS "20. Giao dịch mua bán lại trái phiếu Chính phủ",
    MAX(CASE WHEN bsc.TEN_COT=N'Số đầu năm' AND bsh.MA_HANG = '94' THEN CAST(gt.GIA_TRI AS VARCHAR2(4000)) END) AS "II. Nợ phải trả dài hạn",
    MAX(CASE WHEN bsc.TEN_COT=N'Số đầu năm' AND bsh.MA_HANG = '95' THEN CAST(gt.GIA_TRI AS VARCHAR2(4000)) END) AS "1. Vay và nợ thuê tài chính dài hạn",
    MAX(CASE WHEN bsc.TEN_COT=N'Số đầu năm' AND bsh.MA_HANG = '96' THEN CAST(gt.GIA_TRI AS VARCHAR2(4000)) END) AS "1.1.Vay dài hạn",
    MAX(CASE WHEN bsc.TEN_COT=N'Số đầu năm' AND bsh.MA_HANG = '97' THEN CAST(gt.GIA_TRI AS VARCHAR2(4000)) END) AS "1.2. Nợ thuê tài chính dài hạn",
    MAX(CASE WHEN bsc.TEN_COT=N'Số đầu năm' AND bsh.MA_HANG = '98' THEN CAST(gt.GIA_TRI AS VARCHAR2(4000)) END) AS "2. Vay tài sản tài chính dài hạn",
    MAX(CASE WHEN bsc.TEN_COT=N'Số đầu năm' AND bsh.MA_HANG = '99' THEN CAST(gt.GIA_TRI AS VARCHAR2(4000)) END) AS "3. Trái phiếu chuyển đổi dài hạn - Cấu phần nợ",
    MAX(CASE WHEN bsc.TEN_COT=N'Số đầu năm' AND bsh.MA_HANG = '100' THEN CAST(gt.GIA_TRI AS VARCHAR2(4000)) END) AS "4. Trái phiếu phát hành dài hạn",
    MAX(CASE WHEN bsc.TEN_COT=N'Số đầu năm' AND bsh.MA_HANG = '101' THEN CAST(gt.GIA_TRI AS VARCHAR2(4000)) END) AS "5. Phải trả người bán dài hạn",
    MAX(CASE WHEN bsc.TEN_COT=N'Số đầu năm' AND bsh.MA_HANG = '102' THEN CAST(gt.GIA_TRI AS VARCHAR2(4000)) END) AS "6. Người mua trả tiền trước dài hạn",
    MAX(CASE WHEN bsc.TEN_COT=N'Số đầu năm' AND bsh.MA_HANG = '103' THEN CAST(gt.GIA_TRI AS VARCHAR2(4000)) END) AS "7. Chi phí phải trả dài hạn",
    MAX(CASE WHEN bsc.TEN_COT=N'Số đầu năm' AND bsh.MA_HANG = '104' THEN CAST(gt.GIA_TRI AS VARCHAR2(4000)) END) AS "8. Phải trả nội bộ dài hạn",
    MAX(CASE WHEN bsc.TEN_COT=N'Số đầu năm' AND bsh.MA_HANG = '105' THEN CAST(gt.GIA_TRI AS VARCHAR2(4000)) END) AS "9. Doanh thu chưa thực hiện dài hạn",
    MAX(CASE WHEN bsc.TEN_COT=N'Số đầu năm' AND bsh.MA_HANG = '106' THEN CAST(gt.GIA_TRI AS VARCHAR2(4000)) END) AS "10. Nhận ký quỹ, ký cược dài hạn",
    MAX(CASE WHEN bsc.TEN_COT=N'Số đầu năm' AND bsh.MA_HANG = '107' THEN CAST(gt.GIA_TRI AS VARCHAR2(4000)) END) AS "11. Các khoản phải trả, phải nộp khác dài hạn",
    MAX(CASE WHEN bsc.TEN_COT=N'Số đầu năm' AND bsh.MA_HANG = '108' THEN CAST(gt.GIA_TRI AS VARCHAR2(4000)) END) AS "12. Dự phòng phải trả dài hạn",
    MAX(CASE WHEN bsc.TEN_COT=N'Số đầu năm' AND bsh.MA_HANG = '109' THEN CAST(gt.GIA_TRI AS VARCHAR2(4000)) END) AS "13. Quỹ bảo vệ Nhà đầu tư",
    MAX(CASE WHEN bsc.TEN_COT=N'Số đầu năm' AND bsh.MA_HANG = '110' THEN CAST(gt.GIA_TRI AS VARCHAR2(4000)) END) AS "14. Thuế thu nhập hoãn lại phải trả",
    MAX(CASE WHEN bsc.TEN_COT=N'Số đầu năm' AND bsh.MA_HANG = '111' THEN CAST(gt.GIA_TRI AS VARCHAR2(4000)) END) AS "15. Quỹ phát triển khoa học và công nghệ",
    MAX(CASE WHEN bsc.TEN_COT=N'Số đầu năm' AND bsh.MA_HANG = '112' THEN CAST(gt.GIA_TRI AS VARCHAR2(4000)) END) AS "D. VỐN CHỦ SỞ HỮU",
    MAX(CASE WHEN bsc.TEN_COT=N'Số đầu năm' AND bsh.MA_HANG = '113' THEN CAST(gt.GIA_TRI AS VARCHAR2(4000)) END) AS "(400 = 410 + 420)",
    MAX(CASE WHEN bsc.TEN_COT=N'Số đầu năm' AND bsh.MA_HANG = '114' THEN CAST(gt.GIA_TRI AS VARCHAR2(4000)) END) AS "I. Vốn chủ sở hữu",
    MAX(CASE WHEN bsc.TEN_COT=N'Số đầu năm' AND bsh.MA_HANG = '115' THEN CAST(gt.GIA_TRI AS VARCHAR2(4000)) END) AS "1. Vốn đầu tư của chủ sở hữu",
    MAX(CASE WHEN bsc.TEN_COT=N'Số đầu năm' AND bsh.MA_HANG = '116' THEN CAST(gt.GIA_TRI AS VARCHAR2(4000)) END) AS "1.1. Vốn góp của chủ sở hữu",
    MAX(CASE WHEN bsc.TEN_COT=N'Số đầu năm' AND bsh.MA_HANG = '117' THEN CAST(gt.GIA_TRI AS VARCHAR2(4000)) END) AS "a. Cổ phiếu phổ thông có quyền biểu quyết",
    MAX(CASE WHEN bsc.TEN_COT=N'Số đầu năm' AND bsh.MA_HANG = '118' THEN CAST(gt.GIA_TRI AS VARCHAR2(4000)) END) AS "b. Cổ phiếu ưu đãi",
    MAX(CASE WHEN bsc.TEN_COT=N'Số đầu năm' AND bsh.MA_HANG = '119' THEN CAST(gt.GIA_TRI AS VARCHAR2(4000)) END) AS "1.2. Thặng dư vốn cổ phần",
    MAX(CASE WHEN bsc.TEN_COT=N'Số đầu năm' AND bsh.MA_HANG = '120' THEN CAST(gt.GIA_TRI AS VARCHAR2(4000)) END) AS "1.3. Quyền chọn chuyển đổi trái phiếu - Cấu phần vốn",
    MAX(CASE WHEN bsc.TEN_COT=N'Số đầu năm' AND bsh.MA_HANG = '121' THEN CAST(gt.GIA_TRI AS VARCHAR2(4000)) END) AS "1.4. Vốn khác của chủ sở hữu",
    MAX(CASE WHEN bsc.TEN_COT=N'Số đầu năm' AND bsh.MA_HANG = '122' THEN CAST(gt.GIA_TRI AS VARCHAR2(4000)) END) AS "1.5. Cổ phiếu quỹ (*)",
    MAX(CASE WHEN bsc.TEN_COT=N'Số đầu năm' AND bsh.MA_HANG = '123' THEN CAST(gt.GIA_TRI AS VARCHAR2(4000)) END) AS "2. Chênh lệch đánh giá tài sản theo giá trị hợp lý",
    MAX(CASE WHEN bsc.TEN_COT=N'Số đầu năm' AND bsh.MA_HANG = '124' THEN CAST(gt.GIA_TRI AS VARCHAR2(4000)) END) AS "3. Chênh lệch tỷ giá hối đoái",
    MAX(CASE WHEN bsc.TEN_COT=N'Số đầu năm' AND bsh.MA_HANG = '125' THEN CAST(gt.GIA_TRI AS VARCHAR2(4000)) END) AS "4. Quỹ dự trữ bổ sung vốn  điều lệ",
    MAX(CASE WHEN bsc.TEN_COT=N'Số đầu năm' AND bsh.MA_HANG = '126' THEN CAST(gt.GIA_TRI AS VARCHAR2(4000)) END) AS "5. Quỹ dự phòng tài chính và rủi ro nghiệp vụ",
    MAX(CASE WHEN bsc.TEN_COT=N'Số đầu năm' AND bsh.MA_HANG = '127' THEN CAST(gt.GIA_TRI AS VARCHAR2(4000)) END) AS "6. Các Quỹ khác thuộc vốn chủ sở hữu",
    MAX(CASE WHEN bsc.TEN_COT=N'Số đầu năm' AND bsh.MA_HANG = '128' THEN CAST(gt.GIA_TRI AS VARCHAR2(4000)) END) AS "7. Lợi nhuận chưa phân phối",
    MAX(CASE WHEN bsc.TEN_COT=N'Số đầu năm' AND bsh.MA_HANG = '129' THEN CAST(gt.GIA_TRI AS VARCHAR2(4000)) END) AS "7.1. Lợi nhuận sau thuế đã thực hiện",
    MAX(CASE WHEN bsc.TEN_COT=N'Số đầu năm' AND bsh.MA_HANG = '130' THEN CAST(gt.GIA_TRI AS VARCHAR2(4000)) END) AS "7.2. Lợi nhuận chưa thực hiện",
    MAX(CASE WHEN bsc.TEN_COT=N'Số đầu năm' AND bsh.MA_HANG = '131' THEN CAST(gt.GIA_TRI AS VARCHAR2(4000)) END) AS "II. Nguồn kinh phí và quỹ khác ",
    MAX(CASE WHEN bsc.TEN_COT=N'Số đầu năm' AND bsh.MA_HANG = '132' THEN CAST(gt.GIA_TRI AS VARCHAR2(4000)) END) AS "TỔNG CỘNG NỢ VÀ VỐN CHỦ SỞ HỮU",
    MAX(CASE WHEN bsc.TEN_COT=N'Số đầu năm' AND bsh.MA_HANG = '133' THEN CAST(gt.GIA_TRI AS VARCHAR2(4000)) END) AS "(440 = 300 + 400)"
FROM SCMS.BC_THANH_VIEN btv
JOIN SCMS.BM_BAO_CAO bm ON bm.ID = btv.BM_BAO_CAO_ID
JOIN SCMS.BC_BAO_CAO_GT gt ON gt.BC_THANH_VIEN_ID = btv.ID
JOIN SCMS.BM_BAO_CAO_HANG bsh ON bsh.ID = gt.BM_SHEET_HANG_ID
JOIN SCMS.BM_BAO_CAO_COT bsc ON bsc.BM_SHEET_ID = 5894
--                               AND bsc.TEN_COT = gt.TEN_COT
WHERE bm.MA_BAO_CAO LIKE 'BCTCRLCTCK'
  AND btv.TRANG_THAI IN (2, 3)
GROUP BY btv.ID, btv.NGAY_SO_LIEU
ORDER BY btv.NGAY_SO_LIEU DESC;</t>
        </is>
      </c>
      <c r="U1870" s="106" t="inlineStr">
        <is>
          <t>Phần tiếp của câu query</t>
        </is>
      </c>
      <c r="V1870" s="22" t="n"/>
      <c r="W1870" s="22" t="n"/>
      <c r="X1870" s="22" t="n"/>
      <c r="Y1870" s="14" t="n"/>
      <c r="Z1870" s="22" t="n"/>
      <c r="AA1870" s="22" t="n"/>
      <c r="AB1870" s="22" t="n"/>
      <c r="AC1870" s="22" t="n"/>
      <c r="AD1870" s="22" t="n"/>
      <c r="AE1870" s="22" t="n"/>
    </row>
    <row r="1871" ht="56" customHeight="1" s="380">
      <c r="A1871" s="126" t="n">
        <v>93</v>
      </c>
      <c r="B1871" s="390" t="n"/>
      <c r="C1871" s="390" t="inlineStr">
        <is>
          <t>Báo cáo theo Thông tư 121/2020/TT-BTC &gt;&gt; Báo báo tài chính &gt;&gt; Báo cáo tình hình tài chính riêng</t>
        </is>
      </c>
      <c r="D1871" s="390" t="inlineStr">
        <is>
          <t>- Đánh giá TSCĐHH theo giá trị hợp lý</t>
        </is>
      </c>
      <c r="E1871" s="401" t="inlineStr">
        <is>
          <t xml:space="preserve">223b
</t>
        </is>
      </c>
      <c r="F1871" s="390" t="inlineStr">
        <is>
          <t>Data Explorer</t>
        </is>
      </c>
      <c r="G1871" s="390" t="inlineStr">
        <is>
          <t>Chỉ tiêu cơ sở</t>
        </is>
      </c>
      <c r="H1871" s="390" t="inlineStr">
        <is>
          <t>Dễ</t>
        </is>
      </c>
      <c r="I1871" s="390" t="inlineStr">
        <is>
          <t>Ngày, CTCK</t>
        </is>
      </c>
      <c r="J1871" s="401" t="inlineStr">
        <is>
          <t>SCMS</t>
        </is>
      </c>
      <c r="K1871" s="401" t="n"/>
      <c r="L1871" s="401" t="inlineStr">
        <is>
          <t>X</t>
        </is>
      </c>
      <c r="M1871" s="401" t="n"/>
      <c r="N1871" s="401" t="inlineStr">
        <is>
          <t>Done</t>
        </is>
      </c>
      <c r="O1871" s="401" t="n"/>
      <c r="P1871" s="22" t="n"/>
      <c r="S1871" s="22" t="n"/>
      <c r="U1871" s="16" t="n"/>
      <c r="V1871" s="22" t="n"/>
      <c r="W1871" s="22" t="n"/>
      <c r="X1871" s="22" t="n"/>
      <c r="Y1871" s="6" t="n"/>
      <c r="Z1871" s="22" t="n"/>
      <c r="AA1871" s="22" t="n"/>
      <c r="AB1871" s="22" t="n"/>
      <c r="AC1871" s="22" t="n"/>
      <c r="AD1871" s="22" t="n"/>
      <c r="AE1871" s="22" t="n"/>
    </row>
    <row r="1872" ht="56" customHeight="1" s="380">
      <c r="A1872" s="126" t="n">
        <v>93</v>
      </c>
      <c r="B1872" s="390" t="n"/>
      <c r="C1872" s="390" t="inlineStr">
        <is>
          <t>Báo cáo theo Thông tư 121/2020/TT-BTC &gt;&gt; Báo báo tài chính &gt;&gt; Báo cáo tình hình tài chính riêng</t>
        </is>
      </c>
      <c r="D1872" s="390" t="inlineStr">
        <is>
          <t>2. Tài sản cố định thuê tài chính</t>
        </is>
      </c>
      <c r="E1872" s="401" t="n">
        <v>224</v>
      </c>
      <c r="F1872" s="390" t="inlineStr">
        <is>
          <t>Data Explorer</t>
        </is>
      </c>
      <c r="G1872" s="390" t="inlineStr">
        <is>
          <t>Chỉ tiêu cơ sở</t>
        </is>
      </c>
      <c r="H1872" s="390" t="inlineStr">
        <is>
          <t>Dễ</t>
        </is>
      </c>
      <c r="I1872" s="390" t="inlineStr">
        <is>
          <t>Ngày, CTCK</t>
        </is>
      </c>
      <c r="J1872" s="401" t="inlineStr">
        <is>
          <t>SCMS</t>
        </is>
      </c>
      <c r="K1872" s="401" t="n"/>
      <c r="L1872" s="401" t="inlineStr">
        <is>
          <t>X</t>
        </is>
      </c>
      <c r="M1872" s="401" t="n"/>
      <c r="N1872" s="401" t="inlineStr">
        <is>
          <t>Done</t>
        </is>
      </c>
      <c r="O1872" s="401" t="n"/>
      <c r="P1872" s="22" t="n"/>
      <c r="S1872" s="22" t="n"/>
      <c r="U1872" s="16" t="n"/>
      <c r="V1872" s="22" t="n"/>
      <c r="W1872" s="22" t="n"/>
      <c r="X1872" s="22" t="n"/>
      <c r="Y1872" s="6" t="n"/>
      <c r="Z1872" s="22" t="n"/>
      <c r="AA1872" s="22" t="n"/>
      <c r="AB1872" s="22" t="n"/>
      <c r="AC1872" s="22" t="n"/>
      <c r="AD1872" s="22" t="n"/>
      <c r="AE1872" s="22" t="n"/>
    </row>
    <row r="1873" ht="56" customHeight="1" s="380">
      <c r="A1873" s="126" t="n">
        <v>93</v>
      </c>
      <c r="B1873" s="390" t="n"/>
      <c r="C1873" s="390" t="inlineStr">
        <is>
          <t>Báo cáo theo Thông tư 121/2020/TT-BTC &gt;&gt; Báo báo tài chính &gt;&gt; Báo cáo tình hình tài chính riêng</t>
        </is>
      </c>
      <c r="D1873" s="390" t="inlineStr">
        <is>
          <t>- Nguyên giá</t>
        </is>
      </c>
      <c r="E1873" s="401" t="n">
        <v>225</v>
      </c>
      <c r="F1873" s="390" t="inlineStr">
        <is>
          <t>Data Explorer</t>
        </is>
      </c>
      <c r="G1873" s="390" t="inlineStr">
        <is>
          <t>Chỉ tiêu cơ sở</t>
        </is>
      </c>
      <c r="H1873" s="390" t="inlineStr">
        <is>
          <t>Dễ</t>
        </is>
      </c>
      <c r="I1873" s="390" t="inlineStr">
        <is>
          <t>Ngày, CTCK</t>
        </is>
      </c>
      <c r="J1873" s="401" t="inlineStr">
        <is>
          <t>SCMS</t>
        </is>
      </c>
      <c r="K1873" s="401" t="n"/>
      <c r="L1873" s="401" t="inlineStr">
        <is>
          <t>X</t>
        </is>
      </c>
      <c r="M1873" s="401" t="n"/>
      <c r="N1873" s="401" t="inlineStr">
        <is>
          <t>Done</t>
        </is>
      </c>
      <c r="O1873" s="401" t="n"/>
      <c r="P1873" s="22" t="n"/>
      <c r="S1873" s="22" t="n"/>
      <c r="U1873" s="16" t="n"/>
      <c r="V1873" s="22" t="n"/>
      <c r="W1873" s="22" t="n"/>
      <c r="X1873" s="22" t="n"/>
      <c r="Y1873" s="395" t="n"/>
      <c r="Z1873" s="22" t="n"/>
      <c r="AA1873" s="22" t="n"/>
      <c r="AB1873" s="22" t="n"/>
      <c r="AC1873" s="22" t="n"/>
      <c r="AD1873" s="22" t="n"/>
      <c r="AE1873" s="22" t="n"/>
    </row>
    <row r="1874" ht="56" customHeight="1" s="380">
      <c r="A1874" s="126" t="n">
        <v>93</v>
      </c>
      <c r="B1874" s="390" t="n"/>
      <c r="C1874" s="390" t="inlineStr">
        <is>
          <t>Báo cáo theo Thông tư 121/2020/TT-BTC &gt;&gt; Báo báo tài chính &gt;&gt; Báo cáo tình hình tài chính riêng</t>
        </is>
      </c>
      <c r="D1874" s="390" t="inlineStr">
        <is>
          <t>- Giá trị hao mòn luỹ kế (*)</t>
        </is>
      </c>
      <c r="E1874" s="401" t="inlineStr">
        <is>
          <t xml:space="preserve">226a
</t>
        </is>
      </c>
      <c r="F1874" s="390" t="inlineStr">
        <is>
          <t>Data Explorer</t>
        </is>
      </c>
      <c r="G1874" s="390" t="inlineStr">
        <is>
          <t>Chỉ tiêu cơ sở</t>
        </is>
      </c>
      <c r="H1874" s="390" t="inlineStr">
        <is>
          <t>Dễ</t>
        </is>
      </c>
      <c r="I1874" s="390" t="inlineStr">
        <is>
          <t>Ngày, CTCK</t>
        </is>
      </c>
      <c r="J1874" s="401" t="inlineStr">
        <is>
          <t>SCMS</t>
        </is>
      </c>
      <c r="K1874" s="401" t="n"/>
      <c r="L1874" s="401" t="inlineStr">
        <is>
          <t>X</t>
        </is>
      </c>
      <c r="M1874" s="401" t="n"/>
      <c r="N1874" s="401" t="inlineStr">
        <is>
          <t>Done</t>
        </is>
      </c>
      <c r="O1874" s="401" t="n"/>
      <c r="P1874" s="22" t="n"/>
      <c r="S1874" s="22" t="n"/>
      <c r="U1874" s="16" t="n"/>
      <c r="V1874" s="22" t="n"/>
      <c r="W1874" s="22" t="n"/>
      <c r="X1874" s="22" t="n"/>
      <c r="Y1874" s="395" t="n"/>
      <c r="Z1874" s="22" t="n"/>
      <c r="AA1874" s="22" t="n"/>
      <c r="AB1874" s="22" t="n"/>
      <c r="AC1874" s="22" t="n"/>
      <c r="AD1874" s="22" t="n"/>
      <c r="AE1874" s="22" t="n"/>
    </row>
    <row r="1875" ht="56" customHeight="1" s="380">
      <c r="A1875" s="126" t="n">
        <v>93</v>
      </c>
      <c r="B1875" s="390" t="n"/>
      <c r="C1875" s="390" t="inlineStr">
        <is>
          <t>Báo cáo theo Thông tư 121/2020/TT-BTC &gt;&gt; Báo báo tài chính &gt;&gt; Báo cáo tình hình tài chính riêng</t>
        </is>
      </c>
      <c r="D1875" s="390" t="inlineStr">
        <is>
          <t>- Đánh giá TSCĐTTC theo giá trị hợp lý</t>
        </is>
      </c>
      <c r="E1875" s="401" t="inlineStr">
        <is>
          <t xml:space="preserve">226b
</t>
        </is>
      </c>
      <c r="F1875" s="390" t="inlineStr">
        <is>
          <t>Data Explorer</t>
        </is>
      </c>
      <c r="G1875" s="390" t="inlineStr">
        <is>
          <t>Chỉ tiêu cơ sở</t>
        </is>
      </c>
      <c r="H1875" s="390" t="inlineStr">
        <is>
          <t>Dễ</t>
        </is>
      </c>
      <c r="I1875" s="390" t="inlineStr">
        <is>
          <t>Ngày, CTCK</t>
        </is>
      </c>
      <c r="J1875" s="401" t="inlineStr">
        <is>
          <t>SCMS</t>
        </is>
      </c>
      <c r="K1875" s="401" t="n"/>
      <c r="L1875" s="401" t="inlineStr">
        <is>
          <t>X</t>
        </is>
      </c>
      <c r="M1875" s="401" t="n"/>
      <c r="N1875" s="401" t="inlineStr">
        <is>
          <t>Done</t>
        </is>
      </c>
      <c r="O1875" s="401" t="n"/>
      <c r="P1875" s="22" t="n"/>
      <c r="S1875" s="22" t="n"/>
      <c r="U1875" s="16" t="n"/>
      <c r="V1875" s="22" t="n"/>
      <c r="W1875" s="22" t="n"/>
      <c r="X1875" s="22" t="n"/>
      <c r="Y1875" s="395" t="n"/>
      <c r="Z1875" s="22" t="n"/>
      <c r="AA1875" s="22" t="n"/>
      <c r="AB1875" s="22" t="n"/>
      <c r="AC1875" s="22" t="n"/>
      <c r="AD1875" s="22" t="n"/>
      <c r="AE1875" s="22" t="n"/>
    </row>
    <row r="1876" ht="56" customHeight="1" s="380">
      <c r="A1876" s="126" t="n">
        <v>93</v>
      </c>
      <c r="B1876" s="390" t="n"/>
      <c r="C1876" s="390" t="inlineStr">
        <is>
          <t>Báo cáo theo Thông tư 121/2020/TT-BTC &gt;&gt; Báo báo tài chính &gt;&gt; Báo cáo tình hình tài chính riêng</t>
        </is>
      </c>
      <c r="D1876" s="390" t="inlineStr">
        <is>
          <t>3. Tài sản cố định vô hình</t>
        </is>
      </c>
      <c r="E1876" s="401" t="n">
        <v>227</v>
      </c>
      <c r="F1876" s="390" t="inlineStr">
        <is>
          <t>Data Explorer</t>
        </is>
      </c>
      <c r="G1876" s="390" t="inlineStr">
        <is>
          <t>Chỉ tiêu cơ sở</t>
        </is>
      </c>
      <c r="H1876" s="390" t="inlineStr">
        <is>
          <t>Dễ</t>
        </is>
      </c>
      <c r="I1876" s="390" t="inlineStr">
        <is>
          <t>Ngày, CTCK</t>
        </is>
      </c>
      <c r="J1876" s="401" t="inlineStr">
        <is>
          <t>SCMS</t>
        </is>
      </c>
      <c r="K1876" s="401" t="n"/>
      <c r="L1876" s="401" t="inlineStr">
        <is>
          <t>X</t>
        </is>
      </c>
      <c r="M1876" s="401" t="n"/>
      <c r="N1876" s="401" t="inlineStr">
        <is>
          <t>Done</t>
        </is>
      </c>
      <c r="O1876" s="401" t="n"/>
      <c r="P1876" s="22" t="n"/>
      <c r="S1876" s="22" t="n"/>
      <c r="U1876" s="16" t="n"/>
      <c r="V1876" s="22" t="n"/>
      <c r="W1876" s="22" t="n"/>
      <c r="X1876" s="22" t="n"/>
      <c r="Y1876" s="395" t="n"/>
      <c r="Z1876" s="22" t="n"/>
      <c r="AA1876" s="22" t="n"/>
      <c r="AB1876" s="22" t="n"/>
      <c r="AC1876" s="22" t="n"/>
      <c r="AD1876" s="22" t="n"/>
      <c r="AE1876" s="22" t="n"/>
    </row>
    <row r="1877" ht="56" customHeight="1" s="380">
      <c r="A1877" s="126" t="n">
        <v>93</v>
      </c>
      <c r="B1877" s="390" t="n"/>
      <c r="C1877" s="390" t="inlineStr">
        <is>
          <t>Báo cáo theo Thông tư 121/2020/TT-BTC &gt;&gt; Báo báo tài chính &gt;&gt; Báo cáo tình hình tài chính riêng</t>
        </is>
      </c>
      <c r="D1877" s="390" t="inlineStr">
        <is>
          <t>- Nguyên giá</t>
        </is>
      </c>
      <c r="E1877" s="401" t="n">
        <v>228</v>
      </c>
      <c r="F1877" s="390" t="inlineStr">
        <is>
          <t>Data Explorer</t>
        </is>
      </c>
      <c r="G1877" s="390" t="inlineStr">
        <is>
          <t>Chỉ tiêu cơ sở</t>
        </is>
      </c>
      <c r="H1877" s="390" t="inlineStr">
        <is>
          <t>Dễ</t>
        </is>
      </c>
      <c r="I1877" s="390" t="inlineStr">
        <is>
          <t>Ngày, CTCK</t>
        </is>
      </c>
      <c r="J1877" s="401" t="inlineStr">
        <is>
          <t>SCMS</t>
        </is>
      </c>
      <c r="K1877" s="401" t="n"/>
      <c r="L1877" s="401" t="inlineStr">
        <is>
          <t>X</t>
        </is>
      </c>
      <c r="M1877" s="401" t="n"/>
      <c r="N1877" s="401" t="inlineStr">
        <is>
          <t>Done</t>
        </is>
      </c>
      <c r="O1877" s="401" t="n"/>
      <c r="P1877" s="22" t="n"/>
      <c r="S1877" s="22" t="n"/>
      <c r="U1877" s="16" t="n"/>
      <c r="V1877" s="22" t="n"/>
      <c r="W1877" s="22" t="n"/>
      <c r="X1877" s="22" t="n"/>
      <c r="Y1877" s="395" t="n"/>
      <c r="Z1877" s="22" t="n"/>
      <c r="AA1877" s="22" t="n"/>
      <c r="AB1877" s="22" t="n"/>
      <c r="AC1877" s="22" t="n"/>
      <c r="AD1877" s="22" t="n"/>
      <c r="AE1877" s="22" t="n"/>
    </row>
    <row r="1878" ht="56" customHeight="1" s="380">
      <c r="A1878" s="126" t="n">
        <v>93</v>
      </c>
      <c r="B1878" s="390" t="n"/>
      <c r="C1878" s="390" t="inlineStr">
        <is>
          <t>Báo cáo theo Thông tư 121/2020/TT-BTC &gt;&gt; Báo báo tài chính &gt;&gt; Báo cáo tình hình tài chính riêng</t>
        </is>
      </c>
      <c r="D1878" s="390" t="inlineStr">
        <is>
          <t>- Giá trị hao mòn luỹ kế (*)</t>
        </is>
      </c>
      <c r="E1878" s="401" t="inlineStr">
        <is>
          <t xml:space="preserve">229a
</t>
        </is>
      </c>
      <c r="F1878" s="390" t="inlineStr">
        <is>
          <t>Data Explorer</t>
        </is>
      </c>
      <c r="G1878" s="390" t="inlineStr">
        <is>
          <t>Chỉ tiêu cơ sở</t>
        </is>
      </c>
      <c r="H1878" s="390" t="inlineStr">
        <is>
          <t>Dễ</t>
        </is>
      </c>
      <c r="I1878" s="390" t="inlineStr">
        <is>
          <t>Ngày, CTCK</t>
        </is>
      </c>
      <c r="J1878" s="401" t="inlineStr">
        <is>
          <t>SCMS</t>
        </is>
      </c>
      <c r="K1878" s="401" t="n"/>
      <c r="L1878" s="401" t="inlineStr">
        <is>
          <t>X</t>
        </is>
      </c>
      <c r="M1878" s="401" t="n"/>
      <c r="N1878" s="401" t="inlineStr">
        <is>
          <t>Done</t>
        </is>
      </c>
      <c r="O1878" s="401" t="n"/>
      <c r="P1878" s="22" t="n"/>
      <c r="S1878" s="22" t="n"/>
      <c r="U1878" s="16" t="n"/>
      <c r="V1878" s="22" t="n"/>
      <c r="W1878" s="22" t="n"/>
      <c r="X1878" s="22" t="n"/>
      <c r="Y1878" s="395" t="n"/>
      <c r="Z1878" s="22" t="n"/>
      <c r="AA1878" s="22" t="n"/>
      <c r="AB1878" s="22" t="n"/>
      <c r="AC1878" s="22" t="n"/>
      <c r="AD1878" s="22" t="n"/>
      <c r="AE1878" s="22" t="n"/>
    </row>
    <row r="1879" ht="56" customHeight="1" s="380">
      <c r="A1879" s="126" t="n">
        <v>93</v>
      </c>
      <c r="B1879" s="390" t="n"/>
      <c r="C1879" s="390" t="inlineStr">
        <is>
          <t>Báo cáo theo Thông tư 121/2020/TT-BTC &gt;&gt; Báo báo tài chính &gt;&gt; Báo cáo tình hình tài chính riêng</t>
        </is>
      </c>
      <c r="D1879" s="390" t="inlineStr">
        <is>
          <t>- Đánh giá TSCĐVH theo giá trị hợp lý</t>
        </is>
      </c>
      <c r="E1879" s="401" t="inlineStr">
        <is>
          <t xml:space="preserve">229b
</t>
        </is>
      </c>
      <c r="F1879" s="390" t="inlineStr">
        <is>
          <t>Data Explorer</t>
        </is>
      </c>
      <c r="G1879" s="390" t="inlineStr">
        <is>
          <t>Chỉ tiêu cơ sở</t>
        </is>
      </c>
      <c r="H1879" s="390" t="inlineStr">
        <is>
          <t>Dễ</t>
        </is>
      </c>
      <c r="I1879" s="390" t="inlineStr">
        <is>
          <t>Ngày, CTCK</t>
        </is>
      </c>
      <c r="J1879" s="401" t="inlineStr">
        <is>
          <t>SCMS</t>
        </is>
      </c>
      <c r="K1879" s="401" t="n"/>
      <c r="L1879" s="401" t="inlineStr">
        <is>
          <t>X</t>
        </is>
      </c>
      <c r="M1879" s="401" t="n"/>
      <c r="N1879" s="401" t="inlineStr">
        <is>
          <t>Done</t>
        </is>
      </c>
      <c r="O1879" s="401" t="n"/>
      <c r="P1879" s="22" t="n"/>
      <c r="S1879" s="22" t="n"/>
      <c r="U1879" s="16" t="n"/>
      <c r="V1879" s="22" t="n"/>
      <c r="W1879" s="22" t="n"/>
      <c r="X1879" s="22" t="n"/>
      <c r="Y1879" s="395" t="n"/>
      <c r="Z1879" s="22" t="n"/>
      <c r="AA1879" s="22" t="n"/>
      <c r="AB1879" s="22" t="n"/>
      <c r="AC1879" s="22" t="n"/>
      <c r="AD1879" s="22" t="n"/>
      <c r="AE1879" s="22" t="n"/>
    </row>
    <row r="1880" ht="56" customHeight="1" s="380">
      <c r="A1880" s="126" t="n">
        <v>93</v>
      </c>
      <c r="B1880" s="390" t="n"/>
      <c r="C1880" s="390" t="inlineStr">
        <is>
          <t>Báo cáo theo Thông tư 121/2020/TT-BTC &gt;&gt; Báo báo tài chính &gt;&gt; Báo cáo tình hình tài chính riêng</t>
        </is>
      </c>
      <c r="D1880" s="132" t="inlineStr">
        <is>
          <t>III. Bất động sản đầu tư</t>
        </is>
      </c>
      <c r="E1880" s="133" t="n">
        <v>230</v>
      </c>
      <c r="F1880" s="390" t="inlineStr">
        <is>
          <t>Data Explorer</t>
        </is>
      </c>
      <c r="G1880" s="390" t="inlineStr">
        <is>
          <t>Chỉ tiêu cơ sở</t>
        </is>
      </c>
      <c r="H1880" s="390" t="inlineStr">
        <is>
          <t>Dễ</t>
        </is>
      </c>
      <c r="I1880" s="390" t="inlineStr">
        <is>
          <t>Ngày, CTCK</t>
        </is>
      </c>
      <c r="J1880" s="401" t="inlineStr">
        <is>
          <t>SCMS</t>
        </is>
      </c>
      <c r="K1880" s="401" t="n"/>
      <c r="L1880" s="401" t="inlineStr">
        <is>
          <t>X</t>
        </is>
      </c>
      <c r="M1880" s="401" t="n"/>
      <c r="N1880" s="401" t="inlineStr">
        <is>
          <t>Done</t>
        </is>
      </c>
      <c r="O1880" s="401" t="n"/>
      <c r="P1880" s="22" t="n"/>
      <c r="S1880" s="22" t="n"/>
      <c r="U1880" s="16" t="n"/>
      <c r="V1880" s="22" t="n"/>
      <c r="W1880" s="22" t="n"/>
      <c r="X1880" s="22" t="n"/>
      <c r="Y1880" s="395" t="n"/>
      <c r="Z1880" s="22" t="n"/>
      <c r="AA1880" s="22" t="n"/>
      <c r="AB1880" s="22" t="n"/>
      <c r="AC1880" s="22" t="n"/>
      <c r="AD1880" s="22" t="n"/>
      <c r="AE1880" s="22" t="n"/>
    </row>
    <row r="1881" ht="56" customHeight="1" s="380">
      <c r="A1881" s="126" t="n">
        <v>93</v>
      </c>
      <c r="B1881" s="390" t="n"/>
      <c r="C1881" s="390" t="inlineStr">
        <is>
          <t>Báo cáo theo Thông tư 121/2020/TT-BTC &gt;&gt; Báo báo tài chính &gt;&gt; Báo cáo tình hình tài chính riêng</t>
        </is>
      </c>
      <c r="D1881" s="390" t="inlineStr">
        <is>
          <t>- Nguyên giá</t>
        </is>
      </c>
      <c r="E1881" s="401" t="n">
        <v>231</v>
      </c>
      <c r="F1881" s="390" t="inlineStr">
        <is>
          <t>Data Explorer</t>
        </is>
      </c>
      <c r="G1881" s="390" t="inlineStr">
        <is>
          <t>Chỉ tiêu cơ sở</t>
        </is>
      </c>
      <c r="H1881" s="390" t="inlineStr">
        <is>
          <t>Dễ</t>
        </is>
      </c>
      <c r="I1881" s="390" t="inlineStr">
        <is>
          <t>Ngày, CTCK</t>
        </is>
      </c>
      <c r="J1881" s="401" t="inlineStr">
        <is>
          <t>SCMS</t>
        </is>
      </c>
      <c r="K1881" s="401" t="n"/>
      <c r="L1881" s="401" t="inlineStr">
        <is>
          <t>X</t>
        </is>
      </c>
      <c r="M1881" s="401" t="n"/>
      <c r="N1881" s="401" t="inlineStr">
        <is>
          <t>Done</t>
        </is>
      </c>
      <c r="O1881" s="401" t="n"/>
      <c r="P1881" s="22" t="n"/>
      <c r="S1881" s="22" t="n"/>
      <c r="U1881" s="16" t="n"/>
      <c r="V1881" s="22" t="n"/>
      <c r="W1881" s="22" t="n"/>
      <c r="X1881" s="22" t="n"/>
      <c r="Y1881" s="395" t="n"/>
      <c r="Z1881" s="22" t="n"/>
      <c r="AA1881" s="22" t="n"/>
      <c r="AB1881" s="22" t="n"/>
      <c r="AC1881" s="22" t="n"/>
      <c r="AD1881" s="22" t="n"/>
      <c r="AE1881" s="22" t="n"/>
    </row>
    <row r="1882" ht="56" customHeight="1" s="380">
      <c r="A1882" s="126" t="n">
        <v>93</v>
      </c>
      <c r="B1882" s="390" t="n"/>
      <c r="C1882" s="390" t="inlineStr">
        <is>
          <t>Báo cáo theo Thông tư 121/2020/TT-BTC &gt;&gt; Báo báo tài chính &gt;&gt; Báo cáo tình hình tài chính riêng</t>
        </is>
      </c>
      <c r="D1882" s="390" t="inlineStr">
        <is>
          <t>- Giá trị hao mòn luỹ kế (*)</t>
        </is>
      </c>
      <c r="E1882" s="401" t="inlineStr">
        <is>
          <t xml:space="preserve">232a
</t>
        </is>
      </c>
      <c r="F1882" s="390" t="inlineStr">
        <is>
          <t>Data Explorer</t>
        </is>
      </c>
      <c r="G1882" s="390" t="inlineStr">
        <is>
          <t>Chỉ tiêu cơ sở</t>
        </is>
      </c>
      <c r="H1882" s="390" t="inlineStr">
        <is>
          <t>Dễ</t>
        </is>
      </c>
      <c r="I1882" s="390" t="inlineStr">
        <is>
          <t>Ngày, CTCK</t>
        </is>
      </c>
      <c r="J1882" s="401" t="inlineStr">
        <is>
          <t>SCMS</t>
        </is>
      </c>
      <c r="K1882" s="401" t="n"/>
      <c r="L1882" s="401" t="inlineStr">
        <is>
          <t>X</t>
        </is>
      </c>
      <c r="M1882" s="401" t="n"/>
      <c r="N1882" s="401" t="inlineStr">
        <is>
          <t>Done</t>
        </is>
      </c>
      <c r="O1882" s="401" t="n"/>
      <c r="P1882" s="22" t="n"/>
      <c r="S1882" s="22" t="n"/>
      <c r="U1882" s="16" t="n"/>
      <c r="V1882" s="22" t="n"/>
      <c r="W1882" s="22" t="n"/>
      <c r="X1882" s="22" t="n"/>
      <c r="Y1882" s="395" t="n"/>
      <c r="Z1882" s="22" t="n"/>
      <c r="AA1882" s="22" t="n"/>
      <c r="AB1882" s="22" t="n"/>
      <c r="AC1882" s="22" t="n"/>
      <c r="AD1882" s="22" t="n"/>
      <c r="AE1882" s="22" t="n"/>
    </row>
    <row r="1883" ht="56" customHeight="1" s="380">
      <c r="A1883" s="126" t="n">
        <v>93</v>
      </c>
      <c r="B1883" s="390" t="n"/>
      <c r="C1883" s="390" t="inlineStr">
        <is>
          <t>Báo cáo theo Thông tư 121/2020/TT-BTC &gt;&gt; Báo báo tài chính &gt;&gt; Báo cáo tình hình tài chính riêng</t>
        </is>
      </c>
      <c r="D1883" s="390" t="inlineStr">
        <is>
          <t>- Đánh giá BĐSĐT theo giá trị hợp lý</t>
        </is>
      </c>
      <c r="E1883" s="401" t="inlineStr">
        <is>
          <t xml:space="preserve">232b
</t>
        </is>
      </c>
      <c r="F1883" s="390" t="inlineStr">
        <is>
          <t>Data Explorer</t>
        </is>
      </c>
      <c r="G1883" s="390" t="inlineStr">
        <is>
          <t>Chỉ tiêu cơ sở</t>
        </is>
      </c>
      <c r="H1883" s="390" t="inlineStr">
        <is>
          <t>Dễ</t>
        </is>
      </c>
      <c r="I1883" s="390" t="inlineStr">
        <is>
          <t>Ngày, CTCK</t>
        </is>
      </c>
      <c r="J1883" s="401" t="inlineStr">
        <is>
          <t>SCMS</t>
        </is>
      </c>
      <c r="K1883" s="401" t="n"/>
      <c r="L1883" s="401" t="inlineStr">
        <is>
          <t>X</t>
        </is>
      </c>
      <c r="M1883" s="401" t="n"/>
      <c r="N1883" s="401" t="inlineStr">
        <is>
          <t>Done</t>
        </is>
      </c>
      <c r="O1883" s="401" t="n"/>
      <c r="P1883" s="22" t="n"/>
      <c r="S1883" s="22" t="n"/>
      <c r="U1883" s="16" t="n"/>
      <c r="V1883" s="22" t="n"/>
      <c r="W1883" s="22" t="n"/>
      <c r="X1883" s="22" t="n"/>
      <c r="Y1883" s="395" t="n"/>
      <c r="Z1883" s="22" t="n"/>
      <c r="AA1883" s="22" t="n"/>
      <c r="AB1883" s="22" t="n"/>
      <c r="AC1883" s="22" t="n"/>
      <c r="AD1883" s="22" t="n"/>
      <c r="AE1883" s="22" t="n"/>
    </row>
    <row r="1884" ht="56" customHeight="1" s="380">
      <c r="A1884" s="126" t="n">
        <v>93</v>
      </c>
      <c r="B1884" s="390" t="n"/>
      <c r="C1884" s="390" t="inlineStr">
        <is>
          <t>Báo cáo theo Thông tư 121/2020/TT-BTC &gt;&gt; Báo báo tài chính &gt;&gt; Báo cáo tình hình tài chính riêng</t>
        </is>
      </c>
      <c r="D1884" s="132" t="inlineStr">
        <is>
          <t>IV.Chi phí xây dựng cơ bản dở dang</t>
        </is>
      </c>
      <c r="E1884" s="133" t="n">
        <v>240</v>
      </c>
      <c r="F1884" s="390" t="inlineStr">
        <is>
          <t>Data Explorer</t>
        </is>
      </c>
      <c r="G1884" s="390" t="inlineStr">
        <is>
          <t>Chỉ tiêu cơ sở</t>
        </is>
      </c>
      <c r="H1884" s="390" t="inlineStr">
        <is>
          <t>Dễ</t>
        </is>
      </c>
      <c r="I1884" s="390" t="inlineStr">
        <is>
          <t>Ngày, CTCK</t>
        </is>
      </c>
      <c r="J1884" s="401" t="inlineStr">
        <is>
          <t>SCMS</t>
        </is>
      </c>
      <c r="K1884" s="401" t="n"/>
      <c r="L1884" s="401" t="inlineStr">
        <is>
          <t>X</t>
        </is>
      </c>
      <c r="M1884" s="401" t="n"/>
      <c r="N1884" s="401" t="inlineStr">
        <is>
          <t>Done</t>
        </is>
      </c>
      <c r="O1884" s="401" t="n"/>
      <c r="P1884" s="22" t="n"/>
      <c r="S1884" s="22" t="n"/>
      <c r="U1884" s="16" t="n"/>
      <c r="V1884" s="22" t="n"/>
      <c r="W1884" s="22" t="n"/>
      <c r="X1884" s="22" t="n"/>
      <c r="Y1884" s="395" t="n"/>
      <c r="Z1884" s="22" t="n"/>
      <c r="AA1884" s="22" t="n"/>
      <c r="AB1884" s="22" t="n"/>
      <c r="AC1884" s="22" t="n"/>
      <c r="AD1884" s="22" t="n"/>
      <c r="AE1884" s="22" t="n"/>
    </row>
    <row r="1885" ht="56" customHeight="1" s="380">
      <c r="A1885" s="126" t="n">
        <v>93</v>
      </c>
      <c r="B1885" s="390" t="n"/>
      <c r="C1885" s="390" t="inlineStr">
        <is>
          <t>Báo cáo theo Thông tư 121/2020/TT-BTC &gt;&gt; Báo báo tài chính &gt;&gt; Báo cáo tình hình tài chính riêng</t>
        </is>
      </c>
      <c r="D1885" s="132" t="inlineStr">
        <is>
          <t>V. Tài sản dài hạn khác</t>
        </is>
      </c>
      <c r="E1885" s="133" t="n">
        <v>250</v>
      </c>
      <c r="F1885" s="390" t="inlineStr">
        <is>
          <t>Data Explorer</t>
        </is>
      </c>
      <c r="G1885" s="390" t="inlineStr">
        <is>
          <t>Chỉ tiêu cơ sở</t>
        </is>
      </c>
      <c r="H1885" s="390" t="inlineStr">
        <is>
          <t>Dễ</t>
        </is>
      </c>
      <c r="I1885" s="390" t="inlineStr">
        <is>
          <t>Ngày, CTCK</t>
        </is>
      </c>
      <c r="J1885" s="401" t="inlineStr">
        <is>
          <t>SCMS</t>
        </is>
      </c>
      <c r="K1885" s="401" t="n"/>
      <c r="L1885" s="401" t="inlineStr">
        <is>
          <t>X</t>
        </is>
      </c>
      <c r="M1885" s="401" t="n"/>
      <c r="N1885" s="401" t="inlineStr">
        <is>
          <t>Done</t>
        </is>
      </c>
      <c r="O1885" s="401" t="n"/>
      <c r="P1885" s="22" t="n"/>
      <c r="S1885" s="22" t="n"/>
      <c r="U1885" s="16" t="n"/>
      <c r="V1885" s="22" t="n"/>
      <c r="W1885" s="22" t="n"/>
      <c r="X1885" s="22" t="n"/>
      <c r="Y1885" s="395" t="n"/>
      <c r="Z1885" s="22" t="n"/>
      <c r="AA1885" s="22" t="n"/>
      <c r="AB1885" s="22" t="n"/>
      <c r="AC1885" s="22" t="n"/>
      <c r="AD1885" s="22" t="n"/>
      <c r="AE1885" s="22" t="n"/>
    </row>
    <row r="1886" ht="56" customHeight="1" s="380">
      <c r="A1886" s="126" t="n">
        <v>93</v>
      </c>
      <c r="B1886" s="390" t="n"/>
      <c r="C1886" s="390" t="inlineStr">
        <is>
          <t>Báo cáo theo Thông tư 121/2020/TT-BTC &gt;&gt; Báo báo tài chính &gt;&gt; Báo cáo tình hình tài chính riêng</t>
        </is>
      </c>
      <c r="D1886" s="390" t="inlineStr">
        <is>
          <t>1. Cầm cố, thế chấp, ký quỹ, ký cược dài hạn</t>
        </is>
      </c>
      <c r="E1886" s="401" t="n">
        <v>251</v>
      </c>
      <c r="F1886" s="390" t="inlineStr">
        <is>
          <t>Data Explorer</t>
        </is>
      </c>
      <c r="G1886" s="390" t="inlineStr">
        <is>
          <t>Chỉ tiêu cơ sở</t>
        </is>
      </c>
      <c r="H1886" s="390" t="inlineStr">
        <is>
          <t>Dễ</t>
        </is>
      </c>
      <c r="I1886" s="390" t="inlineStr">
        <is>
          <t>Ngày, CTCK</t>
        </is>
      </c>
      <c r="J1886" s="401" t="inlineStr">
        <is>
          <t>SCMS</t>
        </is>
      </c>
      <c r="K1886" s="401" t="n"/>
      <c r="L1886" s="401" t="inlineStr">
        <is>
          <t>X</t>
        </is>
      </c>
      <c r="M1886" s="401" t="n"/>
      <c r="N1886" s="401" t="inlineStr">
        <is>
          <t>Done</t>
        </is>
      </c>
      <c r="O1886" s="401" t="n"/>
      <c r="P1886" s="22" t="n"/>
      <c r="S1886" s="22" t="n"/>
      <c r="U1886" s="16" t="n"/>
      <c r="V1886" s="22" t="n"/>
      <c r="W1886" s="22" t="n"/>
      <c r="X1886" s="22" t="n"/>
      <c r="Y1886" s="395" t="n"/>
      <c r="Z1886" s="22" t="n"/>
      <c r="AA1886" s="22" t="n"/>
      <c r="AB1886" s="22" t="n"/>
      <c r="AC1886" s="22" t="n"/>
      <c r="AD1886" s="22" t="n"/>
      <c r="AE1886" s="22" t="n"/>
    </row>
    <row r="1887" ht="56" customHeight="1" s="380">
      <c r="A1887" s="126" t="n">
        <v>93</v>
      </c>
      <c r="B1887" s="390" t="n"/>
      <c r="C1887" s="390" t="inlineStr">
        <is>
          <t>Báo cáo theo Thông tư 121/2020/TT-BTC &gt;&gt; Báo báo tài chính &gt;&gt; Báo cáo tình hình tài chính riêng</t>
        </is>
      </c>
      <c r="D1887" s="390" t="inlineStr">
        <is>
          <t>2. Chi phí trả trước dài hạn</t>
        </is>
      </c>
      <c r="E1887" s="401" t="n">
        <v>252</v>
      </c>
      <c r="F1887" s="390" t="inlineStr">
        <is>
          <t>Data Explorer</t>
        </is>
      </c>
      <c r="G1887" s="390" t="inlineStr">
        <is>
          <t>Chỉ tiêu cơ sở</t>
        </is>
      </c>
      <c r="H1887" s="390" t="inlineStr">
        <is>
          <t>Dễ</t>
        </is>
      </c>
      <c r="I1887" s="390" t="inlineStr">
        <is>
          <t>Ngày, CTCK</t>
        </is>
      </c>
      <c r="J1887" s="401" t="inlineStr">
        <is>
          <t>SCMS</t>
        </is>
      </c>
      <c r="K1887" s="401" t="n"/>
      <c r="L1887" s="401" t="inlineStr">
        <is>
          <t>X</t>
        </is>
      </c>
      <c r="M1887" s="401" t="n"/>
      <c r="N1887" s="401" t="inlineStr">
        <is>
          <t>Done</t>
        </is>
      </c>
      <c r="O1887" s="401" t="n"/>
      <c r="P1887" s="22" t="n"/>
      <c r="S1887" s="22" t="n"/>
      <c r="U1887" s="16" t="n"/>
      <c r="V1887" s="22" t="n"/>
      <c r="W1887" s="22" t="n"/>
      <c r="X1887" s="22" t="n"/>
      <c r="Y1887" s="395" t="n"/>
      <c r="Z1887" s="22" t="n"/>
      <c r="AA1887" s="22" t="n"/>
      <c r="AB1887" s="22" t="n"/>
      <c r="AC1887" s="22" t="n"/>
      <c r="AD1887" s="22" t="n"/>
      <c r="AE1887" s="22" t="n"/>
    </row>
    <row r="1888" ht="56" customHeight="1" s="380">
      <c r="A1888" s="126" t="n">
        <v>93</v>
      </c>
      <c r="B1888" s="390" t="n"/>
      <c r="C1888" s="390" t="inlineStr">
        <is>
          <t>Báo cáo theo Thông tư 121/2020/TT-BTC &gt;&gt; Báo báo tài chính &gt;&gt; Báo cáo tình hình tài chính riêng</t>
        </is>
      </c>
      <c r="D1888" s="390" t="inlineStr">
        <is>
          <t>3. Tài sản thuế thu nhập hoãn lại</t>
        </is>
      </c>
      <c r="E1888" s="401" t="n">
        <v>253</v>
      </c>
      <c r="F1888" s="390" t="inlineStr">
        <is>
          <t>Data Explorer</t>
        </is>
      </c>
      <c r="G1888" s="390" t="inlineStr">
        <is>
          <t>Chỉ tiêu cơ sở</t>
        </is>
      </c>
      <c r="H1888" s="390" t="inlineStr">
        <is>
          <t>Dễ</t>
        </is>
      </c>
      <c r="I1888" s="390" t="inlineStr">
        <is>
          <t>Ngày, CTCK</t>
        </is>
      </c>
      <c r="J1888" s="401" t="inlineStr">
        <is>
          <t>SCMS</t>
        </is>
      </c>
      <c r="K1888" s="401" t="n"/>
      <c r="L1888" s="401" t="inlineStr">
        <is>
          <t>X</t>
        </is>
      </c>
      <c r="M1888" s="401" t="n"/>
      <c r="N1888" s="401" t="inlineStr">
        <is>
          <t>Done</t>
        </is>
      </c>
      <c r="O1888" s="401" t="n"/>
      <c r="P1888" s="22" t="n"/>
      <c r="S1888" s="22" t="n"/>
      <c r="U1888" s="16" t="n"/>
      <c r="V1888" s="22" t="n"/>
      <c r="W1888" s="22" t="n"/>
      <c r="X1888" s="22" t="n"/>
      <c r="Y1888" s="395" t="n"/>
      <c r="Z1888" s="22" t="n"/>
      <c r="AA1888" s="22" t="n"/>
      <c r="AB1888" s="22" t="n"/>
      <c r="AC1888" s="22" t="n"/>
      <c r="AD1888" s="22" t="n"/>
      <c r="AE1888" s="22" t="n"/>
    </row>
    <row r="1889" ht="56" customHeight="1" s="380">
      <c r="A1889" s="126" t="n">
        <v>93</v>
      </c>
      <c r="B1889" s="390" t="n"/>
      <c r="C1889" s="390" t="inlineStr">
        <is>
          <t>Báo cáo theo Thông tư 121/2020/TT-BTC &gt;&gt; Báo báo tài chính &gt;&gt; Báo cáo tình hình tài chính riêng</t>
        </is>
      </c>
      <c r="D1889" s="390" t="inlineStr">
        <is>
          <t>4. Tiền nộp Quỹ Hỗ trợ thanh toán</t>
        </is>
      </c>
      <c r="E1889" s="401" t="n">
        <v>254</v>
      </c>
      <c r="F1889" s="390" t="inlineStr">
        <is>
          <t>Data Explorer</t>
        </is>
      </c>
      <c r="G1889" s="390" t="inlineStr">
        <is>
          <t>Chỉ tiêu cơ sở</t>
        </is>
      </c>
      <c r="H1889" s="390" t="inlineStr">
        <is>
          <t>Dễ</t>
        </is>
      </c>
      <c r="I1889" s="390" t="inlineStr">
        <is>
          <t>Ngày, CTCK</t>
        </is>
      </c>
      <c r="J1889" s="401" t="inlineStr">
        <is>
          <t>SCMS</t>
        </is>
      </c>
      <c r="K1889" s="401" t="n"/>
      <c r="L1889" s="401" t="inlineStr">
        <is>
          <t>X</t>
        </is>
      </c>
      <c r="M1889" s="401" t="n"/>
      <c r="N1889" s="401" t="inlineStr">
        <is>
          <t>Done</t>
        </is>
      </c>
      <c r="O1889" s="401" t="n"/>
      <c r="P1889" s="22" t="n"/>
      <c r="S1889" s="22" t="n"/>
      <c r="U1889" s="16" t="n"/>
      <c r="V1889" s="22" t="n"/>
      <c r="W1889" s="22" t="n"/>
      <c r="X1889" s="22" t="n"/>
      <c r="Y1889" s="395" t="n"/>
      <c r="Z1889" s="22" t="n"/>
      <c r="AA1889" s="22" t="n"/>
      <c r="AB1889" s="22" t="n"/>
      <c r="AC1889" s="22" t="n"/>
      <c r="AD1889" s="22" t="n"/>
      <c r="AE1889" s="22" t="n"/>
    </row>
    <row r="1890" ht="56" customHeight="1" s="380">
      <c r="A1890" s="126" t="n">
        <v>93</v>
      </c>
      <c r="B1890" s="390" t="n"/>
      <c r="C1890" s="390" t="inlineStr">
        <is>
          <t>Báo cáo theo Thông tư 121/2020/TT-BTC &gt;&gt; Báo báo tài chính &gt;&gt; Báo cáo tình hình tài chính riêng</t>
        </is>
      </c>
      <c r="D1890" s="390" t="inlineStr">
        <is>
          <t>5. Tài sản dài hạn khác</t>
        </is>
      </c>
      <c r="E1890" s="401" t="n">
        <v>255</v>
      </c>
      <c r="F1890" s="390" t="inlineStr">
        <is>
          <t>Data Explorer</t>
        </is>
      </c>
      <c r="G1890" s="390" t="inlineStr">
        <is>
          <t>Chỉ tiêu cơ sở</t>
        </is>
      </c>
      <c r="H1890" s="390" t="inlineStr">
        <is>
          <t>Dễ</t>
        </is>
      </c>
      <c r="I1890" s="390" t="inlineStr">
        <is>
          <t>Ngày, CTCK</t>
        </is>
      </c>
      <c r="J1890" s="401" t="inlineStr">
        <is>
          <t>SCMS</t>
        </is>
      </c>
      <c r="K1890" s="401" t="n"/>
      <c r="L1890" s="401" t="inlineStr">
        <is>
          <t>X</t>
        </is>
      </c>
      <c r="M1890" s="401" t="n"/>
      <c r="N1890" s="401" t="inlineStr">
        <is>
          <t>Done</t>
        </is>
      </c>
      <c r="O1890" s="401" t="n"/>
      <c r="P1890" s="22" t="n"/>
      <c r="S1890" s="22" t="n"/>
      <c r="U1890" s="16" t="n"/>
      <c r="V1890" s="22" t="n"/>
      <c r="W1890" s="22" t="n"/>
      <c r="X1890" s="22" t="n"/>
      <c r="Y1890" s="395" t="n"/>
      <c r="Z1890" s="22" t="n"/>
      <c r="AA1890" s="22" t="n"/>
      <c r="AB1890" s="22" t="n"/>
      <c r="AC1890" s="22" t="n"/>
      <c r="AD1890" s="22" t="n"/>
      <c r="AE1890" s="22" t="n"/>
    </row>
    <row r="1891" ht="56" customHeight="1" s="380">
      <c r="A1891" s="126" t="n">
        <v>93</v>
      </c>
      <c r="B1891" s="390" t="n"/>
      <c r="C1891" s="390" t="inlineStr">
        <is>
          <t>Báo cáo theo Thông tư 121/2020/TT-BTC &gt;&gt; Báo báo tài chính &gt;&gt; Báo cáo tình hình tài chính riêng</t>
        </is>
      </c>
      <c r="D1891" s="132" t="inlineStr">
        <is>
          <t>VI. Dự phòng suy giảm giá trị tài sản dài hạn</t>
        </is>
      </c>
      <c r="E1891" s="133" t="n">
        <v>260</v>
      </c>
      <c r="F1891" s="390" t="inlineStr">
        <is>
          <t>Data Explorer</t>
        </is>
      </c>
      <c r="G1891" s="390" t="inlineStr">
        <is>
          <t>Chỉ tiêu cơ sở</t>
        </is>
      </c>
      <c r="H1891" s="390" t="inlineStr">
        <is>
          <t>Dễ</t>
        </is>
      </c>
      <c r="I1891" s="390" t="inlineStr">
        <is>
          <t>Ngày, CTCK</t>
        </is>
      </c>
      <c r="J1891" s="401" t="inlineStr">
        <is>
          <t>SCMS</t>
        </is>
      </c>
      <c r="K1891" s="401" t="n"/>
      <c r="L1891" s="401" t="inlineStr">
        <is>
          <t>X</t>
        </is>
      </c>
      <c r="M1891" s="401" t="n"/>
      <c r="N1891" s="401" t="inlineStr">
        <is>
          <t>Done</t>
        </is>
      </c>
      <c r="O1891" s="401" t="n"/>
      <c r="P1891" s="22" t="n"/>
      <c r="S1891" s="22" t="n"/>
      <c r="U1891" s="16" t="n"/>
      <c r="V1891" s="22" t="n"/>
      <c r="W1891" s="22" t="n"/>
      <c r="X1891" s="22" t="n"/>
      <c r="Y1891" s="395" t="n"/>
      <c r="Z1891" s="22" t="n"/>
      <c r="AA1891" s="22" t="n"/>
      <c r="AB1891" s="22" t="n"/>
      <c r="AC1891" s="22" t="n"/>
      <c r="AD1891" s="22" t="n"/>
      <c r="AE1891" s="22" t="n"/>
    </row>
    <row r="1892" ht="56" customHeight="1" s="380">
      <c r="A1892" s="126" t="n">
        <v>93</v>
      </c>
      <c r="B1892" s="390" t="n"/>
      <c r="C1892" s="390" t="inlineStr">
        <is>
          <t>Báo cáo theo Thông tư 121/2020/TT-BTC &gt;&gt; Báo báo tài chính &gt;&gt; Báo cáo tình hình tài chính riêng</t>
        </is>
      </c>
      <c r="D1892" s="132" t="inlineStr">
        <is>
          <t>TỔNG CỘNG TÀI SẢN</t>
        </is>
      </c>
      <c r="E1892" s="133" t="n">
        <v>270</v>
      </c>
      <c r="F1892" s="390" t="inlineStr">
        <is>
          <t>Data Explorer</t>
        </is>
      </c>
      <c r="G1892" s="390" t="inlineStr">
        <is>
          <t>Chỉ tiêu cơ sở</t>
        </is>
      </c>
      <c r="H1892" s="390" t="inlineStr">
        <is>
          <t>Dễ</t>
        </is>
      </c>
      <c r="I1892" s="390" t="inlineStr">
        <is>
          <t>Ngày, CTCK</t>
        </is>
      </c>
      <c r="J1892" s="401" t="inlineStr">
        <is>
          <t>SCMS</t>
        </is>
      </c>
      <c r="K1892" s="401" t="n"/>
      <c r="L1892" s="401" t="inlineStr">
        <is>
          <t>X</t>
        </is>
      </c>
      <c r="M1892" s="401" t="n"/>
      <c r="N1892" s="401" t="inlineStr">
        <is>
          <t>Done</t>
        </is>
      </c>
      <c r="O1892" s="401" t="n"/>
      <c r="P1892" s="22" t="n"/>
      <c r="S1892" s="22" t="n"/>
      <c r="U1892" s="16" t="n"/>
      <c r="V1892" s="22" t="n"/>
      <c r="W1892" s="22" t="n"/>
      <c r="X1892" s="22" t="n"/>
      <c r="Y1892" s="395" t="n"/>
      <c r="Z1892" s="22" t="n"/>
      <c r="AA1892" s="22" t="n"/>
      <c r="AB1892" s="22" t="n"/>
      <c r="AC1892" s="22" t="n"/>
      <c r="AD1892" s="22" t="n"/>
      <c r="AE1892" s="22" t="n"/>
    </row>
    <row r="1893" ht="56" customHeight="1" s="380">
      <c r="A1893" s="126" t="n">
        <v>93</v>
      </c>
      <c r="B1893" s="390" t="n"/>
      <c r="C1893" s="390" t="inlineStr">
        <is>
          <t>Báo cáo theo Thông tư 121/2020/TT-BTC &gt;&gt; Báo báo tài chính &gt;&gt; Báo cáo tình hình tài chính riêng</t>
        </is>
      </c>
      <c r="D1893" s="132" t="inlineStr">
        <is>
          <t>(270 = 100 + 200)</t>
        </is>
      </c>
      <c r="E1893" s="133" t="n">
        <v>270</v>
      </c>
      <c r="F1893" s="390" t="inlineStr">
        <is>
          <t>Data Explorer</t>
        </is>
      </c>
      <c r="G1893" s="390" t="inlineStr">
        <is>
          <t>Chỉ tiêu cơ sở</t>
        </is>
      </c>
      <c r="H1893" s="390" t="inlineStr">
        <is>
          <t>Dễ</t>
        </is>
      </c>
      <c r="I1893" s="390" t="inlineStr">
        <is>
          <t>Ngày, CTCK</t>
        </is>
      </c>
      <c r="J1893" s="401" t="inlineStr">
        <is>
          <t>SCMS</t>
        </is>
      </c>
      <c r="K1893" s="401" t="n"/>
      <c r="L1893" s="401" t="inlineStr">
        <is>
          <t>X</t>
        </is>
      </c>
      <c r="M1893" s="401" t="n"/>
      <c r="N1893" s="401" t="inlineStr">
        <is>
          <t>Done</t>
        </is>
      </c>
      <c r="O1893" s="401" t="n"/>
      <c r="P1893" s="22" t="n"/>
      <c r="S1893" s="22" t="n"/>
      <c r="U1893" s="16" t="n"/>
      <c r="V1893" s="22" t="n"/>
      <c r="W1893" s="22" t="n"/>
      <c r="X1893" s="22" t="n"/>
      <c r="Y1893" s="395" t="n"/>
      <c r="Z1893" s="22" t="n"/>
      <c r="AA1893" s="22" t="n"/>
      <c r="AB1893" s="22" t="n"/>
      <c r="AC1893" s="22" t="n"/>
      <c r="AD1893" s="22" t="n"/>
      <c r="AE1893" s="22" t="n"/>
    </row>
    <row r="1894" ht="56" customHeight="1" s="380">
      <c r="A1894" s="126" t="n">
        <v>93</v>
      </c>
      <c r="B1894" s="390" t="n"/>
      <c r="C1894" s="390" t="inlineStr">
        <is>
          <t>Báo cáo theo Thông tư 121/2020/TT-BTC &gt;&gt; Báo báo tài chính &gt;&gt; Báo cáo tình hình tài chính riêng</t>
        </is>
      </c>
      <c r="D1894" s="132" t="inlineStr">
        <is>
          <t>C. NỢ PHẢI TRẢ (300 = 310 + 340)</t>
        </is>
      </c>
      <c r="E1894" s="133" t="n">
        <v>300</v>
      </c>
      <c r="F1894" s="390" t="inlineStr">
        <is>
          <t>Data Explorer</t>
        </is>
      </c>
      <c r="G1894" s="390" t="inlineStr">
        <is>
          <t>Chỉ tiêu cơ sở</t>
        </is>
      </c>
      <c r="H1894" s="390" t="inlineStr">
        <is>
          <t>Dễ</t>
        </is>
      </c>
      <c r="I1894" s="390" t="inlineStr">
        <is>
          <t>Ngày, CTCK</t>
        </is>
      </c>
      <c r="J1894" s="401" t="inlineStr">
        <is>
          <t>SCMS</t>
        </is>
      </c>
      <c r="K1894" s="401" t="n"/>
      <c r="L1894" s="401" t="inlineStr">
        <is>
          <t>X</t>
        </is>
      </c>
      <c r="M1894" s="401" t="n"/>
      <c r="N1894" s="401" t="inlineStr">
        <is>
          <t>Done</t>
        </is>
      </c>
      <c r="O1894" s="401" t="n"/>
      <c r="P1894" s="22" t="n"/>
      <c r="S1894" s="22" t="n"/>
      <c r="U1894" s="16" t="n"/>
      <c r="V1894" s="22" t="n"/>
      <c r="W1894" s="22" t="n"/>
      <c r="X1894" s="22" t="n"/>
      <c r="Y1894" s="395" t="n"/>
      <c r="Z1894" s="22" t="n"/>
      <c r="AA1894" s="22" t="n"/>
      <c r="AB1894" s="22" t="n"/>
      <c r="AC1894" s="22" t="n"/>
      <c r="AD1894" s="22" t="n"/>
      <c r="AE1894" s="22" t="n"/>
    </row>
    <row r="1895" ht="56" customHeight="1" s="380">
      <c r="A1895" s="126" t="n">
        <v>93</v>
      </c>
      <c r="B1895" s="390" t="n"/>
      <c r="C1895" s="390" t="inlineStr">
        <is>
          <t>Báo cáo theo Thông tư 121/2020/TT-BTC &gt;&gt; Báo báo tài chính &gt;&gt; Báo cáo tình hình tài chính riêng</t>
        </is>
      </c>
      <c r="D1895" s="132" t="inlineStr">
        <is>
          <t>I. Nợ phải trả ngắn hạn</t>
        </is>
      </c>
      <c r="E1895" s="133" t="n">
        <v>310</v>
      </c>
      <c r="F1895" s="390" t="inlineStr">
        <is>
          <t>Data Explorer</t>
        </is>
      </c>
      <c r="G1895" s="390" t="inlineStr">
        <is>
          <t>Chỉ tiêu cơ sở</t>
        </is>
      </c>
      <c r="H1895" s="390" t="inlineStr">
        <is>
          <t>Dễ</t>
        </is>
      </c>
      <c r="I1895" s="390" t="inlineStr">
        <is>
          <t>Ngày, CTCK</t>
        </is>
      </c>
      <c r="J1895" s="401" t="inlineStr">
        <is>
          <t>SCMS</t>
        </is>
      </c>
      <c r="K1895" s="401" t="n"/>
      <c r="L1895" s="401" t="inlineStr">
        <is>
          <t>X</t>
        </is>
      </c>
      <c r="M1895" s="401" t="n"/>
      <c r="N1895" s="401" t="inlineStr">
        <is>
          <t>Done</t>
        </is>
      </c>
      <c r="O1895" s="401" t="n"/>
      <c r="P1895" s="22" t="n"/>
      <c r="S1895" s="22" t="n"/>
      <c r="U1895" s="16" t="n"/>
      <c r="V1895" s="22" t="n"/>
      <c r="W1895" s="22" t="n"/>
      <c r="X1895" s="22" t="n"/>
      <c r="Y1895" s="395" t="n"/>
      <c r="Z1895" s="22" t="n"/>
      <c r="AA1895" s="22" t="n"/>
      <c r="AB1895" s="22" t="n"/>
      <c r="AC1895" s="22" t="n"/>
      <c r="AD1895" s="22" t="n"/>
      <c r="AE1895" s="22" t="n"/>
    </row>
    <row r="1896" ht="56" customHeight="1" s="380">
      <c r="A1896" s="126" t="n">
        <v>93</v>
      </c>
      <c r="B1896" s="390" t="n"/>
      <c r="C1896" s="390" t="inlineStr">
        <is>
          <t>Báo cáo theo Thông tư 121/2020/TT-BTC &gt;&gt; Báo báo tài chính &gt;&gt; Báo cáo tình hình tài chính riêng</t>
        </is>
      </c>
      <c r="D1896" s="390" t="inlineStr">
        <is>
          <t>1. Vay và nợ thuê tài chính ngắn hạn</t>
        </is>
      </c>
      <c r="E1896" s="401" t="n">
        <v>311</v>
      </c>
      <c r="F1896" s="390" t="inlineStr">
        <is>
          <t>Data Explorer</t>
        </is>
      </c>
      <c r="G1896" s="390" t="inlineStr">
        <is>
          <t>Chỉ tiêu cơ sở</t>
        </is>
      </c>
      <c r="H1896" s="390" t="inlineStr">
        <is>
          <t>Dễ</t>
        </is>
      </c>
      <c r="I1896" s="390" t="inlineStr">
        <is>
          <t>Ngày, CTCK</t>
        </is>
      </c>
      <c r="J1896" s="401" t="inlineStr">
        <is>
          <t>SCMS</t>
        </is>
      </c>
      <c r="K1896" s="401" t="n"/>
      <c r="L1896" s="401" t="inlineStr">
        <is>
          <t>X</t>
        </is>
      </c>
      <c r="M1896" s="401" t="n"/>
      <c r="N1896" s="401" t="inlineStr">
        <is>
          <t>Done</t>
        </is>
      </c>
      <c r="O1896" s="401" t="n"/>
      <c r="P1896" s="22" t="n"/>
      <c r="S1896" s="22" t="n"/>
      <c r="U1896" s="16" t="n"/>
      <c r="V1896" s="22" t="n"/>
      <c r="W1896" s="22" t="n"/>
      <c r="X1896" s="22" t="n"/>
      <c r="Y1896" s="395" t="n"/>
      <c r="Z1896" s="22" t="n"/>
      <c r="AA1896" s="22" t="n"/>
      <c r="AB1896" s="22" t="n"/>
      <c r="AC1896" s="22" t="n"/>
      <c r="AD1896" s="22" t="n"/>
      <c r="AE1896" s="22" t="n"/>
    </row>
    <row r="1897" ht="56" customHeight="1" s="380">
      <c r="A1897" s="126" t="n">
        <v>93</v>
      </c>
      <c r="B1897" s="390" t="n"/>
      <c r="C1897" s="390" t="inlineStr">
        <is>
          <t>Báo cáo theo Thông tư 121/2020/TT-BTC &gt;&gt; Báo báo tài chính &gt;&gt; Báo cáo tình hình tài chính riêng</t>
        </is>
      </c>
      <c r="D1897" s="390" t="inlineStr">
        <is>
          <t>1.1. Vay ngắn hạn</t>
        </is>
      </c>
      <c r="E1897" s="401" t="n">
        <v>312</v>
      </c>
      <c r="F1897" s="390" t="inlineStr">
        <is>
          <t>Data Explorer</t>
        </is>
      </c>
      <c r="G1897" s="390" t="inlineStr">
        <is>
          <t>Chỉ tiêu cơ sở</t>
        </is>
      </c>
      <c r="H1897" s="390" t="inlineStr">
        <is>
          <t>Dễ</t>
        </is>
      </c>
      <c r="I1897" s="390" t="inlineStr">
        <is>
          <t>Ngày, CTCK</t>
        </is>
      </c>
      <c r="J1897" s="401" t="inlineStr">
        <is>
          <t>SCMS</t>
        </is>
      </c>
      <c r="K1897" s="401" t="n"/>
      <c r="L1897" s="401" t="inlineStr">
        <is>
          <t>X</t>
        </is>
      </c>
      <c r="M1897" s="401" t="n"/>
      <c r="N1897" s="401" t="inlineStr">
        <is>
          <t>Done</t>
        </is>
      </c>
      <c r="O1897" s="401" t="n"/>
      <c r="P1897" s="22" t="n"/>
      <c r="S1897" s="22" t="n"/>
      <c r="U1897" s="16" t="n"/>
      <c r="V1897" s="22" t="n"/>
      <c r="W1897" s="22" t="n"/>
      <c r="X1897" s="22" t="n"/>
      <c r="Y1897" s="395" t="n"/>
      <c r="Z1897" s="22" t="n"/>
      <c r="AA1897" s="22" t="n"/>
      <c r="AB1897" s="22" t="n"/>
      <c r="AC1897" s="22" t="n"/>
      <c r="AD1897" s="22" t="n"/>
      <c r="AE1897" s="22" t="n"/>
    </row>
    <row r="1898" ht="56" customHeight="1" s="380">
      <c r="A1898" s="126" t="n">
        <v>93</v>
      </c>
      <c r="B1898" s="390" t="n"/>
      <c r="C1898" s="390" t="inlineStr">
        <is>
          <t>Báo cáo theo Thông tư 121/2020/TT-BTC &gt;&gt; Báo báo tài chính &gt;&gt; Báo cáo tình hình tài chính riêng</t>
        </is>
      </c>
      <c r="D1898" s="390" t="inlineStr">
        <is>
          <t>1.2. Nợ thuê tài chính ngắn hạn</t>
        </is>
      </c>
      <c r="E1898" s="401" t="n">
        <v>313</v>
      </c>
      <c r="F1898" s="390" t="inlineStr">
        <is>
          <t>Data Explorer</t>
        </is>
      </c>
      <c r="G1898" s="390" t="inlineStr">
        <is>
          <t>Chỉ tiêu cơ sở</t>
        </is>
      </c>
      <c r="H1898" s="390" t="inlineStr">
        <is>
          <t>Dễ</t>
        </is>
      </c>
      <c r="I1898" s="390" t="inlineStr">
        <is>
          <t>Ngày, CTCK</t>
        </is>
      </c>
      <c r="J1898" s="401" t="inlineStr">
        <is>
          <t>SCMS</t>
        </is>
      </c>
      <c r="K1898" s="401" t="n"/>
      <c r="L1898" s="401" t="inlineStr">
        <is>
          <t>X</t>
        </is>
      </c>
      <c r="M1898" s="401" t="n"/>
      <c r="N1898" s="401" t="inlineStr">
        <is>
          <t>Done</t>
        </is>
      </c>
      <c r="O1898" s="401" t="n"/>
      <c r="P1898" s="22" t="n"/>
      <c r="S1898" s="22" t="n"/>
      <c r="U1898" s="16" t="n"/>
      <c r="V1898" s="22" t="n"/>
      <c r="W1898" s="22" t="n"/>
      <c r="X1898" s="22" t="n"/>
      <c r="Y1898" s="395" t="n"/>
      <c r="Z1898" s="22" t="n"/>
      <c r="AA1898" s="22" t="n"/>
      <c r="AB1898" s="22" t="n"/>
      <c r="AC1898" s="22" t="n"/>
      <c r="AD1898" s="22" t="n"/>
      <c r="AE1898" s="22" t="n"/>
    </row>
    <row r="1899" ht="56" customHeight="1" s="380">
      <c r="A1899" s="126" t="n">
        <v>93</v>
      </c>
      <c r="B1899" s="390" t="n"/>
      <c r="C1899" s="390" t="inlineStr">
        <is>
          <t>Báo cáo theo Thông tư 121/2020/TT-BTC &gt;&gt; Báo báo tài chính &gt;&gt; Báo cáo tình hình tài chính riêng</t>
        </is>
      </c>
      <c r="D1899" s="390" t="inlineStr">
        <is>
          <t>2. Vay tài sản tài chính ngắn hạn</t>
        </is>
      </c>
      <c r="E1899" s="401" t="n">
        <v>314</v>
      </c>
      <c r="F1899" s="390" t="inlineStr">
        <is>
          <t>Data Explorer</t>
        </is>
      </c>
      <c r="G1899" s="390" t="inlineStr">
        <is>
          <t>Chỉ tiêu cơ sở</t>
        </is>
      </c>
      <c r="H1899" s="390" t="inlineStr">
        <is>
          <t>Dễ</t>
        </is>
      </c>
      <c r="I1899" s="390" t="inlineStr">
        <is>
          <t>Ngày, CTCK</t>
        </is>
      </c>
      <c r="J1899" s="401" t="inlineStr">
        <is>
          <t>SCMS</t>
        </is>
      </c>
      <c r="K1899" s="401" t="n"/>
      <c r="L1899" s="401" t="inlineStr">
        <is>
          <t>X</t>
        </is>
      </c>
      <c r="M1899" s="401" t="n"/>
      <c r="N1899" s="401" t="inlineStr">
        <is>
          <t>Done</t>
        </is>
      </c>
      <c r="O1899" s="401" t="n"/>
      <c r="P1899" s="22" t="n"/>
      <c r="S1899" s="22" t="n"/>
      <c r="U1899" s="16" t="n"/>
      <c r="V1899" s="22" t="n"/>
      <c r="W1899" s="22" t="n"/>
      <c r="X1899" s="22" t="n"/>
      <c r="Y1899" s="395" t="n"/>
      <c r="Z1899" s="22" t="n"/>
      <c r="AA1899" s="22" t="n"/>
      <c r="AB1899" s="22" t="n"/>
      <c r="AC1899" s="22" t="n"/>
      <c r="AD1899" s="22" t="n"/>
      <c r="AE1899" s="22" t="n"/>
    </row>
    <row r="1900" ht="56" customHeight="1" s="380">
      <c r="A1900" s="126" t="n">
        <v>93</v>
      </c>
      <c r="B1900" s="390" t="n"/>
      <c r="C1900" s="390" t="inlineStr">
        <is>
          <t>Báo cáo theo Thông tư 121/2020/TT-BTC &gt;&gt; Báo báo tài chính &gt;&gt; Báo cáo tình hình tài chính riêng</t>
        </is>
      </c>
      <c r="D1900" s="390" t="inlineStr">
        <is>
          <t>3. Trái phiếu chuyển đổi ngắn hạn - Cấu phần nợ</t>
        </is>
      </c>
      <c r="E1900" s="401" t="n">
        <v>315</v>
      </c>
      <c r="F1900" s="390" t="inlineStr">
        <is>
          <t>Data Explorer</t>
        </is>
      </c>
      <c r="G1900" s="390" t="inlineStr">
        <is>
          <t>Chỉ tiêu cơ sở</t>
        </is>
      </c>
      <c r="H1900" s="390" t="inlineStr">
        <is>
          <t>Dễ</t>
        </is>
      </c>
      <c r="I1900" s="390" t="inlineStr">
        <is>
          <t>Ngày, CTCK</t>
        </is>
      </c>
      <c r="J1900" s="401" t="inlineStr">
        <is>
          <t>SCMS</t>
        </is>
      </c>
      <c r="K1900" s="401" t="n"/>
      <c r="L1900" s="401" t="inlineStr">
        <is>
          <t>X</t>
        </is>
      </c>
      <c r="M1900" s="401" t="n"/>
      <c r="N1900" s="401" t="inlineStr">
        <is>
          <t>Done</t>
        </is>
      </c>
      <c r="O1900" s="401" t="n"/>
      <c r="P1900" s="22" t="n"/>
      <c r="S1900" s="22" t="n"/>
      <c r="U1900" s="16" t="n"/>
      <c r="V1900" s="22" t="n"/>
      <c r="W1900" s="22" t="n"/>
      <c r="X1900" s="22" t="n"/>
      <c r="Y1900" s="395" t="n"/>
      <c r="Z1900" s="22" t="n"/>
      <c r="AA1900" s="22" t="n"/>
      <c r="AB1900" s="22" t="n"/>
      <c r="AC1900" s="22" t="n"/>
      <c r="AD1900" s="22" t="n"/>
      <c r="AE1900" s="22" t="n"/>
    </row>
    <row r="1901" ht="56" customHeight="1" s="380">
      <c r="A1901" s="126" t="n">
        <v>93</v>
      </c>
      <c r="B1901" s="390" t="n"/>
      <c r="C1901" s="390" t="inlineStr">
        <is>
          <t>Báo cáo theo Thông tư 121/2020/TT-BTC &gt;&gt; Báo báo tài chính &gt;&gt; Báo cáo tình hình tài chính riêng</t>
        </is>
      </c>
      <c r="D1901" s="390" t="inlineStr">
        <is>
          <t>4. Trái phiếu phát hành ngắn hạn</t>
        </is>
      </c>
      <c r="E1901" s="401" t="n">
        <v>316</v>
      </c>
      <c r="F1901" s="390" t="inlineStr">
        <is>
          <t>Data Explorer</t>
        </is>
      </c>
      <c r="G1901" s="390" t="inlineStr">
        <is>
          <t>Chỉ tiêu cơ sở</t>
        </is>
      </c>
      <c r="H1901" s="390" t="inlineStr">
        <is>
          <t>Dễ</t>
        </is>
      </c>
      <c r="I1901" s="390" t="inlineStr">
        <is>
          <t>Ngày, CTCK</t>
        </is>
      </c>
      <c r="J1901" s="401" t="inlineStr">
        <is>
          <t>SCMS</t>
        </is>
      </c>
      <c r="K1901" s="401" t="n"/>
      <c r="L1901" s="401" t="inlineStr">
        <is>
          <t>X</t>
        </is>
      </c>
      <c r="M1901" s="401" t="n"/>
      <c r="N1901" s="401" t="inlineStr">
        <is>
          <t>Done</t>
        </is>
      </c>
      <c r="O1901" s="401" t="n"/>
      <c r="P1901" s="22" t="n"/>
      <c r="S1901" s="22" t="n"/>
      <c r="U1901" s="16" t="n"/>
      <c r="V1901" s="22" t="n"/>
      <c r="W1901" s="22" t="n"/>
      <c r="X1901" s="22" t="n"/>
      <c r="Y1901" s="395" t="n"/>
      <c r="Z1901" s="22" t="n"/>
      <c r="AA1901" s="22" t="n"/>
      <c r="AB1901" s="22" t="n"/>
      <c r="AC1901" s="22" t="n"/>
      <c r="AD1901" s="22" t="n"/>
      <c r="AE1901" s="22" t="n"/>
    </row>
    <row r="1902" ht="56" customHeight="1" s="380">
      <c r="A1902" s="126" t="n">
        <v>93</v>
      </c>
      <c r="B1902" s="390" t="n"/>
      <c r="C1902" s="390" t="inlineStr">
        <is>
          <t>Báo cáo theo Thông tư 121/2020/TT-BTC &gt;&gt; Báo báo tài chính &gt;&gt; Báo cáo tình hình tài chính riêng</t>
        </is>
      </c>
      <c r="D1902" s="390" t="inlineStr">
        <is>
          <t>5. Vay Quỹ Hỗ trợ thanh toán</t>
        </is>
      </c>
      <c r="E1902" s="401" t="n">
        <v>317</v>
      </c>
      <c r="F1902" s="390" t="inlineStr">
        <is>
          <t>Data Explorer</t>
        </is>
      </c>
      <c r="G1902" s="390" t="inlineStr">
        <is>
          <t>Chỉ tiêu cơ sở</t>
        </is>
      </c>
      <c r="H1902" s="390" t="inlineStr">
        <is>
          <t>Dễ</t>
        </is>
      </c>
      <c r="I1902" s="390" t="inlineStr">
        <is>
          <t>Ngày, CTCK</t>
        </is>
      </c>
      <c r="J1902" s="401" t="inlineStr">
        <is>
          <t>SCMS</t>
        </is>
      </c>
      <c r="K1902" s="401" t="n"/>
      <c r="L1902" s="401" t="inlineStr">
        <is>
          <t>X</t>
        </is>
      </c>
      <c r="M1902" s="401" t="n"/>
      <c r="N1902" s="401" t="inlineStr">
        <is>
          <t>Done</t>
        </is>
      </c>
      <c r="O1902" s="401" t="n"/>
      <c r="P1902" s="22" t="n"/>
      <c r="S1902" s="22" t="n"/>
      <c r="U1902" s="16" t="n"/>
      <c r="V1902" s="22" t="n"/>
      <c r="W1902" s="22" t="n"/>
      <c r="X1902" s="22" t="n"/>
      <c r="Y1902" s="395" t="n"/>
      <c r="Z1902" s="22" t="n"/>
      <c r="AA1902" s="22" t="n"/>
      <c r="AB1902" s="22" t="n"/>
      <c r="AC1902" s="22" t="n"/>
      <c r="AD1902" s="22" t="n"/>
      <c r="AE1902" s="22" t="n"/>
    </row>
    <row r="1903" ht="56" customHeight="1" s="380">
      <c r="A1903" s="126" t="n">
        <v>93</v>
      </c>
      <c r="B1903" s="390" t="n"/>
      <c r="C1903" s="390" t="inlineStr">
        <is>
          <t>Báo cáo theo Thông tư 121/2020/TT-BTC &gt;&gt; Báo báo tài chính &gt;&gt; Báo cáo tình hình tài chính riêng</t>
        </is>
      </c>
      <c r="D1903" s="390" t="inlineStr">
        <is>
          <t>6. Phải trả hoạt động giao dịch chứng khoán</t>
        </is>
      </c>
      <c r="E1903" s="401" t="n">
        <v>318</v>
      </c>
      <c r="F1903" s="390" t="inlineStr">
        <is>
          <t>Data Explorer</t>
        </is>
      </c>
      <c r="G1903" s="390" t="inlineStr">
        <is>
          <t>Chỉ tiêu cơ sở</t>
        </is>
      </c>
      <c r="H1903" s="390" t="inlineStr">
        <is>
          <t>Dễ</t>
        </is>
      </c>
      <c r="I1903" s="390" t="inlineStr">
        <is>
          <t>Ngày, CTCK</t>
        </is>
      </c>
      <c r="J1903" s="401" t="inlineStr">
        <is>
          <t>SCMS</t>
        </is>
      </c>
      <c r="K1903" s="401" t="n"/>
      <c r="L1903" s="401" t="inlineStr">
        <is>
          <t>X</t>
        </is>
      </c>
      <c r="M1903" s="401" t="n"/>
      <c r="N1903" s="401" t="inlineStr">
        <is>
          <t>Done</t>
        </is>
      </c>
      <c r="O1903" s="401" t="n"/>
      <c r="P1903" s="22" t="n"/>
      <c r="S1903" s="22" t="n"/>
      <c r="U1903" s="16" t="n"/>
      <c r="V1903" s="22" t="n"/>
      <c r="W1903" s="22" t="n"/>
      <c r="X1903" s="22" t="n"/>
      <c r="Y1903" s="395" t="n"/>
      <c r="Z1903" s="22" t="n"/>
      <c r="AA1903" s="22" t="n"/>
      <c r="AB1903" s="22" t="n"/>
      <c r="AC1903" s="22" t="n"/>
      <c r="AD1903" s="22" t="n"/>
      <c r="AE1903" s="22" t="n"/>
    </row>
    <row r="1904" ht="56" customHeight="1" s="380">
      <c r="A1904" s="126" t="n">
        <v>93</v>
      </c>
      <c r="B1904" s="390" t="n"/>
      <c r="C1904" s="390" t="inlineStr">
        <is>
          <t>Báo cáo theo Thông tư 121/2020/TT-BTC &gt;&gt; Báo báo tài chính &gt;&gt; Báo cáo tình hình tài chính riêng</t>
        </is>
      </c>
      <c r="D1904" s="390" t="inlineStr">
        <is>
          <t>7. Phải trả về lỗi giao dịch các tài sản tài chính</t>
        </is>
      </c>
      <c r="E1904" s="401" t="n">
        <v>319</v>
      </c>
      <c r="F1904" s="390" t="inlineStr">
        <is>
          <t>Data Explorer</t>
        </is>
      </c>
      <c r="G1904" s="390" t="inlineStr">
        <is>
          <t>Chỉ tiêu cơ sở</t>
        </is>
      </c>
      <c r="H1904" s="390" t="inlineStr">
        <is>
          <t>Dễ</t>
        </is>
      </c>
      <c r="I1904" s="390" t="inlineStr">
        <is>
          <t>Ngày, CTCK</t>
        </is>
      </c>
      <c r="J1904" s="401" t="inlineStr">
        <is>
          <t>SCMS</t>
        </is>
      </c>
      <c r="K1904" s="401" t="n"/>
      <c r="L1904" s="401" t="inlineStr">
        <is>
          <t>X</t>
        </is>
      </c>
      <c r="M1904" s="401" t="n"/>
      <c r="N1904" s="401" t="inlineStr">
        <is>
          <t>Done</t>
        </is>
      </c>
      <c r="O1904" s="401" t="n"/>
      <c r="P1904" s="22" t="n"/>
      <c r="S1904" s="22" t="n"/>
      <c r="U1904" s="16" t="n"/>
      <c r="V1904" s="22" t="n"/>
      <c r="W1904" s="22" t="n"/>
      <c r="X1904" s="22" t="n"/>
      <c r="Y1904" s="395" t="n"/>
      <c r="Z1904" s="22" t="n"/>
      <c r="AA1904" s="22" t="n"/>
      <c r="AB1904" s="22" t="n"/>
      <c r="AC1904" s="22" t="n"/>
      <c r="AD1904" s="22" t="n"/>
      <c r="AE1904" s="22" t="n"/>
    </row>
    <row r="1905" ht="56" customHeight="1" s="380">
      <c r="A1905" s="126" t="n">
        <v>93</v>
      </c>
      <c r="B1905" s="390" t="n"/>
      <c r="C1905" s="390" t="inlineStr">
        <is>
          <t>Báo cáo theo Thông tư 121/2020/TT-BTC &gt;&gt; Báo báo tài chính &gt;&gt; Báo cáo tình hình tài chính riêng</t>
        </is>
      </c>
      <c r="D1905" s="390" t="inlineStr">
        <is>
          <t>8.  Phải trả người bán ngắn hạn</t>
        </is>
      </c>
      <c r="E1905" s="401" t="n">
        <v>320</v>
      </c>
      <c r="F1905" s="390" t="inlineStr">
        <is>
          <t>Data Explorer</t>
        </is>
      </c>
      <c r="G1905" s="390" t="inlineStr">
        <is>
          <t>Chỉ tiêu cơ sở</t>
        </is>
      </c>
      <c r="H1905" s="390" t="inlineStr">
        <is>
          <t>Dễ</t>
        </is>
      </c>
      <c r="I1905" s="390" t="inlineStr">
        <is>
          <t>Ngày, CTCK</t>
        </is>
      </c>
      <c r="J1905" s="401" t="inlineStr">
        <is>
          <t>SCMS</t>
        </is>
      </c>
      <c r="K1905" s="401" t="n"/>
      <c r="L1905" s="401" t="inlineStr">
        <is>
          <t>X</t>
        </is>
      </c>
      <c r="M1905" s="401" t="n"/>
      <c r="N1905" s="401" t="inlineStr">
        <is>
          <t>Done</t>
        </is>
      </c>
      <c r="O1905" s="401" t="n"/>
      <c r="P1905" s="22" t="n"/>
      <c r="S1905" s="22" t="n"/>
      <c r="U1905" s="16" t="n"/>
      <c r="V1905" s="22" t="n"/>
      <c r="W1905" s="22" t="n"/>
      <c r="X1905" s="22" t="n"/>
      <c r="Y1905" s="395" t="n"/>
      <c r="Z1905" s="22" t="n"/>
      <c r="AA1905" s="22" t="n"/>
      <c r="AB1905" s="22" t="n"/>
      <c r="AC1905" s="22" t="n"/>
      <c r="AD1905" s="22" t="n"/>
      <c r="AE1905" s="22" t="n"/>
    </row>
    <row r="1906" ht="56" customHeight="1" s="380">
      <c r="A1906" s="126" t="n">
        <v>93</v>
      </c>
      <c r="B1906" s="390" t="n"/>
      <c r="C1906" s="390" t="inlineStr">
        <is>
          <t>Báo cáo theo Thông tư 121/2020/TT-BTC &gt;&gt; Báo báo tài chính &gt;&gt; Báo cáo tình hình tài chính riêng</t>
        </is>
      </c>
      <c r="D1906" s="390" t="inlineStr">
        <is>
          <t>9. Người mua trả tiền trước ngắn hạn</t>
        </is>
      </c>
      <c r="E1906" s="401" t="n">
        <v>321</v>
      </c>
      <c r="F1906" s="390" t="inlineStr">
        <is>
          <t>Data Explorer</t>
        </is>
      </c>
      <c r="G1906" s="390" t="inlineStr">
        <is>
          <t>Chỉ tiêu cơ sở</t>
        </is>
      </c>
      <c r="H1906" s="390" t="inlineStr">
        <is>
          <t>Dễ</t>
        </is>
      </c>
      <c r="I1906" s="390" t="inlineStr">
        <is>
          <t>Ngày, CTCK</t>
        </is>
      </c>
      <c r="J1906" s="401" t="inlineStr">
        <is>
          <t>SCMS</t>
        </is>
      </c>
      <c r="K1906" s="401" t="n"/>
      <c r="L1906" s="401" t="inlineStr">
        <is>
          <t>X</t>
        </is>
      </c>
      <c r="M1906" s="401" t="n"/>
      <c r="N1906" s="401" t="inlineStr">
        <is>
          <t>Done</t>
        </is>
      </c>
      <c r="O1906" s="401" t="n"/>
      <c r="P1906" s="22" t="n"/>
      <c r="S1906" s="22" t="n"/>
      <c r="U1906" s="16" t="n"/>
      <c r="V1906" s="22" t="n"/>
      <c r="W1906" s="22" t="n"/>
      <c r="X1906" s="22" t="n"/>
      <c r="Y1906" s="395" t="n"/>
      <c r="Z1906" s="22" t="n"/>
      <c r="AA1906" s="22" t="n"/>
      <c r="AB1906" s="22" t="n"/>
      <c r="AC1906" s="22" t="n"/>
      <c r="AD1906" s="22" t="n"/>
      <c r="AE1906" s="22" t="n"/>
    </row>
    <row r="1907" ht="56" customHeight="1" s="380">
      <c r="A1907" s="126" t="n">
        <v>93</v>
      </c>
      <c r="B1907" s="390" t="n"/>
      <c r="C1907" s="390" t="inlineStr">
        <is>
          <t>Báo cáo theo Thông tư 121/2020/TT-BTC &gt;&gt; Báo báo tài chính &gt;&gt; Báo cáo tình hình tài chính riêng</t>
        </is>
      </c>
      <c r="D1907" s="390" t="inlineStr">
        <is>
          <t>10. Thuế và các khoản phải nộp Nhà nước</t>
        </is>
      </c>
      <c r="E1907" s="401" t="n">
        <v>322</v>
      </c>
      <c r="F1907" s="390" t="inlineStr">
        <is>
          <t>Data Explorer</t>
        </is>
      </c>
      <c r="G1907" s="390" t="inlineStr">
        <is>
          <t>Chỉ tiêu cơ sở</t>
        </is>
      </c>
      <c r="H1907" s="390" t="inlineStr">
        <is>
          <t>Dễ</t>
        </is>
      </c>
      <c r="I1907" s="390" t="inlineStr">
        <is>
          <t>Ngày, CTCK</t>
        </is>
      </c>
      <c r="J1907" s="401" t="inlineStr">
        <is>
          <t>SCMS</t>
        </is>
      </c>
      <c r="K1907" s="401" t="n"/>
      <c r="L1907" s="401" t="inlineStr">
        <is>
          <t>X</t>
        </is>
      </c>
      <c r="M1907" s="401" t="n"/>
      <c r="N1907" s="401" t="inlineStr">
        <is>
          <t>Done</t>
        </is>
      </c>
      <c r="O1907" s="401" t="n"/>
      <c r="P1907" s="22" t="n"/>
      <c r="S1907" s="22" t="n"/>
      <c r="U1907" s="16" t="n"/>
      <c r="V1907" s="22" t="n"/>
      <c r="W1907" s="22" t="n"/>
      <c r="X1907" s="22" t="n"/>
      <c r="Y1907" s="395" t="n"/>
      <c r="Z1907" s="22" t="n"/>
      <c r="AA1907" s="22" t="n"/>
      <c r="AB1907" s="22" t="n"/>
      <c r="AC1907" s="22" t="n"/>
      <c r="AD1907" s="22" t="n"/>
      <c r="AE1907" s="22" t="n"/>
    </row>
    <row r="1908" ht="56" customHeight="1" s="380">
      <c r="A1908" s="126" t="n">
        <v>93</v>
      </c>
      <c r="B1908" s="390" t="n"/>
      <c r="C1908" s="390" t="inlineStr">
        <is>
          <t>Báo cáo theo Thông tư 121/2020/TT-BTC &gt;&gt; Báo báo tài chính &gt;&gt; Báo cáo tình hình tài chính riêng</t>
        </is>
      </c>
      <c r="D1908" s="390" t="inlineStr">
        <is>
          <t>11. Phải trả người lao động</t>
        </is>
      </c>
      <c r="E1908" s="401" t="n">
        <v>323</v>
      </c>
      <c r="F1908" s="390" t="inlineStr">
        <is>
          <t>Data Explorer</t>
        </is>
      </c>
      <c r="G1908" s="390" t="inlineStr">
        <is>
          <t>Chỉ tiêu cơ sở</t>
        </is>
      </c>
      <c r="H1908" s="390" t="inlineStr">
        <is>
          <t>Dễ</t>
        </is>
      </c>
      <c r="I1908" s="390" t="inlineStr">
        <is>
          <t>Ngày, CTCK</t>
        </is>
      </c>
      <c r="J1908" s="401" t="inlineStr">
        <is>
          <t>SCMS</t>
        </is>
      </c>
      <c r="K1908" s="401" t="n"/>
      <c r="L1908" s="401" t="inlineStr">
        <is>
          <t>X</t>
        </is>
      </c>
      <c r="M1908" s="401" t="n"/>
      <c r="N1908" s="401" t="inlineStr">
        <is>
          <t>Done</t>
        </is>
      </c>
      <c r="O1908" s="401" t="n"/>
      <c r="P1908" s="22" t="n"/>
      <c r="S1908" s="22" t="n"/>
      <c r="U1908" s="16" t="n"/>
      <c r="V1908" s="22" t="n"/>
      <c r="W1908" s="22" t="n"/>
      <c r="X1908" s="22" t="n"/>
      <c r="Y1908" s="395" t="n"/>
      <c r="Z1908" s="22" t="n"/>
      <c r="AA1908" s="22" t="n"/>
      <c r="AB1908" s="22" t="n"/>
      <c r="AC1908" s="22" t="n"/>
      <c r="AD1908" s="22" t="n"/>
      <c r="AE1908" s="22" t="n"/>
    </row>
    <row r="1909" ht="56" customHeight="1" s="380">
      <c r="A1909" s="126" t="n">
        <v>93</v>
      </c>
      <c r="B1909" s="390" t="n"/>
      <c r="C1909" s="390" t="inlineStr">
        <is>
          <t>Báo cáo theo Thông tư 121/2020/TT-BTC &gt;&gt; Báo báo tài chính &gt;&gt; Báo cáo tình hình tài chính riêng</t>
        </is>
      </c>
      <c r="D1909" s="390" t="inlineStr">
        <is>
          <t>12.Các khoản trích nộp phúc lợi nhân viên</t>
        </is>
      </c>
      <c r="E1909" s="401" t="n">
        <v>324</v>
      </c>
      <c r="F1909" s="390" t="inlineStr">
        <is>
          <t>Data Explorer</t>
        </is>
      </c>
      <c r="G1909" s="390" t="inlineStr">
        <is>
          <t>Chỉ tiêu cơ sở</t>
        </is>
      </c>
      <c r="H1909" s="390" t="inlineStr">
        <is>
          <t>Dễ</t>
        </is>
      </c>
      <c r="I1909" s="390" t="inlineStr">
        <is>
          <t>Ngày, CTCK</t>
        </is>
      </c>
      <c r="J1909" s="401" t="inlineStr">
        <is>
          <t>SCMS</t>
        </is>
      </c>
      <c r="K1909" s="401" t="n"/>
      <c r="L1909" s="401" t="inlineStr">
        <is>
          <t>X</t>
        </is>
      </c>
      <c r="M1909" s="401" t="n"/>
      <c r="N1909" s="401" t="inlineStr">
        <is>
          <t>Done</t>
        </is>
      </c>
      <c r="O1909" s="401" t="n"/>
      <c r="P1909" s="22" t="n"/>
      <c r="S1909" s="22" t="n"/>
      <c r="U1909" s="16" t="n"/>
      <c r="V1909" s="22" t="n"/>
      <c r="W1909" s="22" t="n"/>
      <c r="X1909" s="22" t="n"/>
      <c r="Y1909" s="395" t="n"/>
      <c r="Z1909" s="22" t="n"/>
      <c r="AA1909" s="22" t="n"/>
      <c r="AB1909" s="22" t="n"/>
      <c r="AC1909" s="22" t="n"/>
      <c r="AD1909" s="22" t="n"/>
      <c r="AE1909" s="22" t="n"/>
    </row>
    <row r="1910" ht="56" customHeight="1" s="380">
      <c r="A1910" s="126" t="n">
        <v>93</v>
      </c>
      <c r="B1910" s="390" t="n"/>
      <c r="C1910" s="390" t="inlineStr">
        <is>
          <t>Báo cáo theo Thông tư 121/2020/TT-BTC &gt;&gt; Báo báo tài chính &gt;&gt; Báo cáo tình hình tài chính riêng</t>
        </is>
      </c>
      <c r="D1910" s="390" t="inlineStr">
        <is>
          <t>13. Chi phí phải trả ngắn hạn</t>
        </is>
      </c>
      <c r="E1910" s="401" t="n">
        <v>325</v>
      </c>
      <c r="F1910" s="390" t="inlineStr">
        <is>
          <t>Data Explorer</t>
        </is>
      </c>
      <c r="G1910" s="390" t="inlineStr">
        <is>
          <t>Chỉ tiêu cơ sở</t>
        </is>
      </c>
      <c r="H1910" s="390" t="inlineStr">
        <is>
          <t>Dễ</t>
        </is>
      </c>
      <c r="I1910" s="390" t="inlineStr">
        <is>
          <t>Ngày, CTCK</t>
        </is>
      </c>
      <c r="J1910" s="401" t="inlineStr">
        <is>
          <t>SCMS</t>
        </is>
      </c>
      <c r="K1910" s="401" t="n"/>
      <c r="L1910" s="401" t="inlineStr">
        <is>
          <t>X</t>
        </is>
      </c>
      <c r="M1910" s="401" t="n"/>
      <c r="N1910" s="401" t="inlineStr">
        <is>
          <t>Done</t>
        </is>
      </c>
      <c r="O1910" s="401" t="n"/>
      <c r="P1910" s="22" t="n"/>
      <c r="S1910" s="22" t="n"/>
      <c r="U1910" s="16" t="n"/>
      <c r="V1910" s="22" t="n"/>
      <c r="W1910" s="22" t="n"/>
      <c r="X1910" s="22" t="n"/>
      <c r="Y1910" s="36" t="n"/>
      <c r="Z1910" s="22" t="n"/>
      <c r="AA1910" s="22" t="n"/>
      <c r="AB1910" s="22" t="n"/>
      <c r="AC1910" s="22" t="n"/>
      <c r="AD1910" s="22" t="n"/>
      <c r="AE1910" s="22" t="n"/>
    </row>
    <row r="1911" ht="56" customHeight="1" s="380">
      <c r="A1911" s="126" t="n">
        <v>93</v>
      </c>
      <c r="B1911" s="390" t="n"/>
      <c r="C1911" s="390" t="inlineStr">
        <is>
          <t>Báo cáo theo Thông tư 121/2020/TT-BTC &gt;&gt; Báo báo tài chính &gt;&gt; Báo cáo tình hình tài chính riêng</t>
        </is>
      </c>
      <c r="D1911" s="390" t="inlineStr">
        <is>
          <t>14. Phải trả nội bộ ngắn hạn</t>
        </is>
      </c>
      <c r="E1911" s="401" t="n">
        <v>326</v>
      </c>
      <c r="F1911" s="390" t="inlineStr">
        <is>
          <t>Data Explorer</t>
        </is>
      </c>
      <c r="G1911" s="390" t="inlineStr">
        <is>
          <t>Chỉ tiêu cơ sở</t>
        </is>
      </c>
      <c r="H1911" s="390" t="inlineStr">
        <is>
          <t>Dễ</t>
        </is>
      </c>
      <c r="I1911" s="390" t="inlineStr">
        <is>
          <t>Ngày, CTCK</t>
        </is>
      </c>
      <c r="J1911" s="401" t="inlineStr">
        <is>
          <t>SCMS</t>
        </is>
      </c>
      <c r="K1911" s="401" t="n"/>
      <c r="L1911" s="401" t="inlineStr">
        <is>
          <t>X</t>
        </is>
      </c>
      <c r="M1911" s="401" t="n"/>
      <c r="N1911" s="401" t="inlineStr">
        <is>
          <t>Done</t>
        </is>
      </c>
      <c r="O1911" s="401" t="n"/>
      <c r="P1911" s="22" t="n"/>
      <c r="S1911" s="22" t="n"/>
      <c r="U1911" s="16" t="n"/>
      <c r="V1911" s="22" t="n"/>
      <c r="W1911" s="22" t="n"/>
      <c r="X1911" s="22" t="n"/>
      <c r="Y1911" s="395" t="n"/>
      <c r="Z1911" s="22" t="n"/>
      <c r="AA1911" s="22" t="n"/>
      <c r="AB1911" s="22" t="n"/>
      <c r="AC1911" s="22" t="n"/>
      <c r="AD1911" s="22" t="n"/>
      <c r="AE1911" s="22" t="n"/>
    </row>
    <row r="1912" ht="56" customHeight="1" s="380">
      <c r="A1912" s="126" t="n">
        <v>93</v>
      </c>
      <c r="B1912" s="390" t="n"/>
      <c r="C1912" s="390" t="inlineStr">
        <is>
          <t>Báo cáo theo Thông tư 121/2020/TT-BTC &gt;&gt; Báo báo tài chính &gt;&gt; Báo cáo tình hình tài chính riêng</t>
        </is>
      </c>
      <c r="D1912" s="390" t="inlineStr">
        <is>
          <t>15. Doanh thu chưa thực hiện ngắn hạn</t>
        </is>
      </c>
      <c r="E1912" s="401" t="n">
        <v>327</v>
      </c>
      <c r="F1912" s="390" t="inlineStr">
        <is>
          <t>Data Explorer</t>
        </is>
      </c>
      <c r="G1912" s="390" t="inlineStr">
        <is>
          <t>Chỉ tiêu cơ sở</t>
        </is>
      </c>
      <c r="H1912" s="390" t="inlineStr">
        <is>
          <t>Dễ</t>
        </is>
      </c>
      <c r="I1912" s="390" t="inlineStr">
        <is>
          <t>Ngày, CTCK</t>
        </is>
      </c>
      <c r="J1912" s="401" t="inlineStr">
        <is>
          <t>SCMS</t>
        </is>
      </c>
      <c r="K1912" s="401" t="n"/>
      <c r="L1912" s="401" t="inlineStr">
        <is>
          <t>X</t>
        </is>
      </c>
      <c r="M1912" s="401" t="n"/>
      <c r="N1912" s="401" t="inlineStr">
        <is>
          <t>Done</t>
        </is>
      </c>
      <c r="O1912" s="401" t="n"/>
      <c r="P1912" s="22" t="n"/>
      <c r="S1912" s="22" t="n"/>
      <c r="U1912" s="16" t="n"/>
      <c r="V1912" s="22" t="n"/>
      <c r="W1912" s="22" t="n"/>
      <c r="X1912" s="22" t="n"/>
      <c r="Y1912" s="395" t="n"/>
      <c r="Z1912" s="22" t="n"/>
      <c r="AA1912" s="22" t="n"/>
      <c r="AB1912" s="22" t="n"/>
      <c r="AC1912" s="22" t="n"/>
      <c r="AD1912" s="22" t="n"/>
      <c r="AE1912" s="22" t="n"/>
    </row>
    <row r="1913" ht="56" customHeight="1" s="380">
      <c r="A1913" s="126" t="n">
        <v>93</v>
      </c>
      <c r="B1913" s="390" t="n"/>
      <c r="C1913" s="390" t="inlineStr">
        <is>
          <t>Báo cáo theo Thông tư 121/2020/TT-BTC &gt;&gt; Báo báo tài chính &gt;&gt; Báo cáo tình hình tài chính riêng</t>
        </is>
      </c>
      <c r="D1913" s="390" t="inlineStr">
        <is>
          <t>16. Nhận ký quỹ, ký cược ngắn hạn</t>
        </is>
      </c>
      <c r="E1913" s="401" t="n">
        <v>328</v>
      </c>
      <c r="F1913" s="390" t="inlineStr">
        <is>
          <t>Data Explorer</t>
        </is>
      </c>
      <c r="G1913" s="390" t="inlineStr">
        <is>
          <t>Chỉ tiêu cơ sở</t>
        </is>
      </c>
      <c r="H1913" s="390" t="inlineStr">
        <is>
          <t>Dễ</t>
        </is>
      </c>
      <c r="I1913" s="390" t="inlineStr">
        <is>
          <t>Ngày, CTCK</t>
        </is>
      </c>
      <c r="J1913" s="401" t="inlineStr">
        <is>
          <t>SCMS</t>
        </is>
      </c>
      <c r="K1913" s="401" t="n"/>
      <c r="L1913" s="401" t="inlineStr">
        <is>
          <t>X</t>
        </is>
      </c>
      <c r="M1913" s="401" t="n"/>
      <c r="N1913" s="401" t="inlineStr">
        <is>
          <t>Done</t>
        </is>
      </c>
      <c r="O1913" s="401" t="n"/>
      <c r="P1913" s="22" t="n"/>
      <c r="S1913" s="22" t="n"/>
      <c r="U1913" s="16" t="n"/>
      <c r="V1913" s="22" t="n"/>
      <c r="W1913" s="22" t="n"/>
      <c r="X1913" s="22" t="n"/>
      <c r="Y1913" s="37" t="n"/>
      <c r="Z1913" s="22" t="n"/>
      <c r="AA1913" s="22" t="n"/>
      <c r="AB1913" s="22" t="n"/>
      <c r="AC1913" s="22" t="n"/>
      <c r="AD1913" s="22" t="n"/>
      <c r="AE1913" s="22" t="n"/>
    </row>
    <row r="1914" ht="56" customHeight="1" s="380">
      <c r="A1914" s="126" t="n">
        <v>93</v>
      </c>
      <c r="B1914" s="390" t="n"/>
      <c r="C1914" s="390" t="inlineStr">
        <is>
          <t>Báo cáo theo Thông tư 121/2020/TT-BTC &gt;&gt; Báo báo tài chính &gt;&gt; Báo cáo tình hình tài chính riêng</t>
        </is>
      </c>
      <c r="D1914" s="390" t="inlineStr">
        <is>
          <t>17.Các khoản phải trả, phải nộp khác ngắn hạn</t>
        </is>
      </c>
      <c r="E1914" s="401" t="n">
        <v>329</v>
      </c>
      <c r="F1914" s="390" t="inlineStr">
        <is>
          <t>Data Explorer</t>
        </is>
      </c>
      <c r="G1914" s="390" t="inlineStr">
        <is>
          <t>Chỉ tiêu cơ sở</t>
        </is>
      </c>
      <c r="H1914" s="390" t="inlineStr">
        <is>
          <t>Dễ</t>
        </is>
      </c>
      <c r="I1914" s="390" t="inlineStr">
        <is>
          <t>Ngày, CTCK</t>
        </is>
      </c>
      <c r="J1914" s="401" t="inlineStr">
        <is>
          <t>SCMS</t>
        </is>
      </c>
      <c r="K1914" s="401" t="n"/>
      <c r="L1914" s="401" t="inlineStr">
        <is>
          <t>X</t>
        </is>
      </c>
      <c r="M1914" s="401" t="n"/>
      <c r="N1914" s="401" t="inlineStr">
        <is>
          <t>Done</t>
        </is>
      </c>
      <c r="O1914" s="401" t="n"/>
      <c r="P1914" s="22" t="n"/>
      <c r="S1914" s="22" t="n"/>
      <c r="U1914" s="16" t="n"/>
      <c r="V1914" s="22" t="n"/>
      <c r="W1914" s="22" t="n"/>
      <c r="X1914" s="22" t="n"/>
      <c r="Y1914" s="395" t="n"/>
      <c r="Z1914" s="22" t="n"/>
      <c r="AA1914" s="22" t="n"/>
      <c r="AB1914" s="22" t="n"/>
      <c r="AC1914" s="22" t="n"/>
      <c r="AD1914" s="22" t="n"/>
      <c r="AE1914" s="22" t="n"/>
    </row>
    <row r="1915" ht="56" customHeight="1" s="380">
      <c r="A1915" s="126" t="n">
        <v>93</v>
      </c>
      <c r="B1915" s="390" t="n"/>
      <c r="C1915" s="390" t="inlineStr">
        <is>
          <t>Báo cáo theo Thông tư 121/2020/TT-BTC &gt;&gt; Báo báo tài chính &gt;&gt; Báo cáo tình hình tài chính riêng</t>
        </is>
      </c>
      <c r="D1915" s="390" t="inlineStr">
        <is>
          <t>18. Dự phòng phải trả ngắn hạn</t>
        </is>
      </c>
      <c r="E1915" s="401" t="n">
        <v>330</v>
      </c>
      <c r="F1915" s="390" t="inlineStr">
        <is>
          <t>Data Explorer</t>
        </is>
      </c>
      <c r="G1915" s="390" t="inlineStr">
        <is>
          <t>Chỉ tiêu cơ sở</t>
        </is>
      </c>
      <c r="H1915" s="390" t="inlineStr">
        <is>
          <t>Dễ</t>
        </is>
      </c>
      <c r="I1915" s="390" t="inlineStr">
        <is>
          <t>Ngày, CTCK</t>
        </is>
      </c>
      <c r="J1915" s="401" t="inlineStr">
        <is>
          <t>SCMS</t>
        </is>
      </c>
      <c r="K1915" s="401" t="n"/>
      <c r="L1915" s="401" t="inlineStr">
        <is>
          <t>X</t>
        </is>
      </c>
      <c r="M1915" s="401" t="n"/>
      <c r="N1915" s="401" t="inlineStr">
        <is>
          <t>Done</t>
        </is>
      </c>
      <c r="O1915" s="401" t="n"/>
      <c r="P1915" s="22" t="n"/>
      <c r="S1915" s="22" t="n"/>
      <c r="U1915" s="16" t="n"/>
      <c r="V1915" s="22" t="n"/>
      <c r="W1915" s="22" t="n"/>
      <c r="X1915" s="22" t="n"/>
      <c r="Y1915" s="395" t="n"/>
      <c r="Z1915" s="22" t="n"/>
      <c r="AA1915" s="22" t="n"/>
      <c r="AB1915" s="22" t="n"/>
      <c r="AC1915" s="22" t="n"/>
      <c r="AD1915" s="22" t="n"/>
      <c r="AE1915" s="22" t="n"/>
    </row>
    <row r="1916" ht="56" customHeight="1" s="380">
      <c r="A1916" s="126" t="n">
        <v>93</v>
      </c>
      <c r="B1916" s="390" t="n"/>
      <c r="C1916" s="390" t="inlineStr">
        <is>
          <t>Báo cáo theo Thông tư 121/2020/TT-BTC &gt;&gt; Báo báo tài chính &gt;&gt; Báo cáo tình hình tài chính riêng</t>
        </is>
      </c>
      <c r="D1916" s="390" t="inlineStr">
        <is>
          <t>19. Quỹ khen thưởng, phúc lợi</t>
        </is>
      </c>
      <c r="E1916" s="401" t="n">
        <v>331</v>
      </c>
      <c r="F1916" s="390" t="inlineStr">
        <is>
          <t>Data Explorer</t>
        </is>
      </c>
      <c r="G1916" s="390" t="inlineStr">
        <is>
          <t>Chỉ tiêu cơ sở</t>
        </is>
      </c>
      <c r="H1916" s="390" t="inlineStr">
        <is>
          <t>Dễ</t>
        </is>
      </c>
      <c r="I1916" s="390" t="inlineStr">
        <is>
          <t>Ngày, CTCK</t>
        </is>
      </c>
      <c r="J1916" s="401" t="inlineStr">
        <is>
          <t>SCMS</t>
        </is>
      </c>
      <c r="K1916" s="401" t="n"/>
      <c r="L1916" s="401" t="inlineStr">
        <is>
          <t>X</t>
        </is>
      </c>
      <c r="M1916" s="401" t="n"/>
      <c r="N1916" s="401" t="inlineStr">
        <is>
          <t>Done</t>
        </is>
      </c>
      <c r="O1916" s="401" t="n"/>
      <c r="P1916" s="22" t="n"/>
      <c r="S1916" s="22" t="n"/>
      <c r="U1916" s="16" t="n"/>
      <c r="V1916" s="22" t="n"/>
      <c r="W1916" s="22" t="n"/>
      <c r="X1916" s="22" t="n"/>
      <c r="Y1916" s="395" t="n"/>
      <c r="Z1916" s="22" t="n"/>
      <c r="AA1916" s="22" t="n"/>
      <c r="AB1916" s="22" t="n"/>
      <c r="AC1916" s="22" t="n"/>
      <c r="AD1916" s="22" t="n"/>
      <c r="AE1916" s="22" t="n"/>
    </row>
    <row r="1917" ht="56" customHeight="1" s="380">
      <c r="A1917" s="126" t="n">
        <v>93</v>
      </c>
      <c r="B1917" s="390" t="n"/>
      <c r="C1917" s="390" t="inlineStr">
        <is>
          <t>Báo cáo theo Thông tư 121/2020/TT-BTC &gt;&gt; Báo báo tài chính &gt;&gt; Báo cáo tình hình tài chính riêng</t>
        </is>
      </c>
      <c r="D1917" s="390" t="inlineStr">
        <is>
          <t>20. Giao dịch mua bán lại trái phiếu Chính phủ</t>
        </is>
      </c>
      <c r="E1917" s="401" t="n">
        <v>332</v>
      </c>
      <c r="F1917" s="390" t="inlineStr">
        <is>
          <t>Data Explorer</t>
        </is>
      </c>
      <c r="G1917" s="390" t="inlineStr">
        <is>
          <t>Chỉ tiêu cơ sở</t>
        </is>
      </c>
      <c r="H1917" s="390" t="inlineStr">
        <is>
          <t>Dễ</t>
        </is>
      </c>
      <c r="I1917" s="390" t="inlineStr">
        <is>
          <t>Ngày, CTCK</t>
        </is>
      </c>
      <c r="J1917" s="401" t="inlineStr">
        <is>
          <t>SCMS</t>
        </is>
      </c>
      <c r="K1917" s="401" t="n"/>
      <c r="L1917" s="401" t="inlineStr">
        <is>
          <t>X</t>
        </is>
      </c>
      <c r="M1917" s="401" t="n"/>
      <c r="N1917" s="401" t="inlineStr">
        <is>
          <t>Done</t>
        </is>
      </c>
      <c r="O1917" s="401" t="n"/>
      <c r="P1917" s="22" t="n"/>
      <c r="S1917" s="22" t="n"/>
      <c r="U1917" s="16" t="n"/>
      <c r="V1917" s="22" t="n"/>
      <c r="W1917" s="22" t="n"/>
      <c r="X1917" s="22" t="n"/>
      <c r="Y1917" s="395" t="n"/>
      <c r="Z1917" s="22" t="n"/>
      <c r="AA1917" s="22" t="n"/>
      <c r="AB1917" s="22" t="n"/>
      <c r="AC1917" s="22" t="n"/>
      <c r="AD1917" s="22" t="n"/>
      <c r="AE1917" s="22" t="n"/>
    </row>
    <row r="1918" ht="56" customHeight="1" s="380">
      <c r="A1918" s="126" t="n">
        <v>93</v>
      </c>
      <c r="B1918" s="390" t="n"/>
      <c r="C1918" s="390" t="inlineStr">
        <is>
          <t>Báo cáo theo Thông tư 121/2020/TT-BTC &gt;&gt; Báo báo tài chính &gt;&gt; Báo cáo tình hình tài chính riêng</t>
        </is>
      </c>
      <c r="D1918" s="132" t="inlineStr">
        <is>
          <t>II. Nợ phải trả dài hạn</t>
        </is>
      </c>
      <c r="E1918" s="133" t="n">
        <v>340</v>
      </c>
      <c r="F1918" s="390" t="inlineStr">
        <is>
          <t>Data Explorer</t>
        </is>
      </c>
      <c r="G1918" s="390" t="inlineStr">
        <is>
          <t>Chỉ tiêu cơ sở</t>
        </is>
      </c>
      <c r="H1918" s="390" t="inlineStr">
        <is>
          <t>Dễ</t>
        </is>
      </c>
      <c r="I1918" s="390" t="inlineStr">
        <is>
          <t>Ngày, CTCK</t>
        </is>
      </c>
      <c r="J1918" s="401" t="inlineStr">
        <is>
          <t>SCMS</t>
        </is>
      </c>
      <c r="K1918" s="401" t="n"/>
      <c r="L1918" s="401" t="inlineStr">
        <is>
          <t>X</t>
        </is>
      </c>
      <c r="M1918" s="401" t="n"/>
      <c r="N1918" s="401" t="inlineStr">
        <is>
          <t>Done</t>
        </is>
      </c>
      <c r="O1918" s="401" t="n"/>
      <c r="P1918" s="22" t="n"/>
      <c r="S1918" s="22" t="n"/>
      <c r="U1918" s="16" t="n"/>
      <c r="V1918" s="22" t="n"/>
      <c r="W1918" s="22" t="n"/>
      <c r="X1918" s="22" t="n"/>
      <c r="Y1918" s="395" t="n"/>
      <c r="Z1918" s="22" t="n"/>
      <c r="AA1918" s="22" t="n"/>
      <c r="AB1918" s="22" t="n"/>
      <c r="AC1918" s="22" t="n"/>
      <c r="AD1918" s="22" t="n"/>
      <c r="AE1918" s="22" t="n"/>
    </row>
    <row r="1919" ht="56" customHeight="1" s="380">
      <c r="A1919" s="126" t="n">
        <v>93</v>
      </c>
      <c r="B1919" s="390" t="n"/>
      <c r="C1919" s="390" t="inlineStr">
        <is>
          <t>Báo cáo theo Thông tư 121/2020/TT-BTC &gt;&gt; Báo báo tài chính &gt;&gt; Báo cáo tình hình tài chính riêng</t>
        </is>
      </c>
      <c r="D1919" s="390" t="inlineStr">
        <is>
          <t>1. Vay và nợ thuê tài chính dài hạn</t>
        </is>
      </c>
      <c r="E1919" s="401" t="n">
        <v>341</v>
      </c>
      <c r="F1919" s="390" t="inlineStr">
        <is>
          <t>Data Explorer</t>
        </is>
      </c>
      <c r="G1919" s="390" t="inlineStr">
        <is>
          <t>Chỉ tiêu cơ sở</t>
        </is>
      </c>
      <c r="H1919" s="390" t="inlineStr">
        <is>
          <t>Dễ</t>
        </is>
      </c>
      <c r="I1919" s="390" t="inlineStr">
        <is>
          <t>Ngày, CTCK</t>
        </is>
      </c>
      <c r="J1919" s="401" t="inlineStr">
        <is>
          <t>SCMS</t>
        </is>
      </c>
      <c r="K1919" s="401" t="n"/>
      <c r="L1919" s="401" t="inlineStr">
        <is>
          <t>X</t>
        </is>
      </c>
      <c r="M1919" s="401" t="n"/>
      <c r="N1919" s="401" t="inlineStr">
        <is>
          <t>Done</t>
        </is>
      </c>
      <c r="O1919" s="401" t="n"/>
      <c r="P1919" s="22" t="n"/>
      <c r="S1919" s="22" t="n"/>
      <c r="U1919" s="16" t="n"/>
      <c r="V1919" s="22" t="n"/>
      <c r="W1919" s="22" t="n"/>
      <c r="X1919" s="22" t="n"/>
      <c r="Y1919" s="395" t="n"/>
      <c r="Z1919" s="22" t="n"/>
      <c r="AA1919" s="22" t="n"/>
      <c r="AB1919" s="22" t="n"/>
      <c r="AC1919" s="22" t="n"/>
      <c r="AD1919" s="22" t="n"/>
      <c r="AE1919" s="22" t="n"/>
    </row>
    <row r="1920" ht="56" customHeight="1" s="380">
      <c r="A1920" s="126" t="n">
        <v>93</v>
      </c>
      <c r="B1920" s="390" t="n"/>
      <c r="C1920" s="390" t="inlineStr">
        <is>
          <t>Báo cáo theo Thông tư 121/2020/TT-BTC &gt;&gt; Báo báo tài chính &gt;&gt; Báo cáo tình hình tài chính riêng</t>
        </is>
      </c>
      <c r="D1920" s="390" t="inlineStr">
        <is>
          <t>1.1.Vay dài hạn</t>
        </is>
      </c>
      <c r="E1920" s="401" t="n">
        <v>342</v>
      </c>
      <c r="F1920" s="390" t="inlineStr">
        <is>
          <t>Data Explorer</t>
        </is>
      </c>
      <c r="G1920" s="390" t="inlineStr">
        <is>
          <t>Chỉ tiêu cơ sở</t>
        </is>
      </c>
      <c r="H1920" s="390" t="inlineStr">
        <is>
          <t>Dễ</t>
        </is>
      </c>
      <c r="I1920" s="390" t="inlineStr">
        <is>
          <t>Ngày, CTCK</t>
        </is>
      </c>
      <c r="J1920" s="401" t="inlineStr">
        <is>
          <t>SCMS</t>
        </is>
      </c>
      <c r="K1920" s="401" t="n"/>
      <c r="L1920" s="401" t="inlineStr">
        <is>
          <t>X</t>
        </is>
      </c>
      <c r="M1920" s="401" t="n"/>
      <c r="N1920" s="401" t="inlineStr">
        <is>
          <t>Done</t>
        </is>
      </c>
      <c r="O1920" s="401" t="n"/>
      <c r="P1920" s="22" t="n"/>
      <c r="S1920" s="22" t="n"/>
      <c r="U1920" s="16" t="n"/>
      <c r="V1920" s="22" t="n"/>
      <c r="W1920" s="22" t="n"/>
      <c r="X1920" s="22" t="n"/>
      <c r="Y1920" s="36" t="n"/>
      <c r="Z1920" s="22" t="n"/>
      <c r="AA1920" s="22" t="n"/>
      <c r="AB1920" s="22" t="n"/>
      <c r="AC1920" s="22" t="n"/>
      <c r="AD1920" s="22" t="n"/>
      <c r="AE1920" s="22" t="n"/>
    </row>
    <row r="1921" ht="56" customHeight="1" s="380">
      <c r="A1921" s="126" t="n">
        <v>93</v>
      </c>
      <c r="B1921" s="390" t="n"/>
      <c r="C1921" s="390" t="inlineStr">
        <is>
          <t>Báo cáo theo Thông tư 121/2020/TT-BTC &gt;&gt; Báo báo tài chính &gt;&gt; Báo cáo tình hình tài chính riêng</t>
        </is>
      </c>
      <c r="D1921" s="390" t="inlineStr">
        <is>
          <t>1.2. Nợ thuê tài chính dài hạn</t>
        </is>
      </c>
      <c r="E1921" s="401" t="n">
        <v>343</v>
      </c>
      <c r="F1921" s="390" t="inlineStr">
        <is>
          <t>Data Explorer</t>
        </is>
      </c>
      <c r="G1921" s="390" t="inlineStr">
        <is>
          <t>Chỉ tiêu cơ sở</t>
        </is>
      </c>
      <c r="H1921" s="390" t="inlineStr">
        <is>
          <t>Dễ</t>
        </is>
      </c>
      <c r="I1921" s="390" t="inlineStr">
        <is>
          <t>Ngày, CTCK</t>
        </is>
      </c>
      <c r="J1921" s="401" t="inlineStr">
        <is>
          <t>SCMS</t>
        </is>
      </c>
      <c r="K1921" s="401" t="n"/>
      <c r="L1921" s="401" t="inlineStr">
        <is>
          <t>X</t>
        </is>
      </c>
      <c r="M1921" s="401" t="n"/>
      <c r="N1921" s="401" t="inlineStr">
        <is>
          <t>Done</t>
        </is>
      </c>
      <c r="O1921" s="401" t="n"/>
      <c r="P1921" s="22" t="n"/>
      <c r="S1921" s="22" t="n"/>
      <c r="U1921" s="16" t="n"/>
      <c r="V1921" s="22" t="n"/>
      <c r="W1921" s="22" t="n"/>
      <c r="X1921" s="22" t="n"/>
      <c r="Y1921" s="395" t="n"/>
      <c r="Z1921" s="22" t="n"/>
      <c r="AA1921" s="22" t="n"/>
      <c r="AB1921" s="22" t="n"/>
      <c r="AC1921" s="22" t="n"/>
      <c r="AD1921" s="22" t="n"/>
      <c r="AE1921" s="22" t="n"/>
    </row>
    <row r="1922" ht="56" customHeight="1" s="380">
      <c r="A1922" s="126" t="n">
        <v>93</v>
      </c>
      <c r="B1922" s="390" t="n"/>
      <c r="C1922" s="390" t="inlineStr">
        <is>
          <t>Báo cáo theo Thông tư 121/2020/TT-BTC &gt;&gt; Báo báo tài chính &gt;&gt; Báo cáo tình hình tài chính riêng</t>
        </is>
      </c>
      <c r="D1922" s="390" t="inlineStr">
        <is>
          <t>2. Vay tài sản tài chính dài hạn</t>
        </is>
      </c>
      <c r="E1922" s="401" t="n">
        <v>344</v>
      </c>
      <c r="F1922" s="390" t="inlineStr">
        <is>
          <t>Data Explorer</t>
        </is>
      </c>
      <c r="G1922" s="390" t="inlineStr">
        <is>
          <t>Chỉ tiêu cơ sở</t>
        </is>
      </c>
      <c r="H1922" s="390" t="inlineStr">
        <is>
          <t>Dễ</t>
        </is>
      </c>
      <c r="I1922" s="390" t="inlineStr">
        <is>
          <t>Ngày, CTCK</t>
        </is>
      </c>
      <c r="J1922" s="401" t="inlineStr">
        <is>
          <t>SCMS</t>
        </is>
      </c>
      <c r="K1922" s="401" t="n"/>
      <c r="L1922" s="401" t="inlineStr">
        <is>
          <t>X</t>
        </is>
      </c>
      <c r="M1922" s="401" t="n"/>
      <c r="N1922" s="401" t="inlineStr">
        <is>
          <t>Done</t>
        </is>
      </c>
      <c r="O1922" s="401" t="n"/>
      <c r="P1922" s="22" t="n"/>
      <c r="S1922" s="22" t="n"/>
      <c r="U1922" s="16" t="n"/>
      <c r="V1922" s="22" t="n"/>
      <c r="W1922" s="22" t="n"/>
      <c r="X1922" s="22" t="n"/>
      <c r="Y1922" s="395" t="n"/>
      <c r="Z1922" s="22" t="n"/>
      <c r="AA1922" s="22" t="n"/>
      <c r="AB1922" s="22" t="n"/>
      <c r="AC1922" s="22" t="n"/>
      <c r="AD1922" s="22" t="n"/>
      <c r="AE1922" s="22" t="n"/>
    </row>
    <row r="1923" ht="56" customHeight="1" s="380">
      <c r="A1923" s="126" t="n">
        <v>93</v>
      </c>
      <c r="B1923" s="390" t="n"/>
      <c r="C1923" s="390" t="inlineStr">
        <is>
          <t>Báo cáo theo Thông tư 121/2020/TT-BTC &gt;&gt; Báo báo tài chính &gt;&gt; Báo cáo tình hình tài chính riêng</t>
        </is>
      </c>
      <c r="D1923" s="390" t="inlineStr">
        <is>
          <t>3.Trái phiếu chuyển đổi dài hạn - Cấu phần nợ</t>
        </is>
      </c>
      <c r="E1923" s="401" t="n">
        <v>345</v>
      </c>
      <c r="F1923" s="390" t="inlineStr">
        <is>
          <t>Data Explorer</t>
        </is>
      </c>
      <c r="G1923" s="390" t="inlineStr">
        <is>
          <t>Chỉ tiêu cơ sở</t>
        </is>
      </c>
      <c r="H1923" s="390" t="inlineStr">
        <is>
          <t>Dễ</t>
        </is>
      </c>
      <c r="I1923" s="390" t="inlineStr">
        <is>
          <t>Ngày, CTCK</t>
        </is>
      </c>
      <c r="J1923" s="401" t="inlineStr">
        <is>
          <t>SCMS</t>
        </is>
      </c>
      <c r="K1923" s="401" t="n"/>
      <c r="L1923" s="401" t="inlineStr">
        <is>
          <t>X</t>
        </is>
      </c>
      <c r="M1923" s="401" t="n"/>
      <c r="N1923" s="401" t="inlineStr">
        <is>
          <t>Done</t>
        </is>
      </c>
      <c r="O1923" s="401" t="n"/>
      <c r="P1923" s="22" t="n"/>
      <c r="S1923" s="22" t="n"/>
      <c r="U1923" s="16" t="n"/>
      <c r="V1923" s="22" t="n"/>
      <c r="W1923" s="22" t="n"/>
      <c r="X1923" s="22" t="n"/>
      <c r="Y1923" s="395" t="n"/>
      <c r="Z1923" s="22" t="n"/>
      <c r="AA1923" s="22" t="n"/>
      <c r="AB1923" s="22" t="n"/>
      <c r="AC1923" s="22" t="n"/>
      <c r="AD1923" s="22" t="n"/>
      <c r="AE1923" s="22" t="n"/>
    </row>
    <row r="1924" ht="56" customHeight="1" s="380">
      <c r="A1924" s="126" t="n">
        <v>93</v>
      </c>
      <c r="B1924" s="390" t="n"/>
      <c r="C1924" s="390" t="inlineStr">
        <is>
          <t>Báo cáo theo Thông tư 121/2020/TT-BTC &gt;&gt; Báo báo tài chính &gt;&gt; Báo cáo tình hình tài chính riêng</t>
        </is>
      </c>
      <c r="D1924" s="390" t="inlineStr">
        <is>
          <t>4.Trái phiếu phát hành dài hạn</t>
        </is>
      </c>
      <c r="E1924" s="401" t="n">
        <v>346</v>
      </c>
      <c r="F1924" s="390" t="inlineStr">
        <is>
          <t>Data Explorer</t>
        </is>
      </c>
      <c r="G1924" s="390" t="inlineStr">
        <is>
          <t>Chỉ tiêu cơ sở</t>
        </is>
      </c>
      <c r="H1924" s="390" t="inlineStr">
        <is>
          <t>Dễ</t>
        </is>
      </c>
      <c r="I1924" s="390" t="inlineStr">
        <is>
          <t>Ngày, CTCK</t>
        </is>
      </c>
      <c r="J1924" s="401" t="inlineStr">
        <is>
          <t>SCMS</t>
        </is>
      </c>
      <c r="K1924" s="401" t="n"/>
      <c r="L1924" s="401" t="inlineStr">
        <is>
          <t>X</t>
        </is>
      </c>
      <c r="M1924" s="401" t="n"/>
      <c r="N1924" s="401" t="inlineStr">
        <is>
          <t>Done</t>
        </is>
      </c>
      <c r="O1924" s="401" t="n"/>
      <c r="P1924" s="22" t="n"/>
      <c r="S1924" s="22" t="n"/>
      <c r="U1924" s="16" t="n"/>
      <c r="V1924" s="22" t="n"/>
      <c r="W1924" s="22" t="n"/>
      <c r="X1924" s="22" t="n"/>
      <c r="Y1924" s="395" t="n"/>
      <c r="Z1924" s="22" t="n"/>
      <c r="AA1924" s="22" t="n"/>
      <c r="AB1924" s="22" t="n"/>
      <c r="AC1924" s="22" t="n"/>
      <c r="AD1924" s="22" t="n"/>
      <c r="AE1924" s="22" t="n"/>
    </row>
    <row r="1925" ht="56" customHeight="1" s="380">
      <c r="A1925" s="126" t="n">
        <v>93</v>
      </c>
      <c r="B1925" s="390" t="n"/>
      <c r="C1925" s="390" t="inlineStr">
        <is>
          <t>Báo cáo theo Thông tư 121/2020/TT-BTC &gt;&gt; Báo báo tài chính &gt;&gt; Báo cáo tình hình tài chính riêng</t>
        </is>
      </c>
      <c r="D1925" s="390" t="inlineStr">
        <is>
          <t>5.  Phải trả người bán dài hạn</t>
        </is>
      </c>
      <c r="E1925" s="401" t="n">
        <v>347</v>
      </c>
      <c r="F1925" s="390" t="inlineStr">
        <is>
          <t>Data Explorer</t>
        </is>
      </c>
      <c r="G1925" s="390" t="inlineStr">
        <is>
          <t>Chỉ tiêu cơ sở</t>
        </is>
      </c>
      <c r="H1925" s="390" t="inlineStr">
        <is>
          <t>Dễ</t>
        </is>
      </c>
      <c r="I1925" s="390" t="inlineStr">
        <is>
          <t>Ngày, CTCK</t>
        </is>
      </c>
      <c r="J1925" s="401" t="inlineStr">
        <is>
          <t>SCMS</t>
        </is>
      </c>
      <c r="K1925" s="401" t="n"/>
      <c r="L1925" s="401" t="inlineStr">
        <is>
          <t>X</t>
        </is>
      </c>
      <c r="M1925" s="401" t="n"/>
      <c r="N1925" s="401" t="inlineStr">
        <is>
          <t>Done</t>
        </is>
      </c>
      <c r="O1925" s="401" t="n"/>
      <c r="P1925" s="22" t="n"/>
      <c r="S1925" s="22" t="n"/>
      <c r="U1925" s="16" t="n"/>
      <c r="V1925" s="22" t="n"/>
      <c r="W1925" s="22" t="n"/>
      <c r="X1925" s="22" t="n"/>
      <c r="Y1925" s="395" t="n"/>
      <c r="Z1925" s="22" t="n"/>
      <c r="AA1925" s="22" t="n"/>
      <c r="AB1925" s="22" t="n"/>
      <c r="AC1925" s="22" t="n"/>
      <c r="AD1925" s="22" t="n"/>
      <c r="AE1925" s="22" t="n"/>
    </row>
    <row r="1926" ht="56" customHeight="1" s="380">
      <c r="A1926" s="126" t="n">
        <v>93</v>
      </c>
      <c r="B1926" s="390" t="n"/>
      <c r="C1926" s="390" t="inlineStr">
        <is>
          <t>Báo cáo theo Thông tư 121/2020/TT-BTC &gt;&gt; Báo báo tài chính &gt;&gt; Báo cáo tình hình tài chính riêng</t>
        </is>
      </c>
      <c r="D1926" s="390" t="inlineStr">
        <is>
          <t>6. Người mua trả tiền trước dài hạn</t>
        </is>
      </c>
      <c r="E1926" s="401" t="n">
        <v>348</v>
      </c>
      <c r="F1926" s="390" t="inlineStr">
        <is>
          <t>Data Explorer</t>
        </is>
      </c>
      <c r="G1926" s="390" t="inlineStr">
        <is>
          <t>Chỉ tiêu cơ sở</t>
        </is>
      </c>
      <c r="H1926" s="390" t="inlineStr">
        <is>
          <t>Dễ</t>
        </is>
      </c>
      <c r="I1926" s="390" t="inlineStr">
        <is>
          <t>Ngày, CTCK</t>
        </is>
      </c>
      <c r="J1926" s="401" t="inlineStr">
        <is>
          <t>SCMS</t>
        </is>
      </c>
      <c r="K1926" s="401" t="n"/>
      <c r="L1926" s="401" t="inlineStr">
        <is>
          <t>X</t>
        </is>
      </c>
      <c r="M1926" s="401" t="n"/>
      <c r="N1926" s="401" t="inlineStr">
        <is>
          <t>Done</t>
        </is>
      </c>
      <c r="O1926" s="401" t="n"/>
      <c r="P1926" s="22" t="n"/>
      <c r="S1926" s="22" t="n"/>
      <c r="U1926" s="16" t="n"/>
      <c r="V1926" s="22" t="n"/>
      <c r="W1926" s="22" t="n"/>
      <c r="X1926" s="22" t="n"/>
      <c r="Y1926" s="395" t="n"/>
      <c r="Z1926" s="22" t="n"/>
      <c r="AA1926" s="22" t="n"/>
      <c r="AB1926" s="22" t="n"/>
      <c r="AC1926" s="22" t="n"/>
      <c r="AD1926" s="22" t="n"/>
      <c r="AE1926" s="22" t="n"/>
    </row>
    <row r="1927" ht="56" customHeight="1" s="380">
      <c r="A1927" s="126" t="n">
        <v>93</v>
      </c>
      <c r="B1927" s="390" t="n"/>
      <c r="C1927" s="390" t="inlineStr">
        <is>
          <t>Báo cáo theo Thông tư 121/2020/TT-BTC &gt;&gt; Báo báo tài chính &gt;&gt; Báo cáo tình hình tài chính riêng</t>
        </is>
      </c>
      <c r="D1927" s="390" t="inlineStr">
        <is>
          <t>7. Chi phí phải trả dài hạn</t>
        </is>
      </c>
      <c r="E1927" s="401" t="n">
        <v>349</v>
      </c>
      <c r="F1927" s="390" t="inlineStr">
        <is>
          <t>Data Explorer</t>
        </is>
      </c>
      <c r="G1927" s="390" t="inlineStr">
        <is>
          <t>Chỉ tiêu cơ sở</t>
        </is>
      </c>
      <c r="H1927" s="390" t="inlineStr">
        <is>
          <t>Dễ</t>
        </is>
      </c>
      <c r="I1927" s="390" t="inlineStr">
        <is>
          <t>Ngày, CTCK</t>
        </is>
      </c>
      <c r="J1927" s="401" t="inlineStr">
        <is>
          <t>SCMS</t>
        </is>
      </c>
      <c r="K1927" s="401" t="n"/>
      <c r="L1927" s="401" t="inlineStr">
        <is>
          <t>X</t>
        </is>
      </c>
      <c r="M1927" s="401" t="n"/>
      <c r="N1927" s="401" t="inlineStr">
        <is>
          <t>Done</t>
        </is>
      </c>
      <c r="O1927" s="401" t="n"/>
      <c r="P1927" s="22" t="n"/>
      <c r="S1927" s="22" t="n"/>
      <c r="U1927" s="16" t="n"/>
      <c r="V1927" s="22" t="n"/>
      <c r="W1927" s="22" t="n"/>
      <c r="X1927" s="22" t="n"/>
      <c r="Y1927" s="36" t="n"/>
      <c r="Z1927" s="22" t="n"/>
      <c r="AA1927" s="22" t="n"/>
      <c r="AB1927" s="22" t="n"/>
      <c r="AC1927" s="22" t="n"/>
      <c r="AD1927" s="22" t="n"/>
      <c r="AE1927" s="22" t="n"/>
    </row>
    <row r="1928" ht="56" customHeight="1" s="380">
      <c r="A1928" s="126" t="n">
        <v>93</v>
      </c>
      <c r="B1928" s="390" t="n"/>
      <c r="C1928" s="390" t="inlineStr">
        <is>
          <t>Báo cáo theo Thông tư 121/2020/TT-BTC &gt;&gt; Báo báo tài chính &gt;&gt; Báo cáo tình hình tài chính riêng</t>
        </is>
      </c>
      <c r="D1928" s="390" t="inlineStr">
        <is>
          <t>8. Phải trả nội bộ dài hạn</t>
        </is>
      </c>
      <c r="E1928" s="401" t="n">
        <v>350</v>
      </c>
      <c r="F1928" s="390" t="inlineStr">
        <is>
          <t>Data Explorer</t>
        </is>
      </c>
      <c r="G1928" s="390" t="inlineStr">
        <is>
          <t>Chỉ tiêu cơ sở</t>
        </is>
      </c>
      <c r="H1928" s="390" t="inlineStr">
        <is>
          <t>Dễ</t>
        </is>
      </c>
      <c r="I1928" s="390" t="inlineStr">
        <is>
          <t>Ngày, CTCK</t>
        </is>
      </c>
      <c r="J1928" s="401" t="inlineStr">
        <is>
          <t>SCMS</t>
        </is>
      </c>
      <c r="K1928" s="401" t="n"/>
      <c r="L1928" s="401" t="inlineStr">
        <is>
          <t>X</t>
        </is>
      </c>
      <c r="M1928" s="401" t="n"/>
      <c r="N1928" s="401" t="inlineStr">
        <is>
          <t>Done</t>
        </is>
      </c>
      <c r="O1928" s="401" t="n"/>
      <c r="P1928" s="22" t="n"/>
      <c r="S1928" s="22" t="n"/>
      <c r="U1928" s="16" t="n"/>
      <c r="V1928" s="22" t="n"/>
      <c r="W1928" s="22" t="n"/>
      <c r="X1928" s="22" t="n"/>
      <c r="Y1928" s="395" t="n"/>
      <c r="Z1928" s="22" t="n"/>
      <c r="AA1928" s="22" t="n"/>
      <c r="AB1928" s="22" t="n"/>
      <c r="AC1928" s="22" t="n"/>
      <c r="AD1928" s="22" t="n"/>
      <c r="AE1928" s="22" t="n"/>
    </row>
    <row r="1929" ht="56" customHeight="1" s="380">
      <c r="A1929" s="126" t="n">
        <v>93</v>
      </c>
      <c r="B1929" s="390" t="n"/>
      <c r="C1929" s="390" t="inlineStr">
        <is>
          <t>Báo cáo theo Thông tư 121/2020/TT-BTC &gt;&gt; Báo báo tài chính &gt;&gt; Báo cáo tình hình tài chính riêng</t>
        </is>
      </c>
      <c r="D1929" s="390" t="inlineStr">
        <is>
          <t>9. Doanh thu chưa thực hiện dài hạn</t>
        </is>
      </c>
      <c r="E1929" s="401" t="n">
        <v>351</v>
      </c>
      <c r="F1929" s="390" t="inlineStr">
        <is>
          <t>Data Explorer</t>
        </is>
      </c>
      <c r="G1929" s="390" t="inlineStr">
        <is>
          <t>Chỉ tiêu cơ sở</t>
        </is>
      </c>
      <c r="H1929" s="390" t="inlineStr">
        <is>
          <t>Dễ</t>
        </is>
      </c>
      <c r="I1929" s="390" t="inlineStr">
        <is>
          <t>Ngày, CTCK</t>
        </is>
      </c>
      <c r="J1929" s="401" t="inlineStr">
        <is>
          <t>SCMS</t>
        </is>
      </c>
      <c r="K1929" s="401" t="n"/>
      <c r="L1929" s="401" t="inlineStr">
        <is>
          <t>X</t>
        </is>
      </c>
      <c r="M1929" s="401" t="n"/>
      <c r="N1929" s="401" t="inlineStr">
        <is>
          <t>Done</t>
        </is>
      </c>
      <c r="O1929" s="401" t="n"/>
      <c r="P1929" s="22" t="n"/>
      <c r="S1929" s="22" t="n"/>
      <c r="U1929" s="16" t="n"/>
      <c r="V1929" s="22" t="n"/>
      <c r="W1929" s="22" t="n"/>
      <c r="X1929" s="22" t="n"/>
      <c r="Y1929" s="36" t="n"/>
      <c r="Z1929" s="22" t="n"/>
      <c r="AA1929" s="22" t="n"/>
      <c r="AB1929" s="22" t="n"/>
      <c r="AC1929" s="22" t="n"/>
      <c r="AD1929" s="22" t="n"/>
      <c r="AE1929" s="22" t="n"/>
    </row>
    <row r="1930" ht="56" customHeight="1" s="380">
      <c r="A1930" s="126" t="n">
        <v>93</v>
      </c>
      <c r="B1930" s="390" t="n"/>
      <c r="C1930" s="390" t="inlineStr">
        <is>
          <t>Báo cáo theo Thông tư 121/2020/TT-BTC &gt;&gt; Báo báo tài chính &gt;&gt; Báo cáo tình hình tài chính riêng</t>
        </is>
      </c>
      <c r="D1930" s="390" t="inlineStr">
        <is>
          <t>10. Nhận ký quỹ, ký cược dài hạn</t>
        </is>
      </c>
      <c r="E1930" s="401" t="n">
        <v>352</v>
      </c>
      <c r="F1930" s="390" t="inlineStr">
        <is>
          <t>Data Explorer</t>
        </is>
      </c>
      <c r="G1930" s="390" t="inlineStr">
        <is>
          <t>Chỉ tiêu cơ sở</t>
        </is>
      </c>
      <c r="H1930" s="390" t="inlineStr">
        <is>
          <t>Dễ</t>
        </is>
      </c>
      <c r="I1930" s="390" t="inlineStr">
        <is>
          <t>Ngày, CTCK</t>
        </is>
      </c>
      <c r="J1930" s="401" t="inlineStr">
        <is>
          <t>SCMS</t>
        </is>
      </c>
      <c r="K1930" s="401" t="n"/>
      <c r="L1930" s="401" t="inlineStr">
        <is>
          <t>X</t>
        </is>
      </c>
      <c r="M1930" s="401" t="n"/>
      <c r="N1930" s="401" t="inlineStr">
        <is>
          <t>Done</t>
        </is>
      </c>
      <c r="O1930" s="401" t="n"/>
      <c r="P1930" s="22" t="n"/>
      <c r="S1930" s="22" t="n"/>
      <c r="U1930" s="16" t="n"/>
      <c r="V1930" s="22" t="n"/>
      <c r="W1930" s="22" t="n"/>
      <c r="X1930" s="22" t="n"/>
      <c r="Y1930" s="395" t="n"/>
      <c r="Z1930" s="22" t="n"/>
      <c r="AA1930" s="22" t="n"/>
      <c r="AB1930" s="22" t="n"/>
      <c r="AC1930" s="22" t="n"/>
      <c r="AD1930" s="22" t="n"/>
      <c r="AE1930" s="22" t="n"/>
    </row>
    <row r="1931" ht="56" customHeight="1" s="380">
      <c r="A1931" s="126" t="n">
        <v>93</v>
      </c>
      <c r="B1931" s="390" t="n"/>
      <c r="C1931" s="390" t="inlineStr">
        <is>
          <t>Báo cáo theo Thông tư 121/2020/TT-BTC &gt;&gt; Báo báo tài chính &gt;&gt; Báo cáo tình hình tài chính riêng</t>
        </is>
      </c>
      <c r="D1931" s="390" t="inlineStr">
        <is>
          <t>11. Các khoản phải trả, phải nộp khác dài hạn</t>
        </is>
      </c>
      <c r="E1931" s="401" t="n">
        <v>353</v>
      </c>
      <c r="F1931" s="390" t="inlineStr">
        <is>
          <t>Data Explorer</t>
        </is>
      </c>
      <c r="G1931" s="390" t="inlineStr">
        <is>
          <t>Chỉ tiêu cơ sở</t>
        </is>
      </c>
      <c r="H1931" s="390" t="inlineStr">
        <is>
          <t>Dễ</t>
        </is>
      </c>
      <c r="I1931" s="390" t="inlineStr">
        <is>
          <t>Ngày, CTCK</t>
        </is>
      </c>
      <c r="J1931" s="401" t="inlineStr">
        <is>
          <t>SCMS</t>
        </is>
      </c>
      <c r="K1931" s="401" t="n"/>
      <c r="L1931" s="401" t="inlineStr">
        <is>
          <t>X</t>
        </is>
      </c>
      <c r="M1931" s="401" t="n"/>
      <c r="N1931" s="401" t="inlineStr">
        <is>
          <t>Done</t>
        </is>
      </c>
      <c r="O1931" s="401" t="n"/>
      <c r="P1931" s="22" t="n"/>
      <c r="S1931" s="22" t="n"/>
      <c r="U1931" s="16" t="n"/>
      <c r="V1931" s="22" t="n"/>
      <c r="W1931" s="22" t="n"/>
      <c r="X1931" s="22" t="n"/>
      <c r="Y1931" s="395" t="n"/>
      <c r="Z1931" s="22" t="n"/>
      <c r="AA1931" s="22" t="n"/>
      <c r="AB1931" s="22" t="n"/>
      <c r="AC1931" s="22" t="n"/>
      <c r="AD1931" s="22" t="n"/>
      <c r="AE1931" s="22" t="n"/>
    </row>
    <row r="1932" ht="56" customHeight="1" s="380">
      <c r="A1932" s="126" t="n">
        <v>93</v>
      </c>
      <c r="B1932" s="390" t="n"/>
      <c r="C1932" s="390" t="inlineStr">
        <is>
          <t>Báo cáo theo Thông tư 121/2020/TT-BTC &gt;&gt; Báo báo tài chính &gt;&gt; Báo cáo tình hình tài chính riêng</t>
        </is>
      </c>
      <c r="D1932" s="390" t="inlineStr">
        <is>
          <t>12. Dự phòng phải trả dài hạn</t>
        </is>
      </c>
      <c r="E1932" s="401" t="n">
        <v>354</v>
      </c>
      <c r="F1932" s="390" t="inlineStr">
        <is>
          <t>Data Explorer</t>
        </is>
      </c>
      <c r="G1932" s="390" t="inlineStr">
        <is>
          <t>Chỉ tiêu cơ sở</t>
        </is>
      </c>
      <c r="H1932" s="390" t="inlineStr">
        <is>
          <t>Dễ</t>
        </is>
      </c>
      <c r="I1932" s="390" t="inlineStr">
        <is>
          <t>Ngày, CTCK</t>
        </is>
      </c>
      <c r="J1932" s="401" t="inlineStr">
        <is>
          <t>SCMS</t>
        </is>
      </c>
      <c r="K1932" s="401" t="n"/>
      <c r="L1932" s="401" t="inlineStr">
        <is>
          <t>X</t>
        </is>
      </c>
      <c r="M1932" s="401" t="n"/>
      <c r="N1932" s="401" t="inlineStr">
        <is>
          <t>Done</t>
        </is>
      </c>
      <c r="O1932" s="401" t="n"/>
      <c r="P1932" s="22" t="n"/>
      <c r="S1932" s="22" t="n"/>
      <c r="U1932" s="16" t="n"/>
      <c r="V1932" s="22" t="n"/>
      <c r="W1932" s="22" t="n"/>
      <c r="X1932" s="22" t="n"/>
      <c r="Y1932" s="395" t="n"/>
      <c r="Z1932" s="22" t="n"/>
      <c r="AA1932" s="22" t="n"/>
      <c r="AB1932" s="22" t="n"/>
      <c r="AC1932" s="22" t="n"/>
      <c r="AD1932" s="22" t="n"/>
      <c r="AE1932" s="22" t="n"/>
    </row>
    <row r="1933" ht="56" customHeight="1" s="380">
      <c r="A1933" s="126" t="n">
        <v>93</v>
      </c>
      <c r="B1933" s="390" t="n"/>
      <c r="C1933" s="390" t="inlineStr">
        <is>
          <t>Báo cáo theo Thông tư 121/2020/TT-BTC &gt;&gt; Báo báo tài chính &gt;&gt; Báo cáo tình hình tài chính riêng</t>
        </is>
      </c>
      <c r="D1933" s="390" t="inlineStr">
        <is>
          <t>13. Quỹ bảo vệ Nhà đầu tư</t>
        </is>
      </c>
      <c r="E1933" s="401" t="n">
        <v>355</v>
      </c>
      <c r="F1933" s="390" t="inlineStr">
        <is>
          <t>Data Explorer</t>
        </is>
      </c>
      <c r="G1933" s="390" t="inlineStr">
        <is>
          <t>Chỉ tiêu cơ sở</t>
        </is>
      </c>
      <c r="H1933" s="390" t="inlineStr">
        <is>
          <t>Dễ</t>
        </is>
      </c>
      <c r="I1933" s="390" t="inlineStr">
        <is>
          <t>Ngày, CTCK</t>
        </is>
      </c>
      <c r="J1933" s="401" t="inlineStr">
        <is>
          <t>SCMS</t>
        </is>
      </c>
      <c r="K1933" s="401" t="n"/>
      <c r="L1933" s="401" t="inlineStr">
        <is>
          <t>X</t>
        </is>
      </c>
      <c r="M1933" s="401" t="n"/>
      <c r="N1933" s="401" t="inlineStr">
        <is>
          <t>Done</t>
        </is>
      </c>
      <c r="O1933" s="401" t="n"/>
      <c r="P1933" s="22" t="n"/>
      <c r="S1933" s="22" t="n"/>
      <c r="U1933" s="16" t="n"/>
      <c r="V1933" s="22" t="n"/>
      <c r="W1933" s="22" t="n"/>
      <c r="X1933" s="22" t="n"/>
      <c r="Y1933" s="395" t="n"/>
      <c r="Z1933" s="22" t="n"/>
      <c r="AA1933" s="22" t="n"/>
      <c r="AB1933" s="22" t="n"/>
      <c r="AC1933" s="22" t="n"/>
      <c r="AD1933" s="22" t="n"/>
      <c r="AE1933" s="22" t="n"/>
    </row>
    <row r="1934" ht="56" customHeight="1" s="380">
      <c r="A1934" s="126" t="n">
        <v>93</v>
      </c>
      <c r="B1934" s="390" t="n"/>
      <c r="C1934" s="390" t="inlineStr">
        <is>
          <t>Báo cáo theo Thông tư 121/2020/TT-BTC &gt;&gt; Báo báo tài chính &gt;&gt; Báo cáo tình hình tài chính riêng</t>
        </is>
      </c>
      <c r="D1934" s="390" t="inlineStr">
        <is>
          <t>14. Thuế thu nhập hoãn lại phải trả</t>
        </is>
      </c>
      <c r="E1934" s="401" t="n">
        <v>356</v>
      </c>
      <c r="F1934" s="390" t="inlineStr">
        <is>
          <t>Data Explorer</t>
        </is>
      </c>
      <c r="G1934" s="390" t="inlineStr">
        <is>
          <t>Chỉ tiêu cơ sở</t>
        </is>
      </c>
      <c r="H1934" s="390" t="inlineStr">
        <is>
          <t>Dễ</t>
        </is>
      </c>
      <c r="I1934" s="390" t="inlineStr">
        <is>
          <t>Ngày, CTCK</t>
        </is>
      </c>
      <c r="J1934" s="401" t="inlineStr">
        <is>
          <t>SCMS</t>
        </is>
      </c>
      <c r="K1934" s="401" t="n"/>
      <c r="L1934" s="401" t="inlineStr">
        <is>
          <t>X</t>
        </is>
      </c>
      <c r="M1934" s="401" t="n"/>
      <c r="N1934" s="401" t="inlineStr">
        <is>
          <t>Done</t>
        </is>
      </c>
      <c r="O1934" s="401" t="n"/>
      <c r="P1934" s="22" t="n"/>
      <c r="S1934" s="22" t="n"/>
      <c r="U1934" s="16" t="n"/>
      <c r="V1934" s="22" t="n"/>
      <c r="W1934" s="22" t="n"/>
      <c r="X1934" s="22" t="n"/>
      <c r="Y1934" s="36" t="n"/>
      <c r="Z1934" s="22" t="n"/>
      <c r="AA1934" s="22" t="n"/>
      <c r="AB1934" s="22" t="n"/>
      <c r="AC1934" s="22" t="n"/>
      <c r="AD1934" s="22" t="n"/>
      <c r="AE1934" s="22" t="n"/>
    </row>
    <row r="1935" ht="56" customHeight="1" s="380">
      <c r="A1935" s="126" t="n">
        <v>93</v>
      </c>
      <c r="B1935" s="390" t="n"/>
      <c r="C1935" s="390" t="inlineStr">
        <is>
          <t>Báo cáo theo Thông tư 121/2020/TT-BTC &gt;&gt; Báo báo tài chính &gt;&gt; Báo cáo tình hình tài chính riêng</t>
        </is>
      </c>
      <c r="D1935" s="390" t="inlineStr">
        <is>
          <t>15. Quỹ phát triển khoa học và công nghệ</t>
        </is>
      </c>
      <c r="E1935" s="401" t="n">
        <v>357</v>
      </c>
      <c r="F1935" s="390" t="inlineStr">
        <is>
          <t>Data Explorer</t>
        </is>
      </c>
      <c r="G1935" s="390" t="inlineStr">
        <is>
          <t>Chỉ tiêu cơ sở</t>
        </is>
      </c>
      <c r="H1935" s="390" t="inlineStr">
        <is>
          <t>Dễ</t>
        </is>
      </c>
      <c r="I1935" s="390" t="inlineStr">
        <is>
          <t>Ngày, CTCK</t>
        </is>
      </c>
      <c r="J1935" s="401" t="inlineStr">
        <is>
          <t>SCMS</t>
        </is>
      </c>
      <c r="K1935" s="401" t="n"/>
      <c r="L1935" s="401" t="inlineStr">
        <is>
          <t>X</t>
        </is>
      </c>
      <c r="M1935" s="401" t="n"/>
      <c r="N1935" s="401" t="inlineStr">
        <is>
          <t>Done</t>
        </is>
      </c>
      <c r="O1935" s="401" t="n"/>
      <c r="P1935" s="22" t="n"/>
      <c r="S1935" s="22" t="n"/>
      <c r="U1935" s="16" t="n"/>
      <c r="V1935" s="22" t="n"/>
      <c r="W1935" s="22" t="n"/>
      <c r="X1935" s="22" t="n"/>
      <c r="Y1935" s="37" t="n"/>
      <c r="Z1935" s="22" t="n"/>
      <c r="AA1935" s="22" t="n"/>
      <c r="AB1935" s="22" t="n"/>
      <c r="AC1935" s="22" t="n"/>
      <c r="AD1935" s="22" t="n"/>
      <c r="AE1935" s="22" t="n"/>
    </row>
    <row r="1936" ht="56" customHeight="1" s="380">
      <c r="A1936" s="126" t="n">
        <v>93</v>
      </c>
      <c r="B1936" s="390" t="n"/>
      <c r="C1936" s="390" t="inlineStr">
        <is>
          <t>Báo cáo theo Thông tư 121/2020/TT-BTC &gt;&gt; Báo báo tài chính &gt;&gt; Báo cáo tình hình tài chính riêng</t>
        </is>
      </c>
      <c r="D1936" s="132" t="inlineStr">
        <is>
          <t>D. VỐN CHỦ SỞ HỮU (400 = 410 + 420)</t>
        </is>
      </c>
      <c r="E1936" s="133" t="n">
        <v>400</v>
      </c>
      <c r="F1936" s="390" t="inlineStr">
        <is>
          <t>Data Explorer</t>
        </is>
      </c>
      <c r="G1936" s="390" t="inlineStr">
        <is>
          <t>Chỉ tiêu cơ sở</t>
        </is>
      </c>
      <c r="H1936" s="390" t="inlineStr">
        <is>
          <t>Dễ</t>
        </is>
      </c>
      <c r="I1936" s="390" t="inlineStr">
        <is>
          <t>Ngày, CTCK</t>
        </is>
      </c>
      <c r="J1936" s="401" t="inlineStr">
        <is>
          <t>SCMS</t>
        </is>
      </c>
      <c r="K1936" s="401" t="n"/>
      <c r="L1936" s="401" t="inlineStr">
        <is>
          <t>X</t>
        </is>
      </c>
      <c r="M1936" s="401" t="n"/>
      <c r="N1936" s="401" t="inlineStr">
        <is>
          <t>Done</t>
        </is>
      </c>
      <c r="O1936" s="401" t="n"/>
      <c r="P1936" s="22" t="n"/>
      <c r="S1936" s="22" t="n"/>
      <c r="U1936" s="16" t="n"/>
      <c r="V1936" s="22" t="n"/>
      <c r="W1936" s="22" t="n"/>
      <c r="X1936" s="22" t="n"/>
      <c r="Y1936" s="395" t="n"/>
      <c r="Z1936" s="22" t="n"/>
      <c r="AA1936" s="22" t="n"/>
      <c r="AB1936" s="22" t="n"/>
      <c r="AC1936" s="22" t="n"/>
      <c r="AD1936" s="22" t="n"/>
      <c r="AE1936" s="22" t="n"/>
    </row>
    <row r="1937" ht="56" customHeight="1" s="380">
      <c r="A1937" s="126" t="n">
        <v>93</v>
      </c>
      <c r="B1937" s="390" t="n"/>
      <c r="C1937" s="390" t="inlineStr">
        <is>
          <t>Báo cáo theo Thông tư 121/2020/TT-BTC &gt;&gt; Báo báo tài chính &gt;&gt; Báo cáo tình hình tài chính riêng</t>
        </is>
      </c>
      <c r="D1937" s="132" t="inlineStr">
        <is>
          <t>I. Vốn chủ sở hữu</t>
        </is>
      </c>
      <c r="E1937" s="133" t="n">
        <v>410</v>
      </c>
      <c r="F1937" s="390" t="inlineStr">
        <is>
          <t>Data Explorer</t>
        </is>
      </c>
      <c r="G1937" s="390" t="inlineStr">
        <is>
          <t>Chỉ tiêu cơ sở</t>
        </is>
      </c>
      <c r="H1937" s="390" t="inlineStr">
        <is>
          <t>Dễ</t>
        </is>
      </c>
      <c r="I1937" s="390" t="inlineStr">
        <is>
          <t>Ngày, CTCK</t>
        </is>
      </c>
      <c r="J1937" s="401" t="inlineStr">
        <is>
          <t>SCMS</t>
        </is>
      </c>
      <c r="K1937" s="401" t="n"/>
      <c r="L1937" s="401" t="inlineStr">
        <is>
          <t>X</t>
        </is>
      </c>
      <c r="M1937" s="401" t="n"/>
      <c r="N1937" s="401" t="inlineStr">
        <is>
          <t>Done</t>
        </is>
      </c>
      <c r="O1937" s="401" t="n"/>
      <c r="P1937" s="22" t="n"/>
      <c r="S1937" s="22" t="n"/>
      <c r="U1937" s="16" t="n"/>
      <c r="V1937" s="22" t="n"/>
      <c r="W1937" s="22" t="n"/>
      <c r="X1937" s="22" t="n"/>
      <c r="Y1937" s="395" t="n"/>
      <c r="Z1937" s="22" t="n"/>
      <c r="AA1937" s="22" t="n"/>
      <c r="AB1937" s="22" t="n"/>
      <c r="AC1937" s="22" t="n"/>
      <c r="AD1937" s="22" t="n"/>
      <c r="AE1937" s="22" t="n"/>
    </row>
    <row r="1938" ht="56" customHeight="1" s="380">
      <c r="A1938" s="126" t="n">
        <v>93</v>
      </c>
      <c r="B1938" s="390" t="n"/>
      <c r="C1938" s="390" t="inlineStr">
        <is>
          <t>Báo cáo theo Thông tư 121/2020/TT-BTC &gt;&gt; Báo báo tài chính &gt;&gt; Báo cáo tình hình tài chính riêng</t>
        </is>
      </c>
      <c r="D1938" s="390" t="inlineStr">
        <is>
          <t>1. Vốn đầu tư của chủ sở hữu</t>
        </is>
      </c>
      <c r="E1938" s="401" t="n">
        <v>411</v>
      </c>
      <c r="F1938" s="390" t="inlineStr">
        <is>
          <t>Data Explorer</t>
        </is>
      </c>
      <c r="G1938" s="390" t="inlineStr">
        <is>
          <t>Chỉ tiêu cơ sở</t>
        </is>
      </c>
      <c r="H1938" s="390" t="inlineStr">
        <is>
          <t>Dễ</t>
        </is>
      </c>
      <c r="I1938" s="390" t="inlineStr">
        <is>
          <t>Ngày, CTCK</t>
        </is>
      </c>
      <c r="J1938" s="401" t="inlineStr">
        <is>
          <t>SCMS</t>
        </is>
      </c>
      <c r="K1938" s="401" t="n"/>
      <c r="L1938" s="401" t="inlineStr">
        <is>
          <t>X</t>
        </is>
      </c>
      <c r="M1938" s="401" t="n"/>
      <c r="N1938" s="401" t="inlineStr">
        <is>
          <t>Done</t>
        </is>
      </c>
      <c r="O1938" s="401" t="n"/>
      <c r="P1938" s="22" t="n"/>
      <c r="S1938" s="22" t="n"/>
      <c r="U1938" s="16" t="n"/>
      <c r="V1938" s="22" t="n"/>
      <c r="W1938" s="22" t="n"/>
      <c r="X1938" s="22" t="n"/>
      <c r="Y1938" s="395" t="n"/>
      <c r="Z1938" s="22" t="n"/>
      <c r="AA1938" s="22" t="n"/>
      <c r="AB1938" s="22" t="n"/>
      <c r="AC1938" s="22" t="n"/>
      <c r="AD1938" s="22" t="n"/>
      <c r="AE1938" s="22" t="n"/>
    </row>
    <row r="1939" ht="56" customHeight="1" s="380">
      <c r="A1939" s="126" t="n">
        <v>93</v>
      </c>
      <c r="B1939" s="390" t="n"/>
      <c r="C1939" s="390" t="inlineStr">
        <is>
          <t>Báo cáo theo Thông tư 121/2020/TT-BTC &gt;&gt; Báo báo tài chính &gt;&gt; Báo cáo tình hình tài chính riêng</t>
        </is>
      </c>
      <c r="D1939" s="390" t="inlineStr">
        <is>
          <t>1.1. Vốn góp của chủ sở hữu</t>
        </is>
      </c>
      <c r="E1939" s="401" t="n">
        <v>411.1</v>
      </c>
      <c r="F1939" s="390" t="inlineStr">
        <is>
          <t>Data Explorer</t>
        </is>
      </c>
      <c r="G1939" s="390" t="inlineStr">
        <is>
          <t>Chỉ tiêu cơ sở</t>
        </is>
      </c>
      <c r="H1939" s="390" t="inlineStr">
        <is>
          <t>Dễ</t>
        </is>
      </c>
      <c r="I1939" s="390" t="inlineStr">
        <is>
          <t>Ngày, CTCK</t>
        </is>
      </c>
      <c r="J1939" s="401" t="inlineStr">
        <is>
          <t>SCMS</t>
        </is>
      </c>
      <c r="K1939" s="401" t="n"/>
      <c r="L1939" s="401" t="inlineStr">
        <is>
          <t>X</t>
        </is>
      </c>
      <c r="M1939" s="401" t="n"/>
      <c r="N1939" s="401" t="inlineStr">
        <is>
          <t>Done</t>
        </is>
      </c>
      <c r="O1939" s="401" t="n"/>
      <c r="P1939" s="22" t="n"/>
      <c r="S1939" s="22" t="n"/>
      <c r="U1939" s="16" t="n"/>
      <c r="V1939" s="22" t="n"/>
      <c r="W1939" s="22" t="n"/>
      <c r="X1939" s="22" t="n"/>
      <c r="Y1939" s="395" t="n"/>
      <c r="Z1939" s="22" t="n"/>
      <c r="AA1939" s="22" t="n"/>
      <c r="AB1939" s="22" t="n"/>
      <c r="AC1939" s="22" t="n"/>
      <c r="AD1939" s="22" t="n"/>
      <c r="AE1939" s="22" t="n"/>
    </row>
    <row r="1940" ht="56" customHeight="1" s="380">
      <c r="A1940" s="126" t="n">
        <v>93</v>
      </c>
      <c r="B1940" s="390" t="n"/>
      <c r="C1940" s="390" t="inlineStr">
        <is>
          <t>Báo cáo theo Thông tư 121/2020/TT-BTC &gt;&gt; Báo báo tài chính &gt;&gt; Báo cáo tình hình tài chính riêng</t>
        </is>
      </c>
      <c r="D1940" s="390" t="inlineStr">
        <is>
          <t>a. Cổ phiếu phổ thông có quyền biểu quyết</t>
        </is>
      </c>
      <c r="E1940" s="401" t="inlineStr">
        <is>
          <t xml:space="preserve">411.1a
</t>
        </is>
      </c>
      <c r="F1940" s="390" t="inlineStr">
        <is>
          <t>Data Explorer</t>
        </is>
      </c>
      <c r="G1940" s="390" t="inlineStr">
        <is>
          <t>Chỉ tiêu cơ sở</t>
        </is>
      </c>
      <c r="H1940" s="390" t="inlineStr">
        <is>
          <t>Dễ</t>
        </is>
      </c>
      <c r="I1940" s="390" t="inlineStr">
        <is>
          <t>Ngày, CTCK</t>
        </is>
      </c>
      <c r="J1940" s="401" t="inlineStr">
        <is>
          <t>SCMS</t>
        </is>
      </c>
      <c r="K1940" s="401" t="n"/>
      <c r="L1940" s="401" t="inlineStr">
        <is>
          <t>X</t>
        </is>
      </c>
      <c r="M1940" s="401" t="n"/>
      <c r="N1940" s="401" t="inlineStr">
        <is>
          <t>Done</t>
        </is>
      </c>
      <c r="O1940" s="401" t="n"/>
      <c r="P1940" s="22" t="n"/>
      <c r="S1940" s="22" t="n"/>
      <c r="U1940" s="16" t="n"/>
      <c r="V1940" s="22" t="n"/>
      <c r="W1940" s="22" t="n"/>
      <c r="X1940" s="22" t="n"/>
      <c r="Y1940" s="36" t="n"/>
      <c r="Z1940" s="22" t="n"/>
      <c r="AA1940" s="22" t="n"/>
      <c r="AB1940" s="22" t="n"/>
      <c r="AC1940" s="22" t="n"/>
      <c r="AD1940" s="22" t="n"/>
      <c r="AE1940" s="22" t="n"/>
    </row>
    <row r="1941" ht="56" customHeight="1" s="380">
      <c r="A1941" s="126" t="n">
        <v>93</v>
      </c>
      <c r="B1941" s="390" t="n"/>
      <c r="C1941" s="390" t="inlineStr">
        <is>
          <t>Báo cáo theo Thông tư 121/2020/TT-BTC &gt;&gt; Báo báo tài chính &gt;&gt; Báo cáo tình hình tài chính riêng</t>
        </is>
      </c>
      <c r="D1941" s="390" t="inlineStr">
        <is>
          <t>b. Cổ phiếu ưu đãi</t>
        </is>
      </c>
      <c r="E1941" s="401" t="inlineStr">
        <is>
          <t xml:space="preserve">411.1b
</t>
        </is>
      </c>
      <c r="F1941" s="390" t="inlineStr">
        <is>
          <t>Data Explorer</t>
        </is>
      </c>
      <c r="G1941" s="390" t="inlineStr">
        <is>
          <t>Chỉ tiêu cơ sở</t>
        </is>
      </c>
      <c r="H1941" s="390" t="inlineStr">
        <is>
          <t>Dễ</t>
        </is>
      </c>
      <c r="I1941" s="390" t="inlineStr">
        <is>
          <t>Ngày, CTCK</t>
        </is>
      </c>
      <c r="J1941" s="401" t="inlineStr">
        <is>
          <t>SCMS</t>
        </is>
      </c>
      <c r="K1941" s="401" t="n"/>
      <c r="L1941" s="401" t="inlineStr">
        <is>
          <t>X</t>
        </is>
      </c>
      <c r="M1941" s="401" t="n"/>
      <c r="N1941" s="401" t="inlineStr">
        <is>
          <t>Done</t>
        </is>
      </c>
      <c r="O1941" s="401" t="n"/>
      <c r="P1941" s="22" t="n"/>
      <c r="S1941" s="22" t="n"/>
      <c r="U1941" s="16" t="n"/>
      <c r="V1941" s="22" t="n"/>
      <c r="W1941" s="22" t="n"/>
      <c r="X1941" s="22" t="n"/>
      <c r="Y1941" s="36" t="n"/>
      <c r="Z1941" s="22" t="n"/>
      <c r="AA1941" s="22" t="n"/>
      <c r="AB1941" s="22" t="n"/>
      <c r="AC1941" s="22" t="n"/>
      <c r="AD1941" s="22" t="n"/>
      <c r="AE1941" s="22" t="n"/>
    </row>
    <row r="1942" ht="56" customHeight="1" s="380">
      <c r="A1942" s="126" t="n">
        <v>93</v>
      </c>
      <c r="B1942" s="390" t="n"/>
      <c r="C1942" s="390" t="inlineStr">
        <is>
          <t>Báo cáo theo Thông tư 121/2020/TT-BTC &gt;&gt; Báo báo tài chính &gt;&gt; Báo cáo tình hình tài chính riêng</t>
        </is>
      </c>
      <c r="D1942" s="390" t="inlineStr">
        <is>
          <t>1.2. Thặng dư vốn cổ phần</t>
        </is>
      </c>
      <c r="E1942" s="401" t="n">
        <v>411.2</v>
      </c>
      <c r="F1942" s="390" t="inlineStr">
        <is>
          <t>Data Explorer</t>
        </is>
      </c>
      <c r="G1942" s="390" t="inlineStr">
        <is>
          <t>Chỉ tiêu cơ sở</t>
        </is>
      </c>
      <c r="H1942" s="390" t="inlineStr">
        <is>
          <t>Dễ</t>
        </is>
      </c>
      <c r="I1942" s="390" t="inlineStr">
        <is>
          <t>Ngày, CTCK</t>
        </is>
      </c>
      <c r="J1942" s="401" t="inlineStr">
        <is>
          <t>SCMS</t>
        </is>
      </c>
      <c r="K1942" s="401" t="n"/>
      <c r="L1942" s="401" t="inlineStr">
        <is>
          <t>X</t>
        </is>
      </c>
      <c r="M1942" s="401" t="n"/>
      <c r="N1942" s="401" t="inlineStr">
        <is>
          <t>Done</t>
        </is>
      </c>
      <c r="O1942" s="401" t="n"/>
      <c r="P1942" s="22" t="n"/>
      <c r="S1942" s="22" t="n"/>
      <c r="U1942" s="16" t="n"/>
      <c r="V1942" s="22" t="n"/>
      <c r="W1942" s="22" t="n"/>
      <c r="X1942" s="22" t="n"/>
      <c r="Y1942" s="395" t="n"/>
      <c r="Z1942" s="22" t="n"/>
      <c r="AA1942" s="22" t="n"/>
      <c r="AB1942" s="22" t="n"/>
      <c r="AC1942" s="22" t="n"/>
      <c r="AD1942" s="22" t="n"/>
      <c r="AE1942" s="22" t="n"/>
    </row>
    <row r="1943" ht="56" customHeight="1" s="380">
      <c r="A1943" s="126" t="n">
        <v>93</v>
      </c>
      <c r="B1943" s="390" t="n"/>
      <c r="C1943" s="390" t="inlineStr">
        <is>
          <t>Báo cáo theo Thông tư 121/2020/TT-BTC &gt;&gt; Báo báo tài chính &gt;&gt; Báo cáo tình hình tài chính riêng</t>
        </is>
      </c>
      <c r="D1943" s="390" t="inlineStr">
        <is>
          <t>1.3. Quyền chọn chuyển đổi trái phiếu - Cấu phần vốn</t>
        </is>
      </c>
      <c r="E1943" s="401" t="n">
        <v>411.3</v>
      </c>
      <c r="F1943" s="390" t="inlineStr">
        <is>
          <t>Data Explorer</t>
        </is>
      </c>
      <c r="G1943" s="390" t="inlineStr">
        <is>
          <t>Chỉ tiêu cơ sở</t>
        </is>
      </c>
      <c r="H1943" s="390" t="inlineStr">
        <is>
          <t>Dễ</t>
        </is>
      </c>
      <c r="I1943" s="390" t="inlineStr">
        <is>
          <t>Ngày, CTCK</t>
        </is>
      </c>
      <c r="J1943" s="401" t="inlineStr">
        <is>
          <t>SCMS</t>
        </is>
      </c>
      <c r="K1943" s="401" t="n"/>
      <c r="L1943" s="401" t="inlineStr">
        <is>
          <t>X</t>
        </is>
      </c>
      <c r="M1943" s="401" t="n"/>
      <c r="N1943" s="401" t="inlineStr">
        <is>
          <t>Done</t>
        </is>
      </c>
      <c r="O1943" s="401" t="n"/>
      <c r="P1943" s="22" t="n"/>
      <c r="S1943" s="22" t="n"/>
      <c r="U1943" s="16" t="n"/>
      <c r="V1943" s="22" t="n"/>
      <c r="W1943" s="22" t="n"/>
      <c r="X1943" s="22" t="n"/>
      <c r="Y1943" s="395" t="n"/>
      <c r="Z1943" s="22" t="n"/>
      <c r="AA1943" s="22" t="n"/>
      <c r="AB1943" s="22" t="n"/>
      <c r="AC1943" s="22" t="n"/>
      <c r="AD1943" s="22" t="n"/>
      <c r="AE1943" s="22" t="n"/>
    </row>
    <row r="1944" ht="56" customHeight="1" s="380">
      <c r="A1944" s="126" t="n">
        <v>93</v>
      </c>
      <c r="B1944" s="390" t="n"/>
      <c r="C1944" s="390" t="inlineStr">
        <is>
          <t>Báo cáo theo Thông tư 121/2020/TT-BTC &gt;&gt; Báo báo tài chính &gt;&gt; Báo cáo tình hình tài chính riêng</t>
        </is>
      </c>
      <c r="D1944" s="390" t="inlineStr">
        <is>
          <t>1.4. Vốn khác của chủ sở hữu</t>
        </is>
      </c>
      <c r="E1944" s="401" t="n">
        <v>411.4</v>
      </c>
      <c r="F1944" s="390" t="inlineStr">
        <is>
          <t>Data Explorer</t>
        </is>
      </c>
      <c r="G1944" s="390" t="inlineStr">
        <is>
          <t>Chỉ tiêu cơ sở</t>
        </is>
      </c>
      <c r="H1944" s="390" t="inlineStr">
        <is>
          <t>Dễ</t>
        </is>
      </c>
      <c r="I1944" s="390" t="inlineStr">
        <is>
          <t>Ngày, CTCK</t>
        </is>
      </c>
      <c r="J1944" s="401" t="inlineStr">
        <is>
          <t>SCMS</t>
        </is>
      </c>
      <c r="K1944" s="401" t="n"/>
      <c r="L1944" s="401" t="inlineStr">
        <is>
          <t>X</t>
        </is>
      </c>
      <c r="M1944" s="401" t="n"/>
      <c r="N1944" s="401" t="inlineStr">
        <is>
          <t>Done</t>
        </is>
      </c>
      <c r="O1944" s="401" t="n"/>
      <c r="P1944" s="22" t="n"/>
      <c r="S1944" s="22" t="n"/>
      <c r="U1944" s="16" t="n"/>
      <c r="V1944" s="22" t="n"/>
      <c r="W1944" s="22" t="n"/>
      <c r="X1944" s="22" t="n"/>
      <c r="Y1944" s="395" t="n"/>
      <c r="Z1944" s="22" t="n"/>
      <c r="AA1944" s="22" t="n"/>
      <c r="AB1944" s="22" t="n"/>
      <c r="AC1944" s="22" t="n"/>
      <c r="AD1944" s="22" t="n"/>
      <c r="AE1944" s="22" t="n"/>
    </row>
    <row r="1945" ht="56" customHeight="1" s="380">
      <c r="A1945" s="126" t="n">
        <v>93</v>
      </c>
      <c r="B1945" s="390" t="n"/>
      <c r="C1945" s="390" t="inlineStr">
        <is>
          <t>Báo cáo theo Thông tư 121/2020/TT-BTC &gt;&gt; Báo báo tài chính &gt;&gt; Báo cáo tình hình tài chính riêng</t>
        </is>
      </c>
      <c r="D1945" s="390" t="inlineStr">
        <is>
          <t>1.5. Cổ phiếu quỹ (*)</t>
        </is>
      </c>
      <c r="E1945" s="401" t="n">
        <v>411.5</v>
      </c>
      <c r="F1945" s="390" t="inlineStr">
        <is>
          <t>Data Explorer</t>
        </is>
      </c>
      <c r="G1945" s="390" t="inlineStr">
        <is>
          <t>Chỉ tiêu cơ sở</t>
        </is>
      </c>
      <c r="H1945" s="390" t="inlineStr">
        <is>
          <t>Dễ</t>
        </is>
      </c>
      <c r="I1945" s="390" t="inlineStr">
        <is>
          <t>Ngày, CTCK</t>
        </is>
      </c>
      <c r="J1945" s="401" t="inlineStr">
        <is>
          <t>SCMS</t>
        </is>
      </c>
      <c r="K1945" s="401" t="n"/>
      <c r="L1945" s="401" t="inlineStr">
        <is>
          <t>X</t>
        </is>
      </c>
      <c r="M1945" s="401" t="n"/>
      <c r="N1945" s="401" t="inlineStr">
        <is>
          <t>Done</t>
        </is>
      </c>
      <c r="O1945" s="401" t="n"/>
      <c r="P1945" s="22" t="n"/>
      <c r="S1945" s="22" t="n"/>
      <c r="U1945" s="16" t="n"/>
      <c r="V1945" s="22" t="n"/>
      <c r="W1945" s="22" t="n"/>
      <c r="X1945" s="22" t="n"/>
      <c r="Y1945" s="395" t="n"/>
      <c r="Z1945" s="22" t="n"/>
      <c r="AA1945" s="22" t="n"/>
      <c r="AB1945" s="22" t="n"/>
      <c r="AC1945" s="22" t="n"/>
      <c r="AD1945" s="22" t="n"/>
      <c r="AE1945" s="22" t="n"/>
    </row>
    <row r="1946" ht="56" customHeight="1" s="380">
      <c r="A1946" s="126" t="n">
        <v>93</v>
      </c>
      <c r="B1946" s="390" t="n"/>
      <c r="C1946" s="390" t="inlineStr">
        <is>
          <t>Báo cáo theo Thông tư 121/2020/TT-BTC &gt;&gt; Báo báo tài chính &gt;&gt; Báo cáo tình hình tài chính riêng</t>
        </is>
      </c>
      <c r="D1946" s="390" t="inlineStr">
        <is>
          <t>2. Chênh lệch đánh giá tài sản theo giá trị hợp lý</t>
        </is>
      </c>
      <c r="E1946" s="401" t="n">
        <v>412</v>
      </c>
      <c r="F1946" s="390" t="inlineStr">
        <is>
          <t>Data Explorer</t>
        </is>
      </c>
      <c r="G1946" s="390" t="inlineStr">
        <is>
          <t>Chỉ tiêu cơ sở</t>
        </is>
      </c>
      <c r="H1946" s="390" t="inlineStr">
        <is>
          <t>Dễ</t>
        </is>
      </c>
      <c r="I1946" s="390" t="inlineStr">
        <is>
          <t>Ngày, CTCK</t>
        </is>
      </c>
      <c r="J1946" s="401" t="inlineStr">
        <is>
          <t>SCMS</t>
        </is>
      </c>
      <c r="K1946" s="401" t="n"/>
      <c r="L1946" s="401" t="inlineStr">
        <is>
          <t>X</t>
        </is>
      </c>
      <c r="M1946" s="401" t="n"/>
      <c r="N1946" s="401" t="inlineStr">
        <is>
          <t>Done</t>
        </is>
      </c>
      <c r="O1946" s="401" t="n"/>
      <c r="P1946" s="22" t="n"/>
      <c r="S1946" s="22" t="n"/>
      <c r="U1946" s="16" t="n"/>
      <c r="V1946" s="22" t="n"/>
      <c r="W1946" s="22" t="n"/>
      <c r="X1946" s="22" t="n"/>
      <c r="Y1946" s="37" t="n"/>
      <c r="Z1946" s="22" t="n"/>
      <c r="AA1946" s="22" t="n"/>
      <c r="AB1946" s="22" t="n"/>
      <c r="AC1946" s="22" t="n"/>
      <c r="AD1946" s="22" t="n"/>
      <c r="AE1946" s="22" t="n"/>
    </row>
    <row r="1947" ht="56" customHeight="1" s="380">
      <c r="A1947" s="126" t="n">
        <v>93</v>
      </c>
      <c r="B1947" s="390" t="n"/>
      <c r="C1947" s="390" t="inlineStr">
        <is>
          <t>Báo cáo theo Thông tư 121/2020/TT-BTC &gt;&gt; Báo báo tài chính &gt;&gt; Báo cáo tình hình tài chính riêng</t>
        </is>
      </c>
      <c r="D1947" s="390" t="inlineStr">
        <is>
          <t>3. Chênh lệch tỷ giá hối đoái</t>
        </is>
      </c>
      <c r="E1947" s="401" t="n">
        <v>413</v>
      </c>
      <c r="F1947" s="390" t="inlineStr">
        <is>
          <t>Data Explorer</t>
        </is>
      </c>
      <c r="G1947" s="390" t="inlineStr">
        <is>
          <t>Chỉ tiêu cơ sở</t>
        </is>
      </c>
      <c r="H1947" s="390" t="inlineStr">
        <is>
          <t>Dễ</t>
        </is>
      </c>
      <c r="I1947" s="390" t="inlineStr">
        <is>
          <t>Ngày, CTCK</t>
        </is>
      </c>
      <c r="J1947" s="401" t="inlineStr">
        <is>
          <t>SCMS</t>
        </is>
      </c>
      <c r="K1947" s="401" t="n"/>
      <c r="L1947" s="401" t="inlineStr">
        <is>
          <t>X</t>
        </is>
      </c>
      <c r="M1947" s="401" t="n"/>
      <c r="N1947" s="401" t="inlineStr">
        <is>
          <t>Done</t>
        </is>
      </c>
      <c r="O1947" s="401" t="n"/>
      <c r="P1947" s="22" t="n"/>
      <c r="S1947" s="22" t="n"/>
      <c r="U1947" s="16" t="n"/>
      <c r="V1947" s="22" t="n"/>
      <c r="W1947" s="22" t="n"/>
      <c r="X1947" s="22" t="n"/>
      <c r="Y1947" s="395" t="n"/>
      <c r="Z1947" s="22" t="n"/>
      <c r="AA1947" s="22" t="n"/>
      <c r="AB1947" s="22" t="n"/>
      <c r="AC1947" s="22" t="n"/>
      <c r="AD1947" s="22" t="n"/>
      <c r="AE1947" s="22" t="n"/>
    </row>
    <row r="1948" ht="56" customHeight="1" s="380">
      <c r="A1948" s="126" t="n">
        <v>93</v>
      </c>
      <c r="B1948" s="390" t="n"/>
      <c r="C1948" s="390" t="inlineStr">
        <is>
          <t>Báo cáo theo Thông tư 121/2020/TT-BTC &gt;&gt; Báo báo tài chính &gt;&gt; Báo cáo tình hình tài chính riêng</t>
        </is>
      </c>
      <c r="D1948" s="390" t="inlineStr">
        <is>
          <t>4. Quỹ dự trữ bổ sung vốn  điều lệ</t>
        </is>
      </c>
      <c r="E1948" s="401" t="n">
        <v>414</v>
      </c>
      <c r="F1948" s="390" t="inlineStr">
        <is>
          <t>Data Explorer</t>
        </is>
      </c>
      <c r="G1948" s="390" t="inlineStr">
        <is>
          <t>Chỉ tiêu cơ sở</t>
        </is>
      </c>
      <c r="H1948" s="390" t="inlineStr">
        <is>
          <t>Dễ</t>
        </is>
      </c>
      <c r="I1948" s="390" t="inlineStr">
        <is>
          <t>Ngày, CTCK</t>
        </is>
      </c>
      <c r="J1948" s="401" t="inlineStr">
        <is>
          <t>SCMS</t>
        </is>
      </c>
      <c r="K1948" s="401" t="n"/>
      <c r="L1948" s="401" t="inlineStr">
        <is>
          <t>X</t>
        </is>
      </c>
      <c r="M1948" s="401" t="n"/>
      <c r="N1948" s="401" t="inlineStr">
        <is>
          <t>Done</t>
        </is>
      </c>
      <c r="O1948" s="401" t="n"/>
      <c r="P1948" s="22" t="n"/>
      <c r="S1948" s="22" t="n"/>
      <c r="U1948" s="16" t="n"/>
      <c r="V1948" s="22" t="n"/>
      <c r="W1948" s="22" t="n"/>
      <c r="X1948" s="22" t="n"/>
      <c r="Y1948" s="13" t="n"/>
      <c r="Z1948" s="22" t="n"/>
      <c r="AA1948" s="22" t="n"/>
      <c r="AB1948" s="22" t="n"/>
      <c r="AC1948" s="22" t="n"/>
      <c r="AD1948" s="22" t="n"/>
      <c r="AE1948" s="22" t="n"/>
    </row>
    <row r="1949" ht="56" customHeight="1" s="380">
      <c r="A1949" s="126" t="n">
        <v>93</v>
      </c>
      <c r="B1949" s="390" t="n"/>
      <c r="C1949" s="390" t="inlineStr">
        <is>
          <t>Báo cáo theo Thông tư 121/2020/TT-BTC &gt;&gt; Báo báo tài chính &gt;&gt; Báo cáo tình hình tài chính riêng</t>
        </is>
      </c>
      <c r="D1949" s="390" t="inlineStr">
        <is>
          <t>5. Quỹ dự phòng tài chính và rủi ro nghiệp vụ</t>
        </is>
      </c>
      <c r="E1949" s="401" t="n">
        <v>415</v>
      </c>
      <c r="F1949" s="390" t="inlineStr">
        <is>
          <t>Data Explorer</t>
        </is>
      </c>
      <c r="G1949" s="390" t="inlineStr">
        <is>
          <t>Chỉ tiêu cơ sở</t>
        </is>
      </c>
      <c r="H1949" s="390" t="inlineStr">
        <is>
          <t>Dễ</t>
        </is>
      </c>
      <c r="I1949" s="390" t="inlineStr">
        <is>
          <t>Ngày, CTCK</t>
        </is>
      </c>
      <c r="J1949" s="401" t="inlineStr">
        <is>
          <t>SCMS</t>
        </is>
      </c>
      <c r="K1949" s="401" t="n"/>
      <c r="L1949" s="401" t="inlineStr">
        <is>
          <t>X</t>
        </is>
      </c>
      <c r="M1949" s="401" t="n"/>
      <c r="N1949" s="401" t="inlineStr">
        <is>
          <t>Done</t>
        </is>
      </c>
      <c r="O1949" s="401" t="n"/>
      <c r="P1949" s="22" t="n"/>
      <c r="S1949" s="22" t="n"/>
      <c r="U1949" s="16" t="n"/>
      <c r="V1949" s="22" t="n"/>
      <c r="W1949" s="22" t="n"/>
      <c r="X1949" s="22" t="n"/>
      <c r="Y1949" s="13" t="n"/>
      <c r="Z1949" s="22" t="n"/>
      <c r="AA1949" s="22" t="n"/>
      <c r="AB1949" s="22" t="n"/>
      <c r="AC1949" s="22" t="n"/>
      <c r="AD1949" s="22" t="n"/>
      <c r="AE1949" s="22" t="n"/>
    </row>
    <row r="1950" ht="56" customHeight="1" s="380">
      <c r="A1950" s="126" t="n">
        <v>93</v>
      </c>
      <c r="B1950" s="390" t="n"/>
      <c r="C1950" s="390" t="inlineStr">
        <is>
          <t>Báo cáo theo Thông tư 121/2020/TT-BTC &gt;&gt; Báo báo tài chính &gt;&gt; Báo cáo tình hình tài chính riêng</t>
        </is>
      </c>
      <c r="D1950" s="390" t="inlineStr">
        <is>
          <t>6. Các Quỹ khác thuộc vốn chủ sở hữu</t>
        </is>
      </c>
      <c r="E1950" s="401" t="n">
        <v>416</v>
      </c>
      <c r="F1950" s="390" t="inlineStr">
        <is>
          <t>Data Explorer</t>
        </is>
      </c>
      <c r="G1950" s="390" t="inlineStr">
        <is>
          <t>Chỉ tiêu cơ sở</t>
        </is>
      </c>
      <c r="H1950" s="390" t="inlineStr">
        <is>
          <t>Dễ</t>
        </is>
      </c>
      <c r="I1950" s="390" t="inlineStr">
        <is>
          <t>Ngày, CTCK</t>
        </is>
      </c>
      <c r="J1950" s="401" t="inlineStr">
        <is>
          <t>SCMS</t>
        </is>
      </c>
      <c r="K1950" s="401" t="n"/>
      <c r="L1950" s="401" t="inlineStr">
        <is>
          <t>X</t>
        </is>
      </c>
      <c r="M1950" s="401" t="n"/>
      <c r="N1950" s="401" t="inlineStr">
        <is>
          <t>Done</t>
        </is>
      </c>
      <c r="O1950" s="401" t="n"/>
      <c r="P1950" s="22" t="n"/>
      <c r="S1950" s="22" t="n"/>
      <c r="U1950" s="16" t="n"/>
      <c r="V1950" s="22" t="n"/>
      <c r="W1950" s="22" t="n"/>
      <c r="X1950" s="22" t="n"/>
      <c r="Y1950" s="13" t="n"/>
      <c r="Z1950" s="22" t="n"/>
      <c r="AA1950" s="22" t="n"/>
      <c r="AB1950" s="22" t="n"/>
      <c r="AC1950" s="22" t="n"/>
      <c r="AD1950" s="22" t="n"/>
      <c r="AE1950" s="22" t="n"/>
    </row>
    <row r="1951" ht="56" customHeight="1" s="380">
      <c r="A1951" s="126" t="n">
        <v>93</v>
      </c>
      <c r="B1951" s="390" t="n"/>
      <c r="C1951" s="390" t="inlineStr">
        <is>
          <t>Báo cáo theo Thông tư 121/2020/TT-BTC &gt;&gt; Báo báo tài chính &gt;&gt; Báo cáo tình hình tài chính riêng</t>
        </is>
      </c>
      <c r="D1951" s="390" t="inlineStr">
        <is>
          <t>7. Lợi nhuận chưa phân phối</t>
        </is>
      </c>
      <c r="E1951" s="401" t="n">
        <v>417</v>
      </c>
      <c r="F1951" s="390" t="inlineStr">
        <is>
          <t>Data Explorer</t>
        </is>
      </c>
      <c r="G1951" s="390" t="inlineStr">
        <is>
          <t>Chỉ tiêu cơ sở</t>
        </is>
      </c>
      <c r="H1951" s="390" t="inlineStr">
        <is>
          <t>Dễ</t>
        </is>
      </c>
      <c r="I1951" s="390" t="inlineStr">
        <is>
          <t>Ngày, CTCK</t>
        </is>
      </c>
      <c r="J1951" s="401" t="inlineStr">
        <is>
          <t>SCMS</t>
        </is>
      </c>
      <c r="K1951" s="401" t="n"/>
      <c r="L1951" s="401" t="inlineStr">
        <is>
          <t>X</t>
        </is>
      </c>
      <c r="M1951" s="401" t="n"/>
      <c r="N1951" s="401" t="inlineStr">
        <is>
          <t>Done</t>
        </is>
      </c>
      <c r="O1951" s="401" t="n"/>
      <c r="P1951" s="22" t="n"/>
      <c r="S1951" s="22" t="n"/>
      <c r="U1951" s="16" t="n"/>
      <c r="V1951" s="22" t="n"/>
      <c r="W1951" s="22" t="n"/>
      <c r="X1951" s="22" t="n"/>
      <c r="Y1951" s="13" t="n"/>
      <c r="Z1951" s="22" t="n"/>
      <c r="AA1951" s="22" t="n"/>
      <c r="AB1951" s="22" t="n"/>
      <c r="AC1951" s="22" t="n"/>
      <c r="AD1951" s="22" t="n"/>
      <c r="AE1951" s="22" t="n"/>
    </row>
    <row r="1952" ht="56" customHeight="1" s="380">
      <c r="A1952" s="126" t="n">
        <v>93</v>
      </c>
      <c r="B1952" s="390" t="n"/>
      <c r="C1952" s="390" t="inlineStr">
        <is>
          <t>Báo cáo theo Thông tư 121/2020/TT-BTC &gt;&gt; Báo báo tài chính &gt;&gt; Báo cáo tình hình tài chính riêng</t>
        </is>
      </c>
      <c r="D1952" s="390" t="inlineStr">
        <is>
          <t>7.1. Lợi nhuận sau thuế đã thực hiện</t>
        </is>
      </c>
      <c r="E1952" s="401" t="n">
        <v>417.1</v>
      </c>
      <c r="F1952" s="390" t="inlineStr">
        <is>
          <t>Data Explorer</t>
        </is>
      </c>
      <c r="G1952" s="390" t="inlineStr">
        <is>
          <t>Chỉ tiêu cơ sở</t>
        </is>
      </c>
      <c r="H1952" s="390" t="inlineStr">
        <is>
          <t>Dễ</t>
        </is>
      </c>
      <c r="I1952" s="390" t="inlineStr">
        <is>
          <t>Ngày, CTCK</t>
        </is>
      </c>
      <c r="J1952" s="401" t="inlineStr">
        <is>
          <t>SCMS</t>
        </is>
      </c>
      <c r="K1952" s="401" t="n"/>
      <c r="L1952" s="401" t="inlineStr">
        <is>
          <t>X</t>
        </is>
      </c>
      <c r="M1952" s="401" t="n"/>
      <c r="N1952" s="401" t="inlineStr">
        <is>
          <t>Done</t>
        </is>
      </c>
      <c r="O1952" s="401" t="n"/>
      <c r="P1952" s="22" t="n"/>
      <c r="S1952" s="22" t="n"/>
      <c r="U1952" s="16" t="n"/>
      <c r="V1952" s="22" t="n"/>
      <c r="W1952" s="22" t="n"/>
      <c r="X1952" s="22" t="n"/>
      <c r="Y1952" s="13" t="n"/>
      <c r="Z1952" s="22" t="n"/>
      <c r="AA1952" s="22" t="n"/>
      <c r="AB1952" s="22" t="n"/>
      <c r="AC1952" s="22" t="n"/>
      <c r="AD1952" s="22" t="n"/>
      <c r="AE1952" s="22" t="n"/>
    </row>
    <row r="1953" ht="56" customHeight="1" s="380">
      <c r="A1953" s="126" t="n">
        <v>93</v>
      </c>
      <c r="B1953" s="390" t="n"/>
      <c r="C1953" s="390" t="inlineStr">
        <is>
          <t>Báo cáo theo Thông tư 121/2020/TT-BTC &gt;&gt; Báo báo tài chính &gt;&gt; Báo cáo tình hình tài chính riêng</t>
        </is>
      </c>
      <c r="D1953" s="390" t="inlineStr">
        <is>
          <t>7.2. Lợi nhuận chưa thực hiện</t>
        </is>
      </c>
      <c r="E1953" s="401" t="n">
        <v>417.2</v>
      </c>
      <c r="F1953" s="390" t="inlineStr">
        <is>
          <t>Data Explorer</t>
        </is>
      </c>
      <c r="G1953" s="390" t="inlineStr">
        <is>
          <t>Chỉ tiêu cơ sở</t>
        </is>
      </c>
      <c r="H1953" s="390" t="inlineStr">
        <is>
          <t>Dễ</t>
        </is>
      </c>
      <c r="I1953" s="390" t="inlineStr">
        <is>
          <t>Ngày, CTCK</t>
        </is>
      </c>
      <c r="J1953" s="401" t="inlineStr">
        <is>
          <t>SCMS</t>
        </is>
      </c>
      <c r="K1953" s="401" t="n"/>
      <c r="L1953" s="401" t="inlineStr">
        <is>
          <t>X</t>
        </is>
      </c>
      <c r="M1953" s="401" t="n"/>
      <c r="N1953" s="401" t="inlineStr">
        <is>
          <t>Done</t>
        </is>
      </c>
      <c r="O1953" s="401" t="n"/>
      <c r="P1953" s="22" t="n"/>
      <c r="S1953" s="22" t="n"/>
      <c r="U1953" s="16" t="n"/>
      <c r="V1953" s="22" t="n"/>
      <c r="W1953" s="22" t="n"/>
      <c r="X1953" s="22" t="n"/>
      <c r="Y1953" s="13" t="n"/>
      <c r="Z1953" s="22" t="n"/>
      <c r="AA1953" s="22" t="n"/>
      <c r="AB1953" s="22" t="n"/>
      <c r="AC1953" s="22" t="n"/>
      <c r="AD1953" s="22" t="n"/>
      <c r="AE1953" s="22" t="n"/>
    </row>
    <row r="1954" ht="56" customHeight="1" s="380">
      <c r="A1954" s="126" t="n">
        <v>93</v>
      </c>
      <c r="B1954" s="390" t="n"/>
      <c r="C1954" s="390" t="inlineStr">
        <is>
          <t>Báo cáo theo Thông tư 121/2020/TT-BTC &gt;&gt; Báo báo tài chính &gt;&gt; Báo cáo tình hình tài chính riêng</t>
        </is>
      </c>
      <c r="D1954" s="132" t="inlineStr">
        <is>
          <t>II. Nguồn kinh phí và quỹ khác</t>
        </is>
      </c>
      <c r="E1954" s="133" t="n">
        <v>420</v>
      </c>
      <c r="F1954" s="390" t="inlineStr">
        <is>
          <t>Data Explorer</t>
        </is>
      </c>
      <c r="G1954" s="390" t="inlineStr">
        <is>
          <t>Chỉ tiêu cơ sở</t>
        </is>
      </c>
      <c r="H1954" s="390" t="inlineStr">
        <is>
          <t>Dễ</t>
        </is>
      </c>
      <c r="I1954" s="390" t="inlineStr">
        <is>
          <t>Ngày, CTCK</t>
        </is>
      </c>
      <c r="J1954" s="401" t="inlineStr">
        <is>
          <t>SCMS</t>
        </is>
      </c>
      <c r="K1954" s="401" t="n"/>
      <c r="L1954" s="401" t="inlineStr">
        <is>
          <t>X</t>
        </is>
      </c>
      <c r="M1954" s="401" t="n"/>
      <c r="N1954" s="401" t="inlineStr">
        <is>
          <t>Done</t>
        </is>
      </c>
      <c r="O1954" s="401" t="n"/>
      <c r="P1954" s="22" t="n"/>
      <c r="S1954" s="22" t="n"/>
      <c r="U1954" s="16" t="n"/>
      <c r="V1954" s="22" t="n"/>
      <c r="W1954" s="22" t="n"/>
      <c r="X1954" s="22" t="n"/>
      <c r="Y1954" s="13" t="n"/>
      <c r="Z1954" s="22" t="n"/>
      <c r="AA1954" s="22" t="n"/>
      <c r="AB1954" s="22" t="n"/>
      <c r="AC1954" s="22" t="n"/>
      <c r="AD1954" s="22" t="n"/>
      <c r="AE1954" s="22" t="n"/>
    </row>
    <row r="1955" ht="56" customHeight="1" s="380">
      <c r="A1955" s="128" t="n">
        <v>93</v>
      </c>
      <c r="B1955" s="129" t="n"/>
      <c r="C1955" s="129" t="inlineStr">
        <is>
          <t>Báo cáo theo Thông tư 121/2020/TT-BTC &gt;&gt; Báo báo tài chính &gt;&gt; Báo cáo tình hình tài chính riêng</t>
        </is>
      </c>
      <c r="D1955" s="134" t="inlineStr">
        <is>
          <t>TỔNG CỘNG NỢ  VÀ VỐN CHỦ SỞ HỮU (440 = 300 + 400)</t>
        </is>
      </c>
      <c r="E1955" s="135" t="n">
        <v>440</v>
      </c>
      <c r="F1955" s="129" t="inlineStr">
        <is>
          <t>Data Explorer</t>
        </is>
      </c>
      <c r="G1955" s="129" t="inlineStr">
        <is>
          <t>Chỉ tiêu cơ sở</t>
        </is>
      </c>
      <c r="H1955" s="129" t="inlineStr">
        <is>
          <t>Dễ</t>
        </is>
      </c>
      <c r="I1955" s="129" t="inlineStr">
        <is>
          <t>Ngày, CTCK</t>
        </is>
      </c>
      <c r="J1955" s="85" t="inlineStr">
        <is>
          <t>SCMS</t>
        </is>
      </c>
      <c r="K1955" s="85" t="n"/>
      <c r="L1955" s="85" t="inlineStr">
        <is>
          <t>X</t>
        </is>
      </c>
      <c r="M1955" s="85" t="n"/>
      <c r="N1955" s="85" t="inlineStr">
        <is>
          <t>Done</t>
        </is>
      </c>
      <c r="O1955" s="85" t="n"/>
      <c r="P1955" s="130" t="n"/>
      <c r="Q1955" s="426" t="n"/>
      <c r="R1955" s="426" t="n"/>
      <c r="S1955" s="130" t="n"/>
      <c r="T1955" s="426" t="n"/>
      <c r="U1955" s="131" t="n"/>
      <c r="V1955" s="130" t="n"/>
      <c r="W1955" s="130" t="n"/>
      <c r="X1955" s="130" t="n"/>
      <c r="Y1955" s="97" t="n"/>
      <c r="Z1955" s="130" t="n"/>
      <c r="AA1955" s="130" t="n"/>
      <c r="AB1955" s="130" t="n"/>
      <c r="AC1955" s="130" t="n"/>
      <c r="AD1955" s="130" t="n"/>
      <c r="AE1955" s="130" t="n"/>
    </row>
    <row r="1956" ht="70" customHeight="1" s="380">
      <c r="A1956" s="126" t="n">
        <v>94</v>
      </c>
      <c r="B1956" s="122" t="inlineStr">
        <is>
          <t>Nga</t>
        </is>
      </c>
      <c r="C1956" s="127" t="inlineStr">
        <is>
          <t>Báo cáo theo Thông tư 121/2020/TT-BTC &gt;&gt; Báo báo tài chính &gt;&gt; Các chỉ tiêu ngoài báo cáo tình hình tài chính riêng</t>
        </is>
      </c>
      <c r="D1956" s="106" t="inlineStr">
        <is>
          <t>Loại báo cáo</t>
        </is>
      </c>
      <c r="E1956" s="107" t="inlineStr">
        <is>
          <t>Loại báo cáo</t>
        </is>
      </c>
      <c r="F1956" s="390" t="inlineStr">
        <is>
          <t>Data Explorer</t>
        </is>
      </c>
      <c r="G1956" s="390" t="inlineStr">
        <is>
          <t>Chiều</t>
        </is>
      </c>
      <c r="H1956" s="390" t="inlineStr">
        <is>
          <t>Dễ</t>
        </is>
      </c>
      <c r="I1956" s="390" t="inlineStr">
        <is>
          <t>Ngày, CTCK</t>
        </is>
      </c>
      <c r="J1956" s="401" t="inlineStr">
        <is>
          <t>SCMS</t>
        </is>
      </c>
      <c r="K1956" s="401" t="inlineStr">
        <is>
          <t>X</t>
        </is>
      </c>
      <c r="L1956" s="401" t="inlineStr">
        <is>
          <t>X</t>
        </is>
      </c>
      <c r="M1956" s="401" t="n"/>
      <c r="N1956" s="401" t="inlineStr">
        <is>
          <t>Done</t>
        </is>
      </c>
      <c r="O1956" s="401" t="n"/>
      <c r="P1956" s="22" t="n"/>
      <c r="Q1956" s="404" t="inlineStr">
        <is>
          <t>SCMS.BM_BAO_CAO
SCMS.BM_BAO_CAO_DINH_KY</t>
        </is>
      </c>
      <c r="R1956" s="404" t="inlineStr">
        <is>
          <t>bm.ID,
bm.MA_BAO_CAO,
bm.LOAI_BAO_CAO,
bm.TEN_BAO_CAO,
bm.SU_DUNG,
bdk.BM_BAO_CAO_ID,
bdk.KY_BAO_CAO,
bdk.SU_DUNG</t>
        </is>
      </c>
      <c r="S1956" s="22" t="n"/>
      <c r="T1956" s="389"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U1956" s="16" t="n"/>
      <c r="V1956" s="22" t="n"/>
      <c r="W1956" s="22" t="n"/>
      <c r="X1956" s="22" t="n"/>
      <c r="Y1956" s="13" t="n"/>
      <c r="Z1956" s="22" t="n"/>
      <c r="AA1956" s="22" t="n"/>
      <c r="AB1956" s="22" t="n"/>
      <c r="AC1956" s="22" t="n"/>
      <c r="AD1956" s="22" t="n"/>
      <c r="AE1956" s="22" t="n"/>
    </row>
    <row r="1957" ht="70" customHeight="1" s="380">
      <c r="A1957" s="126" t="n">
        <v>94</v>
      </c>
      <c r="B1957" s="390" t="n"/>
      <c r="C1957" s="390" t="inlineStr">
        <is>
          <t>Báo cáo theo Thông tư 121/2020/TT-BTC &gt;&gt; Báo báo tài chính &gt;&gt; Các chỉ tiêu ngoài báo cáo tình hình tài chính riêng</t>
        </is>
      </c>
      <c r="D1957" s="106" t="inlineStr">
        <is>
          <t>Kỳ báo cáo</t>
        </is>
      </c>
      <c r="E1957" s="107" t="inlineStr">
        <is>
          <t>Kỳ báo cáo</t>
        </is>
      </c>
      <c r="F1957" s="390" t="inlineStr">
        <is>
          <t>Data Explorer</t>
        </is>
      </c>
      <c r="G1957" s="390" t="inlineStr">
        <is>
          <t>Chiều</t>
        </is>
      </c>
      <c r="H1957" s="390" t="inlineStr">
        <is>
          <t>Dễ</t>
        </is>
      </c>
      <c r="I1957" s="390" t="inlineStr">
        <is>
          <t>Ngày, CTCK</t>
        </is>
      </c>
      <c r="J1957" s="401" t="inlineStr">
        <is>
          <t>SCMS</t>
        </is>
      </c>
      <c r="K1957" s="401" t="inlineStr">
        <is>
          <t>X</t>
        </is>
      </c>
      <c r="L1957" s="401" t="inlineStr">
        <is>
          <t>X</t>
        </is>
      </c>
      <c r="M1957" s="401" t="n"/>
      <c r="N1957" s="401" t="inlineStr">
        <is>
          <t>Done</t>
        </is>
      </c>
      <c r="O1957" s="401" t="n"/>
      <c r="P1957" s="22" t="n"/>
      <c r="S1957" s="22" t="n"/>
      <c r="U1957" s="16" t="n"/>
      <c r="V1957" s="22" t="n"/>
      <c r="W1957" s="22" t="n"/>
      <c r="X1957" s="22" t="n"/>
      <c r="Y1957" s="13" t="n"/>
      <c r="Z1957" s="22" t="n"/>
      <c r="AA1957" s="22" t="n"/>
      <c r="AB1957" s="22" t="n"/>
      <c r="AC1957" s="22" t="n"/>
      <c r="AD1957" s="22" t="n"/>
      <c r="AE1957" s="22" t="n"/>
    </row>
    <row r="1958" ht="70" customHeight="1" s="380">
      <c r="A1958" s="126" t="n">
        <v>94</v>
      </c>
      <c r="B1958" s="390" t="n"/>
      <c r="C1958" s="390" t="inlineStr">
        <is>
          <t>Báo cáo theo Thông tư 121/2020/TT-BTC &gt;&gt; Báo báo tài chính &gt;&gt; Các chỉ tiêu ngoài báo cáo tình hình tài chính riêng</t>
        </is>
      </c>
      <c r="D1958" s="106" t="inlineStr">
        <is>
          <t>Mã báo cáo</t>
        </is>
      </c>
      <c r="E1958" s="107" t="inlineStr">
        <is>
          <t>Mã báo cáo</t>
        </is>
      </c>
      <c r="F1958" s="390" t="inlineStr">
        <is>
          <t>Data Explorer</t>
        </is>
      </c>
      <c r="G1958" s="390" t="inlineStr">
        <is>
          <t>Chiều</t>
        </is>
      </c>
      <c r="H1958" s="390" t="inlineStr">
        <is>
          <t>Dễ</t>
        </is>
      </c>
      <c r="I1958" s="390" t="inlineStr">
        <is>
          <t>Ngày, CTCK</t>
        </is>
      </c>
      <c r="J1958" s="401" t="inlineStr">
        <is>
          <t>SCMS</t>
        </is>
      </c>
      <c r="K1958" s="401" t="inlineStr">
        <is>
          <t>X</t>
        </is>
      </c>
      <c r="L1958" s="401" t="inlineStr">
        <is>
          <t>X</t>
        </is>
      </c>
      <c r="M1958" s="401" t="n"/>
      <c r="N1958" s="401" t="inlineStr">
        <is>
          <t>Done</t>
        </is>
      </c>
      <c r="O1958" s="401" t="n"/>
      <c r="P1958" s="22" t="n"/>
      <c r="S1958" s="22" t="n"/>
      <c r="U1958" s="16" t="n"/>
      <c r="V1958" s="22" t="n"/>
      <c r="W1958" s="22" t="n"/>
      <c r="X1958" s="22" t="n"/>
      <c r="Y1958" s="38" t="n"/>
      <c r="Z1958" s="22" t="n"/>
      <c r="AA1958" s="22" t="n"/>
      <c r="AB1958" s="22" t="n"/>
      <c r="AC1958" s="22" t="n"/>
      <c r="AD1958" s="22" t="n"/>
      <c r="AE1958" s="22" t="n"/>
    </row>
    <row r="1959" ht="70" customHeight="1" s="380">
      <c r="A1959" s="126" t="n">
        <v>94</v>
      </c>
      <c r="B1959" s="390" t="n"/>
      <c r="C1959" s="390" t="inlineStr">
        <is>
          <t>Báo cáo theo Thông tư 121/2020/TT-BTC &gt;&gt; Báo báo tài chính &gt;&gt; Các chỉ tiêu ngoài báo cáo tình hình tài chính riêng</t>
        </is>
      </c>
      <c r="D1959" s="106" t="inlineStr">
        <is>
          <t>Tên báo cáo</t>
        </is>
      </c>
      <c r="E1959" s="107" t="inlineStr">
        <is>
          <t>Tên báo cáo</t>
        </is>
      </c>
      <c r="F1959" s="390" t="inlineStr">
        <is>
          <t>Data Explorer</t>
        </is>
      </c>
      <c r="G1959" s="390" t="inlineStr">
        <is>
          <t>Chiều</t>
        </is>
      </c>
      <c r="H1959" s="390" t="inlineStr">
        <is>
          <t>Dễ</t>
        </is>
      </c>
      <c r="I1959" s="390" t="inlineStr">
        <is>
          <t>Ngày, CTCK</t>
        </is>
      </c>
      <c r="J1959" s="401" t="inlineStr">
        <is>
          <t>SCMS</t>
        </is>
      </c>
      <c r="K1959" s="401" t="inlineStr">
        <is>
          <t>X</t>
        </is>
      </c>
      <c r="L1959" s="401" t="inlineStr">
        <is>
          <t>X</t>
        </is>
      </c>
      <c r="M1959" s="401" t="n"/>
      <c r="N1959" s="401" t="inlineStr">
        <is>
          <t>Done</t>
        </is>
      </c>
      <c r="O1959" s="401" t="n"/>
      <c r="P1959" s="22" t="n"/>
      <c r="S1959" s="22" t="n"/>
      <c r="U1959" s="16" t="n"/>
      <c r="V1959" s="22" t="n"/>
      <c r="W1959" s="22" t="n"/>
      <c r="X1959" s="22" t="n"/>
      <c r="Y1959" s="13" t="n"/>
      <c r="Z1959" s="22" t="n"/>
      <c r="AA1959" s="22" t="n"/>
      <c r="AB1959" s="22" t="n"/>
      <c r="AC1959" s="22" t="n"/>
      <c r="AD1959" s="22" t="n"/>
      <c r="AE1959" s="22" t="n"/>
    </row>
    <row r="1960" ht="70" customHeight="1" s="380">
      <c r="A1960" s="126" t="n">
        <v>94</v>
      </c>
      <c r="B1960" s="390" t="n"/>
      <c r="C1960" s="390" t="inlineStr">
        <is>
          <t>Báo cáo theo Thông tư 121/2020/TT-BTC &gt;&gt; Báo báo tài chính &gt;&gt; Các chỉ tiêu ngoài báo cáo tình hình tài chính riêng</t>
        </is>
      </c>
      <c r="D1960" s="106" t="inlineStr">
        <is>
          <t>Mã sheet</t>
        </is>
      </c>
      <c r="E1960" s="106" t="inlineStr">
        <is>
          <t>Mã sheet</t>
        </is>
      </c>
      <c r="F1960" s="390" t="inlineStr">
        <is>
          <t>Data Explorer</t>
        </is>
      </c>
      <c r="G1960" s="390" t="inlineStr">
        <is>
          <t>Chiều</t>
        </is>
      </c>
      <c r="H1960" s="390" t="inlineStr">
        <is>
          <t>Dễ</t>
        </is>
      </c>
      <c r="I1960" s="390" t="inlineStr">
        <is>
          <t>Ngày, CTCK</t>
        </is>
      </c>
      <c r="J1960" s="401" t="inlineStr">
        <is>
          <t>SCMS</t>
        </is>
      </c>
      <c r="K1960" s="401" t="inlineStr">
        <is>
          <t>X</t>
        </is>
      </c>
      <c r="L1960" s="401" t="inlineStr">
        <is>
          <t>X</t>
        </is>
      </c>
      <c r="M1960" s="401" t="n"/>
      <c r="N1960" s="401" t="inlineStr">
        <is>
          <t>Done</t>
        </is>
      </c>
      <c r="O1960" s="401" t="n"/>
      <c r="P1960" s="22" t="n"/>
      <c r="Q1960" s="401" t="inlineStr">
        <is>
          <t>SCMS.BM_BAO_CAO
SCMS.BM_SHEET</t>
        </is>
      </c>
      <c r="R1960" s="401" t="inlineStr">
        <is>
          <t>bm.ID,
bm.MA_BAO_CAO,
bm.SU_DUNG,
s.BM_BAO_CAO_ID,
s.MA_SHEET,
s.TEN_SHEET,
s.SAP_XEP</t>
        </is>
      </c>
      <c r="S1960" s="22" t="n"/>
      <c r="T1960" s="389" t="inlineStr">
        <is>
          <t>-- Mã sheet / Tên sheet
-- TEN_SHEET: CCTTCR
SELECT bm.MA_BAO_CAO,
s.MA_SHEET,
s.TEN_SHEET
FROM SCMS.BM_BAO_CAO bm
JOIN SCMS.BM_SHEET s ON s.BM_BAO_CAO_ID = bm.ID
WHERE bm.MA_BAO_CAO LIKE 'BCTCRLCTCK'
AND s.TEN_SHEET = 'CCTTCR'  -- Check lại
AND bm.SU_DUNG = 1
ORDER BY bm.MA_BAO_CAO, s.SAP_XEP;</t>
        </is>
      </c>
      <c r="U1960" s="16" t="n"/>
      <c r="V1960" s="22" t="n"/>
      <c r="W1960" s="22" t="n"/>
      <c r="X1960" s="22" t="n"/>
      <c r="Y1960" s="13" t="n"/>
      <c r="Z1960" s="22" t="n"/>
      <c r="AA1960" s="22" t="n"/>
      <c r="AB1960" s="22" t="n"/>
      <c r="AC1960" s="22" t="n"/>
      <c r="AD1960" s="22" t="n"/>
      <c r="AE1960" s="22" t="n"/>
    </row>
    <row r="1961" ht="70" customHeight="1" s="380">
      <c r="A1961" s="126" t="n">
        <v>94</v>
      </c>
      <c r="B1961" s="390" t="n"/>
      <c r="C1961" s="390" t="inlineStr">
        <is>
          <t>Báo cáo theo Thông tư 121/2020/TT-BTC &gt;&gt; Báo báo tài chính &gt;&gt; Các chỉ tiêu ngoài báo cáo tình hình tài chính riêng</t>
        </is>
      </c>
      <c r="D1961" s="106" t="inlineStr">
        <is>
          <t>Tên sheet</t>
        </is>
      </c>
      <c r="E1961" s="106" t="inlineStr">
        <is>
          <t>Tên sheet</t>
        </is>
      </c>
      <c r="F1961" s="390" t="inlineStr">
        <is>
          <t>Data Explorer</t>
        </is>
      </c>
      <c r="G1961" s="390" t="inlineStr">
        <is>
          <t>Chiều</t>
        </is>
      </c>
      <c r="H1961" s="390" t="inlineStr">
        <is>
          <t>Dễ</t>
        </is>
      </c>
      <c r="I1961" s="390" t="inlineStr">
        <is>
          <t>Ngày, CTCK</t>
        </is>
      </c>
      <c r="J1961" s="401" t="inlineStr">
        <is>
          <t>SCMS</t>
        </is>
      </c>
      <c r="K1961" s="401" t="inlineStr">
        <is>
          <t>X</t>
        </is>
      </c>
      <c r="L1961" s="401" t="inlineStr">
        <is>
          <t>X</t>
        </is>
      </c>
      <c r="M1961" s="401" t="n"/>
      <c r="N1961" s="401" t="inlineStr">
        <is>
          <t>Done</t>
        </is>
      </c>
      <c r="O1961" s="401" t="n"/>
      <c r="P1961" s="22" t="n"/>
      <c r="S1961" s="22" t="n"/>
      <c r="U1961" s="16" t="n"/>
      <c r="V1961" s="22" t="n"/>
      <c r="W1961" s="22" t="n"/>
      <c r="X1961" s="22" t="n"/>
      <c r="Y1961" s="13" t="n"/>
      <c r="Z1961" s="22" t="n"/>
      <c r="AA1961" s="22" t="n"/>
      <c r="AB1961" s="22" t="n"/>
      <c r="AC1961" s="22" t="n"/>
      <c r="AD1961" s="22" t="n"/>
      <c r="AE1961" s="22" t="n"/>
    </row>
    <row r="1962" ht="70" customHeight="1" s="380">
      <c r="A1962" s="126" t="n">
        <v>94</v>
      </c>
      <c r="B1962" s="390" t="n"/>
      <c r="C1962" s="390" t="inlineStr">
        <is>
          <t>Báo cáo theo Thông tư 121/2020/TT-BTC &gt;&gt; Báo báo tài chính &gt;&gt; Các chỉ tiêu ngoài báo cáo tình hình tài chính riêng</t>
        </is>
      </c>
      <c r="D1962" s="106" t="inlineStr">
        <is>
          <t>Mã chỉ tiêu</t>
        </is>
      </c>
      <c r="E1962" s="107" t="inlineStr">
        <is>
          <t>Mã chỉ tiêu</t>
        </is>
      </c>
      <c r="F1962" s="390" t="inlineStr">
        <is>
          <t>Data Explorer</t>
        </is>
      </c>
      <c r="G1962" s="390" t="inlineStr">
        <is>
          <t>Chiều</t>
        </is>
      </c>
      <c r="H1962" s="390" t="inlineStr">
        <is>
          <t>Dễ</t>
        </is>
      </c>
      <c r="I1962" s="390" t="inlineStr">
        <is>
          <t>Ngày, CTCK</t>
        </is>
      </c>
      <c r="J1962" s="401" t="inlineStr">
        <is>
          <t>SCMS</t>
        </is>
      </c>
      <c r="K1962" s="401" t="inlineStr">
        <is>
          <t>X</t>
        </is>
      </c>
      <c r="L1962" s="401" t="inlineStr">
        <is>
          <t>X</t>
        </is>
      </c>
      <c r="M1962" s="401" t="n"/>
      <c r="N1962" s="401" t="inlineStr">
        <is>
          <t>Done</t>
        </is>
      </c>
      <c r="O1962" s="401" t="n"/>
      <c r="P1962" s="22" t="n"/>
      <c r="Q1962" s="401" t="inlineStr">
        <is>
          <t>SCMS.BM_BAO_CAO
SCMS.BM_SHEET
SCMS.BM_BAO_CAO_CT
SCMS.DM_CHI_TIEU</t>
        </is>
      </c>
      <c r="R1962" s="402" t="inlineStr">
        <is>
          <t>dct.ID,
dct.MA_CHI_TIEU,
dct.TEN_CHI_TIEU,
dct.SU_DUNG,
s.BM_BAO_CAO_ID,
s.MA_SHEET,
ct.BM_BAO_CAO_ID,
ct.DM_CHI_TIEU_ID,
ct.SU_DUNG,
bm.ID,
bm.MA_BAO_CAO,
bm.SU_DUNG</t>
        </is>
      </c>
      <c r="S1962" s="22" t="n"/>
      <c r="T1962" s="389" t="inlineStr">
        <is>
          <t>-- Mã chỉ tiêu / Tên chỉ tiêu
SELECT DISTINCT
    dct.MA_CHI_TIEU  AS ma_chi_tieu,
    dct.TEN_CHI_TIEU AS ten_chi_tieu
FROM SCMS.BM_BAO_CAO bm
JOIN SCMS.BM_SHEET s ON s.BM_BAO_CAO_ID = bm.ID
	AND s.TEN_SHEET = 'CCTTCR'
JOIN SCMS.BM_BAO_CAO_CT ct ON ct.BM_SHEET_ID = s.ID
	AND ct.SU_DUNG = 1
JOIN SCMS.DM_CHI_TIEU dct ON dct.ID = ct.DM_CHI_TIEU_ID
	AND dct.SU_DUNG = 1
WHERE bm.MA_BAO_CAO LIKE 'BCTCRLCTCK'
	AND bm.SU_DUNG = 1
ORDER BY dct.MA_CHI_TIEU;</t>
        </is>
      </c>
      <c r="U1962" s="16" t="n"/>
      <c r="V1962" s="22" t="n"/>
      <c r="W1962" s="22" t="n"/>
      <c r="X1962" s="22" t="n"/>
      <c r="Y1962" s="13" t="n"/>
      <c r="Z1962" s="22" t="n"/>
      <c r="AA1962" s="22" t="n"/>
      <c r="AB1962" s="22" t="n"/>
      <c r="AC1962" s="22" t="n"/>
      <c r="AD1962" s="22" t="n"/>
      <c r="AE1962" s="22" t="n"/>
    </row>
    <row r="1963" ht="70" customHeight="1" s="380">
      <c r="A1963" s="126" t="n">
        <v>94</v>
      </c>
      <c r="B1963" s="390" t="n"/>
      <c r="C1963" s="390" t="inlineStr">
        <is>
          <t>Báo cáo theo Thông tư 121/2020/TT-BTC &gt;&gt; Báo báo tài chính &gt;&gt; Các chỉ tiêu ngoài báo cáo tình hình tài chính riêng</t>
        </is>
      </c>
      <c r="D1963" s="106" t="inlineStr">
        <is>
          <t>Tên chỉ tiêu</t>
        </is>
      </c>
      <c r="E1963" s="107" t="inlineStr">
        <is>
          <t>Tên chỉ tiêu</t>
        </is>
      </c>
      <c r="F1963" s="390" t="inlineStr">
        <is>
          <t>Data Explorer</t>
        </is>
      </c>
      <c r="G1963" s="390" t="inlineStr">
        <is>
          <t>Chiều</t>
        </is>
      </c>
      <c r="H1963" s="390" t="inlineStr">
        <is>
          <t>Dễ</t>
        </is>
      </c>
      <c r="I1963" s="390" t="inlineStr">
        <is>
          <t>Ngày, CTCK</t>
        </is>
      </c>
      <c r="J1963" s="401" t="inlineStr">
        <is>
          <t>SCMS</t>
        </is>
      </c>
      <c r="K1963" s="401" t="inlineStr">
        <is>
          <t>X</t>
        </is>
      </c>
      <c r="L1963" s="401" t="inlineStr">
        <is>
          <t>X</t>
        </is>
      </c>
      <c r="M1963" s="401" t="n"/>
      <c r="N1963" s="401" t="inlineStr">
        <is>
          <t>Done</t>
        </is>
      </c>
      <c r="O1963" s="401" t="n"/>
      <c r="P1963" s="22" t="n"/>
      <c r="S1963" s="22" t="n"/>
      <c r="U1963" s="16" t="n"/>
      <c r="V1963" s="22" t="n"/>
      <c r="W1963" s="22" t="n"/>
      <c r="X1963" s="22" t="n"/>
      <c r="Y1963" s="13" t="n"/>
      <c r="Z1963" s="22" t="n"/>
      <c r="AA1963" s="22" t="n"/>
      <c r="AB1963" s="22" t="n"/>
      <c r="AC1963" s="22" t="n"/>
      <c r="AD1963" s="22" t="n"/>
      <c r="AE1963" s="22" t="n"/>
    </row>
    <row r="1964" ht="70" customHeight="1" s="380">
      <c r="A1964" s="126" t="n">
        <v>94</v>
      </c>
      <c r="B1964" s="390" t="n"/>
      <c r="C1964" s="390" t="inlineStr">
        <is>
          <t>Báo cáo theo Thông tư 121/2020/TT-BTC &gt;&gt; Báo báo tài chính &gt;&gt; Các chỉ tiêu ngoài báo cáo tình hình tài chính riêng</t>
        </is>
      </c>
      <c r="D1964" s="132" t="inlineStr">
        <is>
          <t>A.TÀI SẢN CỦA CTCK VÀ TÀI SẢN QUẢN LÝ THEO CAM KẾT</t>
        </is>
      </c>
      <c r="E1964" s="401" t="n"/>
      <c r="F1964" s="390" t="inlineStr">
        <is>
          <t>Data Explorer</t>
        </is>
      </c>
      <c r="G1964" s="390" t="inlineStr">
        <is>
          <t>Chỉ tiêu cơ sở</t>
        </is>
      </c>
      <c r="H1964" s="390" t="inlineStr">
        <is>
          <t>Dễ</t>
        </is>
      </c>
      <c r="I1964" s="390" t="inlineStr">
        <is>
          <t>Ngày, CTCK</t>
        </is>
      </c>
      <c r="J1964" s="401" t="inlineStr">
        <is>
          <t>SCMS</t>
        </is>
      </c>
      <c r="K1964" s="401" t="n"/>
      <c r="L1964" s="401" t="inlineStr">
        <is>
          <t>X</t>
        </is>
      </c>
      <c r="M1964" s="401" t="n"/>
      <c r="N1964" s="401" t="inlineStr">
        <is>
          <t>Done</t>
        </is>
      </c>
      <c r="O1964" s="401" t="n"/>
      <c r="P1964" s="22" t="n"/>
      <c r="Q1964" s="431" t="inlineStr">
        <is>
          <t>SCMS.BC_THANH_VIEN
SCMS.BM_BAO_CAO
SCMS.BC_BAO_CAO_GT
SCMS.BM_BAO_CAO_HANG
SCMS.BM_BAO_CAO_COT</t>
        </is>
      </c>
      <c r="R1964" s="431" t="inlineStr">
        <is>
          <t>bsc.TEN_COT,
bsc.BM_SHEET_ID,
bsh.ID,
bsh.MA_HANG,
gt.GIA_TRI,
gt.BC_THANH_VIEN_ID,
gt.BM_SHEET_HANG_ID,
bm.ID,
bm.MA_BAO_CAO,
btv.ID,
btv.BM_BAO_CAO_ID,
btv.TRANG_THAI,
btv.NGAY_SO_LIEU</t>
        </is>
      </c>
      <c r="S1964" s="22" t="n"/>
      <c r="T1964" s="432" t="inlineStr">
        <is>
          <t>-- CHỈ TIÊU
SELECT
	-- Thuyết minh
    MAX(CASE WHEN bsc.TEN_COT=N'Thuyết minh' AND bsh.MA_HANG = '4' THEN CAST(gt.GIA_TRI AS VARCHAR2(4000)) END) AS "A.TÀI SẢN CỦA CTCK VÀ TÀI SẢN QUẢN LÝ THEO CAM KẾT",
    MAX(CASE WHEN bsc.TEN_COT=N'Thuyết minh' AND bsh.MA_HANG = '5' THEN CAST(gt.GIA_TRI AS VARCHAR2(4000)) END) AS "1. Tài sản cố định thuê ngoài",    
    MAX(CASE WHEN bsc.TEN_COT=N'Thuyết minh' AND bsh.MA_HANG = '6' THEN CAST(gt.GIA_TRI AS VARCHAR2(4000)) END) AS "2. Chứng chỉ có giá nhận giữ hộ",
    MAX(CASE WHEN bsc.TEN_COT=N'Thuyết minh' AND bsh.MA_HANG = '7' THEN CAST(gt.GIA_TRI AS VARCHAR2(4000)) END) AS "3. Tài sản nhận thế chấp",
    MAX(CASE WHEN bsc.TEN_COT=N'Thuyết minh' AND bsh.MA_HANG = '8' THEN CAST(gt.GIA_TRI AS VARCHAR2(4000)) END) AS "4. Nợ khó đòi đã xử lý",
    MAX(CASE WHEN bsc.TEN_COT=N'Thuyết minh' AND bsh.MA_HANG = '9' THEN CAST(gt.GIA_TRI AS VARCHAR2(4000)) END) AS "5. Ngoại tệ các loại",
    MAX(CASE WHEN bsc.TEN_COT=N'Thuyết minh' AND bsh.MA_HANG = '10' THEN CAST(gt.GIA_TRI AS VARCHAR2(4000)) END) AS "6. Cổ phiếu đang lưu hành",
    MAX(CASE WHEN bsc.TEN_COT=N'Thuyết minh' AND bsh.MA_HANG = '11' THEN CAST(gt.GIA_TRI AS VARCHAR2(4000)) END) AS "7. Cổ phiếu quỹ",
    MAX(CASE WHEN bsc.TEN_COT=N'Thuyết minh' AND bsh.MA_HANG = '12' THEN CAST(gt.GIA_TRI AS VARCHAR2(4000)) END) AS "8. Tài sản tài chính niêm yết/đăng ký giao dịch tại VSD của CTCK",
    MAX(CASE WHEN bsc.TEN_COT=N'Thuyết minh' AND bsh.MA_HANG = '13' THEN CAST(gt.GIA_TRI AS VARCHAR2(4000)) END) AS "9. Tài sản tài chính đã lưu ký tại VSD và chưa giao dịch của CTCK",
    MAX(CASE WHEN bsc.TEN_COT=N'Thuyết minh' AND bsh.MA_HANG = '14' THEN CAST(gt.GIA_TRI AS VARCHAR2(4000)) END) AS "10. Tài sản tài chính chờ về của CTCK",
    MAX(CASE WHEN bsc.TEN_COT=N'Thuyết minh' AND bsh.MA_HANG = '15' THEN CAST(gt.GIA_TRI AS VARCHAR2(4000)) END) AS "11. Tài sản tài chính sửa lỗi giao dịch của CTCK",
    MAX(CASE WHEN bsc.TEN_COT=N'Thuyết minh' AND bsh.MA_HANG = '16' THEN CAST(gt.GIA_TRI AS VARCHAR2(4000)) END) AS "12. Tài sản tài chính chưa lưu ký tại VSD của CTCK",
    MAX(CASE WHEN bsc.TEN_COT=N'Thuyết minh' AND bsh.MA_HANG = '17' THEN CAST(gt.GIA_TRI AS VARCHAR2(4000)) END) AS "13.Tài sản tài chính được hưởng quyền của CTCK",
    MAX(CASE WHEN bsc.TEN_COT=N'Thuyết minh' AND bsh.MA_HANG = '18' THEN CAST(gt.GIA_TRI AS VARCHAR2(4000)) END) AS "14. Chứng quyền",  -- DB cũ đang thiếu chỉ tiêu này
    MAX(CASE WHEN bsc.TEN_COT=N'Thuyết minh' AND bsh.MA_HANG = '19' THEN CAST(gt.GIA_TRI AS VARCHAR2(4000)) END) AS "B. TÀI SẢN VÀ CÁC KHOẢN PHẢI TRẢ VỀ TÀI SẢN QUẢN LÝ CAM KẾT VỚI KHÁCH HÀNG",
    MAX(CASE WHEN bsc.TEN_COT=N'Thuyết minh' AND bsh.MA_HANG = '20' THEN CAST(gt.GIA_TRI AS VARCHAR2(4000)) END) AS "1. Tài sản tài chính niêm yết/đăng ký giao dịch tại VSD của Nhà đầu tư",
    MAX(CASE WHEN bsc.TEN_COT=N'Thuyết minh' AND bsh.MA_HANG = '21' THEN CAST(gt.GIA_TRI AS VARCHAR2(4000)) END) AS "a.Tài sản tài chính giao dịch tự do chuyển nhượng",
    MAX(CASE WHEN bsc.TEN_COT=N'Thuyết minh' AND bsh.MA_HANG = '22' THEN CAST(gt.GIA_TRI AS VARCHAR2(4000)) END) AS "b.Tài sản tài chính hạn chế chuyển nhượng",
    MAX(CASE WHEN bsc.TEN_COT=N'Thuyết minh' AND bsh.MA_HANG = '23' THEN CAST(gt.GIA_TRI AS VARCHAR2(4000)) END) AS "c.Tài sản tài chính giao dịch cầm cố",
    MAX(CASE WHEN bsc.TEN_COT=N'Thuyết minh' AND bsh.MA_HANG = '24' THEN CAST(gt.GIA_TRI AS VARCHAR2(4000)) END) AS "d.Tài sản tài chính phong tỏa, tạm giữ",
    MAX(CASE WHEN bsc.TEN_COT=N'Thuyết minh' AND bsh.MA_HANG = '25' THEN CAST(gt.GIA_TRI AS VARCHAR2(4000)) END) AS "e.Tài sản tài chính chờ thanh toán",
    MAX(CASE WHEN bsc.TEN_COT=N'Thuyết minh' AND bsh.MA_HANG = '26' THEN CAST(gt.GIA_TRI AS VARCHAR2(4000)) END) AS "f. Tài sản tài chính chờ cho vay",
    MAX(CASE WHEN bsc.TEN_COT=N'Thuyết minh' AND bsh.MA_HANG = '27' THEN CAST(gt.GIA_TRI AS VARCHAR2(4000)) END) AS "2. Tài sản tài chính đã lưu ký tại VSD và chưa giao dịch của Nhà đầu tư",
    MAX(CASE WHEN bsc.TEN_COT=N'Thuyết minh' AND bsh.MA_HANG = '28' THEN CAST(gt.GIA_TRI AS VARCHAR2(4000)) END) AS "a.Tài sản tài chính đã lưu ký tại VSD và chưa giao dịch, tự do chuyển nhượng",
    MAX(CASE WHEN bsc.TEN_COT=N'Thuyết minh' AND bsh.MA_HANG = '29' THEN CAST(gt.GIA_TRI AS VARCHAR2(4000)) END) AS "b.Tài sản tài chính đã lưu ký tại VSD và chưa giao dịch, hạn chế chuyển nhượng",
    MAX(CASE WHEN bsc.TEN_COT=N'Thuyết minh' AND bsh.MA_HANG = '30' THEN CAST(gt.GIA_TRI AS VARCHAR2(4000)) END) AS "c.Tài sản tài chính đã lưu ký tại VSD và chưa giao dịch, cầm cố",
    MAX(CASE WHEN bsc.TEN_COT=N'Thuyết minh' AND bsh.MA_HANG = '31' THEN CAST(gt.GIA_TRI AS VARCHAR2(4000)) END) AS "d.Tài sản tài chính đã lưu ký tại VSD và chưa giao dịch, phong tỏa, tạm giữ",
    MAX(CASE WHEN bsc.TEN_COT=N'Thuyết minh' AND bsh.MA_HANG = '32' THEN CAST(gt.GIA_TRI AS VARCHAR2(4000)) END) AS "3. Tài sản tài chính chờ về của Nhà đầu tư",
    MAX(CASE WHEN bsc.TEN_COT=N'Thuyết minh' AND bsh.MA_HANG = '33' THEN CAST(gt.GIA_TRI AS VARCHAR2(4000)) END) AS "4. Tài sản tài chính sửa lỗi giao dịch của Nhà đầu tư",
    MAX(CASE WHEN bsc.TEN_COT=N'Thuyết minh' AND bsh.MA_HANG = '34' THEN CAST(gt.GIA_TRI AS VARCHAR2(4000)) END) AS "5.Tài sản tài chính chưa lưu ký tại VSD của Nhà đầu tư",
    MAX(CASE WHEN bsc.TEN_COT=N'Thuyết minh' AND bsh.MA_HANG = '35' THEN CAST(gt.GIA_TRI AS VARCHAR2(4000)) END) AS "6.Tài sản tài chính được hưởng quyền của Nhà đầu tư",
    MAX(CASE WHEN bsc.TEN_COT=N'Thuyết minh' AND bsh.MA_HANG = '36' THEN CAST(gt.GIA_TRI AS VARCHAR2(4000)) END) AS "7. Tiền gửi của khách hàng",
    MAX(CASE WHEN bsc.TEN_COT=N'Thuyết minh' AND bsh.MA_HANG = '37' THEN CAST(gt.GIA_TRI AS VARCHAR2(4000)) END) AS "7.1. Tiền gửi của Nhà đầu tư về giao dịch chứng khoán theo phương thức CTCK quản lý",
    MAX(CASE WHEN bsc.TEN_COT=N'Thuyết minh' AND bsh.MA_HANG = '38' THEN CAST(gt.GIA_TRI AS VARCHAR2(4000)) END) AS "7.2. Tiền gửi tổng hợp giao dịch chứng khoán cho khách hàng",
    MAX(CASE WHEN bsc.TEN_COT=N'Thuyết minh' AND bsh.MA_HANG = '39' THEN CAST(gt.GIA_TRI AS VARCHAR2(4000)) END) AS "7.3. Tiền gửi bù trừ và thanh toán giao dịch chứng khoán",
    MAX(CASE WHEN bsc.TEN_COT=N'Thuyết minh' AND bsh.MA_HANG = '40' THEN CAST(gt.GIA_TRI AS VARCHAR2(4000)) END) AS "a. Tiền gửi bù trừ và thanh toán giao dịch chứng khoán Nhà đầu tư trong nước",
    MAX(CASE WHEN bsc.TEN_COT=N'Thuyết minh' AND bsh.MA_HANG = '41' THEN CAST(gt.GIA_TRI AS VARCHAR2(4000)) END) AS "b. Tiền gửi bù trừ và thanh toán giao dịch chứng khoán Nhà đầu tư nước ngoài",
    MAX(CASE WHEN bsc.TEN_COT=N'Thuyết minh' AND bsh.MA_HANG = '42' THEN CAST(gt.GIA_TRI AS VARCHAR2(4000)) END) AS "7.4. Tiền gửi của Tổ chức phát hành chứng khoán",
    MAX(CASE WHEN bsc.TEN_COT=N'Thuyết minh' AND bsh.MA_HANG = '43' THEN CAST(gt.GIA_TRI AS VARCHAR2(4000)) END) AS "8. Phải trả Nhà đầu tư về tiền gửi giao dịch chứng khoán theo phương thức CTCK quản lý",
    MAX(CASE WHEN bsc.TEN_COT=N'Thuyết minh' AND bsh.MA_HANG = '44' THEN CAST(gt.GIA_TRI AS VARCHAR2(4000)) END) AS "8.1. Phải trả Nhà đầu tư trong nước về tiền gửi giao dịch chứng khoán theo phương thức CTCK quản lý",
    MAX(CASE WHEN bsc.TEN_COT=N'Thuyết minh' AND bsh.MA_HANG = '45' THEN CAST(gt.GIA_TRI AS VARCHAR2(4000)) END) AS "8.2. Phải trả Nhà đầu tư nước ngoài về tiền gửi giao dịch chứng khoán theo phương thức CTCK quản lý",
    MAX(CASE WHEN bsc.TEN_COT=N'Thuyết minh' AND bsh.MA_HANG = '46' THEN CAST(gt.GIA_TRI AS VARCHAR2(4000)) END) AS "9. Phải trả Tổ chức phát hành chứng khoán",
    MAX(CASE WHEN bsc.TEN_COT=N'Thuyết minh' AND bsh.MA_HANG = '47' THEN CAST(gt.GIA_TRI AS VARCHAR2(4000)) END) AS "10. Phải thu của khách hàng về lỗi giao dịch các tài sản tài chính",
    MAX(CASE WHEN bsc.TEN_COT=N'Thuyết minh' AND bsh.MA_HANG = '48' THEN CAST(gt.GIA_TRI AS VARCHAR2(4000)) END) AS "11. Phải trả của khách hàng về lỗi giao dịch các tài sản tài chính",
    MAX(CASE WHEN bsc.TEN_COT=N'Thuyết minh' AND bsh.MA_HANG = '49' THEN CAST(gt.GIA_TRI AS VARCHAR2(4000)) END) AS "12. Phải trả cổ tức, gốc và lãi trái phiếu",
    -- Số cuối năm
	MAX(CASE WHEN bsc.TEN_COT=N'Số cuối năm' AND bsh.MA_HANG = '4' THEN CAST(gt.GIA_TRI AS VARCHAR2(4000)) END) AS "A.TÀI SẢN CỦA CTCK VÀ TÀI SẢN QUẢN LÝ THEO CAM KẾT",
    MAX(CASE WHEN bsc.TEN_COT=N'Số cuối năm' AND bsh.MA_HANG = '5' THEN CAST(gt.GIA_TRI AS VARCHAR2(4000)) END) AS "1. Tài sản cố định thuê ngoài",    
    MAX(CASE WHEN bsc.TEN_COT=N'Số cuối năm' AND bsh.MA_HANG = '6' THEN CAST(gt.GIA_TRI AS VARCHAR2(4000)) END) AS "2. Chứng chỉ có giá nhận giữ hộ",
    MAX(CASE WHEN bsc.TEN_COT=N'Số cuối năm' AND bsh.MA_HANG = '7' THEN CAST(gt.GIA_TRI AS VARCHAR2(4000)) END) AS "3. Tài sản nhận thế chấp",
    MAX(CASE WHEN bsc.TEN_COT=N'Số cuối năm' AND bsh.MA_HANG = '8' THEN CAST(gt.GIA_TRI AS VARCHAR2(4000)) END) AS "4. Nợ khó đòi đã xử lý",
    MAX(CASE WHEN bsc.TEN_COT=N'Số cuối năm' AND bsh.MA_HANG = '9' THEN CAST(gt.GIA_TRI AS VARCHAR2(4000)) END) AS "5. Ngoại tệ các loại",
    MAX(CASE WHEN bsc.TEN_COT=N'Số cuối năm' AND bsh.MA_HANG = '10' THEN CAST(gt.GIA_TRI AS VARCHAR2(4000)) END) AS "6. Cổ phiếu đang lưu hành",
    MAX(CASE WHEN bsc.TEN_COT=N'Số cuối năm' AND bsh.MA_HANG = '11' THEN CAST(gt.GIA_TRI AS VARCHAR2(4000)) END) AS "7. Cổ phiếu quỹ",
    MAX(CASE WHEN bsc.TEN_COT=N'Số cuối năm' AND bsh.MA_HANG = '12' THEN CAST(gt.GIA_TRI AS VARCHAR2(4000)) END) AS "8. Tài sản tài chính niêm yết/đăng ký giao dịch tại VSD của CTCK",
    MAX(CASE WHEN bsc.TEN_COT=N'Số cuối năm' AND bsh.MA_HANG = '13' THEN CAST(gt.GIA_TRI AS VARCHAR2(4000)) END) AS "9. Tài sản tài chính đã lưu ký tại VSD và chưa giao dịch của CTCK",
    MAX(CASE WHEN bsc.TEN_COT=N'Số cuối năm' AND bsh.MA_HANG = '14' THEN CAST(gt.GIA_TRI AS VARCHAR2(4000)) END) AS "10. Tài sản tài chính chờ về của CTCK",
    MAX(CASE WHEN bsc.TEN_COT=N'Số cuối năm' AND bsh.MA_HANG = '15' THEN CAST(gt.GIA_TRI AS VARCHAR2(4000)) END) AS "11. Tài sản tài chính sửa lỗi giao dịch của CTCK",
    MAX(CASE WHEN bsc.TEN_COT=N'Số cuối năm' AND bsh.MA_HANG = '16' THEN CAST(gt.GIA_TRI AS VARCHAR2(4000)) END) AS "12. Tài sản tài chính chưa lưu ký tại VSD của CTCK",
    MAX(CASE WHEN bsc.TEN_COT=N'Số cuối năm' AND bsh.MA_HANG = '17' THEN CAST(gt.GIA_TRI AS VARCHAR2(4000)) END) AS "13.Tài sản tài chính được hưởng quyền của CTCK",
    MAX(CASE WHEN bsc.TEN_COT=N'Số cuối năm' AND bsh.MA_HANG = '18' THEN CAST(gt.GIA_TRI AS VARCHAR2(4000)) END) AS "14. Chứng quyền",  -- DB cũ đang thiếu chỉ tiêu này
    MAX(CASE WHEN bsc.TEN_COT=N'Số cuối năm' AND bsh.MA_HANG = '19' THEN CAST(gt.GIA_TRI AS VARCHAR2(4000)) END) AS "B. TÀI SẢN VÀ CÁC KHOẢN PHẢI TRẢ VỀ TÀI SẢN QUẢN LÝ CAM KẾT VỚI KHÁCH HÀNG",
    MAX(CASE WHEN bsc.TEN_COT=N'Số cuối năm' AND bsh.MA_HANG = '20' THEN CAST(gt.GIA_TRI AS VARCHAR2(4000)) END) AS "1. Tài sản tài chính niêm yết/đăng ký giao dịch tại VSD của Nhà đầu tư",
    MAX(CASE WHEN bsc.TEN_COT=N'Số cuối năm' AND bsh.MA_HANG = '21' THEN CAST(gt.GIA_TRI AS VARCHAR2(4000)) END) AS "a.Tài sản tài chính giao dịch tự do chuyển nhượng",
    MAX(CASE WHEN bsc.TEN_COT=N'Số cuối năm' AND bsh.MA_HANG = '22' THEN CAST(gt.GIA_TRI AS VARCHAR2(4000)) END) AS "b.Tài sản tài chính hạn chế chuyển nhượng",
    MAX(CASE WHEN bsc.TEN_COT=N'Số cuối năm' AND bsh.MA_HANG = '23' THEN CAST(gt.GIA_TRI AS VARCHAR2(4000)) END) AS "c.Tài sản tài chính giao dịch cầm cố",
    MAX(CASE WHEN bsc.TEN_COT=N'Số cuối năm' AND bsh.MA_HANG = '24' THEN CAST(gt.GIA_TRI AS VARCHAR2(4000)) END) AS "d.Tài sản tài chính phong tỏa, tạm giữ",
    MAX(CASE WHEN bsc.TEN_COT=N'Số cuối năm' AND bsh.MA_HANG = '25' THEN CAST(gt.GIA_TRI AS VARCHAR2(4000)) END) AS "e.Tài sản tài chính chờ thanh toán",
    MAX(CASE WHEN bsc.TEN_COT=N'Số cuối năm' AND bsh.MA_HANG = '26' THEN CAST(gt.GIA_TRI AS VARCHAR2(4000)) END) AS "f. Tài sản tài chính chờ cho vay",
    MAX(CASE WHEN bsc.TEN_COT=N'Số cuối năm' AND bsh.MA_HANG = '27' THEN CAST(gt.GIA_TRI AS VARCHAR2(4000)) END) AS "2. Tài sản tài chính đã lưu ký tại VSD và chưa giao dịch của Nhà đầu tư",
    MAX(CASE WHEN bsc.TEN_COT=N'Số cuối năm' AND bsh.MA_HANG = '28' THEN CAST(gt.GIA_TRI AS VARCHAR2(4000)) END) AS "a.Tài sản tài chính đã lưu ký tại VSD và chưa giao dịch, tự do chuyển nhượng",
    MAX(CASE WHEN bsc.TEN_COT=N'Số cuối năm' AND bsh.MA_HANG = '29' THEN CAST(gt.GIA_TRI AS VARCHAR2(4000)) END) AS "b.Tài sản tài chính đã lưu ký tại VSD và chưa giao dịch, hạn chế chuyển nhượng",
    MAX(CASE WHEN bsc.TEN_COT=N'Số cuối năm' AND bsh.MA_HANG = '30' THEN CAST(gt.GIA_TRI AS VARCHAR2(4000)) END) AS "c.Tài sản tài chính đã lưu ký tại VSD và chưa giao dịch, cầm cố",
    MAX(CASE WHEN bsc.TEN_COT=N'Số cuối năm' AND bsh.MA_HANG = '31' THEN CAST(gt.GIA_TRI AS VARCHAR2(4000)) END) AS "d.Tài sản tài chính đã lưu ký tại VSD và chưa giao dịch, phong tỏa, tạm giữ",
    MAX(CASE WHEN bsc.TEN_COT=N'Số cuối năm' AND bsh.MA_HANG = '32' THEN CAST(gt.GIA_TRI AS VARCHAR2(4000)) END) AS "3. Tài sản tài chính chờ về của Nhà đầu tư",
    MAX(CASE WHEN bsc.TEN_COT=N'Số cuối năm' AND bsh.MA_HANG = '33' THEN CAST(gt.GIA_TRI AS VARCHAR2(4000)) END) AS "4. Tài sản tài chính sửa lỗi giao dịch của Nhà đầu tư",
    MAX(CASE WHEN bsc.TEN_COT=N'Số cuối năm' AND bsh.MA_HANG = '34' THEN CAST(gt.GIA_TRI AS VARCHAR2(4000)) END) AS "5.Tài sản tài chính chưa lưu ký tại VSD của Nhà đầu tư",
    MAX(CASE WHEN bsc.TEN_COT=N'Số cuối năm' AND bsh.MA_HANG = '35' THEN CAST(gt.GIA_TRI AS VARCHAR2(4000)) END) AS "6.Tài sản tài chính được hưởng quyền của Nhà đầu tư",
    MAX(CASE WHEN bsc.TEN_COT=N'Số cuối năm' AND bsh.MA_HANG = '36' THEN CAST(gt.GIA_TRI AS VARCHAR2(4000)) END) AS "7. Tiền gửi của khách hàng",
    MAX(CASE WHEN bsc.TEN_COT=N'Số cuối năm' AND bsh.MA_HANG = '37' THEN CAST(gt.GIA_TRI AS VARCHAR2(4000)) END) AS "7.1. Tiền gửi của Nhà đầu tư về giao dịch chứng khoán theo phương thức CTCK quản lý",
    MAX(CASE WHEN bsc.TEN_COT=N'Số cuối năm' AND bsh.MA_HANG = '38' THEN CAST(gt.GIA_TRI AS VARCHAR2(4000)) END) AS "7.2. Tiền gửi tổng hợp giao dịch chứng khoán cho khách hàng",
    MAX(CASE WHEN bsc.TEN_COT=N'Số cuối năm' AND bsh.MA_HANG = '39' THEN CAST(gt.GIA_TRI AS VARCHAR2(4000)) END) AS "7.3. Tiền gửi bù trừ và thanh toán giao dịch chứng khoán",
    MAX(CASE WHEN bsc.TEN_COT=N'Số cuối năm' AND bsh.MA_HANG = '40' THEN CAST(gt.GIA_TRI AS VARCHAR2(4000)) END) AS "a. Tiền gửi bù trừ và thanh toán giao dịch chứng khoán Nhà đầu tư trong nước",
    MAX(CASE WHEN bsc.TEN_COT=N'Số cuối năm' AND bsh.MA_HANG = '41' THEN CAST(gt.GIA_TRI AS VARCHAR2(4000)) END) AS "b. Tiền gửi bù trừ và thanh toán giao dịch chứng khoán Nhà đầu tư nước ngoài",
    MAX(CASE WHEN bsc.TEN_COT=N'Số cuối năm' AND bsh.MA_HANG = '42' THEN CAST(gt.GIA_TRI AS VARCHAR2(4000)) END) AS "7.4. Tiền gửi của Tổ chức phát hành chứng khoán",
    MAX(CASE WHEN bsc.TEN_COT=N'Số cuối năm' AND bsh.MA_HANG = '43' THEN CAST(gt.GIA_TRI AS VARCHAR2(4000)) END) AS "8. Phải trả Nhà đầu tư về tiền gửi giao dịch chứng khoán theo phương thức CTCK quản lý",
    MAX(CASE WHEN bsc.TEN_COT=N'Số cuối năm' AND bsh.MA_HANG = '44' THEN CAST(gt.GIA_TRI AS VARCHAR2(4000)) END) AS "8.1. Phải trả Nhà đầu tư trong nước về tiền gửi giao dịch chứng khoán theo phương thức CTCK quản lý",
    MAX(CASE WHEN bsc.TEN_COT=N'Số cuối năm' AND bsh.MA_HANG = '45' THEN CAST(gt.GIA_TRI AS VARCHAR2(4000)) END) AS "8.2. Phải trả Nhà đầu tư nước ngoài về tiền gửi giao dịch chứng khoán theo phương thức CTCK quản lý",
    MAX(CASE WHEN bsc.TEN_COT=N'Số cuối năm' AND bsh.MA_HANG = '46' THEN CAST(gt.GIA_TRI AS VARCHAR2(4000)) END) AS "9. Phải trả Tổ chức phát hành chứng khoán",
    MAX(CASE WHEN bsc.TEN_COT=N'Số cuối năm' AND bsh.MA_HANG = '47' THEN CAST(gt.GIA_TRI AS VARCHAR2(4000)) END) AS "10. Phải thu của khách hàng về lỗi giao dịch các tài sản tài chính",
    MAX(CASE WHEN bsc.TEN_COT=N'Số cuối năm' AND bsh.MA_HANG = '48' THEN CAST(gt.GIA_TRI AS VARCHAR2(4000)) END) AS "11. Phải trả của khách hàng về lỗi giao dịch các tài sản tài chính",
    MAX(CASE WHEN bsc.TEN_COT=N'Số cuối năm' AND bsh.MA_HANG = '49' THEN CAST(gt.GIA_TRI AS VARCHAR2(4000)) END) AS "12. Phải trả cổ tức, gốc và lãi trái phiếu",    
    -- Số đầu năm
	MAX(CASE WHEN bsc.TEN_COT=N'Số đầu năm' AND bsh.MA_HANG = '4' THEN CAST(gt.GIA_TRI AS VARCHAR2(4000)) END) AS "A.TÀI SẢN CỦA CTCK VÀ TÀI SẢN QUẢN LÝ THEO CAM KẾT",
    MAX(CASE WHEN bsc.TEN_COT=N'Số đầu năm' AND bsh.MA_HANG = '5' THEN CAST(gt.GIA_TRI AS VARCHAR2(4000)) END) AS "1. Tài sản cố định thuê ngoài",    
    MAX(CASE WHEN bsc.TEN_COT=N'Số đầu năm' AND bsh.MA_HANG = '6' THEN CAST(gt.GIA_TRI AS VARCHAR2(4000)) END) AS "2. Chứng chỉ có giá nhận giữ hộ",
    MAX(CASE WHEN bsc.TEN_COT=N'Số đầu năm' AND bsh.MA_HANG = '7' THEN CAST(gt.GIA_TRI AS VARCHAR2(4000)) END) AS "3. Tài sản nhận thế chấp",
    MAX(CASE WHEN bsc.TEN_COT=N'Số đầu năm' AND bsh.MA_HANG = '8' THEN CAST(gt.GIA_TRI AS VARCHAR2(4000)) END) AS "4. Nợ khó đòi đã xử lý",
    MAX(CASE WHEN bsc.TEN_COT=N'Số đầu năm' AND bsh.MA_HANG = '9' THEN CAST(gt.GIA_TRI AS VARCHAR2(4000)) END) AS "5. Ngoại tệ các loại",
    MAX(CASE WHEN bsc.TEN_COT=N'Số đầu năm' AND bsh.MA_HANG = '10' THEN CAST(gt.GIA_TRI AS VARCHAR2(4000)) END) AS "6. Cổ phiếu đang lưu hành",
    MAX(CASE WHEN bsc.TEN_COT=N'Số đầu năm' AND bsh.MA_HANG = '11' THEN CAST(gt.GIA_TRI AS VARCHAR2(4000)) END) AS "7. Cổ phiếu quỹ",
    MAX(CASE WHEN bsc.TEN_COT=N'Số đầu năm' AND bsh.MA_HANG = '12' THEN CAST(gt.GIA_TRI AS VARCHAR2(4000)) END) AS "8. Tài sản tài chính niêm yết/đăng ký giao dịch tại VSD của CTCK",
    MAX(CASE WHEN bsc.TEN_COT=N'Số đầu năm' AND bsh.MA_HANG = '13' THEN CAST(gt.GIA_TRI AS VARCHAR2(4000)) END) AS "9. Tài sản tài chính đã lưu ký tại VSD và chưa giao dịch của CTCK",
    MAX(CASE WHEN bsc.TEN_COT=N'Số đầu năm' AND bsh.MA_HANG = '14' THEN CAST(gt.GIA_TRI AS VARCHAR2(4000)) END) AS "10. Tài sản tài chính chờ về của CTCK",
    MAX(CASE WHEN bsc.TEN_COT=N'Số đầu năm' AND bsh.MA_HANG = '15' THEN CAST(gt.GIA_TRI AS VARCHAR2(4000)) END) AS "11. Tài sản tài chính sửa lỗi giao dịch của CTCK",
    MAX(CASE WHEN bsc.TEN_COT=N'Số đầu năm' AND bsh.MA_HANG = '16' THEN CAST(gt.GIA_TRI AS VARCHAR2(4000)) END) AS "12. Tài sản tài chính chưa lưu ký tại VSD của CTCK",
    MAX(CASE WHEN bsc.TEN_COT=N'Số đầu năm' AND bsh.MA_HANG = '17' THEN CAST(gt.GIA_TRI AS VARCHAR2(4000)) END) AS "13.Tài sản tài chính được hưởng quyền của CTCK",
    MAX(CASE WHEN bsc.TEN_COT=N'Số đầu năm' AND bsh.MA_HANG = '18' THEN CAST(gt.GIA_TRI AS VARCHAR2(4000)) END) AS "14. Chứng quyền",  -- DB cũ đang thiếu chỉ tiêu này
    MAX(CASE WHEN bsc.TEN_COT=N'Số đầu năm' AND bsh.MA_HANG = '19' THEN CAST(gt.GIA_TRI AS VARCHAR2(4000)) END) AS "B. TÀI SẢN VÀ CÁC KHOẢN PHẢI TRẢ VỀ TÀI SẢN QUẢN LÝ CAM KẾT VỚI KHÁCH HÀNG",
    MAX(CASE WHEN bsc.TEN_COT=N'Số đầu năm' AND bsh.MA_HANG = '20' THEN CAST(gt.GIA_TRI AS VARCHAR2(4000)) END) AS "1. Tài sản tài chính niêm yết/đăng ký giao dịch tại VSD của Nhà đầu tư",
    MAX(CASE WHEN bsc.TEN_COT=N'Số đầu năm' AND bsh.MA_HANG = '21' THEN CAST(gt.GIA_TRI AS VARCHAR2(4000)) END) AS "a.Tài sản tài chính giao dịch tự do chuyển nhượng",
    MAX(CASE WHEN bsc.TEN_COT=N'Số đầu năm' AND bsh.MA_HANG = '22' THEN CAST(gt.GIA_TRI AS VARCHAR2(4000)) END) AS "b.Tài sản tài chính hạn chế chuyển nhượng",
    MAX(CASE WHEN bsc.TEN_COT=N'Số đầu năm' AND bsh.MA_HANG = '23' THEN CAST(gt.GIA_TRI AS VARCHAR2(4000)) END) AS "c.Tài sản tài chính giao dịch cầm cố",
    MAX(CASE WHEN bsc.TEN_COT=N'Số đầu năm' AND bsh.MA_HANG = '24' THEN CAST(gt.GIA_TRI AS VARCHAR2(4000)) END) AS "d.Tài sản tài chính phong tỏa, tạm giữ",
    MAX(CASE WHEN bsc.TEN_COT=N'Số đầu năm' AND bsh.MA_HANG = '25' THEN CAST(gt.GIA_TRI AS VARCHAR2(4000)) END) AS "e.Tài sản tài chính chờ thanh toán",
    MAX(CASE WHEN bsc.TEN_COT=N'Số đầu năm' AND bsh.MA_HANG = '26' THEN CAST(gt.GIA_TRI AS VARCHAR2(4000)) END) AS "f. Tài sản tài chính chờ cho vay",
    MAX(CASE WHEN bsc.TEN_COT=N'Số đầu năm' AND bsh.MA_HANG = '27' THEN CAST(gt.GIA_TRI AS VARCHAR2(4000)) END) AS "2. Tài sản tài chính đã lưu ký tại VSD và chưa giao dịch của Nhà đầu tư",
    MAX(CASE WHEN bsc.TEN_COT=N'Số đầu năm' AND bsh.MA_HANG = '28' THEN CAST(gt.GIA_TRI AS VARCHAR2(4000)) END) AS "a.Tài sản tài chính đã lưu ký tại VSD và chưa giao dịch, tự do chuyển nhượng",
    MAX(CASE WHEN bsc.TEN_COT=N'Số đầu năm' AND bsh.MA_HANG = '29' THEN CAST(gt.GIA_TRI AS VARCHAR2(4000)) END) AS "b.Tài sản tài chính đã lưu ký tại VSD và chưa giao dịch, hạn chế chuyển nhượng",
    MAX(CASE WHEN bsc.TEN_COT=N'Số đầu năm' AND bsh.MA_HANG = '30' THEN CAST(gt.GIA_TRI AS VARCHAR2(4000)) END) AS "c.Tài sản tài chính đã lưu ký tại VSD và chưa giao dịch, cầm cố",
    MAX(CASE WHEN bsc.TEN_COT=N'Số đầu năm' AND bsh.MA_HANG = '31' THEN CAST(gt.GIA_TRI AS VARCHAR2(4000)) END) AS "d.Tài sản tài chính đã lưu ký tại VSD và chưa giao dịch, phong tỏa, tạm giữ",
    MAX(CASE WHEN bsc.TEN_COT=N'Số đầu năm' AND bsh.MA_HANG = '32' THEN CAST(gt.GIA_TRI AS VARCHAR2(4000)) END) AS "3. Tài sản tài chính chờ về của Nhà đầu tư",
    MAX(CASE WHEN bsc.TEN_COT=N'Số đầu năm' AND bsh.MA_HANG = '33' THEN CAST(gt.GIA_TRI AS VARCHAR2(4000)) END) AS "4. Tài sản tài chính sửa lỗi giao dịch của Nhà đầu tư",
    MAX(CASE WHEN bsc.TEN_COT=N'Số đầu năm' AND bsh.MA_HANG = '34' THEN CAST(gt.GIA_TRI AS VARCHAR2(4000)) END) AS "5.Tài sản tài chính chưa lưu ký tại VSD của Nhà đầu tư",
    MAX(CASE WHEN bsc.TEN_COT=N'Số đầu năm' AND bsh.MA_HANG = '35' THEN CAST(gt.GIA_TRI AS VARCHAR2(4000)) END) AS "6.Tài sản tài chính được hưởng quyền của Nhà đầu tư",
    MAX(CASE WHEN bsc.TEN_COT=N'Số đầu năm' AND bsh.MA_HANG = '36' THEN CAST(gt.GIA_TRI AS VARCHAR2(4000)) END) AS "7. Tiền gửi của khách hàng",
    MAX(CASE WHEN bsc.TEN_COT=N'Số đầu năm' AND bsh.MA_HANG = '37' THEN CAST(gt.GIA_TRI AS VARCHAR2(4000)) END) AS "7.1. Tiền gửi của Nhà đầu tư về giao dịch chứng khoán theo phương thức CTCK quản lý",
    MAX(CASE WHEN bsc.TEN_COT=N'Số đầu năm' AND bsh.MA_HANG = '38' THEN CAST(gt.GIA_TRI AS VARCHAR2(4000)) END) AS "7.2. Tiền gửi tổng hợp giao dịch chứng khoán cho khách hàng",
    MAX(CASE WHEN bsc.TEN_COT=N'Số đầu năm' AND bsh.MA_HANG = '39' THEN CAST(gt.GIA_TRI AS VARCHAR2(4000)) END) AS "7.3. Tiền gửi bù trừ và thanh toán giao dịch chứng khoán",
    MAX(CASE WHEN bsc.TEN_COT=N'Số đầu năm' AND bsh.MA_HANG = '40' THEN CAST(gt.GIA_TRI AS VARCHAR2(4000)) END) AS "a. Tiền gửi bù trừ và thanh toán giao dịch chứng khoán Nhà đầu tư trong nước",
    MAX(CASE WHEN bsc.TEN_COT=N'Số đầu năm' AND bsh.MA_HANG = '41' THEN CAST(gt.GIA_TRI AS VARCHAR2(4000)) END) AS "b. Tiền gửi bù trừ và thanh toán giao dịch chứng khoán Nhà đầu tư nước ngoài",
    MAX(CASE WHEN bsc.TEN_COT=N'Số đầu năm' AND bsh.MA_HANG = '42' THEN CAST(gt.GIA_TRI AS VARCHAR2(4000)) END) AS "7.4. Tiền gửi của Tổ chức phát hành chứng khoán",
    MAX(CASE WHEN bsc.TEN_COT=N'Số đầu năm' AND bsh.MA_HANG = '43' THEN CAST(gt.GIA_TRI AS VARCHAR2(4000)) END) AS "8. Phải trả Nhà đầu tư về tiền gửi giao dịch chứng khoán theo phương thức CTCK quản lý",
    MAX(CASE WHEN bsc.TEN_COT=N'Số đầu năm' AND bsh.MA_HANG = '44' THEN CAST(gt.GIA_TRI AS VARCHAR2(4000)) END) AS "8.1. Phải trả Nhà đầu tư trong nước về tiền gửi giao dịch chứng khoán theo phương thức CTCK quản lý",
    MAX(CASE WHEN bsc.TEN_COT=N'Số đầu năm' AND bsh.MA_HANG = '45' THEN CAST(gt.GIA_TRI AS VARCHAR2(4000)) END) AS "8.2. Phải trả Nhà đầu tư nước ngoài về tiền gửi giao dịch chứng khoán theo phương thức CTCK quản lý",
    MAX(CASE WHEN bsc.TEN_COT=N'Số đầu năm' AND bsh.MA_HANG = '46' THEN CAST(gt.GIA_TRI AS VARCHAR2(4000)) END) AS "9. Phải trả Tổ chức phát hành chứng khoán",
    MAX(CASE WHEN bsc.TEN_COT=N'Số đầu năm' AND bsh.MA_HANG = '47' THEN CAST(gt.GIA_TRI AS VARCHAR2(4000)) END) AS "10. Phải thu của khách hàng về lỗi giao dịch các tài sản tài chính",
    MAX(CASE WHEN bsc.TEN_COT=N'Số đầu năm' AND bsh.MA_HANG = '48' THEN CAST(gt.GIA_TRI AS VARCHAR2(4000)) END) AS "11. Phải trả của khách hàng về lỗi giao dịch các tài sản tài chính",
    MAX(CASE WHEN bsc.TEN_COT=N'Số đầu năm' AND bsh.MA_HANG = '49' THEN CAST(gt.GIA_TRI AS VARCHAR2(4000)) END) AS "12. Phải trả cổ tức, gốc và lãi trái phiếu"
FROM SCMS.BC_THANH_VIEN btv
JOIN SCMS.BM_BAO_CAO bm ON bm.ID = btv.BM_BAO_CAO_ID
JOIN SCMS.BC_BAO_CAO_GT gt ON gt.BC_THANH_VIEN_ID = btv.ID
JOIN SCMS.BM_BAO_CAO_HANG bsh ON bsh.ID = gt.BM_SHEET_HANG_ID
JOIN SCMS.BM_BAO_CAO_COT bsc ON bsc.BM_SHEET_ID = 5889
--                               AND bsc.TEN_COT = gt.TEN_COT
WHERE bm.MA_BAO_CAO LIKE 'BCTCRLCTCK'
  AND btv.TRANG_THAI IN (2, 3)
GROUP BY btv.ID, btv.NGAY_SO_LIEU
ORDER BY btv.NGAY_SO_LIEU DESC;</t>
        </is>
      </c>
      <c r="U1964" s="16" t="n"/>
      <c r="V1964" s="22" t="n"/>
      <c r="W1964" s="22" t="n"/>
      <c r="X1964" s="22" t="n"/>
      <c r="Y1964" s="13" t="n"/>
      <c r="Z1964" s="22" t="n"/>
      <c r="AA1964" s="22" t="n"/>
      <c r="AB1964" s="22" t="n"/>
      <c r="AC1964" s="22" t="n"/>
      <c r="AD1964" s="22" t="n"/>
      <c r="AE1964" s="22" t="n"/>
    </row>
    <row r="1965" ht="70" customHeight="1" s="380">
      <c r="A1965" s="126" t="n">
        <v>94</v>
      </c>
      <c r="B1965" s="390" t="n"/>
      <c r="C1965" s="390" t="inlineStr">
        <is>
          <t>Báo cáo theo Thông tư 121/2020/TT-BTC &gt;&gt; Báo báo tài chính &gt;&gt; Các chỉ tiêu ngoài báo cáo tình hình tài chính riêng</t>
        </is>
      </c>
      <c r="D1965" s="390" t="inlineStr">
        <is>
          <t>1. Tài sản cố định thuê ngoài</t>
        </is>
      </c>
      <c r="E1965" s="401" t="n">
        <v>1</v>
      </c>
      <c r="F1965" s="390" t="inlineStr">
        <is>
          <t>Data Explorer</t>
        </is>
      </c>
      <c r="G1965" s="390" t="inlineStr">
        <is>
          <t>Chỉ tiêu cơ sở</t>
        </is>
      </c>
      <c r="H1965" s="390" t="inlineStr">
        <is>
          <t>Dễ</t>
        </is>
      </c>
      <c r="I1965" s="390" t="inlineStr">
        <is>
          <t>Ngày, CTCK</t>
        </is>
      </c>
      <c r="J1965" s="401" t="inlineStr">
        <is>
          <t>SCMS</t>
        </is>
      </c>
      <c r="K1965" s="401" t="n"/>
      <c r="L1965" s="401" t="inlineStr">
        <is>
          <t>X</t>
        </is>
      </c>
      <c r="M1965" s="401" t="n"/>
      <c r="N1965" s="401" t="inlineStr">
        <is>
          <t>Done</t>
        </is>
      </c>
      <c r="O1965" s="401" t="n"/>
      <c r="P1965" s="22" t="n"/>
      <c r="S1965" s="22" t="n"/>
      <c r="U1965" s="16" t="n"/>
      <c r="V1965" s="22" t="n"/>
      <c r="W1965" s="22" t="n"/>
      <c r="X1965" s="22" t="n"/>
      <c r="Y1965" s="13" t="n"/>
      <c r="Z1965" s="22" t="n"/>
      <c r="AA1965" s="22" t="n"/>
      <c r="AB1965" s="22" t="n"/>
      <c r="AC1965" s="22" t="n"/>
      <c r="AD1965" s="22" t="n"/>
      <c r="AE1965" s="22" t="n"/>
    </row>
    <row r="1966" ht="70" customHeight="1" s="380">
      <c r="A1966" s="126" t="n">
        <v>94</v>
      </c>
      <c r="B1966" s="390" t="n"/>
      <c r="C1966" s="390" t="inlineStr">
        <is>
          <t>Báo cáo theo Thông tư 121/2020/TT-BTC &gt;&gt; Báo báo tài chính &gt;&gt; Các chỉ tiêu ngoài báo cáo tình hình tài chính riêng</t>
        </is>
      </c>
      <c r="D1966" s="390" t="inlineStr">
        <is>
          <t>2. Chứng chỉ có giá nhận giữ hộ</t>
        </is>
      </c>
      <c r="E1966" s="401" t="n">
        <v>2</v>
      </c>
      <c r="F1966" s="390" t="inlineStr">
        <is>
          <t>Data Explorer</t>
        </is>
      </c>
      <c r="G1966" s="390" t="inlineStr">
        <is>
          <t>Chỉ tiêu cơ sở</t>
        </is>
      </c>
      <c r="H1966" s="390" t="inlineStr">
        <is>
          <t>Dễ</t>
        </is>
      </c>
      <c r="I1966" s="390" t="inlineStr">
        <is>
          <t>Ngày, CTCK</t>
        </is>
      </c>
      <c r="J1966" s="401" t="inlineStr">
        <is>
          <t>SCMS</t>
        </is>
      </c>
      <c r="K1966" s="401" t="n"/>
      <c r="L1966" s="401" t="inlineStr">
        <is>
          <t>X</t>
        </is>
      </c>
      <c r="M1966" s="401" t="n"/>
      <c r="N1966" s="401" t="inlineStr">
        <is>
          <t>Done</t>
        </is>
      </c>
      <c r="O1966" s="401" t="n"/>
      <c r="P1966" s="22" t="n"/>
      <c r="S1966" s="22" t="n"/>
      <c r="U1966" s="16" t="n"/>
      <c r="V1966" s="22" t="n"/>
      <c r="W1966" s="22" t="n"/>
      <c r="X1966" s="22" t="n"/>
      <c r="Y1966" s="14" t="n"/>
      <c r="Z1966" s="22" t="n"/>
      <c r="AA1966" s="22" t="n"/>
      <c r="AB1966" s="22" t="n"/>
      <c r="AC1966" s="22" t="n"/>
      <c r="AD1966" s="22" t="n"/>
      <c r="AE1966" s="22" t="n"/>
    </row>
    <row r="1967" ht="70" customHeight="1" s="380">
      <c r="A1967" s="126" t="n">
        <v>94</v>
      </c>
      <c r="B1967" s="390" t="n"/>
      <c r="C1967" s="390" t="inlineStr">
        <is>
          <t>Báo cáo theo Thông tư 121/2020/TT-BTC &gt;&gt; Báo báo tài chính &gt;&gt; Các chỉ tiêu ngoài báo cáo tình hình tài chính riêng</t>
        </is>
      </c>
      <c r="D1967" s="390" t="inlineStr">
        <is>
          <t>3. Tài sản nhận thế chấp</t>
        </is>
      </c>
      <c r="E1967" s="401" t="n">
        <v>3</v>
      </c>
      <c r="F1967" s="390" t="inlineStr">
        <is>
          <t>Data Explorer</t>
        </is>
      </c>
      <c r="G1967" s="390" t="inlineStr">
        <is>
          <t>Chỉ tiêu cơ sở</t>
        </is>
      </c>
      <c r="H1967" s="390" t="inlineStr">
        <is>
          <t>Dễ</t>
        </is>
      </c>
      <c r="I1967" s="390" t="inlineStr">
        <is>
          <t>Ngày, CTCK</t>
        </is>
      </c>
      <c r="J1967" s="401" t="inlineStr">
        <is>
          <t>SCMS</t>
        </is>
      </c>
      <c r="K1967" s="401" t="n"/>
      <c r="L1967" s="401" t="inlineStr">
        <is>
          <t>X</t>
        </is>
      </c>
      <c r="M1967" s="401" t="n"/>
      <c r="N1967" s="401" t="inlineStr">
        <is>
          <t>Done</t>
        </is>
      </c>
      <c r="O1967" s="401" t="n"/>
      <c r="P1967" s="22" t="n"/>
      <c r="S1967" s="22" t="n"/>
      <c r="U1967" s="16" t="n"/>
      <c r="V1967" s="22" t="n"/>
      <c r="W1967" s="22" t="n"/>
      <c r="X1967" s="22" t="n"/>
      <c r="Y1967" s="13" t="n"/>
      <c r="Z1967" s="22" t="n"/>
      <c r="AA1967" s="22" t="n"/>
      <c r="AB1967" s="22" t="n"/>
      <c r="AC1967" s="22" t="n"/>
      <c r="AD1967" s="22" t="n"/>
      <c r="AE1967" s="22" t="n"/>
    </row>
    <row r="1968" ht="70" customHeight="1" s="380">
      <c r="A1968" s="126" t="n">
        <v>94</v>
      </c>
      <c r="B1968" s="390" t="n"/>
      <c r="C1968" s="390" t="inlineStr">
        <is>
          <t>Báo cáo theo Thông tư 121/2020/TT-BTC &gt;&gt; Báo báo tài chính &gt;&gt; Các chỉ tiêu ngoài báo cáo tình hình tài chính riêng</t>
        </is>
      </c>
      <c r="D1968" s="390" t="inlineStr">
        <is>
          <t>4. Nợ khó đòi đã xử lý</t>
        </is>
      </c>
      <c r="E1968" s="401" t="n">
        <v>4</v>
      </c>
      <c r="F1968" s="390" t="inlineStr">
        <is>
          <t>Data Explorer</t>
        </is>
      </c>
      <c r="G1968" s="390" t="inlineStr">
        <is>
          <t>Chỉ tiêu cơ sở</t>
        </is>
      </c>
      <c r="H1968" s="390" t="inlineStr">
        <is>
          <t>Dễ</t>
        </is>
      </c>
      <c r="I1968" s="390" t="inlineStr">
        <is>
          <t>Ngày, CTCK</t>
        </is>
      </c>
      <c r="J1968" s="401" t="inlineStr">
        <is>
          <t>SCMS</t>
        </is>
      </c>
      <c r="K1968" s="401" t="n"/>
      <c r="L1968" s="401" t="inlineStr">
        <is>
          <t>X</t>
        </is>
      </c>
      <c r="M1968" s="401" t="n"/>
      <c r="N1968" s="401" t="inlineStr">
        <is>
          <t>Done</t>
        </is>
      </c>
      <c r="O1968" s="401" t="n"/>
      <c r="P1968" s="22" t="n"/>
      <c r="S1968" s="22" t="n"/>
      <c r="U1968" s="16" t="n"/>
      <c r="V1968" s="22" t="n"/>
      <c r="W1968" s="22" t="n"/>
      <c r="X1968" s="22" t="n"/>
      <c r="Y1968" s="13" t="n"/>
      <c r="Z1968" s="22" t="n"/>
      <c r="AA1968" s="22" t="n"/>
      <c r="AB1968" s="22" t="n"/>
      <c r="AC1968" s="22" t="n"/>
      <c r="AD1968" s="22" t="n"/>
      <c r="AE1968" s="22" t="n"/>
    </row>
    <row r="1969" ht="70" customHeight="1" s="380">
      <c r="A1969" s="126" t="n">
        <v>94</v>
      </c>
      <c r="B1969" s="390" t="n"/>
      <c r="C1969" s="390" t="inlineStr">
        <is>
          <t>Báo cáo theo Thông tư 121/2020/TT-BTC &gt;&gt; Báo báo tài chính &gt;&gt; Các chỉ tiêu ngoài báo cáo tình hình tài chính riêng</t>
        </is>
      </c>
      <c r="D1969" s="390" t="inlineStr">
        <is>
          <t>5. Ngoại tệ các loại</t>
        </is>
      </c>
      <c r="E1969" s="401" t="n">
        <v>5</v>
      </c>
      <c r="F1969" s="390" t="inlineStr">
        <is>
          <t>Data Explorer</t>
        </is>
      </c>
      <c r="G1969" s="390" t="inlineStr">
        <is>
          <t>Chỉ tiêu cơ sở</t>
        </is>
      </c>
      <c r="H1969" s="390" t="inlineStr">
        <is>
          <t>Dễ</t>
        </is>
      </c>
      <c r="I1969" s="390" t="inlineStr">
        <is>
          <t>Ngày, CTCK</t>
        </is>
      </c>
      <c r="J1969" s="401" t="inlineStr">
        <is>
          <t>SCMS</t>
        </is>
      </c>
      <c r="K1969" s="401" t="n"/>
      <c r="L1969" s="401" t="inlineStr">
        <is>
          <t>X</t>
        </is>
      </c>
      <c r="M1969" s="401" t="n"/>
      <c r="N1969" s="401" t="inlineStr">
        <is>
          <t>Done</t>
        </is>
      </c>
      <c r="O1969" s="401" t="n"/>
      <c r="P1969" s="22" t="n"/>
      <c r="S1969" s="22" t="n"/>
      <c r="U1969" s="16" t="n"/>
      <c r="V1969" s="22" t="n"/>
      <c r="W1969" s="22" t="n"/>
      <c r="X1969" s="22" t="n"/>
      <c r="Y1969" s="13" t="n"/>
      <c r="Z1969" s="22" t="n"/>
      <c r="AA1969" s="22" t="n"/>
      <c r="AB1969" s="22" t="n"/>
      <c r="AC1969" s="22" t="n"/>
      <c r="AD1969" s="22" t="n"/>
      <c r="AE1969" s="22" t="n"/>
    </row>
    <row r="1970" ht="70" customHeight="1" s="380">
      <c r="A1970" s="126" t="n">
        <v>94</v>
      </c>
      <c r="B1970" s="390" t="n"/>
      <c r="C1970" s="390" t="inlineStr">
        <is>
          <t>Báo cáo theo Thông tư 121/2020/TT-BTC &gt;&gt; Báo báo tài chính &gt;&gt; Các chỉ tiêu ngoài báo cáo tình hình tài chính riêng</t>
        </is>
      </c>
      <c r="D1970" s="390" t="inlineStr">
        <is>
          <t>6. Cổ phiếu đang lưu hành</t>
        </is>
      </c>
      <c r="E1970" s="401" t="n">
        <v>6</v>
      </c>
      <c r="F1970" s="390" t="inlineStr">
        <is>
          <t>Data Explorer</t>
        </is>
      </c>
      <c r="G1970" s="390" t="inlineStr">
        <is>
          <t>Chỉ tiêu cơ sở</t>
        </is>
      </c>
      <c r="H1970" s="390" t="inlineStr">
        <is>
          <t>Dễ</t>
        </is>
      </c>
      <c r="I1970" s="390" t="inlineStr">
        <is>
          <t>Ngày, CTCK</t>
        </is>
      </c>
      <c r="J1970" s="401" t="inlineStr">
        <is>
          <t>SCMS</t>
        </is>
      </c>
      <c r="K1970" s="401" t="n"/>
      <c r="L1970" s="401" t="inlineStr">
        <is>
          <t>X</t>
        </is>
      </c>
      <c r="M1970" s="401" t="n"/>
      <c r="N1970" s="401" t="inlineStr">
        <is>
          <t>Done</t>
        </is>
      </c>
      <c r="O1970" s="401" t="n"/>
      <c r="P1970" s="22" t="n"/>
      <c r="S1970" s="22" t="n"/>
      <c r="U1970" s="16" t="n"/>
      <c r="V1970" s="22" t="n"/>
      <c r="W1970" s="22" t="n"/>
      <c r="X1970" s="22" t="n"/>
      <c r="Y1970" s="13" t="n"/>
      <c r="Z1970" s="22" t="n"/>
      <c r="AA1970" s="22" t="n"/>
      <c r="AB1970" s="22" t="n"/>
      <c r="AC1970" s="22" t="n"/>
      <c r="AD1970" s="22" t="n"/>
      <c r="AE1970" s="22" t="n"/>
    </row>
    <row r="1971" ht="70" customHeight="1" s="380">
      <c r="A1971" s="126" t="n">
        <v>94</v>
      </c>
      <c r="B1971" s="390" t="n"/>
      <c r="C1971" s="390" t="inlineStr">
        <is>
          <t>Báo cáo theo Thông tư 121/2020/TT-BTC &gt;&gt; Báo báo tài chính &gt;&gt; Các chỉ tiêu ngoài báo cáo tình hình tài chính riêng</t>
        </is>
      </c>
      <c r="D1971" s="390" t="inlineStr">
        <is>
          <t>7. Cổ phiếu quỹ</t>
        </is>
      </c>
      <c r="E1971" s="401" t="n">
        <v>7</v>
      </c>
      <c r="F1971" s="390" t="inlineStr">
        <is>
          <t>Data Explorer</t>
        </is>
      </c>
      <c r="G1971" s="390" t="inlineStr">
        <is>
          <t>Chỉ tiêu cơ sở</t>
        </is>
      </c>
      <c r="H1971" s="390" t="inlineStr">
        <is>
          <t>Dễ</t>
        </is>
      </c>
      <c r="I1971" s="390" t="inlineStr">
        <is>
          <t>Ngày, CTCK</t>
        </is>
      </c>
      <c r="J1971" s="401" t="inlineStr">
        <is>
          <t>SCMS</t>
        </is>
      </c>
      <c r="K1971" s="401" t="n"/>
      <c r="L1971" s="401" t="inlineStr">
        <is>
          <t>X</t>
        </is>
      </c>
      <c r="M1971" s="401" t="n"/>
      <c r="N1971" s="401" t="inlineStr">
        <is>
          <t>Done</t>
        </is>
      </c>
      <c r="O1971" s="401" t="n"/>
      <c r="P1971" s="22" t="n"/>
      <c r="S1971" s="22" t="n"/>
      <c r="U1971" s="16" t="n"/>
      <c r="V1971" s="22" t="n"/>
      <c r="W1971" s="22" t="n"/>
      <c r="X1971" s="22" t="n"/>
      <c r="Y1971" s="14" t="n"/>
      <c r="Z1971" s="22" t="n"/>
      <c r="AA1971" s="22" t="n"/>
      <c r="AB1971" s="22" t="n"/>
      <c r="AC1971" s="22" t="n"/>
      <c r="AD1971" s="22" t="n"/>
      <c r="AE1971" s="22" t="n"/>
    </row>
    <row r="1972" ht="70" customHeight="1" s="380">
      <c r="A1972" s="126" t="n">
        <v>94</v>
      </c>
      <c r="B1972" s="390" t="n"/>
      <c r="C1972" s="390" t="inlineStr">
        <is>
          <t>Báo cáo theo Thông tư 121/2020/TT-BTC &gt;&gt; Báo báo tài chính &gt;&gt; Các chỉ tiêu ngoài báo cáo tình hình tài chính riêng</t>
        </is>
      </c>
      <c r="D1972" s="390" t="inlineStr">
        <is>
          <t xml:space="preserve">8. Tài sản tài chính niêm yết/đăng ký giao dịch tại VSD của CTCK </t>
        </is>
      </c>
      <c r="E1972" s="401" t="n">
        <v>8</v>
      </c>
      <c r="F1972" s="390" t="inlineStr">
        <is>
          <t>Data Explorer</t>
        </is>
      </c>
      <c r="G1972" s="390" t="inlineStr">
        <is>
          <t>Chỉ tiêu cơ sở</t>
        </is>
      </c>
      <c r="H1972" s="390" t="inlineStr">
        <is>
          <t>Dễ</t>
        </is>
      </c>
      <c r="I1972" s="390" t="inlineStr">
        <is>
          <t>Ngày, CTCK</t>
        </is>
      </c>
      <c r="J1972" s="401" t="inlineStr">
        <is>
          <t>SCMS</t>
        </is>
      </c>
      <c r="K1972" s="401" t="n"/>
      <c r="L1972" s="401" t="inlineStr">
        <is>
          <t>X</t>
        </is>
      </c>
      <c r="M1972" s="401" t="n"/>
      <c r="N1972" s="401" t="inlineStr">
        <is>
          <t>Done</t>
        </is>
      </c>
      <c r="O1972" s="401" t="n"/>
      <c r="P1972" s="22" t="n"/>
      <c r="S1972" s="22" t="n"/>
      <c r="U1972" s="16" t="n"/>
      <c r="V1972" s="22" t="n"/>
      <c r="W1972" s="22" t="n"/>
      <c r="X1972" s="22" t="n"/>
      <c r="Y1972" s="13" t="n"/>
      <c r="Z1972" s="22" t="n"/>
      <c r="AA1972" s="22" t="n"/>
      <c r="AB1972" s="22" t="n"/>
      <c r="AC1972" s="22" t="n"/>
      <c r="AD1972" s="22" t="n"/>
      <c r="AE1972" s="22" t="n"/>
    </row>
    <row r="1973" ht="70" customHeight="1" s="380">
      <c r="A1973" s="126" t="n">
        <v>94</v>
      </c>
      <c r="B1973" s="390" t="n"/>
      <c r="C1973" s="390" t="inlineStr">
        <is>
          <t>Báo cáo theo Thông tư 121/2020/TT-BTC &gt;&gt; Báo báo tài chính &gt;&gt; Các chỉ tiêu ngoài báo cáo tình hình tài chính riêng</t>
        </is>
      </c>
      <c r="D1973" s="390" t="inlineStr">
        <is>
          <t xml:space="preserve">9. Tài sản tài chính đã lưu ký tại VSD và chưa giao dịch của CTCK </t>
        </is>
      </c>
      <c r="E1973" s="401" t="n">
        <v>9</v>
      </c>
      <c r="F1973" s="390" t="inlineStr">
        <is>
          <t>Data Explorer</t>
        </is>
      </c>
      <c r="G1973" s="390" t="inlineStr">
        <is>
          <t>Chỉ tiêu cơ sở</t>
        </is>
      </c>
      <c r="H1973" s="390" t="inlineStr">
        <is>
          <t>Dễ</t>
        </is>
      </c>
      <c r="I1973" s="390" t="inlineStr">
        <is>
          <t>Ngày, CTCK</t>
        </is>
      </c>
      <c r="J1973" s="401" t="inlineStr">
        <is>
          <t>SCMS</t>
        </is>
      </c>
      <c r="K1973" s="401" t="n"/>
      <c r="L1973" s="401" t="inlineStr">
        <is>
          <t>X</t>
        </is>
      </c>
      <c r="M1973" s="401" t="n"/>
      <c r="N1973" s="401" t="inlineStr">
        <is>
          <t>Done</t>
        </is>
      </c>
      <c r="O1973" s="401" t="n"/>
      <c r="P1973" s="22" t="n"/>
      <c r="S1973" s="22" t="n"/>
      <c r="U1973" s="16" t="n"/>
      <c r="V1973" s="22" t="n"/>
      <c r="W1973" s="22" t="n"/>
      <c r="X1973" s="22" t="n"/>
      <c r="Y1973" s="13" t="n"/>
      <c r="Z1973" s="22" t="n"/>
      <c r="AA1973" s="22" t="n"/>
      <c r="AB1973" s="22" t="n"/>
      <c r="AC1973" s="22" t="n"/>
      <c r="AD1973" s="22" t="n"/>
      <c r="AE1973" s="22" t="n"/>
    </row>
    <row r="1974" ht="70" customHeight="1" s="380">
      <c r="A1974" s="126" t="n">
        <v>94</v>
      </c>
      <c r="B1974" s="390" t="n"/>
      <c r="C1974" s="390" t="inlineStr">
        <is>
          <t>Báo cáo theo Thông tư 121/2020/TT-BTC &gt;&gt; Báo báo tài chính &gt;&gt; Các chỉ tiêu ngoài báo cáo tình hình tài chính riêng</t>
        </is>
      </c>
      <c r="D1974" s="390" t="inlineStr">
        <is>
          <t xml:space="preserve">10. Tài sản tài chính chờ về của CTCK </t>
        </is>
      </c>
      <c r="E1974" s="401" t="n">
        <v>10</v>
      </c>
      <c r="F1974" s="390" t="inlineStr">
        <is>
          <t>Data Explorer</t>
        </is>
      </c>
      <c r="G1974" s="390" t="inlineStr">
        <is>
          <t>Chỉ tiêu cơ sở</t>
        </is>
      </c>
      <c r="H1974" s="390" t="inlineStr">
        <is>
          <t>Dễ</t>
        </is>
      </c>
      <c r="I1974" s="390" t="inlineStr">
        <is>
          <t>Ngày, CTCK</t>
        </is>
      </c>
      <c r="J1974" s="401" t="inlineStr">
        <is>
          <t>SCMS</t>
        </is>
      </c>
      <c r="K1974" s="401" t="n"/>
      <c r="L1974" s="401" t="inlineStr">
        <is>
          <t>X</t>
        </is>
      </c>
      <c r="M1974" s="401" t="n"/>
      <c r="N1974" s="401" t="inlineStr">
        <is>
          <t>Done</t>
        </is>
      </c>
      <c r="O1974" s="401" t="n"/>
      <c r="P1974" s="22" t="n"/>
      <c r="S1974" s="22" t="n"/>
      <c r="U1974" s="16" t="n"/>
      <c r="V1974" s="22" t="n"/>
      <c r="W1974" s="22" t="n"/>
      <c r="X1974" s="22" t="n"/>
      <c r="Y1974" s="13" t="n"/>
      <c r="Z1974" s="22" t="n"/>
      <c r="AA1974" s="22" t="n"/>
      <c r="AB1974" s="22" t="n"/>
      <c r="AC1974" s="22" t="n"/>
      <c r="AD1974" s="22" t="n"/>
      <c r="AE1974" s="22" t="n"/>
    </row>
    <row r="1975" ht="70" customHeight="1" s="380">
      <c r="A1975" s="126" t="n">
        <v>94</v>
      </c>
      <c r="B1975" s="390" t="n"/>
      <c r="C1975" s="390" t="inlineStr">
        <is>
          <t>Báo cáo theo Thông tư 121/2020/TT-BTC &gt;&gt; Báo báo tài chính &gt;&gt; Các chỉ tiêu ngoài báo cáo tình hình tài chính riêng</t>
        </is>
      </c>
      <c r="D1975" s="390" t="inlineStr">
        <is>
          <t xml:space="preserve">11. Tài sản tài chính sửa lỗi giao dịch của CTCK </t>
        </is>
      </c>
      <c r="E1975" s="401" t="n">
        <v>11</v>
      </c>
      <c r="F1975" s="390" t="inlineStr">
        <is>
          <t>Data Explorer</t>
        </is>
      </c>
      <c r="G1975" s="390" t="inlineStr">
        <is>
          <t>Chỉ tiêu cơ sở</t>
        </is>
      </c>
      <c r="H1975" s="390" t="inlineStr">
        <is>
          <t>Dễ</t>
        </is>
      </c>
      <c r="I1975" s="390" t="inlineStr">
        <is>
          <t>Ngày, CTCK</t>
        </is>
      </c>
      <c r="J1975" s="401" t="inlineStr">
        <is>
          <t>SCMS</t>
        </is>
      </c>
      <c r="K1975" s="401" t="n"/>
      <c r="L1975" s="401" t="inlineStr">
        <is>
          <t>X</t>
        </is>
      </c>
      <c r="M1975" s="401" t="n"/>
      <c r="N1975" s="401" t="inlineStr">
        <is>
          <t>Done</t>
        </is>
      </c>
      <c r="O1975" s="401" t="n"/>
      <c r="P1975" s="22" t="n"/>
      <c r="S1975" s="22" t="n"/>
      <c r="U1975" s="16" t="n"/>
      <c r="V1975" s="22" t="n"/>
      <c r="W1975" s="22" t="n"/>
      <c r="X1975" s="22" t="n"/>
      <c r="Y1975" s="14" t="n"/>
      <c r="Z1975" s="22" t="n"/>
      <c r="AA1975" s="22" t="n"/>
      <c r="AB1975" s="22" t="n"/>
      <c r="AC1975" s="22" t="n"/>
      <c r="AD1975" s="22" t="n"/>
      <c r="AE1975" s="22" t="n"/>
    </row>
    <row r="1976" ht="70" customHeight="1" s="380">
      <c r="A1976" s="126" t="n">
        <v>94</v>
      </c>
      <c r="B1976" s="390" t="n"/>
      <c r="C1976" s="390" t="inlineStr">
        <is>
          <t>Báo cáo theo Thông tư 121/2020/TT-BTC &gt;&gt; Báo báo tài chính &gt;&gt; Các chỉ tiêu ngoài báo cáo tình hình tài chính riêng</t>
        </is>
      </c>
      <c r="D1976" s="390" t="inlineStr">
        <is>
          <t xml:space="preserve">12. Tài sản tài chính chưa lưu ký tại VSD của CTCK </t>
        </is>
      </c>
      <c r="E1976" s="401" t="n">
        <v>12</v>
      </c>
      <c r="F1976" s="390" t="inlineStr">
        <is>
          <t>Data Explorer</t>
        </is>
      </c>
      <c r="G1976" s="390" t="inlineStr">
        <is>
          <t>Chỉ tiêu cơ sở</t>
        </is>
      </c>
      <c r="H1976" s="390" t="inlineStr">
        <is>
          <t>Dễ</t>
        </is>
      </c>
      <c r="I1976" s="390" t="inlineStr">
        <is>
          <t>Ngày, CTCK</t>
        </is>
      </c>
      <c r="J1976" s="401" t="inlineStr">
        <is>
          <t>SCMS</t>
        </is>
      </c>
      <c r="K1976" s="401" t="n"/>
      <c r="L1976" s="401" t="inlineStr">
        <is>
          <t>X</t>
        </is>
      </c>
      <c r="M1976" s="401" t="n"/>
      <c r="N1976" s="401" t="inlineStr">
        <is>
          <t>Done</t>
        </is>
      </c>
      <c r="O1976" s="401" t="n"/>
      <c r="P1976" s="22" t="n"/>
      <c r="S1976" s="22" t="n"/>
      <c r="U1976" s="16" t="n"/>
      <c r="V1976" s="22" t="n"/>
      <c r="W1976" s="22" t="n"/>
      <c r="X1976" s="22" t="n"/>
      <c r="Y1976" s="13" t="n"/>
      <c r="Z1976" s="22" t="n"/>
      <c r="AA1976" s="22" t="n"/>
      <c r="AB1976" s="22" t="n"/>
      <c r="AC1976" s="22" t="n"/>
      <c r="AD1976" s="22" t="n"/>
      <c r="AE1976" s="22" t="n"/>
    </row>
    <row r="1977" ht="70" customHeight="1" s="380">
      <c r="A1977" s="126" t="n">
        <v>94</v>
      </c>
      <c r="B1977" s="390" t="n"/>
      <c r="C1977" s="390" t="inlineStr">
        <is>
          <t>Báo cáo theo Thông tư 121/2020/TT-BTC &gt;&gt; Báo báo tài chính &gt;&gt; Các chỉ tiêu ngoài báo cáo tình hình tài chính riêng</t>
        </is>
      </c>
      <c r="D1977" s="390" t="inlineStr">
        <is>
          <t xml:space="preserve">13.Tài sản tài chính được hưởng quyền của CTCK </t>
        </is>
      </c>
      <c r="E1977" s="401" t="n">
        <v>13</v>
      </c>
      <c r="F1977" s="390" t="inlineStr">
        <is>
          <t>Data Explorer</t>
        </is>
      </c>
      <c r="G1977" s="390" t="inlineStr">
        <is>
          <t>Chỉ tiêu cơ sở</t>
        </is>
      </c>
      <c r="H1977" s="390" t="inlineStr">
        <is>
          <t>Dễ</t>
        </is>
      </c>
      <c r="I1977" s="390" t="inlineStr">
        <is>
          <t>Ngày, CTCK</t>
        </is>
      </c>
      <c r="J1977" s="401" t="inlineStr">
        <is>
          <t>SCMS</t>
        </is>
      </c>
      <c r="K1977" s="401" t="n"/>
      <c r="L1977" s="401" t="inlineStr">
        <is>
          <t>X</t>
        </is>
      </c>
      <c r="M1977" s="401" t="n"/>
      <c r="N1977" s="401" t="inlineStr">
        <is>
          <t>Done</t>
        </is>
      </c>
      <c r="O1977" s="401" t="n"/>
      <c r="P1977" s="22" t="n"/>
      <c r="S1977" s="22" t="n"/>
      <c r="U1977" s="16" t="n"/>
      <c r="V1977" s="22" t="n"/>
      <c r="W1977" s="22" t="n"/>
      <c r="X1977" s="22" t="n"/>
      <c r="Y1977" s="13" t="n"/>
      <c r="Z1977" s="22" t="n"/>
      <c r="AA1977" s="22" t="n"/>
      <c r="AB1977" s="22" t="n"/>
      <c r="AC1977" s="22" t="n"/>
      <c r="AD1977" s="22" t="n"/>
      <c r="AE1977" s="22" t="n"/>
    </row>
    <row r="1978" ht="70" customHeight="1" s="380">
      <c r="A1978" s="126" t="n">
        <v>94</v>
      </c>
      <c r="B1978" s="390" t="n"/>
      <c r="C1978" s="390" t="inlineStr">
        <is>
          <t>Báo cáo theo Thông tư 121/2020/TT-BTC &gt;&gt; Báo báo tài chính &gt;&gt; Các chỉ tiêu ngoài báo cáo tình hình tài chính riêng</t>
        </is>
      </c>
      <c r="D1978" s="390" t="inlineStr">
        <is>
          <t>14.Chứng quyền</t>
        </is>
      </c>
      <c r="E1978" s="401" t="n"/>
      <c r="F1978" s="390" t="inlineStr">
        <is>
          <t>Data Explorer</t>
        </is>
      </c>
      <c r="G1978" s="390" t="inlineStr">
        <is>
          <t>Chỉ tiêu cơ sở</t>
        </is>
      </c>
      <c r="H1978" s="390" t="inlineStr">
        <is>
          <t>Dễ</t>
        </is>
      </c>
      <c r="I1978" s="390" t="inlineStr">
        <is>
          <t>Ngày, CTCK</t>
        </is>
      </c>
      <c r="J1978" s="401" t="inlineStr">
        <is>
          <t>SCMS</t>
        </is>
      </c>
      <c r="K1978" s="401" t="n"/>
      <c r="L1978" s="401" t="inlineStr">
        <is>
          <t>X</t>
        </is>
      </c>
      <c r="M1978" s="401" t="n"/>
      <c r="N1978" s="401" t="inlineStr">
        <is>
          <t>Pending</t>
        </is>
      </c>
      <c r="O1978" s="401" t="n"/>
      <c r="P1978" s="22" t="n"/>
      <c r="S1978" s="22" t="n"/>
      <c r="U1978" s="82" t="inlineStr">
        <is>
          <t>DB cũ đang thiếu chỉ tiêu này</t>
        </is>
      </c>
      <c r="V1978" s="22" t="n"/>
      <c r="W1978" s="22" t="n"/>
      <c r="X1978" s="22" t="n"/>
      <c r="Y1978" s="13" t="n"/>
      <c r="Z1978" s="22" t="n"/>
      <c r="AA1978" s="22" t="n"/>
      <c r="AB1978" s="22" t="n"/>
      <c r="AC1978" s="22" t="n"/>
      <c r="AD1978" s="22" t="n"/>
      <c r="AE1978" s="22" t="n"/>
    </row>
    <row r="1979" ht="70" customHeight="1" s="380">
      <c r="A1979" s="126" t="n">
        <v>94</v>
      </c>
      <c r="B1979" s="390" t="n"/>
      <c r="C1979" s="390" t="inlineStr">
        <is>
          <t>Báo cáo theo Thông tư 121/2020/TT-BTC &gt;&gt; Báo báo tài chính &gt;&gt; Các chỉ tiêu ngoài báo cáo tình hình tài chính riêng</t>
        </is>
      </c>
      <c r="D1979" s="132" t="inlineStr">
        <is>
          <t xml:space="preserve">B. TÀI SẢN VÀ CÁC KHOẢN PHẢI TRẢ VỀ TÀI SẢN QUẢN LÝ CAM KẾT VỚI KHÁCH HÀNG </t>
        </is>
      </c>
      <c r="E1979" s="401" t="n"/>
      <c r="F1979" s="390" t="inlineStr">
        <is>
          <t>Data Explorer</t>
        </is>
      </c>
      <c r="G1979" s="390" t="inlineStr">
        <is>
          <t>Chỉ tiêu cơ sở</t>
        </is>
      </c>
      <c r="H1979" s="390" t="inlineStr">
        <is>
          <t>Dễ</t>
        </is>
      </c>
      <c r="I1979" s="390" t="inlineStr">
        <is>
          <t>Ngày, CTCK</t>
        </is>
      </c>
      <c r="J1979" s="401" t="inlineStr">
        <is>
          <t>SCMS</t>
        </is>
      </c>
      <c r="K1979" s="401" t="n"/>
      <c r="L1979" s="401" t="inlineStr">
        <is>
          <t>X</t>
        </is>
      </c>
      <c r="M1979" s="401" t="n"/>
      <c r="N1979" s="401" t="inlineStr">
        <is>
          <t>Done</t>
        </is>
      </c>
      <c r="O1979" s="401" t="n"/>
      <c r="P1979" s="22" t="n"/>
      <c r="S1979" s="22" t="n"/>
      <c r="U1979" s="16" t="n"/>
      <c r="V1979" s="22" t="n"/>
      <c r="W1979" s="22" t="n"/>
      <c r="X1979" s="22" t="n"/>
      <c r="Y1979" s="13" t="n"/>
      <c r="Z1979" s="22" t="n"/>
      <c r="AA1979" s="22" t="n"/>
      <c r="AB1979" s="22" t="n"/>
      <c r="AC1979" s="22" t="n"/>
      <c r="AD1979" s="22" t="n"/>
      <c r="AE1979" s="22" t="n"/>
    </row>
    <row r="1980" ht="70" customHeight="1" s="380">
      <c r="A1980" s="126" t="n">
        <v>94</v>
      </c>
      <c r="B1980" s="390" t="n"/>
      <c r="C1980" s="390" t="inlineStr">
        <is>
          <t>Báo cáo theo Thông tư 121/2020/TT-BTC &gt;&gt; Báo báo tài chính &gt;&gt; Các chỉ tiêu ngoài báo cáo tình hình tài chính riêng</t>
        </is>
      </c>
      <c r="D1980" s="390" t="inlineStr">
        <is>
          <t>1.Tài sản tài chính niêm yết/đăng ký giao dịch tại VSD của Nhà đầu tư</t>
        </is>
      </c>
      <c r="E1980" s="401" t="n">
        <v>21</v>
      </c>
      <c r="F1980" s="390" t="inlineStr">
        <is>
          <t>Data Explorer</t>
        </is>
      </c>
      <c r="G1980" s="390" t="inlineStr">
        <is>
          <t>Chỉ tiêu cơ sở</t>
        </is>
      </c>
      <c r="H1980" s="390" t="inlineStr">
        <is>
          <t>Dễ</t>
        </is>
      </c>
      <c r="I1980" s="390" t="inlineStr">
        <is>
          <t>Ngày, CTCK</t>
        </is>
      </c>
      <c r="J1980" s="401" t="inlineStr">
        <is>
          <t>SCMS</t>
        </is>
      </c>
      <c r="K1980" s="401" t="n"/>
      <c r="L1980" s="401" t="inlineStr">
        <is>
          <t>X</t>
        </is>
      </c>
      <c r="M1980" s="401" t="n"/>
      <c r="N1980" s="401" t="inlineStr">
        <is>
          <t>Done</t>
        </is>
      </c>
      <c r="O1980" s="401" t="n"/>
      <c r="P1980" s="22" t="n"/>
      <c r="S1980" s="22" t="n"/>
      <c r="U1980" s="16" t="n"/>
      <c r="V1980" s="22" t="n"/>
      <c r="W1980" s="22" t="n"/>
      <c r="X1980" s="22" t="n"/>
      <c r="Y1980" s="13" t="n"/>
      <c r="Z1980" s="22" t="n"/>
      <c r="AA1980" s="22" t="n"/>
      <c r="AB1980" s="22" t="n"/>
      <c r="AC1980" s="22" t="n"/>
      <c r="AD1980" s="22" t="n"/>
      <c r="AE1980" s="22" t="n"/>
    </row>
    <row r="1981" ht="70" customHeight="1" s="380">
      <c r="A1981" s="126" t="n">
        <v>94</v>
      </c>
      <c r="B1981" s="390" t="n"/>
      <c r="C1981" s="390" t="inlineStr">
        <is>
          <t>Báo cáo theo Thông tư 121/2020/TT-BTC &gt;&gt; Báo báo tài chính &gt;&gt; Các chỉ tiêu ngoài báo cáo tình hình tài chính riêng</t>
        </is>
      </c>
      <c r="D1981" s="390" t="inlineStr">
        <is>
          <t>a.Tài sản tài chính giao dịch tự do chuyển nhượng</t>
        </is>
      </c>
      <c r="E1981" s="401" t="n">
        <v>21.1</v>
      </c>
      <c r="F1981" s="390" t="inlineStr">
        <is>
          <t>Data Explorer</t>
        </is>
      </c>
      <c r="G1981" s="390" t="inlineStr">
        <is>
          <t>Chỉ tiêu cơ sở</t>
        </is>
      </c>
      <c r="H1981" s="390" t="inlineStr">
        <is>
          <t>Dễ</t>
        </is>
      </c>
      <c r="I1981" s="390" t="inlineStr">
        <is>
          <t>Ngày, CTCK</t>
        </is>
      </c>
      <c r="J1981" s="401" t="inlineStr">
        <is>
          <t>SCMS</t>
        </is>
      </c>
      <c r="K1981" s="401" t="n"/>
      <c r="L1981" s="401" t="inlineStr">
        <is>
          <t>X</t>
        </is>
      </c>
      <c r="M1981" s="401" t="n"/>
      <c r="N1981" s="401" t="inlineStr">
        <is>
          <t>Done</t>
        </is>
      </c>
      <c r="O1981" s="401" t="n"/>
      <c r="P1981" s="22" t="n"/>
      <c r="S1981" s="22" t="n"/>
      <c r="U1981" s="16" t="n"/>
      <c r="V1981" s="22" t="n"/>
      <c r="W1981" s="22" t="n"/>
      <c r="X1981" s="22" t="n"/>
      <c r="Y1981" s="14" t="n"/>
      <c r="Z1981" s="22" t="n"/>
      <c r="AA1981" s="22" t="n"/>
      <c r="AB1981" s="22" t="n"/>
      <c r="AC1981" s="22" t="n"/>
      <c r="AD1981" s="22" t="n"/>
      <c r="AE1981" s="22" t="n"/>
    </row>
    <row r="1982" ht="70" customHeight="1" s="380">
      <c r="A1982" s="126" t="n">
        <v>94</v>
      </c>
      <c r="B1982" s="390" t="n"/>
      <c r="C1982" s="390" t="inlineStr">
        <is>
          <t>Báo cáo theo Thông tư 121/2020/TT-BTC &gt;&gt; Báo báo tài chính &gt;&gt; Các chỉ tiêu ngoài báo cáo tình hình tài chính riêng</t>
        </is>
      </c>
      <c r="D1982" s="390" t="inlineStr">
        <is>
          <t>b.Tài sản tài chính hạn chế chuyển nhượng</t>
        </is>
      </c>
      <c r="E1982" s="401" t="n">
        <v>21.2</v>
      </c>
      <c r="F1982" s="390" t="inlineStr">
        <is>
          <t>Data Explorer</t>
        </is>
      </c>
      <c r="G1982" s="390" t="inlineStr">
        <is>
          <t>Chỉ tiêu cơ sở</t>
        </is>
      </c>
      <c r="H1982" s="390" t="inlineStr">
        <is>
          <t>Dễ</t>
        </is>
      </c>
      <c r="I1982" s="390" t="inlineStr">
        <is>
          <t>Ngày, CTCK</t>
        </is>
      </c>
      <c r="J1982" s="401" t="inlineStr">
        <is>
          <t>SCMS</t>
        </is>
      </c>
      <c r="K1982" s="401" t="n"/>
      <c r="L1982" s="401" t="inlineStr">
        <is>
          <t>X</t>
        </is>
      </c>
      <c r="M1982" s="401" t="n"/>
      <c r="N1982" s="401" t="inlineStr">
        <is>
          <t>Done</t>
        </is>
      </c>
      <c r="O1982" s="401" t="n"/>
      <c r="P1982" s="22" t="n"/>
      <c r="S1982" s="22" t="n"/>
      <c r="U1982" s="16" t="n"/>
      <c r="V1982" s="22" t="n"/>
      <c r="W1982" s="22" t="n"/>
      <c r="X1982" s="22" t="n"/>
      <c r="Y1982" s="13" t="n"/>
      <c r="Z1982" s="22" t="n"/>
      <c r="AA1982" s="22" t="n"/>
      <c r="AB1982" s="22" t="n"/>
      <c r="AC1982" s="22" t="n"/>
      <c r="AD1982" s="22" t="n"/>
      <c r="AE1982" s="22" t="n"/>
    </row>
    <row r="1983" ht="70" customHeight="1" s="380">
      <c r="A1983" s="126" t="n">
        <v>94</v>
      </c>
      <c r="B1983" s="390" t="n"/>
      <c r="C1983" s="390" t="inlineStr">
        <is>
          <t>Báo cáo theo Thông tư 121/2020/TT-BTC &gt;&gt; Báo báo tài chính &gt;&gt; Các chỉ tiêu ngoài báo cáo tình hình tài chính riêng</t>
        </is>
      </c>
      <c r="D1983" s="390" t="inlineStr">
        <is>
          <t>c.Tài sản tài chính giao dịch cầm cố</t>
        </is>
      </c>
      <c r="E1983" s="401" t="n">
        <v>21.3</v>
      </c>
      <c r="F1983" s="390" t="inlineStr">
        <is>
          <t>Data Explorer</t>
        </is>
      </c>
      <c r="G1983" s="390" t="inlineStr">
        <is>
          <t>Chỉ tiêu cơ sở</t>
        </is>
      </c>
      <c r="H1983" s="390" t="inlineStr">
        <is>
          <t>Dễ</t>
        </is>
      </c>
      <c r="I1983" s="390" t="inlineStr">
        <is>
          <t>Ngày, CTCK</t>
        </is>
      </c>
      <c r="J1983" s="401" t="inlineStr">
        <is>
          <t>SCMS</t>
        </is>
      </c>
      <c r="K1983" s="401" t="n"/>
      <c r="L1983" s="401" t="inlineStr">
        <is>
          <t>X</t>
        </is>
      </c>
      <c r="M1983" s="401" t="n"/>
      <c r="N1983" s="401" t="inlineStr">
        <is>
          <t>Done</t>
        </is>
      </c>
      <c r="O1983" s="401" t="n"/>
      <c r="P1983" s="22" t="n"/>
      <c r="S1983" s="22" t="n"/>
      <c r="U1983" s="16" t="n"/>
      <c r="V1983" s="22" t="n"/>
      <c r="W1983" s="22" t="n"/>
      <c r="X1983" s="22" t="n"/>
      <c r="Y1983" s="13" t="n"/>
      <c r="Z1983" s="22" t="n"/>
      <c r="AA1983" s="22" t="n"/>
      <c r="AB1983" s="22" t="n"/>
      <c r="AC1983" s="22" t="n"/>
      <c r="AD1983" s="22" t="n"/>
      <c r="AE1983" s="22" t="n"/>
    </row>
    <row r="1984" ht="70" customHeight="1" s="380">
      <c r="A1984" s="126" t="n">
        <v>94</v>
      </c>
      <c r="B1984" s="390" t="n"/>
      <c r="C1984" s="390" t="inlineStr">
        <is>
          <t>Báo cáo theo Thông tư 121/2020/TT-BTC &gt;&gt; Báo báo tài chính &gt;&gt; Các chỉ tiêu ngoài báo cáo tình hình tài chính riêng</t>
        </is>
      </c>
      <c r="D1984" s="390" t="inlineStr">
        <is>
          <t>d.Tài sản tài chính phong tỏa, tạm giữ</t>
        </is>
      </c>
      <c r="E1984" s="401" t="n">
        <v>21.4</v>
      </c>
      <c r="F1984" s="390" t="inlineStr">
        <is>
          <t>Data Explorer</t>
        </is>
      </c>
      <c r="G1984" s="390" t="inlineStr">
        <is>
          <t>Chỉ tiêu cơ sở</t>
        </is>
      </c>
      <c r="H1984" s="390" t="inlineStr">
        <is>
          <t>Dễ</t>
        </is>
      </c>
      <c r="I1984" s="390" t="inlineStr">
        <is>
          <t>Ngày, CTCK</t>
        </is>
      </c>
      <c r="J1984" s="401" t="inlineStr">
        <is>
          <t>SCMS</t>
        </is>
      </c>
      <c r="K1984" s="401" t="n"/>
      <c r="L1984" s="401" t="inlineStr">
        <is>
          <t>X</t>
        </is>
      </c>
      <c r="M1984" s="401" t="n"/>
      <c r="N1984" s="401" t="inlineStr">
        <is>
          <t>Done</t>
        </is>
      </c>
      <c r="O1984" s="401" t="n"/>
      <c r="P1984" s="22" t="n"/>
      <c r="S1984" s="22" t="n"/>
      <c r="U1984" s="16" t="n"/>
      <c r="V1984" s="22" t="n"/>
      <c r="W1984" s="22" t="n"/>
      <c r="X1984" s="22" t="n"/>
      <c r="Y1984" s="13" t="n"/>
      <c r="Z1984" s="22" t="n"/>
      <c r="AA1984" s="22" t="n"/>
      <c r="AB1984" s="22" t="n"/>
      <c r="AC1984" s="22" t="n"/>
      <c r="AD1984" s="22" t="n"/>
      <c r="AE1984" s="22" t="n"/>
    </row>
    <row r="1985" ht="70" customHeight="1" s="380">
      <c r="A1985" s="126" t="n">
        <v>94</v>
      </c>
      <c r="B1985" s="390" t="n"/>
      <c r="C1985" s="390" t="inlineStr">
        <is>
          <t>Báo cáo theo Thông tư 121/2020/TT-BTC &gt;&gt; Báo báo tài chính &gt;&gt; Các chỉ tiêu ngoài báo cáo tình hình tài chính riêng</t>
        </is>
      </c>
      <c r="D1985" s="390" t="inlineStr">
        <is>
          <t>e.Tài sản tài chính chờ thanh toán</t>
        </is>
      </c>
      <c r="E1985" s="401" t="n">
        <v>21.5</v>
      </c>
      <c r="F1985" s="390" t="inlineStr">
        <is>
          <t>Data Explorer</t>
        </is>
      </c>
      <c r="G1985" s="390" t="inlineStr">
        <is>
          <t>Chỉ tiêu cơ sở</t>
        </is>
      </c>
      <c r="H1985" s="390" t="inlineStr">
        <is>
          <t>Dễ</t>
        </is>
      </c>
      <c r="I1985" s="390" t="inlineStr">
        <is>
          <t>Ngày, CTCK</t>
        </is>
      </c>
      <c r="J1985" s="401" t="inlineStr">
        <is>
          <t>SCMS</t>
        </is>
      </c>
      <c r="K1985" s="401" t="n"/>
      <c r="L1985" s="401" t="inlineStr">
        <is>
          <t>X</t>
        </is>
      </c>
      <c r="M1985" s="401" t="n"/>
      <c r="N1985" s="401" t="inlineStr">
        <is>
          <t>Done</t>
        </is>
      </c>
      <c r="O1985" s="401" t="n"/>
      <c r="P1985" s="22" t="n"/>
      <c r="S1985" s="22" t="n"/>
      <c r="U1985" s="16" t="n"/>
      <c r="V1985" s="22" t="n"/>
      <c r="W1985" s="22" t="n"/>
      <c r="X1985" s="22" t="n"/>
      <c r="Y1985" s="13" t="n"/>
      <c r="Z1985" s="22" t="n"/>
      <c r="AA1985" s="22" t="n"/>
      <c r="AB1985" s="22" t="n"/>
      <c r="AC1985" s="22" t="n"/>
      <c r="AD1985" s="22" t="n"/>
      <c r="AE1985" s="22" t="n"/>
    </row>
    <row r="1986" ht="70" customHeight="1" s="380">
      <c r="A1986" s="126" t="n">
        <v>94</v>
      </c>
      <c r="B1986" s="390" t="n"/>
      <c r="C1986" s="390" t="inlineStr">
        <is>
          <t>Báo cáo theo Thông tư 121/2020/TT-BTC &gt;&gt; Báo báo tài chính &gt;&gt; Các chỉ tiêu ngoài báo cáo tình hình tài chính riêng</t>
        </is>
      </c>
      <c r="D1986" s="390" t="inlineStr">
        <is>
          <t>f. Tài sản tài chính chờ cho vay</t>
        </is>
      </c>
      <c r="E1986" s="401" t="n">
        <v>21.6</v>
      </c>
      <c r="F1986" s="390" t="inlineStr">
        <is>
          <t>Data Explorer</t>
        </is>
      </c>
      <c r="G1986" s="390" t="inlineStr">
        <is>
          <t>Chỉ tiêu cơ sở</t>
        </is>
      </c>
      <c r="H1986" s="390" t="inlineStr">
        <is>
          <t>Dễ</t>
        </is>
      </c>
      <c r="I1986" s="390" t="inlineStr">
        <is>
          <t>Ngày, CTCK</t>
        </is>
      </c>
      <c r="J1986" s="401" t="inlineStr">
        <is>
          <t>SCMS</t>
        </is>
      </c>
      <c r="K1986" s="401" t="n"/>
      <c r="L1986" s="401" t="inlineStr">
        <is>
          <t>X</t>
        </is>
      </c>
      <c r="M1986" s="401" t="n"/>
      <c r="N1986" s="401" t="inlineStr">
        <is>
          <t>Done</t>
        </is>
      </c>
      <c r="O1986" s="401" t="n"/>
      <c r="P1986" s="22" t="n"/>
      <c r="S1986" s="22" t="n"/>
      <c r="U1986" s="16" t="n"/>
      <c r="V1986" s="22" t="n"/>
      <c r="W1986" s="22" t="n"/>
      <c r="X1986" s="22" t="n"/>
      <c r="Y1986" s="13" t="n"/>
      <c r="Z1986" s="22" t="n"/>
      <c r="AA1986" s="22" t="n"/>
      <c r="AB1986" s="22" t="n"/>
      <c r="AC1986" s="22" t="n"/>
      <c r="AD1986" s="22" t="n"/>
      <c r="AE1986" s="22" t="n"/>
    </row>
    <row r="1987" ht="70" customHeight="1" s="380">
      <c r="A1987" s="126" t="n">
        <v>94</v>
      </c>
      <c r="B1987" s="390" t="n"/>
      <c r="C1987" s="390" t="inlineStr">
        <is>
          <t>Báo cáo theo Thông tư 121/2020/TT-BTC &gt;&gt; Báo báo tài chính &gt;&gt; Các chỉ tiêu ngoài báo cáo tình hình tài chính riêng</t>
        </is>
      </c>
      <c r="D1987" s="390" t="inlineStr">
        <is>
          <t>2. Tài sản tài chính đã lưu ký tại VSD và chưa giao dịch của Nhà đầu tư</t>
        </is>
      </c>
      <c r="E1987" s="401" t="n">
        <v>22</v>
      </c>
      <c r="F1987" s="390" t="inlineStr">
        <is>
          <t>Data Explorer</t>
        </is>
      </c>
      <c r="G1987" s="390" t="inlineStr">
        <is>
          <t>Chỉ tiêu cơ sở</t>
        </is>
      </c>
      <c r="H1987" s="390" t="inlineStr">
        <is>
          <t>Dễ</t>
        </is>
      </c>
      <c r="I1987" s="390" t="inlineStr">
        <is>
          <t>Ngày, CTCK</t>
        </is>
      </c>
      <c r="J1987" s="401" t="inlineStr">
        <is>
          <t>SCMS</t>
        </is>
      </c>
      <c r="K1987" s="401" t="n"/>
      <c r="L1987" s="401" t="inlineStr">
        <is>
          <t>X</t>
        </is>
      </c>
      <c r="M1987" s="401" t="n"/>
      <c r="N1987" s="401" t="inlineStr">
        <is>
          <t>Done</t>
        </is>
      </c>
      <c r="O1987" s="401" t="n"/>
      <c r="P1987" s="22" t="n"/>
      <c r="S1987" s="22" t="n"/>
      <c r="U1987" s="16" t="n"/>
      <c r="V1987" s="22" t="n"/>
      <c r="W1987" s="22" t="n"/>
      <c r="X1987" s="22" t="n"/>
      <c r="Y1987" s="38" t="n"/>
      <c r="Z1987" s="22" t="n"/>
      <c r="AA1987" s="22" t="n"/>
      <c r="AB1987" s="22" t="n"/>
      <c r="AC1987" s="22" t="n"/>
      <c r="AD1987" s="22" t="n"/>
      <c r="AE1987" s="22" t="n"/>
    </row>
    <row r="1988" ht="70" customHeight="1" s="380">
      <c r="A1988" s="126" t="n">
        <v>94</v>
      </c>
      <c r="B1988" s="390" t="n"/>
      <c r="C1988" s="390" t="inlineStr">
        <is>
          <t>Báo cáo theo Thông tư 121/2020/TT-BTC &gt;&gt; Báo báo tài chính &gt;&gt; Các chỉ tiêu ngoài báo cáo tình hình tài chính riêng</t>
        </is>
      </c>
      <c r="D1988" s="390" t="inlineStr">
        <is>
          <t>a.Tài sản tài chính đã lưu ký tại VSD và chưa giao dịch, tự do chuyển nhượng</t>
        </is>
      </c>
      <c r="E1988" s="401" t="n">
        <v>22.1</v>
      </c>
      <c r="F1988" s="390" t="inlineStr">
        <is>
          <t>Data Explorer</t>
        </is>
      </c>
      <c r="G1988" s="390" t="inlineStr">
        <is>
          <t>Chỉ tiêu cơ sở</t>
        </is>
      </c>
      <c r="H1988" s="390" t="inlineStr">
        <is>
          <t>Dễ</t>
        </is>
      </c>
      <c r="I1988" s="390" t="inlineStr">
        <is>
          <t>Ngày, CTCK</t>
        </is>
      </c>
      <c r="J1988" s="401" t="inlineStr">
        <is>
          <t>SCMS</t>
        </is>
      </c>
      <c r="K1988" s="401" t="n"/>
      <c r="L1988" s="401" t="inlineStr">
        <is>
          <t>X</t>
        </is>
      </c>
      <c r="M1988" s="401" t="n"/>
      <c r="N1988" s="401" t="inlineStr">
        <is>
          <t>Done</t>
        </is>
      </c>
      <c r="O1988" s="401" t="n"/>
      <c r="P1988" s="22" t="n"/>
      <c r="S1988" s="22" t="n"/>
      <c r="U1988" s="16" t="n"/>
      <c r="V1988" s="22" t="n"/>
      <c r="W1988" s="22" t="n"/>
      <c r="X1988" s="22" t="n"/>
      <c r="Y1988" s="13" t="n"/>
      <c r="Z1988" s="22" t="n"/>
      <c r="AA1988" s="22" t="n"/>
      <c r="AB1988" s="22" t="n"/>
      <c r="AC1988" s="22" t="n"/>
      <c r="AD1988" s="22" t="n"/>
      <c r="AE1988" s="22" t="n"/>
    </row>
    <row r="1989" ht="70" customHeight="1" s="380">
      <c r="A1989" s="126" t="n">
        <v>94</v>
      </c>
      <c r="B1989" s="390" t="n"/>
      <c r="C1989" s="390" t="inlineStr">
        <is>
          <t>Báo cáo theo Thông tư 121/2020/TT-BTC &gt;&gt; Báo báo tài chính &gt;&gt; Các chỉ tiêu ngoài báo cáo tình hình tài chính riêng</t>
        </is>
      </c>
      <c r="D1989" s="390" t="inlineStr">
        <is>
          <t>b.Tài sản tài chính đã lưu ký tại VSD và chưa giao dịch, hạn chế chuyển nhượng</t>
        </is>
      </c>
      <c r="E1989" s="401" t="n">
        <v>22.2</v>
      </c>
      <c r="F1989" s="390" t="inlineStr">
        <is>
          <t>Data Explorer</t>
        </is>
      </c>
      <c r="G1989" s="390" t="inlineStr">
        <is>
          <t>Chỉ tiêu cơ sở</t>
        </is>
      </c>
      <c r="H1989" s="390" t="inlineStr">
        <is>
          <t>Dễ</t>
        </is>
      </c>
      <c r="I1989" s="390" t="inlineStr">
        <is>
          <t>Ngày, CTCK</t>
        </is>
      </c>
      <c r="J1989" s="401" t="inlineStr">
        <is>
          <t>SCMS</t>
        </is>
      </c>
      <c r="K1989" s="401" t="n"/>
      <c r="L1989" s="401" t="inlineStr">
        <is>
          <t>X</t>
        </is>
      </c>
      <c r="M1989" s="401" t="n"/>
      <c r="N1989" s="401" t="inlineStr">
        <is>
          <t>Done</t>
        </is>
      </c>
      <c r="O1989" s="401" t="n"/>
      <c r="P1989" s="22" t="n"/>
      <c r="S1989" s="22" t="n"/>
      <c r="U1989" s="16" t="n"/>
      <c r="V1989" s="22" t="n"/>
      <c r="W1989" s="22" t="n"/>
      <c r="X1989" s="22" t="n"/>
      <c r="Y1989" s="13" t="n"/>
      <c r="Z1989" s="22" t="n"/>
      <c r="AA1989" s="22" t="n"/>
      <c r="AB1989" s="22" t="n"/>
      <c r="AC1989" s="22" t="n"/>
      <c r="AD1989" s="22" t="n"/>
      <c r="AE1989" s="22" t="n"/>
    </row>
    <row r="1990" ht="70" customHeight="1" s="380">
      <c r="A1990" s="126" t="n">
        <v>94</v>
      </c>
      <c r="B1990" s="390" t="n"/>
      <c r="C1990" s="390" t="inlineStr">
        <is>
          <t>Báo cáo theo Thông tư 121/2020/TT-BTC &gt;&gt; Báo báo tài chính &gt;&gt; Các chỉ tiêu ngoài báo cáo tình hình tài chính riêng</t>
        </is>
      </c>
      <c r="D1990" s="390" t="inlineStr">
        <is>
          <t>c.Tài sản tài chính đã lưu ký tại VSD và chưa giao dịch, cầm cố</t>
        </is>
      </c>
      <c r="E1990" s="401" t="n">
        <v>22.3</v>
      </c>
      <c r="F1990" s="390" t="inlineStr">
        <is>
          <t>Data Explorer</t>
        </is>
      </c>
      <c r="G1990" s="390" t="inlineStr">
        <is>
          <t>Chỉ tiêu cơ sở</t>
        </is>
      </c>
      <c r="H1990" s="390" t="inlineStr">
        <is>
          <t>Dễ</t>
        </is>
      </c>
      <c r="I1990" s="390" t="inlineStr">
        <is>
          <t>Ngày, CTCK</t>
        </is>
      </c>
      <c r="J1990" s="401" t="inlineStr">
        <is>
          <t>SCMS</t>
        </is>
      </c>
      <c r="K1990" s="401" t="n"/>
      <c r="L1990" s="401" t="inlineStr">
        <is>
          <t>X</t>
        </is>
      </c>
      <c r="M1990" s="401" t="n"/>
      <c r="N1990" s="401" t="inlineStr">
        <is>
          <t>Done</t>
        </is>
      </c>
      <c r="O1990" s="401" t="n"/>
      <c r="P1990" s="22" t="n"/>
      <c r="S1990" s="22" t="n"/>
      <c r="U1990" s="16" t="n"/>
      <c r="V1990" s="22" t="n"/>
      <c r="W1990" s="22" t="n"/>
      <c r="X1990" s="22" t="n"/>
      <c r="Y1990" s="13" t="n"/>
      <c r="Z1990" s="22" t="n"/>
      <c r="AA1990" s="22" t="n"/>
      <c r="AB1990" s="22" t="n"/>
      <c r="AC1990" s="22" t="n"/>
      <c r="AD1990" s="22" t="n"/>
      <c r="AE1990" s="22" t="n"/>
    </row>
    <row r="1991" ht="70" customHeight="1" s="380">
      <c r="A1991" s="126" t="n">
        <v>94</v>
      </c>
      <c r="B1991" s="390" t="n"/>
      <c r="C1991" s="390" t="inlineStr">
        <is>
          <t>Báo cáo theo Thông tư 121/2020/TT-BTC &gt;&gt; Báo báo tài chính &gt;&gt; Các chỉ tiêu ngoài báo cáo tình hình tài chính riêng</t>
        </is>
      </c>
      <c r="D1991" s="390" t="inlineStr">
        <is>
          <t>d.Tài sản tài chính đã lưu ký tại VSD và chưa giao dịch, phong tỏa, tạm giữ</t>
        </is>
      </c>
      <c r="E1991" s="401" t="n">
        <v>22.4</v>
      </c>
      <c r="F1991" s="390" t="inlineStr">
        <is>
          <t>Data Explorer</t>
        </is>
      </c>
      <c r="G1991" s="390" t="inlineStr">
        <is>
          <t>Chỉ tiêu cơ sở</t>
        </is>
      </c>
      <c r="H1991" s="390" t="inlineStr">
        <is>
          <t>Dễ</t>
        </is>
      </c>
      <c r="I1991" s="390" t="inlineStr">
        <is>
          <t>Ngày, CTCK</t>
        </is>
      </c>
      <c r="J1991" s="401" t="inlineStr">
        <is>
          <t>SCMS</t>
        </is>
      </c>
      <c r="K1991" s="401" t="n"/>
      <c r="L1991" s="401" t="inlineStr">
        <is>
          <t>X</t>
        </is>
      </c>
      <c r="M1991" s="401" t="n"/>
      <c r="N1991" s="401" t="inlineStr">
        <is>
          <t>Done</t>
        </is>
      </c>
      <c r="O1991" s="401" t="n"/>
      <c r="P1991" s="22" t="n"/>
      <c r="S1991" s="22" t="n"/>
      <c r="U1991" s="16" t="n"/>
      <c r="V1991" s="22" t="n"/>
      <c r="W1991" s="22" t="n"/>
      <c r="X1991" s="22" t="n"/>
      <c r="Y1991" s="13" t="n"/>
      <c r="Z1991" s="22" t="n"/>
      <c r="AA1991" s="22" t="n"/>
      <c r="AB1991" s="22" t="n"/>
      <c r="AC1991" s="22" t="n"/>
      <c r="AD1991" s="22" t="n"/>
      <c r="AE1991" s="22" t="n"/>
    </row>
    <row r="1992" ht="70" customHeight="1" s="380">
      <c r="A1992" s="126" t="n">
        <v>94</v>
      </c>
      <c r="B1992" s="390" t="n"/>
      <c r="C1992" s="390" t="inlineStr">
        <is>
          <t>Báo cáo theo Thông tư 121/2020/TT-BTC &gt;&gt; Báo báo tài chính &gt;&gt; Các chỉ tiêu ngoài báo cáo tình hình tài chính riêng</t>
        </is>
      </c>
      <c r="D1992" s="390" t="inlineStr">
        <is>
          <t>3. Tài sản tài chính chờ về của Nhà đầu tư</t>
        </is>
      </c>
      <c r="E1992" s="401" t="n">
        <v>23</v>
      </c>
      <c r="F1992" s="390" t="inlineStr">
        <is>
          <t>Data Explorer</t>
        </is>
      </c>
      <c r="G1992" s="390" t="inlineStr">
        <is>
          <t>Chỉ tiêu cơ sở</t>
        </is>
      </c>
      <c r="H1992" s="390" t="inlineStr">
        <is>
          <t>Dễ</t>
        </is>
      </c>
      <c r="I1992" s="390" t="inlineStr">
        <is>
          <t>Ngày, CTCK</t>
        </is>
      </c>
      <c r="J1992" s="401" t="inlineStr">
        <is>
          <t>SCMS</t>
        </is>
      </c>
      <c r="K1992" s="401" t="n"/>
      <c r="L1992" s="401" t="inlineStr">
        <is>
          <t>X</t>
        </is>
      </c>
      <c r="M1992" s="401" t="n"/>
      <c r="N1992" s="401" t="inlineStr">
        <is>
          <t>Done</t>
        </is>
      </c>
      <c r="O1992" s="401" t="n"/>
      <c r="P1992" s="22" t="n"/>
      <c r="S1992" s="22" t="n"/>
      <c r="U1992" s="16" t="n"/>
      <c r="V1992" s="22" t="n"/>
      <c r="W1992" s="22" t="n"/>
      <c r="X1992" s="22" t="n"/>
      <c r="Y1992" s="13" t="n"/>
      <c r="Z1992" s="22" t="n"/>
      <c r="AA1992" s="22" t="n"/>
      <c r="AB1992" s="22" t="n"/>
      <c r="AC1992" s="22" t="n"/>
      <c r="AD1992" s="22" t="n"/>
      <c r="AE1992" s="22" t="n"/>
    </row>
    <row r="1993" ht="70" customHeight="1" s="380">
      <c r="A1993" s="126" t="n">
        <v>94</v>
      </c>
      <c r="B1993" s="390" t="n"/>
      <c r="C1993" s="390" t="inlineStr">
        <is>
          <t>Báo cáo theo Thông tư 121/2020/TT-BTC &gt;&gt; Báo báo tài chính &gt;&gt; Các chỉ tiêu ngoài báo cáo tình hình tài chính riêng</t>
        </is>
      </c>
      <c r="D1993" s="390" t="inlineStr">
        <is>
          <t>4. Tài sản tài chính sửa lỗi giao dịch của Nhà đầu tư</t>
        </is>
      </c>
      <c r="E1993" s="401" t="inlineStr">
        <is>
          <t xml:space="preserve">024.a
</t>
        </is>
      </c>
      <c r="F1993" s="390" t="inlineStr">
        <is>
          <t>Data Explorer</t>
        </is>
      </c>
      <c r="G1993" s="390" t="inlineStr">
        <is>
          <t>Chỉ tiêu cơ sở</t>
        </is>
      </c>
      <c r="H1993" s="390" t="inlineStr">
        <is>
          <t>Dễ</t>
        </is>
      </c>
      <c r="I1993" s="390" t="inlineStr">
        <is>
          <t>Ngày, CTCK</t>
        </is>
      </c>
      <c r="J1993" s="401" t="inlineStr">
        <is>
          <t>SCMS</t>
        </is>
      </c>
      <c r="K1993" s="401" t="n"/>
      <c r="L1993" s="401" t="inlineStr">
        <is>
          <t>X</t>
        </is>
      </c>
      <c r="M1993" s="401" t="n"/>
      <c r="N1993" s="401" t="inlineStr">
        <is>
          <t>Done</t>
        </is>
      </c>
      <c r="O1993" s="401" t="n"/>
      <c r="P1993" s="22" t="n"/>
      <c r="S1993" s="22" t="n"/>
      <c r="U1993" s="16" t="n"/>
      <c r="V1993" s="22" t="n"/>
      <c r="W1993" s="22" t="n"/>
      <c r="X1993" s="22" t="n"/>
      <c r="Y1993" s="14" t="n"/>
      <c r="Z1993" s="22" t="n"/>
      <c r="AA1993" s="22" t="n"/>
      <c r="AB1993" s="22" t="n"/>
      <c r="AC1993" s="22" t="n"/>
      <c r="AD1993" s="22" t="n"/>
      <c r="AE1993" s="22" t="n"/>
    </row>
    <row r="1994" ht="70" customHeight="1" s="380">
      <c r="A1994" s="126" t="n">
        <v>94</v>
      </c>
      <c r="B1994" s="390" t="n"/>
      <c r="C1994" s="390" t="inlineStr">
        <is>
          <t>Báo cáo theo Thông tư 121/2020/TT-BTC &gt;&gt; Báo báo tài chính &gt;&gt; Các chỉ tiêu ngoài báo cáo tình hình tài chính riêng</t>
        </is>
      </c>
      <c r="D1994" s="390" t="inlineStr">
        <is>
          <t>5.Tài sản tài chính chưa lưu ký tại VSD của Nhà đầu tư</t>
        </is>
      </c>
      <c r="E1994" s="401" t="inlineStr">
        <is>
          <t xml:space="preserve">024.b
</t>
        </is>
      </c>
      <c r="F1994" s="390" t="inlineStr">
        <is>
          <t>Data Explorer</t>
        </is>
      </c>
      <c r="G1994" s="390" t="inlineStr">
        <is>
          <t>Chỉ tiêu cơ sở</t>
        </is>
      </c>
      <c r="H1994" s="390" t="inlineStr">
        <is>
          <t>Dễ</t>
        </is>
      </c>
      <c r="I1994" s="390" t="inlineStr">
        <is>
          <t>Ngày, CTCK</t>
        </is>
      </c>
      <c r="J1994" s="401" t="inlineStr">
        <is>
          <t>SCMS</t>
        </is>
      </c>
      <c r="K1994" s="401" t="n"/>
      <c r="L1994" s="401" t="inlineStr">
        <is>
          <t>X</t>
        </is>
      </c>
      <c r="M1994" s="401" t="n"/>
      <c r="N1994" s="401" t="inlineStr">
        <is>
          <t>Done</t>
        </is>
      </c>
      <c r="O1994" s="401" t="n"/>
      <c r="P1994" s="22" t="n"/>
      <c r="S1994" s="22" t="n"/>
      <c r="U1994" s="16" t="n"/>
      <c r="V1994" s="22" t="n"/>
      <c r="W1994" s="22" t="n"/>
      <c r="X1994" s="22" t="n"/>
      <c r="Y1994" s="13" t="n"/>
      <c r="Z1994" s="22" t="n"/>
      <c r="AA1994" s="22" t="n"/>
      <c r="AB1994" s="22" t="n"/>
      <c r="AC1994" s="22" t="n"/>
      <c r="AD1994" s="22" t="n"/>
      <c r="AE1994" s="22" t="n"/>
    </row>
    <row r="1995" ht="70" customHeight="1" s="380">
      <c r="A1995" s="126" t="n">
        <v>94</v>
      </c>
      <c r="B1995" s="390" t="n"/>
      <c r="C1995" s="390" t="inlineStr">
        <is>
          <t>Báo cáo theo Thông tư 121/2020/TT-BTC &gt;&gt; Báo báo tài chính &gt;&gt; Các chỉ tiêu ngoài báo cáo tình hình tài chính riêng</t>
        </is>
      </c>
      <c r="D1995" s="390" t="inlineStr">
        <is>
          <t>6.Tài sản tài chính được hưởng quyền của Nhà đầu tư</t>
        </is>
      </c>
      <c r="E1995" s="401" t="n">
        <v>25</v>
      </c>
      <c r="F1995" s="390" t="inlineStr">
        <is>
          <t>Data Explorer</t>
        </is>
      </c>
      <c r="G1995" s="390" t="inlineStr">
        <is>
          <t>Chỉ tiêu cơ sở</t>
        </is>
      </c>
      <c r="H1995" s="390" t="inlineStr">
        <is>
          <t>Dễ</t>
        </is>
      </c>
      <c r="I1995" s="390" t="inlineStr">
        <is>
          <t>Ngày, CTCK</t>
        </is>
      </c>
      <c r="J1995" s="401" t="inlineStr">
        <is>
          <t>SCMS</t>
        </is>
      </c>
      <c r="K1995" s="401" t="n"/>
      <c r="L1995" s="401" t="inlineStr">
        <is>
          <t>X</t>
        </is>
      </c>
      <c r="M1995" s="401" t="n"/>
      <c r="N1995" s="401" t="inlineStr">
        <is>
          <t>Done</t>
        </is>
      </c>
      <c r="O1995" s="401" t="n"/>
      <c r="P1995" s="22" t="n"/>
      <c r="S1995" s="22" t="n"/>
      <c r="U1995" s="16" t="n"/>
      <c r="V1995" s="22" t="n"/>
      <c r="W1995" s="22" t="n"/>
      <c r="X1995" s="22" t="n"/>
      <c r="Y1995" s="13" t="n"/>
      <c r="Z1995" s="22" t="n"/>
      <c r="AA1995" s="22" t="n"/>
      <c r="AB1995" s="22" t="n"/>
      <c r="AC1995" s="22" t="n"/>
      <c r="AD1995" s="22" t="n"/>
      <c r="AE1995" s="22" t="n"/>
    </row>
    <row r="1996" ht="70" customHeight="1" s="380">
      <c r="A1996" s="126" t="n">
        <v>94</v>
      </c>
      <c r="B1996" s="390" t="n"/>
      <c r="C1996" s="390" t="inlineStr">
        <is>
          <t>Báo cáo theo Thông tư 121/2020/TT-BTC &gt;&gt; Báo báo tài chính &gt;&gt; Các chỉ tiêu ngoài báo cáo tình hình tài chính riêng</t>
        </is>
      </c>
      <c r="D1996" s="390" t="inlineStr">
        <is>
          <t>7. Tiền gửi của khách hàng</t>
        </is>
      </c>
      <c r="E1996" s="401" t="n">
        <v>26</v>
      </c>
      <c r="F1996" s="390" t="inlineStr">
        <is>
          <t>Data Explorer</t>
        </is>
      </c>
      <c r="G1996" s="390" t="inlineStr">
        <is>
          <t>Chỉ tiêu cơ sở</t>
        </is>
      </c>
      <c r="H1996" s="390" t="inlineStr">
        <is>
          <t>Dễ</t>
        </is>
      </c>
      <c r="I1996" s="390" t="inlineStr">
        <is>
          <t>Ngày, CTCK</t>
        </is>
      </c>
      <c r="J1996" s="401" t="inlineStr">
        <is>
          <t>SCMS</t>
        </is>
      </c>
      <c r="K1996" s="401" t="n"/>
      <c r="L1996" s="401" t="inlineStr">
        <is>
          <t>X</t>
        </is>
      </c>
      <c r="M1996" s="401" t="n"/>
      <c r="N1996" s="401" t="inlineStr">
        <is>
          <t>Done</t>
        </is>
      </c>
      <c r="O1996" s="401" t="n"/>
      <c r="P1996" s="22" t="n"/>
      <c r="S1996" s="22" t="n"/>
      <c r="U1996" s="16" t="n"/>
      <c r="V1996" s="22" t="n"/>
      <c r="W1996" s="22" t="n"/>
      <c r="X1996" s="22" t="n"/>
      <c r="Y1996" s="13" t="n"/>
      <c r="Z1996" s="22" t="n"/>
      <c r="AA1996" s="22" t="n"/>
      <c r="AB1996" s="22" t="n"/>
      <c r="AC1996" s="22" t="n"/>
      <c r="AD1996" s="22" t="n"/>
      <c r="AE1996" s="22" t="n"/>
    </row>
    <row r="1997" ht="70" customHeight="1" s="380">
      <c r="A1997" s="126" t="n">
        <v>94</v>
      </c>
      <c r="B1997" s="390" t="n"/>
      <c r="C1997" s="390" t="inlineStr">
        <is>
          <t>Báo cáo theo Thông tư 121/2020/TT-BTC &gt;&gt; Báo báo tài chính &gt;&gt; Các chỉ tiêu ngoài báo cáo tình hình tài chính riêng</t>
        </is>
      </c>
      <c r="D1997" s="390" t="inlineStr">
        <is>
          <t>7.1. Tiền gửi của Nhà đầu tư về giao dịch chứng khoán theo phương thức CTCK quản lý</t>
        </is>
      </c>
      <c r="E1997" s="401" t="n">
        <v>27</v>
      </c>
      <c r="F1997" s="390" t="inlineStr">
        <is>
          <t>Data Explorer</t>
        </is>
      </c>
      <c r="G1997" s="390" t="inlineStr">
        <is>
          <t>Chỉ tiêu cơ sở</t>
        </is>
      </c>
      <c r="H1997" s="390" t="inlineStr">
        <is>
          <t>Dễ</t>
        </is>
      </c>
      <c r="I1997" s="390" t="inlineStr">
        <is>
          <t>Ngày, CTCK</t>
        </is>
      </c>
      <c r="J1997" s="401" t="inlineStr">
        <is>
          <t>SCMS</t>
        </is>
      </c>
      <c r="K1997" s="401" t="n"/>
      <c r="L1997" s="401" t="inlineStr">
        <is>
          <t>X</t>
        </is>
      </c>
      <c r="M1997" s="401" t="n"/>
      <c r="N1997" s="401" t="inlineStr">
        <is>
          <t>Done</t>
        </is>
      </c>
      <c r="O1997" s="401" t="n"/>
      <c r="P1997" s="22" t="n"/>
      <c r="S1997" s="22" t="n"/>
      <c r="U1997" s="16" t="n"/>
      <c r="V1997" s="22" t="n"/>
      <c r="W1997" s="22" t="n"/>
      <c r="X1997" s="22" t="n"/>
      <c r="Y1997" s="13" t="n"/>
      <c r="Z1997" s="22" t="n"/>
      <c r="AA1997" s="22" t="n"/>
      <c r="AB1997" s="22" t="n"/>
      <c r="AC1997" s="22" t="n"/>
      <c r="AD1997" s="22" t="n"/>
      <c r="AE1997" s="22" t="n"/>
    </row>
    <row r="1998" ht="70" customHeight="1" s="380">
      <c r="A1998" s="126" t="n">
        <v>94</v>
      </c>
      <c r="B1998" s="390" t="n"/>
      <c r="C1998" s="390" t="inlineStr">
        <is>
          <t>Báo cáo theo Thông tư 121/2020/TT-BTC &gt;&gt; Báo báo tài chính &gt;&gt; Các chỉ tiêu ngoài báo cáo tình hình tài chính riêng</t>
        </is>
      </c>
      <c r="D1998" s="390" t="inlineStr">
        <is>
          <t>7.2.Tiền gửi tổng hợp giao dịch chứng khoán cho khách hàng</t>
        </is>
      </c>
      <c r="E1998" s="401" t="n">
        <v>28</v>
      </c>
      <c r="F1998" s="390" t="inlineStr">
        <is>
          <t>Data Explorer</t>
        </is>
      </c>
      <c r="G1998" s="390" t="inlineStr">
        <is>
          <t>Chỉ tiêu cơ sở</t>
        </is>
      </c>
      <c r="H1998" s="390" t="inlineStr">
        <is>
          <t>Dễ</t>
        </is>
      </c>
      <c r="I1998" s="390" t="inlineStr">
        <is>
          <t>Ngày, CTCK</t>
        </is>
      </c>
      <c r="J1998" s="401" t="inlineStr">
        <is>
          <t>SCMS</t>
        </is>
      </c>
      <c r="K1998" s="401" t="n"/>
      <c r="L1998" s="401" t="inlineStr">
        <is>
          <t>X</t>
        </is>
      </c>
      <c r="M1998" s="401" t="n"/>
      <c r="N1998" s="401" t="inlineStr">
        <is>
          <t>Done</t>
        </is>
      </c>
      <c r="O1998" s="401" t="n"/>
      <c r="P1998" s="22" t="n"/>
      <c r="S1998" s="22" t="n"/>
      <c r="U1998" s="16" t="n"/>
      <c r="V1998" s="22" t="n"/>
      <c r="W1998" s="22" t="n"/>
      <c r="X1998" s="22" t="n"/>
      <c r="Y1998" s="13" t="n"/>
      <c r="Z1998" s="22" t="n"/>
      <c r="AA1998" s="22" t="n"/>
      <c r="AB1998" s="22" t="n"/>
      <c r="AC1998" s="22" t="n"/>
      <c r="AD1998" s="22" t="n"/>
      <c r="AE1998" s="22" t="n"/>
    </row>
    <row r="1999" ht="70" customHeight="1" s="380">
      <c r="A1999" s="126" t="n">
        <v>94</v>
      </c>
      <c r="B1999" s="390" t="n"/>
      <c r="C1999" s="390" t="inlineStr">
        <is>
          <t>Báo cáo theo Thông tư 121/2020/TT-BTC &gt;&gt; Báo báo tài chính &gt;&gt; Các chỉ tiêu ngoài báo cáo tình hình tài chính riêng</t>
        </is>
      </c>
      <c r="D1999" s="390" t="inlineStr">
        <is>
          <t>7.3. Tiền gửi bù trừ và thanh toán giao dịch chứng khoán</t>
        </is>
      </c>
      <c r="E1999" s="401" t="n">
        <v>29</v>
      </c>
      <c r="F1999" s="390" t="inlineStr">
        <is>
          <t>Data Explorer</t>
        </is>
      </c>
      <c r="G1999" s="390" t="inlineStr">
        <is>
          <t>Chỉ tiêu cơ sở</t>
        </is>
      </c>
      <c r="H1999" s="390" t="inlineStr">
        <is>
          <t>Dễ</t>
        </is>
      </c>
      <c r="I1999" s="390" t="inlineStr">
        <is>
          <t>Ngày, CTCK</t>
        </is>
      </c>
      <c r="J1999" s="401" t="inlineStr">
        <is>
          <t>SCMS</t>
        </is>
      </c>
      <c r="K1999" s="401" t="n"/>
      <c r="L1999" s="401" t="inlineStr">
        <is>
          <t>X</t>
        </is>
      </c>
      <c r="M1999" s="401" t="n"/>
      <c r="N1999" s="401" t="inlineStr">
        <is>
          <t>Done</t>
        </is>
      </c>
      <c r="O1999" s="401" t="n"/>
      <c r="P1999" s="22" t="n"/>
      <c r="S1999" s="22" t="n"/>
      <c r="U1999" s="16" t="n"/>
      <c r="V1999" s="22" t="n"/>
      <c r="W1999" s="22" t="n"/>
      <c r="X1999" s="22" t="n"/>
      <c r="Y1999" s="38" t="n"/>
      <c r="Z1999" s="22" t="n"/>
      <c r="AA1999" s="22" t="n"/>
      <c r="AB1999" s="22" t="n"/>
      <c r="AC1999" s="22" t="n"/>
      <c r="AD1999" s="22" t="n"/>
      <c r="AE1999" s="22" t="n"/>
    </row>
    <row r="2000" ht="70" customHeight="1" s="380">
      <c r="A2000" s="126" t="n">
        <v>94</v>
      </c>
      <c r="B2000" s="390" t="n"/>
      <c r="C2000" s="390" t="inlineStr">
        <is>
          <t>Báo cáo theo Thông tư 121/2020/TT-BTC &gt;&gt; Báo báo tài chính &gt;&gt; Các chỉ tiêu ngoài báo cáo tình hình tài chính riêng</t>
        </is>
      </c>
      <c r="D2000" s="390" t="inlineStr">
        <is>
          <t>a. Tiền gửi bù trừ và thanh toán giao dịch chứng khoán Nhà đầu tư trong nước</t>
        </is>
      </c>
      <c r="E2000" s="401" t="n">
        <v>29.1</v>
      </c>
      <c r="F2000" s="390" t="inlineStr">
        <is>
          <t>Data Explorer</t>
        </is>
      </c>
      <c r="G2000" s="390" t="inlineStr">
        <is>
          <t>Chỉ tiêu cơ sở</t>
        </is>
      </c>
      <c r="H2000" s="390" t="inlineStr">
        <is>
          <t>Dễ</t>
        </is>
      </c>
      <c r="I2000" s="390" t="inlineStr">
        <is>
          <t>Ngày, CTCK</t>
        </is>
      </c>
      <c r="J2000" s="401" t="inlineStr">
        <is>
          <t>SCMS</t>
        </is>
      </c>
      <c r="K2000" s="401" t="n"/>
      <c r="L2000" s="401" t="inlineStr">
        <is>
          <t>X</t>
        </is>
      </c>
      <c r="M2000" s="401" t="n"/>
      <c r="N2000" s="401" t="inlineStr">
        <is>
          <t>Done</t>
        </is>
      </c>
      <c r="O2000" s="401" t="n"/>
      <c r="P2000" s="22" t="n"/>
      <c r="S2000" s="22" t="n"/>
      <c r="U2000" s="16" t="n"/>
      <c r="V2000" s="22" t="n"/>
      <c r="W2000" s="22" t="n"/>
      <c r="X2000" s="22" t="n"/>
      <c r="Y2000" s="13" t="n"/>
      <c r="Z2000" s="22" t="n"/>
      <c r="AA2000" s="22" t="n"/>
      <c r="AB2000" s="22" t="n"/>
      <c r="AC2000" s="22" t="n"/>
      <c r="AD2000" s="22" t="n"/>
      <c r="AE2000" s="22" t="n"/>
    </row>
    <row r="2001" ht="70" customHeight="1" s="380">
      <c r="A2001" s="126" t="n">
        <v>94</v>
      </c>
      <c r="B2001" s="390" t="n"/>
      <c r="C2001" s="390" t="inlineStr">
        <is>
          <t>Báo cáo theo Thông tư 121/2020/TT-BTC &gt;&gt; Báo báo tài chính &gt;&gt; Các chỉ tiêu ngoài báo cáo tình hình tài chính riêng</t>
        </is>
      </c>
      <c r="D2001" s="390" t="inlineStr">
        <is>
          <t>b. Tiền gửi bù trừ và thanh toán giao dịch chứng khoán Nhà đầu tư nước ngoài</t>
        </is>
      </c>
      <c r="E2001" s="401" t="n">
        <v>29.2</v>
      </c>
      <c r="F2001" s="390" t="inlineStr">
        <is>
          <t>Data Explorer</t>
        </is>
      </c>
      <c r="G2001" s="390" t="inlineStr">
        <is>
          <t>Chỉ tiêu cơ sở</t>
        </is>
      </c>
      <c r="H2001" s="390" t="inlineStr">
        <is>
          <t>Dễ</t>
        </is>
      </c>
      <c r="I2001" s="390" t="inlineStr">
        <is>
          <t>Ngày, CTCK</t>
        </is>
      </c>
      <c r="J2001" s="401" t="inlineStr">
        <is>
          <t>SCMS</t>
        </is>
      </c>
      <c r="K2001" s="401" t="n"/>
      <c r="L2001" s="401" t="inlineStr">
        <is>
          <t>X</t>
        </is>
      </c>
      <c r="M2001" s="401" t="n"/>
      <c r="N2001" s="401" t="inlineStr">
        <is>
          <t>Done</t>
        </is>
      </c>
      <c r="O2001" s="401" t="n"/>
      <c r="P2001" s="22" t="n"/>
      <c r="S2001" s="22" t="n"/>
      <c r="U2001" s="16" t="n"/>
      <c r="V2001" s="22" t="n"/>
      <c r="W2001" s="22" t="n"/>
      <c r="X2001" s="22" t="n"/>
      <c r="Y2001" s="13" t="n"/>
      <c r="Z2001" s="22" t="n"/>
      <c r="AA2001" s="22" t="n"/>
      <c r="AB2001" s="22" t="n"/>
      <c r="AC2001" s="22" t="n"/>
      <c r="AD2001" s="22" t="n"/>
      <c r="AE2001" s="22" t="n"/>
    </row>
    <row r="2002" ht="70" customHeight="1" s="380">
      <c r="A2002" s="126" t="n">
        <v>94</v>
      </c>
      <c r="B2002" s="390" t="n"/>
      <c r="C2002" s="390" t="inlineStr">
        <is>
          <t>Báo cáo theo Thông tư 121/2020/TT-BTC &gt;&gt; Báo báo tài chính &gt;&gt; Các chỉ tiêu ngoài báo cáo tình hình tài chính riêng</t>
        </is>
      </c>
      <c r="D2002" s="390" t="inlineStr">
        <is>
          <t>7.4. Tiền gửi của Tổ chức phát hành chứng khoán</t>
        </is>
      </c>
      <c r="E2002" s="401" t="n">
        <v>30</v>
      </c>
      <c r="F2002" s="390" t="inlineStr">
        <is>
          <t>Data Explorer</t>
        </is>
      </c>
      <c r="G2002" s="390" t="inlineStr">
        <is>
          <t>Chỉ tiêu cơ sở</t>
        </is>
      </c>
      <c r="H2002" s="390" t="inlineStr">
        <is>
          <t>Dễ</t>
        </is>
      </c>
      <c r="I2002" s="390" t="inlineStr">
        <is>
          <t>Ngày, CTCK</t>
        </is>
      </c>
      <c r="J2002" s="401" t="inlineStr">
        <is>
          <t>SCMS</t>
        </is>
      </c>
      <c r="K2002" s="401" t="n"/>
      <c r="L2002" s="401" t="inlineStr">
        <is>
          <t>X</t>
        </is>
      </c>
      <c r="M2002" s="401" t="n"/>
      <c r="N2002" s="401" t="inlineStr">
        <is>
          <t>Done</t>
        </is>
      </c>
      <c r="O2002" s="401" t="n"/>
      <c r="P2002" s="22" t="n"/>
      <c r="S2002" s="22" t="n"/>
      <c r="U2002" s="16" t="n"/>
      <c r="V2002" s="22" t="n"/>
      <c r="W2002" s="22" t="n"/>
      <c r="X2002" s="22" t="n"/>
      <c r="Y2002" s="13" t="n"/>
      <c r="Z2002" s="22" t="n"/>
      <c r="AA2002" s="22" t="n"/>
      <c r="AB2002" s="22" t="n"/>
      <c r="AC2002" s="22" t="n"/>
      <c r="AD2002" s="22" t="n"/>
      <c r="AE2002" s="22" t="n"/>
    </row>
    <row r="2003" ht="70" customHeight="1" s="380">
      <c r="A2003" s="126" t="n">
        <v>94</v>
      </c>
      <c r="B2003" s="390" t="n"/>
      <c r="C2003" s="390" t="inlineStr">
        <is>
          <t>Báo cáo theo Thông tư 121/2020/TT-BTC &gt;&gt; Báo báo tài chính &gt;&gt; Các chỉ tiêu ngoài báo cáo tình hình tài chính riêng</t>
        </is>
      </c>
      <c r="D2003" s="390" t="inlineStr">
        <is>
          <t>8. Phải trả Nhà đầu tư về tiền gửi giao dịch chứng khoán theo phương thức CTCK quản lý</t>
        </is>
      </c>
      <c r="E2003" s="401" t="n">
        <v>31</v>
      </c>
      <c r="F2003" s="390" t="inlineStr">
        <is>
          <t>Data Explorer</t>
        </is>
      </c>
      <c r="G2003" s="390" t="inlineStr">
        <is>
          <t>Chỉ tiêu cơ sở</t>
        </is>
      </c>
      <c r="H2003" s="390" t="inlineStr">
        <is>
          <t>Dễ</t>
        </is>
      </c>
      <c r="I2003" s="390" t="inlineStr">
        <is>
          <t>Ngày, CTCK</t>
        </is>
      </c>
      <c r="J2003" s="401" t="inlineStr">
        <is>
          <t>SCMS</t>
        </is>
      </c>
      <c r="K2003" s="401" t="n"/>
      <c r="L2003" s="401" t="inlineStr">
        <is>
          <t>X</t>
        </is>
      </c>
      <c r="M2003" s="401" t="n"/>
      <c r="N2003" s="401" t="inlineStr">
        <is>
          <t>Done</t>
        </is>
      </c>
      <c r="O2003" s="401" t="n"/>
      <c r="P2003" s="22" t="n"/>
      <c r="S2003" s="22" t="n"/>
      <c r="U2003" s="16" t="n"/>
      <c r="V2003" s="22" t="n"/>
      <c r="W2003" s="22" t="n"/>
      <c r="X2003" s="22" t="n"/>
      <c r="Y2003" s="13" t="n"/>
      <c r="Z2003" s="22" t="n"/>
      <c r="AA2003" s="22" t="n"/>
      <c r="AB2003" s="22" t="n"/>
      <c r="AC2003" s="22" t="n"/>
      <c r="AD2003" s="22" t="n"/>
      <c r="AE2003" s="22" t="n"/>
    </row>
    <row r="2004" ht="70" customHeight="1" s="380">
      <c r="A2004" s="126" t="n">
        <v>94</v>
      </c>
      <c r="B2004" s="390" t="n"/>
      <c r="C2004" s="390" t="inlineStr">
        <is>
          <t>Báo cáo theo Thông tư 121/2020/TT-BTC &gt;&gt; Báo báo tài chính &gt;&gt; Các chỉ tiêu ngoài báo cáo tình hình tài chính riêng</t>
        </is>
      </c>
      <c r="D2004" s="390" t="inlineStr">
        <is>
          <t xml:space="preserve">8.1. Phải trả Nhà đầu tư trong nước về tiền gửi giao dịch chứng khoán theo phương thức CTCK quản lý </t>
        </is>
      </c>
      <c r="E2004" s="401" t="n">
        <v>31.1</v>
      </c>
      <c r="F2004" s="390" t="inlineStr">
        <is>
          <t>Data Explorer</t>
        </is>
      </c>
      <c r="G2004" s="390" t="inlineStr">
        <is>
          <t>Chỉ tiêu cơ sở</t>
        </is>
      </c>
      <c r="H2004" s="390" t="inlineStr">
        <is>
          <t>Dễ</t>
        </is>
      </c>
      <c r="I2004" s="390" t="inlineStr">
        <is>
          <t>Ngày, CTCK</t>
        </is>
      </c>
      <c r="J2004" s="401" t="inlineStr">
        <is>
          <t>SCMS</t>
        </is>
      </c>
      <c r="K2004" s="401" t="n"/>
      <c r="L2004" s="401" t="inlineStr">
        <is>
          <t>X</t>
        </is>
      </c>
      <c r="M2004" s="401" t="n"/>
      <c r="N2004" s="401" t="inlineStr">
        <is>
          <t>Done</t>
        </is>
      </c>
      <c r="O2004" s="401" t="n"/>
      <c r="P2004" s="22" t="n"/>
      <c r="S2004" s="22" t="n"/>
      <c r="U2004" s="16" t="n"/>
      <c r="V2004" s="22" t="n"/>
      <c r="W2004" s="22" t="n"/>
      <c r="X2004" s="22" t="n"/>
      <c r="Y2004" s="13" t="n"/>
      <c r="Z2004" s="22" t="n"/>
      <c r="AA2004" s="22" t="n"/>
      <c r="AB2004" s="22" t="n"/>
      <c r="AC2004" s="22" t="n"/>
      <c r="AD2004" s="22" t="n"/>
      <c r="AE2004" s="22" t="n"/>
    </row>
    <row r="2005" ht="70" customHeight="1" s="380">
      <c r="A2005" s="126" t="n">
        <v>94</v>
      </c>
      <c r="B2005" s="390" t="n"/>
      <c r="C2005" s="390" t="inlineStr">
        <is>
          <t>Báo cáo theo Thông tư 121/2020/TT-BTC &gt;&gt; Báo báo tài chính &gt;&gt; Các chỉ tiêu ngoài báo cáo tình hình tài chính riêng</t>
        </is>
      </c>
      <c r="D2005" s="390" t="inlineStr">
        <is>
          <t>8.2. Phải trả Nhà đầu tư nước ngoài về tiền gửi giao dịch chứng khoán theo phương thức CTCK quản lý</t>
        </is>
      </c>
      <c r="E2005" s="401" t="n">
        <v>31.2</v>
      </c>
      <c r="F2005" s="390" t="inlineStr">
        <is>
          <t>Data Explorer</t>
        </is>
      </c>
      <c r="G2005" s="390" t="inlineStr">
        <is>
          <t>Chỉ tiêu cơ sở</t>
        </is>
      </c>
      <c r="H2005" s="390" t="inlineStr">
        <is>
          <t>Dễ</t>
        </is>
      </c>
      <c r="I2005" s="390" t="inlineStr">
        <is>
          <t>Ngày, CTCK</t>
        </is>
      </c>
      <c r="J2005" s="401" t="inlineStr">
        <is>
          <t>SCMS</t>
        </is>
      </c>
      <c r="K2005" s="401" t="n"/>
      <c r="L2005" s="401" t="inlineStr">
        <is>
          <t>X</t>
        </is>
      </c>
      <c r="M2005" s="401" t="n"/>
      <c r="N2005" s="401" t="inlineStr">
        <is>
          <t>Done</t>
        </is>
      </c>
      <c r="O2005" s="401" t="n"/>
      <c r="P2005" s="22" t="n"/>
      <c r="S2005" s="22" t="n"/>
      <c r="U2005" s="16" t="n"/>
      <c r="V2005" s="22" t="n"/>
      <c r="W2005" s="22" t="n"/>
      <c r="X2005" s="22" t="n"/>
      <c r="Y2005" s="38" t="n"/>
      <c r="Z2005" s="22" t="n"/>
      <c r="AA2005" s="22" t="n"/>
      <c r="AB2005" s="22" t="n"/>
      <c r="AC2005" s="22" t="n"/>
      <c r="AD2005" s="22" t="n"/>
      <c r="AE2005" s="22" t="n"/>
    </row>
    <row r="2006" ht="70" customHeight="1" s="380">
      <c r="A2006" s="126" t="n">
        <v>94</v>
      </c>
      <c r="B2006" s="390" t="n"/>
      <c r="C2006" s="390" t="inlineStr">
        <is>
          <t>Báo cáo theo Thông tư 121/2020/TT-BTC &gt;&gt; Báo báo tài chính &gt;&gt; Các chỉ tiêu ngoài báo cáo tình hình tài chính riêng</t>
        </is>
      </c>
      <c r="D2006" s="390" t="inlineStr">
        <is>
          <t>9. Phải trả Tổ chức phát hành chứng khoán</t>
        </is>
      </c>
      <c r="E2006" s="401" t="n">
        <v>32</v>
      </c>
      <c r="F2006" s="390" t="inlineStr">
        <is>
          <t>Data Explorer</t>
        </is>
      </c>
      <c r="G2006" s="390" t="inlineStr">
        <is>
          <t>Chỉ tiêu cơ sở</t>
        </is>
      </c>
      <c r="H2006" s="390" t="inlineStr">
        <is>
          <t>Dễ</t>
        </is>
      </c>
      <c r="I2006" s="390" t="inlineStr">
        <is>
          <t>Ngày, CTCK</t>
        </is>
      </c>
      <c r="J2006" s="401" t="inlineStr">
        <is>
          <t>SCMS</t>
        </is>
      </c>
      <c r="K2006" s="401" t="n"/>
      <c r="L2006" s="401" t="inlineStr">
        <is>
          <t>X</t>
        </is>
      </c>
      <c r="M2006" s="401" t="n"/>
      <c r="N2006" s="401" t="inlineStr">
        <is>
          <t>Done</t>
        </is>
      </c>
      <c r="O2006" s="401" t="n"/>
      <c r="P2006" s="22" t="n"/>
      <c r="S2006" s="22" t="n"/>
      <c r="U2006" s="16" t="n"/>
      <c r="V2006" s="22" t="n"/>
      <c r="W2006" s="22" t="n"/>
      <c r="X2006" s="22" t="n"/>
      <c r="Y2006" s="13" t="n"/>
      <c r="Z2006" s="22" t="n"/>
      <c r="AA2006" s="22" t="n"/>
      <c r="AB2006" s="22" t="n"/>
      <c r="AC2006" s="22" t="n"/>
      <c r="AD2006" s="22" t="n"/>
      <c r="AE2006" s="22" t="n"/>
    </row>
    <row r="2007" ht="70" customHeight="1" s="380">
      <c r="A2007" s="126" t="n">
        <v>94</v>
      </c>
      <c r="B2007" s="390" t="n"/>
      <c r="C2007" s="390" t="inlineStr">
        <is>
          <t>Báo cáo theo Thông tư 121/2020/TT-BTC &gt;&gt; Báo báo tài chính &gt;&gt; Các chỉ tiêu ngoài báo cáo tình hình tài chính riêng</t>
        </is>
      </c>
      <c r="D2007" s="390" t="inlineStr">
        <is>
          <t>10. Phải thu của khách hàng về lỗi giao dịch các tài sản tài chính</t>
        </is>
      </c>
      <c r="E2007" s="401" t="n">
        <v>33</v>
      </c>
      <c r="F2007" s="390" t="inlineStr">
        <is>
          <t>Data Explorer</t>
        </is>
      </c>
      <c r="G2007" s="390" t="inlineStr">
        <is>
          <t>Chỉ tiêu cơ sở</t>
        </is>
      </c>
      <c r="H2007" s="390" t="inlineStr">
        <is>
          <t>Dễ</t>
        </is>
      </c>
      <c r="I2007" s="390" t="inlineStr">
        <is>
          <t>Ngày, CTCK</t>
        </is>
      </c>
      <c r="J2007" s="401" t="inlineStr">
        <is>
          <t>SCMS</t>
        </is>
      </c>
      <c r="K2007" s="401" t="n"/>
      <c r="L2007" s="401" t="inlineStr">
        <is>
          <t>X</t>
        </is>
      </c>
      <c r="M2007" s="401" t="n"/>
      <c r="N2007" s="401" t="inlineStr">
        <is>
          <t>Done</t>
        </is>
      </c>
      <c r="O2007" s="401" t="n"/>
      <c r="P2007" s="22" t="n"/>
      <c r="S2007" s="22" t="n"/>
      <c r="U2007" s="16" t="n"/>
      <c r="V2007" s="22" t="n"/>
      <c r="W2007" s="22" t="n"/>
      <c r="X2007" s="22" t="n"/>
      <c r="Y2007" s="13" t="n"/>
      <c r="Z2007" s="22" t="n"/>
      <c r="AA2007" s="22" t="n"/>
      <c r="AB2007" s="22" t="n"/>
      <c r="AC2007" s="22" t="n"/>
      <c r="AD2007" s="22" t="n"/>
      <c r="AE2007" s="22" t="n"/>
    </row>
    <row r="2008" ht="70" customHeight="1" s="380">
      <c r="A2008" s="126" t="n">
        <v>94</v>
      </c>
      <c r="B2008" s="390" t="n"/>
      <c r="C2008" s="390" t="inlineStr">
        <is>
          <t>Báo cáo theo Thông tư 121/2020/TT-BTC &gt;&gt; Báo báo tài chính &gt;&gt; Các chỉ tiêu ngoài báo cáo tình hình tài chính riêng</t>
        </is>
      </c>
      <c r="D2008" s="390" t="inlineStr">
        <is>
          <t>11. Phải trả của khách hàng về lỗi giao dịch các tài sản tài chính</t>
        </is>
      </c>
      <c r="E2008" s="401" t="n">
        <v>34</v>
      </c>
      <c r="F2008" s="390" t="inlineStr">
        <is>
          <t>Data Explorer</t>
        </is>
      </c>
      <c r="G2008" s="390" t="inlineStr">
        <is>
          <t>Chỉ tiêu cơ sở</t>
        </is>
      </c>
      <c r="H2008" s="390" t="inlineStr">
        <is>
          <t>Dễ</t>
        </is>
      </c>
      <c r="I2008" s="390" t="inlineStr">
        <is>
          <t>Ngày, CTCK</t>
        </is>
      </c>
      <c r="J2008" s="401" t="inlineStr">
        <is>
          <t>SCMS</t>
        </is>
      </c>
      <c r="K2008" s="401" t="n"/>
      <c r="L2008" s="401" t="inlineStr">
        <is>
          <t>X</t>
        </is>
      </c>
      <c r="M2008" s="401" t="n"/>
      <c r="N2008" s="401" t="inlineStr">
        <is>
          <t>Done</t>
        </is>
      </c>
      <c r="O2008" s="401" t="n"/>
      <c r="P2008" s="22" t="n"/>
      <c r="S2008" s="22" t="n"/>
      <c r="U2008" s="16" t="n"/>
      <c r="V2008" s="22" t="n"/>
      <c r="W2008" s="22" t="n"/>
      <c r="X2008" s="22" t="n"/>
      <c r="Y2008" s="13" t="n"/>
      <c r="Z2008" s="22" t="n"/>
      <c r="AA2008" s="22" t="n"/>
      <c r="AB2008" s="22" t="n"/>
      <c r="AC2008" s="22" t="n"/>
      <c r="AD2008" s="22" t="n"/>
      <c r="AE2008" s="22" t="n"/>
    </row>
    <row r="2009" ht="70" customHeight="1" s="380">
      <c r="A2009" s="128" t="n">
        <v>94</v>
      </c>
      <c r="B2009" s="129" t="n"/>
      <c r="C2009" s="129" t="inlineStr">
        <is>
          <t>Báo cáo theo Thông tư 121/2020/TT-BTC &gt;&gt; Báo báo tài chính &gt;&gt; Các chỉ tiêu ngoài báo cáo tình hình tài chính riêng</t>
        </is>
      </c>
      <c r="D2009" s="129" t="inlineStr">
        <is>
          <t>12. Phải trả cổ tức, gốc và lãi trái phiếu</t>
        </is>
      </c>
      <c r="E2009" s="85" t="n">
        <v>35</v>
      </c>
      <c r="F2009" s="129" t="inlineStr">
        <is>
          <t>Data Explorer</t>
        </is>
      </c>
      <c r="G2009" s="129" t="inlineStr">
        <is>
          <t>Chỉ tiêu cơ sở</t>
        </is>
      </c>
      <c r="H2009" s="129" t="inlineStr">
        <is>
          <t>Dễ</t>
        </is>
      </c>
      <c r="I2009" s="129" t="inlineStr">
        <is>
          <t>Ngày, CTCK</t>
        </is>
      </c>
      <c r="J2009" s="85" t="inlineStr">
        <is>
          <t>SCMS</t>
        </is>
      </c>
      <c r="K2009" s="85" t="n"/>
      <c r="L2009" s="85" t="inlineStr">
        <is>
          <t>X</t>
        </is>
      </c>
      <c r="M2009" s="85" t="n"/>
      <c r="N2009" s="85" t="inlineStr">
        <is>
          <t>Done</t>
        </is>
      </c>
      <c r="O2009" s="85" t="n"/>
      <c r="P2009" s="130" t="n"/>
      <c r="Q2009" s="426" t="n"/>
      <c r="R2009" s="426" t="n"/>
      <c r="S2009" s="130" t="n"/>
      <c r="T2009" s="426" t="n"/>
      <c r="U2009" s="131" t="n"/>
      <c r="V2009" s="130" t="n"/>
      <c r="W2009" s="130" t="n"/>
      <c r="X2009" s="130" t="n"/>
      <c r="Y2009" s="97" t="n"/>
      <c r="Z2009" s="130" t="n"/>
      <c r="AA2009" s="130" t="n"/>
      <c r="AB2009" s="130" t="n"/>
      <c r="AC2009" s="130" t="n"/>
      <c r="AD2009" s="130" t="n"/>
      <c r="AE2009" s="130" t="n"/>
    </row>
    <row r="2010" ht="56" customHeight="1" s="380">
      <c r="A2010" s="126" t="n">
        <v>95</v>
      </c>
      <c r="B2010" s="122" t="inlineStr">
        <is>
          <t>Nga</t>
        </is>
      </c>
      <c r="C2010" s="127" t="inlineStr">
        <is>
          <t>Báo cáo theo Thông tư 121/2020/TT-BTC &gt;&gt; Báo báo tài chính &gt;&gt; Báo cáo kết quả hoạt động riêng</t>
        </is>
      </c>
      <c r="D2010" s="106" t="inlineStr">
        <is>
          <t>Loại báo cáo</t>
        </is>
      </c>
      <c r="E2010" s="107" t="inlineStr">
        <is>
          <t>Loại báo cáo</t>
        </is>
      </c>
      <c r="F2010" s="390" t="inlineStr">
        <is>
          <t>Data Explorer</t>
        </is>
      </c>
      <c r="G2010" s="390" t="inlineStr">
        <is>
          <t>Chiều</t>
        </is>
      </c>
      <c r="H2010" s="390" t="inlineStr">
        <is>
          <t>Dễ</t>
        </is>
      </c>
      <c r="I2010" s="390" t="inlineStr">
        <is>
          <t>Ngày, CTCK</t>
        </is>
      </c>
      <c r="J2010" s="401" t="inlineStr">
        <is>
          <t>SCMS</t>
        </is>
      </c>
      <c r="K2010" s="401" t="inlineStr">
        <is>
          <t>X</t>
        </is>
      </c>
      <c r="L2010" s="401" t="inlineStr">
        <is>
          <t>X</t>
        </is>
      </c>
      <c r="M2010" s="401" t="n"/>
      <c r="N2010" s="401" t="inlineStr">
        <is>
          <t>Done</t>
        </is>
      </c>
      <c r="O2010" s="401" t="n"/>
      <c r="P2010" s="22" t="n"/>
      <c r="Q2010" s="404" t="inlineStr">
        <is>
          <t>SCMS.BM_BAO_CAO
SCMS.BM_BAO_CAO_DINH_KY</t>
        </is>
      </c>
      <c r="R2010" s="404" t="inlineStr">
        <is>
          <t>bm.ID,
bm.MA_BAO_CAO,
bm.LOAI_BAO_CAO,
bm.TEN_BAO_CAO,
bm.SU_DUNG,
bdk.BM_BAO_CAO_ID,
bdk.KY_BAO_CAO,
bdk.SU_DUNG</t>
        </is>
      </c>
      <c r="S2010" s="22" t="n"/>
      <c r="T2010" s="389"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U2010" s="16" t="n"/>
      <c r="V2010" s="22" t="n"/>
      <c r="W2010" s="22" t="n"/>
      <c r="X2010" s="22" t="n"/>
      <c r="Y2010" s="13" t="n"/>
      <c r="Z2010" s="22" t="n"/>
      <c r="AA2010" s="22" t="n"/>
      <c r="AB2010" s="22" t="n"/>
      <c r="AC2010" s="22" t="n"/>
      <c r="AD2010" s="22" t="n"/>
      <c r="AE2010" s="22" t="n"/>
    </row>
    <row r="2011" ht="56" customHeight="1" s="380">
      <c r="A2011" s="126" t="n">
        <v>95</v>
      </c>
      <c r="B2011" s="390" t="n"/>
      <c r="C2011" s="390" t="inlineStr">
        <is>
          <t>Báo cáo theo Thông tư 121/2020/TT-BTC &gt;&gt; Báo báo tài chính &gt;&gt; Báo cáo kết quả hoạt động riêng</t>
        </is>
      </c>
      <c r="D2011" s="106" t="inlineStr">
        <is>
          <t>Kỳ báo cáo</t>
        </is>
      </c>
      <c r="E2011" s="107" t="inlineStr">
        <is>
          <t>Kỳ báo cáo</t>
        </is>
      </c>
      <c r="F2011" s="390" t="inlineStr">
        <is>
          <t>Data Explorer</t>
        </is>
      </c>
      <c r="G2011" s="390" t="inlineStr">
        <is>
          <t>Chiều</t>
        </is>
      </c>
      <c r="H2011" s="390" t="inlineStr">
        <is>
          <t>Dễ</t>
        </is>
      </c>
      <c r="I2011" s="390" t="inlineStr">
        <is>
          <t>Ngày, CTCK</t>
        </is>
      </c>
      <c r="J2011" s="401" t="inlineStr">
        <is>
          <t>SCMS</t>
        </is>
      </c>
      <c r="K2011" s="401" t="inlineStr">
        <is>
          <t>X</t>
        </is>
      </c>
      <c r="L2011" s="401" t="inlineStr">
        <is>
          <t>X</t>
        </is>
      </c>
      <c r="M2011" s="401" t="n"/>
      <c r="N2011" s="401" t="inlineStr">
        <is>
          <t>Done</t>
        </is>
      </c>
      <c r="O2011" s="401" t="n"/>
      <c r="P2011" s="22" t="n"/>
      <c r="S2011" s="22" t="n"/>
      <c r="U2011" s="16" t="n"/>
      <c r="V2011" s="22" t="n"/>
      <c r="W2011" s="22" t="n"/>
      <c r="X2011" s="22" t="n"/>
      <c r="Y2011" s="38" t="n"/>
      <c r="Z2011" s="22" t="n"/>
      <c r="AA2011" s="22" t="n"/>
      <c r="AB2011" s="22" t="n"/>
      <c r="AC2011" s="22" t="n"/>
      <c r="AD2011" s="22" t="n"/>
      <c r="AE2011" s="22" t="n"/>
    </row>
    <row r="2012" ht="56" customHeight="1" s="380">
      <c r="A2012" s="126" t="n">
        <v>95</v>
      </c>
      <c r="B2012" s="390" t="n"/>
      <c r="C2012" s="390" t="inlineStr">
        <is>
          <t>Báo cáo theo Thông tư 121/2020/TT-BTC &gt;&gt; Báo báo tài chính &gt;&gt; Báo cáo kết quả hoạt động riêng</t>
        </is>
      </c>
      <c r="D2012" s="106" t="inlineStr">
        <is>
          <t>Mã báo cáo</t>
        </is>
      </c>
      <c r="E2012" s="107" t="inlineStr">
        <is>
          <t>Mã báo cáo</t>
        </is>
      </c>
      <c r="F2012" s="390" t="inlineStr">
        <is>
          <t>Data Explorer</t>
        </is>
      </c>
      <c r="G2012" s="390" t="inlineStr">
        <is>
          <t>Chiều</t>
        </is>
      </c>
      <c r="H2012" s="390" t="inlineStr">
        <is>
          <t>Dễ</t>
        </is>
      </c>
      <c r="I2012" s="390" t="inlineStr">
        <is>
          <t>Ngày, CTCK</t>
        </is>
      </c>
      <c r="J2012" s="401" t="inlineStr">
        <is>
          <t>SCMS</t>
        </is>
      </c>
      <c r="K2012" s="401" t="inlineStr">
        <is>
          <t>X</t>
        </is>
      </c>
      <c r="L2012" s="401" t="inlineStr">
        <is>
          <t>X</t>
        </is>
      </c>
      <c r="M2012" s="401" t="n"/>
      <c r="N2012" s="401" t="inlineStr">
        <is>
          <t>Done</t>
        </is>
      </c>
      <c r="O2012" s="401" t="n"/>
      <c r="P2012" s="22" t="n"/>
      <c r="S2012" s="22" t="n"/>
      <c r="U2012" s="16" t="n"/>
      <c r="V2012" s="22" t="n"/>
      <c r="W2012" s="22" t="n"/>
      <c r="X2012" s="22" t="n"/>
      <c r="Y2012" s="13" t="n"/>
      <c r="Z2012" s="22" t="n"/>
      <c r="AA2012" s="22" t="n"/>
      <c r="AB2012" s="22" t="n"/>
      <c r="AC2012" s="22" t="n"/>
      <c r="AD2012" s="22" t="n"/>
      <c r="AE2012" s="22" t="n"/>
    </row>
    <row r="2013" ht="56" customHeight="1" s="380">
      <c r="A2013" s="126" t="n">
        <v>95</v>
      </c>
      <c r="B2013" s="390" t="n"/>
      <c r="C2013" s="390" t="inlineStr">
        <is>
          <t>Báo cáo theo Thông tư 121/2020/TT-BTC &gt;&gt; Báo báo tài chính &gt;&gt; Báo cáo kết quả hoạt động riêng</t>
        </is>
      </c>
      <c r="D2013" s="106" t="inlineStr">
        <is>
          <t>Tên báo cáo</t>
        </is>
      </c>
      <c r="E2013" s="107" t="inlineStr">
        <is>
          <t>Tên báo cáo</t>
        </is>
      </c>
      <c r="F2013" s="390" t="inlineStr">
        <is>
          <t>Data Explorer</t>
        </is>
      </c>
      <c r="G2013" s="390" t="inlineStr">
        <is>
          <t>Chiều</t>
        </is>
      </c>
      <c r="H2013" s="390" t="inlineStr">
        <is>
          <t>Dễ</t>
        </is>
      </c>
      <c r="I2013" s="390" t="inlineStr">
        <is>
          <t>Ngày, CTCK</t>
        </is>
      </c>
      <c r="J2013" s="401" t="inlineStr">
        <is>
          <t>SCMS</t>
        </is>
      </c>
      <c r="K2013" s="401" t="inlineStr">
        <is>
          <t>X</t>
        </is>
      </c>
      <c r="L2013" s="401" t="inlineStr">
        <is>
          <t>X</t>
        </is>
      </c>
      <c r="M2013" s="401" t="n"/>
      <c r="N2013" s="401" t="inlineStr">
        <is>
          <t>Done</t>
        </is>
      </c>
      <c r="O2013" s="401" t="n"/>
      <c r="P2013" s="22" t="n"/>
      <c r="S2013" s="22" t="n"/>
      <c r="U2013" s="16" t="n"/>
      <c r="V2013" s="22" t="n"/>
      <c r="W2013" s="22" t="n"/>
      <c r="X2013" s="22" t="n"/>
      <c r="Y2013" s="13" t="n"/>
      <c r="Z2013" s="22" t="n"/>
      <c r="AA2013" s="22" t="n"/>
      <c r="AB2013" s="22" t="n"/>
      <c r="AC2013" s="22" t="n"/>
      <c r="AD2013" s="22" t="n"/>
      <c r="AE2013" s="22" t="n"/>
    </row>
    <row r="2014" ht="56" customHeight="1" s="380">
      <c r="A2014" s="126" t="n">
        <v>95</v>
      </c>
      <c r="B2014" s="390" t="n"/>
      <c r="C2014" s="390" t="inlineStr">
        <is>
          <t>Báo cáo theo Thông tư 121/2020/TT-BTC &gt;&gt; Báo báo tài chính &gt;&gt; Báo cáo kết quả hoạt động riêng</t>
        </is>
      </c>
      <c r="D2014" s="25" t="inlineStr">
        <is>
          <t>Mã sheet</t>
        </is>
      </c>
      <c r="E2014" s="25" t="inlineStr">
        <is>
          <t>Mã sheet</t>
        </is>
      </c>
      <c r="F2014" s="390" t="inlineStr">
        <is>
          <t>Data Explorer</t>
        </is>
      </c>
      <c r="G2014" s="390" t="inlineStr">
        <is>
          <t>Chiều</t>
        </is>
      </c>
      <c r="H2014" s="390" t="inlineStr">
        <is>
          <t>Dễ</t>
        </is>
      </c>
      <c r="I2014" s="390" t="inlineStr">
        <is>
          <t>Ngày, CTCK</t>
        </is>
      </c>
      <c r="J2014" s="401" t="inlineStr">
        <is>
          <t>SCMS</t>
        </is>
      </c>
      <c r="K2014" s="401" t="inlineStr">
        <is>
          <t>X</t>
        </is>
      </c>
      <c r="L2014" s="401" t="inlineStr">
        <is>
          <t>X</t>
        </is>
      </c>
      <c r="M2014" s="401" t="n"/>
      <c r="N2014" s="401" t="inlineStr">
        <is>
          <t>Done</t>
        </is>
      </c>
      <c r="O2014" s="401" t="n"/>
      <c r="P2014" s="22" t="n"/>
      <c r="Q2014" s="401" t="inlineStr">
        <is>
          <t>SCMS.BM_BAO_CAO
SCMS.BM_SHEET</t>
        </is>
      </c>
      <c r="R2014" s="401" t="inlineStr">
        <is>
          <t>bm.ID,
bm.MA_BAO_CAO,
bm.SU_DUNG,
s.BM_BAO_CAO_ID,
s.MA_SHEET,
s.TEN_SHEET,
s.SAP_XEP</t>
        </is>
      </c>
      <c r="S2014" s="22" t="n"/>
      <c r="T2014" s="389" t="inlineStr">
        <is>
          <t>-- Mã sheet / Tên sheet
-- TEN_SHEET: BCKQHDR
SELECT bm.MA_BAO_CAO,
s.MA_SHEET,
s.TEN_SHEET
FROM SCMS.BM_BAO_CAO bm
JOIN SCMS.BM_SHEET s ON s.BM_BAO_CAO_ID = bm.ID
WHERE bm.MA_BAO_CAO LIKE 'BCTCRLCTCK'
AND s.TEN_SHEET = 'BCKQHDR'  -- Check lại
AND bm.SU_DUNG = 1
ORDER BY bm.MA_BAO_CAO, s.SAP_XEP;</t>
        </is>
      </c>
      <c r="U2014" s="16" t="n"/>
      <c r="V2014" s="22" t="n"/>
      <c r="W2014" s="22" t="n"/>
      <c r="X2014" s="22" t="n"/>
      <c r="Y2014" s="13" t="n"/>
      <c r="Z2014" s="22" t="n"/>
      <c r="AA2014" s="22" t="n"/>
      <c r="AB2014" s="22" t="n"/>
      <c r="AC2014" s="22" t="n"/>
      <c r="AD2014" s="22" t="n"/>
      <c r="AE2014" s="22" t="n"/>
    </row>
    <row r="2015" ht="56" customHeight="1" s="380">
      <c r="A2015" s="126" t="n">
        <v>95</v>
      </c>
      <c r="B2015" s="390" t="n"/>
      <c r="C2015" s="390" t="inlineStr">
        <is>
          <t>Báo cáo theo Thông tư 121/2020/TT-BTC &gt;&gt; Báo báo tài chính &gt;&gt; Báo cáo kết quả hoạt động riêng</t>
        </is>
      </c>
      <c r="D2015" s="25" t="inlineStr">
        <is>
          <t>Tên sheet</t>
        </is>
      </c>
      <c r="E2015" s="25" t="inlineStr">
        <is>
          <t>Tên sheet</t>
        </is>
      </c>
      <c r="F2015" s="390" t="inlineStr">
        <is>
          <t>Data Explorer</t>
        </is>
      </c>
      <c r="G2015" s="390" t="inlineStr">
        <is>
          <t>Chiều</t>
        </is>
      </c>
      <c r="H2015" s="390" t="inlineStr">
        <is>
          <t>Dễ</t>
        </is>
      </c>
      <c r="I2015" s="390" t="inlineStr">
        <is>
          <t>Ngày, CTCK</t>
        </is>
      </c>
      <c r="J2015" s="401" t="inlineStr">
        <is>
          <t>SCMS</t>
        </is>
      </c>
      <c r="K2015" s="401" t="inlineStr">
        <is>
          <t>X</t>
        </is>
      </c>
      <c r="L2015" s="401" t="inlineStr">
        <is>
          <t>X</t>
        </is>
      </c>
      <c r="M2015" s="401" t="n"/>
      <c r="N2015" s="401" t="inlineStr">
        <is>
          <t>Done</t>
        </is>
      </c>
      <c r="O2015" s="401" t="n"/>
      <c r="P2015" s="22" t="n"/>
      <c r="S2015" s="22" t="n"/>
      <c r="U2015" s="16" t="n"/>
      <c r="V2015" s="22" t="n"/>
      <c r="W2015" s="22" t="n"/>
      <c r="X2015" s="22" t="n"/>
      <c r="Y2015" s="13" t="n"/>
      <c r="Z2015" s="22" t="n"/>
      <c r="AA2015" s="22" t="n"/>
      <c r="AB2015" s="22" t="n"/>
      <c r="AC2015" s="22" t="n"/>
      <c r="AD2015" s="22" t="n"/>
      <c r="AE2015" s="22" t="n"/>
    </row>
    <row r="2016" ht="56" customHeight="1" s="380">
      <c r="A2016" s="126" t="n">
        <v>95</v>
      </c>
      <c r="B2016" s="390" t="n"/>
      <c r="C2016" s="390" t="inlineStr">
        <is>
          <t>Báo cáo theo Thông tư 121/2020/TT-BTC &gt;&gt; Báo báo tài chính &gt;&gt; Báo cáo kết quả hoạt động riêng</t>
        </is>
      </c>
      <c r="D2016" s="106" t="inlineStr">
        <is>
          <t>Mã chỉ tiêu</t>
        </is>
      </c>
      <c r="E2016" s="107" t="inlineStr">
        <is>
          <t>Mã chỉ tiêu</t>
        </is>
      </c>
      <c r="F2016" s="390" t="inlineStr">
        <is>
          <t>Data Explorer</t>
        </is>
      </c>
      <c r="G2016" s="390" t="inlineStr">
        <is>
          <t>Chiều</t>
        </is>
      </c>
      <c r="H2016" s="390" t="inlineStr">
        <is>
          <t>Dễ</t>
        </is>
      </c>
      <c r="I2016" s="390" t="inlineStr">
        <is>
          <t>Ngày, CTCK</t>
        </is>
      </c>
      <c r="J2016" s="401" t="inlineStr">
        <is>
          <t>SCMS</t>
        </is>
      </c>
      <c r="K2016" s="401" t="inlineStr">
        <is>
          <t>X</t>
        </is>
      </c>
      <c r="L2016" s="401" t="inlineStr">
        <is>
          <t>X</t>
        </is>
      </c>
      <c r="M2016" s="401" t="n"/>
      <c r="N2016" s="401" t="inlineStr">
        <is>
          <t>Done</t>
        </is>
      </c>
      <c r="O2016" s="401" t="n"/>
      <c r="P2016" s="22" t="n"/>
      <c r="Q2016" s="401" t="inlineStr">
        <is>
          <t>SCMS.BM_BAO_CAO
SCMS.BM_SHEET
SCMS.BM_BAO_CAO_CT
SCMS.DM_CHI_TIEU</t>
        </is>
      </c>
      <c r="R2016" s="402" t="inlineStr">
        <is>
          <t>dct.ID,
dct.MA_CHI_TIEU,
dct.TEN_CHI_TIEU,
dct.SU_DUNG,
s.BM_BAO_CAO_ID,
s.MA_SHEET,
ct.BM_BAO_CAO_ID,
ct.DM_CHI_TIEU_ID,
ct.SU_DUNG,
bm.ID,
bm.MA_BAO_CAO,
bm.SU_DUNG</t>
        </is>
      </c>
      <c r="S2016" s="22" t="n"/>
      <c r="T2016" s="389" t="inlineStr">
        <is>
          <t>-- Mã chỉ tiêu / Tên chỉ tiêu
SELECT DISTINCT
    dct.MA_CHI_TIEU  AS ma_chi_tieu,
    dct.TEN_CHI_TIEU AS ten_chi_tieu
FROM SCMS.BM_BAO_CAO bm
JOIN SCMS.BM_SHEET s ON s.BM_BAO_CAO_ID = bm.ID
	AND s.TEN_SHEET = 'BCKQHDR'
JOIN SCMS.BM_BAO_CAO_CT ct ON ct.BM_SHEET_ID = s.ID
	AND ct.SU_DUNG = 1
JOIN SCMS.DM_CHI_TIEU dct ON dct.ID = ct.DM_CHI_TIEU_ID
	AND dct.SU_DUNG = 1
WHERE bm.MA_BAO_CAO LIKE 'BCTCRLCTCK'
	AND bm.SU_DUNG = 1
ORDER BY dct.MA_CHI_TIEU;</t>
        </is>
      </c>
      <c r="U2016" s="16" t="n"/>
      <c r="V2016" s="22" t="n"/>
      <c r="W2016" s="22" t="n"/>
      <c r="X2016" s="22" t="n"/>
      <c r="Y2016" s="13" t="n"/>
      <c r="Z2016" s="22" t="n"/>
      <c r="AA2016" s="22" t="n"/>
      <c r="AB2016" s="22" t="n"/>
      <c r="AC2016" s="22" t="n"/>
      <c r="AD2016" s="22" t="n"/>
      <c r="AE2016" s="22" t="n"/>
    </row>
    <row r="2017" ht="56" customHeight="1" s="380">
      <c r="A2017" s="126" t="n">
        <v>95</v>
      </c>
      <c r="B2017" s="390" t="n"/>
      <c r="C2017" s="390" t="inlineStr">
        <is>
          <t>Báo cáo theo Thông tư 121/2020/TT-BTC &gt;&gt; Báo báo tài chính &gt;&gt; Báo cáo kết quả hoạt động riêng</t>
        </is>
      </c>
      <c r="D2017" s="106" t="inlineStr">
        <is>
          <t>Tên chỉ tiêu</t>
        </is>
      </c>
      <c r="E2017" s="107" t="inlineStr">
        <is>
          <t>Tên chỉ tiêu</t>
        </is>
      </c>
      <c r="F2017" s="390" t="inlineStr">
        <is>
          <t>Data Explorer</t>
        </is>
      </c>
      <c r="G2017" s="390" t="inlineStr">
        <is>
          <t>Chiều</t>
        </is>
      </c>
      <c r="H2017" s="390" t="inlineStr">
        <is>
          <t>Dễ</t>
        </is>
      </c>
      <c r="I2017" s="390" t="inlineStr">
        <is>
          <t>Ngày, CTCK</t>
        </is>
      </c>
      <c r="J2017" s="401" t="inlineStr">
        <is>
          <t>SCMS</t>
        </is>
      </c>
      <c r="K2017" s="401" t="inlineStr">
        <is>
          <t>X</t>
        </is>
      </c>
      <c r="L2017" s="401" t="inlineStr">
        <is>
          <t>X</t>
        </is>
      </c>
      <c r="M2017" s="401" t="n"/>
      <c r="N2017" s="401" t="inlineStr">
        <is>
          <t>Done</t>
        </is>
      </c>
      <c r="O2017" s="401" t="n"/>
      <c r="P2017" s="22" t="n"/>
      <c r="S2017" s="22" t="n"/>
      <c r="U2017" s="16" t="n"/>
      <c r="V2017" s="22" t="n"/>
      <c r="W2017" s="22" t="n"/>
      <c r="X2017" s="22" t="n"/>
      <c r="Y2017" s="13" t="n"/>
      <c r="Z2017" s="22" t="n"/>
      <c r="AA2017" s="22" t="n"/>
      <c r="AB2017" s="22" t="n"/>
      <c r="AC2017" s="22" t="n"/>
      <c r="AD2017" s="22" t="n"/>
      <c r="AE2017" s="22" t="n"/>
    </row>
    <row r="2018" ht="56" customHeight="1" s="380">
      <c r="A2018" s="126" t="n">
        <v>95</v>
      </c>
      <c r="B2018" s="390" t="n"/>
      <c r="C2018" s="390" t="inlineStr">
        <is>
          <t>Báo cáo theo Thông tư 121/2020/TT-BTC &gt;&gt; Báo báo tài chính &gt;&gt; Báo cáo kết quả hoạt động riêng</t>
        </is>
      </c>
      <c r="D2018" s="132" t="inlineStr">
        <is>
          <t xml:space="preserve">I. DOANH THU HOẠT ĐỘNG </t>
        </is>
      </c>
      <c r="E2018" s="401" t="n"/>
      <c r="F2018" s="390" t="inlineStr">
        <is>
          <t>Data Explorer</t>
        </is>
      </c>
      <c r="G2018" s="390" t="inlineStr">
        <is>
          <t>Chỉ tiêu cơ sở</t>
        </is>
      </c>
      <c r="H2018" s="390" t="inlineStr">
        <is>
          <t>Dễ</t>
        </is>
      </c>
      <c r="I2018" s="390" t="inlineStr">
        <is>
          <t>Ngày, CTCK</t>
        </is>
      </c>
      <c r="J2018" s="401" t="inlineStr">
        <is>
          <t>SCMS</t>
        </is>
      </c>
      <c r="K2018" s="401" t="n"/>
      <c r="L2018" s="401" t="inlineStr">
        <is>
          <t>X</t>
        </is>
      </c>
      <c r="M2018" s="401" t="n"/>
      <c r="N2018" s="401" t="inlineStr">
        <is>
          <t>Done</t>
        </is>
      </c>
      <c r="O2018" s="401" t="n"/>
      <c r="P2018" s="22" t="n"/>
      <c r="Q2018" s="431" t="inlineStr">
        <is>
          <t>SCMS.BC_THANH_VIEN
SCMS.BM_BAO_CAO
SCMS.BC_BAO_CAO_GT
SCMS.BM_BAO_CAO_HANG
SCMS.BM_BAO_CAO_COT</t>
        </is>
      </c>
      <c r="R2018" s="431" t="inlineStr">
        <is>
          <t>bsc.TEN_COT,
bsc.BM_SHEET_ID,
bsh.ID,
bsh.MA_HANG,
gt.GIA_TRI,
gt.BC_THANH_VIEN_ID,
gt.BM_SHEET_HANG_ID,
bm.ID,
bm.MA_BAO_CAO,
btv.ID,
btv.BM_BAO_CAO_ID,
btv.TRANG_THAI,
btv.NGAY_SO_LIEU</t>
        </is>
      </c>
      <c r="S2018" s="22" t="n"/>
      <c r="T2018" s="432" t="inlineStr">
        <is>
          <t xml:space="preserve">-- CHỈ TIÊU
SELECT
	-- Thuyết minh
    MAX(CASE WHEN bsc.TEN_COT=N'Thuyết minh' AND bsh.MA_HANG = '2' THEN CAST(gt.GIA_TRI AS VARCHAR2(4000)) END) AS "I. DOANH THU HOẠT ĐỘNG",
    MAX(CASE WHEN bsc.TEN_COT=N'Thuyết minh' AND bsh.MA_HANG = '3' THEN CAST(gt.GIA_TRI AS VARCHAR2(4000)) END) AS "1.1. Lãi từ các tài sản tài chính ghi nhận thông qua lãi/lỗ (FVTPL)",
    MAX(CASE WHEN bsc.TEN_COT=N'Thuyết minh' AND bsh.MA_HANG = '4' THEN CAST(gt.GIA_TRI AS VARCHAR2(4000)) END) AS "a. Lãi bán các tài sản tài chính FVTPL",
    MAX(CASE WHEN bsc.TEN_COT=N'Thuyết minh' AND bsh.MA_HANG = '5' THEN CAST(gt.GIA_TRI AS VARCHAR2(4000)) END) AS "b. Chênh lệch tăng về đánh giá lại các TSTC FVTPL",
    MAX(CASE WHEN bsc.TEN_COT=N'Thuyết minh' AND bsh.MA_HANG = '6' THEN CAST(gt.GIA_TRI AS VARCHAR2(4000)) END) AS "c. Cổ tức, tiền lãi phát sinh từ tài sản tài chính FVTPL",
    MAX(CASE WHEN bsc.TEN_COT=N'Thuyết minh' AND bsh.MA_HANG = '7' THEN CAST(gt.GIA_TRI AS VARCHAR2(4000)) END) AS "d. Chênh lệch giảm do đánh giá lại phải trả chứng quyền đang lưu hành",  -- DB cũ không có chỉ tiêu này
    MAX(CASE WHEN bsc.TEN_COT=N'Thuyết minh' AND bsh.MA_HANG = '8' THEN CAST(gt.GIA_TRI AS VARCHAR2(4000)) END) AS "1.2. Lãi từ các khoản đầu tư nắm giữ đến ngày đáo hạn (HTM)",
    MAX(CASE WHEN bsc.TEN_COT=N'Thuyết minh' AND bsh.MA_HANG = '9' THEN CAST(gt.GIA_TRI AS VARCHAR2(4000)) END) AS "1.3. Lãi từ các khoản cho vay và phải thu",
    MAX(CASE WHEN bsc.TEN_COT=N'Thuyết minh' AND bsh.MA_HANG = '10' THEN CAST(gt.GIA_TRI AS VARCHAR2(4000)) END) AS "1.4. Lãi từ tài sản tài chính sẵn sàng để bán (AFS)",
    MAX(CASE WHEN bsc.TEN_COT=N'Thuyết minh' AND bsh.MA_HANG = '11' THEN CAST(gt.GIA_TRI AS VARCHAR2(4000)) END) AS "1.5. Lãi từ các công cụ phái sinh phòng ngừa rủi ro",
    MAX(CASE WHEN bsc.TEN_COT=N'Thuyết minh' AND bsh.MA_HANG = '12' THEN CAST(gt.GIA_TRI AS VARCHAR2(4000)) END) AS "1.6. Doanh thu nghiệp vụ môi giới chứng khoán",
    MAX(CASE WHEN bsc.TEN_COT=N'Thuyết minh' AND bsh.MA_HANG = '13' THEN CAST(gt.GIA_TRI AS VARCHAR2(4000)) END) AS "1.7. Doanh thu nghiệp vụ bảo lãnh, đại lý phát hành chứng khoán",
    MAX(CASE WHEN bsc.TEN_COT=N'Thuyết minh' AND bsh.MA_HANG = '14' THEN CAST(gt.GIA_TRI AS VARCHAR2(4000)) END) AS "1.8. Doanh thu nghiệp vụ tư vấn đầu tư chứng khoán",
    MAX(CASE WHEN bsc.TEN_COT=N'Thuyết minh' AND bsh.MA_HANG = '15' THEN CAST(gt.GIA_TRI AS VARCHAR2(4000)) END) AS "1.9. Doanh thu nghiệp vụ lưu ký chứng khoán",
    MAX(CASE WHEN bsc.TEN_COT=N'Thuyết minh' AND bsh.MA_HANG = '16' THEN CAST(gt.GIA_TRI AS VARCHAR2(4000)) END) AS "1.10. Doanh thu hoạt động tư vấn tài chính",
    MAX(CASE WHEN bsc.TEN_COT=N'Thuyết minh' AND bsh.MA_HANG = '17' THEN CAST(gt.GIA_TRI AS VARCHAR2(4000)) END) AS "1.11. Thu nhập hoạt động khác",
    MAX(CASE WHEN bsc.TEN_COT=N'Thuyết minh' AND bsh.MA_HANG = '18' THEN CAST(gt.GIA_TRI AS VARCHAR2(4000)) END) AS "Cộng doanh thu hoạt động (20 = 01 đến 11)",
    MAX(CASE WHEN bsc.TEN_COT=N'Thuyết minh' AND bsh.MA_HANG = '19' THEN CAST(gt.GIA_TRI AS VARCHAR2(4000)) END) AS "II. CHI PHÍ HOẠT ĐỘNG",
    MAX(CASE WHEN bsc.TEN_COT=N'Thuyết minh' AND bsh.MA_HANG = '20' THEN CAST(gt.GIA_TRI AS VARCHAR2(4000)) END) AS "2.1. Lỗ các tài sản tài chính ghi nhận thông qua lãi/lỗ (FVTPL)",
    MAX(CASE WHEN bsc.TEN_COT=N'Thuyết minh' AND bsh.MA_HANG = '21' THEN CAST(gt.GIA_TRI AS VARCHAR2(4000)) END) AS "a. Lỗ bán các tài sản tài chính FVTPL",
    MAX(CASE WHEN bsc.TEN_COT=N'Thuyết minh' AND bsh.MA_HANG = '22' THEN CAST(gt.GIA_TRI AS VARCHAR2(4000)) END) AS "b. Chênh lệch giảm đánh giá lại các TSTC FVTPL",
    MAX(CASE WHEN bsc.TEN_COT=N'Thuyết minh' AND bsh.MA_HANG = '23' THEN CAST(gt.GIA_TRI AS VARCHAR2(4000)) END) AS "c. Chi phí giao dịch mua các tài sản tài chính FVTPL",
    MAX(CASE WHEN bsc.TEN_COT=N'Thuyết minh' AND bsh.MA_HANG = '24' THEN CAST(gt.GIA_TRI AS VARCHAR2(4000)) END) AS "d. Chênh lệch tăng đánh do đánh giá lại phải trả chứng quyền đang lưu hành",  -- DB cũ không có chỉ tiêu này
    MAX(CASE WHEN bsc.TEN_COT=N'Thuyết minh' AND bsh.MA_HANG = '25' THEN CAST(gt.GIA_TRI AS VARCHAR2(4000)) END) AS "2.2. Lỗ các khoản đầu tư nắm giữ đến ngày đáo hạn (HTM)",
    MAX(CASE WHEN bsc.TEN_COT=N'Thuyết minh' AND bsh.MA_HANG = '26' THEN CAST(gt.GIA_TRI AS VARCHAR2(4000)) END) AS "2.3. Lỗ và ghi nhận chênh lệch đánh giá theo giá trị hợp lý tài sản tài chính sẵn sàng để bán (AFS) khi phân loại lại",
    MAX(CASE WHEN bsc.TEN_COT=N'Thuyết minh' AND bsh.MA_HANG = '27' THEN CAST(gt.GIA_TRI AS VARCHAR2(4000)) END) AS "2.4. Chi phí dự phòng tài sản tài chính, xử lý tổn thất các khoản phải thu khó đòi và lỗ suy giảm tài sản tài chính và chi phí đi vay của các khoản cho vay",
    MAX(CASE WHEN bsc.TEN_COT=N'Thuyết minh' AND bsh.MA_HANG = '28' THEN CAST(gt.GIA_TRI AS VARCHAR2(4000)) END) AS "2.5. Lỗ từ các tài sản tài chính phái sinh phòng ngừa rủi ro",
    MAX(CASE WHEN bsc.TEN_COT=N'Thuyết minh' AND bsh.MA_HANG = '29' THEN CAST(gt.GIA_TRI AS VARCHAR2(4000)) END) AS "2.6. Chi phí hoạt động tự doanh",
    MAX(CASE WHEN bsc.TEN_COT=N'Thuyết minh' AND bsh.MA_HANG = '30' THEN CAST(gt.GIA_TRI AS VARCHAR2(4000)) END) AS "2.7. Chi phí nghiệp vụ môi giới chứng khoán",
    MAX(CASE WHEN bsc.TEN_COT=N'Thuyết minh' AND bsh.MA_HANG = '31' THEN CAST(gt.GIA_TRI AS VARCHAR2(4000)) END) AS "2.8. Chi phí nghiệp vụ bảo lãnh, đại lý phát hành chứng khoán",
    MAX(CASE WHEN bsc.TEN_COT=N'Thuyết minh' AND bsh.MA_HANG = '32' THEN CAST(gt.GIA_TRI AS VARCHAR2(4000)) END) AS "2.9. Chi phí nghiệp vụ tư vấn đầu tư chứng khoán",
    MAX(CASE WHEN bsc.TEN_COT=N'Thuyết minh' AND bsh.MA_HANG = '33' THEN CAST(gt.GIA_TRI AS VARCHAR2(4000)) END) AS "2.10. Chi phí nghiệp vụ lưu ký chứng khoán",
    MAX(CASE WHEN bsc.TEN_COT=N'Thuyết minh' AND bsh.MA_HANG = '34' THEN CAST(gt.GIA_TRI AS VARCHAR2(4000)) END) AS "2.11. Chi phí hoạt động tư vấn tài chính",
    MAX(CASE WHEN bsc.TEN_COT=N'Thuyết minh' AND bsh.MA_HANG = '35' THEN CAST(gt.GIA_TRI AS VARCHAR2(4000)) END) AS "2.12. Chi phí các dịch vụ khác",
    MAX(CASE WHEN bsc.TEN_COT=N'Thuyết minh' AND bsh.MA_HANG = '36' THEN CAST(gt.GIA_TRI AS VARCHAR2(4000)) END) AS "Cộng chi phí hoạt động (40 = 21 đến 32)",
    MAX(CASE WHEN bsc.TEN_COT=N'Thuyết minh' AND bsh.MA_HANG = '37' THEN CAST(gt.GIA_TRI AS VARCHAR2(4000)) END) AS "III. DOANH THU HOẠT ĐỘNG TÀI CHÍNH",
    MAX(CASE WHEN bsc.TEN_COT=N'Thuyết minh' AND bsh.MA_HANG = '38' THEN CAST(gt.GIA_TRI AS VARCHAR2(4000)) END) AS "3.1. Chênh lệch lãi tỷ giá hối đoái đã và chưa thực hiện",
    MAX(CASE WHEN bsc.TEN_COT=N'Thuyết minh' AND bsh.MA_HANG = '39' THEN CAST(gt.GIA_TRI AS VARCHAR2(4000)) END) AS "3.2. Doanh thu, dự thu cổ tức, lãi tiền gửi ngân hàng không cố định",
    MAX(CASE WHEN bsc.TEN_COT=N'Thuyết minh' AND bsh.MA_HANG = '40' THEN CAST(gt.GIA_TRI AS VARCHAR2(4000)) END) AS "3.3. Lãi bán, thanh lý các khoản đầu tư vào công ty con, liên kết, liên doanh",
    MAX(CASE WHEN bsc.TEN_COT=N'Thuyết minh' AND bsh.MA_HANG = '41' THEN CAST(gt.GIA_TRI AS VARCHAR2(4000)) END) AS "3.4. Doanh thu khác về đầu tư",
    MAX(CASE WHEN bsc.TEN_COT=N'Thuyết minh' AND bsh.MA_HANG = '42' THEN CAST(gt.GIA_TRI AS VARCHAR2(4000)) END) AS "Cộng doanh thu hoạt động tài chính (50 = 41 đến 44)",
    MAX(CASE WHEN bsc.TEN_COT=N'Thuyết minh' AND bsh.MA_HANG = '43' THEN CAST(gt.GIA_TRI AS VARCHAR2(4000)) END) AS "IV. CHI PHÍ TÀI CHÍNH",
    MAX(CASE WHEN bsc.TEN_COT=N'Thuyết minh' AND bsh.MA_HANG = '44' THEN CAST(gt.GIA_TRI AS VARCHAR2(4000)) END) AS "4.1. Chênh lệch lỗ tỷ giá hối đoái đã và chưa thực hiện",
    MAX(CASE WHEN bsc.TEN_COT=N'Thuyết minh' AND bsh.MA_HANG = '45' THEN CAST(gt.GIA_TRI AS VARCHAR2(4000)) END) AS "4.2. Chi phí lãi vay",
    MAX(CASE WHEN bsc.TEN_COT=N'Thuyết minh' AND bsh.MA_HANG = '46' THEN CAST(gt.GIA_TRI AS VARCHAR2(4000)) END) AS "4.3. Lỗ bán, thanh lý các khoản đầu tư vào công ty con, liên kết, liên doanh",
    MAX(CASE WHEN bsc.TEN_COT=N'Thuyết minh' AND bsh.MA_HANG = '47' THEN CAST(gt.GIA_TRI AS VARCHAR2(4000)) END) AS "4.4. Chi phí dự phòng suy giảm giá trị các khoản đầu tư tài chính dài hạn",
    MAX(CASE WHEN bsc.TEN_COT=N'Thuyết minh' AND bsh.MA_HANG = '48' THEN CAST(gt.GIA_TRI AS VARCHAR2(4000)) END) AS "4.5. Chi phí tài chính khác",
    MAX(CASE WHEN bsc.TEN_COT=N'Thuyết minh' AND bsh.MA_HANG = '49' THEN CAST(gt.GIA_TRI AS VARCHAR2(4000)) END) AS "Cộng chi phí tài chính (60 = 51 đến 55)",
    MAX(CASE WHEN bsc.TEN_COT=N'Thuyết minh' AND bsh.MA_HANG = '50' THEN CAST(gt.GIA_TRI AS VARCHAR2(4000)) END) AS "V. CHI PHÍ BÁN HÀNG",
    MAX(CASE WHEN bsc.TEN_COT=N'Thuyết minh' AND bsh.MA_HANG = '51' THEN CAST(gt.GIA_TRI AS VARCHAR2(4000)) END) AS "VI. CHI PHÍ QUẢN LÝ CÔNG TY CHỨNG KHOÁN",
    MAX(CASE WHEN bsc.TEN_COT=N'Thuyết minh' AND bsh.MA_HANG = '52' THEN CAST(gt.GIA_TRI AS VARCHAR2(4000)) END) AS "VII. KẾT QUẢ HOẠT ĐỘNG (70= 20+50-40 -60-61-62)",
    MAX(CASE WHEN bsc.TEN_COT=N'Thuyết minh' AND bsh.MA_HANG = '53' THEN CAST(gt.GIA_TRI AS VARCHAR2(4000)) END) AS "VIII. THU NHẬP KHÁC VÀ CHI PHÍ KHÁC",
    MAX(CASE WHEN bsc.TEN_COT=N'Thuyết minh' AND bsh.MA_HANG = '54' THEN CAST(gt.GIA_TRI AS VARCHAR2(4000)) END) AS "8.1. Thu nhập khác",
    MAX(CASE WHEN bsc.TEN_COT=N'Thuyết minh' AND bsh.MA_HANG = '55' THEN CAST(gt.GIA_TRI AS VARCHAR2(4000)) END) AS "8.2. Chi phí khác",
    MAX(CASE WHEN bsc.TEN_COT=N'Thuyết minh' AND bsh.MA_HANG = '56' THEN CAST(gt.GIA_TRI AS VARCHAR2(4000)) END) AS "Cộng kết quả hoạt động khác (80= 71-72)",
    MAX(CASE WHEN bsc.TEN_COT=N'Thuyết minh' AND bsh.MA_HANG = '57' THEN CAST(gt.GIA_TRI AS VARCHAR2(4000)) END) AS "IX. TỔNG LỢI NHUẬN KẾ TOÁN TRƯỚC THUẾ (90=70 + 80)",
    MAX(CASE WHEN bsc.TEN_COT=N'Thuyết minh' AND bsh.MA_HANG = '58' THEN CAST(gt.GIA_TRI AS VARCHAR2(4000)) END) AS "9.1. Lợi nhuận đã thực hiện",
    MAX(CASE WHEN bsc.TEN_COT=N'Thuyết minh' AND bsh.MA_HANG = '59' THEN CAST(gt.GIA_TRI AS VARCHAR2(4000)) END) AS "9.2. Lợi nhuận chưa thực hiện",
    MAX(CASE WHEN bsc.TEN_COT=N'Thuyết minh' AND bsh.MA_HANG = '60' THEN CAST(gt.GIA_TRI AS VARCHAR2(4000)) END) AS "X. CHI PHÍ THUẾ TNDN",
    MAX(CASE WHEN bsc.TEN_COT=N'Thuyết minh' AND bsh.MA_HANG = '61' THEN CAST(gt.GIA_TRI AS VARCHAR2(4000)) END) AS "10.1.Chi phí thuế TNDN hiện hành",
    MAX(CASE WHEN bsc.TEN_COT=N'Thuyết minh' AND bsh.MA_HANG = '62' THEN CAST(gt.GIA_TRI AS VARCHAR2(4000)) END) AS "10.2.Chi phí thuế TNDN hoãn lại",
    MAX(CASE WHEN bsc.TEN_COT=N'Thuyết minh' AND bsh.MA_HANG = '63' THEN CAST(gt.GIA_TRI AS VARCHAR2(4000)) END) AS "XI. LỢI NHUẬN KẾ TOÁN SAU THUẾ TNDN (200 = 90 - 100)",
    MAX(CASE WHEN bsc.TEN_COT=N'Thuyết minh' AND bsh.MA_HANG = '64' THEN CAST(gt.GIA_TRI AS VARCHAR2(4000)) END) AS "XII. THU NHẬP (LỖ) TOÀN DIỆN KHÁC SAU THUẾ TNDN",
    MAX(CASE WHEN bsc.TEN_COT=N'Thuyết minh' AND bsh.MA_HANG = '65' THEN CAST(gt.GIA_TRI AS VARCHAR2(4000)) END) AS "12.1.Lãi/(Lỗ) từ đánh giá lại các tài sản tài chính sẵn sàng để bán",
    MAX(CASE WHEN bsc.TEN_COT=N'Thuyết minh' AND bsh.MA_HANG = '66' THEN CAST(gt.GIA_TRI AS VARCHAR2(4000)) END) AS "12.2. Lãi/(lỗ) chênh lệch tỷ giá của hoạt động tại nước ngoài",
    MAX(CASE WHEN bsc.TEN_COT=N'Thuyết minh' AND bsh.MA_HANG = '67' THEN CAST(gt.GIA_TRI AS VARCHAR2(4000)) END) AS "12.3. Lãi, lỗ đánh giá lại tài sản cố định theo mô hình giá trị hợp lý",
    MAX(CASE WHEN bsc.TEN_COT=N'Thuyết minh' AND bsh.MA_HANG = '68' THEN CAST(gt.GIA_TRI AS VARCHAR2(4000)) END) AS "12.4. Lãi, lỗ toàn diện khác",
    MAX(CASE WHEN bsc.TEN_COT=N'Thuyết minh' AND bsh.MA_HANG = '69' THEN CAST(gt.GIA_TRI AS VARCHAR2(4000)) END) AS "Tổng thu nhập toàn diện",
    MAX(CASE WHEN bsc.TEN_COT=N'Thuyết minh' AND bsh.MA_HANG = '70' THEN CAST(gt.GIA_TRI AS VARCHAR2(4000)) END) AS "XIII. THU NHẬP THUẦN TRÊN CỔ PHIẾU PHỔ THÔNG",
    MAX(CASE WHEN bsc.TEN_COT=N'Thuyết minh' AND bsh.MA_HANG = '71' THEN CAST(gt.GIA_TRI AS VARCHAR2(4000)) END) AS "13.1.Lãi cơ bản trên cổ phiếu (Đồng/1 cổ phiếu)",
    MAX(CASE WHEN bsc.TEN_COT=N'Thuyết minh' AND bsh.MA_HANG = '72' THEN CAST(gt.GIA_TRI AS VARCHAR2(4000)) END) AS "13.2.Thu nhập pha loãng trên cổ phiếu (Đồng/1 cổ phiếu)",
    -- Năm nay
	MAX(CASE WHEN bsc.TEN_COT=N'Năm nay' AND bsh.MA_HANG = '2' THEN CAST(gt.GIA_TRI AS VARCHAR2(4000)) END) AS "I. DOANH THU HOẠT ĐỘNG",
    MAX(CASE WHEN bsc.TEN_COT=N'Năm nay' AND bsh.MA_HANG = '3' THEN CAST(gt.GIA_TRI AS VARCHAR2(4000)) END) AS "1.1. Lãi từ các tài sản tài chính ghi nhận thông qua lãi/lỗ (FVTPL)",
    MAX(CASE WHEN bsc.TEN_COT=N'Năm nay' AND bsh.MA_HANG = '4' THEN CAST(gt.GIA_TRI AS VARCHAR2(4000)) END) AS "a. Lãi bán các tài sản tài chính FVTPL",
    MAX(CASE WHEN bsc.TEN_COT=N'Năm nay' AND bsh.MA_HANG = '5' THEN CAST(gt.GIA_TRI AS VARCHAR2(4000)) END) AS "b. Chênh lệch tăng về đánh giá lại các TSTC FVTPL",
    MAX(CASE WHEN bsc.TEN_COT=N'Năm nay' AND bsh.MA_HANG = '6' THEN CAST(gt.GIA_TRI AS VARCHAR2(4000)) END) AS "c. Cổ tức, tiền lãi phát sinh từ tài sản tài chính FVTPL",
    MAX(CASE WHEN bsc.TEN_COT=N'Năm nay' AND bsh.MA_HANG = '7' THEN CAST(gt.GIA_TRI AS VARCHAR2(4000)) END) AS "d. Chênh lệch giảm do đánh giá lại phải trả chứng quyền đang lưu hành",  -- DB cũ không có chỉ tiêu này
    MAX(CASE WHEN bsc.TEN_COT=N'Năm nay' AND bsh.MA_HANG = '8' THEN CAST(gt.GIA_TRI AS VARCHAR2(4000)) END) AS "1.2. Lãi từ các khoản đầu tư nắm giữ đến ngày đáo hạn (HTM)",
    MAX(CASE WHEN bsc.TEN_COT=N'Năm nay' AND bsh.MA_HANG = '9' THEN CAST(gt.GIA_TRI AS VARCHAR2(4000)) END) AS "1.3. Lãi từ các khoản cho vay và phải thu",
    MAX(CASE WHEN bsc.TEN_COT=N'Năm nay' AND bsh.MA_HANG = '10' THEN CAST(gt.GIA_TRI AS VARCHAR2(4000)) END) AS "1.4. Lãi từ tài sản tài chính sẵn sàng để bán (AFS)",
    MAX(CASE WHEN bsc.TEN_COT=N'Năm nay' AND bsh.MA_HANG = '11' THEN CAST(gt.GIA_TRI AS VARCHAR2(4000)) END) AS "1.5. Lãi từ các công cụ phái sinh phòng ngừa rủi ro",
    MAX(CASE WHEN bsc.TEN_COT=N'Năm nay' AND bsh.MA_HANG = '12' THEN CAST(gt.GIA_TRI AS VARCHAR2(4000)) END) AS "1.6. Doanh thu nghiệp vụ môi giới chứng khoán",
    MAX(CASE WHEN bsc.TEN_COT=N'Năm nay' AND bsh.MA_HANG = '13' THEN CAST(gt.GIA_TRI AS VARCHAR2(4000)) END) AS "1.7. Doanh thu nghiệp vụ bảo lãnh, đại lý phát hành chứng khoán",
    MAX(CASE WHEN bsc.TEN_COT=N'Năm nay' AND bsh.MA_HANG = '14' THEN CAST(gt.GIA_TRI AS VARCHAR2(4000)) END) AS "1.8. Doanh thu nghiệp vụ tư vấn đầu tư chứng khoán",
    MAX(CASE WHEN bsc.TEN_COT=N'Năm nay' AND bsh.MA_HANG = '15' THEN CAST(gt.GIA_TRI AS VARCHAR2(4000)) END) AS "1.9. Doanh thu nghiệp vụ lưu ký chứng khoán",
    MAX(CASE WHEN bsc.TEN_COT=N'Năm nay' AND bsh.MA_HANG = '16' THEN CAST(gt.GIA_TRI AS VARCHAR2(4000)) END) AS "1.10. Doanh thu hoạt động tư vấn tài chính",
    MAX(CASE WHEN bsc.TEN_COT=N'Năm nay' AND bsh.MA_HANG = '17' THEN CAST(gt.GIA_TRI AS VARCHAR2(4000)) END) AS "1.11. Thu nhập hoạt động khác",
    MAX(CASE WHEN bsc.TEN_COT=N'Năm nay' AND bsh.MA_HANG = '18' THEN CAST(gt.GIA_TRI AS VARCHAR2(4000)) END) AS "Cộng doanh thu hoạt động (20 = 01 đến 11)",
    MAX(CASE WHEN bsc.TEN_COT=N'Năm nay' AND bsh.MA_HANG = '19' THEN CAST(gt.GIA_TRI AS VARCHAR2(4000)) END) AS "II. CHI PHÍ HOẠT ĐỘNG",
    MAX(CASE WHEN bsc.TEN_COT=N'Năm nay' AND bsh.MA_HANG = '20' THEN CAST(gt.GIA_TRI AS VARCHAR2(4000)) END) AS "2.1. Lỗ các tài sản tài chính ghi nhận thông qua lãi/lỗ (FVTPL)",
    MAX(CASE WHEN bsc.TEN_COT=N'Năm nay' AND bsh.MA_HANG = '21' THEN CAST(gt.GIA_TRI AS VARCHAR2(4000)) END) AS "a. Lỗ bán các tài sản tài chính FVTPL",
    MAX(CASE WHEN bsc.TEN_COT=N'Năm nay' AND bsh.MA_HANG = '22' THEN CAST(gt.GIA_TRI AS VARCHAR2(4000)) END) AS "b. Chênh lệch giảm đánh giá lại các TSTC FVTPL",
    MAX(CASE WHEN bsc.TEN_COT=N'Năm nay' AND bsh.MA_HANG = '23' THEN CAST(gt.GIA_TRI AS VARCHAR2(4000)) END) AS "c. Chi phí giao dịch mua các tài sản tài chính FVTPL",
    MAX(CASE WHEN bsc.TEN_COT=N'Năm nay' AND bsh.MA_HANG = '24' THEN CAST(gt.GIA_TRI AS VARCHAR2(4000)) END) AS "d. Chênh lệch tăng đánh do đánh giá lại phải trả chứng quyền đang lưu hành",  -- DB cũ không có chỉ tiêu này
    MAX(CASE WHEN bsc.TEN_COT=N'Năm nay' AND bsh.MA_HANG = '25' THEN CAST(gt.GIA_TRI AS VARCHAR2(4000)) END) AS "2.2. Lỗ các khoản đầu tư nắm giữ đến ngày đáo hạn (HTM)",
    MAX(CASE WHEN bsc.TEN_COT=N'Năm nay' AND bsh.MA_HANG = '26' THEN CAST(gt.GIA_TRI AS VARCHAR2(4000)) END) AS "2.3. Lỗ và ghi nhận chênh lệch đánh giá theo giá trị hợp lý tài sản tài chính sẵn sàng để bán (AFS) khi phân loại lại",
    MAX(CASE WHEN bsc.TEN_COT=N'Năm nay' AND bsh.MA_HANG = '27' THEN CAST(gt.GIA_TRI AS VARCHAR2(4000)) END) AS "2.4. Chi phí dự phòng tài sản tài chính, xử lý tổn thất các khoản phải thu khó đòi và lỗ suy giảm tài sản tài chính và chi phí đi vay của các khoản cho vay",
    MAX(CASE WHEN bsc.TEN_COT=N'Năm nay' AND bsh.MA_HANG = '28' THEN CAST(gt.GIA_TRI AS VARCHAR2(4000)) END) AS "2.5. Lỗ từ các tài sản tài chính phái sinh phòng ngừa rủi ro",
    MAX(CASE WHEN bsc.TEN_COT=N'Năm nay' AND bsh.MA_HANG = '29' THEN CAST(gt.GIA_TRI AS VARCHAR2(4000)) END) AS "2.6. Chi phí hoạt động tự doanh",
    MAX(CASE WHEN bsc.TEN_COT=N'Năm nay' AND bsh.MA_HANG = '30' THEN CAST(gt.GIA_TRI AS VARCHAR2(4000)) END) AS "2.7. Chi phí nghiệp vụ môi giới chứng khoán",
    MAX(CASE WHEN bsc.TEN_COT=N'Năm nay' AND bsh.MA_HANG = '31' THEN CAST(gt.GIA_TRI AS VARCHAR2(4000)) END) AS "2.8. Chi phí nghiệp vụ bảo lãnh, đại lý phát hành chứng khoán",
    MAX(CASE WHEN bsc.TEN_COT=N'Năm nay' AND bsh.MA_HANG = '32' THEN CAST(gt.GIA_TRI AS VARCHAR2(4000)) END) AS "2.9. Chi phí nghiệp vụ tư vấn đầu tư chứng khoán",
    MAX(CASE WHEN bsc.TEN_COT=N'Năm nay' AND bsh.MA_HANG = '33' THEN CAST(gt.GIA_TRI AS VARCHAR2(4000)) END) AS "2.10. Chi phí nghiệp vụ lưu ký chứng khoán",
    MAX(CASE WHEN bsc.TEN_COT=N'Năm nay' AND bsh.MA_HANG = '34' THEN CAST(gt.GIA_TRI AS VARCHAR2(4000)) END) AS "2.11. Chi phí hoạt động tư vấn tài chính",
    MAX(CASE WHEN bsc.TEN_COT=N'Năm nay' AND bsh.MA_HANG = '35' THEN CAST(gt.GIA_TRI AS VARCHAR2(4000)) END) AS "2.12. Chi phí các dịch vụ khác",
    MAX(CASE WHEN bsc.TEN_COT=N'Năm nay' AND bsh.MA_HANG = '36' THEN CAST(gt.GIA_TRI AS VARCHAR2(4000)) END) AS "Cộng chi phí hoạt động (40 = 21 đến 32)",
    MAX(CASE WHEN bsc.TEN_COT=N'Năm nay' AND bsh.MA_HANG = '37' THEN CAST(gt.GIA_TRI AS VARCHAR2(4000)) END) AS "III. DOANH THU HOẠT ĐỘNG TÀI CHÍNH",
    MAX(CASE WHEN bsc.TEN_COT=N'Năm nay' AND bsh.MA_HANG = '38' THEN CAST(gt.GIA_TRI AS VARCHAR2(4000)) END) AS "3.1. Chênh lệch lãi tỷ giá hối đoái đã và chưa thực hiện",
    MAX(CASE WHEN bsc.TEN_COT=N'Năm nay' AND bsh.MA_HANG = '39' THEN CAST(gt.GIA_TRI AS VARCHAR2(4000)) END) AS "3.2. Doanh thu, dự thu cổ tức, lãi tiền gửi ngân hàng không cố định",
    MAX(CASE WHEN bsc.TEN_COT=N'Năm nay' AND bsh.MA_HANG = '40' THEN CAST(gt.GIA_TRI AS VARCHAR2(4000)) END) AS "3.3. Lãi bán, thanh lý các khoản đầu tư vào công ty con, liên kết, liên doanh",
    MAX(CASE WHEN bsc.TEN_COT=N'Năm nay' AND bsh.MA_HANG = '41' THEN CAST(gt.GIA_TRI AS VARCHAR2(4000)) END) AS "3.4. Doanh thu khác về đầu tư",
    MAX(CASE WHEN bsc.TEN_COT=N'Năm nay' AND bsh.MA_HANG = '42' THEN CAST(gt.GIA_TRI AS VARCHAR2(4000)) END) AS "Cộng doanh thu hoạt động tài chính (50 = 41 đến 44)",
    MAX(CASE WHEN bsc.TEN_COT=N'Năm nay' AND bsh.MA_HANG = '43' THEN CAST(gt.GIA_TRI AS VARCHAR2(4000)) END) AS "IV. CHI PHÍ TÀI CHÍNH",
    MAX(CASE WHEN bsc.TEN_COT=N'Năm nay' AND bsh.MA_HANG = '44' THEN CAST(gt.GIA_TRI AS VARCHAR2(4000)) END) AS "4.1. Chênh lệch lỗ tỷ giá hối đoái đã và chưa thực hiện",
    MAX(CASE WHEN bsc.TEN_COT=N'Năm nay' AND bsh.MA_HANG = '45' THEN CAST(gt.GIA_TRI AS VARCHAR2(4000)) END) AS "4.2. Chi phí lãi vay",
    MAX(CASE WHEN bsc.TEN_COT=N'Năm nay' AND bsh.MA_HANG = '46' THEN CAST(gt.GIA_TRI AS VARCHAR2(4000)) END) AS "4.3. Lỗ bán, thanh lý các khoản đầu tư vào công ty con, liên kết, liên doanh",
    MAX(CASE WHEN bsc.TEN_COT=N'Năm nay' AND bsh.MA_HANG = '47' THEN CAST(gt.GIA_TRI AS VARCHAR2(4000)) END) AS "4.4. Chi phí dự phòng suy giảm giá trị các khoản đầu tư tài chính dài hạn",
    MAX(CASE WHEN bsc.TEN_COT=N'Năm nay' AND bsh.MA_HANG = '48' THEN CAST(gt.GIA_TRI AS VARCHAR2(4000)) END) AS "4.5. Chi phí tài chính khác",
    MAX(CASE WHEN bsc.TEN_COT=N'Năm nay' AND bsh.MA_HANG = '49' THEN CAST(gt.GIA_TRI AS VARCHAR2(4000)) END) AS "Cộng chi phí tài chính (60 = 51 đến 55)",
    MAX(CASE WHEN bsc.TEN_COT=N'Năm nay' AND bsh.MA_HANG = '50' THEN CAST(gt.GIA_TRI AS VARCHAR2(4000)) END) AS "V. CHI PHÍ BÁN HÀNG",
    MAX(CASE WHEN bsc.TEN_COT=N'Năm nay' AND bsh.MA_HANG = '51' THEN CAST(gt.GIA_TRI AS VARCHAR2(4000)) END) AS "VI. CHI PHÍ QUẢN LÝ CÔNG TY CHỨNG KHOÁN",
    MAX(CASE WHEN bsc.TEN_COT=N'Năm nay' AND bsh.MA_HANG = '52' THEN CAST(gt.GIA_TRI AS VARCHAR2(4000)) END) AS "VII. KẾT QUẢ HOẠT ĐỘNG (70= 20+50-40 -60-61-62)",
    MAX(CASE WHEN bsc.TEN_COT=N'Năm nay' AND bsh.MA_HANG = '53' THEN CAST(gt.GIA_TRI AS VARCHAR2(4000)) END) AS "VIII. THU NHẬP KHÁC VÀ CHI PHÍ KHÁC",
    MAX(CASE WHEN bsc.TEN_COT=N'Năm nay' AND bsh.MA_HANG = '54' THEN CAST(gt.GIA_TRI AS VARCHAR2(4000)) END) AS "8.1. Thu nhập khác",
    MAX(CASE WHEN bsc.TEN_COT=N'Năm nay' AND bsh.MA_HANG = '55' THEN CAST(gt.GIA_TRI AS VARCHAR2(4000)) END) AS "8.2. Chi phí khác",
    MAX(CASE WHEN bsc.TEN_COT=N'Năm nay' AND bsh.MA_HANG = '56' THEN CAST(gt.GIA_TRI AS VARCHAR2(4000)) END) AS "Cộng kết quả hoạt động khác (80= 71-72)",
    MAX(CASE WHEN bsc.TEN_COT=N'Năm nay' AND bsh.MA_HANG = '57' THEN CAST(gt.GIA_TRI AS VARCHAR2(4000)) END) AS "IX. TỔNG LỢI NHUẬN KẾ TOÁN TRƯỚC THUẾ (90=70 + 80)",
    MAX(CASE WHEN bsc.TEN_COT=N'Năm nay' AND bsh.MA_HANG = '58' THEN CAST(gt.GIA_TRI AS VARCHAR2(4000)) END) AS "9.1. Lợi nhuận đã thực hiện",
    MAX(CASE WHEN bsc.TEN_COT=N'Năm nay' AND bsh.MA_HANG = '59' THEN CAST(gt.GIA_TRI AS VARCHAR2(4000)) END) AS "9.2. Lợi nhuận chưa thực hiện",
    MAX(CASE WHEN bsc.TEN_COT=N'Năm nay' AND bsh.MA_HANG = '60' THEN CAST(gt.GIA_TRI AS VARCHAR2(4000)) END) AS "X. CHI PHÍ THUẾ TNDN",
    MAX(CASE WHEN bsc.TEN_COT=N'Năm nay' AND bsh.MA_HANG = '61' THEN CAST(gt.GIA_TRI AS VARCHAR2(4000)) END) AS "10.1.Chi phí thuế TNDN hiện hành",
    MAX(CASE WHEN bsc.TEN_COT=N'Năm nay' AND bsh.MA_HANG = '62' THEN CAST(gt.GIA_TRI AS VARCHAR2(4000)) END) AS "10.2.Chi phí thuế TNDN hoãn lại",
    MAX(CASE WHEN bsc.TEN_COT=N'Năm nay' AND bsh.MA_HANG = '63' THEN CAST(gt.GIA_TRI AS VARCHAR2(4000)) END) AS "XI. LỢI NHUẬN KẾ TOÁN SAU THUẾ TNDN (200 = 90 - 100)",
    MAX(CASE WHEN bsc.TEN_COT=N'Năm nay' AND bsh.MA_HANG = '64' THEN CAST(gt.GIA_TRI AS VARCHAR2(4000)) END) AS "XII. THU NHẬP (LỖ) TOÀN DIỆN KHÁC SAU THUẾ TNDN",
    MAX(CASE WHEN bsc.TEN_COT=N'Năm nay' AND bsh.MA_HANG = '65' THEN CAST(gt.GIA_TRI AS VARCHAR2(4000)) END) AS "12.1.Lãi/(Lỗ) từ đánh giá lại các tài sản tài chính sẵn sàng để bán",
    MAX(CASE WHEN bsc.TEN_COT=N'Năm nay' AND bsh.MA_HANG = '66' THEN CAST(gt.GIA_TRI AS VARCHAR2(4000)) END) AS "12.2. Lãi/(lỗ) chênh lệch tỷ giá của hoạt động tại nước ngoài",
    MAX(CASE WHEN bsc.TEN_COT=N'Năm nay' AND bsh.MA_HANG = '67' THEN CAST(gt.GIA_TRI AS VARCHAR2(4000)) END) AS "12.3. Lãi, lỗ đánh giá lại tài sản cố định theo mô hình giá trị hợp lý",
    MAX(CASE WHEN bsc.TEN_COT=N'Năm nay' AND bsh.MA_HANG = '68' THEN CAST(gt.GIA_TRI AS VARCHAR2(4000)) END) AS "12.4. Lãi, lỗ toàn diện khác",
    MAX(CASE WHEN bsc.TEN_COT=N'Năm nay' AND bsh.MA_HANG = '69' THEN CAST(gt.GIA_TRI AS VARCHAR2(4000)) END) AS "Tổng thu nhập toàn diện",
    MAX(CASE WHEN bsc.TEN_COT=N'Năm nay' AND bsh.MA_HANG = '70' THEN CAST(gt.GIA_TRI AS VARCHAR2(4000)) END) AS "XIII. THU NHẬP THUẦN TRÊN CỔ PHIẾU PHỔ THÔNG",
    MAX(CASE WHEN bsc.TEN_COT=N'Năm nay' AND bsh.MA_HANG = '71' THEN CAST(gt.GIA_TRI AS VARCHAR2(4000)) END) AS "13.1.Lãi cơ bản trên cổ phiếu (Đồng/1 cổ phiếu)",
    MAX(CASE WHEN bsc.TEN_COT=N'Năm nay' AND bsh.MA_HANG = '72' THEN CAST(gt.GIA_TRI AS VARCHAR2(4000)) END) AS "13.2.Thu nhập pha loãng trên cổ phiếu (Đồng/1 cổ phiếu)",       
    -- Năm trước
	MAX(CASE WHEN bsc.TEN_COT=N'Năm trước' AND bsh.MA_HANG = '2' THEN CAST(gt.GIA_TRI AS VARCHAR2(4000)) END) AS "I. DOANH THU HOẠT ĐỘNG",
    MAX(CASE WHEN bsc.TEN_COT=N'Năm trước' AND bsh.MA_HANG = '3' THEN CAST(gt.GIA_TRI AS VARCHAR2(4000)) END) AS "1.1. Lãi từ các tài sản tài chính ghi nhận thông qua lãi/lỗ (FVTPL)",
    MAX(CASE WHEN bsc.TEN_COT=N'Năm trước' AND bsh.MA_HANG = '4' THEN CAST(gt.GIA_TRI AS VARCHAR2(4000)) END) AS "a. Lãi bán các tài sản tài chính FVTPL",
    MAX(CASE WHEN bsc.TEN_COT=N'Năm trước' AND bsh.MA_HANG = '5' THEN CAST(gt.GIA_TRI AS VARCHAR2(4000)) END) AS "b. Chênh lệch tăng về đánh giá lại các TSTC FVTPL",
    MAX(CASE WHEN bsc.TEN_COT=N'Năm trước' AND bsh.MA_HANG = '6' THEN CAST(gt.GIA_TRI AS VARCHAR2(4000)) END) AS "c. Cổ tức, tiền lãi phát sinh từ tài sản tài chính FVTPL",
    MAX(CASE WHEN bsc.TEN_COT=N'Năm trước' AND bsh.MA_HANG = '7' THEN CAST(gt.GIA_TRI AS VARCHAR2(4000)) END) AS "d. Chênh lệch giảm do đánh giá lại phải trả chứng quyền đang lưu hành",  -- DB cũ không có chỉ tiêu này
    MAX(CASE WHEN bsc.TEN_COT=N'Năm trước' AND bsh.MA_HANG = '8' THEN CAST(gt.GIA_TRI AS VARCHAR2(4000)) END) AS "1.2. Lãi từ các khoản đầu tư nắm giữ đến ngày đáo hạn (HTM)",
    MAX(CASE WHEN bsc.TEN_COT=N'Năm trước' AND bsh.MA_HANG = '9' THEN CAST(gt.GIA_TRI AS VARCHAR2(4000)) END) AS "1.3. Lãi từ các khoản cho vay và phải thu",
    MAX(CASE WHEN bsc.TEN_COT=N'Năm trước' AND bsh.MA_HANG = '10' THEN CAST(gt.GIA_TRI AS VARCHAR2(4000)) END) AS "1.4. Lãi từ tài sản tài chính sẵn sàng để bán (AFS)",
    MAX(CASE WHEN bsc.TEN_COT=N'Năm trước' AND bsh.MA_HANG = '11' THEN CAST(gt.GIA_TRI AS VARCHAR2(4000)) END) AS "1.5. Lãi từ các công cụ phái sinh phòng ngừa rủi ro",
    MAX(CASE WHEN bsc.TEN_COT=N'Năm trước' AND bsh.MA_HANG = '12' THEN CAST(gt.GIA_TRI AS VARCHAR2(4000)) END) AS "1.6. Doanh thu nghiệp vụ môi giới chứng khoán",
    MAX(CASE WHEN bsc.TEN_COT=N'Năm trước' AND bsh.MA_HANG = '13' THEN CAST(gt.GIA_TRI AS VARCHAR2(4000)) END) AS "1.7. Doanh thu nghiệp vụ bảo lãnh, đại lý phát hành chứng khoán",
    MAX(CASE WHEN bsc.TEN_COT=N'Năm trước' AND bsh.MA_HANG = '14' THEN CAST(gt.GIA_TRI AS VARCHAR2(4000)) END) AS "1.8. Doanh thu nghiệp vụ tư vấn đầu tư chứng khoán",
    MAX(CASE WHEN bsc.TEN_COT=N'Năm trước' AND bsh.MA_HANG = '15' THEN CAST(gt.GIA_TRI AS VARCHAR2(4000)) END) AS "1.9. Doanh thu nghiệp vụ lưu ký chứng khoán",
    MAX(CASE WHEN bsc.TEN_COT=N'Năm trước' AND bsh.MA_HANG = '16' THEN CAST(gt.GIA_TRI AS VARCHAR2(4000)) END) AS "1.10. Doanh thu hoạt động tư vấn tài chính",
    MAX(CASE WHEN bsc.TEN_COT=N'Năm trước' AND bsh.MA_HANG = '17' THEN CAST(gt.GIA_TRI AS VARCHAR2(4000)) END) AS "1.11. Thu nhập hoạt động khác",
    MAX(CASE WHEN bsc.TEN_COT=N'Năm trước' AND bsh.MA_HANG = '18' THEN CAST(gt.GIA_TRI AS VARCHAR2(4000)) END) AS "Cộng doanh thu hoạt động (20 = 01 đến 11)",
    MAX(CASE WHEN bsc.TEN_COT=N'Năm trước' AND bsh.MA_HANG = '19' THEN CAST(gt.GIA_TRI AS VARCHAR2(4000)) END) AS "II. CHI PHÍ HOẠT ĐỘNG",
    MAX(CASE WHEN bsc.TEN_COT=N'Năm trước' AND bsh.MA_HANG = '20' THEN CAST(gt.GIA_TRI AS VARCHAR2(4000)) END) AS "2.1. Lỗ các tài sản tài chính ghi nhận thông qua lãi/lỗ (FVTPL)",
    MAX(CASE WHEN bsc.TEN_COT=N'Năm trước' AND bsh.MA_HANG = '21' THEN CAST(gt.GIA_TRI AS VARCHAR2(4000)) END) AS "a. Lỗ bán các tài sản tài chính FVTPL",
    MAX(CASE WHEN bsc.TEN_COT=N'Năm trước' AND bsh.MA_HANG = '22' THEN CAST(gt.GIA_TRI AS VARCHAR2(4000)) END) AS "b. Chênh lệch giảm đánh giá lại các TSTC FVTPL",
    MAX(CASE WHEN bsc.TEN_COT=N'Năm trước' AND bsh.MA_HANG = '23' THEN CAST(gt.GIA_TRI AS VARCHAR2(4000)) END) AS "c. Chi phí giao dịch mua các tài sản tài chính FVTPL",
    MAX(CASE WHEN bsc.TEN_COT=N'Năm trước' AND bsh.MA_HANG = '24' THEN CAST(gt.GIA_TRI AS VARCHAR2(4000)) END) AS "d. Chênh lệch tăng đánh do đánh giá lại phải trả chứng quyền đang lưu hành",  -- DB cũ không có chỉ tiêu này
    MAX(CASE WHEN bsc.TEN_COT=N'Năm trước' AND bsh.MA_HANG = '25' THEN CAST(gt.GIA_TRI AS VARCHAR2(4000)) END) AS "2.2. Lỗ các khoản đầu tư nắm giữ đến ngày đáo hạn (HTM)",
    MAX(CASE WHEN bsc.TEN_COT=N'Năm trước' AND bsh.MA_HANG = '26' THEN CAST(gt.GIA_TRI AS VARCHAR2(4000)) END) AS "2.3. Lỗ và ghi nhận chênh lệch đánh giá theo giá trị hợp lý tài sản tài chính sẵn sàng để bán (AFS) khi phân loại lại",
    MAX(CASE WHEN bsc.TEN_COT=N'Năm trước' AND bsh.MA_HANG = '27' THEN CAST(gt.GIA_TRI AS VARCHAR2(4000)) END) AS "2.4. Chi phí dự phòng tài sản tài chính, xử lý tổn thất các khoản phải thu khó đòi và lỗ suy giảm tài sản tài chính và chi phí đi vay của các khoản cho vay",
    MAX(CASE WHEN bsc.TEN_COT=N'Năm trước' AND bsh.MA_HANG = '28' THEN CAST(gt.GIA_TRI AS VARCHAR2(4000)) END) AS "2.5. Lỗ từ các tài sản tài chính phái sinh phòng ngừa rủi ro",
    MAX(CASE WHEN bsc.TEN_COT=N'Năm trước' AND bsh.MA_HANG = '29' THEN CAST(gt.GIA_TRI AS VARCHAR2(4000)) END) AS "2.6. Chi phí hoạt động tự doanh",
    MAX(CASE WHEN bsc.TEN_COT=N'Năm trước' AND bsh.MA_HANG = '30' THEN CAST(gt.GIA_TRI AS VARCHAR2(4000)) END) AS "2.7. Chi phí nghiệp vụ môi giới chứng khoán",
    MAX(CASE WHEN bsc.TEN_COT=N'Năm trước' AND bsh.MA_HANG = '31' THEN CAST(gt.GIA_TRI AS VARCHAR2(4000)) END) AS "2.8. Chi phí nghiệp vụ bảo lãnh, đại lý phát hành chứng khoán",
    MAX(CASE WHEN bsc.TEN_COT=N'Năm trước' AND bsh.MA_HANG = '32' THEN CAST(gt.GIA_TRI AS VARCHAR2(4000)) END) AS "2.9. Chi phí nghiệp vụ tư vấn đầu tư chứng khoán",
    MAX(CASE WHEN bsc.TEN_COT=N'Năm trước' AND bsh.MA_HANG = '33' THEN CAST(gt.GIA_TRI AS VARCHAR2(4000)) END) AS "2.10. Chi phí nghiệp vụ lưu ký chứng khoán",
    MAX(CASE WHEN bsc.TEN_COT=N'Năm trước' AND bsh.MA_HANG = '34' THEN CAST(gt.GIA_TRI AS VARCHAR2(4000)) END) AS "2.11. Chi phí hoạt động tư vấn tài chính",
    MAX(CASE WHEN bsc.TEN_COT=N'Năm trước' AND bsh.MA_HANG = '35' THEN CAST(gt.GIA_TRI AS VARCHAR2(4000)) END) AS "2.12. Chi phí các dịch vụ khác",
    MAX(CASE WHEN bsc.TEN_COT=N'Năm trước' AND bsh.MA_HANG = '36' THEN CAST(gt.GIA_TRI AS VARCHAR2(4000)) END) AS "Cộng chi phí hoạt động (40 = 21 đến 32)",
    MAX(CASE WHEN bsc.TEN_COT=N'Năm trước' AND bsh.MA_HANG = '37' THEN CAST(gt.GIA_TRI AS VARCHAR2(4000)) END) AS "III. DOANH THU HOẠT ĐỘNG TÀI CHÍNH",
    MAX(CASE WHEN bsc.TEN_COT=N'Năm trước' AND bsh.MA_HANG = '38' THEN CAST(gt.GIA_TRI AS VARCHAR2(4000)) END) AS "3.1. Chênh lệch lãi tỷ giá hối đoái đã và chưa thực hiện",
    MAX(CASE WHEN bsc.TEN_COT=N'Năm trước' AND bsh.MA_HANG = '39' THEN CAST(gt.GIA_TRI AS VARCHAR2(4000)) END) AS "3.2. Doanh thu, dự thu cổ tức, lãi tiền gửi ngân hàng không cố định",
    MAX(CASE WHEN bsc.TEN_COT=N'Năm trước' AND bsh.MA_HANG = '40' THEN CAST(gt.GIA_TRI AS VARCHAR2(4000)) END) AS "3.3. Lãi bán, thanh lý các khoản đầu tư vào công ty con, liên kết, liên doanh",
    MAX(CASE WHEN bsc.TEN_COT=N'Năm trước' AND bsh.MA_HANG = '41' THEN CAST(gt.GIA_TRI AS VARCHAR2(4000)) END) AS "3.4. Doanh thu khác về đầu tư",
    MAX(CASE WHEN bsc.TEN_COT=N'Năm trước' AND bsh.MA_HANG = '42' THEN CAST(gt.GIA_TRI AS VARCHAR2(4000)) END) AS "Cộng doanh thu hoạt động tài chính (50 = 41 đến 44)",
    MAX(CASE WHEN bsc.TEN_COT=N'Năm trước' AND bsh.MA_HANG = '43' THEN CAST(gt.GIA_TRI AS VARCHAR2(4000)) END) AS "IV. CHI PHÍ TÀI CHÍNH",
    MAX(CASE WHEN bsc.TEN_COT=N'Năm trước' AND bsh.MA_HANG = '44' THEN CAST(gt.GIA_TRI AS VARCHAR2(4000)) END) AS "4.1. Chênh lệch lỗ tỷ giá hối đoái đã và chưa thực hiện",
    MAX(CASE WHEN bsc.TEN_COT=N'Năm trước' AND bsh.MA_HANG = '45' THEN CAST(gt.GIA_TRI AS VARCHAR2(4000)) END) AS "4.2. Chi phí lãi vay",
    MAX(CASE WHEN bsc.TEN_COT=N'Năm trước' AND bsh.MA_HANG = '46' THEN CAST(gt.GIA_TRI AS VARCHAR2(4000)) END) AS "4.3. Lỗ bán, thanh lý các khoản đầu tư vào công ty con, liên kết, liên doanh",
    MAX(CASE WHEN bsc.TEN_COT=N'Năm trước' AND bsh.MA_HANG = '47' THEN CAST(gt.GIA_TRI AS VARCHAR2(4000)) END) AS "4.4. Chi phí dự phòng suy giảm giá trị các khoản đầu tư tài chính dài hạn",
    MAX(CASE WHEN bsc.TEN_COT=N'Năm trước' AND bsh.MA_HANG = '48' THEN CAST(gt.GIA_TRI AS VARCHAR2(4000)) END) AS "4.5. Chi phí tài chính khác",
    MAX(CASE WHEN bsc.TEN_COT=N'Năm trước' AND bsh.MA_HANG = '49' THEN CAST(gt.GIA_TRI AS VARCHAR2(4000)) END) AS "Cộng chi phí tài chính (60 = 51 đến 55)",
    MAX(CASE WHEN bsc.TEN_COT=N'Năm trước' AND bsh.MA_HANG = '50' THEN CAST(gt.GIA_TRI AS VARCHAR2(4000)) END) AS "V. CHI PHÍ BÁN HÀNG",
    MAX(CASE WHEN bsc.TEN_COT=N'Năm trước' AND bsh.MA_HANG = '51' THEN CAST(gt.GIA_TRI AS VARCHAR2(4000)) END) AS "VI. CHI PHÍ QUẢN LÝ CÔNG TY CHỨNG KHOÁN",
    MAX(CASE WHEN bsc.TEN_COT=N'Năm trước' AND bsh.MA_HANG = '52' THEN CAST(gt.GIA_TRI AS VARCHAR2(4000)) END) AS "VII. KẾT QUẢ HOẠT ĐỘNG (70= 20+50-40 -60-61-62)",
    MAX(CASE WHEN bsc.TEN_COT=N'Năm trước' AND bsh.MA_HANG = '53' THEN CAST(gt.GIA_TRI AS VARCHAR2(4000)) END) AS "VIII. THU NHẬP KHÁC VÀ CHI PHÍ KHÁC",
    MAX(CASE WHEN bsc.TEN_COT=N'Năm trước' AND bsh.MA_HANG = '54' THEN CAST(gt.GIA_TRI AS VARCHAR2(4000)) END) AS "8.1. Thu nhập khác",
    MAX(CASE WHEN bsc.TEN_COT=N'Năm trước' AND bsh.MA_HANG = '55' THEN CAST(gt.GIA_TRI AS VARCHAR2(4000)) END) AS "8.2. Chi phí khác",
    MAX(CASE WHEN bsc.TEN_COT=N'Năm trước' AND bsh.MA_HANG </t>
        </is>
      </c>
      <c r="U2018" s="16" t="n"/>
      <c r="V2018" s="22" t="n"/>
      <c r="W2018" s="22" t="n"/>
      <c r="X2018" s="22" t="n"/>
      <c r="Y2018" s="13" t="n"/>
      <c r="Z2018" s="22" t="n"/>
      <c r="AA2018" s="22" t="n"/>
      <c r="AB2018" s="22" t="n"/>
      <c r="AC2018" s="22" t="n"/>
      <c r="AD2018" s="22" t="n"/>
      <c r="AE2018" s="22" t="n"/>
    </row>
    <row r="2019" ht="56" customHeight="1" s="380">
      <c r="A2019" s="126" t="n">
        <v>95</v>
      </c>
      <c r="B2019" s="390" t="n"/>
      <c r="C2019" s="390" t="inlineStr">
        <is>
          <t>Báo cáo theo Thông tư 121/2020/TT-BTC &gt;&gt; Báo báo tài chính &gt;&gt; Báo cáo kết quả hoạt động riêng</t>
        </is>
      </c>
      <c r="D2019" s="390" t="inlineStr">
        <is>
          <t>1.1. Lãi từ các tài sản tài chính ghi nhận thông qua lãi/lỗ (FVTPL)</t>
        </is>
      </c>
      <c r="E2019" s="390" t="n">
        <v>1</v>
      </c>
      <c r="F2019" s="390" t="inlineStr">
        <is>
          <t>Data Explorer</t>
        </is>
      </c>
      <c r="G2019" s="390" t="inlineStr">
        <is>
          <t>Chỉ tiêu cơ sở</t>
        </is>
      </c>
      <c r="H2019" s="390" t="inlineStr">
        <is>
          <t>Dễ</t>
        </is>
      </c>
      <c r="I2019" s="390" t="inlineStr">
        <is>
          <t>Ngày, CTCK</t>
        </is>
      </c>
      <c r="J2019" s="401" t="inlineStr">
        <is>
          <t>SCMS</t>
        </is>
      </c>
      <c r="K2019" s="401" t="n"/>
      <c r="L2019" s="401" t="inlineStr">
        <is>
          <t>X</t>
        </is>
      </c>
      <c r="M2019" s="401" t="n"/>
      <c r="N2019" s="401" t="inlineStr">
        <is>
          <t>Done</t>
        </is>
      </c>
      <c r="O2019" s="401" t="n"/>
      <c r="P2019" s="22" t="n"/>
      <c r="S2019" s="22" t="n"/>
      <c r="U2019" s="16" t="n"/>
      <c r="V2019" s="22" t="n"/>
      <c r="W2019" s="22" t="n"/>
      <c r="X2019" s="22" t="n"/>
      <c r="Y2019" s="14" t="n"/>
      <c r="Z2019" s="22" t="n"/>
      <c r="AA2019" s="22" t="n"/>
      <c r="AB2019" s="22" t="n"/>
      <c r="AC2019" s="22" t="n"/>
      <c r="AD2019" s="22" t="n"/>
      <c r="AE2019" s="22" t="n"/>
    </row>
    <row r="2020" ht="56" customHeight="1" s="380">
      <c r="A2020" s="126" t="n">
        <v>95</v>
      </c>
      <c r="B2020" s="390" t="n"/>
      <c r="C2020" s="390" t="inlineStr">
        <is>
          <t>Báo cáo theo Thông tư 121/2020/TT-BTC &gt;&gt; Báo báo tài chính &gt;&gt; Báo cáo kết quả hoạt động riêng</t>
        </is>
      </c>
      <c r="D2020" s="390" t="inlineStr">
        <is>
          <t>a. Lãi bán các tài sản tài chính FVTPL</t>
        </is>
      </c>
      <c r="E2020" s="390" t="n">
        <v>1.1</v>
      </c>
      <c r="F2020" s="390" t="inlineStr">
        <is>
          <t>Data Explorer</t>
        </is>
      </c>
      <c r="G2020" s="390" t="inlineStr">
        <is>
          <t>Chỉ tiêu cơ sở</t>
        </is>
      </c>
      <c r="H2020" s="390" t="inlineStr">
        <is>
          <t>Dễ</t>
        </is>
      </c>
      <c r="I2020" s="390" t="inlineStr">
        <is>
          <t>Ngày, CTCK</t>
        </is>
      </c>
      <c r="J2020" s="401" t="inlineStr">
        <is>
          <t>SCMS</t>
        </is>
      </c>
      <c r="K2020" s="401" t="n"/>
      <c r="L2020" s="401" t="inlineStr">
        <is>
          <t>X</t>
        </is>
      </c>
      <c r="M2020" s="401" t="n"/>
      <c r="N2020" s="401" t="inlineStr">
        <is>
          <t>Done</t>
        </is>
      </c>
      <c r="O2020" s="401" t="n"/>
      <c r="P2020" s="22" t="n"/>
      <c r="S2020" s="22" t="n"/>
      <c r="U2020" s="16" t="n"/>
      <c r="V2020" s="22" t="n"/>
      <c r="W2020" s="22" t="n"/>
      <c r="X2020" s="22" t="n"/>
      <c r="Y2020" s="13" t="n"/>
      <c r="Z2020" s="22" t="n"/>
      <c r="AA2020" s="22" t="n"/>
      <c r="AB2020" s="22" t="n"/>
      <c r="AC2020" s="22" t="n"/>
      <c r="AD2020" s="22" t="n"/>
      <c r="AE2020" s="22" t="n"/>
    </row>
    <row r="2021" ht="56" customHeight="1" s="380">
      <c r="A2021" s="126" t="n">
        <v>95</v>
      </c>
      <c r="B2021" s="390" t="n"/>
      <c r="C2021" s="390" t="inlineStr">
        <is>
          <t>Báo cáo theo Thông tư 121/2020/TT-BTC &gt;&gt; Báo báo tài chính &gt;&gt; Báo cáo kết quả hoạt động riêng</t>
        </is>
      </c>
      <c r="D2021" s="390" t="inlineStr">
        <is>
          <t xml:space="preserve">b. Chênh lệch tăng về đánh giá lại các TSTC FVTPL </t>
        </is>
      </c>
      <c r="E2021" s="390" t="n">
        <v>1.2</v>
      </c>
      <c r="F2021" s="390" t="inlineStr">
        <is>
          <t>Data Explorer</t>
        </is>
      </c>
      <c r="G2021" s="390" t="inlineStr">
        <is>
          <t>Chỉ tiêu cơ sở</t>
        </is>
      </c>
      <c r="H2021" s="390" t="inlineStr">
        <is>
          <t>Dễ</t>
        </is>
      </c>
      <c r="I2021" s="390" t="inlineStr">
        <is>
          <t>Ngày, CTCK</t>
        </is>
      </c>
      <c r="J2021" s="401" t="inlineStr">
        <is>
          <t>SCMS</t>
        </is>
      </c>
      <c r="K2021" s="401" t="n"/>
      <c r="L2021" s="401" t="inlineStr">
        <is>
          <t>X</t>
        </is>
      </c>
      <c r="M2021" s="401" t="n"/>
      <c r="N2021" s="401" t="inlineStr">
        <is>
          <t>Done</t>
        </is>
      </c>
      <c r="O2021" s="401" t="n"/>
      <c r="P2021" s="22" t="n"/>
      <c r="S2021" s="22" t="n"/>
      <c r="U2021" s="16" t="n"/>
      <c r="V2021" s="22" t="n"/>
      <c r="W2021" s="22" t="n"/>
      <c r="X2021" s="22" t="n"/>
      <c r="Y2021" s="13" t="n"/>
      <c r="Z2021" s="22" t="n"/>
      <c r="AA2021" s="22" t="n"/>
      <c r="AB2021" s="22" t="n"/>
      <c r="AC2021" s="22" t="n"/>
      <c r="AD2021" s="22" t="n"/>
      <c r="AE2021" s="22" t="n"/>
    </row>
    <row r="2022" ht="56" customHeight="1" s="380">
      <c r="A2022" s="126" t="n">
        <v>95</v>
      </c>
      <c r="B2022" s="390" t="n"/>
      <c r="C2022" s="390" t="inlineStr">
        <is>
          <t>Báo cáo theo Thông tư 121/2020/TT-BTC &gt;&gt; Báo báo tài chính &gt;&gt; Báo cáo kết quả hoạt động riêng</t>
        </is>
      </c>
      <c r="D2022" s="390" t="inlineStr">
        <is>
          <t>c. Cổ tức, tiền lãi phát sinh từ tài sản tài chính FVTPL</t>
        </is>
      </c>
      <c r="E2022" s="390" t="n">
        <v>1.3</v>
      </c>
      <c r="F2022" s="390" t="inlineStr">
        <is>
          <t>Data Explorer</t>
        </is>
      </c>
      <c r="G2022" s="390" t="inlineStr">
        <is>
          <t>Chỉ tiêu cơ sở</t>
        </is>
      </c>
      <c r="H2022" s="390" t="inlineStr">
        <is>
          <t>Dễ</t>
        </is>
      </c>
      <c r="I2022" s="390" t="inlineStr">
        <is>
          <t>Ngày, CTCK</t>
        </is>
      </c>
      <c r="J2022" s="401" t="inlineStr">
        <is>
          <t>SCMS</t>
        </is>
      </c>
      <c r="K2022" s="401" t="n"/>
      <c r="L2022" s="401" t="inlineStr">
        <is>
          <t>X</t>
        </is>
      </c>
      <c r="M2022" s="401" t="n"/>
      <c r="N2022" s="401" t="inlineStr">
        <is>
          <t>Done</t>
        </is>
      </c>
      <c r="O2022" s="401" t="n"/>
      <c r="P2022" s="22" t="n"/>
      <c r="S2022" s="22" t="n"/>
      <c r="U2022" s="16" t="n"/>
      <c r="V2022" s="22" t="n"/>
      <c r="W2022" s="22" t="n"/>
      <c r="X2022" s="22" t="n"/>
      <c r="Y2022" s="13" t="n"/>
      <c r="Z2022" s="22" t="n"/>
      <c r="AA2022" s="22" t="n"/>
      <c r="AB2022" s="22" t="n"/>
      <c r="AC2022" s="22" t="n"/>
      <c r="AD2022" s="22" t="n"/>
      <c r="AE2022" s="22" t="n"/>
    </row>
    <row r="2023" ht="56" customHeight="1" s="380">
      <c r="A2023" s="126" t="n">
        <v>95</v>
      </c>
      <c r="B2023" s="390" t="n"/>
      <c r="C2023" s="390" t="inlineStr">
        <is>
          <t>Báo cáo theo Thông tư 121/2020/TT-BTC &gt;&gt; Báo báo tài chính &gt;&gt; Báo cáo kết quả hoạt động riêng</t>
        </is>
      </c>
      <c r="D2023" s="390" t="inlineStr">
        <is>
          <t>d. Chênh lệch giảm do đánh giá lại phải trả chứng quyền đang lưu hành</t>
        </is>
      </c>
      <c r="E2023" s="390" t="inlineStr">
        <is>
          <t>1,4</t>
        </is>
      </c>
      <c r="F2023" s="390" t="inlineStr">
        <is>
          <t>Data Explorer</t>
        </is>
      </c>
      <c r="G2023" s="390" t="inlineStr">
        <is>
          <t>Chỉ tiêu cơ sở</t>
        </is>
      </c>
      <c r="H2023" s="390" t="inlineStr">
        <is>
          <t>Dễ</t>
        </is>
      </c>
      <c r="I2023" s="390" t="inlineStr">
        <is>
          <t>Ngày, CTCK</t>
        </is>
      </c>
      <c r="J2023" s="401" t="inlineStr">
        <is>
          <t>SCMS</t>
        </is>
      </c>
      <c r="K2023" s="401" t="n"/>
      <c r="L2023" s="401" t="inlineStr">
        <is>
          <t>X</t>
        </is>
      </c>
      <c r="M2023" s="401" t="n"/>
      <c r="N2023" s="401" t="inlineStr">
        <is>
          <t>Pending</t>
        </is>
      </c>
      <c r="O2023" s="401" t="n"/>
      <c r="P2023" s="22" t="n"/>
      <c r="S2023" s="22" t="n"/>
      <c r="U2023" s="82" t="inlineStr">
        <is>
          <t>DB cũ không có chỉ tiêu này</t>
        </is>
      </c>
      <c r="V2023" s="22" t="n"/>
      <c r="W2023" s="22" t="n"/>
      <c r="X2023" s="22" t="n"/>
      <c r="Y2023" s="13" t="n"/>
      <c r="Z2023" s="22" t="n"/>
      <c r="AA2023" s="22" t="n"/>
      <c r="AB2023" s="22" t="n"/>
      <c r="AC2023" s="22" t="n"/>
      <c r="AD2023" s="22" t="n"/>
      <c r="AE2023" s="22" t="n"/>
    </row>
    <row r="2024" ht="56" customHeight="1" s="380">
      <c r="A2024" s="126" t="n">
        <v>95</v>
      </c>
      <c r="B2024" s="390" t="n"/>
      <c r="C2024" s="390" t="inlineStr">
        <is>
          <t>Báo cáo theo Thông tư 121/2020/TT-BTC &gt;&gt; Báo báo tài chính &gt;&gt; Báo cáo kết quả hoạt động riêng</t>
        </is>
      </c>
      <c r="D2024" s="390" t="inlineStr">
        <is>
          <t>1.2. Lãi từ các khoản đầu tư nắm giữ đến ngày đáo hạn (HTM)</t>
        </is>
      </c>
      <c r="E2024" s="390" t="n">
        <v>2</v>
      </c>
      <c r="F2024" s="390" t="inlineStr">
        <is>
          <t>Data Explorer</t>
        </is>
      </c>
      <c r="G2024" s="390" t="inlineStr">
        <is>
          <t>Chỉ tiêu cơ sở</t>
        </is>
      </c>
      <c r="H2024" s="390" t="inlineStr">
        <is>
          <t>Dễ</t>
        </is>
      </c>
      <c r="I2024" s="390" t="inlineStr">
        <is>
          <t>Ngày, CTCK</t>
        </is>
      </c>
      <c r="J2024" s="401" t="inlineStr">
        <is>
          <t>SCMS</t>
        </is>
      </c>
      <c r="K2024" s="401" t="n"/>
      <c r="L2024" s="401" t="inlineStr">
        <is>
          <t>X</t>
        </is>
      </c>
      <c r="M2024" s="401" t="n"/>
      <c r="N2024" s="401" t="inlineStr">
        <is>
          <t>Done</t>
        </is>
      </c>
      <c r="O2024" s="401" t="n"/>
      <c r="P2024" s="22" t="n"/>
      <c r="S2024" s="22" t="n"/>
      <c r="U2024" s="16" t="n"/>
      <c r="V2024" s="22" t="n"/>
      <c r="W2024" s="22" t="n"/>
      <c r="X2024" s="22" t="n"/>
      <c r="Y2024" s="13" t="n"/>
      <c r="Z2024" s="22" t="n"/>
      <c r="AA2024" s="22" t="n"/>
      <c r="AB2024" s="22" t="n"/>
      <c r="AC2024" s="22" t="n"/>
      <c r="AD2024" s="22" t="n"/>
      <c r="AE2024" s="22" t="n"/>
    </row>
    <row r="2025" ht="56" customHeight="1" s="380">
      <c r="A2025" s="126" t="n">
        <v>95</v>
      </c>
      <c r="B2025" s="390" t="n"/>
      <c r="C2025" s="390" t="inlineStr">
        <is>
          <t>Báo cáo theo Thông tư 121/2020/TT-BTC &gt;&gt; Báo báo tài chính &gt;&gt; Báo cáo kết quả hoạt động riêng</t>
        </is>
      </c>
      <c r="D2025" s="390" t="inlineStr">
        <is>
          <t>1.3. Lãi từ các khoản cho vay và phải thu</t>
        </is>
      </c>
      <c r="E2025" s="390" t="n">
        <v>3</v>
      </c>
      <c r="F2025" s="390" t="inlineStr">
        <is>
          <t>Data Explorer</t>
        </is>
      </c>
      <c r="G2025" s="390" t="inlineStr">
        <is>
          <t>Chỉ tiêu cơ sở</t>
        </is>
      </c>
      <c r="H2025" s="390" t="inlineStr">
        <is>
          <t>Dễ</t>
        </is>
      </c>
      <c r="I2025" s="390" t="inlineStr">
        <is>
          <t>Ngày, CTCK</t>
        </is>
      </c>
      <c r="J2025" s="401" t="inlineStr">
        <is>
          <t>SCMS</t>
        </is>
      </c>
      <c r="K2025" s="401" t="n"/>
      <c r="L2025" s="401" t="inlineStr">
        <is>
          <t>X</t>
        </is>
      </c>
      <c r="M2025" s="401" t="n"/>
      <c r="N2025" s="401" t="inlineStr">
        <is>
          <t>Done</t>
        </is>
      </c>
      <c r="O2025" s="401" t="n"/>
      <c r="P2025" s="22" t="n"/>
      <c r="S2025" s="22" t="n"/>
      <c r="U2025" s="16" t="n"/>
      <c r="V2025" s="22" t="n"/>
      <c r="W2025" s="22" t="n"/>
      <c r="X2025" s="22" t="n"/>
      <c r="Y2025" s="38" t="n"/>
      <c r="Z2025" s="22" t="n"/>
      <c r="AA2025" s="22" t="n"/>
      <c r="AB2025" s="22" t="n"/>
      <c r="AC2025" s="22" t="n"/>
      <c r="AD2025" s="22" t="n"/>
      <c r="AE2025" s="22" t="n"/>
    </row>
    <row r="2026" ht="56" customHeight="1" s="380">
      <c r="A2026" s="126" t="n">
        <v>95</v>
      </c>
      <c r="B2026" s="390" t="n"/>
      <c r="C2026" s="390" t="inlineStr">
        <is>
          <t>Báo cáo theo Thông tư 121/2020/TT-BTC &gt;&gt; Báo báo tài chính &gt;&gt; Báo cáo kết quả hoạt động riêng</t>
        </is>
      </c>
      <c r="D2026" s="390" t="inlineStr">
        <is>
          <t>1.4. Lãi từ tài sản tài chính sẵn sàng để bán (AFS)</t>
        </is>
      </c>
      <c r="E2026" s="390" t="n">
        <v>4</v>
      </c>
      <c r="F2026" s="390" t="inlineStr">
        <is>
          <t>Data Explorer</t>
        </is>
      </c>
      <c r="G2026" s="390" t="inlineStr">
        <is>
          <t>Chỉ tiêu cơ sở</t>
        </is>
      </c>
      <c r="H2026" s="390" t="inlineStr">
        <is>
          <t>Dễ</t>
        </is>
      </c>
      <c r="I2026" s="390" t="inlineStr">
        <is>
          <t>Ngày, CTCK</t>
        </is>
      </c>
      <c r="J2026" s="401" t="inlineStr">
        <is>
          <t>SCMS</t>
        </is>
      </c>
      <c r="K2026" s="401" t="n"/>
      <c r="L2026" s="401" t="inlineStr">
        <is>
          <t>X</t>
        </is>
      </c>
      <c r="M2026" s="401" t="n"/>
      <c r="N2026" s="401" t="inlineStr">
        <is>
          <t>Done</t>
        </is>
      </c>
      <c r="O2026" s="401" t="n"/>
      <c r="P2026" s="22" t="n"/>
      <c r="S2026" s="22" t="n"/>
      <c r="U2026" s="16" t="n"/>
      <c r="V2026" s="22" t="n"/>
      <c r="W2026" s="22" t="n"/>
      <c r="X2026" s="22" t="n"/>
      <c r="Y2026" s="13" t="n"/>
      <c r="Z2026" s="22" t="n"/>
      <c r="AA2026" s="22" t="n"/>
      <c r="AB2026" s="22" t="n"/>
      <c r="AC2026" s="22" t="n"/>
      <c r="AD2026" s="22" t="n"/>
      <c r="AE2026" s="22" t="n"/>
    </row>
    <row r="2027" ht="56" customHeight="1" s="380">
      <c r="A2027" s="126" t="n">
        <v>95</v>
      </c>
      <c r="B2027" s="390" t="n"/>
      <c r="C2027" s="390" t="inlineStr">
        <is>
          <t>Báo cáo theo Thông tư 121/2020/TT-BTC &gt;&gt; Báo báo tài chính &gt;&gt; Báo cáo kết quả hoạt động riêng</t>
        </is>
      </c>
      <c r="D2027" s="390" t="inlineStr">
        <is>
          <t>1.5. Lãi từ các công cụ phái sinh phòng ngừa rủi ro</t>
        </is>
      </c>
      <c r="E2027" s="390" t="n">
        <v>5</v>
      </c>
      <c r="F2027" s="390" t="inlineStr">
        <is>
          <t>Data Explorer</t>
        </is>
      </c>
      <c r="G2027" s="390" t="inlineStr">
        <is>
          <t>Chỉ tiêu cơ sở</t>
        </is>
      </c>
      <c r="H2027" s="390" t="inlineStr">
        <is>
          <t>Dễ</t>
        </is>
      </c>
      <c r="I2027" s="390" t="inlineStr">
        <is>
          <t>Ngày, CTCK</t>
        </is>
      </c>
      <c r="J2027" s="401" t="inlineStr">
        <is>
          <t>SCMS</t>
        </is>
      </c>
      <c r="K2027" s="401" t="n"/>
      <c r="L2027" s="401" t="inlineStr">
        <is>
          <t>X</t>
        </is>
      </c>
      <c r="M2027" s="401" t="n"/>
      <c r="N2027" s="401" t="inlineStr">
        <is>
          <t>Done</t>
        </is>
      </c>
      <c r="O2027" s="401" t="n"/>
      <c r="P2027" s="22" t="n"/>
      <c r="S2027" s="22" t="n"/>
      <c r="U2027" s="16" t="n"/>
      <c r="V2027" s="22" t="n"/>
      <c r="W2027" s="22" t="n"/>
      <c r="X2027" s="22" t="n"/>
      <c r="Y2027" s="13" t="n"/>
      <c r="Z2027" s="22" t="n"/>
      <c r="AA2027" s="22" t="n"/>
      <c r="AB2027" s="22" t="n"/>
      <c r="AC2027" s="22" t="n"/>
      <c r="AD2027" s="22" t="n"/>
      <c r="AE2027" s="22" t="n"/>
    </row>
    <row r="2028" ht="56" customHeight="1" s="380">
      <c r="A2028" s="126" t="n">
        <v>95</v>
      </c>
      <c r="B2028" s="390" t="n"/>
      <c r="C2028" s="390" t="inlineStr">
        <is>
          <t>Báo cáo theo Thông tư 121/2020/TT-BTC &gt;&gt; Báo báo tài chính &gt;&gt; Báo cáo kết quả hoạt động riêng</t>
        </is>
      </c>
      <c r="D2028" s="390" t="inlineStr">
        <is>
          <t>1.6. Doanh thu nghiệp vụ môi giới chứng khoán</t>
        </is>
      </c>
      <c r="E2028" s="390" t="n">
        <v>6</v>
      </c>
      <c r="F2028" s="390" t="inlineStr">
        <is>
          <t>Data Explorer</t>
        </is>
      </c>
      <c r="G2028" s="390" t="inlineStr">
        <is>
          <t>Chỉ tiêu cơ sở</t>
        </is>
      </c>
      <c r="H2028" s="390" t="inlineStr">
        <is>
          <t>Dễ</t>
        </is>
      </c>
      <c r="I2028" s="390" t="inlineStr">
        <is>
          <t>Ngày, CTCK</t>
        </is>
      </c>
      <c r="J2028" s="401" t="inlineStr">
        <is>
          <t>SCMS</t>
        </is>
      </c>
      <c r="K2028" s="401" t="n"/>
      <c r="L2028" s="401" t="inlineStr">
        <is>
          <t>X</t>
        </is>
      </c>
      <c r="M2028" s="401" t="n"/>
      <c r="N2028" s="401" t="inlineStr">
        <is>
          <t>Done</t>
        </is>
      </c>
      <c r="O2028" s="401" t="n"/>
      <c r="P2028" s="22" t="n"/>
      <c r="S2028" s="22" t="n"/>
      <c r="U2028" s="16" t="n"/>
      <c r="V2028" s="22" t="n"/>
      <c r="W2028" s="22" t="n"/>
      <c r="X2028" s="22" t="n"/>
      <c r="Y2028" s="13" t="n"/>
      <c r="Z2028" s="22" t="n"/>
      <c r="AA2028" s="22" t="n"/>
      <c r="AB2028" s="22" t="n"/>
      <c r="AC2028" s="22" t="n"/>
      <c r="AD2028" s="22" t="n"/>
      <c r="AE2028" s="22" t="n"/>
    </row>
    <row r="2029" ht="56" customHeight="1" s="380">
      <c r="A2029" s="126" t="n">
        <v>95</v>
      </c>
      <c r="B2029" s="390" t="n"/>
      <c r="C2029" s="390" t="inlineStr">
        <is>
          <t>Báo cáo theo Thông tư 121/2020/TT-BTC &gt;&gt; Báo báo tài chính &gt;&gt; Báo cáo kết quả hoạt động riêng</t>
        </is>
      </c>
      <c r="D2029" s="390" t="inlineStr">
        <is>
          <t>1.7. Doanh thu nghiệp vụ bảo lãnh, đại lý phát hành chứng khoán</t>
        </is>
      </c>
      <c r="E2029" s="390" t="n">
        <v>7</v>
      </c>
      <c r="F2029" s="390" t="inlineStr">
        <is>
          <t>Data Explorer</t>
        </is>
      </c>
      <c r="G2029" s="390" t="inlineStr">
        <is>
          <t>Chỉ tiêu cơ sở</t>
        </is>
      </c>
      <c r="H2029" s="390" t="inlineStr">
        <is>
          <t>Dễ</t>
        </is>
      </c>
      <c r="I2029" s="390" t="inlineStr">
        <is>
          <t>Ngày, CTCK</t>
        </is>
      </c>
      <c r="J2029" s="401" t="inlineStr">
        <is>
          <t>SCMS</t>
        </is>
      </c>
      <c r="K2029" s="401" t="n"/>
      <c r="L2029" s="401" t="inlineStr">
        <is>
          <t>X</t>
        </is>
      </c>
      <c r="M2029" s="401" t="n"/>
      <c r="N2029" s="401" t="inlineStr">
        <is>
          <t>Done</t>
        </is>
      </c>
      <c r="O2029" s="401" t="n"/>
      <c r="P2029" s="22" t="n"/>
      <c r="S2029" s="22" t="n"/>
      <c r="U2029" s="16" t="n"/>
      <c r="V2029" s="22" t="n"/>
      <c r="W2029" s="22" t="n"/>
      <c r="X2029" s="22" t="n"/>
      <c r="Y2029" s="13" t="n"/>
      <c r="Z2029" s="22" t="n"/>
      <c r="AA2029" s="22" t="n"/>
      <c r="AB2029" s="22" t="n"/>
      <c r="AC2029" s="22" t="n"/>
      <c r="AD2029" s="22" t="n"/>
      <c r="AE2029" s="22" t="n"/>
    </row>
    <row r="2030" ht="56" customHeight="1" s="380">
      <c r="A2030" s="126" t="n">
        <v>95</v>
      </c>
      <c r="B2030" s="390" t="n"/>
      <c r="C2030" s="390" t="inlineStr">
        <is>
          <t>Báo cáo theo Thông tư 121/2020/TT-BTC &gt;&gt; Báo báo tài chính &gt;&gt; Báo cáo kết quả hoạt động riêng</t>
        </is>
      </c>
      <c r="D2030" s="390" t="inlineStr">
        <is>
          <t>1.8. Doanh thu nghiệp vụ tư vấn đầu tư chứng khoán</t>
        </is>
      </c>
      <c r="E2030" s="390" t="n">
        <v>8</v>
      </c>
      <c r="F2030" s="390" t="inlineStr">
        <is>
          <t>Data Explorer</t>
        </is>
      </c>
      <c r="G2030" s="390" t="inlineStr">
        <is>
          <t>Chỉ tiêu cơ sở</t>
        </is>
      </c>
      <c r="H2030" s="390" t="inlineStr">
        <is>
          <t>Dễ</t>
        </is>
      </c>
      <c r="I2030" s="390" t="inlineStr">
        <is>
          <t>Ngày, CTCK</t>
        </is>
      </c>
      <c r="J2030" s="401" t="inlineStr">
        <is>
          <t>SCMS</t>
        </is>
      </c>
      <c r="K2030" s="401" t="n"/>
      <c r="L2030" s="401" t="inlineStr">
        <is>
          <t>X</t>
        </is>
      </c>
      <c r="M2030" s="401" t="n"/>
      <c r="N2030" s="401" t="inlineStr">
        <is>
          <t>Done</t>
        </is>
      </c>
      <c r="O2030" s="401" t="n"/>
      <c r="P2030" s="22" t="n"/>
      <c r="S2030" s="22" t="n"/>
      <c r="U2030" s="16" t="n"/>
      <c r="V2030" s="22" t="n"/>
      <c r="W2030" s="22" t="n"/>
      <c r="X2030" s="22" t="n"/>
      <c r="Y2030" s="13" t="n"/>
      <c r="Z2030" s="22" t="n"/>
      <c r="AA2030" s="22" t="n"/>
      <c r="AB2030" s="22" t="n"/>
      <c r="AC2030" s="22" t="n"/>
      <c r="AD2030" s="22" t="n"/>
      <c r="AE2030" s="22" t="n"/>
    </row>
    <row r="2031" ht="56" customHeight="1" s="380">
      <c r="A2031" s="126" t="n">
        <v>95</v>
      </c>
      <c r="B2031" s="390" t="n"/>
      <c r="C2031" s="390" t="inlineStr">
        <is>
          <t>Báo cáo theo Thông tư 121/2020/TT-BTC &gt;&gt; Báo báo tài chính &gt;&gt; Báo cáo kết quả hoạt động riêng</t>
        </is>
      </c>
      <c r="D2031" s="390" t="inlineStr">
        <is>
          <t>1.9. Doanh thu nghiệp vụ lưu ký chứng khoán</t>
        </is>
      </c>
      <c r="E2031" s="390" t="n">
        <v>9</v>
      </c>
      <c r="F2031" s="390" t="inlineStr">
        <is>
          <t>Data Explorer</t>
        </is>
      </c>
      <c r="G2031" s="390" t="inlineStr">
        <is>
          <t>Chỉ tiêu cơ sở</t>
        </is>
      </c>
      <c r="H2031" s="390" t="inlineStr">
        <is>
          <t>Dễ</t>
        </is>
      </c>
      <c r="I2031" s="390" t="inlineStr">
        <is>
          <t>Ngày, CTCK</t>
        </is>
      </c>
      <c r="J2031" s="401" t="inlineStr">
        <is>
          <t>SCMS</t>
        </is>
      </c>
      <c r="K2031" s="401" t="n"/>
      <c r="L2031" s="401" t="inlineStr">
        <is>
          <t>X</t>
        </is>
      </c>
      <c r="M2031" s="401" t="n"/>
      <c r="N2031" s="401" t="inlineStr">
        <is>
          <t>Done</t>
        </is>
      </c>
      <c r="O2031" s="401" t="n"/>
      <c r="P2031" s="22" t="n"/>
      <c r="S2031" s="22" t="n"/>
      <c r="U2031" s="16" t="n"/>
      <c r="V2031" s="22" t="n"/>
      <c r="W2031" s="22" t="n"/>
      <c r="X2031" s="22" t="n"/>
      <c r="Y2031" s="38" t="n"/>
      <c r="Z2031" s="22" t="n"/>
      <c r="AA2031" s="22" t="n"/>
      <c r="AB2031" s="22" t="n"/>
      <c r="AC2031" s="22" t="n"/>
      <c r="AD2031" s="22" t="n"/>
      <c r="AE2031" s="22" t="n"/>
    </row>
    <row r="2032" ht="56" customHeight="1" s="380">
      <c r="A2032" s="126" t="n">
        <v>95</v>
      </c>
      <c r="B2032" s="390" t="n"/>
      <c r="C2032" s="390" t="inlineStr">
        <is>
          <t>Báo cáo theo Thông tư 121/2020/TT-BTC &gt;&gt; Báo báo tài chính &gt;&gt; Báo cáo kết quả hoạt động riêng</t>
        </is>
      </c>
      <c r="D2032" s="390" t="inlineStr">
        <is>
          <t>1.10. Doanh thu hoạt động tư vấn tài chính</t>
        </is>
      </c>
      <c r="E2032" s="390" t="n">
        <v>10</v>
      </c>
      <c r="F2032" s="390" t="inlineStr">
        <is>
          <t>Data Explorer</t>
        </is>
      </c>
      <c r="G2032" s="390" t="inlineStr">
        <is>
          <t>Chỉ tiêu cơ sở</t>
        </is>
      </c>
      <c r="H2032" s="390" t="inlineStr">
        <is>
          <t>Dễ</t>
        </is>
      </c>
      <c r="I2032" s="390" t="inlineStr">
        <is>
          <t>Ngày, CTCK</t>
        </is>
      </c>
      <c r="J2032" s="401" t="inlineStr">
        <is>
          <t>SCMS</t>
        </is>
      </c>
      <c r="K2032" s="401" t="n"/>
      <c r="L2032" s="401" t="inlineStr">
        <is>
          <t>X</t>
        </is>
      </c>
      <c r="M2032" s="401" t="n"/>
      <c r="N2032" s="401" t="inlineStr">
        <is>
          <t>Done</t>
        </is>
      </c>
      <c r="O2032" s="401" t="n"/>
      <c r="P2032" s="22" t="n"/>
      <c r="S2032" s="22" t="n"/>
      <c r="U2032" s="16" t="n"/>
      <c r="V2032" s="22" t="n"/>
      <c r="W2032" s="22" t="n"/>
      <c r="X2032" s="22" t="n"/>
      <c r="Y2032" s="13" t="n"/>
      <c r="Z2032" s="22" t="n"/>
      <c r="AA2032" s="22" t="n"/>
      <c r="AB2032" s="22" t="n"/>
      <c r="AC2032" s="22" t="n"/>
      <c r="AD2032" s="22" t="n"/>
      <c r="AE2032" s="22" t="n"/>
    </row>
    <row r="2033" ht="56" customHeight="1" s="380">
      <c r="A2033" s="126" t="n">
        <v>95</v>
      </c>
      <c r="B2033" s="390" t="n"/>
      <c r="C2033" s="390" t="inlineStr">
        <is>
          <t>Báo cáo theo Thông tư 121/2020/TT-BTC &gt;&gt; Báo báo tài chính &gt;&gt; Báo cáo kết quả hoạt động riêng</t>
        </is>
      </c>
      <c r="D2033" s="390" t="inlineStr">
        <is>
          <t xml:space="preserve">1.11. Thu nhập hoạt động khác </t>
        </is>
      </c>
      <c r="E2033" s="390" t="n">
        <v>11</v>
      </c>
      <c r="F2033" s="390" t="inlineStr">
        <is>
          <t>Data Explorer</t>
        </is>
      </c>
      <c r="G2033" s="390" t="inlineStr">
        <is>
          <t>Chỉ tiêu cơ sở</t>
        </is>
      </c>
      <c r="H2033" s="390" t="inlineStr">
        <is>
          <t>Dễ</t>
        </is>
      </c>
      <c r="I2033" s="390" t="inlineStr">
        <is>
          <t>Ngày, CTCK</t>
        </is>
      </c>
      <c r="J2033" s="401" t="inlineStr">
        <is>
          <t>SCMS</t>
        </is>
      </c>
      <c r="K2033" s="401" t="n"/>
      <c r="L2033" s="401" t="inlineStr">
        <is>
          <t>X</t>
        </is>
      </c>
      <c r="M2033" s="401" t="n"/>
      <c r="N2033" s="401" t="inlineStr">
        <is>
          <t>Done</t>
        </is>
      </c>
      <c r="O2033" s="401" t="n"/>
      <c r="P2033" s="22" t="n"/>
      <c r="S2033" s="22" t="n"/>
      <c r="U2033" s="16" t="n"/>
      <c r="V2033" s="22" t="n"/>
      <c r="W2033" s="22" t="n"/>
      <c r="X2033" s="22" t="n"/>
      <c r="Y2033" s="13" t="n"/>
      <c r="Z2033" s="22" t="n"/>
      <c r="AA2033" s="22" t="n"/>
      <c r="AB2033" s="22" t="n"/>
      <c r="AC2033" s="22" t="n"/>
      <c r="AD2033" s="22" t="n"/>
      <c r="AE2033" s="22" t="n"/>
    </row>
    <row r="2034" ht="56" customHeight="1" s="380">
      <c r="A2034" s="126" t="n">
        <v>95</v>
      </c>
      <c r="B2034" s="390" t="n"/>
      <c r="C2034" s="390" t="inlineStr">
        <is>
          <t>Báo cáo theo Thông tư 121/2020/TT-BTC &gt;&gt; Báo báo tài chính &gt;&gt; Báo cáo kết quả hoạt động riêng</t>
        </is>
      </c>
      <c r="D2034" s="132" t="inlineStr">
        <is>
          <t>Cộng doanh thu hoạt động (20 = 01 đến 11)</t>
        </is>
      </c>
      <c r="E2034" s="132" t="n">
        <v>20</v>
      </c>
      <c r="F2034" s="390" t="inlineStr">
        <is>
          <t>Data Explorer</t>
        </is>
      </c>
      <c r="G2034" s="390" t="inlineStr">
        <is>
          <t>Chỉ tiêu cơ sở</t>
        </is>
      </c>
      <c r="H2034" s="390" t="inlineStr">
        <is>
          <t>Dễ</t>
        </is>
      </c>
      <c r="I2034" s="390" t="inlineStr">
        <is>
          <t>Ngày, CTCK</t>
        </is>
      </c>
      <c r="J2034" s="401" t="inlineStr">
        <is>
          <t>SCMS</t>
        </is>
      </c>
      <c r="K2034" s="401" t="n"/>
      <c r="L2034" s="401" t="inlineStr">
        <is>
          <t>X</t>
        </is>
      </c>
      <c r="M2034" s="401" t="n"/>
      <c r="N2034" s="401" t="inlineStr">
        <is>
          <t>Done</t>
        </is>
      </c>
      <c r="O2034" s="401" t="n"/>
      <c r="P2034" s="22" t="n"/>
      <c r="S2034" s="22" t="n"/>
      <c r="U2034" s="16" t="n"/>
      <c r="V2034" s="22" t="n"/>
      <c r="W2034" s="22" t="n"/>
      <c r="X2034" s="22" t="n"/>
      <c r="Y2034" s="13" t="n"/>
      <c r="Z2034" s="22" t="n"/>
      <c r="AA2034" s="22" t="n"/>
      <c r="AB2034" s="22" t="n"/>
      <c r="AC2034" s="22" t="n"/>
      <c r="AD2034" s="22" t="n"/>
      <c r="AE2034" s="22" t="n"/>
    </row>
    <row r="2035" ht="56" customHeight="1" s="380">
      <c r="A2035" s="126" t="n">
        <v>95</v>
      </c>
      <c r="B2035" s="390" t="n"/>
      <c r="C2035" s="390" t="inlineStr">
        <is>
          <t>Báo cáo theo Thông tư 121/2020/TT-BTC &gt;&gt; Báo báo tài chính &gt;&gt; Báo cáo kết quả hoạt động riêng</t>
        </is>
      </c>
      <c r="D2035" s="132" t="inlineStr">
        <is>
          <t xml:space="preserve">II. CHI PHÍ HOẠT ĐỘNG </t>
        </is>
      </c>
      <c r="E2035" s="401" t="n"/>
      <c r="F2035" s="390" t="inlineStr">
        <is>
          <t>Data Explorer</t>
        </is>
      </c>
      <c r="G2035" s="390" t="inlineStr">
        <is>
          <t>Chỉ tiêu cơ sở</t>
        </is>
      </c>
      <c r="H2035" s="390" t="inlineStr">
        <is>
          <t>Dễ</t>
        </is>
      </c>
      <c r="I2035" s="390" t="inlineStr">
        <is>
          <t>Ngày, CTCK</t>
        </is>
      </c>
      <c r="J2035" s="401" t="inlineStr">
        <is>
          <t>SCMS</t>
        </is>
      </c>
      <c r="K2035" s="401" t="n"/>
      <c r="L2035" s="401" t="inlineStr">
        <is>
          <t>X</t>
        </is>
      </c>
      <c r="M2035" s="401" t="n"/>
      <c r="N2035" s="401" t="inlineStr">
        <is>
          <t>Done</t>
        </is>
      </c>
      <c r="O2035" s="401" t="n"/>
      <c r="P2035" s="22" t="n"/>
      <c r="S2035" s="22" t="n"/>
      <c r="U2035" s="16" t="n"/>
      <c r="V2035" s="22" t="n"/>
      <c r="W2035" s="22" t="n"/>
      <c r="X2035" s="22" t="n"/>
      <c r="Y2035" s="13" t="n"/>
      <c r="Z2035" s="22" t="n"/>
      <c r="AA2035" s="22" t="n"/>
      <c r="AB2035" s="22" t="n"/>
      <c r="AC2035" s="22" t="n"/>
      <c r="AD2035" s="22" t="n"/>
      <c r="AE2035" s="22" t="n"/>
    </row>
    <row r="2036" ht="56" customHeight="1" s="380">
      <c r="A2036" s="126" t="n">
        <v>95</v>
      </c>
      <c r="B2036" s="390" t="n"/>
      <c r="C2036" s="390" t="inlineStr">
        <is>
          <t>Báo cáo theo Thông tư 121/2020/TT-BTC &gt;&gt; Báo báo tài chính &gt;&gt; Báo cáo kết quả hoạt động riêng</t>
        </is>
      </c>
      <c r="D2036" s="390" t="inlineStr">
        <is>
          <t>2.1. Lỗ các tài sản tài chính ghi nhận thông qua lãi/lỗ (FVTPL)</t>
        </is>
      </c>
      <c r="E2036" s="390" t="n">
        <v>21</v>
      </c>
      <c r="F2036" s="390" t="inlineStr">
        <is>
          <t>Data Explorer</t>
        </is>
      </c>
      <c r="G2036" s="390" t="inlineStr">
        <is>
          <t>Chỉ tiêu cơ sở</t>
        </is>
      </c>
      <c r="H2036" s="390" t="inlineStr">
        <is>
          <t>Dễ</t>
        </is>
      </c>
      <c r="I2036" s="390" t="inlineStr">
        <is>
          <t>Ngày, CTCK</t>
        </is>
      </c>
      <c r="J2036" s="401" t="inlineStr">
        <is>
          <t>SCMS</t>
        </is>
      </c>
      <c r="K2036" s="401" t="n"/>
      <c r="L2036" s="401" t="inlineStr">
        <is>
          <t>X</t>
        </is>
      </c>
      <c r="M2036" s="401" t="n"/>
      <c r="N2036" s="401" t="inlineStr">
        <is>
          <t>Done</t>
        </is>
      </c>
      <c r="O2036" s="401" t="n"/>
      <c r="P2036" s="22" t="n"/>
      <c r="S2036" s="22" t="n"/>
      <c r="U2036" s="16" t="n"/>
      <c r="V2036" s="22" t="n"/>
      <c r="W2036" s="22" t="n"/>
      <c r="X2036" s="22" t="n"/>
      <c r="Y2036" s="13" t="n"/>
      <c r="Z2036" s="22" t="n"/>
      <c r="AA2036" s="22" t="n"/>
      <c r="AB2036" s="22" t="n"/>
      <c r="AC2036" s="22" t="n"/>
      <c r="AD2036" s="22" t="n"/>
      <c r="AE2036" s="22" t="n"/>
    </row>
    <row r="2037" ht="56" customHeight="1" s="380">
      <c r="A2037" s="126" t="n">
        <v>95</v>
      </c>
      <c r="B2037" s="390" t="n"/>
      <c r="C2037" s="390" t="inlineStr">
        <is>
          <t>Báo cáo theo Thông tư 121/2020/TT-BTC &gt;&gt; Báo báo tài chính &gt;&gt; Báo cáo kết quả hoạt động riêng</t>
        </is>
      </c>
      <c r="D2037" s="390" t="inlineStr">
        <is>
          <t>a.     Lỗ bán các tài sản tài chính FVTPL</t>
        </is>
      </c>
      <c r="E2037" s="390" t="n">
        <v>21.1</v>
      </c>
      <c r="F2037" s="390" t="inlineStr">
        <is>
          <t>Data Explorer</t>
        </is>
      </c>
      <c r="G2037" s="390" t="inlineStr">
        <is>
          <t>Chỉ tiêu cơ sở</t>
        </is>
      </c>
      <c r="H2037" s="390" t="inlineStr">
        <is>
          <t>Dễ</t>
        </is>
      </c>
      <c r="I2037" s="390" t="inlineStr">
        <is>
          <t>Ngày, CTCK</t>
        </is>
      </c>
      <c r="J2037" s="401" t="inlineStr">
        <is>
          <t>SCMS</t>
        </is>
      </c>
      <c r="K2037" s="401" t="n"/>
      <c r="L2037" s="401" t="inlineStr">
        <is>
          <t>X</t>
        </is>
      </c>
      <c r="M2037" s="401" t="n"/>
      <c r="N2037" s="401" t="inlineStr">
        <is>
          <t>Done</t>
        </is>
      </c>
      <c r="O2037" s="401" t="n"/>
      <c r="P2037" s="22" t="n"/>
      <c r="S2037" s="22" t="n"/>
      <c r="U2037" s="16" t="n"/>
      <c r="V2037" s="22" t="n"/>
      <c r="W2037" s="22" t="n"/>
      <c r="X2037" s="22" t="n"/>
      <c r="Y2037" s="38" t="n"/>
      <c r="Z2037" s="22" t="n"/>
      <c r="AA2037" s="22" t="n"/>
      <c r="AB2037" s="22" t="n"/>
      <c r="AC2037" s="22" t="n"/>
      <c r="AD2037" s="22" t="n"/>
      <c r="AE2037" s="22" t="n"/>
    </row>
    <row r="2038" ht="56" customHeight="1" s="380">
      <c r="A2038" s="126" t="n">
        <v>95</v>
      </c>
      <c r="B2038" s="390" t="n"/>
      <c r="C2038" s="390" t="inlineStr">
        <is>
          <t>Báo cáo theo Thông tư 121/2020/TT-BTC &gt;&gt; Báo báo tài chính &gt;&gt; Báo cáo kết quả hoạt động riêng</t>
        </is>
      </c>
      <c r="D2038" s="390" t="inlineStr">
        <is>
          <t>b.    Chênh lệch giảm đánh giá lại các TSTC FVTPL</t>
        </is>
      </c>
      <c r="E2038" s="390" t="n">
        <v>21.2</v>
      </c>
      <c r="F2038" s="390" t="inlineStr">
        <is>
          <t>Data Explorer</t>
        </is>
      </c>
      <c r="G2038" s="390" t="inlineStr">
        <is>
          <t>Chỉ tiêu cơ sở</t>
        </is>
      </c>
      <c r="H2038" s="390" t="inlineStr">
        <is>
          <t>Dễ</t>
        </is>
      </c>
      <c r="I2038" s="390" t="inlineStr">
        <is>
          <t>Ngày, CTCK</t>
        </is>
      </c>
      <c r="J2038" s="401" t="inlineStr">
        <is>
          <t>SCMS</t>
        </is>
      </c>
      <c r="K2038" s="401" t="n"/>
      <c r="L2038" s="401" t="inlineStr">
        <is>
          <t>X</t>
        </is>
      </c>
      <c r="M2038" s="401" t="n"/>
      <c r="N2038" s="401" t="inlineStr">
        <is>
          <t>Done</t>
        </is>
      </c>
      <c r="O2038" s="401" t="n"/>
      <c r="P2038" s="22" t="n"/>
      <c r="S2038" s="22" t="n"/>
      <c r="U2038" s="16" t="n"/>
      <c r="V2038" s="22" t="n"/>
      <c r="W2038" s="22" t="n"/>
      <c r="X2038" s="22" t="n"/>
      <c r="Y2038" s="13" t="n"/>
      <c r="Z2038" s="22" t="n"/>
      <c r="AA2038" s="22" t="n"/>
      <c r="AB2038" s="22" t="n"/>
      <c r="AC2038" s="22" t="n"/>
      <c r="AD2038" s="22" t="n"/>
      <c r="AE2038" s="22" t="n"/>
    </row>
    <row r="2039" ht="56" customHeight="1" s="380">
      <c r="A2039" s="126" t="n">
        <v>95</v>
      </c>
      <c r="B2039" s="390" t="n"/>
      <c r="C2039" s="390" t="inlineStr">
        <is>
          <t>Báo cáo theo Thông tư 121/2020/TT-BTC &gt;&gt; Báo báo tài chính &gt;&gt; Báo cáo kết quả hoạt động riêng</t>
        </is>
      </c>
      <c r="D2039" s="390" t="inlineStr">
        <is>
          <t>c.     Chi phí giao dịch mua các tài sản tài chính FVTPL</t>
        </is>
      </c>
      <c r="E2039" s="390" t="n">
        <v>21.3</v>
      </c>
      <c r="F2039" s="390" t="inlineStr">
        <is>
          <t>Data Explorer</t>
        </is>
      </c>
      <c r="G2039" s="390" t="inlineStr">
        <is>
          <t>Chỉ tiêu cơ sở</t>
        </is>
      </c>
      <c r="H2039" s="390" t="inlineStr">
        <is>
          <t>Dễ</t>
        </is>
      </c>
      <c r="I2039" s="390" t="inlineStr">
        <is>
          <t>Ngày, CTCK</t>
        </is>
      </c>
      <c r="J2039" s="401" t="inlineStr">
        <is>
          <t>SCMS</t>
        </is>
      </c>
      <c r="K2039" s="401" t="n"/>
      <c r="L2039" s="401" t="inlineStr">
        <is>
          <t>X</t>
        </is>
      </c>
      <c r="M2039" s="401" t="n"/>
      <c r="N2039" s="401" t="inlineStr">
        <is>
          <t>Done</t>
        </is>
      </c>
      <c r="O2039" s="401" t="n"/>
      <c r="P2039" s="22" t="n"/>
      <c r="S2039" s="22" t="n"/>
      <c r="U2039" s="16" t="n"/>
      <c r="V2039" s="22" t="n"/>
      <c r="W2039" s="22" t="n"/>
      <c r="X2039" s="22" t="n"/>
      <c r="Y2039" s="13" t="n"/>
      <c r="Z2039" s="22" t="n"/>
      <c r="AA2039" s="22" t="n"/>
      <c r="AB2039" s="22" t="n"/>
      <c r="AC2039" s="22" t="n"/>
      <c r="AD2039" s="22" t="n"/>
      <c r="AE2039" s="22" t="n"/>
    </row>
    <row r="2040" ht="56" customHeight="1" s="380">
      <c r="A2040" s="126" t="n">
        <v>95</v>
      </c>
      <c r="B2040" s="390" t="n"/>
      <c r="C2040" s="390" t="inlineStr">
        <is>
          <t>Báo cáo theo Thông tư 121/2020/TT-BTC &gt;&gt; Báo báo tài chính &gt;&gt; Báo cáo kết quả hoạt động riêng</t>
        </is>
      </c>
      <c r="D2040" s="390" t="inlineStr">
        <is>
          <t>d. Chênh lệch tăng đánh do đánh giá lại phải trả chứng quyền đang lưu hành</t>
        </is>
      </c>
      <c r="E2040" s="390" t="inlineStr">
        <is>
          <t>21,4</t>
        </is>
      </c>
      <c r="F2040" s="390" t="inlineStr">
        <is>
          <t>Data Explorer</t>
        </is>
      </c>
      <c r="G2040" s="390" t="inlineStr">
        <is>
          <t>Chỉ tiêu cơ sở</t>
        </is>
      </c>
      <c r="H2040" s="390" t="inlineStr">
        <is>
          <t>Dễ</t>
        </is>
      </c>
      <c r="I2040" s="390" t="inlineStr">
        <is>
          <t>Ngày, CTCK</t>
        </is>
      </c>
      <c r="J2040" s="401" t="inlineStr">
        <is>
          <t>SCMS</t>
        </is>
      </c>
      <c r="K2040" s="401" t="n"/>
      <c r="L2040" s="401" t="inlineStr">
        <is>
          <t>X</t>
        </is>
      </c>
      <c r="M2040" s="401" t="n"/>
      <c r="N2040" s="401" t="inlineStr">
        <is>
          <t>Pending</t>
        </is>
      </c>
      <c r="O2040" s="401" t="n"/>
      <c r="P2040" s="22" t="n"/>
      <c r="S2040" s="22" t="n"/>
      <c r="U2040" s="82" t="inlineStr">
        <is>
          <t>DB cũ không có chỉ tiêu này</t>
        </is>
      </c>
      <c r="V2040" s="22" t="n"/>
      <c r="W2040" s="22" t="n"/>
      <c r="X2040" s="22" t="n"/>
      <c r="Y2040" s="13" t="n"/>
      <c r="Z2040" s="22" t="n"/>
      <c r="AA2040" s="22" t="n"/>
      <c r="AB2040" s="22" t="n"/>
      <c r="AC2040" s="22" t="n"/>
      <c r="AD2040" s="22" t="n"/>
      <c r="AE2040" s="22" t="n"/>
    </row>
    <row r="2041" ht="56" customHeight="1" s="380">
      <c r="A2041" s="126" t="n">
        <v>95</v>
      </c>
      <c r="B2041" s="390" t="n"/>
      <c r="C2041" s="390" t="inlineStr">
        <is>
          <t>Báo cáo theo Thông tư 121/2020/TT-BTC &gt;&gt; Báo báo tài chính &gt;&gt; Báo cáo kết quả hoạt động riêng</t>
        </is>
      </c>
      <c r="D2041" s="390" t="inlineStr">
        <is>
          <t>2.2. Lỗ các khoản đầu tư nắm giữ đến ngày đáo hạn (HTM)</t>
        </is>
      </c>
      <c r="E2041" s="390" t="n">
        <v>22</v>
      </c>
      <c r="F2041" s="390" t="inlineStr">
        <is>
          <t>Data Explorer</t>
        </is>
      </c>
      <c r="G2041" s="390" t="inlineStr">
        <is>
          <t>Chỉ tiêu cơ sở</t>
        </is>
      </c>
      <c r="H2041" s="390" t="inlineStr">
        <is>
          <t>Dễ</t>
        </is>
      </c>
      <c r="I2041" s="390" t="inlineStr">
        <is>
          <t>Ngày, CTCK</t>
        </is>
      </c>
      <c r="J2041" s="401" t="inlineStr">
        <is>
          <t>SCMS</t>
        </is>
      </c>
      <c r="K2041" s="401" t="n"/>
      <c r="L2041" s="401" t="inlineStr">
        <is>
          <t>X</t>
        </is>
      </c>
      <c r="M2041" s="401" t="n"/>
      <c r="N2041" s="401" t="inlineStr">
        <is>
          <t>Done</t>
        </is>
      </c>
      <c r="O2041" s="401" t="n"/>
      <c r="P2041" s="22" t="n"/>
      <c r="S2041" s="22" t="n"/>
      <c r="U2041" s="16" t="n"/>
      <c r="V2041" s="22" t="n"/>
      <c r="W2041" s="22" t="n"/>
      <c r="X2041" s="22" t="n"/>
      <c r="Y2041" s="13" t="n"/>
      <c r="Z2041" s="22" t="n"/>
      <c r="AA2041" s="22" t="n"/>
      <c r="AB2041" s="22" t="n"/>
      <c r="AC2041" s="22" t="n"/>
      <c r="AD2041" s="22" t="n"/>
      <c r="AE2041" s="22" t="n"/>
    </row>
    <row r="2042" ht="84" customHeight="1" s="380">
      <c r="A2042" s="126" t="n">
        <v>95</v>
      </c>
      <c r="B2042" s="390" t="n"/>
      <c r="C2042" s="390" t="inlineStr">
        <is>
          <t>Báo cáo theo Thông tư 121/2020/TT-BTC &gt;&gt; Báo báo tài chính &gt;&gt; Báo cáo kết quả hoạt động riêng</t>
        </is>
      </c>
      <c r="D2042" s="390" t="inlineStr">
        <is>
          <t>2.3. Lỗ và ghi nhận chênh lệch đánh giá theo giá trị hợp lý tài sản tài chính sẵn sàng để bán (AFS) khi phân loại lại</t>
        </is>
      </c>
      <c r="E2042" s="390" t="n">
        <v>23</v>
      </c>
      <c r="F2042" s="390" t="inlineStr">
        <is>
          <t>Data Explorer</t>
        </is>
      </c>
      <c r="G2042" s="390" t="inlineStr">
        <is>
          <t>Chỉ tiêu cơ sở</t>
        </is>
      </c>
      <c r="H2042" s="390" t="inlineStr">
        <is>
          <t>Dễ</t>
        </is>
      </c>
      <c r="I2042" s="390" t="inlineStr">
        <is>
          <t>Ngày, CTCK</t>
        </is>
      </c>
      <c r="J2042" s="401" t="inlineStr">
        <is>
          <t>SCMS</t>
        </is>
      </c>
      <c r="K2042" s="401" t="n"/>
      <c r="L2042" s="401" t="inlineStr">
        <is>
          <t>X</t>
        </is>
      </c>
      <c r="M2042" s="401" t="n"/>
      <c r="N2042" s="401" t="inlineStr">
        <is>
          <t>Done</t>
        </is>
      </c>
      <c r="O2042" s="401" t="n"/>
      <c r="P2042" s="22" t="n"/>
      <c r="S2042" s="22" t="n"/>
      <c r="U2042" s="16" t="n"/>
      <c r="V2042" s="22" t="n"/>
      <c r="W2042" s="22" t="n"/>
      <c r="X2042" s="22" t="n"/>
      <c r="Y2042" s="13" t="n"/>
      <c r="Z2042" s="22" t="n"/>
      <c r="AA2042" s="22" t="n"/>
      <c r="AB2042" s="22" t="n"/>
      <c r="AC2042" s="22" t="n"/>
      <c r="AD2042" s="22" t="n"/>
      <c r="AE2042" s="22" t="n"/>
    </row>
    <row r="2043" ht="98" customHeight="1" s="380">
      <c r="A2043" s="126" t="n">
        <v>95</v>
      </c>
      <c r="B2043" s="390" t="n"/>
      <c r="C2043" s="390" t="inlineStr">
        <is>
          <t>Báo cáo theo Thông tư 121/2020/TT-BTC &gt;&gt; Báo báo tài chính &gt;&gt; Báo cáo kết quả hoạt động riêng</t>
        </is>
      </c>
      <c r="D2043" s="390" t="inlineStr">
        <is>
          <t>2.4. Chi phí dự phòng tài sản tài chính, xử lý tổn thất các khoản phải thu khó đòi và lỗ suy giảm tài sản tài chính và chi phí đi vay của các khoản cho vay</t>
        </is>
      </c>
      <c r="E2043" s="390" t="n">
        <v>24</v>
      </c>
      <c r="F2043" s="390" t="inlineStr">
        <is>
          <t>Data Explorer</t>
        </is>
      </c>
      <c r="G2043" s="390" t="inlineStr">
        <is>
          <t>Chỉ tiêu cơ sở</t>
        </is>
      </c>
      <c r="H2043" s="390" t="inlineStr">
        <is>
          <t>Dễ</t>
        </is>
      </c>
      <c r="I2043" s="390" t="inlineStr">
        <is>
          <t>Ngày, CTCK</t>
        </is>
      </c>
      <c r="J2043" s="401" t="inlineStr">
        <is>
          <t>SCMS</t>
        </is>
      </c>
      <c r="K2043" s="401" t="n"/>
      <c r="L2043" s="401" t="inlineStr">
        <is>
          <t>X</t>
        </is>
      </c>
      <c r="M2043" s="401" t="n"/>
      <c r="N2043" s="401" t="inlineStr">
        <is>
          <t>Done</t>
        </is>
      </c>
      <c r="O2043" s="401" t="n"/>
      <c r="P2043" s="22" t="n"/>
      <c r="S2043" s="22" t="n"/>
      <c r="U2043" s="16" t="n"/>
      <c r="V2043" s="22" t="n"/>
      <c r="W2043" s="22" t="n"/>
      <c r="X2043" s="22" t="n"/>
      <c r="Y2043" s="38" t="n"/>
      <c r="Z2043" s="22" t="n"/>
      <c r="AA2043" s="22" t="n"/>
      <c r="AB2043" s="22" t="n"/>
      <c r="AC2043" s="22" t="n"/>
      <c r="AD2043" s="22" t="n"/>
      <c r="AE2043" s="22" t="n"/>
    </row>
    <row r="2044" ht="56" customHeight="1" s="380">
      <c r="A2044" s="126" t="n">
        <v>95</v>
      </c>
      <c r="B2044" s="390" t="n"/>
      <c r="C2044" s="390" t="inlineStr">
        <is>
          <t>Báo cáo theo Thông tư 121/2020/TT-BTC &gt;&gt; Báo báo tài chính &gt;&gt; Báo cáo kết quả hoạt động riêng</t>
        </is>
      </c>
      <c r="D2044" s="390" t="inlineStr">
        <is>
          <t>2.5. Lỗ từ các tài sản tài chính phái sinh phòng ngừa rủi ro</t>
        </is>
      </c>
      <c r="E2044" s="390" t="n">
        <v>25</v>
      </c>
      <c r="F2044" s="390" t="inlineStr">
        <is>
          <t>Data Explorer</t>
        </is>
      </c>
      <c r="G2044" s="390" t="inlineStr">
        <is>
          <t>Chỉ tiêu cơ sở</t>
        </is>
      </c>
      <c r="H2044" s="390" t="inlineStr">
        <is>
          <t>Dễ</t>
        </is>
      </c>
      <c r="I2044" s="390" t="inlineStr">
        <is>
          <t>Ngày, CTCK</t>
        </is>
      </c>
      <c r="J2044" s="401" t="inlineStr">
        <is>
          <t>SCMS</t>
        </is>
      </c>
      <c r="K2044" s="401" t="n"/>
      <c r="L2044" s="401" t="inlineStr">
        <is>
          <t>X</t>
        </is>
      </c>
      <c r="M2044" s="401" t="n"/>
      <c r="N2044" s="401" t="inlineStr">
        <is>
          <t>Done</t>
        </is>
      </c>
      <c r="O2044" s="401" t="n"/>
      <c r="P2044" s="22" t="n"/>
      <c r="S2044" s="22" t="n"/>
      <c r="U2044" s="16" t="n"/>
      <c r="V2044" s="22" t="n"/>
      <c r="W2044" s="22" t="n"/>
      <c r="X2044" s="22" t="n"/>
      <c r="Y2044" s="13" t="n"/>
      <c r="Z2044" s="22" t="n"/>
      <c r="AA2044" s="22" t="n"/>
      <c r="AB2044" s="22" t="n"/>
      <c r="AC2044" s="22" t="n"/>
      <c r="AD2044" s="22" t="n"/>
      <c r="AE2044" s="22" t="n"/>
    </row>
    <row r="2045" ht="56" customHeight="1" s="380">
      <c r="A2045" s="126" t="n">
        <v>95</v>
      </c>
      <c r="B2045" s="390" t="n"/>
      <c r="C2045" s="390" t="inlineStr">
        <is>
          <t>Báo cáo theo Thông tư 121/2020/TT-BTC &gt;&gt; Báo báo tài chính &gt;&gt; Báo cáo kết quả hoạt động riêng</t>
        </is>
      </c>
      <c r="D2045" s="390" t="inlineStr">
        <is>
          <t>2.6. Chi phí hoạt động tự doanh</t>
        </is>
      </c>
      <c r="E2045" s="390" t="n">
        <v>26</v>
      </c>
      <c r="F2045" s="390" t="inlineStr">
        <is>
          <t>Data Explorer</t>
        </is>
      </c>
      <c r="G2045" s="390" t="inlineStr">
        <is>
          <t>Chỉ tiêu cơ sở</t>
        </is>
      </c>
      <c r="H2045" s="390" t="inlineStr">
        <is>
          <t>Dễ</t>
        </is>
      </c>
      <c r="I2045" s="390" t="inlineStr">
        <is>
          <t>Ngày, CTCK</t>
        </is>
      </c>
      <c r="J2045" s="401" t="inlineStr">
        <is>
          <t>SCMS</t>
        </is>
      </c>
      <c r="K2045" s="401" t="n"/>
      <c r="L2045" s="401" t="inlineStr">
        <is>
          <t>X</t>
        </is>
      </c>
      <c r="M2045" s="401" t="n"/>
      <c r="N2045" s="401" t="inlineStr">
        <is>
          <t>Done</t>
        </is>
      </c>
      <c r="O2045" s="401" t="n"/>
      <c r="P2045" s="22" t="n"/>
      <c r="S2045" s="22" t="n"/>
      <c r="U2045" s="16" t="n"/>
      <c r="V2045" s="22" t="n"/>
      <c r="W2045" s="22" t="n"/>
      <c r="X2045" s="22" t="n"/>
      <c r="Y2045" s="13" t="n"/>
      <c r="Z2045" s="22" t="n"/>
      <c r="AA2045" s="22" t="n"/>
      <c r="AB2045" s="22" t="n"/>
      <c r="AC2045" s="22" t="n"/>
      <c r="AD2045" s="22" t="n"/>
      <c r="AE2045" s="22" t="n"/>
    </row>
    <row r="2046" ht="56" customHeight="1" s="380">
      <c r="A2046" s="126" t="n">
        <v>95</v>
      </c>
      <c r="B2046" s="390" t="n"/>
      <c r="C2046" s="390" t="inlineStr">
        <is>
          <t>Báo cáo theo Thông tư 121/2020/TT-BTC &gt;&gt; Báo báo tài chính &gt;&gt; Báo cáo kết quả hoạt động riêng</t>
        </is>
      </c>
      <c r="D2046" s="390" t="inlineStr">
        <is>
          <t>2.7. Chi phí nghiệp vụ môi giới chứng khoán</t>
        </is>
      </c>
      <c r="E2046" s="390" t="n">
        <v>27</v>
      </c>
      <c r="F2046" s="390" t="inlineStr">
        <is>
          <t>Data Explorer</t>
        </is>
      </c>
      <c r="G2046" s="390" t="inlineStr">
        <is>
          <t>Chỉ tiêu cơ sở</t>
        </is>
      </c>
      <c r="H2046" s="390" t="inlineStr">
        <is>
          <t>Dễ</t>
        </is>
      </c>
      <c r="I2046" s="390" t="inlineStr">
        <is>
          <t>Ngày, CTCK</t>
        </is>
      </c>
      <c r="J2046" s="401" t="inlineStr">
        <is>
          <t>SCMS</t>
        </is>
      </c>
      <c r="K2046" s="401" t="n"/>
      <c r="L2046" s="401" t="inlineStr">
        <is>
          <t>X</t>
        </is>
      </c>
      <c r="M2046" s="401" t="n"/>
      <c r="N2046" s="401" t="inlineStr">
        <is>
          <t>Done</t>
        </is>
      </c>
      <c r="O2046" s="401" t="n"/>
      <c r="P2046" s="22" t="n"/>
      <c r="S2046" s="22" t="n"/>
      <c r="U2046" s="16" t="n"/>
      <c r="V2046" s="22" t="n"/>
      <c r="W2046" s="22" t="n"/>
      <c r="X2046" s="22" t="n"/>
      <c r="Y2046" s="13" t="n"/>
      <c r="Z2046" s="22" t="n"/>
      <c r="AA2046" s="22" t="n"/>
      <c r="AB2046" s="22" t="n"/>
      <c r="AC2046" s="22" t="n"/>
      <c r="AD2046" s="22" t="n"/>
      <c r="AE2046" s="22" t="n"/>
    </row>
    <row r="2047" ht="56" customHeight="1" s="380">
      <c r="A2047" s="126" t="n">
        <v>95</v>
      </c>
      <c r="B2047" s="390" t="n"/>
      <c r="C2047" s="390" t="inlineStr">
        <is>
          <t>Báo cáo theo Thông tư 121/2020/TT-BTC &gt;&gt; Báo báo tài chính &gt;&gt; Báo cáo kết quả hoạt động riêng</t>
        </is>
      </c>
      <c r="D2047" s="390" t="inlineStr">
        <is>
          <t>2.8. Chi phí nghiệp vụ bảo lãnh, đại lý phát hành chứng khoán</t>
        </is>
      </c>
      <c r="E2047" s="390" t="n">
        <v>28</v>
      </c>
      <c r="F2047" s="390" t="inlineStr">
        <is>
          <t>Data Explorer</t>
        </is>
      </c>
      <c r="G2047" s="390" t="inlineStr">
        <is>
          <t>Chỉ tiêu cơ sở</t>
        </is>
      </c>
      <c r="H2047" s="390" t="inlineStr">
        <is>
          <t>Dễ</t>
        </is>
      </c>
      <c r="I2047" s="390" t="inlineStr">
        <is>
          <t>Ngày, CTCK</t>
        </is>
      </c>
      <c r="J2047" s="401" t="inlineStr">
        <is>
          <t>SCMS</t>
        </is>
      </c>
      <c r="K2047" s="401" t="n"/>
      <c r="L2047" s="401" t="inlineStr">
        <is>
          <t>X</t>
        </is>
      </c>
      <c r="M2047" s="401" t="n"/>
      <c r="N2047" s="401" t="inlineStr">
        <is>
          <t>Done</t>
        </is>
      </c>
      <c r="O2047" s="401" t="n"/>
      <c r="P2047" s="22" t="n"/>
      <c r="S2047" s="22" t="n"/>
      <c r="U2047" s="16" t="n"/>
      <c r="V2047" s="22" t="n"/>
      <c r="W2047" s="22" t="n"/>
      <c r="X2047" s="22" t="n"/>
      <c r="Y2047" s="13" t="n"/>
      <c r="Z2047" s="22" t="n"/>
      <c r="AA2047" s="22" t="n"/>
      <c r="AB2047" s="22" t="n"/>
      <c r="AC2047" s="22" t="n"/>
      <c r="AD2047" s="22" t="n"/>
      <c r="AE2047" s="22" t="n"/>
    </row>
    <row r="2048" ht="56" customHeight="1" s="380">
      <c r="A2048" s="126" t="n">
        <v>95</v>
      </c>
      <c r="B2048" s="390" t="n"/>
      <c r="C2048" s="390" t="inlineStr">
        <is>
          <t>Báo cáo theo Thông tư 121/2020/TT-BTC &gt;&gt; Báo báo tài chính &gt;&gt; Báo cáo kết quả hoạt động riêng</t>
        </is>
      </c>
      <c r="D2048" s="390" t="inlineStr">
        <is>
          <t>2.9. Chi phí nghiệp vụ tư vấn đầu tư chứng khoán</t>
        </is>
      </c>
      <c r="E2048" s="390" t="n">
        <v>29</v>
      </c>
      <c r="F2048" s="390" t="inlineStr">
        <is>
          <t>Data Explorer</t>
        </is>
      </c>
      <c r="G2048" s="390" t="inlineStr">
        <is>
          <t>Chỉ tiêu cơ sở</t>
        </is>
      </c>
      <c r="H2048" s="390" t="inlineStr">
        <is>
          <t>Dễ</t>
        </is>
      </c>
      <c r="I2048" s="390" t="inlineStr">
        <is>
          <t>Ngày, CTCK</t>
        </is>
      </c>
      <c r="J2048" s="401" t="inlineStr">
        <is>
          <t>SCMS</t>
        </is>
      </c>
      <c r="K2048" s="401" t="n"/>
      <c r="L2048" s="401" t="inlineStr">
        <is>
          <t>X</t>
        </is>
      </c>
      <c r="M2048" s="401" t="n"/>
      <c r="N2048" s="401" t="inlineStr">
        <is>
          <t>Done</t>
        </is>
      </c>
      <c r="O2048" s="401" t="n"/>
      <c r="P2048" s="22" t="n"/>
      <c r="S2048" s="22" t="n"/>
      <c r="U2048" s="16" t="n"/>
      <c r="V2048" s="22" t="n"/>
      <c r="W2048" s="22" t="n"/>
      <c r="X2048" s="22" t="n"/>
      <c r="Y2048" s="13" t="n"/>
      <c r="Z2048" s="22" t="n"/>
      <c r="AA2048" s="22" t="n"/>
      <c r="AB2048" s="22" t="n"/>
      <c r="AC2048" s="22" t="n"/>
      <c r="AD2048" s="22" t="n"/>
      <c r="AE2048" s="22" t="n"/>
    </row>
    <row r="2049" ht="56" customHeight="1" s="380">
      <c r="A2049" s="126" t="n">
        <v>95</v>
      </c>
      <c r="B2049" s="390" t="n"/>
      <c r="C2049" s="390" t="inlineStr">
        <is>
          <t>Báo cáo theo Thông tư 121/2020/TT-BTC &gt;&gt; Báo báo tài chính &gt;&gt; Báo cáo kết quả hoạt động riêng</t>
        </is>
      </c>
      <c r="D2049" s="390" t="inlineStr">
        <is>
          <t>2.10. Chi phí nghiệp vụ lưu ký chứng khoán</t>
        </is>
      </c>
      <c r="E2049" s="390" t="n">
        <v>30</v>
      </c>
      <c r="F2049" s="390" t="inlineStr">
        <is>
          <t>Data Explorer</t>
        </is>
      </c>
      <c r="G2049" s="390" t="inlineStr">
        <is>
          <t>Chỉ tiêu cơ sở</t>
        </is>
      </c>
      <c r="H2049" s="390" t="inlineStr">
        <is>
          <t>Dễ</t>
        </is>
      </c>
      <c r="I2049" s="390" t="inlineStr">
        <is>
          <t>Ngày, CTCK</t>
        </is>
      </c>
      <c r="J2049" s="401" t="inlineStr">
        <is>
          <t>SCMS</t>
        </is>
      </c>
      <c r="K2049" s="401" t="n"/>
      <c r="L2049" s="401" t="inlineStr">
        <is>
          <t>X</t>
        </is>
      </c>
      <c r="M2049" s="401" t="n"/>
      <c r="N2049" s="401" t="inlineStr">
        <is>
          <t>Done</t>
        </is>
      </c>
      <c r="O2049" s="401" t="n"/>
      <c r="P2049" s="22" t="n"/>
      <c r="S2049" s="22" t="n"/>
      <c r="U2049" s="16" t="n"/>
      <c r="V2049" s="22" t="n"/>
      <c r="W2049" s="22" t="n"/>
      <c r="X2049" s="22" t="n"/>
      <c r="Y2049" s="38" t="n"/>
      <c r="Z2049" s="22" t="n"/>
      <c r="AA2049" s="22" t="n"/>
      <c r="AB2049" s="22" t="n"/>
      <c r="AC2049" s="22" t="n"/>
      <c r="AD2049" s="22" t="n"/>
      <c r="AE2049" s="22" t="n"/>
    </row>
    <row r="2050" ht="56" customHeight="1" s="380">
      <c r="A2050" s="126" t="n">
        <v>95</v>
      </c>
      <c r="B2050" s="390" t="n"/>
      <c r="C2050" s="390" t="inlineStr">
        <is>
          <t>Báo cáo theo Thông tư 121/2020/TT-BTC &gt;&gt; Báo báo tài chính &gt;&gt; Báo cáo kết quả hoạt động riêng</t>
        </is>
      </c>
      <c r="D2050" s="390" t="inlineStr">
        <is>
          <t>2.11. Chi phí hoạt động tư vấn tài chính</t>
        </is>
      </c>
      <c r="E2050" s="390" t="n">
        <v>31</v>
      </c>
      <c r="F2050" s="390" t="inlineStr">
        <is>
          <t>Data Explorer</t>
        </is>
      </c>
      <c r="G2050" s="390" t="inlineStr">
        <is>
          <t>Chỉ tiêu cơ sở</t>
        </is>
      </c>
      <c r="H2050" s="390" t="inlineStr">
        <is>
          <t>Dễ</t>
        </is>
      </c>
      <c r="I2050" s="390" t="inlineStr">
        <is>
          <t>Ngày, CTCK</t>
        </is>
      </c>
      <c r="J2050" s="401" t="inlineStr">
        <is>
          <t>SCMS</t>
        </is>
      </c>
      <c r="K2050" s="401" t="n"/>
      <c r="L2050" s="401" t="inlineStr">
        <is>
          <t>X</t>
        </is>
      </c>
      <c r="M2050" s="401" t="n"/>
      <c r="N2050" s="401" t="inlineStr">
        <is>
          <t>Done</t>
        </is>
      </c>
      <c r="O2050" s="401" t="n"/>
      <c r="P2050" s="22" t="n"/>
      <c r="S2050" s="22" t="n"/>
      <c r="U2050" s="16" t="n"/>
      <c r="V2050" s="22" t="n"/>
      <c r="W2050" s="22" t="n"/>
      <c r="X2050" s="22" t="n"/>
      <c r="Y2050" s="13" t="n"/>
      <c r="Z2050" s="22" t="n"/>
      <c r="AA2050" s="22" t="n"/>
      <c r="AB2050" s="22" t="n"/>
      <c r="AC2050" s="22" t="n"/>
      <c r="AD2050" s="22" t="n"/>
      <c r="AE2050" s="22" t="n"/>
    </row>
    <row r="2051" ht="56" customHeight="1" s="380">
      <c r="A2051" s="126" t="n">
        <v>95</v>
      </c>
      <c r="B2051" s="390" t="n"/>
      <c r="C2051" s="390" t="inlineStr">
        <is>
          <t>Báo cáo theo Thông tư 121/2020/TT-BTC &gt;&gt; Báo báo tài chính &gt;&gt; Báo cáo kết quả hoạt động riêng</t>
        </is>
      </c>
      <c r="D2051" s="390" t="inlineStr">
        <is>
          <t>2.12. Chi phí các dịch vụ khác</t>
        </is>
      </c>
      <c r="E2051" s="390" t="n">
        <v>32</v>
      </c>
      <c r="F2051" s="390" t="inlineStr">
        <is>
          <t>Data Explorer</t>
        </is>
      </c>
      <c r="G2051" s="390" t="inlineStr">
        <is>
          <t>Chỉ tiêu cơ sở</t>
        </is>
      </c>
      <c r="H2051" s="390" t="inlineStr">
        <is>
          <t>Dễ</t>
        </is>
      </c>
      <c r="I2051" s="390" t="inlineStr">
        <is>
          <t>Ngày, CTCK</t>
        </is>
      </c>
      <c r="J2051" s="401" t="inlineStr">
        <is>
          <t>SCMS</t>
        </is>
      </c>
      <c r="K2051" s="401" t="n"/>
      <c r="L2051" s="401" t="inlineStr">
        <is>
          <t>X</t>
        </is>
      </c>
      <c r="M2051" s="401" t="n"/>
      <c r="N2051" s="401" t="inlineStr">
        <is>
          <t>Done</t>
        </is>
      </c>
      <c r="O2051" s="401" t="n"/>
      <c r="P2051" s="22" t="n"/>
      <c r="S2051" s="22" t="n"/>
      <c r="U2051" s="16" t="n"/>
      <c r="V2051" s="22" t="n"/>
      <c r="W2051" s="22" t="n"/>
      <c r="X2051" s="22" t="n"/>
      <c r="Y2051" s="13" t="n"/>
      <c r="Z2051" s="22" t="n"/>
      <c r="AA2051" s="22" t="n"/>
      <c r="AB2051" s="22" t="n"/>
      <c r="AC2051" s="22" t="n"/>
      <c r="AD2051" s="22" t="n"/>
      <c r="AE2051" s="22" t="n"/>
    </row>
    <row r="2052" ht="56" customHeight="1" s="380">
      <c r="A2052" s="126" t="n">
        <v>95</v>
      </c>
      <c r="B2052" s="390" t="n"/>
      <c r="C2052" s="390" t="inlineStr">
        <is>
          <t>Báo cáo theo Thông tư 121/2020/TT-BTC &gt;&gt; Báo báo tài chính &gt;&gt; Báo cáo kết quả hoạt động riêng</t>
        </is>
      </c>
      <c r="D2052" s="132" t="inlineStr">
        <is>
          <t>Cộng chi phí hoạt động (40 = 21 đến 32)</t>
        </is>
      </c>
      <c r="E2052" s="132" t="n">
        <v>40</v>
      </c>
      <c r="F2052" s="390" t="inlineStr">
        <is>
          <t>Data Explorer</t>
        </is>
      </c>
      <c r="G2052" s="390" t="inlineStr">
        <is>
          <t>Chỉ tiêu cơ sở</t>
        </is>
      </c>
      <c r="H2052" s="390" t="inlineStr">
        <is>
          <t>Dễ</t>
        </is>
      </c>
      <c r="I2052" s="390" t="inlineStr">
        <is>
          <t>Ngày, CTCK</t>
        </is>
      </c>
      <c r="J2052" s="401" t="inlineStr">
        <is>
          <t>SCMS</t>
        </is>
      </c>
      <c r="K2052" s="401" t="n"/>
      <c r="L2052" s="401" t="inlineStr">
        <is>
          <t>X</t>
        </is>
      </c>
      <c r="M2052" s="401" t="n"/>
      <c r="N2052" s="401" t="inlineStr">
        <is>
          <t>Done</t>
        </is>
      </c>
      <c r="O2052" s="401" t="n"/>
      <c r="P2052" s="22" t="n"/>
      <c r="S2052" s="22" t="n"/>
      <c r="U2052" s="16" t="n"/>
      <c r="V2052" s="22" t="n"/>
      <c r="W2052" s="22" t="n"/>
      <c r="X2052" s="22" t="n"/>
      <c r="Y2052" s="13" t="n"/>
      <c r="Z2052" s="22" t="n"/>
      <c r="AA2052" s="22" t="n"/>
      <c r="AB2052" s="22" t="n"/>
      <c r="AC2052" s="22" t="n"/>
      <c r="AD2052" s="22" t="n"/>
      <c r="AE2052" s="22" t="n"/>
    </row>
    <row r="2053" ht="56" customHeight="1" s="380">
      <c r="A2053" s="126" t="n">
        <v>95</v>
      </c>
      <c r="B2053" s="390" t="n"/>
      <c r="C2053" s="390" t="inlineStr">
        <is>
          <t>Báo cáo theo Thông tư 121/2020/TT-BTC &gt;&gt; Báo báo tài chính &gt;&gt; Báo cáo kết quả hoạt động riêng</t>
        </is>
      </c>
      <c r="D2053" s="132" t="inlineStr">
        <is>
          <t>III. DOANH THU HOẠT ĐỘNG TÀI CHÍNH</t>
        </is>
      </c>
      <c r="E2053" s="401" t="n"/>
      <c r="F2053" s="390" t="inlineStr">
        <is>
          <t>Data Explorer</t>
        </is>
      </c>
      <c r="G2053" s="390" t="inlineStr">
        <is>
          <t>Chỉ tiêu cơ sở</t>
        </is>
      </c>
      <c r="H2053" s="390" t="inlineStr">
        <is>
          <t>Dễ</t>
        </is>
      </c>
      <c r="I2053" s="390" t="inlineStr">
        <is>
          <t>Ngày, CTCK</t>
        </is>
      </c>
      <c r="J2053" s="401" t="inlineStr">
        <is>
          <t>SCMS</t>
        </is>
      </c>
      <c r="K2053" s="401" t="n"/>
      <c r="L2053" s="401" t="inlineStr">
        <is>
          <t>X</t>
        </is>
      </c>
      <c r="M2053" s="401" t="n"/>
      <c r="N2053" s="401" t="inlineStr">
        <is>
          <t>Done</t>
        </is>
      </c>
      <c r="O2053" s="401" t="n"/>
      <c r="P2053" s="22" t="n"/>
      <c r="S2053" s="22" t="n"/>
      <c r="U2053" s="16" t="n"/>
      <c r="V2053" s="22" t="n"/>
      <c r="W2053" s="22" t="n"/>
      <c r="X2053" s="22" t="n"/>
      <c r="Y2053" s="13" t="n"/>
      <c r="Z2053" s="22" t="n"/>
      <c r="AA2053" s="22" t="n"/>
      <c r="AB2053" s="22" t="n"/>
      <c r="AC2053" s="22" t="n"/>
      <c r="AD2053" s="22" t="n"/>
      <c r="AE2053" s="22" t="n"/>
    </row>
    <row r="2054" ht="56" customHeight="1" s="380">
      <c r="A2054" s="126" t="n">
        <v>95</v>
      </c>
      <c r="B2054" s="390" t="n"/>
      <c r="C2054" s="390" t="inlineStr">
        <is>
          <t>Báo cáo theo Thông tư 121/2020/TT-BTC &gt;&gt; Báo báo tài chính &gt;&gt; Báo cáo kết quả hoạt động riêng</t>
        </is>
      </c>
      <c r="D2054" s="390" t="inlineStr">
        <is>
          <t>3.1. Chênh lệch lãi tỷ giá hối đoái đã và chưa thực hiện</t>
        </is>
      </c>
      <c r="E2054" s="390" t="n">
        <v>41</v>
      </c>
      <c r="F2054" s="390" t="inlineStr">
        <is>
          <t>Data Explorer</t>
        </is>
      </c>
      <c r="G2054" s="390" t="inlineStr">
        <is>
          <t>Chỉ tiêu cơ sở</t>
        </is>
      </c>
      <c r="H2054" s="390" t="inlineStr">
        <is>
          <t>Dễ</t>
        </is>
      </c>
      <c r="I2054" s="390" t="inlineStr">
        <is>
          <t>Ngày, CTCK</t>
        </is>
      </c>
      <c r="J2054" s="401" t="inlineStr">
        <is>
          <t>SCMS</t>
        </is>
      </c>
      <c r="K2054" s="401" t="n"/>
      <c r="L2054" s="401" t="inlineStr">
        <is>
          <t>X</t>
        </is>
      </c>
      <c r="M2054" s="401" t="n"/>
      <c r="N2054" s="401" t="inlineStr">
        <is>
          <t>Done</t>
        </is>
      </c>
      <c r="O2054" s="401" t="n"/>
      <c r="P2054" s="22" t="n"/>
      <c r="S2054" s="22" t="n"/>
      <c r="U2054" s="16" t="n"/>
      <c r="V2054" s="22" t="n"/>
      <c r="W2054" s="22" t="n"/>
      <c r="X2054" s="22" t="n"/>
      <c r="Y2054" s="13" t="n"/>
      <c r="Z2054" s="22" t="n"/>
      <c r="AA2054" s="22" t="n"/>
      <c r="AB2054" s="22" t="n"/>
      <c r="AC2054" s="22" t="n"/>
      <c r="AD2054" s="22" t="n"/>
      <c r="AE2054" s="22" t="n"/>
    </row>
    <row r="2055" ht="56" customHeight="1" s="380">
      <c r="A2055" s="126" t="n">
        <v>95</v>
      </c>
      <c r="B2055" s="390" t="n"/>
      <c r="C2055" s="390" t="inlineStr">
        <is>
          <t>Báo cáo theo Thông tư 121/2020/TT-BTC &gt;&gt; Báo báo tài chính &gt;&gt; Báo cáo kết quả hoạt động riêng</t>
        </is>
      </c>
      <c r="D2055" s="390" t="inlineStr">
        <is>
          <t xml:space="preserve">3.2. Doanh thu, dự thu cổ tức, lãi tiền gửi ngân hàng không cố định </t>
        </is>
      </c>
      <c r="E2055" s="390" t="n">
        <v>42</v>
      </c>
      <c r="F2055" s="390" t="inlineStr">
        <is>
          <t>Data Explorer</t>
        </is>
      </c>
      <c r="G2055" s="390" t="inlineStr">
        <is>
          <t>Chỉ tiêu cơ sở</t>
        </is>
      </c>
      <c r="H2055" s="390" t="inlineStr">
        <is>
          <t>Dễ</t>
        </is>
      </c>
      <c r="I2055" s="390" t="inlineStr">
        <is>
          <t>Ngày, CTCK</t>
        </is>
      </c>
      <c r="J2055" s="401" t="inlineStr">
        <is>
          <t>SCMS</t>
        </is>
      </c>
      <c r="K2055" s="401" t="n"/>
      <c r="L2055" s="401" t="inlineStr">
        <is>
          <t>X</t>
        </is>
      </c>
      <c r="M2055" s="401" t="n"/>
      <c r="N2055" s="401" t="inlineStr">
        <is>
          <t>Done</t>
        </is>
      </c>
      <c r="O2055" s="401" t="n"/>
      <c r="P2055" s="22" t="n"/>
      <c r="S2055" s="22" t="n"/>
      <c r="U2055" s="16" t="n"/>
      <c r="V2055" s="22" t="n"/>
      <c r="W2055" s="22" t="n"/>
      <c r="X2055" s="22" t="n"/>
      <c r="Y2055" s="14" t="n"/>
      <c r="Z2055" s="22" t="n"/>
      <c r="AA2055" s="22" t="n"/>
      <c r="AB2055" s="22" t="n"/>
      <c r="AC2055" s="22" t="n"/>
      <c r="AD2055" s="22" t="n"/>
      <c r="AE2055" s="22" t="n"/>
    </row>
    <row r="2056" ht="56" customHeight="1" s="380">
      <c r="A2056" s="126" t="n">
        <v>95</v>
      </c>
      <c r="B2056" s="390" t="n"/>
      <c r="C2056" s="390" t="inlineStr">
        <is>
          <t>Báo cáo theo Thông tư 121/2020/TT-BTC &gt;&gt; Báo báo tài chính &gt;&gt; Báo cáo kết quả hoạt động riêng</t>
        </is>
      </c>
      <c r="D2056" s="390" t="inlineStr">
        <is>
          <t>3.3. Lãi bán, thanh lý các khoản đầu tư vào công ty con, liên kết, liên doanh</t>
        </is>
      </c>
      <c r="E2056" s="390" t="n">
        <v>43</v>
      </c>
      <c r="F2056" s="390" t="inlineStr">
        <is>
          <t>Data Explorer</t>
        </is>
      </c>
      <c r="G2056" s="390" t="inlineStr">
        <is>
          <t>Chỉ tiêu cơ sở</t>
        </is>
      </c>
      <c r="H2056" s="390" t="inlineStr">
        <is>
          <t>Dễ</t>
        </is>
      </c>
      <c r="I2056" s="390" t="inlineStr">
        <is>
          <t>Ngày, CTCK</t>
        </is>
      </c>
      <c r="J2056" s="401" t="inlineStr">
        <is>
          <t>SCMS</t>
        </is>
      </c>
      <c r="K2056" s="401" t="n"/>
      <c r="L2056" s="401" t="inlineStr">
        <is>
          <t>X</t>
        </is>
      </c>
      <c r="M2056" s="401" t="n"/>
      <c r="N2056" s="401" t="inlineStr">
        <is>
          <t>Done</t>
        </is>
      </c>
      <c r="O2056" s="401" t="n"/>
      <c r="P2056" s="22" t="n"/>
      <c r="S2056" s="22" t="n"/>
      <c r="U2056" s="16" t="n"/>
      <c r="V2056" s="22" t="n"/>
      <c r="W2056" s="22" t="n"/>
      <c r="X2056" s="22" t="n"/>
      <c r="Y2056" s="13" t="n"/>
      <c r="Z2056" s="22" t="n"/>
      <c r="AA2056" s="22" t="n"/>
      <c r="AB2056" s="22" t="n"/>
      <c r="AC2056" s="22" t="n"/>
      <c r="AD2056" s="22" t="n"/>
      <c r="AE2056" s="22" t="n"/>
    </row>
    <row r="2057" ht="56" customHeight="1" s="380">
      <c r="A2057" s="126" t="n">
        <v>95</v>
      </c>
      <c r="B2057" s="390" t="n"/>
      <c r="C2057" s="390" t="inlineStr">
        <is>
          <t>Báo cáo theo Thông tư 121/2020/TT-BTC &gt;&gt; Báo báo tài chính &gt;&gt; Báo cáo kết quả hoạt động riêng</t>
        </is>
      </c>
      <c r="D2057" s="390" t="inlineStr">
        <is>
          <t>3.4. Doanh thu khác về đầu tư</t>
        </is>
      </c>
      <c r="E2057" s="390" t="n">
        <v>44</v>
      </c>
      <c r="F2057" s="390" t="inlineStr">
        <is>
          <t>Data Explorer</t>
        </is>
      </c>
      <c r="G2057" s="390" t="inlineStr">
        <is>
          <t>Chỉ tiêu cơ sở</t>
        </is>
      </c>
      <c r="H2057" s="390" t="inlineStr">
        <is>
          <t>Dễ</t>
        </is>
      </c>
      <c r="I2057" s="390" t="inlineStr">
        <is>
          <t>Ngày, CTCK</t>
        </is>
      </c>
      <c r="J2057" s="401" t="inlineStr">
        <is>
          <t>SCMS</t>
        </is>
      </c>
      <c r="K2057" s="401" t="n"/>
      <c r="L2057" s="401" t="inlineStr">
        <is>
          <t>X</t>
        </is>
      </c>
      <c r="M2057" s="401" t="n"/>
      <c r="N2057" s="401" t="inlineStr">
        <is>
          <t>Done</t>
        </is>
      </c>
      <c r="O2057" s="401" t="n"/>
      <c r="P2057" s="22" t="n"/>
      <c r="S2057" s="22" t="n"/>
      <c r="U2057" s="16" t="n"/>
      <c r="V2057" s="22" t="n"/>
      <c r="W2057" s="22" t="n"/>
      <c r="X2057" s="22" t="n"/>
      <c r="Y2057" s="13" t="n"/>
      <c r="Z2057" s="22" t="n"/>
      <c r="AA2057" s="22" t="n"/>
      <c r="AB2057" s="22" t="n"/>
      <c r="AC2057" s="22" t="n"/>
      <c r="AD2057" s="22" t="n"/>
      <c r="AE2057" s="22" t="n"/>
    </row>
    <row r="2058" ht="56" customHeight="1" s="380">
      <c r="A2058" s="126" t="n">
        <v>95</v>
      </c>
      <c r="B2058" s="390" t="n"/>
      <c r="C2058" s="390" t="inlineStr">
        <is>
          <t>Báo cáo theo Thông tư 121/2020/TT-BTC &gt;&gt; Báo báo tài chính &gt;&gt; Báo cáo kết quả hoạt động riêng</t>
        </is>
      </c>
      <c r="D2058" s="132" t="inlineStr">
        <is>
          <t>Cộng doanh thu hoạt động tài chính (50 = 41 đến 44)</t>
        </is>
      </c>
      <c r="E2058" s="132" t="n">
        <v>50</v>
      </c>
      <c r="F2058" s="390" t="inlineStr">
        <is>
          <t>Data Explorer</t>
        </is>
      </c>
      <c r="G2058" s="390" t="inlineStr">
        <is>
          <t>Chỉ tiêu cơ sở</t>
        </is>
      </c>
      <c r="H2058" s="390" t="inlineStr">
        <is>
          <t>Dễ</t>
        </is>
      </c>
      <c r="I2058" s="390" t="inlineStr">
        <is>
          <t>Ngày, CTCK</t>
        </is>
      </c>
      <c r="J2058" s="401" t="inlineStr">
        <is>
          <t>SCMS</t>
        </is>
      </c>
      <c r="K2058" s="401" t="n"/>
      <c r="L2058" s="401" t="inlineStr">
        <is>
          <t>X</t>
        </is>
      </c>
      <c r="M2058" s="401" t="n"/>
      <c r="N2058" s="401" t="inlineStr">
        <is>
          <t>Done</t>
        </is>
      </c>
      <c r="O2058" s="401" t="n"/>
      <c r="P2058" s="22" t="n"/>
      <c r="S2058" s="22" t="n"/>
      <c r="U2058" s="16" t="n"/>
      <c r="V2058" s="22" t="n"/>
      <c r="W2058" s="22" t="n"/>
      <c r="X2058" s="22" t="n"/>
      <c r="Y2058" s="13" t="n"/>
      <c r="Z2058" s="22" t="n"/>
      <c r="AA2058" s="22" t="n"/>
      <c r="AB2058" s="22" t="n"/>
      <c r="AC2058" s="22" t="n"/>
      <c r="AD2058" s="22" t="n"/>
      <c r="AE2058" s="22" t="n"/>
    </row>
    <row r="2059" ht="56" customHeight="1" s="380">
      <c r="A2059" s="126" t="n">
        <v>95</v>
      </c>
      <c r="B2059" s="390" t="n"/>
      <c r="C2059" s="390" t="inlineStr">
        <is>
          <t>Báo cáo theo Thông tư 121/2020/TT-BTC &gt;&gt; Báo báo tài chính &gt;&gt; Báo cáo kết quả hoạt động riêng</t>
        </is>
      </c>
      <c r="D2059" s="132" t="inlineStr">
        <is>
          <t xml:space="preserve">IV. CHI PHÍ TÀI CHÍNH </t>
        </is>
      </c>
      <c r="E2059" s="401" t="n"/>
      <c r="F2059" s="390" t="inlineStr">
        <is>
          <t>Data Explorer</t>
        </is>
      </c>
      <c r="G2059" s="390" t="inlineStr">
        <is>
          <t>Chỉ tiêu cơ sở</t>
        </is>
      </c>
      <c r="H2059" s="390" t="inlineStr">
        <is>
          <t>Dễ</t>
        </is>
      </c>
      <c r="I2059" s="390" t="inlineStr">
        <is>
          <t>Ngày, CTCK</t>
        </is>
      </c>
      <c r="J2059" s="401" t="inlineStr">
        <is>
          <t>SCMS</t>
        </is>
      </c>
      <c r="K2059" s="401" t="n"/>
      <c r="L2059" s="401" t="inlineStr">
        <is>
          <t>X</t>
        </is>
      </c>
      <c r="M2059" s="401" t="n"/>
      <c r="N2059" s="401" t="inlineStr">
        <is>
          <t>Done</t>
        </is>
      </c>
      <c r="O2059" s="401" t="n"/>
      <c r="P2059" s="22" t="n"/>
      <c r="S2059" s="22" t="n"/>
      <c r="U2059" s="16" t="n"/>
      <c r="V2059" s="22" t="n"/>
      <c r="W2059" s="22" t="n"/>
      <c r="X2059" s="22" t="n"/>
      <c r="Y2059" s="13" t="n"/>
      <c r="Z2059" s="22" t="n"/>
      <c r="AA2059" s="22" t="n"/>
      <c r="AB2059" s="22" t="n"/>
      <c r="AC2059" s="22" t="n"/>
      <c r="AD2059" s="22" t="n"/>
      <c r="AE2059" s="22" t="n"/>
    </row>
    <row r="2060" ht="56" customHeight="1" s="380">
      <c r="A2060" s="126" t="n">
        <v>95</v>
      </c>
      <c r="B2060" s="390" t="n"/>
      <c r="C2060" s="390" t="inlineStr">
        <is>
          <t>Báo cáo theo Thông tư 121/2020/TT-BTC &gt;&gt; Báo báo tài chính &gt;&gt; Báo cáo kết quả hoạt động riêng</t>
        </is>
      </c>
      <c r="D2060" s="390" t="inlineStr">
        <is>
          <t>4.1. Chênh lệch lỗ tỷ giá hối đoái đã và chưa thực hiện</t>
        </is>
      </c>
      <c r="E2060" s="390" t="n">
        <v>51</v>
      </c>
      <c r="F2060" s="390" t="inlineStr">
        <is>
          <t>Data Explorer</t>
        </is>
      </c>
      <c r="G2060" s="390" t="inlineStr">
        <is>
          <t>Chỉ tiêu cơ sở</t>
        </is>
      </c>
      <c r="H2060" s="390" t="inlineStr">
        <is>
          <t>Dễ</t>
        </is>
      </c>
      <c r="I2060" s="390" t="inlineStr">
        <is>
          <t>Ngày, CTCK</t>
        </is>
      </c>
      <c r="J2060" s="401" t="inlineStr">
        <is>
          <t>SCMS</t>
        </is>
      </c>
      <c r="K2060" s="401" t="n"/>
      <c r="L2060" s="401" t="inlineStr">
        <is>
          <t>X</t>
        </is>
      </c>
      <c r="M2060" s="401" t="n"/>
      <c r="N2060" s="401" t="inlineStr">
        <is>
          <t>Done</t>
        </is>
      </c>
      <c r="O2060" s="401" t="n"/>
      <c r="P2060" s="22" t="n"/>
      <c r="S2060" s="22" t="n"/>
      <c r="U2060" s="16" t="n"/>
      <c r="V2060" s="22" t="n"/>
      <c r="W2060" s="22" t="n"/>
      <c r="X2060" s="22" t="n"/>
      <c r="Y2060" s="13" t="n"/>
      <c r="Z2060" s="22" t="n"/>
      <c r="AA2060" s="22" t="n"/>
      <c r="AB2060" s="22" t="n"/>
      <c r="AC2060" s="22" t="n"/>
      <c r="AD2060" s="22" t="n"/>
      <c r="AE2060" s="22" t="n"/>
    </row>
    <row r="2061" ht="56" customHeight="1" s="380">
      <c r="A2061" s="126" t="n">
        <v>95</v>
      </c>
      <c r="B2061" s="390" t="n"/>
      <c r="C2061" s="390" t="inlineStr">
        <is>
          <t>Báo cáo theo Thông tư 121/2020/TT-BTC &gt;&gt; Báo báo tài chính &gt;&gt; Báo cáo kết quả hoạt động riêng</t>
        </is>
      </c>
      <c r="D2061" s="390" t="inlineStr">
        <is>
          <t>4.2. Chi phí lãi vay</t>
        </is>
      </c>
      <c r="E2061" s="390" t="n">
        <v>52</v>
      </c>
      <c r="F2061" s="390" t="inlineStr">
        <is>
          <t>Data Explorer</t>
        </is>
      </c>
      <c r="G2061" s="390" t="inlineStr">
        <is>
          <t>Chỉ tiêu cơ sở</t>
        </is>
      </c>
      <c r="H2061" s="390" t="inlineStr">
        <is>
          <t>Dễ</t>
        </is>
      </c>
      <c r="I2061" s="390" t="inlineStr">
        <is>
          <t>Ngày, CTCK</t>
        </is>
      </c>
      <c r="J2061" s="401" t="inlineStr">
        <is>
          <t>SCMS</t>
        </is>
      </c>
      <c r="K2061" s="401" t="n"/>
      <c r="L2061" s="401" t="inlineStr">
        <is>
          <t>X</t>
        </is>
      </c>
      <c r="M2061" s="401" t="n"/>
      <c r="N2061" s="401" t="inlineStr">
        <is>
          <t>Done</t>
        </is>
      </c>
      <c r="O2061" s="401" t="n"/>
      <c r="P2061" s="22" t="n"/>
      <c r="S2061" s="22" t="n"/>
      <c r="U2061" s="16" t="n"/>
      <c r="V2061" s="22" t="n"/>
      <c r="W2061" s="22" t="n"/>
      <c r="X2061" s="22" t="n"/>
      <c r="Y2061" s="14" t="n"/>
      <c r="Z2061" s="22" t="n"/>
      <c r="AA2061" s="22" t="n"/>
      <c r="AB2061" s="22" t="n"/>
      <c r="AC2061" s="22" t="n"/>
      <c r="AD2061" s="22" t="n"/>
      <c r="AE2061" s="22" t="n"/>
    </row>
    <row r="2062" ht="56" customHeight="1" s="380">
      <c r="A2062" s="126" t="n">
        <v>95</v>
      </c>
      <c r="B2062" s="390" t="n"/>
      <c r="C2062" s="390" t="inlineStr">
        <is>
          <t>Báo cáo theo Thông tư 121/2020/TT-BTC &gt;&gt; Báo báo tài chính &gt;&gt; Báo cáo kết quả hoạt động riêng</t>
        </is>
      </c>
      <c r="D2062" s="390" t="inlineStr">
        <is>
          <t>4.3. Lỗ bán, thanh lý các khoản đầu tư vào công ty con, liên kết, liên doanh</t>
        </is>
      </c>
      <c r="E2062" s="390" t="n">
        <v>60</v>
      </c>
      <c r="F2062" s="390" t="inlineStr">
        <is>
          <t>Data Explorer</t>
        </is>
      </c>
      <c r="G2062" s="390" t="inlineStr">
        <is>
          <t>Chỉ tiêu cơ sở</t>
        </is>
      </c>
      <c r="H2062" s="390" t="inlineStr">
        <is>
          <t>Dễ</t>
        </is>
      </c>
      <c r="I2062" s="390" t="inlineStr">
        <is>
          <t>Ngày, CTCK</t>
        </is>
      </c>
      <c r="J2062" s="401" t="inlineStr">
        <is>
          <t>SCMS</t>
        </is>
      </c>
      <c r="K2062" s="401" t="n"/>
      <c r="L2062" s="401" t="inlineStr">
        <is>
          <t>X</t>
        </is>
      </c>
      <c r="M2062" s="401" t="n"/>
      <c r="N2062" s="401" t="inlineStr">
        <is>
          <t>Done</t>
        </is>
      </c>
      <c r="O2062" s="401" t="n"/>
      <c r="P2062" s="22" t="n"/>
      <c r="S2062" s="22" t="n"/>
      <c r="U2062" s="16" t="n"/>
      <c r="V2062" s="22" t="n"/>
      <c r="W2062" s="22" t="n"/>
      <c r="X2062" s="22" t="n"/>
      <c r="Y2062" s="13" t="n"/>
      <c r="Z2062" s="22" t="n"/>
      <c r="AA2062" s="22" t="n"/>
      <c r="AB2062" s="22" t="n"/>
      <c r="AC2062" s="22" t="n"/>
      <c r="AD2062" s="22" t="n"/>
      <c r="AE2062" s="22" t="n"/>
    </row>
    <row r="2063" ht="56" customHeight="1" s="380">
      <c r="A2063" s="126" t="n">
        <v>95</v>
      </c>
      <c r="B2063" s="390" t="n"/>
      <c r="C2063" s="390" t="inlineStr">
        <is>
          <t>Báo cáo theo Thông tư 121/2020/TT-BTC &gt;&gt; Báo báo tài chính &gt;&gt; Báo cáo kết quả hoạt động riêng</t>
        </is>
      </c>
      <c r="D2063" s="390" t="inlineStr">
        <is>
          <t>4.4. Chi phí dự phòng suy giảm giá trị các khoản đầu tư tài chính dài hạn</t>
        </is>
      </c>
      <c r="E2063" s="390" t="n">
        <v>54</v>
      </c>
      <c r="F2063" s="390" t="inlineStr">
        <is>
          <t>Data Explorer</t>
        </is>
      </c>
      <c r="G2063" s="390" t="inlineStr">
        <is>
          <t>Chỉ tiêu cơ sở</t>
        </is>
      </c>
      <c r="H2063" s="390" t="inlineStr">
        <is>
          <t>Dễ</t>
        </is>
      </c>
      <c r="I2063" s="390" t="inlineStr">
        <is>
          <t>Ngày, CTCK</t>
        </is>
      </c>
      <c r="J2063" s="401" t="inlineStr">
        <is>
          <t>SCMS</t>
        </is>
      </c>
      <c r="K2063" s="401" t="n"/>
      <c r="L2063" s="401" t="inlineStr">
        <is>
          <t>X</t>
        </is>
      </c>
      <c r="M2063" s="401" t="n"/>
      <c r="N2063" s="401" t="inlineStr">
        <is>
          <t>Done</t>
        </is>
      </c>
      <c r="O2063" s="401" t="n"/>
      <c r="P2063" s="22" t="n"/>
      <c r="S2063" s="22" t="n"/>
      <c r="U2063" s="16" t="n"/>
      <c r="V2063" s="22" t="n"/>
      <c r="W2063" s="22" t="n"/>
      <c r="X2063" s="22" t="n"/>
      <c r="Y2063" s="13" t="n"/>
      <c r="Z2063" s="22" t="n"/>
      <c r="AA2063" s="22" t="n"/>
      <c r="AB2063" s="22" t="n"/>
      <c r="AC2063" s="22" t="n"/>
      <c r="AD2063" s="22" t="n"/>
      <c r="AE2063" s="22" t="n"/>
    </row>
    <row r="2064" ht="56" customHeight="1" s="380">
      <c r="A2064" s="126" t="n">
        <v>95</v>
      </c>
      <c r="B2064" s="390" t="n"/>
      <c r="C2064" s="390" t="inlineStr">
        <is>
          <t>Báo cáo theo Thông tư 121/2020/TT-BTC &gt;&gt; Báo báo tài chính &gt;&gt; Báo cáo kết quả hoạt động riêng</t>
        </is>
      </c>
      <c r="D2064" s="390" t="inlineStr">
        <is>
          <t>4.5. Chi phí tài chính khác</t>
        </is>
      </c>
      <c r="E2064" s="390" t="n">
        <v>55</v>
      </c>
      <c r="F2064" s="390" t="inlineStr">
        <is>
          <t>Data Explorer</t>
        </is>
      </c>
      <c r="G2064" s="390" t="inlineStr">
        <is>
          <t>Chỉ tiêu cơ sở</t>
        </is>
      </c>
      <c r="H2064" s="390" t="inlineStr">
        <is>
          <t>Dễ</t>
        </is>
      </c>
      <c r="I2064" s="390" t="inlineStr">
        <is>
          <t>Ngày, CTCK</t>
        </is>
      </c>
      <c r="J2064" s="401" t="inlineStr">
        <is>
          <t>SCMS</t>
        </is>
      </c>
      <c r="K2064" s="401" t="n"/>
      <c r="L2064" s="401" t="inlineStr">
        <is>
          <t>X</t>
        </is>
      </c>
      <c r="M2064" s="401" t="n"/>
      <c r="N2064" s="401" t="inlineStr">
        <is>
          <t>Done</t>
        </is>
      </c>
      <c r="O2064" s="401" t="n"/>
      <c r="P2064" s="22" t="n"/>
      <c r="S2064" s="22" t="n"/>
      <c r="U2064" s="16" t="n"/>
      <c r="V2064" s="22" t="n"/>
      <c r="W2064" s="22" t="n"/>
      <c r="X2064" s="22" t="n"/>
      <c r="Y2064" s="13" t="n"/>
      <c r="Z2064" s="22" t="n"/>
      <c r="AA2064" s="22" t="n"/>
      <c r="AB2064" s="22" t="n"/>
      <c r="AC2064" s="22" t="n"/>
      <c r="AD2064" s="22" t="n"/>
      <c r="AE2064" s="22" t="n"/>
    </row>
    <row r="2065" ht="56" customHeight="1" s="380">
      <c r="A2065" s="126" t="n">
        <v>95</v>
      </c>
      <c r="B2065" s="390" t="n"/>
      <c r="C2065" s="390" t="inlineStr">
        <is>
          <t>Báo cáo theo Thông tư 121/2020/TT-BTC &gt;&gt; Báo báo tài chính &gt;&gt; Báo cáo kết quả hoạt động riêng</t>
        </is>
      </c>
      <c r="D2065" s="132" t="inlineStr">
        <is>
          <t>Cộng chi phí tài chính (60 = 51 đến 55)</t>
        </is>
      </c>
      <c r="E2065" s="132" t="n">
        <v>60</v>
      </c>
      <c r="F2065" s="390" t="inlineStr">
        <is>
          <t>Data Explorer</t>
        </is>
      </c>
      <c r="G2065" s="390" t="inlineStr">
        <is>
          <t>Chỉ tiêu cơ sở</t>
        </is>
      </c>
      <c r="H2065" s="390" t="inlineStr">
        <is>
          <t>Dễ</t>
        </is>
      </c>
      <c r="I2065" s="390" t="inlineStr">
        <is>
          <t>Ngày, CTCK</t>
        </is>
      </c>
      <c r="J2065" s="401" t="inlineStr">
        <is>
          <t>SCMS</t>
        </is>
      </c>
      <c r="K2065" s="401" t="n"/>
      <c r="L2065" s="401" t="inlineStr">
        <is>
          <t>X</t>
        </is>
      </c>
      <c r="M2065" s="401" t="n"/>
      <c r="N2065" s="401" t="inlineStr">
        <is>
          <t>Done</t>
        </is>
      </c>
      <c r="O2065" s="401" t="n"/>
      <c r="P2065" s="22" t="n"/>
      <c r="S2065" s="22" t="n"/>
      <c r="U2065" s="16" t="n"/>
      <c r="V2065" s="22" t="n"/>
      <c r="W2065" s="22" t="n"/>
      <c r="X2065" s="22" t="n"/>
      <c r="Y2065" s="13" t="n"/>
      <c r="Z2065" s="22" t="n"/>
      <c r="AA2065" s="22" t="n"/>
      <c r="AB2065" s="22" t="n"/>
      <c r="AC2065" s="22" t="n"/>
      <c r="AD2065" s="22" t="n"/>
      <c r="AE2065" s="22" t="n"/>
    </row>
    <row r="2066" ht="56" customHeight="1" s="380">
      <c r="A2066" s="126" t="n">
        <v>95</v>
      </c>
      <c r="B2066" s="390" t="n"/>
      <c r="C2066" s="390" t="inlineStr">
        <is>
          <t>Báo cáo theo Thông tư 121/2020/TT-BTC &gt;&gt; Báo báo tài chính &gt;&gt; Báo cáo kết quả hoạt động riêng</t>
        </is>
      </c>
      <c r="D2066" s="132" t="inlineStr">
        <is>
          <t>V. CHI PHÍ BÁN HÀNG</t>
        </is>
      </c>
      <c r="E2066" s="132" t="n">
        <v>61</v>
      </c>
      <c r="F2066" s="390" t="inlineStr">
        <is>
          <t>Data Explorer</t>
        </is>
      </c>
      <c r="G2066" s="390" t="inlineStr">
        <is>
          <t>Chỉ tiêu cơ sở</t>
        </is>
      </c>
      <c r="H2066" s="390" t="inlineStr">
        <is>
          <t>Dễ</t>
        </is>
      </c>
      <c r="I2066" s="390" t="inlineStr">
        <is>
          <t>Ngày, CTCK</t>
        </is>
      </c>
      <c r="J2066" s="401" t="inlineStr">
        <is>
          <t>SCMS</t>
        </is>
      </c>
      <c r="K2066" s="401" t="n"/>
      <c r="L2066" s="401" t="inlineStr">
        <is>
          <t>X</t>
        </is>
      </c>
      <c r="M2066" s="401" t="n"/>
      <c r="N2066" s="401" t="inlineStr">
        <is>
          <t>Done</t>
        </is>
      </c>
      <c r="O2066" s="401" t="n"/>
      <c r="P2066" s="22" t="n"/>
      <c r="S2066" s="22" t="n"/>
      <c r="U2066" s="16" t="n"/>
      <c r="V2066" s="22" t="n"/>
      <c r="W2066" s="22" t="n"/>
      <c r="X2066" s="22" t="n"/>
      <c r="Y2066" s="13" t="n"/>
      <c r="Z2066" s="22" t="n"/>
      <c r="AA2066" s="22" t="n"/>
      <c r="AB2066" s="22" t="n"/>
      <c r="AC2066" s="22" t="n"/>
      <c r="AD2066" s="22" t="n"/>
      <c r="AE2066" s="22" t="n"/>
    </row>
    <row r="2067" ht="56" customHeight="1" s="380">
      <c r="A2067" s="126" t="n">
        <v>95</v>
      </c>
      <c r="B2067" s="390" t="n"/>
      <c r="C2067" s="390" t="inlineStr">
        <is>
          <t>Báo cáo theo Thông tư 121/2020/TT-BTC &gt;&gt; Báo báo tài chính &gt;&gt; Báo cáo kết quả hoạt động riêng</t>
        </is>
      </c>
      <c r="D2067" s="132" t="inlineStr">
        <is>
          <t>VI. CHI PHÍ QUẢN LÝ CÔNG TY CHỨNG KHOÁN</t>
        </is>
      </c>
      <c r="E2067" s="132" t="n">
        <v>62</v>
      </c>
      <c r="F2067" s="390" t="inlineStr">
        <is>
          <t>Data Explorer</t>
        </is>
      </c>
      <c r="G2067" s="390" t="inlineStr">
        <is>
          <t>Chỉ tiêu cơ sở</t>
        </is>
      </c>
      <c r="H2067" s="390" t="inlineStr">
        <is>
          <t>Dễ</t>
        </is>
      </c>
      <c r="I2067" s="390" t="inlineStr">
        <is>
          <t>Ngày, CTCK</t>
        </is>
      </c>
      <c r="J2067" s="401" t="inlineStr">
        <is>
          <t>SCMS</t>
        </is>
      </c>
      <c r="K2067" s="401" t="n"/>
      <c r="L2067" s="401" t="inlineStr">
        <is>
          <t>X</t>
        </is>
      </c>
      <c r="M2067" s="401" t="n"/>
      <c r="N2067" s="401" t="inlineStr">
        <is>
          <t>Done</t>
        </is>
      </c>
      <c r="O2067" s="401" t="n"/>
      <c r="P2067" s="22" t="n"/>
      <c r="S2067" s="22" t="n"/>
      <c r="U2067" s="16" t="n"/>
      <c r="V2067" s="22" t="n"/>
      <c r="W2067" s="22" t="n"/>
      <c r="X2067" s="22" t="n"/>
      <c r="Y2067" s="38" t="n"/>
      <c r="Z2067" s="22" t="n"/>
      <c r="AA2067" s="22" t="n"/>
      <c r="AB2067" s="22" t="n"/>
      <c r="AC2067" s="22" t="n"/>
      <c r="AD2067" s="22" t="n"/>
      <c r="AE2067" s="22" t="n"/>
    </row>
    <row r="2068" ht="56" customHeight="1" s="380">
      <c r="A2068" s="126" t="n">
        <v>95</v>
      </c>
      <c r="B2068" s="390" t="n"/>
      <c r="C2068" s="390" t="inlineStr">
        <is>
          <t>Báo cáo theo Thông tư 121/2020/TT-BTC &gt;&gt; Báo báo tài chính &gt;&gt; Báo cáo kết quả hoạt động riêng</t>
        </is>
      </c>
      <c r="D2068" s="132" t="inlineStr">
        <is>
          <t>VII. KẾT QUẢ HOẠT ĐỘNG (70= 20+50-40 -60-61-62)</t>
        </is>
      </c>
      <c r="E2068" s="132" t="n">
        <v>70</v>
      </c>
      <c r="F2068" s="390" t="inlineStr">
        <is>
          <t>Data Explorer</t>
        </is>
      </c>
      <c r="G2068" s="390" t="inlineStr">
        <is>
          <t>Chỉ tiêu cơ sở</t>
        </is>
      </c>
      <c r="H2068" s="390" t="inlineStr">
        <is>
          <t>Dễ</t>
        </is>
      </c>
      <c r="I2068" s="390" t="inlineStr">
        <is>
          <t>Ngày, CTCK</t>
        </is>
      </c>
      <c r="J2068" s="401" t="inlineStr">
        <is>
          <t>SCMS</t>
        </is>
      </c>
      <c r="K2068" s="401" t="n"/>
      <c r="L2068" s="401" t="inlineStr">
        <is>
          <t>X</t>
        </is>
      </c>
      <c r="M2068" s="401" t="n"/>
      <c r="N2068" s="401" t="inlineStr">
        <is>
          <t>Done</t>
        </is>
      </c>
      <c r="O2068" s="401" t="n"/>
      <c r="P2068" s="22" t="n"/>
      <c r="S2068" s="22" t="n"/>
      <c r="U2068" s="16" t="n"/>
      <c r="V2068" s="22" t="n"/>
      <c r="W2068" s="22" t="n"/>
      <c r="X2068" s="22" t="n"/>
      <c r="Y2068" s="13" t="n"/>
      <c r="Z2068" s="22" t="n"/>
      <c r="AA2068" s="22" t="n"/>
      <c r="AB2068" s="22" t="n"/>
      <c r="AC2068" s="22" t="n"/>
      <c r="AD2068" s="22" t="n"/>
      <c r="AE2068" s="22" t="n"/>
    </row>
    <row r="2069" ht="56" customHeight="1" s="380">
      <c r="A2069" s="126" t="n">
        <v>95</v>
      </c>
      <c r="B2069" s="390" t="n"/>
      <c r="C2069" s="390" t="inlineStr">
        <is>
          <t>Báo cáo theo Thông tư 121/2020/TT-BTC &gt;&gt; Báo báo tài chính &gt;&gt; Báo cáo kết quả hoạt động riêng</t>
        </is>
      </c>
      <c r="D2069" s="132" t="inlineStr">
        <is>
          <t xml:space="preserve">VIII. THU NHẬP KHÁC VÀ CHI PHÍ KHÁC </t>
        </is>
      </c>
      <c r="E2069" s="401" t="n"/>
      <c r="F2069" s="390" t="inlineStr">
        <is>
          <t>Data Explorer</t>
        </is>
      </c>
      <c r="G2069" s="390" t="inlineStr">
        <is>
          <t>Chỉ tiêu cơ sở</t>
        </is>
      </c>
      <c r="H2069" s="390" t="inlineStr">
        <is>
          <t>Dễ</t>
        </is>
      </c>
      <c r="I2069" s="390" t="inlineStr">
        <is>
          <t>Ngày, CTCK</t>
        </is>
      </c>
      <c r="J2069" s="401" t="inlineStr">
        <is>
          <t>SCMS</t>
        </is>
      </c>
      <c r="K2069" s="401" t="n"/>
      <c r="L2069" s="401" t="inlineStr">
        <is>
          <t>X</t>
        </is>
      </c>
      <c r="M2069" s="401" t="n"/>
      <c r="N2069" s="401" t="inlineStr">
        <is>
          <t>Done</t>
        </is>
      </c>
      <c r="O2069" s="401" t="n"/>
      <c r="P2069" s="22" t="n"/>
      <c r="S2069" s="22" t="n"/>
      <c r="U2069" s="16" t="n"/>
      <c r="V2069" s="22" t="n"/>
      <c r="W2069" s="22" t="n"/>
      <c r="X2069" s="22" t="n"/>
      <c r="Y2069" s="13" t="n"/>
      <c r="Z2069" s="22" t="n"/>
      <c r="AA2069" s="22" t="n"/>
      <c r="AB2069" s="22" t="n"/>
      <c r="AC2069" s="22" t="n"/>
      <c r="AD2069" s="22" t="n"/>
      <c r="AE2069" s="22" t="n"/>
    </row>
    <row r="2070" ht="56" customHeight="1" s="380">
      <c r="A2070" s="126" t="n">
        <v>95</v>
      </c>
      <c r="B2070" s="390" t="n"/>
      <c r="C2070" s="390" t="inlineStr">
        <is>
          <t>Báo cáo theo Thông tư 121/2020/TT-BTC &gt;&gt; Báo báo tài chính &gt;&gt; Báo cáo kết quả hoạt động riêng</t>
        </is>
      </c>
      <c r="D2070" s="390" t="inlineStr">
        <is>
          <t>8.1. Thu nhập khác</t>
        </is>
      </c>
      <c r="E2070" s="390" t="n">
        <v>71</v>
      </c>
      <c r="F2070" s="390" t="inlineStr">
        <is>
          <t>Data Explorer</t>
        </is>
      </c>
      <c r="G2070" s="390" t="inlineStr">
        <is>
          <t>Chỉ tiêu cơ sở</t>
        </is>
      </c>
      <c r="H2070" s="390" t="inlineStr">
        <is>
          <t>Dễ</t>
        </is>
      </c>
      <c r="I2070" s="390" t="inlineStr">
        <is>
          <t>Ngày, CTCK</t>
        </is>
      </c>
      <c r="J2070" s="401" t="inlineStr">
        <is>
          <t>SCMS</t>
        </is>
      </c>
      <c r="K2070" s="401" t="n"/>
      <c r="L2070" s="401" t="inlineStr">
        <is>
          <t>X</t>
        </is>
      </c>
      <c r="M2070" s="401" t="n"/>
      <c r="N2070" s="401" t="inlineStr">
        <is>
          <t>Done</t>
        </is>
      </c>
      <c r="O2070" s="401" t="n"/>
      <c r="P2070" s="22" t="n"/>
      <c r="S2070" s="22" t="n"/>
      <c r="U2070" s="16" t="n"/>
      <c r="V2070" s="22" t="n"/>
      <c r="W2070" s="22" t="n"/>
      <c r="X2070" s="22" t="n"/>
      <c r="Y2070" s="13" t="n"/>
      <c r="Z2070" s="22" t="n"/>
      <c r="AA2070" s="22" t="n"/>
      <c r="AB2070" s="22" t="n"/>
      <c r="AC2070" s="22" t="n"/>
      <c r="AD2070" s="22" t="n"/>
      <c r="AE2070" s="22" t="n"/>
    </row>
    <row r="2071" ht="56" customHeight="1" s="380">
      <c r="A2071" s="126" t="n">
        <v>95</v>
      </c>
      <c r="B2071" s="390" t="n"/>
      <c r="C2071" s="390" t="inlineStr">
        <is>
          <t>Báo cáo theo Thông tư 121/2020/TT-BTC &gt;&gt; Báo báo tài chính &gt;&gt; Báo cáo kết quả hoạt động riêng</t>
        </is>
      </c>
      <c r="D2071" s="390" t="inlineStr">
        <is>
          <t>8.2. Chi phí khác</t>
        </is>
      </c>
      <c r="E2071" s="390" t="n">
        <v>72</v>
      </c>
      <c r="F2071" s="390" t="inlineStr">
        <is>
          <t>Data Explorer</t>
        </is>
      </c>
      <c r="G2071" s="390" t="inlineStr">
        <is>
          <t>Chỉ tiêu cơ sở</t>
        </is>
      </c>
      <c r="H2071" s="390" t="inlineStr">
        <is>
          <t>Dễ</t>
        </is>
      </c>
      <c r="I2071" s="390" t="inlineStr">
        <is>
          <t>Ngày, CTCK</t>
        </is>
      </c>
      <c r="J2071" s="401" t="inlineStr">
        <is>
          <t>SCMS</t>
        </is>
      </c>
      <c r="K2071" s="401" t="n"/>
      <c r="L2071" s="401" t="inlineStr">
        <is>
          <t>X</t>
        </is>
      </c>
      <c r="M2071" s="401" t="n"/>
      <c r="N2071" s="401" t="inlineStr">
        <is>
          <t>Done</t>
        </is>
      </c>
      <c r="O2071" s="401" t="n"/>
      <c r="P2071" s="22" t="n"/>
      <c r="S2071" s="22" t="n"/>
      <c r="U2071" s="16" t="n"/>
      <c r="V2071" s="22" t="n"/>
      <c r="W2071" s="22" t="n"/>
      <c r="X2071" s="22" t="n"/>
      <c r="Y2071" s="13" t="n"/>
      <c r="Z2071" s="22" t="n"/>
      <c r="AA2071" s="22" t="n"/>
      <c r="AB2071" s="22" t="n"/>
      <c r="AC2071" s="22" t="n"/>
      <c r="AD2071" s="22" t="n"/>
      <c r="AE2071" s="22" t="n"/>
    </row>
    <row r="2072" ht="56" customHeight="1" s="380">
      <c r="A2072" s="126" t="n">
        <v>95</v>
      </c>
      <c r="B2072" s="390" t="n"/>
      <c r="C2072" s="390" t="inlineStr">
        <is>
          <t>Báo cáo theo Thông tư 121/2020/TT-BTC &gt;&gt; Báo báo tài chính &gt;&gt; Báo cáo kết quả hoạt động riêng</t>
        </is>
      </c>
      <c r="D2072" s="132" t="inlineStr">
        <is>
          <t>Cộng kết quả hoạt động khác (80= 71-72)</t>
        </is>
      </c>
      <c r="E2072" s="132" t="n">
        <v>80</v>
      </c>
      <c r="F2072" s="390" t="inlineStr">
        <is>
          <t>Data Explorer</t>
        </is>
      </c>
      <c r="G2072" s="390" t="inlineStr">
        <is>
          <t>Chỉ tiêu cơ sở</t>
        </is>
      </c>
      <c r="H2072" s="390" t="inlineStr">
        <is>
          <t>Dễ</t>
        </is>
      </c>
      <c r="I2072" s="390" t="inlineStr">
        <is>
          <t>Ngày, CTCK</t>
        </is>
      </c>
      <c r="J2072" s="401" t="inlineStr">
        <is>
          <t>SCMS</t>
        </is>
      </c>
      <c r="K2072" s="401" t="n"/>
      <c r="L2072" s="401" t="inlineStr">
        <is>
          <t>X</t>
        </is>
      </c>
      <c r="M2072" s="401" t="n"/>
      <c r="N2072" s="401" t="inlineStr">
        <is>
          <t>Done</t>
        </is>
      </c>
      <c r="O2072" s="401" t="n"/>
      <c r="P2072" s="22" t="n"/>
      <c r="S2072" s="22" t="n"/>
      <c r="U2072" s="16" t="n"/>
      <c r="V2072" s="22" t="n"/>
      <c r="W2072" s="22" t="n"/>
      <c r="X2072" s="22" t="n"/>
      <c r="Y2072" s="13" t="n"/>
      <c r="Z2072" s="22" t="n"/>
      <c r="AA2072" s="22" t="n"/>
      <c r="AB2072" s="22" t="n"/>
      <c r="AC2072" s="22" t="n"/>
      <c r="AD2072" s="22" t="n"/>
      <c r="AE2072" s="22" t="n"/>
    </row>
    <row r="2073" ht="56" customHeight="1" s="380">
      <c r="A2073" s="126" t="n">
        <v>95</v>
      </c>
      <c r="B2073" s="390" t="n"/>
      <c r="C2073" s="390" t="inlineStr">
        <is>
          <t>Báo cáo theo Thông tư 121/2020/TT-BTC &gt;&gt; Báo báo tài chính &gt;&gt; Báo cáo kết quả hoạt động riêng</t>
        </is>
      </c>
      <c r="D2073" s="132" t="inlineStr">
        <is>
          <t>IX. TỔNG LỢI NHUẬN KẾ TOÁN TRƯỚC THUẾ (90=70 + 80)</t>
        </is>
      </c>
      <c r="E2073" s="132" t="n">
        <v>90</v>
      </c>
      <c r="F2073" s="390" t="inlineStr">
        <is>
          <t>Data Explorer</t>
        </is>
      </c>
      <c r="G2073" s="390" t="inlineStr">
        <is>
          <t>Chỉ tiêu cơ sở</t>
        </is>
      </c>
      <c r="H2073" s="390" t="inlineStr">
        <is>
          <t>Dễ</t>
        </is>
      </c>
      <c r="I2073" s="390" t="inlineStr">
        <is>
          <t>Ngày, CTCK</t>
        </is>
      </c>
      <c r="J2073" s="401" t="inlineStr">
        <is>
          <t>SCMS</t>
        </is>
      </c>
      <c r="K2073" s="401" t="n"/>
      <c r="L2073" s="401" t="inlineStr">
        <is>
          <t>X</t>
        </is>
      </c>
      <c r="M2073" s="401" t="n"/>
      <c r="N2073" s="401" t="inlineStr">
        <is>
          <t>Done</t>
        </is>
      </c>
      <c r="O2073" s="401" t="n"/>
      <c r="P2073" s="22" t="n"/>
      <c r="S2073" s="22" t="n"/>
      <c r="U2073" s="16" t="n"/>
      <c r="V2073" s="22" t="n"/>
      <c r="W2073" s="22" t="n"/>
      <c r="X2073" s="22" t="n"/>
      <c r="Y2073" s="38" t="n"/>
      <c r="Z2073" s="22" t="n"/>
      <c r="AA2073" s="22" t="n"/>
      <c r="AB2073" s="22" t="n"/>
      <c r="AC2073" s="22" t="n"/>
      <c r="AD2073" s="22" t="n"/>
      <c r="AE2073" s="22" t="n"/>
    </row>
    <row r="2074" ht="56" customHeight="1" s="380">
      <c r="A2074" s="126" t="n">
        <v>95</v>
      </c>
      <c r="B2074" s="390" t="n"/>
      <c r="C2074" s="390" t="inlineStr">
        <is>
          <t>Báo cáo theo Thông tư 121/2020/TT-BTC &gt;&gt; Báo báo tài chính &gt;&gt; Báo cáo kết quả hoạt động riêng</t>
        </is>
      </c>
      <c r="D2074" s="390" t="inlineStr">
        <is>
          <t>9.1. Lợi nhuận đã thực hiện</t>
        </is>
      </c>
      <c r="E2074" s="390" t="n">
        <v>91</v>
      </c>
      <c r="F2074" s="390" t="inlineStr">
        <is>
          <t>Data Explorer</t>
        </is>
      </c>
      <c r="G2074" s="390" t="inlineStr">
        <is>
          <t>Chỉ tiêu cơ sở</t>
        </is>
      </c>
      <c r="H2074" s="390" t="inlineStr">
        <is>
          <t>Dễ</t>
        </is>
      </c>
      <c r="I2074" s="390" t="inlineStr">
        <is>
          <t>Ngày, CTCK</t>
        </is>
      </c>
      <c r="J2074" s="401" t="inlineStr">
        <is>
          <t>SCMS</t>
        </is>
      </c>
      <c r="K2074" s="401" t="n"/>
      <c r="L2074" s="401" t="inlineStr">
        <is>
          <t>X</t>
        </is>
      </c>
      <c r="M2074" s="401" t="n"/>
      <c r="N2074" s="401" t="inlineStr">
        <is>
          <t>Done</t>
        </is>
      </c>
      <c r="O2074" s="401" t="n"/>
      <c r="P2074" s="22" t="n"/>
      <c r="S2074" s="22" t="n"/>
      <c r="U2074" s="16" t="n"/>
      <c r="V2074" s="22" t="n"/>
      <c r="W2074" s="22" t="n"/>
      <c r="X2074" s="22" t="n"/>
      <c r="Y2074" s="13" t="n"/>
      <c r="Z2074" s="22" t="n"/>
      <c r="AA2074" s="22" t="n"/>
      <c r="AB2074" s="22" t="n"/>
      <c r="AC2074" s="22" t="n"/>
      <c r="AD2074" s="22" t="n"/>
      <c r="AE2074" s="22" t="n"/>
    </row>
    <row r="2075" ht="56" customHeight="1" s="380">
      <c r="A2075" s="126" t="n">
        <v>95</v>
      </c>
      <c r="B2075" s="390" t="n"/>
      <c r="C2075" s="390" t="inlineStr">
        <is>
          <t>Báo cáo theo Thông tư 121/2020/TT-BTC &gt;&gt; Báo báo tài chính &gt;&gt; Báo cáo kết quả hoạt động riêng</t>
        </is>
      </c>
      <c r="D2075" s="390" t="inlineStr">
        <is>
          <t>9.2. Lợi nhuận chưa thực hiện</t>
        </is>
      </c>
      <c r="E2075" s="390" t="n">
        <v>92</v>
      </c>
      <c r="F2075" s="390" t="inlineStr">
        <is>
          <t>Data Explorer</t>
        </is>
      </c>
      <c r="G2075" s="390" t="inlineStr">
        <is>
          <t>Chỉ tiêu cơ sở</t>
        </is>
      </c>
      <c r="H2075" s="390" t="inlineStr">
        <is>
          <t>Dễ</t>
        </is>
      </c>
      <c r="I2075" s="390" t="inlineStr">
        <is>
          <t>Ngày, CTCK</t>
        </is>
      </c>
      <c r="J2075" s="401" t="inlineStr">
        <is>
          <t>SCMS</t>
        </is>
      </c>
      <c r="K2075" s="401" t="n"/>
      <c r="L2075" s="401" t="inlineStr">
        <is>
          <t>X</t>
        </is>
      </c>
      <c r="M2075" s="401" t="n"/>
      <c r="N2075" s="401" t="inlineStr">
        <is>
          <t>Done</t>
        </is>
      </c>
      <c r="O2075" s="401" t="n"/>
      <c r="P2075" s="22" t="n"/>
      <c r="S2075" s="22" t="n"/>
      <c r="U2075" s="16" t="n"/>
      <c r="V2075" s="22" t="n"/>
      <c r="W2075" s="22" t="n"/>
      <c r="X2075" s="22" t="n"/>
      <c r="Y2075" s="13" t="n"/>
      <c r="Z2075" s="22" t="n"/>
      <c r="AA2075" s="22" t="n"/>
      <c r="AB2075" s="22" t="n"/>
      <c r="AC2075" s="22" t="n"/>
      <c r="AD2075" s="22" t="n"/>
      <c r="AE2075" s="22" t="n"/>
    </row>
    <row r="2076" ht="56" customHeight="1" s="380">
      <c r="A2076" s="126" t="n">
        <v>95</v>
      </c>
      <c r="B2076" s="390" t="n"/>
      <c r="C2076" s="390" t="inlineStr">
        <is>
          <t>Báo cáo theo Thông tư 121/2020/TT-BTC &gt;&gt; Báo báo tài chính &gt;&gt; Báo cáo kết quả hoạt động riêng</t>
        </is>
      </c>
      <c r="D2076" s="132" t="inlineStr">
        <is>
          <t>X. CHI PHÍ THUẾ TNDN</t>
        </is>
      </c>
      <c r="E2076" s="132" t="n">
        <v>100</v>
      </c>
      <c r="F2076" s="390" t="inlineStr">
        <is>
          <t>Data Explorer</t>
        </is>
      </c>
      <c r="G2076" s="390" t="inlineStr">
        <is>
          <t>Chỉ tiêu cơ sở</t>
        </is>
      </c>
      <c r="H2076" s="390" t="inlineStr">
        <is>
          <t>Dễ</t>
        </is>
      </c>
      <c r="I2076" s="390" t="inlineStr">
        <is>
          <t>Ngày, CTCK</t>
        </is>
      </c>
      <c r="J2076" s="401" t="inlineStr">
        <is>
          <t>SCMS</t>
        </is>
      </c>
      <c r="K2076" s="401" t="n"/>
      <c r="L2076" s="401" t="inlineStr">
        <is>
          <t>X</t>
        </is>
      </c>
      <c r="M2076" s="401" t="n"/>
      <c r="N2076" s="401" t="inlineStr">
        <is>
          <t>Done</t>
        </is>
      </c>
      <c r="O2076" s="401" t="n"/>
      <c r="P2076" s="22" t="n"/>
      <c r="S2076" s="22" t="n"/>
      <c r="U2076" s="16" t="n"/>
      <c r="V2076" s="22" t="n"/>
      <c r="W2076" s="22" t="n"/>
      <c r="X2076" s="22" t="n"/>
      <c r="Y2076" s="13" t="n"/>
      <c r="Z2076" s="22" t="n"/>
      <c r="AA2076" s="22" t="n"/>
      <c r="AB2076" s="22" t="n"/>
      <c r="AC2076" s="22" t="n"/>
      <c r="AD2076" s="22" t="n"/>
      <c r="AE2076" s="22" t="n"/>
    </row>
    <row r="2077" ht="56" customHeight="1" s="380">
      <c r="A2077" s="126" t="n">
        <v>95</v>
      </c>
      <c r="B2077" s="390" t="n"/>
      <c r="C2077" s="390" t="inlineStr">
        <is>
          <t>Báo cáo theo Thông tư 121/2020/TT-BTC &gt;&gt; Báo báo tài chính &gt;&gt; Báo cáo kết quả hoạt động riêng</t>
        </is>
      </c>
      <c r="D2077" s="390" t="inlineStr">
        <is>
          <t>10.1.Chi phí thuế TNDN hiện hành</t>
        </is>
      </c>
      <c r="E2077" s="390" t="n">
        <v>100.1</v>
      </c>
      <c r="F2077" s="390" t="inlineStr">
        <is>
          <t>Data Explorer</t>
        </is>
      </c>
      <c r="G2077" s="390" t="inlineStr">
        <is>
          <t>Chỉ tiêu cơ sở</t>
        </is>
      </c>
      <c r="H2077" s="390" t="inlineStr">
        <is>
          <t>Dễ</t>
        </is>
      </c>
      <c r="I2077" s="390" t="inlineStr">
        <is>
          <t>Ngày, CTCK</t>
        </is>
      </c>
      <c r="J2077" s="401" t="inlineStr">
        <is>
          <t>SCMS</t>
        </is>
      </c>
      <c r="K2077" s="401" t="n"/>
      <c r="L2077" s="401" t="inlineStr">
        <is>
          <t>X</t>
        </is>
      </c>
      <c r="M2077" s="401" t="n"/>
      <c r="N2077" s="401" t="inlineStr">
        <is>
          <t>Done</t>
        </is>
      </c>
      <c r="O2077" s="401" t="n"/>
      <c r="P2077" s="22" t="n"/>
      <c r="S2077" s="22" t="n"/>
      <c r="U2077" s="16" t="n"/>
      <c r="V2077" s="22" t="n"/>
      <c r="W2077" s="22" t="n"/>
      <c r="X2077" s="22" t="n"/>
      <c r="Y2077" s="13" t="n"/>
      <c r="Z2077" s="22" t="n"/>
      <c r="AA2077" s="22" t="n"/>
      <c r="AB2077" s="22" t="n"/>
      <c r="AC2077" s="22" t="n"/>
      <c r="AD2077" s="22" t="n"/>
      <c r="AE2077" s="22" t="n"/>
    </row>
    <row r="2078" ht="56" customHeight="1" s="380">
      <c r="A2078" s="126" t="n">
        <v>95</v>
      </c>
      <c r="B2078" s="390" t="n"/>
      <c r="C2078" s="390" t="inlineStr">
        <is>
          <t>Báo cáo theo Thông tư 121/2020/TT-BTC &gt;&gt; Báo báo tài chính &gt;&gt; Báo cáo kết quả hoạt động riêng</t>
        </is>
      </c>
      <c r="D2078" s="390" t="inlineStr">
        <is>
          <t>10.2.Chi phí thuế TNDN hoãn lại</t>
        </is>
      </c>
      <c r="E2078" s="390" t="n">
        <v>100.2</v>
      </c>
      <c r="F2078" s="390" t="inlineStr">
        <is>
          <t>Data Explorer</t>
        </is>
      </c>
      <c r="G2078" s="390" t="inlineStr">
        <is>
          <t>Chỉ tiêu cơ sở</t>
        </is>
      </c>
      <c r="H2078" s="390" t="inlineStr">
        <is>
          <t>Dễ</t>
        </is>
      </c>
      <c r="I2078" s="390" t="inlineStr">
        <is>
          <t>Ngày, CTCK</t>
        </is>
      </c>
      <c r="J2078" s="401" t="inlineStr">
        <is>
          <t>SCMS</t>
        </is>
      </c>
      <c r="K2078" s="401" t="n"/>
      <c r="L2078" s="401" t="inlineStr">
        <is>
          <t>X</t>
        </is>
      </c>
      <c r="M2078" s="401" t="n"/>
      <c r="N2078" s="401" t="inlineStr">
        <is>
          <t>Done</t>
        </is>
      </c>
      <c r="O2078" s="401" t="n"/>
      <c r="P2078" s="22" t="n"/>
      <c r="S2078" s="22" t="n"/>
      <c r="U2078" s="16" t="n"/>
      <c r="V2078" s="22" t="n"/>
      <c r="W2078" s="22" t="n"/>
      <c r="X2078" s="22" t="n"/>
      <c r="Y2078" s="13" t="n"/>
      <c r="Z2078" s="22" t="n"/>
      <c r="AA2078" s="22" t="n"/>
      <c r="AB2078" s="22" t="n"/>
      <c r="AC2078" s="22" t="n"/>
      <c r="AD2078" s="22" t="n"/>
      <c r="AE2078" s="22" t="n"/>
    </row>
    <row r="2079" ht="56" customHeight="1" s="380">
      <c r="A2079" s="126" t="n">
        <v>95</v>
      </c>
      <c r="B2079" s="390" t="n"/>
      <c r="C2079" s="390" t="inlineStr">
        <is>
          <t>Báo cáo theo Thông tư 121/2020/TT-BTC &gt;&gt; Báo báo tài chính &gt;&gt; Báo cáo kết quả hoạt động riêng</t>
        </is>
      </c>
      <c r="D2079" s="132" t="inlineStr">
        <is>
          <t>XI. LỢI NHUẬN KẾ TOÁN SAU THUẾ TNDN (200 = 90 - 100)</t>
        </is>
      </c>
      <c r="E2079" s="132" t="n">
        <v>200</v>
      </c>
      <c r="F2079" s="390" t="inlineStr">
        <is>
          <t>Data Explorer</t>
        </is>
      </c>
      <c r="G2079" s="390" t="inlineStr">
        <is>
          <t>Chỉ tiêu cơ sở</t>
        </is>
      </c>
      <c r="H2079" s="390" t="inlineStr">
        <is>
          <t>Dễ</t>
        </is>
      </c>
      <c r="I2079" s="390" t="inlineStr">
        <is>
          <t>Ngày, CTCK</t>
        </is>
      </c>
      <c r="J2079" s="401" t="inlineStr">
        <is>
          <t>SCMS</t>
        </is>
      </c>
      <c r="K2079" s="401" t="n"/>
      <c r="L2079" s="401" t="inlineStr">
        <is>
          <t>X</t>
        </is>
      </c>
      <c r="M2079" s="401" t="n"/>
      <c r="N2079" s="401" t="inlineStr">
        <is>
          <t>Done</t>
        </is>
      </c>
      <c r="O2079" s="401" t="n"/>
      <c r="P2079" s="22" t="n"/>
      <c r="S2079" s="22" t="n"/>
      <c r="U2079" s="16" t="n"/>
      <c r="V2079" s="22" t="n"/>
      <c r="W2079" s="22" t="n"/>
      <c r="X2079" s="22" t="n"/>
      <c r="Y2079" s="38" t="n"/>
      <c r="Z2079" s="22" t="n"/>
      <c r="AA2079" s="22" t="n"/>
      <c r="AB2079" s="22" t="n"/>
      <c r="AC2079" s="22" t="n"/>
      <c r="AD2079" s="22" t="n"/>
      <c r="AE2079" s="22" t="n"/>
    </row>
    <row r="2080" ht="56" customHeight="1" s="380">
      <c r="A2080" s="126" t="n">
        <v>95</v>
      </c>
      <c r="B2080" s="390" t="n"/>
      <c r="C2080" s="390" t="inlineStr">
        <is>
          <t>Báo cáo theo Thông tư 121/2020/TT-BTC &gt;&gt; Báo báo tài chính &gt;&gt; Báo cáo kết quả hoạt động riêng</t>
        </is>
      </c>
      <c r="D2080" s="132" t="inlineStr">
        <is>
          <t>XII. THU NHẬP (LỖ) TOÀN DIỆN KHÁC SAU THUẾ TNDN</t>
        </is>
      </c>
      <c r="E2080" s="132" t="n">
        <v>300</v>
      </c>
      <c r="F2080" s="390" t="inlineStr">
        <is>
          <t>Data Explorer</t>
        </is>
      </c>
      <c r="G2080" s="390" t="inlineStr">
        <is>
          <t>Chỉ tiêu cơ sở</t>
        </is>
      </c>
      <c r="H2080" s="390" t="inlineStr">
        <is>
          <t>Dễ</t>
        </is>
      </c>
      <c r="I2080" s="390" t="inlineStr">
        <is>
          <t>Ngày, CTCK</t>
        </is>
      </c>
      <c r="J2080" s="401" t="inlineStr">
        <is>
          <t>SCMS</t>
        </is>
      </c>
      <c r="K2080" s="401" t="n"/>
      <c r="L2080" s="401" t="inlineStr">
        <is>
          <t>X</t>
        </is>
      </c>
      <c r="M2080" s="401" t="n"/>
      <c r="N2080" s="401" t="inlineStr">
        <is>
          <t>Done</t>
        </is>
      </c>
      <c r="O2080" s="401" t="n"/>
      <c r="P2080" s="22" t="n"/>
      <c r="S2080" s="22" t="n"/>
      <c r="U2080" s="16" t="n"/>
      <c r="V2080" s="22" t="n"/>
      <c r="W2080" s="22" t="n"/>
      <c r="X2080" s="22" t="n"/>
      <c r="Y2080" s="13" t="n"/>
      <c r="Z2080" s="22" t="n"/>
      <c r="AA2080" s="22" t="n"/>
      <c r="AB2080" s="22" t="n"/>
      <c r="AC2080" s="22" t="n"/>
      <c r="AD2080" s="22" t="n"/>
      <c r="AE2080" s="22" t="n"/>
    </row>
    <row r="2081" ht="56" customHeight="1" s="380">
      <c r="A2081" s="126" t="n">
        <v>95</v>
      </c>
      <c r="B2081" s="390" t="n"/>
      <c r="C2081" s="390" t="inlineStr">
        <is>
          <t>Báo cáo theo Thông tư 121/2020/TT-BTC &gt;&gt; Báo báo tài chính &gt;&gt; Báo cáo kết quả hoạt động riêng</t>
        </is>
      </c>
      <c r="D2081" s="390" t="inlineStr">
        <is>
          <t>12.1.Lãi/(Lỗ) từ đánh giá lại các tài sản tài chính sẵn sàng để bán</t>
        </is>
      </c>
      <c r="E2081" s="390" t="n">
        <v>301</v>
      </c>
      <c r="F2081" s="390" t="inlineStr">
        <is>
          <t>Data Explorer</t>
        </is>
      </c>
      <c r="G2081" s="390" t="inlineStr">
        <is>
          <t>Chỉ tiêu cơ sở</t>
        </is>
      </c>
      <c r="H2081" s="390" t="inlineStr">
        <is>
          <t>Dễ</t>
        </is>
      </c>
      <c r="I2081" s="390" t="inlineStr">
        <is>
          <t>Ngày, CTCK</t>
        </is>
      </c>
      <c r="J2081" s="401" t="inlineStr">
        <is>
          <t>SCMS</t>
        </is>
      </c>
      <c r="K2081" s="401" t="n"/>
      <c r="L2081" s="401" t="inlineStr">
        <is>
          <t>X</t>
        </is>
      </c>
      <c r="M2081" s="401" t="n"/>
      <c r="N2081" s="401" t="inlineStr">
        <is>
          <t>Done</t>
        </is>
      </c>
      <c r="O2081" s="401" t="n"/>
      <c r="P2081" s="22" t="n"/>
      <c r="S2081" s="22" t="n"/>
      <c r="U2081" s="16" t="n"/>
      <c r="V2081" s="22" t="n"/>
      <c r="W2081" s="22" t="n"/>
      <c r="X2081" s="22" t="n"/>
      <c r="Y2081" s="13" t="n"/>
      <c r="Z2081" s="22" t="n"/>
      <c r="AA2081" s="22" t="n"/>
      <c r="AB2081" s="22" t="n"/>
      <c r="AC2081" s="22" t="n"/>
      <c r="AD2081" s="22" t="n"/>
      <c r="AE2081" s="22" t="n"/>
    </row>
    <row r="2082" ht="56" customHeight="1" s="380">
      <c r="A2082" s="126" t="n">
        <v>95</v>
      </c>
      <c r="B2082" s="390" t="n"/>
      <c r="C2082" s="390" t="inlineStr">
        <is>
          <t>Báo cáo theo Thông tư 121/2020/TT-BTC &gt;&gt; Báo báo tài chính &gt;&gt; Báo cáo kết quả hoạt động riêng</t>
        </is>
      </c>
      <c r="D2082" s="390" t="inlineStr">
        <is>
          <t xml:space="preserve">12.2. Lãi/(lỗ) chênh lệch tỷ giá của hoạt động tại nước ngoài </t>
        </is>
      </c>
      <c r="E2082" s="390" t="n">
        <v>302</v>
      </c>
      <c r="F2082" s="390" t="inlineStr">
        <is>
          <t>Data Explorer</t>
        </is>
      </c>
      <c r="G2082" s="390" t="inlineStr">
        <is>
          <t>Chỉ tiêu cơ sở</t>
        </is>
      </c>
      <c r="H2082" s="390" t="inlineStr">
        <is>
          <t>Dễ</t>
        </is>
      </c>
      <c r="I2082" s="390" t="inlineStr">
        <is>
          <t>Ngày, CTCK</t>
        </is>
      </c>
      <c r="J2082" s="401" t="inlineStr">
        <is>
          <t>SCMS</t>
        </is>
      </c>
      <c r="K2082" s="401" t="n"/>
      <c r="L2082" s="401" t="inlineStr">
        <is>
          <t>X</t>
        </is>
      </c>
      <c r="M2082" s="401" t="n"/>
      <c r="N2082" s="401" t="inlineStr">
        <is>
          <t>Done</t>
        </is>
      </c>
      <c r="O2082" s="401" t="n"/>
      <c r="P2082" s="22" t="n"/>
      <c r="S2082" s="22" t="n"/>
      <c r="U2082" s="16" t="n"/>
      <c r="V2082" s="22" t="n"/>
      <c r="W2082" s="22" t="n"/>
      <c r="X2082" s="22" t="n"/>
      <c r="Y2082" s="13" t="n"/>
      <c r="Z2082" s="22" t="n"/>
      <c r="AA2082" s="22" t="n"/>
      <c r="AB2082" s="22" t="n"/>
      <c r="AC2082" s="22" t="n"/>
      <c r="AD2082" s="22" t="n"/>
      <c r="AE2082" s="22" t="n"/>
    </row>
    <row r="2083" ht="56" customHeight="1" s="380">
      <c r="A2083" s="126" t="n">
        <v>95</v>
      </c>
      <c r="B2083" s="390" t="n"/>
      <c r="C2083" s="390" t="inlineStr">
        <is>
          <t>Báo cáo theo Thông tư 121/2020/TT-BTC &gt;&gt; Báo báo tài chính &gt;&gt; Báo cáo kết quả hoạt động riêng</t>
        </is>
      </c>
      <c r="D2083" s="390" t="inlineStr">
        <is>
          <t>12.3. Lãi, lỗ đánh giá lại tài sản cố định theo mô hình giá trị hợp lý</t>
        </is>
      </c>
      <c r="E2083" s="390" t="n">
        <v>303</v>
      </c>
      <c r="F2083" s="390" t="inlineStr">
        <is>
          <t>Data Explorer</t>
        </is>
      </c>
      <c r="G2083" s="390" t="inlineStr">
        <is>
          <t>Chỉ tiêu cơ sở</t>
        </is>
      </c>
      <c r="H2083" s="390" t="inlineStr">
        <is>
          <t>Dễ</t>
        </is>
      </c>
      <c r="I2083" s="390" t="inlineStr">
        <is>
          <t>Ngày, CTCK</t>
        </is>
      </c>
      <c r="J2083" s="401" t="inlineStr">
        <is>
          <t>SCMS</t>
        </is>
      </c>
      <c r="K2083" s="401" t="n"/>
      <c r="L2083" s="401" t="inlineStr">
        <is>
          <t>X</t>
        </is>
      </c>
      <c r="M2083" s="401" t="n"/>
      <c r="N2083" s="401" t="inlineStr">
        <is>
          <t>Done</t>
        </is>
      </c>
      <c r="O2083" s="401" t="n"/>
      <c r="P2083" s="22" t="n"/>
      <c r="S2083" s="22" t="n"/>
      <c r="U2083" s="16" t="n"/>
      <c r="V2083" s="22" t="n"/>
      <c r="W2083" s="22" t="n"/>
      <c r="X2083" s="22" t="n"/>
      <c r="Y2083" s="13" t="n"/>
      <c r="Z2083" s="22" t="n"/>
      <c r="AA2083" s="22" t="n"/>
      <c r="AB2083" s="22" t="n"/>
      <c r="AC2083" s="22" t="n"/>
      <c r="AD2083" s="22" t="n"/>
      <c r="AE2083" s="22" t="n"/>
    </row>
    <row r="2084" ht="56" customHeight="1" s="380">
      <c r="A2084" s="126" t="n">
        <v>95</v>
      </c>
      <c r="B2084" s="390" t="n"/>
      <c r="C2084" s="390" t="inlineStr">
        <is>
          <t>Báo cáo theo Thông tư 121/2020/TT-BTC &gt;&gt; Báo báo tài chính &gt;&gt; Báo cáo kết quả hoạt động riêng</t>
        </is>
      </c>
      <c r="D2084" s="390" t="inlineStr">
        <is>
          <t>12.4. Lãi, lỗ toàn diện khác</t>
        </is>
      </c>
      <c r="E2084" s="390" t="n">
        <v>304</v>
      </c>
      <c r="F2084" s="390" t="inlineStr">
        <is>
          <t>Data Explorer</t>
        </is>
      </c>
      <c r="G2084" s="390" t="inlineStr">
        <is>
          <t>Chỉ tiêu cơ sở</t>
        </is>
      </c>
      <c r="H2084" s="390" t="inlineStr">
        <is>
          <t>Dễ</t>
        </is>
      </c>
      <c r="I2084" s="390" t="inlineStr">
        <is>
          <t>Ngày, CTCK</t>
        </is>
      </c>
      <c r="J2084" s="401" t="inlineStr">
        <is>
          <t>SCMS</t>
        </is>
      </c>
      <c r="K2084" s="401" t="n"/>
      <c r="L2084" s="401" t="inlineStr">
        <is>
          <t>X</t>
        </is>
      </c>
      <c r="M2084" s="401" t="n"/>
      <c r="N2084" s="401" t="inlineStr">
        <is>
          <t>Done</t>
        </is>
      </c>
      <c r="O2084" s="401" t="n"/>
      <c r="P2084" s="22" t="n"/>
      <c r="S2084" s="22" t="n"/>
      <c r="U2084" s="16" t="n"/>
      <c r="V2084" s="22" t="n"/>
      <c r="W2084" s="22" t="n"/>
      <c r="X2084" s="22" t="n"/>
      <c r="Y2084" s="13" t="n"/>
      <c r="Z2084" s="22" t="n"/>
      <c r="AA2084" s="22" t="n"/>
      <c r="AB2084" s="22" t="n"/>
      <c r="AC2084" s="22" t="n"/>
      <c r="AD2084" s="22" t="n"/>
      <c r="AE2084" s="22" t="n"/>
    </row>
    <row r="2085" ht="56" customHeight="1" s="380">
      <c r="A2085" s="126" t="n">
        <v>95</v>
      </c>
      <c r="B2085" s="390" t="n"/>
      <c r="C2085" s="390" t="inlineStr">
        <is>
          <t>Báo cáo theo Thông tư 121/2020/TT-BTC &gt;&gt; Báo báo tài chính &gt;&gt; Báo cáo kết quả hoạt động riêng</t>
        </is>
      </c>
      <c r="D2085" s="132" t="inlineStr">
        <is>
          <t>Tổng thu nhập toàn diện</t>
        </is>
      </c>
      <c r="E2085" s="132" t="n">
        <v>400</v>
      </c>
      <c r="F2085" s="390" t="inlineStr">
        <is>
          <t>Data Explorer</t>
        </is>
      </c>
      <c r="G2085" s="390" t="inlineStr">
        <is>
          <t>Chỉ tiêu cơ sở</t>
        </is>
      </c>
      <c r="H2085" s="390" t="inlineStr">
        <is>
          <t>Dễ</t>
        </is>
      </c>
      <c r="I2085" s="390" t="inlineStr">
        <is>
          <t>Ngày, CTCK</t>
        </is>
      </c>
      <c r="J2085" s="401" t="inlineStr">
        <is>
          <t>SCMS</t>
        </is>
      </c>
      <c r="K2085" s="401" t="n"/>
      <c r="L2085" s="401" t="inlineStr">
        <is>
          <t>X</t>
        </is>
      </c>
      <c r="M2085" s="401" t="n"/>
      <c r="N2085" s="401" t="inlineStr">
        <is>
          <t>Done</t>
        </is>
      </c>
      <c r="O2085" s="401" t="n"/>
      <c r="P2085" s="22" t="n"/>
      <c r="S2085" s="22" t="n"/>
      <c r="U2085" s="16" t="n"/>
      <c r="V2085" s="22" t="n"/>
      <c r="W2085" s="22" t="n"/>
      <c r="X2085" s="22" t="n"/>
      <c r="Y2085" s="38" t="n"/>
      <c r="Z2085" s="22" t="n"/>
      <c r="AA2085" s="22" t="n"/>
      <c r="AB2085" s="22" t="n"/>
      <c r="AC2085" s="22" t="n"/>
      <c r="AD2085" s="22" t="n"/>
      <c r="AE2085" s="22" t="n"/>
    </row>
    <row r="2086" ht="56" customHeight="1" s="380">
      <c r="A2086" s="126" t="n">
        <v>95</v>
      </c>
      <c r="B2086" s="390" t="n"/>
      <c r="C2086" s="390" t="inlineStr">
        <is>
          <t>Báo cáo theo Thông tư 121/2020/TT-BTC &gt;&gt; Báo báo tài chính &gt;&gt; Báo cáo kết quả hoạt động riêng</t>
        </is>
      </c>
      <c r="D2086" s="132" t="inlineStr">
        <is>
          <t>XIII. THU NHẬP THUẦN TRÊN CỔ PHIẾU PHỔ THÔNG</t>
        </is>
      </c>
      <c r="E2086" s="132" t="n">
        <v>500</v>
      </c>
      <c r="F2086" s="390" t="inlineStr">
        <is>
          <t>Data Explorer</t>
        </is>
      </c>
      <c r="G2086" s="390" t="inlineStr">
        <is>
          <t>Chỉ tiêu cơ sở</t>
        </is>
      </c>
      <c r="H2086" s="390" t="inlineStr">
        <is>
          <t>Dễ</t>
        </is>
      </c>
      <c r="I2086" s="390" t="inlineStr">
        <is>
          <t>Ngày, CTCK</t>
        </is>
      </c>
      <c r="J2086" s="401" t="inlineStr">
        <is>
          <t>SCMS</t>
        </is>
      </c>
      <c r="K2086" s="401" t="n"/>
      <c r="L2086" s="401" t="inlineStr">
        <is>
          <t>X</t>
        </is>
      </c>
      <c r="M2086" s="401" t="n"/>
      <c r="N2086" s="401" t="inlineStr">
        <is>
          <t>Done</t>
        </is>
      </c>
      <c r="O2086" s="401" t="n"/>
      <c r="P2086" s="22" t="n"/>
      <c r="S2086" s="22" t="n"/>
      <c r="U2086" s="16" t="n"/>
      <c r="V2086" s="22" t="n"/>
      <c r="W2086" s="22" t="n"/>
      <c r="X2086" s="22" t="n"/>
      <c r="Y2086" s="13" t="n"/>
      <c r="Z2086" s="22" t="n"/>
      <c r="AA2086" s="22" t="n"/>
      <c r="AB2086" s="22" t="n"/>
      <c r="AC2086" s="22" t="n"/>
      <c r="AD2086" s="22" t="n"/>
      <c r="AE2086" s="22" t="n"/>
    </row>
    <row r="2087" ht="56" customHeight="1" s="380">
      <c r="A2087" s="126" t="n">
        <v>95</v>
      </c>
      <c r="B2087" s="390" t="n"/>
      <c r="C2087" s="390" t="inlineStr">
        <is>
          <t>Báo cáo theo Thông tư 121/2020/TT-BTC &gt;&gt; Báo báo tài chính &gt;&gt; Báo cáo kết quả hoạt động riêng</t>
        </is>
      </c>
      <c r="D2087" s="390" t="inlineStr">
        <is>
          <t>13.1.Lãi cơ bản trên cổ phiếu (Đồng/1 cổ phiếu)</t>
        </is>
      </c>
      <c r="E2087" s="390" t="n">
        <v>501</v>
      </c>
      <c r="F2087" s="390" t="inlineStr">
        <is>
          <t>Data Explorer</t>
        </is>
      </c>
      <c r="G2087" s="390" t="inlineStr">
        <is>
          <t>Chỉ tiêu cơ sở</t>
        </is>
      </c>
      <c r="H2087" s="390" t="inlineStr">
        <is>
          <t>Dễ</t>
        </is>
      </c>
      <c r="I2087" s="390" t="inlineStr">
        <is>
          <t>Ngày, CTCK</t>
        </is>
      </c>
      <c r="J2087" s="401" t="inlineStr">
        <is>
          <t>SCMS</t>
        </is>
      </c>
      <c r="K2087" s="401" t="n"/>
      <c r="L2087" s="401" t="inlineStr">
        <is>
          <t>X</t>
        </is>
      </c>
      <c r="M2087" s="401" t="n"/>
      <c r="N2087" s="401" t="inlineStr">
        <is>
          <t>Done</t>
        </is>
      </c>
      <c r="O2087" s="401" t="n"/>
      <c r="P2087" s="22" t="n"/>
      <c r="S2087" s="22" t="n"/>
      <c r="U2087" s="16" t="n"/>
      <c r="V2087" s="22" t="n"/>
      <c r="W2087" s="22" t="n"/>
      <c r="X2087" s="22" t="n"/>
      <c r="Y2087" s="13" t="n"/>
      <c r="Z2087" s="22" t="n"/>
      <c r="AA2087" s="22" t="n"/>
      <c r="AB2087" s="22" t="n"/>
      <c r="AC2087" s="22" t="n"/>
      <c r="AD2087" s="22" t="n"/>
      <c r="AE2087" s="22" t="n"/>
    </row>
    <row r="2088" ht="56" customHeight="1" s="380">
      <c r="A2088" s="128" t="n">
        <v>95</v>
      </c>
      <c r="B2088" s="129" t="n"/>
      <c r="C2088" s="129" t="inlineStr">
        <is>
          <t>Báo cáo theo Thông tư 121/2020/TT-BTC &gt;&gt; Báo báo tài chính &gt;&gt; Báo cáo kết quả hoạt động riêng</t>
        </is>
      </c>
      <c r="D2088" s="129" t="inlineStr">
        <is>
          <t>13.2.Thu nhập pha loãng trên cổ phiếu (Đồng/1 cổ phiếu)</t>
        </is>
      </c>
      <c r="E2088" s="129" t="n">
        <v>502</v>
      </c>
      <c r="F2088" s="129" t="inlineStr">
        <is>
          <t>Data Explorer</t>
        </is>
      </c>
      <c r="G2088" s="129" t="inlineStr">
        <is>
          <t>Chỉ tiêu cơ sở</t>
        </is>
      </c>
      <c r="H2088" s="129" t="inlineStr">
        <is>
          <t>Dễ</t>
        </is>
      </c>
      <c r="I2088" s="129" t="inlineStr">
        <is>
          <t>Ngày, CTCK</t>
        </is>
      </c>
      <c r="J2088" s="85" t="inlineStr">
        <is>
          <t>SCMS</t>
        </is>
      </c>
      <c r="K2088" s="85" t="n"/>
      <c r="L2088" s="85" t="inlineStr">
        <is>
          <t>X</t>
        </is>
      </c>
      <c r="M2088" s="85" t="n"/>
      <c r="N2088" s="85" t="inlineStr">
        <is>
          <t>Done</t>
        </is>
      </c>
      <c r="O2088" s="85" t="n"/>
      <c r="P2088" s="130" t="n"/>
      <c r="Q2088" s="426" t="n"/>
      <c r="R2088" s="426" t="n"/>
      <c r="S2088" s="130" t="n"/>
      <c r="T2088" s="426" t="n"/>
      <c r="U2088" s="131" t="n"/>
      <c r="V2088" s="130" t="n"/>
      <c r="W2088" s="130" t="n"/>
      <c r="X2088" s="130" t="n"/>
      <c r="Y2088" s="97" t="n"/>
      <c r="Z2088" s="130" t="n"/>
      <c r="AA2088" s="130" t="n"/>
      <c r="AB2088" s="130" t="n"/>
      <c r="AC2088" s="130" t="n"/>
      <c r="AD2088" s="130" t="n"/>
      <c r="AE2088" s="130" t="n"/>
    </row>
    <row r="2089" ht="70" customHeight="1" s="380">
      <c r="A2089" s="126" t="n">
        <v>96</v>
      </c>
      <c r="B2089" s="122" t="inlineStr">
        <is>
          <t>Nga</t>
        </is>
      </c>
      <c r="C2089" s="127" t="inlineStr">
        <is>
          <t>Báo cáo theo Thông tư 121/2020/TT-BTC &gt;&gt; Báo báo tài chính &gt;&gt; Báo cáo lưu chuyển tiền tệ riêng_06611</t>
        </is>
      </c>
      <c r="D2089" s="106" t="inlineStr">
        <is>
          <t>Loại báo cáo</t>
        </is>
      </c>
      <c r="E2089" s="107" t="inlineStr">
        <is>
          <t>Loại báo cáo</t>
        </is>
      </c>
      <c r="F2089" s="390" t="inlineStr">
        <is>
          <t>Data Explorer</t>
        </is>
      </c>
      <c r="G2089" s="390" t="inlineStr">
        <is>
          <t>Chiều</t>
        </is>
      </c>
      <c r="H2089" s="390" t="inlineStr">
        <is>
          <t>Dễ</t>
        </is>
      </c>
      <c r="I2089" s="390" t="inlineStr">
        <is>
          <t>Ngày, CTCK</t>
        </is>
      </c>
      <c r="J2089" s="401" t="inlineStr">
        <is>
          <t>SCMS</t>
        </is>
      </c>
      <c r="K2089" s="401" t="inlineStr">
        <is>
          <t>X</t>
        </is>
      </c>
      <c r="L2089" s="401" t="inlineStr">
        <is>
          <t>X</t>
        </is>
      </c>
      <c r="M2089" s="401" t="n"/>
      <c r="N2089" s="401" t="inlineStr">
        <is>
          <t>Done</t>
        </is>
      </c>
      <c r="O2089" s="401" t="n"/>
      <c r="P2089" s="22" t="n"/>
      <c r="Q2089" s="404" t="inlineStr">
        <is>
          <t>SCMS.BM_BAO_CAO
SCMS.BM_BAO_CAO_DINH_KY</t>
        </is>
      </c>
      <c r="R2089" s="404" t="inlineStr">
        <is>
          <t>bm.ID,
bm.MA_BAO_CAO,
bm.LOAI_BAO_CAO,
bm.TEN_BAO_CAO,
bm.SU_DUNG,
bdk.BM_BAO_CAO_ID,
bdk.KY_BAO_CAO,
bdk.SU_DUNG</t>
        </is>
      </c>
      <c r="S2089" s="22" t="n"/>
      <c r="T2089" s="389"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U2089" s="16" t="n"/>
      <c r="V2089" s="22" t="n"/>
      <c r="W2089" s="22" t="n"/>
      <c r="X2089" s="22" t="n"/>
      <c r="Y2089" s="13" t="n"/>
      <c r="Z2089" s="22" t="n"/>
      <c r="AA2089" s="22" t="n"/>
      <c r="AB2089" s="22" t="n"/>
      <c r="AC2089" s="22" t="n"/>
      <c r="AD2089" s="22" t="n"/>
      <c r="AE2089" s="22" t="n"/>
    </row>
    <row r="2090" ht="70" customHeight="1" s="380">
      <c r="A2090" s="126" t="n">
        <v>96</v>
      </c>
      <c r="B2090" s="390" t="n"/>
      <c r="C2090" s="390" t="inlineStr">
        <is>
          <t>Báo cáo theo Thông tư 121/2020/TT-BTC &gt;&gt; Báo báo tài chính &gt;&gt; Báo cáo lưu chuyển tiền tệ riêng_06611</t>
        </is>
      </c>
      <c r="D2090" s="106" t="inlineStr">
        <is>
          <t>Kỳ báo cáo</t>
        </is>
      </c>
      <c r="E2090" s="107" t="inlineStr">
        <is>
          <t>Kỳ báo cáo</t>
        </is>
      </c>
      <c r="F2090" s="390" t="inlineStr">
        <is>
          <t>Data Explorer</t>
        </is>
      </c>
      <c r="G2090" s="390" t="inlineStr">
        <is>
          <t>Chiều</t>
        </is>
      </c>
      <c r="H2090" s="390" t="inlineStr">
        <is>
          <t>Dễ</t>
        </is>
      </c>
      <c r="I2090" s="390" t="inlineStr">
        <is>
          <t>Ngày, CTCK</t>
        </is>
      </c>
      <c r="J2090" s="401" t="inlineStr">
        <is>
          <t>SCMS</t>
        </is>
      </c>
      <c r="K2090" s="401" t="inlineStr">
        <is>
          <t>X</t>
        </is>
      </c>
      <c r="L2090" s="401" t="inlineStr">
        <is>
          <t>X</t>
        </is>
      </c>
      <c r="M2090" s="401" t="n"/>
      <c r="N2090" s="401" t="inlineStr">
        <is>
          <t>Done</t>
        </is>
      </c>
      <c r="O2090" s="401" t="n"/>
      <c r="P2090" s="22" t="n"/>
      <c r="S2090" s="22" t="n"/>
      <c r="U2090" s="16" t="n"/>
      <c r="V2090" s="22" t="n"/>
      <c r="W2090" s="22" t="n"/>
      <c r="X2090" s="22" t="n"/>
      <c r="Y2090" s="13" t="n"/>
      <c r="Z2090" s="22" t="n"/>
      <c r="AA2090" s="22" t="n"/>
      <c r="AB2090" s="22" t="n"/>
      <c r="AC2090" s="22" t="n"/>
      <c r="AD2090" s="22" t="n"/>
      <c r="AE2090" s="22" t="n"/>
    </row>
    <row r="2091" ht="70" customHeight="1" s="380">
      <c r="A2091" s="126" t="n">
        <v>96</v>
      </c>
      <c r="B2091" s="390" t="n"/>
      <c r="C2091" s="390" t="inlineStr">
        <is>
          <t>Báo cáo theo Thông tư 121/2020/TT-BTC &gt;&gt; Báo báo tài chính &gt;&gt; Báo cáo lưu chuyển tiền tệ riêng_06611</t>
        </is>
      </c>
      <c r="D2091" s="106" t="inlineStr">
        <is>
          <t>Mã báo cáo</t>
        </is>
      </c>
      <c r="E2091" s="107" t="inlineStr">
        <is>
          <t>Mã báo cáo</t>
        </is>
      </c>
      <c r="F2091" s="390" t="inlineStr">
        <is>
          <t>Data Explorer</t>
        </is>
      </c>
      <c r="G2091" s="390" t="inlineStr">
        <is>
          <t>Chiều</t>
        </is>
      </c>
      <c r="H2091" s="390" t="inlineStr">
        <is>
          <t>Dễ</t>
        </is>
      </c>
      <c r="I2091" s="390" t="inlineStr">
        <is>
          <t>Ngày, CTCK</t>
        </is>
      </c>
      <c r="J2091" s="401" t="inlineStr">
        <is>
          <t>SCMS</t>
        </is>
      </c>
      <c r="K2091" s="401" t="inlineStr">
        <is>
          <t>X</t>
        </is>
      </c>
      <c r="L2091" s="401" t="inlineStr">
        <is>
          <t>X</t>
        </is>
      </c>
      <c r="M2091" s="401" t="n"/>
      <c r="N2091" s="401" t="inlineStr">
        <is>
          <t>Done</t>
        </is>
      </c>
      <c r="O2091" s="401" t="n"/>
      <c r="P2091" s="22" t="n"/>
      <c r="S2091" s="22" t="n"/>
      <c r="U2091" s="16" t="n"/>
      <c r="V2091" s="22" t="n"/>
      <c r="W2091" s="22" t="n"/>
      <c r="X2091" s="22" t="n"/>
      <c r="Y2091" s="38" t="n"/>
      <c r="Z2091" s="22" t="n"/>
      <c r="AA2091" s="22" t="n"/>
      <c r="AB2091" s="22" t="n"/>
      <c r="AC2091" s="22" t="n"/>
      <c r="AD2091" s="22" t="n"/>
      <c r="AE2091" s="22" t="n"/>
    </row>
    <row r="2092" ht="70" customHeight="1" s="380">
      <c r="A2092" s="126" t="n">
        <v>96</v>
      </c>
      <c r="B2092" s="390" t="n"/>
      <c r="C2092" s="390" t="inlineStr">
        <is>
          <t>Báo cáo theo Thông tư 121/2020/TT-BTC &gt;&gt; Báo báo tài chính &gt;&gt; Báo cáo lưu chuyển tiền tệ riêng_06611</t>
        </is>
      </c>
      <c r="D2092" s="106" t="inlineStr">
        <is>
          <t>Tên báo cáo</t>
        </is>
      </c>
      <c r="E2092" s="107" t="inlineStr">
        <is>
          <t>Tên báo cáo</t>
        </is>
      </c>
      <c r="F2092" s="390" t="inlineStr">
        <is>
          <t>Data Explorer</t>
        </is>
      </c>
      <c r="G2092" s="390" t="inlineStr">
        <is>
          <t>Chiều</t>
        </is>
      </c>
      <c r="H2092" s="390" t="inlineStr">
        <is>
          <t>Dễ</t>
        </is>
      </c>
      <c r="I2092" s="390" t="inlineStr">
        <is>
          <t>Ngày, CTCK</t>
        </is>
      </c>
      <c r="J2092" s="401" t="inlineStr">
        <is>
          <t>SCMS</t>
        </is>
      </c>
      <c r="K2092" s="401" t="inlineStr">
        <is>
          <t>X</t>
        </is>
      </c>
      <c r="L2092" s="401" t="inlineStr">
        <is>
          <t>X</t>
        </is>
      </c>
      <c r="M2092" s="401" t="n"/>
      <c r="N2092" s="401" t="inlineStr">
        <is>
          <t>Done</t>
        </is>
      </c>
      <c r="O2092" s="401" t="n"/>
      <c r="P2092" s="22" t="n"/>
      <c r="S2092" s="22" t="n"/>
      <c r="U2092" s="16" t="n"/>
      <c r="V2092" s="22" t="n"/>
      <c r="W2092" s="22" t="n"/>
      <c r="X2092" s="22" t="n"/>
      <c r="Y2092" s="13" t="n"/>
      <c r="Z2092" s="22" t="n"/>
      <c r="AA2092" s="22" t="n"/>
      <c r="AB2092" s="22" t="n"/>
      <c r="AC2092" s="22" t="n"/>
      <c r="AD2092" s="22" t="n"/>
      <c r="AE2092" s="22" t="n"/>
    </row>
    <row r="2093" ht="70" customHeight="1" s="380">
      <c r="A2093" s="126" t="n">
        <v>96</v>
      </c>
      <c r="B2093" s="390" t="n"/>
      <c r="C2093" s="390" t="inlineStr">
        <is>
          <t>Báo cáo theo Thông tư 121/2020/TT-BTC &gt;&gt; Báo báo tài chính &gt;&gt; Báo cáo lưu chuyển tiền tệ riêng_06611</t>
        </is>
      </c>
      <c r="D2093" s="106" t="inlineStr">
        <is>
          <t>Mã sheet</t>
        </is>
      </c>
      <c r="E2093" s="106" t="inlineStr">
        <is>
          <t>Mã sheet</t>
        </is>
      </c>
      <c r="F2093" s="390" t="inlineStr">
        <is>
          <t>Data Explorer</t>
        </is>
      </c>
      <c r="G2093" s="390" t="inlineStr">
        <is>
          <t>Chiều</t>
        </is>
      </c>
      <c r="H2093" s="390" t="inlineStr">
        <is>
          <t>Dễ</t>
        </is>
      </c>
      <c r="I2093" s="390" t="inlineStr">
        <is>
          <t>Ngày, CTCK</t>
        </is>
      </c>
      <c r="J2093" s="401" t="inlineStr">
        <is>
          <t>SCMS</t>
        </is>
      </c>
      <c r="K2093" s="401" t="inlineStr">
        <is>
          <t>X</t>
        </is>
      </c>
      <c r="L2093" s="401" t="inlineStr">
        <is>
          <t>X</t>
        </is>
      </c>
      <c r="M2093" s="401" t="n"/>
      <c r="N2093" s="401" t="inlineStr">
        <is>
          <t>Done</t>
        </is>
      </c>
      <c r="O2093" s="401" t="n"/>
      <c r="P2093" s="22" t="n"/>
      <c r="Q2093" s="401" t="inlineStr">
        <is>
          <t>SCMS.BM_BAO_CAO
SCMS.BM_SHEET</t>
        </is>
      </c>
      <c r="R2093" s="401" t="inlineStr">
        <is>
          <t>bm.ID,
bm.MA_BAO_CAO,
bm.SU_DUNG,
s.BM_BAO_CAO_ID,
s.MA_SHEET,
s.TEN_SHEET,
s.SAP_XEP</t>
        </is>
      </c>
      <c r="S2093" s="22" t="n"/>
      <c r="T2093" s="389" t="inlineStr">
        <is>
          <t>-- Mã sheet / Tên sheet
-- TEN_SHEET: BCLCTTRTT
SELECT bm.MA_BAO_CAO,
s.MA_SHEET,
s.TEN_SHEET
FROM SCMS.BM_BAO_CAO bm
JOIN SCMS.BM_SHEET s ON s.BM_BAO_CAO_ID = bm.ID
WHERE bm.MA_BAO_CAO LIKE 'BCTCRLCTCK'
AND s.TEN_SHEET = 'BCLCTTRTT'  -- Check lại
AND bm.SU_DUNG = 1
ORDER BY bm.MA_BAO_CAO, s.SAP_XEP;</t>
        </is>
      </c>
      <c r="U2093" s="16" t="n"/>
      <c r="V2093" s="22" t="n"/>
      <c r="W2093" s="22" t="n"/>
      <c r="X2093" s="22" t="n"/>
      <c r="Y2093" s="13" t="n"/>
      <c r="Z2093" s="22" t="n"/>
      <c r="AA2093" s="22" t="n"/>
      <c r="AB2093" s="22" t="n"/>
      <c r="AC2093" s="22" t="n"/>
      <c r="AD2093" s="22" t="n"/>
      <c r="AE2093" s="22" t="n"/>
    </row>
    <row r="2094" ht="70" customHeight="1" s="380">
      <c r="A2094" s="126" t="n">
        <v>96</v>
      </c>
      <c r="B2094" s="390" t="n"/>
      <c r="C2094" s="390" t="inlineStr">
        <is>
          <t>Báo cáo theo Thông tư 121/2020/TT-BTC &gt;&gt; Báo báo tài chính &gt;&gt; Báo cáo lưu chuyển tiền tệ riêng_06611</t>
        </is>
      </c>
      <c r="D2094" s="106" t="inlineStr">
        <is>
          <t>Tên sheet</t>
        </is>
      </c>
      <c r="E2094" s="106" t="inlineStr">
        <is>
          <t>Tên sheet</t>
        </is>
      </c>
      <c r="F2094" s="390" t="inlineStr">
        <is>
          <t>Data Explorer</t>
        </is>
      </c>
      <c r="G2094" s="390" t="inlineStr">
        <is>
          <t>Chiều</t>
        </is>
      </c>
      <c r="H2094" s="390" t="inlineStr">
        <is>
          <t>Dễ</t>
        </is>
      </c>
      <c r="I2094" s="390" t="inlineStr">
        <is>
          <t>Ngày, CTCK</t>
        </is>
      </c>
      <c r="J2094" s="401" t="inlineStr">
        <is>
          <t>SCMS</t>
        </is>
      </c>
      <c r="K2094" s="401" t="inlineStr">
        <is>
          <t>X</t>
        </is>
      </c>
      <c r="L2094" s="401" t="inlineStr">
        <is>
          <t>X</t>
        </is>
      </c>
      <c r="M2094" s="401" t="n"/>
      <c r="N2094" s="401" t="inlineStr">
        <is>
          <t>Done</t>
        </is>
      </c>
      <c r="O2094" s="401" t="n"/>
      <c r="P2094" s="22" t="n"/>
      <c r="S2094" s="22" t="n"/>
      <c r="U2094" s="16" t="n"/>
      <c r="V2094" s="22" t="n"/>
      <c r="W2094" s="22" t="n"/>
      <c r="X2094" s="22" t="n"/>
      <c r="Y2094" s="13" t="n"/>
      <c r="Z2094" s="22" t="n"/>
      <c r="AA2094" s="22" t="n"/>
      <c r="AB2094" s="22" t="n"/>
      <c r="AC2094" s="22" t="n"/>
      <c r="AD2094" s="22" t="n"/>
      <c r="AE2094" s="22" t="n"/>
    </row>
    <row r="2095" ht="70" customHeight="1" s="380">
      <c r="A2095" s="126" t="n">
        <v>96</v>
      </c>
      <c r="B2095" s="390" t="n"/>
      <c r="C2095" s="390" t="inlineStr">
        <is>
          <t>Báo cáo theo Thông tư 121/2020/TT-BTC &gt;&gt; Báo báo tài chính &gt;&gt; Báo cáo lưu chuyển tiền tệ riêng_06611</t>
        </is>
      </c>
      <c r="D2095" s="106" t="inlineStr">
        <is>
          <t>Mã chỉ tiêu</t>
        </is>
      </c>
      <c r="E2095" s="107" t="inlineStr">
        <is>
          <t>Mã chỉ tiêu</t>
        </is>
      </c>
      <c r="F2095" s="390" t="inlineStr">
        <is>
          <t>Data Explorer</t>
        </is>
      </c>
      <c r="G2095" s="390" t="inlineStr">
        <is>
          <t>Chiều</t>
        </is>
      </c>
      <c r="H2095" s="390" t="inlineStr">
        <is>
          <t>Dễ</t>
        </is>
      </c>
      <c r="I2095" s="390" t="inlineStr">
        <is>
          <t>Ngày, CTCK</t>
        </is>
      </c>
      <c r="J2095" s="401" t="inlineStr">
        <is>
          <t>SCMS</t>
        </is>
      </c>
      <c r="K2095" s="401" t="inlineStr">
        <is>
          <t>X</t>
        </is>
      </c>
      <c r="L2095" s="401" t="inlineStr">
        <is>
          <t>X</t>
        </is>
      </c>
      <c r="M2095" s="401" t="n"/>
      <c r="N2095" s="401" t="inlineStr">
        <is>
          <t>Done</t>
        </is>
      </c>
      <c r="O2095" s="401" t="n"/>
      <c r="P2095" s="22" t="n"/>
      <c r="Q2095" s="401" t="inlineStr">
        <is>
          <t>SCMS.BM_BAO_CAO
SCMS.BM_SHEET
SCMS.BM_BAO_CAO_CT
SCMS.DM_CHI_TIEU</t>
        </is>
      </c>
      <c r="R2095" s="402" t="inlineStr">
        <is>
          <t>dct.ID,
dct.MA_CHI_TIEU,
dct.TEN_CHI_TIEU,
dct.SU_DUNG,
s.BM_BAO_CAO_ID,
s.MA_SHEET,
ct.BM_BAO_CAO_ID,
ct.DM_CHI_TIEU_ID,
ct.SU_DUNG,
bm.ID,
bm.MA_BAO_CAO,
bm.SU_DUNG</t>
        </is>
      </c>
      <c r="S2095" s="22" t="n"/>
      <c r="T2095" s="389" t="inlineStr">
        <is>
          <t>-- Mã chỉ tiêu / Tên chỉ tiêu
SELECT DISTINCT
    dct.MA_CHI_TIEU  AS ma_chi_tieu,
    dct.TEN_CHI_TIEU AS ten_chi_tieu
FROM SCMS.BM_BAO_CAO bm
JOIN SCMS.BM_SHEET s ON s.BM_BAO_CAO_ID = bm.ID
	AND s.TEN_SHEET = 'BCLCTTRTT'
JOIN SCMS.BM_BAO_CAO_CT ct ON ct.BM_SHEET_ID = s.ID
	AND ct.SU_DUNG = 1
JOIN SCMS.DM_CHI_TIEU dct ON dct.ID = ct.DM_CHI_TIEU_ID
	AND dct.SU_DUNG = 1
WHERE bm.MA_BAO_CAO LIKE 'BCTCRLCTCK'
	AND bm.SU_DUNG = 1
ORDER BY dct.MA_CHI_TIEU;</t>
        </is>
      </c>
      <c r="U2095" s="16" t="n"/>
      <c r="V2095" s="22" t="n"/>
      <c r="W2095" s="22" t="n"/>
      <c r="X2095" s="22" t="n"/>
      <c r="Y2095" s="13" t="n"/>
      <c r="Z2095" s="22" t="n"/>
      <c r="AA2095" s="22" t="n"/>
      <c r="AB2095" s="22" t="n"/>
      <c r="AC2095" s="22" t="n"/>
      <c r="AD2095" s="22" t="n"/>
      <c r="AE2095" s="22" t="n"/>
    </row>
    <row r="2096" ht="70" customHeight="1" s="380">
      <c r="A2096" s="126" t="n">
        <v>96</v>
      </c>
      <c r="B2096" s="390" t="n"/>
      <c r="C2096" s="390" t="inlineStr">
        <is>
          <t>Báo cáo theo Thông tư 121/2020/TT-BTC &gt;&gt; Báo báo tài chính &gt;&gt; Báo cáo lưu chuyển tiền tệ riêng_06611</t>
        </is>
      </c>
      <c r="D2096" s="106" t="inlineStr">
        <is>
          <t>Tên chỉ tiêu</t>
        </is>
      </c>
      <c r="E2096" s="107" t="inlineStr">
        <is>
          <t>Tên chỉ tiêu</t>
        </is>
      </c>
      <c r="F2096" s="390" t="inlineStr">
        <is>
          <t>Data Explorer</t>
        </is>
      </c>
      <c r="G2096" s="390" t="inlineStr">
        <is>
          <t>Chiều</t>
        </is>
      </c>
      <c r="H2096" s="390" t="inlineStr">
        <is>
          <t>Dễ</t>
        </is>
      </c>
      <c r="I2096" s="390" t="inlineStr">
        <is>
          <t>Ngày, CTCK</t>
        </is>
      </c>
      <c r="J2096" s="401" t="inlineStr">
        <is>
          <t>SCMS</t>
        </is>
      </c>
      <c r="K2096" s="401" t="inlineStr">
        <is>
          <t>X</t>
        </is>
      </c>
      <c r="L2096" s="401" t="inlineStr">
        <is>
          <t>X</t>
        </is>
      </c>
      <c r="M2096" s="401" t="n"/>
      <c r="N2096" s="401" t="inlineStr">
        <is>
          <t>Done</t>
        </is>
      </c>
      <c r="O2096" s="401" t="n"/>
      <c r="P2096" s="22" t="n"/>
      <c r="S2096" s="22" t="n"/>
      <c r="U2096" s="16" t="n"/>
      <c r="V2096" s="22" t="n"/>
      <c r="W2096" s="22" t="n"/>
      <c r="X2096" s="22" t="n"/>
      <c r="Y2096" s="13" t="n"/>
      <c r="Z2096" s="22" t="n"/>
      <c r="AA2096" s="22" t="n"/>
      <c r="AB2096" s="22" t="n"/>
      <c r="AC2096" s="22" t="n"/>
      <c r="AD2096" s="22" t="n"/>
      <c r="AE2096" s="22" t="n"/>
    </row>
    <row r="2097" ht="70" customHeight="1" s="380">
      <c r="A2097" s="126" t="n">
        <v>96</v>
      </c>
      <c r="B2097" s="390" t="n"/>
      <c r="C2097" s="390" t="inlineStr">
        <is>
          <t>Báo cáo theo Thông tư 121/2020/TT-BTC &gt;&gt; Báo báo tài chính &gt;&gt; Báo cáo lưu chuyển tiền tệ riêng_06611</t>
        </is>
      </c>
      <c r="D2097" s="132" t="inlineStr">
        <is>
          <t>I. Lưu chuyển tiền từ hoạt động kinh doanh</t>
        </is>
      </c>
      <c r="E2097" s="401" t="n"/>
      <c r="F2097" s="390" t="inlineStr">
        <is>
          <t>Data Explorer</t>
        </is>
      </c>
      <c r="G2097" s="390" t="inlineStr">
        <is>
          <t>Chỉ tiêu cơ sở</t>
        </is>
      </c>
      <c r="H2097" s="390" t="inlineStr">
        <is>
          <t>Dễ</t>
        </is>
      </c>
      <c r="I2097" s="390" t="inlineStr">
        <is>
          <t>Ngày, CTCK</t>
        </is>
      </c>
      <c r="J2097" s="401" t="inlineStr">
        <is>
          <t>SCMS</t>
        </is>
      </c>
      <c r="K2097" s="401" t="n"/>
      <c r="L2097" s="401" t="inlineStr">
        <is>
          <t>X</t>
        </is>
      </c>
      <c r="M2097" s="401" t="n"/>
      <c r="N2097" s="401" t="inlineStr">
        <is>
          <t>Done</t>
        </is>
      </c>
      <c r="O2097" s="401" t="n"/>
      <c r="P2097" s="22" t="n"/>
      <c r="Q2097" s="431" t="inlineStr">
        <is>
          <t>SCMS.BC_THANH_VIEN
SCMS.BM_BAO_CAO
SCMS.BC_BAO_CAO_GT
SCMS.BM_BAO_CAO_HANG
SCMS.BM_BAO_CAO_COT</t>
        </is>
      </c>
      <c r="R2097" s="431" t="inlineStr">
        <is>
          <t>bsc.TEN_COT,
bsc.BM_SHEET_ID,
bsh.ID,
bsh.MA_HANG,
gt.GIA_TRI,
gt.BC_THANH_VIEN_ID,
gt.BM_SHEET_HANG_ID,
bm.ID,
bm.MA_BAO_CAO,
btv.ID,
btv.BM_BAO_CAO_ID,
btv.TRANG_THAI,
btv.NGAY_SO_LIEU</t>
        </is>
      </c>
      <c r="S2097" s="22" t="n"/>
      <c r="T2097" s="432" t="inlineStr">
        <is>
          <t>-- CHỈ TIÊU
SELECT
	-- Thuyết minh
    MAX(CASE WHEN bsc.TEN_COT=N'Thuyết minh' AND bsh.MA_HANG = '7' THEN CAST(gt.GIA_TRI AS VARCHAR2(4000)) END) AS "I. Lưu chuyển tiền từ hoạt động kinh doanh",
	MAX(CASE WHEN bsc.TEN_COT=N'Thuyết minh' AND bsh.MA_HANG = '8' THEN CAST(gt.GIA_TRI AS VARCHAR2(4000)) END) AS "1.Tiền đã chi mua các tài sản tài chính",
	MAX(CASE WHEN bsc.TEN_COT=N'Thuyết minh' AND bsh.MA_HANG = '9' THEN CAST(gt.GIA_TRI AS VARCHAR2(4000)) END) AS "2.Tiền đã thu từ bán các tài sản tài chính",
	MAX(CASE WHEN bsc.TEN_COT=N'Thuyết minh' AND bsh.MA_HANG = '10' THEN CAST(gt.GIA_TRI AS VARCHAR2(4000)) END) AS "3. Tiền chi nộp Quỹ Hỗ trợ thanh toán",
	MAX(CASE WHEN bsc.TEN_COT=N'Thuyết minh' AND bsh.MA_HANG = '11' THEN CAST(gt.GIA_TRI AS VARCHAR2(4000)) END) AS "4. Cổ tức đã nhận",
	MAX(CASE WHEN bsc.TEN_COT=N'Thuyết minh' AND bsh.MA_HANG = '12' THEN CAST(gt.GIA_TRI AS VARCHAR2(4000)) END) AS "5. Tiền lãi đã thu",
	MAX(CASE WHEN bsc.TEN_COT=N'Thuyết minh' AND bsh.MA_HANG = '13' THEN CAST(gt.GIA_TRI AS VARCHAR2(4000)) END) AS "6. Tiền chi trả lãi vay cho hoạt động của CTCK",
	MAX(CASE WHEN bsc.TEN_COT=N'Thuyết minh' AND bsh.MA_HANG = '14' THEN CAST(gt.GIA_TRI AS VARCHAR2(4000)) END) AS "7. Tiền chi trả Tổ chức cung cấp dịch vụ cho CTCK",
	MAX(CASE WHEN bsc.TEN_COT=N'Thuyết minh' AND bsh.MA_HANG = '15' THEN CAST(gt.GIA_TRI AS VARCHAR2(4000)) END) AS "8. Tiền chi trả cho người lao động",
	MAX(CASE WHEN bsc.TEN_COT=N'Thuyết minh' AND bsh.MA_HANG = '16' THEN CAST(gt.GIA_TRI AS VARCHAR2(4000)) END) AS "9. Tiền chi nộp thuế liên quan đến hoạt động CTCK" ,
	MAX(CASE WHEN bsc.TEN_COT=N'Thuyết minh' AND bsh.MA_HANG = '17' THEN CAST(gt.GIA_TRI AS VARCHAR2(4000)) END) AS "10.Tiền chi thanh toán các chi phí cho hoạt động mua, bán các tài sản tài chính",
	MAX(CASE WHEN bsc.TEN_COT=N'Thuyết minh' AND bsh.MA_HANG = '18' THEN CAST(gt.GIA_TRI AS VARCHAR2(4000)) END) AS "11. Tiền thu khác từ hoạt động kinh doanh",
	MAX(CASE WHEN bsc.TEN_COT=N'Thuyết minh' AND bsh.MA_HANG = '19' THEN CAST(gt.GIA_TRI AS VARCHAR2(4000)) END) AS "12. Tiền chi khác cho hoạt động kinh doanh",
	MAX(CASE WHEN bsc.TEN_COT=N'Thuyết minh' AND bsh.MA_HANG = '20' THEN CAST(gt.GIA_TRI AS VARCHAR2(4000)) END) AS "Lưu chuyển tiền thuần từ hoạt động kinh doanh",
	MAX(CASE WHEN bsc.TEN_COT=N'Thuyết minh' AND bsh.MA_HANG = '21' THEN CAST(gt.GIA_TRI AS VARCHAR2(4000)) END) AS "II. Lưu chuyển tiền từ hoạt động đầu tư",
	MAX(CASE WHEN bsc.TEN_COT=N'Thuyết minh' AND bsh.MA_HANG = '22' THEN CAST(gt.GIA_TRI AS VARCHAR2(4000)) END) AS "1.Tiền chi để mua sắm, xây dựng TSCĐ, BĐSĐT và các tài sản khác",
	MAX(CASE WHEN bsc.TEN_COT=N'Thuyết minh' AND bsh.MA_HANG = '23' THEN CAST(gt.GIA_TRI AS VARCHAR2(4000)) END) AS "2.Tiền thu từ thanh lý, nhượng bán TSCĐ, BĐSĐT  và các tài sản khác",
	MAX(CASE WHEN bsc.TEN_COT=N'Thuyết minh' AND bsh.MA_HANG = '24' THEN CAST(gt.GIA_TRI AS VARCHAR2(4000)) END) AS "3.Tiền chi đầu tư góp vốn vào công ty con, công  ty liên doanh, liên kết và đầu tư khác",
	MAX(CASE WHEN bsc.TEN_COT=N'Thuyết minh' AND bsh.MA_HANG = '25' THEN CAST(gt.GIA_TRI AS VARCHAR2(4000)) END) AS "4.Tiền thu hồi đầu tư góp vốn vào công ty con, công ty liên doanh, liên kết và đầu tư khác",
	MAX(CASE WHEN bsc.TEN_COT=N'Thuyết minh' AND bsh.MA_HANG = '26' THEN CAST(gt.GIA_TRI AS VARCHAR2(4000)) END) AS "5.Tiền thu về  cổ tức và lợi nhuận được chia từ các khoản đầu tư tài chính dài hạn",
	MAX(CASE WHEN bsc.TEN_COT=N'Thuyết minh' AND bsh.MA_HANG = '27' THEN CAST(gt.GIA_TRI AS VARCHAR2(4000)) END) AS "Lưu chuyển tiền thuần từ hoạt động đầu tư",
	MAX(CASE WHEN bsc.TEN_COT=N'Thuyết minh' AND bsh.MA_HANG = '28' THEN CAST(gt.GIA_TRI AS VARCHAR2(4000)) END) AS "III. Lưu chuyển tiền từ hoạt động tài chính",
	MAX(CASE WHEN bsc.TEN_COT=N'Thuyết minh' AND bsh.MA_HANG = '29' THEN CAST(gt.GIA_TRI AS VARCHAR2(4000)) END) AS "1.Tiền thu từ phát hành cổ phiếu, nhận vốn góp của chủ sở hữu",
	MAX(CASE WHEN bsc.TEN_COT=N'Thuyết minh' AND bsh.MA_HANG = '30' THEN CAST(gt.GIA_TRI AS VARCHAR2(4000)) END) AS "2.Tiền chi trả vốn góp cho các chủ sở hữu, mua lại cổ phiếu đã phát hành",
	MAX(CASE WHEN bsc.TEN_COT=N'Thuyết minh' AND bsh.MA_HANG = '31' THEN CAST(gt.GIA_TRI AS VARCHAR2(4000)) END) AS "3.Tiền vay gốc",
	MAX(CASE WHEN bsc.TEN_COT=N'Thuyết minh' AND bsh.MA_HANG = '32' THEN CAST(gt.GIA_TRI AS VARCHAR2(4000)) END) AS "3.1. Tiền vay Quỹ Hỗ trợ thanh toán",
	MAX(CASE WHEN bsc.TEN_COT=N'Thuyết minh' AND bsh.MA_HANG = '33' THEN CAST(gt.GIA_TRI AS VARCHAR2(4000)) END) AS "3.2. Tiền vay khác",
	MAX(CASE WHEN bsc.TEN_COT=N'Thuyết minh' AND bsh.MA_HANG = '34' THEN CAST(gt.GIA_TRI AS VARCHAR2(4000)) END) AS "4. Tiền chi trả nợ gốc vay",
	MAX(CASE WHEN bsc.TEN_COT=N'Thuyết minh' AND bsh.MA_HANG = '35' THEN CAST(gt.GIA_TRI AS VARCHAR2(4000)) END) AS "4.1. Tiền chi trả gốc vay Quỹ Hỗ trợ thanh toán",
	MAX(CASE WHEN bsc.TEN_COT=N'Thuyết minh' AND bsh.MA_HANG = '36' THEN CAST(gt.GIA_TRI AS VARCHAR2(4000)) END) AS "4.2. Tiền chi trả gốc vay tài sản tài chính",
	MAX(CASE WHEN bsc.TEN_COT=N'Thuyết minh' AND bsh.MA_HANG = '37' THEN CAST(gt.GIA_TRI AS VARCHAR2(4000)) END) AS "4.3. Tiền chi trả gốc vay khác",
	MAX(CASE WHEN bsc.TEN_COT=N'Thuyết minh' AND bsh.MA_HANG = '38' THEN CAST(gt.GIA_TRI AS VARCHAR2(4000)) END) AS "5.Tiền chi trả nợ gốc thuê tài chính",
	MAX(CASE WHEN bsc.TEN_COT=N'Thuyết minh' AND bsh.MA_HANG = '39' THEN CAST(gt.GIA_TRI AS VARCHAR2(4000)) END) AS "6. Cổ tức, lợi nhuận đã trả cho chủ sở hữu",
	MAX(CASE WHEN bsc.TEN_COT=N'Thuyết minh' AND bsh.MA_HANG = '40' THEN CAST(gt.GIA_TRI AS VARCHAR2(4000)) END) AS "Lưu chuyển tiền thuần từ hoạt động tài chính",
	MAX(CASE WHEN bsc.TEN_COT=N'Thuyết minh' AND bsh.MA_HANG = '41' THEN CAST(gt.GIA_TRI AS VARCHAR2(4000)) END) AS "IV. Tăng/giảm tiền thuần trong kỳ",
	MAX(CASE WHEN bsc.TEN_COT=N'Thuyết minh' AND bsh.MA_HANG = '42' THEN CAST(gt.GIA_TRI AS VARCHAR2(4000)) END) AS "V. Tiền và các khoản tương đương tiền đầu kỳ",
	MAX(CASE WHEN bsc.TEN_COT=N'Thuyết minh' AND bsh.MA_HANG = '43' THEN CAST(gt.GIA_TRI AS VARCHAR2(4000)) END) AS "Tiền - Đầu kỳ",
	MAX(CASE WHEN bsc.TEN_COT=N'Thuyết minh' AND bsh.MA_HANG = '44' THEN CAST(gt.GIA_TRI AS VARCHAR2(4000)) END) AS "Các khoản tương đương tiền - Đầu kỳ",
	MAX(CASE WHEN bsc.TEN_COT=N'Thuyết minh' AND bsh.MA_HANG = '45' THEN CAST(gt.GIA_TRI AS VARCHAR2(4000)) END) AS "Ảnh hưởng của thay đổi tỷ giá hối đoái quy đổi ngoại tệ - Đầu kỳ",
	MAX(CASE WHEN bsc.TEN_COT=N'Thuyết minh' AND bsh.MA_HANG = '46' THEN CAST(gt.GIA_TRI AS VARCHAR2(4000)) END) AS "VI. Tiền và các khoản tương đương tiền cuối kỳ (70 = 50 + 60)",
	MAX(CASE WHEN bsc.TEN_COT=N'Thuyết minh' AND bsh.MA_HANG = '47' THEN CAST(gt.GIA_TRI AS VARCHAR2(4000)) END) AS "Tiền - Cuối kỳ",
	MAX(CASE WHEN bsc.TEN_COT=N'Thuyết minh' AND bsh.MA_HANG = '48' THEN CAST(gt.GIA_TRI AS VARCHAR2(4000)) END) AS "Các khoản tương đương tiền - Cuối kỳ",
	MAX(CASE WHEN bsc.TEN_COT=N'Thuyết minh' AND bsh.MA_HANG = '49' THEN CAST(gt.GIA_TRI AS VARCHAR2(4000)) END) AS "Ảnh hưởng của thay đổi tỷ giá hối đoái quy đổi ngoại tệ - Cuối kỳ",    
    -- Năm nay
	MAX(CASE WHEN bsc.TEN_COT=N'Năm nay' AND bsh.MA_HANG = '7' THEN CAST(gt.GIA_TRI AS VARCHAR2(4000)) END) AS "I. Lưu chuyển tiền từ hoạt động kinh doanh",
	MAX(CASE WHEN bsc.TEN_COT=N'Năm nay' AND bsh.MA_HANG = '8' THEN CAST(gt.GIA_TRI AS VARCHAR2(4000)) END) AS "1.Tiền đã chi mua các tài sản tài chính",
	MAX(CASE WHEN bsc.TEN_COT=N'Năm nay' AND bsh.MA_HANG = '9' THEN CAST(gt.GIA_TRI AS VARCHAR2(4000)) END) AS "2.Tiền đã thu từ bán các tài sản tài chính",
	MAX(CASE WHEN bsc.TEN_COT=N'Năm nay' AND bsh.MA_HANG = '10' THEN CAST(gt.GIA_TRI AS VARCHAR2(4000)) END) AS "3. Tiền chi nộp Quỹ Hỗ trợ thanh toán",
	MAX(CASE WHEN bsc.TEN_COT=N'Năm nay' AND bsh.MA_HANG = '11' THEN CAST(gt.GIA_TRI AS VARCHAR2(4000)) END) AS "4. Cổ tức đã nhận",
	MAX(CASE WHEN bsc.TEN_COT=N'Năm nay' AND bsh.MA_HANG = '12' THEN CAST(gt.GIA_TRI AS VARCHAR2(4000)) END) AS "5. Tiền lãi đã thu",
	MAX(CASE WHEN bsc.TEN_COT=N'Năm nay' AND bsh.MA_HANG = '13' THEN CAST(gt.GIA_TRI AS VARCHAR2(4000)) END) AS "6. Tiền chi trả lãi vay cho hoạt động của CTCK",
	MAX(CASE WHEN bsc.TEN_COT=N'Năm nay' AND bsh.MA_HANG = '14' THEN CAST(gt.GIA_TRI AS VARCHAR2(4000)) END) AS "7. Tiền chi trả Tổ chức cung cấp dịch vụ cho CTCK",
	MAX(CASE WHEN bsc.TEN_COT=N'Năm nay' AND bsh.MA_HANG = '15' THEN CAST(gt.GIA_TRI AS VARCHAR2(4000)) END) AS "8. Tiền chi trả cho người lao động",
	MAX(CASE WHEN bsc.TEN_COT=N'Năm nay' AND bsh.MA_HANG = '16' THEN CAST(gt.GIA_TRI AS VARCHAR2(4000)) END) AS "9. Tiền chi nộp thuế liên quan đến hoạt động CTCK" ,
	MAX(CASE WHEN bsc.TEN_COT=N'Năm nay' AND bsh.MA_HANG = '17' THEN CAST(gt.GIA_TRI AS VARCHAR2(4000)) END) AS "10.Tiền chi thanh toán các chi phí cho hoạt động mua, bán các tài sản tài chính",
	MAX(CASE WHEN bsc.TEN_COT=N'Năm nay' AND bsh.MA_HANG = '18' THEN CAST(gt.GIA_TRI AS VARCHAR2(4000)) END) AS "11. Tiền thu khác từ hoạt động kinh doanh",
	MAX(CASE WHEN bsc.TEN_COT=N'Năm nay' AND bsh.MA_HANG = '19' THEN CAST(gt.GIA_TRI AS VARCHAR2(4000)) END) AS "12. Tiền chi khác cho hoạt động kinh doanh",
	MAX(CASE WHEN bsc.TEN_COT=N'Năm nay' AND bsh.MA_HANG = '20' THEN CAST(gt.GIA_TRI AS VARCHAR2(4000)) END) AS "Lưu chuyển tiền thuần từ hoạt động kinh doanh",
	MAX(CASE WHEN bsc.TEN_COT=N'Năm nay' AND bsh.MA_HANG = '21' THEN CAST(gt.GIA_TRI AS VARCHAR2(4000)) END) AS "II. Lưu chuyển tiền từ hoạt động đầu tư",
	MAX(CASE WHEN bsc.TEN_COT=N'Năm nay' AND bsh.MA_HANG = '22' THEN CAST(gt.GIA_TRI AS VARCHAR2(4000)) END) AS "1.Tiền chi để mua sắm, xây dựng TSCĐ, BĐSĐT và các tài sản khác",
	MAX(CASE WHEN bsc.TEN_COT=N'Năm nay' AND bsh.MA_HANG = '23' THEN CAST(gt.GIA_TRI AS VARCHAR2(4000)) END) AS "2.Tiền thu từ thanh lý, nhượng bán TSCĐ, BĐSĐT  và các tài sản khác",
	MAX(CASE WHEN bsc.TEN_COT=N'Năm nay' AND bsh.MA_HANG = '24' THEN CAST(gt.GIA_TRI AS VARCHAR2(4000)) END) AS "3.Tiền chi đầu tư góp vốn vào công ty con, công  ty liên doanh, liên kết và đầu tư khác",
	MAX(CASE WHEN bsc.TEN_COT=N'Năm nay' AND bsh.MA_HANG = '25' THEN CAST(gt.GIA_TRI AS VARCHAR2(4000)) END) AS "4.Tiền thu hồi đầu tư góp vốn vào công ty con, công ty liên doanh, liên kết và đầu tư khác",
	MAX(CASE WHEN bsc.TEN_COT=N'Năm nay' AND bsh.MA_HANG = '26' THEN CAST(gt.GIA_TRI AS VARCHAR2(4000)) END) AS "5.Tiền thu về  cổ tức và lợi nhuận được chia từ các khoản đầu tư tài chính dài hạn",
	MAX(CASE WHEN bsc.TEN_COT=N'Năm nay' AND bsh.MA_HANG = '27' THEN CAST(gt.GIA_TRI AS VARCHAR2(4000)) END) AS "Lưu chuyển tiền thuần từ hoạt động đầu tư",
	MAX(CASE WHEN bsc.TEN_COT=N'Năm nay' AND bsh.MA_HANG = '28' THEN CAST(gt.GIA_TRI AS VARCHAR2(4000)) END) AS "III. Lưu chuyển tiền từ hoạt động tài chính",
	MAX(CASE WHEN bsc.TEN_COT=N'Năm nay' AND bsh.MA_HANG = '29' THEN CAST(gt.GIA_TRI AS VARCHAR2(4000)) END) AS "1.Tiền thu từ phát hành cổ phiếu, nhận vốn góp của chủ sở hữu",
	MAX(CASE WHEN bsc.TEN_COT=N'Năm nay' AND bsh.MA_HANG = '30' THEN CAST(gt.GIA_TRI AS VARCHAR2(4000)) END) AS "2.Tiền chi trả vốn góp cho các chủ sở hữu, mua lại cổ phiếu đã phát hành",
	MAX(CASE WHEN bsc.TEN_COT=N'Năm nay' AND bsh.MA_HANG = '31' THEN CAST(gt.GIA_TRI AS VARCHAR2(4000)) END) AS "3.Tiền vay gốc",
	MAX(CASE WHEN bsc.TEN_COT=N'Năm nay' AND bsh.MA_HANG = '32' THEN CAST(gt.GIA_TRI AS VARCHAR2(4000)) END) AS "3.1. Tiền vay Quỹ Hỗ trợ thanh toán",
	MAX(CASE WHEN bsc.TEN_COT=N'Năm nay' AND bsh.MA_HANG = '33' THEN CAST(gt.GIA_TRI AS VARCHAR2(4000)) END) AS "3.2. Tiền vay khác",
	MAX(CASE WHEN bsc.TEN_COT=N'Năm nay' AND bsh.MA_HANG = '34' THEN CAST(gt.GIA_TRI AS VARCHAR2(4000)) END) AS "4. Tiền chi trả nợ gốc vay",
	MAX(CASE WHEN bsc.TEN_COT=N'Năm nay' AND bsh.MA_HANG = '35' THEN CAST(gt.GIA_TRI AS VARCHAR2(4000)) END) AS "4.1. Tiền chi trả gốc vay Quỹ Hỗ trợ thanh toán",
	MAX(CASE WHEN bsc.TEN_COT=N'Năm nay' AND bsh.MA_HANG = '36' THEN CAST(gt.GIA_TRI AS VARCHAR2(4000)) END) AS "4.2. Tiền chi trả gốc vay tài sản tài chính",
	MAX(CASE WHEN bsc.TEN_COT=N'Năm nay' AND bsh.MA_HANG = '37' THEN CAST(gt.GIA_TRI AS VARCHAR2(4000)) END) AS "4.3. Tiền chi trả gốc vay khác",
	MAX(CASE WHEN bsc.TEN_COT=N'Năm nay' AND bsh.MA_HANG = '38' THEN CAST(gt.GIA_TRI AS VARCHAR2(4000)) END) AS "5.Tiền chi trả nợ gốc thuê tài chính",
	MAX(CASE WHEN bsc.TEN_COT=N'Năm nay' AND bsh.MA_HANG = '39' THEN CAST(gt.GIA_TRI AS VARCHAR2(4000)) END) AS "6. Cổ tức, lợi nhuận đã trả cho chủ sở hữu",
	MAX(CASE WHEN bsc.TEN_COT=N'Năm nay' AND bsh.MA_HANG = '40' THEN CAST(gt.GIA_TRI AS VARCHAR2(4000)) END) AS "Lưu chuyển tiền thuần từ hoạt động tài chính",
	MAX(CASE WHEN bsc.TEN_COT=N'Năm nay' AND bsh.MA_HANG = '41' THEN CAST(gt.GIA_TRI AS VARCHAR2(4000)) END) AS "IV. Tăng/giảm tiền thuần trong kỳ",
	MAX(CASE WHEN bsc.TEN_COT=N'Năm nay' AND bsh.MA_HANG = '42' THEN CAST(gt.GIA_TRI AS VARCHAR2(4000)) END) AS "V. Tiền và các khoản tương đương tiền đầu kỳ",
	MAX(CASE WHEN bsc.TEN_COT=N'Năm nay' AND bsh.MA_HANG = '43' THEN CAST(gt.GIA_TRI AS VARCHAR2(4000)) END) AS "Tiền - Đầu kỳ",
	MAX(CASE WHEN bsc.TEN_COT=N'Năm nay' AND bsh.MA_HANG = '44' THEN CAST(gt.GIA_TRI AS VARCHAR2(4000)) END) AS "Các khoản tương đương tiền - Đầu kỳ",
	MAX(CASE WHEN bsc.TEN_COT=N'Năm nay' AND bsh.MA_HANG = '45' THEN CAST(gt.GIA_TRI AS VARCHAR2(4000)) END) AS "Ảnh hưởng của thay đổi tỷ giá hối đoái quy đổi ngoại tệ - Đầu kỳ",
	MAX(CASE WHEN bsc.TEN_COT=N'Năm nay' AND bsh.MA_HANG = '46' THEN CAST(gt.GIA_TRI AS VARCHAR2(4000)) END) AS "VI. Tiền và các khoản tương đương tiền cuối kỳ (70 = 50 + 60)",
	MAX(CASE WHEN bsc.TEN_COT=N'Năm nay' AND bsh.MA_HANG = '47' THEN CAST(gt.GIA_TRI AS VARCHAR2(4000)) END) AS "Tiền - Cuối kỳ",
	MAX(CASE WHEN bsc.TEN_COT=N'Năm nay' AND bsh.MA_HANG = '48' THEN CAST(gt.GIA_TRI AS VARCHAR2(4000)) END) AS "Các khoản tương đương tiền - Cuối kỳ",
	MAX(CASE WHEN bsc.TEN_COT=N'Năm nay' AND bsh.MA_HANG = '49' THEN CAST(gt.GIA_TRI AS VARCHAR2(4000)) END) AS "Ảnh hưởng của thay đổi tỷ giá hối đoái quy đổi ngoại tệ - Cuối kỳ",	    
    -- Năm trước
	MAX(CASE WHEN bsc.TEN_COT=N'Năm trước' AND bsh.MA_HANG = '7' THEN CAST(gt.GIA_TRI AS VARCHAR2(4000)) END) AS "I. Lưu chuyển tiền từ hoạt động kinh doanh",
	MAX(CASE WHEN bsc.TEN_COT=N'Năm trước' AND bsh.MA_HANG = '8' THEN CAST(gt.GIA_TRI AS VARCHAR2(4000)) END) AS "1.Tiền đã chi mua các tài sản tài chính",
	MAX(CASE WHEN bsc.TEN_COT=N'Năm trước' AND bsh.MA_HANG = '9' THEN CAST(gt.GIA_TRI AS VARCHAR2(4000)) END) AS "2.Tiền đã thu từ bán các tài sản tài chính",
	MAX(CASE WHEN bsc.TEN_COT=N'Năm trước' AND bsh.MA_HANG = '10' THEN CAST(gt.GIA_TRI AS VARCHAR2(4000)) END) AS "3. Tiền chi nộp Quỹ Hỗ trợ thanh toán",
	MAX(CASE WHEN bsc.TEN_COT=N'Năm trước' AND bsh.MA_HANG = '11' THEN CAST(gt.GIA_TRI AS VARCHAR2(4000)) END) AS "4. Cổ tức đã nhận",
	MAX(CASE WHEN bsc.TEN_COT=N'Năm trước' AND bsh.MA_HANG = '12' THEN CAST(gt.GIA_TRI AS VARCHAR2(4000)) END) AS "5. Tiền lãi đã thu",
	MAX(CASE WHEN bsc.TEN_COT=N'Năm trước' AND bsh.MA_HANG = '13' THEN CAST(gt.GIA_TRI AS VARCHAR2(4000)) END) AS "6. Tiền chi trả lãi vay cho hoạt động của CTCK",
	MAX(CASE WHEN bsc.TEN_COT=N'Năm trước' AND bsh.MA_HANG = '14' THEN CAST(gt.GIA_TRI AS VARCHAR2(4000)) END) AS "7. Tiền chi trả Tổ chức cung cấp dịch vụ cho CTCK",
	MAX(CASE WHEN bsc.TEN_COT=N'Năm trước' AND bsh.MA_HANG = '15' THEN CAST(gt.GIA_TRI AS VARCHAR2(4000)) END) AS "8. Tiền chi trả cho người lao động",
	MAX(CASE WHEN bsc.TEN_COT=N'Năm trước' AND bsh.MA_HANG = '16' THEN CAST(gt.GIA_TRI AS VARCHAR2(4000)) END) AS "9. Tiền chi nộp thuế liên quan đến hoạt động CTCK" ,
	MAX(CASE WHEN bsc.TEN_COT=N'Năm trước' AND bsh.MA_HANG = '17' THEN CAST(gt.GIA_TRI AS VARCHAR2(4000)) END) AS "10.Tiền chi thanh toán các chi phí cho hoạt động mua, bán các tài sản tài chính",
	MAX(CASE WHEN bsc.TEN_COT=N'Năm trước' AND bsh.MA_HANG = '18' THEN CAST(gt.GIA_TRI AS VARCHAR2(4000)) END) AS "11. Tiền thu khác từ hoạt động kinh doanh",
	MAX(CASE WHEN bsc.TEN_COT=N'Năm trước' AND bsh.MA_HANG = '19' THEN CAST(gt.GIA_TRI AS VARCHAR2(4000)) END) AS "12. Tiền chi khác cho hoạt động kinh doanh",
	MAX(CASE WHEN bsc.TEN_COT=N'Năm trước' AND bsh.MA_HANG = '20' THEN CAST(gt.GIA_TRI AS VARCHAR2(4000)) END) AS "Lưu chuyển tiền thuần từ hoạt động kinh doanh",
	MAX(CASE WHEN bsc.TEN_COT=N'Năm trước' AND bsh.MA_HANG = '21' THEN CAST(gt.GIA_TRI AS VARCHAR2(4000)) END) AS "II. Lưu chuyển tiền từ hoạt động đầu tư",
	MAX(CASE WHEN bsc.TEN_COT=N'Năm trước' AND bsh.MA_HANG = '22' THEN CAST(gt.GIA_TRI AS VARCHAR2(4000)) END) AS "1.Tiền chi để mua sắm, xây dựng TSCĐ, BĐSĐT và các tài sản khác",
	MAX(CASE WHEN bsc.TEN_COT=N'Năm trước' AND bsh.MA_HANG = '23' THEN CAST(gt.GIA_TRI AS VARCHAR2(4000)) END) AS "2.Tiền thu từ thanh lý, nhượng bán TSCĐ, BĐSĐT  và các tài sản khác",
	MAX(CASE WHEN bsc.TEN_COT=N'Năm trước' AND bsh.MA_HANG = '24' THEN CAST(gt.GIA_TRI AS VARCHAR2(4000)) END) AS "3.Tiền chi đầu tư góp vốn vào công ty con, công  ty liên doanh, liên kết và đầu tư khác",
	MAX(CASE WHEN bsc.TEN_COT=N'Năm trước' AND bsh.MA_HANG = '25' THEN CAST(gt.GIA_TRI AS VARCHAR2(4000)) END) AS "4.Tiền thu hồi đầu tư góp vốn vào công ty con, công ty liên doanh, liên kết và đầu tư khác",
	MAX(CASE WHEN bsc.TEN_COT=N'Năm trước' AND bsh.MA_HANG = '26' THEN CAST(gt.GIA_TRI AS VARCHAR2(4000)) END) AS "5.Tiền thu về  cổ tức và lợi nhuận được chia từ các khoản đầu tư tài chính dài hạn",
	MAX(CASE WHEN bsc.TEN_COT=N'Năm trước' AND bsh.MA_HANG = '27' THEN CAST(gt.GIA_TRI AS VARCHAR2(4000)) END) AS "Lưu chuyển tiền thuần từ hoạt động đầu tư",
	MAX(CASE WHEN bsc.TEN_COT=N'Năm trước' AND bsh.MA_HANG = '28' THEN CAST(gt.GIA_TRI AS VARCHAR2(4000)) END) AS "III. Lưu chuyển tiền từ hoạt động tài chính",
	MAX(CASE WHEN bsc.TEN_COT=N'Năm trước' AND bsh.MA_HANG = '29' THEN CAST(gt.GIA_TRI AS VARCHAR2(4000)) END) AS "1.Tiền thu từ phát hành cổ phiếu, nhận vốn góp của chủ sở hữu",
	MAX(CASE WHEN bsc.TEN_COT=N'Năm trước' AND bsh.MA_HANG = '30' THEN CAST(gt.GIA_TRI AS VARCHAR2(4000)) END) AS "2.Tiền chi trả vốn góp cho các chủ sở hữu, mua lại cổ phiếu đã phát hành",
	MAX(CASE WHEN bsc.TEN_COT=N'Năm trước' AND bsh.MA_HANG = '31' THEN CAST(gt.GIA_TRI AS VARCHAR2(4000)) END) AS "3.Tiền vay gốc",
	MAX(CASE WHEN bsc.TEN_COT=N'Năm trước' AND bsh.MA_HANG = '32' THEN CAST(gt.GIA_TRI AS VARCHAR2(4000)) END) AS "3.1. Tiền vay Quỹ Hỗ trợ thanh toán",
	MAX(CASE WHEN bsc.TEN_COT=N'Năm trước' AND bsh.MA_HANG = '33' THEN CAST(gt.GIA_TRI AS VARCHAR2(4000)) END) AS "3.2. Tiền vay khác",
	MAX(CASE WHEN bsc.TEN_COT=N'Năm trước' AND bsh.MA_HANG = '34' THEN CAST(gt.GIA_TRI AS VARCHAR2(4000)) END) AS "4. Tiền chi trả nợ gốc vay",
	MAX(CASE WHEN bsc.TEN_COT=N'Năm trước' AND bsh.MA_HANG = '35' THEN CAST(gt.GIA_TRI AS VARCHAR2(4000)) END) AS "4.1. Tiền chi trả gốc vay Quỹ Hỗ trợ thanh toán",
	MAX(CASE WHEN bsc.TEN_COT=N'Năm trước' AND bsh.MA_HANG = '36' THEN CAST(gt.GIA_TRI AS VARCHAR2(4000)) END) AS "4.2. Tiền chi trả gốc vay tài sản tài chính",
	MAX(CASE WHEN bsc.TEN_COT=N'Năm trước' AND bsh.MA_HANG = '37' THEN CAST(gt.GIA_TRI AS VARCHAR2(4000)) END) AS "4.3. Tiền chi trả gốc vay khác",
	MAX(CASE WHEN bsc.TEN_COT=N'Năm trước' AND bsh.MA_HANG = '38' THEN CAST(gt.GIA_TRI AS VARCHAR2(4000)) END) AS "5.Tiền chi trả nợ gốc thuê tài chính",
	MAX(CASE WHEN bsc.TEN_COT=N'Năm trước' AND bsh.MA_HANG = '39' THEN CAST(gt.GIA_TRI AS VARCHAR2(4000)) END) AS "6. Cổ tức, lợi nhuận đã trả cho chủ sở hữu",
	MAX(CASE WHEN bsc.TEN_COT=N'Năm trước' AND bsh.MA_HANG = '40' THEN CAST(gt.GIA_TRI AS VARCHAR2(4000)) END) AS "Lưu chuyển tiền thuần từ hoạt động tài chính",
	MAX(CASE WHEN bsc.TEN_COT=N'Năm trước' AND bsh.MA_HANG = '41' THEN CAST(gt.GIA_TRI AS VARCHAR2(4000)) END) AS "IV. Tăng/giảm tiền thuần trong kỳ",
	MAX(CASE WHEN bsc.TEN_COT=N'Năm trước' AND bsh.MA_HANG = '42' THEN CAST(gt.GIA_TRI AS VARCHAR2(4000)) END) AS "V. Tiền và các khoản tương đương tiền đầu kỳ",
	MAX(CASE WHEN bsc.TEN_COT=N'Năm trước' AND bsh.MA_HANG = '43' THEN CAST(gt.GIA_TRI AS VARCHAR2(4000)) END) AS "Tiền - Đầu kỳ",
	MAX(CASE WHEN bsc.TEN_COT=N'Năm trước' AND bsh.MA_HANG = '44' THEN CAST(gt.GIA_TRI AS VARCHAR2(4000)) END) AS "Các khoản tương đương tiền - Đầu kỳ",
	MAX(CASE WHEN bsc.TEN_COT=N'Năm trước' AND bsh.MA_HANG = '45' THEN CAST(gt.GIA_TRI AS VARCHAR2(4000)) END) AS "Ảnh hưởng của thay đổi tỷ giá hối đoái quy đổi ngoại tệ - Đầu kỳ",
	MAX(CASE WHEN bsc.TEN_COT=N'Năm trước' AND bsh.MA_HANG = '46' THEN CAST(gt.GIA_TRI AS VARCHAR2(4000)) END) AS "VI. Tiền và các khoản tương đương tiền cuối kỳ (70 = 50 + 60)",
	MAX(CASE WHEN bsc.TEN_COT=N'Năm trước' AND bsh.MA_HANG = '47' THEN CAST(gt.GIA_TRI AS VARCHAR2(4000)) END) AS "Tiền - Cuối kỳ",
	MAX(CASE WHEN bsc.TEN_COT=N'Năm trước' AND bsh.MA_HANG = '48' THEN CAST(gt.GIA_TRI AS VARCHAR2(4000)) END) AS "Các khoản tương đương tiền - Cuối kỳ",
	MAX(CASE WHEN bsc.TEN_COT=N'Năm trước' AND bsh.MA_HANG = '49' THEN CAST(gt.GIA_TRI AS VARCHAR2(4000)) END) AS "Ảnh hưởng của thay đổi tỷ giá hối đoái quy đổi ngoại tệ - Cuối kỳ"  
FROM SCMS.BC_THANH_VIEN btv
JOIN SCMS.BM_BAO_CAO bm ON bm.ID = btv.BM_BAO_CAO_ID
JOIN SCMS.BC_BAO_CAO_GT gt ON gt.BC_THANH_VIEN_ID = btv.ID
JOIN SCMS.BM_BAO_CAO_HANG bsh ON bsh.ID = gt.BM_SHEET_HANG_ID
JOIN SCMS.BM_BAO_CAO_COT bsc ON bsc.BM_SHEET_ID = 5890
--                               AND bsc.TEN_COT = gt.TEN_COT
WHERE bm.MA_BAO_CAO LIKE 'BCTCRLCTCK'
  AND btv.TRANG_THAI IN (2, 3)
GROUP BY btv.ID, btv.NGAY_SO_LIEU
ORDER BY btv.NGAY_SO_LIEU DESC;</t>
        </is>
      </c>
      <c r="U2097" s="16" t="n"/>
      <c r="V2097" s="22" t="n"/>
      <c r="W2097" s="22" t="n"/>
      <c r="X2097" s="22" t="n"/>
      <c r="Y2097" s="13" t="n"/>
      <c r="Z2097" s="22" t="n"/>
      <c r="AA2097" s="22" t="n"/>
      <c r="AB2097" s="22" t="n"/>
      <c r="AC2097" s="22" t="n"/>
      <c r="AD2097" s="22" t="n"/>
      <c r="AE2097" s="22" t="n"/>
    </row>
    <row r="2098" ht="70" customHeight="1" s="380">
      <c r="A2098" s="126" t="n">
        <v>96</v>
      </c>
      <c r="B2098" s="390" t="n"/>
      <c r="C2098" s="390" t="inlineStr">
        <is>
          <t>Báo cáo theo Thông tư 121/2020/TT-BTC &gt;&gt; Báo báo tài chính &gt;&gt; Báo cáo lưu chuyển tiền tệ riêng_06611</t>
        </is>
      </c>
      <c r="D2098" s="390" t="inlineStr">
        <is>
          <t>1.Tiền đã chi mua các tài sản tài chính</t>
        </is>
      </c>
      <c r="E2098" s="390" t="n">
        <v>1</v>
      </c>
      <c r="F2098" s="390" t="inlineStr">
        <is>
          <t>Data Explorer</t>
        </is>
      </c>
      <c r="G2098" s="390" t="inlineStr">
        <is>
          <t>Chỉ tiêu cơ sở</t>
        </is>
      </c>
      <c r="H2098" s="390" t="inlineStr">
        <is>
          <t>Dễ</t>
        </is>
      </c>
      <c r="I2098" s="390" t="inlineStr">
        <is>
          <t>Ngày, CTCK</t>
        </is>
      </c>
      <c r="J2098" s="401" t="inlineStr">
        <is>
          <t>SCMS</t>
        </is>
      </c>
      <c r="K2098" s="401" t="n"/>
      <c r="L2098" s="401" t="inlineStr">
        <is>
          <t>X</t>
        </is>
      </c>
      <c r="M2098" s="401" t="n"/>
      <c r="N2098" s="401" t="inlineStr">
        <is>
          <t>Done</t>
        </is>
      </c>
      <c r="O2098" s="401" t="n"/>
      <c r="P2098" s="22" t="n"/>
      <c r="S2098" s="22" t="n"/>
      <c r="U2098" s="16" t="n"/>
      <c r="V2098" s="22" t="n"/>
      <c r="W2098" s="22" t="n"/>
      <c r="X2098" s="22" t="n"/>
      <c r="Y2098" s="13" t="n"/>
      <c r="Z2098" s="22" t="n"/>
      <c r="AA2098" s="22" t="n"/>
      <c r="AB2098" s="22" t="n"/>
      <c r="AC2098" s="22" t="n"/>
      <c r="AD2098" s="22" t="n"/>
      <c r="AE2098" s="22" t="n"/>
    </row>
    <row r="2099" ht="70" customHeight="1" s="380">
      <c r="A2099" s="126" t="n">
        <v>96</v>
      </c>
      <c r="B2099" s="390" t="n"/>
      <c r="C2099" s="390" t="inlineStr">
        <is>
          <t>Báo cáo theo Thông tư 121/2020/TT-BTC &gt;&gt; Báo báo tài chính &gt;&gt; Báo cáo lưu chuyển tiền tệ riêng_06611</t>
        </is>
      </c>
      <c r="D2099" s="390" t="inlineStr">
        <is>
          <t>2.Tiền đã thu từ bán các tài sản tài chính</t>
        </is>
      </c>
      <c r="E2099" s="390" t="n">
        <v>2</v>
      </c>
      <c r="F2099" s="390" t="inlineStr">
        <is>
          <t>Data Explorer</t>
        </is>
      </c>
      <c r="G2099" s="390" t="inlineStr">
        <is>
          <t>Chỉ tiêu cơ sở</t>
        </is>
      </c>
      <c r="H2099" s="390" t="inlineStr">
        <is>
          <t>Dễ</t>
        </is>
      </c>
      <c r="I2099" s="390" t="inlineStr">
        <is>
          <t>Ngày, CTCK</t>
        </is>
      </c>
      <c r="J2099" s="401" t="inlineStr">
        <is>
          <t>SCMS</t>
        </is>
      </c>
      <c r="K2099" s="401" t="n"/>
      <c r="L2099" s="401" t="inlineStr">
        <is>
          <t>X</t>
        </is>
      </c>
      <c r="M2099" s="401" t="n"/>
      <c r="N2099" s="401" t="inlineStr">
        <is>
          <t>Done</t>
        </is>
      </c>
      <c r="O2099" s="401" t="n"/>
      <c r="P2099" s="22" t="n"/>
      <c r="S2099" s="22" t="n"/>
      <c r="U2099" s="16" t="n"/>
      <c r="V2099" s="22" t="n"/>
      <c r="W2099" s="22" t="n"/>
      <c r="X2099" s="22" t="n"/>
      <c r="Y2099" s="14" t="n"/>
      <c r="Z2099" s="22" t="n"/>
      <c r="AA2099" s="22" t="n"/>
      <c r="AB2099" s="22" t="n"/>
      <c r="AC2099" s="22" t="n"/>
      <c r="AD2099" s="22" t="n"/>
      <c r="AE2099" s="22" t="n"/>
    </row>
    <row r="2100" ht="70" customHeight="1" s="380">
      <c r="A2100" s="126" t="n">
        <v>96</v>
      </c>
      <c r="B2100" s="390" t="n"/>
      <c r="C2100" s="390" t="inlineStr">
        <is>
          <t>Báo cáo theo Thông tư 121/2020/TT-BTC &gt;&gt; Báo báo tài chính &gt;&gt; Báo cáo lưu chuyển tiền tệ riêng_06611</t>
        </is>
      </c>
      <c r="D2100" s="390" t="inlineStr">
        <is>
          <t>3. Tiền chi nộp Quỹ Hỗ trợ thanh toán</t>
        </is>
      </c>
      <c r="E2100" s="390" t="n">
        <v>3</v>
      </c>
      <c r="F2100" s="390" t="inlineStr">
        <is>
          <t>Data Explorer</t>
        </is>
      </c>
      <c r="G2100" s="390" t="inlineStr">
        <is>
          <t>Chỉ tiêu cơ sở</t>
        </is>
      </c>
      <c r="H2100" s="390" t="inlineStr">
        <is>
          <t>Dễ</t>
        </is>
      </c>
      <c r="I2100" s="390" t="inlineStr">
        <is>
          <t>Ngày, CTCK</t>
        </is>
      </c>
      <c r="J2100" s="401" t="inlineStr">
        <is>
          <t>SCMS</t>
        </is>
      </c>
      <c r="K2100" s="401" t="n"/>
      <c r="L2100" s="401" t="inlineStr">
        <is>
          <t>X</t>
        </is>
      </c>
      <c r="M2100" s="401" t="n"/>
      <c r="N2100" s="401" t="inlineStr">
        <is>
          <t>Done</t>
        </is>
      </c>
      <c r="O2100" s="401" t="n"/>
      <c r="P2100" s="22" t="n"/>
      <c r="S2100" s="22" t="n"/>
      <c r="U2100" s="16" t="n"/>
      <c r="V2100" s="22" t="n"/>
      <c r="W2100" s="22" t="n"/>
      <c r="X2100" s="22" t="n"/>
      <c r="Y2100" s="13" t="n"/>
      <c r="Z2100" s="22" t="n"/>
      <c r="AA2100" s="22" t="n"/>
      <c r="AB2100" s="22" t="n"/>
      <c r="AC2100" s="22" t="n"/>
      <c r="AD2100" s="22" t="n"/>
      <c r="AE2100" s="22" t="n"/>
    </row>
    <row r="2101" ht="70" customHeight="1" s="380">
      <c r="A2101" s="126" t="n">
        <v>96</v>
      </c>
      <c r="B2101" s="390" t="n"/>
      <c r="C2101" s="390" t="inlineStr">
        <is>
          <t>Báo cáo theo Thông tư 121/2020/TT-BTC &gt;&gt; Báo báo tài chính &gt;&gt; Báo cáo lưu chuyển tiền tệ riêng_06611</t>
        </is>
      </c>
      <c r="D2101" s="390" t="inlineStr">
        <is>
          <t xml:space="preserve">4. Cổ tức đã nhận </t>
        </is>
      </c>
      <c r="E2101" s="390" t="n">
        <v>4</v>
      </c>
      <c r="F2101" s="390" t="inlineStr">
        <is>
          <t>Data Explorer</t>
        </is>
      </c>
      <c r="G2101" s="390" t="inlineStr">
        <is>
          <t>Chỉ tiêu cơ sở</t>
        </is>
      </c>
      <c r="H2101" s="390" t="inlineStr">
        <is>
          <t>Dễ</t>
        </is>
      </c>
      <c r="I2101" s="390" t="inlineStr">
        <is>
          <t>Ngày, CTCK</t>
        </is>
      </c>
      <c r="J2101" s="401" t="inlineStr">
        <is>
          <t>SCMS</t>
        </is>
      </c>
      <c r="K2101" s="401" t="n"/>
      <c r="L2101" s="401" t="inlineStr">
        <is>
          <t>X</t>
        </is>
      </c>
      <c r="M2101" s="401" t="n"/>
      <c r="N2101" s="401" t="inlineStr">
        <is>
          <t>Done</t>
        </is>
      </c>
      <c r="O2101" s="401" t="n"/>
      <c r="P2101" s="22" t="n"/>
      <c r="S2101" s="22" t="n"/>
      <c r="U2101" s="16" t="n"/>
      <c r="V2101" s="22" t="n"/>
      <c r="W2101" s="22" t="n"/>
      <c r="X2101" s="22" t="n"/>
      <c r="Y2101" s="13" t="n"/>
      <c r="Z2101" s="22" t="n"/>
      <c r="AA2101" s="22" t="n"/>
      <c r="AB2101" s="22" t="n"/>
      <c r="AC2101" s="22" t="n"/>
      <c r="AD2101" s="22" t="n"/>
      <c r="AE2101" s="22" t="n"/>
    </row>
    <row r="2102" ht="70" customHeight="1" s="380">
      <c r="A2102" s="126" t="n">
        <v>96</v>
      </c>
      <c r="B2102" s="390" t="n"/>
      <c r="C2102" s="390" t="inlineStr">
        <is>
          <t>Báo cáo theo Thông tư 121/2020/TT-BTC &gt;&gt; Báo báo tài chính &gt;&gt; Báo cáo lưu chuyển tiền tệ riêng_06611</t>
        </is>
      </c>
      <c r="D2102" s="390" t="inlineStr">
        <is>
          <t>5. Tiền lãi đã thu</t>
        </is>
      </c>
      <c r="E2102" s="390" t="n">
        <v>5</v>
      </c>
      <c r="F2102" s="390" t="inlineStr">
        <is>
          <t>Data Explorer</t>
        </is>
      </c>
      <c r="G2102" s="390" t="inlineStr">
        <is>
          <t>Chỉ tiêu cơ sở</t>
        </is>
      </c>
      <c r="H2102" s="390" t="inlineStr">
        <is>
          <t>Dễ</t>
        </is>
      </c>
      <c r="I2102" s="390" t="inlineStr">
        <is>
          <t>Ngày, CTCK</t>
        </is>
      </c>
      <c r="J2102" s="401" t="inlineStr">
        <is>
          <t>SCMS</t>
        </is>
      </c>
      <c r="K2102" s="401" t="n"/>
      <c r="L2102" s="401" t="inlineStr">
        <is>
          <t>X</t>
        </is>
      </c>
      <c r="M2102" s="401" t="n"/>
      <c r="N2102" s="401" t="inlineStr">
        <is>
          <t>Done</t>
        </is>
      </c>
      <c r="O2102" s="401" t="n"/>
      <c r="P2102" s="22" t="n"/>
      <c r="S2102" s="22" t="n"/>
      <c r="U2102" s="16" t="n"/>
      <c r="V2102" s="22" t="n"/>
      <c r="W2102" s="22" t="n"/>
      <c r="X2102" s="22" t="n"/>
      <c r="Y2102" s="13" t="n"/>
      <c r="Z2102" s="22" t="n"/>
      <c r="AA2102" s="22" t="n"/>
      <c r="AB2102" s="22" t="n"/>
      <c r="AC2102" s="22" t="n"/>
      <c r="AD2102" s="22" t="n"/>
      <c r="AE2102" s="22" t="n"/>
    </row>
    <row r="2103" ht="70" customHeight="1" s="380">
      <c r="A2103" s="126" t="n">
        <v>96</v>
      </c>
      <c r="B2103" s="390" t="n"/>
      <c r="C2103" s="390" t="inlineStr">
        <is>
          <t>Báo cáo theo Thông tư 121/2020/TT-BTC &gt;&gt; Báo báo tài chính &gt;&gt; Báo cáo lưu chuyển tiền tệ riêng_06611</t>
        </is>
      </c>
      <c r="D2103" s="390" t="inlineStr">
        <is>
          <t xml:space="preserve">6. Tiền chi trả lãi vay cho hoạt động của CTCK </t>
        </is>
      </c>
      <c r="E2103" s="390" t="n">
        <v>6</v>
      </c>
      <c r="F2103" s="390" t="inlineStr">
        <is>
          <t>Data Explorer</t>
        </is>
      </c>
      <c r="G2103" s="390" t="inlineStr">
        <is>
          <t>Chỉ tiêu cơ sở</t>
        </is>
      </c>
      <c r="H2103" s="390" t="inlineStr">
        <is>
          <t>Dễ</t>
        </is>
      </c>
      <c r="I2103" s="390" t="inlineStr">
        <is>
          <t>Ngày, CTCK</t>
        </is>
      </c>
      <c r="J2103" s="401" t="inlineStr">
        <is>
          <t>SCMS</t>
        </is>
      </c>
      <c r="K2103" s="401" t="n"/>
      <c r="L2103" s="401" t="inlineStr">
        <is>
          <t>X</t>
        </is>
      </c>
      <c r="M2103" s="401" t="n"/>
      <c r="N2103" s="401" t="inlineStr">
        <is>
          <t>Done</t>
        </is>
      </c>
      <c r="O2103" s="401" t="n"/>
      <c r="P2103" s="22" t="n"/>
      <c r="S2103" s="22" t="n"/>
      <c r="U2103" s="16" t="n"/>
      <c r="V2103" s="22" t="n"/>
      <c r="W2103" s="22" t="n"/>
      <c r="X2103" s="22" t="n"/>
      <c r="Y2103" s="13" t="n"/>
      <c r="Z2103" s="22" t="n"/>
      <c r="AA2103" s="22" t="n"/>
      <c r="AB2103" s="22" t="n"/>
      <c r="AC2103" s="22" t="n"/>
      <c r="AD2103" s="22" t="n"/>
      <c r="AE2103" s="22" t="n"/>
    </row>
    <row r="2104" ht="70" customHeight="1" s="380">
      <c r="A2104" s="126" t="n">
        <v>96</v>
      </c>
      <c r="B2104" s="390" t="n"/>
      <c r="C2104" s="390" t="inlineStr">
        <is>
          <t>Báo cáo theo Thông tư 121/2020/TT-BTC &gt;&gt; Báo báo tài chính &gt;&gt; Báo cáo lưu chuyển tiền tệ riêng_06611</t>
        </is>
      </c>
      <c r="D2104" s="390" t="inlineStr">
        <is>
          <t xml:space="preserve">7. Tiền chi trả Tổ chức cung cấp dịch vụ cho CTCK </t>
        </is>
      </c>
      <c r="E2104" s="390" t="n">
        <v>7</v>
      </c>
      <c r="F2104" s="390" t="inlineStr">
        <is>
          <t>Data Explorer</t>
        </is>
      </c>
      <c r="G2104" s="390" t="inlineStr">
        <is>
          <t>Chỉ tiêu cơ sở</t>
        </is>
      </c>
      <c r="H2104" s="390" t="inlineStr">
        <is>
          <t>Dễ</t>
        </is>
      </c>
      <c r="I2104" s="390" t="inlineStr">
        <is>
          <t>Ngày, CTCK</t>
        </is>
      </c>
      <c r="J2104" s="401" t="inlineStr">
        <is>
          <t>SCMS</t>
        </is>
      </c>
      <c r="K2104" s="401" t="n"/>
      <c r="L2104" s="401" t="inlineStr">
        <is>
          <t>X</t>
        </is>
      </c>
      <c r="M2104" s="401" t="n"/>
      <c r="N2104" s="401" t="inlineStr">
        <is>
          <t>Done</t>
        </is>
      </c>
      <c r="O2104" s="401" t="n"/>
      <c r="P2104" s="22" t="n"/>
      <c r="S2104" s="22" t="n"/>
      <c r="U2104" s="16" t="n"/>
      <c r="V2104" s="22" t="n"/>
      <c r="W2104" s="22" t="n"/>
      <c r="X2104" s="22" t="n"/>
      <c r="Y2104" s="13" t="n"/>
      <c r="Z2104" s="22" t="n"/>
      <c r="AA2104" s="22" t="n"/>
      <c r="AB2104" s="22" t="n"/>
      <c r="AC2104" s="22" t="n"/>
      <c r="AD2104" s="22" t="n"/>
      <c r="AE2104" s="22" t="n"/>
    </row>
    <row r="2105" ht="70" customHeight="1" s="380">
      <c r="A2105" s="126" t="n">
        <v>96</v>
      </c>
      <c r="B2105" s="390" t="n"/>
      <c r="C2105" s="390" t="inlineStr">
        <is>
          <t>Báo cáo theo Thông tư 121/2020/TT-BTC &gt;&gt; Báo báo tài chính &gt;&gt; Báo cáo lưu chuyển tiền tệ riêng_06611</t>
        </is>
      </c>
      <c r="D2105" s="390" t="inlineStr">
        <is>
          <t>8. Tiền chi trả cho người lao động</t>
        </is>
      </c>
      <c r="E2105" s="390" t="n">
        <v>8</v>
      </c>
      <c r="F2105" s="390" t="inlineStr">
        <is>
          <t>Data Explorer</t>
        </is>
      </c>
      <c r="G2105" s="390" t="inlineStr">
        <is>
          <t>Chỉ tiêu cơ sở</t>
        </is>
      </c>
      <c r="H2105" s="390" t="inlineStr">
        <is>
          <t>Dễ</t>
        </is>
      </c>
      <c r="I2105" s="390" t="inlineStr">
        <is>
          <t>Ngày, CTCK</t>
        </is>
      </c>
      <c r="J2105" s="401" t="inlineStr">
        <is>
          <t>SCMS</t>
        </is>
      </c>
      <c r="K2105" s="401" t="n"/>
      <c r="L2105" s="401" t="inlineStr">
        <is>
          <t>X</t>
        </is>
      </c>
      <c r="M2105" s="401" t="n"/>
      <c r="N2105" s="401" t="inlineStr">
        <is>
          <t>Done</t>
        </is>
      </c>
      <c r="O2105" s="401" t="n"/>
      <c r="P2105" s="22" t="n"/>
      <c r="S2105" s="22" t="n"/>
      <c r="U2105" s="16" t="n"/>
      <c r="V2105" s="22" t="n"/>
      <c r="W2105" s="22" t="n"/>
      <c r="X2105" s="22" t="n"/>
      <c r="Y2105" s="14" t="n"/>
      <c r="Z2105" s="22" t="n"/>
      <c r="AA2105" s="22" t="n"/>
      <c r="AB2105" s="22" t="n"/>
      <c r="AC2105" s="22" t="n"/>
      <c r="AD2105" s="22" t="n"/>
      <c r="AE2105" s="22" t="n"/>
    </row>
    <row r="2106" ht="70" customHeight="1" s="380">
      <c r="A2106" s="126" t="n">
        <v>96</v>
      </c>
      <c r="B2106" s="390" t="n"/>
      <c r="C2106" s="390" t="inlineStr">
        <is>
          <t>Báo cáo theo Thông tư 121/2020/TT-BTC &gt;&gt; Báo báo tài chính &gt;&gt; Báo cáo lưu chuyển tiền tệ riêng_06611</t>
        </is>
      </c>
      <c r="D2106" s="390" t="inlineStr">
        <is>
          <t xml:space="preserve">9. Tiền chi nộp thuế liên quan đến hoạt động CTCK </t>
        </is>
      </c>
      <c r="E2106" s="390" t="n">
        <v>9</v>
      </c>
      <c r="F2106" s="390" t="inlineStr">
        <is>
          <t>Data Explorer</t>
        </is>
      </c>
      <c r="G2106" s="390" t="inlineStr">
        <is>
          <t>Chỉ tiêu cơ sở</t>
        </is>
      </c>
      <c r="H2106" s="390" t="inlineStr">
        <is>
          <t>Dễ</t>
        </is>
      </c>
      <c r="I2106" s="390" t="inlineStr">
        <is>
          <t>Ngày, CTCK</t>
        </is>
      </c>
      <c r="J2106" s="401" t="inlineStr">
        <is>
          <t>SCMS</t>
        </is>
      </c>
      <c r="K2106" s="401" t="n"/>
      <c r="L2106" s="401" t="inlineStr">
        <is>
          <t>X</t>
        </is>
      </c>
      <c r="M2106" s="401" t="n"/>
      <c r="N2106" s="401" t="inlineStr">
        <is>
          <t>Done</t>
        </is>
      </c>
      <c r="O2106" s="401" t="n"/>
      <c r="P2106" s="22" t="n"/>
      <c r="S2106" s="22" t="n"/>
      <c r="U2106" s="16" t="n"/>
      <c r="V2106" s="22" t="n"/>
      <c r="W2106" s="22" t="n"/>
      <c r="X2106" s="22" t="n"/>
      <c r="Y2106" s="13" t="n"/>
      <c r="Z2106" s="22" t="n"/>
      <c r="AA2106" s="22" t="n"/>
      <c r="AB2106" s="22" t="n"/>
      <c r="AC2106" s="22" t="n"/>
      <c r="AD2106" s="22" t="n"/>
      <c r="AE2106" s="22" t="n"/>
    </row>
    <row r="2107" ht="70" customHeight="1" s="380">
      <c r="A2107" s="126" t="n">
        <v>96</v>
      </c>
      <c r="B2107" s="390" t="n"/>
      <c r="C2107" s="390" t="inlineStr">
        <is>
          <t>Báo cáo theo Thông tư 121/2020/TT-BTC &gt;&gt; Báo báo tài chính &gt;&gt; Báo cáo lưu chuyển tiền tệ riêng_06611</t>
        </is>
      </c>
      <c r="D2107" s="390" t="inlineStr">
        <is>
          <t xml:space="preserve">10.Tiền chi thanh toán các chi phí cho hoạt động mua, bán các tài sản tài chính </t>
        </is>
      </c>
      <c r="E2107" s="390" t="n">
        <v>10</v>
      </c>
      <c r="F2107" s="390" t="inlineStr">
        <is>
          <t>Data Explorer</t>
        </is>
      </c>
      <c r="G2107" s="390" t="inlineStr">
        <is>
          <t>Chỉ tiêu cơ sở</t>
        </is>
      </c>
      <c r="H2107" s="390" t="inlineStr">
        <is>
          <t>Dễ</t>
        </is>
      </c>
      <c r="I2107" s="390" t="inlineStr">
        <is>
          <t>Ngày, CTCK</t>
        </is>
      </c>
      <c r="J2107" s="401" t="inlineStr">
        <is>
          <t>SCMS</t>
        </is>
      </c>
      <c r="K2107" s="401" t="n"/>
      <c r="L2107" s="401" t="inlineStr">
        <is>
          <t>X</t>
        </is>
      </c>
      <c r="M2107" s="401" t="n"/>
      <c r="N2107" s="401" t="inlineStr">
        <is>
          <t>Done</t>
        </is>
      </c>
      <c r="O2107" s="401" t="n"/>
      <c r="P2107" s="22" t="n"/>
      <c r="S2107" s="22" t="n"/>
      <c r="U2107" s="16" t="n"/>
      <c r="V2107" s="22" t="n"/>
      <c r="W2107" s="22" t="n"/>
      <c r="X2107" s="22" t="n"/>
      <c r="Y2107" s="13" t="n"/>
      <c r="Z2107" s="22" t="n"/>
      <c r="AA2107" s="22" t="n"/>
      <c r="AB2107" s="22" t="n"/>
      <c r="AC2107" s="22" t="n"/>
      <c r="AD2107" s="22" t="n"/>
      <c r="AE2107" s="22" t="n"/>
    </row>
    <row r="2108" ht="70" customHeight="1" s="380">
      <c r="A2108" s="126" t="n">
        <v>96</v>
      </c>
      <c r="B2108" s="390" t="n"/>
      <c r="C2108" s="390" t="inlineStr">
        <is>
          <t>Báo cáo theo Thông tư 121/2020/TT-BTC &gt;&gt; Báo báo tài chính &gt;&gt; Báo cáo lưu chuyển tiền tệ riêng_06611</t>
        </is>
      </c>
      <c r="D2108" s="390" t="inlineStr">
        <is>
          <t>11. Tiền thu khác từ hoạt động kinh doanh</t>
        </is>
      </c>
      <c r="E2108" s="390" t="n">
        <v>11</v>
      </c>
      <c r="F2108" s="390" t="inlineStr">
        <is>
          <t>Data Explorer</t>
        </is>
      </c>
      <c r="G2108" s="390" t="inlineStr">
        <is>
          <t>Chỉ tiêu cơ sở</t>
        </is>
      </c>
      <c r="H2108" s="390" t="inlineStr">
        <is>
          <t>Dễ</t>
        </is>
      </c>
      <c r="I2108" s="390" t="inlineStr">
        <is>
          <t>Ngày, CTCK</t>
        </is>
      </c>
      <c r="J2108" s="401" t="inlineStr">
        <is>
          <t>SCMS</t>
        </is>
      </c>
      <c r="K2108" s="401" t="n"/>
      <c r="L2108" s="401" t="inlineStr">
        <is>
          <t>X</t>
        </is>
      </c>
      <c r="M2108" s="401" t="n"/>
      <c r="N2108" s="401" t="inlineStr">
        <is>
          <t>Done</t>
        </is>
      </c>
      <c r="O2108" s="401" t="n"/>
      <c r="P2108" s="22" t="n"/>
      <c r="S2108" s="22" t="n"/>
      <c r="U2108" s="16" t="n"/>
      <c r="V2108" s="22" t="n"/>
      <c r="W2108" s="22" t="n"/>
      <c r="X2108" s="22" t="n"/>
      <c r="Y2108" s="13" t="n"/>
      <c r="Z2108" s="22" t="n"/>
      <c r="AA2108" s="22" t="n"/>
      <c r="AB2108" s="22" t="n"/>
      <c r="AC2108" s="22" t="n"/>
      <c r="AD2108" s="22" t="n"/>
      <c r="AE2108" s="22" t="n"/>
    </row>
    <row r="2109" ht="70" customHeight="1" s="380">
      <c r="A2109" s="126" t="n">
        <v>96</v>
      </c>
      <c r="B2109" s="390" t="n"/>
      <c r="C2109" s="390" t="inlineStr">
        <is>
          <t>Báo cáo theo Thông tư 121/2020/TT-BTC &gt;&gt; Báo báo tài chính &gt;&gt; Báo cáo lưu chuyển tiền tệ riêng_06611</t>
        </is>
      </c>
      <c r="D2109" s="390" t="inlineStr">
        <is>
          <t>12. Tiền chi khác cho hoạt động kinh doanh</t>
        </is>
      </c>
      <c r="E2109" s="390" t="n">
        <v>12</v>
      </c>
      <c r="F2109" s="390" t="inlineStr">
        <is>
          <t>Data Explorer</t>
        </is>
      </c>
      <c r="G2109" s="390" t="inlineStr">
        <is>
          <t>Chỉ tiêu cơ sở</t>
        </is>
      </c>
      <c r="H2109" s="390" t="inlineStr">
        <is>
          <t>Dễ</t>
        </is>
      </c>
      <c r="I2109" s="390" t="inlineStr">
        <is>
          <t>Ngày, CTCK</t>
        </is>
      </c>
      <c r="J2109" s="401" t="inlineStr">
        <is>
          <t>SCMS</t>
        </is>
      </c>
      <c r="K2109" s="401" t="n"/>
      <c r="L2109" s="401" t="inlineStr">
        <is>
          <t>X</t>
        </is>
      </c>
      <c r="M2109" s="401" t="n"/>
      <c r="N2109" s="401" t="inlineStr">
        <is>
          <t>Done</t>
        </is>
      </c>
      <c r="O2109" s="401" t="n"/>
      <c r="P2109" s="22" t="n"/>
      <c r="S2109" s="22" t="n"/>
      <c r="U2109" s="16" t="n"/>
      <c r="V2109" s="22" t="n"/>
      <c r="W2109" s="22" t="n"/>
      <c r="X2109" s="22" t="n"/>
      <c r="Y2109" s="13" t="n"/>
      <c r="Z2109" s="22" t="n"/>
      <c r="AA2109" s="22" t="n"/>
      <c r="AB2109" s="22" t="n"/>
      <c r="AC2109" s="22" t="n"/>
      <c r="AD2109" s="22" t="n"/>
      <c r="AE2109" s="22" t="n"/>
    </row>
    <row r="2110" ht="70" customHeight="1" s="380">
      <c r="A2110" s="126" t="n">
        <v>96</v>
      </c>
      <c r="B2110" s="390" t="n"/>
      <c r="C2110" s="390" t="inlineStr">
        <is>
          <t>Báo cáo theo Thông tư 121/2020/TT-BTC &gt;&gt; Báo báo tài chính &gt;&gt; Báo cáo lưu chuyển tiền tệ riêng_06611</t>
        </is>
      </c>
      <c r="D2110" s="132" t="inlineStr">
        <is>
          <t>Lưu chuyển tiền thuần từ hoạt động kinh doanh</t>
        </is>
      </c>
      <c r="E2110" s="132" t="n">
        <v>20</v>
      </c>
      <c r="F2110" s="390" t="inlineStr">
        <is>
          <t>Data Explorer</t>
        </is>
      </c>
      <c r="G2110" s="390" t="inlineStr">
        <is>
          <t>Chỉ tiêu cơ sở</t>
        </is>
      </c>
      <c r="H2110" s="390" t="inlineStr">
        <is>
          <t>Dễ</t>
        </is>
      </c>
      <c r="I2110" s="390" t="inlineStr">
        <is>
          <t>Ngày, CTCK</t>
        </is>
      </c>
      <c r="J2110" s="401" t="inlineStr">
        <is>
          <t>SCMS</t>
        </is>
      </c>
      <c r="K2110" s="401" t="n"/>
      <c r="L2110" s="401" t="inlineStr">
        <is>
          <t>X</t>
        </is>
      </c>
      <c r="M2110" s="401" t="n"/>
      <c r="N2110" s="401" t="inlineStr">
        <is>
          <t>Done</t>
        </is>
      </c>
      <c r="O2110" s="401" t="n"/>
      <c r="P2110" s="22" t="n"/>
      <c r="S2110" s="22" t="n"/>
      <c r="U2110" s="16" t="n"/>
      <c r="V2110" s="22" t="n"/>
      <c r="W2110" s="22" t="n"/>
      <c r="X2110" s="22" t="n"/>
      <c r="Y2110" s="13" t="n"/>
      <c r="Z2110" s="22" t="n"/>
      <c r="AA2110" s="22" t="n"/>
      <c r="AB2110" s="22" t="n"/>
      <c r="AC2110" s="22" t="n"/>
      <c r="AD2110" s="22" t="n"/>
      <c r="AE2110" s="22" t="n"/>
    </row>
    <row r="2111" ht="70" customHeight="1" s="380">
      <c r="A2111" s="126" t="n">
        <v>96</v>
      </c>
      <c r="B2111" s="390" t="n"/>
      <c r="C2111" s="390" t="inlineStr">
        <is>
          <t>Báo cáo theo Thông tư 121/2020/TT-BTC &gt;&gt; Báo báo tài chính &gt;&gt; Báo cáo lưu chuyển tiền tệ riêng_06611</t>
        </is>
      </c>
      <c r="D2111" s="132" t="inlineStr">
        <is>
          <t>II. Lưu chuyển tiền từ hoạt động đầu tư</t>
        </is>
      </c>
      <c r="E2111" s="401" t="n"/>
      <c r="F2111" s="390" t="inlineStr">
        <is>
          <t>Data Explorer</t>
        </is>
      </c>
      <c r="G2111" s="390" t="inlineStr">
        <is>
          <t>Chỉ tiêu cơ sở</t>
        </is>
      </c>
      <c r="H2111" s="390" t="inlineStr">
        <is>
          <t>Dễ</t>
        </is>
      </c>
      <c r="I2111" s="390" t="inlineStr">
        <is>
          <t>Ngày, CTCK</t>
        </is>
      </c>
      <c r="J2111" s="401" t="inlineStr">
        <is>
          <t>SCMS</t>
        </is>
      </c>
      <c r="K2111" s="401" t="n"/>
      <c r="L2111" s="401" t="inlineStr">
        <is>
          <t>X</t>
        </is>
      </c>
      <c r="M2111" s="401" t="n"/>
      <c r="N2111" s="401" t="inlineStr">
        <is>
          <t>Done</t>
        </is>
      </c>
      <c r="O2111" s="401" t="n"/>
      <c r="P2111" s="22" t="n"/>
      <c r="S2111" s="22" t="n"/>
      <c r="U2111" s="16" t="n"/>
      <c r="V2111" s="22" t="n"/>
      <c r="W2111" s="22" t="n"/>
      <c r="X2111" s="22" t="n"/>
      <c r="Y2111" s="38" t="n"/>
      <c r="Z2111" s="22" t="n"/>
      <c r="AA2111" s="22" t="n"/>
      <c r="AB2111" s="22" t="n"/>
      <c r="AC2111" s="22" t="n"/>
      <c r="AD2111" s="22" t="n"/>
      <c r="AE2111" s="22" t="n"/>
    </row>
    <row r="2112" ht="70" customHeight="1" s="380">
      <c r="A2112" s="126" t="n">
        <v>96</v>
      </c>
      <c r="B2112" s="390" t="n"/>
      <c r="C2112" s="390" t="inlineStr">
        <is>
          <t>Báo cáo theo Thông tư 121/2020/TT-BTC &gt;&gt; Báo báo tài chính &gt;&gt; Báo cáo lưu chuyển tiền tệ riêng_06611</t>
        </is>
      </c>
      <c r="D2112" s="390" t="inlineStr">
        <is>
          <t>1.Tiền chi để mua sắm, xây dựng TSCĐ, BĐSĐT và các tài sản khác</t>
        </is>
      </c>
      <c r="E2112" s="390" t="n">
        <v>21</v>
      </c>
      <c r="F2112" s="390" t="inlineStr">
        <is>
          <t>Data Explorer</t>
        </is>
      </c>
      <c r="G2112" s="390" t="inlineStr">
        <is>
          <t>Chỉ tiêu cơ sở</t>
        </is>
      </c>
      <c r="H2112" s="390" t="inlineStr">
        <is>
          <t>Dễ</t>
        </is>
      </c>
      <c r="I2112" s="390" t="inlineStr">
        <is>
          <t>Ngày, CTCK</t>
        </is>
      </c>
      <c r="J2112" s="401" t="inlineStr">
        <is>
          <t>SCMS</t>
        </is>
      </c>
      <c r="K2112" s="401" t="n"/>
      <c r="L2112" s="401" t="inlineStr">
        <is>
          <t>X</t>
        </is>
      </c>
      <c r="M2112" s="401" t="n"/>
      <c r="N2112" s="401" t="inlineStr">
        <is>
          <t>Done</t>
        </is>
      </c>
      <c r="O2112" s="401" t="n"/>
      <c r="P2112" s="22" t="n"/>
      <c r="S2112" s="22" t="n"/>
      <c r="U2112" s="16" t="n"/>
      <c r="V2112" s="22" t="n"/>
      <c r="W2112" s="22" t="n"/>
      <c r="X2112" s="22" t="n"/>
      <c r="Y2112" s="13" t="n"/>
      <c r="Z2112" s="22" t="n"/>
      <c r="AA2112" s="22" t="n"/>
      <c r="AB2112" s="22" t="n"/>
      <c r="AC2112" s="22" t="n"/>
      <c r="AD2112" s="22" t="n"/>
      <c r="AE2112" s="22" t="n"/>
    </row>
    <row r="2113" ht="70" customHeight="1" s="380">
      <c r="A2113" s="126" t="n">
        <v>96</v>
      </c>
      <c r="B2113" s="390" t="n"/>
      <c r="C2113" s="390" t="inlineStr">
        <is>
          <t>Báo cáo theo Thông tư 121/2020/TT-BTC &gt;&gt; Báo báo tài chính &gt;&gt; Báo cáo lưu chuyển tiền tệ riêng_06611</t>
        </is>
      </c>
      <c r="D2113" s="390" t="inlineStr">
        <is>
          <t>2.Tiền thu từ thanh lý, nhượng bán TSCĐ, BĐSĐT  và các tài sản khác</t>
        </is>
      </c>
      <c r="E2113" s="390" t="n">
        <v>22</v>
      </c>
      <c r="F2113" s="390" t="inlineStr">
        <is>
          <t>Data Explorer</t>
        </is>
      </c>
      <c r="G2113" s="390" t="inlineStr">
        <is>
          <t>Chỉ tiêu cơ sở</t>
        </is>
      </c>
      <c r="H2113" s="390" t="inlineStr">
        <is>
          <t>Dễ</t>
        </is>
      </c>
      <c r="I2113" s="390" t="inlineStr">
        <is>
          <t>Ngày, CTCK</t>
        </is>
      </c>
      <c r="J2113" s="401" t="inlineStr">
        <is>
          <t>SCMS</t>
        </is>
      </c>
      <c r="K2113" s="401" t="n"/>
      <c r="L2113" s="401" t="inlineStr">
        <is>
          <t>X</t>
        </is>
      </c>
      <c r="M2113" s="401" t="n"/>
      <c r="N2113" s="401" t="inlineStr">
        <is>
          <t>Done</t>
        </is>
      </c>
      <c r="O2113" s="401" t="n"/>
      <c r="P2113" s="22" t="n"/>
      <c r="S2113" s="22" t="n"/>
      <c r="U2113" s="16" t="n"/>
      <c r="V2113" s="22" t="n"/>
      <c r="W2113" s="22" t="n"/>
      <c r="X2113" s="22" t="n"/>
      <c r="Y2113" s="13" t="n"/>
      <c r="Z2113" s="22" t="n"/>
      <c r="AA2113" s="22" t="n"/>
      <c r="AB2113" s="22" t="n"/>
      <c r="AC2113" s="22" t="n"/>
      <c r="AD2113" s="22" t="n"/>
      <c r="AE2113" s="22" t="n"/>
    </row>
    <row r="2114" ht="70" customHeight="1" s="380">
      <c r="A2114" s="126" t="n">
        <v>96</v>
      </c>
      <c r="B2114" s="390" t="n"/>
      <c r="C2114" s="390" t="inlineStr">
        <is>
          <t>Báo cáo theo Thông tư 121/2020/TT-BTC &gt;&gt; Báo báo tài chính &gt;&gt; Báo cáo lưu chuyển tiền tệ riêng_06611</t>
        </is>
      </c>
      <c r="D2114" s="390" t="inlineStr">
        <is>
          <t>3.Tiền chi đầu tư góp vốn vào công ty con, công  ty liên doanh, liên kết và đầu tư khác</t>
        </is>
      </c>
      <c r="E2114" s="390" t="n">
        <v>23</v>
      </c>
      <c r="F2114" s="390" t="inlineStr">
        <is>
          <t>Data Explorer</t>
        </is>
      </c>
      <c r="G2114" s="390" t="inlineStr">
        <is>
          <t>Chỉ tiêu cơ sở</t>
        </is>
      </c>
      <c r="H2114" s="390" t="inlineStr">
        <is>
          <t>Dễ</t>
        </is>
      </c>
      <c r="I2114" s="390" t="inlineStr">
        <is>
          <t>Ngày, CTCK</t>
        </is>
      </c>
      <c r="J2114" s="401" t="inlineStr">
        <is>
          <t>SCMS</t>
        </is>
      </c>
      <c r="K2114" s="401" t="n"/>
      <c r="L2114" s="401" t="inlineStr">
        <is>
          <t>X</t>
        </is>
      </c>
      <c r="M2114" s="401" t="n"/>
      <c r="N2114" s="401" t="inlineStr">
        <is>
          <t>Done</t>
        </is>
      </c>
      <c r="O2114" s="401" t="n"/>
      <c r="P2114" s="22" t="n"/>
      <c r="S2114" s="22" t="n"/>
      <c r="U2114" s="16" t="n"/>
      <c r="V2114" s="22" t="n"/>
      <c r="W2114" s="22" t="n"/>
      <c r="X2114" s="22" t="n"/>
      <c r="Y2114" s="13" t="n"/>
      <c r="Z2114" s="22" t="n"/>
      <c r="AA2114" s="22" t="n"/>
      <c r="AB2114" s="22" t="n"/>
      <c r="AC2114" s="22" t="n"/>
      <c r="AD2114" s="22" t="n"/>
      <c r="AE2114" s="22" t="n"/>
    </row>
    <row r="2115" ht="70" customHeight="1" s="380">
      <c r="A2115" s="126" t="n">
        <v>96</v>
      </c>
      <c r="B2115" s="390" t="n"/>
      <c r="C2115" s="390" t="inlineStr">
        <is>
          <t>Báo cáo theo Thông tư 121/2020/TT-BTC &gt;&gt; Báo báo tài chính &gt;&gt; Báo cáo lưu chuyển tiền tệ riêng_06611</t>
        </is>
      </c>
      <c r="D2115" s="390" t="inlineStr">
        <is>
          <t>4.Tiền thu hồi đầu tư góp vốn vào công ty con, công ty liên doanh, liên kết và đầu tư khác</t>
        </is>
      </c>
      <c r="E2115" s="390" t="n">
        <v>24</v>
      </c>
      <c r="F2115" s="390" t="inlineStr">
        <is>
          <t>Data Explorer</t>
        </is>
      </c>
      <c r="G2115" s="390" t="inlineStr">
        <is>
          <t>Chỉ tiêu cơ sở</t>
        </is>
      </c>
      <c r="H2115" s="390" t="inlineStr">
        <is>
          <t>Dễ</t>
        </is>
      </c>
      <c r="I2115" s="390" t="inlineStr">
        <is>
          <t>Ngày, CTCK</t>
        </is>
      </c>
      <c r="J2115" s="401" t="inlineStr">
        <is>
          <t>SCMS</t>
        </is>
      </c>
      <c r="K2115" s="401" t="n"/>
      <c r="L2115" s="401" t="inlineStr">
        <is>
          <t>X</t>
        </is>
      </c>
      <c r="M2115" s="401" t="n"/>
      <c r="N2115" s="401" t="inlineStr">
        <is>
          <t>Done</t>
        </is>
      </c>
      <c r="O2115" s="401" t="n"/>
      <c r="P2115" s="22" t="n"/>
      <c r="S2115" s="22" t="n"/>
      <c r="U2115" s="16" t="n"/>
      <c r="V2115" s="22" t="n"/>
      <c r="W2115" s="22" t="n"/>
      <c r="X2115" s="22" t="n"/>
      <c r="Y2115" s="13" t="n"/>
      <c r="Z2115" s="22" t="n"/>
      <c r="AA2115" s="22" t="n"/>
      <c r="AB2115" s="22" t="n"/>
      <c r="AC2115" s="22" t="n"/>
      <c r="AD2115" s="22" t="n"/>
      <c r="AE2115" s="22" t="n"/>
    </row>
    <row r="2116" ht="70" customHeight="1" s="380">
      <c r="A2116" s="126" t="n">
        <v>96</v>
      </c>
      <c r="B2116" s="390" t="n"/>
      <c r="C2116" s="390" t="inlineStr">
        <is>
          <t>Báo cáo theo Thông tư 121/2020/TT-BTC &gt;&gt; Báo báo tài chính &gt;&gt; Báo cáo lưu chuyển tiền tệ riêng_06611</t>
        </is>
      </c>
      <c r="D2116" s="390" t="inlineStr">
        <is>
          <t>5.Tiền thu về  cổ tức và lợi nhuận được chia từ các khoản đầu tư tài chính dài hạn</t>
        </is>
      </c>
      <c r="E2116" s="390" t="n">
        <v>25</v>
      </c>
      <c r="F2116" s="390" t="inlineStr">
        <is>
          <t>Data Explorer</t>
        </is>
      </c>
      <c r="G2116" s="390" t="inlineStr">
        <is>
          <t>Chỉ tiêu cơ sở</t>
        </is>
      </c>
      <c r="H2116" s="390" t="inlineStr">
        <is>
          <t>Dễ</t>
        </is>
      </c>
      <c r="I2116" s="390" t="inlineStr">
        <is>
          <t>Ngày, CTCK</t>
        </is>
      </c>
      <c r="J2116" s="401" t="inlineStr">
        <is>
          <t>SCMS</t>
        </is>
      </c>
      <c r="K2116" s="401" t="n"/>
      <c r="L2116" s="401" t="inlineStr">
        <is>
          <t>X</t>
        </is>
      </c>
      <c r="M2116" s="401" t="n"/>
      <c r="N2116" s="401" t="inlineStr">
        <is>
          <t>Done</t>
        </is>
      </c>
      <c r="O2116" s="401" t="n"/>
      <c r="P2116" s="22" t="n"/>
      <c r="S2116" s="22" t="n"/>
      <c r="U2116" s="16" t="n"/>
      <c r="V2116" s="22" t="n"/>
      <c r="W2116" s="22" t="n"/>
      <c r="X2116" s="22" t="n"/>
      <c r="Y2116" s="13" t="n"/>
      <c r="Z2116" s="22" t="n"/>
      <c r="AA2116" s="22" t="n"/>
      <c r="AB2116" s="22" t="n"/>
      <c r="AC2116" s="22" t="n"/>
      <c r="AD2116" s="22" t="n"/>
      <c r="AE2116" s="22" t="n"/>
    </row>
    <row r="2117" ht="70" customHeight="1" s="380">
      <c r="A2117" s="126" t="n">
        <v>96</v>
      </c>
      <c r="B2117" s="390" t="n"/>
      <c r="C2117" s="390" t="inlineStr">
        <is>
          <t>Báo cáo theo Thông tư 121/2020/TT-BTC &gt;&gt; Báo báo tài chính &gt;&gt; Báo cáo lưu chuyển tiền tệ riêng_06611</t>
        </is>
      </c>
      <c r="D2117" s="132" t="inlineStr">
        <is>
          <t>Lưu chuyển tiền thuần từ hoạt động đầu tư</t>
        </is>
      </c>
      <c r="E2117" s="132" t="n">
        <v>30</v>
      </c>
      <c r="F2117" s="390" t="inlineStr">
        <is>
          <t>Data Explorer</t>
        </is>
      </c>
      <c r="G2117" s="390" t="inlineStr">
        <is>
          <t>Chỉ tiêu cơ sở</t>
        </is>
      </c>
      <c r="H2117" s="390" t="inlineStr">
        <is>
          <t>Dễ</t>
        </is>
      </c>
      <c r="I2117" s="390" t="inlineStr">
        <is>
          <t>Ngày, CTCK</t>
        </is>
      </c>
      <c r="J2117" s="401" t="inlineStr">
        <is>
          <t>SCMS</t>
        </is>
      </c>
      <c r="K2117" s="401" t="n"/>
      <c r="L2117" s="401" t="inlineStr">
        <is>
          <t>X</t>
        </is>
      </c>
      <c r="M2117" s="401" t="n"/>
      <c r="N2117" s="401" t="inlineStr">
        <is>
          <t>Done</t>
        </is>
      </c>
      <c r="O2117" s="401" t="n"/>
      <c r="P2117" s="22" t="n"/>
      <c r="S2117" s="22" t="n"/>
      <c r="U2117" s="16" t="n"/>
      <c r="V2117" s="22" t="n"/>
      <c r="W2117" s="22" t="n"/>
      <c r="X2117" s="22" t="n"/>
      <c r="Y2117" s="38" t="n"/>
      <c r="Z2117" s="22" t="n"/>
      <c r="AA2117" s="22" t="n"/>
      <c r="AB2117" s="22" t="n"/>
      <c r="AC2117" s="22" t="n"/>
      <c r="AD2117" s="22" t="n"/>
      <c r="AE2117" s="22" t="n"/>
    </row>
    <row r="2118" ht="70" customHeight="1" s="380">
      <c r="A2118" s="126" t="n">
        <v>96</v>
      </c>
      <c r="B2118" s="390" t="n"/>
      <c r="C2118" s="390" t="inlineStr">
        <is>
          <t>Báo cáo theo Thông tư 121/2020/TT-BTC &gt;&gt; Báo báo tài chính &gt;&gt; Báo cáo lưu chuyển tiền tệ riêng_06611</t>
        </is>
      </c>
      <c r="D2118" s="132" t="inlineStr">
        <is>
          <t>III. Lưu chuyển tiền từ hoạt động tài chính</t>
        </is>
      </c>
      <c r="E2118" s="401" t="n"/>
      <c r="F2118" s="390" t="inlineStr">
        <is>
          <t>Data Explorer</t>
        </is>
      </c>
      <c r="G2118" s="390" t="inlineStr">
        <is>
          <t>Chỉ tiêu cơ sở</t>
        </is>
      </c>
      <c r="H2118" s="390" t="inlineStr">
        <is>
          <t>Dễ</t>
        </is>
      </c>
      <c r="I2118" s="390" t="inlineStr">
        <is>
          <t>Ngày, CTCK</t>
        </is>
      </c>
      <c r="J2118" s="401" t="inlineStr">
        <is>
          <t>SCMS</t>
        </is>
      </c>
      <c r="K2118" s="401" t="n"/>
      <c r="L2118" s="401" t="inlineStr">
        <is>
          <t>X</t>
        </is>
      </c>
      <c r="M2118" s="401" t="n"/>
      <c r="N2118" s="401" t="inlineStr">
        <is>
          <t>Done</t>
        </is>
      </c>
      <c r="O2118" s="401" t="n"/>
      <c r="P2118" s="22" t="n"/>
      <c r="S2118" s="22" t="n"/>
      <c r="U2118" s="16" t="n"/>
      <c r="V2118" s="22" t="n"/>
      <c r="W2118" s="22" t="n"/>
      <c r="X2118" s="22" t="n"/>
      <c r="Y2118" s="13" t="n"/>
      <c r="Z2118" s="22" t="n"/>
      <c r="AA2118" s="22" t="n"/>
      <c r="AB2118" s="22" t="n"/>
      <c r="AC2118" s="22" t="n"/>
      <c r="AD2118" s="22" t="n"/>
      <c r="AE2118" s="22" t="n"/>
    </row>
    <row r="2119" ht="70" customHeight="1" s="380">
      <c r="A2119" s="126" t="n">
        <v>96</v>
      </c>
      <c r="B2119" s="390" t="n"/>
      <c r="C2119" s="390" t="inlineStr">
        <is>
          <t>Báo cáo theo Thông tư 121/2020/TT-BTC &gt;&gt; Báo báo tài chính &gt;&gt; Báo cáo lưu chuyển tiền tệ riêng_06611</t>
        </is>
      </c>
      <c r="D2119" s="390" t="inlineStr">
        <is>
          <t>1.Tiền thu từ phát hành cổ phiếu, nhận vốn góp của chủ sở hữu</t>
        </is>
      </c>
      <c r="E2119" s="390" t="n">
        <v>31</v>
      </c>
      <c r="F2119" s="390" t="inlineStr">
        <is>
          <t>Data Explorer</t>
        </is>
      </c>
      <c r="G2119" s="390" t="inlineStr">
        <is>
          <t>Chỉ tiêu cơ sở</t>
        </is>
      </c>
      <c r="H2119" s="390" t="inlineStr">
        <is>
          <t>Dễ</t>
        </is>
      </c>
      <c r="I2119" s="390" t="inlineStr">
        <is>
          <t>Ngày, CTCK</t>
        </is>
      </c>
      <c r="J2119" s="401" t="inlineStr">
        <is>
          <t>SCMS</t>
        </is>
      </c>
      <c r="K2119" s="401" t="n"/>
      <c r="L2119" s="401" t="inlineStr">
        <is>
          <t>X</t>
        </is>
      </c>
      <c r="M2119" s="401" t="n"/>
      <c r="N2119" s="401" t="inlineStr">
        <is>
          <t>Done</t>
        </is>
      </c>
      <c r="O2119" s="401" t="n"/>
      <c r="P2119" s="22" t="n"/>
      <c r="S2119" s="22" t="n"/>
      <c r="U2119" s="16" t="n"/>
      <c r="V2119" s="22" t="n"/>
      <c r="W2119" s="22" t="n"/>
      <c r="X2119" s="22" t="n"/>
      <c r="Y2119" s="13" t="n"/>
      <c r="Z2119" s="22" t="n"/>
      <c r="AA2119" s="22" t="n"/>
      <c r="AB2119" s="22" t="n"/>
      <c r="AC2119" s="22" t="n"/>
      <c r="AD2119" s="22" t="n"/>
      <c r="AE2119" s="22" t="n"/>
    </row>
    <row r="2120" ht="70" customHeight="1" s="380">
      <c r="A2120" s="126" t="n">
        <v>96</v>
      </c>
      <c r="B2120" s="390" t="n"/>
      <c r="C2120" s="390" t="inlineStr">
        <is>
          <t>Báo cáo theo Thông tư 121/2020/TT-BTC &gt;&gt; Báo báo tài chính &gt;&gt; Báo cáo lưu chuyển tiền tệ riêng_06611</t>
        </is>
      </c>
      <c r="D2120" s="390" t="inlineStr">
        <is>
          <t>2.Tiền chi trả vốn góp cho các chủ sở hữu, mua lại cổ phiếu đã phát hành</t>
        </is>
      </c>
      <c r="E2120" s="390" t="n">
        <v>32</v>
      </c>
      <c r="F2120" s="390" t="inlineStr">
        <is>
          <t>Data Explorer</t>
        </is>
      </c>
      <c r="G2120" s="390" t="inlineStr">
        <is>
          <t>Chỉ tiêu cơ sở</t>
        </is>
      </c>
      <c r="H2120" s="390" t="inlineStr">
        <is>
          <t>Dễ</t>
        </is>
      </c>
      <c r="I2120" s="390" t="inlineStr">
        <is>
          <t>Ngày, CTCK</t>
        </is>
      </c>
      <c r="J2120" s="401" t="inlineStr">
        <is>
          <t>SCMS</t>
        </is>
      </c>
      <c r="K2120" s="401" t="n"/>
      <c r="L2120" s="401" t="inlineStr">
        <is>
          <t>X</t>
        </is>
      </c>
      <c r="M2120" s="401" t="n"/>
      <c r="N2120" s="401" t="inlineStr">
        <is>
          <t>Done</t>
        </is>
      </c>
      <c r="O2120" s="401" t="n"/>
      <c r="P2120" s="22" t="n"/>
      <c r="S2120" s="22" t="n"/>
      <c r="U2120" s="16" t="n"/>
      <c r="V2120" s="22" t="n"/>
      <c r="W2120" s="22" t="n"/>
      <c r="X2120" s="22" t="n"/>
      <c r="Y2120" s="13" t="n"/>
      <c r="Z2120" s="22" t="n"/>
      <c r="AA2120" s="22" t="n"/>
      <c r="AB2120" s="22" t="n"/>
      <c r="AC2120" s="22" t="n"/>
      <c r="AD2120" s="22" t="n"/>
      <c r="AE2120" s="22" t="n"/>
    </row>
    <row r="2121" ht="70" customHeight="1" s="380">
      <c r="A2121" s="126" t="n">
        <v>96</v>
      </c>
      <c r="B2121" s="390" t="n"/>
      <c r="C2121" s="390" t="inlineStr">
        <is>
          <t>Báo cáo theo Thông tư 121/2020/TT-BTC &gt;&gt; Báo báo tài chính &gt;&gt; Báo cáo lưu chuyển tiền tệ riêng_06611</t>
        </is>
      </c>
      <c r="D2121" s="390" t="inlineStr">
        <is>
          <t>3.Tiền vay gốc</t>
        </is>
      </c>
      <c r="E2121" s="390" t="n">
        <v>33</v>
      </c>
      <c r="F2121" s="390" t="inlineStr">
        <is>
          <t>Data Explorer</t>
        </is>
      </c>
      <c r="G2121" s="390" t="inlineStr">
        <is>
          <t>Chỉ tiêu cơ sở</t>
        </is>
      </c>
      <c r="H2121" s="390" t="inlineStr">
        <is>
          <t>Dễ</t>
        </is>
      </c>
      <c r="I2121" s="390" t="inlineStr">
        <is>
          <t>Ngày, CTCK</t>
        </is>
      </c>
      <c r="J2121" s="401" t="inlineStr">
        <is>
          <t>SCMS</t>
        </is>
      </c>
      <c r="K2121" s="401" t="n"/>
      <c r="L2121" s="401" t="inlineStr">
        <is>
          <t>X</t>
        </is>
      </c>
      <c r="M2121" s="401" t="n"/>
      <c r="N2121" s="401" t="inlineStr">
        <is>
          <t>Done</t>
        </is>
      </c>
      <c r="O2121" s="401" t="n"/>
      <c r="P2121" s="22" t="n"/>
      <c r="S2121" s="22" t="n"/>
      <c r="U2121" s="16" t="n"/>
      <c r="V2121" s="22" t="n"/>
      <c r="W2121" s="22" t="n"/>
      <c r="X2121" s="22" t="n"/>
      <c r="Y2121" s="13" t="n"/>
      <c r="Z2121" s="22" t="n"/>
      <c r="AA2121" s="22" t="n"/>
      <c r="AB2121" s="22" t="n"/>
      <c r="AC2121" s="22" t="n"/>
      <c r="AD2121" s="22" t="n"/>
      <c r="AE2121" s="22" t="n"/>
    </row>
    <row r="2122" ht="70" customHeight="1" s="380">
      <c r="A2122" s="126" t="n">
        <v>96</v>
      </c>
      <c r="B2122" s="390" t="n"/>
      <c r="C2122" s="390" t="inlineStr">
        <is>
          <t>Báo cáo theo Thông tư 121/2020/TT-BTC &gt;&gt; Báo báo tài chính &gt;&gt; Báo cáo lưu chuyển tiền tệ riêng_06611</t>
        </is>
      </c>
      <c r="D2122" s="390" t="inlineStr">
        <is>
          <t>3.1. Tiền vay Quỹ Hỗ trợ thanh toán</t>
        </is>
      </c>
      <c r="E2122" s="390" t="n">
        <v>33.1</v>
      </c>
      <c r="F2122" s="390" t="inlineStr">
        <is>
          <t>Data Explorer</t>
        </is>
      </c>
      <c r="G2122" s="390" t="inlineStr">
        <is>
          <t>Chỉ tiêu cơ sở</t>
        </is>
      </c>
      <c r="H2122" s="390" t="inlineStr">
        <is>
          <t>Dễ</t>
        </is>
      </c>
      <c r="I2122" s="390" t="inlineStr">
        <is>
          <t>Ngày, CTCK</t>
        </is>
      </c>
      <c r="J2122" s="401" t="inlineStr">
        <is>
          <t>SCMS</t>
        </is>
      </c>
      <c r="K2122" s="401" t="n"/>
      <c r="L2122" s="401" t="inlineStr">
        <is>
          <t>X</t>
        </is>
      </c>
      <c r="M2122" s="401" t="n"/>
      <c r="N2122" s="401" t="inlineStr">
        <is>
          <t>Done</t>
        </is>
      </c>
      <c r="O2122" s="401" t="n"/>
      <c r="P2122" s="22" t="n"/>
      <c r="S2122" s="22" t="n"/>
      <c r="U2122" s="16" t="n"/>
      <c r="V2122" s="22" t="n"/>
      <c r="W2122" s="22" t="n"/>
      <c r="X2122" s="22" t="n"/>
      <c r="Y2122" s="13" t="n"/>
      <c r="Z2122" s="22" t="n"/>
      <c r="AA2122" s="22" t="n"/>
      <c r="AB2122" s="22" t="n"/>
      <c r="AC2122" s="22" t="n"/>
      <c r="AD2122" s="22" t="n"/>
      <c r="AE2122" s="22" t="n"/>
    </row>
    <row r="2123" ht="70" customHeight="1" s="380">
      <c r="A2123" s="126" t="n">
        <v>96</v>
      </c>
      <c r="B2123" s="390" t="n"/>
      <c r="C2123" s="390" t="inlineStr">
        <is>
          <t>Báo cáo theo Thông tư 121/2020/TT-BTC &gt;&gt; Báo báo tài chính &gt;&gt; Báo cáo lưu chuyển tiền tệ riêng_06611</t>
        </is>
      </c>
      <c r="D2123" s="390" t="inlineStr">
        <is>
          <t>3.2. Tiền vay khác</t>
        </is>
      </c>
      <c r="E2123" s="390" t="n">
        <v>33.2</v>
      </c>
      <c r="F2123" s="390" t="inlineStr">
        <is>
          <t>Data Explorer</t>
        </is>
      </c>
      <c r="G2123" s="390" t="inlineStr">
        <is>
          <t>Chỉ tiêu cơ sở</t>
        </is>
      </c>
      <c r="H2123" s="390" t="inlineStr">
        <is>
          <t>Dễ</t>
        </is>
      </c>
      <c r="I2123" s="390" t="inlineStr">
        <is>
          <t>Ngày, CTCK</t>
        </is>
      </c>
      <c r="J2123" s="401" t="inlineStr">
        <is>
          <t>SCMS</t>
        </is>
      </c>
      <c r="K2123" s="401" t="n"/>
      <c r="L2123" s="401" t="inlineStr">
        <is>
          <t>X</t>
        </is>
      </c>
      <c r="M2123" s="401" t="n"/>
      <c r="N2123" s="401" t="inlineStr">
        <is>
          <t>Done</t>
        </is>
      </c>
      <c r="O2123" s="401" t="n"/>
      <c r="P2123" s="22" t="n"/>
      <c r="S2123" s="22" t="n"/>
      <c r="U2123" s="16" t="n"/>
      <c r="V2123" s="22" t="n"/>
      <c r="W2123" s="22" t="n"/>
      <c r="X2123" s="22" t="n"/>
      <c r="Y2123" s="38" t="n"/>
      <c r="Z2123" s="22" t="n"/>
      <c r="AA2123" s="22" t="n"/>
      <c r="AB2123" s="22" t="n"/>
      <c r="AC2123" s="22" t="n"/>
      <c r="AD2123" s="22" t="n"/>
      <c r="AE2123" s="22" t="n"/>
    </row>
    <row r="2124" ht="70" customHeight="1" s="380">
      <c r="A2124" s="126" t="n">
        <v>96</v>
      </c>
      <c r="B2124" s="390" t="n"/>
      <c r="C2124" s="390" t="inlineStr">
        <is>
          <t>Báo cáo theo Thông tư 121/2020/TT-BTC &gt;&gt; Báo báo tài chính &gt;&gt; Báo cáo lưu chuyển tiền tệ riêng_06611</t>
        </is>
      </c>
      <c r="D2124" s="390" t="inlineStr">
        <is>
          <t>4. Tiền chi trả nợ gốc vay</t>
        </is>
      </c>
      <c r="E2124" s="390" t="n">
        <v>34</v>
      </c>
      <c r="F2124" s="390" t="inlineStr">
        <is>
          <t>Data Explorer</t>
        </is>
      </c>
      <c r="G2124" s="390" t="inlineStr">
        <is>
          <t>Chỉ tiêu cơ sở</t>
        </is>
      </c>
      <c r="H2124" s="390" t="inlineStr">
        <is>
          <t>Dễ</t>
        </is>
      </c>
      <c r="I2124" s="390" t="inlineStr">
        <is>
          <t>Ngày, CTCK</t>
        </is>
      </c>
      <c r="J2124" s="401" t="inlineStr">
        <is>
          <t>SCMS</t>
        </is>
      </c>
      <c r="K2124" s="401" t="n"/>
      <c r="L2124" s="401" t="inlineStr">
        <is>
          <t>X</t>
        </is>
      </c>
      <c r="M2124" s="401" t="n"/>
      <c r="N2124" s="401" t="inlineStr">
        <is>
          <t>Done</t>
        </is>
      </c>
      <c r="O2124" s="401" t="n"/>
      <c r="P2124" s="22" t="n"/>
      <c r="S2124" s="22" t="n"/>
      <c r="U2124" s="16" t="n"/>
      <c r="V2124" s="22" t="n"/>
      <c r="W2124" s="22" t="n"/>
      <c r="X2124" s="22" t="n"/>
      <c r="Y2124" s="13" t="n"/>
      <c r="Z2124" s="22" t="n"/>
      <c r="AA2124" s="22" t="n"/>
      <c r="AB2124" s="22" t="n"/>
      <c r="AC2124" s="22" t="n"/>
      <c r="AD2124" s="22" t="n"/>
      <c r="AE2124" s="22" t="n"/>
    </row>
    <row r="2125" ht="70" customHeight="1" s="380">
      <c r="A2125" s="126" t="n">
        <v>96</v>
      </c>
      <c r="B2125" s="390" t="n"/>
      <c r="C2125" s="390" t="inlineStr">
        <is>
          <t>Báo cáo theo Thông tư 121/2020/TT-BTC &gt;&gt; Báo báo tài chính &gt;&gt; Báo cáo lưu chuyển tiền tệ riêng_06611</t>
        </is>
      </c>
      <c r="D2125" s="390" t="inlineStr">
        <is>
          <t>4.1. Tiền chi trả gốc vay Quỹ Hỗ trợ thanh toán</t>
        </is>
      </c>
      <c r="E2125" s="390" t="n">
        <v>34.1</v>
      </c>
      <c r="F2125" s="390" t="inlineStr">
        <is>
          <t>Data Explorer</t>
        </is>
      </c>
      <c r="G2125" s="390" t="inlineStr">
        <is>
          <t>Chỉ tiêu cơ sở</t>
        </is>
      </c>
      <c r="H2125" s="390" t="inlineStr">
        <is>
          <t>Dễ</t>
        </is>
      </c>
      <c r="I2125" s="390" t="inlineStr">
        <is>
          <t>Ngày, CTCK</t>
        </is>
      </c>
      <c r="J2125" s="401" t="inlineStr">
        <is>
          <t>SCMS</t>
        </is>
      </c>
      <c r="K2125" s="401" t="n"/>
      <c r="L2125" s="401" t="inlineStr">
        <is>
          <t>X</t>
        </is>
      </c>
      <c r="M2125" s="401" t="n"/>
      <c r="N2125" s="401" t="inlineStr">
        <is>
          <t>Done</t>
        </is>
      </c>
      <c r="O2125" s="401" t="n"/>
      <c r="P2125" s="22" t="n"/>
      <c r="S2125" s="22" t="n"/>
      <c r="U2125" s="16" t="n"/>
      <c r="V2125" s="22" t="n"/>
      <c r="W2125" s="22" t="n"/>
      <c r="X2125" s="22" t="n"/>
      <c r="Y2125" s="13" t="n"/>
      <c r="Z2125" s="22" t="n"/>
      <c r="AA2125" s="22" t="n"/>
      <c r="AB2125" s="22" t="n"/>
      <c r="AC2125" s="22" t="n"/>
      <c r="AD2125" s="22" t="n"/>
      <c r="AE2125" s="22" t="n"/>
    </row>
    <row r="2126" ht="70" customHeight="1" s="380">
      <c r="A2126" s="126" t="n">
        <v>96</v>
      </c>
      <c r="B2126" s="390" t="n"/>
      <c r="C2126" s="390" t="inlineStr">
        <is>
          <t>Báo cáo theo Thông tư 121/2020/TT-BTC &gt;&gt; Báo báo tài chính &gt;&gt; Báo cáo lưu chuyển tiền tệ riêng_06611</t>
        </is>
      </c>
      <c r="D2126" s="390" t="inlineStr">
        <is>
          <t>4.2. Tiền chi trả gốc vay tài sản tài chính</t>
        </is>
      </c>
      <c r="E2126" s="390" t="n">
        <v>34.2</v>
      </c>
      <c r="F2126" s="390" t="inlineStr">
        <is>
          <t>Data Explorer</t>
        </is>
      </c>
      <c r="G2126" s="390" t="inlineStr">
        <is>
          <t>Chỉ tiêu cơ sở</t>
        </is>
      </c>
      <c r="H2126" s="390" t="inlineStr">
        <is>
          <t>Dễ</t>
        </is>
      </c>
      <c r="I2126" s="390" t="inlineStr">
        <is>
          <t>Ngày, CTCK</t>
        </is>
      </c>
      <c r="J2126" s="401" t="inlineStr">
        <is>
          <t>SCMS</t>
        </is>
      </c>
      <c r="K2126" s="401" t="n"/>
      <c r="L2126" s="401" t="inlineStr">
        <is>
          <t>X</t>
        </is>
      </c>
      <c r="M2126" s="401" t="n"/>
      <c r="N2126" s="401" t="inlineStr">
        <is>
          <t>Done</t>
        </is>
      </c>
      <c r="O2126" s="401" t="n"/>
      <c r="P2126" s="22" t="n"/>
      <c r="S2126" s="22" t="n"/>
      <c r="U2126" s="16" t="n"/>
      <c r="V2126" s="22" t="n"/>
      <c r="W2126" s="22" t="n"/>
      <c r="X2126" s="22" t="n"/>
      <c r="Y2126" s="13" t="n"/>
      <c r="Z2126" s="22" t="n"/>
      <c r="AA2126" s="22" t="n"/>
      <c r="AB2126" s="22" t="n"/>
      <c r="AC2126" s="22" t="n"/>
      <c r="AD2126" s="22" t="n"/>
      <c r="AE2126" s="22" t="n"/>
    </row>
    <row r="2127" ht="70" customHeight="1" s="380">
      <c r="A2127" s="126" t="n">
        <v>96</v>
      </c>
      <c r="B2127" s="390" t="n"/>
      <c r="C2127" s="390" t="inlineStr">
        <is>
          <t>Báo cáo theo Thông tư 121/2020/TT-BTC &gt;&gt; Báo báo tài chính &gt;&gt; Báo cáo lưu chuyển tiền tệ riêng_06611</t>
        </is>
      </c>
      <c r="D2127" s="390" t="inlineStr">
        <is>
          <t>4.3. Tiền chi trả gốc vay khác</t>
        </is>
      </c>
      <c r="E2127" s="390" t="n">
        <v>34.3</v>
      </c>
      <c r="F2127" s="390" t="inlineStr">
        <is>
          <t>Data Explorer</t>
        </is>
      </c>
      <c r="G2127" s="390" t="inlineStr">
        <is>
          <t>Chỉ tiêu cơ sở</t>
        </is>
      </c>
      <c r="H2127" s="390" t="inlineStr">
        <is>
          <t>Dễ</t>
        </is>
      </c>
      <c r="I2127" s="390" t="inlineStr">
        <is>
          <t>Ngày, CTCK</t>
        </is>
      </c>
      <c r="J2127" s="401" t="inlineStr">
        <is>
          <t>SCMS</t>
        </is>
      </c>
      <c r="K2127" s="401" t="n"/>
      <c r="L2127" s="401" t="inlineStr">
        <is>
          <t>X</t>
        </is>
      </c>
      <c r="M2127" s="401" t="n"/>
      <c r="N2127" s="401" t="inlineStr">
        <is>
          <t>Done</t>
        </is>
      </c>
      <c r="O2127" s="401" t="n"/>
      <c r="P2127" s="22" t="n"/>
      <c r="S2127" s="22" t="n"/>
      <c r="U2127" s="16" t="n"/>
      <c r="V2127" s="22" t="n"/>
      <c r="W2127" s="22" t="n"/>
      <c r="X2127" s="22" t="n"/>
      <c r="Y2127" s="13" t="n"/>
      <c r="Z2127" s="22" t="n"/>
      <c r="AA2127" s="22" t="n"/>
      <c r="AB2127" s="22" t="n"/>
      <c r="AC2127" s="22" t="n"/>
      <c r="AD2127" s="22" t="n"/>
      <c r="AE2127" s="22" t="n"/>
    </row>
    <row r="2128" ht="70" customHeight="1" s="380">
      <c r="A2128" s="126" t="n">
        <v>96</v>
      </c>
      <c r="B2128" s="390" t="n"/>
      <c r="C2128" s="390" t="inlineStr">
        <is>
          <t>Báo cáo theo Thông tư 121/2020/TT-BTC &gt;&gt; Báo báo tài chính &gt;&gt; Báo cáo lưu chuyển tiền tệ riêng_06611</t>
        </is>
      </c>
      <c r="D2128" s="390" t="inlineStr">
        <is>
          <t>5.Tiền chi trả nợ gốc thuê tài chính</t>
        </is>
      </c>
      <c r="E2128" s="390" t="n">
        <v>35</v>
      </c>
      <c r="F2128" s="390" t="inlineStr">
        <is>
          <t>Data Explorer</t>
        </is>
      </c>
      <c r="G2128" s="390" t="inlineStr">
        <is>
          <t>Chỉ tiêu cơ sở</t>
        </is>
      </c>
      <c r="H2128" s="390" t="inlineStr">
        <is>
          <t>Dễ</t>
        </is>
      </c>
      <c r="I2128" s="390" t="inlineStr">
        <is>
          <t>Ngày, CTCK</t>
        </is>
      </c>
      <c r="J2128" s="401" t="inlineStr">
        <is>
          <t>SCMS</t>
        </is>
      </c>
      <c r="K2128" s="401" t="n"/>
      <c r="L2128" s="401" t="inlineStr">
        <is>
          <t>X</t>
        </is>
      </c>
      <c r="M2128" s="401" t="n"/>
      <c r="N2128" s="401" t="inlineStr">
        <is>
          <t>Done</t>
        </is>
      </c>
      <c r="O2128" s="401" t="n"/>
      <c r="P2128" s="22" t="n"/>
      <c r="S2128" s="22" t="n"/>
      <c r="U2128" s="16" t="n"/>
      <c r="V2128" s="22" t="n"/>
      <c r="W2128" s="22" t="n"/>
      <c r="X2128" s="22" t="n"/>
      <c r="Y2128" s="13" t="n"/>
      <c r="Z2128" s="22" t="n"/>
      <c r="AA2128" s="22" t="n"/>
      <c r="AB2128" s="22" t="n"/>
      <c r="AC2128" s="22" t="n"/>
      <c r="AD2128" s="22" t="n"/>
      <c r="AE2128" s="22" t="n"/>
    </row>
    <row r="2129" ht="70" customHeight="1" s="380">
      <c r="A2129" s="126" t="n">
        <v>96</v>
      </c>
      <c r="B2129" s="390" t="n"/>
      <c r="C2129" s="390" t="inlineStr">
        <is>
          <t>Báo cáo theo Thông tư 121/2020/TT-BTC &gt;&gt; Báo báo tài chính &gt;&gt; Báo cáo lưu chuyển tiền tệ riêng_06611</t>
        </is>
      </c>
      <c r="D2129" s="390" t="inlineStr">
        <is>
          <t>6. Cổ tức, lợi nhuận đã trả cho chủ sở hữu</t>
        </is>
      </c>
      <c r="E2129" s="390" t="n">
        <v>36</v>
      </c>
      <c r="F2129" s="390" t="inlineStr">
        <is>
          <t>Data Explorer</t>
        </is>
      </c>
      <c r="G2129" s="390" t="inlineStr">
        <is>
          <t>Chỉ tiêu cơ sở</t>
        </is>
      </c>
      <c r="H2129" s="390" t="inlineStr">
        <is>
          <t>Dễ</t>
        </is>
      </c>
      <c r="I2129" s="390" t="inlineStr">
        <is>
          <t>Ngày, CTCK</t>
        </is>
      </c>
      <c r="J2129" s="401" t="inlineStr">
        <is>
          <t>SCMS</t>
        </is>
      </c>
      <c r="K2129" s="401" t="n"/>
      <c r="L2129" s="401" t="inlineStr">
        <is>
          <t>X</t>
        </is>
      </c>
      <c r="M2129" s="401" t="n"/>
      <c r="N2129" s="401" t="inlineStr">
        <is>
          <t>Done</t>
        </is>
      </c>
      <c r="O2129" s="401" t="n"/>
      <c r="P2129" s="22" t="n"/>
      <c r="S2129" s="22" t="n"/>
      <c r="U2129" s="16" t="n"/>
      <c r="V2129" s="22" t="n"/>
      <c r="W2129" s="22" t="n"/>
      <c r="X2129" s="22" t="n"/>
      <c r="Y2129" s="38" t="n"/>
      <c r="Z2129" s="22" t="n"/>
      <c r="AA2129" s="22" t="n"/>
      <c r="AB2129" s="22" t="n"/>
      <c r="AC2129" s="22" t="n"/>
      <c r="AD2129" s="22" t="n"/>
      <c r="AE2129" s="22" t="n"/>
    </row>
    <row r="2130" ht="70" customHeight="1" s="380">
      <c r="A2130" s="126" t="n">
        <v>96</v>
      </c>
      <c r="B2130" s="390" t="n"/>
      <c r="C2130" s="390" t="inlineStr">
        <is>
          <t>Báo cáo theo Thông tư 121/2020/TT-BTC &gt;&gt; Báo báo tài chính &gt;&gt; Báo cáo lưu chuyển tiền tệ riêng_06611</t>
        </is>
      </c>
      <c r="D2130" s="132" t="inlineStr">
        <is>
          <t>Lưu chuyển tiền thuần từ hoạt động tài chính</t>
        </is>
      </c>
      <c r="E2130" s="132" t="n">
        <v>40</v>
      </c>
      <c r="F2130" s="390" t="inlineStr">
        <is>
          <t>Data Explorer</t>
        </is>
      </c>
      <c r="G2130" s="390" t="inlineStr">
        <is>
          <t>Chỉ tiêu cơ sở</t>
        </is>
      </c>
      <c r="H2130" s="390" t="inlineStr">
        <is>
          <t>Dễ</t>
        </is>
      </c>
      <c r="I2130" s="390" t="inlineStr">
        <is>
          <t>Ngày, CTCK</t>
        </is>
      </c>
      <c r="J2130" s="401" t="inlineStr">
        <is>
          <t>SCMS</t>
        </is>
      </c>
      <c r="K2130" s="401" t="n"/>
      <c r="L2130" s="401" t="inlineStr">
        <is>
          <t>X</t>
        </is>
      </c>
      <c r="M2130" s="401" t="n"/>
      <c r="N2130" s="401" t="inlineStr">
        <is>
          <t>Done</t>
        </is>
      </c>
      <c r="O2130" s="401" t="n"/>
      <c r="P2130" s="22" t="n"/>
      <c r="S2130" s="22" t="n"/>
      <c r="U2130" s="16" t="n"/>
      <c r="V2130" s="22" t="n"/>
      <c r="W2130" s="22" t="n"/>
      <c r="X2130" s="22" t="n"/>
      <c r="Y2130" s="13" t="n"/>
      <c r="Z2130" s="22" t="n"/>
      <c r="AA2130" s="22" t="n"/>
      <c r="AB2130" s="22" t="n"/>
      <c r="AC2130" s="22" t="n"/>
      <c r="AD2130" s="22" t="n"/>
      <c r="AE2130" s="22" t="n"/>
    </row>
    <row r="2131" ht="70" customHeight="1" s="380">
      <c r="A2131" s="126" t="n">
        <v>96</v>
      </c>
      <c r="B2131" s="390" t="n"/>
      <c r="C2131" s="390" t="inlineStr">
        <is>
          <t>Báo cáo theo Thông tư 121/2020/TT-BTC &gt;&gt; Báo báo tài chính &gt;&gt; Báo cáo lưu chuyển tiền tệ riêng_06611</t>
        </is>
      </c>
      <c r="D2131" s="132" t="inlineStr">
        <is>
          <t>IV. Tăng/giảm tiền thuần trong kỳ</t>
        </is>
      </c>
      <c r="E2131" s="132" t="n">
        <v>50</v>
      </c>
      <c r="F2131" s="390" t="inlineStr">
        <is>
          <t>Data Explorer</t>
        </is>
      </c>
      <c r="G2131" s="390" t="inlineStr">
        <is>
          <t>Chỉ tiêu cơ sở</t>
        </is>
      </c>
      <c r="H2131" s="390" t="inlineStr">
        <is>
          <t>Dễ</t>
        </is>
      </c>
      <c r="I2131" s="390" t="inlineStr">
        <is>
          <t>Ngày, CTCK</t>
        </is>
      </c>
      <c r="J2131" s="401" t="inlineStr">
        <is>
          <t>SCMS</t>
        </is>
      </c>
      <c r="K2131" s="401" t="n"/>
      <c r="L2131" s="401" t="inlineStr">
        <is>
          <t>X</t>
        </is>
      </c>
      <c r="M2131" s="401" t="n"/>
      <c r="N2131" s="401" t="inlineStr">
        <is>
          <t>Done</t>
        </is>
      </c>
      <c r="O2131" s="401" t="n"/>
      <c r="P2131" s="22" t="n"/>
      <c r="S2131" s="22" t="n"/>
      <c r="U2131" s="16" t="n"/>
      <c r="V2131" s="22" t="n"/>
      <c r="W2131" s="22" t="n"/>
      <c r="X2131" s="22" t="n"/>
      <c r="Y2131" s="13" t="n"/>
      <c r="Z2131" s="22" t="n"/>
      <c r="AA2131" s="22" t="n"/>
      <c r="AB2131" s="22" t="n"/>
      <c r="AC2131" s="22" t="n"/>
      <c r="AD2131" s="22" t="n"/>
      <c r="AE2131" s="22" t="n"/>
    </row>
    <row r="2132" ht="70" customHeight="1" s="380">
      <c r="A2132" s="126" t="n">
        <v>96</v>
      </c>
      <c r="B2132" s="390" t="n"/>
      <c r="C2132" s="390" t="inlineStr">
        <is>
          <t>Báo cáo theo Thông tư 121/2020/TT-BTC &gt;&gt; Báo báo tài chính &gt;&gt; Báo cáo lưu chuyển tiền tệ riêng_06611</t>
        </is>
      </c>
      <c r="D2132" s="132" t="inlineStr">
        <is>
          <t>V. Tiền và các khoản tương đương tiền đầu kỳ</t>
        </is>
      </c>
      <c r="E2132" s="132" t="n">
        <v>60</v>
      </c>
      <c r="F2132" s="390" t="inlineStr">
        <is>
          <t>Data Explorer</t>
        </is>
      </c>
      <c r="G2132" s="390" t="inlineStr">
        <is>
          <t>Chỉ tiêu cơ sở</t>
        </is>
      </c>
      <c r="H2132" s="390" t="inlineStr">
        <is>
          <t>Dễ</t>
        </is>
      </c>
      <c r="I2132" s="390" t="inlineStr">
        <is>
          <t>Ngày, CTCK</t>
        </is>
      </c>
      <c r="J2132" s="401" t="inlineStr">
        <is>
          <t>SCMS</t>
        </is>
      </c>
      <c r="K2132" s="401" t="n"/>
      <c r="L2132" s="401" t="inlineStr">
        <is>
          <t>X</t>
        </is>
      </c>
      <c r="M2132" s="401" t="n"/>
      <c r="N2132" s="401" t="inlineStr">
        <is>
          <t>Done</t>
        </is>
      </c>
      <c r="O2132" s="401" t="n"/>
      <c r="P2132" s="22" t="n"/>
      <c r="S2132" s="22" t="n"/>
      <c r="U2132" s="16" t="n"/>
      <c r="V2132" s="22" t="n"/>
      <c r="W2132" s="22" t="n"/>
      <c r="X2132" s="22" t="n"/>
      <c r="Y2132" s="13" t="n"/>
      <c r="Z2132" s="22" t="n"/>
      <c r="AA2132" s="22" t="n"/>
      <c r="AB2132" s="22" t="n"/>
      <c r="AC2132" s="22" t="n"/>
      <c r="AD2132" s="22" t="n"/>
      <c r="AE2132" s="22" t="n"/>
    </row>
    <row r="2133" ht="70" customHeight="1" s="380">
      <c r="A2133" s="126" t="n">
        <v>96</v>
      </c>
      <c r="B2133" s="390" t="n"/>
      <c r="C2133" s="390" t="inlineStr">
        <is>
          <t>Báo cáo theo Thông tư 121/2020/TT-BTC &gt;&gt; Báo báo tài chính &gt;&gt; Báo cáo lưu chuyển tiền tệ riêng_06611</t>
        </is>
      </c>
      <c r="D2133" s="390" t="inlineStr">
        <is>
          <t xml:space="preserve">Tiền </t>
        </is>
      </c>
      <c r="E2133" s="390" t="n">
        <v>61</v>
      </c>
      <c r="F2133" s="390" t="inlineStr">
        <is>
          <t>Data Explorer</t>
        </is>
      </c>
      <c r="G2133" s="390" t="inlineStr">
        <is>
          <t>Chỉ tiêu cơ sở</t>
        </is>
      </c>
      <c r="H2133" s="390" t="inlineStr">
        <is>
          <t>Dễ</t>
        </is>
      </c>
      <c r="I2133" s="390" t="inlineStr">
        <is>
          <t>Ngày, CTCK</t>
        </is>
      </c>
      <c r="J2133" s="401" t="inlineStr">
        <is>
          <t>SCMS</t>
        </is>
      </c>
      <c r="K2133" s="401" t="n"/>
      <c r="L2133" s="401" t="inlineStr">
        <is>
          <t>X</t>
        </is>
      </c>
      <c r="M2133" s="401" t="n"/>
      <c r="N2133" s="401" t="inlineStr">
        <is>
          <t>Done</t>
        </is>
      </c>
      <c r="O2133" s="401" t="n"/>
      <c r="P2133" s="22" t="n"/>
      <c r="S2133" s="22" t="n"/>
      <c r="U2133" s="16" t="n"/>
      <c r="V2133" s="22" t="n"/>
      <c r="W2133" s="22" t="n"/>
      <c r="X2133" s="22" t="n"/>
      <c r="Y2133" s="13" t="n"/>
      <c r="Z2133" s="22" t="n"/>
      <c r="AA2133" s="22" t="n"/>
      <c r="AB2133" s="22" t="n"/>
      <c r="AC2133" s="22" t="n"/>
      <c r="AD2133" s="22" t="n"/>
      <c r="AE2133" s="22" t="n"/>
    </row>
    <row r="2134" ht="70" customHeight="1" s="380">
      <c r="A2134" s="126" t="n">
        <v>96</v>
      </c>
      <c r="B2134" s="390" t="n"/>
      <c r="C2134" s="390" t="inlineStr">
        <is>
          <t>Báo cáo theo Thông tư 121/2020/TT-BTC &gt;&gt; Báo báo tài chính &gt;&gt; Báo cáo lưu chuyển tiền tệ riêng_06611</t>
        </is>
      </c>
      <c r="D2134" s="390" t="inlineStr">
        <is>
          <t>Các khoản tương đương tiền</t>
        </is>
      </c>
      <c r="E2134" s="390" t="n">
        <v>62</v>
      </c>
      <c r="F2134" s="390" t="inlineStr">
        <is>
          <t>Data Explorer</t>
        </is>
      </c>
      <c r="G2134" s="390" t="inlineStr">
        <is>
          <t>Chỉ tiêu cơ sở</t>
        </is>
      </c>
      <c r="H2134" s="390" t="inlineStr">
        <is>
          <t>Dễ</t>
        </is>
      </c>
      <c r="I2134" s="390" t="inlineStr">
        <is>
          <t>Ngày, CTCK</t>
        </is>
      </c>
      <c r="J2134" s="401" t="inlineStr">
        <is>
          <t>SCMS</t>
        </is>
      </c>
      <c r="K2134" s="401" t="n"/>
      <c r="L2134" s="401" t="inlineStr">
        <is>
          <t>X</t>
        </is>
      </c>
      <c r="M2134" s="401" t="n"/>
      <c r="N2134" s="401" t="inlineStr">
        <is>
          <t>Done</t>
        </is>
      </c>
      <c r="O2134" s="401" t="n"/>
      <c r="P2134" s="22" t="n"/>
      <c r="S2134" s="22" t="n"/>
      <c r="U2134" s="16" t="n"/>
      <c r="V2134" s="22" t="n"/>
      <c r="W2134" s="22" t="n"/>
      <c r="X2134" s="22" t="n"/>
      <c r="Y2134" s="13" t="n"/>
      <c r="Z2134" s="22" t="n"/>
      <c r="AA2134" s="22" t="n"/>
      <c r="AB2134" s="22" t="n"/>
      <c r="AC2134" s="22" t="n"/>
      <c r="AD2134" s="22" t="n"/>
      <c r="AE2134" s="22" t="n"/>
    </row>
    <row r="2135" ht="70" customHeight="1" s="380">
      <c r="A2135" s="126" t="n">
        <v>96</v>
      </c>
      <c r="B2135" s="390" t="n"/>
      <c r="C2135" s="390" t="inlineStr">
        <is>
          <t>Báo cáo theo Thông tư 121/2020/TT-BTC &gt;&gt; Báo báo tài chính &gt;&gt; Báo cáo lưu chuyển tiền tệ riêng_06611</t>
        </is>
      </c>
      <c r="D2135" s="390" t="inlineStr">
        <is>
          <t>Ảnh hưởng của thay đổi tỷ giá hối đoái quy đổi ngoại tệ</t>
        </is>
      </c>
      <c r="E2135" s="390" t="n">
        <v>63</v>
      </c>
      <c r="F2135" s="390" t="inlineStr">
        <is>
          <t>Data Explorer</t>
        </is>
      </c>
      <c r="G2135" s="390" t="inlineStr">
        <is>
          <t>Chỉ tiêu cơ sở</t>
        </is>
      </c>
      <c r="H2135" s="390" t="inlineStr">
        <is>
          <t>Dễ</t>
        </is>
      </c>
      <c r="I2135" s="390" t="inlineStr">
        <is>
          <t>Ngày, CTCK</t>
        </is>
      </c>
      <c r="J2135" s="401" t="inlineStr">
        <is>
          <t>SCMS</t>
        </is>
      </c>
      <c r="K2135" s="401" t="n"/>
      <c r="L2135" s="401" t="inlineStr">
        <is>
          <t>X</t>
        </is>
      </c>
      <c r="M2135" s="401" t="n"/>
      <c r="N2135" s="401" t="inlineStr">
        <is>
          <t>Done</t>
        </is>
      </c>
      <c r="O2135" s="401" t="n"/>
      <c r="P2135" s="22" t="n"/>
      <c r="S2135" s="22" t="n"/>
      <c r="U2135" s="16" t="n"/>
      <c r="V2135" s="22" t="n"/>
      <c r="W2135" s="22" t="n"/>
      <c r="X2135" s="22" t="n"/>
      <c r="Y2135" s="14" t="n"/>
      <c r="Z2135" s="22" t="n"/>
      <c r="AA2135" s="22" t="n"/>
      <c r="AB2135" s="22" t="n"/>
      <c r="AC2135" s="22" t="n"/>
      <c r="AD2135" s="22" t="n"/>
      <c r="AE2135" s="22" t="n"/>
    </row>
    <row r="2136" ht="70" customHeight="1" s="380">
      <c r="A2136" s="126" t="n">
        <v>96</v>
      </c>
      <c r="B2136" s="390" t="n"/>
      <c r="C2136" s="390" t="inlineStr">
        <is>
          <t>Báo cáo theo Thông tư 121/2020/TT-BTC &gt;&gt; Báo báo tài chính &gt;&gt; Báo cáo lưu chuyển tiền tệ riêng_06611</t>
        </is>
      </c>
      <c r="D2136" s="132" t="inlineStr">
        <is>
          <t>VI. Tiền và các khoản tương đương tiền cuối kỳ (70 = 50 + 60)</t>
        </is>
      </c>
      <c r="E2136" s="132" t="n">
        <v>70</v>
      </c>
      <c r="F2136" s="390" t="inlineStr">
        <is>
          <t>Data Explorer</t>
        </is>
      </c>
      <c r="G2136" s="390" t="inlineStr">
        <is>
          <t>Chỉ tiêu cơ sở</t>
        </is>
      </c>
      <c r="H2136" s="390" t="inlineStr">
        <is>
          <t>Dễ</t>
        </is>
      </c>
      <c r="I2136" s="390" t="inlineStr">
        <is>
          <t>Ngày, CTCK</t>
        </is>
      </c>
      <c r="J2136" s="401" t="inlineStr">
        <is>
          <t>SCMS</t>
        </is>
      </c>
      <c r="K2136" s="401" t="n"/>
      <c r="L2136" s="401" t="inlineStr">
        <is>
          <t>X</t>
        </is>
      </c>
      <c r="M2136" s="401" t="n"/>
      <c r="N2136" s="401" t="inlineStr">
        <is>
          <t>Done</t>
        </is>
      </c>
      <c r="O2136" s="401" t="n"/>
      <c r="P2136" s="22" t="n"/>
      <c r="S2136" s="22" t="n"/>
      <c r="U2136" s="16" t="n"/>
      <c r="V2136" s="22" t="n"/>
      <c r="W2136" s="22" t="n"/>
      <c r="X2136" s="22" t="n"/>
      <c r="Y2136" s="6" t="n"/>
      <c r="Z2136" s="22" t="n"/>
      <c r="AA2136" s="22" t="n"/>
      <c r="AB2136" s="22" t="n"/>
      <c r="AC2136" s="22" t="n"/>
      <c r="AD2136" s="22" t="n"/>
      <c r="AE2136" s="22" t="n"/>
    </row>
    <row r="2137" ht="70" customHeight="1" s="380">
      <c r="A2137" s="126" t="n">
        <v>96</v>
      </c>
      <c r="B2137" s="390" t="n"/>
      <c r="C2137" s="390" t="inlineStr">
        <is>
          <t>Báo cáo theo Thông tư 121/2020/TT-BTC &gt;&gt; Báo báo tài chính &gt;&gt; Báo cáo lưu chuyển tiền tệ riêng_06611</t>
        </is>
      </c>
      <c r="D2137" s="390" t="inlineStr">
        <is>
          <t xml:space="preserve">Tiền </t>
        </is>
      </c>
      <c r="E2137" s="390" t="n">
        <v>71</v>
      </c>
      <c r="F2137" s="390" t="inlineStr">
        <is>
          <t>Data Explorer</t>
        </is>
      </c>
      <c r="G2137" s="390" t="inlineStr">
        <is>
          <t>Chỉ tiêu cơ sở</t>
        </is>
      </c>
      <c r="H2137" s="390" t="inlineStr">
        <is>
          <t>Dễ</t>
        </is>
      </c>
      <c r="I2137" s="390" t="inlineStr">
        <is>
          <t>Ngày, CTCK</t>
        </is>
      </c>
      <c r="J2137" s="401" t="inlineStr">
        <is>
          <t>SCMS</t>
        </is>
      </c>
      <c r="K2137" s="401" t="n"/>
      <c r="L2137" s="401" t="inlineStr">
        <is>
          <t>X</t>
        </is>
      </c>
      <c r="M2137" s="401" t="n"/>
      <c r="N2137" s="401" t="inlineStr">
        <is>
          <t>Done</t>
        </is>
      </c>
      <c r="O2137" s="401" t="n"/>
      <c r="P2137" s="22" t="n"/>
      <c r="S2137" s="22" t="n"/>
      <c r="U2137" s="16" t="n"/>
      <c r="V2137" s="22" t="n"/>
      <c r="W2137" s="22" t="n"/>
      <c r="X2137" s="22" t="n"/>
      <c r="Y2137" s="6" t="n"/>
      <c r="Z2137" s="22" t="n"/>
      <c r="AA2137" s="22" t="n"/>
      <c r="AB2137" s="22" t="n"/>
      <c r="AC2137" s="22" t="n"/>
      <c r="AD2137" s="22" t="n"/>
      <c r="AE2137" s="22" t="n"/>
    </row>
    <row r="2138" ht="70" customHeight="1" s="380">
      <c r="A2138" s="126" t="n">
        <v>96</v>
      </c>
      <c r="B2138" s="390" t="n"/>
      <c r="C2138" s="390" t="inlineStr">
        <is>
          <t>Báo cáo theo Thông tư 121/2020/TT-BTC &gt;&gt; Báo báo tài chính &gt;&gt; Báo cáo lưu chuyển tiền tệ riêng_06611</t>
        </is>
      </c>
      <c r="D2138" s="390" t="inlineStr">
        <is>
          <t>Các khoản tương đương tiền</t>
        </is>
      </c>
      <c r="E2138" s="390" t="n">
        <v>72</v>
      </c>
      <c r="F2138" s="390" t="inlineStr">
        <is>
          <t>Data Explorer</t>
        </is>
      </c>
      <c r="G2138" s="390" t="inlineStr">
        <is>
          <t>Chỉ tiêu cơ sở</t>
        </is>
      </c>
      <c r="H2138" s="390" t="inlineStr">
        <is>
          <t>Dễ</t>
        </is>
      </c>
      <c r="I2138" s="390" t="inlineStr">
        <is>
          <t>Ngày, CTCK</t>
        </is>
      </c>
      <c r="J2138" s="401" t="inlineStr">
        <is>
          <t>SCMS</t>
        </is>
      </c>
      <c r="K2138" s="401" t="n"/>
      <c r="L2138" s="401" t="inlineStr">
        <is>
          <t>X</t>
        </is>
      </c>
      <c r="M2138" s="401" t="n"/>
      <c r="N2138" s="401" t="inlineStr">
        <is>
          <t>Done</t>
        </is>
      </c>
      <c r="O2138" s="401" t="n"/>
      <c r="P2138" s="22" t="n"/>
      <c r="S2138" s="22" t="n"/>
      <c r="U2138" s="16" t="n"/>
      <c r="V2138" s="22" t="n"/>
      <c r="W2138" s="22" t="n"/>
      <c r="X2138" s="22" t="n"/>
      <c r="Y2138" s="395" t="n"/>
      <c r="Z2138" s="22" t="n"/>
      <c r="AA2138" s="22" t="n"/>
      <c r="AB2138" s="22" t="n"/>
      <c r="AC2138" s="22" t="n"/>
      <c r="AD2138" s="22" t="n"/>
      <c r="AE2138" s="22" t="n"/>
    </row>
    <row r="2139" ht="70" customHeight="1" s="380">
      <c r="A2139" s="128" t="n">
        <v>96</v>
      </c>
      <c r="B2139" s="129" t="n"/>
      <c r="C2139" s="129" t="inlineStr">
        <is>
          <t>Báo cáo theo Thông tư 121/2020/TT-BTC &gt;&gt; Báo báo tài chính &gt;&gt; Báo cáo lưu chuyển tiền tệ riêng_06611</t>
        </is>
      </c>
      <c r="D2139" s="129" t="inlineStr">
        <is>
          <t>Ảnh hưởng của thay đổi tỷ giá hối đoái quy đổi ngoại tệ</t>
        </is>
      </c>
      <c r="E2139" s="129" t="n">
        <v>73</v>
      </c>
      <c r="F2139" s="129" t="inlineStr">
        <is>
          <t>Data Explorer</t>
        </is>
      </c>
      <c r="G2139" s="129" t="inlineStr">
        <is>
          <t>Chỉ tiêu cơ sở</t>
        </is>
      </c>
      <c r="H2139" s="129" t="inlineStr">
        <is>
          <t>Dễ</t>
        </is>
      </c>
      <c r="I2139" s="129" t="inlineStr">
        <is>
          <t>Ngày, CTCK</t>
        </is>
      </c>
      <c r="J2139" s="85" t="inlineStr">
        <is>
          <t>SCMS</t>
        </is>
      </c>
      <c r="K2139" s="85" t="n"/>
      <c r="L2139" s="85" t="inlineStr">
        <is>
          <t>X</t>
        </is>
      </c>
      <c r="M2139" s="85" t="n"/>
      <c r="N2139" s="85" t="inlineStr">
        <is>
          <t>Done</t>
        </is>
      </c>
      <c r="O2139" s="85" t="n"/>
      <c r="P2139" s="130" t="n"/>
      <c r="Q2139" s="426" t="n"/>
      <c r="R2139" s="426" t="n"/>
      <c r="S2139" s="130" t="n"/>
      <c r="T2139" s="426" t="n"/>
      <c r="U2139" s="131" t="n"/>
      <c r="V2139" s="130" t="n"/>
      <c r="W2139" s="130" t="n"/>
      <c r="X2139" s="130" t="n"/>
      <c r="Y2139" s="69" t="n"/>
      <c r="Z2139" s="130" t="n"/>
      <c r="AA2139" s="130" t="n"/>
      <c r="AB2139" s="130" t="n"/>
      <c r="AC2139" s="130" t="n"/>
      <c r="AD2139" s="130" t="n"/>
      <c r="AE2139" s="130" t="n"/>
    </row>
    <row r="2140" ht="84" customHeight="1" s="380">
      <c r="A2140" s="126" t="n">
        <v>97</v>
      </c>
      <c r="B2140" s="122" t="inlineStr">
        <is>
          <t>Nga</t>
        </is>
      </c>
      <c r="C2140" s="127" t="inlineStr">
        <is>
          <t>Báo cáo theo Thông tư 121/2020/TT-BTC &gt;&gt; Báo báo tài chính &gt;&gt; Phần lưu chuyển tiền tệ hoạt động môi giới, ủy thác của khách hàng_06612</t>
        </is>
      </c>
      <c r="D2140" s="106" t="inlineStr">
        <is>
          <t>Loại báo cáo</t>
        </is>
      </c>
      <c r="E2140" s="107" t="inlineStr">
        <is>
          <t>Loại báo cáo</t>
        </is>
      </c>
      <c r="F2140" s="390" t="inlineStr">
        <is>
          <t>Data Explorer</t>
        </is>
      </c>
      <c r="G2140" s="390" t="inlineStr">
        <is>
          <t>Chiều</t>
        </is>
      </c>
      <c r="H2140" s="390" t="inlineStr">
        <is>
          <t>Dễ</t>
        </is>
      </c>
      <c r="I2140" s="390" t="inlineStr">
        <is>
          <t>Ngày, CTCK</t>
        </is>
      </c>
      <c r="J2140" s="401" t="inlineStr">
        <is>
          <t>SCMS</t>
        </is>
      </c>
      <c r="K2140" s="401" t="inlineStr">
        <is>
          <t>X</t>
        </is>
      </c>
      <c r="L2140" s="401" t="inlineStr">
        <is>
          <t>X</t>
        </is>
      </c>
      <c r="M2140" s="401" t="n"/>
      <c r="N2140" s="401" t="inlineStr">
        <is>
          <t>Done</t>
        </is>
      </c>
      <c r="O2140" s="401" t="n"/>
      <c r="P2140" s="22" t="n"/>
      <c r="Q2140" s="404" t="inlineStr">
        <is>
          <t>SCMS.BM_BAO_CAO
SCMS.BM_BAO_CAO_DINH_KY</t>
        </is>
      </c>
      <c r="R2140" s="404" t="inlineStr">
        <is>
          <t>bm.ID,
bm.MA_BAO_CAO,
bm.LOAI_BAO_CAO,
bm.TEN_BAO_CAO,
bm.SU_DUNG,
bdk.BM_BAO_CAO_ID,
bdk.KY_BAO_CAO,
bdk.SU_DUNG</t>
        </is>
      </c>
      <c r="S2140" s="22" t="n"/>
      <c r="T2140" s="389"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U2140" s="16" t="n"/>
      <c r="V2140" s="22" t="n"/>
      <c r="W2140" s="22" t="n"/>
      <c r="X2140" s="22" t="n"/>
      <c r="Y2140" s="395" t="n"/>
      <c r="Z2140" s="22" t="n"/>
      <c r="AA2140" s="22" t="n"/>
      <c r="AB2140" s="22" t="n"/>
      <c r="AC2140" s="22" t="n"/>
      <c r="AD2140" s="22" t="n"/>
      <c r="AE2140" s="22" t="n"/>
    </row>
    <row r="2141" ht="84" customHeight="1" s="380">
      <c r="A2141" s="126" t="n">
        <v>97</v>
      </c>
      <c r="B2141" s="390" t="n"/>
      <c r="C2141" s="390" t="inlineStr">
        <is>
          <t>Báo cáo theo Thông tư 121/2020/TT-BTC &gt;&gt; Báo báo tài chính &gt;&gt; Phần lưu chuyển tiền tệ hoạt động môi giới, ủy thác của khách hàng_06612</t>
        </is>
      </c>
      <c r="D2141" s="106" t="inlineStr">
        <is>
          <t>Kỳ báo cáo</t>
        </is>
      </c>
      <c r="E2141" s="107" t="inlineStr">
        <is>
          <t>Kỳ báo cáo</t>
        </is>
      </c>
      <c r="F2141" s="390" t="inlineStr">
        <is>
          <t>Data Explorer</t>
        </is>
      </c>
      <c r="G2141" s="390" t="inlineStr">
        <is>
          <t>Chiều</t>
        </is>
      </c>
      <c r="H2141" s="390" t="inlineStr">
        <is>
          <t>Dễ</t>
        </is>
      </c>
      <c r="I2141" s="390" t="inlineStr">
        <is>
          <t>Ngày, CTCK</t>
        </is>
      </c>
      <c r="J2141" s="401" t="inlineStr">
        <is>
          <t>SCMS</t>
        </is>
      </c>
      <c r="K2141" s="401" t="inlineStr">
        <is>
          <t>X</t>
        </is>
      </c>
      <c r="L2141" s="401" t="inlineStr">
        <is>
          <t>X</t>
        </is>
      </c>
      <c r="M2141" s="401" t="n"/>
      <c r="N2141" s="401" t="inlineStr">
        <is>
          <t>Done</t>
        </is>
      </c>
      <c r="O2141" s="401" t="n"/>
      <c r="P2141" s="22" t="n"/>
      <c r="S2141" s="22" t="n"/>
      <c r="U2141" s="16" t="n"/>
      <c r="V2141" s="22" t="n"/>
      <c r="W2141" s="22" t="n"/>
      <c r="X2141" s="22" t="n"/>
      <c r="Y2141" s="395" t="n"/>
      <c r="Z2141" s="22" t="n"/>
      <c r="AA2141" s="22" t="n"/>
      <c r="AB2141" s="22" t="n"/>
      <c r="AC2141" s="22" t="n"/>
      <c r="AD2141" s="22" t="n"/>
      <c r="AE2141" s="22" t="n"/>
    </row>
    <row r="2142" ht="84" customHeight="1" s="380">
      <c r="A2142" s="126" t="n">
        <v>97</v>
      </c>
      <c r="B2142" s="390" t="n"/>
      <c r="C2142" s="390" t="inlineStr">
        <is>
          <t>Báo cáo theo Thông tư 121/2020/TT-BTC &gt;&gt; Báo báo tài chính &gt;&gt; Phần lưu chuyển tiền tệ hoạt động môi giới, ủy thác của khách hàng_06612</t>
        </is>
      </c>
      <c r="D2142" s="106" t="inlineStr">
        <is>
          <t>Mã báo cáo</t>
        </is>
      </c>
      <c r="E2142" s="107" t="inlineStr">
        <is>
          <t>Mã báo cáo</t>
        </is>
      </c>
      <c r="F2142" s="390" t="inlineStr">
        <is>
          <t>Data Explorer</t>
        </is>
      </c>
      <c r="G2142" s="390" t="inlineStr">
        <is>
          <t>Chiều</t>
        </is>
      </c>
      <c r="H2142" s="390" t="inlineStr">
        <is>
          <t>Dễ</t>
        </is>
      </c>
      <c r="I2142" s="390" t="inlineStr">
        <is>
          <t>Ngày, CTCK</t>
        </is>
      </c>
      <c r="J2142" s="401" t="inlineStr">
        <is>
          <t>SCMS</t>
        </is>
      </c>
      <c r="K2142" s="401" t="inlineStr">
        <is>
          <t>X</t>
        </is>
      </c>
      <c r="L2142" s="401" t="inlineStr">
        <is>
          <t>X</t>
        </is>
      </c>
      <c r="M2142" s="401" t="n"/>
      <c r="N2142" s="401" t="inlineStr">
        <is>
          <t>Done</t>
        </is>
      </c>
      <c r="O2142" s="401" t="n"/>
      <c r="P2142" s="22" t="n"/>
      <c r="S2142" s="22" t="n"/>
      <c r="U2142" s="16" t="n"/>
      <c r="V2142" s="22" t="n"/>
      <c r="W2142" s="22" t="n"/>
      <c r="X2142" s="22" t="n"/>
      <c r="Y2142" s="395" t="n"/>
      <c r="Z2142" s="22" t="n"/>
      <c r="AA2142" s="22" t="n"/>
      <c r="AB2142" s="22" t="n"/>
      <c r="AC2142" s="22" t="n"/>
      <c r="AD2142" s="22" t="n"/>
      <c r="AE2142" s="22" t="n"/>
    </row>
    <row r="2143" ht="84" customHeight="1" s="380">
      <c r="A2143" s="126" t="n">
        <v>97</v>
      </c>
      <c r="B2143" s="390" t="n"/>
      <c r="C2143" s="390" t="inlineStr">
        <is>
          <t>Báo cáo theo Thông tư 121/2020/TT-BTC &gt;&gt; Báo báo tài chính &gt;&gt; Phần lưu chuyển tiền tệ hoạt động môi giới, ủy thác của khách hàng_06612</t>
        </is>
      </c>
      <c r="D2143" s="106" t="inlineStr">
        <is>
          <t>Tên báo cáo</t>
        </is>
      </c>
      <c r="E2143" s="107" t="inlineStr">
        <is>
          <t>Tên báo cáo</t>
        </is>
      </c>
      <c r="F2143" s="390" t="inlineStr">
        <is>
          <t>Data Explorer</t>
        </is>
      </c>
      <c r="G2143" s="390" t="inlineStr">
        <is>
          <t>Chiều</t>
        </is>
      </c>
      <c r="H2143" s="390" t="inlineStr">
        <is>
          <t>Dễ</t>
        </is>
      </c>
      <c r="I2143" s="390" t="inlineStr">
        <is>
          <t>Ngày, CTCK</t>
        </is>
      </c>
      <c r="J2143" s="401" t="inlineStr">
        <is>
          <t>SCMS</t>
        </is>
      </c>
      <c r="K2143" s="401" t="inlineStr">
        <is>
          <t>X</t>
        </is>
      </c>
      <c r="L2143" s="401" t="inlineStr">
        <is>
          <t>X</t>
        </is>
      </c>
      <c r="M2143" s="401" t="n"/>
      <c r="N2143" s="401" t="inlineStr">
        <is>
          <t>Done</t>
        </is>
      </c>
      <c r="O2143" s="401" t="n"/>
      <c r="P2143" s="22" t="n"/>
      <c r="S2143" s="22" t="n"/>
      <c r="U2143" s="16" t="n"/>
      <c r="V2143" s="22" t="n"/>
      <c r="W2143" s="22" t="n"/>
      <c r="X2143" s="22" t="n"/>
      <c r="Y2143" s="395" t="n"/>
      <c r="Z2143" s="22" t="n"/>
      <c r="AA2143" s="22" t="n"/>
      <c r="AB2143" s="22" t="n"/>
      <c r="AC2143" s="22" t="n"/>
      <c r="AD2143" s="22" t="n"/>
      <c r="AE2143" s="22" t="n"/>
    </row>
    <row r="2144" ht="84" customHeight="1" s="380">
      <c r="A2144" s="126" t="n">
        <v>97</v>
      </c>
      <c r="B2144" s="390" t="n"/>
      <c r="C2144" s="390" t="inlineStr">
        <is>
          <t>Báo cáo theo Thông tư 121/2020/TT-BTC &gt;&gt; Báo báo tài chính &gt;&gt; Phần lưu chuyển tiền tệ hoạt động môi giới, ủy thác của khách hàng_06612</t>
        </is>
      </c>
      <c r="D2144" s="106" t="inlineStr">
        <is>
          <t>Mã sheet</t>
        </is>
      </c>
      <c r="E2144" s="106" t="inlineStr">
        <is>
          <t>Mã sheet</t>
        </is>
      </c>
      <c r="F2144" s="390" t="inlineStr">
        <is>
          <t>Data Explorer</t>
        </is>
      </c>
      <c r="G2144" s="390" t="inlineStr">
        <is>
          <t>Chiều</t>
        </is>
      </c>
      <c r="H2144" s="390" t="inlineStr">
        <is>
          <t>Dễ</t>
        </is>
      </c>
      <c r="I2144" s="390" t="inlineStr">
        <is>
          <t>Ngày, CTCK</t>
        </is>
      </c>
      <c r="J2144" s="401" t="inlineStr">
        <is>
          <t>SCMS</t>
        </is>
      </c>
      <c r="K2144" s="401" t="inlineStr">
        <is>
          <t>X</t>
        </is>
      </c>
      <c r="L2144" s="401" t="inlineStr">
        <is>
          <t>X</t>
        </is>
      </c>
      <c r="M2144" s="401" t="n"/>
      <c r="N2144" s="401" t="inlineStr">
        <is>
          <t>Done</t>
        </is>
      </c>
      <c r="O2144" s="401" t="n"/>
      <c r="P2144" s="22" t="n"/>
      <c r="Q2144" s="401" t="inlineStr">
        <is>
          <t>SCMS.BM_BAO_CAO
SCMS.BM_SHEET</t>
        </is>
      </c>
      <c r="R2144" s="401" t="inlineStr">
        <is>
          <t>bm.ID,
bm.MA_BAO_CAO,
bm.SU_DUNG,
s.BM_BAO_CAO_ID,
s.MA_SHEET,
s.TEN_SHEET,
s.SAP_XEP</t>
        </is>
      </c>
      <c r="S2144" s="22" t="n"/>
      <c r="T2144" s="389" t="inlineStr">
        <is>
          <t>-- Mã sheet / Tên sheet
-- TEN_SHEET: PLCTTHDMGUTCKHTT
SELECT bm.MA_BAO_CAO,
s.MA_SHEET,
s.TEN_SHEET
FROM SCMS.BM_BAO_CAO bm
JOIN SCMS.BM_SHEET s ON s.BM_BAO_CAO_ID = bm.ID
WHERE bm.MA_BAO_CAO LIKE 'BCTCRLCTCK'
AND s.TEN_SHEET = 'PLCTTHDMGUTCKHTT'  -- Check lại
AND bm.SU_DUNG = 1
ORDER BY bm.MA_BAO_CAO, s.SAP_XEP;</t>
        </is>
      </c>
      <c r="U2144" s="16" t="n"/>
      <c r="V2144" s="22" t="n"/>
      <c r="W2144" s="22" t="n"/>
      <c r="X2144" s="22" t="n"/>
      <c r="Y2144" s="395" t="n"/>
      <c r="Z2144" s="22" t="n"/>
      <c r="AA2144" s="22" t="n"/>
      <c r="AB2144" s="22" t="n"/>
      <c r="AC2144" s="22" t="n"/>
      <c r="AD2144" s="22" t="n"/>
      <c r="AE2144" s="22" t="n"/>
    </row>
    <row r="2145" ht="84" customHeight="1" s="380">
      <c r="A2145" s="126" t="n">
        <v>97</v>
      </c>
      <c r="B2145" s="390" t="n"/>
      <c r="C2145" s="390" t="inlineStr">
        <is>
          <t>Báo cáo theo Thông tư 121/2020/TT-BTC &gt;&gt; Báo báo tài chính &gt;&gt; Phần lưu chuyển tiền tệ hoạt động môi giới, ủy thác của khách hàng_06612</t>
        </is>
      </c>
      <c r="D2145" s="106" t="inlineStr">
        <is>
          <t>Tên sheet</t>
        </is>
      </c>
      <c r="E2145" s="106" t="inlineStr">
        <is>
          <t>Tên sheet</t>
        </is>
      </c>
      <c r="F2145" s="390" t="inlineStr">
        <is>
          <t>Data Explorer</t>
        </is>
      </c>
      <c r="G2145" s="390" t="inlineStr">
        <is>
          <t>Chiều</t>
        </is>
      </c>
      <c r="H2145" s="390" t="inlineStr">
        <is>
          <t>Dễ</t>
        </is>
      </c>
      <c r="I2145" s="390" t="inlineStr">
        <is>
          <t>Ngày, CTCK</t>
        </is>
      </c>
      <c r="J2145" s="401" t="inlineStr">
        <is>
          <t>SCMS</t>
        </is>
      </c>
      <c r="K2145" s="401" t="inlineStr">
        <is>
          <t>X</t>
        </is>
      </c>
      <c r="L2145" s="401" t="inlineStr">
        <is>
          <t>X</t>
        </is>
      </c>
      <c r="M2145" s="401" t="n"/>
      <c r="N2145" s="401" t="inlineStr">
        <is>
          <t>Done</t>
        </is>
      </c>
      <c r="O2145" s="401" t="n"/>
      <c r="P2145" s="22" t="n"/>
      <c r="S2145" s="22" t="n"/>
      <c r="U2145" s="16" t="n"/>
      <c r="V2145" s="22" t="n"/>
      <c r="W2145" s="22" t="n"/>
      <c r="X2145" s="22" t="n"/>
      <c r="Y2145" s="395" t="n"/>
      <c r="Z2145" s="22" t="n"/>
      <c r="AA2145" s="22" t="n"/>
      <c r="AB2145" s="22" t="n"/>
      <c r="AC2145" s="22" t="n"/>
      <c r="AD2145" s="22" t="n"/>
      <c r="AE2145" s="22" t="n"/>
    </row>
    <row r="2146" ht="84" customHeight="1" s="380">
      <c r="A2146" s="126" t="n">
        <v>97</v>
      </c>
      <c r="B2146" s="390" t="n"/>
      <c r="C2146" s="390" t="inlineStr">
        <is>
          <t>Báo cáo theo Thông tư 121/2020/TT-BTC &gt;&gt; Báo báo tài chính &gt;&gt; Phần lưu chuyển tiền tệ hoạt động môi giới, ủy thác của khách hàng_06612</t>
        </is>
      </c>
      <c r="D2146" s="106" t="inlineStr">
        <is>
          <t>Mã chỉ tiêu</t>
        </is>
      </c>
      <c r="E2146" s="107" t="inlineStr">
        <is>
          <t>Mã chỉ tiêu</t>
        </is>
      </c>
      <c r="F2146" s="390" t="inlineStr">
        <is>
          <t>Data Explorer</t>
        </is>
      </c>
      <c r="G2146" s="390" t="inlineStr">
        <is>
          <t>Chiều</t>
        </is>
      </c>
      <c r="H2146" s="390" t="inlineStr">
        <is>
          <t>Dễ</t>
        </is>
      </c>
      <c r="I2146" s="390" t="inlineStr">
        <is>
          <t>Ngày, CTCK</t>
        </is>
      </c>
      <c r="J2146" s="401" t="inlineStr">
        <is>
          <t>SCMS</t>
        </is>
      </c>
      <c r="K2146" s="401" t="inlineStr">
        <is>
          <t>X</t>
        </is>
      </c>
      <c r="L2146" s="401" t="inlineStr">
        <is>
          <t>X</t>
        </is>
      </c>
      <c r="M2146" s="401" t="n"/>
      <c r="N2146" s="401" t="inlineStr">
        <is>
          <t>Done</t>
        </is>
      </c>
      <c r="O2146" s="401" t="n"/>
      <c r="P2146" s="22" t="n"/>
      <c r="Q2146" s="401" t="inlineStr">
        <is>
          <t>SCMS.BM_BAO_CAO
SCMS.BM_SHEET
SCMS.BM_BAO_CAO_CT
SCMS.DM_CHI_TIEU</t>
        </is>
      </c>
      <c r="R2146" s="401" t="inlineStr">
        <is>
          <t>dct.ID,
dct.MA_CHI_TIEU,
dct.TEN_CHI_TIEU,
dct.SU_DUNG,
s.BM_BAO_CAO_ID,
s.MA_SHEET,
ct.BM_BAO_CAO_ID,
ct.DM_CHI_TIEU_ID,
ct.SU_DUNG,
bm.ID,
bm.MA_BAO_CAO,
bm.SU_DUNG</t>
        </is>
      </c>
      <c r="S2146" s="22" t="n"/>
      <c r="T2146" s="389" t="inlineStr">
        <is>
          <t>-- Mã chỉ tiêu / Tên chỉ tiêu
SELECT DISTINCT
    dct.MA_CHI_TIEU  AS ma_chi_tieu,
    dct.TEN_CHI_TIEU AS ten_chi_tieu
FROM SCMS.BM_BAO_CAO bm
JOIN SCMS.BM_SHEET s ON s.BM_BAO_CAO_ID = bm.ID
	AND s.TEN_SHEET = 'PLCTTHDMGUTCKHTT'
JOIN SCMS.BM_BAO_CAO_CT ct ON ct.BM_SHEET_ID = s.ID
	AND ct.SU_DUNG = 1
JOIN SCMS.DM_CHI_TIEU dct ON dct.ID = ct.DM_CHI_TIEU_ID
	AND dct.SU_DUNG = 1
WHERE bm.MA_BAO_CAO LIKE 'BCTCRLCTCK'
	AND bm.SU_DUNG = 1
ORDER BY dct.MA_CHI_TIEU;</t>
        </is>
      </c>
      <c r="U2146" s="16" t="n"/>
      <c r="V2146" s="22" t="n"/>
      <c r="W2146" s="22" t="n"/>
      <c r="X2146" s="22" t="n"/>
      <c r="Y2146" s="395" t="n"/>
      <c r="Z2146" s="22" t="n"/>
      <c r="AA2146" s="22" t="n"/>
      <c r="AB2146" s="22" t="n"/>
      <c r="AC2146" s="22" t="n"/>
      <c r="AD2146" s="22" t="n"/>
      <c r="AE2146" s="22" t="n"/>
    </row>
    <row r="2147" ht="84" customHeight="1" s="380">
      <c r="A2147" s="126" t="n">
        <v>97</v>
      </c>
      <c r="B2147" s="390" t="n"/>
      <c r="C2147" s="390" t="inlineStr">
        <is>
          <t>Báo cáo theo Thông tư 121/2020/TT-BTC &gt;&gt; Báo báo tài chính &gt;&gt; Phần lưu chuyển tiền tệ hoạt động môi giới, ủy thác của khách hàng_06612</t>
        </is>
      </c>
      <c r="D2147" s="106" t="inlineStr">
        <is>
          <t>Tên chỉ tiêu</t>
        </is>
      </c>
      <c r="E2147" s="107" t="inlineStr">
        <is>
          <t>Tên chỉ tiêu</t>
        </is>
      </c>
      <c r="F2147" s="390" t="inlineStr">
        <is>
          <t>Data Explorer</t>
        </is>
      </c>
      <c r="G2147" s="390" t="inlineStr">
        <is>
          <t>Chiều</t>
        </is>
      </c>
      <c r="H2147" s="390" t="inlineStr">
        <is>
          <t>Dễ</t>
        </is>
      </c>
      <c r="I2147" s="390" t="inlineStr">
        <is>
          <t>Ngày, CTCK</t>
        </is>
      </c>
      <c r="J2147" s="401" t="inlineStr">
        <is>
          <t>SCMS</t>
        </is>
      </c>
      <c r="K2147" s="401" t="inlineStr">
        <is>
          <t>X</t>
        </is>
      </c>
      <c r="L2147" s="401" t="inlineStr">
        <is>
          <t>X</t>
        </is>
      </c>
      <c r="M2147" s="401" t="n"/>
      <c r="N2147" s="401" t="inlineStr">
        <is>
          <t>Done</t>
        </is>
      </c>
      <c r="O2147" s="401" t="n"/>
      <c r="P2147" s="22" t="n"/>
      <c r="S2147" s="22" t="n"/>
      <c r="U2147" s="16" t="n"/>
      <c r="V2147" s="22" t="n"/>
      <c r="W2147" s="22" t="n"/>
      <c r="X2147" s="22" t="n"/>
      <c r="Y2147" s="395" t="n"/>
      <c r="Z2147" s="22" t="n"/>
      <c r="AA2147" s="22" t="n"/>
      <c r="AB2147" s="22" t="n"/>
      <c r="AC2147" s="22" t="n"/>
      <c r="AD2147" s="22" t="n"/>
      <c r="AE2147" s="22" t="n"/>
    </row>
    <row r="2148" ht="84" customHeight="1" s="380">
      <c r="A2148" s="126" t="n">
        <v>97</v>
      </c>
      <c r="B2148" s="390" t="n"/>
      <c r="C2148" s="390" t="inlineStr">
        <is>
          <t>Báo cáo theo Thông tư 121/2020/TT-BTC &gt;&gt; Báo báo tài chính &gt;&gt; Phần lưu chuyển tiền tệ hoạt động môi giới, ủy thác của khách hàng_06612</t>
        </is>
      </c>
      <c r="D2148" s="132" t="inlineStr">
        <is>
          <t>I. Lưu chuyển tiền hoạt động môi giới, ủy thác của khách hàng</t>
        </is>
      </c>
      <c r="E2148" s="401" t="n"/>
      <c r="F2148" s="390" t="inlineStr">
        <is>
          <t>Data Explorer</t>
        </is>
      </c>
      <c r="G2148" s="390" t="inlineStr">
        <is>
          <t>Chỉ tiêu cơ sở</t>
        </is>
      </c>
      <c r="H2148" s="390" t="inlineStr">
        <is>
          <t>Dễ</t>
        </is>
      </c>
      <c r="I2148" s="390" t="inlineStr">
        <is>
          <t>Ngày, CTCK</t>
        </is>
      </c>
      <c r="J2148" s="401" t="inlineStr">
        <is>
          <t>SCMS</t>
        </is>
      </c>
      <c r="K2148" s="401" t="n"/>
      <c r="L2148" s="401" t="inlineStr">
        <is>
          <t>X</t>
        </is>
      </c>
      <c r="M2148" s="401" t="n"/>
      <c r="N2148" s="401" t="inlineStr">
        <is>
          <t>Done</t>
        </is>
      </c>
      <c r="O2148" s="401" t="n"/>
      <c r="P2148" s="22" t="n"/>
      <c r="Q2148" s="431" t="inlineStr">
        <is>
          <t>SCMS.BC_THANH_VIEN
SCMS.BM_BAO_CAO
SCMS.BC_BAO_CAO_GT
SCMS.BM_BAO_CAO_HANG
SCMS.BM_BAO_CAO_COT</t>
        </is>
      </c>
      <c r="R2148" s="431" t="inlineStr">
        <is>
          <t>bsc.TEN_COT,
bsc.BM_SHEET_ID,
bsh.ID,
bsh.MA_HANG,
gt.GIA_TRI,
gt.BC_THANH_VIEN_ID,
gt.BM_SHEET_HANG_ID,
bm.ID,
bm.MA_BAO_CAO,
btv.ID,
btv.BM_BAO_CAO_ID,
btv.TRANG_THAI,
btv.NGAY_SO_LIEU</t>
        </is>
      </c>
      <c r="S2148" s="22" t="n"/>
      <c r="T2148" s="432" t="inlineStr">
        <is>
          <t>-- CHỈ TIÊU
SELECT
	-- Thuyết minh
    MAX(CASE WHEN bsc.TEN_COT=N'Thuyết minh' AND bsh.MA_HANG = '4' THEN CAST(gt.GIA_TRI AS VARCHAR2(4000)) END) AS "I. Lưu chuyển tiền hoạt động môi giới, ủy thác của khách hàng",
	MAX(CASE WHEN bsc.TEN_COT=N'Thuyết minh' AND bsh.MA_HANG = '5' THEN CAST(gt.GIA_TRI AS VARCHAR2(4000)) END) AS "1. Tiền thu bán chứng khoán môi giới cho khách hàng",
	MAX(CASE WHEN bsc.TEN_COT=N'Thuyết minh' AND bsh.MA_HANG = '6' THEN CAST(gt.GIA_TRI AS VARCHAR2(4000)) END) AS "2. Tiền chi mua chứng khoán môi giới cho khách hàng",
	MAX(CASE WHEN bsc.TEN_COT=N'Thuyết minh' AND bsh.MA_HANG = '7' THEN CAST(gt.GIA_TRI AS VARCHAR2(4000)) END) AS "3. Tiền thu bán chứng khoán ủy thác của khách hàng",
	MAX(CASE WHEN bsc.TEN_COT=N'Thuyết minh' AND bsh.MA_HANG = '8' THEN CAST(gt.GIA_TRI AS VARCHAR2(4000)) END) AS "4.Tiền chi mua chứng khoán ủy thác của khách hàng",
	MAX(CASE WHEN bsc.TEN_COT=N'Thuyết minh' AND bsh.MA_HANG = '9' THEN CAST(gt.GIA_TRI AS VARCHAR2(4000)) END) AS "5. Thu vay Quỹ Hỗ trợ thanh toán",
	MAX(CASE WHEN bsc.TEN_COT=N'Thuyết minh' AND bsh.MA_HANG = '10' THEN CAST(gt.GIA_TRI AS VARCHAR2(4000)) END) AS "6. Chi trả vay Quỹ Hỗ trợ thanh toán",
	MAX(CASE WHEN bsc.TEN_COT=N'Thuyết minh' AND bsh.MA_HANG = '11' THEN CAST(gt.GIA_TRI AS VARCHAR2(4000)) END) AS "7. Nhận tiền gửi để thanh toán giao dịch chứng khoán của khách hàng",
	MAX(CASE WHEN bsc.TEN_COT=N'Thuyết minh' AND bsh.MA_HANG = '12' THEN CAST(gt.GIA_TRI AS VARCHAR2(4000)) END) AS "8. Nhận tiền gửi của Nhà đầu tư cho hoạt động ủy thác đầu tư của khách hàng",
	MAX(CASE WHEN bsc.TEN_COT=N'Thuyết minh' AND bsh.MA_HANG = '13' THEN CAST(gt.GIA_TRI AS VARCHAR2(4000)) END) AS "9. Chi trả phí lưu ký chứng khoán của khách hàng",
	MAX(CASE WHEN bsc.TEN_COT=N'Thuyết minh' AND bsh.MA_HANG = '14' THEN CAST(gt.GIA_TRI AS VARCHAR2(4000)) END) AS "10. Thu lỗi giao dịch chứng khoán",
	MAX(CASE WHEN bsc.TEN_COT=N'Thuyết minh' AND bsh.MA_HANG = '15' THEN CAST(gt.GIA_TRI AS VARCHAR2(4000)) END) AS "11. Chi lỗi giao dịch chứng khoán",
	MAX(CASE WHEN bsc.TEN_COT=N'Thuyết minh' AND bsh.MA_HANG = '16' THEN CAST(gt.GIA_TRI AS VARCHAR2(4000)) END) AS "12. Tiền thu của Tổ chức phát hành chứng khoán",
	MAX(CASE WHEN bsc.TEN_COT=N'Thuyết minh' AND bsh.MA_HANG = '17' THEN CAST(gt.GIA_TRI AS VARCHAR2(4000)) END) AS "13. Tiền chi trả Tổ chức phát hành chứng khoán",
	MAX(CASE WHEN bsc.TEN_COT=N'Thuyết minh' AND bsh.MA_HANG = '18' THEN CAST(gt.GIA_TRI AS VARCHAR2(4000)) END) AS "Tăng/giảm tiền thuần trong kỳ",
	MAX(CASE WHEN bsc.TEN_COT=N'Thuyết minh' AND bsh.MA_HANG = '19' THEN CAST(gt.GIA_TRI AS VARCHAR2(4000)) END) AS "II. Tiền và các khoản tương đương tiền đầu kỳ của khách hàng",
	MAX(CASE WHEN bsc.TEN_COT=N'Thuyết minh' AND bsh.MA_HANG = '20' THEN CAST(gt.GIA_TRI AS VARCHAR2(4000)) END) AS "Tiền gửi ngân hàng đầu kỳ",
	MAX(CASE WHEN bsc.TEN_COT=N'Thuyết minh' AND bsh.MA_HANG = '21' THEN CAST(gt.GIA_TRI AS VARCHAR2(4000)) END) AS "Tiền gửi của Nhà đầu tư về giao dịch chứng khoán theo phương thức CTCK quản lý",
	MAX(CASE WHEN bsc.TEN_COT=N'Thuyết minh' AND bsh.MA_HANG = '22' THEN CAST(gt.GIA_TRI AS VARCHAR2(4000)) END) AS "Trong đó có kỳ hạn",
	MAX(CASE WHEN bsc.TEN_COT=N'Thuyết minh' AND bsh.MA_HANG = '23' THEN CAST(gt.GIA_TRI AS VARCHAR2(4000)) END) AS "Tiền gửi bù trừ và thanh toán giao dịch chứng khoán",
	MAX(CASE WHEN bsc.TEN_COT=N'Thuyết minh' AND bsh.MA_HANG = '24' THEN CAST(gt.GIA_TRI AS VARCHAR2(4000)) END) AS "Tiền gửi tổng hợp giao dịch chứng khoán cho khách hàng",
	MAX(CASE WHEN bsc.TEN_COT=N'Thuyết minh' AND bsh.MA_HANG = '25' THEN CAST(gt.GIA_TRI AS VARCHAR2(4000)) END) AS "Tiền gửi của tổ chức phát hành",
	MAX(CASE WHEN bsc.TEN_COT=N'Thuyết minh' AND bsh.MA_HANG = '26' THEN CAST(gt.GIA_TRI AS VARCHAR2(4000)) END) AS "Trong đó có kỳ hạn",
	MAX(CASE WHEN bsc.TEN_COT=N'Thuyết minh' AND bsh.MA_HANG = '27' THEN CAST(gt.GIA_TRI AS VARCHAR2(4000)) END) AS "Các khoản tương đương tiền",
	MAX(CASE WHEN bsc.TEN_COT=N'Thuyết minh' AND bsh.MA_HANG = '28' THEN CAST(gt.GIA_TRI AS VARCHAR2(4000)) END) AS "Ảnh hưởng của thay đổi tỷ giá hối đoái quy đổi ngoại tệ",
	MAX(CASE WHEN bsc.TEN_COT=N'Thuyết minh' AND bsh.MA_HANG = '29' THEN CAST(gt.GIA_TRI AS VARCHAR2(4000)) END) AS "III. Tiền và các khoản tương đương tiền cuối kỳ của khách hàng (40 = 20 + 30)",
	MAX(CASE WHEN bsc.TEN_COT=N'Thuyết minh' AND bsh.MA_HANG = '30' THEN CAST(gt.GIA_TRI AS VARCHAR2(4000)) END) AS "Tiền gửi ngân hàng cuối kỳ",
	MAX(CASE WHEN bsc.TEN_COT=N'Thuyết minh' AND bsh.MA_HANG = '31' THEN CAST(gt.GIA_TRI AS VARCHAR2(4000)) END) AS "Tiền gửi của Nhà đầu tư về giao dịch chứng khoán theo phương thức CTCK quản lý",
	MAX(CASE WHEN bsc.TEN_COT=N'Thuyết minh' AND bsh.MA_HANG = '32' THEN CAST(gt.GIA_TRI AS VARCHAR2(4000)) END) AS "Trong đó có kỳ hạn",
	MAX(CASE WHEN bsc.TEN_COT=N'Thuyết minh' AND bsh.MA_HANG = '33' THEN CAST(gt.GIA_TRI AS VARCHAR2(4000)) END) AS "Tiền gửi tổng hợp giao dịch chứng khoán cho khách hàng",
	MAX(CASE WHEN bsc.TEN_COT=N'Thuyết minh' AND bsh.MA_HANG = '34' THEN CAST(gt.GIA_TRI AS VARCHAR2(4000)) END) AS "Tiền gửi bù trừ và thanh toán giao dịch chứng khoán",
	MAX(CASE WHEN bsc.TEN_COT=N'Thuyết minh' AND bsh.MA_HANG = '35' THEN CAST(gt.GIA_TRI AS VARCHAR2(4000)) END) AS "Tiền gửi của tổ chức phát hành",
	MAX(CASE WHEN bsc.TEN_COT=N'Thuyết minh' AND bsh.MA_HANG = '36' THEN CAST(gt.GIA_TRI AS VARCHAR2(4000)) END) AS "Trong đó có kỳ hạn",
	MAX(CASE WHEN bsc.TEN_COT=N'Thuyết minh' AND bsh.MA_HANG = '37' THEN CAST(gt.GIA_TRI AS VARCHAR2(4000)) END) AS "Các khoản tương đương tiền",
	MAX(CASE WHEN bsc.TEN_COT=N'Thuyết minh' AND bsh.MA_HANG = '38' THEN CAST(gt.GIA_TRI AS VARCHAR2(4000)) END) AS "Ảnh hưởng của thay đổi tỷ giá hối đoái quy đổi ngoại tệ",	    
    -- Năm nay
	MAX(CASE WHEN bsc.TEN_COT=N'Năm nay' AND bsh.MA_HANG = '4' THEN CAST(gt.GIA_TRI AS VARCHAR2(4000)) END) AS "I. Lưu chuyển tiền hoạt động môi giới, ủy thác của khách hàng",
	MAX(CASE WHEN bsc.TEN_COT=N'Năm nay' AND bsh.MA_HANG = '5' THEN CAST(gt.GIA_TRI AS VARCHAR2(4000)) END) AS "1. Tiền thu bán chứng khoán môi giới cho khách hàng",
	MAX(CASE WHEN bsc.TEN_COT=N'Năm nay' AND bsh.MA_HANG = '6' THEN CAST(gt.GIA_TRI AS VARCHAR2(4000)) END) AS "2. Tiền chi mua chứng khoán môi giới cho khách hàng",
	MAX(CASE WHEN bsc.TEN_COT=N'Năm nay' AND bsh.MA_HANG = '7' THEN CAST(gt.GIA_TRI AS VARCHAR2(4000)) END) AS "3. Tiền thu bán chứng khoán ủy thác của khách hàng",
	MAX(CASE WHEN bsc.TEN_COT=N'Năm nay' AND bsh.MA_HANG = '8' THEN CAST(gt.GIA_TRI AS VARCHAR2(4000)) END) AS "4.Tiền chi mua chứng khoán ủy thác của khách hàng",
	MAX(CASE WHEN bsc.TEN_COT=N'Năm nay' AND bsh.MA_HANG = '9' THEN CAST(gt.GIA_TRI AS VARCHAR2(4000)) END) AS "5. Thu vay Quỹ Hỗ trợ thanh toán",
	MAX(CASE WHEN bsc.TEN_COT=N'Năm nay' AND bsh.MA_HANG = '10' THEN CAST(gt.GIA_TRI AS VARCHAR2(4000)) END) AS "6. Chi trả vay Quỹ Hỗ trợ thanh toán",
	MAX(CASE WHEN bsc.TEN_COT=N'Năm nay' AND bsh.MA_HANG = '11' THEN CAST(gt.GIA_TRI AS VARCHAR2(4000)) END) AS "7. Nhận tiền gửi để thanh toán giao dịch chứng khoán của khách hàng",
	MAX(CASE WHEN bsc.TEN_COT=N'Năm nay' AND bsh.MA_HANG = '12' THEN CAST(gt.GIA_TRI AS VARCHAR2(4000)) END) AS "8. Nhận tiền gửi của Nhà đầu tư cho hoạt động ủy thác đầu tư của khách hàng",
	MAX(CASE WHEN bsc.TEN_COT=N'Năm nay' AND bsh.MA_HANG = '13' THEN CAST(gt.GIA_TRI AS VARCHAR2(4000)) END) AS "9. Chi trả phí lưu ký chứng khoán của khách hàng",
	MAX(CASE WHEN bsc.TEN_COT=N'Năm nay' AND bsh.MA_HANG = '14' THEN CAST(gt.GIA_TRI AS VARCHAR2(4000)) END) AS "10. Thu lỗi giao dịch chứng khoán",
	MAX(CASE WHEN bsc.TEN_COT=N'Năm nay' AND bsh.MA_HANG = '15' THEN CAST(gt.GIA_TRI AS VARCHAR2(4000)) END) AS "11. Chi lỗi giao dịch chứng khoán",
	MAX(CASE WHEN bsc.TEN_COT=N'Năm nay' AND bsh.MA_HANG = '16' THEN CAST(gt.GIA_TRI AS VARCHAR2(4000)) END) AS "12. Tiền thu của Tổ chức phát hành chứng khoán",
	MAX(CASE WHEN bsc.TEN_COT=N'Năm nay' AND bsh.MA_HANG = '17' THEN CAST(gt.GIA_TRI AS VARCHAR2(4000)) END) AS "13. Tiền chi trả Tổ chức phát hành chứng khoán",
	MAX(CASE WHEN bsc.TEN_COT=N'Năm nay' AND bsh.MA_HANG = '18' THEN CAST(gt.GIA_TRI AS VARCHAR2(4000)) END) AS "Tăng/giảm tiền thuần trong kỳ",
	MAX(CASE WHEN bsc.TEN_COT=N'Năm nay' AND bsh.MA_HANG = '19' THEN CAST(gt.GIA_TRI AS VARCHAR2(4000)) END) AS "II. Tiền và các khoản tương đương tiền đầu kỳ của khách hàng",
	MAX(CASE WHEN bsc.TEN_COT=N'Năm nay' AND bsh.MA_HANG = '20' THEN CAST(gt.GIA_TRI AS VARCHAR2(4000)) END) AS "Tiền gửi ngân hàng đầu kỳ",
	MAX(CASE WHEN bsc.TEN_COT=N'Năm nay' AND bsh.MA_HANG = '21' THEN CAST(gt.GIA_TRI AS VARCHAR2(4000)) END) AS "Tiền gửi của Nhà đầu tư về giao dịch chứng khoán theo phương thức CTCK quản lý",
	MAX(CASE WHEN bsc.TEN_COT=N'Năm nay' AND bsh.MA_HANG = '22' THEN CAST(gt.GIA_TRI AS VARCHAR2(4000)) END) AS "Trong đó có kỳ hạn",
	MAX(CASE WHEN bsc.TEN_COT=N'Năm nay' AND bsh.MA_HANG = '23' THEN CAST(gt.GIA_TRI AS VARCHAR2(4000)) END) AS "Tiền gửi bù trừ và thanh toán giao dịch chứng khoán",
	MAX(CASE WHEN bsc.TEN_COT=N'Năm nay' AND bsh.MA_HANG = '24' THEN CAST(gt.GIA_TRI AS VARCHAR2(4000)) END) AS "Tiền gửi tổng hợp giao dịch chứng khoán cho khách hàng",
	MAX(CASE WHEN bsc.TEN_COT=N'Năm nay' AND bsh.MA_HANG = '25' THEN CAST(gt.GIA_TRI AS VARCHAR2(4000)) END) AS "Tiền gửi của tổ chức phát hành",
	MAX(CASE WHEN bsc.TEN_COT=N'Năm nay' AND bsh.MA_HANG = '26' THEN CAST(gt.GIA_TRI AS VARCHAR2(4000)) END) AS "Trong đó có kỳ hạn",
	MAX(CASE WHEN bsc.TEN_COT=N'Năm nay' AND bsh.MA_HANG = '27' THEN CAST(gt.GIA_TRI AS VARCHAR2(4000)) END) AS "Các khoản tương đương tiền",
	MAX(CASE WHEN bsc.TEN_COT=N'Năm nay' AND bsh.MA_HANG = '28' THEN CAST(gt.GIA_TRI AS VARCHAR2(4000)) END) AS "Ảnh hưởng của thay đổi tỷ giá hối đoái quy đổi ngoại tệ",
	MAX(CASE WHEN bsc.TEN_COT=N'Năm nay' AND bsh.MA_HANG = '29' THEN CAST(gt.GIA_TRI AS VARCHAR2(4000)) END) AS "III. Tiền và các khoản tương đương tiền cuối kỳ của khách hàng (40 = 20 + 30)",
	MAX(CASE WHEN bsc.TEN_COT=N'Năm nay' AND bsh.MA_HANG = '30' THEN CAST(gt.GIA_TRI AS VARCHAR2(4000)) END) AS "Tiền gửi ngân hàng cuối kỳ",
	MAX(CASE WHEN bsc.TEN_COT=N'Năm nay' AND bsh.MA_HANG = '31' THEN CAST(gt.GIA_TRI AS VARCHAR2(4000)) END) AS "Tiền gửi của Nhà đầu tư về giao dịch chứng khoán theo phương thức CTCK quản lý",
	MAX(CASE WHEN bsc.TEN_COT=N'Năm nay' AND bsh.MA_HANG = '32' THEN CAST(gt.GIA_TRI AS VARCHAR2(4000)) END) AS "Trong đó có kỳ hạn",
	MAX(CASE WHEN bsc.TEN_COT=N'Năm nay' AND bsh.MA_HANG = '33' THEN CAST(gt.GIA_TRI AS VARCHAR2(4000)) END) AS "Tiền gửi tổng hợp giao dịch chứng khoán cho khách hàng",
	MAX(CASE WHEN bsc.TEN_COT=N'Năm nay' AND bsh.MA_HANG = '34' THEN CAST(gt.GIA_TRI AS VARCHAR2(4000)) END) AS "Tiền gửi bù trừ và thanh toán giao dịch chứng khoán",
	MAX(CASE WHEN bsc.TEN_COT=N'Năm nay' AND bsh.MA_HANG = '35' THEN CAST(gt.GIA_TRI AS VARCHAR2(4000)) END) AS "Tiền gửi của tổ chức phát hành",
	MAX(CASE WHEN bsc.TEN_COT=N'Năm nay' AND bsh.MA_HANG = '36' THEN CAST(gt.GIA_TRI AS VARCHAR2(4000)) END) AS "Trong đó có kỳ hạn",
	MAX(CASE WHEN bsc.TEN_COT=N'Năm nay' AND bsh.MA_HANG = '37' THEN CAST(gt.GIA_TRI AS VARCHAR2(4000)) END) AS "Các khoản tương đương tiền",
	MAX(CASE WHEN bsc.TEN_COT=N'Năm nay' AND bsh.MA_HANG = '38' THEN CAST(gt.GIA_TRI AS VARCHAR2(4000)) END) AS "Ảnh hưởng của thay đổi tỷ giá hối đoái quy đổi ngoại tệ",	    
    -- Năm trước
	MAX(CASE WHEN bsc.TEN_COT=N'Năm trước' AND bsh.MA_HANG = '4' THEN CAST(gt.GIA_TRI AS VARCHAR2(4000)) END) AS "I. Lưu chuyển tiền hoạt động môi giới, ủy thác của khách hàng",
	MAX(CASE WHEN bsc.TEN_COT=N'Năm trước' AND bsh.MA_HANG = '5' THEN CAST(gt.GIA_TRI AS VARCHAR2(4000)) END) AS "1. Tiền thu bán chứng khoán môi giới cho khách hàng",
	MAX(CASE WHEN bsc.TEN_COT=N'Năm trước' AND bsh.MA_HANG = '6' THEN CAST(gt.GIA_TRI AS VARCHAR2(4000)) END) AS "2. Tiền chi mua chứng khoán môi giới cho khách hàng",
	MAX(CASE WHEN bsc.TEN_COT=N'Năm trước' AND bsh.MA_HANG = '7' THEN CAST(gt.GIA_TRI AS VARCHAR2(4000)) END) AS "3. Tiền thu bán chứng khoán ủy thác của khách hàng",
	MAX(CASE WHEN bsc.TEN_COT=N'Năm trước' AND bsh.MA_HANG = '8' THEN CAST(gt.GIA_TRI AS VARCHAR2(4000)) END) AS "4.Tiền chi mua chứng khoán ủy thác của khách hàng",
	MAX(CASE WHEN bsc.TEN_COT=N'Năm trước' AND bsh.MA_HANG = '9' THEN CAST(gt.GIA_TRI AS VARCHAR2(4000)) END) AS "5. Thu vay Quỹ Hỗ trợ thanh toán",
	MAX(CASE WHEN bsc.TEN_COT=N'Năm trước' AND bsh.MA_HANG = '10' THEN CAST(gt.GIA_TRI AS VARCHAR2(4000)) END) AS "6. Chi trả vay Quỹ Hỗ trợ thanh toán",
	MAX(CASE WHEN bsc.TEN_COT=N'Năm trước' AND bsh.MA_HANG = '11' THEN CAST(gt.GIA_TRI AS VARCHAR2(4000)) END) AS "7. Nhận tiền gửi để thanh toán giao dịch chứng khoán của khách hàng",
	MAX(CASE WHEN bsc.TEN_COT=N'Năm trước' AND bsh.MA_HANG = '12' THEN CAST(gt.GIA_TRI AS VARCHAR2(4000)) END) AS "8. Nhận tiền gửi của Nhà đầu tư cho hoạt động ủy thác đầu tư của khách hàng",
	MAX(CASE WHEN bsc.TEN_COT=N'Năm trước' AND bsh.MA_HANG = '13' THEN CAST(gt.GIA_TRI AS VARCHAR2(4000)) END) AS "9. Chi trả phí lưu ký chứng khoán của khách hàng",
	MAX(CASE WHEN bsc.TEN_COT=N'Năm trước' AND bsh.MA_HANG = '14' THEN CAST(gt.GIA_TRI AS VARCHAR2(4000)) END) AS "10. Thu lỗi giao dịch chứng khoán",
	MAX(CASE WHEN bsc.TEN_COT=N'Năm trước' AND bsh.MA_HANG = '15' THEN CAST(gt.GIA_TRI AS VARCHAR2(4000)) END) AS "11. Chi lỗi giao dịch chứng khoán",
	MAX(CASE WHEN bsc.TEN_COT=N'Năm trước' AND bsh.MA_HANG = '16' THEN CAST(gt.GIA_TRI AS VARCHAR2(4000)) END) AS "12. Tiền thu của Tổ chức phát hành chứng khoán",
	MAX(CASE WHEN bsc.TEN_COT=N'Năm trước' AND bsh.MA_HANG = '17' THEN CAST(gt.GIA_TRI AS VARCHAR2(4000)) END) AS "13. Tiền chi trả Tổ chức phát hành chứng khoán",
	MAX(CASE WHEN bsc.TEN_COT=N'Năm trước' AND bsh.MA_HANG = '18' THEN CAST(gt.GIA_TRI AS VARCHAR2(4000)) END) AS "Tăng/giảm tiền thuần trong kỳ",
	MAX(CASE WHEN bsc.TEN_COT=N'Năm trước' AND bsh.MA_HANG = '19' THEN CAST(gt.GIA_TRI AS VARCHAR2(4000)) END) AS "II. Tiền và các khoản tương đương tiền đầu kỳ của khách hàng",
	MAX(CASE WHEN bsc.TEN_COT=N'Năm trước' AND bsh.MA_HANG = '20' THEN CAST(gt.GIA_TRI AS VARCHAR2(4000)) END) AS "Tiền gửi ngân hàng đầu kỳ",
	MAX(CASE WHEN bsc.TEN_COT=N'Năm trước' AND bsh.MA_HANG = '21' THEN CAST(gt.GIA_TRI AS VARCHAR2(4000)) END) AS "Tiền gửi của Nhà đầu tư về giao dịch chứng khoán theo phương thức CTCK quản lý",
	MAX(CASE WHEN bsc.TEN_COT=N'Năm trước' AND bsh.MA_HANG = '22' THEN CAST(gt.GIA_TRI AS VARCHAR2(4000)) END) AS "Trong đó có kỳ hạn",
	MAX(CASE WHEN bsc.TEN_COT=N'Năm trước' AND bsh.MA_HANG = '23' THEN CAST(gt.GIA_TRI AS VARCHAR2(4000)) END) AS "Tiền gửi bù trừ và thanh toán giao dịch chứng khoán",
	MAX(CASE WHEN bsc.TEN_COT=N'Năm trước' AND bsh.MA_HANG = '24' THEN CAST(gt.GIA_TRI AS VARCHAR2(4000)) END) AS "Tiền gửi tổng hợp giao dịch chứng khoán cho khách hàng",
	MAX(CASE WHEN bsc.TEN_COT=N'Năm trước' AND bsh.MA_HANG = '25' THEN CAST(gt.GIA_TRI AS VARCHAR2(4000)) END) AS "Tiền gửi của tổ chức phát hành",
	MAX(CASE WHEN bsc.TEN_COT=N'Năm trước' AND bsh.MA_HANG = '26' THEN CAST(gt.GIA_TRI AS VARCHAR2(4000)) END) AS "Trong đó có kỳ hạn",
	MAX(CASE WHEN bsc.TEN_COT=N'Năm trước' AND bsh.MA_HANG = '27' THEN CAST(gt.GIA_TRI AS VARCHAR2(4000)) END) AS "Các khoản tương đương tiền",
	MAX(CASE WHEN bsc.TEN_COT=N'Năm trước' AND bsh.MA_HANG = '28' THEN CAST(gt.GIA_TRI AS VARCHAR2(4000)) END) AS "Ảnh hưởng của thay đổi tỷ giá hối đoái quy đổi ngoại tệ",
	MAX(CASE WHEN bsc.TEN_COT=N'Năm trước' AND bsh.MA_HANG = '29' THEN CAST(gt.GIA_TRI AS VARCHAR2(4000)) END) AS "III. Tiền và các khoản tương đương tiền cuối kỳ của khách hàng (40 = 20 + 30)",
	MAX(CASE WHEN bsc.TEN_COT=N'Năm trước' AND bsh.MA_HANG = '30' THEN CAST(gt.GIA_TRI AS VARCHAR2(4000)) END) AS "Tiền gửi ngân hàng cuối kỳ",
	MAX(CASE WHEN bsc.TEN_COT=N'Năm trước' AND bsh.MA_HANG = '31' THEN CAST(gt.GIA_TRI AS VARCHAR2(4000)) END) AS "Tiền gửi của Nhà đầu tư về giao dịch chứng khoán theo phương thức CTCK quản lý",
	MAX(CASE WHEN bsc.TEN_COT=N'Năm trước' AND bsh.MA_HANG = '32' THEN CAST(gt.GIA_TRI AS VARCHAR2(4000)) END) AS "Trong đó có kỳ hạn",
	MAX(CASE WHEN bsc.TEN_COT=N'Năm trước' AND bsh.MA_HANG = '33' THEN CAST(gt.GIA_TRI AS VARCHAR2(4000)) END) AS "Tiền gửi tổng hợp giao dịch chứng khoán cho khách hàng",
	MAX(CASE WHEN bsc.TEN_COT=N'Năm trước' AND bsh.MA_HANG = '34' THEN CAST(gt.GIA_TRI AS VARCHAR2(4000)) END) AS "Tiền gửi bù trừ và thanh toán giao dịch chứng khoán",
	MAX(CASE WHEN bsc.TEN_COT=N'Năm trước' AND bsh.MA_HANG = '35' THEN CAST(gt.GIA_TRI AS VARCHAR2(4000)) END) AS "Tiền gửi của tổ chức phát hành",
	MAX(CASE WHEN bsc.TEN_COT=N'Năm trước' AND bsh.MA_HANG = '36' THEN CAST(gt.GIA_TRI AS VARCHAR2(4000)) END) AS "Trong đó có kỳ hạn",
	MAX(CASE WHEN bsc.TEN_COT=N'Năm trước' AND bsh.MA_HANG = '37' THEN CAST(gt.GIA_TRI AS VARCHAR2(4000)) END) AS "Các khoản tương đương tiền",
	MAX(CASE WHEN bsc.TEN_COT=N'Năm trước' AND bsh.MA_HANG = '38' THEN CAST(gt.GIA_TRI AS VARCHAR2(4000)) END) AS "Ảnh hưởng của thay đổi tỷ giá hối đoái quy đổi ngoại tệ"
FROM SCMS.BC_THANH_VIEN btv
JOIN SCMS.BM_BAO_CAO bm ON bm.ID = btv.BM_BAO_CAO_ID
JOIN SCMS.BC_BAO_CAO_GT gt ON gt.BC_THANH_VIEN_ID = btv.ID
JOIN SCMS.BM_BAO_CAO_HANG bsh ON bsh.ID = gt.BM_SHEET_HANG_ID
JOIN SCMS.BM_BAO_CAO_COT bsc ON bsc.BM_SHEET_ID = 5887
--                               AND bsc.TEN_COT = gt.TEN_COT
WHERE bm.MA_BAO_CAO LIKE 'BCTCRLCTCK'
  AND btv.TRANG_THAI IN (2, 3)
GROUP BY btv.ID, btv.NGAY_SO_LIEU
ORDER BY btv.NGAY_SO_LIEU DESC;</t>
        </is>
      </c>
      <c r="U2148" s="16" t="n"/>
      <c r="V2148" s="22" t="n"/>
      <c r="W2148" s="22" t="n"/>
      <c r="X2148" s="22" t="n"/>
      <c r="Y2148" s="395" t="n"/>
      <c r="Z2148" s="22" t="n"/>
      <c r="AA2148" s="22" t="n"/>
      <c r="AB2148" s="22" t="n"/>
      <c r="AC2148" s="22" t="n"/>
      <c r="AD2148" s="22" t="n"/>
      <c r="AE2148" s="22" t="n"/>
    </row>
    <row r="2149" ht="84" customHeight="1" s="380">
      <c r="A2149" s="126" t="n">
        <v>97</v>
      </c>
      <c r="B2149" s="390" t="n"/>
      <c r="C2149" s="390" t="inlineStr">
        <is>
          <t>Báo cáo theo Thông tư 121/2020/TT-BTC &gt;&gt; Báo báo tài chính &gt;&gt; Phần lưu chuyển tiền tệ hoạt động môi giới, ủy thác của khách hàng_06612</t>
        </is>
      </c>
      <c r="D2149" s="390" t="inlineStr">
        <is>
          <t>1. Tiền thu bán chứng khoán môi giới cho khách hàng</t>
        </is>
      </c>
      <c r="E2149" s="390" t="n">
        <v>1</v>
      </c>
      <c r="F2149" s="390" t="inlineStr">
        <is>
          <t>Data Explorer</t>
        </is>
      </c>
      <c r="G2149" s="390" t="inlineStr">
        <is>
          <t>Chỉ tiêu cơ sở</t>
        </is>
      </c>
      <c r="H2149" s="390" t="inlineStr">
        <is>
          <t>Dễ</t>
        </is>
      </c>
      <c r="I2149" s="390" t="inlineStr">
        <is>
          <t>Ngày, CTCK</t>
        </is>
      </c>
      <c r="J2149" s="401" t="inlineStr">
        <is>
          <t>SCMS</t>
        </is>
      </c>
      <c r="K2149" s="401" t="n"/>
      <c r="L2149" s="401" t="inlineStr">
        <is>
          <t>X</t>
        </is>
      </c>
      <c r="M2149" s="401" t="n"/>
      <c r="N2149" s="401" t="inlineStr">
        <is>
          <t>Done</t>
        </is>
      </c>
      <c r="O2149" s="401" t="n"/>
      <c r="P2149" s="22" t="n"/>
      <c r="S2149" s="22" t="n"/>
      <c r="U2149" s="16" t="n"/>
      <c r="V2149" s="22" t="n"/>
      <c r="W2149" s="22" t="n"/>
      <c r="X2149" s="22" t="n"/>
      <c r="Y2149" s="395" t="n"/>
      <c r="Z2149" s="22" t="n"/>
      <c r="AA2149" s="22" t="n"/>
      <c r="AB2149" s="22" t="n"/>
      <c r="AC2149" s="22" t="n"/>
      <c r="AD2149" s="22" t="n"/>
      <c r="AE2149" s="22" t="n"/>
    </row>
    <row r="2150" ht="84" customHeight="1" s="380">
      <c r="A2150" s="126" t="n">
        <v>97</v>
      </c>
      <c r="B2150" s="390" t="n"/>
      <c r="C2150" s="390" t="inlineStr">
        <is>
          <t>Báo cáo theo Thông tư 121/2020/TT-BTC &gt;&gt; Báo báo tài chính &gt;&gt; Phần lưu chuyển tiền tệ hoạt động môi giới, ủy thác của khách hàng_06612</t>
        </is>
      </c>
      <c r="D2150" s="390" t="inlineStr">
        <is>
          <t>2. Tiền chi mua chứng khoán môi giới cho khách hàng</t>
        </is>
      </c>
      <c r="E2150" s="390" t="n">
        <v>2</v>
      </c>
      <c r="F2150" s="390" t="inlineStr">
        <is>
          <t>Data Explorer</t>
        </is>
      </c>
      <c r="G2150" s="390" t="inlineStr">
        <is>
          <t>Chỉ tiêu cơ sở</t>
        </is>
      </c>
      <c r="H2150" s="390" t="inlineStr">
        <is>
          <t>Dễ</t>
        </is>
      </c>
      <c r="I2150" s="390" t="inlineStr">
        <is>
          <t>Ngày, CTCK</t>
        </is>
      </c>
      <c r="J2150" s="401" t="inlineStr">
        <is>
          <t>SCMS</t>
        </is>
      </c>
      <c r="K2150" s="401" t="n"/>
      <c r="L2150" s="401" t="inlineStr">
        <is>
          <t>X</t>
        </is>
      </c>
      <c r="M2150" s="401" t="n"/>
      <c r="N2150" s="401" t="inlineStr">
        <is>
          <t>Done</t>
        </is>
      </c>
      <c r="O2150" s="401" t="n"/>
      <c r="P2150" s="22" t="n"/>
      <c r="S2150" s="22" t="n"/>
      <c r="U2150" s="16" t="n"/>
      <c r="V2150" s="22" t="n"/>
      <c r="W2150" s="22" t="n"/>
      <c r="X2150" s="22" t="n"/>
      <c r="Y2150" s="395" t="n"/>
      <c r="Z2150" s="22" t="n"/>
      <c r="AA2150" s="22" t="n"/>
      <c r="AB2150" s="22" t="n"/>
      <c r="AC2150" s="22" t="n"/>
      <c r="AD2150" s="22" t="n"/>
      <c r="AE2150" s="22" t="n"/>
    </row>
    <row r="2151" ht="84" customHeight="1" s="380">
      <c r="A2151" s="126" t="n">
        <v>97</v>
      </c>
      <c r="B2151" s="390" t="n"/>
      <c r="C2151" s="390" t="inlineStr">
        <is>
          <t>Báo cáo theo Thông tư 121/2020/TT-BTC &gt;&gt; Báo báo tài chính &gt;&gt; Phần lưu chuyển tiền tệ hoạt động môi giới, ủy thác của khách hàng_06612</t>
        </is>
      </c>
      <c r="D2151" s="390" t="inlineStr">
        <is>
          <t>3. Tiền thu bán chứng khoán ủy thác của khách hàng</t>
        </is>
      </c>
      <c r="E2151" s="390" t="n">
        <v>3</v>
      </c>
      <c r="F2151" s="390" t="inlineStr">
        <is>
          <t>Data Explorer</t>
        </is>
      </c>
      <c r="G2151" s="390" t="inlineStr">
        <is>
          <t>Chỉ tiêu cơ sở</t>
        </is>
      </c>
      <c r="H2151" s="390" t="inlineStr">
        <is>
          <t>Dễ</t>
        </is>
      </c>
      <c r="I2151" s="390" t="inlineStr">
        <is>
          <t>Ngày, CTCK</t>
        </is>
      </c>
      <c r="J2151" s="401" t="inlineStr">
        <is>
          <t>SCMS</t>
        </is>
      </c>
      <c r="K2151" s="401" t="n"/>
      <c r="L2151" s="401" t="inlineStr">
        <is>
          <t>X</t>
        </is>
      </c>
      <c r="M2151" s="401" t="n"/>
      <c r="N2151" s="401" t="inlineStr">
        <is>
          <t>Done</t>
        </is>
      </c>
      <c r="O2151" s="401" t="n"/>
      <c r="P2151" s="22" t="n"/>
      <c r="S2151" s="22" t="n"/>
      <c r="U2151" s="16" t="n"/>
      <c r="V2151" s="22" t="n"/>
      <c r="W2151" s="22" t="n"/>
      <c r="X2151" s="22" t="n"/>
      <c r="Y2151" s="395" t="n"/>
      <c r="Z2151" s="22" t="n"/>
      <c r="AA2151" s="22" t="n"/>
      <c r="AB2151" s="22" t="n"/>
      <c r="AC2151" s="22" t="n"/>
      <c r="AD2151" s="22" t="n"/>
      <c r="AE2151" s="22" t="n"/>
    </row>
    <row r="2152" ht="84" customHeight="1" s="380">
      <c r="A2152" s="126" t="n">
        <v>97</v>
      </c>
      <c r="B2152" s="390" t="n"/>
      <c r="C2152" s="390" t="inlineStr">
        <is>
          <t>Báo cáo theo Thông tư 121/2020/TT-BTC &gt;&gt; Báo báo tài chính &gt;&gt; Phần lưu chuyển tiền tệ hoạt động môi giới, ủy thác của khách hàng_06612</t>
        </is>
      </c>
      <c r="D2152" s="390" t="inlineStr">
        <is>
          <t>4.Tiền chi mua chứng khoán ủy thác của khách hàng</t>
        </is>
      </c>
      <c r="E2152" s="390" t="n">
        <v>4</v>
      </c>
      <c r="F2152" s="390" t="inlineStr">
        <is>
          <t>Data Explorer</t>
        </is>
      </c>
      <c r="G2152" s="390" t="inlineStr">
        <is>
          <t>Chỉ tiêu cơ sở</t>
        </is>
      </c>
      <c r="H2152" s="390" t="inlineStr">
        <is>
          <t>Dễ</t>
        </is>
      </c>
      <c r="I2152" s="390" t="inlineStr">
        <is>
          <t>Ngày, CTCK</t>
        </is>
      </c>
      <c r="J2152" s="401" t="inlineStr">
        <is>
          <t>SCMS</t>
        </is>
      </c>
      <c r="K2152" s="401" t="n"/>
      <c r="L2152" s="401" t="inlineStr">
        <is>
          <t>X</t>
        </is>
      </c>
      <c r="M2152" s="401" t="n"/>
      <c r="N2152" s="401" t="inlineStr">
        <is>
          <t>Done</t>
        </is>
      </c>
      <c r="O2152" s="401" t="n"/>
      <c r="P2152" s="22" t="n"/>
      <c r="S2152" s="22" t="n"/>
      <c r="U2152" s="16" t="n"/>
      <c r="V2152" s="22" t="n"/>
      <c r="W2152" s="22" t="n"/>
      <c r="X2152" s="22" t="n"/>
      <c r="Y2152" s="395" t="n"/>
      <c r="Z2152" s="22" t="n"/>
      <c r="AA2152" s="22" t="n"/>
      <c r="AB2152" s="22" t="n"/>
      <c r="AC2152" s="22" t="n"/>
      <c r="AD2152" s="22" t="n"/>
      <c r="AE2152" s="22" t="n"/>
    </row>
    <row r="2153" ht="84" customHeight="1" s="380">
      <c r="A2153" s="126" t="n">
        <v>97</v>
      </c>
      <c r="B2153" s="390" t="n"/>
      <c r="C2153" s="390" t="inlineStr">
        <is>
          <t>Báo cáo theo Thông tư 121/2020/TT-BTC &gt;&gt; Báo báo tài chính &gt;&gt; Phần lưu chuyển tiền tệ hoạt động môi giới, ủy thác của khách hàng_06612</t>
        </is>
      </c>
      <c r="D2153" s="390" t="inlineStr">
        <is>
          <t>5. Thu vay Quỹ Hỗ trợ thanh toán</t>
        </is>
      </c>
      <c r="E2153" s="390" t="n">
        <v>5</v>
      </c>
      <c r="F2153" s="390" t="inlineStr">
        <is>
          <t>Data Explorer</t>
        </is>
      </c>
      <c r="G2153" s="390" t="inlineStr">
        <is>
          <t>Chỉ tiêu cơ sở</t>
        </is>
      </c>
      <c r="H2153" s="390" t="inlineStr">
        <is>
          <t>Dễ</t>
        </is>
      </c>
      <c r="I2153" s="390" t="inlineStr">
        <is>
          <t>Ngày, CTCK</t>
        </is>
      </c>
      <c r="J2153" s="401" t="inlineStr">
        <is>
          <t>SCMS</t>
        </is>
      </c>
      <c r="K2153" s="401" t="n"/>
      <c r="L2153" s="401" t="inlineStr">
        <is>
          <t>X</t>
        </is>
      </c>
      <c r="M2153" s="401" t="n"/>
      <c r="N2153" s="401" t="inlineStr">
        <is>
          <t>Done</t>
        </is>
      </c>
      <c r="O2153" s="401" t="n"/>
      <c r="P2153" s="22" t="n"/>
      <c r="S2153" s="22" t="n"/>
      <c r="U2153" s="16" t="n"/>
      <c r="V2153" s="22" t="n"/>
      <c r="W2153" s="22" t="n"/>
      <c r="X2153" s="22" t="n"/>
      <c r="Y2153" s="395" t="n"/>
      <c r="Z2153" s="22" t="n"/>
      <c r="AA2153" s="22" t="n"/>
      <c r="AB2153" s="22" t="n"/>
      <c r="AC2153" s="22" t="n"/>
      <c r="AD2153" s="22" t="n"/>
      <c r="AE2153" s="22" t="n"/>
    </row>
    <row r="2154" ht="84" customHeight="1" s="380">
      <c r="A2154" s="126" t="n">
        <v>97</v>
      </c>
      <c r="B2154" s="390" t="n"/>
      <c r="C2154" s="390" t="inlineStr">
        <is>
          <t>Báo cáo theo Thông tư 121/2020/TT-BTC &gt;&gt; Báo báo tài chính &gt;&gt; Phần lưu chuyển tiền tệ hoạt động môi giới, ủy thác của khách hàng_06612</t>
        </is>
      </c>
      <c r="D2154" s="390" t="inlineStr">
        <is>
          <t>6. Chi trả vay Quỹ Hỗ trợ thanh toán</t>
        </is>
      </c>
      <c r="E2154" s="390" t="n">
        <v>6</v>
      </c>
      <c r="F2154" s="390" t="inlineStr">
        <is>
          <t>Data Explorer</t>
        </is>
      </c>
      <c r="G2154" s="390" t="inlineStr">
        <is>
          <t>Chỉ tiêu cơ sở</t>
        </is>
      </c>
      <c r="H2154" s="390" t="inlineStr">
        <is>
          <t>Dễ</t>
        </is>
      </c>
      <c r="I2154" s="390" t="inlineStr">
        <is>
          <t>Ngày, CTCK</t>
        </is>
      </c>
      <c r="J2154" s="401" t="inlineStr">
        <is>
          <t>SCMS</t>
        </is>
      </c>
      <c r="K2154" s="401" t="n"/>
      <c r="L2154" s="401" t="inlineStr">
        <is>
          <t>X</t>
        </is>
      </c>
      <c r="M2154" s="401" t="n"/>
      <c r="N2154" s="401" t="inlineStr">
        <is>
          <t>Done</t>
        </is>
      </c>
      <c r="O2154" s="401" t="n"/>
      <c r="P2154" s="22" t="n"/>
      <c r="S2154" s="22" t="n"/>
      <c r="U2154" s="16" t="n"/>
      <c r="V2154" s="22" t="n"/>
      <c r="W2154" s="22" t="n"/>
      <c r="X2154" s="22" t="n"/>
      <c r="Y2154" s="395" t="n"/>
      <c r="Z2154" s="22" t="n"/>
      <c r="AA2154" s="22" t="n"/>
      <c r="AB2154" s="22" t="n"/>
      <c r="AC2154" s="22" t="n"/>
      <c r="AD2154" s="22" t="n"/>
      <c r="AE2154" s="22" t="n"/>
    </row>
    <row r="2155" ht="84" customHeight="1" s="380">
      <c r="A2155" s="126" t="n">
        <v>97</v>
      </c>
      <c r="B2155" s="390" t="n"/>
      <c r="C2155" s="390" t="inlineStr">
        <is>
          <t>Báo cáo theo Thông tư 121/2020/TT-BTC &gt;&gt; Báo báo tài chính &gt;&gt; Phần lưu chuyển tiền tệ hoạt động môi giới, ủy thác của khách hàng_06612</t>
        </is>
      </c>
      <c r="D2155" s="390" t="inlineStr">
        <is>
          <t xml:space="preserve">7. Nhận tiền gửi để thanh toán giao dịch chứng khoán của khách hàng </t>
        </is>
      </c>
      <c r="E2155" s="390" t="n">
        <v>7</v>
      </c>
      <c r="F2155" s="390" t="inlineStr">
        <is>
          <t>Data Explorer</t>
        </is>
      </c>
      <c r="G2155" s="390" t="inlineStr">
        <is>
          <t>Chỉ tiêu cơ sở</t>
        </is>
      </c>
      <c r="H2155" s="390" t="inlineStr">
        <is>
          <t>Dễ</t>
        </is>
      </c>
      <c r="I2155" s="390" t="inlineStr">
        <is>
          <t>Ngày, CTCK</t>
        </is>
      </c>
      <c r="J2155" s="401" t="inlineStr">
        <is>
          <t>SCMS</t>
        </is>
      </c>
      <c r="K2155" s="401" t="n"/>
      <c r="L2155" s="401" t="inlineStr">
        <is>
          <t>X</t>
        </is>
      </c>
      <c r="M2155" s="401" t="n"/>
      <c r="N2155" s="401" t="inlineStr">
        <is>
          <t>Done</t>
        </is>
      </c>
      <c r="O2155" s="401" t="n"/>
      <c r="P2155" s="22" t="n"/>
      <c r="S2155" s="22" t="n"/>
      <c r="U2155" s="16" t="n"/>
      <c r="V2155" s="22" t="n"/>
      <c r="W2155" s="22" t="n"/>
      <c r="X2155" s="22" t="n"/>
      <c r="Y2155" s="395" t="n"/>
      <c r="Z2155" s="22" t="n"/>
      <c r="AA2155" s="22" t="n"/>
      <c r="AB2155" s="22" t="n"/>
      <c r="AC2155" s="22" t="n"/>
      <c r="AD2155" s="22" t="n"/>
      <c r="AE2155" s="22" t="n"/>
    </row>
    <row r="2156" ht="84" customHeight="1" s="380">
      <c r="A2156" s="126" t="n">
        <v>97</v>
      </c>
      <c r="B2156" s="390" t="n"/>
      <c r="C2156" s="390" t="inlineStr">
        <is>
          <t>Báo cáo theo Thông tư 121/2020/TT-BTC &gt;&gt; Báo báo tài chính &gt;&gt; Phần lưu chuyển tiền tệ hoạt động môi giới, ủy thác của khách hàng_06612</t>
        </is>
      </c>
      <c r="D2156" s="390" t="inlineStr">
        <is>
          <t>8. Nhận tiền gửi của Nhà đầu tư cho hoạt động ủy thác đầu tư của khách hàng</t>
        </is>
      </c>
      <c r="E2156" s="390" t="n">
        <v>8</v>
      </c>
      <c r="F2156" s="390" t="inlineStr">
        <is>
          <t>Data Explorer</t>
        </is>
      </c>
      <c r="G2156" s="390" t="inlineStr">
        <is>
          <t>Chỉ tiêu cơ sở</t>
        </is>
      </c>
      <c r="H2156" s="390" t="inlineStr">
        <is>
          <t>Dễ</t>
        </is>
      </c>
      <c r="I2156" s="390" t="inlineStr">
        <is>
          <t>Ngày, CTCK</t>
        </is>
      </c>
      <c r="J2156" s="401" t="inlineStr">
        <is>
          <t>SCMS</t>
        </is>
      </c>
      <c r="K2156" s="401" t="n"/>
      <c r="L2156" s="401" t="inlineStr">
        <is>
          <t>X</t>
        </is>
      </c>
      <c r="M2156" s="401" t="n"/>
      <c r="N2156" s="401" t="inlineStr">
        <is>
          <t>Done</t>
        </is>
      </c>
      <c r="O2156" s="401" t="n"/>
      <c r="P2156" s="22" t="n"/>
      <c r="S2156" s="22" t="n"/>
      <c r="U2156" s="16" t="n"/>
      <c r="V2156" s="22" t="n"/>
      <c r="W2156" s="22" t="n"/>
      <c r="X2156" s="22" t="n"/>
      <c r="Y2156" s="395" t="n"/>
      <c r="Z2156" s="22" t="n"/>
      <c r="AA2156" s="22" t="n"/>
      <c r="AB2156" s="22" t="n"/>
      <c r="AC2156" s="22" t="n"/>
      <c r="AD2156" s="22" t="n"/>
      <c r="AE2156" s="22" t="n"/>
    </row>
    <row r="2157" ht="84" customHeight="1" s="380">
      <c r="A2157" s="126" t="n">
        <v>97</v>
      </c>
      <c r="B2157" s="390" t="n"/>
      <c r="C2157" s="390" t="inlineStr">
        <is>
          <t>Báo cáo theo Thông tư 121/2020/TT-BTC &gt;&gt; Báo báo tài chính &gt;&gt; Phần lưu chuyển tiền tệ hoạt động môi giới, ủy thác của khách hàng_06612</t>
        </is>
      </c>
      <c r="D2157" s="390" t="inlineStr">
        <is>
          <t>9. Chi trả phí lưu ký chứng khoán của khách hàng</t>
        </is>
      </c>
      <c r="E2157" s="390" t="n">
        <v>9</v>
      </c>
      <c r="F2157" s="390" t="inlineStr">
        <is>
          <t>Data Explorer</t>
        </is>
      </c>
      <c r="G2157" s="390" t="inlineStr">
        <is>
          <t>Chỉ tiêu cơ sở</t>
        </is>
      </c>
      <c r="H2157" s="390" t="inlineStr">
        <is>
          <t>Dễ</t>
        </is>
      </c>
      <c r="I2157" s="390" t="inlineStr">
        <is>
          <t>Ngày, CTCK</t>
        </is>
      </c>
      <c r="J2157" s="401" t="inlineStr">
        <is>
          <t>SCMS</t>
        </is>
      </c>
      <c r="K2157" s="401" t="n"/>
      <c r="L2157" s="401" t="inlineStr">
        <is>
          <t>X</t>
        </is>
      </c>
      <c r="M2157" s="401" t="n"/>
      <c r="N2157" s="401" t="inlineStr">
        <is>
          <t>Done</t>
        </is>
      </c>
      <c r="O2157" s="401" t="n"/>
      <c r="P2157" s="22" t="n"/>
      <c r="S2157" s="22" t="n"/>
      <c r="U2157" s="16" t="n"/>
      <c r="V2157" s="22" t="n"/>
      <c r="W2157" s="22" t="n"/>
      <c r="X2157" s="22" t="n"/>
      <c r="Y2157" s="395" t="n"/>
      <c r="Z2157" s="22" t="n"/>
      <c r="AA2157" s="22" t="n"/>
      <c r="AB2157" s="22" t="n"/>
      <c r="AC2157" s="22" t="n"/>
      <c r="AD2157" s="22" t="n"/>
      <c r="AE2157" s="22" t="n"/>
    </row>
    <row r="2158" ht="84" customHeight="1" s="380">
      <c r="A2158" s="126" t="n">
        <v>97</v>
      </c>
      <c r="B2158" s="390" t="n"/>
      <c r="C2158" s="390" t="inlineStr">
        <is>
          <t>Báo cáo theo Thông tư 121/2020/TT-BTC &gt;&gt; Báo báo tài chính &gt;&gt; Phần lưu chuyển tiền tệ hoạt động môi giới, ủy thác của khách hàng_06612</t>
        </is>
      </c>
      <c r="D2158" s="390" t="inlineStr">
        <is>
          <t>10. Thu lỗi giao dịch chứng khoán</t>
        </is>
      </c>
      <c r="E2158" s="390" t="n">
        <v>10</v>
      </c>
      <c r="F2158" s="390" t="inlineStr">
        <is>
          <t>Data Explorer</t>
        </is>
      </c>
      <c r="G2158" s="390" t="inlineStr">
        <is>
          <t>Chỉ tiêu cơ sở</t>
        </is>
      </c>
      <c r="H2158" s="390" t="inlineStr">
        <is>
          <t>Dễ</t>
        </is>
      </c>
      <c r="I2158" s="390" t="inlineStr">
        <is>
          <t>Ngày, CTCK</t>
        </is>
      </c>
      <c r="J2158" s="401" t="inlineStr">
        <is>
          <t>SCMS</t>
        </is>
      </c>
      <c r="K2158" s="401" t="n"/>
      <c r="L2158" s="401" t="inlineStr">
        <is>
          <t>X</t>
        </is>
      </c>
      <c r="M2158" s="401" t="n"/>
      <c r="N2158" s="401" t="inlineStr">
        <is>
          <t>Done</t>
        </is>
      </c>
      <c r="O2158" s="401" t="n"/>
      <c r="P2158" s="22" t="n"/>
      <c r="S2158" s="22" t="n"/>
      <c r="U2158" s="16" t="n"/>
      <c r="V2158" s="22" t="n"/>
      <c r="W2158" s="22" t="n"/>
      <c r="X2158" s="22" t="n"/>
      <c r="Y2158" s="395" t="n"/>
      <c r="Z2158" s="22" t="n"/>
      <c r="AA2158" s="22" t="n"/>
      <c r="AB2158" s="22" t="n"/>
      <c r="AC2158" s="22" t="n"/>
      <c r="AD2158" s="22" t="n"/>
      <c r="AE2158" s="22" t="n"/>
    </row>
    <row r="2159" ht="84" customHeight="1" s="380">
      <c r="A2159" s="126" t="n">
        <v>97</v>
      </c>
      <c r="B2159" s="390" t="n"/>
      <c r="C2159" s="390" t="inlineStr">
        <is>
          <t>Báo cáo theo Thông tư 121/2020/TT-BTC &gt;&gt; Báo báo tài chính &gt;&gt; Phần lưu chuyển tiền tệ hoạt động môi giới, ủy thác của khách hàng_06612</t>
        </is>
      </c>
      <c r="D2159" s="390" t="inlineStr">
        <is>
          <t>11. Chi lỗi giao dịch chứng khoán</t>
        </is>
      </c>
      <c r="E2159" s="390" t="n">
        <v>11</v>
      </c>
      <c r="F2159" s="390" t="inlineStr">
        <is>
          <t>Data Explorer</t>
        </is>
      </c>
      <c r="G2159" s="390" t="inlineStr">
        <is>
          <t>Chỉ tiêu cơ sở</t>
        </is>
      </c>
      <c r="H2159" s="390" t="inlineStr">
        <is>
          <t>Dễ</t>
        </is>
      </c>
      <c r="I2159" s="390" t="inlineStr">
        <is>
          <t>Ngày, CTCK</t>
        </is>
      </c>
      <c r="J2159" s="401" t="inlineStr">
        <is>
          <t>SCMS</t>
        </is>
      </c>
      <c r="K2159" s="401" t="n"/>
      <c r="L2159" s="401" t="inlineStr">
        <is>
          <t>X</t>
        </is>
      </c>
      <c r="M2159" s="401" t="n"/>
      <c r="N2159" s="401" t="inlineStr">
        <is>
          <t>Done</t>
        </is>
      </c>
      <c r="O2159" s="401" t="n"/>
      <c r="P2159" s="22" t="n"/>
      <c r="S2159" s="22" t="n"/>
      <c r="U2159" s="16" t="n"/>
      <c r="V2159" s="22" t="n"/>
      <c r="W2159" s="22" t="n"/>
      <c r="X2159" s="22" t="n"/>
      <c r="Y2159" s="395" t="n"/>
      <c r="Z2159" s="22" t="n"/>
      <c r="AA2159" s="22" t="n"/>
      <c r="AB2159" s="22" t="n"/>
      <c r="AC2159" s="22" t="n"/>
      <c r="AD2159" s="22" t="n"/>
      <c r="AE2159" s="22" t="n"/>
    </row>
    <row r="2160" ht="84" customHeight="1" s="380">
      <c r="A2160" s="126" t="n">
        <v>97</v>
      </c>
      <c r="B2160" s="390" t="n"/>
      <c r="C2160" s="390" t="inlineStr">
        <is>
          <t>Báo cáo theo Thông tư 121/2020/TT-BTC &gt;&gt; Báo báo tài chính &gt;&gt; Phần lưu chuyển tiền tệ hoạt động môi giới, ủy thác của khách hàng_06612</t>
        </is>
      </c>
      <c r="D2160" s="390" t="inlineStr">
        <is>
          <t>12. Tiền thu của Tổ chức phát hành chứng khoán</t>
        </is>
      </c>
      <c r="E2160" s="390" t="n">
        <v>12</v>
      </c>
      <c r="F2160" s="390" t="inlineStr">
        <is>
          <t>Data Explorer</t>
        </is>
      </c>
      <c r="G2160" s="390" t="inlineStr">
        <is>
          <t>Chỉ tiêu cơ sở</t>
        </is>
      </c>
      <c r="H2160" s="390" t="inlineStr">
        <is>
          <t>Dễ</t>
        </is>
      </c>
      <c r="I2160" s="390" t="inlineStr">
        <is>
          <t>Ngày, CTCK</t>
        </is>
      </c>
      <c r="J2160" s="401" t="inlineStr">
        <is>
          <t>SCMS</t>
        </is>
      </c>
      <c r="K2160" s="401" t="n"/>
      <c r="L2160" s="401" t="inlineStr">
        <is>
          <t>X</t>
        </is>
      </c>
      <c r="M2160" s="401" t="n"/>
      <c r="N2160" s="401" t="inlineStr">
        <is>
          <t>Done</t>
        </is>
      </c>
      <c r="O2160" s="401" t="n"/>
      <c r="P2160" s="22" t="n"/>
      <c r="S2160" s="22" t="n"/>
      <c r="U2160" s="16" t="n"/>
      <c r="V2160" s="22" t="n"/>
      <c r="W2160" s="22" t="n"/>
      <c r="X2160" s="22" t="n"/>
      <c r="Y2160" s="395" t="n"/>
      <c r="Z2160" s="22" t="n"/>
      <c r="AA2160" s="22" t="n"/>
      <c r="AB2160" s="22" t="n"/>
      <c r="AC2160" s="22" t="n"/>
      <c r="AD2160" s="22" t="n"/>
      <c r="AE2160" s="22" t="n"/>
    </row>
    <row r="2161" ht="84" customHeight="1" s="380">
      <c r="A2161" s="126" t="n">
        <v>97</v>
      </c>
      <c r="B2161" s="390" t="n"/>
      <c r="C2161" s="390" t="inlineStr">
        <is>
          <t>Báo cáo theo Thông tư 121/2020/TT-BTC &gt;&gt; Báo báo tài chính &gt;&gt; Phần lưu chuyển tiền tệ hoạt động môi giới, ủy thác của khách hàng_06612</t>
        </is>
      </c>
      <c r="D2161" s="390" t="inlineStr">
        <is>
          <t>13. Tiền chi trả Tổ chức phát hành chứng khoán</t>
        </is>
      </c>
      <c r="E2161" s="390" t="n">
        <v>13</v>
      </c>
      <c r="F2161" s="390" t="inlineStr">
        <is>
          <t>Data Explorer</t>
        </is>
      </c>
      <c r="G2161" s="390" t="inlineStr">
        <is>
          <t>Chỉ tiêu cơ sở</t>
        </is>
      </c>
      <c r="H2161" s="390" t="inlineStr">
        <is>
          <t>Dễ</t>
        </is>
      </c>
      <c r="I2161" s="390" t="inlineStr">
        <is>
          <t>Ngày, CTCK</t>
        </is>
      </c>
      <c r="J2161" s="401" t="inlineStr">
        <is>
          <t>SCMS</t>
        </is>
      </c>
      <c r="K2161" s="401" t="n"/>
      <c r="L2161" s="401" t="inlineStr">
        <is>
          <t>X</t>
        </is>
      </c>
      <c r="M2161" s="401" t="n"/>
      <c r="N2161" s="401" t="inlineStr">
        <is>
          <t>Done</t>
        </is>
      </c>
      <c r="O2161" s="401" t="n"/>
      <c r="P2161" s="22" t="n"/>
      <c r="S2161" s="22" t="n"/>
      <c r="U2161" s="16" t="n"/>
      <c r="V2161" s="22" t="n"/>
      <c r="W2161" s="22" t="n"/>
      <c r="X2161" s="22" t="n"/>
      <c r="Y2161" s="395" t="n"/>
      <c r="Z2161" s="22" t="n"/>
      <c r="AA2161" s="22" t="n"/>
      <c r="AB2161" s="22" t="n"/>
      <c r="AC2161" s="22" t="n"/>
      <c r="AD2161" s="22" t="n"/>
      <c r="AE2161" s="22" t="n"/>
    </row>
    <row r="2162" ht="84" customHeight="1" s="380">
      <c r="A2162" s="126" t="n">
        <v>97</v>
      </c>
      <c r="B2162" s="390" t="n"/>
      <c r="C2162" s="390" t="inlineStr">
        <is>
          <t>Báo cáo theo Thông tư 121/2020/TT-BTC &gt;&gt; Báo báo tài chính &gt;&gt; Phần lưu chuyển tiền tệ hoạt động môi giới, ủy thác của khách hàng_06612</t>
        </is>
      </c>
      <c r="D2162" s="390" t="inlineStr">
        <is>
          <t>Tăng/giảm tiền thuần trong kỳ</t>
        </is>
      </c>
      <c r="E2162" s="390" t="n">
        <v>20</v>
      </c>
      <c r="F2162" s="390" t="inlineStr">
        <is>
          <t>Data Explorer</t>
        </is>
      </c>
      <c r="G2162" s="390" t="inlineStr">
        <is>
          <t>Chỉ tiêu cơ sở</t>
        </is>
      </c>
      <c r="H2162" s="390" t="inlineStr">
        <is>
          <t>Dễ</t>
        </is>
      </c>
      <c r="I2162" s="390" t="inlineStr">
        <is>
          <t>Ngày, CTCK</t>
        </is>
      </c>
      <c r="J2162" s="401" t="inlineStr">
        <is>
          <t>SCMS</t>
        </is>
      </c>
      <c r="K2162" s="401" t="n"/>
      <c r="L2162" s="401" t="inlineStr">
        <is>
          <t>X</t>
        </is>
      </c>
      <c r="M2162" s="401" t="n"/>
      <c r="N2162" s="401" t="inlineStr">
        <is>
          <t>Done</t>
        </is>
      </c>
      <c r="O2162" s="401" t="n"/>
      <c r="P2162" s="22" t="n"/>
      <c r="S2162" s="22" t="n"/>
      <c r="U2162" s="16" t="n"/>
      <c r="V2162" s="22" t="n"/>
      <c r="W2162" s="22" t="n"/>
      <c r="X2162" s="22" t="n"/>
      <c r="Y2162" s="395" t="n"/>
      <c r="Z2162" s="22" t="n"/>
      <c r="AA2162" s="22" t="n"/>
      <c r="AB2162" s="22" t="n"/>
      <c r="AC2162" s="22" t="n"/>
      <c r="AD2162" s="22" t="n"/>
      <c r="AE2162" s="22" t="n"/>
    </row>
    <row r="2163" ht="84" customHeight="1" s="380">
      <c r="A2163" s="126" t="n">
        <v>97</v>
      </c>
      <c r="B2163" s="390" t="n"/>
      <c r="C2163" s="390" t="inlineStr">
        <is>
          <t>Báo cáo theo Thông tư 121/2020/TT-BTC &gt;&gt; Báo báo tài chính &gt;&gt; Phần lưu chuyển tiền tệ hoạt động môi giới, ủy thác của khách hàng_06612</t>
        </is>
      </c>
      <c r="D2163" s="132" t="inlineStr">
        <is>
          <t>II. Tiền và các khoản tương đương tiền đầu kỳ của khách hàng</t>
        </is>
      </c>
      <c r="E2163" s="132" t="n">
        <v>30</v>
      </c>
      <c r="F2163" s="390" t="inlineStr">
        <is>
          <t>Data Explorer</t>
        </is>
      </c>
      <c r="G2163" s="390" t="inlineStr">
        <is>
          <t>Chỉ tiêu cơ sở</t>
        </is>
      </c>
      <c r="H2163" s="390" t="inlineStr">
        <is>
          <t>Dễ</t>
        </is>
      </c>
      <c r="I2163" s="390" t="inlineStr">
        <is>
          <t>Ngày, CTCK</t>
        </is>
      </c>
      <c r="J2163" s="401" t="inlineStr">
        <is>
          <t>SCMS</t>
        </is>
      </c>
      <c r="K2163" s="401" t="n"/>
      <c r="L2163" s="401" t="inlineStr">
        <is>
          <t>X</t>
        </is>
      </c>
      <c r="M2163" s="401" t="n"/>
      <c r="N2163" s="401" t="inlineStr">
        <is>
          <t>Done</t>
        </is>
      </c>
      <c r="O2163" s="401" t="n"/>
      <c r="P2163" s="22" t="n"/>
      <c r="S2163" s="22" t="n"/>
      <c r="U2163" s="16" t="n"/>
      <c r="V2163" s="22" t="n"/>
      <c r="W2163" s="22" t="n"/>
      <c r="X2163" s="22" t="n"/>
      <c r="Y2163" s="395" t="n"/>
      <c r="Z2163" s="22" t="n"/>
      <c r="AA2163" s="22" t="n"/>
      <c r="AB2163" s="22" t="n"/>
      <c r="AC2163" s="22" t="n"/>
      <c r="AD2163" s="22" t="n"/>
      <c r="AE2163" s="22" t="n"/>
    </row>
    <row r="2164" ht="84" customHeight="1" s="380">
      <c r="A2164" s="126" t="n">
        <v>97</v>
      </c>
      <c r="B2164" s="390" t="n"/>
      <c r="C2164" s="390" t="inlineStr">
        <is>
          <t>Báo cáo theo Thông tư 121/2020/TT-BTC &gt;&gt; Báo báo tài chính &gt;&gt; Phần lưu chuyển tiền tệ hoạt động môi giới, ủy thác của khách hàng_06612</t>
        </is>
      </c>
      <c r="D2164" s="390" t="inlineStr">
        <is>
          <t>Tiền gửi ngân hàng đầu kỳ:</t>
        </is>
      </c>
      <c r="E2164" s="390" t="n">
        <v>31</v>
      </c>
      <c r="F2164" s="390" t="inlineStr">
        <is>
          <t>Data Explorer</t>
        </is>
      </c>
      <c r="G2164" s="390" t="inlineStr">
        <is>
          <t>Chỉ tiêu cơ sở</t>
        </is>
      </c>
      <c r="H2164" s="390" t="inlineStr">
        <is>
          <t>Dễ</t>
        </is>
      </c>
      <c r="I2164" s="390" t="inlineStr">
        <is>
          <t>Ngày, CTCK</t>
        </is>
      </c>
      <c r="J2164" s="401" t="inlineStr">
        <is>
          <t>SCMS</t>
        </is>
      </c>
      <c r="K2164" s="401" t="n"/>
      <c r="L2164" s="401" t="inlineStr">
        <is>
          <t>X</t>
        </is>
      </c>
      <c r="M2164" s="401" t="n"/>
      <c r="N2164" s="401" t="inlineStr">
        <is>
          <t>Done</t>
        </is>
      </c>
      <c r="O2164" s="401" t="n"/>
      <c r="P2164" s="22" t="n"/>
      <c r="S2164" s="22" t="n"/>
      <c r="U2164" s="16" t="n"/>
      <c r="V2164" s="22" t="n"/>
      <c r="W2164" s="22" t="n"/>
      <c r="X2164" s="22" t="n"/>
      <c r="Y2164" s="395" t="n"/>
      <c r="Z2164" s="22" t="n"/>
      <c r="AA2164" s="22" t="n"/>
      <c r="AB2164" s="22" t="n"/>
      <c r="AC2164" s="22" t="n"/>
      <c r="AD2164" s="22" t="n"/>
      <c r="AE2164" s="22" t="n"/>
    </row>
    <row r="2165" ht="84" customHeight="1" s="380">
      <c r="A2165" s="126" t="n">
        <v>97</v>
      </c>
      <c r="B2165" s="390" t="n"/>
      <c r="C2165" s="390" t="inlineStr">
        <is>
          <t>Báo cáo theo Thông tư 121/2020/TT-BTC &gt;&gt; Báo báo tài chính &gt;&gt; Phần lưu chuyển tiền tệ hoạt động môi giới, ủy thác của khách hàng_06612</t>
        </is>
      </c>
      <c r="D2165" s="390" t="inlineStr">
        <is>
          <t xml:space="preserve">-Tiền gửi của Nhà đầu tư về giao dịch chứng khoán theo phương thức CTCK quản lý </t>
        </is>
      </c>
      <c r="E2165" s="390" t="n">
        <v>32</v>
      </c>
      <c r="F2165" s="390" t="inlineStr">
        <is>
          <t>Data Explorer</t>
        </is>
      </c>
      <c r="G2165" s="390" t="inlineStr">
        <is>
          <t>Chỉ tiêu cơ sở</t>
        </is>
      </c>
      <c r="H2165" s="390" t="inlineStr">
        <is>
          <t>Dễ</t>
        </is>
      </c>
      <c r="I2165" s="390" t="inlineStr">
        <is>
          <t>Ngày, CTCK</t>
        </is>
      </c>
      <c r="J2165" s="401" t="inlineStr">
        <is>
          <t>SCMS</t>
        </is>
      </c>
      <c r="K2165" s="401" t="n"/>
      <c r="L2165" s="401" t="inlineStr">
        <is>
          <t>X</t>
        </is>
      </c>
      <c r="M2165" s="401" t="n"/>
      <c r="N2165" s="401" t="inlineStr">
        <is>
          <t>Done</t>
        </is>
      </c>
      <c r="O2165" s="401" t="n"/>
      <c r="P2165" s="22" t="n"/>
      <c r="S2165" s="22" t="n"/>
      <c r="U2165" s="16" t="n"/>
      <c r="V2165" s="22" t="n"/>
      <c r="W2165" s="22" t="n"/>
      <c r="X2165" s="22" t="n"/>
      <c r="Y2165" s="395" t="n"/>
      <c r="Z2165" s="22" t="n"/>
      <c r="AA2165" s="22" t="n"/>
      <c r="AB2165" s="22" t="n"/>
      <c r="AC2165" s="22" t="n"/>
      <c r="AD2165" s="22" t="n"/>
      <c r="AE2165" s="22" t="n"/>
    </row>
    <row r="2166" ht="84" customHeight="1" s="380">
      <c r="A2166" s="126" t="n">
        <v>97</v>
      </c>
      <c r="B2166" s="390" t="n"/>
      <c r="C2166" s="390" t="inlineStr">
        <is>
          <t>Báo cáo theo Thông tư 121/2020/TT-BTC &gt;&gt; Báo báo tài chính &gt;&gt; Phần lưu chuyển tiền tệ hoạt động môi giới, ủy thác của khách hàng_06612</t>
        </is>
      </c>
      <c r="D2166" s="390" t="inlineStr">
        <is>
          <t>Trong đó có kỳ hạn</t>
        </is>
      </c>
      <c r="E2166" s="390" t="n">
        <v>32</v>
      </c>
      <c r="F2166" s="390" t="inlineStr">
        <is>
          <t>Data Explorer</t>
        </is>
      </c>
      <c r="G2166" s="390" t="inlineStr">
        <is>
          <t>Chỉ tiêu cơ sở</t>
        </is>
      </c>
      <c r="H2166" s="390" t="inlineStr">
        <is>
          <t>Dễ</t>
        </is>
      </c>
      <c r="I2166" s="390" t="inlineStr">
        <is>
          <t>Ngày, CTCK</t>
        </is>
      </c>
      <c r="J2166" s="401" t="inlineStr">
        <is>
          <t>SCMS</t>
        </is>
      </c>
      <c r="K2166" s="401" t="n"/>
      <c r="L2166" s="401" t="inlineStr">
        <is>
          <t>X</t>
        </is>
      </c>
      <c r="M2166" s="401" t="n"/>
      <c r="N2166" s="401" t="inlineStr">
        <is>
          <t>Done</t>
        </is>
      </c>
      <c r="O2166" s="401" t="n"/>
      <c r="P2166" s="22" t="n"/>
      <c r="S2166" s="22" t="n"/>
      <c r="U2166" s="16" t="n"/>
      <c r="V2166" s="22" t="n"/>
      <c r="W2166" s="22" t="n"/>
      <c r="X2166" s="22" t="n"/>
      <c r="Y2166" s="395" t="n"/>
      <c r="Z2166" s="22" t="n"/>
      <c r="AA2166" s="22" t="n"/>
      <c r="AB2166" s="22" t="n"/>
      <c r="AC2166" s="22" t="n"/>
      <c r="AD2166" s="22" t="n"/>
      <c r="AE2166" s="22" t="n"/>
    </row>
    <row r="2167" ht="84" customHeight="1" s="380">
      <c r="A2167" s="126" t="n">
        <v>97</v>
      </c>
      <c r="B2167" s="390" t="n"/>
      <c r="C2167" s="390" t="inlineStr">
        <is>
          <t>Báo cáo theo Thông tư 121/2020/TT-BTC &gt;&gt; Báo báo tài chính &gt;&gt; Phần lưu chuyển tiền tệ hoạt động môi giới, ủy thác của khách hàng_06612</t>
        </is>
      </c>
      <c r="D2167" s="390" t="inlineStr">
        <is>
          <t>- Tiền gửi bù trừ và thanh toán giao dịch chứng khoán</t>
        </is>
      </c>
      <c r="E2167" s="390" t="n">
        <v>33</v>
      </c>
      <c r="F2167" s="390" t="inlineStr">
        <is>
          <t>Data Explorer</t>
        </is>
      </c>
      <c r="G2167" s="390" t="inlineStr">
        <is>
          <t>Chỉ tiêu cơ sở</t>
        </is>
      </c>
      <c r="H2167" s="390" t="inlineStr">
        <is>
          <t>Dễ</t>
        </is>
      </c>
      <c r="I2167" s="390" t="inlineStr">
        <is>
          <t>Ngày, CTCK</t>
        </is>
      </c>
      <c r="J2167" s="401" t="inlineStr">
        <is>
          <t>SCMS</t>
        </is>
      </c>
      <c r="K2167" s="401" t="n"/>
      <c r="L2167" s="401" t="inlineStr">
        <is>
          <t>X</t>
        </is>
      </c>
      <c r="M2167" s="401" t="n"/>
      <c r="N2167" s="401" t="inlineStr">
        <is>
          <t>Done</t>
        </is>
      </c>
      <c r="O2167" s="401" t="n"/>
      <c r="P2167" s="22" t="n"/>
      <c r="S2167" s="22" t="n"/>
      <c r="U2167" s="16" t="n"/>
      <c r="V2167" s="22" t="n"/>
      <c r="W2167" s="22" t="n"/>
      <c r="X2167" s="22" t="n"/>
      <c r="Y2167" s="395" t="n"/>
      <c r="Z2167" s="22" t="n"/>
      <c r="AA2167" s="22" t="n"/>
      <c r="AB2167" s="22" t="n"/>
      <c r="AC2167" s="22" t="n"/>
      <c r="AD2167" s="22" t="n"/>
      <c r="AE2167" s="22" t="n"/>
    </row>
    <row r="2168" ht="84" customHeight="1" s="380">
      <c r="A2168" s="126" t="n">
        <v>97</v>
      </c>
      <c r="B2168" s="390" t="n"/>
      <c r="C2168" s="390" t="inlineStr">
        <is>
          <t>Báo cáo theo Thông tư 121/2020/TT-BTC &gt;&gt; Báo báo tài chính &gt;&gt; Phần lưu chuyển tiền tệ hoạt động môi giới, ủy thác của khách hàng_06612</t>
        </is>
      </c>
      <c r="D2168" s="390" t="inlineStr">
        <is>
          <t xml:space="preserve">- Tiền gửi tổng hợp giao dịch chứng khoán cho khách hàng </t>
        </is>
      </c>
      <c r="E2168" s="390" t="n">
        <v>34</v>
      </c>
      <c r="F2168" s="390" t="inlineStr">
        <is>
          <t>Data Explorer</t>
        </is>
      </c>
      <c r="G2168" s="390" t="inlineStr">
        <is>
          <t>Chỉ tiêu cơ sở</t>
        </is>
      </c>
      <c r="H2168" s="390" t="inlineStr">
        <is>
          <t>Dễ</t>
        </is>
      </c>
      <c r="I2168" s="390" t="inlineStr">
        <is>
          <t>Ngày, CTCK</t>
        </is>
      </c>
      <c r="J2168" s="401" t="inlineStr">
        <is>
          <t>SCMS</t>
        </is>
      </c>
      <c r="K2168" s="401" t="n"/>
      <c r="L2168" s="401" t="inlineStr">
        <is>
          <t>X</t>
        </is>
      </c>
      <c r="M2168" s="401" t="n"/>
      <c r="N2168" s="401" t="inlineStr">
        <is>
          <t>Done</t>
        </is>
      </c>
      <c r="O2168" s="401" t="n"/>
      <c r="P2168" s="22" t="n"/>
      <c r="S2168" s="22" t="n"/>
      <c r="U2168" s="16" t="n"/>
      <c r="V2168" s="22" t="n"/>
      <c r="W2168" s="22" t="n"/>
      <c r="X2168" s="22" t="n"/>
      <c r="Y2168" s="395" t="n"/>
      <c r="Z2168" s="22" t="n"/>
      <c r="AA2168" s="22" t="n"/>
      <c r="AB2168" s="22" t="n"/>
      <c r="AC2168" s="22" t="n"/>
      <c r="AD2168" s="22" t="n"/>
      <c r="AE2168" s="22" t="n"/>
    </row>
    <row r="2169" ht="84" customHeight="1" s="380">
      <c r="A2169" s="126" t="n">
        <v>97</v>
      </c>
      <c r="B2169" s="390" t="n"/>
      <c r="C2169" s="390" t="inlineStr">
        <is>
          <t>Báo cáo theo Thông tư 121/2020/TT-BTC &gt;&gt; Báo báo tài chính &gt;&gt; Phần lưu chuyển tiền tệ hoạt động môi giới, ủy thác của khách hàng_06612</t>
        </is>
      </c>
      <c r="D2169" s="390" t="inlineStr">
        <is>
          <t>-Tiền gửi của tổ chức phát hành</t>
        </is>
      </c>
      <c r="E2169" s="390" t="n">
        <v>35</v>
      </c>
      <c r="F2169" s="390" t="inlineStr">
        <is>
          <t>Data Explorer</t>
        </is>
      </c>
      <c r="G2169" s="390" t="inlineStr">
        <is>
          <t>Chỉ tiêu cơ sở</t>
        </is>
      </c>
      <c r="H2169" s="390" t="inlineStr">
        <is>
          <t>Dễ</t>
        </is>
      </c>
      <c r="I2169" s="390" t="inlineStr">
        <is>
          <t>Ngày, CTCK</t>
        </is>
      </c>
      <c r="J2169" s="401" t="inlineStr">
        <is>
          <t>SCMS</t>
        </is>
      </c>
      <c r="K2169" s="401" t="n"/>
      <c r="L2169" s="401" t="inlineStr">
        <is>
          <t>X</t>
        </is>
      </c>
      <c r="M2169" s="401" t="n"/>
      <c r="N2169" s="401" t="inlineStr">
        <is>
          <t>Done</t>
        </is>
      </c>
      <c r="O2169" s="401" t="n"/>
      <c r="P2169" s="22" t="n"/>
      <c r="S2169" s="22" t="n"/>
      <c r="U2169" s="16" t="n"/>
      <c r="V2169" s="22" t="n"/>
      <c r="W2169" s="22" t="n"/>
      <c r="X2169" s="22" t="n"/>
      <c r="Y2169" s="395" t="n"/>
      <c r="Z2169" s="22" t="n"/>
      <c r="AA2169" s="22" t="n"/>
      <c r="AB2169" s="22" t="n"/>
      <c r="AC2169" s="22" t="n"/>
      <c r="AD2169" s="22" t="n"/>
      <c r="AE2169" s="22" t="n"/>
    </row>
    <row r="2170" ht="84" customHeight="1" s="380">
      <c r="A2170" s="126" t="n">
        <v>97</v>
      </c>
      <c r="B2170" s="390" t="n"/>
      <c r="C2170" s="390" t="inlineStr">
        <is>
          <t>Báo cáo theo Thông tư 121/2020/TT-BTC &gt;&gt; Báo báo tài chính &gt;&gt; Phần lưu chuyển tiền tệ hoạt động môi giới, ủy thác của khách hàng_06612</t>
        </is>
      </c>
      <c r="D2170" s="390" t="inlineStr">
        <is>
          <t>Trong đó có kỳ hạn</t>
        </is>
      </c>
      <c r="E2170" s="390" t="n">
        <v>35</v>
      </c>
      <c r="F2170" s="390" t="inlineStr">
        <is>
          <t>Data Explorer</t>
        </is>
      </c>
      <c r="G2170" s="390" t="inlineStr">
        <is>
          <t>Chỉ tiêu cơ sở</t>
        </is>
      </c>
      <c r="H2170" s="390" t="inlineStr">
        <is>
          <t>Dễ</t>
        </is>
      </c>
      <c r="I2170" s="390" t="inlineStr">
        <is>
          <t>Ngày, CTCK</t>
        </is>
      </c>
      <c r="J2170" s="401" t="inlineStr">
        <is>
          <t>SCMS</t>
        </is>
      </c>
      <c r="K2170" s="401" t="n"/>
      <c r="L2170" s="401" t="inlineStr">
        <is>
          <t>X</t>
        </is>
      </c>
      <c r="M2170" s="401" t="n"/>
      <c r="N2170" s="401" t="inlineStr">
        <is>
          <t>Done</t>
        </is>
      </c>
      <c r="O2170" s="401" t="n"/>
      <c r="P2170" s="22" t="n"/>
      <c r="S2170" s="22" t="n"/>
      <c r="U2170" s="16" t="n"/>
      <c r="V2170" s="22" t="n"/>
      <c r="W2170" s="22" t="n"/>
      <c r="X2170" s="22" t="n"/>
      <c r="Y2170" s="395" t="n"/>
      <c r="Z2170" s="22" t="n"/>
      <c r="AA2170" s="22" t="n"/>
      <c r="AB2170" s="22" t="n"/>
      <c r="AC2170" s="22" t="n"/>
      <c r="AD2170" s="22" t="n"/>
      <c r="AE2170" s="22" t="n"/>
    </row>
    <row r="2171" ht="84" customHeight="1" s="380">
      <c r="A2171" s="126" t="n">
        <v>97</v>
      </c>
      <c r="B2171" s="390" t="n"/>
      <c r="C2171" s="390" t="inlineStr">
        <is>
          <t>Báo cáo theo Thông tư 121/2020/TT-BTC &gt;&gt; Báo báo tài chính &gt;&gt; Phần lưu chuyển tiền tệ hoạt động môi giới, ủy thác của khách hàng_06612</t>
        </is>
      </c>
      <c r="D2171" s="390" t="inlineStr">
        <is>
          <t>Các khoản tương đương tiền</t>
        </is>
      </c>
      <c r="E2171" s="390" t="n">
        <v>36</v>
      </c>
      <c r="F2171" s="390" t="inlineStr">
        <is>
          <t>Data Explorer</t>
        </is>
      </c>
      <c r="G2171" s="390" t="inlineStr">
        <is>
          <t>Chỉ tiêu cơ sở</t>
        </is>
      </c>
      <c r="H2171" s="390" t="inlineStr">
        <is>
          <t>Dễ</t>
        </is>
      </c>
      <c r="I2171" s="390" t="inlineStr">
        <is>
          <t>Ngày, CTCK</t>
        </is>
      </c>
      <c r="J2171" s="401" t="inlineStr">
        <is>
          <t>SCMS</t>
        </is>
      </c>
      <c r="K2171" s="401" t="n"/>
      <c r="L2171" s="401" t="inlineStr">
        <is>
          <t>X</t>
        </is>
      </c>
      <c r="M2171" s="401" t="n"/>
      <c r="N2171" s="401" t="inlineStr">
        <is>
          <t>Done</t>
        </is>
      </c>
      <c r="O2171" s="401" t="n"/>
      <c r="P2171" s="22" t="n"/>
      <c r="S2171" s="22" t="n"/>
      <c r="U2171" s="16" t="n"/>
      <c r="V2171" s="22" t="n"/>
      <c r="W2171" s="22" t="n"/>
      <c r="X2171" s="22" t="n"/>
      <c r="Y2171" s="395" t="n"/>
      <c r="Z2171" s="22" t="n"/>
      <c r="AA2171" s="22" t="n"/>
      <c r="AB2171" s="22" t="n"/>
      <c r="AC2171" s="22" t="n"/>
      <c r="AD2171" s="22" t="n"/>
      <c r="AE2171" s="22" t="n"/>
    </row>
    <row r="2172" ht="84" customHeight="1" s="380">
      <c r="A2172" s="126" t="n">
        <v>97</v>
      </c>
      <c r="B2172" s="390" t="n"/>
      <c r="C2172" s="390" t="inlineStr">
        <is>
          <t>Báo cáo theo Thông tư 121/2020/TT-BTC &gt;&gt; Báo báo tài chính &gt;&gt; Phần lưu chuyển tiền tệ hoạt động môi giới, ủy thác của khách hàng_06612</t>
        </is>
      </c>
      <c r="D2172" s="390" t="inlineStr">
        <is>
          <t>Ảnh hưởng của thay đổi tỷ giá hối đoái quy đổi ngoại tệ</t>
        </is>
      </c>
      <c r="E2172" s="390" t="n">
        <v>37</v>
      </c>
      <c r="F2172" s="390" t="inlineStr">
        <is>
          <t>Data Explorer</t>
        </is>
      </c>
      <c r="G2172" s="390" t="inlineStr">
        <is>
          <t>Chỉ tiêu cơ sở</t>
        </is>
      </c>
      <c r="H2172" s="390" t="inlineStr">
        <is>
          <t>Dễ</t>
        </is>
      </c>
      <c r="I2172" s="390" t="inlineStr">
        <is>
          <t>Ngày, CTCK</t>
        </is>
      </c>
      <c r="J2172" s="401" t="inlineStr">
        <is>
          <t>SCMS</t>
        </is>
      </c>
      <c r="K2172" s="401" t="n"/>
      <c r="L2172" s="401" t="inlineStr">
        <is>
          <t>X</t>
        </is>
      </c>
      <c r="M2172" s="401" t="n"/>
      <c r="N2172" s="401" t="inlineStr">
        <is>
          <t>Done</t>
        </is>
      </c>
      <c r="O2172" s="401" t="n"/>
      <c r="P2172" s="22" t="n"/>
      <c r="S2172" s="22" t="n"/>
      <c r="U2172" s="16" t="n"/>
      <c r="V2172" s="22" t="n"/>
      <c r="W2172" s="22" t="n"/>
      <c r="X2172" s="22" t="n"/>
      <c r="Y2172" s="395" t="n"/>
      <c r="Z2172" s="22" t="n"/>
      <c r="AA2172" s="22" t="n"/>
      <c r="AB2172" s="22" t="n"/>
      <c r="AC2172" s="22" t="n"/>
      <c r="AD2172" s="22" t="n"/>
      <c r="AE2172" s="22" t="n"/>
    </row>
    <row r="2173" ht="84" customHeight="1" s="380">
      <c r="A2173" s="126" t="n">
        <v>97</v>
      </c>
      <c r="B2173" s="390" t="n"/>
      <c r="C2173" s="390" t="inlineStr">
        <is>
          <t>Báo cáo theo Thông tư 121/2020/TT-BTC &gt;&gt; Báo báo tài chính &gt;&gt; Phần lưu chuyển tiền tệ hoạt động môi giới, ủy thác của khách hàng_06612</t>
        </is>
      </c>
      <c r="D2173" s="132" t="inlineStr">
        <is>
          <t>III. Tiền và các khoản tương đương tiền cuối kỳ của khách hàng (40 = 20 + 30)</t>
        </is>
      </c>
      <c r="E2173" s="132" t="n">
        <v>40</v>
      </c>
      <c r="F2173" s="390" t="inlineStr">
        <is>
          <t>Data Explorer</t>
        </is>
      </c>
      <c r="G2173" s="390" t="inlineStr">
        <is>
          <t>Chỉ tiêu cơ sở</t>
        </is>
      </c>
      <c r="H2173" s="390" t="inlineStr">
        <is>
          <t>Dễ</t>
        </is>
      </c>
      <c r="I2173" s="390" t="inlineStr">
        <is>
          <t>Ngày, CTCK</t>
        </is>
      </c>
      <c r="J2173" s="401" t="inlineStr">
        <is>
          <t>SCMS</t>
        </is>
      </c>
      <c r="K2173" s="401" t="n"/>
      <c r="L2173" s="401" t="inlineStr">
        <is>
          <t>X</t>
        </is>
      </c>
      <c r="M2173" s="401" t="n"/>
      <c r="N2173" s="401" t="inlineStr">
        <is>
          <t>Done</t>
        </is>
      </c>
      <c r="O2173" s="401" t="n"/>
      <c r="P2173" s="22" t="n"/>
      <c r="S2173" s="22" t="n"/>
      <c r="U2173" s="16" t="n"/>
      <c r="V2173" s="22" t="n"/>
      <c r="W2173" s="22" t="n"/>
      <c r="X2173" s="22" t="n"/>
      <c r="Y2173" s="395" t="n"/>
      <c r="Z2173" s="22" t="n"/>
      <c r="AA2173" s="22" t="n"/>
      <c r="AB2173" s="22" t="n"/>
      <c r="AC2173" s="22" t="n"/>
      <c r="AD2173" s="22" t="n"/>
      <c r="AE2173" s="22" t="n"/>
    </row>
    <row r="2174" ht="84" customHeight="1" s="380">
      <c r="A2174" s="126" t="n">
        <v>97</v>
      </c>
      <c r="B2174" s="390" t="n"/>
      <c r="C2174" s="390" t="inlineStr">
        <is>
          <t>Báo cáo theo Thông tư 121/2020/TT-BTC &gt;&gt; Báo báo tài chính &gt;&gt; Phần lưu chuyển tiền tệ hoạt động môi giới, ủy thác của khách hàng_06612</t>
        </is>
      </c>
      <c r="D2174" s="390" t="inlineStr">
        <is>
          <t>Tiền gửi ngân hàng cuối kỳ:</t>
        </is>
      </c>
      <c r="E2174" s="390" t="n">
        <v>41</v>
      </c>
      <c r="F2174" s="390" t="inlineStr">
        <is>
          <t>Data Explorer</t>
        </is>
      </c>
      <c r="G2174" s="390" t="inlineStr">
        <is>
          <t>Chỉ tiêu cơ sở</t>
        </is>
      </c>
      <c r="H2174" s="390" t="inlineStr">
        <is>
          <t>Dễ</t>
        </is>
      </c>
      <c r="I2174" s="390" t="inlineStr">
        <is>
          <t>Ngày, CTCK</t>
        </is>
      </c>
      <c r="J2174" s="401" t="inlineStr">
        <is>
          <t>SCMS</t>
        </is>
      </c>
      <c r="K2174" s="401" t="n"/>
      <c r="L2174" s="401" t="inlineStr">
        <is>
          <t>X</t>
        </is>
      </c>
      <c r="M2174" s="401" t="n"/>
      <c r="N2174" s="401" t="inlineStr">
        <is>
          <t>Done</t>
        </is>
      </c>
      <c r="O2174" s="401" t="n"/>
      <c r="P2174" s="22" t="n"/>
      <c r="S2174" s="22" t="n"/>
      <c r="U2174" s="16" t="n"/>
      <c r="V2174" s="22" t="n"/>
      <c r="W2174" s="22" t="n"/>
      <c r="X2174" s="22" t="n"/>
      <c r="Y2174" s="395" t="n"/>
      <c r="Z2174" s="22" t="n"/>
      <c r="AA2174" s="22" t="n"/>
      <c r="AB2174" s="22" t="n"/>
      <c r="AC2174" s="22" t="n"/>
      <c r="AD2174" s="22" t="n"/>
      <c r="AE2174" s="22" t="n"/>
    </row>
    <row r="2175" ht="84" customHeight="1" s="380">
      <c r="A2175" s="126" t="n">
        <v>97</v>
      </c>
      <c r="B2175" s="390" t="n"/>
      <c r="C2175" s="390" t="inlineStr">
        <is>
          <t>Báo cáo theo Thông tư 121/2020/TT-BTC &gt;&gt; Báo báo tài chính &gt;&gt; Phần lưu chuyển tiền tệ hoạt động môi giới, ủy thác của khách hàng_06612</t>
        </is>
      </c>
      <c r="D2175" s="390" t="inlineStr">
        <is>
          <t xml:space="preserve">-Tiền gửi của Nhà đầu tư về giao dịch chứng khoán theo phương thức CTCK quản lý </t>
        </is>
      </c>
      <c r="E2175" s="390" t="n">
        <v>42</v>
      </c>
      <c r="F2175" s="390" t="inlineStr">
        <is>
          <t>Data Explorer</t>
        </is>
      </c>
      <c r="G2175" s="390" t="inlineStr">
        <is>
          <t>Chỉ tiêu cơ sở</t>
        </is>
      </c>
      <c r="H2175" s="390" t="inlineStr">
        <is>
          <t>Dễ</t>
        </is>
      </c>
      <c r="I2175" s="390" t="inlineStr">
        <is>
          <t>Ngày, CTCK</t>
        </is>
      </c>
      <c r="J2175" s="401" t="inlineStr">
        <is>
          <t>SCMS</t>
        </is>
      </c>
      <c r="K2175" s="401" t="n"/>
      <c r="L2175" s="401" t="inlineStr">
        <is>
          <t>X</t>
        </is>
      </c>
      <c r="M2175" s="401" t="n"/>
      <c r="N2175" s="401" t="inlineStr">
        <is>
          <t>Done</t>
        </is>
      </c>
      <c r="O2175" s="401" t="n"/>
      <c r="P2175" s="22" t="n"/>
      <c r="S2175" s="22" t="n"/>
      <c r="U2175" s="16" t="n"/>
      <c r="V2175" s="22" t="n"/>
      <c r="W2175" s="22" t="n"/>
      <c r="X2175" s="22" t="n"/>
      <c r="Y2175" s="395" t="n"/>
      <c r="Z2175" s="22" t="n"/>
      <c r="AA2175" s="22" t="n"/>
      <c r="AB2175" s="22" t="n"/>
      <c r="AC2175" s="22" t="n"/>
      <c r="AD2175" s="22" t="n"/>
      <c r="AE2175" s="22" t="n"/>
    </row>
    <row r="2176" ht="84" customHeight="1" s="380">
      <c r="A2176" s="126" t="n">
        <v>97</v>
      </c>
      <c r="B2176" s="390" t="n"/>
      <c r="C2176" s="390" t="inlineStr">
        <is>
          <t>Báo cáo theo Thông tư 121/2020/TT-BTC &gt;&gt; Báo báo tài chính &gt;&gt; Phần lưu chuyển tiền tệ hoạt động môi giới, ủy thác của khách hàng_06612</t>
        </is>
      </c>
      <c r="D2176" s="390" t="inlineStr">
        <is>
          <t>Trong đó có kỳ hạn</t>
        </is>
      </c>
      <c r="E2176" s="390" t="n">
        <v>42</v>
      </c>
      <c r="F2176" s="390" t="inlineStr">
        <is>
          <t>Data Explorer</t>
        </is>
      </c>
      <c r="G2176" s="390" t="inlineStr">
        <is>
          <t>Chỉ tiêu cơ sở</t>
        </is>
      </c>
      <c r="H2176" s="390" t="inlineStr">
        <is>
          <t>Dễ</t>
        </is>
      </c>
      <c r="I2176" s="390" t="inlineStr">
        <is>
          <t>Ngày, CTCK</t>
        </is>
      </c>
      <c r="J2176" s="401" t="inlineStr">
        <is>
          <t>SCMS</t>
        </is>
      </c>
      <c r="K2176" s="401" t="n"/>
      <c r="L2176" s="401" t="inlineStr">
        <is>
          <t>X</t>
        </is>
      </c>
      <c r="M2176" s="401" t="n"/>
      <c r="N2176" s="401" t="inlineStr">
        <is>
          <t>Done</t>
        </is>
      </c>
      <c r="O2176" s="401" t="n"/>
      <c r="P2176" s="22" t="n"/>
      <c r="S2176" s="22" t="n"/>
      <c r="U2176" s="16" t="n"/>
      <c r="V2176" s="22" t="n"/>
      <c r="W2176" s="22" t="n"/>
      <c r="X2176" s="22" t="n"/>
      <c r="Y2176" s="36" t="n"/>
      <c r="Z2176" s="22" t="n"/>
      <c r="AA2176" s="22" t="n"/>
      <c r="AB2176" s="22" t="n"/>
      <c r="AC2176" s="22" t="n"/>
      <c r="AD2176" s="22" t="n"/>
      <c r="AE2176" s="22" t="n"/>
    </row>
    <row r="2177" ht="84" customHeight="1" s="380">
      <c r="A2177" s="126" t="n">
        <v>97</v>
      </c>
      <c r="B2177" s="390" t="n"/>
      <c r="C2177" s="390" t="inlineStr">
        <is>
          <t>Báo cáo theo Thông tư 121/2020/TT-BTC &gt;&gt; Báo báo tài chính &gt;&gt; Phần lưu chuyển tiền tệ hoạt động môi giới, ủy thác của khách hàng_06612</t>
        </is>
      </c>
      <c r="D2177" s="390" t="inlineStr">
        <is>
          <t xml:space="preserve">- Tiền gửi tổng hợp giao dịch chứng khoán cho khách hàng </t>
        </is>
      </c>
      <c r="E2177" s="390" t="n">
        <v>43</v>
      </c>
      <c r="F2177" s="390" t="inlineStr">
        <is>
          <t>Data Explorer</t>
        </is>
      </c>
      <c r="G2177" s="390" t="inlineStr">
        <is>
          <t>Chỉ tiêu cơ sở</t>
        </is>
      </c>
      <c r="H2177" s="390" t="inlineStr">
        <is>
          <t>Dễ</t>
        </is>
      </c>
      <c r="I2177" s="390" t="inlineStr">
        <is>
          <t>Ngày, CTCK</t>
        </is>
      </c>
      <c r="J2177" s="401" t="inlineStr">
        <is>
          <t>SCMS</t>
        </is>
      </c>
      <c r="K2177" s="401" t="n"/>
      <c r="L2177" s="401" t="inlineStr">
        <is>
          <t>X</t>
        </is>
      </c>
      <c r="M2177" s="401" t="n"/>
      <c r="N2177" s="401" t="inlineStr">
        <is>
          <t>Done</t>
        </is>
      </c>
      <c r="O2177" s="401" t="n"/>
      <c r="P2177" s="22" t="n"/>
      <c r="S2177" s="22" t="n"/>
      <c r="U2177" s="16" t="n"/>
      <c r="V2177" s="22" t="n"/>
      <c r="W2177" s="22" t="n"/>
      <c r="X2177" s="22" t="n"/>
      <c r="Y2177" s="395" t="n"/>
      <c r="Z2177" s="22" t="n"/>
      <c r="AA2177" s="22" t="n"/>
      <c r="AB2177" s="22" t="n"/>
      <c r="AC2177" s="22" t="n"/>
      <c r="AD2177" s="22" t="n"/>
      <c r="AE2177" s="22" t="n"/>
    </row>
    <row r="2178" ht="84" customHeight="1" s="380">
      <c r="A2178" s="126" t="n">
        <v>97</v>
      </c>
      <c r="B2178" s="390" t="n"/>
      <c r="C2178" s="390" t="inlineStr">
        <is>
          <t>Báo cáo theo Thông tư 121/2020/TT-BTC &gt;&gt; Báo báo tài chính &gt;&gt; Phần lưu chuyển tiền tệ hoạt động môi giới, ủy thác của khách hàng_06612</t>
        </is>
      </c>
      <c r="D2178" s="390" t="inlineStr">
        <is>
          <t>- Tiền gửi bù trừ và thanh toán giao dịch chứng khoán</t>
        </is>
      </c>
      <c r="E2178" s="390" t="n">
        <v>44</v>
      </c>
      <c r="F2178" s="390" t="inlineStr">
        <is>
          <t>Data Explorer</t>
        </is>
      </c>
      <c r="G2178" s="390" t="inlineStr">
        <is>
          <t>Chỉ tiêu cơ sở</t>
        </is>
      </c>
      <c r="H2178" s="390" t="inlineStr">
        <is>
          <t>Dễ</t>
        </is>
      </c>
      <c r="I2178" s="390" t="inlineStr">
        <is>
          <t>Ngày, CTCK</t>
        </is>
      </c>
      <c r="J2178" s="401" t="inlineStr">
        <is>
          <t>SCMS</t>
        </is>
      </c>
      <c r="K2178" s="401" t="n"/>
      <c r="L2178" s="401" t="inlineStr">
        <is>
          <t>X</t>
        </is>
      </c>
      <c r="M2178" s="401" t="n"/>
      <c r="N2178" s="401" t="inlineStr">
        <is>
          <t>Done</t>
        </is>
      </c>
      <c r="O2178" s="401" t="n"/>
      <c r="P2178" s="22" t="n"/>
      <c r="S2178" s="22" t="n"/>
      <c r="U2178" s="16" t="n"/>
      <c r="V2178" s="22" t="n"/>
      <c r="W2178" s="22" t="n"/>
      <c r="X2178" s="22" t="n"/>
      <c r="Y2178" s="395" t="n"/>
      <c r="Z2178" s="22" t="n"/>
      <c r="AA2178" s="22" t="n"/>
      <c r="AB2178" s="22" t="n"/>
      <c r="AC2178" s="22" t="n"/>
      <c r="AD2178" s="22" t="n"/>
      <c r="AE2178" s="22" t="n"/>
    </row>
    <row r="2179" ht="84" customHeight="1" s="380">
      <c r="A2179" s="126" t="n">
        <v>97</v>
      </c>
      <c r="B2179" s="390" t="n"/>
      <c r="C2179" s="390" t="inlineStr">
        <is>
          <t>Báo cáo theo Thông tư 121/2020/TT-BTC &gt;&gt; Báo báo tài chính &gt;&gt; Phần lưu chuyển tiền tệ hoạt động môi giới, ủy thác của khách hàng_06612</t>
        </is>
      </c>
      <c r="D2179" s="390" t="inlineStr">
        <is>
          <t>-Tiền gửi của tổ chức phát hành</t>
        </is>
      </c>
      <c r="E2179" s="390" t="n">
        <v>45</v>
      </c>
      <c r="F2179" s="390" t="inlineStr">
        <is>
          <t>Data Explorer</t>
        </is>
      </c>
      <c r="G2179" s="390" t="inlineStr">
        <is>
          <t>Chỉ tiêu cơ sở</t>
        </is>
      </c>
      <c r="H2179" s="390" t="inlineStr">
        <is>
          <t>Dễ</t>
        </is>
      </c>
      <c r="I2179" s="390" t="inlineStr">
        <is>
          <t>Ngày, CTCK</t>
        </is>
      </c>
      <c r="J2179" s="401" t="inlineStr">
        <is>
          <t>SCMS</t>
        </is>
      </c>
      <c r="K2179" s="401" t="n"/>
      <c r="L2179" s="401" t="inlineStr">
        <is>
          <t>X</t>
        </is>
      </c>
      <c r="M2179" s="401" t="n"/>
      <c r="N2179" s="401" t="inlineStr">
        <is>
          <t>Done</t>
        </is>
      </c>
      <c r="O2179" s="401" t="n"/>
      <c r="P2179" s="22" t="n"/>
      <c r="S2179" s="22" t="n"/>
      <c r="U2179" s="16" t="n"/>
      <c r="V2179" s="22" t="n"/>
      <c r="W2179" s="22" t="n"/>
      <c r="X2179" s="22" t="n"/>
      <c r="Y2179" s="37" t="n"/>
      <c r="Z2179" s="22" t="n"/>
      <c r="AA2179" s="22" t="n"/>
      <c r="AB2179" s="22" t="n"/>
      <c r="AC2179" s="22" t="n"/>
      <c r="AD2179" s="22" t="n"/>
      <c r="AE2179" s="22" t="n"/>
    </row>
    <row r="2180" ht="84" customHeight="1" s="380">
      <c r="A2180" s="126" t="n">
        <v>97</v>
      </c>
      <c r="B2180" s="390" t="n"/>
      <c r="C2180" s="390" t="inlineStr">
        <is>
          <t>Báo cáo theo Thông tư 121/2020/TT-BTC &gt;&gt; Báo báo tài chính &gt;&gt; Phần lưu chuyển tiền tệ hoạt động môi giới, ủy thác của khách hàng_06612</t>
        </is>
      </c>
      <c r="D2180" s="390" t="inlineStr">
        <is>
          <t>Trong đó có kỳ hạn</t>
        </is>
      </c>
      <c r="E2180" s="390" t="n">
        <v>45</v>
      </c>
      <c r="F2180" s="390" t="inlineStr">
        <is>
          <t>Data Explorer</t>
        </is>
      </c>
      <c r="G2180" s="390" t="inlineStr">
        <is>
          <t>Chỉ tiêu cơ sở</t>
        </is>
      </c>
      <c r="H2180" s="390" t="inlineStr">
        <is>
          <t>Dễ</t>
        </is>
      </c>
      <c r="I2180" s="390" t="inlineStr">
        <is>
          <t>Ngày, CTCK</t>
        </is>
      </c>
      <c r="J2180" s="401" t="inlineStr">
        <is>
          <t>SCMS</t>
        </is>
      </c>
      <c r="K2180" s="401" t="n"/>
      <c r="L2180" s="401" t="inlineStr">
        <is>
          <t>X</t>
        </is>
      </c>
      <c r="M2180" s="401" t="n"/>
      <c r="N2180" s="401" t="inlineStr">
        <is>
          <t>Done</t>
        </is>
      </c>
      <c r="O2180" s="401" t="n"/>
      <c r="P2180" s="22" t="n"/>
      <c r="S2180" s="22" t="n"/>
      <c r="U2180" s="16" t="n"/>
      <c r="V2180" s="22" t="n"/>
      <c r="W2180" s="22" t="n"/>
      <c r="X2180" s="22" t="n"/>
      <c r="Y2180" s="395" t="n"/>
      <c r="Z2180" s="22" t="n"/>
      <c r="AA2180" s="22" t="n"/>
      <c r="AB2180" s="22" t="n"/>
      <c r="AC2180" s="22" t="n"/>
      <c r="AD2180" s="22" t="n"/>
      <c r="AE2180" s="22" t="n"/>
    </row>
    <row r="2181" ht="84" customHeight="1" s="380">
      <c r="A2181" s="126" t="n">
        <v>97</v>
      </c>
      <c r="B2181" s="390" t="n"/>
      <c r="C2181" s="390" t="inlineStr">
        <is>
          <t>Báo cáo theo Thông tư 121/2020/TT-BTC &gt;&gt; Báo báo tài chính &gt;&gt; Phần lưu chuyển tiền tệ hoạt động môi giới, ủy thác của khách hàng_06612</t>
        </is>
      </c>
      <c r="D2181" s="390" t="inlineStr">
        <is>
          <t>Các khoản tương đương tiền</t>
        </is>
      </c>
      <c r="E2181" s="390" t="n">
        <v>46</v>
      </c>
      <c r="F2181" s="390" t="inlineStr">
        <is>
          <t>Data Explorer</t>
        </is>
      </c>
      <c r="G2181" s="390" t="inlineStr">
        <is>
          <t>Chỉ tiêu cơ sở</t>
        </is>
      </c>
      <c r="H2181" s="390" t="inlineStr">
        <is>
          <t>Dễ</t>
        </is>
      </c>
      <c r="I2181" s="390" t="inlineStr">
        <is>
          <t>Ngày, CTCK</t>
        </is>
      </c>
      <c r="J2181" s="401" t="inlineStr">
        <is>
          <t>SCMS</t>
        </is>
      </c>
      <c r="K2181" s="401" t="n"/>
      <c r="L2181" s="401" t="inlineStr">
        <is>
          <t>X</t>
        </is>
      </c>
      <c r="M2181" s="401" t="n"/>
      <c r="N2181" s="401" t="inlineStr">
        <is>
          <t>Done</t>
        </is>
      </c>
      <c r="O2181" s="401" t="n"/>
      <c r="P2181" s="22" t="n"/>
      <c r="S2181" s="22" t="n"/>
      <c r="U2181" s="16" t="n"/>
      <c r="V2181" s="22" t="n"/>
      <c r="W2181" s="22" t="n"/>
      <c r="X2181" s="22" t="n"/>
      <c r="Y2181" s="395" t="n"/>
      <c r="Z2181" s="22" t="n"/>
      <c r="AA2181" s="22" t="n"/>
      <c r="AB2181" s="22" t="n"/>
      <c r="AC2181" s="22" t="n"/>
      <c r="AD2181" s="22" t="n"/>
      <c r="AE2181" s="22" t="n"/>
    </row>
    <row r="2182" ht="84" customHeight="1" s="380">
      <c r="A2182" s="128" t="n">
        <v>97</v>
      </c>
      <c r="B2182" s="129" t="n"/>
      <c r="C2182" s="129" t="inlineStr">
        <is>
          <t>Báo cáo theo Thông tư 121/2020/TT-BTC &gt;&gt; Báo báo tài chính &gt;&gt; Phần lưu chuyển tiền tệ hoạt động môi giới, ủy thác của khách hàng_06612</t>
        </is>
      </c>
      <c r="D2182" s="129" t="inlineStr">
        <is>
          <t>Ảnh hưởng của thay đổi tỷ giá hối đoái quy đổi ngoại tệ</t>
        </is>
      </c>
      <c r="E2182" s="129" t="n">
        <v>47</v>
      </c>
      <c r="F2182" s="129" t="inlineStr">
        <is>
          <t>Data Explorer</t>
        </is>
      </c>
      <c r="G2182" s="129" t="inlineStr">
        <is>
          <t>Chỉ tiêu cơ sở</t>
        </is>
      </c>
      <c r="H2182" s="129" t="inlineStr">
        <is>
          <t>Dễ</t>
        </is>
      </c>
      <c r="I2182" s="129" t="inlineStr">
        <is>
          <t>Ngày, CTCK</t>
        </is>
      </c>
      <c r="J2182" s="85" t="inlineStr">
        <is>
          <t>SCMS</t>
        </is>
      </c>
      <c r="K2182" s="85" t="n"/>
      <c r="L2182" s="85" t="inlineStr">
        <is>
          <t>X</t>
        </is>
      </c>
      <c r="M2182" s="85" t="n"/>
      <c r="N2182" s="85" t="inlineStr">
        <is>
          <t>Done</t>
        </is>
      </c>
      <c r="O2182" s="85" t="n"/>
      <c r="P2182" s="130" t="n"/>
      <c r="Q2182" s="426" t="n"/>
      <c r="R2182" s="426" t="n"/>
      <c r="S2182" s="130" t="n"/>
      <c r="T2182" s="426" t="n"/>
      <c r="U2182" s="131" t="n"/>
      <c r="V2182" s="130" t="n"/>
      <c r="W2182" s="130" t="n"/>
      <c r="X2182" s="130" t="n"/>
      <c r="Y2182" s="69" t="n"/>
      <c r="Z2182" s="130" t="n"/>
      <c r="AA2182" s="130" t="n"/>
      <c r="AB2182" s="130" t="n"/>
      <c r="AC2182" s="130" t="n"/>
      <c r="AD2182" s="130" t="n"/>
      <c r="AE2182" s="130" t="n"/>
    </row>
    <row r="2183" ht="70" customHeight="1" s="380">
      <c r="A2183" s="126" t="n">
        <v>98</v>
      </c>
      <c r="B2183" s="122" t="inlineStr">
        <is>
          <t>Nga</t>
        </is>
      </c>
      <c r="C2183" s="127" t="inlineStr">
        <is>
          <t>Báo cáo theo Thông tư 121/2020/TT-BTC &gt;&gt; Báo báo tài chính &gt;&gt; Báo cáo lưu chuyển tiền tệ riêng_06613</t>
        </is>
      </c>
      <c r="D2183" s="106" t="inlineStr">
        <is>
          <t>Loại báo cáo</t>
        </is>
      </c>
      <c r="E2183" s="107" t="inlineStr">
        <is>
          <t>Loại báo cáo</t>
        </is>
      </c>
      <c r="F2183" s="390" t="inlineStr">
        <is>
          <t>Data Explorer</t>
        </is>
      </c>
      <c r="G2183" s="390" t="inlineStr">
        <is>
          <t>Chiều</t>
        </is>
      </c>
      <c r="H2183" s="390" t="inlineStr">
        <is>
          <t>Dễ</t>
        </is>
      </c>
      <c r="I2183" s="390" t="inlineStr">
        <is>
          <t>Ngày, CTCK</t>
        </is>
      </c>
      <c r="J2183" s="401" t="inlineStr">
        <is>
          <t>SCMS</t>
        </is>
      </c>
      <c r="K2183" s="401" t="inlineStr">
        <is>
          <t>X</t>
        </is>
      </c>
      <c r="L2183" s="401" t="inlineStr">
        <is>
          <t>X</t>
        </is>
      </c>
      <c r="M2183" s="401" t="n"/>
      <c r="N2183" s="401" t="inlineStr">
        <is>
          <t>Done</t>
        </is>
      </c>
      <c r="O2183" s="401" t="n"/>
      <c r="P2183" s="22" t="n"/>
      <c r="Q2183" s="404" t="inlineStr">
        <is>
          <t>SCMS.BM_BAO_CAO
SCMS.BM_BAO_CAO_DINH_KY</t>
        </is>
      </c>
      <c r="R2183" s="404" t="inlineStr">
        <is>
          <t>bm.ID,
bm.MA_BAO_CAO,
bm.LOAI_BAO_CAO,
bm.TEN_BAO_CAO,
bm.SU_DUNG,
bdk.BM_BAO_CAO_ID,
bdk.KY_BAO_CAO,
bdk.SU_DUNG</t>
        </is>
      </c>
      <c r="S2183" s="22" t="n"/>
      <c r="T2183" s="389"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U2183" s="16" t="n"/>
      <c r="V2183" s="22" t="n"/>
      <c r="W2183" s="22" t="n"/>
      <c r="X2183" s="22" t="n"/>
      <c r="Y2183" s="395" t="n"/>
      <c r="Z2183" s="22" t="n"/>
      <c r="AA2183" s="22" t="n"/>
      <c r="AB2183" s="22" t="n"/>
      <c r="AC2183" s="22" t="n"/>
      <c r="AD2183" s="22" t="n"/>
      <c r="AE2183" s="22" t="n"/>
    </row>
    <row r="2184" ht="70" customHeight="1" s="380">
      <c r="A2184" s="126" t="n">
        <v>98</v>
      </c>
      <c r="B2184" s="390" t="n"/>
      <c r="C2184" s="390" t="inlineStr">
        <is>
          <t>Báo cáo theo Thông tư 121/2020/TT-BTC &gt;&gt; Báo báo tài chính &gt;&gt; Báo cáo lưu chuyển tiền tệ riêng_06613</t>
        </is>
      </c>
      <c r="D2184" s="106" t="inlineStr">
        <is>
          <t>Kỳ báo cáo</t>
        </is>
      </c>
      <c r="E2184" s="107" t="inlineStr">
        <is>
          <t>Kỳ báo cáo</t>
        </is>
      </c>
      <c r="F2184" s="390" t="inlineStr">
        <is>
          <t>Data Explorer</t>
        </is>
      </c>
      <c r="G2184" s="390" t="inlineStr">
        <is>
          <t>Chiều</t>
        </is>
      </c>
      <c r="H2184" s="390" t="inlineStr">
        <is>
          <t>Dễ</t>
        </is>
      </c>
      <c r="I2184" s="390" t="inlineStr">
        <is>
          <t>Ngày, CTCK</t>
        </is>
      </c>
      <c r="J2184" s="401" t="inlineStr">
        <is>
          <t>SCMS</t>
        </is>
      </c>
      <c r="K2184" s="401" t="inlineStr">
        <is>
          <t>X</t>
        </is>
      </c>
      <c r="L2184" s="401" t="inlineStr">
        <is>
          <t>X</t>
        </is>
      </c>
      <c r="M2184" s="401" t="n"/>
      <c r="N2184" s="401" t="inlineStr">
        <is>
          <t>Done</t>
        </is>
      </c>
      <c r="O2184" s="401" t="n"/>
      <c r="P2184" s="22" t="n"/>
      <c r="S2184" s="22" t="n"/>
      <c r="U2184" s="16" t="n"/>
      <c r="V2184" s="22" t="n"/>
      <c r="W2184" s="22" t="n"/>
      <c r="X2184" s="22" t="n"/>
      <c r="Y2184" s="395" t="n"/>
      <c r="Z2184" s="22" t="n"/>
      <c r="AA2184" s="22" t="n"/>
      <c r="AB2184" s="22" t="n"/>
      <c r="AC2184" s="22" t="n"/>
      <c r="AD2184" s="22" t="n"/>
      <c r="AE2184" s="22" t="n"/>
    </row>
    <row r="2185" ht="70" customHeight="1" s="380">
      <c r="A2185" s="126" t="n">
        <v>98</v>
      </c>
      <c r="B2185" s="390" t="n"/>
      <c r="C2185" s="390" t="inlineStr">
        <is>
          <t>Báo cáo theo Thông tư 121/2020/TT-BTC &gt;&gt; Báo báo tài chính &gt;&gt; Báo cáo lưu chuyển tiền tệ riêng_06613</t>
        </is>
      </c>
      <c r="D2185" s="106" t="inlineStr">
        <is>
          <t>Mã báo cáo</t>
        </is>
      </c>
      <c r="E2185" s="107" t="inlineStr">
        <is>
          <t>Mã báo cáo</t>
        </is>
      </c>
      <c r="F2185" s="390" t="inlineStr">
        <is>
          <t>Data Explorer</t>
        </is>
      </c>
      <c r="G2185" s="390" t="inlineStr">
        <is>
          <t>Chiều</t>
        </is>
      </c>
      <c r="H2185" s="390" t="inlineStr">
        <is>
          <t>Dễ</t>
        </is>
      </c>
      <c r="I2185" s="390" t="inlineStr">
        <is>
          <t>Ngày, CTCK</t>
        </is>
      </c>
      <c r="J2185" s="401" t="inlineStr">
        <is>
          <t>SCMS</t>
        </is>
      </c>
      <c r="K2185" s="401" t="inlineStr">
        <is>
          <t>X</t>
        </is>
      </c>
      <c r="L2185" s="401" t="inlineStr">
        <is>
          <t>X</t>
        </is>
      </c>
      <c r="M2185" s="401" t="n"/>
      <c r="N2185" s="401" t="inlineStr">
        <is>
          <t>Done</t>
        </is>
      </c>
      <c r="O2185" s="401" t="n"/>
      <c r="P2185" s="22" t="n"/>
      <c r="S2185" s="22" t="n"/>
      <c r="U2185" s="16" t="n"/>
      <c r="V2185" s="22" t="n"/>
      <c r="W2185" s="22" t="n"/>
      <c r="X2185" s="22" t="n"/>
      <c r="Y2185" s="395" t="n"/>
      <c r="Z2185" s="22" t="n"/>
      <c r="AA2185" s="22" t="n"/>
      <c r="AB2185" s="22" t="n"/>
      <c r="AC2185" s="22" t="n"/>
      <c r="AD2185" s="22" t="n"/>
      <c r="AE2185" s="22" t="n"/>
    </row>
    <row r="2186" ht="70" customHeight="1" s="380">
      <c r="A2186" s="126" t="n">
        <v>98</v>
      </c>
      <c r="B2186" s="390" t="n"/>
      <c r="C2186" s="390" t="inlineStr">
        <is>
          <t>Báo cáo theo Thông tư 121/2020/TT-BTC &gt;&gt; Báo báo tài chính &gt;&gt; Báo cáo lưu chuyển tiền tệ riêng_06613</t>
        </is>
      </c>
      <c r="D2186" s="106" t="inlineStr">
        <is>
          <t>Tên báo cáo</t>
        </is>
      </c>
      <c r="E2186" s="107" t="inlineStr">
        <is>
          <t>Tên báo cáo</t>
        </is>
      </c>
      <c r="F2186" s="390" t="inlineStr">
        <is>
          <t>Data Explorer</t>
        </is>
      </c>
      <c r="G2186" s="390" t="inlineStr">
        <is>
          <t>Chiều</t>
        </is>
      </c>
      <c r="H2186" s="390" t="inlineStr">
        <is>
          <t>Dễ</t>
        </is>
      </c>
      <c r="I2186" s="390" t="inlineStr">
        <is>
          <t>Ngày, CTCK</t>
        </is>
      </c>
      <c r="J2186" s="401" t="inlineStr">
        <is>
          <t>SCMS</t>
        </is>
      </c>
      <c r="K2186" s="401" t="inlineStr">
        <is>
          <t>X</t>
        </is>
      </c>
      <c r="L2186" s="401" t="inlineStr">
        <is>
          <t>X</t>
        </is>
      </c>
      <c r="M2186" s="401" t="n"/>
      <c r="N2186" s="401" t="inlineStr">
        <is>
          <t>Done</t>
        </is>
      </c>
      <c r="O2186" s="401" t="n"/>
      <c r="P2186" s="22" t="n"/>
      <c r="S2186" s="22" t="n"/>
      <c r="U2186" s="16" t="n"/>
      <c r="V2186" s="22" t="n"/>
      <c r="W2186" s="22" t="n"/>
      <c r="X2186" s="22" t="n"/>
      <c r="Y2186" s="36" t="n"/>
      <c r="Z2186" s="22" t="n"/>
      <c r="AA2186" s="22" t="n"/>
      <c r="AB2186" s="22" t="n"/>
      <c r="AC2186" s="22" t="n"/>
      <c r="AD2186" s="22" t="n"/>
      <c r="AE2186" s="22" t="n"/>
    </row>
    <row r="2187" ht="70" customHeight="1" s="380">
      <c r="A2187" s="126" t="n">
        <v>98</v>
      </c>
      <c r="B2187" s="390" t="n"/>
      <c r="C2187" s="390" t="inlineStr">
        <is>
          <t>Báo cáo theo Thông tư 121/2020/TT-BTC &gt;&gt; Báo báo tài chính &gt;&gt; Báo cáo lưu chuyển tiền tệ riêng_06613</t>
        </is>
      </c>
      <c r="D2187" s="106" t="inlineStr">
        <is>
          <t>Mã sheet</t>
        </is>
      </c>
      <c r="E2187" s="106" t="inlineStr">
        <is>
          <t>Mã sheet</t>
        </is>
      </c>
      <c r="F2187" s="390" t="inlineStr">
        <is>
          <t>Data Explorer</t>
        </is>
      </c>
      <c r="G2187" s="390" t="inlineStr">
        <is>
          <t>Chiều</t>
        </is>
      </c>
      <c r="H2187" s="390" t="inlineStr">
        <is>
          <t>Dễ</t>
        </is>
      </c>
      <c r="I2187" s="390" t="inlineStr">
        <is>
          <t>Ngày, CTCK</t>
        </is>
      </c>
      <c r="J2187" s="401" t="inlineStr">
        <is>
          <t>SCMS</t>
        </is>
      </c>
      <c r="K2187" s="401" t="inlineStr">
        <is>
          <t>X</t>
        </is>
      </c>
      <c r="L2187" s="401" t="inlineStr">
        <is>
          <t>X</t>
        </is>
      </c>
      <c r="M2187" s="401" t="n"/>
      <c r="N2187" s="401" t="inlineStr">
        <is>
          <t>Done</t>
        </is>
      </c>
      <c r="O2187" s="401" t="n"/>
      <c r="P2187" s="22" t="n"/>
      <c r="Q2187" s="401" t="inlineStr">
        <is>
          <t>SCMS.BM_BAO_CAO
SCMS.BM_SHEET</t>
        </is>
      </c>
      <c r="R2187" s="401" t="inlineStr">
        <is>
          <t>bm.ID,
bm.MA_BAO_CAO,
bm.SU_DUNG,
s.BM_BAO_CAO_ID,
s.MA_SHEET,
s.TEN_SHEET,
s.SAP_XEP</t>
        </is>
      </c>
      <c r="S2187" s="22" t="n"/>
      <c r="T2187" s="389" t="inlineStr">
        <is>
          <t>-- Mã sheet / Tên sheet
-- TEN_SHEET: BCLCTTRGT
SELECT bm.MA_BAO_CAO,
s.MA_SHEET,
s.TEN_SHEET
FROM SCMS.BM_BAO_CAO bm
JOIN SCMS.BM_SHEET s ON s.BM_BAO_CAO_ID = bm.ID
WHERE bm.MA_BAO_CAO LIKE 'BCTCRLCTCK'
AND s.TEN_SHEET = 'BCLCTTRGT'  -- Check lại
AND bm.SU_DUNG = 1
ORDER BY bm.MA_BAO_CAO, s.SAP_XEP;</t>
        </is>
      </c>
      <c r="U2187" s="16" t="n"/>
      <c r="V2187" s="22" t="n"/>
      <c r="W2187" s="22" t="n"/>
      <c r="X2187" s="22" t="n"/>
      <c r="Y2187" s="395" t="n"/>
      <c r="Z2187" s="22" t="n"/>
      <c r="AA2187" s="22" t="n"/>
      <c r="AB2187" s="22" t="n"/>
      <c r="AC2187" s="22" t="n"/>
      <c r="AD2187" s="22" t="n"/>
      <c r="AE2187" s="22" t="n"/>
    </row>
    <row r="2188" ht="70" customHeight="1" s="380">
      <c r="A2188" s="126" t="n">
        <v>98</v>
      </c>
      <c r="B2188" s="390" t="n"/>
      <c r="C2188" s="390" t="inlineStr">
        <is>
          <t>Báo cáo theo Thông tư 121/2020/TT-BTC &gt;&gt; Báo báo tài chính &gt;&gt; Báo cáo lưu chuyển tiền tệ riêng_06613</t>
        </is>
      </c>
      <c r="D2188" s="106" t="inlineStr">
        <is>
          <t>Tên sheet</t>
        </is>
      </c>
      <c r="E2188" s="106" t="inlineStr">
        <is>
          <t>Tên sheet</t>
        </is>
      </c>
      <c r="F2188" s="390" t="inlineStr">
        <is>
          <t>Data Explorer</t>
        </is>
      </c>
      <c r="G2188" s="390" t="inlineStr">
        <is>
          <t>Chiều</t>
        </is>
      </c>
      <c r="H2188" s="390" t="inlineStr">
        <is>
          <t>Dễ</t>
        </is>
      </c>
      <c r="I2188" s="390" t="inlineStr">
        <is>
          <t>Ngày, CTCK</t>
        </is>
      </c>
      <c r="J2188" s="401" t="inlineStr">
        <is>
          <t>SCMS</t>
        </is>
      </c>
      <c r="K2188" s="401" t="inlineStr">
        <is>
          <t>X</t>
        </is>
      </c>
      <c r="L2188" s="401" t="inlineStr">
        <is>
          <t>X</t>
        </is>
      </c>
      <c r="M2188" s="401" t="n"/>
      <c r="N2188" s="401" t="inlineStr">
        <is>
          <t>Done</t>
        </is>
      </c>
      <c r="O2188" s="401" t="n"/>
      <c r="P2188" s="22" t="n"/>
      <c r="S2188" s="22" t="n"/>
      <c r="U2188" s="16" t="n"/>
      <c r="V2188" s="22" t="n"/>
      <c r="W2188" s="22" t="n"/>
      <c r="X2188" s="22" t="n"/>
      <c r="Y2188" s="395" t="n"/>
      <c r="Z2188" s="22" t="n"/>
      <c r="AA2188" s="22" t="n"/>
      <c r="AB2188" s="22" t="n"/>
      <c r="AC2188" s="22" t="n"/>
      <c r="AD2188" s="22" t="n"/>
      <c r="AE2188" s="22" t="n"/>
    </row>
    <row r="2189" ht="70" customHeight="1" s="380">
      <c r="A2189" s="126" t="n">
        <v>98</v>
      </c>
      <c r="B2189" s="390" t="n"/>
      <c r="C2189" s="390" t="inlineStr">
        <is>
          <t>Báo cáo theo Thông tư 121/2020/TT-BTC &gt;&gt; Báo báo tài chính &gt;&gt; Báo cáo lưu chuyển tiền tệ riêng_06613</t>
        </is>
      </c>
      <c r="D2189" s="106" t="inlineStr">
        <is>
          <t>Mã chỉ tiêu</t>
        </is>
      </c>
      <c r="E2189" s="107" t="inlineStr">
        <is>
          <t>Mã chỉ tiêu</t>
        </is>
      </c>
      <c r="F2189" s="390" t="inlineStr">
        <is>
          <t>Data Explorer</t>
        </is>
      </c>
      <c r="G2189" s="390" t="inlineStr">
        <is>
          <t>Chiều</t>
        </is>
      </c>
      <c r="H2189" s="390" t="inlineStr">
        <is>
          <t>Dễ</t>
        </is>
      </c>
      <c r="I2189" s="390" t="inlineStr">
        <is>
          <t>Ngày, CTCK</t>
        </is>
      </c>
      <c r="J2189" s="401" t="inlineStr">
        <is>
          <t>SCMS</t>
        </is>
      </c>
      <c r="K2189" s="401" t="inlineStr">
        <is>
          <t>X</t>
        </is>
      </c>
      <c r="L2189" s="401" t="inlineStr">
        <is>
          <t>X</t>
        </is>
      </c>
      <c r="M2189" s="401" t="n"/>
      <c r="N2189" s="401" t="inlineStr">
        <is>
          <t>Done</t>
        </is>
      </c>
      <c r="O2189" s="401" t="n"/>
      <c r="P2189" s="22" t="n"/>
      <c r="Q2189" s="401" t="inlineStr">
        <is>
          <t>SCMS.BM_BAO_CAO
SCMS.BM_SHEET
SCMS.BM_BAO_CAO_CT
SCMS.DM_CHI_TIEU</t>
        </is>
      </c>
      <c r="R2189" s="402" t="inlineStr">
        <is>
          <t>dct.ID,
dct.MA_CHI_TIEU,
dct.TEN_CHI_TIEU,
dct.SU_DUNG,
s.BM_BAO_CAO_ID,
s.MA_SHEET,
ct.BM_BAO_CAO_ID,
ct.DM_CHI_TIEU_ID,
ct.SU_DUNG,
bm.ID,
bm.MA_BAO_CAO,
bm.SU_DUNG</t>
        </is>
      </c>
      <c r="S2189" s="22" t="n"/>
      <c r="T2189" s="389" t="inlineStr">
        <is>
          <t>-- Mã chỉ tiêu / Tên chỉ tiêu
SELECT DISTINCT
    dct.MA_CHI_TIEU  AS ma_chi_tieu,
    dct.TEN_CHI_TIEU AS ten_chi_tieu
FROM SCMS.BM_BAO_CAO bm
JOIN SCMS.BM_SHEET s ON s.BM_BAO_CAO_ID = bm.ID
	AND s.TEN_SHEET = 'BCLCTTRGT'
JOIN SCMS.BM_BAO_CAO_CT ct ON ct.BM_SHEET_ID = s.ID
	AND ct.SU_DUNG = 1
JOIN SCMS.DM_CHI_TIEU dct ON dct.ID = ct.DM_CHI_TIEU_ID
	AND dct.SU_DUNG = 1
WHERE bm.MA_BAO_CAO LIKE 'BCTCRLCTCK'
	AND bm.SU_DUNG = 1
ORDER BY dct.MA_CHI_TIEU;</t>
        </is>
      </c>
      <c r="U2189" s="16" t="n"/>
      <c r="V2189" s="22" t="n"/>
      <c r="W2189" s="22" t="n"/>
      <c r="X2189" s="22" t="n"/>
      <c r="Y2189" s="395" t="n"/>
      <c r="Z2189" s="22" t="n"/>
      <c r="AA2189" s="22" t="n"/>
      <c r="AB2189" s="22" t="n"/>
      <c r="AC2189" s="22" t="n"/>
      <c r="AD2189" s="22" t="n"/>
      <c r="AE2189" s="22" t="n"/>
    </row>
    <row r="2190" ht="70" customHeight="1" s="380">
      <c r="A2190" s="126" t="n">
        <v>98</v>
      </c>
      <c r="B2190" s="390" t="n"/>
      <c r="C2190" s="390" t="inlineStr">
        <is>
          <t>Báo cáo theo Thông tư 121/2020/TT-BTC &gt;&gt; Báo báo tài chính &gt;&gt; Báo cáo lưu chuyển tiền tệ riêng_06613</t>
        </is>
      </c>
      <c r="D2190" s="106" t="inlineStr">
        <is>
          <t>Tên chỉ tiêu</t>
        </is>
      </c>
      <c r="E2190" s="107" t="inlineStr">
        <is>
          <t>Tên chỉ tiêu</t>
        </is>
      </c>
      <c r="F2190" s="390" t="inlineStr">
        <is>
          <t>Data Explorer</t>
        </is>
      </c>
      <c r="G2190" s="390" t="inlineStr">
        <is>
          <t>Chiều</t>
        </is>
      </c>
      <c r="H2190" s="390" t="inlineStr">
        <is>
          <t>Dễ</t>
        </is>
      </c>
      <c r="I2190" s="390" t="inlineStr">
        <is>
          <t>Ngày, CTCK</t>
        </is>
      </c>
      <c r="J2190" s="401" t="inlineStr">
        <is>
          <t>SCMS</t>
        </is>
      </c>
      <c r="K2190" s="401" t="inlineStr">
        <is>
          <t>X</t>
        </is>
      </c>
      <c r="L2190" s="401" t="inlineStr">
        <is>
          <t>X</t>
        </is>
      </c>
      <c r="M2190" s="401" t="n"/>
      <c r="N2190" s="401" t="inlineStr">
        <is>
          <t>Done</t>
        </is>
      </c>
      <c r="O2190" s="401" t="n"/>
      <c r="P2190" s="22" t="n"/>
      <c r="S2190" s="22" t="n"/>
      <c r="U2190" s="16" t="n"/>
      <c r="V2190" s="22" t="n"/>
      <c r="W2190" s="22" t="n"/>
      <c r="X2190" s="22" t="n"/>
      <c r="Y2190" s="395" t="n"/>
      <c r="Z2190" s="22" t="n"/>
      <c r="AA2190" s="22" t="n"/>
      <c r="AB2190" s="22" t="n"/>
      <c r="AC2190" s="22" t="n"/>
      <c r="AD2190" s="22" t="n"/>
      <c r="AE2190" s="22" t="n"/>
    </row>
    <row r="2191" ht="70" customHeight="1" s="380">
      <c r="A2191" s="126" t="n">
        <v>98</v>
      </c>
      <c r="B2191" s="390" t="n"/>
      <c r="C2191" s="390" t="inlineStr">
        <is>
          <t>Báo cáo theo Thông tư 121/2020/TT-BTC &gt;&gt; Báo báo tài chính &gt;&gt; Báo cáo lưu chuyển tiền tệ riêng_06613</t>
        </is>
      </c>
      <c r="D2191" s="132" t="inlineStr">
        <is>
          <t>I. Lưu chuyển tiền từ hoạt động kinh doanh</t>
        </is>
      </c>
      <c r="E2191" s="401" t="n"/>
      <c r="F2191" s="390" t="inlineStr">
        <is>
          <t>Data Explorer</t>
        </is>
      </c>
      <c r="G2191" s="390" t="inlineStr">
        <is>
          <t>Chỉ tiêu cơ sở</t>
        </is>
      </c>
      <c r="H2191" s="390" t="inlineStr">
        <is>
          <t>Dễ</t>
        </is>
      </c>
      <c r="I2191" s="390" t="inlineStr">
        <is>
          <t>Ngày, CTCK</t>
        </is>
      </c>
      <c r="J2191" s="401" t="inlineStr">
        <is>
          <t>SCMS</t>
        </is>
      </c>
      <c r="K2191" s="401" t="n"/>
      <c r="L2191" s="401" t="inlineStr">
        <is>
          <t>X</t>
        </is>
      </c>
      <c r="M2191" s="401" t="n"/>
      <c r="N2191" s="401" t="inlineStr">
        <is>
          <t>Done</t>
        </is>
      </c>
      <c r="O2191" s="401" t="n"/>
      <c r="P2191" s="22" t="n"/>
      <c r="Q2191" s="431" t="inlineStr">
        <is>
          <t>SCMS.BC_THANH_VIEN
SCMS.BM_BAO_CAO
SCMS.BC_BAO_CAO_GT
SCMS.BM_BAO_CAO_HANG
SCMS.BM_BAO_CAO_COT</t>
        </is>
      </c>
      <c r="R2191" s="431" t="inlineStr">
        <is>
          <t>bsc.TEN_COT,
bsc.BM_SHEET_ID,
bsh.ID,
bsh.MA_HANG,
gt.GIA_TRI,
gt.BC_THANH_VIEN_ID,
gt.BM_SHEET_HANG_ID,
bm.ID,
bm.MA_BAO_CAO,
btv.ID,
btv.BM_BAO_CAO_ID,
btv.TRANG_THAI,
btv.NGAY_SO_LIEU</t>
        </is>
      </c>
      <c r="S2191" s="22" t="n"/>
      <c r="T2191" s="432" t="inlineStr">
        <is>
          <t>-- CHỈ TIÊU
SELECT
	-- Thuyết minh
    MAX(CASE WHEN bsc.TEN_COT=N'Thuyết minh' AND bsh.MA_HANG = '2' THEN CAST(gt.GIA_TRI AS VARCHAR2(4000)) END) AS "I. Lưu chuyển tiền từ hoạt động kinh doanh",
	MAX(CASE WHEN bsc.TEN_COT=N'Thuyết minh' AND bsh.MA_HANG = '3' THEN CAST(gt.GIA_TRI AS VARCHAR2(4000)) END) AS "1. Lợi nhuận trước Thuế Thu nhập doanh nghiệp",
	MAX(CASE WHEN bsc.TEN_COT=N'Thuyết minh' AND bsh.MA_HANG = '4' THEN CAST(gt.GIA_TRI AS VARCHAR2(4000)) END) AS "2. Điều chỉnh cho các khoản",
	MAX(CASE WHEN bsc.TEN_COT=N'Thuyết minh' AND bsh.MA_HANG = '5' THEN CAST(gt.GIA_TRI AS VARCHAR2(4000)) END) AS "Khấu hao TSCĐ",
	MAX(CASE WHEN bsc.TEN_COT=N'Thuyết minh' AND bsh.MA_HANG = '6' THEN CAST(gt.GIA_TRI AS VARCHAR2(4000)) END) AS "Các khoản dự phòng",
	MAX(CASE WHEN bsc.TEN_COT=N'Thuyết minh' AND bsh.MA_HANG = '7' THEN CAST(gt.GIA_TRI AS VARCHAR2(4000)) END) AS "(- Lãi) hoặc (+ lỗ) chênh lệch tỷ giá hối đoái chưa thực hiện",
	MAX(CASE WHEN bsc.TEN_COT=N'Thuyết minh' AND bsh.MA_HANG = '8' THEN CAST(gt.GIA_TRI AS VARCHAR2(4000)) END) AS "Chi phí lãi vay",
	MAX(CASE WHEN bsc.TEN_COT=N'Thuyết minh' AND bsh.MA_HANG = '9' THEN CAST(gt.GIA_TRI AS VARCHAR2(4000)) END) AS "Lãi, lỗ từ hoạt động đầu tư",
	MAX(CASE WHEN bsc.TEN_COT=N'Thuyết minh' AND bsh.MA_HANG = '10' THEN CAST(gt.GIA_TRI AS VARCHAR2(4000)) END) AS "Dự thu tiền lãi", 
	MAX(CASE WHEN bsc.TEN_COT=N'Thuyết minh' AND bsh.MA_HANG = '11' THEN CAST(gt.GIA_TRI AS VARCHAR2(4000)) END) AS "Các khoản điều chỉnh khác",
	MAX(CASE WHEN bsc.TEN_COT=N'Thuyết minh' AND bsh.MA_HANG = '12' THEN CAST(gt.GIA_TRI AS VARCHAR2(4000)) END) AS "3. Tăng các chi phí phi tiền tệ",
	MAX(CASE WHEN bsc.TEN_COT=N'Thuyết minh' AND bsh.MA_HANG = '13' THEN CAST(gt.GIA_TRI AS VARCHAR2(4000)) END) AS "Lỗ đánh giá lại giá trị các tài sản tài chính ghi nhận thông qua lãi/lỗ FVTPL",
	MAX(CASE WHEN bsc.TEN_COT=N'Thuyết minh' AND bsh.MA_HANG = '14' THEN CAST(gt.GIA_TRI AS VARCHAR2(4000)) END) AS "Lỗ suy giảm giá trị Các khoản đầu tư nắm giữ đến ngày đáo hạn (HTM)",
	MAX(CASE WHEN bsc.TEN_COT=N'Thuyết minh' AND bsh.MA_HANG = '15' THEN CAST(gt.GIA_TRI AS VARCHAR2(4000)) END) AS "Lỗ suy giảm giá trị Các khoản cho vay",
	MAX(CASE WHEN bsc.TEN_COT=N'Thuyết minh' AND bsh.MA_HANG = '16' THEN CAST(gt.GIA_TRI AS VARCHAR2(4000)) END) AS "Lỗ về ghi nhận chênh lệch đánh giá theo giá trị hợp lý TSTC sẵn sàng để bán AFS khi phân loại lại",
	MAX(CASE WHEN bsc.TEN_COT=N'Thuyết minh' AND bsh.MA_HANG = '17' THEN CAST(gt.GIA_TRI AS VARCHAR2(4000)) END) AS "Suy giảm giá trị của các tài sản cố định, BĐSĐT",
	MAX(CASE WHEN bsc.TEN_COT=N'Thuyết minh' AND bsh.MA_HANG = '18' THEN CAST(gt.GIA_TRI AS VARCHAR2(4000)) END) AS "Chi phí dự phòng suy giảm giá trị các khoản đầu tư tài chính dài hạn",
	MAX(CASE WHEN bsc.TEN_COT=N'Thuyết minh' AND bsh.MA_HANG = '19' THEN CAST(gt.GIA_TRI AS VARCHAR2(4000)) END) AS "Lỗ khác",
	MAX(CASE WHEN bsc.TEN_COT=N'Thuyết minh' AND bsh.MA_HANG = '20' THEN CAST(gt.GIA_TRI AS VARCHAR2(4000)) END) AS "4. Giảm các doanh thu phi tiền tệ",
	MAX(CASE WHEN bsc.TEN_COT=N'Thuyết minh' AND bsh.MA_HANG = '21' THEN CAST(gt.GIA_TRI AS VARCHAR2(4000)) END) AS "Lãi đánh giá lại giá trị các tài sản tài chính ghi nhận thông qua lãi/lỗ FVTPL",
	MAX(CASE WHEN bsc.TEN_COT=N'Thuyết minh' AND bsh.MA_HANG = '22' THEN CAST(gt.GIA_TRI AS VARCHAR2(4000)) END) AS "Lãi về ghi nhận chênh lệch đánh giá theo giá trị hợp lý TSTC sẵn sàng để bán (AFS) khi phân loại lại",
	MAX(CASE WHEN bsc.TEN_COT=N'Thuyết minh' AND bsh.MA_HANG = '23' THEN CAST(gt.GIA_TRI AS VARCHAR2(4000)) END) AS "Lãi khác",
	MAX(CASE WHEN bsc.TEN_COT=N'Thuyết minh' AND bsh.MA_HANG = '24' THEN CAST(gt.GIA_TRI AS VARCHAR2(4000)) END) AS "5. Lợi nhuận từ hoạt động kinh doanh trước thay đổi vốn lưu động",
	MAX(CASE WHEN bsc.TEN_COT=N'Thuyết minh' AND bsh.MA_HANG = '25' THEN CAST(gt.GIA_TRI AS VARCHAR2(4000)) END) AS "Tăng (giảm) tài sản tài chính ghi nhận thông qua lãi/lỗ FVTPL",
	MAX(CASE WHEN bsc.TEN_COT=N'Thuyết minh' AND bsh.MA_HANG = '26' THEN CAST(gt.GIA_TRI AS VARCHAR2(4000)) END) AS "Tăng (giảm) Các khoản đầu tư nắm giữ đến ngày đáo hạn (HTM)",
	MAX(CASE WHEN bsc.TEN_COT=N'Thuyết minh' AND bsh.MA_HANG = '27' THEN CAST(gt.GIA_TRI AS VARCHAR2(4000)) END) AS "Tăng (giảm) Các khoản cho vay", 
	MAX(CASE WHEN bsc.TEN_COT=N'Thuyết minh' AND bsh.MA_HANG = '28' THEN CAST(gt.GIA_TRI AS VARCHAR2(4000)) END) AS "Tăng (giảm) tài sản tài chính sẵn sàng để bán AFS",
	MAX(CASE WHEN bsc.TEN_COT=N'Thuyết minh' AND bsh.MA_HANG = '29' THEN CAST(gt.GIA_TRI AS VARCHAR2(4000)) END) AS "(-) Tăng, (+) giảm phải thu bán các tài sản tài chính",
	MAX(CASE WHEN bsc.TEN_COT=N'Thuyết minh' AND bsh.MA_HANG = '30' THEN CAST(gt.GIA_TRI AS VARCHAR2(4000)) END) AS "(-) Tăng, (+) giảm phải thu và dự thu cổ tức, tiền lãi các tài sản tài chính",
	MAX(CASE WHEN bsc.TEN_COT=N'Thuyết minh' AND bsh.MA_HANG = '31' THEN CAST(gt.GIA_TRI AS VARCHAR2(4000)) END) AS "(-) Tăng, (+) giảm các khoản phải thu các dịch vụ CTCK cung cấp",
	MAX(CASE WHEN bsc.TEN_COT=N'Thuyết minh' AND bsh.MA_HANG = '32' THEN CAST(gt.GIA_TRI AS VARCHAR2(4000)) END) AS "(-) Tăng, (+) giảm các khoản phải thu về lỗi giao dịch các TSTC",
	MAX(CASE WHEN bsc.TEN_COT=N'Thuyết minh' AND bsh.MA_HANG = '33' THEN CAST(gt.GIA_TRI AS VARCHAR2(4000)) END) AS "(-) Tăng, (+) giảm các khoản phải thu khác",
	MAX(CASE WHEN bsc.TEN_COT=N'Thuyết minh' AND bsh.MA_HANG = '34' THEN CAST(gt.GIA_TRI AS VARCHAR2(4000)) END) AS "Tăng (giảm) các tài sản khác",
	MAX(CASE WHEN bsc.TEN_COT=N'Thuyết minh' AND bsh.MA_HANG = '35' THEN CAST(gt.GIA_TRI AS VARCHAR2(4000)) END) AS "Tăng (giảm) chi phí phải trả (không bao gồm chi phí lãi vay)",
	MAX(CASE WHEN bsc.TEN_COT=N'Thuyết minh' AND bsh.MA_HANG = '36' THEN CAST(gt.GIA_TRI AS VARCHAR2(4000)) END) AS "Tăng (giảm)  chi phí trả trước",
	MAX(CASE WHEN bsc.TEN_COT=N'Thuyết minh' AND bsh.MA_HANG = '37' THEN CAST(gt.GIA_TRI AS VARCHAR2(4000)) END) AS "(-) Thuế TNDN đã nộp",
	MAX(CASE WHEN bsc.TEN_COT=N'Thuyết minh' AND bsh.MA_HANG = '38' THEN CAST(gt.GIA_TRI AS VARCHAR2(4000)) END) AS "(-) Lãi vay đã trả",
	MAX(CASE WHEN bsc.TEN_COT=N'Thuyết minh' AND bsh.MA_HANG = '39' THEN CAST(gt.GIA_TRI AS VARCHAR2(4000)) END) AS "Tăng (giảm) phải trả cho người bán",
	MAX(CASE WHEN bsc.TEN_COT=N'Thuyết minh' AND bsh.MA_HANG = '40' THEN CAST(gt.GIA_TRI AS VARCHAR2(4000)) END) AS "Tăng (giảm) các khoản trích nộp phúc lợi nhân viên",
	MAX(CASE WHEN bsc.TEN_COT=N'Thuyết minh' AND bsh.MA_HANG = '41' THEN CAST(gt.GIA_TRI AS VARCHAR2(4000)) END) AS "Tăng (giảm) thuế và các khoản phải nộp Nhà nước (Không bao gồm thuế TNDN đã nộp)",
	MAX(CASE WHEN bsc.TEN_COT=N'Thuyết minh' AND bsh.MA_HANG = '42' THEN CAST(gt.GIA_TRI AS VARCHAR2(4000)) END) AS "Tăng (giảm) phải trả người lao động",
	MAX(CASE WHEN bsc.TEN_COT=N'Thuyết minh' AND bsh.MA_HANG = '43' THEN CAST(gt.GIA_TRI AS VARCHAR2(4000)) END) AS "Tăng (giảm) phải trả về lỗi giao dịch các TSTC",
	MAX(CASE WHEN bsc.TEN_COT=N'Thuyết minh' AND bsh.MA_HANG = '44' THEN CAST(gt.GIA_TRI AS VARCHAR2(4000)) END) AS "Tăng (giảm) phải trả, phải nộp khác",
	MAX(CASE WHEN bsc.TEN_COT=N'Thuyết minh' AND bsh.MA_HANG = '45' THEN CAST(gt.GIA_TRI AS VARCHAR2(4000)) END) AS "Tiền thu khác từ hoạt động kinh doanh",
	MAX(CASE WHEN bsc.TEN_COT=N'Thuyết minh' AND bsh.MA_HANG = '46' THEN CAST(gt.GIA_TRI AS VARCHAR2(4000)) END) AS "Tiền chi khác cho hoạt động kinh doanh",
	MAX(CASE WHEN bsc.TEN_COT=N'Thuyết minh' AND bsh.MA_HANG = '47' THEN CAST(gt.GIA_TRI AS VARCHAR2(4000)) END) AS "Lưu chuyển tiền thuần từ hoạt động kinh doanh",
	MAX(CASE WHEN bsc.TEN_COT=N'Thuyết minh' AND bsh.MA_HANG = '48' THEN CAST(gt.GIA_TRI AS VARCHAR2(4000)) END) AS "II. Lưu chuyển tiền từ hoạt động đầu tư",
	MAX(CASE WHEN bsc.TEN_COT=N'Thuyết minh' AND bsh.MA_HANG = '49' THEN CAST(gt.GIA_TRI AS VARCHAR2(4000)) END) AS "1. Tiền chi để mua sắm, xây dựng TSCĐ, BĐSĐT và các tài sản khác",
	MAX(CASE WHEN bsc.TEN_COT=N'Thuyết minh' AND bsh.MA_HANG = '50' THEN CAST(gt.GIA_TRI AS VARCHAR2(4000)) END) AS "2. Tiền thu từ thanh lý, nhượng bán TSCĐ, BĐSĐT và các tài sản khác",
	MAX(CASE WHEN bsc.TEN_COT=N'Thuyết minh' AND bsh.MA_HANG = '51' THEN CAST(gt.GIA_TRI AS VARCHAR2(4000)) END) AS "3. Tiền chi đầu tư vốn vào công ty con, công ty liên doanh, liên kết và đầu tư khác",
	MAX(CASE WHEN bsc.TEN_COT=N'Thuyết minh' AND bsh.MA_HANG = '52' THEN CAST(gt.GIA_TRI AS VARCHAR2(4000)) END) AS "4. Tiền thu hồi các khoản đầu tư vào công ty con, công ty liên doanh, liên kết và đầu tư khác",
	MAX(CASE WHEN bsc.TEN_COT=N'Thuyết minh' AND bsh.MA_HANG = '53' THEN CAST(gt.GIA_TRI AS VARCHAR2(4000)) END) AS "5. Tiền thu về cổ tức và lợi nhuận được chia từ các khoản đầu tư tài chính dài hạn",
	MAX(CASE WHEN bsc.TEN_COT=N'Thuyết minh' AND bsh.MA_HANG = '54' THEN CAST(gt.GIA_TRI AS VARCHAR2(4000)) END) AS "Lưu chuyển tiền thuần từ hoạt động đầu tư",
	MAX(CASE WHEN bsc.TEN_COT=N'Thuyết minh' AND bsh.MA_HANG = '55' THEN CAST(gt.GIA_TRI AS VARCHAR2(4000)) END) AS "III. Lưu chuyển tiền từ hoạt động tài chính",
	MAX(CASE WHEN bsc.TEN_COT=N'Thuyết minh' AND bsh.MA_HANG = '56' THEN CAST(gt.GIA_TRI AS VARCHAR2(4000)) END) AS "1.Tiền thu từ phát hành cổ phiếu, nhận vốn góp của chủ sở hữu",
	MAX(CASE WHEN bsc.TEN_COT=N'Thuyết minh' AND bsh.MA_HANG = '57' THEN CAST(gt.GIA_TRI AS VARCHAR2(4000)) END) AS "2. Tiền chi trả vốn góp cho chủ sở hữu, mua lại cổ phiếu phát hành",
	MAX(CASE WHEN bsc.TEN_COT=N'Thuyết minh' AND bsh.MA_HANG = '58' THEN CAST(gt.GIA_TRI AS VARCHAR2(4000)) END) AS "3. Tiền vay gốc",
	MAX(CASE WHEN bsc.TEN_COT=N'Thuyết minh' AND bsh.MA_HANG = '59' THEN CAST(gt.GIA_TRI AS VARCHAR2(4000)) END) AS "3.1. Tiền vay Quỹ Hỗ trợ thanh toán",
	MAX(CASE WHEN bsc.TEN_COT=N'Thuyết minh' AND bsh.MA_HANG = '60' THEN CAST(gt.GIA_TRI AS VARCHAR2(4000)) END) AS "3.2. Tiền vay khác",
	MAX(CASE WHEN bsc.TEN_COT=N'Thuyết minh' AND bsh.MA_HANG = '61' THEN CAST(gt.GIA_TRI AS VARCHAR2(4000)) END) AS "4. Tiền chi trả nợ gốc vay",
	MAX(CASE WHEN bsc.TEN_COT=N'Thuyết minh' AND bsh.MA_HANG = '62' THEN CAST(gt.GIA_TRI AS VARCHAR2(4000)) END) AS "4.1. Tiền chi trả gốc vay Quỹ Hỗ trợ thanh toán",
	MAX(CASE WHEN bsc.TEN_COT=N'Thuyết minh' AND bsh.MA_HANG = '63' THEN CAST(gt.GIA_TRI AS VARCHAR2(4000)) END) AS "4.2. Tiền chi trả nợ gốc vay tài sản tài chính",
	MAX(CASE WHEN bsc.TEN_COT=N'Thuyết minh' AND bsh.MA_HANG = '64' THEN CAST(gt.GIA_TRI AS VARCHAR2(4000)) END) AS "4.3. Tiền chi trả gốc vay khác",
	MAX(CASE WHEN bsc.TEN_COT=N'Thuyết minh' AND bsh.MA_HANG = '65' THEN CAST(gt.GIA_TRI AS VARCHAR2(4000)) END) AS "5. Tiền chi trả nợ gốc thuê tài chính",
	MAX(CASE WHEN bsc.TEN_COT=N'Thuyết minh' AND bsh.MA_HANG = '66' THEN CAST(gt.GIA_TRI AS VARCHAR2(4000)) END) AS "6. Cổ tức, lợi nhuận đã trả cho chủ sở hữu",
	MAX(CASE WHEN bsc.TEN_COT=N'Thuyết minh' AND bsh.MA_HANG = '67' THEN CAST(gt.GIA_TRI AS VARCHAR2(4000)) END) AS "Lưu chuyển tiền thuần từ hoạt động tài chính",
	MAX(CASE WHEN bsc.TEN_COT=N'Thuyết minh' AND bsh.MA_HANG = '68' THEN CAST(gt.GIA_TRI AS VARCHAR2(4000)) END) AS "IV. Tăng/giảm tiền thuần trong kỳ",
	MAX(CASE WHEN bsc.TEN_COT=N'Thuyết minh' AND bsh.MA_HANG = '69' THEN CAST(gt.GIA_TRI AS VARCHAR2(4000)) END) AS "V. Tiền và các khoản tương đương tiền đầu kỳ",
	MAX(CASE WHEN bsc.TEN_COT=N'Thuyết minh' AND bsh.MA_HANG = '70' THEN CAST(gt.GIA_TRI AS VARCHAR2(4000)) END) AS "Tiền - Đầu kỳ",
	MAX(CASE WHEN bsc.TEN_COT=N'Thuyết minh' AND bsh.MA_HANG = '71' THEN CAST(gt.GIA_TRI AS VARCHAR2(4000)) END) AS "Các khoản tương đương tiền - Đầu kỳ",
	MAX(CASE WHEN bsc.TEN_COT=N'Thuyết minh' AND bsh.MA_HANG = '72' THEN CAST(gt.GIA_TRI AS VARCHAR2(4000)) END) AS "Ảnh hưởng của thay đổi tỷ giá hối đoái quy đổi ngoại tệ - Đầu kỳ",
	MAX(CASE WHEN bsc.TEN_COT=N'Thuyết minh' AND bsh.MA_HANG = '73' THEN CAST(gt.GIA_TRI AS VARCHAR2(4000)) END) AS "VI. Tiền và các khoản tương đương tiền cuối kỳ",
	MAX(CASE WHEN bsc.TEN_COT=N'Thuyết minh' AND bsh.MA_HANG = '74' THEN CAST(gt.GIA_TRI AS VARCHAR2(4000)) END) AS "Tiền - Cuối kỳ",
	MAX(CASE WHEN bsc.TEN_COT=N'Thuyết minh' AND bsh.MA_HANG = '75' THEN CAST(gt.GIA_TRI AS VARCHAR2(4000)) END) AS "Các khoản tương đương tiền - Cuối kỳ",
	MAX(CASE WHEN bsc.TEN_COT=N'Thuyết minh' AND bsh.MA_HANG = '76' THEN CAST(gt.GIA_TRI AS VARCHAR2(4000)) END) AS "Ảnh hưởng của thay đổi tỷ giá hối đoái quy đổi ngoại tệ - Cuối kỳ",	    
    -- Năm nay
	MAX(CASE WHEN bsc.TEN_COT=N'Năm nay' AND bsh.MA_HANG = '2' THEN CAST(gt.GIA_TRI AS VARCHAR2(4000)) END) AS "I. Lưu chuyển tiền từ hoạt động kinh doanh",
	MAX(CASE WHEN bsc.TEN_COT=N'Năm nay' AND bsh.MA_HANG = '3' THEN CAST(gt.GIA_TRI AS VARCHAR2(4000)) END) AS "1. Lợi nhuận trước Thuế Thu nhập doanh nghiệp",
	MAX(CASE WHEN bsc.TEN_COT=N'Năm nay' AND bsh.MA_HANG = '4' THEN CAST(gt.GIA_TRI AS VARCHAR2(4000)) END) AS "2. Điều chỉnh cho các khoản",
	MAX(CASE WHEN bsc.TEN_COT=N'Năm nay' AND bsh.MA_HANG = '5' THEN CAST(gt.GIA_TRI AS VARCHAR2(4000)) END) AS "Khấu hao TSCĐ",
	MAX(CASE WHEN bsc.TEN_COT=N'Năm nay' AND bsh.MA_HANG = '6' THEN CAST(gt.GIA_TRI AS VARCHAR2(4000)) END) AS "Các khoản dự phòng",
	MAX(CASE WHEN bsc.TEN_COT=N'Năm nay' AND bsh.MA_HANG = '7' THEN CAST(gt.GIA_TRI AS VARCHAR2(4000)) END) AS "(- Lãi) hoặc (+ lỗ) chênh lệch tỷ giá hối đoái chưa thực hiện",
	MAX(CASE WHEN bsc.TEN_COT=N'Năm nay' AND bsh.MA_HANG = '8' THEN CAST(gt.GIA_TRI AS VARCHAR2(4000)) END) AS "Chi phí lãi vay",
	MAX(CASE WHEN bsc.TEN_COT=N'Năm nay' AND bsh.MA_HANG = '9' THEN CAST(gt.GIA_TRI AS VARCHAR2(4000)) END) AS "Lãi, lỗ từ hoạt động đầu tư",
	MAX(CASE WHEN bsc.TEN_COT=N'Năm nay' AND bsh.MA_HANG = '10' THEN CAST(gt.GIA_TRI AS VARCHAR2(4000)) END) AS "Dự thu tiền lãi", 
	MAX(CASE WHEN bsc.TEN_COT=N'Năm nay' AND bsh.MA_HANG = '11' THEN CAST(gt.GIA_TRI AS VARCHAR2(4000)) END) AS "Các khoản điều chỉnh khác",
	MAX(CASE WHEN bsc.TEN_COT=N'Năm nay' AND bsh.MA_HANG = '12' THEN CAST(gt.GIA_TRI AS VARCHAR2(4000)) END) AS "3. Tăng các chi phí phi tiền tệ",
	MAX(CASE WHEN bsc.TEN_COT=N'Năm nay' AND bsh.MA_HANG = '13' THEN CAST(gt.GIA_TRI AS VARCHAR2(4000)) END) AS "Lỗ đánh giá lại giá trị các tài sản tài chính ghi nhận thông qua lãi/lỗ FVTPL",
	MAX(CASE WHEN bsc.TEN_COT=N'Năm nay' AND bsh.MA_HANG = '14' THEN CAST(gt.GIA_TRI AS VARCHAR2(4000)) END) AS "Lỗ suy giảm giá trị Các khoản đầu tư nắm giữ đến ngày đáo hạn (HTM)",
	MAX(CASE WHEN bsc.TEN_COT=N'Năm nay' AND bsh.MA_HANG = '15' THEN CAST(gt.GIA_TRI AS VARCHAR2(4000)) END) AS "Lỗ suy giảm giá trị Các khoản cho vay",
	MAX(CASE WHEN bsc.TEN_COT=N'Năm nay' AND bsh.MA_HANG = '16' THEN CAST(gt.GIA_TRI AS VARCHAR2(4000)) END) AS "Lỗ về ghi nhận chênh lệch đánh giá theo giá trị hợp lý TSTC sẵn sàng để bán AFS khi phân loại lại",
	MAX(CASE WHEN bsc.TEN_COT=N'Năm nay' AND bsh.MA_HANG = '17' THEN CAST(gt.GIA_TRI AS VARCHAR2(4000)) END) AS "Suy giảm giá trị của các tài sản cố định, BĐSĐT",
	MAX(CASE WHEN bsc.TEN_COT=N'Năm nay' AND bsh.MA_HANG = '18' THEN CAST(gt.GIA_TRI AS VARCHAR2(4000)) END) AS "Chi phí dự phòng suy giảm giá trị các khoản đầu tư tài chính dài hạn",
	MAX(CASE WHEN bsc.TEN_COT=N'Năm nay' AND bsh.MA_HANG = '19' THEN CAST(gt.GIA_TRI AS VARCHAR2(4000)) END) AS "Lỗ khác",
	MAX(CASE WHEN bsc.TEN_COT=N'Năm nay' AND bsh.MA_HANG = '20' THEN CAST(gt.GIA_TRI AS VARCHAR2(4000)) END) AS "4. Giảm các doanh thu phi tiền tệ",
	MAX(CASE WHEN bsc.TEN_COT=N'Năm nay' AND bsh.MA_HANG = '21' THEN CAST(gt.GIA_TRI AS VARCHAR2(4000)) END) AS "Lãi đánh giá lại giá trị các tài sản tài chính ghi nhận thông qua lãi/lỗ FVTPL",
	MAX(CASE WHEN bsc.TEN_COT=N'Năm nay' AND bsh.MA_HANG = '22' THEN CAST(gt.GIA_TRI AS VARCHAR2(4000)) END) AS "Lãi về ghi nhận chênh lệch đánh giá theo giá trị hợp lý TSTC sẵn sàng để bán (AFS) khi phân loại lại",
	MAX(CASE WHEN bsc.TEN_COT=N'Năm nay' AND bsh.MA_HANG = '23' THEN CAST(gt.GIA_TRI AS VARCHAR2(4000)) END) AS "Lãi khác",
	MAX(CASE WHEN bsc.TEN_COT=N'Năm nay' AND bsh.MA_HANG = '24' THEN CAST(gt.GIA_TRI AS VARCHAR2(4000)) END) AS "5. Lợi nhuận từ hoạt động kinh doanh trước thay đổi vốn lưu động",
	MAX(CASE WHEN bsc.TEN_COT=N'Năm nay' AND bsh.MA_HANG = '25' THEN CAST(gt.GIA_TRI AS VARCHAR2(4000)) END) AS "Tăng (giảm) tài sản tài chính ghi nhận thông qua lãi/lỗ FVTPL",
	MAX(CASE WHEN bsc.TEN_COT=N'Năm nay' AND bsh.MA_HANG = '26' THEN CAST(gt.GIA_TRI AS VARCHAR2(4000)) END) AS "Tăng (giảm) Các khoản đầu tư nắm giữ đến ngày đáo hạn (HTM)",
	MAX(CASE WHEN bsc.TEN_COT=N'Năm nay' AND bsh.MA_HANG = '27' THEN CAST(gt.GIA_TRI AS VARCHAR2(4000)) END) AS "Tăng (giảm) Các khoản cho vay", 
	MAX(CASE WHEN bsc.TEN_COT=N'Năm nay' AND bsh.MA_HANG = '28' THEN CAST(gt.GIA_TRI AS VARCHAR2(4000)) END) AS "Tăng (giảm) tài sản tài chính sẵn sàng để bán AFS",
	MAX(CASE WHEN bsc.TEN_COT=N'Năm nay' AND bsh.MA_HANG = '29' THEN CAST(gt.GIA_TRI AS VARCHAR2(4000)) END) AS "(-) Tăng, (+) giảm phải thu bán các tài sản tài chính",
	MAX(CASE WHEN bsc.TEN_COT=N'Năm nay' AND bsh.MA_HANG = '30' THEN CAST(gt.GIA_TRI AS VARCHAR2(4000)) END) AS "(-) Tăng, (+) giảm phải thu và dự thu cổ tức, tiền lãi các tài sản tài chính",
	MAX(CASE WHEN bsc.TEN_COT=N'Năm nay' AND bsh.MA_HANG = '31' THEN CAST(gt.GIA_TRI AS VARCHAR2(4000)) END) AS "(-) Tăng, (+) giảm các khoản phải thu các dịch vụ CTCK cung cấp",
	MAX(CASE WHEN bsc.TEN_COT=N'Năm nay' AND bsh.MA_HANG = '32' THEN CAST(gt.GIA_TRI AS VARCHAR2(4000)) END) AS "(-) Tăng, (+) giảm các khoản phải thu về lỗi giao dịch các TSTC",
	MAX(CASE WHEN bsc.TEN_COT=N'Năm nay' AND bsh.MA_HANG = '33' THEN CAST(gt.GIA_TRI AS VARCHAR2(4000)) END) AS "(-) Tăng, (+) giảm các khoản phải thu khác",
	MAX(CASE WHEN bsc.TEN_COT=N'Năm nay' AND bsh.MA_HANG = '34' THEN CAST(gt.GIA_TRI AS VARCHAR2(4000)) END) AS "Tăng (giảm) các tài sản khác",
	MAX(CASE WHEN bsc.TEN_COT=N'Năm nay' AND bsh.MA_HANG = '35' THEN CAST(gt.GIA_TRI AS VARCHAR2(4000)) END) AS "Tăng (giảm) chi phí phải trả (không bao gồm chi phí lãi vay)",
	MAX(CASE WHEN bsc.TEN_COT=N'Năm nay' AND bsh.MA_HANG = '36' THEN CAST(gt.GIA_TRI AS VARCHAR2(4000)) END) AS "Tăng (giảm)  chi phí trả trước",
	MAX(CASE WHEN bsc.TEN_COT=N'Năm nay' AND bsh.MA_HANG = '37' THEN CAST(gt.GIA_TRI AS VARCHAR2(4000)) END) AS "(-) Thuế TNDN đã nộp",
	MAX(CASE WHEN bsc.TEN_COT=N'Năm nay' AND bsh.MA_HANG = '38' THEN CAST(gt.GIA_TRI AS VARCHAR2(4000)) END) AS "(-) Lãi vay đã trả",
	MAX(CASE WHEN bsc.TEN_COT=N'Năm nay' AND bsh.MA_HANG = '39' THEN CAST(gt.GIA_TRI AS VARCHAR2(4000)) END) AS "Tăng (giảm) phải trả cho người bán",
	MAX(CASE WHEN bsc.TEN_COT=N'Năm nay' AND bsh.MA_HANG = '40' THEN CAST(gt.GIA_TRI AS VARCHAR2(4000)) END) AS "Tăng (giảm) các khoản trích nộp phúc lợi nhân viên",
	MAX(CASE WHEN bsc.TEN_COT=N'Năm nay' AND bsh.MA_HANG = '41' THEN CAST(gt.GIA_TRI AS VARCHAR2(4000)) END) AS "Tăng (giảm) thuế và các khoản phải nộp Nhà nước (Không bao gồm thuế TNDN đã nộp)",
	MAX(CASE WHEN bsc.TEN_COT=N'Năm nay' AND bsh.MA_HANG = '42' THEN CAST(gt.GIA_TRI AS VARCHAR2(4000)) END) AS "Tăng (giảm) phải trả người lao động",
	MAX(CASE WHEN bsc.TEN_COT=N'Năm nay' AND bsh.MA_HANG = '43' THEN CAST(gt.GIA_TRI AS VARCHAR2(4000)) END) AS "Tăng (giảm) phải trả về lỗi giao dịch các TSTC",
	MAX(CASE WHEN bsc.TEN_COT=N'Năm nay' AND bsh.MA_HANG = '44' THEN CAST(gt.GIA_TRI AS VARCHAR2(4000)) END) AS "Tăng (giảm) phải trả, phải nộp khác",
	MAX(CASE WHEN bsc.TEN_COT=N'Năm nay' AND bsh.MA_HANG = '45' THEN CAST(gt.GIA_TRI AS VARCHAR2(4000)) END) AS "Tiền thu khác từ hoạt động kinh doanh",
	MAX(CASE WHEN bsc.TEN_COT=N'Năm nay' AND bsh.MA_HANG = '46' THEN CAST(gt.GIA_TRI AS VARCHAR2(4000)) END) AS "Tiền chi khác cho hoạt động kinh doanh",
	MAX(CASE WHEN bsc.TEN_COT=N'Năm nay' AND bsh.MA_HANG = '47' THEN CAST(gt.GIA_TRI AS VARCHAR2(4000)) END) AS "Lưu chuyển tiền thuần từ hoạt động kinh doanh",
	MAX(CASE WHEN bsc.TEN_COT=N'Năm nay' AND bsh.MA_HANG = '48' THEN CAST(gt.GIA_TRI AS VARCHAR2(4000)) END) AS "II. Lưu chuyển tiền từ hoạt động đầu tư",
	MAX(CASE WHEN bsc.TEN_COT=N'Năm nay' AND bsh.MA_HANG = '49' THEN CAST(gt.GIA_TRI AS VARCHAR2(4000)) END) AS "1. Tiền chi để mua sắm, xây dựng TSCĐ, BĐSĐT và các tài sản khác",
	MAX(CASE WHEN bsc.TEN_COT=N'Năm nay' AND bsh.MA_HANG = '50' THEN CAST(gt.GIA_TRI AS VARCHAR2(4000)) END) AS "2. Tiền thu từ thanh lý, nhượng bán TSCĐ, BĐSĐT và các tài sản khác",
	MAX(CASE WHEN bsc.TEN_COT=N'Năm nay' AND bsh.MA_HANG = '51' THEN CAST(gt.GIA_TRI AS VARCHAR2(4000)) END) AS "3. Tiền chi đầu tư vốn vào công ty con, công ty liên doanh, liên kết và đầu tư khác",
	MAX(CASE WHEN bsc.TEN_COT=N'Năm nay' AND bsh.MA_HANG = '52' THEN CAST(gt.GIA_TRI AS VARCHAR2(4000)) END) AS "4. Tiền thu hồi các khoản đầu tư vào công ty con, công ty liên doanh, liên kết và đầu tư khác",
	MAX(CASE WHEN bsc.TEN_COT=N'Năm nay' AND bsh.MA_HANG = '53' THEN CAST(gt.GIA_TRI AS VARCHAR2(4000)) END) AS "5. Tiền thu về cổ tức và lợi nhuận được chia từ các khoản đầu tư tài chính dài hạn",
	MAX(CASE WHEN bsc.TEN_COT=N'Năm nay' AND bsh.MA_HANG = '54' THEN CAST(gt.GIA_TRI AS VARCHAR2(4000)) END) AS "Lưu chuyển tiền thuần từ hoạt động đầu tư",
	MAX(CASE WHEN bsc.TEN_COT=N'Năm nay' AND bsh.MA_HANG = '55' THEN CAST(gt.GIA_TRI AS VARCHAR2(4000)) END) AS "III. Lưu chuyển tiền từ hoạt động tài chính",
	MAX(CASE WHEN bsc.TEN_COT=N'Năm nay' AND bsh.MA_HANG = '56' THEN CAST(gt.GIA_TRI AS VARCHAR2(4000)) END) AS "1.Tiền thu từ phát hành cổ phiếu, nhận vốn góp của chủ sở hữu",
	MAX(CASE WHEN bsc.TEN_COT=N'Năm nay' AND bsh.MA_HANG = '57' THEN CAST(gt.GIA_TRI AS VARCHAR2(4000)) END) AS "2. Tiền chi trả vốn góp cho chủ sở hữu, mua lại cổ phiếu phát hành",
	MAX(CASE WHEN bsc.TEN_COT=N'Năm nay' AND bsh.MA_HANG = '58' THEN CAST(gt.GIA_TRI AS VARCHAR2(4000)) END) AS "3. Tiền vay gốc",
	MAX(CASE WHEN bsc.TEN_COT=N'Năm nay' AND bsh.MA_HANG = '59' THEN CAST(gt.GIA_TRI AS VARCHAR2(4000)) END) AS "3.1. Tiền vay Quỹ Hỗ trợ thanh toán",
	MAX(CASE WHEN bsc.TEN_COT=N'Năm nay' AND bsh.MA_HANG = '60' THEN CAST(gt.GIA_TRI AS VARCHAR2(4000)) END) AS "3.2. Tiền vay khác",
	MAX(CASE WHEN bsc.TEN_COT=N'Năm nay' AND bsh.MA_HANG = '61' THEN CAST(gt.GIA_TRI AS VARCHAR2(4000)) END) AS "4. Tiền chi trả nợ gốc vay",
	MAX(CASE WHEN bsc.TEN_COT=N'Năm nay' AND bsh.MA_HANG = '62' THEN CAST(gt.GIA_TRI AS VARCHAR2(4000)) END) AS "4.1. Tiền chi trả gốc vay Quỹ Hỗ trợ thanh toán",
	MAX(CASE WHEN bsc.TEN_COT=N'Năm nay' AND bsh.MA_HANG = '63' THEN CAST(gt.GIA_TRI AS VARCHAR2(4000)) END) AS "4.2. Tiền chi trả nợ gốc vay tài sản tài chính",
	MAX(CASE WHEN bsc.TEN_COT=N'Năm nay' AND bsh.MA_HANG = '64' THEN CAST(gt.GIA_TRI AS VARCHAR2(4000)) END) AS "4.3. Tiền chi trả gốc vay khác",
	MAX(CASE WHEN bsc.TEN_COT=N'Năm nay' AND bsh.MA_HANG = '65' THEN CAST(gt.GIA_TRI AS VARCHAR2(4000)) END) AS "5. Tiền chi trả nợ gốc thuê tài chính",
	MAX(CASE WHEN bsc.TEN_COT=N'Năm nay' AND bsh.MA_HANG = '66' THEN CAST(gt.GIA_TRI AS VARCHAR2(4000)) END) AS "6. Cổ tức, lợi nhuận đã trả cho chủ sở hữu",
	MAX(CASE WHEN bsc.TEN_COT=N'Năm nay' AND bsh.MA_HANG = '67' THEN CAST(gt.GIA_TRI AS VARCHAR2(4000)) END) AS "Lưu chuyển tiền thuần từ hoạt động tài chính",
	MAX(CASE WHEN bsc.TEN_COT=N'Năm nay' AND bsh.MA_HANG = '68' THEN CAST(gt.GIA_TRI AS VARCHAR2(4000)) END) AS "IV. Tăng/giảm tiền thuần trong kỳ",
	MAX(CASE WHEN bsc.TEN_COT=N'Năm nay' AND bsh.MA_HANG = '69' THEN CAST(gt.GIA_TRI AS VARCHAR2(4000)) END) AS "V. Tiền và các khoản tương đương tiền đầu kỳ",
	MAX(CASE WHEN bsc.TEN_COT=N'Năm nay' AND bsh.MA_HANG = '70' THEN CAST(gt.GIA_TRI AS VARCHAR2(4000)) END) AS "Tiền - Đầu kỳ",
	MAX(CASE WHEN bsc.TEN_COT=N'Năm nay' AND bsh.MA_HANG = '71' THEN CAST(gt.GIA_TRI AS VARCHAR2(4000)) END) AS "Các khoản tương đương tiền - Đầu kỳ",
	MAX(CASE WHEN bsc.TEN_COT=N'Năm nay' AND bsh.MA_HANG = '72' THEN CAST(gt.GIA_TRI AS VARCHAR2(4000)) END) AS "Ảnh hưởng của thay đổi tỷ giá hối đoái quy đổi ngoại tệ - Đầu kỳ",
	MAX(CASE WHEN bsc.TEN_COT=N'Năm nay' AND bsh.MA_HANG = '73' THEN CAST(gt.GIA_TRI AS VARCHAR2(4000)) END) AS "VI. Tiền và các khoản tương đương tiền cuối kỳ",
	MAX(CASE WHEN bsc.TEN_COT=N'Năm nay' AND bsh.MA_HANG = '74' THEN CAST(gt.GIA_TRI AS VARCHAR2(4000)) END) AS "Tiền - Cuối kỳ",
	MAX(CASE WHEN bsc.TEN_COT=N'Năm nay' AND bsh.MA_HANG = '75' THEN CAST(gt.GIA_TRI AS VARCHAR2(4000)) END) AS "Các khoản tương đương tiền - Cuối kỳ",
	MAX(CASE WHEN bsc.TEN_COT=N'Năm nay' AND bsh.MA_HANG = '76' THEN CAST(gt.GIA_TRI AS VARCHAR2(4000)) END) AS "Ảnh hưởng của thay đổi tỷ giá hối đoái quy đổi ngoại tệ - Cuối kỳ",	    
    -- Năm trước
	MAX(CASE WHEN bsc.TEN_COT=N'Năm trước' AND bsh.MA_HANG = '2' THEN CAST(gt.GIA_TRI AS VARCHAR2(4000)) END) AS "I. Lưu chuyển tiền từ hoạt động kinh doanh",
	MAX(CASE WHEN bsc.TEN_COT=N'Năm trước' AND bsh.MA_HANG = '3' THEN CAST(gt.GIA_TRI AS VARCHAR2(4000)) END) AS "1. Lợi nhuận trước Thuế Thu nhập doanh nghiệp",
	MAX(CASE WHEN bsc.TEN_COT=N'Năm trước' AND bsh.MA_HANG = '4' THEN CAST(gt.GIA_TRI AS VARCHAR2(4000)) END) AS "2. Điều chỉnh cho các khoản",
	MAX(CASE WHEN bsc.TEN_COT=N'Năm trước' AND bsh.MA_HANG = '5' THEN CAST(gt.GIA_TRI AS VARCHAR2(4000)) END) AS "Khấu hao TSCĐ",
	MAX(CASE WHEN bsc.TEN_COT=N'Năm trước' AND bsh.MA_HANG = '6' THEN CAST(gt.GIA_TRI AS VARCHAR2(4000)) END) AS "Các khoản dự phòng",
	MAX(CASE WHEN bsc.TEN_COT=N'Năm trước' AND bsh.MA_HANG = '7' THEN CAST(gt.GIA_TRI AS VARCHAR2(4000)) END) AS "(- Lãi) hoặc (+ lỗ) chênh lệch tỷ giá hối đoái chưa thực hiện",
	MAX(CASE WHEN bsc.TEN_COT=N'Năm trước' AND bsh.MA_HANG = '8' THEN CAST(gt.GIA_TRI AS VARCHAR2(4000)) END) AS "Chi phí lãi vay",
	MAX(CASE WHEN bsc.TEN_COT=N'Năm trước' AND bsh.MA_HANG = '9' THEN CAST(gt.GIA_TRI AS VARCHAR2(4000)) END) AS "Lãi, lỗ từ hoạt động đầu tư",
	MAX(CASE WHEN bsc.TEN_COT=N'Năm trước' AND bsh.MA_HANG = '10' THEN CAST(gt.GIA_TRI AS VARCHAR2(4000)) END) AS "Dự thu tiền lãi", 
	MAX(CASE WHEN bsc.TEN_COT=N'Năm trước' AND bsh.MA_HANG = '11' THEN CAST(gt.GIA_TRI AS VARCHAR2(4000)) END) AS "Các khoản điều chỉnh khác",
	MAX(CASE WHEN bsc.TEN_COT=N'Năm trước' AND bsh.MA_HANG = '12' THEN CAST(gt.GIA_TRI AS VARCHAR2(4000)) END) AS "3. Tăng các chi phí phi tiền tệ",
	MAX(CASE WHEN bsc.TEN_COT=N'Năm trước' AND bsh.MA_HANG = '13' THEN CAST(gt.GIA_TRI AS VARCHAR2(4000)) END) AS "Lỗ đánh giá lại giá trị các tài sản tài chính ghi nhận thông qua lãi/lỗ FVTPL",
	MAX(CASE WHEN bsc.TEN_COT=N'Năm trước' AND bsh.MA_HANG = '14' THEN CAST(gt.GIA_TRI AS VARCHAR2(4000)) END) AS "Lỗ suy giảm giá trị Các khoản đầu tư nắm giữ đến ngày đáo hạn (HTM)",
	MAX(CASE WHEN bsc.TEN_COT=N'Năm trước' AND bsh.MA_HANG = '15' THEN CAST(gt.GIA_TRI AS VARCHAR2(4000)) END) AS "Lỗ suy giảm giá trị Các khoản cho vay",
	MAX(CASE WHEN bsc.TEN_COT=N'Năm trước' AND bsh.MA_HANG = '16' THEN CAST(gt.GIA_TRI AS VARCHAR2(4000)) END) AS "Lỗ về ghi nhận chênh lệch đánh giá theo giá trị hợp lý TSTC sẵn sàng để bán AFS khi phân loại lại",
	MAX(CASE WHEN bsc.TEN_COT=N'Năm trước' AND bsh.MA_HANG = '17' THEN CAST(gt.GIA_TRI AS VARCHAR2(4000)) END) AS "Suy giảm giá trị của các tài sản cố định, BĐSĐT",
	MAX(CASE WHEN bsc.TEN_COT=N'Năm trước' AND bsh.MA_HANG = '18' THEN CAST(gt.GIA_TRI AS VARCHAR2(4000)) END) AS "Chi phí dự phòng suy giảm giá trị các khoản đầu tư tài chính dài hạn",
	MAX(CASE WHEN bsc.TEN_COT=N'Năm trước' AND bsh.MA_HANG = '19' THEN CAST(gt.GIA_TRI AS VARCHAR2(4000)) END) AS "Lỗ khác",
	MAX(CASE WHEN bsc.TEN_COT=N'Năm trước' AND bsh.MA_HANG = '20' THEN CAST(gt.GIA_TRI AS VARCHAR2(4000)) END) AS "4. Giảm các doanh thu phi tiền tệ",
	MAX(CASE WHEN bsc.TEN_COT=N'Năm trước' AND bsh.MA_HANG = '21' THEN CAST(gt.GIA_TRI AS VARCHAR2(4000)) END) AS "Lãi đánh giá lại giá trị các tài sản tài chính ghi nhận thông qua lãi/lỗ FVTPL",
	MAX(CASE WHEN bsc.TEN_COT=N'Năm trước' AND bsh.MA_HANG = '22' THEN CAST(gt.GIA_TRI AS VARCHAR2(4000)) END) AS "Lãi về ghi nhận chênh lệch đánh giá theo giá trị hợp lý TSTC sẵn sàng để bán (AFS) khi phân loại lại",
	MAX(CASE WHEN bsc.TEN_COT=N'Năm trước' AND bsh.MA_HANG = '23' THEN CAST(gt.GIA_TRI AS VARCHAR2(4000)) END) AS "Lãi khác",
	MAX(CASE WHEN bsc.TEN_COT=N'Năm trước' AND bsh.MA_HANG = '24' THEN CAST(gt.GIA_TRI AS VARCHAR2(4000)) END) AS "5. Lợi nhuận từ hoạt động kinh doanh trước thay đổi vốn lưu động",
	MAX(CASE WHEN bsc.TEN_COT=N'Năm trước' AND bsh.MA_HANG = '25' THEN CAST(gt.GIA_TRI AS VARCHAR2(4000)) END) AS "Tăng (giảm) tài sản tài chính ghi nhận thông qua lãi/lỗ FVTPL",
	MAX(CASE WHEN bsc.TEN_COT=N'Năm trước' AND bsh.MA_HANG = '26' THEN CAST(gt.GIA_TRI AS VARCHAR2(4000)) END) AS "Tăng (giảm) Các khoản đầu tư nắm giữ đến ngày đáo hạn (HTM)",
	MAX(CASE WHEN bsc.TEN_COT=N'Năm trước' AND bsh.MA_HANG = '27' THEN CAST(gt.GIA_TRI AS VARCHAR2(4000)) END) AS "Tăng (giảm) Các khoản cho vay", 
	MAX(CASE WHEN bsc.TEN_COT=N'Năm trước' AND bsh.MA_HANG = '28' THEN CAST(gt.GIA_TRI AS VARCHAR2(4000)) END) AS "Tăng (giảm) tài sản tài chính sẵn sàng để bán AFS",
	MAX(CASE WHEN bsc.TEN_COT=N'Năm trước' AND bsh.MA_HANG = '29' THEN CAST(gt.GIA_TRI AS VARCHAR2(4000)) END) AS "(-) Tăng, (+) giảm phải thu bán các tài sản tài chính",
	MAX(CASE WHEN bsc.TEN_COT=N'Năm trước' AND bsh.MA_HANG = '30' THEN CAST(gt.GIA_TRI AS VARCHAR2(4000)) END) AS "(-) Tăng, (+) giảm phải thu và dự thu cổ tức, tiền lãi các tài sản tài chính",
	MAX(CASE WHEN bsc.TEN_COT=N'Năm trước' AND bsh.MA_HANG = '31' THEN CAST(gt.GIA_TRI AS VARCHAR2(4000)) END) AS "(-) Tăng, (+) giảm các khoản phải thu các dịch vụ CTCK cung cấp",
	MAX(CASE WHEN bsc.TEN_COT=N'Năm trước' AND bsh.MA_HANG = '32' THEN CAST(gt.GIA_TRI AS VARCHAR2(4000)) END) AS "(-) Tăng, (+) giảm các khoản phải thu về lỗi giao dịch các TSTC",
	MAX(CASE WHEN bsc.TEN_COT=N'Năm trước' AND bsh.MA_HANG = '33' THEN CAST(gt.GIA_TRI AS VARCHAR2(4000)) END) AS "(-) Tăng, (+) giảm các khoản phải thu khác",
	MAX(CASE WHEN bsc.TEN_COT=N'Năm trước' AND bsh.MA_HANG = '34' THEN CAST(gt.GIA_TRI AS VARCHAR2(4000)) END) AS "Tăng (giảm) các tài sản khác",
	MAX(CASE WHEN bsc.TEN_COT=N'Năm trước' AND bsh.MA_HANG = '35' THEN CAST(gt.GIA_TRI AS VARCHAR2(4000)) END) AS "Tăng (giảm) chi phí phải trả (không bao gồm chi phí lãi vay)",
	MAX(CASE WHEN bsc.TEN_COT=N'Năm trước' AND bsh.MA_HANG = '36' THEN CAST(gt.GIA_TRI AS VARCHAR2(4000)) END) AS "Tăng (giảm)  chi phí trả trước",
	MAX(CASE WHEN bsc.TEN_COT=N'Năm trước' AND bsh.MA_HANG = '37' THEN CAST(gt.GIA_TRI AS VARCHAR2(4000)) END) AS "(-) Thuế TNDN đã nộp",
	MAX(CASE WHEN bsc.TEN_COT=N'Năm trước' AND bsh.MA_HANG = '38' THEN CAST(gt.GIA_TRI AS VARCHAR2(4000)) END) AS "(-) Lãi vay đã trả",
	MAX(CASE WHEN bsc.TEN_COT=N'Năm trước' AND bsh.MA_HANG = '39' THEN CAST(gt.GIA_TRI AS VARCHAR2(4000)) END) AS "Tăng (giảm) phải trả cho người bán",
	MAX(CASE WHEN bsc.TEN_COT=N'Năm trước' AND bsh.MA_HANG = '40' THEN CAST(gt.GIA_TRI AS VARCHAR2(4000)) END) AS "Tăng (giảm) các khoản trích nộp phúc lợi nhân viên",
	MAX(CASE WHEN bsc.TEN_COT=N'Năm trước' AND bsh.MA_HANG = '41' THEN CAST(gt.GIA_TRI AS VARCHAR2(4000)) END) AS "Tăng (giảm) thuế và các khoản phải nộp Nhà nước (Không bao gồm thuế TNDN đã nộp)",
	MAX(CASE WHEN bsc.TEN_COT=N'Năm trước' AND bsh.MA_HANG = '42' THEN CAST(gt.GIA_TRI AS VARCHAR2(4000)) END) AS "Tăng (giảm) phải trả người lao động",
	MAX(CASE WHEN bsc.TEN_COT=N'Năm trước' AND bsh.MA_HANG = '43' THEN CAST(gt.GIA_TRI AS VARCHAR2(4000)) END) AS "Tăng (giảm) phải trả về lỗi giao dịch các TSTC",
	MAX(CASE WHEN bsc.TEN_COT=N'Năm trước' AND bsh.MA_HANG = '44' THEN CAST(gt.GIA_TRI AS VARCHAR2(4000)) END) AS "Tăng (giảm) phải trả, phải nộp khác",
	MAX(CASE WHEN bsc.TEN_COT=N'Năm trước' AND bsh.MA_HANG = '45' THEN CAST(gt.GIA_TRI AS VARCHAR2(4000)) END) AS "Tiền thu khác từ hoạt động kinh doanh",
	MAX(CASE WHEN bsc.TEN_COT=N'Năm trước' AND bsh.MA_HANG = '46' THEN CAST(gt.GIA_TRI AS VARCHAR2(4000)) END) AS "Tiền chi khác cho hoạt động kinh doanh",
	MAX(CASE WHEN bsc.TEN_COT=N'Năm trước' AND bsh.MA_HANG = '47' THEN CAST(gt.GIA_TRI AS VARCHAR2(4000)) END) AS "Lưu chuyển tiền thuần từ hoạt động kinh doanh",
	MAX(CASE WHEN bsc.TEN_COT=N'Năm trước' AND bsh.MA_HANG = '48' THEN CAST(gt.GIA_TRI AS VARCHAR2(4000)) END) AS "II. Lưu chuyển tiền từ hoạt động đầu tư",
	MAX(CASE WHEN bsc.TEN_COT=N'Năm trước' AND bsh.MA_HANG = '49' THEN CAST(gt.GIA_TRI AS VARCHAR2(4000)) END) AS "1. Tiền chi để mua sắm, xây dựng TSCĐ, BĐSĐT và các tài sản khác",
	MAX(CASE WHEN bsc.TEN_COT=N'Năm trước' AND bsh.MA_HANG = '50' THEN CAST(gt.GIA_TRI AS VARCHAR2(4000)) END) AS "2. Tiền thu từ thanh lý, nhượng bán TSCĐ, BĐSĐT và các tài sản khác",
	MAX(CASE WHEN bsc.TEN_COT=N'Năm trước' AND bsh.MA_HANG = '51' THEN CAST(gt.GIA_TRI AS VARCHAR2(4000)) END) AS "3. Tiền chi đầu tư vốn vào công ty con, công ty liên doanh, liên kết và đầu tư khác",
	MAX(CASE WHEN bsc.TEN_COT=N'Năm trước' AND bsh.MA_HANG = '52' THEN CAST(gt.GIA_TRI AS VARCHAR2(4000)) END) AS "4. Tiền thu hồi các khoản đầu tư vào công ty con, công ty liên doanh, liên kết và đầu tư khác",
	MAX(CASE WHEN bsc.TEN_COT=N'Năm trước' AND bsh.MA_HANG = '53' THEN CAST(gt.GIA_TRI AS VARCHAR2(4000)) END) AS "5. Tiền thu về cổ tức và lợi nhuận được chia từ các khoản đầu tư tài chính dài hạn",
	MAX(CASE WHEN bsc.TEN_COT=N'Năm trước' AND bsh.MA_HANG = '54' THEN CAST(gt.GIA_TRI AS VARCHAR2(4000)) END) AS "Lưu chuyển tiền thuần từ hoạt động đầu tư",
	MAX(CASE WHEN bsc.TEN_COT=N'Năm trước' AND bsh.MA_HANG = '55' T</t>
        </is>
      </c>
      <c r="U2191" s="16" t="n"/>
      <c r="V2191" s="22" t="n"/>
      <c r="W2191" s="22" t="n"/>
      <c r="X2191" s="22" t="n"/>
      <c r="Y2191" s="395" t="n"/>
      <c r="Z2191" s="22" t="n"/>
      <c r="AA2191" s="22" t="n"/>
      <c r="AB2191" s="22" t="n"/>
      <c r="AC2191" s="22" t="n"/>
      <c r="AD2191" s="22" t="n"/>
      <c r="AE2191" s="22" t="n"/>
    </row>
    <row r="2192" ht="70" customHeight="1" s="380">
      <c r="A2192" s="126" t="n">
        <v>98</v>
      </c>
      <c r="B2192" s="390" t="n"/>
      <c r="C2192" s="390" t="inlineStr">
        <is>
          <t>Báo cáo theo Thông tư 121/2020/TT-BTC &gt;&gt; Báo báo tài chính &gt;&gt; Báo cáo lưu chuyển tiền tệ riêng_06613</t>
        </is>
      </c>
      <c r="D2192" s="132" t="inlineStr">
        <is>
          <t>1. Lợi nhuận trước Thuế Thu nhập doanh nghiệp</t>
        </is>
      </c>
      <c r="E2192" s="132" t="n">
        <v>1</v>
      </c>
      <c r="F2192" s="390" t="inlineStr">
        <is>
          <t>Data Explorer</t>
        </is>
      </c>
      <c r="G2192" s="390" t="inlineStr">
        <is>
          <t>Chỉ tiêu cơ sở</t>
        </is>
      </c>
      <c r="H2192" s="390" t="inlineStr">
        <is>
          <t>Dễ</t>
        </is>
      </c>
      <c r="I2192" s="390" t="inlineStr">
        <is>
          <t>Ngày, CTCK</t>
        </is>
      </c>
      <c r="J2192" s="401" t="inlineStr">
        <is>
          <t>SCMS</t>
        </is>
      </c>
      <c r="K2192" s="401" t="n"/>
      <c r="L2192" s="401" t="inlineStr">
        <is>
          <t>X</t>
        </is>
      </c>
      <c r="M2192" s="401" t="n"/>
      <c r="N2192" s="401" t="inlineStr">
        <is>
          <t>Done</t>
        </is>
      </c>
      <c r="O2192" s="401" t="n"/>
      <c r="P2192" s="22" t="n"/>
      <c r="S2192" s="22" t="n"/>
      <c r="U2192" s="16" t="n"/>
      <c r="V2192" s="22" t="n"/>
      <c r="W2192" s="22" t="n"/>
      <c r="X2192" s="22" t="n"/>
      <c r="Y2192" s="395" t="n"/>
      <c r="Z2192" s="22" t="n"/>
      <c r="AA2192" s="22" t="n"/>
      <c r="AB2192" s="22" t="n"/>
      <c r="AC2192" s="22" t="n"/>
      <c r="AD2192" s="22" t="n"/>
      <c r="AE2192" s="22" t="n"/>
    </row>
    <row r="2193" ht="70" customHeight="1" s="380">
      <c r="A2193" s="126" t="n">
        <v>98</v>
      </c>
      <c r="B2193" s="390" t="n"/>
      <c r="C2193" s="390" t="inlineStr">
        <is>
          <t>Báo cáo theo Thông tư 121/2020/TT-BTC &gt;&gt; Báo báo tài chính &gt;&gt; Báo cáo lưu chuyển tiền tệ riêng_06613</t>
        </is>
      </c>
      <c r="D2193" s="132" t="inlineStr">
        <is>
          <t xml:space="preserve">2. Điều chỉnh cho các khoản: </t>
        </is>
      </c>
      <c r="E2193" s="132" t="n">
        <v>2</v>
      </c>
      <c r="F2193" s="390" t="inlineStr">
        <is>
          <t>Data Explorer</t>
        </is>
      </c>
      <c r="G2193" s="390" t="inlineStr">
        <is>
          <t>Chỉ tiêu cơ sở</t>
        </is>
      </c>
      <c r="H2193" s="390" t="inlineStr">
        <is>
          <t>Dễ</t>
        </is>
      </c>
      <c r="I2193" s="390" t="inlineStr">
        <is>
          <t>Ngày, CTCK</t>
        </is>
      </c>
      <c r="J2193" s="401" t="inlineStr">
        <is>
          <t>SCMS</t>
        </is>
      </c>
      <c r="K2193" s="401" t="n"/>
      <c r="L2193" s="401" t="inlineStr">
        <is>
          <t>X</t>
        </is>
      </c>
      <c r="M2193" s="401" t="n"/>
      <c r="N2193" s="401" t="inlineStr">
        <is>
          <t>Done</t>
        </is>
      </c>
      <c r="O2193" s="401" t="n"/>
      <c r="P2193" s="22" t="n"/>
      <c r="S2193" s="22" t="n"/>
      <c r="U2193" s="16" t="n"/>
      <c r="V2193" s="22" t="n"/>
      <c r="W2193" s="22" t="n"/>
      <c r="X2193" s="22" t="n"/>
      <c r="Y2193" s="395" t="n"/>
      <c r="Z2193" s="22" t="n"/>
      <c r="AA2193" s="22" t="n"/>
      <c r="AB2193" s="22" t="n"/>
      <c r="AC2193" s="22" t="n"/>
      <c r="AD2193" s="22" t="n"/>
      <c r="AE2193" s="22" t="n"/>
    </row>
    <row r="2194" ht="70" customHeight="1" s="380">
      <c r="A2194" s="126" t="n">
        <v>98</v>
      </c>
      <c r="B2194" s="390" t="n"/>
      <c r="C2194" s="390" t="inlineStr">
        <is>
          <t>Báo cáo theo Thông tư 121/2020/TT-BTC &gt;&gt; Báo báo tài chính &gt;&gt; Báo cáo lưu chuyển tiền tệ riêng_06613</t>
        </is>
      </c>
      <c r="D2194" s="390" t="inlineStr">
        <is>
          <t>- Khấu hao TSCĐ</t>
        </is>
      </c>
      <c r="E2194" s="390" t="n">
        <v>3</v>
      </c>
      <c r="F2194" s="390" t="inlineStr">
        <is>
          <t>Data Explorer</t>
        </is>
      </c>
      <c r="G2194" s="390" t="inlineStr">
        <is>
          <t>Chỉ tiêu cơ sở</t>
        </is>
      </c>
      <c r="H2194" s="390" t="inlineStr">
        <is>
          <t>Dễ</t>
        </is>
      </c>
      <c r="I2194" s="390" t="inlineStr">
        <is>
          <t>Ngày, CTCK</t>
        </is>
      </c>
      <c r="J2194" s="401" t="inlineStr">
        <is>
          <t>SCMS</t>
        </is>
      </c>
      <c r="K2194" s="401" t="n"/>
      <c r="L2194" s="401" t="inlineStr">
        <is>
          <t>X</t>
        </is>
      </c>
      <c r="M2194" s="401" t="n"/>
      <c r="N2194" s="401" t="inlineStr">
        <is>
          <t>Done</t>
        </is>
      </c>
      <c r="O2194" s="401" t="n"/>
      <c r="P2194" s="22" t="n"/>
      <c r="S2194" s="22" t="n"/>
      <c r="U2194" s="16" t="n"/>
      <c r="V2194" s="22" t="n"/>
      <c r="W2194" s="22" t="n"/>
      <c r="X2194" s="22" t="n"/>
      <c r="Y2194" s="395" t="n"/>
      <c r="Z2194" s="22" t="n"/>
      <c r="AA2194" s="22" t="n"/>
      <c r="AB2194" s="22" t="n"/>
      <c r="AC2194" s="22" t="n"/>
      <c r="AD2194" s="22" t="n"/>
      <c r="AE2194" s="22" t="n"/>
    </row>
    <row r="2195" ht="70" customHeight="1" s="380">
      <c r="A2195" s="126" t="n">
        <v>98</v>
      </c>
      <c r="B2195" s="390" t="n"/>
      <c r="C2195" s="390" t="inlineStr">
        <is>
          <t>Báo cáo theo Thông tư 121/2020/TT-BTC &gt;&gt; Báo báo tài chính &gt;&gt; Báo cáo lưu chuyển tiền tệ riêng_06613</t>
        </is>
      </c>
      <c r="D2195" s="390" t="inlineStr">
        <is>
          <t>- Các khoản dự phòng</t>
        </is>
      </c>
      <c r="E2195" s="390" t="n">
        <v>4</v>
      </c>
      <c r="F2195" s="390" t="inlineStr">
        <is>
          <t>Data Explorer</t>
        </is>
      </c>
      <c r="G2195" s="390" t="inlineStr">
        <is>
          <t>Chỉ tiêu cơ sở</t>
        </is>
      </c>
      <c r="H2195" s="390" t="inlineStr">
        <is>
          <t>Dễ</t>
        </is>
      </c>
      <c r="I2195" s="390" t="inlineStr">
        <is>
          <t>Ngày, CTCK</t>
        </is>
      </c>
      <c r="J2195" s="401" t="inlineStr">
        <is>
          <t>SCMS</t>
        </is>
      </c>
      <c r="K2195" s="401" t="n"/>
      <c r="L2195" s="401" t="inlineStr">
        <is>
          <t>X</t>
        </is>
      </c>
      <c r="M2195" s="401" t="n"/>
      <c r="N2195" s="401" t="inlineStr">
        <is>
          <t>Done</t>
        </is>
      </c>
      <c r="O2195" s="401" t="n"/>
      <c r="P2195" s="22" t="n"/>
      <c r="S2195" s="22" t="n"/>
      <c r="U2195" s="16" t="n"/>
      <c r="V2195" s="22" t="n"/>
      <c r="W2195" s="22" t="n"/>
      <c r="X2195" s="22" t="n"/>
      <c r="Y2195" s="36" t="n"/>
      <c r="Z2195" s="22" t="n"/>
      <c r="AA2195" s="22" t="n"/>
      <c r="AB2195" s="22" t="n"/>
      <c r="AC2195" s="22" t="n"/>
      <c r="AD2195" s="22" t="n"/>
      <c r="AE2195" s="22" t="n"/>
    </row>
    <row r="2196" ht="70" customHeight="1" s="380">
      <c r="A2196" s="126" t="n">
        <v>98</v>
      </c>
      <c r="B2196" s="390" t="n"/>
      <c r="C2196" s="390" t="inlineStr">
        <is>
          <t>Báo cáo theo Thông tư 121/2020/TT-BTC &gt;&gt; Báo báo tài chính &gt;&gt; Báo cáo lưu chuyển tiền tệ riêng_06613</t>
        </is>
      </c>
      <c r="D2196" s="390" t="inlineStr">
        <is>
          <t>(- Lãi) hoặc (+ lỗ) chênh lệch tỷ giá hối đoái chưa thực hiện.</t>
        </is>
      </c>
      <c r="E2196" s="390" t="n">
        <v>5</v>
      </c>
      <c r="F2196" s="390" t="inlineStr">
        <is>
          <t>Data Explorer</t>
        </is>
      </c>
      <c r="G2196" s="390" t="inlineStr">
        <is>
          <t>Chỉ tiêu cơ sở</t>
        </is>
      </c>
      <c r="H2196" s="390" t="inlineStr">
        <is>
          <t>Dễ</t>
        </is>
      </c>
      <c r="I2196" s="390" t="inlineStr">
        <is>
          <t>Ngày, CTCK</t>
        </is>
      </c>
      <c r="J2196" s="401" t="inlineStr">
        <is>
          <t>SCMS</t>
        </is>
      </c>
      <c r="K2196" s="401" t="n"/>
      <c r="L2196" s="401" t="inlineStr">
        <is>
          <t>X</t>
        </is>
      </c>
      <c r="M2196" s="401" t="n"/>
      <c r="N2196" s="401" t="inlineStr">
        <is>
          <t>Done</t>
        </is>
      </c>
      <c r="O2196" s="401" t="n"/>
      <c r="P2196" s="22" t="n"/>
      <c r="S2196" s="22" t="n"/>
      <c r="U2196" s="16" t="n"/>
      <c r="V2196" s="22" t="n"/>
      <c r="W2196" s="22" t="n"/>
      <c r="X2196" s="22" t="n"/>
      <c r="Y2196" s="395" t="n"/>
      <c r="Z2196" s="22" t="n"/>
      <c r="AA2196" s="22" t="n"/>
      <c r="AB2196" s="22" t="n"/>
      <c r="AC2196" s="22" t="n"/>
      <c r="AD2196" s="22" t="n"/>
      <c r="AE2196" s="22" t="n"/>
    </row>
    <row r="2197" ht="70" customHeight="1" s="380">
      <c r="A2197" s="126" t="n">
        <v>98</v>
      </c>
      <c r="B2197" s="390" t="n"/>
      <c r="C2197" s="390" t="inlineStr">
        <is>
          <t>Báo cáo theo Thông tư 121/2020/TT-BTC &gt;&gt; Báo báo tài chính &gt;&gt; Báo cáo lưu chuyển tiền tệ riêng_06613</t>
        </is>
      </c>
      <c r="D2197" s="390" t="inlineStr">
        <is>
          <t>- Chi phí lãi vay</t>
        </is>
      </c>
      <c r="E2197" s="390" t="n">
        <v>6</v>
      </c>
      <c r="F2197" s="390" t="inlineStr">
        <is>
          <t>Data Explorer</t>
        </is>
      </c>
      <c r="G2197" s="390" t="inlineStr">
        <is>
          <t>Chỉ tiêu cơ sở</t>
        </is>
      </c>
      <c r="H2197" s="390" t="inlineStr">
        <is>
          <t>Dễ</t>
        </is>
      </c>
      <c r="I2197" s="390" t="inlineStr">
        <is>
          <t>Ngày, CTCK</t>
        </is>
      </c>
      <c r="J2197" s="401" t="inlineStr">
        <is>
          <t>SCMS</t>
        </is>
      </c>
      <c r="K2197" s="401" t="n"/>
      <c r="L2197" s="401" t="inlineStr">
        <is>
          <t>X</t>
        </is>
      </c>
      <c r="M2197" s="401" t="n"/>
      <c r="N2197" s="401" t="inlineStr">
        <is>
          <t>Done</t>
        </is>
      </c>
      <c r="O2197" s="401" t="n"/>
      <c r="P2197" s="22" t="n"/>
      <c r="S2197" s="22" t="n"/>
      <c r="U2197" s="16" t="n"/>
      <c r="V2197" s="22" t="n"/>
      <c r="W2197" s="22" t="n"/>
      <c r="X2197" s="22" t="n"/>
      <c r="Y2197" s="36" t="n"/>
      <c r="Z2197" s="22" t="n"/>
      <c r="AA2197" s="22" t="n"/>
      <c r="AB2197" s="22" t="n"/>
      <c r="AC2197" s="22" t="n"/>
      <c r="AD2197" s="22" t="n"/>
      <c r="AE2197" s="22" t="n"/>
    </row>
    <row r="2198" ht="70" customHeight="1" s="380">
      <c r="A2198" s="126" t="n">
        <v>98</v>
      </c>
      <c r="B2198" s="390" t="n"/>
      <c r="C2198" s="390" t="inlineStr">
        <is>
          <t>Báo cáo theo Thông tư 121/2020/TT-BTC &gt;&gt; Báo báo tài chính &gt;&gt; Báo cáo lưu chuyển tiền tệ riêng_06613</t>
        </is>
      </c>
      <c r="D2198" s="390" t="inlineStr">
        <is>
          <t xml:space="preserve">- Lãi, lỗ từ hoạt động đầu tư </t>
        </is>
      </c>
      <c r="E2198" s="390" t="n">
        <v>7</v>
      </c>
      <c r="F2198" s="390" t="inlineStr">
        <is>
          <t>Data Explorer</t>
        </is>
      </c>
      <c r="G2198" s="390" t="inlineStr">
        <is>
          <t>Chỉ tiêu cơ sở</t>
        </is>
      </c>
      <c r="H2198" s="390" t="inlineStr">
        <is>
          <t>Dễ</t>
        </is>
      </c>
      <c r="I2198" s="390" t="inlineStr">
        <is>
          <t>Ngày, CTCK</t>
        </is>
      </c>
      <c r="J2198" s="401" t="inlineStr">
        <is>
          <t>SCMS</t>
        </is>
      </c>
      <c r="K2198" s="401" t="n"/>
      <c r="L2198" s="401" t="inlineStr">
        <is>
          <t>X</t>
        </is>
      </c>
      <c r="M2198" s="401" t="n"/>
      <c r="N2198" s="401" t="inlineStr">
        <is>
          <t>Done</t>
        </is>
      </c>
      <c r="O2198" s="401" t="n"/>
      <c r="P2198" s="22" t="n"/>
      <c r="S2198" s="22" t="n"/>
      <c r="U2198" s="16" t="n"/>
      <c r="V2198" s="22" t="n"/>
      <c r="W2198" s="22" t="n"/>
      <c r="X2198" s="22" t="n"/>
      <c r="Y2198" s="395" t="n"/>
      <c r="Z2198" s="22" t="n"/>
      <c r="AA2198" s="22" t="n"/>
      <c r="AB2198" s="22" t="n"/>
      <c r="AC2198" s="22" t="n"/>
      <c r="AD2198" s="22" t="n"/>
      <c r="AE2198" s="22" t="n"/>
    </row>
    <row r="2199" ht="70" customHeight="1" s="380">
      <c r="A2199" s="126" t="n">
        <v>98</v>
      </c>
      <c r="B2199" s="390" t="n"/>
      <c r="C2199" s="390" t="inlineStr">
        <is>
          <t>Báo cáo theo Thông tư 121/2020/TT-BTC &gt;&gt; Báo báo tài chính &gt;&gt; Báo cáo lưu chuyển tiền tệ riêng_06613</t>
        </is>
      </c>
      <c r="D2199" s="390" t="inlineStr">
        <is>
          <t xml:space="preserve">- Dự thu tiền lãi </t>
        </is>
      </c>
      <c r="E2199" s="390" t="n">
        <v>8</v>
      </c>
      <c r="F2199" s="390" t="inlineStr">
        <is>
          <t>Data Explorer</t>
        </is>
      </c>
      <c r="G2199" s="390" t="inlineStr">
        <is>
          <t>Chỉ tiêu cơ sở</t>
        </is>
      </c>
      <c r="H2199" s="390" t="inlineStr">
        <is>
          <t>Dễ</t>
        </is>
      </c>
      <c r="I2199" s="390" t="inlineStr">
        <is>
          <t>Ngày, CTCK</t>
        </is>
      </c>
      <c r="J2199" s="401" t="inlineStr">
        <is>
          <t>SCMS</t>
        </is>
      </c>
      <c r="K2199" s="401" t="n"/>
      <c r="L2199" s="401" t="inlineStr">
        <is>
          <t>X</t>
        </is>
      </c>
      <c r="M2199" s="401" t="n"/>
      <c r="N2199" s="401" t="inlineStr">
        <is>
          <t>Done</t>
        </is>
      </c>
      <c r="O2199" s="401" t="n"/>
      <c r="P2199" s="22" t="n"/>
      <c r="S2199" s="22" t="n"/>
      <c r="U2199" s="16" t="n"/>
      <c r="V2199" s="22" t="n"/>
      <c r="W2199" s="22" t="n"/>
      <c r="X2199" s="22" t="n"/>
      <c r="Y2199" s="395" t="n"/>
      <c r="Z2199" s="22" t="n"/>
      <c r="AA2199" s="22" t="n"/>
      <c r="AB2199" s="22" t="n"/>
      <c r="AC2199" s="22" t="n"/>
      <c r="AD2199" s="22" t="n"/>
      <c r="AE2199" s="22" t="n"/>
    </row>
    <row r="2200" ht="70" customHeight="1" s="380">
      <c r="A2200" s="126" t="n">
        <v>98</v>
      </c>
      <c r="B2200" s="390" t="n"/>
      <c r="C2200" s="390" t="inlineStr">
        <is>
          <t>Báo cáo theo Thông tư 121/2020/TT-BTC &gt;&gt; Báo báo tài chính &gt;&gt; Báo cáo lưu chuyển tiền tệ riêng_06613</t>
        </is>
      </c>
      <c r="D2200" s="390" t="inlineStr">
        <is>
          <t xml:space="preserve">- Các khoản điều chỉnh khác </t>
        </is>
      </c>
      <c r="E2200" s="390" t="n">
        <v>9</v>
      </c>
      <c r="F2200" s="390" t="inlineStr">
        <is>
          <t>Data Explorer</t>
        </is>
      </c>
      <c r="G2200" s="390" t="inlineStr">
        <is>
          <t>Chỉ tiêu cơ sở</t>
        </is>
      </c>
      <c r="H2200" s="390" t="inlineStr">
        <is>
          <t>Dễ</t>
        </is>
      </c>
      <c r="I2200" s="390" t="inlineStr">
        <is>
          <t>Ngày, CTCK</t>
        </is>
      </c>
      <c r="J2200" s="401" t="inlineStr">
        <is>
          <t>SCMS</t>
        </is>
      </c>
      <c r="K2200" s="401" t="n"/>
      <c r="L2200" s="401" t="inlineStr">
        <is>
          <t>X</t>
        </is>
      </c>
      <c r="M2200" s="401" t="n"/>
      <c r="N2200" s="401" t="inlineStr">
        <is>
          <t>Done</t>
        </is>
      </c>
      <c r="O2200" s="401" t="n"/>
      <c r="P2200" s="22" t="n"/>
      <c r="S2200" s="22" t="n"/>
      <c r="U2200" s="16" t="n"/>
      <c r="V2200" s="22" t="n"/>
      <c r="W2200" s="22" t="n"/>
      <c r="X2200" s="22" t="n"/>
      <c r="Y2200" s="395" t="n"/>
      <c r="Z2200" s="22" t="n"/>
      <c r="AA2200" s="22" t="n"/>
      <c r="AB2200" s="22" t="n"/>
      <c r="AC2200" s="22" t="n"/>
      <c r="AD2200" s="22" t="n"/>
      <c r="AE2200" s="22" t="n"/>
    </row>
    <row r="2201" ht="70" customHeight="1" s="380">
      <c r="A2201" s="126" t="n">
        <v>98</v>
      </c>
      <c r="B2201" s="390" t="n"/>
      <c r="C2201" s="390" t="inlineStr">
        <is>
          <t>Báo cáo theo Thông tư 121/2020/TT-BTC &gt;&gt; Báo báo tài chính &gt;&gt; Báo cáo lưu chuyển tiền tệ riêng_06613</t>
        </is>
      </c>
      <c r="D2201" s="132" t="inlineStr">
        <is>
          <t>3. Tăng các chi phí phi tiền tệ</t>
        </is>
      </c>
      <c r="E2201" s="132" t="n">
        <v>10</v>
      </c>
      <c r="F2201" s="390" t="inlineStr">
        <is>
          <t>Data Explorer</t>
        </is>
      </c>
      <c r="G2201" s="390" t="inlineStr">
        <is>
          <t>Chỉ tiêu cơ sở</t>
        </is>
      </c>
      <c r="H2201" s="390" t="inlineStr">
        <is>
          <t>Dễ</t>
        </is>
      </c>
      <c r="I2201" s="390" t="inlineStr">
        <is>
          <t>Ngày, CTCK</t>
        </is>
      </c>
      <c r="J2201" s="401" t="inlineStr">
        <is>
          <t>SCMS</t>
        </is>
      </c>
      <c r="K2201" s="401" t="n"/>
      <c r="L2201" s="401" t="inlineStr">
        <is>
          <t>X</t>
        </is>
      </c>
      <c r="M2201" s="401" t="n"/>
      <c r="N2201" s="401" t="inlineStr">
        <is>
          <t>Done</t>
        </is>
      </c>
      <c r="O2201" s="401" t="n"/>
      <c r="P2201" s="22" t="n"/>
      <c r="S2201" s="22" t="n"/>
      <c r="U2201" s="16" t="n"/>
      <c r="V2201" s="22" t="n"/>
      <c r="W2201" s="22" t="n"/>
      <c r="X2201" s="22" t="n"/>
      <c r="Y2201" s="395" t="n"/>
      <c r="Z2201" s="22" t="n"/>
      <c r="AA2201" s="22" t="n"/>
      <c r="AB2201" s="22" t="n"/>
      <c r="AC2201" s="22" t="n"/>
      <c r="AD2201" s="22" t="n"/>
      <c r="AE2201" s="22" t="n"/>
    </row>
    <row r="2202" ht="70" customHeight="1" s="380">
      <c r="A2202" s="126" t="n">
        <v>98</v>
      </c>
      <c r="B2202" s="390" t="n"/>
      <c r="C2202" s="390" t="inlineStr">
        <is>
          <t>Báo cáo theo Thông tư 121/2020/TT-BTC &gt;&gt; Báo báo tài chính &gt;&gt; Báo cáo lưu chuyển tiền tệ riêng_06613</t>
        </is>
      </c>
      <c r="D2202" s="390" t="inlineStr">
        <is>
          <t>- Lỗ đánh giá lại giá trị các tài sản tài chính ghi nhận thông qua lãi/lỗ FVTPL</t>
        </is>
      </c>
      <c r="E2202" s="390" t="n">
        <v>11</v>
      </c>
      <c r="F2202" s="390" t="inlineStr">
        <is>
          <t>Data Explorer</t>
        </is>
      </c>
      <c r="G2202" s="390" t="inlineStr">
        <is>
          <t>Chỉ tiêu cơ sở</t>
        </is>
      </c>
      <c r="H2202" s="390" t="inlineStr">
        <is>
          <t>Dễ</t>
        </is>
      </c>
      <c r="I2202" s="390" t="inlineStr">
        <is>
          <t>Ngày, CTCK</t>
        </is>
      </c>
      <c r="J2202" s="401" t="inlineStr">
        <is>
          <t>SCMS</t>
        </is>
      </c>
      <c r="K2202" s="401" t="n"/>
      <c r="L2202" s="401" t="inlineStr">
        <is>
          <t>X</t>
        </is>
      </c>
      <c r="M2202" s="401" t="n"/>
      <c r="N2202" s="401" t="inlineStr">
        <is>
          <t>Done</t>
        </is>
      </c>
      <c r="O2202" s="401" t="n"/>
      <c r="P2202" s="22" t="n"/>
      <c r="S2202" s="22" t="n"/>
      <c r="U2202" s="16" t="n"/>
      <c r="V2202" s="22" t="n"/>
      <c r="W2202" s="22" t="n"/>
      <c r="X2202" s="22" t="n"/>
      <c r="Y2202" s="36" t="n"/>
      <c r="Z2202" s="22" t="n"/>
      <c r="AA2202" s="22" t="n"/>
      <c r="AB2202" s="22" t="n"/>
      <c r="AC2202" s="22" t="n"/>
      <c r="AD2202" s="22" t="n"/>
      <c r="AE2202" s="22" t="n"/>
    </row>
    <row r="2203" ht="70" customHeight="1" s="380">
      <c r="A2203" s="126" t="n">
        <v>98</v>
      </c>
      <c r="B2203" s="390" t="n"/>
      <c r="C2203" s="390" t="inlineStr">
        <is>
          <t>Báo cáo theo Thông tư 121/2020/TT-BTC &gt;&gt; Báo báo tài chính &gt;&gt; Báo cáo lưu chuyển tiền tệ riêng_06613</t>
        </is>
      </c>
      <c r="D2203" s="390" t="inlineStr">
        <is>
          <t>- Lỗ suy giảm giá trị Các khoản đầu tư nắm giữ đến ngày đáo hạn (HTM)</t>
        </is>
      </c>
      <c r="E2203" s="390" t="n">
        <v>12</v>
      </c>
      <c r="F2203" s="390" t="inlineStr">
        <is>
          <t>Data Explorer</t>
        </is>
      </c>
      <c r="G2203" s="390" t="inlineStr">
        <is>
          <t>Chỉ tiêu cơ sở</t>
        </is>
      </c>
      <c r="H2203" s="390" t="inlineStr">
        <is>
          <t>Dễ</t>
        </is>
      </c>
      <c r="I2203" s="390" t="inlineStr">
        <is>
          <t>Ngày, CTCK</t>
        </is>
      </c>
      <c r="J2203" s="401" t="inlineStr">
        <is>
          <t>SCMS</t>
        </is>
      </c>
      <c r="K2203" s="401" t="n"/>
      <c r="L2203" s="401" t="inlineStr">
        <is>
          <t>X</t>
        </is>
      </c>
      <c r="M2203" s="401" t="n"/>
      <c r="N2203" s="401" t="inlineStr">
        <is>
          <t>Done</t>
        </is>
      </c>
      <c r="O2203" s="401" t="n"/>
      <c r="P2203" s="22" t="n"/>
      <c r="S2203" s="22" t="n"/>
      <c r="U2203" s="16" t="n"/>
      <c r="V2203" s="22" t="n"/>
      <c r="W2203" s="22" t="n"/>
      <c r="X2203" s="22" t="n"/>
      <c r="Y2203" s="37" t="n"/>
      <c r="Z2203" s="22" t="n"/>
      <c r="AA2203" s="22" t="n"/>
      <c r="AB2203" s="22" t="n"/>
      <c r="AC2203" s="22" t="n"/>
      <c r="AD2203" s="22" t="n"/>
      <c r="AE2203" s="22" t="n"/>
    </row>
    <row r="2204" ht="70" customHeight="1" s="380">
      <c r="A2204" s="126" t="n">
        <v>98</v>
      </c>
      <c r="B2204" s="390" t="n"/>
      <c r="C2204" s="390" t="inlineStr">
        <is>
          <t>Báo cáo theo Thông tư 121/2020/TT-BTC &gt;&gt; Báo báo tài chính &gt;&gt; Báo cáo lưu chuyển tiền tệ riêng_06613</t>
        </is>
      </c>
      <c r="D2204" s="390" t="inlineStr">
        <is>
          <t>- Lỗ suy giảm giá trị Các khoản cho vay</t>
        </is>
      </c>
      <c r="E2204" s="390" t="n">
        <v>13</v>
      </c>
      <c r="F2204" s="390" t="inlineStr">
        <is>
          <t>Data Explorer</t>
        </is>
      </c>
      <c r="G2204" s="390" t="inlineStr">
        <is>
          <t>Chỉ tiêu cơ sở</t>
        </is>
      </c>
      <c r="H2204" s="390" t="inlineStr">
        <is>
          <t>Dễ</t>
        </is>
      </c>
      <c r="I2204" s="390" t="inlineStr">
        <is>
          <t>Ngày, CTCK</t>
        </is>
      </c>
      <c r="J2204" s="401" t="inlineStr">
        <is>
          <t>SCMS</t>
        </is>
      </c>
      <c r="K2204" s="401" t="n"/>
      <c r="L2204" s="401" t="inlineStr">
        <is>
          <t>X</t>
        </is>
      </c>
      <c r="M2204" s="401" t="n"/>
      <c r="N2204" s="401" t="inlineStr">
        <is>
          <t>Done</t>
        </is>
      </c>
      <c r="O2204" s="401" t="n"/>
      <c r="P2204" s="22" t="n"/>
      <c r="S2204" s="22" t="n"/>
      <c r="U2204" s="16" t="n"/>
      <c r="V2204" s="22" t="n"/>
      <c r="W2204" s="22" t="n"/>
      <c r="X2204" s="22" t="n"/>
      <c r="Y2204" s="395" t="n"/>
      <c r="Z2204" s="22" t="n"/>
      <c r="AA2204" s="22" t="n"/>
      <c r="AB2204" s="22" t="n"/>
      <c r="AC2204" s="22" t="n"/>
      <c r="AD2204" s="22" t="n"/>
      <c r="AE2204" s="22" t="n"/>
    </row>
    <row r="2205" ht="70" customHeight="1" s="380">
      <c r="A2205" s="126" t="n">
        <v>98</v>
      </c>
      <c r="B2205" s="390" t="n"/>
      <c r="C2205" s="390" t="inlineStr">
        <is>
          <t>Báo cáo theo Thông tư 121/2020/TT-BTC &gt;&gt; Báo báo tài chính &gt;&gt; Báo cáo lưu chuyển tiền tệ riêng_06613</t>
        </is>
      </c>
      <c r="D2205" s="390" t="inlineStr">
        <is>
          <t>- Lỗ về ghi nhận chênh lệch đánh giá theo giá trị hợp lý TSTC sẵn sàng để bán AFS khi phân loại lại</t>
        </is>
      </c>
      <c r="E2205" s="390" t="n">
        <v>14</v>
      </c>
      <c r="F2205" s="390" t="inlineStr">
        <is>
          <t>Data Explorer</t>
        </is>
      </c>
      <c r="G2205" s="390" t="inlineStr">
        <is>
          <t>Chỉ tiêu cơ sở</t>
        </is>
      </c>
      <c r="H2205" s="390" t="inlineStr">
        <is>
          <t>Dễ</t>
        </is>
      </c>
      <c r="I2205" s="390" t="inlineStr">
        <is>
          <t>Ngày, CTCK</t>
        </is>
      </c>
      <c r="J2205" s="401" t="inlineStr">
        <is>
          <t>SCMS</t>
        </is>
      </c>
      <c r="K2205" s="401" t="n"/>
      <c r="L2205" s="401" t="inlineStr">
        <is>
          <t>X</t>
        </is>
      </c>
      <c r="M2205" s="401" t="n"/>
      <c r="N2205" s="401" t="inlineStr">
        <is>
          <t>Done</t>
        </is>
      </c>
      <c r="O2205" s="401" t="n"/>
      <c r="P2205" s="22" t="n"/>
      <c r="S2205" s="22" t="n"/>
      <c r="U2205" s="16" t="n"/>
      <c r="V2205" s="22" t="n"/>
      <c r="W2205" s="22" t="n"/>
      <c r="X2205" s="22" t="n"/>
      <c r="Y2205" s="395" t="n"/>
      <c r="Z2205" s="22" t="n"/>
      <c r="AA2205" s="22" t="n"/>
      <c r="AB2205" s="22" t="n"/>
      <c r="AC2205" s="22" t="n"/>
      <c r="AD2205" s="22" t="n"/>
      <c r="AE2205" s="22" t="n"/>
    </row>
    <row r="2206" ht="70" customHeight="1" s="380">
      <c r="A2206" s="126" t="n">
        <v>98</v>
      </c>
      <c r="B2206" s="390" t="n"/>
      <c r="C2206" s="390" t="inlineStr">
        <is>
          <t>Báo cáo theo Thông tư 121/2020/TT-BTC &gt;&gt; Báo báo tài chính &gt;&gt; Báo cáo lưu chuyển tiền tệ riêng_06613</t>
        </is>
      </c>
      <c r="D2206" s="390" t="inlineStr">
        <is>
          <t xml:space="preserve">- Suy giảm giá trị của các tài sản cố định, BĐSĐT </t>
        </is>
      </c>
      <c r="E2206" s="390" t="n">
        <v>15</v>
      </c>
      <c r="F2206" s="390" t="inlineStr">
        <is>
          <t>Data Explorer</t>
        </is>
      </c>
      <c r="G2206" s="390" t="inlineStr">
        <is>
          <t>Chỉ tiêu cơ sở</t>
        </is>
      </c>
      <c r="H2206" s="390" t="inlineStr">
        <is>
          <t>Dễ</t>
        </is>
      </c>
      <c r="I2206" s="390" t="inlineStr">
        <is>
          <t>Ngày, CTCK</t>
        </is>
      </c>
      <c r="J2206" s="401" t="inlineStr">
        <is>
          <t>SCMS</t>
        </is>
      </c>
      <c r="K2206" s="401" t="n"/>
      <c r="L2206" s="401" t="inlineStr">
        <is>
          <t>X</t>
        </is>
      </c>
      <c r="M2206" s="401" t="n"/>
      <c r="N2206" s="401" t="inlineStr">
        <is>
          <t>Done</t>
        </is>
      </c>
      <c r="O2206" s="401" t="n"/>
      <c r="P2206" s="22" t="n"/>
      <c r="S2206" s="22" t="n"/>
      <c r="U2206" s="16" t="n"/>
      <c r="V2206" s="22" t="n"/>
      <c r="W2206" s="22" t="n"/>
      <c r="X2206" s="22" t="n"/>
      <c r="Y2206" s="395" t="n"/>
      <c r="Z2206" s="22" t="n"/>
      <c r="AA2206" s="22" t="n"/>
      <c r="AB2206" s="22" t="n"/>
      <c r="AC2206" s="22" t="n"/>
      <c r="AD2206" s="22" t="n"/>
      <c r="AE2206" s="22" t="n"/>
    </row>
    <row r="2207" ht="70" customHeight="1" s="380">
      <c r="A2207" s="126" t="n">
        <v>98</v>
      </c>
      <c r="B2207" s="390" t="n"/>
      <c r="C2207" s="390" t="inlineStr">
        <is>
          <t>Báo cáo theo Thông tư 121/2020/TT-BTC &gt;&gt; Báo báo tài chính &gt;&gt; Báo cáo lưu chuyển tiền tệ riêng_06613</t>
        </is>
      </c>
      <c r="D2207" s="390" t="inlineStr">
        <is>
          <t>- Chi phí dự phòng suy giảm giá trị các khoản đầu tư tài chính dài hạn</t>
        </is>
      </c>
      <c r="E2207" s="390" t="n">
        <v>16</v>
      </c>
      <c r="F2207" s="390" t="inlineStr">
        <is>
          <t>Data Explorer</t>
        </is>
      </c>
      <c r="G2207" s="390" t="inlineStr">
        <is>
          <t>Chỉ tiêu cơ sở</t>
        </is>
      </c>
      <c r="H2207" s="390" t="inlineStr">
        <is>
          <t>Dễ</t>
        </is>
      </c>
      <c r="I2207" s="390" t="inlineStr">
        <is>
          <t>Ngày, CTCK</t>
        </is>
      </c>
      <c r="J2207" s="401" t="inlineStr">
        <is>
          <t>SCMS</t>
        </is>
      </c>
      <c r="K2207" s="401" t="n"/>
      <c r="L2207" s="401" t="inlineStr">
        <is>
          <t>X</t>
        </is>
      </c>
      <c r="M2207" s="401" t="n"/>
      <c r="N2207" s="401" t="inlineStr">
        <is>
          <t>Done</t>
        </is>
      </c>
      <c r="O2207" s="401" t="n"/>
      <c r="P2207" s="22" t="n"/>
      <c r="S2207" s="22" t="n"/>
      <c r="U2207" s="16" t="n"/>
      <c r="V2207" s="22" t="n"/>
      <c r="W2207" s="22" t="n"/>
      <c r="X2207" s="22" t="n"/>
      <c r="Y2207" s="395" t="n"/>
      <c r="Z2207" s="22" t="n"/>
      <c r="AA2207" s="22" t="n"/>
      <c r="AB2207" s="22" t="n"/>
      <c r="AC2207" s="22" t="n"/>
      <c r="AD2207" s="22" t="n"/>
      <c r="AE2207" s="22" t="n"/>
    </row>
    <row r="2208" ht="70" customHeight="1" s="380">
      <c r="A2208" s="126" t="n">
        <v>98</v>
      </c>
      <c r="B2208" s="390" t="n"/>
      <c r="C2208" s="390" t="inlineStr">
        <is>
          <t>Báo cáo theo Thông tư 121/2020/TT-BTC &gt;&gt; Báo báo tài chính &gt;&gt; Báo cáo lưu chuyển tiền tệ riêng_06613</t>
        </is>
      </c>
      <c r="D2208" s="390" t="inlineStr">
        <is>
          <t>-   Lỗ khác</t>
        </is>
      </c>
      <c r="E2208" s="390" t="n">
        <v>17</v>
      </c>
      <c r="F2208" s="390" t="inlineStr">
        <is>
          <t>Data Explorer</t>
        </is>
      </c>
      <c r="G2208" s="390" t="inlineStr">
        <is>
          <t>Chỉ tiêu cơ sở</t>
        </is>
      </c>
      <c r="H2208" s="390" t="inlineStr">
        <is>
          <t>Dễ</t>
        </is>
      </c>
      <c r="I2208" s="390" t="inlineStr">
        <is>
          <t>Ngày, CTCK</t>
        </is>
      </c>
      <c r="J2208" s="401" t="inlineStr">
        <is>
          <t>SCMS</t>
        </is>
      </c>
      <c r="K2208" s="401" t="n"/>
      <c r="L2208" s="401" t="inlineStr">
        <is>
          <t>X</t>
        </is>
      </c>
      <c r="M2208" s="401" t="n"/>
      <c r="N2208" s="401" t="inlineStr">
        <is>
          <t>Done</t>
        </is>
      </c>
      <c r="O2208" s="401" t="n"/>
      <c r="P2208" s="22" t="n"/>
      <c r="S2208" s="22" t="n"/>
      <c r="U2208" s="16" t="n"/>
      <c r="V2208" s="22" t="n"/>
      <c r="W2208" s="22" t="n"/>
      <c r="X2208" s="22" t="n"/>
      <c r="Y2208" s="36" t="n"/>
      <c r="Z2208" s="22" t="n"/>
      <c r="AA2208" s="22" t="n"/>
      <c r="AB2208" s="22" t="n"/>
      <c r="AC2208" s="22" t="n"/>
      <c r="AD2208" s="22" t="n"/>
      <c r="AE2208" s="22" t="n"/>
    </row>
    <row r="2209" ht="70" customHeight="1" s="380">
      <c r="A2209" s="126" t="n">
        <v>98</v>
      </c>
      <c r="B2209" s="390" t="n"/>
      <c r="C2209" s="390" t="inlineStr">
        <is>
          <t>Báo cáo theo Thông tư 121/2020/TT-BTC &gt;&gt; Báo báo tài chính &gt;&gt; Báo cáo lưu chuyển tiền tệ riêng_06613</t>
        </is>
      </c>
      <c r="D2209" s="132" t="inlineStr">
        <is>
          <t>4. Giảm các doanh thu phi tiền tệ</t>
        </is>
      </c>
      <c r="E2209" s="132" t="n">
        <v>18</v>
      </c>
      <c r="F2209" s="390" t="inlineStr">
        <is>
          <t>Data Explorer</t>
        </is>
      </c>
      <c r="G2209" s="390" t="inlineStr">
        <is>
          <t>Chỉ tiêu cơ sở</t>
        </is>
      </c>
      <c r="H2209" s="390" t="inlineStr">
        <is>
          <t>Dễ</t>
        </is>
      </c>
      <c r="I2209" s="390" t="inlineStr">
        <is>
          <t>Ngày, CTCK</t>
        </is>
      </c>
      <c r="J2209" s="401" t="inlineStr">
        <is>
          <t>SCMS</t>
        </is>
      </c>
      <c r="K2209" s="401" t="n"/>
      <c r="L2209" s="401" t="inlineStr">
        <is>
          <t>X</t>
        </is>
      </c>
      <c r="M2209" s="401" t="n"/>
      <c r="N2209" s="401" t="inlineStr">
        <is>
          <t>Done</t>
        </is>
      </c>
      <c r="O2209" s="401" t="n"/>
      <c r="P2209" s="22" t="n"/>
      <c r="S2209" s="22" t="n"/>
      <c r="U2209" s="16" t="n"/>
      <c r="V2209" s="22" t="n"/>
      <c r="W2209" s="22" t="n"/>
      <c r="X2209" s="22" t="n"/>
      <c r="Y2209" s="36" t="n"/>
      <c r="Z2209" s="22" t="n"/>
      <c r="AA2209" s="22" t="n"/>
      <c r="AB2209" s="22" t="n"/>
      <c r="AC2209" s="22" t="n"/>
      <c r="AD2209" s="22" t="n"/>
      <c r="AE2209" s="22" t="n"/>
    </row>
    <row r="2210" ht="70" customHeight="1" s="380">
      <c r="A2210" s="126" t="n">
        <v>98</v>
      </c>
      <c r="B2210" s="390" t="n"/>
      <c r="C2210" s="390" t="inlineStr">
        <is>
          <t>Báo cáo theo Thông tư 121/2020/TT-BTC &gt;&gt; Báo báo tài chính &gt;&gt; Báo cáo lưu chuyển tiền tệ riêng_06613</t>
        </is>
      </c>
      <c r="D2210" s="390" t="inlineStr">
        <is>
          <t>-  Lãi đánh giá lại giá trị các tài sản tài chính ghi nhận thông qua lãi/lỗ FVTPL</t>
        </is>
      </c>
      <c r="E2210" s="390" t="n">
        <v>19</v>
      </c>
      <c r="F2210" s="390" t="inlineStr">
        <is>
          <t>Data Explorer</t>
        </is>
      </c>
      <c r="G2210" s="390" t="inlineStr">
        <is>
          <t>Chỉ tiêu cơ sở</t>
        </is>
      </c>
      <c r="H2210" s="390" t="inlineStr">
        <is>
          <t>Dễ</t>
        </is>
      </c>
      <c r="I2210" s="390" t="inlineStr">
        <is>
          <t>Ngày, CTCK</t>
        </is>
      </c>
      <c r="J2210" s="401" t="inlineStr">
        <is>
          <t>SCMS</t>
        </is>
      </c>
      <c r="K2210" s="401" t="n"/>
      <c r="L2210" s="401" t="inlineStr">
        <is>
          <t>X</t>
        </is>
      </c>
      <c r="M2210" s="401" t="n"/>
      <c r="N2210" s="401" t="inlineStr">
        <is>
          <t>Done</t>
        </is>
      </c>
      <c r="O2210" s="401" t="n"/>
      <c r="P2210" s="22" t="n"/>
      <c r="S2210" s="22" t="n"/>
      <c r="U2210" s="16" t="n"/>
      <c r="V2210" s="22" t="n"/>
      <c r="W2210" s="22" t="n"/>
      <c r="X2210" s="22" t="n"/>
      <c r="Y2210" s="395" t="n"/>
      <c r="Z2210" s="22" t="n"/>
      <c r="AA2210" s="22" t="n"/>
      <c r="AB2210" s="22" t="n"/>
      <c r="AC2210" s="22" t="n"/>
      <c r="AD2210" s="22" t="n"/>
      <c r="AE2210" s="22" t="n"/>
    </row>
    <row r="2211" ht="70" customHeight="1" s="380">
      <c r="A2211" s="126" t="n">
        <v>98</v>
      </c>
      <c r="B2211" s="390" t="n"/>
      <c r="C2211" s="390" t="inlineStr">
        <is>
          <t>Báo cáo theo Thông tư 121/2020/TT-BTC &gt;&gt; Báo báo tài chính &gt;&gt; Báo cáo lưu chuyển tiền tệ riêng_06613</t>
        </is>
      </c>
      <c r="D2211" s="390" t="inlineStr">
        <is>
          <t>-  Lãi về ghi nhận chênh lệch đánh giá theo giá trị hợp lý TSTC sẵn sàng để bán (AFS) khi phân loại lại</t>
        </is>
      </c>
      <c r="E2211" s="390" t="n">
        <v>20</v>
      </c>
      <c r="F2211" s="390" t="inlineStr">
        <is>
          <t>Data Explorer</t>
        </is>
      </c>
      <c r="G2211" s="390" t="inlineStr">
        <is>
          <t>Chỉ tiêu cơ sở</t>
        </is>
      </c>
      <c r="H2211" s="390" t="inlineStr">
        <is>
          <t>Dễ</t>
        </is>
      </c>
      <c r="I2211" s="390" t="inlineStr">
        <is>
          <t>Ngày, CTCK</t>
        </is>
      </c>
      <c r="J2211" s="401" t="inlineStr">
        <is>
          <t>SCMS</t>
        </is>
      </c>
      <c r="K2211" s="401" t="n"/>
      <c r="L2211" s="401" t="inlineStr">
        <is>
          <t>X</t>
        </is>
      </c>
      <c r="M2211" s="401" t="n"/>
      <c r="N2211" s="401" t="inlineStr">
        <is>
          <t>Done</t>
        </is>
      </c>
      <c r="O2211" s="401" t="n"/>
      <c r="P2211" s="22" t="n"/>
      <c r="S2211" s="22" t="n"/>
      <c r="U2211" s="16" t="n"/>
      <c r="V2211" s="22" t="n"/>
      <c r="W2211" s="22" t="n"/>
      <c r="X2211" s="22" t="n"/>
      <c r="Y2211" s="395" t="n"/>
      <c r="Z2211" s="22" t="n"/>
      <c r="AA2211" s="22" t="n"/>
      <c r="AB2211" s="22" t="n"/>
      <c r="AC2211" s="22" t="n"/>
      <c r="AD2211" s="22" t="n"/>
      <c r="AE2211" s="22" t="n"/>
    </row>
    <row r="2212" ht="70" customHeight="1" s="380">
      <c r="A2212" s="126" t="n">
        <v>98</v>
      </c>
      <c r="B2212" s="390" t="n"/>
      <c r="C2212" s="390" t="inlineStr">
        <is>
          <t>Báo cáo theo Thông tư 121/2020/TT-BTC &gt;&gt; Báo báo tài chính &gt;&gt; Báo cáo lưu chuyển tiền tệ riêng_06613</t>
        </is>
      </c>
      <c r="D2212" s="390" t="inlineStr">
        <is>
          <t>- Lãi khác</t>
        </is>
      </c>
      <c r="E2212" s="390" t="n">
        <v>21</v>
      </c>
      <c r="F2212" s="390" t="inlineStr">
        <is>
          <t>Data Explorer</t>
        </is>
      </c>
      <c r="G2212" s="390" t="inlineStr">
        <is>
          <t>Chỉ tiêu cơ sở</t>
        </is>
      </c>
      <c r="H2212" s="390" t="inlineStr">
        <is>
          <t>Dễ</t>
        </is>
      </c>
      <c r="I2212" s="390" t="inlineStr">
        <is>
          <t>Ngày, CTCK</t>
        </is>
      </c>
      <c r="J2212" s="401" t="inlineStr">
        <is>
          <t>SCMS</t>
        </is>
      </c>
      <c r="K2212" s="401" t="n"/>
      <c r="L2212" s="401" t="inlineStr">
        <is>
          <t>X</t>
        </is>
      </c>
      <c r="M2212" s="401" t="n"/>
      <c r="N2212" s="401" t="inlineStr">
        <is>
          <t>Done</t>
        </is>
      </c>
      <c r="O2212" s="401" t="n"/>
      <c r="P2212" s="22" t="n"/>
      <c r="S2212" s="22" t="n"/>
      <c r="U2212" s="16" t="n"/>
      <c r="V2212" s="22" t="n"/>
      <c r="W2212" s="22" t="n"/>
      <c r="X2212" s="22" t="n"/>
      <c r="Y2212" s="395" t="n"/>
      <c r="Z2212" s="22" t="n"/>
      <c r="AA2212" s="22" t="n"/>
      <c r="AB2212" s="22" t="n"/>
      <c r="AC2212" s="22" t="n"/>
      <c r="AD2212" s="22" t="n"/>
      <c r="AE2212" s="22" t="n"/>
    </row>
    <row r="2213" ht="70" customHeight="1" s="380">
      <c r="A2213" s="126" t="n">
        <v>98</v>
      </c>
      <c r="B2213" s="390" t="n"/>
      <c r="C2213" s="390" t="inlineStr">
        <is>
          <t>Báo cáo theo Thông tư 121/2020/TT-BTC &gt;&gt; Báo báo tài chính &gt;&gt; Báo cáo lưu chuyển tiền tệ riêng_06613</t>
        </is>
      </c>
      <c r="D2213" s="132" t="inlineStr">
        <is>
          <t>5. Lợi nhuận từ hoạt động kinh doanh trước thay đổi vốn lưu động</t>
        </is>
      </c>
      <c r="E2213" s="132" t="n">
        <v>30</v>
      </c>
      <c r="F2213" s="390" t="inlineStr">
        <is>
          <t>Data Explorer</t>
        </is>
      </c>
      <c r="G2213" s="390" t="inlineStr">
        <is>
          <t>Chỉ tiêu cơ sở</t>
        </is>
      </c>
      <c r="H2213" s="390" t="inlineStr">
        <is>
          <t>Dễ</t>
        </is>
      </c>
      <c r="I2213" s="390" t="inlineStr">
        <is>
          <t>Ngày, CTCK</t>
        </is>
      </c>
      <c r="J2213" s="401" t="inlineStr">
        <is>
          <t>SCMS</t>
        </is>
      </c>
      <c r="K2213" s="401" t="n"/>
      <c r="L2213" s="401" t="inlineStr">
        <is>
          <t>X</t>
        </is>
      </c>
      <c r="M2213" s="401" t="n"/>
      <c r="N2213" s="401" t="inlineStr">
        <is>
          <t>Done</t>
        </is>
      </c>
      <c r="O2213" s="401" t="n"/>
      <c r="P2213" s="22" t="n"/>
      <c r="S2213" s="22" t="n"/>
      <c r="U2213" s="16" t="n"/>
      <c r="V2213" s="22" t="n"/>
      <c r="W2213" s="22" t="n"/>
      <c r="X2213" s="22" t="n"/>
      <c r="Y2213" s="395" t="n"/>
      <c r="Z2213" s="22" t="n"/>
      <c r="AA2213" s="22" t="n"/>
      <c r="AB2213" s="22" t="n"/>
      <c r="AC2213" s="22" t="n"/>
      <c r="AD2213" s="22" t="n"/>
      <c r="AE2213" s="22" t="n"/>
    </row>
    <row r="2214" ht="70" customHeight="1" s="380">
      <c r="A2214" s="126" t="n">
        <v>98</v>
      </c>
      <c r="B2214" s="390" t="n"/>
      <c r="C2214" s="390" t="inlineStr">
        <is>
          <t>Báo cáo theo Thông tư 121/2020/TT-BTC &gt;&gt; Báo báo tài chính &gt;&gt; Báo cáo lưu chuyển tiền tệ riêng_06613</t>
        </is>
      </c>
      <c r="D2214" s="390" t="inlineStr">
        <is>
          <t>-  Tăng (giảm) tài sản tài chính ghi nhận thông qua lãi/lỗ FVTPL</t>
        </is>
      </c>
      <c r="E2214" s="390" t="n">
        <v>31</v>
      </c>
      <c r="F2214" s="390" t="inlineStr">
        <is>
          <t>Data Explorer</t>
        </is>
      </c>
      <c r="G2214" s="390" t="inlineStr">
        <is>
          <t>Chỉ tiêu cơ sở</t>
        </is>
      </c>
      <c r="H2214" s="390" t="inlineStr">
        <is>
          <t>Dễ</t>
        </is>
      </c>
      <c r="I2214" s="390" t="inlineStr">
        <is>
          <t>Ngày, CTCK</t>
        </is>
      </c>
      <c r="J2214" s="401" t="inlineStr">
        <is>
          <t>SCMS</t>
        </is>
      </c>
      <c r="K2214" s="401" t="n"/>
      <c r="L2214" s="401" t="inlineStr">
        <is>
          <t>X</t>
        </is>
      </c>
      <c r="M2214" s="401" t="n"/>
      <c r="N2214" s="401" t="inlineStr">
        <is>
          <t>Done</t>
        </is>
      </c>
      <c r="O2214" s="401" t="n"/>
      <c r="P2214" s="22" t="n"/>
      <c r="S2214" s="22" t="n"/>
      <c r="U2214" s="16" t="n"/>
      <c r="V2214" s="22" t="n"/>
      <c r="W2214" s="22" t="n"/>
      <c r="X2214" s="22" t="n"/>
      <c r="Y2214" s="37" t="n"/>
      <c r="Z2214" s="22" t="n"/>
      <c r="AA2214" s="22" t="n"/>
      <c r="AB2214" s="22" t="n"/>
      <c r="AC2214" s="22" t="n"/>
      <c r="AD2214" s="22" t="n"/>
      <c r="AE2214" s="22" t="n"/>
    </row>
    <row r="2215" ht="70" customHeight="1" s="380">
      <c r="A2215" s="126" t="n">
        <v>98</v>
      </c>
      <c r="B2215" s="390" t="n"/>
      <c r="C2215" s="390" t="inlineStr">
        <is>
          <t>Báo cáo theo Thông tư 121/2020/TT-BTC &gt;&gt; Báo báo tài chính &gt;&gt; Báo cáo lưu chuyển tiền tệ riêng_06613</t>
        </is>
      </c>
      <c r="D2215" s="390" t="inlineStr">
        <is>
          <t>-  Tăng (giảm) Các khoản đầu tư nắm giữ đến ngày đáo hạn (HTM)</t>
        </is>
      </c>
      <c r="E2215" s="390" t="n">
        <v>32</v>
      </c>
      <c r="F2215" s="390" t="inlineStr">
        <is>
          <t>Data Explorer</t>
        </is>
      </c>
      <c r="G2215" s="390" t="inlineStr">
        <is>
          <t>Chỉ tiêu cơ sở</t>
        </is>
      </c>
      <c r="H2215" s="390" t="inlineStr">
        <is>
          <t>Dễ</t>
        </is>
      </c>
      <c r="I2215" s="390" t="inlineStr">
        <is>
          <t>Ngày, CTCK</t>
        </is>
      </c>
      <c r="J2215" s="401" t="inlineStr">
        <is>
          <t>SCMS</t>
        </is>
      </c>
      <c r="K2215" s="401" t="n"/>
      <c r="L2215" s="401" t="inlineStr">
        <is>
          <t>X</t>
        </is>
      </c>
      <c r="M2215" s="401" t="n"/>
      <c r="N2215" s="401" t="inlineStr">
        <is>
          <t>Done</t>
        </is>
      </c>
      <c r="O2215" s="401" t="n"/>
      <c r="P2215" s="22" t="n"/>
      <c r="S2215" s="22" t="n"/>
      <c r="U2215" s="16" t="n"/>
      <c r="V2215" s="22" t="n"/>
      <c r="W2215" s="22" t="n"/>
      <c r="X2215" s="22" t="n"/>
      <c r="Y2215" s="395" t="n"/>
      <c r="Z2215" s="22" t="n"/>
      <c r="AA2215" s="22" t="n"/>
      <c r="AB2215" s="22" t="n"/>
      <c r="AC2215" s="22" t="n"/>
      <c r="AD2215" s="22" t="n"/>
      <c r="AE2215" s="22" t="n"/>
    </row>
    <row r="2216" ht="70" customHeight="1" s="380">
      <c r="A2216" s="126" t="n">
        <v>98</v>
      </c>
      <c r="B2216" s="390" t="n"/>
      <c r="C2216" s="390" t="inlineStr">
        <is>
          <t>Báo cáo theo Thông tư 121/2020/TT-BTC &gt;&gt; Báo báo tài chính &gt;&gt; Báo cáo lưu chuyển tiền tệ riêng_06613</t>
        </is>
      </c>
      <c r="D2216" s="390" t="inlineStr">
        <is>
          <t xml:space="preserve">-  Tăng (giảm) Các khoản cho vay </t>
        </is>
      </c>
      <c r="E2216" s="390" t="n">
        <v>33</v>
      </c>
      <c r="F2216" s="390" t="inlineStr">
        <is>
          <t>Data Explorer</t>
        </is>
      </c>
      <c r="G2216" s="390" t="inlineStr">
        <is>
          <t>Chỉ tiêu cơ sở</t>
        </is>
      </c>
      <c r="H2216" s="390" t="inlineStr">
        <is>
          <t>Dễ</t>
        </is>
      </c>
      <c r="I2216" s="390" t="inlineStr">
        <is>
          <t>Ngày, CTCK</t>
        </is>
      </c>
      <c r="J2216" s="401" t="inlineStr">
        <is>
          <t>SCMS</t>
        </is>
      </c>
      <c r="K2216" s="401" t="n"/>
      <c r="L2216" s="401" t="inlineStr">
        <is>
          <t>X</t>
        </is>
      </c>
      <c r="M2216" s="401" t="n"/>
      <c r="N2216" s="401" t="inlineStr">
        <is>
          <t>Done</t>
        </is>
      </c>
      <c r="O2216" s="401" t="n"/>
      <c r="P2216" s="22" t="n"/>
      <c r="S2216" s="22" t="n"/>
      <c r="U2216" s="16" t="n"/>
      <c r="V2216" s="22" t="n"/>
      <c r="W2216" s="22" t="n"/>
      <c r="X2216" s="22" t="n"/>
      <c r="Y2216" s="13" t="n"/>
      <c r="Z2216" s="22" t="n"/>
      <c r="AA2216" s="22" t="n"/>
      <c r="AB2216" s="22" t="n"/>
      <c r="AC2216" s="22" t="n"/>
      <c r="AD2216" s="22" t="n"/>
      <c r="AE2216" s="22" t="n"/>
    </row>
    <row r="2217" ht="70" customHeight="1" s="380">
      <c r="A2217" s="126" t="n">
        <v>98</v>
      </c>
      <c r="B2217" s="390" t="n"/>
      <c r="C2217" s="390" t="inlineStr">
        <is>
          <t>Báo cáo theo Thông tư 121/2020/TT-BTC &gt;&gt; Báo báo tài chính &gt;&gt; Báo cáo lưu chuyển tiền tệ riêng_06613</t>
        </is>
      </c>
      <c r="D2217" s="390" t="inlineStr">
        <is>
          <t xml:space="preserve">-  Tăng (giảm) tài sản tài chính sẵn sàng để bán AFS </t>
        </is>
      </c>
      <c r="E2217" s="390" t="n">
        <v>34</v>
      </c>
      <c r="F2217" s="390" t="inlineStr">
        <is>
          <t>Data Explorer</t>
        </is>
      </c>
      <c r="G2217" s="390" t="inlineStr">
        <is>
          <t>Chỉ tiêu cơ sở</t>
        </is>
      </c>
      <c r="H2217" s="390" t="inlineStr">
        <is>
          <t>Dễ</t>
        </is>
      </c>
      <c r="I2217" s="390" t="inlineStr">
        <is>
          <t>Ngày, CTCK</t>
        </is>
      </c>
      <c r="J2217" s="401" t="inlineStr">
        <is>
          <t>SCMS</t>
        </is>
      </c>
      <c r="K2217" s="401" t="n"/>
      <c r="L2217" s="401" t="inlineStr">
        <is>
          <t>X</t>
        </is>
      </c>
      <c r="M2217" s="401" t="n"/>
      <c r="N2217" s="401" t="inlineStr">
        <is>
          <t>Done</t>
        </is>
      </c>
      <c r="O2217" s="401" t="n"/>
      <c r="P2217" s="22" t="n"/>
      <c r="S2217" s="22" t="n"/>
      <c r="U2217" s="16" t="n"/>
      <c r="V2217" s="22" t="n"/>
      <c r="W2217" s="22" t="n"/>
      <c r="X2217" s="22" t="n"/>
      <c r="Y2217" s="13" t="n"/>
      <c r="Z2217" s="22" t="n"/>
      <c r="AA2217" s="22" t="n"/>
      <c r="AB2217" s="22" t="n"/>
      <c r="AC2217" s="22" t="n"/>
      <c r="AD2217" s="22" t="n"/>
      <c r="AE2217" s="22" t="n"/>
    </row>
    <row r="2218" ht="70" customHeight="1" s="380">
      <c r="A2218" s="126" t="n">
        <v>98</v>
      </c>
      <c r="B2218" s="390" t="n"/>
      <c r="C2218" s="390" t="inlineStr">
        <is>
          <t>Báo cáo theo Thông tư 121/2020/TT-BTC &gt;&gt; Báo báo tài chính &gt;&gt; Báo cáo lưu chuyển tiền tệ riêng_06613</t>
        </is>
      </c>
      <c r="D2218" s="390" t="inlineStr">
        <is>
          <t>(-) Tăng, (+) giảm phải thu bán các tài sản tài chính</t>
        </is>
      </c>
      <c r="E2218" s="390" t="n">
        <v>35</v>
      </c>
      <c r="F2218" s="390" t="inlineStr">
        <is>
          <t>Data Explorer</t>
        </is>
      </c>
      <c r="G2218" s="390" t="inlineStr">
        <is>
          <t>Chỉ tiêu cơ sở</t>
        </is>
      </c>
      <c r="H2218" s="390" t="inlineStr">
        <is>
          <t>Dễ</t>
        </is>
      </c>
      <c r="I2218" s="390" t="inlineStr">
        <is>
          <t>Ngày, CTCK</t>
        </is>
      </c>
      <c r="J2218" s="401" t="inlineStr">
        <is>
          <t>SCMS</t>
        </is>
      </c>
      <c r="K2218" s="401" t="n"/>
      <c r="L2218" s="401" t="inlineStr">
        <is>
          <t>X</t>
        </is>
      </c>
      <c r="M2218" s="401" t="n"/>
      <c r="N2218" s="401" t="inlineStr">
        <is>
          <t>Done</t>
        </is>
      </c>
      <c r="O2218" s="401" t="n"/>
      <c r="P2218" s="22" t="n"/>
      <c r="S2218" s="22" t="n"/>
      <c r="U2218" s="16" t="n"/>
      <c r="V2218" s="22" t="n"/>
      <c r="W2218" s="22" t="n"/>
      <c r="X2218" s="22" t="n"/>
      <c r="Y2218" s="13" t="n"/>
      <c r="Z2218" s="22" t="n"/>
      <c r="AA2218" s="22" t="n"/>
      <c r="AB2218" s="22" t="n"/>
      <c r="AC2218" s="22" t="n"/>
      <c r="AD2218" s="22" t="n"/>
      <c r="AE2218" s="22" t="n"/>
    </row>
    <row r="2219" ht="70" customHeight="1" s="380">
      <c r="A2219" s="126" t="n">
        <v>98</v>
      </c>
      <c r="B2219" s="390" t="n"/>
      <c r="C2219" s="390" t="inlineStr">
        <is>
          <t>Báo cáo theo Thông tư 121/2020/TT-BTC &gt;&gt; Báo báo tài chính &gt;&gt; Báo cáo lưu chuyển tiền tệ riêng_06613</t>
        </is>
      </c>
      <c r="D2219" s="390" t="inlineStr">
        <is>
          <t>(-) Tăng, (+) giảm phải thu và dự thu cổ tức, tiền lãi các tài sản tài chính</t>
        </is>
      </c>
      <c r="E2219" s="390" t="n">
        <v>36</v>
      </c>
      <c r="F2219" s="390" t="inlineStr">
        <is>
          <t>Data Explorer</t>
        </is>
      </c>
      <c r="G2219" s="390" t="inlineStr">
        <is>
          <t>Chỉ tiêu cơ sở</t>
        </is>
      </c>
      <c r="H2219" s="390" t="inlineStr">
        <is>
          <t>Dễ</t>
        </is>
      </c>
      <c r="I2219" s="390" t="inlineStr">
        <is>
          <t>Ngày, CTCK</t>
        </is>
      </c>
      <c r="J2219" s="401" t="inlineStr">
        <is>
          <t>SCMS</t>
        </is>
      </c>
      <c r="K2219" s="401" t="n"/>
      <c r="L2219" s="401" t="inlineStr">
        <is>
          <t>X</t>
        </is>
      </c>
      <c r="M2219" s="401" t="n"/>
      <c r="N2219" s="401" t="inlineStr">
        <is>
          <t>Done</t>
        </is>
      </c>
      <c r="O2219" s="401" t="n"/>
      <c r="P2219" s="22" t="n"/>
      <c r="S2219" s="22" t="n"/>
      <c r="U2219" s="16" t="n"/>
      <c r="V2219" s="22" t="n"/>
      <c r="W2219" s="22" t="n"/>
      <c r="X2219" s="22" t="n"/>
      <c r="Y2219" s="13" t="n"/>
      <c r="Z2219" s="22" t="n"/>
      <c r="AA2219" s="22" t="n"/>
      <c r="AB2219" s="22" t="n"/>
      <c r="AC2219" s="22" t="n"/>
      <c r="AD2219" s="22" t="n"/>
      <c r="AE2219" s="22" t="n"/>
    </row>
    <row r="2220" ht="70" customHeight="1" s="380">
      <c r="A2220" s="126" t="n">
        <v>98</v>
      </c>
      <c r="B2220" s="390" t="n"/>
      <c r="C2220" s="390" t="inlineStr">
        <is>
          <t>Báo cáo theo Thông tư 121/2020/TT-BTC &gt;&gt; Báo báo tài chính &gt;&gt; Báo cáo lưu chuyển tiền tệ riêng_06613</t>
        </is>
      </c>
      <c r="D2220" s="390" t="inlineStr">
        <is>
          <t>(-) Tăng, (+) giảm các khoản phải thu các dịch vụ CTCK cung cấp</t>
        </is>
      </c>
      <c r="E2220" s="390" t="n">
        <v>37</v>
      </c>
      <c r="F2220" s="390" t="inlineStr">
        <is>
          <t>Data Explorer</t>
        </is>
      </c>
      <c r="G2220" s="390" t="inlineStr">
        <is>
          <t>Chỉ tiêu cơ sở</t>
        </is>
      </c>
      <c r="H2220" s="390" t="inlineStr">
        <is>
          <t>Dễ</t>
        </is>
      </c>
      <c r="I2220" s="390" t="inlineStr">
        <is>
          <t>Ngày, CTCK</t>
        </is>
      </c>
      <c r="J2220" s="401" t="inlineStr">
        <is>
          <t>SCMS</t>
        </is>
      </c>
      <c r="K2220" s="401" t="n"/>
      <c r="L2220" s="401" t="inlineStr">
        <is>
          <t>X</t>
        </is>
      </c>
      <c r="M2220" s="401" t="n"/>
      <c r="N2220" s="401" t="inlineStr">
        <is>
          <t>Done</t>
        </is>
      </c>
      <c r="O2220" s="401" t="n"/>
      <c r="P2220" s="22" t="n"/>
      <c r="S2220" s="22" t="n"/>
      <c r="U2220" s="16" t="n"/>
      <c r="V2220" s="22" t="n"/>
      <c r="W2220" s="22" t="n"/>
      <c r="X2220" s="22" t="n"/>
      <c r="Y2220" s="13" t="n"/>
      <c r="Z2220" s="22" t="n"/>
      <c r="AA2220" s="22" t="n"/>
      <c r="AB2220" s="22" t="n"/>
      <c r="AC2220" s="22" t="n"/>
      <c r="AD2220" s="22" t="n"/>
      <c r="AE2220" s="22" t="n"/>
    </row>
    <row r="2221" ht="70" customHeight="1" s="380">
      <c r="A2221" s="126" t="n">
        <v>98</v>
      </c>
      <c r="B2221" s="390" t="n"/>
      <c r="C2221" s="390" t="inlineStr">
        <is>
          <t>Báo cáo theo Thông tư 121/2020/TT-BTC &gt;&gt; Báo báo tài chính &gt;&gt; Báo cáo lưu chuyển tiền tệ riêng_06613</t>
        </is>
      </c>
      <c r="D2221" s="390" t="inlineStr">
        <is>
          <t>(-) Tăng, (+) giảm các khoản phải thu về lỗi giao dịch các TSTC</t>
        </is>
      </c>
      <c r="E2221" s="390" t="n">
        <v>38</v>
      </c>
      <c r="F2221" s="390" t="inlineStr">
        <is>
          <t>Data Explorer</t>
        </is>
      </c>
      <c r="G2221" s="390" t="inlineStr">
        <is>
          <t>Chỉ tiêu cơ sở</t>
        </is>
      </c>
      <c r="H2221" s="390" t="inlineStr">
        <is>
          <t>Dễ</t>
        </is>
      </c>
      <c r="I2221" s="390" t="inlineStr">
        <is>
          <t>Ngày, CTCK</t>
        </is>
      </c>
      <c r="J2221" s="401" t="inlineStr">
        <is>
          <t>SCMS</t>
        </is>
      </c>
      <c r="K2221" s="401" t="n"/>
      <c r="L2221" s="401" t="inlineStr">
        <is>
          <t>X</t>
        </is>
      </c>
      <c r="M2221" s="401" t="n"/>
      <c r="N2221" s="401" t="inlineStr">
        <is>
          <t>Done</t>
        </is>
      </c>
      <c r="O2221" s="401" t="n"/>
      <c r="P2221" s="22" t="n"/>
      <c r="S2221" s="22" t="n"/>
      <c r="U2221" s="16" t="n"/>
      <c r="V2221" s="22" t="n"/>
      <c r="W2221" s="22" t="n"/>
      <c r="X2221" s="22" t="n"/>
      <c r="Y2221" s="13" t="n"/>
      <c r="Z2221" s="22" t="n"/>
      <c r="AA2221" s="22" t="n"/>
      <c r="AB2221" s="22" t="n"/>
      <c r="AC2221" s="22" t="n"/>
      <c r="AD2221" s="22" t="n"/>
      <c r="AE2221" s="22" t="n"/>
    </row>
    <row r="2222" ht="70" customHeight="1" s="380">
      <c r="A2222" s="126" t="n">
        <v>98</v>
      </c>
      <c r="B2222" s="390" t="n"/>
      <c r="C2222" s="390" t="inlineStr">
        <is>
          <t>Báo cáo theo Thông tư 121/2020/TT-BTC &gt;&gt; Báo báo tài chính &gt;&gt; Báo cáo lưu chuyển tiền tệ riêng_06613</t>
        </is>
      </c>
      <c r="D2222" s="390" t="inlineStr">
        <is>
          <t>(-) Tăng, (+) giảm các khoản phải thu khác</t>
        </is>
      </c>
      <c r="E2222" s="390" t="n">
        <v>39</v>
      </c>
      <c r="F2222" s="390" t="inlineStr">
        <is>
          <t>Data Explorer</t>
        </is>
      </c>
      <c r="G2222" s="390" t="inlineStr">
        <is>
          <t>Chỉ tiêu cơ sở</t>
        </is>
      </c>
      <c r="H2222" s="390" t="inlineStr">
        <is>
          <t>Dễ</t>
        </is>
      </c>
      <c r="I2222" s="390" t="inlineStr">
        <is>
          <t>Ngày, CTCK</t>
        </is>
      </c>
      <c r="J2222" s="401" t="inlineStr">
        <is>
          <t>SCMS</t>
        </is>
      </c>
      <c r="K2222" s="401" t="n"/>
      <c r="L2222" s="401" t="inlineStr">
        <is>
          <t>X</t>
        </is>
      </c>
      <c r="M2222" s="401" t="n"/>
      <c r="N2222" s="401" t="inlineStr">
        <is>
          <t>Done</t>
        </is>
      </c>
      <c r="O2222" s="401" t="n"/>
      <c r="P2222" s="22" t="n"/>
      <c r="S2222" s="22" t="n"/>
      <c r="U2222" s="16" t="n"/>
      <c r="V2222" s="22" t="n"/>
      <c r="W2222" s="22" t="n"/>
      <c r="X2222" s="22" t="n"/>
      <c r="Y2222" s="13" t="n"/>
      <c r="Z2222" s="22" t="n"/>
      <c r="AA2222" s="22" t="n"/>
      <c r="AB2222" s="22" t="n"/>
      <c r="AC2222" s="22" t="n"/>
      <c r="AD2222" s="22" t="n"/>
      <c r="AE2222" s="22" t="n"/>
    </row>
    <row r="2223" ht="70" customHeight="1" s="380">
      <c r="A2223" s="126" t="n">
        <v>98</v>
      </c>
      <c r="B2223" s="390" t="n"/>
      <c r="C2223" s="390" t="inlineStr">
        <is>
          <t>Báo cáo theo Thông tư 121/2020/TT-BTC &gt;&gt; Báo báo tài chính &gt;&gt; Báo cáo lưu chuyển tiền tệ riêng_06613</t>
        </is>
      </c>
      <c r="D2223" s="390" t="inlineStr">
        <is>
          <t>-  Tăng (giảm) các tài sản khác</t>
        </is>
      </c>
      <c r="E2223" s="390" t="n">
        <v>40</v>
      </c>
      <c r="F2223" s="390" t="inlineStr">
        <is>
          <t>Data Explorer</t>
        </is>
      </c>
      <c r="G2223" s="390" t="inlineStr">
        <is>
          <t>Chỉ tiêu cơ sở</t>
        </is>
      </c>
      <c r="H2223" s="390" t="inlineStr">
        <is>
          <t>Dễ</t>
        </is>
      </c>
      <c r="I2223" s="390" t="inlineStr">
        <is>
          <t>Ngày, CTCK</t>
        </is>
      </c>
      <c r="J2223" s="401" t="inlineStr">
        <is>
          <t>SCMS</t>
        </is>
      </c>
      <c r="K2223" s="401" t="n"/>
      <c r="L2223" s="401" t="inlineStr">
        <is>
          <t>X</t>
        </is>
      </c>
      <c r="M2223" s="401" t="n"/>
      <c r="N2223" s="401" t="inlineStr">
        <is>
          <t>Done</t>
        </is>
      </c>
      <c r="O2223" s="401" t="n"/>
      <c r="P2223" s="22" t="n"/>
      <c r="S2223" s="22" t="n"/>
      <c r="U2223" s="16" t="n"/>
      <c r="V2223" s="22" t="n"/>
      <c r="W2223" s="22" t="n"/>
      <c r="X2223" s="22" t="n"/>
      <c r="Y2223" s="13" t="n"/>
      <c r="Z2223" s="22" t="n"/>
      <c r="AA2223" s="22" t="n"/>
      <c r="AB2223" s="22" t="n"/>
      <c r="AC2223" s="22" t="n"/>
      <c r="AD2223" s="22" t="n"/>
      <c r="AE2223" s="22" t="n"/>
    </row>
    <row r="2224" ht="70" customHeight="1" s="380">
      <c r="A2224" s="126" t="n">
        <v>98</v>
      </c>
      <c r="B2224" s="390" t="n"/>
      <c r="C2224" s="390" t="inlineStr">
        <is>
          <t>Báo cáo theo Thông tư 121/2020/TT-BTC &gt;&gt; Báo báo tài chính &gt;&gt; Báo cáo lưu chuyển tiền tệ riêng_06613</t>
        </is>
      </c>
      <c r="D2224" s="390" t="inlineStr">
        <is>
          <t>- Tăng (giảm) chi phí phải trả (không bao gồm chi phí lãi vay)</t>
        </is>
      </c>
      <c r="E2224" s="390" t="n">
        <v>41</v>
      </c>
      <c r="F2224" s="390" t="inlineStr">
        <is>
          <t>Data Explorer</t>
        </is>
      </c>
      <c r="G2224" s="390" t="inlineStr">
        <is>
          <t>Chỉ tiêu cơ sở</t>
        </is>
      </c>
      <c r="H2224" s="390" t="inlineStr">
        <is>
          <t>Dễ</t>
        </is>
      </c>
      <c r="I2224" s="390" t="inlineStr">
        <is>
          <t>Ngày, CTCK</t>
        </is>
      </c>
      <c r="J2224" s="401" t="inlineStr">
        <is>
          <t>SCMS</t>
        </is>
      </c>
      <c r="K2224" s="401" t="n"/>
      <c r="L2224" s="401" t="inlineStr">
        <is>
          <t>X</t>
        </is>
      </c>
      <c r="M2224" s="401" t="n"/>
      <c r="N2224" s="401" t="inlineStr">
        <is>
          <t>Done</t>
        </is>
      </c>
      <c r="O2224" s="401" t="n"/>
      <c r="P2224" s="22" t="n"/>
      <c r="S2224" s="22" t="n"/>
      <c r="U2224" s="16" t="n"/>
      <c r="V2224" s="22" t="n"/>
      <c r="W2224" s="22" t="n"/>
      <c r="X2224" s="22" t="n"/>
      <c r="Y2224" s="13" t="n"/>
      <c r="Z2224" s="22" t="n"/>
      <c r="AA2224" s="22" t="n"/>
      <c r="AB2224" s="22" t="n"/>
      <c r="AC2224" s="22" t="n"/>
      <c r="AD2224" s="22" t="n"/>
      <c r="AE2224" s="22" t="n"/>
    </row>
    <row r="2225" ht="70" customHeight="1" s="380">
      <c r="A2225" s="126" t="n">
        <v>98</v>
      </c>
      <c r="B2225" s="390" t="n"/>
      <c r="C2225" s="390" t="inlineStr">
        <is>
          <t>Báo cáo theo Thông tư 121/2020/TT-BTC &gt;&gt; Báo báo tài chính &gt;&gt; Báo cáo lưu chuyển tiền tệ riêng_06613</t>
        </is>
      </c>
      <c r="D2225" s="390" t="inlineStr">
        <is>
          <t>- Tăng (giảm)  chi phí trả trước</t>
        </is>
      </c>
      <c r="E2225" s="390" t="n">
        <v>42</v>
      </c>
      <c r="F2225" s="390" t="inlineStr">
        <is>
          <t>Data Explorer</t>
        </is>
      </c>
      <c r="G2225" s="390" t="inlineStr">
        <is>
          <t>Chỉ tiêu cơ sở</t>
        </is>
      </c>
      <c r="H2225" s="390" t="inlineStr">
        <is>
          <t>Dễ</t>
        </is>
      </c>
      <c r="I2225" s="390" t="inlineStr">
        <is>
          <t>Ngày, CTCK</t>
        </is>
      </c>
      <c r="J2225" s="401" t="inlineStr">
        <is>
          <t>SCMS</t>
        </is>
      </c>
      <c r="K2225" s="401" t="n"/>
      <c r="L2225" s="401" t="inlineStr">
        <is>
          <t>X</t>
        </is>
      </c>
      <c r="M2225" s="401" t="n"/>
      <c r="N2225" s="401" t="inlineStr">
        <is>
          <t>Done</t>
        </is>
      </c>
      <c r="O2225" s="401" t="n"/>
      <c r="P2225" s="22" t="n"/>
      <c r="S2225" s="22" t="n"/>
      <c r="U2225" s="16" t="n"/>
      <c r="V2225" s="22" t="n"/>
      <c r="W2225" s="22" t="n"/>
      <c r="X2225" s="22" t="n"/>
      <c r="Y2225" s="13" t="n"/>
      <c r="Z2225" s="22" t="n"/>
      <c r="AA2225" s="22" t="n"/>
      <c r="AB2225" s="22" t="n"/>
      <c r="AC2225" s="22" t="n"/>
      <c r="AD2225" s="22" t="n"/>
      <c r="AE2225" s="22" t="n"/>
    </row>
    <row r="2226" ht="70" customHeight="1" s="380">
      <c r="A2226" s="126" t="n">
        <v>98</v>
      </c>
      <c r="B2226" s="390" t="n"/>
      <c r="C2226" s="390" t="inlineStr">
        <is>
          <t>Báo cáo theo Thông tư 121/2020/TT-BTC &gt;&gt; Báo báo tài chính &gt;&gt; Báo cáo lưu chuyển tiền tệ riêng_06613</t>
        </is>
      </c>
      <c r="D2226" s="390" t="inlineStr">
        <is>
          <t xml:space="preserve">(-) Thuế TNDN đã nộp </t>
        </is>
      </c>
      <c r="E2226" s="390" t="n">
        <v>43</v>
      </c>
      <c r="F2226" s="390" t="inlineStr">
        <is>
          <t>Data Explorer</t>
        </is>
      </c>
      <c r="G2226" s="390" t="inlineStr">
        <is>
          <t>Chỉ tiêu cơ sở</t>
        </is>
      </c>
      <c r="H2226" s="390" t="inlineStr">
        <is>
          <t>Dễ</t>
        </is>
      </c>
      <c r="I2226" s="390" t="inlineStr">
        <is>
          <t>Ngày, CTCK</t>
        </is>
      </c>
      <c r="J2226" s="401" t="inlineStr">
        <is>
          <t>SCMS</t>
        </is>
      </c>
      <c r="K2226" s="401" t="n"/>
      <c r="L2226" s="401" t="inlineStr">
        <is>
          <t>X</t>
        </is>
      </c>
      <c r="M2226" s="401" t="n"/>
      <c r="N2226" s="401" t="inlineStr">
        <is>
          <t>Done</t>
        </is>
      </c>
      <c r="O2226" s="401" t="n"/>
      <c r="P2226" s="22" t="n"/>
      <c r="S2226" s="22" t="n"/>
      <c r="U2226" s="16" t="n"/>
      <c r="V2226" s="22" t="n"/>
      <c r="W2226" s="22" t="n"/>
      <c r="X2226" s="22" t="n"/>
      <c r="Y2226" s="38" t="n"/>
      <c r="Z2226" s="22" t="n"/>
      <c r="AA2226" s="22" t="n"/>
      <c r="AB2226" s="22" t="n"/>
      <c r="AC2226" s="22" t="n"/>
      <c r="AD2226" s="22" t="n"/>
      <c r="AE2226" s="22" t="n"/>
    </row>
    <row r="2227" ht="70" customHeight="1" s="380">
      <c r="A2227" s="126" t="n">
        <v>98</v>
      </c>
      <c r="B2227" s="390" t="n"/>
      <c r="C2227" s="390" t="inlineStr">
        <is>
          <t>Báo cáo theo Thông tư 121/2020/TT-BTC &gt;&gt; Báo báo tài chính &gt;&gt; Báo cáo lưu chuyển tiền tệ riêng_06613</t>
        </is>
      </c>
      <c r="D2227" s="390" t="inlineStr">
        <is>
          <t>(-) Lãi vay đã trả</t>
        </is>
      </c>
      <c r="E2227" s="390" t="n">
        <v>44</v>
      </c>
      <c r="F2227" s="390" t="inlineStr">
        <is>
          <t>Data Explorer</t>
        </is>
      </c>
      <c r="G2227" s="390" t="inlineStr">
        <is>
          <t>Chỉ tiêu cơ sở</t>
        </is>
      </c>
      <c r="H2227" s="390" t="inlineStr">
        <is>
          <t>Dễ</t>
        </is>
      </c>
      <c r="I2227" s="390" t="inlineStr">
        <is>
          <t>Ngày, CTCK</t>
        </is>
      </c>
      <c r="J2227" s="401" t="inlineStr">
        <is>
          <t>SCMS</t>
        </is>
      </c>
      <c r="K2227" s="401" t="n"/>
      <c r="L2227" s="401" t="inlineStr">
        <is>
          <t>X</t>
        </is>
      </c>
      <c r="M2227" s="401" t="n"/>
      <c r="N2227" s="401" t="inlineStr">
        <is>
          <t>Done</t>
        </is>
      </c>
      <c r="O2227" s="401" t="n"/>
      <c r="P2227" s="22" t="n"/>
      <c r="S2227" s="22" t="n"/>
      <c r="U2227" s="16" t="n"/>
      <c r="V2227" s="22" t="n"/>
      <c r="W2227" s="22" t="n"/>
      <c r="X2227" s="22" t="n"/>
      <c r="Y2227" s="13" t="n"/>
      <c r="Z2227" s="22" t="n"/>
      <c r="AA2227" s="22" t="n"/>
      <c r="AB2227" s="22" t="n"/>
      <c r="AC2227" s="22" t="n"/>
      <c r="AD2227" s="22" t="n"/>
      <c r="AE2227" s="22" t="n"/>
    </row>
    <row r="2228" ht="70" customHeight="1" s="380">
      <c r="A2228" s="126" t="n">
        <v>98</v>
      </c>
      <c r="B2228" s="390" t="n"/>
      <c r="C2228" s="390" t="inlineStr">
        <is>
          <t>Báo cáo theo Thông tư 121/2020/TT-BTC &gt;&gt; Báo báo tài chính &gt;&gt; Báo cáo lưu chuyển tiền tệ riêng_06613</t>
        </is>
      </c>
      <c r="D2228" s="390" t="inlineStr">
        <is>
          <t>-  Tăng (giảm) phải trả cho người bán</t>
        </is>
      </c>
      <c r="E2228" s="390" t="n">
        <v>45</v>
      </c>
      <c r="F2228" s="390" t="inlineStr">
        <is>
          <t>Data Explorer</t>
        </is>
      </c>
      <c r="G2228" s="390" t="inlineStr">
        <is>
          <t>Chỉ tiêu cơ sở</t>
        </is>
      </c>
      <c r="H2228" s="390" t="inlineStr">
        <is>
          <t>Dễ</t>
        </is>
      </c>
      <c r="I2228" s="390" t="inlineStr">
        <is>
          <t>Ngày, CTCK</t>
        </is>
      </c>
      <c r="J2228" s="401" t="inlineStr">
        <is>
          <t>SCMS</t>
        </is>
      </c>
      <c r="K2228" s="401" t="n"/>
      <c r="L2228" s="401" t="inlineStr">
        <is>
          <t>X</t>
        </is>
      </c>
      <c r="M2228" s="401" t="n"/>
      <c r="N2228" s="401" t="inlineStr">
        <is>
          <t>Done</t>
        </is>
      </c>
      <c r="O2228" s="401" t="n"/>
      <c r="P2228" s="22" t="n"/>
      <c r="S2228" s="22" t="n"/>
      <c r="U2228" s="16" t="n"/>
      <c r="V2228" s="22" t="n"/>
      <c r="W2228" s="22" t="n"/>
      <c r="X2228" s="22" t="n"/>
      <c r="Y2228" s="13" t="n"/>
      <c r="Z2228" s="22" t="n"/>
      <c r="AA2228" s="22" t="n"/>
      <c r="AB2228" s="22" t="n"/>
      <c r="AC2228" s="22" t="n"/>
      <c r="AD2228" s="22" t="n"/>
      <c r="AE2228" s="22" t="n"/>
    </row>
    <row r="2229" ht="70" customHeight="1" s="380">
      <c r="A2229" s="126" t="n">
        <v>98</v>
      </c>
      <c r="B2229" s="390" t="n"/>
      <c r="C2229" s="390" t="inlineStr">
        <is>
          <t>Báo cáo theo Thông tư 121/2020/TT-BTC &gt;&gt; Báo báo tài chính &gt;&gt; Báo cáo lưu chuyển tiền tệ riêng_06613</t>
        </is>
      </c>
      <c r="D2229" s="390" t="inlineStr">
        <is>
          <t>-  Tăng (giảm) các khoản trích nộp phúc lợi nhân viên</t>
        </is>
      </c>
      <c r="E2229" s="390" t="n">
        <v>46</v>
      </c>
      <c r="F2229" s="390" t="inlineStr">
        <is>
          <t>Data Explorer</t>
        </is>
      </c>
      <c r="G2229" s="390" t="inlineStr">
        <is>
          <t>Chỉ tiêu cơ sở</t>
        </is>
      </c>
      <c r="H2229" s="390" t="inlineStr">
        <is>
          <t>Dễ</t>
        </is>
      </c>
      <c r="I2229" s="390" t="inlineStr">
        <is>
          <t>Ngày, CTCK</t>
        </is>
      </c>
      <c r="J2229" s="401" t="inlineStr">
        <is>
          <t>SCMS</t>
        </is>
      </c>
      <c r="K2229" s="401" t="n"/>
      <c r="L2229" s="401" t="inlineStr">
        <is>
          <t>X</t>
        </is>
      </c>
      <c r="M2229" s="401" t="n"/>
      <c r="N2229" s="401" t="inlineStr">
        <is>
          <t>Done</t>
        </is>
      </c>
      <c r="O2229" s="401" t="n"/>
      <c r="P2229" s="22" t="n"/>
      <c r="S2229" s="22" t="n"/>
      <c r="U2229" s="16" t="n"/>
      <c r="V2229" s="22" t="n"/>
      <c r="W2229" s="22" t="n"/>
      <c r="X2229" s="22" t="n"/>
      <c r="Y2229" s="13" t="n"/>
      <c r="Z2229" s="22" t="n"/>
      <c r="AA2229" s="22" t="n"/>
      <c r="AB2229" s="22" t="n"/>
      <c r="AC2229" s="22" t="n"/>
      <c r="AD2229" s="22" t="n"/>
      <c r="AE2229" s="22" t="n"/>
    </row>
    <row r="2230" ht="70" customHeight="1" s="380">
      <c r="A2230" s="126" t="n">
        <v>98</v>
      </c>
      <c r="B2230" s="390" t="n"/>
      <c r="C2230" s="390" t="inlineStr">
        <is>
          <t>Báo cáo theo Thông tư 121/2020/TT-BTC &gt;&gt; Báo báo tài chính &gt;&gt; Báo cáo lưu chuyển tiền tệ riêng_06613</t>
        </is>
      </c>
      <c r="D2230" s="390" t="inlineStr">
        <is>
          <t>-  Tăng (giảm) thuế và các khoản phải nộp Nhà nước (Không bao gồm thuế TNDN đã nộp)</t>
        </is>
      </c>
      <c r="E2230" s="390" t="n">
        <v>47</v>
      </c>
      <c r="F2230" s="390" t="inlineStr">
        <is>
          <t>Data Explorer</t>
        </is>
      </c>
      <c r="G2230" s="390" t="inlineStr">
        <is>
          <t>Chỉ tiêu cơ sở</t>
        </is>
      </c>
      <c r="H2230" s="390" t="inlineStr">
        <is>
          <t>Dễ</t>
        </is>
      </c>
      <c r="I2230" s="390" t="inlineStr">
        <is>
          <t>Ngày, CTCK</t>
        </is>
      </c>
      <c r="J2230" s="401" t="inlineStr">
        <is>
          <t>SCMS</t>
        </is>
      </c>
      <c r="K2230" s="401" t="n"/>
      <c r="L2230" s="401" t="inlineStr">
        <is>
          <t>X</t>
        </is>
      </c>
      <c r="M2230" s="401" t="n"/>
      <c r="N2230" s="401" t="inlineStr">
        <is>
          <t>Done</t>
        </is>
      </c>
      <c r="O2230" s="401" t="n"/>
      <c r="P2230" s="22" t="n"/>
      <c r="S2230" s="22" t="n"/>
      <c r="U2230" s="16" t="n"/>
      <c r="V2230" s="22" t="n"/>
      <c r="W2230" s="22" t="n"/>
      <c r="X2230" s="22" t="n"/>
      <c r="Y2230" s="13" t="n"/>
      <c r="Z2230" s="22" t="n"/>
      <c r="AA2230" s="22" t="n"/>
      <c r="AB2230" s="22" t="n"/>
      <c r="AC2230" s="22" t="n"/>
      <c r="AD2230" s="22" t="n"/>
      <c r="AE2230" s="22" t="n"/>
    </row>
    <row r="2231" ht="70" customHeight="1" s="380">
      <c r="A2231" s="126" t="n">
        <v>98</v>
      </c>
      <c r="B2231" s="390" t="n"/>
      <c r="C2231" s="390" t="inlineStr">
        <is>
          <t>Báo cáo theo Thông tư 121/2020/TT-BTC &gt;&gt; Báo báo tài chính &gt;&gt; Báo cáo lưu chuyển tiền tệ riêng_06613</t>
        </is>
      </c>
      <c r="D2231" s="390" t="inlineStr">
        <is>
          <t>-  Tăng (giảm) phải trả người lao động</t>
        </is>
      </c>
      <c r="E2231" s="390" t="n">
        <v>48</v>
      </c>
      <c r="F2231" s="390" t="inlineStr">
        <is>
          <t>Data Explorer</t>
        </is>
      </c>
      <c r="G2231" s="390" t="inlineStr">
        <is>
          <t>Chỉ tiêu cơ sở</t>
        </is>
      </c>
      <c r="H2231" s="390" t="inlineStr">
        <is>
          <t>Dễ</t>
        </is>
      </c>
      <c r="I2231" s="390" t="inlineStr">
        <is>
          <t>Ngày, CTCK</t>
        </is>
      </c>
      <c r="J2231" s="401" t="inlineStr">
        <is>
          <t>SCMS</t>
        </is>
      </c>
      <c r="K2231" s="401" t="n"/>
      <c r="L2231" s="401" t="inlineStr">
        <is>
          <t>X</t>
        </is>
      </c>
      <c r="M2231" s="401" t="n"/>
      <c r="N2231" s="401" t="inlineStr">
        <is>
          <t>Done</t>
        </is>
      </c>
      <c r="O2231" s="401" t="n"/>
      <c r="P2231" s="22" t="n"/>
      <c r="S2231" s="22" t="n"/>
      <c r="U2231" s="16" t="n"/>
      <c r="V2231" s="22" t="n"/>
      <c r="W2231" s="22" t="n"/>
      <c r="X2231" s="22" t="n"/>
      <c r="Y2231" s="13" t="n"/>
      <c r="Z2231" s="22" t="n"/>
      <c r="AA2231" s="22" t="n"/>
      <c r="AB2231" s="22" t="n"/>
      <c r="AC2231" s="22" t="n"/>
      <c r="AD2231" s="22" t="n"/>
      <c r="AE2231" s="22" t="n"/>
    </row>
    <row r="2232" ht="70" customHeight="1" s="380">
      <c r="A2232" s="126" t="n">
        <v>98</v>
      </c>
      <c r="B2232" s="390" t="n"/>
      <c r="C2232" s="390" t="inlineStr">
        <is>
          <t>Báo cáo theo Thông tư 121/2020/TT-BTC &gt;&gt; Báo báo tài chính &gt;&gt; Báo cáo lưu chuyển tiền tệ riêng_06613</t>
        </is>
      </c>
      <c r="D2232" s="390" t="inlineStr">
        <is>
          <t>- Tăng (giảm) phải trả về lỗi giao dịch các TSTC</t>
        </is>
      </c>
      <c r="E2232" s="390" t="n">
        <v>49</v>
      </c>
      <c r="F2232" s="390" t="inlineStr">
        <is>
          <t>Data Explorer</t>
        </is>
      </c>
      <c r="G2232" s="390" t="inlineStr">
        <is>
          <t>Chỉ tiêu cơ sở</t>
        </is>
      </c>
      <c r="H2232" s="390" t="inlineStr">
        <is>
          <t>Dễ</t>
        </is>
      </c>
      <c r="I2232" s="390" t="inlineStr">
        <is>
          <t>Ngày, CTCK</t>
        </is>
      </c>
      <c r="J2232" s="401" t="inlineStr">
        <is>
          <t>SCMS</t>
        </is>
      </c>
      <c r="K2232" s="401" t="n"/>
      <c r="L2232" s="401" t="inlineStr">
        <is>
          <t>X</t>
        </is>
      </c>
      <c r="M2232" s="401" t="n"/>
      <c r="N2232" s="401" t="inlineStr">
        <is>
          <t>Done</t>
        </is>
      </c>
      <c r="O2232" s="401" t="n"/>
      <c r="P2232" s="22" t="n"/>
      <c r="S2232" s="22" t="n"/>
      <c r="U2232" s="16" t="n"/>
      <c r="V2232" s="22" t="n"/>
      <c r="W2232" s="22" t="n"/>
      <c r="X2232" s="22" t="n"/>
      <c r="Y2232" s="14" t="n"/>
      <c r="Z2232" s="22" t="n"/>
      <c r="AA2232" s="22" t="n"/>
      <c r="AB2232" s="22" t="n"/>
      <c r="AC2232" s="22" t="n"/>
      <c r="AD2232" s="22" t="n"/>
      <c r="AE2232" s="22" t="n"/>
    </row>
    <row r="2233" ht="70" customHeight="1" s="380">
      <c r="A2233" s="126" t="n">
        <v>98</v>
      </c>
      <c r="B2233" s="390" t="n"/>
      <c r="C2233" s="390" t="inlineStr">
        <is>
          <t>Báo cáo theo Thông tư 121/2020/TT-BTC &gt;&gt; Báo báo tài chính &gt;&gt; Báo cáo lưu chuyển tiền tệ riêng_06613</t>
        </is>
      </c>
      <c r="D2233" s="390" t="inlineStr">
        <is>
          <t>-  Tăng (giảm) phải trả, phải nộp khác</t>
        </is>
      </c>
      <c r="E2233" s="390" t="n">
        <v>50</v>
      </c>
      <c r="F2233" s="390" t="inlineStr">
        <is>
          <t>Data Explorer</t>
        </is>
      </c>
      <c r="G2233" s="390" t="inlineStr">
        <is>
          <t>Chỉ tiêu cơ sở</t>
        </is>
      </c>
      <c r="H2233" s="390" t="inlineStr">
        <is>
          <t>Dễ</t>
        </is>
      </c>
      <c r="I2233" s="390" t="inlineStr">
        <is>
          <t>Ngày, CTCK</t>
        </is>
      </c>
      <c r="J2233" s="401" t="inlineStr">
        <is>
          <t>SCMS</t>
        </is>
      </c>
      <c r="K2233" s="401" t="n"/>
      <c r="L2233" s="401" t="inlineStr">
        <is>
          <t>X</t>
        </is>
      </c>
      <c r="M2233" s="401" t="n"/>
      <c r="N2233" s="401" t="inlineStr">
        <is>
          <t>Done</t>
        </is>
      </c>
      <c r="O2233" s="401" t="n"/>
      <c r="P2233" s="22" t="n"/>
      <c r="S2233" s="22" t="n"/>
      <c r="U2233" s="16" t="n"/>
      <c r="V2233" s="22" t="n"/>
      <c r="W2233" s="22" t="n"/>
      <c r="X2233" s="22" t="n"/>
      <c r="Y2233" s="13" t="n"/>
      <c r="Z2233" s="22" t="n"/>
      <c r="AA2233" s="22" t="n"/>
      <c r="AB2233" s="22" t="n"/>
      <c r="AC2233" s="22" t="n"/>
      <c r="AD2233" s="22" t="n"/>
      <c r="AE2233" s="22" t="n"/>
    </row>
    <row r="2234" ht="70" customHeight="1" s="380">
      <c r="A2234" s="126" t="n">
        <v>98</v>
      </c>
      <c r="B2234" s="390" t="n"/>
      <c r="C2234" s="390" t="inlineStr">
        <is>
          <t>Báo cáo theo Thông tư 121/2020/TT-BTC &gt;&gt; Báo báo tài chính &gt;&gt; Báo cáo lưu chuyển tiền tệ riêng_06613</t>
        </is>
      </c>
      <c r="D2234" s="390" t="inlineStr">
        <is>
          <t>- Tiền thu khác từ hoạt động kinh doanh</t>
        </is>
      </c>
      <c r="E2234" s="390" t="n">
        <v>51</v>
      </c>
      <c r="F2234" s="390" t="inlineStr">
        <is>
          <t>Data Explorer</t>
        </is>
      </c>
      <c r="G2234" s="390" t="inlineStr">
        <is>
          <t>Chỉ tiêu cơ sở</t>
        </is>
      </c>
      <c r="H2234" s="390" t="inlineStr">
        <is>
          <t>Dễ</t>
        </is>
      </c>
      <c r="I2234" s="390" t="inlineStr">
        <is>
          <t>Ngày, CTCK</t>
        </is>
      </c>
      <c r="J2234" s="401" t="inlineStr">
        <is>
          <t>SCMS</t>
        </is>
      </c>
      <c r="K2234" s="401" t="n"/>
      <c r="L2234" s="401" t="inlineStr">
        <is>
          <t>X</t>
        </is>
      </c>
      <c r="M2234" s="401" t="n"/>
      <c r="N2234" s="401" t="inlineStr">
        <is>
          <t>Done</t>
        </is>
      </c>
      <c r="O2234" s="401" t="n"/>
      <c r="P2234" s="22" t="n"/>
      <c r="S2234" s="22" t="n"/>
      <c r="U2234" s="16" t="n"/>
      <c r="V2234" s="22" t="n"/>
      <c r="W2234" s="22" t="n"/>
      <c r="X2234" s="22" t="n"/>
      <c r="Y2234" s="13" t="n"/>
      <c r="Z2234" s="22" t="n"/>
      <c r="AA2234" s="22" t="n"/>
      <c r="AB2234" s="22" t="n"/>
      <c r="AC2234" s="22" t="n"/>
      <c r="AD2234" s="22" t="n"/>
      <c r="AE2234" s="22" t="n"/>
    </row>
    <row r="2235" ht="70" customHeight="1" s="380">
      <c r="A2235" s="126" t="n">
        <v>98</v>
      </c>
      <c r="B2235" s="390" t="n"/>
      <c r="C2235" s="390" t="inlineStr">
        <is>
          <t>Báo cáo theo Thông tư 121/2020/TT-BTC &gt;&gt; Báo báo tài chính &gt;&gt; Báo cáo lưu chuyển tiền tệ riêng_06613</t>
        </is>
      </c>
      <c r="D2235" s="390" t="inlineStr">
        <is>
          <t>- Tiền chi khác cho hoạt động kinh doanh</t>
        </is>
      </c>
      <c r="E2235" s="390" t="n">
        <v>52</v>
      </c>
      <c r="F2235" s="390" t="inlineStr">
        <is>
          <t>Data Explorer</t>
        </is>
      </c>
      <c r="G2235" s="390" t="inlineStr">
        <is>
          <t>Chỉ tiêu cơ sở</t>
        </is>
      </c>
      <c r="H2235" s="390" t="inlineStr">
        <is>
          <t>Dễ</t>
        </is>
      </c>
      <c r="I2235" s="390" t="inlineStr">
        <is>
          <t>Ngày, CTCK</t>
        </is>
      </c>
      <c r="J2235" s="401" t="inlineStr">
        <is>
          <t>SCMS</t>
        </is>
      </c>
      <c r="K2235" s="401" t="n"/>
      <c r="L2235" s="401" t="inlineStr">
        <is>
          <t>X</t>
        </is>
      </c>
      <c r="M2235" s="401" t="n"/>
      <c r="N2235" s="401" t="inlineStr">
        <is>
          <t>Done</t>
        </is>
      </c>
      <c r="O2235" s="401" t="n"/>
      <c r="P2235" s="22" t="n"/>
      <c r="S2235" s="22" t="n"/>
      <c r="U2235" s="16" t="n"/>
      <c r="V2235" s="22" t="n"/>
      <c r="W2235" s="22" t="n"/>
      <c r="X2235" s="22" t="n"/>
      <c r="Y2235" s="13" t="n"/>
      <c r="Z2235" s="22" t="n"/>
      <c r="AA2235" s="22" t="n"/>
      <c r="AB2235" s="22" t="n"/>
      <c r="AC2235" s="22" t="n"/>
      <c r="AD2235" s="22" t="n"/>
      <c r="AE2235" s="22" t="n"/>
    </row>
    <row r="2236" ht="70" customHeight="1" s="380">
      <c r="A2236" s="126" t="n">
        <v>98</v>
      </c>
      <c r="B2236" s="390" t="n"/>
      <c r="C2236" s="390" t="inlineStr">
        <is>
          <t>Báo cáo theo Thông tư 121/2020/TT-BTC &gt;&gt; Báo báo tài chính &gt;&gt; Báo cáo lưu chuyển tiền tệ riêng_06613</t>
        </is>
      </c>
      <c r="D2236" s="132" t="inlineStr">
        <is>
          <t>Lưu chuyển tiền thuần từ hoạt động kinh doanh</t>
        </is>
      </c>
      <c r="E2236" s="132" t="n">
        <v>60</v>
      </c>
      <c r="F2236" s="390" t="inlineStr">
        <is>
          <t>Data Explorer</t>
        </is>
      </c>
      <c r="G2236" s="390" t="inlineStr">
        <is>
          <t>Chỉ tiêu cơ sở</t>
        </is>
      </c>
      <c r="H2236" s="390" t="inlineStr">
        <is>
          <t>Dễ</t>
        </is>
      </c>
      <c r="I2236" s="390" t="inlineStr">
        <is>
          <t>Ngày, CTCK</t>
        </is>
      </c>
      <c r="J2236" s="401" t="inlineStr">
        <is>
          <t>SCMS</t>
        </is>
      </c>
      <c r="K2236" s="401" t="n"/>
      <c r="L2236" s="401" t="inlineStr">
        <is>
          <t>X</t>
        </is>
      </c>
      <c r="M2236" s="401" t="n"/>
      <c r="N2236" s="401" t="inlineStr">
        <is>
          <t>Done</t>
        </is>
      </c>
      <c r="O2236" s="401" t="n"/>
      <c r="P2236" s="22" t="n"/>
      <c r="S2236" s="22" t="n"/>
      <c r="U2236" s="16" t="n"/>
      <c r="V2236" s="22" t="n"/>
      <c r="W2236" s="22" t="n"/>
      <c r="X2236" s="22" t="n"/>
      <c r="Y2236" s="13" t="n"/>
      <c r="Z2236" s="22" t="n"/>
      <c r="AA2236" s="22" t="n"/>
      <c r="AB2236" s="22" t="n"/>
      <c r="AC2236" s="22" t="n"/>
      <c r="AD2236" s="22" t="n"/>
      <c r="AE2236" s="22" t="n"/>
    </row>
    <row r="2237" ht="70" customHeight="1" s="380">
      <c r="A2237" s="126" t="n">
        <v>98</v>
      </c>
      <c r="B2237" s="390" t="n"/>
      <c r="C2237" s="390" t="inlineStr">
        <is>
          <t>Báo cáo theo Thông tư 121/2020/TT-BTC &gt;&gt; Báo báo tài chính &gt;&gt; Báo cáo lưu chuyển tiền tệ riêng_06613</t>
        </is>
      </c>
      <c r="D2237" s="132" t="inlineStr">
        <is>
          <t>II. Lưu chuyển tiền từ hoạt động đầu tư</t>
        </is>
      </c>
      <c r="E2237" s="401" t="n"/>
      <c r="F2237" s="390" t="inlineStr">
        <is>
          <t>Data Explorer</t>
        </is>
      </c>
      <c r="G2237" s="390" t="inlineStr">
        <is>
          <t>Chỉ tiêu cơ sở</t>
        </is>
      </c>
      <c r="H2237" s="390" t="inlineStr">
        <is>
          <t>Dễ</t>
        </is>
      </c>
      <c r="I2237" s="390" t="inlineStr">
        <is>
          <t>Ngày, CTCK</t>
        </is>
      </c>
      <c r="J2237" s="401" t="inlineStr">
        <is>
          <t>SCMS</t>
        </is>
      </c>
      <c r="K2237" s="401" t="n"/>
      <c r="L2237" s="401" t="inlineStr">
        <is>
          <t>X</t>
        </is>
      </c>
      <c r="M2237" s="401" t="n"/>
      <c r="N2237" s="401" t="inlineStr">
        <is>
          <t>Done</t>
        </is>
      </c>
      <c r="O2237" s="401" t="n"/>
      <c r="P2237" s="22" t="n"/>
      <c r="S2237" s="22" t="n"/>
      <c r="U2237" s="16" t="n"/>
      <c r="V2237" s="22" t="n"/>
      <c r="W2237" s="22" t="n"/>
      <c r="X2237" s="22" t="n"/>
      <c r="Y2237" s="14" t="n"/>
      <c r="Z2237" s="22" t="n"/>
      <c r="AA2237" s="22" t="n"/>
      <c r="AB2237" s="22" t="n"/>
      <c r="AC2237" s="22" t="n"/>
      <c r="AD2237" s="22" t="n"/>
      <c r="AE2237" s="22" t="n"/>
    </row>
    <row r="2238" ht="70" customHeight="1" s="380">
      <c r="A2238" s="126" t="n">
        <v>98</v>
      </c>
      <c r="B2238" s="390" t="n"/>
      <c r="C2238" s="390" t="inlineStr">
        <is>
          <t>Báo cáo theo Thông tư 121/2020/TT-BTC &gt;&gt; Báo báo tài chính &gt;&gt; Báo cáo lưu chuyển tiền tệ riêng_06613</t>
        </is>
      </c>
      <c r="D2238" s="390" t="inlineStr">
        <is>
          <t>1. Tiền chi để mua sắm, xây dựng TSCĐ, BĐSĐT và các tài sản khác</t>
        </is>
      </c>
      <c r="E2238" s="390" t="n">
        <v>61</v>
      </c>
      <c r="F2238" s="390" t="inlineStr">
        <is>
          <t>Data Explorer</t>
        </is>
      </c>
      <c r="G2238" s="390" t="inlineStr">
        <is>
          <t>Chỉ tiêu cơ sở</t>
        </is>
      </c>
      <c r="H2238" s="390" t="inlineStr">
        <is>
          <t>Dễ</t>
        </is>
      </c>
      <c r="I2238" s="390" t="inlineStr">
        <is>
          <t>Ngày, CTCK</t>
        </is>
      </c>
      <c r="J2238" s="401" t="inlineStr">
        <is>
          <t>SCMS</t>
        </is>
      </c>
      <c r="K2238" s="401" t="n"/>
      <c r="L2238" s="401" t="inlineStr">
        <is>
          <t>X</t>
        </is>
      </c>
      <c r="M2238" s="401" t="n"/>
      <c r="N2238" s="401" t="inlineStr">
        <is>
          <t>Done</t>
        </is>
      </c>
      <c r="O2238" s="401" t="n"/>
      <c r="P2238" s="22" t="n"/>
      <c r="S2238" s="22" t="n"/>
      <c r="U2238" s="16" t="n"/>
      <c r="V2238" s="22" t="n"/>
      <c r="W2238" s="22" t="n"/>
      <c r="X2238" s="22" t="n"/>
      <c r="Y2238" s="13" t="n"/>
      <c r="Z2238" s="22" t="n"/>
      <c r="AA2238" s="22" t="n"/>
      <c r="AB2238" s="22" t="n"/>
      <c r="AC2238" s="22" t="n"/>
      <c r="AD2238" s="22" t="n"/>
      <c r="AE2238" s="22" t="n"/>
    </row>
    <row r="2239" ht="70" customHeight="1" s="380">
      <c r="A2239" s="126" t="n">
        <v>98</v>
      </c>
      <c r="B2239" s="390" t="n"/>
      <c r="C2239" s="390" t="inlineStr">
        <is>
          <t>Báo cáo theo Thông tư 121/2020/TT-BTC &gt;&gt; Báo báo tài chính &gt;&gt; Báo cáo lưu chuyển tiền tệ riêng_06613</t>
        </is>
      </c>
      <c r="D2239" s="390" t="inlineStr">
        <is>
          <t>2. Tiền thu từ thanh lý, nhượng bán TSCĐ, BĐSĐT và các tài sản khác</t>
        </is>
      </c>
      <c r="E2239" s="390" t="n">
        <v>62</v>
      </c>
      <c r="F2239" s="390" t="inlineStr">
        <is>
          <t>Data Explorer</t>
        </is>
      </c>
      <c r="G2239" s="390" t="inlineStr">
        <is>
          <t>Chỉ tiêu cơ sở</t>
        </is>
      </c>
      <c r="H2239" s="390" t="inlineStr">
        <is>
          <t>Dễ</t>
        </is>
      </c>
      <c r="I2239" s="390" t="inlineStr">
        <is>
          <t>Ngày, CTCK</t>
        </is>
      </c>
      <c r="J2239" s="401" t="inlineStr">
        <is>
          <t>SCMS</t>
        </is>
      </c>
      <c r="K2239" s="401" t="n"/>
      <c r="L2239" s="401" t="inlineStr">
        <is>
          <t>X</t>
        </is>
      </c>
      <c r="M2239" s="401" t="n"/>
      <c r="N2239" s="401" t="inlineStr">
        <is>
          <t>Done</t>
        </is>
      </c>
      <c r="O2239" s="401" t="n"/>
      <c r="P2239" s="22" t="n"/>
      <c r="S2239" s="22" t="n"/>
      <c r="U2239" s="16" t="n"/>
      <c r="V2239" s="22" t="n"/>
      <c r="W2239" s="22" t="n"/>
      <c r="X2239" s="22" t="n"/>
      <c r="Y2239" s="13" t="n"/>
      <c r="Z2239" s="22" t="n"/>
      <c r="AA2239" s="22" t="n"/>
      <c r="AB2239" s="22" t="n"/>
      <c r="AC2239" s="22" t="n"/>
      <c r="AD2239" s="22" t="n"/>
      <c r="AE2239" s="22" t="n"/>
    </row>
    <row r="2240" ht="70" customHeight="1" s="380">
      <c r="A2240" s="126" t="n">
        <v>98</v>
      </c>
      <c r="B2240" s="390" t="n"/>
      <c r="C2240" s="390" t="inlineStr">
        <is>
          <t>Báo cáo theo Thông tư 121/2020/TT-BTC &gt;&gt; Báo báo tài chính &gt;&gt; Báo cáo lưu chuyển tiền tệ riêng_06613</t>
        </is>
      </c>
      <c r="D2240" s="390" t="inlineStr">
        <is>
          <t>3. Tiền chi đầu tư vốn vào công ty con, công ty liên doanh, liên kết và đầu tư khác</t>
        </is>
      </c>
      <c r="E2240" s="390" t="n">
        <v>63</v>
      </c>
      <c r="F2240" s="390" t="inlineStr">
        <is>
          <t>Data Explorer</t>
        </is>
      </c>
      <c r="G2240" s="390" t="inlineStr">
        <is>
          <t>Chỉ tiêu cơ sở</t>
        </is>
      </c>
      <c r="H2240" s="390" t="inlineStr">
        <is>
          <t>Dễ</t>
        </is>
      </c>
      <c r="I2240" s="390" t="inlineStr">
        <is>
          <t>Ngày, CTCK</t>
        </is>
      </c>
      <c r="J2240" s="401" t="inlineStr">
        <is>
          <t>SCMS</t>
        </is>
      </c>
      <c r="K2240" s="401" t="n"/>
      <c r="L2240" s="401" t="inlineStr">
        <is>
          <t>X</t>
        </is>
      </c>
      <c r="M2240" s="401" t="n"/>
      <c r="N2240" s="401" t="inlineStr">
        <is>
          <t>Done</t>
        </is>
      </c>
      <c r="O2240" s="401" t="n"/>
      <c r="P2240" s="22" t="n"/>
      <c r="S2240" s="22" t="n"/>
      <c r="U2240" s="16" t="n"/>
      <c r="V2240" s="22" t="n"/>
      <c r="W2240" s="22" t="n"/>
      <c r="X2240" s="22" t="n"/>
      <c r="Y2240" s="13" t="n"/>
      <c r="Z2240" s="22" t="n"/>
      <c r="AA2240" s="22" t="n"/>
      <c r="AB2240" s="22" t="n"/>
      <c r="AC2240" s="22" t="n"/>
      <c r="AD2240" s="22" t="n"/>
      <c r="AE2240" s="22" t="n"/>
    </row>
    <row r="2241" ht="70" customHeight="1" s="380">
      <c r="A2241" s="126" t="n">
        <v>98</v>
      </c>
      <c r="B2241" s="390" t="n"/>
      <c r="C2241" s="390" t="inlineStr">
        <is>
          <t>Báo cáo theo Thông tư 121/2020/TT-BTC &gt;&gt; Báo báo tài chính &gt;&gt; Báo cáo lưu chuyển tiền tệ riêng_06613</t>
        </is>
      </c>
      <c r="D2241" s="390" t="inlineStr">
        <is>
          <t>4. Tiền thu hồi các khoản đầu tư vào công ty con, công ty liên doanh, liên kết và đầu tư khác</t>
        </is>
      </c>
      <c r="E2241" s="390" t="n">
        <v>64</v>
      </c>
      <c r="F2241" s="390" t="inlineStr">
        <is>
          <t>Data Explorer</t>
        </is>
      </c>
      <c r="G2241" s="390" t="inlineStr">
        <is>
          <t>Chỉ tiêu cơ sở</t>
        </is>
      </c>
      <c r="H2241" s="390" t="inlineStr">
        <is>
          <t>Dễ</t>
        </is>
      </c>
      <c r="I2241" s="390" t="inlineStr">
        <is>
          <t>Ngày, CTCK</t>
        </is>
      </c>
      <c r="J2241" s="401" t="inlineStr">
        <is>
          <t>SCMS</t>
        </is>
      </c>
      <c r="K2241" s="401" t="n"/>
      <c r="L2241" s="401" t="inlineStr">
        <is>
          <t>X</t>
        </is>
      </c>
      <c r="M2241" s="401" t="n"/>
      <c r="N2241" s="401" t="inlineStr">
        <is>
          <t>Done</t>
        </is>
      </c>
      <c r="O2241" s="401" t="n"/>
      <c r="P2241" s="22" t="n"/>
      <c r="S2241" s="22" t="n"/>
      <c r="U2241" s="16" t="n"/>
      <c r="V2241" s="22" t="n"/>
      <c r="W2241" s="22" t="n"/>
      <c r="X2241" s="22" t="n"/>
      <c r="Y2241" s="14" t="n"/>
      <c r="Z2241" s="22" t="n"/>
      <c r="AA2241" s="22" t="n"/>
      <c r="AB2241" s="22" t="n"/>
      <c r="AC2241" s="22" t="n"/>
      <c r="AD2241" s="22" t="n"/>
      <c r="AE2241" s="22" t="n"/>
    </row>
    <row r="2242" ht="70" customHeight="1" s="380">
      <c r="A2242" s="126" t="n">
        <v>98</v>
      </c>
      <c r="B2242" s="390" t="n"/>
      <c r="C2242" s="390" t="inlineStr">
        <is>
          <t>Báo cáo theo Thông tư 121/2020/TT-BTC &gt;&gt; Báo báo tài chính &gt;&gt; Báo cáo lưu chuyển tiền tệ riêng_06613</t>
        </is>
      </c>
      <c r="D2242" s="390" t="inlineStr">
        <is>
          <t>5. Tiền thu về cổ tức và lợi nhuận được chia từ các khoản đầu tư tài chính dài hạn</t>
        </is>
      </c>
      <c r="E2242" s="390" t="n">
        <v>65</v>
      </c>
      <c r="F2242" s="390" t="inlineStr">
        <is>
          <t>Data Explorer</t>
        </is>
      </c>
      <c r="G2242" s="390" t="inlineStr">
        <is>
          <t>Chỉ tiêu cơ sở</t>
        </is>
      </c>
      <c r="H2242" s="390" t="inlineStr">
        <is>
          <t>Dễ</t>
        </is>
      </c>
      <c r="I2242" s="390" t="inlineStr">
        <is>
          <t>Ngày, CTCK</t>
        </is>
      </c>
      <c r="J2242" s="401" t="inlineStr">
        <is>
          <t>SCMS</t>
        </is>
      </c>
      <c r="K2242" s="401" t="n"/>
      <c r="L2242" s="401" t="inlineStr">
        <is>
          <t>X</t>
        </is>
      </c>
      <c r="M2242" s="401" t="n"/>
      <c r="N2242" s="401" t="inlineStr">
        <is>
          <t>Done</t>
        </is>
      </c>
      <c r="O2242" s="401" t="n"/>
      <c r="P2242" s="22" t="n"/>
      <c r="S2242" s="22" t="n"/>
      <c r="U2242" s="16" t="n"/>
      <c r="V2242" s="22" t="n"/>
      <c r="W2242" s="22" t="n"/>
      <c r="X2242" s="22" t="n"/>
      <c r="Y2242" s="13" t="n"/>
      <c r="Z2242" s="22" t="n"/>
      <c r="AA2242" s="22" t="n"/>
      <c r="AB2242" s="22" t="n"/>
      <c r="AC2242" s="22" t="n"/>
      <c r="AD2242" s="22" t="n"/>
      <c r="AE2242" s="22" t="n"/>
    </row>
    <row r="2243" ht="70" customHeight="1" s="380">
      <c r="A2243" s="126" t="n">
        <v>98</v>
      </c>
      <c r="B2243" s="390" t="n"/>
      <c r="C2243" s="390" t="inlineStr">
        <is>
          <t>Báo cáo theo Thông tư 121/2020/TT-BTC &gt;&gt; Báo báo tài chính &gt;&gt; Báo cáo lưu chuyển tiền tệ riêng_06613</t>
        </is>
      </c>
      <c r="D2243" s="132" t="inlineStr">
        <is>
          <t>Lưu chuyển tiền thuần từ hoạt động đầu tư</t>
        </is>
      </c>
      <c r="E2243" s="132" t="n">
        <v>70</v>
      </c>
      <c r="F2243" s="390" t="inlineStr">
        <is>
          <t>Data Explorer</t>
        </is>
      </c>
      <c r="G2243" s="390" t="inlineStr">
        <is>
          <t>Chỉ tiêu cơ sở</t>
        </is>
      </c>
      <c r="H2243" s="390" t="inlineStr">
        <is>
          <t>Dễ</t>
        </is>
      </c>
      <c r="I2243" s="390" t="inlineStr">
        <is>
          <t>Ngày, CTCK</t>
        </is>
      </c>
      <c r="J2243" s="401" t="inlineStr">
        <is>
          <t>SCMS</t>
        </is>
      </c>
      <c r="K2243" s="401" t="n"/>
      <c r="L2243" s="401" t="inlineStr">
        <is>
          <t>X</t>
        </is>
      </c>
      <c r="M2243" s="401" t="n"/>
      <c r="N2243" s="401" t="inlineStr">
        <is>
          <t>Done</t>
        </is>
      </c>
      <c r="O2243" s="401" t="n"/>
      <c r="P2243" s="22" t="n"/>
      <c r="S2243" s="22" t="n"/>
      <c r="U2243" s="16" t="n"/>
      <c r="V2243" s="22" t="n"/>
      <c r="W2243" s="22" t="n"/>
      <c r="X2243" s="22" t="n"/>
      <c r="Y2243" s="13" t="n"/>
      <c r="Z2243" s="22" t="n"/>
      <c r="AA2243" s="22" t="n"/>
      <c r="AB2243" s="22" t="n"/>
      <c r="AC2243" s="22" t="n"/>
      <c r="AD2243" s="22" t="n"/>
      <c r="AE2243" s="22" t="n"/>
    </row>
    <row r="2244" ht="70" customHeight="1" s="380">
      <c r="A2244" s="126" t="n">
        <v>98</v>
      </c>
      <c r="B2244" s="390" t="n"/>
      <c r="C2244" s="390" t="inlineStr">
        <is>
          <t>Báo cáo theo Thông tư 121/2020/TT-BTC &gt;&gt; Báo báo tài chính &gt;&gt; Báo cáo lưu chuyển tiền tệ riêng_06613</t>
        </is>
      </c>
      <c r="D2244" s="132" t="inlineStr">
        <is>
          <t>III. Lưu chuyển tiền từ hoạt động tài chính</t>
        </is>
      </c>
      <c r="E2244" s="401" t="n"/>
      <c r="F2244" s="390" t="inlineStr">
        <is>
          <t>Data Explorer</t>
        </is>
      </c>
      <c r="G2244" s="390" t="inlineStr">
        <is>
          <t>Chỉ tiêu cơ sở</t>
        </is>
      </c>
      <c r="H2244" s="390" t="inlineStr">
        <is>
          <t>Dễ</t>
        </is>
      </c>
      <c r="I2244" s="390" t="inlineStr">
        <is>
          <t>Ngày, CTCK</t>
        </is>
      </c>
      <c r="J2244" s="401" t="inlineStr">
        <is>
          <t>SCMS</t>
        </is>
      </c>
      <c r="K2244" s="401" t="n"/>
      <c r="L2244" s="401" t="inlineStr">
        <is>
          <t>X</t>
        </is>
      </c>
      <c r="M2244" s="401" t="n"/>
      <c r="N2244" s="401" t="inlineStr">
        <is>
          <t>Done</t>
        </is>
      </c>
      <c r="O2244" s="401" t="n"/>
      <c r="P2244" s="22" t="n"/>
      <c r="S2244" s="22" t="n"/>
      <c r="U2244" s="16" t="n"/>
      <c r="V2244" s="22" t="n"/>
      <c r="W2244" s="22" t="n"/>
      <c r="X2244" s="22" t="n"/>
      <c r="Y2244" s="13" t="n"/>
      <c r="Z2244" s="22" t="n"/>
      <c r="AA2244" s="22" t="n"/>
      <c r="AB2244" s="22" t="n"/>
      <c r="AC2244" s="22" t="n"/>
      <c r="AD2244" s="22" t="n"/>
      <c r="AE2244" s="22" t="n"/>
    </row>
    <row r="2245" ht="70" customHeight="1" s="380">
      <c r="A2245" s="126" t="n">
        <v>98</v>
      </c>
      <c r="B2245" s="390" t="n"/>
      <c r="C2245" s="390" t="inlineStr">
        <is>
          <t>Báo cáo theo Thông tư 121/2020/TT-BTC &gt;&gt; Báo báo tài chính &gt;&gt; Báo cáo lưu chuyển tiền tệ riêng_06613</t>
        </is>
      </c>
      <c r="D2245" s="390" t="inlineStr">
        <is>
          <t>1.Tiền thu từ phát hành cổ phiếu, nhận vốn góp của chủ sở hữu</t>
        </is>
      </c>
      <c r="E2245" s="390" t="n">
        <v>71</v>
      </c>
      <c r="F2245" s="390" t="inlineStr">
        <is>
          <t>Data Explorer</t>
        </is>
      </c>
      <c r="G2245" s="390" t="inlineStr">
        <is>
          <t>Chỉ tiêu cơ sở</t>
        </is>
      </c>
      <c r="H2245" s="390" t="inlineStr">
        <is>
          <t>Dễ</t>
        </is>
      </c>
      <c r="I2245" s="390" t="inlineStr">
        <is>
          <t>Ngày, CTCK</t>
        </is>
      </c>
      <c r="J2245" s="401" t="inlineStr">
        <is>
          <t>SCMS</t>
        </is>
      </c>
      <c r="K2245" s="401" t="n"/>
      <c r="L2245" s="401" t="inlineStr">
        <is>
          <t>X</t>
        </is>
      </c>
      <c r="M2245" s="401" t="n"/>
      <c r="N2245" s="401" t="inlineStr">
        <is>
          <t>Done</t>
        </is>
      </c>
      <c r="O2245" s="401" t="n"/>
      <c r="P2245" s="22" t="n"/>
      <c r="S2245" s="22" t="n"/>
      <c r="U2245" s="16" t="n"/>
      <c r="V2245" s="22" t="n"/>
      <c r="W2245" s="22" t="n"/>
      <c r="X2245" s="22" t="n"/>
      <c r="Y2245" s="13" t="n"/>
      <c r="Z2245" s="22" t="n"/>
      <c r="AA2245" s="22" t="n"/>
      <c r="AB2245" s="22" t="n"/>
      <c r="AC2245" s="22" t="n"/>
      <c r="AD2245" s="22" t="n"/>
      <c r="AE2245" s="22" t="n"/>
    </row>
    <row r="2246" ht="70" customHeight="1" s="380">
      <c r="A2246" s="126" t="n">
        <v>98</v>
      </c>
      <c r="B2246" s="390" t="n"/>
      <c r="C2246" s="390" t="inlineStr">
        <is>
          <t>Báo cáo theo Thông tư 121/2020/TT-BTC &gt;&gt; Báo báo tài chính &gt;&gt; Báo cáo lưu chuyển tiền tệ riêng_06613</t>
        </is>
      </c>
      <c r="D2246" s="390" t="inlineStr">
        <is>
          <t>2. Tiền chi trả vốn góp cho chủ sở hữu, mua lại cổ phiếu phát hành</t>
        </is>
      </c>
      <c r="E2246" s="390" t="n">
        <v>72</v>
      </c>
      <c r="F2246" s="390" t="inlineStr">
        <is>
          <t>Data Explorer</t>
        </is>
      </c>
      <c r="G2246" s="390" t="inlineStr">
        <is>
          <t>Chỉ tiêu cơ sở</t>
        </is>
      </c>
      <c r="H2246" s="390" t="inlineStr">
        <is>
          <t>Dễ</t>
        </is>
      </c>
      <c r="I2246" s="390" t="inlineStr">
        <is>
          <t>Ngày, CTCK</t>
        </is>
      </c>
      <c r="J2246" s="401" t="inlineStr">
        <is>
          <t>SCMS</t>
        </is>
      </c>
      <c r="K2246" s="401" t="n"/>
      <c r="L2246" s="401" t="inlineStr">
        <is>
          <t>X</t>
        </is>
      </c>
      <c r="M2246" s="401" t="n"/>
      <c r="N2246" s="401" t="inlineStr">
        <is>
          <t>Done</t>
        </is>
      </c>
      <c r="O2246" s="401" t="n"/>
      <c r="P2246" s="22" t="n"/>
      <c r="S2246" s="22" t="n"/>
      <c r="U2246" s="16" t="n"/>
      <c r="V2246" s="22" t="n"/>
      <c r="W2246" s="22" t="n"/>
      <c r="X2246" s="22" t="n"/>
      <c r="Y2246" s="13" t="n"/>
      <c r="Z2246" s="22" t="n"/>
      <c r="AA2246" s="22" t="n"/>
      <c r="AB2246" s="22" t="n"/>
      <c r="AC2246" s="22" t="n"/>
      <c r="AD2246" s="22" t="n"/>
      <c r="AE2246" s="22" t="n"/>
    </row>
    <row r="2247" ht="70" customHeight="1" s="380">
      <c r="A2247" s="126" t="n">
        <v>98</v>
      </c>
      <c r="B2247" s="390" t="n"/>
      <c r="C2247" s="390" t="inlineStr">
        <is>
          <t>Báo cáo theo Thông tư 121/2020/TT-BTC &gt;&gt; Báo báo tài chính &gt;&gt; Báo cáo lưu chuyển tiền tệ riêng_06613</t>
        </is>
      </c>
      <c r="D2247" s="390" t="inlineStr">
        <is>
          <t>3. Tiền vay gốc</t>
        </is>
      </c>
      <c r="E2247" s="390" t="n">
        <v>73</v>
      </c>
      <c r="F2247" s="390" t="inlineStr">
        <is>
          <t>Data Explorer</t>
        </is>
      </c>
      <c r="G2247" s="390" t="inlineStr">
        <is>
          <t>Chỉ tiêu cơ sở</t>
        </is>
      </c>
      <c r="H2247" s="390" t="inlineStr">
        <is>
          <t>Dễ</t>
        </is>
      </c>
      <c r="I2247" s="390" t="inlineStr">
        <is>
          <t>Ngày, CTCK</t>
        </is>
      </c>
      <c r="J2247" s="401" t="inlineStr">
        <is>
          <t>SCMS</t>
        </is>
      </c>
      <c r="K2247" s="401" t="n"/>
      <c r="L2247" s="401" t="inlineStr">
        <is>
          <t>X</t>
        </is>
      </c>
      <c r="M2247" s="401" t="n"/>
      <c r="N2247" s="401" t="inlineStr">
        <is>
          <t>Done</t>
        </is>
      </c>
      <c r="O2247" s="401" t="n"/>
      <c r="P2247" s="22" t="n"/>
      <c r="S2247" s="22" t="n"/>
      <c r="U2247" s="16" t="n"/>
      <c r="V2247" s="22" t="n"/>
      <c r="W2247" s="22" t="n"/>
      <c r="X2247" s="22" t="n"/>
      <c r="Y2247" s="14" t="n"/>
      <c r="Z2247" s="22" t="n"/>
      <c r="AA2247" s="22" t="n"/>
      <c r="AB2247" s="22" t="n"/>
      <c r="AC2247" s="22" t="n"/>
      <c r="AD2247" s="22" t="n"/>
      <c r="AE2247" s="22" t="n"/>
    </row>
    <row r="2248" ht="70" customHeight="1" s="380">
      <c r="A2248" s="126" t="n">
        <v>98</v>
      </c>
      <c r="B2248" s="390" t="n"/>
      <c r="C2248" s="390" t="inlineStr">
        <is>
          <t>Báo cáo theo Thông tư 121/2020/TT-BTC &gt;&gt; Báo báo tài chính &gt;&gt; Báo cáo lưu chuyển tiền tệ riêng_06613</t>
        </is>
      </c>
      <c r="D2248" s="390" t="inlineStr">
        <is>
          <t>3.1. Tiền vay Quỹ Hỗ trợ thanh toán</t>
        </is>
      </c>
      <c r="E2248" s="390" t="n">
        <v>73.09999999999999</v>
      </c>
      <c r="F2248" s="390" t="inlineStr">
        <is>
          <t>Data Explorer</t>
        </is>
      </c>
      <c r="G2248" s="390" t="inlineStr">
        <is>
          <t>Chỉ tiêu cơ sở</t>
        </is>
      </c>
      <c r="H2248" s="390" t="inlineStr">
        <is>
          <t>Dễ</t>
        </is>
      </c>
      <c r="I2248" s="390" t="inlineStr">
        <is>
          <t>Ngày, CTCK</t>
        </is>
      </c>
      <c r="J2248" s="401" t="inlineStr">
        <is>
          <t>SCMS</t>
        </is>
      </c>
      <c r="K2248" s="401" t="n"/>
      <c r="L2248" s="401" t="inlineStr">
        <is>
          <t>X</t>
        </is>
      </c>
      <c r="M2248" s="401" t="n"/>
      <c r="N2248" s="401" t="inlineStr">
        <is>
          <t>Done</t>
        </is>
      </c>
      <c r="O2248" s="401" t="n"/>
      <c r="P2248" s="22" t="n"/>
      <c r="S2248" s="22" t="n"/>
      <c r="U2248" s="16" t="n"/>
      <c r="V2248" s="22" t="n"/>
      <c r="W2248" s="22" t="n"/>
      <c r="X2248" s="22" t="n"/>
      <c r="Y2248" s="13" t="n"/>
      <c r="Z2248" s="22" t="n"/>
      <c r="AA2248" s="22" t="n"/>
      <c r="AB2248" s="22" t="n"/>
      <c r="AC2248" s="22" t="n"/>
      <c r="AD2248" s="22" t="n"/>
      <c r="AE2248" s="22" t="n"/>
    </row>
    <row r="2249" ht="70" customHeight="1" s="380">
      <c r="A2249" s="126" t="n">
        <v>98</v>
      </c>
      <c r="B2249" s="390" t="n"/>
      <c r="C2249" s="390" t="inlineStr">
        <is>
          <t>Báo cáo theo Thông tư 121/2020/TT-BTC &gt;&gt; Báo báo tài chính &gt;&gt; Báo cáo lưu chuyển tiền tệ riêng_06613</t>
        </is>
      </c>
      <c r="D2249" s="390" t="inlineStr">
        <is>
          <t>3.2. Tiền vay khác</t>
        </is>
      </c>
      <c r="E2249" s="390" t="n">
        <v>73.2</v>
      </c>
      <c r="F2249" s="390" t="inlineStr">
        <is>
          <t>Data Explorer</t>
        </is>
      </c>
      <c r="G2249" s="390" t="inlineStr">
        <is>
          <t>Chỉ tiêu cơ sở</t>
        </is>
      </c>
      <c r="H2249" s="390" t="inlineStr">
        <is>
          <t>Dễ</t>
        </is>
      </c>
      <c r="I2249" s="390" t="inlineStr">
        <is>
          <t>Ngày, CTCK</t>
        </is>
      </c>
      <c r="J2249" s="401" t="inlineStr">
        <is>
          <t>SCMS</t>
        </is>
      </c>
      <c r="K2249" s="401" t="n"/>
      <c r="L2249" s="401" t="inlineStr">
        <is>
          <t>X</t>
        </is>
      </c>
      <c r="M2249" s="401" t="n"/>
      <c r="N2249" s="401" t="inlineStr">
        <is>
          <t>Done</t>
        </is>
      </c>
      <c r="O2249" s="401" t="n"/>
      <c r="P2249" s="22" t="n"/>
      <c r="S2249" s="22" t="n"/>
      <c r="U2249" s="16" t="n"/>
      <c r="V2249" s="22" t="n"/>
      <c r="W2249" s="22" t="n"/>
      <c r="X2249" s="22" t="n"/>
      <c r="Y2249" s="13" t="n"/>
      <c r="Z2249" s="22" t="n"/>
      <c r="AA2249" s="22" t="n"/>
      <c r="AB2249" s="22" t="n"/>
      <c r="AC2249" s="22" t="n"/>
      <c r="AD2249" s="22" t="n"/>
      <c r="AE2249" s="22" t="n"/>
    </row>
    <row r="2250" ht="70" customHeight="1" s="380">
      <c r="A2250" s="126" t="n">
        <v>98</v>
      </c>
      <c r="B2250" s="390" t="n"/>
      <c r="C2250" s="390" t="inlineStr">
        <is>
          <t>Báo cáo theo Thông tư 121/2020/TT-BTC &gt;&gt; Báo báo tài chính &gt;&gt; Báo cáo lưu chuyển tiền tệ riêng_06613</t>
        </is>
      </c>
      <c r="D2250" s="390" t="inlineStr">
        <is>
          <t>4. Tiền chi trả nợ gốc vay</t>
        </is>
      </c>
      <c r="E2250" s="390" t="n">
        <v>74</v>
      </c>
      <c r="F2250" s="390" t="inlineStr">
        <is>
          <t>Data Explorer</t>
        </is>
      </c>
      <c r="G2250" s="390" t="inlineStr">
        <is>
          <t>Chỉ tiêu cơ sở</t>
        </is>
      </c>
      <c r="H2250" s="390" t="inlineStr">
        <is>
          <t>Dễ</t>
        </is>
      </c>
      <c r="I2250" s="390" t="inlineStr">
        <is>
          <t>Ngày, CTCK</t>
        </is>
      </c>
      <c r="J2250" s="401" t="inlineStr">
        <is>
          <t>SCMS</t>
        </is>
      </c>
      <c r="K2250" s="401" t="n"/>
      <c r="L2250" s="401" t="inlineStr">
        <is>
          <t>X</t>
        </is>
      </c>
      <c r="M2250" s="401" t="n"/>
      <c r="N2250" s="401" t="inlineStr">
        <is>
          <t>Done</t>
        </is>
      </c>
      <c r="O2250" s="401" t="n"/>
      <c r="P2250" s="22" t="n"/>
      <c r="S2250" s="22" t="n"/>
      <c r="U2250" s="16" t="n"/>
      <c r="V2250" s="22" t="n"/>
      <c r="W2250" s="22" t="n"/>
      <c r="X2250" s="22" t="n"/>
      <c r="Y2250" s="13" t="n"/>
      <c r="Z2250" s="22" t="n"/>
      <c r="AA2250" s="22" t="n"/>
      <c r="AB2250" s="22" t="n"/>
      <c r="AC2250" s="22" t="n"/>
      <c r="AD2250" s="22" t="n"/>
      <c r="AE2250" s="22" t="n"/>
    </row>
    <row r="2251" ht="70" customHeight="1" s="380">
      <c r="A2251" s="126" t="n">
        <v>98</v>
      </c>
      <c r="B2251" s="390" t="n"/>
      <c r="C2251" s="390" t="inlineStr">
        <is>
          <t>Báo cáo theo Thông tư 121/2020/TT-BTC &gt;&gt; Báo báo tài chính &gt;&gt; Báo cáo lưu chuyển tiền tệ riêng_06613</t>
        </is>
      </c>
      <c r="D2251" s="390" t="inlineStr">
        <is>
          <t>4.1. Tiền chi trả gốc vay Quỹ Hỗ trợ thanh toán</t>
        </is>
      </c>
      <c r="E2251" s="390" t="n">
        <v>74.09999999999999</v>
      </c>
      <c r="F2251" s="390" t="inlineStr">
        <is>
          <t>Data Explorer</t>
        </is>
      </c>
      <c r="G2251" s="390" t="inlineStr">
        <is>
          <t>Chỉ tiêu cơ sở</t>
        </is>
      </c>
      <c r="H2251" s="390" t="inlineStr">
        <is>
          <t>Dễ</t>
        </is>
      </c>
      <c r="I2251" s="390" t="inlineStr">
        <is>
          <t>Ngày, CTCK</t>
        </is>
      </c>
      <c r="J2251" s="401" t="inlineStr">
        <is>
          <t>SCMS</t>
        </is>
      </c>
      <c r="K2251" s="401" t="n"/>
      <c r="L2251" s="401" t="inlineStr">
        <is>
          <t>X</t>
        </is>
      </c>
      <c r="M2251" s="401" t="n"/>
      <c r="N2251" s="401" t="inlineStr">
        <is>
          <t>Done</t>
        </is>
      </c>
      <c r="O2251" s="401" t="n"/>
      <c r="P2251" s="22" t="n"/>
      <c r="S2251" s="22" t="n"/>
      <c r="U2251" s="16" t="n"/>
      <c r="V2251" s="22" t="n"/>
      <c r="W2251" s="22" t="n"/>
      <c r="X2251" s="22" t="n"/>
      <c r="Y2251" s="13" t="n"/>
      <c r="Z2251" s="22" t="n"/>
      <c r="AA2251" s="22" t="n"/>
      <c r="AB2251" s="22" t="n"/>
      <c r="AC2251" s="22" t="n"/>
      <c r="AD2251" s="22" t="n"/>
      <c r="AE2251" s="22" t="n"/>
    </row>
    <row r="2252" ht="70" customHeight="1" s="380">
      <c r="A2252" s="126" t="n">
        <v>98</v>
      </c>
      <c r="B2252" s="390" t="n"/>
      <c r="C2252" s="390" t="inlineStr">
        <is>
          <t>Báo cáo theo Thông tư 121/2020/TT-BTC &gt;&gt; Báo báo tài chính &gt;&gt; Báo cáo lưu chuyển tiền tệ riêng_06613</t>
        </is>
      </c>
      <c r="D2252" s="390" t="inlineStr">
        <is>
          <t>4.2. Tiền chi trả nợ gốc vay tài sản tài chính</t>
        </is>
      </c>
      <c r="E2252" s="390" t="n">
        <v>74.2</v>
      </c>
      <c r="F2252" s="390" t="inlineStr">
        <is>
          <t>Data Explorer</t>
        </is>
      </c>
      <c r="G2252" s="390" t="inlineStr">
        <is>
          <t>Chỉ tiêu cơ sở</t>
        </is>
      </c>
      <c r="H2252" s="390" t="inlineStr">
        <is>
          <t>Dễ</t>
        </is>
      </c>
      <c r="I2252" s="390" t="inlineStr">
        <is>
          <t>Ngày, CTCK</t>
        </is>
      </c>
      <c r="J2252" s="401" t="inlineStr">
        <is>
          <t>SCMS</t>
        </is>
      </c>
      <c r="K2252" s="401" t="n"/>
      <c r="L2252" s="401" t="inlineStr">
        <is>
          <t>X</t>
        </is>
      </c>
      <c r="M2252" s="401" t="n"/>
      <c r="N2252" s="401" t="inlineStr">
        <is>
          <t>Done</t>
        </is>
      </c>
      <c r="O2252" s="401" t="n"/>
      <c r="P2252" s="22" t="n"/>
      <c r="S2252" s="22" t="n"/>
      <c r="U2252" s="16" t="n"/>
      <c r="V2252" s="22" t="n"/>
      <c r="W2252" s="22" t="n"/>
      <c r="X2252" s="22" t="n"/>
      <c r="Y2252" s="13" t="n"/>
      <c r="Z2252" s="22" t="n"/>
      <c r="AA2252" s="22" t="n"/>
      <c r="AB2252" s="22" t="n"/>
      <c r="AC2252" s="22" t="n"/>
      <c r="AD2252" s="22" t="n"/>
      <c r="AE2252" s="22" t="n"/>
    </row>
    <row r="2253" ht="70" customHeight="1" s="380">
      <c r="A2253" s="126" t="n">
        <v>98</v>
      </c>
      <c r="B2253" s="390" t="n"/>
      <c r="C2253" s="390" t="inlineStr">
        <is>
          <t>Báo cáo theo Thông tư 121/2020/TT-BTC &gt;&gt; Báo báo tài chính &gt;&gt; Báo cáo lưu chuyển tiền tệ riêng_06613</t>
        </is>
      </c>
      <c r="D2253" s="390" t="inlineStr">
        <is>
          <t>4.3. Tiền chi trả gốc vay khác</t>
        </is>
      </c>
      <c r="E2253" s="390" t="n">
        <v>74.3</v>
      </c>
      <c r="F2253" s="390" t="inlineStr">
        <is>
          <t>Data Explorer</t>
        </is>
      </c>
      <c r="G2253" s="390" t="inlineStr">
        <is>
          <t>Chỉ tiêu cơ sở</t>
        </is>
      </c>
      <c r="H2253" s="390" t="inlineStr">
        <is>
          <t>Dễ</t>
        </is>
      </c>
      <c r="I2253" s="390" t="inlineStr">
        <is>
          <t>Ngày, CTCK</t>
        </is>
      </c>
      <c r="J2253" s="401" t="inlineStr">
        <is>
          <t>SCMS</t>
        </is>
      </c>
      <c r="K2253" s="401" t="n"/>
      <c r="L2253" s="401" t="inlineStr">
        <is>
          <t>X</t>
        </is>
      </c>
      <c r="M2253" s="401" t="n"/>
      <c r="N2253" s="401" t="inlineStr">
        <is>
          <t>Done</t>
        </is>
      </c>
      <c r="O2253" s="401" t="n"/>
      <c r="P2253" s="22" t="n"/>
      <c r="S2253" s="22" t="n"/>
      <c r="U2253" s="16" t="n"/>
      <c r="V2253" s="22" t="n"/>
      <c r="W2253" s="22" t="n"/>
      <c r="X2253" s="22" t="n"/>
      <c r="Y2253" s="38" t="n"/>
      <c r="Z2253" s="22" t="n"/>
      <c r="AA2253" s="22" t="n"/>
      <c r="AB2253" s="22" t="n"/>
      <c r="AC2253" s="22" t="n"/>
      <c r="AD2253" s="22" t="n"/>
      <c r="AE2253" s="22" t="n"/>
    </row>
    <row r="2254" ht="70" customHeight="1" s="380">
      <c r="A2254" s="126" t="n">
        <v>98</v>
      </c>
      <c r="B2254" s="390" t="n"/>
      <c r="C2254" s="390" t="inlineStr">
        <is>
          <t>Báo cáo theo Thông tư 121/2020/TT-BTC &gt;&gt; Báo báo tài chính &gt;&gt; Báo cáo lưu chuyển tiền tệ riêng_06613</t>
        </is>
      </c>
      <c r="D2254" s="390" t="inlineStr">
        <is>
          <t>5. Tiền chi trả nợ gốc thuê tài chính</t>
        </is>
      </c>
      <c r="E2254" s="390" t="n">
        <v>75</v>
      </c>
      <c r="F2254" s="390" t="inlineStr">
        <is>
          <t>Data Explorer</t>
        </is>
      </c>
      <c r="G2254" s="390" t="inlineStr">
        <is>
          <t>Chỉ tiêu cơ sở</t>
        </is>
      </c>
      <c r="H2254" s="390" t="inlineStr">
        <is>
          <t>Dễ</t>
        </is>
      </c>
      <c r="I2254" s="390" t="inlineStr">
        <is>
          <t>Ngày, CTCK</t>
        </is>
      </c>
      <c r="J2254" s="401" t="inlineStr">
        <is>
          <t>SCMS</t>
        </is>
      </c>
      <c r="K2254" s="401" t="n"/>
      <c r="L2254" s="401" t="inlineStr">
        <is>
          <t>X</t>
        </is>
      </c>
      <c r="M2254" s="401" t="n"/>
      <c r="N2254" s="401" t="inlineStr">
        <is>
          <t>Done</t>
        </is>
      </c>
      <c r="O2254" s="401" t="n"/>
      <c r="P2254" s="22" t="n"/>
      <c r="S2254" s="22" t="n"/>
      <c r="U2254" s="16" t="n"/>
      <c r="V2254" s="22" t="n"/>
      <c r="W2254" s="22" t="n"/>
      <c r="X2254" s="22" t="n"/>
      <c r="Y2254" s="13" t="n"/>
      <c r="Z2254" s="22" t="n"/>
      <c r="AA2254" s="22" t="n"/>
      <c r="AB2254" s="22" t="n"/>
      <c r="AC2254" s="22" t="n"/>
      <c r="AD2254" s="22" t="n"/>
      <c r="AE2254" s="22" t="n"/>
    </row>
    <row r="2255" ht="70" customHeight="1" s="380">
      <c r="A2255" s="126" t="n">
        <v>98</v>
      </c>
      <c r="B2255" s="390" t="n"/>
      <c r="C2255" s="390" t="inlineStr">
        <is>
          <t>Báo cáo theo Thông tư 121/2020/TT-BTC &gt;&gt; Báo báo tài chính &gt;&gt; Báo cáo lưu chuyển tiền tệ riêng_06613</t>
        </is>
      </c>
      <c r="D2255" s="390" t="inlineStr">
        <is>
          <t>6. Cổ tức, lợi nhuận đã trả cho chủ sở hữu</t>
        </is>
      </c>
      <c r="E2255" s="390" t="n">
        <v>76</v>
      </c>
      <c r="F2255" s="390" t="inlineStr">
        <is>
          <t>Data Explorer</t>
        </is>
      </c>
      <c r="G2255" s="390" t="inlineStr">
        <is>
          <t>Chỉ tiêu cơ sở</t>
        </is>
      </c>
      <c r="H2255" s="390" t="inlineStr">
        <is>
          <t>Dễ</t>
        </is>
      </c>
      <c r="I2255" s="390" t="inlineStr">
        <is>
          <t>Ngày, CTCK</t>
        </is>
      </c>
      <c r="J2255" s="401" t="inlineStr">
        <is>
          <t>SCMS</t>
        </is>
      </c>
      <c r="K2255" s="401" t="n"/>
      <c r="L2255" s="401" t="inlineStr">
        <is>
          <t>X</t>
        </is>
      </c>
      <c r="M2255" s="401" t="n"/>
      <c r="N2255" s="401" t="inlineStr">
        <is>
          <t>Done</t>
        </is>
      </c>
      <c r="O2255" s="401" t="n"/>
      <c r="P2255" s="22" t="n"/>
      <c r="S2255" s="22" t="n"/>
      <c r="U2255" s="16" t="n"/>
      <c r="V2255" s="22" t="n"/>
      <c r="W2255" s="22" t="n"/>
      <c r="X2255" s="22" t="n"/>
      <c r="Y2255" s="13" t="n"/>
      <c r="Z2255" s="22" t="n"/>
      <c r="AA2255" s="22" t="n"/>
      <c r="AB2255" s="22" t="n"/>
      <c r="AC2255" s="22" t="n"/>
      <c r="AD2255" s="22" t="n"/>
      <c r="AE2255" s="22" t="n"/>
    </row>
    <row r="2256" ht="70" customHeight="1" s="380">
      <c r="A2256" s="126" t="n">
        <v>98</v>
      </c>
      <c r="B2256" s="390" t="n"/>
      <c r="C2256" s="390" t="inlineStr">
        <is>
          <t>Báo cáo theo Thông tư 121/2020/TT-BTC &gt;&gt; Báo báo tài chính &gt;&gt; Báo cáo lưu chuyển tiền tệ riêng_06613</t>
        </is>
      </c>
      <c r="D2256" s="132" t="inlineStr">
        <is>
          <t>Lưu chuyển tiền thuần từ hoạt động tài chính</t>
        </is>
      </c>
      <c r="E2256" s="132" t="n">
        <v>80</v>
      </c>
      <c r="F2256" s="390" t="inlineStr">
        <is>
          <t>Data Explorer</t>
        </is>
      </c>
      <c r="G2256" s="390" t="inlineStr">
        <is>
          <t>Chỉ tiêu cơ sở</t>
        </is>
      </c>
      <c r="H2256" s="390" t="inlineStr">
        <is>
          <t>Dễ</t>
        </is>
      </c>
      <c r="I2256" s="390" t="inlineStr">
        <is>
          <t>Ngày, CTCK</t>
        </is>
      </c>
      <c r="J2256" s="401" t="inlineStr">
        <is>
          <t>SCMS</t>
        </is>
      </c>
      <c r="K2256" s="401" t="n"/>
      <c r="L2256" s="401" t="inlineStr">
        <is>
          <t>X</t>
        </is>
      </c>
      <c r="M2256" s="401" t="n"/>
      <c r="N2256" s="401" t="inlineStr">
        <is>
          <t>Done</t>
        </is>
      </c>
      <c r="O2256" s="401" t="n"/>
      <c r="P2256" s="22" t="n"/>
      <c r="S2256" s="22" t="n"/>
      <c r="U2256" s="16" t="n"/>
      <c r="V2256" s="22" t="n"/>
      <c r="W2256" s="22" t="n"/>
      <c r="X2256" s="22" t="n"/>
      <c r="Y2256" s="13" t="n"/>
      <c r="Z2256" s="22" t="n"/>
      <c r="AA2256" s="22" t="n"/>
      <c r="AB2256" s="22" t="n"/>
      <c r="AC2256" s="22" t="n"/>
      <c r="AD2256" s="22" t="n"/>
      <c r="AE2256" s="22" t="n"/>
    </row>
    <row r="2257" ht="70" customHeight="1" s="380">
      <c r="A2257" s="126" t="n">
        <v>98</v>
      </c>
      <c r="B2257" s="390" t="n"/>
      <c r="C2257" s="390" t="inlineStr">
        <is>
          <t>Báo cáo theo Thông tư 121/2020/TT-BTC &gt;&gt; Báo báo tài chính &gt;&gt; Báo cáo lưu chuyển tiền tệ riêng_06613</t>
        </is>
      </c>
      <c r="D2257" s="132" t="inlineStr">
        <is>
          <t>IV. Tăng/giảm tiền thuần trong kỳ</t>
        </is>
      </c>
      <c r="E2257" s="132" t="n">
        <v>90</v>
      </c>
      <c r="F2257" s="390" t="inlineStr">
        <is>
          <t>Data Explorer</t>
        </is>
      </c>
      <c r="G2257" s="390" t="inlineStr">
        <is>
          <t>Chỉ tiêu cơ sở</t>
        </is>
      </c>
      <c r="H2257" s="390" t="inlineStr">
        <is>
          <t>Dễ</t>
        </is>
      </c>
      <c r="I2257" s="390" t="inlineStr">
        <is>
          <t>Ngày, CTCK</t>
        </is>
      </c>
      <c r="J2257" s="401" t="inlineStr">
        <is>
          <t>SCMS</t>
        </is>
      </c>
      <c r="K2257" s="401" t="n"/>
      <c r="L2257" s="401" t="inlineStr">
        <is>
          <t>X</t>
        </is>
      </c>
      <c r="M2257" s="401" t="n"/>
      <c r="N2257" s="401" t="inlineStr">
        <is>
          <t>Done</t>
        </is>
      </c>
      <c r="O2257" s="401" t="n"/>
      <c r="P2257" s="22" t="n"/>
      <c r="S2257" s="22" t="n"/>
      <c r="U2257" s="16" t="n"/>
      <c r="V2257" s="22" t="n"/>
      <c r="W2257" s="22" t="n"/>
      <c r="X2257" s="22" t="n"/>
      <c r="Y2257" s="13" t="n"/>
      <c r="Z2257" s="22" t="n"/>
      <c r="AA2257" s="22" t="n"/>
      <c r="AB2257" s="22" t="n"/>
      <c r="AC2257" s="22" t="n"/>
      <c r="AD2257" s="22" t="n"/>
      <c r="AE2257" s="22" t="n"/>
    </row>
    <row r="2258" ht="70" customHeight="1" s="380">
      <c r="A2258" s="126" t="n">
        <v>98</v>
      </c>
      <c r="B2258" s="390" t="n"/>
      <c r="C2258" s="390" t="inlineStr">
        <is>
          <t>Báo cáo theo Thông tư 121/2020/TT-BTC &gt;&gt; Báo báo tài chính &gt;&gt; Báo cáo lưu chuyển tiền tệ riêng_06613</t>
        </is>
      </c>
      <c r="D2258" s="132" t="inlineStr">
        <is>
          <t>V. Tiền và các khoản tương đương tiền đầu kỳ</t>
        </is>
      </c>
      <c r="E2258" s="132" t="n">
        <v>101</v>
      </c>
      <c r="F2258" s="390" t="inlineStr">
        <is>
          <t>Data Explorer</t>
        </is>
      </c>
      <c r="G2258" s="390" t="inlineStr">
        <is>
          <t>Chỉ tiêu cơ sở</t>
        </is>
      </c>
      <c r="H2258" s="390" t="inlineStr">
        <is>
          <t>Dễ</t>
        </is>
      </c>
      <c r="I2258" s="390" t="inlineStr">
        <is>
          <t>Ngày, CTCK</t>
        </is>
      </c>
      <c r="J2258" s="401" t="inlineStr">
        <is>
          <t>SCMS</t>
        </is>
      </c>
      <c r="K2258" s="401" t="n"/>
      <c r="L2258" s="401" t="inlineStr">
        <is>
          <t>X</t>
        </is>
      </c>
      <c r="M2258" s="401" t="n"/>
      <c r="N2258" s="401" t="inlineStr">
        <is>
          <t>Done</t>
        </is>
      </c>
      <c r="O2258" s="401" t="n"/>
      <c r="P2258" s="22" t="n"/>
      <c r="S2258" s="22" t="n"/>
      <c r="U2258" s="16" t="n"/>
      <c r="V2258" s="22" t="n"/>
      <c r="W2258" s="22" t="n"/>
      <c r="X2258" s="22" t="n"/>
      <c r="Y2258" s="13" t="n"/>
      <c r="Z2258" s="22" t="n"/>
      <c r="AA2258" s="22" t="n"/>
      <c r="AB2258" s="22" t="n"/>
      <c r="AC2258" s="22" t="n"/>
      <c r="AD2258" s="22" t="n"/>
      <c r="AE2258" s="22" t="n"/>
    </row>
    <row r="2259" ht="70" customHeight="1" s="380">
      <c r="A2259" s="126" t="n">
        <v>98</v>
      </c>
      <c r="B2259" s="390" t="n"/>
      <c r="C2259" s="390" t="inlineStr">
        <is>
          <t>Báo cáo theo Thông tư 121/2020/TT-BTC &gt;&gt; Báo báo tài chính &gt;&gt; Báo cáo lưu chuyển tiền tệ riêng_06613</t>
        </is>
      </c>
      <c r="D2259" s="390" t="inlineStr">
        <is>
          <t xml:space="preserve">- Tiền </t>
        </is>
      </c>
      <c r="E2259" s="390" t="n">
        <v>101.1</v>
      </c>
      <c r="F2259" s="390" t="inlineStr">
        <is>
          <t>Data Explorer</t>
        </is>
      </c>
      <c r="G2259" s="390" t="inlineStr">
        <is>
          <t>Chỉ tiêu cơ sở</t>
        </is>
      </c>
      <c r="H2259" s="390" t="inlineStr">
        <is>
          <t>Dễ</t>
        </is>
      </c>
      <c r="I2259" s="390" t="inlineStr">
        <is>
          <t>Ngày, CTCK</t>
        </is>
      </c>
      <c r="J2259" s="401" t="inlineStr">
        <is>
          <t>SCMS</t>
        </is>
      </c>
      <c r="K2259" s="401" t="n"/>
      <c r="L2259" s="401" t="inlineStr">
        <is>
          <t>X</t>
        </is>
      </c>
      <c r="M2259" s="401" t="n"/>
      <c r="N2259" s="401" t="inlineStr">
        <is>
          <t>Done</t>
        </is>
      </c>
      <c r="O2259" s="401" t="n"/>
      <c r="P2259" s="22" t="n"/>
      <c r="S2259" s="22" t="n"/>
      <c r="U2259" s="16" t="n"/>
      <c r="V2259" s="22" t="n"/>
      <c r="W2259" s="22" t="n"/>
      <c r="X2259" s="22" t="n"/>
      <c r="Y2259" s="14" t="n"/>
      <c r="Z2259" s="22" t="n"/>
      <c r="AA2259" s="22" t="n"/>
      <c r="AB2259" s="22" t="n"/>
      <c r="AC2259" s="22" t="n"/>
      <c r="AD2259" s="22" t="n"/>
      <c r="AE2259" s="22" t="n"/>
    </row>
    <row r="2260" ht="70" customHeight="1" s="380">
      <c r="A2260" s="126" t="n">
        <v>98</v>
      </c>
      <c r="B2260" s="390" t="n"/>
      <c r="C2260" s="390" t="inlineStr">
        <is>
          <t>Báo cáo theo Thông tư 121/2020/TT-BTC &gt;&gt; Báo báo tài chính &gt;&gt; Báo cáo lưu chuyển tiền tệ riêng_06613</t>
        </is>
      </c>
      <c r="D2260" s="390" t="inlineStr">
        <is>
          <t>- Các khoản tương đương tiền</t>
        </is>
      </c>
      <c r="E2260" s="390" t="n">
        <v>101.2</v>
      </c>
      <c r="F2260" s="390" t="inlineStr">
        <is>
          <t>Data Explorer</t>
        </is>
      </c>
      <c r="G2260" s="390" t="inlineStr">
        <is>
          <t>Chỉ tiêu cơ sở</t>
        </is>
      </c>
      <c r="H2260" s="390" t="inlineStr">
        <is>
          <t>Dễ</t>
        </is>
      </c>
      <c r="I2260" s="390" t="inlineStr">
        <is>
          <t>Ngày, CTCK</t>
        </is>
      </c>
      <c r="J2260" s="401" t="inlineStr">
        <is>
          <t>SCMS</t>
        </is>
      </c>
      <c r="K2260" s="401" t="n"/>
      <c r="L2260" s="401" t="inlineStr">
        <is>
          <t>X</t>
        </is>
      </c>
      <c r="M2260" s="401" t="n"/>
      <c r="N2260" s="401" t="inlineStr">
        <is>
          <t>Done</t>
        </is>
      </c>
      <c r="O2260" s="401" t="n"/>
      <c r="P2260" s="22" t="n"/>
      <c r="S2260" s="22" t="n"/>
      <c r="U2260" s="16" t="n"/>
      <c r="V2260" s="22" t="n"/>
      <c r="W2260" s="22" t="n"/>
      <c r="X2260" s="22" t="n"/>
      <c r="Y2260" s="13" t="n"/>
      <c r="Z2260" s="22" t="n"/>
      <c r="AA2260" s="22" t="n"/>
      <c r="AB2260" s="22" t="n"/>
      <c r="AC2260" s="22" t="n"/>
      <c r="AD2260" s="22" t="n"/>
      <c r="AE2260" s="22" t="n"/>
    </row>
    <row r="2261" ht="70" customHeight="1" s="380">
      <c r="A2261" s="126" t="n">
        <v>98</v>
      </c>
      <c r="B2261" s="390" t="n"/>
      <c r="C2261" s="390" t="inlineStr">
        <is>
          <t>Báo cáo theo Thông tư 121/2020/TT-BTC &gt;&gt; Báo báo tài chính &gt;&gt; Báo cáo lưu chuyển tiền tệ riêng_06613</t>
        </is>
      </c>
      <c r="D2261" s="390" t="inlineStr">
        <is>
          <t>- Ảnh hưởng của thay đổi tỷ giá hối đoái quy đổi ngoại tệ</t>
        </is>
      </c>
      <c r="E2261" s="390" t="n">
        <v>102</v>
      </c>
      <c r="F2261" s="390" t="inlineStr">
        <is>
          <t>Data Explorer</t>
        </is>
      </c>
      <c r="G2261" s="390" t="inlineStr">
        <is>
          <t>Chỉ tiêu cơ sở</t>
        </is>
      </c>
      <c r="H2261" s="390" t="inlineStr">
        <is>
          <t>Dễ</t>
        </is>
      </c>
      <c r="I2261" s="390" t="inlineStr">
        <is>
          <t>Ngày, CTCK</t>
        </is>
      </c>
      <c r="J2261" s="401" t="inlineStr">
        <is>
          <t>SCMS</t>
        </is>
      </c>
      <c r="K2261" s="401" t="n"/>
      <c r="L2261" s="401" t="inlineStr">
        <is>
          <t>X</t>
        </is>
      </c>
      <c r="M2261" s="401" t="n"/>
      <c r="N2261" s="401" t="inlineStr">
        <is>
          <t>Done</t>
        </is>
      </c>
      <c r="O2261" s="401" t="n"/>
      <c r="P2261" s="22" t="n"/>
      <c r="S2261" s="22" t="n"/>
      <c r="U2261" s="16" t="n"/>
      <c r="V2261" s="22" t="n"/>
      <c r="W2261" s="22" t="n"/>
      <c r="X2261" s="22" t="n"/>
      <c r="Y2261" s="13" t="n"/>
      <c r="Z2261" s="22" t="n"/>
      <c r="AA2261" s="22" t="n"/>
      <c r="AB2261" s="22" t="n"/>
      <c r="AC2261" s="22" t="n"/>
      <c r="AD2261" s="22" t="n"/>
      <c r="AE2261" s="22" t="n"/>
    </row>
    <row r="2262" ht="70" customHeight="1" s="380">
      <c r="A2262" s="126" t="n">
        <v>98</v>
      </c>
      <c r="B2262" s="390" t="n"/>
      <c r="C2262" s="390" t="inlineStr">
        <is>
          <t>Báo cáo theo Thông tư 121/2020/TT-BTC &gt;&gt; Báo báo tài chính &gt;&gt; Báo cáo lưu chuyển tiền tệ riêng_06613</t>
        </is>
      </c>
      <c r="D2262" s="132" t="inlineStr">
        <is>
          <t>VI. Tiền và các khoản tương đương tiền cuối kỳ</t>
        </is>
      </c>
      <c r="E2262" s="132" t="n">
        <v>103</v>
      </c>
      <c r="F2262" s="390" t="inlineStr">
        <is>
          <t>Data Explorer</t>
        </is>
      </c>
      <c r="G2262" s="390" t="inlineStr">
        <is>
          <t>Chỉ tiêu cơ sở</t>
        </is>
      </c>
      <c r="H2262" s="390" t="inlineStr">
        <is>
          <t>Dễ</t>
        </is>
      </c>
      <c r="I2262" s="390" t="inlineStr">
        <is>
          <t>Ngày, CTCK</t>
        </is>
      </c>
      <c r="J2262" s="401" t="inlineStr">
        <is>
          <t>SCMS</t>
        </is>
      </c>
      <c r="K2262" s="401" t="n"/>
      <c r="L2262" s="401" t="inlineStr">
        <is>
          <t>X</t>
        </is>
      </c>
      <c r="M2262" s="401" t="n"/>
      <c r="N2262" s="401" t="inlineStr">
        <is>
          <t>Done</t>
        </is>
      </c>
      <c r="O2262" s="401" t="n"/>
      <c r="P2262" s="22" t="n"/>
      <c r="S2262" s="22" t="n"/>
      <c r="U2262" s="16" t="n"/>
      <c r="V2262" s="22" t="n"/>
      <c r="W2262" s="22" t="n"/>
      <c r="X2262" s="22" t="n"/>
      <c r="Y2262" s="13" t="n"/>
      <c r="Z2262" s="22" t="n"/>
      <c r="AA2262" s="22" t="n"/>
      <c r="AB2262" s="22" t="n"/>
      <c r="AC2262" s="22" t="n"/>
      <c r="AD2262" s="22" t="n"/>
      <c r="AE2262" s="22" t="n"/>
    </row>
    <row r="2263" ht="70" customHeight="1" s="380">
      <c r="A2263" s="126" t="n">
        <v>98</v>
      </c>
      <c r="B2263" s="390" t="n"/>
      <c r="C2263" s="390" t="inlineStr">
        <is>
          <t>Báo cáo theo Thông tư 121/2020/TT-BTC &gt;&gt; Báo báo tài chính &gt;&gt; Báo cáo lưu chuyển tiền tệ riêng_06613</t>
        </is>
      </c>
      <c r="D2263" s="390" t="inlineStr">
        <is>
          <t xml:space="preserve">- Tiền </t>
        </is>
      </c>
      <c r="E2263" s="390" t="n">
        <v>103.1</v>
      </c>
      <c r="F2263" s="390" t="inlineStr">
        <is>
          <t>Data Explorer</t>
        </is>
      </c>
      <c r="G2263" s="390" t="inlineStr">
        <is>
          <t>Chỉ tiêu cơ sở</t>
        </is>
      </c>
      <c r="H2263" s="390" t="inlineStr">
        <is>
          <t>Dễ</t>
        </is>
      </c>
      <c r="I2263" s="390" t="inlineStr">
        <is>
          <t>Ngày, CTCK</t>
        </is>
      </c>
      <c r="J2263" s="401" t="inlineStr">
        <is>
          <t>SCMS</t>
        </is>
      </c>
      <c r="K2263" s="401" t="n"/>
      <c r="L2263" s="401" t="inlineStr">
        <is>
          <t>X</t>
        </is>
      </c>
      <c r="M2263" s="401" t="n"/>
      <c r="N2263" s="401" t="inlineStr">
        <is>
          <t>Done</t>
        </is>
      </c>
      <c r="O2263" s="401" t="n"/>
      <c r="P2263" s="22" t="n"/>
      <c r="S2263" s="22" t="n"/>
      <c r="U2263" s="16" t="n"/>
      <c r="V2263" s="22" t="n"/>
      <c r="W2263" s="22" t="n"/>
      <c r="X2263" s="22" t="n"/>
      <c r="Y2263" s="13" t="n"/>
      <c r="Z2263" s="22" t="n"/>
      <c r="AA2263" s="22" t="n"/>
      <c r="AB2263" s="22" t="n"/>
      <c r="AC2263" s="22" t="n"/>
      <c r="AD2263" s="22" t="n"/>
      <c r="AE2263" s="22" t="n"/>
    </row>
    <row r="2264" ht="70" customHeight="1" s="380">
      <c r="A2264" s="126" t="n">
        <v>98</v>
      </c>
      <c r="B2264" s="390" t="n"/>
      <c r="C2264" s="390" t="inlineStr">
        <is>
          <t>Báo cáo theo Thông tư 121/2020/TT-BTC &gt;&gt; Báo báo tài chính &gt;&gt; Báo cáo lưu chuyển tiền tệ riêng_06613</t>
        </is>
      </c>
      <c r="D2264" s="390" t="inlineStr">
        <is>
          <t>- Các khoản tương đương tiền</t>
        </is>
      </c>
      <c r="E2264" s="390" t="n">
        <v>103.2</v>
      </c>
      <c r="F2264" s="390" t="inlineStr">
        <is>
          <t>Data Explorer</t>
        </is>
      </c>
      <c r="G2264" s="390" t="inlineStr">
        <is>
          <t>Chỉ tiêu cơ sở</t>
        </is>
      </c>
      <c r="H2264" s="390" t="inlineStr">
        <is>
          <t>Dễ</t>
        </is>
      </c>
      <c r="I2264" s="390" t="inlineStr">
        <is>
          <t>Ngày, CTCK</t>
        </is>
      </c>
      <c r="J2264" s="401" t="inlineStr">
        <is>
          <t>SCMS</t>
        </is>
      </c>
      <c r="K2264" s="401" t="n"/>
      <c r="L2264" s="401" t="inlineStr">
        <is>
          <t>X</t>
        </is>
      </c>
      <c r="M2264" s="401" t="n"/>
      <c r="N2264" s="401" t="inlineStr">
        <is>
          <t>Done</t>
        </is>
      </c>
      <c r="O2264" s="401" t="n"/>
      <c r="P2264" s="22" t="n"/>
      <c r="S2264" s="22" t="n"/>
      <c r="U2264" s="16" t="n"/>
      <c r="V2264" s="22" t="n"/>
      <c r="W2264" s="22" t="n"/>
      <c r="X2264" s="22" t="n"/>
      <c r="Y2264" s="13" t="n"/>
      <c r="Z2264" s="22" t="n"/>
      <c r="AA2264" s="22" t="n"/>
      <c r="AB2264" s="22" t="n"/>
      <c r="AC2264" s="22" t="n"/>
      <c r="AD2264" s="22" t="n"/>
      <c r="AE2264" s="22" t="n"/>
    </row>
    <row r="2265" ht="70" customHeight="1" s="380">
      <c r="A2265" s="128" t="n">
        <v>98</v>
      </c>
      <c r="B2265" s="129" t="n"/>
      <c r="C2265" s="129" t="inlineStr">
        <is>
          <t>Báo cáo theo Thông tư 121/2020/TT-BTC &gt;&gt; Báo báo tài chính &gt;&gt; Báo cáo lưu chuyển tiền tệ riêng_06613</t>
        </is>
      </c>
      <c r="D2265" s="129" t="inlineStr">
        <is>
          <t>- Ảnh hưởng của thay đổi tỷ giá hối đoái quy đổi ngoại tệ</t>
        </is>
      </c>
      <c r="E2265" s="129" t="n">
        <v>104</v>
      </c>
      <c r="F2265" s="129" t="inlineStr">
        <is>
          <t>Data Explorer</t>
        </is>
      </c>
      <c r="G2265" s="129" t="inlineStr">
        <is>
          <t>Chỉ tiêu cơ sở</t>
        </is>
      </c>
      <c r="H2265" s="129" t="inlineStr">
        <is>
          <t>Dễ</t>
        </is>
      </c>
      <c r="I2265" s="129" t="inlineStr">
        <is>
          <t>Ngày, CTCK</t>
        </is>
      </c>
      <c r="J2265" s="85" t="inlineStr">
        <is>
          <t>SCMS</t>
        </is>
      </c>
      <c r="K2265" s="85" t="n"/>
      <c r="L2265" s="85" t="inlineStr">
        <is>
          <t>X</t>
        </is>
      </c>
      <c r="M2265" s="85" t="n"/>
      <c r="N2265" s="85" t="inlineStr">
        <is>
          <t>Done</t>
        </is>
      </c>
      <c r="O2265" s="85" t="n"/>
      <c r="P2265" s="130" t="n"/>
      <c r="Q2265" s="426" t="n"/>
      <c r="R2265" s="426" t="n"/>
      <c r="S2265" s="130" t="n"/>
      <c r="T2265" s="426" t="n"/>
      <c r="U2265" s="131" t="n"/>
      <c r="V2265" s="130" t="n"/>
      <c r="W2265" s="130" t="n"/>
      <c r="X2265" s="130" t="n"/>
      <c r="Y2265" s="38" t="n"/>
      <c r="Z2265" s="130" t="n"/>
      <c r="AA2265" s="130" t="n"/>
      <c r="AB2265" s="130" t="n"/>
      <c r="AC2265" s="130" t="n"/>
      <c r="AD2265" s="130" t="n"/>
      <c r="AE2265" s="130" t="n"/>
    </row>
    <row r="2266" ht="84" customHeight="1" s="380">
      <c r="A2266" s="126" t="n">
        <v>99</v>
      </c>
      <c r="B2266" s="122" t="inlineStr">
        <is>
          <t>Nga</t>
        </is>
      </c>
      <c r="C2266" s="127" t="inlineStr">
        <is>
          <t>Báo cáo theo Thông tư 121/2020/TT-BTC &gt;&gt; Báo báo tài chính &gt;&gt; Phần lưu chuyển tiền tệ hoạt động môi giới, ủy thác của khách hàng_06614</t>
        </is>
      </c>
      <c r="D2266" s="106" t="inlineStr">
        <is>
          <t>Loại báo cáo</t>
        </is>
      </c>
      <c r="E2266" s="107" t="inlineStr">
        <is>
          <t>Loại báo cáo</t>
        </is>
      </c>
      <c r="F2266" s="390" t="inlineStr">
        <is>
          <t>Data Explorer</t>
        </is>
      </c>
      <c r="G2266" s="390" t="inlineStr">
        <is>
          <t>Chiều</t>
        </is>
      </c>
      <c r="H2266" s="390" t="inlineStr">
        <is>
          <t>Dễ</t>
        </is>
      </c>
      <c r="I2266" s="390" t="inlineStr">
        <is>
          <t>Ngày, CTCK</t>
        </is>
      </c>
      <c r="J2266" s="401" t="inlineStr">
        <is>
          <t>SCMS</t>
        </is>
      </c>
      <c r="K2266" s="401" t="inlineStr">
        <is>
          <t>X</t>
        </is>
      </c>
      <c r="L2266" s="401" t="inlineStr">
        <is>
          <t>X</t>
        </is>
      </c>
      <c r="M2266" s="401" t="n"/>
      <c r="N2266" s="401" t="inlineStr">
        <is>
          <t>Done</t>
        </is>
      </c>
      <c r="O2266" s="401" t="n"/>
      <c r="P2266" s="22" t="n"/>
      <c r="Q2266" s="404" t="inlineStr">
        <is>
          <t>SCMS.BM_BAO_CAO
SCMS.BM_BAO_CAO_DINH_KY</t>
        </is>
      </c>
      <c r="R2266" s="404" t="inlineStr">
        <is>
          <t>bm.ID,
bm.MA_BAO_CAO,
bm.LOAI_BAO_CAO,
bm.TEN_BAO_CAO,
bm.SU_DUNG,
bdk.BM_BAO_CAO_ID,
bdk.KY_BAO_CAO,
bdk.SU_DUNG</t>
        </is>
      </c>
      <c r="S2266" s="22" t="n"/>
      <c r="T2266" s="390"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U2266" s="16" t="n"/>
      <c r="V2266" s="22" t="n"/>
      <c r="W2266" s="22" t="n"/>
      <c r="X2266" s="22" t="n"/>
      <c r="Y2266" s="13" t="n"/>
      <c r="Z2266" s="22" t="n"/>
      <c r="AA2266" s="22" t="n"/>
      <c r="AB2266" s="22" t="n"/>
      <c r="AC2266" s="22" t="n"/>
      <c r="AD2266" s="22" t="n"/>
      <c r="AE2266" s="22" t="n"/>
    </row>
    <row r="2267" ht="84" customHeight="1" s="380">
      <c r="A2267" s="126" t="n">
        <v>99</v>
      </c>
      <c r="B2267" s="390" t="n"/>
      <c r="C2267" s="390" t="inlineStr">
        <is>
          <t>Báo cáo theo Thông tư 121/2020/TT-BTC &gt;&gt; Báo báo tài chính &gt;&gt; Phần lưu chuyển tiền tệ hoạt động môi giới, ủy thác của khách hàng_06614</t>
        </is>
      </c>
      <c r="D2267" s="106" t="inlineStr">
        <is>
          <t>Kỳ báo cáo</t>
        </is>
      </c>
      <c r="E2267" s="107" t="inlineStr">
        <is>
          <t>Kỳ báo cáo</t>
        </is>
      </c>
      <c r="F2267" s="390" t="inlineStr">
        <is>
          <t>Data Explorer</t>
        </is>
      </c>
      <c r="G2267" s="390" t="inlineStr">
        <is>
          <t>Chiều</t>
        </is>
      </c>
      <c r="H2267" s="390" t="inlineStr">
        <is>
          <t>Dễ</t>
        </is>
      </c>
      <c r="I2267" s="390" t="inlineStr">
        <is>
          <t>Ngày, CTCK</t>
        </is>
      </c>
      <c r="J2267" s="401" t="inlineStr">
        <is>
          <t>SCMS</t>
        </is>
      </c>
      <c r="K2267" s="401" t="inlineStr">
        <is>
          <t>X</t>
        </is>
      </c>
      <c r="L2267" s="401" t="inlineStr">
        <is>
          <t>X</t>
        </is>
      </c>
      <c r="M2267" s="401" t="n"/>
      <c r="N2267" s="401" t="inlineStr">
        <is>
          <t>Done</t>
        </is>
      </c>
      <c r="O2267" s="401" t="n"/>
      <c r="P2267" s="22" t="n"/>
      <c r="S2267" s="22" t="n"/>
      <c r="U2267" s="16" t="n"/>
      <c r="V2267" s="22" t="n"/>
      <c r="W2267" s="22" t="n"/>
      <c r="X2267" s="22" t="n"/>
      <c r="Y2267" s="13" t="n"/>
      <c r="Z2267" s="22" t="n"/>
      <c r="AA2267" s="22" t="n"/>
      <c r="AB2267" s="22" t="n"/>
      <c r="AC2267" s="22" t="n"/>
      <c r="AD2267" s="22" t="n"/>
      <c r="AE2267" s="22" t="n"/>
    </row>
    <row r="2268" ht="84" customHeight="1" s="380">
      <c r="A2268" s="126" t="n">
        <v>99</v>
      </c>
      <c r="B2268" s="390" t="n"/>
      <c r="C2268" s="390" t="inlineStr">
        <is>
          <t>Báo cáo theo Thông tư 121/2020/TT-BTC &gt;&gt; Báo báo tài chính &gt;&gt; Phần lưu chuyển tiền tệ hoạt động môi giới, ủy thác của khách hàng_06614</t>
        </is>
      </c>
      <c r="D2268" s="106" t="inlineStr">
        <is>
          <t>Mã báo cáo</t>
        </is>
      </c>
      <c r="E2268" s="107" t="inlineStr">
        <is>
          <t>Mã báo cáo</t>
        </is>
      </c>
      <c r="F2268" s="390" t="inlineStr">
        <is>
          <t>Data Explorer</t>
        </is>
      </c>
      <c r="G2268" s="390" t="inlineStr">
        <is>
          <t>Chiều</t>
        </is>
      </c>
      <c r="H2268" s="390" t="inlineStr">
        <is>
          <t>Dễ</t>
        </is>
      </c>
      <c r="I2268" s="390" t="inlineStr">
        <is>
          <t>Ngày, CTCK</t>
        </is>
      </c>
      <c r="J2268" s="401" t="inlineStr">
        <is>
          <t>SCMS</t>
        </is>
      </c>
      <c r="K2268" s="401" t="inlineStr">
        <is>
          <t>X</t>
        </is>
      </c>
      <c r="L2268" s="401" t="inlineStr">
        <is>
          <t>X</t>
        </is>
      </c>
      <c r="M2268" s="401" t="n"/>
      <c r="N2268" s="401" t="inlineStr">
        <is>
          <t>Done</t>
        </is>
      </c>
      <c r="O2268" s="401" t="n"/>
      <c r="P2268" s="22" t="n"/>
      <c r="S2268" s="22" t="n"/>
      <c r="U2268" s="16" t="n"/>
      <c r="V2268" s="22" t="n"/>
      <c r="W2268" s="22" t="n"/>
      <c r="X2268" s="22" t="n"/>
      <c r="Y2268" s="13" t="n"/>
      <c r="Z2268" s="22" t="n"/>
      <c r="AA2268" s="22" t="n"/>
      <c r="AB2268" s="22" t="n"/>
      <c r="AC2268" s="22" t="n"/>
      <c r="AD2268" s="22" t="n"/>
      <c r="AE2268" s="22" t="n"/>
    </row>
    <row r="2269" ht="84" customHeight="1" s="380">
      <c r="A2269" s="126" t="n">
        <v>99</v>
      </c>
      <c r="B2269" s="390" t="n"/>
      <c r="C2269" s="390" t="inlineStr">
        <is>
          <t>Báo cáo theo Thông tư 121/2020/TT-BTC &gt;&gt; Báo báo tài chính &gt;&gt; Phần lưu chuyển tiền tệ hoạt động môi giới, ủy thác của khách hàng_06614</t>
        </is>
      </c>
      <c r="D2269" s="106" t="inlineStr">
        <is>
          <t>Tên báo cáo</t>
        </is>
      </c>
      <c r="E2269" s="107" t="inlineStr">
        <is>
          <t>Tên báo cáo</t>
        </is>
      </c>
      <c r="F2269" s="390" t="inlineStr">
        <is>
          <t>Data Explorer</t>
        </is>
      </c>
      <c r="G2269" s="390" t="inlineStr">
        <is>
          <t>Chiều</t>
        </is>
      </c>
      <c r="H2269" s="390" t="inlineStr">
        <is>
          <t>Dễ</t>
        </is>
      </c>
      <c r="I2269" s="390" t="inlineStr">
        <is>
          <t>Ngày, CTCK</t>
        </is>
      </c>
      <c r="J2269" s="401" t="inlineStr">
        <is>
          <t>SCMS</t>
        </is>
      </c>
      <c r="K2269" s="401" t="inlineStr">
        <is>
          <t>X</t>
        </is>
      </c>
      <c r="L2269" s="401" t="inlineStr">
        <is>
          <t>X</t>
        </is>
      </c>
      <c r="M2269" s="401" t="n"/>
      <c r="N2269" s="401" t="inlineStr">
        <is>
          <t>Done</t>
        </is>
      </c>
      <c r="O2269" s="401" t="n"/>
      <c r="P2269" s="22" t="n"/>
      <c r="S2269" s="22" t="n"/>
      <c r="U2269" s="16" t="n"/>
      <c r="V2269" s="22" t="n"/>
      <c r="W2269" s="22" t="n"/>
      <c r="X2269" s="22" t="n"/>
      <c r="Y2269" s="13" t="n"/>
      <c r="Z2269" s="22" t="n"/>
      <c r="AA2269" s="22" t="n"/>
      <c r="AB2269" s="22" t="n"/>
      <c r="AC2269" s="22" t="n"/>
      <c r="AD2269" s="22" t="n"/>
      <c r="AE2269" s="22" t="n"/>
    </row>
    <row r="2270" ht="84" customHeight="1" s="380">
      <c r="A2270" s="126" t="n">
        <v>99</v>
      </c>
      <c r="B2270" s="390" t="n"/>
      <c r="C2270" s="390" t="inlineStr">
        <is>
          <t>Báo cáo theo Thông tư 121/2020/TT-BTC &gt;&gt; Báo báo tài chính &gt;&gt; Phần lưu chuyển tiền tệ hoạt động môi giới, ủy thác của khách hàng_06614</t>
        </is>
      </c>
      <c r="D2270" s="106" t="inlineStr">
        <is>
          <t>Mã sheet</t>
        </is>
      </c>
      <c r="E2270" s="106" t="inlineStr">
        <is>
          <t>Mã sheet</t>
        </is>
      </c>
      <c r="F2270" s="390" t="inlineStr">
        <is>
          <t>Data Explorer</t>
        </is>
      </c>
      <c r="G2270" s="390" t="inlineStr">
        <is>
          <t>Chiều</t>
        </is>
      </c>
      <c r="H2270" s="390" t="inlineStr">
        <is>
          <t>Dễ</t>
        </is>
      </c>
      <c r="I2270" s="390" t="inlineStr">
        <is>
          <t>Ngày, CTCK</t>
        </is>
      </c>
      <c r="J2270" s="401" t="inlineStr">
        <is>
          <t>SCMS</t>
        </is>
      </c>
      <c r="K2270" s="401" t="inlineStr">
        <is>
          <t>X</t>
        </is>
      </c>
      <c r="L2270" s="401" t="inlineStr">
        <is>
          <t>X</t>
        </is>
      </c>
      <c r="M2270" s="401" t="n"/>
      <c r="N2270" s="401" t="inlineStr">
        <is>
          <t>Done</t>
        </is>
      </c>
      <c r="O2270" s="401" t="n"/>
      <c r="P2270" s="22" t="n"/>
      <c r="Q2270" s="401" t="inlineStr">
        <is>
          <t>SCMS.BM_BAO_CAO
SCMS.BM_SHEET</t>
        </is>
      </c>
      <c r="R2270" s="401" t="inlineStr">
        <is>
          <t>bm.ID,
bm.MA_BAO_CAO,
bm.SU_DUNG,
s.BM_BAO_CAO_ID,
s.MA_SHEET,
s.TEN_SHEET,
s.SAP_XEP</t>
        </is>
      </c>
      <c r="S2270" s="22" t="n"/>
      <c r="T2270" s="389" t="inlineStr">
        <is>
          <t>-- Mã sheet / Tên sheet
-- TEN_SHEET: PLCTTHDMGUTCKHGT
SELECT bm.MA_BAO_CAO,
s.MA_SHEET,
s.TEN_SHEET
FROM SCMS.BM_BAO_CAO bm
JOIN SCMS.BM_SHEET s ON s.BM_BAO_CAO_ID = bm.ID
WHERE bm.MA_BAO_CAO LIKE 'BCTCRLCTCK'
AND s.TEN_SHEET = 'PLCTTHDMGUTCKHGT'  -- Check lại
AND bm.SU_DUNG = 1
ORDER BY bm.MA_BAO_CAO, s.SAP_XEP;</t>
        </is>
      </c>
      <c r="U2270" s="16" t="n"/>
      <c r="V2270" s="22" t="n"/>
      <c r="W2270" s="22" t="n"/>
      <c r="X2270" s="22" t="n"/>
      <c r="Y2270" s="13" t="n"/>
      <c r="Z2270" s="22" t="n"/>
      <c r="AA2270" s="22" t="n"/>
      <c r="AB2270" s="22" t="n"/>
      <c r="AC2270" s="22" t="n"/>
      <c r="AD2270" s="22" t="n"/>
      <c r="AE2270" s="22" t="n"/>
    </row>
    <row r="2271" ht="84" customHeight="1" s="380">
      <c r="A2271" s="126" t="n">
        <v>99</v>
      </c>
      <c r="B2271" s="390" t="n"/>
      <c r="C2271" s="390" t="inlineStr">
        <is>
          <t>Báo cáo theo Thông tư 121/2020/TT-BTC &gt;&gt; Báo báo tài chính &gt;&gt; Phần lưu chuyển tiền tệ hoạt động môi giới, ủy thác của khách hàng_06614</t>
        </is>
      </c>
      <c r="D2271" s="106" t="inlineStr">
        <is>
          <t>Tên sheet</t>
        </is>
      </c>
      <c r="E2271" s="106" t="inlineStr">
        <is>
          <t>Tên sheet</t>
        </is>
      </c>
      <c r="F2271" s="390" t="inlineStr">
        <is>
          <t>Data Explorer</t>
        </is>
      </c>
      <c r="G2271" s="390" t="inlineStr">
        <is>
          <t>Chiều</t>
        </is>
      </c>
      <c r="H2271" s="390" t="inlineStr">
        <is>
          <t>Dễ</t>
        </is>
      </c>
      <c r="I2271" s="390" t="inlineStr">
        <is>
          <t>Ngày, CTCK</t>
        </is>
      </c>
      <c r="J2271" s="401" t="inlineStr">
        <is>
          <t>SCMS</t>
        </is>
      </c>
      <c r="K2271" s="401" t="inlineStr">
        <is>
          <t>X</t>
        </is>
      </c>
      <c r="L2271" s="401" t="inlineStr">
        <is>
          <t>X</t>
        </is>
      </c>
      <c r="M2271" s="401" t="n"/>
      <c r="N2271" s="401" t="inlineStr">
        <is>
          <t>Done</t>
        </is>
      </c>
      <c r="O2271" s="401" t="n"/>
      <c r="P2271" s="22" t="n"/>
      <c r="S2271" s="22" t="n"/>
      <c r="U2271" s="16" t="n"/>
      <c r="V2271" s="22" t="n"/>
      <c r="W2271" s="22" t="n"/>
      <c r="X2271" s="22" t="n"/>
      <c r="Y2271" s="13" t="n"/>
      <c r="Z2271" s="22" t="n"/>
      <c r="AA2271" s="22" t="n"/>
      <c r="AB2271" s="22" t="n"/>
      <c r="AC2271" s="22" t="n"/>
      <c r="AD2271" s="22" t="n"/>
      <c r="AE2271" s="22" t="n"/>
    </row>
    <row r="2272" ht="84" customHeight="1" s="380">
      <c r="A2272" s="126" t="n">
        <v>99</v>
      </c>
      <c r="B2272" s="390" t="n"/>
      <c r="C2272" s="390" t="inlineStr">
        <is>
          <t>Báo cáo theo Thông tư 121/2020/TT-BTC &gt;&gt; Báo báo tài chính &gt;&gt; Phần lưu chuyển tiền tệ hoạt động môi giới, ủy thác của khách hàng_06614</t>
        </is>
      </c>
      <c r="D2272" s="106" t="inlineStr">
        <is>
          <t>Mã chỉ tiêu</t>
        </is>
      </c>
      <c r="E2272" s="107" t="inlineStr">
        <is>
          <t>Mã chỉ tiêu</t>
        </is>
      </c>
      <c r="F2272" s="390" t="inlineStr">
        <is>
          <t>Data Explorer</t>
        </is>
      </c>
      <c r="G2272" s="390" t="inlineStr">
        <is>
          <t>Chiều</t>
        </is>
      </c>
      <c r="H2272" s="390" t="inlineStr">
        <is>
          <t>Dễ</t>
        </is>
      </c>
      <c r="I2272" s="390" t="inlineStr">
        <is>
          <t>Ngày, CTCK</t>
        </is>
      </c>
      <c r="J2272" s="401" t="inlineStr">
        <is>
          <t>SCMS</t>
        </is>
      </c>
      <c r="K2272" s="401" t="inlineStr">
        <is>
          <t>X</t>
        </is>
      </c>
      <c r="L2272" s="401" t="inlineStr">
        <is>
          <t>X</t>
        </is>
      </c>
      <c r="M2272" s="401" t="n"/>
      <c r="N2272" s="401" t="inlineStr">
        <is>
          <t>Done</t>
        </is>
      </c>
      <c r="O2272" s="401" t="n"/>
      <c r="P2272" s="22" t="n"/>
      <c r="Q2272" s="401" t="inlineStr">
        <is>
          <t>SCMS.BM_BAO_CAO
SCMS.BM_SHEET
SCMS.BM_BAO_CAO_CT
SCMS.DM_CHI_TIEU</t>
        </is>
      </c>
      <c r="R2272" s="401" t="inlineStr">
        <is>
          <t>dct.ID,
dct.MA_CHI_TIEU,
dct.TEN_CHI_TIEU,
dct.SU_DUNG,
s.BM_BAO_CAO_ID,
s.MA_SHEET,
ct.BM_BAO_CAO_ID,
ct.DM_CHI_TIEU_ID,
ct.SU_DUNG,
bm.ID,
bm.MA_BAO_CAO,
bm.SU_DUNG</t>
        </is>
      </c>
      <c r="S2272" s="22" t="n"/>
      <c r="T2272" s="389" t="inlineStr">
        <is>
          <t>-- Mã chỉ tiêu / Tên chỉ tiêu
SELECT DISTINCT
    dct.MA_CHI_TIEU  AS ma_chi_tieu,
    dct.TEN_CHI_TIEU AS ten_chi_tieu
FROM SCMS.BM_BAO_CAO bm
JOIN SCMS.BM_SHEET s ON s.BM_BAO_CAO_ID = bm.ID
	AND s.TEN_SHEET = 'PLCTTHDMGUTCKHGT'
JOIN SCMS.BM_BAO_CAO_CT ct ON ct.BM_SHEET_ID = s.ID
	AND ct.SU_DUNG = 1
JOIN SCMS.DM_CHI_TIEU dct ON dct.ID = ct.DM_CHI_TIEU_ID
	AND dct.SU_DUNG = 1
WHERE bm.MA_BAO_CAO LIKE 'BCTCRLCTCK'
	AND bm.SU_DUNG = 1
ORDER BY dct.MA_CHI_TIEU;</t>
        </is>
      </c>
      <c r="U2272" s="16" t="n"/>
      <c r="V2272" s="22" t="n"/>
      <c r="W2272" s="22" t="n"/>
      <c r="X2272" s="22" t="n"/>
      <c r="Y2272" s="13" t="n"/>
      <c r="Z2272" s="22" t="n"/>
      <c r="AA2272" s="22" t="n"/>
      <c r="AB2272" s="22" t="n"/>
      <c r="AC2272" s="22" t="n"/>
      <c r="AD2272" s="22" t="n"/>
      <c r="AE2272" s="22" t="n"/>
    </row>
    <row r="2273" ht="84" customHeight="1" s="380">
      <c r="A2273" s="126" t="n">
        <v>99</v>
      </c>
      <c r="B2273" s="390" t="n"/>
      <c r="C2273" s="390" t="inlineStr">
        <is>
          <t>Báo cáo theo Thông tư 121/2020/TT-BTC &gt;&gt; Báo báo tài chính &gt;&gt; Phần lưu chuyển tiền tệ hoạt động môi giới, ủy thác của khách hàng_06614</t>
        </is>
      </c>
      <c r="D2273" s="106" t="inlineStr">
        <is>
          <t>Tên chỉ tiêu</t>
        </is>
      </c>
      <c r="E2273" s="107" t="inlineStr">
        <is>
          <t>Tên chỉ tiêu</t>
        </is>
      </c>
      <c r="F2273" s="390" t="inlineStr">
        <is>
          <t>Data Explorer</t>
        </is>
      </c>
      <c r="G2273" s="390" t="inlineStr">
        <is>
          <t>Chiều</t>
        </is>
      </c>
      <c r="H2273" s="390" t="inlineStr">
        <is>
          <t>Dễ</t>
        </is>
      </c>
      <c r="I2273" s="390" t="inlineStr">
        <is>
          <t>Ngày, CTCK</t>
        </is>
      </c>
      <c r="J2273" s="401" t="inlineStr">
        <is>
          <t>SCMS</t>
        </is>
      </c>
      <c r="K2273" s="401" t="inlineStr">
        <is>
          <t>X</t>
        </is>
      </c>
      <c r="L2273" s="401" t="inlineStr">
        <is>
          <t>X</t>
        </is>
      </c>
      <c r="M2273" s="401" t="n"/>
      <c r="N2273" s="401" t="inlineStr">
        <is>
          <t>Done</t>
        </is>
      </c>
      <c r="O2273" s="401" t="n"/>
      <c r="P2273" s="22" t="n"/>
      <c r="S2273" s="22" t="n"/>
      <c r="U2273" s="16" t="n"/>
      <c r="V2273" s="22" t="n"/>
      <c r="W2273" s="22" t="n"/>
      <c r="X2273" s="22" t="n"/>
      <c r="Y2273" s="38" t="n"/>
      <c r="Z2273" s="22" t="n"/>
      <c r="AA2273" s="22" t="n"/>
      <c r="AB2273" s="22" t="n"/>
      <c r="AC2273" s="22" t="n"/>
      <c r="AD2273" s="22" t="n"/>
      <c r="AE2273" s="22" t="n"/>
    </row>
    <row r="2274" ht="84" customHeight="1" s="380">
      <c r="A2274" s="126" t="n">
        <v>99</v>
      </c>
      <c r="B2274" s="390" t="n"/>
      <c r="C2274" s="390" t="inlineStr">
        <is>
          <t>Báo cáo theo Thông tư 121/2020/TT-BTC &gt;&gt; Báo báo tài chính &gt;&gt; Phần lưu chuyển tiền tệ hoạt động môi giới, ủy thác của khách hàng_06614</t>
        </is>
      </c>
      <c r="D2274" s="132" t="inlineStr">
        <is>
          <t>I, Lưu chuyển tiền hoạt động môi giới, ủy thác của khách hàng</t>
        </is>
      </c>
      <c r="E2274" s="401" t="n"/>
      <c r="F2274" s="390" t="inlineStr">
        <is>
          <t>Data Explorer</t>
        </is>
      </c>
      <c r="G2274" s="390" t="inlineStr">
        <is>
          <t>Chỉ tiêu cơ sở</t>
        </is>
      </c>
      <c r="H2274" s="390" t="inlineStr">
        <is>
          <t>Dễ</t>
        </is>
      </c>
      <c r="I2274" s="390" t="inlineStr">
        <is>
          <t>Ngày, CTCK</t>
        </is>
      </c>
      <c r="J2274" s="401" t="inlineStr">
        <is>
          <t>SCMS</t>
        </is>
      </c>
      <c r="K2274" s="401" t="n"/>
      <c r="L2274" s="401" t="inlineStr">
        <is>
          <t>X</t>
        </is>
      </c>
      <c r="M2274" s="401" t="n"/>
      <c r="N2274" s="401" t="inlineStr">
        <is>
          <t>Done</t>
        </is>
      </c>
      <c r="O2274" s="401" t="n"/>
      <c r="P2274" s="22" t="n"/>
      <c r="Q2274" s="431" t="inlineStr">
        <is>
          <t>SCMS.BC_THANH_VIEN
SCMS.BM_BAO_CAO
SCMS.BC_BAO_CAO_GT
SCMS.BM_BAO_CAO_HANG
SCMS.BM_BAO_CAO_COT</t>
        </is>
      </c>
      <c r="R2274" s="431" t="inlineStr">
        <is>
          <t>bsc.TEN_COT,
bsc.BM_SHEET_ID,
bsh.ID,
bsh.MA_HANG,
gt.GIA_TRI,
gt.BC_THANH_VIEN_ID,
gt.BM_SHEET_HANG_ID,
bm.ID,
bm.MA_BAO_CAO,
btv.ID,
btv.BM_BAO_CAO_ID,
btv.TRANG_THAI,
btv.NGAY_SO_LIEU</t>
        </is>
      </c>
      <c r="S2274" s="22" t="n"/>
      <c r="T2274" s="432" t="inlineStr">
        <is>
          <t>-- CHỈ TIÊU
SELECT
	-- Thuyết minh
    MAX(CASE WHEN bsc.TEN_COT=N'Thuyết minh' AND bsh.MA_HANG = '4' THEN CAST(gt.GIA_TRI AS VARCHAR2(4000)) END) AS "I, Lưu chuyển tiền hoạt động môi giới, ủy thác của khách hàng",
	MAX(CASE WHEN bsc.TEN_COT=N'Thuyết minh' AND bsh.MA_HANG = '5' THEN CAST(gt.GIA_TRI AS VARCHAR2(4000)) END) AS "1. Tiền thu bán chứng khoán môi giới cho khách hàng",
	MAX(CASE WHEN bsc.TEN_COT=N'Thuyết minh' AND bsh.MA_HANG = '6' THEN CAST(gt.GIA_TRI AS VARCHAR2(4000)) END) AS "2. Tiền chi mua chứng khoán môi giới cho khách hàng",
	MAX(CASE WHEN bsc.TEN_COT=N'Thuyết minh' AND bsh.MA_HANG = '7' THEN CAST(gt.GIA_TRI AS VARCHAR2(4000)) END) AS "3. Tiền thu bán chứng khoán ủy thác của khách hàng",
	MAX(CASE WHEN bsc.TEN_COT=N'Thuyết minh' AND bsh.MA_HANG = '8' THEN CAST(gt.GIA_TRI AS VARCHAR2(4000)) END) AS "4. Tiền chi bán chứng khoán ủy thác của khách hàng",
	MAX(CASE WHEN bsc.TEN_COT=N'Thuyết minh' AND bsh.MA_HANG = '9' THEN CAST(gt.GIA_TRI AS VARCHAR2(4000)) END) AS "5. Thu vay Quỹ Hỗ trợ thanh toán",
	MAX(CASE WHEN bsc.TEN_COT=N'Thuyết minh' AND bsh.MA_HANG = '10' THEN CAST(gt.GIA_TRI AS VARCHAR2(4000)) END) AS "6. Chi trả vay Quỹ Hỗ trợ thanh toán",
	MAX(CASE WHEN bsc.TEN_COT=N'Thuyết minh' AND bsh.MA_HANG = '11' THEN CAST(gt.GIA_TRI AS VARCHAR2(4000)) END) AS "7. Nhận tiền gửi để thanh toán giao dịch chứng khoán của khách hàng",
	MAX(CASE WHEN bsc.TEN_COT=N'Thuyết minh' AND bsh.MA_HANG = '12' THEN CAST(gt.GIA_TRI AS VARCHAR2(4000)) END) AS "7.1 Tiền gửi ký quỹ của nhà đầu tư tại VSD",
	MAX(CASE WHEN bsc.TEN_COT=N'Thuyết minh' AND bsh.MA_HANG = '13' THEN CAST(gt.GIA_TRI AS VARCHAR2(4000)) END) AS "8. Chi trả thanh toán giao dịch chứng khoán của khách hàng",
	MAX(CASE WHEN bsc.TEN_COT=N'Thuyết minh' AND bsh.MA_HANG = '14' THEN CAST(gt.GIA_TRI AS VARCHAR2(4000)) END) AS "9. Nhận tiền gửi của Nhà đầu tư cho hoạt động ủy thác đầu tư của khách hàng",
	MAX(CASE WHEN bsc.TEN_COT=N'Thuyết minh' AND bsh.MA_HANG = '15' THEN CAST(gt.GIA_TRI AS VARCHAR2(4000)) END) AS "10. Chi trả cho hoạt động ủy thác đầu tư của khách hàng",
	MAX(CASE WHEN bsc.TEN_COT=N'Thuyết minh' AND bsh.MA_HANG = '16' THEN CAST(gt.GIA_TRI AS VARCHAR2(4000)) END) AS "11. Chi trả phí lưu ký chứng khoán của khách hàng",
	MAX(CASE WHEN bsc.TEN_COT=N'Thuyết minh' AND bsh.MA_HANG = '17' THEN CAST(gt.GIA_TRI AS VARCHAR2(4000)) END) AS "12. Thu lỗi giao dịch chứng khoán",
	MAX(CASE WHEN bsc.TEN_COT=N'Thuyết minh' AND bsh.MA_HANG = '18' THEN CAST(gt.GIA_TRI AS VARCHAR2(4000)) END) AS "13.Chi lỗi giao dịch chứng khoán",
	MAX(CASE WHEN bsc.TEN_COT=N'Thuyết minh' AND bsh.MA_HANG = '19' THEN CAST(gt.GIA_TRI AS VARCHAR2(4000)) END) AS "14. Tiền thu của Tổ chức phát hành chứng khoán",
	MAX(CASE WHEN bsc.TEN_COT=N'Thuyết minh' AND bsh.MA_HANG = '20' THEN CAST(gt.GIA_TRI AS VARCHAR2(4000)) END) AS "15. Tiền chi trả Tổ chức phát hành chứng khoán",
	MAX(CASE WHEN bsc.TEN_COT=N'Thuyết minh' AND bsh.MA_HANG = '21' THEN CAST(gt.GIA_TRI AS VARCHAR2(4000)) END) AS "Tăng/giảm tiền thuần trong kỳ",
	MAX(CASE WHEN bsc.TEN_COT=N'Thuyết minh' AND bsh.MA_HANG = '22' THEN CAST(gt.GIA_TRI AS VARCHAR2(4000)) END) AS "II, Tiền và các khoản tương đương tiền đầu kỳ của khách hàng",
	MAX(CASE WHEN bsc.TEN_COT=N'Thuyết minh' AND bsh.MA_HANG = '23' THEN CAST(gt.GIA_TRI AS VARCHAR2(4000)) END) AS "Tiền gửi ngân hàng đầu kỳ",
	MAX(CASE WHEN bsc.TEN_COT=N'Thuyết minh' AND bsh.MA_HANG = '24' THEN CAST(gt.GIA_TRI AS VARCHAR2(4000)) END) AS "Tiền gửi của Nhà đầu tư về giao dịch chứng khoán theo phương thức CTCK quản lý",
	MAX(CASE WHEN bsc.TEN_COT=N'Thuyết minh' AND bsh.MA_HANG = '25' THEN CAST(gt.GIA_TRI AS VARCHAR2(4000)) END) AS "Trong đó có kỳ hạn",
	MAX(CASE WHEN bsc.TEN_COT=N'Thuyết minh' AND bsh.MA_HANG = '26' THEN CAST(gt.GIA_TRI AS VARCHAR2(4000)) END) AS "Tiền gửi tổng hợp giao dịch chứng khoán cho khách hàng",
	MAX(CASE WHEN bsc.TEN_COT=N'Thuyết minh' AND bsh.MA_HANG = '27' THEN CAST(gt.GIA_TRI AS VARCHAR2(4000)) END) AS "Tiền gửi bù trừ và thanh toán giao dịch chứng khoán",
	MAX(CASE WHEN bsc.TEN_COT=N'Thuyết minh' AND bsh.MA_HANG = '28' THEN CAST(gt.GIA_TRI AS VARCHAR2(4000)) END) AS "Tiền gửi của Tổ chức phát hành",
	MAX(CASE WHEN bsc.TEN_COT=N'Thuyết minh' AND bsh.MA_HANG = '29' THEN CAST(gt.GIA_TRI AS VARCHAR2(4000)) END) AS "Trong đó có kỳ hạn",
	MAX(CASE WHEN bsc.TEN_COT=N'Thuyết minh' AND bsh.MA_HANG = '30' THEN CAST(gt.GIA_TRI AS VARCHAR2(4000)) END) AS "Các khoản tương đương tiền",
	MAX(CASE WHEN bsc.TEN_COT=N'Thuyết minh' AND bsh.MA_HANG = '31' THEN CAST(gt.GIA_TRI AS VARCHAR2(4000)) END) AS "Ảnh hưởng của thay đổi tỷ giá hối đoái quy đổi ngoại tệ",
	MAX(CASE WHEN bsc.TEN_COT=N'Thuyết minh' AND bsh.MA_HANG = '32' THEN CAST(gt.GIA_TRI AS VARCHAR2(4000)) END) AS "III, Tiền và các khoản tương đương tiền cuối kỳ của khách hàng",
	MAX(CASE WHEN bsc.TEN_COT=N'Thuyết minh' AND bsh.MA_HANG = '33' THEN CAST(gt.GIA_TRI AS VARCHAR2(4000)) END) AS "Tiền gửi ngân hàng cuối kỳ",
	MAX(CASE WHEN bsc.TEN_COT=N'Thuyết minh' AND bsh.MA_HANG = '34' THEN CAST(gt.GIA_TRI AS VARCHAR2(4000)) END) AS "Tiền gửi của Nhà đầu tư về giao dịch chứng khoán theo phương thức CTCK quản lý",
	MAX(CASE WHEN bsc.TEN_COT=N'Thuyết minh' AND bsh.MA_HANG = '35' THEN CAST(gt.GIA_TRI AS VARCHAR2(4000)) END) AS "Trong đó có kỳ hạn",
	MAX(CASE WHEN bsc.TEN_COT=N'Thuyết minh' AND bsh.MA_HANG = '36' THEN CAST(gt.GIA_TRI AS VARCHAR2(4000)) END) AS "Tiền gửi tổng hợp giao dịch chứng khoán cho khách hàng",
	MAX(CASE WHEN bsc.TEN_COT=N'Thuyết minh' AND bsh.MA_HANG = '37' THEN CAST(gt.GIA_TRI AS VARCHAR2(4000)) END) AS "Tiền gửi bù trừ và thanh toán giao dịch chứng khoán",
	MAX(CASE WHEN bsc.TEN_COT=N'Thuyết minh' AND bsh.MA_HANG = '38' THEN CAST(gt.GIA_TRI AS VARCHAR2(4000)) END) AS "Tiền gửi của Tổ chức phát hành",
	MAX(CASE WHEN bsc.TEN_COT=N'Thuyết minh' AND bsh.MA_HANG = '39' THEN CAST(gt.GIA_TRI AS VARCHAR2(4000)) END) AS "Trong đó có kỳ hạn",
	MAX(CASE WHEN bsc.TEN_COT=N'Thuyết minh' AND bsh.MA_HANG = '40' THEN CAST(gt.GIA_TRI AS VARCHAR2(4000)) END) AS "Các khoản tương đương tiền",
	MAX(CASE WHEN bsc.TEN_COT=N'Thuyết minh' AND bsh.MA_HANG = '41' THEN CAST(gt.GIA_TRI AS VARCHAR2(4000)) END) AS "Ảnh hưởng của thay đổi tỷ giá hối đoái quy đổi ngoại tệ",	    
    -- Năm nay
	MAX(CASE WHEN bsc.TEN_COT=N'Năm nay' AND bsh.MA_HANG = '4' THEN CAST(gt.GIA_TRI AS VARCHAR2(4000)) END) AS "I, Lưu chuyển tiền hoạt động môi giới, ủy thác của khách hàng",
	MAX(CASE WHEN bsc.TEN_COT=N'Năm nay' AND bsh.MA_HANG = '5' THEN CAST(gt.GIA_TRI AS VARCHAR2(4000)) END) AS "1. Tiền thu bán chứng khoán môi giới cho khách hàng",
	MAX(CASE WHEN bsc.TEN_COT=N'Năm nay' AND bsh.MA_HANG = '6' THEN CAST(gt.GIA_TRI AS VARCHAR2(4000)) END) AS "2. Tiền chi mua chứng khoán môi giới cho khách hàng",
	MAX(CASE WHEN bsc.TEN_COT=N'Năm nay' AND bsh.MA_HANG = '7' THEN CAST(gt.GIA_TRI AS VARCHAR2(4000)) END) AS "3. Tiền thu bán chứng khoán ủy thác của khách hàng",
	MAX(CASE WHEN bsc.TEN_COT=N'Năm nay' AND bsh.MA_HANG = '8' THEN CAST(gt.GIA_TRI AS VARCHAR2(4000)) END) AS "4. Tiền chi bán chứng khoán ủy thác của khách hàng",
	MAX(CASE WHEN bsc.TEN_COT=N'Năm nay' AND bsh.MA_HANG = '9' THEN CAST(gt.GIA_TRI AS VARCHAR2(4000)) END) AS "5. Thu vay Quỹ Hỗ trợ thanh toán",
	MAX(CASE WHEN bsc.TEN_COT=N'Năm nay' AND bsh.MA_HANG = '10' THEN CAST(gt.GIA_TRI AS VARCHAR2(4000)) END) AS "6. Chi trả vay Quỹ Hỗ trợ thanh toán",
	MAX(CASE WHEN bsc.TEN_COT=N'Năm nay' AND bsh.MA_HANG = '11' THEN CAST(gt.GIA_TRI AS VARCHAR2(4000)) END) AS "7. Nhận tiền gửi để thanh toán giao dịch chứng khoán của khách hàng",
	MAX(CASE WHEN bsc.TEN_COT=N'Năm nay' AND bsh.MA_HANG = '12' THEN CAST(gt.GIA_TRI AS VARCHAR2(4000)) END) AS "7.1 Tiền gửi ký quỹ của nhà đầu tư tại VSD",
	MAX(CASE WHEN bsc.TEN_COT=N'Năm nay' AND bsh.MA_HANG = '13' THEN CAST(gt.GIA_TRI AS VARCHAR2(4000)) END) AS "8. Chi trả thanh toán giao dịch chứng khoán của khách hàng",
	MAX(CASE WHEN bsc.TEN_COT=N'Năm nay' AND bsh.MA_HANG = '14' THEN CAST(gt.GIA_TRI AS VARCHAR2(4000)) END) AS "9. Nhận tiền gửi của Nhà đầu tư cho hoạt động ủy thác đầu tư của khách hàng",
	MAX(CASE WHEN bsc.TEN_COT=N'Năm nay' AND bsh.MA_HANG = '15' THEN CAST(gt.GIA_TRI AS VARCHAR2(4000)) END) AS "10. Chi trả cho hoạt động ủy thác đầu tư của khách hàng",
	MAX(CASE WHEN bsc.TEN_COT=N'Năm nay' AND bsh.MA_HANG = '16' THEN CAST(gt.GIA_TRI AS VARCHAR2(4000)) END) AS "11. Chi trả phí lưu ký chứng khoán của khách hàng",
	MAX(CASE WHEN bsc.TEN_COT=N'Năm nay' AND bsh.MA_HANG = '17' THEN CAST(gt.GIA_TRI AS VARCHAR2(4000)) END) AS "12. Thu lỗi giao dịch chứng khoán",
	MAX(CASE WHEN bsc.TEN_COT=N'Năm nay' AND bsh.MA_HANG = '18' THEN CAST(gt.GIA_TRI AS VARCHAR2(4000)) END) AS "13.Chi lỗi giao dịch chứng khoán",
	MAX(CASE WHEN bsc.TEN_COT=N'Năm nay' AND bsh.MA_HANG = '19' THEN CAST(gt.GIA_TRI AS VARCHAR2(4000)) END) AS "14. Tiền thu của Tổ chức phát hành chứng khoán",
	MAX(CASE WHEN bsc.TEN_COT=N'Năm nay' AND bsh.MA_HANG = '20' THEN CAST(gt.GIA_TRI AS VARCHAR2(4000)) END) AS "15. Tiền chi trả Tổ chức phát hành chứng khoán",
	MAX(CASE WHEN bsc.TEN_COT=N'Năm nay' AND bsh.MA_HANG = '21' THEN CAST(gt.GIA_TRI AS VARCHAR2(4000)) END) AS "Tăng/giảm tiền thuần trong kỳ",
	MAX(CASE WHEN bsc.TEN_COT=N'Năm nay' AND bsh.MA_HANG = '22' THEN CAST(gt.GIA_TRI AS VARCHAR2(4000)) END) AS "II, Tiền và các khoản tương đương tiền đầu kỳ của khách hàng",
	MAX(CASE WHEN bsc.TEN_COT=N'Năm nay' AND bsh.MA_HANG = '23' THEN CAST(gt.GIA_TRI AS VARCHAR2(4000)) END) AS "Tiền gửi ngân hàng đầu kỳ",
	MAX(CASE WHEN bsc.TEN_COT=N'Năm nay' AND bsh.MA_HANG = '24' THEN CAST(gt.GIA_TRI AS VARCHAR2(4000)) END) AS "Tiền gửi của Nhà đầu tư về giao dịch chứng khoán theo phương thức CTCK quản lý",
	MAX(CASE WHEN bsc.TEN_COT=N'Năm nay' AND bsh.MA_HANG = '25' THEN CAST(gt.GIA_TRI AS VARCHAR2(4000)) END) AS "Trong đó có kỳ hạn",
	MAX(CASE WHEN bsc.TEN_COT=N'Năm nay' AND bsh.MA_HANG = '26' THEN CAST(gt.GIA_TRI AS VARCHAR2(4000)) END) AS "Tiền gửi tổng hợp giao dịch chứng khoán cho khách hàng",
	MAX(CASE WHEN bsc.TEN_COT=N'Năm nay' AND bsh.MA_HANG = '27' THEN CAST(gt.GIA_TRI AS VARCHAR2(4000)) END) AS "Tiền gửi bù trừ và thanh toán giao dịch chứng khoán",
	MAX(CASE WHEN bsc.TEN_COT=N'Năm nay' AND bsh.MA_HANG = '28' THEN CAST(gt.GIA_TRI AS VARCHAR2(4000)) END) AS "Tiền gửi của Tổ chức phát hành",
	MAX(CASE WHEN bsc.TEN_COT=N'Năm nay' AND bsh.MA_HANG = '29' THEN CAST(gt.GIA_TRI AS VARCHAR2(4000)) END) AS "Trong đó có kỳ hạn",
	MAX(CASE WHEN bsc.TEN_COT=N'Năm nay' AND bsh.MA_HANG = '30' THEN CAST(gt.GIA_TRI AS VARCHAR2(4000)) END) AS "Các khoản tương đương tiền",
	MAX(CASE WHEN bsc.TEN_COT=N'Năm nay' AND bsh.MA_HANG = '31' THEN CAST(gt.GIA_TRI AS VARCHAR2(4000)) END) AS "Ảnh hưởng của thay đổi tỷ giá hối đoái quy đổi ngoại tệ",
	MAX(CASE WHEN bsc.TEN_COT=N'Năm nay' AND bsh.MA_HANG = '32' THEN CAST(gt.GIA_TRI AS VARCHAR2(4000)) END) AS "III, Tiền và các khoản tương đương tiền cuối kỳ của khách hàng",
	MAX(CASE WHEN bsc.TEN_COT=N'Năm nay' AND bsh.MA_HANG = '33' THEN CAST(gt.GIA_TRI AS VARCHAR2(4000)) END) AS "Tiền gửi ngân hàng cuối kỳ",
	MAX(CASE WHEN bsc.TEN_COT=N'Năm nay' AND bsh.MA_HANG = '34' THEN CAST(gt.GIA_TRI AS VARCHAR2(4000)) END) AS "Tiền gửi của Nhà đầu tư về giao dịch chứng khoán theo phương thức CTCK quản lý",
	MAX(CASE WHEN bsc.TEN_COT=N'Năm nay' AND bsh.MA_HANG = '35' THEN CAST(gt.GIA_TRI AS VARCHAR2(4000)) END) AS "Trong đó có kỳ hạn",
	MAX(CASE WHEN bsc.TEN_COT=N'Năm nay' AND bsh.MA_HANG = '36' THEN CAST(gt.GIA_TRI AS VARCHAR2(4000)) END) AS "Tiền gửi tổng hợp giao dịch chứng khoán cho khách hàng",
	MAX(CASE WHEN bsc.TEN_COT=N'Năm nay' AND bsh.MA_HANG = '37' THEN CAST(gt.GIA_TRI AS VARCHAR2(4000)) END) AS "Tiền gửi bù trừ và thanh toán giao dịch chứng khoán",
	MAX(CASE WHEN bsc.TEN_COT=N'Năm nay' AND bsh.MA_HANG = '38' THEN CAST(gt.GIA_TRI AS VARCHAR2(4000)) END) AS "Tiền gửi của Tổ chức phát hành",
	MAX(CASE WHEN bsc.TEN_COT=N'Năm nay' AND bsh.MA_HANG = '39' THEN CAST(gt.GIA_TRI AS VARCHAR2(4000)) END) AS "Trong đó có kỳ hạn",
	MAX(CASE WHEN bsc.TEN_COT=N'Năm nay' AND bsh.MA_HANG = '40' THEN CAST(gt.GIA_TRI AS VARCHAR2(4000)) END) AS "Các khoản tương đương tiền",
	MAX(CASE WHEN bsc.TEN_COT=N'Năm nay' AND bsh.MA_HANG = '41' THEN CAST(gt.GIA_TRI AS VARCHAR2(4000)) END) AS "Ảnh hưởng của thay đổi tỷ giá hối đoái quy đổi ngoại tệ",	    
    -- Năm trước
	MAX(CASE WHEN bsc.TEN_COT=N'Năm trước' AND bsh.MA_HANG = '4' THEN CAST(gt.GIA_TRI AS VARCHAR2(4000)) END) AS "I, Lưu chuyển tiền hoạt động môi giới, ủy thác của khách hàng",
	MAX(CASE WHEN bsc.TEN_COT=N'Năm trước' AND bsh.MA_HANG = '5' THEN CAST(gt.GIA_TRI AS VARCHAR2(4000)) END) AS "1. Tiền thu bán chứng khoán môi giới cho khách hàng",
	MAX(CASE WHEN bsc.TEN_COT=N'Năm trước' AND bsh.MA_HANG = '6' THEN CAST(gt.GIA_TRI AS VARCHAR2(4000)) END) AS "2. Tiền chi mua chứng khoán môi giới cho khách hàng",
	MAX(CASE WHEN bsc.TEN_COT=N'Năm trước' AND bsh.MA_HANG = '7' THEN CAST(gt.GIA_TRI AS VARCHAR2(4000)) END) AS "3. Tiền thu bán chứng khoán ủy thác của khách hàng",
	MAX(CASE WHEN bsc.TEN_COT=N'Năm trước' AND bsh.MA_HANG = '8' THEN CAST(gt.GIA_TRI AS VARCHAR2(4000)) END) AS "4. Tiền chi bán chứng khoán ủy thác của khách hàng",
	MAX(CASE WHEN bsc.TEN_COT=N'Năm trước' AND bsh.MA_HANG = '9' THEN CAST(gt.GIA_TRI AS VARCHAR2(4000)) END) AS "5. Thu vay Quỹ Hỗ trợ thanh toán",
	MAX(CASE WHEN bsc.TEN_COT=N'Năm trước' AND bsh.MA_HANG = '10' THEN CAST(gt.GIA_TRI AS VARCHAR2(4000)) END) AS "6. Chi trả vay Quỹ Hỗ trợ thanh toán",
	MAX(CASE WHEN bsc.TEN_COT=N'Năm trước' AND bsh.MA_HANG = '11' THEN CAST(gt.GIA_TRI AS VARCHAR2(4000)) END) AS "7. Nhận tiền gửi để thanh toán giao dịch chứng khoán của khách hàng",
	MAX(CASE WHEN bsc.TEN_COT=N'Năm trước' AND bsh.MA_HANG = '12' THEN CAST(gt.GIA_TRI AS VARCHAR2(4000)) END) AS "7.1 Tiền gửi ký quỹ của nhà đầu tư tại VSD",
	MAX(CASE WHEN bsc.TEN_COT=N'Năm trước' AND bsh.MA_HANG = '13' THEN CAST(gt.GIA_TRI AS VARCHAR2(4000)) END) AS "8. Chi trả thanh toán giao dịch chứng khoán của khách hàng",
	MAX(CASE WHEN bsc.TEN_COT=N'Năm trước' AND bsh.MA_HANG = '14' THEN CAST(gt.GIA_TRI AS VARCHAR2(4000)) END) AS "9. Nhận tiền gửi của Nhà đầu tư cho hoạt động ủy thác đầu tư của khách hàng",
	MAX(CASE WHEN bsc.TEN_COT=N'Năm trước' AND bsh.MA_HANG = '15' THEN CAST(gt.GIA_TRI AS VARCHAR2(4000)) END) AS "10. Chi trả cho hoạt động ủy thác đầu tư của khách hàng",
	MAX(CASE WHEN bsc.TEN_COT=N'Năm trước' AND bsh.MA_HANG = '16' THEN CAST(gt.GIA_TRI AS VARCHAR2(4000)) END) AS "11. Chi trả phí lưu ký chứng khoán của khách hàng",
	MAX(CASE WHEN bsc.TEN_COT=N'Năm trước' AND bsh.MA_HANG = '17' THEN CAST(gt.GIA_TRI AS VARCHAR2(4000)) END) AS "12. Thu lỗi giao dịch chứng khoán",
	MAX(CASE WHEN bsc.TEN_COT=N'Năm trước' AND bsh.MA_HANG = '18' THEN CAST(gt.GIA_TRI AS VARCHAR2(4000)) END) AS "13.Chi lỗi giao dịch chứng khoán",
	MAX(CASE WHEN bsc.TEN_COT=N'Năm trước' AND bsh.MA_HANG = '19' THEN CAST(gt.GIA_TRI AS VARCHAR2(4000)) END) AS "14. Tiền thu của Tổ chức phát hành chứng khoán",
	MAX(CASE WHEN bsc.TEN_COT=N'Năm trước' AND bsh.MA_HANG = '20' THEN CAST(gt.GIA_TRI AS VARCHAR2(4000)) END) AS "15. Tiền chi trả Tổ chức phát hành chứng khoán",
	MAX(CASE WHEN bsc.TEN_COT=N'Năm trước' AND bsh.MA_HANG = '21' THEN CAST(gt.GIA_TRI AS VARCHAR2(4000)) END) AS "Tăng/giảm tiền thuần trong kỳ",
	MAX(CASE WHEN bsc.TEN_COT=N'Năm trước' AND bsh.MA_HANG = '22' THEN CAST(gt.GIA_TRI AS VARCHAR2(4000)) END) AS "II, Tiền và các khoản tương đương tiền đầu kỳ của khách hàng",
	MAX(CASE WHEN bsc.TEN_COT=N'Năm trước' AND bsh.MA_HANG = '23' THEN CAST(gt.GIA_TRI AS VARCHAR2(4000)) END) AS "Tiền gửi ngân hàng đầu kỳ",
	MAX(CASE WHEN bsc.TEN_COT=N'Năm trước' AND bsh.MA_HANG = '24' THEN CAST(gt.GIA_TRI AS VARCHAR2(4000)) END) AS "Tiền gửi của Nhà đầu tư về giao dịch chứng khoán theo phương thức CTCK quản lý",
	MAX(CASE WHEN bsc.TEN_COT=N'Năm trước' AND bsh.MA_HANG = '25' THEN CAST(gt.GIA_TRI AS VARCHAR2(4000)) END) AS "Trong đó có kỳ hạn",
	MAX(CASE WHEN bsc.TEN_COT=N'Năm trước' AND bsh.MA_HANG = '26' THEN CAST(gt.GIA_TRI AS VARCHAR2(4000)) END) AS "Tiền gửi tổng hợp giao dịch chứng khoán cho khách hàng",
	MAX(CASE WHEN bsc.TEN_COT=N'Năm trước' AND bsh.MA_HANG = '27' THEN CAST(gt.GIA_TRI AS VARCHAR2(4000)) END) AS "Tiền gửi bù trừ và thanh toán giao dịch chứng khoán",
	MAX(CASE WHEN bsc.TEN_COT=N'Năm trước' AND bsh.MA_HANG = '28' THEN CAST(gt.GIA_TRI AS VARCHAR2(4000)) END) AS "Tiền gửi của Tổ chức phát hành",
	MAX(CASE WHEN bsc.TEN_COT=N'Năm trước' AND bsh.MA_HANG = '29' THEN CAST(gt.GIA_TRI AS VARCHAR2(4000)) END) AS "Trong đó có kỳ hạn",
	MAX(CASE WHEN bsc.TEN_COT=N'Năm trước' AND bsh.MA_HANG = '30' THEN CAST(gt.GIA_TRI AS VARCHAR2(4000)) END) AS "Các khoản tương đương tiền",
	MAX(CASE WHEN bsc.TEN_COT=N'Năm trước' AND bsh.MA_HANG = '31' THEN CAST(gt.GIA_TRI AS VARCHAR2(4000)) END) AS "Ảnh hưởng của thay đổi tỷ giá hối đoái quy đổi ngoại tệ",
	MAX(CASE WHEN bsc.TEN_COT=N'Năm trước' AND bsh.MA_HANG = '32' THEN CAST(gt.GIA_TRI AS VARCHAR2(4000)) END) AS "III, Tiền và các khoản tương đương tiền cuối kỳ của khách hàng",
	MAX(CASE WHEN bsc.TEN_COT=N'Năm trước' AND bsh.MA_HANG = '33' THEN CAST(gt.GIA_TRI AS VARCHAR2(4000)) END) AS "Tiền gửi ngân hàng cuối kỳ",
	MAX(CASE WHEN bsc.TEN_COT=N'Năm trước' AND bsh.MA_HANG = '34' THEN CAST(gt.GIA_TRI AS VARCHAR2(4000)) END) AS "Tiền gửi của Nhà đầu tư về giao dịch chứng khoán theo phương thức CTCK quản lý",
	MAX(CASE WHEN bsc.TEN_COT=N'Năm trước' AND bsh.MA_HANG = '35' THEN CAST(gt.GIA_TRI AS VARCHAR2(4000)) END) AS "Trong đó có kỳ hạn",
	MAX(CASE WHEN bsc.TEN_COT=N'Năm trước' AND bsh.MA_HANG = '36' THEN CAST(gt.GIA_TRI AS VARCHAR2(4000)) END) AS "Tiền gửi tổng hợp giao dịch chứng khoán cho khách hàng",
	MAX(CASE WHEN bsc.TEN_COT=N'Năm trước' AND bsh.MA_HANG = '37' THEN CAST(gt.GIA_TRI AS VARCHAR2(4000)) END) AS "Tiền gửi bù trừ và thanh toán giao dịch chứng khoán",
	MAX(CASE WHEN bsc.TEN_COT=N'Năm trước' AND bsh.MA_HANG = '38' THEN CAST(gt.GIA_TRI AS VARCHAR2(4000)) END) AS "Tiền gửi của Tổ chức phát hành",
	MAX(CASE WHEN bsc.TEN_COT=N'Năm trước' AND bsh.MA_HANG = '39' THEN CAST(gt.GIA_TRI AS VARCHAR2(4000)) END) AS "Trong đó có kỳ hạn",
	MAX(CASE WHEN bsc.TEN_COT=N'Năm trước' AND bsh.MA_HANG = '40' THEN CAST(gt.GIA_TRI AS VARCHAR2(4000)) END) AS "Các khoản tương đương tiền",
	MAX(CASE WHEN bsc.TEN_COT=N'Năm trước' AND bsh.MA_HANG = '41' THEN CAST(gt.GIA_TRI AS VARCHAR2(4000)) END) AS "Ảnh hưởng của thay đổi tỷ giá hối đoái quy đổi ngoại tệ"
FROM SCMS.BC_THANH_VIEN btv
JOIN SCMS.BM_BAO_CAO bm ON bm.ID = btv.BM_BAO_CAO_ID
JOIN SCMS.BC_BAO_CAO_GT gt ON gt.BC_THANH_VIEN_ID = btv.ID
JOIN SCMS.BM_BAO_CAO_HANG bsh ON bsh.ID = gt.BM_SHEET_HANG_ID
JOIN SCMS.BM_BAO_CAO_COT bsc ON bsc.BM_SHEET_ID = 5888
--                               AND bsc.TEN_COT = gt.TEN_COT
WHERE bm.MA_BAO_CAO LIKE 'BCTCRLCTCK'
  AND btv.TRANG_THAI IN (2, 3)
GROUP BY btv.ID, btv.NGAY_SO_LIEU
ORDER BY btv.NGAY_SO_LIEU DESC;</t>
        </is>
      </c>
      <c r="U2274" s="16" t="n"/>
      <c r="V2274" s="22" t="n"/>
      <c r="W2274" s="22" t="n"/>
      <c r="X2274" s="22" t="n"/>
      <c r="Y2274" s="13" t="n"/>
      <c r="Z2274" s="22" t="n"/>
      <c r="AA2274" s="22" t="n"/>
      <c r="AB2274" s="22" t="n"/>
      <c r="AC2274" s="22" t="n"/>
      <c r="AD2274" s="22" t="n"/>
      <c r="AE2274" s="22" t="n"/>
    </row>
    <row r="2275" ht="84" customHeight="1" s="380">
      <c r="A2275" s="126" t="n">
        <v>99</v>
      </c>
      <c r="B2275" s="390" t="n"/>
      <c r="C2275" s="390" t="inlineStr">
        <is>
          <t>Báo cáo theo Thông tư 121/2020/TT-BTC &gt;&gt; Báo báo tài chính &gt;&gt; Phần lưu chuyển tiền tệ hoạt động môi giới, ủy thác của khách hàng_06614</t>
        </is>
      </c>
      <c r="D2275" s="390" t="inlineStr">
        <is>
          <t>1. Tiền thu bán chứng khoán môi giới cho khách hàng</t>
        </is>
      </c>
      <c r="E2275" s="390" t="n">
        <v>1</v>
      </c>
      <c r="F2275" s="390" t="inlineStr">
        <is>
          <t>Data Explorer</t>
        </is>
      </c>
      <c r="G2275" s="390" t="inlineStr">
        <is>
          <t>Chỉ tiêu cơ sở</t>
        </is>
      </c>
      <c r="H2275" s="390" t="inlineStr">
        <is>
          <t>Dễ</t>
        </is>
      </c>
      <c r="I2275" s="390" t="inlineStr">
        <is>
          <t>Ngày, CTCK</t>
        </is>
      </c>
      <c r="J2275" s="401" t="inlineStr">
        <is>
          <t>SCMS</t>
        </is>
      </c>
      <c r="K2275" s="401" t="n"/>
      <c r="L2275" s="401" t="inlineStr">
        <is>
          <t>X</t>
        </is>
      </c>
      <c r="M2275" s="401" t="n"/>
      <c r="N2275" s="401" t="inlineStr">
        <is>
          <t>Done</t>
        </is>
      </c>
      <c r="O2275" s="401" t="n"/>
      <c r="P2275" s="22" t="n"/>
      <c r="S2275" s="22" t="n"/>
      <c r="U2275" s="16" t="n"/>
      <c r="V2275" s="22" t="n"/>
      <c r="W2275" s="22" t="n"/>
      <c r="X2275" s="22" t="n"/>
      <c r="Y2275" s="13" t="n"/>
      <c r="Z2275" s="22" t="n"/>
      <c r="AA2275" s="22" t="n"/>
      <c r="AB2275" s="22" t="n"/>
      <c r="AC2275" s="22" t="n"/>
      <c r="AD2275" s="22" t="n"/>
      <c r="AE2275" s="22" t="n"/>
    </row>
    <row r="2276" ht="84" customHeight="1" s="380">
      <c r="A2276" s="126" t="n">
        <v>99</v>
      </c>
      <c r="B2276" s="390" t="n"/>
      <c r="C2276" s="390" t="inlineStr">
        <is>
          <t>Báo cáo theo Thông tư 121/2020/TT-BTC &gt;&gt; Báo báo tài chính &gt;&gt; Phần lưu chuyển tiền tệ hoạt động môi giới, ủy thác của khách hàng_06614</t>
        </is>
      </c>
      <c r="D2276" s="390" t="inlineStr">
        <is>
          <t>2. Tiền chi mua chứng khoán môi giới cho khách hàng</t>
        </is>
      </c>
      <c r="E2276" s="390" t="n">
        <v>2</v>
      </c>
      <c r="F2276" s="390" t="inlineStr">
        <is>
          <t>Data Explorer</t>
        </is>
      </c>
      <c r="G2276" s="390" t="inlineStr">
        <is>
          <t>Chỉ tiêu cơ sở</t>
        </is>
      </c>
      <c r="H2276" s="390" t="inlineStr">
        <is>
          <t>Dễ</t>
        </is>
      </c>
      <c r="I2276" s="390" t="inlineStr">
        <is>
          <t>Ngày, CTCK</t>
        </is>
      </c>
      <c r="J2276" s="401" t="inlineStr">
        <is>
          <t>SCMS</t>
        </is>
      </c>
      <c r="K2276" s="401" t="n"/>
      <c r="L2276" s="401" t="inlineStr">
        <is>
          <t>X</t>
        </is>
      </c>
      <c r="M2276" s="401" t="n"/>
      <c r="N2276" s="401" t="inlineStr">
        <is>
          <t>Done</t>
        </is>
      </c>
      <c r="O2276" s="401" t="n"/>
      <c r="P2276" s="22" t="n"/>
      <c r="S2276" s="22" t="n"/>
      <c r="U2276" s="16" t="n"/>
      <c r="V2276" s="22" t="n"/>
      <c r="W2276" s="22" t="n"/>
      <c r="X2276" s="22" t="n"/>
      <c r="Y2276" s="13" t="n"/>
      <c r="Z2276" s="22" t="n"/>
      <c r="AA2276" s="22" t="n"/>
      <c r="AB2276" s="22" t="n"/>
      <c r="AC2276" s="22" t="n"/>
      <c r="AD2276" s="22" t="n"/>
      <c r="AE2276" s="22" t="n"/>
    </row>
    <row r="2277" ht="84" customHeight="1" s="380">
      <c r="A2277" s="126" t="n">
        <v>99</v>
      </c>
      <c r="B2277" s="390" t="n"/>
      <c r="C2277" s="390" t="inlineStr">
        <is>
          <t>Báo cáo theo Thông tư 121/2020/TT-BTC &gt;&gt; Báo báo tài chính &gt;&gt; Phần lưu chuyển tiền tệ hoạt động môi giới, ủy thác của khách hàng_06614</t>
        </is>
      </c>
      <c r="D2277" s="390" t="inlineStr">
        <is>
          <t>3. Tiền thu bán chứng khoán ủy thác của khách hàng</t>
        </is>
      </c>
      <c r="E2277" s="390" t="n">
        <v>3</v>
      </c>
      <c r="F2277" s="390" t="inlineStr">
        <is>
          <t>Data Explorer</t>
        </is>
      </c>
      <c r="G2277" s="390" t="inlineStr">
        <is>
          <t>Chỉ tiêu cơ sở</t>
        </is>
      </c>
      <c r="H2277" s="390" t="inlineStr">
        <is>
          <t>Dễ</t>
        </is>
      </c>
      <c r="I2277" s="390" t="inlineStr">
        <is>
          <t>Ngày, CTCK</t>
        </is>
      </c>
      <c r="J2277" s="401" t="inlineStr">
        <is>
          <t>SCMS</t>
        </is>
      </c>
      <c r="K2277" s="401" t="n"/>
      <c r="L2277" s="401" t="inlineStr">
        <is>
          <t>X</t>
        </is>
      </c>
      <c r="M2277" s="401" t="n"/>
      <c r="N2277" s="401" t="inlineStr">
        <is>
          <t>Done</t>
        </is>
      </c>
      <c r="O2277" s="401" t="n"/>
      <c r="P2277" s="22" t="n"/>
      <c r="S2277" s="22" t="n"/>
      <c r="U2277" s="16" t="n"/>
      <c r="V2277" s="22" t="n"/>
      <c r="W2277" s="22" t="n"/>
      <c r="X2277" s="22" t="n"/>
      <c r="Y2277" s="13" t="n"/>
      <c r="Z2277" s="22" t="n"/>
      <c r="AA2277" s="22" t="n"/>
      <c r="AB2277" s="22" t="n"/>
      <c r="AC2277" s="22" t="n"/>
      <c r="AD2277" s="22" t="n"/>
      <c r="AE2277" s="22" t="n"/>
    </row>
    <row r="2278" ht="84" customHeight="1" s="380">
      <c r="A2278" s="126" t="n">
        <v>99</v>
      </c>
      <c r="B2278" s="390" t="n"/>
      <c r="C2278" s="390" t="inlineStr">
        <is>
          <t>Báo cáo theo Thông tư 121/2020/TT-BTC &gt;&gt; Báo báo tài chính &gt;&gt; Phần lưu chuyển tiền tệ hoạt động môi giới, ủy thác của khách hàng_06614</t>
        </is>
      </c>
      <c r="D2278" s="390" t="inlineStr">
        <is>
          <t>4. Tiền chi bán chứng khoán ủy thác của khách hàng</t>
        </is>
      </c>
      <c r="E2278" s="390" t="n">
        <v>4</v>
      </c>
      <c r="F2278" s="390" t="inlineStr">
        <is>
          <t>Data Explorer</t>
        </is>
      </c>
      <c r="G2278" s="390" t="inlineStr">
        <is>
          <t>Chỉ tiêu cơ sở</t>
        </is>
      </c>
      <c r="H2278" s="390" t="inlineStr">
        <is>
          <t>Dễ</t>
        </is>
      </c>
      <c r="I2278" s="390" t="inlineStr">
        <is>
          <t>Ngày, CTCK</t>
        </is>
      </c>
      <c r="J2278" s="401" t="inlineStr">
        <is>
          <t>SCMS</t>
        </is>
      </c>
      <c r="K2278" s="401" t="n"/>
      <c r="L2278" s="401" t="inlineStr">
        <is>
          <t>X</t>
        </is>
      </c>
      <c r="M2278" s="401" t="n"/>
      <c r="N2278" s="401" t="inlineStr">
        <is>
          <t>Done</t>
        </is>
      </c>
      <c r="O2278" s="401" t="n"/>
      <c r="P2278" s="22" t="n"/>
      <c r="S2278" s="22" t="n"/>
      <c r="U2278" s="16" t="n"/>
      <c r="V2278" s="22" t="n"/>
      <c r="W2278" s="22" t="n"/>
      <c r="X2278" s="22" t="n"/>
      <c r="Y2278" s="13" t="n"/>
      <c r="Z2278" s="22" t="n"/>
      <c r="AA2278" s="22" t="n"/>
      <c r="AB2278" s="22" t="n"/>
      <c r="AC2278" s="22" t="n"/>
      <c r="AD2278" s="22" t="n"/>
      <c r="AE2278" s="22" t="n"/>
    </row>
    <row r="2279" ht="84" customHeight="1" s="380">
      <c r="A2279" s="126" t="n">
        <v>99</v>
      </c>
      <c r="B2279" s="390" t="n"/>
      <c r="C2279" s="390" t="inlineStr">
        <is>
          <t>Báo cáo theo Thông tư 121/2020/TT-BTC &gt;&gt; Báo báo tài chính &gt;&gt; Phần lưu chuyển tiền tệ hoạt động môi giới, ủy thác của khách hàng_06614</t>
        </is>
      </c>
      <c r="D2279" s="390" t="inlineStr">
        <is>
          <t>5. Thu vay Quỹ Hỗ trợ thanh toán</t>
        </is>
      </c>
      <c r="E2279" s="390" t="n">
        <v>5</v>
      </c>
      <c r="F2279" s="390" t="inlineStr">
        <is>
          <t>Data Explorer</t>
        </is>
      </c>
      <c r="G2279" s="390" t="inlineStr">
        <is>
          <t>Chỉ tiêu cơ sở</t>
        </is>
      </c>
      <c r="H2279" s="390" t="inlineStr">
        <is>
          <t>Dễ</t>
        </is>
      </c>
      <c r="I2279" s="390" t="inlineStr">
        <is>
          <t>Ngày, CTCK</t>
        </is>
      </c>
      <c r="J2279" s="401" t="inlineStr">
        <is>
          <t>SCMS</t>
        </is>
      </c>
      <c r="K2279" s="401" t="n"/>
      <c r="L2279" s="401" t="inlineStr">
        <is>
          <t>X</t>
        </is>
      </c>
      <c r="M2279" s="401" t="n"/>
      <c r="N2279" s="401" t="inlineStr">
        <is>
          <t>Done</t>
        </is>
      </c>
      <c r="O2279" s="401" t="n"/>
      <c r="P2279" s="22" t="n"/>
      <c r="S2279" s="22" t="n"/>
      <c r="U2279" s="16" t="n"/>
      <c r="V2279" s="22" t="n"/>
      <c r="W2279" s="22" t="n"/>
      <c r="X2279" s="22" t="n"/>
      <c r="Y2279" s="38" t="n"/>
      <c r="Z2279" s="22" t="n"/>
      <c r="AA2279" s="22" t="n"/>
      <c r="AB2279" s="22" t="n"/>
      <c r="AC2279" s="22" t="n"/>
      <c r="AD2279" s="22" t="n"/>
      <c r="AE2279" s="22" t="n"/>
    </row>
    <row r="2280" ht="84" customHeight="1" s="380">
      <c r="A2280" s="126" t="n">
        <v>99</v>
      </c>
      <c r="B2280" s="390" t="n"/>
      <c r="C2280" s="390" t="inlineStr">
        <is>
          <t>Báo cáo theo Thông tư 121/2020/TT-BTC &gt;&gt; Báo báo tài chính &gt;&gt; Phần lưu chuyển tiền tệ hoạt động môi giới, ủy thác của khách hàng_06614</t>
        </is>
      </c>
      <c r="D2280" s="390" t="inlineStr">
        <is>
          <t>6. Chi trả vay Quỹ Hỗ trợ thanh toán</t>
        </is>
      </c>
      <c r="E2280" s="390" t="n">
        <v>6</v>
      </c>
      <c r="F2280" s="390" t="inlineStr">
        <is>
          <t>Data Explorer</t>
        </is>
      </c>
      <c r="G2280" s="390" t="inlineStr">
        <is>
          <t>Chỉ tiêu cơ sở</t>
        </is>
      </c>
      <c r="H2280" s="390" t="inlineStr">
        <is>
          <t>Dễ</t>
        </is>
      </c>
      <c r="I2280" s="390" t="inlineStr">
        <is>
          <t>Ngày, CTCK</t>
        </is>
      </c>
      <c r="J2280" s="401" t="inlineStr">
        <is>
          <t>SCMS</t>
        </is>
      </c>
      <c r="K2280" s="401" t="n"/>
      <c r="L2280" s="401" t="inlineStr">
        <is>
          <t>X</t>
        </is>
      </c>
      <c r="M2280" s="401" t="n"/>
      <c r="N2280" s="401" t="inlineStr">
        <is>
          <t>Done</t>
        </is>
      </c>
      <c r="O2280" s="401" t="n"/>
      <c r="P2280" s="22" t="n"/>
      <c r="S2280" s="22" t="n"/>
      <c r="U2280" s="16" t="n"/>
      <c r="V2280" s="22" t="n"/>
      <c r="W2280" s="22" t="n"/>
      <c r="X2280" s="22" t="n"/>
      <c r="Y2280" s="13" t="n"/>
      <c r="Z2280" s="22" t="n"/>
      <c r="AA2280" s="22" t="n"/>
      <c r="AB2280" s="22" t="n"/>
      <c r="AC2280" s="22" t="n"/>
      <c r="AD2280" s="22" t="n"/>
      <c r="AE2280" s="22" t="n"/>
    </row>
    <row r="2281" ht="84" customHeight="1" s="380">
      <c r="A2281" s="126" t="n">
        <v>99</v>
      </c>
      <c r="B2281" s="390" t="n"/>
      <c r="C2281" s="390" t="inlineStr">
        <is>
          <t>Báo cáo theo Thông tư 121/2020/TT-BTC &gt;&gt; Báo báo tài chính &gt;&gt; Phần lưu chuyển tiền tệ hoạt động môi giới, ủy thác của khách hàng_06614</t>
        </is>
      </c>
      <c r="D2281" s="390" t="inlineStr">
        <is>
          <t xml:space="preserve">7. Nhận tiền gửi để thanh toán giao dịch chứng khoán của khách hàng </t>
        </is>
      </c>
      <c r="E2281" s="390" t="n">
        <v>7</v>
      </c>
      <c r="F2281" s="390" t="inlineStr">
        <is>
          <t>Data Explorer</t>
        </is>
      </c>
      <c r="G2281" s="390" t="inlineStr">
        <is>
          <t>Chỉ tiêu cơ sở</t>
        </is>
      </c>
      <c r="H2281" s="390" t="inlineStr">
        <is>
          <t>Dễ</t>
        </is>
      </c>
      <c r="I2281" s="390" t="inlineStr">
        <is>
          <t>Ngày, CTCK</t>
        </is>
      </c>
      <c r="J2281" s="401" t="inlineStr">
        <is>
          <t>SCMS</t>
        </is>
      </c>
      <c r="K2281" s="401" t="n"/>
      <c r="L2281" s="401" t="inlineStr">
        <is>
          <t>X</t>
        </is>
      </c>
      <c r="M2281" s="401" t="n"/>
      <c r="N2281" s="401" t="inlineStr">
        <is>
          <t>Done</t>
        </is>
      </c>
      <c r="O2281" s="401" t="n"/>
      <c r="P2281" s="22" t="n"/>
      <c r="S2281" s="22" t="n"/>
      <c r="U2281" s="16" t="n"/>
      <c r="V2281" s="22" t="n"/>
      <c r="W2281" s="22" t="n"/>
      <c r="X2281" s="22" t="n"/>
      <c r="Y2281" s="13" t="n"/>
      <c r="Z2281" s="22" t="n"/>
      <c r="AA2281" s="22" t="n"/>
      <c r="AB2281" s="22" t="n"/>
      <c r="AC2281" s="22" t="n"/>
      <c r="AD2281" s="22" t="n"/>
      <c r="AE2281" s="22" t="n"/>
    </row>
    <row r="2282" ht="84" customHeight="1" s="380">
      <c r="A2282" s="126" t="n">
        <v>99</v>
      </c>
      <c r="B2282" s="390" t="n"/>
      <c r="C2282" s="390" t="inlineStr">
        <is>
          <t>Báo cáo theo Thông tư 121/2020/TT-BTC &gt;&gt; Báo báo tài chính &gt;&gt; Phần lưu chuyển tiền tệ hoạt động môi giới, ủy thác của khách hàng_06614</t>
        </is>
      </c>
      <c r="D2282" s="390" t="inlineStr">
        <is>
          <t>7.1 Tiền gửi ký quỹ của nhà đầu tư tại VSD</t>
        </is>
      </c>
      <c r="E2282" s="401" t="n"/>
      <c r="F2282" s="390" t="inlineStr">
        <is>
          <t>Data Explorer</t>
        </is>
      </c>
      <c r="G2282" s="390" t="inlineStr">
        <is>
          <t>Chỉ tiêu cơ sở</t>
        </is>
      </c>
      <c r="H2282" s="390" t="inlineStr">
        <is>
          <t>Dễ</t>
        </is>
      </c>
      <c r="I2282" s="390" t="inlineStr">
        <is>
          <t>Ngày, CTCK</t>
        </is>
      </c>
      <c r="J2282" s="401" t="inlineStr">
        <is>
          <t>SCMS</t>
        </is>
      </c>
      <c r="K2282" s="401" t="n"/>
      <c r="L2282" s="401" t="inlineStr">
        <is>
          <t>X</t>
        </is>
      </c>
      <c r="M2282" s="401" t="n"/>
      <c r="N2282" s="401" t="inlineStr">
        <is>
          <t>Done</t>
        </is>
      </c>
      <c r="O2282" s="401" t="n"/>
      <c r="P2282" s="22" t="n"/>
      <c r="S2282" s="22" t="n"/>
      <c r="U2282" s="16" t="n"/>
      <c r="V2282" s="22" t="n"/>
      <c r="W2282" s="22" t="n"/>
      <c r="X2282" s="22" t="n"/>
      <c r="Y2282" s="13" t="n"/>
      <c r="Z2282" s="22" t="n"/>
      <c r="AA2282" s="22" t="n"/>
      <c r="AB2282" s="22" t="n"/>
      <c r="AC2282" s="22" t="n"/>
      <c r="AD2282" s="22" t="n"/>
      <c r="AE2282" s="22" t="n"/>
    </row>
    <row r="2283" ht="84" customHeight="1" s="380">
      <c r="A2283" s="126" t="n">
        <v>99</v>
      </c>
      <c r="B2283" s="390" t="n"/>
      <c r="C2283" s="390" t="inlineStr">
        <is>
          <t>Báo cáo theo Thông tư 121/2020/TT-BTC &gt;&gt; Báo báo tài chính &gt;&gt; Phần lưu chuyển tiền tệ hoạt động môi giới, ủy thác của khách hàng_06614</t>
        </is>
      </c>
      <c r="D2283" s="390" t="inlineStr">
        <is>
          <t>8. Chi trả thanh toán giao dịch chứng khoán của khách hàng</t>
        </is>
      </c>
      <c r="E2283" s="390" t="n">
        <v>8</v>
      </c>
      <c r="F2283" s="390" t="inlineStr">
        <is>
          <t>Data Explorer</t>
        </is>
      </c>
      <c r="G2283" s="390" t="inlineStr">
        <is>
          <t>Chỉ tiêu cơ sở</t>
        </is>
      </c>
      <c r="H2283" s="390" t="inlineStr">
        <is>
          <t>Dễ</t>
        </is>
      </c>
      <c r="I2283" s="390" t="inlineStr">
        <is>
          <t>Ngày, CTCK</t>
        </is>
      </c>
      <c r="J2283" s="401" t="inlineStr">
        <is>
          <t>SCMS</t>
        </is>
      </c>
      <c r="K2283" s="401" t="n"/>
      <c r="L2283" s="401" t="inlineStr">
        <is>
          <t>X</t>
        </is>
      </c>
      <c r="M2283" s="401" t="n"/>
      <c r="N2283" s="401" t="inlineStr">
        <is>
          <t>Done</t>
        </is>
      </c>
      <c r="O2283" s="401" t="n"/>
      <c r="P2283" s="22" t="n"/>
      <c r="S2283" s="22" t="n"/>
      <c r="U2283" s="16" t="n"/>
      <c r="V2283" s="22" t="n"/>
      <c r="W2283" s="22" t="n"/>
      <c r="X2283" s="22" t="n"/>
      <c r="Y2283" s="13" t="n"/>
      <c r="Z2283" s="22" t="n"/>
      <c r="AA2283" s="22" t="n"/>
      <c r="AB2283" s="22" t="n"/>
      <c r="AC2283" s="22" t="n"/>
      <c r="AD2283" s="22" t="n"/>
      <c r="AE2283" s="22" t="n"/>
    </row>
    <row r="2284" ht="84" customHeight="1" s="380">
      <c r="A2284" s="126" t="n">
        <v>99</v>
      </c>
      <c r="B2284" s="390" t="n"/>
      <c r="C2284" s="390" t="inlineStr">
        <is>
          <t>Báo cáo theo Thông tư 121/2020/TT-BTC &gt;&gt; Báo báo tài chính &gt;&gt; Phần lưu chuyển tiền tệ hoạt động môi giới, ủy thác của khách hàng_06614</t>
        </is>
      </c>
      <c r="D2284" s="390" t="inlineStr">
        <is>
          <t>9. Nhận tiền gửi của Nhà đầu tư cho hoạt động ủy thác đầu tư của khách hàng</t>
        </is>
      </c>
      <c r="E2284" s="390" t="n">
        <v>9</v>
      </c>
      <c r="F2284" s="390" t="inlineStr">
        <is>
          <t>Data Explorer</t>
        </is>
      </c>
      <c r="G2284" s="390" t="inlineStr">
        <is>
          <t>Chỉ tiêu cơ sở</t>
        </is>
      </c>
      <c r="H2284" s="390" t="inlineStr">
        <is>
          <t>Dễ</t>
        </is>
      </c>
      <c r="I2284" s="390" t="inlineStr">
        <is>
          <t>Ngày, CTCK</t>
        </is>
      </c>
      <c r="J2284" s="401" t="inlineStr">
        <is>
          <t>SCMS</t>
        </is>
      </c>
      <c r="K2284" s="401" t="n"/>
      <c r="L2284" s="401" t="inlineStr">
        <is>
          <t>X</t>
        </is>
      </c>
      <c r="M2284" s="401" t="n"/>
      <c r="N2284" s="401" t="inlineStr">
        <is>
          <t>Done</t>
        </is>
      </c>
      <c r="O2284" s="401" t="n"/>
      <c r="P2284" s="22" t="n"/>
      <c r="S2284" s="22" t="n"/>
      <c r="U2284" s="16" t="n"/>
      <c r="V2284" s="22" t="n"/>
      <c r="W2284" s="22" t="n"/>
      <c r="X2284" s="22" t="n"/>
      <c r="Y2284" s="13" t="n"/>
      <c r="Z2284" s="22" t="n"/>
      <c r="AA2284" s="22" t="n"/>
      <c r="AB2284" s="22" t="n"/>
      <c r="AC2284" s="22" t="n"/>
      <c r="AD2284" s="22" t="n"/>
      <c r="AE2284" s="22" t="n"/>
    </row>
    <row r="2285" ht="84" customHeight="1" s="380">
      <c r="A2285" s="126" t="n">
        <v>99</v>
      </c>
      <c r="B2285" s="390" t="n"/>
      <c r="C2285" s="390" t="inlineStr">
        <is>
          <t>Báo cáo theo Thông tư 121/2020/TT-BTC &gt;&gt; Báo báo tài chính &gt;&gt; Phần lưu chuyển tiền tệ hoạt động môi giới, ủy thác của khách hàng_06614</t>
        </is>
      </c>
      <c r="D2285" s="390" t="inlineStr">
        <is>
          <t>10. Chi trả cho hoạt động ủy thác đầu tư của khách hàng</t>
        </is>
      </c>
      <c r="E2285" s="390" t="n">
        <v>10</v>
      </c>
      <c r="F2285" s="390" t="inlineStr">
        <is>
          <t>Data Explorer</t>
        </is>
      </c>
      <c r="G2285" s="390" t="inlineStr">
        <is>
          <t>Chỉ tiêu cơ sở</t>
        </is>
      </c>
      <c r="H2285" s="390" t="inlineStr">
        <is>
          <t>Dễ</t>
        </is>
      </c>
      <c r="I2285" s="390" t="inlineStr">
        <is>
          <t>Ngày, CTCK</t>
        </is>
      </c>
      <c r="J2285" s="401" t="inlineStr">
        <is>
          <t>SCMS</t>
        </is>
      </c>
      <c r="K2285" s="401" t="n"/>
      <c r="L2285" s="401" t="inlineStr">
        <is>
          <t>X</t>
        </is>
      </c>
      <c r="M2285" s="401" t="n"/>
      <c r="N2285" s="401" t="inlineStr">
        <is>
          <t>Done</t>
        </is>
      </c>
      <c r="O2285" s="401" t="n"/>
      <c r="P2285" s="22" t="n"/>
      <c r="S2285" s="22" t="n"/>
      <c r="U2285" s="16" t="n"/>
      <c r="V2285" s="22" t="n"/>
      <c r="W2285" s="22" t="n"/>
      <c r="X2285" s="22" t="n"/>
      <c r="Y2285" s="14" t="n"/>
      <c r="Z2285" s="22" t="n"/>
      <c r="AA2285" s="22" t="n"/>
      <c r="AB2285" s="22" t="n"/>
      <c r="AC2285" s="22" t="n"/>
      <c r="AD2285" s="22" t="n"/>
      <c r="AE2285" s="22" t="n"/>
    </row>
    <row r="2286" ht="84" customHeight="1" s="380">
      <c r="A2286" s="126" t="n">
        <v>99</v>
      </c>
      <c r="B2286" s="390" t="n"/>
      <c r="C2286" s="390" t="inlineStr">
        <is>
          <t>Báo cáo theo Thông tư 121/2020/TT-BTC &gt;&gt; Báo báo tài chính &gt;&gt; Phần lưu chuyển tiền tệ hoạt động môi giới, ủy thác của khách hàng_06614</t>
        </is>
      </c>
      <c r="D2286" s="390" t="inlineStr">
        <is>
          <t xml:space="preserve">11. Chi trả phí lưu ký chứng khoán của khách hàng </t>
        </is>
      </c>
      <c r="E2286" s="390" t="n">
        <v>11</v>
      </c>
      <c r="F2286" s="390" t="inlineStr">
        <is>
          <t>Data Explorer</t>
        </is>
      </c>
      <c r="G2286" s="390" t="inlineStr">
        <is>
          <t>Chỉ tiêu cơ sở</t>
        </is>
      </c>
      <c r="H2286" s="390" t="inlineStr">
        <is>
          <t>Dễ</t>
        </is>
      </c>
      <c r="I2286" s="390" t="inlineStr">
        <is>
          <t>Ngày, CTCK</t>
        </is>
      </c>
      <c r="J2286" s="401" t="inlineStr">
        <is>
          <t>SCMS</t>
        </is>
      </c>
      <c r="K2286" s="401" t="n"/>
      <c r="L2286" s="401" t="inlineStr">
        <is>
          <t>X</t>
        </is>
      </c>
      <c r="M2286" s="401" t="n"/>
      <c r="N2286" s="401" t="inlineStr">
        <is>
          <t>Done</t>
        </is>
      </c>
      <c r="O2286" s="401" t="n"/>
      <c r="P2286" s="22" t="n"/>
      <c r="S2286" s="22" t="n"/>
      <c r="U2286" s="16" t="n"/>
      <c r="V2286" s="22" t="n"/>
      <c r="W2286" s="22" t="n"/>
      <c r="X2286" s="22" t="n"/>
      <c r="Y2286" s="13" t="n"/>
      <c r="Z2286" s="22" t="n"/>
      <c r="AA2286" s="22" t="n"/>
      <c r="AB2286" s="22" t="n"/>
      <c r="AC2286" s="22" t="n"/>
      <c r="AD2286" s="22" t="n"/>
      <c r="AE2286" s="22" t="n"/>
    </row>
    <row r="2287" ht="84" customHeight="1" s="380">
      <c r="A2287" s="126" t="n">
        <v>99</v>
      </c>
      <c r="B2287" s="390" t="n"/>
      <c r="C2287" s="390" t="inlineStr">
        <is>
          <t>Báo cáo theo Thông tư 121/2020/TT-BTC &gt;&gt; Báo báo tài chính &gt;&gt; Phần lưu chuyển tiền tệ hoạt động môi giới, ủy thác của khách hàng_06614</t>
        </is>
      </c>
      <c r="D2287" s="390" t="inlineStr">
        <is>
          <t>12. Thu lỗi giao dịch chứng khoán</t>
        </is>
      </c>
      <c r="E2287" s="390" t="n">
        <v>12</v>
      </c>
      <c r="F2287" s="390" t="inlineStr">
        <is>
          <t>Data Explorer</t>
        </is>
      </c>
      <c r="G2287" s="390" t="inlineStr">
        <is>
          <t>Chỉ tiêu cơ sở</t>
        </is>
      </c>
      <c r="H2287" s="390" t="inlineStr">
        <is>
          <t>Dễ</t>
        </is>
      </c>
      <c r="I2287" s="390" t="inlineStr">
        <is>
          <t>Ngày, CTCK</t>
        </is>
      </c>
      <c r="J2287" s="401" t="inlineStr">
        <is>
          <t>SCMS</t>
        </is>
      </c>
      <c r="K2287" s="401" t="n"/>
      <c r="L2287" s="401" t="inlineStr">
        <is>
          <t>X</t>
        </is>
      </c>
      <c r="M2287" s="401" t="n"/>
      <c r="N2287" s="401" t="inlineStr">
        <is>
          <t>Done</t>
        </is>
      </c>
      <c r="O2287" s="401" t="n"/>
      <c r="P2287" s="22" t="n"/>
      <c r="S2287" s="22" t="n"/>
      <c r="U2287" s="16" t="n"/>
      <c r="V2287" s="22" t="n"/>
      <c r="W2287" s="22" t="n"/>
      <c r="X2287" s="22" t="n"/>
      <c r="Y2287" s="13" t="n"/>
      <c r="Z2287" s="22" t="n"/>
      <c r="AA2287" s="22" t="n"/>
      <c r="AB2287" s="22" t="n"/>
      <c r="AC2287" s="22" t="n"/>
      <c r="AD2287" s="22" t="n"/>
      <c r="AE2287" s="22" t="n"/>
    </row>
    <row r="2288" ht="84" customHeight="1" s="380">
      <c r="A2288" s="126" t="n">
        <v>99</v>
      </c>
      <c r="B2288" s="390" t="n"/>
      <c r="C2288" s="390" t="inlineStr">
        <is>
          <t>Báo cáo theo Thông tư 121/2020/TT-BTC &gt;&gt; Báo báo tài chính &gt;&gt; Phần lưu chuyển tiền tệ hoạt động môi giới, ủy thác của khách hàng_06614</t>
        </is>
      </c>
      <c r="D2288" s="390" t="inlineStr">
        <is>
          <t>13.Chi lỗi giao dịch chứng khoán</t>
        </is>
      </c>
      <c r="E2288" s="390" t="n">
        <v>13</v>
      </c>
      <c r="F2288" s="390" t="inlineStr">
        <is>
          <t>Data Explorer</t>
        </is>
      </c>
      <c r="G2288" s="390" t="inlineStr">
        <is>
          <t>Chỉ tiêu cơ sở</t>
        </is>
      </c>
      <c r="H2288" s="390" t="inlineStr">
        <is>
          <t>Dễ</t>
        </is>
      </c>
      <c r="I2288" s="390" t="inlineStr">
        <is>
          <t>Ngày, CTCK</t>
        </is>
      </c>
      <c r="J2288" s="401" t="inlineStr">
        <is>
          <t>SCMS</t>
        </is>
      </c>
      <c r="K2288" s="401" t="n"/>
      <c r="L2288" s="401" t="inlineStr">
        <is>
          <t>X</t>
        </is>
      </c>
      <c r="M2288" s="401" t="n"/>
      <c r="N2288" s="401" t="inlineStr">
        <is>
          <t>Done</t>
        </is>
      </c>
      <c r="O2288" s="401" t="n"/>
      <c r="P2288" s="22" t="n"/>
      <c r="S2288" s="22" t="n"/>
      <c r="U2288" s="16" t="n"/>
      <c r="V2288" s="22" t="n"/>
      <c r="W2288" s="22" t="n"/>
      <c r="X2288" s="22" t="n"/>
      <c r="Y2288" s="13" t="n"/>
      <c r="Z2288" s="22" t="n"/>
      <c r="AA2288" s="22" t="n"/>
      <c r="AB2288" s="22" t="n"/>
      <c r="AC2288" s="22" t="n"/>
      <c r="AD2288" s="22" t="n"/>
      <c r="AE2288" s="22" t="n"/>
    </row>
    <row r="2289" ht="84" customHeight="1" s="380">
      <c r="A2289" s="126" t="n">
        <v>99</v>
      </c>
      <c r="B2289" s="390" t="n"/>
      <c r="C2289" s="390" t="inlineStr">
        <is>
          <t>Báo cáo theo Thông tư 121/2020/TT-BTC &gt;&gt; Báo báo tài chính &gt;&gt; Phần lưu chuyển tiền tệ hoạt động môi giới, ủy thác của khách hàng_06614</t>
        </is>
      </c>
      <c r="D2289" s="390" t="inlineStr">
        <is>
          <t>14. Tiền thu của Tổ chức phát hành chứng khoán</t>
        </is>
      </c>
      <c r="E2289" s="390" t="n">
        <v>14</v>
      </c>
      <c r="F2289" s="390" t="inlineStr">
        <is>
          <t>Data Explorer</t>
        </is>
      </c>
      <c r="G2289" s="390" t="inlineStr">
        <is>
          <t>Chỉ tiêu cơ sở</t>
        </is>
      </c>
      <c r="H2289" s="390" t="inlineStr">
        <is>
          <t>Dễ</t>
        </is>
      </c>
      <c r="I2289" s="390" t="inlineStr">
        <is>
          <t>Ngày, CTCK</t>
        </is>
      </c>
      <c r="J2289" s="401" t="inlineStr">
        <is>
          <t>SCMS</t>
        </is>
      </c>
      <c r="K2289" s="401" t="n"/>
      <c r="L2289" s="401" t="inlineStr">
        <is>
          <t>X</t>
        </is>
      </c>
      <c r="M2289" s="401" t="n"/>
      <c r="N2289" s="401" t="inlineStr">
        <is>
          <t>Done</t>
        </is>
      </c>
      <c r="O2289" s="401" t="n"/>
      <c r="P2289" s="22" t="n"/>
      <c r="S2289" s="22" t="n"/>
      <c r="U2289" s="16" t="n"/>
      <c r="V2289" s="22" t="n"/>
      <c r="W2289" s="22" t="n"/>
      <c r="X2289" s="22" t="n"/>
      <c r="Y2289" s="13" t="n"/>
      <c r="Z2289" s="22" t="n"/>
      <c r="AA2289" s="22" t="n"/>
      <c r="AB2289" s="22" t="n"/>
      <c r="AC2289" s="22" t="n"/>
      <c r="AD2289" s="22" t="n"/>
      <c r="AE2289" s="22" t="n"/>
    </row>
    <row r="2290" ht="84" customHeight="1" s="380">
      <c r="A2290" s="126" t="n">
        <v>99</v>
      </c>
      <c r="B2290" s="390" t="n"/>
      <c r="C2290" s="390" t="inlineStr">
        <is>
          <t>Báo cáo theo Thông tư 121/2020/TT-BTC &gt;&gt; Báo báo tài chính &gt;&gt; Phần lưu chuyển tiền tệ hoạt động môi giới, ủy thác của khách hàng_06614</t>
        </is>
      </c>
      <c r="D2290" s="390" t="inlineStr">
        <is>
          <t>15. Tiền chi trả Tổ chức phát hành chứng khoán</t>
        </is>
      </c>
      <c r="E2290" s="390" t="n">
        <v>15</v>
      </c>
      <c r="F2290" s="390" t="inlineStr">
        <is>
          <t>Data Explorer</t>
        </is>
      </c>
      <c r="G2290" s="390" t="inlineStr">
        <is>
          <t>Chỉ tiêu cơ sở</t>
        </is>
      </c>
      <c r="H2290" s="390" t="inlineStr">
        <is>
          <t>Dễ</t>
        </is>
      </c>
      <c r="I2290" s="390" t="inlineStr">
        <is>
          <t>Ngày, CTCK</t>
        </is>
      </c>
      <c r="J2290" s="401" t="inlineStr">
        <is>
          <t>SCMS</t>
        </is>
      </c>
      <c r="K2290" s="401" t="n"/>
      <c r="L2290" s="401" t="inlineStr">
        <is>
          <t>X</t>
        </is>
      </c>
      <c r="M2290" s="401" t="n"/>
      <c r="N2290" s="401" t="inlineStr">
        <is>
          <t>Done</t>
        </is>
      </c>
      <c r="O2290" s="401" t="n"/>
      <c r="P2290" s="22" t="n"/>
      <c r="S2290" s="22" t="n"/>
      <c r="U2290" s="16" t="n"/>
      <c r="V2290" s="22" t="n"/>
      <c r="W2290" s="22" t="n"/>
      <c r="X2290" s="22" t="n"/>
      <c r="Y2290" s="13" t="n"/>
      <c r="Z2290" s="22" t="n"/>
      <c r="AA2290" s="22" t="n"/>
      <c r="AB2290" s="22" t="n"/>
      <c r="AC2290" s="22" t="n"/>
      <c r="AD2290" s="22" t="n"/>
      <c r="AE2290" s="22" t="n"/>
    </row>
    <row r="2291" ht="84" customHeight="1" s="380">
      <c r="A2291" s="126" t="n">
        <v>99</v>
      </c>
      <c r="B2291" s="390" t="n"/>
      <c r="C2291" s="390" t="inlineStr">
        <is>
          <t>Báo cáo theo Thông tư 121/2020/TT-BTC &gt;&gt; Báo báo tài chính &gt;&gt; Phần lưu chuyển tiền tệ hoạt động môi giới, ủy thác của khách hàng_06614</t>
        </is>
      </c>
      <c r="D2291" s="132" t="inlineStr">
        <is>
          <t>Tăng/giảm tiền thuần trong kỳ</t>
        </is>
      </c>
      <c r="E2291" s="132" t="n">
        <v>20</v>
      </c>
      <c r="F2291" s="390" t="inlineStr">
        <is>
          <t>Data Explorer</t>
        </is>
      </c>
      <c r="G2291" s="390" t="inlineStr">
        <is>
          <t>Chỉ tiêu cơ sở</t>
        </is>
      </c>
      <c r="H2291" s="390" t="inlineStr">
        <is>
          <t>Dễ</t>
        </is>
      </c>
      <c r="I2291" s="390" t="inlineStr">
        <is>
          <t>Ngày, CTCK</t>
        </is>
      </c>
      <c r="J2291" s="401" t="inlineStr">
        <is>
          <t>SCMS</t>
        </is>
      </c>
      <c r="K2291" s="401" t="n"/>
      <c r="L2291" s="401" t="inlineStr">
        <is>
          <t>X</t>
        </is>
      </c>
      <c r="M2291" s="401" t="n"/>
      <c r="N2291" s="401" t="inlineStr">
        <is>
          <t>Done</t>
        </is>
      </c>
      <c r="O2291" s="401" t="n"/>
      <c r="P2291" s="22" t="n"/>
      <c r="S2291" s="22" t="n"/>
      <c r="U2291" s="16" t="n"/>
      <c r="V2291" s="22" t="n"/>
      <c r="W2291" s="22" t="n"/>
      <c r="X2291" s="22" t="n"/>
      <c r="Y2291" s="38" t="n"/>
      <c r="Z2291" s="22" t="n"/>
      <c r="AA2291" s="22" t="n"/>
      <c r="AB2291" s="22" t="n"/>
      <c r="AC2291" s="22" t="n"/>
      <c r="AD2291" s="22" t="n"/>
      <c r="AE2291" s="22" t="n"/>
    </row>
    <row r="2292" ht="84" customHeight="1" s="380">
      <c r="A2292" s="126" t="n">
        <v>99</v>
      </c>
      <c r="B2292" s="390" t="n"/>
      <c r="C2292" s="390" t="inlineStr">
        <is>
          <t>Báo cáo theo Thông tư 121/2020/TT-BTC &gt;&gt; Báo báo tài chính &gt;&gt; Phần lưu chuyển tiền tệ hoạt động môi giới, ủy thác của khách hàng_06614</t>
        </is>
      </c>
      <c r="D2292" s="132" t="inlineStr">
        <is>
          <t>II, Tiền và các khoản tương đương tiền đầu kỳ của khách hàng</t>
        </is>
      </c>
      <c r="E2292" s="132" t="n">
        <v>30</v>
      </c>
      <c r="F2292" s="390" t="inlineStr">
        <is>
          <t>Data Explorer</t>
        </is>
      </c>
      <c r="G2292" s="390" t="inlineStr">
        <is>
          <t>Chỉ tiêu cơ sở</t>
        </is>
      </c>
      <c r="H2292" s="390" t="inlineStr">
        <is>
          <t>Dễ</t>
        </is>
      </c>
      <c r="I2292" s="390" t="inlineStr">
        <is>
          <t>Ngày, CTCK</t>
        </is>
      </c>
      <c r="J2292" s="401" t="inlineStr">
        <is>
          <t>SCMS</t>
        </is>
      </c>
      <c r="K2292" s="401" t="n"/>
      <c r="L2292" s="401" t="inlineStr">
        <is>
          <t>X</t>
        </is>
      </c>
      <c r="M2292" s="401" t="n"/>
      <c r="N2292" s="401" t="inlineStr">
        <is>
          <t>Done</t>
        </is>
      </c>
      <c r="O2292" s="401" t="n"/>
      <c r="P2292" s="22" t="n"/>
      <c r="S2292" s="22" t="n"/>
      <c r="U2292" s="16" t="n"/>
      <c r="V2292" s="22" t="n"/>
      <c r="W2292" s="22" t="n"/>
      <c r="X2292" s="22" t="n"/>
      <c r="Y2292" s="13" t="n"/>
      <c r="Z2292" s="22" t="n"/>
      <c r="AA2292" s="22" t="n"/>
      <c r="AB2292" s="22" t="n"/>
      <c r="AC2292" s="22" t="n"/>
      <c r="AD2292" s="22" t="n"/>
      <c r="AE2292" s="22" t="n"/>
    </row>
    <row r="2293" ht="84" customHeight="1" s="380">
      <c r="A2293" s="126" t="n">
        <v>99</v>
      </c>
      <c r="B2293" s="390" t="n"/>
      <c r="C2293" s="390" t="inlineStr">
        <is>
          <t>Báo cáo theo Thông tư 121/2020/TT-BTC &gt;&gt; Báo báo tài chính &gt;&gt; Phần lưu chuyển tiền tệ hoạt động môi giới, ủy thác của khách hàng_06614</t>
        </is>
      </c>
      <c r="D2293" s="390" t="inlineStr">
        <is>
          <t>Tiền gửi ngân hàng đầu kỳ:</t>
        </is>
      </c>
      <c r="E2293" s="390" t="n">
        <v>31</v>
      </c>
      <c r="F2293" s="390" t="inlineStr">
        <is>
          <t>Data Explorer</t>
        </is>
      </c>
      <c r="G2293" s="390" t="inlineStr">
        <is>
          <t>Chỉ tiêu cơ sở</t>
        </is>
      </c>
      <c r="H2293" s="390" t="inlineStr">
        <is>
          <t>Dễ</t>
        </is>
      </c>
      <c r="I2293" s="390" t="inlineStr">
        <is>
          <t>Ngày, CTCK</t>
        </is>
      </c>
      <c r="J2293" s="401" t="inlineStr">
        <is>
          <t>SCMS</t>
        </is>
      </c>
      <c r="K2293" s="401" t="n"/>
      <c r="L2293" s="401" t="inlineStr">
        <is>
          <t>X</t>
        </is>
      </c>
      <c r="M2293" s="401" t="n"/>
      <c r="N2293" s="401" t="inlineStr">
        <is>
          <t>Done</t>
        </is>
      </c>
      <c r="O2293" s="401" t="n"/>
      <c r="P2293" s="22" t="n"/>
      <c r="S2293" s="22" t="n"/>
      <c r="U2293" s="16" t="n"/>
      <c r="V2293" s="22" t="n"/>
      <c r="W2293" s="22" t="n"/>
      <c r="X2293" s="22" t="n"/>
      <c r="Y2293" s="13" t="n"/>
      <c r="Z2293" s="22" t="n"/>
      <c r="AA2293" s="22" t="n"/>
      <c r="AB2293" s="22" t="n"/>
      <c r="AC2293" s="22" t="n"/>
      <c r="AD2293" s="22" t="n"/>
      <c r="AE2293" s="22" t="n"/>
    </row>
    <row r="2294" ht="84" customHeight="1" s="380">
      <c r="A2294" s="126" t="n">
        <v>99</v>
      </c>
      <c r="B2294" s="390" t="n"/>
      <c r="C2294" s="390" t="inlineStr">
        <is>
          <t>Báo cáo theo Thông tư 121/2020/TT-BTC &gt;&gt; Báo báo tài chính &gt;&gt; Phần lưu chuyển tiền tệ hoạt động môi giới, ủy thác của khách hàng_06614</t>
        </is>
      </c>
      <c r="D2294" s="390" t="inlineStr">
        <is>
          <t xml:space="preserve">-Tiền gửi của Nhà đầu tư về giao dịch chứng khoán theo phương thức CTCK quản lý </t>
        </is>
      </c>
      <c r="E2294" s="390" t="n">
        <v>32</v>
      </c>
      <c r="F2294" s="390" t="inlineStr">
        <is>
          <t>Data Explorer</t>
        </is>
      </c>
      <c r="G2294" s="390" t="inlineStr">
        <is>
          <t>Chỉ tiêu cơ sở</t>
        </is>
      </c>
      <c r="H2294" s="390" t="inlineStr">
        <is>
          <t>Dễ</t>
        </is>
      </c>
      <c r="I2294" s="390" t="inlineStr">
        <is>
          <t>Ngày, CTCK</t>
        </is>
      </c>
      <c r="J2294" s="401" t="inlineStr">
        <is>
          <t>SCMS</t>
        </is>
      </c>
      <c r="K2294" s="401" t="n"/>
      <c r="L2294" s="401" t="inlineStr">
        <is>
          <t>X</t>
        </is>
      </c>
      <c r="M2294" s="401" t="n"/>
      <c r="N2294" s="401" t="inlineStr">
        <is>
          <t>Done</t>
        </is>
      </c>
      <c r="O2294" s="401" t="n"/>
      <c r="P2294" s="22" t="n"/>
      <c r="S2294" s="22" t="n"/>
      <c r="U2294" s="16" t="n"/>
      <c r="V2294" s="22" t="n"/>
      <c r="W2294" s="22" t="n"/>
      <c r="X2294" s="22" t="n"/>
      <c r="Y2294" s="13" t="n"/>
      <c r="Z2294" s="22" t="n"/>
      <c r="AA2294" s="22" t="n"/>
      <c r="AB2294" s="22" t="n"/>
      <c r="AC2294" s="22" t="n"/>
      <c r="AD2294" s="22" t="n"/>
      <c r="AE2294" s="22" t="n"/>
    </row>
    <row r="2295" ht="84" customHeight="1" s="380">
      <c r="A2295" s="126" t="n">
        <v>99</v>
      </c>
      <c r="B2295" s="390" t="n"/>
      <c r="C2295" s="390" t="inlineStr">
        <is>
          <t>Báo cáo theo Thông tư 121/2020/TT-BTC &gt;&gt; Báo báo tài chính &gt;&gt; Phần lưu chuyển tiền tệ hoạt động môi giới, ủy thác của khách hàng_06614</t>
        </is>
      </c>
      <c r="D2295" s="390" t="inlineStr">
        <is>
          <t>Trong đó có kỳ hạn</t>
        </is>
      </c>
      <c r="E2295" s="390" t="n">
        <v>32</v>
      </c>
      <c r="F2295" s="390" t="inlineStr">
        <is>
          <t>Data Explorer</t>
        </is>
      </c>
      <c r="G2295" s="390" t="inlineStr">
        <is>
          <t>Chỉ tiêu cơ sở</t>
        </is>
      </c>
      <c r="H2295" s="390" t="inlineStr">
        <is>
          <t>Dễ</t>
        </is>
      </c>
      <c r="I2295" s="390" t="inlineStr">
        <is>
          <t>Ngày, CTCK</t>
        </is>
      </c>
      <c r="J2295" s="401" t="inlineStr">
        <is>
          <t>SCMS</t>
        </is>
      </c>
      <c r="K2295" s="401" t="n"/>
      <c r="L2295" s="401" t="inlineStr">
        <is>
          <t>X</t>
        </is>
      </c>
      <c r="M2295" s="401" t="n"/>
      <c r="N2295" s="401" t="inlineStr">
        <is>
          <t>Done</t>
        </is>
      </c>
      <c r="O2295" s="401" t="n"/>
      <c r="P2295" s="22" t="n"/>
      <c r="S2295" s="22" t="n"/>
      <c r="U2295" s="16" t="n"/>
      <c r="V2295" s="22" t="n"/>
      <c r="W2295" s="22" t="n"/>
      <c r="X2295" s="22" t="n"/>
      <c r="Y2295" s="13" t="n"/>
      <c r="Z2295" s="22" t="n"/>
      <c r="AA2295" s="22" t="n"/>
      <c r="AB2295" s="22" t="n"/>
      <c r="AC2295" s="22" t="n"/>
      <c r="AD2295" s="22" t="n"/>
      <c r="AE2295" s="22" t="n"/>
    </row>
    <row r="2296" ht="84" customHeight="1" s="380">
      <c r="A2296" s="126" t="n">
        <v>99</v>
      </c>
      <c r="B2296" s="390" t="n"/>
      <c r="C2296" s="390" t="inlineStr">
        <is>
          <t>Báo cáo theo Thông tư 121/2020/TT-BTC &gt;&gt; Báo báo tài chính &gt;&gt; Phần lưu chuyển tiền tệ hoạt động môi giới, ủy thác của khách hàng_06614</t>
        </is>
      </c>
      <c r="D2296" s="390" t="inlineStr">
        <is>
          <t xml:space="preserve">- Tiền gửi tổng hợp giao dịch chứng khoán cho khách hàng </t>
        </is>
      </c>
      <c r="E2296" s="390" t="n">
        <v>33</v>
      </c>
      <c r="F2296" s="390" t="inlineStr">
        <is>
          <t>Data Explorer</t>
        </is>
      </c>
      <c r="G2296" s="390" t="inlineStr">
        <is>
          <t>Chỉ tiêu cơ sở</t>
        </is>
      </c>
      <c r="H2296" s="390" t="inlineStr">
        <is>
          <t>Dễ</t>
        </is>
      </c>
      <c r="I2296" s="390" t="inlineStr">
        <is>
          <t>Ngày, CTCK</t>
        </is>
      </c>
      <c r="J2296" s="401" t="inlineStr">
        <is>
          <t>SCMS</t>
        </is>
      </c>
      <c r="K2296" s="401" t="n"/>
      <c r="L2296" s="401" t="inlineStr">
        <is>
          <t>X</t>
        </is>
      </c>
      <c r="M2296" s="401" t="n"/>
      <c r="N2296" s="401" t="inlineStr">
        <is>
          <t>Done</t>
        </is>
      </c>
      <c r="O2296" s="401" t="n"/>
      <c r="P2296" s="22" t="n"/>
      <c r="S2296" s="22" t="n"/>
      <c r="U2296" s="16" t="n"/>
      <c r="V2296" s="22" t="n"/>
      <c r="W2296" s="22" t="n"/>
      <c r="X2296" s="22" t="n"/>
      <c r="Y2296" s="13" t="n"/>
      <c r="Z2296" s="22" t="n"/>
      <c r="AA2296" s="22" t="n"/>
      <c r="AB2296" s="22" t="n"/>
      <c r="AC2296" s="22" t="n"/>
      <c r="AD2296" s="22" t="n"/>
      <c r="AE2296" s="22" t="n"/>
    </row>
    <row r="2297" ht="84" customHeight="1" s="380">
      <c r="A2297" s="126" t="n">
        <v>99</v>
      </c>
      <c r="B2297" s="390" t="n"/>
      <c r="C2297" s="390" t="inlineStr">
        <is>
          <t>Báo cáo theo Thông tư 121/2020/TT-BTC &gt;&gt; Báo báo tài chính &gt;&gt; Phần lưu chuyển tiền tệ hoạt động môi giới, ủy thác của khách hàng_06614</t>
        </is>
      </c>
      <c r="D2297" s="390" t="inlineStr">
        <is>
          <t>- Tiền gửi bù trừ và thanh toán giao dịch chứng khoán</t>
        </is>
      </c>
      <c r="E2297" s="390" t="n">
        <v>34</v>
      </c>
      <c r="F2297" s="390" t="inlineStr">
        <is>
          <t>Data Explorer</t>
        </is>
      </c>
      <c r="G2297" s="390" t="inlineStr">
        <is>
          <t>Chỉ tiêu cơ sở</t>
        </is>
      </c>
      <c r="H2297" s="390" t="inlineStr">
        <is>
          <t>Dễ</t>
        </is>
      </c>
      <c r="I2297" s="390" t="inlineStr">
        <is>
          <t>Ngày, CTCK</t>
        </is>
      </c>
      <c r="J2297" s="401" t="inlineStr">
        <is>
          <t>SCMS</t>
        </is>
      </c>
      <c r="K2297" s="401" t="n"/>
      <c r="L2297" s="401" t="inlineStr">
        <is>
          <t>X</t>
        </is>
      </c>
      <c r="M2297" s="401" t="n"/>
      <c r="N2297" s="401" t="inlineStr">
        <is>
          <t>Done</t>
        </is>
      </c>
      <c r="O2297" s="401" t="n"/>
      <c r="P2297" s="22" t="n"/>
      <c r="S2297" s="22" t="n"/>
      <c r="U2297" s="16" t="n"/>
      <c r="V2297" s="22" t="n"/>
      <c r="W2297" s="22" t="n"/>
      <c r="X2297" s="22" t="n"/>
      <c r="Y2297" s="38" t="n"/>
      <c r="Z2297" s="22" t="n"/>
      <c r="AA2297" s="22" t="n"/>
      <c r="AB2297" s="22" t="n"/>
      <c r="AC2297" s="22" t="n"/>
      <c r="AD2297" s="22" t="n"/>
      <c r="AE2297" s="22" t="n"/>
    </row>
    <row r="2298" ht="84" customHeight="1" s="380">
      <c r="A2298" s="126" t="n">
        <v>99</v>
      </c>
      <c r="B2298" s="390" t="n"/>
      <c r="C2298" s="390" t="inlineStr">
        <is>
          <t>Báo cáo theo Thông tư 121/2020/TT-BTC &gt;&gt; Báo báo tài chính &gt;&gt; Phần lưu chuyển tiền tệ hoạt động môi giới, ủy thác của khách hàng_06614</t>
        </is>
      </c>
      <c r="D2298" s="390" t="inlineStr">
        <is>
          <t>-Tiền gửi của Tổ chức phát hành</t>
        </is>
      </c>
      <c r="E2298" s="390" t="n">
        <v>35</v>
      </c>
      <c r="F2298" s="390" t="inlineStr">
        <is>
          <t>Data Explorer</t>
        </is>
      </c>
      <c r="G2298" s="390" t="inlineStr">
        <is>
          <t>Chỉ tiêu cơ sở</t>
        </is>
      </c>
      <c r="H2298" s="390" t="inlineStr">
        <is>
          <t>Dễ</t>
        </is>
      </c>
      <c r="I2298" s="390" t="inlineStr">
        <is>
          <t>Ngày, CTCK</t>
        </is>
      </c>
      <c r="J2298" s="401" t="inlineStr">
        <is>
          <t>SCMS</t>
        </is>
      </c>
      <c r="K2298" s="401" t="n"/>
      <c r="L2298" s="401" t="inlineStr">
        <is>
          <t>X</t>
        </is>
      </c>
      <c r="M2298" s="401" t="n"/>
      <c r="N2298" s="401" t="inlineStr">
        <is>
          <t>Done</t>
        </is>
      </c>
      <c r="O2298" s="401" t="n"/>
      <c r="P2298" s="22" t="n"/>
      <c r="S2298" s="22" t="n"/>
      <c r="U2298" s="16" t="n"/>
      <c r="V2298" s="22" t="n"/>
      <c r="W2298" s="22" t="n"/>
      <c r="X2298" s="22" t="n"/>
      <c r="Y2298" s="13" t="n"/>
      <c r="Z2298" s="22" t="n"/>
      <c r="AA2298" s="22" t="n"/>
      <c r="AB2298" s="22" t="n"/>
      <c r="AC2298" s="22" t="n"/>
      <c r="AD2298" s="22" t="n"/>
      <c r="AE2298" s="22" t="n"/>
    </row>
    <row r="2299" ht="84" customHeight="1" s="380">
      <c r="A2299" s="126" t="n">
        <v>99</v>
      </c>
      <c r="B2299" s="390" t="n"/>
      <c r="C2299" s="390" t="inlineStr">
        <is>
          <t>Báo cáo theo Thông tư 121/2020/TT-BTC &gt;&gt; Báo báo tài chính &gt;&gt; Phần lưu chuyển tiền tệ hoạt động môi giới, ủy thác của khách hàng_06614</t>
        </is>
      </c>
      <c r="D2299" s="390" t="inlineStr">
        <is>
          <t>Trong đó có kỳ hạn</t>
        </is>
      </c>
      <c r="E2299" s="390" t="n">
        <v>35</v>
      </c>
      <c r="F2299" s="390" t="inlineStr">
        <is>
          <t>Data Explorer</t>
        </is>
      </c>
      <c r="G2299" s="390" t="inlineStr">
        <is>
          <t>Chỉ tiêu cơ sở</t>
        </is>
      </c>
      <c r="H2299" s="390" t="inlineStr">
        <is>
          <t>Dễ</t>
        </is>
      </c>
      <c r="I2299" s="390" t="inlineStr">
        <is>
          <t>Ngày, CTCK</t>
        </is>
      </c>
      <c r="J2299" s="401" t="inlineStr">
        <is>
          <t>SCMS</t>
        </is>
      </c>
      <c r="K2299" s="401" t="n"/>
      <c r="L2299" s="401" t="inlineStr">
        <is>
          <t>X</t>
        </is>
      </c>
      <c r="M2299" s="401" t="n"/>
      <c r="N2299" s="401" t="inlineStr">
        <is>
          <t>Done</t>
        </is>
      </c>
      <c r="O2299" s="401" t="n"/>
      <c r="P2299" s="22" t="n"/>
      <c r="S2299" s="22" t="n"/>
      <c r="U2299" s="16" t="n"/>
      <c r="V2299" s="22" t="n"/>
      <c r="W2299" s="22" t="n"/>
      <c r="X2299" s="22" t="n"/>
      <c r="Y2299" s="13" t="n"/>
      <c r="Z2299" s="22" t="n"/>
      <c r="AA2299" s="22" t="n"/>
      <c r="AB2299" s="22" t="n"/>
      <c r="AC2299" s="22" t="n"/>
      <c r="AD2299" s="22" t="n"/>
      <c r="AE2299" s="22" t="n"/>
    </row>
    <row r="2300" ht="84" customHeight="1" s="380">
      <c r="A2300" s="126" t="n">
        <v>99</v>
      </c>
      <c r="B2300" s="390" t="n"/>
      <c r="C2300" s="390" t="inlineStr">
        <is>
          <t>Báo cáo theo Thông tư 121/2020/TT-BTC &gt;&gt; Báo báo tài chính &gt;&gt; Phần lưu chuyển tiền tệ hoạt động môi giới, ủy thác của khách hàng_06614</t>
        </is>
      </c>
      <c r="D2300" s="390" t="inlineStr">
        <is>
          <t>Các khoản tương đương tiền</t>
        </is>
      </c>
      <c r="E2300" s="390" t="n">
        <v>36</v>
      </c>
      <c r="F2300" s="390" t="inlineStr">
        <is>
          <t>Data Explorer</t>
        </is>
      </c>
      <c r="G2300" s="390" t="inlineStr">
        <is>
          <t>Chỉ tiêu cơ sở</t>
        </is>
      </c>
      <c r="H2300" s="390" t="inlineStr">
        <is>
          <t>Dễ</t>
        </is>
      </c>
      <c r="I2300" s="390" t="inlineStr">
        <is>
          <t>Ngày, CTCK</t>
        </is>
      </c>
      <c r="J2300" s="401" t="inlineStr">
        <is>
          <t>SCMS</t>
        </is>
      </c>
      <c r="K2300" s="401" t="n"/>
      <c r="L2300" s="401" t="inlineStr">
        <is>
          <t>X</t>
        </is>
      </c>
      <c r="M2300" s="401" t="n"/>
      <c r="N2300" s="401" t="inlineStr">
        <is>
          <t>Done</t>
        </is>
      </c>
      <c r="O2300" s="401" t="n"/>
      <c r="P2300" s="22" t="n"/>
      <c r="S2300" s="22" t="n"/>
      <c r="U2300" s="16" t="n"/>
      <c r="V2300" s="22" t="n"/>
      <c r="W2300" s="22" t="n"/>
      <c r="X2300" s="22" t="n"/>
      <c r="Y2300" s="13" t="n"/>
      <c r="Z2300" s="22" t="n"/>
      <c r="AA2300" s="22" t="n"/>
      <c r="AB2300" s="22" t="n"/>
      <c r="AC2300" s="22" t="n"/>
      <c r="AD2300" s="22" t="n"/>
      <c r="AE2300" s="22" t="n"/>
    </row>
    <row r="2301" ht="84" customHeight="1" s="380">
      <c r="A2301" s="126" t="n">
        <v>99</v>
      </c>
      <c r="B2301" s="390" t="n"/>
      <c r="C2301" s="390" t="inlineStr">
        <is>
          <t>Báo cáo theo Thông tư 121/2020/TT-BTC &gt;&gt; Báo báo tài chính &gt;&gt; Phần lưu chuyển tiền tệ hoạt động môi giới, ủy thác của khách hàng_06614</t>
        </is>
      </c>
      <c r="D2301" s="390" t="inlineStr">
        <is>
          <t>Ảnh hưởng của thay đổi tỷ giá hối đoái quy đổi ngoại tệ</t>
        </is>
      </c>
      <c r="E2301" s="390" t="n">
        <v>37</v>
      </c>
      <c r="F2301" s="390" t="inlineStr">
        <is>
          <t>Data Explorer</t>
        </is>
      </c>
      <c r="G2301" s="390" t="inlineStr">
        <is>
          <t>Chỉ tiêu cơ sở</t>
        </is>
      </c>
      <c r="H2301" s="390" t="inlineStr">
        <is>
          <t>Dễ</t>
        </is>
      </c>
      <c r="I2301" s="390" t="inlineStr">
        <is>
          <t>Ngày, CTCK</t>
        </is>
      </c>
      <c r="J2301" s="401" t="inlineStr">
        <is>
          <t>SCMS</t>
        </is>
      </c>
      <c r="K2301" s="401" t="n"/>
      <c r="L2301" s="401" t="inlineStr">
        <is>
          <t>X</t>
        </is>
      </c>
      <c r="M2301" s="401" t="n"/>
      <c r="N2301" s="401" t="inlineStr">
        <is>
          <t>Done</t>
        </is>
      </c>
      <c r="O2301" s="401" t="n"/>
      <c r="P2301" s="22" t="n"/>
      <c r="S2301" s="22" t="n"/>
      <c r="U2301" s="16" t="n"/>
      <c r="V2301" s="22" t="n"/>
      <c r="W2301" s="22" t="n"/>
      <c r="X2301" s="22" t="n"/>
      <c r="Y2301" s="13" t="n"/>
      <c r="Z2301" s="22" t="n"/>
      <c r="AA2301" s="22" t="n"/>
      <c r="AB2301" s="22" t="n"/>
      <c r="AC2301" s="22" t="n"/>
      <c r="AD2301" s="22" t="n"/>
      <c r="AE2301" s="22" t="n"/>
    </row>
    <row r="2302" ht="84" customHeight="1" s="380">
      <c r="A2302" s="126" t="n">
        <v>99</v>
      </c>
      <c r="B2302" s="390" t="n"/>
      <c r="C2302" s="390" t="inlineStr">
        <is>
          <t>Báo cáo theo Thông tư 121/2020/TT-BTC &gt;&gt; Báo báo tài chính &gt;&gt; Phần lưu chuyển tiền tệ hoạt động môi giới, ủy thác của khách hàng_06614</t>
        </is>
      </c>
      <c r="D2302" s="132" t="inlineStr">
        <is>
          <t>III, Tiền và các khoản tương đương tiền cuối kỳ của khách hàng</t>
        </is>
      </c>
      <c r="E2302" s="132" t="n">
        <v>40</v>
      </c>
      <c r="F2302" s="390" t="inlineStr">
        <is>
          <t>Data Explorer</t>
        </is>
      </c>
      <c r="G2302" s="390" t="inlineStr">
        <is>
          <t>Chỉ tiêu cơ sở</t>
        </is>
      </c>
      <c r="H2302" s="390" t="inlineStr">
        <is>
          <t>Dễ</t>
        </is>
      </c>
      <c r="I2302" s="390" t="inlineStr">
        <is>
          <t>Ngày, CTCK</t>
        </is>
      </c>
      <c r="J2302" s="401" t="inlineStr">
        <is>
          <t>SCMS</t>
        </is>
      </c>
      <c r="K2302" s="401" t="n"/>
      <c r="L2302" s="401" t="inlineStr">
        <is>
          <t>X</t>
        </is>
      </c>
      <c r="M2302" s="401" t="n"/>
      <c r="N2302" s="401" t="inlineStr">
        <is>
          <t>Done</t>
        </is>
      </c>
      <c r="O2302" s="401" t="n"/>
      <c r="P2302" s="22" t="n"/>
      <c r="S2302" s="22" t="n"/>
      <c r="U2302" s="16" t="n"/>
      <c r="V2302" s="22" t="n"/>
      <c r="W2302" s="22" t="n"/>
      <c r="X2302" s="22" t="n"/>
      <c r="Y2302" s="13" t="n"/>
      <c r="Z2302" s="22" t="n"/>
      <c r="AA2302" s="22" t="n"/>
      <c r="AB2302" s="22" t="n"/>
      <c r="AC2302" s="22" t="n"/>
      <c r="AD2302" s="22" t="n"/>
      <c r="AE2302" s="22" t="n"/>
    </row>
    <row r="2303" ht="84" customHeight="1" s="380">
      <c r="A2303" s="126" t="n">
        <v>99</v>
      </c>
      <c r="B2303" s="390" t="n"/>
      <c r="C2303" s="390" t="inlineStr">
        <is>
          <t>Báo cáo theo Thông tư 121/2020/TT-BTC &gt;&gt; Báo báo tài chính &gt;&gt; Phần lưu chuyển tiền tệ hoạt động môi giới, ủy thác của khách hàng_06614</t>
        </is>
      </c>
      <c r="D2303" s="390" t="inlineStr">
        <is>
          <t>Tiền gửi ngân hàng cuối kỳ:</t>
        </is>
      </c>
      <c r="E2303" s="390" t="n">
        <v>41</v>
      </c>
      <c r="F2303" s="390" t="inlineStr">
        <is>
          <t>Data Explorer</t>
        </is>
      </c>
      <c r="G2303" s="390" t="inlineStr">
        <is>
          <t>Chỉ tiêu cơ sở</t>
        </is>
      </c>
      <c r="H2303" s="390" t="inlineStr">
        <is>
          <t>Dễ</t>
        </is>
      </c>
      <c r="I2303" s="390" t="inlineStr">
        <is>
          <t>Ngày, CTCK</t>
        </is>
      </c>
      <c r="J2303" s="401" t="inlineStr">
        <is>
          <t>SCMS</t>
        </is>
      </c>
      <c r="K2303" s="401" t="n"/>
      <c r="L2303" s="401" t="inlineStr">
        <is>
          <t>X</t>
        </is>
      </c>
      <c r="M2303" s="401" t="n"/>
      <c r="N2303" s="401" t="inlineStr">
        <is>
          <t>Done</t>
        </is>
      </c>
      <c r="O2303" s="401" t="n"/>
      <c r="P2303" s="22" t="n"/>
      <c r="S2303" s="22" t="n"/>
      <c r="U2303" s="16" t="n"/>
      <c r="V2303" s="22" t="n"/>
      <c r="W2303" s="22" t="n"/>
      <c r="X2303" s="22" t="n"/>
      <c r="Y2303" s="38" t="n"/>
      <c r="Z2303" s="22" t="n"/>
      <c r="AA2303" s="22" t="n"/>
      <c r="AB2303" s="22" t="n"/>
      <c r="AC2303" s="22" t="n"/>
      <c r="AD2303" s="22" t="n"/>
      <c r="AE2303" s="22" t="n"/>
    </row>
    <row r="2304" ht="84" customHeight="1" s="380">
      <c r="A2304" s="126" t="n">
        <v>99</v>
      </c>
      <c r="B2304" s="390" t="n"/>
      <c r="C2304" s="390" t="inlineStr">
        <is>
          <t>Báo cáo theo Thông tư 121/2020/TT-BTC &gt;&gt; Báo báo tài chính &gt;&gt; Phần lưu chuyển tiền tệ hoạt động môi giới, ủy thác của khách hàng_06614</t>
        </is>
      </c>
      <c r="D2304" s="390" t="inlineStr">
        <is>
          <t xml:space="preserve">-Tiền gửi của Nhà đầu tư về giao dịch chứng khoán theo phương thức CTCK quản lý </t>
        </is>
      </c>
      <c r="E2304" s="390" t="n">
        <v>42</v>
      </c>
      <c r="F2304" s="390" t="inlineStr">
        <is>
          <t>Data Explorer</t>
        </is>
      </c>
      <c r="G2304" s="390" t="inlineStr">
        <is>
          <t>Chỉ tiêu cơ sở</t>
        </is>
      </c>
      <c r="H2304" s="390" t="inlineStr">
        <is>
          <t>Dễ</t>
        </is>
      </c>
      <c r="I2304" s="390" t="inlineStr">
        <is>
          <t>Ngày, CTCK</t>
        </is>
      </c>
      <c r="J2304" s="401" t="inlineStr">
        <is>
          <t>SCMS</t>
        </is>
      </c>
      <c r="K2304" s="401" t="n"/>
      <c r="L2304" s="401" t="inlineStr">
        <is>
          <t>X</t>
        </is>
      </c>
      <c r="M2304" s="401" t="n"/>
      <c r="N2304" s="401" t="inlineStr">
        <is>
          <t>Done</t>
        </is>
      </c>
      <c r="O2304" s="401" t="n"/>
      <c r="P2304" s="22" t="n"/>
      <c r="S2304" s="22" t="n"/>
      <c r="U2304" s="16" t="n"/>
      <c r="V2304" s="22" t="n"/>
      <c r="W2304" s="22" t="n"/>
      <c r="X2304" s="22" t="n"/>
      <c r="Y2304" s="13" t="n"/>
      <c r="Z2304" s="22" t="n"/>
      <c r="AA2304" s="22" t="n"/>
      <c r="AB2304" s="22" t="n"/>
      <c r="AC2304" s="22" t="n"/>
      <c r="AD2304" s="22" t="n"/>
      <c r="AE2304" s="22" t="n"/>
    </row>
    <row r="2305" ht="84" customHeight="1" s="380">
      <c r="A2305" s="126" t="n">
        <v>99</v>
      </c>
      <c r="B2305" s="390" t="n"/>
      <c r="C2305" s="390" t="inlineStr">
        <is>
          <t>Báo cáo theo Thông tư 121/2020/TT-BTC &gt;&gt; Báo báo tài chính &gt;&gt; Phần lưu chuyển tiền tệ hoạt động môi giới, ủy thác của khách hàng_06614</t>
        </is>
      </c>
      <c r="D2305" s="390" t="inlineStr">
        <is>
          <t>Trong đó có kỳ hạn</t>
        </is>
      </c>
      <c r="E2305" s="390" t="n">
        <v>42</v>
      </c>
      <c r="F2305" s="390" t="inlineStr">
        <is>
          <t>Data Explorer</t>
        </is>
      </c>
      <c r="G2305" s="390" t="inlineStr">
        <is>
          <t>Chỉ tiêu cơ sở</t>
        </is>
      </c>
      <c r="H2305" s="390" t="inlineStr">
        <is>
          <t>Dễ</t>
        </is>
      </c>
      <c r="I2305" s="390" t="inlineStr">
        <is>
          <t>Ngày, CTCK</t>
        </is>
      </c>
      <c r="J2305" s="401" t="inlineStr">
        <is>
          <t>SCMS</t>
        </is>
      </c>
      <c r="K2305" s="401" t="n"/>
      <c r="L2305" s="401" t="inlineStr">
        <is>
          <t>X</t>
        </is>
      </c>
      <c r="M2305" s="401" t="n"/>
      <c r="N2305" s="401" t="inlineStr">
        <is>
          <t>Done</t>
        </is>
      </c>
      <c r="O2305" s="401" t="n"/>
      <c r="P2305" s="22" t="n"/>
      <c r="S2305" s="22" t="n"/>
      <c r="U2305" s="16" t="n"/>
      <c r="V2305" s="22" t="n"/>
      <c r="W2305" s="22" t="n"/>
      <c r="X2305" s="22" t="n"/>
      <c r="Y2305" s="13" t="n"/>
      <c r="Z2305" s="22" t="n"/>
      <c r="AA2305" s="22" t="n"/>
      <c r="AB2305" s="22" t="n"/>
      <c r="AC2305" s="22" t="n"/>
      <c r="AD2305" s="22" t="n"/>
      <c r="AE2305" s="22" t="n"/>
    </row>
    <row r="2306" ht="84" customHeight="1" s="380">
      <c r="A2306" s="126" t="n">
        <v>99</v>
      </c>
      <c r="B2306" s="390" t="n"/>
      <c r="C2306" s="390" t="inlineStr">
        <is>
          <t>Báo cáo theo Thông tư 121/2020/TT-BTC &gt;&gt; Báo báo tài chính &gt;&gt; Phần lưu chuyển tiền tệ hoạt động môi giới, ủy thác của khách hàng_06614</t>
        </is>
      </c>
      <c r="D2306" s="390" t="inlineStr">
        <is>
          <t xml:space="preserve">- Tiền gửi tổng hợp giao dịch chứng khoán cho khách hàng </t>
        </is>
      </c>
      <c r="E2306" s="390" t="n">
        <v>43</v>
      </c>
      <c r="F2306" s="390" t="inlineStr">
        <is>
          <t>Data Explorer</t>
        </is>
      </c>
      <c r="G2306" s="390" t="inlineStr">
        <is>
          <t>Chỉ tiêu cơ sở</t>
        </is>
      </c>
      <c r="H2306" s="390" t="inlineStr">
        <is>
          <t>Dễ</t>
        </is>
      </c>
      <c r="I2306" s="390" t="inlineStr">
        <is>
          <t>Ngày, CTCK</t>
        </is>
      </c>
      <c r="J2306" s="401" t="inlineStr">
        <is>
          <t>SCMS</t>
        </is>
      </c>
      <c r="K2306" s="401" t="n"/>
      <c r="L2306" s="401" t="inlineStr">
        <is>
          <t>X</t>
        </is>
      </c>
      <c r="M2306" s="401" t="n"/>
      <c r="N2306" s="401" t="inlineStr">
        <is>
          <t>Done</t>
        </is>
      </c>
      <c r="O2306" s="401" t="n"/>
      <c r="P2306" s="22" t="n"/>
      <c r="S2306" s="22" t="n"/>
      <c r="U2306" s="16" t="n"/>
      <c r="V2306" s="22" t="n"/>
      <c r="W2306" s="22" t="n"/>
      <c r="X2306" s="22" t="n"/>
      <c r="Y2306" s="13" t="n"/>
      <c r="Z2306" s="22" t="n"/>
      <c r="AA2306" s="22" t="n"/>
      <c r="AB2306" s="22" t="n"/>
      <c r="AC2306" s="22" t="n"/>
      <c r="AD2306" s="22" t="n"/>
      <c r="AE2306" s="22" t="n"/>
    </row>
    <row r="2307" ht="84" customHeight="1" s="380">
      <c r="A2307" s="126" t="n">
        <v>99</v>
      </c>
      <c r="B2307" s="390" t="n"/>
      <c r="C2307" s="390" t="inlineStr">
        <is>
          <t>Báo cáo theo Thông tư 121/2020/TT-BTC &gt;&gt; Báo báo tài chính &gt;&gt; Phần lưu chuyển tiền tệ hoạt động môi giới, ủy thác của khách hàng_06614</t>
        </is>
      </c>
      <c r="D2307" s="390" t="inlineStr">
        <is>
          <t>- Tiền gửi bù trừ và thanh toán giao dịch chứng khoán</t>
        </is>
      </c>
      <c r="E2307" s="390" t="n">
        <v>44</v>
      </c>
      <c r="F2307" s="390" t="inlineStr">
        <is>
          <t>Data Explorer</t>
        </is>
      </c>
      <c r="G2307" s="390" t="inlineStr">
        <is>
          <t>Chỉ tiêu cơ sở</t>
        </is>
      </c>
      <c r="H2307" s="390" t="inlineStr">
        <is>
          <t>Dễ</t>
        </is>
      </c>
      <c r="I2307" s="390" t="inlineStr">
        <is>
          <t>Ngày, CTCK</t>
        </is>
      </c>
      <c r="J2307" s="401" t="inlineStr">
        <is>
          <t>SCMS</t>
        </is>
      </c>
      <c r="K2307" s="401" t="n"/>
      <c r="L2307" s="401" t="inlineStr">
        <is>
          <t>X</t>
        </is>
      </c>
      <c r="M2307" s="401" t="n"/>
      <c r="N2307" s="401" t="inlineStr">
        <is>
          <t>Done</t>
        </is>
      </c>
      <c r="O2307" s="401" t="n"/>
      <c r="P2307" s="22" t="n"/>
      <c r="S2307" s="22" t="n"/>
      <c r="U2307" s="16" t="n"/>
      <c r="V2307" s="22" t="n"/>
      <c r="W2307" s="22" t="n"/>
      <c r="X2307" s="22" t="n"/>
      <c r="Y2307" s="13" t="n"/>
      <c r="Z2307" s="22" t="n"/>
      <c r="AA2307" s="22" t="n"/>
      <c r="AB2307" s="22" t="n"/>
      <c r="AC2307" s="22" t="n"/>
      <c r="AD2307" s="22" t="n"/>
      <c r="AE2307" s="22" t="n"/>
    </row>
    <row r="2308" ht="84" customHeight="1" s="380">
      <c r="A2308" s="126" t="n">
        <v>99</v>
      </c>
      <c r="B2308" s="390" t="n"/>
      <c r="C2308" s="390" t="inlineStr">
        <is>
          <t>Báo cáo theo Thông tư 121/2020/TT-BTC &gt;&gt; Báo báo tài chính &gt;&gt; Phần lưu chuyển tiền tệ hoạt động môi giới, ủy thác của khách hàng_06614</t>
        </is>
      </c>
      <c r="D2308" s="390" t="inlineStr">
        <is>
          <t>- Tiền gửi của Tổ chức phát hành</t>
        </is>
      </c>
      <c r="E2308" s="390" t="n">
        <v>45</v>
      </c>
      <c r="F2308" s="390" t="inlineStr">
        <is>
          <t>Data Explorer</t>
        </is>
      </c>
      <c r="G2308" s="390" t="inlineStr">
        <is>
          <t>Chỉ tiêu cơ sở</t>
        </is>
      </c>
      <c r="H2308" s="390" t="inlineStr">
        <is>
          <t>Dễ</t>
        </is>
      </c>
      <c r="I2308" s="390" t="inlineStr">
        <is>
          <t>Ngày, CTCK</t>
        </is>
      </c>
      <c r="J2308" s="401" t="inlineStr">
        <is>
          <t>SCMS</t>
        </is>
      </c>
      <c r="K2308" s="401" t="n"/>
      <c r="L2308" s="401" t="inlineStr">
        <is>
          <t>X</t>
        </is>
      </c>
      <c r="M2308" s="401" t="n"/>
      <c r="N2308" s="401" t="inlineStr">
        <is>
          <t>Done</t>
        </is>
      </c>
      <c r="O2308" s="401" t="n"/>
      <c r="P2308" s="22" t="n"/>
      <c r="S2308" s="22" t="n"/>
      <c r="U2308" s="16" t="n"/>
      <c r="V2308" s="22" t="n"/>
      <c r="W2308" s="22" t="n"/>
      <c r="X2308" s="22" t="n"/>
      <c r="Y2308" s="13" t="n"/>
      <c r="Z2308" s="22" t="n"/>
      <c r="AA2308" s="22" t="n"/>
      <c r="AB2308" s="22" t="n"/>
      <c r="AC2308" s="22" t="n"/>
      <c r="AD2308" s="22" t="n"/>
      <c r="AE2308" s="22" t="n"/>
    </row>
    <row r="2309" ht="84" customHeight="1" s="380">
      <c r="A2309" s="126" t="n">
        <v>99</v>
      </c>
      <c r="B2309" s="390" t="n"/>
      <c r="C2309" s="390" t="inlineStr">
        <is>
          <t>Báo cáo theo Thông tư 121/2020/TT-BTC &gt;&gt; Báo báo tài chính &gt;&gt; Phần lưu chuyển tiền tệ hoạt động môi giới, ủy thác của khách hàng_06614</t>
        </is>
      </c>
      <c r="D2309" s="390" t="inlineStr">
        <is>
          <t>Trong đó có kỳ hạn</t>
        </is>
      </c>
      <c r="E2309" s="390" t="n">
        <v>45</v>
      </c>
      <c r="F2309" s="390" t="inlineStr">
        <is>
          <t>Data Explorer</t>
        </is>
      </c>
      <c r="G2309" s="390" t="inlineStr">
        <is>
          <t>Chỉ tiêu cơ sở</t>
        </is>
      </c>
      <c r="H2309" s="390" t="inlineStr">
        <is>
          <t>Dễ</t>
        </is>
      </c>
      <c r="I2309" s="390" t="inlineStr">
        <is>
          <t>Ngày, CTCK</t>
        </is>
      </c>
      <c r="J2309" s="401" t="inlineStr">
        <is>
          <t>SCMS</t>
        </is>
      </c>
      <c r="K2309" s="401" t="n"/>
      <c r="L2309" s="401" t="inlineStr">
        <is>
          <t>X</t>
        </is>
      </c>
      <c r="M2309" s="401" t="n"/>
      <c r="N2309" s="401" t="inlineStr">
        <is>
          <t>Done</t>
        </is>
      </c>
      <c r="O2309" s="401" t="n"/>
      <c r="P2309" s="22" t="n"/>
      <c r="S2309" s="22" t="n"/>
      <c r="U2309" s="16" t="n"/>
      <c r="V2309" s="22" t="n"/>
      <c r="W2309" s="22" t="n"/>
      <c r="X2309" s="22" t="n"/>
      <c r="Y2309" s="38" t="n"/>
      <c r="Z2309" s="22" t="n"/>
      <c r="AA2309" s="22" t="n"/>
      <c r="AB2309" s="22" t="n"/>
      <c r="AC2309" s="22" t="n"/>
      <c r="AD2309" s="22" t="n"/>
      <c r="AE2309" s="22" t="n"/>
    </row>
    <row r="2310" ht="84" customHeight="1" s="380">
      <c r="A2310" s="126" t="n">
        <v>99</v>
      </c>
      <c r="B2310" s="390" t="n"/>
      <c r="C2310" s="390" t="inlineStr">
        <is>
          <t>Báo cáo theo Thông tư 121/2020/TT-BTC &gt;&gt; Báo báo tài chính &gt;&gt; Phần lưu chuyển tiền tệ hoạt động môi giới, ủy thác của khách hàng_06614</t>
        </is>
      </c>
      <c r="D2310" s="390" t="inlineStr">
        <is>
          <t>Các khoản tương đương tiền</t>
        </is>
      </c>
      <c r="E2310" s="390" t="n">
        <v>46</v>
      </c>
      <c r="F2310" s="390" t="inlineStr">
        <is>
          <t>Data Explorer</t>
        </is>
      </c>
      <c r="G2310" s="390" t="inlineStr">
        <is>
          <t>Chỉ tiêu cơ sở</t>
        </is>
      </c>
      <c r="H2310" s="390" t="inlineStr">
        <is>
          <t>Dễ</t>
        </is>
      </c>
      <c r="I2310" s="390" t="inlineStr">
        <is>
          <t>Ngày, CTCK</t>
        </is>
      </c>
      <c r="J2310" s="401" t="inlineStr">
        <is>
          <t>SCMS</t>
        </is>
      </c>
      <c r="K2310" s="401" t="n"/>
      <c r="L2310" s="401" t="inlineStr">
        <is>
          <t>X</t>
        </is>
      </c>
      <c r="M2310" s="401" t="n"/>
      <c r="N2310" s="401" t="inlineStr">
        <is>
          <t>Done</t>
        </is>
      </c>
      <c r="O2310" s="401" t="n"/>
      <c r="P2310" s="22" t="n"/>
      <c r="S2310" s="22" t="n"/>
      <c r="U2310" s="16" t="n"/>
      <c r="V2310" s="22" t="n"/>
      <c r="W2310" s="22" t="n"/>
      <c r="X2310" s="22" t="n"/>
      <c r="Y2310" s="13" t="n"/>
      <c r="Z2310" s="22" t="n"/>
      <c r="AA2310" s="22" t="n"/>
      <c r="AB2310" s="22" t="n"/>
      <c r="AC2310" s="22" t="n"/>
      <c r="AD2310" s="22" t="n"/>
      <c r="AE2310" s="22" t="n"/>
    </row>
    <row r="2311" ht="84" customHeight="1" s="380">
      <c r="A2311" s="128" t="n">
        <v>99</v>
      </c>
      <c r="B2311" s="129" t="n"/>
      <c r="C2311" s="129" t="inlineStr">
        <is>
          <t>Báo cáo theo Thông tư 121/2020/TT-BTC &gt;&gt; Báo báo tài chính &gt;&gt; Phần lưu chuyển tiền tệ hoạt động môi giới, ủy thác của khách hàng_06614</t>
        </is>
      </c>
      <c r="D2311" s="129" t="inlineStr">
        <is>
          <t>- Ảnh hưởng của thay đổi tỷ giá hối đoái quy đổi ngoại tệ</t>
        </is>
      </c>
      <c r="E2311" s="129" t="n">
        <v>47</v>
      </c>
      <c r="F2311" s="129" t="inlineStr">
        <is>
          <t>Data Explorer</t>
        </is>
      </c>
      <c r="G2311" s="129" t="inlineStr">
        <is>
          <t>Chỉ tiêu cơ sở</t>
        </is>
      </c>
      <c r="H2311" s="129" t="inlineStr">
        <is>
          <t>Dễ</t>
        </is>
      </c>
      <c r="I2311" s="129" t="inlineStr">
        <is>
          <t>Ngày, CTCK</t>
        </is>
      </c>
      <c r="J2311" s="85" t="inlineStr">
        <is>
          <t>SCMS</t>
        </is>
      </c>
      <c r="K2311" s="85" t="n"/>
      <c r="L2311" s="85" t="inlineStr">
        <is>
          <t>X</t>
        </is>
      </c>
      <c r="M2311" s="85" t="n"/>
      <c r="N2311" s="85" t="inlineStr">
        <is>
          <t>Done</t>
        </is>
      </c>
      <c r="O2311" s="85" t="n"/>
      <c r="P2311" s="130" t="n"/>
      <c r="Q2311" s="426" t="n"/>
      <c r="R2311" s="426" t="n"/>
      <c r="S2311" s="130" t="n"/>
      <c r="T2311" s="426" t="n"/>
      <c r="U2311" s="131" t="n"/>
      <c r="V2311" s="130" t="n"/>
      <c r="W2311" s="130" t="n"/>
      <c r="X2311" s="130" t="n"/>
      <c r="Y2311" s="97" t="n"/>
      <c r="Z2311" s="130" t="n"/>
      <c r="AA2311" s="130" t="n"/>
      <c r="AB2311" s="130" t="n"/>
      <c r="AC2311" s="130" t="n"/>
      <c r="AD2311" s="130" t="n"/>
      <c r="AE2311" s="130" t="n"/>
    </row>
    <row r="2312" ht="70" customHeight="1" s="380">
      <c r="A2312" s="126" t="n">
        <v>100</v>
      </c>
      <c r="B2312" s="122" t="inlineStr">
        <is>
          <t>Nga</t>
        </is>
      </c>
      <c r="C2312" s="127" t="inlineStr">
        <is>
          <t>Báo cáo theo Thông tư 121/2020/TT-BTC &gt;&gt; Báo báo tài chính &gt;&gt; Báo cáo tình hình biến động vốn chủ sở hữu</t>
        </is>
      </c>
      <c r="D2312" s="106" t="inlineStr">
        <is>
          <t>Loại báo cáo</t>
        </is>
      </c>
      <c r="E2312" s="107" t="inlineStr">
        <is>
          <t>Loại báo cáo</t>
        </is>
      </c>
      <c r="F2312" s="390" t="inlineStr">
        <is>
          <t>Data Explorer</t>
        </is>
      </c>
      <c r="G2312" s="390" t="inlineStr">
        <is>
          <t>Chiều</t>
        </is>
      </c>
      <c r="H2312" s="390" t="inlineStr">
        <is>
          <t>Dễ</t>
        </is>
      </c>
      <c r="I2312" s="390" t="inlineStr">
        <is>
          <t>Ngày, CTCK</t>
        </is>
      </c>
      <c r="J2312" s="401" t="inlineStr">
        <is>
          <t>SCMS</t>
        </is>
      </c>
      <c r="K2312" s="401" t="inlineStr">
        <is>
          <t>X</t>
        </is>
      </c>
      <c r="L2312" s="401" t="inlineStr">
        <is>
          <t>X</t>
        </is>
      </c>
      <c r="M2312" s="401" t="n"/>
      <c r="N2312" s="401" t="inlineStr">
        <is>
          <t>Done</t>
        </is>
      </c>
      <c r="O2312" s="401" t="n"/>
      <c r="P2312" s="22" t="n"/>
      <c r="Q2312" s="404" t="inlineStr">
        <is>
          <t>SCMS.BM_BAO_CAO
SCMS.BM_BAO_CAO_DINH_KY</t>
        </is>
      </c>
      <c r="R2312" s="404" t="inlineStr">
        <is>
          <t>bm.ID,
bm.MA_BAO_CAO,
bm.LOAI_BAO_CAO,
bm.TEN_BAO_CAO,
bm.SU_DUNG,
bdk.BM_BAO_CAO_ID,
bdk.KY_BAO_CAO,
bdk.SU_DUNG</t>
        </is>
      </c>
      <c r="S2312" s="22" t="n"/>
      <c r="T2312" s="389"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U2312" s="16" t="n"/>
      <c r="V2312" s="22" t="n"/>
      <c r="W2312" s="22" t="n"/>
      <c r="X2312" s="22" t="n"/>
      <c r="Y2312" s="13" t="n"/>
      <c r="Z2312" s="22" t="n"/>
      <c r="AA2312" s="22" t="n"/>
      <c r="AB2312" s="22" t="n"/>
      <c r="AC2312" s="22" t="n"/>
      <c r="AD2312" s="22" t="n"/>
      <c r="AE2312" s="22" t="n"/>
    </row>
    <row r="2313" ht="70" customHeight="1" s="380">
      <c r="A2313" s="126" t="n">
        <v>100</v>
      </c>
      <c r="B2313" s="390" t="n"/>
      <c r="C2313" s="390" t="inlineStr">
        <is>
          <t>Báo cáo theo Thông tư 121/2020/TT-BTC &gt;&gt; Báo báo tài chính &gt;&gt; Báo cáo tình hình biến động vốn chủ sở hữu</t>
        </is>
      </c>
      <c r="D2313" s="106" t="inlineStr">
        <is>
          <t>Kỳ báo cáo</t>
        </is>
      </c>
      <c r="E2313" s="107" t="inlineStr">
        <is>
          <t>Kỳ báo cáo</t>
        </is>
      </c>
      <c r="F2313" s="390" t="inlineStr">
        <is>
          <t>Data Explorer</t>
        </is>
      </c>
      <c r="G2313" s="390" t="inlineStr">
        <is>
          <t>Chiều</t>
        </is>
      </c>
      <c r="H2313" s="390" t="inlineStr">
        <is>
          <t>Dễ</t>
        </is>
      </c>
      <c r="I2313" s="390" t="inlineStr">
        <is>
          <t>Ngày, CTCK</t>
        </is>
      </c>
      <c r="J2313" s="401" t="inlineStr">
        <is>
          <t>SCMS</t>
        </is>
      </c>
      <c r="K2313" s="401" t="inlineStr">
        <is>
          <t>X</t>
        </is>
      </c>
      <c r="L2313" s="401" t="inlineStr">
        <is>
          <t>X</t>
        </is>
      </c>
      <c r="M2313" s="401" t="n"/>
      <c r="N2313" s="401" t="inlineStr">
        <is>
          <t>Done</t>
        </is>
      </c>
      <c r="O2313" s="401" t="n"/>
      <c r="P2313" s="22" t="n"/>
      <c r="S2313" s="22" t="n"/>
      <c r="U2313" s="16" t="n"/>
      <c r="V2313" s="22" t="n"/>
      <c r="W2313" s="22" t="n"/>
      <c r="X2313" s="22" t="n"/>
      <c r="Y2313" s="13" t="n"/>
      <c r="Z2313" s="22" t="n"/>
      <c r="AA2313" s="22" t="n"/>
      <c r="AB2313" s="22" t="n"/>
      <c r="AC2313" s="22" t="n"/>
      <c r="AD2313" s="22" t="n"/>
      <c r="AE2313" s="22" t="n"/>
    </row>
    <row r="2314" ht="70" customHeight="1" s="380">
      <c r="A2314" s="126" t="n">
        <v>100</v>
      </c>
      <c r="B2314" s="390" t="n"/>
      <c r="C2314" s="390" t="inlineStr">
        <is>
          <t>Báo cáo theo Thông tư 121/2020/TT-BTC &gt;&gt; Báo báo tài chính &gt;&gt; Báo cáo tình hình biến động vốn chủ sở hữu</t>
        </is>
      </c>
      <c r="D2314" s="106" t="inlineStr">
        <is>
          <t>Mã báo cáo</t>
        </is>
      </c>
      <c r="E2314" s="107" t="inlineStr">
        <is>
          <t>Mã báo cáo</t>
        </is>
      </c>
      <c r="F2314" s="390" t="inlineStr">
        <is>
          <t>Data Explorer</t>
        </is>
      </c>
      <c r="G2314" s="390" t="inlineStr">
        <is>
          <t>Chiều</t>
        </is>
      </c>
      <c r="H2314" s="390" t="inlineStr">
        <is>
          <t>Dễ</t>
        </is>
      </c>
      <c r="I2314" s="390" t="inlineStr">
        <is>
          <t>Ngày, CTCK</t>
        </is>
      </c>
      <c r="J2314" s="401" t="inlineStr">
        <is>
          <t>SCMS</t>
        </is>
      </c>
      <c r="K2314" s="401" t="inlineStr">
        <is>
          <t>X</t>
        </is>
      </c>
      <c r="L2314" s="401" t="inlineStr">
        <is>
          <t>X</t>
        </is>
      </c>
      <c r="M2314" s="401" t="n"/>
      <c r="N2314" s="401" t="inlineStr">
        <is>
          <t>Done</t>
        </is>
      </c>
      <c r="O2314" s="401" t="n"/>
      <c r="P2314" s="22" t="n"/>
      <c r="S2314" s="22" t="n"/>
      <c r="U2314" s="16" t="n"/>
      <c r="V2314" s="22" t="n"/>
      <c r="W2314" s="22" t="n"/>
      <c r="X2314" s="22" t="n"/>
      <c r="Y2314" s="13" t="n"/>
      <c r="Z2314" s="22" t="n"/>
      <c r="AA2314" s="22" t="n"/>
      <c r="AB2314" s="22" t="n"/>
      <c r="AC2314" s="22" t="n"/>
      <c r="AD2314" s="22" t="n"/>
      <c r="AE2314" s="22" t="n"/>
    </row>
    <row r="2315" ht="70" customHeight="1" s="380">
      <c r="A2315" s="126" t="n">
        <v>100</v>
      </c>
      <c r="B2315" s="390" t="n"/>
      <c r="C2315" s="390" t="inlineStr">
        <is>
          <t>Báo cáo theo Thông tư 121/2020/TT-BTC &gt;&gt; Báo báo tài chính &gt;&gt; Báo cáo tình hình biến động vốn chủ sở hữu</t>
        </is>
      </c>
      <c r="D2315" s="106" t="inlineStr">
        <is>
          <t>Tên báo cáo</t>
        </is>
      </c>
      <c r="E2315" s="107" t="inlineStr">
        <is>
          <t>Tên báo cáo</t>
        </is>
      </c>
      <c r="F2315" s="390" t="inlineStr">
        <is>
          <t>Data Explorer</t>
        </is>
      </c>
      <c r="G2315" s="390" t="inlineStr">
        <is>
          <t>Chiều</t>
        </is>
      </c>
      <c r="H2315" s="390" t="inlineStr">
        <is>
          <t>Dễ</t>
        </is>
      </c>
      <c r="I2315" s="390" t="inlineStr">
        <is>
          <t>Ngày, CTCK</t>
        </is>
      </c>
      <c r="J2315" s="401" t="inlineStr">
        <is>
          <t>SCMS</t>
        </is>
      </c>
      <c r="K2315" s="401" t="inlineStr">
        <is>
          <t>X</t>
        </is>
      </c>
      <c r="L2315" s="401" t="inlineStr">
        <is>
          <t>X</t>
        </is>
      </c>
      <c r="M2315" s="401" t="n"/>
      <c r="N2315" s="401" t="inlineStr">
        <is>
          <t>Done</t>
        </is>
      </c>
      <c r="O2315" s="401" t="n"/>
      <c r="P2315" s="22" t="n"/>
      <c r="S2315" s="22" t="n"/>
      <c r="U2315" s="16" t="n"/>
      <c r="V2315" s="22" t="n"/>
      <c r="W2315" s="22" t="n"/>
      <c r="X2315" s="22" t="n"/>
      <c r="Y2315" s="38" t="n"/>
      <c r="Z2315" s="22" t="n"/>
      <c r="AA2315" s="22" t="n"/>
      <c r="AB2315" s="22" t="n"/>
      <c r="AC2315" s="22" t="n"/>
      <c r="AD2315" s="22" t="n"/>
      <c r="AE2315" s="22" t="n"/>
    </row>
    <row r="2316" ht="70" customHeight="1" s="380">
      <c r="A2316" s="126" t="n">
        <v>100</v>
      </c>
      <c r="B2316" s="390" t="n"/>
      <c r="C2316" s="390" t="inlineStr">
        <is>
          <t>Báo cáo theo Thông tư 121/2020/TT-BTC &gt;&gt; Báo báo tài chính &gt;&gt; Báo cáo tình hình biến động vốn chủ sở hữu</t>
        </is>
      </c>
      <c r="D2316" s="106" t="inlineStr">
        <is>
          <t>Mã sheet</t>
        </is>
      </c>
      <c r="E2316" s="106" t="inlineStr">
        <is>
          <t>Mã sheet</t>
        </is>
      </c>
      <c r="F2316" s="390" t="inlineStr">
        <is>
          <t>Data Explorer</t>
        </is>
      </c>
      <c r="G2316" s="390" t="inlineStr">
        <is>
          <t>Chiều</t>
        </is>
      </c>
      <c r="H2316" s="390" t="inlineStr">
        <is>
          <t>Dễ</t>
        </is>
      </c>
      <c r="I2316" s="390" t="inlineStr">
        <is>
          <t>Ngày, CTCK</t>
        </is>
      </c>
      <c r="J2316" s="401" t="inlineStr">
        <is>
          <t>SCMS</t>
        </is>
      </c>
      <c r="K2316" s="401" t="inlineStr">
        <is>
          <t>X</t>
        </is>
      </c>
      <c r="L2316" s="401" t="inlineStr">
        <is>
          <t>X</t>
        </is>
      </c>
      <c r="M2316" s="401" t="n"/>
      <c r="N2316" s="401" t="inlineStr">
        <is>
          <t>Done</t>
        </is>
      </c>
      <c r="O2316" s="401" t="n"/>
      <c r="P2316" s="22" t="n"/>
      <c r="Q2316" s="401" t="inlineStr">
        <is>
          <t>SCMS.BM_BAO_CAO
SCMS.BM_SHEET</t>
        </is>
      </c>
      <c r="R2316" s="401" t="inlineStr">
        <is>
          <t>bm.ID,
bm.MA_BAO_CAO,
bm.SU_DUNG,
s.BM_BAO_CAO_ID,
s.MA_SHEET,
s.TEN_SHEET,
s.SAP_XEP</t>
        </is>
      </c>
      <c r="S2316" s="22" t="n"/>
      <c r="T2316" s="389" t="inlineStr">
        <is>
          <t>-- Mã sheet / Tên sheet
-- TEN_SHEET: BCTHBDVCSH
SELECT bm.MA_BAO_CAO,
s.MA_SHEET,
s.TEN_SHEET
FROM SCMS.BM_BAO_CAO bm
JOIN SCMS.BM_SHEET s ON s.BM_BAO_CAO_ID = bm.ID
WHERE bm.MA_BAO_CAO LIKE 'BCTCRLCTCK'
AND s.TEN_SHEET = 'BCTHBDVCSH'  -- Check lại
AND bm.SU_DUNG = 1
ORDER BY bm.MA_BAO_CAO, s.SAP_XEP;</t>
        </is>
      </c>
      <c r="U2316" s="16" t="n"/>
      <c r="V2316" s="22" t="n"/>
      <c r="W2316" s="22" t="n"/>
      <c r="X2316" s="22" t="n"/>
      <c r="Y2316" s="13" t="n"/>
      <c r="Z2316" s="22" t="n"/>
      <c r="AA2316" s="22" t="n"/>
      <c r="AB2316" s="22" t="n"/>
      <c r="AC2316" s="22" t="n"/>
      <c r="AD2316" s="22" t="n"/>
      <c r="AE2316" s="22" t="n"/>
    </row>
    <row r="2317" ht="70" customHeight="1" s="380">
      <c r="A2317" s="126" t="n">
        <v>100</v>
      </c>
      <c r="B2317" s="390" t="n"/>
      <c r="C2317" s="390" t="inlineStr">
        <is>
          <t>Báo cáo theo Thông tư 121/2020/TT-BTC &gt;&gt; Báo báo tài chính &gt;&gt; Báo cáo tình hình biến động vốn chủ sở hữu</t>
        </is>
      </c>
      <c r="D2317" s="106" t="inlineStr">
        <is>
          <t>Tên sheet</t>
        </is>
      </c>
      <c r="E2317" s="106" t="inlineStr">
        <is>
          <t>Tên sheet</t>
        </is>
      </c>
      <c r="F2317" s="390" t="inlineStr">
        <is>
          <t>Data Explorer</t>
        </is>
      </c>
      <c r="G2317" s="390" t="inlineStr">
        <is>
          <t>Chiều</t>
        </is>
      </c>
      <c r="H2317" s="390" t="inlineStr">
        <is>
          <t>Dễ</t>
        </is>
      </c>
      <c r="I2317" s="390" t="inlineStr">
        <is>
          <t>Ngày, CTCK</t>
        </is>
      </c>
      <c r="J2317" s="401" t="inlineStr">
        <is>
          <t>SCMS</t>
        </is>
      </c>
      <c r="K2317" s="401" t="inlineStr">
        <is>
          <t>X</t>
        </is>
      </c>
      <c r="L2317" s="401" t="inlineStr">
        <is>
          <t>X</t>
        </is>
      </c>
      <c r="M2317" s="401" t="n"/>
      <c r="N2317" s="401" t="inlineStr">
        <is>
          <t>Done</t>
        </is>
      </c>
      <c r="O2317" s="401" t="n"/>
      <c r="P2317" s="22" t="n"/>
      <c r="S2317" s="22" t="n"/>
      <c r="U2317" s="16" t="n"/>
      <c r="V2317" s="22" t="n"/>
      <c r="W2317" s="22" t="n"/>
      <c r="X2317" s="22" t="n"/>
      <c r="Y2317" s="13" t="n"/>
      <c r="Z2317" s="22" t="n"/>
      <c r="AA2317" s="22" t="n"/>
      <c r="AB2317" s="22" t="n"/>
      <c r="AC2317" s="22" t="n"/>
      <c r="AD2317" s="22" t="n"/>
      <c r="AE2317" s="22" t="n"/>
    </row>
    <row r="2318" ht="70" customHeight="1" s="380">
      <c r="A2318" s="126" t="n">
        <v>100</v>
      </c>
      <c r="B2318" s="390" t="n"/>
      <c r="C2318" s="390" t="inlineStr">
        <is>
          <t>Báo cáo theo Thông tư 121/2020/TT-BTC &gt;&gt; Báo báo tài chính &gt;&gt; Báo cáo tình hình biến động vốn chủ sở hữu</t>
        </is>
      </c>
      <c r="D2318" s="106" t="inlineStr">
        <is>
          <t>Mã chỉ tiêu</t>
        </is>
      </c>
      <c r="E2318" s="107" t="inlineStr">
        <is>
          <t>Mã chỉ tiêu</t>
        </is>
      </c>
      <c r="F2318" s="390" t="inlineStr">
        <is>
          <t>Data Explorer</t>
        </is>
      </c>
      <c r="G2318" s="390" t="inlineStr">
        <is>
          <t>Chiều</t>
        </is>
      </c>
      <c r="H2318" s="390" t="inlineStr">
        <is>
          <t>Dễ</t>
        </is>
      </c>
      <c r="I2318" s="390" t="inlineStr">
        <is>
          <t>Ngày, CTCK</t>
        </is>
      </c>
      <c r="J2318" s="401" t="inlineStr">
        <is>
          <t>SCMS</t>
        </is>
      </c>
      <c r="K2318" s="401" t="inlineStr">
        <is>
          <t>X</t>
        </is>
      </c>
      <c r="L2318" s="401" t="inlineStr">
        <is>
          <t>X</t>
        </is>
      </c>
      <c r="M2318" s="401" t="n"/>
      <c r="N2318" s="401" t="inlineStr">
        <is>
          <t>Done</t>
        </is>
      </c>
      <c r="O2318" s="401" t="n"/>
      <c r="P2318" s="22" t="n"/>
      <c r="Q2318" s="401" t="inlineStr">
        <is>
          <t>SCMS.BM_BAO_CAO
SCMS.BM_SHEET
SCMS.BM_BAO_CAO_CT
SCMS.DM_CHI_TIEU</t>
        </is>
      </c>
      <c r="R2318" s="402" t="inlineStr">
        <is>
          <t>dct.ID,
dct.MA_CHI_TIEU,
dct.TEN_CHI_TIEU,
dct.SU_DUNG,
s.BM_BAO_CAO_ID,
s.MA_SHEET,
ct.BM_BAO_CAO_ID,
ct.DM_CHI_TIEU_ID,
ct.SU_DUNG,
bm.ID,
bm.MA_BAO_CAO,
bm.SU_DUNG</t>
        </is>
      </c>
      <c r="S2318" s="22" t="n"/>
      <c r="T2318" s="389" t="inlineStr">
        <is>
          <t>-- Mã chỉ tiêu / Tên chỉ tiêu
SELECT DISTINCT
    dct.MA_CHI_TIEU  AS ma_chi_tieu,
    dct.TEN_CHI_TIEU AS ten_chi_tieu
FROM SCMS.BM_BAO_CAO bm
JOIN SCMS.BM_SHEET s ON s.BM_BAO_CAO_ID = bm.ID
	AND s.TEN_SHEET = 'BCTHBDVCSH'
JOIN SCMS.BM_BAO_CAO_CT ct ON ct.BM_SHEET_ID = s.ID
	AND ct.SU_DUNG = 1
JOIN SCMS.DM_CHI_TIEU dct ON dct.ID = ct.DM_CHI_TIEU_ID
	AND dct.SU_DUNG = 1
WHERE bm.MA_BAO_CAO LIKE 'BCTCRLCTCK'
	AND bm.SU_DUNG = 1
ORDER BY dct.MA_CHI_TIEU;</t>
        </is>
      </c>
      <c r="U2318" s="16" t="n"/>
      <c r="V2318" s="22" t="n"/>
      <c r="W2318" s="22" t="n"/>
      <c r="X2318" s="22" t="n"/>
      <c r="Y2318" s="13" t="n"/>
      <c r="Z2318" s="22" t="n"/>
      <c r="AA2318" s="22" t="n"/>
      <c r="AB2318" s="22" t="n"/>
      <c r="AC2318" s="22" t="n"/>
      <c r="AD2318" s="22" t="n"/>
      <c r="AE2318" s="22" t="n"/>
    </row>
    <row r="2319" ht="70" customHeight="1" s="380">
      <c r="A2319" s="126" t="n">
        <v>100</v>
      </c>
      <c r="B2319" s="390" t="n"/>
      <c r="C2319" s="390" t="inlineStr">
        <is>
          <t>Báo cáo theo Thông tư 121/2020/TT-BTC &gt;&gt; Báo báo tài chính &gt;&gt; Báo cáo tình hình biến động vốn chủ sở hữu</t>
        </is>
      </c>
      <c r="D2319" s="106" t="inlineStr">
        <is>
          <t>Tên chỉ tiêu</t>
        </is>
      </c>
      <c r="E2319" s="107" t="inlineStr">
        <is>
          <t>Tên chỉ tiêu</t>
        </is>
      </c>
      <c r="F2319" s="390" t="inlineStr">
        <is>
          <t>Data Explorer</t>
        </is>
      </c>
      <c r="G2319" s="390" t="inlineStr">
        <is>
          <t>Chiều</t>
        </is>
      </c>
      <c r="H2319" s="390" t="inlineStr">
        <is>
          <t>Dễ</t>
        </is>
      </c>
      <c r="I2319" s="390" t="inlineStr">
        <is>
          <t>Ngày, CTCK</t>
        </is>
      </c>
      <c r="J2319" s="401" t="inlineStr">
        <is>
          <t>SCMS</t>
        </is>
      </c>
      <c r="K2319" s="401" t="inlineStr">
        <is>
          <t>X</t>
        </is>
      </c>
      <c r="L2319" s="401" t="inlineStr">
        <is>
          <t>X</t>
        </is>
      </c>
      <c r="M2319" s="401" t="n"/>
      <c r="N2319" s="401" t="inlineStr">
        <is>
          <t>Done</t>
        </is>
      </c>
      <c r="O2319" s="401" t="n"/>
      <c r="P2319" s="22" t="n"/>
      <c r="S2319" s="22" t="n"/>
      <c r="U2319" s="16" t="n"/>
      <c r="V2319" s="22" t="n"/>
      <c r="W2319" s="22" t="n"/>
      <c r="X2319" s="22" t="n"/>
      <c r="Y2319" s="13" t="n"/>
      <c r="Z2319" s="22" t="n"/>
      <c r="AA2319" s="22" t="n"/>
      <c r="AB2319" s="22" t="n"/>
      <c r="AC2319" s="22" t="n"/>
      <c r="AD2319" s="22" t="n"/>
      <c r="AE2319" s="22" t="n"/>
    </row>
    <row r="2320" ht="70" customHeight="1" s="380">
      <c r="A2320" s="126" t="n">
        <v>100</v>
      </c>
      <c r="B2320" s="390" t="n"/>
      <c r="C2320" s="390" t="inlineStr">
        <is>
          <t>Báo cáo theo Thông tư 121/2020/TT-BTC &gt;&gt; Báo báo tài chính &gt;&gt; Báo cáo tình hình biến động vốn chủ sở hữu</t>
        </is>
      </c>
      <c r="D2320" s="132" t="inlineStr">
        <is>
          <t xml:space="preserve"> I. Biến động vốn chủ sở hữu</t>
        </is>
      </c>
      <c r="E2320" s="132" t="inlineStr">
        <is>
          <t xml:space="preserve"> I. Biến động vốn chủ sở hữu</t>
        </is>
      </c>
      <c r="F2320" s="390" t="inlineStr">
        <is>
          <t>Data Explorer</t>
        </is>
      </c>
      <c r="G2320" s="390" t="inlineStr">
        <is>
          <t>Chỉ tiêu cơ sở</t>
        </is>
      </c>
      <c r="H2320" s="390" t="inlineStr">
        <is>
          <t>Dễ</t>
        </is>
      </c>
      <c r="I2320" s="390" t="inlineStr">
        <is>
          <t>Ngày, CTCK</t>
        </is>
      </c>
      <c r="J2320" s="401" t="inlineStr">
        <is>
          <t>SCMS</t>
        </is>
      </c>
      <c r="K2320" s="401" t="n"/>
      <c r="L2320" s="401" t="inlineStr">
        <is>
          <t>X</t>
        </is>
      </c>
      <c r="M2320" s="401" t="n"/>
      <c r="N2320" s="401" t="inlineStr">
        <is>
          <t>Done</t>
        </is>
      </c>
      <c r="O2320" s="401" t="n"/>
      <c r="P2320" s="22" t="n"/>
      <c r="Q2320" s="431" t="inlineStr">
        <is>
          <t>SCMS.BC_THANH_VIEN
SCMS.BM_BAO_CAO
SCMS.BC_BAO_CAO_GT
SCMS.BM_BAO_CAO_HANG
SCMS.BM_BAO_CAO_COT</t>
        </is>
      </c>
      <c r="R2320" s="431" t="inlineStr">
        <is>
          <t>bsc.TEN_COT,
bsc.BM_SHEET_ID,
bsh.ID,
bsh.MA_HANG,
gt.GIA_TRI,
gt.BC_THANH_VIEN_ID,
gt.BM_SHEET_HANG_ID,
bm.ID,
bm.MA_BAO_CAO,
btv.ID,
btv.BM_BAO_CAO_ID,
btv.TRANG_THAI,
btv.NGAY_SO_LIEU</t>
        </is>
      </c>
      <c r="S2320" s="22" t="n"/>
      <c r="T2320" s="432" t="inlineStr">
        <is>
          <t>-- CHỈ TIÊU
SELECT
	-- Thuyết minh
    MAX(CASE WHEN bsc.TEN_COT=N'Thuyết minh' AND bsh.MA_HANG = '1' THEN CAST(gt.GIA_TRI AS VARCHAR2(4000)) END) AS "I. Biến động vốn chủ sở hữu",
	MAX(CASE WHEN bsc.TEN_COT=N'Thuyết minh' AND bsh.MA_HANG = '2' THEN CAST(gt.GIA_TRI AS VARCHAR2(4000)) END) AS "1. Vốn đầu tư của chủ sở hữu",
	MAX(CASE WHEN bsc.TEN_COT=N'Thuyết minh' AND bsh.MA_HANG = '3' THEN CAST(gt.GIA_TRI AS VARCHAR2(4000)) END) AS "1.1. Cổ phiếu phổ thông có quyền biểu quyết",
	MAX(CASE WHEN bsc.TEN_COT=N'Thuyết minh' AND bsh.MA_HANG = '4' THEN CAST(gt.GIA_TRI AS VARCHAR2(4000)) END) AS "1.2. Cổ phiếu ưu đãi",
	MAX(CASE WHEN bsc.TEN_COT=N'Thuyết minh' AND bsh.MA_HANG = '5' THEN CAST(gt.GIA_TRI AS VARCHAR2(4000)) END) AS "1.3. Thặng dư vốn cổ phần",
	MAX(CASE WHEN bsc.TEN_COT=N'Thuyết minh' AND bsh.MA_HANG = '6' THEN CAST(gt.GIA_TRI AS VARCHAR2(4000)) END) AS "1.4.Quyền chọn chuyển đổi trái phiếu - Cấu phần vốn",
	MAX(CASE WHEN bsc.TEN_COT=N'Thuyết minh' AND bsh.MA_HANG = '7' THEN CAST(gt.GIA_TRI AS VARCHAR2(4000)) END) AS "1.5. Vốn khác của chủ sở hữu", 
	MAX(CASE WHEN bsc.TEN_COT=N'Thuyết minh' AND bsh.MA_HANG = '8' THEN CAST(gt.GIA_TRI AS VARCHAR2(4000)) END) AS "2. Cổ phiếu quỹ (*)",
	MAX(CASE WHEN bsc.TEN_COT=N'Thuyết minh' AND bsh.MA_HANG = '9' THEN CAST(gt.GIA_TRI AS VARCHAR2(4000)) END) AS "3. Quỹ dự trữ bổ sung vốn điều lệ",
	MAX(CASE WHEN bsc.TEN_COT=N'Thuyết minh' AND bsh.MA_HANG = '10' THEN CAST(gt.GIA_TRI AS VARCHAR2(4000)) END) AS "4. Quỹ dự phòng tài chính và rủi ro nghiệp vụ",
	MAX(CASE WHEN bsc.TEN_COT=N'Thuyết minh' AND bsh.MA_HANG = '11' THEN CAST(gt.GIA_TRI AS VARCHAR2(4000)) END) AS "5. Chênh lệch đánh giá lại tài sản theo giá trị hợp lý",
	MAX(CASE WHEN bsc.TEN_COT=N'Thuyết minh' AND bsh.MA_HANG = '12' THEN CAST(gt.GIA_TRI AS VARCHAR2(4000)) END) AS "6.Chênh lệch tỷ giá hối đoái",
	MAX(CASE WHEN bsc.TEN_COT=N'Thuyết minh' AND bsh.MA_HANG = '13' THEN CAST(gt.GIA_TRI AS VARCHAR2(4000)) END) AS "7. Các Quỹ khác thuộc vốn chủ sở hữu",
	MAX(CASE WHEN bsc.TEN_COT=N'Thuyết minh' AND bsh.MA_HANG = '14' THEN CAST(gt.GIA_TRI AS VARCHAR2(4000)) END) AS "8. Lợi nhuận chưa phân phối",
	MAX(CASE WHEN bsc.TEN_COT=N'Thuyết minh' AND bsh.MA_HANG = '15' THEN CAST(gt.GIA_TRI AS VARCHAR2(4000)) END) AS "8.1. Lợi nhuận sau thuế đã thực hiện",
	MAX(CASE WHEN bsc.TEN_COT=N'Thuyết minh' AND bsh.MA_HANG = '16' THEN CAST(gt.GIA_TRI AS VARCHAR2(4000)) END) AS "8.2. Lợi nhuận chưa thực hiện",
	MAX(CASE WHEN bsc.TEN_COT=N'Thuyết minh' AND bsh.MA_HANG = '17' THEN CAST(gt.GIA_TRI AS VARCHAR2(4000)) END) AS "Tổng cộng",
	MAX(CASE WHEN bsc.TEN_COT=N'Thuyết minh' AND bsh.MA_HANG = '18' THEN CAST(gt.GIA_TRI AS VARCHAR2(4000)) END) AS "II. Thu nhập toàn diện khác",
	MAX(CASE WHEN bsc.TEN_COT=N'Thuyết minh' AND bsh.MA_HANG = '19' THEN CAST(gt.GIA_TRI AS VARCHAR2(4000)) END) AS "1. Lãi/lỗ từ đánh giá lại các TSTC sẵn sàng để bán",
	MAX(CASE WHEN bsc.TEN_COT=N'Thuyết minh' AND bsh.MA_HANG = '20' THEN CAST(gt.GIA_TRI AS VARCHAR2(4000)) END) AS "2. Lãi, lỗ đánh giá lại TĐ theo mô hình giá trị hợp lý",
	MAX(CASE WHEN bsc.TEN_COT=N'Thuyết minh' AND bsh.MA_HANG = '21' THEN CAST(gt.GIA_TRI AS VARCHAR2(4000)) END) AS "3. Lãi, lỗ chênh lệch tỷ giá của hoạt động tại nước ngoài",
	MAX(CASE WHEN bsc.TEN_COT=N'Thuyết minh' AND bsh.MA_HANG = '22' THEN CAST(gt.GIA_TRI AS VARCHAR2(4000)) END) AS "4. Lãi, lỗ toàn diện khác",
	MAX(CASE WHEN bsc.TEN_COT=N'Thuyết minh' AND bsh.MA_HANG = '23' THEN CAST(gt.GIA_TRI AS VARCHAR2(4000)) END) AS "Tổng cộng",   
    -- Số dư đầu năm &gt;&gt; N-1
	MAX(CASE WHEN bsc.TEN_COT=N'N-1' AND bsc.MA_COT = '3' AND bsh.MA_HANG = '1' THEN CAST(gt.GIA_TRI AS VARCHAR2(4000)) END) AS "I. Biến động vốn chủ sở hữu",
	MAX(CASE WHEN bsc.TEN_COT=N'N-1' AND bsc.MA_COT = '3' AND bsh.MA_HANG = '2' THEN CAST(gt.GIA_TRI AS VARCHAR2(4000)) END) AS "1. Vốn đầu tư của chủ sở hữu",
	MAX(CASE WHEN bsc.TEN_COT=N'N-1' AND bsc.MA_COT = '3' AND bsh.MA_HANG = '3' THEN CAST(gt.GIA_TRI AS VARCHAR2(4000)) END) AS "1.1. Cổ phiếu phổ thông có quyền biểu quyết",
	MAX(CASE WHEN bsc.TEN_COT=N'N-1' AND bsc.MA_COT = '3' AND bsh.MA_HANG = '4' THEN CAST(gt.GIA_TRI AS VARCHAR2(4000)) END) AS "1.2. Cổ phiếu ưu đãi",
	MAX(CASE WHEN bsc.TEN_COT=N'N-1' AND bsc.MA_COT = '3' AND bsh.MA_HANG = '5' THEN CAST(gt.GIA_TRI AS VARCHAR2(4000)) END) AS "1.3. Thặng dư vốn cổ phần",
	MAX(CASE WHEN bsc.TEN_COT=N'N-1' AND bsc.MA_COT = '3' AND bsh.MA_HANG = '6' THEN CAST(gt.GIA_TRI AS VARCHAR2(4000)) END) AS "1.4.Quyền chọn chuyển đổi trái phiếu - Cấu phần vốn",
	MAX(CASE WHEN bsc.TEN_COT=N'N-1' AND bsc.MA_COT = '3' AND bsh.MA_HANG = '7' THEN CAST(gt.GIA_TRI AS VARCHAR2(4000)) END) AS "1.5. Vốn khác của chủ sở hữu", 
	MAX(CASE WHEN bsc.TEN_COT=N'N-1' AND bsc.MA_COT = '3' AND bsh.MA_HANG = '8' THEN CAST(gt.GIA_TRI AS VARCHAR2(4000)) END) AS "2. Cổ phiếu quỹ (*)",
	MAX(CASE WHEN bsc.TEN_COT=N'N-1' AND bsc.MA_COT = '3' AND bsh.MA_HANG = '9' THEN CAST(gt.GIA_TRI AS VARCHAR2(4000)) END) AS "3. Quỹ dự trữ bổ sung vốn điều lệ",
	MAX(CASE WHEN bsc.TEN_COT=N'N-1' AND bsc.MA_COT = '3' AND bsh.MA_HANG = '10' THEN CAST(gt.GIA_TRI AS VARCHAR2(4000)) END) AS "4. Quỹ dự phòng tài chính và rủi ro nghiệp vụ",
	MAX(CASE WHEN bsc.TEN_COT=N'N-1' AND bsc.MA_COT = '3' AND bsh.MA_HANG = '11' THEN CAST(gt.GIA_TRI AS VARCHAR2(4000)) END) AS "5. Chênh lệch đánh giá lại tài sản theo giá trị hợp lý",
	MAX(CASE WHEN bsc.TEN_COT=N'N-1' AND bsc.MA_COT = '3' AND bsh.MA_HANG = '12' THEN CAST(gt.GIA_TRI AS VARCHAR2(4000)) END) AS "6.Chênh lệch tỷ giá hối đoái",
	MAX(CASE WHEN bsc.TEN_COT=N'N-1' AND bsc.MA_COT = '3' AND bsh.MA_HANG = '13' THEN CAST(gt.GIA_TRI AS VARCHAR2(4000)) END) AS "7. Các Quỹ khác thuộc vốn chủ sở hữu",
	MAX(CASE WHEN bsc.TEN_COT=N'N-1' AND bsc.MA_COT = '3' AND bsh.MA_HANG = '14' THEN CAST(gt.GIA_TRI AS VARCHAR2(4000)) END) AS "8. Lợi nhuận chưa phân phối",
	MAX(CASE WHEN bsc.TEN_COT=N'N-1' AND bsc.MA_COT = '3' AND bsh.MA_HANG = '15' THEN CAST(gt.GIA_TRI AS VARCHAR2(4000)) END) AS "8.1. Lợi nhuận sau thuế đã thực hiện",
	MAX(CASE WHEN bsc.TEN_COT=N'N-1' AND bsc.MA_COT = '3' AND bsh.MA_HANG = '16' THEN CAST(gt.GIA_TRI AS VARCHAR2(4000)) END) AS "8.2. Lợi nhuận chưa thực hiện",
	MAX(CASE WHEN bsc.TEN_COT=N'N-1' AND bsc.MA_COT = '3' AND bsh.MA_HANG = '17' THEN CAST(gt.GIA_TRI AS VARCHAR2(4000)) END) AS "Tổng cộng",
	MAX(CASE WHEN bsc.TEN_COT=N'N-1' AND bsc.MA_COT = '3' AND bsh.MA_HANG = '18' THEN CAST(gt.GIA_TRI AS VARCHAR2(4000)) END) AS "II. Thu nhập toàn diện khác",
	MAX(CASE WHEN bsc.TEN_COT=N'N-1' AND bsc.MA_COT = '3' AND bsh.MA_HANG = '19' THEN CAST(gt.GIA_TRI AS VARCHAR2(4000)) END) AS "1. Lãi/lỗ từ đánh giá lại các TSTC sẵn sàng để bán",
	MAX(CASE WHEN bsc.TEN_COT=N'N-1' AND bsc.MA_COT = '3' AND bsh.MA_HANG = '20' THEN CAST(gt.GIA_TRI AS VARCHAR2(4000)) END) AS "2. Lãi, lỗ đánh giá lại TĐ theo mô hình giá trị hợp lý",
	MAX(CASE WHEN bsc.TEN_COT=N'N-1' AND bsc.MA_COT = '3' AND bsh.MA_HANG = '21' THEN CAST(gt.GIA_TRI AS VARCHAR2(4000)) END) AS "3. Lãi, lỗ chênh lệch tỷ giá của hoạt động tại nước ngoài",
	MAX(CASE WHEN bsc.TEN_COT=N'N-1' AND bsc.MA_COT = '3' AND bsh.MA_HANG = '22' THEN CAST(gt.GIA_TRI AS VARCHAR2(4000)) END) AS "4. Lãi, lỗ toàn diện khác",
	MAX(CASE WHEN bsc.TEN_COT=N'N-1' AND bsc.MA_COT = '3' AND bsh.MA_HANG = '23' THEN CAST(gt.GIA_TRI AS VARCHAR2(4000)) END) AS "Tổng cộng", 
	-- Số dư đầu năm &gt;&gt; N
	MAX(CASE WHEN bsc.TEN_COT=N'N' AND bsc.MA_COT = '4' AND bsh.MA_HANG = '1' THEN CAST(gt.GIA_TRI AS VARCHAR2(4000)) END) AS "I. Biến động vốn chủ sở hữu",
	MAX(CASE WHEN bsc.TEN_COT=N'N' AND bsc.MA_COT = '4' AND bsh.MA_HANG = '2' THEN CAST(gt.GIA_TRI AS VARCHAR2(4000)) END) AS "1. Vốn đầu tư của chủ sở hữu",
	MAX(CASE WHEN bsc.TEN_COT=N'N' AND bsc.MA_COT = '4' AND bsh.MA_HANG = '3' THEN CAST(gt.GIA_TRI AS VARCHAR2(4000)) END) AS "1.1. Cổ phiếu phổ thông có quyền biểu quyết",
	MAX(CASE WHEN bsc.TEN_COT=N'N' AND bsc.MA_COT = '4' AND bsh.MA_HANG = '4' THEN CAST(gt.GIA_TRI AS VARCHAR2(4000)) END) AS "1.2. Cổ phiếu ưu đãi",
	MAX(CASE WHEN bsc.TEN_COT=N'N' AND bsc.MA_COT = '4' AND bsh.MA_HANG = '5' THEN CAST(gt.GIA_TRI AS VARCHAR2(4000)) END) AS "1.3. Thặng dư vốn cổ phần",
	MAX(CASE WHEN bsc.TEN_COT=N'N' AND bsc.MA_COT = '4' AND bsh.MA_HANG = '6' THEN CAST(gt.GIA_TRI AS VARCHAR2(4000)) END) AS "1.4.Quyền chọn chuyển đổi trái phiếu - Cấu phần vốn",
	MAX(CASE WHEN bsc.TEN_COT=N'N' AND bsc.MA_COT = '4' AND bsh.MA_HANG = '7' THEN CAST(gt.GIA_TRI AS VARCHAR2(4000)) END) AS "1.5. Vốn khác của chủ sở hữu", 
	MAX(CASE WHEN bsc.TEN_COT=N'N' AND bsc.MA_COT = '4' AND bsh.MA_HANG = '8' THEN CAST(gt.GIA_TRI AS VARCHAR2(4000)) END) AS "2. Cổ phiếu quỹ (*)",
	MAX(CASE WHEN bsc.TEN_COT=N'N' AND bsc.MA_COT = '4' AND bsh.MA_HANG = '9' THEN CAST(gt.GIA_TRI AS VARCHAR2(4000)) END) AS "3. Quỹ dự trữ bổ sung vốn điều lệ",
	MAX(CASE WHEN bsc.TEN_COT=N'N' AND bsc.MA_COT = '4' AND bsh.MA_HANG = '10' THEN CAST(gt.GIA_TRI AS VARCHAR2(4000)) END) AS "4. Quỹ dự phòng tài chính và rủi ro nghiệp vụ",
	MAX(CASE WHEN bsc.TEN_COT=N'N' AND bsc.MA_COT = '4' AND bsh.MA_HANG = '11' THEN CAST(gt.GIA_TRI AS VARCHAR2(4000)) END) AS "5. Chênh lệch đánh giá lại tài sản theo giá trị hợp lý",
	MAX(CASE WHEN bsc.TEN_COT=N'N' AND bsc.MA_COT = '4' AND bsh.MA_HANG = '12' THEN CAST(gt.GIA_TRI AS VARCHAR2(4000)) END) AS "6.Chênh lệch tỷ giá hối đoái",
	MAX(CASE WHEN bsc.TEN_COT=N'N' AND bsc.MA_COT = '4' AND bsh.MA_HANG = '13' THEN CAST(gt.GIA_TRI AS VARCHAR2(4000)) END) AS "7. Các Quỹ khác thuộc vốn chủ sở hữu",
	MAX(CASE WHEN bsc.TEN_COT=N'N' AND bsc.MA_COT = '4' AND bsh.MA_HANG = '14' THEN CAST(gt.GIA_TRI AS VARCHAR2(4000)) END) AS "8. Lợi nhuận chưa phân phối",
	MAX(CASE WHEN bsc.TEN_COT=N'N' AND bsc.MA_COT = '4' AND bsh.MA_HANG = '15' THEN CAST(gt.GIA_TRI AS VARCHAR2(4000)) END) AS "8.1. Lợi nhuận sau thuế đã thực hiện",
	MAX(CASE WHEN bsc.TEN_COT=N'N' AND bsc.MA_COT = '4' AND bsh.MA_HANG = '16' THEN CAST(gt.GIA_TRI AS VARCHAR2(4000)) END) AS "8.2. Lợi nhuận chưa thực hiện",
	MAX(CASE WHEN bsc.TEN_COT=N'N' AND bsc.MA_COT = '4' AND bsh.MA_HANG = '17' THEN CAST(gt.GIA_TRI AS VARCHAR2(4000)) END) AS "Tổng cộng",
	MAX(CASE WHEN bsc.TEN_COT=N'N' AND bsc.MA_COT = '4' AND bsh.MA_HANG = '18' THEN CAST(gt.GIA_TRI AS VARCHAR2(4000)) END) AS "II. Thu nhập toàn diện khác",
	MAX(CASE WHEN bsc.TEN_COT=N'N' AND bsc.MA_COT = '4' AND bsh.MA_HANG = '19' THEN CAST(gt.GIA_TRI AS VARCHAR2(4000)) END) AS "1. Lãi/lỗ từ đánh giá lại các TSTC sẵn sàng để bán",
	MAX(CASE WHEN bsc.TEN_COT=N'N' AND bsc.MA_COT = '4' AND bsh.MA_HANG = '20' THEN CAST(gt.GIA_TRI AS VARCHAR2(4000)) END) AS "2. Lãi, lỗ đánh giá lại TĐ theo mô hình giá trị hợp lý",
	MAX(CASE WHEN bsc.TEN_COT=N'N' AND bsc.MA_COT = '4' AND bsh.MA_HANG = '21' THEN CAST(gt.GIA_TRI AS VARCHAR2(4000)) END) AS "3. Lãi, lỗ chênh lệch tỷ giá của hoạt động tại nước ngoài",
	MAX(CASE WHEN bsc.TEN_COT=N'N' AND bsc.MA_COT = '4' AND bsh.MA_HANG = '22' THEN CAST(gt.GIA_TRI AS VARCHAR2(4000)) END) AS "4. Lãi, lỗ toàn diện khác",
	MAX(CASE WHEN bsc.TEN_COT=N'N' AND bsc.MA_COT = '4' AND bsh.MA_HANG = '23' THEN CAST(gt.GIA_TRI AS VARCHAR2(4000)) END) AS "Tổng cộng",
	-- Số tăng/giảm &gt;&gt; N-1 &gt;&gt; Tăng
	MAX(CASE WHEN bsc.TEN_COT=N'Tăng' AND bsc.MA_COT = '5' AND bsh.MA_HANG = '1' THEN CAST(gt.GIA_TRI AS VARCHAR2(4000)) END) AS "I. Biến động vốn chủ sở hữu",
	MAX(CASE WHEN bsc.TEN_COT=N'Tăng' AND bsc.MA_COT = '5' AND bsh.MA_HANG = '2' THEN CAST(gt.GIA_TRI AS VARCHAR2(4000)) END) AS "1. Vốn đầu tư của chủ sở hữu",
	MAX(CASE WHEN bsc.TEN_COT=N'Tăng' AND bsc.MA_COT = '5' AND bsh.MA_HANG = '3' THEN CAST(gt.GIA_TRI AS VARCHAR2(4000)) END) AS "1.1. Cổ phiếu phổ thông có quyền biểu quyết",
	MAX(CASE WHEN bsc.TEN_COT=N'Tăng' AND bsc.MA_COT = '5' AND bsh.MA_HANG = '4' THEN CAST(gt.GIA_TRI AS VARCHAR2(4000)) END) AS "1.2. Cổ phiếu ưu đãi",
	MAX(CASE WHEN bsc.TEN_COT=N'Tăng' AND bsc.MA_COT = '5' AND bsh.MA_HANG = '5' THEN CAST(gt.GIA_TRI AS VARCHAR2(4000)) END) AS "1.3. Thặng dư vốn cổ phần",
	MAX(CASE WHEN bsc.TEN_COT=N'Tăng' AND bsc.MA_COT = '5' AND bsh.MA_HANG = '6' THEN CAST(gt.GIA_TRI AS VARCHAR2(4000)) END) AS "1.4.Quyền chọn chuyển đổi trái phiếu - Cấu phần vốn",
	MAX(CASE WHEN bsc.TEN_COT=N'Tăng' AND bsc.MA_COT = '5' AND bsh.MA_HANG = '7' THEN CAST(gt.GIA_TRI AS VARCHAR2(4000)) END) AS "1.5. Vốn khác của chủ sở hữu", 
	MAX(CASE WHEN bsc.TEN_COT=N'Tăng' AND bsc.MA_COT = '5' AND bsh.MA_HANG = '8' THEN CAST(gt.GIA_TRI AS VARCHAR2(4000)) END) AS "2. Cổ phiếu quỹ (*)",
	MAX(CASE WHEN bsc.TEN_COT=N'Tăng' AND bsc.MA_COT = '5' AND bsh.MA_HANG = '9' THEN CAST(gt.GIA_TRI AS VARCHAR2(4000)) END) AS "3. Quỹ dự trữ bổ sung vốn điều lệ",
	MAX(CASE WHEN bsc.TEN_COT=N'Tăng' AND bsc.MA_COT = '5' AND bsh.MA_HANG = '10' THEN CAST(gt.GIA_TRI AS VARCHAR2(4000)) END) AS "4. Quỹ dự phòng tài chính và rủi ro nghiệp vụ",
	MAX(CASE WHEN bsc.TEN_COT=N'Tăng' AND bsc.MA_COT = '5' AND bsh.MA_HANG = '11' THEN CAST(gt.GIA_TRI AS VARCHAR2(4000)) END) AS "5. Chênh lệch đánh giá lại tài sản theo giá trị hợp lý",
	MAX(CASE WHEN bsc.TEN_COT=N'Tăng' AND bsc.MA_COT = '5' AND bsh.MA_HANG = '12' THEN CAST(gt.GIA_TRI AS VARCHAR2(4000)) END) AS "6.Chênh lệch tỷ giá hối đoái",
	MAX(CASE WHEN bsc.TEN_COT=N'Tăng' AND bsc.MA_COT = '5' AND bsh.MA_HANG = '13' THEN CAST(gt.GIA_TRI AS VARCHAR2(4000)) END) AS "7. Các Quỹ khác thuộc vốn chủ sở hữu",
	MAX(CASE WHEN bsc.TEN_COT=N'Tăng' AND bsc.MA_COT = '5' AND bsh.MA_HANG = '14' THEN CAST(gt.GIA_TRI AS VARCHAR2(4000)) END) AS "8. Lợi nhuận chưa phân phối",
	MAX(CASE WHEN bsc.TEN_COT=N'Tăng' AND bsc.MA_COT = '5' AND bsh.MA_HANG = '15' THEN CAST(gt.GIA_TRI AS VARCHAR2(4000)) END) AS "8.1. Lợi nhuận sau thuế đã thực hiện",
	MAX(CASE WHEN bsc.TEN_COT=N'Tăng' AND bsc.MA_COT = '5' AND bsh.MA_HANG = '16' THEN CAST(gt.GIA_TRI AS VARCHAR2(4000)) END) AS "8.2. Lợi nhuận chưa thực hiện",
	MAX(CASE WHEN bsc.TEN_COT=N'Tăng' AND bsc.MA_COT = '5' AND bsh.MA_HANG = '17' THEN CAST(gt.GIA_TRI AS VARCHAR2(4000)) END) AS "Tổng cộng",
	MAX(CASE WHEN bsc.TEN_COT=N'Tăng' AND bsc.MA_COT = '5' AND bsh.MA_HANG = '18' THEN CAST(gt.GIA_TRI AS VARCHAR2(4000)) END) AS "II. Thu nhập toàn diện khác",
	MAX(CASE WHEN bsc.TEN_COT=N'Tăng' AND bsc.MA_COT = '5' AND bsh.MA_HANG = '19' THEN CAST(gt.GIA_TRI AS VARCHAR2(4000)) END) AS "1. Lãi/lỗ từ đánh giá lại các TSTC sẵn sàng để bán",
	MAX(CASE WHEN bsc.TEN_COT=N'Tăng' AND bsc.MA_COT = '5' AND bsh.MA_HANG = '20' THEN CAST(gt.GIA_TRI AS VARCHAR2(4000)) END) AS "2. Lãi, lỗ đánh giá lại TĐ theo mô hình giá trị hợp lý",
	MAX(CASE WHEN bsc.TEN_COT=N'Tăng' AND bsc.MA_COT = '5' AND bsh.MA_HANG = '21' THEN CAST(gt.GIA_TRI AS VARCHAR2(4000)) END) AS "3. Lãi, lỗ chênh lệch tỷ giá của hoạt động tại nước ngoài",
	MAX(CASE WHEN bsc.TEN_COT=N'Tăng' AND bsc.MA_COT = '5' AND bsh.MA_HANG = '22' THEN CAST(gt.GIA_TRI AS VARCHAR2(4000)) END) AS "4. Lãi, lỗ toàn diện khác",
	MAX(CASE WHEN bsc.TEN_COT=N'Tăng' AND bsc.MA_COT = '5' AND bsh.MA_HANG = '23' THEN CAST(gt.GIA_TRI AS VARCHAR2(4000)) END) AS "Tổng cộng",
	-- Số tăng/giảm &gt;&gt; N-1 &gt;&gt; Giảm
	MAX(CASE WHEN bsc.TEN_COT=N'Giảm' AND bsc.MA_COT = '6' AND bsh.MA_HANG = '1' THEN CAST(gt.GIA_TRI AS VARCHAR2(4000)) END) AS "I. Biến động vốn chủ sở hữu",
	MAX(CASE WHEN bsc.TEN_COT=N'Giảm' AND bsc.MA_COT = '6' AND bsh.MA_HANG = '2' THEN CAST(gt.GIA_TRI AS VARCHAR2(4000)) END) AS "1. Vốn đầu tư của chủ sở hữu",
	MAX(CASE WHEN bsc.TEN_COT=N'Giảm' AND bsc.MA_COT = '6' AND bsh.MA_HANG = '3' THEN CAST(gt.GIA_TRI AS VARCHAR2(4000)) END) AS "1.1. Cổ phiếu phổ thông có quyền biểu quyết",
	MAX(CASE WHEN bsc.TEN_COT=N'Giảm' AND bsc.MA_COT = '6' AND bsh.MA_HANG = '4' THEN CAST(gt.GIA_TRI AS VARCHAR2(4000)) END) AS "1.2. Cổ phiếu ưu đãi",
	MAX(CASE WHEN bsc.TEN_COT=N'Giảm' AND bsc.MA_COT = '6' AND bsh.MA_HANG = '5' THEN CAST(gt.GIA_TRI AS VARCHAR2(4000)) END) AS "1.3. Thặng dư vốn cổ phần",
	MAX(CASE WHEN bsc.TEN_COT=N'Giảm' AND bsc.MA_COT = '6' AND bsh.MA_HANG = '6' THEN CAST(gt.GIA_TRI AS VARCHAR2(4000)) END) AS "1.4.Quyền chọn chuyển đổi trái phiếu - Cấu phần vốn",
	MAX(CASE WHEN bsc.TEN_COT=N'Giảm' AND bsc.MA_COT = '6' AND bsh.MA_HANG = '7' THEN CAST(gt.GIA_TRI AS VARCHAR2(4000)) END) AS "1.5. Vốn khác của chủ sở hữu", 
	MAX(CASE WHEN bsc.TEN_COT=N'Giảm' AND bsc.MA_COT = '6' AND bsh.MA_HANG = '8' THEN CAST(gt.GIA_TRI AS VARCHAR2(4000)) END) AS "2. Cổ phiếu quỹ (*)",
	MAX(CASE WHEN bsc.TEN_COT=N'Giảm' AND bsc.MA_COT = '6' AND bsh.MA_HANG = '9' THEN CAST(gt.GIA_TRI AS VARCHAR2(4000)) END) AS "3. Quỹ dự trữ bổ sung vốn điều lệ",
	MAX(CASE WHEN bsc.TEN_COT=N'Giảm' AND bsc.MA_COT = '6' AND bsh.MA_HANG = '10' THEN CAST(gt.GIA_TRI AS VARCHAR2(4000)) END) AS "4. Quỹ dự phòng tài chính và rủi ro nghiệp vụ",
	MAX(CASE WHEN bsc.TEN_COT=N'Giảm' AND bsc.MA_COT = '6' AND bsh.MA_HANG = '11' THEN CAST(gt.GIA_TRI AS VARCHAR2(4000)) END) AS "5. Chênh lệch đánh giá lại tài sản theo giá trị hợp lý",
	MAX(CASE WHEN bsc.TEN_COT=N'Giảm' AND bsc.MA_COT = '6' AND bsh.MA_HANG = '12' THEN CAST(gt.GIA_TRI AS VARCHAR2(4000)) END) AS "6.Chênh lệch tỷ giá hối đoái",
	MAX(CASE WHEN bsc.TEN_COT=N'Giảm' AND bsc.MA_COT = '6' AND bsh.MA_HANG = '13' THEN CAST(gt.GIA_TRI AS VARCHAR2(4000)) END) AS "7. Các Quỹ khác thuộc vốn chủ sở hữu",
	MAX(CASE WHEN bsc.TEN_COT=N'Giảm' AND bsc.MA_COT = '6' AND bsh.MA_HANG = '14' THEN CAST(gt.GIA_TRI AS VARCHAR2(4000)) END) AS "8. Lợi nhuận chưa phân phối",
	MAX(CASE WHEN bsc.TEN_COT=N'Giảm' AND bsc.MA_COT = '6' AND bsh.MA_HANG = '15' THEN CAST(gt.GIA_TRI AS VARCHAR2(4000)) END) AS "8.1. Lợi nhuận sau thuế đã thực hiện",
	MAX(CASE WHEN bsc.TEN_COT=N'Giảm' AND bsc.MA_COT = '6' AND bsh.MA_HANG = '16' THEN CAST(gt.GIA_TRI AS VARCHAR2(4000)) END) AS "8.2. Lợi nhuận chưa thực hiện",
	MAX(CASE WHEN bsc.TEN_COT=N'Giảm' AND bsc.MA_COT = '6' AND bsh.MA_HANG = '17' THEN CAST(gt.GIA_TRI AS VARCHAR2(4000)) END) AS "Tổng cộng",
	MAX(CASE WHEN bsc.TEN_COT=N'Giảm' AND bsc.MA_COT = '6' AND bsh.MA_HANG = '18' THEN CAST(gt.GIA_TRI AS VARCHAR2(4000)) END) AS "II. Thu nhập toàn diện khác",
	MAX(CASE WHEN bsc.TEN_COT=N'Giảm' AND bsc.MA_COT = '6' AND bsh.MA_HANG = '19' THEN CAST(gt.GIA_TRI AS VARCHAR2(4000)) END) AS "1. Lãi/lỗ từ đánh giá lại các TSTC sẵn sàng để bán",
	MAX(CASE WHEN bsc.TEN_COT=N'Giảm' AND bsc.MA_COT = '6' AND bsh.MA_HANG = '20' THEN CAST(gt.GIA_TRI AS VARCHAR2(4000)) END) AS "2. Lãi, lỗ đánh giá lại TĐ theo mô hình giá trị hợp lý",
	MAX(CASE WHEN bsc.TEN_COT=N'Giảm' AND bsc.MA_COT = '6' AND bsh.MA_HANG = '21' THEN CAST(gt.GIA_TRI AS VARCHAR2(4000)) END) AS "3. Lãi, lỗ chênh lệch tỷ giá của hoạt động tại nước ngoài",
	MAX(CASE WHEN bsc.TEN_COT=N'Giảm' AND bsc.MA_COT = '6' AND bsh.MA_HANG = '22' THEN CAST(gt.GIA_TRI AS VARCHAR2(4000)) END) AS "4. Lãi, lỗ toàn diện khác",
	MAX(CASE WHEN bsc.TEN_COT=N'Giảm' AND bsc.MA_COT = '6' AND bsh.MA_HANG = '23' THEN CAST(gt.GIA_TRI AS VARCHAR2(4000)) END) AS "Tổng cộng",
	-- Số tăng/giảm &gt;&gt; N &gt;&gt; Tăng
	MAX(CASE WHEN bsc.TEN_COT=N'Tăng' AND bsc.MA_COT = '7' AND bsh.MA_HANG = '1' THEN CAST(gt.GIA_TRI AS VARCHAR2(4000)) END) AS "I. Biến động vốn chủ sở hữu",
	MAX(CASE WHEN bsc.TEN_COT=N'Tăng' AND bsc.MA_COT = '7' AND bsh.MA_HANG = '2' THEN CAST(gt.GIA_TRI AS VARCHAR2(4000)) END) AS "1. Vốn đầu tư của chủ sở hữu",
	MAX(CASE WHEN bsc.TEN_COT=N'Tăng' AND bsc.MA_COT = '7' AND bsh.MA_HANG = '3' THEN CAST(gt.GIA_TRI AS VARCHAR2(4000)) END) AS "1.1. Cổ phiếu phổ thông có quyền biểu quyết",
	MAX(CASE WHEN bsc.TEN_COT=N'Tăng' AND bsc.MA_COT = '7' AND bsh.MA_HANG = '4' THEN CAST(gt.GIA_TRI AS VARCHAR2(4000)) END) AS "1.2. Cổ phiếu ưu đãi",
	MAX(CASE WHEN bsc.TEN_COT=N'Tăng' AND bsc.MA_COT = '7' AND bsh.MA_HANG = '5' THEN CAST(gt.GIA_TRI AS VARCHAR2(4000)) END) AS "1.3. Thặng dư vốn cổ phần",
	MAX(CASE WHEN bsc.TEN_COT=N'Tăng' AND bsc.MA_COT = '7' AND bsh.MA_HANG = '6' THEN CAST(gt.GIA_TRI AS VARCHAR2(4000)) END) AS "1.4.Quyền chọn chuyển đổi trái phiếu - Cấu phần vốn",
	MAX(CASE WHEN bsc.TEN_COT=N'Tăng' AND bsc.MA_COT = '7' AND bsh.MA_HANG = '7' THEN CAST(gt.GIA_TRI AS VARCHAR2(4000)) END) AS "1.5. Vốn khác của chủ sở hữu", 
	MAX(CASE WHEN bsc.TEN_COT=N'Tăng' AND bsc.MA_COT = '7' AND bsh.MA_HANG = '8' THEN CAST(gt.GIA_TRI AS VARCHAR2(4000)) END) AS "2. Cổ phiếu quỹ (*)",
	MAX(CASE WHEN bsc.TEN_COT=N'Tăng' AND bsc.MA_COT = '7' AND bsh.MA_HANG = '9' THEN CAST(gt.GIA_TRI AS VARCHAR2(4000)) END) AS "3. Quỹ dự trữ bổ sung vốn điều lệ",
	MAX(CASE WHEN bsc.TEN_COT=N'Tăng' AND bsc.MA_COT = '7' AND bsh.MA_HANG = '10' THEN CAST(gt.GIA_TRI AS VARCHAR2(4000)) END) AS "4. Quỹ dự phòng tài chính và rủi ro nghiệp vụ",
	MAX(CASE WHEN bsc.TEN_COT=N'Tăng' AND bsc.MA_COT = '7' AND bsh.MA_HANG = '11' THEN CAST(gt.GIA_TRI AS VARCHAR2(4000)) END) AS "5. Chênh lệch đánh giá lại tài sản theo giá trị hợp lý",
	MAX(CASE WHEN bsc.TEN_COT=N'Tăng' AND bsc.MA_COT = '7' AND bsh.MA_HANG = '12' THEN CAST(gt.GIA_TRI AS VARCHAR2(4000)) END) AS "6.Chênh lệch tỷ giá hối đoái",
	MAX(CASE WHEN bsc.TEN_COT=N'Tăng' AND bsc.MA_COT = '7' AND bsh.MA_HANG = '13' THEN CAST(gt.GIA_TRI AS VARCHAR2(4000)) END) AS "7. Các Quỹ khác thuộc vốn chủ sở hữu",
	MAX(CASE WHEN bsc.TEN_COT=N'Tăng' AND bsc.MA_COT = '7' AND bsh.MA_HANG = '14' THEN CAST(gt.GIA_TRI AS VARCHAR2(4000)) END) AS "8. Lợi nhuận chưa phân phối",
	MAX(CASE WHEN bsc.TEN_COT=N'Tăng' AND bsc.MA_COT = '7' AND bsh.MA_HANG = '15' THEN CAST(gt.GIA_TRI AS VARCHAR2(4000)) END) AS "8.1. Lợi nhuận sau thuế đã thực hiện",
	MAX(CASE WHEN bsc.TEN_COT=N'Tăng' AND bsc.MA_COT = '7' AND bsh.MA_HANG = '16' THEN CAST(gt.GIA_TRI AS VARCHAR2(4000)) END) AS "8.2. Lợi nhuận chưa thực hiện",
	MAX(CASE WHEN bsc.TEN_COT=N'Tăng' AND bsc.MA_COT = '7' AND bsh.MA_HANG = '17' THEN CAST(gt.GIA_TRI AS VARCHAR2(4000)) END) AS "Tổng cộng",
	MAX(CASE WHEN bsc.TEN_COT=N'Tăng' AND bsc.MA_COT = '7' AND bsh.MA_HANG = '18' THEN CAST(gt.GIA_TRI AS VARCHAR2(4000)) END) AS "II. Thu nhập toàn diện khác",
	MAX(CASE WHEN bsc.TEN_COT=N'Tăng' AND bsc.MA_COT = '7' AND bsh.MA_HANG = '19' THEN CAST(gt.GIA_TRI AS VARCHAR2(4000)) END) AS "1. Lãi/lỗ từ đánh giá lại các TSTC sẵn sàng để bán",
	MAX(CASE WHEN bsc.TEN_COT=N'Tăng' AND bsc.MA_COT = '7' AND bsh.MA_HANG = '20' THEN CAST(gt.GIA_TRI AS VARCHAR2(4000)) END) AS "2. Lãi, lỗ đánh giá lại TĐ theo mô hình giá trị hợp lý",
	MAX(CASE WHEN bsc.TEN_COT=N'Tăng' AND bsc.MA_COT = '7' AND bsh.MA_HANG = '21' THEN CAST(gt.GIA_TRI AS VARCHAR2(4000)) END) AS "3. Lãi, lỗ chênh lệch tỷ giá của hoạt động tại nước ngoài",
	MAX(CASE WHEN bsc.TEN_COT=N'Tăng' AND bsc.MA_COT = '7' AND bsh.MA_HANG = '22' THEN CAST(gt.GIA_TRI AS VARCHAR2(4000)) END) AS "4. Lãi, lỗ toàn diện khác",
	MAX(CASE WHEN bsc.TEN_COT=N'Tăng' AND bsc.MA_COT = '7' AND bsh.MA_HANG = '23' THEN CAST(gt.GIA_TRI AS VARCHAR2(4000)) END) AS "Tổng cộng",
	-- Số tăng/giảm &gt;&gt; N &gt;&gt; Giảm
	MAX(CASE WHEN bsc.TEN_COT=N'Giảm' AND bsc.MA_COT = '8' AND bsh.MA_HANG = '1' THEN CAST(gt.GIA_TRI AS VARCHAR2(4000)) END) AS "I. Biến động vốn chủ sở hữu",
	MAX(CASE WHEN bsc.TEN_COT=N'Giảm' AND bsc.MA_COT = '8' AND bsh.MA_HANG = '2' THEN CAST(gt.GIA_TRI AS VARCHAR2(4000)) END) AS "1. Vốn đầu tư của chủ sở hữu",
	MAX(CASE WHEN bsc.TEN_COT=N'Giảm' AND bsc.MA_COT = '8' AND bsh.MA_HANG = '3' THEN CAST(gt.GIA_TRI AS VARCHAR2(4000)) END) AS "1.1. Cổ phiếu phổ thông có quyền biểu quyết",
	MAX(CASE WHEN bsc.TEN_COT=N'Giảm' AND bsc.MA_COT = '8' AND bsh.MA_HANG = '4' THEN CAST(gt.GIA_TRI AS VARCHAR2(4000)) END) AS "1.2. Cổ phiếu ưu đãi",
	MAX(CASE WHEN bsc.TEN_COT=N'Giảm' AND bsc.MA_COT = '8' AND bsh.MA_HANG = '5' THEN CAST(gt.GIA_TRI AS VARCHAR2(4000)) END) AS "1.3. Thặng dư vốn cổ phần",
	MAX(CASE WHEN bsc.TEN_COT=N'Giảm' AND bsc.MA_COT = '8' AND bsh.MA_HANG = '6' THEN CAST(gt.GIA_TRI AS VARCHAR2(4000)) END) AS "1.4.Quyền chọn chuyển đổi trái phiếu - Cấu phần vốn",
	MAX(CASE WHEN bsc.TEN_COT=N'Giảm' AND bsc.MA_COT = '8' AND bsh.MA_HANG = '7' THEN CAST(gt.GIA_TRI AS VARCHAR2(4000)) END) AS "1.5. Vốn khác của chủ sở hữu", 
	MAX(CASE WHEN bsc.TEN_COT=N'Giảm' AND bsc.MA_COT = '8' AND bsh.MA_HANG = '8' THEN CAST(gt.GIA_TRI AS VARCHAR2(4000)) END) AS "2. Cổ phiếu quỹ (*)",
	MAX(CASE WHEN bsc.TEN_COT=N'Giảm' AND bsc.MA_COT = '8' AND bsh.MA_HANG = '9' THEN CAST(gt.GIA_TRI AS VARCHAR2(4000)) END) AS "3. Quỹ dự trữ bổ sung vốn điều lệ",
	MAX(CASE WHEN bsc.TEN_COT=N'Giảm' AND bsc.MA_COT = '8' AND bsh.MA_HANG = '10' THEN CAST(gt.GIA_TRI AS VARCHAR2(4000)) END) AS "4. Quỹ dự phòng tài chính và rủi ro nghiệp vụ",
	MAX(CASE WHEN bsc.TEN_COT=N'Giảm' AND bsc.MA_COT = '8' AND bsh.MA_HANG = '11' THEN CAST(gt.GIA_TRI AS VARCHAR2(4000)) END) AS "5. Chênh lệch đánh giá lại tài sản theo giá trị hợp lý",
	MAX(CASE WHEN bsc.TEN_COT=N'Giảm' AND bsc.MA_COT = '8' AND bsh.MA_HANG = '12' THEN CAST(gt.GIA_TRI AS VARCHAR2(4000)) END) AS "6.Chênh lệch tỷ giá hối đoái",
	MAX(CASE WHEN bsc.TEN_COT=N'Giảm' AND bsc.MA_COT = '8' AND bsh.MA_HANG = '13' THEN CAST(gt.GIA_TRI AS VARCHAR2(4000)) END) AS "7. Các Quỹ khác thuộc vốn chủ sở hữu",
	MAX(CASE WHEN bsc.TEN_COT=N'Giảm' AND bsc.MA_COT = '8' AND bsh.MA_HANG = '14' THEN CAST(gt.GIA_TRI AS VARCHAR2(4000)) END) AS "8. Lợi nhuận chưa phân phối",
	MAX(CASE WHEN bsc.TEN_COT=N'Giảm' AND bsc.MA_COT = '8' AND bsh.MA_HANG = '15' THEN CAST(gt.GIA_TRI AS VARCHAR2(4000)) END) AS "8.1. Lợi nhuận sau thuế đã thực hiện",
	MAX(CASE WHEN bsc.TEN_COT=N'Giảm' AND bsc.MA_COT = '8' AND bsh.MA_HANG = '16' THEN CAST(gt.GIA_TRI AS VARCHAR2(4000)) END) AS "8.2. Lợi nhuận chưa thực hiện",
	MAX(CASE WHEN bsc.TEN_COT=N'Giảm' AND bsc.MA_COT = '8' AND bsh.MA_HANG = '17' THEN CAST(gt.GIA_TRI AS VARCHAR2(4000)) END) AS "Tổng cộng",
	MAX(CASE WHEN bsc.TEN_COT=N'Giảm' AND bsc.MA_COT = '8' AND bsh.MA_HANG = '18' THEN CAST(gt.GIA_TRI AS VARCHAR2(4000)) END) AS "II. Thu nhập toàn diện khác",
	MAX(CASE WHEN bsc.TEN_COT=N'Giảm' AND bsc.MA_COT = '8' AND bsh.MA_HANG = '19' THEN CAST(gt.GIA_TRI AS VARCHAR2(4000)) END) AS "1. Lãi/lỗ từ đánh giá lại các TSTC sẵn sàng để bán",
	MAX(CASE WHEN bsc.TEN_COT=N'Giảm' AND bsc.MA_COT = '8' AND bsh.MA_HANG = '20' THEN CAST(gt.GIA_TRI AS VARCHAR2(4000)) END) AS "2. Lãi, lỗ đánh giá lại TĐ theo mô hình giá trị hợp lý",
	MAX(CASE WHEN bsc.TEN_COT=N'Giảm' AND bsc.MA_COT = '8' AND bsh.MA_HANG = '21' THEN CAST(gt.GIA_TRI AS VARCHAR2(4000)) END) AS "3. Lãi, lỗ chênh lệch tỷ giá của hoạt động tại nước ngoài",
	MAX(CASE WHEN bsc.TEN_COT=N'Giảm' AND bsc.MA_COT = '8' AND bsh.MA_HANG = '22' THEN CAST(gt.GIA_TRI AS VARCHAR2(4000)) END) AS "4. Lãi, lỗ toàn diện khác",
	MAX(CASE WHEN bsc.TEN_COT=N'Giảm' AND bsc.MA_COT = '8' AND bsh.MA_HANG = '23' THEN CAST(gt.GIA_TRI AS VARCHAR2(4000)) END) AS "Tổng cộng",
	-- Số dư cuối năm &gt;&gt; N-1
	MAX(CASE WHEN bsc.TEN_COT=N'N-1' AND bsc.MA_COT = '9' AND bsh.MA_HANG = '1' THEN CAST(gt.GIA_TRI AS VARCHAR2(4000)) END) AS "I. Biến động vốn chủ sở hữu",
	MAX(CASE WHEN bsc.TEN_COT=N'N-1' AND bsc.MA_COT = '9' AND bsh.MA_HANG = '2' THEN CAST(gt.GIA_TRI AS VARCHAR2(4000)) END) AS "1. Vốn đầu tư của chủ sở hữu",
	MAX(CASE WHEN bsc.TEN_COT=N'N-1' AND bsc.MA_COT = '9' AND bsh.MA_HANG = '3' THEN CAST(gt.GIA_TRI AS VARCHAR2(4000)) END) AS "1.1. Cổ phiếu phổ thông có quyền biểu quyết",
	MAX(CASE WHEN bsc.TEN_COT=N'N-1' AND bsc.MA_COT = '9' AND bsh.MA_HANG = '4' THEN CAST(gt.GIA_TRI AS VARCHAR2(4000)) END) AS "1.2. Cổ phiếu ưu đãi",
	MAX(CASE WHEN bsc.TEN_COT=N'N-1' AND bsc.MA_COT = '9' AND bsh.MA_HANG = '5' THEN CAST(gt.GIA_TRI AS VARCHAR2(4000)) END) AS "1.3. Thặng dư vốn cổ phần",
	MAX(CASE WHEN bsc.TEN_COT=N'N-1' AND bsc.MA_COT = '9' AND bsh.MA_HANG = '6' THEN CAST(gt.GIA_TRI AS VARCHAR2(4000)) END) AS "1.4.Quyền chọn chuyển đổi trái phiếu - Cấu phần vốn",
	MAX(CASE WHEN bsc.TEN_COT=N'N-1' AND bsc.MA_COT = '9' AND bsh.MA_HANG = '7' THEN CAST(gt.GIA_TRI AS VARCHAR2(4000)) END) AS "1.5. Vốn khác của chủ sở hữu", 
	MAX(CASE WHEN bsc.TEN_COT=N'N-1' AND bsc.MA_COT = '9' AND bsh.MA_HANG = '8' THEN CAST(gt.GIA_TRI AS VARCHAR2(4000)) END) AS "2. Cổ phiếu quỹ (*)",
	MAX(CASE WHEN bsc.TEN_COT=N'N-1' AND bsc.MA_COT = '9' AND bsh.MA_HANG = '9' THEN CAST(gt.GIA_TRI AS VARCHAR2(4000)) END) AS "3. Quỹ dự trữ bổ sung vốn điều lệ",
	MAX(CASE WHEN bsc.TEN_COT=N'N-1' AND bsc.MA_COT = '9' AND bsh.MA_HANG = '10' THEN CAST(gt.GIA_TRI AS VARCHAR2(4000)) END) AS "4. Quỹ dự phòng tài chính và rủi ro nghiệp vụ",
	MAX(CASE WHEN bsc.TEN_COT=N'N-1' AND bsc.MA_COT = '9' AND bsh.MA_HANG = '11' THEN CAST(gt.GIA_TRI AS VARCHAR2(4000)) END) AS "5. Chênh lệch đánh giá lại tài sản theo giá trị hợp lý",
	MAX(CASE WHEN bsc.TEN_COT=N'N-1' AND bsc.MA_COT = '9' AND bsh.MA_HANG = '12' THEN CAST(gt.GIA_TRI AS VARCHAR2(4000)) END) AS "6.Chênh lệch tỷ giá hối đoái",
	MAX(CASE WHEN bsc.TEN_COT=N'N-1' AND bsc.MA_COT = '9' AND bsh.MA_HANG = '13' THEN CAST(gt.GIA_TRI AS VARCHAR2(4000)) END) AS "7. Các Quỹ khác thuộc vốn chủ sở hữu",
	MAX(CASE WHEN bsc.TEN_COT=N'N-1' AND bsc.MA_COT = '9' AND bsh.MA_HANG = '14' THEN CAST(gt.GIA_TRI AS VARCHAR2(4000)) END) AS "8. Lợi nhuận chưa phân phối",
	MAX(CASE WHEN bsc.TEN_COT=N'N-1' AND bsc.MA_COT = '9' AND bsh.MA_HANG = '15' THEN CAST(gt.GIA_TRI AS VARCHAR2(4000)) END) AS "8.1. Lợi nhuận sau thuế đã thực hiện",
	MAX(CASE WHEN bsc.TEN_COT=N'N-1' AND bsc.MA_COT = '9' AND bsh.MA_HANG = '16' THEN CAST(gt.GIA_TRI AS VARCHAR2(4000)) END) AS "8.2. Lợi nhuận chưa thực hiện",
	MAX(CASE WHEN bsc.TEN_COT=N'N-1' AND bsc.MA_COT = '9' AND bsh.MA_HANG = '17' THEN CAST(gt.GIA_TRI AS VARCHAR2(4000)) END) AS "Tổng cộng",
	MAX(CASE WHEN bsc.TEN_COT=N'N-1' AND bsc.MA_COT = '9' AND bsh.MA_HANG = '18' THEN CAST(gt.GIA_TRI AS VARCHAR2(4000)) END) AS "II. Thu nhập toàn diện khác",
	MAX(CASE WHEN bsc.TEN_COT=N'N-1' AND bsc.MA_COT = '9' AND bsh.MA_HANG = '19' THEN CAST(gt.GIA_TRI AS VARCHAR2(4000)) END) AS "1. Lãi/lỗ từ đánh giá lại các TSTC sẵn sàng để bán",
	MAX(CASE WHEN bsc.TEN_COT=N'N-1' AND bsc.MA_COT = '9' AND bsh.MA_HANG = '20' THEN CAST(gt.GIA_TRI AS VARCHAR2(4000)) END) AS "2. Lãi, lỗ đánh giá lại TĐ theo mô hình giá trị hợp lý",
	MAX(CASE WHEN bsc.TEN_COT=N'N-1' AND bsc.MA_COT = '9' AND bsh.MA_HANG = '21' THEN CAST(gt.GIA_TRI AS VARCHAR2(4000)) END) AS "3. Lãi, lỗ chênh lệch tỷ giá của hoạt động tại nước ngoài",
	MAX(CASE WHEN bsc.TEN_COT=N'N-1' AND bsc.MA_COT = '9' AND bsh.MA_HANG = '22' THEN CAST(gt.GIA_TRI AS VARCHAR2(4000)) END) AS "4. Lãi, lỗ toàn diện khác",
	MAX(CASE WHEN bsc.TEN_COT=N'N-1' AND bsc.MA_COT = '9' AND bsh.MA_HANG = '23' THEN CAST(gt.GIA_TRI AS VARCHAR2(4000)) END) AS "Tổng cộng",
	-- Số dư cuối năm &gt;&gt; N
	MAX(CASE WHEN bsc.TEN_COT=N'N' AND bsc.MA_COT = '10' AND bsh.MA_HANG = '1' THEN CAST(gt.GIA_TRI AS VARCHAR2(4000)) END) AS "I. Biến động vốn chủ sở hữu",
	MAX(CASE WHEN bsc.TEN_COT=N'N' AND bsc.MA_COT = '10' AND bsh.MA_HANG = '2' THEN CAST(gt.GIA_TRI AS VARCHAR2(4000)) END) AS "1. Vốn đầu tư của chủ sở hữu",
	MAX(CASE WHEN bsc.TEN_COT=N'N' AND bsc.MA_COT = '10' AND bsh.MA_HANG = '3' THEN CAST(gt.GIA_TRI AS VARCHAR2(4000)) END) AS "1.1. Cổ phiếu phổ thông có quyền biểu quyết",
	MAX(CASE WHEN bsc.TEN_COT=N'N' AND bsc.MA_COT = '10' AND bsh.MA_HANG = '4' THEN CAST(gt.GIA_TRI AS VARCHAR2(4000)) END) AS "1.2. Cổ phiếu ưu đãi",
	MAX(CASE WHEN bsc.TEN_COT=N'N' AND bsc.MA_COT = '10' AND bsh.MA_HANG = '5' THEN CAST(gt.GIA_TRI AS VARCHAR2(4000)) END) AS "1.3. Thặng dư vốn cổ phần",
	MAX(CASE WHEN bsc.TEN_COT=N'N' AND bsc.MA_COT = '10' AND bsh.MA_HANG = '6' THEN CAST(gt.GIA_TRI AS VARCHAR2(4000)) END) AS "1.4.Quyền chọn chuyển đổi trái phiếu - Cấu phần vốn",
	MAX(CASE WHEN bsc.TEN_COT=N'N' AND bsc.MA_COT = '10' AND bsh.MA_HANG = '7' THEN CAST(gt.GIA_TRI AS VARCHAR2(4000)) END) AS "1.5. Vốn khác của chủ sở hữu", 
	MAX(CASE WHEN bsc.TEN_COT=N'N' AND bsc.MA_COT = '10' AND bsh.MA_HANG = '8' THEN CAST(gt.GIA_TRI AS VARCHAR2(4000)) END) AS "2. Cổ phiếu quỹ (*)",
	MAX(CASE WHEN bsc.TEN_COT=N'N' AND bsc.MA_COT = '10' AND bsh.MA_HANG = '9' THEN CAST(gt.GIA_TRI AS VARCHAR2(4000)) END) AS "3. Quỹ dự trữ bổ sung vốn điều lệ",
	MAX(CASE WHEN bsc.TEN_COT=N'N' AND bsc.MA_COT = '10' AND bsh.MA_HANG = '10' THEN CAST(gt.GIA_TRI AS VARCHAR2(4000)) END) AS "4. Quỹ dự phòng tài chính và rủi ro nghiệp vụ",
	MAX(CASE WHEN bsc.TEN_COT=N'N' AND bsc.MA_COT = '10' AND bsh.MA_HANG = '11' THEN CAST(gt.GIA_TRI AS VARCHAR2(4000)) END) AS "5. Chênh lệch đánh giá lại tài sản theo giá trị hợp lý",
	MAX(CASE WHEN bsc.TEN_COT=N'N' AND bsc.MA_COT = '10' AND bsh.MA_HANG = '12' THEN CAST(gt.GIA_TRI AS VARCHAR2(4000)) END) AS "6.Chênh lệch tỷ giá hối đoái",
	MAX(CASE WHEN bsc.TEN_COT=N'N' AND bsc.MA_COT = '10' AND bsh.MA_HANG = '13' THEN CAST(gt.GIA_TRI AS VARCHAR2(4000)) END) AS "7. Các Quỹ khác thuộc vốn chủ sở hữu",
	MAX(CASE WHEN bsc.TEN_COT=N'N' AND bsc.MA_COT = '10' AND bsh.MA_HANG = '14' THEN CAST(gt.GIA_TRI AS VARCHAR2(4000)) END) AS "8. Lợi nhuận chưa phân phối",
	MAX(CASE WHEN bsc.TEN_COT=N'N' AND bsc.MA_COT = '10' AND bsh.MA_HANG = '15' THEN CAST(gt.GIA_TRI AS VARCHAR2(4000)) END) AS "8.1. Lợi nhuận sau thuế đã thực hiện",
	MAX(CASE WHEN bsc.TEN_COT=N'N' AND bsc.MA_COT = '10' AND bsh.MA_HANG = '16' THEN CAST(gt.GIA_TRI AS VARCHAR2(4000)) END) AS "8.2. Lợi nhuận chưa thực hiện",
	MAX(CASE WHEN bsc.TEN_COT=N'N' AND bsc.MA_COT = '10' AND bsh.MA_HANG = '17' THEN CAST(gt.GIA_TRI AS VARCHAR2(4000)) END) AS "Tổng cộng",
	MAX(CASE WHEN bsc.TEN_COT=N'N' AND bsc.MA_COT = '10' AND bsh.MA_HANG = '18</t>
        </is>
      </c>
      <c r="U2320" s="16" t="n"/>
      <c r="V2320" s="22" t="n"/>
      <c r="W2320" s="22" t="n"/>
      <c r="X2320" s="22" t="n"/>
      <c r="Y2320" s="13" t="n"/>
      <c r="Z2320" s="22" t="n"/>
      <c r="AA2320" s="22" t="n"/>
      <c r="AB2320" s="22" t="n"/>
      <c r="AC2320" s="22" t="n"/>
      <c r="AD2320" s="22" t="n"/>
      <c r="AE2320" s="22" t="n"/>
    </row>
    <row r="2321" ht="70" customHeight="1" s="380">
      <c r="A2321" s="126" t="n">
        <v>100</v>
      </c>
      <c r="B2321" s="390" t="n"/>
      <c r="C2321" s="390" t="inlineStr">
        <is>
          <t>Báo cáo theo Thông tư 121/2020/TT-BTC &gt;&gt; Báo báo tài chính &gt;&gt; Báo cáo tình hình biến động vốn chủ sở hữu</t>
        </is>
      </c>
      <c r="D2321" s="390" t="inlineStr">
        <is>
          <t>1. Vốn đầu tư của chủ sở hữu</t>
        </is>
      </c>
      <c r="E2321" s="390" t="inlineStr">
        <is>
          <t>1. Vốn đầu tư của chủ sở hữu</t>
        </is>
      </c>
      <c r="F2321" s="390" t="inlineStr">
        <is>
          <t>Data Explorer</t>
        </is>
      </c>
      <c r="G2321" s="390" t="inlineStr">
        <is>
          <t>Chỉ tiêu cơ sở</t>
        </is>
      </c>
      <c r="H2321" s="390" t="inlineStr">
        <is>
          <t>Dễ</t>
        </is>
      </c>
      <c r="I2321" s="390" t="inlineStr">
        <is>
          <t>Ngày, CTCK</t>
        </is>
      </c>
      <c r="J2321" s="401" t="inlineStr">
        <is>
          <t>SCMS</t>
        </is>
      </c>
      <c r="K2321" s="401" t="n"/>
      <c r="L2321" s="401" t="inlineStr">
        <is>
          <t>X</t>
        </is>
      </c>
      <c r="M2321" s="401" t="n"/>
      <c r="N2321" s="401" t="inlineStr">
        <is>
          <t>Done</t>
        </is>
      </c>
      <c r="O2321" s="401" t="n"/>
      <c r="P2321" s="22" t="n"/>
      <c r="S2321" s="22" t="n"/>
      <c r="U2321" s="16" t="n"/>
      <c r="V2321" s="22" t="n"/>
      <c r="W2321" s="22" t="n"/>
      <c r="X2321" s="22" t="n"/>
      <c r="Y2321" s="13" t="n"/>
      <c r="Z2321" s="22" t="n"/>
      <c r="AA2321" s="22" t="n"/>
      <c r="AB2321" s="22" t="n"/>
      <c r="AC2321" s="22" t="n"/>
      <c r="AD2321" s="22" t="n"/>
      <c r="AE2321" s="22" t="n"/>
    </row>
    <row r="2322" ht="70" customHeight="1" s="380">
      <c r="A2322" s="126" t="n">
        <v>100</v>
      </c>
      <c r="B2322" s="390" t="n"/>
      <c r="C2322" s="390" t="inlineStr">
        <is>
          <t>Báo cáo theo Thông tư 121/2020/TT-BTC &gt;&gt; Báo báo tài chính &gt;&gt; Báo cáo tình hình biến động vốn chủ sở hữu</t>
        </is>
      </c>
      <c r="D2322" s="390" t="inlineStr">
        <is>
          <t>1.1. Cổ phiếu phổ thông có quyền biểu quyết</t>
        </is>
      </c>
      <c r="E2322" s="390" t="inlineStr">
        <is>
          <t>1.1. Cổ phiếu phổ thông có quyền biểu quyết</t>
        </is>
      </c>
      <c r="F2322" s="390" t="inlineStr">
        <is>
          <t>Data Explorer</t>
        </is>
      </c>
      <c r="G2322" s="390" t="inlineStr">
        <is>
          <t>Chỉ tiêu cơ sở</t>
        </is>
      </c>
      <c r="H2322" s="390" t="inlineStr">
        <is>
          <t>Dễ</t>
        </is>
      </c>
      <c r="I2322" s="390" t="inlineStr">
        <is>
          <t>Ngày, CTCK</t>
        </is>
      </c>
      <c r="J2322" s="401" t="inlineStr">
        <is>
          <t>SCMS</t>
        </is>
      </c>
      <c r="K2322" s="401" t="n"/>
      <c r="L2322" s="401" t="inlineStr">
        <is>
          <t>X</t>
        </is>
      </c>
      <c r="M2322" s="401" t="n"/>
      <c r="N2322" s="401" t="inlineStr">
        <is>
          <t>Done</t>
        </is>
      </c>
      <c r="O2322" s="401" t="n"/>
      <c r="P2322" s="22" t="n"/>
      <c r="S2322" s="22" t="n"/>
      <c r="U2322" s="16" t="n"/>
      <c r="V2322" s="22" t="n"/>
      <c r="W2322" s="22" t="n"/>
      <c r="X2322" s="22" t="n"/>
      <c r="Y2322" s="13" t="n"/>
      <c r="Z2322" s="22" t="n"/>
      <c r="AA2322" s="22" t="n"/>
      <c r="AB2322" s="22" t="n"/>
      <c r="AC2322" s="22" t="n"/>
      <c r="AD2322" s="22" t="n"/>
      <c r="AE2322" s="22" t="n"/>
    </row>
    <row r="2323" ht="70" customHeight="1" s="380">
      <c r="A2323" s="126" t="n">
        <v>100</v>
      </c>
      <c r="B2323" s="390" t="n"/>
      <c r="C2323" s="390" t="inlineStr">
        <is>
          <t>Báo cáo theo Thông tư 121/2020/TT-BTC &gt;&gt; Báo báo tài chính &gt;&gt; Báo cáo tình hình biến động vốn chủ sở hữu</t>
        </is>
      </c>
      <c r="D2323" s="390" t="inlineStr">
        <is>
          <t>1.2. Cổ phiếu ưu đãi</t>
        </is>
      </c>
      <c r="E2323" s="390" t="inlineStr">
        <is>
          <t>1.2. Cổ phiếu ưu đãi</t>
        </is>
      </c>
      <c r="F2323" s="390" t="inlineStr">
        <is>
          <t>Data Explorer</t>
        </is>
      </c>
      <c r="G2323" s="390" t="inlineStr">
        <is>
          <t>Chỉ tiêu cơ sở</t>
        </is>
      </c>
      <c r="H2323" s="390" t="inlineStr">
        <is>
          <t>Dễ</t>
        </is>
      </c>
      <c r="I2323" s="390" t="inlineStr">
        <is>
          <t>Ngày, CTCK</t>
        </is>
      </c>
      <c r="J2323" s="401" t="inlineStr">
        <is>
          <t>SCMS</t>
        </is>
      </c>
      <c r="K2323" s="401" t="n"/>
      <c r="L2323" s="401" t="inlineStr">
        <is>
          <t>X</t>
        </is>
      </c>
      <c r="M2323" s="401" t="n"/>
      <c r="N2323" s="401" t="inlineStr">
        <is>
          <t>Done</t>
        </is>
      </c>
      <c r="O2323" s="401" t="n"/>
      <c r="P2323" s="22" t="n"/>
      <c r="S2323" s="22" t="n"/>
      <c r="U2323" s="16" t="n"/>
      <c r="V2323" s="22" t="n"/>
      <c r="W2323" s="22" t="n"/>
      <c r="X2323" s="22" t="n"/>
      <c r="Y2323" s="14" t="n"/>
      <c r="Z2323" s="22" t="n"/>
      <c r="AA2323" s="22" t="n"/>
      <c r="AB2323" s="22" t="n"/>
      <c r="AC2323" s="22" t="n"/>
      <c r="AD2323" s="22" t="n"/>
      <c r="AE2323" s="22" t="n"/>
    </row>
    <row r="2324" ht="70" customHeight="1" s="380">
      <c r="A2324" s="126" t="n">
        <v>100</v>
      </c>
      <c r="B2324" s="390" t="n"/>
      <c r="C2324" s="390" t="inlineStr">
        <is>
          <t>Báo cáo theo Thông tư 121/2020/TT-BTC &gt;&gt; Báo báo tài chính &gt;&gt; Báo cáo tình hình biến động vốn chủ sở hữu</t>
        </is>
      </c>
      <c r="D2324" s="390" t="inlineStr">
        <is>
          <t xml:space="preserve">1.3. Thặng dư vốn cổ phần </t>
        </is>
      </c>
      <c r="E2324" s="390" t="inlineStr">
        <is>
          <t xml:space="preserve">1.3. Thặng dư vốn cổ phần </t>
        </is>
      </c>
      <c r="F2324" s="390" t="inlineStr">
        <is>
          <t>Data Explorer</t>
        </is>
      </c>
      <c r="G2324" s="390" t="inlineStr">
        <is>
          <t>Chỉ tiêu cơ sở</t>
        </is>
      </c>
      <c r="H2324" s="390" t="inlineStr">
        <is>
          <t>Dễ</t>
        </is>
      </c>
      <c r="I2324" s="390" t="inlineStr">
        <is>
          <t>Ngày, CTCK</t>
        </is>
      </c>
      <c r="J2324" s="401" t="inlineStr">
        <is>
          <t>SCMS</t>
        </is>
      </c>
      <c r="K2324" s="401" t="n"/>
      <c r="L2324" s="401" t="inlineStr">
        <is>
          <t>X</t>
        </is>
      </c>
      <c r="M2324" s="401" t="n"/>
      <c r="N2324" s="401" t="inlineStr">
        <is>
          <t>Done</t>
        </is>
      </c>
      <c r="O2324" s="401" t="n"/>
      <c r="P2324" s="22" t="n"/>
      <c r="S2324" s="22" t="n"/>
      <c r="U2324" s="16" t="n"/>
      <c r="V2324" s="22" t="n"/>
      <c r="W2324" s="22" t="n"/>
      <c r="X2324" s="22" t="n"/>
      <c r="Y2324" s="13" t="n"/>
      <c r="Z2324" s="22" t="n"/>
      <c r="AA2324" s="22" t="n"/>
      <c r="AB2324" s="22" t="n"/>
      <c r="AC2324" s="22" t="n"/>
      <c r="AD2324" s="22" t="n"/>
      <c r="AE2324" s="22" t="n"/>
    </row>
    <row r="2325" ht="70" customHeight="1" s="380">
      <c r="A2325" s="126" t="n">
        <v>100</v>
      </c>
      <c r="B2325" s="390" t="n"/>
      <c r="C2325" s="390" t="inlineStr">
        <is>
          <t>Báo cáo theo Thông tư 121/2020/TT-BTC &gt;&gt; Báo báo tài chính &gt;&gt; Báo cáo tình hình biến động vốn chủ sở hữu</t>
        </is>
      </c>
      <c r="D2325" s="390" t="inlineStr">
        <is>
          <t>1.4.Quyền chọn chuyển đổi trái phiếu - Cấu phần vốn</t>
        </is>
      </c>
      <c r="E2325" s="390" t="inlineStr">
        <is>
          <t>1.4.Quyền chọn chuyển đổi trái phiếu - Cấu phần vốn</t>
        </is>
      </c>
      <c r="F2325" s="390" t="inlineStr">
        <is>
          <t>Data Explorer</t>
        </is>
      </c>
      <c r="G2325" s="390" t="inlineStr">
        <is>
          <t>Chỉ tiêu cơ sở</t>
        </is>
      </c>
      <c r="H2325" s="390" t="inlineStr">
        <is>
          <t>Dễ</t>
        </is>
      </c>
      <c r="I2325" s="390" t="inlineStr">
        <is>
          <t>Ngày, CTCK</t>
        </is>
      </c>
      <c r="J2325" s="401" t="inlineStr">
        <is>
          <t>SCMS</t>
        </is>
      </c>
      <c r="K2325" s="401" t="n"/>
      <c r="L2325" s="401" t="inlineStr">
        <is>
          <t>X</t>
        </is>
      </c>
      <c r="M2325" s="401" t="n"/>
      <c r="N2325" s="401" t="inlineStr">
        <is>
          <t>Done</t>
        </is>
      </c>
      <c r="O2325" s="401" t="n"/>
      <c r="P2325" s="22" t="n"/>
      <c r="S2325" s="22" t="n"/>
      <c r="U2325" s="16" t="n"/>
      <c r="V2325" s="22" t="n"/>
      <c r="W2325" s="22" t="n"/>
      <c r="X2325" s="22" t="n"/>
      <c r="Y2325" s="13" t="n"/>
      <c r="Z2325" s="22" t="n"/>
      <c r="AA2325" s="22" t="n"/>
      <c r="AB2325" s="22" t="n"/>
      <c r="AC2325" s="22" t="n"/>
      <c r="AD2325" s="22" t="n"/>
      <c r="AE2325" s="22" t="n"/>
    </row>
    <row r="2326" ht="70" customHeight="1" s="380">
      <c r="A2326" s="126" t="n">
        <v>100</v>
      </c>
      <c r="B2326" s="390" t="n"/>
      <c r="C2326" s="390" t="inlineStr">
        <is>
          <t>Báo cáo theo Thông tư 121/2020/TT-BTC &gt;&gt; Báo báo tài chính &gt;&gt; Báo cáo tình hình biến động vốn chủ sở hữu</t>
        </is>
      </c>
      <c r="D2326" s="390" t="inlineStr">
        <is>
          <t xml:space="preserve">1.5. Vốn khác của chủ sở hữu </t>
        </is>
      </c>
      <c r="E2326" s="390" t="inlineStr">
        <is>
          <t xml:space="preserve">1.5. Vốn khác của chủ sở hữu </t>
        </is>
      </c>
      <c r="F2326" s="390" t="inlineStr">
        <is>
          <t>Data Explorer</t>
        </is>
      </c>
      <c r="G2326" s="390" t="inlineStr">
        <is>
          <t>Chỉ tiêu cơ sở</t>
        </is>
      </c>
      <c r="H2326" s="390" t="inlineStr">
        <is>
          <t>Dễ</t>
        </is>
      </c>
      <c r="I2326" s="390" t="inlineStr">
        <is>
          <t>Ngày, CTCK</t>
        </is>
      </c>
      <c r="J2326" s="401" t="inlineStr">
        <is>
          <t>SCMS</t>
        </is>
      </c>
      <c r="K2326" s="401" t="n"/>
      <c r="L2326" s="401" t="inlineStr">
        <is>
          <t>X</t>
        </is>
      </c>
      <c r="M2326" s="401" t="n"/>
      <c r="N2326" s="401" t="inlineStr">
        <is>
          <t>Done</t>
        </is>
      </c>
      <c r="O2326" s="401" t="n"/>
      <c r="P2326" s="22" t="n"/>
      <c r="S2326" s="22" t="n"/>
      <c r="U2326" s="16" t="n"/>
      <c r="V2326" s="22" t="n"/>
      <c r="W2326" s="22" t="n"/>
      <c r="X2326" s="22" t="n"/>
      <c r="Y2326" s="13" t="n"/>
      <c r="Z2326" s="22" t="n"/>
      <c r="AA2326" s="22" t="n"/>
      <c r="AB2326" s="22" t="n"/>
      <c r="AC2326" s="22" t="n"/>
      <c r="AD2326" s="22" t="n"/>
      <c r="AE2326" s="22" t="n"/>
    </row>
    <row r="2327" ht="70" customHeight="1" s="380">
      <c r="A2327" s="126" t="n">
        <v>100</v>
      </c>
      <c r="B2327" s="390" t="n"/>
      <c r="C2327" s="390" t="inlineStr">
        <is>
          <t>Báo cáo theo Thông tư 121/2020/TT-BTC &gt;&gt; Báo báo tài chính &gt;&gt; Báo cáo tình hình biến động vốn chủ sở hữu</t>
        </is>
      </c>
      <c r="D2327" s="390" t="inlineStr">
        <is>
          <t>2. Cổ phiếu quỹ (*)</t>
        </is>
      </c>
      <c r="E2327" s="390" t="inlineStr">
        <is>
          <t>2. Cổ phiếu quỹ (*)</t>
        </is>
      </c>
      <c r="F2327" s="390" t="inlineStr">
        <is>
          <t>Data Explorer</t>
        </is>
      </c>
      <c r="G2327" s="390" t="inlineStr">
        <is>
          <t>Chỉ tiêu cơ sở</t>
        </is>
      </c>
      <c r="H2327" s="390" t="inlineStr">
        <is>
          <t>Dễ</t>
        </is>
      </c>
      <c r="I2327" s="390" t="inlineStr">
        <is>
          <t>Ngày, CTCK</t>
        </is>
      </c>
      <c r="J2327" s="401" t="inlineStr">
        <is>
          <t>SCMS</t>
        </is>
      </c>
      <c r="K2327" s="401" t="n"/>
      <c r="L2327" s="401" t="inlineStr">
        <is>
          <t>X</t>
        </is>
      </c>
      <c r="M2327" s="401" t="n"/>
      <c r="N2327" s="401" t="inlineStr">
        <is>
          <t>Done</t>
        </is>
      </c>
      <c r="O2327" s="401" t="n"/>
      <c r="P2327" s="22" t="n"/>
      <c r="S2327" s="22" t="n"/>
      <c r="U2327" s="16" t="n"/>
      <c r="V2327" s="22" t="n"/>
      <c r="W2327" s="22" t="n"/>
      <c r="X2327" s="22" t="n"/>
      <c r="Y2327" s="13" t="n"/>
      <c r="Z2327" s="22" t="n"/>
      <c r="AA2327" s="22" t="n"/>
      <c r="AB2327" s="22" t="n"/>
      <c r="AC2327" s="22" t="n"/>
      <c r="AD2327" s="22" t="n"/>
      <c r="AE2327" s="22" t="n"/>
    </row>
    <row r="2328" ht="70" customHeight="1" s="380">
      <c r="A2328" s="126" t="n">
        <v>100</v>
      </c>
      <c r="B2328" s="390" t="n"/>
      <c r="C2328" s="390" t="inlineStr">
        <is>
          <t>Báo cáo theo Thông tư 121/2020/TT-BTC &gt;&gt; Báo báo tài chính &gt;&gt; Báo cáo tình hình biến động vốn chủ sở hữu</t>
        </is>
      </c>
      <c r="D2328" s="390" t="inlineStr">
        <is>
          <t>3. Quỹ dự trữ bổ sung vốn điều lệ</t>
        </is>
      </c>
      <c r="E2328" s="390" t="inlineStr">
        <is>
          <t>3. Quỹ dự trữ bổ sung vốn điều lệ</t>
        </is>
      </c>
      <c r="F2328" s="390" t="inlineStr">
        <is>
          <t>Data Explorer</t>
        </is>
      </c>
      <c r="G2328" s="390" t="inlineStr">
        <is>
          <t>Chỉ tiêu cơ sở</t>
        </is>
      </c>
      <c r="H2328" s="390" t="inlineStr">
        <is>
          <t>Dễ</t>
        </is>
      </c>
      <c r="I2328" s="390" t="inlineStr">
        <is>
          <t>Ngày, CTCK</t>
        </is>
      </c>
      <c r="J2328" s="401" t="inlineStr">
        <is>
          <t>SCMS</t>
        </is>
      </c>
      <c r="K2328" s="401" t="n"/>
      <c r="L2328" s="401" t="inlineStr">
        <is>
          <t>X</t>
        </is>
      </c>
      <c r="M2328" s="401" t="n"/>
      <c r="N2328" s="401" t="inlineStr">
        <is>
          <t>Done</t>
        </is>
      </c>
      <c r="O2328" s="401" t="n"/>
      <c r="P2328" s="22" t="n"/>
      <c r="S2328" s="22" t="n"/>
      <c r="U2328" s="16" t="n"/>
      <c r="V2328" s="22" t="n"/>
      <c r="W2328" s="22" t="n"/>
      <c r="X2328" s="22" t="n"/>
      <c r="Y2328" s="13" t="n"/>
      <c r="Z2328" s="22" t="n"/>
      <c r="AA2328" s="22" t="n"/>
      <c r="AB2328" s="22" t="n"/>
      <c r="AC2328" s="22" t="n"/>
      <c r="AD2328" s="22" t="n"/>
      <c r="AE2328" s="22" t="n"/>
    </row>
    <row r="2329" ht="70" customHeight="1" s="380">
      <c r="A2329" s="126" t="n">
        <v>100</v>
      </c>
      <c r="B2329" s="390" t="n"/>
      <c r="C2329" s="390" t="inlineStr">
        <is>
          <t>Báo cáo theo Thông tư 121/2020/TT-BTC &gt;&gt; Báo báo tài chính &gt;&gt; Báo cáo tình hình biến động vốn chủ sở hữu</t>
        </is>
      </c>
      <c r="D2329" s="390" t="inlineStr">
        <is>
          <t>4. Quỹ dự phòng tài chính và rủi ro nghiệp vụ</t>
        </is>
      </c>
      <c r="E2329" s="390" t="inlineStr">
        <is>
          <t>4. Quỹ dự phòng tài chính và rủi ro nghiệp vụ</t>
        </is>
      </c>
      <c r="F2329" s="390" t="inlineStr">
        <is>
          <t>Data Explorer</t>
        </is>
      </c>
      <c r="G2329" s="390" t="inlineStr">
        <is>
          <t>Chỉ tiêu cơ sở</t>
        </is>
      </c>
      <c r="H2329" s="390" t="inlineStr">
        <is>
          <t>Dễ</t>
        </is>
      </c>
      <c r="I2329" s="390" t="inlineStr">
        <is>
          <t>Ngày, CTCK</t>
        </is>
      </c>
      <c r="J2329" s="401" t="inlineStr">
        <is>
          <t>SCMS</t>
        </is>
      </c>
      <c r="K2329" s="401" t="n"/>
      <c r="L2329" s="401" t="inlineStr">
        <is>
          <t>X</t>
        </is>
      </c>
      <c r="M2329" s="401" t="n"/>
      <c r="N2329" s="401" t="inlineStr">
        <is>
          <t>Done</t>
        </is>
      </c>
      <c r="O2329" s="401" t="n"/>
      <c r="P2329" s="22" t="n"/>
      <c r="S2329" s="22" t="n"/>
      <c r="U2329" s="16" t="n"/>
      <c r="V2329" s="22" t="n"/>
      <c r="W2329" s="22" t="n"/>
      <c r="X2329" s="22" t="n"/>
      <c r="Y2329" s="14" t="n"/>
      <c r="Z2329" s="22" t="n"/>
      <c r="AA2329" s="22" t="n"/>
      <c r="AB2329" s="22" t="n"/>
      <c r="AC2329" s="22" t="n"/>
      <c r="AD2329" s="22" t="n"/>
      <c r="AE2329" s="22" t="n"/>
    </row>
    <row r="2330" ht="70" customHeight="1" s="380">
      <c r="A2330" s="126" t="n">
        <v>100</v>
      </c>
      <c r="B2330" s="390" t="n"/>
      <c r="C2330" s="390" t="inlineStr">
        <is>
          <t>Báo cáo theo Thông tư 121/2020/TT-BTC &gt;&gt; Báo báo tài chính &gt;&gt; Báo cáo tình hình biến động vốn chủ sở hữu</t>
        </is>
      </c>
      <c r="D2330" s="390" t="inlineStr">
        <is>
          <t>5. Chênh lệch đánh giá lại tài sản theo giá trị hợp lý</t>
        </is>
      </c>
      <c r="E2330" s="390" t="inlineStr">
        <is>
          <t>5. Chênh lệch đánh giá lại tài sản theo giá trị hợp lý</t>
        </is>
      </c>
      <c r="F2330" s="390" t="inlineStr">
        <is>
          <t>Data Explorer</t>
        </is>
      </c>
      <c r="G2330" s="390" t="inlineStr">
        <is>
          <t>Chỉ tiêu cơ sở</t>
        </is>
      </c>
      <c r="H2330" s="390" t="inlineStr">
        <is>
          <t>Dễ</t>
        </is>
      </c>
      <c r="I2330" s="390" t="inlineStr">
        <is>
          <t>Ngày, CTCK</t>
        </is>
      </c>
      <c r="J2330" s="401" t="inlineStr">
        <is>
          <t>SCMS</t>
        </is>
      </c>
      <c r="K2330" s="401" t="n"/>
      <c r="L2330" s="401" t="inlineStr">
        <is>
          <t>X</t>
        </is>
      </c>
      <c r="M2330" s="401" t="n"/>
      <c r="N2330" s="401" t="inlineStr">
        <is>
          <t>Done</t>
        </is>
      </c>
      <c r="O2330" s="401" t="n"/>
      <c r="P2330" s="22" t="n"/>
      <c r="S2330" s="22" t="n"/>
      <c r="U2330" s="16" t="n"/>
      <c r="V2330" s="22" t="n"/>
      <c r="W2330" s="22" t="n"/>
      <c r="X2330" s="22" t="n"/>
      <c r="Y2330" s="13" t="n"/>
      <c r="Z2330" s="22" t="n"/>
      <c r="AA2330" s="22" t="n"/>
      <c r="AB2330" s="22" t="n"/>
      <c r="AC2330" s="22" t="n"/>
      <c r="AD2330" s="22" t="n"/>
      <c r="AE2330" s="22" t="n"/>
    </row>
    <row r="2331" ht="70" customHeight="1" s="380">
      <c r="A2331" s="126" t="n">
        <v>100</v>
      </c>
      <c r="B2331" s="390" t="n"/>
      <c r="C2331" s="390" t="inlineStr">
        <is>
          <t>Báo cáo theo Thông tư 121/2020/TT-BTC &gt;&gt; Báo báo tài chính &gt;&gt; Báo cáo tình hình biến động vốn chủ sở hữu</t>
        </is>
      </c>
      <c r="D2331" s="390" t="inlineStr">
        <is>
          <t>6.Chênh lệch tỷ giá hối đoái</t>
        </is>
      </c>
      <c r="E2331" s="390" t="inlineStr">
        <is>
          <t>6.Chênh lệch tỷ giá hối đoái</t>
        </is>
      </c>
      <c r="F2331" s="390" t="inlineStr">
        <is>
          <t>Data Explorer</t>
        </is>
      </c>
      <c r="G2331" s="390" t="inlineStr">
        <is>
          <t>Chỉ tiêu cơ sở</t>
        </is>
      </c>
      <c r="H2331" s="390" t="inlineStr">
        <is>
          <t>Dễ</t>
        </is>
      </c>
      <c r="I2331" s="390" t="inlineStr">
        <is>
          <t>Ngày, CTCK</t>
        </is>
      </c>
      <c r="J2331" s="401" t="inlineStr">
        <is>
          <t>SCMS</t>
        </is>
      </c>
      <c r="K2331" s="401" t="n"/>
      <c r="L2331" s="401" t="inlineStr">
        <is>
          <t>X</t>
        </is>
      </c>
      <c r="M2331" s="401" t="n"/>
      <c r="N2331" s="401" t="inlineStr">
        <is>
          <t>Done</t>
        </is>
      </c>
      <c r="O2331" s="401" t="n"/>
      <c r="P2331" s="22" t="n"/>
      <c r="S2331" s="22" t="n"/>
      <c r="U2331" s="16" t="n"/>
      <c r="V2331" s="22" t="n"/>
      <c r="W2331" s="22" t="n"/>
      <c r="X2331" s="22" t="n"/>
      <c r="Y2331" s="13" t="n"/>
      <c r="Z2331" s="22" t="n"/>
      <c r="AA2331" s="22" t="n"/>
      <c r="AB2331" s="22" t="n"/>
      <c r="AC2331" s="22" t="n"/>
      <c r="AD2331" s="22" t="n"/>
      <c r="AE2331" s="22" t="n"/>
    </row>
    <row r="2332" ht="70" customHeight="1" s="380">
      <c r="A2332" s="126" t="n">
        <v>100</v>
      </c>
      <c r="B2332" s="390" t="n"/>
      <c r="C2332" s="390" t="inlineStr">
        <is>
          <t>Báo cáo theo Thông tư 121/2020/TT-BTC &gt;&gt; Báo báo tài chính &gt;&gt; Báo cáo tình hình biến động vốn chủ sở hữu</t>
        </is>
      </c>
      <c r="D2332" s="390" t="inlineStr">
        <is>
          <t>7. Các Quỹ khác thuộc vốn chủ sở hữu</t>
        </is>
      </c>
      <c r="E2332" s="390" t="inlineStr">
        <is>
          <t>7. Các Quỹ khác thuộc vốn chủ sở hữu</t>
        </is>
      </c>
      <c r="F2332" s="390" t="inlineStr">
        <is>
          <t>Data Explorer</t>
        </is>
      </c>
      <c r="G2332" s="390" t="inlineStr">
        <is>
          <t>Chỉ tiêu cơ sở</t>
        </is>
      </c>
      <c r="H2332" s="390" t="inlineStr">
        <is>
          <t>Dễ</t>
        </is>
      </c>
      <c r="I2332" s="390" t="inlineStr">
        <is>
          <t>Ngày, CTCK</t>
        </is>
      </c>
      <c r="J2332" s="401" t="inlineStr">
        <is>
          <t>SCMS</t>
        </is>
      </c>
      <c r="K2332" s="401" t="n"/>
      <c r="L2332" s="401" t="inlineStr">
        <is>
          <t>X</t>
        </is>
      </c>
      <c r="M2332" s="401" t="n"/>
      <c r="N2332" s="401" t="inlineStr">
        <is>
          <t>Done</t>
        </is>
      </c>
      <c r="O2332" s="401" t="n"/>
      <c r="P2332" s="22" t="n"/>
      <c r="S2332" s="22" t="n"/>
      <c r="U2332" s="16" t="n"/>
      <c r="V2332" s="22" t="n"/>
      <c r="W2332" s="22" t="n"/>
      <c r="X2332" s="22" t="n"/>
      <c r="Y2332" s="13" t="n"/>
      <c r="Z2332" s="22" t="n"/>
      <c r="AA2332" s="22" t="n"/>
      <c r="AB2332" s="22" t="n"/>
      <c r="AC2332" s="22" t="n"/>
      <c r="AD2332" s="22" t="n"/>
      <c r="AE2332" s="22" t="n"/>
    </row>
    <row r="2333" ht="70" customHeight="1" s="380">
      <c r="A2333" s="126" t="n">
        <v>100</v>
      </c>
      <c r="B2333" s="390" t="n"/>
      <c r="C2333" s="390" t="inlineStr">
        <is>
          <t>Báo cáo theo Thông tư 121/2020/TT-BTC &gt;&gt; Báo báo tài chính &gt;&gt; Báo cáo tình hình biến động vốn chủ sở hữu</t>
        </is>
      </c>
      <c r="D2333" s="390" t="inlineStr">
        <is>
          <t>8. Lợi nhuận chưa phân phối</t>
        </is>
      </c>
      <c r="E2333" s="390" t="inlineStr">
        <is>
          <t>8. Lợi nhuận chưa phân phối</t>
        </is>
      </c>
      <c r="F2333" s="390" t="inlineStr">
        <is>
          <t>Data Explorer</t>
        </is>
      </c>
      <c r="G2333" s="390" t="inlineStr">
        <is>
          <t>Chỉ tiêu cơ sở</t>
        </is>
      </c>
      <c r="H2333" s="390" t="inlineStr">
        <is>
          <t>Dễ</t>
        </is>
      </c>
      <c r="I2333" s="390" t="inlineStr">
        <is>
          <t>Ngày, CTCK</t>
        </is>
      </c>
      <c r="J2333" s="401" t="inlineStr">
        <is>
          <t>SCMS</t>
        </is>
      </c>
      <c r="K2333" s="401" t="n"/>
      <c r="L2333" s="401" t="inlineStr">
        <is>
          <t>X</t>
        </is>
      </c>
      <c r="M2333" s="401" t="n"/>
      <c r="N2333" s="401" t="inlineStr">
        <is>
          <t>Done</t>
        </is>
      </c>
      <c r="O2333" s="401" t="n"/>
      <c r="P2333" s="22" t="n"/>
      <c r="S2333" s="22" t="n"/>
      <c r="U2333" s="16" t="n"/>
      <c r="V2333" s="22" t="n"/>
      <c r="W2333" s="22" t="n"/>
      <c r="X2333" s="22" t="n"/>
      <c r="Y2333" s="13" t="n"/>
      <c r="Z2333" s="22" t="n"/>
      <c r="AA2333" s="22" t="n"/>
      <c r="AB2333" s="22" t="n"/>
      <c r="AC2333" s="22" t="n"/>
      <c r="AD2333" s="22" t="n"/>
      <c r="AE2333" s="22" t="n"/>
    </row>
    <row r="2334" ht="70" customHeight="1" s="380">
      <c r="A2334" s="126" t="n">
        <v>100</v>
      </c>
      <c r="B2334" s="390" t="n"/>
      <c r="C2334" s="390" t="inlineStr">
        <is>
          <t>Báo cáo theo Thông tư 121/2020/TT-BTC &gt;&gt; Báo báo tài chính &gt;&gt; Báo cáo tình hình biến động vốn chủ sở hữu</t>
        </is>
      </c>
      <c r="D2334" s="390" t="inlineStr">
        <is>
          <t>8.1. Lợi nhuận sau thuế đã thực hiện</t>
        </is>
      </c>
      <c r="E2334" s="390" t="inlineStr">
        <is>
          <t>8.1. Lợi nhuận sau thuế đã thực hiện</t>
        </is>
      </c>
      <c r="F2334" s="390" t="inlineStr">
        <is>
          <t>Data Explorer</t>
        </is>
      </c>
      <c r="G2334" s="390" t="inlineStr">
        <is>
          <t>Chỉ tiêu cơ sở</t>
        </is>
      </c>
      <c r="H2334" s="390" t="inlineStr">
        <is>
          <t>Dễ</t>
        </is>
      </c>
      <c r="I2334" s="390" t="inlineStr">
        <is>
          <t>Ngày, CTCK</t>
        </is>
      </c>
      <c r="J2334" s="401" t="inlineStr">
        <is>
          <t>SCMS</t>
        </is>
      </c>
      <c r="K2334" s="401" t="n"/>
      <c r="L2334" s="401" t="inlineStr">
        <is>
          <t>X</t>
        </is>
      </c>
      <c r="M2334" s="401" t="n"/>
      <c r="N2334" s="401" t="inlineStr">
        <is>
          <t>Done</t>
        </is>
      </c>
      <c r="O2334" s="401" t="n"/>
      <c r="P2334" s="22" t="n"/>
      <c r="S2334" s="22" t="n"/>
      <c r="U2334" s="16" t="n"/>
      <c r="V2334" s="22" t="n"/>
      <c r="W2334" s="22" t="n"/>
      <c r="X2334" s="22" t="n"/>
      <c r="Y2334" s="13" t="n"/>
      <c r="Z2334" s="22" t="n"/>
      <c r="AA2334" s="22" t="n"/>
      <c r="AB2334" s="22" t="n"/>
      <c r="AC2334" s="22" t="n"/>
      <c r="AD2334" s="22" t="n"/>
      <c r="AE2334" s="22" t="n"/>
    </row>
    <row r="2335" ht="70" customHeight="1" s="380">
      <c r="A2335" s="126" t="n">
        <v>100</v>
      </c>
      <c r="B2335" s="390" t="n"/>
      <c r="C2335" s="390" t="inlineStr">
        <is>
          <t>Báo cáo theo Thông tư 121/2020/TT-BTC &gt;&gt; Báo báo tài chính &gt;&gt; Báo cáo tình hình biến động vốn chủ sở hữu</t>
        </is>
      </c>
      <c r="D2335" s="390" t="inlineStr">
        <is>
          <t xml:space="preserve">8.2. Lợi nhuận chưa thực hiện </t>
        </is>
      </c>
      <c r="E2335" s="390" t="inlineStr">
        <is>
          <t xml:space="preserve">8.2. Lợi nhuận chưa thực hiện </t>
        </is>
      </c>
      <c r="F2335" s="390" t="inlineStr">
        <is>
          <t>Data Explorer</t>
        </is>
      </c>
      <c r="G2335" s="390" t="inlineStr">
        <is>
          <t>Chỉ tiêu cơ sở</t>
        </is>
      </c>
      <c r="H2335" s="390" t="inlineStr">
        <is>
          <t>Dễ</t>
        </is>
      </c>
      <c r="I2335" s="390" t="inlineStr">
        <is>
          <t>Ngày, CTCK</t>
        </is>
      </c>
      <c r="J2335" s="401" t="inlineStr">
        <is>
          <t>SCMS</t>
        </is>
      </c>
      <c r="K2335" s="401" t="n"/>
      <c r="L2335" s="401" t="inlineStr">
        <is>
          <t>X</t>
        </is>
      </c>
      <c r="M2335" s="401" t="n"/>
      <c r="N2335" s="401" t="inlineStr">
        <is>
          <t>Done</t>
        </is>
      </c>
      <c r="O2335" s="401" t="n"/>
      <c r="P2335" s="22" t="n"/>
      <c r="S2335" s="22" t="n"/>
      <c r="U2335" s="16" t="n"/>
      <c r="V2335" s="22" t="n"/>
      <c r="W2335" s="22" t="n"/>
      <c r="X2335" s="22" t="n"/>
      <c r="Y2335" s="38" t="n"/>
      <c r="Z2335" s="22" t="n"/>
      <c r="AA2335" s="22" t="n"/>
      <c r="AB2335" s="22" t="n"/>
      <c r="AC2335" s="22" t="n"/>
      <c r="AD2335" s="22" t="n"/>
      <c r="AE2335" s="22" t="n"/>
    </row>
    <row r="2336" ht="70" customHeight="1" s="380">
      <c r="A2336" s="126" t="n">
        <v>100</v>
      </c>
      <c r="B2336" s="390" t="n"/>
      <c r="C2336" s="390" t="inlineStr">
        <is>
          <t>Báo cáo theo Thông tư 121/2020/TT-BTC &gt;&gt; Báo báo tài chính &gt;&gt; Báo cáo tình hình biến động vốn chủ sở hữu</t>
        </is>
      </c>
      <c r="D2336" s="132" t="inlineStr">
        <is>
          <t>Tổng cộng</t>
        </is>
      </c>
      <c r="E2336" s="132" t="inlineStr">
        <is>
          <t>Tổng cộng</t>
        </is>
      </c>
      <c r="F2336" s="390" t="inlineStr">
        <is>
          <t>Data Explorer</t>
        </is>
      </c>
      <c r="G2336" s="390" t="inlineStr">
        <is>
          <t>Chỉ tiêu cơ sở</t>
        </is>
      </c>
      <c r="H2336" s="390" t="inlineStr">
        <is>
          <t>Dễ</t>
        </is>
      </c>
      <c r="I2336" s="390" t="inlineStr">
        <is>
          <t>Ngày, CTCK</t>
        </is>
      </c>
      <c r="J2336" s="401" t="inlineStr">
        <is>
          <t>SCMS</t>
        </is>
      </c>
      <c r="K2336" s="401" t="n"/>
      <c r="L2336" s="401" t="inlineStr">
        <is>
          <t>X</t>
        </is>
      </c>
      <c r="M2336" s="401" t="n"/>
      <c r="N2336" s="401" t="inlineStr">
        <is>
          <t>Done</t>
        </is>
      </c>
      <c r="O2336" s="401" t="n"/>
      <c r="P2336" s="22" t="n"/>
      <c r="S2336" s="22" t="n"/>
      <c r="U2336" s="16" t="n"/>
      <c r="V2336" s="22" t="n"/>
      <c r="W2336" s="22" t="n"/>
      <c r="X2336" s="22" t="n"/>
      <c r="Y2336" s="13" t="n"/>
      <c r="Z2336" s="22" t="n"/>
      <c r="AA2336" s="22" t="n"/>
      <c r="AB2336" s="22" t="n"/>
      <c r="AC2336" s="22" t="n"/>
      <c r="AD2336" s="22" t="n"/>
      <c r="AE2336" s="22" t="n"/>
    </row>
    <row r="2337" ht="70" customHeight="1" s="380">
      <c r="A2337" s="126" t="n">
        <v>100</v>
      </c>
      <c r="B2337" s="390" t="n"/>
      <c r="C2337" s="390" t="inlineStr">
        <is>
          <t>Báo cáo theo Thông tư 121/2020/TT-BTC &gt;&gt; Báo báo tài chính &gt;&gt; Báo cáo tình hình biến động vốn chủ sở hữu</t>
        </is>
      </c>
      <c r="D2337" s="132" t="inlineStr">
        <is>
          <t>II. Thu nhập toàn diện khác</t>
        </is>
      </c>
      <c r="E2337" s="132" t="inlineStr">
        <is>
          <t>II. Thu nhập toàn diện khác</t>
        </is>
      </c>
      <c r="F2337" s="390" t="inlineStr">
        <is>
          <t>Data Explorer</t>
        </is>
      </c>
      <c r="G2337" s="390" t="inlineStr">
        <is>
          <t>Chỉ tiêu cơ sở</t>
        </is>
      </c>
      <c r="H2337" s="390" t="inlineStr">
        <is>
          <t>Dễ</t>
        </is>
      </c>
      <c r="I2337" s="390" t="inlineStr">
        <is>
          <t>Ngày, CTCK</t>
        </is>
      </c>
      <c r="J2337" s="401" t="inlineStr">
        <is>
          <t>SCMS</t>
        </is>
      </c>
      <c r="K2337" s="401" t="n"/>
      <c r="L2337" s="401" t="inlineStr">
        <is>
          <t>X</t>
        </is>
      </c>
      <c r="M2337" s="401" t="n"/>
      <c r="N2337" s="401" t="inlineStr">
        <is>
          <t>Done</t>
        </is>
      </c>
      <c r="O2337" s="401" t="n"/>
      <c r="P2337" s="22" t="n"/>
      <c r="S2337" s="22" t="n"/>
      <c r="U2337" s="16" t="n"/>
      <c r="V2337" s="22" t="n"/>
      <c r="W2337" s="22" t="n"/>
      <c r="X2337" s="22" t="n"/>
      <c r="Y2337" s="13" t="n"/>
      <c r="Z2337" s="22" t="n"/>
      <c r="AA2337" s="22" t="n"/>
      <c r="AB2337" s="22" t="n"/>
      <c r="AC2337" s="22" t="n"/>
      <c r="AD2337" s="22" t="n"/>
      <c r="AE2337" s="22" t="n"/>
    </row>
    <row r="2338" ht="70" customHeight="1" s="380">
      <c r="A2338" s="126" t="n">
        <v>100</v>
      </c>
      <c r="B2338" s="390" t="n"/>
      <c r="C2338" s="390" t="inlineStr">
        <is>
          <t>Báo cáo theo Thông tư 121/2020/TT-BTC &gt;&gt; Báo báo tài chính &gt;&gt; Báo cáo tình hình biến động vốn chủ sở hữu</t>
        </is>
      </c>
      <c r="D2338" s="390" t="inlineStr">
        <is>
          <t>1. Lãi/lỗ từ đánh giá lại các TSTC sẵn sàng để bán</t>
        </is>
      </c>
      <c r="E2338" s="390" t="inlineStr">
        <is>
          <t>1. Lãi/lỗ từ đánh giá lại các TSTC sẵn sàng để bán</t>
        </is>
      </c>
      <c r="F2338" s="390" t="inlineStr">
        <is>
          <t>Data Explorer</t>
        </is>
      </c>
      <c r="G2338" s="390" t="inlineStr">
        <is>
          <t>Chỉ tiêu cơ sở</t>
        </is>
      </c>
      <c r="H2338" s="390" t="inlineStr">
        <is>
          <t>Dễ</t>
        </is>
      </c>
      <c r="I2338" s="390" t="inlineStr">
        <is>
          <t>Ngày, CTCK</t>
        </is>
      </c>
      <c r="J2338" s="401" t="inlineStr">
        <is>
          <t>SCMS</t>
        </is>
      </c>
      <c r="K2338" s="401" t="n"/>
      <c r="L2338" s="401" t="inlineStr">
        <is>
          <t>X</t>
        </is>
      </c>
      <c r="M2338" s="401" t="n"/>
      <c r="N2338" s="401" t="inlineStr">
        <is>
          <t>Done</t>
        </is>
      </c>
      <c r="O2338" s="401" t="n"/>
      <c r="P2338" s="22" t="n"/>
      <c r="S2338" s="22" t="n"/>
      <c r="U2338" s="16" t="n"/>
      <c r="V2338" s="22" t="n"/>
      <c r="W2338" s="22" t="n"/>
      <c r="X2338" s="22" t="n"/>
      <c r="Y2338" s="13" t="n"/>
      <c r="Z2338" s="22" t="n"/>
      <c r="AA2338" s="22" t="n"/>
      <c r="AB2338" s="22" t="n"/>
      <c r="AC2338" s="22" t="n"/>
      <c r="AD2338" s="22" t="n"/>
      <c r="AE2338" s="22" t="n"/>
    </row>
    <row r="2339" ht="70" customHeight="1" s="380">
      <c r="A2339" s="126" t="n">
        <v>100</v>
      </c>
      <c r="B2339" s="390" t="n"/>
      <c r="C2339" s="390" t="inlineStr">
        <is>
          <t>Báo cáo theo Thông tư 121/2020/TT-BTC &gt;&gt; Báo báo tài chính &gt;&gt; Báo cáo tình hình biến động vốn chủ sở hữu</t>
        </is>
      </c>
      <c r="D2339" s="390" t="inlineStr">
        <is>
          <t>2. Lãi, lỗ đánh giá lại TĐ theo mô hình giá trị hợp lý</t>
        </is>
      </c>
      <c r="E2339" s="390" t="inlineStr">
        <is>
          <t>2. Lãi, lỗ đánh giá lại TĐ theo mô hình giá trị hợp lý</t>
        </is>
      </c>
      <c r="F2339" s="390" t="inlineStr">
        <is>
          <t>Data Explorer</t>
        </is>
      </c>
      <c r="G2339" s="390" t="inlineStr">
        <is>
          <t>Chỉ tiêu cơ sở</t>
        </is>
      </c>
      <c r="H2339" s="390" t="inlineStr">
        <is>
          <t>Dễ</t>
        </is>
      </c>
      <c r="I2339" s="390" t="inlineStr">
        <is>
          <t>Ngày, CTCK</t>
        </is>
      </c>
      <c r="J2339" s="401" t="inlineStr">
        <is>
          <t>SCMS</t>
        </is>
      </c>
      <c r="K2339" s="401" t="n"/>
      <c r="L2339" s="401" t="inlineStr">
        <is>
          <t>X</t>
        </is>
      </c>
      <c r="M2339" s="401" t="n"/>
      <c r="N2339" s="401" t="inlineStr">
        <is>
          <t>Done</t>
        </is>
      </c>
      <c r="O2339" s="401" t="n"/>
      <c r="P2339" s="22" t="n"/>
      <c r="S2339" s="22" t="n"/>
      <c r="U2339" s="16" t="n"/>
      <c r="V2339" s="22" t="n"/>
      <c r="W2339" s="22" t="n"/>
      <c r="X2339" s="22" t="n"/>
      <c r="Y2339" s="13" t="n"/>
      <c r="Z2339" s="22" t="n"/>
      <c r="AA2339" s="22" t="n"/>
      <c r="AB2339" s="22" t="n"/>
      <c r="AC2339" s="22" t="n"/>
      <c r="AD2339" s="22" t="n"/>
      <c r="AE2339" s="22" t="n"/>
    </row>
    <row r="2340" ht="70" customHeight="1" s="380">
      <c r="A2340" s="126" t="n">
        <v>100</v>
      </c>
      <c r="B2340" s="390" t="n"/>
      <c r="C2340" s="390" t="inlineStr">
        <is>
          <t>Báo cáo theo Thông tư 121/2020/TT-BTC &gt;&gt; Báo báo tài chính &gt;&gt; Báo cáo tình hình biến động vốn chủ sở hữu</t>
        </is>
      </c>
      <c r="D2340" s="390" t="inlineStr">
        <is>
          <t>3. Lãi, lỗ chênh lệch tỷ giá của hoạt động tại nước ngoài</t>
        </is>
      </c>
      <c r="E2340" s="390" t="inlineStr">
        <is>
          <t>3. Lãi, lỗ chênh lệch tỷ giá của hoạt động tại nước ngoài</t>
        </is>
      </c>
      <c r="F2340" s="390" t="inlineStr">
        <is>
          <t>Data Explorer</t>
        </is>
      </c>
      <c r="G2340" s="390" t="inlineStr">
        <is>
          <t>Chỉ tiêu cơ sở</t>
        </is>
      </c>
      <c r="H2340" s="390" t="inlineStr">
        <is>
          <t>Dễ</t>
        </is>
      </c>
      <c r="I2340" s="390" t="inlineStr">
        <is>
          <t>Ngày, CTCK</t>
        </is>
      </c>
      <c r="J2340" s="401" t="inlineStr">
        <is>
          <t>SCMS</t>
        </is>
      </c>
      <c r="K2340" s="401" t="n"/>
      <c r="L2340" s="401" t="inlineStr">
        <is>
          <t>X</t>
        </is>
      </c>
      <c r="M2340" s="401" t="n"/>
      <c r="N2340" s="401" t="inlineStr">
        <is>
          <t>Done</t>
        </is>
      </c>
      <c r="O2340" s="401" t="n"/>
      <c r="P2340" s="22" t="n"/>
      <c r="S2340" s="22" t="n"/>
      <c r="U2340" s="16" t="n"/>
      <c r="V2340" s="22" t="n"/>
      <c r="W2340" s="22" t="n"/>
      <c r="X2340" s="22" t="n"/>
      <c r="Y2340" s="13" t="n"/>
      <c r="Z2340" s="22" t="n"/>
      <c r="AA2340" s="22" t="n"/>
      <c r="AB2340" s="22" t="n"/>
      <c r="AC2340" s="22" t="n"/>
      <c r="AD2340" s="22" t="n"/>
      <c r="AE2340" s="22" t="n"/>
    </row>
    <row r="2341" ht="70" customHeight="1" s="380">
      <c r="A2341" s="126" t="n">
        <v>100</v>
      </c>
      <c r="B2341" s="390" t="n"/>
      <c r="C2341" s="390" t="inlineStr">
        <is>
          <t>Báo cáo theo Thông tư 121/2020/TT-BTC &gt;&gt; Báo báo tài chính &gt;&gt; Báo cáo tình hình biến động vốn chủ sở hữu</t>
        </is>
      </c>
      <c r="D2341" s="390" t="inlineStr">
        <is>
          <t>4. Lãi, lỗ toàn diện khác</t>
        </is>
      </c>
      <c r="E2341" s="390" t="inlineStr">
        <is>
          <t>4. Lãi, lỗ toàn diện khác</t>
        </is>
      </c>
      <c r="F2341" s="390" t="inlineStr">
        <is>
          <t>Data Explorer</t>
        </is>
      </c>
      <c r="G2341" s="390" t="inlineStr">
        <is>
          <t>Chỉ tiêu cơ sở</t>
        </is>
      </c>
      <c r="H2341" s="390" t="inlineStr">
        <is>
          <t>Dễ</t>
        </is>
      </c>
      <c r="I2341" s="390" t="inlineStr">
        <is>
          <t>Ngày, CTCK</t>
        </is>
      </c>
      <c r="J2341" s="401" t="inlineStr">
        <is>
          <t>SCMS</t>
        </is>
      </c>
      <c r="K2341" s="401" t="n"/>
      <c r="L2341" s="401" t="inlineStr">
        <is>
          <t>X</t>
        </is>
      </c>
      <c r="M2341" s="401" t="n"/>
      <c r="N2341" s="401" t="inlineStr">
        <is>
          <t>Done</t>
        </is>
      </c>
      <c r="O2341" s="401" t="n"/>
      <c r="P2341" s="22" t="n"/>
      <c r="S2341" s="22" t="n"/>
      <c r="U2341" s="16" t="n"/>
      <c r="V2341" s="22" t="n"/>
      <c r="W2341" s="22" t="n"/>
      <c r="X2341" s="22" t="n"/>
      <c r="Y2341" s="38" t="n"/>
      <c r="Z2341" s="22" t="n"/>
      <c r="AA2341" s="22" t="n"/>
      <c r="AB2341" s="22" t="n"/>
      <c r="AC2341" s="22" t="n"/>
      <c r="AD2341" s="22" t="n"/>
      <c r="AE2341" s="22" t="n"/>
    </row>
    <row r="2342" ht="70" customHeight="1" s="380">
      <c r="A2342" s="128" t="n">
        <v>100</v>
      </c>
      <c r="B2342" s="129" t="n"/>
      <c r="C2342" s="129" t="inlineStr">
        <is>
          <t>Báo cáo theo Thông tư 121/2020/TT-BTC &gt;&gt; Báo báo tài chính &gt;&gt; Báo cáo tình hình biến động vốn chủ sở hữu</t>
        </is>
      </c>
      <c r="D2342" s="134" t="inlineStr">
        <is>
          <t>Tổng cộng</t>
        </is>
      </c>
      <c r="E2342" s="134" t="inlineStr">
        <is>
          <t>Tổng cộng</t>
        </is>
      </c>
      <c r="F2342" s="129" t="inlineStr">
        <is>
          <t>Data Explorer</t>
        </is>
      </c>
      <c r="G2342" s="129" t="inlineStr">
        <is>
          <t>Chỉ tiêu cơ sở</t>
        </is>
      </c>
      <c r="H2342" s="129" t="inlineStr">
        <is>
          <t>Dễ</t>
        </is>
      </c>
      <c r="I2342" s="129" t="inlineStr">
        <is>
          <t>Ngày, CTCK</t>
        </is>
      </c>
      <c r="J2342" s="85" t="inlineStr">
        <is>
          <t>SCMS</t>
        </is>
      </c>
      <c r="K2342" s="85" t="n"/>
      <c r="L2342" s="85" t="inlineStr">
        <is>
          <t>X</t>
        </is>
      </c>
      <c r="M2342" s="85" t="n"/>
      <c r="N2342" s="85" t="inlineStr">
        <is>
          <t>Done</t>
        </is>
      </c>
      <c r="O2342" s="85" t="n"/>
      <c r="P2342" s="130" t="n"/>
      <c r="Q2342" s="426" t="n"/>
      <c r="R2342" s="426" t="n"/>
      <c r="S2342" s="130" t="n"/>
      <c r="T2342" s="426" t="n"/>
      <c r="U2342" s="131" t="n"/>
      <c r="V2342" s="130" t="n"/>
      <c r="W2342" s="130" t="n"/>
      <c r="X2342" s="130" t="n"/>
      <c r="Y2342" s="97" t="n"/>
      <c r="Z2342" s="130" t="n"/>
      <c r="AA2342" s="130" t="n"/>
      <c r="AB2342" s="130" t="n"/>
      <c r="AC2342" s="130" t="n"/>
      <c r="AD2342" s="130" t="n"/>
      <c r="AE2342" s="130" t="n"/>
    </row>
    <row r="2343" ht="56" customHeight="1" s="380">
      <c r="A2343" s="126" t="n">
        <v>101</v>
      </c>
      <c r="B2343" s="122" t="inlineStr">
        <is>
          <t>Nga</t>
        </is>
      </c>
      <c r="C2343" s="127" t="inlineStr">
        <is>
          <t>Báo cáo theo Thông tư 121/2020/TT-BTC &gt;&gt; Báo cáo tỷ lệ An toàn tài chính &gt;&gt; Bảng tính vốn khả dụng</t>
        </is>
      </c>
      <c r="D2343" s="106" t="inlineStr">
        <is>
          <t>Loại báo cáo</t>
        </is>
      </c>
      <c r="E2343" s="107" t="inlineStr">
        <is>
          <t>Loại báo cáo</t>
        </is>
      </c>
      <c r="F2343" s="390" t="inlineStr">
        <is>
          <t>Data Explorer</t>
        </is>
      </c>
      <c r="G2343" s="390" t="inlineStr">
        <is>
          <t>Chiều</t>
        </is>
      </c>
      <c r="H2343" s="390" t="inlineStr">
        <is>
          <t>Dễ</t>
        </is>
      </c>
      <c r="I2343" s="390" t="inlineStr">
        <is>
          <t>Ngày, CTCK</t>
        </is>
      </c>
      <c r="J2343" s="401" t="inlineStr">
        <is>
          <t>SCMS</t>
        </is>
      </c>
      <c r="K2343" s="401" t="inlineStr">
        <is>
          <t>X</t>
        </is>
      </c>
      <c r="L2343" s="401" t="inlineStr">
        <is>
          <t>X</t>
        </is>
      </c>
      <c r="M2343" s="401" t="n"/>
      <c r="N2343" s="401" t="inlineStr">
        <is>
          <t>Done</t>
        </is>
      </c>
      <c r="O2343" s="401" t="n"/>
      <c r="P2343" s="22" t="n"/>
      <c r="Q2343" s="404" t="inlineStr">
        <is>
          <t>SCMS.BM_BAO_CAO
SCMS.BM_BAO_CAO_DINH_KY</t>
        </is>
      </c>
      <c r="R2343" s="404" t="inlineStr">
        <is>
          <t>bm.ID,
bm.MA_BAO_CAO,
bm.LOAI_BAO_CAO,
bm.TEN_BAO_CAO,
bm.SU_DUNG,
bdk.BM_BAO_CAO_ID,
bdk.KY_BAO_CAO,
bdk.SU_DUNG</t>
        </is>
      </c>
      <c r="S2343" s="401" t="n"/>
      <c r="T2343" s="389"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2343" s="16" t="n"/>
      <c r="V2343" s="22" t="n"/>
      <c r="W2343" s="22" t="n"/>
      <c r="X2343" s="22" t="n"/>
      <c r="Y2343" s="13" t="n"/>
      <c r="Z2343" s="22" t="n"/>
      <c r="AA2343" s="22" t="n"/>
      <c r="AB2343" s="22" t="n"/>
      <c r="AC2343" s="22" t="n"/>
      <c r="AD2343" s="22" t="n"/>
      <c r="AE2343" s="22" t="n"/>
    </row>
    <row r="2344" ht="56" customHeight="1" s="380">
      <c r="A2344" s="126" t="n">
        <v>101</v>
      </c>
      <c r="B2344" s="390" t="n"/>
      <c r="C2344" s="390" t="inlineStr">
        <is>
          <t>Báo cáo theo Thông tư 121/2020/TT-BTC &gt;&gt; Báo cáo tỷ lệ An toàn tài chính &gt;&gt; Bảng tính vốn khả dụng</t>
        </is>
      </c>
      <c r="D2344" s="106" t="inlineStr">
        <is>
          <t>Kỳ báo cáo</t>
        </is>
      </c>
      <c r="E2344" s="107" t="inlineStr">
        <is>
          <t>Kỳ báo cáo</t>
        </is>
      </c>
      <c r="F2344" s="390" t="inlineStr">
        <is>
          <t>Data Explorer</t>
        </is>
      </c>
      <c r="G2344" s="390" t="inlineStr">
        <is>
          <t>Chiều</t>
        </is>
      </c>
      <c r="H2344" s="390" t="inlineStr">
        <is>
          <t>Dễ</t>
        </is>
      </c>
      <c r="I2344" s="390" t="inlineStr">
        <is>
          <t>Ngày, CTCK</t>
        </is>
      </c>
      <c r="J2344" s="401" t="inlineStr">
        <is>
          <t>SCMS</t>
        </is>
      </c>
      <c r="K2344" s="401" t="inlineStr">
        <is>
          <t>X</t>
        </is>
      </c>
      <c r="L2344" s="401" t="inlineStr">
        <is>
          <t>X</t>
        </is>
      </c>
      <c r="M2344" s="401" t="n"/>
      <c r="N2344" s="401" t="inlineStr">
        <is>
          <t>Done</t>
        </is>
      </c>
      <c r="O2344" s="401" t="n"/>
      <c r="P2344" s="22" t="n"/>
      <c r="S2344" s="401" t="n"/>
      <c r="U2344" s="16" t="n"/>
      <c r="V2344" s="22" t="n"/>
      <c r="W2344" s="22" t="n"/>
      <c r="X2344" s="22" t="n"/>
      <c r="Y2344" s="13" t="n"/>
      <c r="Z2344" s="22" t="n"/>
      <c r="AA2344" s="22" t="n"/>
      <c r="AB2344" s="22" t="n"/>
      <c r="AC2344" s="22" t="n"/>
      <c r="AD2344" s="22" t="n"/>
      <c r="AE2344" s="22" t="n"/>
    </row>
    <row r="2345" ht="56" customHeight="1" s="380">
      <c r="A2345" s="126" t="n">
        <v>101</v>
      </c>
      <c r="B2345" s="390" t="n"/>
      <c r="C2345" s="390" t="inlineStr">
        <is>
          <t>Báo cáo theo Thông tư 121/2020/TT-BTC &gt;&gt; Báo cáo tỷ lệ An toàn tài chính &gt;&gt; Bảng tính vốn khả dụng</t>
        </is>
      </c>
      <c r="D2345" s="106" t="inlineStr">
        <is>
          <t>Mã báo cáo</t>
        </is>
      </c>
      <c r="E2345" s="107" t="inlineStr">
        <is>
          <t>Mã báo cáo</t>
        </is>
      </c>
      <c r="F2345" s="390" t="inlineStr">
        <is>
          <t>Data Explorer</t>
        </is>
      </c>
      <c r="G2345" s="390" t="inlineStr">
        <is>
          <t>Chiều</t>
        </is>
      </c>
      <c r="H2345" s="390" t="inlineStr">
        <is>
          <t>Dễ</t>
        </is>
      </c>
      <c r="I2345" s="390" t="inlineStr">
        <is>
          <t>Ngày, CTCK</t>
        </is>
      </c>
      <c r="J2345" s="401" t="inlineStr">
        <is>
          <t>SCMS</t>
        </is>
      </c>
      <c r="K2345" s="401" t="inlineStr">
        <is>
          <t>X</t>
        </is>
      </c>
      <c r="L2345" s="401" t="inlineStr">
        <is>
          <t>X</t>
        </is>
      </c>
      <c r="M2345" s="401" t="n"/>
      <c r="N2345" s="401" t="inlineStr">
        <is>
          <t>Done</t>
        </is>
      </c>
      <c r="O2345" s="401" t="n"/>
      <c r="P2345" s="22" t="n"/>
      <c r="S2345" s="401" t="n"/>
      <c r="U2345" s="16" t="n"/>
      <c r="V2345" s="22" t="n"/>
      <c r="W2345" s="22" t="n"/>
      <c r="X2345" s="22" t="n"/>
      <c r="Y2345" s="13" t="n"/>
      <c r="Z2345" s="22" t="n"/>
      <c r="AA2345" s="22" t="n"/>
      <c r="AB2345" s="22" t="n"/>
      <c r="AC2345" s="22" t="n"/>
      <c r="AD2345" s="22" t="n"/>
      <c r="AE2345" s="22" t="n"/>
    </row>
    <row r="2346" ht="56" customHeight="1" s="380">
      <c r="A2346" s="126" t="n">
        <v>101</v>
      </c>
      <c r="B2346" s="390" t="n"/>
      <c r="C2346" s="390" t="inlineStr">
        <is>
          <t>Báo cáo theo Thông tư 121/2020/TT-BTC &gt;&gt; Báo cáo tỷ lệ An toàn tài chính &gt;&gt; Bảng tính vốn khả dụng</t>
        </is>
      </c>
      <c r="D2346" s="106" t="inlineStr">
        <is>
          <t>Tên báo cáo</t>
        </is>
      </c>
      <c r="E2346" s="107" t="inlineStr">
        <is>
          <t>Tên báo cáo</t>
        </is>
      </c>
      <c r="F2346" s="390" t="inlineStr">
        <is>
          <t>Data Explorer</t>
        </is>
      </c>
      <c r="G2346" s="390" t="inlineStr">
        <is>
          <t>Chiều</t>
        </is>
      </c>
      <c r="H2346" s="390" t="inlineStr">
        <is>
          <t>Dễ</t>
        </is>
      </c>
      <c r="I2346" s="390" t="inlineStr">
        <is>
          <t>Ngày, CTCK</t>
        </is>
      </c>
      <c r="J2346" s="401" t="inlineStr">
        <is>
          <t>SCMS</t>
        </is>
      </c>
      <c r="K2346" s="401" t="inlineStr">
        <is>
          <t>X</t>
        </is>
      </c>
      <c r="L2346" s="401" t="inlineStr">
        <is>
          <t>X</t>
        </is>
      </c>
      <c r="M2346" s="401" t="n"/>
      <c r="N2346" s="401" t="inlineStr">
        <is>
          <t>Done</t>
        </is>
      </c>
      <c r="O2346" s="401" t="n"/>
      <c r="P2346" s="22" t="n"/>
      <c r="S2346" s="401" t="n"/>
      <c r="U2346" s="16" t="n"/>
      <c r="V2346" s="22" t="n"/>
      <c r="W2346" s="22" t="n"/>
      <c r="X2346" s="22" t="n"/>
      <c r="Y2346" s="13" t="n"/>
      <c r="Z2346" s="22" t="n"/>
      <c r="AA2346" s="22" t="n"/>
      <c r="AB2346" s="22" t="n"/>
      <c r="AC2346" s="22" t="n"/>
      <c r="AD2346" s="22" t="n"/>
      <c r="AE2346" s="22" t="n"/>
    </row>
    <row r="2347" ht="56" customHeight="1" s="380">
      <c r="A2347" s="126" t="n">
        <v>101</v>
      </c>
      <c r="B2347" s="390" t="n"/>
      <c r="C2347" s="390" t="inlineStr">
        <is>
          <t>Báo cáo theo Thông tư 121/2020/TT-BTC &gt;&gt; Báo cáo tỷ lệ An toàn tài chính &gt;&gt; Bảng tính vốn khả dụng</t>
        </is>
      </c>
      <c r="D2347" s="106" t="inlineStr">
        <is>
          <t>Mã sheet</t>
        </is>
      </c>
      <c r="E2347" s="106" t="inlineStr">
        <is>
          <t>Mã sheet</t>
        </is>
      </c>
      <c r="F2347" s="390" t="inlineStr">
        <is>
          <t>Data Explorer</t>
        </is>
      </c>
      <c r="G2347" s="390" t="inlineStr">
        <is>
          <t>Chiều</t>
        </is>
      </c>
      <c r="H2347" s="390" t="inlineStr">
        <is>
          <t>Dễ</t>
        </is>
      </c>
      <c r="I2347" s="390" t="inlineStr">
        <is>
          <t>Ngày, CTCK</t>
        </is>
      </c>
      <c r="J2347" s="401" t="inlineStr">
        <is>
          <t>SCMS</t>
        </is>
      </c>
      <c r="K2347" s="401" t="inlineStr">
        <is>
          <t>X</t>
        </is>
      </c>
      <c r="L2347" s="401" t="inlineStr">
        <is>
          <t>X</t>
        </is>
      </c>
      <c r="M2347" s="401" t="n"/>
      <c r="N2347" s="401" t="inlineStr">
        <is>
          <t>Done</t>
        </is>
      </c>
      <c r="O2347" s="401" t="n"/>
      <c r="P2347" s="22" t="n"/>
      <c r="Q2347" s="401" t="inlineStr">
        <is>
          <t>SCMS.BM_BAO_CAO
SCMS.BM_SHEET</t>
        </is>
      </c>
      <c r="R2347" s="401" t="inlineStr">
        <is>
          <t>bm.ID,
bm.MA_BAO_CAO,
bm.SU_DUNG,
s.BM_BAO_CAO_ID,
s.MA_SHEET,
s.TEN_SHEET,
s.SAP_XEP</t>
        </is>
      </c>
      <c r="S2347" s="401" t="n"/>
      <c r="T2347" s="389" t="inlineStr">
        <is>
          <t>-- Mã sheet / Tên sheet
-- TEN_SHEET: 06H01
SELECT bm.MA_BAO_CAO,
s.MA_SHEET,
s.TEN_SHEET
FROM SCMS.BM_BAO_CAO bm
JOIN SCMS.BM_SHEET s ON s.BM_BAO_CAO_ID = bm.ID
WHERE bm.MA_BAO_CAO LIKE 'BCTLAT_TT102/2025'
AND s.MA_SHEET = '06H01'  -- Check lại
AND bm.SU_DUNG = 1
ORDER BY bm.MA_BAO_CAO, s.SAP_XEP;</t>
        </is>
      </c>
      <c r="U2347" s="16" t="n"/>
      <c r="V2347" s="22" t="n"/>
      <c r="W2347" s="22" t="n"/>
      <c r="X2347" s="22" t="n"/>
      <c r="Y2347" s="13" t="n"/>
      <c r="Z2347" s="22" t="n"/>
      <c r="AA2347" s="22" t="n"/>
      <c r="AB2347" s="22" t="n"/>
      <c r="AC2347" s="22" t="n"/>
      <c r="AD2347" s="22" t="n"/>
      <c r="AE2347" s="22" t="n"/>
    </row>
    <row r="2348" ht="56" customHeight="1" s="380">
      <c r="A2348" s="126" t="n">
        <v>101</v>
      </c>
      <c r="B2348" s="390" t="n"/>
      <c r="C2348" s="390" t="inlineStr">
        <is>
          <t>Báo cáo theo Thông tư 121/2020/TT-BTC &gt;&gt; Báo cáo tỷ lệ An toàn tài chính &gt;&gt; Bảng tính vốn khả dụng</t>
        </is>
      </c>
      <c r="D2348" s="106" t="inlineStr">
        <is>
          <t>Tên sheet</t>
        </is>
      </c>
      <c r="E2348" s="106" t="inlineStr">
        <is>
          <t>Tên sheet</t>
        </is>
      </c>
      <c r="F2348" s="390" t="inlineStr">
        <is>
          <t>Data Explorer</t>
        </is>
      </c>
      <c r="G2348" s="390" t="inlineStr">
        <is>
          <t>Chiều</t>
        </is>
      </c>
      <c r="H2348" s="390" t="inlineStr">
        <is>
          <t>Dễ</t>
        </is>
      </c>
      <c r="I2348" s="390" t="inlineStr">
        <is>
          <t>Ngày, CTCK</t>
        </is>
      </c>
      <c r="J2348" s="401" t="inlineStr">
        <is>
          <t>SCMS</t>
        </is>
      </c>
      <c r="K2348" s="401" t="inlineStr">
        <is>
          <t>X</t>
        </is>
      </c>
      <c r="L2348" s="401" t="inlineStr">
        <is>
          <t>X</t>
        </is>
      </c>
      <c r="M2348" s="401" t="n"/>
      <c r="N2348" s="401" t="inlineStr">
        <is>
          <t>Done</t>
        </is>
      </c>
      <c r="O2348" s="401" t="n"/>
      <c r="P2348" s="22" t="n"/>
      <c r="S2348" s="401" t="n"/>
      <c r="U2348" s="16" t="n"/>
      <c r="V2348" s="22" t="n"/>
      <c r="W2348" s="22" t="n"/>
      <c r="X2348" s="22" t="n"/>
      <c r="Y2348" s="13" t="n"/>
      <c r="Z2348" s="22" t="n"/>
      <c r="AA2348" s="22" t="n"/>
      <c r="AB2348" s="22" t="n"/>
      <c r="AC2348" s="22" t="n"/>
      <c r="AD2348" s="22" t="n"/>
      <c r="AE2348" s="22" t="n"/>
    </row>
    <row r="2349" ht="56" customHeight="1" s="380">
      <c r="A2349" s="126" t="n">
        <v>101</v>
      </c>
      <c r="B2349" s="390" t="n"/>
      <c r="C2349" s="390" t="inlineStr">
        <is>
          <t>Báo cáo theo Thông tư 121/2020/TT-BTC &gt;&gt; Báo cáo tỷ lệ An toàn tài chính &gt;&gt; Bảng tính vốn khả dụng</t>
        </is>
      </c>
      <c r="D2349" s="106" t="inlineStr">
        <is>
          <t>Mã chỉ tiêu</t>
        </is>
      </c>
      <c r="E2349" s="107" t="inlineStr">
        <is>
          <t>Mã chỉ tiêu</t>
        </is>
      </c>
      <c r="F2349" s="390" t="inlineStr">
        <is>
          <t>Data Explorer</t>
        </is>
      </c>
      <c r="G2349" s="390" t="inlineStr">
        <is>
          <t>Chiều</t>
        </is>
      </c>
      <c r="H2349" s="390" t="inlineStr">
        <is>
          <t>Dễ</t>
        </is>
      </c>
      <c r="I2349" s="390" t="inlineStr">
        <is>
          <t>Ngày, CTCK</t>
        </is>
      </c>
      <c r="J2349" s="401" t="inlineStr">
        <is>
          <t>SCMS</t>
        </is>
      </c>
      <c r="K2349" s="401" t="inlineStr">
        <is>
          <t>X</t>
        </is>
      </c>
      <c r="L2349" s="401" t="inlineStr">
        <is>
          <t>X</t>
        </is>
      </c>
      <c r="M2349" s="401" t="n"/>
      <c r="N2349" s="401" t="inlineStr">
        <is>
          <t>Done</t>
        </is>
      </c>
      <c r="O2349" s="401" t="n"/>
      <c r="P2349" s="22" t="n"/>
      <c r="Q2349" s="401" t="inlineStr">
        <is>
          <t>SCMS.BM_BAO_CAO
SCMS.BM_SHEET
SCMS.BM_BAO_CAO_CT
SCMS.DM_CHI_TIEU</t>
        </is>
      </c>
      <c r="R2349" s="402" t="inlineStr">
        <is>
          <t>dct.ID,
dct.MA_CHI_TIEU,
dct.TEN_CHI_TIEU,
dct.SU_DUNG,
s.BM_BAO_CAO_ID,
s.MA_SHEET,
ct.BM_BAO_CAO_ID,
ct.DM_CHI_TIEU_ID,
ct.SU_DUNG,
bm.ID,
bm.MA_BAO_CAO,
bm.SU_DUNG</t>
        </is>
      </c>
      <c r="S2349" s="401" t="n"/>
      <c r="T2349" s="389" t="inlineStr">
        <is>
          <t>-- Mã chỉ tiêu / Tên chỉ tiêu
SELECT DISTINCT
    dct.MA_CHI_TIEU  AS ma_chi_tieu,
    dct.TEN_CHI_TIEU AS ten_chi_tieu
FROM SCMS.BM_BAO_CAO bm
JOIN SCMS.BM_SHEET s ON s.BM_BAO_CAO_ID = bm.ID
	AND s.MA_SHEET = '06H01'
JOIN SCMS.BM_BAO_CAO_CT ct ON ct.BM_SHEET_ID = s.ID
	AND ct.SU_DUNG = 1
JOIN SCMS.DM_CHI_TIEU dct ON dct.ID = ct.DM_CHI_TIEU_ID
	AND dct.SU_DUNG = 1
WHERE bm.MA_BAO_CAO LIKE 'BCTLAT_TT102/2025'
	AND bm.SU_DUNG = 1
ORDER BY dct.MA_CHI_TIEU;</t>
        </is>
      </c>
      <c r="U2349" s="16" t="n"/>
      <c r="V2349" s="22" t="n"/>
      <c r="W2349" s="22" t="n"/>
      <c r="X2349" s="22" t="n"/>
      <c r="Y2349" s="38" t="n"/>
      <c r="Z2349" s="22" t="n"/>
      <c r="AA2349" s="22" t="n"/>
      <c r="AB2349" s="22" t="n"/>
      <c r="AC2349" s="22" t="n"/>
      <c r="AD2349" s="22" t="n"/>
      <c r="AE2349" s="22" t="n"/>
    </row>
    <row r="2350" ht="56" customHeight="1" s="380">
      <c r="A2350" s="126" t="n">
        <v>101</v>
      </c>
      <c r="B2350" s="390" t="n"/>
      <c r="C2350" s="390" t="inlineStr">
        <is>
          <t>Báo cáo theo Thông tư 121/2020/TT-BTC &gt;&gt; Báo cáo tỷ lệ An toàn tài chính &gt;&gt; Bảng tính vốn khả dụng</t>
        </is>
      </c>
      <c r="D2350" s="106" t="inlineStr">
        <is>
          <t>Tên chỉ tiêu</t>
        </is>
      </c>
      <c r="E2350" s="107" t="inlineStr">
        <is>
          <t>Tên chỉ tiêu</t>
        </is>
      </c>
      <c r="F2350" s="390" t="inlineStr">
        <is>
          <t>Data Explorer</t>
        </is>
      </c>
      <c r="G2350" s="390" t="inlineStr">
        <is>
          <t>Chiều</t>
        </is>
      </c>
      <c r="H2350" s="390" t="inlineStr">
        <is>
          <t>Dễ</t>
        </is>
      </c>
      <c r="I2350" s="390" t="inlineStr">
        <is>
          <t>Ngày, CTCK</t>
        </is>
      </c>
      <c r="J2350" s="401" t="inlineStr">
        <is>
          <t>SCMS</t>
        </is>
      </c>
      <c r="K2350" s="401" t="inlineStr">
        <is>
          <t>X</t>
        </is>
      </c>
      <c r="L2350" s="401" t="inlineStr">
        <is>
          <t>X</t>
        </is>
      </c>
      <c r="M2350" s="401" t="n"/>
      <c r="N2350" s="401" t="inlineStr">
        <is>
          <t>Done</t>
        </is>
      </c>
      <c r="O2350" s="401" t="n"/>
      <c r="P2350" s="22" t="n"/>
      <c r="S2350" s="401" t="n"/>
      <c r="U2350" s="16" t="n"/>
      <c r="V2350" s="22" t="n"/>
      <c r="W2350" s="22" t="n"/>
      <c r="X2350" s="22" t="n"/>
      <c r="Y2350" s="13" t="n"/>
      <c r="Z2350" s="22" t="n"/>
      <c r="AA2350" s="22" t="n"/>
      <c r="AB2350" s="22" t="n"/>
      <c r="AC2350" s="22" t="n"/>
      <c r="AD2350" s="22" t="n"/>
      <c r="AE2350" s="22" t="n"/>
    </row>
    <row r="2351" ht="56" customHeight="1" s="380">
      <c r="A2351" s="126" t="n">
        <v>101</v>
      </c>
      <c r="B2351" s="390" t="n"/>
      <c r="C2351" s="390" t="inlineStr">
        <is>
          <t>Báo cáo theo Thông tư 121/2020/TT-BTC &gt;&gt; Báo cáo tỷ lệ An toàn tài chính &gt;&gt; Bảng tính vốn khả dụng</t>
        </is>
      </c>
      <c r="D2351" s="390" t="inlineStr">
        <is>
          <t>Vốn chủ sở hữu</t>
        </is>
      </c>
      <c r="E2351" s="390" t="inlineStr">
        <is>
          <t>Vốn chủ sở hữu</t>
        </is>
      </c>
      <c r="F2351" s="390" t="inlineStr">
        <is>
          <t>Data Explorer</t>
        </is>
      </c>
      <c r="G2351" s="390" t="inlineStr">
        <is>
          <t>Chỉ tiêu cơ sở</t>
        </is>
      </c>
      <c r="H2351" s="390" t="inlineStr">
        <is>
          <t>TB</t>
        </is>
      </c>
      <c r="I2351" s="390" t="inlineStr">
        <is>
          <t>Ngày, CTCK</t>
        </is>
      </c>
      <c r="J2351" s="401" t="inlineStr">
        <is>
          <t>SCMS</t>
        </is>
      </c>
      <c r="K2351" s="401" t="n"/>
      <c r="L2351" s="401" t="inlineStr">
        <is>
          <t>X</t>
        </is>
      </c>
      <c r="M2351" s="401" t="n"/>
      <c r="N2351" s="401" t="inlineStr">
        <is>
          <t>Done</t>
        </is>
      </c>
      <c r="O2351" s="401" t="n"/>
      <c r="P2351" s="22" t="n"/>
      <c r="Q2351" s="431" t="inlineStr">
        <is>
          <t>SCMS.BC_THANH_VIEN
SCMS.BM_BAO_CAO
SCMS.BC_BAO_CAO_GT
SCMS.BM_BAO_CAO_HANG
SCMS.BM_BAO_CAO_COT</t>
        </is>
      </c>
      <c r="R2351" s="431" t="inlineStr">
        <is>
          <t>bsc.TEN_COT,
bsc.BM_SHEET_ID,
bsh.ID,
bsh.MA_HANG,
gt.GIA_TRI,
gt.BC_THANH_VIEN_ID,
gt.BM_SHEET_HANG_ID,
bm.ID,
bm.MA_BAO_CAO,
btv.ID,
btv.BM_BAO_CAO_ID,
btv.TRANG_THAI,
btv.NGAY_SO_LIEU</t>
        </is>
      </c>
      <c r="S2351" s="22" t="n"/>
      <c r="T2351" s="432" t="inlineStr">
        <is>
          <t>-- CHỈ TIÊU
SELECT
	-- Vốn khả dụng
    MAX(CASE WHEN bsc.TEN_COT=N'Vốn khả dụng' AND bsh.MA_HANG = '1' THEN CAST(gt.GIA_TRI AS VARCHAR2(4000)) END) AS "Vốn chủ sở hữu",                                                                               
	MAX(CASE WHEN bsc.TEN_COT=N'Vốn khả dụng' AND bsh.MA_HANG = '2' THEN CAST(gt.GIA_TRI AS VARCHAR2(4000)) END) AS "Vốn góp của chủ sở hữu không bao gồm cổ phần ưu đãi hoàn lại (nếu có)",                            
	MAX(CASE WHEN bsc.TEN_COT=N'Vốn khả dụng' AND bsh.MA_HANG = '3' THEN CAST(gt.GIA_TRI AS VARCHAR2(4000)) END) AS "Thặng dư vốn cổ phần không bao gồm cổ phần ưu đãi hoàn lại (nếu có)",
	MAX(CASE WHEN bsc.TEN_COT=N'Vốn khả dụng' AND bsh.MA_HANG = '4' THEN CAST(gt.GIA_TRI AS VARCHAR2(4000)) END) AS "Cổ phiếu quỹ",
	MAX(CASE WHEN bsc.TEN_COT=N'Vốn khả dụng' AND bsh.MA_HANG = '5' THEN CAST(gt.GIA_TRI AS VARCHAR2(4000)) END) AS "Quyền chọn chuyển đổi trái phiếu – Cấu phần vốn",
	MAX(CASE WHEN bsc.TEN_COT=N'Vốn khả dụng' AND bsh.MA_HANG = '6' THEN CAST(gt.GIA_TRI AS VARCHAR2(4000)) END) AS "Vốn khác của chủ sở hữu",
	MAX(CASE WHEN bsc.TEN_COT=N'Vốn khả dụng' AND bsh.MA_HANG = '7' THEN CAST(gt.GIA_TRI AS VARCHAR2(4000)) END) AS "Chênh lệch đánh giá tài sản theo giá trị hợp lý",
	MAX(CASE WHEN bsc.TEN_COT=N'Vốn khả dụng' AND bsh.MA_HANG = '8' THEN CAST(gt.GIA_TRI AS VARCHAR2(4000)) END) AS "Quỹ dự trữ bổ sung vốn điều lệ",
	MAX(CASE WHEN bsc.TEN_COT=N'Vốn khả dụng' AND bsh.MA_HANG = '9' THEN CAST(gt.GIA_TRI AS VARCHAR2(4000)) END) AS "Quỹ dự phòng tài chính và rủi ro nghiệp vụ",
	MAX(CASE WHEN bsc.TEN_COT=N'Vốn khả dụng' AND bsh.MA_HANG = '10' THEN CAST(gt.GIA_TRI AS VARCHAR2(4000)) END) AS "Quỹ khác thuộc vốn chủ sở hữu",
	MAX(CASE WHEN bsc.TEN_COT=N'Vốn khả dụng' AND bsh.MA_HANG = '11' THEN CAST(gt.GIA_TRI AS VARCHAR2(4000)) END) AS "Lợi nhuận chưa phân phối",
	MAX(CASE WHEN bsc.TEN_COT=N'Vốn khả dụng' AND bsh.MA_HANG = '12' THEN CAST(gt.GIA_TRI AS VARCHAR2(4000)) END) AS "Số dư dự phòng suy giảm giá trị tài sản",
	MAX(CASE WHEN bsc.TEN_COT=N'Vốn khả dụng' AND bsh.MA_HANG = '13' THEN CAST(gt.GIA_TRI AS VARCHAR2(4000)) END) AS "Chênh lệch đánh giá lại tài sản cố định",
	MAX(CASE WHEN bsc.TEN_COT=N'Vốn khả dụng' AND bsh.MA_HANG = '14' THEN CAST(gt.GIA_TRI AS VARCHAR2(4000)) END) AS "Chênh lệch tỷ giá hối đoái",
	MAX(CASE WHEN bsc.TEN_COT=N'Vốn khả dụng' AND bsh.MA_HANG = '15' THEN CAST(gt.GIA_TRI AS VARCHAR2(4000)) END) AS "Các khoản nợ có thể chuyển đổi",
	MAX(CASE WHEN bsc.TEN_COT=N'Vốn khả dụng' AND bsh.MA_HANG = '16' THEN CAST(gt.GIA_TRI AS VARCHAR2(4000)) END) AS "Toàn bộ phần giảm đi hoặc tăng thêm của các chứng khoán tại chỉ tiêu đầu tư tài chính",
	MAX(CASE WHEN bsc.TEN_COT=N'Vốn khả dụng' AND bsh.MA_HANG = '17' THEN CAST(gt.GIA_TRI AS VARCHAR2(4000)) END) AS "Vốn khác (nếu có)",
	MAX(CASE WHEN bsc.TEN_COT=N'Vốn khả dụng' AND bsh.MA_HANG = '18' THEN CAST(gt.GIA_TRI AS VARCHAR2(4000)) END) AS "Tổng",
	MAX(CASE WHEN bsc.TEN_COT=N'Vốn khả dụng' AND bsh.MA_HANG = '19' THEN CAST(gt.GIA_TRI AS VARCHAR2(4000)) END) AS "Tài sản ngắn hạn",
	MAX(CASE WHEN bsc.TEN_COT=N'Vốn khả dụng' AND bsh.MA_HANG = '20' THEN CAST(gt.GIA_TRI AS VARCHAR2(4000)) END) AS "Tài sản tài chính",
	MAX(CASE WHEN bsc.TEN_COT=N'Vốn khả dụng' AND bsh.MA_HANG = '21' THEN CAST(gt.GIA_TRI AS VARCHAR2(4000)) END) AS "Tiền và các khoản tương đương tiền",
	MAX(CASE WHEN bsc.TEN_COT=N'Vốn khả dụng' AND bsh.MA_HANG = '22' THEN CAST(gt.GIA_TRI AS VARCHAR2(4000)) END) AS "Các tài sản tài chính ghi nhận thông qua lãi/lỗ (FVTPL)",
	MAX(CASE WHEN bsc.TEN_COT=N'Vốn khả dụng' AND bsh.MA_HANG = '23' THEN CAST(gt.GIA_TRI AS VARCHAR2(4000)) END) AS "- Chứng khoán tiềm ẩn rủi ro thị trường",
	MAX(CASE WHEN bsc.TEN_COT=N'Vốn khả dụng' AND bsh.MA_HANG = '24' THEN CAST(gt.GIA_TRI AS VARCHAR2(4000)) END) AS "- Chứng khoán bị giảm trừ khỏi vốn khả dụng",
	MAX(CASE WHEN bsc.TEN_COT=N'Vốn khả dụng' AND bsh.MA_HANG = '25' THEN CAST(gt.GIA_TRI AS VARCHAR2(4000)) END) AS "Các khoản đầu tư nắm giữ đến ngày đáo hạn (HTM)",
	MAX(CASE WHEN bsc.TEN_COT=N'Vốn khả dụng' AND bsh.MA_HANG = '26' THEN CAST(gt.GIA_TRI AS VARCHAR2(4000)) END) AS "- Chứng khoán tiềm ẩn rủi ro thị trường",
	MAX(CASE WHEN bsc.TEN_COT=N'Vốn khả dụng' AND bsh.MA_HANG = '27' THEN CAST(gt.GIA_TRI AS VARCHAR2(4000)) END) AS "- Chứng khoán bị giảm trừ khỏi vốn khả dụng",
	MAX(CASE WHEN bsc.TEN_COT=N'Vốn khả dụng' AND bsh.MA_HANG = '28' THEN CAST(gt.GIA_TRI AS VARCHAR2(4000)) END) AS "Các khoản cho vay",
	MAX(CASE WHEN bsc.TEN_COT=N'Vốn khả dụng' AND bsh.MA_HANG = '29' THEN CAST(gt.GIA_TRI AS VARCHAR2(4000)) END) AS "Tài sản tài chính sẵn sàng để bán (AFS)",
	MAX(CASE WHEN bsc.TEN_COT=N'Vốn khả dụng' AND bsh.MA_HANG = '30' THEN CAST(gt.GIA_TRI AS VARCHAR2(4000)) END) AS "- Chứng khoán tiềm ẩn rủi ro thị trường",
	MAX(CASE WHEN bsc.TEN_COT=N'Vốn khả dụng' AND bsh.MA_HANG = '31' THEN CAST(gt.GIA_TRI AS VARCHAR2(4000)) END) AS "- Chứng khoán bị giảm trừ khỏi vốn khả dụng",
	MAX(CASE WHEN bsc.TEN_COT=N'Vốn khả dụng' AND bsh.MA_HANG = '32' THEN CAST(gt.GIA_TRI AS VARCHAR2(4000)) END) AS "Dự phòng suy giảm giá trị các tài sản tài chính và tài sản thế chấp",
	MAX(CASE WHEN bsc.TEN_COT=N'Vốn khả dụng' AND bsh.MA_HANG = '33' THEN CAST(gt.GIA_TRI AS VARCHAR2(4000)) END) AS "Các khoản phải thu (Phải thu bán các tài sản tài chính; Phải thu và dự thu cổ tức, tiền lãi từ các tài sản tài chính)",
	MAX(CASE WHEN bsc.TEN_COT=N'Vốn khả dụng' AND bsh.MA_HANG = '34' THEN CAST(gt.GIA_TRI AS VARCHAR2(4000)) END) AS "- Các khoản phải thu có thời hạn thanh toán còn lại từ 90 ngày trở xuống",
	MAX(CASE WHEN bsc.TEN_COT=N'Vốn khả dụng' AND bsh.MA_HANG = '35' THEN CAST(gt.GIA_TRI AS VARCHAR2(4000)) END) AS "- Các khoản phải thu có thời hạn thanh toán còn lại trên 90 ngày",
	MAX(CASE WHEN bsc.TEN_COT=N'Vốn khả dụng' AND bsh.MA_HANG = '36' THEN CAST(gt.GIA_TRI AS VARCHAR2(4000)) END) AS "- Phải thu còn hạn nhưng đối tác mất khả năng thanh toán",
	MAX(CASE WHEN bsc.TEN_COT=N'Vốn khả dụng' AND bsh.MA_HANG = '37' THEN CAST(gt.GIA_TRI AS VARCHAR2(4000)) END) AS "Chứng quyền có bảo đảm chưa phát hành hết",
	MAX(CASE WHEN bsc.TEN_COT=N'Vốn khả dụng' AND bsh.MA_HANG = '38' THEN CAST(gt.GIA_TRI AS VARCHAR2(4000)) END) AS "Chứng khoán cơ sở phục vụ mục đích phòng ngừa rủi ro khi phát hành chứng quyền có bảo đảm",
	MAX(CASE WHEN bsc.TEN_COT=N'Vốn khả dụng' AND bsh.MA_HANG = '39' THEN CAST(gt.GIA_TRI AS VARCHAR2(4000)) END) AS "Phải thu các dịch vụ công ty chứng khoán cung cấp",
	MAX(CASE WHEN bsc.TEN_COT=N'Vốn khả dụng' AND bsh.MA_HANG = '40' THEN CAST(gt.GIA_TRI AS VARCHAR2(4000)) END) AS "- Các khoản phải thu có thời hạn thanh toán còn lại từ 90 ngày trở xuống",
	MAX(CASE WHEN bsc.TEN_COT=N'Vốn khả dụng' AND bsh.MA_HANG = '41' THEN CAST(gt.GIA_TRI AS VARCHAR2(4000)) END) AS "- Các khoản phải thu có thời hạn thanh toán còn lại trên 90 ngày",
	MAX(CASE WHEN bsc.TEN_COT=N'Vốn khả dụng' AND bsh.MA_HANG = '42' THEN CAST(gt.GIA_TRI AS VARCHAR2(4000)) END) AS "- Phải thu còn hạn nhưng đối tác mất khả năng thanh toán",
	MAX(CASE WHEN bsc.TEN_COT=N'Vốn khả dụng' AND bsh.MA_HANG = '43' THEN CAST(gt.GIA_TRI AS VARCHAR2(4000)) END) AS "Phải thu nội bộ",
	MAX(CASE WHEN bsc.TEN_COT=N'Vốn khả dụng' AND bsh.MA_HANG = '44' THEN CAST(gt.GIA_TRI AS VARCHAR2(4000)) END) AS "- Phải thu nội bộ có thời hạn thanh toán còn lại từ 90 ngày trở xuống",
	MAX(CASE WHEN bsc.TEN_COT=N'Vốn khả dụng' AND bsh.MA_HANG = '45' THEN CAST(gt.GIA_TRI AS VARCHAR2(4000)) END) AS "- Phải thu nội bộ có thời hạn thanh toán còn lại trên 90 ngày",
	MAX(CASE WHEN bsc.TEN_COT=N'Vốn khả dụng' AND bsh.MA_HANG = '46' THEN CAST(gt.GIA_TRI AS VARCHAR2(4000)) END) AS "- Phải thu còn hạn nhưng đối tác mất khả năng thanh toán",
	MAX(CASE WHEN bsc.TEN_COT=N'Vốn khả dụng' AND bsh.MA_HANG = '47' THEN CAST(gt.GIA_TRI AS VARCHAR2(4000)) END) AS "Phải thu về lỗi giao dịch chứng khoán",
	MAX(CASE WHEN bsc.TEN_COT=N'Vốn khả dụng' AND bsh.MA_HANG = '48' THEN CAST(gt.GIA_TRI AS VARCHAR2(4000)) END) AS "- Các khoản phải thu có thời hạn thanh toán còn lại từ 90 ngày trở xuống",
	MAX(CASE WHEN bsc.TEN_COT=N'Vốn khả dụng' AND bsh.MA_HANG = '49' THEN CAST(gt.GIA_TRI AS VARCHAR2(4000)) END) AS "- Các khoản phải thu có thời hạn thanh toán còn lại trên 90 ngày",
	MAX(CASE WHEN bsc.TEN_COT=N'Vốn khả dụng' AND bsh.MA_HANG = '50' THEN CAST(gt.GIA_TRI AS VARCHAR2(4000)) END) AS "- Phải thu còn hạn nhưng đối tác mất khả năng thanh toán",
	MAX(CASE WHEN bsc.TEN_COT=N'Vốn khả dụng' AND bsh.MA_HANG = '51' THEN CAST(gt.GIA_TRI AS VARCHAR2(4000)) END) AS "Các khoản phải thu khác",
	MAX(CASE WHEN bsc.TEN_COT=N'Vốn khả dụng' AND bsh.MA_HANG = '52' THEN CAST(gt.GIA_TRI AS VARCHAR2(4000)) END) AS "- Các khoản phải thu có thời hạn thanh toán còn lại từ 90 ngày trở xuống",
	MAX(CASE WHEN bsc.TEN_COT=N'Vốn khả dụng' AND bsh.MA_HANG = '53' THEN CAST(gt.GIA_TRI AS VARCHAR2(4000)) END) AS "- Các khoản phải thu có thời hạn thanh toán còn lại trên 90 ngày",
	MAX(CASE WHEN bsc.TEN_COT=N'Vốn khả dụng' AND bsh.MA_HANG = '54' THEN CAST(gt.GIA_TRI AS VARCHAR2(4000)) END) AS "- Tạm ứng có thời hạn hoàn ứng còn lại trên 90 ngày",
	MAX(CASE WHEN bsc.TEN_COT=N'Vốn khả dụng' AND bsh.MA_HANG = '55' THEN CAST(gt.GIA_TRI AS VARCHAR2(4000)) END) AS "Dự phòng suy giảm giá trị các khoản phải thu",
	MAX(CASE WHEN bsc.TEN_COT=N'Vốn khả dụng' AND bsh.MA_HANG = '56' THEN CAST(gt.GIA_TRI AS VARCHAR2(4000)) END) AS "Tài sản ngắn hạn khác",
	MAX(CASE WHEN bsc.TEN_COT=N'Vốn khả dụng' AND bsh.MA_HANG = '57' THEN CAST(gt.GIA_TRI AS VARCHAR2(4000)) END) AS "Cầm cố, thế chấp, ký quỹ, ký cược ngắn hạn",
	MAX(CASE WHEN bsc.TEN_COT=N'Vốn khả dụng' AND bsh.MA_HANG = '58' THEN CAST(gt.GIA_TRI AS VARCHAR2(4000)) END) AS "Thuế giá trị gia tăng được khấu trừ",
	MAX(CASE WHEN bsc.TEN_COT=N'Vốn khả dụng' AND bsh.MA_HANG = '59' THEN CAST(gt.GIA_TRI AS VARCHAR2(4000)) END) AS "Thuế và các khoản khác phải thu Nhà nước",
	MAX(CASE WHEN bsc.TEN_COT=N'Vốn khả dụng' AND bsh.MA_HANG = '60' THEN CAST(gt.GIA_TRI AS VARCHAR2(4000)) END) AS "Tài sản ngắn hạn khác",
	MAX(CASE WHEN bsc.TEN_COT=N'Vốn khả dụng' AND bsh.MA_HANG = '61' THEN CAST(gt.GIA_TRI AS VARCHAR2(4000)) END) AS "Vật tư văn phòng, công cụ dụng cụ",
	MAX(CASE WHEN bsc.TEN_COT=N'Vốn khả dụng' AND bsh.MA_HANG = '62' THEN CAST(gt.GIA_TRI AS VARCHAR2(4000)) END) AS "Chi phí trả trước ngắn hạn",
	MAX(CASE WHEN bsc.TEN_COT=N'Vốn khả dụng' AND bsh.MA_HANG = '63' THEN CAST(gt.GIA_TRI AS VARCHAR2(4000)) END) AS "Cầm cố, thế chấp, ký quỹ, ký cược ngắn hạn",
	MAX(CASE WHEN bsc.TEN_COT=N'Vốn khả dụng' AND bsh.MA_HANG = '64' THEN CAST(gt.GIA_TRI AS VARCHAR2(4000)) END) AS "Thuế giá trị gia tăng được khấu trừ",
	MAX(CASE WHEN bsc.TEN_COT=N'Vốn khả dụng' AND bsh.MA_HANG = '65' THEN CAST(gt.GIA_TRI AS VARCHAR2(4000)) END) AS "Thuế và các khoản khác phải thu Nhà nước",
	MAX(CASE WHEN bsc.TEN_COT=N'Vốn khả dụng' AND bsh.MA_HANG = '66' THEN CAST(gt.GIA_TRI AS VARCHAR2(4000)) END) AS "Tài sản ngắn hạn khác",
	MAX(CASE WHEN bsc.TEN_COT=N'Vốn khả dụng' AND bsh.MA_HANG = '67' THEN CAST(gt.GIA_TRI AS VARCHAR2(4000)) END) AS "Dự phòng suy giảm giá trị tài sản ngắn hạn khác",
	MAX(CASE WHEN bsc.TEN_COT=N'Vốn khả dụng' AND bsh.MA_HANG = '68' THEN CAST(gt.GIA_TRI AS VARCHAR2(4000)) END) AS "Tổng",
	MAX(CASE WHEN bsc.TEN_COT=N'Vốn khả dụng' AND bsh.MA_HANG = '69' THEN CAST(gt.GIA_TRI AS VARCHAR2(4000)) END) AS "Tài sản dài hạn",
	MAX(CASE WHEN bsc.TEN_COT=N'Vốn khả dụng' AND bsh.MA_HANG = '70' THEN CAST(gt.GIA_TRI AS VARCHAR2(4000)) END) AS "Tài sản tài chính dài hạn",
	MAX(CASE WHEN bsc.TEN_COT=N'Vốn khả dụng' AND bsh.MA_HANG = '71' THEN CAST(gt.GIA_TRI AS VARCHAR2(4000)) END) AS "Các khoản phải thu dài hạn",
	MAX(CASE WHEN bsc.TEN_COT=N'Vốn khả dụng' AND bsh.MA_HANG = '72' THEN CAST(gt.GIA_TRI AS VARCHAR2(4000)) END) AS "Các khoản đầu tư",
	MAX(CASE WHEN bsc.TEN_COT=N'Vốn khả dụng' AND bsh.MA_HANG = '73' THEN CAST(gt.GIA_TRI AS VARCHAR2(4000)) END) AS "Các khoản đầu tư nắm giữ đến ngày đáo hạn",
	MAX(CASE WHEN bsc.TEN_COT=N'Vốn khả dụng' AND bsh.MA_HANG = '74' THEN CAST(gt.GIA_TRI AS VARCHAR2(4000)) END) AS "- Chứng khoán tiềm ẩn rủi ro thị trường",
	MAX(CASE WHEN bsc.TEN_COT=N'Vốn khả dụng' AND bsh.MA_HANG = '75' THEN CAST(gt.GIA_TRI AS VARCHAR2(4000)) END) AS "- Chứng khoán bị giảm trừ khỏi vốn khả dụng",
	MAX(CASE WHEN bsc.TEN_COT=N'Vốn khả dụng' AND bsh.MA_HANG = '76' THEN CAST(gt.GIA_TRI AS VARCHAR2(4000)) END) AS "Đầu tư vào công ty con",
	MAX(CASE WHEN bsc.TEN_COT=N'Vốn khả dụng' AND bsh.MA_HANG = '78' THEN CAST(gt.GIA_TRI AS VARCHAR2(4000)) END) AS "Đầu tư dài hạn khác",  -- DB cũ là MA_HANG = '78'
	MAX(CASE WHEN bsc.TEN_COT=N'Vốn khả dụng' AND bsh.MA_HANG = '78' THEN CAST(gt.GIA_TRI AS VARCHAR2(4000)) END) AS "Tài sản cố định",
	MAX(CASE WHEN bsc.TEN_COT=N'Vốn khả dụng' AND bsh.MA_HANG = '79' THEN CAST(gt.GIA_TRI AS VARCHAR2(4000)) END) AS "Bất động sản đầu tư",
	MAX(CASE WHEN bsc.TEN_COT=N'Vốn khả dụng' AND bsh.MA_HANG = '80' THEN CAST(gt.GIA_TRI AS VARCHAR2(4000)) END) AS "Chi phí xây dựng cơ bản dở dang",
	MAX(CASE WHEN bsc.TEN_COT=N'Vốn khả dụng' AND bsh.MA_HANG = '81' THEN CAST(gt.GIA_TRI AS VARCHAR2(4000)) END) AS "Tài sản dài hạn khác",
	MAX(CASE WHEN bsc.TEN_COT=N'Vốn khả dụng' AND bsh.MA_HANG = '82' THEN CAST(gt.GIA_TRI AS VARCHAR2(4000)) END) AS "Cầm cố, thế chấp, ký quỹ, ký cược dài hạn",
	MAX(CASE WHEN bsc.TEN_COT=N'Vốn khả dụng' AND bsh.MA_HANG = '83' THEN CAST(gt.GIA_TRI AS VARCHAR2(4000)) END) AS "Chi phí trả trước dài hạn",
	MAX(CASE WHEN bsc.TEN_COT=N'Vốn khả dụng' AND bsh.MA_HANG = '84' THEN CAST(gt.GIA_TRI AS VARCHAR2(4000)) END) AS "Tài sản thuế thu nhập hoãn lại",
	MAX(CASE WHEN bsc.TEN_COT=N'Vốn khả dụng' AND bsh.MA_HANG = '85' THEN CAST(gt.GIA_TRI AS VARCHAR2(4000)) END) AS "Tiền nộp Quỹ hỗ trợ thanh toán",
	MAX(CASE WHEN bsc.TEN_COT=N'Vốn khả dụng' AND bsh.MA_HANG = '86' THEN CAST(gt.GIA_TRI AS VARCHAR2(4000)) END) AS "Tài sản dài hạn khác",
	MAX(CASE WHEN bsc.TEN_COT=N'Vốn khả dụng' AND bsh.MA_HANG = '87' THEN CAST(gt.GIA_TRI AS VARCHAR2(4000)) END) AS "Các chỉ tiêu tài sản bị coi là khoản ngoại trừ, có ý kiến trái ngược hoặc từ chối đưa ra ý kiến tại báo cáo tài chính đã được kiểm toán, soát xét mà không bị tính giảm trừ theo quy định tại Điều 5",
	MAX(CASE WHEN bsc.TEN_COT=N'Vốn khả dụng' AND bsh.MA_HANG = '88' THEN CAST(gt.GIA_TRI AS VARCHAR2(4000)) END) AS "Các chỉ tiêu tài sản bị coi là khoản ngoại trừ, có ý kiến trái ngược hoặc từ chối đưa ra ý kiến tại báo cáo tài chính đã được kiểm toán, soát xét mà không bị tính giảm trừ theo quy định tại Điều 5",
	MAX(CASE WHEN bsc.TEN_COT=N'Vốn khả dụng' AND bsh.MA_HANG = '89' THEN CAST(gt.GIA_TRI AS VARCHAR2(4000)) END) AS "Tổng",
	MAX(CASE WHEN bsc.TEN_COT=N'Vốn khả dụng' AND bsh.MA_HANG = '90' THEN CAST(gt.GIA_TRI AS VARCHAR2(4000)) END) AS "Các khoản ký quỹ, đảm bảo",
	MAX(CASE WHEN bsc.TEN_COT=N'Vốn khả dụng' AND bsh.MA_HANG = '91' THEN CAST(gt.GIA_TRI AS VARCHAR2(4000)) END) AS "Giá trị ký quỹ",
	MAX(CASE WHEN bsc.TEN_COT=N'Vốn khả dụng' AND bsh.MA_HANG = '92' THEN CAST(gt.GIA_TRI AS VARCHAR2(4000)) END) AS "Giá trị đóng góp vào quỹ hỗ trợ thanh toán của Tổng công ty lưu ký và bù trừ chứng khoán Việt Nam",
	MAX(CASE WHEN bsc.TEN_COT=N'Vốn khả dụng' AND bsh.MA_HANG = '93' THEN CAST(gt.GIA_TRI AS VARCHAR2(4000)) END) AS "Giá trị đóng góp vào quỹ bù trừ của đối tác thanh toán trung tâm đối với vị thế mở của chính thành viên bù trừ",
	MAX(CASE WHEN bsc.TEN_COT=N'Vốn khả dụng' AND bsh.MA_HANG = '94' THEN CAST(gt.GIA_TRI AS VARCHAR2(4000)) END) AS "Khoản ký quỹ bằng tiền và giá trị bảo lãnh thanh toán của ngân hàng khi phát hành chứng quyền có bảo đảm",
	MAX(CASE WHEN bsc.TEN_COT=N'Vốn khả dụng' AND bsh.MA_HANG = '95' THEN CAST(gt.GIA_TRI AS VARCHAR2(4000)) END) AS "Giá trị tài sản bảo đảm cho các nghĩa vụ phải trả có thời hạn còn lại trên 90 ngày",
	MAX(CASE WHEN bsc.TEN_COT=N'Vốn khả dụng' AND bsh.MA_HANG = '96' THEN CAST(gt.GIA_TRI AS VARCHAR2(4000)) END) AS "Tổng",
	MAX(CASE WHEN bsc.TEN_COT=N'Vốn khả dụng' AND bsh.MA_HANG = '97' THEN CAST(gt.GIA_TRI AS VARCHAR2(4000)) END) AS "VỐN KHẢ DỤNG = 1A-1B-1C-1D",
    -- Khoản giảm trừ
    MAX(CASE WHEN bsc.TEN_COT=N'Khoản giảm trừ' AND bsh.MA_HANG = '1' THEN CAST(gt.GIA_TRI AS VARCHAR2(4000)) END) AS "Vốn chủ sở hữu",                                                                               
	MAX(CASE WHEN bsc.TEN_COT=N'Khoản giảm trừ' AND bsh.MA_HANG = '2' THEN CAST(gt.GIA_TRI AS VARCHAR2(4000)) END) AS "Vốn góp của chủ sở hữu không bao gồm cổ phần ưu đãi hoàn lại (nếu có)",                            
	MAX(CASE WHEN bsc.TEN_COT=N'Khoản giảm trừ' AND bsh.MA_HANG = '3' THEN CAST(gt.GIA_TRI AS VARCHAR2(4000)) END) AS "Thặng dư vốn cổ phần không bao gồm cổ phần ưu đãi hoàn lại (nếu có)",
	MAX(CASE WHEN bsc.TEN_COT=N'Khoản giảm trừ' AND bsh.MA_HANG = '4' THEN CAST(gt.GIA_TRI AS VARCHAR2(4000)) END) AS "Cổ phiếu quỹ",
	MAX(CASE WHEN bsc.TEN_COT=N'Khoản giảm trừ' AND bsh.MA_HANG = '5' THEN CAST(gt.GIA_TRI AS VARCHAR2(4000)) END) AS "Quyền chọn chuyển đổi trái phiếu – Cấu phần vốn",
	MAX(CASE WHEN bsc.TEN_COT=N'Khoản giảm trừ' AND bsh.MA_HANG = '6' THEN CAST(gt.GIA_TRI AS VARCHAR2(4000)) END) AS "Vốn khác của chủ sở hữu",
	MAX(CASE WHEN bsc.TEN_COT=N'Khoản giảm trừ' AND bsh.MA_HANG = '7' THEN CAST(gt.GIA_TRI AS VARCHAR2(4000)) END) AS "Chênh lệch đánh giá tài sản theo giá trị hợp lý",
	MAX(CASE WHEN bsc.TEN_COT=N'Khoản giảm trừ' AND bsh.MA_HANG = '8' THEN CAST(gt.GIA_TRI AS VARCHAR2(4000)) END) AS "Quỹ dự trữ bổ sung vốn điều lệ",
	MAX(CASE WHEN bsc.TEN_COT=N'Khoản giảm trừ' AND bsh.MA_HANG = '9' THEN CAST(gt.GIA_TRI AS VARCHAR2(4000)) END) AS "Quỹ dự phòng tài chính và rủi ro nghiệp vụ",
	MAX(CASE WHEN bsc.TEN_COT=N'Khoản giảm trừ' AND bsh.MA_HANG = '10' THEN CAST(gt.GIA_TRI AS VARCHAR2(4000)) END) AS "Quỹ khác thuộc vốn chủ sở hữu",
	MAX(CASE WHEN bsc.TEN_COT=N'Khoản giảm trừ' AND bsh.MA_HANG = '11' THEN CAST(gt.GIA_TRI AS VARCHAR2(4000)) END) AS "Lợi nhuận chưa phân phối",
	MAX(CASE WHEN bsc.TEN_COT=N'Khoản giảm trừ' AND bsh.MA_HANG = '12' THEN CAST(gt.GIA_TRI AS VARCHAR2(4000)) END) AS "Số dư dự phòng suy giảm giá trị tài sản",
	MAX(CASE WHEN bsc.TEN_COT=N'Khoản giảm trừ' AND bsh.MA_HANG = '13' THEN CAST(gt.GIA_TRI AS VARCHAR2(4000)) END) AS "Chênh lệch đánh giá lại tài sản cố định",
	MAX(CASE WHEN bsc.TEN_COT=N'Khoản giảm trừ' AND bsh.MA_HANG = '14' THEN CAST(gt.GIA_TRI AS VARCHAR2(4000)) END) AS "Chênh lệch tỷ giá hối đoái",
	MAX(CASE WHEN bsc.TEN_COT=N'Khoản giảm trừ' AND bsh.MA_HANG = '15' THEN CAST(gt.GIA_TRI AS VARCHAR2(4000)) END) AS "Các khoản nợ có thể chuyển đổi",
	MAX(CASE WHEN bsc.TEN_COT=N'Khoản giảm trừ' AND bsh.MA_HANG = '16' THEN CAST(gt.GIA_TRI AS VARCHAR2(4000)) END) AS "Toàn bộ phần giảm đi hoặc tăng thêm của các chứng khoán tại chỉ tiêu đầu tư tài chính",
	MAX(CASE WHEN bsc.TEN_COT=N'Khoản giảm trừ' AND bsh.MA_HANG = '17' THEN CAST(gt.GIA_TRI AS VARCHAR2(4000)) END) AS "Vốn khác (nếu có)",
	MAX(CASE WHEN bsc.TEN_COT=N'Khoản giảm trừ' AND bsh.MA_HANG = '18' THEN CAST(gt.GIA_TRI AS VARCHAR2(4000)) END) AS "Tổng",
	MAX(CASE WHEN bsc.TEN_COT=N'Khoản giảm trừ' AND bsh.MA_HANG = '19' THEN CAST(gt.GIA_TRI AS VARCHAR2(4000)) END) AS "Tài sản ngắn hạn",
	MAX(CASE WHEN bsc.TEN_COT=N'Khoản giảm trừ' AND bsh.MA_HANG = '20' THEN CAST(gt.GIA_TRI AS VARCHAR2(4000)) END) AS "Tài sản tài chính",
	MAX(CASE WHEN bsc.TEN_COT=N'Khoản giảm trừ' AND bsh.MA_HANG = '21' THEN CAST(gt.GIA_TRI AS VARCHAR2(4000)) END) AS "Tiền và các khoản tương đương tiền",
	MAX(CASE WHEN bsc.TEN_COT=N'Khoản giảm trừ' AND bsh.MA_HANG = '22' THEN CAST(gt.GIA_TRI AS VARCHAR2(4000)) END) AS "Các tài sản tài chính ghi nhận thông qua lãi/lỗ (FVTPL)",
	MAX(CASE WHEN bsc.TEN_COT=N'Khoản giảm trừ' AND bsh.MA_HANG = '23' THEN CAST(gt.GIA_TRI AS VARCHAR2(4000)) END) AS "- Chứng khoán tiềm ẩn rủi ro thị trường",
	MAX(CASE WHEN bsc.TEN_COT=N'Khoản giảm trừ' AND bsh.MA_HANG = '24' THEN CAST(gt.GIA_TRI AS VARCHAR2(4000)) END) AS "- Chứng khoán bị giảm trừ khỏi vốn khả dụng",
	MAX(CASE WHEN bsc.TEN_COT=N'Khoản giảm trừ' AND bsh.MA_HANG = '25' THEN CAST(gt.GIA_TRI AS VARCHAR2(4000)) END) AS "Các khoản đầu tư nắm giữ đến ngày đáo hạn (HTM)",
	MAX(CASE WHEN bsc.TEN_COT=N'Khoản giảm trừ' AND bsh.MA_HANG = '26' THEN CAST(gt.GIA_TRI AS VARCHAR2(4000)) END) AS "- Chứng khoán tiềm ẩn rủi ro thị trường",
	MAX(CASE WHEN bsc.TEN_COT=N'Khoản giảm trừ' AND bsh.MA_HANG = '27' THEN CAST(gt.GIA_TRI AS VARCHAR2(4000)) END) AS "- Chứng khoán bị giảm trừ khỏi vốn khả dụng",
	MAX(CASE WHEN bsc.TEN_COT=N'Khoản giảm trừ' AND bsh.MA_HANG = '28' THEN CAST(gt.GIA_TRI AS VARCHAR2(4000)) END) AS "Các khoản cho vay",
	MAX(CASE WHEN bsc.TEN_COT=N'Khoản giảm trừ' AND bsh.MA_HANG = '29' THEN CAST(gt.GIA_TRI AS VARCHAR2(4000)) END) AS "Tài sản tài chính sẵn sàng để bán (AFS)",
	MAX(CASE WHEN bsc.TEN_COT=N'Khoản giảm trừ' AND bsh.MA_HANG = '30' THEN CAST(gt.GIA_TRI AS VARCHAR2(4000)) END) AS "- Chứng khoán tiềm ẩn rủi ro thị trường",
	MAX(CASE WHEN bsc.TEN_COT=N'Khoản giảm trừ' AND bsh.MA_HANG = '31' THEN CAST(gt.GIA_TRI AS VARCHAR2(4000)) END) AS "- Chứng khoán bị giảm trừ khỏi vốn khả dụng",
	MAX(CASE WHEN bsc.TEN_COT=N'Khoản giảm trừ' AND bsh.MA_HANG = '32' THEN CAST(gt.GIA_TRI AS VARCHAR2(4000)) END) AS "Dự phòng suy giảm giá trị các tài sản tài chính và tài sản thế chấp",
	MAX(CASE WHEN bsc.TEN_COT=N'Khoản giảm trừ' AND bsh.MA_HANG = '33' THEN CAST(gt.GIA_TRI AS VARCHAR2(4000)) END) AS "Các khoản phải thu (Phải thu bán các tài sản tài chính; Phải thu và dự thu cổ tức, tiền lãi từ các tài sản tài chính)",
	MAX(CASE WHEN bsc.TEN_COT=N'Khoản giảm trừ' AND bsh.MA_HANG = '34' THEN CAST(gt.GIA_TRI AS VARCHAR2(4000)) END) AS "- Các khoản phải thu có thời hạn thanh toán còn lại từ 90 ngày trở xuống",
	MAX(CASE WHEN bsc.TEN_COT=N'Khoản giảm trừ' AND bsh.MA_HANG = '35' THEN CAST(gt.GIA_TRI AS VARCHAR2(4000)) END) AS "- Các khoản phải thu có thời hạn thanh toán còn lại trên 90 ngày",
	MAX(CASE WHEN bsc.TEN_COT=N'Khoản giảm trừ' AND bsh.MA_HANG = '36' THEN CAST(gt.GIA_TRI AS VARCHAR2(4000)) END) AS "- Phải thu còn hạn nhưng đối tác mất khả năng thanh toán",
	MAX(CASE WHEN bsc.TEN_COT=N'Khoản giảm trừ' AND bsh.MA_HANG = '37' THEN CAST(gt.GIA_TRI AS VARCHAR2(4000)) END) AS "Chứng quyền có bảo đảm chưa phát hành hết",
	MAX(CASE WHEN bsc.TEN_COT=N'Khoản giảm trừ' AND bsh.MA_HANG = '38' THEN CAST(gt.GIA_TRI AS VARCHAR2(4000)) END) AS "Chứng khoán cơ sở phục vụ mục đích phòng ngừa rủi ro khi phát hành chứng quyền có bảo đảm",
	MAX(CASE WHEN bsc.TEN_COT=N'Khoản giảm trừ' AND bsh.MA_HANG = '39' THEN CAST(gt.GIA_TRI AS VARCHAR2(4000)) END) AS "Phải thu các dịch vụ công ty chứng khoán cung cấp",
	MAX(CASE WHEN bsc.TEN_COT=N'Khoản giảm trừ' AND bsh.MA_HANG = '40' THEN CAST(gt.GIA_TRI AS VARCHAR2(4000)) END) AS "- Các khoản phải thu có thời hạn thanh toán còn lại từ 90 ngày trở xuống",
	MAX(CASE WHEN bsc.TEN_COT=N'Khoản giảm trừ' AND bsh.MA_HANG = '41' THEN CAST(gt.GIA_TRI AS VARCHAR2(4000)) END) AS "- Các khoản phải thu có thời hạn thanh toán còn lại trên 90 ngày",
	MAX(CASE WHEN bsc.TEN_COT=N'Khoản giảm trừ' AND bsh.MA_HANG = '42' THEN CAST(gt.GIA_TRI AS VARCHAR2(4000)) END) AS "- Phải thu còn hạn nhưng đối tác mất khả năng thanh toán",
	MAX(CASE WHEN bsc.TEN_COT=N'Khoản giảm trừ' AND bsh.MA_HANG = '43' THEN CAST(gt.GIA_TRI AS VARCHAR2(4000)) END) AS "Phải thu nội bộ",
	MAX(CASE WHEN bsc.TEN_COT=N'Khoản giảm trừ' AND bsh.MA_HANG = '44' THEN CAST(gt.GIA_TRI AS VARCHAR2(4000)) END) AS "- Phải thu nội bộ có thời hạn thanh toán còn lại từ 90 ngày trở xuống",
	MAX(CASE WHEN bsc.TEN_COT=N'Khoản giảm trừ' AND bsh.MA_HANG = '45' THEN CAST(gt.GIA_TRI AS VARCHAR2(4000)) END) AS "- Phải thu nội bộ có thời hạn thanh toán còn lại trên 90 ngày",
	MAX(CASE WHEN bsc.TEN_COT=N'Khoản giảm trừ' AND bsh.MA_HANG = '46' THEN CAST(gt.GIA_TRI AS VARCHAR2(4000)) END) AS "- Phải thu còn hạn nhưng đối tác mất khả năng thanh toán",
	MAX(CASE WHEN bsc.TEN_COT=N'Khoản giảm trừ' AND bsh.MA_HANG = '47' THEN CAST(gt.GIA_TRI AS VARCHAR2(4000)) END) AS "Phải thu về lỗi giao dịch chứng khoán",
	MAX(CASE WHEN bsc.TEN_COT=N'Khoản giảm trừ' AND bsh.MA_HANG = '48' THEN CAST(gt.GIA_TRI AS VARCHAR2(4000)) END) AS "- Các khoản phải thu có thời hạn thanh toán còn lại từ 90 ngày trở xuống",
	MAX(CASE WHEN bsc.TEN_COT=N'Khoản giảm trừ' AND bsh.MA_HANG = '49' THEN CAST(gt.GIA_TRI AS VARCHAR2(4000)) END) AS "- Các khoản phải thu có thời hạn thanh toán còn lại trên 90 ngày",
	MAX(CASE WHEN bsc.TEN_COT=N'Khoản giảm trừ' AND bsh.MA_HANG = '50' THEN CAST(gt.GIA_TRI AS VARCHAR2(4000)) END) AS "- Phải thu còn hạn nhưng đối tác mất khả năng thanh toán",
	MAX(CASE WHEN bsc.TEN_COT=N'Khoản giảm trừ' AND bsh.MA_HANG = '51' THEN CAST(gt.GIA_TRI AS VARCHAR2(4000)) END) AS "Các khoản phải thu khác",
	MAX(CASE WHEN bsc.TEN_COT=N'Khoản giảm trừ' AND bsh.MA_HANG = '52' THEN CAST(gt.GIA_TRI AS VARCHAR2(4000)) END) AS "- Các khoản phải thu có thời hạn thanh toán còn lại từ 90 ngày trở xuống",
	MAX(CASE WHEN bsc.TEN_COT=N'Khoản giảm trừ' AND bsh.MA_HANG = '53' THEN CAST(gt.GIA_TRI AS VARCHAR2(4000)) END) AS "- Các khoản phải thu có thời hạn thanh toán còn lại trên 90 ngày",
	MAX(CASE WHEN bsc.TEN_COT=N'Khoản giảm trừ' AND bsh.MA_HANG = '54' THEN CAST(gt.GIA_TRI AS VARCHAR2(4000)) END) AS "- Tạm ứng có thời hạn hoàn ứng còn lại trên 90 ngày",
	MAX(CASE WHEN bsc.TEN_COT=N'Khoản giảm trừ' AND bsh.MA_HANG = '55' THEN CAST(gt.GIA_TRI AS VARCHAR2(4000)) END) AS "Dự phòng suy giảm giá trị các khoản phải thu",
	MAX(CASE WHEN bsc.TEN_COT=N'Khoản giảm trừ' AND bsh.MA_HANG = '56' THEN CAST(gt.GIA_TRI AS VARCHAR2(4000)) END) AS "Tài sản ngắn hạn khác",
	MAX(CASE WHEN bsc.TEN_COT=N'Khoản giảm trừ' AND bsh.MA_HANG = '57' THEN CAST(gt.GIA_TRI AS VARCHAR2(4000)) END) AS "Cầm cố, thế chấp, ký quỹ, ký cược ngắn hạn",
	MAX(CASE WHEN bsc.TEN_COT=N'Khoản giảm trừ' AND bsh.MA_HANG = '58' THEN CAST(gt.GIA_TRI AS VARCHAR2(4000)) END) AS "Thuế giá trị gia tăng được khấu trừ",
	MAX(CASE WHEN bsc.TEN_COT=N'Khoản giảm trừ' AND bsh.MA_HANG = '59' THEN CAST(gt.GIA_TRI AS VARCHAR2(4000)) END) AS "Thuế và các khoản khác phải thu Nhà nước",
	MAX(CASE WHEN bsc.TEN_COT=N'Khoản giảm trừ' AND bsh.MA_HANG = '60' THEN CAST(gt.GIA_TRI AS VARCHAR2(4000)) END) AS "Tài sản ngắn hạn khác",
	MAX(CASE WHEN bsc.TEN_COT=N'Khoản giảm trừ' AND bsh.MA_HANG = '61' THEN CAST(gt.GIA_TRI AS VARCHAR2(4000)) END) AS "Vật tư văn phòng, công cụ dụng cụ",
	MAX(CASE WHEN bsc.TEN_COT=N'Khoản giảm trừ' AND bsh.MA_HANG = '62' THEN CAST(gt.GIA_TRI AS VARCHAR2(4000)) END) AS "Chi phí trả trước ngắn hạn",
	MAX(CASE WHEN bsc.TEN_COT=N'Khoản giảm trừ' AND bsh.MA_HANG = '63' THEN CAST(gt.GIA_TRI AS VARCHAR2(4000)) END) AS "Cầm cố, thế chấp, ký quỹ, ký cược ngắn hạn",
	MAX(CASE WHEN bsc.TEN_COT=N'Khoản giảm trừ' AND bsh.MA_HANG = '64' THEN CAST(gt.GIA_TRI AS VARCHAR2(4000)) END) AS "Thuế giá trị gia tăng được khấu trừ",
	MAX(CASE WHEN bsc.TEN_COT=N'Khoản giảm trừ' AND bsh.MA_HANG = '65' THEN CAST(gt.GIA_TRI AS VARCHAR2(4000)) END) AS "Thuế và các khoản khác phải thu Nhà nước",
	MAX(CASE WHEN bsc.TEN_COT=N'Khoản giảm trừ' AND bsh.MA_HANG = '66' THEN CAST(gt.GIA_TRI AS VARCHAR2(4000)) END) AS "Tài sản ngắn hạn khác",
	MAX(CASE WHEN bsc.TEN_COT=N'Khoản giảm trừ' AND bsh.MA_HANG = '67' THEN CAST(gt.GIA_TRI AS VARCHAR2(4000)) END) AS "Dự phòng suy giảm giá trị tài sản ngắn hạn khác",
	MAX(CASE WHEN bsc.TEN_COT=N'Khoản giảm trừ' AND bsh.MA_HANG = '68' THEN CAST(gt.GIA_TRI AS VARCHAR2(4000)) END) AS "Tổng",
	MAX(CASE WHEN bsc.TEN_COT=N'Khoản giảm trừ' AND bsh.MA_HANG = '69' THEN CAST(gt.GIA_TRI AS VARCHAR2(4000)) END) AS "Tài sản dài hạn",
	MAX(CASE WHEN bsc.TEN_COT=N'Khoản giảm trừ' AND bsh.MA_HANG = '70' THEN CAST(gt.GIA_TRI AS VARCHAR2(4000)) END) AS "Tài sản tài chính dài hạn",
	MAX(CASE WHEN bsc.TEN_COT=N'Khoản giảm trừ' AND bsh.MA_HANG = '71' THEN CAST(gt.GIA_TRI AS VARCHAR2(4000)) END) AS "Các khoản phải thu dài hạn",
	MAX(CASE WHEN bsc.TEN_COT=N'Khoản giảm trừ' AND bsh.MA_HANG = '72' THEN CAST(gt.GIA_TRI AS VARCHAR2(4000)) END) AS "Các khoản đầu tư",
	MAX(CASE WHEN bsc.TEN_COT=N'Khoản giảm trừ' AND bsh.MA_HANG = '73' THEN CAST(gt.GIA_TRI AS VARCHAR2(4000)) END) AS "Các khoản đầu tư nắm giữ đến ngày đáo hạn",
	MAX(CASE WHEN bsc.TEN_COT=N'Khoản giảm trừ' AND bsh.MA_HANG = '74' THEN CAST(gt.GIA_TRI AS VARCHAR2(4000)) END) AS "- Chứng khoán tiềm ẩn rủi ro thị trường",
	MAX(CASE WHEN bsc.TEN_COT=N'Khoản giảm trừ' AND bsh.MA_HANG = '75' THEN CAST(gt.GIA_TRI AS VARCHAR2(4000)) END) AS "- Chứng khoán bị giảm trừ khỏi vốn khả dụng",
	MAX(CASE WHEN bsc.TEN_COT=N'Khoản giảm trừ' AND bsh.MA_HANG = '76' THEN CAST(gt.GIA_TRI AS VARCHAR2(4000)) END) AS "Đầu tư vào công ty con",
	MAX(CASE WHEN bsc.TEN_COT=N'Khoản giảm trừ' AND bsh.MA_HANG = '78' THEN CAST(gt.GIA_TRI AS VARCHAR2(4000)) END) AS "Đầu tư dài hạn khác",  -- DB cũ là MA_HANG = '78'
	MAX(CASE WHEN bsc.TEN_COT=N'Khoản giảm trừ' AND bsh.MA_HANG = '78' THEN CAST(gt.GIA_TRI AS VARCHAR2(4000)) END) AS "Tài sản cố định",
	MAX(CASE WHEN bsc.TEN_COT=N'Khoản giảm trừ' AND bsh.MA_HANG = '79' THEN CAST(gt.GIA_TRI AS VARCHAR2(4000)) END) AS "Bất động sản đầu tư",
	MAX(CASE WHEN bsc.TEN_COT=N'Khoản giảm trừ' AND bsh.MA_HANG = '80' THEN CAST(gt.GIA_TRI AS VARCHAR2(4000)) END) AS "Chi phí xây dựng cơ bản dở dang",
	MAX(CASE WHEN bsc.TEN_COT=N'Khoản giảm trừ' AND bsh.MA_HANG = '81' THEN CAST(gt.GIA_TRI AS VARCHAR2(4000)) END) AS "Tài sản dài hạn khác",
	MAX(CASE WHEN bsc.TEN_COT=N'Khoản giảm trừ' AND bsh.MA_HANG = '82' THEN CAST(gt.GIA_TRI AS VARCHAR2(4000)) END) AS "Cầm cố, thế chấp, ký quỹ, ký cược dài hạn",
	MAX(CASE WHEN bsc.TEN_COT=N'Khoản giảm trừ' AND bsh.MA_HANG = '83' THEN CAST(gt.GIA_TRI AS VARCHAR2(4000)) END) AS "Chi phí trả trước dài hạn",
	MAX(CASE WHEN bsc.TEN_COT=N'Khoản giảm trừ' AND bsh.MA_HANG = '84' THEN CAST(gt.GIA_TRI AS VARCHAR2(4000)) END) AS "Tài sản thuế thu nhập hoãn lại",
	MAX(CASE WHEN bsc.TEN_COT=N'Khoản giảm trừ' AND bsh.MA_HANG = '85' THEN CAST(gt.GIA_TRI AS VARCHAR2(4000)) END) AS "Tiền nộp Quỹ hỗ trợ thanh toán",
	MAX(CASE WHEN bsc.TEN_COT=N'Khoản giảm trừ' AND bsh.MA_HANG = '86' THEN CAST(gt.GIA_TRI AS VARCHAR2(4000)) END) AS "Tài sản dài hạn khác",
	MAX(CASE WHEN bsc.TEN_COT=N'Khoản giảm trừ' AND bsh.MA_HANG = '87' THEN CAST(gt.GIA_TRI AS VARCHAR2(4000)) END) AS "Các chỉ tiêu tài sản bị coi là khoản ngoại trừ, có ý kiến trái ngược hoặc từ chối đưa ra ý kiến tại báo cáo tài chính đã được kiểm toán, soát xét mà không bị tính giảm trừ theo quy định tại Điều 5",
	MAX(CASE WHEN bsc.TEN_COT=N'Khoản giảm trừ' AND bsh.MA_HANG = '88' THEN CAST(gt.GIA_TRI AS VARCHAR2(4000)) END) AS "Các chỉ tiêu tài sản bị coi là khoản ngoại trừ, có ý kiến trái ngược hoặc từ chối đưa ra ý kiến tại báo cáo tài chính đã được kiểm toán, soát xét mà không bị tính giảm trừ theo quy định tại Điều 5",
	MAX(CASE WHEN bsc.TEN_COT=N'Khoản giảm trừ' AND bsh.MA_HANG = '89' THEN CAST(gt.GIA_TRI AS VARCHAR2(4000)) END) AS "Tổng",
	MAX(CASE WHEN bsc.TEN_COT=N'Khoản giảm trừ' AND bsh.MA_HANG = '90' THEN CAST(gt.GIA_TRI AS VARCHAR2(4000)) END) AS "Các khoản ký quỹ, đảm bảo",
	MAX(CASE WHEN bsc.TEN_COT=N'Khoản giảm trừ' AND bsh.MA_HANG = '91' THEN CAST(gt.GIA_TRI AS VARCHAR2(4000)) END) AS "Giá trị ký quỹ",
	MAX(CASE WHEN bsc.TEN_COT=N'Khoản giảm trừ' AND bsh.MA_HANG = '92' THEN CAST(gt.GIA_TRI AS VARCHAR2(4000)) END) AS "Giá trị đóng góp vào quỹ hỗ trợ thanh toán của Tổng công ty lưu ký và bù trừ chứng khoán Việt Nam",
	MAX(CASE WHEN bsc.TEN_COT=N'Khoản giảm trừ' AND bsh.MA_HANG = '93' THEN CAST(gt.GIA_TRI AS VARCHAR2(4000)) END) AS "Giá trị đóng góp vào quỹ bù trừ của đối tác thanh toán trung tâm đối với vị thế mở của chính thành viên bù trừ",
	MAX(CASE WHEN bsc.TEN_COT=N'Khoản giảm trừ' AND bsh.MA_HANG = '94' THEN CAST(gt.GIA_TRI AS VARCHAR2(4000)) END) AS "Khoản ký quỹ bằng tiền và giá trị bảo lãnh thanh toán của ngân hàng khi phát hành chứng quyền có bảo đảm",
	MAX(CASE WHEN bsc.TEN_COT=N'Khoản giảm trừ' AND bsh.MA_HANG = '95' THEN CAST(gt.GIA_TRI AS VARCHAR2(4000)) END) AS "Giá trị tài sản bảo đảm cho các nghĩa vụ phải trả có thời hạn còn lại trên 90 ngày",
	MAX(CASE WHEN bsc.TEN_COT=N'Khoản giảm trừ' AND bsh.MA_HANG = '96' THEN CAST(gt.GIA_TRI AS VARCHAR2(4000)) END) AS "Tổng",
	MAX(CASE WHEN bsc.TEN_COT=N'Khoản giảm trừ' AND bsh.MA_HANG = '97' THEN CAST(gt.GIA_TRI AS VARCHAR2(4000)) END) AS "VỐN KHẢ DỤNG = 1A-1B-1C-1D",
    -- Khoản tăng thêm
	MAX(CASE WHEN bsc.TEN_COT=N'Khoản tăng thêm' AND bsh.MA_HANG = '1' THEN CAST(gt.GIA_TRI AS VARCHAR2(4000)) END) AS "Vốn chủ sở hữu",                                                                               
	MAX(CASE WHEN bsc.TEN_COT=N'Khoản tăng thêm' AND bsh.MA_HANG = '2' THEN CAST(gt.GIA_TRI AS VARCHAR2(4000)) END) AS "Vốn góp của chủ sở hữu không bao gồm cổ phần ưu đãi hoàn lại (nếu có)",                            
	MAX(CASE WHEN bsc.TEN_COT=N'Khoản tăng thêm' AND bsh.MA_HANG = '3' THEN CAST(gt.GIA_TRI AS VARCHAR2(4000)) END) AS "Thặng dư vốn cổ phần không bao gồm cổ phần ưu đãi hoàn lại (nếu có)",
	MAX(CASE WHEN bsc.TEN_COT=N'Khoản tăng thêm' AND bsh.MA_HANG = '4' THEN CAST(gt.GIA_TRI AS VARCHAR2(4000)) END) AS "Cổ phiếu quỹ",
	MAX(CA</t>
        </is>
      </c>
      <c r="U2351" s="16" t="n"/>
      <c r="V2351" s="22" t="n"/>
      <c r="W2351" s="22" t="n"/>
      <c r="X2351" s="22" t="n"/>
      <c r="Y2351" s="13" t="n"/>
      <c r="Z2351" s="22" t="n"/>
      <c r="AA2351" s="22" t="n"/>
      <c r="AB2351" s="22" t="n"/>
      <c r="AC2351" s="22" t="n"/>
      <c r="AD2351" s="22" t="n"/>
      <c r="AE2351" s="22" t="n"/>
    </row>
    <row r="2352" ht="56" customHeight="1" s="380">
      <c r="A2352" s="126" t="n">
        <v>101</v>
      </c>
      <c r="B2352" s="390" t="n"/>
      <c r="C2352" s="390" t="inlineStr">
        <is>
          <t>Báo cáo theo Thông tư 121/2020/TT-BTC &gt;&gt; Báo cáo tỷ lệ An toàn tài chính &gt;&gt; Bảng tính vốn khả dụng</t>
        </is>
      </c>
      <c r="D2352" s="390" t="inlineStr">
        <is>
          <t xml:space="preserve">Vốn góp của chủ sở hữu không bao gồm cổ phần ưu đãi hoàn lại (nếu có)                            
</t>
        </is>
      </c>
      <c r="E2352" s="390" t="inlineStr">
        <is>
          <t xml:space="preserve">Vốn góp của chủ sở hữu không bao gồm cổ phần ưu đãi hoàn lại (nếu có)                            
</t>
        </is>
      </c>
      <c r="F2352" s="390" t="inlineStr">
        <is>
          <t>Data Explorer</t>
        </is>
      </c>
      <c r="G2352" s="390" t="inlineStr">
        <is>
          <t>Chỉ tiêu cơ sở</t>
        </is>
      </c>
      <c r="H2352" s="390" t="inlineStr">
        <is>
          <t>TB</t>
        </is>
      </c>
      <c r="I2352" s="390" t="inlineStr">
        <is>
          <t>Ngày, CTCK</t>
        </is>
      </c>
      <c r="J2352" s="401" t="inlineStr">
        <is>
          <t>SCMS</t>
        </is>
      </c>
      <c r="K2352" s="401" t="n"/>
      <c r="L2352" s="401" t="inlineStr">
        <is>
          <t>X</t>
        </is>
      </c>
      <c r="M2352" s="401" t="n"/>
      <c r="N2352" s="401" t="inlineStr">
        <is>
          <t>Done</t>
        </is>
      </c>
      <c r="O2352" s="401" t="n"/>
      <c r="P2352" s="22" t="n"/>
      <c r="S2352" s="22" t="n"/>
      <c r="U2352" s="16" t="n"/>
      <c r="V2352" s="22" t="n"/>
      <c r="W2352" s="22" t="n"/>
      <c r="X2352" s="22" t="n"/>
      <c r="Y2352" s="13" t="n"/>
      <c r="Z2352" s="22" t="n"/>
      <c r="AA2352" s="22" t="n"/>
      <c r="AB2352" s="22" t="n"/>
      <c r="AC2352" s="22" t="n"/>
      <c r="AD2352" s="22" t="n"/>
      <c r="AE2352" s="22" t="n"/>
    </row>
    <row r="2353" ht="56" customHeight="1" s="380">
      <c r="A2353" s="126" t="n">
        <v>101</v>
      </c>
      <c r="B2353" s="390" t="n"/>
      <c r="C2353" s="390" t="inlineStr">
        <is>
          <t>Báo cáo theo Thông tư 121/2020/TT-BTC &gt;&gt; Báo cáo tỷ lệ An toàn tài chính &gt;&gt; Bảng tính vốn khả dụng</t>
        </is>
      </c>
      <c r="D2353" s="390" t="inlineStr">
        <is>
          <t xml:space="preserve">Thặng dư vốn cổ phần không bao gồm cổ phần ưu đãi hoàn lại (nếu có) 
</t>
        </is>
      </c>
      <c r="E2353" s="390" t="inlineStr">
        <is>
          <t xml:space="preserve">Thặng dư vốn cổ phần không bao gồm cổ phần ưu đãi hoàn lại (nếu có) 
</t>
        </is>
      </c>
      <c r="F2353" s="390" t="inlineStr">
        <is>
          <t>Data Explorer</t>
        </is>
      </c>
      <c r="G2353" s="390" t="inlineStr">
        <is>
          <t>Chỉ tiêu cơ sở</t>
        </is>
      </c>
      <c r="H2353" s="390" t="inlineStr">
        <is>
          <t>TB</t>
        </is>
      </c>
      <c r="I2353" s="390" t="inlineStr">
        <is>
          <t>Ngày, CTCK</t>
        </is>
      </c>
      <c r="J2353" s="401" t="inlineStr">
        <is>
          <t>SCMS</t>
        </is>
      </c>
      <c r="K2353" s="401" t="n"/>
      <c r="L2353" s="401" t="inlineStr">
        <is>
          <t>X</t>
        </is>
      </c>
      <c r="M2353" s="401" t="n"/>
      <c r="N2353" s="401" t="inlineStr">
        <is>
          <t>Done</t>
        </is>
      </c>
      <c r="O2353" s="401" t="n"/>
      <c r="P2353" s="22" t="n"/>
      <c r="S2353" s="22" t="n"/>
      <c r="U2353" s="16" t="n"/>
      <c r="V2353" s="22" t="n"/>
      <c r="W2353" s="22" t="n"/>
      <c r="X2353" s="22" t="n"/>
      <c r="Y2353" s="13" t="n"/>
      <c r="Z2353" s="22" t="n"/>
      <c r="AA2353" s="22" t="n"/>
      <c r="AB2353" s="22" t="n"/>
      <c r="AC2353" s="22" t="n"/>
      <c r="AD2353" s="22" t="n"/>
      <c r="AE2353" s="22" t="n"/>
    </row>
    <row r="2354" ht="56" customHeight="1" s="380">
      <c r="A2354" s="126" t="n">
        <v>101</v>
      </c>
      <c r="B2354" s="390" t="n"/>
      <c r="C2354" s="390" t="inlineStr">
        <is>
          <t>Báo cáo theo Thông tư 121/2020/TT-BTC &gt;&gt; Báo cáo tỷ lệ An toàn tài chính &gt;&gt; Bảng tính vốn khả dụng</t>
        </is>
      </c>
      <c r="D2354" s="390" t="inlineStr">
        <is>
          <t xml:space="preserve">Cổ phiếu quỹ                                                                                                   
</t>
        </is>
      </c>
      <c r="E2354" s="390" t="inlineStr">
        <is>
          <t xml:space="preserve">Cổ phiếu quỹ                                                                                                   
</t>
        </is>
      </c>
      <c r="F2354" s="390" t="inlineStr">
        <is>
          <t>Data Explorer</t>
        </is>
      </c>
      <c r="G2354" s="390" t="inlineStr">
        <is>
          <t>Chỉ tiêu cơ sở</t>
        </is>
      </c>
      <c r="H2354" s="390" t="inlineStr">
        <is>
          <t>TB</t>
        </is>
      </c>
      <c r="I2354" s="390" t="inlineStr">
        <is>
          <t>Ngày, CTCK</t>
        </is>
      </c>
      <c r="J2354" s="401" t="inlineStr">
        <is>
          <t>SCMS</t>
        </is>
      </c>
      <c r="K2354" s="401" t="n"/>
      <c r="L2354" s="401" t="inlineStr">
        <is>
          <t>X</t>
        </is>
      </c>
      <c r="M2354" s="401" t="n"/>
      <c r="N2354" s="401" t="inlineStr">
        <is>
          <t>Done</t>
        </is>
      </c>
      <c r="O2354" s="401" t="n"/>
      <c r="P2354" s="22" t="n"/>
      <c r="S2354" s="22" t="n"/>
      <c r="U2354" s="16" t="n"/>
      <c r="V2354" s="22" t="n"/>
      <c r="W2354" s="22" t="n"/>
      <c r="X2354" s="22" t="n"/>
      <c r="Y2354" s="13" t="n"/>
      <c r="Z2354" s="22" t="n"/>
      <c r="AA2354" s="22" t="n"/>
      <c r="AB2354" s="22" t="n"/>
      <c r="AC2354" s="22" t="n"/>
      <c r="AD2354" s="22" t="n"/>
      <c r="AE2354" s="22" t="n"/>
    </row>
    <row r="2355" ht="56" customHeight="1" s="380">
      <c r="A2355" s="126" t="n">
        <v>101</v>
      </c>
      <c r="B2355" s="390" t="n"/>
      <c r="C2355" s="390" t="inlineStr">
        <is>
          <t>Báo cáo theo Thông tư 121/2020/TT-BTC &gt;&gt; Báo cáo tỷ lệ An toàn tài chính &gt;&gt; Bảng tính vốn khả dụng</t>
        </is>
      </c>
      <c r="D2355" s="390" t="inlineStr">
        <is>
          <t xml:space="preserve">Quyền chọn chuyển đổi trái phiếu – Cấu phần vốn
</t>
        </is>
      </c>
      <c r="E2355" s="390" t="inlineStr">
        <is>
          <t xml:space="preserve">Quyền chọn chuyển đổi trái phiếu – Cấu phần vốn
</t>
        </is>
      </c>
      <c r="F2355" s="390" t="inlineStr">
        <is>
          <t>Data Explorer</t>
        </is>
      </c>
      <c r="G2355" s="390" t="inlineStr">
        <is>
          <t>Chỉ tiêu cơ sở</t>
        </is>
      </c>
      <c r="H2355" s="390" t="inlineStr">
        <is>
          <t>TB</t>
        </is>
      </c>
      <c r="I2355" s="390" t="inlineStr">
        <is>
          <t>Ngày, CTCK</t>
        </is>
      </c>
      <c r="J2355" s="401" t="inlineStr">
        <is>
          <t>SCMS</t>
        </is>
      </c>
      <c r="K2355" s="401" t="n"/>
      <c r="L2355" s="401" t="inlineStr">
        <is>
          <t>X</t>
        </is>
      </c>
      <c r="M2355" s="401" t="n"/>
      <c r="N2355" s="401" t="inlineStr">
        <is>
          <t>Done</t>
        </is>
      </c>
      <c r="O2355" s="401" t="n"/>
      <c r="P2355" s="22" t="n"/>
      <c r="S2355" s="22" t="n"/>
      <c r="U2355" s="16" t="n"/>
      <c r="V2355" s="22" t="n"/>
      <c r="W2355" s="22" t="n"/>
      <c r="X2355" s="22" t="n"/>
      <c r="Y2355" s="13" t="n"/>
      <c r="Z2355" s="22" t="n"/>
      <c r="AA2355" s="22" t="n"/>
      <c r="AB2355" s="22" t="n"/>
      <c r="AC2355" s="22" t="n"/>
      <c r="AD2355" s="22" t="n"/>
      <c r="AE2355" s="22" t="n"/>
    </row>
    <row r="2356" ht="56" customHeight="1" s="380">
      <c r="A2356" s="126" t="n">
        <v>101</v>
      </c>
      <c r="B2356" s="390" t="n"/>
      <c r="C2356" s="390" t="inlineStr">
        <is>
          <t>Báo cáo theo Thông tư 121/2020/TT-BTC &gt;&gt; Báo cáo tỷ lệ An toàn tài chính &gt;&gt; Bảng tính vốn khả dụng</t>
        </is>
      </c>
      <c r="D2356" s="390" t="inlineStr">
        <is>
          <t xml:space="preserve">Vốn khác của chủ sở hữu                                                                                    
</t>
        </is>
      </c>
      <c r="E2356" s="390" t="inlineStr">
        <is>
          <t xml:space="preserve">Vốn khác của chủ sở hữu                                                                                    
</t>
        </is>
      </c>
      <c r="F2356" s="390" t="inlineStr">
        <is>
          <t>Data Explorer</t>
        </is>
      </c>
      <c r="G2356" s="390" t="inlineStr">
        <is>
          <t>Chỉ tiêu cơ sở</t>
        </is>
      </c>
      <c r="H2356" s="390" t="inlineStr">
        <is>
          <t>TB</t>
        </is>
      </c>
      <c r="I2356" s="390" t="inlineStr">
        <is>
          <t>Ngày, CTCK</t>
        </is>
      </c>
      <c r="J2356" s="401" t="inlineStr">
        <is>
          <t>SCMS</t>
        </is>
      </c>
      <c r="K2356" s="401" t="n"/>
      <c r="L2356" s="401" t="inlineStr">
        <is>
          <t>X</t>
        </is>
      </c>
      <c r="M2356" s="401" t="n"/>
      <c r="N2356" s="401" t="inlineStr">
        <is>
          <t>Done</t>
        </is>
      </c>
      <c r="O2356" s="401" t="n"/>
      <c r="P2356" s="22" t="n"/>
      <c r="S2356" s="22" t="n"/>
      <c r="U2356" s="16" t="n"/>
      <c r="V2356" s="22" t="n"/>
      <c r="W2356" s="22" t="n"/>
      <c r="X2356" s="22" t="n"/>
      <c r="Y2356" s="13" t="n"/>
      <c r="Z2356" s="22" t="n"/>
      <c r="AA2356" s="22" t="n"/>
      <c r="AB2356" s="22" t="n"/>
      <c r="AC2356" s="22" t="n"/>
      <c r="AD2356" s="22" t="n"/>
      <c r="AE2356" s="22" t="n"/>
    </row>
    <row r="2357" ht="56" customHeight="1" s="380">
      <c r="A2357" s="126" t="n">
        <v>101</v>
      </c>
      <c r="B2357" s="390" t="n"/>
      <c r="C2357" s="390" t="inlineStr">
        <is>
          <t>Báo cáo theo Thông tư 121/2020/TT-BTC &gt;&gt; Báo cáo tỷ lệ An toàn tài chính &gt;&gt; Bảng tính vốn khả dụng</t>
        </is>
      </c>
      <c r="D2357" s="390" t="inlineStr">
        <is>
          <t xml:space="preserve">Chênh lệch đánh giá tài sản theo giá trị hợp lý                                                                                   
</t>
        </is>
      </c>
      <c r="E2357" s="390" t="inlineStr">
        <is>
          <t xml:space="preserve">Chênh lệch đánh giá tài sản theo giá trị hợp lý                                                                                   
</t>
        </is>
      </c>
      <c r="F2357" s="390" t="inlineStr">
        <is>
          <t>Data Explorer</t>
        </is>
      </c>
      <c r="G2357" s="390" t="inlineStr">
        <is>
          <t>Chỉ tiêu cơ sở</t>
        </is>
      </c>
      <c r="H2357" s="390" t="inlineStr">
        <is>
          <t>TB</t>
        </is>
      </c>
      <c r="I2357" s="390" t="inlineStr">
        <is>
          <t>Ngày, CTCK</t>
        </is>
      </c>
      <c r="J2357" s="401" t="inlineStr">
        <is>
          <t>SCMS</t>
        </is>
      </c>
      <c r="K2357" s="401" t="n"/>
      <c r="L2357" s="401" t="inlineStr">
        <is>
          <t>X</t>
        </is>
      </c>
      <c r="M2357" s="401" t="n"/>
      <c r="N2357" s="401" t="inlineStr">
        <is>
          <t>Done</t>
        </is>
      </c>
      <c r="O2357" s="401" t="n"/>
      <c r="P2357" s="22" t="n"/>
      <c r="S2357" s="22" t="n"/>
      <c r="U2357" s="16" t="n"/>
      <c r="V2357" s="22" t="n"/>
      <c r="W2357" s="22" t="n"/>
      <c r="X2357" s="22" t="n"/>
      <c r="Y2357" s="13" t="n"/>
      <c r="Z2357" s="22" t="n"/>
      <c r="AA2357" s="22" t="n"/>
      <c r="AB2357" s="22" t="n"/>
      <c r="AC2357" s="22" t="n"/>
      <c r="AD2357" s="22" t="n"/>
      <c r="AE2357" s="22" t="n"/>
    </row>
    <row r="2358" ht="56" customHeight="1" s="380">
      <c r="A2358" s="126" t="n">
        <v>101</v>
      </c>
      <c r="B2358" s="390" t="n"/>
      <c r="C2358" s="390" t="inlineStr">
        <is>
          <t>Báo cáo theo Thông tư 121/2020/TT-BTC &gt;&gt; Báo cáo tỷ lệ An toàn tài chính &gt;&gt; Bảng tính vốn khả dụng</t>
        </is>
      </c>
      <c r="D2358" s="390" t="inlineStr">
        <is>
          <t xml:space="preserve">Quỹ dự trữ bổ sung vốn điều lệ                                                                              
</t>
        </is>
      </c>
      <c r="E2358" s="390" t="inlineStr">
        <is>
          <t xml:space="preserve">Quỹ dự trữ bổ sung vốn điều lệ                                                                              
</t>
        </is>
      </c>
      <c r="F2358" s="390" t="inlineStr">
        <is>
          <t>Data Explorer</t>
        </is>
      </c>
      <c r="G2358" s="390" t="inlineStr">
        <is>
          <t>Chỉ tiêu cơ sở</t>
        </is>
      </c>
      <c r="H2358" s="390" t="inlineStr">
        <is>
          <t>TB</t>
        </is>
      </c>
      <c r="I2358" s="390" t="inlineStr">
        <is>
          <t>Ngày, CTCK</t>
        </is>
      </c>
      <c r="J2358" s="401" t="inlineStr">
        <is>
          <t>SCMS</t>
        </is>
      </c>
      <c r="K2358" s="401" t="n"/>
      <c r="L2358" s="401" t="inlineStr">
        <is>
          <t>X</t>
        </is>
      </c>
      <c r="M2358" s="401" t="n"/>
      <c r="N2358" s="401" t="inlineStr">
        <is>
          <t>Done</t>
        </is>
      </c>
      <c r="O2358" s="401" t="n"/>
      <c r="P2358" s="22" t="n"/>
      <c r="S2358" s="22" t="n"/>
      <c r="U2358" s="16" t="n"/>
      <c r="V2358" s="22" t="n"/>
      <c r="W2358" s="22" t="n"/>
      <c r="X2358" s="22" t="n"/>
      <c r="Y2358" s="13" t="n"/>
      <c r="Z2358" s="22" t="n"/>
      <c r="AA2358" s="22" t="n"/>
      <c r="AB2358" s="22" t="n"/>
      <c r="AC2358" s="22" t="n"/>
      <c r="AD2358" s="22" t="n"/>
      <c r="AE2358" s="22" t="n"/>
    </row>
    <row r="2359" ht="56" customHeight="1" s="380">
      <c r="A2359" s="126" t="n">
        <v>101</v>
      </c>
      <c r="B2359" s="390" t="n"/>
      <c r="C2359" s="390" t="inlineStr">
        <is>
          <t>Báo cáo theo Thông tư 121/2020/TT-BTC &gt;&gt; Báo cáo tỷ lệ An toàn tài chính &gt;&gt; Bảng tính vốn khả dụng</t>
        </is>
      </c>
      <c r="D2359" s="390" t="inlineStr">
        <is>
          <t xml:space="preserve">Quỹ dự phòng tài chính và rủi ro nghiệp vụ
</t>
        </is>
      </c>
      <c r="E2359" s="390" t="inlineStr">
        <is>
          <t xml:space="preserve">Quỹ dự phòng tài chính và rủi ro nghiệp vụ
</t>
        </is>
      </c>
      <c r="F2359" s="390" t="inlineStr">
        <is>
          <t>Data Explorer</t>
        </is>
      </c>
      <c r="G2359" s="390" t="inlineStr">
        <is>
          <t>Chỉ tiêu cơ sở</t>
        </is>
      </c>
      <c r="H2359" s="390" t="inlineStr">
        <is>
          <t>TB</t>
        </is>
      </c>
      <c r="I2359" s="390" t="inlineStr">
        <is>
          <t>Ngày, CTCK</t>
        </is>
      </c>
      <c r="J2359" s="401" t="inlineStr">
        <is>
          <t>SCMS</t>
        </is>
      </c>
      <c r="K2359" s="401" t="n"/>
      <c r="L2359" s="401" t="inlineStr">
        <is>
          <t>X</t>
        </is>
      </c>
      <c r="M2359" s="401" t="n"/>
      <c r="N2359" s="401" t="inlineStr">
        <is>
          <t>Done</t>
        </is>
      </c>
      <c r="O2359" s="401" t="n"/>
      <c r="P2359" s="22" t="n"/>
      <c r="S2359" s="22" t="n"/>
      <c r="U2359" s="16" t="n"/>
      <c r="V2359" s="22" t="n"/>
      <c r="W2359" s="22" t="n"/>
      <c r="X2359" s="22" t="n"/>
      <c r="Y2359" s="13" t="n"/>
      <c r="Z2359" s="22" t="n"/>
      <c r="AA2359" s="22" t="n"/>
      <c r="AB2359" s="22" t="n"/>
      <c r="AC2359" s="22" t="n"/>
      <c r="AD2359" s="22" t="n"/>
      <c r="AE2359" s="22" t="n"/>
    </row>
    <row r="2360" ht="56" customHeight="1" s="380">
      <c r="A2360" s="126" t="n">
        <v>101</v>
      </c>
      <c r="B2360" s="390" t="n"/>
      <c r="C2360" s="390" t="inlineStr">
        <is>
          <t>Báo cáo theo Thông tư 121/2020/TT-BTC &gt;&gt; Báo cáo tỷ lệ An toàn tài chính &gt;&gt; Bảng tính vốn khả dụng</t>
        </is>
      </c>
      <c r="D2360" s="390" t="inlineStr">
        <is>
          <t xml:space="preserve">Quỹ khác thuộc vốn chủ sở hữu
</t>
        </is>
      </c>
      <c r="E2360" s="390" t="inlineStr">
        <is>
          <t xml:space="preserve">Quỹ khác thuộc vốn chủ sở hữu
</t>
        </is>
      </c>
      <c r="F2360" s="390" t="inlineStr">
        <is>
          <t>Data Explorer</t>
        </is>
      </c>
      <c r="G2360" s="390" t="inlineStr">
        <is>
          <t>Chỉ tiêu cơ sở</t>
        </is>
      </c>
      <c r="H2360" s="390" t="inlineStr">
        <is>
          <t>TB</t>
        </is>
      </c>
      <c r="I2360" s="390" t="inlineStr">
        <is>
          <t>Ngày, CTCK</t>
        </is>
      </c>
      <c r="J2360" s="401" t="inlineStr">
        <is>
          <t>SCMS</t>
        </is>
      </c>
      <c r="K2360" s="401" t="n"/>
      <c r="L2360" s="401" t="inlineStr">
        <is>
          <t>X</t>
        </is>
      </c>
      <c r="M2360" s="401" t="n"/>
      <c r="N2360" s="401" t="inlineStr">
        <is>
          <t>Done</t>
        </is>
      </c>
      <c r="O2360" s="401" t="n"/>
      <c r="P2360" s="22" t="n"/>
      <c r="S2360" s="22" t="n"/>
      <c r="U2360" s="16" t="n"/>
      <c r="V2360" s="22" t="n"/>
      <c r="W2360" s="22" t="n"/>
      <c r="X2360" s="22" t="n"/>
      <c r="Y2360" s="13" t="n"/>
      <c r="Z2360" s="22" t="n"/>
      <c r="AA2360" s="22" t="n"/>
      <c r="AB2360" s="22" t="n"/>
      <c r="AC2360" s="22" t="n"/>
      <c r="AD2360" s="22" t="n"/>
      <c r="AE2360" s="22" t="n"/>
    </row>
    <row r="2361" ht="56" customHeight="1" s="380">
      <c r="A2361" s="126" t="n">
        <v>101</v>
      </c>
      <c r="B2361" s="390" t="n"/>
      <c r="C2361" s="390" t="inlineStr">
        <is>
          <t>Báo cáo theo Thông tư 121/2020/TT-BTC &gt;&gt; Báo cáo tỷ lệ An toàn tài chính &gt;&gt; Bảng tính vốn khả dụng</t>
        </is>
      </c>
      <c r="D2361" s="390" t="inlineStr">
        <is>
          <t xml:space="preserve">Lợi nhuận chưa phân phối
</t>
        </is>
      </c>
      <c r="E2361" s="390" t="inlineStr">
        <is>
          <t xml:space="preserve">Lợi nhuận chưa phân phối
</t>
        </is>
      </c>
      <c r="F2361" s="390" t="inlineStr">
        <is>
          <t>Data Explorer</t>
        </is>
      </c>
      <c r="G2361" s="390" t="inlineStr">
        <is>
          <t>Chỉ tiêu cơ sở</t>
        </is>
      </c>
      <c r="H2361" s="390" t="inlineStr">
        <is>
          <t>TB</t>
        </is>
      </c>
      <c r="I2361" s="390" t="inlineStr">
        <is>
          <t>Ngày, CTCK</t>
        </is>
      </c>
      <c r="J2361" s="401" t="inlineStr">
        <is>
          <t>SCMS</t>
        </is>
      </c>
      <c r="K2361" s="401" t="n"/>
      <c r="L2361" s="401" t="inlineStr">
        <is>
          <t>X</t>
        </is>
      </c>
      <c r="M2361" s="401" t="n"/>
      <c r="N2361" s="401" t="inlineStr">
        <is>
          <t>Done</t>
        </is>
      </c>
      <c r="O2361" s="401" t="n"/>
      <c r="P2361" s="22" t="n"/>
      <c r="S2361" s="22" t="n"/>
      <c r="U2361" s="16" t="n"/>
      <c r="V2361" s="22" t="n"/>
      <c r="W2361" s="22" t="n"/>
      <c r="X2361" s="22" t="n"/>
      <c r="Y2361" s="13" t="n"/>
      <c r="Z2361" s="22" t="n"/>
      <c r="AA2361" s="22" t="n"/>
      <c r="AB2361" s="22" t="n"/>
      <c r="AC2361" s="22" t="n"/>
      <c r="AD2361" s="22" t="n"/>
      <c r="AE2361" s="22" t="n"/>
    </row>
    <row r="2362" ht="56" customHeight="1" s="380">
      <c r="A2362" s="126" t="n">
        <v>101</v>
      </c>
      <c r="B2362" s="390" t="n"/>
      <c r="C2362" s="390" t="inlineStr">
        <is>
          <t>Báo cáo theo Thông tư 121/2020/TT-BTC &gt;&gt; Báo cáo tỷ lệ An toàn tài chính &gt;&gt; Bảng tính vốn khả dụng</t>
        </is>
      </c>
      <c r="D2362" s="390" t="inlineStr">
        <is>
          <t xml:space="preserve">Số dư dự phòng suy giảm giá trị tài sản
</t>
        </is>
      </c>
      <c r="E2362" s="390" t="inlineStr">
        <is>
          <t xml:space="preserve">Số dư dự phòng suy giảm giá trị tài sản
</t>
        </is>
      </c>
      <c r="F2362" s="390" t="inlineStr">
        <is>
          <t>Data Explorer</t>
        </is>
      </c>
      <c r="G2362" s="390" t="inlineStr">
        <is>
          <t>Chỉ tiêu cơ sở</t>
        </is>
      </c>
      <c r="H2362" s="390" t="inlineStr">
        <is>
          <t>TB</t>
        </is>
      </c>
      <c r="I2362" s="390" t="inlineStr">
        <is>
          <t>Ngày, CTCK</t>
        </is>
      </c>
      <c r="J2362" s="401" t="inlineStr">
        <is>
          <t>SCMS</t>
        </is>
      </c>
      <c r="K2362" s="401" t="n"/>
      <c r="L2362" s="401" t="inlineStr">
        <is>
          <t>X</t>
        </is>
      </c>
      <c r="M2362" s="401" t="n"/>
      <c r="N2362" s="401" t="inlineStr">
        <is>
          <t>Done</t>
        </is>
      </c>
      <c r="O2362" s="401" t="n"/>
      <c r="P2362" s="22" t="n"/>
      <c r="S2362" s="22" t="n"/>
      <c r="U2362" s="16" t="n"/>
      <c r="V2362" s="22" t="n"/>
      <c r="W2362" s="22" t="n"/>
      <c r="X2362" s="22" t="n"/>
      <c r="Y2362" s="13" t="n"/>
      <c r="Z2362" s="22" t="n"/>
      <c r="AA2362" s="22" t="n"/>
      <c r="AB2362" s="22" t="n"/>
      <c r="AC2362" s="22" t="n"/>
      <c r="AD2362" s="22" t="n"/>
      <c r="AE2362" s="22" t="n"/>
    </row>
    <row r="2363" ht="56" customHeight="1" s="380">
      <c r="A2363" s="126" t="n">
        <v>101</v>
      </c>
      <c r="B2363" s="390" t="n"/>
      <c r="C2363" s="390" t="inlineStr">
        <is>
          <t>Báo cáo theo Thông tư 121/2020/TT-BTC &gt;&gt; Báo cáo tỷ lệ An toàn tài chính &gt;&gt; Bảng tính vốn khả dụng</t>
        </is>
      </c>
      <c r="D2363" s="390" t="inlineStr">
        <is>
          <t xml:space="preserve">Chênh lệch đánh giá lại tài sản cố định
</t>
        </is>
      </c>
      <c r="E2363" s="390" t="inlineStr">
        <is>
          <t xml:space="preserve">Chênh lệch đánh giá lại tài sản cố định
</t>
        </is>
      </c>
      <c r="F2363" s="390" t="inlineStr">
        <is>
          <t>Data Explorer</t>
        </is>
      </c>
      <c r="G2363" s="390" t="inlineStr">
        <is>
          <t>Chỉ tiêu cơ sở</t>
        </is>
      </c>
      <c r="H2363" s="390" t="inlineStr">
        <is>
          <t>TB</t>
        </is>
      </c>
      <c r="I2363" s="390" t="inlineStr">
        <is>
          <t>Ngày, CTCK</t>
        </is>
      </c>
      <c r="J2363" s="401" t="inlineStr">
        <is>
          <t>SCMS</t>
        </is>
      </c>
      <c r="K2363" s="401" t="n"/>
      <c r="L2363" s="401" t="inlineStr">
        <is>
          <t>X</t>
        </is>
      </c>
      <c r="M2363" s="401" t="n"/>
      <c r="N2363" s="401" t="inlineStr">
        <is>
          <t>Done</t>
        </is>
      </c>
      <c r="O2363" s="401" t="n"/>
      <c r="P2363" s="22" t="n"/>
      <c r="S2363" s="22" t="n"/>
      <c r="U2363" s="16" t="n"/>
      <c r="V2363" s="22" t="n"/>
      <c r="W2363" s="22" t="n"/>
      <c r="X2363" s="22" t="n"/>
      <c r="Y2363" s="13" t="n"/>
      <c r="Z2363" s="22" t="n"/>
      <c r="AA2363" s="22" t="n"/>
      <c r="AB2363" s="22" t="n"/>
      <c r="AC2363" s="22" t="n"/>
      <c r="AD2363" s="22" t="n"/>
      <c r="AE2363" s="22" t="n"/>
    </row>
    <row r="2364" ht="56" customHeight="1" s="380">
      <c r="A2364" s="126" t="n">
        <v>101</v>
      </c>
      <c r="B2364" s="390" t="n"/>
      <c r="C2364" s="390" t="inlineStr">
        <is>
          <t>Báo cáo theo Thông tư 121/2020/TT-BTC &gt;&gt; Báo cáo tỷ lệ An toàn tài chính &gt;&gt; Bảng tính vốn khả dụng</t>
        </is>
      </c>
      <c r="D2364" s="390" t="inlineStr">
        <is>
          <t xml:space="preserve">Chênh lệch tỷ giá hối đoái
</t>
        </is>
      </c>
      <c r="E2364" s="390" t="inlineStr">
        <is>
          <t xml:space="preserve">Chênh lệch tỷ giá hối đoái
</t>
        </is>
      </c>
      <c r="F2364" s="390" t="inlineStr">
        <is>
          <t>Data Explorer</t>
        </is>
      </c>
      <c r="G2364" s="390" t="inlineStr">
        <is>
          <t>Chỉ tiêu cơ sở</t>
        </is>
      </c>
      <c r="H2364" s="390" t="inlineStr">
        <is>
          <t>TB</t>
        </is>
      </c>
      <c r="I2364" s="390" t="inlineStr">
        <is>
          <t>Ngày, CTCK</t>
        </is>
      </c>
      <c r="J2364" s="401" t="inlineStr">
        <is>
          <t>SCMS</t>
        </is>
      </c>
      <c r="K2364" s="401" t="n"/>
      <c r="L2364" s="401" t="inlineStr">
        <is>
          <t>X</t>
        </is>
      </c>
      <c r="M2364" s="401" t="n"/>
      <c r="N2364" s="401" t="inlineStr">
        <is>
          <t>Done</t>
        </is>
      </c>
      <c r="O2364" s="401" t="n"/>
      <c r="P2364" s="22" t="n"/>
      <c r="S2364" s="22" t="n"/>
      <c r="U2364" s="16" t="n"/>
      <c r="V2364" s="22" t="n"/>
      <c r="W2364" s="22" t="n"/>
      <c r="X2364" s="22" t="n"/>
      <c r="Y2364" s="13" t="n"/>
      <c r="Z2364" s="22" t="n"/>
      <c r="AA2364" s="22" t="n"/>
      <c r="AB2364" s="22" t="n"/>
      <c r="AC2364" s="22" t="n"/>
      <c r="AD2364" s="22" t="n"/>
      <c r="AE2364" s="22" t="n"/>
    </row>
    <row r="2365" ht="56" customHeight="1" s="380">
      <c r="A2365" s="126" t="n">
        <v>101</v>
      </c>
      <c r="B2365" s="390" t="n"/>
      <c r="C2365" s="390" t="inlineStr">
        <is>
          <t>Báo cáo theo Thông tư 121/2020/TT-BTC &gt;&gt; Báo cáo tỷ lệ An toàn tài chính &gt;&gt; Bảng tính vốn khả dụng</t>
        </is>
      </c>
      <c r="D2365" s="390" t="inlineStr">
        <is>
          <t xml:space="preserve">Các khoản nợ có thể chuyển đổi
</t>
        </is>
      </c>
      <c r="E2365" s="390" t="inlineStr">
        <is>
          <t xml:space="preserve">Các khoản nợ có thể chuyển đổi
</t>
        </is>
      </c>
      <c r="F2365" s="390" t="inlineStr">
        <is>
          <t>Data Explorer</t>
        </is>
      </c>
      <c r="G2365" s="390" t="inlineStr">
        <is>
          <t>Chỉ tiêu cơ sở</t>
        </is>
      </c>
      <c r="H2365" s="390" t="inlineStr">
        <is>
          <t>TB</t>
        </is>
      </c>
      <c r="I2365" s="390" t="inlineStr">
        <is>
          <t>Ngày, CTCK</t>
        </is>
      </c>
      <c r="J2365" s="401" t="inlineStr">
        <is>
          <t>SCMS</t>
        </is>
      </c>
      <c r="K2365" s="401" t="n"/>
      <c r="L2365" s="401" t="inlineStr">
        <is>
          <t>X</t>
        </is>
      </c>
      <c r="M2365" s="401" t="n"/>
      <c r="N2365" s="401" t="inlineStr">
        <is>
          <t>Done</t>
        </is>
      </c>
      <c r="O2365" s="401" t="n"/>
      <c r="P2365" s="22" t="n"/>
      <c r="S2365" s="22" t="n"/>
      <c r="U2365" s="16" t="n"/>
      <c r="V2365" s="22" t="n"/>
      <c r="W2365" s="22" t="n"/>
      <c r="X2365" s="22" t="n"/>
      <c r="Y2365" s="13" t="n"/>
      <c r="Z2365" s="22" t="n"/>
      <c r="AA2365" s="22" t="n"/>
      <c r="AB2365" s="22" t="n"/>
      <c r="AC2365" s="22" t="n"/>
      <c r="AD2365" s="22" t="n"/>
      <c r="AE2365" s="22" t="n"/>
    </row>
    <row r="2366" ht="70" customHeight="1" s="380">
      <c r="A2366" s="126" t="n">
        <v>101</v>
      </c>
      <c r="B2366" s="390" t="n"/>
      <c r="C2366" s="390" t="inlineStr">
        <is>
          <t>Báo cáo theo Thông tư 121/2020/TT-BTC &gt;&gt; Báo cáo tỷ lệ An toàn tài chính &gt;&gt; Bảng tính vốn khả dụng</t>
        </is>
      </c>
      <c r="D2366" s="390" t="inlineStr">
        <is>
          <t xml:space="preserve">Toàn bộ phần giảm đi hoặc tăng thêm của các chứng khoán tại chỉ tiêu đầu tư tài chính
</t>
        </is>
      </c>
      <c r="E2366" s="390" t="inlineStr">
        <is>
          <t xml:space="preserve">Toàn bộ phần giảm đi hoặc tăng thêm của các chứng khoán tại chỉ tiêu đầu tư tài chính
</t>
        </is>
      </c>
      <c r="F2366" s="390" t="inlineStr">
        <is>
          <t>Data Explorer</t>
        </is>
      </c>
      <c r="G2366" s="390" t="inlineStr">
        <is>
          <t>Chỉ tiêu cơ sở</t>
        </is>
      </c>
      <c r="H2366" s="390" t="inlineStr">
        <is>
          <t>TB</t>
        </is>
      </c>
      <c r="I2366" s="390" t="inlineStr">
        <is>
          <t>Ngày, CTCK</t>
        </is>
      </c>
      <c r="J2366" s="401" t="inlineStr">
        <is>
          <t>SCMS</t>
        </is>
      </c>
      <c r="K2366" s="401" t="n"/>
      <c r="L2366" s="401" t="inlineStr">
        <is>
          <t>X</t>
        </is>
      </c>
      <c r="M2366" s="401" t="n"/>
      <c r="N2366" s="401" t="inlineStr">
        <is>
          <t>Done</t>
        </is>
      </c>
      <c r="O2366" s="401" t="n"/>
      <c r="P2366" s="22" t="n"/>
      <c r="S2366" s="22" t="n"/>
      <c r="U2366" s="16" t="n"/>
      <c r="V2366" s="22" t="n"/>
      <c r="W2366" s="22" t="n"/>
      <c r="X2366" s="22" t="n"/>
      <c r="Y2366" s="13" t="n"/>
      <c r="Z2366" s="22" t="n"/>
      <c r="AA2366" s="22" t="n"/>
      <c r="AB2366" s="22" t="n"/>
      <c r="AC2366" s="22" t="n"/>
      <c r="AD2366" s="22" t="n"/>
      <c r="AE2366" s="22" t="n"/>
    </row>
    <row r="2367" ht="56" customHeight="1" s="380">
      <c r="A2367" s="126" t="n">
        <v>101</v>
      </c>
      <c r="B2367" s="390" t="n"/>
      <c r="C2367" s="390" t="inlineStr">
        <is>
          <t>Báo cáo theo Thông tư 121/2020/TT-BTC &gt;&gt; Báo cáo tỷ lệ An toàn tài chính &gt;&gt; Bảng tính vốn khả dụng</t>
        </is>
      </c>
      <c r="D2367" s="390" t="inlineStr">
        <is>
          <t xml:space="preserve">Vốn khác (nếu có)
</t>
        </is>
      </c>
      <c r="E2367" s="390" t="inlineStr">
        <is>
          <t xml:space="preserve">Vốn khác (nếu có)
</t>
        </is>
      </c>
      <c r="F2367" s="390" t="inlineStr">
        <is>
          <t>Data Explorer</t>
        </is>
      </c>
      <c r="G2367" s="390" t="inlineStr">
        <is>
          <t>Chỉ tiêu cơ sở</t>
        </is>
      </c>
      <c r="H2367" s="390" t="inlineStr">
        <is>
          <t>TB</t>
        </is>
      </c>
      <c r="I2367" s="390" t="inlineStr">
        <is>
          <t>Ngày, CTCK</t>
        </is>
      </c>
      <c r="J2367" s="401" t="inlineStr">
        <is>
          <t>SCMS</t>
        </is>
      </c>
      <c r="K2367" s="401" t="n"/>
      <c r="L2367" s="401" t="inlineStr">
        <is>
          <t>X</t>
        </is>
      </c>
      <c r="M2367" s="401" t="n"/>
      <c r="N2367" s="401" t="inlineStr">
        <is>
          <t>Done</t>
        </is>
      </c>
      <c r="O2367" s="401" t="n"/>
      <c r="P2367" s="22" t="n"/>
      <c r="S2367" s="22" t="n"/>
      <c r="U2367" s="16" t="n"/>
      <c r="V2367" s="22" t="n"/>
      <c r="W2367" s="22" t="n"/>
      <c r="X2367" s="22" t="n"/>
      <c r="Y2367" s="13" t="n"/>
      <c r="Z2367" s="22" t="n"/>
      <c r="AA2367" s="22" t="n"/>
      <c r="AB2367" s="22" t="n"/>
      <c r="AC2367" s="22" t="n"/>
      <c r="AD2367" s="22" t="n"/>
      <c r="AE2367" s="22" t="n"/>
    </row>
    <row r="2368" ht="56" customHeight="1" s="380">
      <c r="A2368" s="126" t="n">
        <v>101</v>
      </c>
      <c r="B2368" s="390" t="n"/>
      <c r="C2368" s="390" t="inlineStr">
        <is>
          <t>Báo cáo theo Thông tư 121/2020/TT-BTC &gt;&gt; Báo cáo tỷ lệ An toàn tài chính &gt;&gt; Bảng tính vốn khả dụng</t>
        </is>
      </c>
      <c r="D2368" s="390" t="inlineStr">
        <is>
          <t xml:space="preserve">Tổng                                                                                                         
</t>
        </is>
      </c>
      <c r="E2368" s="390" t="inlineStr">
        <is>
          <t xml:space="preserve">Tổng                                                                                                         
</t>
        </is>
      </c>
      <c r="F2368" s="390" t="inlineStr">
        <is>
          <t>Data Explorer</t>
        </is>
      </c>
      <c r="G2368" s="390" t="inlineStr">
        <is>
          <t>Chỉ tiêu cơ sở</t>
        </is>
      </c>
      <c r="H2368" s="390" t="inlineStr">
        <is>
          <t>TB</t>
        </is>
      </c>
      <c r="I2368" s="390" t="inlineStr">
        <is>
          <t>Ngày, CTCK</t>
        </is>
      </c>
      <c r="J2368" s="401" t="inlineStr">
        <is>
          <t>SCMS</t>
        </is>
      </c>
      <c r="K2368" s="401" t="n"/>
      <c r="L2368" s="401" t="inlineStr">
        <is>
          <t>X</t>
        </is>
      </c>
      <c r="M2368" s="401" t="n"/>
      <c r="N2368" s="401" t="inlineStr">
        <is>
          <t>Done</t>
        </is>
      </c>
      <c r="O2368" s="401" t="n"/>
      <c r="P2368" s="22" t="n"/>
      <c r="S2368" s="22" t="n"/>
      <c r="U2368" s="16" t="n"/>
      <c r="V2368" s="22" t="n"/>
      <c r="W2368" s="22" t="n"/>
      <c r="X2368" s="22" t="n"/>
      <c r="Y2368" s="13" t="n"/>
      <c r="Z2368" s="22" t="n"/>
      <c r="AA2368" s="22" t="n"/>
      <c r="AB2368" s="22" t="n"/>
      <c r="AC2368" s="22" t="n"/>
      <c r="AD2368" s="22" t="n"/>
      <c r="AE2368" s="22" t="n"/>
    </row>
    <row r="2369" ht="56" customHeight="1" s="380">
      <c r="A2369" s="126" t="n">
        <v>101</v>
      </c>
      <c r="B2369" s="390" t="n"/>
      <c r="C2369" s="390" t="inlineStr">
        <is>
          <t>Báo cáo theo Thông tư 121/2020/TT-BTC &gt;&gt; Báo cáo tỷ lệ An toàn tài chính &gt;&gt; Bảng tính vốn khả dụng</t>
        </is>
      </c>
      <c r="D2369" s="390" t="inlineStr">
        <is>
          <t xml:space="preserve">Tài sản ngắn hạn                                                                                              
</t>
        </is>
      </c>
      <c r="E2369" s="390" t="inlineStr">
        <is>
          <t xml:space="preserve">Tài sản ngắn hạn                                                                                              
</t>
        </is>
      </c>
      <c r="F2369" s="390" t="inlineStr">
        <is>
          <t>Data Explorer</t>
        </is>
      </c>
      <c r="G2369" s="390" t="inlineStr">
        <is>
          <t>Chỉ tiêu cơ sở</t>
        </is>
      </c>
      <c r="H2369" s="390" t="inlineStr">
        <is>
          <t>TB</t>
        </is>
      </c>
      <c r="I2369" s="390" t="inlineStr">
        <is>
          <t>Ngày, CTCK</t>
        </is>
      </c>
      <c r="J2369" s="401" t="inlineStr">
        <is>
          <t>SCMS</t>
        </is>
      </c>
      <c r="K2369" s="401" t="n"/>
      <c r="L2369" s="401" t="inlineStr">
        <is>
          <t>X</t>
        </is>
      </c>
      <c r="M2369" s="401" t="n"/>
      <c r="N2369" s="401" t="inlineStr">
        <is>
          <t>Done</t>
        </is>
      </c>
      <c r="O2369" s="401" t="n"/>
      <c r="P2369" s="22" t="n"/>
      <c r="S2369" s="22" t="n"/>
      <c r="U2369" s="16" t="n"/>
      <c r="V2369" s="22" t="n"/>
      <c r="W2369" s="22" t="n"/>
      <c r="X2369" s="22" t="n"/>
      <c r="Y2369" s="13" t="n"/>
      <c r="Z2369" s="22" t="n"/>
      <c r="AA2369" s="22" t="n"/>
      <c r="AB2369" s="22" t="n"/>
      <c r="AC2369" s="22" t="n"/>
      <c r="AD2369" s="22" t="n"/>
      <c r="AE2369" s="22" t="n"/>
    </row>
    <row r="2370" ht="56" customHeight="1" s="380">
      <c r="A2370" s="126" t="n">
        <v>101</v>
      </c>
      <c r="B2370" s="390" t="n"/>
      <c r="C2370" s="390" t="inlineStr">
        <is>
          <t>Báo cáo theo Thông tư 121/2020/TT-BTC &gt;&gt; Báo cáo tỷ lệ An toàn tài chính &gt;&gt; Bảng tính vốn khả dụng</t>
        </is>
      </c>
      <c r="D2370" s="390" t="inlineStr">
        <is>
          <t xml:space="preserve">Tài sản tài chính                                                                   
</t>
        </is>
      </c>
      <c r="E2370" s="390" t="inlineStr">
        <is>
          <t xml:space="preserve">Tài sản tài chính                                                                   
</t>
        </is>
      </c>
      <c r="F2370" s="390" t="inlineStr">
        <is>
          <t>Data Explorer</t>
        </is>
      </c>
      <c r="G2370" s="390" t="inlineStr">
        <is>
          <t>Chỉ tiêu cơ sở</t>
        </is>
      </c>
      <c r="H2370" s="390" t="inlineStr">
        <is>
          <t>TB</t>
        </is>
      </c>
      <c r="I2370" s="390" t="inlineStr">
        <is>
          <t>Ngày, CTCK</t>
        </is>
      </c>
      <c r="J2370" s="401" t="inlineStr">
        <is>
          <t>SCMS</t>
        </is>
      </c>
      <c r="K2370" s="401" t="n"/>
      <c r="L2370" s="401" t="inlineStr">
        <is>
          <t>X</t>
        </is>
      </c>
      <c r="M2370" s="401" t="n"/>
      <c r="N2370" s="401" t="inlineStr">
        <is>
          <t>Done</t>
        </is>
      </c>
      <c r="O2370" s="401" t="n"/>
      <c r="P2370" s="22" t="n"/>
      <c r="S2370" s="22" t="n"/>
      <c r="U2370" s="16" t="n"/>
      <c r="V2370" s="22" t="n"/>
      <c r="W2370" s="22" t="n"/>
      <c r="X2370" s="22" t="n"/>
      <c r="Y2370" s="13" t="n"/>
      <c r="Z2370" s="22" t="n"/>
      <c r="AA2370" s="22" t="n"/>
      <c r="AB2370" s="22" t="n"/>
      <c r="AC2370" s="22" t="n"/>
      <c r="AD2370" s="22" t="n"/>
      <c r="AE2370" s="22" t="n"/>
    </row>
    <row r="2371" ht="56" customHeight="1" s="380">
      <c r="A2371" s="126" t="n">
        <v>101</v>
      </c>
      <c r="B2371" s="390" t="n"/>
      <c r="C2371" s="390" t="inlineStr">
        <is>
          <t>Báo cáo theo Thông tư 121/2020/TT-BTC &gt;&gt; Báo cáo tỷ lệ An toàn tài chính &gt;&gt; Bảng tính vốn khả dụng</t>
        </is>
      </c>
      <c r="D2371" s="390" t="inlineStr">
        <is>
          <t xml:space="preserve">Tiền và các khoản tương đương tiền
</t>
        </is>
      </c>
      <c r="E2371" s="390" t="inlineStr">
        <is>
          <t xml:space="preserve">Tiền và các khoản tương đương tiền
</t>
        </is>
      </c>
      <c r="F2371" s="390" t="inlineStr">
        <is>
          <t>Data Explorer</t>
        </is>
      </c>
      <c r="G2371" s="390" t="inlineStr">
        <is>
          <t>Chỉ tiêu cơ sở</t>
        </is>
      </c>
      <c r="H2371" s="390" t="inlineStr">
        <is>
          <t>TB</t>
        </is>
      </c>
      <c r="I2371" s="390" t="inlineStr">
        <is>
          <t>Ngày, CTCK</t>
        </is>
      </c>
      <c r="J2371" s="401" t="inlineStr">
        <is>
          <t>SCMS</t>
        </is>
      </c>
      <c r="K2371" s="401" t="n"/>
      <c r="L2371" s="401" t="inlineStr">
        <is>
          <t>X</t>
        </is>
      </c>
      <c r="M2371" s="401" t="n"/>
      <c r="N2371" s="401" t="inlineStr">
        <is>
          <t>Done</t>
        </is>
      </c>
      <c r="O2371" s="401" t="n"/>
      <c r="P2371" s="22" t="n"/>
      <c r="S2371" s="22" t="n"/>
      <c r="U2371" s="16" t="n"/>
      <c r="V2371" s="22" t="n"/>
      <c r="W2371" s="22" t="n"/>
      <c r="X2371" s="22" t="n"/>
      <c r="Y2371" s="13" t="n"/>
      <c r="Z2371" s="22" t="n"/>
      <c r="AA2371" s="22" t="n"/>
      <c r="AB2371" s="22" t="n"/>
      <c r="AC2371" s="22" t="n"/>
      <c r="AD2371" s="22" t="n"/>
      <c r="AE2371" s="22" t="n"/>
    </row>
    <row r="2372" ht="56" customHeight="1" s="380">
      <c r="A2372" s="126" t="n">
        <v>101</v>
      </c>
      <c r="B2372" s="390" t="n"/>
      <c r="C2372" s="390" t="inlineStr">
        <is>
          <t>Báo cáo theo Thông tư 121/2020/TT-BTC &gt;&gt; Báo cáo tỷ lệ An toàn tài chính &gt;&gt; Bảng tính vốn khả dụng</t>
        </is>
      </c>
      <c r="D2372" s="390" t="inlineStr">
        <is>
          <t xml:space="preserve">Các tài sản tài chính ghi nhận thông qua lãi/lỗ (FVTPL)
</t>
        </is>
      </c>
      <c r="E2372" s="390" t="inlineStr">
        <is>
          <t xml:space="preserve">Các tài sản tài chính ghi nhận thông qua lãi/lỗ (FVTPL)
</t>
        </is>
      </c>
      <c r="F2372" s="390" t="inlineStr">
        <is>
          <t>Data Explorer</t>
        </is>
      </c>
      <c r="G2372" s="390" t="inlineStr">
        <is>
          <t>Chỉ tiêu cơ sở</t>
        </is>
      </c>
      <c r="H2372" s="390" t="inlineStr">
        <is>
          <t>TB</t>
        </is>
      </c>
      <c r="I2372" s="390" t="inlineStr">
        <is>
          <t>Ngày, CTCK</t>
        </is>
      </c>
      <c r="J2372" s="401" t="inlineStr">
        <is>
          <t>SCMS</t>
        </is>
      </c>
      <c r="K2372" s="401" t="n"/>
      <c r="L2372" s="401" t="inlineStr">
        <is>
          <t>X</t>
        </is>
      </c>
      <c r="M2372" s="401" t="n"/>
      <c r="N2372" s="401" t="inlineStr">
        <is>
          <t>Done</t>
        </is>
      </c>
      <c r="O2372" s="401" t="n"/>
      <c r="P2372" s="22" t="n"/>
      <c r="S2372" s="22" t="n"/>
      <c r="U2372" s="16" t="n"/>
      <c r="V2372" s="22" t="n"/>
      <c r="W2372" s="22" t="n"/>
      <c r="X2372" s="22" t="n"/>
      <c r="Y2372" s="13" t="n"/>
      <c r="Z2372" s="22" t="n"/>
      <c r="AA2372" s="22" t="n"/>
      <c r="AB2372" s="22" t="n"/>
      <c r="AC2372" s="22" t="n"/>
      <c r="AD2372" s="22" t="n"/>
      <c r="AE2372" s="22" t="n"/>
    </row>
    <row r="2373" ht="56" customHeight="1" s="380">
      <c r="A2373" s="126" t="n">
        <v>101</v>
      </c>
      <c r="B2373" s="390" t="n"/>
      <c r="C2373" s="390" t="inlineStr">
        <is>
          <t>Báo cáo theo Thông tư 121/2020/TT-BTC &gt;&gt; Báo cáo tỷ lệ An toàn tài chính &gt;&gt; Bảng tính vốn khả dụng</t>
        </is>
      </c>
      <c r="D2373" s="390" t="inlineStr">
        <is>
          <t xml:space="preserve">- Chứng khoán tiềm ẩn rủi ro thị trường
</t>
        </is>
      </c>
      <c r="E2373" s="390" t="inlineStr">
        <is>
          <t xml:space="preserve">- Chứng khoán tiềm ẩn rủi ro thị trường
</t>
        </is>
      </c>
      <c r="F2373" s="390" t="inlineStr">
        <is>
          <t>Data Explorer</t>
        </is>
      </c>
      <c r="G2373" s="390" t="inlineStr">
        <is>
          <t>Chỉ tiêu cơ sở</t>
        </is>
      </c>
      <c r="H2373" s="390" t="inlineStr">
        <is>
          <t>TB</t>
        </is>
      </c>
      <c r="I2373" s="390" t="inlineStr">
        <is>
          <t>Ngày, CTCK</t>
        </is>
      </c>
      <c r="J2373" s="401" t="inlineStr">
        <is>
          <t>SCMS</t>
        </is>
      </c>
      <c r="K2373" s="401" t="n"/>
      <c r="L2373" s="401" t="inlineStr">
        <is>
          <t>X</t>
        </is>
      </c>
      <c r="M2373" s="401" t="n"/>
      <c r="N2373" s="401" t="inlineStr">
        <is>
          <t>Done</t>
        </is>
      </c>
      <c r="O2373" s="401" t="n"/>
      <c r="P2373" s="22" t="n"/>
      <c r="S2373" s="22" t="n"/>
      <c r="U2373" s="16" t="n"/>
      <c r="V2373" s="22" t="n"/>
      <c r="W2373" s="22" t="n"/>
      <c r="X2373" s="22" t="n"/>
      <c r="Y2373" s="13" t="n"/>
      <c r="Z2373" s="22" t="n"/>
      <c r="AA2373" s="22" t="n"/>
      <c r="AB2373" s="22" t="n"/>
      <c r="AC2373" s="22" t="n"/>
      <c r="AD2373" s="22" t="n"/>
      <c r="AE2373" s="22" t="n"/>
    </row>
    <row r="2374" ht="56" customHeight="1" s="380">
      <c r="A2374" s="126" t="n">
        <v>101</v>
      </c>
      <c r="B2374" s="390" t="n"/>
      <c r="C2374" s="390" t="inlineStr">
        <is>
          <t>Báo cáo theo Thông tư 121/2020/TT-BTC &gt;&gt; Báo cáo tỷ lệ An toàn tài chính &gt;&gt; Bảng tính vốn khả dụng</t>
        </is>
      </c>
      <c r="D2374" s="390" t="inlineStr">
        <is>
          <t xml:space="preserve">- Chứng khoán bị giảm trừ khỏi vốn khả dụng
</t>
        </is>
      </c>
      <c r="E2374" s="390" t="inlineStr">
        <is>
          <t xml:space="preserve">- Chứng khoán bị giảm trừ khỏi vốn khả dụng
</t>
        </is>
      </c>
      <c r="F2374" s="390" t="inlineStr">
        <is>
          <t>Data Explorer</t>
        </is>
      </c>
      <c r="G2374" s="390" t="inlineStr">
        <is>
          <t>Chỉ tiêu cơ sở</t>
        </is>
      </c>
      <c r="H2374" s="390" t="inlineStr">
        <is>
          <t>TB</t>
        </is>
      </c>
      <c r="I2374" s="390" t="inlineStr">
        <is>
          <t>Ngày, CTCK</t>
        </is>
      </c>
      <c r="J2374" s="401" t="inlineStr">
        <is>
          <t>SCMS</t>
        </is>
      </c>
      <c r="K2374" s="401" t="n"/>
      <c r="L2374" s="401" t="inlineStr">
        <is>
          <t>X</t>
        </is>
      </c>
      <c r="M2374" s="401" t="n"/>
      <c r="N2374" s="401" t="inlineStr">
        <is>
          <t>Done</t>
        </is>
      </c>
      <c r="O2374" s="401" t="n"/>
      <c r="P2374" s="22" t="n"/>
      <c r="S2374" s="22" t="n"/>
      <c r="U2374" s="16" t="n"/>
      <c r="V2374" s="22" t="n"/>
      <c r="W2374" s="22" t="n"/>
      <c r="X2374" s="22" t="n"/>
      <c r="Y2374" s="13" t="n"/>
      <c r="Z2374" s="22" t="n"/>
      <c r="AA2374" s="22" t="n"/>
      <c r="AB2374" s="22" t="n"/>
      <c r="AC2374" s="22" t="n"/>
      <c r="AD2374" s="22" t="n"/>
      <c r="AE2374" s="22" t="n"/>
    </row>
    <row r="2375" ht="56" customHeight="1" s="380">
      <c r="A2375" s="126" t="n">
        <v>101</v>
      </c>
      <c r="B2375" s="390" t="n"/>
      <c r="C2375" s="390" t="inlineStr">
        <is>
          <t>Báo cáo theo Thông tư 121/2020/TT-BTC &gt;&gt; Báo cáo tỷ lệ An toàn tài chính &gt;&gt; Bảng tính vốn khả dụng</t>
        </is>
      </c>
      <c r="D2375" s="390" t="inlineStr">
        <is>
          <t xml:space="preserve">Các khoản đầu tư nắm giữ đến ngày đáo hạn (HTM)
</t>
        </is>
      </c>
      <c r="E2375" s="390" t="inlineStr">
        <is>
          <t xml:space="preserve">Các khoản đầu tư nắm giữ đến ngày đáo hạn (HTM)
</t>
        </is>
      </c>
      <c r="F2375" s="390" t="inlineStr">
        <is>
          <t>Data Explorer</t>
        </is>
      </c>
      <c r="G2375" s="390" t="inlineStr">
        <is>
          <t>Chỉ tiêu cơ sở</t>
        </is>
      </c>
      <c r="H2375" s="390" t="inlineStr">
        <is>
          <t>TB</t>
        </is>
      </c>
      <c r="I2375" s="390" t="inlineStr">
        <is>
          <t>Ngày, CTCK</t>
        </is>
      </c>
      <c r="J2375" s="401" t="inlineStr">
        <is>
          <t>SCMS</t>
        </is>
      </c>
      <c r="K2375" s="401" t="n"/>
      <c r="L2375" s="401" t="inlineStr">
        <is>
          <t>X</t>
        </is>
      </c>
      <c r="M2375" s="401" t="n"/>
      <c r="N2375" s="401" t="inlineStr">
        <is>
          <t>Done</t>
        </is>
      </c>
      <c r="O2375" s="401" t="n"/>
      <c r="P2375" s="22" t="n"/>
      <c r="S2375" s="22" t="n"/>
      <c r="U2375" s="16" t="n"/>
      <c r="V2375" s="22" t="n"/>
      <c r="W2375" s="22" t="n"/>
      <c r="X2375" s="22" t="n"/>
      <c r="Y2375" s="13" t="n"/>
      <c r="Z2375" s="22" t="n"/>
      <c r="AA2375" s="22" t="n"/>
      <c r="AB2375" s="22" t="n"/>
      <c r="AC2375" s="22" t="n"/>
      <c r="AD2375" s="22" t="n"/>
      <c r="AE2375" s="22" t="n"/>
    </row>
    <row r="2376" ht="56" customHeight="1" s="380">
      <c r="A2376" s="126" t="n">
        <v>101</v>
      </c>
      <c r="B2376" s="390" t="n"/>
      <c r="C2376" s="390" t="inlineStr">
        <is>
          <t>Báo cáo theo Thông tư 121/2020/TT-BTC &gt;&gt; Báo cáo tỷ lệ An toàn tài chính &gt;&gt; Bảng tính vốn khả dụng</t>
        </is>
      </c>
      <c r="D2376" s="390" t="inlineStr">
        <is>
          <t xml:space="preserve">- Chứng khoán tiềm ẩn rủi ro thị trường
</t>
        </is>
      </c>
      <c r="E2376" s="390" t="inlineStr">
        <is>
          <t xml:space="preserve">- Chứng khoán tiềm ẩn rủi ro thị trường
</t>
        </is>
      </c>
      <c r="F2376" s="390" t="inlineStr">
        <is>
          <t>Data Explorer</t>
        </is>
      </c>
      <c r="G2376" s="390" t="inlineStr">
        <is>
          <t>Chỉ tiêu cơ sở</t>
        </is>
      </c>
      <c r="H2376" s="390" t="inlineStr">
        <is>
          <t>TB</t>
        </is>
      </c>
      <c r="I2376" s="390" t="inlineStr">
        <is>
          <t>Ngày, CTCK</t>
        </is>
      </c>
      <c r="J2376" s="401" t="inlineStr">
        <is>
          <t>SCMS</t>
        </is>
      </c>
      <c r="K2376" s="401" t="n"/>
      <c r="L2376" s="401" t="inlineStr">
        <is>
          <t>X</t>
        </is>
      </c>
      <c r="M2376" s="401" t="n"/>
      <c r="N2376" s="401" t="inlineStr">
        <is>
          <t>Done</t>
        </is>
      </c>
      <c r="O2376" s="401" t="n"/>
      <c r="P2376" s="22" t="n"/>
      <c r="S2376" s="22" t="n"/>
      <c r="U2376" s="16" t="n"/>
      <c r="V2376" s="22" t="n"/>
      <c r="W2376" s="22" t="n"/>
      <c r="X2376" s="22" t="n"/>
      <c r="Y2376" s="13" t="n"/>
      <c r="Z2376" s="22" t="n"/>
      <c r="AA2376" s="22" t="n"/>
      <c r="AB2376" s="22" t="n"/>
      <c r="AC2376" s="22" t="n"/>
      <c r="AD2376" s="22" t="n"/>
      <c r="AE2376" s="22" t="n"/>
    </row>
    <row r="2377" ht="56" customHeight="1" s="380">
      <c r="A2377" s="126" t="n">
        <v>101</v>
      </c>
      <c r="B2377" s="390" t="n"/>
      <c r="C2377" s="390" t="inlineStr">
        <is>
          <t>Báo cáo theo Thông tư 121/2020/TT-BTC &gt;&gt; Báo cáo tỷ lệ An toàn tài chính &gt;&gt; Bảng tính vốn khả dụng</t>
        </is>
      </c>
      <c r="D2377" s="390" t="inlineStr">
        <is>
          <t xml:space="preserve">- Chứng khoán bị giảm trừ khỏi vốn khả dụng
</t>
        </is>
      </c>
      <c r="E2377" s="390" t="inlineStr">
        <is>
          <t xml:space="preserve">- Chứng khoán bị giảm trừ khỏi vốn khả dụng
</t>
        </is>
      </c>
      <c r="F2377" s="390" t="inlineStr">
        <is>
          <t>Data Explorer</t>
        </is>
      </c>
      <c r="G2377" s="390" t="inlineStr">
        <is>
          <t>Chỉ tiêu cơ sở</t>
        </is>
      </c>
      <c r="H2377" s="390" t="inlineStr">
        <is>
          <t>TB</t>
        </is>
      </c>
      <c r="I2377" s="390" t="inlineStr">
        <is>
          <t>Ngày, CTCK</t>
        </is>
      </c>
      <c r="J2377" s="401" t="inlineStr">
        <is>
          <t>SCMS</t>
        </is>
      </c>
      <c r="K2377" s="401" t="n"/>
      <c r="L2377" s="401" t="inlineStr">
        <is>
          <t>X</t>
        </is>
      </c>
      <c r="M2377" s="401" t="n"/>
      <c r="N2377" s="401" t="inlineStr">
        <is>
          <t>Done</t>
        </is>
      </c>
      <c r="O2377" s="401" t="n"/>
      <c r="P2377" s="22" t="n"/>
      <c r="S2377" s="22" t="n"/>
      <c r="U2377" s="16" t="n"/>
      <c r="V2377" s="22" t="n"/>
      <c r="W2377" s="22" t="n"/>
      <c r="X2377" s="22" t="n"/>
      <c r="Y2377" s="13" t="n"/>
      <c r="Z2377" s="22" t="n"/>
      <c r="AA2377" s="22" t="n"/>
      <c r="AB2377" s="22" t="n"/>
      <c r="AC2377" s="22" t="n"/>
      <c r="AD2377" s="22" t="n"/>
      <c r="AE2377" s="22" t="n"/>
    </row>
    <row r="2378" ht="56" customHeight="1" s="380">
      <c r="A2378" s="126" t="n">
        <v>101</v>
      </c>
      <c r="B2378" s="390" t="n"/>
      <c r="C2378" s="390" t="inlineStr">
        <is>
          <t>Báo cáo theo Thông tư 121/2020/TT-BTC &gt;&gt; Báo cáo tỷ lệ An toàn tài chính &gt;&gt; Bảng tính vốn khả dụng</t>
        </is>
      </c>
      <c r="D2378" s="390" t="inlineStr">
        <is>
          <t xml:space="preserve">Các khoản cho vay
</t>
        </is>
      </c>
      <c r="E2378" s="390" t="inlineStr">
        <is>
          <t xml:space="preserve">Các khoản cho vay
</t>
        </is>
      </c>
      <c r="F2378" s="390" t="inlineStr">
        <is>
          <t>Data Explorer</t>
        </is>
      </c>
      <c r="G2378" s="390" t="inlineStr">
        <is>
          <t>Chỉ tiêu cơ sở</t>
        </is>
      </c>
      <c r="H2378" s="390" t="inlineStr">
        <is>
          <t>TB</t>
        </is>
      </c>
      <c r="I2378" s="390" t="inlineStr">
        <is>
          <t>Ngày, CTCK</t>
        </is>
      </c>
      <c r="J2378" s="401" t="inlineStr">
        <is>
          <t>SCMS</t>
        </is>
      </c>
      <c r="K2378" s="401" t="n"/>
      <c r="L2378" s="401" t="inlineStr">
        <is>
          <t>X</t>
        </is>
      </c>
      <c r="M2378" s="401" t="n"/>
      <c r="N2378" s="401" t="inlineStr">
        <is>
          <t>Done</t>
        </is>
      </c>
      <c r="O2378" s="401" t="n"/>
      <c r="P2378" s="22" t="n"/>
      <c r="S2378" s="22" t="n"/>
      <c r="U2378" s="16" t="n"/>
      <c r="V2378" s="22" t="n"/>
      <c r="W2378" s="22" t="n"/>
      <c r="X2378" s="22" t="n"/>
      <c r="Y2378" s="13" t="n"/>
      <c r="Z2378" s="22" t="n"/>
      <c r="AA2378" s="22" t="n"/>
      <c r="AB2378" s="22" t="n"/>
      <c r="AC2378" s="22" t="n"/>
      <c r="AD2378" s="22" t="n"/>
      <c r="AE2378" s="22" t="n"/>
    </row>
    <row r="2379" ht="56" customHeight="1" s="380">
      <c r="A2379" s="126" t="n">
        <v>101</v>
      </c>
      <c r="B2379" s="390" t="n"/>
      <c r="C2379" s="390" t="inlineStr">
        <is>
          <t>Báo cáo theo Thông tư 121/2020/TT-BTC &gt;&gt; Báo cáo tỷ lệ An toàn tài chính &gt;&gt; Bảng tính vốn khả dụng</t>
        </is>
      </c>
      <c r="D2379" s="390" t="inlineStr">
        <is>
          <t xml:space="preserve">Tài sản tài chính sẵn sàng để bán (AFS)
</t>
        </is>
      </c>
      <c r="E2379" s="390" t="inlineStr">
        <is>
          <t xml:space="preserve">Tài sản tài chính sẵn sàng để bán (AFS)
</t>
        </is>
      </c>
      <c r="F2379" s="390" t="inlineStr">
        <is>
          <t>Data Explorer</t>
        </is>
      </c>
      <c r="G2379" s="390" t="inlineStr">
        <is>
          <t>Chỉ tiêu cơ sở</t>
        </is>
      </c>
      <c r="H2379" s="390" t="inlineStr">
        <is>
          <t>TB</t>
        </is>
      </c>
      <c r="I2379" s="390" t="inlineStr">
        <is>
          <t>Ngày, CTCK</t>
        </is>
      </c>
      <c r="J2379" s="401" t="inlineStr">
        <is>
          <t>SCMS</t>
        </is>
      </c>
      <c r="K2379" s="401" t="n"/>
      <c r="L2379" s="401" t="inlineStr">
        <is>
          <t>X</t>
        </is>
      </c>
      <c r="M2379" s="401" t="n"/>
      <c r="N2379" s="401" t="inlineStr">
        <is>
          <t>Done</t>
        </is>
      </c>
      <c r="O2379" s="401" t="n"/>
      <c r="P2379" s="22" t="n"/>
      <c r="S2379" s="22" t="n"/>
      <c r="U2379" s="16" t="n"/>
      <c r="V2379" s="22" t="n"/>
      <c r="W2379" s="22" t="n"/>
      <c r="X2379" s="22" t="n"/>
      <c r="Y2379" s="13" t="n"/>
      <c r="Z2379" s="22" t="n"/>
      <c r="AA2379" s="22" t="n"/>
      <c r="AB2379" s="22" t="n"/>
      <c r="AC2379" s="22" t="n"/>
      <c r="AD2379" s="22" t="n"/>
      <c r="AE2379" s="22" t="n"/>
    </row>
    <row r="2380" ht="56" customHeight="1" s="380">
      <c r="A2380" s="126" t="n">
        <v>101</v>
      </c>
      <c r="B2380" s="390" t="n"/>
      <c r="C2380" s="390" t="inlineStr">
        <is>
          <t>Báo cáo theo Thông tư 121/2020/TT-BTC &gt;&gt; Báo cáo tỷ lệ An toàn tài chính &gt;&gt; Bảng tính vốn khả dụng</t>
        </is>
      </c>
      <c r="D2380" s="390" t="inlineStr">
        <is>
          <t xml:space="preserve">- Chứng khoán tiềm ẩn rủi ro thị trường
</t>
        </is>
      </c>
      <c r="E2380" s="390" t="inlineStr">
        <is>
          <t xml:space="preserve">- Chứng khoán tiềm ẩn rủi ro thị trường
</t>
        </is>
      </c>
      <c r="F2380" s="390" t="inlineStr">
        <is>
          <t>Data Explorer</t>
        </is>
      </c>
      <c r="G2380" s="390" t="inlineStr">
        <is>
          <t>Chỉ tiêu cơ sở</t>
        </is>
      </c>
      <c r="H2380" s="390" t="inlineStr">
        <is>
          <t>TB</t>
        </is>
      </c>
      <c r="I2380" s="390" t="inlineStr">
        <is>
          <t>Ngày, CTCK</t>
        </is>
      </c>
      <c r="J2380" s="401" t="inlineStr">
        <is>
          <t>SCMS</t>
        </is>
      </c>
      <c r="K2380" s="401" t="n"/>
      <c r="L2380" s="401" t="inlineStr">
        <is>
          <t>X</t>
        </is>
      </c>
      <c r="M2380" s="401" t="n"/>
      <c r="N2380" s="401" t="inlineStr">
        <is>
          <t>Done</t>
        </is>
      </c>
      <c r="O2380" s="401" t="n"/>
      <c r="P2380" s="22" t="n"/>
      <c r="S2380" s="22" t="n"/>
      <c r="U2380" s="16" t="n"/>
      <c r="V2380" s="22" t="n"/>
      <c r="W2380" s="22" t="n"/>
      <c r="X2380" s="22" t="n"/>
      <c r="Y2380" s="13" t="n"/>
      <c r="Z2380" s="22" t="n"/>
      <c r="AA2380" s="22" t="n"/>
      <c r="AB2380" s="22" t="n"/>
      <c r="AC2380" s="22" t="n"/>
      <c r="AD2380" s="22" t="n"/>
      <c r="AE2380" s="22" t="n"/>
    </row>
    <row r="2381" ht="56" customHeight="1" s="380">
      <c r="A2381" s="126" t="n">
        <v>101</v>
      </c>
      <c r="B2381" s="390" t="n"/>
      <c r="C2381" s="390" t="inlineStr">
        <is>
          <t>Báo cáo theo Thông tư 121/2020/TT-BTC &gt;&gt; Báo cáo tỷ lệ An toàn tài chính &gt;&gt; Bảng tính vốn khả dụng</t>
        </is>
      </c>
      <c r="D2381" s="390" t="inlineStr">
        <is>
          <t>- Chứng khoán bị giảm trừ khỏi vốn khả dụng</t>
        </is>
      </c>
      <c r="E2381" s="390" t="inlineStr">
        <is>
          <t>- Chứng khoán bị giảm trừ khỏi vốn khả dụng</t>
        </is>
      </c>
      <c r="F2381" s="390" t="inlineStr">
        <is>
          <t>Data Explorer</t>
        </is>
      </c>
      <c r="G2381" s="390" t="inlineStr">
        <is>
          <t>Chỉ tiêu cơ sở</t>
        </is>
      </c>
      <c r="H2381" s="390" t="inlineStr">
        <is>
          <t>TB</t>
        </is>
      </c>
      <c r="I2381" s="390" t="inlineStr">
        <is>
          <t>Ngày, CTCK</t>
        </is>
      </c>
      <c r="J2381" s="401" t="inlineStr">
        <is>
          <t>SCMS</t>
        </is>
      </c>
      <c r="K2381" s="401" t="n"/>
      <c r="L2381" s="401" t="inlineStr">
        <is>
          <t>X</t>
        </is>
      </c>
      <c r="M2381" s="401" t="n"/>
      <c r="N2381" s="401" t="inlineStr">
        <is>
          <t>Done</t>
        </is>
      </c>
      <c r="O2381" s="401" t="n"/>
      <c r="P2381" s="22" t="n"/>
      <c r="S2381" s="22" t="n"/>
      <c r="U2381" s="16" t="n"/>
      <c r="V2381" s="22" t="n"/>
      <c r="W2381" s="22" t="n"/>
      <c r="X2381" s="22" t="n"/>
      <c r="Y2381" s="13" t="n"/>
      <c r="Z2381" s="22" t="n"/>
      <c r="AA2381" s="22" t="n"/>
      <c r="AB2381" s="22" t="n"/>
      <c r="AC2381" s="22" t="n"/>
      <c r="AD2381" s="22" t="n"/>
      <c r="AE2381" s="22" t="n"/>
    </row>
    <row r="2382" ht="56" customHeight="1" s="380">
      <c r="A2382" s="126" t="n">
        <v>101</v>
      </c>
      <c r="B2382" s="390" t="n"/>
      <c r="C2382" s="390" t="inlineStr">
        <is>
          <t>Báo cáo theo Thông tư 121/2020/TT-BTC &gt;&gt; Báo cáo tỷ lệ An toàn tài chính &gt;&gt; Bảng tính vốn khả dụng</t>
        </is>
      </c>
      <c r="D2382" s="390" t="inlineStr">
        <is>
          <t xml:space="preserve">Dự phòng suy giảm giá trị các tài sản tài chính và tài sản thế chấp
</t>
        </is>
      </c>
      <c r="E2382" s="390" t="inlineStr">
        <is>
          <t xml:space="preserve">Dự phòng suy giảm giá trị các tài sản tài chính và tài sản thế chấp
</t>
        </is>
      </c>
      <c r="F2382" s="390" t="inlineStr">
        <is>
          <t>Data Explorer</t>
        </is>
      </c>
      <c r="G2382" s="390" t="inlineStr">
        <is>
          <t>Chỉ tiêu cơ sở</t>
        </is>
      </c>
      <c r="H2382" s="390" t="inlineStr">
        <is>
          <t>TB</t>
        </is>
      </c>
      <c r="I2382" s="390" t="inlineStr">
        <is>
          <t>Ngày, CTCK</t>
        </is>
      </c>
      <c r="J2382" s="401" t="inlineStr">
        <is>
          <t>SCMS</t>
        </is>
      </c>
      <c r="K2382" s="401" t="n"/>
      <c r="L2382" s="401" t="inlineStr">
        <is>
          <t>X</t>
        </is>
      </c>
      <c r="M2382" s="401" t="n"/>
      <c r="N2382" s="401" t="inlineStr">
        <is>
          <t>Done</t>
        </is>
      </c>
      <c r="O2382" s="401" t="n"/>
      <c r="P2382" s="22" t="n"/>
      <c r="S2382" s="22" t="n"/>
      <c r="U2382" s="16" t="n"/>
      <c r="V2382" s="22" t="n"/>
      <c r="W2382" s="22" t="n"/>
      <c r="X2382" s="22" t="n"/>
      <c r="Y2382" s="13" t="n"/>
      <c r="Z2382" s="22" t="n"/>
      <c r="AA2382" s="22" t="n"/>
      <c r="AB2382" s="22" t="n"/>
      <c r="AC2382" s="22" t="n"/>
      <c r="AD2382" s="22" t="n"/>
      <c r="AE2382" s="22" t="n"/>
    </row>
    <row r="2383" ht="84" customHeight="1" s="380">
      <c r="A2383" s="126" t="n">
        <v>101</v>
      </c>
      <c r="B2383" s="390" t="n"/>
      <c r="C2383" s="390" t="inlineStr">
        <is>
          <t>Báo cáo theo Thông tư 121/2020/TT-BTC &gt;&gt; Báo cáo tỷ lệ An toàn tài chính &gt;&gt; Bảng tính vốn khả dụng</t>
        </is>
      </c>
      <c r="D2383" s="390" t="inlineStr">
        <is>
          <t xml:space="preserve">Các khoản phải thu (Phải thu bán các tài sản tài chính; Phải thu và dự thu cổ tức, tiền lãi từ các tài sản tài chính)
</t>
        </is>
      </c>
      <c r="E2383" s="390" t="inlineStr">
        <is>
          <t xml:space="preserve">Các khoản phải thu (Phải thu bán các tài sản tài chính; Phải thu và dự thu cổ tức, tiền lãi từ các tài sản tài chính)
</t>
        </is>
      </c>
      <c r="F2383" s="390" t="inlineStr">
        <is>
          <t>Data Explorer</t>
        </is>
      </c>
      <c r="G2383" s="390" t="inlineStr">
        <is>
          <t>Chỉ tiêu cơ sở</t>
        </is>
      </c>
      <c r="H2383" s="390" t="inlineStr">
        <is>
          <t>TB</t>
        </is>
      </c>
      <c r="I2383" s="390" t="inlineStr">
        <is>
          <t>Ngày, CTCK</t>
        </is>
      </c>
      <c r="J2383" s="401" t="inlineStr">
        <is>
          <t>SCMS</t>
        </is>
      </c>
      <c r="K2383" s="401" t="n"/>
      <c r="L2383" s="401" t="inlineStr">
        <is>
          <t>X</t>
        </is>
      </c>
      <c r="M2383" s="401" t="n"/>
      <c r="N2383" s="401" t="inlineStr">
        <is>
          <t>Done</t>
        </is>
      </c>
      <c r="O2383" s="401" t="n"/>
      <c r="P2383" s="22" t="n"/>
      <c r="S2383" s="22" t="n"/>
      <c r="U2383" s="16" t="n"/>
      <c r="V2383" s="22" t="n"/>
      <c r="W2383" s="22" t="n"/>
      <c r="X2383" s="22" t="n"/>
      <c r="Y2383" s="13" t="n"/>
      <c r="Z2383" s="22" t="n"/>
      <c r="AA2383" s="22" t="n"/>
      <c r="AB2383" s="22" t="n"/>
      <c r="AC2383" s="22" t="n"/>
      <c r="AD2383" s="22" t="n"/>
      <c r="AE2383" s="22" t="n"/>
    </row>
    <row r="2384" ht="56" customHeight="1" s="380">
      <c r="A2384" s="126" t="n">
        <v>101</v>
      </c>
      <c r="B2384" s="390" t="n"/>
      <c r="C2384" s="390" t="inlineStr">
        <is>
          <t>Báo cáo theo Thông tư 121/2020/TT-BTC &gt;&gt; Báo cáo tỷ lệ An toàn tài chính &gt;&gt; Bảng tính vốn khả dụng</t>
        </is>
      </c>
      <c r="D2384" s="390" t="inlineStr">
        <is>
          <t xml:space="preserve">- Các khoản phải thu có thời hạn thanh toán còn lại từ 90 ngày trở xuống
</t>
        </is>
      </c>
      <c r="E2384" s="390" t="inlineStr">
        <is>
          <t xml:space="preserve">- Các khoản phải thu có thời hạn thanh toán còn lại từ 90 ngày trở xuống
</t>
        </is>
      </c>
      <c r="F2384" s="390" t="inlineStr">
        <is>
          <t>Data Explorer</t>
        </is>
      </c>
      <c r="G2384" s="390" t="inlineStr">
        <is>
          <t>Chỉ tiêu cơ sở</t>
        </is>
      </c>
      <c r="H2384" s="390" t="inlineStr">
        <is>
          <t>TB</t>
        </is>
      </c>
      <c r="I2384" s="390" t="inlineStr">
        <is>
          <t>Ngày, CTCK</t>
        </is>
      </c>
      <c r="J2384" s="401" t="inlineStr">
        <is>
          <t>SCMS</t>
        </is>
      </c>
      <c r="K2384" s="401" t="n"/>
      <c r="L2384" s="401" t="inlineStr">
        <is>
          <t>X</t>
        </is>
      </c>
      <c r="M2384" s="401" t="n"/>
      <c r="N2384" s="401" t="inlineStr">
        <is>
          <t>Done</t>
        </is>
      </c>
      <c r="O2384" s="401" t="n"/>
      <c r="P2384" s="22" t="n"/>
      <c r="S2384" s="22" t="n"/>
      <c r="U2384" s="16" t="n"/>
      <c r="V2384" s="22" t="n"/>
      <c r="W2384" s="22" t="n"/>
      <c r="X2384" s="22" t="n"/>
      <c r="Y2384" s="13" t="n"/>
      <c r="Z2384" s="22" t="n"/>
      <c r="AA2384" s="22" t="n"/>
      <c r="AB2384" s="22" t="n"/>
      <c r="AC2384" s="22" t="n"/>
      <c r="AD2384" s="22" t="n"/>
      <c r="AE2384" s="22" t="n"/>
    </row>
    <row r="2385" ht="56" customHeight="1" s="380">
      <c r="A2385" s="126" t="n">
        <v>101</v>
      </c>
      <c r="B2385" s="390" t="n"/>
      <c r="C2385" s="390" t="inlineStr">
        <is>
          <t>Báo cáo theo Thông tư 121/2020/TT-BTC &gt;&gt; Báo cáo tỷ lệ An toàn tài chính &gt;&gt; Bảng tính vốn khả dụng</t>
        </is>
      </c>
      <c r="D2385" s="390" t="inlineStr">
        <is>
          <t xml:space="preserve">- Các khoản phải thu có thời hạn thanh toán còn lại trên 90 ngày
</t>
        </is>
      </c>
      <c r="E2385" s="390" t="inlineStr">
        <is>
          <t xml:space="preserve">- Các khoản phải thu có thời hạn thanh toán còn lại trên 90 ngày
</t>
        </is>
      </c>
      <c r="F2385" s="390" t="inlineStr">
        <is>
          <t>Data Explorer</t>
        </is>
      </c>
      <c r="G2385" s="390" t="inlineStr">
        <is>
          <t>Chỉ tiêu cơ sở</t>
        </is>
      </c>
      <c r="H2385" s="390" t="inlineStr">
        <is>
          <t>TB</t>
        </is>
      </c>
      <c r="I2385" s="390" t="inlineStr">
        <is>
          <t>Ngày, CTCK</t>
        </is>
      </c>
      <c r="J2385" s="401" t="inlineStr">
        <is>
          <t>SCMS</t>
        </is>
      </c>
      <c r="K2385" s="401" t="n"/>
      <c r="L2385" s="401" t="inlineStr">
        <is>
          <t>X</t>
        </is>
      </c>
      <c r="M2385" s="401" t="n"/>
      <c r="N2385" s="401" t="inlineStr">
        <is>
          <t>Done</t>
        </is>
      </c>
      <c r="O2385" s="401" t="n"/>
      <c r="P2385" s="22" t="n"/>
      <c r="S2385" s="22" t="n"/>
      <c r="U2385" s="16" t="n"/>
      <c r="V2385" s="22" t="n"/>
      <c r="W2385" s="22" t="n"/>
      <c r="X2385" s="22" t="n"/>
      <c r="Y2385" s="13" t="n"/>
      <c r="Z2385" s="22" t="n"/>
      <c r="AA2385" s="22" t="n"/>
      <c r="AB2385" s="22" t="n"/>
      <c r="AC2385" s="22" t="n"/>
      <c r="AD2385" s="22" t="n"/>
      <c r="AE2385" s="22" t="n"/>
    </row>
    <row r="2386" ht="56" customHeight="1" s="380">
      <c r="A2386" s="126" t="n">
        <v>101</v>
      </c>
      <c r="B2386" s="390" t="n"/>
      <c r="C2386" s="390" t="inlineStr">
        <is>
          <t>Báo cáo theo Thông tư 121/2020/TT-BTC &gt;&gt; Báo cáo tỷ lệ An toàn tài chính &gt;&gt; Bảng tính vốn khả dụng</t>
        </is>
      </c>
      <c r="D2386" s="390" t="inlineStr">
        <is>
          <t xml:space="preserve">- Phải thu còn hạn nhưng đối tác mất khả năng thanh toán
</t>
        </is>
      </c>
      <c r="E2386" s="390" t="inlineStr">
        <is>
          <t xml:space="preserve">- Phải thu còn hạn nhưng đối tác mất khả năng thanh toán
</t>
        </is>
      </c>
      <c r="F2386" s="390" t="inlineStr">
        <is>
          <t>Data Explorer</t>
        </is>
      </c>
      <c r="G2386" s="390" t="inlineStr">
        <is>
          <t>Chỉ tiêu cơ sở</t>
        </is>
      </c>
      <c r="H2386" s="390" t="inlineStr">
        <is>
          <t>TB</t>
        </is>
      </c>
      <c r="I2386" s="390" t="inlineStr">
        <is>
          <t>Ngày, CTCK</t>
        </is>
      </c>
      <c r="J2386" s="401" t="inlineStr">
        <is>
          <t>SCMS</t>
        </is>
      </c>
      <c r="K2386" s="401" t="n"/>
      <c r="L2386" s="401" t="inlineStr">
        <is>
          <t>X</t>
        </is>
      </c>
      <c r="M2386" s="401" t="n"/>
      <c r="N2386" s="401" t="inlineStr">
        <is>
          <t>Done</t>
        </is>
      </c>
      <c r="O2386" s="401" t="n"/>
      <c r="P2386" s="22" t="n"/>
      <c r="S2386" s="22" t="n"/>
      <c r="U2386" s="16" t="n"/>
      <c r="V2386" s="22" t="n"/>
      <c r="W2386" s="22" t="n"/>
      <c r="X2386" s="22" t="n"/>
      <c r="Y2386" s="13" t="n"/>
      <c r="Z2386" s="22" t="n"/>
      <c r="AA2386" s="22" t="n"/>
      <c r="AB2386" s="22" t="n"/>
      <c r="AC2386" s="22" t="n"/>
      <c r="AD2386" s="22" t="n"/>
      <c r="AE2386" s="22" t="n"/>
    </row>
    <row r="2387" ht="56" customHeight="1" s="380">
      <c r="A2387" s="126" t="n">
        <v>101</v>
      </c>
      <c r="B2387" s="390" t="n"/>
      <c r="C2387" s="390" t="inlineStr">
        <is>
          <t>Báo cáo theo Thông tư 121/2020/TT-BTC &gt;&gt; Báo cáo tỷ lệ An toàn tài chính &gt;&gt; Bảng tính vốn khả dụng</t>
        </is>
      </c>
      <c r="D2387" s="390" t="inlineStr">
        <is>
          <t xml:space="preserve">Chứng quyền có bảo đảm chưa phát hành hết
</t>
        </is>
      </c>
      <c r="E2387" s="390" t="inlineStr">
        <is>
          <t xml:space="preserve">Chứng quyền có bảo đảm chưa phát hành hết
</t>
        </is>
      </c>
      <c r="F2387" s="390" t="inlineStr">
        <is>
          <t>Data Explorer</t>
        </is>
      </c>
      <c r="G2387" s="390" t="inlineStr">
        <is>
          <t>Chỉ tiêu cơ sở</t>
        </is>
      </c>
      <c r="H2387" s="390" t="inlineStr">
        <is>
          <t>TB</t>
        </is>
      </c>
      <c r="I2387" s="390" t="inlineStr">
        <is>
          <t>Ngày, CTCK</t>
        </is>
      </c>
      <c r="J2387" s="401" t="inlineStr">
        <is>
          <t>SCMS</t>
        </is>
      </c>
      <c r="K2387" s="401" t="n"/>
      <c r="L2387" s="401" t="inlineStr">
        <is>
          <t>X</t>
        </is>
      </c>
      <c r="M2387" s="401" t="n"/>
      <c r="N2387" s="401" t="inlineStr">
        <is>
          <t>Done</t>
        </is>
      </c>
      <c r="O2387" s="401" t="n"/>
      <c r="P2387" s="22" t="n"/>
      <c r="S2387" s="22" t="n"/>
      <c r="U2387" s="16" t="n"/>
      <c r="V2387" s="22" t="n"/>
      <c r="W2387" s="22" t="n"/>
      <c r="X2387" s="22" t="n"/>
      <c r="Y2387" s="13" t="n"/>
      <c r="Z2387" s="22" t="n"/>
      <c r="AA2387" s="22" t="n"/>
      <c r="AB2387" s="22" t="n"/>
      <c r="AC2387" s="22" t="n"/>
      <c r="AD2387" s="22" t="n"/>
      <c r="AE2387" s="22" t="n"/>
    </row>
    <row r="2388" ht="84" customHeight="1" s="380">
      <c r="A2388" s="126" t="n">
        <v>101</v>
      </c>
      <c r="B2388" s="390" t="n"/>
      <c r="C2388" s="390" t="inlineStr">
        <is>
          <t>Báo cáo theo Thông tư 121/2020/TT-BTC &gt;&gt; Báo cáo tỷ lệ An toàn tài chính &gt;&gt; Bảng tính vốn khả dụng</t>
        </is>
      </c>
      <c r="D2388" s="390" t="inlineStr">
        <is>
          <t xml:space="preserve">Chứng khoán cơ sở phục vụ mục đích phòng ngừa rủi ro khi phát hành chứng quyền có bảo đảm			
</t>
        </is>
      </c>
      <c r="E2388" s="390" t="inlineStr">
        <is>
          <t xml:space="preserve">Chứng khoán cơ sở phục vụ mục đích phòng ngừa rủi ro khi phát hành chứng quyền có bảo đảm			
</t>
        </is>
      </c>
      <c r="F2388" s="390" t="inlineStr">
        <is>
          <t>Data Explorer</t>
        </is>
      </c>
      <c r="G2388" s="390" t="inlineStr">
        <is>
          <t>Chỉ tiêu cơ sở</t>
        </is>
      </c>
      <c r="H2388" s="390" t="inlineStr">
        <is>
          <t>TB</t>
        </is>
      </c>
      <c r="I2388" s="390" t="inlineStr">
        <is>
          <t>Ngày, CTCK</t>
        </is>
      </c>
      <c r="J2388" s="401" t="inlineStr">
        <is>
          <t>SCMS</t>
        </is>
      </c>
      <c r="K2388" s="401" t="n"/>
      <c r="L2388" s="401" t="inlineStr">
        <is>
          <t>X</t>
        </is>
      </c>
      <c r="M2388" s="401" t="n"/>
      <c r="N2388" s="401" t="inlineStr">
        <is>
          <t>Done</t>
        </is>
      </c>
      <c r="O2388" s="401" t="n"/>
      <c r="P2388" s="22" t="n"/>
      <c r="S2388" s="22" t="n"/>
      <c r="U2388" s="16" t="n"/>
      <c r="V2388" s="22" t="n"/>
      <c r="W2388" s="22" t="n"/>
      <c r="X2388" s="22" t="n"/>
      <c r="Y2388" s="13" t="n"/>
      <c r="Z2388" s="22" t="n"/>
      <c r="AA2388" s="22" t="n"/>
      <c r="AB2388" s="22" t="n"/>
      <c r="AC2388" s="22" t="n"/>
      <c r="AD2388" s="22" t="n"/>
      <c r="AE2388" s="22" t="n"/>
    </row>
    <row r="2389" ht="56" customHeight="1" s="380">
      <c r="A2389" s="126" t="n">
        <v>101</v>
      </c>
      <c r="B2389" s="390" t="n"/>
      <c r="C2389" s="390" t="inlineStr">
        <is>
          <t>Báo cáo theo Thông tư 121/2020/TT-BTC &gt;&gt; Báo cáo tỷ lệ An toàn tài chính &gt;&gt; Bảng tính vốn khả dụng</t>
        </is>
      </c>
      <c r="D2389" s="390" t="inlineStr">
        <is>
          <t xml:space="preserve">Phải thu các dịch vụ công ty chứng khoán cung cấp			</t>
        </is>
      </c>
      <c r="E2389" s="390" t="inlineStr">
        <is>
          <t xml:space="preserve">Phải thu các dịch vụ công ty chứng khoán cung cấp			</t>
        </is>
      </c>
      <c r="F2389" s="390" t="inlineStr">
        <is>
          <t>Data Explorer</t>
        </is>
      </c>
      <c r="G2389" s="390" t="inlineStr">
        <is>
          <t>Chỉ tiêu cơ sở</t>
        </is>
      </c>
      <c r="H2389" s="390" t="inlineStr">
        <is>
          <t>TB</t>
        </is>
      </c>
      <c r="I2389" s="390" t="inlineStr">
        <is>
          <t>Ngày, CTCK</t>
        </is>
      </c>
      <c r="J2389" s="401" t="inlineStr">
        <is>
          <t>SCMS</t>
        </is>
      </c>
      <c r="K2389" s="401" t="n"/>
      <c r="L2389" s="401" t="inlineStr">
        <is>
          <t>X</t>
        </is>
      </c>
      <c r="M2389" s="401" t="n"/>
      <c r="N2389" s="401" t="inlineStr">
        <is>
          <t>Done</t>
        </is>
      </c>
      <c r="O2389" s="401" t="n"/>
      <c r="P2389" s="22" t="n"/>
      <c r="S2389" s="22" t="n"/>
      <c r="U2389" s="16" t="n"/>
      <c r="V2389" s="22" t="n"/>
      <c r="W2389" s="22" t="n"/>
      <c r="X2389" s="22" t="n"/>
      <c r="Y2389" s="13" t="n"/>
      <c r="Z2389" s="22" t="n"/>
      <c r="AA2389" s="22" t="n"/>
      <c r="AB2389" s="22" t="n"/>
      <c r="AC2389" s="22" t="n"/>
      <c r="AD2389" s="22" t="n"/>
      <c r="AE2389" s="22" t="n"/>
    </row>
    <row r="2390" ht="56" customHeight="1" s="380">
      <c r="A2390" s="126" t="n">
        <v>101</v>
      </c>
      <c r="B2390" s="390" t="n"/>
      <c r="C2390" s="390" t="inlineStr">
        <is>
          <t>Báo cáo theo Thông tư 121/2020/TT-BTC &gt;&gt; Báo cáo tỷ lệ An toàn tài chính &gt;&gt; Bảng tính vốn khả dụng</t>
        </is>
      </c>
      <c r="D2390" s="390" t="inlineStr">
        <is>
          <t xml:space="preserve">- Các khoản phải thu có thời hạn thanh toán còn lại từ 90 ngày trở xuống
</t>
        </is>
      </c>
      <c r="E2390" s="390" t="inlineStr">
        <is>
          <t xml:space="preserve">- Các khoản phải thu có thời hạn thanh toán còn lại từ 90 ngày trở xuống
</t>
        </is>
      </c>
      <c r="F2390" s="390" t="inlineStr">
        <is>
          <t>Data Explorer</t>
        </is>
      </c>
      <c r="G2390" s="390" t="inlineStr">
        <is>
          <t>Chỉ tiêu cơ sở</t>
        </is>
      </c>
      <c r="H2390" s="390" t="inlineStr">
        <is>
          <t>TB</t>
        </is>
      </c>
      <c r="I2390" s="390" t="inlineStr">
        <is>
          <t>Ngày, CTCK</t>
        </is>
      </c>
      <c r="J2390" s="401" t="inlineStr">
        <is>
          <t>SCMS</t>
        </is>
      </c>
      <c r="K2390" s="401" t="n"/>
      <c r="L2390" s="401" t="inlineStr">
        <is>
          <t>X</t>
        </is>
      </c>
      <c r="M2390" s="401" t="n"/>
      <c r="N2390" s="401" t="inlineStr">
        <is>
          <t>Done</t>
        </is>
      </c>
      <c r="O2390" s="401" t="n"/>
      <c r="P2390" s="22" t="n"/>
      <c r="S2390" s="22" t="n"/>
      <c r="U2390" s="16" t="n"/>
      <c r="V2390" s="22" t="n"/>
      <c r="W2390" s="22" t="n"/>
      <c r="X2390" s="22" t="n"/>
      <c r="Y2390" s="13" t="n"/>
      <c r="Z2390" s="22" t="n"/>
      <c r="AA2390" s="22" t="n"/>
      <c r="AB2390" s="22" t="n"/>
      <c r="AC2390" s="22" t="n"/>
      <c r="AD2390" s="22" t="n"/>
      <c r="AE2390" s="22" t="n"/>
    </row>
    <row r="2391" ht="56" customHeight="1" s="380">
      <c r="A2391" s="126" t="n">
        <v>101</v>
      </c>
      <c r="B2391" s="390" t="n"/>
      <c r="C2391" s="390" t="inlineStr">
        <is>
          <t>Báo cáo theo Thông tư 121/2020/TT-BTC &gt;&gt; Báo cáo tỷ lệ An toàn tài chính &gt;&gt; Bảng tính vốn khả dụng</t>
        </is>
      </c>
      <c r="D2391" s="390" t="inlineStr">
        <is>
          <t xml:space="preserve">- Các khoản phải thu có thời hạn thanh toán còn lại trên 90 ngày
</t>
        </is>
      </c>
      <c r="E2391" s="390" t="inlineStr">
        <is>
          <t xml:space="preserve">- Các khoản phải thu có thời hạn thanh toán còn lại trên 90 ngày
</t>
        </is>
      </c>
      <c r="F2391" s="390" t="inlineStr">
        <is>
          <t>Data Explorer</t>
        </is>
      </c>
      <c r="G2391" s="390" t="inlineStr">
        <is>
          <t>Chỉ tiêu cơ sở</t>
        </is>
      </c>
      <c r="H2391" s="390" t="inlineStr">
        <is>
          <t>TB</t>
        </is>
      </c>
      <c r="I2391" s="390" t="inlineStr">
        <is>
          <t>Ngày, CTCK</t>
        </is>
      </c>
      <c r="J2391" s="401" t="inlineStr">
        <is>
          <t>SCMS</t>
        </is>
      </c>
      <c r="K2391" s="401" t="n"/>
      <c r="L2391" s="401" t="inlineStr">
        <is>
          <t>X</t>
        </is>
      </c>
      <c r="M2391" s="401" t="n"/>
      <c r="N2391" s="401" t="inlineStr">
        <is>
          <t>Done</t>
        </is>
      </c>
      <c r="O2391" s="401" t="n"/>
      <c r="P2391" s="22" t="n"/>
      <c r="S2391" s="22" t="n"/>
      <c r="U2391" s="16" t="n"/>
      <c r="V2391" s="22" t="n"/>
      <c r="W2391" s="22" t="n"/>
      <c r="X2391" s="22" t="n"/>
      <c r="Y2391" s="13" t="n"/>
      <c r="Z2391" s="22" t="n"/>
      <c r="AA2391" s="22" t="n"/>
      <c r="AB2391" s="22" t="n"/>
      <c r="AC2391" s="22" t="n"/>
      <c r="AD2391" s="22" t="n"/>
      <c r="AE2391" s="22" t="n"/>
    </row>
    <row r="2392" ht="56" customHeight="1" s="380">
      <c r="A2392" s="126" t="n">
        <v>101</v>
      </c>
      <c r="B2392" s="390" t="n"/>
      <c r="C2392" s="390" t="inlineStr">
        <is>
          <t>Báo cáo theo Thông tư 121/2020/TT-BTC &gt;&gt; Báo cáo tỷ lệ An toàn tài chính &gt;&gt; Bảng tính vốn khả dụng</t>
        </is>
      </c>
      <c r="D2392" s="390" t="inlineStr">
        <is>
          <t xml:space="preserve">- Phải thu còn hạn nhưng đối tác mất khả năng thanh toán
</t>
        </is>
      </c>
      <c r="E2392" s="390" t="inlineStr">
        <is>
          <t xml:space="preserve">- Phải thu còn hạn nhưng đối tác mất khả năng thanh toán
</t>
        </is>
      </c>
      <c r="F2392" s="390" t="inlineStr">
        <is>
          <t>Data Explorer</t>
        </is>
      </c>
      <c r="G2392" s="390" t="inlineStr">
        <is>
          <t>Chỉ tiêu cơ sở</t>
        </is>
      </c>
      <c r="H2392" s="390" t="inlineStr">
        <is>
          <t>TB</t>
        </is>
      </c>
      <c r="I2392" s="390" t="inlineStr">
        <is>
          <t>Ngày, CTCK</t>
        </is>
      </c>
      <c r="J2392" s="401" t="inlineStr">
        <is>
          <t>SCMS</t>
        </is>
      </c>
      <c r="K2392" s="401" t="n"/>
      <c r="L2392" s="401" t="inlineStr">
        <is>
          <t>X</t>
        </is>
      </c>
      <c r="M2392" s="401" t="n"/>
      <c r="N2392" s="401" t="inlineStr">
        <is>
          <t>Done</t>
        </is>
      </c>
      <c r="O2392" s="401" t="n"/>
      <c r="P2392" s="22" t="n"/>
      <c r="S2392" s="22" t="n"/>
      <c r="U2392" s="16" t="n"/>
      <c r="V2392" s="22" t="n"/>
      <c r="W2392" s="22" t="n"/>
      <c r="X2392" s="22" t="n"/>
      <c r="Y2392" s="13" t="n"/>
      <c r="Z2392" s="22" t="n"/>
      <c r="AA2392" s="22" t="n"/>
      <c r="AB2392" s="22" t="n"/>
      <c r="AC2392" s="22" t="n"/>
      <c r="AD2392" s="22" t="n"/>
      <c r="AE2392" s="22" t="n"/>
    </row>
    <row r="2393" ht="56" customHeight="1" s="380">
      <c r="A2393" s="126" t="n">
        <v>101</v>
      </c>
      <c r="B2393" s="390" t="n"/>
      <c r="C2393" s="390" t="inlineStr">
        <is>
          <t>Báo cáo theo Thông tư 121/2020/TT-BTC &gt;&gt; Báo cáo tỷ lệ An toàn tài chính &gt;&gt; Bảng tính vốn khả dụng</t>
        </is>
      </c>
      <c r="D2393" s="390" t="inlineStr">
        <is>
          <t xml:space="preserve">Phải thu nội bộ
</t>
        </is>
      </c>
      <c r="E2393" s="390" t="inlineStr">
        <is>
          <t xml:space="preserve">Phải thu nội bộ
</t>
        </is>
      </c>
      <c r="F2393" s="390" t="inlineStr">
        <is>
          <t>Data Explorer</t>
        </is>
      </c>
      <c r="G2393" s="390" t="inlineStr">
        <is>
          <t>Chỉ tiêu cơ sở</t>
        </is>
      </c>
      <c r="H2393" s="390" t="inlineStr">
        <is>
          <t>TB</t>
        </is>
      </c>
      <c r="I2393" s="390" t="inlineStr">
        <is>
          <t>Ngày, CTCK</t>
        </is>
      </c>
      <c r="J2393" s="401" t="inlineStr">
        <is>
          <t>SCMS</t>
        </is>
      </c>
      <c r="K2393" s="401" t="n"/>
      <c r="L2393" s="401" t="inlineStr">
        <is>
          <t>X</t>
        </is>
      </c>
      <c r="M2393" s="401" t="n"/>
      <c r="N2393" s="401" t="inlineStr">
        <is>
          <t>Done</t>
        </is>
      </c>
      <c r="O2393" s="401" t="n"/>
      <c r="P2393" s="22" t="n"/>
      <c r="S2393" s="22" t="n"/>
      <c r="U2393" s="16" t="n"/>
      <c r="V2393" s="22" t="n"/>
      <c r="W2393" s="22" t="n"/>
      <c r="X2393" s="22" t="n"/>
      <c r="Y2393" s="13" t="n"/>
      <c r="Z2393" s="22" t="n"/>
      <c r="AA2393" s="22" t="n"/>
      <c r="AB2393" s="22" t="n"/>
      <c r="AC2393" s="22" t="n"/>
      <c r="AD2393" s="22" t="n"/>
      <c r="AE2393" s="22" t="n"/>
    </row>
    <row r="2394" ht="56" customHeight="1" s="380">
      <c r="A2394" s="126" t="n">
        <v>101</v>
      </c>
      <c r="B2394" s="390" t="n"/>
      <c r="C2394" s="390" t="inlineStr">
        <is>
          <t>Báo cáo theo Thông tư 121/2020/TT-BTC &gt;&gt; Báo cáo tỷ lệ An toàn tài chính &gt;&gt; Bảng tính vốn khả dụng</t>
        </is>
      </c>
      <c r="D2394" s="390" t="inlineStr">
        <is>
          <t xml:space="preserve">- Phải thu nội bộ có thời hạn thanh toán còn lại từ 90 ngày trở xuống
</t>
        </is>
      </c>
      <c r="E2394" s="390" t="inlineStr">
        <is>
          <t xml:space="preserve">- Phải thu nội bộ có thời hạn thanh toán còn lại từ 90 ngày trở xuống
</t>
        </is>
      </c>
      <c r="F2394" s="390" t="inlineStr">
        <is>
          <t>Data Explorer</t>
        </is>
      </c>
      <c r="G2394" s="390" t="inlineStr">
        <is>
          <t>Chỉ tiêu cơ sở</t>
        </is>
      </c>
      <c r="H2394" s="390" t="inlineStr">
        <is>
          <t>TB</t>
        </is>
      </c>
      <c r="I2394" s="390" t="inlineStr">
        <is>
          <t>Ngày, CTCK</t>
        </is>
      </c>
      <c r="J2394" s="401" t="inlineStr">
        <is>
          <t>SCMS</t>
        </is>
      </c>
      <c r="K2394" s="401" t="n"/>
      <c r="L2394" s="401" t="inlineStr">
        <is>
          <t>X</t>
        </is>
      </c>
      <c r="M2394" s="401" t="n"/>
      <c r="N2394" s="401" t="inlineStr">
        <is>
          <t>Done</t>
        </is>
      </c>
      <c r="O2394" s="401" t="n"/>
      <c r="P2394" s="22" t="n"/>
      <c r="S2394" s="22" t="n"/>
      <c r="U2394" s="16" t="n"/>
      <c r="V2394" s="22" t="n"/>
      <c r="W2394" s="22" t="n"/>
      <c r="X2394" s="22" t="n"/>
      <c r="Y2394" s="13" t="n"/>
      <c r="Z2394" s="22" t="n"/>
      <c r="AA2394" s="22" t="n"/>
      <c r="AB2394" s="22" t="n"/>
      <c r="AC2394" s="22" t="n"/>
      <c r="AD2394" s="22" t="n"/>
      <c r="AE2394" s="22" t="n"/>
    </row>
    <row r="2395" ht="56" customHeight="1" s="380">
      <c r="A2395" s="126" t="n">
        <v>101</v>
      </c>
      <c r="B2395" s="390" t="n"/>
      <c r="C2395" s="390" t="inlineStr">
        <is>
          <t>Báo cáo theo Thông tư 121/2020/TT-BTC &gt;&gt; Báo cáo tỷ lệ An toàn tài chính &gt;&gt; Bảng tính vốn khả dụng</t>
        </is>
      </c>
      <c r="D2395" s="390" t="inlineStr">
        <is>
          <t xml:space="preserve">- Phải thu nội bộ có thời hạn thanh toán còn lại trên 90 ngày
</t>
        </is>
      </c>
      <c r="E2395" s="390" t="inlineStr">
        <is>
          <t xml:space="preserve">- Phải thu nội bộ có thời hạn thanh toán còn lại trên 90 ngày
</t>
        </is>
      </c>
      <c r="F2395" s="390" t="inlineStr">
        <is>
          <t>Data Explorer</t>
        </is>
      </c>
      <c r="G2395" s="390" t="inlineStr">
        <is>
          <t>Chỉ tiêu cơ sở</t>
        </is>
      </c>
      <c r="H2395" s="390" t="inlineStr">
        <is>
          <t>TB</t>
        </is>
      </c>
      <c r="I2395" s="390" t="inlineStr">
        <is>
          <t>Ngày, CTCK</t>
        </is>
      </c>
      <c r="J2395" s="401" t="inlineStr">
        <is>
          <t>SCMS</t>
        </is>
      </c>
      <c r="K2395" s="401" t="n"/>
      <c r="L2395" s="401" t="inlineStr">
        <is>
          <t>X</t>
        </is>
      </c>
      <c r="M2395" s="401" t="n"/>
      <c r="N2395" s="401" t="inlineStr">
        <is>
          <t>Done</t>
        </is>
      </c>
      <c r="O2395" s="401" t="n"/>
      <c r="P2395" s="22" t="n"/>
      <c r="S2395" s="22" t="n"/>
      <c r="U2395" s="16" t="n"/>
      <c r="V2395" s="22" t="n"/>
      <c r="W2395" s="22" t="n"/>
      <c r="X2395" s="22" t="n"/>
      <c r="Y2395" s="13" t="n"/>
      <c r="Z2395" s="22" t="n"/>
      <c r="AA2395" s="22" t="n"/>
      <c r="AB2395" s="22" t="n"/>
      <c r="AC2395" s="22" t="n"/>
      <c r="AD2395" s="22" t="n"/>
      <c r="AE2395" s="22" t="n"/>
    </row>
    <row r="2396" ht="56" customHeight="1" s="380">
      <c r="A2396" s="126" t="n">
        <v>101</v>
      </c>
      <c r="B2396" s="390" t="n"/>
      <c r="C2396" s="390" t="inlineStr">
        <is>
          <t>Báo cáo theo Thông tư 121/2020/TT-BTC &gt;&gt; Báo cáo tỷ lệ An toàn tài chính &gt;&gt; Bảng tính vốn khả dụng</t>
        </is>
      </c>
      <c r="D2396" s="390" t="inlineStr">
        <is>
          <t xml:space="preserve">- Phải thu còn hạn nhưng đối tác mất khả năng thanh toán
</t>
        </is>
      </c>
      <c r="E2396" s="390" t="inlineStr">
        <is>
          <t xml:space="preserve">- Phải thu còn hạn nhưng đối tác mất khả năng thanh toán
</t>
        </is>
      </c>
      <c r="F2396" s="390" t="inlineStr">
        <is>
          <t>Data Explorer</t>
        </is>
      </c>
      <c r="G2396" s="390" t="inlineStr">
        <is>
          <t>Chỉ tiêu cơ sở</t>
        </is>
      </c>
      <c r="H2396" s="390" t="inlineStr">
        <is>
          <t>TB</t>
        </is>
      </c>
      <c r="I2396" s="390" t="inlineStr">
        <is>
          <t>Ngày, CTCK</t>
        </is>
      </c>
      <c r="J2396" s="401" t="inlineStr">
        <is>
          <t>SCMS</t>
        </is>
      </c>
      <c r="K2396" s="401" t="n"/>
      <c r="L2396" s="401" t="inlineStr">
        <is>
          <t>X</t>
        </is>
      </c>
      <c r="M2396" s="401" t="n"/>
      <c r="N2396" s="401" t="inlineStr">
        <is>
          <t>Done</t>
        </is>
      </c>
      <c r="O2396" s="401" t="n"/>
      <c r="P2396" s="22" t="n"/>
      <c r="S2396" s="22" t="n"/>
      <c r="U2396" s="16" t="n"/>
      <c r="V2396" s="22" t="n"/>
      <c r="W2396" s="22" t="n"/>
      <c r="X2396" s="22" t="n"/>
      <c r="Y2396" s="13" t="n"/>
      <c r="Z2396" s="22" t="n"/>
      <c r="AA2396" s="22" t="n"/>
      <c r="AB2396" s="22" t="n"/>
      <c r="AC2396" s="22" t="n"/>
      <c r="AD2396" s="22" t="n"/>
      <c r="AE2396" s="22" t="n"/>
    </row>
    <row r="2397" ht="56" customHeight="1" s="380">
      <c r="A2397" s="126" t="n">
        <v>101</v>
      </c>
      <c r="B2397" s="390" t="n"/>
      <c r="C2397" s="390" t="inlineStr">
        <is>
          <t>Báo cáo theo Thông tư 121/2020/TT-BTC &gt;&gt; Báo cáo tỷ lệ An toàn tài chính &gt;&gt; Bảng tính vốn khả dụng</t>
        </is>
      </c>
      <c r="D2397" s="390" t="inlineStr">
        <is>
          <t xml:space="preserve">Phải thu về lỗi giao dịch chứng khoán			
</t>
        </is>
      </c>
      <c r="E2397" s="390" t="inlineStr">
        <is>
          <t xml:space="preserve">Phải thu về lỗi giao dịch chứng khoán			
</t>
        </is>
      </c>
      <c r="F2397" s="390" t="inlineStr">
        <is>
          <t>Data Explorer</t>
        </is>
      </c>
      <c r="G2397" s="390" t="inlineStr">
        <is>
          <t>Chỉ tiêu cơ sở</t>
        </is>
      </c>
      <c r="H2397" s="390" t="inlineStr">
        <is>
          <t>TB</t>
        </is>
      </c>
      <c r="I2397" s="390" t="inlineStr">
        <is>
          <t>Ngày, CTCK</t>
        </is>
      </c>
      <c r="J2397" s="401" t="inlineStr">
        <is>
          <t>SCMS</t>
        </is>
      </c>
      <c r="K2397" s="401" t="n"/>
      <c r="L2397" s="401" t="inlineStr">
        <is>
          <t>X</t>
        </is>
      </c>
      <c r="M2397" s="401" t="n"/>
      <c r="N2397" s="401" t="inlineStr">
        <is>
          <t>Done</t>
        </is>
      </c>
      <c r="O2397" s="401" t="n"/>
      <c r="P2397" s="22" t="n"/>
      <c r="S2397" s="22" t="n"/>
      <c r="U2397" s="16" t="n"/>
      <c r="V2397" s="22" t="n"/>
      <c r="W2397" s="22" t="n"/>
      <c r="X2397" s="22" t="n"/>
      <c r="Y2397" s="13" t="n"/>
      <c r="Z2397" s="22" t="n"/>
      <c r="AA2397" s="22" t="n"/>
      <c r="AB2397" s="22" t="n"/>
      <c r="AC2397" s="22" t="n"/>
      <c r="AD2397" s="22" t="n"/>
      <c r="AE2397" s="22" t="n"/>
    </row>
    <row r="2398" ht="56" customHeight="1" s="380">
      <c r="A2398" s="126" t="n">
        <v>101</v>
      </c>
      <c r="B2398" s="390" t="n"/>
      <c r="C2398" s="390" t="inlineStr">
        <is>
          <t>Báo cáo theo Thông tư 121/2020/TT-BTC &gt;&gt; Báo cáo tỷ lệ An toàn tài chính &gt;&gt; Bảng tính vốn khả dụng</t>
        </is>
      </c>
      <c r="D2398" s="390" t="inlineStr">
        <is>
          <t xml:space="preserve">- Các khoản phải thu có thời hạn thanh toán còn lại từ 90 ngày trở xuống
</t>
        </is>
      </c>
      <c r="E2398" s="390" t="inlineStr">
        <is>
          <t xml:space="preserve">- Các khoản phải thu có thời hạn thanh toán còn lại từ 90 ngày trở xuống
</t>
        </is>
      </c>
      <c r="F2398" s="390" t="inlineStr">
        <is>
          <t>Data Explorer</t>
        </is>
      </c>
      <c r="G2398" s="390" t="inlineStr">
        <is>
          <t>Chỉ tiêu cơ sở</t>
        </is>
      </c>
      <c r="H2398" s="390" t="inlineStr">
        <is>
          <t>TB</t>
        </is>
      </c>
      <c r="I2398" s="390" t="inlineStr">
        <is>
          <t>Ngày, CTCK</t>
        </is>
      </c>
      <c r="J2398" s="401" t="inlineStr">
        <is>
          <t>SCMS</t>
        </is>
      </c>
      <c r="K2398" s="401" t="n"/>
      <c r="L2398" s="401" t="inlineStr">
        <is>
          <t>X</t>
        </is>
      </c>
      <c r="M2398" s="401" t="n"/>
      <c r="N2398" s="401" t="inlineStr">
        <is>
          <t>Done</t>
        </is>
      </c>
      <c r="O2398" s="401" t="n"/>
      <c r="P2398" s="22" t="n"/>
      <c r="S2398" s="22" t="n"/>
      <c r="U2398" s="16" t="n"/>
      <c r="V2398" s="22" t="n"/>
      <c r="W2398" s="22" t="n"/>
      <c r="X2398" s="22" t="n"/>
      <c r="Y2398" s="13" t="n"/>
      <c r="Z2398" s="22" t="n"/>
      <c r="AA2398" s="22" t="n"/>
      <c r="AB2398" s="22" t="n"/>
      <c r="AC2398" s="22" t="n"/>
      <c r="AD2398" s="22" t="n"/>
      <c r="AE2398" s="22" t="n"/>
    </row>
    <row r="2399" ht="56" customHeight="1" s="380">
      <c r="A2399" s="126" t="n">
        <v>101</v>
      </c>
      <c r="B2399" s="390" t="n"/>
      <c r="C2399" s="390" t="inlineStr">
        <is>
          <t>Báo cáo theo Thông tư 121/2020/TT-BTC &gt;&gt; Báo cáo tỷ lệ An toàn tài chính &gt;&gt; Bảng tính vốn khả dụng</t>
        </is>
      </c>
      <c r="D2399" s="390" t="inlineStr">
        <is>
          <t xml:space="preserve">- Các khoản phải thu có thời hạn thanh toán còn lại trên 90 ngày
</t>
        </is>
      </c>
      <c r="E2399" s="390" t="inlineStr">
        <is>
          <t xml:space="preserve">- Các khoản phải thu có thời hạn thanh toán còn lại trên 90 ngày
</t>
        </is>
      </c>
      <c r="F2399" s="390" t="inlineStr">
        <is>
          <t>Data Explorer</t>
        </is>
      </c>
      <c r="G2399" s="390" t="inlineStr">
        <is>
          <t>Chỉ tiêu cơ sở</t>
        </is>
      </c>
      <c r="H2399" s="390" t="inlineStr">
        <is>
          <t>TB</t>
        </is>
      </c>
      <c r="I2399" s="390" t="inlineStr">
        <is>
          <t>Ngày, CTCK</t>
        </is>
      </c>
      <c r="J2399" s="401" t="inlineStr">
        <is>
          <t>SCMS</t>
        </is>
      </c>
      <c r="K2399" s="401" t="n"/>
      <c r="L2399" s="401" t="inlineStr">
        <is>
          <t>X</t>
        </is>
      </c>
      <c r="M2399" s="401" t="n"/>
      <c r="N2399" s="401" t="inlineStr">
        <is>
          <t>Done</t>
        </is>
      </c>
      <c r="O2399" s="401" t="n"/>
      <c r="P2399" s="22" t="n"/>
      <c r="S2399" s="22" t="n"/>
      <c r="U2399" s="16" t="n"/>
      <c r="V2399" s="22" t="n"/>
      <c r="W2399" s="22" t="n"/>
      <c r="X2399" s="22" t="n"/>
      <c r="Y2399" s="13" t="n"/>
      <c r="Z2399" s="22" t="n"/>
      <c r="AA2399" s="22" t="n"/>
      <c r="AB2399" s="22" t="n"/>
      <c r="AC2399" s="22" t="n"/>
      <c r="AD2399" s="22" t="n"/>
      <c r="AE2399" s="22" t="n"/>
    </row>
    <row r="2400" ht="56" customHeight="1" s="380">
      <c r="A2400" s="126" t="n">
        <v>101</v>
      </c>
      <c r="B2400" s="390" t="n"/>
      <c r="C2400" s="390" t="inlineStr">
        <is>
          <t>Báo cáo theo Thông tư 121/2020/TT-BTC &gt;&gt; Báo cáo tỷ lệ An toàn tài chính &gt;&gt; Bảng tính vốn khả dụng</t>
        </is>
      </c>
      <c r="D2400" s="390" t="inlineStr">
        <is>
          <t xml:space="preserve">- Phải thu còn hạn nhưng đối tác mất khả năng thanh toán
</t>
        </is>
      </c>
      <c r="E2400" s="390" t="inlineStr">
        <is>
          <t xml:space="preserve">- Phải thu còn hạn nhưng đối tác mất khả năng thanh toán
</t>
        </is>
      </c>
      <c r="F2400" s="390" t="inlineStr">
        <is>
          <t>Data Explorer</t>
        </is>
      </c>
      <c r="G2400" s="390" t="inlineStr">
        <is>
          <t>Chỉ tiêu cơ sở</t>
        </is>
      </c>
      <c r="H2400" s="390" t="inlineStr">
        <is>
          <t>TB</t>
        </is>
      </c>
      <c r="I2400" s="390" t="inlineStr">
        <is>
          <t>Ngày, CTCK</t>
        </is>
      </c>
      <c r="J2400" s="401" t="inlineStr">
        <is>
          <t>SCMS</t>
        </is>
      </c>
      <c r="K2400" s="401" t="n"/>
      <c r="L2400" s="401" t="inlineStr">
        <is>
          <t>X</t>
        </is>
      </c>
      <c r="M2400" s="401" t="n"/>
      <c r="N2400" s="401" t="inlineStr">
        <is>
          <t>Done</t>
        </is>
      </c>
      <c r="O2400" s="401" t="n"/>
      <c r="P2400" s="22" t="n"/>
      <c r="S2400" s="22" t="n"/>
      <c r="U2400" s="16" t="n"/>
      <c r="V2400" s="22" t="n"/>
      <c r="W2400" s="22" t="n"/>
      <c r="X2400" s="22" t="n"/>
      <c r="Y2400" s="13" t="n"/>
      <c r="Z2400" s="22" t="n"/>
      <c r="AA2400" s="22" t="n"/>
      <c r="AB2400" s="22" t="n"/>
      <c r="AC2400" s="22" t="n"/>
      <c r="AD2400" s="22" t="n"/>
      <c r="AE2400" s="22" t="n"/>
    </row>
    <row r="2401" ht="56" customHeight="1" s="380">
      <c r="A2401" s="126" t="n">
        <v>101</v>
      </c>
      <c r="B2401" s="390" t="n"/>
      <c r="C2401" s="390" t="inlineStr">
        <is>
          <t>Báo cáo theo Thông tư 121/2020/TT-BTC &gt;&gt; Báo cáo tỷ lệ An toàn tài chính &gt;&gt; Bảng tính vốn khả dụng</t>
        </is>
      </c>
      <c r="D2401" s="390" t="inlineStr">
        <is>
          <t xml:space="preserve">Các khoản phải thu khác
</t>
        </is>
      </c>
      <c r="E2401" s="390" t="inlineStr">
        <is>
          <t xml:space="preserve">Các khoản phải thu khác
</t>
        </is>
      </c>
      <c r="F2401" s="390" t="inlineStr">
        <is>
          <t>Data Explorer</t>
        </is>
      </c>
      <c r="G2401" s="390" t="inlineStr">
        <is>
          <t>Chỉ tiêu cơ sở</t>
        </is>
      </c>
      <c r="H2401" s="390" t="inlineStr">
        <is>
          <t>TB</t>
        </is>
      </c>
      <c r="I2401" s="390" t="inlineStr">
        <is>
          <t>Ngày, CTCK</t>
        </is>
      </c>
      <c r="J2401" s="401" t="inlineStr">
        <is>
          <t>SCMS</t>
        </is>
      </c>
      <c r="K2401" s="401" t="n"/>
      <c r="L2401" s="401" t="inlineStr">
        <is>
          <t>X</t>
        </is>
      </c>
      <c r="M2401" s="401" t="n"/>
      <c r="N2401" s="401" t="inlineStr">
        <is>
          <t>Done</t>
        </is>
      </c>
      <c r="O2401" s="401" t="n"/>
      <c r="P2401" s="22" t="n"/>
      <c r="S2401" s="22" t="n"/>
      <c r="U2401" s="16" t="n"/>
      <c r="V2401" s="22" t="n"/>
      <c r="W2401" s="22" t="n"/>
      <c r="X2401" s="22" t="n"/>
      <c r="Y2401" s="13" t="n"/>
      <c r="Z2401" s="22" t="n"/>
      <c r="AA2401" s="22" t="n"/>
      <c r="AB2401" s="22" t="n"/>
      <c r="AC2401" s="22" t="n"/>
      <c r="AD2401" s="22" t="n"/>
      <c r="AE2401" s="22" t="n"/>
    </row>
    <row r="2402" ht="56" customHeight="1" s="380">
      <c r="A2402" s="126" t="n">
        <v>101</v>
      </c>
      <c r="B2402" s="390" t="n"/>
      <c r="C2402" s="390" t="inlineStr">
        <is>
          <t>Báo cáo theo Thông tư 121/2020/TT-BTC &gt;&gt; Báo cáo tỷ lệ An toàn tài chính &gt;&gt; Bảng tính vốn khả dụng</t>
        </is>
      </c>
      <c r="D2402" s="390" t="inlineStr">
        <is>
          <t>- Các khoản phải thu có thời hạn thanh toán còn lại từ 90 ngày trở xuống</t>
        </is>
      </c>
      <c r="E2402" s="390" t="inlineStr">
        <is>
          <t>- Các khoản phải thu có thời hạn thanh toán còn lại từ 90 ngày trở xuống</t>
        </is>
      </c>
      <c r="F2402" s="390" t="inlineStr">
        <is>
          <t>Data Explorer</t>
        </is>
      </c>
      <c r="G2402" s="390" t="inlineStr">
        <is>
          <t>Chỉ tiêu cơ sở</t>
        </is>
      </c>
      <c r="H2402" s="390" t="inlineStr">
        <is>
          <t>TB</t>
        </is>
      </c>
      <c r="I2402" s="390" t="inlineStr">
        <is>
          <t>Ngày, CTCK</t>
        </is>
      </c>
      <c r="J2402" s="401" t="inlineStr">
        <is>
          <t>SCMS</t>
        </is>
      </c>
      <c r="K2402" s="401" t="n"/>
      <c r="L2402" s="401" t="inlineStr">
        <is>
          <t>X</t>
        </is>
      </c>
      <c r="M2402" s="401" t="n"/>
      <c r="N2402" s="401" t="inlineStr">
        <is>
          <t>Done</t>
        </is>
      </c>
      <c r="O2402" s="401" t="n"/>
      <c r="P2402" s="22" t="n"/>
      <c r="S2402" s="22" t="n"/>
      <c r="U2402" s="16" t="n"/>
      <c r="V2402" s="22" t="n"/>
      <c r="W2402" s="22" t="n"/>
      <c r="X2402" s="22" t="n"/>
      <c r="Y2402" s="13" t="n"/>
      <c r="Z2402" s="22" t="n"/>
      <c r="AA2402" s="22" t="n"/>
      <c r="AB2402" s="22" t="n"/>
      <c r="AC2402" s="22" t="n"/>
      <c r="AD2402" s="22" t="n"/>
      <c r="AE2402" s="22" t="n"/>
    </row>
    <row r="2403" ht="56" customHeight="1" s="380">
      <c r="A2403" s="126" t="n">
        <v>101</v>
      </c>
      <c r="B2403" s="390" t="n"/>
      <c r="C2403" s="390" t="inlineStr">
        <is>
          <t>Báo cáo theo Thông tư 121/2020/TT-BTC &gt;&gt; Báo cáo tỷ lệ An toàn tài chính &gt;&gt; Bảng tính vốn khả dụng</t>
        </is>
      </c>
      <c r="D2403" s="390" t="inlineStr">
        <is>
          <t xml:space="preserve">- Các khoản phải thu có thời hạn thanh toán còn lại trên 90 ngày
</t>
        </is>
      </c>
      <c r="E2403" s="390" t="inlineStr">
        <is>
          <t xml:space="preserve">- Các khoản phải thu có thời hạn thanh toán còn lại trên 90 ngày
</t>
        </is>
      </c>
      <c r="F2403" s="390" t="inlineStr">
        <is>
          <t>Data Explorer</t>
        </is>
      </c>
      <c r="G2403" s="390" t="inlineStr">
        <is>
          <t>Chỉ tiêu cơ sở</t>
        </is>
      </c>
      <c r="H2403" s="390" t="inlineStr">
        <is>
          <t>TB</t>
        </is>
      </c>
      <c r="I2403" s="390" t="inlineStr">
        <is>
          <t>Ngày, CTCK</t>
        </is>
      </c>
      <c r="J2403" s="401" t="inlineStr">
        <is>
          <t>SCMS</t>
        </is>
      </c>
      <c r="K2403" s="401" t="n"/>
      <c r="L2403" s="401" t="inlineStr">
        <is>
          <t>X</t>
        </is>
      </c>
      <c r="M2403" s="401" t="n"/>
      <c r="N2403" s="401" t="inlineStr">
        <is>
          <t>Done</t>
        </is>
      </c>
      <c r="O2403" s="401" t="n"/>
      <c r="P2403" s="22" t="n"/>
      <c r="S2403" s="22" t="n"/>
      <c r="U2403" s="16" t="n"/>
      <c r="V2403" s="22" t="n"/>
      <c r="W2403" s="22" t="n"/>
      <c r="X2403" s="22" t="n"/>
      <c r="Y2403" s="13" t="n"/>
      <c r="Z2403" s="22" t="n"/>
      <c r="AA2403" s="22" t="n"/>
      <c r="AB2403" s="22" t="n"/>
      <c r="AC2403" s="22" t="n"/>
      <c r="AD2403" s="22" t="n"/>
      <c r="AE2403" s="22" t="n"/>
    </row>
    <row r="2404" ht="56" customHeight="1" s="380">
      <c r="A2404" s="126" t="n">
        <v>101</v>
      </c>
      <c r="B2404" s="390" t="n"/>
      <c r="C2404" s="390" t="inlineStr">
        <is>
          <t>Báo cáo theo Thông tư 121/2020/TT-BTC &gt;&gt; Báo cáo tỷ lệ An toàn tài chính &gt;&gt; Bảng tính vốn khả dụng</t>
        </is>
      </c>
      <c r="D2404" s="390" t="inlineStr">
        <is>
          <t xml:space="preserve">- Tạm ứng có thời hạn hoàn ứng còn lại trên 90 ngày
</t>
        </is>
      </c>
      <c r="E2404" s="390" t="inlineStr">
        <is>
          <t xml:space="preserve">- Tạm ứng có thời hạn hoàn ứng còn lại trên 90 ngày
</t>
        </is>
      </c>
      <c r="F2404" s="390" t="inlineStr">
        <is>
          <t>Data Explorer</t>
        </is>
      </c>
      <c r="G2404" s="390" t="inlineStr">
        <is>
          <t>Chỉ tiêu cơ sở</t>
        </is>
      </c>
      <c r="H2404" s="390" t="inlineStr">
        <is>
          <t>TB</t>
        </is>
      </c>
      <c r="I2404" s="390" t="inlineStr">
        <is>
          <t>Ngày, CTCK</t>
        </is>
      </c>
      <c r="J2404" s="401" t="inlineStr">
        <is>
          <t>SCMS</t>
        </is>
      </c>
      <c r="K2404" s="401" t="n"/>
      <c r="L2404" s="401" t="inlineStr">
        <is>
          <t>X</t>
        </is>
      </c>
      <c r="M2404" s="401" t="n"/>
      <c r="N2404" s="401" t="inlineStr">
        <is>
          <t>Done</t>
        </is>
      </c>
      <c r="O2404" s="401" t="n"/>
      <c r="P2404" s="22" t="n"/>
      <c r="S2404" s="22" t="n"/>
      <c r="U2404" s="16" t="n"/>
      <c r="V2404" s="22" t="n"/>
      <c r="W2404" s="22" t="n"/>
      <c r="X2404" s="22" t="n"/>
      <c r="Y2404" s="13" t="n"/>
      <c r="Z2404" s="22" t="n"/>
      <c r="AA2404" s="22" t="n"/>
      <c r="AB2404" s="22" t="n"/>
      <c r="AC2404" s="22" t="n"/>
      <c r="AD2404" s="22" t="n"/>
      <c r="AE2404" s="22" t="n"/>
    </row>
    <row r="2405" ht="56" customHeight="1" s="380">
      <c r="A2405" s="126" t="n">
        <v>101</v>
      </c>
      <c r="B2405" s="390" t="n"/>
      <c r="C2405" s="390" t="inlineStr">
        <is>
          <t>Báo cáo theo Thông tư 121/2020/TT-BTC &gt;&gt; Báo cáo tỷ lệ An toàn tài chính &gt;&gt; Bảng tính vốn khả dụng</t>
        </is>
      </c>
      <c r="D2405" s="390" t="inlineStr">
        <is>
          <t xml:space="preserve">Dự phòng suy giảm giá trị các khoản phải thu
</t>
        </is>
      </c>
      <c r="E2405" s="390" t="inlineStr">
        <is>
          <t xml:space="preserve">Dự phòng suy giảm giá trị các khoản phải thu
</t>
        </is>
      </c>
      <c r="F2405" s="390" t="inlineStr">
        <is>
          <t>Data Explorer</t>
        </is>
      </c>
      <c r="G2405" s="390" t="inlineStr">
        <is>
          <t>Chỉ tiêu cơ sở</t>
        </is>
      </c>
      <c r="H2405" s="390" t="inlineStr">
        <is>
          <t>TB</t>
        </is>
      </c>
      <c r="I2405" s="390" t="inlineStr">
        <is>
          <t>Ngày, CTCK</t>
        </is>
      </c>
      <c r="J2405" s="401" t="inlineStr">
        <is>
          <t>SCMS</t>
        </is>
      </c>
      <c r="K2405" s="401" t="n"/>
      <c r="L2405" s="401" t="inlineStr">
        <is>
          <t>X</t>
        </is>
      </c>
      <c r="M2405" s="401" t="n"/>
      <c r="N2405" s="401" t="inlineStr">
        <is>
          <t>Done</t>
        </is>
      </c>
      <c r="O2405" s="401" t="n"/>
      <c r="P2405" s="22" t="n"/>
      <c r="S2405" s="22" t="n"/>
      <c r="U2405" s="16" t="n"/>
      <c r="V2405" s="22" t="n"/>
      <c r="W2405" s="22" t="n"/>
      <c r="X2405" s="22" t="n"/>
      <c r="Y2405" s="13" t="n"/>
      <c r="Z2405" s="22" t="n"/>
      <c r="AA2405" s="22" t="n"/>
      <c r="AB2405" s="22" t="n"/>
      <c r="AC2405" s="22" t="n"/>
      <c r="AD2405" s="22" t="n"/>
      <c r="AE2405" s="22" t="n"/>
    </row>
    <row r="2406" ht="56" customHeight="1" s="380">
      <c r="A2406" s="126" t="n">
        <v>101</v>
      </c>
      <c r="B2406" s="390" t="n"/>
      <c r="C2406" s="390" t="inlineStr">
        <is>
          <t>Báo cáo theo Thông tư 121/2020/TT-BTC &gt;&gt; Báo cáo tỷ lệ An toàn tài chính &gt;&gt; Bảng tính vốn khả dụng</t>
        </is>
      </c>
      <c r="D2406" s="390" t="inlineStr">
        <is>
          <t xml:space="preserve">Tài sản ngắn hạn khác
</t>
        </is>
      </c>
      <c r="E2406" s="390" t="inlineStr">
        <is>
          <t xml:space="preserve">Tài sản ngắn hạn khác
</t>
        </is>
      </c>
      <c r="F2406" s="390" t="inlineStr">
        <is>
          <t>Data Explorer</t>
        </is>
      </c>
      <c r="G2406" s="390" t="inlineStr">
        <is>
          <t>Chỉ tiêu cơ sở</t>
        </is>
      </c>
      <c r="H2406" s="390" t="inlineStr">
        <is>
          <t>TB</t>
        </is>
      </c>
      <c r="I2406" s="390" t="inlineStr">
        <is>
          <t>Ngày, CTCK</t>
        </is>
      </c>
      <c r="J2406" s="401" t="inlineStr">
        <is>
          <t>SCMS</t>
        </is>
      </c>
      <c r="K2406" s="401" t="n"/>
      <c r="L2406" s="401" t="inlineStr">
        <is>
          <t>X</t>
        </is>
      </c>
      <c r="M2406" s="401" t="n"/>
      <c r="N2406" s="401" t="inlineStr">
        <is>
          <t>Done</t>
        </is>
      </c>
      <c r="O2406" s="401" t="n"/>
      <c r="P2406" s="22" t="n"/>
      <c r="S2406" s="22" t="n"/>
      <c r="U2406" s="16" t="n"/>
      <c r="V2406" s="22" t="n"/>
      <c r="W2406" s="22" t="n"/>
      <c r="X2406" s="22" t="n"/>
      <c r="Y2406" s="13" t="n"/>
      <c r="Z2406" s="22" t="n"/>
      <c r="AA2406" s="22" t="n"/>
      <c r="AB2406" s="22" t="n"/>
      <c r="AC2406" s="22" t="n"/>
      <c r="AD2406" s="22" t="n"/>
      <c r="AE2406" s="22" t="n"/>
    </row>
    <row r="2407" ht="56" customHeight="1" s="380">
      <c r="A2407" s="126" t="n">
        <v>101</v>
      </c>
      <c r="B2407" s="390" t="n"/>
      <c r="C2407" s="390" t="inlineStr">
        <is>
          <t>Báo cáo theo Thông tư 121/2020/TT-BTC &gt;&gt; Báo cáo tỷ lệ An toàn tài chính &gt;&gt; Bảng tính vốn khả dụng</t>
        </is>
      </c>
      <c r="D2407" s="390" t="inlineStr">
        <is>
          <t xml:space="preserve">Cầm cố, thế chấp, ký quỹ, ký cược ngắn hạn
</t>
        </is>
      </c>
      <c r="E2407" s="390" t="inlineStr">
        <is>
          <t xml:space="preserve">Cầm cố, thế chấp, ký quỹ, ký cược ngắn hạn
</t>
        </is>
      </c>
      <c r="F2407" s="390" t="inlineStr">
        <is>
          <t>Data Explorer</t>
        </is>
      </c>
      <c r="G2407" s="390" t="inlineStr">
        <is>
          <t>Chỉ tiêu cơ sở</t>
        </is>
      </c>
      <c r="H2407" s="390" t="inlineStr">
        <is>
          <t>TB</t>
        </is>
      </c>
      <c r="I2407" s="390" t="inlineStr">
        <is>
          <t>Ngày, CTCK</t>
        </is>
      </c>
      <c r="J2407" s="401" t="inlineStr">
        <is>
          <t>SCMS</t>
        </is>
      </c>
      <c r="K2407" s="401" t="n"/>
      <c r="L2407" s="401" t="inlineStr">
        <is>
          <t>X</t>
        </is>
      </c>
      <c r="M2407" s="401" t="n"/>
      <c r="N2407" s="401" t="inlineStr">
        <is>
          <t>Done</t>
        </is>
      </c>
      <c r="O2407" s="401" t="n"/>
      <c r="P2407" s="22" t="n"/>
      <c r="S2407" s="22" t="n"/>
      <c r="U2407" s="16" t="n"/>
      <c r="V2407" s="22" t="n"/>
      <c r="W2407" s="22" t="n"/>
      <c r="X2407" s="22" t="n"/>
      <c r="Y2407" s="13" t="n"/>
      <c r="Z2407" s="22" t="n"/>
      <c r="AA2407" s="22" t="n"/>
      <c r="AB2407" s="22" t="n"/>
      <c r="AC2407" s="22" t="n"/>
      <c r="AD2407" s="22" t="n"/>
      <c r="AE2407" s="22" t="n"/>
    </row>
    <row r="2408" ht="56" customHeight="1" s="380">
      <c r="A2408" s="126" t="n">
        <v>101</v>
      </c>
      <c r="B2408" s="390" t="n"/>
      <c r="C2408" s="390" t="inlineStr">
        <is>
          <t>Báo cáo theo Thông tư 121/2020/TT-BTC &gt;&gt; Báo cáo tỷ lệ An toàn tài chính &gt;&gt; Bảng tính vốn khả dụng</t>
        </is>
      </c>
      <c r="D2408" s="390" t="inlineStr">
        <is>
          <t xml:space="preserve">Thuế giá trị gia tăng được khấu trừ
</t>
        </is>
      </c>
      <c r="E2408" s="390" t="inlineStr">
        <is>
          <t xml:space="preserve">Thuế giá trị gia tăng được khấu trừ
</t>
        </is>
      </c>
      <c r="F2408" s="390" t="inlineStr">
        <is>
          <t>Data Explorer</t>
        </is>
      </c>
      <c r="G2408" s="390" t="inlineStr">
        <is>
          <t>Chỉ tiêu cơ sở</t>
        </is>
      </c>
      <c r="H2408" s="390" t="inlineStr">
        <is>
          <t>TB</t>
        </is>
      </c>
      <c r="I2408" s="390" t="inlineStr">
        <is>
          <t>Ngày, CTCK</t>
        </is>
      </c>
      <c r="J2408" s="401" t="inlineStr">
        <is>
          <t>SCMS</t>
        </is>
      </c>
      <c r="K2408" s="401" t="n"/>
      <c r="L2408" s="401" t="inlineStr">
        <is>
          <t>X</t>
        </is>
      </c>
      <c r="M2408" s="401" t="n"/>
      <c r="N2408" s="401" t="inlineStr">
        <is>
          <t>Done</t>
        </is>
      </c>
      <c r="O2408" s="401" t="n"/>
      <c r="P2408" s="22" t="n"/>
      <c r="S2408" s="22" t="n"/>
      <c r="U2408" s="16" t="n"/>
      <c r="V2408" s="22" t="n"/>
      <c r="W2408" s="22" t="n"/>
      <c r="X2408" s="22" t="n"/>
      <c r="Y2408" s="13" t="n"/>
      <c r="Z2408" s="22" t="n"/>
      <c r="AA2408" s="22" t="n"/>
      <c r="AB2408" s="22" t="n"/>
      <c r="AC2408" s="22" t="n"/>
      <c r="AD2408" s="22" t="n"/>
      <c r="AE2408" s="22" t="n"/>
    </row>
    <row r="2409" ht="56" customHeight="1" s="380">
      <c r="A2409" s="126" t="n">
        <v>101</v>
      </c>
      <c r="B2409" s="390" t="n"/>
      <c r="C2409" s="390" t="inlineStr">
        <is>
          <t>Báo cáo theo Thông tư 121/2020/TT-BTC &gt;&gt; Báo cáo tỷ lệ An toàn tài chính &gt;&gt; Bảng tính vốn khả dụng</t>
        </is>
      </c>
      <c r="D2409" s="390" t="inlineStr">
        <is>
          <t xml:space="preserve">Thuế và các khoản khác phải thu Nhà nước
</t>
        </is>
      </c>
      <c r="E2409" s="390" t="inlineStr">
        <is>
          <t xml:space="preserve">Thuế và các khoản khác phải thu Nhà nước
</t>
        </is>
      </c>
      <c r="F2409" s="390" t="inlineStr">
        <is>
          <t>Data Explorer</t>
        </is>
      </c>
      <c r="G2409" s="390" t="inlineStr">
        <is>
          <t>Chỉ tiêu cơ sở</t>
        </is>
      </c>
      <c r="H2409" s="390" t="inlineStr">
        <is>
          <t>TB</t>
        </is>
      </c>
      <c r="I2409" s="390" t="inlineStr">
        <is>
          <t>Ngày, CTCK</t>
        </is>
      </c>
      <c r="J2409" s="401" t="inlineStr">
        <is>
          <t>SCMS</t>
        </is>
      </c>
      <c r="K2409" s="401" t="n"/>
      <c r="L2409" s="401" t="inlineStr">
        <is>
          <t>X</t>
        </is>
      </c>
      <c r="M2409" s="401" t="n"/>
      <c r="N2409" s="401" t="inlineStr">
        <is>
          <t>Done</t>
        </is>
      </c>
      <c r="O2409" s="401" t="n"/>
      <c r="P2409" s="22" t="n"/>
      <c r="S2409" s="22" t="n"/>
      <c r="U2409" s="16" t="n"/>
      <c r="V2409" s="22" t="n"/>
      <c r="W2409" s="22" t="n"/>
      <c r="X2409" s="22" t="n"/>
      <c r="Y2409" s="13" t="n"/>
      <c r="Z2409" s="22" t="n"/>
      <c r="AA2409" s="22" t="n"/>
      <c r="AB2409" s="22" t="n"/>
      <c r="AC2409" s="22" t="n"/>
      <c r="AD2409" s="22" t="n"/>
      <c r="AE2409" s="22" t="n"/>
    </row>
    <row r="2410" ht="56" customHeight="1" s="380">
      <c r="A2410" s="126" t="n">
        <v>101</v>
      </c>
      <c r="B2410" s="390" t="n"/>
      <c r="C2410" s="390" t="inlineStr">
        <is>
          <t>Báo cáo theo Thông tư 121/2020/TT-BTC &gt;&gt; Báo cáo tỷ lệ An toàn tài chính &gt;&gt; Bảng tính vốn khả dụng</t>
        </is>
      </c>
      <c r="D2410" s="390" t="inlineStr">
        <is>
          <t xml:space="preserve">Tài sản ngắn hạn khác
</t>
        </is>
      </c>
      <c r="E2410" s="390" t="inlineStr">
        <is>
          <t xml:space="preserve">Tài sản ngắn hạn khác
</t>
        </is>
      </c>
      <c r="F2410" s="390" t="inlineStr">
        <is>
          <t>Data Explorer</t>
        </is>
      </c>
      <c r="G2410" s="390" t="inlineStr">
        <is>
          <t>Chỉ tiêu cơ sở</t>
        </is>
      </c>
      <c r="H2410" s="390" t="inlineStr">
        <is>
          <t>TB</t>
        </is>
      </c>
      <c r="I2410" s="390" t="inlineStr">
        <is>
          <t>Ngày, CTCK</t>
        </is>
      </c>
      <c r="J2410" s="401" t="inlineStr">
        <is>
          <t>SCMS</t>
        </is>
      </c>
      <c r="K2410" s="401" t="n"/>
      <c r="L2410" s="401" t="inlineStr">
        <is>
          <t>X</t>
        </is>
      </c>
      <c r="M2410" s="401" t="n"/>
      <c r="N2410" s="401" t="inlineStr">
        <is>
          <t>Done</t>
        </is>
      </c>
      <c r="O2410" s="401" t="n"/>
      <c r="P2410" s="22" t="n"/>
      <c r="S2410" s="22" t="n"/>
      <c r="U2410" s="16" t="n"/>
      <c r="V2410" s="22" t="n"/>
      <c r="W2410" s="22" t="n"/>
      <c r="X2410" s="22" t="n"/>
      <c r="Y2410" s="13" t="n"/>
      <c r="Z2410" s="22" t="n"/>
      <c r="AA2410" s="22" t="n"/>
      <c r="AB2410" s="22" t="n"/>
      <c r="AC2410" s="22" t="n"/>
      <c r="AD2410" s="22" t="n"/>
      <c r="AE2410" s="22" t="n"/>
    </row>
    <row r="2411" ht="56" customHeight="1" s="380">
      <c r="A2411" s="126" t="n">
        <v>101</v>
      </c>
      <c r="B2411" s="390" t="n"/>
      <c r="C2411" s="390" t="inlineStr">
        <is>
          <t>Báo cáo theo Thông tư 121/2020/TT-BTC &gt;&gt; Báo cáo tỷ lệ An toàn tài chính &gt;&gt; Bảng tính vốn khả dụng</t>
        </is>
      </c>
      <c r="D2411" s="390" t="inlineStr">
        <is>
          <t>Vật tư văn phòng, công cụ dụng cụ</t>
        </is>
      </c>
      <c r="E2411" s="390" t="inlineStr">
        <is>
          <t>Vật tư văn phòng, công cụ dụng cụ</t>
        </is>
      </c>
      <c r="F2411" s="390" t="inlineStr">
        <is>
          <t>Data Explorer</t>
        </is>
      </c>
      <c r="G2411" s="390" t="inlineStr">
        <is>
          <t>Chỉ tiêu cơ sở</t>
        </is>
      </c>
      <c r="H2411" s="390" t="inlineStr">
        <is>
          <t>TB</t>
        </is>
      </c>
      <c r="I2411" s="390" t="inlineStr">
        <is>
          <t>Ngày, CTCK</t>
        </is>
      </c>
      <c r="J2411" s="401" t="inlineStr">
        <is>
          <t>SCMS</t>
        </is>
      </c>
      <c r="K2411" s="401" t="n"/>
      <c r="L2411" s="401" t="inlineStr">
        <is>
          <t>X</t>
        </is>
      </c>
      <c r="M2411" s="401" t="n"/>
      <c r="N2411" s="401" t="inlineStr">
        <is>
          <t>Done</t>
        </is>
      </c>
      <c r="O2411" s="401" t="n"/>
      <c r="P2411" s="22" t="n"/>
      <c r="S2411" s="22" t="n"/>
      <c r="U2411" s="16" t="n"/>
      <c r="V2411" s="22" t="n"/>
      <c r="W2411" s="22" t="n"/>
      <c r="X2411" s="22" t="n"/>
      <c r="Y2411" s="13" t="n"/>
      <c r="Z2411" s="22" t="n"/>
      <c r="AA2411" s="22" t="n"/>
      <c r="AB2411" s="22" t="n"/>
      <c r="AC2411" s="22" t="n"/>
      <c r="AD2411" s="22" t="n"/>
      <c r="AE2411" s="22" t="n"/>
    </row>
    <row r="2412" ht="56" customHeight="1" s="380">
      <c r="A2412" s="126" t="n">
        <v>101</v>
      </c>
      <c r="B2412" s="390" t="n"/>
      <c r="C2412" s="390" t="inlineStr">
        <is>
          <t>Báo cáo theo Thông tư 121/2020/TT-BTC &gt;&gt; Báo cáo tỷ lệ An toàn tài chính &gt;&gt; Bảng tính vốn khả dụng</t>
        </is>
      </c>
      <c r="D2412" s="390" t="inlineStr">
        <is>
          <t>Chi phí trả trước ngắn hạn</t>
        </is>
      </c>
      <c r="E2412" s="390" t="inlineStr">
        <is>
          <t>Chi phí trả trước ngắn hạn</t>
        </is>
      </c>
      <c r="F2412" s="390" t="inlineStr">
        <is>
          <t>Data Explorer</t>
        </is>
      </c>
      <c r="G2412" s="390" t="inlineStr">
        <is>
          <t>Chỉ tiêu cơ sở</t>
        </is>
      </c>
      <c r="H2412" s="390" t="inlineStr">
        <is>
          <t>TB</t>
        </is>
      </c>
      <c r="I2412" s="390" t="inlineStr">
        <is>
          <t>Ngày, CTCK</t>
        </is>
      </c>
      <c r="J2412" s="401" t="inlineStr">
        <is>
          <t>SCMS</t>
        </is>
      </c>
      <c r="K2412" s="401" t="n"/>
      <c r="L2412" s="401" t="inlineStr">
        <is>
          <t>X</t>
        </is>
      </c>
      <c r="M2412" s="401" t="n"/>
      <c r="N2412" s="401" t="inlineStr">
        <is>
          <t>Done</t>
        </is>
      </c>
      <c r="O2412" s="401" t="n"/>
      <c r="P2412" s="22" t="n"/>
      <c r="S2412" s="22" t="n"/>
      <c r="U2412" s="16" t="n"/>
      <c r="V2412" s="22" t="n"/>
      <c r="W2412" s="22" t="n"/>
      <c r="X2412" s="22" t="n"/>
      <c r="Y2412" s="13" t="n"/>
      <c r="Z2412" s="22" t="n"/>
      <c r="AA2412" s="22" t="n"/>
      <c r="AB2412" s="22" t="n"/>
      <c r="AC2412" s="22" t="n"/>
      <c r="AD2412" s="22" t="n"/>
      <c r="AE2412" s="22" t="n"/>
    </row>
    <row r="2413" ht="56" customHeight="1" s="380">
      <c r="A2413" s="126" t="n">
        <v>101</v>
      </c>
      <c r="B2413" s="390" t="n"/>
      <c r="C2413" s="390" t="inlineStr">
        <is>
          <t>Báo cáo theo Thông tư 121/2020/TT-BTC &gt;&gt; Báo cáo tỷ lệ An toàn tài chính &gt;&gt; Bảng tính vốn khả dụng</t>
        </is>
      </c>
      <c r="D2413" s="390" t="inlineStr">
        <is>
          <t>Cầm cố, thế chấp, ký quỹ, ký cược ngắn hạn</t>
        </is>
      </c>
      <c r="E2413" s="390" t="inlineStr">
        <is>
          <t>Cầm cố, thế chấp, ký quỹ, ký cược ngắn hạn</t>
        </is>
      </c>
      <c r="F2413" s="390" t="inlineStr">
        <is>
          <t>Data Explorer</t>
        </is>
      </c>
      <c r="G2413" s="390" t="inlineStr">
        <is>
          <t>Chỉ tiêu cơ sở</t>
        </is>
      </c>
      <c r="H2413" s="390" t="inlineStr">
        <is>
          <t>TB</t>
        </is>
      </c>
      <c r="I2413" s="390" t="inlineStr">
        <is>
          <t>Ngày, CTCK</t>
        </is>
      </c>
      <c r="J2413" s="401" t="inlineStr">
        <is>
          <t>SCMS</t>
        </is>
      </c>
      <c r="K2413" s="401" t="n"/>
      <c r="L2413" s="401" t="inlineStr">
        <is>
          <t>X</t>
        </is>
      </c>
      <c r="M2413" s="401" t="n"/>
      <c r="N2413" s="401" t="inlineStr">
        <is>
          <t>Done</t>
        </is>
      </c>
      <c r="O2413" s="401" t="n"/>
      <c r="P2413" s="22" t="n"/>
      <c r="S2413" s="22" t="n"/>
      <c r="U2413" s="16" t="n"/>
      <c r="V2413" s="22" t="n"/>
      <c r="W2413" s="22" t="n"/>
      <c r="X2413" s="22" t="n"/>
      <c r="Y2413" s="13" t="n"/>
      <c r="Z2413" s="22" t="n"/>
      <c r="AA2413" s="22" t="n"/>
      <c r="AB2413" s="22" t="n"/>
      <c r="AC2413" s="22" t="n"/>
      <c r="AD2413" s="22" t="n"/>
      <c r="AE2413" s="22" t="n"/>
    </row>
    <row r="2414" ht="56" customHeight="1" s="380">
      <c r="A2414" s="126" t="n">
        <v>101</v>
      </c>
      <c r="B2414" s="390" t="n"/>
      <c r="C2414" s="390" t="inlineStr">
        <is>
          <t>Báo cáo theo Thông tư 121/2020/TT-BTC &gt;&gt; Báo cáo tỷ lệ An toàn tài chính &gt;&gt; Bảng tính vốn khả dụng</t>
        </is>
      </c>
      <c r="D2414" s="390" t="inlineStr">
        <is>
          <t>Thuế giá trị gia tăng được khấu trừ</t>
        </is>
      </c>
      <c r="E2414" s="390" t="inlineStr">
        <is>
          <t>Thuế giá trị gia tăng được khấu trừ</t>
        </is>
      </c>
      <c r="F2414" s="390" t="inlineStr">
        <is>
          <t>Data Explorer</t>
        </is>
      </c>
      <c r="G2414" s="390" t="inlineStr">
        <is>
          <t>Chỉ tiêu cơ sở</t>
        </is>
      </c>
      <c r="H2414" s="390" t="inlineStr">
        <is>
          <t>TB</t>
        </is>
      </c>
      <c r="I2414" s="390" t="inlineStr">
        <is>
          <t>Ngày, CTCK</t>
        </is>
      </c>
      <c r="J2414" s="401" t="inlineStr">
        <is>
          <t>SCMS</t>
        </is>
      </c>
      <c r="K2414" s="401" t="n"/>
      <c r="L2414" s="401" t="inlineStr">
        <is>
          <t>X</t>
        </is>
      </c>
      <c r="M2414" s="401" t="n"/>
      <c r="N2414" s="401" t="inlineStr">
        <is>
          <t>Done</t>
        </is>
      </c>
      <c r="O2414" s="401" t="n"/>
      <c r="P2414" s="22" t="n"/>
      <c r="S2414" s="22" t="n"/>
      <c r="U2414" s="16" t="n"/>
      <c r="V2414" s="22" t="n"/>
      <c r="W2414" s="22" t="n"/>
      <c r="X2414" s="22" t="n"/>
      <c r="Y2414" s="13" t="n"/>
      <c r="Z2414" s="22" t="n"/>
      <c r="AA2414" s="22" t="n"/>
      <c r="AB2414" s="22" t="n"/>
      <c r="AC2414" s="22" t="n"/>
      <c r="AD2414" s="22" t="n"/>
      <c r="AE2414" s="22" t="n"/>
    </row>
    <row r="2415" ht="56" customHeight="1" s="380">
      <c r="A2415" s="126" t="n">
        <v>101</v>
      </c>
      <c r="B2415" s="390" t="n"/>
      <c r="C2415" s="390" t="inlineStr">
        <is>
          <t>Báo cáo theo Thông tư 121/2020/TT-BTC &gt;&gt; Báo cáo tỷ lệ An toàn tài chính &gt;&gt; Bảng tính vốn khả dụng</t>
        </is>
      </c>
      <c r="D2415" s="390" t="inlineStr">
        <is>
          <t>Thuế và các khoản khác phải thu Nhà nước</t>
        </is>
      </c>
      <c r="E2415" s="390" t="inlineStr">
        <is>
          <t>Thuế và các khoản khác phải thu Nhà nước</t>
        </is>
      </c>
      <c r="F2415" s="390" t="inlineStr">
        <is>
          <t>Data Explorer</t>
        </is>
      </c>
      <c r="G2415" s="390" t="inlineStr">
        <is>
          <t>Chỉ tiêu cơ sở</t>
        </is>
      </c>
      <c r="H2415" s="390" t="inlineStr">
        <is>
          <t>TB</t>
        </is>
      </c>
      <c r="I2415" s="390" t="inlineStr">
        <is>
          <t>Ngày, CTCK</t>
        </is>
      </c>
      <c r="J2415" s="401" t="inlineStr">
        <is>
          <t>SCMS</t>
        </is>
      </c>
      <c r="K2415" s="401" t="n"/>
      <c r="L2415" s="401" t="inlineStr">
        <is>
          <t>X</t>
        </is>
      </c>
      <c r="M2415" s="401" t="n"/>
      <c r="N2415" s="401" t="inlineStr">
        <is>
          <t>Done</t>
        </is>
      </c>
      <c r="O2415" s="401" t="n"/>
      <c r="P2415" s="22" t="n"/>
      <c r="S2415" s="22" t="n"/>
      <c r="U2415" s="16" t="n"/>
      <c r="V2415" s="22" t="n"/>
      <c r="W2415" s="22" t="n"/>
      <c r="X2415" s="22" t="n"/>
      <c r="Y2415" s="13" t="n"/>
      <c r="Z2415" s="22" t="n"/>
      <c r="AA2415" s="22" t="n"/>
      <c r="AB2415" s="22" t="n"/>
      <c r="AC2415" s="22" t="n"/>
      <c r="AD2415" s="22" t="n"/>
      <c r="AE2415" s="22" t="n"/>
    </row>
    <row r="2416" ht="56" customHeight="1" s="380">
      <c r="A2416" s="126" t="n">
        <v>101</v>
      </c>
      <c r="B2416" s="390" t="n"/>
      <c r="C2416" s="390" t="inlineStr">
        <is>
          <t>Báo cáo theo Thông tư 121/2020/TT-BTC &gt;&gt; Báo cáo tỷ lệ An toàn tài chính &gt;&gt; Bảng tính vốn khả dụng</t>
        </is>
      </c>
      <c r="D2416" s="390" t="inlineStr">
        <is>
          <t>Tài sản ngắn hạn khác</t>
        </is>
      </c>
      <c r="E2416" s="390" t="inlineStr">
        <is>
          <t>Tài sản ngắn hạn khác</t>
        </is>
      </c>
      <c r="F2416" s="390" t="inlineStr">
        <is>
          <t>Data Explorer</t>
        </is>
      </c>
      <c r="G2416" s="390" t="inlineStr">
        <is>
          <t>Chỉ tiêu cơ sở</t>
        </is>
      </c>
      <c r="H2416" s="390" t="inlineStr">
        <is>
          <t>TB</t>
        </is>
      </c>
      <c r="I2416" s="390" t="inlineStr">
        <is>
          <t>Ngày, CTCK</t>
        </is>
      </c>
      <c r="J2416" s="401" t="inlineStr">
        <is>
          <t>SCMS</t>
        </is>
      </c>
      <c r="K2416" s="401" t="n"/>
      <c r="L2416" s="401" t="inlineStr">
        <is>
          <t>X</t>
        </is>
      </c>
      <c r="M2416" s="401" t="n"/>
      <c r="N2416" s="401" t="inlineStr">
        <is>
          <t>Done</t>
        </is>
      </c>
      <c r="O2416" s="401" t="n"/>
      <c r="P2416" s="22" t="n"/>
      <c r="S2416" s="22" t="n"/>
      <c r="U2416" s="16" t="n"/>
      <c r="V2416" s="22" t="n"/>
      <c r="W2416" s="22" t="n"/>
      <c r="X2416" s="22" t="n"/>
      <c r="Y2416" s="13" t="n"/>
      <c r="Z2416" s="22" t="n"/>
      <c r="AA2416" s="22" t="n"/>
      <c r="AB2416" s="22" t="n"/>
      <c r="AC2416" s="22" t="n"/>
      <c r="AD2416" s="22" t="n"/>
      <c r="AE2416" s="22" t="n"/>
    </row>
    <row r="2417" ht="56" customHeight="1" s="380">
      <c r="A2417" s="126" t="n">
        <v>101</v>
      </c>
      <c r="B2417" s="390" t="n"/>
      <c r="C2417" s="390" t="inlineStr">
        <is>
          <t>Báo cáo theo Thông tư 121/2020/TT-BTC &gt;&gt; Báo cáo tỷ lệ An toàn tài chính &gt;&gt; Bảng tính vốn khả dụng</t>
        </is>
      </c>
      <c r="D2417" s="390" t="inlineStr">
        <is>
          <t xml:space="preserve">Dự phòng suy giảm giá trị tài sản ngắn hạn khác
</t>
        </is>
      </c>
      <c r="E2417" s="390" t="inlineStr">
        <is>
          <t xml:space="preserve">Dự phòng suy giảm giá trị tài sản ngắn hạn khác
</t>
        </is>
      </c>
      <c r="F2417" s="390" t="inlineStr">
        <is>
          <t>Data Explorer</t>
        </is>
      </c>
      <c r="G2417" s="390" t="inlineStr">
        <is>
          <t>Chỉ tiêu cơ sở</t>
        </is>
      </c>
      <c r="H2417" s="390" t="inlineStr">
        <is>
          <t>TB</t>
        </is>
      </c>
      <c r="I2417" s="390" t="inlineStr">
        <is>
          <t>Ngày, CTCK</t>
        </is>
      </c>
      <c r="J2417" s="401" t="inlineStr">
        <is>
          <t>SCMS</t>
        </is>
      </c>
      <c r="K2417" s="401" t="n"/>
      <c r="L2417" s="401" t="inlineStr">
        <is>
          <t>X</t>
        </is>
      </c>
      <c r="M2417" s="401" t="n"/>
      <c r="N2417" s="401" t="inlineStr">
        <is>
          <t>Done</t>
        </is>
      </c>
      <c r="O2417" s="401" t="n"/>
      <c r="P2417" s="22" t="n"/>
      <c r="S2417" s="22" t="n"/>
      <c r="U2417" s="16" t="n"/>
      <c r="V2417" s="22" t="n"/>
      <c r="W2417" s="22" t="n"/>
      <c r="X2417" s="22" t="n"/>
      <c r="Y2417" s="13" t="n"/>
      <c r="Z2417" s="22" t="n"/>
      <c r="AA2417" s="22" t="n"/>
      <c r="AB2417" s="22" t="n"/>
      <c r="AC2417" s="22" t="n"/>
      <c r="AD2417" s="22" t="n"/>
      <c r="AE2417" s="22" t="n"/>
    </row>
    <row r="2418" ht="56" customHeight="1" s="380">
      <c r="A2418" s="126" t="n">
        <v>101</v>
      </c>
      <c r="B2418" s="390" t="n"/>
      <c r="C2418" s="390" t="inlineStr">
        <is>
          <t>Báo cáo theo Thông tư 121/2020/TT-BTC &gt;&gt; Báo cáo tỷ lệ An toàn tài chính &gt;&gt; Bảng tính vốn khả dụng</t>
        </is>
      </c>
      <c r="D2418" s="390" t="inlineStr">
        <is>
          <t xml:space="preserve">Tổng
</t>
        </is>
      </c>
      <c r="E2418" s="390" t="inlineStr">
        <is>
          <t xml:space="preserve">Tổng
</t>
        </is>
      </c>
      <c r="F2418" s="390" t="inlineStr">
        <is>
          <t>Data Explorer</t>
        </is>
      </c>
      <c r="G2418" s="390" t="inlineStr">
        <is>
          <t>Chỉ tiêu cơ sở</t>
        </is>
      </c>
      <c r="H2418" s="390" t="inlineStr">
        <is>
          <t>TB</t>
        </is>
      </c>
      <c r="I2418" s="390" t="inlineStr">
        <is>
          <t>Ngày, CTCK</t>
        </is>
      </c>
      <c r="J2418" s="401" t="inlineStr">
        <is>
          <t>SCMS</t>
        </is>
      </c>
      <c r="K2418" s="401" t="n"/>
      <c r="L2418" s="401" t="inlineStr">
        <is>
          <t>X</t>
        </is>
      </c>
      <c r="M2418" s="401" t="n"/>
      <c r="N2418" s="401" t="inlineStr">
        <is>
          <t>Done</t>
        </is>
      </c>
      <c r="O2418" s="401" t="n"/>
      <c r="P2418" s="22" t="n"/>
      <c r="S2418" s="22" t="n"/>
      <c r="U2418" s="16" t="n"/>
      <c r="V2418" s="22" t="n"/>
      <c r="W2418" s="22" t="n"/>
      <c r="X2418" s="22" t="n"/>
      <c r="Y2418" s="13" t="n"/>
      <c r="Z2418" s="22" t="n"/>
      <c r="AA2418" s="22" t="n"/>
      <c r="AB2418" s="22" t="n"/>
      <c r="AC2418" s="22" t="n"/>
      <c r="AD2418" s="22" t="n"/>
      <c r="AE2418" s="22" t="n"/>
    </row>
    <row r="2419" ht="56" customHeight="1" s="380">
      <c r="A2419" s="126" t="n">
        <v>101</v>
      </c>
      <c r="B2419" s="390" t="n"/>
      <c r="C2419" s="390" t="inlineStr">
        <is>
          <t>Báo cáo theo Thông tư 121/2020/TT-BTC &gt;&gt; Báo cáo tỷ lệ An toàn tài chính &gt;&gt; Bảng tính vốn khả dụng</t>
        </is>
      </c>
      <c r="D2419" s="390" t="inlineStr">
        <is>
          <t xml:space="preserve">Tài sản dài hạn
</t>
        </is>
      </c>
      <c r="E2419" s="390" t="inlineStr">
        <is>
          <t xml:space="preserve">Tài sản dài hạn
</t>
        </is>
      </c>
      <c r="F2419" s="390" t="inlineStr">
        <is>
          <t>Data Explorer</t>
        </is>
      </c>
      <c r="G2419" s="390" t="inlineStr">
        <is>
          <t>Chỉ tiêu cơ sở</t>
        </is>
      </c>
      <c r="H2419" s="390" t="inlineStr">
        <is>
          <t>TB</t>
        </is>
      </c>
      <c r="I2419" s="390" t="inlineStr">
        <is>
          <t>Ngày, CTCK</t>
        </is>
      </c>
      <c r="J2419" s="401" t="inlineStr">
        <is>
          <t>SCMS</t>
        </is>
      </c>
      <c r="K2419" s="401" t="n"/>
      <c r="L2419" s="401" t="inlineStr">
        <is>
          <t>X</t>
        </is>
      </c>
      <c r="M2419" s="401" t="n"/>
      <c r="N2419" s="401" t="inlineStr">
        <is>
          <t>Done</t>
        </is>
      </c>
      <c r="O2419" s="401" t="n"/>
      <c r="P2419" s="22" t="n"/>
      <c r="S2419" s="22" t="n"/>
      <c r="U2419" s="16" t="n"/>
      <c r="V2419" s="22" t="n"/>
      <c r="W2419" s="22" t="n"/>
      <c r="X2419" s="22" t="n"/>
      <c r="Y2419" s="13" t="n"/>
      <c r="Z2419" s="22" t="n"/>
      <c r="AA2419" s="22" t="n"/>
      <c r="AB2419" s="22" t="n"/>
      <c r="AC2419" s="22" t="n"/>
      <c r="AD2419" s="22" t="n"/>
      <c r="AE2419" s="22" t="n"/>
    </row>
    <row r="2420" ht="56" customHeight="1" s="380">
      <c r="A2420" s="126" t="n">
        <v>101</v>
      </c>
      <c r="B2420" s="390" t="n"/>
      <c r="C2420" s="390" t="inlineStr">
        <is>
          <t>Báo cáo theo Thông tư 121/2020/TT-BTC &gt;&gt; Báo cáo tỷ lệ An toàn tài chính &gt;&gt; Bảng tính vốn khả dụng</t>
        </is>
      </c>
      <c r="D2420" s="390" t="inlineStr">
        <is>
          <t xml:space="preserve">Tài sản tài chính dài hạn
</t>
        </is>
      </c>
      <c r="E2420" s="390" t="inlineStr">
        <is>
          <t xml:space="preserve">Tài sản tài chính dài hạn
</t>
        </is>
      </c>
      <c r="F2420" s="390" t="inlineStr">
        <is>
          <t>Data Explorer</t>
        </is>
      </c>
      <c r="G2420" s="390" t="inlineStr">
        <is>
          <t>Chỉ tiêu cơ sở</t>
        </is>
      </c>
      <c r="H2420" s="390" t="inlineStr">
        <is>
          <t>TB</t>
        </is>
      </c>
      <c r="I2420" s="390" t="inlineStr">
        <is>
          <t>Ngày, CTCK</t>
        </is>
      </c>
      <c r="J2420" s="401" t="inlineStr">
        <is>
          <t>SCMS</t>
        </is>
      </c>
      <c r="K2420" s="401" t="n"/>
      <c r="L2420" s="401" t="inlineStr">
        <is>
          <t>X</t>
        </is>
      </c>
      <c r="M2420" s="401" t="n"/>
      <c r="N2420" s="401" t="inlineStr">
        <is>
          <t>Done</t>
        </is>
      </c>
      <c r="O2420" s="401" t="n"/>
      <c r="P2420" s="22" t="n"/>
      <c r="S2420" s="22" t="n"/>
      <c r="U2420" s="16" t="n"/>
      <c r="V2420" s="22" t="n"/>
      <c r="W2420" s="22" t="n"/>
      <c r="X2420" s="22" t="n"/>
      <c r="Y2420" s="13" t="n"/>
      <c r="Z2420" s="22" t="n"/>
      <c r="AA2420" s="22" t="n"/>
      <c r="AB2420" s="22" t="n"/>
      <c r="AC2420" s="22" t="n"/>
      <c r="AD2420" s="22" t="n"/>
      <c r="AE2420" s="22" t="n"/>
    </row>
    <row r="2421" ht="56" customHeight="1" s="380">
      <c r="A2421" s="126" t="n">
        <v>101</v>
      </c>
      <c r="B2421" s="390" t="n"/>
      <c r="C2421" s="390" t="inlineStr">
        <is>
          <t>Báo cáo theo Thông tư 121/2020/TT-BTC &gt;&gt; Báo cáo tỷ lệ An toàn tài chính &gt;&gt; Bảng tính vốn khả dụng</t>
        </is>
      </c>
      <c r="D2421" s="390" t="inlineStr">
        <is>
          <t xml:space="preserve">Các khoản phải thu dài hạn
</t>
        </is>
      </c>
      <c r="E2421" s="390" t="inlineStr">
        <is>
          <t xml:space="preserve">Các khoản phải thu dài hạn
</t>
        </is>
      </c>
      <c r="F2421" s="390" t="inlineStr">
        <is>
          <t>Data Explorer</t>
        </is>
      </c>
      <c r="G2421" s="390" t="inlineStr">
        <is>
          <t>Chỉ tiêu cơ sở</t>
        </is>
      </c>
      <c r="H2421" s="390" t="inlineStr">
        <is>
          <t>TB</t>
        </is>
      </c>
      <c r="I2421" s="390" t="inlineStr">
        <is>
          <t>Ngày, CTCK</t>
        </is>
      </c>
      <c r="J2421" s="401" t="inlineStr">
        <is>
          <t>SCMS</t>
        </is>
      </c>
      <c r="K2421" s="401" t="n"/>
      <c r="L2421" s="401" t="inlineStr">
        <is>
          <t>X</t>
        </is>
      </c>
      <c r="M2421" s="401" t="n"/>
      <c r="N2421" s="401" t="inlineStr">
        <is>
          <t>Done</t>
        </is>
      </c>
      <c r="O2421" s="401" t="n"/>
      <c r="P2421" s="22" t="n"/>
      <c r="S2421" s="22" t="n"/>
      <c r="U2421" s="16" t="n"/>
      <c r="V2421" s="22" t="n"/>
      <c r="W2421" s="22" t="n"/>
      <c r="X2421" s="22" t="n"/>
      <c r="Y2421" s="13" t="n"/>
      <c r="Z2421" s="22" t="n"/>
      <c r="AA2421" s="22" t="n"/>
      <c r="AB2421" s="22" t="n"/>
      <c r="AC2421" s="22" t="n"/>
      <c r="AD2421" s="22" t="n"/>
      <c r="AE2421" s="22" t="n"/>
    </row>
    <row r="2422" ht="56" customHeight="1" s="380">
      <c r="A2422" s="126" t="n">
        <v>101</v>
      </c>
      <c r="B2422" s="390" t="n"/>
      <c r="C2422" s="390" t="inlineStr">
        <is>
          <t>Báo cáo theo Thông tư 121/2020/TT-BTC &gt;&gt; Báo cáo tỷ lệ An toàn tài chính &gt;&gt; Bảng tính vốn khả dụng</t>
        </is>
      </c>
      <c r="D2422" s="390" t="inlineStr">
        <is>
          <t xml:space="preserve">Các khoản đầu tư
</t>
        </is>
      </c>
      <c r="E2422" s="390" t="inlineStr">
        <is>
          <t xml:space="preserve">Các khoản đầu tư
</t>
        </is>
      </c>
      <c r="F2422" s="390" t="inlineStr">
        <is>
          <t>Data Explorer</t>
        </is>
      </c>
      <c r="G2422" s="390" t="inlineStr">
        <is>
          <t>Chỉ tiêu cơ sở</t>
        </is>
      </c>
      <c r="H2422" s="390" t="inlineStr">
        <is>
          <t>TB</t>
        </is>
      </c>
      <c r="I2422" s="390" t="inlineStr">
        <is>
          <t>Ngày, CTCK</t>
        </is>
      </c>
      <c r="J2422" s="401" t="inlineStr">
        <is>
          <t>SCMS</t>
        </is>
      </c>
      <c r="K2422" s="401" t="n"/>
      <c r="L2422" s="401" t="inlineStr">
        <is>
          <t>X</t>
        </is>
      </c>
      <c r="M2422" s="401" t="n"/>
      <c r="N2422" s="401" t="inlineStr">
        <is>
          <t>Done</t>
        </is>
      </c>
      <c r="O2422" s="401" t="n"/>
      <c r="P2422" s="22" t="n"/>
      <c r="S2422" s="22" t="n"/>
      <c r="U2422" s="16" t="n"/>
      <c r="V2422" s="22" t="n"/>
      <c r="W2422" s="22" t="n"/>
      <c r="X2422" s="22" t="n"/>
      <c r="Y2422" s="13" t="n"/>
      <c r="Z2422" s="22" t="n"/>
      <c r="AA2422" s="22" t="n"/>
      <c r="AB2422" s="22" t="n"/>
      <c r="AC2422" s="22" t="n"/>
      <c r="AD2422" s="22" t="n"/>
      <c r="AE2422" s="22" t="n"/>
    </row>
    <row r="2423" ht="56" customHeight="1" s="380">
      <c r="A2423" s="126" t="n">
        <v>101</v>
      </c>
      <c r="B2423" s="390" t="n"/>
      <c r="C2423" s="390" t="inlineStr">
        <is>
          <t>Báo cáo theo Thông tư 121/2020/TT-BTC &gt;&gt; Báo cáo tỷ lệ An toàn tài chính &gt;&gt; Bảng tính vốn khả dụng</t>
        </is>
      </c>
      <c r="D2423" s="390" t="inlineStr">
        <is>
          <t xml:space="preserve">Các khoản đầu tư nắm giữ đến ngày đáo hạn
</t>
        </is>
      </c>
      <c r="E2423" s="390" t="inlineStr">
        <is>
          <t xml:space="preserve">Các khoản đầu tư nắm giữ đến ngày đáo hạn
</t>
        </is>
      </c>
      <c r="F2423" s="390" t="inlineStr">
        <is>
          <t>Data Explorer</t>
        </is>
      </c>
      <c r="G2423" s="390" t="inlineStr">
        <is>
          <t>Chỉ tiêu cơ sở</t>
        </is>
      </c>
      <c r="H2423" s="390" t="inlineStr">
        <is>
          <t>TB</t>
        </is>
      </c>
      <c r="I2423" s="390" t="inlineStr">
        <is>
          <t>Ngày, CTCK</t>
        </is>
      </c>
      <c r="J2423" s="401" t="inlineStr">
        <is>
          <t>SCMS</t>
        </is>
      </c>
      <c r="K2423" s="401" t="n"/>
      <c r="L2423" s="401" t="inlineStr">
        <is>
          <t>X</t>
        </is>
      </c>
      <c r="M2423" s="401" t="n"/>
      <c r="N2423" s="401" t="inlineStr">
        <is>
          <t>Done</t>
        </is>
      </c>
      <c r="O2423" s="401" t="n"/>
      <c r="P2423" s="22" t="n"/>
      <c r="S2423" s="22" t="n"/>
      <c r="U2423" s="16" t="n"/>
      <c r="V2423" s="22" t="n"/>
      <c r="W2423" s="22" t="n"/>
      <c r="X2423" s="22" t="n"/>
      <c r="Y2423" s="13" t="n"/>
      <c r="Z2423" s="22" t="n"/>
      <c r="AA2423" s="22" t="n"/>
      <c r="AB2423" s="22" t="n"/>
      <c r="AC2423" s="22" t="n"/>
      <c r="AD2423" s="22" t="n"/>
      <c r="AE2423" s="22" t="n"/>
    </row>
    <row r="2424" ht="56" customHeight="1" s="380">
      <c r="A2424" s="126" t="n">
        <v>101</v>
      </c>
      <c r="B2424" s="390" t="n"/>
      <c r="C2424" s="390" t="inlineStr">
        <is>
          <t>Báo cáo theo Thông tư 121/2020/TT-BTC &gt;&gt; Báo cáo tỷ lệ An toàn tài chính &gt;&gt; Bảng tính vốn khả dụng</t>
        </is>
      </c>
      <c r="D2424" s="390" t="inlineStr">
        <is>
          <t xml:space="preserve">- Chứng khoán tiềm ẩn rủi ro thị trường
</t>
        </is>
      </c>
      <c r="E2424" s="390" t="inlineStr">
        <is>
          <t xml:space="preserve">- Chứng khoán tiềm ẩn rủi ro thị trường
</t>
        </is>
      </c>
      <c r="F2424" s="390" t="inlineStr">
        <is>
          <t>Data Explorer</t>
        </is>
      </c>
      <c r="G2424" s="390" t="inlineStr">
        <is>
          <t>Chỉ tiêu cơ sở</t>
        </is>
      </c>
      <c r="H2424" s="390" t="inlineStr">
        <is>
          <t>TB</t>
        </is>
      </c>
      <c r="I2424" s="390" t="inlineStr">
        <is>
          <t>Ngày, CTCK</t>
        </is>
      </c>
      <c r="J2424" s="401" t="inlineStr">
        <is>
          <t>SCMS</t>
        </is>
      </c>
      <c r="K2424" s="401" t="n"/>
      <c r="L2424" s="401" t="inlineStr">
        <is>
          <t>X</t>
        </is>
      </c>
      <c r="M2424" s="401" t="n"/>
      <c r="N2424" s="401" t="inlineStr">
        <is>
          <t>Done</t>
        </is>
      </c>
      <c r="O2424" s="401" t="n"/>
      <c r="P2424" s="22" t="n"/>
      <c r="S2424" s="22" t="n"/>
      <c r="U2424" s="16" t="n"/>
      <c r="V2424" s="22" t="n"/>
      <c r="W2424" s="22" t="n"/>
      <c r="X2424" s="22" t="n"/>
      <c r="Y2424" s="13" t="n"/>
      <c r="Z2424" s="22" t="n"/>
      <c r="AA2424" s="22" t="n"/>
      <c r="AB2424" s="22" t="n"/>
      <c r="AC2424" s="22" t="n"/>
      <c r="AD2424" s="22" t="n"/>
      <c r="AE2424" s="22" t="n"/>
    </row>
    <row r="2425" ht="56" customHeight="1" s="380">
      <c r="A2425" s="126" t="n">
        <v>101</v>
      </c>
      <c r="B2425" s="390" t="n"/>
      <c r="C2425" s="390" t="inlineStr">
        <is>
          <t>Báo cáo theo Thông tư 121/2020/TT-BTC &gt;&gt; Báo cáo tỷ lệ An toàn tài chính &gt;&gt; Bảng tính vốn khả dụng</t>
        </is>
      </c>
      <c r="D2425" s="390" t="inlineStr">
        <is>
          <t xml:space="preserve">- Chứng khoán bị giảm trừ khỏi vốn khả dụng
</t>
        </is>
      </c>
      <c r="E2425" s="390" t="inlineStr">
        <is>
          <t xml:space="preserve">- Chứng khoán bị giảm trừ khỏi vốn khả dụng
</t>
        </is>
      </c>
      <c r="F2425" s="390" t="inlineStr">
        <is>
          <t>Data Explorer</t>
        </is>
      </c>
      <c r="G2425" s="390" t="inlineStr">
        <is>
          <t>Chỉ tiêu cơ sở</t>
        </is>
      </c>
      <c r="H2425" s="390" t="inlineStr">
        <is>
          <t>TB</t>
        </is>
      </c>
      <c r="I2425" s="390" t="inlineStr">
        <is>
          <t>Ngày, CTCK</t>
        </is>
      </c>
      <c r="J2425" s="401" t="inlineStr">
        <is>
          <t>SCMS</t>
        </is>
      </c>
      <c r="K2425" s="401" t="n"/>
      <c r="L2425" s="401" t="inlineStr">
        <is>
          <t>X</t>
        </is>
      </c>
      <c r="M2425" s="401" t="n"/>
      <c r="N2425" s="401" t="inlineStr">
        <is>
          <t>Done</t>
        </is>
      </c>
      <c r="O2425" s="401" t="n"/>
      <c r="P2425" s="22" t="n"/>
      <c r="S2425" s="22" t="n"/>
      <c r="U2425" s="16" t="n"/>
      <c r="V2425" s="22" t="n"/>
      <c r="W2425" s="22" t="n"/>
      <c r="X2425" s="22" t="n"/>
      <c r="Y2425" s="13" t="n"/>
      <c r="Z2425" s="22" t="n"/>
      <c r="AA2425" s="22" t="n"/>
      <c r="AB2425" s="22" t="n"/>
      <c r="AC2425" s="22" t="n"/>
      <c r="AD2425" s="22" t="n"/>
      <c r="AE2425" s="22" t="n"/>
    </row>
    <row r="2426" ht="56" customHeight="1" s="380">
      <c r="A2426" s="126" t="n">
        <v>101</v>
      </c>
      <c r="B2426" s="390" t="n"/>
      <c r="C2426" s="390" t="inlineStr">
        <is>
          <t>Báo cáo theo Thông tư 121/2020/TT-BTC &gt;&gt; Báo cáo tỷ lệ An toàn tài chính &gt;&gt; Bảng tính vốn khả dụng</t>
        </is>
      </c>
      <c r="D2426" s="390" t="inlineStr">
        <is>
          <t xml:space="preserve">Đầu tư vào công ty con
</t>
        </is>
      </c>
      <c r="E2426" s="390" t="inlineStr">
        <is>
          <t xml:space="preserve">Đầu tư vào công ty con
</t>
        </is>
      </c>
      <c r="F2426" s="390" t="inlineStr">
        <is>
          <t>Data Explorer</t>
        </is>
      </c>
      <c r="G2426" s="390" t="inlineStr">
        <is>
          <t>Chỉ tiêu cơ sở</t>
        </is>
      </c>
      <c r="H2426" s="390" t="inlineStr">
        <is>
          <t>TB</t>
        </is>
      </c>
      <c r="I2426" s="390" t="inlineStr">
        <is>
          <t>Ngày, CTCK</t>
        </is>
      </c>
      <c r="J2426" s="401" t="inlineStr">
        <is>
          <t>SCMS</t>
        </is>
      </c>
      <c r="K2426" s="401" t="n"/>
      <c r="L2426" s="401" t="inlineStr">
        <is>
          <t>X</t>
        </is>
      </c>
      <c r="M2426" s="401" t="n"/>
      <c r="N2426" s="401" t="inlineStr">
        <is>
          <t>Done</t>
        </is>
      </c>
      <c r="O2426" s="401" t="n"/>
      <c r="P2426" s="22" t="n"/>
      <c r="S2426" s="22" t="n"/>
      <c r="U2426" s="16" t="n"/>
      <c r="V2426" s="22" t="n"/>
      <c r="W2426" s="22" t="n"/>
      <c r="X2426" s="22" t="n"/>
      <c r="Y2426" s="13" t="n"/>
      <c r="Z2426" s="22" t="n"/>
      <c r="AA2426" s="22" t="n"/>
      <c r="AB2426" s="22" t="n"/>
      <c r="AC2426" s="22" t="n"/>
      <c r="AD2426" s="22" t="n"/>
      <c r="AE2426" s="22" t="n"/>
    </row>
    <row r="2427" ht="56" customHeight="1" s="380">
      <c r="A2427" s="126" t="n">
        <v>101</v>
      </c>
      <c r="B2427" s="390" t="n"/>
      <c r="C2427" s="390" t="inlineStr">
        <is>
          <t>Báo cáo theo Thông tư 121/2020/TT-BTC &gt;&gt; Báo cáo tỷ lệ An toàn tài chính &gt;&gt; Bảng tính vốn khả dụng</t>
        </is>
      </c>
      <c r="D2427" s="390" t="inlineStr">
        <is>
          <t xml:space="preserve">Đầu tư dài hạn khác
</t>
        </is>
      </c>
      <c r="E2427" s="390" t="inlineStr">
        <is>
          <t xml:space="preserve">Đầu tư dài hạn khác
</t>
        </is>
      </c>
      <c r="F2427" s="390" t="inlineStr">
        <is>
          <t>Data Explorer</t>
        </is>
      </c>
      <c r="G2427" s="390" t="inlineStr">
        <is>
          <t>Chỉ tiêu cơ sở</t>
        </is>
      </c>
      <c r="H2427" s="390" t="inlineStr">
        <is>
          <t>TB</t>
        </is>
      </c>
      <c r="I2427" s="390" t="inlineStr">
        <is>
          <t>Ngày, CTCK</t>
        </is>
      </c>
      <c r="J2427" s="401" t="inlineStr">
        <is>
          <t>SCMS</t>
        </is>
      </c>
      <c r="K2427" s="401" t="n"/>
      <c r="L2427" s="401" t="inlineStr">
        <is>
          <t>X</t>
        </is>
      </c>
      <c r="M2427" s="401" t="n"/>
      <c r="N2427" s="401" t="inlineStr">
        <is>
          <t>Done</t>
        </is>
      </c>
      <c r="O2427" s="401" t="n"/>
      <c r="P2427" s="22" t="n"/>
      <c r="S2427" s="22" t="n"/>
      <c r="U2427" s="16" t="n"/>
      <c r="V2427" s="22" t="n"/>
      <c r="W2427" s="22" t="n"/>
      <c r="X2427" s="22" t="n"/>
      <c r="Y2427" s="13" t="n"/>
      <c r="Z2427" s="22" t="n"/>
      <c r="AA2427" s="22" t="n"/>
      <c r="AB2427" s="22" t="n"/>
      <c r="AC2427" s="22" t="n"/>
      <c r="AD2427" s="22" t="n"/>
      <c r="AE2427" s="22" t="n"/>
    </row>
    <row r="2428" ht="56" customHeight="1" s="380">
      <c r="A2428" s="126" t="n">
        <v>101</v>
      </c>
      <c r="B2428" s="390" t="n"/>
      <c r="C2428" s="390" t="inlineStr">
        <is>
          <t>Báo cáo theo Thông tư 121/2020/TT-BTC &gt;&gt; Báo cáo tỷ lệ An toàn tài chính &gt;&gt; Bảng tính vốn khả dụng</t>
        </is>
      </c>
      <c r="D2428" s="390" t="inlineStr">
        <is>
          <t xml:space="preserve">Tài sản cố định
</t>
        </is>
      </c>
      <c r="E2428" s="390" t="inlineStr">
        <is>
          <t xml:space="preserve">Tài sản cố định
</t>
        </is>
      </c>
      <c r="F2428" s="390" t="inlineStr">
        <is>
          <t>Data Explorer</t>
        </is>
      </c>
      <c r="G2428" s="390" t="inlineStr">
        <is>
          <t>Chỉ tiêu cơ sở</t>
        </is>
      </c>
      <c r="H2428" s="390" t="inlineStr">
        <is>
          <t>TB</t>
        </is>
      </c>
      <c r="I2428" s="390" t="inlineStr">
        <is>
          <t>Ngày, CTCK</t>
        </is>
      </c>
      <c r="J2428" s="401" t="inlineStr">
        <is>
          <t>SCMS</t>
        </is>
      </c>
      <c r="K2428" s="401" t="n"/>
      <c r="L2428" s="401" t="inlineStr">
        <is>
          <t>X</t>
        </is>
      </c>
      <c r="M2428" s="401" t="n"/>
      <c r="N2428" s="401" t="inlineStr">
        <is>
          <t>Done</t>
        </is>
      </c>
      <c r="O2428" s="401" t="n"/>
      <c r="P2428" s="22" t="n"/>
      <c r="S2428" s="22" t="n"/>
      <c r="U2428" s="16" t="n"/>
      <c r="V2428" s="22" t="n"/>
      <c r="W2428" s="22" t="n"/>
      <c r="X2428" s="22" t="n"/>
      <c r="Y2428" s="13" t="n"/>
      <c r="Z2428" s="22" t="n"/>
      <c r="AA2428" s="22" t="n"/>
      <c r="AB2428" s="22" t="n"/>
      <c r="AC2428" s="22" t="n"/>
      <c r="AD2428" s="22" t="n"/>
      <c r="AE2428" s="22" t="n"/>
    </row>
    <row r="2429" ht="56" customHeight="1" s="380">
      <c r="A2429" s="126" t="n">
        <v>101</v>
      </c>
      <c r="B2429" s="390" t="n"/>
      <c r="C2429" s="390" t="inlineStr">
        <is>
          <t>Báo cáo theo Thông tư 121/2020/TT-BTC &gt;&gt; Báo cáo tỷ lệ An toàn tài chính &gt;&gt; Bảng tính vốn khả dụng</t>
        </is>
      </c>
      <c r="D2429" s="390" t="inlineStr">
        <is>
          <t xml:space="preserve">Bất động sản đầu tư
</t>
        </is>
      </c>
      <c r="E2429" s="390" t="inlineStr">
        <is>
          <t xml:space="preserve">Bất động sản đầu tư
</t>
        </is>
      </c>
      <c r="F2429" s="390" t="inlineStr">
        <is>
          <t>Data Explorer</t>
        </is>
      </c>
      <c r="G2429" s="390" t="inlineStr">
        <is>
          <t>Chỉ tiêu cơ sở</t>
        </is>
      </c>
      <c r="H2429" s="390" t="inlineStr">
        <is>
          <t>TB</t>
        </is>
      </c>
      <c r="I2429" s="390" t="inlineStr">
        <is>
          <t>Ngày, CTCK</t>
        </is>
      </c>
      <c r="J2429" s="401" t="inlineStr">
        <is>
          <t>SCMS</t>
        </is>
      </c>
      <c r="K2429" s="401" t="n"/>
      <c r="L2429" s="401" t="inlineStr">
        <is>
          <t>X</t>
        </is>
      </c>
      <c r="M2429" s="401" t="n"/>
      <c r="N2429" s="401" t="inlineStr">
        <is>
          <t>Done</t>
        </is>
      </c>
      <c r="O2429" s="401" t="n"/>
      <c r="P2429" s="22" t="n"/>
      <c r="S2429" s="22" t="n"/>
      <c r="U2429" s="16" t="n"/>
      <c r="V2429" s="22" t="n"/>
      <c r="W2429" s="22" t="n"/>
      <c r="X2429" s="22" t="n"/>
      <c r="Y2429" s="13" t="n"/>
      <c r="Z2429" s="22" t="n"/>
      <c r="AA2429" s="22" t="n"/>
      <c r="AB2429" s="22" t="n"/>
      <c r="AC2429" s="22" t="n"/>
      <c r="AD2429" s="22" t="n"/>
      <c r="AE2429" s="22" t="n"/>
    </row>
    <row r="2430" ht="56" customHeight="1" s="380">
      <c r="A2430" s="126" t="n">
        <v>101</v>
      </c>
      <c r="B2430" s="390" t="n"/>
      <c r="C2430" s="390" t="inlineStr">
        <is>
          <t>Báo cáo theo Thông tư 121/2020/TT-BTC &gt;&gt; Báo cáo tỷ lệ An toàn tài chính &gt;&gt; Bảng tính vốn khả dụng</t>
        </is>
      </c>
      <c r="D2430" s="390" t="inlineStr">
        <is>
          <t xml:space="preserve">Chi phí xây dựng cơ bản dở dang
</t>
        </is>
      </c>
      <c r="E2430" s="390" t="inlineStr">
        <is>
          <t xml:space="preserve">Chi phí xây dựng cơ bản dở dang
</t>
        </is>
      </c>
      <c r="F2430" s="390" t="inlineStr">
        <is>
          <t>Data Explorer</t>
        </is>
      </c>
      <c r="G2430" s="390" t="inlineStr">
        <is>
          <t>Chỉ tiêu cơ sở</t>
        </is>
      </c>
      <c r="H2430" s="390" t="inlineStr">
        <is>
          <t>TB</t>
        </is>
      </c>
      <c r="I2430" s="390" t="inlineStr">
        <is>
          <t>Ngày, CTCK</t>
        </is>
      </c>
      <c r="J2430" s="401" t="inlineStr">
        <is>
          <t>SCMS</t>
        </is>
      </c>
      <c r="K2430" s="401" t="n"/>
      <c r="L2430" s="401" t="inlineStr">
        <is>
          <t>X</t>
        </is>
      </c>
      <c r="M2430" s="401" t="n"/>
      <c r="N2430" s="401" t="inlineStr">
        <is>
          <t>Done</t>
        </is>
      </c>
      <c r="O2430" s="401" t="n"/>
      <c r="P2430" s="22" t="n"/>
      <c r="S2430" s="22" t="n"/>
      <c r="U2430" s="16" t="n"/>
      <c r="V2430" s="22" t="n"/>
      <c r="W2430" s="22" t="n"/>
      <c r="X2430" s="22" t="n"/>
      <c r="Y2430" s="13" t="n"/>
      <c r="Z2430" s="22" t="n"/>
      <c r="AA2430" s="22" t="n"/>
      <c r="AB2430" s="22" t="n"/>
      <c r="AC2430" s="22" t="n"/>
      <c r="AD2430" s="22" t="n"/>
      <c r="AE2430" s="22" t="n"/>
    </row>
    <row r="2431" ht="56" customHeight="1" s="380">
      <c r="A2431" s="126" t="n">
        <v>101</v>
      </c>
      <c r="B2431" s="390" t="n"/>
      <c r="C2431" s="390" t="inlineStr">
        <is>
          <t>Báo cáo theo Thông tư 121/2020/TT-BTC &gt;&gt; Báo cáo tỷ lệ An toàn tài chính &gt;&gt; Bảng tính vốn khả dụng</t>
        </is>
      </c>
      <c r="D2431" s="390" t="inlineStr">
        <is>
          <t xml:space="preserve">Tài sản dài hạn khác
</t>
        </is>
      </c>
      <c r="E2431" s="390" t="inlineStr">
        <is>
          <t xml:space="preserve">Tài sản dài hạn khác
</t>
        </is>
      </c>
      <c r="F2431" s="390" t="inlineStr">
        <is>
          <t>Data Explorer</t>
        </is>
      </c>
      <c r="G2431" s="390" t="inlineStr">
        <is>
          <t>Chỉ tiêu cơ sở</t>
        </is>
      </c>
      <c r="H2431" s="390" t="inlineStr">
        <is>
          <t>TB</t>
        </is>
      </c>
      <c r="I2431" s="390" t="inlineStr">
        <is>
          <t>Ngày, CTCK</t>
        </is>
      </c>
      <c r="J2431" s="401" t="inlineStr">
        <is>
          <t>SCMS</t>
        </is>
      </c>
      <c r="K2431" s="401" t="n"/>
      <c r="L2431" s="401" t="inlineStr">
        <is>
          <t>X</t>
        </is>
      </c>
      <c r="M2431" s="401" t="n"/>
      <c r="N2431" s="401" t="inlineStr">
        <is>
          <t>Done</t>
        </is>
      </c>
      <c r="O2431" s="401" t="n"/>
      <c r="P2431" s="22" t="n"/>
      <c r="S2431" s="22" t="n"/>
      <c r="U2431" s="16" t="n"/>
      <c r="V2431" s="22" t="n"/>
      <c r="W2431" s="22" t="n"/>
      <c r="X2431" s="22" t="n"/>
      <c r="Y2431" s="13" t="n"/>
      <c r="Z2431" s="22" t="n"/>
      <c r="AA2431" s="22" t="n"/>
      <c r="AB2431" s="22" t="n"/>
      <c r="AC2431" s="22" t="n"/>
      <c r="AD2431" s="22" t="n"/>
      <c r="AE2431" s="22" t="n"/>
    </row>
    <row r="2432" ht="56" customHeight="1" s="380">
      <c r="A2432" s="126" t="n">
        <v>101</v>
      </c>
      <c r="B2432" s="390" t="n"/>
      <c r="C2432" s="390" t="inlineStr">
        <is>
          <t>Báo cáo theo Thông tư 121/2020/TT-BTC &gt;&gt; Báo cáo tỷ lệ An toàn tài chính &gt;&gt; Bảng tính vốn khả dụng</t>
        </is>
      </c>
      <c r="D2432" s="390" t="inlineStr">
        <is>
          <t xml:space="preserve">Cầm cố, thế chấp, ký quỹ, ký cược dài hạn
</t>
        </is>
      </c>
      <c r="E2432" s="390" t="inlineStr">
        <is>
          <t xml:space="preserve">Cầm cố, thế chấp, ký quỹ, ký cược dài hạn
</t>
        </is>
      </c>
      <c r="F2432" s="390" t="inlineStr">
        <is>
          <t>Data Explorer</t>
        </is>
      </c>
      <c r="G2432" s="390" t="inlineStr">
        <is>
          <t>Chỉ tiêu cơ sở</t>
        </is>
      </c>
      <c r="H2432" s="390" t="inlineStr">
        <is>
          <t>TB</t>
        </is>
      </c>
      <c r="I2432" s="390" t="inlineStr">
        <is>
          <t>Ngày, CTCK</t>
        </is>
      </c>
      <c r="J2432" s="401" t="inlineStr">
        <is>
          <t>SCMS</t>
        </is>
      </c>
      <c r="K2432" s="401" t="n"/>
      <c r="L2432" s="401" t="inlineStr">
        <is>
          <t>X</t>
        </is>
      </c>
      <c r="M2432" s="401" t="n"/>
      <c r="N2432" s="401" t="inlineStr">
        <is>
          <t>Done</t>
        </is>
      </c>
      <c r="O2432" s="401" t="n"/>
      <c r="P2432" s="22" t="n"/>
      <c r="S2432" s="22" t="n"/>
      <c r="U2432" s="16" t="n"/>
      <c r="V2432" s="22" t="n"/>
      <c r="W2432" s="22" t="n"/>
      <c r="X2432" s="22" t="n"/>
      <c r="Y2432" s="13" t="n"/>
      <c r="Z2432" s="22" t="n"/>
      <c r="AA2432" s="22" t="n"/>
      <c r="AB2432" s="22" t="n"/>
      <c r="AC2432" s="22" t="n"/>
      <c r="AD2432" s="22" t="n"/>
      <c r="AE2432" s="22" t="n"/>
    </row>
    <row r="2433" ht="56" customHeight="1" s="380">
      <c r="A2433" s="126" t="n">
        <v>101</v>
      </c>
      <c r="B2433" s="390" t="n"/>
      <c r="C2433" s="390" t="inlineStr">
        <is>
          <t>Báo cáo theo Thông tư 121/2020/TT-BTC &gt;&gt; Báo cáo tỷ lệ An toàn tài chính &gt;&gt; Bảng tính vốn khả dụng</t>
        </is>
      </c>
      <c r="D2433" s="390" t="inlineStr">
        <is>
          <t xml:space="preserve">Chi phí trả trước dài hạn
</t>
        </is>
      </c>
      <c r="E2433" s="390" t="inlineStr">
        <is>
          <t xml:space="preserve">Chi phí trả trước dài hạn
</t>
        </is>
      </c>
      <c r="F2433" s="390" t="inlineStr">
        <is>
          <t>Data Explorer</t>
        </is>
      </c>
      <c r="G2433" s="390" t="inlineStr">
        <is>
          <t>Chỉ tiêu cơ sở</t>
        </is>
      </c>
      <c r="H2433" s="390" t="inlineStr">
        <is>
          <t>TB</t>
        </is>
      </c>
      <c r="I2433" s="390" t="inlineStr">
        <is>
          <t>Ngày, CTCK</t>
        </is>
      </c>
      <c r="J2433" s="401" t="inlineStr">
        <is>
          <t>SCMS</t>
        </is>
      </c>
      <c r="K2433" s="401" t="n"/>
      <c r="L2433" s="401" t="inlineStr">
        <is>
          <t>X</t>
        </is>
      </c>
      <c r="M2433" s="401" t="n"/>
      <c r="N2433" s="401" t="inlineStr">
        <is>
          <t>Done</t>
        </is>
      </c>
      <c r="O2433" s="401" t="n"/>
      <c r="P2433" s="22" t="n"/>
      <c r="S2433" s="22" t="n"/>
      <c r="U2433" s="16" t="n"/>
      <c r="V2433" s="22" t="n"/>
      <c r="W2433" s="22" t="n"/>
      <c r="X2433" s="22" t="n"/>
      <c r="Y2433" s="13" t="n"/>
      <c r="Z2433" s="22" t="n"/>
      <c r="AA2433" s="22" t="n"/>
      <c r="AB2433" s="22" t="n"/>
      <c r="AC2433" s="22" t="n"/>
      <c r="AD2433" s="22" t="n"/>
      <c r="AE2433" s="22" t="n"/>
    </row>
    <row r="2434" ht="56" customHeight="1" s="380">
      <c r="A2434" s="126" t="n">
        <v>101</v>
      </c>
      <c r="B2434" s="390" t="n"/>
      <c r="C2434" s="390" t="inlineStr">
        <is>
          <t>Báo cáo theo Thông tư 121/2020/TT-BTC &gt;&gt; Báo cáo tỷ lệ An toàn tài chính &gt;&gt; Bảng tính vốn khả dụng</t>
        </is>
      </c>
      <c r="D2434" s="390" t="inlineStr">
        <is>
          <t xml:space="preserve">Tài sản thuế thu nhập hoãn lại
</t>
        </is>
      </c>
      <c r="E2434" s="390" t="inlineStr">
        <is>
          <t xml:space="preserve">Tài sản thuế thu nhập hoãn lại
</t>
        </is>
      </c>
      <c r="F2434" s="390" t="inlineStr">
        <is>
          <t>Data Explorer</t>
        </is>
      </c>
      <c r="G2434" s="390" t="inlineStr">
        <is>
          <t>Chỉ tiêu cơ sở</t>
        </is>
      </c>
      <c r="H2434" s="390" t="inlineStr">
        <is>
          <t>TB</t>
        </is>
      </c>
      <c r="I2434" s="390" t="inlineStr">
        <is>
          <t>Ngày, CTCK</t>
        </is>
      </c>
      <c r="J2434" s="401" t="inlineStr">
        <is>
          <t>SCMS</t>
        </is>
      </c>
      <c r="K2434" s="401" t="n"/>
      <c r="L2434" s="401" t="inlineStr">
        <is>
          <t>X</t>
        </is>
      </c>
      <c r="M2434" s="401" t="n"/>
      <c r="N2434" s="401" t="inlineStr">
        <is>
          <t>Done</t>
        </is>
      </c>
      <c r="O2434" s="401" t="n"/>
      <c r="P2434" s="22" t="n"/>
      <c r="S2434" s="22" t="n"/>
      <c r="U2434" s="16" t="n"/>
      <c r="V2434" s="22" t="n"/>
      <c r="W2434" s="22" t="n"/>
      <c r="X2434" s="22" t="n"/>
      <c r="Y2434" s="13" t="n"/>
      <c r="Z2434" s="22" t="n"/>
      <c r="AA2434" s="22" t="n"/>
      <c r="AB2434" s="22" t="n"/>
      <c r="AC2434" s="22" t="n"/>
      <c r="AD2434" s="22" t="n"/>
      <c r="AE2434" s="22" t="n"/>
    </row>
    <row r="2435" ht="56" customHeight="1" s="380">
      <c r="A2435" s="126" t="n">
        <v>101</v>
      </c>
      <c r="B2435" s="390" t="n"/>
      <c r="C2435" s="390" t="inlineStr">
        <is>
          <t>Báo cáo theo Thông tư 121/2020/TT-BTC &gt;&gt; Báo cáo tỷ lệ An toàn tài chính &gt;&gt; Bảng tính vốn khả dụng</t>
        </is>
      </c>
      <c r="D2435" s="390" t="inlineStr">
        <is>
          <t xml:space="preserve">Tiền nộp Quỹ hỗ trợ thanh toán
</t>
        </is>
      </c>
      <c r="E2435" s="390" t="inlineStr">
        <is>
          <t xml:space="preserve">Tiền nộp Quỹ hỗ trợ thanh toán
</t>
        </is>
      </c>
      <c r="F2435" s="390" t="inlineStr">
        <is>
          <t>Data Explorer</t>
        </is>
      </c>
      <c r="G2435" s="390" t="inlineStr">
        <is>
          <t>Chỉ tiêu cơ sở</t>
        </is>
      </c>
      <c r="H2435" s="390" t="inlineStr">
        <is>
          <t>TB</t>
        </is>
      </c>
      <c r="I2435" s="390" t="inlineStr">
        <is>
          <t>Ngày, CTCK</t>
        </is>
      </c>
      <c r="J2435" s="401" t="inlineStr">
        <is>
          <t>SCMS</t>
        </is>
      </c>
      <c r="K2435" s="401" t="n"/>
      <c r="L2435" s="401" t="inlineStr">
        <is>
          <t>X</t>
        </is>
      </c>
      <c r="M2435" s="401" t="n"/>
      <c r="N2435" s="401" t="inlineStr">
        <is>
          <t>Done</t>
        </is>
      </c>
      <c r="O2435" s="401" t="n"/>
      <c r="P2435" s="22" t="n"/>
      <c r="S2435" s="22" t="n"/>
      <c r="U2435" s="16" t="n"/>
      <c r="V2435" s="22" t="n"/>
      <c r="W2435" s="22" t="n"/>
      <c r="X2435" s="22" t="n"/>
      <c r="Y2435" s="13" t="n"/>
      <c r="Z2435" s="22" t="n"/>
      <c r="AA2435" s="22" t="n"/>
      <c r="AB2435" s="22" t="n"/>
      <c r="AC2435" s="22" t="n"/>
      <c r="AD2435" s="22" t="n"/>
      <c r="AE2435" s="22" t="n"/>
    </row>
    <row r="2436" ht="56" customHeight="1" s="380">
      <c r="A2436" s="126" t="n">
        <v>101</v>
      </c>
      <c r="B2436" s="390" t="n"/>
      <c r="C2436" s="390" t="inlineStr">
        <is>
          <t>Báo cáo theo Thông tư 121/2020/TT-BTC &gt;&gt; Báo cáo tỷ lệ An toàn tài chính &gt;&gt; Bảng tính vốn khả dụng</t>
        </is>
      </c>
      <c r="D2436" s="390" t="inlineStr">
        <is>
          <t xml:space="preserve">Tài sản dài hạn khác
</t>
        </is>
      </c>
      <c r="E2436" s="390" t="inlineStr">
        <is>
          <t xml:space="preserve">Tài sản dài hạn khác
</t>
        </is>
      </c>
      <c r="F2436" s="390" t="inlineStr">
        <is>
          <t>Data Explorer</t>
        </is>
      </c>
      <c r="G2436" s="390" t="inlineStr">
        <is>
          <t>Chỉ tiêu cơ sở</t>
        </is>
      </c>
      <c r="H2436" s="390" t="inlineStr">
        <is>
          <t>TB</t>
        </is>
      </c>
      <c r="I2436" s="390" t="inlineStr">
        <is>
          <t>Ngày, CTCK</t>
        </is>
      </c>
      <c r="J2436" s="401" t="inlineStr">
        <is>
          <t>SCMS</t>
        </is>
      </c>
      <c r="K2436" s="401" t="n"/>
      <c r="L2436" s="401" t="inlineStr">
        <is>
          <t>X</t>
        </is>
      </c>
      <c r="M2436" s="401" t="n"/>
      <c r="N2436" s="401" t="inlineStr">
        <is>
          <t>Done</t>
        </is>
      </c>
      <c r="O2436" s="401" t="n"/>
      <c r="P2436" s="22" t="n"/>
      <c r="S2436" s="22" t="n"/>
      <c r="U2436" s="16" t="n"/>
      <c r="V2436" s="22" t="n"/>
      <c r="W2436" s="22" t="n"/>
      <c r="X2436" s="22" t="n"/>
      <c r="Y2436" s="13" t="n"/>
      <c r="Z2436" s="22" t="n"/>
      <c r="AA2436" s="22" t="n"/>
      <c r="AB2436" s="22" t="n"/>
      <c r="AC2436" s="22" t="n"/>
      <c r="AD2436" s="22" t="n"/>
      <c r="AE2436" s="22" t="n"/>
    </row>
    <row r="2437" ht="126" customHeight="1" s="380">
      <c r="A2437" s="126" t="n">
        <v>101</v>
      </c>
      <c r="B2437" s="390" t="n"/>
      <c r="C2437" s="390" t="inlineStr">
        <is>
          <t>Báo cáo theo Thông tư 121/2020/TT-BTC &gt;&gt; Báo cáo tỷ lệ An toàn tài chính &gt;&gt; Bảng tính vốn khả dụng</t>
        </is>
      </c>
      <c r="D2437" s="390" t="inlineStr">
        <is>
          <t xml:space="preserve">Các chỉ tiêu tài sản bị coi là khoản ngoại trừ, có ý kiến trái ngược hoặc từ chối đưa ra ý kiến tại báo cáo tài chính đã được kiểm toán, soát xét mà không bị tính giảm trừ theo quy định tại Điều 5
</t>
        </is>
      </c>
      <c r="E2437" s="390" t="inlineStr">
        <is>
          <t xml:space="preserve">Các chỉ tiêu tài sản bị coi là khoản ngoại trừ, có ý kiến trái ngược hoặc từ chối đưa ra ý kiến tại báo cáo tài chính đã được kiểm toán, soát xét mà không bị tính giảm trừ theo quy định tại Điều 5
</t>
        </is>
      </c>
      <c r="F2437" s="390" t="inlineStr">
        <is>
          <t>Data Explorer</t>
        </is>
      </c>
      <c r="G2437" s="390" t="inlineStr">
        <is>
          <t>Chỉ tiêu cơ sở</t>
        </is>
      </c>
      <c r="H2437" s="390" t="inlineStr">
        <is>
          <t>TB</t>
        </is>
      </c>
      <c r="I2437" s="390" t="inlineStr">
        <is>
          <t>Ngày, CTCK</t>
        </is>
      </c>
      <c r="J2437" s="401" t="inlineStr">
        <is>
          <t>SCMS</t>
        </is>
      </c>
      <c r="K2437" s="401" t="n"/>
      <c r="L2437" s="401" t="inlineStr">
        <is>
          <t>X</t>
        </is>
      </c>
      <c r="M2437" s="401" t="n"/>
      <c r="N2437" s="401" t="inlineStr">
        <is>
          <t>Done</t>
        </is>
      </c>
      <c r="O2437" s="401" t="n"/>
      <c r="P2437" s="22" t="n"/>
      <c r="S2437" s="22" t="n"/>
      <c r="U2437" s="16" t="n"/>
      <c r="V2437" s="22" t="n"/>
      <c r="W2437" s="22" t="n"/>
      <c r="X2437" s="22" t="n"/>
      <c r="Y2437" s="13" t="n"/>
      <c r="Z2437" s="22" t="n"/>
      <c r="AA2437" s="22" t="n"/>
      <c r="AB2437" s="22" t="n"/>
      <c r="AC2437" s="22" t="n"/>
      <c r="AD2437" s="22" t="n"/>
      <c r="AE2437" s="22" t="n"/>
    </row>
    <row r="2438" ht="126" customHeight="1" s="380">
      <c r="A2438" s="126" t="n">
        <v>101</v>
      </c>
      <c r="B2438" s="390" t="n"/>
      <c r="C2438" s="390" t="inlineStr">
        <is>
          <t>Báo cáo theo Thông tư 121/2020/TT-BTC &gt;&gt; Báo cáo tỷ lệ An toàn tài chính &gt;&gt; Bảng tính vốn khả dụng</t>
        </is>
      </c>
      <c r="D2438" s="390" t="inlineStr">
        <is>
          <t xml:space="preserve">Các chỉ tiêu tài sản bị coi là khoản ngoại trừ, có ý kiến trái ngược hoặc từ chối đưa ra ý kiến tại báo cáo tài chính đã được kiểm toán, soát xét mà không bị tính giảm trừ theo quy định tại Điều 5
</t>
        </is>
      </c>
      <c r="E2438" s="390" t="inlineStr">
        <is>
          <t xml:space="preserve">Các chỉ tiêu tài sản bị coi là khoản ngoại trừ, có ý kiến trái ngược hoặc từ chối đưa ra ý kiến tại báo cáo tài chính đã được kiểm toán, soát xét mà không bị tính giảm trừ theo quy định tại Điều 5
</t>
        </is>
      </c>
      <c r="F2438" s="390" t="inlineStr">
        <is>
          <t>Data Explorer</t>
        </is>
      </c>
      <c r="G2438" s="390" t="inlineStr">
        <is>
          <t>Chỉ tiêu cơ sở</t>
        </is>
      </c>
      <c r="H2438" s="390" t="inlineStr">
        <is>
          <t>TB</t>
        </is>
      </c>
      <c r="I2438" s="390" t="inlineStr">
        <is>
          <t>Ngày, CTCK</t>
        </is>
      </c>
      <c r="J2438" s="401" t="inlineStr">
        <is>
          <t>SCMS</t>
        </is>
      </c>
      <c r="K2438" s="401" t="n"/>
      <c r="L2438" s="401" t="inlineStr">
        <is>
          <t>X</t>
        </is>
      </c>
      <c r="M2438" s="401" t="n"/>
      <c r="N2438" s="401" t="inlineStr">
        <is>
          <t>Done</t>
        </is>
      </c>
      <c r="O2438" s="401" t="n"/>
      <c r="P2438" s="22" t="n"/>
      <c r="S2438" s="22" t="n"/>
      <c r="U2438" s="16" t="n"/>
      <c r="V2438" s="22" t="n"/>
      <c r="W2438" s="22" t="n"/>
      <c r="X2438" s="22" t="n"/>
      <c r="Y2438" s="13" t="n"/>
      <c r="Z2438" s="22" t="n"/>
      <c r="AA2438" s="22" t="n"/>
      <c r="AB2438" s="22" t="n"/>
      <c r="AC2438" s="22" t="n"/>
      <c r="AD2438" s="22" t="n"/>
      <c r="AE2438" s="22" t="n"/>
    </row>
    <row r="2439" ht="56" customHeight="1" s="380">
      <c r="A2439" s="126" t="n">
        <v>101</v>
      </c>
      <c r="B2439" s="390" t="n"/>
      <c r="C2439" s="390" t="inlineStr">
        <is>
          <t>Báo cáo theo Thông tư 121/2020/TT-BTC &gt;&gt; Báo cáo tỷ lệ An toàn tài chính &gt;&gt; Bảng tính vốn khả dụng</t>
        </is>
      </c>
      <c r="D2439" s="390" t="inlineStr">
        <is>
          <t xml:space="preserve">Tổng
</t>
        </is>
      </c>
      <c r="E2439" s="390" t="inlineStr">
        <is>
          <t xml:space="preserve">Tổng
</t>
        </is>
      </c>
      <c r="F2439" s="390" t="inlineStr">
        <is>
          <t>Data Explorer</t>
        </is>
      </c>
      <c r="G2439" s="390" t="inlineStr">
        <is>
          <t>Chỉ tiêu cơ sở</t>
        </is>
      </c>
      <c r="H2439" s="390" t="inlineStr">
        <is>
          <t>TB</t>
        </is>
      </c>
      <c r="I2439" s="390" t="inlineStr">
        <is>
          <t>Ngày, CTCK</t>
        </is>
      </c>
      <c r="J2439" s="401" t="inlineStr">
        <is>
          <t>SCMS</t>
        </is>
      </c>
      <c r="K2439" s="401" t="n"/>
      <c r="L2439" s="401" t="inlineStr">
        <is>
          <t>X</t>
        </is>
      </c>
      <c r="M2439" s="401" t="n"/>
      <c r="N2439" s="401" t="inlineStr">
        <is>
          <t>Done</t>
        </is>
      </c>
      <c r="O2439" s="401" t="n"/>
      <c r="P2439" s="22" t="n"/>
      <c r="S2439" s="22" t="n"/>
      <c r="U2439" s="16" t="n"/>
      <c r="V2439" s="22" t="n"/>
      <c r="W2439" s="22" t="n"/>
      <c r="X2439" s="22" t="n"/>
      <c r="Y2439" s="13" t="n"/>
      <c r="Z2439" s="22" t="n"/>
      <c r="AA2439" s="22" t="n"/>
      <c r="AB2439" s="22" t="n"/>
      <c r="AC2439" s="22" t="n"/>
      <c r="AD2439" s="22" t="n"/>
      <c r="AE2439" s="22" t="n"/>
    </row>
    <row r="2440" ht="56" customHeight="1" s="380">
      <c r="A2440" s="126" t="n">
        <v>101</v>
      </c>
      <c r="B2440" s="390" t="n"/>
      <c r="C2440" s="390" t="inlineStr">
        <is>
          <t>Báo cáo theo Thông tư 121/2020/TT-BTC &gt;&gt; Báo cáo tỷ lệ An toàn tài chính &gt;&gt; Bảng tính vốn khả dụng</t>
        </is>
      </c>
      <c r="D2440" s="390" t="inlineStr">
        <is>
          <t xml:space="preserve">Các khoản ký quỹ, đảm bảo
</t>
        </is>
      </c>
      <c r="E2440" s="390" t="inlineStr">
        <is>
          <t xml:space="preserve">Các khoản ký quỹ, đảm bảo
</t>
        </is>
      </c>
      <c r="F2440" s="390" t="inlineStr">
        <is>
          <t>Data Explorer</t>
        </is>
      </c>
      <c r="G2440" s="390" t="inlineStr">
        <is>
          <t>Chỉ tiêu cơ sở</t>
        </is>
      </c>
      <c r="H2440" s="390" t="inlineStr">
        <is>
          <t>TB</t>
        </is>
      </c>
      <c r="I2440" s="390" t="inlineStr">
        <is>
          <t>Ngày, CTCK</t>
        </is>
      </c>
      <c r="J2440" s="401" t="inlineStr">
        <is>
          <t>SCMS</t>
        </is>
      </c>
      <c r="K2440" s="401" t="n"/>
      <c r="L2440" s="401" t="inlineStr">
        <is>
          <t>X</t>
        </is>
      </c>
      <c r="M2440" s="401" t="n"/>
      <c r="N2440" s="401" t="inlineStr">
        <is>
          <t>Done</t>
        </is>
      </c>
      <c r="O2440" s="401" t="n"/>
      <c r="P2440" s="22" t="n"/>
      <c r="S2440" s="22" t="n"/>
      <c r="U2440" s="16" t="n"/>
      <c r="V2440" s="22" t="n"/>
      <c r="W2440" s="22" t="n"/>
      <c r="X2440" s="22" t="n"/>
      <c r="Y2440" s="13" t="n"/>
      <c r="Z2440" s="22" t="n"/>
      <c r="AA2440" s="22" t="n"/>
      <c r="AB2440" s="22" t="n"/>
      <c r="AC2440" s="22" t="n"/>
      <c r="AD2440" s="22" t="n"/>
      <c r="AE2440" s="22" t="n"/>
    </row>
    <row r="2441" ht="56" customHeight="1" s="380">
      <c r="A2441" s="126" t="n">
        <v>101</v>
      </c>
      <c r="B2441" s="390" t="n"/>
      <c r="C2441" s="390" t="inlineStr">
        <is>
          <t>Báo cáo theo Thông tư 121/2020/TT-BTC &gt;&gt; Báo cáo tỷ lệ An toàn tài chính &gt;&gt; Bảng tính vốn khả dụng</t>
        </is>
      </c>
      <c r="D2441" s="390" t="inlineStr">
        <is>
          <t xml:space="preserve">Giá trị ký quỹ
</t>
        </is>
      </c>
      <c r="E2441" s="390" t="inlineStr">
        <is>
          <t xml:space="preserve">Giá trị ký quỹ
</t>
        </is>
      </c>
      <c r="F2441" s="390" t="inlineStr">
        <is>
          <t>Data Explorer</t>
        </is>
      </c>
      <c r="G2441" s="390" t="inlineStr">
        <is>
          <t>Chỉ tiêu cơ sở</t>
        </is>
      </c>
      <c r="H2441" s="390" t="inlineStr">
        <is>
          <t>TB</t>
        </is>
      </c>
      <c r="I2441" s="390" t="inlineStr">
        <is>
          <t>Ngày, CTCK</t>
        </is>
      </c>
      <c r="J2441" s="401" t="inlineStr">
        <is>
          <t>SCMS</t>
        </is>
      </c>
      <c r="K2441" s="401" t="n"/>
      <c r="L2441" s="401" t="inlineStr">
        <is>
          <t>X</t>
        </is>
      </c>
      <c r="M2441" s="401" t="n"/>
      <c r="N2441" s="401" t="inlineStr">
        <is>
          <t>Done</t>
        </is>
      </c>
      <c r="O2441" s="401" t="n"/>
      <c r="P2441" s="22" t="n"/>
      <c r="S2441" s="22" t="n"/>
      <c r="U2441" s="16" t="n"/>
      <c r="V2441" s="22" t="n"/>
      <c r="W2441" s="22" t="n"/>
      <c r="X2441" s="22" t="n"/>
      <c r="Y2441" s="13" t="n"/>
      <c r="Z2441" s="22" t="n"/>
      <c r="AA2441" s="22" t="n"/>
      <c r="AB2441" s="22" t="n"/>
      <c r="AC2441" s="22" t="n"/>
      <c r="AD2441" s="22" t="n"/>
      <c r="AE2441" s="22" t="n"/>
    </row>
    <row r="2442" ht="70" customHeight="1" s="380">
      <c r="A2442" s="126" t="n">
        <v>101</v>
      </c>
      <c r="B2442" s="390" t="n"/>
      <c r="C2442" s="390" t="inlineStr">
        <is>
          <t>Báo cáo theo Thông tư 121/2020/TT-BTC &gt;&gt; Báo cáo tỷ lệ An toàn tài chính &gt;&gt; Bảng tính vốn khả dụng</t>
        </is>
      </c>
      <c r="D2442" s="390" t="inlineStr">
        <is>
          <t>Giá trị đóng góp vào quỹ hỗ trợ thanh toán của Tổng công ty lưu ký và bù trừ chứng khoán Việt Nam</t>
        </is>
      </c>
      <c r="E2442" s="390" t="inlineStr">
        <is>
          <t>Giá trị đóng góp vào quỹ hỗ trợ thanh toán của Tổng công ty lưu ký và bù trừ chứng khoán Việt Nam</t>
        </is>
      </c>
      <c r="F2442" s="390" t="inlineStr">
        <is>
          <t>Data Explorer</t>
        </is>
      </c>
      <c r="G2442" s="390" t="inlineStr">
        <is>
          <t>Chỉ tiêu cơ sở</t>
        </is>
      </c>
      <c r="H2442" s="390" t="inlineStr">
        <is>
          <t>TB</t>
        </is>
      </c>
      <c r="I2442" s="390" t="inlineStr">
        <is>
          <t>Ngày, CTCK</t>
        </is>
      </c>
      <c r="J2442" s="401" t="inlineStr">
        <is>
          <t>SCMS</t>
        </is>
      </c>
      <c r="K2442" s="401" t="n"/>
      <c r="L2442" s="401" t="inlineStr">
        <is>
          <t>X</t>
        </is>
      </c>
      <c r="M2442" s="401" t="n"/>
      <c r="N2442" s="401" t="inlineStr">
        <is>
          <t>Done</t>
        </is>
      </c>
      <c r="O2442" s="401" t="n"/>
      <c r="P2442" s="22" t="n"/>
      <c r="S2442" s="22" t="n"/>
      <c r="U2442" s="16" t="n"/>
      <c r="V2442" s="22" t="n"/>
      <c r="W2442" s="22" t="n"/>
      <c r="X2442" s="22" t="n"/>
      <c r="Y2442" s="13" t="n"/>
      <c r="Z2442" s="22" t="n"/>
      <c r="AA2442" s="22" t="n"/>
      <c r="AB2442" s="22" t="n"/>
      <c r="AC2442" s="22" t="n"/>
      <c r="AD2442" s="22" t="n"/>
      <c r="AE2442" s="22" t="n"/>
    </row>
    <row r="2443" ht="70" customHeight="1" s="380">
      <c r="A2443" s="126" t="n">
        <v>101</v>
      </c>
      <c r="B2443" s="390" t="n"/>
      <c r="C2443" s="390" t="inlineStr">
        <is>
          <t>Báo cáo theo Thông tư 121/2020/TT-BTC &gt;&gt; Báo cáo tỷ lệ An toàn tài chính &gt;&gt; Bảng tính vốn khả dụng</t>
        </is>
      </c>
      <c r="D2443" s="390" t="inlineStr">
        <is>
          <t>Giá trị đóng góp vào quỹ bù trừ của đối tác thanh toán trung tâm đối với vị thế mở của chính thành viên bù trừ</t>
        </is>
      </c>
      <c r="E2443" s="390" t="inlineStr">
        <is>
          <t>Giá trị đóng góp vào quỹ bù trừ của đối tác thanh toán trung tâm đối với vị thế mở của chính thành viên bù trừ</t>
        </is>
      </c>
      <c r="F2443" s="390" t="inlineStr">
        <is>
          <t>Data Explorer</t>
        </is>
      </c>
      <c r="G2443" s="390" t="inlineStr">
        <is>
          <t>Chỉ tiêu cơ sở</t>
        </is>
      </c>
      <c r="H2443" s="390" t="inlineStr">
        <is>
          <t>TB</t>
        </is>
      </c>
      <c r="I2443" s="390" t="inlineStr">
        <is>
          <t>Ngày, CTCK</t>
        </is>
      </c>
      <c r="J2443" s="401" t="inlineStr">
        <is>
          <t>SCMS</t>
        </is>
      </c>
      <c r="K2443" s="401" t="n"/>
      <c r="L2443" s="401" t="inlineStr">
        <is>
          <t>X</t>
        </is>
      </c>
      <c r="M2443" s="401" t="n"/>
      <c r="N2443" s="401" t="inlineStr">
        <is>
          <t>Done</t>
        </is>
      </c>
      <c r="O2443" s="401" t="n"/>
      <c r="P2443" s="22" t="n"/>
      <c r="S2443" s="22" t="n"/>
      <c r="U2443" s="16" t="n"/>
      <c r="V2443" s="22" t="n"/>
      <c r="W2443" s="22" t="n"/>
      <c r="X2443" s="22" t="n"/>
      <c r="Y2443" s="13" t="n"/>
      <c r="Z2443" s="22" t="n"/>
      <c r="AA2443" s="22" t="n"/>
      <c r="AB2443" s="22" t="n"/>
      <c r="AC2443" s="22" t="n"/>
      <c r="AD2443" s="22" t="n"/>
      <c r="AE2443" s="22" t="n"/>
    </row>
    <row r="2444" ht="84" customHeight="1" s="380">
      <c r="A2444" s="126" t="n">
        <v>101</v>
      </c>
      <c r="B2444" s="390" t="n"/>
      <c r="C2444" s="390" t="inlineStr">
        <is>
          <t>Báo cáo theo Thông tư 121/2020/TT-BTC &gt;&gt; Báo cáo tỷ lệ An toàn tài chính &gt;&gt; Bảng tính vốn khả dụng</t>
        </is>
      </c>
      <c r="D2444" s="390" t="inlineStr">
        <is>
          <t xml:space="preserve">Khoản ký quỹ bằng tiền và giá trị bảo lãnh thanh toán của ngân hàng khi phát hành chứng quyền có bảo đảm
</t>
        </is>
      </c>
      <c r="E2444" s="390" t="inlineStr">
        <is>
          <t xml:space="preserve">Khoản ký quỹ bằng tiền và giá trị bảo lãnh thanh toán của ngân hàng khi phát hành chứng quyền có bảo đảm
</t>
        </is>
      </c>
      <c r="F2444" s="390" t="inlineStr">
        <is>
          <t>Data Explorer</t>
        </is>
      </c>
      <c r="G2444" s="390" t="inlineStr">
        <is>
          <t>Chỉ tiêu cơ sở</t>
        </is>
      </c>
      <c r="H2444" s="390" t="inlineStr">
        <is>
          <t>TB</t>
        </is>
      </c>
      <c r="I2444" s="390" t="inlineStr">
        <is>
          <t>Ngày, CTCK</t>
        </is>
      </c>
      <c r="J2444" s="401" t="inlineStr">
        <is>
          <t>SCMS</t>
        </is>
      </c>
      <c r="K2444" s="401" t="n"/>
      <c r="L2444" s="401" t="inlineStr">
        <is>
          <t>X</t>
        </is>
      </c>
      <c r="M2444" s="401" t="n"/>
      <c r="N2444" s="401" t="inlineStr">
        <is>
          <t>Done</t>
        </is>
      </c>
      <c r="O2444" s="401" t="n"/>
      <c r="P2444" s="22" t="n"/>
      <c r="S2444" s="22" t="n"/>
      <c r="U2444" s="16" t="n"/>
      <c r="V2444" s="22" t="n"/>
      <c r="W2444" s="22" t="n"/>
      <c r="X2444" s="22" t="n"/>
      <c r="Y2444" s="13" t="n"/>
      <c r="Z2444" s="22" t="n"/>
      <c r="AA2444" s="22" t="n"/>
      <c r="AB2444" s="22" t="n"/>
      <c r="AC2444" s="22" t="n"/>
      <c r="AD2444" s="22" t="n"/>
      <c r="AE2444" s="22" t="n"/>
    </row>
    <row r="2445" ht="70" customHeight="1" s="380">
      <c r="A2445" s="126" t="n">
        <v>101</v>
      </c>
      <c r="B2445" s="390" t="n"/>
      <c r="C2445" s="390" t="inlineStr">
        <is>
          <t>Báo cáo theo Thông tư 121/2020/TT-BTC &gt;&gt; Báo cáo tỷ lệ An toàn tài chính &gt;&gt; Bảng tính vốn khả dụng</t>
        </is>
      </c>
      <c r="D2445" s="390" t="inlineStr">
        <is>
          <t xml:space="preserve">Giá trị tài sản bảo đảm cho các nghĩa vụ phải trả có thời hạn còn lại trên 90 ngày
</t>
        </is>
      </c>
      <c r="E2445" s="390" t="inlineStr">
        <is>
          <t xml:space="preserve">Giá trị tài sản bảo đảm cho các nghĩa vụ phải trả có thời hạn còn lại trên 90 ngày
</t>
        </is>
      </c>
      <c r="F2445" s="390" t="inlineStr">
        <is>
          <t>Data Explorer</t>
        </is>
      </c>
      <c r="G2445" s="390" t="inlineStr">
        <is>
          <t>Chỉ tiêu cơ sở</t>
        </is>
      </c>
      <c r="H2445" s="390" t="inlineStr">
        <is>
          <t>TB</t>
        </is>
      </c>
      <c r="I2445" s="390" t="inlineStr">
        <is>
          <t>Ngày, CTCK</t>
        </is>
      </c>
      <c r="J2445" s="401" t="inlineStr">
        <is>
          <t>SCMS</t>
        </is>
      </c>
      <c r="K2445" s="401" t="n"/>
      <c r="L2445" s="401" t="inlineStr">
        <is>
          <t>X</t>
        </is>
      </c>
      <c r="M2445" s="401" t="n"/>
      <c r="N2445" s="401" t="inlineStr">
        <is>
          <t>Done</t>
        </is>
      </c>
      <c r="O2445" s="401" t="n"/>
      <c r="P2445" s="22" t="n"/>
      <c r="S2445" s="22" t="n"/>
      <c r="U2445" s="16" t="n"/>
      <c r="V2445" s="22" t="n"/>
      <c r="W2445" s="22" t="n"/>
      <c r="X2445" s="22" t="n"/>
      <c r="Y2445" s="13" t="n"/>
      <c r="Z2445" s="22" t="n"/>
      <c r="AA2445" s="22" t="n"/>
      <c r="AB2445" s="22" t="n"/>
      <c r="AC2445" s="22" t="n"/>
      <c r="AD2445" s="22" t="n"/>
      <c r="AE2445" s="22" t="n"/>
    </row>
    <row r="2446" ht="56" customHeight="1" s="380">
      <c r="A2446" s="126" t="n">
        <v>101</v>
      </c>
      <c r="B2446" s="390" t="n"/>
      <c r="C2446" s="390" t="inlineStr">
        <is>
          <t>Báo cáo theo Thông tư 121/2020/TT-BTC &gt;&gt; Báo cáo tỷ lệ An toàn tài chính &gt;&gt; Bảng tính vốn khả dụng</t>
        </is>
      </c>
      <c r="D2446" s="390" t="inlineStr">
        <is>
          <t xml:space="preserve">Tổng
</t>
        </is>
      </c>
      <c r="E2446" s="390" t="inlineStr">
        <is>
          <t xml:space="preserve">Tổng
</t>
        </is>
      </c>
      <c r="F2446" s="390" t="inlineStr">
        <is>
          <t>Data Explorer</t>
        </is>
      </c>
      <c r="G2446" s="390" t="inlineStr">
        <is>
          <t>Chỉ tiêu cơ sở</t>
        </is>
      </c>
      <c r="H2446" s="390" t="inlineStr">
        <is>
          <t>TB</t>
        </is>
      </c>
      <c r="I2446" s="390" t="inlineStr">
        <is>
          <t>Ngày, CTCK</t>
        </is>
      </c>
      <c r="J2446" s="401" t="inlineStr">
        <is>
          <t>SCMS</t>
        </is>
      </c>
      <c r="K2446" s="401" t="n"/>
      <c r="L2446" s="401" t="inlineStr">
        <is>
          <t>X</t>
        </is>
      </c>
      <c r="M2446" s="401" t="n"/>
      <c r="N2446" s="401" t="inlineStr">
        <is>
          <t>Done</t>
        </is>
      </c>
      <c r="O2446" s="401" t="n"/>
      <c r="P2446" s="22" t="n"/>
      <c r="S2446" s="22" t="n"/>
      <c r="U2446" s="16" t="n"/>
      <c r="V2446" s="22" t="n"/>
      <c r="W2446" s="22" t="n"/>
      <c r="X2446" s="22" t="n"/>
      <c r="Y2446" s="13" t="n"/>
      <c r="Z2446" s="22" t="n"/>
      <c r="AA2446" s="22" t="n"/>
      <c r="AB2446" s="22" t="n"/>
      <c r="AC2446" s="22" t="n"/>
      <c r="AD2446" s="22" t="n"/>
      <c r="AE2446" s="22" t="n"/>
    </row>
    <row r="2447" ht="56" customHeight="1" s="380">
      <c r="A2447" s="128" t="n">
        <v>101</v>
      </c>
      <c r="B2447" s="129" t="n"/>
      <c r="C2447" s="129" t="inlineStr">
        <is>
          <t>Báo cáo theo Thông tư 121/2020/TT-BTC &gt;&gt; Báo cáo tỷ lệ An toàn tài chính &gt;&gt; Bảng tính vốn khả dụng</t>
        </is>
      </c>
      <c r="D2447" s="129" t="inlineStr">
        <is>
          <t xml:space="preserve">VỐN KHẢ DỤNG = 1A-1B-1C-1D
</t>
        </is>
      </c>
      <c r="E2447" s="129" t="inlineStr">
        <is>
          <t xml:space="preserve">VỐN KHẢ DỤNG = 1A-1B-1C-1D
</t>
        </is>
      </c>
      <c r="F2447" s="129" t="inlineStr">
        <is>
          <t>Data Explorer</t>
        </is>
      </c>
      <c r="G2447" s="129" t="inlineStr">
        <is>
          <t>Chỉ tiêu cơ sở</t>
        </is>
      </c>
      <c r="H2447" s="129" t="inlineStr">
        <is>
          <t>TB</t>
        </is>
      </c>
      <c r="I2447" s="129" t="inlineStr">
        <is>
          <t>Ngày, CTCK</t>
        </is>
      </c>
      <c r="J2447" s="85" t="inlineStr">
        <is>
          <t>SCMS</t>
        </is>
      </c>
      <c r="K2447" s="85" t="n"/>
      <c r="L2447" s="85" t="inlineStr">
        <is>
          <t>X</t>
        </is>
      </c>
      <c r="M2447" s="85" t="n"/>
      <c r="N2447" s="85" t="inlineStr">
        <is>
          <t>Done</t>
        </is>
      </c>
      <c r="O2447" s="85" t="n"/>
      <c r="P2447" s="130" t="n"/>
      <c r="Q2447" s="426" t="n"/>
      <c r="R2447" s="426" t="n"/>
      <c r="S2447" s="130" t="n"/>
      <c r="T2447" s="426" t="n"/>
      <c r="U2447" s="131" t="n"/>
      <c r="V2447" s="130" t="n"/>
      <c r="W2447" s="130" t="n"/>
      <c r="X2447" s="130" t="n"/>
      <c r="Y2447" s="97" t="n"/>
      <c r="Z2447" s="130" t="n"/>
      <c r="AA2447" s="130" t="n"/>
      <c r="AB2447" s="130" t="n"/>
      <c r="AC2447" s="130" t="n"/>
      <c r="AD2447" s="130" t="n"/>
      <c r="AE2447" s="130" t="n"/>
    </row>
    <row r="2448" ht="70" customHeight="1" s="380">
      <c r="A2448" s="126" t="n">
        <v>102</v>
      </c>
      <c r="B2448" s="122" t="inlineStr">
        <is>
          <t>Nga</t>
        </is>
      </c>
      <c r="C2448" s="127" t="inlineStr">
        <is>
          <t>Báo cáo theo Thông tư 121/2020/TT-BTC &gt;&gt; Báo cáo tỷ lệ An toàn tài chính &gt;&gt; Bảng tính giá trị rủi ro (Rủi ro thị trường)</t>
        </is>
      </c>
      <c r="D2448" s="106" t="inlineStr">
        <is>
          <t>Loại báo cáo</t>
        </is>
      </c>
      <c r="E2448" s="107" t="inlineStr">
        <is>
          <t>Loại báo cáo</t>
        </is>
      </c>
      <c r="F2448" s="390" t="inlineStr">
        <is>
          <t>Data Explorer</t>
        </is>
      </c>
      <c r="G2448" s="390" t="inlineStr">
        <is>
          <t>Chiều</t>
        </is>
      </c>
      <c r="H2448" s="390" t="inlineStr">
        <is>
          <t>Dễ</t>
        </is>
      </c>
      <c r="I2448" s="390" t="inlineStr">
        <is>
          <t>Ngày, CTCK</t>
        </is>
      </c>
      <c r="J2448" s="401" t="inlineStr">
        <is>
          <t>SCMS</t>
        </is>
      </c>
      <c r="K2448" s="401" t="inlineStr">
        <is>
          <t>X</t>
        </is>
      </c>
      <c r="L2448" s="401" t="inlineStr">
        <is>
          <t>X</t>
        </is>
      </c>
      <c r="M2448" s="401" t="n"/>
      <c r="N2448" s="401" t="inlineStr">
        <is>
          <t>Done</t>
        </is>
      </c>
      <c r="O2448" s="401" t="n"/>
      <c r="P2448" s="22" t="n"/>
      <c r="Q2448" s="404" t="inlineStr">
        <is>
          <t>SCMS.BM_BAO_CAO
SCMS.BM_BAO_CAO_DINH_KY</t>
        </is>
      </c>
      <c r="R2448" s="404" t="inlineStr">
        <is>
          <t>bm.ID,
bm.MA_BAO_CAO,
bm.LOAI_BAO_CAO,
bm.TEN_BAO_CAO,
bm.SU_DUNG,
bdk.BM_BAO_CAO_ID,
bdk.KY_BAO_CAO,
bdk.SU_DUNG</t>
        </is>
      </c>
      <c r="S2448" s="22" t="n"/>
      <c r="T2448" s="389"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2448" s="16" t="n"/>
      <c r="V2448" s="22" t="n"/>
      <c r="W2448" s="22" t="n"/>
      <c r="X2448" s="22" t="n"/>
      <c r="Y2448" s="38" t="n"/>
      <c r="Z2448" s="22" t="n"/>
      <c r="AA2448" s="22" t="n"/>
      <c r="AB2448" s="22" t="n"/>
      <c r="AC2448" s="22" t="n"/>
      <c r="AD2448" s="22" t="n"/>
      <c r="AE2448" s="22" t="n"/>
    </row>
    <row r="2449" ht="70" customHeight="1" s="380">
      <c r="A2449" s="126" t="n">
        <v>102</v>
      </c>
      <c r="B2449" s="390" t="n"/>
      <c r="C2449" s="390" t="inlineStr">
        <is>
          <t>Báo cáo theo Thông tư 121/2020/TT-BTC &gt;&gt; Báo cáo tỷ lệ An toàn tài chính &gt;&gt; Bảng tính giá trị rủi ro (Rủi ro thị trường)</t>
        </is>
      </c>
      <c r="D2449" s="106" t="inlineStr">
        <is>
          <t>Kỳ báo cáo</t>
        </is>
      </c>
      <c r="E2449" s="107" t="inlineStr">
        <is>
          <t>Kỳ báo cáo</t>
        </is>
      </c>
      <c r="F2449" s="390" t="inlineStr">
        <is>
          <t>Data Explorer</t>
        </is>
      </c>
      <c r="G2449" s="390" t="inlineStr">
        <is>
          <t>Chiều</t>
        </is>
      </c>
      <c r="H2449" s="390" t="inlineStr">
        <is>
          <t>Dễ</t>
        </is>
      </c>
      <c r="I2449" s="390" t="inlineStr">
        <is>
          <t>Ngày, CTCK</t>
        </is>
      </c>
      <c r="J2449" s="401" t="inlineStr">
        <is>
          <t>SCMS</t>
        </is>
      </c>
      <c r="K2449" s="401" t="inlineStr">
        <is>
          <t>X</t>
        </is>
      </c>
      <c r="L2449" s="401" t="inlineStr">
        <is>
          <t>X</t>
        </is>
      </c>
      <c r="M2449" s="401" t="n"/>
      <c r="N2449" s="401" t="inlineStr">
        <is>
          <t>Done</t>
        </is>
      </c>
      <c r="O2449" s="401" t="n"/>
      <c r="P2449" s="22" t="n"/>
      <c r="S2449" s="22" t="n"/>
      <c r="U2449" s="16" t="n"/>
      <c r="V2449" s="22" t="n"/>
      <c r="W2449" s="22" t="n"/>
      <c r="X2449" s="22" t="n"/>
      <c r="Y2449" s="13" t="n"/>
      <c r="Z2449" s="22" t="n"/>
      <c r="AA2449" s="22" t="n"/>
      <c r="AB2449" s="22" t="n"/>
      <c r="AC2449" s="22" t="n"/>
      <c r="AD2449" s="22" t="n"/>
      <c r="AE2449" s="22" t="n"/>
    </row>
    <row r="2450" ht="70" customHeight="1" s="380">
      <c r="A2450" s="126" t="n">
        <v>102</v>
      </c>
      <c r="B2450" s="390" t="n"/>
      <c r="C2450" s="390" t="inlineStr">
        <is>
          <t>Báo cáo theo Thông tư 121/2020/TT-BTC &gt;&gt; Báo cáo tỷ lệ An toàn tài chính &gt;&gt; Bảng tính giá trị rủi ro (Rủi ro thị trường)</t>
        </is>
      </c>
      <c r="D2450" s="106" t="inlineStr">
        <is>
          <t>Mã báo cáo</t>
        </is>
      </c>
      <c r="E2450" s="107" t="inlineStr">
        <is>
          <t>Mã báo cáo</t>
        </is>
      </c>
      <c r="F2450" s="390" t="inlineStr">
        <is>
          <t>Data Explorer</t>
        </is>
      </c>
      <c r="G2450" s="390" t="inlineStr">
        <is>
          <t>Chiều</t>
        </is>
      </c>
      <c r="H2450" s="390" t="inlineStr">
        <is>
          <t>Dễ</t>
        </is>
      </c>
      <c r="I2450" s="390" t="inlineStr">
        <is>
          <t>Ngày, CTCK</t>
        </is>
      </c>
      <c r="J2450" s="401" t="inlineStr">
        <is>
          <t>SCMS</t>
        </is>
      </c>
      <c r="K2450" s="401" t="inlineStr">
        <is>
          <t>X</t>
        </is>
      </c>
      <c r="L2450" s="401" t="inlineStr">
        <is>
          <t>X</t>
        </is>
      </c>
      <c r="M2450" s="401" t="n"/>
      <c r="N2450" s="401" t="inlineStr">
        <is>
          <t>Done</t>
        </is>
      </c>
      <c r="O2450" s="401" t="n"/>
      <c r="P2450" s="22" t="n"/>
      <c r="S2450" s="22" t="n"/>
      <c r="U2450" s="16" t="n"/>
      <c r="V2450" s="22" t="n"/>
      <c r="W2450" s="22" t="n"/>
      <c r="X2450" s="22" t="n"/>
      <c r="Y2450" s="13" t="n"/>
      <c r="Z2450" s="22" t="n"/>
      <c r="AA2450" s="22" t="n"/>
      <c r="AB2450" s="22" t="n"/>
      <c r="AC2450" s="22" t="n"/>
      <c r="AD2450" s="22" t="n"/>
      <c r="AE2450" s="22" t="n"/>
    </row>
    <row r="2451" ht="70" customHeight="1" s="380">
      <c r="A2451" s="126" t="n">
        <v>102</v>
      </c>
      <c r="B2451" s="390" t="n"/>
      <c r="C2451" s="390" t="inlineStr">
        <is>
          <t>Báo cáo theo Thông tư 121/2020/TT-BTC &gt;&gt; Báo cáo tỷ lệ An toàn tài chính &gt;&gt; Bảng tính giá trị rủi ro (Rủi ro thị trường)</t>
        </is>
      </c>
      <c r="D2451" s="106" t="inlineStr">
        <is>
          <t>Tên báo cáo</t>
        </is>
      </c>
      <c r="E2451" s="107" t="inlineStr">
        <is>
          <t>Tên báo cáo</t>
        </is>
      </c>
      <c r="F2451" s="390" t="inlineStr">
        <is>
          <t>Data Explorer</t>
        </is>
      </c>
      <c r="G2451" s="390" t="inlineStr">
        <is>
          <t>Chiều</t>
        </is>
      </c>
      <c r="H2451" s="390" t="inlineStr">
        <is>
          <t>Dễ</t>
        </is>
      </c>
      <c r="I2451" s="390" t="inlineStr">
        <is>
          <t>Ngày, CTCK</t>
        </is>
      </c>
      <c r="J2451" s="401" t="inlineStr">
        <is>
          <t>SCMS</t>
        </is>
      </c>
      <c r="K2451" s="401" t="inlineStr">
        <is>
          <t>X</t>
        </is>
      </c>
      <c r="L2451" s="401" t="inlineStr">
        <is>
          <t>X</t>
        </is>
      </c>
      <c r="M2451" s="401" t="n"/>
      <c r="N2451" s="401" t="inlineStr">
        <is>
          <t>Done</t>
        </is>
      </c>
      <c r="O2451" s="401" t="n"/>
      <c r="P2451" s="22" t="n"/>
      <c r="S2451" s="22" t="n"/>
      <c r="U2451" s="16" t="n"/>
      <c r="V2451" s="22" t="n"/>
      <c r="W2451" s="22" t="n"/>
      <c r="X2451" s="22" t="n"/>
      <c r="Y2451" s="13" t="n"/>
      <c r="Z2451" s="22" t="n"/>
      <c r="AA2451" s="22" t="n"/>
      <c r="AB2451" s="22" t="n"/>
      <c r="AC2451" s="22" t="n"/>
      <c r="AD2451" s="22" t="n"/>
      <c r="AE2451" s="22" t="n"/>
    </row>
    <row r="2452" ht="70" customHeight="1" s="380">
      <c r="A2452" s="126" t="n">
        <v>102</v>
      </c>
      <c r="B2452" s="390" t="n"/>
      <c r="C2452" s="390" t="inlineStr">
        <is>
          <t>Báo cáo theo Thông tư 121/2020/TT-BTC &gt;&gt; Báo cáo tỷ lệ An toàn tài chính &gt;&gt; Bảng tính giá trị rủi ro (Rủi ro thị trường)</t>
        </is>
      </c>
      <c r="D2452" s="106" t="inlineStr">
        <is>
          <t>Mã sheet</t>
        </is>
      </c>
      <c r="E2452" s="106" t="inlineStr">
        <is>
          <t>Mã sheet</t>
        </is>
      </c>
      <c r="F2452" s="390" t="inlineStr">
        <is>
          <t>Data Explorer</t>
        </is>
      </c>
      <c r="G2452" s="390" t="inlineStr">
        <is>
          <t>Chiều</t>
        </is>
      </c>
      <c r="H2452" s="390" t="inlineStr">
        <is>
          <t>Dễ</t>
        </is>
      </c>
      <c r="I2452" s="390" t="inlineStr">
        <is>
          <t>Ngày, CTCK</t>
        </is>
      </c>
      <c r="J2452" s="401" t="inlineStr">
        <is>
          <t>SCMS</t>
        </is>
      </c>
      <c r="K2452" s="401" t="inlineStr">
        <is>
          <t>X</t>
        </is>
      </c>
      <c r="L2452" s="401" t="inlineStr">
        <is>
          <t>X</t>
        </is>
      </c>
      <c r="M2452" s="401" t="n"/>
      <c r="N2452" s="401" t="inlineStr">
        <is>
          <t>Done</t>
        </is>
      </c>
      <c r="O2452" s="401" t="n"/>
      <c r="P2452" s="22" t="n"/>
      <c r="Q2452" s="401" t="inlineStr">
        <is>
          <t>SCMS.BM_BAO_CAO
SCMS.BM_SHEET</t>
        </is>
      </c>
      <c r="R2452" s="401" t="inlineStr">
        <is>
          <t>bm.ID,
bm.MA_BAO_CAO,
bm.SU_DUNG,
s.BM_BAO_CAO_ID,
s.MA_SHEET,
s.TEN_SHEET,
s.SAP_XEP</t>
        </is>
      </c>
      <c r="S2452" s="22" t="n"/>
      <c r="T2452" s="389" t="inlineStr">
        <is>
          <t>-- Mã sheet / Tên sheet
-- TEN_SHEET: 06H02
SELECT bm.MA_BAO_CAO,
s.MA_SHEET,
s.TEN_SHEET
FROM SCMS.BM_BAO_CAO bm
JOIN SCMS.BM_SHEET s ON s.BM_BAO_CAO_ID = bm.ID
WHERE bm.MA_BAO_CAO LIKE 'BCTLAT_TT102/2025'
AND s.MA_SHEET = '06H02'  -- Check lại
AND bm.SU_DUNG = 1
ORDER BY bm.MA_BAO_CAO, s.SAP_XEP;</t>
        </is>
      </c>
      <c r="U2452" s="16" t="n"/>
      <c r="V2452" s="22" t="n"/>
      <c r="W2452" s="22" t="n"/>
      <c r="X2452" s="22" t="n"/>
      <c r="Y2452" s="13" t="n"/>
      <c r="Z2452" s="22" t="n"/>
      <c r="AA2452" s="22" t="n"/>
      <c r="AB2452" s="22" t="n"/>
      <c r="AC2452" s="22" t="n"/>
      <c r="AD2452" s="22" t="n"/>
      <c r="AE2452" s="22" t="n"/>
    </row>
    <row r="2453" ht="70" customHeight="1" s="380">
      <c r="A2453" s="126" t="n">
        <v>102</v>
      </c>
      <c r="B2453" s="390" t="n"/>
      <c r="C2453" s="390" t="inlineStr">
        <is>
          <t>Báo cáo theo Thông tư 121/2020/TT-BTC &gt;&gt; Báo cáo tỷ lệ An toàn tài chính &gt;&gt; Bảng tính giá trị rủi ro (Rủi ro thị trường)</t>
        </is>
      </c>
      <c r="D2453" s="106" t="inlineStr">
        <is>
          <t>Tên sheet</t>
        </is>
      </c>
      <c r="E2453" s="106" t="inlineStr">
        <is>
          <t>Tên sheet</t>
        </is>
      </c>
      <c r="F2453" s="390" t="inlineStr">
        <is>
          <t>Data Explorer</t>
        </is>
      </c>
      <c r="G2453" s="390" t="inlineStr">
        <is>
          <t>Chiều</t>
        </is>
      </c>
      <c r="H2453" s="390" t="inlineStr">
        <is>
          <t>Dễ</t>
        </is>
      </c>
      <c r="I2453" s="390" t="inlineStr">
        <is>
          <t>Ngày, CTCK</t>
        </is>
      </c>
      <c r="J2453" s="401" t="inlineStr">
        <is>
          <t>SCMS</t>
        </is>
      </c>
      <c r="K2453" s="401" t="inlineStr">
        <is>
          <t>X</t>
        </is>
      </c>
      <c r="L2453" s="401" t="inlineStr">
        <is>
          <t>X</t>
        </is>
      </c>
      <c r="M2453" s="401" t="n"/>
      <c r="N2453" s="401" t="inlineStr">
        <is>
          <t>Done</t>
        </is>
      </c>
      <c r="O2453" s="401" t="n"/>
      <c r="P2453" s="22" t="n"/>
      <c r="S2453" s="22" t="n"/>
      <c r="U2453" s="16" t="n"/>
      <c r="V2453" s="22" t="n"/>
      <c r="W2453" s="22" t="n"/>
      <c r="X2453" s="22" t="n"/>
      <c r="Y2453" s="13" t="n"/>
      <c r="Z2453" s="22" t="n"/>
      <c r="AA2453" s="22" t="n"/>
      <c r="AB2453" s="22" t="n"/>
      <c r="AC2453" s="22" t="n"/>
      <c r="AD2453" s="22" t="n"/>
      <c r="AE2453" s="22" t="n"/>
    </row>
    <row r="2454" ht="70" customHeight="1" s="380">
      <c r="A2454" s="126" t="n">
        <v>102</v>
      </c>
      <c r="B2454" s="390" t="n"/>
      <c r="C2454" s="390" t="inlineStr">
        <is>
          <t>Báo cáo theo Thông tư 121/2020/TT-BTC &gt;&gt; Báo cáo tỷ lệ An toàn tài chính &gt;&gt; Bảng tính giá trị rủi ro (Rủi ro thị trường)</t>
        </is>
      </c>
      <c r="D2454" s="106" t="inlineStr">
        <is>
          <t>Mã chỉ tiêu</t>
        </is>
      </c>
      <c r="E2454" s="107" t="inlineStr">
        <is>
          <t>Mã chỉ tiêu</t>
        </is>
      </c>
      <c r="F2454" s="390" t="inlineStr">
        <is>
          <t>Data Explorer</t>
        </is>
      </c>
      <c r="G2454" s="390" t="inlineStr">
        <is>
          <t>Chiều</t>
        </is>
      </c>
      <c r="H2454" s="390" t="inlineStr">
        <is>
          <t>Dễ</t>
        </is>
      </c>
      <c r="I2454" s="390" t="inlineStr">
        <is>
          <t>Ngày, CTCK</t>
        </is>
      </c>
      <c r="J2454" s="401" t="inlineStr">
        <is>
          <t>SCMS</t>
        </is>
      </c>
      <c r="K2454" s="401" t="inlineStr">
        <is>
          <t>X</t>
        </is>
      </c>
      <c r="L2454" s="401" t="inlineStr">
        <is>
          <t>X</t>
        </is>
      </c>
      <c r="M2454" s="401" t="n"/>
      <c r="N2454" s="401" t="inlineStr">
        <is>
          <t>Done</t>
        </is>
      </c>
      <c r="O2454" s="401" t="n"/>
      <c r="P2454" s="22" t="n"/>
      <c r="Q2454" s="401" t="inlineStr">
        <is>
          <t>SCMS.BM_BAO_CAO
SCMS.BM_SHEET
SCMS.BM_BAO_CAO_CT
SCMS.DM_CHI_TIEU</t>
        </is>
      </c>
      <c r="R2454" s="402" t="inlineStr">
        <is>
          <t>dct.ID,
dct.MA_CHI_TIEU,
dct.TEN_CHI_TIEU,
dct.SU_DUNG,
s.BM_BAO_CAO_ID,
s.MA_SHEET,
ct.BM_BAO_CAO_ID,
ct.DM_CHI_TIEU_ID,
ct.SU_DUNG,
bm.ID,
bm.MA_BAO_CAO,
bm.SU_DUNG</t>
        </is>
      </c>
      <c r="S2454" s="22" t="n"/>
      <c r="T2454" s="389" t="inlineStr">
        <is>
          <t>-- Mã chỉ tiêu / Tên chỉ tiêu
SELECT DISTINCT
    dct.MA_CHI_TIEU  AS ma_chi_tieu,
    dct.TEN_CHI_TIEU AS ten_chi_tieu
FROM SCMS.BM_BAO_CAO bm
JOIN SCMS.BM_SHEET s ON s.BM_BAO_CAO_ID = bm.ID
	AND s.MA_SHEET = '06H02'
JOIN SCMS.BM_BAO_CAO_CT ct ON ct.BM_SHEET_ID = s.ID
	AND ct.SU_DUNG = 1
JOIN SCMS.DM_CHI_TIEU dct ON dct.ID = ct.DM_CHI_TIEU_ID
	AND dct.SU_DUNG = 1
WHERE bm.MA_BAO_CAO LIKE 'BCTLAT_TT102/2025'
	AND bm.SU_DUNG = 1
ORDER BY dct.MA_CHI_TIEU;</t>
        </is>
      </c>
      <c r="U2454" s="16" t="n"/>
      <c r="V2454" s="22" t="n"/>
      <c r="W2454" s="22" t="n"/>
      <c r="X2454" s="22" t="n"/>
      <c r="Y2454" s="13" t="n"/>
      <c r="Z2454" s="22" t="n"/>
      <c r="AA2454" s="22" t="n"/>
      <c r="AB2454" s="22" t="n"/>
      <c r="AC2454" s="22" t="n"/>
      <c r="AD2454" s="22" t="n"/>
      <c r="AE2454" s="22" t="n"/>
    </row>
    <row r="2455" ht="70" customHeight="1" s="380">
      <c r="A2455" s="126" t="n">
        <v>102</v>
      </c>
      <c r="B2455" s="390" t="n"/>
      <c r="C2455" s="390" t="inlineStr">
        <is>
          <t>Báo cáo theo Thông tư 121/2020/TT-BTC &gt;&gt; Báo cáo tỷ lệ An toàn tài chính &gt;&gt; Bảng tính giá trị rủi ro (Rủi ro thị trường)</t>
        </is>
      </c>
      <c r="D2455" s="106" t="inlineStr">
        <is>
          <t>Tên chỉ tiêu</t>
        </is>
      </c>
      <c r="E2455" s="107" t="inlineStr">
        <is>
          <t>Tên chỉ tiêu</t>
        </is>
      </c>
      <c r="F2455" s="390" t="inlineStr">
        <is>
          <t>Data Explorer</t>
        </is>
      </c>
      <c r="G2455" s="390" t="inlineStr">
        <is>
          <t>Chiều</t>
        </is>
      </c>
      <c r="H2455" s="390" t="inlineStr">
        <is>
          <t>Dễ</t>
        </is>
      </c>
      <c r="I2455" s="390" t="inlineStr">
        <is>
          <t>Ngày, CTCK</t>
        </is>
      </c>
      <c r="J2455" s="401" t="inlineStr">
        <is>
          <t>SCMS</t>
        </is>
      </c>
      <c r="K2455" s="401" t="inlineStr">
        <is>
          <t>X</t>
        </is>
      </c>
      <c r="L2455" s="401" t="inlineStr">
        <is>
          <t>X</t>
        </is>
      </c>
      <c r="M2455" s="401" t="n"/>
      <c r="N2455" s="401" t="inlineStr">
        <is>
          <t>Done</t>
        </is>
      </c>
      <c r="O2455" s="401" t="n"/>
      <c r="P2455" s="22" t="n"/>
      <c r="S2455" s="22" t="n"/>
      <c r="U2455" s="16" t="n"/>
      <c r="V2455" s="22" t="n"/>
      <c r="W2455" s="22" t="n"/>
      <c r="X2455" s="22" t="n"/>
      <c r="Y2455" s="13" t="n"/>
      <c r="Z2455" s="22" t="n"/>
      <c r="AA2455" s="22" t="n"/>
      <c r="AB2455" s="22" t="n"/>
      <c r="AC2455" s="22" t="n"/>
      <c r="AD2455" s="22" t="n"/>
      <c r="AE2455" s="22" t="n"/>
    </row>
    <row r="2456" ht="70" customHeight="1" s="380">
      <c r="A2456" s="126" t="n">
        <v>102</v>
      </c>
      <c r="B2456" s="390" t="n"/>
      <c r="C2456" s="390" t="inlineStr">
        <is>
          <t>Báo cáo theo Thông tư 121/2020/TT-BTC &gt;&gt; Báo cáo tỷ lệ An toàn tài chính &gt;&gt; Bảng tính giá trị rủi ro (Rủi ro thị trường)</t>
        </is>
      </c>
      <c r="D2456" s="390" t="inlineStr">
        <is>
          <t xml:space="preserve">Tiền và các khoản tương đương tiền, công cụ thị trường tiền tệ 
</t>
        </is>
      </c>
      <c r="E2456" s="401" t="inlineStr">
        <is>
          <t xml:space="preserve">Tiền và các khoản tương đương tiền, công cụ thị trường tiền tệ 
</t>
        </is>
      </c>
      <c r="F2456" s="390" t="inlineStr">
        <is>
          <t>Data Explorer</t>
        </is>
      </c>
      <c r="G2456" s="390" t="inlineStr">
        <is>
          <t>Chỉ tiêu cơ sở</t>
        </is>
      </c>
      <c r="H2456" s="390" t="inlineStr">
        <is>
          <t>TB</t>
        </is>
      </c>
      <c r="I2456" s="390" t="inlineStr">
        <is>
          <t>Ngày, CTCK</t>
        </is>
      </c>
      <c r="J2456" s="401" t="inlineStr">
        <is>
          <t>SCMS</t>
        </is>
      </c>
      <c r="K2456" s="401" t="n"/>
      <c r="L2456" s="401" t="inlineStr">
        <is>
          <t>X</t>
        </is>
      </c>
      <c r="M2456" s="401" t="n"/>
      <c r="N2456" s="401" t="inlineStr">
        <is>
          <t>Done</t>
        </is>
      </c>
      <c r="O2456" s="401" t="n"/>
      <c r="P2456" s="22" t="n"/>
      <c r="Q2456" s="431" t="inlineStr">
        <is>
          <t>SCMS.BC_THANH_VIEN
SCMS.BM_BAO_CAO
SCMS.BC_BAO_CAO_GT
SCMS.BM_BAO_CAO_HANG
SCMS.BM_BAO_CAO_COT</t>
        </is>
      </c>
      <c r="R2456" s="431" t="inlineStr">
        <is>
          <t>bsc.TEN_COT,
bsc.BM_SHEET_ID,
bsh.ID,
bsh.MA_HANG,
gt.GIA_TRI,
gt.BC_THANH_VIEN_ID,
gt.BM_SHEET_HANG_ID,
bm.ID,
bm.MA_BAO_CAO,
btv.ID,
btv.BM_BAO_CAO_ID,
btv.TRANG_THAI,
btv.NGAY_SO_LIEU</t>
        </is>
      </c>
      <c r="S2456" s="22" t="n"/>
      <c r="T2456" s="432" t="inlineStr">
        <is>
          <t xml:space="preserve">-- CHỈ TIÊU
SELECT
	-- Hệ số rủi ro
    MAX(CASE WHEN bsc.TEN_COT=N'Hệ số rủi ro' AND bsh.MA_HANG = '1' THEN CAST(gt.GIA_TRI AS VARCHAR2(4000)) END) AS "Tiền và các khoản tương đương tiền, công cụ thị trường tiền tệ",
	MAX(CASE WHEN bsc.TEN_COT=N'Hệ số rủi ro' AND bsh.MA_HANG = '2' THEN CAST(gt.GIA_TRI AS VARCHAR2(4000)) END) AS "Tiền mặt (VND)",
	MAX(CASE WHEN bsc.TEN_COT=N'Hệ số rủi ro' AND bsh.MA_HANG = '3' THEN CAST(gt.GIA_TRI AS VARCHAR2(4000)) END) AS "Các khoản tương đương tiền",
	MAX(CASE WHEN bsc.TEN_COT=N'Hệ số rủi ro' AND bsh.MA_HANG = '4' THEN CAST(gt.GIA_TRI AS VARCHAR2(4000)) END) AS "Giấy tờ có giá, công cụ chuyển nhượng trên thị trường tiền tệ, chứng chỉ tiền gửi",
	MAX(CASE WHEN bsc.TEN_COT=N'Hệ số rủi ro' AND bsh.MA_HANG = '5' THEN CAST(gt.GIA_TRI AS VARCHAR2(4000)) END) AS "Trái phiếu Chính phủ",
	MAX(CASE WHEN bsc.TEN_COT=N'Hệ số rủi ro' AND bsh.MA_HANG = '6' THEN CAST(gt.GIA_TRI AS VARCHAR2(4000)) END) AS "Trái phiếu Chính phủ không trả lãi",
	MAX(CASE WHEN bsc.TEN_COT=N'Hệ số rủi ro' AND bsh.MA_HANG = '7' THEN CAST(gt.GIA_TRI AS VARCHAR2(4000)) END) AS "Trái phiếu Chính phủ (bao gồm công trái và trái phiếu công trình đã phát hành trước đây)",  -- DB cũ: MA_HANG = '8'
	MAX(CASE WHEN bsc.TEN_COT=N'Hệ số rủi ro' AND bsh.MA_HANG = '8' THEN CAST(gt.GIA_TRI AS VARCHAR2(4000)) END) AS "Trái phiếu tổ chức tín dụng có thời gian đáo hạn còn lại dưới 1 năm", -- DB cũ: MA_HANG = '10'
	MAX(CASE WHEN bsc.TEN_COT=N'Hệ số rủi ro' AND bsh.MA_HANG = '9' THEN CAST(gt.GIA_TRI AS VARCHAR2(4000)) END) AS "Trái phiếu tổ chức tín dụng",  -- DB cũ không có
	MAX(CASE WHEN bsc.TEN_COT=N'Hệ số rủi ro' AND bsh.MA_HANG = '10' THEN CAST(gt.GIA_TRI AS VARCHAR2(4000)) END) AS "Trái phiếu tổ chức tín dụng có thời gian đáo hạn còn từ 1 năm đến dưới 3 năm",
	MAX(CASE WHEN bsc.TEN_COT=N'Hệ số rủi ro' AND bsh.MA_HANG = '11' THEN CAST(gt.GIA_TRI AS VARCHAR2(4000)) END) AS "Trái phiếu tổ chức tín dụng có thời gian đáo hạn còn lại từ 3 năm đến dưới 5 năm",
	MAX(CASE WHEN bsc.TEN_COT=N'Hệ số rủi ro' AND bsh.MA_HANG = '12' THEN CAST(gt.GIA_TRI AS VARCHAR2(4000)) END) AS "Trái phiếu tổ chức tín dụng có thời gian đáo hạn còn lại từ 5 năm trở lên",
	MAX(CASE WHEN bsc.TEN_COT=N'Hệ số rủi ro' AND bsh.MA_HANG = '13' THEN CAST(gt.GIA_TRI AS VARCHAR2(4000)) END) AS "Trái phiếu doanh nghiệp",
	MAX(CASE WHEN bsc.TEN_COT=N'Hệ số rủi ro' AND bsh.MA_HANG = '14' THEN CAST(gt.GIA_TRI AS VARCHAR2(4000)) END) AS "Trái phiếu doanh nghiệp niêm yết",
	MAX(CASE WHEN bsc.TEN_COT=N'Hệ số rủi ro' AND bsh.MA_HANG = '15' THEN CAST(gt.GIA_TRI AS VARCHAR2(4000)) END) AS "Trái phiếu niêm yết có thời gian đáo hạn còn lại dưới 1 năm",
	MAX(CASE WHEN bsc.TEN_COT=N'Hệ số rủi ro' AND bsh.MA_HANG = '16' THEN CAST(gt.GIA_TRI AS VARCHAR2(4000)) END) AS "Trái phiếu niêm yết có thời gian đáo hạn còn lại từ 1 năm đến dưới 3 năm",
	MAX(CASE WHEN bsc.TEN_COT=N'Hệ số rủi ro' AND bsh.MA_HANG = '17' THEN CAST(gt.GIA_TRI AS VARCHAR2(4000)) END) AS "Trái phiếu niêm yết có thời gian đáo hạn còn lại từ 3 năm đến dưới 5 năm",
	MAX(CASE WHEN bsc.TEN_COT=N'Hệ số rủi ro' AND bsh.MA_HANG = '18' THEN CAST(gt.GIA_TRI AS VARCHAR2(4000)) END) AS "Trái phiếu niêm yết có thời gian đáo hạn còn lại từ 5 năm trở lên",
	MAX(CASE WHEN bsc.TEN_COT=N'Hệ số rủi ro' AND bsh.MA_HANG = '19' THEN CAST(gt.GIA_TRI AS VARCHAR2(4000)) END) AS "Trái phiếu doanh nghiệp không niêm yết",  -- DB cũ là "chưa niêm yết"
	MAX(CASE WHEN bsc.TEN_COT=N'Hệ số rủi ro' AND bsh.MA_HANG = '20' THEN CAST(gt.GIA_TRI AS VARCHAR2(4000)) END) AS "Trái phiếu không niêm yết do doanh nghiệp niêm yết phát hành có thời gian đáo hạn còn lại dưới 1 năm",
	MAX(CASE WHEN bsc.TEN_COT=N'Hệ số rủi ro' AND bsh.MA_HANG = '21' THEN CAST(gt.GIA_TRI AS VARCHAR2(4000)) END) AS "Trái phiếu không niêm yết do doanh nghiệp niêm yết phát hành có thời gian đáo hạn còn lại từ 1 năm đến dưới 3 năm",
	MAX(CASE WHEN bsc.TEN_COT=N'Hệ số rủi ro' AND bsh.MA_HANG = '22' THEN CAST(gt.GIA_TRI AS VARCHAR2(4000)) END) AS "Trái phiếu không niêm yết do doanh nghiệp niêm yết phát hành có thời gian đáo hạn còn lại từ 3 năm đến dưới 5 năm",
	MAX(CASE WHEN bsc.TEN_COT=N'Hệ số rủi ro' AND bsh.MA_HANG = '23' THEN CAST(gt.GIA_TRI AS VARCHAR2(4000)) END) AS "Trái phiếu không niêm yết do doanh nghiệp niêm yết phát hành có thời gian đáo hạn còn lại từ 5 năm trở lên",
	MAX(CASE WHEN bsc.TEN_COT=N'Hệ số rủi ro' AND bsh.MA_HANG = '24' THEN CAST(gt.GIA_TRI AS VARCHAR2(4000)) END) AS "Trái phiếu không niêm yết do doanh nghiệp khác phát hành có thời gian đáo hạn còn lại dưới 1 năm",
	MAX(CASE WHEN bsc.TEN_COT=N'Hệ số rủi ro' AND bsh.MA_HANG = '25' THEN CAST(gt.GIA_TRI AS VARCHAR2(4000)) END) AS "Trái phiếu không niêm yết do doanh nghiệp khác phát hành có thời gian đáo hạn còn lại từ 1 năm đến dưới 3 năm",
	MAX(CASE WHEN bsc.TEN_COT=N'Hệ số rủi ro' AND bsh.MA_HANG = '26' THEN CAST(gt.GIA_TRI AS VARCHAR2(4000)) END) AS "Trái phiếu không niêm yết do doanh nghiệp khác phát hành có thời gian đáo hạn còn lại từ 3 năm đến dưới 5 năm",
	MAX(CASE WHEN bsc.TEN_COT=N'Hệ số rủi ro' AND bsh.MA_HANG = '27' THEN CAST(gt.GIA_TRI AS VARCHAR2(4000)) END) AS "Trái phiếu không niêm yết do doanh nghiệp khác phát hành có thời gian đáo hạn còn lại từ 5 năm trở lên",
	MAX(CASE WHEN bsc.TEN_COT=N'Hệ số rủi ro' AND bsh.MA_HANG = '28' THEN CAST(gt.GIA_TRI AS VARCHAR2(4000)) END) AS "Liệt kê kết quả xếp hạng tín nhiệm đối với trái phiếu/tổ chức phát hành",
	MAX(CASE WHEN bsc.TEN_COT=N'Hệ số rủi ro' AND bsh.MA_HANG = '29' THEN CAST(gt.GIA_TRI AS VARCHAR2(4000)) END) AS "Cổ phiếu",
	MAX(CASE WHEN bsc.TEN_COT=N'Hệ số rủi ro' AND bsh.MA_HANG = '30' THEN CAST(gt.GIA_TRI AS VARCHAR2(4000)) END) AS "Cổ phiếu phổ thông, cổ phiếu ưu đãi của các tổ chức niêm yết tại Sở giao dịch chứng khoán",
	MAX(CASE WHEN bsc.TEN_COT=N'Hệ số rủi ro' AND bsh.MA_HANG = '31' THEN CAST(gt.GIA_TRI AS VARCHAR2(4000)) END) AS "Cổ phiếu phổ thông, cổ phiếu ưu đãi của các công ty đại chúng chưa niêm yết và đã đăng ký giao dịch qua hệ thống UpCom",
	MAX(CASE WHEN bsc.TEN_COT=N'Hệ số rủi ro' AND bsh.MA_HANG = '32' THEN CAST(gt.GIA_TRI AS VARCHAR2(4000)) END) AS "Cổ phiếu phổ thông, cổ phiếu ưu đãi của các công ty đại chúng đã đăng ký lưu ký, nhưng chưa niêm yết hoặc đăng ký giao dịch; cổ phiếu đang trong đợt phát hành lần đầu (IPO)",
	MAX(CASE WHEN bsc.TEN_COT=N'Hệ số rủi ro' AND bsh.MA_HANG = '33' THEN CAST(gt.GIA_TRI AS VARCHAR2(4000)) END) AS "Chứng chỉ quỹ đầu tư chứng khoán",
	MAX(CASE WHEN bsc.TEN_COT=N'Hệ số rủi ro' AND bsh.MA_HANG = '34' THEN CAST(gt.GIA_TRI AS VARCHAR2(4000)) END) AS "Quỹ đại chúng, công ty đầu tư chứng khoán đại chúng",
	MAX(CASE WHEN bsc.TEN_COT=N'Hệ số rủi ro' AND bsh.MA_HANG = '35' THEN CAST(gt.GIA_TRI AS VARCHAR2(4000)) END) AS "Quỹ thành viên",
	MAX(CASE WHEN bsc.TEN_COT=N'Hệ số rủi ro' AND bsh.MA_HANG = '36' THEN CAST(gt.GIA_TRI AS VARCHAR2(4000)) END) AS "Công ty đầu tư chứng khoán riêng lẻ",
	MAX(CASE WHEN bsc.TEN_COT=N'Hệ số rủi ro' AND bsh.MA_HANG = '37' THEN CAST(gt.GIA_TRI AS VARCHAR2(4000)) END) AS "Chứng khoán bị hạn chế giao dịch",
	MAX(CASE WHEN bsc.TEN_COT=N'Hệ số rủi ro' AND bsh.MA_HANG = '38' THEN CAST(gt.GIA_TRI AS VARCHAR2(4000)) END) AS "Chứng khoán bị cảnh báo",
	MAX(CASE WHEN bsc.TEN_COT=N'Hệ số rủi ro' AND bsh.MA_HANG = '39' THEN CAST(gt.GIA_TRI AS VARCHAR2(4000)) END) AS "Chứng khoán bị kiểm soát",
	MAX(CASE WHEN bsc.TEN_COT=N'Hệ số rủi ro' AND bsh.MA_HANG = '40' THEN CAST(gt.GIA_TRI AS VARCHAR2(4000)) END) AS "Chứng khoán niêm yết bị kiểm soát",
	MAX(CASE WHEN bsc.TEN_COT=N'Hệ số rủi ro' AND bsh.MA_HANG = '41' THEN CAST(gt.GIA_TRI AS VARCHAR2(4000)) END) AS "Chứng khoán bị đình chỉ giao dịch",
	MAX(CASE WHEN bsc.TEN_COT=N'Hệ số rủi ro' AND bsh.MA_HANG = '42' THEN CAST(gt.GIA_TRI AS VARCHAR2(4000)) END) AS "Chứng khoán bị hủy niêm yết, hủy giao dịch",
	MAX(CASE WHEN bsc.TEN_COT=N'Hệ số rủi ro' AND bsh.MA_HANG = '43' THEN CAST(gt.GIA_TRI AS VARCHAR2(4000)) END) AS "Chứng khoán phái sinh",
	MAX(CASE WHEN bsc.TEN_COT=N'Hệ số rủi ro' AND bsh.MA_HANG = '44' THEN CAST(gt.GIA_TRI AS VARCHAR2(4000)) END) AS "Hợp đồng tương lai chỉ số cổ phiếu",
	MAX(CASE WHEN bsc.TEN_COT=N'Hệ số rủi ro' AND bsh.MA_HANG = '45' THEN CAST(gt.GIA_TRI AS VARCHAR2(4000)) END) AS "Cách tính: Giá trị rủi ro, Giá trị thanh toán cuối ngày",
	MAX(CASE WHEN bsc.TEN_COT=N'Hệ số rủi ro' AND bsh.MA_HANG = '46' THEN CAST(gt.GIA_TRI AS VARCHAR2(4000)) END) AS "Hợp đồng tương lai trái phiếu chính phủ",
	MAX(CASE WHEN bsc.TEN_COT=N'Hệ số rủi ro' AND bsh.MA_HANG = '47' THEN CAST(gt.GIA_TRI AS VARCHAR2(4000)) END) AS "Cách tính: Giá trị rủi ro, Giá trị thanh toán cuối ngày",
	MAX(CASE WHEN bsc.TEN_COT=N'Hệ số rủi ro' AND bsh.MA_HANG = '48' THEN CAST(gt.GIA_TRI AS VARCHAR2(4000)) END) AS "Chứng khoán khác",
	MAX(CASE WHEN bsc.TEN_COT=N'Hệ số rủi ro' AND bsh.MA_HANG = '49' THEN CAST(gt.GIA_TRI AS VARCHAR2(4000)) END) AS "Cổ phiếu niêm yết trên các thị trường nước ngoài thuộc chỉ số đạt chuẩn/các chỉ số được liệt kê tại Phụ lục VIII",
	MAX(CASE WHEN bsc.TEN_COT=N'Hệ số rủi ro' AND bsh.MA_HANG = '50' THEN CAST(gt.GIA_TRI AS VARCHAR2(4000)) END) AS "Cổ phiếu niêm yết trên các thị trường nước ngoài không thuộc các chỉ số đạt chuẩn/các chỉ số được liệt kê tại Phụ lục VIII",
	MAX(CASE WHEN bsc.TEN_COT=N'Hệ số rủi ro' AND bsh.MA_HANG = '51' THEN CAST(gt.GIA_TRI AS VARCHAR2(4000)) END) AS "Chứng quyền có bảo đảm niêm yết trên Sở giao dịch chứng khoán Thành phố Hồ Chí Minh",
	MAX(CASE WHEN bsc.TEN_COT=N'Hệ số rủi ro' AND bsh.MA_HANG = '52' THEN CAST(gt.GIA_TRI AS VARCHAR2(4000)) END) AS "Giao dịch chênh lệch giá",
	MAX(CASE WHEN bsc.TEN_COT=N'Hệ số rủi ro' AND bsh.MA_HANG = '53' THEN CAST(gt.GIA_TRI AS VARCHAR2(4000)) END) AS "Cổ phần, phần vốn góp, các loại chứng khoán khác và các tài sản đầu tư khác",
	MAX(CASE WHEN bsc.TEN_COT=N'Hệ số rủi ro' AND bsh.MA_HANG = '54' THEN CAST(gt.GIA_TRI AS VARCHAR2(4000)) END) AS "Chứng quyền có bảo đảm do công ty chứng khoán phát hành",
	MAX(CASE WHEN bsc.TEN_COT=N'Hệ số rủi ro' AND bsh.MA_HANG = '55' THEN CAST(gt.GIA_TRI AS VARCHAR2(4000)) END) AS "Cách tính: Giá trị rủi ro thị trường",
	MAX(CASE WHEN bsc.TEN_COT=N'Hệ số rủi ro' AND bsh.MA_HANG = '56' THEN CAST(gt.GIA_TRI AS VARCHAR2(4000)) END) AS "Chứng khoán hình thành từ hoạt động phòng ngừa rủi ro cho chứng quyền có bảo đảm do công ty chứng khoán đã phát hành",
	MAX(CASE WHEN bsc.TEN_COT=N'Hệ số rủi ro' AND bsh.MA_HANG = '57' THEN CAST(gt.GIA_TRI AS VARCHAR2(4000)) END) AS "Phần chênh lệch dương giữa giá trị chứng khoán cơ sở dùng để phòng ngừa rủi ro và giá trị chứng khoán cơ sở cần thiết để phòng ngừa rủi ro cho chứng quyền có bảo đảm",
	MAX(CASE WHEN bsc.TEN_COT=N'Hệ số rủi ro' AND bsh.MA_HANG = '58' THEN CAST(gt.GIA_TRI AS VARCHAR2(4000)) END) AS "Rủi ro tăng thêm (nếu có)",
	MAX(CASE WHEN bsc.TEN_COT=N'Hệ số rủi ro' AND bsh.MA_HANG = '59' THEN CAST(gt.GIA_TRI AS VARCHAR2(4000)) END) AS "Mã chứng khoán",
	MAX(CASE WHEN bsc.TEN_COT=N'Hệ số rủi ro' AND bsh.MA_HANG = '60' THEN CAST(gt.GIA_TRI AS VARCHAR2(4000)) END) AS "TỔNG GIÁ TRỊ RỦI RO THỊ TRƯỜNG (A= I+II+III+IV+V+VI+VII+VIII+IX)",
    -- Quy mô rủi ro
    MAX(CASE WHEN bsc.TEN_COT=N'Quy mô rủi ro' AND bsh.MA_HANG = '1' THEN CAST(gt.GIA_TRI AS VARCHAR2(4000)) END) AS "Tiền và các khoản tương đương tiền, công cụ thị trường tiền tệ",
	MAX(CASE WHEN bsc.TEN_COT=N'Quy mô rủi ro' AND bsh.MA_HANG = '2' THEN CAST(gt.GIA_TRI AS VARCHAR2(4000)) END) AS "Tiền mặt (VND)",
	MAX(CASE WHEN bsc.TEN_COT=N'Quy mô rủi ro' AND bsh.MA_HANG = '3' THEN CAST(gt.GIA_TRI AS VARCHAR2(4000)) END) AS "Các khoản tương đương tiền",
	MAX(CASE WHEN bsc.TEN_COT=N'Quy mô rủi ro' AND bsh.MA_HANG = '4' THEN CAST(gt.GIA_TRI AS VARCHAR2(4000)) END) AS "Giấy tờ có giá, công cụ chuyển nhượng trên thị trường tiền tệ, chứng chỉ tiền gửi",
	MAX(CASE WHEN bsc.TEN_COT=N'Quy mô rủi ro' AND bsh.MA_HANG = '5' THEN CAST(gt.GIA_TRI AS VARCHAR2(4000)) END) AS "Trái phiếu Chính phủ",
	MAX(CASE WHEN bsc.TEN_COT=N'Quy mô rủi ro' AND bsh.MA_HANG = '6' THEN CAST(gt.GIA_TRI AS VARCHAR2(4000)) END) AS "Trái phiếu Chính phủ không trả lãi",
	MAX(CASE WHEN bsc.TEN_COT=N'Quy mô rủi ro' AND bsh.MA_HANG = '7' THEN CAST(gt.GIA_TRI AS VARCHAR2(4000)) END) AS "Trái phiếu Chính phủ (bao gồm công trái và trái phiếu công trình đã phát hành trước đây)",  -- DB cũ: MA_HANG = '8'
	MAX(CASE WHEN bsc.TEN_COT=N'Quy mô rủi ro' AND bsh.MA_HANG = '8' THEN CAST(gt.GIA_TRI AS VARCHAR2(4000)) END) AS "Trái phiếu tổ chức tín dụng có thời gian đáo hạn còn lại dưới 1 năm", -- DB cũ: MA_HANG = '10'
	MAX(CASE WHEN bsc.TEN_COT=N'Quy mô rủi ro' AND bsh.MA_HANG = '9' THEN CAST(gt.GIA_TRI AS VARCHAR2(4000)) END) AS "Trái phiếu tổ chức tín dụng",  -- DB cũ không có
	MAX(CASE WHEN bsc.TEN_COT=N'Quy mô rủi ro' AND bsh.MA_HANG = '10' THEN CAST(gt.GIA_TRI AS VARCHAR2(4000)) END) AS "Trái phiếu tổ chức tín dụng có thời gian đáo hạn còn từ 1 năm đến dưới 3 năm",
	MAX(CASE WHEN bsc.TEN_COT=N'Quy mô rủi ro' AND bsh.MA_HANG = '11' THEN CAST(gt.GIA_TRI AS VARCHAR2(4000)) END) AS "Trái phiếu tổ chức tín dụng có thời gian đáo hạn còn lại từ 3 năm đến dưới 5 năm",
	MAX(CASE WHEN bsc.TEN_COT=N'Quy mô rủi ro' AND bsh.MA_HANG = '12' THEN CAST(gt.GIA_TRI AS VARCHAR2(4000)) END) AS "Trái phiếu tổ chức tín dụng có thời gian đáo hạn còn lại từ 5 năm trở lên",
	MAX(CASE WHEN bsc.TEN_COT=N'Quy mô rủi ro' AND bsh.MA_HANG = '13' THEN CAST(gt.GIA_TRI AS VARCHAR2(4000)) END) AS "Trái phiếu doanh nghiệp",
	MAX(CASE WHEN bsc.TEN_COT=N'Quy mô rủi ro' AND bsh.MA_HANG = '14' THEN CAST(gt.GIA_TRI AS VARCHAR2(4000)) END) AS "Trái phiếu doanh nghiệp niêm yết",
	MAX(CASE WHEN bsc.TEN_COT=N'Quy mô rủi ro' AND bsh.MA_HANG = '15' THEN CAST(gt.GIA_TRI AS VARCHAR2(4000)) END) AS "Trái phiếu niêm yết có thời gian đáo hạn còn lại dưới 1 năm",
	MAX(CASE WHEN bsc.TEN_COT=N'Quy mô rủi ro' AND bsh.MA_HANG = '16' THEN CAST(gt.GIA_TRI AS VARCHAR2(4000)) END) AS "Trái phiếu niêm yết có thời gian đáo hạn còn lại từ 1 năm đến dưới 3 năm",
	MAX(CASE WHEN bsc.TEN_COT=N'Quy mô rủi ro' AND bsh.MA_HANG = '17' THEN CAST(gt.GIA_TRI AS VARCHAR2(4000)) END) AS "Trái phiếu niêm yết có thời gian đáo hạn còn lại từ 3 năm đến dưới 5 năm",
	MAX(CASE WHEN bsc.TEN_COT=N'Quy mô rủi ro' AND bsh.MA_HANG = '18' THEN CAST(gt.GIA_TRI AS VARCHAR2(4000)) END) AS "Trái phiếu niêm yết có thời gian đáo hạn còn lại từ 5 năm trở lên",
	MAX(CASE WHEN bsc.TEN_COT=N'Quy mô rủi ro' AND bsh.MA_HANG = '19' THEN CAST(gt.GIA_TRI AS VARCHAR2(4000)) END) AS "Trái phiếu doanh nghiệp không niêm yết",  -- DB cũ là "chưa niêm yết"
	MAX(CASE WHEN bsc.TEN_COT=N'Quy mô rủi ro' AND bsh.MA_HANG = '20' THEN CAST(gt.GIA_TRI AS VARCHAR2(4000)) END) AS "Trái phiếu không niêm yết do doanh nghiệp niêm yết phát hành có thời gian đáo hạn còn lại dưới 1 năm",
	MAX(CASE WHEN bsc.TEN_COT=N'Quy mô rủi ro' AND bsh.MA_HANG = '21' THEN CAST(gt.GIA_TRI AS VARCHAR2(4000)) END) AS "Trái phiếu không niêm yết do doanh nghiệp niêm yết phát hành có thời gian đáo hạn còn lại từ 1 năm đến dưới 3 năm",
	MAX(CASE WHEN bsc.TEN_COT=N'Quy mô rủi ro' AND bsh.MA_HANG = '22' THEN CAST(gt.GIA_TRI AS VARCHAR2(4000)) END) AS "Trái phiếu không niêm yết do doanh nghiệp niêm yết phát hành có thời gian đáo hạn còn lại từ 3 năm đến dưới 5 năm",
	MAX(CASE WHEN bsc.TEN_COT=N'Quy mô rủi ro' AND bsh.MA_HANG = '23' THEN CAST(gt.GIA_TRI AS VARCHAR2(4000)) END) AS "Trái phiếu không niêm yết do doanh nghiệp niêm yết phát hành có thời gian đáo hạn còn lại từ 5 năm trở lên",
	MAX(CASE WHEN bsc.TEN_COT=N'Quy mô rủi ro' AND bsh.MA_HANG = '24' THEN CAST(gt.GIA_TRI AS VARCHAR2(4000)) END) AS "Trái phiếu không niêm yết do doanh nghiệp khác phát hành có thời gian đáo hạn còn lại dưới 1 năm",
	MAX(CASE WHEN bsc.TEN_COT=N'Quy mô rủi ro' AND bsh.MA_HANG = '25' THEN CAST(gt.GIA_TRI AS VARCHAR2(4000)) END) AS "Trái phiếu không niêm yết do doanh nghiệp khác phát hành có thời gian đáo hạn còn lại từ 1 năm đến dưới 3 năm",
	MAX(CASE WHEN bsc.TEN_COT=N'Quy mô rủi ro' AND bsh.MA_HANG = '26' THEN CAST(gt.GIA_TRI AS VARCHAR2(4000)) END) AS "Trái phiếu không niêm yết do doanh nghiệp khác phát hành có thời gian đáo hạn còn lại từ 3 năm đến dưới 5 năm",
	MAX(CASE WHEN bsc.TEN_COT=N'Quy mô rủi ro' AND bsh.MA_HANG = '27' THEN CAST(gt.GIA_TRI AS VARCHAR2(4000)) END) AS "Trái phiếu không niêm yết do doanh nghiệp khác phát hành có thời gian đáo hạn còn lại từ 5 năm trở lên",
	MAX(CASE WHEN bsc.TEN_COT=N'Quy mô rủi ro' AND bsh.MA_HANG = '28' THEN CAST(gt.GIA_TRI AS VARCHAR2(4000)) END) AS "Liệt kê kết quả xếp hạng tín nhiệm đối với trái phiếu/tổ chức phát hành",
	MAX(CASE WHEN bsc.TEN_COT=N'Quy mô rủi ro' AND bsh.MA_HANG = '29' THEN CAST(gt.GIA_TRI AS VARCHAR2(4000)) END) AS "Cổ phiếu",
	MAX(CASE WHEN bsc.TEN_COT=N'Quy mô rủi ro' AND bsh.MA_HANG = '30' THEN CAST(gt.GIA_TRI AS VARCHAR2(4000)) END) AS "Cổ phiếu phổ thông, cổ phiếu ưu đãi của các tổ chức niêm yết tại Sở giao dịch chứng khoán",
	MAX(CASE WHEN bsc.TEN_COT=N'Quy mô rủi ro' AND bsh.MA_HANG = '31' THEN CAST(gt.GIA_TRI AS VARCHAR2(4000)) END) AS "Cổ phiếu phổ thông, cổ phiếu ưu đãi của các công ty đại chúng chưa niêm yết và đã đăng ký giao dịch qua hệ thống UpCom",
	MAX(CASE WHEN bsc.TEN_COT=N'Quy mô rủi ro' AND bsh.MA_HANG = '32' THEN CAST(gt.GIA_TRI AS VARCHAR2(4000)) END) AS "Cổ phiếu phổ thông, cổ phiếu ưu đãi của các công ty đại chúng đã đăng ký lưu ký, nhưng chưa niêm yết hoặc đăng ký giao dịch; cổ phiếu đang trong đợt phát hành lần đầu (IPO)",
	MAX(CASE WHEN bsc.TEN_COT=N'Quy mô rủi ro' AND bsh.MA_HANG = '33' THEN CAST(gt.GIA_TRI AS VARCHAR2(4000)) END) AS "Chứng chỉ quỹ đầu tư chứng khoán",
	MAX(CASE WHEN bsc.TEN_COT=N'Quy mô rủi ro' AND bsh.MA_HANG = '34' THEN CAST(gt.GIA_TRI AS VARCHAR2(4000)) END) AS "Quỹ đại chúng, công ty đầu tư chứng khoán đại chúng",
	MAX(CASE WHEN bsc.TEN_COT=N'Quy mô rủi ro' AND bsh.MA_HANG = '35' THEN CAST(gt.GIA_TRI AS VARCHAR2(4000)) END) AS "Quỹ thành viên",
	MAX(CASE WHEN bsc.TEN_COT=N'Quy mô rủi ro' AND bsh.MA_HANG = '36' THEN CAST(gt.GIA_TRI AS VARCHAR2(4000)) END) AS "Công ty đầu tư chứng khoán riêng lẻ",
	MAX(CASE WHEN bsc.TEN_COT=N'Quy mô rủi ro' AND bsh.MA_HANG = '37' THEN CAST(gt.GIA_TRI AS VARCHAR2(4000)) END) AS "Chứng khoán bị hạn chế giao dịch",
	MAX(CASE WHEN bsc.TEN_COT=N'Quy mô rủi ro' AND bsh.MA_HANG = '38' THEN CAST(gt.GIA_TRI AS VARCHAR2(4000)) END) AS "Chứng khoán bị cảnh báo",
	MAX(CASE WHEN bsc.TEN_COT=N'Quy mô rủi ro' AND bsh.MA_HANG = '39' THEN CAST(gt.GIA_TRI AS VARCHAR2(4000)) END) AS "Chứng khoán bị kiểm soát",
	MAX(CASE WHEN bsc.TEN_COT=N'Quy mô rủi ro' AND bsh.MA_HANG = '40' THEN CAST(gt.GIA_TRI AS VARCHAR2(4000)) END) AS "Chứng khoán niêm yết bị kiểm soát",
	MAX(CASE WHEN bsc.TEN_COT=N'Quy mô rủi ro' AND bsh.MA_HANG = '41' THEN CAST(gt.GIA_TRI AS VARCHAR2(4000)) END) AS "Chứng khoán bị đình chỉ giao dịch",
	MAX(CASE WHEN bsc.TEN_COT=N'Quy mô rủi ro' AND bsh.MA_HANG = '42' THEN CAST(gt.GIA_TRI AS VARCHAR2(4000)) END) AS "Chứng khoán bị hủy niêm yết, hủy giao dịch",
	MAX(CASE WHEN bsc.TEN_COT=N'Quy mô rủi ro' AND bsh.MA_HANG = '43' THEN CAST(gt.GIA_TRI AS VARCHAR2(4000)) END) AS "Chứng khoán phái sinh",
	MAX(CASE WHEN bsc.TEN_COT=N'Quy mô rủi ro' AND bsh.MA_HANG = '44' THEN CAST(gt.GIA_TRI AS VARCHAR2(4000)) END) AS "Hợp đồng tương lai chỉ số cổ phiếu",
	MAX(CASE WHEN bsc.TEN_COT=N'Quy mô rủi ro' AND bsh.MA_HANG = '45' THEN CAST(gt.GIA_TRI AS VARCHAR2(4000)) END) AS "Cách tính: Giá trị rủi ro, Giá trị thanh toán cuối ngày",
	MAX(CASE WHEN bsc.TEN_COT=N'Quy mô rủi ro' AND bsh.MA_HANG = '46' THEN CAST(gt.GIA_TRI AS VARCHAR2(4000)) END) AS "Hợp đồng tương lai trái phiếu chính phủ",
	MAX(CASE WHEN bsc.TEN_COT=N'Quy mô rủi ro' AND bsh.MA_HANG = '47' THEN CAST(gt.GIA_TRI AS VARCHAR2(4000)) END) AS "Cách tính: Giá trị rủi ro, Giá trị thanh toán cuối ngày",
	MAX(CASE WHEN bsc.TEN_COT=N'Quy mô rủi ro' AND bsh.MA_HANG = '48' THEN CAST(gt.GIA_TRI AS VARCHAR2(4000)) END) AS "Chứng khoán khác",
	MAX(CASE WHEN bsc.TEN_COT=N'Quy mô rủi ro' AND bsh.MA_HANG = '49' THEN CAST(gt.GIA_TRI AS VARCHAR2(4000)) END) AS "Cổ phiếu niêm yết trên các thị trường nước ngoài thuộc chỉ số đạt chuẩn/các chỉ số được liệt kê tại Phụ lục VIII",
	MAX(CASE WHEN bsc.TEN_COT=N'Quy mô rủi ro' AND bsh.MA_HANG = '50' THEN CAST(gt.GIA_TRI AS VARCHAR2(4000)) END) AS "Cổ phiếu niêm yết trên các thị trường nước ngoài không thuộc các chỉ số đạt chuẩn/các chỉ số được liệt kê tại Phụ lục VIII",
	MAX(CASE WHEN bsc.TEN_COT=N'Quy mô rủi ro' AND bsh.MA_HANG = '51' THEN CAST(gt.GIA_TRI AS VARCHAR2(4000)) END) AS "Chứng quyền có bảo đảm niêm yết trên Sở giao dịch chứng khoán Thành phố Hồ Chí Minh",
	MAX(CASE WHEN bsc.TEN_COT=N'Quy mô rủi ro' AND bsh.MA_HANG = '52' THEN CAST(gt.GIA_TRI AS VARCHAR2(4000)) END) AS "Giao dịch chênh lệch giá",
	MAX(CASE WHEN bsc.TEN_COT=N'Quy mô rủi ro' AND bsh.MA_HANG = '53' THEN CAST(gt.GIA_TRI AS VARCHAR2(4000)) END) AS "Cổ phần, phần vốn góp, các loại chứng khoán khác và các tài sản đầu tư khác",
	MAX(CASE WHEN bsc.TEN_COT=N'Quy mô rủi ro' AND bsh.MA_HANG = '54' THEN CAST(gt.GIA_TRI AS VARCHAR2(4000)) END) AS "Chứng quyền có bảo đảm do công ty chứng khoán phát hành",
	MAX(CASE WHEN bsc.TEN_COT=N'Quy mô rủi ro' AND bsh.MA_HANG = '55' THEN CAST(gt.GIA_TRI AS VARCHAR2(4000)) END) AS "Cách tính: Giá trị rủi ro thị trường",
	MAX(CASE WHEN bsc.TEN_COT=N'Quy mô rủi ro' AND bsh.MA_HANG = '56' THEN CAST(gt.GIA_TRI AS VARCHAR2(4000)) END) AS "Chứng khoán hình thành từ hoạt động phòng ngừa rủi ro cho chứng quyền có bảo đảm do công ty chứng khoán đã phát hành",
	MAX(CASE WHEN bsc.TEN_COT=N'Quy mô rủi ro' AND bsh.MA_HANG = '57' THEN CAST(gt.GIA_TRI AS VARCHAR2(4000)) END) AS "Phần chênh lệch dương giữa giá trị chứng khoán cơ sở dùng để phòng ngừa rủi ro và giá trị chứng khoán cơ sở cần thiết để phòng ngừa rủi ro cho chứng quyền có bảo đảm",
	MAX(CASE WHEN bsc.TEN_COT=N'Quy mô rủi ro' AND bsh.MA_HANG = '58' THEN CAST(gt.GIA_TRI AS VARCHAR2(4000)) END) AS "Rủi ro tăng thêm (nếu có)",
	MAX(CASE WHEN bsc.TEN_COT=N'Quy mô rủi ro' AND bsh.MA_HANG = '59' THEN CAST(gt.GIA_TRI AS VARCHAR2(4000)) END) AS "Mã chứng khoán",
	MAX(CASE WHEN bsc.TEN_COT=N'Quy mô rủi ro' AND bsh.MA_HANG = '60' THEN CAST(gt.GIA_TRI AS VARCHAR2(4000)) END) AS "TỔNG GIÁ TRỊ RỦI RO THỊ TRƯỜNG (A= I+II+III+IV+V+VI+VII+VIII+IX)",
    -- Giá trị rủi ro
	MAX(CASE WHEN bsc.TEN_COT=N'Giá trị rủi ro' AND bsh.MA_HANG = '1' THEN CAST(gt.GIA_TRI AS VARCHAR2(4000)) END) AS "Tiền và các khoản tương đương tiền, công cụ thị trường tiền tệ",
	MAX(CASE WHEN bsc.TEN_COT=N'Giá trị rủi ro' AND bsh.MA_HANG = '2' THEN CAST(gt.GIA_TRI AS VARCHAR2(4000)) END) AS "Tiền mặt (VND)",
	MAX(CASE WHEN bsc.TEN_COT=N'Giá trị rủi ro' AND bsh.MA_HANG = '3' THEN CAST(gt.GIA_TRI AS VARCHAR2(4000)) END) AS "Các khoản tương đương tiền",
	MAX(CASE WHEN bsc.TEN_COT=N'Giá trị rủi ro' AND bsh.MA_HANG = '4' THEN CAST(gt.GIA_TRI AS VARCHAR2(4000)) END) AS "Giấy tờ có giá, công cụ chuyển nhượng trên thị trường tiền tệ, chứng chỉ tiền gửi",
	MAX(CASE WHEN bsc.TEN_COT=N'Giá trị rủi ro' AND bsh.MA_HANG = '5' THEN CAST(gt.GIA_TRI AS VARCHAR2(4000)) END) AS "Trái phiếu Chính phủ",
	MAX(CASE WHEN bsc.TEN_COT=N'Giá trị rủi ro' AND bsh.MA_HANG = '6' THEN CAST(gt.GIA_TRI AS VARCHAR2(4000)) END) AS "Trái phiếu Chính phủ không trả lãi",
	MAX(CASE WHEN bsc.TEN_COT=N'Giá trị rủi ro' AND bsh.MA_HANG = '7' THEN CAST(gt.GIA_TRI AS VARCHAR2(4000)) END) AS "Trái phiếu Chính phủ (bao gồm công trái và trái phiếu công trình đã phát hành trước đây)",  -- DB cũ: MA_HANG = '8'
	MAX(CASE WHEN bsc.TEN_COT=N'Giá trị rủi ro' AND bsh.MA_HANG = '8' THEN CAST(gt.GIA_TRI AS VARCHAR2(4000)) END) AS "Trái phiếu tổ chức tín dụng có thời gian đáo hạn còn lại dưới 1 năm", -- DB cũ: MA_HANG = '10'
	MAX(CASE WHEN bsc.TEN_COT=N'Giá trị rủi ro' AND bsh.MA_HANG = '9' THEN CAST(gt.GIA_TRI AS VARCHAR2(4000)) END) AS "Trái phiếu tổ chức tín dụng",  -- DB cũ không có
	MAX(CASE WHEN bsc.TEN_COT=N'Giá trị rủi ro' AND bsh.MA_HANG = '10' THEN CAST(gt.GIA_TRI AS VARCHAR2(4000)) END) AS "Trái phiếu tổ chức tín dụng có thời gian đáo hạn còn từ 1 năm đến dưới 3 năm",
	MAX(CASE WHEN bsc.TEN_COT=N'Giá trị rủi ro' AND bsh.MA_HANG = '11' THEN CAST(gt.GIA_TRI AS VARCHAR2(4000)) END) AS "Trái phiếu tổ chức tín dụng có thời gian đáo hạn còn lại từ 3 năm đến dưới 5 năm",
	MAX(CASE WHEN bsc.TEN_COT=N'Giá trị rủi ro' AND bsh.MA_HANG = '12' THEN CAST(gt.GIA_TRI AS VARCHAR2(4000)) END) AS "Trái phiếu tổ chức tín dụng có thời gian đáo hạn còn lại từ 5 năm trở lên",
	MAX(CASE WHEN bsc.TEN_COT=N'Giá trị rủi ro' AND bsh.MA_HANG = '13' THEN CAST(gt.GIA_TRI AS VARCHAR2(4000)) END) AS "Trái phiếu doanh nghiệp",
	MAX(CASE WHEN bsc.TEN_COT=N'Giá trị rủi ro' AND bsh.MA_HANG = '14' THEN CAST(gt.GIA_TRI AS VARCHAR2(4000)) END) AS "Trái phiếu doanh nghiệp niêm yết",
	MAX(CASE WHEN bsc.TEN_COT=N'Giá trị rủi ro' AND bsh.MA_HANG = '15' THEN CAST(gt.GIA_TRI AS VARCHAR2(4000)) END) AS "Trái phiếu niêm yết có thời gian đáo hạn còn lại dưới 1 năm",
	MAX(CASE WHEN bsc.TEN_COT=N'Giá trị rủi ro' AND bsh.MA_HANG = '16' THEN CAST(gt.GIA_TRI AS VARCHAR2(4000)) END) AS "Trái phiếu niêm yết có thời gian đáo hạn còn lại từ 1 năm đến dưới 3 năm",
	MAX(CASE WHEN bsc.TEN_COT=N'Giá trị rủi ro' AND bsh.MA_HANG = '17' THEN CAST(gt.GIA_TRI AS VARCHAR2(4000)) END) AS "Trái phiếu niêm yết có thời gian đáo hạn còn lại từ 3 năm đến dưới 5 năm",
	MAX(CASE WHEN bsc.TEN_COT=N'Giá trị rủi ro' AND bsh.MA_HANG = '18' THEN CAST(gt.GIA_TRI AS VARCHAR2(4000)) END) AS "Trái phiếu niêm yết có thời gian đáo hạn còn lại từ 5 năm trở lên",
	MAX(CASE WHEN bsc.TEN_COT=N'Giá trị rủi ro' AND bsh.MA_HANG = '19' THEN CAST(gt.GIA_TRI AS VARCHAR2(4000)) END) AS "Trái phiếu doanh nghiệp không niêm yết",  -- DB cũ là "chưa niêm yết"
	MAX(CASE WHEN bsc.TEN_COT=N'Giá trị rủi ro' AND bsh.MA_HANG = '20' THEN CAST(gt.GIA_TRI AS VARCHAR2(4000)) END) AS "Trái phiếu không niêm yết do doanh nghiệp niêm yết phát hành có thời gian đáo hạn còn lại dưới 1 năm",
	MAX(CASE WHEN bsc.TEN_COT=N'Giá trị rủi ro' AND bsh.MA_HANG = '21' THEN CAST(gt.GIA_TRI AS VARCHAR2(4000)) END) AS "Trái phiếu không niêm yết do doanh nghiệp niêm yết phát hành có thời gian đáo hạn còn lại từ 1 năm đến dưới 3 năm",
	MAX(CASE WHEN bsc.TEN_COT=N'Giá trị rủi ro' AND bsh.MA_HANG = '22' THEN CAST(gt.GIA_TRI AS VARCHAR2(4000)) END) AS "Trái phiếu không niêm yết do doanh nghiệp niêm yết phát hành có thời gian đáo hạn còn lại từ 3 năm đến dưới 5 năm",
	MAX(CASE WHEN bsc.TEN_COT=N'Giá trị rủi ro' AND bsh.MA_HANG = '23' THEN CAST(gt.GIA_TRI AS VARCHAR2(4000)) END) AS "Trái phiếu không niêm yết do doanh nghiệp niêm yết phát hành có thời gian đáo hạn còn lại từ 5 năm trở lên",
	MAX(CASE WHEN bsc.TEN_COT=N'Giá trị rủi ro' AND bsh.MA_HANG = '24' THEN CAST(gt.GIA_TRI AS VARCHAR2(4000)) END) AS "Trái phiếu không niêm yết do doanh nghiệp khác phát hành có thời gian đáo hạn còn lại dưới 1 năm",
	MAX(CASE WHEN bsc.TEN_COT=N'Giá trị rủi ro' AND bsh.MA_HANG = '25' THEN CAST(gt.GIA_TRI AS VARCHAR2(4000)) END) AS "Trái phiếu không niêm yết do doanh nghiệp khác phát hành có thời gian đáo hạn còn lại từ 1 năm đến dưới 3 năm",
	MAX(CASE WHEN bsc.TEN_COT=N'Giá trị rủi ro' AND bsh.MA_HANG = '26' THEN CAST(gt.GIA_TRI AS VARCHAR2(4000)) END) AS "Trái phiếu không niêm yết do doanh nghiệp khác phát hành có thời gian đáo hạn còn lại từ 3 năm đến dưới 5 năm",
	MAX(CASE WHEN bsc.TEN_COT=N'Giá trị rủi ro' AND bsh.MA_HANG = '27' THEN CAST(gt.GIA_TRI AS VARCHAR2(4000)) END) AS "Trái phiếu không niêm yết do doanh nghiệp khác phát hành có thời gian đáo hạn còn lại từ 5 năm trở lên",
	MAX(CASE WHEN bsc.TEN_COT=N'Giá trị rủi ro' AND bsh.MA_HANG = '28' THEN CAST(gt.GIA_TRI AS VARCHAR2(4000)) END) AS "Liệt kê kết quả xếp hạng tín nhiệm đối với trái phiếu/tổ chức phát hành",
	MAX(CASE WHEN bsc.TEN_COT=N'Giá trị rủi ro' AND bsh.MA_HANG = '29' THEN CAST(gt.GIA_TRI AS VARCHAR2(4000)) END) AS "Cổ phiếu",
	MAX(CASE WHEN bsc.TEN_COT=N'Giá trị rủi ro' AND bsh.MA_HANG = '30' THEN CAST(gt.GIA_TRI AS VARCHAR2(4000)) END) AS "Cổ phiếu phổ thông, cổ phiếu ưu đãi của các tổ chức niêm yết tại Sở giao dịch chứng khoán",
	MAX(CASE WHEN bsc.TEN_COT=N'Giá trị rủi ro' AND bsh.MA_HANG = '31' THEN CAST(gt.GIA_TRI AS VARCHAR2(4000)) END) AS "Cổ phiếu phổ thông, cổ phiếu ưu đãi của các công ty đại chúng chưa niêm yết và đã đăng ký giao dịch qua hệ thống UpCom",
	MAX(CASE WHEN bsc.TEN_COT=N'Giá trị rủi ro' AND bsh.MA_HANG = '32' THEN CAST(gt.GIA_TRI AS VARCHAR2(4000)) END) AS "Cổ phiếu phổ thông, cổ phiếu ưu đãi của các công ty đại chúng đã đăng ký lưu ký, nhưng chưa niêm yết hoặc đăng ký giao dịch; cổ phiếu đang trong đợt phát hành lần đầu (IPO)",
	MAX(CASE WHEN bsc.TEN_COT=N'Giá trị rủi ro' AND bsh.MA_HANG = '33' THEN CAST(gt.GIA_TRI AS VARCHAR2(4000)) END) AS "Chứng chỉ quỹ đầu tư chứng khoán",
	MAX(CASE WHEN bsc.TEN_COT=N'Giá trị rủi ro' AND bsh.MA_HANG = '34' THEN CAST(gt.GIA_TRI AS VARCHAR2(4000)) END) AS "Quỹ đại chúng, công ty đầu tư chứng khoán đại chúng",
	MAX(CASE WHEN bsc.TEN_COT=N'Giá trị rủi ro' AND bsh.MA_HANG = '35' THEN CAST(gt.GIA_TRI AS VARCHAR2(4000)) END) AS "Quỹ thành viên",
	MAX(CASE WHEN bsc.TEN_COT=N'Giá trị rủi ro' AND bsh.MA_HANG = '36' THEN CAST(gt.GIA_TRI AS VARCHAR2(4000)) END) AS "Công ty đầu tư chứng khoán riêng lẻ",
	MAX(CASE WHEN bsc.TEN_COT=N'Giá trị rủi ro' AND bsh.MA_HANG = '37' THEN CAST(gt.GIA_TRI AS VARCHAR2(4000)) END) AS "Chứng khoán bị hạn chế giao dịch",
	MAX(CASE WHEN bsc.TEN_COT=N'Giá trị rủi ro' AND bsh.MA_HANG = '38' THEN CAST(gt.GIA_TRI AS VARCHAR2(4000)) END) AS "Chứng khoán bị cảnh báo",
	MAX(CASE WHEN bsc.TEN_COT=N'Giá trị rủi ro' AND bsh.MA_HANG = '39' THEN CAST(gt.GIA_TRI AS VARCHAR2(4000)) END) AS "Chứng khoán bị kiểm soát",
	MAX(CASE WHEN bsc.TEN_COT=N'Giá trị rủi ro' AND bsh.MA_HANG = '40' THEN CAST(gt.GIA_TRI AS VARCHAR2(4000)) END) AS "Chứng khoán niêm yết bị kiểm soát",
	MAX(CASE WHEN bsc.TEN_COT=N'Giá trị rủi ro' AND bsh.MA_HANG = '41' THEN CAST(gt.GIA_TRI AS VARCHAR2(4000)) END) AS "Chứng khoán bị đình chỉ giao dịch",
	MAX(CASE WHEN bsc.TEN_COT=N'Giá trị rủi ro' AND bsh.MA_HANG = '42' THEN CAST(gt.GIA_TRI AS VARCHAR2(4000)) END) AS "Chứng khoán bị hủy niêm yết, hủy giao dịch",
	MAX(CASE WHEN bsc.TEN_COT=N'Giá trị rủi ro' AND bsh.MA_HANG = '43' THEN CAST(gt.GIA_TRI AS VARCHAR2(4000)) END) AS "Chứng khoán phái sinh",
	MAX(CASE WHEN bsc.TEN_COT=N'Giá trị rủi ro' AND bsh.MA_HANG = '44' THEN CAST(gt.GIA_TRI AS VARCHAR2(4000)) END) AS "Hợp đồng tương lai chỉ số cổ phiếu",
	MAX(CASE WHEN bsc.TEN_COT=N'Giá trị rủi ro' AND bsh.MA_HANG = '45' THEN CAST(gt.GIA_TRI AS VARCHAR2(4000)) END) AS "Cách tính: Giá trị rủi ro, Giá trị thanh toán cuối ngày",
	MAX(CASE WHEN bsc.TEN_COT=N'Giá trị rủi ro' AND bsh.MA_HANG = '46' THEN CAST(gt.GIA_TRI AS VARCHAR2(4000)) END) AS "Hợp đồng tương lai trái phiếu chính phủ",
	MAX(CASE WHEN bsc.TEN_COT=N'Giá trị rủi ro' AND bsh.MA_HANG = '47' THEN CAST(gt.GIA_TRI AS VARCHAR2(4000)) END) AS "Cách tính: Giá trị rủi ro, Giá trị thanh toán cuối ngày",
	MAX(CASE WHEN bsc.TEN_COT=N'Giá trị rủi ro' AND bsh.MA_HANG = '48' THEN CAST(gt.GIA_TRI AS VARCHAR2(4000)) END) AS "Chứng khoán khác",
	MAX(CASE WHEN bsc.TEN_COT=N'Giá trị rủi ro' AND bsh.MA_HANG = '49' THEN CAST(gt.GIA_TRI AS VARCHAR2(4000)) END) AS "Cổ phiếu niêm yết trên các thị trường nước ngoài thuộc chỉ số đạt chuẩn/các chỉ số được liệt kê tại Phụ lục VIII",
	MAX(CASE WHEN bsc.TEN_COT=N'Giá trị rủi ro' AND bsh.MA_HANG = '50' THEN CAST(gt.GIA_TRI AS VARCHAR2(4000)) END) AS "Cổ phiếu niêm yết trên các thị trường nước ngoài không thuộc các chỉ số đạt chuẩn/các chỉ số được liệt kê tại Phụ lục VIII",
	MAX(CASE WHEN bsc.TEN_COT=N'Giá trị rủi ro' AND bsh.MA_HANG = '51' THEN CAST(gt.GIA_TRI AS VARCHAR2(4000)) END) AS "Chứng quyền có bảo đảm niêm yết trên Sở giao dịch chứng khoán Thành phố Hồ Chí Minh",
	MAX(CASE WHEN bsc.TEN_COT=N'Giá trị rủi ro' AND bsh.MA_HANG = '52' THEN CAST(gt.GIA_TRI AS VARCHAR2(4000)) END) AS "Giao dịch chênh lệch giá",
	MAX(CASE WHEN bsc.TEN_COT=N'Giá trị rủi ro' AND bsh.MA_HANG = '53' THEN CAST(gt.GIA_TRI AS VARCHAR2(4000)) END) AS "Cổ phần, phần vốn góp, các loại chứng khoán khác và các tài sản đầu tư khác",
	MAX(CASE WHEN bsc.TEN_COT=N'Giá trị rủi ro' AND bsh.MA_HANG = '54' THEN CAST(gt.GIA_TRI AS VARCHAR2(4000)) END) AS "Chứng quyền có bảo đảm do công ty chứng khoán phát hành",
	MAX(CASE WHEN bsc.TEN_COT=N'Giá trị rủi ro' AND bsh.MA_HANG = '55' THEN CAST(gt.GIA_TRI AS VARCHAR2(4000)) END) AS "Cách tính: Giá trị rủi ro thị trường",
	MAX(CASE WHEN bsc.TEN_COT=N'Giá trị rủi ro' AND bsh.MA_HANG = '56' THEN CAST(gt.GIA_TRI AS VARCHAR2(4000)) END) AS "Chứng khoán hình thành từ hoạt động phòng ngừa rủi ro cho chứng quyền có bảo đảm do công ty chứng khoán đã phát hành",
	MAX(CASE WHEN bsc.TEN_COT=N'Giá trị rủi ro' AND bsh.MA_HANG = '57' THEN CAST(gt.GIA_TRI AS VARCHAR2(4000)) END) AS "Phần chênh lệch dương giữa giá trị chứng khoán cơ sở dùng để phòng ngừa rủi ro và giá trị chứng khoán cơ sở cần thiết để phòng ngừa rủi ro cho chứng quyền có bảo đảm",
	MAX(CASE WHEN bsc.TEN_COT=N'Giá trị rủi ro' AND bsh.MA_HANG = '58' THEN CAST(gt.GIA_TRI AS VARCHAR2(4000)) END) AS "Rủi ro tăng thêm (nếu có)",
	MAX(CASE WHEN bsc.TEN_COT=N'Giá trị rủi ro' AND bsh.MA_HANG = '59' </t>
        </is>
      </c>
      <c r="U2456" s="16" t="n"/>
      <c r="V2456" s="22" t="n"/>
      <c r="W2456" s="22" t="n"/>
      <c r="X2456" s="22" t="n"/>
      <c r="Y2456" s="38" t="n"/>
      <c r="Z2456" s="22" t="n"/>
      <c r="AA2456" s="22" t="n"/>
      <c r="AB2456" s="22" t="n"/>
      <c r="AC2456" s="22" t="n"/>
      <c r="AD2456" s="22" t="n"/>
      <c r="AE2456" s="22" t="n"/>
    </row>
    <row r="2457" ht="70" customHeight="1" s="380">
      <c r="A2457" s="126" t="n">
        <v>102</v>
      </c>
      <c r="B2457" s="390" t="n"/>
      <c r="C2457" s="390" t="inlineStr">
        <is>
          <t>Báo cáo theo Thông tư 121/2020/TT-BTC &gt;&gt; Báo cáo tỷ lệ An toàn tài chính &gt;&gt; Bảng tính giá trị rủi ro (Rủi ro thị trường)</t>
        </is>
      </c>
      <c r="D2457" s="390" t="inlineStr">
        <is>
          <t xml:space="preserve">Tiền mặt (VND) 
</t>
        </is>
      </c>
      <c r="E2457" s="401" t="inlineStr">
        <is>
          <t xml:space="preserve">Tiền mặt (VND) 
</t>
        </is>
      </c>
      <c r="F2457" s="390" t="inlineStr">
        <is>
          <t>Data Explorer</t>
        </is>
      </c>
      <c r="G2457" s="390" t="inlineStr">
        <is>
          <t>Chỉ tiêu cơ sở</t>
        </is>
      </c>
      <c r="H2457" s="390" t="inlineStr">
        <is>
          <t>TB</t>
        </is>
      </c>
      <c r="I2457" s="390" t="inlineStr">
        <is>
          <t>Ngày, CTCK</t>
        </is>
      </c>
      <c r="J2457" s="401" t="inlineStr">
        <is>
          <t>SCMS</t>
        </is>
      </c>
      <c r="K2457" s="401" t="n"/>
      <c r="L2457" s="401" t="inlineStr">
        <is>
          <t>X</t>
        </is>
      </c>
      <c r="M2457" s="401" t="n"/>
      <c r="N2457" s="401" t="inlineStr">
        <is>
          <t>Done</t>
        </is>
      </c>
      <c r="O2457" s="401" t="n"/>
      <c r="P2457" s="22" t="n"/>
      <c r="S2457" s="22" t="n"/>
      <c r="U2457" s="16" t="n"/>
      <c r="V2457" s="22" t="n"/>
      <c r="W2457" s="22" t="n"/>
      <c r="X2457" s="22" t="n"/>
      <c r="Y2457" s="13" t="n"/>
      <c r="Z2457" s="22" t="n"/>
      <c r="AA2457" s="22" t="n"/>
      <c r="AB2457" s="22" t="n"/>
      <c r="AC2457" s="22" t="n"/>
      <c r="AD2457" s="22" t="n"/>
      <c r="AE2457" s="22" t="n"/>
    </row>
    <row r="2458" ht="70" customHeight="1" s="380">
      <c r="A2458" s="126" t="n">
        <v>102</v>
      </c>
      <c r="B2458" s="390" t="n"/>
      <c r="C2458" s="390" t="inlineStr">
        <is>
          <t>Báo cáo theo Thông tư 121/2020/TT-BTC &gt;&gt; Báo cáo tỷ lệ An toàn tài chính &gt;&gt; Bảng tính giá trị rủi ro (Rủi ro thị trường)</t>
        </is>
      </c>
      <c r="D2458" s="390" t="inlineStr">
        <is>
          <t xml:space="preserve">Các khoản tương đương tiền 
</t>
        </is>
      </c>
      <c r="E2458" s="401" t="inlineStr">
        <is>
          <t xml:space="preserve">Các khoản tương đương tiền 
</t>
        </is>
      </c>
      <c r="F2458" s="390" t="inlineStr">
        <is>
          <t>Data Explorer</t>
        </is>
      </c>
      <c r="G2458" s="390" t="inlineStr">
        <is>
          <t>Chỉ tiêu cơ sở</t>
        </is>
      </c>
      <c r="H2458" s="390" t="inlineStr">
        <is>
          <t>TB</t>
        </is>
      </c>
      <c r="I2458" s="390" t="inlineStr">
        <is>
          <t>Ngày, CTCK</t>
        </is>
      </c>
      <c r="J2458" s="401" t="inlineStr">
        <is>
          <t>SCMS</t>
        </is>
      </c>
      <c r="K2458" s="401" t="n"/>
      <c r="L2458" s="401" t="inlineStr">
        <is>
          <t>X</t>
        </is>
      </c>
      <c r="M2458" s="401" t="n"/>
      <c r="N2458" s="401" t="inlineStr">
        <is>
          <t>Done</t>
        </is>
      </c>
      <c r="O2458" s="401" t="n"/>
      <c r="P2458" s="22" t="n"/>
      <c r="S2458" s="22" t="n"/>
      <c r="U2458" s="16" t="n"/>
      <c r="V2458" s="22" t="n"/>
      <c r="W2458" s="22" t="n"/>
      <c r="X2458" s="22" t="n"/>
      <c r="Y2458" s="13" t="n"/>
      <c r="Z2458" s="22" t="n"/>
      <c r="AA2458" s="22" t="n"/>
      <c r="AB2458" s="22" t="n"/>
      <c r="AC2458" s="22" t="n"/>
      <c r="AD2458" s="22" t="n"/>
      <c r="AE2458" s="22" t="n"/>
    </row>
    <row r="2459" ht="70" customHeight="1" s="380">
      <c r="A2459" s="126" t="n">
        <v>102</v>
      </c>
      <c r="B2459" s="390" t="n"/>
      <c r="C2459" s="390" t="inlineStr">
        <is>
          <t>Báo cáo theo Thông tư 121/2020/TT-BTC &gt;&gt; Báo cáo tỷ lệ An toàn tài chính &gt;&gt; Bảng tính giá trị rủi ro (Rủi ro thị trường)</t>
        </is>
      </c>
      <c r="D2459" s="390" t="inlineStr">
        <is>
          <t>Giấy tờ có giá, công cụ chuyển nhượng trên thị trường tiền tệ, chứng chỉ tiền gửi</t>
        </is>
      </c>
      <c r="E2459" s="401" t="inlineStr">
        <is>
          <t>Giấy tờ có giá, công cụ chuyển nhượng trên thị trường tiền tệ, chứng chỉ tiền gửi</t>
        </is>
      </c>
      <c r="F2459" s="390" t="inlineStr">
        <is>
          <t>Data Explorer</t>
        </is>
      </c>
      <c r="G2459" s="390" t="inlineStr">
        <is>
          <t>Chỉ tiêu cơ sở</t>
        </is>
      </c>
      <c r="H2459" s="390" t="inlineStr">
        <is>
          <t>TB</t>
        </is>
      </c>
      <c r="I2459" s="390" t="inlineStr">
        <is>
          <t>Ngày, CTCK</t>
        </is>
      </c>
      <c r="J2459" s="401" t="inlineStr">
        <is>
          <t>SCMS</t>
        </is>
      </c>
      <c r="K2459" s="401" t="n"/>
      <c r="L2459" s="401" t="inlineStr">
        <is>
          <t>X</t>
        </is>
      </c>
      <c r="M2459" s="401" t="n"/>
      <c r="N2459" s="401" t="inlineStr">
        <is>
          <t>Done</t>
        </is>
      </c>
      <c r="O2459" s="401" t="n"/>
      <c r="P2459" s="22" t="n"/>
      <c r="S2459" s="22" t="n"/>
      <c r="U2459" s="16" t="n"/>
      <c r="V2459" s="22" t="n"/>
      <c r="W2459" s="22" t="n"/>
      <c r="X2459" s="22" t="n"/>
      <c r="Y2459" s="38" t="n"/>
      <c r="Z2459" s="22" t="n"/>
      <c r="AA2459" s="22" t="n"/>
      <c r="AB2459" s="22" t="n"/>
      <c r="AC2459" s="22" t="n"/>
      <c r="AD2459" s="22" t="n"/>
      <c r="AE2459" s="22" t="n"/>
    </row>
    <row r="2460" ht="70" customHeight="1" s="380">
      <c r="A2460" s="126" t="n">
        <v>102</v>
      </c>
      <c r="B2460" s="390" t="n"/>
      <c r="C2460" s="390" t="inlineStr">
        <is>
          <t>Báo cáo theo Thông tư 121/2020/TT-BTC &gt;&gt; Báo cáo tỷ lệ An toàn tài chính &gt;&gt; Bảng tính giá trị rủi ro (Rủi ro thị trường)</t>
        </is>
      </c>
      <c r="D2460" s="390" t="inlineStr">
        <is>
          <t xml:space="preserve">Trái phiếu Chính phủ 
</t>
        </is>
      </c>
      <c r="E2460" s="401" t="inlineStr">
        <is>
          <t xml:space="preserve">Trái phiếu Chính phủ 
</t>
        </is>
      </c>
      <c r="F2460" s="390" t="inlineStr">
        <is>
          <t>Data Explorer</t>
        </is>
      </c>
      <c r="G2460" s="390" t="inlineStr">
        <is>
          <t>Chỉ tiêu cơ sở</t>
        </is>
      </c>
      <c r="H2460" s="390" t="inlineStr">
        <is>
          <t>TB</t>
        </is>
      </c>
      <c r="I2460" s="390" t="inlineStr">
        <is>
          <t>Ngày, CTCK</t>
        </is>
      </c>
      <c r="J2460" s="401" t="inlineStr">
        <is>
          <t>SCMS</t>
        </is>
      </c>
      <c r="K2460" s="401" t="n"/>
      <c r="L2460" s="401" t="inlineStr">
        <is>
          <t>X</t>
        </is>
      </c>
      <c r="M2460" s="401" t="n"/>
      <c r="N2460" s="401" t="inlineStr">
        <is>
          <t>Done</t>
        </is>
      </c>
      <c r="O2460" s="401" t="n"/>
      <c r="P2460" s="22" t="n"/>
      <c r="S2460" s="22" t="n"/>
      <c r="U2460" s="16" t="n"/>
      <c r="V2460" s="22" t="n"/>
      <c r="W2460" s="22" t="n"/>
      <c r="X2460" s="22" t="n"/>
      <c r="Y2460" s="38" t="n"/>
      <c r="Z2460" s="22" t="n"/>
      <c r="AA2460" s="22" t="n"/>
      <c r="AB2460" s="22" t="n"/>
      <c r="AC2460" s="22" t="n"/>
      <c r="AD2460" s="22" t="n"/>
      <c r="AE2460" s="22" t="n"/>
    </row>
    <row r="2461" ht="70" customHeight="1" s="380">
      <c r="A2461" s="126" t="n">
        <v>102</v>
      </c>
      <c r="B2461" s="390" t="n"/>
      <c r="C2461" s="390" t="inlineStr">
        <is>
          <t>Báo cáo theo Thông tư 121/2020/TT-BTC &gt;&gt; Báo cáo tỷ lệ An toàn tài chính &gt;&gt; Bảng tính giá trị rủi ro (Rủi ro thị trường)</t>
        </is>
      </c>
      <c r="D2461" s="390" t="inlineStr">
        <is>
          <t xml:space="preserve">Trái phiếu Chính phủ không trả lãi 
</t>
        </is>
      </c>
      <c r="E2461" s="401" t="inlineStr">
        <is>
          <t xml:space="preserve">Trái phiếu Chính phủ không trả lãi 
</t>
        </is>
      </c>
      <c r="F2461" s="390" t="inlineStr">
        <is>
          <t>Data Explorer</t>
        </is>
      </c>
      <c r="G2461" s="390" t="inlineStr">
        <is>
          <t>Chỉ tiêu cơ sở</t>
        </is>
      </c>
      <c r="H2461" s="390" t="inlineStr">
        <is>
          <t>TB</t>
        </is>
      </c>
      <c r="I2461" s="390" t="inlineStr">
        <is>
          <t>Ngày, CTCK</t>
        </is>
      </c>
      <c r="J2461" s="401" t="inlineStr">
        <is>
          <t>SCMS</t>
        </is>
      </c>
      <c r="K2461" s="401" t="n"/>
      <c r="L2461" s="401" t="inlineStr">
        <is>
          <t>X</t>
        </is>
      </c>
      <c r="M2461" s="401" t="n"/>
      <c r="N2461" s="401" t="inlineStr">
        <is>
          <t>Done</t>
        </is>
      </c>
      <c r="O2461" s="401" t="n"/>
      <c r="P2461" s="22" t="n"/>
      <c r="S2461" s="22" t="n"/>
      <c r="U2461" s="16" t="n"/>
      <c r="V2461" s="22" t="n"/>
      <c r="W2461" s="22" t="n"/>
      <c r="X2461" s="22" t="n"/>
      <c r="Y2461" s="38" t="n"/>
      <c r="Z2461" s="22" t="n"/>
      <c r="AA2461" s="22" t="n"/>
      <c r="AB2461" s="22" t="n"/>
      <c r="AC2461" s="22" t="n"/>
      <c r="AD2461" s="22" t="n"/>
      <c r="AE2461" s="22" t="n"/>
    </row>
    <row r="2462" ht="70" customHeight="1" s="380">
      <c r="A2462" s="126" t="n">
        <v>102</v>
      </c>
      <c r="B2462" s="390" t="n"/>
      <c r="C2462" s="390" t="inlineStr">
        <is>
          <t>Báo cáo theo Thông tư 121/2020/TT-BTC &gt;&gt; Báo cáo tỷ lệ An toàn tài chính &gt;&gt; Bảng tính giá trị rủi ro (Rủi ro thị trường)</t>
        </is>
      </c>
      <c r="D2462" s="390" t="inlineStr">
        <is>
          <t>Trái phiếu Chính phủ (bao gồm công trái và trái phiếu công trình đã phát hành trước đây)</t>
        </is>
      </c>
      <c r="E2462" s="401" t="inlineStr">
        <is>
          <t>Trái phiếu Chính phủ (bao gồm công trái và trái phiếu công trình đã phát hành trước đây), trái phiếu Chính phủ các nước thuộc khối OECD hoặc được bảo lãnh bởi Chính phủ hoặc Ngân hàng Trung ương của các nước thuộc khối này, trái phiếu được phát hành bởi các tổ chức quốc tế IBRD, ADB, IADB, AFDB, EIB và EBRD, Trái phiếu chính quyền địa phương.</t>
        </is>
      </c>
      <c r="F2462" s="390" t="inlineStr">
        <is>
          <t>Data Explorer</t>
        </is>
      </c>
      <c r="G2462" s="390" t="inlineStr">
        <is>
          <t>Chỉ tiêu cơ sở</t>
        </is>
      </c>
      <c r="H2462" s="390" t="inlineStr">
        <is>
          <t>TB</t>
        </is>
      </c>
      <c r="I2462" s="390" t="inlineStr">
        <is>
          <t>Ngày, CTCK</t>
        </is>
      </c>
      <c r="J2462" s="401" t="inlineStr">
        <is>
          <t>SCMS</t>
        </is>
      </c>
      <c r="K2462" s="401" t="n"/>
      <c r="L2462" s="401" t="inlineStr">
        <is>
          <t>X</t>
        </is>
      </c>
      <c r="M2462" s="401" t="n"/>
      <c r="N2462" s="401" t="inlineStr">
        <is>
          <t>Done</t>
        </is>
      </c>
      <c r="O2462" s="401" t="n"/>
      <c r="P2462" s="22" t="n"/>
      <c r="S2462" s="22" t="n"/>
      <c r="U2462" s="16" t="n"/>
      <c r="V2462" s="22" t="n"/>
      <c r="W2462" s="22" t="n"/>
      <c r="X2462" s="22" t="n"/>
      <c r="Y2462" s="38" t="n"/>
      <c r="Z2462" s="22" t="n"/>
      <c r="AA2462" s="22" t="n"/>
      <c r="AB2462" s="22" t="n"/>
      <c r="AC2462" s="22" t="n"/>
      <c r="AD2462" s="22" t="n"/>
      <c r="AE2462" s="22" t="n"/>
    </row>
    <row r="2463" ht="70" customHeight="1" s="380">
      <c r="A2463" s="126" t="n">
        <v>102</v>
      </c>
      <c r="B2463" s="390" t="n"/>
      <c r="C2463" s="390" t="inlineStr">
        <is>
          <t>Báo cáo theo Thông tư 121/2020/TT-BTC &gt;&gt; Báo cáo tỷ lệ An toàn tài chính &gt;&gt; Bảng tính giá trị rủi ro (Rủi ro thị trường)</t>
        </is>
      </c>
      <c r="D2463" s="390" t="inlineStr">
        <is>
          <t>Trái phiếu tổ chức tín dụng có thời gian đáo hạn còn lại dưới 1 năm</t>
        </is>
      </c>
      <c r="E2463" s="401" t="inlineStr">
        <is>
          <t>Trái phiếu tổ chức tín dụng có thời gian đáo hạn còn lại dưới 1 năm, kể cả trái phiếu chuyển đổi</t>
        </is>
      </c>
      <c r="F2463" s="390" t="inlineStr">
        <is>
          <t>Data Explorer</t>
        </is>
      </c>
      <c r="G2463" s="390" t="inlineStr">
        <is>
          <t>Chỉ tiêu cơ sở</t>
        </is>
      </c>
      <c r="H2463" s="390" t="inlineStr">
        <is>
          <t>TB</t>
        </is>
      </c>
      <c r="I2463" s="390" t="inlineStr">
        <is>
          <t>Ngày, CTCK</t>
        </is>
      </c>
      <c r="J2463" s="401" t="inlineStr">
        <is>
          <t>SCMS</t>
        </is>
      </c>
      <c r="K2463" s="401" t="n"/>
      <c r="L2463" s="401" t="inlineStr">
        <is>
          <t>X</t>
        </is>
      </c>
      <c r="M2463" s="401" t="n"/>
      <c r="N2463" s="401" t="inlineStr">
        <is>
          <t>Done</t>
        </is>
      </c>
      <c r="O2463" s="401" t="n"/>
      <c r="P2463" s="22" t="n"/>
      <c r="S2463" s="22" t="n"/>
      <c r="U2463" s="16" t="n"/>
      <c r="V2463" s="22" t="n"/>
      <c r="W2463" s="22" t="n"/>
      <c r="X2463" s="22" t="n"/>
      <c r="Y2463" s="38" t="n"/>
      <c r="Z2463" s="22" t="n"/>
      <c r="AA2463" s="22" t="n"/>
      <c r="AB2463" s="22" t="n"/>
      <c r="AC2463" s="22" t="n"/>
      <c r="AD2463" s="22" t="n"/>
      <c r="AE2463" s="22" t="n"/>
    </row>
    <row r="2464" ht="70" customHeight="1" s="380">
      <c r="A2464" s="126" t="n">
        <v>102</v>
      </c>
      <c r="B2464" s="390" t="n"/>
      <c r="C2464" s="390" t="inlineStr">
        <is>
          <t>Báo cáo theo Thông tư 121/2020/TT-BTC &gt;&gt; Báo cáo tỷ lệ An toàn tài chính &gt;&gt; Bảng tính giá trị rủi ro (Rủi ro thị trường)</t>
        </is>
      </c>
      <c r="D2464" s="390" t="inlineStr">
        <is>
          <t>Trái phiếu tổ chức tín dụng</t>
        </is>
      </c>
      <c r="E2464" s="401" t="inlineStr">
        <is>
          <t>Trái phiếu tổ chức tín dụng</t>
        </is>
      </c>
      <c r="F2464" s="390" t="inlineStr">
        <is>
          <t>Data Explorer</t>
        </is>
      </c>
      <c r="G2464" s="390" t="inlineStr">
        <is>
          <t>Chỉ tiêu cơ sở</t>
        </is>
      </c>
      <c r="H2464" s="390" t="inlineStr">
        <is>
          <t>TB</t>
        </is>
      </c>
      <c r="I2464" s="390" t="inlineStr">
        <is>
          <t>Ngày, CTCK</t>
        </is>
      </c>
      <c r="J2464" s="401" t="inlineStr">
        <is>
          <t>SCMS</t>
        </is>
      </c>
      <c r="K2464" s="401" t="n"/>
      <c r="L2464" s="401" t="inlineStr">
        <is>
          <t>X</t>
        </is>
      </c>
      <c r="M2464" s="401" t="n"/>
      <c r="N2464" s="401" t="inlineStr">
        <is>
          <t>Done</t>
        </is>
      </c>
      <c r="O2464" s="401" t="n"/>
      <c r="P2464" s="22" t="n"/>
      <c r="S2464" s="22" t="n"/>
      <c r="U2464" s="16" t="n"/>
      <c r="V2464" s="22" t="n"/>
      <c r="W2464" s="22" t="n"/>
      <c r="X2464" s="22" t="n"/>
      <c r="Y2464" s="38" t="n"/>
      <c r="Z2464" s="22" t="n"/>
      <c r="AA2464" s="22" t="n"/>
      <c r="AB2464" s="22" t="n"/>
      <c r="AC2464" s="22" t="n"/>
      <c r="AD2464" s="22" t="n"/>
      <c r="AE2464" s="22" t="n"/>
    </row>
    <row r="2465" ht="70" customHeight="1" s="380">
      <c r="A2465" s="126" t="n">
        <v>102</v>
      </c>
      <c r="B2465" s="390" t="n"/>
      <c r="C2465" s="390" t="inlineStr">
        <is>
          <t>Báo cáo theo Thông tư 121/2020/TT-BTC &gt;&gt; Báo cáo tỷ lệ An toàn tài chính &gt;&gt; Bảng tính giá trị rủi ro (Rủi ro thị trường)</t>
        </is>
      </c>
      <c r="D2465" s="390" t="inlineStr">
        <is>
          <t xml:space="preserve">Trái phiếu tổ chức tín dụng có thời gian đáo hạn còn từ 1 năm đến dưới 3 năm
</t>
        </is>
      </c>
      <c r="E2465" s="401" t="inlineStr">
        <is>
          <t xml:space="preserve">Trái phiếu tổ chức tín dụng có thời gian đáo hạn còn từ 1 năm đến dưới 3 năm, kể cả trái phiếu chuyển đổi
</t>
        </is>
      </c>
      <c r="F2465" s="390" t="inlineStr">
        <is>
          <t>Data Explorer</t>
        </is>
      </c>
      <c r="G2465" s="390" t="inlineStr">
        <is>
          <t>Chỉ tiêu cơ sở</t>
        </is>
      </c>
      <c r="H2465" s="390" t="inlineStr">
        <is>
          <t>TB</t>
        </is>
      </c>
      <c r="I2465" s="390" t="inlineStr">
        <is>
          <t>Ngày, CTCK</t>
        </is>
      </c>
      <c r="J2465" s="401" t="inlineStr">
        <is>
          <t>SCMS</t>
        </is>
      </c>
      <c r="K2465" s="401" t="n"/>
      <c r="L2465" s="401" t="inlineStr">
        <is>
          <t>X</t>
        </is>
      </c>
      <c r="M2465" s="401" t="n"/>
      <c r="N2465" s="401" t="inlineStr">
        <is>
          <t>Done</t>
        </is>
      </c>
      <c r="O2465" s="401" t="n"/>
      <c r="P2465" s="22" t="n"/>
      <c r="S2465" s="22" t="n"/>
      <c r="U2465" s="16" t="n"/>
      <c r="V2465" s="22" t="n"/>
      <c r="W2465" s="22" t="n"/>
      <c r="X2465" s="22" t="n"/>
      <c r="Y2465" s="38" t="n"/>
      <c r="Z2465" s="22" t="n"/>
      <c r="AA2465" s="22" t="n"/>
      <c r="AB2465" s="22" t="n"/>
      <c r="AC2465" s="22" t="n"/>
      <c r="AD2465" s="22" t="n"/>
      <c r="AE2465" s="22" t="n"/>
    </row>
    <row r="2466" ht="70" customHeight="1" s="380">
      <c r="A2466" s="126" t="n">
        <v>102</v>
      </c>
      <c r="B2466" s="390" t="n"/>
      <c r="C2466" s="390" t="inlineStr">
        <is>
          <t>Báo cáo theo Thông tư 121/2020/TT-BTC &gt;&gt; Báo cáo tỷ lệ An toàn tài chính &gt;&gt; Bảng tính giá trị rủi ro (Rủi ro thị trường)</t>
        </is>
      </c>
      <c r="D2466" s="390" t="inlineStr">
        <is>
          <t>Trái phiếu tổ chức tín dụng có thời gian đáo hạn còn lại từ 3 năm đến dưới 5 năm</t>
        </is>
      </c>
      <c r="E2466" s="401" t="inlineStr">
        <is>
          <t>Trái phiếu tổ chức tín dụng có thời gian đáo hạn còn lại từ 3 năm đến dưới 5 năm, kể cả trái phiếu chuyển đổi</t>
        </is>
      </c>
      <c r="F2466" s="390" t="inlineStr">
        <is>
          <t>Data Explorer</t>
        </is>
      </c>
      <c r="G2466" s="390" t="inlineStr">
        <is>
          <t>Chỉ tiêu cơ sở</t>
        </is>
      </c>
      <c r="H2466" s="390" t="inlineStr">
        <is>
          <t>TB</t>
        </is>
      </c>
      <c r="I2466" s="390" t="inlineStr">
        <is>
          <t>Ngày, CTCK</t>
        </is>
      </c>
      <c r="J2466" s="401" t="inlineStr">
        <is>
          <t>SCMS</t>
        </is>
      </c>
      <c r="K2466" s="401" t="n"/>
      <c r="L2466" s="401" t="inlineStr">
        <is>
          <t>X</t>
        </is>
      </c>
      <c r="M2466" s="401" t="n"/>
      <c r="N2466" s="401" t="inlineStr">
        <is>
          <t>Done</t>
        </is>
      </c>
      <c r="O2466" s="401" t="n"/>
      <c r="P2466" s="22" t="n"/>
      <c r="S2466" s="22" t="n"/>
      <c r="U2466" s="16" t="n"/>
      <c r="V2466" s="22" t="n"/>
      <c r="W2466" s="22" t="n"/>
      <c r="X2466" s="22" t="n"/>
      <c r="Y2466" s="38" t="n"/>
      <c r="Z2466" s="22" t="n"/>
      <c r="AA2466" s="22" t="n"/>
      <c r="AB2466" s="22" t="n"/>
      <c r="AC2466" s="22" t="n"/>
      <c r="AD2466" s="22" t="n"/>
      <c r="AE2466" s="22" t="n"/>
    </row>
    <row r="2467" ht="70" customHeight="1" s="380">
      <c r="A2467" s="126" t="n">
        <v>102</v>
      </c>
      <c r="B2467" s="390" t="n"/>
      <c r="C2467" s="390" t="inlineStr">
        <is>
          <t>Báo cáo theo Thông tư 121/2020/TT-BTC &gt;&gt; Báo cáo tỷ lệ An toàn tài chính &gt;&gt; Bảng tính giá trị rủi ro (Rủi ro thị trường)</t>
        </is>
      </c>
      <c r="D2467" s="390" t="inlineStr">
        <is>
          <t>Trái phiếu tổ chức tín dụng có thời gian đáo hạn còn lại từ 5 năm trở lên</t>
        </is>
      </c>
      <c r="E2467" s="401" t="inlineStr">
        <is>
          <t>Trái phiếu tổ chức tín dụng có thời gian đáo hạn còn lại từ 5 năm trở lên, kể cả trái phiếu chuyển đổi</t>
        </is>
      </c>
      <c r="F2467" s="390" t="inlineStr">
        <is>
          <t>Data Explorer</t>
        </is>
      </c>
      <c r="G2467" s="390" t="inlineStr">
        <is>
          <t>Chỉ tiêu cơ sở</t>
        </is>
      </c>
      <c r="H2467" s="390" t="inlineStr">
        <is>
          <t>TB</t>
        </is>
      </c>
      <c r="I2467" s="390" t="inlineStr">
        <is>
          <t>Ngày, CTCK</t>
        </is>
      </c>
      <c r="J2467" s="401" t="inlineStr">
        <is>
          <t>SCMS</t>
        </is>
      </c>
      <c r="K2467" s="401" t="n"/>
      <c r="L2467" s="401" t="inlineStr">
        <is>
          <t>X</t>
        </is>
      </c>
      <c r="M2467" s="401" t="n"/>
      <c r="N2467" s="401" t="inlineStr">
        <is>
          <t>Done</t>
        </is>
      </c>
      <c r="O2467" s="401" t="n"/>
      <c r="P2467" s="22" t="n"/>
      <c r="S2467" s="22" t="n"/>
      <c r="U2467" s="16" t="n"/>
      <c r="V2467" s="22" t="n"/>
      <c r="W2467" s="22" t="n"/>
      <c r="X2467" s="22" t="n"/>
      <c r="Y2467" s="38" t="n"/>
      <c r="Z2467" s="22" t="n"/>
      <c r="AA2467" s="22" t="n"/>
      <c r="AB2467" s="22" t="n"/>
      <c r="AC2467" s="22" t="n"/>
      <c r="AD2467" s="22" t="n"/>
      <c r="AE2467" s="22" t="n"/>
    </row>
    <row r="2468" ht="70" customHeight="1" s="380">
      <c r="A2468" s="126" t="n">
        <v>102</v>
      </c>
      <c r="B2468" s="390" t="n"/>
      <c r="C2468" s="390" t="inlineStr">
        <is>
          <t>Báo cáo theo Thông tư 121/2020/TT-BTC &gt;&gt; Báo cáo tỷ lệ An toàn tài chính &gt;&gt; Bảng tính giá trị rủi ro (Rủi ro thị trường)</t>
        </is>
      </c>
      <c r="D2468" s="390" t="inlineStr">
        <is>
          <t xml:space="preserve">Trái phiếu doanh nghiệp 
</t>
        </is>
      </c>
      <c r="E2468" s="401" t="inlineStr">
        <is>
          <t xml:space="preserve">Trái phiếu doanh nghiệp 
</t>
        </is>
      </c>
      <c r="F2468" s="390" t="inlineStr">
        <is>
          <t>Data Explorer</t>
        </is>
      </c>
      <c r="G2468" s="390" t="inlineStr">
        <is>
          <t>Chỉ tiêu cơ sở</t>
        </is>
      </c>
      <c r="H2468" s="390" t="inlineStr">
        <is>
          <t>TB</t>
        </is>
      </c>
      <c r="I2468" s="390" t="inlineStr">
        <is>
          <t>Ngày, CTCK</t>
        </is>
      </c>
      <c r="J2468" s="401" t="inlineStr">
        <is>
          <t>SCMS</t>
        </is>
      </c>
      <c r="K2468" s="401" t="n"/>
      <c r="L2468" s="401" t="inlineStr">
        <is>
          <t>X</t>
        </is>
      </c>
      <c r="M2468" s="401" t="n"/>
      <c r="N2468" s="401" t="inlineStr">
        <is>
          <t>Done</t>
        </is>
      </c>
      <c r="O2468" s="401" t="n"/>
      <c r="P2468" s="22" t="n"/>
      <c r="S2468" s="22" t="n"/>
      <c r="U2468" s="16" t="n"/>
      <c r="V2468" s="22" t="n"/>
      <c r="W2468" s="22" t="n"/>
      <c r="X2468" s="22" t="n"/>
      <c r="Y2468" s="38" t="n"/>
      <c r="Z2468" s="22" t="n"/>
      <c r="AA2468" s="22" t="n"/>
      <c r="AB2468" s="22" t="n"/>
      <c r="AC2468" s="22" t="n"/>
      <c r="AD2468" s="22" t="n"/>
      <c r="AE2468" s="22" t="n"/>
    </row>
    <row r="2469" ht="70" customHeight="1" s="380">
      <c r="A2469" s="126" t="n">
        <v>102</v>
      </c>
      <c r="B2469" s="390" t="n"/>
      <c r="C2469" s="390" t="inlineStr">
        <is>
          <t>Báo cáo theo Thông tư 121/2020/TT-BTC &gt;&gt; Báo cáo tỷ lệ An toàn tài chính &gt;&gt; Bảng tính giá trị rủi ro (Rủi ro thị trường)</t>
        </is>
      </c>
      <c r="D2469" s="390" t="inlineStr">
        <is>
          <t>Trái phiếu doanh nghiệp niêm yết</t>
        </is>
      </c>
      <c r="E2469" s="401" t="inlineStr">
        <is>
          <t>Trái phiếu doanh nghiệp niêm yết</t>
        </is>
      </c>
      <c r="F2469" s="390" t="inlineStr">
        <is>
          <t>Data Explorer</t>
        </is>
      </c>
      <c r="G2469" s="390" t="inlineStr">
        <is>
          <t>Chỉ tiêu cơ sở</t>
        </is>
      </c>
      <c r="H2469" s="390" t="inlineStr">
        <is>
          <t>TB</t>
        </is>
      </c>
      <c r="I2469" s="390" t="inlineStr">
        <is>
          <t>Ngày, CTCK</t>
        </is>
      </c>
      <c r="J2469" s="401" t="inlineStr">
        <is>
          <t>SCMS</t>
        </is>
      </c>
      <c r="K2469" s="401" t="n"/>
      <c r="L2469" s="401" t="inlineStr">
        <is>
          <t>X</t>
        </is>
      </c>
      <c r="M2469" s="401" t="n"/>
      <c r="N2469" s="401" t="inlineStr">
        <is>
          <t>Done</t>
        </is>
      </c>
      <c r="O2469" s="401" t="n"/>
      <c r="P2469" s="22" t="n"/>
      <c r="S2469" s="22" t="n"/>
      <c r="U2469" s="16" t="n"/>
      <c r="V2469" s="22" t="n"/>
      <c r="W2469" s="22" t="n"/>
      <c r="X2469" s="22" t="n"/>
      <c r="Y2469" s="38" t="n"/>
      <c r="Z2469" s="22" t="n"/>
      <c r="AA2469" s="22" t="n"/>
      <c r="AB2469" s="22" t="n"/>
      <c r="AC2469" s="22" t="n"/>
      <c r="AD2469" s="22" t="n"/>
      <c r="AE2469" s="22" t="n"/>
    </row>
    <row r="2470" ht="70" customHeight="1" s="380">
      <c r="A2470" s="126" t="n">
        <v>102</v>
      </c>
      <c r="B2470" s="390" t="n"/>
      <c r="C2470" s="390" t="inlineStr">
        <is>
          <t>Báo cáo theo Thông tư 121/2020/TT-BTC &gt;&gt; Báo cáo tỷ lệ An toàn tài chính &gt;&gt; Bảng tính giá trị rủi ro (Rủi ro thị trường)</t>
        </is>
      </c>
      <c r="D2470" s="390" t="inlineStr">
        <is>
          <t>Trái phiếu niêm yết có thời gian đáo hạn còn lại dưới 1 năm</t>
        </is>
      </c>
      <c r="E2470" s="401" t="inlineStr">
        <is>
          <t xml:space="preserve">Trái phiếu niêm yết có thời gian đáo hạn còn lại dưới 1 năm, kể cả trái phiếu chuyển đổi 
</t>
        </is>
      </c>
      <c r="F2470" s="390" t="inlineStr">
        <is>
          <t>Data Explorer</t>
        </is>
      </c>
      <c r="G2470" s="390" t="inlineStr">
        <is>
          <t>Chỉ tiêu cơ sở</t>
        </is>
      </c>
      <c r="H2470" s="390" t="inlineStr">
        <is>
          <t>TB</t>
        </is>
      </c>
      <c r="I2470" s="390" t="inlineStr">
        <is>
          <t>Ngày, CTCK</t>
        </is>
      </c>
      <c r="J2470" s="401" t="inlineStr">
        <is>
          <t>SCMS</t>
        </is>
      </c>
      <c r="K2470" s="401" t="n"/>
      <c r="L2470" s="401" t="inlineStr">
        <is>
          <t>X</t>
        </is>
      </c>
      <c r="M2470" s="401" t="n"/>
      <c r="N2470" s="401" t="inlineStr">
        <is>
          <t>Done</t>
        </is>
      </c>
      <c r="O2470" s="401" t="n"/>
      <c r="P2470" s="22" t="n"/>
      <c r="S2470" s="22" t="n"/>
      <c r="U2470" s="16" t="n"/>
      <c r="V2470" s="22" t="n"/>
      <c r="W2470" s="22" t="n"/>
      <c r="X2470" s="22" t="n"/>
      <c r="Y2470" s="38" t="n"/>
      <c r="Z2470" s="22" t="n"/>
      <c r="AA2470" s="22" t="n"/>
      <c r="AB2470" s="22" t="n"/>
      <c r="AC2470" s="22" t="n"/>
      <c r="AD2470" s="22" t="n"/>
      <c r="AE2470" s="22" t="n"/>
    </row>
    <row r="2471" ht="70" customHeight="1" s="380">
      <c r="A2471" s="126" t="n">
        <v>102</v>
      </c>
      <c r="B2471" s="390" t="n"/>
      <c r="C2471" s="390" t="inlineStr">
        <is>
          <t>Báo cáo theo Thông tư 121/2020/TT-BTC &gt;&gt; Báo cáo tỷ lệ An toàn tài chính &gt;&gt; Bảng tính giá trị rủi ro (Rủi ro thị trường)</t>
        </is>
      </c>
      <c r="D2471" s="390" t="inlineStr">
        <is>
          <t>Trái phiếu niêm yết có thời gian đáo hạn còn lại từ 1 năm đến dưới 3 năm</t>
        </is>
      </c>
      <c r="E2471" s="401" t="inlineStr">
        <is>
          <t>Trái phiếu niêm yết có thời gian đáo hạn còn lại từ 1 năm đến dưới 3 năm, kể cả trái phiếu chuyển đổi</t>
        </is>
      </c>
      <c r="F2471" s="390" t="inlineStr">
        <is>
          <t>Data Explorer</t>
        </is>
      </c>
      <c r="G2471" s="390" t="inlineStr">
        <is>
          <t>Chỉ tiêu cơ sở</t>
        </is>
      </c>
      <c r="H2471" s="390" t="inlineStr">
        <is>
          <t>TB</t>
        </is>
      </c>
      <c r="I2471" s="390" t="inlineStr">
        <is>
          <t>Ngày, CTCK</t>
        </is>
      </c>
      <c r="J2471" s="401" t="inlineStr">
        <is>
          <t>SCMS</t>
        </is>
      </c>
      <c r="K2471" s="401" t="n"/>
      <c r="L2471" s="401" t="inlineStr">
        <is>
          <t>X</t>
        </is>
      </c>
      <c r="M2471" s="401" t="n"/>
      <c r="N2471" s="401" t="inlineStr">
        <is>
          <t>Done</t>
        </is>
      </c>
      <c r="O2471" s="401" t="n"/>
      <c r="P2471" s="22" t="n"/>
      <c r="S2471" s="22" t="n"/>
      <c r="U2471" s="16" t="n"/>
      <c r="V2471" s="22" t="n"/>
      <c r="W2471" s="22" t="n"/>
      <c r="X2471" s="22" t="n"/>
      <c r="Y2471" s="38" t="n"/>
      <c r="Z2471" s="22" t="n"/>
      <c r="AA2471" s="22" t="n"/>
      <c r="AB2471" s="22" t="n"/>
      <c r="AC2471" s="22" t="n"/>
      <c r="AD2471" s="22" t="n"/>
      <c r="AE2471" s="22" t="n"/>
    </row>
    <row r="2472" ht="70" customHeight="1" s="380">
      <c r="A2472" s="126" t="n">
        <v>102</v>
      </c>
      <c r="B2472" s="390" t="n"/>
      <c r="C2472" s="390" t="inlineStr">
        <is>
          <t>Báo cáo theo Thông tư 121/2020/TT-BTC &gt;&gt; Báo cáo tỷ lệ An toàn tài chính &gt;&gt; Bảng tính giá trị rủi ro (Rủi ro thị trường)</t>
        </is>
      </c>
      <c r="D2472" s="390" t="inlineStr">
        <is>
          <t>Trái phiếu niêm yết có thời gian đáo hạn còn lại từ 3 năm đến dưới 5 năm</t>
        </is>
      </c>
      <c r="E2472" s="401" t="inlineStr">
        <is>
          <t>Trái phiếu niêm yết có thời gian đáo hạn còn lại từ 3 năm đến dưới 5 năm, kể cả trái phiếu chuyển đổi</t>
        </is>
      </c>
      <c r="F2472" s="390" t="inlineStr">
        <is>
          <t>Data Explorer</t>
        </is>
      </c>
      <c r="G2472" s="390" t="inlineStr">
        <is>
          <t>Chỉ tiêu cơ sở</t>
        </is>
      </c>
      <c r="H2472" s="390" t="inlineStr">
        <is>
          <t>TB</t>
        </is>
      </c>
      <c r="I2472" s="390" t="inlineStr">
        <is>
          <t>Ngày, CTCK</t>
        </is>
      </c>
      <c r="J2472" s="401" t="inlineStr">
        <is>
          <t>SCMS</t>
        </is>
      </c>
      <c r="K2472" s="401" t="n"/>
      <c r="L2472" s="401" t="inlineStr">
        <is>
          <t>X</t>
        </is>
      </c>
      <c r="M2472" s="401" t="n"/>
      <c r="N2472" s="401" t="inlineStr">
        <is>
          <t>Done</t>
        </is>
      </c>
      <c r="O2472" s="401" t="n"/>
      <c r="P2472" s="22" t="n"/>
      <c r="S2472" s="22" t="n"/>
      <c r="U2472" s="16" t="n"/>
      <c r="V2472" s="22" t="n"/>
      <c r="W2472" s="22" t="n"/>
      <c r="X2472" s="22" t="n"/>
      <c r="Y2472" s="38" t="n"/>
      <c r="Z2472" s="22" t="n"/>
      <c r="AA2472" s="22" t="n"/>
      <c r="AB2472" s="22" t="n"/>
      <c r="AC2472" s="22" t="n"/>
      <c r="AD2472" s="22" t="n"/>
      <c r="AE2472" s="22" t="n"/>
    </row>
    <row r="2473" ht="70" customHeight="1" s="380">
      <c r="A2473" s="126" t="n">
        <v>102</v>
      </c>
      <c r="B2473" s="390" t="n"/>
      <c r="C2473" s="390" t="inlineStr">
        <is>
          <t>Báo cáo theo Thông tư 121/2020/TT-BTC &gt;&gt; Báo cáo tỷ lệ An toàn tài chính &gt;&gt; Bảng tính giá trị rủi ro (Rủi ro thị trường)</t>
        </is>
      </c>
      <c r="D2473" s="390" t="inlineStr">
        <is>
          <t>Trái phiếu niêm yết có thời gian đáo hạn còn lại từ 5 năm trở lên</t>
        </is>
      </c>
      <c r="E2473" s="401" t="inlineStr">
        <is>
          <t xml:space="preserve">Trái phiếu niêm yết có thời gian đáo hạn còn lại từ 5 năm trở lên, kể cả trái phiếu chuyển đổi 
</t>
        </is>
      </c>
      <c r="F2473" s="390" t="inlineStr">
        <is>
          <t>Data Explorer</t>
        </is>
      </c>
      <c r="G2473" s="390" t="inlineStr">
        <is>
          <t>Chỉ tiêu cơ sở</t>
        </is>
      </c>
      <c r="H2473" s="390" t="inlineStr">
        <is>
          <t>TB</t>
        </is>
      </c>
      <c r="I2473" s="390" t="inlineStr">
        <is>
          <t>Ngày, CTCK</t>
        </is>
      </c>
      <c r="J2473" s="401" t="inlineStr">
        <is>
          <t>SCMS</t>
        </is>
      </c>
      <c r="K2473" s="401" t="n"/>
      <c r="L2473" s="401" t="inlineStr">
        <is>
          <t>X</t>
        </is>
      </c>
      <c r="M2473" s="401" t="n"/>
      <c r="N2473" s="401" t="inlineStr">
        <is>
          <t>Done</t>
        </is>
      </c>
      <c r="O2473" s="401" t="n"/>
      <c r="P2473" s="22" t="n"/>
      <c r="S2473" s="22" t="n"/>
      <c r="U2473" s="16" t="n"/>
      <c r="V2473" s="22" t="n"/>
      <c r="W2473" s="22" t="n"/>
      <c r="X2473" s="22" t="n"/>
      <c r="Y2473" s="38" t="n"/>
      <c r="Z2473" s="22" t="n"/>
      <c r="AA2473" s="22" t="n"/>
      <c r="AB2473" s="22" t="n"/>
      <c r="AC2473" s="22" t="n"/>
      <c r="AD2473" s="22" t="n"/>
      <c r="AE2473" s="22" t="n"/>
    </row>
    <row r="2474" ht="70" customHeight="1" s="380">
      <c r="A2474" s="126" t="n">
        <v>102</v>
      </c>
      <c r="B2474" s="390" t="n"/>
      <c r="C2474" s="390" t="inlineStr">
        <is>
          <t>Báo cáo theo Thông tư 121/2020/TT-BTC &gt;&gt; Báo cáo tỷ lệ An toàn tài chính &gt;&gt; Bảng tính giá trị rủi ro (Rủi ro thị trường)</t>
        </is>
      </c>
      <c r="D2474" s="390" t="inlineStr">
        <is>
          <t>Trái phiếu doanh nghiệp không niêm yết</t>
        </is>
      </c>
      <c r="E2474" s="401" t="inlineStr">
        <is>
          <t>Trái phiếu doanh nghiệp không niêm yết</t>
        </is>
      </c>
      <c r="F2474" s="390" t="inlineStr">
        <is>
          <t>Data Explorer</t>
        </is>
      </c>
      <c r="G2474" s="390" t="inlineStr">
        <is>
          <t>Chỉ tiêu cơ sở</t>
        </is>
      </c>
      <c r="H2474" s="390" t="inlineStr">
        <is>
          <t>TB</t>
        </is>
      </c>
      <c r="I2474" s="390" t="inlineStr">
        <is>
          <t>Ngày, CTCK</t>
        </is>
      </c>
      <c r="J2474" s="401" t="inlineStr">
        <is>
          <t>SCMS</t>
        </is>
      </c>
      <c r="K2474" s="401" t="n"/>
      <c r="L2474" s="401" t="inlineStr">
        <is>
          <t>X</t>
        </is>
      </c>
      <c r="M2474" s="401" t="n"/>
      <c r="N2474" s="401" t="inlineStr">
        <is>
          <t>Done</t>
        </is>
      </c>
      <c r="O2474" s="401" t="n"/>
      <c r="P2474" s="22" t="n"/>
      <c r="S2474" s="22" t="n"/>
      <c r="U2474" s="16" t="n"/>
      <c r="V2474" s="22" t="n"/>
      <c r="W2474" s="22" t="n"/>
      <c r="X2474" s="22" t="n"/>
      <c r="Y2474" s="38" t="n"/>
      <c r="Z2474" s="22" t="n"/>
      <c r="AA2474" s="22" t="n"/>
      <c r="AB2474" s="22" t="n"/>
      <c r="AC2474" s="22" t="n"/>
      <c r="AD2474" s="22" t="n"/>
      <c r="AE2474" s="22" t="n"/>
    </row>
    <row r="2475" ht="70" customHeight="1" s="380">
      <c r="A2475" s="126" t="n">
        <v>102</v>
      </c>
      <c r="B2475" s="390" t="n"/>
      <c r="C2475" s="390" t="inlineStr">
        <is>
          <t>Báo cáo theo Thông tư 121/2020/TT-BTC &gt;&gt; Báo cáo tỷ lệ An toàn tài chính &gt;&gt; Bảng tính giá trị rủi ro (Rủi ro thị trường)</t>
        </is>
      </c>
      <c r="D2475" s="390" t="inlineStr">
        <is>
          <t>Trái phiếu không niêm yết do doanh nghiệp niêm yết phát hành có thời gian đáo hạn còn lại dưới 1 năm</t>
        </is>
      </c>
      <c r="E2475" s="401" t="inlineStr">
        <is>
          <t>Trái phiếu không niêm yết do doanh nghiệp niêm yết phát hành có thời gian đáo hạn còn lại dưới 1 năm, kể cả trái phiếu chuyển đổi</t>
        </is>
      </c>
      <c r="F2475" s="390" t="inlineStr">
        <is>
          <t>Data Explorer</t>
        </is>
      </c>
      <c r="G2475" s="390" t="inlineStr">
        <is>
          <t>Chỉ tiêu cơ sở</t>
        </is>
      </c>
      <c r="H2475" s="390" t="inlineStr">
        <is>
          <t>TB</t>
        </is>
      </c>
      <c r="I2475" s="390" t="inlineStr">
        <is>
          <t>Ngày, CTCK</t>
        </is>
      </c>
      <c r="J2475" s="401" t="inlineStr">
        <is>
          <t>SCMS</t>
        </is>
      </c>
      <c r="K2475" s="401" t="n"/>
      <c r="L2475" s="401" t="inlineStr">
        <is>
          <t>X</t>
        </is>
      </c>
      <c r="M2475" s="401" t="n"/>
      <c r="N2475" s="401" t="inlineStr">
        <is>
          <t>Done</t>
        </is>
      </c>
      <c r="O2475" s="401" t="n"/>
      <c r="P2475" s="22" t="n"/>
      <c r="S2475" s="22" t="n"/>
      <c r="U2475" s="16" t="n"/>
      <c r="V2475" s="22" t="n"/>
      <c r="W2475" s="22" t="n"/>
      <c r="X2475" s="22" t="n"/>
      <c r="Y2475" s="38" t="n"/>
      <c r="Z2475" s="22" t="n"/>
      <c r="AA2475" s="22" t="n"/>
      <c r="AB2475" s="22" t="n"/>
      <c r="AC2475" s="22" t="n"/>
      <c r="AD2475" s="22" t="n"/>
      <c r="AE2475" s="22" t="n"/>
    </row>
    <row r="2476" ht="70" customHeight="1" s="380">
      <c r="A2476" s="126" t="n">
        <v>102</v>
      </c>
      <c r="B2476" s="390" t="n"/>
      <c r="C2476" s="390" t="inlineStr">
        <is>
          <t>Báo cáo theo Thông tư 121/2020/TT-BTC &gt;&gt; Báo cáo tỷ lệ An toàn tài chính &gt;&gt; Bảng tính giá trị rủi ro (Rủi ro thị trường)</t>
        </is>
      </c>
      <c r="D2476" s="390" t="inlineStr">
        <is>
          <t>Trái phiếu không niêm yết do doanh nghiệp niêm yết phát hành có thời gian đáo hạn còn lại từ 1 năm đến dưới 3 năm</t>
        </is>
      </c>
      <c r="E2476" s="401" t="inlineStr">
        <is>
          <t>Trái phiếu không niêm yết do doanh nghiệp niêm yết phát hành có thời gian đáo hạn còn lại từ 1 năm đến dưới 3 năm, kể cả trái phiếu chuyển đổi</t>
        </is>
      </c>
      <c r="F2476" s="390" t="inlineStr">
        <is>
          <t>Data Explorer</t>
        </is>
      </c>
      <c r="G2476" s="390" t="inlineStr">
        <is>
          <t>Chỉ tiêu cơ sở</t>
        </is>
      </c>
      <c r="H2476" s="390" t="inlineStr">
        <is>
          <t>TB</t>
        </is>
      </c>
      <c r="I2476" s="390" t="inlineStr">
        <is>
          <t>Ngày, CTCK</t>
        </is>
      </c>
      <c r="J2476" s="401" t="inlineStr">
        <is>
          <t>SCMS</t>
        </is>
      </c>
      <c r="K2476" s="401" t="n"/>
      <c r="L2476" s="401" t="inlineStr">
        <is>
          <t>X</t>
        </is>
      </c>
      <c r="M2476" s="401" t="n"/>
      <c r="N2476" s="401" t="inlineStr">
        <is>
          <t>Done</t>
        </is>
      </c>
      <c r="O2476" s="401" t="n"/>
      <c r="P2476" s="22" t="n"/>
      <c r="S2476" s="22" t="n"/>
      <c r="U2476" s="16" t="n"/>
      <c r="V2476" s="22" t="n"/>
      <c r="W2476" s="22" t="n"/>
      <c r="X2476" s="22" t="n"/>
      <c r="Y2476" s="38" t="n"/>
      <c r="Z2476" s="22" t="n"/>
      <c r="AA2476" s="22" t="n"/>
      <c r="AB2476" s="22" t="n"/>
      <c r="AC2476" s="22" t="n"/>
      <c r="AD2476" s="22" t="n"/>
      <c r="AE2476" s="22" t="n"/>
    </row>
    <row r="2477" ht="70" customHeight="1" s="380">
      <c r="A2477" s="126" t="n">
        <v>102</v>
      </c>
      <c r="B2477" s="390" t="n"/>
      <c r="C2477" s="390" t="inlineStr">
        <is>
          <t>Báo cáo theo Thông tư 121/2020/TT-BTC &gt;&gt; Báo cáo tỷ lệ An toàn tài chính &gt;&gt; Bảng tính giá trị rủi ro (Rủi ro thị trường)</t>
        </is>
      </c>
      <c r="D2477" s="390" t="inlineStr">
        <is>
          <t>Trái phiếu không niêm yết do doanh nghiệp niêm yết phát hành có thời gian đáo hạn còn lại từ 3 năm đến dưới 5 năm</t>
        </is>
      </c>
      <c r="E2477" s="401" t="inlineStr">
        <is>
          <t>Trái phiếu không niêm yết do doanh nghiệp niêm yết phát hành có thời gian đáo hạn còn lại từ 3 năm đến dưới 5 năm, kể cả trái phiếu chuyển đổi</t>
        </is>
      </c>
      <c r="F2477" s="390" t="inlineStr">
        <is>
          <t>Data Explorer</t>
        </is>
      </c>
      <c r="G2477" s="390" t="inlineStr">
        <is>
          <t>Chỉ tiêu cơ sở</t>
        </is>
      </c>
      <c r="H2477" s="390" t="inlineStr">
        <is>
          <t>TB</t>
        </is>
      </c>
      <c r="I2477" s="390" t="inlineStr">
        <is>
          <t>Ngày, CTCK</t>
        </is>
      </c>
      <c r="J2477" s="401" t="inlineStr">
        <is>
          <t>SCMS</t>
        </is>
      </c>
      <c r="K2477" s="401" t="n"/>
      <c r="L2477" s="401" t="inlineStr">
        <is>
          <t>X</t>
        </is>
      </c>
      <c r="M2477" s="401" t="n"/>
      <c r="N2477" s="401" t="inlineStr">
        <is>
          <t>Done</t>
        </is>
      </c>
      <c r="O2477" s="401" t="n"/>
      <c r="P2477" s="22" t="n"/>
      <c r="S2477" s="22" t="n"/>
      <c r="U2477" s="16" t="n"/>
      <c r="V2477" s="22" t="n"/>
      <c r="W2477" s="22" t="n"/>
      <c r="X2477" s="22" t="n"/>
      <c r="Y2477" s="38" t="n"/>
      <c r="Z2477" s="22" t="n"/>
      <c r="AA2477" s="22" t="n"/>
      <c r="AB2477" s="22" t="n"/>
      <c r="AC2477" s="22" t="n"/>
      <c r="AD2477" s="22" t="n"/>
      <c r="AE2477" s="22" t="n"/>
    </row>
    <row r="2478" ht="70" customHeight="1" s="380">
      <c r="A2478" s="126" t="n">
        <v>102</v>
      </c>
      <c r="B2478" s="390" t="n"/>
      <c r="C2478" s="390" t="inlineStr">
        <is>
          <t>Báo cáo theo Thông tư 121/2020/TT-BTC &gt;&gt; Báo cáo tỷ lệ An toàn tài chính &gt;&gt; Bảng tính giá trị rủi ro (Rủi ro thị trường)</t>
        </is>
      </c>
      <c r="D2478" s="390" t="inlineStr">
        <is>
          <t>Trái phiếu không niêm yết do doanh nghiệp niêm yết phát hành có thời gian đáo hạn còn lại từ 5 năm trở lên</t>
        </is>
      </c>
      <c r="E2478" s="401" t="inlineStr">
        <is>
          <t>Trái phiếu không niêm yết do doanh nghiệp niêm yết phát hành có thời gian đáo hạn còn lại từ 5 năm trở lên, kể cả trái phiếu chuyển đổi</t>
        </is>
      </c>
      <c r="F2478" s="390" t="inlineStr">
        <is>
          <t>Data Explorer</t>
        </is>
      </c>
      <c r="G2478" s="390" t="inlineStr">
        <is>
          <t>Chỉ tiêu cơ sở</t>
        </is>
      </c>
      <c r="H2478" s="390" t="inlineStr">
        <is>
          <t>TB</t>
        </is>
      </c>
      <c r="I2478" s="390" t="inlineStr">
        <is>
          <t>Ngày, CTCK</t>
        </is>
      </c>
      <c r="J2478" s="401" t="inlineStr">
        <is>
          <t>SCMS</t>
        </is>
      </c>
      <c r="K2478" s="401" t="n"/>
      <c r="L2478" s="401" t="inlineStr">
        <is>
          <t>X</t>
        </is>
      </c>
      <c r="M2478" s="401" t="n"/>
      <c r="N2478" s="401" t="inlineStr">
        <is>
          <t>Done</t>
        </is>
      </c>
      <c r="O2478" s="401" t="n"/>
      <c r="P2478" s="22" t="n"/>
      <c r="S2478" s="22" t="n"/>
      <c r="U2478" s="16" t="n"/>
      <c r="V2478" s="22" t="n"/>
      <c r="W2478" s="22" t="n"/>
      <c r="X2478" s="22" t="n"/>
      <c r="Y2478" s="38" t="n"/>
      <c r="Z2478" s="22" t="n"/>
      <c r="AA2478" s="22" t="n"/>
      <c r="AB2478" s="22" t="n"/>
      <c r="AC2478" s="22" t="n"/>
      <c r="AD2478" s="22" t="n"/>
      <c r="AE2478" s="22" t="n"/>
    </row>
    <row r="2479" ht="70" customHeight="1" s="380">
      <c r="A2479" s="126" t="n">
        <v>102</v>
      </c>
      <c r="B2479" s="390" t="n"/>
      <c r="C2479" s="390" t="inlineStr">
        <is>
          <t>Báo cáo theo Thông tư 121/2020/TT-BTC &gt;&gt; Báo cáo tỷ lệ An toàn tài chính &gt;&gt; Bảng tính giá trị rủi ro (Rủi ro thị trường)</t>
        </is>
      </c>
      <c r="D2479" s="390" t="inlineStr">
        <is>
          <t>Trái phiếu không niêm yết do doanh nghiệp khác phát hành có thời gian đáo hạn còn lại dưới 1 năm</t>
        </is>
      </c>
      <c r="E2479" s="401" t="inlineStr">
        <is>
          <t>Trái phiếu không niêm yết do doanh nghiệp khác phát hành có thời gian đáo hạn còn lại dưới 1 năm, kể cả trái phiếu chuyển đổi</t>
        </is>
      </c>
      <c r="F2479" s="390" t="inlineStr">
        <is>
          <t>Data Explorer</t>
        </is>
      </c>
      <c r="G2479" s="390" t="inlineStr">
        <is>
          <t>Chỉ tiêu cơ sở</t>
        </is>
      </c>
      <c r="H2479" s="390" t="inlineStr">
        <is>
          <t>TB</t>
        </is>
      </c>
      <c r="I2479" s="390" t="inlineStr">
        <is>
          <t>Ngày, CTCK</t>
        </is>
      </c>
      <c r="J2479" s="401" t="inlineStr">
        <is>
          <t>SCMS</t>
        </is>
      </c>
      <c r="K2479" s="401" t="n"/>
      <c r="L2479" s="401" t="inlineStr">
        <is>
          <t>X</t>
        </is>
      </c>
      <c r="M2479" s="401" t="n"/>
      <c r="N2479" s="401" t="inlineStr">
        <is>
          <t>Done</t>
        </is>
      </c>
      <c r="O2479" s="401" t="n"/>
      <c r="P2479" s="22" t="n"/>
      <c r="S2479" s="22" t="n"/>
      <c r="U2479" s="16" t="n"/>
      <c r="V2479" s="22" t="n"/>
      <c r="W2479" s="22" t="n"/>
      <c r="X2479" s="22" t="n"/>
      <c r="Y2479" s="38" t="n"/>
      <c r="Z2479" s="22" t="n"/>
      <c r="AA2479" s="22" t="n"/>
      <c r="AB2479" s="22" t="n"/>
      <c r="AC2479" s="22" t="n"/>
      <c r="AD2479" s="22" t="n"/>
      <c r="AE2479" s="22" t="n"/>
    </row>
    <row r="2480" ht="70" customHeight="1" s="380">
      <c r="A2480" s="126" t="n">
        <v>102</v>
      </c>
      <c r="B2480" s="390" t="n"/>
      <c r="C2480" s="390" t="inlineStr">
        <is>
          <t>Báo cáo theo Thông tư 121/2020/TT-BTC &gt;&gt; Báo cáo tỷ lệ An toàn tài chính &gt;&gt; Bảng tính giá trị rủi ro (Rủi ro thị trường)</t>
        </is>
      </c>
      <c r="D2480" s="390" t="inlineStr">
        <is>
          <t>Trái phiếu không niêm yết do doanh nghiệp khác phát hành có thời gian đáo hạn còn lại từ 1 năm đến dưới 3 năm</t>
        </is>
      </c>
      <c r="E2480" s="401" t="inlineStr">
        <is>
          <t>Trái phiếu không niêm yết do doanh nghiệp khác phát hành có thời gian đáo hạn còn lại từ 1 năm đến dưới 3 năm, kể cả trái phiếu chuyển đổi</t>
        </is>
      </c>
      <c r="F2480" s="390" t="inlineStr">
        <is>
          <t>Data Explorer</t>
        </is>
      </c>
      <c r="G2480" s="390" t="inlineStr">
        <is>
          <t>Chỉ tiêu cơ sở</t>
        </is>
      </c>
      <c r="H2480" s="390" t="inlineStr">
        <is>
          <t>TB</t>
        </is>
      </c>
      <c r="I2480" s="390" t="inlineStr">
        <is>
          <t>Ngày, CTCK</t>
        </is>
      </c>
      <c r="J2480" s="401" t="inlineStr">
        <is>
          <t>SCMS</t>
        </is>
      </c>
      <c r="K2480" s="401" t="n"/>
      <c r="L2480" s="401" t="inlineStr">
        <is>
          <t>X</t>
        </is>
      </c>
      <c r="M2480" s="401" t="n"/>
      <c r="N2480" s="401" t="inlineStr">
        <is>
          <t>Done</t>
        </is>
      </c>
      <c r="O2480" s="401" t="n"/>
      <c r="P2480" s="22" t="n"/>
      <c r="S2480" s="22" t="n"/>
      <c r="U2480" s="16" t="n"/>
      <c r="V2480" s="22" t="n"/>
      <c r="W2480" s="22" t="n"/>
      <c r="X2480" s="22" t="n"/>
      <c r="Y2480" s="38" t="n"/>
      <c r="Z2480" s="22" t="n"/>
      <c r="AA2480" s="22" t="n"/>
      <c r="AB2480" s="22" t="n"/>
      <c r="AC2480" s="22" t="n"/>
      <c r="AD2480" s="22" t="n"/>
      <c r="AE2480" s="22" t="n"/>
    </row>
    <row r="2481" ht="70" customHeight="1" s="380">
      <c r="A2481" s="126" t="n">
        <v>102</v>
      </c>
      <c r="B2481" s="390" t="n"/>
      <c r="C2481" s="390" t="inlineStr">
        <is>
          <t>Báo cáo theo Thông tư 121/2020/TT-BTC &gt;&gt; Báo cáo tỷ lệ An toàn tài chính &gt;&gt; Bảng tính giá trị rủi ro (Rủi ro thị trường)</t>
        </is>
      </c>
      <c r="D2481" s="390" t="inlineStr">
        <is>
          <t>Trái phiếu không niêm yết do doanh nghiệp khác phát hành có thời gian đáo hạn còn lại từ 3 năm đến dưới 5 năm</t>
        </is>
      </c>
      <c r="E2481" s="401" t="inlineStr">
        <is>
          <t>Trái phiếu không niêm yết do doanh nghiệp khác phát hành có thời gian đáo hạn còn lại từ 3 năm đến dưới 5 năm, kể cả trái phiếu chuyển đổi</t>
        </is>
      </c>
      <c r="F2481" s="390" t="inlineStr">
        <is>
          <t>Data Explorer</t>
        </is>
      </c>
      <c r="G2481" s="390" t="inlineStr">
        <is>
          <t>Chỉ tiêu cơ sở</t>
        </is>
      </c>
      <c r="H2481" s="390" t="inlineStr">
        <is>
          <t>TB</t>
        </is>
      </c>
      <c r="I2481" s="390" t="inlineStr">
        <is>
          <t>Ngày, CTCK</t>
        </is>
      </c>
      <c r="J2481" s="401" t="inlineStr">
        <is>
          <t>SCMS</t>
        </is>
      </c>
      <c r="K2481" s="401" t="n"/>
      <c r="L2481" s="401" t="inlineStr">
        <is>
          <t>X</t>
        </is>
      </c>
      <c r="M2481" s="401" t="n"/>
      <c r="N2481" s="401" t="inlineStr">
        <is>
          <t>Done</t>
        </is>
      </c>
      <c r="O2481" s="401" t="n"/>
      <c r="P2481" s="22" t="n"/>
      <c r="S2481" s="22" t="n"/>
      <c r="U2481" s="16" t="n"/>
      <c r="V2481" s="22" t="n"/>
      <c r="W2481" s="22" t="n"/>
      <c r="X2481" s="22" t="n"/>
      <c r="Y2481" s="38" t="n"/>
      <c r="Z2481" s="22" t="n"/>
      <c r="AA2481" s="22" t="n"/>
      <c r="AB2481" s="22" t="n"/>
      <c r="AC2481" s="22" t="n"/>
      <c r="AD2481" s="22" t="n"/>
      <c r="AE2481" s="22" t="n"/>
    </row>
    <row r="2482" ht="70" customHeight="1" s="380">
      <c r="A2482" s="126" t="n">
        <v>102</v>
      </c>
      <c r="B2482" s="390" t="n"/>
      <c r="C2482" s="390" t="inlineStr">
        <is>
          <t>Báo cáo theo Thông tư 121/2020/TT-BTC &gt;&gt; Báo cáo tỷ lệ An toàn tài chính &gt;&gt; Bảng tính giá trị rủi ro (Rủi ro thị trường)</t>
        </is>
      </c>
      <c r="D2482" s="390" t="inlineStr">
        <is>
          <t>Trái phiếu không niêm yết do doanh nghiệp khác phát hành có thời gian đáo hạn còn lại từ 5 năm trở lên</t>
        </is>
      </c>
      <c r="E2482" s="401" t="inlineStr">
        <is>
          <t>Trái phiếu không niêm yết do doanh nghiệp khác phát hành có thời gian đáo hạn còn lại từ 5 năm trở lên, kể cả trái phiếu chuyển đổi</t>
        </is>
      </c>
      <c r="F2482" s="390" t="inlineStr">
        <is>
          <t>Data Explorer</t>
        </is>
      </c>
      <c r="G2482" s="390" t="inlineStr">
        <is>
          <t>Chỉ tiêu cơ sở</t>
        </is>
      </c>
      <c r="H2482" s="390" t="inlineStr">
        <is>
          <t>TB</t>
        </is>
      </c>
      <c r="I2482" s="390" t="inlineStr">
        <is>
          <t>Ngày, CTCK</t>
        </is>
      </c>
      <c r="J2482" s="401" t="inlineStr">
        <is>
          <t>SCMS</t>
        </is>
      </c>
      <c r="K2482" s="401" t="n"/>
      <c r="L2482" s="401" t="inlineStr">
        <is>
          <t>X</t>
        </is>
      </c>
      <c r="M2482" s="401" t="n"/>
      <c r="N2482" s="401" t="inlineStr">
        <is>
          <t>Done</t>
        </is>
      </c>
      <c r="O2482" s="401" t="n"/>
      <c r="P2482" s="22" t="n"/>
      <c r="S2482" s="22" t="n"/>
      <c r="U2482" s="16" t="n"/>
      <c r="V2482" s="22" t="n"/>
      <c r="W2482" s="22" t="n"/>
      <c r="X2482" s="22" t="n"/>
      <c r="Y2482" s="38" t="n"/>
      <c r="Z2482" s="22" t="n"/>
      <c r="AA2482" s="22" t="n"/>
      <c r="AB2482" s="22" t="n"/>
      <c r="AC2482" s="22" t="n"/>
      <c r="AD2482" s="22" t="n"/>
      <c r="AE2482" s="22" t="n"/>
    </row>
    <row r="2483" ht="70" customHeight="1" s="380">
      <c r="A2483" s="126" t="n">
        <v>102</v>
      </c>
      <c r="B2483" s="390" t="n"/>
      <c r="C2483" s="390" t="inlineStr">
        <is>
          <t>Báo cáo theo Thông tư 121/2020/TT-BTC &gt;&gt; Báo cáo tỷ lệ An toàn tài chính &gt;&gt; Bảng tính giá trị rủi ro (Rủi ro thị trường)</t>
        </is>
      </c>
      <c r="D2483" s="390" t="inlineStr">
        <is>
          <t>Liệt kê kết quả xếp hạng tín nhiệm đối với trái phiếu/tổ chức phát hành</t>
        </is>
      </c>
      <c r="E2483" s="401" t="inlineStr">
        <is>
          <t>Liệt kê kết quả xếp hạng tín nhiệm đối với trái phiếu/tổ chức phát hành (chi tiết từng trái phiếu/tổ chức phát hành):
-Nêu rõ tổ chức xếp hạng tín nhiệm, thời điểm công bố kết quả xếp hạng tín nhiệm và mức xếp hạng đối với trái phiếu/tổ chức phát hành.</t>
        </is>
      </c>
      <c r="F2483" s="390" t="inlineStr">
        <is>
          <t>Data Explorer</t>
        </is>
      </c>
      <c r="G2483" s="390" t="inlineStr">
        <is>
          <t>Chỉ tiêu cơ sở</t>
        </is>
      </c>
      <c r="H2483" s="390" t="inlineStr">
        <is>
          <t>TB</t>
        </is>
      </c>
      <c r="I2483" s="390" t="inlineStr">
        <is>
          <t>Ngày, CTCK</t>
        </is>
      </c>
      <c r="J2483" s="401" t="inlineStr">
        <is>
          <t>SCMS</t>
        </is>
      </c>
      <c r="K2483" s="401" t="n"/>
      <c r="L2483" s="401" t="inlineStr">
        <is>
          <t>X</t>
        </is>
      </c>
      <c r="M2483" s="401" t="n"/>
      <c r="N2483" s="401" t="inlineStr">
        <is>
          <t>Done</t>
        </is>
      </c>
      <c r="O2483" s="401" t="n"/>
      <c r="P2483" s="22" t="n"/>
      <c r="S2483" s="22" t="n"/>
      <c r="U2483" s="16" t="n"/>
      <c r="V2483" s="22" t="n"/>
      <c r="W2483" s="22" t="n"/>
      <c r="X2483" s="22" t="n"/>
      <c r="Y2483" s="38" t="n"/>
      <c r="Z2483" s="22" t="n"/>
      <c r="AA2483" s="22" t="n"/>
      <c r="AB2483" s="22" t="n"/>
      <c r="AC2483" s="22" t="n"/>
      <c r="AD2483" s="22" t="n"/>
      <c r="AE2483" s="22" t="n"/>
    </row>
    <row r="2484" ht="70" customHeight="1" s="380">
      <c r="A2484" s="126" t="n">
        <v>102</v>
      </c>
      <c r="B2484" s="390" t="n"/>
      <c r="C2484" s="390" t="inlineStr">
        <is>
          <t>Báo cáo theo Thông tư 121/2020/TT-BTC &gt;&gt; Báo cáo tỷ lệ An toàn tài chính &gt;&gt; Bảng tính giá trị rủi ro (Rủi ro thị trường)</t>
        </is>
      </c>
      <c r="D2484" s="390" t="inlineStr">
        <is>
          <t xml:space="preserve">Cổ phiếu </t>
        </is>
      </c>
      <c r="E2484" s="401" t="inlineStr">
        <is>
          <t xml:space="preserve">Cổ phiếu </t>
        </is>
      </c>
      <c r="F2484" s="390" t="inlineStr">
        <is>
          <t>Data Explorer</t>
        </is>
      </c>
      <c r="G2484" s="390" t="inlineStr">
        <is>
          <t>Chỉ tiêu cơ sở</t>
        </is>
      </c>
      <c r="H2484" s="390" t="inlineStr">
        <is>
          <t>TB</t>
        </is>
      </c>
      <c r="I2484" s="390" t="inlineStr">
        <is>
          <t>Ngày, CTCK</t>
        </is>
      </c>
      <c r="J2484" s="401" t="inlineStr">
        <is>
          <t>SCMS</t>
        </is>
      </c>
      <c r="K2484" s="401" t="n"/>
      <c r="L2484" s="401" t="inlineStr">
        <is>
          <t>X</t>
        </is>
      </c>
      <c r="M2484" s="401" t="n"/>
      <c r="N2484" s="401" t="inlineStr">
        <is>
          <t>Done</t>
        </is>
      </c>
      <c r="O2484" s="401" t="n"/>
      <c r="P2484" s="22" t="n"/>
      <c r="S2484" s="22" t="n"/>
      <c r="U2484" s="16" t="n"/>
      <c r="V2484" s="22" t="n"/>
      <c r="W2484" s="22" t="n"/>
      <c r="X2484" s="22" t="n"/>
      <c r="Y2484" s="38" t="n"/>
      <c r="Z2484" s="22" t="n"/>
      <c r="AA2484" s="22" t="n"/>
      <c r="AB2484" s="22" t="n"/>
      <c r="AC2484" s="22" t="n"/>
      <c r="AD2484" s="22" t="n"/>
      <c r="AE2484" s="22" t="n"/>
    </row>
    <row r="2485" ht="70" customHeight="1" s="380">
      <c r="A2485" s="126" t="n">
        <v>102</v>
      </c>
      <c r="B2485" s="390" t="n"/>
      <c r="C2485" s="390" t="inlineStr">
        <is>
          <t>Báo cáo theo Thông tư 121/2020/TT-BTC &gt;&gt; Báo cáo tỷ lệ An toàn tài chính &gt;&gt; Bảng tính giá trị rủi ro (Rủi ro thị trường)</t>
        </is>
      </c>
      <c r="D2485" s="390" t="inlineStr">
        <is>
          <t xml:space="preserve">Cổ phiếu phổ thông, cổ phiếu ưu đãi của các tổ chức niêm yết tại Sở giao dịch chứng khoán </t>
        </is>
      </c>
      <c r="E2485" s="401" t="inlineStr">
        <is>
          <t xml:space="preserve">Cổ phiếu phổ thông, cổ phiếu ưu đãi của các tổ chức niêm yết tại Sở giao dịch chứng khoán 
</t>
        </is>
      </c>
      <c r="F2485" s="390" t="inlineStr">
        <is>
          <t>Data Explorer</t>
        </is>
      </c>
      <c r="G2485" s="390" t="inlineStr">
        <is>
          <t>Chỉ tiêu cơ sở</t>
        </is>
      </c>
      <c r="H2485" s="390" t="inlineStr">
        <is>
          <t>TB</t>
        </is>
      </c>
      <c r="I2485" s="390" t="inlineStr">
        <is>
          <t>Ngày, CTCK</t>
        </is>
      </c>
      <c r="J2485" s="401" t="inlineStr">
        <is>
          <t>SCMS</t>
        </is>
      </c>
      <c r="K2485" s="401" t="n"/>
      <c r="L2485" s="401" t="inlineStr">
        <is>
          <t>X</t>
        </is>
      </c>
      <c r="M2485" s="401" t="n"/>
      <c r="N2485" s="401" t="inlineStr">
        <is>
          <t>Done</t>
        </is>
      </c>
      <c r="O2485" s="401" t="n"/>
      <c r="P2485" s="22" t="n"/>
      <c r="S2485" s="22" t="n"/>
      <c r="U2485" s="16" t="n"/>
      <c r="V2485" s="22" t="n"/>
      <c r="W2485" s="22" t="n"/>
      <c r="X2485" s="22" t="n"/>
      <c r="Y2485" s="38" t="n"/>
      <c r="Z2485" s="22" t="n"/>
      <c r="AA2485" s="22" t="n"/>
      <c r="AB2485" s="22" t="n"/>
      <c r="AC2485" s="22" t="n"/>
      <c r="AD2485" s="22" t="n"/>
      <c r="AE2485" s="22" t="n"/>
    </row>
    <row r="2486" ht="84" customHeight="1" s="380">
      <c r="A2486" s="126" t="n">
        <v>102</v>
      </c>
      <c r="B2486" s="390" t="n"/>
      <c r="C2486" s="390" t="inlineStr">
        <is>
          <t>Báo cáo theo Thông tư 121/2020/TT-BTC &gt;&gt; Báo cáo tỷ lệ An toàn tài chính &gt;&gt; Bảng tính giá trị rủi ro (Rủi ro thị trường)</t>
        </is>
      </c>
      <c r="D2486" s="390" t="inlineStr">
        <is>
          <t>Cổ phiếu phổ thông, cổ phiếu ưu đãi của các công ty đại chúng chưa niêm yết và đã đăng ký giao dịch qua hệ thống UpCom</t>
        </is>
      </c>
      <c r="E2486" s="401" t="inlineStr">
        <is>
          <t>Cổ phiếu phổ thông, cổ phiếu ưu đãi của các công ty đại chúng chưa niêm yết và đã đăng ký giao dịch qua hệ thống UpCom</t>
        </is>
      </c>
      <c r="F2486" s="390" t="inlineStr">
        <is>
          <t>Data Explorer</t>
        </is>
      </c>
      <c r="G2486" s="390" t="inlineStr">
        <is>
          <t>Chỉ tiêu cơ sở</t>
        </is>
      </c>
      <c r="H2486" s="390" t="inlineStr">
        <is>
          <t>TB</t>
        </is>
      </c>
      <c r="I2486" s="390" t="inlineStr">
        <is>
          <t>Ngày, CTCK</t>
        </is>
      </c>
      <c r="J2486" s="401" t="inlineStr">
        <is>
          <t>SCMS</t>
        </is>
      </c>
      <c r="K2486" s="401" t="n"/>
      <c r="L2486" s="401" t="inlineStr">
        <is>
          <t>X</t>
        </is>
      </c>
      <c r="M2486" s="401" t="n"/>
      <c r="N2486" s="401" t="inlineStr">
        <is>
          <t>Done</t>
        </is>
      </c>
      <c r="O2486" s="401" t="n"/>
      <c r="P2486" s="22" t="n"/>
      <c r="S2486" s="22" t="n"/>
      <c r="U2486" s="16" t="n"/>
      <c r="V2486" s="22" t="n"/>
      <c r="W2486" s="22" t="n"/>
      <c r="X2486" s="22" t="n"/>
      <c r="Y2486" s="38" t="n"/>
      <c r="Z2486" s="22" t="n"/>
      <c r="AA2486" s="22" t="n"/>
      <c r="AB2486" s="22" t="n"/>
      <c r="AC2486" s="22" t="n"/>
      <c r="AD2486" s="22" t="n"/>
      <c r="AE2486" s="22" t="n"/>
    </row>
    <row r="2487" ht="112" customHeight="1" s="380">
      <c r="A2487" s="126" t="n">
        <v>102</v>
      </c>
      <c r="B2487" s="390" t="n"/>
      <c r="C2487" s="390" t="inlineStr">
        <is>
          <t>Báo cáo theo Thông tư 121/2020/TT-BTC &gt;&gt; Báo cáo tỷ lệ An toàn tài chính &gt;&gt; Bảng tính giá trị rủi ro (Rủi ro thị trường)</t>
        </is>
      </c>
      <c r="D2487" s="390" t="inlineStr">
        <is>
          <t xml:space="preserve">Cổ phiếu phổ thông, cổ phiếu ưu đãi của các công ty đại chúng đã đăng ký lưu ký, nhưng chưa niêm yết hoặc đăng ký giao dịch; cổ phiếu đang trong đợt phát hành lần đầu (IPO) </t>
        </is>
      </c>
      <c r="E2487" s="401" t="inlineStr">
        <is>
          <t xml:space="preserve">Cổ phiếu phổ thông, cổ phiếu ưu đãi của các công ty đại chúng đã đăng ký lưu ký, nhưng chưa niêm yết hoặc đăng ký giao dịch; cổ phiếu đang trong đợt phát hành lần đầu (IPO) 
</t>
        </is>
      </c>
      <c r="F2487" s="390" t="inlineStr">
        <is>
          <t>Data Explorer</t>
        </is>
      </c>
      <c r="G2487" s="390" t="inlineStr">
        <is>
          <t>Chỉ tiêu cơ sở</t>
        </is>
      </c>
      <c r="H2487" s="390" t="inlineStr">
        <is>
          <t>TB</t>
        </is>
      </c>
      <c r="I2487" s="390" t="inlineStr">
        <is>
          <t>Ngày, CTCK</t>
        </is>
      </c>
      <c r="J2487" s="401" t="inlineStr">
        <is>
          <t>SCMS</t>
        </is>
      </c>
      <c r="K2487" s="401" t="n"/>
      <c r="L2487" s="401" t="inlineStr">
        <is>
          <t>X</t>
        </is>
      </c>
      <c r="M2487" s="401" t="n"/>
      <c r="N2487" s="401" t="inlineStr">
        <is>
          <t>Done</t>
        </is>
      </c>
      <c r="O2487" s="401" t="n"/>
      <c r="P2487" s="22" t="n"/>
      <c r="S2487" s="22" t="n"/>
      <c r="U2487" s="16" t="n"/>
      <c r="V2487" s="22" t="n"/>
      <c r="W2487" s="22" t="n"/>
      <c r="X2487" s="22" t="n"/>
      <c r="Y2487" s="38" t="n"/>
      <c r="Z2487" s="22" t="n"/>
      <c r="AA2487" s="22" t="n"/>
      <c r="AB2487" s="22" t="n"/>
      <c r="AC2487" s="22" t="n"/>
      <c r="AD2487" s="22" t="n"/>
      <c r="AE2487" s="22" t="n"/>
    </row>
    <row r="2488" ht="70" customHeight="1" s="380">
      <c r="A2488" s="126" t="n">
        <v>102</v>
      </c>
      <c r="B2488" s="390" t="n"/>
      <c r="C2488" s="390" t="inlineStr">
        <is>
          <t>Báo cáo theo Thông tư 121/2020/TT-BTC &gt;&gt; Báo cáo tỷ lệ An toàn tài chính &gt;&gt; Bảng tính giá trị rủi ro (Rủi ro thị trường)</t>
        </is>
      </c>
      <c r="D2488" s="390" t="inlineStr">
        <is>
          <t xml:space="preserve">Chứng chỉ quỹ đầu tư chứng khoán 
</t>
        </is>
      </c>
      <c r="E2488" s="401" t="inlineStr">
        <is>
          <t xml:space="preserve">Chứng chỉ quỹ đầu tư chứng khoán 
</t>
        </is>
      </c>
      <c r="F2488" s="390" t="inlineStr">
        <is>
          <t>Data Explorer</t>
        </is>
      </c>
      <c r="G2488" s="390" t="inlineStr">
        <is>
          <t>Chỉ tiêu cơ sở</t>
        </is>
      </c>
      <c r="H2488" s="390" t="inlineStr">
        <is>
          <t>TB</t>
        </is>
      </c>
      <c r="I2488" s="390" t="inlineStr">
        <is>
          <t>Ngày, CTCK</t>
        </is>
      </c>
      <c r="J2488" s="401" t="inlineStr">
        <is>
          <t>SCMS</t>
        </is>
      </c>
      <c r="K2488" s="401" t="n"/>
      <c r="L2488" s="401" t="inlineStr">
        <is>
          <t>X</t>
        </is>
      </c>
      <c r="M2488" s="401" t="n"/>
      <c r="N2488" s="401" t="inlineStr">
        <is>
          <t>Done</t>
        </is>
      </c>
      <c r="O2488" s="401" t="n"/>
      <c r="P2488" s="22" t="n"/>
      <c r="S2488" s="22" t="n"/>
      <c r="U2488" s="16" t="n"/>
      <c r="V2488" s="22" t="n"/>
      <c r="W2488" s="22" t="n"/>
      <c r="X2488" s="22" t="n"/>
      <c r="Y2488" s="38" t="n"/>
      <c r="Z2488" s="22" t="n"/>
      <c r="AA2488" s="22" t="n"/>
      <c r="AB2488" s="22" t="n"/>
      <c r="AC2488" s="22" t="n"/>
      <c r="AD2488" s="22" t="n"/>
      <c r="AE2488" s="22" t="n"/>
    </row>
    <row r="2489" ht="70" customHeight="1" s="380">
      <c r="A2489" s="126" t="n">
        <v>102</v>
      </c>
      <c r="B2489" s="390" t="n"/>
      <c r="C2489" s="390" t="inlineStr">
        <is>
          <t>Báo cáo theo Thông tư 121/2020/TT-BTC &gt;&gt; Báo cáo tỷ lệ An toàn tài chính &gt;&gt; Bảng tính giá trị rủi ro (Rủi ro thị trường)</t>
        </is>
      </c>
      <c r="D2489" s="390" t="inlineStr">
        <is>
          <t xml:space="preserve">Quỹ đại chúng, công ty đầu tư chứng khoán đại chúng 
</t>
        </is>
      </c>
      <c r="E2489" s="401" t="inlineStr">
        <is>
          <t xml:space="preserve">Quỹ đại chúng, công ty đầu tư chứng khoán đại chúng 
</t>
        </is>
      </c>
      <c r="F2489" s="390" t="inlineStr">
        <is>
          <t>Data Explorer</t>
        </is>
      </c>
      <c r="G2489" s="390" t="inlineStr">
        <is>
          <t>Chỉ tiêu cơ sở</t>
        </is>
      </c>
      <c r="H2489" s="390" t="inlineStr">
        <is>
          <t>TB</t>
        </is>
      </c>
      <c r="I2489" s="390" t="inlineStr">
        <is>
          <t>Ngày, CTCK</t>
        </is>
      </c>
      <c r="J2489" s="401" t="inlineStr">
        <is>
          <t>SCMS</t>
        </is>
      </c>
      <c r="K2489" s="401" t="n"/>
      <c r="L2489" s="401" t="inlineStr">
        <is>
          <t>X</t>
        </is>
      </c>
      <c r="M2489" s="401" t="n"/>
      <c r="N2489" s="401" t="inlineStr">
        <is>
          <t>Done</t>
        </is>
      </c>
      <c r="O2489" s="401" t="n"/>
      <c r="P2489" s="22" t="n"/>
      <c r="S2489" s="22" t="n"/>
      <c r="U2489" s="16" t="n"/>
      <c r="V2489" s="22" t="n"/>
      <c r="W2489" s="22" t="n"/>
      <c r="X2489" s="22" t="n"/>
      <c r="Y2489" s="38" t="n"/>
      <c r="Z2489" s="22" t="n"/>
      <c r="AA2489" s="22" t="n"/>
      <c r="AB2489" s="22" t="n"/>
      <c r="AC2489" s="22" t="n"/>
      <c r="AD2489" s="22" t="n"/>
      <c r="AE2489" s="22" t="n"/>
    </row>
    <row r="2490" ht="70" customHeight="1" s="380">
      <c r="A2490" s="126" t="n">
        <v>102</v>
      </c>
      <c r="B2490" s="390" t="n"/>
      <c r="C2490" s="390" t="inlineStr">
        <is>
          <t>Báo cáo theo Thông tư 121/2020/TT-BTC &gt;&gt; Báo cáo tỷ lệ An toàn tài chính &gt;&gt; Bảng tính giá trị rủi ro (Rủi ro thị trường)</t>
        </is>
      </c>
      <c r="D2490" s="390" t="inlineStr">
        <is>
          <t>Quỹ thành viên</t>
        </is>
      </c>
      <c r="E2490" s="401" t="inlineStr">
        <is>
          <t>Quỹ thành viên</t>
        </is>
      </c>
      <c r="F2490" s="390" t="inlineStr">
        <is>
          <t>Data Explorer</t>
        </is>
      </c>
      <c r="G2490" s="390" t="inlineStr">
        <is>
          <t>Chỉ tiêu cơ sở</t>
        </is>
      </c>
      <c r="H2490" s="390" t="inlineStr">
        <is>
          <t>TB</t>
        </is>
      </c>
      <c r="I2490" s="390" t="inlineStr">
        <is>
          <t>Ngày, CTCK</t>
        </is>
      </c>
      <c r="J2490" s="401" t="inlineStr">
        <is>
          <t>SCMS</t>
        </is>
      </c>
      <c r="K2490" s="401" t="n"/>
      <c r="L2490" s="401" t="inlineStr">
        <is>
          <t>X</t>
        </is>
      </c>
      <c r="M2490" s="401" t="n"/>
      <c r="N2490" s="401" t="inlineStr">
        <is>
          <t>Done</t>
        </is>
      </c>
      <c r="O2490" s="401" t="n"/>
      <c r="P2490" s="22" t="n"/>
      <c r="S2490" s="22" t="n"/>
      <c r="U2490" s="16" t="n"/>
      <c r="V2490" s="22" t="n"/>
      <c r="W2490" s="22" t="n"/>
      <c r="X2490" s="22" t="n"/>
      <c r="Y2490" s="38" t="n"/>
      <c r="Z2490" s="22" t="n"/>
      <c r="AA2490" s="22" t="n"/>
      <c r="AB2490" s="22" t="n"/>
      <c r="AC2490" s="22" t="n"/>
      <c r="AD2490" s="22" t="n"/>
      <c r="AE2490" s="22" t="n"/>
    </row>
    <row r="2491" ht="70" customHeight="1" s="380">
      <c r="A2491" s="126" t="n">
        <v>102</v>
      </c>
      <c r="B2491" s="390" t="n"/>
      <c r="C2491" s="390" t="inlineStr">
        <is>
          <t>Báo cáo theo Thông tư 121/2020/TT-BTC &gt;&gt; Báo cáo tỷ lệ An toàn tài chính &gt;&gt; Bảng tính giá trị rủi ro (Rủi ro thị trường)</t>
        </is>
      </c>
      <c r="D2491" s="390" t="inlineStr">
        <is>
          <t>Công ty đầu tư chứng khoán riêng lẻ</t>
        </is>
      </c>
      <c r="E2491" s="401" t="inlineStr">
        <is>
          <t>Công ty đầu tư chứng khoán riêng lẻ</t>
        </is>
      </c>
      <c r="F2491" s="390" t="inlineStr">
        <is>
          <t>Data Explorer</t>
        </is>
      </c>
      <c r="G2491" s="390" t="inlineStr">
        <is>
          <t>Chỉ tiêu cơ sở</t>
        </is>
      </c>
      <c r="H2491" s="390" t="inlineStr">
        <is>
          <t>TB</t>
        </is>
      </c>
      <c r="I2491" s="390" t="inlineStr">
        <is>
          <t>Ngày, CTCK</t>
        </is>
      </c>
      <c r="J2491" s="401" t="inlineStr">
        <is>
          <t>SCMS</t>
        </is>
      </c>
      <c r="K2491" s="401" t="n"/>
      <c r="L2491" s="401" t="inlineStr">
        <is>
          <t>X</t>
        </is>
      </c>
      <c r="M2491" s="401" t="n"/>
      <c r="N2491" s="401" t="inlineStr">
        <is>
          <t>Done</t>
        </is>
      </c>
      <c r="O2491" s="401" t="n"/>
      <c r="P2491" s="22" t="n"/>
      <c r="S2491" s="22" t="n"/>
      <c r="U2491" s="16" t="n"/>
      <c r="V2491" s="22" t="n"/>
      <c r="W2491" s="22" t="n"/>
      <c r="X2491" s="22" t="n"/>
      <c r="Y2491" s="38" t="n"/>
      <c r="Z2491" s="22" t="n"/>
      <c r="AA2491" s="22" t="n"/>
      <c r="AB2491" s="22" t="n"/>
      <c r="AC2491" s="22" t="n"/>
      <c r="AD2491" s="22" t="n"/>
      <c r="AE2491" s="22" t="n"/>
    </row>
    <row r="2492" ht="70" customHeight="1" s="380">
      <c r="A2492" s="126" t="n">
        <v>102</v>
      </c>
      <c r="B2492" s="390" t="n"/>
      <c r="C2492" s="390" t="inlineStr">
        <is>
          <t>Báo cáo theo Thông tư 121/2020/TT-BTC &gt;&gt; Báo cáo tỷ lệ An toàn tài chính &gt;&gt; Bảng tính giá trị rủi ro (Rủi ro thị trường)</t>
        </is>
      </c>
      <c r="D2492" s="390" t="inlineStr">
        <is>
          <t xml:space="preserve">Chứng khoán bị hạn chế giao dịch 
</t>
        </is>
      </c>
      <c r="E2492" s="401" t="inlineStr">
        <is>
          <t xml:space="preserve">Chứng khoán bị hạn chế giao dịch 
</t>
        </is>
      </c>
      <c r="F2492" s="390" t="inlineStr">
        <is>
          <t>Data Explorer</t>
        </is>
      </c>
      <c r="G2492" s="390" t="inlineStr">
        <is>
          <t>Chỉ tiêu cơ sở</t>
        </is>
      </c>
      <c r="H2492" s="390" t="inlineStr">
        <is>
          <t>TB</t>
        </is>
      </c>
      <c r="I2492" s="390" t="inlineStr">
        <is>
          <t>Ngày, CTCK</t>
        </is>
      </c>
      <c r="J2492" s="401" t="inlineStr">
        <is>
          <t>SCMS</t>
        </is>
      </c>
      <c r="K2492" s="401" t="n"/>
      <c r="L2492" s="401" t="inlineStr">
        <is>
          <t>X</t>
        </is>
      </c>
      <c r="M2492" s="401" t="n"/>
      <c r="N2492" s="401" t="inlineStr">
        <is>
          <t>Done</t>
        </is>
      </c>
      <c r="O2492" s="401" t="n"/>
      <c r="P2492" s="22" t="n"/>
      <c r="S2492" s="22" t="n"/>
      <c r="U2492" s="16" t="n"/>
      <c r="V2492" s="22" t="n"/>
      <c r="W2492" s="22" t="n"/>
      <c r="X2492" s="22" t="n"/>
      <c r="Y2492" s="38" t="n"/>
      <c r="Z2492" s="22" t="n"/>
      <c r="AA2492" s="22" t="n"/>
      <c r="AB2492" s="22" t="n"/>
      <c r="AC2492" s="22" t="n"/>
      <c r="AD2492" s="22" t="n"/>
      <c r="AE2492" s="22" t="n"/>
    </row>
    <row r="2493" ht="70" customHeight="1" s="380">
      <c r="A2493" s="126" t="n">
        <v>102</v>
      </c>
      <c r="B2493" s="390" t="n"/>
      <c r="C2493" s="390" t="inlineStr">
        <is>
          <t>Báo cáo theo Thông tư 121/2020/TT-BTC &gt;&gt; Báo cáo tỷ lệ An toàn tài chính &gt;&gt; Bảng tính giá trị rủi ro (Rủi ro thị trường)</t>
        </is>
      </c>
      <c r="D2493" s="390" t="inlineStr">
        <is>
          <t>Chứng khoán bị cảnh báo</t>
        </is>
      </c>
      <c r="E2493" s="401" t="inlineStr">
        <is>
          <t>Chứng khoán bị cảnh báo</t>
        </is>
      </c>
      <c r="F2493" s="390" t="inlineStr">
        <is>
          <t>Data Explorer</t>
        </is>
      </c>
      <c r="G2493" s="390" t="inlineStr">
        <is>
          <t>Chỉ tiêu cơ sở</t>
        </is>
      </c>
      <c r="H2493" s="390" t="inlineStr">
        <is>
          <t>TB</t>
        </is>
      </c>
      <c r="I2493" s="390" t="inlineStr">
        <is>
          <t>Ngày, CTCK</t>
        </is>
      </c>
      <c r="J2493" s="401" t="inlineStr">
        <is>
          <t>SCMS</t>
        </is>
      </c>
      <c r="K2493" s="401" t="n"/>
      <c r="L2493" s="401" t="inlineStr">
        <is>
          <t>X</t>
        </is>
      </c>
      <c r="M2493" s="401" t="n"/>
      <c r="N2493" s="401" t="inlineStr">
        <is>
          <t>Done</t>
        </is>
      </c>
      <c r="O2493" s="401" t="n"/>
      <c r="P2493" s="22" t="n"/>
      <c r="S2493" s="22" t="n"/>
      <c r="U2493" s="16" t="n"/>
      <c r="V2493" s="22" t="n"/>
      <c r="W2493" s="22" t="n"/>
      <c r="X2493" s="22" t="n"/>
      <c r="Y2493" s="38" t="n"/>
      <c r="Z2493" s="22" t="n"/>
      <c r="AA2493" s="22" t="n"/>
      <c r="AB2493" s="22" t="n"/>
      <c r="AC2493" s="22" t="n"/>
      <c r="AD2493" s="22" t="n"/>
      <c r="AE2493" s="22" t="n"/>
    </row>
    <row r="2494" ht="70" customHeight="1" s="380">
      <c r="A2494" s="126" t="n">
        <v>102</v>
      </c>
      <c r="B2494" s="390" t="n"/>
      <c r="C2494" s="390" t="inlineStr">
        <is>
          <t>Báo cáo theo Thông tư 121/2020/TT-BTC &gt;&gt; Báo cáo tỷ lệ An toàn tài chính &gt;&gt; Bảng tính giá trị rủi ro (Rủi ro thị trường)</t>
        </is>
      </c>
      <c r="D2494" s="390" t="inlineStr">
        <is>
          <t>Chứng khoán bị kiểm soát</t>
        </is>
      </c>
      <c r="E2494" s="401" t="inlineStr">
        <is>
          <t>Chứng khoán bị kiểm soát</t>
        </is>
      </c>
      <c r="F2494" s="390" t="inlineStr">
        <is>
          <t>Data Explorer</t>
        </is>
      </c>
      <c r="G2494" s="390" t="inlineStr">
        <is>
          <t>Chỉ tiêu cơ sở</t>
        </is>
      </c>
      <c r="H2494" s="390" t="inlineStr">
        <is>
          <t>TB</t>
        </is>
      </c>
      <c r="I2494" s="390" t="inlineStr">
        <is>
          <t>Ngày, CTCK</t>
        </is>
      </c>
      <c r="J2494" s="401" t="inlineStr">
        <is>
          <t>SCMS</t>
        </is>
      </c>
      <c r="K2494" s="401" t="n"/>
      <c r="L2494" s="401" t="inlineStr">
        <is>
          <t>X</t>
        </is>
      </c>
      <c r="M2494" s="401" t="n"/>
      <c r="N2494" s="401" t="inlineStr">
        <is>
          <t>Done</t>
        </is>
      </c>
      <c r="O2494" s="401" t="n"/>
      <c r="P2494" s="22" t="n"/>
      <c r="S2494" s="22" t="n"/>
      <c r="U2494" s="16" t="n"/>
      <c r="V2494" s="22" t="n"/>
      <c r="W2494" s="22" t="n"/>
      <c r="X2494" s="22" t="n"/>
      <c r="Y2494" s="38" t="n"/>
      <c r="Z2494" s="22" t="n"/>
      <c r="AA2494" s="22" t="n"/>
      <c r="AB2494" s="22" t="n"/>
      <c r="AC2494" s="22" t="n"/>
      <c r="AD2494" s="22" t="n"/>
      <c r="AE2494" s="22" t="n"/>
    </row>
    <row r="2495" ht="70" customHeight="1" s="380">
      <c r="A2495" s="126" t="n">
        <v>102</v>
      </c>
      <c r="B2495" s="390" t="n"/>
      <c r="C2495" s="390" t="inlineStr">
        <is>
          <t>Báo cáo theo Thông tư 121/2020/TT-BTC &gt;&gt; Báo cáo tỷ lệ An toàn tài chính &gt;&gt; Bảng tính giá trị rủi ro (Rủi ro thị trường)</t>
        </is>
      </c>
      <c r="D2495" s="390" t="inlineStr">
        <is>
          <t>Chứng khoán niêm yết bị kiểm soát</t>
        </is>
      </c>
      <c r="E2495" s="401" t="inlineStr">
        <is>
          <t>Chứng khoán niêm yết bị kiểm soát</t>
        </is>
      </c>
      <c r="F2495" s="390" t="inlineStr">
        <is>
          <t>Data Explorer</t>
        </is>
      </c>
      <c r="G2495" s="390" t="inlineStr">
        <is>
          <t>Chỉ tiêu cơ sở</t>
        </is>
      </c>
      <c r="H2495" s="390" t="inlineStr">
        <is>
          <t>TB</t>
        </is>
      </c>
      <c r="I2495" s="390" t="inlineStr">
        <is>
          <t>Ngày, CTCK</t>
        </is>
      </c>
      <c r="J2495" s="401" t="inlineStr">
        <is>
          <t>SCMS</t>
        </is>
      </c>
      <c r="K2495" s="401" t="n"/>
      <c r="L2495" s="401" t="inlineStr">
        <is>
          <t>X</t>
        </is>
      </c>
      <c r="M2495" s="401" t="n"/>
      <c r="N2495" s="401" t="inlineStr">
        <is>
          <t>Done</t>
        </is>
      </c>
      <c r="O2495" s="401" t="n"/>
      <c r="P2495" s="22" t="n"/>
      <c r="S2495" s="22" t="n"/>
      <c r="U2495" s="16" t="n"/>
      <c r="V2495" s="22" t="n"/>
      <c r="W2495" s="22" t="n"/>
      <c r="X2495" s="22" t="n"/>
      <c r="Y2495" s="38" t="n"/>
      <c r="Z2495" s="22" t="n"/>
      <c r="AA2495" s="22" t="n"/>
      <c r="AB2495" s="22" t="n"/>
      <c r="AC2495" s="22" t="n"/>
      <c r="AD2495" s="22" t="n"/>
      <c r="AE2495" s="22" t="n"/>
    </row>
    <row r="2496" ht="70" customHeight="1" s="380">
      <c r="A2496" s="126" t="n">
        <v>102</v>
      </c>
      <c r="B2496" s="390" t="n"/>
      <c r="C2496" s="390" t="inlineStr">
        <is>
          <t>Báo cáo theo Thông tư 121/2020/TT-BTC &gt;&gt; Báo cáo tỷ lệ An toàn tài chính &gt;&gt; Bảng tính giá trị rủi ro (Rủi ro thị trường)</t>
        </is>
      </c>
      <c r="D2496" s="390" t="inlineStr">
        <is>
          <t xml:space="preserve">Chứng khoán bị đình chỉ giao dịch 
</t>
        </is>
      </c>
      <c r="E2496" s="401" t="inlineStr">
        <is>
          <t xml:space="preserve">Chứng khoán bị đình chỉ giao dịch 
</t>
        </is>
      </c>
      <c r="F2496" s="390" t="inlineStr">
        <is>
          <t>Data Explorer</t>
        </is>
      </c>
      <c r="G2496" s="390" t="inlineStr">
        <is>
          <t>Chỉ tiêu cơ sở</t>
        </is>
      </c>
      <c r="H2496" s="390" t="inlineStr">
        <is>
          <t>TB</t>
        </is>
      </c>
      <c r="I2496" s="390" t="inlineStr">
        <is>
          <t>Ngày, CTCK</t>
        </is>
      </c>
      <c r="J2496" s="401" t="inlineStr">
        <is>
          <t>SCMS</t>
        </is>
      </c>
      <c r="K2496" s="401" t="n"/>
      <c r="L2496" s="401" t="inlineStr">
        <is>
          <t>X</t>
        </is>
      </c>
      <c r="M2496" s="401" t="n"/>
      <c r="N2496" s="401" t="inlineStr">
        <is>
          <t>Done</t>
        </is>
      </c>
      <c r="O2496" s="401" t="n"/>
      <c r="P2496" s="22" t="n"/>
      <c r="S2496" s="22" t="n"/>
      <c r="U2496" s="16" t="n"/>
      <c r="V2496" s="22" t="n"/>
      <c r="W2496" s="22" t="n"/>
      <c r="X2496" s="22" t="n"/>
      <c r="Y2496" s="38" t="n"/>
      <c r="Z2496" s="22" t="n"/>
      <c r="AA2496" s="22" t="n"/>
      <c r="AB2496" s="22" t="n"/>
      <c r="AC2496" s="22" t="n"/>
      <c r="AD2496" s="22" t="n"/>
      <c r="AE2496" s="22" t="n"/>
    </row>
    <row r="2497" ht="70" customHeight="1" s="380">
      <c r="A2497" s="126" t="n">
        <v>102</v>
      </c>
      <c r="B2497" s="390" t="n"/>
      <c r="C2497" s="390" t="inlineStr">
        <is>
          <t>Báo cáo theo Thông tư 121/2020/TT-BTC &gt;&gt; Báo cáo tỷ lệ An toàn tài chính &gt;&gt; Bảng tính giá trị rủi ro (Rủi ro thị trường)</t>
        </is>
      </c>
      <c r="D2497" s="390" t="inlineStr">
        <is>
          <t>Chứng khoán bị hủy niêm yết, hủy giao dịch</t>
        </is>
      </c>
      <c r="E2497" s="401" t="inlineStr">
        <is>
          <t>Chứng khoán bị hủy niêm yết, hủy giao dịch</t>
        </is>
      </c>
      <c r="F2497" s="390" t="inlineStr">
        <is>
          <t>Data Explorer</t>
        </is>
      </c>
      <c r="G2497" s="390" t="inlineStr">
        <is>
          <t>Chỉ tiêu cơ sở</t>
        </is>
      </c>
      <c r="H2497" s="390" t="inlineStr">
        <is>
          <t>TB</t>
        </is>
      </c>
      <c r="I2497" s="390" t="inlineStr">
        <is>
          <t>Ngày, CTCK</t>
        </is>
      </c>
      <c r="J2497" s="401" t="inlineStr">
        <is>
          <t>SCMS</t>
        </is>
      </c>
      <c r="K2497" s="401" t="n"/>
      <c r="L2497" s="401" t="inlineStr">
        <is>
          <t>X</t>
        </is>
      </c>
      <c r="M2497" s="401" t="n"/>
      <c r="N2497" s="401" t="inlineStr">
        <is>
          <t>Done</t>
        </is>
      </c>
      <c r="O2497" s="401" t="n"/>
      <c r="P2497" s="22" t="n"/>
      <c r="S2497" s="22" t="n"/>
      <c r="U2497" s="16" t="n"/>
      <c r="V2497" s="22" t="n"/>
      <c r="W2497" s="22" t="n"/>
      <c r="X2497" s="22" t="n"/>
      <c r="Y2497" s="38" t="n"/>
      <c r="Z2497" s="22" t="n"/>
      <c r="AA2497" s="22" t="n"/>
      <c r="AB2497" s="22" t="n"/>
      <c r="AC2497" s="22" t="n"/>
      <c r="AD2497" s="22" t="n"/>
      <c r="AE2497" s="22" t="n"/>
    </row>
    <row r="2498" ht="70" customHeight="1" s="380">
      <c r="A2498" s="126" t="n">
        <v>102</v>
      </c>
      <c r="B2498" s="390" t="n"/>
      <c r="C2498" s="390" t="inlineStr">
        <is>
          <t>Báo cáo theo Thông tư 121/2020/TT-BTC &gt;&gt; Báo cáo tỷ lệ An toàn tài chính &gt;&gt; Bảng tính giá trị rủi ro (Rủi ro thị trường)</t>
        </is>
      </c>
      <c r="D2498" s="390" t="inlineStr">
        <is>
          <t xml:space="preserve">Chứng khoán phái sinh 
</t>
        </is>
      </c>
      <c r="E2498" s="401" t="inlineStr">
        <is>
          <t xml:space="preserve">Chứng khoán phái sinh 
</t>
        </is>
      </c>
      <c r="F2498" s="390" t="inlineStr">
        <is>
          <t>Data Explorer</t>
        </is>
      </c>
      <c r="G2498" s="390" t="inlineStr">
        <is>
          <t>Chỉ tiêu cơ sở</t>
        </is>
      </c>
      <c r="H2498" s="390" t="inlineStr">
        <is>
          <t>TB</t>
        </is>
      </c>
      <c r="I2498" s="390" t="inlineStr">
        <is>
          <t>Ngày, CTCK</t>
        </is>
      </c>
      <c r="J2498" s="401" t="inlineStr">
        <is>
          <t>SCMS</t>
        </is>
      </c>
      <c r="K2498" s="401" t="n"/>
      <c r="L2498" s="401" t="inlineStr">
        <is>
          <t>X</t>
        </is>
      </c>
      <c r="M2498" s="401" t="n"/>
      <c r="N2498" s="401" t="inlineStr">
        <is>
          <t>Done</t>
        </is>
      </c>
      <c r="O2498" s="401" t="n"/>
      <c r="P2498" s="22" t="n"/>
      <c r="S2498" s="22" t="n"/>
      <c r="U2498" s="16" t="n"/>
      <c r="V2498" s="22" t="n"/>
      <c r="W2498" s="22" t="n"/>
      <c r="X2498" s="22" t="n"/>
      <c r="Y2498" s="38" t="n"/>
      <c r="Z2498" s="22" t="n"/>
      <c r="AA2498" s="22" t="n"/>
      <c r="AB2498" s="22" t="n"/>
      <c r="AC2498" s="22" t="n"/>
      <c r="AD2498" s="22" t="n"/>
      <c r="AE2498" s="22" t="n"/>
    </row>
    <row r="2499" ht="70" customHeight="1" s="380">
      <c r="A2499" s="126" t="n">
        <v>102</v>
      </c>
      <c r="B2499" s="390" t="n"/>
      <c r="C2499" s="390" t="inlineStr">
        <is>
          <t>Báo cáo theo Thông tư 121/2020/TT-BTC &gt;&gt; Báo cáo tỷ lệ An toàn tài chính &gt;&gt; Bảng tính giá trị rủi ro (Rủi ro thị trường)</t>
        </is>
      </c>
      <c r="D2499" s="390" t="inlineStr">
        <is>
          <t xml:space="preserve">Hợp đồng tương lai chỉ số cổ phiếu
</t>
        </is>
      </c>
      <c r="E2499" s="401" t="inlineStr">
        <is>
          <t xml:space="preserve">Hợp đồng tương lai chỉ số cổ phiếu
</t>
        </is>
      </c>
      <c r="F2499" s="390" t="inlineStr">
        <is>
          <t>Data Explorer</t>
        </is>
      </c>
      <c r="G2499" s="390" t="inlineStr">
        <is>
          <t>Chỉ tiêu cơ sở</t>
        </is>
      </c>
      <c r="H2499" s="390" t="inlineStr">
        <is>
          <t>TB</t>
        </is>
      </c>
      <c r="I2499" s="390" t="inlineStr">
        <is>
          <t>Ngày, CTCK</t>
        </is>
      </c>
      <c r="J2499" s="401" t="inlineStr">
        <is>
          <t>SCMS</t>
        </is>
      </c>
      <c r="K2499" s="401" t="n"/>
      <c r="L2499" s="401" t="inlineStr">
        <is>
          <t>X</t>
        </is>
      </c>
      <c r="M2499" s="401" t="n"/>
      <c r="N2499" s="401" t="inlineStr">
        <is>
          <t>Done</t>
        </is>
      </c>
      <c r="O2499" s="401" t="n"/>
      <c r="P2499" s="22" t="n"/>
      <c r="S2499" s="22" t="n"/>
      <c r="U2499" s="16" t="n"/>
      <c r="V2499" s="22" t="n"/>
      <c r="W2499" s="22" t="n"/>
      <c r="X2499" s="22" t="n"/>
      <c r="Y2499" s="38" t="n"/>
      <c r="Z2499" s="22" t="n"/>
      <c r="AA2499" s="22" t="n"/>
      <c r="AB2499" s="22" t="n"/>
      <c r="AC2499" s="22" t="n"/>
      <c r="AD2499" s="22" t="n"/>
      <c r="AE2499" s="22" t="n"/>
    </row>
    <row r="2500" ht="266" customHeight="1" s="380">
      <c r="A2500" s="126" t="n">
        <v>102</v>
      </c>
      <c r="B2500" s="390" t="n"/>
      <c r="C2500" s="390" t="inlineStr">
        <is>
          <t>Báo cáo theo Thông tư 121/2020/TT-BTC &gt;&gt; Báo cáo tỷ lệ An toàn tài chính &gt;&gt; Bảng tính giá trị rủi ro (Rủi ro thị trường)</t>
        </is>
      </c>
      <c r="D2500" s="390" t="inlineStr">
        <is>
          <t>Cách tính:
Giá trị rủi ro = Max {((Giá trị thanh toán cuối ngày - giá trị chứng khoán mua vào
để đảm bảo cho nghĩa vụ thanh toán hợp đồng tương lai) x hệ số rủi ro của hợp
đồng tương lai - Giá trị ký quỹ (phần đóng góp vào quỹ bù trừ đối với vị thế mở
của công ty chứng khoán)), 0}.
Giá trị thanh toán cuối ngày = Giá thanh toán cuối ngày x khối lượng mở.</t>
        </is>
      </c>
      <c r="E2500" s="401" t="inlineStr">
        <is>
          <t>Cách tính:
Giá trị rủi ro = Max {((Giá trị thanh toán cuối ngày - giá trị chứng khoán mua vào
để đảm bảo cho nghĩa vụ thanh toán hợp đồng tương lai) x hệ số rủi ro của hợp
đồng tương lai - Giá trị ký quỹ (phần đóng góp vào quỹ bù trừ đối với vị thế mở
của công ty chứng khoán)), 0}.
Giá trị thanh toán cuối ngày = Giá thanh toán cuối ngày x khối lượng mở.</t>
        </is>
      </c>
      <c r="F2500" s="390" t="inlineStr">
        <is>
          <t>Data Explorer</t>
        </is>
      </c>
      <c r="G2500" s="390" t="inlineStr">
        <is>
          <t>Chỉ tiêu cơ sở</t>
        </is>
      </c>
      <c r="H2500" s="390" t="inlineStr">
        <is>
          <t>TB</t>
        </is>
      </c>
      <c r="I2500" s="390" t="inlineStr">
        <is>
          <t>Ngày, CTCK</t>
        </is>
      </c>
      <c r="J2500" s="401" t="inlineStr">
        <is>
          <t>SCMS</t>
        </is>
      </c>
      <c r="K2500" s="401" t="n"/>
      <c r="L2500" s="401" t="inlineStr">
        <is>
          <t>X</t>
        </is>
      </c>
      <c r="M2500" s="401" t="n"/>
      <c r="N2500" s="401" t="inlineStr">
        <is>
          <t>Done</t>
        </is>
      </c>
      <c r="O2500" s="401" t="n"/>
      <c r="P2500" s="22" t="n"/>
      <c r="S2500" s="22" t="n"/>
      <c r="U2500" s="16" t="n"/>
      <c r="V2500" s="22" t="n"/>
      <c r="W2500" s="22" t="n"/>
      <c r="X2500" s="22" t="n"/>
      <c r="Y2500" s="38" t="n"/>
      <c r="Z2500" s="22" t="n"/>
      <c r="AA2500" s="22" t="n"/>
      <c r="AB2500" s="22" t="n"/>
      <c r="AC2500" s="22" t="n"/>
      <c r="AD2500" s="22" t="n"/>
      <c r="AE2500" s="22" t="n"/>
    </row>
    <row r="2501" ht="70" customHeight="1" s="380">
      <c r="A2501" s="126" t="n">
        <v>102</v>
      </c>
      <c r="B2501" s="390" t="n"/>
      <c r="C2501" s="390" t="inlineStr">
        <is>
          <t>Báo cáo theo Thông tư 121/2020/TT-BTC &gt;&gt; Báo cáo tỷ lệ An toàn tài chính &gt;&gt; Bảng tính giá trị rủi ro (Rủi ro thị trường)</t>
        </is>
      </c>
      <c r="D2501" s="390" t="inlineStr">
        <is>
          <t xml:space="preserve">Hợp đồng tương lai trái phiếu chính phủ
</t>
        </is>
      </c>
      <c r="E2501" s="401" t="inlineStr">
        <is>
          <t xml:space="preserve">Hợp đồng tương lai trái phiếu chính phủ
</t>
        </is>
      </c>
      <c r="F2501" s="390" t="inlineStr">
        <is>
          <t>Data Explorer</t>
        </is>
      </c>
      <c r="G2501" s="390" t="inlineStr">
        <is>
          <t>Chỉ tiêu cơ sở</t>
        </is>
      </c>
      <c r="H2501" s="390" t="inlineStr">
        <is>
          <t>TB</t>
        </is>
      </c>
      <c r="I2501" s="390" t="inlineStr">
        <is>
          <t>Ngày, CTCK</t>
        </is>
      </c>
      <c r="J2501" s="401" t="inlineStr">
        <is>
          <t>SCMS</t>
        </is>
      </c>
      <c r="K2501" s="401" t="n"/>
      <c r="L2501" s="401" t="inlineStr">
        <is>
          <t>X</t>
        </is>
      </c>
      <c r="M2501" s="401" t="n"/>
      <c r="N2501" s="401" t="inlineStr">
        <is>
          <t>Done</t>
        </is>
      </c>
      <c r="O2501" s="401" t="n"/>
      <c r="P2501" s="22" t="n"/>
      <c r="S2501" s="22" t="n"/>
      <c r="U2501" s="16" t="n"/>
      <c r="V2501" s="22" t="n"/>
      <c r="W2501" s="22" t="n"/>
      <c r="X2501" s="22" t="n"/>
      <c r="Y2501" s="38" t="n"/>
      <c r="Z2501" s="22" t="n"/>
      <c r="AA2501" s="22" t="n"/>
      <c r="AB2501" s="22" t="n"/>
      <c r="AC2501" s="22" t="n"/>
      <c r="AD2501" s="22" t="n"/>
      <c r="AE2501" s="22" t="n"/>
    </row>
    <row r="2502" ht="266" customHeight="1" s="380">
      <c r="A2502" s="126" t="n">
        <v>102</v>
      </c>
      <c r="B2502" s="390" t="n"/>
      <c r="C2502" s="390" t="inlineStr">
        <is>
          <t>Báo cáo theo Thông tư 121/2020/TT-BTC &gt;&gt; Báo cáo tỷ lệ An toàn tài chính &gt;&gt; Bảng tính giá trị rủi ro (Rủi ro thị trường)</t>
        </is>
      </c>
      <c r="D2502" s="390" t="inlineStr">
        <is>
          <t>Cách tính:
Giá trị rủi ro = Max{((Giá trị thanh toán cuối ngày - giá trị chứng khoán mua vào
để đảm bảo cho nghĩa vụ thanh toán hợp đồng tương lai) x hệ số rủi ro của hợp
đồng tương lai - Giá trị ký quỹ (phần đóng góp vào quỹ bù trừ đối với vị thế mở
của công ty chứng khoán)), 0}.
Giá trị thanh toán cuối ngày = Giá thanh toán cuối ngày x khối lượng mở.</t>
        </is>
      </c>
      <c r="E2502" s="401" t="inlineStr">
        <is>
          <t>Cách tính:
Giá trị rủi ro = Max{((Giá trị thanh toán cuối ngày - giá trị chứng khoán mua vào
để đảm bảo cho nghĩa vụ thanh toán hợp đồng tương lai) x hệ số rủi ro của hợp
đồng tương lai - Giá trị ký quỹ (phần đóng góp vào quỹ bù trừ đối với vị thế mở
của công ty chứng khoán)), 0}.
Giá trị thanh toán cuối ngày = Giá thanh toán cuối ngày x khối lượng mở.</t>
        </is>
      </c>
      <c r="F2502" s="390" t="inlineStr">
        <is>
          <t>Data Explorer</t>
        </is>
      </c>
      <c r="G2502" s="390" t="inlineStr">
        <is>
          <t>Chỉ tiêu cơ sở</t>
        </is>
      </c>
      <c r="H2502" s="390" t="inlineStr">
        <is>
          <t>TB</t>
        </is>
      </c>
      <c r="I2502" s="390" t="inlineStr">
        <is>
          <t>Ngày, CTCK</t>
        </is>
      </c>
      <c r="J2502" s="401" t="inlineStr">
        <is>
          <t>SCMS</t>
        </is>
      </c>
      <c r="K2502" s="401" t="n"/>
      <c r="L2502" s="401" t="inlineStr">
        <is>
          <t>X</t>
        </is>
      </c>
      <c r="M2502" s="401" t="n"/>
      <c r="N2502" s="401" t="inlineStr">
        <is>
          <t>Done</t>
        </is>
      </c>
      <c r="O2502" s="401" t="n"/>
      <c r="P2502" s="22" t="n"/>
      <c r="S2502" s="22" t="n"/>
      <c r="U2502" s="16" t="n"/>
      <c r="V2502" s="22" t="n"/>
      <c r="W2502" s="22" t="n"/>
      <c r="X2502" s="22" t="n"/>
      <c r="Y2502" s="38" t="n"/>
      <c r="Z2502" s="22" t="n"/>
      <c r="AA2502" s="22" t="n"/>
      <c r="AB2502" s="22" t="n"/>
      <c r="AC2502" s="22" t="n"/>
      <c r="AD2502" s="22" t="n"/>
      <c r="AE2502" s="22" t="n"/>
    </row>
    <row r="2503" ht="70" customHeight="1" s="380">
      <c r="A2503" s="126" t="n">
        <v>102</v>
      </c>
      <c r="B2503" s="390" t="n"/>
      <c r="C2503" s="390" t="inlineStr">
        <is>
          <t>Báo cáo theo Thông tư 121/2020/TT-BTC &gt;&gt; Báo cáo tỷ lệ An toàn tài chính &gt;&gt; Bảng tính giá trị rủi ro (Rủi ro thị trường)</t>
        </is>
      </c>
      <c r="D2503" s="390" t="inlineStr">
        <is>
          <t xml:space="preserve">Chứng khoán khác 
</t>
        </is>
      </c>
      <c r="E2503" s="401" t="inlineStr">
        <is>
          <t xml:space="preserve">Chứng khoán khác 
</t>
        </is>
      </c>
      <c r="F2503" s="390" t="inlineStr">
        <is>
          <t>Data Explorer</t>
        </is>
      </c>
      <c r="G2503" s="390" t="inlineStr">
        <is>
          <t>Chỉ tiêu cơ sở</t>
        </is>
      </c>
      <c r="H2503" s="390" t="inlineStr">
        <is>
          <t>TB</t>
        </is>
      </c>
      <c r="I2503" s="390" t="inlineStr">
        <is>
          <t>Ngày, CTCK</t>
        </is>
      </c>
      <c r="J2503" s="401" t="inlineStr">
        <is>
          <t>SCMS</t>
        </is>
      </c>
      <c r="K2503" s="401" t="n"/>
      <c r="L2503" s="401" t="inlineStr">
        <is>
          <t>X</t>
        </is>
      </c>
      <c r="M2503" s="401" t="n"/>
      <c r="N2503" s="401" t="inlineStr">
        <is>
          <t>Done</t>
        </is>
      </c>
      <c r="O2503" s="401" t="n"/>
      <c r="P2503" s="22" t="n"/>
      <c r="S2503" s="22" t="n"/>
      <c r="U2503" s="16" t="n"/>
      <c r="V2503" s="22" t="n"/>
      <c r="W2503" s="22" t="n"/>
      <c r="X2503" s="22" t="n"/>
      <c r="Y2503" s="38" t="n"/>
      <c r="Z2503" s="22" t="n"/>
      <c r="AA2503" s="22" t="n"/>
      <c r="AB2503" s="22" t="n"/>
      <c r="AC2503" s="22" t="n"/>
      <c r="AD2503" s="22" t="n"/>
      <c r="AE2503" s="22" t="n"/>
    </row>
    <row r="2504" ht="70" customHeight="1" s="380">
      <c r="A2504" s="126" t="n">
        <v>102</v>
      </c>
      <c r="B2504" s="390" t="n"/>
      <c r="C2504" s="390" t="inlineStr">
        <is>
          <t>Báo cáo theo Thông tư 121/2020/TT-BTC &gt;&gt; Báo cáo tỷ lệ An toàn tài chính &gt;&gt; Bảng tính giá trị rủi ro (Rủi ro thị trường)</t>
        </is>
      </c>
      <c r="D2504" s="390" t="inlineStr">
        <is>
          <t>Cổ phiếu niêm yết trên các thị trường nước ngoài thuộc chỉ số đạt chuẩn/các chỉ số được liệt kê tại Phụ lục VIII</t>
        </is>
      </c>
      <c r="E2504" s="401" t="inlineStr">
        <is>
          <t>Cổ phiếu niêm yết trên các thị trường nước ngoài thuộc chỉ số đạt chuẩn/các chỉ số được liệt kê tại Phụ lục VIII</t>
        </is>
      </c>
      <c r="F2504" s="390" t="inlineStr">
        <is>
          <t>Data Explorer</t>
        </is>
      </c>
      <c r="G2504" s="390" t="inlineStr">
        <is>
          <t>Chỉ tiêu cơ sở</t>
        </is>
      </c>
      <c r="H2504" s="390" t="inlineStr">
        <is>
          <t>TB</t>
        </is>
      </c>
      <c r="I2504" s="390" t="inlineStr">
        <is>
          <t>Ngày, CTCK</t>
        </is>
      </c>
      <c r="J2504" s="401" t="inlineStr">
        <is>
          <t>SCMS</t>
        </is>
      </c>
      <c r="K2504" s="401" t="n"/>
      <c r="L2504" s="401" t="inlineStr">
        <is>
          <t>X</t>
        </is>
      </c>
      <c r="M2504" s="401" t="n"/>
      <c r="N2504" s="401" t="inlineStr">
        <is>
          <t>Done</t>
        </is>
      </c>
      <c r="O2504" s="401" t="n"/>
      <c r="P2504" s="22" t="n"/>
      <c r="S2504" s="22" t="n"/>
      <c r="U2504" s="16" t="n"/>
      <c r="V2504" s="22" t="n"/>
      <c r="W2504" s="22" t="n"/>
      <c r="X2504" s="22" t="n"/>
      <c r="Y2504" s="38" t="n"/>
      <c r="Z2504" s="22" t="n"/>
      <c r="AA2504" s="22" t="n"/>
      <c r="AB2504" s="22" t="n"/>
      <c r="AC2504" s="22" t="n"/>
      <c r="AD2504" s="22" t="n"/>
      <c r="AE2504" s="22" t="n"/>
    </row>
    <row r="2505" ht="84" customHeight="1" s="380">
      <c r="A2505" s="126" t="n">
        <v>102</v>
      </c>
      <c r="B2505" s="390" t="n"/>
      <c r="C2505" s="390" t="inlineStr">
        <is>
          <t>Báo cáo theo Thông tư 121/2020/TT-BTC &gt;&gt; Báo cáo tỷ lệ An toàn tài chính &gt;&gt; Bảng tính giá trị rủi ro (Rủi ro thị trường)</t>
        </is>
      </c>
      <c r="D2505" s="390" t="inlineStr">
        <is>
          <t>Cổ phiếu niêm yết trên các thị trường nước ngoài không thuộc các chỉ số đạt chuẩn/các chỉ số được liệt kê tại Phụ lục VIII</t>
        </is>
      </c>
      <c r="E2505" s="401" t="inlineStr">
        <is>
          <t>Cổ phiếu niêm yết trên các thị trường nước ngoài không thuộc các chỉ số đạt chuẩn/các chỉ số được liệt kê tại Phụ lục VIII</t>
        </is>
      </c>
      <c r="F2505" s="390" t="inlineStr">
        <is>
          <t>Data Explorer</t>
        </is>
      </c>
      <c r="G2505" s="390" t="inlineStr">
        <is>
          <t>Chỉ tiêu cơ sở</t>
        </is>
      </c>
      <c r="H2505" s="390" t="inlineStr">
        <is>
          <t>TB</t>
        </is>
      </c>
      <c r="I2505" s="390" t="inlineStr">
        <is>
          <t>Ngày, CTCK</t>
        </is>
      </c>
      <c r="J2505" s="401" t="inlineStr">
        <is>
          <t>SCMS</t>
        </is>
      </c>
      <c r="K2505" s="401" t="n"/>
      <c r="L2505" s="401" t="inlineStr">
        <is>
          <t>X</t>
        </is>
      </c>
      <c r="M2505" s="401" t="n"/>
      <c r="N2505" s="401" t="inlineStr">
        <is>
          <t>Done</t>
        </is>
      </c>
      <c r="O2505" s="401" t="n"/>
      <c r="P2505" s="22" t="n"/>
      <c r="S2505" s="22" t="n"/>
      <c r="U2505" s="16" t="n"/>
      <c r="V2505" s="22" t="n"/>
      <c r="W2505" s="22" t="n"/>
      <c r="X2505" s="22" t="n"/>
      <c r="Y2505" s="38" t="n"/>
      <c r="Z2505" s="22" t="n"/>
      <c r="AA2505" s="22" t="n"/>
      <c r="AB2505" s="22" t="n"/>
      <c r="AC2505" s="22" t="n"/>
      <c r="AD2505" s="22" t="n"/>
      <c r="AE2505" s="22" t="n"/>
    </row>
    <row r="2506" ht="70" customHeight="1" s="380">
      <c r="A2506" s="126" t="n">
        <v>102</v>
      </c>
      <c r="B2506" s="390" t="n"/>
      <c r="C2506" s="390" t="inlineStr">
        <is>
          <t>Báo cáo theo Thông tư 121/2020/TT-BTC &gt;&gt; Báo cáo tỷ lệ An toàn tài chính &gt;&gt; Bảng tính giá trị rủi ro (Rủi ro thị trường)</t>
        </is>
      </c>
      <c r="D2506" s="390" t="inlineStr">
        <is>
          <t>Chứng quyền có bảo đảm niêm yết trên Sở giao dịch chứng khoán Thành phố Hồ Chí Minh</t>
        </is>
      </c>
      <c r="E2506" s="401" t="inlineStr">
        <is>
          <t>Chứng quyền có bảo đảm niêm yết trên Sở giao dịch chứng khoán Thành phố Hồ Chí Minh</t>
        </is>
      </c>
      <c r="F2506" s="390" t="inlineStr">
        <is>
          <t>Data Explorer</t>
        </is>
      </c>
      <c r="G2506" s="390" t="inlineStr">
        <is>
          <t>Chỉ tiêu cơ sở</t>
        </is>
      </c>
      <c r="H2506" s="390" t="inlineStr">
        <is>
          <t>TB</t>
        </is>
      </c>
      <c r="I2506" s="390" t="inlineStr">
        <is>
          <t>Ngày, CTCK</t>
        </is>
      </c>
      <c r="J2506" s="401" t="inlineStr">
        <is>
          <t>SCMS</t>
        </is>
      </c>
      <c r="K2506" s="401" t="n"/>
      <c r="L2506" s="401" t="inlineStr">
        <is>
          <t>X</t>
        </is>
      </c>
      <c r="M2506" s="401" t="n"/>
      <c r="N2506" s="401" t="inlineStr">
        <is>
          <t>Done</t>
        </is>
      </c>
      <c r="O2506" s="401" t="n"/>
      <c r="P2506" s="22" t="n"/>
      <c r="S2506" s="22" t="n"/>
      <c r="U2506" s="16" t="n"/>
      <c r="V2506" s="22" t="n"/>
      <c r="W2506" s="22" t="n"/>
      <c r="X2506" s="22" t="n"/>
      <c r="Y2506" s="38" t="n"/>
      <c r="Z2506" s="22" t="n"/>
      <c r="AA2506" s="22" t="n"/>
      <c r="AB2506" s="22" t="n"/>
      <c r="AC2506" s="22" t="n"/>
      <c r="AD2506" s="22" t="n"/>
      <c r="AE2506" s="22" t="n"/>
    </row>
    <row r="2507" ht="70" customHeight="1" s="380">
      <c r="A2507" s="126" t="n">
        <v>102</v>
      </c>
      <c r="B2507" s="390" t="n"/>
      <c r="C2507" s="390" t="inlineStr">
        <is>
          <t>Báo cáo theo Thông tư 121/2020/TT-BTC &gt;&gt; Báo cáo tỷ lệ An toàn tài chính &gt;&gt; Bảng tính giá trị rủi ro (Rủi ro thị trường)</t>
        </is>
      </c>
      <c r="D2507" s="390" t="inlineStr">
        <is>
          <t>Giao dịch chênh lệch giá</t>
        </is>
      </c>
      <c r="E2507" s="401" t="inlineStr">
        <is>
          <t>Giao dịch chênh lệch giá</t>
        </is>
      </c>
      <c r="F2507" s="390" t="inlineStr">
        <is>
          <t>Data Explorer</t>
        </is>
      </c>
      <c r="G2507" s="390" t="inlineStr">
        <is>
          <t>Chỉ tiêu cơ sở</t>
        </is>
      </c>
      <c r="H2507" s="390" t="inlineStr">
        <is>
          <t>TB</t>
        </is>
      </c>
      <c r="I2507" s="390" t="inlineStr">
        <is>
          <t>Ngày, CTCK</t>
        </is>
      </c>
      <c r="J2507" s="401" t="inlineStr">
        <is>
          <t>SCMS</t>
        </is>
      </c>
      <c r="K2507" s="401" t="n"/>
      <c r="L2507" s="401" t="inlineStr">
        <is>
          <t>X</t>
        </is>
      </c>
      <c r="M2507" s="401" t="n"/>
      <c r="N2507" s="401" t="inlineStr">
        <is>
          <t>Done</t>
        </is>
      </c>
      <c r="O2507" s="401" t="n"/>
      <c r="P2507" s="22" t="n"/>
      <c r="S2507" s="22" t="n"/>
      <c r="U2507" s="16" t="n"/>
      <c r="V2507" s="22" t="n"/>
      <c r="W2507" s="22" t="n"/>
      <c r="X2507" s="22" t="n"/>
      <c r="Y2507" s="38" t="n"/>
      <c r="Z2507" s="22" t="n"/>
      <c r="AA2507" s="22" t="n"/>
      <c r="AB2507" s="22" t="n"/>
      <c r="AC2507" s="22" t="n"/>
      <c r="AD2507" s="22" t="n"/>
      <c r="AE2507" s="22" t="n"/>
    </row>
    <row r="2508" ht="70" customHeight="1" s="380">
      <c r="A2508" s="126" t="n">
        <v>102</v>
      </c>
      <c r="B2508" s="390" t="n"/>
      <c r="C2508" s="390" t="inlineStr">
        <is>
          <t>Báo cáo theo Thông tư 121/2020/TT-BTC &gt;&gt; Báo cáo tỷ lệ An toàn tài chính &gt;&gt; Bảng tính giá trị rủi ro (Rủi ro thị trường)</t>
        </is>
      </c>
      <c r="D2508" s="390" t="inlineStr">
        <is>
          <t>Cổ phần, phần vốn góp, các loại chứng khoán khác và các tài sản đầu tư khác</t>
        </is>
      </c>
      <c r="E2508" s="401" t="inlineStr">
        <is>
          <t>Cổ phần, phần vốn góp, các loại chứng khoán khác và các tài sản đầu tư khác</t>
        </is>
      </c>
      <c r="F2508" s="390" t="inlineStr">
        <is>
          <t>Data Explorer</t>
        </is>
      </c>
      <c r="G2508" s="390" t="inlineStr">
        <is>
          <t>Chỉ tiêu cơ sở</t>
        </is>
      </c>
      <c r="H2508" s="390" t="inlineStr">
        <is>
          <t>TB</t>
        </is>
      </c>
      <c r="I2508" s="390" t="inlineStr">
        <is>
          <t>Ngày, CTCK</t>
        </is>
      </c>
      <c r="J2508" s="401" t="inlineStr">
        <is>
          <t>SCMS</t>
        </is>
      </c>
      <c r="K2508" s="401" t="n"/>
      <c r="L2508" s="401" t="inlineStr">
        <is>
          <t>X</t>
        </is>
      </c>
      <c r="M2508" s="401" t="n"/>
      <c r="N2508" s="401" t="inlineStr">
        <is>
          <t>Done</t>
        </is>
      </c>
      <c r="O2508" s="401" t="n"/>
      <c r="P2508" s="22" t="n"/>
      <c r="S2508" s="22" t="n"/>
      <c r="U2508" s="16" t="n"/>
      <c r="V2508" s="22" t="n"/>
      <c r="W2508" s="22" t="n"/>
      <c r="X2508" s="22" t="n"/>
      <c r="Y2508" s="38" t="n"/>
      <c r="Z2508" s="22" t="n"/>
      <c r="AA2508" s="22" t="n"/>
      <c r="AB2508" s="22" t="n"/>
      <c r="AC2508" s="22" t="n"/>
      <c r="AD2508" s="22" t="n"/>
      <c r="AE2508" s="22" t="n"/>
    </row>
    <row r="2509" ht="70" customHeight="1" s="380">
      <c r="A2509" s="126" t="n">
        <v>102</v>
      </c>
      <c r="B2509" s="390" t="n"/>
      <c r="C2509" s="390" t="inlineStr">
        <is>
          <t>Báo cáo theo Thông tư 121/2020/TT-BTC &gt;&gt; Báo cáo tỷ lệ An toàn tài chính &gt;&gt; Bảng tính giá trị rủi ro (Rủi ro thị trường)</t>
        </is>
      </c>
      <c r="D2509" s="390" t="inlineStr">
        <is>
          <t xml:space="preserve">Chứng quyền có bảo đảm do công ty chứng khoán phát hành
</t>
        </is>
      </c>
      <c r="E2509" s="401" t="inlineStr">
        <is>
          <t xml:space="preserve">Chứng quyền có bảo đảm do công ty chứng khoán phát hành
</t>
        </is>
      </c>
      <c r="F2509" s="390" t="inlineStr">
        <is>
          <t>Data Explorer</t>
        </is>
      </c>
      <c r="G2509" s="390" t="inlineStr">
        <is>
          <t>Chỉ tiêu cơ sở</t>
        </is>
      </c>
      <c r="H2509" s="390" t="inlineStr">
        <is>
          <t>TB</t>
        </is>
      </c>
      <c r="I2509" s="390" t="inlineStr">
        <is>
          <t>Ngày, CTCK</t>
        </is>
      </c>
      <c r="J2509" s="401" t="inlineStr">
        <is>
          <t>SCMS</t>
        </is>
      </c>
      <c r="K2509" s="401" t="n"/>
      <c r="L2509" s="401" t="inlineStr">
        <is>
          <t>X</t>
        </is>
      </c>
      <c r="M2509" s="401" t="n"/>
      <c r="N2509" s="401" t="inlineStr">
        <is>
          <t>Done</t>
        </is>
      </c>
      <c r="O2509" s="401" t="n"/>
      <c r="P2509" s="22" t="n"/>
      <c r="S2509" s="22" t="n"/>
      <c r="U2509" s="16" t="n"/>
      <c r="V2509" s="22" t="n"/>
      <c r="W2509" s="22" t="n"/>
      <c r="X2509" s="22" t="n"/>
      <c r="Y2509" s="38" t="n"/>
      <c r="Z2509" s="22" t="n"/>
      <c r="AA2509" s="22" t="n"/>
      <c r="AB2509" s="22" t="n"/>
      <c r="AC2509" s="22" t="n"/>
      <c r="AD2509" s="22" t="n"/>
      <c r="AE2509" s="22" t="n"/>
    </row>
    <row r="2510" ht="70" customHeight="1" s="380">
      <c r="A2510" s="126" t="n">
        <v>102</v>
      </c>
      <c r="B2510" s="390" t="n"/>
      <c r="C2510" s="390" t="inlineStr">
        <is>
          <t>Báo cáo theo Thông tư 121/2020/TT-BTC &gt;&gt; Báo cáo tỷ lệ An toàn tài chính &gt;&gt; Bảng tính giá trị rủi ro (Rủi ro thị trường)</t>
        </is>
      </c>
      <c r="D2510" s="390" t="inlineStr">
        <is>
          <t>Cách tính:
Giá trị rủi ro thị trường = Max {((P0 X Q0 /k- P1 X Q1) x r -MD), 0}</t>
        </is>
      </c>
      <c r="E2510" s="401" t="inlineStr">
        <is>
          <t>Cách tính:
Giá trị rủi ro thị trường = Max {((P0 X Q0 /k- P1 X Q1) x r -MD), 0}</t>
        </is>
      </c>
      <c r="F2510" s="390" t="inlineStr">
        <is>
          <t>Data Explorer</t>
        </is>
      </c>
      <c r="G2510" s="390" t="inlineStr">
        <is>
          <t>Chỉ tiêu cơ sở</t>
        </is>
      </c>
      <c r="H2510" s="390" t="inlineStr">
        <is>
          <t>TB</t>
        </is>
      </c>
      <c r="I2510" s="390" t="inlineStr">
        <is>
          <t>Ngày, CTCK</t>
        </is>
      </c>
      <c r="J2510" s="401" t="inlineStr">
        <is>
          <t>SCMS</t>
        </is>
      </c>
      <c r="K2510" s="401" t="n"/>
      <c r="L2510" s="401" t="inlineStr">
        <is>
          <t>X</t>
        </is>
      </c>
      <c r="M2510" s="401" t="n"/>
      <c r="N2510" s="401" t="inlineStr">
        <is>
          <t>Done</t>
        </is>
      </c>
      <c r="O2510" s="401" t="n"/>
      <c r="P2510" s="22" t="n"/>
      <c r="S2510" s="22" t="n"/>
      <c r="U2510" s="16" t="n"/>
      <c r="V2510" s="22" t="n"/>
      <c r="W2510" s="22" t="n"/>
      <c r="X2510" s="22" t="n"/>
      <c r="Y2510" s="38" t="n"/>
      <c r="Z2510" s="22" t="n"/>
      <c r="AA2510" s="22" t="n"/>
      <c r="AB2510" s="22" t="n"/>
      <c r="AC2510" s="22" t="n"/>
      <c r="AD2510" s="22" t="n"/>
      <c r="AE2510" s="22" t="n"/>
    </row>
    <row r="2511" ht="84" customHeight="1" s="380">
      <c r="A2511" s="126" t="n">
        <v>102</v>
      </c>
      <c r="B2511" s="390" t="n"/>
      <c r="C2511" s="390" t="inlineStr">
        <is>
          <t>Báo cáo theo Thông tư 121/2020/TT-BTC &gt;&gt; Báo cáo tỷ lệ An toàn tài chính &gt;&gt; Bảng tính giá trị rủi ro (Rủi ro thị trường)</t>
        </is>
      </c>
      <c r="D2511" s="390" t="inlineStr">
        <is>
          <t>Chứng khoán hình thành từ hoạt động phòng ngừa rủi ro cho chứng quyền có bảo đảm do công ty chứng khoán đã phát hành</t>
        </is>
      </c>
      <c r="E2511" s="401" t="inlineStr">
        <is>
          <t>Chứng khoán hình thành từ hoạt động phòng ngừa rủi ro cho chứng quyền có bảo đảm do công ty chứng khoán đã phát hành (trường hợp chứng quyền có bảo đảm không có lãi)</t>
        </is>
      </c>
      <c r="F2511" s="390" t="inlineStr">
        <is>
          <t>Data Explorer</t>
        </is>
      </c>
      <c r="G2511" s="390" t="inlineStr">
        <is>
          <t>Chỉ tiêu cơ sở</t>
        </is>
      </c>
      <c r="H2511" s="390" t="inlineStr">
        <is>
          <t>TB</t>
        </is>
      </c>
      <c r="I2511" s="390" t="inlineStr">
        <is>
          <t>Ngày, CTCK</t>
        </is>
      </c>
      <c r="J2511" s="401" t="inlineStr">
        <is>
          <t>SCMS</t>
        </is>
      </c>
      <c r="K2511" s="401" t="n"/>
      <c r="L2511" s="401" t="inlineStr">
        <is>
          <t>X</t>
        </is>
      </c>
      <c r="M2511" s="401" t="n"/>
      <c r="N2511" s="401" t="inlineStr">
        <is>
          <t>Done</t>
        </is>
      </c>
      <c r="O2511" s="401" t="n"/>
      <c r="P2511" s="22" t="n"/>
      <c r="S2511" s="22" t="n"/>
      <c r="U2511" s="16" t="n"/>
      <c r="V2511" s="22" t="n"/>
      <c r="W2511" s="22" t="n"/>
      <c r="X2511" s="22" t="n"/>
      <c r="Y2511" s="38" t="n"/>
      <c r="Z2511" s="22" t="n"/>
      <c r="AA2511" s="22" t="n"/>
      <c r="AB2511" s="22" t="n"/>
      <c r="AC2511" s="22" t="n"/>
      <c r="AD2511" s="22" t="n"/>
      <c r="AE2511" s="22" t="n"/>
    </row>
    <row r="2512" ht="112" customHeight="1" s="380">
      <c r="A2512" s="126" t="n">
        <v>102</v>
      </c>
      <c r="B2512" s="390" t="n"/>
      <c r="C2512" s="390" t="inlineStr">
        <is>
          <t>Báo cáo theo Thông tư 121/2020/TT-BTC &gt;&gt; Báo cáo tỷ lệ An toàn tài chính &gt;&gt; Bảng tính giá trị rủi ro (Rủi ro thị trường)</t>
        </is>
      </c>
      <c r="D2512" s="390" t="inlineStr">
        <is>
          <t>Phần chênh lệch dương giữa giá trị chứng khoán cơ sở dùng để phòng ngừa rủi ro và giá trị chứng khoán cơ sở cần thiết để phòng ngừa rủi ro cho chứng quyền có bảo đảm</t>
        </is>
      </c>
      <c r="E2512" s="401" t="inlineStr">
        <is>
          <t>Phần chênh lệch dương giữa giá trị chứng khoán cơ sở dùng để phòng ngừa rủi ro và giá trị chứng khoán cơ sở cần thiết để phòng ngừa rủi ro cho chứng quyền có bảo đảm</t>
        </is>
      </c>
      <c r="F2512" s="390" t="inlineStr">
        <is>
          <t>Data Explorer</t>
        </is>
      </c>
      <c r="G2512" s="390" t="inlineStr">
        <is>
          <t>Chỉ tiêu cơ sở</t>
        </is>
      </c>
      <c r="H2512" s="390" t="inlineStr">
        <is>
          <t>TB</t>
        </is>
      </c>
      <c r="I2512" s="390" t="inlineStr">
        <is>
          <t>Ngày, CTCK</t>
        </is>
      </c>
      <c r="J2512" s="401" t="inlineStr">
        <is>
          <t>SCMS</t>
        </is>
      </c>
      <c r="K2512" s="401" t="n"/>
      <c r="L2512" s="401" t="inlineStr">
        <is>
          <t>X</t>
        </is>
      </c>
      <c r="M2512" s="401" t="n"/>
      <c r="N2512" s="401" t="inlineStr">
        <is>
          <t>Done</t>
        </is>
      </c>
      <c r="O2512" s="401" t="n"/>
      <c r="P2512" s="22" t="n"/>
      <c r="S2512" s="22" t="n"/>
      <c r="U2512" s="16" t="n"/>
      <c r="V2512" s="22" t="n"/>
      <c r="W2512" s="22" t="n"/>
      <c r="X2512" s="22" t="n"/>
      <c r="Y2512" s="38" t="n"/>
      <c r="Z2512" s="22" t="n"/>
      <c r="AA2512" s="22" t="n"/>
      <c r="AB2512" s="22" t="n"/>
      <c r="AC2512" s="22" t="n"/>
      <c r="AD2512" s="22" t="n"/>
      <c r="AE2512" s="22" t="n"/>
    </row>
    <row r="2513" ht="70" customHeight="1" s="380">
      <c r="A2513" s="126" t="n">
        <v>102</v>
      </c>
      <c r="B2513" s="390" t="n"/>
      <c r="C2513" s="390" t="inlineStr">
        <is>
          <t>Báo cáo theo Thông tư 121/2020/TT-BTC &gt;&gt; Báo cáo tỷ lệ An toàn tài chính &gt;&gt; Bảng tính giá trị rủi ro (Rủi ro thị trường)</t>
        </is>
      </c>
      <c r="D2513" s="390" t="inlineStr">
        <is>
          <t>Rủi ro tăng thêm (nếu có)</t>
        </is>
      </c>
      <c r="E2513" s="401" t="inlineStr">
        <is>
          <t>Rủi ro tăng thêm (nếu có) (được xác định trên cơ sở vốn chủ sở hữu đã trích lập đầy đủ các khoản dự phòng)</t>
        </is>
      </c>
      <c r="F2513" s="390" t="inlineStr">
        <is>
          <t>Data Explorer</t>
        </is>
      </c>
      <c r="G2513" s="390" t="inlineStr">
        <is>
          <t>Chỉ tiêu cơ sở</t>
        </is>
      </c>
      <c r="H2513" s="390" t="inlineStr">
        <is>
          <t>TB</t>
        </is>
      </c>
      <c r="I2513" s="390" t="inlineStr">
        <is>
          <t>Ngày, CTCK</t>
        </is>
      </c>
      <c r="J2513" s="401" t="inlineStr">
        <is>
          <t>SCMS</t>
        </is>
      </c>
      <c r="K2513" s="401" t="n"/>
      <c r="L2513" s="401" t="inlineStr">
        <is>
          <t>X</t>
        </is>
      </c>
      <c r="M2513" s="401" t="n"/>
      <c r="N2513" s="401" t="inlineStr">
        <is>
          <t>Done</t>
        </is>
      </c>
      <c r="O2513" s="401" t="n"/>
      <c r="P2513" s="22" t="n"/>
      <c r="S2513" s="22" t="n"/>
      <c r="U2513" s="16" t="n"/>
      <c r="V2513" s="22" t="n"/>
      <c r="W2513" s="22" t="n"/>
      <c r="X2513" s="22" t="n"/>
      <c r="Y2513" s="38" t="n"/>
      <c r="Z2513" s="22" t="n"/>
      <c r="AA2513" s="22" t="n"/>
      <c r="AB2513" s="22" t="n"/>
      <c r="AC2513" s="22" t="n"/>
      <c r="AD2513" s="22" t="n"/>
      <c r="AE2513" s="22" t="n"/>
    </row>
    <row r="2514" ht="70" customHeight="1" s="380">
      <c r="A2514" s="126" t="n">
        <v>102</v>
      </c>
      <c r="B2514" s="390" t="n"/>
      <c r="C2514" s="390" t="inlineStr">
        <is>
          <t>Báo cáo theo Thông tư 121/2020/TT-BTC &gt;&gt; Báo cáo tỷ lệ An toàn tài chính &gt;&gt; Bảng tính giá trị rủi ro (Rủi ro thị trường)</t>
        </is>
      </c>
      <c r="D2514" s="390" t="inlineStr">
        <is>
          <t>Mã chứng khoán</t>
        </is>
      </c>
      <c r="E2514" s="401" t="inlineStr">
        <is>
          <t>Mã chứng khoán</t>
        </is>
      </c>
      <c r="F2514" s="390" t="inlineStr">
        <is>
          <t>Data Explorer</t>
        </is>
      </c>
      <c r="G2514" s="390" t="inlineStr">
        <is>
          <t>Chỉ tiêu cơ sở</t>
        </is>
      </c>
      <c r="H2514" s="390" t="inlineStr">
        <is>
          <t>TB</t>
        </is>
      </c>
      <c r="I2514" s="390" t="inlineStr">
        <is>
          <t>Ngày, CTCK</t>
        </is>
      </c>
      <c r="J2514" s="401" t="inlineStr">
        <is>
          <t>SCMS</t>
        </is>
      </c>
      <c r="K2514" s="401" t="n"/>
      <c r="L2514" s="401" t="inlineStr">
        <is>
          <t>X</t>
        </is>
      </c>
      <c r="M2514" s="401" t="n"/>
      <c r="N2514" s="401" t="inlineStr">
        <is>
          <t>Done</t>
        </is>
      </c>
      <c r="O2514" s="401" t="n"/>
      <c r="P2514" s="22" t="n"/>
      <c r="S2514" s="22" t="n"/>
      <c r="U2514" s="16" t="n"/>
      <c r="V2514" s="22" t="n"/>
      <c r="W2514" s="22" t="n"/>
      <c r="X2514" s="22" t="n"/>
      <c r="Y2514" s="38" t="n"/>
      <c r="Z2514" s="22" t="n"/>
      <c r="AA2514" s="22" t="n"/>
      <c r="AB2514" s="22" t="n"/>
      <c r="AC2514" s="22" t="n"/>
      <c r="AD2514" s="22" t="n"/>
      <c r="AE2514" s="22" t="n"/>
    </row>
    <row r="2515" ht="70" customHeight="1" s="380">
      <c r="A2515" s="128" t="n">
        <v>102</v>
      </c>
      <c r="B2515" s="129" t="n"/>
      <c r="C2515" s="129" t="inlineStr">
        <is>
          <t>Báo cáo theo Thông tư 121/2020/TT-BTC &gt;&gt; Báo cáo tỷ lệ An toàn tài chính &gt;&gt; Bảng tính giá trị rủi ro (Rủi ro thị trường)</t>
        </is>
      </c>
      <c r="D2515" s="129" t="inlineStr">
        <is>
          <t xml:space="preserve">TỔNG GIÁ TRỊ RỦI RO THỊ TRƯỜNG (A= I+II+III+IV+V+VI+VII+VIII+IX)
</t>
        </is>
      </c>
      <c r="E2515" s="85" t="inlineStr">
        <is>
          <t xml:space="preserve">TỔNG GIÁ TRỊ RỦI RO THỊ TRƯỜNG (A= I+II+III+IV+V+VI+VII+VIII+IX)
</t>
        </is>
      </c>
      <c r="F2515" s="129" t="inlineStr">
        <is>
          <t>Data Explorer</t>
        </is>
      </c>
      <c r="G2515" s="129" t="inlineStr">
        <is>
          <t>Chỉ tiêu cơ sở</t>
        </is>
      </c>
      <c r="H2515" s="129" t="inlineStr">
        <is>
          <t>TB</t>
        </is>
      </c>
      <c r="I2515" s="129" t="inlineStr">
        <is>
          <t>Ngày, CTCK</t>
        </is>
      </c>
      <c r="J2515" s="85" t="inlineStr">
        <is>
          <t>SCMS</t>
        </is>
      </c>
      <c r="K2515" s="85" t="n"/>
      <c r="L2515" s="85" t="inlineStr">
        <is>
          <t>X</t>
        </is>
      </c>
      <c r="M2515" s="85" t="n"/>
      <c r="N2515" s="85" t="inlineStr">
        <is>
          <t>Done</t>
        </is>
      </c>
      <c r="O2515" s="85" t="n"/>
      <c r="P2515" s="130" t="n"/>
      <c r="Q2515" s="426" t="n"/>
      <c r="R2515" s="426" t="n"/>
      <c r="S2515" s="130" t="n"/>
      <c r="T2515" s="426" t="n"/>
      <c r="U2515" s="131" t="n"/>
      <c r="V2515" s="130" t="n"/>
      <c r="W2515" s="130" t="n"/>
      <c r="X2515" s="130" t="n"/>
      <c r="Y2515" s="97" t="n"/>
      <c r="Z2515" s="130" t="n"/>
      <c r="AA2515" s="130" t="n"/>
      <c r="AB2515" s="130" t="n"/>
      <c r="AC2515" s="130" t="n"/>
      <c r="AD2515" s="130" t="n"/>
      <c r="AE2515" s="130" t="n"/>
    </row>
    <row r="2516" ht="56" customHeight="1" s="380">
      <c r="A2516" s="126" t="n">
        <v>103</v>
      </c>
      <c r="B2516" s="122" t="inlineStr">
        <is>
          <t>Nga</t>
        </is>
      </c>
      <c r="C2516" s="127" t="inlineStr">
        <is>
          <t>Báo cáo theo Thông tư 121/2020/TT-BTC &gt;&gt; Báo cáo tỷ lệ An toàn tài chính &gt;&gt; Giá trị rủi ro thanh toán</t>
        </is>
      </c>
      <c r="D2516" s="106" t="inlineStr">
        <is>
          <t>Loại báo cáo</t>
        </is>
      </c>
      <c r="E2516" s="107" t="inlineStr">
        <is>
          <t>Loại báo cáo</t>
        </is>
      </c>
      <c r="F2516" s="390" t="inlineStr">
        <is>
          <t>Data Explorer</t>
        </is>
      </c>
      <c r="G2516" s="390" t="inlineStr">
        <is>
          <t>Chiều</t>
        </is>
      </c>
      <c r="H2516" s="390" t="inlineStr">
        <is>
          <t>Dễ</t>
        </is>
      </c>
      <c r="I2516" s="390" t="inlineStr">
        <is>
          <t>Ngày, CTCK</t>
        </is>
      </c>
      <c r="J2516" s="401" t="inlineStr">
        <is>
          <t>SCMS</t>
        </is>
      </c>
      <c r="K2516" s="401" t="inlineStr">
        <is>
          <t>X</t>
        </is>
      </c>
      <c r="L2516" s="401" t="inlineStr">
        <is>
          <t>X</t>
        </is>
      </c>
      <c r="M2516" s="401" t="n"/>
      <c r="N2516" s="401" t="inlineStr">
        <is>
          <t>Done</t>
        </is>
      </c>
      <c r="O2516" s="401" t="n"/>
      <c r="P2516" s="22" t="n"/>
      <c r="Q2516" s="402" t="n"/>
      <c r="R2516" s="402" t="n"/>
      <c r="S2516" s="22" t="n"/>
      <c r="T2516" s="389"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2516" s="16" t="n"/>
      <c r="V2516" s="22" t="n"/>
      <c r="W2516" s="22" t="n"/>
      <c r="X2516" s="22" t="n"/>
      <c r="Y2516" s="13" t="n"/>
      <c r="Z2516" s="22" t="n"/>
      <c r="AA2516" s="22" t="n"/>
      <c r="AB2516" s="22" t="n"/>
      <c r="AC2516" s="22" t="n"/>
      <c r="AD2516" s="22" t="n"/>
      <c r="AE2516" s="22" t="n"/>
    </row>
    <row r="2517" ht="56" customHeight="1" s="380">
      <c r="A2517" s="126" t="n">
        <v>103</v>
      </c>
      <c r="B2517" s="390" t="n"/>
      <c r="C2517" s="390" t="inlineStr">
        <is>
          <t>Báo cáo theo Thông tư 121/2020/TT-BTC &gt;&gt; Báo cáo tỷ lệ An toàn tài chính &gt;&gt; Giá trị rủi ro thanh toán</t>
        </is>
      </c>
      <c r="D2517" s="106" t="inlineStr">
        <is>
          <t>Kỳ báo cáo</t>
        </is>
      </c>
      <c r="E2517" s="107" t="inlineStr">
        <is>
          <t>Kỳ báo cáo</t>
        </is>
      </c>
      <c r="F2517" s="390" t="inlineStr">
        <is>
          <t>Data Explorer</t>
        </is>
      </c>
      <c r="G2517" s="390" t="inlineStr">
        <is>
          <t>Chiều</t>
        </is>
      </c>
      <c r="H2517" s="390" t="inlineStr">
        <is>
          <t>Dễ</t>
        </is>
      </c>
      <c r="I2517" s="390" t="inlineStr">
        <is>
          <t>Ngày, CTCK</t>
        </is>
      </c>
      <c r="J2517" s="401" t="inlineStr">
        <is>
          <t>SCMS</t>
        </is>
      </c>
      <c r="K2517" s="401" t="inlineStr">
        <is>
          <t>X</t>
        </is>
      </c>
      <c r="L2517" s="401" t="inlineStr">
        <is>
          <t>X</t>
        </is>
      </c>
      <c r="M2517" s="401" t="n"/>
      <c r="N2517" s="401" t="inlineStr">
        <is>
          <t>Done</t>
        </is>
      </c>
      <c r="O2517" s="401" t="n"/>
      <c r="P2517" s="22" t="n"/>
      <c r="S2517" s="22" t="n"/>
      <c r="U2517" s="16" t="n"/>
      <c r="V2517" s="22" t="n"/>
      <c r="W2517" s="22" t="n"/>
      <c r="X2517" s="22" t="n"/>
      <c r="Y2517" s="13" t="n"/>
      <c r="Z2517" s="22" t="n"/>
      <c r="AA2517" s="22" t="n"/>
      <c r="AB2517" s="22" t="n"/>
      <c r="AC2517" s="22" t="n"/>
      <c r="AD2517" s="22" t="n"/>
      <c r="AE2517" s="22" t="n"/>
    </row>
    <row r="2518" ht="56" customHeight="1" s="380">
      <c r="A2518" s="126" t="n">
        <v>103</v>
      </c>
      <c r="B2518" s="390" t="n"/>
      <c r="C2518" s="390" t="inlineStr">
        <is>
          <t>Báo cáo theo Thông tư 121/2020/TT-BTC &gt;&gt; Báo cáo tỷ lệ An toàn tài chính &gt;&gt; Giá trị rủi ro thanh toán</t>
        </is>
      </c>
      <c r="D2518" s="106" t="inlineStr">
        <is>
          <t>Mã báo cáo</t>
        </is>
      </c>
      <c r="E2518" s="107" t="inlineStr">
        <is>
          <t>Mã báo cáo</t>
        </is>
      </c>
      <c r="F2518" s="390" t="inlineStr">
        <is>
          <t>Data Explorer</t>
        </is>
      </c>
      <c r="G2518" s="390" t="inlineStr">
        <is>
          <t>Chiều</t>
        </is>
      </c>
      <c r="H2518" s="390" t="inlineStr">
        <is>
          <t>Dễ</t>
        </is>
      </c>
      <c r="I2518" s="390" t="inlineStr">
        <is>
          <t>Ngày, CTCK</t>
        </is>
      </c>
      <c r="J2518" s="401" t="inlineStr">
        <is>
          <t>SCMS</t>
        </is>
      </c>
      <c r="K2518" s="401" t="inlineStr">
        <is>
          <t>X</t>
        </is>
      </c>
      <c r="L2518" s="401" t="inlineStr">
        <is>
          <t>X</t>
        </is>
      </c>
      <c r="M2518" s="401" t="n"/>
      <c r="N2518" s="401" t="inlineStr">
        <is>
          <t>Done</t>
        </is>
      </c>
      <c r="O2518" s="401" t="n"/>
      <c r="P2518" s="22" t="n"/>
      <c r="S2518" s="22" t="n"/>
      <c r="U2518" s="16" t="n"/>
      <c r="V2518" s="22" t="n"/>
      <c r="W2518" s="22" t="n"/>
      <c r="X2518" s="22" t="n"/>
      <c r="Y2518" s="14" t="n"/>
      <c r="Z2518" s="22" t="n"/>
      <c r="AA2518" s="22" t="n"/>
      <c r="AB2518" s="22" t="n"/>
      <c r="AC2518" s="22" t="n"/>
      <c r="AD2518" s="22" t="n"/>
      <c r="AE2518" s="22" t="n"/>
    </row>
    <row r="2519" ht="56" customHeight="1" s="380">
      <c r="A2519" s="126" t="n">
        <v>103</v>
      </c>
      <c r="B2519" s="390" t="n"/>
      <c r="C2519" s="390" t="inlineStr">
        <is>
          <t>Báo cáo theo Thông tư 121/2020/TT-BTC &gt;&gt; Báo cáo tỷ lệ An toàn tài chính &gt;&gt; Giá trị rủi ro thanh toán</t>
        </is>
      </c>
      <c r="D2519" s="106" t="inlineStr">
        <is>
          <t>Tên báo cáo</t>
        </is>
      </c>
      <c r="E2519" s="107" t="inlineStr">
        <is>
          <t>Tên báo cáo</t>
        </is>
      </c>
      <c r="F2519" s="390" t="inlineStr">
        <is>
          <t>Data Explorer</t>
        </is>
      </c>
      <c r="G2519" s="390" t="inlineStr">
        <is>
          <t>Chiều</t>
        </is>
      </c>
      <c r="H2519" s="390" t="inlineStr">
        <is>
          <t>Dễ</t>
        </is>
      </c>
      <c r="I2519" s="390" t="inlineStr">
        <is>
          <t>Ngày, CTCK</t>
        </is>
      </c>
      <c r="J2519" s="401" t="inlineStr">
        <is>
          <t>SCMS</t>
        </is>
      </c>
      <c r="K2519" s="401" t="inlineStr">
        <is>
          <t>X</t>
        </is>
      </c>
      <c r="L2519" s="401" t="inlineStr">
        <is>
          <t>X</t>
        </is>
      </c>
      <c r="M2519" s="401" t="n"/>
      <c r="N2519" s="401" t="inlineStr">
        <is>
          <t>Done</t>
        </is>
      </c>
      <c r="O2519" s="401" t="n"/>
      <c r="P2519" s="22" t="n"/>
      <c r="S2519" s="22" t="n"/>
      <c r="U2519" s="16" t="n"/>
      <c r="V2519" s="22" t="n"/>
      <c r="W2519" s="22" t="n"/>
      <c r="X2519" s="22" t="n"/>
      <c r="Y2519" s="13" t="n"/>
      <c r="Z2519" s="22" t="n"/>
      <c r="AA2519" s="22" t="n"/>
      <c r="AB2519" s="22" t="n"/>
      <c r="AC2519" s="22" t="n"/>
      <c r="AD2519" s="22" t="n"/>
      <c r="AE2519" s="22" t="n"/>
    </row>
    <row r="2520" ht="56" customHeight="1" s="380">
      <c r="A2520" s="126" t="n">
        <v>103</v>
      </c>
      <c r="B2520" s="390" t="n"/>
      <c r="C2520" s="390" t="inlineStr">
        <is>
          <t>Báo cáo theo Thông tư 121/2020/TT-BTC &gt;&gt; Báo cáo tỷ lệ An toàn tài chính &gt;&gt; Giá trị rủi ro thanh toán</t>
        </is>
      </c>
      <c r="D2520" s="106" t="inlineStr">
        <is>
          <t>Mã sheet</t>
        </is>
      </c>
      <c r="E2520" s="106" t="inlineStr">
        <is>
          <t>Mã sheet</t>
        </is>
      </c>
      <c r="F2520" s="390" t="inlineStr">
        <is>
          <t>Data Explorer</t>
        </is>
      </c>
      <c r="G2520" s="390" t="inlineStr">
        <is>
          <t>Chiều</t>
        </is>
      </c>
      <c r="H2520" s="390" t="inlineStr">
        <is>
          <t>Dễ</t>
        </is>
      </c>
      <c r="I2520" s="390" t="inlineStr">
        <is>
          <t>Ngày, CTCK</t>
        </is>
      </c>
      <c r="J2520" s="401" t="inlineStr">
        <is>
          <t>SCMS</t>
        </is>
      </c>
      <c r="K2520" s="401" t="inlineStr">
        <is>
          <t>X</t>
        </is>
      </c>
      <c r="L2520" s="401" t="inlineStr">
        <is>
          <t>X</t>
        </is>
      </c>
      <c r="M2520" s="401" t="n"/>
      <c r="N2520" s="401" t="inlineStr">
        <is>
          <t>Done</t>
        </is>
      </c>
      <c r="O2520" s="401" t="n"/>
      <c r="P2520" s="22" t="n"/>
      <c r="Q2520" s="402" t="n"/>
      <c r="R2520" s="402" t="n"/>
      <c r="S2520" s="22" t="n"/>
      <c r="T2520" s="389" t="inlineStr">
        <is>
          <t>-- Mã sheet / Tên sheet
-- TEN_SHEET: 06H03
SELECT bm.MA_BAO_CAO,
s.MA_SHEET,
s.TEN_SHEET
FROM SCMS.BM_BAO_CAO bm
JOIN SCMS.BM_SHEET s ON s.BM_BAO_CAO_ID = bm.ID
WHERE bm.MA_BAO_CAO LIKE 'BCTLAT_TT102/2025'
AND s.MA_SHEET = '06H03'  -- Check lại
AND bm.SU_DUNG = 1
ORDER BY bm.MA_BAO_CAO, s.SAP_XEP;</t>
        </is>
      </c>
      <c r="U2520" s="16" t="n"/>
      <c r="V2520" s="22" t="n"/>
      <c r="W2520" s="22" t="n"/>
      <c r="X2520" s="22" t="n"/>
      <c r="Y2520" s="13" t="n"/>
      <c r="Z2520" s="22" t="n"/>
      <c r="AA2520" s="22" t="n"/>
      <c r="AB2520" s="22" t="n"/>
      <c r="AC2520" s="22" t="n"/>
      <c r="AD2520" s="22" t="n"/>
      <c r="AE2520" s="22" t="n"/>
    </row>
    <row r="2521" ht="56" customHeight="1" s="380">
      <c r="A2521" s="126" t="n">
        <v>103</v>
      </c>
      <c r="B2521" s="390" t="n"/>
      <c r="C2521" s="390" t="inlineStr">
        <is>
          <t>Báo cáo theo Thông tư 121/2020/TT-BTC &gt;&gt; Báo cáo tỷ lệ An toàn tài chính &gt;&gt; Giá trị rủi ro thanh toán</t>
        </is>
      </c>
      <c r="D2521" s="106" t="inlineStr">
        <is>
          <t>Tên sheet</t>
        </is>
      </c>
      <c r="E2521" s="106" t="inlineStr">
        <is>
          <t>Tên sheet</t>
        </is>
      </c>
      <c r="F2521" s="390" t="inlineStr">
        <is>
          <t>Data Explorer</t>
        </is>
      </c>
      <c r="G2521" s="390" t="inlineStr">
        <is>
          <t>Chiều</t>
        </is>
      </c>
      <c r="H2521" s="390" t="inlineStr">
        <is>
          <t>Dễ</t>
        </is>
      </c>
      <c r="I2521" s="390" t="inlineStr">
        <is>
          <t>Ngày, CTCK</t>
        </is>
      </c>
      <c r="J2521" s="401" t="inlineStr">
        <is>
          <t>SCMS</t>
        </is>
      </c>
      <c r="K2521" s="401" t="inlineStr">
        <is>
          <t>X</t>
        </is>
      </c>
      <c r="L2521" s="401" t="inlineStr">
        <is>
          <t>X</t>
        </is>
      </c>
      <c r="M2521" s="401" t="n"/>
      <c r="N2521" s="401" t="inlineStr">
        <is>
          <t>Done</t>
        </is>
      </c>
      <c r="O2521" s="401" t="n"/>
      <c r="P2521" s="22" t="n"/>
      <c r="S2521" s="22" t="n"/>
      <c r="U2521" s="16" t="n"/>
      <c r="V2521" s="22" t="n"/>
      <c r="W2521" s="22" t="n"/>
      <c r="X2521" s="22" t="n"/>
      <c r="Y2521" s="13" t="n"/>
      <c r="Z2521" s="22" t="n"/>
      <c r="AA2521" s="22" t="n"/>
      <c r="AB2521" s="22" t="n"/>
      <c r="AC2521" s="22" t="n"/>
      <c r="AD2521" s="22" t="n"/>
      <c r="AE2521" s="22" t="n"/>
    </row>
    <row r="2522" ht="56" customHeight="1" s="380">
      <c r="A2522" s="126" t="n">
        <v>103</v>
      </c>
      <c r="B2522" s="390" t="n"/>
      <c r="C2522" s="390" t="inlineStr">
        <is>
          <t>Báo cáo theo Thông tư 121/2020/TT-BTC &gt;&gt; Báo cáo tỷ lệ An toàn tài chính &gt;&gt; Giá trị rủi ro thanh toán</t>
        </is>
      </c>
      <c r="D2522" s="106" t="inlineStr">
        <is>
          <t>Mã chỉ tiêu</t>
        </is>
      </c>
      <c r="E2522" s="107" t="inlineStr">
        <is>
          <t>Mã chỉ tiêu</t>
        </is>
      </c>
      <c r="F2522" s="390" t="inlineStr">
        <is>
          <t>Data Explorer</t>
        </is>
      </c>
      <c r="G2522" s="390" t="inlineStr">
        <is>
          <t>Chiều</t>
        </is>
      </c>
      <c r="H2522" s="390" t="inlineStr">
        <is>
          <t>Dễ</t>
        </is>
      </c>
      <c r="I2522" s="390" t="inlineStr">
        <is>
          <t>Ngày, CTCK</t>
        </is>
      </c>
      <c r="J2522" s="401" t="inlineStr">
        <is>
          <t>SCMS</t>
        </is>
      </c>
      <c r="K2522" s="401" t="inlineStr">
        <is>
          <t>X</t>
        </is>
      </c>
      <c r="L2522" s="401" t="inlineStr">
        <is>
          <t>X</t>
        </is>
      </c>
      <c r="M2522" s="401" t="n"/>
      <c r="N2522" s="401" t="inlineStr">
        <is>
          <t>Done</t>
        </is>
      </c>
      <c r="O2522" s="401" t="n"/>
      <c r="P2522" s="22" t="n"/>
      <c r="Q2522" s="402" t="n"/>
      <c r="R2522" s="402" t="n"/>
      <c r="S2522" s="22" t="n"/>
      <c r="T2522" s="389" t="inlineStr">
        <is>
          <t>-- Mã chỉ tiêu / Tên chỉ tiêu
SELECT DISTINCT
    dct.MA_CHI_TIEU  AS ma_chi_tieu,
    dct.TEN_CHI_TIEU AS ten_chi_tieu
FROM SCMS.BM_BAO_CAO bm
JOIN SCMS.BM_SHEET s ON s.BM_BAO_CAO_ID = bm.ID
	AND s.MA_SHEET = '06H03'
JOIN SCMS.BM_BAO_CAO_CT ct ON ct.BM_SHEET_ID = s.ID
	AND ct.SU_DUNG = 1
JOIN SCMS.DM_CHI_TIEU dct ON dct.ID = ct.DM_CHI_TIEU_ID
	AND dct.SU_DUNG = 1
WHERE bm.MA_BAO_CAO LIKE 'BCTLAT_TT102/2025'
	AND bm.SU_DUNG = 1
ORDER BY dct.MA_CHI_TIEU;</t>
        </is>
      </c>
      <c r="U2522" s="16" t="n"/>
      <c r="V2522" s="22" t="n"/>
      <c r="W2522" s="22" t="n"/>
      <c r="X2522" s="22" t="n"/>
      <c r="Y2522" s="13" t="n"/>
      <c r="Z2522" s="22" t="n"/>
      <c r="AA2522" s="22" t="n"/>
      <c r="AB2522" s="22" t="n"/>
      <c r="AC2522" s="22" t="n"/>
      <c r="AD2522" s="22" t="n"/>
      <c r="AE2522" s="22" t="n"/>
    </row>
    <row r="2523" ht="56" customHeight="1" s="380">
      <c r="A2523" s="126" t="n">
        <v>103</v>
      </c>
      <c r="B2523" s="390" t="n"/>
      <c r="C2523" s="390" t="inlineStr">
        <is>
          <t>Báo cáo theo Thông tư 121/2020/TT-BTC &gt;&gt; Báo cáo tỷ lệ An toàn tài chính &gt;&gt; Giá trị rủi ro thanh toán</t>
        </is>
      </c>
      <c r="D2523" s="106" t="inlineStr">
        <is>
          <t>Tên chỉ tiêu</t>
        </is>
      </c>
      <c r="E2523" s="107" t="inlineStr">
        <is>
          <t>Tên chỉ tiêu</t>
        </is>
      </c>
      <c r="F2523" s="390" t="inlineStr">
        <is>
          <t>Data Explorer</t>
        </is>
      </c>
      <c r="G2523" s="390" t="inlineStr">
        <is>
          <t>Chiều</t>
        </is>
      </c>
      <c r="H2523" s="390" t="inlineStr">
        <is>
          <t>Dễ</t>
        </is>
      </c>
      <c r="I2523" s="390" t="inlineStr">
        <is>
          <t>Ngày, CTCK</t>
        </is>
      </c>
      <c r="J2523" s="401" t="inlineStr">
        <is>
          <t>SCMS</t>
        </is>
      </c>
      <c r="K2523" s="401" t="inlineStr">
        <is>
          <t>X</t>
        </is>
      </c>
      <c r="L2523" s="401" t="inlineStr">
        <is>
          <t>X</t>
        </is>
      </c>
      <c r="M2523" s="401" t="n"/>
      <c r="N2523" s="401" t="inlineStr">
        <is>
          <t>Done</t>
        </is>
      </c>
      <c r="O2523" s="401" t="n"/>
      <c r="P2523" s="22" t="n"/>
      <c r="S2523" s="22" t="n"/>
      <c r="U2523" s="16" t="n"/>
      <c r="V2523" s="22" t="n"/>
      <c r="W2523" s="22" t="n"/>
      <c r="X2523" s="22" t="n"/>
      <c r="Y2523" s="13" t="n"/>
      <c r="Z2523" s="22" t="n"/>
      <c r="AA2523" s="22" t="n"/>
      <c r="AB2523" s="22" t="n"/>
      <c r="AC2523" s="22" t="n"/>
      <c r="AD2523" s="22" t="n"/>
      <c r="AE2523" s="22" t="n"/>
    </row>
    <row r="2524" ht="56" customHeight="1" s="380">
      <c r="A2524" s="126" t="n">
        <v>103</v>
      </c>
      <c r="B2524" s="390" t="n"/>
      <c r="C2524" s="390" t="inlineStr">
        <is>
          <t>Báo cáo theo Thông tư 121/2020/TT-BTC &gt;&gt; Báo cáo tỷ lệ An toàn tài chính &gt;&gt; Giá trị rủi ro thanh toán</t>
        </is>
      </c>
      <c r="D2524" s="390" t="inlineStr">
        <is>
          <t xml:space="preserve">Rủi ro trước thời hạn thanh toán
</t>
        </is>
      </c>
      <c r="E2524" s="390" t="inlineStr">
        <is>
          <t xml:space="preserve">Rủi ro trước thời hạn thanh toán
</t>
        </is>
      </c>
      <c r="F2524" s="390" t="inlineStr">
        <is>
          <t>Data Explorer</t>
        </is>
      </c>
      <c r="G2524" s="390" t="inlineStr">
        <is>
          <t>Chỉ tiêu cơ sở</t>
        </is>
      </c>
      <c r="H2524" s="390" t="inlineStr">
        <is>
          <t>TB</t>
        </is>
      </c>
      <c r="I2524" s="390" t="inlineStr">
        <is>
          <t>Ngày, CTCK</t>
        </is>
      </c>
      <c r="J2524" s="401" t="inlineStr">
        <is>
          <t>SCMS</t>
        </is>
      </c>
      <c r="K2524" s="401" t="n"/>
      <c r="L2524" s="401" t="inlineStr">
        <is>
          <t>X</t>
        </is>
      </c>
      <c r="M2524" s="401" t="n"/>
      <c r="N2524" s="401" t="inlineStr">
        <is>
          <t>Done</t>
        </is>
      </c>
      <c r="O2524" s="401" t="n"/>
      <c r="P2524" s="22" t="n"/>
      <c r="Q2524" s="431" t="inlineStr">
        <is>
          <t>SCMS.BC_THANH_VIEN
SCMS.BM_BAO_CAO
SCMS.BC_BAO_CAO_GT
SCMS.BM_BAO_CAO_HANG
SCMS.BM_BAO_CAO_COT</t>
        </is>
      </c>
      <c r="R2524" s="431" t="inlineStr">
        <is>
          <t>bsc.TEN_COT,
bsc.BM_SHEET_ID,
bsh.ID,
bsh.MA_HANG,
gt.GIA_TRI,
gt.BC_THANH_VIEN_ID,
gt.BM_SHEET_HANG_ID,
bm.ID,
bm.MA_BAO_CAO,
btv.ID,
btv.BM_BAO_CAO_ID,
btv.TRANG_THAI,
btv.NGAY_SO_LIEU</t>
        </is>
      </c>
      <c r="S2524" s="22" t="n"/>
      <c r="T2524" s="432" t="inlineStr">
        <is>
          <t>-- CHỈ TIÊU
SELECT
    -- Giá trị rủi ro
	MAX(CASE WHEN bsc.TEN_COT=N'Giá trị rủi ro' AND bsh.MA_HANG = '1' THEN CAST(gt.GIA_TRI AS VARCHAR2(4000)) END) AS "Rủi ro trước thời hạn thanh toán",
	MAX(CASE WHEN bsc.TEN_COT=N'Giá trị rủi ro' AND bsh.MA_HANG = '2' THEN CAST(gt.GIA_TRI AS VARCHAR2(4000)) END) AS "Rủi ro quá thời hạn thanh toán",
	MAX(CASE WHEN bsc.TEN_COT=N'Giá trị rủi ro' AND bsh.MA_HANG = '4' THEN CAST(gt.GIA_TRI AS VARCHAR2(4000)) END) AS "Rủi ro tăng thêm",
	MAX(CASE WHEN bsc.TEN_COT=N'Giá trị rủi ro' AND bsh.MA_HANG = '5' THEN CAST(gt.GIA_TRI AS VARCHAR2(4000)) END) AS "Tổng giá trị rủi ro thanh toán"
FROM SCMS.BC_THANH_VIEN btv
JOIN SCMS.BM_BAO_CAO bm ON bm.ID = btv.BM_BAO_CAO_ID
JOIN SCMS.BC_BAO_CAO_GT gt ON gt.BC_THANH_VIEN_ID = btv.ID
JOIN SCMS.BM_BAO_CAO_HANG bsh ON bsh.ID = gt.BM_SHEET_HANG_ID
JOIN SCMS.BM_BAO_CAO_COT bsc ON bsc.BM_SHEET_ID = 8374
--                               AND bsc.TEN_COT = gt.TEN_COT
WHERE bm.MA_BAO_CAO LIKE 'BCTLAT_TT102/2025'
  AND btv.TRANG_THAI IN (2, 3)
GROUP BY
    btv.ID, btv.CTCK_THONG_TIN_ID, btv.NGAY_SO_LIEU, btv.TRANG_THAI,
    bm.MA_BAO_CAO
ORDER BY btv.NGAY_SO_LIEU DESC;</t>
        </is>
      </c>
      <c r="U2524" s="16" t="n"/>
      <c r="V2524" s="22" t="n"/>
      <c r="W2524" s="22" t="n"/>
      <c r="X2524" s="22" t="n"/>
      <c r="Y2524" s="13" t="n"/>
      <c r="Z2524" s="22" t="n"/>
      <c r="AA2524" s="22" t="n"/>
      <c r="AB2524" s="22" t="n"/>
      <c r="AC2524" s="22" t="n"/>
      <c r="AD2524" s="22" t="n"/>
      <c r="AE2524" s="22" t="n"/>
    </row>
    <row r="2525" ht="56" customHeight="1" s="380">
      <c r="A2525" s="126" t="n">
        <v>103</v>
      </c>
      <c r="B2525" s="390" t="n"/>
      <c r="C2525" s="390" t="inlineStr">
        <is>
          <t>Báo cáo theo Thông tư 121/2020/TT-BTC &gt;&gt; Báo cáo tỷ lệ An toàn tài chính &gt;&gt; Giá trị rủi ro thanh toán</t>
        </is>
      </c>
      <c r="D2525" s="390" t="inlineStr">
        <is>
          <t xml:space="preserve">Rủi ro quá thời hạn thanh toán
</t>
        </is>
      </c>
      <c r="E2525" s="390" t="inlineStr">
        <is>
          <t xml:space="preserve">Rủi ro quá thời hạn thanh toán
</t>
        </is>
      </c>
      <c r="F2525" s="390" t="inlineStr">
        <is>
          <t>Data Explorer</t>
        </is>
      </c>
      <c r="G2525" s="390" t="inlineStr">
        <is>
          <t>Chỉ tiêu cơ sở</t>
        </is>
      </c>
      <c r="H2525" s="390" t="inlineStr">
        <is>
          <t>TB</t>
        </is>
      </c>
      <c r="I2525" s="390" t="inlineStr">
        <is>
          <t>Ngày, CTCK</t>
        </is>
      </c>
      <c r="J2525" s="401" t="inlineStr">
        <is>
          <t>SCMS</t>
        </is>
      </c>
      <c r="K2525" s="401" t="n"/>
      <c r="L2525" s="401" t="inlineStr">
        <is>
          <t>X</t>
        </is>
      </c>
      <c r="M2525" s="401" t="n"/>
      <c r="N2525" s="401" t="inlineStr">
        <is>
          <t>Done</t>
        </is>
      </c>
      <c r="O2525" s="401" t="n"/>
      <c r="P2525" s="22" t="n"/>
      <c r="S2525" s="22" t="n"/>
      <c r="U2525" s="16" t="n"/>
      <c r="V2525" s="22" t="n"/>
      <c r="W2525" s="22" t="n"/>
      <c r="X2525" s="22" t="n"/>
      <c r="Y2525" s="13" t="n"/>
      <c r="Z2525" s="22" t="n"/>
      <c r="AA2525" s="22" t="n"/>
      <c r="AB2525" s="22" t="n"/>
      <c r="AC2525" s="22" t="n"/>
      <c r="AD2525" s="22" t="n"/>
      <c r="AE2525" s="22" t="n"/>
    </row>
    <row r="2526" ht="56" customHeight="1" s="380">
      <c r="A2526" s="126" t="n">
        <v>103</v>
      </c>
      <c r="B2526" s="390" t="n"/>
      <c r="C2526" s="390" t="inlineStr">
        <is>
          <t>Báo cáo theo Thông tư 121/2020/TT-BTC &gt;&gt; Báo cáo tỷ lệ An toàn tài chính &gt;&gt; Giá trị rủi ro thanh toán</t>
        </is>
      </c>
      <c r="D2526" s="390" t="inlineStr">
        <is>
          <t xml:space="preserve">Rủi ro tăng thêm
</t>
        </is>
      </c>
      <c r="E2526" s="390" t="inlineStr">
        <is>
          <t xml:space="preserve">Rủi ro tăng thêm
</t>
        </is>
      </c>
      <c r="F2526" s="390" t="inlineStr">
        <is>
          <t>Data Explorer</t>
        </is>
      </c>
      <c r="G2526" s="390" t="inlineStr">
        <is>
          <t>Chỉ tiêu cơ sở</t>
        </is>
      </c>
      <c r="H2526" s="390" t="inlineStr">
        <is>
          <t>TB</t>
        </is>
      </c>
      <c r="I2526" s="390" t="inlineStr">
        <is>
          <t>Ngày, CTCK</t>
        </is>
      </c>
      <c r="J2526" s="401" t="inlineStr">
        <is>
          <t>SCMS</t>
        </is>
      </c>
      <c r="K2526" s="401" t="n"/>
      <c r="L2526" s="401" t="inlineStr">
        <is>
          <t>X</t>
        </is>
      </c>
      <c r="M2526" s="401" t="n"/>
      <c r="N2526" s="401" t="inlineStr">
        <is>
          <t>Done</t>
        </is>
      </c>
      <c r="O2526" s="401" t="n"/>
      <c r="P2526" s="22" t="n"/>
      <c r="S2526" s="22" t="n"/>
      <c r="U2526" s="16" t="n"/>
      <c r="V2526" s="22" t="n"/>
      <c r="W2526" s="22" t="n"/>
      <c r="X2526" s="22" t="n"/>
      <c r="Y2526" s="13" t="n"/>
      <c r="Z2526" s="22" t="n"/>
      <c r="AA2526" s="22" t="n"/>
      <c r="AB2526" s="22" t="n"/>
      <c r="AC2526" s="22" t="n"/>
      <c r="AD2526" s="22" t="n"/>
      <c r="AE2526" s="22" t="n"/>
    </row>
    <row r="2527" ht="56" customHeight="1" s="380">
      <c r="A2527" s="128" t="n">
        <v>103</v>
      </c>
      <c r="B2527" s="129" t="n"/>
      <c r="C2527" s="129" t="inlineStr">
        <is>
          <t>Báo cáo theo Thông tư 121/2020/TT-BTC &gt;&gt; Báo cáo tỷ lệ An toàn tài chính &gt;&gt; Giá trị rủi ro thanh toán</t>
        </is>
      </c>
      <c r="D2527" s="129" t="inlineStr">
        <is>
          <t xml:space="preserve">Tổng giá trị rủi ro thanh toán
</t>
        </is>
      </c>
      <c r="E2527" s="129" t="inlineStr">
        <is>
          <t xml:space="preserve">Tổng giá trị rủi ro thanh toán
</t>
        </is>
      </c>
      <c r="F2527" s="129" t="inlineStr">
        <is>
          <t>Data Explorer</t>
        </is>
      </c>
      <c r="G2527" s="129" t="inlineStr">
        <is>
          <t>Chỉ tiêu cơ sở</t>
        </is>
      </c>
      <c r="H2527" s="129" t="inlineStr">
        <is>
          <t>TB</t>
        </is>
      </c>
      <c r="I2527" s="129" t="inlineStr">
        <is>
          <t>Ngày, CTCK</t>
        </is>
      </c>
      <c r="J2527" s="85" t="inlineStr">
        <is>
          <t>SCMS</t>
        </is>
      </c>
      <c r="K2527" s="85" t="n"/>
      <c r="L2527" s="85" t="inlineStr">
        <is>
          <t>X</t>
        </is>
      </c>
      <c r="M2527" s="85" t="n"/>
      <c r="N2527" s="85" t="inlineStr">
        <is>
          <t>Done</t>
        </is>
      </c>
      <c r="O2527" s="85" t="n"/>
      <c r="P2527" s="130" t="n"/>
      <c r="Q2527" s="426" t="n"/>
      <c r="R2527" s="426" t="n"/>
      <c r="S2527" s="130" t="n"/>
      <c r="T2527" s="426" t="n"/>
      <c r="U2527" s="131" t="n"/>
      <c r="V2527" s="130" t="n"/>
      <c r="W2527" s="130" t="n"/>
      <c r="X2527" s="130" t="n"/>
      <c r="Y2527" s="97" t="n"/>
      <c r="Z2527" s="130" t="n"/>
      <c r="AA2527" s="130" t="n"/>
      <c r="AB2527" s="130" t="n"/>
      <c r="AC2527" s="130" t="n"/>
      <c r="AD2527" s="130" t="n"/>
      <c r="AE2527" s="130" t="n"/>
    </row>
    <row r="2528" ht="84" customHeight="1" s="380">
      <c r="A2528" s="126" t="n">
        <v>104</v>
      </c>
      <c r="B2528" s="122" t="inlineStr">
        <is>
          <t>Nga</t>
        </is>
      </c>
      <c r="C2528" s="127" t="inlineStr">
        <is>
          <t xml:space="preserve">Báo cáo theo Thông tư 121/2020/TT-BTC &gt;&gt; Báo cáo tỷ lệ An toàn tài chính &gt;&gt; Giá trị rủi ro thanh toán (Rủi ro trước thời hạn thanh toán) </t>
        </is>
      </c>
      <c r="D2528" s="106" t="inlineStr">
        <is>
          <t>Loại báo cáo</t>
        </is>
      </c>
      <c r="E2528" s="107" t="inlineStr">
        <is>
          <t>Loại báo cáo</t>
        </is>
      </c>
      <c r="F2528" s="390" t="inlineStr">
        <is>
          <t>Data Explorer</t>
        </is>
      </c>
      <c r="G2528" s="390" t="inlineStr">
        <is>
          <t>Chiều</t>
        </is>
      </c>
      <c r="H2528" s="390" t="inlineStr">
        <is>
          <t>Dễ</t>
        </is>
      </c>
      <c r="I2528" s="390" t="inlineStr">
        <is>
          <t>Ngày, CTCK</t>
        </is>
      </c>
      <c r="J2528" s="401" t="inlineStr">
        <is>
          <t>SCMS</t>
        </is>
      </c>
      <c r="K2528" s="401" t="inlineStr">
        <is>
          <t>X</t>
        </is>
      </c>
      <c r="L2528" s="401" t="inlineStr">
        <is>
          <t>X</t>
        </is>
      </c>
      <c r="M2528" s="401" t="n"/>
      <c r="N2528" s="401" t="inlineStr">
        <is>
          <t>Done</t>
        </is>
      </c>
      <c r="O2528" s="401" t="n"/>
      <c r="P2528" s="22" t="n"/>
      <c r="Q2528" s="404" t="inlineStr">
        <is>
          <t>SCMS.BM_BAO_CAO
SCMS.BM_BAO_CAO_DINH_KY</t>
        </is>
      </c>
      <c r="R2528" s="404" t="inlineStr">
        <is>
          <t>bm.ID,
bm.MA_BAO_CAO,
bm.LOAI_BAO_CAO,
bm.TEN_BAO_CAO,
bm.SU_DUNG,
bdk.BM_BAO_CAO_ID,
bdk.KY_BAO_CAO,
bdk.SU_DUNG</t>
        </is>
      </c>
      <c r="S2528" s="22" t="n"/>
      <c r="T2528" s="390"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2528" s="16" t="n"/>
      <c r="V2528" s="22" t="n"/>
      <c r="W2528" s="22" t="n"/>
      <c r="X2528" s="22" t="n"/>
      <c r="Y2528" s="14" t="n"/>
      <c r="Z2528" s="22" t="n"/>
      <c r="AA2528" s="22" t="n"/>
      <c r="AB2528" s="22" t="n"/>
      <c r="AC2528" s="22" t="n"/>
      <c r="AD2528" s="22" t="n"/>
      <c r="AE2528" s="22" t="n"/>
    </row>
    <row r="2529" ht="84" customHeight="1" s="380">
      <c r="A2529" s="126" t="n">
        <v>104</v>
      </c>
      <c r="B2529" s="390" t="n"/>
      <c r="C2529" s="390" t="inlineStr">
        <is>
          <t xml:space="preserve">Báo cáo theo Thông tư 121/2020/TT-BTC &gt;&gt; Báo cáo tỷ lệ An toàn tài chính &gt;&gt; Giá trị rủi ro thanh toán (Rủi ro trước thời hạn thanh toán) </t>
        </is>
      </c>
      <c r="D2529" s="106" t="inlineStr">
        <is>
          <t>Kỳ báo cáo</t>
        </is>
      </c>
      <c r="E2529" s="107" t="inlineStr">
        <is>
          <t>Kỳ báo cáo</t>
        </is>
      </c>
      <c r="F2529" s="390" t="inlineStr">
        <is>
          <t>Data Explorer</t>
        </is>
      </c>
      <c r="G2529" s="390" t="inlineStr">
        <is>
          <t>Chiều</t>
        </is>
      </c>
      <c r="H2529" s="390" t="inlineStr">
        <is>
          <t>Dễ</t>
        </is>
      </c>
      <c r="I2529" s="390" t="inlineStr">
        <is>
          <t>Ngày, CTCK</t>
        </is>
      </c>
      <c r="J2529" s="401" t="inlineStr">
        <is>
          <t>SCMS</t>
        </is>
      </c>
      <c r="K2529" s="401" t="inlineStr">
        <is>
          <t>X</t>
        </is>
      </c>
      <c r="L2529" s="401" t="inlineStr">
        <is>
          <t>X</t>
        </is>
      </c>
      <c r="M2529" s="401" t="n"/>
      <c r="N2529" s="401" t="inlineStr">
        <is>
          <t>Done</t>
        </is>
      </c>
      <c r="O2529" s="401" t="n"/>
      <c r="P2529" s="22" t="n"/>
      <c r="S2529" s="22" t="n"/>
      <c r="U2529" s="16" t="n"/>
      <c r="V2529" s="22" t="n"/>
      <c r="W2529" s="22" t="n"/>
      <c r="X2529" s="22" t="n"/>
      <c r="Y2529" s="13" t="n"/>
      <c r="Z2529" s="22" t="n"/>
      <c r="AA2529" s="22" t="n"/>
      <c r="AB2529" s="22" t="n"/>
      <c r="AC2529" s="22" t="n"/>
      <c r="AD2529" s="22" t="n"/>
      <c r="AE2529" s="22" t="n"/>
    </row>
    <row r="2530" ht="84" customHeight="1" s="380">
      <c r="A2530" s="126" t="n">
        <v>104</v>
      </c>
      <c r="B2530" s="390" t="n"/>
      <c r="C2530" s="390" t="inlineStr">
        <is>
          <t xml:space="preserve">Báo cáo theo Thông tư 121/2020/TT-BTC &gt;&gt; Báo cáo tỷ lệ An toàn tài chính &gt;&gt; Giá trị rủi ro thanh toán (Rủi ro trước thời hạn thanh toán) </t>
        </is>
      </c>
      <c r="D2530" s="106" t="inlineStr">
        <is>
          <t>Mã báo cáo</t>
        </is>
      </c>
      <c r="E2530" s="107" t="inlineStr">
        <is>
          <t>Mã báo cáo</t>
        </is>
      </c>
      <c r="F2530" s="390" t="inlineStr">
        <is>
          <t>Data Explorer</t>
        </is>
      </c>
      <c r="G2530" s="390" t="inlineStr">
        <is>
          <t>Chiều</t>
        </is>
      </c>
      <c r="H2530" s="390" t="inlineStr">
        <is>
          <t>Dễ</t>
        </is>
      </c>
      <c r="I2530" s="390" t="inlineStr">
        <is>
          <t>Ngày, CTCK</t>
        </is>
      </c>
      <c r="J2530" s="401" t="inlineStr">
        <is>
          <t>SCMS</t>
        </is>
      </c>
      <c r="K2530" s="401" t="inlineStr">
        <is>
          <t>X</t>
        </is>
      </c>
      <c r="L2530" s="401" t="inlineStr">
        <is>
          <t>X</t>
        </is>
      </c>
      <c r="M2530" s="401" t="n"/>
      <c r="N2530" s="401" t="inlineStr">
        <is>
          <t>Done</t>
        </is>
      </c>
      <c r="O2530" s="401" t="n"/>
      <c r="P2530" s="22" t="n"/>
      <c r="S2530" s="22" t="n"/>
      <c r="U2530" s="16" t="n"/>
      <c r="V2530" s="22" t="n"/>
      <c r="W2530" s="22" t="n"/>
      <c r="X2530" s="22" t="n"/>
      <c r="Y2530" s="13" t="n"/>
      <c r="Z2530" s="22" t="n"/>
      <c r="AA2530" s="22" t="n"/>
      <c r="AB2530" s="22" t="n"/>
      <c r="AC2530" s="22" t="n"/>
      <c r="AD2530" s="22" t="n"/>
      <c r="AE2530" s="22" t="n"/>
    </row>
    <row r="2531" ht="84" customHeight="1" s="380">
      <c r="A2531" s="126" t="n">
        <v>104</v>
      </c>
      <c r="B2531" s="390" t="n"/>
      <c r="C2531" s="390" t="inlineStr">
        <is>
          <t xml:space="preserve">Báo cáo theo Thông tư 121/2020/TT-BTC &gt;&gt; Báo cáo tỷ lệ An toàn tài chính &gt;&gt; Giá trị rủi ro thanh toán (Rủi ro trước thời hạn thanh toán) </t>
        </is>
      </c>
      <c r="D2531" s="106" t="inlineStr">
        <is>
          <t>Tên báo cáo</t>
        </is>
      </c>
      <c r="E2531" s="107" t="inlineStr">
        <is>
          <t>Tên báo cáo</t>
        </is>
      </c>
      <c r="F2531" s="390" t="inlineStr">
        <is>
          <t>Data Explorer</t>
        </is>
      </c>
      <c r="G2531" s="390" t="inlineStr">
        <is>
          <t>Chiều</t>
        </is>
      </c>
      <c r="H2531" s="390" t="inlineStr">
        <is>
          <t>Dễ</t>
        </is>
      </c>
      <c r="I2531" s="390" t="inlineStr">
        <is>
          <t>Ngày, CTCK</t>
        </is>
      </c>
      <c r="J2531" s="401" t="inlineStr">
        <is>
          <t>SCMS</t>
        </is>
      </c>
      <c r="K2531" s="401" t="inlineStr">
        <is>
          <t>X</t>
        </is>
      </c>
      <c r="L2531" s="401" t="inlineStr">
        <is>
          <t>X</t>
        </is>
      </c>
      <c r="M2531" s="401" t="n"/>
      <c r="N2531" s="401" t="inlineStr">
        <is>
          <t>Done</t>
        </is>
      </c>
      <c r="O2531" s="401" t="n"/>
      <c r="P2531" s="22" t="n"/>
      <c r="S2531" s="22" t="n"/>
      <c r="U2531" s="16" t="n"/>
      <c r="V2531" s="22" t="n"/>
      <c r="W2531" s="22" t="n"/>
      <c r="X2531" s="22" t="n"/>
      <c r="Y2531" s="13" t="n"/>
      <c r="Z2531" s="22" t="n"/>
      <c r="AA2531" s="22" t="n"/>
      <c r="AB2531" s="22" t="n"/>
      <c r="AC2531" s="22" t="n"/>
      <c r="AD2531" s="22" t="n"/>
      <c r="AE2531" s="22" t="n"/>
    </row>
    <row r="2532" ht="84" customHeight="1" s="380">
      <c r="A2532" s="126" t="n">
        <v>104</v>
      </c>
      <c r="B2532" s="390" t="n"/>
      <c r="C2532" s="390" t="inlineStr">
        <is>
          <t xml:space="preserve">Báo cáo theo Thông tư 121/2020/TT-BTC &gt;&gt; Báo cáo tỷ lệ An toàn tài chính &gt;&gt; Giá trị rủi ro thanh toán (Rủi ro trước thời hạn thanh toán) </t>
        </is>
      </c>
      <c r="D2532" s="106" t="inlineStr">
        <is>
          <t>Mã sheet</t>
        </is>
      </c>
      <c r="E2532" s="106" t="inlineStr">
        <is>
          <t>Mã sheet</t>
        </is>
      </c>
      <c r="F2532" s="390" t="inlineStr">
        <is>
          <t>Data Explorer</t>
        </is>
      </c>
      <c r="G2532" s="390" t="inlineStr">
        <is>
          <t>Chiều</t>
        </is>
      </c>
      <c r="H2532" s="390" t="inlineStr">
        <is>
          <t>Dễ</t>
        </is>
      </c>
      <c r="I2532" s="390" t="inlineStr">
        <is>
          <t>Ngày, CTCK</t>
        </is>
      </c>
      <c r="J2532" s="401" t="inlineStr">
        <is>
          <t>SCMS</t>
        </is>
      </c>
      <c r="K2532" s="401" t="inlineStr">
        <is>
          <t>X</t>
        </is>
      </c>
      <c r="L2532" s="401" t="inlineStr">
        <is>
          <t>X</t>
        </is>
      </c>
      <c r="M2532" s="401" t="n"/>
      <c r="N2532" s="401" t="inlineStr">
        <is>
          <t>Done</t>
        </is>
      </c>
      <c r="O2532" s="401" t="n"/>
      <c r="P2532" s="22" t="n"/>
      <c r="Q2532" s="401" t="inlineStr">
        <is>
          <t>SCMS.BM_BAO_CAO
SCMS.BM_SHEET</t>
        </is>
      </c>
      <c r="R2532" s="401" t="inlineStr">
        <is>
          <t>bm.ID,
bm.MA_BAO_CAO,
bm.SU_DUNG,
s.BM_BAO_CAO_ID,
s.MA_SHEET,
s.TEN_SHEET,
s.SAP_XEP</t>
        </is>
      </c>
      <c r="S2532" s="22" t="n"/>
      <c r="T2532" s="389" t="inlineStr">
        <is>
          <t>-- Mã sheet / Tên sheet
-- TEN_SHEET: 06H04
SELECT bm.MA_BAO_CAO,
s.MA_SHEET,
s.TEN_SHEET
FROM SCMS.BM_BAO_CAO bm
JOIN SCMS.BM_SHEET s ON s.BM_BAO_CAO_ID = bm.ID
WHERE bm.MA_BAO_CAO LIKE 'BCTLAT_TT102/2025'
AND s.MA_SHEET = '06H04'  -- Check lại
AND bm.SU_DUNG = 1
ORDER BY bm.MA_BAO_CAO, s.SAP_XEP;</t>
        </is>
      </c>
      <c r="U2532" s="16" t="n"/>
      <c r="V2532" s="22" t="n"/>
      <c r="W2532" s="22" t="n"/>
      <c r="X2532" s="22" t="n"/>
      <c r="Y2532" s="13" t="n"/>
      <c r="Z2532" s="22" t="n"/>
      <c r="AA2532" s="22" t="n"/>
      <c r="AB2532" s="22" t="n"/>
      <c r="AC2532" s="22" t="n"/>
      <c r="AD2532" s="22" t="n"/>
      <c r="AE2532" s="22" t="n"/>
    </row>
    <row r="2533" ht="84" customHeight="1" s="380">
      <c r="A2533" s="126" t="n">
        <v>104</v>
      </c>
      <c r="B2533" s="390" t="n"/>
      <c r="C2533" s="390" t="inlineStr">
        <is>
          <t xml:space="preserve">Báo cáo theo Thông tư 121/2020/TT-BTC &gt;&gt; Báo cáo tỷ lệ An toàn tài chính &gt;&gt; Giá trị rủi ro thanh toán (Rủi ro trước thời hạn thanh toán) </t>
        </is>
      </c>
      <c r="D2533" s="106" t="inlineStr">
        <is>
          <t>Tên sheet</t>
        </is>
      </c>
      <c r="E2533" s="106" t="inlineStr">
        <is>
          <t>Tên sheet</t>
        </is>
      </c>
      <c r="F2533" s="390" t="inlineStr">
        <is>
          <t>Data Explorer</t>
        </is>
      </c>
      <c r="G2533" s="390" t="inlineStr">
        <is>
          <t>Chiều</t>
        </is>
      </c>
      <c r="H2533" s="390" t="inlineStr">
        <is>
          <t>Dễ</t>
        </is>
      </c>
      <c r="I2533" s="390" t="inlineStr">
        <is>
          <t>Ngày, CTCK</t>
        </is>
      </c>
      <c r="J2533" s="401" t="inlineStr">
        <is>
          <t>SCMS</t>
        </is>
      </c>
      <c r="K2533" s="401" t="inlineStr">
        <is>
          <t>X</t>
        </is>
      </c>
      <c r="L2533" s="401" t="inlineStr">
        <is>
          <t>X</t>
        </is>
      </c>
      <c r="M2533" s="401" t="n"/>
      <c r="N2533" s="401" t="inlineStr">
        <is>
          <t>Done</t>
        </is>
      </c>
      <c r="O2533" s="401" t="n"/>
      <c r="P2533" s="22" t="n"/>
      <c r="S2533" s="22" t="n"/>
      <c r="U2533" s="16" t="n"/>
      <c r="V2533" s="22" t="n"/>
      <c r="W2533" s="22" t="n"/>
      <c r="X2533" s="22" t="n"/>
      <c r="Y2533" s="13" t="n"/>
      <c r="Z2533" s="22" t="n"/>
      <c r="AA2533" s="22" t="n"/>
      <c r="AB2533" s="22" t="n"/>
      <c r="AC2533" s="22" t="n"/>
      <c r="AD2533" s="22" t="n"/>
      <c r="AE2533" s="22" t="n"/>
    </row>
    <row r="2534" ht="84" customHeight="1" s="380">
      <c r="A2534" s="126" t="n">
        <v>104</v>
      </c>
      <c r="B2534" s="390" t="n"/>
      <c r="C2534" s="390" t="inlineStr">
        <is>
          <t xml:space="preserve">Báo cáo theo Thông tư 121/2020/TT-BTC &gt;&gt; Báo cáo tỷ lệ An toàn tài chính &gt;&gt; Giá trị rủi ro thanh toán (Rủi ro trước thời hạn thanh toán) </t>
        </is>
      </c>
      <c r="D2534" s="106" t="inlineStr">
        <is>
          <t>Mã chỉ tiêu</t>
        </is>
      </c>
      <c r="E2534" s="107" t="inlineStr">
        <is>
          <t>Mã chỉ tiêu</t>
        </is>
      </c>
      <c r="F2534" s="390" t="inlineStr">
        <is>
          <t>Data Explorer</t>
        </is>
      </c>
      <c r="G2534" s="390" t="inlineStr">
        <is>
          <t>Chiều</t>
        </is>
      </c>
      <c r="H2534" s="390" t="inlineStr">
        <is>
          <t>Dễ</t>
        </is>
      </c>
      <c r="I2534" s="390" t="inlineStr">
        <is>
          <t>Ngày, CTCK</t>
        </is>
      </c>
      <c r="J2534" s="401" t="inlineStr">
        <is>
          <t>SCMS</t>
        </is>
      </c>
      <c r="K2534" s="401" t="inlineStr">
        <is>
          <t>X</t>
        </is>
      </c>
      <c r="L2534" s="401" t="inlineStr">
        <is>
          <t>X</t>
        </is>
      </c>
      <c r="M2534" s="401" t="n"/>
      <c r="N2534" s="401" t="inlineStr">
        <is>
          <t>Done</t>
        </is>
      </c>
      <c r="O2534" s="401" t="n"/>
      <c r="P2534" s="22" t="n"/>
      <c r="Q2534" s="401" t="inlineStr">
        <is>
          <t>SCMS.BM_BAO_CAO
SCMS.BM_SHEET
SCMS.BM_BAO_CAO_CT
SCMS.DM_CHI_TIEU</t>
        </is>
      </c>
      <c r="R2534" s="402" t="inlineStr">
        <is>
          <t>dct.ID,
dct.MA_CHI_TIEU,
dct.TEN_CHI_TIEU,
dct.SU_DUNG,
s.BM_BAO_CAO_ID,
s.MA_SHEET,
ct.BM_BAO_CAO_ID,
ct.DM_CHI_TIEU_ID,
ct.SU_DUNG,
bm.ID,
bm.MA_BAO_CAO,
bm.SU_DUNG</t>
        </is>
      </c>
      <c r="S2534" s="22" t="n"/>
      <c r="T2534" s="389" t="inlineStr">
        <is>
          <t>-- Mã chỉ tiêu / Tên chỉ tiêu
SELECT DISTINCT
    dct.MA_CHI_TIEU  AS ma_chi_tieu,
    dct.TEN_CHI_TIEU AS ten_chi_tieu
FROM SCMS.BM_BAO_CAO bm
JOIN SCMS.BM_SHEET s ON s.BM_BAO_CAO_ID = bm.ID
	AND s.MA_SHEET = '06H04'
JOIN SCMS.BM_BAO_CAO_CT ct ON ct.BM_SHEET_ID = s.ID
	AND ct.SU_DUNG = 1
JOIN SCMS.DM_CHI_TIEU dct ON dct.ID = ct.DM_CHI_TIEU_ID
	AND dct.SU_DUNG = 1
WHERE bm.MA_BAO_CAO LIKE 'BCTLAT_TT102/2025'
	AND bm.SU_DUNG = 1
ORDER BY dct.MA_CHI_TIEU;</t>
        </is>
      </c>
      <c r="U2534" s="16" t="n"/>
      <c r="V2534" s="22" t="n"/>
      <c r="W2534" s="22" t="n"/>
      <c r="X2534" s="22" t="n"/>
      <c r="Y2534" s="13" t="n"/>
      <c r="Z2534" s="22" t="n"/>
      <c r="AA2534" s="22" t="n"/>
      <c r="AB2534" s="22" t="n"/>
      <c r="AC2534" s="22" t="n"/>
      <c r="AD2534" s="22" t="n"/>
      <c r="AE2534" s="22" t="n"/>
    </row>
    <row r="2535" ht="84" customHeight="1" s="380">
      <c r="A2535" s="126" t="n">
        <v>104</v>
      </c>
      <c r="B2535" s="390" t="n"/>
      <c r="C2535" s="390" t="inlineStr">
        <is>
          <t xml:space="preserve">Báo cáo theo Thông tư 121/2020/TT-BTC &gt;&gt; Báo cáo tỷ lệ An toàn tài chính &gt;&gt; Giá trị rủi ro thanh toán (Rủi ro trước thời hạn thanh toán) </t>
        </is>
      </c>
      <c r="D2535" s="106" t="inlineStr">
        <is>
          <t>Tên chỉ tiêu</t>
        </is>
      </c>
      <c r="E2535" s="107" t="inlineStr">
        <is>
          <t>Tên chỉ tiêu</t>
        </is>
      </c>
      <c r="F2535" s="390" t="inlineStr">
        <is>
          <t>Data Explorer</t>
        </is>
      </c>
      <c r="G2535" s="390" t="inlineStr">
        <is>
          <t>Chiều</t>
        </is>
      </c>
      <c r="H2535" s="390" t="inlineStr">
        <is>
          <t>Dễ</t>
        </is>
      </c>
      <c r="I2535" s="390" t="inlineStr">
        <is>
          <t>Ngày, CTCK</t>
        </is>
      </c>
      <c r="J2535" s="401" t="inlineStr">
        <is>
          <t>SCMS</t>
        </is>
      </c>
      <c r="K2535" s="401" t="inlineStr">
        <is>
          <t>X</t>
        </is>
      </c>
      <c r="L2535" s="401" t="inlineStr">
        <is>
          <t>X</t>
        </is>
      </c>
      <c r="M2535" s="401" t="n"/>
      <c r="N2535" s="401" t="inlineStr">
        <is>
          <t>Done</t>
        </is>
      </c>
      <c r="O2535" s="401" t="n"/>
      <c r="P2535" s="22" t="n"/>
      <c r="S2535" s="22" t="n"/>
      <c r="U2535" s="16" t="n"/>
      <c r="V2535" s="22" t="n"/>
      <c r="W2535" s="22" t="n"/>
      <c r="X2535" s="22" t="n"/>
      <c r="Y2535" s="13" t="n"/>
      <c r="Z2535" s="22" t="n"/>
      <c r="AA2535" s="22" t="n"/>
      <c r="AB2535" s="22" t="n"/>
      <c r="AC2535" s="22" t="n"/>
      <c r="AD2535" s="22" t="n"/>
      <c r="AE2535" s="22" t="n"/>
    </row>
    <row r="2536" ht="126" customHeight="1" s="380">
      <c r="A2536" s="126" t="n">
        <v>104</v>
      </c>
      <c r="B2536" s="390" t="n"/>
      <c r="C2536" s="390" t="inlineStr">
        <is>
          <t xml:space="preserve">Báo cáo theo Thông tư 121/2020/TT-BTC &gt;&gt; Báo cáo tỷ lệ An toàn tài chính &gt;&gt; Giá trị rủi ro thanh toán (Rủi ro trước thời hạn thanh toán) </t>
        </is>
      </c>
      <c r="D2536" s="390" t="inlineStr">
        <is>
          <t>Tiền gửi có kỳ hạn, chứng chỉ tiền gửi, các khoản tiền cho vay không có tài sản bảo đảm, các khoản phải thu từ hoạt động kinh doanh chứng khoán và các khoản mục tiềm ẩn rủi ro thanh toán khác</t>
        </is>
      </c>
      <c r="E2536" s="390" t="inlineStr">
        <is>
          <t>Tiền gửi có kỳ hạn, chứng chỉ tiền gửi, các khoản tiền cho vay không có tài sản bảo đảm, các khoản phải thu từ hoạt động kinh doanh chứng khoán và các khoản mục tiềm ẩn rủi ro thanh toán khác</t>
        </is>
      </c>
      <c r="F2536" s="390" t="inlineStr">
        <is>
          <t>Data Explorer</t>
        </is>
      </c>
      <c r="G2536" s="390" t="inlineStr">
        <is>
          <t>Chỉ tiêu cơ sở</t>
        </is>
      </c>
      <c r="H2536" s="390" t="inlineStr">
        <is>
          <t>TB</t>
        </is>
      </c>
      <c r="I2536" s="390" t="inlineStr">
        <is>
          <t>Ngày, CTCK</t>
        </is>
      </c>
      <c r="J2536" s="401" t="inlineStr">
        <is>
          <t>SCMS</t>
        </is>
      </c>
      <c r="K2536" s="401" t="n"/>
      <c r="L2536" s="401" t="inlineStr">
        <is>
          <t>X</t>
        </is>
      </c>
      <c r="M2536" s="401" t="n"/>
      <c r="N2536" s="401" t="inlineStr">
        <is>
          <t>Done</t>
        </is>
      </c>
      <c r="O2536" s="401" t="n"/>
      <c r="P2536" s="22" t="n"/>
      <c r="Q2536" s="431" t="inlineStr">
        <is>
          <t>SCMS.BC_THANH_VIEN
SCMS.BM_BAO_CAO
SCMS.BC_BAO_CAO_GT
SCMS.BM_BAO_CAO_HANG
SCMS.BM_BAO_CAO_COT</t>
        </is>
      </c>
      <c r="R2536" s="431" t="inlineStr">
        <is>
          <t>bsc.TEN_COT,
bsc.BM_SHEET_ID,
bsh.ID,
bsh.MA_HANG,
gt.GIA_TRI,
gt.BC_THANH_VIEN_ID,
gt.BM_SHEET_HANG_ID,
bm.ID,
bm.MA_BAO_CAO,
btv.ID,
btv.BM_BAO_CAO_ID,
btv.TRANG_THAI,
btv.NGAY_SO_LIEU</t>
        </is>
      </c>
      <c r="S2536" s="22" t="n"/>
      <c r="T2536" s="432" t="inlineStr">
        <is>
          <t>-- CHỈ TIÊU
SELECT	
	-- 0%
	MAX(CASE WHEN bsc.TEN_COT=N'0%' AND bsh.MA_HANG = '1' THEN CAST(gt.GIA_TRI AS VARCHAR2(4000)) END) AS "Tiền gửi có kỳ hạn, chứng chỉ tiền gửi, các khoản tiền cho vay không có tài sản bảo đảm",
	MAX(CASE WHEN bsc.TEN_COT=N'0%' AND bsh.MA_HANG = '2' THEN CAST(gt.GIA_TRI AS VARCHAR2(4000)) END) AS "Cho vay tài sản tài chính /Các thỏa thuận kinh tế có cùng bản chất",
	MAX(CASE WHEN bsc.TEN_COT=N'0%' AND bsh.MA_HANG = '3' THEN CAST(gt.GIA_TRI AS VARCHAR2(4000)) END) AS "Vay tài sản tài chính /Các thỏa thuận kinh tế có cùng bản chất",
	MAX(CASE WHEN bsc.TEN_COT=N'0%' AND bsh.MA_HANG = '4' THEN CAST(gt.GIA_TRI AS VARCHAR2(4000)) END) AS "Hợp đồng mua tài sản tài chính có cam kết bán lại /Các thỏa thuận kinh tế có cùng bản chất",
	MAX(CASE WHEN bsc.TEN_COT=N'0%' AND bsh.MA_HANG = '5' THEN CAST(gt.GIA_TRI AS VARCHAR2(4000)) END) AS "Hợp đồng bán tài sản tài chính có cam kết mua lại /Các thỏa thuận kinh tế có cùng bản chất",
	MAX(CASE WHEN bsc.TEN_COT=N'0%' AND bsh.MA_HANG = '6' THEN CAST(gt.GIA_TRI AS VARCHAR2(4000)) END) AS "TỔNG RỦI RO TRƯỚC THỜI HẠN THANH TOÁN",
	-- 0,8%
	MAX(CASE WHEN bsc.TEN_COT=N'0,8%' AND bsh.MA_HANG = '1' THEN CAST(gt.GIA_TRI AS VARCHAR2(4000)) END) AS "Tiền gửi có kỳ hạn, chứng chỉ tiền gửi, các khoản tiền cho vay không có tài sản bảo đảm",
	MAX(CASE WHEN bsc.TEN_COT=N'0,8%' AND bsh.MA_HANG = '2' THEN CAST(gt.GIA_TRI AS VARCHAR2(4000)) END) AS "Cho vay tài sản tài chính /Các thỏa thuận kinh tế có cùng bản chất",
	MAX(CASE WHEN bsc.TEN_COT=N'0,8%' AND bsh.MA_HANG = '3' THEN CAST(gt.GIA_TRI AS VARCHAR2(4000)) END) AS "Vay tài sản tài chính /Các thỏa thuận kinh tế có cùng bản chất",
	MAX(CASE WHEN bsc.TEN_COT=N'0,8%' AND bsh.MA_HANG = '4' THEN CAST(gt.GIA_TRI AS VARCHAR2(4000)) END) AS "Hợp đồng mua tài sản tài chính có cam kết bán lại /Các thỏa thuận kinh tế có cùng bản chất",
	MAX(CASE WHEN bsc.TEN_COT=N'0,8%' AND bsh.MA_HANG = '5' THEN CAST(gt.GIA_TRI AS VARCHAR2(4000)) END) AS "Hợp đồng bán tài sản tài chính có cam kết mua lại /Các thỏa thuận kinh tế có cùng bản chất",
	MAX(CASE WHEN bsc.TEN_COT=N'0,8%' AND bsh.MA_HANG = '6' THEN CAST(gt.GIA_TRI AS VARCHAR2(4000)) END) AS "TỔNG RỦI RO TRƯỚC THỜI HẠN THANH TOÁN",
	-- 3,2%
	MAX(CASE WHEN bsc.TEN_COT=N'3,2%' AND bsh.MA_HANG = '1' THEN CAST(gt.GIA_TRI AS VARCHAR2(4000)) END) AS "Tiền gửi có kỳ hạn, chứng chỉ tiền gửi, các khoản tiền cho vay không có tài sản bảo đảm",
	MAX(CASE WHEN bsc.TEN_COT=N'3,2%' AND bsh.MA_HANG = '2' THEN CAST(gt.GIA_TRI AS VARCHAR2(4000)) END) AS "Cho vay tài sản tài chính /Các thỏa thuận kinh tế có cùng bản chất",
	MAX(CASE WHEN bsc.TEN_COT=N'3,2%' AND bsh.MA_HANG = '3' THEN CAST(gt.GIA_TRI AS VARCHAR2(4000)) END) AS "Vay tài sản tài chính /Các thỏa thuận kinh tế có cùng bản chất",
	MAX(CASE WHEN bsc.TEN_COT=N'3,2%' AND bsh.MA_HANG = '4' THEN CAST(gt.GIA_TRI AS VARCHAR2(4000)) END) AS "Hợp đồng mua tài sản tài chính có cam kết bán lại /Các thỏa thuận kinh tế có cùng bản chất",
	MAX(CASE WHEN bsc.TEN_COT=N'3,2%' AND bsh.MA_HANG = '5' THEN CAST(gt.GIA_TRI AS VARCHAR2(4000)) END) AS "Hợp đồng bán tài sản tài chính có cam kết mua lại /Các thỏa thuận kinh tế có cùng bản chất",
	MAX(CASE WHEN bsc.TEN_COT=N'3,2%' AND bsh.MA_HANG = '6' THEN CAST(gt.GIA_TRI AS VARCHAR2(4000)) END) AS "TỔNG RỦI RO TRƯỚC THỜI HẠN THANH TOÁN",
	-- 4,8%
	MAX(CASE WHEN bsc.TEN_COT=N'4,8%' AND bsh.MA_HANG = '1' THEN CAST(gt.GIA_TRI AS VARCHAR2(4000)) END) AS "Tiền gửi có kỳ hạn, chứng chỉ tiền gửi, các khoản tiền cho vay không có tài sản bảo đảm",
	MAX(CASE WHEN bsc.TEN_COT=N'4,8%' AND bsh.MA_HANG = '2' THEN CAST(gt.GIA_TRI AS VARCHAR2(4000)) END) AS "Cho vay tài sản tài chính /Các thỏa thuận kinh tế có cùng bản chất",
	MAX(CASE WHEN bsc.TEN_COT=N'4,8%' AND bsh.MA_HANG = '3' THEN CAST(gt.GIA_TRI AS VARCHAR2(4000)) END) AS "Vay tài sản tài chính /Các thỏa thuận kinh tế có cùng bản chất",
	MAX(CASE WHEN bsc.TEN_COT=N'4,8%' AND bsh.MA_HANG = '4' THEN CAST(gt.GIA_TRI AS VARCHAR2(4000)) END) AS "Hợp đồng mua tài sản tài chính có cam kết bán lại /Các thỏa thuận kinh tế có cùng bản chất",
	MAX(CASE WHEN bsc.TEN_COT=N'4,8%' AND bsh.MA_HANG = '5' THEN CAST(gt.GIA_TRI AS VARCHAR2(4000)) END) AS "Hợp đồng bán tài sản tài chính có cam kết mua lại /Các thỏa thuận kinh tế có cùng bản chất",
	MAX(CASE WHEN bsc.TEN_COT=N'4,8%' AND bsh.MA_HANG = '6' THEN CAST(gt.GIA_TRI AS VARCHAR2(4000)) END) AS "TỔNG RỦI RO TRƯỚC THỜI HẠN THANH TOÁN",
	-- 6%
	MAX(CASE WHEN bsc.TEN_COT=N'6%' AND bsh.MA_HANG = '1' THEN CAST(gt.GIA_TRI AS VARCHAR2(4000)) END) AS "Tiền gửi có kỳ hạn, chứng chỉ tiền gửi, các khoản tiền cho vay không có tài sản bảo đảm",
	MAX(CASE WHEN bsc.TEN_COT=N'6%' AND bsh.MA_HANG = '2' THEN CAST(gt.GIA_TRI AS VARCHAR2(4000)) END) AS "Cho vay tài sản tài chính /Các thỏa thuận kinh tế có cùng bản chất",
	MAX(CASE WHEN bsc.TEN_COT=N'6%' AND bsh.MA_HANG = '3' THEN CAST(gt.GIA_TRI AS VARCHAR2(4000)) END) AS "Vay tài sản tài chính /Các thỏa thuận kinh tế có cùng bản chất",
	MAX(CASE WHEN bsc.TEN_COT=N'6%' AND bsh.MA_HANG = '4' THEN CAST(gt.GIA_TRI AS VARCHAR2(4000)) END) AS "Hợp đồng mua tài sản tài chính có cam kết bán lại /Các thỏa thuận kinh tế có cùng bản chất",
	MAX(CASE WHEN bsc.TEN_COT=N'6%' AND bsh.MA_HANG = '5' THEN CAST(gt.GIA_TRI AS VARCHAR2(4000)) END) AS "Hợp đồng bán tài sản tài chính có cam kết mua lại /Các thỏa thuận kinh tế có cùng bản chất",
	MAX(CASE WHEN bsc.TEN_COT=N'6%' AND bsh.MA_HANG = '6' THEN CAST(gt.GIA_TRI AS VARCHAR2(4000)) END) AS "TỔNG RỦI RO TRƯỚC THỜI HẠN THANH TOÁN",
	-- 8%
	MAX(CASE WHEN bsc.TEN_COT=N'8%' AND bsh.MA_HANG = '1' THEN CAST(gt.GIA_TRI AS VARCHAR2(4000)) END) AS "Tiền gửi có kỳ hạn, chứng chỉ tiền gửi, các khoản tiền cho vay không có tài sản bảo đảm",
	MAX(CASE WHEN bsc.TEN_COT=N'8%' AND bsh.MA_HANG = '2' THEN CAST(gt.GIA_TRI AS VARCHAR2(4000)) END) AS "Cho vay tài sản tài chính /Các thỏa thuận kinh tế có cùng bản chất",
	MAX(CASE WHEN bsc.TEN_COT=N'8%' AND bsh.MA_HANG = '3' THEN CAST(gt.GIA_TRI AS VARCHAR2(4000)) END) AS "Vay tài sản tài chính /Các thỏa thuận kinh tế có cùng bản chất",
	MAX(CASE WHEN bsc.TEN_COT=N'8%' AND bsh.MA_HANG = '4' THEN CAST(gt.GIA_TRI AS VARCHAR2(4000)) END) AS "Hợp đồng mua tài sản tài chính có cam kết bán lại /Các thỏa thuận kinh tế có cùng bản chất",
	MAX(CASE WHEN bsc.TEN_COT=N'8%' AND bsh.MA_HANG = '5' THEN CAST(gt.GIA_TRI AS VARCHAR2(4000)) END) AS "Hợp đồng bán tài sản tài chính có cam kết mua lại /Các thỏa thuận kinh tế có cùng bản chất",
	MAX(CASE WHEN bsc.TEN_COT=N'8%' AND bsh.MA_HANG = '6' THEN CAST(gt.GIA_TRI AS VARCHAR2(4000)) END) AS "TỔNG RỦI RO TRƯỚC THỜI HẠN THANH TOÁN",
	-- Tổng giá trị rủi ro
	MAX(CASE WHEN bsc.TEN_COT=N'Tổng giá trị rủi ro' AND bsh.MA_HANG = '1' THEN CAST(gt.GIA_TRI AS VARCHAR2(4000)) END) AS "Tiền gửi có kỳ hạn, chứng chỉ tiền gửi, các khoản tiền cho vay không có tài sản bảo đảm",
	MAX(CASE WHEN bsc.TEN_COT=N'Tổng giá trị rủi ro' AND bsh.MA_HANG = '2' THEN CAST(gt.GIA_TRI AS VARCHAR2(4000)) END) AS "Cho vay tài sản tài chính /Các thỏa thuận kinh tế có cùng bản chất",
	MAX(CASE WHEN bsc.TEN_COT=N'Tổng giá trị rủi ro' AND bsh.MA_HANG = '3' THEN CAST(gt.GIA_TRI AS VARCHAR2(4000)) END) AS "Vay tài sản tài chính /Các thỏa thuận kinh tế có cùng bản chất",
	MAX(CASE WHEN bsc.TEN_COT=N'Tổng giá trị rủi ro' AND bsh.MA_HANG = '4' THEN CAST(gt.GIA_TRI AS VARCHAR2(4000)) END) AS "Hợp đồng mua tài sản tài chính có cam kết bán lại /Các thỏa thuận kinh tế có cùng bản chất",
	MAX(CASE WHEN bsc.TEN_COT=N'Tổng giá trị rủi ro' AND bsh.MA_HANG = '5' THEN CAST(gt.GIA_TRI AS VARCHAR2(4000)) END) AS "Hợp đồng bán tài sản tài chính có cam kết mua lại /Các thỏa thuận kinh tế có cùng bản chất",
	MAX(CASE WHEN bsc.TEN_COT=N'Tổng giá trị rủi ro' AND bsh.MA_HANG = '6' THEN CAST(gt.GIA_TRI AS VARCHAR2(4000)) END) AS "TỔNG RỦI RO TRƯỚC THỜI HẠN THANH TOÁN"
FROM SCMS.BC_THANH_VIEN btv
JOIN SCMS.BM_BAO_CAO bm ON bm.ID = btv.BM_BAO_CAO_ID
JOIN SCMS.BC_BAO_CAO_GT gt ON gt.BC_THANH_VIEN_ID = btv.ID
JOIN SCMS.BM_BAO_CAO_HANG bsh ON bsh.ID = gt.BM_SHEET_HANG_ID
JOIN SCMS.BM_BAO_CAO_COT bsc ON bsc.BM_SHEET_ID = 8378
--                               AND bsc.TEN_COT = gt.TEN_COT
WHERE bm.MA_BAO_CAO LIKE 'BCTLAT_TT102/2025'
  AND btv.TRANG_THAI IN (2, 3)
GROUP BY
    btv.ID, btv.CTCK_THONG_TIN_ID, btv.NGAY_SO_LIEU, btv.TRANG_THAI,
    bm.MA_BAO_CAO
ORDER BY btv.NGAY_SO_LIEU DESC;</t>
        </is>
      </c>
      <c r="U2536" s="16" t="n"/>
      <c r="V2536" s="22" t="n"/>
      <c r="W2536" s="22" t="n"/>
      <c r="X2536" s="22" t="n"/>
      <c r="Y2536" s="38" t="n"/>
      <c r="Z2536" s="22" t="n"/>
      <c r="AA2536" s="22" t="n"/>
      <c r="AB2536" s="22" t="n"/>
      <c r="AC2536" s="22" t="n"/>
      <c r="AD2536" s="22" t="n"/>
      <c r="AE2536" s="22" t="n"/>
    </row>
    <row r="2537" ht="84" customHeight="1" s="380">
      <c r="A2537" s="126" t="n">
        <v>104</v>
      </c>
      <c r="B2537" s="390" t="n"/>
      <c r="C2537" s="390" t="inlineStr">
        <is>
          <t xml:space="preserve">Báo cáo theo Thông tư 121/2020/TT-BTC &gt;&gt; Báo cáo tỷ lệ An toàn tài chính &gt;&gt; Giá trị rủi ro thanh toán (Rủi ro trước thời hạn thanh toán) </t>
        </is>
      </c>
      <c r="D2537" s="390" t="inlineStr">
        <is>
          <t xml:space="preserve">Cho vay tài sản tài chính /Các thỏa thuận kinh tế có cùng bản chất                                                                            
</t>
        </is>
      </c>
      <c r="E2537" s="390" t="inlineStr">
        <is>
          <t xml:space="preserve">Cho vay tài sản tài chính /Các thỏa thuận kinh tế có cùng bản chất                                                                            
</t>
        </is>
      </c>
      <c r="F2537" s="390" t="inlineStr">
        <is>
          <t>Data Explorer</t>
        </is>
      </c>
      <c r="G2537" s="390" t="inlineStr">
        <is>
          <t>Chỉ tiêu cơ sở</t>
        </is>
      </c>
      <c r="H2537" s="390" t="inlineStr">
        <is>
          <t>TB</t>
        </is>
      </c>
      <c r="I2537" s="390" t="inlineStr">
        <is>
          <t>Ngày, CTCK</t>
        </is>
      </c>
      <c r="J2537" s="401" t="inlineStr">
        <is>
          <t>SCMS</t>
        </is>
      </c>
      <c r="K2537" s="401" t="n"/>
      <c r="L2537" s="401" t="inlineStr">
        <is>
          <t>X</t>
        </is>
      </c>
      <c r="M2537" s="401" t="n"/>
      <c r="N2537" s="401" t="inlineStr">
        <is>
          <t>Done</t>
        </is>
      </c>
      <c r="O2537" s="401" t="n"/>
      <c r="P2537" s="22" t="n"/>
      <c r="S2537" s="22" t="n"/>
      <c r="U2537" s="16" t="n"/>
      <c r="V2537" s="22" t="n"/>
      <c r="W2537" s="22" t="n"/>
      <c r="X2537" s="22" t="n"/>
      <c r="Y2537" s="13" t="n"/>
      <c r="Z2537" s="22" t="n"/>
      <c r="AA2537" s="22" t="n"/>
      <c r="AB2537" s="22" t="n"/>
      <c r="AC2537" s="22" t="n"/>
      <c r="AD2537" s="22" t="n"/>
      <c r="AE2537" s="22" t="n"/>
    </row>
    <row r="2538" ht="84" customHeight="1" s="380">
      <c r="A2538" s="126" t="n">
        <v>104</v>
      </c>
      <c r="B2538" s="390" t="n"/>
      <c r="C2538" s="390" t="inlineStr">
        <is>
          <t xml:space="preserve">Báo cáo theo Thông tư 121/2020/TT-BTC &gt;&gt; Báo cáo tỷ lệ An toàn tài chính &gt;&gt; Giá trị rủi ro thanh toán (Rủi ro trước thời hạn thanh toán) </t>
        </is>
      </c>
      <c r="D2538" s="390" t="inlineStr">
        <is>
          <t xml:space="preserve">Vay tài sản tài chính /Các thỏa thuận kinh tế có cùng bản chất                                                                                             
</t>
        </is>
      </c>
      <c r="E2538" s="390" t="inlineStr">
        <is>
          <t xml:space="preserve">Vay tài sản tài chính /Các thỏa thuận kinh tế có cùng bản chất                                                                                             
</t>
        </is>
      </c>
      <c r="F2538" s="390" t="inlineStr">
        <is>
          <t>Data Explorer</t>
        </is>
      </c>
      <c r="G2538" s="390" t="inlineStr">
        <is>
          <t>Chỉ tiêu cơ sở</t>
        </is>
      </c>
      <c r="H2538" s="390" t="inlineStr">
        <is>
          <t>TB</t>
        </is>
      </c>
      <c r="I2538" s="390" t="inlineStr">
        <is>
          <t>Ngày, CTCK</t>
        </is>
      </c>
      <c r="J2538" s="401" t="inlineStr">
        <is>
          <t>SCMS</t>
        </is>
      </c>
      <c r="K2538" s="401" t="n"/>
      <c r="L2538" s="401" t="inlineStr">
        <is>
          <t>X</t>
        </is>
      </c>
      <c r="M2538" s="401" t="n"/>
      <c r="N2538" s="401" t="inlineStr">
        <is>
          <t>Done</t>
        </is>
      </c>
      <c r="O2538" s="401" t="n"/>
      <c r="P2538" s="22" t="n"/>
      <c r="S2538" s="22" t="n"/>
      <c r="U2538" s="16" t="n"/>
      <c r="V2538" s="22" t="n"/>
      <c r="W2538" s="22" t="n"/>
      <c r="X2538" s="22" t="n"/>
      <c r="Y2538" s="13" t="n"/>
      <c r="Z2538" s="22" t="n"/>
      <c r="AA2538" s="22" t="n"/>
      <c r="AB2538" s="22" t="n"/>
      <c r="AC2538" s="22" t="n"/>
      <c r="AD2538" s="22" t="n"/>
      <c r="AE2538" s="22" t="n"/>
    </row>
    <row r="2539" ht="84" customHeight="1" s="380">
      <c r="A2539" s="126" t="n">
        <v>104</v>
      </c>
      <c r="B2539" s="390" t="n"/>
      <c r="C2539" s="390" t="inlineStr">
        <is>
          <t xml:space="preserve">Báo cáo theo Thông tư 121/2020/TT-BTC &gt;&gt; Báo cáo tỷ lệ An toàn tài chính &gt;&gt; Giá trị rủi ro thanh toán (Rủi ro trước thời hạn thanh toán) </t>
        </is>
      </c>
      <c r="D2539" s="390" t="inlineStr">
        <is>
          <t xml:space="preserve">Hợp đồng mua tài sản tài chính có cam kết bán lại /Các thỏa thuận kinh tế có cùng bản chất                                                                  
</t>
        </is>
      </c>
      <c r="E2539" s="390" t="inlineStr">
        <is>
          <t xml:space="preserve">Hợp đồng mua tài sản tài chính có cam kết bán lại /Các thỏa thuận kinh tế có cùng bản chất                                                                  
</t>
        </is>
      </c>
      <c r="F2539" s="390" t="inlineStr">
        <is>
          <t>Data Explorer</t>
        </is>
      </c>
      <c r="G2539" s="390" t="inlineStr">
        <is>
          <t>Chỉ tiêu cơ sở</t>
        </is>
      </c>
      <c r="H2539" s="390" t="inlineStr">
        <is>
          <t>TB</t>
        </is>
      </c>
      <c r="I2539" s="390" t="inlineStr">
        <is>
          <t>Ngày, CTCK</t>
        </is>
      </c>
      <c r="J2539" s="401" t="inlineStr">
        <is>
          <t>SCMS</t>
        </is>
      </c>
      <c r="K2539" s="401" t="n"/>
      <c r="L2539" s="401" t="inlineStr">
        <is>
          <t>X</t>
        </is>
      </c>
      <c r="M2539" s="401" t="n"/>
      <c r="N2539" s="401" t="inlineStr">
        <is>
          <t>Done</t>
        </is>
      </c>
      <c r="O2539" s="401" t="n"/>
      <c r="P2539" s="22" t="n"/>
      <c r="S2539" s="22" t="n"/>
      <c r="U2539" s="16" t="n"/>
      <c r="V2539" s="22" t="n"/>
      <c r="W2539" s="22" t="n"/>
      <c r="X2539" s="22" t="n"/>
      <c r="Y2539" s="13" t="n"/>
      <c r="Z2539" s="22" t="n"/>
      <c r="AA2539" s="22" t="n"/>
      <c r="AB2539" s="22" t="n"/>
      <c r="AC2539" s="22" t="n"/>
      <c r="AD2539" s="22" t="n"/>
      <c r="AE2539" s="22" t="n"/>
    </row>
    <row r="2540" ht="84" customHeight="1" s="380">
      <c r="A2540" s="126" t="n">
        <v>104</v>
      </c>
      <c r="B2540" s="390" t="n"/>
      <c r="C2540" s="390" t="inlineStr">
        <is>
          <t xml:space="preserve">Báo cáo theo Thông tư 121/2020/TT-BTC &gt;&gt; Báo cáo tỷ lệ An toàn tài chính &gt;&gt; Giá trị rủi ro thanh toán (Rủi ro trước thời hạn thanh toán) </t>
        </is>
      </c>
      <c r="D2540" s="390" t="inlineStr">
        <is>
          <t xml:space="preserve">Hợp đồng bán tài sản tài chính có cam kết mua lại /Các thỏa thuận kinh tế có cùng bản chất                                                                 
</t>
        </is>
      </c>
      <c r="E2540" s="390" t="inlineStr">
        <is>
          <t xml:space="preserve">Hợp đồng bán tài sản tài chính có cam kết mua lại /Các thỏa thuận kinh tế có cùng bản chất                                                                 
</t>
        </is>
      </c>
      <c r="F2540" s="390" t="inlineStr">
        <is>
          <t>Data Explorer</t>
        </is>
      </c>
      <c r="G2540" s="390" t="inlineStr">
        <is>
          <t>Chỉ tiêu cơ sở</t>
        </is>
      </c>
      <c r="H2540" s="390" t="inlineStr">
        <is>
          <t>TB</t>
        </is>
      </c>
      <c r="I2540" s="390" t="inlineStr">
        <is>
          <t>Ngày, CTCK</t>
        </is>
      </c>
      <c r="J2540" s="401" t="inlineStr">
        <is>
          <t>SCMS</t>
        </is>
      </c>
      <c r="K2540" s="401" t="n"/>
      <c r="L2540" s="401" t="inlineStr">
        <is>
          <t>X</t>
        </is>
      </c>
      <c r="M2540" s="401" t="n"/>
      <c r="N2540" s="401" t="inlineStr">
        <is>
          <t>Done</t>
        </is>
      </c>
      <c r="O2540" s="401" t="n"/>
      <c r="P2540" s="22" t="n"/>
      <c r="S2540" s="22" t="n"/>
      <c r="U2540" s="16" t="n"/>
      <c r="V2540" s="22" t="n"/>
      <c r="W2540" s="22" t="n"/>
      <c r="X2540" s="22" t="n"/>
      <c r="Y2540" s="13" t="n"/>
      <c r="Z2540" s="22" t="n"/>
      <c r="AA2540" s="22" t="n"/>
      <c r="AB2540" s="22" t="n"/>
      <c r="AC2540" s="22" t="n"/>
      <c r="AD2540" s="22" t="n"/>
      <c r="AE2540" s="22" t="n"/>
    </row>
    <row r="2541" ht="84" customHeight="1" s="380">
      <c r="A2541" s="128" t="n">
        <v>104</v>
      </c>
      <c r="B2541" s="129" t="n"/>
      <c r="C2541" s="129" t="inlineStr">
        <is>
          <t xml:space="preserve">Báo cáo theo Thông tư 121/2020/TT-BTC &gt;&gt; Báo cáo tỷ lệ An toàn tài chính &gt;&gt; Giá trị rủi ro thanh toán (Rủi ro trước thời hạn thanh toán) </t>
        </is>
      </c>
      <c r="D2541" s="129" t="inlineStr">
        <is>
          <t xml:space="preserve">TỔNG RỦI RO TRƯỚC THỜI HẠN THANH TOÁN
</t>
        </is>
      </c>
      <c r="E2541" s="85" t="inlineStr">
        <is>
          <t xml:space="preserve">TỔNG RỦI RO TRƯỚC THỜI HẠN THANH TOÁN
</t>
        </is>
      </c>
      <c r="F2541" s="129" t="inlineStr">
        <is>
          <t>Data Explorer</t>
        </is>
      </c>
      <c r="G2541" s="129" t="inlineStr">
        <is>
          <t>Chỉ tiêu cơ sở</t>
        </is>
      </c>
      <c r="H2541" s="129" t="inlineStr">
        <is>
          <t>TB</t>
        </is>
      </c>
      <c r="I2541" s="129" t="inlineStr">
        <is>
          <t>Ngày, CTCK</t>
        </is>
      </c>
      <c r="J2541" s="85" t="inlineStr">
        <is>
          <t>SCMS</t>
        </is>
      </c>
      <c r="K2541" s="85" t="n"/>
      <c r="L2541" s="85" t="inlineStr">
        <is>
          <t>X</t>
        </is>
      </c>
      <c r="M2541" s="85" t="n"/>
      <c r="N2541" s="85" t="inlineStr">
        <is>
          <t>Done</t>
        </is>
      </c>
      <c r="O2541" s="85" t="n"/>
      <c r="P2541" s="130" t="n"/>
      <c r="Q2541" s="426" t="n"/>
      <c r="R2541" s="426" t="n"/>
      <c r="S2541" s="130" t="n"/>
      <c r="T2541" s="426" t="n"/>
      <c r="U2541" s="131" t="n"/>
      <c r="V2541" s="130" t="n"/>
      <c r="W2541" s="130" t="n"/>
      <c r="X2541" s="130" t="n"/>
      <c r="Y2541" s="97" t="n"/>
      <c r="Z2541" s="130" t="n"/>
      <c r="AA2541" s="130" t="n"/>
      <c r="AB2541" s="130" t="n"/>
      <c r="AC2541" s="130" t="n"/>
      <c r="AD2541" s="130" t="n"/>
      <c r="AE2541" s="130" t="n"/>
    </row>
    <row r="2542" ht="84" customHeight="1" s="380">
      <c r="A2542" s="126" t="n">
        <v>105</v>
      </c>
      <c r="B2542" s="122" t="inlineStr">
        <is>
          <t>Nga</t>
        </is>
      </c>
      <c r="C2542" s="127" t="inlineStr">
        <is>
          <t xml:space="preserve">Báo cáo theo Thông tư 121/2020/TT-BTC &gt;&gt; Báo cáo tỷ lệ An toàn tài chính &gt;&gt; Giá trị rủi ro thanh toán (Rủi ro quá thời hạn thanh toán) </t>
        </is>
      </c>
      <c r="D2542" s="106" t="inlineStr">
        <is>
          <t>Loại báo cáo</t>
        </is>
      </c>
      <c r="E2542" s="107" t="inlineStr">
        <is>
          <t>Loại báo cáo</t>
        </is>
      </c>
      <c r="F2542" s="390" t="inlineStr">
        <is>
          <t>Data Explorer</t>
        </is>
      </c>
      <c r="G2542" s="390" t="inlineStr">
        <is>
          <t>Chiều</t>
        </is>
      </c>
      <c r="H2542" s="390" t="inlineStr">
        <is>
          <t>Dễ</t>
        </is>
      </c>
      <c r="I2542" s="390" t="inlineStr">
        <is>
          <t>Ngày, CTCK</t>
        </is>
      </c>
      <c r="J2542" s="401" t="inlineStr">
        <is>
          <t>SCMS</t>
        </is>
      </c>
      <c r="K2542" s="401" t="inlineStr">
        <is>
          <t>X</t>
        </is>
      </c>
      <c r="L2542" s="401" t="inlineStr">
        <is>
          <t>X</t>
        </is>
      </c>
      <c r="M2542" s="401" t="n"/>
      <c r="N2542" s="401" t="inlineStr">
        <is>
          <t>Done</t>
        </is>
      </c>
      <c r="O2542" s="401" t="n"/>
      <c r="P2542" s="22" t="n"/>
      <c r="Q2542" s="404" t="inlineStr">
        <is>
          <t>SCMS.BM_BAO_CAO
SCMS.BM_BAO_CAO_DINH_KY</t>
        </is>
      </c>
      <c r="R2542" s="404" t="inlineStr">
        <is>
          <t>bm.ID,
bm.MA_BAO_CAO,
bm.LOAI_BAO_CAO,
bm.TEN_BAO_CAO,
bm.SU_DUNG,
bdk.BM_BAO_CAO_ID,
bdk.KY_BAO_CAO,
bdk.SU_DUNG</t>
        </is>
      </c>
      <c r="S2542" s="22" t="n"/>
      <c r="T2542" s="389"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2542" s="16" t="n"/>
      <c r="V2542" s="22" t="n"/>
      <c r="W2542" s="22" t="n"/>
      <c r="X2542" s="22" t="n"/>
      <c r="Y2542" s="13" t="n"/>
      <c r="Z2542" s="22" t="n"/>
      <c r="AA2542" s="22" t="n"/>
      <c r="AB2542" s="22" t="n"/>
      <c r="AC2542" s="22" t="n"/>
      <c r="AD2542" s="22" t="n"/>
      <c r="AE2542" s="22" t="n"/>
    </row>
    <row r="2543" ht="84" customHeight="1" s="380">
      <c r="A2543" s="126" t="n">
        <v>105</v>
      </c>
      <c r="B2543" s="390" t="n"/>
      <c r="C2543" s="390" t="inlineStr">
        <is>
          <t xml:space="preserve">Báo cáo theo Thông tư 121/2020/TT-BTC &gt;&gt; Báo cáo tỷ lệ An toàn tài chính &gt;&gt; Giá trị rủi ro thanh toán (Rủi ro quá thời hạn thanh toán) </t>
        </is>
      </c>
      <c r="D2543" s="106" t="inlineStr">
        <is>
          <t>Kỳ báo cáo</t>
        </is>
      </c>
      <c r="E2543" s="107" t="inlineStr">
        <is>
          <t>Kỳ báo cáo</t>
        </is>
      </c>
      <c r="F2543" s="390" t="inlineStr">
        <is>
          <t>Data Explorer</t>
        </is>
      </c>
      <c r="G2543" s="390" t="inlineStr">
        <is>
          <t>Chiều</t>
        </is>
      </c>
      <c r="H2543" s="390" t="inlineStr">
        <is>
          <t>Dễ</t>
        </is>
      </c>
      <c r="I2543" s="390" t="inlineStr">
        <is>
          <t>Ngày, CTCK</t>
        </is>
      </c>
      <c r="J2543" s="401" t="inlineStr">
        <is>
          <t>SCMS</t>
        </is>
      </c>
      <c r="K2543" s="401" t="inlineStr">
        <is>
          <t>X</t>
        </is>
      </c>
      <c r="L2543" s="401" t="inlineStr">
        <is>
          <t>X</t>
        </is>
      </c>
      <c r="M2543" s="401" t="n"/>
      <c r="N2543" s="401" t="inlineStr">
        <is>
          <t>Done</t>
        </is>
      </c>
      <c r="O2543" s="401" t="n"/>
      <c r="P2543" s="22" t="n"/>
      <c r="S2543" s="22" t="n"/>
      <c r="U2543" s="16" t="n"/>
      <c r="V2543" s="22" t="n"/>
      <c r="W2543" s="22" t="n"/>
      <c r="X2543" s="22" t="n"/>
      <c r="Y2543" s="13" t="n"/>
      <c r="Z2543" s="22" t="n"/>
      <c r="AA2543" s="22" t="n"/>
      <c r="AB2543" s="22" t="n"/>
      <c r="AC2543" s="22" t="n"/>
      <c r="AD2543" s="22" t="n"/>
      <c r="AE2543" s="22" t="n"/>
    </row>
    <row r="2544" ht="84" customHeight="1" s="380">
      <c r="A2544" s="126" t="n">
        <v>105</v>
      </c>
      <c r="B2544" s="390" t="n"/>
      <c r="C2544" s="390" t="inlineStr">
        <is>
          <t xml:space="preserve">Báo cáo theo Thông tư 121/2020/TT-BTC &gt;&gt; Báo cáo tỷ lệ An toàn tài chính &gt;&gt; Giá trị rủi ro thanh toán (Rủi ro quá thời hạn thanh toán) </t>
        </is>
      </c>
      <c r="D2544" s="106" t="inlineStr">
        <is>
          <t>Mã báo cáo</t>
        </is>
      </c>
      <c r="E2544" s="107" t="inlineStr">
        <is>
          <t>Mã báo cáo</t>
        </is>
      </c>
      <c r="F2544" s="390" t="inlineStr">
        <is>
          <t>Data Explorer</t>
        </is>
      </c>
      <c r="G2544" s="390" t="inlineStr">
        <is>
          <t>Chiều</t>
        </is>
      </c>
      <c r="H2544" s="390" t="inlineStr">
        <is>
          <t>Dễ</t>
        </is>
      </c>
      <c r="I2544" s="390" t="inlineStr">
        <is>
          <t>Ngày, CTCK</t>
        </is>
      </c>
      <c r="J2544" s="401" t="inlineStr">
        <is>
          <t>SCMS</t>
        </is>
      </c>
      <c r="K2544" s="401" t="inlineStr">
        <is>
          <t>X</t>
        </is>
      </c>
      <c r="L2544" s="401" t="inlineStr">
        <is>
          <t>X</t>
        </is>
      </c>
      <c r="M2544" s="401" t="n"/>
      <c r="N2544" s="401" t="inlineStr">
        <is>
          <t>Done</t>
        </is>
      </c>
      <c r="O2544" s="401" t="n"/>
      <c r="P2544" s="22" t="n"/>
      <c r="S2544" s="22" t="n"/>
      <c r="U2544" s="16" t="n"/>
      <c r="V2544" s="22" t="n"/>
      <c r="W2544" s="22" t="n"/>
      <c r="X2544" s="22" t="n"/>
      <c r="Y2544" s="13" t="n"/>
      <c r="Z2544" s="22" t="n"/>
      <c r="AA2544" s="22" t="n"/>
      <c r="AB2544" s="22" t="n"/>
      <c r="AC2544" s="22" t="n"/>
      <c r="AD2544" s="22" t="n"/>
      <c r="AE2544" s="22" t="n"/>
    </row>
    <row r="2545" ht="84" customHeight="1" s="380">
      <c r="A2545" s="126" t="n">
        <v>105</v>
      </c>
      <c r="B2545" s="390" t="n"/>
      <c r="C2545" s="390" t="inlineStr">
        <is>
          <t xml:space="preserve">Báo cáo theo Thông tư 121/2020/TT-BTC &gt;&gt; Báo cáo tỷ lệ An toàn tài chính &gt;&gt; Giá trị rủi ro thanh toán (Rủi ro quá thời hạn thanh toán) </t>
        </is>
      </c>
      <c r="D2545" s="106" t="inlineStr">
        <is>
          <t>Tên báo cáo</t>
        </is>
      </c>
      <c r="E2545" s="107" t="inlineStr">
        <is>
          <t>Tên báo cáo</t>
        </is>
      </c>
      <c r="F2545" s="390" t="inlineStr">
        <is>
          <t>Data Explorer</t>
        </is>
      </c>
      <c r="G2545" s="390" t="inlineStr">
        <is>
          <t>Chiều</t>
        </is>
      </c>
      <c r="H2545" s="390" t="inlineStr">
        <is>
          <t>Dễ</t>
        </is>
      </c>
      <c r="I2545" s="390" t="inlineStr">
        <is>
          <t>Ngày, CTCK</t>
        </is>
      </c>
      <c r="J2545" s="401" t="inlineStr">
        <is>
          <t>SCMS</t>
        </is>
      </c>
      <c r="K2545" s="401" t="inlineStr">
        <is>
          <t>X</t>
        </is>
      </c>
      <c r="L2545" s="401" t="inlineStr">
        <is>
          <t>X</t>
        </is>
      </c>
      <c r="M2545" s="401" t="n"/>
      <c r="N2545" s="401" t="inlineStr">
        <is>
          <t>Done</t>
        </is>
      </c>
      <c r="O2545" s="401" t="n"/>
      <c r="P2545" s="22" t="n"/>
      <c r="S2545" s="22" t="n"/>
      <c r="U2545" s="16" t="n"/>
      <c r="V2545" s="22" t="n"/>
      <c r="W2545" s="22" t="n"/>
      <c r="X2545" s="22" t="n"/>
      <c r="Y2545" s="13" t="n"/>
      <c r="Z2545" s="22" t="n"/>
      <c r="AA2545" s="22" t="n"/>
      <c r="AB2545" s="22" t="n"/>
      <c r="AC2545" s="22" t="n"/>
      <c r="AD2545" s="22" t="n"/>
      <c r="AE2545" s="22" t="n"/>
    </row>
    <row r="2546" ht="84" customHeight="1" s="380">
      <c r="A2546" s="126" t="n">
        <v>105</v>
      </c>
      <c r="B2546" s="390" t="n"/>
      <c r="C2546" s="390" t="inlineStr">
        <is>
          <t xml:space="preserve">Báo cáo theo Thông tư 121/2020/TT-BTC &gt;&gt; Báo cáo tỷ lệ An toàn tài chính &gt;&gt; Giá trị rủi ro thanh toán (Rủi ro quá thời hạn thanh toán) </t>
        </is>
      </c>
      <c r="D2546" s="106" t="inlineStr">
        <is>
          <t>Mã sheet</t>
        </is>
      </c>
      <c r="E2546" s="106" t="inlineStr">
        <is>
          <t>Mã sheet</t>
        </is>
      </c>
      <c r="F2546" s="390" t="inlineStr">
        <is>
          <t>Data Explorer</t>
        </is>
      </c>
      <c r="G2546" s="390" t="inlineStr">
        <is>
          <t>Chiều</t>
        </is>
      </c>
      <c r="H2546" s="390" t="inlineStr">
        <is>
          <t>Dễ</t>
        </is>
      </c>
      <c r="I2546" s="390" t="inlineStr">
        <is>
          <t>Ngày, CTCK</t>
        </is>
      </c>
      <c r="J2546" s="401" t="inlineStr">
        <is>
          <t>SCMS</t>
        </is>
      </c>
      <c r="K2546" s="401" t="inlineStr">
        <is>
          <t>X</t>
        </is>
      </c>
      <c r="L2546" s="401" t="inlineStr">
        <is>
          <t>X</t>
        </is>
      </c>
      <c r="M2546" s="401" t="n"/>
      <c r="N2546" s="401" t="inlineStr">
        <is>
          <t>Done</t>
        </is>
      </c>
      <c r="O2546" s="401" t="n"/>
      <c r="P2546" s="22" t="n"/>
      <c r="Q2546" s="401" t="inlineStr">
        <is>
          <t>SCMS.BM_BAO_CAO
SCMS.BM_SHEET</t>
        </is>
      </c>
      <c r="R2546" s="401" t="inlineStr">
        <is>
          <t>bm.ID,
bm.MA_BAO_CAO,
bm.SU_DUNG,
s.BM_BAO_CAO_ID,
s.MA_SHEET,
s.TEN_SHEET,
s.SAP_XEP</t>
        </is>
      </c>
      <c r="S2546" s="22" t="n"/>
      <c r="T2546" s="389" t="inlineStr">
        <is>
          <t>-- Mã sheet / Tên sheet
-- TEN_SHEET: 06H05
SELECT bm.MA_BAO_CAO,
s.MA_SHEET,
s.TEN_SHEET
FROM SCMS.BM_BAO_CAO bm
JOIN SCMS.BM_SHEET s ON s.BM_BAO_CAO_ID = bm.ID
WHERE bm.MA_BAO_CAO LIKE 'BCTLAT_TT102/2025'
AND s.MA_SHEET = '06H05'  -- Check lại
AND bm.SU_DUNG = 1
ORDER BY bm.MA_BAO_CAO, s.SAP_XEP;</t>
        </is>
      </c>
      <c r="U2546" s="16" t="n"/>
      <c r="V2546" s="22" t="n"/>
      <c r="W2546" s="22" t="n"/>
      <c r="X2546" s="22" t="n"/>
      <c r="Y2546" s="13" t="n"/>
      <c r="Z2546" s="22" t="n"/>
      <c r="AA2546" s="22" t="n"/>
      <c r="AB2546" s="22" t="n"/>
      <c r="AC2546" s="22" t="n"/>
      <c r="AD2546" s="22" t="n"/>
      <c r="AE2546" s="22" t="n"/>
    </row>
    <row r="2547" ht="84" customHeight="1" s="380">
      <c r="A2547" s="126" t="n">
        <v>105</v>
      </c>
      <c r="B2547" s="390" t="n"/>
      <c r="C2547" s="390" t="inlineStr">
        <is>
          <t xml:space="preserve">Báo cáo theo Thông tư 121/2020/TT-BTC &gt;&gt; Báo cáo tỷ lệ An toàn tài chính &gt;&gt; Giá trị rủi ro thanh toán (Rủi ro quá thời hạn thanh toán) </t>
        </is>
      </c>
      <c r="D2547" s="106" t="inlineStr">
        <is>
          <t>Tên sheet</t>
        </is>
      </c>
      <c r="E2547" s="106" t="inlineStr">
        <is>
          <t>Tên sheet</t>
        </is>
      </c>
      <c r="F2547" s="390" t="inlineStr">
        <is>
          <t>Data Explorer</t>
        </is>
      </c>
      <c r="G2547" s="390" t="inlineStr">
        <is>
          <t>Chiều</t>
        </is>
      </c>
      <c r="H2547" s="390" t="inlineStr">
        <is>
          <t>Dễ</t>
        </is>
      </c>
      <c r="I2547" s="390" t="inlineStr">
        <is>
          <t>Ngày, CTCK</t>
        </is>
      </c>
      <c r="J2547" s="401" t="inlineStr">
        <is>
          <t>SCMS</t>
        </is>
      </c>
      <c r="K2547" s="401" t="inlineStr">
        <is>
          <t>X</t>
        </is>
      </c>
      <c r="L2547" s="401" t="inlineStr">
        <is>
          <t>X</t>
        </is>
      </c>
      <c r="M2547" s="401" t="n"/>
      <c r="N2547" s="401" t="inlineStr">
        <is>
          <t>Done</t>
        </is>
      </c>
      <c r="O2547" s="401" t="n"/>
      <c r="P2547" s="22" t="n"/>
      <c r="S2547" s="22" t="n"/>
      <c r="U2547" s="16" t="n"/>
      <c r="V2547" s="22" t="n"/>
      <c r="W2547" s="22" t="n"/>
      <c r="X2547" s="22" t="n"/>
      <c r="Y2547" s="13" t="n"/>
      <c r="Z2547" s="22" t="n"/>
      <c r="AA2547" s="22" t="n"/>
      <c r="AB2547" s="22" t="n"/>
      <c r="AC2547" s="22" t="n"/>
      <c r="AD2547" s="22" t="n"/>
      <c r="AE2547" s="22" t="n"/>
    </row>
    <row r="2548" ht="84" customHeight="1" s="380">
      <c r="A2548" s="126" t="n">
        <v>105</v>
      </c>
      <c r="B2548" s="390" t="n"/>
      <c r="C2548" s="390" t="inlineStr">
        <is>
          <t xml:space="preserve">Báo cáo theo Thông tư 121/2020/TT-BTC &gt;&gt; Báo cáo tỷ lệ An toàn tài chính &gt;&gt; Giá trị rủi ro thanh toán (Rủi ro quá thời hạn thanh toán) </t>
        </is>
      </c>
      <c r="D2548" s="106" t="inlineStr">
        <is>
          <t>Mã chỉ tiêu</t>
        </is>
      </c>
      <c r="E2548" s="107" t="inlineStr">
        <is>
          <t>Mã chỉ tiêu</t>
        </is>
      </c>
      <c r="F2548" s="390" t="inlineStr">
        <is>
          <t>Data Explorer</t>
        </is>
      </c>
      <c r="G2548" s="390" t="inlineStr">
        <is>
          <t>Chiều</t>
        </is>
      </c>
      <c r="H2548" s="390" t="inlineStr">
        <is>
          <t>Dễ</t>
        </is>
      </c>
      <c r="I2548" s="390" t="inlineStr">
        <is>
          <t>Ngày, CTCK</t>
        </is>
      </c>
      <c r="J2548" s="401" t="inlineStr">
        <is>
          <t>SCMS</t>
        </is>
      </c>
      <c r="K2548" s="401" t="inlineStr">
        <is>
          <t>X</t>
        </is>
      </c>
      <c r="L2548" s="401" t="inlineStr">
        <is>
          <t>X</t>
        </is>
      </c>
      <c r="M2548" s="401" t="n"/>
      <c r="N2548" s="401" t="inlineStr">
        <is>
          <t>Done</t>
        </is>
      </c>
      <c r="O2548" s="401" t="n"/>
      <c r="P2548" s="22" t="n"/>
      <c r="Q2548" s="401" t="inlineStr">
        <is>
          <t>SCMS.BM_BAO_CAO
SCMS.BM_SHEET
SCMS.BM_BAO_CAO_CT
SCMS.DM_CHI_TIEU</t>
        </is>
      </c>
      <c r="R2548" s="402" t="inlineStr">
        <is>
          <t>dct.ID,
dct.MA_CHI_TIEU,
dct.TEN_CHI_TIEU,
dct.SU_DUNG,
s.BM_BAO_CAO_ID,
s.MA_SHEET,
ct.BM_BAO_CAO_ID,
ct.DM_CHI_TIEU_ID,
ct.SU_DUNG,
bm.ID,
bm.MA_BAO_CAO,
bm.SU_DUNG</t>
        </is>
      </c>
      <c r="S2548" s="22" t="n"/>
      <c r="T2548" s="389" t="inlineStr">
        <is>
          <t>-- Mã chỉ tiêu / Tên chỉ tiêu
SELECT DISTINCT
    dct.MA_CHI_TIEU  AS ma_chi_tieu,
    dct.TEN_CHI_TIEU AS ten_chi_tieu
FROM SCMS.BM_BAO_CAO bm
JOIN SCMS.BM_SHEET s ON s.BM_BAO_CAO_ID = bm.ID
	AND s.MA_SHEET = '06H05'
JOIN SCMS.BM_BAO_CAO_CT ct ON ct.BM_SHEET_ID = s.ID
	AND ct.SU_DUNG = 1
JOIN SCMS.DM_CHI_TIEU dct ON dct.ID = ct.DM_CHI_TIEU_ID
	AND dct.SU_DUNG = 1
WHERE bm.MA_BAO_CAO LIKE 'BCTLAT_TT102/2025'
	AND bm.SU_DUNG = 1
ORDER BY dct.MA_CHI_TIEU;</t>
        </is>
      </c>
      <c r="U2548" s="16" t="n"/>
      <c r="V2548" s="22" t="n"/>
      <c r="W2548" s="22" t="n"/>
      <c r="X2548" s="22" t="n"/>
      <c r="Y2548" s="38" t="n"/>
      <c r="Z2548" s="22" t="n"/>
      <c r="AA2548" s="22" t="n"/>
      <c r="AB2548" s="22" t="n"/>
      <c r="AC2548" s="22" t="n"/>
      <c r="AD2548" s="22" t="n"/>
      <c r="AE2548" s="22" t="n"/>
    </row>
    <row r="2549" ht="84" customHeight="1" s="380">
      <c r="A2549" s="126" t="n">
        <v>105</v>
      </c>
      <c r="B2549" s="390" t="n"/>
      <c r="C2549" s="390" t="inlineStr">
        <is>
          <t xml:space="preserve">Báo cáo theo Thông tư 121/2020/TT-BTC &gt;&gt; Báo cáo tỷ lệ An toàn tài chính &gt;&gt; Giá trị rủi ro thanh toán (Rủi ro quá thời hạn thanh toán) </t>
        </is>
      </c>
      <c r="D2549" s="106" t="inlineStr">
        <is>
          <t>Tên chỉ tiêu</t>
        </is>
      </c>
      <c r="E2549" s="107" t="inlineStr">
        <is>
          <t>Tên chỉ tiêu</t>
        </is>
      </c>
      <c r="F2549" s="390" t="inlineStr">
        <is>
          <t>Data Explorer</t>
        </is>
      </c>
      <c r="G2549" s="390" t="inlineStr">
        <is>
          <t>Chiều</t>
        </is>
      </c>
      <c r="H2549" s="390" t="inlineStr">
        <is>
          <t>Dễ</t>
        </is>
      </c>
      <c r="I2549" s="390" t="inlineStr">
        <is>
          <t>Ngày, CTCK</t>
        </is>
      </c>
      <c r="J2549" s="401" t="inlineStr">
        <is>
          <t>SCMS</t>
        </is>
      </c>
      <c r="K2549" s="401" t="inlineStr">
        <is>
          <t>X</t>
        </is>
      </c>
      <c r="L2549" s="401" t="inlineStr">
        <is>
          <t>X</t>
        </is>
      </c>
      <c r="M2549" s="401" t="n"/>
      <c r="N2549" s="401" t="inlineStr">
        <is>
          <t>Done</t>
        </is>
      </c>
      <c r="O2549" s="401" t="n"/>
      <c r="P2549" s="22" t="n"/>
      <c r="S2549" s="22" t="n"/>
      <c r="U2549" s="16" t="n"/>
      <c r="V2549" s="22" t="n"/>
      <c r="W2549" s="22" t="n"/>
      <c r="X2549" s="22" t="n"/>
      <c r="Y2549" s="13" t="n"/>
      <c r="Z2549" s="22" t="n"/>
      <c r="AA2549" s="22" t="n"/>
      <c r="AB2549" s="22" t="n"/>
      <c r="AC2549" s="22" t="n"/>
      <c r="AD2549" s="22" t="n"/>
      <c r="AE2549" s="22" t="n"/>
    </row>
    <row r="2550" ht="84" customHeight="1" s="380">
      <c r="A2550" s="126" t="n">
        <v>105</v>
      </c>
      <c r="B2550" s="390" t="n"/>
      <c r="C2550" s="390" t="inlineStr">
        <is>
          <t xml:space="preserve">Báo cáo theo Thông tư 121/2020/TT-BTC &gt;&gt; Báo cáo tỷ lệ An toàn tài chính &gt;&gt; Giá trị rủi ro thanh toán (Rủi ro quá thời hạn thanh toán) </t>
        </is>
      </c>
      <c r="D2550" s="390" t="inlineStr">
        <is>
          <t xml:space="preserve">Từ 0 đến 15 ngày sau thời hạn thanh toán, chuyển giao chứng khoán
</t>
        </is>
      </c>
      <c r="E2550" s="390" t="inlineStr">
        <is>
          <t xml:space="preserve">Từ 0 đến 15 ngày sau thời hạn thanh toán, chuyển giao chứng khoán
</t>
        </is>
      </c>
      <c r="F2550" s="390" t="inlineStr">
        <is>
          <t>Data Explorer</t>
        </is>
      </c>
      <c r="G2550" s="390" t="inlineStr">
        <is>
          <t>Chỉ tiêu cơ sở</t>
        </is>
      </c>
      <c r="H2550" s="390" t="inlineStr">
        <is>
          <t>TB</t>
        </is>
      </c>
      <c r="I2550" s="390" t="inlineStr">
        <is>
          <t>Ngày, CTCK</t>
        </is>
      </c>
      <c r="J2550" s="401" t="inlineStr">
        <is>
          <t>SCMS</t>
        </is>
      </c>
      <c r="K2550" s="401" t="n"/>
      <c r="L2550" s="401" t="inlineStr">
        <is>
          <t>X</t>
        </is>
      </c>
      <c r="M2550" s="401" t="n"/>
      <c r="N2550" s="401" t="inlineStr">
        <is>
          <t>Done</t>
        </is>
      </c>
      <c r="O2550" s="401" t="n"/>
      <c r="P2550" s="22" t="n"/>
      <c r="Q2550" s="431" t="inlineStr">
        <is>
          <t>SCMS.BC_THANH_VIEN
SCMS.BM_BAO_CAO
SCMS.BC_BAO_CAO_GT
SCMS.BM_BAO_CAO_HANG
SCMS.BM_BAO_CAO_COT</t>
        </is>
      </c>
      <c r="R2550" s="431" t="inlineStr">
        <is>
          <t>bsc.TEN_COT,
bsc.BM_SHEET_ID,
bsh.ID,
bsh.MA_HANG,
gt.GIA_TRI,
gt.BC_THANH_VIEN_ID,
gt.BM_SHEET_HANG_ID,
bm.ID,
bm.MA_BAO_CAO,
btv.ID,
btv.BM_BAO_CAO_ID,
btv.TRANG_THAI,
btv.NGAY_SO_LIEU</t>
        </is>
      </c>
      <c r="S2550" s="22" t="n"/>
      <c r="T2550" s="432" t="inlineStr">
        <is>
          <t>-- CHỈ TIÊU
SELECT	
	-- Hệ số rủi ro (%)
	MAX(CASE WHEN bsc.TEN_COT=N'Hệ số rủi ro (%)' AND bsh.MA_HANG = '1' THEN CAST(gt.GIA_TRI AS VARCHAR2(4000)) END) AS "Từ 0 đến 15 ngày sau thời hạn thanh toán, chuyển giao chứng khoán",
	MAX(CASE WHEN bsc.TEN_COT=N'Hệ số rủi ro (%)' AND bsh.MA_HANG = '2' THEN CAST(gt.GIA_TRI AS VARCHAR2(4000)) END) AS "Từ 16 đến 30 ngày sau thời hạn thanh toán, chuyển giao chứng khoán",
	MAX(CASE WHEN bsc.TEN_COT=N'Hệ số rủi ro (%)' AND bsh.MA_HANG = '3' THEN CAST(gt.GIA_TRI AS VARCHAR2(4000)) END) AS "Từ 31 đến 60 ngày sau thời hạn thanh toán, chuyển giao chứng khoán",
	MAX(CASE WHEN bsc.TEN_COT=N'Hệ số rủi ro (%)' AND bsh.MA_HANG = '4' THEN CAST(gt.GIA_TRI AS VARCHAR2(4000)) END) AS "Trên 60 ngày sau thời hạn thanh toán, chuyển giao chứng khoán",
	MAX(CASE WHEN bsc.TEN_COT=N'Hệ số rủi ro (%)' AND bsh.MA_HANG = '5' THEN CAST(gt.GIA_TRI AS VARCHAR2(4000)) END) AS "TỔNG RỦI RO QUÁ THỜI HẠN THANH TOÁN",
	-- Quy mô rủi ro
	MAX(CASE WHEN bsc.TEN_COT=N'Quy mô rủi ro' AND bsh.MA_HANG = '1' THEN CAST(gt.GIA_TRI AS VARCHAR2(4000)) END) AS "Từ 0 đến 15 ngày sau thời hạn thanh toán, chuyển giao chứng khoán",
	MAX(CASE WHEN bsc.TEN_COT=N'Quy mô rủi ro' AND bsh.MA_HANG = '2' THEN CAST(gt.GIA_TRI AS VARCHAR2(4000)) END) AS "Từ 16 đến 30 ngày sau thời hạn thanh toán, chuyển giao chứng khoán",
	MAX(CASE WHEN bsc.TEN_COT=N'Quy mô rủi ro' AND bsh.MA_HANG = '3' THEN CAST(gt.GIA_TRI AS VARCHAR2(4000)) END) AS "Từ 31 đến 60 ngày sau thời hạn thanh toán, chuyển giao chứng khoán",
	MAX(CASE WHEN bsc.TEN_COT=N'Quy mô rủi ro' AND bsh.MA_HANG = '4' THEN CAST(gt.GIA_TRI AS VARCHAR2(4000)) END) AS "Trên 60 ngày sau thời hạn thanh toán, chuyển giao chứng khoán",
	MAX(CASE WHEN bsc.TEN_COT=N'Quy mô rủi ro' AND bsh.MA_HANG = '5' THEN CAST(gt.GIA_TRI AS VARCHAR2(4000)) END) AS "TỔNG RỦI RO QUÁ THỜI HẠN THANH TOÁN",
	-- Giá trị rủi ro
	MAX(CASE WHEN bsc.TEN_COT=N'Giá trị rủi ro' AND bsh.MA_HANG = '1' THEN CAST(gt.GIA_TRI AS VARCHAR2(4000)) END) AS "Từ 0 đến 15 ngày sau thời hạn thanh toán, chuyển giao chứng khoán",
	MAX(CASE WHEN bsc.TEN_COT=N'Giá trị rủi ro' AND bsh.MA_HANG = '2' THEN CAST(gt.GIA_TRI AS VARCHAR2(4000)) END) AS "Từ 16 đến 30 ngày sau thời hạn thanh toán, chuyển giao chứng khoán",
	MAX(CASE WHEN bsc.TEN_COT=N'Giá trị rủi ro' AND bsh.MA_HANG = '3' THEN CAST(gt.GIA_TRI AS VARCHAR2(4000)) END) AS "Từ 31 đến 60 ngày sau thời hạn thanh toán, chuyển giao chứng khoán",
	MAX(CASE WHEN bsc.TEN_COT=N'Giá trị rủi ro' AND bsh.MA_HANG = '4' THEN CAST(gt.GIA_TRI AS VARCHAR2(4000)) END) AS "Trên 60 ngày sau thời hạn thanh toán, chuyển giao chứng khoán",
	MAX(CASE WHEN bsc.TEN_COT=N'Giá trị rủi ro' AND bsh.MA_HANG = '5' THEN CAST(gt.GIA_TRI AS VARCHAR2(4000)) END) AS "TỔNG RỦI RO QUÁ THỜI HẠN THANH TOÁN"
FROM SCMS.BC_THANH_VIEN btv
JOIN SCMS.BM_BAO_CAO bm ON bm.ID = btv.BM_BAO_CAO_ID
JOIN SCMS.BC_BAO_CAO_GT gt ON gt.BC_THANH_VIEN_ID = btv.ID
JOIN SCMS.BM_BAO_CAO_HANG bsh ON bsh.ID = gt.BM_SHEET_HANG_ID
JOIN SCMS.BM_BAO_CAO_COT bsc ON bsc.BM_SHEET_ID = 8379
--                               AND bsc.TEN_COT = gt.TEN_COT
WHERE bm.MA_BAO_CAO LIKE 'BCTLAT_TT102/2025'
  AND btv.TRANG_THAI IN (2, 3)
GROUP BY
    btv.ID, btv.CTCK_THONG_TIN_ID, btv.NGAY_SO_LIEU, btv.TRANG_THAI,
    bm.MA_BAO_CAO
ORDER BY btv.NGAY_SO_LIEU DESC;</t>
        </is>
      </c>
      <c r="U2550" s="16" t="n"/>
      <c r="V2550" s="22" t="n"/>
      <c r="W2550" s="22" t="n"/>
      <c r="X2550" s="22" t="n"/>
      <c r="Y2550" s="13" t="n"/>
      <c r="Z2550" s="22" t="n"/>
      <c r="AA2550" s="22" t="n"/>
      <c r="AB2550" s="22" t="n"/>
      <c r="AC2550" s="22" t="n"/>
      <c r="AD2550" s="22" t="n"/>
      <c r="AE2550" s="22" t="n"/>
    </row>
    <row r="2551" ht="84" customHeight="1" s="380">
      <c r="A2551" s="126" t="n">
        <v>105</v>
      </c>
      <c r="B2551" s="390" t="n"/>
      <c r="C2551" s="390" t="inlineStr">
        <is>
          <t xml:space="preserve">Báo cáo theo Thông tư 121/2020/TT-BTC &gt;&gt; Báo cáo tỷ lệ An toàn tài chính &gt;&gt; Giá trị rủi ro thanh toán (Rủi ro quá thời hạn thanh toán) </t>
        </is>
      </c>
      <c r="D2551" s="390" t="inlineStr">
        <is>
          <t xml:space="preserve">Từ 16 đến 30 ngày sau thời hạn thanh toán, chuyển giao chứng khoán
</t>
        </is>
      </c>
      <c r="E2551" s="390" t="inlineStr">
        <is>
          <t xml:space="preserve">Từ 16 đến 30 ngày sau thời hạn thanh toán, chuyển giao chứng khoán
</t>
        </is>
      </c>
      <c r="F2551" s="390" t="inlineStr">
        <is>
          <t>Data Explorer</t>
        </is>
      </c>
      <c r="G2551" s="390" t="inlineStr">
        <is>
          <t>Chỉ tiêu cơ sở</t>
        </is>
      </c>
      <c r="H2551" s="390" t="inlineStr">
        <is>
          <t>TB</t>
        </is>
      </c>
      <c r="I2551" s="390" t="inlineStr">
        <is>
          <t>Ngày, CTCK</t>
        </is>
      </c>
      <c r="J2551" s="401" t="inlineStr">
        <is>
          <t>SCMS</t>
        </is>
      </c>
      <c r="K2551" s="401" t="n"/>
      <c r="L2551" s="401" t="inlineStr">
        <is>
          <t>X</t>
        </is>
      </c>
      <c r="M2551" s="401" t="n"/>
      <c r="N2551" s="401" t="inlineStr">
        <is>
          <t>Done</t>
        </is>
      </c>
      <c r="O2551" s="401" t="n"/>
      <c r="P2551" s="22" t="n"/>
      <c r="S2551" s="22" t="n"/>
      <c r="U2551" s="16" t="n"/>
      <c r="V2551" s="22" t="n"/>
      <c r="W2551" s="22" t="n"/>
      <c r="X2551" s="22" t="n"/>
      <c r="Y2551" s="13" t="n"/>
      <c r="Z2551" s="22" t="n"/>
      <c r="AA2551" s="22" t="n"/>
      <c r="AB2551" s="22" t="n"/>
      <c r="AC2551" s="22" t="n"/>
      <c r="AD2551" s="22" t="n"/>
      <c r="AE2551" s="22" t="n"/>
    </row>
    <row r="2552" ht="84" customHeight="1" s="380">
      <c r="A2552" s="126" t="n">
        <v>105</v>
      </c>
      <c r="B2552" s="390" t="n"/>
      <c r="C2552" s="390" t="inlineStr">
        <is>
          <t xml:space="preserve">Báo cáo theo Thông tư 121/2020/TT-BTC &gt;&gt; Báo cáo tỷ lệ An toàn tài chính &gt;&gt; Giá trị rủi ro thanh toán (Rủi ro quá thời hạn thanh toán) </t>
        </is>
      </c>
      <c r="D2552" s="390" t="inlineStr">
        <is>
          <t xml:space="preserve">Từ 31 đến 60 ngày sau thời hạn thanh toán, chuyển giao chứng khoán
</t>
        </is>
      </c>
      <c r="E2552" s="390" t="inlineStr">
        <is>
          <t xml:space="preserve">Từ 31 đến 60 ngày sau thời hạn thanh toán, chuyển giao chứng khoán
</t>
        </is>
      </c>
      <c r="F2552" s="390" t="inlineStr">
        <is>
          <t>Data Explorer</t>
        </is>
      </c>
      <c r="G2552" s="390" t="inlineStr">
        <is>
          <t>Chỉ tiêu cơ sở</t>
        </is>
      </c>
      <c r="H2552" s="390" t="inlineStr">
        <is>
          <t>TB</t>
        </is>
      </c>
      <c r="I2552" s="390" t="inlineStr">
        <is>
          <t>Ngày, CTCK</t>
        </is>
      </c>
      <c r="J2552" s="401" t="inlineStr">
        <is>
          <t>SCMS</t>
        </is>
      </c>
      <c r="K2552" s="401" t="n"/>
      <c r="L2552" s="401" t="inlineStr">
        <is>
          <t>X</t>
        </is>
      </c>
      <c r="M2552" s="401" t="n"/>
      <c r="N2552" s="401" t="inlineStr">
        <is>
          <t>Done</t>
        </is>
      </c>
      <c r="O2552" s="401" t="n"/>
      <c r="P2552" s="22" t="n"/>
      <c r="S2552" s="22" t="n"/>
      <c r="U2552" s="16" t="n"/>
      <c r="V2552" s="22" t="n"/>
      <c r="W2552" s="22" t="n"/>
      <c r="X2552" s="22" t="n"/>
      <c r="Y2552" s="13" t="n"/>
      <c r="Z2552" s="22" t="n"/>
      <c r="AA2552" s="22" t="n"/>
      <c r="AB2552" s="22" t="n"/>
      <c r="AC2552" s="22" t="n"/>
      <c r="AD2552" s="22" t="n"/>
      <c r="AE2552" s="22" t="n"/>
    </row>
    <row r="2553" ht="84" customHeight="1" s="380">
      <c r="A2553" s="126" t="n">
        <v>105</v>
      </c>
      <c r="B2553" s="390" t="n"/>
      <c r="C2553" s="390" t="inlineStr">
        <is>
          <t xml:space="preserve">Báo cáo theo Thông tư 121/2020/TT-BTC &gt;&gt; Báo cáo tỷ lệ An toàn tài chính &gt;&gt; Giá trị rủi ro thanh toán (Rủi ro quá thời hạn thanh toán) </t>
        </is>
      </c>
      <c r="D2553" s="390" t="inlineStr">
        <is>
          <t>Trên 60 ngày sau thời hạn thanh toán,
chuyển giao chứng khoán</t>
        </is>
      </c>
      <c r="E2553" s="390" t="inlineStr">
        <is>
          <t>Trên 60 ngày sau thời hạn thanh toán,
chuyển giao chứng khoán</t>
        </is>
      </c>
      <c r="F2553" s="390" t="inlineStr">
        <is>
          <t>Data Explorer</t>
        </is>
      </c>
      <c r="G2553" s="390" t="inlineStr">
        <is>
          <t>Chỉ tiêu cơ sở</t>
        </is>
      </c>
      <c r="H2553" s="390" t="inlineStr">
        <is>
          <t>TB</t>
        </is>
      </c>
      <c r="I2553" s="390" t="inlineStr">
        <is>
          <t>Ngày, CTCK</t>
        </is>
      </c>
      <c r="J2553" s="401" t="inlineStr">
        <is>
          <t>SCMS</t>
        </is>
      </c>
      <c r="K2553" s="401" t="n"/>
      <c r="L2553" s="401" t="inlineStr">
        <is>
          <t>X</t>
        </is>
      </c>
      <c r="M2553" s="401" t="n"/>
      <c r="N2553" s="401" t="inlineStr">
        <is>
          <t>Done</t>
        </is>
      </c>
      <c r="O2553" s="401" t="n"/>
      <c r="P2553" s="22" t="n"/>
      <c r="S2553" s="22" t="n"/>
      <c r="U2553" s="16" t="n"/>
      <c r="V2553" s="22" t="n"/>
      <c r="W2553" s="22" t="n"/>
      <c r="X2553" s="22" t="n"/>
      <c r="Y2553" s="13" t="n"/>
      <c r="Z2553" s="22" t="n"/>
      <c r="AA2553" s="22" t="n"/>
      <c r="AB2553" s="22" t="n"/>
      <c r="AC2553" s="22" t="n"/>
      <c r="AD2553" s="22" t="n"/>
      <c r="AE2553" s="22" t="n"/>
    </row>
    <row r="2554" ht="84" customHeight="1" s="380">
      <c r="A2554" s="128" t="n">
        <v>105</v>
      </c>
      <c r="B2554" s="129" t="n"/>
      <c r="C2554" s="129" t="inlineStr">
        <is>
          <t xml:space="preserve">Báo cáo theo Thông tư 121/2020/TT-BTC &gt;&gt; Báo cáo tỷ lệ An toàn tài chính &gt;&gt; Giá trị rủi ro thanh toán (Rủi ro quá thời hạn thanh toán) </t>
        </is>
      </c>
      <c r="D2554" s="129" t="inlineStr">
        <is>
          <t>TỔNG RỦI RO QUÁ THỜI HẠN THANH TOÁN</t>
        </is>
      </c>
      <c r="E2554" s="129" t="inlineStr">
        <is>
          <t>TỔNG RỦI RO QUÁ THỜI HẠN THANH TOÁN</t>
        </is>
      </c>
      <c r="F2554" s="129" t="inlineStr">
        <is>
          <t>Data Explorer</t>
        </is>
      </c>
      <c r="G2554" s="129" t="inlineStr">
        <is>
          <t>Chỉ tiêu cơ sở</t>
        </is>
      </c>
      <c r="H2554" s="129" t="inlineStr">
        <is>
          <t>TB</t>
        </is>
      </c>
      <c r="I2554" s="129" t="inlineStr">
        <is>
          <t>Ngày, CTCK</t>
        </is>
      </c>
      <c r="J2554" s="85" t="inlineStr">
        <is>
          <t>SCMS</t>
        </is>
      </c>
      <c r="K2554" s="85" t="n"/>
      <c r="L2554" s="85" t="inlineStr">
        <is>
          <t>X</t>
        </is>
      </c>
      <c r="M2554" s="85" t="n"/>
      <c r="N2554" s="85" t="inlineStr">
        <is>
          <t>Done</t>
        </is>
      </c>
      <c r="O2554" s="85" t="n"/>
      <c r="P2554" s="130" t="n"/>
      <c r="Q2554" s="426" t="n"/>
      <c r="R2554" s="426" t="n"/>
      <c r="S2554" s="130" t="n"/>
      <c r="T2554" s="426" t="n"/>
      <c r="U2554" s="131" t="n"/>
      <c r="V2554" s="130" t="n"/>
      <c r="W2554" s="130" t="n"/>
      <c r="X2554" s="130" t="n"/>
      <c r="Y2554" s="97" t="n"/>
      <c r="Z2554" s="130" t="n"/>
      <c r="AA2554" s="130" t="n"/>
      <c r="AB2554" s="130" t="n"/>
      <c r="AC2554" s="130" t="n"/>
      <c r="AD2554" s="130" t="n"/>
      <c r="AE2554" s="130" t="n"/>
    </row>
    <row r="2555" ht="98" customHeight="1" s="380">
      <c r="A2555" s="126" t="n">
        <v>106</v>
      </c>
      <c r="B2555" s="122" t="inlineStr">
        <is>
          <t>Nga</t>
        </is>
      </c>
      <c r="C2555" s="127" t="inlineStr">
        <is>
          <t>Báo cáo theo Thông tư 121/2020/TT-BTC &gt;&gt; Báo cáo tỷ lệ An toàn tài chính &gt;&gt; Giá trị rủi ro thanh toán (Rủi ro từ các khoản tạm ứng, hợp đồng, giao dịch khác)</t>
        </is>
      </c>
      <c r="D2555" s="106" t="inlineStr">
        <is>
          <t>Loại báo cáo</t>
        </is>
      </c>
      <c r="E2555" s="107" t="inlineStr">
        <is>
          <t>Loại báo cáo</t>
        </is>
      </c>
      <c r="F2555" s="390" t="inlineStr">
        <is>
          <t>Data Explorer</t>
        </is>
      </c>
      <c r="G2555" s="390" t="inlineStr">
        <is>
          <t>Chiều</t>
        </is>
      </c>
      <c r="H2555" s="390" t="inlineStr">
        <is>
          <t>Dễ</t>
        </is>
      </c>
      <c r="I2555" s="390" t="inlineStr">
        <is>
          <t>Ngày, CTCK</t>
        </is>
      </c>
      <c r="J2555" s="401" t="inlineStr">
        <is>
          <t>SCMS</t>
        </is>
      </c>
      <c r="K2555" s="401" t="inlineStr">
        <is>
          <t>X</t>
        </is>
      </c>
      <c r="L2555" s="401" t="inlineStr">
        <is>
          <t>X</t>
        </is>
      </c>
      <c r="M2555" s="401" t="n"/>
      <c r="N2555" s="401" t="inlineStr">
        <is>
          <t>Done</t>
        </is>
      </c>
      <c r="O2555" s="401" t="n"/>
      <c r="P2555" s="22" t="n"/>
      <c r="Q2555" s="404" t="inlineStr">
        <is>
          <t>SCMS.BM_BAO_CAO
SCMS.BM_BAO_CAO_DINH_KY</t>
        </is>
      </c>
      <c r="R2555" s="404" t="inlineStr">
        <is>
          <t>bm.ID,
bm.MA_BAO_CAO,
bm.LOAI_BAO_CAO,
bm.TEN_BAO_CAO,
bm.SU_DUNG,
bdk.BM_BAO_CAO_ID,
bdk.KY_BAO_CAO,
bdk.SU_DUNG</t>
        </is>
      </c>
      <c r="S2555" s="22" t="n"/>
      <c r="T2555" s="390"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2555" s="16" t="n"/>
      <c r="V2555" s="22" t="n"/>
      <c r="W2555" s="22" t="n"/>
      <c r="X2555" s="22" t="n"/>
      <c r="Y2555" s="38" t="n"/>
      <c r="Z2555" s="22" t="n"/>
      <c r="AA2555" s="22" t="n"/>
      <c r="AB2555" s="22" t="n"/>
      <c r="AC2555" s="22" t="n"/>
      <c r="AD2555" s="22" t="n"/>
      <c r="AE2555" s="22" t="n"/>
    </row>
    <row r="2556" ht="98" customHeight="1" s="380">
      <c r="A2556" s="126" t="n">
        <v>106</v>
      </c>
      <c r="B2556" s="390" t="n"/>
      <c r="C2556" s="390" t="inlineStr">
        <is>
          <t>Báo cáo theo Thông tư 121/2020/TT-BTC &gt;&gt; Báo cáo tỷ lệ An toàn tài chính &gt;&gt; Giá trị rủi ro thanh toán (Rủi ro từ các khoản tạm ứng, hợp đồng, giao dịch khác)</t>
        </is>
      </c>
      <c r="D2556" s="106" t="inlineStr">
        <is>
          <t>Kỳ báo cáo</t>
        </is>
      </c>
      <c r="E2556" s="107" t="inlineStr">
        <is>
          <t>Kỳ báo cáo</t>
        </is>
      </c>
      <c r="F2556" s="390" t="inlineStr">
        <is>
          <t>Data Explorer</t>
        </is>
      </c>
      <c r="G2556" s="390" t="inlineStr">
        <is>
          <t>Chiều</t>
        </is>
      </c>
      <c r="H2556" s="390" t="inlineStr">
        <is>
          <t>Dễ</t>
        </is>
      </c>
      <c r="I2556" s="390" t="inlineStr">
        <is>
          <t>Ngày, CTCK</t>
        </is>
      </c>
      <c r="J2556" s="401" t="inlineStr">
        <is>
          <t>SCMS</t>
        </is>
      </c>
      <c r="K2556" s="401" t="inlineStr">
        <is>
          <t>X</t>
        </is>
      </c>
      <c r="L2556" s="401" t="inlineStr">
        <is>
          <t>X</t>
        </is>
      </c>
      <c r="M2556" s="401" t="n"/>
      <c r="N2556" s="401" t="inlineStr">
        <is>
          <t>Done</t>
        </is>
      </c>
      <c r="O2556" s="401" t="n"/>
      <c r="P2556" s="22" t="n"/>
      <c r="S2556" s="22" t="n"/>
      <c r="U2556" s="16" t="n"/>
      <c r="V2556" s="22" t="n"/>
      <c r="W2556" s="22" t="n"/>
      <c r="X2556" s="22" t="n"/>
      <c r="Y2556" s="13" t="n"/>
      <c r="Z2556" s="22" t="n"/>
      <c r="AA2556" s="22" t="n"/>
      <c r="AB2556" s="22" t="n"/>
      <c r="AC2556" s="22" t="n"/>
      <c r="AD2556" s="22" t="n"/>
      <c r="AE2556" s="22" t="n"/>
    </row>
    <row r="2557" ht="98" customHeight="1" s="380">
      <c r="A2557" s="126" t="n">
        <v>106</v>
      </c>
      <c r="B2557" s="390" t="n"/>
      <c r="C2557" s="390" t="inlineStr">
        <is>
          <t>Báo cáo theo Thông tư 121/2020/TT-BTC &gt;&gt; Báo cáo tỷ lệ An toàn tài chính &gt;&gt; Giá trị rủi ro thanh toán (Rủi ro từ các khoản tạm ứng, hợp đồng, giao dịch khác)</t>
        </is>
      </c>
      <c r="D2557" s="106" t="inlineStr">
        <is>
          <t>Mã báo cáo</t>
        </is>
      </c>
      <c r="E2557" s="107" t="inlineStr">
        <is>
          <t>Mã báo cáo</t>
        </is>
      </c>
      <c r="F2557" s="390" t="inlineStr">
        <is>
          <t>Data Explorer</t>
        </is>
      </c>
      <c r="G2557" s="390" t="inlineStr">
        <is>
          <t>Chiều</t>
        </is>
      </c>
      <c r="H2557" s="390" t="inlineStr">
        <is>
          <t>Dễ</t>
        </is>
      </c>
      <c r="I2557" s="390" t="inlineStr">
        <is>
          <t>Ngày, CTCK</t>
        </is>
      </c>
      <c r="J2557" s="401" t="inlineStr">
        <is>
          <t>SCMS</t>
        </is>
      </c>
      <c r="K2557" s="401" t="inlineStr">
        <is>
          <t>X</t>
        </is>
      </c>
      <c r="L2557" s="401" t="inlineStr">
        <is>
          <t>X</t>
        </is>
      </c>
      <c r="M2557" s="401" t="n"/>
      <c r="N2557" s="401" t="inlineStr">
        <is>
          <t>Done</t>
        </is>
      </c>
      <c r="O2557" s="401" t="n"/>
      <c r="P2557" s="22" t="n"/>
      <c r="S2557" s="22" t="n"/>
      <c r="U2557" s="16" t="n"/>
      <c r="V2557" s="22" t="n"/>
      <c r="W2557" s="22" t="n"/>
      <c r="X2557" s="22" t="n"/>
      <c r="Y2557" s="13" t="n"/>
      <c r="Z2557" s="22" t="n"/>
      <c r="AA2557" s="22" t="n"/>
      <c r="AB2557" s="22" t="n"/>
      <c r="AC2557" s="22" t="n"/>
      <c r="AD2557" s="22" t="n"/>
      <c r="AE2557" s="22" t="n"/>
    </row>
    <row r="2558" ht="98" customHeight="1" s="380">
      <c r="A2558" s="126" t="n">
        <v>106</v>
      </c>
      <c r="B2558" s="390" t="n"/>
      <c r="C2558" s="390" t="inlineStr">
        <is>
          <t>Báo cáo theo Thông tư 121/2020/TT-BTC &gt;&gt; Báo cáo tỷ lệ An toàn tài chính &gt;&gt; Giá trị rủi ro thanh toán (Rủi ro từ các khoản tạm ứng, hợp đồng, giao dịch khác)</t>
        </is>
      </c>
      <c r="D2558" s="106" t="inlineStr">
        <is>
          <t>Tên báo cáo</t>
        </is>
      </c>
      <c r="E2558" s="107" t="inlineStr">
        <is>
          <t>Tên báo cáo</t>
        </is>
      </c>
      <c r="F2558" s="390" t="inlineStr">
        <is>
          <t>Data Explorer</t>
        </is>
      </c>
      <c r="G2558" s="390" t="inlineStr">
        <is>
          <t>Chiều</t>
        </is>
      </c>
      <c r="H2558" s="390" t="inlineStr">
        <is>
          <t>Dễ</t>
        </is>
      </c>
      <c r="I2558" s="390" t="inlineStr">
        <is>
          <t>Ngày, CTCK</t>
        </is>
      </c>
      <c r="J2558" s="401" t="inlineStr">
        <is>
          <t>SCMS</t>
        </is>
      </c>
      <c r="K2558" s="401" t="inlineStr">
        <is>
          <t>X</t>
        </is>
      </c>
      <c r="L2558" s="401" t="inlineStr">
        <is>
          <t>X</t>
        </is>
      </c>
      <c r="M2558" s="401" t="n"/>
      <c r="N2558" s="401" t="inlineStr">
        <is>
          <t>Done</t>
        </is>
      </c>
      <c r="O2558" s="401" t="n"/>
      <c r="P2558" s="22" t="n"/>
      <c r="S2558" s="22" t="n"/>
      <c r="U2558" s="16" t="n"/>
      <c r="V2558" s="22" t="n"/>
      <c r="W2558" s="22" t="n"/>
      <c r="X2558" s="22" t="n"/>
      <c r="Y2558" s="13" t="n"/>
      <c r="Z2558" s="22" t="n"/>
      <c r="AA2558" s="22" t="n"/>
      <c r="AB2558" s="22" t="n"/>
      <c r="AC2558" s="22" t="n"/>
      <c r="AD2558" s="22" t="n"/>
      <c r="AE2558" s="22" t="n"/>
    </row>
    <row r="2559" ht="98" customHeight="1" s="380">
      <c r="A2559" s="126" t="n">
        <v>106</v>
      </c>
      <c r="B2559" s="390" t="n"/>
      <c r="C2559" s="390" t="inlineStr">
        <is>
          <t>Báo cáo theo Thông tư 121/2020/TT-BTC &gt;&gt; Báo cáo tỷ lệ An toàn tài chính &gt;&gt; Giá trị rủi ro thanh toán (Rủi ro từ các khoản tạm ứng, hợp đồng, giao dịch khác)</t>
        </is>
      </c>
      <c r="D2559" s="106" t="inlineStr">
        <is>
          <t>Mã sheet</t>
        </is>
      </c>
      <c r="E2559" s="106" t="inlineStr">
        <is>
          <t>Mã sheet</t>
        </is>
      </c>
      <c r="F2559" s="390" t="inlineStr">
        <is>
          <t>Data Explorer</t>
        </is>
      </c>
      <c r="G2559" s="390" t="inlineStr">
        <is>
          <t>Chiều</t>
        </is>
      </c>
      <c r="H2559" s="390" t="inlineStr">
        <is>
          <t>Dễ</t>
        </is>
      </c>
      <c r="I2559" s="390" t="inlineStr">
        <is>
          <t>Ngày, CTCK</t>
        </is>
      </c>
      <c r="J2559" s="401" t="inlineStr">
        <is>
          <t>SCMS</t>
        </is>
      </c>
      <c r="K2559" s="401" t="inlineStr">
        <is>
          <t>X</t>
        </is>
      </c>
      <c r="L2559" s="401" t="inlineStr">
        <is>
          <t>X</t>
        </is>
      </c>
      <c r="M2559" s="401" t="n"/>
      <c r="N2559" s="401" t="inlineStr">
        <is>
          <t>Done</t>
        </is>
      </c>
      <c r="O2559" s="401" t="n"/>
      <c r="P2559" s="22" t="n"/>
      <c r="Q2559" s="401" t="inlineStr">
        <is>
          <t>SCMS.BM_BAO_CAO
SCMS.BM_SHEET</t>
        </is>
      </c>
      <c r="R2559" s="401" t="inlineStr">
        <is>
          <t>bm.ID,
bm.MA_BAO_CAO,
bm.SU_DUNG,
s.BM_BAO_CAO_ID,
s.MA_SHEET,
s.TEN_SHEET,
s.SAP_XEP</t>
        </is>
      </c>
      <c r="S2559" s="22" t="n"/>
      <c r="T2559" s="389" t="inlineStr">
        <is>
          <t>-- Mã sheet / Tên sheet
-- TEN_SHEET: 06H09
SELECT bm.MA_BAO_CAO,
s.MA_SHEET,
s.TEN_SHEET
FROM SCMS.BM_BAO_CAO bm
JOIN SCMS.BM_SHEET s ON s.BM_BAO_CAO_ID = bm.ID
WHERE bm.MA_BAO_CAO LIKE 'BCTLAT_TT102/2025'
AND s.MA_SHEET = '06H09'  -- Check lại
AND bm.SU_DUNG = 1
ORDER BY bm.MA_BAO_CAO, s.SAP_XEP;</t>
        </is>
      </c>
      <c r="U2559" s="16" t="n"/>
      <c r="V2559" s="22" t="n"/>
      <c r="W2559" s="22" t="n"/>
      <c r="X2559" s="22" t="n"/>
      <c r="Y2559" s="13" t="n"/>
      <c r="Z2559" s="22" t="n"/>
      <c r="AA2559" s="22" t="n"/>
      <c r="AB2559" s="22" t="n"/>
      <c r="AC2559" s="22" t="n"/>
      <c r="AD2559" s="22" t="n"/>
      <c r="AE2559" s="22" t="n"/>
    </row>
    <row r="2560" ht="98" customHeight="1" s="380">
      <c r="A2560" s="126" t="n">
        <v>106</v>
      </c>
      <c r="B2560" s="390" t="n"/>
      <c r="C2560" s="390" t="inlineStr">
        <is>
          <t>Báo cáo theo Thông tư 121/2020/TT-BTC &gt;&gt; Báo cáo tỷ lệ An toàn tài chính &gt;&gt; Giá trị rủi ro thanh toán (Rủi ro từ các khoản tạm ứng, hợp đồng, giao dịch khác)</t>
        </is>
      </c>
      <c r="D2560" s="106" t="inlineStr">
        <is>
          <t>Tên sheet</t>
        </is>
      </c>
      <c r="E2560" s="106" t="inlineStr">
        <is>
          <t>Tên sheet</t>
        </is>
      </c>
      <c r="F2560" s="390" t="inlineStr">
        <is>
          <t>Data Explorer</t>
        </is>
      </c>
      <c r="G2560" s="390" t="inlineStr">
        <is>
          <t>Chiều</t>
        </is>
      </c>
      <c r="H2560" s="390" t="inlineStr">
        <is>
          <t>Dễ</t>
        </is>
      </c>
      <c r="I2560" s="390" t="inlineStr">
        <is>
          <t>Ngày, CTCK</t>
        </is>
      </c>
      <c r="J2560" s="401" t="inlineStr">
        <is>
          <t>SCMS</t>
        </is>
      </c>
      <c r="K2560" s="401" t="inlineStr">
        <is>
          <t>X</t>
        </is>
      </c>
      <c r="L2560" s="401" t="inlineStr">
        <is>
          <t>X</t>
        </is>
      </c>
      <c r="M2560" s="401" t="n"/>
      <c r="N2560" s="401" t="inlineStr">
        <is>
          <t>Done</t>
        </is>
      </c>
      <c r="O2560" s="401" t="n"/>
      <c r="P2560" s="22" t="n"/>
      <c r="S2560" s="22" t="n"/>
      <c r="U2560" s="16" t="n"/>
      <c r="V2560" s="22" t="n"/>
      <c r="W2560" s="22" t="n"/>
      <c r="X2560" s="22" t="n"/>
      <c r="Y2560" s="13" t="n"/>
      <c r="Z2560" s="22" t="n"/>
      <c r="AA2560" s="22" t="n"/>
      <c r="AB2560" s="22" t="n"/>
      <c r="AC2560" s="22" t="n"/>
      <c r="AD2560" s="22" t="n"/>
      <c r="AE2560" s="22" t="n"/>
    </row>
    <row r="2561" ht="98" customHeight="1" s="380">
      <c r="A2561" s="126" t="n">
        <v>106</v>
      </c>
      <c r="B2561" s="390" t="n"/>
      <c r="C2561" s="390" t="inlineStr">
        <is>
          <t>Báo cáo theo Thông tư 121/2020/TT-BTC &gt;&gt; Báo cáo tỷ lệ An toàn tài chính &gt;&gt; Giá trị rủi ro thanh toán (Rủi ro từ các khoản tạm ứng, hợp đồng, giao dịch khác)</t>
        </is>
      </c>
      <c r="D2561" s="106" t="inlineStr">
        <is>
          <t>Mã chỉ tiêu</t>
        </is>
      </c>
      <c r="E2561" s="107" t="inlineStr">
        <is>
          <t>Mã chỉ tiêu</t>
        </is>
      </c>
      <c r="F2561" s="390" t="inlineStr">
        <is>
          <t>Data Explorer</t>
        </is>
      </c>
      <c r="G2561" s="390" t="inlineStr">
        <is>
          <t>Chiều</t>
        </is>
      </c>
      <c r="H2561" s="390" t="inlineStr">
        <is>
          <t>Dễ</t>
        </is>
      </c>
      <c r="I2561" s="390" t="inlineStr">
        <is>
          <t>Ngày, CTCK</t>
        </is>
      </c>
      <c r="J2561" s="401" t="inlineStr">
        <is>
          <t>SCMS</t>
        </is>
      </c>
      <c r="K2561" s="401" t="inlineStr">
        <is>
          <t>X</t>
        </is>
      </c>
      <c r="L2561" s="401" t="inlineStr">
        <is>
          <t>X</t>
        </is>
      </c>
      <c r="M2561" s="401" t="n"/>
      <c r="N2561" s="401" t="inlineStr">
        <is>
          <t>Done</t>
        </is>
      </c>
      <c r="O2561" s="401" t="n"/>
      <c r="P2561" s="22" t="n"/>
      <c r="Q2561" s="401" t="inlineStr">
        <is>
          <t>SCMS.BM_BAO_CAO
SCMS.BM_SHEET
SCMS.BM_BAO_CAO_CT
SCMS.DM_CHI_TIEU</t>
        </is>
      </c>
      <c r="R2561" s="401" t="inlineStr">
        <is>
          <t>dct.ID,
dct.MA_CHI_TIEU,
dct.TEN_CHI_TIEU,
dct.SU_DUNG,
s.BM_BAO_CAO_ID,
s.MA_SHEET,
ct.BM_BAO_CAO_ID,
ct.DM_CHI_TIEU_ID,
ct.SU_DUNG,
bm.ID,
bm.MA_BAO_CAO,
bm.SU_DUNG</t>
        </is>
      </c>
      <c r="S2561" s="22" t="n"/>
      <c r="T2561" s="389" t="inlineStr">
        <is>
          <t>-- Mã chỉ tiêu / Tên chỉ tiêu
SELECT DISTINCT
    dct.MA_CHI_TIEU  AS ma_chi_tieu,
    dct.TEN_CHI_TIEU AS ten_chi_tieu
FROM SCMS.BM_BAO_CAO bm
JOIN SCMS.BM_SHEET s ON s.BM_BAO_CAO_ID = bm.ID
	AND s.MA_SHEET = '06H09'
JOIN SCMS.BM_BAO_CAO_CT ct ON ct.BM_SHEET_ID = s.ID
	AND ct.SU_DUNG = 1
JOIN SCMS.DM_CHI_TIEU dct ON dct.ID = ct.DM_CHI_TIEU_ID
	AND dct.SU_DUNG = 1
WHERE bm.MA_BAO_CAO LIKE 'BCTLAT_TT102/2025'
	AND bm.SU_DUNG = 1
ORDER BY dct.MA_CHI_TIEU;</t>
        </is>
      </c>
      <c r="U2561" s="16" t="n"/>
      <c r="V2561" s="22" t="n"/>
      <c r="W2561" s="22" t="n"/>
      <c r="X2561" s="22" t="n"/>
      <c r="Y2561" s="13" t="n"/>
      <c r="Z2561" s="22" t="n"/>
      <c r="AA2561" s="22" t="n"/>
      <c r="AB2561" s="22" t="n"/>
      <c r="AC2561" s="22" t="n"/>
      <c r="AD2561" s="22" t="n"/>
      <c r="AE2561" s="22" t="n"/>
    </row>
    <row r="2562" ht="98" customHeight="1" s="380">
      <c r="A2562" s="126" t="n">
        <v>106</v>
      </c>
      <c r="B2562" s="390" t="n"/>
      <c r="C2562" s="390" t="inlineStr">
        <is>
          <t>Báo cáo theo Thông tư 121/2020/TT-BTC &gt;&gt; Báo cáo tỷ lệ An toàn tài chính &gt;&gt; Giá trị rủi ro thanh toán (Rủi ro từ các khoản tạm ứng, hợp đồng, giao dịch khác)</t>
        </is>
      </c>
      <c r="D2562" s="106" t="inlineStr">
        <is>
          <t>Tên chỉ tiêu</t>
        </is>
      </c>
      <c r="E2562" s="107" t="inlineStr">
        <is>
          <t>Tên chỉ tiêu</t>
        </is>
      </c>
      <c r="F2562" s="390" t="inlineStr">
        <is>
          <t>Data Explorer</t>
        </is>
      </c>
      <c r="G2562" s="390" t="inlineStr">
        <is>
          <t>Chiều</t>
        </is>
      </c>
      <c r="H2562" s="390" t="inlineStr">
        <is>
          <t>Dễ</t>
        </is>
      </c>
      <c r="I2562" s="390" t="inlineStr">
        <is>
          <t>Ngày, CTCK</t>
        </is>
      </c>
      <c r="J2562" s="401" t="inlineStr">
        <is>
          <t>SCMS</t>
        </is>
      </c>
      <c r="K2562" s="401" t="inlineStr">
        <is>
          <t>X</t>
        </is>
      </c>
      <c r="L2562" s="401" t="inlineStr">
        <is>
          <t>X</t>
        </is>
      </c>
      <c r="M2562" s="401" t="n"/>
      <c r="N2562" s="401" t="inlineStr">
        <is>
          <t>Done</t>
        </is>
      </c>
      <c r="O2562" s="401" t="n"/>
      <c r="P2562" s="22" t="n"/>
      <c r="S2562" s="22" t="n"/>
      <c r="U2562" s="16" t="n"/>
      <c r="V2562" s="22" t="n"/>
      <c r="W2562" s="22" t="n"/>
      <c r="X2562" s="22" t="n"/>
      <c r="Y2562" s="13" t="n"/>
      <c r="Z2562" s="22" t="n"/>
      <c r="AA2562" s="22" t="n"/>
      <c r="AB2562" s="22" t="n"/>
      <c r="AC2562" s="22" t="n"/>
      <c r="AD2562" s="22" t="n"/>
      <c r="AE2562" s="22" t="n"/>
    </row>
    <row r="2563" ht="224" customHeight="1" s="380">
      <c r="A2563" s="126" t="n">
        <v>106</v>
      </c>
      <c r="B2563" s="390" t="n"/>
      <c r="C2563" s="390" t="inlineStr">
        <is>
          <t>Báo cáo theo Thông tư 121/2020/TT-BTC &gt;&gt; Báo cáo tỷ lệ An toàn tài chính &gt;&gt; Giá trị rủi ro thanh toán (Rủi ro từ các khoản tạm ứng, hợp đồng, giao dịch khác)</t>
        </is>
      </c>
      <c r="D2563" s="390" t="inlineStr">
        <is>
          <t>Các hợp đồng, giao dịch, các khoản sử dụng vốn ngoài các giao dịch, hợp đồng được ghi nhận ở các điểm a, b, c, d, đ, e, g khoản 1 Điều 10</t>
        </is>
      </c>
      <c r="E2563" s="390" t="inlineStr">
        <is>
          <t>Các hợp đồng, giao dịch, các khoản sử dụng vốn ngoài các giao dịch, hợp đồng được ghi nhận ở các điểm a, b, c, d, đ, e, g khoản 1 Điều 10; các hợp đồng cam kết mua lại, bán lại chứng khoán hoặc các hợp đồng có tính chất tương tự trừ các hợp đồng quy định tại điểm c, d khoản 1 Điều 10; các khoản phải thu từ mua bán nợ với đối tác giao dịch không phải Công ty Quản lý tài sản của các tổ chức tín dụng Việt Nam (VAMC), Công ty trách nhiệm hữu hạn mua bán nợ Việt Nam (DATC)</t>
        </is>
      </c>
      <c r="F2563" s="390" t="inlineStr">
        <is>
          <t>Data Explorer</t>
        </is>
      </c>
      <c r="G2563" s="390" t="inlineStr">
        <is>
          <t>Chỉ tiêu cơ sở</t>
        </is>
      </c>
      <c r="H2563" s="390" t="inlineStr">
        <is>
          <t>TB</t>
        </is>
      </c>
      <c r="I2563" s="390" t="inlineStr">
        <is>
          <t>Ngày, CTCK</t>
        </is>
      </c>
      <c r="J2563" s="401" t="inlineStr">
        <is>
          <t>SCMS</t>
        </is>
      </c>
      <c r="K2563" s="401" t="n"/>
      <c r="L2563" s="401" t="inlineStr">
        <is>
          <t>X</t>
        </is>
      </c>
      <c r="M2563" s="401" t="n"/>
      <c r="N2563" s="401" t="inlineStr">
        <is>
          <t>Done</t>
        </is>
      </c>
      <c r="O2563" s="401" t="n"/>
      <c r="P2563" s="22" t="n"/>
      <c r="Q2563" s="431" t="inlineStr">
        <is>
          <t>SCMS.BC_THANH_VIEN
SCMS.BM_BAO_CAO
SCMS.BC_BAO_CAO_GT
SCMS.BM_BAO_CAO_HANG
SCMS.BM_BAO_CAO_COT</t>
        </is>
      </c>
      <c r="R2563" s="431" t="inlineStr">
        <is>
          <t>bsc.TEN_COT,
bsc.BM_SHEET_ID,
bsh.ID,
bsh.MA_HANG,
gt.GIA_TRI,
gt.BC_THANH_VIEN_ID,
gt.BM_SHEET_HANG_ID,
bm.ID,
bm.MA_BAO_CAO,
btv.ID,
btv.BM_BAO_CAO_ID,
btv.TRANG_THAI,
btv.NGAY_SO_LIEU</t>
        </is>
      </c>
      <c r="S2563" s="22" t="n"/>
      <c r="T2563" s="432" t="inlineStr">
        <is>
          <t>-- CHỈ TIÊU
SELECT	
	-- Hệ số rủi ro (%)
	MAX(CASE WHEN bsc.TEN_COT=N'Hệ số rủi ro (%)' AND bsh.MA_HANG = '1' THEN CAST(gt.GIA_TRI AS VARCHAR2(4000)) END) AS "Các hợp đồng, giao dịch, các khoản sử dụng vốn ngoài các giao dịch, hợp đồng được ghi nhận ở các điểm a, b, c, d, đ, e, g khoản 1 Điều 10",
	MAX(CASE WHEN bsc.TEN_COT=N'Hệ số rủi ro (%)' AND bsh.MA_HANG = '2' THEN CAST(gt.GIA_TRI AS VARCHAR2(4000)) END) AS "Hợp đồng, thỏa thuận đặt cọc mua bất động sản, các thỏa thuận kinh tế có cùng bản chất",
	MAX(CASE WHEN bsc.TEN_COT=N'Hệ số rủi ro (%)' AND bsh.MA_HANG = '3' THEN CAST(gt.GIA_TRI AS VARCHAR2(4000)) END) AS "Các khoản cho vay, phải thu khách hàng khác không thuộc điểm đ, g khoản 1 Điều 10",
	MAX(CASE WHEN bsc.TEN_COT=N'Hệ số rủi ro (%)' AND bsh.MA_HANG = '4' THEN CAST(gt.GIA_TRI AS VARCHAR2(4000)) END) AS "Các hợp đồng, giao dịch khác",
	MAX(CASE WHEN bsc.TEN_COT=N'Hệ số rủi ro (%)' AND bsh.MA_HANG = '5' THEN CAST(gt.GIA_TRI AS VARCHAR2(4000)) END) AS "Khoản tạm ứng",
	MAX(CASE WHEN bsc.TEN_COT=N'Hệ số rủi ro (%)' AND bsh.MA_HANG = '6' THEN CAST(gt.GIA_TRI AS VARCHAR2(4000)) END) AS "Chiếm từ 0% đến 2% vốn chủ sở hữu tại thời điểm tính toán",
	MAX(CASE WHEN bsc.TEN_COT=N'Hệ số rủi ro (%)' AND bsh.MA_HANG = '7' THEN CAST(gt.GIA_TRI AS VARCHAR2(4000)) END) AS "Chiếm trên 2% đến dưới 5% vốn chủ sở hữu tại thời điểm tính toán",
	MAX(CASE WHEN bsc.TEN_COT=N'Hệ số rủi ro (%)' AND bsh.MA_HANG = '8' THEN CAST(gt.GIA_TRI AS VARCHAR2(4000)) END) AS "Chiếm từ 5% trở lên vốn chủ sở hữu tại thời điểm tính toán",
	MAX(CASE WHEN bsc.TEN_COT=N'Hệ số rủi ro (%)' AND bsh.MA_HANG = '10' THEN CAST(gt.GIA_TRI AS VARCHAR2(4000)) END) AS "TỔNG RỦI RO HỢP ĐỒNG, GIAO DỊCH KHÁC",
	-- Quy mô rủi ro
	MAX(CASE WHEN bsc.TEN_COT=N'Quy mô rủi ro' AND bsh.MA_HANG = '1' THEN CAST(gt.GIA_TRI AS VARCHAR2(4000)) END) AS "Các hợp đồng, giao dịch, các khoản sử dụng vốn ngoài các giao dịch, hợp đồng được ghi nhận ở các điểm a, b, c, d, đ, e, g khoản 1 Điều 10",
	MAX(CASE WHEN bsc.TEN_COT=N'Quy mô rủi ro' AND bsh.MA_HANG = '2' THEN CAST(gt.GIA_TRI AS VARCHAR2(4000)) END) AS "Hợp đồng, thỏa thuận đặt cọc mua bất động sản, các thỏa thuận kinh tế có cùng bản chất",
	MAX(CASE WHEN bsc.TEN_COT=N'Quy mô rủi ro' AND bsh.MA_HANG = '3' THEN CAST(gt.GIA_TRI AS VARCHAR2(4000)) END) AS "Các khoản cho vay, phải thu khách hàng khác không thuộc điểm đ, g khoản 1 Điều 10",
	MAX(CASE WHEN bsc.TEN_COT=N'Quy mô rủi ro' AND bsh.MA_HANG = '4' THEN CAST(gt.GIA_TRI AS VARCHAR2(4000)) END) AS "Các hợp đồng, giao dịch khác",
	MAX(CASE WHEN bsc.TEN_COT=N'Quy mô rủi ro' AND bsh.MA_HANG = '5' THEN CAST(gt.GIA_TRI AS VARCHAR2(4000)) END) AS "Khoản tạm ứng",
	MAX(CASE WHEN bsc.TEN_COT=N'Quy mô rủi ro' AND bsh.MA_HANG = '6' THEN CAST(gt.GIA_TRI AS VARCHAR2(4000)) END) AS "Chiếm từ 0% đến 2% vốn chủ sở hữu tại thời điểm tính toán",
	MAX(CASE WHEN bsc.TEN_COT=N'Quy mô rủi ro' AND bsh.MA_HANG = '7' THEN CAST(gt.GIA_TRI AS VARCHAR2(4000)) END) AS "Chiếm trên 2% đến dưới 5% vốn chủ sở hữu tại thời điểm tính toán",
	MAX(CASE WHEN bsc.TEN_COT=N'Quy mô rủi ro' AND bsh.MA_HANG = '8' THEN CAST(gt.GIA_TRI AS VARCHAR2(4000)) END) AS "Chiếm từ 5% trở lên vốn chủ sở hữu tại thời điểm tính toán",
	MAX(CASE WHEN bsc.TEN_COT=N'Quy mô rủi ro' AND bsh.MA_HANG = '10' THEN CAST(gt.GIA_TRI AS VARCHAR2(4000)) END) AS "TỔNG RỦI RO HỢP ĐỒNG, GIAO DỊCH KHÁC",
	-- Giá trị rủi ro
	MAX(CASE WHEN bsc.TEN_COT=N'Giá trị rủi ro' AND bsh.MA_HANG = '1' THEN CAST(gt.GIA_TRI AS VARCHAR2(4000)) END) AS "Các hợp đồng, giao dịch, các khoản sử dụng vốn ngoài các giao dịch, hợp đồng được ghi nhận ở các điểm a, b, c, d, đ, e, g khoản 1 Điều 10",
	MAX(CASE WHEN bsc.TEN_COT=N'Giá trị rủi ro' AND bsh.MA_HANG = '2' THEN CAST(gt.GIA_TRI AS VARCHAR2(4000)) END) AS "Hợp đồng, thỏa thuận đặt cọc mua bất động sản, các thỏa thuận kinh tế có cùng bản chất",
	MAX(CASE WHEN bsc.TEN_COT=N'Giá trị rủi ro' AND bsh.MA_HANG = '3' THEN CAST(gt.GIA_TRI AS VARCHAR2(4000)) END) AS "Các khoản cho vay, phải thu khách hàng khác không thuộc điểm đ, g khoản 1 Điều 10",
	MAX(CASE WHEN bsc.TEN_COT=N'Giá trị rủi ro' AND bsh.MA_HANG = '4' THEN CAST(gt.GIA_TRI AS VARCHAR2(4000)) END) AS "Các hợp đồng, giao dịch khác",
	MAX(CASE WHEN bsc.TEN_COT=N'Giá trị rủi ro' AND bsh.MA_HANG = '5' THEN CAST(gt.GIA_TRI AS VARCHAR2(4000)) END) AS "Khoản tạm ứng",
	MAX(CASE WHEN bsc.TEN_COT=N'Giá trị rủi ro' AND bsh.MA_HANG = '6' THEN CAST(gt.GIA_TRI AS VARCHAR2(4000)) END) AS "Chiếm từ 0% đến 2% vốn chủ sở hữu tại thời điểm tính toán",
	MAX(CASE WHEN bsc.TEN_COT=N'Giá trị rủi ro' AND bsh.MA_HANG = '7' THEN CAST(gt.GIA_TRI AS VARCHAR2(4000)) END) AS "Chiếm trên 2% đến dưới 5% vốn chủ sở hữu tại thời điểm tính toán",
	MAX(CASE WHEN bsc.TEN_COT=N'Giá trị rủi ro' AND bsh.MA_HANG = '8' THEN CAST(gt.GIA_TRI AS VARCHAR2(4000)) END) AS "Chiếm từ 5% trở lên vốn chủ sở hữu tại thời điểm tính toán",
	MAX(CASE WHEN bsc.TEN_COT=N'Giá trị rủi ro' AND bsh.MA_HANG = '10' THEN CAST(gt.GIA_TRI AS VARCHAR2(4000)) END) AS "TỔNG RỦI RO HỢP ĐỒNG, GIAO DỊCH KHÁC"
FROM SCMS.BC_THANH_VIEN btv
JOIN SCMS.BM_BAO_CAO bm ON bm.ID = btv.BM_BAO_CAO_ID
JOIN SCMS.BC_BAO_CAO_GT gt ON gt.BC_THANH_VIEN_ID = btv.ID
JOIN SCMS.BM_BAO_CAO_HANG bsh ON bsh.ID = gt.BM_SHEET_HANG_ID
JOIN SCMS.BM_BAO_CAO_COT bsc ON bsc.BM_SHEET_ID = 8371
--                               AND bsc.TEN_COT = gt.TEN_COT
WHERE bm.MA_BAO_CAO LIKE 'BCTLAT_TT102/2025'
  AND btv.TRANG_THAI IN (2, 3)
GROUP BY
    btv.ID, btv.CTCK_THONG_TIN_ID, btv.NGAY_SO_LIEU, btv.TRANG_THAI,
    bm.MA_BAO_CAO
ORDER BY btv.NGAY_SO_LIEU DESC;</t>
        </is>
      </c>
      <c r="U2563" s="16" t="n"/>
      <c r="V2563" s="22" t="n"/>
      <c r="W2563" s="22" t="n"/>
      <c r="X2563" s="22" t="n"/>
      <c r="Y2563" s="14" t="n"/>
      <c r="Z2563" s="22" t="n"/>
      <c r="AA2563" s="22" t="n"/>
      <c r="AB2563" s="22" t="n"/>
      <c r="AC2563" s="22" t="n"/>
      <c r="AD2563" s="22" t="n"/>
      <c r="AE2563" s="22" t="n"/>
    </row>
    <row r="2564" ht="98" customHeight="1" s="380">
      <c r="A2564" s="126" t="n">
        <v>106</v>
      </c>
      <c r="B2564" s="390" t="n"/>
      <c r="C2564" s="390" t="inlineStr">
        <is>
          <t>Báo cáo theo Thông tư 121/2020/TT-BTC &gt;&gt; Báo cáo tỷ lệ An toàn tài chính &gt;&gt; Giá trị rủi ro thanh toán (Rủi ro từ các khoản tạm ứng, hợp đồng, giao dịch khác)</t>
        </is>
      </c>
      <c r="D2564" s="390" t="inlineStr">
        <is>
          <t>- Hợp đồng, thỏa thuận đặt cọc mua bất động sản, các thỏa thuận kinh tế có cùng bản chất</t>
        </is>
      </c>
      <c r="E2564" s="390" t="inlineStr">
        <is>
          <t>- Hợp đồng, thỏa thuận đặt cọc mua bất động sản, các thỏa thuận kinh tế có cùng bản chất (chi tiết từng đối tượng)</t>
        </is>
      </c>
      <c r="F2564" s="390" t="inlineStr">
        <is>
          <t>Data Explorer</t>
        </is>
      </c>
      <c r="G2564" s="390" t="inlineStr">
        <is>
          <t>Chỉ tiêu cơ sở</t>
        </is>
      </c>
      <c r="H2564" s="390" t="inlineStr">
        <is>
          <t>TB</t>
        </is>
      </c>
      <c r="I2564" s="390" t="inlineStr">
        <is>
          <t>Ngày, CTCK</t>
        </is>
      </c>
      <c r="J2564" s="401" t="inlineStr">
        <is>
          <t>SCMS</t>
        </is>
      </c>
      <c r="K2564" s="401" t="n"/>
      <c r="L2564" s="401" t="inlineStr">
        <is>
          <t>X</t>
        </is>
      </c>
      <c r="M2564" s="401" t="n"/>
      <c r="N2564" s="401" t="inlineStr">
        <is>
          <t>Done</t>
        </is>
      </c>
      <c r="O2564" s="401" t="n"/>
      <c r="P2564" s="22" t="n"/>
      <c r="S2564" s="22" t="n"/>
      <c r="U2564" s="16" t="n"/>
      <c r="V2564" s="22" t="n"/>
      <c r="W2564" s="22" t="n"/>
      <c r="X2564" s="22" t="n"/>
      <c r="Y2564" s="6" t="n"/>
      <c r="Z2564" s="22" t="n"/>
      <c r="AA2564" s="22" t="n"/>
      <c r="AB2564" s="22" t="n"/>
      <c r="AC2564" s="22" t="n"/>
      <c r="AD2564" s="22" t="n"/>
      <c r="AE2564" s="22" t="n"/>
    </row>
    <row r="2565" ht="98" customHeight="1" s="380">
      <c r="A2565" s="126" t="n">
        <v>106</v>
      </c>
      <c r="B2565" s="390" t="n"/>
      <c r="C2565" s="390" t="inlineStr">
        <is>
          <t>Báo cáo theo Thông tư 121/2020/TT-BTC &gt;&gt; Báo cáo tỷ lệ An toàn tài chính &gt;&gt; Giá trị rủi ro thanh toán (Rủi ro từ các khoản tạm ứng, hợp đồng, giao dịch khác)</t>
        </is>
      </c>
      <c r="D2565" s="390" t="inlineStr">
        <is>
          <t>- Các khoản cho vay, phải thu khách hàng khác không thuộc điểm đ, g khoản 1 Điều 10</t>
        </is>
      </c>
      <c r="E2565" s="390" t="inlineStr">
        <is>
          <t>- Các khoản cho vay, phải thu khách hàng khác không thuộc điểm đ, g khoản 1 Điều 10 (chi tiết từng đối tượng)</t>
        </is>
      </c>
      <c r="F2565" s="390" t="inlineStr">
        <is>
          <t>Data Explorer</t>
        </is>
      </c>
      <c r="G2565" s="390" t="inlineStr">
        <is>
          <t>Chỉ tiêu cơ sở</t>
        </is>
      </c>
      <c r="H2565" s="390" t="inlineStr">
        <is>
          <t>TB</t>
        </is>
      </c>
      <c r="I2565" s="390" t="inlineStr">
        <is>
          <t>Ngày, CTCK</t>
        </is>
      </c>
      <c r="J2565" s="401" t="inlineStr">
        <is>
          <t>SCMS</t>
        </is>
      </c>
      <c r="K2565" s="401" t="n"/>
      <c r="L2565" s="401" t="inlineStr">
        <is>
          <t>X</t>
        </is>
      </c>
      <c r="M2565" s="401" t="n"/>
      <c r="N2565" s="401" t="inlineStr">
        <is>
          <t>Done</t>
        </is>
      </c>
      <c r="O2565" s="401" t="n"/>
      <c r="P2565" s="22" t="n"/>
      <c r="S2565" s="22" t="n"/>
      <c r="U2565" s="16" t="n"/>
      <c r="V2565" s="22" t="n"/>
      <c r="W2565" s="22" t="n"/>
      <c r="X2565" s="22" t="n"/>
      <c r="Y2565" s="6" t="n"/>
      <c r="Z2565" s="22" t="n"/>
      <c r="AA2565" s="22" t="n"/>
      <c r="AB2565" s="22" t="n"/>
      <c r="AC2565" s="22" t="n"/>
      <c r="AD2565" s="22" t="n"/>
      <c r="AE2565" s="22" t="n"/>
    </row>
    <row r="2566" ht="98" customHeight="1" s="380">
      <c r="A2566" s="126" t="n">
        <v>106</v>
      </c>
      <c r="B2566" s="390" t="n"/>
      <c r="C2566" s="390" t="inlineStr">
        <is>
          <t>Báo cáo theo Thông tư 121/2020/TT-BTC &gt;&gt; Báo cáo tỷ lệ An toàn tài chính &gt;&gt; Giá trị rủi ro thanh toán (Rủi ro từ các khoản tạm ứng, hợp đồng, giao dịch khác)</t>
        </is>
      </c>
      <c r="D2566" s="390" t="inlineStr">
        <is>
          <t>- Các hợp đồng, giao dịch khác</t>
        </is>
      </c>
      <c r="E2566" s="390" t="inlineStr">
        <is>
          <t>- Các hợp đồng, giao dịch khác (chi tiết từng đối tượng)</t>
        </is>
      </c>
      <c r="F2566" s="390" t="inlineStr">
        <is>
          <t>Data Explorer</t>
        </is>
      </c>
      <c r="G2566" s="390" t="inlineStr">
        <is>
          <t>Chỉ tiêu cơ sở</t>
        </is>
      </c>
      <c r="H2566" s="390" t="inlineStr">
        <is>
          <t>TB</t>
        </is>
      </c>
      <c r="I2566" s="390" t="inlineStr">
        <is>
          <t>Ngày, CTCK</t>
        </is>
      </c>
      <c r="J2566" s="401" t="inlineStr">
        <is>
          <t>SCMS</t>
        </is>
      </c>
      <c r="K2566" s="401" t="n"/>
      <c r="L2566" s="401" t="inlineStr">
        <is>
          <t>X</t>
        </is>
      </c>
      <c r="M2566" s="401" t="n"/>
      <c r="N2566" s="401" t="inlineStr">
        <is>
          <t>Done</t>
        </is>
      </c>
      <c r="O2566" s="401" t="n"/>
      <c r="P2566" s="22" t="n"/>
      <c r="S2566" s="22" t="n"/>
      <c r="U2566" s="16" t="n"/>
      <c r="V2566" s="22" t="n"/>
      <c r="W2566" s="22" t="n"/>
      <c r="X2566" s="22" t="n"/>
      <c r="Y2566" s="14" t="n"/>
      <c r="Z2566" s="22" t="n"/>
      <c r="AA2566" s="22" t="n"/>
      <c r="AB2566" s="22" t="n"/>
      <c r="AC2566" s="22" t="n"/>
      <c r="AD2566" s="22" t="n"/>
      <c r="AE2566" s="22" t="n"/>
    </row>
    <row r="2567" ht="98" customHeight="1" s="380">
      <c r="A2567" s="126" t="n">
        <v>106</v>
      </c>
      <c r="B2567" s="390" t="n"/>
      <c r="C2567" s="390" t="inlineStr">
        <is>
          <t>Báo cáo theo Thông tư 121/2020/TT-BTC &gt;&gt; Báo cáo tỷ lệ An toàn tài chính &gt;&gt; Giá trị rủi ro thanh toán (Rủi ro từ các khoản tạm ứng, hợp đồng, giao dịch khác)</t>
        </is>
      </c>
      <c r="D2567" s="390" t="inlineStr">
        <is>
          <t>- Khoản tạm ứng</t>
        </is>
      </c>
      <c r="E2567" s="390" t="inlineStr">
        <is>
          <t>- Khoản tạm ứng (chi tiết từng đối tượng)</t>
        </is>
      </c>
      <c r="F2567" s="390" t="inlineStr">
        <is>
          <t>Data Explorer</t>
        </is>
      </c>
      <c r="G2567" s="390" t="inlineStr">
        <is>
          <t>Chỉ tiêu cơ sở</t>
        </is>
      </c>
      <c r="H2567" s="390" t="inlineStr">
        <is>
          <t>TB</t>
        </is>
      </c>
      <c r="I2567" s="390" t="inlineStr">
        <is>
          <t>Ngày, CTCK</t>
        </is>
      </c>
      <c r="J2567" s="401" t="inlineStr">
        <is>
          <t>SCMS</t>
        </is>
      </c>
      <c r="K2567" s="401" t="n"/>
      <c r="L2567" s="401" t="inlineStr">
        <is>
          <t>X</t>
        </is>
      </c>
      <c r="M2567" s="401" t="n"/>
      <c r="N2567" s="401" t="inlineStr">
        <is>
          <t>Done</t>
        </is>
      </c>
      <c r="O2567" s="401" t="n"/>
      <c r="P2567" s="22" t="n"/>
      <c r="S2567" s="22" t="n"/>
      <c r="U2567" s="16" t="n"/>
      <c r="V2567" s="22" t="n"/>
      <c r="W2567" s="22" t="n"/>
      <c r="X2567" s="22" t="n"/>
      <c r="Y2567" s="14" t="n"/>
      <c r="Z2567" s="22" t="n"/>
      <c r="AA2567" s="22" t="n"/>
      <c r="AB2567" s="22" t="n"/>
      <c r="AC2567" s="22" t="n"/>
      <c r="AD2567" s="22" t="n"/>
      <c r="AE2567" s="22" t="n"/>
    </row>
    <row r="2568" ht="98" customHeight="1" s="380">
      <c r="A2568" s="126" t="n">
        <v>106</v>
      </c>
      <c r="B2568" s="390" t="n"/>
      <c r="C2568" s="390" t="inlineStr">
        <is>
          <t>Báo cáo theo Thông tư 121/2020/TT-BTC &gt;&gt; Báo cáo tỷ lệ An toàn tài chính &gt;&gt; Giá trị rủi ro thanh toán (Rủi ro từ các khoản tạm ứng, hợp đồng, giao dịch khác)</t>
        </is>
      </c>
      <c r="D2568" s="390" t="inlineStr">
        <is>
          <t>Chiếm từ 0% đến 2% vốn chủ sở hữu tại thời điểm tính toán</t>
        </is>
      </c>
      <c r="E2568" s="390" t="inlineStr">
        <is>
          <t>Chiếm từ 0% đến 2% vốn chủ sở hữu tại thời điểm tính toán</t>
        </is>
      </c>
      <c r="F2568" s="390" t="inlineStr">
        <is>
          <t>Data Explorer</t>
        </is>
      </c>
      <c r="G2568" s="390" t="inlineStr">
        <is>
          <t>Chỉ tiêu cơ sở</t>
        </is>
      </c>
      <c r="H2568" s="390" t="inlineStr">
        <is>
          <t>TB</t>
        </is>
      </c>
      <c r="I2568" s="390" t="inlineStr">
        <is>
          <t>Ngày, CTCK</t>
        </is>
      </c>
      <c r="J2568" s="401" t="inlineStr">
        <is>
          <t>SCMS</t>
        </is>
      </c>
      <c r="K2568" s="401" t="n"/>
      <c r="L2568" s="401" t="inlineStr">
        <is>
          <t>X</t>
        </is>
      </c>
      <c r="M2568" s="401" t="n"/>
      <c r="N2568" s="401" t="inlineStr">
        <is>
          <t>Done</t>
        </is>
      </c>
      <c r="O2568" s="401" t="n"/>
      <c r="P2568" s="22" t="n"/>
      <c r="S2568" s="22" t="n"/>
      <c r="U2568" s="16" t="n"/>
      <c r="V2568" s="22" t="n"/>
      <c r="W2568" s="22" t="n"/>
      <c r="X2568" s="22" t="n"/>
      <c r="Y2568" s="14" t="n"/>
      <c r="Z2568" s="22" t="n"/>
      <c r="AA2568" s="22" t="n"/>
      <c r="AB2568" s="22" t="n"/>
      <c r="AC2568" s="22" t="n"/>
      <c r="AD2568" s="22" t="n"/>
      <c r="AE2568" s="22" t="n"/>
    </row>
    <row r="2569" ht="98" customHeight="1" s="380">
      <c r="A2569" s="126" t="n">
        <v>106</v>
      </c>
      <c r="B2569" s="390" t="n"/>
      <c r="C2569" s="390" t="inlineStr">
        <is>
          <t>Báo cáo theo Thông tư 121/2020/TT-BTC &gt;&gt; Báo cáo tỷ lệ An toàn tài chính &gt;&gt; Giá trị rủi ro thanh toán (Rủi ro từ các khoản tạm ứng, hợp đồng, giao dịch khác)</t>
        </is>
      </c>
      <c r="D2569" s="390" t="inlineStr">
        <is>
          <t>Chiếm trên 2% đến dưới 5% vốn chủ sở hữu tại thời điểm tính toán</t>
        </is>
      </c>
      <c r="E2569" s="390" t="inlineStr">
        <is>
          <t>Chiếm trên 2% đến dưới 5% vốn chủ sở hữu tại thời điểm tính toán</t>
        </is>
      </c>
      <c r="F2569" s="390" t="inlineStr">
        <is>
          <t>Data Explorer</t>
        </is>
      </c>
      <c r="G2569" s="390" t="inlineStr">
        <is>
          <t>Chỉ tiêu cơ sở</t>
        </is>
      </c>
      <c r="H2569" s="390" t="inlineStr">
        <is>
          <t>TB</t>
        </is>
      </c>
      <c r="I2569" s="390" t="inlineStr">
        <is>
          <t>Ngày, CTCK</t>
        </is>
      </c>
      <c r="J2569" s="401" t="inlineStr">
        <is>
          <t>SCMS</t>
        </is>
      </c>
      <c r="K2569" s="401" t="n"/>
      <c r="L2569" s="401" t="inlineStr">
        <is>
          <t>X</t>
        </is>
      </c>
      <c r="M2569" s="401" t="n"/>
      <c r="N2569" s="401" t="inlineStr">
        <is>
          <t>Done</t>
        </is>
      </c>
      <c r="O2569" s="401" t="n"/>
      <c r="P2569" s="22" t="n"/>
      <c r="S2569" s="22" t="n"/>
      <c r="U2569" s="16" t="n"/>
      <c r="V2569" s="22" t="n"/>
      <c r="W2569" s="22" t="n"/>
      <c r="X2569" s="22" t="n"/>
      <c r="Y2569" s="14" t="n"/>
      <c r="Z2569" s="22" t="n"/>
      <c r="AA2569" s="22" t="n"/>
      <c r="AB2569" s="22" t="n"/>
      <c r="AC2569" s="22" t="n"/>
      <c r="AD2569" s="22" t="n"/>
      <c r="AE2569" s="22" t="n"/>
    </row>
    <row r="2570" ht="98" customHeight="1" s="380">
      <c r="A2570" s="126" t="n">
        <v>106</v>
      </c>
      <c r="B2570" s="390" t="n"/>
      <c r="C2570" s="390" t="inlineStr">
        <is>
          <t>Báo cáo theo Thông tư 121/2020/TT-BTC &gt;&gt; Báo cáo tỷ lệ An toàn tài chính &gt;&gt; Giá trị rủi ro thanh toán (Rủi ro từ các khoản tạm ứng, hợp đồng, giao dịch khác)</t>
        </is>
      </c>
      <c r="D2570" s="390" t="inlineStr">
        <is>
          <t>Chiếm từ 5% trở lên vốn chủ sở hữu tại thời điểm tính toán.</t>
        </is>
      </c>
      <c r="E2570" s="390" t="inlineStr">
        <is>
          <t>Chiếm từ 5% trở lên vốn chủ sở hữu tại thời điểm tính toán.</t>
        </is>
      </c>
      <c r="F2570" s="390" t="inlineStr">
        <is>
          <t>Data Explorer</t>
        </is>
      </c>
      <c r="G2570" s="390" t="inlineStr">
        <is>
          <t>Chỉ tiêu cơ sở</t>
        </is>
      </c>
      <c r="H2570" s="390" t="inlineStr">
        <is>
          <t>TB</t>
        </is>
      </c>
      <c r="I2570" s="390" t="inlineStr">
        <is>
          <t>Ngày, CTCK</t>
        </is>
      </c>
      <c r="J2570" s="401" t="inlineStr">
        <is>
          <t>SCMS</t>
        </is>
      </c>
      <c r="K2570" s="401" t="n"/>
      <c r="L2570" s="401" t="inlineStr">
        <is>
          <t>X</t>
        </is>
      </c>
      <c r="M2570" s="401" t="n"/>
      <c r="N2570" s="401" t="inlineStr">
        <is>
          <t>Done</t>
        </is>
      </c>
      <c r="O2570" s="401" t="n"/>
      <c r="P2570" s="22" t="n"/>
      <c r="S2570" s="22" t="n"/>
      <c r="U2570" s="16" t="n"/>
      <c r="V2570" s="22" t="n"/>
      <c r="W2570" s="22" t="n"/>
      <c r="X2570" s="22" t="n"/>
      <c r="Y2570" s="14" t="n"/>
      <c r="Z2570" s="22" t="n"/>
      <c r="AA2570" s="22" t="n"/>
      <c r="AB2570" s="22" t="n"/>
      <c r="AC2570" s="22" t="n"/>
      <c r="AD2570" s="22" t="n"/>
      <c r="AE2570" s="22" t="n"/>
    </row>
    <row r="2571" ht="98" customHeight="1" s="380">
      <c r="A2571" s="128" t="n">
        <v>106</v>
      </c>
      <c r="B2571" s="129" t="n"/>
      <c r="C2571" s="129" t="inlineStr">
        <is>
          <t>Báo cáo theo Thông tư 121/2020/TT-BTC &gt;&gt; Báo cáo tỷ lệ An toàn tài chính &gt;&gt; Giá trị rủi ro thanh toán (Rủi ro từ các khoản tạm ứng, hợp đồng, giao dịch khác)</t>
        </is>
      </c>
      <c r="D2571" s="129" t="inlineStr">
        <is>
          <t>TỔNG RỦI RO HỢP ĐỒNG, GIAO DỊCH KHÁC</t>
        </is>
      </c>
      <c r="E2571" s="129" t="inlineStr">
        <is>
          <t>TỔNG RỦI RO HỢP ĐỒNG, GIAO DỊCH KHÁC</t>
        </is>
      </c>
      <c r="F2571" s="129" t="inlineStr">
        <is>
          <t>Data Explorer</t>
        </is>
      </c>
      <c r="G2571" s="129" t="inlineStr">
        <is>
          <t>Chỉ tiêu cơ sở</t>
        </is>
      </c>
      <c r="H2571" s="129" t="inlineStr">
        <is>
          <t>TB</t>
        </is>
      </c>
      <c r="I2571" s="129" t="inlineStr">
        <is>
          <t>Ngày, CTCK</t>
        </is>
      </c>
      <c r="J2571" s="85" t="inlineStr">
        <is>
          <t>SCMS</t>
        </is>
      </c>
      <c r="K2571" s="85" t="n"/>
      <c r="L2571" s="85" t="inlineStr">
        <is>
          <t>X</t>
        </is>
      </c>
      <c r="M2571" s="85" t="n"/>
      <c r="N2571" s="85" t="inlineStr">
        <is>
          <t>Done</t>
        </is>
      </c>
      <c r="O2571" s="85" t="n"/>
      <c r="P2571" s="130" t="n"/>
      <c r="Q2571" s="426" t="n"/>
      <c r="R2571" s="426" t="n"/>
      <c r="S2571" s="130" t="n"/>
      <c r="T2571" s="426" t="n"/>
      <c r="U2571" s="131" t="n"/>
      <c r="V2571" s="130" t="n"/>
      <c r="W2571" s="130" t="n"/>
      <c r="X2571" s="130" t="n"/>
      <c r="Y2571" s="69" t="n"/>
      <c r="Z2571" s="130" t="n"/>
      <c r="AA2571" s="130" t="n"/>
      <c r="AB2571" s="130" t="n"/>
      <c r="AC2571" s="130" t="n"/>
      <c r="AD2571" s="130" t="n"/>
      <c r="AE2571" s="130" t="n"/>
    </row>
    <row r="2572" ht="70" customHeight="1" s="380">
      <c r="A2572" s="126" t="n">
        <v>107</v>
      </c>
      <c r="B2572" s="122" t="inlineStr">
        <is>
          <t>Nga</t>
        </is>
      </c>
      <c r="C2572" s="127" t="inlineStr">
        <is>
          <t>Báo cáo theo Thông tư 121/2020/TT-BTC &gt;&gt; Báo cáo tỷ lệ An toàn tài chính &gt;&gt; Giá trị rủi ro thanh toán (Rủi ro tăng thêm)</t>
        </is>
      </c>
      <c r="D2572" s="106" t="inlineStr">
        <is>
          <t>Loại báo cáo</t>
        </is>
      </c>
      <c r="E2572" s="107" t="inlineStr">
        <is>
          <t>Loại báo cáo</t>
        </is>
      </c>
      <c r="F2572" s="390" t="inlineStr">
        <is>
          <t>Data Explorer</t>
        </is>
      </c>
      <c r="G2572" s="390" t="inlineStr">
        <is>
          <t>Chiều</t>
        </is>
      </c>
      <c r="H2572" s="390" t="inlineStr">
        <is>
          <t>Dễ</t>
        </is>
      </c>
      <c r="I2572" s="390" t="inlineStr">
        <is>
          <t>Ngày, CTCK</t>
        </is>
      </c>
      <c r="J2572" s="401" t="inlineStr">
        <is>
          <t>SCMS</t>
        </is>
      </c>
      <c r="K2572" s="401" t="inlineStr">
        <is>
          <t>X</t>
        </is>
      </c>
      <c r="L2572" s="401" t="inlineStr">
        <is>
          <t>X</t>
        </is>
      </c>
      <c r="M2572" s="401" t="n"/>
      <c r="N2572" s="401" t="inlineStr">
        <is>
          <t>Done</t>
        </is>
      </c>
      <c r="O2572" s="401" t="n"/>
      <c r="P2572" s="22" t="n"/>
      <c r="Q2572" s="404" t="inlineStr">
        <is>
          <t>SCMS.BM_BAO_CAO
SCMS.BM_BAO_CAO_DINH_KY</t>
        </is>
      </c>
      <c r="R2572" s="404" t="inlineStr">
        <is>
          <t>bm.ID,
bm.MA_BAO_CAO,
bm.LOAI_BAO_CAO,
bm.TEN_BAO_CAO,
bm.SU_DUNG,
bdk.BM_BAO_CAO_ID,
bdk.KY_BAO_CAO,
bdk.SU_DUNG</t>
        </is>
      </c>
      <c r="S2572" s="22" t="n"/>
      <c r="T2572" s="389"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2572" s="16" t="n"/>
      <c r="V2572" s="22" t="n"/>
      <c r="W2572" s="22" t="n"/>
      <c r="X2572" s="22" t="n"/>
      <c r="Y2572" s="395" t="n"/>
      <c r="Z2572" s="22" t="n"/>
      <c r="AA2572" s="22" t="n"/>
      <c r="AB2572" s="22" t="n"/>
      <c r="AC2572" s="22" t="n"/>
      <c r="AD2572" s="22" t="n"/>
      <c r="AE2572" s="22" t="n"/>
    </row>
    <row r="2573" ht="70" customHeight="1" s="380">
      <c r="A2573" s="126" t="n">
        <v>107</v>
      </c>
      <c r="B2573" s="390" t="n"/>
      <c r="C2573" s="390" t="inlineStr">
        <is>
          <t>Báo cáo theo Thông tư 121/2020/TT-BTC &gt;&gt; Báo cáo tỷ lệ An toàn tài chính &gt;&gt; Giá trị rủi ro thanh toán (Rủi ro tăng thêm)</t>
        </is>
      </c>
      <c r="D2573" s="106" t="inlineStr">
        <is>
          <t>Kỳ báo cáo</t>
        </is>
      </c>
      <c r="E2573" s="107" t="inlineStr">
        <is>
          <t>Kỳ báo cáo</t>
        </is>
      </c>
      <c r="F2573" s="390" t="inlineStr">
        <is>
          <t>Data Explorer</t>
        </is>
      </c>
      <c r="G2573" s="390" t="inlineStr">
        <is>
          <t>Chiều</t>
        </is>
      </c>
      <c r="H2573" s="390" t="inlineStr">
        <is>
          <t>Dễ</t>
        </is>
      </c>
      <c r="I2573" s="390" t="inlineStr">
        <is>
          <t>Ngày, CTCK</t>
        </is>
      </c>
      <c r="J2573" s="401" t="inlineStr">
        <is>
          <t>SCMS</t>
        </is>
      </c>
      <c r="K2573" s="401" t="inlineStr">
        <is>
          <t>X</t>
        </is>
      </c>
      <c r="L2573" s="401" t="inlineStr">
        <is>
          <t>X</t>
        </is>
      </c>
      <c r="M2573" s="401" t="n"/>
      <c r="N2573" s="401" t="inlineStr">
        <is>
          <t>Done</t>
        </is>
      </c>
      <c r="O2573" s="401" t="n"/>
      <c r="P2573" s="22" t="n"/>
      <c r="S2573" s="22" t="n"/>
      <c r="U2573" s="16" t="n"/>
      <c r="V2573" s="22" t="n"/>
      <c r="W2573" s="22" t="n"/>
      <c r="X2573" s="22" t="n"/>
      <c r="Y2573" s="395" t="n"/>
      <c r="Z2573" s="22" t="n"/>
      <c r="AA2573" s="22" t="n"/>
      <c r="AB2573" s="22" t="n"/>
      <c r="AC2573" s="22" t="n"/>
      <c r="AD2573" s="22" t="n"/>
      <c r="AE2573" s="22" t="n"/>
    </row>
    <row r="2574" ht="70" customHeight="1" s="380">
      <c r="A2574" s="126" t="n">
        <v>107</v>
      </c>
      <c r="B2574" s="390" t="n"/>
      <c r="C2574" s="390" t="inlineStr">
        <is>
          <t>Báo cáo theo Thông tư 121/2020/TT-BTC &gt;&gt; Báo cáo tỷ lệ An toàn tài chính &gt;&gt; Giá trị rủi ro thanh toán (Rủi ro tăng thêm)</t>
        </is>
      </c>
      <c r="D2574" s="106" t="inlineStr">
        <is>
          <t>Mã báo cáo</t>
        </is>
      </c>
      <c r="E2574" s="107" t="inlineStr">
        <is>
          <t>Mã báo cáo</t>
        </is>
      </c>
      <c r="F2574" s="390" t="inlineStr">
        <is>
          <t>Data Explorer</t>
        </is>
      </c>
      <c r="G2574" s="390" t="inlineStr">
        <is>
          <t>Chiều</t>
        </is>
      </c>
      <c r="H2574" s="390" t="inlineStr">
        <is>
          <t>Dễ</t>
        </is>
      </c>
      <c r="I2574" s="390" t="inlineStr">
        <is>
          <t>Ngày, CTCK</t>
        </is>
      </c>
      <c r="J2574" s="401" t="inlineStr">
        <is>
          <t>SCMS</t>
        </is>
      </c>
      <c r="K2574" s="401" t="inlineStr">
        <is>
          <t>X</t>
        </is>
      </c>
      <c r="L2574" s="401" t="inlineStr">
        <is>
          <t>X</t>
        </is>
      </c>
      <c r="M2574" s="401" t="n"/>
      <c r="N2574" s="401" t="inlineStr">
        <is>
          <t>Done</t>
        </is>
      </c>
      <c r="O2574" s="401" t="n"/>
      <c r="P2574" s="22" t="n"/>
      <c r="S2574" s="22" t="n"/>
      <c r="U2574" s="16" t="n"/>
      <c r="V2574" s="22" t="n"/>
      <c r="W2574" s="22" t="n"/>
      <c r="X2574" s="22" t="n"/>
      <c r="Y2574" s="395" t="n"/>
      <c r="Z2574" s="22" t="n"/>
      <c r="AA2574" s="22" t="n"/>
      <c r="AB2574" s="22" t="n"/>
      <c r="AC2574" s="22" t="n"/>
      <c r="AD2574" s="22" t="n"/>
      <c r="AE2574" s="22" t="n"/>
    </row>
    <row r="2575" ht="70" customHeight="1" s="380">
      <c r="A2575" s="126" t="n">
        <v>107</v>
      </c>
      <c r="B2575" s="390" t="n"/>
      <c r="C2575" s="390" t="inlineStr">
        <is>
          <t>Báo cáo theo Thông tư 121/2020/TT-BTC &gt;&gt; Báo cáo tỷ lệ An toàn tài chính &gt;&gt; Giá trị rủi ro thanh toán (Rủi ro tăng thêm)</t>
        </is>
      </c>
      <c r="D2575" s="106" t="inlineStr">
        <is>
          <t>Tên báo cáo</t>
        </is>
      </c>
      <c r="E2575" s="107" t="inlineStr">
        <is>
          <t>Tên báo cáo</t>
        </is>
      </c>
      <c r="F2575" s="390" t="inlineStr">
        <is>
          <t>Data Explorer</t>
        </is>
      </c>
      <c r="G2575" s="390" t="inlineStr">
        <is>
          <t>Chiều</t>
        </is>
      </c>
      <c r="H2575" s="390" t="inlineStr">
        <is>
          <t>Dễ</t>
        </is>
      </c>
      <c r="I2575" s="390" t="inlineStr">
        <is>
          <t>Ngày, CTCK</t>
        </is>
      </c>
      <c r="J2575" s="401" t="inlineStr">
        <is>
          <t>SCMS</t>
        </is>
      </c>
      <c r="K2575" s="401" t="inlineStr">
        <is>
          <t>X</t>
        </is>
      </c>
      <c r="L2575" s="401" t="inlineStr">
        <is>
          <t>X</t>
        </is>
      </c>
      <c r="M2575" s="401" t="n"/>
      <c r="N2575" s="401" t="inlineStr">
        <is>
          <t>Done</t>
        </is>
      </c>
      <c r="O2575" s="401" t="n"/>
      <c r="P2575" s="22" t="n"/>
      <c r="S2575" s="22" t="n"/>
      <c r="U2575" s="16" t="n"/>
      <c r="V2575" s="22" t="n"/>
      <c r="W2575" s="22" t="n"/>
      <c r="X2575" s="22" t="n"/>
      <c r="Y2575" s="395" t="n"/>
      <c r="Z2575" s="22" t="n"/>
      <c r="AA2575" s="22" t="n"/>
      <c r="AB2575" s="22" t="n"/>
      <c r="AC2575" s="22" t="n"/>
      <c r="AD2575" s="22" t="n"/>
      <c r="AE2575" s="22" t="n"/>
    </row>
    <row r="2576" ht="70" customHeight="1" s="380">
      <c r="A2576" s="126" t="n">
        <v>107</v>
      </c>
      <c r="B2576" s="390" t="n"/>
      <c r="C2576" s="390" t="inlineStr">
        <is>
          <t>Báo cáo theo Thông tư 121/2020/TT-BTC &gt;&gt; Báo cáo tỷ lệ An toàn tài chính &gt;&gt; Giá trị rủi ro thanh toán (Rủi ro tăng thêm)</t>
        </is>
      </c>
      <c r="D2576" s="106" t="inlineStr">
        <is>
          <t>Mã sheet</t>
        </is>
      </c>
      <c r="E2576" s="106" t="inlineStr">
        <is>
          <t>Mã sheet</t>
        </is>
      </c>
      <c r="F2576" s="390" t="inlineStr">
        <is>
          <t>Data Explorer</t>
        </is>
      </c>
      <c r="G2576" s="390" t="inlineStr">
        <is>
          <t>Chiều</t>
        </is>
      </c>
      <c r="H2576" s="390" t="inlineStr">
        <is>
          <t>Dễ</t>
        </is>
      </c>
      <c r="I2576" s="390" t="inlineStr">
        <is>
          <t>Ngày, CTCK</t>
        </is>
      </c>
      <c r="J2576" s="401" t="inlineStr">
        <is>
          <t>SCMS</t>
        </is>
      </c>
      <c r="K2576" s="401" t="inlineStr">
        <is>
          <t>X</t>
        </is>
      </c>
      <c r="L2576" s="401" t="inlineStr">
        <is>
          <t>X</t>
        </is>
      </c>
      <c r="M2576" s="401" t="n"/>
      <c r="N2576" s="401" t="inlineStr">
        <is>
          <t>Done</t>
        </is>
      </c>
      <c r="O2576" s="401" t="n"/>
      <c r="P2576" s="22" t="n"/>
      <c r="Q2576" s="401" t="inlineStr">
        <is>
          <t>SCMS.BM_BAO_CAO
SCMS.BM_SHEET</t>
        </is>
      </c>
      <c r="R2576" s="401" t="inlineStr">
        <is>
          <t>bm.ID,
bm.MA_BAO_CAO,
bm.SU_DUNG,
s.BM_BAO_CAO_ID,
s.MA_SHEET,
s.TEN_SHEET,
s.SAP_XEP</t>
        </is>
      </c>
      <c r="S2576" s="22" t="n"/>
      <c r="T2576" s="389" t="inlineStr">
        <is>
          <t>-- Mã sheet / Tên sheet
-- TEN_SHEET: 06H06
SELECT bm.MA_BAO_CAO,
s.MA_SHEET,
s.TEN_SHEET
FROM SCMS.BM_BAO_CAO bm
JOIN SCMS.BM_SHEET s ON s.BM_BAO_CAO_ID = bm.ID
WHERE bm.MA_BAO_CAO LIKE 'BCTLAT_TT102/2025'
AND s.MA_SHEET = '06H06'  -- Check lại
AND bm.SU_DUNG = 1
ORDER BY bm.MA_BAO_CAO, s.SAP_XEP;</t>
        </is>
      </c>
      <c r="U2576" s="16" t="n"/>
      <c r="V2576" s="22" t="n"/>
      <c r="W2576" s="22" t="n"/>
      <c r="X2576" s="22" t="n"/>
      <c r="Y2576" s="395" t="n"/>
      <c r="Z2576" s="22" t="n"/>
      <c r="AA2576" s="22" t="n"/>
      <c r="AB2576" s="22" t="n"/>
      <c r="AC2576" s="22" t="n"/>
      <c r="AD2576" s="22" t="n"/>
      <c r="AE2576" s="22" t="n"/>
    </row>
    <row r="2577" ht="70" customHeight="1" s="380">
      <c r="A2577" s="126" t="n">
        <v>107</v>
      </c>
      <c r="B2577" s="390" t="n"/>
      <c r="C2577" s="390" t="inlineStr">
        <is>
          <t>Báo cáo theo Thông tư 121/2020/TT-BTC &gt;&gt; Báo cáo tỷ lệ An toàn tài chính &gt;&gt; Giá trị rủi ro thanh toán (Rủi ro tăng thêm)</t>
        </is>
      </c>
      <c r="D2577" s="106" t="inlineStr">
        <is>
          <t>Tên sheet</t>
        </is>
      </c>
      <c r="E2577" s="106" t="inlineStr">
        <is>
          <t>Tên sheet</t>
        </is>
      </c>
      <c r="F2577" s="390" t="inlineStr">
        <is>
          <t>Data Explorer</t>
        </is>
      </c>
      <c r="G2577" s="390" t="inlineStr">
        <is>
          <t>Chiều</t>
        </is>
      </c>
      <c r="H2577" s="390" t="inlineStr">
        <is>
          <t>Dễ</t>
        </is>
      </c>
      <c r="I2577" s="390" t="inlineStr">
        <is>
          <t>Ngày, CTCK</t>
        </is>
      </c>
      <c r="J2577" s="401" t="inlineStr">
        <is>
          <t>SCMS</t>
        </is>
      </c>
      <c r="K2577" s="401" t="inlineStr">
        <is>
          <t>X</t>
        </is>
      </c>
      <c r="L2577" s="401" t="inlineStr">
        <is>
          <t>X</t>
        </is>
      </c>
      <c r="M2577" s="401" t="n"/>
      <c r="N2577" s="401" t="inlineStr">
        <is>
          <t>Done</t>
        </is>
      </c>
      <c r="O2577" s="401" t="n"/>
      <c r="P2577" s="22" t="n"/>
      <c r="S2577" s="22" t="n"/>
      <c r="U2577" s="16" t="n"/>
      <c r="V2577" s="22" t="n"/>
      <c r="W2577" s="22" t="n"/>
      <c r="X2577" s="22" t="n"/>
      <c r="Y2577" s="395" t="n"/>
      <c r="Z2577" s="22" t="n"/>
      <c r="AA2577" s="22" t="n"/>
      <c r="AB2577" s="22" t="n"/>
      <c r="AC2577" s="22" t="n"/>
      <c r="AD2577" s="22" t="n"/>
      <c r="AE2577" s="22" t="n"/>
    </row>
    <row r="2578" ht="70" customHeight="1" s="380">
      <c r="A2578" s="126" t="n">
        <v>107</v>
      </c>
      <c r="B2578" s="390" t="n"/>
      <c r="C2578" s="390" t="inlineStr">
        <is>
          <t>Báo cáo theo Thông tư 121/2020/TT-BTC &gt;&gt; Báo cáo tỷ lệ An toàn tài chính &gt;&gt; Giá trị rủi ro thanh toán (Rủi ro tăng thêm)</t>
        </is>
      </c>
      <c r="D2578" s="106" t="inlineStr">
        <is>
          <t>Mã chỉ tiêu</t>
        </is>
      </c>
      <c r="E2578" s="107" t="inlineStr">
        <is>
          <t>Mã chỉ tiêu</t>
        </is>
      </c>
      <c r="F2578" s="390" t="inlineStr">
        <is>
          <t>Data Explorer</t>
        </is>
      </c>
      <c r="G2578" s="390" t="inlineStr">
        <is>
          <t>Chiều</t>
        </is>
      </c>
      <c r="H2578" s="390" t="inlineStr">
        <is>
          <t>Dễ</t>
        </is>
      </c>
      <c r="I2578" s="390" t="inlineStr">
        <is>
          <t>Ngày, CTCK</t>
        </is>
      </c>
      <c r="J2578" s="401" t="inlineStr">
        <is>
          <t>SCMS</t>
        </is>
      </c>
      <c r="K2578" s="401" t="inlineStr">
        <is>
          <t>X</t>
        </is>
      </c>
      <c r="L2578" s="401" t="inlineStr">
        <is>
          <t>X</t>
        </is>
      </c>
      <c r="M2578" s="401" t="n"/>
      <c r="N2578" s="401" t="inlineStr">
        <is>
          <t>Done</t>
        </is>
      </c>
      <c r="O2578" s="401" t="n"/>
      <c r="P2578" s="22" t="n"/>
      <c r="Q2578" s="401" t="inlineStr">
        <is>
          <t>SCMS.BM_BAO_CAO
SCMS.BM_SHEET
SCMS.BM_BAO_CAO_CT
SCMS.DM_CHI_TIEU</t>
        </is>
      </c>
      <c r="R2578" s="402" t="inlineStr">
        <is>
          <t>dct.ID,
dct.MA_CHI_TIEU,
dct.TEN_CHI_TIEU,
dct.SU_DUNG,
s.BM_BAO_CAO_ID,
s.MA_SHEET,
ct.BM_BAO_CAO_ID,
ct.DM_CHI_TIEU_ID,
ct.SU_DUNG,
bm.ID,
bm.MA_BAO_CAO,
bm.SU_DUNG</t>
        </is>
      </c>
      <c r="S2578" s="22" t="n"/>
      <c r="T2578" s="389" t="inlineStr">
        <is>
          <t>-- Mã chỉ tiêu / Tên chỉ tiêu
SELECT DISTINCT
    dct.MA_CHI_TIEU  AS ma_chi_tieu,
    dct.TEN_CHI_TIEU AS ten_chi_tieu
FROM SCMS.BM_BAO_CAO bm
JOIN SCMS.BM_SHEET s ON s.BM_BAO_CAO_ID = bm.ID
	AND s.MA_SHEET = '06H06'
JOIN SCMS.BM_BAO_CAO_CT ct ON ct.BM_SHEET_ID = s.ID
	AND ct.SU_DUNG = 1
JOIN SCMS.DM_CHI_TIEU dct ON dct.ID = ct.DM_CHI_TIEU_ID
	AND dct.SU_DUNG = 1
WHERE bm.MA_BAO_CAO LIKE 'BCTLAT_TT102/2025'
	AND bm.SU_DUNG = 1
ORDER BY dct.MA_CHI_TIEU;</t>
        </is>
      </c>
      <c r="U2578" s="16" t="n"/>
      <c r="V2578" s="22" t="n"/>
      <c r="W2578" s="22" t="n"/>
      <c r="X2578" s="22" t="n"/>
      <c r="Y2578" s="395" t="n"/>
      <c r="Z2578" s="22" t="n"/>
      <c r="AA2578" s="22" t="n"/>
      <c r="AB2578" s="22" t="n"/>
      <c r="AC2578" s="22" t="n"/>
      <c r="AD2578" s="22" t="n"/>
      <c r="AE2578" s="22" t="n"/>
    </row>
    <row r="2579" ht="70" customHeight="1" s="380">
      <c r="A2579" s="126" t="n">
        <v>107</v>
      </c>
      <c r="B2579" s="390" t="n"/>
      <c r="C2579" s="390" t="inlineStr">
        <is>
          <t>Báo cáo theo Thông tư 121/2020/TT-BTC &gt;&gt; Báo cáo tỷ lệ An toàn tài chính &gt;&gt; Giá trị rủi ro thanh toán (Rủi ro tăng thêm)</t>
        </is>
      </c>
      <c r="D2579" s="106" t="inlineStr">
        <is>
          <t>Tên chỉ tiêu</t>
        </is>
      </c>
      <c r="E2579" s="107" t="inlineStr">
        <is>
          <t>Tên chỉ tiêu</t>
        </is>
      </c>
      <c r="F2579" s="390" t="inlineStr">
        <is>
          <t>Data Explorer</t>
        </is>
      </c>
      <c r="G2579" s="390" t="inlineStr">
        <is>
          <t>Chiều</t>
        </is>
      </c>
      <c r="H2579" s="390" t="inlineStr">
        <is>
          <t>Dễ</t>
        </is>
      </c>
      <c r="I2579" s="390" t="inlineStr">
        <is>
          <t>Ngày, CTCK</t>
        </is>
      </c>
      <c r="J2579" s="401" t="inlineStr">
        <is>
          <t>SCMS</t>
        </is>
      </c>
      <c r="K2579" s="401" t="inlineStr">
        <is>
          <t>X</t>
        </is>
      </c>
      <c r="L2579" s="401" t="inlineStr">
        <is>
          <t>X</t>
        </is>
      </c>
      <c r="M2579" s="401" t="n"/>
      <c r="N2579" s="401" t="inlineStr">
        <is>
          <t>Done</t>
        </is>
      </c>
      <c r="O2579" s="401" t="n"/>
      <c r="P2579" s="22" t="n"/>
      <c r="S2579" s="22" t="n"/>
      <c r="U2579" s="16" t="n"/>
      <c r="V2579" s="22" t="n"/>
      <c r="W2579" s="22" t="n"/>
      <c r="X2579" s="22" t="n"/>
      <c r="Y2579" s="395" t="n"/>
      <c r="Z2579" s="22" t="n"/>
      <c r="AA2579" s="22" t="n"/>
      <c r="AB2579" s="22" t="n"/>
      <c r="AC2579" s="22" t="n"/>
      <c r="AD2579" s="22" t="n"/>
      <c r="AE2579" s="22" t="n"/>
    </row>
    <row r="2580" ht="70" customHeight="1" s="380">
      <c r="A2580" s="126" t="n">
        <v>107</v>
      </c>
      <c r="B2580" s="390" t="n"/>
      <c r="C2580" s="390" t="inlineStr">
        <is>
          <t>Báo cáo theo Thông tư 121/2020/TT-BTC &gt;&gt; Báo cáo tỷ lệ An toàn tài chính &gt;&gt; Giá trị rủi ro thanh toán (Rủi ro tăng thêm)</t>
        </is>
      </c>
      <c r="D2580" s="82" t="inlineStr">
        <is>
          <t>Chi tiết tới từng đối tượng</t>
        </is>
      </c>
      <c r="E2580" s="136" t="inlineStr">
        <is>
          <t>Chi tiết tới từng đối tượng</t>
        </is>
      </c>
      <c r="F2580" s="390" t="inlineStr">
        <is>
          <t>Data Explorer</t>
        </is>
      </c>
      <c r="G2580" s="390" t="inlineStr">
        <is>
          <t>Chỉ tiêu cơ sở</t>
        </is>
      </c>
      <c r="H2580" s="390" t="inlineStr">
        <is>
          <t>TB</t>
        </is>
      </c>
      <c r="I2580" s="390" t="inlineStr">
        <is>
          <t>Ngày, CTCK</t>
        </is>
      </c>
      <c r="J2580" s="401" t="inlineStr">
        <is>
          <t>SCMS</t>
        </is>
      </c>
      <c r="K2580" s="401" t="n"/>
      <c r="L2580" s="401" t="inlineStr">
        <is>
          <t>X</t>
        </is>
      </c>
      <c r="M2580" s="401" t="n"/>
      <c r="N2580" s="401" t="inlineStr">
        <is>
          <t>Done</t>
        </is>
      </c>
      <c r="O2580" s="401" t="n"/>
      <c r="P2580" s="22" t="n"/>
      <c r="Q2580" s="431" t="inlineStr">
        <is>
          <t>SCMS.BC_THANH_VIEN
SCMS.BM_BAO_CAO
SCMS.BC_BAO_CAO_GT
SCMS.BM_BAO_CAO_HANG
SCMS.BM_BAO_CAO_COT</t>
        </is>
      </c>
      <c r="R2580" s="431" t="inlineStr">
        <is>
          <t>bsc.TEN_COT,
bsc.BM_SHEET_ID,
bsh.ID,
bsh.MA_HANG,
gt.GIA_TRI,
gt.BC_THANH_VIEN_ID,
gt.BM_SHEET_HANG_ID,
bm.ID,
bm.MA_BAO_CAO,
btv.ID,
btv.BM_BAO_CAO_ID,
btv.TRANG_THAI,
btv.NGAY_SO_LIEU</t>
        </is>
      </c>
      <c r="S2580" s="22" t="n"/>
      <c r="T2580" s="432" t="inlineStr">
        <is>
          <t>-- CHỈ TIÊU
SELECT	
	-- Hệ số rủi ro (%)
	MAX(CASE WHEN bsc.TEN_COT=N'Hệ số rủi ro (%)' AND bsh.MA_HANG = '1' THEN CAST(gt.GIA_TRI AS VARCHAR2(4000)) END) AS "...",
	MAX(CASE WHEN bsc.TEN_COT=N'Hệ số rủi ro (%)' AND bsh.MA_HANG = '2' THEN CAST(gt.GIA_TRI AS VARCHAR2(4000)) END) AS "TỔNG RỦI RO TĂNG THÊM",
	-- Quy mô rủi ro
	MAX(CASE WHEN bsc.TEN_COT=N'Quy mô rủi ro' AND bsh.MA_HANG = '1' THEN CAST(gt.GIA_TRI AS VARCHAR2(4000)) END) AS "...",
	MAX(CASE WHEN bsc.TEN_COT=N'Quy mô rủi ro' AND bsh.MA_HANG = '2' THEN CAST(gt.GIA_TRI AS VARCHAR2(4000)) END) AS "TỔNG RỦI RO TĂNG THÊM",
	-- Giá trị rủi ro
	MAX(CASE WHEN bsc.TEN_COT=N'Giá trị rủi ro' AND bsh.MA_HANG = '1' THEN CAST(gt.GIA_TRI AS VARCHAR2(4000)) END) AS "...",
	MAX(CASE WHEN bsc.TEN_COT=N'Giá trị rủi ro' AND bsh.MA_HANG = '2' THEN CAST(gt.GIA_TRI AS VARCHAR2(4000)) END) AS "TỔNG RỦI RO TĂNG THÊM"
FROM SCMS.BC_THANH_VIEN btv
JOIN SCMS.BM_BAO_CAO bm ON bm.ID = btv.BM_BAO_CAO_ID
JOIN SCMS.BC_BAO_CAO_GT gt ON gt.BC_THANH_VIEN_ID = btv.ID
JOIN SCMS.BM_BAO_CAO_HANG bsh ON bsh.ID = gt.BM_SHEET_HANG_ID
JOIN SCMS.BM_BAO_CAO_COT bsc ON bsc.BM_SHEET_ID = 8376
--                               AND bsc.TEN_COT = gt.TEN_COT
WHERE bm.MA_BAO_CAO LIKE 'BCTLAT_TT102/2025'
  AND btv.TRANG_THAI IN (2, 3)
GROUP BY
    btv.ID, btv.CTCK_THONG_TIN_ID, btv.NGAY_SO_LIEU, btv.TRANG_THAI,
    bm.MA_BAO_CAO
ORDER BY btv.NGAY_SO_LIEU DESC;</t>
        </is>
      </c>
      <c r="U2580" s="82" t="inlineStr">
        <is>
          <t>Đang thống kê chỉ tiêu theo hàng dọc, hàng ngang chưa có giá trị cụ thể</t>
        </is>
      </c>
      <c r="V2580" s="22" t="n"/>
      <c r="W2580" s="22" t="n"/>
      <c r="X2580" s="22" t="n"/>
      <c r="Y2580" s="395" t="n"/>
      <c r="Z2580" s="22" t="n"/>
      <c r="AA2580" s="22" t="n"/>
      <c r="AB2580" s="22" t="n"/>
      <c r="AC2580" s="22" t="n"/>
      <c r="AD2580" s="22" t="n"/>
      <c r="AE2580" s="22" t="n"/>
    </row>
    <row r="2581" ht="70" customHeight="1" s="380">
      <c r="A2581" s="126" t="n">
        <v>107</v>
      </c>
      <c r="B2581" s="390" t="n"/>
      <c r="C2581" s="390" t="inlineStr">
        <is>
          <t>Báo cáo theo Thông tư 121/2020/TT-BTC &gt;&gt; Báo cáo tỷ lệ An toàn tài chính &gt;&gt; Giá trị rủi ro thanh toán (Rủi ro tăng thêm)</t>
        </is>
      </c>
      <c r="D2581" s="82" t="inlineStr">
        <is>
          <t>Hệ số rủi ro (%)</t>
        </is>
      </c>
      <c r="E2581" s="136" t="inlineStr">
        <is>
          <t>Hệ số rủi ro (%)</t>
        </is>
      </c>
      <c r="F2581" s="390" t="inlineStr">
        <is>
          <t>Data Explorer</t>
        </is>
      </c>
      <c r="G2581" s="390" t="inlineStr">
        <is>
          <t>Chỉ tiêu cơ sở</t>
        </is>
      </c>
      <c r="H2581" s="390" t="inlineStr">
        <is>
          <t>TB</t>
        </is>
      </c>
      <c r="I2581" s="390" t="inlineStr">
        <is>
          <t>Ngày, CTCK</t>
        </is>
      </c>
      <c r="J2581" s="401" t="inlineStr">
        <is>
          <t>SCMS</t>
        </is>
      </c>
      <c r="K2581" s="401" t="n"/>
      <c r="L2581" s="401" t="inlineStr">
        <is>
          <t>X</t>
        </is>
      </c>
      <c r="M2581" s="401" t="n"/>
      <c r="N2581" s="401" t="inlineStr">
        <is>
          <t>Done</t>
        </is>
      </c>
      <c r="O2581" s="401" t="n"/>
      <c r="P2581" s="22" t="n"/>
      <c r="S2581" s="22" t="n"/>
      <c r="U2581" s="16" t="n"/>
      <c r="V2581" s="22" t="n"/>
      <c r="W2581" s="22" t="n"/>
      <c r="X2581" s="22" t="n"/>
      <c r="Y2581" s="395" t="n"/>
      <c r="Z2581" s="22" t="n"/>
      <c r="AA2581" s="22" t="n"/>
      <c r="AB2581" s="22" t="n"/>
      <c r="AC2581" s="22" t="n"/>
      <c r="AD2581" s="22" t="n"/>
      <c r="AE2581" s="22" t="n"/>
    </row>
    <row r="2582" ht="70" customHeight="1" s="380">
      <c r="A2582" s="126" t="n">
        <v>107</v>
      </c>
      <c r="B2582" s="390" t="n"/>
      <c r="C2582" s="390" t="inlineStr">
        <is>
          <t>Báo cáo theo Thông tư 121/2020/TT-BTC &gt;&gt; Báo cáo tỷ lệ An toàn tài chính &gt;&gt; Giá trị rủi ro thanh toán (Rủi ro tăng thêm)</t>
        </is>
      </c>
      <c r="D2582" s="82" t="inlineStr">
        <is>
          <t>Quy mô rủi ro</t>
        </is>
      </c>
      <c r="E2582" s="136" t="inlineStr">
        <is>
          <t>Quy mô rủi ro</t>
        </is>
      </c>
      <c r="F2582" s="390" t="inlineStr">
        <is>
          <t>Data Explorer</t>
        </is>
      </c>
      <c r="G2582" s="390" t="inlineStr">
        <is>
          <t>Chỉ tiêu cơ sở</t>
        </is>
      </c>
      <c r="H2582" s="390" t="inlineStr">
        <is>
          <t>TB</t>
        </is>
      </c>
      <c r="I2582" s="390" t="inlineStr">
        <is>
          <t>Ngày, CTCK</t>
        </is>
      </c>
      <c r="J2582" s="401" t="inlineStr">
        <is>
          <t>SCMS</t>
        </is>
      </c>
      <c r="K2582" s="401" t="n"/>
      <c r="L2582" s="401" t="inlineStr">
        <is>
          <t>X</t>
        </is>
      </c>
      <c r="M2582" s="401" t="n"/>
      <c r="N2582" s="401" t="inlineStr">
        <is>
          <t>Done</t>
        </is>
      </c>
      <c r="O2582" s="401" t="n"/>
      <c r="P2582" s="22" t="n"/>
      <c r="S2582" s="22" t="n"/>
      <c r="U2582" s="16" t="n"/>
      <c r="V2582" s="22" t="n"/>
      <c r="W2582" s="22" t="n"/>
      <c r="X2582" s="22" t="n"/>
      <c r="Y2582" s="395" t="n"/>
      <c r="Z2582" s="22" t="n"/>
      <c r="AA2582" s="22" t="n"/>
      <c r="AB2582" s="22" t="n"/>
      <c r="AC2582" s="22" t="n"/>
      <c r="AD2582" s="22" t="n"/>
      <c r="AE2582" s="22" t="n"/>
    </row>
    <row r="2583" ht="70" customHeight="1" s="380">
      <c r="A2583" s="128" t="n">
        <v>107</v>
      </c>
      <c r="B2583" s="129" t="n"/>
      <c r="C2583" s="129" t="inlineStr">
        <is>
          <t>Báo cáo theo Thông tư 121/2020/TT-BTC &gt;&gt; Báo cáo tỷ lệ An toàn tài chính &gt;&gt; Giá trị rủi ro thanh toán (Rủi ro tăng thêm)</t>
        </is>
      </c>
      <c r="D2583" s="137" t="inlineStr">
        <is>
          <t>Giá trị rủi ro</t>
        </is>
      </c>
      <c r="E2583" s="138" t="inlineStr">
        <is>
          <t>Giá trị rủi ro</t>
        </is>
      </c>
      <c r="F2583" s="129" t="inlineStr">
        <is>
          <t>Data Explorer</t>
        </is>
      </c>
      <c r="G2583" s="129" t="inlineStr">
        <is>
          <t>Chỉ tiêu cơ sở</t>
        </is>
      </c>
      <c r="H2583" s="129" t="inlineStr">
        <is>
          <t>TB</t>
        </is>
      </c>
      <c r="I2583" s="129" t="inlineStr">
        <is>
          <t>Ngày, CTCK</t>
        </is>
      </c>
      <c r="J2583" s="85" t="inlineStr">
        <is>
          <t>SCMS</t>
        </is>
      </c>
      <c r="K2583" s="85" t="n"/>
      <c r="L2583" s="85" t="inlineStr">
        <is>
          <t>X</t>
        </is>
      </c>
      <c r="M2583" s="85" t="n"/>
      <c r="N2583" s="85" t="inlineStr">
        <is>
          <t>Done</t>
        </is>
      </c>
      <c r="O2583" s="85" t="n"/>
      <c r="P2583" s="130" t="n"/>
      <c r="Q2583" s="426" t="n"/>
      <c r="R2583" s="426" t="n"/>
      <c r="S2583" s="130" t="n"/>
      <c r="T2583" s="426" t="n"/>
      <c r="U2583" s="131" t="n"/>
      <c r="V2583" s="130" t="n"/>
      <c r="W2583" s="130" t="n"/>
      <c r="X2583" s="130" t="n"/>
      <c r="Y2583" s="69" t="n"/>
      <c r="Z2583" s="130" t="n"/>
      <c r="AA2583" s="130" t="n"/>
      <c r="AB2583" s="130" t="n"/>
      <c r="AC2583" s="130" t="n"/>
      <c r="AD2583" s="130" t="n"/>
      <c r="AE2583" s="130" t="n"/>
    </row>
    <row r="2584" ht="56" customHeight="1" s="380">
      <c r="A2584" s="126" t="n">
        <v>108</v>
      </c>
      <c r="B2584" s="122" t="inlineStr">
        <is>
          <t>Nga</t>
        </is>
      </c>
      <c r="C2584" s="127" t="inlineStr">
        <is>
          <t>Báo cáo theo Thông tư 121/2020/TT-BTC &gt;&gt; Báo cáo tỷ lệ An toàn tài chính &gt;&gt; Giá trị rủi ro hoạt động</t>
        </is>
      </c>
      <c r="D2584" s="106" t="inlineStr">
        <is>
          <t>Loại báo cáo</t>
        </is>
      </c>
      <c r="E2584" s="107" t="inlineStr">
        <is>
          <t>Loại báo cáo</t>
        </is>
      </c>
      <c r="F2584" s="390" t="inlineStr">
        <is>
          <t>Data Explorer</t>
        </is>
      </c>
      <c r="G2584" s="390" t="inlineStr">
        <is>
          <t>Chiều</t>
        </is>
      </c>
      <c r="H2584" s="390" t="inlineStr">
        <is>
          <t>Dễ</t>
        </is>
      </c>
      <c r="I2584" s="390" t="inlineStr">
        <is>
          <t>Ngày, CTCK</t>
        </is>
      </c>
      <c r="J2584" s="401" t="inlineStr">
        <is>
          <t>SCMS</t>
        </is>
      </c>
      <c r="K2584" s="401" t="inlineStr">
        <is>
          <t>X</t>
        </is>
      </c>
      <c r="L2584" s="401" t="inlineStr">
        <is>
          <t>X</t>
        </is>
      </c>
      <c r="M2584" s="401" t="n"/>
      <c r="N2584" s="401" t="inlineStr">
        <is>
          <t>Done</t>
        </is>
      </c>
      <c r="O2584" s="401" t="n"/>
      <c r="P2584" s="22" t="n"/>
      <c r="Q2584" s="404" t="inlineStr">
        <is>
          <t>SCMS.BM_BAO_CAO
SCMS.BM_BAO_CAO_DINH_KY</t>
        </is>
      </c>
      <c r="R2584" s="404" t="inlineStr">
        <is>
          <t>bm.ID,
bm.MA_BAO_CAO,
bm.LOAI_BAO_CAO,
bm.TEN_BAO_CAO,
bm.SU_DUNG,
bdk.BM_BAO_CAO_ID,
bdk.KY_BAO_CAO,
bdk.SU_DUNG</t>
        </is>
      </c>
      <c r="S2584" s="22" t="n"/>
      <c r="T2584" s="389"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2584" s="16" t="n"/>
      <c r="V2584" s="22" t="n"/>
      <c r="W2584" s="22" t="n"/>
      <c r="X2584" s="22" t="n"/>
      <c r="Y2584" s="395" t="n"/>
      <c r="Z2584" s="22" t="n"/>
      <c r="AA2584" s="22" t="n"/>
      <c r="AB2584" s="22" t="n"/>
      <c r="AC2584" s="22" t="n"/>
      <c r="AD2584" s="22" t="n"/>
      <c r="AE2584" s="22" t="n"/>
    </row>
    <row r="2585" ht="56" customHeight="1" s="380">
      <c r="A2585" s="126" t="n">
        <v>108</v>
      </c>
      <c r="B2585" s="390" t="n"/>
      <c r="C2585" s="390" t="inlineStr">
        <is>
          <t>Báo cáo theo Thông tư 121/2020/TT-BTC &gt;&gt; Báo cáo tỷ lệ An toàn tài chính &gt;&gt; Giá trị rủi ro hoạt động</t>
        </is>
      </c>
      <c r="D2585" s="106" t="inlineStr">
        <is>
          <t>Kỳ báo cáo</t>
        </is>
      </c>
      <c r="E2585" s="107" t="inlineStr">
        <is>
          <t>Kỳ báo cáo</t>
        </is>
      </c>
      <c r="F2585" s="390" t="inlineStr">
        <is>
          <t>Data Explorer</t>
        </is>
      </c>
      <c r="G2585" s="390" t="inlineStr">
        <is>
          <t>Chiều</t>
        </is>
      </c>
      <c r="H2585" s="390" t="inlineStr">
        <is>
          <t>Dễ</t>
        </is>
      </c>
      <c r="I2585" s="390" t="inlineStr">
        <is>
          <t>Ngày, CTCK</t>
        </is>
      </c>
      <c r="J2585" s="401" t="inlineStr">
        <is>
          <t>SCMS</t>
        </is>
      </c>
      <c r="K2585" s="401" t="inlineStr">
        <is>
          <t>X</t>
        </is>
      </c>
      <c r="L2585" s="401" t="inlineStr">
        <is>
          <t>X</t>
        </is>
      </c>
      <c r="M2585" s="401" t="n"/>
      <c r="N2585" s="401" t="inlineStr">
        <is>
          <t>Done</t>
        </is>
      </c>
      <c r="O2585" s="401" t="n"/>
      <c r="P2585" s="22" t="n"/>
      <c r="S2585" s="22" t="n"/>
      <c r="U2585" s="16" t="n"/>
      <c r="V2585" s="22" t="n"/>
      <c r="W2585" s="22" t="n"/>
      <c r="X2585" s="22" t="n"/>
      <c r="Y2585" s="395" t="n"/>
      <c r="Z2585" s="22" t="n"/>
      <c r="AA2585" s="22" t="n"/>
      <c r="AB2585" s="22" t="n"/>
      <c r="AC2585" s="22" t="n"/>
      <c r="AD2585" s="22" t="n"/>
      <c r="AE2585" s="22" t="n"/>
    </row>
    <row r="2586" ht="56" customHeight="1" s="380">
      <c r="A2586" s="126" t="n">
        <v>108</v>
      </c>
      <c r="B2586" s="390" t="n"/>
      <c r="C2586" s="390" t="inlineStr">
        <is>
          <t>Báo cáo theo Thông tư 121/2020/TT-BTC &gt;&gt; Báo cáo tỷ lệ An toàn tài chính &gt;&gt; Giá trị rủi ro hoạt động</t>
        </is>
      </c>
      <c r="D2586" s="106" t="inlineStr">
        <is>
          <t>Mã báo cáo</t>
        </is>
      </c>
      <c r="E2586" s="107" t="inlineStr">
        <is>
          <t>Mã báo cáo</t>
        </is>
      </c>
      <c r="F2586" s="390" t="inlineStr">
        <is>
          <t>Data Explorer</t>
        </is>
      </c>
      <c r="G2586" s="390" t="inlineStr">
        <is>
          <t>Chiều</t>
        </is>
      </c>
      <c r="H2586" s="390" t="inlineStr">
        <is>
          <t>Dễ</t>
        </is>
      </c>
      <c r="I2586" s="390" t="inlineStr">
        <is>
          <t>Ngày, CTCK</t>
        </is>
      </c>
      <c r="J2586" s="401" t="inlineStr">
        <is>
          <t>SCMS</t>
        </is>
      </c>
      <c r="K2586" s="401" t="inlineStr">
        <is>
          <t>X</t>
        </is>
      </c>
      <c r="L2586" s="401" t="inlineStr">
        <is>
          <t>X</t>
        </is>
      </c>
      <c r="M2586" s="401" t="n"/>
      <c r="N2586" s="401" t="inlineStr">
        <is>
          <t>Done</t>
        </is>
      </c>
      <c r="O2586" s="401" t="n"/>
      <c r="P2586" s="22" t="n"/>
      <c r="S2586" s="22" t="n"/>
      <c r="U2586" s="16" t="n"/>
      <c r="V2586" s="22" t="n"/>
      <c r="W2586" s="22" t="n"/>
      <c r="X2586" s="22" t="n"/>
      <c r="Y2586" s="395" t="n"/>
      <c r="Z2586" s="22" t="n"/>
      <c r="AA2586" s="22" t="n"/>
      <c r="AB2586" s="22" t="n"/>
      <c r="AC2586" s="22" t="n"/>
      <c r="AD2586" s="22" t="n"/>
      <c r="AE2586" s="22" t="n"/>
    </row>
    <row r="2587" ht="56" customHeight="1" s="380">
      <c r="A2587" s="126" t="n">
        <v>108</v>
      </c>
      <c r="B2587" s="390" t="n"/>
      <c r="C2587" s="390" t="inlineStr">
        <is>
          <t>Báo cáo theo Thông tư 121/2020/TT-BTC &gt;&gt; Báo cáo tỷ lệ An toàn tài chính &gt;&gt; Giá trị rủi ro hoạt động</t>
        </is>
      </c>
      <c r="D2587" s="106" t="inlineStr">
        <is>
          <t>Tên báo cáo</t>
        </is>
      </c>
      <c r="E2587" s="107" t="inlineStr">
        <is>
          <t>Tên báo cáo</t>
        </is>
      </c>
      <c r="F2587" s="390" t="inlineStr">
        <is>
          <t>Data Explorer</t>
        </is>
      </c>
      <c r="G2587" s="390" t="inlineStr">
        <is>
          <t>Chiều</t>
        </is>
      </c>
      <c r="H2587" s="390" t="inlineStr">
        <is>
          <t>Dễ</t>
        </is>
      </c>
      <c r="I2587" s="390" t="inlineStr">
        <is>
          <t>Ngày, CTCK</t>
        </is>
      </c>
      <c r="J2587" s="401" t="inlineStr">
        <is>
          <t>SCMS</t>
        </is>
      </c>
      <c r="K2587" s="401" t="inlineStr">
        <is>
          <t>X</t>
        </is>
      </c>
      <c r="L2587" s="401" t="inlineStr">
        <is>
          <t>X</t>
        </is>
      </c>
      <c r="M2587" s="401" t="n"/>
      <c r="N2587" s="401" t="inlineStr">
        <is>
          <t>Done</t>
        </is>
      </c>
      <c r="O2587" s="401" t="n"/>
      <c r="P2587" s="22" t="n"/>
      <c r="S2587" s="22" t="n"/>
      <c r="U2587" s="16" t="n"/>
      <c r="V2587" s="22" t="n"/>
      <c r="W2587" s="22" t="n"/>
      <c r="X2587" s="22" t="n"/>
      <c r="Y2587" s="395" t="n"/>
      <c r="Z2587" s="22" t="n"/>
      <c r="AA2587" s="22" t="n"/>
      <c r="AB2587" s="22" t="n"/>
      <c r="AC2587" s="22" t="n"/>
      <c r="AD2587" s="22" t="n"/>
      <c r="AE2587" s="22" t="n"/>
    </row>
    <row r="2588" ht="56" customHeight="1" s="380">
      <c r="A2588" s="126" t="n">
        <v>108</v>
      </c>
      <c r="B2588" s="390" t="n"/>
      <c r="C2588" s="390" t="inlineStr">
        <is>
          <t>Báo cáo theo Thông tư 121/2020/TT-BTC &gt;&gt; Báo cáo tỷ lệ An toàn tài chính &gt;&gt; Giá trị rủi ro hoạt động</t>
        </is>
      </c>
      <c r="D2588" s="106" t="inlineStr">
        <is>
          <t>Mã sheet</t>
        </is>
      </c>
      <c r="E2588" s="106" t="inlineStr">
        <is>
          <t>Mã sheet</t>
        </is>
      </c>
      <c r="F2588" s="390" t="inlineStr">
        <is>
          <t>Data Explorer</t>
        </is>
      </c>
      <c r="G2588" s="390" t="inlineStr">
        <is>
          <t>Chiều</t>
        </is>
      </c>
      <c r="H2588" s="390" t="inlineStr">
        <is>
          <t>Dễ</t>
        </is>
      </c>
      <c r="I2588" s="390" t="inlineStr">
        <is>
          <t>Ngày, CTCK</t>
        </is>
      </c>
      <c r="J2588" s="401" t="inlineStr">
        <is>
          <t>SCMS</t>
        </is>
      </c>
      <c r="K2588" s="401" t="inlineStr">
        <is>
          <t>X</t>
        </is>
      </c>
      <c r="L2588" s="401" t="inlineStr">
        <is>
          <t>X</t>
        </is>
      </c>
      <c r="M2588" s="401" t="n"/>
      <c r="N2588" s="401" t="inlineStr">
        <is>
          <t>Done</t>
        </is>
      </c>
      <c r="O2588" s="401" t="n"/>
      <c r="P2588" s="22" t="n"/>
      <c r="Q2588" s="401" t="inlineStr">
        <is>
          <t>SCMS.BM_BAO_CAO
SCMS.BM_SHEET</t>
        </is>
      </c>
      <c r="R2588" s="401" t="inlineStr">
        <is>
          <t>bm.ID,
bm.MA_BAO_CAO,
bm.SU_DUNG,
s.BM_BAO_CAO_ID,
s.MA_SHEET,
s.TEN_SHEET,
s.SAP_XEP</t>
        </is>
      </c>
      <c r="S2588" s="22" t="n"/>
      <c r="T2588" s="389" t="inlineStr">
        <is>
          <t>-- Mã sheet / Tên sheet
-- TEN_SHEET: 06H07
SELECT bm.MA_BAO_CAO,
s.MA_SHEET,
s.TEN_SHEET
FROM SCMS.BM_BAO_CAO bm
JOIN SCMS.BM_SHEET s ON s.BM_BAO_CAO_ID = bm.ID
WHERE bm.MA_BAO_CAO LIKE 'BCTLAT_TT102/2025'
AND s.MA_SHEET = '06H07'  -- Check lại
AND bm.SU_DUNG = 1
ORDER BY bm.MA_BAO_CAO, s.SAP_XEP;</t>
        </is>
      </c>
      <c r="U2588" s="16" t="n"/>
      <c r="V2588" s="22" t="n"/>
      <c r="W2588" s="22" t="n"/>
      <c r="X2588" s="22" t="n"/>
      <c r="Y2588" s="395" t="n"/>
      <c r="Z2588" s="22" t="n"/>
      <c r="AA2588" s="22" t="n"/>
      <c r="AB2588" s="22" t="n"/>
      <c r="AC2588" s="22" t="n"/>
      <c r="AD2588" s="22" t="n"/>
      <c r="AE2588" s="22" t="n"/>
    </row>
    <row r="2589" ht="56" customHeight="1" s="380">
      <c r="A2589" s="126" t="n">
        <v>108</v>
      </c>
      <c r="B2589" s="390" t="n"/>
      <c r="C2589" s="390" t="inlineStr">
        <is>
          <t>Báo cáo theo Thông tư 121/2020/TT-BTC &gt;&gt; Báo cáo tỷ lệ An toàn tài chính &gt;&gt; Giá trị rủi ro hoạt động</t>
        </is>
      </c>
      <c r="D2589" s="106" t="inlineStr">
        <is>
          <t>Tên sheet</t>
        </is>
      </c>
      <c r="E2589" s="106" t="inlineStr">
        <is>
          <t>Tên sheet</t>
        </is>
      </c>
      <c r="F2589" s="390" t="inlineStr">
        <is>
          <t>Data Explorer</t>
        </is>
      </c>
      <c r="G2589" s="390" t="inlineStr">
        <is>
          <t>Chiều</t>
        </is>
      </c>
      <c r="H2589" s="390" t="inlineStr">
        <is>
          <t>Dễ</t>
        </is>
      </c>
      <c r="I2589" s="390" t="inlineStr">
        <is>
          <t>Ngày, CTCK</t>
        </is>
      </c>
      <c r="J2589" s="401" t="inlineStr">
        <is>
          <t>SCMS</t>
        </is>
      </c>
      <c r="K2589" s="401" t="inlineStr">
        <is>
          <t>X</t>
        </is>
      </c>
      <c r="L2589" s="401" t="inlineStr">
        <is>
          <t>X</t>
        </is>
      </c>
      <c r="M2589" s="401" t="n"/>
      <c r="N2589" s="401" t="inlineStr">
        <is>
          <t>Done</t>
        </is>
      </c>
      <c r="O2589" s="401" t="n"/>
      <c r="P2589" s="22" t="n"/>
      <c r="S2589" s="22" t="n"/>
      <c r="U2589" s="16" t="n"/>
      <c r="V2589" s="22" t="n"/>
      <c r="W2589" s="22" t="n"/>
      <c r="X2589" s="22" t="n"/>
      <c r="Y2589" s="395" t="n"/>
      <c r="Z2589" s="22" t="n"/>
      <c r="AA2589" s="22" t="n"/>
      <c r="AB2589" s="22" t="n"/>
      <c r="AC2589" s="22" t="n"/>
      <c r="AD2589" s="22" t="n"/>
      <c r="AE2589" s="22" t="n"/>
    </row>
    <row r="2590" ht="56" customHeight="1" s="380">
      <c r="A2590" s="126" t="n">
        <v>108</v>
      </c>
      <c r="B2590" s="390" t="n"/>
      <c r="C2590" s="390" t="inlineStr">
        <is>
          <t>Báo cáo theo Thông tư 121/2020/TT-BTC &gt;&gt; Báo cáo tỷ lệ An toàn tài chính &gt;&gt; Giá trị rủi ro hoạt động</t>
        </is>
      </c>
      <c r="D2590" s="106" t="inlineStr">
        <is>
          <t>Mã chỉ tiêu</t>
        </is>
      </c>
      <c r="E2590" s="107" t="inlineStr">
        <is>
          <t>Mã chỉ tiêu</t>
        </is>
      </c>
      <c r="F2590" s="390" t="inlineStr">
        <is>
          <t>Data Explorer</t>
        </is>
      </c>
      <c r="G2590" s="390" t="inlineStr">
        <is>
          <t>Chiều</t>
        </is>
      </c>
      <c r="H2590" s="390" t="inlineStr">
        <is>
          <t>Dễ</t>
        </is>
      </c>
      <c r="I2590" s="390" t="inlineStr">
        <is>
          <t>Ngày, CTCK</t>
        </is>
      </c>
      <c r="J2590" s="401" t="inlineStr">
        <is>
          <t>SCMS</t>
        </is>
      </c>
      <c r="K2590" s="401" t="inlineStr">
        <is>
          <t>X</t>
        </is>
      </c>
      <c r="L2590" s="401" t="inlineStr">
        <is>
          <t>X</t>
        </is>
      </c>
      <c r="M2590" s="401" t="n"/>
      <c r="N2590" s="401" t="inlineStr">
        <is>
          <t>Done</t>
        </is>
      </c>
      <c r="O2590" s="401" t="n"/>
      <c r="P2590" s="22" t="n"/>
      <c r="Q2590" s="401" t="inlineStr">
        <is>
          <t>SCMS.BM_BAO_CAO
SCMS.BM_SHEET
SCMS.BM_BAO_CAO_CT
SCMS.DM_CHI_TIEU</t>
        </is>
      </c>
      <c r="R2590" s="402" t="inlineStr">
        <is>
          <t>dct.ID,
dct.MA_CHI_TIEU,
dct.TEN_CHI_TIEU,
dct.SU_DUNG,
s.BM_BAO_CAO_ID,
s.MA_SHEET,
ct.BM_BAO_CAO_ID,
ct.DM_CHI_TIEU_ID,
ct.SU_DUNG,
bm.ID,
bm.MA_BAO_CAO,
bm.SU_DUNG</t>
        </is>
      </c>
      <c r="S2590" s="22" t="n"/>
      <c r="T2590" s="389" t="inlineStr">
        <is>
          <t>-- Mã chỉ tiêu / Tên chỉ tiêu
SELECT DISTINCT
    dct.MA_CHI_TIEU  AS ma_chi_tieu,
    dct.TEN_CHI_TIEU AS ten_chi_tieu
FROM SCMS.BM_BAO_CAO bm
JOIN SCMS.BM_SHEET s ON s.BM_BAO_CAO_ID = bm.ID
	AND s.MA_SHEET = '06H07'
JOIN SCMS.BM_BAO_CAO_CT ct ON ct.BM_SHEET_ID = s.ID
	AND ct.SU_DUNG = 1
JOIN SCMS.DM_CHI_TIEU dct ON dct.ID = ct.DM_CHI_TIEU_ID
	AND dct.SU_DUNG = 1
WHERE bm.MA_BAO_CAO LIKE 'BCTLAT_TT102/2025'
	AND bm.SU_DUNG = 1
ORDER BY dct.MA_CHI_TIEU;</t>
        </is>
      </c>
      <c r="U2590" s="16" t="n"/>
      <c r="V2590" s="22" t="n"/>
      <c r="W2590" s="22" t="n"/>
      <c r="X2590" s="22" t="n"/>
      <c r="Y2590" s="395" t="n"/>
      <c r="Z2590" s="22" t="n"/>
      <c r="AA2590" s="22" t="n"/>
      <c r="AB2590" s="22" t="n"/>
      <c r="AC2590" s="22" t="n"/>
      <c r="AD2590" s="22" t="n"/>
      <c r="AE2590" s="22" t="n"/>
    </row>
    <row r="2591" ht="56" customHeight="1" s="380">
      <c r="A2591" s="126" t="n">
        <v>108</v>
      </c>
      <c r="B2591" s="390" t="n"/>
      <c r="C2591" s="390" t="inlineStr">
        <is>
          <t>Báo cáo theo Thông tư 121/2020/TT-BTC &gt;&gt; Báo cáo tỷ lệ An toàn tài chính &gt;&gt; Giá trị rủi ro hoạt động</t>
        </is>
      </c>
      <c r="D2591" s="106" t="inlineStr">
        <is>
          <t>Tên chỉ tiêu</t>
        </is>
      </c>
      <c r="E2591" s="107" t="inlineStr">
        <is>
          <t>Tên chỉ tiêu</t>
        </is>
      </c>
      <c r="F2591" s="390" t="inlineStr">
        <is>
          <t>Data Explorer</t>
        </is>
      </c>
      <c r="G2591" s="390" t="inlineStr">
        <is>
          <t>Chiều</t>
        </is>
      </c>
      <c r="H2591" s="390" t="inlineStr">
        <is>
          <t>Dễ</t>
        </is>
      </c>
      <c r="I2591" s="390" t="inlineStr">
        <is>
          <t>Ngày, CTCK</t>
        </is>
      </c>
      <c r="J2591" s="401" t="inlineStr">
        <is>
          <t>SCMS</t>
        </is>
      </c>
      <c r="K2591" s="401" t="inlineStr">
        <is>
          <t>X</t>
        </is>
      </c>
      <c r="L2591" s="401" t="inlineStr">
        <is>
          <t>X</t>
        </is>
      </c>
      <c r="M2591" s="401" t="n"/>
      <c r="N2591" s="401" t="inlineStr">
        <is>
          <t>Done</t>
        </is>
      </c>
      <c r="O2591" s="401" t="n"/>
      <c r="P2591" s="22" t="n"/>
      <c r="S2591" s="22" t="n"/>
      <c r="U2591" s="16" t="n"/>
      <c r="V2591" s="22" t="n"/>
      <c r="W2591" s="22" t="n"/>
      <c r="X2591" s="22" t="n"/>
      <c r="Y2591" s="395" t="n"/>
      <c r="Z2591" s="22" t="n"/>
      <c r="AA2591" s="22" t="n"/>
      <c r="AB2591" s="22" t="n"/>
      <c r="AC2591" s="22" t="n"/>
      <c r="AD2591" s="22" t="n"/>
      <c r="AE2591" s="22" t="n"/>
    </row>
    <row r="2592" ht="56" customHeight="1" s="380">
      <c r="A2592" s="126" t="n">
        <v>108</v>
      </c>
      <c r="B2592" s="390" t="n"/>
      <c r="C2592" s="390" t="inlineStr">
        <is>
          <t>Báo cáo theo Thông tư 121/2020/TT-BTC &gt;&gt; Báo cáo tỷ lệ An toàn tài chính &gt;&gt; Giá trị rủi ro hoạt động</t>
        </is>
      </c>
      <c r="D2592" s="390" t="inlineStr">
        <is>
          <t>RỦI RO HOẠT ĐỘNG</t>
        </is>
      </c>
      <c r="E2592" s="390" t="inlineStr">
        <is>
          <t>RỦI RO HOẠT ĐỘNG</t>
        </is>
      </c>
      <c r="F2592" s="390" t="inlineStr">
        <is>
          <t>Data Explorer</t>
        </is>
      </c>
      <c r="G2592" s="390" t="inlineStr">
        <is>
          <t>Chỉ tiêu cơ sở</t>
        </is>
      </c>
      <c r="H2592" s="390" t="inlineStr">
        <is>
          <t>TB</t>
        </is>
      </c>
      <c r="I2592" s="390" t="inlineStr">
        <is>
          <t>Ngày, CTCK</t>
        </is>
      </c>
      <c r="J2592" s="401" t="inlineStr">
        <is>
          <t>SCMS</t>
        </is>
      </c>
      <c r="K2592" s="401" t="n"/>
      <c r="L2592" s="401" t="inlineStr">
        <is>
          <t>X</t>
        </is>
      </c>
      <c r="M2592" s="401" t="n"/>
      <c r="N2592" s="401" t="inlineStr">
        <is>
          <t>Done</t>
        </is>
      </c>
      <c r="O2592" s="401" t="n"/>
      <c r="P2592" s="22" t="n"/>
      <c r="Q2592" s="431" t="inlineStr">
        <is>
          <t>SCMS.BC_THANH_VIEN
SCMS.BM_BAO_CAO
SCMS.BC_BAO_CAO_GT
SCMS.BM_BAO_CAO_HANG
SCMS.BM_BAO_CAO_COT</t>
        </is>
      </c>
      <c r="R2592" s="431" t="inlineStr">
        <is>
          <t>bsc.TEN_COT,
bsc.BM_SHEET_ID,
bsh.ID,
bsh.MA_HANG,
gt.GIA_TRI,
gt.BC_THANH_VIEN_ID,
gt.BM_SHEET_HANG_ID,
bm.ID,
bm.MA_BAO_CAO,
btv.ID,
btv.BM_BAO_CAO_ID,
btv.TRANG_THAI,
btv.NGAY_SO_LIEU</t>
        </is>
      </c>
      <c r="S2592" s="22" t="n"/>
      <c r="T2592" s="432" t="inlineStr">
        <is>
          <t>-- CHỈ TIÊU
SELECT	
	-- Giá trị
	MAX(CASE WHEN bsc.TEN_COT=N'Giá trị' AND bsh.MA_HANG = '1' THEN CAST(gt.GIA_TRI AS VARCHAR2(4000)) END) AS "RỦI RO HOẠT ĐỘNG",
	MAX(CASE WHEN bsc.TEN_COT=N'Giá trị' AND bsh.MA_HANG = '2' THEN CAST(gt.GIA_TRI AS VARCHAR2(4000)) END) AS "Tổng chi phí hoạt động phát sinh trong vòng 12 tháng tính tới tháng xx năm 20xx",
	MAX(CASE WHEN bsc.TEN_COT=N'Giá trị' AND bsh.MA_HANG = '3' THEN CAST(gt.GIA_TRI AS VARCHAR2(4000)) END) AS "Các khoản giảm trừ khỏi tổng chi phí",
	MAX(CASE WHEN bsc.TEN_COT=N'Giá trị' AND bsh.MA_HANG = '4' THEN CAST(gt.GIA_TRI AS VARCHAR2(4000)) END) AS "Chi phí khấu hao",
	MAX(CASE WHEN bsc.TEN_COT=N'Giá trị' AND bsh.MA_HANG = '5' THEN CAST(gt.GIA_TRI AS VARCHAR2(4000)) END) AS "Chi phí/Hoàn nhập dự phòng suy giảm giá trị các tài sản tài chính và tài sản thế chấp",
	MAX(CASE WHEN bsc.TEN_COT=N'Giá trị' AND bsh.MA_HANG = '6' THEN CAST(gt.GIA_TRI AS VARCHAR2(4000)) END) AS "Chi phí/Hoàn nhập dự phòng suy giảm giá trị các tài sản tài chính dài hạn",
	MAX(CASE WHEN bsc.TEN_COT=N'Giá trị' AND bsh.MA_HANG = '7' THEN CAST(gt.GIA_TRI AS VARCHAR2(4000)) END) AS "Chi phí/Hoàn nhập dự phòng suy giảm giá trị các khoản phải thu",
	MAX(CASE WHEN bsc.TEN_COT=N'Giá trị' AND bsh.MA_HANG = '8' THEN CAST(gt.GIA_TRI AS VARCHAR2(4000)) END) AS "Chi phí chênh lệch giảm về đánh giá lại các tài sản tài chính ghi nhận thông qua lãi/lỗ",
	MAX(CASE WHEN bsc.TEN_COT=N'Giá trị' AND bsh.MA_HANG = '9' THEN CAST(gt.GIA_TRI AS VARCHAR2(4000)) END) AS "Chi phí/Hoàn nhập dự phòng suy giảm giá trị tài sản ngắn hạn khác",
	MAX(CASE WHEN bsc.TEN_COT=N'Giá trị' AND bsh.MA_HANG = '10' THEN CAST(gt.GIA_TRI AS VARCHAR2(4000)) END) AS "Chi phí lãi vay",
	MAX(CASE WHEN bsc.TEN_COT=N'Giá trị' AND bsh.MA_HANG = '11' THEN CAST(gt.GIA_TRI AS VARCHAR2(4000)) END) AS "Chi phí chênh lệch do đánh giá lại phải trả chứng quyền đang lưu hành",
	MAX(CASE WHEN bsc.TEN_COT=N'Giá trị' AND bsh.MA_HANG = '12' THEN CAST(gt.GIA_TRI AS VARCHAR2(4000)) END) AS "Chi phí hoặc thu nhập khoản chênh lệch tỷ giá hối đoái chưa thực hiện",
	MAX(CASE WHEN bsc.TEN_COT=N'Giá trị' AND bsh.MA_HANG = '13' THEN CAST(gt.GIA_TRI AS VARCHAR2(4000)) END) AS "Chi phí tài chính và các chi phí không bằng tiền khác trong hoạt động kinh doanh của công ty",
	MAX(CASE WHEN bsc.TEN_COT=N'Giá trị' AND bsh.MA_HANG = '14' THEN CAST(gt.GIA_TRI AS VARCHAR2(4000)) END) AS "Tổng chi phí sau khi giảm trừ (III = I – II)",
	MAX(CASE WHEN bsc.TEN_COT=N'Giá trị' AND bsh.MA_HANG = '15' THEN CAST(gt.GIA_TRI AS VARCHAR2(4000)) END) AS "25% Tổng chi phí sau khi giảm trừ (IV = 25% III)",
	MAX(CASE WHEN bsc.TEN_COT=N'Giá trị' AND bsh.MA_HANG = '16' THEN CAST(gt.GIA_TRI AS VARCHAR2(4000)) END) AS "20% vốn điều lệ tối thiểu cho các nghiệp vụ kinh doanh của công ty chứng khoán",
	MAX(CASE WHEN bsc.TEN_COT=N'Giá trị' AND bsh.MA_HANG = '17' THEN CAST(gt.GIA_TRI AS VARCHAR2(4000)) END) AS "TỔNG GIÁ TRỊ RỦI RO HOẠT ĐỘNG (MAX {IV, V})"
FROM SCMS.BC_THANH_VIEN btv
JOIN SCMS.BM_BAO_CAO bm ON bm.ID = btv.BM_BAO_CAO_ID
JOIN SCMS.BC_BAO_CAO_GT gt ON gt.BC_THANH_VIEN_ID = btv.ID
JOIN SCMS.BM_BAO_CAO_HANG bsh ON bsh.ID = gt.BM_SHEET_HANG_ID
JOIN SCMS.BM_BAO_CAO_COT bsc ON bsc.BM_SHEET_ID = 8380
--                               AND bsc.TEN_COT = gt.TEN_COT
WHERE bm.MA_BAO_CAO LIKE 'BCTLAT_TT102/2025'
  AND btv.TRANG_THAI IN (2, 3)
GROUP BY
    btv.ID, btv.CTCK_THONG_TIN_ID, btv.NGAY_SO_LIEU, btv.TRANG_THAI,
    bm.MA_BAO_CAO
ORDER BY btv.NGAY_SO_LIEU DESC;</t>
        </is>
      </c>
      <c r="U2592" s="16" t="n"/>
      <c r="V2592" s="22" t="n"/>
      <c r="W2592" s="22" t="n"/>
      <c r="X2592" s="22" t="n"/>
      <c r="Y2592" s="395" t="n"/>
      <c r="Z2592" s="22" t="n"/>
      <c r="AA2592" s="22" t="n"/>
      <c r="AB2592" s="22" t="n"/>
      <c r="AC2592" s="22" t="n"/>
      <c r="AD2592" s="22" t="n"/>
      <c r="AE2592" s="22" t="n"/>
    </row>
    <row r="2593" ht="70" customHeight="1" s="380">
      <c r="A2593" s="126" t="n">
        <v>108</v>
      </c>
      <c r="B2593" s="390" t="n"/>
      <c r="C2593" s="390" t="inlineStr">
        <is>
          <t>Báo cáo theo Thông tư 121/2020/TT-BTC &gt;&gt; Báo cáo tỷ lệ An toàn tài chính &gt;&gt; Giá trị rủi ro hoạt động</t>
        </is>
      </c>
      <c r="D2593" s="390" t="inlineStr">
        <is>
          <t xml:space="preserve">Tổng chi phí hoạt động phát sinh trong vòng 12 tháng tính tới tháng xx năm 20xx
</t>
        </is>
      </c>
      <c r="E2593" s="390" t="inlineStr">
        <is>
          <t xml:space="preserve">Tổng chi phí hoạt động phát sinh trong vòng 12 tháng tính tới tháng xx năm 20xx
</t>
        </is>
      </c>
      <c r="F2593" s="390" t="inlineStr">
        <is>
          <t>Data Explorer</t>
        </is>
      </c>
      <c r="G2593" s="390" t="inlineStr">
        <is>
          <t>Chỉ tiêu cơ sở</t>
        </is>
      </c>
      <c r="H2593" s="390" t="inlineStr">
        <is>
          <t>TB</t>
        </is>
      </c>
      <c r="I2593" s="390" t="inlineStr">
        <is>
          <t>Ngày, CTCK</t>
        </is>
      </c>
      <c r="J2593" s="401" t="inlineStr">
        <is>
          <t>SCMS</t>
        </is>
      </c>
      <c r="K2593" s="401" t="n"/>
      <c r="L2593" s="401" t="inlineStr">
        <is>
          <t>X</t>
        </is>
      </c>
      <c r="M2593" s="401" t="n"/>
      <c r="N2593" s="401" t="inlineStr">
        <is>
          <t>Done</t>
        </is>
      </c>
      <c r="O2593" s="401" t="n"/>
      <c r="P2593" s="22" t="n"/>
      <c r="S2593" s="22" t="n"/>
      <c r="U2593" s="16" t="n"/>
      <c r="V2593" s="22" t="n"/>
      <c r="W2593" s="22" t="n"/>
      <c r="X2593" s="22" t="n"/>
      <c r="Y2593" s="395" t="n"/>
      <c r="Z2593" s="22" t="n"/>
      <c r="AA2593" s="22" t="n"/>
      <c r="AB2593" s="22" t="n"/>
      <c r="AC2593" s="22" t="n"/>
      <c r="AD2593" s="22" t="n"/>
      <c r="AE2593" s="22" t="n"/>
    </row>
    <row r="2594" ht="56" customHeight="1" s="380">
      <c r="A2594" s="126" t="n">
        <v>108</v>
      </c>
      <c r="B2594" s="390" t="n"/>
      <c r="C2594" s="390" t="inlineStr">
        <is>
          <t>Báo cáo theo Thông tư 121/2020/TT-BTC &gt;&gt; Báo cáo tỷ lệ An toàn tài chính &gt;&gt; Giá trị rủi ro hoạt động</t>
        </is>
      </c>
      <c r="D2594" s="390" t="inlineStr">
        <is>
          <t xml:space="preserve">Các khoản giảm trừ khỏi tổng chi phí
</t>
        </is>
      </c>
      <c r="E2594" s="390" t="inlineStr">
        <is>
          <t xml:space="preserve">Các khoản giảm trừ khỏi tổng chi phí
</t>
        </is>
      </c>
      <c r="F2594" s="390" t="inlineStr">
        <is>
          <t>Data Explorer</t>
        </is>
      </c>
      <c r="G2594" s="390" t="inlineStr">
        <is>
          <t>Chỉ tiêu cơ sở</t>
        </is>
      </c>
      <c r="H2594" s="390" t="inlineStr">
        <is>
          <t>TB</t>
        </is>
      </c>
      <c r="I2594" s="390" t="inlineStr">
        <is>
          <t>Ngày, CTCK</t>
        </is>
      </c>
      <c r="J2594" s="401" t="inlineStr">
        <is>
          <t>SCMS</t>
        </is>
      </c>
      <c r="K2594" s="401" t="n"/>
      <c r="L2594" s="401" t="inlineStr">
        <is>
          <t>X</t>
        </is>
      </c>
      <c r="M2594" s="401" t="n"/>
      <c r="N2594" s="401" t="inlineStr">
        <is>
          <t>Done</t>
        </is>
      </c>
      <c r="O2594" s="401" t="n"/>
      <c r="P2594" s="22" t="n"/>
      <c r="S2594" s="22" t="n"/>
      <c r="U2594" s="16" t="n"/>
      <c r="V2594" s="22" t="n"/>
      <c r="W2594" s="22" t="n"/>
      <c r="X2594" s="22" t="n"/>
      <c r="Y2594" s="395" t="n"/>
      <c r="Z2594" s="22" t="n"/>
      <c r="AA2594" s="22" t="n"/>
      <c r="AB2594" s="22" t="n"/>
      <c r="AC2594" s="22" t="n"/>
      <c r="AD2594" s="22" t="n"/>
      <c r="AE2594" s="22" t="n"/>
    </row>
    <row r="2595" ht="56" customHeight="1" s="380">
      <c r="A2595" s="126" t="n">
        <v>108</v>
      </c>
      <c r="B2595" s="390" t="n"/>
      <c r="C2595" s="390" t="inlineStr">
        <is>
          <t>Báo cáo theo Thông tư 121/2020/TT-BTC &gt;&gt; Báo cáo tỷ lệ An toàn tài chính &gt;&gt; Giá trị rủi ro hoạt động</t>
        </is>
      </c>
      <c r="D2595" s="390" t="inlineStr">
        <is>
          <t xml:space="preserve">Chi phí khấu hao                                    </t>
        </is>
      </c>
      <c r="E2595" s="390" t="inlineStr">
        <is>
          <t xml:space="preserve">Chi phí khấu hao                                    </t>
        </is>
      </c>
      <c r="F2595" s="390" t="inlineStr">
        <is>
          <t>Data Explorer</t>
        </is>
      </c>
      <c r="G2595" s="390" t="inlineStr">
        <is>
          <t>Chỉ tiêu cơ sở</t>
        </is>
      </c>
      <c r="H2595" s="390" t="inlineStr">
        <is>
          <t>TB</t>
        </is>
      </c>
      <c r="I2595" s="390" t="inlineStr">
        <is>
          <t>Ngày, CTCK</t>
        </is>
      </c>
      <c r="J2595" s="401" t="inlineStr">
        <is>
          <t>SCMS</t>
        </is>
      </c>
      <c r="K2595" s="401" t="n"/>
      <c r="L2595" s="401" t="inlineStr">
        <is>
          <t>X</t>
        </is>
      </c>
      <c r="M2595" s="401" t="n"/>
      <c r="N2595" s="401" t="inlineStr">
        <is>
          <t>Done</t>
        </is>
      </c>
      <c r="O2595" s="401" t="n"/>
      <c r="P2595" s="22" t="n"/>
      <c r="S2595" s="22" t="n"/>
      <c r="U2595" s="16" t="n"/>
      <c r="V2595" s="22" t="n"/>
      <c r="W2595" s="22" t="n"/>
      <c r="X2595" s="22" t="n"/>
      <c r="Y2595" s="395" t="n"/>
      <c r="Z2595" s="22" t="n"/>
      <c r="AA2595" s="22" t="n"/>
      <c r="AB2595" s="22" t="n"/>
      <c r="AC2595" s="22" t="n"/>
      <c r="AD2595" s="22" t="n"/>
      <c r="AE2595" s="22" t="n"/>
    </row>
    <row r="2596" ht="56" customHeight="1" s="380">
      <c r="A2596" s="126" t="n">
        <v>108</v>
      </c>
      <c r="B2596" s="390" t="n"/>
      <c r="C2596" s="390" t="inlineStr">
        <is>
          <t>Báo cáo theo Thông tư 121/2020/TT-BTC &gt;&gt; Báo cáo tỷ lệ An toàn tài chính &gt;&gt; Giá trị rủi ro hoạt động</t>
        </is>
      </c>
      <c r="D2596" s="390" t="inlineStr">
        <is>
          <t>Chi phí/Hoàn nhập dự phòng suy giảm giá trị các tài sản tài chính và tài sản thế chấp</t>
        </is>
      </c>
      <c r="E2596" s="390" t="inlineStr">
        <is>
          <t>Chi phí/Hoàn nhập dự phòng suy giảm giá trị các tài sản tài chính và tài sản thế chấp</t>
        </is>
      </c>
      <c r="F2596" s="390" t="inlineStr">
        <is>
          <t>Data Explorer</t>
        </is>
      </c>
      <c r="G2596" s="390" t="inlineStr">
        <is>
          <t>Chỉ tiêu cơ sở</t>
        </is>
      </c>
      <c r="H2596" s="390" t="inlineStr">
        <is>
          <t>TB</t>
        </is>
      </c>
      <c r="I2596" s="390" t="inlineStr">
        <is>
          <t>Ngày, CTCK</t>
        </is>
      </c>
      <c r="J2596" s="401" t="inlineStr">
        <is>
          <t>SCMS</t>
        </is>
      </c>
      <c r="K2596" s="401" t="n"/>
      <c r="L2596" s="401" t="inlineStr">
        <is>
          <t>X</t>
        </is>
      </c>
      <c r="M2596" s="401" t="n"/>
      <c r="N2596" s="401" t="inlineStr">
        <is>
          <t>Done</t>
        </is>
      </c>
      <c r="O2596" s="401" t="n"/>
      <c r="P2596" s="22" t="n"/>
      <c r="S2596" s="22" t="n"/>
      <c r="U2596" s="16" t="n"/>
      <c r="V2596" s="22" t="n"/>
      <c r="W2596" s="22" t="n"/>
      <c r="X2596" s="22" t="n"/>
      <c r="Y2596" s="395" t="n"/>
      <c r="Z2596" s="22" t="n"/>
      <c r="AA2596" s="22" t="n"/>
      <c r="AB2596" s="22" t="n"/>
      <c r="AC2596" s="22" t="n"/>
      <c r="AD2596" s="22" t="n"/>
      <c r="AE2596" s="22" t="n"/>
    </row>
    <row r="2597" ht="56" customHeight="1" s="380">
      <c r="A2597" s="126" t="n">
        <v>108</v>
      </c>
      <c r="B2597" s="390" t="n"/>
      <c r="C2597" s="390" t="inlineStr">
        <is>
          <t>Báo cáo theo Thông tư 121/2020/TT-BTC &gt;&gt; Báo cáo tỷ lệ An toàn tài chính &gt;&gt; Giá trị rủi ro hoạt động</t>
        </is>
      </c>
      <c r="D2597" s="390" t="inlineStr">
        <is>
          <t>Chi phí/Hoàn nhập dự phòng suy giảm giá trị các tài sản tài chính dài hạn</t>
        </is>
      </c>
      <c r="E2597" s="390" t="inlineStr">
        <is>
          <t>Chi phí/Hoàn nhập dự phòng suy giảm giá trị các tài sản tài chính dài hạn</t>
        </is>
      </c>
      <c r="F2597" s="390" t="inlineStr">
        <is>
          <t>Data Explorer</t>
        </is>
      </c>
      <c r="G2597" s="390" t="inlineStr">
        <is>
          <t>Chỉ tiêu cơ sở</t>
        </is>
      </c>
      <c r="H2597" s="390" t="inlineStr">
        <is>
          <t>TB</t>
        </is>
      </c>
      <c r="I2597" s="390" t="inlineStr">
        <is>
          <t>Ngày, CTCK</t>
        </is>
      </c>
      <c r="J2597" s="401" t="inlineStr">
        <is>
          <t>SCMS</t>
        </is>
      </c>
      <c r="K2597" s="401" t="n"/>
      <c r="L2597" s="401" t="inlineStr">
        <is>
          <t>X</t>
        </is>
      </c>
      <c r="M2597" s="401" t="n"/>
      <c r="N2597" s="401" t="inlineStr">
        <is>
          <t>Done</t>
        </is>
      </c>
      <c r="O2597" s="401" t="n"/>
      <c r="P2597" s="22" t="n"/>
      <c r="S2597" s="22" t="n"/>
      <c r="U2597" s="16" t="n"/>
      <c r="V2597" s="22" t="n"/>
      <c r="W2597" s="22" t="n"/>
      <c r="X2597" s="22" t="n"/>
      <c r="Y2597" s="395" t="n"/>
      <c r="Z2597" s="22" t="n"/>
      <c r="AA2597" s="22" t="n"/>
      <c r="AB2597" s="22" t="n"/>
      <c r="AC2597" s="22" t="n"/>
      <c r="AD2597" s="22" t="n"/>
      <c r="AE2597" s="22" t="n"/>
    </row>
    <row r="2598" ht="56" customHeight="1" s="380">
      <c r="A2598" s="126" t="n">
        <v>108</v>
      </c>
      <c r="B2598" s="390" t="n"/>
      <c r="C2598" s="390" t="inlineStr">
        <is>
          <t>Báo cáo theo Thông tư 121/2020/TT-BTC &gt;&gt; Báo cáo tỷ lệ An toàn tài chính &gt;&gt; Giá trị rủi ro hoạt động</t>
        </is>
      </c>
      <c r="D2598" s="390" t="inlineStr">
        <is>
          <t>Chi phí/Hoàn nhập dự phòng suy giảm giá trị các khoản phải thu</t>
        </is>
      </c>
      <c r="E2598" s="390" t="inlineStr">
        <is>
          <t>Chi phí/Hoàn nhập dự phòng suy giảm giá trị các khoản phải thu</t>
        </is>
      </c>
      <c r="F2598" s="390" t="inlineStr">
        <is>
          <t>Data Explorer</t>
        </is>
      </c>
      <c r="G2598" s="390" t="inlineStr">
        <is>
          <t>Chỉ tiêu cơ sở</t>
        </is>
      </c>
      <c r="H2598" s="390" t="inlineStr">
        <is>
          <t>TB</t>
        </is>
      </c>
      <c r="I2598" s="390" t="inlineStr">
        <is>
          <t>Ngày, CTCK</t>
        </is>
      </c>
      <c r="J2598" s="401" t="inlineStr">
        <is>
          <t>SCMS</t>
        </is>
      </c>
      <c r="K2598" s="401" t="n"/>
      <c r="L2598" s="401" t="inlineStr">
        <is>
          <t>X</t>
        </is>
      </c>
      <c r="M2598" s="401" t="n"/>
      <c r="N2598" s="401" t="inlineStr">
        <is>
          <t>Done</t>
        </is>
      </c>
      <c r="O2598" s="401" t="n"/>
      <c r="P2598" s="22" t="n"/>
      <c r="S2598" s="22" t="n"/>
      <c r="U2598" s="16" t="n"/>
      <c r="V2598" s="22" t="n"/>
      <c r="W2598" s="22" t="n"/>
      <c r="X2598" s="22" t="n"/>
      <c r="Y2598" s="395" t="n"/>
      <c r="Z2598" s="22" t="n"/>
      <c r="AA2598" s="22" t="n"/>
      <c r="AB2598" s="22" t="n"/>
      <c r="AC2598" s="22" t="n"/>
      <c r="AD2598" s="22" t="n"/>
      <c r="AE2598" s="22" t="n"/>
    </row>
    <row r="2599" ht="56" customHeight="1" s="380">
      <c r="A2599" s="126" t="n">
        <v>108</v>
      </c>
      <c r="B2599" s="390" t="n"/>
      <c r="C2599" s="390" t="inlineStr">
        <is>
          <t>Báo cáo theo Thông tư 121/2020/TT-BTC &gt;&gt; Báo cáo tỷ lệ An toàn tài chính &gt;&gt; Giá trị rủi ro hoạt động</t>
        </is>
      </c>
      <c r="D2599" s="390" t="inlineStr">
        <is>
          <t>Chi phí chênh lệch giảm về đánh giá lại các tài sản tài chính ghi nhận thông qua lãi/lỗ</t>
        </is>
      </c>
      <c r="E2599" s="390" t="inlineStr">
        <is>
          <t>Chi phí chênh lệch giảm về đánh giá lại các tài sản tài chính ghi nhận thông qua lãi/lỗ</t>
        </is>
      </c>
      <c r="F2599" s="390" t="inlineStr">
        <is>
          <t>Data Explorer</t>
        </is>
      </c>
      <c r="G2599" s="390" t="inlineStr">
        <is>
          <t>Chỉ tiêu cơ sở</t>
        </is>
      </c>
      <c r="H2599" s="390" t="inlineStr">
        <is>
          <t>TB</t>
        </is>
      </c>
      <c r="I2599" s="390" t="inlineStr">
        <is>
          <t>Ngày, CTCK</t>
        </is>
      </c>
      <c r="J2599" s="401" t="inlineStr">
        <is>
          <t>SCMS</t>
        </is>
      </c>
      <c r="K2599" s="401" t="n"/>
      <c r="L2599" s="401" t="inlineStr">
        <is>
          <t>X</t>
        </is>
      </c>
      <c r="M2599" s="401" t="n"/>
      <c r="N2599" s="401" t="inlineStr">
        <is>
          <t>Done</t>
        </is>
      </c>
      <c r="O2599" s="401" t="n"/>
      <c r="P2599" s="22" t="n"/>
      <c r="S2599" s="22" t="n"/>
      <c r="U2599" s="16" t="n"/>
      <c r="V2599" s="22" t="n"/>
      <c r="W2599" s="22" t="n"/>
      <c r="X2599" s="22" t="n"/>
      <c r="Y2599" s="395" t="n"/>
      <c r="Z2599" s="22" t="n"/>
      <c r="AA2599" s="22" t="n"/>
      <c r="AB2599" s="22" t="n"/>
      <c r="AC2599" s="22" t="n"/>
      <c r="AD2599" s="22" t="n"/>
      <c r="AE2599" s="22" t="n"/>
    </row>
    <row r="2600" ht="56" customHeight="1" s="380">
      <c r="A2600" s="126" t="n">
        <v>108</v>
      </c>
      <c r="B2600" s="390" t="n"/>
      <c r="C2600" s="390" t="inlineStr">
        <is>
          <t>Báo cáo theo Thông tư 121/2020/TT-BTC &gt;&gt; Báo cáo tỷ lệ An toàn tài chính &gt;&gt; Giá trị rủi ro hoạt động</t>
        </is>
      </c>
      <c r="D2600" s="390" t="inlineStr">
        <is>
          <t>Chi phí/Hoàn nhập dự phòng suy giảm giá trị tài sản ngắn hạn khác</t>
        </is>
      </c>
      <c r="E2600" s="390" t="inlineStr">
        <is>
          <t>Chi phí/Hoàn nhập dự phòng suy giảm giá trị tài sản ngắn hạn khác</t>
        </is>
      </c>
      <c r="F2600" s="390" t="inlineStr">
        <is>
          <t>Data Explorer</t>
        </is>
      </c>
      <c r="G2600" s="390" t="inlineStr">
        <is>
          <t>Chỉ tiêu cơ sở</t>
        </is>
      </c>
      <c r="H2600" s="390" t="inlineStr">
        <is>
          <t>TB</t>
        </is>
      </c>
      <c r="I2600" s="390" t="inlineStr">
        <is>
          <t>Ngày, CTCK</t>
        </is>
      </c>
      <c r="J2600" s="401" t="inlineStr">
        <is>
          <t>SCMS</t>
        </is>
      </c>
      <c r="K2600" s="401" t="n"/>
      <c r="L2600" s="401" t="inlineStr">
        <is>
          <t>X</t>
        </is>
      </c>
      <c r="M2600" s="401" t="n"/>
      <c r="N2600" s="401" t="inlineStr">
        <is>
          <t>Done</t>
        </is>
      </c>
      <c r="O2600" s="401" t="n"/>
      <c r="P2600" s="22" t="n"/>
      <c r="S2600" s="22" t="n"/>
      <c r="U2600" s="16" t="n"/>
      <c r="V2600" s="22" t="n"/>
      <c r="W2600" s="22" t="n"/>
      <c r="X2600" s="22" t="n"/>
      <c r="Y2600" s="395" t="n"/>
      <c r="Z2600" s="22" t="n"/>
      <c r="AA2600" s="22" t="n"/>
      <c r="AB2600" s="22" t="n"/>
      <c r="AC2600" s="22" t="n"/>
      <c r="AD2600" s="22" t="n"/>
      <c r="AE2600" s="22" t="n"/>
    </row>
    <row r="2601" ht="56" customHeight="1" s="380">
      <c r="A2601" s="126" t="n">
        <v>108</v>
      </c>
      <c r="B2601" s="390" t="n"/>
      <c r="C2601" s="390" t="inlineStr">
        <is>
          <t>Báo cáo theo Thông tư 121/2020/TT-BTC &gt;&gt; Báo cáo tỷ lệ An toàn tài chính &gt;&gt; Giá trị rủi ro hoạt động</t>
        </is>
      </c>
      <c r="D2601" s="390" t="inlineStr">
        <is>
          <t>Chi phí lãi vay</t>
        </is>
      </c>
      <c r="E2601" s="390" t="inlineStr">
        <is>
          <t>Chi phí lãi vay</t>
        </is>
      </c>
      <c r="F2601" s="390" t="inlineStr">
        <is>
          <t>Data Explorer</t>
        </is>
      </c>
      <c r="G2601" s="390" t="inlineStr">
        <is>
          <t>Chỉ tiêu cơ sở</t>
        </is>
      </c>
      <c r="H2601" s="390" t="inlineStr">
        <is>
          <t>TB</t>
        </is>
      </c>
      <c r="I2601" s="390" t="inlineStr">
        <is>
          <t>Ngày, CTCK</t>
        </is>
      </c>
      <c r="J2601" s="401" t="inlineStr">
        <is>
          <t>SCMS</t>
        </is>
      </c>
      <c r="K2601" s="401" t="n"/>
      <c r="L2601" s="401" t="inlineStr">
        <is>
          <t>X</t>
        </is>
      </c>
      <c r="M2601" s="401" t="n"/>
      <c r="N2601" s="401" t="inlineStr">
        <is>
          <t>Done</t>
        </is>
      </c>
      <c r="O2601" s="401" t="n"/>
      <c r="P2601" s="22" t="n"/>
      <c r="S2601" s="22" t="n"/>
      <c r="U2601" s="16" t="n"/>
      <c r="V2601" s="22" t="n"/>
      <c r="W2601" s="22" t="n"/>
      <c r="X2601" s="22" t="n"/>
      <c r="Y2601" s="395" t="n"/>
      <c r="Z2601" s="22" t="n"/>
      <c r="AA2601" s="22" t="n"/>
      <c r="AB2601" s="22" t="n"/>
      <c r="AC2601" s="22" t="n"/>
      <c r="AD2601" s="22" t="n"/>
      <c r="AE2601" s="22" t="n"/>
    </row>
    <row r="2602" ht="56" customHeight="1" s="380">
      <c r="A2602" s="126" t="n">
        <v>108</v>
      </c>
      <c r="B2602" s="390" t="n"/>
      <c r="C2602" s="390" t="inlineStr">
        <is>
          <t>Báo cáo theo Thông tư 121/2020/TT-BTC &gt;&gt; Báo cáo tỷ lệ An toàn tài chính &gt;&gt; Giá trị rủi ro hoạt động</t>
        </is>
      </c>
      <c r="D2602" s="390" t="inlineStr">
        <is>
          <t>Chi phí chênh lệch do đánh giá lại phải trả chứng quyền đang lưu hành</t>
        </is>
      </c>
      <c r="E2602" s="390" t="inlineStr">
        <is>
          <t>Chi phí chênh lệch do đánh giá lại phải trả chứng quyền đang lưu hành</t>
        </is>
      </c>
      <c r="F2602" s="390" t="inlineStr">
        <is>
          <t>Data Explorer</t>
        </is>
      </c>
      <c r="G2602" s="390" t="inlineStr">
        <is>
          <t>Chỉ tiêu cơ sở</t>
        </is>
      </c>
      <c r="H2602" s="390" t="inlineStr">
        <is>
          <t>TB</t>
        </is>
      </c>
      <c r="I2602" s="390" t="inlineStr">
        <is>
          <t>Ngày, CTCK</t>
        </is>
      </c>
      <c r="J2602" s="401" t="inlineStr">
        <is>
          <t>SCMS</t>
        </is>
      </c>
      <c r="K2602" s="401" t="n"/>
      <c r="L2602" s="401" t="inlineStr">
        <is>
          <t>X</t>
        </is>
      </c>
      <c r="M2602" s="401" t="n"/>
      <c r="N2602" s="401" t="inlineStr">
        <is>
          <t>Done</t>
        </is>
      </c>
      <c r="O2602" s="401" t="n"/>
      <c r="P2602" s="22" t="n"/>
      <c r="S2602" s="22" t="n"/>
      <c r="U2602" s="16" t="n"/>
      <c r="V2602" s="22" t="n"/>
      <c r="W2602" s="22" t="n"/>
      <c r="X2602" s="22" t="n"/>
      <c r="Y2602" s="395" t="n"/>
      <c r="Z2602" s="22" t="n"/>
      <c r="AA2602" s="22" t="n"/>
      <c r="AB2602" s="22" t="n"/>
      <c r="AC2602" s="22" t="n"/>
      <c r="AD2602" s="22" t="n"/>
      <c r="AE2602" s="22" t="n"/>
    </row>
    <row r="2603" ht="56" customHeight="1" s="380">
      <c r="A2603" s="126" t="n">
        <v>108</v>
      </c>
      <c r="B2603" s="390" t="n"/>
      <c r="C2603" s="390" t="inlineStr">
        <is>
          <t>Báo cáo theo Thông tư 121/2020/TT-BTC &gt;&gt; Báo cáo tỷ lệ An toàn tài chính &gt;&gt; Giá trị rủi ro hoạt động</t>
        </is>
      </c>
      <c r="D2603" s="390" t="inlineStr">
        <is>
          <t>Chi phí hoặc thu nhập khoản chênh lệch tỷ giá hối đoái chưa thực hiện</t>
        </is>
      </c>
      <c r="E2603" s="390" t="inlineStr">
        <is>
          <t>Chi phí hoặc thu nhập khoản chênh lệch tỷ giá hối đoái chưa thực hiện</t>
        </is>
      </c>
      <c r="F2603" s="390" t="inlineStr">
        <is>
          <t>Data Explorer</t>
        </is>
      </c>
      <c r="G2603" s="390" t="inlineStr">
        <is>
          <t>Chỉ tiêu cơ sở</t>
        </is>
      </c>
      <c r="H2603" s="390" t="inlineStr">
        <is>
          <t>TB</t>
        </is>
      </c>
      <c r="I2603" s="390" t="inlineStr">
        <is>
          <t>Ngày, CTCK</t>
        </is>
      </c>
      <c r="J2603" s="401" t="inlineStr">
        <is>
          <t>SCMS</t>
        </is>
      </c>
      <c r="K2603" s="401" t="n"/>
      <c r="L2603" s="401" t="inlineStr">
        <is>
          <t>X</t>
        </is>
      </c>
      <c r="M2603" s="401" t="n"/>
      <c r="N2603" s="401" t="inlineStr">
        <is>
          <t>Done</t>
        </is>
      </c>
      <c r="O2603" s="401" t="n"/>
      <c r="P2603" s="22" t="n"/>
      <c r="S2603" s="22" t="n"/>
      <c r="U2603" s="16" t="n"/>
      <c r="V2603" s="22" t="n"/>
      <c r="W2603" s="22" t="n"/>
      <c r="X2603" s="22" t="n"/>
      <c r="Y2603" s="395" t="n"/>
      <c r="Z2603" s="22" t="n"/>
      <c r="AA2603" s="22" t="n"/>
      <c r="AB2603" s="22" t="n"/>
      <c r="AC2603" s="22" t="n"/>
      <c r="AD2603" s="22" t="n"/>
      <c r="AE2603" s="22" t="n"/>
    </row>
    <row r="2604" ht="56" customHeight="1" s="380">
      <c r="A2604" s="126" t="n">
        <v>108</v>
      </c>
      <c r="B2604" s="390" t="n"/>
      <c r="C2604" s="390" t="inlineStr">
        <is>
          <t>Báo cáo theo Thông tư 121/2020/TT-BTC &gt;&gt; Báo cáo tỷ lệ An toàn tài chính &gt;&gt; Giá trị rủi ro hoạt động</t>
        </is>
      </c>
      <c r="D2604" s="390" t="inlineStr">
        <is>
          <t>Chi phí tài chính và các chi phí không bằng tiền khác trong hoạt động kinh doanh của công ty</t>
        </is>
      </c>
      <c r="E2604" s="390" t="inlineStr">
        <is>
          <t>Chi phí tài chính và các chi phí không bằng tiền khác trong hoạt động kinh doanh của công ty</t>
        </is>
      </c>
      <c r="F2604" s="390" t="inlineStr">
        <is>
          <t>Data Explorer</t>
        </is>
      </c>
      <c r="G2604" s="390" t="inlineStr">
        <is>
          <t>Chỉ tiêu cơ sở</t>
        </is>
      </c>
      <c r="H2604" s="390" t="inlineStr">
        <is>
          <t>TB</t>
        </is>
      </c>
      <c r="I2604" s="390" t="inlineStr">
        <is>
          <t>Ngày, CTCK</t>
        </is>
      </c>
      <c r="J2604" s="401" t="inlineStr">
        <is>
          <t>SCMS</t>
        </is>
      </c>
      <c r="K2604" s="401" t="n"/>
      <c r="L2604" s="401" t="inlineStr">
        <is>
          <t>X</t>
        </is>
      </c>
      <c r="M2604" s="401" t="n"/>
      <c r="N2604" s="401" t="inlineStr">
        <is>
          <t>Done</t>
        </is>
      </c>
      <c r="O2604" s="401" t="n"/>
      <c r="P2604" s="22" t="n"/>
      <c r="S2604" s="22" t="n"/>
      <c r="U2604" s="16" t="n"/>
      <c r="V2604" s="22" t="n"/>
      <c r="W2604" s="22" t="n"/>
      <c r="X2604" s="22" t="n"/>
      <c r="Y2604" s="395" t="n"/>
      <c r="Z2604" s="22" t="n"/>
      <c r="AA2604" s="22" t="n"/>
      <c r="AB2604" s="22" t="n"/>
      <c r="AC2604" s="22" t="n"/>
      <c r="AD2604" s="22" t="n"/>
      <c r="AE2604" s="22" t="n"/>
    </row>
    <row r="2605" ht="56" customHeight="1" s="380">
      <c r="A2605" s="126" t="n">
        <v>108</v>
      </c>
      <c r="B2605" s="390" t="n"/>
      <c r="C2605" s="390" t="inlineStr">
        <is>
          <t>Báo cáo theo Thông tư 121/2020/TT-BTC &gt;&gt; Báo cáo tỷ lệ An toàn tài chính &gt;&gt; Giá trị rủi ro hoạt động</t>
        </is>
      </c>
      <c r="D2605" s="390" t="inlineStr">
        <is>
          <t>Tổng chi phí sau khi giảm trừ (III = I – II)</t>
        </is>
      </c>
      <c r="E2605" s="390" t="inlineStr">
        <is>
          <t>Tổng chi phí sau khi giảm trừ (III = I – II)</t>
        </is>
      </c>
      <c r="F2605" s="390" t="inlineStr">
        <is>
          <t>Data Explorer</t>
        </is>
      </c>
      <c r="G2605" s="390" t="inlineStr">
        <is>
          <t>Chỉ tiêu cơ sở</t>
        </is>
      </c>
      <c r="H2605" s="390" t="inlineStr">
        <is>
          <t>TB</t>
        </is>
      </c>
      <c r="I2605" s="390" t="inlineStr">
        <is>
          <t>Ngày, CTCK</t>
        </is>
      </c>
      <c r="J2605" s="401" t="inlineStr">
        <is>
          <t>SCMS</t>
        </is>
      </c>
      <c r="K2605" s="401" t="n"/>
      <c r="L2605" s="401" t="inlineStr">
        <is>
          <t>X</t>
        </is>
      </c>
      <c r="M2605" s="401" t="n"/>
      <c r="N2605" s="401" t="inlineStr">
        <is>
          <t>Done</t>
        </is>
      </c>
      <c r="O2605" s="401" t="n"/>
      <c r="P2605" s="22" t="n"/>
      <c r="S2605" s="22" t="n"/>
      <c r="U2605" s="16" t="n"/>
      <c r="V2605" s="22" t="n"/>
      <c r="W2605" s="22" t="n"/>
      <c r="X2605" s="22" t="n"/>
      <c r="Y2605" s="395" t="n"/>
      <c r="Z2605" s="22" t="n"/>
      <c r="AA2605" s="22" t="n"/>
      <c r="AB2605" s="22" t="n"/>
      <c r="AC2605" s="22" t="n"/>
      <c r="AD2605" s="22" t="n"/>
      <c r="AE2605" s="22" t="n"/>
    </row>
    <row r="2606" ht="56" customHeight="1" s="380">
      <c r="A2606" s="126" t="n">
        <v>108</v>
      </c>
      <c r="B2606" s="390" t="n"/>
      <c r="C2606" s="390" t="inlineStr">
        <is>
          <t>Báo cáo theo Thông tư 121/2020/TT-BTC &gt;&gt; Báo cáo tỷ lệ An toàn tài chính &gt;&gt; Giá trị rủi ro hoạt động</t>
        </is>
      </c>
      <c r="D2606" s="390" t="inlineStr">
        <is>
          <t>25% Tổng chi phí sau khi giảm trừ (IV = 25% III)</t>
        </is>
      </c>
      <c r="E2606" s="390" t="inlineStr">
        <is>
          <t>25% Tổng chi phí sau khi giảm trừ (IV = 25% III)</t>
        </is>
      </c>
      <c r="F2606" s="390" t="inlineStr">
        <is>
          <t>Data Explorer</t>
        </is>
      </c>
      <c r="G2606" s="390" t="inlineStr">
        <is>
          <t>Chỉ tiêu cơ sở</t>
        </is>
      </c>
      <c r="H2606" s="390" t="inlineStr">
        <is>
          <t>TB</t>
        </is>
      </c>
      <c r="I2606" s="390" t="inlineStr">
        <is>
          <t>Ngày, CTCK</t>
        </is>
      </c>
      <c r="J2606" s="401" t="inlineStr">
        <is>
          <t>SCMS</t>
        </is>
      </c>
      <c r="K2606" s="401" t="n"/>
      <c r="L2606" s="401" t="inlineStr">
        <is>
          <t>X</t>
        </is>
      </c>
      <c r="M2606" s="401" t="n"/>
      <c r="N2606" s="401" t="inlineStr">
        <is>
          <t>Done</t>
        </is>
      </c>
      <c r="O2606" s="401" t="n"/>
      <c r="P2606" s="22" t="n"/>
      <c r="S2606" s="22" t="n"/>
      <c r="U2606" s="16" t="n"/>
      <c r="V2606" s="22" t="n"/>
      <c r="W2606" s="22" t="n"/>
      <c r="X2606" s="22" t="n"/>
      <c r="Y2606" s="395" t="n"/>
      <c r="Z2606" s="22" t="n"/>
      <c r="AA2606" s="22" t="n"/>
      <c r="AB2606" s="22" t="n"/>
      <c r="AC2606" s="22" t="n"/>
      <c r="AD2606" s="22" t="n"/>
      <c r="AE2606" s="22" t="n"/>
    </row>
    <row r="2607" ht="56" customHeight="1" s="380">
      <c r="A2607" s="126" t="n">
        <v>108</v>
      </c>
      <c r="B2607" s="390" t="n"/>
      <c r="C2607" s="390" t="inlineStr">
        <is>
          <t>Báo cáo theo Thông tư 121/2020/TT-BTC &gt;&gt; Báo cáo tỷ lệ An toàn tài chính &gt;&gt; Giá trị rủi ro hoạt động</t>
        </is>
      </c>
      <c r="D2607" s="390" t="inlineStr">
        <is>
          <t>20% vốn điều lệ tối thiểu cho các nghiệp vụ kinh doanh của công ty chứng khoán</t>
        </is>
      </c>
      <c r="E2607" s="390" t="inlineStr">
        <is>
          <t>20% vốn điều lệ tối thiểu cho các nghiệp vụ kinh doanh của công ty chứng khoán</t>
        </is>
      </c>
      <c r="F2607" s="390" t="inlineStr">
        <is>
          <t>Data Explorer</t>
        </is>
      </c>
      <c r="G2607" s="390" t="inlineStr">
        <is>
          <t>Chỉ tiêu cơ sở</t>
        </is>
      </c>
      <c r="H2607" s="390" t="inlineStr">
        <is>
          <t>TB</t>
        </is>
      </c>
      <c r="I2607" s="390" t="inlineStr">
        <is>
          <t>Ngày, CTCK</t>
        </is>
      </c>
      <c r="J2607" s="401" t="inlineStr">
        <is>
          <t>SCMS</t>
        </is>
      </c>
      <c r="K2607" s="401" t="n"/>
      <c r="L2607" s="401" t="inlineStr">
        <is>
          <t>X</t>
        </is>
      </c>
      <c r="M2607" s="401" t="n"/>
      <c r="N2607" s="401" t="inlineStr">
        <is>
          <t>Done</t>
        </is>
      </c>
      <c r="O2607" s="401" t="n"/>
      <c r="P2607" s="22" t="n"/>
      <c r="S2607" s="22" t="n"/>
      <c r="U2607" s="16" t="n"/>
      <c r="V2607" s="22" t="n"/>
      <c r="W2607" s="22" t="n"/>
      <c r="X2607" s="22" t="n"/>
      <c r="Y2607" s="395" t="n"/>
      <c r="Z2607" s="22" t="n"/>
      <c r="AA2607" s="22" t="n"/>
      <c r="AB2607" s="22" t="n"/>
      <c r="AC2607" s="22" t="n"/>
      <c r="AD2607" s="22" t="n"/>
      <c r="AE2607" s="22" t="n"/>
    </row>
    <row r="2608" ht="56" customHeight="1" s="380">
      <c r="A2608" s="128" t="n">
        <v>108</v>
      </c>
      <c r="B2608" s="129" t="n"/>
      <c r="C2608" s="129" t="inlineStr">
        <is>
          <t>Báo cáo theo Thông tư 121/2020/TT-BTC &gt;&gt; Báo cáo tỷ lệ An toàn tài chính &gt;&gt; Giá trị rủi ro hoạt động</t>
        </is>
      </c>
      <c r="D2608" s="129" t="inlineStr">
        <is>
          <t>TỔNG GIÁ TRỊ RỦI RO HOẠT ĐỘNG (MAX {IV, V})</t>
        </is>
      </c>
      <c r="E2608" s="129" t="inlineStr">
        <is>
          <t>TỔNG GIÁ TRỊ RỦI RO HOẠT ĐỘNG (MAX {IV, V})</t>
        </is>
      </c>
      <c r="F2608" s="129" t="inlineStr">
        <is>
          <t>Data Explorer</t>
        </is>
      </c>
      <c r="G2608" s="129" t="inlineStr">
        <is>
          <t>Chỉ tiêu cơ sở</t>
        </is>
      </c>
      <c r="H2608" s="129" t="inlineStr">
        <is>
          <t>TB</t>
        </is>
      </c>
      <c r="I2608" s="129" t="inlineStr">
        <is>
          <t>Ngày, CTCK</t>
        </is>
      </c>
      <c r="J2608" s="85" t="inlineStr">
        <is>
          <t>SCMS</t>
        </is>
      </c>
      <c r="K2608" s="85" t="n"/>
      <c r="L2608" s="85" t="inlineStr">
        <is>
          <t>X</t>
        </is>
      </c>
      <c r="M2608" s="85" t="n"/>
      <c r="N2608" s="85" t="inlineStr">
        <is>
          <t>Done</t>
        </is>
      </c>
      <c r="O2608" s="85" t="n"/>
      <c r="P2608" s="130" t="n"/>
      <c r="Q2608" s="426" t="n"/>
      <c r="R2608" s="426" t="n"/>
      <c r="S2608" s="130" t="n"/>
      <c r="T2608" s="426" t="n"/>
      <c r="U2608" s="131" t="n"/>
      <c r="V2608" s="130" t="n"/>
      <c r="W2608" s="130" t="n"/>
      <c r="X2608" s="130" t="n"/>
      <c r="Y2608" s="69" t="n"/>
      <c r="Z2608" s="130" t="n"/>
      <c r="AA2608" s="130" t="n"/>
      <c r="AB2608" s="130" t="n"/>
      <c r="AC2608" s="130" t="n"/>
      <c r="AD2608" s="130" t="n"/>
      <c r="AE2608" s="130" t="n"/>
    </row>
    <row r="2609" ht="70" customHeight="1" s="380">
      <c r="A2609" s="126" t="n">
        <v>109</v>
      </c>
      <c r="B2609" s="122" t="inlineStr">
        <is>
          <t>Nga</t>
        </is>
      </c>
      <c r="C2609" s="127" t="inlineStr">
        <is>
          <t>Báo cáo theo Thông tư 121/2020/TT-BTC &gt;&gt; Báo cáo tỷ lệ An toàn tài chính &gt;&gt; Bảng tổng hợp các chỉ tiêu rủi ro và vốn khả dụng</t>
        </is>
      </c>
      <c r="D2609" s="106" t="inlineStr">
        <is>
          <t>Loại báo cáo</t>
        </is>
      </c>
      <c r="E2609" s="107" t="inlineStr">
        <is>
          <t>Loại báo cáo</t>
        </is>
      </c>
      <c r="F2609" s="390" t="inlineStr">
        <is>
          <t>Data Explorer</t>
        </is>
      </c>
      <c r="G2609" s="390" t="inlineStr">
        <is>
          <t>Chiều</t>
        </is>
      </c>
      <c r="H2609" s="390" t="inlineStr">
        <is>
          <t>Dễ</t>
        </is>
      </c>
      <c r="I2609" s="390" t="inlineStr">
        <is>
          <t>Ngày, CTCK</t>
        </is>
      </c>
      <c r="J2609" s="401" t="inlineStr">
        <is>
          <t>SCMS</t>
        </is>
      </c>
      <c r="K2609" s="401" t="inlineStr">
        <is>
          <t>X</t>
        </is>
      </c>
      <c r="L2609" s="401" t="inlineStr">
        <is>
          <t>X</t>
        </is>
      </c>
      <c r="M2609" s="401" t="n"/>
      <c r="N2609" s="401" t="inlineStr">
        <is>
          <t>Done</t>
        </is>
      </c>
      <c r="O2609" s="401" t="n"/>
      <c r="P2609" s="22" t="n"/>
      <c r="Q2609" s="404" t="inlineStr">
        <is>
          <t>SCMS.BM_BAO_CAO
SCMS.BM_BAO_CAO_DINH_KY</t>
        </is>
      </c>
      <c r="R2609" s="404" t="inlineStr">
        <is>
          <t>bm.ID,
bm.MA_BAO_CAO,
bm.LOAI_BAO_CAO,
bm.TEN_BAO_CAO,
bm.SU_DUNG,
bdk.BM_BAO_CAO_ID,
bdk.KY_BAO_CAO,
bdk.SU_DUNG</t>
        </is>
      </c>
      <c r="S2609" s="22" t="n"/>
      <c r="T2609" s="389"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2609" s="16" t="n"/>
      <c r="V2609" s="22" t="n"/>
      <c r="W2609" s="22" t="n"/>
      <c r="X2609" s="22" t="n"/>
      <c r="Y2609" s="395" t="n"/>
      <c r="Z2609" s="22" t="n"/>
      <c r="AA2609" s="22" t="n"/>
      <c r="AB2609" s="22" t="n"/>
      <c r="AC2609" s="22" t="n"/>
      <c r="AD2609" s="22" t="n"/>
      <c r="AE2609" s="22" t="n"/>
    </row>
    <row r="2610" ht="70" customHeight="1" s="380">
      <c r="A2610" s="126" t="n">
        <v>109</v>
      </c>
      <c r="B2610" s="390" t="n"/>
      <c r="C2610" s="390" t="inlineStr">
        <is>
          <t>Báo cáo theo Thông tư 121/2020/TT-BTC &gt;&gt; Báo cáo tỷ lệ An toàn tài chính &gt;&gt; Bảng tổng hợp các chỉ tiêu rủi ro và vốn khả dụng</t>
        </is>
      </c>
      <c r="D2610" s="106" t="inlineStr">
        <is>
          <t>Kỳ báo cáo</t>
        </is>
      </c>
      <c r="E2610" s="107" t="inlineStr">
        <is>
          <t>Kỳ báo cáo</t>
        </is>
      </c>
      <c r="F2610" s="390" t="inlineStr">
        <is>
          <t>Data Explorer</t>
        </is>
      </c>
      <c r="G2610" s="390" t="inlineStr">
        <is>
          <t>Chiều</t>
        </is>
      </c>
      <c r="H2610" s="390" t="inlineStr">
        <is>
          <t>Dễ</t>
        </is>
      </c>
      <c r="I2610" s="390" t="inlineStr">
        <is>
          <t>Ngày, CTCK</t>
        </is>
      </c>
      <c r="J2610" s="401" t="inlineStr">
        <is>
          <t>SCMS</t>
        </is>
      </c>
      <c r="K2610" s="401" t="inlineStr">
        <is>
          <t>X</t>
        </is>
      </c>
      <c r="L2610" s="401" t="inlineStr">
        <is>
          <t>X</t>
        </is>
      </c>
      <c r="M2610" s="401" t="n"/>
      <c r="N2610" s="401" t="inlineStr">
        <is>
          <t>Done</t>
        </is>
      </c>
      <c r="O2610" s="401" t="n"/>
      <c r="P2610" s="22" t="n"/>
      <c r="S2610" s="22" t="n"/>
      <c r="U2610" s="16" t="n"/>
      <c r="V2610" s="22" t="n"/>
      <c r="W2610" s="22" t="n"/>
      <c r="X2610" s="22" t="n"/>
      <c r="Y2610" s="395" t="n"/>
      <c r="Z2610" s="22" t="n"/>
      <c r="AA2610" s="22" t="n"/>
      <c r="AB2610" s="22" t="n"/>
      <c r="AC2610" s="22" t="n"/>
      <c r="AD2610" s="22" t="n"/>
      <c r="AE2610" s="22" t="n"/>
    </row>
    <row r="2611" ht="70" customHeight="1" s="380">
      <c r="A2611" s="126" t="n">
        <v>109</v>
      </c>
      <c r="B2611" s="390" t="n"/>
      <c r="C2611" s="390" t="inlineStr">
        <is>
          <t>Báo cáo theo Thông tư 121/2020/TT-BTC &gt;&gt; Báo cáo tỷ lệ An toàn tài chính &gt;&gt; Bảng tổng hợp các chỉ tiêu rủi ro và vốn khả dụng</t>
        </is>
      </c>
      <c r="D2611" s="106" t="inlineStr">
        <is>
          <t>Mã báo cáo</t>
        </is>
      </c>
      <c r="E2611" s="107" t="inlineStr">
        <is>
          <t>Mã báo cáo</t>
        </is>
      </c>
      <c r="F2611" s="390" t="inlineStr">
        <is>
          <t>Data Explorer</t>
        </is>
      </c>
      <c r="G2611" s="390" t="inlineStr">
        <is>
          <t>Chiều</t>
        </is>
      </c>
      <c r="H2611" s="390" t="inlineStr">
        <is>
          <t>Dễ</t>
        </is>
      </c>
      <c r="I2611" s="390" t="inlineStr">
        <is>
          <t>Ngày, CTCK</t>
        </is>
      </c>
      <c r="J2611" s="401" t="inlineStr">
        <is>
          <t>SCMS</t>
        </is>
      </c>
      <c r="K2611" s="401" t="inlineStr">
        <is>
          <t>X</t>
        </is>
      </c>
      <c r="L2611" s="401" t="inlineStr">
        <is>
          <t>X</t>
        </is>
      </c>
      <c r="M2611" s="401" t="n"/>
      <c r="N2611" s="401" t="inlineStr">
        <is>
          <t>Done</t>
        </is>
      </c>
      <c r="O2611" s="401" t="n"/>
      <c r="P2611" s="22" t="n"/>
      <c r="S2611" s="22" t="n"/>
      <c r="U2611" s="16" t="n"/>
      <c r="V2611" s="22" t="n"/>
      <c r="W2611" s="22" t="n"/>
      <c r="X2611" s="22" t="n"/>
      <c r="Y2611" s="395" t="n"/>
      <c r="Z2611" s="22" t="n"/>
      <c r="AA2611" s="22" t="n"/>
      <c r="AB2611" s="22" t="n"/>
      <c r="AC2611" s="22" t="n"/>
      <c r="AD2611" s="22" t="n"/>
      <c r="AE2611" s="22" t="n"/>
    </row>
    <row r="2612" ht="70" customHeight="1" s="380">
      <c r="A2612" s="126" t="n">
        <v>109</v>
      </c>
      <c r="B2612" s="390" t="n"/>
      <c r="C2612" s="390" t="inlineStr">
        <is>
          <t>Báo cáo theo Thông tư 121/2020/TT-BTC &gt;&gt; Báo cáo tỷ lệ An toàn tài chính &gt;&gt; Bảng tổng hợp các chỉ tiêu rủi ro và vốn khả dụng</t>
        </is>
      </c>
      <c r="D2612" s="106" t="inlineStr">
        <is>
          <t>Tên báo cáo</t>
        </is>
      </c>
      <c r="E2612" s="107" t="inlineStr">
        <is>
          <t>Tên báo cáo</t>
        </is>
      </c>
      <c r="F2612" s="390" t="inlineStr">
        <is>
          <t>Data Explorer</t>
        </is>
      </c>
      <c r="G2612" s="390" t="inlineStr">
        <is>
          <t>Chiều</t>
        </is>
      </c>
      <c r="H2612" s="390" t="inlineStr">
        <is>
          <t>Dễ</t>
        </is>
      </c>
      <c r="I2612" s="390" t="inlineStr">
        <is>
          <t>Ngày, CTCK</t>
        </is>
      </c>
      <c r="J2612" s="401" t="inlineStr">
        <is>
          <t>SCMS</t>
        </is>
      </c>
      <c r="K2612" s="401" t="inlineStr">
        <is>
          <t>X</t>
        </is>
      </c>
      <c r="L2612" s="401" t="inlineStr">
        <is>
          <t>X</t>
        </is>
      </c>
      <c r="M2612" s="401" t="n"/>
      <c r="N2612" s="401" t="inlineStr">
        <is>
          <t>Done</t>
        </is>
      </c>
      <c r="O2612" s="401" t="n"/>
      <c r="P2612" s="22" t="n"/>
      <c r="S2612" s="22" t="n"/>
      <c r="U2612" s="16" t="n"/>
      <c r="V2612" s="22" t="n"/>
      <c r="W2612" s="22" t="n"/>
      <c r="X2612" s="22" t="n"/>
      <c r="Y2612" s="395" t="n"/>
      <c r="Z2612" s="22" t="n"/>
      <c r="AA2612" s="22" t="n"/>
      <c r="AB2612" s="22" t="n"/>
      <c r="AC2612" s="22" t="n"/>
      <c r="AD2612" s="22" t="n"/>
      <c r="AE2612" s="22" t="n"/>
    </row>
    <row r="2613" ht="70" customHeight="1" s="380">
      <c r="A2613" s="126" t="n">
        <v>109</v>
      </c>
      <c r="B2613" s="390" t="n"/>
      <c r="C2613" s="390" t="inlineStr">
        <is>
          <t>Báo cáo theo Thông tư 121/2020/TT-BTC &gt;&gt; Báo cáo tỷ lệ An toàn tài chính &gt;&gt; Bảng tổng hợp các chỉ tiêu rủi ro và vốn khả dụng</t>
        </is>
      </c>
      <c r="D2613" s="106" t="inlineStr">
        <is>
          <t>Mã sheet</t>
        </is>
      </c>
      <c r="E2613" s="106" t="inlineStr">
        <is>
          <t>Mã sheet</t>
        </is>
      </c>
      <c r="F2613" s="390" t="inlineStr">
        <is>
          <t>Data Explorer</t>
        </is>
      </c>
      <c r="G2613" s="390" t="inlineStr">
        <is>
          <t>Chiều</t>
        </is>
      </c>
      <c r="H2613" s="390" t="inlineStr">
        <is>
          <t>Dễ</t>
        </is>
      </c>
      <c r="I2613" s="390" t="inlineStr">
        <is>
          <t>Ngày, CTCK</t>
        </is>
      </c>
      <c r="J2613" s="401" t="inlineStr">
        <is>
          <t>SCMS</t>
        </is>
      </c>
      <c r="K2613" s="401" t="inlineStr">
        <is>
          <t>X</t>
        </is>
      </c>
      <c r="L2613" s="401" t="inlineStr">
        <is>
          <t>X</t>
        </is>
      </c>
      <c r="M2613" s="401" t="n"/>
      <c r="N2613" s="401" t="inlineStr">
        <is>
          <t>Done</t>
        </is>
      </c>
      <c r="O2613" s="401" t="n"/>
      <c r="P2613" s="22" t="n"/>
      <c r="Q2613" s="401" t="inlineStr">
        <is>
          <t>SCMS.BM_BAO_CAO
SCMS.BM_SHEET</t>
        </is>
      </c>
      <c r="R2613" s="401" t="inlineStr">
        <is>
          <t>bm.ID,
bm.MA_BAO_CAO,
bm.SU_DUNG,
s.BM_BAO_CAO_ID,
s.MA_SHEET,
s.TEN_SHEET,
s.SAP_XEP</t>
        </is>
      </c>
      <c r="S2613" s="22" t="n"/>
      <c r="T2613" s="389" t="inlineStr">
        <is>
          <t>-- Mã sheet / Tên sheet
-- TEN_SHEET: 06H08
SELECT bm.MA_BAO_CAO,
s.MA_SHEET,
s.TEN_SHEET
FROM SCMS.BM_BAO_CAO bm
JOIN SCMS.BM_SHEET s ON s.BM_BAO_CAO_ID = bm.ID
WHERE bm.MA_BAO_CAO LIKE 'BCTLAT_TT102/2025'
AND s.MA_SHEET = '06H08'  -- Check lại
AND bm.SU_DUNG = 1
ORDER BY bm.MA_BAO_CAO, s.SAP_XEP;</t>
        </is>
      </c>
      <c r="U2613" s="16" t="n"/>
      <c r="V2613" s="22" t="n"/>
      <c r="W2613" s="22" t="n"/>
      <c r="X2613" s="22" t="n"/>
      <c r="Y2613" s="395" t="n"/>
      <c r="Z2613" s="22" t="n"/>
      <c r="AA2613" s="22" t="n"/>
      <c r="AB2613" s="22" t="n"/>
      <c r="AC2613" s="22" t="n"/>
      <c r="AD2613" s="22" t="n"/>
      <c r="AE2613" s="22" t="n"/>
    </row>
    <row r="2614" ht="70" customHeight="1" s="380">
      <c r="A2614" s="126" t="n">
        <v>109</v>
      </c>
      <c r="B2614" s="390" t="n"/>
      <c r="C2614" s="390" t="inlineStr">
        <is>
          <t>Báo cáo theo Thông tư 121/2020/TT-BTC &gt;&gt; Báo cáo tỷ lệ An toàn tài chính &gt;&gt; Bảng tổng hợp các chỉ tiêu rủi ro và vốn khả dụng</t>
        </is>
      </c>
      <c r="D2614" s="106" t="inlineStr">
        <is>
          <t>Tên sheet</t>
        </is>
      </c>
      <c r="E2614" s="106" t="inlineStr">
        <is>
          <t>Tên sheet</t>
        </is>
      </c>
      <c r="F2614" s="390" t="inlineStr">
        <is>
          <t>Data Explorer</t>
        </is>
      </c>
      <c r="G2614" s="390" t="inlineStr">
        <is>
          <t>Chiều</t>
        </is>
      </c>
      <c r="H2614" s="390" t="inlineStr">
        <is>
          <t>Dễ</t>
        </is>
      </c>
      <c r="I2614" s="390" t="inlineStr">
        <is>
          <t>Ngày, CTCK</t>
        </is>
      </c>
      <c r="J2614" s="401" t="inlineStr">
        <is>
          <t>SCMS</t>
        </is>
      </c>
      <c r="K2614" s="401" t="inlineStr">
        <is>
          <t>X</t>
        </is>
      </c>
      <c r="L2614" s="401" t="inlineStr">
        <is>
          <t>X</t>
        </is>
      </c>
      <c r="M2614" s="401" t="n"/>
      <c r="N2614" s="401" t="inlineStr">
        <is>
          <t>Done</t>
        </is>
      </c>
      <c r="O2614" s="401" t="n"/>
      <c r="P2614" s="22" t="n"/>
      <c r="S2614" s="22" t="n"/>
      <c r="U2614" s="16" t="n"/>
      <c r="V2614" s="22" t="n"/>
      <c r="W2614" s="22" t="n"/>
      <c r="X2614" s="22" t="n"/>
      <c r="Y2614" s="395" t="n"/>
      <c r="Z2614" s="22" t="n"/>
      <c r="AA2614" s="22" t="n"/>
      <c r="AB2614" s="22" t="n"/>
      <c r="AC2614" s="22" t="n"/>
      <c r="AD2614" s="22" t="n"/>
      <c r="AE2614" s="22" t="n"/>
    </row>
    <row r="2615" ht="70" customHeight="1" s="380">
      <c r="A2615" s="126" t="n">
        <v>109</v>
      </c>
      <c r="B2615" s="390" t="n"/>
      <c r="C2615" s="390" t="inlineStr">
        <is>
          <t>Báo cáo theo Thông tư 121/2020/TT-BTC &gt;&gt; Báo cáo tỷ lệ An toàn tài chính &gt;&gt; Bảng tổng hợp các chỉ tiêu rủi ro và vốn khả dụng</t>
        </is>
      </c>
      <c r="D2615" s="106" t="inlineStr">
        <is>
          <t>Mã chỉ tiêu</t>
        </is>
      </c>
      <c r="E2615" s="107" t="inlineStr">
        <is>
          <t>Mã chỉ tiêu</t>
        </is>
      </c>
      <c r="F2615" s="390" t="inlineStr">
        <is>
          <t>Data Explorer</t>
        </is>
      </c>
      <c r="G2615" s="390" t="inlineStr">
        <is>
          <t>Chiều</t>
        </is>
      </c>
      <c r="H2615" s="390" t="inlineStr">
        <is>
          <t>Dễ</t>
        </is>
      </c>
      <c r="I2615" s="390" t="inlineStr">
        <is>
          <t>Ngày, CTCK</t>
        </is>
      </c>
      <c r="J2615" s="401" t="inlineStr">
        <is>
          <t>SCMS</t>
        </is>
      </c>
      <c r="K2615" s="401" t="inlineStr">
        <is>
          <t>X</t>
        </is>
      </c>
      <c r="L2615" s="401" t="inlineStr">
        <is>
          <t>X</t>
        </is>
      </c>
      <c r="M2615" s="401" t="n"/>
      <c r="N2615" s="401" t="inlineStr">
        <is>
          <t>Done</t>
        </is>
      </c>
      <c r="O2615" s="401" t="n"/>
      <c r="P2615" s="22" t="n"/>
      <c r="Q2615" s="401" t="inlineStr">
        <is>
          <t>SCMS.BM_BAO_CAO
SCMS.BM_SHEET
SCMS.BM_BAO_CAO_CT
SCMS.DM_CHI_TIEU</t>
        </is>
      </c>
      <c r="R2615" s="402" t="inlineStr">
        <is>
          <t>dct.ID,
dct.MA_CHI_TIEU,
dct.TEN_CHI_TIEU,
dct.SU_DUNG,
s.BM_BAO_CAO_ID,
s.MA_SHEET,
ct.BM_BAO_CAO_ID,
ct.DM_CHI_TIEU_ID,
ct.SU_DUNG,
bm.ID,
bm.MA_BAO_CAO,
bm.SU_DUNG</t>
        </is>
      </c>
      <c r="S2615" s="22" t="n"/>
      <c r="T2615" s="389" t="inlineStr">
        <is>
          <t>-- Mã chỉ tiêu / Tên chỉ tiêu
SELECT DISTINCT
    dct.MA_CHI_TIEU  AS ma_chi_tieu,
    dct.TEN_CHI_TIEU AS ten_chi_tieu
FROM SCMS.BM_BAO_CAO bm
JOIN SCMS.BM_SHEET s ON s.BM_BAO_CAO_ID = bm.ID
	AND s.MA_SHEET = '06H08'
JOIN SCMS.BM_BAO_CAO_CT ct ON ct.BM_SHEET_ID = s.ID
	AND ct.SU_DUNG = 1
JOIN SCMS.DM_CHI_TIEU dct ON dct.ID = ct.DM_CHI_TIEU_ID
	AND dct.SU_DUNG = 1
WHERE bm.MA_BAO_CAO LIKE 'BCTLAT_TT102/2025'
	AND bm.SU_DUNG = 1
ORDER BY dct.MA_CHI_TIEU;</t>
        </is>
      </c>
      <c r="U2615" s="16" t="n"/>
      <c r="V2615" s="22" t="n"/>
      <c r="W2615" s="22" t="n"/>
      <c r="X2615" s="22" t="n"/>
      <c r="Y2615" s="395" t="n"/>
      <c r="Z2615" s="22" t="n"/>
      <c r="AA2615" s="22" t="n"/>
      <c r="AB2615" s="22" t="n"/>
      <c r="AC2615" s="22" t="n"/>
      <c r="AD2615" s="22" t="n"/>
      <c r="AE2615" s="22" t="n"/>
    </row>
    <row r="2616" ht="70" customHeight="1" s="380">
      <c r="A2616" s="126" t="n">
        <v>109</v>
      </c>
      <c r="B2616" s="390" t="n"/>
      <c r="C2616" s="390" t="inlineStr">
        <is>
          <t>Báo cáo theo Thông tư 121/2020/TT-BTC &gt;&gt; Báo cáo tỷ lệ An toàn tài chính &gt;&gt; Bảng tổng hợp các chỉ tiêu rủi ro và vốn khả dụng</t>
        </is>
      </c>
      <c r="D2616" s="106" t="inlineStr">
        <is>
          <t>Tên chỉ tiêu</t>
        </is>
      </c>
      <c r="E2616" s="107" t="inlineStr">
        <is>
          <t>Tên chỉ tiêu</t>
        </is>
      </c>
      <c r="F2616" s="390" t="inlineStr">
        <is>
          <t>Data Explorer</t>
        </is>
      </c>
      <c r="G2616" s="390" t="inlineStr">
        <is>
          <t>Chiều</t>
        </is>
      </c>
      <c r="H2616" s="390" t="inlineStr">
        <is>
          <t>Dễ</t>
        </is>
      </c>
      <c r="I2616" s="390" t="inlineStr">
        <is>
          <t>Ngày, CTCK</t>
        </is>
      </c>
      <c r="J2616" s="401" t="inlineStr">
        <is>
          <t>SCMS</t>
        </is>
      </c>
      <c r="K2616" s="401" t="inlineStr">
        <is>
          <t>X</t>
        </is>
      </c>
      <c r="L2616" s="401" t="inlineStr">
        <is>
          <t>X</t>
        </is>
      </c>
      <c r="M2616" s="401" t="n"/>
      <c r="N2616" s="401" t="inlineStr">
        <is>
          <t>Done</t>
        </is>
      </c>
      <c r="O2616" s="401" t="n"/>
      <c r="P2616" s="22" t="n"/>
      <c r="S2616" s="22" t="n"/>
      <c r="U2616" s="16" t="n"/>
      <c r="V2616" s="22" t="n"/>
      <c r="W2616" s="22" t="n"/>
      <c r="X2616" s="22" t="n"/>
      <c r="Y2616" s="395" t="n"/>
      <c r="Z2616" s="22" t="n"/>
      <c r="AA2616" s="22" t="n"/>
      <c r="AB2616" s="22" t="n"/>
      <c r="AC2616" s="22" t="n"/>
      <c r="AD2616" s="22" t="n"/>
      <c r="AE2616" s="22" t="n"/>
    </row>
    <row r="2617" ht="70" customHeight="1" s="380">
      <c r="A2617" s="126" t="n">
        <v>109</v>
      </c>
      <c r="B2617" s="390" t="n"/>
      <c r="C2617" s="390" t="inlineStr">
        <is>
          <t>Báo cáo theo Thông tư 121/2020/TT-BTC &gt;&gt; Báo cáo tỷ lệ An toàn tài chính &gt;&gt; Bảng tổng hợp các chỉ tiêu rủi ro và vốn khả dụng</t>
        </is>
      </c>
      <c r="D2617" s="390" t="inlineStr">
        <is>
          <t xml:space="preserve">Tổng giá trị rủi ro thị trường
</t>
        </is>
      </c>
      <c r="E2617" s="390" t="inlineStr">
        <is>
          <t xml:space="preserve">Tổng giá trị rủi ro thị trường
</t>
        </is>
      </c>
      <c r="F2617" s="390" t="inlineStr">
        <is>
          <t>Data Explorer</t>
        </is>
      </c>
      <c r="G2617" s="390" t="inlineStr">
        <is>
          <t>Chỉ tiêu cơ sở</t>
        </is>
      </c>
      <c r="H2617" s="390" t="inlineStr">
        <is>
          <t>TB</t>
        </is>
      </c>
      <c r="I2617" s="390" t="inlineStr">
        <is>
          <t>Ngày, CTCK</t>
        </is>
      </c>
      <c r="J2617" s="401" t="inlineStr">
        <is>
          <t>SCMS</t>
        </is>
      </c>
      <c r="K2617" s="401" t="n"/>
      <c r="L2617" s="401" t="inlineStr">
        <is>
          <t>X</t>
        </is>
      </c>
      <c r="M2617" s="401" t="n"/>
      <c r="N2617" s="401" t="inlineStr">
        <is>
          <t>Done</t>
        </is>
      </c>
      <c r="O2617" s="401" t="n"/>
      <c r="P2617" s="22" t="n"/>
      <c r="Q2617" s="431" t="inlineStr">
        <is>
          <t>SCMS.BC_THANH_VIEN
SCMS.BM_BAO_CAO
SCMS.BC_BAO_CAO_GT
SCMS.BM_BAO_CAO_HANG
SCMS.BM_BAO_CAO_COT</t>
        </is>
      </c>
      <c r="R2617" s="431" t="inlineStr">
        <is>
          <t>bsc.TEN_COT,
bsc.BM_SHEET_ID,
bsh.ID,
bsh.MA_HANG,
gt.GIA_TRI,
gt.BC_THANH_VIEN_ID,
gt.BM_SHEET_HANG_ID,
bm.ID,
bm.MA_BAO_CAO,
btv.ID,
btv.BM_BAO_CAO_ID,
btv.TRANG_THAI,
btv.NGAY_SO_LIEU</t>
        </is>
      </c>
      <c r="S2617" s="22" t="n"/>
      <c r="T2617" s="432" t="inlineStr">
        <is>
          <t>-- CHỈ TIÊU
SELECT	
	-- Giá trị rủi ro/ Vốn khả dụng
	MAX(CASE WHEN bsc.TEN_COT=N'Giá trị rủi ro/ Vốn khả dụng' AND bsh.MA_HANG = '1' THEN CAST(gt.GIA_TRI AS VARCHAR2(4000)) END) AS "Tổng giá trị rủi ro thị trường",
	MAX(CASE WHEN bsc.TEN_COT=N'Giá trị rủi ro/ Vốn khả dụng' AND bsh.MA_HANG = '2' THEN CAST(gt.GIA_TRI AS VARCHAR2(4000)) END) AS "Tổng giá trị rủi ro thanh toán",
	MAX(CASE WHEN bsc.TEN_COT=N'Giá trị rủi ro/ Vốn khả dụng' AND bsh.MA_HANG = '3' THEN CAST(gt.GIA_TRI AS VARCHAR2(4000)) END) AS "Tổng giá trị rủi ro hoạt động ",
	MAX(CASE WHEN bsc.TEN_COT=N'Giá trị rủi ro/ Vốn khả dụng' AND bsh.MA_HANG = '4' THEN CAST(gt.GIA_TRI AS VARCHAR2(4000)) END) AS "Tổng giá trị rủi ro (4=1+2+3)",
	MAX(CASE WHEN bsc.TEN_COT=N'Giá trị rủi ro/ Vốn khả dụng' AND bsh.MA_HANG = '5' THEN CAST(gt.GIA_TRI AS VARCHAR2(4000)) END) AS "Vốn khả dụng",
	MAX(CASE WHEN bsc.TEN_COT=N'Giá trị rủi ro/ Vốn khả dụng' AND bsh.MA_HANG = '6' THEN CAST(gt.GIA_TRI AS VARCHAR2(4000)) END) AS "Tỷ lệ Vốn khả dụng (6=5/4)",
	-- Ghi chú
	MAX(CASE WHEN bsc.TEN_COT=N'Ghi chú' AND bsh.MA_HANG = '1' THEN CAST(gt.GIA_TRI AS VARCHAR2(4000)) END) AS "Tổng giá trị rủi ro thị trường",
	MAX(CASE WHEN bsc.TEN_COT=N'Ghi chú' AND bsh.MA_HANG = '2' THEN CAST(gt.GIA_TRI AS VARCHAR2(4000)) END) AS "Tổng giá trị rủi ro thanh toán",
	MAX(CASE WHEN bsc.TEN_COT=N'Ghi chú' AND bsh.MA_HANG = '3' THEN CAST(gt.GIA_TRI AS VARCHAR2(4000)) END) AS "Tổng giá trị rủi ro hoạt động ",
	MAX(CASE WHEN bsc.TEN_COT=N'Ghi chú' AND bsh.MA_HANG = '4' THEN CAST(gt.GIA_TRI AS VARCHAR2(4000)) END) AS "Tổng giá trị rủi ro (4=1+2+3)",
	MAX(CASE WHEN bsc.TEN_COT=N'Ghi chú' AND bsh.MA_HANG = '5' THEN CAST(gt.GIA_TRI AS VARCHAR2(4000)) END) AS "Vốn khả dụng",
	MAX(CASE WHEN bsc.TEN_COT=N'Ghi chú' AND bsh.MA_HANG = '6' THEN CAST(gt.GIA_TRI AS VARCHAR2(4000)) END) AS "Tỷ lệ Vốn khả dụng (6=5/4)"
FROM SCMS.BC_THANH_VIEN btv
JOIN SCMS.BM_BAO_CAO bm ON bm.ID = btv.BM_BAO_CAO_ID
JOIN SCMS.BC_BAO_CAO_GT gt ON gt.BC_THANH_VIEN_ID = btv.ID
JOIN SCMS.BM_BAO_CAO_HANG bsh ON bsh.ID = gt.BM_SHEET_HANG_ID
JOIN SCMS.BM_BAO_CAO_COT bsc ON bsc.BM_SHEET_ID = 8373
--                               AND bsc.TEN_COT = gt.TEN_COT
WHERE bm.MA_BAO_CAO LIKE 'BCTLAT_TT102/2025'
  AND btv.TRANG_THAI IN (2, 3)
GROUP BY
    btv.ID, btv.CTCK_THONG_TIN_ID, btv.NGAY_SO_LIEU, btv.TRANG_THAI,
    bm.MA_BAO_CAO
ORDER BY btv.NGAY_SO_LIEU DESC;</t>
        </is>
      </c>
      <c r="U2617" s="16" t="n"/>
      <c r="V2617" s="22" t="n"/>
      <c r="W2617" s="22" t="n"/>
      <c r="X2617" s="22" t="n"/>
      <c r="Y2617" s="395" t="n"/>
      <c r="Z2617" s="22" t="n"/>
      <c r="AA2617" s="22" t="n"/>
      <c r="AB2617" s="22" t="n"/>
      <c r="AC2617" s="22" t="n"/>
      <c r="AD2617" s="22" t="n"/>
      <c r="AE2617" s="22" t="n"/>
    </row>
    <row r="2618" ht="70" customHeight="1" s="380">
      <c r="A2618" s="126" t="n">
        <v>109</v>
      </c>
      <c r="B2618" s="390" t="n"/>
      <c r="C2618" s="390" t="inlineStr">
        <is>
          <t>Báo cáo theo Thông tư 121/2020/TT-BTC &gt;&gt; Báo cáo tỷ lệ An toàn tài chính &gt;&gt; Bảng tổng hợp các chỉ tiêu rủi ro và vốn khả dụng</t>
        </is>
      </c>
      <c r="D2618" s="390" t="inlineStr">
        <is>
          <t xml:space="preserve">Tổng giá trị rủi ro thanh toán
</t>
        </is>
      </c>
      <c r="E2618" s="390" t="inlineStr">
        <is>
          <t xml:space="preserve">Tổng giá trị rủi ro thanh toán
</t>
        </is>
      </c>
      <c r="F2618" s="390" t="inlineStr">
        <is>
          <t>Data Explorer</t>
        </is>
      </c>
      <c r="G2618" s="390" t="inlineStr">
        <is>
          <t>Chỉ tiêu cơ sở</t>
        </is>
      </c>
      <c r="H2618" s="390" t="inlineStr">
        <is>
          <t>TB</t>
        </is>
      </c>
      <c r="I2618" s="390" t="inlineStr">
        <is>
          <t>Ngày, CTCK</t>
        </is>
      </c>
      <c r="J2618" s="401" t="inlineStr">
        <is>
          <t>SCMS</t>
        </is>
      </c>
      <c r="K2618" s="401" t="n"/>
      <c r="L2618" s="401" t="inlineStr">
        <is>
          <t>X</t>
        </is>
      </c>
      <c r="M2618" s="401" t="n"/>
      <c r="N2618" s="401" t="inlineStr">
        <is>
          <t>Done</t>
        </is>
      </c>
      <c r="O2618" s="401" t="n"/>
      <c r="P2618" s="22" t="n"/>
      <c r="S2618" s="22" t="n"/>
      <c r="U2618" s="16" t="n"/>
      <c r="V2618" s="22" t="n"/>
      <c r="W2618" s="22" t="n"/>
      <c r="X2618" s="22" t="n"/>
      <c r="Y2618" s="395" t="n"/>
      <c r="Z2618" s="22" t="n"/>
      <c r="AA2618" s="22" t="n"/>
      <c r="AB2618" s="22" t="n"/>
      <c r="AC2618" s="22" t="n"/>
      <c r="AD2618" s="22" t="n"/>
      <c r="AE2618" s="22" t="n"/>
    </row>
    <row r="2619" ht="70" customHeight="1" s="380">
      <c r="A2619" s="126" t="n">
        <v>109</v>
      </c>
      <c r="B2619" s="390" t="n"/>
      <c r="C2619" s="390" t="inlineStr">
        <is>
          <t>Báo cáo theo Thông tư 121/2020/TT-BTC &gt;&gt; Báo cáo tỷ lệ An toàn tài chính &gt;&gt; Bảng tổng hợp các chỉ tiêu rủi ro và vốn khả dụng</t>
        </is>
      </c>
      <c r="D2619" s="390" t="inlineStr">
        <is>
          <t xml:space="preserve">Tổng giá trị rủi ro hoạt động 
</t>
        </is>
      </c>
      <c r="E2619" s="390" t="inlineStr">
        <is>
          <t xml:space="preserve">Tổng giá trị rủi ro hoạt động 
</t>
        </is>
      </c>
      <c r="F2619" s="390" t="inlineStr">
        <is>
          <t>Data Explorer</t>
        </is>
      </c>
      <c r="G2619" s="390" t="inlineStr">
        <is>
          <t>Chỉ tiêu cơ sở</t>
        </is>
      </c>
      <c r="H2619" s="390" t="inlineStr">
        <is>
          <t>TB</t>
        </is>
      </c>
      <c r="I2619" s="390" t="inlineStr">
        <is>
          <t>Ngày, CTCK</t>
        </is>
      </c>
      <c r="J2619" s="401" t="inlineStr">
        <is>
          <t>SCMS</t>
        </is>
      </c>
      <c r="K2619" s="401" t="n"/>
      <c r="L2619" s="401" t="inlineStr">
        <is>
          <t>X</t>
        </is>
      </c>
      <c r="M2619" s="401" t="n"/>
      <c r="N2619" s="401" t="inlineStr">
        <is>
          <t>Done</t>
        </is>
      </c>
      <c r="O2619" s="401" t="n"/>
      <c r="P2619" s="22" t="n"/>
      <c r="S2619" s="22" t="n"/>
      <c r="U2619" s="16" t="n"/>
      <c r="V2619" s="22" t="n"/>
      <c r="W2619" s="22" t="n"/>
      <c r="X2619" s="22" t="n"/>
      <c r="Y2619" s="395" t="n"/>
      <c r="Z2619" s="22" t="n"/>
      <c r="AA2619" s="22" t="n"/>
      <c r="AB2619" s="22" t="n"/>
      <c r="AC2619" s="22" t="n"/>
      <c r="AD2619" s="22" t="n"/>
      <c r="AE2619" s="22" t="n"/>
    </row>
    <row r="2620" ht="70" customHeight="1" s="380">
      <c r="A2620" s="126" t="n">
        <v>109</v>
      </c>
      <c r="B2620" s="390" t="n"/>
      <c r="C2620" s="390" t="inlineStr">
        <is>
          <t>Báo cáo theo Thông tư 121/2020/TT-BTC &gt;&gt; Báo cáo tỷ lệ An toàn tài chính &gt;&gt; Bảng tổng hợp các chỉ tiêu rủi ro và vốn khả dụng</t>
        </is>
      </c>
      <c r="D2620" s="390" t="inlineStr">
        <is>
          <t xml:space="preserve">Tổng giá trị rủi ro (4=1+2+3)
</t>
        </is>
      </c>
      <c r="E2620" s="390" t="inlineStr">
        <is>
          <t xml:space="preserve">Tổng giá trị rủi ro (4=1+2+3)
</t>
        </is>
      </c>
      <c r="F2620" s="390" t="inlineStr">
        <is>
          <t>Data Explorer</t>
        </is>
      </c>
      <c r="G2620" s="390" t="inlineStr">
        <is>
          <t>Chỉ tiêu cơ sở</t>
        </is>
      </c>
      <c r="H2620" s="390" t="inlineStr">
        <is>
          <t>TB</t>
        </is>
      </c>
      <c r="I2620" s="390" t="inlineStr">
        <is>
          <t>Ngày, CTCK</t>
        </is>
      </c>
      <c r="J2620" s="401" t="inlineStr">
        <is>
          <t>SCMS</t>
        </is>
      </c>
      <c r="K2620" s="401" t="n"/>
      <c r="L2620" s="401" t="inlineStr">
        <is>
          <t>X</t>
        </is>
      </c>
      <c r="M2620" s="401" t="n"/>
      <c r="N2620" s="401" t="inlineStr">
        <is>
          <t>Done</t>
        </is>
      </c>
      <c r="O2620" s="401" t="n"/>
      <c r="P2620" s="22" t="n"/>
      <c r="S2620" s="22" t="n"/>
      <c r="U2620" s="16" t="n"/>
      <c r="V2620" s="22" t="n"/>
      <c r="W2620" s="22" t="n"/>
      <c r="X2620" s="22" t="n"/>
      <c r="Y2620" s="395" t="n"/>
      <c r="Z2620" s="22" t="n"/>
      <c r="AA2620" s="22" t="n"/>
      <c r="AB2620" s="22" t="n"/>
      <c r="AC2620" s="22" t="n"/>
      <c r="AD2620" s="22" t="n"/>
      <c r="AE2620" s="22" t="n"/>
    </row>
    <row r="2621" ht="70" customHeight="1" s="380">
      <c r="A2621" s="126" t="n">
        <v>109</v>
      </c>
      <c r="B2621" s="390" t="n"/>
      <c r="C2621" s="390" t="inlineStr">
        <is>
          <t>Báo cáo theo Thông tư 121/2020/TT-BTC &gt;&gt; Báo cáo tỷ lệ An toàn tài chính &gt;&gt; Bảng tổng hợp các chỉ tiêu rủi ro và vốn khả dụng</t>
        </is>
      </c>
      <c r="D2621" s="390" t="inlineStr">
        <is>
          <t xml:space="preserve">Vốn khả dụng
</t>
        </is>
      </c>
      <c r="E2621" s="390" t="inlineStr">
        <is>
          <t xml:space="preserve">Vốn khả dụng
</t>
        </is>
      </c>
      <c r="F2621" s="390" t="inlineStr">
        <is>
          <t>Data Explorer</t>
        </is>
      </c>
      <c r="G2621" s="390" t="inlineStr">
        <is>
          <t>Chỉ tiêu cơ sở</t>
        </is>
      </c>
      <c r="H2621" s="390" t="inlineStr">
        <is>
          <t>TB</t>
        </is>
      </c>
      <c r="I2621" s="390" t="inlineStr">
        <is>
          <t>Ngày, CTCK</t>
        </is>
      </c>
      <c r="J2621" s="401" t="inlineStr">
        <is>
          <t>SCMS</t>
        </is>
      </c>
      <c r="K2621" s="401" t="n"/>
      <c r="L2621" s="401" t="inlineStr">
        <is>
          <t>X</t>
        </is>
      </c>
      <c r="M2621" s="401" t="n"/>
      <c r="N2621" s="401" t="inlineStr">
        <is>
          <t>Done</t>
        </is>
      </c>
      <c r="O2621" s="401" t="n"/>
      <c r="P2621" s="22" t="n"/>
      <c r="S2621" s="22" t="n"/>
      <c r="U2621" s="16" t="n"/>
      <c r="V2621" s="22" t="n"/>
      <c r="W2621" s="22" t="n"/>
      <c r="X2621" s="22" t="n"/>
      <c r="Y2621" s="395" t="n"/>
      <c r="Z2621" s="22" t="n"/>
      <c r="AA2621" s="22" t="n"/>
      <c r="AB2621" s="22" t="n"/>
      <c r="AC2621" s="22" t="n"/>
      <c r="AD2621" s="22" t="n"/>
      <c r="AE2621" s="22" t="n"/>
    </row>
    <row r="2622" ht="70" customHeight="1" s="380">
      <c r="A2622" s="128" t="n">
        <v>109</v>
      </c>
      <c r="B2622" s="129" t="n"/>
      <c r="C2622" s="129" t="inlineStr">
        <is>
          <t>Báo cáo theo Thông tư 121/2020/TT-BTC &gt;&gt; Báo cáo tỷ lệ An toàn tài chính &gt;&gt; Bảng tổng hợp các chỉ tiêu rủi ro và vốn khả dụng</t>
        </is>
      </c>
      <c r="D2622" s="129" t="inlineStr">
        <is>
          <t xml:space="preserve">Tỷ lệ Vốn khả dụng (6=5/4)
</t>
        </is>
      </c>
      <c r="E2622" s="129" t="inlineStr">
        <is>
          <t xml:space="preserve">Tỷ lệ Vốn khả dụng (6=5/4)
</t>
        </is>
      </c>
      <c r="F2622" s="129" t="inlineStr">
        <is>
          <t>Data Explorer</t>
        </is>
      </c>
      <c r="G2622" s="129" t="inlineStr">
        <is>
          <t>Chỉ tiêu cơ sở</t>
        </is>
      </c>
      <c r="H2622" s="129" t="inlineStr">
        <is>
          <t>TB</t>
        </is>
      </c>
      <c r="I2622" s="129" t="inlineStr">
        <is>
          <t>Ngày, CTCK</t>
        </is>
      </c>
      <c r="J2622" s="85" t="inlineStr">
        <is>
          <t>SCMS</t>
        </is>
      </c>
      <c r="K2622" s="85" t="n"/>
      <c r="L2622" s="85" t="inlineStr">
        <is>
          <t>X</t>
        </is>
      </c>
      <c r="M2622" s="85" t="n"/>
      <c r="N2622" s="85" t="inlineStr">
        <is>
          <t>Done</t>
        </is>
      </c>
      <c r="O2622" s="85" t="n"/>
      <c r="P2622" s="130" t="n"/>
      <c r="Q2622" s="426" t="n"/>
      <c r="R2622" s="426" t="n"/>
      <c r="S2622" s="130" t="n"/>
      <c r="T2622" s="426" t="n"/>
      <c r="U2622" s="131" t="n"/>
      <c r="V2622" s="130" t="n"/>
      <c r="W2622" s="130" t="n"/>
      <c r="X2622" s="130" t="n"/>
      <c r="Y2622" s="69" t="n"/>
      <c r="Z2622" s="130" t="n"/>
      <c r="AA2622" s="130" t="n"/>
      <c r="AB2622" s="130" t="n"/>
      <c r="AC2622" s="130" t="n"/>
      <c r="AD2622" s="130" t="n"/>
      <c r="AE2622" s="130" t="n"/>
    </row>
    <row r="2623" ht="42" customHeight="1" s="380">
      <c r="A2623" s="126" t="n">
        <v>110</v>
      </c>
      <c r="B2623" s="122" t="inlineStr">
        <is>
          <t>Nga</t>
        </is>
      </c>
      <c r="C2623" s="127" t="inlineStr">
        <is>
          <t>Báo cáo theo Thông tư 121/2020/TT-BTC &gt;&gt; Báo cáo quản trị rủi ro</t>
        </is>
      </c>
      <c r="D2623" s="106" t="inlineStr">
        <is>
          <t>Loại báo cáo</t>
        </is>
      </c>
      <c r="E2623" s="107" t="inlineStr">
        <is>
          <t>Loại báo cáo</t>
        </is>
      </c>
      <c r="F2623" s="390" t="inlineStr">
        <is>
          <t>Data Explorer</t>
        </is>
      </c>
      <c r="G2623" s="390" t="inlineStr">
        <is>
          <t>Chiều</t>
        </is>
      </c>
      <c r="H2623" s="390" t="inlineStr">
        <is>
          <t>Dễ</t>
        </is>
      </c>
      <c r="I2623" s="390" t="inlineStr">
        <is>
          <t>Ngày, CTCK</t>
        </is>
      </c>
      <c r="J2623" s="401" t="inlineStr">
        <is>
          <t>SCMS</t>
        </is>
      </c>
      <c r="K2623" s="401" t="inlineStr">
        <is>
          <t>X</t>
        </is>
      </c>
      <c r="L2623" s="401" t="inlineStr">
        <is>
          <t>X</t>
        </is>
      </c>
      <c r="M2623" s="401" t="n"/>
      <c r="N2623" s="401" t="inlineStr">
        <is>
          <t>Done</t>
        </is>
      </c>
      <c r="O2623" s="401" t="n"/>
      <c r="P2623" s="22" t="n"/>
      <c r="Q2623" s="404" t="inlineStr">
        <is>
          <t>SCMS.BM_BAO_CAO
SCMS.BM_BAO_CAO_DINH_KY</t>
        </is>
      </c>
      <c r="R2623" s="404" t="inlineStr">
        <is>
          <t>bm.ID,
bm.MA_BAO_CAO,
bm.LOAI_BAO_CAO,
bm.TEN_BAO_CAO,
bm.SU_DUNG,
bdk.BM_BAO_CAO_ID,
bdk.KY_BAO_CAO,
bdk.SU_DUNG</t>
        </is>
      </c>
      <c r="S2623" s="22" t="n"/>
      <c r="T2623" s="389" t="inlineStr">
        <is>
          <t>-- Loại BC / Kỳ BC / Mã BC / Tên BC (chiều DWH – dùng chung)
-- MA_BAO_CAO: QTRR_BN | QTRR_NAM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'QTRR'
	AND bm.SU_DUNG = 1
ORDER BY bdk.KY_BAO_CAO;</t>
        </is>
      </c>
      <c r="U2623" s="16" t="n"/>
      <c r="V2623" s="22" t="n"/>
      <c r="W2623" s="22" t="n"/>
      <c r="X2623" s="22" t="n"/>
      <c r="Y2623" s="395" t="n"/>
      <c r="Z2623" s="22" t="n"/>
      <c r="AA2623" s="22" t="n"/>
      <c r="AB2623" s="22" t="n"/>
      <c r="AC2623" s="22" t="n"/>
      <c r="AD2623" s="22" t="n"/>
      <c r="AE2623" s="22" t="n"/>
    </row>
    <row r="2624" ht="42" customHeight="1" s="380">
      <c r="A2624" s="126" t="n">
        <v>110</v>
      </c>
      <c r="B2624" s="390" t="n"/>
      <c r="C2624" s="390" t="inlineStr">
        <is>
          <t>Báo cáo theo Thông tư 121/2020/TT-BTC &gt;&gt; Báo cáo quản trị rủi ro</t>
        </is>
      </c>
      <c r="D2624" s="106" t="inlineStr">
        <is>
          <t>Kỳ báo cáo</t>
        </is>
      </c>
      <c r="E2624" s="107" t="inlineStr">
        <is>
          <t>Kỳ báo cáo</t>
        </is>
      </c>
      <c r="F2624" s="390" t="inlineStr">
        <is>
          <t>Data Explorer</t>
        </is>
      </c>
      <c r="G2624" s="390" t="inlineStr">
        <is>
          <t>Chiều</t>
        </is>
      </c>
      <c r="H2624" s="390" t="inlineStr">
        <is>
          <t>Dễ</t>
        </is>
      </c>
      <c r="I2624" s="390" t="inlineStr">
        <is>
          <t>Ngày, CTCK</t>
        </is>
      </c>
      <c r="J2624" s="401" t="inlineStr">
        <is>
          <t>SCMS</t>
        </is>
      </c>
      <c r="K2624" s="401" t="inlineStr">
        <is>
          <t>X</t>
        </is>
      </c>
      <c r="L2624" s="401" t="inlineStr">
        <is>
          <t>X</t>
        </is>
      </c>
      <c r="M2624" s="401" t="n"/>
      <c r="N2624" s="401" t="inlineStr">
        <is>
          <t>Done</t>
        </is>
      </c>
      <c r="O2624" s="401" t="n"/>
      <c r="P2624" s="22" t="n"/>
      <c r="S2624" s="22" t="n"/>
      <c r="U2624" s="16" t="n"/>
      <c r="V2624" s="22" t="n"/>
      <c r="W2624" s="22" t="n"/>
      <c r="X2624" s="22" t="n"/>
      <c r="Y2624" s="395" t="n"/>
      <c r="Z2624" s="22" t="n"/>
      <c r="AA2624" s="22" t="n"/>
      <c r="AB2624" s="22" t="n"/>
      <c r="AC2624" s="22" t="n"/>
      <c r="AD2624" s="22" t="n"/>
      <c r="AE2624" s="22" t="n"/>
    </row>
    <row r="2625" ht="42" customHeight="1" s="380">
      <c r="A2625" s="126" t="n">
        <v>110</v>
      </c>
      <c r="B2625" s="390" t="n"/>
      <c r="C2625" s="390" t="inlineStr">
        <is>
          <t>Báo cáo theo Thông tư 121/2020/TT-BTC &gt;&gt; Báo cáo quản trị rủi ro</t>
        </is>
      </c>
      <c r="D2625" s="106" t="inlineStr">
        <is>
          <t>Mã báo cáo</t>
        </is>
      </c>
      <c r="E2625" s="107" t="inlineStr">
        <is>
          <t>Mã báo cáo</t>
        </is>
      </c>
      <c r="F2625" s="390" t="inlineStr">
        <is>
          <t>Data Explorer</t>
        </is>
      </c>
      <c r="G2625" s="390" t="inlineStr">
        <is>
          <t>Chiều</t>
        </is>
      </c>
      <c r="H2625" s="390" t="inlineStr">
        <is>
          <t>Dễ</t>
        </is>
      </c>
      <c r="I2625" s="390" t="inlineStr">
        <is>
          <t>Ngày, CTCK</t>
        </is>
      </c>
      <c r="J2625" s="401" t="inlineStr">
        <is>
          <t>SCMS</t>
        </is>
      </c>
      <c r="K2625" s="401" t="inlineStr">
        <is>
          <t>X</t>
        </is>
      </c>
      <c r="L2625" s="401" t="inlineStr">
        <is>
          <t>X</t>
        </is>
      </c>
      <c r="M2625" s="401" t="n"/>
      <c r="N2625" s="401" t="inlineStr">
        <is>
          <t>Done</t>
        </is>
      </c>
      <c r="O2625" s="401" t="n"/>
      <c r="P2625" s="22" t="n"/>
      <c r="S2625" s="22" t="n"/>
      <c r="U2625" s="16" t="n"/>
      <c r="V2625" s="22" t="n"/>
      <c r="W2625" s="22" t="n"/>
      <c r="X2625" s="22" t="n"/>
      <c r="Y2625" s="395" t="n"/>
      <c r="Z2625" s="22" t="n"/>
      <c r="AA2625" s="22" t="n"/>
      <c r="AB2625" s="22" t="n"/>
      <c r="AC2625" s="22" t="n"/>
      <c r="AD2625" s="22" t="n"/>
      <c r="AE2625" s="22" t="n"/>
    </row>
    <row r="2626" ht="42" customHeight="1" s="380">
      <c r="A2626" s="126" t="n">
        <v>110</v>
      </c>
      <c r="B2626" s="390" t="n"/>
      <c r="C2626" s="390" t="inlineStr">
        <is>
          <t>Báo cáo theo Thông tư 121/2020/TT-BTC &gt;&gt; Báo cáo quản trị rủi ro</t>
        </is>
      </c>
      <c r="D2626" s="106" t="inlineStr">
        <is>
          <t>Tên báo cáo</t>
        </is>
      </c>
      <c r="E2626" s="107" t="inlineStr">
        <is>
          <t>Tên báo cáo</t>
        </is>
      </c>
      <c r="F2626" s="390" t="inlineStr">
        <is>
          <t>Data Explorer</t>
        </is>
      </c>
      <c r="G2626" s="390" t="inlineStr">
        <is>
          <t>Chiều</t>
        </is>
      </c>
      <c r="H2626" s="390" t="inlineStr">
        <is>
          <t>Dễ</t>
        </is>
      </c>
      <c r="I2626" s="390" t="inlineStr">
        <is>
          <t>Ngày, CTCK</t>
        </is>
      </c>
      <c r="J2626" s="401" t="inlineStr">
        <is>
          <t>SCMS</t>
        </is>
      </c>
      <c r="K2626" s="401" t="inlineStr">
        <is>
          <t>X</t>
        </is>
      </c>
      <c r="L2626" s="401" t="inlineStr">
        <is>
          <t>X</t>
        </is>
      </c>
      <c r="M2626" s="401" t="n"/>
      <c r="N2626" s="401" t="inlineStr">
        <is>
          <t>Done</t>
        </is>
      </c>
      <c r="O2626" s="401" t="n"/>
      <c r="P2626" s="22" t="n"/>
      <c r="S2626" s="22" t="n"/>
      <c r="U2626" s="16" t="n"/>
      <c r="V2626" s="22" t="n"/>
      <c r="W2626" s="22" t="n"/>
      <c r="X2626" s="22" t="n"/>
      <c r="Y2626" s="395" t="n"/>
      <c r="Z2626" s="22" t="n"/>
      <c r="AA2626" s="22" t="n"/>
      <c r="AB2626" s="22" t="n"/>
      <c r="AC2626" s="22" t="n"/>
      <c r="AD2626" s="22" t="n"/>
      <c r="AE2626" s="22" t="n"/>
    </row>
    <row r="2627" ht="42" customHeight="1" s="380">
      <c r="A2627" s="126" t="n">
        <v>110</v>
      </c>
      <c r="B2627" s="390" t="n"/>
      <c r="C2627" s="390" t="inlineStr">
        <is>
          <t>Báo cáo theo Thông tư 121/2020/TT-BTC &gt;&gt; Báo cáo quản trị rủi ro</t>
        </is>
      </c>
      <c r="D2627" s="106" t="inlineStr">
        <is>
          <t>Mã sheet</t>
        </is>
      </c>
      <c r="E2627" s="106" t="inlineStr">
        <is>
          <t>Mã sheet</t>
        </is>
      </c>
      <c r="F2627" s="390" t="inlineStr">
        <is>
          <t>Data Explorer</t>
        </is>
      </c>
      <c r="G2627" s="390" t="inlineStr">
        <is>
          <t>Chiều</t>
        </is>
      </c>
      <c r="H2627" s="390" t="inlineStr">
        <is>
          <t>Dễ</t>
        </is>
      </c>
      <c r="I2627" s="390" t="inlineStr">
        <is>
          <t>Ngày, CTCK</t>
        </is>
      </c>
      <c r="J2627" s="401" t="inlineStr">
        <is>
          <t>SCMS</t>
        </is>
      </c>
      <c r="K2627" s="401" t="inlineStr">
        <is>
          <t>X</t>
        </is>
      </c>
      <c r="L2627" s="401" t="inlineStr">
        <is>
          <t>X</t>
        </is>
      </c>
      <c r="M2627" s="401" t="n"/>
      <c r="N2627" s="401" t="inlineStr">
        <is>
          <t>Done</t>
        </is>
      </c>
      <c r="O2627" s="401" t="n"/>
      <c r="P2627" s="22" t="n"/>
      <c r="Q2627" s="401" t="inlineStr">
        <is>
          <t>SCMS.BM_BAO_CAO
SCMS.BM_SHEET</t>
        </is>
      </c>
      <c r="R2627" s="402" t="inlineStr">
        <is>
          <t>bm.ID,
bm.MA_BAO_CAO,
bm.SU_DUNG,
s.BM_BAO_CAO_ID,
s.MA_SHEET,
s.TEN_SHEET,
s.SAP_XEP</t>
        </is>
      </c>
      <c r="S2627" s="22" t="n"/>
      <c r="T2627" s="389" t="inlineStr">
        <is>
          <t>-- Mã sheet / Tên sheet
-- TEN_SHEET: Bomayquantri (7784)
SELECT bm.MA_BAO_CAO,
s.MA_SHEET,
s.TEN_SHEET
FROM SCMS.BM_BAO_CAO bm
JOIN SCMS.BM_SHEET s ON s.BM_BAO_CAO_ID = bm.ID
WHERE bm.MA_BAO_CAO LIKE 'QTRR'
AND s.MA_SHEET = '7784'  -- Check lại
AND bm.SU_DUNG = 1
ORDER BY bm.MA_BAO_CAO, s.SAP_XEP;</t>
        </is>
      </c>
      <c r="U2627" s="16" t="n"/>
      <c r="V2627" s="22" t="n"/>
      <c r="W2627" s="22" t="n"/>
      <c r="X2627" s="22" t="n"/>
      <c r="Y2627" s="395" t="n"/>
      <c r="Z2627" s="22" t="n"/>
      <c r="AA2627" s="22" t="n"/>
      <c r="AB2627" s="22" t="n"/>
      <c r="AC2627" s="22" t="n"/>
      <c r="AD2627" s="22" t="n"/>
      <c r="AE2627" s="22" t="n"/>
    </row>
    <row r="2628" ht="42" customHeight="1" s="380">
      <c r="A2628" s="126" t="n">
        <v>110</v>
      </c>
      <c r="B2628" s="390" t="n"/>
      <c r="C2628" s="390" t="inlineStr">
        <is>
          <t>Báo cáo theo Thông tư 121/2020/TT-BTC &gt;&gt; Báo cáo quản trị rủi ro</t>
        </is>
      </c>
      <c r="D2628" s="106" t="inlineStr">
        <is>
          <t>Tên sheet</t>
        </is>
      </c>
      <c r="E2628" s="106" t="inlineStr">
        <is>
          <t>Tên sheet</t>
        </is>
      </c>
      <c r="F2628" s="390" t="inlineStr">
        <is>
          <t>Data Explorer</t>
        </is>
      </c>
      <c r="G2628" s="390" t="inlineStr">
        <is>
          <t>Chiều</t>
        </is>
      </c>
      <c r="H2628" s="390" t="inlineStr">
        <is>
          <t>Dễ</t>
        </is>
      </c>
      <c r="I2628" s="390" t="inlineStr">
        <is>
          <t>Ngày, CTCK</t>
        </is>
      </c>
      <c r="J2628" s="401" t="inlineStr">
        <is>
          <t>SCMS</t>
        </is>
      </c>
      <c r="K2628" s="401" t="inlineStr">
        <is>
          <t>X</t>
        </is>
      </c>
      <c r="L2628" s="401" t="inlineStr">
        <is>
          <t>X</t>
        </is>
      </c>
      <c r="M2628" s="401" t="n"/>
      <c r="N2628" s="401" t="inlineStr">
        <is>
          <t>Done</t>
        </is>
      </c>
      <c r="O2628" s="401" t="n"/>
      <c r="P2628" s="22" t="n"/>
      <c r="S2628" s="22" t="n"/>
      <c r="U2628" s="16" t="n"/>
      <c r="V2628" s="22" t="n"/>
      <c r="W2628" s="22" t="n"/>
      <c r="X2628" s="22" t="n"/>
      <c r="Y2628" s="395" t="n"/>
      <c r="Z2628" s="22" t="n"/>
      <c r="AA2628" s="22" t="n"/>
      <c r="AB2628" s="22" t="n"/>
      <c r="AC2628" s="22" t="n"/>
      <c r="AD2628" s="22" t="n"/>
      <c r="AE2628" s="22" t="n"/>
    </row>
    <row r="2629" ht="42" customHeight="1" s="380">
      <c r="A2629" s="126" t="n">
        <v>110</v>
      </c>
      <c r="B2629" s="390" t="n"/>
      <c r="C2629" s="390" t="inlineStr">
        <is>
          <t>Báo cáo theo Thông tư 121/2020/TT-BTC &gt;&gt; Báo cáo quản trị rủi ro</t>
        </is>
      </c>
      <c r="D2629" s="106" t="inlineStr">
        <is>
          <t>Mã chỉ tiêu</t>
        </is>
      </c>
      <c r="E2629" s="107" t="inlineStr">
        <is>
          <t>Mã chỉ tiêu</t>
        </is>
      </c>
      <c r="F2629" s="390" t="inlineStr">
        <is>
          <t>Data Explorer</t>
        </is>
      </c>
      <c r="G2629" s="390" t="inlineStr">
        <is>
          <t>Chiều</t>
        </is>
      </c>
      <c r="H2629" s="390" t="inlineStr">
        <is>
          <t>Dễ</t>
        </is>
      </c>
      <c r="I2629" s="390" t="inlineStr">
        <is>
          <t>Ngày, CTCK</t>
        </is>
      </c>
      <c r="J2629" s="401" t="inlineStr">
        <is>
          <t>SCMS</t>
        </is>
      </c>
      <c r="K2629" s="401" t="inlineStr">
        <is>
          <t>X</t>
        </is>
      </c>
      <c r="L2629" s="401" t="inlineStr">
        <is>
          <t>X</t>
        </is>
      </c>
      <c r="M2629" s="401" t="n"/>
      <c r="N2629" s="401" t="inlineStr">
        <is>
          <t>Done</t>
        </is>
      </c>
      <c r="O2629" s="401" t="n"/>
      <c r="P2629" s="22" t="n"/>
      <c r="Q2629" s="401" t="inlineStr">
        <is>
          <t>SCMS.BM_BAO_CAO
SCMS.BM_SHEET
SCMS.BM_BAO_CAO_CT
SCMS.DM_CHI_TIEU</t>
        </is>
      </c>
      <c r="R2629" s="402" t="inlineStr">
        <is>
          <t>dct.ID,
dct.MA_CHI_TIEU,
dct.TEN_CHI_TIEU,
dct.SU_DUNG,
s.BM_BAO_CAO_ID,
s.MA_SHEET,
ct.BM_BAO_CAO_ID,
ct.DM_CHI_TIEU_ID,
ct.SU_DUNG,
bm.ID,
bm.MA_BAO_CAO,
bm.SU_DUNG</t>
        </is>
      </c>
      <c r="S2629" s="22" t="n"/>
      <c r="T2629" s="389" t="inlineStr">
        <is>
          <t>-- Mã chỉ tiêu / Tên chỉ tiêu
SELECT DISTINCT
    dct.MA_CHI_TIEU  AS ma_chi_tieu,
    dct.TEN_CHI_TIEU AS ten_chi_tieu
FROM SCMS.BM_BAO_CAO bm
JOIN SCMS.BM_SHEET s ON s.BM_BAO_CAO_ID = bm.ID
	AND s.MA_SHEET = '7784'
JOIN SCMS.BM_BAO_CAO_CT ct ON ct.BM_SHEET_ID = s.ID
	AND ct.SU_DUNG = 1
JOIN SCMS.DM_CHI_TIEU dct ON dct.ID = ct.DM_CHI_TIEU_ID
	AND dct.SU_DUNG = 1
WHERE bm.MA_BAO_CAO LIKE 'QTRR'
	AND bm.SU_DUNG = 1
ORDER BY dct.MA_CHI_TIEU;</t>
        </is>
      </c>
      <c r="U2629" s="16" t="n"/>
      <c r="V2629" s="22" t="n"/>
      <c r="W2629" s="22" t="n"/>
      <c r="X2629" s="22" t="n"/>
      <c r="Y2629" s="395" t="n"/>
      <c r="Z2629" s="22" t="n"/>
      <c r="AA2629" s="22" t="n"/>
      <c r="AB2629" s="22" t="n"/>
      <c r="AC2629" s="22" t="n"/>
      <c r="AD2629" s="22" t="n"/>
      <c r="AE2629" s="22" t="n"/>
    </row>
    <row r="2630" ht="42" customHeight="1" s="380">
      <c r="A2630" s="126" t="n">
        <v>110</v>
      </c>
      <c r="B2630" s="390" t="n"/>
      <c r="C2630" s="390" t="inlineStr">
        <is>
          <t>Báo cáo theo Thông tư 121/2020/TT-BTC &gt;&gt; Báo cáo quản trị rủi ro</t>
        </is>
      </c>
      <c r="D2630" s="106" t="inlineStr">
        <is>
          <t>Tên chỉ tiêu</t>
        </is>
      </c>
      <c r="E2630" s="107" t="inlineStr">
        <is>
          <t>Tên chỉ tiêu</t>
        </is>
      </c>
      <c r="F2630" s="390" t="inlineStr">
        <is>
          <t>Data Explorer</t>
        </is>
      </c>
      <c r="G2630" s="390" t="inlineStr">
        <is>
          <t>Chiều</t>
        </is>
      </c>
      <c r="H2630" s="390" t="inlineStr">
        <is>
          <t>Dễ</t>
        </is>
      </c>
      <c r="I2630" s="390" t="inlineStr">
        <is>
          <t>Ngày, CTCK</t>
        </is>
      </c>
      <c r="J2630" s="401" t="inlineStr">
        <is>
          <t>SCMS</t>
        </is>
      </c>
      <c r="K2630" s="401" t="inlineStr">
        <is>
          <t>X</t>
        </is>
      </c>
      <c r="L2630" s="401" t="inlineStr">
        <is>
          <t>X</t>
        </is>
      </c>
      <c r="M2630" s="401" t="n"/>
      <c r="N2630" s="401" t="inlineStr">
        <is>
          <t>Done</t>
        </is>
      </c>
      <c r="O2630" s="401" t="n"/>
      <c r="P2630" s="22" t="n"/>
      <c r="S2630" s="22" t="n"/>
      <c r="U2630" s="16" t="n"/>
      <c r="V2630" s="22" t="n"/>
      <c r="W2630" s="22" t="n"/>
      <c r="X2630" s="22" t="n"/>
      <c r="Y2630" s="395" t="n"/>
      <c r="Z2630" s="22" t="n"/>
      <c r="AA2630" s="22" t="n"/>
      <c r="AB2630" s="22" t="n"/>
      <c r="AC2630" s="22" t="n"/>
      <c r="AD2630" s="22" t="n"/>
      <c r="AE2630" s="22" t="n"/>
    </row>
    <row r="2631" ht="42" customHeight="1" s="380">
      <c r="A2631" s="126" t="n">
        <v>110</v>
      </c>
      <c r="B2631" s="390" t="n"/>
      <c r="C2631" s="390" t="inlineStr">
        <is>
          <t>Báo cáo theo Thông tư 121/2020/TT-BTC &gt;&gt; Báo cáo quản trị rủi ro</t>
        </is>
      </c>
      <c r="D2631" s="390" t="inlineStr">
        <is>
          <t>Thành viên Hội đồng quản trị/Hội đồng thành viên/Chủ sở hữu</t>
        </is>
      </c>
      <c r="E2631" s="390" t="inlineStr">
        <is>
          <t>Thành viên Hội đồng quản trị/Hội đồng thành viên/Chủ sở hữu</t>
        </is>
      </c>
      <c r="F2631" s="390" t="inlineStr">
        <is>
          <t>Data Explorer</t>
        </is>
      </c>
      <c r="G2631" s="390" t="inlineStr">
        <is>
          <t>Chỉ tiêu cơ sở</t>
        </is>
      </c>
      <c r="H2631" s="390" t="inlineStr">
        <is>
          <t>Dễ</t>
        </is>
      </c>
      <c r="I2631" s="390" t="inlineStr">
        <is>
          <t>Ngày, CTCK</t>
        </is>
      </c>
      <c r="J2631" s="401" t="inlineStr">
        <is>
          <t>SCMS</t>
        </is>
      </c>
      <c r="K2631" s="401" t="n"/>
      <c r="L2631" s="401" t="inlineStr">
        <is>
          <t>X</t>
        </is>
      </c>
      <c r="M2631" s="401" t="n"/>
      <c r="N2631" s="401" t="inlineStr">
        <is>
          <t>Done</t>
        </is>
      </c>
      <c r="O2631" s="401" t="n"/>
      <c r="P2631" s="22" t="n"/>
      <c r="Q2631" s="431" t="inlineStr">
        <is>
          <t>SCMS.BC_THANH_VIEN
SCMS.BM_BAO_CAO
SCMS.BC_BAO_CAO_GT
SCMS.BM_BAO_CAO_HANG</t>
        </is>
      </c>
      <c r="R2631" s="431" t="inlineStr">
        <is>
          <t>bsh.MA_HANG,
bsh.BM_SHEET_ID,
gt.GIA_TRI,
gt.BC_THANH_VIEN_ID,
bm.ID,
bm.MA_BAO_CAO,
btv.ID,
btv.BM_BAO_CAO_ID,
btv.TRANG_THAI,
btv.NGAY_SO_LIEU</t>
        </is>
      </c>
      <c r="S2631" s="22" t="n"/>
      <c r="T2631" s="432" t="inlineStr">
        <is>
          <t>-- CHỈ TIÊU
SELECT	
	-- Giá trị rủi ro/ Vốn khả dụng
	MAX(CASE WHEN bsh.MA_HANG = '1' THEN CAST(gt.GIA_TRI AS VARCHAR2(4000)) END) AS "Thành viên Hội đồng quản trị/Hội đồng thành viên/Chủ sở hữu",
	MAX(CASE WHEN bsh.MA_HANG = '2' THEN CAST(gt.GIA_TRI AS VARCHAR2(4000)) END) AS "Thành viên Ban kiểm soát/Ban kiểm toán nội bộ",
	MAX(CASE WHEN bsh.MA_HANG = '3' THEN CAST(gt.GIA_TRI AS VARCHAR2(4000)) END) AS "Thành viên Ban Tổng Giám đốc/Ban Giám đốc"	
FROM SCMS.BC_THANH_VIEN btv
JOIN SCMS.BM_BAO_CAO bm ON bm.ID = btv.BM_BAO_CAO_ID
JOIN SCMS.BC_BAO_CAO_GT gt ON gt.BC_THANH_VIEN_ID = btv.ID
JOIN SCMS.BM_BAO_CAO_HANG bsh ON bsh.BM_SHEET_ID = 7784
WHERE bm.MA_BAO_CAO LIKE 'QTRR'
  AND btv.TRANG_THAI IN (2, 3)
GROUP BY
    btv.ID, btv.CTCK_THONG_TIN_ID, btv.NGAY_SO_LIEU, btv.TRANG_THAI,
    bm.MA_BAO_CAO
ORDER BY btv.NGAY_SO_LIEU DESC;</t>
        </is>
      </c>
      <c r="U2631" s="16" t="n"/>
      <c r="V2631" s="22" t="n"/>
      <c r="W2631" s="22" t="n"/>
      <c r="X2631" s="22" t="n"/>
      <c r="Y2631" s="395" t="n"/>
      <c r="Z2631" s="22" t="n"/>
      <c r="AA2631" s="22" t="n"/>
      <c r="AB2631" s="22" t="n"/>
      <c r="AC2631" s="22" t="n"/>
      <c r="AD2631" s="22" t="n"/>
      <c r="AE2631" s="22" t="n"/>
    </row>
    <row r="2632" ht="42" customHeight="1" s="380">
      <c r="A2632" s="126" t="n">
        <v>110</v>
      </c>
      <c r="B2632" s="390" t="n"/>
      <c r="C2632" s="390" t="inlineStr">
        <is>
          <t>Báo cáo theo Thông tư 121/2020/TT-BTC &gt;&gt; Báo cáo quản trị rủi ro</t>
        </is>
      </c>
      <c r="D2632" s="390" t="inlineStr">
        <is>
          <t>Thành viên Ban kiểm soát/Ban kiểm toán nội bộ</t>
        </is>
      </c>
      <c r="E2632" s="390" t="inlineStr">
        <is>
          <t>Thành viên Ban kiểm soát/Ban kiểm toán nội bộ</t>
        </is>
      </c>
      <c r="F2632" s="390" t="inlineStr">
        <is>
          <t>Data Explorer</t>
        </is>
      </c>
      <c r="G2632" s="390" t="inlineStr">
        <is>
          <t>Chỉ tiêu cơ sở</t>
        </is>
      </c>
      <c r="H2632" s="390" t="inlineStr">
        <is>
          <t>Dễ</t>
        </is>
      </c>
      <c r="I2632" s="390" t="inlineStr">
        <is>
          <t>Ngày, CTCK</t>
        </is>
      </c>
      <c r="J2632" s="401" t="inlineStr">
        <is>
          <t>SCMS</t>
        </is>
      </c>
      <c r="K2632" s="401" t="n"/>
      <c r="L2632" s="401" t="inlineStr">
        <is>
          <t>X</t>
        </is>
      </c>
      <c r="M2632" s="401" t="n"/>
      <c r="N2632" s="401" t="inlineStr">
        <is>
          <t>Done</t>
        </is>
      </c>
      <c r="O2632" s="401" t="n"/>
      <c r="P2632" s="22" t="n"/>
      <c r="S2632" s="22" t="n"/>
      <c r="U2632" s="16" t="n"/>
      <c r="V2632" s="22" t="n"/>
      <c r="W2632" s="22" t="n"/>
      <c r="X2632" s="22" t="n"/>
      <c r="Y2632" s="395" t="n"/>
      <c r="Z2632" s="22" t="n"/>
      <c r="AA2632" s="22" t="n"/>
      <c r="AB2632" s="22" t="n"/>
      <c r="AC2632" s="22" t="n"/>
      <c r="AD2632" s="22" t="n"/>
      <c r="AE2632" s="22" t="n"/>
    </row>
    <row r="2633" ht="42" customHeight="1" s="380">
      <c r="A2633" s="128" t="n">
        <v>110</v>
      </c>
      <c r="B2633" s="129" t="n"/>
      <c r="C2633" s="129" t="inlineStr">
        <is>
          <t>Báo cáo theo Thông tư 121/2020/TT-BTC &gt;&gt; Báo cáo quản trị rủi ro</t>
        </is>
      </c>
      <c r="D2633" s="129" t="inlineStr">
        <is>
          <t>Thành viên Ban Tổng Giám đốc/Ban Giám đốc</t>
        </is>
      </c>
      <c r="E2633" s="129" t="inlineStr">
        <is>
          <t>Thành viên Ban Tổng Giám đốc/Ban Giám đốc</t>
        </is>
      </c>
      <c r="F2633" s="129" t="inlineStr">
        <is>
          <t>Data Explorer</t>
        </is>
      </c>
      <c r="G2633" s="129" t="inlineStr">
        <is>
          <t>Chỉ tiêu cơ sở</t>
        </is>
      </c>
      <c r="H2633" s="129" t="inlineStr">
        <is>
          <t>Dễ</t>
        </is>
      </c>
      <c r="I2633" s="129" t="inlineStr">
        <is>
          <t>Ngày, CTCK</t>
        </is>
      </c>
      <c r="J2633" s="85" t="inlineStr">
        <is>
          <t>SCMS</t>
        </is>
      </c>
      <c r="K2633" s="85" t="n"/>
      <c r="L2633" s="85" t="inlineStr">
        <is>
          <t>X</t>
        </is>
      </c>
      <c r="M2633" s="85" t="n"/>
      <c r="N2633" s="85" t="inlineStr">
        <is>
          <t>Done</t>
        </is>
      </c>
      <c r="O2633" s="85" t="n"/>
      <c r="P2633" s="130" t="n"/>
      <c r="Q2633" s="426" t="n"/>
      <c r="R2633" s="426" t="n"/>
      <c r="S2633" s="130" t="n"/>
      <c r="T2633" s="426" t="n"/>
      <c r="U2633" s="131" t="n"/>
      <c r="V2633" s="130" t="n"/>
      <c r="W2633" s="130" t="n"/>
      <c r="X2633" s="130" t="n"/>
      <c r="Y2633" s="69" t="n"/>
      <c r="Z2633" s="130" t="n"/>
      <c r="AA2633" s="130" t="n"/>
      <c r="AB2633" s="130" t="n"/>
      <c r="AC2633" s="130" t="n"/>
      <c r="AD2633" s="130" t="n"/>
      <c r="AE2633" s="130" t="n"/>
    </row>
    <row r="2634" ht="56" customHeight="1" s="380">
      <c r="A2634" s="139" t="n">
        <v>111</v>
      </c>
      <c r="B2634" s="140" t="inlineStr">
        <is>
          <t>Trang</t>
        </is>
      </c>
      <c r="C2634" s="127" t="inlineStr">
        <is>
          <t>Báo cáo giám sát quản trị công ty &gt;&gt; Báo cáo tình hình quản trị công ty - V.II.1+2+III.1+2</t>
        </is>
      </c>
      <c r="D2634" s="109" t="inlineStr">
        <is>
          <t>Loại báo cáo</t>
        </is>
      </c>
      <c r="E2634" s="110" t="inlineStr">
        <is>
          <t>Loại báo cáo</t>
        </is>
      </c>
      <c r="F2634" s="403" t="inlineStr">
        <is>
          <t>Data Explorer</t>
        </is>
      </c>
      <c r="G2634" s="390" t="inlineStr">
        <is>
          <t>Chiều</t>
        </is>
      </c>
      <c r="H2634" s="403" t="inlineStr">
        <is>
          <t>Dễ</t>
        </is>
      </c>
      <c r="I2634" s="403" t="inlineStr">
        <is>
          <t>Ngày, CTCK</t>
        </is>
      </c>
      <c r="J2634" s="404" t="inlineStr">
        <is>
          <t>SCMS</t>
        </is>
      </c>
      <c r="K2634" s="404" t="inlineStr">
        <is>
          <t>X</t>
        </is>
      </c>
      <c r="L2634" s="404" t="inlineStr">
        <is>
          <t>X</t>
        </is>
      </c>
      <c r="M2634" s="404" t="n"/>
      <c r="N2634" s="404" t="inlineStr">
        <is>
          <t>Pending</t>
        </is>
      </c>
      <c r="O2634" s="404" t="n"/>
      <c r="P2634" s="141" t="n"/>
      <c r="Q2634" s="105" t="inlineStr">
        <is>
          <t>DB cũ không thấy biểu mẫu báo cáo này</t>
        </is>
      </c>
      <c r="R2634" s="404" t="n"/>
      <c r="S2634" s="141" t="n"/>
      <c r="T2634" s="403" t="n"/>
      <c r="U2634" s="142" t="n"/>
      <c r="V2634" s="141" t="n"/>
      <c r="W2634" s="141" t="n"/>
      <c r="X2634" s="141" t="n"/>
      <c r="Y2634" s="37" t="n"/>
      <c r="Z2634" s="141" t="n"/>
      <c r="AA2634" s="141" t="n"/>
      <c r="AB2634" s="141" t="n"/>
      <c r="AC2634" s="141" t="n"/>
      <c r="AD2634" s="141" t="n"/>
      <c r="AE2634" s="141" t="n"/>
    </row>
    <row r="2635" ht="56" customHeight="1" s="380">
      <c r="A2635" s="139" t="n">
        <v>111</v>
      </c>
      <c r="B2635" s="390" t="n"/>
      <c r="C2635" s="390" t="inlineStr">
        <is>
          <t>Báo cáo giám sát quản trị công ty &gt;&gt; Báo cáo tình hình quản trị công ty - V.II.1+2+III.1+2</t>
        </is>
      </c>
      <c r="D2635" s="106" t="inlineStr">
        <is>
          <t>Kỳ báo cáo</t>
        </is>
      </c>
      <c r="E2635" s="107" t="inlineStr">
        <is>
          <t>Kỳ báo cáo</t>
        </is>
      </c>
      <c r="F2635" s="390" t="inlineStr">
        <is>
          <t>Data Explorer</t>
        </is>
      </c>
      <c r="G2635" s="390" t="inlineStr">
        <is>
          <t>Chiều</t>
        </is>
      </c>
      <c r="H2635" s="390" t="inlineStr">
        <is>
          <t>Dễ</t>
        </is>
      </c>
      <c r="I2635" s="390" t="inlineStr">
        <is>
          <t>Ngày, CTCK</t>
        </is>
      </c>
      <c r="J2635" s="401" t="inlineStr">
        <is>
          <t>SCMS</t>
        </is>
      </c>
      <c r="K2635" s="401" t="inlineStr">
        <is>
          <t>X</t>
        </is>
      </c>
      <c r="L2635" s="401" t="inlineStr">
        <is>
          <t>X</t>
        </is>
      </c>
      <c r="M2635" s="401" t="n"/>
      <c r="N2635" s="401" t="inlineStr">
        <is>
          <t>Pending</t>
        </is>
      </c>
      <c r="O2635" s="401" t="n"/>
      <c r="P2635" s="22" t="n"/>
      <c r="Q2635" s="401" t="n"/>
      <c r="R2635" s="401" t="n"/>
      <c r="S2635" s="22" t="n"/>
      <c r="T2635" s="390" t="n"/>
      <c r="U2635" s="389" t="n"/>
      <c r="V2635" s="22" t="n"/>
      <c r="W2635" s="22" t="n"/>
      <c r="X2635" s="22" t="n"/>
      <c r="Y2635" s="395" t="n"/>
      <c r="Z2635" s="22" t="n"/>
      <c r="AA2635" s="22" t="n"/>
      <c r="AB2635" s="22" t="n"/>
      <c r="AC2635" s="22" t="n"/>
      <c r="AD2635" s="22" t="n"/>
      <c r="AE2635" s="22" t="n"/>
    </row>
    <row r="2636" ht="56" customHeight="1" s="380">
      <c r="A2636" s="139" t="n">
        <v>111</v>
      </c>
      <c r="B2636" s="390" t="n"/>
      <c r="C2636" s="390" t="inlineStr">
        <is>
          <t>Báo cáo giám sát quản trị công ty &gt;&gt; Báo cáo tình hình quản trị công ty - V.II.1+2+III.1+2</t>
        </is>
      </c>
      <c r="D2636" s="106" t="inlineStr">
        <is>
          <t>Mã báo cáo</t>
        </is>
      </c>
      <c r="E2636" s="107" t="inlineStr">
        <is>
          <t>Mã báo cáo</t>
        </is>
      </c>
      <c r="F2636" s="390" t="inlineStr">
        <is>
          <t>Data Explorer</t>
        </is>
      </c>
      <c r="G2636" s="390" t="inlineStr">
        <is>
          <t>Chiều</t>
        </is>
      </c>
      <c r="H2636" s="390" t="inlineStr">
        <is>
          <t>Dễ</t>
        </is>
      </c>
      <c r="I2636" s="390" t="inlineStr">
        <is>
          <t>Ngày, CTCK</t>
        </is>
      </c>
      <c r="J2636" s="401" t="inlineStr">
        <is>
          <t>SCMS</t>
        </is>
      </c>
      <c r="K2636" s="401" t="inlineStr">
        <is>
          <t>X</t>
        </is>
      </c>
      <c r="L2636" s="401" t="inlineStr">
        <is>
          <t>X</t>
        </is>
      </c>
      <c r="M2636" s="401" t="n"/>
      <c r="N2636" s="401" t="inlineStr">
        <is>
          <t>Pending</t>
        </is>
      </c>
      <c r="O2636" s="401" t="n"/>
      <c r="P2636" s="22" t="n"/>
      <c r="Q2636" s="401" t="n"/>
      <c r="R2636" s="401" t="n"/>
      <c r="S2636" s="22" t="n"/>
      <c r="T2636" s="390" t="n"/>
      <c r="U2636" s="16" t="n"/>
      <c r="V2636" s="22" t="n"/>
      <c r="W2636" s="22" t="n"/>
      <c r="X2636" s="22" t="n"/>
      <c r="Y2636" s="395" t="n"/>
      <c r="Z2636" s="22" t="n"/>
      <c r="AA2636" s="22" t="n"/>
      <c r="AB2636" s="22" t="n"/>
      <c r="AC2636" s="22" t="n"/>
      <c r="AD2636" s="22" t="n"/>
      <c r="AE2636" s="22" t="n"/>
    </row>
    <row r="2637" ht="56" customHeight="1" s="380">
      <c r="A2637" s="139" t="n">
        <v>111</v>
      </c>
      <c r="B2637" s="390" t="n"/>
      <c r="C2637" s="390" t="inlineStr">
        <is>
          <t>Báo cáo giám sát quản trị công ty &gt;&gt; Báo cáo tình hình quản trị công ty - V.II.1+2+III.1+2</t>
        </is>
      </c>
      <c r="D2637" s="106" t="inlineStr">
        <is>
          <t>Tên báo cáo</t>
        </is>
      </c>
      <c r="E2637" s="107" t="inlineStr">
        <is>
          <t>Tên báo cáo</t>
        </is>
      </c>
      <c r="F2637" s="390" t="inlineStr">
        <is>
          <t>Data Explorer</t>
        </is>
      </c>
      <c r="G2637" s="390" t="inlineStr">
        <is>
          <t>Chiều</t>
        </is>
      </c>
      <c r="H2637" s="390" t="inlineStr">
        <is>
          <t>Dễ</t>
        </is>
      </c>
      <c r="I2637" s="390" t="inlineStr">
        <is>
          <t>Ngày, CTCK</t>
        </is>
      </c>
      <c r="J2637" s="401" t="inlineStr">
        <is>
          <t>SCMS</t>
        </is>
      </c>
      <c r="K2637" s="401" t="inlineStr">
        <is>
          <t>X</t>
        </is>
      </c>
      <c r="L2637" s="401" t="inlineStr">
        <is>
          <t>X</t>
        </is>
      </c>
      <c r="M2637" s="401" t="n"/>
      <c r="N2637" s="401" t="inlineStr">
        <is>
          <t>Pending</t>
        </is>
      </c>
      <c r="O2637" s="401" t="n"/>
      <c r="P2637" s="22" t="n"/>
      <c r="Q2637" s="401" t="n"/>
      <c r="R2637" s="401" t="n"/>
      <c r="S2637" s="22" t="n"/>
      <c r="T2637" s="390" t="n"/>
      <c r="U2637" s="16" t="n"/>
      <c r="V2637" s="22" t="n"/>
      <c r="W2637" s="22" t="n"/>
      <c r="X2637" s="22" t="n"/>
      <c r="Y2637" s="395" t="n"/>
      <c r="Z2637" s="22" t="n"/>
      <c r="AA2637" s="22" t="n"/>
      <c r="AB2637" s="22" t="n"/>
      <c r="AC2637" s="22" t="n"/>
      <c r="AD2637" s="22" t="n"/>
      <c r="AE2637" s="22" t="n"/>
    </row>
    <row r="2638" ht="56" customHeight="1" s="380">
      <c r="A2638" s="139" t="n">
        <v>111</v>
      </c>
      <c r="B2638" s="390" t="n"/>
      <c r="C2638" s="390" t="inlineStr">
        <is>
          <t>Báo cáo giám sát quản trị công ty &gt;&gt; Báo cáo tình hình quản trị công ty - V.II.1+2+III.1+2</t>
        </is>
      </c>
      <c r="D2638" s="106" t="inlineStr">
        <is>
          <t>Mã chỉ tiêu</t>
        </is>
      </c>
      <c r="E2638" s="107" t="inlineStr">
        <is>
          <t>Mã chỉ tiêu</t>
        </is>
      </c>
      <c r="F2638" s="390" t="inlineStr">
        <is>
          <t>Data Explorer</t>
        </is>
      </c>
      <c r="G2638" s="390" t="inlineStr">
        <is>
          <t>Chiều</t>
        </is>
      </c>
      <c r="H2638" s="390" t="inlineStr">
        <is>
          <t>Dễ</t>
        </is>
      </c>
      <c r="I2638" s="390" t="inlineStr">
        <is>
          <t>Ngày, CTCK</t>
        </is>
      </c>
      <c r="J2638" s="401" t="inlineStr">
        <is>
          <t>SCMS</t>
        </is>
      </c>
      <c r="K2638" s="401" t="inlineStr">
        <is>
          <t>X</t>
        </is>
      </c>
      <c r="L2638" s="401" t="inlineStr">
        <is>
          <t>X</t>
        </is>
      </c>
      <c r="M2638" s="401" t="n"/>
      <c r="N2638" s="401" t="inlineStr">
        <is>
          <t>Pending</t>
        </is>
      </c>
      <c r="O2638" s="401" t="n"/>
      <c r="P2638" s="22" t="n"/>
      <c r="Q2638" s="401" t="n"/>
      <c r="R2638" s="401" t="n"/>
      <c r="S2638" s="22" t="n"/>
      <c r="T2638" s="390" t="n"/>
      <c r="U2638" s="16" t="n"/>
      <c r="V2638" s="22" t="n"/>
      <c r="W2638" s="22" t="n"/>
      <c r="X2638" s="22" t="n"/>
      <c r="Y2638" s="395" t="n"/>
      <c r="Z2638" s="22" t="n"/>
      <c r="AA2638" s="22" t="n"/>
      <c r="AB2638" s="22" t="n"/>
      <c r="AC2638" s="22" t="n"/>
      <c r="AD2638" s="22" t="n"/>
      <c r="AE2638" s="22" t="n"/>
    </row>
    <row r="2639" ht="56" customHeight="1" s="380">
      <c r="A2639" s="139" t="n">
        <v>111</v>
      </c>
      <c r="B2639" s="390" t="n"/>
      <c r="C2639" s="390" t="inlineStr">
        <is>
          <t>Báo cáo giám sát quản trị công ty &gt;&gt; Báo cáo tình hình quản trị công ty - V.II.1+2+III.1+2</t>
        </is>
      </c>
      <c r="D2639" s="106" t="inlineStr">
        <is>
          <t>Tên chỉ tiêu</t>
        </is>
      </c>
      <c r="E2639" s="107" t="inlineStr">
        <is>
          <t>Tên chỉ tiêu</t>
        </is>
      </c>
      <c r="F2639" s="390" t="inlineStr">
        <is>
          <t>Data Explorer</t>
        </is>
      </c>
      <c r="G2639" s="390" t="inlineStr">
        <is>
          <t>Chiều</t>
        </is>
      </c>
      <c r="H2639" s="390" t="inlineStr">
        <is>
          <t>Dễ</t>
        </is>
      </c>
      <c r="I2639" s="390" t="inlineStr">
        <is>
          <t>Ngày, CTCK</t>
        </is>
      </c>
      <c r="J2639" s="401" t="inlineStr">
        <is>
          <t>SCMS</t>
        </is>
      </c>
      <c r="K2639" s="401" t="inlineStr">
        <is>
          <t>X</t>
        </is>
      </c>
      <c r="L2639" s="401" t="inlineStr">
        <is>
          <t>X</t>
        </is>
      </c>
      <c r="M2639" s="401" t="n"/>
      <c r="N2639" s="401" t="inlineStr">
        <is>
          <t>Pending</t>
        </is>
      </c>
      <c r="O2639" s="401" t="n"/>
      <c r="P2639" s="22" t="n"/>
      <c r="Q2639" s="401" t="n"/>
      <c r="R2639" s="401" t="n"/>
      <c r="S2639" s="22" t="n"/>
      <c r="T2639" s="390" t="n"/>
      <c r="U2639" s="16" t="n"/>
      <c r="V2639" s="22" t="n"/>
      <c r="W2639" s="22" t="n"/>
      <c r="X2639" s="22" t="n"/>
      <c r="Y2639" s="395" t="n"/>
      <c r="Z2639" s="22" t="n"/>
      <c r="AA2639" s="22" t="n"/>
      <c r="AB2639" s="22" t="n"/>
      <c r="AC2639" s="22" t="n"/>
      <c r="AD2639" s="22" t="n"/>
      <c r="AE2639" s="22" t="n"/>
    </row>
    <row r="2640" ht="56" customHeight="1" s="380">
      <c r="A2640" s="139" t="n">
        <v>111</v>
      </c>
      <c r="B2640" s="390" t="n"/>
      <c r="C2640" s="390" t="inlineStr">
        <is>
          <t>Báo cáo giám sát quản trị công ty &gt;&gt; Báo cáo tình hình quản trị công ty - V.II.1+2+III.1+2</t>
        </is>
      </c>
      <c r="D2640" s="390" t="inlineStr">
        <is>
          <t>Tên CTCK</t>
        </is>
      </c>
      <c r="E2640" s="401" t="inlineStr">
        <is>
          <t>Tên CTCK</t>
        </is>
      </c>
      <c r="F2640" s="390" t="inlineStr">
        <is>
          <t>Data Explorer</t>
        </is>
      </c>
      <c r="G2640" s="390" t="inlineStr">
        <is>
          <t>Chỉ tiêu cơ sở</t>
        </is>
      </c>
      <c r="H2640" s="390" t="inlineStr">
        <is>
          <t>Dễ</t>
        </is>
      </c>
      <c r="I2640" s="390" t="inlineStr">
        <is>
          <t>Ngày, CTCK</t>
        </is>
      </c>
      <c r="J2640" s="401" t="inlineStr">
        <is>
          <t>SCMS</t>
        </is>
      </c>
      <c r="K2640" s="401" t="n"/>
      <c r="L2640" s="401" t="inlineStr">
        <is>
          <t>X</t>
        </is>
      </c>
      <c r="M2640" s="401" t="n"/>
      <c r="N2640" s="401" t="inlineStr">
        <is>
          <t>Done</t>
        </is>
      </c>
      <c r="O2640" s="401" t="n"/>
      <c r="P2640" s="22" t="n"/>
      <c r="Q2640" s="401" t="inlineStr">
        <is>
          <t>CTCK_THONG_TIN</t>
        </is>
      </c>
      <c r="R2640" s="401" t="inlineStr">
        <is>
          <t>TEN_TIENG_VIET</t>
        </is>
      </c>
      <c r="S2640" s="22" t="n"/>
      <c r="T2640" s="432" t="inlineStr">
        <is>
          <t>SELECT a.TEN_TIENG_VIET "Tên CTCK",
a.DIA_CHI "Địa chỉ trụ sở chính",
a.VON_DIEU_LE "Vốn điều lệ",
a.MA_CHUNG_KHOAN "Mã chứng khoán",
a.GIAY_PHEP_KINH_DOANH "Số giấy phép hoạt động",
a.NGAY_CAP_GPKD "Ngày cấp giấy phép hoạt động",
CASE WHEN b.TEN_LOAI_CONG_TY = 'CTCP' THEN 'x' ELSE '' END "Đại hội đồng cổ đông",
CASE WHEN d.NHOM_CHUC_VU = 'HDQT' THEN 'x' ELSE '' END "Hội đồng quản trị",
CASE WHEN LOWER(d.TEN_CHUC_VU) LIKE '%giám đốc%' THEN 'x' ELSE '' END "Tổng giám đốc/giám đốc",
CASE WHEN d.NHOM_CHUC_VU = 'BKS' THEN 'x' ELSE '' END "Ban kiểm soát",
CASE WHEN (b.TEN_LOAI_CONG_TY = 'CTCP' 
         AND d.NHOM_CHUC_VU != 'BKS') OR LOWER(d.TEN_CHUC_VU) LIKE '%ủy ban kiểm toán%'
         THEN 'x' ELSE '' END "Ủy ban kiểm toán",
CASE WHEN LOWER(e.MO_TA) LIKE '%cuộc họp ủy ban kiểm toán%' AND e.LOAI_TIN = 2 THEN 'Đã Thực hiện'
         ELSE 'Chưa thực hiện'
         END "Chức năng kiểm toán nội bộ",
CASE WHEN d.NHOM_CHUC_VU = 'HDQT' THEN 'Hội đồng quản trị'
            WHEN d.NHOM_CHUC_VU = 'BKS' THEN 'Ban kiểm soát'
            WHEN b.TEN_LOAI_CONG_TY = 'CTCP' AND LOWER(d.TEN_CHUC_VU) LIKE '%ủy ban kiểm toán%' THEN 'Ủy ban kiểm toán'
            END "Thành viên",
c.HO_TEN "Tên thành viên",
d.TEN_CHUC_VU "Chức vụ",
MAX(REGEXP_SUBSTR(e.MO_TA, 'Trình độ chuyên môn', 1, 1, NULL, 1)) "Trình độ chuyên môn",
c.NGAY_BAT_DAU_LAM_VIEC "Ngày bổ nhiệm",
c.NGAY_THOI_VIEC "Ngày miễn nhiệm",
COUNT(e.ID) "Số cuộc họp",
MAX(REGEXP_SUBSTR(e.MO_TA, 'Tham dự[: ]+([0-9]{1,3}%)', 1, 1, NULL, 1)) "Tỷ lệ tham dự",
MAX(REGEXP_SUBSTR(e.MO_TA, 'Biểu quyết[: ]+([0-9]{1,3}%)', 1, 1, NULL, 1)) "Tỷ lệ biểu quyết",
MAX(REGEXP_SUBSTR(e.MO_TA, 'Lý do[: ]+([^;]+)', 1, 1, NULL, 1)) "Lý do không tham dự"
FROM SCMS.CTCK_THONG_TIN a
LEFT JOIN SCMS.DM_LOAI_CONG_TY b ON a.LOAI_CONG_TY_ID = b.ID 
LEFT JOIN SCMS.CTCK_NHAN_SU_CAO_CAP c ON a.CTCK_THONG_TIN_ID = c.CTCK_THONG_TIN_ID 
LEFT JOIN SCMS.DM_CHUC_VU d ON c.CHUC_VU_ID = d.ID 
LEFT JOIN SCMS.CBTT_BAO_CAO e ON a.ID = e.CTCK_THONG_TIN_ID
WHERE 1=1
AND e.LOAI_TIN = 2
GROUP BY 
a.TEN_TIENG_VIET ,
a.DIA_CHI ,
a.VON_DIEU_LE ,
a.MA_CHUNG_KHOAN ,
a.GIAY_PHEP_KINH_DOANH ,
a.NGAY_CAP_GPKD ,
CASE WHEN b.TEN_LOAI_CONG_TY = 'CTCP' THEN 'x' ELSE '' END ,
CASE WHEN d.NHOM_CHUC_VU = 'HDQT' THEN 'x' ELSE '' END ,
CASE WHEN LOWER(d.TEN_CHUC_VU) LIKE '%giám đốc%' THEN 'x' ELSE '' END ,
CASE WHEN d.NHOM_CHUC_VU = 'BKS' THEN 'x' ELSE '' END ,
CASE WHEN (b.TEN_LOAI_CONG_TY = 'CTCP' 
         AND d.NHOM_CHUC_VU != 'BKS') OR LOWER(d.TEN_CHUC_VU) LIKE '%ủy ban kiểm toán%'
         THEN 'x' ELSE '' END ,
CASE WHEN LOWER(e.MO_TA) LIKE '%cuộc họp ủy ban kiểm toán%' AND e.LOAI_TIN = 2 THEN 'Đã Thực hiện'
         ELSE 'Chưa thực hiện'
         END,
CASE WHEN d.NHOM_CHUC_VU = 'HDQT' THEN 'Hội đồng quản trị'
     WHEN d.NHOM_CHUC_VU = 'BKS' THEN 'Ban kiểm soát'
     WHEN b.TEN_LOAI_CONG_TY = 'CTCP' AND LOWER(d.TEN_CHUC_VU) LIKE '%ủy ban kiểm toán%' THEN 'Ủy ban kiểm toán'
     END,
     c.HO_TEN,
     d.TEN_CHUC_VU,
     c.NGAY_BAT_DAU_LAM_VIEC,
     c.NGAY_THOI_VIEC</t>
        </is>
      </c>
      <c r="U2640" s="16" t="n"/>
      <c r="V2640" s="22" t="n"/>
      <c r="W2640" s="22" t="n"/>
      <c r="X2640" s="22" t="n"/>
      <c r="Y2640" s="395" t="n"/>
      <c r="Z2640" s="22" t="n"/>
      <c r="AA2640" s="22" t="n"/>
      <c r="AB2640" s="22" t="n"/>
      <c r="AC2640" s="22" t="n"/>
      <c r="AD2640" s="22" t="n"/>
      <c r="AE2640" s="22" t="n"/>
    </row>
    <row r="2641" ht="56" customHeight="1" s="380">
      <c r="A2641" s="139" t="n">
        <v>111</v>
      </c>
      <c r="B2641" s="390" t="n"/>
      <c r="C2641" s="390" t="inlineStr">
        <is>
          <t>Báo cáo giám sát quản trị công ty &gt;&gt; Báo cáo tình hình quản trị công ty - V.II.1+2+III.1+2</t>
        </is>
      </c>
      <c r="D2641" s="390" t="inlineStr">
        <is>
          <t>Địa chỉ trụ sở chính</t>
        </is>
      </c>
      <c r="E2641" s="401" t="inlineStr">
        <is>
          <t>Địa chỉ trụ sở chính</t>
        </is>
      </c>
      <c r="F2641" s="390" t="inlineStr">
        <is>
          <t>Data Explorer</t>
        </is>
      </c>
      <c r="G2641" s="390" t="inlineStr">
        <is>
          <t>Chỉ tiêu cơ sở</t>
        </is>
      </c>
      <c r="H2641" s="390" t="inlineStr">
        <is>
          <t>Dễ</t>
        </is>
      </c>
      <c r="I2641" s="390" t="inlineStr">
        <is>
          <t>Ngày, CTCK</t>
        </is>
      </c>
      <c r="J2641" s="401" t="inlineStr">
        <is>
          <t>SCMS</t>
        </is>
      </c>
      <c r="K2641" s="401" t="n"/>
      <c r="L2641" s="401" t="inlineStr">
        <is>
          <t>X</t>
        </is>
      </c>
      <c r="M2641" s="401" t="n"/>
      <c r="N2641" s="401" t="inlineStr">
        <is>
          <t>Done</t>
        </is>
      </c>
      <c r="O2641" s="401" t="n"/>
      <c r="P2641" s="22" t="n"/>
      <c r="Q2641" s="401" t="inlineStr">
        <is>
          <t>CTCK_THONG_TIN</t>
        </is>
      </c>
      <c r="R2641" s="401" t="inlineStr">
        <is>
          <t>DIA_CHI</t>
        </is>
      </c>
      <c r="S2641" s="22" t="n"/>
      <c r="U2641" s="16" t="n"/>
      <c r="V2641" s="22" t="n"/>
      <c r="W2641" s="22" t="n"/>
      <c r="X2641" s="22" t="n"/>
      <c r="Y2641" s="36" t="n"/>
      <c r="Z2641" s="22" t="n"/>
      <c r="AA2641" s="22" t="n"/>
      <c r="AB2641" s="22" t="n"/>
      <c r="AC2641" s="22" t="n"/>
      <c r="AD2641" s="22" t="n"/>
      <c r="AE2641" s="22" t="n"/>
    </row>
    <row r="2642" ht="56" customHeight="1" s="380">
      <c r="A2642" s="139" t="n">
        <v>111</v>
      </c>
      <c r="B2642" s="390" t="n"/>
      <c r="C2642" s="390" t="inlineStr">
        <is>
          <t>Báo cáo giám sát quản trị công ty &gt;&gt; Báo cáo tình hình quản trị công ty - V.II.1+2+III.1+2</t>
        </is>
      </c>
      <c r="D2642" s="390" t="inlineStr">
        <is>
          <t>Vốn Điều lệ</t>
        </is>
      </c>
      <c r="E2642" s="401" t="inlineStr">
        <is>
          <t>Vốn Điều lệ</t>
        </is>
      </c>
      <c r="F2642" s="390" t="inlineStr">
        <is>
          <t>Data Explorer</t>
        </is>
      </c>
      <c r="G2642" s="390" t="inlineStr">
        <is>
          <t>Chỉ tiêu cơ sở</t>
        </is>
      </c>
      <c r="H2642" s="390" t="inlineStr">
        <is>
          <t>Dễ</t>
        </is>
      </c>
      <c r="I2642" s="390" t="inlineStr">
        <is>
          <t>Ngày, CTCK</t>
        </is>
      </c>
      <c r="J2642" s="401" t="inlineStr">
        <is>
          <t>SCMS</t>
        </is>
      </c>
      <c r="K2642" s="401" t="n"/>
      <c r="L2642" s="401" t="inlineStr">
        <is>
          <t>X</t>
        </is>
      </c>
      <c r="M2642" s="401" t="n"/>
      <c r="N2642" s="401" t="inlineStr">
        <is>
          <t>Done</t>
        </is>
      </c>
      <c r="O2642" s="401" t="n"/>
      <c r="P2642" s="22" t="n"/>
      <c r="Q2642" s="401" t="inlineStr">
        <is>
          <t>CTCK_THONG_TIN</t>
        </is>
      </c>
      <c r="R2642" s="401" t="inlineStr">
        <is>
          <t>VON_DIEU_LE</t>
        </is>
      </c>
      <c r="S2642" s="22" t="n"/>
      <c r="U2642" s="16" t="n"/>
      <c r="V2642" s="22" t="n"/>
      <c r="W2642" s="22" t="n"/>
      <c r="X2642" s="22" t="n"/>
      <c r="Y2642" s="395" t="n"/>
      <c r="Z2642" s="22" t="n"/>
      <c r="AA2642" s="22" t="n"/>
      <c r="AB2642" s="22" t="n"/>
      <c r="AC2642" s="22" t="n"/>
      <c r="AD2642" s="22" t="n"/>
      <c r="AE2642" s="22" t="n"/>
    </row>
    <row r="2643" ht="56" customHeight="1" s="380">
      <c r="A2643" s="139" t="n">
        <v>111</v>
      </c>
      <c r="B2643" s="390" t="n"/>
      <c r="C2643" s="390" t="inlineStr">
        <is>
          <t>Báo cáo giám sát quản trị công ty &gt;&gt; Báo cáo tình hình quản trị công ty - V.II.1+2+III.1+2</t>
        </is>
      </c>
      <c r="D2643" s="390" t="inlineStr">
        <is>
          <t>Mã CK</t>
        </is>
      </c>
      <c r="E2643" s="401" t="inlineStr">
        <is>
          <t>Mã CK</t>
        </is>
      </c>
      <c r="F2643" s="390" t="inlineStr">
        <is>
          <t>Data Explorer</t>
        </is>
      </c>
      <c r="G2643" s="390" t="inlineStr">
        <is>
          <t>Chỉ tiêu cơ sở</t>
        </is>
      </c>
      <c r="H2643" s="390" t="inlineStr">
        <is>
          <t>Dễ</t>
        </is>
      </c>
      <c r="I2643" s="390" t="inlineStr">
        <is>
          <t>Ngày, CTCK</t>
        </is>
      </c>
      <c r="J2643" s="401" t="inlineStr">
        <is>
          <t>SCMS</t>
        </is>
      </c>
      <c r="K2643" s="401" t="n"/>
      <c r="L2643" s="401" t="inlineStr">
        <is>
          <t>X</t>
        </is>
      </c>
      <c r="M2643" s="401" t="n"/>
      <c r="N2643" s="401" t="inlineStr">
        <is>
          <t>Done</t>
        </is>
      </c>
      <c r="O2643" s="401" t="n"/>
      <c r="P2643" s="22" t="n"/>
      <c r="Q2643" s="401" t="inlineStr">
        <is>
          <t>CTCK_THONG_TIN</t>
        </is>
      </c>
      <c r="R2643" s="401" t="inlineStr">
        <is>
          <t>MA_CHUNG_KHOAN</t>
        </is>
      </c>
      <c r="S2643" s="22" t="n"/>
      <c r="U2643" s="16" t="n"/>
      <c r="V2643" s="22" t="n"/>
      <c r="W2643" s="22" t="n"/>
      <c r="X2643" s="22" t="n"/>
      <c r="Y2643" s="395" t="n"/>
      <c r="Z2643" s="22" t="n"/>
      <c r="AA2643" s="22" t="n"/>
      <c r="AB2643" s="22" t="n"/>
      <c r="AC2643" s="22" t="n"/>
      <c r="AD2643" s="22" t="n"/>
      <c r="AE2643" s="22" t="n"/>
    </row>
    <row r="2644" ht="56" customHeight="1" s="380">
      <c r="A2644" s="139" t="n">
        <v>111</v>
      </c>
      <c r="B2644" s="390" t="n"/>
      <c r="C2644" s="390" t="inlineStr">
        <is>
          <t>Báo cáo giám sát quản trị công ty &gt;&gt; Báo cáo tình hình quản trị công ty - V.II.1+2+III.1+2</t>
        </is>
      </c>
      <c r="D2644" s="390" t="inlineStr">
        <is>
          <t>Giấy phép Hoạt động của Chủ tịch UBCKNN cấp lần đầu &gt;&gt; Số</t>
        </is>
      </c>
      <c r="E2644" s="390" t="inlineStr">
        <is>
          <t>Giấy phép Hoạt động của Chủ tịch UBCKNN cấp lần đầu &gt;&gt; Số</t>
        </is>
      </c>
      <c r="F2644" s="390" t="inlineStr">
        <is>
          <t>Data Explorer</t>
        </is>
      </c>
      <c r="G2644" s="390" t="inlineStr">
        <is>
          <t>Chỉ tiêu cơ sở</t>
        </is>
      </c>
      <c r="H2644" s="390" t="inlineStr">
        <is>
          <t>Dễ</t>
        </is>
      </c>
      <c r="I2644" s="390" t="inlineStr">
        <is>
          <t>Ngày, CTCK</t>
        </is>
      </c>
      <c r="J2644" s="401" t="inlineStr">
        <is>
          <t>SCMS</t>
        </is>
      </c>
      <c r="K2644" s="401" t="n"/>
      <c r="L2644" s="401" t="inlineStr">
        <is>
          <t>X</t>
        </is>
      </c>
      <c r="M2644" s="401" t="n"/>
      <c r="N2644" s="401" t="inlineStr">
        <is>
          <t>Done</t>
        </is>
      </c>
      <c r="O2644" s="401" t="n"/>
      <c r="P2644" s="22" t="n"/>
      <c r="Q2644" s="401" t="inlineStr">
        <is>
          <t>CTCK_THONG_TIN</t>
        </is>
      </c>
      <c r="R2644" s="401" t="inlineStr">
        <is>
          <t>GIAY_PHEP_KINH_DOANH</t>
        </is>
      </c>
      <c r="S2644" s="22" t="n"/>
      <c r="U2644" s="16" t="n"/>
      <c r="V2644" s="22" t="n"/>
      <c r="W2644" s="22" t="n"/>
      <c r="X2644" s="22" t="n"/>
      <c r="Y2644" s="395" t="n"/>
      <c r="Z2644" s="22" t="n"/>
      <c r="AA2644" s="22" t="n"/>
      <c r="AB2644" s="22" t="n"/>
      <c r="AC2644" s="22" t="n"/>
      <c r="AD2644" s="22" t="n"/>
      <c r="AE2644" s="22" t="n"/>
    </row>
    <row r="2645" ht="56" customHeight="1" s="380">
      <c r="A2645" s="139" t="n">
        <v>111</v>
      </c>
      <c r="B2645" s="390" t="n"/>
      <c r="C2645" s="390" t="inlineStr">
        <is>
          <t>Báo cáo giám sát quản trị công ty &gt;&gt; Báo cáo tình hình quản trị công ty - V.II.1+2+III.1+2</t>
        </is>
      </c>
      <c r="D2645" s="390" t="inlineStr">
        <is>
          <t>Giấy phép Hoạt động của Chủ tịch UBCKNN cấp lần đầu &gt;&gt; Ngày cấp</t>
        </is>
      </c>
      <c r="E2645" s="390" t="inlineStr">
        <is>
          <t>Giấy phép Hoạt động của Chủ tịch UBCKNN cấp lần đầu &gt;&gt; Ngày cấp</t>
        </is>
      </c>
      <c r="F2645" s="390" t="inlineStr">
        <is>
          <t>Data Explorer</t>
        </is>
      </c>
      <c r="G2645" s="390" t="inlineStr">
        <is>
          <t>Chỉ tiêu cơ sở</t>
        </is>
      </c>
      <c r="H2645" s="390" t="inlineStr">
        <is>
          <t>Dễ</t>
        </is>
      </c>
      <c r="I2645" s="390" t="inlineStr">
        <is>
          <t>Ngày, CTCK</t>
        </is>
      </c>
      <c r="J2645" s="401" t="inlineStr">
        <is>
          <t>SCMS</t>
        </is>
      </c>
      <c r="K2645" s="401" t="n"/>
      <c r="L2645" s="401" t="inlineStr">
        <is>
          <t>X</t>
        </is>
      </c>
      <c r="M2645" s="401" t="n"/>
      <c r="N2645" s="401" t="inlineStr">
        <is>
          <t>Done</t>
        </is>
      </c>
      <c r="O2645" s="401" t="n"/>
      <c r="P2645" s="22" t="n"/>
      <c r="Q2645" s="401" t="inlineStr">
        <is>
          <t>CTCK_THONG_TIN</t>
        </is>
      </c>
      <c r="R2645" s="401" t="inlineStr">
        <is>
          <t>NGAY_CAP_GPKD</t>
        </is>
      </c>
      <c r="S2645" s="22" t="n"/>
      <c r="U2645" s="16" t="n"/>
      <c r="V2645" s="22" t="n"/>
      <c r="W2645" s="22" t="n"/>
      <c r="X2645" s="22" t="n"/>
      <c r="Y2645" s="395" t="n"/>
      <c r="Z2645" s="22" t="n"/>
      <c r="AA2645" s="22" t="n"/>
      <c r="AB2645" s="22" t="n"/>
      <c r="AC2645" s="22" t="n"/>
      <c r="AD2645" s="22" t="n"/>
      <c r="AE2645" s="22" t="n"/>
    </row>
    <row r="2646" ht="56" customHeight="1" s="380">
      <c r="A2646" s="139" t="n">
        <v>111</v>
      </c>
      <c r="B2646" s="390" t="n"/>
      <c r="C2646" s="390" t="inlineStr">
        <is>
          <t>Báo cáo giám sát quản trị công ty &gt;&gt; Báo cáo tình hình quản trị công ty - V.II.1+2+III.1+2</t>
        </is>
      </c>
      <c r="D2646" s="390" t="inlineStr">
        <is>
          <t>Đại hội đồng cổ đông</t>
        </is>
      </c>
      <c r="E2646" s="401" t="inlineStr">
        <is>
          <t>Đại hội đồng cổ đông</t>
        </is>
      </c>
      <c r="F2646" s="390" t="inlineStr">
        <is>
          <t>Data Explorer</t>
        </is>
      </c>
      <c r="G2646" s="390" t="inlineStr">
        <is>
          <t>Chỉ tiêu cơ sở</t>
        </is>
      </c>
      <c r="H2646" s="390" t="inlineStr">
        <is>
          <t>TB</t>
        </is>
      </c>
      <c r="I2646" s="390" t="inlineStr">
        <is>
          <t>Ngày, CTCK</t>
        </is>
      </c>
      <c r="J2646" s="401" t="inlineStr">
        <is>
          <t>SCMS</t>
        </is>
      </c>
      <c r="K2646" s="401" t="n"/>
      <c r="L2646" s="401" t="inlineStr">
        <is>
          <t>X</t>
        </is>
      </c>
      <c r="M2646" s="401" t="n"/>
      <c r="N2646" s="401" t="inlineStr">
        <is>
          <t>Done</t>
        </is>
      </c>
      <c r="O2646" s="401" t="n"/>
      <c r="P2646" s="22" t="n"/>
      <c r="Q2646" s="401" t="inlineStr">
        <is>
          <t>DM_LOAI_CONG_TY</t>
        </is>
      </c>
      <c r="R2646" s="401" t="inlineStr">
        <is>
          <t>TEN_LOAI_CONG_TY</t>
        </is>
      </c>
      <c r="S2646" s="22" t="n"/>
      <c r="U2646" s="16" t="n"/>
      <c r="V2646" s="22" t="n"/>
      <c r="W2646" s="22" t="n"/>
      <c r="X2646" s="22" t="n"/>
      <c r="Y2646" s="395" t="n"/>
      <c r="Z2646" s="22" t="n"/>
      <c r="AA2646" s="22" t="n"/>
      <c r="AB2646" s="22" t="n"/>
      <c r="AC2646" s="22" t="n"/>
      <c r="AD2646" s="22" t="n"/>
      <c r="AE2646" s="22" t="n"/>
    </row>
    <row r="2647" ht="56" customHeight="1" s="380">
      <c r="A2647" s="139" t="n">
        <v>111</v>
      </c>
      <c r="B2647" s="390" t="n"/>
      <c r="C2647" s="390" t="inlineStr">
        <is>
          <t>Báo cáo giám sát quản trị công ty &gt;&gt; Báo cáo tình hình quản trị công ty - V.II.1+2+III.1+2</t>
        </is>
      </c>
      <c r="D2647" s="390" t="inlineStr">
        <is>
          <t>Hội đồng quản trị</t>
        </is>
      </c>
      <c r="E2647" s="401" t="inlineStr">
        <is>
          <t>Hội đồng quản trị</t>
        </is>
      </c>
      <c r="F2647" s="390" t="inlineStr">
        <is>
          <t>Data Explorer</t>
        </is>
      </c>
      <c r="G2647" s="390" t="inlineStr">
        <is>
          <t>Chỉ tiêu cơ sở</t>
        </is>
      </c>
      <c r="H2647" s="390" t="inlineStr">
        <is>
          <t>TB</t>
        </is>
      </c>
      <c r="I2647" s="390" t="inlineStr">
        <is>
          <t>Ngày, CTCK</t>
        </is>
      </c>
      <c r="J2647" s="401" t="inlineStr">
        <is>
          <t>SCMS</t>
        </is>
      </c>
      <c r="K2647" s="401" t="n"/>
      <c r="L2647" s="401" t="inlineStr">
        <is>
          <t>X</t>
        </is>
      </c>
      <c r="M2647" s="401" t="n"/>
      <c r="N2647" s="401" t="inlineStr">
        <is>
          <t>Done</t>
        </is>
      </c>
      <c r="O2647" s="401" t="n"/>
      <c r="P2647" s="22" t="n"/>
      <c r="Q2647" s="401" t="inlineStr">
        <is>
          <t>DM_CHUC_VU</t>
        </is>
      </c>
      <c r="R2647" s="401" t="inlineStr">
        <is>
          <t>NHOM_CHUC_VU</t>
        </is>
      </c>
      <c r="S2647" s="22" t="n"/>
      <c r="U2647" s="16" t="n"/>
      <c r="V2647" s="22" t="n"/>
      <c r="W2647" s="22" t="n"/>
      <c r="X2647" s="22" t="n"/>
      <c r="Y2647" s="395" t="n"/>
      <c r="Z2647" s="22" t="n"/>
      <c r="AA2647" s="22" t="n"/>
      <c r="AB2647" s="22" t="n"/>
      <c r="AC2647" s="22" t="n"/>
      <c r="AD2647" s="22" t="n"/>
      <c r="AE2647" s="22" t="n"/>
    </row>
    <row r="2648" ht="56" customHeight="1" s="380">
      <c r="A2648" s="139" t="n">
        <v>111</v>
      </c>
      <c r="B2648" s="390" t="n"/>
      <c r="C2648" s="390" t="inlineStr">
        <is>
          <t>Báo cáo giám sát quản trị công ty &gt;&gt; Báo cáo tình hình quản trị công ty - V.II.1+2+III.1+2</t>
        </is>
      </c>
      <c r="D2648" s="390" t="inlineStr">
        <is>
          <t>Tổng giám đốc/Giám đốc</t>
        </is>
      </c>
      <c r="E2648" s="401" t="inlineStr">
        <is>
          <t>Tổng giám đốc/Giám đốc</t>
        </is>
      </c>
      <c r="F2648" s="390" t="inlineStr">
        <is>
          <t>Data Explorer</t>
        </is>
      </c>
      <c r="G2648" s="390" t="inlineStr">
        <is>
          <t>Chỉ tiêu cơ sở</t>
        </is>
      </c>
      <c r="H2648" s="390" t="inlineStr">
        <is>
          <t>TB</t>
        </is>
      </c>
      <c r="I2648" s="390" t="inlineStr">
        <is>
          <t>Ngày, CTCK</t>
        </is>
      </c>
      <c r="J2648" s="401" t="inlineStr">
        <is>
          <t>SCMS</t>
        </is>
      </c>
      <c r="K2648" s="401" t="n"/>
      <c r="L2648" s="401" t="inlineStr">
        <is>
          <t>X</t>
        </is>
      </c>
      <c r="M2648" s="401" t="n"/>
      <c r="N2648" s="401" t="inlineStr">
        <is>
          <t>Done</t>
        </is>
      </c>
      <c r="O2648" s="401" t="n"/>
      <c r="P2648" s="22" t="n"/>
      <c r="Q2648" s="401" t="inlineStr">
        <is>
          <t>DM_CHUC_VU</t>
        </is>
      </c>
      <c r="R2648" s="401" t="inlineStr">
        <is>
          <t>TEN_CHUC_VU</t>
        </is>
      </c>
      <c r="S2648" s="22" t="n"/>
      <c r="U2648" s="16" t="n"/>
      <c r="V2648" s="22" t="n"/>
      <c r="W2648" s="22" t="n"/>
      <c r="X2648" s="22" t="n"/>
      <c r="Y2648" s="36" t="n"/>
      <c r="Z2648" s="22" t="n"/>
      <c r="AA2648" s="22" t="n"/>
      <c r="AB2648" s="22" t="n"/>
      <c r="AC2648" s="22" t="n"/>
      <c r="AD2648" s="22" t="n"/>
      <c r="AE2648" s="22" t="n"/>
    </row>
    <row r="2649" ht="56" customHeight="1" s="380">
      <c r="A2649" s="139" t="n">
        <v>111</v>
      </c>
      <c r="B2649" s="390" t="n"/>
      <c r="C2649" s="390" t="inlineStr">
        <is>
          <t>Báo cáo giám sát quản trị công ty &gt;&gt; Báo cáo tình hình quản trị công ty - V.II.1+2+III.1+2</t>
        </is>
      </c>
      <c r="D2649" s="390" t="inlineStr">
        <is>
          <t>Ban kiểm soát</t>
        </is>
      </c>
      <c r="E2649" s="401" t="inlineStr">
        <is>
          <t>Ban kiểm soát</t>
        </is>
      </c>
      <c r="F2649" s="390" t="inlineStr">
        <is>
          <t>Data Explorer</t>
        </is>
      </c>
      <c r="G2649" s="390" t="inlineStr">
        <is>
          <t>Chỉ tiêu cơ sở</t>
        </is>
      </c>
      <c r="H2649" s="390" t="inlineStr">
        <is>
          <t>TB</t>
        </is>
      </c>
      <c r="I2649" s="390" t="inlineStr">
        <is>
          <t>Ngày, CTCK</t>
        </is>
      </c>
      <c r="J2649" s="401" t="inlineStr">
        <is>
          <t>SCMS</t>
        </is>
      </c>
      <c r="K2649" s="401" t="n"/>
      <c r="L2649" s="401" t="inlineStr">
        <is>
          <t>X</t>
        </is>
      </c>
      <c r="M2649" s="401" t="n"/>
      <c r="N2649" s="401" t="inlineStr">
        <is>
          <t>Done</t>
        </is>
      </c>
      <c r="O2649" s="401" t="n"/>
      <c r="P2649" s="22" t="n"/>
      <c r="Q2649" s="401" t="inlineStr">
        <is>
          <t>DM_CHUC_VU</t>
        </is>
      </c>
      <c r="R2649" s="401" t="inlineStr">
        <is>
          <t>NHOM_CHUC_VU</t>
        </is>
      </c>
      <c r="S2649" s="22" t="n"/>
      <c r="U2649" s="16" t="n"/>
      <c r="V2649" s="22" t="n"/>
      <c r="W2649" s="22" t="n"/>
      <c r="X2649" s="22" t="n"/>
      <c r="Y2649" s="395" t="n"/>
      <c r="Z2649" s="22" t="n"/>
      <c r="AA2649" s="22" t="n"/>
      <c r="AB2649" s="22" t="n"/>
      <c r="AC2649" s="22" t="n"/>
      <c r="AD2649" s="22" t="n"/>
      <c r="AE2649" s="22" t="n"/>
    </row>
    <row r="2650" ht="56" customHeight="1" s="380">
      <c r="A2650" s="139" t="n">
        <v>111</v>
      </c>
      <c r="B2650" s="390" t="n"/>
      <c r="C2650" s="390" t="inlineStr">
        <is>
          <t>Báo cáo giám sát quản trị công ty &gt;&gt; Báo cáo tình hình quản trị công ty - V.II.1+2+III.1+2</t>
        </is>
      </c>
      <c r="D2650" s="390" t="inlineStr">
        <is>
          <t>Ủy ban kiểm toán</t>
        </is>
      </c>
      <c r="E2650" s="401" t="inlineStr">
        <is>
          <t>Ủy ban kiểm toán</t>
        </is>
      </c>
      <c r="F2650" s="390" t="inlineStr">
        <is>
          <t>Data Explorer</t>
        </is>
      </c>
      <c r="G2650" s="390" t="inlineStr">
        <is>
          <t>Chỉ tiêu cơ sở</t>
        </is>
      </c>
      <c r="H2650" s="390" t="inlineStr">
        <is>
          <t>TB</t>
        </is>
      </c>
      <c r="I2650" s="390" t="inlineStr">
        <is>
          <t>Ngày, CTCK</t>
        </is>
      </c>
      <c r="J2650" s="401" t="inlineStr">
        <is>
          <t>SCMS</t>
        </is>
      </c>
      <c r="K2650" s="401" t="n"/>
      <c r="L2650" s="401" t="inlineStr">
        <is>
          <t>X</t>
        </is>
      </c>
      <c r="M2650" s="401" t="n"/>
      <c r="N2650" s="401" t="inlineStr">
        <is>
          <t>Done</t>
        </is>
      </c>
      <c r="O2650" s="401" t="n"/>
      <c r="P2650" s="22" t="n"/>
      <c r="Q2650" s="401" t="inlineStr">
        <is>
          <t>DM_CHUC_VU</t>
        </is>
      </c>
      <c r="R2650" s="401" t="inlineStr">
        <is>
          <t>NHOM_CHUC_VU</t>
        </is>
      </c>
      <c r="S2650" s="22" t="n"/>
      <c r="U2650" s="16" t="n"/>
      <c r="V2650" s="22" t="n"/>
      <c r="W2650" s="22" t="n"/>
      <c r="X2650" s="22" t="n"/>
      <c r="Y2650" s="36" t="n"/>
      <c r="Z2650" s="22" t="n"/>
      <c r="AA2650" s="22" t="n"/>
      <c r="AB2650" s="22" t="n"/>
      <c r="AC2650" s="22" t="n"/>
      <c r="AD2650" s="22" t="n"/>
      <c r="AE2650" s="22" t="n"/>
    </row>
    <row r="2651" ht="56" customHeight="1" s="380">
      <c r="A2651" s="139" t="n">
        <v>111</v>
      </c>
      <c r="B2651" s="390" t="n"/>
      <c r="C2651" s="390" t="inlineStr">
        <is>
          <t>Báo cáo giám sát quản trị công ty &gt;&gt; Báo cáo tình hình quản trị công ty - V.II.1+2+III.1+2</t>
        </is>
      </c>
      <c r="D2651" s="390" t="inlineStr">
        <is>
          <t>Chức năng kiểm toán nội bộ &gt;&gt; Đã thực hiện</t>
        </is>
      </c>
      <c r="E2651" s="390" t="inlineStr">
        <is>
          <t>Chức năng kiểm toán nội bộ &gt;&gt; Đã thực hiện</t>
        </is>
      </c>
      <c r="F2651" s="390" t="inlineStr">
        <is>
          <t>Data Explorer</t>
        </is>
      </c>
      <c r="G2651" s="390" t="inlineStr">
        <is>
          <t>Chỉ tiêu cơ sở</t>
        </is>
      </c>
      <c r="H2651" s="390" t="inlineStr">
        <is>
          <t>TB</t>
        </is>
      </c>
      <c r="I2651" s="390" t="inlineStr">
        <is>
          <t>Ngày, CTCK</t>
        </is>
      </c>
      <c r="J2651" s="401" t="inlineStr">
        <is>
          <t>SCMS</t>
        </is>
      </c>
      <c r="K2651" s="401" t="n"/>
      <c r="L2651" s="401" t="inlineStr">
        <is>
          <t>X</t>
        </is>
      </c>
      <c r="M2651" s="401" t="n"/>
      <c r="N2651" s="401" t="inlineStr">
        <is>
          <t>Done</t>
        </is>
      </c>
      <c r="O2651" s="401" t="n"/>
      <c r="P2651" s="22" t="n"/>
      <c r="Q2651" s="401" t="inlineStr">
        <is>
          <t>CBTT_BAO_CAO</t>
        </is>
      </c>
      <c r="R2651" s="401" t="inlineStr">
        <is>
          <t>MO_TA
LOAI_TIN</t>
        </is>
      </c>
      <c r="S2651" s="22" t="n"/>
      <c r="U2651" s="390" t="inlineStr">
        <is>
          <t>Dựa vào text để lấy dữ liệu</t>
        </is>
      </c>
      <c r="V2651" s="22" t="n"/>
      <c r="W2651" s="22" t="n"/>
      <c r="X2651" s="22" t="n"/>
      <c r="Y2651" s="395" t="n"/>
      <c r="Z2651" s="22" t="n"/>
      <c r="AA2651" s="22" t="n"/>
      <c r="AB2651" s="22" t="n"/>
      <c r="AC2651" s="22" t="n"/>
      <c r="AD2651" s="22" t="n"/>
      <c r="AE2651" s="22" t="n"/>
    </row>
    <row r="2652" ht="56" customHeight="1" s="380">
      <c r="A2652" s="139" t="n">
        <v>111</v>
      </c>
      <c r="B2652" s="390" t="n"/>
      <c r="C2652" s="390" t="inlineStr">
        <is>
          <t>Báo cáo giám sát quản trị công ty &gt;&gt; Báo cáo tình hình quản trị công ty - V.II.1+2+III.1+2</t>
        </is>
      </c>
      <c r="D2652" s="390" t="inlineStr">
        <is>
          <t>Chức năng kiểm toán nội bộ &gt;&gt; Chưa thực hiện</t>
        </is>
      </c>
      <c r="E2652" s="390" t="inlineStr">
        <is>
          <t>Chức năng kiểm toán nội bộ &gt;&gt; Chưa thực hiện</t>
        </is>
      </c>
      <c r="F2652" s="390" t="inlineStr">
        <is>
          <t>Data Explorer</t>
        </is>
      </c>
      <c r="G2652" s="390" t="inlineStr">
        <is>
          <t>Chỉ tiêu cơ sở</t>
        </is>
      </c>
      <c r="H2652" s="390" t="inlineStr">
        <is>
          <t>TB</t>
        </is>
      </c>
      <c r="I2652" s="390" t="inlineStr">
        <is>
          <t>Ngày, CTCK</t>
        </is>
      </c>
      <c r="J2652" s="401" t="inlineStr">
        <is>
          <t>SCMS</t>
        </is>
      </c>
      <c r="K2652" s="401" t="n"/>
      <c r="L2652" s="401" t="inlineStr">
        <is>
          <t>X</t>
        </is>
      </c>
      <c r="M2652" s="401" t="n"/>
      <c r="N2652" s="401" t="inlineStr">
        <is>
          <t>Done</t>
        </is>
      </c>
      <c r="O2652" s="401" t="n"/>
      <c r="P2652" s="22" t="n"/>
      <c r="Q2652" s="401" t="inlineStr">
        <is>
          <t>CBTT_BAO_CAO</t>
        </is>
      </c>
      <c r="R2652" s="401" t="inlineStr">
        <is>
          <t>MO_TA
LOAI_TIN</t>
        </is>
      </c>
      <c r="S2652" s="22" t="n"/>
      <c r="U2652" s="390" t="inlineStr">
        <is>
          <t>Dựa vào text để lấy dữ liệu</t>
        </is>
      </c>
      <c r="V2652" s="22" t="n"/>
      <c r="W2652" s="22" t="n"/>
      <c r="X2652" s="22" t="n"/>
      <c r="Y2652" s="395" t="n"/>
      <c r="Z2652" s="22" t="n"/>
      <c r="AA2652" s="22" t="n"/>
      <c r="AB2652" s="22" t="n"/>
      <c r="AC2652" s="22" t="n"/>
      <c r="AD2652" s="22" t="n"/>
      <c r="AE2652" s="22" t="n"/>
    </row>
    <row r="2653" ht="56" customHeight="1" s="380">
      <c r="A2653" s="139" t="n">
        <v>111</v>
      </c>
      <c r="B2653" s="390" t="n"/>
      <c r="C2653" s="390" t="inlineStr">
        <is>
          <t>Báo cáo giám sát quản trị công ty &gt;&gt; Báo cáo tình hình quản trị công ty - V.II.1+2+III.1+2</t>
        </is>
      </c>
      <c r="D2653" s="390" t="inlineStr">
        <is>
          <t>Thành viên
(HĐQT/BKS/UBKT)</t>
        </is>
      </c>
      <c r="E2653" s="401" t="inlineStr">
        <is>
          <t>Thành viên
(HĐQT/BKS/UBKT)</t>
        </is>
      </c>
      <c r="F2653" s="390" t="inlineStr">
        <is>
          <t>Data Explorer</t>
        </is>
      </c>
      <c r="G2653" s="390" t="inlineStr">
        <is>
          <t>Chỉ tiêu cơ sở</t>
        </is>
      </c>
      <c r="H2653" s="390" t="inlineStr">
        <is>
          <t>Dễ</t>
        </is>
      </c>
      <c r="I2653" s="390" t="inlineStr">
        <is>
          <t>Ngày, CTCK</t>
        </is>
      </c>
      <c r="J2653" s="401" t="inlineStr">
        <is>
          <t>SCMS</t>
        </is>
      </c>
      <c r="K2653" s="401" t="n"/>
      <c r="L2653" s="401" t="inlineStr">
        <is>
          <t>X</t>
        </is>
      </c>
      <c r="M2653" s="401" t="n"/>
      <c r="N2653" s="401" t="inlineStr">
        <is>
          <t>Done</t>
        </is>
      </c>
      <c r="O2653" s="401" t="n"/>
      <c r="P2653" s="22" t="n"/>
      <c r="Q2653" s="401" t="inlineStr">
        <is>
          <t>DM_CHUC_VU</t>
        </is>
      </c>
      <c r="R2653" s="401" t="inlineStr">
        <is>
          <t>NHOM_CHUC_VU</t>
        </is>
      </c>
      <c r="S2653" s="22" t="n"/>
      <c r="U2653" s="390" t="n"/>
      <c r="V2653" s="22" t="n"/>
      <c r="W2653" s="22" t="n"/>
      <c r="X2653" s="22" t="n"/>
      <c r="Y2653" s="395" t="n"/>
      <c r="Z2653" s="22" t="n"/>
      <c r="AA2653" s="22" t="n"/>
      <c r="AB2653" s="22" t="n"/>
      <c r="AC2653" s="22" t="n"/>
      <c r="AD2653" s="22" t="n"/>
      <c r="AE2653" s="22" t="n"/>
    </row>
    <row r="2654" ht="56" customHeight="1" s="380">
      <c r="A2654" s="139" t="n">
        <v>111</v>
      </c>
      <c r="B2654" s="390" t="n"/>
      <c r="C2654" s="390" t="inlineStr">
        <is>
          <t>Báo cáo giám sát quản trị công ty &gt;&gt; Báo cáo tình hình quản trị công ty - V.II.1+2+III.1+2</t>
        </is>
      </c>
      <c r="D2654" s="390" t="inlineStr">
        <is>
          <t>Tên thành viên</t>
        </is>
      </c>
      <c r="E2654" s="401" t="inlineStr">
        <is>
          <t>Tên thành viên</t>
        </is>
      </c>
      <c r="F2654" s="390" t="inlineStr">
        <is>
          <t>Data Explorer</t>
        </is>
      </c>
      <c r="G2654" s="390" t="inlineStr">
        <is>
          <t>Chỉ tiêu cơ sở</t>
        </is>
      </c>
      <c r="H2654" s="390" t="inlineStr">
        <is>
          <t>Dễ</t>
        </is>
      </c>
      <c r="I2654" s="390" t="inlineStr">
        <is>
          <t>Ngày, CTCK</t>
        </is>
      </c>
      <c r="J2654" s="401" t="inlineStr">
        <is>
          <t>SCMS</t>
        </is>
      </c>
      <c r="K2654" s="401" t="n"/>
      <c r="L2654" s="401" t="inlineStr">
        <is>
          <t>X</t>
        </is>
      </c>
      <c r="M2654" s="401" t="n"/>
      <c r="N2654" s="401" t="inlineStr">
        <is>
          <t>Done</t>
        </is>
      </c>
      <c r="O2654" s="401" t="n"/>
      <c r="P2654" s="22" t="n"/>
      <c r="Q2654" s="401" t="inlineStr">
        <is>
          <t>CTCK_NHAN_SU_CAO_CAP</t>
        </is>
      </c>
      <c r="R2654" s="401" t="inlineStr">
        <is>
          <t>HO_TEN</t>
        </is>
      </c>
      <c r="S2654" s="22" t="n"/>
      <c r="U2654" s="390" t="n"/>
      <c r="V2654" s="22" t="n"/>
      <c r="W2654" s="22" t="n"/>
      <c r="X2654" s="22" t="n"/>
      <c r="Y2654" s="395" t="n"/>
      <c r="Z2654" s="22" t="n"/>
      <c r="AA2654" s="22" t="n"/>
      <c r="AB2654" s="22" t="n"/>
      <c r="AC2654" s="22" t="n"/>
      <c r="AD2654" s="22" t="n"/>
      <c r="AE2654" s="22" t="n"/>
    </row>
    <row r="2655" ht="56" customHeight="1" s="380">
      <c r="A2655" s="139" t="n">
        <v>111</v>
      </c>
      <c r="B2655" s="390" t="n"/>
      <c r="C2655" s="390" t="inlineStr">
        <is>
          <t>Báo cáo giám sát quản trị công ty &gt;&gt; Báo cáo tình hình quản trị công ty - V.II.1+2+III.1+2</t>
        </is>
      </c>
      <c r="D2655" s="390" t="inlineStr">
        <is>
          <t>Chức vụ</t>
        </is>
      </c>
      <c r="E2655" s="401" t="inlineStr">
        <is>
          <t>Chức vụ</t>
        </is>
      </c>
      <c r="F2655" s="390" t="inlineStr">
        <is>
          <t>Data Explorer</t>
        </is>
      </c>
      <c r="G2655" s="390" t="inlineStr">
        <is>
          <t>Chỉ tiêu cơ sở</t>
        </is>
      </c>
      <c r="H2655" s="390" t="inlineStr">
        <is>
          <t>Dễ</t>
        </is>
      </c>
      <c r="I2655" s="390" t="inlineStr">
        <is>
          <t>Ngày, CTCK</t>
        </is>
      </c>
      <c r="J2655" s="401" t="inlineStr">
        <is>
          <t>SCMS</t>
        </is>
      </c>
      <c r="K2655" s="401" t="n"/>
      <c r="L2655" s="401" t="inlineStr">
        <is>
          <t>X</t>
        </is>
      </c>
      <c r="M2655" s="401" t="n"/>
      <c r="N2655" s="401" t="inlineStr">
        <is>
          <t>Done</t>
        </is>
      </c>
      <c r="O2655" s="401" t="n"/>
      <c r="P2655" s="22" t="n"/>
      <c r="Q2655" s="401" t="inlineStr">
        <is>
          <t>DM_CHUC_VU</t>
        </is>
      </c>
      <c r="R2655" s="401" t="inlineStr">
        <is>
          <t>TEN_CHUC_VU</t>
        </is>
      </c>
      <c r="S2655" s="22" t="n"/>
      <c r="U2655" s="390" t="n"/>
      <c r="V2655" s="22" t="n"/>
      <c r="W2655" s="22" t="n"/>
      <c r="X2655" s="22" t="n"/>
      <c r="Y2655" s="36" t="n"/>
      <c r="Z2655" s="22" t="n"/>
      <c r="AA2655" s="22" t="n"/>
      <c r="AB2655" s="22" t="n"/>
      <c r="AC2655" s="22" t="n"/>
      <c r="AD2655" s="22" t="n"/>
      <c r="AE2655" s="22" t="n"/>
    </row>
    <row r="2656" ht="56" customHeight="1" s="380">
      <c r="A2656" s="139" t="n">
        <v>111</v>
      </c>
      <c r="B2656" s="390" t="n"/>
      <c r="C2656" s="390" t="inlineStr">
        <is>
          <t>Báo cáo giám sát quản trị công ty &gt;&gt; Báo cáo tình hình quản trị công ty - V.II.1+2+III.1+2</t>
        </is>
      </c>
      <c r="D2656" s="390" t="inlineStr">
        <is>
          <t>Trình độ chuyên môn (nếu là BKS/UBKT)</t>
        </is>
      </c>
      <c r="E2656" s="401" t="inlineStr">
        <is>
          <t>Trình độ chuyên môn (nếu là BKS/UBKT)</t>
        </is>
      </c>
      <c r="F2656" s="390" t="inlineStr">
        <is>
          <t>Data Explorer</t>
        </is>
      </c>
      <c r="G2656" s="390" t="inlineStr">
        <is>
          <t>Chỉ tiêu cơ sở</t>
        </is>
      </c>
      <c r="H2656" s="390" t="inlineStr">
        <is>
          <t>Dễ</t>
        </is>
      </c>
      <c r="I2656" s="390" t="inlineStr">
        <is>
          <t>Ngày, CTCK</t>
        </is>
      </c>
      <c r="J2656" s="401" t="inlineStr">
        <is>
          <t>SCMS</t>
        </is>
      </c>
      <c r="K2656" s="401" t="n"/>
      <c r="L2656" s="401" t="inlineStr">
        <is>
          <t>X</t>
        </is>
      </c>
      <c r="M2656" s="401" t="n"/>
      <c r="N2656" s="401" t="inlineStr">
        <is>
          <t>Done</t>
        </is>
      </c>
      <c r="O2656" s="401" t="n"/>
      <c r="P2656" s="22" t="n"/>
      <c r="Q2656" s="401" t="inlineStr">
        <is>
          <t>CBTT_BAO_CAO</t>
        </is>
      </c>
      <c r="R2656" s="401" t="inlineStr">
        <is>
          <t>MO_TA</t>
        </is>
      </c>
      <c r="S2656" s="22" t="n"/>
      <c r="U2656" s="390" t="inlineStr">
        <is>
          <t>Dựa vào text để lấy dữ liệu</t>
        </is>
      </c>
      <c r="V2656" s="22" t="n"/>
      <c r="W2656" s="22" t="n"/>
      <c r="X2656" s="22" t="n"/>
      <c r="Y2656" s="37" t="n"/>
      <c r="Z2656" s="22" t="n"/>
      <c r="AA2656" s="22" t="n"/>
      <c r="AB2656" s="22" t="n"/>
      <c r="AC2656" s="22" t="n"/>
      <c r="AD2656" s="22" t="n"/>
      <c r="AE2656" s="22" t="n"/>
    </row>
    <row r="2657" ht="56" customHeight="1" s="380">
      <c r="A2657" s="139" t="n">
        <v>111</v>
      </c>
      <c r="B2657" s="390" t="n"/>
      <c r="C2657" s="390" t="inlineStr">
        <is>
          <t>Báo cáo giám sát quản trị công ty &gt;&gt; Báo cáo tình hình quản trị công ty - V.II.1+2+III.1+2</t>
        </is>
      </c>
      <c r="D2657" s="390" t="inlineStr">
        <is>
          <t>Ngày bắt đầu/không còn là thành viên &gt;&gt; Ngày bổ nhiệm</t>
        </is>
      </c>
      <c r="E2657" s="390" t="inlineStr">
        <is>
          <t>Ngày bắt đầu/không còn là thành viên &gt;&gt; Ngày bổ nhiệm</t>
        </is>
      </c>
      <c r="F2657" s="390" t="inlineStr">
        <is>
          <t>Data Explorer</t>
        </is>
      </c>
      <c r="G2657" s="390" t="inlineStr">
        <is>
          <t>Chỉ tiêu cơ sở</t>
        </is>
      </c>
      <c r="H2657" s="390" t="inlineStr">
        <is>
          <t>TB</t>
        </is>
      </c>
      <c r="I2657" s="390" t="inlineStr">
        <is>
          <t>Ngày, CTCK</t>
        </is>
      </c>
      <c r="J2657" s="401" t="inlineStr">
        <is>
          <t>SCMS</t>
        </is>
      </c>
      <c r="K2657" s="401" t="n"/>
      <c r="L2657" s="401" t="inlineStr">
        <is>
          <t>X</t>
        </is>
      </c>
      <c r="M2657" s="401" t="n"/>
      <c r="N2657" s="401" t="inlineStr">
        <is>
          <t>Done</t>
        </is>
      </c>
      <c r="O2657" s="401" t="n"/>
      <c r="P2657" s="22" t="n"/>
      <c r="Q2657" s="401" t="inlineStr">
        <is>
          <t>CTCK_NHAN_SU_CAO_CAP</t>
        </is>
      </c>
      <c r="R2657" s="401" t="inlineStr">
        <is>
          <t>NGAY_BAT_DAU_LAM_VIEC</t>
        </is>
      </c>
      <c r="S2657" s="22" t="n"/>
      <c r="U2657" s="390" t="n"/>
      <c r="V2657" s="22" t="n"/>
      <c r="W2657" s="22" t="n"/>
      <c r="X2657" s="22" t="n"/>
      <c r="Y2657" s="395" t="n"/>
      <c r="Z2657" s="22" t="n"/>
      <c r="AA2657" s="22" t="n"/>
      <c r="AB2657" s="22" t="n"/>
      <c r="AC2657" s="22" t="n"/>
      <c r="AD2657" s="22" t="n"/>
      <c r="AE2657" s="22" t="n"/>
    </row>
    <row r="2658" ht="56" customHeight="1" s="380">
      <c r="A2658" s="139" t="n">
        <v>111</v>
      </c>
      <c r="B2658" s="390" t="n"/>
      <c r="C2658" s="390" t="inlineStr">
        <is>
          <t>Báo cáo giám sát quản trị công ty &gt;&gt; Báo cáo tình hình quản trị công ty - V.II.1+2+III.1+2</t>
        </is>
      </c>
      <c r="D2658" s="390" t="inlineStr">
        <is>
          <t>Ngày bắt đầu/không còn là thành viên &gt;&gt; Ngày miễn nhiệm</t>
        </is>
      </c>
      <c r="E2658" s="390" t="inlineStr">
        <is>
          <t>Ngày bắt đầu/không còn là thành viên &gt;&gt; Ngày miễn nhiệm</t>
        </is>
      </c>
      <c r="F2658" s="390" t="inlineStr">
        <is>
          <t>Data Explorer</t>
        </is>
      </c>
      <c r="G2658" s="390" t="inlineStr">
        <is>
          <t>Chỉ tiêu cơ sở</t>
        </is>
      </c>
      <c r="H2658" s="390" t="inlineStr">
        <is>
          <t>TB</t>
        </is>
      </c>
      <c r="I2658" s="390" t="inlineStr">
        <is>
          <t>Ngày, CTCK</t>
        </is>
      </c>
      <c r="J2658" s="401" t="inlineStr">
        <is>
          <t>SCMS</t>
        </is>
      </c>
      <c r="K2658" s="401" t="n"/>
      <c r="L2658" s="401" t="inlineStr">
        <is>
          <t>X</t>
        </is>
      </c>
      <c r="M2658" s="401" t="n"/>
      <c r="N2658" s="401" t="inlineStr">
        <is>
          <t>Done</t>
        </is>
      </c>
      <c r="O2658" s="401" t="n"/>
      <c r="P2658" s="22" t="n"/>
      <c r="Q2658" s="401" t="inlineStr">
        <is>
          <t>CTCK_NHAN_SU_CAO_CAP</t>
        </is>
      </c>
      <c r="R2658" s="401" t="inlineStr">
        <is>
          <t>NGAY_THOI_VIEC</t>
        </is>
      </c>
      <c r="S2658" s="22" t="n"/>
      <c r="U2658" s="390" t="n"/>
      <c r="V2658" s="22" t="n"/>
      <c r="W2658" s="22" t="n"/>
      <c r="X2658" s="22" t="n"/>
      <c r="Y2658" s="395" t="n"/>
      <c r="Z2658" s="22" t="n"/>
      <c r="AA2658" s="22" t="n"/>
      <c r="AB2658" s="22" t="n"/>
      <c r="AC2658" s="22" t="n"/>
      <c r="AD2658" s="22" t="n"/>
      <c r="AE2658" s="22" t="n"/>
    </row>
    <row r="2659" ht="56" customHeight="1" s="380">
      <c r="A2659" s="139" t="n">
        <v>111</v>
      </c>
      <c r="B2659" s="390" t="n"/>
      <c r="C2659" s="390" t="inlineStr">
        <is>
          <t>Báo cáo giám sát quản trị công ty &gt;&gt; Báo cáo tình hình quản trị công ty - V.II.1+2+III.1+2</t>
        </is>
      </c>
      <c r="D2659" s="390" t="inlineStr">
        <is>
          <t>Các cuộc họp HĐQT/BKS/UBKT &gt;&gt; Số buổi họp tham dự</t>
        </is>
      </c>
      <c r="E2659" s="390" t="inlineStr">
        <is>
          <t>Các cuộc họp HĐQT/BKS/UBKT &gt;&gt; Số buổi họp tham dự</t>
        </is>
      </c>
      <c r="F2659" s="390" t="inlineStr">
        <is>
          <t>Data Explorer</t>
        </is>
      </c>
      <c r="G2659" s="390" t="inlineStr">
        <is>
          <t>Chỉ tiêu cơ sở</t>
        </is>
      </c>
      <c r="H2659" s="390" t="inlineStr">
        <is>
          <t>TB</t>
        </is>
      </c>
      <c r="I2659" s="390" t="inlineStr">
        <is>
          <t>Ngày, CTCK</t>
        </is>
      </c>
      <c r="J2659" s="401" t="inlineStr">
        <is>
          <t>SCMS</t>
        </is>
      </c>
      <c r="K2659" s="401" t="n"/>
      <c r="L2659" s="401" t="inlineStr">
        <is>
          <t>X</t>
        </is>
      </c>
      <c r="M2659" s="401" t="n"/>
      <c r="N2659" s="401" t="inlineStr">
        <is>
          <t>Done</t>
        </is>
      </c>
      <c r="O2659" s="401" t="n"/>
      <c r="P2659" s="22" t="n"/>
      <c r="Q2659" s="401" t="inlineStr">
        <is>
          <t>CBTT_BAO_CAO</t>
        </is>
      </c>
      <c r="R2659" s="401" t="inlineStr">
        <is>
          <t>ID</t>
        </is>
      </c>
      <c r="S2659" s="22" t="n"/>
      <c r="U2659" s="390" t="inlineStr">
        <is>
          <t>Dựa vào text để lấy dữ liệu</t>
        </is>
      </c>
      <c r="V2659" s="22" t="n"/>
      <c r="W2659" s="22" t="n"/>
      <c r="X2659" s="22" t="n"/>
      <c r="Y2659" s="395" t="n"/>
      <c r="Z2659" s="22" t="n"/>
      <c r="AA2659" s="22" t="n"/>
      <c r="AB2659" s="22" t="n"/>
      <c r="AC2659" s="22" t="n"/>
      <c r="AD2659" s="22" t="n"/>
      <c r="AE2659" s="22" t="n"/>
    </row>
    <row r="2660" ht="56" customHeight="1" s="380">
      <c r="A2660" s="139" t="n">
        <v>111</v>
      </c>
      <c r="B2660" s="390" t="n"/>
      <c r="C2660" s="390" t="inlineStr">
        <is>
          <t>Báo cáo giám sát quản trị công ty &gt;&gt; Báo cáo tình hình quản trị công ty - V.II.1+2+III.1+2</t>
        </is>
      </c>
      <c r="D2660" s="390" t="inlineStr">
        <is>
          <t>Các cuộc họp HĐQT/BKS/UBKT &gt;&gt; Tỷ lệ tham dự</t>
        </is>
      </c>
      <c r="E2660" s="390" t="inlineStr">
        <is>
          <t>Các cuộc họp HĐQT/BKS/UBKT &gt;&gt; Tỷ lệ tham dự</t>
        </is>
      </c>
      <c r="F2660" s="390" t="inlineStr">
        <is>
          <t>Data Explorer</t>
        </is>
      </c>
      <c r="G2660" s="390" t="inlineStr">
        <is>
          <t>Chỉ tiêu cơ sở</t>
        </is>
      </c>
      <c r="H2660" s="390" t="inlineStr">
        <is>
          <t>TB</t>
        </is>
      </c>
      <c r="I2660" s="390" t="inlineStr">
        <is>
          <t>Ngày, CTCK</t>
        </is>
      </c>
      <c r="J2660" s="401" t="inlineStr">
        <is>
          <t>SCMS</t>
        </is>
      </c>
      <c r="K2660" s="401" t="n"/>
      <c r="L2660" s="401" t="inlineStr">
        <is>
          <t>X</t>
        </is>
      </c>
      <c r="M2660" s="401" t="n"/>
      <c r="N2660" s="401" t="inlineStr">
        <is>
          <t>Done</t>
        </is>
      </c>
      <c r="O2660" s="401" t="n"/>
      <c r="P2660" s="22" t="n"/>
      <c r="Q2660" s="401" t="inlineStr">
        <is>
          <t>CBTT_BAO_CAO</t>
        </is>
      </c>
      <c r="R2660" s="401" t="inlineStr">
        <is>
          <t>MO_TA</t>
        </is>
      </c>
      <c r="S2660" s="22" t="n"/>
      <c r="U2660" s="390" t="inlineStr">
        <is>
          <t>Dựa vào text để lấy dữ liệu</t>
        </is>
      </c>
      <c r="V2660" s="22" t="n"/>
      <c r="W2660" s="22" t="n"/>
      <c r="X2660" s="22" t="n"/>
      <c r="Y2660" s="395" t="n"/>
      <c r="Z2660" s="22" t="n"/>
      <c r="AA2660" s="22" t="n"/>
      <c r="AB2660" s="22" t="n"/>
      <c r="AC2660" s="22" t="n"/>
      <c r="AD2660" s="22" t="n"/>
      <c r="AE2660" s="22" t="n"/>
    </row>
    <row r="2661" ht="56" customHeight="1" s="380">
      <c r="A2661" s="139" t="n">
        <v>111</v>
      </c>
      <c r="B2661" s="390" t="n"/>
      <c r="C2661" s="390" t="inlineStr">
        <is>
          <t>Báo cáo giám sát quản trị công ty &gt;&gt; Báo cáo tình hình quản trị công ty - V.II.1+2+III.1+2</t>
        </is>
      </c>
      <c r="D2661" s="390" t="inlineStr">
        <is>
          <t>Các cuộc họp HĐQT/BKS/UBKT &gt;&gt; Tỷ lệ biểu quyết (nếu là BKS/UBKT)</t>
        </is>
      </c>
      <c r="E2661" s="390" t="inlineStr">
        <is>
          <t>Các cuộc họp HĐQT/BKS/UBKT &gt;&gt; Tỷ lệ biểu quyết (nếu là BKS/UBKT)</t>
        </is>
      </c>
      <c r="F2661" s="390" t="inlineStr">
        <is>
          <t>Data Explorer</t>
        </is>
      </c>
      <c r="G2661" s="390" t="inlineStr">
        <is>
          <t>Chỉ tiêu cơ sở</t>
        </is>
      </c>
      <c r="H2661" s="390" t="inlineStr">
        <is>
          <t>TB</t>
        </is>
      </c>
      <c r="I2661" s="390" t="inlineStr">
        <is>
          <t>Ngày, CTCK</t>
        </is>
      </c>
      <c r="J2661" s="401" t="inlineStr">
        <is>
          <t>SCMS</t>
        </is>
      </c>
      <c r="K2661" s="401" t="n"/>
      <c r="L2661" s="401" t="inlineStr">
        <is>
          <t>X</t>
        </is>
      </c>
      <c r="M2661" s="401" t="n"/>
      <c r="N2661" s="401" t="inlineStr">
        <is>
          <t>Done</t>
        </is>
      </c>
      <c r="O2661" s="401" t="n"/>
      <c r="P2661" s="22" t="n"/>
      <c r="Q2661" s="401" t="inlineStr">
        <is>
          <t>CBTT_BAO_CAO</t>
        </is>
      </c>
      <c r="R2661" s="401" t="inlineStr">
        <is>
          <t>MO_TA</t>
        </is>
      </c>
      <c r="S2661" s="22" t="n"/>
      <c r="U2661" s="390" t="inlineStr">
        <is>
          <t>Dựa vào text để lấy dữ liệu</t>
        </is>
      </c>
      <c r="V2661" s="22" t="n"/>
      <c r="W2661" s="22" t="n"/>
      <c r="X2661" s="22" t="n"/>
      <c r="Y2661" s="36" t="n"/>
      <c r="Z2661" s="22" t="n"/>
      <c r="AA2661" s="22" t="n"/>
      <c r="AB2661" s="22" t="n"/>
      <c r="AC2661" s="22" t="n"/>
      <c r="AD2661" s="22" t="n"/>
      <c r="AE2661" s="22" t="n"/>
    </row>
    <row r="2662" ht="56" customHeight="1" s="380">
      <c r="A2662" s="143" t="n">
        <v>111</v>
      </c>
      <c r="B2662" s="129" t="n"/>
      <c r="C2662" s="129" t="inlineStr">
        <is>
          <t>Báo cáo giám sát quản trị công ty &gt;&gt; Báo cáo tình hình quản trị công ty - V.II.1+2+III.1+2</t>
        </is>
      </c>
      <c r="D2662" s="129" t="inlineStr">
        <is>
          <t>Các cuộc họp HĐQT/BKS/UBKT &gt;&gt; Lý do không tham dự</t>
        </is>
      </c>
      <c r="E2662" s="129" t="inlineStr">
        <is>
          <t>Các cuộc họp HĐQT/BKS/UBKT &gt;&gt; Lý do không tham dự</t>
        </is>
      </c>
      <c r="F2662" s="129" t="inlineStr">
        <is>
          <t>Data Explorer</t>
        </is>
      </c>
      <c r="G2662" s="129" t="inlineStr">
        <is>
          <t>Chỉ tiêu cơ sở</t>
        </is>
      </c>
      <c r="H2662" s="129" t="inlineStr">
        <is>
          <t>TB</t>
        </is>
      </c>
      <c r="I2662" s="129" t="inlineStr">
        <is>
          <t>Ngày, CTCK</t>
        </is>
      </c>
      <c r="J2662" s="85" t="inlineStr">
        <is>
          <t>SCMS</t>
        </is>
      </c>
      <c r="K2662" s="85" t="n"/>
      <c r="L2662" s="85" t="inlineStr">
        <is>
          <t>X</t>
        </is>
      </c>
      <c r="M2662" s="85" t="n"/>
      <c r="N2662" s="85" t="inlineStr">
        <is>
          <t>Done</t>
        </is>
      </c>
      <c r="O2662" s="85" t="n"/>
      <c r="P2662" s="130" t="n"/>
      <c r="Q2662" s="85" t="inlineStr">
        <is>
          <t>CBTT_BAO_CAO</t>
        </is>
      </c>
      <c r="R2662" s="85" t="inlineStr">
        <is>
          <t>MO_TA</t>
        </is>
      </c>
      <c r="S2662" s="130" t="n"/>
      <c r="T2662" s="426" t="n"/>
      <c r="U2662" s="129" t="inlineStr">
        <is>
          <t>Dựa vào text để lấy dữ liệu</t>
        </is>
      </c>
      <c r="V2662" s="130" t="n"/>
      <c r="W2662" s="130" t="n"/>
      <c r="X2662" s="130" t="n"/>
      <c r="Y2662" s="69" t="n"/>
      <c r="Z2662" s="130" t="n"/>
      <c r="AA2662" s="130" t="n"/>
      <c r="AB2662" s="130" t="n"/>
      <c r="AC2662" s="130" t="n"/>
      <c r="AD2662" s="130" t="n"/>
      <c r="AE2662" s="130" t="n"/>
    </row>
    <row r="2663" ht="56" customHeight="1" s="380">
      <c r="A2663" s="139" t="n">
        <v>112</v>
      </c>
      <c r="B2663" s="140" t="inlineStr">
        <is>
          <t>Trang</t>
        </is>
      </c>
      <c r="C2663" s="127" t="inlineStr">
        <is>
          <t>Báo cáo giám sát quản trị công ty &gt;&gt; Báo cáo tình hình quản trị công ty - V.I+II.5</t>
        </is>
      </c>
      <c r="D2663" s="106" t="inlineStr">
        <is>
          <t>Loại báo cáo</t>
        </is>
      </c>
      <c r="E2663" s="107" t="inlineStr">
        <is>
          <t>Loại báo cáo</t>
        </is>
      </c>
      <c r="F2663" s="390" t="inlineStr">
        <is>
          <t>Data Explorer</t>
        </is>
      </c>
      <c r="G2663" s="390" t="inlineStr">
        <is>
          <t>Chiều</t>
        </is>
      </c>
      <c r="H2663" s="390" t="inlineStr">
        <is>
          <t>Dễ</t>
        </is>
      </c>
      <c r="I2663" s="390" t="inlineStr">
        <is>
          <t>Ngày, CTCK</t>
        </is>
      </c>
      <c r="J2663" s="401" t="inlineStr">
        <is>
          <t>SCMS</t>
        </is>
      </c>
      <c r="K2663" s="401" t="inlineStr">
        <is>
          <t>X</t>
        </is>
      </c>
      <c r="L2663" s="401" t="inlineStr">
        <is>
          <t>X</t>
        </is>
      </c>
      <c r="M2663" s="401" t="n"/>
      <c r="N2663" s="401" t="inlineStr">
        <is>
          <t>Pending</t>
        </is>
      </c>
      <c r="O2663" s="401" t="n"/>
      <c r="P2663" s="22" t="n"/>
      <c r="Q2663" s="105" t="inlineStr">
        <is>
          <t>DB cũ không thấy biểu mẫu báo cáo này</t>
        </is>
      </c>
      <c r="R2663" s="401" t="n"/>
      <c r="S2663" s="22" t="n"/>
      <c r="T2663" s="403" t="n"/>
      <c r="U2663" s="390" t="n"/>
      <c r="V2663" s="22" t="n"/>
      <c r="W2663" s="22" t="n"/>
      <c r="X2663" s="22" t="n"/>
      <c r="Y2663" s="395" t="n"/>
      <c r="Z2663" s="22" t="n"/>
      <c r="AA2663" s="22" t="n"/>
      <c r="AB2663" s="22" t="n"/>
      <c r="AC2663" s="22" t="n"/>
      <c r="AD2663" s="22" t="n"/>
      <c r="AE2663" s="22" t="n"/>
    </row>
    <row r="2664" ht="56" customHeight="1" s="380">
      <c r="A2664" s="139" t="n">
        <v>112</v>
      </c>
      <c r="B2664" s="390" t="n"/>
      <c r="C2664" s="390" t="inlineStr">
        <is>
          <t>Báo cáo giám sát quản trị công ty &gt;&gt; Báo cáo tình hình quản trị công ty - V.I+II.5</t>
        </is>
      </c>
      <c r="D2664" s="106" t="inlineStr">
        <is>
          <t>Kỳ báo cáo</t>
        </is>
      </c>
      <c r="E2664" s="107" t="inlineStr">
        <is>
          <t>Kỳ báo cáo</t>
        </is>
      </c>
      <c r="F2664" s="390" t="inlineStr">
        <is>
          <t>Data Explorer</t>
        </is>
      </c>
      <c r="G2664" s="390" t="inlineStr">
        <is>
          <t>Chiều</t>
        </is>
      </c>
      <c r="H2664" s="390" t="inlineStr">
        <is>
          <t>Dễ</t>
        </is>
      </c>
      <c r="I2664" s="390" t="inlineStr">
        <is>
          <t>Ngày, CTCK</t>
        </is>
      </c>
      <c r="J2664" s="401" t="inlineStr">
        <is>
          <t>SCMS</t>
        </is>
      </c>
      <c r="K2664" s="401" t="inlineStr">
        <is>
          <t>X</t>
        </is>
      </c>
      <c r="L2664" s="401" t="inlineStr">
        <is>
          <t>X</t>
        </is>
      </c>
      <c r="M2664" s="401" t="n"/>
      <c r="N2664" s="401" t="inlineStr">
        <is>
          <t>Pending</t>
        </is>
      </c>
      <c r="O2664" s="401" t="n"/>
      <c r="P2664" s="22" t="n"/>
      <c r="Q2664" s="401" t="n"/>
      <c r="R2664" s="401" t="n"/>
      <c r="S2664" s="22" t="n"/>
      <c r="T2664" s="390" t="n"/>
      <c r="U2664" s="390" t="n"/>
      <c r="V2664" s="22" t="n"/>
      <c r="W2664" s="22" t="n"/>
      <c r="X2664" s="22" t="n"/>
      <c r="Y2664" s="395" t="n"/>
      <c r="Z2664" s="22" t="n"/>
      <c r="AA2664" s="22" t="n"/>
      <c r="AB2664" s="22" t="n"/>
      <c r="AC2664" s="22" t="n"/>
      <c r="AD2664" s="22" t="n"/>
      <c r="AE2664" s="22" t="n"/>
    </row>
    <row r="2665" ht="56" customHeight="1" s="380">
      <c r="A2665" s="139" t="n">
        <v>112</v>
      </c>
      <c r="B2665" s="390" t="n"/>
      <c r="C2665" s="390" t="inlineStr">
        <is>
          <t>Báo cáo giám sát quản trị công ty &gt;&gt; Báo cáo tình hình quản trị công ty - V.I+II.5</t>
        </is>
      </c>
      <c r="D2665" s="106" t="inlineStr">
        <is>
          <t>Mã báo cáo</t>
        </is>
      </c>
      <c r="E2665" s="107" t="inlineStr">
        <is>
          <t>Mã báo cáo</t>
        </is>
      </c>
      <c r="F2665" s="390" t="inlineStr">
        <is>
          <t>Data Explorer</t>
        </is>
      </c>
      <c r="G2665" s="390" t="inlineStr">
        <is>
          <t>Chiều</t>
        </is>
      </c>
      <c r="H2665" s="390" t="inlineStr">
        <is>
          <t>Dễ</t>
        </is>
      </c>
      <c r="I2665" s="390" t="inlineStr">
        <is>
          <t>Ngày, CTCK</t>
        </is>
      </c>
      <c r="J2665" s="401" t="inlineStr">
        <is>
          <t>SCMS</t>
        </is>
      </c>
      <c r="K2665" s="401" t="inlineStr">
        <is>
          <t>X</t>
        </is>
      </c>
      <c r="L2665" s="401" t="inlineStr">
        <is>
          <t>X</t>
        </is>
      </c>
      <c r="M2665" s="401" t="n"/>
      <c r="N2665" s="401" t="inlineStr">
        <is>
          <t>Pending</t>
        </is>
      </c>
      <c r="O2665" s="401" t="n"/>
      <c r="P2665" s="22" t="n"/>
      <c r="Q2665" s="401" t="n"/>
      <c r="R2665" s="401" t="n"/>
      <c r="S2665" s="22" t="n"/>
      <c r="T2665" s="390" t="n"/>
      <c r="U2665" s="390" t="n"/>
      <c r="V2665" s="22" t="n"/>
      <c r="W2665" s="22" t="n"/>
      <c r="X2665" s="22" t="n"/>
      <c r="Y2665" s="395" t="n"/>
      <c r="Z2665" s="22" t="n"/>
      <c r="AA2665" s="22" t="n"/>
      <c r="AB2665" s="22" t="n"/>
      <c r="AC2665" s="22" t="n"/>
      <c r="AD2665" s="22" t="n"/>
      <c r="AE2665" s="22" t="n"/>
    </row>
    <row r="2666" ht="56" customHeight="1" s="380">
      <c r="A2666" s="139" t="n">
        <v>112</v>
      </c>
      <c r="B2666" s="390" t="n"/>
      <c r="C2666" s="390" t="inlineStr">
        <is>
          <t>Báo cáo giám sát quản trị công ty &gt;&gt; Báo cáo tình hình quản trị công ty - V.I+II.5</t>
        </is>
      </c>
      <c r="D2666" s="106" t="inlineStr">
        <is>
          <t>Tên báo cáo</t>
        </is>
      </c>
      <c r="E2666" s="107" t="inlineStr">
        <is>
          <t>Tên báo cáo</t>
        </is>
      </c>
      <c r="F2666" s="390" t="inlineStr">
        <is>
          <t>Data Explorer</t>
        </is>
      </c>
      <c r="G2666" s="390" t="inlineStr">
        <is>
          <t>Chiều</t>
        </is>
      </c>
      <c r="H2666" s="390" t="inlineStr">
        <is>
          <t>Dễ</t>
        </is>
      </c>
      <c r="I2666" s="390" t="inlineStr">
        <is>
          <t>Ngày, CTCK</t>
        </is>
      </c>
      <c r="J2666" s="401" t="inlineStr">
        <is>
          <t>SCMS</t>
        </is>
      </c>
      <c r="K2666" s="401" t="inlineStr">
        <is>
          <t>X</t>
        </is>
      </c>
      <c r="L2666" s="401" t="inlineStr">
        <is>
          <t>X</t>
        </is>
      </c>
      <c r="M2666" s="401" t="n"/>
      <c r="N2666" s="401" t="inlineStr">
        <is>
          <t>Pending</t>
        </is>
      </c>
      <c r="O2666" s="401" t="n"/>
      <c r="P2666" s="22" t="n"/>
      <c r="Q2666" s="401" t="n"/>
      <c r="R2666" s="401" t="n"/>
      <c r="S2666" s="22" t="n"/>
      <c r="T2666" s="390" t="n"/>
      <c r="U2666" s="390" t="n"/>
      <c r="V2666" s="22" t="n"/>
      <c r="W2666" s="22" t="n"/>
      <c r="X2666" s="22" t="n"/>
      <c r="Y2666" s="395" t="n"/>
      <c r="Z2666" s="22" t="n"/>
      <c r="AA2666" s="22" t="n"/>
      <c r="AB2666" s="22" t="n"/>
      <c r="AC2666" s="22" t="n"/>
      <c r="AD2666" s="22" t="n"/>
      <c r="AE2666" s="22" t="n"/>
    </row>
    <row r="2667" ht="56" customHeight="1" s="380">
      <c r="A2667" s="139" t="n">
        <v>112</v>
      </c>
      <c r="B2667" s="390" t="n"/>
      <c r="C2667" s="390" t="inlineStr">
        <is>
          <t>Báo cáo giám sát quản trị công ty &gt;&gt; Báo cáo tình hình quản trị công ty - V.I+II.5</t>
        </is>
      </c>
      <c r="D2667" s="106" t="inlineStr">
        <is>
          <t>Mã chỉ tiêu</t>
        </is>
      </c>
      <c r="E2667" s="107" t="inlineStr">
        <is>
          <t>Mã chỉ tiêu</t>
        </is>
      </c>
      <c r="F2667" s="390" t="inlineStr">
        <is>
          <t>Data Explorer</t>
        </is>
      </c>
      <c r="G2667" s="390" t="inlineStr">
        <is>
          <t>Chiều</t>
        </is>
      </c>
      <c r="H2667" s="390" t="inlineStr">
        <is>
          <t>Dễ</t>
        </is>
      </c>
      <c r="I2667" s="390" t="inlineStr">
        <is>
          <t>Ngày, CTCK</t>
        </is>
      </c>
      <c r="J2667" s="401" t="inlineStr">
        <is>
          <t>SCMS</t>
        </is>
      </c>
      <c r="K2667" s="401" t="inlineStr">
        <is>
          <t>X</t>
        </is>
      </c>
      <c r="L2667" s="401" t="inlineStr">
        <is>
          <t>X</t>
        </is>
      </c>
      <c r="M2667" s="401" t="n"/>
      <c r="N2667" s="401" t="inlineStr">
        <is>
          <t>Pending</t>
        </is>
      </c>
      <c r="O2667" s="401" t="n"/>
      <c r="P2667" s="22" t="n"/>
      <c r="Q2667" s="401" t="n"/>
      <c r="R2667" s="401" t="n"/>
      <c r="S2667" s="22" t="n"/>
      <c r="T2667" s="390" t="n"/>
      <c r="U2667" s="390" t="n"/>
      <c r="V2667" s="22" t="n"/>
      <c r="W2667" s="22" t="n"/>
      <c r="X2667" s="22" t="n"/>
      <c r="Y2667" s="37" t="n"/>
      <c r="Z2667" s="22" t="n"/>
      <c r="AA2667" s="22" t="n"/>
      <c r="AB2667" s="22" t="n"/>
      <c r="AC2667" s="22" t="n"/>
      <c r="AD2667" s="22" t="n"/>
      <c r="AE2667" s="22" t="n"/>
    </row>
    <row r="2668" ht="56" customHeight="1" s="380">
      <c r="A2668" s="139" t="n">
        <v>112</v>
      </c>
      <c r="B2668" s="390" t="n"/>
      <c r="C2668" s="390" t="inlineStr">
        <is>
          <t>Báo cáo giám sát quản trị công ty &gt;&gt; Báo cáo tình hình quản trị công ty - V.I+II.5</t>
        </is>
      </c>
      <c r="D2668" s="106" t="inlineStr">
        <is>
          <t>Tên chỉ tiêu</t>
        </is>
      </c>
      <c r="E2668" s="107" t="inlineStr">
        <is>
          <t>Tên chỉ tiêu</t>
        </is>
      </c>
      <c r="F2668" s="390" t="inlineStr">
        <is>
          <t>Data Explorer</t>
        </is>
      </c>
      <c r="G2668" s="390" t="inlineStr">
        <is>
          <t>Chiều</t>
        </is>
      </c>
      <c r="H2668" s="390" t="inlineStr">
        <is>
          <t>Dễ</t>
        </is>
      </c>
      <c r="I2668" s="390" t="inlineStr">
        <is>
          <t>Ngày, CTCK</t>
        </is>
      </c>
      <c r="J2668" s="401" t="inlineStr">
        <is>
          <t>SCMS</t>
        </is>
      </c>
      <c r="K2668" s="401" t="inlineStr">
        <is>
          <t>X</t>
        </is>
      </c>
      <c r="L2668" s="401" t="inlineStr">
        <is>
          <t>X</t>
        </is>
      </c>
      <c r="M2668" s="401" t="n"/>
      <c r="N2668" s="401" t="inlineStr">
        <is>
          <t>Pending</t>
        </is>
      </c>
      <c r="O2668" s="401" t="n"/>
      <c r="P2668" s="22" t="n"/>
      <c r="Q2668" s="401" t="n"/>
      <c r="R2668" s="401" t="n"/>
      <c r="S2668" s="22" t="n"/>
      <c r="T2668" s="390" t="n"/>
      <c r="U2668" s="390" t="n"/>
      <c r="V2668" s="22" t="n"/>
      <c r="W2668" s="22" t="n"/>
      <c r="X2668" s="22" t="n"/>
      <c r="Y2668" s="395" t="n"/>
      <c r="Z2668" s="22" t="n"/>
      <c r="AA2668" s="22" t="n"/>
      <c r="AB2668" s="22" t="n"/>
      <c r="AC2668" s="22" t="n"/>
      <c r="AD2668" s="22" t="n"/>
      <c r="AE2668" s="22" t="n"/>
    </row>
    <row r="2669" ht="56" customHeight="1" s="380">
      <c r="A2669" s="139" t="n">
        <v>112</v>
      </c>
      <c r="B2669" s="390" t="n"/>
      <c r="C2669" s="390" t="inlineStr">
        <is>
          <t>Báo cáo giám sát quản trị công ty &gt;&gt; Báo cáo tình hình quản trị công ty - V.I+II.5</t>
        </is>
      </c>
      <c r="D2669" s="390" t="inlineStr">
        <is>
          <t>Tên CTCK</t>
        </is>
      </c>
      <c r="E2669" s="401" t="inlineStr">
        <is>
          <t>Tên CTCK</t>
        </is>
      </c>
      <c r="F2669" s="390" t="inlineStr">
        <is>
          <t>Data Explorer</t>
        </is>
      </c>
      <c r="G2669" s="390" t="inlineStr">
        <is>
          <t>Chỉ tiêu cơ sở</t>
        </is>
      </c>
      <c r="H2669" s="390" t="inlineStr">
        <is>
          <t>Trùng</t>
        </is>
      </c>
      <c r="I2669" s="390" t="inlineStr">
        <is>
          <t>Ngày, CTCK</t>
        </is>
      </c>
      <c r="J2669" s="401" t="inlineStr">
        <is>
          <t>SCMS</t>
        </is>
      </c>
      <c r="K2669" s="401" t="n"/>
      <c r="L2669" s="401" t="inlineStr">
        <is>
          <t>X</t>
        </is>
      </c>
      <c r="M2669" s="401" t="n"/>
      <c r="N2669" s="401" t="inlineStr">
        <is>
          <t>Done</t>
        </is>
      </c>
      <c r="O2669" s="401" t="n"/>
      <c r="P2669" s="22" t="n"/>
      <c r="Q2669" s="401" t="inlineStr">
        <is>
          <t>CTCK_THONG_TIN</t>
        </is>
      </c>
      <c r="R2669" s="401" t="inlineStr">
        <is>
          <t>TEN_TIENG_VIET</t>
        </is>
      </c>
      <c r="S2669" s="22" t="n"/>
      <c r="T2669" s="432" t="inlineStr">
        <is>
          <t>SELECT a.TEN_TIENG_VIET "Tên CTCK",
a.DIA_CHI "Địa chỉ trụ sở chính",
a.VON_DIEU_LE "Vốn điều lệ",
a.MA_CHUNG_KHOAN "Mã chứng khoán",
a.GIAY_PHEP_KINH_DOANH "Số giấy phép hoạt động",
a.NGAY_CAP_GPKD "Ngày cấp giấy phép hoạt động",
CASE WHEN b.TEN_LOAI_CONG_TY = 'CTCP' THEN 'x' ELSE '' END "Đại hội đồng cổ đông",
CASE WHEN d.NHOM_CHUC_VU = 'HDQT' THEN 'x' ELSE '' END "Hội đồng quản trị",
CASE WHEN LOWER(d.TEN_CHUC_VU) LIKE '%giám đốc%' THEN 'x' ELSE '' END "Tổng giám đốc/giám đốc",
CASE WHEN d.NHOM_CHUC_VU = 'BKS' THEN 'x' ELSE '' END "Ban kiểm soát",
CASE WHEN (b.TEN_LOAI_CONG_TY = 'CTCP' 
         AND d.NHOM_CHUC_VU != 'BKS') OR LOWER(d.TEN_CHUC_VU) LIKE '%ủy ban kiểm toán%'
         THEN 'x' ELSE '' END "Ủy ban kiểm toán",
CASE WHEN LOWER(e.MO_TA) LIKE '%cuộc họp ủy ban kiểm toán%' AND e.LOAI_TIN = 2 THEN 'Đã Thực hiện'
         ELSE 'Chưa thực hiện'
         END "Chức năng kiểm toán nội bộ",
CASE WHEN e.LOAI_TIN = 3 THEN 'ĐHĐCĐ'
         WHEN e.LOAI_TIN = 2 AND LOWER(e.MO_TA) LIKE '%cuộc họp hội đồng quản trị%' THEN 'HĐQT'
END "Cuộc họp của ĐHĐCĐ/HĐQT",
MAX(REGEXP_SUBSTR(e.MO_TA, 'Số nghị quyết/Quyết định[: ]+([0-9])', 1, 1, NULL, 1)) "Tỷ lệ tham dự",
MAX(REGEXP_SUBSTR(e.MO_TA, 'Ngày nghị quyết/Quyết định', 1, 1, NULL, 1)) "Tỷ lệ biểu quyết",
e.MO_TA "Nội dung",
MAX(REGEXP_SUBSTR(e.MO_TA, 'Tỷ lệ thông qua[: ]+([0-9]{1,3}%)', 1, 1, NULL, 1)) "Lý do không tham dự"
FROM SCMS.CTCK_THONG_TIN a
LEFT JOIN SCMS.DM_LOAI_CONG_TY b ON a.LOAI_CONG_TY_ID = b.ID 
LEFT JOIN SCMS.CTCK_NHAN_SU_CAO_CAP c ON a.CTCK_THONG_TIN_ID = c.CTCK_THONG_TIN_ID 
LEFT JOIN SCMS.DM_CHUC_VU d ON c.CHUC_VU_ID = d.ID
LEFT JOIN SCMS.CBTT_BAO_CAO e ON a.ID = e.CTCK_THONG_TIN_ID 
GROUP BY 
a.TEN_TIENG_VIET,
a.DIA_CHI ,
a.VON_DIEU_LE ,
a.MA_CHUNG_KHOAN ,
a.GIAY_PHEP_KINH_DOANH ,
a.NGAY_CAP_GPKD ,
CASE WHEN b.TEN_LOAI_CONG_TY = 'CTCP' THEN 'x' ELSE '' END,
CASE WHEN d.NHOM_CHUC_VU = 'HDQT' THEN 'x' ELSE '' END,
CASE WHEN LOWER(d.TEN_CHUC_VU) LIKE '%giám đốc%' THEN 'x' ELSE '' END ,
CASE WHEN d.NHOM_CHUC_VU = 'BKS' THEN 'x' ELSE '' END ,
CASE WHEN (b.TEN_LOAI_CONG_TY = 'CTCP' 
         AND d.NHOM_CHUC_VU != 'BKS') OR LOWER(d.TEN_CHUC_VU) LIKE '%ủy ban kiểm toán%'
         THEN 'x' ELSE '' END ,
CASE WHEN LOWER(e.MO_TA) LIKE '%cuộc họp ủy ban kiểm toán%' AND e.LOAI_TIN = 2 THEN 'Đã Thực hiện'
         ELSE 'Chưa thực hiện'
         END ,
CASE WHEN e.LOAI_TIN = 3 THEN 'ĐHĐCĐ'
         WHEN e.LOAI_TIN = 2 AND LOWER(e.MO_TA) LIKE '%cuộc họp hội đồng quản trị%' THEN 'HĐQT'
END,
e.MO_TA</t>
        </is>
      </c>
      <c r="U2669" s="390" t="n"/>
      <c r="V2669" s="22" t="n"/>
      <c r="W2669" s="22" t="n"/>
      <c r="X2669" s="22" t="n"/>
      <c r="Y2669" s="13" t="n"/>
      <c r="Z2669" s="22" t="n"/>
      <c r="AA2669" s="22" t="n"/>
      <c r="AB2669" s="22" t="n"/>
      <c r="AC2669" s="22" t="n"/>
      <c r="AD2669" s="22" t="n"/>
      <c r="AE2669" s="22" t="n"/>
    </row>
    <row r="2670" ht="56" customHeight="1" s="380">
      <c r="A2670" s="139" t="n">
        <v>112</v>
      </c>
      <c r="B2670" s="390" t="n"/>
      <c r="C2670" s="390" t="inlineStr">
        <is>
          <t>Báo cáo giám sát quản trị công ty &gt;&gt; Báo cáo tình hình quản trị công ty - V.I+II.5</t>
        </is>
      </c>
      <c r="D2670" s="390" t="inlineStr">
        <is>
          <t>Địa chỉ trụ sở chính</t>
        </is>
      </c>
      <c r="E2670" s="401" t="inlineStr">
        <is>
          <t>Địa chỉ trụ sở chính</t>
        </is>
      </c>
      <c r="F2670" s="390" t="inlineStr">
        <is>
          <t>Data Explorer</t>
        </is>
      </c>
      <c r="G2670" s="390" t="inlineStr">
        <is>
          <t>Chỉ tiêu cơ sở</t>
        </is>
      </c>
      <c r="H2670" s="390" t="inlineStr">
        <is>
          <t>Trùng</t>
        </is>
      </c>
      <c r="I2670" s="390" t="inlineStr">
        <is>
          <t>Ngày, CTCK</t>
        </is>
      </c>
      <c r="J2670" s="401" t="inlineStr">
        <is>
          <t>SCMS</t>
        </is>
      </c>
      <c r="K2670" s="401" t="n"/>
      <c r="L2670" s="401" t="inlineStr">
        <is>
          <t>X</t>
        </is>
      </c>
      <c r="M2670" s="401" t="n"/>
      <c r="N2670" s="401" t="inlineStr">
        <is>
          <t>Done</t>
        </is>
      </c>
      <c r="O2670" s="401" t="n"/>
      <c r="P2670" s="22" t="n"/>
      <c r="Q2670" s="401" t="inlineStr">
        <is>
          <t>CTCK_THONG_TIN</t>
        </is>
      </c>
      <c r="R2670" s="401" t="inlineStr">
        <is>
          <t>DIA_CHI</t>
        </is>
      </c>
      <c r="S2670" s="22" t="n"/>
      <c r="U2670" s="390" t="n"/>
      <c r="V2670" s="22" t="n"/>
      <c r="W2670" s="22" t="n"/>
      <c r="X2670" s="22" t="n"/>
      <c r="Y2670" s="13" t="n"/>
      <c r="Z2670" s="22" t="n"/>
      <c r="AA2670" s="22" t="n"/>
      <c r="AB2670" s="22" t="n"/>
      <c r="AC2670" s="22" t="n"/>
      <c r="AD2670" s="22" t="n"/>
      <c r="AE2670" s="22" t="n"/>
    </row>
    <row r="2671" ht="56" customHeight="1" s="380">
      <c r="A2671" s="139" t="n">
        <v>112</v>
      </c>
      <c r="B2671" s="390" t="n"/>
      <c r="C2671" s="390" t="inlineStr">
        <is>
          <t>Báo cáo giám sát quản trị công ty &gt;&gt; Báo cáo tình hình quản trị công ty - V.I+II.5</t>
        </is>
      </c>
      <c r="D2671" s="390" t="inlineStr">
        <is>
          <t>Vốn Điều lệ</t>
        </is>
      </c>
      <c r="E2671" s="401" t="inlineStr">
        <is>
          <t>Vốn Điều lệ</t>
        </is>
      </c>
      <c r="F2671" s="390" t="inlineStr">
        <is>
          <t>Data Explorer</t>
        </is>
      </c>
      <c r="G2671" s="390" t="inlineStr">
        <is>
          <t>Chỉ tiêu cơ sở</t>
        </is>
      </c>
      <c r="H2671" s="390" t="inlineStr">
        <is>
          <t>Trùng</t>
        </is>
      </c>
      <c r="I2671" s="390" t="inlineStr">
        <is>
          <t>Ngày, CTCK</t>
        </is>
      </c>
      <c r="J2671" s="401" t="inlineStr">
        <is>
          <t>SCMS</t>
        </is>
      </c>
      <c r="K2671" s="401" t="n"/>
      <c r="L2671" s="401" t="inlineStr">
        <is>
          <t>X</t>
        </is>
      </c>
      <c r="M2671" s="401" t="n"/>
      <c r="N2671" s="401" t="inlineStr">
        <is>
          <t>Done</t>
        </is>
      </c>
      <c r="O2671" s="401" t="n"/>
      <c r="P2671" s="22" t="n"/>
      <c r="Q2671" s="401" t="inlineStr">
        <is>
          <t>CTCK_THONG_TIN</t>
        </is>
      </c>
      <c r="R2671" s="401" t="inlineStr">
        <is>
          <t>VON_DIEU_LE</t>
        </is>
      </c>
      <c r="S2671" s="22" t="n"/>
      <c r="U2671" s="390" t="n"/>
      <c r="V2671" s="22" t="n"/>
      <c r="W2671" s="22" t="n"/>
      <c r="X2671" s="22" t="n"/>
      <c r="Y2671" s="13" t="n"/>
      <c r="Z2671" s="22" t="n"/>
      <c r="AA2671" s="22" t="n"/>
      <c r="AB2671" s="22" t="n"/>
      <c r="AC2671" s="22" t="n"/>
      <c r="AD2671" s="22" t="n"/>
      <c r="AE2671" s="22" t="n"/>
    </row>
    <row r="2672" ht="56" customHeight="1" s="380">
      <c r="A2672" s="139" t="n">
        <v>112</v>
      </c>
      <c r="B2672" s="390" t="n"/>
      <c r="C2672" s="390" t="inlineStr">
        <is>
          <t>Báo cáo giám sát quản trị công ty &gt;&gt; Báo cáo tình hình quản trị công ty - V.I+II.5</t>
        </is>
      </c>
      <c r="D2672" s="390" t="inlineStr">
        <is>
          <t>Mã CK</t>
        </is>
      </c>
      <c r="E2672" s="401" t="inlineStr">
        <is>
          <t>Mã CK</t>
        </is>
      </c>
      <c r="F2672" s="390" t="inlineStr">
        <is>
          <t>Data Explorer</t>
        </is>
      </c>
      <c r="G2672" s="390" t="inlineStr">
        <is>
          <t>Chỉ tiêu cơ sở</t>
        </is>
      </c>
      <c r="H2672" s="390" t="inlineStr">
        <is>
          <t>Trùng</t>
        </is>
      </c>
      <c r="I2672" s="390" t="inlineStr">
        <is>
          <t>Ngày, CTCK</t>
        </is>
      </c>
      <c r="J2672" s="401" t="inlineStr">
        <is>
          <t>SCMS</t>
        </is>
      </c>
      <c r="K2672" s="401" t="n"/>
      <c r="L2672" s="401" t="inlineStr">
        <is>
          <t>X</t>
        </is>
      </c>
      <c r="M2672" s="401" t="n"/>
      <c r="N2672" s="401" t="inlineStr">
        <is>
          <t>Done</t>
        </is>
      </c>
      <c r="O2672" s="401" t="n"/>
      <c r="P2672" s="22" t="n"/>
      <c r="Q2672" s="401" t="inlineStr">
        <is>
          <t>CTCK_THONG_TIN</t>
        </is>
      </c>
      <c r="R2672" s="401" t="inlineStr">
        <is>
          <t>MA_CHUNG_KHOAN</t>
        </is>
      </c>
      <c r="S2672" s="22" t="n"/>
      <c r="U2672" s="390" t="n"/>
      <c r="V2672" s="22" t="n"/>
      <c r="W2672" s="22" t="n"/>
      <c r="X2672" s="22" t="n"/>
      <c r="Y2672" s="13" t="n"/>
      <c r="Z2672" s="22" t="n"/>
      <c r="AA2672" s="22" t="n"/>
      <c r="AB2672" s="22" t="n"/>
      <c r="AC2672" s="22" t="n"/>
      <c r="AD2672" s="22" t="n"/>
      <c r="AE2672" s="22" t="n"/>
    </row>
    <row r="2673" ht="56" customHeight="1" s="380">
      <c r="A2673" s="139" t="n">
        <v>112</v>
      </c>
      <c r="B2673" s="390" t="n"/>
      <c r="C2673" s="390" t="inlineStr">
        <is>
          <t>Báo cáo giám sát quản trị công ty &gt;&gt; Báo cáo tình hình quản trị công ty - V.I+II.5</t>
        </is>
      </c>
      <c r="D2673" s="390" t="inlineStr">
        <is>
          <t>Giấy phép Hoạt động của Chủ tịch UBCKNN cấp lần đầu &gt;&gt; Số</t>
        </is>
      </c>
      <c r="E2673" s="390" t="inlineStr">
        <is>
          <t>Giấy phép Hoạt động của Chủ tịch UBCKNN cấp lần đầu &gt;&gt; Số</t>
        </is>
      </c>
      <c r="F2673" s="390" t="inlineStr">
        <is>
          <t>Data Explorer</t>
        </is>
      </c>
      <c r="G2673" s="390" t="inlineStr">
        <is>
          <t>Chỉ tiêu cơ sở</t>
        </is>
      </c>
      <c r="H2673" s="390" t="inlineStr">
        <is>
          <t>Trùng</t>
        </is>
      </c>
      <c r="I2673" s="390" t="inlineStr">
        <is>
          <t>Ngày, CTCK</t>
        </is>
      </c>
      <c r="J2673" s="401" t="inlineStr">
        <is>
          <t>SCMS</t>
        </is>
      </c>
      <c r="K2673" s="401" t="n"/>
      <c r="L2673" s="401" t="inlineStr">
        <is>
          <t>X</t>
        </is>
      </c>
      <c r="M2673" s="401" t="n"/>
      <c r="N2673" s="401" t="inlineStr">
        <is>
          <t>Done</t>
        </is>
      </c>
      <c r="O2673" s="401" t="n"/>
      <c r="P2673" s="22" t="n"/>
      <c r="Q2673" s="401" t="inlineStr">
        <is>
          <t>CTCK_THONG_TIN</t>
        </is>
      </c>
      <c r="R2673" s="401" t="inlineStr">
        <is>
          <t>GIAY_PHEP_KINH_DOANH</t>
        </is>
      </c>
      <c r="S2673" s="22" t="n"/>
      <c r="U2673" s="390" t="n"/>
      <c r="V2673" s="22" t="n"/>
      <c r="W2673" s="22" t="n"/>
      <c r="X2673" s="22" t="n"/>
      <c r="Y2673" s="13" t="n"/>
      <c r="Z2673" s="22" t="n"/>
      <c r="AA2673" s="22" t="n"/>
      <c r="AB2673" s="22" t="n"/>
      <c r="AC2673" s="22" t="n"/>
      <c r="AD2673" s="22" t="n"/>
      <c r="AE2673" s="22" t="n"/>
    </row>
    <row r="2674" ht="56" customHeight="1" s="380">
      <c r="A2674" s="139" t="n">
        <v>112</v>
      </c>
      <c r="B2674" s="390" t="n"/>
      <c r="C2674" s="390" t="inlineStr">
        <is>
          <t>Báo cáo giám sát quản trị công ty &gt;&gt; Báo cáo tình hình quản trị công ty - V.I+II.5</t>
        </is>
      </c>
      <c r="D2674" s="390" t="inlineStr">
        <is>
          <t>Giấy phép Hoạt động của Chủ tịch UBCKNN cấp lần đầu &gt;&gt; Ngày cấp</t>
        </is>
      </c>
      <c r="E2674" s="390" t="inlineStr">
        <is>
          <t>Giấy phép Hoạt động của Chủ tịch UBCKNN cấp lần đầu &gt;&gt; Ngày cấp</t>
        </is>
      </c>
      <c r="F2674" s="390" t="inlineStr">
        <is>
          <t>Data Explorer</t>
        </is>
      </c>
      <c r="G2674" s="390" t="inlineStr">
        <is>
          <t>Chỉ tiêu cơ sở</t>
        </is>
      </c>
      <c r="H2674" s="390" t="inlineStr">
        <is>
          <t>Trùng</t>
        </is>
      </c>
      <c r="I2674" s="390" t="inlineStr">
        <is>
          <t>Ngày, CTCK</t>
        </is>
      </c>
      <c r="J2674" s="401" t="inlineStr">
        <is>
          <t>SCMS</t>
        </is>
      </c>
      <c r="K2674" s="401" t="n"/>
      <c r="L2674" s="401" t="inlineStr">
        <is>
          <t>X</t>
        </is>
      </c>
      <c r="M2674" s="401" t="n"/>
      <c r="N2674" s="401" t="inlineStr">
        <is>
          <t>Done</t>
        </is>
      </c>
      <c r="O2674" s="401" t="n"/>
      <c r="P2674" s="22" t="n"/>
      <c r="Q2674" s="401" t="inlineStr">
        <is>
          <t>CTCK_THONG_TIN</t>
        </is>
      </c>
      <c r="R2674" s="401" t="inlineStr">
        <is>
          <t>NGAY_CAP_GPKD</t>
        </is>
      </c>
      <c r="S2674" s="22" t="n"/>
      <c r="U2674" s="390" t="n"/>
      <c r="V2674" s="22" t="n"/>
      <c r="W2674" s="22" t="n"/>
      <c r="X2674" s="22" t="n"/>
      <c r="Y2674" s="13" t="n"/>
      <c r="Z2674" s="22" t="n"/>
      <c r="AA2674" s="22" t="n"/>
      <c r="AB2674" s="22" t="n"/>
      <c r="AC2674" s="22" t="n"/>
      <c r="AD2674" s="22" t="n"/>
      <c r="AE2674" s="22" t="n"/>
    </row>
    <row r="2675" ht="56" customHeight="1" s="380">
      <c r="A2675" s="139" t="n">
        <v>112</v>
      </c>
      <c r="B2675" s="390" t="n"/>
      <c r="C2675" s="390" t="inlineStr">
        <is>
          <t>Báo cáo giám sát quản trị công ty &gt;&gt; Báo cáo tình hình quản trị công ty - V.I+II.5</t>
        </is>
      </c>
      <c r="D2675" s="390" t="inlineStr">
        <is>
          <t>Đại hội đồng cổ đông</t>
        </is>
      </c>
      <c r="E2675" s="401" t="inlineStr">
        <is>
          <t>Đại hội đồng cổ đông</t>
        </is>
      </c>
      <c r="F2675" s="390" t="inlineStr">
        <is>
          <t>Data Explorer</t>
        </is>
      </c>
      <c r="G2675" s="390" t="inlineStr">
        <is>
          <t>Chỉ tiêu cơ sở</t>
        </is>
      </c>
      <c r="H2675" s="390" t="inlineStr">
        <is>
          <t>Trùng</t>
        </is>
      </c>
      <c r="I2675" s="390" t="inlineStr">
        <is>
          <t>Ngày, CTCK</t>
        </is>
      </c>
      <c r="J2675" s="401" t="inlineStr">
        <is>
          <t>SCMS</t>
        </is>
      </c>
      <c r="K2675" s="401" t="n"/>
      <c r="L2675" s="401" t="inlineStr">
        <is>
          <t>X</t>
        </is>
      </c>
      <c r="M2675" s="401" t="n"/>
      <c r="N2675" s="401" t="inlineStr">
        <is>
          <t>Done</t>
        </is>
      </c>
      <c r="O2675" s="401" t="n"/>
      <c r="P2675" s="22" t="n"/>
      <c r="Q2675" s="401" t="inlineStr">
        <is>
          <t>DM_LOAI_CONG_TY</t>
        </is>
      </c>
      <c r="R2675" s="401" t="inlineStr">
        <is>
          <t>TEN_LOAI_CONG_TY</t>
        </is>
      </c>
      <c r="S2675" s="22" t="n"/>
      <c r="U2675" s="390" t="n"/>
      <c r="V2675" s="22" t="n"/>
      <c r="W2675" s="22" t="n"/>
      <c r="X2675" s="22" t="n"/>
      <c r="Y2675" s="13" t="n"/>
      <c r="Z2675" s="22" t="n"/>
      <c r="AA2675" s="22" t="n"/>
      <c r="AB2675" s="22" t="n"/>
      <c r="AC2675" s="22" t="n"/>
      <c r="AD2675" s="22" t="n"/>
      <c r="AE2675" s="22" t="n"/>
    </row>
    <row r="2676" ht="56" customHeight="1" s="380">
      <c r="A2676" s="139" t="n">
        <v>112</v>
      </c>
      <c r="B2676" s="390" t="n"/>
      <c r="C2676" s="390" t="inlineStr">
        <is>
          <t>Báo cáo giám sát quản trị công ty &gt;&gt; Báo cáo tình hình quản trị công ty - V.I+II.5</t>
        </is>
      </c>
      <c r="D2676" s="390" t="inlineStr">
        <is>
          <t>Hội đồng quản trị</t>
        </is>
      </c>
      <c r="E2676" s="401" t="inlineStr">
        <is>
          <t>Hội đồng quản trị</t>
        </is>
      </c>
      <c r="F2676" s="390" t="inlineStr">
        <is>
          <t>Data Explorer</t>
        </is>
      </c>
      <c r="G2676" s="390" t="inlineStr">
        <is>
          <t>Chỉ tiêu cơ sở</t>
        </is>
      </c>
      <c r="H2676" s="390" t="inlineStr">
        <is>
          <t>Trùng</t>
        </is>
      </c>
      <c r="I2676" s="390" t="inlineStr">
        <is>
          <t>Ngày, CTCK</t>
        </is>
      </c>
      <c r="J2676" s="401" t="inlineStr">
        <is>
          <t>SCMS</t>
        </is>
      </c>
      <c r="K2676" s="401" t="n"/>
      <c r="L2676" s="401" t="inlineStr">
        <is>
          <t>X</t>
        </is>
      </c>
      <c r="M2676" s="401" t="n"/>
      <c r="N2676" s="401" t="inlineStr">
        <is>
          <t>Done</t>
        </is>
      </c>
      <c r="O2676" s="401" t="n"/>
      <c r="P2676" s="22" t="n"/>
      <c r="Q2676" s="401" t="inlineStr">
        <is>
          <t>DM_CHUC_VU</t>
        </is>
      </c>
      <c r="R2676" s="401" t="inlineStr">
        <is>
          <t>NHOM_CHUC_VU</t>
        </is>
      </c>
      <c r="S2676" s="22" t="n"/>
      <c r="U2676" s="390" t="n"/>
      <c r="V2676" s="22" t="n"/>
      <c r="W2676" s="22" t="n"/>
      <c r="X2676" s="22" t="n"/>
      <c r="Y2676" s="13" t="n"/>
      <c r="Z2676" s="22" t="n"/>
      <c r="AA2676" s="22" t="n"/>
      <c r="AB2676" s="22" t="n"/>
      <c r="AC2676" s="22" t="n"/>
      <c r="AD2676" s="22" t="n"/>
      <c r="AE2676" s="22" t="n"/>
    </row>
    <row r="2677" ht="56" customHeight="1" s="380">
      <c r="A2677" s="139" t="n">
        <v>112</v>
      </c>
      <c r="B2677" s="390" t="n"/>
      <c r="C2677" s="390" t="inlineStr">
        <is>
          <t>Báo cáo giám sát quản trị công ty &gt;&gt; Báo cáo tình hình quản trị công ty - V.I+II.5</t>
        </is>
      </c>
      <c r="D2677" s="390" t="inlineStr">
        <is>
          <t>Tổng giám đốc/Giám đốc</t>
        </is>
      </c>
      <c r="E2677" s="401" t="inlineStr">
        <is>
          <t>Tổng giám đốc/Giám đốc</t>
        </is>
      </c>
      <c r="F2677" s="390" t="inlineStr">
        <is>
          <t>Data Explorer</t>
        </is>
      </c>
      <c r="G2677" s="390" t="inlineStr">
        <is>
          <t>Chỉ tiêu cơ sở</t>
        </is>
      </c>
      <c r="H2677" s="390" t="inlineStr">
        <is>
          <t>Trùng</t>
        </is>
      </c>
      <c r="I2677" s="390" t="inlineStr">
        <is>
          <t>Ngày, CTCK</t>
        </is>
      </c>
      <c r="J2677" s="401" t="inlineStr">
        <is>
          <t>SCMS</t>
        </is>
      </c>
      <c r="K2677" s="401" t="n"/>
      <c r="L2677" s="401" t="inlineStr">
        <is>
          <t>X</t>
        </is>
      </c>
      <c r="M2677" s="401" t="n"/>
      <c r="N2677" s="401" t="inlineStr">
        <is>
          <t>Done</t>
        </is>
      </c>
      <c r="O2677" s="401" t="n"/>
      <c r="P2677" s="22" t="n"/>
      <c r="Q2677" s="401" t="inlineStr">
        <is>
          <t>DM_CHUC_VU</t>
        </is>
      </c>
      <c r="R2677" s="401" t="inlineStr">
        <is>
          <t>TEN_CHUC_VU</t>
        </is>
      </c>
      <c r="S2677" s="22" t="n"/>
      <c r="U2677" s="390" t="n"/>
      <c r="V2677" s="22" t="n"/>
      <c r="W2677" s="22" t="n"/>
      <c r="X2677" s="22" t="n"/>
      <c r="Y2677" s="13" t="n"/>
      <c r="Z2677" s="22" t="n"/>
      <c r="AA2677" s="22" t="n"/>
      <c r="AB2677" s="22" t="n"/>
      <c r="AC2677" s="22" t="n"/>
      <c r="AD2677" s="22" t="n"/>
      <c r="AE2677" s="22" t="n"/>
    </row>
    <row r="2678" ht="56" customHeight="1" s="380">
      <c r="A2678" s="139" t="n">
        <v>112</v>
      </c>
      <c r="B2678" s="390" t="n"/>
      <c r="C2678" s="390" t="inlineStr">
        <is>
          <t>Báo cáo giám sát quản trị công ty &gt;&gt; Báo cáo tình hình quản trị công ty - V.I+II.5</t>
        </is>
      </c>
      <c r="D2678" s="390" t="inlineStr">
        <is>
          <t>Ban kiểm soát</t>
        </is>
      </c>
      <c r="E2678" s="401" t="inlineStr">
        <is>
          <t>Ban kiểm soát</t>
        </is>
      </c>
      <c r="F2678" s="390" t="inlineStr">
        <is>
          <t>Data Explorer</t>
        </is>
      </c>
      <c r="G2678" s="390" t="inlineStr">
        <is>
          <t>Chỉ tiêu cơ sở</t>
        </is>
      </c>
      <c r="H2678" s="390" t="inlineStr">
        <is>
          <t>Trùng</t>
        </is>
      </c>
      <c r="I2678" s="390" t="inlineStr">
        <is>
          <t>Ngày, CTCK</t>
        </is>
      </c>
      <c r="J2678" s="401" t="inlineStr">
        <is>
          <t>SCMS</t>
        </is>
      </c>
      <c r="K2678" s="401" t="n"/>
      <c r="L2678" s="401" t="inlineStr">
        <is>
          <t>X</t>
        </is>
      </c>
      <c r="M2678" s="401" t="n"/>
      <c r="N2678" s="401" t="inlineStr">
        <is>
          <t>Done</t>
        </is>
      </c>
      <c r="O2678" s="401" t="n"/>
      <c r="P2678" s="22" t="n"/>
      <c r="Q2678" s="401" t="inlineStr">
        <is>
          <t>DM_CHUC_VU</t>
        </is>
      </c>
      <c r="R2678" s="401" t="inlineStr">
        <is>
          <t>NHOM_CHUC_VU</t>
        </is>
      </c>
      <c r="S2678" s="22" t="n"/>
      <c r="U2678" s="390" t="n"/>
      <c r="V2678" s="22" t="n"/>
      <c r="W2678" s="22" t="n"/>
      <c r="X2678" s="22" t="n"/>
      <c r="Y2678" s="13" t="n"/>
      <c r="Z2678" s="22" t="n"/>
      <c r="AA2678" s="22" t="n"/>
      <c r="AB2678" s="22" t="n"/>
      <c r="AC2678" s="22" t="n"/>
      <c r="AD2678" s="22" t="n"/>
      <c r="AE2678" s="22" t="n"/>
    </row>
    <row r="2679" ht="56" customHeight="1" s="380">
      <c r="A2679" s="139" t="n">
        <v>112</v>
      </c>
      <c r="B2679" s="390" t="n"/>
      <c r="C2679" s="390" t="inlineStr">
        <is>
          <t>Báo cáo giám sát quản trị công ty &gt;&gt; Báo cáo tình hình quản trị công ty - V.I+II.5</t>
        </is>
      </c>
      <c r="D2679" s="390" t="inlineStr">
        <is>
          <t>Ủy ban kiểm toán</t>
        </is>
      </c>
      <c r="E2679" s="401" t="inlineStr">
        <is>
          <t>Ủy ban kiểm toán</t>
        </is>
      </c>
      <c r="F2679" s="390" t="inlineStr">
        <is>
          <t>Data Explorer</t>
        </is>
      </c>
      <c r="G2679" s="390" t="inlineStr">
        <is>
          <t>Chỉ tiêu cơ sở</t>
        </is>
      </c>
      <c r="H2679" s="390" t="inlineStr">
        <is>
          <t>Trùng</t>
        </is>
      </c>
      <c r="I2679" s="390" t="inlineStr">
        <is>
          <t>Ngày, CTCK</t>
        </is>
      </c>
      <c r="J2679" s="401" t="inlineStr">
        <is>
          <t>SCMS</t>
        </is>
      </c>
      <c r="K2679" s="401" t="n"/>
      <c r="L2679" s="401" t="inlineStr">
        <is>
          <t>X</t>
        </is>
      </c>
      <c r="M2679" s="401" t="n"/>
      <c r="N2679" s="401" t="inlineStr">
        <is>
          <t>Done</t>
        </is>
      </c>
      <c r="O2679" s="401" t="n"/>
      <c r="P2679" s="22" t="n"/>
      <c r="Q2679" s="401" t="inlineStr">
        <is>
          <t>DM_CHUC_VU</t>
        </is>
      </c>
      <c r="R2679" s="401" t="inlineStr">
        <is>
          <t>NHOM_CHUC_VU</t>
        </is>
      </c>
      <c r="S2679" s="22" t="n"/>
      <c r="U2679" s="390" t="n"/>
      <c r="V2679" s="22" t="n"/>
      <c r="W2679" s="22" t="n"/>
      <c r="X2679" s="22" t="n"/>
      <c r="Y2679" s="38" t="n"/>
      <c r="Z2679" s="22" t="n"/>
      <c r="AA2679" s="22" t="n"/>
      <c r="AB2679" s="22" t="n"/>
      <c r="AC2679" s="22" t="n"/>
      <c r="AD2679" s="22" t="n"/>
      <c r="AE2679" s="22" t="n"/>
    </row>
    <row r="2680" ht="56" customHeight="1" s="380">
      <c r="A2680" s="139" t="n">
        <v>112</v>
      </c>
      <c r="B2680" s="390" t="n"/>
      <c r="C2680" s="390" t="inlineStr">
        <is>
          <t>Báo cáo giám sát quản trị công ty &gt;&gt; Báo cáo tình hình quản trị công ty - V.I+II.5</t>
        </is>
      </c>
      <c r="D2680" s="390" t="inlineStr">
        <is>
          <t>Chức năng kiểm toán nội bộ &gt;&gt; Đã thực hiện</t>
        </is>
      </c>
      <c r="E2680" s="390" t="inlineStr">
        <is>
          <t>Chức năng kiểm toán nội bộ &gt;&gt; Đã thực hiện</t>
        </is>
      </c>
      <c r="F2680" s="390" t="inlineStr">
        <is>
          <t>Data Explorer</t>
        </is>
      </c>
      <c r="G2680" s="390" t="inlineStr">
        <is>
          <t>Chỉ tiêu cơ sở</t>
        </is>
      </c>
      <c r="H2680" s="390" t="inlineStr">
        <is>
          <t>Trùng</t>
        </is>
      </c>
      <c r="I2680" s="390" t="inlineStr">
        <is>
          <t>Ngày, CTCK</t>
        </is>
      </c>
      <c r="J2680" s="401" t="inlineStr">
        <is>
          <t>SCMS</t>
        </is>
      </c>
      <c r="K2680" s="401" t="n"/>
      <c r="L2680" s="401" t="inlineStr">
        <is>
          <t>X</t>
        </is>
      </c>
      <c r="M2680" s="401" t="n"/>
      <c r="N2680" s="401" t="inlineStr">
        <is>
          <t>Done</t>
        </is>
      </c>
      <c r="O2680" s="401" t="n"/>
      <c r="P2680" s="22" t="n"/>
      <c r="Q2680" s="401" t="inlineStr">
        <is>
          <t>CBTT_BAO_CAO</t>
        </is>
      </c>
      <c r="R2680" s="401" t="inlineStr">
        <is>
          <t>MO_TA
LOAI_TIN</t>
        </is>
      </c>
      <c r="S2680" s="390" t="n"/>
      <c r="U2680" s="390" t="inlineStr">
        <is>
          <t>Dựa vào text để lấy dữ liệu</t>
        </is>
      </c>
      <c r="V2680" s="22" t="n"/>
      <c r="W2680" s="22" t="n"/>
      <c r="X2680" s="22" t="n"/>
      <c r="Y2680" s="13" t="n"/>
      <c r="Z2680" s="22" t="n"/>
      <c r="AA2680" s="22" t="n"/>
      <c r="AB2680" s="22" t="n"/>
      <c r="AC2680" s="22" t="n"/>
      <c r="AD2680" s="22" t="n"/>
      <c r="AE2680" s="22" t="n"/>
    </row>
    <row r="2681" ht="56" customHeight="1" s="380">
      <c r="A2681" s="139" t="n">
        <v>112</v>
      </c>
      <c r="B2681" s="390" t="n"/>
      <c r="C2681" s="390" t="inlineStr">
        <is>
          <t>Báo cáo giám sát quản trị công ty &gt;&gt; Báo cáo tình hình quản trị công ty - V.I+II.5</t>
        </is>
      </c>
      <c r="D2681" s="390" t="inlineStr">
        <is>
          <t>Chức năng kiểm toán nội bộ &gt;&gt; Chưa thực hiện</t>
        </is>
      </c>
      <c r="E2681" s="390" t="inlineStr">
        <is>
          <t>Chức năng kiểm toán nội bộ &gt;&gt; Chưa thực hiện</t>
        </is>
      </c>
      <c r="F2681" s="390" t="inlineStr">
        <is>
          <t>Data Explorer</t>
        </is>
      </c>
      <c r="G2681" s="390" t="inlineStr">
        <is>
          <t>Chỉ tiêu cơ sở</t>
        </is>
      </c>
      <c r="H2681" s="390" t="inlineStr">
        <is>
          <t>Trùng</t>
        </is>
      </c>
      <c r="I2681" s="390" t="inlineStr">
        <is>
          <t>Ngày, CTCK</t>
        </is>
      </c>
      <c r="J2681" s="401" t="inlineStr">
        <is>
          <t>SCMS</t>
        </is>
      </c>
      <c r="K2681" s="401" t="n"/>
      <c r="L2681" s="401" t="inlineStr">
        <is>
          <t>X</t>
        </is>
      </c>
      <c r="M2681" s="401" t="n"/>
      <c r="N2681" s="401" t="inlineStr">
        <is>
          <t>Done</t>
        </is>
      </c>
      <c r="O2681" s="401" t="n"/>
      <c r="P2681" s="22" t="n"/>
      <c r="Q2681" s="401" t="inlineStr">
        <is>
          <t>CBTT_BAO_CAO</t>
        </is>
      </c>
      <c r="R2681" s="401" t="inlineStr">
        <is>
          <t>MO_TA
LOAI_TIN</t>
        </is>
      </c>
      <c r="S2681" s="390" t="n"/>
      <c r="U2681" s="390" t="inlineStr">
        <is>
          <t>Dựa vào text để lấy dữ liệu</t>
        </is>
      </c>
      <c r="V2681" s="22" t="n"/>
      <c r="W2681" s="22" t="n"/>
      <c r="X2681" s="22" t="n"/>
      <c r="Y2681" s="13" t="n"/>
      <c r="Z2681" s="22" t="n"/>
      <c r="AA2681" s="22" t="n"/>
      <c r="AB2681" s="22" t="n"/>
      <c r="AC2681" s="22" t="n"/>
      <c r="AD2681" s="22" t="n"/>
      <c r="AE2681" s="22" t="n"/>
    </row>
    <row r="2682" ht="56" customHeight="1" s="380">
      <c r="A2682" s="139" t="n">
        <v>112</v>
      </c>
      <c r="B2682" s="390" t="n"/>
      <c r="C2682" s="390" t="inlineStr">
        <is>
          <t>Báo cáo giám sát quản trị công ty &gt;&gt; Báo cáo tình hình quản trị công ty - V.I+II.5</t>
        </is>
      </c>
      <c r="D2682" s="390" t="inlineStr">
        <is>
          <t>Cuộc họp của ĐHĐCĐ/HĐQT</t>
        </is>
      </c>
      <c r="E2682" s="401" t="inlineStr">
        <is>
          <t>Cuộc họp của ĐHĐCĐ/HĐQT</t>
        </is>
      </c>
      <c r="F2682" s="390" t="inlineStr">
        <is>
          <t>Data Explorer</t>
        </is>
      </c>
      <c r="G2682" s="390" t="inlineStr">
        <is>
          <t>Chỉ tiêu cơ sở</t>
        </is>
      </c>
      <c r="H2682" s="390" t="inlineStr">
        <is>
          <t>TB</t>
        </is>
      </c>
      <c r="I2682" s="390" t="inlineStr">
        <is>
          <t>Ngày, CTCK</t>
        </is>
      </c>
      <c r="J2682" s="401" t="inlineStr">
        <is>
          <t>SCMS</t>
        </is>
      </c>
      <c r="K2682" s="401" t="n"/>
      <c r="L2682" s="401" t="inlineStr">
        <is>
          <t>X</t>
        </is>
      </c>
      <c r="M2682" s="401" t="n"/>
      <c r="N2682" s="401" t="inlineStr">
        <is>
          <t>Done</t>
        </is>
      </c>
      <c r="O2682" s="401" t="n"/>
      <c r="P2682" s="22" t="n"/>
      <c r="Q2682" s="401" t="inlineStr">
        <is>
          <t>CBTT_BAO_CAO</t>
        </is>
      </c>
      <c r="R2682" s="401" t="inlineStr">
        <is>
          <t>MO_TA
LOAI_TIN</t>
        </is>
      </c>
      <c r="S2682" s="390" t="n"/>
      <c r="U2682" s="390" t="inlineStr">
        <is>
          <t>Dựa vào text để lấy dữ liệu</t>
        </is>
      </c>
      <c r="V2682" s="22" t="n"/>
      <c r="W2682" s="22" t="n"/>
      <c r="X2682" s="22" t="n"/>
      <c r="Y2682" s="13" t="n"/>
      <c r="Z2682" s="22" t="n"/>
      <c r="AA2682" s="22" t="n"/>
      <c r="AB2682" s="22" t="n"/>
      <c r="AC2682" s="22" t="n"/>
      <c r="AD2682" s="22" t="n"/>
      <c r="AE2682" s="22" t="n"/>
    </row>
    <row r="2683" ht="56" customHeight="1" s="380">
      <c r="A2683" s="139" t="n">
        <v>112</v>
      </c>
      <c r="B2683" s="390" t="n"/>
      <c r="C2683" s="390" t="inlineStr">
        <is>
          <t>Báo cáo giám sát quản trị công ty &gt;&gt; Báo cáo tình hình quản trị công ty - V.I+II.5</t>
        </is>
      </c>
      <c r="D2683" s="390" t="inlineStr">
        <is>
          <t>Số Nghị quyết/Quyết định</t>
        </is>
      </c>
      <c r="E2683" s="401" t="inlineStr">
        <is>
          <t>Số Nghị quyết/Quyết định</t>
        </is>
      </c>
      <c r="F2683" s="390" t="inlineStr">
        <is>
          <t>Data Explorer</t>
        </is>
      </c>
      <c r="G2683" s="390" t="inlineStr">
        <is>
          <t>Chỉ tiêu cơ sở</t>
        </is>
      </c>
      <c r="H2683" s="390" t="inlineStr">
        <is>
          <t>TB</t>
        </is>
      </c>
      <c r="I2683" s="390" t="inlineStr">
        <is>
          <t>Ngày, CTCK</t>
        </is>
      </c>
      <c r="J2683" s="401" t="inlineStr">
        <is>
          <t>SCMS</t>
        </is>
      </c>
      <c r="K2683" s="401" t="n"/>
      <c r="L2683" s="401" t="inlineStr">
        <is>
          <t>X</t>
        </is>
      </c>
      <c r="M2683" s="401" t="n"/>
      <c r="N2683" s="401" t="inlineStr">
        <is>
          <t>Done</t>
        </is>
      </c>
      <c r="O2683" s="401" t="n"/>
      <c r="P2683" s="22" t="n"/>
      <c r="Q2683" s="401" t="inlineStr">
        <is>
          <t>CBTT_BAO_CAO</t>
        </is>
      </c>
      <c r="R2683" s="401" t="inlineStr">
        <is>
          <t>MO_TA</t>
        </is>
      </c>
      <c r="S2683" s="390" t="n"/>
      <c r="U2683" s="390" t="inlineStr">
        <is>
          <t>Dựa vào text để lấy dữ liệu</t>
        </is>
      </c>
      <c r="V2683" s="22" t="n"/>
      <c r="W2683" s="22" t="n"/>
      <c r="X2683" s="22" t="n"/>
      <c r="Y2683" s="13" t="n"/>
      <c r="Z2683" s="22" t="n"/>
      <c r="AA2683" s="22" t="n"/>
      <c r="AB2683" s="22" t="n"/>
      <c r="AC2683" s="22" t="n"/>
      <c r="AD2683" s="22" t="n"/>
      <c r="AE2683" s="22" t="n"/>
    </row>
    <row r="2684" ht="56" customHeight="1" s="380">
      <c r="A2684" s="139" t="n">
        <v>112</v>
      </c>
      <c r="B2684" s="390" t="n"/>
      <c r="C2684" s="390" t="inlineStr">
        <is>
          <t>Báo cáo giám sát quản trị công ty &gt;&gt; Báo cáo tình hình quản trị công ty - V.I+II.5</t>
        </is>
      </c>
      <c r="D2684" s="390" t="inlineStr">
        <is>
          <t>Ngày nghị quyết/quyết định</t>
        </is>
      </c>
      <c r="E2684" s="401" t="inlineStr">
        <is>
          <t>Ngày nghị quyết/quyết định</t>
        </is>
      </c>
      <c r="F2684" s="390" t="inlineStr">
        <is>
          <t>Data Explorer</t>
        </is>
      </c>
      <c r="G2684" s="390" t="inlineStr">
        <is>
          <t>Chỉ tiêu cơ sở</t>
        </is>
      </c>
      <c r="H2684" s="390" t="inlineStr">
        <is>
          <t>TB</t>
        </is>
      </c>
      <c r="I2684" s="390" t="inlineStr">
        <is>
          <t>Ngày, CTCK</t>
        </is>
      </c>
      <c r="J2684" s="401" t="inlineStr">
        <is>
          <t>SCMS</t>
        </is>
      </c>
      <c r="K2684" s="401" t="n"/>
      <c r="L2684" s="401" t="inlineStr">
        <is>
          <t>X</t>
        </is>
      </c>
      <c r="M2684" s="401" t="n"/>
      <c r="N2684" s="401" t="inlineStr">
        <is>
          <t>Done</t>
        </is>
      </c>
      <c r="O2684" s="401" t="n"/>
      <c r="P2684" s="22" t="n"/>
      <c r="Q2684" s="401" t="inlineStr">
        <is>
          <t>CBTT_BAO_CAO</t>
        </is>
      </c>
      <c r="R2684" s="401" t="inlineStr">
        <is>
          <t>MO_TA</t>
        </is>
      </c>
      <c r="S2684" s="390" t="n"/>
      <c r="U2684" s="390" t="inlineStr">
        <is>
          <t>Dựa vào text để lấy dữ liệu</t>
        </is>
      </c>
      <c r="V2684" s="22" t="n"/>
      <c r="W2684" s="22" t="n"/>
      <c r="X2684" s="22" t="n"/>
      <c r="Y2684" s="13" t="n"/>
      <c r="Z2684" s="22" t="n"/>
      <c r="AA2684" s="22" t="n"/>
      <c r="AB2684" s="22" t="n"/>
      <c r="AC2684" s="22" t="n"/>
      <c r="AD2684" s="22" t="n"/>
      <c r="AE2684" s="22" t="n"/>
    </row>
    <row r="2685" ht="56" customHeight="1" s="380">
      <c r="A2685" s="139" t="n">
        <v>112</v>
      </c>
      <c r="B2685" s="390" t="n"/>
      <c r="C2685" s="390" t="inlineStr">
        <is>
          <t>Báo cáo giám sát quản trị công ty &gt;&gt; Báo cáo tình hình quản trị công ty - V.I+II.5</t>
        </is>
      </c>
      <c r="D2685" s="390" t="inlineStr">
        <is>
          <t>Nội dung</t>
        </is>
      </c>
      <c r="E2685" s="401" t="inlineStr">
        <is>
          <t>Nội dung</t>
        </is>
      </c>
      <c r="F2685" s="390" t="inlineStr">
        <is>
          <t>Data Explorer</t>
        </is>
      </c>
      <c r="G2685" s="390" t="inlineStr">
        <is>
          <t>Chỉ tiêu cơ sở</t>
        </is>
      </c>
      <c r="H2685" s="390" t="inlineStr">
        <is>
          <t>TB</t>
        </is>
      </c>
      <c r="I2685" s="390" t="inlineStr">
        <is>
          <t>Ngày, CTCK</t>
        </is>
      </c>
      <c r="J2685" s="401" t="inlineStr">
        <is>
          <t>SCMS</t>
        </is>
      </c>
      <c r="K2685" s="401" t="n"/>
      <c r="L2685" s="401" t="inlineStr">
        <is>
          <t>X</t>
        </is>
      </c>
      <c r="M2685" s="401" t="n"/>
      <c r="N2685" s="401" t="inlineStr">
        <is>
          <t>Done</t>
        </is>
      </c>
      <c r="O2685" s="401" t="n"/>
      <c r="P2685" s="22" t="n"/>
      <c r="Q2685" s="401" t="inlineStr">
        <is>
          <t>CBTT_BAO_CAO</t>
        </is>
      </c>
      <c r="R2685" s="401" t="inlineStr">
        <is>
          <t>MO_TA</t>
        </is>
      </c>
      <c r="S2685" s="390" t="n"/>
      <c r="U2685" s="390" t="inlineStr">
        <is>
          <t>Dựa vào text để lấy dữ liệu</t>
        </is>
      </c>
      <c r="V2685" s="22" t="n"/>
      <c r="W2685" s="22" t="n"/>
      <c r="X2685" s="22" t="n"/>
      <c r="Y2685" s="14" t="n"/>
      <c r="Z2685" s="22" t="n"/>
      <c r="AA2685" s="22" t="n"/>
      <c r="AB2685" s="22" t="n"/>
      <c r="AC2685" s="22" t="n"/>
      <c r="AD2685" s="22" t="n"/>
      <c r="AE2685" s="22" t="n"/>
    </row>
    <row r="2686" ht="56" customHeight="1" s="380">
      <c r="A2686" s="143" t="n">
        <v>112</v>
      </c>
      <c r="B2686" s="129" t="n"/>
      <c r="C2686" s="129" t="inlineStr">
        <is>
          <t>Báo cáo giám sát quản trị công ty &gt;&gt; Báo cáo tình hình quản trị công ty - V.I+II.5</t>
        </is>
      </c>
      <c r="D2686" s="129" t="inlineStr">
        <is>
          <t>Tỷ lệ thông qua (đối với Họp HĐQT)</t>
        </is>
      </c>
      <c r="E2686" s="85" t="inlineStr">
        <is>
          <t>Tỷ lệ thông qua (đối với Họp HĐQT)</t>
        </is>
      </c>
      <c r="F2686" s="129" t="inlineStr">
        <is>
          <t>Data Explorer</t>
        </is>
      </c>
      <c r="G2686" s="129" t="inlineStr">
        <is>
          <t>Chỉ tiêu cơ sở</t>
        </is>
      </c>
      <c r="H2686" s="129" t="inlineStr">
        <is>
          <t>TB</t>
        </is>
      </c>
      <c r="I2686" s="129" t="inlineStr">
        <is>
          <t>Ngày, CTCK</t>
        </is>
      </c>
      <c r="J2686" s="85" t="inlineStr">
        <is>
          <t>SCMS</t>
        </is>
      </c>
      <c r="K2686" s="85" t="n"/>
      <c r="L2686" s="85" t="inlineStr">
        <is>
          <t>X</t>
        </is>
      </c>
      <c r="M2686" s="85" t="n"/>
      <c r="N2686" s="85" t="inlineStr">
        <is>
          <t>Done</t>
        </is>
      </c>
      <c r="O2686" s="85" t="n"/>
      <c r="P2686" s="130" t="n"/>
      <c r="Q2686" s="85" t="inlineStr">
        <is>
          <t>CBTT_BAO_CAO</t>
        </is>
      </c>
      <c r="R2686" s="85" t="inlineStr">
        <is>
          <t>MO_TA</t>
        </is>
      </c>
      <c r="S2686" s="129" t="n"/>
      <c r="T2686" s="426" t="n"/>
      <c r="U2686" s="129" t="inlineStr">
        <is>
          <t>Dựa vào text để lấy dữ liệu</t>
        </is>
      </c>
      <c r="V2686" s="130" t="n"/>
      <c r="W2686" s="130" t="n"/>
      <c r="X2686" s="130" t="n"/>
      <c r="Y2686" s="97" t="n"/>
      <c r="Z2686" s="130" t="n"/>
      <c r="AA2686" s="130" t="n"/>
      <c r="AB2686" s="130" t="n"/>
      <c r="AC2686" s="130" t="n"/>
      <c r="AD2686" s="130" t="n"/>
      <c r="AE2686" s="130" t="n"/>
    </row>
    <row r="2687" ht="56" customHeight="1" s="380">
      <c r="A2687" s="139" t="n">
        <v>113</v>
      </c>
      <c r="B2687" s="140" t="inlineStr">
        <is>
          <t>Trang</t>
        </is>
      </c>
      <c r="C2687" s="127" t="inlineStr">
        <is>
          <t>Báo cáo giám sát quản trị công ty &gt;&gt; Báo cáo tình hình quản trị công ty - V.IV+V</t>
        </is>
      </c>
      <c r="D2687" s="106" t="inlineStr">
        <is>
          <t>Loại báo cáo</t>
        </is>
      </c>
      <c r="E2687" s="107" t="inlineStr">
        <is>
          <t>Loại báo cáo</t>
        </is>
      </c>
      <c r="F2687" s="390" t="inlineStr">
        <is>
          <t>Data Explorer</t>
        </is>
      </c>
      <c r="G2687" s="390" t="inlineStr">
        <is>
          <t>Chiều</t>
        </is>
      </c>
      <c r="H2687" s="390" t="inlineStr">
        <is>
          <t>Dễ</t>
        </is>
      </c>
      <c r="I2687" s="390" t="inlineStr">
        <is>
          <t>Ngày, CTCK</t>
        </is>
      </c>
      <c r="J2687" s="401" t="inlineStr">
        <is>
          <t>SCMS</t>
        </is>
      </c>
      <c r="K2687" s="401" t="inlineStr">
        <is>
          <t>X</t>
        </is>
      </c>
      <c r="L2687" s="401" t="inlineStr">
        <is>
          <t>X</t>
        </is>
      </c>
      <c r="M2687" s="401" t="n"/>
      <c r="N2687" s="401" t="inlineStr">
        <is>
          <t>Pending</t>
        </is>
      </c>
      <c r="O2687" s="401" t="n"/>
      <c r="P2687" s="22" t="n"/>
      <c r="Q2687" s="105" t="inlineStr">
        <is>
          <t>DB cũ không thấy biểu mẫu báo cáo này</t>
        </is>
      </c>
      <c r="R2687" s="401" t="n"/>
      <c r="S2687" s="22" t="n"/>
      <c r="T2687" s="403" t="n"/>
      <c r="U2687" s="390" t="n"/>
      <c r="V2687" s="22" t="n"/>
      <c r="W2687" s="22" t="n"/>
      <c r="X2687" s="22" t="n"/>
      <c r="Y2687" s="13" t="n"/>
      <c r="Z2687" s="22" t="n"/>
      <c r="AA2687" s="22" t="n"/>
      <c r="AB2687" s="22" t="n"/>
      <c r="AC2687" s="22" t="n"/>
      <c r="AD2687" s="22" t="n"/>
      <c r="AE2687" s="22" t="n"/>
    </row>
    <row r="2688" ht="56" customHeight="1" s="380">
      <c r="A2688" s="139" t="n">
        <v>113</v>
      </c>
      <c r="B2688" s="390" t="n"/>
      <c r="C2688" s="390" t="inlineStr">
        <is>
          <t>Báo cáo giám sát quản trị công ty &gt;&gt; Báo cáo tình hình quản trị công ty - V.IV+V</t>
        </is>
      </c>
      <c r="D2688" s="106" t="inlineStr">
        <is>
          <t>Kỳ báo cáo</t>
        </is>
      </c>
      <c r="E2688" s="107" t="inlineStr">
        <is>
          <t>Kỳ báo cáo</t>
        </is>
      </c>
      <c r="F2688" s="390" t="inlineStr">
        <is>
          <t>Data Explorer</t>
        </is>
      </c>
      <c r="G2688" s="390" t="inlineStr">
        <is>
          <t>Chiều</t>
        </is>
      </c>
      <c r="H2688" s="390" t="inlineStr">
        <is>
          <t>Dễ</t>
        </is>
      </c>
      <c r="I2688" s="390" t="inlineStr">
        <is>
          <t>Ngày, CTCK</t>
        </is>
      </c>
      <c r="J2688" s="401" t="inlineStr">
        <is>
          <t>SCMS</t>
        </is>
      </c>
      <c r="K2688" s="401" t="inlineStr">
        <is>
          <t>X</t>
        </is>
      </c>
      <c r="L2688" s="401" t="inlineStr">
        <is>
          <t>X</t>
        </is>
      </c>
      <c r="M2688" s="401" t="n"/>
      <c r="N2688" s="401" t="inlineStr">
        <is>
          <t>Pending</t>
        </is>
      </c>
      <c r="O2688" s="401" t="n"/>
      <c r="P2688" s="22" t="n"/>
      <c r="Q2688" s="401" t="n"/>
      <c r="R2688" s="401" t="n"/>
      <c r="S2688" s="22" t="n"/>
      <c r="T2688" s="390" t="n"/>
      <c r="U2688" s="390" t="n"/>
      <c r="V2688" s="22" t="n"/>
      <c r="W2688" s="22" t="n"/>
      <c r="X2688" s="22" t="n"/>
      <c r="Y2688" s="13" t="n"/>
      <c r="Z2688" s="22" t="n"/>
      <c r="AA2688" s="22" t="n"/>
      <c r="AB2688" s="22" t="n"/>
      <c r="AC2688" s="22" t="n"/>
      <c r="AD2688" s="22" t="n"/>
      <c r="AE2688" s="22" t="n"/>
    </row>
    <row r="2689" ht="56" customHeight="1" s="380">
      <c r="A2689" s="139" t="n">
        <v>113</v>
      </c>
      <c r="B2689" s="390" t="n"/>
      <c r="C2689" s="390" t="inlineStr">
        <is>
          <t>Báo cáo giám sát quản trị công ty &gt;&gt; Báo cáo tình hình quản trị công ty - V.IV+V</t>
        </is>
      </c>
      <c r="D2689" s="106" t="inlineStr">
        <is>
          <t>Mã báo cáo</t>
        </is>
      </c>
      <c r="E2689" s="107" t="inlineStr">
        <is>
          <t>Mã báo cáo</t>
        </is>
      </c>
      <c r="F2689" s="390" t="inlineStr">
        <is>
          <t>Data Explorer</t>
        </is>
      </c>
      <c r="G2689" s="390" t="inlineStr">
        <is>
          <t>Chiều</t>
        </is>
      </c>
      <c r="H2689" s="390" t="inlineStr">
        <is>
          <t>Dễ</t>
        </is>
      </c>
      <c r="I2689" s="390" t="inlineStr">
        <is>
          <t>Ngày, CTCK</t>
        </is>
      </c>
      <c r="J2689" s="401" t="inlineStr">
        <is>
          <t>SCMS</t>
        </is>
      </c>
      <c r="K2689" s="401" t="inlineStr">
        <is>
          <t>X</t>
        </is>
      </c>
      <c r="L2689" s="401" t="inlineStr">
        <is>
          <t>X</t>
        </is>
      </c>
      <c r="M2689" s="401" t="n"/>
      <c r="N2689" s="401" t="inlineStr">
        <is>
          <t>Pending</t>
        </is>
      </c>
      <c r="O2689" s="401" t="n"/>
      <c r="P2689" s="22" t="n"/>
      <c r="Q2689" s="401" t="n"/>
      <c r="R2689" s="401" t="n"/>
      <c r="S2689" s="22" t="n"/>
      <c r="T2689" s="390" t="n"/>
      <c r="U2689" s="390" t="n"/>
      <c r="V2689" s="22" t="n"/>
      <c r="W2689" s="22" t="n"/>
      <c r="X2689" s="22" t="n"/>
      <c r="Y2689" s="13" t="n"/>
      <c r="Z2689" s="22" t="n"/>
      <c r="AA2689" s="22" t="n"/>
      <c r="AB2689" s="22" t="n"/>
      <c r="AC2689" s="22" t="n"/>
      <c r="AD2689" s="22" t="n"/>
      <c r="AE2689" s="22" t="n"/>
    </row>
    <row r="2690" ht="56" customHeight="1" s="380">
      <c r="A2690" s="139" t="n">
        <v>113</v>
      </c>
      <c r="B2690" s="390" t="n"/>
      <c r="C2690" s="390" t="inlineStr">
        <is>
          <t>Báo cáo giám sát quản trị công ty &gt;&gt; Báo cáo tình hình quản trị công ty - V.IV+V</t>
        </is>
      </c>
      <c r="D2690" s="106" t="inlineStr">
        <is>
          <t>Tên báo cáo</t>
        </is>
      </c>
      <c r="E2690" s="107" t="inlineStr">
        <is>
          <t>Tên báo cáo</t>
        </is>
      </c>
      <c r="F2690" s="390" t="inlineStr">
        <is>
          <t>Data Explorer</t>
        </is>
      </c>
      <c r="G2690" s="390" t="inlineStr">
        <is>
          <t>Chiều</t>
        </is>
      </c>
      <c r="H2690" s="390" t="inlineStr">
        <is>
          <t>Dễ</t>
        </is>
      </c>
      <c r="I2690" s="390" t="inlineStr">
        <is>
          <t>Ngày, CTCK</t>
        </is>
      </c>
      <c r="J2690" s="401" t="inlineStr">
        <is>
          <t>SCMS</t>
        </is>
      </c>
      <c r="K2690" s="401" t="inlineStr">
        <is>
          <t>X</t>
        </is>
      </c>
      <c r="L2690" s="401" t="inlineStr">
        <is>
          <t>X</t>
        </is>
      </c>
      <c r="M2690" s="401" t="n"/>
      <c r="N2690" s="401" t="inlineStr">
        <is>
          <t>Pending</t>
        </is>
      </c>
      <c r="O2690" s="401" t="n"/>
      <c r="P2690" s="22" t="n"/>
      <c r="Q2690" s="401" t="n"/>
      <c r="R2690" s="401" t="n"/>
      <c r="S2690" s="22" t="n"/>
      <c r="T2690" s="390" t="n"/>
      <c r="U2690" s="390" t="n"/>
      <c r="V2690" s="22" t="n"/>
      <c r="W2690" s="22" t="n"/>
      <c r="X2690" s="22" t="n"/>
      <c r="Y2690" s="14" t="n"/>
      <c r="Z2690" s="22" t="n"/>
      <c r="AA2690" s="22" t="n"/>
      <c r="AB2690" s="22" t="n"/>
      <c r="AC2690" s="22" t="n"/>
      <c r="AD2690" s="22" t="n"/>
      <c r="AE2690" s="22" t="n"/>
    </row>
    <row r="2691" ht="56" customHeight="1" s="380">
      <c r="A2691" s="139" t="n">
        <v>113</v>
      </c>
      <c r="B2691" s="390" t="n"/>
      <c r="C2691" s="390" t="inlineStr">
        <is>
          <t>Báo cáo giám sát quản trị công ty &gt;&gt; Báo cáo tình hình quản trị công ty - V.IV+V</t>
        </is>
      </c>
      <c r="D2691" s="106" t="inlineStr">
        <is>
          <t>Mã chỉ tiêu</t>
        </is>
      </c>
      <c r="E2691" s="107" t="inlineStr">
        <is>
          <t>Mã chỉ tiêu</t>
        </is>
      </c>
      <c r="F2691" s="390" t="inlineStr">
        <is>
          <t>Data Explorer</t>
        </is>
      </c>
      <c r="G2691" s="390" t="inlineStr">
        <is>
          <t>Chiều</t>
        </is>
      </c>
      <c r="H2691" s="390" t="inlineStr">
        <is>
          <t>Dễ</t>
        </is>
      </c>
      <c r="I2691" s="390" t="inlineStr">
        <is>
          <t>Ngày, CTCK</t>
        </is>
      </c>
      <c r="J2691" s="401" t="inlineStr">
        <is>
          <t>SCMS</t>
        </is>
      </c>
      <c r="K2691" s="401" t="inlineStr">
        <is>
          <t>X</t>
        </is>
      </c>
      <c r="L2691" s="401" t="inlineStr">
        <is>
          <t>X</t>
        </is>
      </c>
      <c r="M2691" s="401" t="n"/>
      <c r="N2691" s="401" t="inlineStr">
        <is>
          <t>Pending</t>
        </is>
      </c>
      <c r="O2691" s="401" t="n"/>
      <c r="P2691" s="22" t="n"/>
      <c r="Q2691" s="401" t="n"/>
      <c r="R2691" s="401" t="n"/>
      <c r="S2691" s="22" t="n"/>
      <c r="T2691" s="390" t="n"/>
      <c r="U2691" s="390" t="n"/>
      <c r="V2691" s="22" t="n"/>
      <c r="W2691" s="22" t="n"/>
      <c r="X2691" s="22" t="n"/>
      <c r="Y2691" s="13" t="n"/>
      <c r="Z2691" s="22" t="n"/>
      <c r="AA2691" s="22" t="n"/>
      <c r="AB2691" s="22" t="n"/>
      <c r="AC2691" s="22" t="n"/>
      <c r="AD2691" s="22" t="n"/>
      <c r="AE2691" s="22" t="n"/>
    </row>
    <row r="2692" ht="56" customHeight="1" s="380">
      <c r="A2692" s="139" t="n">
        <v>113</v>
      </c>
      <c r="B2692" s="390" t="n"/>
      <c r="C2692" s="390" t="inlineStr">
        <is>
          <t>Báo cáo giám sát quản trị công ty &gt;&gt; Báo cáo tình hình quản trị công ty - V.IV+V</t>
        </is>
      </c>
      <c r="D2692" s="106" t="inlineStr">
        <is>
          <t>Tên chỉ tiêu</t>
        </is>
      </c>
      <c r="E2692" s="107" t="inlineStr">
        <is>
          <t>Tên chỉ tiêu</t>
        </is>
      </c>
      <c r="F2692" s="390" t="inlineStr">
        <is>
          <t>Data Explorer</t>
        </is>
      </c>
      <c r="G2692" s="390" t="inlineStr">
        <is>
          <t>Chiều</t>
        </is>
      </c>
      <c r="H2692" s="390" t="inlineStr">
        <is>
          <t>Dễ</t>
        </is>
      </c>
      <c r="I2692" s="390" t="inlineStr">
        <is>
          <t>Ngày, CTCK</t>
        </is>
      </c>
      <c r="J2692" s="401" t="inlineStr">
        <is>
          <t>SCMS</t>
        </is>
      </c>
      <c r="K2692" s="401" t="inlineStr">
        <is>
          <t>X</t>
        </is>
      </c>
      <c r="L2692" s="401" t="inlineStr">
        <is>
          <t>X</t>
        </is>
      </c>
      <c r="M2692" s="401" t="n"/>
      <c r="N2692" s="401" t="inlineStr">
        <is>
          <t>Pending</t>
        </is>
      </c>
      <c r="O2692" s="401" t="n"/>
      <c r="P2692" s="22" t="n"/>
      <c r="Q2692" s="401" t="n"/>
      <c r="R2692" s="401" t="n"/>
      <c r="S2692" s="22" t="n"/>
      <c r="T2692" s="390" t="n"/>
      <c r="U2692" s="390" t="n"/>
      <c r="V2692" s="22" t="n"/>
      <c r="W2692" s="22" t="n"/>
      <c r="X2692" s="22" t="n"/>
      <c r="Y2692" s="13" t="n"/>
      <c r="Z2692" s="22" t="n"/>
      <c r="AA2692" s="22" t="n"/>
      <c r="AB2692" s="22" t="n"/>
      <c r="AC2692" s="22" t="n"/>
      <c r="AD2692" s="22" t="n"/>
      <c r="AE2692" s="22" t="n"/>
    </row>
    <row r="2693" ht="56" customHeight="1" s="380">
      <c r="A2693" s="139" t="n">
        <v>113</v>
      </c>
      <c r="B2693" s="390" t="n"/>
      <c r="C2693" s="390" t="inlineStr">
        <is>
          <t>Báo cáo giám sát quản trị công ty &gt;&gt; Báo cáo tình hình quản trị công ty - V.IV+V</t>
        </is>
      </c>
      <c r="D2693" s="390" t="inlineStr">
        <is>
          <t>Tên CTCK</t>
        </is>
      </c>
      <c r="E2693" s="401" t="inlineStr">
        <is>
          <t>Tên CTCK</t>
        </is>
      </c>
      <c r="F2693" s="390" t="inlineStr">
        <is>
          <t>Data Explorer</t>
        </is>
      </c>
      <c r="G2693" s="390" t="inlineStr">
        <is>
          <t>Chỉ tiêu cơ sở</t>
        </is>
      </c>
      <c r="H2693" s="390" t="inlineStr">
        <is>
          <t>Trùng</t>
        </is>
      </c>
      <c r="I2693" s="390" t="inlineStr">
        <is>
          <t>Ngày, CTCK</t>
        </is>
      </c>
      <c r="J2693" s="401" t="inlineStr">
        <is>
          <t>SCMS</t>
        </is>
      </c>
      <c r="K2693" s="401" t="n"/>
      <c r="L2693" s="401" t="inlineStr">
        <is>
          <t>X</t>
        </is>
      </c>
      <c r="M2693" s="401" t="n"/>
      <c r="N2693" s="401" t="inlineStr">
        <is>
          <t>Done</t>
        </is>
      </c>
      <c r="O2693" s="401" t="n"/>
      <c r="P2693" s="22" t="n"/>
      <c r="Q2693" s="401" t="inlineStr">
        <is>
          <t>CTCK_THONG_TIN</t>
        </is>
      </c>
      <c r="R2693" s="401" t="inlineStr">
        <is>
          <t>TEN_TIENG_VIET</t>
        </is>
      </c>
      <c r="S2693" s="22" t="n"/>
      <c r="T2693" s="432" t="inlineStr">
        <is>
          <t>SELECT a.TEN_TIENG_VIET "Tên CTCK",
a.DIA_CHI "Địa chỉ trụ sở chính",
a.VON_DIEU_LE "Vốn điều lệ",
a.MA_CHUNG_KHOAN "Mã chứng khoán",
a.GIAY_PHEP_KINH_DOANH "Số giấy phép hoạt động",
a.NGAY_CAP_GPKD "Ngày cấp giấy phép hoạt động",
CASE WHEN b.TEN_LOAI_CONG_TY = 'CTCP' THEN 'x' ELSE '' END "Đại hội đồng cổ đông",
CASE WHEN d.NHOM_CHUC_VU = 'HDQT' THEN 'x' ELSE '' END "Hội đồng quản trị",
CASE WHEN LOWER(d.TEN_CHUC_VU) LIKE '%giám đốc%' THEN 'x' ELSE '' END "Tổng giám đốc/giám đốc",
CASE WHEN d.NHOM_CHUC_VU = 'BKS' THEN 'x' ELSE '' END "Ban kiểm soát",
CASE WHEN (b.TEN_LOAI_CONG_TY = 'CTCP' 
         AND d.NHOM_CHUC_VU != 'BKS') OR LOWER(d.TEN_CHUC_VU) LIKE '%ủy ban kiểm toán%'
         THEN 'x' ELSE '' END "Ủy ban kiểm toán",
CASE WHEN LOWER(e.MO_TA) LIKE '%cuộc họp ủy ban kiểm toán%' AND e.LOAI_TIN = 2 THEN 'Đã Thực hiện'
         ELSE 'Chưa thực hiện'
         END "Chức năng kiểm toán nội bộ",
CASE WHEN d.NHOM_CHUC_VU = 'BDH' THEN 'Ban điều hành'
                        WHEN d.NHOM_CHUC_VU = 'KT' THEN 'Kế toán trưởng'
                        ELSE NULL END "Ban điều hành/ Kế toán trưởng",
c.HO_TEN "Tên thành viên Ban điều hành/ Kế toán trưởng",
c.NGAY_SINH "Ngày tháng năm sinh",
NULL "Trình độ chuyên môn",
c.NGAY_BAT_DAU_LAM_VIEC "Bổ nhiệm",
c.NGAY_THOI_VIEC "Miễn nhiệm"         
FROM SCMS.CTCK_THONG_TIN a
LEFT JOIN SCMS.DM_LOAI_CONG_TY b ON a.LOAI_CONG_TY_ID = b.ID 
LEFT JOIN SCMS.CTCK_NHAN_SU_CAO_CAP c ON a.CTCK_THONG_TIN_ID = c.CTCK_THONG_TIN_ID 
LEFT JOIN SCMS.DM_CHUC_VU d ON c.CHUC_VU_ID = d.ID   
LEFT JOIN SCMS.CBTT_BAO_CAO e ON a.ID = e.CTCK_THONG_TIN_ID</t>
        </is>
      </c>
      <c r="U2693" s="390" t="n"/>
      <c r="V2693" s="22" t="n"/>
      <c r="W2693" s="22" t="n"/>
      <c r="X2693" s="22" t="n"/>
      <c r="Y2693" s="13" t="n"/>
      <c r="Z2693" s="22" t="n"/>
      <c r="AA2693" s="22" t="n"/>
      <c r="AB2693" s="22" t="n"/>
      <c r="AC2693" s="22" t="n"/>
      <c r="AD2693" s="22" t="n"/>
      <c r="AE2693" s="22" t="n"/>
    </row>
    <row r="2694" ht="56" customHeight="1" s="380">
      <c r="A2694" s="139" t="n">
        <v>113</v>
      </c>
      <c r="B2694" s="390" t="n"/>
      <c r="C2694" s="390" t="inlineStr">
        <is>
          <t>Báo cáo giám sát quản trị công ty &gt;&gt; Báo cáo tình hình quản trị công ty - V.IV+V</t>
        </is>
      </c>
      <c r="D2694" s="390" t="inlineStr">
        <is>
          <t>Địa chỉ trụ sở chính</t>
        </is>
      </c>
      <c r="E2694" s="401" t="inlineStr">
        <is>
          <t>Địa chỉ trụ sở chính</t>
        </is>
      </c>
      <c r="F2694" s="390" t="inlineStr">
        <is>
          <t>Data Explorer</t>
        </is>
      </c>
      <c r="G2694" s="390" t="inlineStr">
        <is>
          <t>Chỉ tiêu cơ sở</t>
        </is>
      </c>
      <c r="H2694" s="390" t="inlineStr">
        <is>
          <t>Trùng</t>
        </is>
      </c>
      <c r="I2694" s="390" t="inlineStr">
        <is>
          <t>Ngày, CTCK</t>
        </is>
      </c>
      <c r="J2694" s="401" t="inlineStr">
        <is>
          <t>SCMS</t>
        </is>
      </c>
      <c r="K2694" s="401" t="n"/>
      <c r="L2694" s="401" t="inlineStr">
        <is>
          <t>X</t>
        </is>
      </c>
      <c r="M2694" s="401" t="n"/>
      <c r="N2694" s="401" t="inlineStr">
        <is>
          <t>Done</t>
        </is>
      </c>
      <c r="O2694" s="401" t="n"/>
      <c r="P2694" s="22" t="n"/>
      <c r="Q2694" s="401" t="inlineStr">
        <is>
          <t>CTCK_THONG_TIN</t>
        </is>
      </c>
      <c r="R2694" s="401" t="inlineStr">
        <is>
          <t>DIA_CHI</t>
        </is>
      </c>
      <c r="S2694" s="22" t="n"/>
      <c r="U2694" s="390" t="n"/>
      <c r="V2694" s="22" t="n"/>
      <c r="W2694" s="22" t="n"/>
      <c r="X2694" s="22" t="n"/>
      <c r="Y2694" s="14" t="n"/>
      <c r="Z2694" s="22" t="n"/>
      <c r="AA2694" s="22" t="n"/>
      <c r="AB2694" s="22" t="n"/>
      <c r="AC2694" s="22" t="n"/>
      <c r="AD2694" s="22" t="n"/>
      <c r="AE2694" s="22" t="n"/>
    </row>
    <row r="2695" ht="56" customHeight="1" s="380">
      <c r="A2695" s="139" t="n">
        <v>113</v>
      </c>
      <c r="B2695" s="390" t="n"/>
      <c r="C2695" s="390" t="inlineStr">
        <is>
          <t>Báo cáo giám sát quản trị công ty &gt;&gt; Báo cáo tình hình quản trị công ty - V.IV+V</t>
        </is>
      </c>
      <c r="D2695" s="390" t="inlineStr">
        <is>
          <t>Vốn Điều lệ</t>
        </is>
      </c>
      <c r="E2695" s="401" t="inlineStr">
        <is>
          <t>Vốn Điều lệ</t>
        </is>
      </c>
      <c r="F2695" s="390" t="inlineStr">
        <is>
          <t>Data Explorer</t>
        </is>
      </c>
      <c r="G2695" s="390" t="inlineStr">
        <is>
          <t>Chỉ tiêu cơ sở</t>
        </is>
      </c>
      <c r="H2695" s="390" t="inlineStr">
        <is>
          <t>Trùng</t>
        </is>
      </c>
      <c r="I2695" s="390" t="inlineStr">
        <is>
          <t>Ngày, CTCK</t>
        </is>
      </c>
      <c r="J2695" s="401" t="inlineStr">
        <is>
          <t>SCMS</t>
        </is>
      </c>
      <c r="K2695" s="401" t="n"/>
      <c r="L2695" s="401" t="inlineStr">
        <is>
          <t>X</t>
        </is>
      </c>
      <c r="M2695" s="401" t="n"/>
      <c r="N2695" s="401" t="inlineStr">
        <is>
          <t>Done</t>
        </is>
      </c>
      <c r="O2695" s="401" t="n"/>
      <c r="P2695" s="22" t="n"/>
      <c r="Q2695" s="401" t="inlineStr">
        <is>
          <t>CTCK_THONG_TIN</t>
        </is>
      </c>
      <c r="R2695" s="401" t="inlineStr">
        <is>
          <t>VON_DIEU_LE</t>
        </is>
      </c>
      <c r="S2695" s="22" t="n"/>
      <c r="U2695" s="390" t="n"/>
      <c r="V2695" s="22" t="n"/>
      <c r="W2695" s="22" t="n"/>
      <c r="X2695" s="22" t="n"/>
      <c r="Y2695" s="13" t="n"/>
      <c r="Z2695" s="22" t="n"/>
      <c r="AA2695" s="22" t="n"/>
      <c r="AB2695" s="22" t="n"/>
      <c r="AC2695" s="22" t="n"/>
      <c r="AD2695" s="22" t="n"/>
      <c r="AE2695" s="22" t="n"/>
    </row>
    <row r="2696" ht="56" customHeight="1" s="380">
      <c r="A2696" s="139" t="n">
        <v>113</v>
      </c>
      <c r="B2696" s="390" t="n"/>
      <c r="C2696" s="390" t="inlineStr">
        <is>
          <t>Báo cáo giám sát quản trị công ty &gt;&gt; Báo cáo tình hình quản trị công ty - V.IV+V</t>
        </is>
      </c>
      <c r="D2696" s="390" t="inlineStr">
        <is>
          <t>Mã CK</t>
        </is>
      </c>
      <c r="E2696" s="401" t="inlineStr">
        <is>
          <t>Mã CK</t>
        </is>
      </c>
      <c r="F2696" s="390" t="inlineStr">
        <is>
          <t>Data Explorer</t>
        </is>
      </c>
      <c r="G2696" s="390" t="inlineStr">
        <is>
          <t>Chỉ tiêu cơ sở</t>
        </is>
      </c>
      <c r="H2696" s="390" t="inlineStr">
        <is>
          <t>Trùng</t>
        </is>
      </c>
      <c r="I2696" s="390" t="inlineStr">
        <is>
          <t>Ngày, CTCK</t>
        </is>
      </c>
      <c r="J2696" s="401" t="inlineStr">
        <is>
          <t>SCMS</t>
        </is>
      </c>
      <c r="K2696" s="401" t="n"/>
      <c r="L2696" s="401" t="inlineStr">
        <is>
          <t>X</t>
        </is>
      </c>
      <c r="M2696" s="401" t="n"/>
      <c r="N2696" s="401" t="inlineStr">
        <is>
          <t>Done</t>
        </is>
      </c>
      <c r="O2696" s="401" t="n"/>
      <c r="P2696" s="22" t="n"/>
      <c r="Q2696" s="401" t="inlineStr">
        <is>
          <t>CTCK_THONG_TIN</t>
        </is>
      </c>
      <c r="R2696" s="401" t="inlineStr">
        <is>
          <t>MA_CHUNG_KHOAN</t>
        </is>
      </c>
      <c r="S2696" s="22" t="n"/>
      <c r="U2696" s="390" t="n"/>
      <c r="V2696" s="22" t="n"/>
      <c r="W2696" s="22" t="n"/>
      <c r="X2696" s="22" t="n"/>
      <c r="Y2696" s="13" t="n"/>
      <c r="Z2696" s="22" t="n"/>
      <c r="AA2696" s="22" t="n"/>
      <c r="AB2696" s="22" t="n"/>
      <c r="AC2696" s="22" t="n"/>
      <c r="AD2696" s="22" t="n"/>
      <c r="AE2696" s="22" t="n"/>
    </row>
    <row r="2697" ht="56" customHeight="1" s="380">
      <c r="A2697" s="139" t="n">
        <v>113</v>
      </c>
      <c r="B2697" s="390" t="n"/>
      <c r="C2697" s="390" t="inlineStr">
        <is>
          <t>Báo cáo giám sát quản trị công ty &gt;&gt; Báo cáo tình hình quản trị công ty - V.IV+V</t>
        </is>
      </c>
      <c r="D2697" s="390" t="inlineStr">
        <is>
          <t>Giấy phép Hoạt động của Chủ tịch UBCKNN cấp lần đầu &gt;&gt; Số</t>
        </is>
      </c>
      <c r="E2697" s="390" t="inlineStr">
        <is>
          <t>Giấy phép Hoạt động của Chủ tịch UBCKNN cấp lần đầu &gt;&gt; Số</t>
        </is>
      </c>
      <c r="F2697" s="390" t="inlineStr">
        <is>
          <t>Data Explorer</t>
        </is>
      </c>
      <c r="G2697" s="390" t="inlineStr">
        <is>
          <t>Chỉ tiêu cơ sở</t>
        </is>
      </c>
      <c r="H2697" s="390" t="inlineStr">
        <is>
          <t>Trùng</t>
        </is>
      </c>
      <c r="I2697" s="390" t="inlineStr">
        <is>
          <t>Ngày, CTCK</t>
        </is>
      </c>
      <c r="J2697" s="401" t="inlineStr">
        <is>
          <t>SCMS</t>
        </is>
      </c>
      <c r="K2697" s="401" t="n"/>
      <c r="L2697" s="401" t="inlineStr">
        <is>
          <t>X</t>
        </is>
      </c>
      <c r="M2697" s="401" t="n"/>
      <c r="N2697" s="401" t="inlineStr">
        <is>
          <t>Done</t>
        </is>
      </c>
      <c r="O2697" s="401" t="n"/>
      <c r="P2697" s="22" t="n"/>
      <c r="Q2697" s="401" t="inlineStr">
        <is>
          <t>CTCK_THONG_TIN</t>
        </is>
      </c>
      <c r="R2697" s="401" t="inlineStr">
        <is>
          <t>GIAY_PHEP_KINH_DOANH</t>
        </is>
      </c>
      <c r="S2697" s="22" t="n"/>
      <c r="U2697" s="390" t="n"/>
      <c r="V2697" s="22" t="n"/>
      <c r="W2697" s="22" t="n"/>
      <c r="X2697" s="22" t="n"/>
      <c r="Y2697" s="13" t="n"/>
      <c r="Z2697" s="22" t="n"/>
      <c r="AA2697" s="22" t="n"/>
      <c r="AB2697" s="22" t="n"/>
      <c r="AC2697" s="22" t="n"/>
      <c r="AD2697" s="22" t="n"/>
      <c r="AE2697" s="22" t="n"/>
    </row>
    <row r="2698" ht="56" customHeight="1" s="380">
      <c r="A2698" s="139" t="n">
        <v>113</v>
      </c>
      <c r="B2698" s="390" t="n"/>
      <c r="C2698" s="390" t="inlineStr">
        <is>
          <t>Báo cáo giám sát quản trị công ty &gt;&gt; Báo cáo tình hình quản trị công ty - V.IV+V</t>
        </is>
      </c>
      <c r="D2698" s="390" t="inlineStr">
        <is>
          <t>Giấy phép Hoạt động của Chủ tịch UBCKNN cấp lần đầu &gt;&gt; Ngày cấp</t>
        </is>
      </c>
      <c r="E2698" s="390" t="inlineStr">
        <is>
          <t>Giấy phép Hoạt động của Chủ tịch UBCKNN cấp lần đầu &gt;&gt; Ngày cấp</t>
        </is>
      </c>
      <c r="F2698" s="390" t="inlineStr">
        <is>
          <t>Data Explorer</t>
        </is>
      </c>
      <c r="G2698" s="390" t="inlineStr">
        <is>
          <t>Chỉ tiêu cơ sở</t>
        </is>
      </c>
      <c r="H2698" s="390" t="inlineStr">
        <is>
          <t>Trùng</t>
        </is>
      </c>
      <c r="I2698" s="390" t="inlineStr">
        <is>
          <t>Ngày, CTCK</t>
        </is>
      </c>
      <c r="J2698" s="401" t="inlineStr">
        <is>
          <t>SCMS</t>
        </is>
      </c>
      <c r="K2698" s="401" t="n"/>
      <c r="L2698" s="401" t="inlineStr">
        <is>
          <t>X</t>
        </is>
      </c>
      <c r="M2698" s="401" t="n"/>
      <c r="N2698" s="401" t="inlineStr">
        <is>
          <t>Done</t>
        </is>
      </c>
      <c r="O2698" s="401" t="n"/>
      <c r="P2698" s="22" t="n"/>
      <c r="Q2698" s="401" t="inlineStr">
        <is>
          <t>CTCK_THONG_TIN</t>
        </is>
      </c>
      <c r="R2698" s="401" t="inlineStr">
        <is>
          <t>NGAY_CAP_GPKD</t>
        </is>
      </c>
      <c r="S2698" s="22" t="n"/>
      <c r="U2698" s="390" t="n"/>
      <c r="V2698" s="22" t="n"/>
      <c r="W2698" s="22" t="n"/>
      <c r="X2698" s="22" t="n"/>
      <c r="Y2698" s="13" t="n"/>
      <c r="Z2698" s="22" t="n"/>
      <c r="AA2698" s="22" t="n"/>
      <c r="AB2698" s="22" t="n"/>
      <c r="AC2698" s="22" t="n"/>
      <c r="AD2698" s="22" t="n"/>
      <c r="AE2698" s="22" t="n"/>
    </row>
    <row r="2699" ht="56" customHeight="1" s="380">
      <c r="A2699" s="139" t="n">
        <v>113</v>
      </c>
      <c r="B2699" s="390" t="n"/>
      <c r="C2699" s="390" t="inlineStr">
        <is>
          <t>Báo cáo giám sát quản trị công ty &gt;&gt; Báo cáo tình hình quản trị công ty - V.IV+V</t>
        </is>
      </c>
      <c r="D2699" s="390" t="inlineStr">
        <is>
          <t>Đại hội đồng cổ đông</t>
        </is>
      </c>
      <c r="E2699" s="401" t="inlineStr">
        <is>
          <t>Đại hội đồng cổ đông</t>
        </is>
      </c>
      <c r="F2699" s="390" t="inlineStr">
        <is>
          <t>Data Explorer</t>
        </is>
      </c>
      <c r="G2699" s="390" t="inlineStr">
        <is>
          <t>Chỉ tiêu cơ sở</t>
        </is>
      </c>
      <c r="H2699" s="390" t="inlineStr">
        <is>
          <t>Trùng</t>
        </is>
      </c>
      <c r="I2699" s="390" t="inlineStr">
        <is>
          <t>Ngày, CTCK</t>
        </is>
      </c>
      <c r="J2699" s="401" t="inlineStr">
        <is>
          <t>SCMS</t>
        </is>
      </c>
      <c r="K2699" s="401" t="n"/>
      <c r="L2699" s="401" t="inlineStr">
        <is>
          <t>X</t>
        </is>
      </c>
      <c r="M2699" s="401" t="n"/>
      <c r="N2699" s="401" t="inlineStr">
        <is>
          <t>Done</t>
        </is>
      </c>
      <c r="O2699" s="401" t="n"/>
      <c r="P2699" s="22" t="n"/>
      <c r="Q2699" s="401" t="inlineStr">
        <is>
          <t>DM_LOAI_CONG_TY</t>
        </is>
      </c>
      <c r="R2699" s="401" t="inlineStr">
        <is>
          <t>TEN_LOAI_CONG_TY</t>
        </is>
      </c>
      <c r="S2699" s="22" t="n"/>
      <c r="U2699" s="390" t="n"/>
      <c r="V2699" s="22" t="n"/>
      <c r="W2699" s="22" t="n"/>
      <c r="X2699" s="22" t="n"/>
      <c r="Y2699" s="13" t="n"/>
      <c r="Z2699" s="22" t="n"/>
      <c r="AA2699" s="22" t="n"/>
      <c r="AB2699" s="22" t="n"/>
      <c r="AC2699" s="22" t="n"/>
      <c r="AD2699" s="22" t="n"/>
      <c r="AE2699" s="22" t="n"/>
    </row>
    <row r="2700" ht="56" customHeight="1" s="380">
      <c r="A2700" s="139" t="n">
        <v>113</v>
      </c>
      <c r="B2700" s="390" t="n"/>
      <c r="C2700" s="390" t="inlineStr">
        <is>
          <t>Báo cáo giám sát quản trị công ty &gt;&gt; Báo cáo tình hình quản trị công ty - V.IV+V</t>
        </is>
      </c>
      <c r="D2700" s="390" t="inlineStr">
        <is>
          <t>Hội đồng quản trị</t>
        </is>
      </c>
      <c r="E2700" s="401" t="inlineStr">
        <is>
          <t>Hội đồng quản trị</t>
        </is>
      </c>
      <c r="F2700" s="390" t="inlineStr">
        <is>
          <t>Data Explorer</t>
        </is>
      </c>
      <c r="G2700" s="390" t="inlineStr">
        <is>
          <t>Chỉ tiêu cơ sở</t>
        </is>
      </c>
      <c r="H2700" s="390" t="inlineStr">
        <is>
          <t>Trùng</t>
        </is>
      </c>
      <c r="I2700" s="390" t="inlineStr">
        <is>
          <t>Ngày, CTCK</t>
        </is>
      </c>
      <c r="J2700" s="401" t="inlineStr">
        <is>
          <t>SCMS</t>
        </is>
      </c>
      <c r="K2700" s="401" t="n"/>
      <c r="L2700" s="401" t="inlineStr">
        <is>
          <t>X</t>
        </is>
      </c>
      <c r="M2700" s="401" t="n"/>
      <c r="N2700" s="401" t="inlineStr">
        <is>
          <t>Done</t>
        </is>
      </c>
      <c r="O2700" s="401" t="n"/>
      <c r="P2700" s="22" t="n"/>
      <c r="Q2700" s="401" t="inlineStr">
        <is>
          <t>DM_CHUC_VU</t>
        </is>
      </c>
      <c r="R2700" s="401" t="inlineStr">
        <is>
          <t>NHOM_CHUC_VU</t>
        </is>
      </c>
      <c r="S2700" s="22" t="n"/>
      <c r="U2700" s="390" t="n"/>
      <c r="V2700" s="22" t="n"/>
      <c r="W2700" s="22" t="n"/>
      <c r="X2700" s="22" t="n"/>
      <c r="Y2700" s="14" t="n"/>
      <c r="Z2700" s="22" t="n"/>
      <c r="AA2700" s="22" t="n"/>
      <c r="AB2700" s="22" t="n"/>
      <c r="AC2700" s="22" t="n"/>
      <c r="AD2700" s="22" t="n"/>
      <c r="AE2700" s="22" t="n"/>
    </row>
    <row r="2701" ht="56" customHeight="1" s="380">
      <c r="A2701" s="139" t="n">
        <v>113</v>
      </c>
      <c r="B2701" s="390" t="n"/>
      <c r="C2701" s="390" t="inlineStr">
        <is>
          <t>Báo cáo giám sát quản trị công ty &gt;&gt; Báo cáo tình hình quản trị công ty - V.IV+V</t>
        </is>
      </c>
      <c r="D2701" s="390" t="inlineStr">
        <is>
          <t>Tổng giám đốc/Giám đốc</t>
        </is>
      </c>
      <c r="E2701" s="401" t="inlineStr">
        <is>
          <t>Tổng giám đốc/Giám đốc</t>
        </is>
      </c>
      <c r="F2701" s="390" t="inlineStr">
        <is>
          <t>Data Explorer</t>
        </is>
      </c>
      <c r="G2701" s="390" t="inlineStr">
        <is>
          <t>Chỉ tiêu cơ sở</t>
        </is>
      </c>
      <c r="H2701" s="390" t="inlineStr">
        <is>
          <t>Trùng</t>
        </is>
      </c>
      <c r="I2701" s="390" t="inlineStr">
        <is>
          <t>Ngày, CTCK</t>
        </is>
      </c>
      <c r="J2701" s="401" t="inlineStr">
        <is>
          <t>SCMS</t>
        </is>
      </c>
      <c r="K2701" s="401" t="n"/>
      <c r="L2701" s="401" t="inlineStr">
        <is>
          <t>X</t>
        </is>
      </c>
      <c r="M2701" s="401" t="n"/>
      <c r="N2701" s="401" t="inlineStr">
        <is>
          <t>Done</t>
        </is>
      </c>
      <c r="O2701" s="401" t="n"/>
      <c r="P2701" s="22" t="n"/>
      <c r="Q2701" s="401" t="inlineStr">
        <is>
          <t>DM_CHUC_VU</t>
        </is>
      </c>
      <c r="R2701" s="401" t="inlineStr">
        <is>
          <t>TEN_CHUC_VU</t>
        </is>
      </c>
      <c r="S2701" s="22" t="n"/>
      <c r="U2701" s="390" t="n"/>
      <c r="V2701" s="22" t="n"/>
      <c r="W2701" s="22" t="n"/>
      <c r="X2701" s="22" t="n"/>
      <c r="Y2701" s="13" t="n"/>
      <c r="Z2701" s="22" t="n"/>
      <c r="AA2701" s="22" t="n"/>
      <c r="AB2701" s="22" t="n"/>
      <c r="AC2701" s="22" t="n"/>
      <c r="AD2701" s="22" t="n"/>
      <c r="AE2701" s="22" t="n"/>
    </row>
    <row r="2702" ht="56" customHeight="1" s="380">
      <c r="A2702" s="139" t="n">
        <v>113</v>
      </c>
      <c r="B2702" s="390" t="n"/>
      <c r="C2702" s="390" t="inlineStr">
        <is>
          <t>Báo cáo giám sát quản trị công ty &gt;&gt; Báo cáo tình hình quản trị công ty - V.IV+V</t>
        </is>
      </c>
      <c r="D2702" s="390" t="inlineStr">
        <is>
          <t>Ban kiểm soát</t>
        </is>
      </c>
      <c r="E2702" s="401" t="inlineStr">
        <is>
          <t>Ban kiểm soát</t>
        </is>
      </c>
      <c r="F2702" s="390" t="inlineStr">
        <is>
          <t>Data Explorer</t>
        </is>
      </c>
      <c r="G2702" s="390" t="inlineStr">
        <is>
          <t>Chỉ tiêu cơ sở</t>
        </is>
      </c>
      <c r="H2702" s="390" t="inlineStr">
        <is>
          <t>Trùng</t>
        </is>
      </c>
      <c r="I2702" s="390" t="inlineStr">
        <is>
          <t>Ngày, CTCK</t>
        </is>
      </c>
      <c r="J2702" s="401" t="inlineStr">
        <is>
          <t>SCMS</t>
        </is>
      </c>
      <c r="K2702" s="401" t="n"/>
      <c r="L2702" s="401" t="inlineStr">
        <is>
          <t>X</t>
        </is>
      </c>
      <c r="M2702" s="401" t="n"/>
      <c r="N2702" s="401" t="inlineStr">
        <is>
          <t>Done</t>
        </is>
      </c>
      <c r="O2702" s="401" t="n"/>
      <c r="P2702" s="22" t="n"/>
      <c r="Q2702" s="401" t="inlineStr">
        <is>
          <t>DM_CHUC_VU</t>
        </is>
      </c>
      <c r="R2702" s="401" t="inlineStr">
        <is>
          <t>NHOM_CHUC_VU</t>
        </is>
      </c>
      <c r="S2702" s="22" t="n"/>
      <c r="U2702" s="390" t="n"/>
      <c r="V2702" s="22" t="n"/>
      <c r="W2702" s="22" t="n"/>
      <c r="X2702" s="22" t="n"/>
      <c r="Y2702" s="13" t="n"/>
      <c r="Z2702" s="22" t="n"/>
      <c r="AA2702" s="22" t="n"/>
      <c r="AB2702" s="22" t="n"/>
      <c r="AC2702" s="22" t="n"/>
      <c r="AD2702" s="22" t="n"/>
      <c r="AE2702" s="22" t="n"/>
    </row>
    <row r="2703" ht="56" customHeight="1" s="380">
      <c r="A2703" s="139" t="n">
        <v>113</v>
      </c>
      <c r="B2703" s="390" t="n"/>
      <c r="C2703" s="390" t="inlineStr">
        <is>
          <t>Báo cáo giám sát quản trị công ty &gt;&gt; Báo cáo tình hình quản trị công ty - V.IV+V</t>
        </is>
      </c>
      <c r="D2703" s="390" t="inlineStr">
        <is>
          <t>Ủy ban kiểm toán</t>
        </is>
      </c>
      <c r="E2703" s="401" t="inlineStr">
        <is>
          <t>Ủy ban kiểm toán</t>
        </is>
      </c>
      <c r="F2703" s="390" t="inlineStr">
        <is>
          <t>Data Explorer</t>
        </is>
      </c>
      <c r="G2703" s="390" t="inlineStr">
        <is>
          <t>Chỉ tiêu cơ sở</t>
        </is>
      </c>
      <c r="H2703" s="390" t="inlineStr">
        <is>
          <t>Trùng</t>
        </is>
      </c>
      <c r="I2703" s="390" t="inlineStr">
        <is>
          <t>Ngày, CTCK</t>
        </is>
      </c>
      <c r="J2703" s="401" t="inlineStr">
        <is>
          <t>SCMS</t>
        </is>
      </c>
      <c r="K2703" s="401" t="n"/>
      <c r="L2703" s="401" t="inlineStr">
        <is>
          <t>X</t>
        </is>
      </c>
      <c r="M2703" s="401" t="n"/>
      <c r="N2703" s="401" t="inlineStr">
        <is>
          <t>Done</t>
        </is>
      </c>
      <c r="O2703" s="401" t="n"/>
      <c r="P2703" s="22" t="n"/>
      <c r="Q2703" s="401" t="inlineStr">
        <is>
          <t>DM_CHUC_VU</t>
        </is>
      </c>
      <c r="R2703" s="401" t="inlineStr">
        <is>
          <t>NHOM_CHUC_VU</t>
        </is>
      </c>
      <c r="S2703" s="22" t="n"/>
      <c r="U2703" s="390" t="n"/>
      <c r="V2703" s="22" t="n"/>
      <c r="W2703" s="22" t="n"/>
      <c r="X2703" s="22" t="n"/>
      <c r="Y2703" s="13" t="n"/>
      <c r="Z2703" s="22" t="n"/>
      <c r="AA2703" s="22" t="n"/>
      <c r="AB2703" s="22" t="n"/>
      <c r="AC2703" s="22" t="n"/>
      <c r="AD2703" s="22" t="n"/>
      <c r="AE2703" s="22" t="n"/>
    </row>
    <row r="2704" ht="56" customHeight="1" s="380">
      <c r="A2704" s="139" t="n">
        <v>113</v>
      </c>
      <c r="B2704" s="390" t="n"/>
      <c r="C2704" s="390" t="inlineStr">
        <is>
          <t>Báo cáo giám sát quản trị công ty &gt;&gt; Báo cáo tình hình quản trị công ty - V.IV+V</t>
        </is>
      </c>
      <c r="D2704" s="390" t="inlineStr">
        <is>
          <t>Chức năng kiểm toán nội bộ &gt;&gt; Đã thực hiện</t>
        </is>
      </c>
      <c r="E2704" s="390" t="inlineStr">
        <is>
          <t>Chức năng kiểm toán nội bộ &gt;&gt; Đã thực hiện</t>
        </is>
      </c>
      <c r="F2704" s="390" t="inlineStr">
        <is>
          <t>Data Explorer</t>
        </is>
      </c>
      <c r="G2704" s="390" t="inlineStr">
        <is>
          <t>Chỉ tiêu cơ sở</t>
        </is>
      </c>
      <c r="H2704" s="390" t="inlineStr">
        <is>
          <t>Trùng</t>
        </is>
      </c>
      <c r="I2704" s="390" t="inlineStr">
        <is>
          <t>Ngày, CTCK</t>
        </is>
      </c>
      <c r="J2704" s="401" t="inlineStr">
        <is>
          <t>SCMS</t>
        </is>
      </c>
      <c r="K2704" s="401" t="n"/>
      <c r="L2704" s="401" t="inlineStr">
        <is>
          <t>X</t>
        </is>
      </c>
      <c r="M2704" s="401" t="n"/>
      <c r="N2704" s="401" t="inlineStr">
        <is>
          <t>Done</t>
        </is>
      </c>
      <c r="O2704" s="401" t="n"/>
      <c r="P2704" s="22" t="n"/>
      <c r="Q2704" s="401" t="inlineStr">
        <is>
          <t>CBTT_BAO_CAO</t>
        </is>
      </c>
      <c r="R2704" s="401" t="inlineStr">
        <is>
          <t>MO_TA
LOAI_TIN</t>
        </is>
      </c>
      <c r="S2704" s="390" t="n"/>
      <c r="U2704" s="390" t="inlineStr">
        <is>
          <t>Dựa vào text để lấy dữ liệu</t>
        </is>
      </c>
      <c r="V2704" s="22" t="n"/>
      <c r="W2704" s="22" t="n"/>
      <c r="X2704" s="22" t="n"/>
      <c r="Y2704" s="13" t="n"/>
      <c r="Z2704" s="22" t="n"/>
      <c r="AA2704" s="22" t="n"/>
      <c r="AB2704" s="22" t="n"/>
      <c r="AC2704" s="22" t="n"/>
      <c r="AD2704" s="22" t="n"/>
      <c r="AE2704" s="22" t="n"/>
    </row>
    <row r="2705" ht="56" customHeight="1" s="380">
      <c r="A2705" s="139" t="n">
        <v>113</v>
      </c>
      <c r="B2705" s="390" t="n"/>
      <c r="C2705" s="390" t="inlineStr">
        <is>
          <t>Báo cáo giám sát quản trị công ty &gt;&gt; Báo cáo tình hình quản trị công ty - V.IV+V</t>
        </is>
      </c>
      <c r="D2705" s="390" t="inlineStr">
        <is>
          <t>Chức năng kiểm toán nội bộ &gt;&gt; Chưa thực hiện</t>
        </is>
      </c>
      <c r="E2705" s="390" t="inlineStr">
        <is>
          <t>Chức năng kiểm toán nội bộ &gt;&gt; Chưa thực hiện</t>
        </is>
      </c>
      <c r="F2705" s="390" t="inlineStr">
        <is>
          <t>Data Explorer</t>
        </is>
      </c>
      <c r="G2705" s="390" t="inlineStr">
        <is>
          <t>Chỉ tiêu cơ sở</t>
        </is>
      </c>
      <c r="H2705" s="390" t="inlineStr">
        <is>
          <t>Trùng</t>
        </is>
      </c>
      <c r="I2705" s="390" t="inlineStr">
        <is>
          <t>Ngày, CTCK</t>
        </is>
      </c>
      <c r="J2705" s="401" t="inlineStr">
        <is>
          <t>SCMS</t>
        </is>
      </c>
      <c r="K2705" s="401" t="n"/>
      <c r="L2705" s="401" t="inlineStr">
        <is>
          <t>X</t>
        </is>
      </c>
      <c r="M2705" s="401" t="n"/>
      <c r="N2705" s="401" t="inlineStr">
        <is>
          <t>Done</t>
        </is>
      </c>
      <c r="O2705" s="401" t="n"/>
      <c r="P2705" s="22" t="n"/>
      <c r="Q2705" s="401" t="inlineStr">
        <is>
          <t>CBTT_BAO_CAO</t>
        </is>
      </c>
      <c r="R2705" s="401" t="inlineStr">
        <is>
          <t>MO_TA
LOAI_TIN</t>
        </is>
      </c>
      <c r="S2705" s="390" t="n"/>
      <c r="U2705" s="390" t="inlineStr">
        <is>
          <t>Dựa vào text để lấy dữ liệu</t>
        </is>
      </c>
      <c r="V2705" s="22" t="n"/>
      <c r="W2705" s="22" t="n"/>
      <c r="X2705" s="22" t="n"/>
      <c r="Y2705" s="13" t="n"/>
      <c r="Z2705" s="22" t="n"/>
      <c r="AA2705" s="22" t="n"/>
      <c r="AB2705" s="22" t="n"/>
      <c r="AC2705" s="22" t="n"/>
      <c r="AD2705" s="22" t="n"/>
      <c r="AE2705" s="22" t="n"/>
    </row>
    <row r="2706" ht="56" customHeight="1" s="380">
      <c r="A2706" s="139" t="n">
        <v>113</v>
      </c>
      <c r="B2706" s="390" t="n"/>
      <c r="C2706" s="390" t="inlineStr">
        <is>
          <t>Báo cáo giám sát quản trị công ty &gt;&gt; Báo cáo tình hình quản trị công ty - V.IV+V</t>
        </is>
      </c>
      <c r="D2706" s="390" t="inlineStr">
        <is>
          <t>Ban Điều hành/Kế toán trưởng</t>
        </is>
      </c>
      <c r="E2706" s="401" t="inlineStr">
        <is>
          <t>Ban Điều hành/Kế toán trưởng</t>
        </is>
      </c>
      <c r="F2706" s="390" t="inlineStr">
        <is>
          <t>Data Explorer</t>
        </is>
      </c>
      <c r="G2706" s="390" t="inlineStr">
        <is>
          <t>Chỉ tiêu cơ sở</t>
        </is>
      </c>
      <c r="H2706" s="390" t="inlineStr">
        <is>
          <t>TB</t>
        </is>
      </c>
      <c r="I2706" s="390" t="inlineStr">
        <is>
          <t>Ngày, CTCK</t>
        </is>
      </c>
      <c r="J2706" s="401" t="inlineStr">
        <is>
          <t>SCMS</t>
        </is>
      </c>
      <c r="K2706" s="401" t="n"/>
      <c r="L2706" s="401" t="inlineStr">
        <is>
          <t>X</t>
        </is>
      </c>
      <c r="M2706" s="401" t="n"/>
      <c r="N2706" s="401" t="inlineStr">
        <is>
          <t>Done</t>
        </is>
      </c>
      <c r="O2706" s="401" t="n"/>
      <c r="P2706" s="22" t="n"/>
      <c r="Q2706" s="401" t="inlineStr">
        <is>
          <t>DM_CHUC_VU</t>
        </is>
      </c>
      <c r="R2706" s="401" t="inlineStr">
        <is>
          <t>NHOM_CHUC_VU</t>
        </is>
      </c>
      <c r="S2706" s="22" t="n"/>
      <c r="U2706" s="390" t="n"/>
      <c r="V2706" s="22" t="n"/>
      <c r="W2706" s="22" t="n"/>
      <c r="X2706" s="22" t="n"/>
      <c r="Y2706" s="38" t="n"/>
      <c r="Z2706" s="22" t="n"/>
      <c r="AA2706" s="22" t="n"/>
      <c r="AB2706" s="22" t="n"/>
      <c r="AC2706" s="22" t="n"/>
      <c r="AD2706" s="22" t="n"/>
      <c r="AE2706" s="22" t="n"/>
    </row>
    <row r="2707" ht="56" customHeight="1" s="380">
      <c r="A2707" s="139" t="n">
        <v>113</v>
      </c>
      <c r="B2707" s="390" t="n"/>
      <c r="C2707" s="390" t="inlineStr">
        <is>
          <t>Báo cáo giám sát quản trị công ty &gt;&gt; Báo cáo tình hình quản trị công ty - V.IV+V</t>
        </is>
      </c>
      <c r="D2707" s="390" t="inlineStr">
        <is>
          <t>Tên thành viên Ban điều hành/Kế toán trưởng</t>
        </is>
      </c>
      <c r="E2707" s="390" t="inlineStr">
        <is>
          <t>Tên thành viên Ban điều hành/Kế toán trưởng</t>
        </is>
      </c>
      <c r="F2707" s="390" t="inlineStr">
        <is>
          <t>Data Explorer</t>
        </is>
      </c>
      <c r="G2707" s="390" t="inlineStr">
        <is>
          <t>Chỉ tiêu cơ sở</t>
        </is>
      </c>
      <c r="H2707" s="390" t="inlineStr">
        <is>
          <t>TB</t>
        </is>
      </c>
      <c r="I2707" s="390" t="inlineStr">
        <is>
          <t>Ngày, CTCK</t>
        </is>
      </c>
      <c r="J2707" s="401" t="inlineStr">
        <is>
          <t>SCMS</t>
        </is>
      </c>
      <c r="K2707" s="401" t="n"/>
      <c r="L2707" s="401" t="inlineStr">
        <is>
          <t>X</t>
        </is>
      </c>
      <c r="M2707" s="401" t="n"/>
      <c r="N2707" s="401" t="inlineStr">
        <is>
          <t>Done</t>
        </is>
      </c>
      <c r="O2707" s="401" t="n"/>
      <c r="P2707" s="22" t="n"/>
      <c r="Q2707" s="401" t="inlineStr">
        <is>
          <t>CTCK_NHAN_SU_CAO_CAP</t>
        </is>
      </c>
      <c r="R2707" s="401" t="inlineStr">
        <is>
          <t>HO_TEN</t>
        </is>
      </c>
      <c r="S2707" s="22" t="n"/>
      <c r="U2707" s="390" t="n"/>
      <c r="V2707" s="22" t="n"/>
      <c r="W2707" s="22" t="n"/>
      <c r="X2707" s="22" t="n"/>
      <c r="Y2707" s="13" t="n"/>
      <c r="Z2707" s="22" t="n"/>
      <c r="AA2707" s="22" t="n"/>
      <c r="AB2707" s="22" t="n"/>
      <c r="AC2707" s="22" t="n"/>
      <c r="AD2707" s="22" t="n"/>
      <c r="AE2707" s="22" t="n"/>
    </row>
    <row r="2708" ht="56" customHeight="1" s="380">
      <c r="A2708" s="139" t="n">
        <v>113</v>
      </c>
      <c r="B2708" s="390" t="n"/>
      <c r="C2708" s="390" t="inlineStr">
        <is>
          <t>Báo cáo giám sát quản trị công ty &gt;&gt; Báo cáo tình hình quản trị công ty - V.IV+V</t>
        </is>
      </c>
      <c r="D2708" s="390" t="inlineStr">
        <is>
          <t>Ngày tháng năm sinh
(Ngày/tháng/năm)</t>
        </is>
      </c>
      <c r="E2708" s="401" t="inlineStr">
        <is>
          <t>Ngày tháng năm sinh
(Ngày/tháng/năm)</t>
        </is>
      </c>
      <c r="F2708" s="390" t="inlineStr">
        <is>
          <t>Data Explorer</t>
        </is>
      </c>
      <c r="G2708" s="390" t="inlineStr">
        <is>
          <t>Chỉ tiêu cơ sở</t>
        </is>
      </c>
      <c r="H2708" s="390" t="inlineStr">
        <is>
          <t>TB</t>
        </is>
      </c>
      <c r="I2708" s="390" t="inlineStr">
        <is>
          <t>Ngày, CTCK</t>
        </is>
      </c>
      <c r="J2708" s="401" t="inlineStr">
        <is>
          <t>SCMS</t>
        </is>
      </c>
      <c r="K2708" s="401" t="n"/>
      <c r="L2708" s="401" t="inlineStr">
        <is>
          <t>X</t>
        </is>
      </c>
      <c r="M2708" s="401" t="n"/>
      <c r="N2708" s="401" t="inlineStr">
        <is>
          <t>Done</t>
        </is>
      </c>
      <c r="O2708" s="401" t="n"/>
      <c r="P2708" s="22" t="n"/>
      <c r="Q2708" s="401" t="inlineStr">
        <is>
          <t>CTCK_NHAN_SU_CAO_CAP</t>
        </is>
      </c>
      <c r="R2708" s="401" t="inlineStr">
        <is>
          <t>NGAY_SINH</t>
        </is>
      </c>
      <c r="S2708" s="22" t="n"/>
      <c r="U2708" s="390" t="n"/>
      <c r="V2708" s="22" t="n"/>
      <c r="W2708" s="22" t="n"/>
      <c r="X2708" s="22" t="n"/>
      <c r="Y2708" s="13" t="n"/>
      <c r="Z2708" s="22" t="n"/>
      <c r="AA2708" s="22" t="n"/>
      <c r="AB2708" s="22" t="n"/>
      <c r="AC2708" s="22" t="n"/>
      <c r="AD2708" s="22" t="n"/>
      <c r="AE2708" s="22" t="n"/>
    </row>
    <row r="2709" ht="56" customHeight="1" s="380">
      <c r="A2709" s="139" t="n">
        <v>113</v>
      </c>
      <c r="B2709" s="390" t="n"/>
      <c r="C2709" s="390" t="inlineStr">
        <is>
          <t>Báo cáo giám sát quản trị công ty &gt;&gt; Báo cáo tình hình quản trị công ty - V.IV+V</t>
        </is>
      </c>
      <c r="D2709" s="390" t="inlineStr">
        <is>
          <t>Trình độ chuyên môn (nghiệp vụ)</t>
        </is>
      </c>
      <c r="E2709" s="401" t="inlineStr">
        <is>
          <t>Trình độ chuyên môn (nghiệp vụ)</t>
        </is>
      </c>
      <c r="F2709" s="390" t="inlineStr">
        <is>
          <t>Data Explorer</t>
        </is>
      </c>
      <c r="G2709" s="390" t="inlineStr">
        <is>
          <t>Chỉ tiêu cơ sở</t>
        </is>
      </c>
      <c r="H2709" s="390" t="inlineStr">
        <is>
          <t>TB</t>
        </is>
      </c>
      <c r="I2709" s="390" t="inlineStr">
        <is>
          <t>Ngày, CTCK</t>
        </is>
      </c>
      <c r="J2709" s="401" t="inlineStr">
        <is>
          <t>SCMS</t>
        </is>
      </c>
      <c r="K2709" s="401" t="n"/>
      <c r="L2709" s="401" t="inlineStr">
        <is>
          <t>X</t>
        </is>
      </c>
      <c r="M2709" s="401" t="n"/>
      <c r="N2709" s="401" t="inlineStr">
        <is>
          <t>Pending</t>
        </is>
      </c>
      <c r="O2709" s="401" t="n"/>
      <c r="P2709" s="22" t="n"/>
      <c r="Q2709" s="401" t="n"/>
      <c r="R2709" s="401" t="n"/>
      <c r="S2709" s="390" t="n"/>
      <c r="U2709" s="390" t="inlineStr">
        <is>
          <t>Không có thông tin</t>
        </is>
      </c>
      <c r="V2709" s="22" t="n"/>
      <c r="W2709" s="22" t="n"/>
      <c r="X2709" s="22" t="n"/>
      <c r="Y2709" s="13" t="n"/>
      <c r="Z2709" s="22" t="n"/>
      <c r="AA2709" s="22" t="n"/>
      <c r="AB2709" s="22" t="n"/>
      <c r="AC2709" s="22" t="n"/>
      <c r="AD2709" s="22" t="n"/>
      <c r="AE2709" s="22" t="n"/>
    </row>
    <row r="2710" ht="56" customHeight="1" s="380">
      <c r="A2710" s="139" t="n">
        <v>113</v>
      </c>
      <c r="B2710" s="390" t="n"/>
      <c r="C2710" s="390" t="inlineStr">
        <is>
          <t>Báo cáo giám sát quản trị công ty &gt;&gt; Báo cáo tình hình quản trị công ty - V.IV+V</t>
        </is>
      </c>
      <c r="D2710" s="390" t="inlineStr">
        <is>
          <t>Ngày (Ngày/tháng/năm) &gt;&gt; Bổ nhiệm</t>
        </is>
      </c>
      <c r="E2710" s="401" t="inlineStr">
        <is>
          <t>Ngày (Ngày/tháng/năm) &gt;&gt; Bổ nhiệm</t>
        </is>
      </c>
      <c r="F2710" s="390" t="inlineStr">
        <is>
          <t>Data Explorer</t>
        </is>
      </c>
      <c r="G2710" s="390" t="inlineStr">
        <is>
          <t>Chỉ tiêu cơ sở</t>
        </is>
      </c>
      <c r="H2710" s="390" t="inlineStr">
        <is>
          <t>TB</t>
        </is>
      </c>
      <c r="I2710" s="390" t="inlineStr">
        <is>
          <t>Ngày, CTCK</t>
        </is>
      </c>
      <c r="J2710" s="401" t="inlineStr">
        <is>
          <t>SCMS</t>
        </is>
      </c>
      <c r="K2710" s="401" t="n"/>
      <c r="L2710" s="401" t="inlineStr">
        <is>
          <t>X</t>
        </is>
      </c>
      <c r="M2710" s="401" t="n"/>
      <c r="N2710" s="401" t="inlineStr">
        <is>
          <t>Done</t>
        </is>
      </c>
      <c r="O2710" s="401" t="n"/>
      <c r="P2710" s="22" t="n"/>
      <c r="Q2710" s="401" t="inlineStr">
        <is>
          <t>CTCK_NHAN_SU_CAO_CAP</t>
        </is>
      </c>
      <c r="R2710" s="401" t="inlineStr">
        <is>
          <t>NGAY_BAT_DAU_LAM_VIEC</t>
        </is>
      </c>
      <c r="S2710" s="22" t="n"/>
      <c r="U2710" s="390" t="n"/>
      <c r="V2710" s="22" t="n"/>
      <c r="W2710" s="22" t="n"/>
      <c r="X2710" s="22" t="n"/>
      <c r="Y2710" s="13" t="n"/>
      <c r="Z2710" s="22" t="n"/>
      <c r="AA2710" s="22" t="n"/>
      <c r="AB2710" s="22" t="n"/>
      <c r="AC2710" s="22" t="n"/>
      <c r="AD2710" s="22" t="n"/>
      <c r="AE2710" s="22" t="n"/>
    </row>
    <row r="2711" ht="56" customHeight="1" s="380">
      <c r="A2711" s="143" t="n">
        <v>113</v>
      </c>
      <c r="B2711" s="129" t="n"/>
      <c r="C2711" s="129" t="inlineStr">
        <is>
          <t>Báo cáo giám sát quản trị công ty &gt;&gt; Báo cáo tình hình quản trị công ty - V.IV+V</t>
        </is>
      </c>
      <c r="D2711" s="129" t="inlineStr">
        <is>
          <t>Ngày (Ngày/tháng/năm) &gt;&gt; Miễn nhiệm</t>
        </is>
      </c>
      <c r="E2711" s="85" t="inlineStr">
        <is>
          <t>Ngày (Ngày/tháng/năm) &gt;&gt; Miễn nhiệm</t>
        </is>
      </c>
      <c r="F2711" s="129" t="inlineStr">
        <is>
          <t>Data Explorer</t>
        </is>
      </c>
      <c r="G2711" s="129" t="inlineStr">
        <is>
          <t>Chỉ tiêu cơ sở</t>
        </is>
      </c>
      <c r="H2711" s="129" t="inlineStr">
        <is>
          <t>TB</t>
        </is>
      </c>
      <c r="I2711" s="129" t="inlineStr">
        <is>
          <t>Ngày, CTCK</t>
        </is>
      </c>
      <c r="J2711" s="85" t="inlineStr">
        <is>
          <t>SCMS</t>
        </is>
      </c>
      <c r="K2711" s="85" t="n"/>
      <c r="L2711" s="85" t="inlineStr">
        <is>
          <t>X</t>
        </is>
      </c>
      <c r="M2711" s="85" t="n"/>
      <c r="N2711" s="85" t="inlineStr">
        <is>
          <t>Done</t>
        </is>
      </c>
      <c r="O2711" s="85" t="n"/>
      <c r="P2711" s="130" t="n"/>
      <c r="Q2711" s="85" t="inlineStr">
        <is>
          <t>CTCK_NHAN_SU_CAO_CAP</t>
        </is>
      </c>
      <c r="R2711" s="85" t="inlineStr">
        <is>
          <t>NGAY_THOI_VIEC</t>
        </is>
      </c>
      <c r="S2711" s="130" t="n"/>
      <c r="T2711" s="426" t="n"/>
      <c r="U2711" s="129" t="n"/>
      <c r="V2711" s="130" t="n"/>
      <c r="W2711" s="130" t="n"/>
      <c r="X2711" s="130" t="n"/>
      <c r="Y2711" s="97" t="n"/>
      <c r="Z2711" s="130" t="n"/>
      <c r="AA2711" s="130" t="n"/>
      <c r="AB2711" s="130" t="n"/>
      <c r="AC2711" s="130" t="n"/>
      <c r="AD2711" s="130" t="n"/>
      <c r="AE2711" s="130" t="n"/>
    </row>
    <row r="2712" ht="56" customHeight="1" s="380">
      <c r="A2712" s="139" t="n">
        <v>114</v>
      </c>
      <c r="B2712" s="140" t="inlineStr">
        <is>
          <t>Trang</t>
        </is>
      </c>
      <c r="C2712" s="127" t="inlineStr">
        <is>
          <t>Báo cáo giám sát quản trị công ty &gt;&gt; Báo cáo tình hình quản trị công ty - V.VII.1+2</t>
        </is>
      </c>
      <c r="D2712" s="106" t="inlineStr">
        <is>
          <t>Loại báo cáo</t>
        </is>
      </c>
      <c r="E2712" s="107" t="inlineStr">
        <is>
          <t>Loại báo cáo</t>
        </is>
      </c>
      <c r="F2712" s="390" t="inlineStr">
        <is>
          <t>Data Explorer</t>
        </is>
      </c>
      <c r="G2712" s="390" t="inlineStr">
        <is>
          <t>Chiều</t>
        </is>
      </c>
      <c r="H2712" s="390" t="inlineStr">
        <is>
          <t>Dễ</t>
        </is>
      </c>
      <c r="I2712" s="390" t="inlineStr">
        <is>
          <t>Ngày, CTCK</t>
        </is>
      </c>
      <c r="J2712" s="401" t="inlineStr">
        <is>
          <t>SCMS</t>
        </is>
      </c>
      <c r="K2712" s="401" t="inlineStr">
        <is>
          <t>X</t>
        </is>
      </c>
      <c r="L2712" s="401" t="inlineStr">
        <is>
          <t>X</t>
        </is>
      </c>
      <c r="M2712" s="401" t="n"/>
      <c r="N2712" s="401" t="inlineStr">
        <is>
          <t>Pending</t>
        </is>
      </c>
      <c r="O2712" s="401" t="n"/>
      <c r="P2712" s="22" t="n"/>
      <c r="Q2712" s="105" t="inlineStr">
        <is>
          <t>DB cũ không thấy biểu mẫu báo cáo này</t>
        </is>
      </c>
      <c r="R2712" s="401" t="n"/>
      <c r="S2712" s="22" t="n"/>
      <c r="T2712" s="403" t="n"/>
      <c r="U2712" s="390" t="n"/>
      <c r="V2712" s="22" t="n"/>
      <c r="W2712" s="22" t="n"/>
      <c r="X2712" s="22" t="n"/>
      <c r="Y2712" s="14" t="n"/>
      <c r="Z2712" s="22" t="n"/>
      <c r="AA2712" s="22" t="n"/>
      <c r="AB2712" s="22" t="n"/>
      <c r="AC2712" s="22" t="n"/>
      <c r="AD2712" s="22" t="n"/>
      <c r="AE2712" s="22" t="n"/>
    </row>
    <row r="2713" ht="56" customHeight="1" s="380">
      <c r="A2713" s="139" t="n">
        <v>114</v>
      </c>
      <c r="B2713" s="390" t="n"/>
      <c r="C2713" s="390" t="inlineStr">
        <is>
          <t>Báo cáo giám sát quản trị công ty &gt;&gt; Báo cáo tình hình quản trị công ty - V.VII.1+2</t>
        </is>
      </c>
      <c r="D2713" s="106" t="inlineStr">
        <is>
          <t>Kỳ báo cáo</t>
        </is>
      </c>
      <c r="E2713" s="107" t="inlineStr">
        <is>
          <t>Kỳ báo cáo</t>
        </is>
      </c>
      <c r="F2713" s="390" t="inlineStr">
        <is>
          <t>Data Explorer</t>
        </is>
      </c>
      <c r="G2713" s="390" t="inlineStr">
        <is>
          <t>Chiều</t>
        </is>
      </c>
      <c r="H2713" s="390" t="inlineStr">
        <is>
          <t>Dễ</t>
        </is>
      </c>
      <c r="I2713" s="390" t="inlineStr">
        <is>
          <t>Ngày, CTCK</t>
        </is>
      </c>
      <c r="J2713" s="401" t="inlineStr">
        <is>
          <t>SCMS</t>
        </is>
      </c>
      <c r="K2713" s="401" t="inlineStr">
        <is>
          <t>X</t>
        </is>
      </c>
      <c r="L2713" s="401" t="inlineStr">
        <is>
          <t>X</t>
        </is>
      </c>
      <c r="M2713" s="401" t="n"/>
      <c r="N2713" s="401" t="inlineStr">
        <is>
          <t>Pending</t>
        </is>
      </c>
      <c r="O2713" s="401" t="n"/>
      <c r="P2713" s="22" t="n"/>
      <c r="Q2713" s="401" t="n"/>
      <c r="R2713" s="401" t="n"/>
      <c r="S2713" s="22" t="n"/>
      <c r="T2713" s="390" t="n"/>
      <c r="U2713" s="390" t="n"/>
      <c r="V2713" s="22" t="n"/>
      <c r="W2713" s="22" t="n"/>
      <c r="X2713" s="22" t="n"/>
      <c r="Y2713" s="13" t="n"/>
      <c r="Z2713" s="22" t="n"/>
      <c r="AA2713" s="22" t="n"/>
      <c r="AB2713" s="22" t="n"/>
      <c r="AC2713" s="22" t="n"/>
      <c r="AD2713" s="22" t="n"/>
      <c r="AE2713" s="22" t="n"/>
    </row>
    <row r="2714" ht="56" customHeight="1" s="380">
      <c r="A2714" s="139" t="n">
        <v>114</v>
      </c>
      <c r="B2714" s="390" t="n"/>
      <c r="C2714" s="390" t="inlineStr">
        <is>
          <t>Báo cáo giám sát quản trị công ty &gt;&gt; Báo cáo tình hình quản trị công ty - V.VII.1+2</t>
        </is>
      </c>
      <c r="D2714" s="106" t="inlineStr">
        <is>
          <t>Mã báo cáo</t>
        </is>
      </c>
      <c r="E2714" s="107" t="inlineStr">
        <is>
          <t>Mã báo cáo</t>
        </is>
      </c>
      <c r="F2714" s="390" t="inlineStr">
        <is>
          <t>Data Explorer</t>
        </is>
      </c>
      <c r="G2714" s="390" t="inlineStr">
        <is>
          <t>Chiều</t>
        </is>
      </c>
      <c r="H2714" s="390" t="inlineStr">
        <is>
          <t>Dễ</t>
        </is>
      </c>
      <c r="I2714" s="390" t="inlineStr">
        <is>
          <t>Ngày, CTCK</t>
        </is>
      </c>
      <c r="J2714" s="401" t="inlineStr">
        <is>
          <t>SCMS</t>
        </is>
      </c>
      <c r="K2714" s="401" t="inlineStr">
        <is>
          <t>X</t>
        </is>
      </c>
      <c r="L2714" s="401" t="inlineStr">
        <is>
          <t>X</t>
        </is>
      </c>
      <c r="M2714" s="401" t="n"/>
      <c r="N2714" s="401" t="inlineStr">
        <is>
          <t>Pending</t>
        </is>
      </c>
      <c r="O2714" s="401" t="n"/>
      <c r="P2714" s="22" t="n"/>
      <c r="Q2714" s="401" t="n"/>
      <c r="R2714" s="401" t="n"/>
      <c r="S2714" s="22" t="n"/>
      <c r="T2714" s="390" t="n"/>
      <c r="U2714" s="390" t="n"/>
      <c r="V2714" s="22" t="n"/>
      <c r="W2714" s="22" t="n"/>
      <c r="X2714" s="22" t="n"/>
      <c r="Y2714" s="13" t="n"/>
      <c r="Z2714" s="22" t="n"/>
      <c r="AA2714" s="22" t="n"/>
      <c r="AB2714" s="22" t="n"/>
      <c r="AC2714" s="22" t="n"/>
      <c r="AD2714" s="22" t="n"/>
      <c r="AE2714" s="22" t="n"/>
    </row>
    <row r="2715" ht="56" customHeight="1" s="380">
      <c r="A2715" s="139" t="n">
        <v>114</v>
      </c>
      <c r="B2715" s="390" t="n"/>
      <c r="C2715" s="390" t="inlineStr">
        <is>
          <t>Báo cáo giám sát quản trị công ty &gt;&gt; Báo cáo tình hình quản trị công ty - V.VII.1+2</t>
        </is>
      </c>
      <c r="D2715" s="106" t="inlineStr">
        <is>
          <t>Tên báo cáo</t>
        </is>
      </c>
      <c r="E2715" s="107" t="inlineStr">
        <is>
          <t>Tên báo cáo</t>
        </is>
      </c>
      <c r="F2715" s="390" t="inlineStr">
        <is>
          <t>Data Explorer</t>
        </is>
      </c>
      <c r="G2715" s="390" t="inlineStr">
        <is>
          <t>Chiều</t>
        </is>
      </c>
      <c r="H2715" s="390" t="inlineStr">
        <is>
          <t>Dễ</t>
        </is>
      </c>
      <c r="I2715" s="390" t="inlineStr">
        <is>
          <t>Ngày, CTCK</t>
        </is>
      </c>
      <c r="J2715" s="401" t="inlineStr">
        <is>
          <t>SCMS</t>
        </is>
      </c>
      <c r="K2715" s="401" t="inlineStr">
        <is>
          <t>X</t>
        </is>
      </c>
      <c r="L2715" s="401" t="inlineStr">
        <is>
          <t>X</t>
        </is>
      </c>
      <c r="M2715" s="401" t="n"/>
      <c r="N2715" s="401" t="inlineStr">
        <is>
          <t>Pending</t>
        </is>
      </c>
      <c r="O2715" s="401" t="n"/>
      <c r="P2715" s="22" t="n"/>
      <c r="Q2715" s="401" t="n"/>
      <c r="R2715" s="401" t="n"/>
      <c r="S2715" s="22" t="n"/>
      <c r="T2715" s="390" t="n"/>
      <c r="U2715" s="390" t="n"/>
      <c r="V2715" s="22" t="n"/>
      <c r="W2715" s="22" t="n"/>
      <c r="X2715" s="22" t="n"/>
      <c r="Y2715" s="13" t="n"/>
      <c r="Z2715" s="22" t="n"/>
      <c r="AA2715" s="22" t="n"/>
      <c r="AB2715" s="22" t="n"/>
      <c r="AC2715" s="22" t="n"/>
      <c r="AD2715" s="22" t="n"/>
      <c r="AE2715" s="22" t="n"/>
    </row>
    <row r="2716" ht="56" customHeight="1" s="380">
      <c r="A2716" s="139" t="n">
        <v>114</v>
      </c>
      <c r="B2716" s="390" t="n"/>
      <c r="C2716" s="390" t="inlineStr">
        <is>
          <t>Báo cáo giám sát quản trị công ty &gt;&gt; Báo cáo tình hình quản trị công ty - V.VII.1+2</t>
        </is>
      </c>
      <c r="D2716" s="106" t="inlineStr">
        <is>
          <t>Mã chỉ tiêu</t>
        </is>
      </c>
      <c r="E2716" s="107" t="inlineStr">
        <is>
          <t>Mã chỉ tiêu</t>
        </is>
      </c>
      <c r="F2716" s="390" t="inlineStr">
        <is>
          <t>Data Explorer</t>
        </is>
      </c>
      <c r="G2716" s="390" t="inlineStr">
        <is>
          <t>Chiều</t>
        </is>
      </c>
      <c r="H2716" s="390" t="inlineStr">
        <is>
          <t>Dễ</t>
        </is>
      </c>
      <c r="I2716" s="390" t="inlineStr">
        <is>
          <t>Ngày, CTCK</t>
        </is>
      </c>
      <c r="J2716" s="401" t="inlineStr">
        <is>
          <t>SCMS</t>
        </is>
      </c>
      <c r="K2716" s="401" t="inlineStr">
        <is>
          <t>X</t>
        </is>
      </c>
      <c r="L2716" s="401" t="inlineStr">
        <is>
          <t>X</t>
        </is>
      </c>
      <c r="M2716" s="401" t="n"/>
      <c r="N2716" s="401" t="inlineStr">
        <is>
          <t>Pending</t>
        </is>
      </c>
      <c r="O2716" s="401" t="n"/>
      <c r="P2716" s="22" t="n"/>
      <c r="Q2716" s="401" t="n"/>
      <c r="R2716" s="401" t="n"/>
      <c r="S2716" s="22" t="n"/>
      <c r="T2716" s="390" t="n"/>
      <c r="U2716" s="390" t="n"/>
      <c r="V2716" s="22" t="n"/>
      <c r="W2716" s="22" t="n"/>
      <c r="X2716" s="22" t="n"/>
      <c r="Y2716" s="13" t="n"/>
      <c r="Z2716" s="22" t="n"/>
      <c r="AA2716" s="22" t="n"/>
      <c r="AB2716" s="22" t="n"/>
      <c r="AC2716" s="22" t="n"/>
      <c r="AD2716" s="22" t="n"/>
      <c r="AE2716" s="22" t="n"/>
    </row>
    <row r="2717" ht="56" customHeight="1" s="380">
      <c r="A2717" s="139" t="n">
        <v>114</v>
      </c>
      <c r="B2717" s="390" t="n"/>
      <c r="C2717" s="390" t="inlineStr">
        <is>
          <t>Báo cáo giám sát quản trị công ty &gt;&gt; Báo cáo tình hình quản trị công ty - V.VII.1+2</t>
        </is>
      </c>
      <c r="D2717" s="106" t="inlineStr">
        <is>
          <t>Tên chỉ tiêu</t>
        </is>
      </c>
      <c r="E2717" s="107" t="inlineStr">
        <is>
          <t>Tên chỉ tiêu</t>
        </is>
      </c>
      <c r="F2717" s="390" t="inlineStr">
        <is>
          <t>Data Explorer</t>
        </is>
      </c>
      <c r="G2717" s="390" t="inlineStr">
        <is>
          <t>Chiều</t>
        </is>
      </c>
      <c r="H2717" s="390" t="inlineStr">
        <is>
          <t>Dễ</t>
        </is>
      </c>
      <c r="I2717" s="390" t="inlineStr">
        <is>
          <t>Ngày, CTCK</t>
        </is>
      </c>
      <c r="J2717" s="401" t="inlineStr">
        <is>
          <t>SCMS</t>
        </is>
      </c>
      <c r="K2717" s="401" t="inlineStr">
        <is>
          <t>X</t>
        </is>
      </c>
      <c r="L2717" s="401" t="inlineStr">
        <is>
          <t>X</t>
        </is>
      </c>
      <c r="M2717" s="401" t="n"/>
      <c r="N2717" s="401" t="inlineStr">
        <is>
          <t>Pending</t>
        </is>
      </c>
      <c r="O2717" s="401" t="n"/>
      <c r="P2717" s="22" t="n"/>
      <c r="Q2717" s="401" t="n"/>
      <c r="R2717" s="401" t="n"/>
      <c r="S2717" s="22" t="n"/>
      <c r="T2717" s="390" t="n"/>
      <c r="U2717" s="390" t="n"/>
      <c r="V2717" s="22" t="n"/>
      <c r="W2717" s="22" t="n"/>
      <c r="X2717" s="22" t="n"/>
      <c r="Y2717" s="13" t="n"/>
      <c r="Z2717" s="22" t="n"/>
      <c r="AA2717" s="22" t="n"/>
      <c r="AB2717" s="22" t="n"/>
      <c r="AC2717" s="22" t="n"/>
      <c r="AD2717" s="22" t="n"/>
      <c r="AE2717" s="22" t="n"/>
    </row>
    <row r="2718" ht="56" customHeight="1" s="380">
      <c r="A2718" s="139" t="n">
        <v>114</v>
      </c>
      <c r="B2718" s="390" t="n"/>
      <c r="C2718" s="390" t="inlineStr">
        <is>
          <t>Báo cáo giám sát quản trị công ty &gt;&gt; Báo cáo tình hình quản trị công ty - V.VII.1+2</t>
        </is>
      </c>
      <c r="D2718" s="390" t="inlineStr">
        <is>
          <t>Tên CTCK</t>
        </is>
      </c>
      <c r="E2718" s="401" t="inlineStr">
        <is>
          <t>Tên CTCK</t>
        </is>
      </c>
      <c r="F2718" s="390" t="inlineStr">
        <is>
          <t>Data Explorer</t>
        </is>
      </c>
      <c r="G2718" s="390" t="inlineStr">
        <is>
          <t>Chỉ tiêu cơ sở</t>
        </is>
      </c>
      <c r="H2718" s="390" t="inlineStr">
        <is>
          <t>Trùng</t>
        </is>
      </c>
      <c r="I2718" s="390" t="inlineStr">
        <is>
          <t>Ngày, CTCK</t>
        </is>
      </c>
      <c r="J2718" s="401" t="inlineStr">
        <is>
          <t>SCMS</t>
        </is>
      </c>
      <c r="K2718" s="401" t="n"/>
      <c r="L2718" s="401" t="inlineStr">
        <is>
          <t>X</t>
        </is>
      </c>
      <c r="M2718" s="401" t="n"/>
      <c r="N2718" s="401" t="inlineStr">
        <is>
          <t>Done</t>
        </is>
      </c>
      <c r="O2718" s="401" t="n"/>
      <c r="P2718" s="22" t="n"/>
      <c r="Q2718" s="401" t="inlineStr">
        <is>
          <t>CTCK_THONG_TIN</t>
        </is>
      </c>
      <c r="R2718" s="401" t="inlineStr">
        <is>
          <t>TEN_TIENG_VIET</t>
        </is>
      </c>
      <c r="S2718" s="22" t="n"/>
      <c r="T2718" s="389" t="inlineStr">
        <is>
          <t>SELECT a.TEN_TIENG_VIET "Tên CTCK",
a.DIA_CHI "Địa chỉ trụ sở chính",
a.VON_DIEU_LE "Vốn điều lệ",
a.MA_CHUNG_KHOAN "Mã chứng khoán",
a.GIAY_PHEP_KINH_DOANH "Số giấy phép hoạt động",
a.NGAY_CAP_GPKD "Ngày cấp giấy phép hoạt động",
CASE WHEN b.TEN_LOAI_CONG_TY = 'CTCP' THEN 'x' ELSE '' END "Đại hội đồng cổ đông",
CASE WHEN d.NHOM_CHUC_VU = 'HDQT' THEN 'x' ELSE '' END "Hội đồng quản trị",
CASE WHEN LOWER(d.TEN_CHUC_VU) LIKE '%giám đốc%' THEN 'x' ELSE '' END "Tổng giám đốc/giám đốc",
CASE WHEN d.NHOM_CHUC_VU = 'BKS' THEN 'x' ELSE '' END "Ban kiểm soát",
CASE WHEN (b.TEN_LOAI_CONG_TY = 'CTCP' 
         AND d.NHOM_CHUC_VU != 'BKS') OR LOWER(d.TEN_CHUC_VU) LIKE '%ủy ban kiểm toán%'
         THEN 'x' ELSE '' END "Ủy ban kiểm toán",
CASE WHEN LOWER(e.MO_TA) LIKE '%cuộc họp ủy ban kiểm toán%' AND e.LOAI_TIN = 2 THEN 'Đã Thực hiện'
         ELSE 'Chưa thực hiện'
         END "Chức năng kiểm toán nội bộ"        
FROM SCMS.CTCK_THONG_TIN a
LEFT JOIN SCMS.DM_LOAI_CONG_TY b ON a.LOAI_CONG_TY_ID = b.ID 
LEFT JOIN SCMS.CTCK_NHAN_SU_CAO_CAP c ON a.CTCK_THONG_TIN_ID = c.CTCK_THONG_TIN_ID 
LEFT JOIN SCMS.DM_CHUC_VU d ON c.CHUC_VU_ID = d.ID 
LEFT JOIN SCMS.CBTT_BAO_CAO e ON a.ID = e.CTCK_THONG_TIN_ID</t>
        </is>
      </c>
      <c r="U2718" s="390" t="n"/>
      <c r="V2718" s="22" t="n"/>
      <c r="W2718" s="22" t="n"/>
      <c r="X2718" s="22" t="n"/>
      <c r="Y2718" s="38" t="n"/>
      <c r="Z2718" s="22" t="n"/>
      <c r="AA2718" s="22" t="n"/>
      <c r="AB2718" s="22" t="n"/>
      <c r="AC2718" s="22" t="n"/>
      <c r="AD2718" s="22" t="n"/>
      <c r="AE2718" s="22" t="n"/>
    </row>
    <row r="2719" ht="56" customHeight="1" s="380">
      <c r="A2719" s="139" t="n">
        <v>114</v>
      </c>
      <c r="B2719" s="390" t="n"/>
      <c r="C2719" s="390" t="inlineStr">
        <is>
          <t>Báo cáo giám sát quản trị công ty &gt;&gt; Báo cáo tình hình quản trị công ty - V.VII.1+2</t>
        </is>
      </c>
      <c r="D2719" s="390" t="inlineStr">
        <is>
          <t>Địa chỉ trụ sở chính</t>
        </is>
      </c>
      <c r="E2719" s="401" t="inlineStr">
        <is>
          <t>Địa chỉ trụ sở chính</t>
        </is>
      </c>
      <c r="F2719" s="390" t="inlineStr">
        <is>
          <t>Data Explorer</t>
        </is>
      </c>
      <c r="G2719" s="390" t="inlineStr">
        <is>
          <t>Chỉ tiêu cơ sở</t>
        </is>
      </c>
      <c r="H2719" s="390" t="inlineStr">
        <is>
          <t>Trùng</t>
        </is>
      </c>
      <c r="I2719" s="390" t="inlineStr">
        <is>
          <t>Ngày, CTCK</t>
        </is>
      </c>
      <c r="J2719" s="401" t="inlineStr">
        <is>
          <t>SCMS</t>
        </is>
      </c>
      <c r="K2719" s="401" t="n"/>
      <c r="L2719" s="401" t="inlineStr">
        <is>
          <t>X</t>
        </is>
      </c>
      <c r="M2719" s="401" t="n"/>
      <c r="N2719" s="401" t="inlineStr">
        <is>
          <t>Done</t>
        </is>
      </c>
      <c r="O2719" s="401" t="n"/>
      <c r="P2719" s="22" t="n"/>
      <c r="Q2719" s="401" t="inlineStr">
        <is>
          <t>CTCK_THONG_TIN</t>
        </is>
      </c>
      <c r="R2719" s="401" t="inlineStr">
        <is>
          <t>DIA_CHI</t>
        </is>
      </c>
      <c r="S2719" s="22" t="n"/>
      <c r="U2719" s="390" t="n"/>
      <c r="V2719" s="22" t="n"/>
      <c r="W2719" s="22" t="n"/>
      <c r="X2719" s="22" t="n"/>
      <c r="Y2719" s="13" t="n"/>
      <c r="Z2719" s="22" t="n"/>
      <c r="AA2719" s="22" t="n"/>
      <c r="AB2719" s="22" t="n"/>
      <c r="AC2719" s="22" t="n"/>
      <c r="AD2719" s="22" t="n"/>
      <c r="AE2719" s="22" t="n"/>
    </row>
    <row r="2720" ht="56" customHeight="1" s="380">
      <c r="A2720" s="139" t="n">
        <v>114</v>
      </c>
      <c r="B2720" s="390" t="n"/>
      <c r="C2720" s="390" t="inlineStr">
        <is>
          <t>Báo cáo giám sát quản trị công ty &gt;&gt; Báo cáo tình hình quản trị công ty - V.VII.1+2</t>
        </is>
      </c>
      <c r="D2720" s="390" t="inlineStr">
        <is>
          <t>Vốn Điều lệ</t>
        </is>
      </c>
      <c r="E2720" s="401" t="inlineStr">
        <is>
          <t>Vốn Điều lệ</t>
        </is>
      </c>
      <c r="F2720" s="390" t="inlineStr">
        <is>
          <t>Data Explorer</t>
        </is>
      </c>
      <c r="G2720" s="390" t="inlineStr">
        <is>
          <t>Chỉ tiêu cơ sở</t>
        </is>
      </c>
      <c r="H2720" s="390" t="inlineStr">
        <is>
          <t>Trùng</t>
        </is>
      </c>
      <c r="I2720" s="390" t="inlineStr">
        <is>
          <t>Ngày, CTCK</t>
        </is>
      </c>
      <c r="J2720" s="401" t="inlineStr">
        <is>
          <t>SCMS</t>
        </is>
      </c>
      <c r="K2720" s="401" t="n"/>
      <c r="L2720" s="401" t="inlineStr">
        <is>
          <t>X</t>
        </is>
      </c>
      <c r="M2720" s="401" t="n"/>
      <c r="N2720" s="401" t="inlineStr">
        <is>
          <t>Done</t>
        </is>
      </c>
      <c r="O2720" s="401" t="n"/>
      <c r="P2720" s="22" t="n"/>
      <c r="Q2720" s="401" t="inlineStr">
        <is>
          <t>CTCK_THONG_TIN</t>
        </is>
      </c>
      <c r="R2720" s="401" t="inlineStr">
        <is>
          <t>VON_DIEU_LE</t>
        </is>
      </c>
      <c r="S2720" s="22" t="n"/>
      <c r="U2720" s="390" t="n"/>
      <c r="V2720" s="22" t="n"/>
      <c r="W2720" s="22" t="n"/>
      <c r="X2720" s="22" t="n"/>
      <c r="Y2720" s="13" t="n"/>
      <c r="Z2720" s="22" t="n"/>
      <c r="AA2720" s="22" t="n"/>
      <c r="AB2720" s="22" t="n"/>
      <c r="AC2720" s="22" t="n"/>
      <c r="AD2720" s="22" t="n"/>
      <c r="AE2720" s="22" t="n"/>
    </row>
    <row r="2721" ht="56" customHeight="1" s="380">
      <c r="A2721" s="139" t="n">
        <v>114</v>
      </c>
      <c r="B2721" s="390" t="n"/>
      <c r="C2721" s="390" t="inlineStr">
        <is>
          <t>Báo cáo giám sát quản trị công ty &gt;&gt; Báo cáo tình hình quản trị công ty - V.VII.1+2</t>
        </is>
      </c>
      <c r="D2721" s="390" t="inlineStr">
        <is>
          <t>Mã CK</t>
        </is>
      </c>
      <c r="E2721" s="401" t="inlineStr">
        <is>
          <t>Mã CK</t>
        </is>
      </c>
      <c r="F2721" s="390" t="inlineStr">
        <is>
          <t>Data Explorer</t>
        </is>
      </c>
      <c r="G2721" s="390" t="inlineStr">
        <is>
          <t>Chỉ tiêu cơ sở</t>
        </is>
      </c>
      <c r="H2721" s="390" t="inlineStr">
        <is>
          <t>Trùng</t>
        </is>
      </c>
      <c r="I2721" s="390" t="inlineStr">
        <is>
          <t>Ngày, CTCK</t>
        </is>
      </c>
      <c r="J2721" s="401" t="inlineStr">
        <is>
          <t>SCMS</t>
        </is>
      </c>
      <c r="K2721" s="401" t="n"/>
      <c r="L2721" s="401" t="inlineStr">
        <is>
          <t>X</t>
        </is>
      </c>
      <c r="M2721" s="401" t="n"/>
      <c r="N2721" s="401" t="inlineStr">
        <is>
          <t>Done</t>
        </is>
      </c>
      <c r="O2721" s="401" t="n"/>
      <c r="P2721" s="22" t="n"/>
      <c r="Q2721" s="401" t="inlineStr">
        <is>
          <t>CTCK_THONG_TIN</t>
        </is>
      </c>
      <c r="R2721" s="401" t="inlineStr">
        <is>
          <t>MA_CHUNG_KHOAN</t>
        </is>
      </c>
      <c r="S2721" s="22" t="n"/>
      <c r="U2721" s="390" t="n"/>
      <c r="V2721" s="22" t="n"/>
      <c r="W2721" s="22" t="n"/>
      <c r="X2721" s="22" t="n"/>
      <c r="Y2721" s="13" t="n"/>
      <c r="Z2721" s="22" t="n"/>
      <c r="AA2721" s="22" t="n"/>
      <c r="AB2721" s="22" t="n"/>
      <c r="AC2721" s="22" t="n"/>
      <c r="AD2721" s="22" t="n"/>
      <c r="AE2721" s="22" t="n"/>
    </row>
    <row r="2722" ht="56" customHeight="1" s="380">
      <c r="A2722" s="139" t="n">
        <v>114</v>
      </c>
      <c r="B2722" s="390" t="n"/>
      <c r="C2722" s="390" t="inlineStr">
        <is>
          <t>Báo cáo giám sát quản trị công ty &gt;&gt; Báo cáo tình hình quản trị công ty - V.VII.1+2</t>
        </is>
      </c>
      <c r="D2722" s="390" t="inlineStr">
        <is>
          <t>Giấy phép Hoạt động của Chủ tịch UBCKNN cấp lần đầu &gt;&gt; Số</t>
        </is>
      </c>
      <c r="E2722" s="390" t="inlineStr">
        <is>
          <t>Giấy phép Hoạt động của Chủ tịch UBCKNN cấp lần đầu &gt;&gt; Số</t>
        </is>
      </c>
      <c r="F2722" s="390" t="inlineStr">
        <is>
          <t>Data Explorer</t>
        </is>
      </c>
      <c r="G2722" s="390" t="inlineStr">
        <is>
          <t>Chỉ tiêu cơ sở</t>
        </is>
      </c>
      <c r="H2722" s="390" t="inlineStr">
        <is>
          <t>Trùng</t>
        </is>
      </c>
      <c r="I2722" s="390" t="inlineStr">
        <is>
          <t>Ngày, CTCK</t>
        </is>
      </c>
      <c r="J2722" s="401" t="inlineStr">
        <is>
          <t>SCMS</t>
        </is>
      </c>
      <c r="K2722" s="401" t="n"/>
      <c r="L2722" s="401" t="inlineStr">
        <is>
          <t>X</t>
        </is>
      </c>
      <c r="M2722" s="401" t="n"/>
      <c r="N2722" s="401" t="inlineStr">
        <is>
          <t>Done</t>
        </is>
      </c>
      <c r="O2722" s="401" t="n"/>
      <c r="P2722" s="22" t="n"/>
      <c r="Q2722" s="401" t="inlineStr">
        <is>
          <t>CTCK_THONG_TIN</t>
        </is>
      </c>
      <c r="R2722" s="401" t="inlineStr">
        <is>
          <t>GIAY_PHEP_KINH_DOANH</t>
        </is>
      </c>
      <c r="S2722" s="22" t="n"/>
      <c r="U2722" s="390" t="n"/>
      <c r="V2722" s="22" t="n"/>
      <c r="W2722" s="22" t="n"/>
      <c r="X2722" s="22" t="n"/>
      <c r="Y2722" s="13" t="n"/>
      <c r="Z2722" s="22" t="n"/>
      <c r="AA2722" s="22" t="n"/>
      <c r="AB2722" s="22" t="n"/>
      <c r="AC2722" s="22" t="n"/>
      <c r="AD2722" s="22" t="n"/>
      <c r="AE2722" s="22" t="n"/>
    </row>
    <row r="2723" ht="56" customHeight="1" s="380">
      <c r="A2723" s="139" t="n">
        <v>114</v>
      </c>
      <c r="B2723" s="390" t="n"/>
      <c r="C2723" s="390" t="inlineStr">
        <is>
          <t>Báo cáo giám sát quản trị công ty &gt;&gt; Báo cáo tình hình quản trị công ty - V.VII.1+2</t>
        </is>
      </c>
      <c r="D2723" s="390" t="inlineStr">
        <is>
          <t>Giấy phép Hoạt động của Chủ tịch UBCKNN cấp lần đầu &gt;&gt; Ngày cấp</t>
        </is>
      </c>
      <c r="E2723" s="390" t="inlineStr">
        <is>
          <t>Giấy phép Hoạt động của Chủ tịch UBCKNN cấp lần đầu &gt;&gt; Ngày cấp</t>
        </is>
      </c>
      <c r="F2723" s="390" t="inlineStr">
        <is>
          <t>Data Explorer</t>
        </is>
      </c>
      <c r="G2723" s="390" t="inlineStr">
        <is>
          <t>Chỉ tiêu cơ sở</t>
        </is>
      </c>
      <c r="H2723" s="390" t="inlineStr">
        <is>
          <t>Trùng</t>
        </is>
      </c>
      <c r="I2723" s="390" t="inlineStr">
        <is>
          <t>Ngày, CTCK</t>
        </is>
      </c>
      <c r="J2723" s="401" t="inlineStr">
        <is>
          <t>SCMS</t>
        </is>
      </c>
      <c r="K2723" s="401" t="n"/>
      <c r="L2723" s="401" t="inlineStr">
        <is>
          <t>X</t>
        </is>
      </c>
      <c r="M2723" s="401" t="n"/>
      <c r="N2723" s="401" t="inlineStr">
        <is>
          <t>Done</t>
        </is>
      </c>
      <c r="O2723" s="401" t="n"/>
      <c r="P2723" s="22" t="n"/>
      <c r="Q2723" s="401" t="inlineStr">
        <is>
          <t>CTCK_THONG_TIN</t>
        </is>
      </c>
      <c r="R2723" s="401" t="inlineStr">
        <is>
          <t>NGAY_CAP_GPKD</t>
        </is>
      </c>
      <c r="S2723" s="22" t="n"/>
      <c r="U2723" s="390" t="n"/>
      <c r="V2723" s="22" t="n"/>
      <c r="W2723" s="22" t="n"/>
      <c r="X2723" s="22" t="n"/>
      <c r="Y2723" s="13" t="n"/>
      <c r="Z2723" s="22" t="n"/>
      <c r="AA2723" s="22" t="n"/>
      <c r="AB2723" s="22" t="n"/>
      <c r="AC2723" s="22" t="n"/>
      <c r="AD2723" s="22" t="n"/>
      <c r="AE2723" s="22" t="n"/>
    </row>
    <row r="2724" ht="56" customHeight="1" s="380">
      <c r="A2724" s="139" t="n">
        <v>114</v>
      </c>
      <c r="B2724" s="390" t="n"/>
      <c r="C2724" s="390" t="inlineStr">
        <is>
          <t>Báo cáo giám sát quản trị công ty &gt;&gt; Báo cáo tình hình quản trị công ty - V.VII.1+2</t>
        </is>
      </c>
      <c r="D2724" s="390" t="inlineStr">
        <is>
          <t>Đại hội đồng cổ đông</t>
        </is>
      </c>
      <c r="E2724" s="401" t="inlineStr">
        <is>
          <t>Đại hội đồng cổ đông</t>
        </is>
      </c>
      <c r="F2724" s="390" t="inlineStr">
        <is>
          <t>Data Explorer</t>
        </is>
      </c>
      <c r="G2724" s="390" t="inlineStr">
        <is>
          <t>Chỉ tiêu cơ sở</t>
        </is>
      </c>
      <c r="H2724" s="390" t="inlineStr">
        <is>
          <t>Trùng</t>
        </is>
      </c>
      <c r="I2724" s="390" t="inlineStr">
        <is>
          <t>Ngày, CTCK</t>
        </is>
      </c>
      <c r="J2724" s="401" t="inlineStr">
        <is>
          <t>SCMS</t>
        </is>
      </c>
      <c r="K2724" s="401" t="n"/>
      <c r="L2724" s="401" t="inlineStr">
        <is>
          <t>X</t>
        </is>
      </c>
      <c r="M2724" s="401" t="n"/>
      <c r="N2724" s="401" t="inlineStr">
        <is>
          <t>Done</t>
        </is>
      </c>
      <c r="O2724" s="401" t="n"/>
      <c r="P2724" s="22" t="n"/>
      <c r="Q2724" s="401" t="inlineStr">
        <is>
          <t>DM_LOAI_CONG_TY</t>
        </is>
      </c>
      <c r="R2724" s="401" t="inlineStr">
        <is>
          <t>TEN_LOAI_CONG_TY</t>
        </is>
      </c>
      <c r="S2724" s="22" t="n"/>
      <c r="U2724" s="390" t="n"/>
      <c r="V2724" s="22" t="n"/>
      <c r="W2724" s="22" t="n"/>
      <c r="X2724" s="22" t="n"/>
      <c r="Y2724" s="38" t="n"/>
      <c r="Z2724" s="22" t="n"/>
      <c r="AA2724" s="22" t="n"/>
      <c r="AB2724" s="22" t="n"/>
      <c r="AC2724" s="22" t="n"/>
      <c r="AD2724" s="22" t="n"/>
      <c r="AE2724" s="22" t="n"/>
    </row>
    <row r="2725" ht="56" customHeight="1" s="380">
      <c r="A2725" s="139" t="n">
        <v>114</v>
      </c>
      <c r="B2725" s="390" t="n"/>
      <c r="C2725" s="390" t="inlineStr">
        <is>
          <t>Báo cáo giám sát quản trị công ty &gt;&gt; Báo cáo tình hình quản trị công ty - V.VII.1+2</t>
        </is>
      </c>
      <c r="D2725" s="390" t="inlineStr">
        <is>
          <t>Hội đồng quản trị</t>
        </is>
      </c>
      <c r="E2725" s="401" t="inlineStr">
        <is>
          <t>Hội đồng quản trị</t>
        </is>
      </c>
      <c r="F2725" s="390" t="inlineStr">
        <is>
          <t>Data Explorer</t>
        </is>
      </c>
      <c r="G2725" s="390" t="inlineStr">
        <is>
          <t>Chỉ tiêu cơ sở</t>
        </is>
      </c>
      <c r="H2725" s="390" t="inlineStr">
        <is>
          <t>Trùng</t>
        </is>
      </c>
      <c r="I2725" s="390" t="inlineStr">
        <is>
          <t>Ngày, CTCK</t>
        </is>
      </c>
      <c r="J2725" s="401" t="inlineStr">
        <is>
          <t>SCMS</t>
        </is>
      </c>
      <c r="K2725" s="401" t="n"/>
      <c r="L2725" s="401" t="inlineStr">
        <is>
          <t>X</t>
        </is>
      </c>
      <c r="M2725" s="401" t="n"/>
      <c r="N2725" s="401" t="inlineStr">
        <is>
          <t>Done</t>
        </is>
      </c>
      <c r="O2725" s="401" t="n"/>
      <c r="P2725" s="22" t="n"/>
      <c r="Q2725" s="401" t="inlineStr">
        <is>
          <t>DM_CHUC_VU</t>
        </is>
      </c>
      <c r="R2725" s="401" t="inlineStr">
        <is>
          <t>NHOM_CHUC_VU</t>
        </is>
      </c>
      <c r="S2725" s="22" t="n"/>
      <c r="U2725" s="390" t="n"/>
      <c r="V2725" s="22" t="n"/>
      <c r="W2725" s="22" t="n"/>
      <c r="X2725" s="22" t="n"/>
      <c r="Y2725" s="13" t="n"/>
      <c r="Z2725" s="22" t="n"/>
      <c r="AA2725" s="22" t="n"/>
      <c r="AB2725" s="22" t="n"/>
      <c r="AC2725" s="22" t="n"/>
      <c r="AD2725" s="22" t="n"/>
      <c r="AE2725" s="22" t="n"/>
    </row>
    <row r="2726" ht="56" customHeight="1" s="380">
      <c r="A2726" s="139" t="n">
        <v>114</v>
      </c>
      <c r="B2726" s="390" t="n"/>
      <c r="C2726" s="390" t="inlineStr">
        <is>
          <t>Báo cáo giám sát quản trị công ty &gt;&gt; Báo cáo tình hình quản trị công ty - V.VII.1+2</t>
        </is>
      </c>
      <c r="D2726" s="390" t="inlineStr">
        <is>
          <t>Tổng giám đốc/Giám đốc</t>
        </is>
      </c>
      <c r="E2726" s="401" t="inlineStr">
        <is>
          <t>Tổng giám đốc/Giám đốc</t>
        </is>
      </c>
      <c r="F2726" s="390" t="inlineStr">
        <is>
          <t>Data Explorer</t>
        </is>
      </c>
      <c r="G2726" s="390" t="inlineStr">
        <is>
          <t>Chỉ tiêu cơ sở</t>
        </is>
      </c>
      <c r="H2726" s="390" t="inlineStr">
        <is>
          <t>Trùng</t>
        </is>
      </c>
      <c r="I2726" s="390" t="inlineStr">
        <is>
          <t>Ngày, CTCK</t>
        </is>
      </c>
      <c r="J2726" s="401" t="inlineStr">
        <is>
          <t>SCMS</t>
        </is>
      </c>
      <c r="K2726" s="401" t="n"/>
      <c r="L2726" s="401" t="inlineStr">
        <is>
          <t>X</t>
        </is>
      </c>
      <c r="M2726" s="401" t="n"/>
      <c r="N2726" s="401" t="inlineStr">
        <is>
          <t>Done</t>
        </is>
      </c>
      <c r="O2726" s="401" t="n"/>
      <c r="P2726" s="22" t="n"/>
      <c r="Q2726" s="401" t="inlineStr">
        <is>
          <t>DM_CHUC_VU</t>
        </is>
      </c>
      <c r="R2726" s="401" t="inlineStr">
        <is>
          <t>TEN_CHUC_VU</t>
        </is>
      </c>
      <c r="S2726" s="22" t="n"/>
      <c r="U2726" s="390" t="n"/>
      <c r="V2726" s="22" t="n"/>
      <c r="W2726" s="22" t="n"/>
      <c r="X2726" s="22" t="n"/>
      <c r="Y2726" s="13" t="n"/>
      <c r="Z2726" s="22" t="n"/>
      <c r="AA2726" s="22" t="n"/>
      <c r="AB2726" s="22" t="n"/>
      <c r="AC2726" s="22" t="n"/>
      <c r="AD2726" s="22" t="n"/>
      <c r="AE2726" s="22" t="n"/>
    </row>
    <row r="2727" ht="56" customHeight="1" s="380">
      <c r="A2727" s="139" t="n">
        <v>114</v>
      </c>
      <c r="B2727" s="390" t="n"/>
      <c r="C2727" s="390" t="inlineStr">
        <is>
          <t>Báo cáo giám sát quản trị công ty &gt;&gt; Báo cáo tình hình quản trị công ty - V.VII.1+2</t>
        </is>
      </c>
      <c r="D2727" s="390" t="inlineStr">
        <is>
          <t>Ban kiểm soát</t>
        </is>
      </c>
      <c r="E2727" s="401" t="inlineStr">
        <is>
          <t>Ban kiểm soát</t>
        </is>
      </c>
      <c r="F2727" s="390" t="inlineStr">
        <is>
          <t>Data Explorer</t>
        </is>
      </c>
      <c r="G2727" s="390" t="inlineStr">
        <is>
          <t>Chỉ tiêu cơ sở</t>
        </is>
      </c>
      <c r="H2727" s="390" t="inlineStr">
        <is>
          <t>Trùng</t>
        </is>
      </c>
      <c r="I2727" s="390" t="inlineStr">
        <is>
          <t>Ngày, CTCK</t>
        </is>
      </c>
      <c r="J2727" s="401" t="inlineStr">
        <is>
          <t>SCMS</t>
        </is>
      </c>
      <c r="K2727" s="401" t="n"/>
      <c r="L2727" s="401" t="inlineStr">
        <is>
          <t>X</t>
        </is>
      </c>
      <c r="M2727" s="401" t="n"/>
      <c r="N2727" s="401" t="inlineStr">
        <is>
          <t>Done</t>
        </is>
      </c>
      <c r="O2727" s="401" t="n"/>
      <c r="P2727" s="22" t="n"/>
      <c r="Q2727" s="401" t="inlineStr">
        <is>
          <t>DM_CHUC_VU</t>
        </is>
      </c>
      <c r="R2727" s="401" t="inlineStr">
        <is>
          <t>NHOM_CHUC_VU</t>
        </is>
      </c>
      <c r="S2727" s="22" t="n"/>
      <c r="U2727" s="390" t="n"/>
      <c r="V2727" s="22" t="n"/>
      <c r="W2727" s="22" t="n"/>
      <c r="X2727" s="22" t="n"/>
      <c r="Y2727" s="13" t="n"/>
      <c r="Z2727" s="22" t="n"/>
      <c r="AA2727" s="22" t="n"/>
      <c r="AB2727" s="22" t="n"/>
      <c r="AC2727" s="22" t="n"/>
      <c r="AD2727" s="22" t="n"/>
      <c r="AE2727" s="22" t="n"/>
    </row>
    <row r="2728" ht="56" customHeight="1" s="380">
      <c r="A2728" s="139" t="n">
        <v>114</v>
      </c>
      <c r="B2728" s="390" t="n"/>
      <c r="C2728" s="390" t="inlineStr">
        <is>
          <t>Báo cáo giám sát quản trị công ty &gt;&gt; Báo cáo tình hình quản trị công ty - V.VII.1+2</t>
        </is>
      </c>
      <c r="D2728" s="390" t="inlineStr">
        <is>
          <t>Ủy ban kiểm toán</t>
        </is>
      </c>
      <c r="E2728" s="401" t="inlineStr">
        <is>
          <t>Ủy ban kiểm toán</t>
        </is>
      </c>
      <c r="F2728" s="390" t="inlineStr">
        <is>
          <t>Data Explorer</t>
        </is>
      </c>
      <c r="G2728" s="390" t="inlineStr">
        <is>
          <t>Chỉ tiêu cơ sở</t>
        </is>
      </c>
      <c r="H2728" s="390" t="inlineStr">
        <is>
          <t>Trùng</t>
        </is>
      </c>
      <c r="I2728" s="390" t="inlineStr">
        <is>
          <t>Ngày, CTCK</t>
        </is>
      </c>
      <c r="J2728" s="401" t="inlineStr">
        <is>
          <t>SCMS</t>
        </is>
      </c>
      <c r="K2728" s="401" t="n"/>
      <c r="L2728" s="401" t="inlineStr">
        <is>
          <t>X</t>
        </is>
      </c>
      <c r="M2728" s="401" t="n"/>
      <c r="N2728" s="401" t="inlineStr">
        <is>
          <t>Done</t>
        </is>
      </c>
      <c r="O2728" s="401" t="n"/>
      <c r="P2728" s="22" t="n"/>
      <c r="Q2728" s="401" t="inlineStr">
        <is>
          <t>DM_CHUC_VU</t>
        </is>
      </c>
      <c r="R2728" s="401" t="inlineStr">
        <is>
          <t>NHOM_CHUC_VU</t>
        </is>
      </c>
      <c r="S2728" s="22" t="n"/>
      <c r="U2728" s="390" t="n"/>
      <c r="V2728" s="22" t="n"/>
      <c r="W2728" s="22" t="n"/>
      <c r="X2728" s="22" t="n"/>
      <c r="Y2728" s="13" t="n"/>
      <c r="Z2728" s="22" t="n"/>
      <c r="AA2728" s="22" t="n"/>
      <c r="AB2728" s="22" t="n"/>
      <c r="AC2728" s="22" t="n"/>
      <c r="AD2728" s="22" t="n"/>
      <c r="AE2728" s="22" t="n"/>
    </row>
    <row r="2729" ht="56" customHeight="1" s="380">
      <c r="A2729" s="139" t="n">
        <v>114</v>
      </c>
      <c r="B2729" s="390" t="n"/>
      <c r="C2729" s="390" t="inlineStr">
        <is>
          <t>Báo cáo giám sát quản trị công ty &gt;&gt; Báo cáo tình hình quản trị công ty - V.VII.1+2</t>
        </is>
      </c>
      <c r="D2729" s="390" t="inlineStr">
        <is>
          <t>Chức năng kiểm toán nội bộ &gt;&gt; Đã thực hiện</t>
        </is>
      </c>
      <c r="E2729" s="390" t="inlineStr">
        <is>
          <t>Chức năng kiểm toán nội bộ &gt;&gt; Đã thực hiện</t>
        </is>
      </c>
      <c r="F2729" s="390" t="inlineStr">
        <is>
          <t>Data Explorer</t>
        </is>
      </c>
      <c r="G2729" s="390" t="inlineStr">
        <is>
          <t>Chỉ tiêu cơ sở</t>
        </is>
      </c>
      <c r="H2729" s="390" t="inlineStr">
        <is>
          <t>Trùng</t>
        </is>
      </c>
      <c r="I2729" s="390" t="inlineStr">
        <is>
          <t>Ngày, CTCK</t>
        </is>
      </c>
      <c r="J2729" s="401" t="inlineStr">
        <is>
          <t>SCMS</t>
        </is>
      </c>
      <c r="K2729" s="401" t="n"/>
      <c r="L2729" s="401" t="inlineStr">
        <is>
          <t>X</t>
        </is>
      </c>
      <c r="M2729" s="401" t="n"/>
      <c r="N2729" s="401" t="inlineStr">
        <is>
          <t>Done</t>
        </is>
      </c>
      <c r="O2729" s="401" t="n"/>
      <c r="P2729" s="22" t="n"/>
      <c r="Q2729" s="401" t="inlineStr">
        <is>
          <t>CBTT_BAO_CAO</t>
        </is>
      </c>
      <c r="R2729" s="401" t="inlineStr">
        <is>
          <t>MO_TA
LOAI_TIN</t>
        </is>
      </c>
      <c r="S2729" s="390" t="n"/>
      <c r="U2729" s="390" t="inlineStr">
        <is>
          <t>Dựa vào text để lấy dữ liệu</t>
        </is>
      </c>
      <c r="V2729" s="22" t="n"/>
      <c r="W2729" s="22" t="n"/>
      <c r="X2729" s="22" t="n"/>
      <c r="Y2729" s="13" t="n"/>
      <c r="Z2729" s="22" t="n"/>
      <c r="AA2729" s="22" t="n"/>
      <c r="AB2729" s="22" t="n"/>
      <c r="AC2729" s="22" t="n"/>
      <c r="AD2729" s="22" t="n"/>
      <c r="AE2729" s="22" t="n"/>
    </row>
    <row r="2730" ht="56" customHeight="1" s="380">
      <c r="A2730" s="139" t="n">
        <v>114</v>
      </c>
      <c r="B2730" s="390" t="n"/>
      <c r="C2730" s="390" t="inlineStr">
        <is>
          <t>Báo cáo giám sát quản trị công ty &gt;&gt; Báo cáo tình hình quản trị công ty - V.VII.1+2</t>
        </is>
      </c>
      <c r="D2730" s="390" t="inlineStr">
        <is>
          <t>Chức năng kiểm toán nội bộ &gt;&gt; Chưa thực hiện</t>
        </is>
      </c>
      <c r="E2730" s="390" t="inlineStr">
        <is>
          <t>Chức năng kiểm toán nội bộ &gt;&gt; Chưa thực hiện</t>
        </is>
      </c>
      <c r="F2730" s="390" t="inlineStr">
        <is>
          <t>Data Explorer</t>
        </is>
      </c>
      <c r="G2730" s="390" t="inlineStr">
        <is>
          <t>Chỉ tiêu cơ sở</t>
        </is>
      </c>
      <c r="H2730" s="390" t="inlineStr">
        <is>
          <t>Trùng</t>
        </is>
      </c>
      <c r="I2730" s="390" t="inlineStr">
        <is>
          <t>Ngày, CTCK</t>
        </is>
      </c>
      <c r="J2730" s="401" t="inlineStr">
        <is>
          <t>SCMS</t>
        </is>
      </c>
      <c r="K2730" s="401" t="n"/>
      <c r="L2730" s="401" t="inlineStr">
        <is>
          <t>X</t>
        </is>
      </c>
      <c r="M2730" s="401" t="n"/>
      <c r="N2730" s="401" t="inlineStr">
        <is>
          <t>Done</t>
        </is>
      </c>
      <c r="O2730" s="401" t="n"/>
      <c r="P2730" s="22" t="n"/>
      <c r="Q2730" s="401" t="inlineStr">
        <is>
          <t>CBTT_BAO_CAO</t>
        </is>
      </c>
      <c r="R2730" s="401" t="inlineStr">
        <is>
          <t>MO_TA
LOAI_TIN</t>
        </is>
      </c>
      <c r="S2730" s="390" t="n"/>
      <c r="U2730" s="390" t="inlineStr">
        <is>
          <t>Dựa vào text để lấy dữ liệu</t>
        </is>
      </c>
      <c r="V2730" s="22" t="n"/>
      <c r="W2730" s="22" t="n"/>
      <c r="X2730" s="22" t="n"/>
      <c r="Y2730" s="38" t="n"/>
      <c r="Z2730" s="22" t="n"/>
      <c r="AA2730" s="22" t="n"/>
      <c r="AB2730" s="22" t="n"/>
      <c r="AC2730" s="22" t="n"/>
      <c r="AD2730" s="22" t="n"/>
      <c r="AE2730" s="22" t="n"/>
    </row>
    <row r="2731" ht="56" customHeight="1" s="380">
      <c r="A2731" s="139" t="n">
        <v>114</v>
      </c>
      <c r="B2731" s="390" t="n"/>
      <c r="C2731" s="390" t="inlineStr">
        <is>
          <t>Báo cáo giám sát quản trị công ty &gt;&gt; Báo cáo tình hình quản trị công ty - V.VII.1+2</t>
        </is>
      </c>
      <c r="D2731" s="390" t="inlineStr">
        <is>
          <t>Tên tổ chức/Cá nhân</t>
        </is>
      </c>
      <c r="E2731" s="401" t="inlineStr">
        <is>
          <t>Tên tổ chức/Cá nhân</t>
        </is>
      </c>
      <c r="F2731" s="390" t="inlineStr">
        <is>
          <t>Data Explorer</t>
        </is>
      </c>
      <c r="G2731" s="390" t="inlineStr">
        <is>
          <t>Chỉ tiêu cơ sở</t>
        </is>
      </c>
      <c r="H2731" s="390" t="inlineStr">
        <is>
          <t>TB</t>
        </is>
      </c>
      <c r="I2731" s="390" t="inlineStr">
        <is>
          <t>Ngày, CTCK</t>
        </is>
      </c>
      <c r="J2731" s="401" t="inlineStr">
        <is>
          <t>SCMS</t>
        </is>
      </c>
      <c r="K2731" s="401" t="n"/>
      <c r="L2731" s="401" t="inlineStr">
        <is>
          <t>X</t>
        </is>
      </c>
      <c r="M2731" s="401" t="n"/>
      <c r="N2731" s="401" t="inlineStr">
        <is>
          <t>Done</t>
        </is>
      </c>
      <c r="O2731" s="401" t="n"/>
      <c r="P2731" s="22" t="n"/>
      <c r="Q2731" s="401" t="inlineStr">
        <is>
          <t>CTCK_NHAN_SU_CAO_CAP
CTCK_CO_DONG
CTCK_CD_MOI_QUAN_HE
CTCK_NGUOI_HANH_NGHE_CK</t>
        </is>
      </c>
      <c r="R2731" s="401" t="inlineStr">
        <is>
          <t>HO_TEN
TEN_CO_DONG
HO_TEN
HOTEN</t>
        </is>
      </c>
      <c r="S2731" s="22" t="n"/>
      <c r="T2731" s="432" t="inlineStr">
        <is>
          <t>SELECT a.HO_TEN "Tên tổ chức/Cá nhân",
NULL "Tài khoản giao dịch chứng khoán",
b.TEN_CHUC_VU "Chức vụ tại công ty",
a.SO_CMND "Số",
a.NGAY_CAP "Ngày cấp",
a.NOI_CAP "Nơi cấp",
a.DIA_CHI "Địa chỉ trụ sở chính/Địa chỉ liên hệ",
a.NGAY_BAT_DAU_LAM_VIEC "Thời điểm bắt đầu là người có liên quan",
a.NGAY_THOI_VIEC "Thời điểm không còn là người có liên quan",
a.GHI_CHU "Lý do",
b.NHOM_CHUC_VU "Mối liên hệ liên quan với công ty",
MAX(REGEXP_SUBSTR(c.MO_TA, 'Thời điểm giao dịch', 1, 1, NULL, 1)) AS "Thời điểm giao dịch với công ty",
MAX(REGEXP_SUBSTR(c.MO_TA, 'Số nghị quyết/Quyết định', 1, 1, NULL, 1)) AS "Số nghị quyết/Quyết định",
MAX(REGEXP_SUBSTR(c.MO_TA, 'Ngày nghị quyết/Quyết định', 1, 1, NULL, 1)) AS "Ngày nghị quyết/Quyết định",
MAX(REGEXP_SUBSTR(c.MO_TA, 'Nội dung, số lượng, tổng giá trị giao dịch', 1, 1, NULL, 1)) AS "Nội dung, số lượng, tổng giá trị giao dịch",
MAX(REGEXP_SUBSTR(c.MO_TA, 'Ghi chú', 1, 1, NULL, 1)) AS "Ghi chú"
FROM SCMS.CTCK_NHAN_SU_CAO_CAP a
LEFT JOIN SCMS.DM_CHUC_VU b ON a.CHUC_VU_ID = b.ID 
LEFT JOIN SCMS.CBTT_BAO_CAO c ON a.CTCK_THONG_TIN_ID = c.CTCK_THONG_TIN_ID 
GROUP BY a.HO_TEN ,
b.TEN_CHUC_VU ,
a.SO_CMND ,
a.NGAY_CAP ,
a.NOI_CAP ,
a.DIA_CHI ,
a.NGAY_BAT_DAU_LAM_VIEC ,
a.NGAY_THOI_VIEC ,
a.GHI_CHU ,
b.NHOM_CHUC_VU
UNION 
SELECT a.TEN_CO_DONG "Tên tổ chức/Cá nhân",
a.TAI_KHOAN_GD "Tài khoản giao dịch chứng khoán",
c.TEN_CHUC_VU "Chức vụ tại công ty",
a.SO_CMND "Số",
a.NGAY_CAP "Ngày cấp",
a.NOI_CAP "Nơi cấp",
a.DIA_CHI_HIEN_TAI "Địa chỉ trụ sở chính/Địa chỉ liên hệ",
b.NGAY_BAT_DAU_LAM_VIEC "Thời điểm bắt đầu là người có liên quan",
b.NGAY_THOI_VIEC "Thời điểm không còn là người có liên quan",
a.GHI_CHU "Lý do",
c.NHOM_CHUC_VU "Mối liên hệ liên quan với công ty",
MAX(REGEXP_SUBSTR(d.MO_TA, 'Thời điểm giao dịch', 1, 1, NULL, 1)) AS "Thời điểm giao dịch với công ty",
MAX(REGEXP_SUBSTR(d.MO_TA, 'Số nghị quyết/Quyết định', 1, 1, NULL, 1)) AS "Số nghị quyết/Quyết định",
MAX(REGEXP_SUBSTR(d.MO_TA, 'Ngày nghị quyết/Quyết định', 1, 1, NULL, 1)) AS "Ngày nghị quyết/Quyết định",
MAX(REGEXP_SUBSTR(d.MO_TA, 'Nội dung, số lượng, tổng giá trị giao dịch', 1, 1, NULL, 1)) AS "Nội dung, số lượng, tổng giá trị giao dịch",
MAX(REGEXP_SUBSTR(d.MO_TA, 'Ghi chú', 1, 1, NULL, 1)) AS "Ghi chú"
FROM SCMS.CTCK_CO_DONG a
LEFT JOIN SCMS.CTCK_NHAN_SU_CAO_CAP b ON a.CTCK_NHAN_SU_ID = b.ID
LEFT JOIN SCMS.DM_CHUC_VU c ON b.CHUC_VU_ID = c.ID
LEFT JOIN SCMS.CBTT_BAO_CAO d ON a.CTCK_THONG_TIN_ID = d.CTCK_THONG_TIN_ID 
WHERE a.TY_LE_NAM_GIU &gt;= 5
GROUP BY  a.TEN_CO_DONG ,
a.TAI_KHOAN_GD ,
c.TEN_CHUC_VU ,
a.SO_CMND ,
a.NGAY_CAP ,
a.NOI_CAP ,
a.DIA_CHI_HIEN_TAI ,
b.NGAY_BAT_DAU_LAM_VIEC ,
b.NGAY_THOI_VIEC ,
a.GHI_CHU ,
c.NHOM_CHUC_VU
UNION
SELECT CAST(a.HOTEN AS NVARCHAR2(100)) "Tên tổ chức/Cá nhân",
NULL "Tài khoản giao dịch chứng khoán",
CAST(a.CHUCVU AS NVARCHAR2(100)) AS "Chức vụ tại công ty",
CAST(a.SOCMT AS NVARCHAR2(30)) AS "Số",
a.NGAYCAPCMT "Ngày cấp",
CAST(a.NOICAPCMT AS NVARCHAR2(250)) AS "Nơi cấp",
CAST(a.DIACHITHUONGTRU AS NVARCHAR2(500)) AS "Địa chỉ trụ sở chính/Địa chỉ liên hệ",
a.NGAYBATDAU "Thời điểm bắt đầu là người có liên quan",
a.NGAYKETTHUC "Thời điểm không còn là người có liên quan",
NULL "Lý do",
TO_NCHAR('Người hành nghề chứng khoán') "Mối liên hệ liên quan với công ty",
MAX(REGEXP_SUBSTR(c.MO_TA, 'Thời điểm giao dịch', 1, 1, NULL, 1)) AS "Thời điểm giao dịch với công ty",
MAX(REGEXP_SUBSTR(c.MO_TA, 'Số nghị quyết/Quyết định', 1, 1, NULL, 1)) AS "Số nghị quyết/Quyết định",
MAX(REGEXP_SUBSTR(c.MO_TA, 'Ngày nghị quyết/Quyết định', 1, 1, NULL, 1)) AS "Ngày nghị quyết/Quyết định",
MAX(REGEXP_SUBSTR(c.MO_TA, 'Nội dung, số lượng, tổng giá trị giao dịch', 1, 1, NULL, 1)) AS "Nội dung, số lượng, tổng giá trị giao dịch",
MAX(REGEXP_SUBSTR(c.MO_TA, 'Ghi chú', 1, 1, NULL, 1)) AS "Ghi chú"
FROM SCMS.CTCK_NGUOI_HANH_NGHE_CK a
LEFT JOIN SCMS.CTCK_THONG_TIN b ON a.CTCK_THONG_TIN_ID = b.ID 
LEFT JOIN SCMS.CBTT_BAO_CAO c ON a.CTCK_THONG_TIN_ID = c.CTCK_THONG_TIN_ID 
GROUP BY CAST(a.HOTEN AS NVARCHAR2(100)) ,
CAST(a.CHUCVU AS NVARCHAR2(100)),
CAST(a.SOCMT AS NVARCHAR2(30)) ,
a.NGAYCAPCMT ,
CAST(a.NOICAPCMT AS NVARCHAR2(250)),
CAST(a.DIACHITHUONGTRU AS NVARCHAR2(500)),
a.NGAYBATDAU ,
a.NGAYKETTHUC ,
TO_NCHAR('Người hành nghề chứng khoán')
UNION
SELECT a.HO_TEN AS "Tên tổ chức/Cá nhân",
NULL AS "Tài khoản giao dịch chứng khoán",
CASE WHEN a.NOI_LAM_VIEC = c.TEN_TIENG_VIET THEN a.VI_TRI_CONG_VIEC ELSE NULL END AS "Chức vụ tại công ty",
CAST(a.SO_CMND AS NVARCHAR2(30)) AS "Số",
a.NGAY_CAP AS "Ngày cấp",
a.NOI_CAP AS "Nơi cấp",
NULL AS "Địa chỉ trụ sở chính/Địa chỉ liên hệ",
NULL AS "Thời điểm bắt đầu là người có liên quan",
NULL AS "Thời điểm không còn là người có liên quan",
NULL AS "Lý do",
TO_NCHAR('Người có liên quan của người nội bộ công ty') AS "Mối liên hệ liên quan với công ty",
MAX(REGEXP_SUBSTR(d.MO_TA, 'Thời điểm giao dịch', 1, 1, NULL, 1)) AS "Thời điểm giao dịch với công ty",
MAX(REGEXP_SUBSTR(d.MO_TA, 'Số nghị quyết/Quyết định', 1, 1, NULL, 1)) AS "Số nghị quyết/Quyết định",
MAX(REGEXP_SUBSTR(d.MO_TA, 'Ngày nghị quyết/Quyết định', 1, 1, NULL, 1)) AS "Ngày nghị quyết/Quyết định",
MAX(REGEXP_SUBSTR(d.MO_TA, 'Nội dung, số lượng, tổng giá trị giao dịch', 1, 1, NULL, 1)) AS "Nội dung, số lượng, tổng giá trị giao dịch",
MAX(REGEXP_SUBSTR(d.MO_TA, 'Ghi chú', 1, 1, NULL, 1)) AS "Ghi chú"
FROM SCMS.CTCK_CD_MOI_QUAN_HE a
LEFT JOIN SCMS.CTCK_CO_DONG b ON a.CTCK_CO_DONG_ID = b.ID 
LEFT JOIN SCMS.CTCK_THONG_TIN c ON a.CTCK_THONG_TIN_ID = c.ID
LEFT JOIN SCMS.CBTT_BAO_CAO d ON a.CTCK_THONG_TIN_ID = d.CTCK_THONG_TIN_ID 
WHERE b.TY_LE_NAM_GIU &gt;= 5
GROUP BY a.HO_TEN ,
CASE WHEN a.NOI_LAM_VIEC = c.TEN_TIENG_VIET THEN a.VI_TRI_CONG_VIEC ELSE NULL END ,
CAST(a.SO_CMND AS NVARCHAR2(30)) ,
a.NGAY_CAP,
a.NOI_CAP ,
TO_NCHAR('Người có liên quan của người nội bộ công ty')</t>
        </is>
      </c>
      <c r="U2731" s="390" t="n"/>
      <c r="V2731" s="22" t="n"/>
      <c r="W2731" s="22" t="n"/>
      <c r="X2731" s="22" t="n"/>
      <c r="Y2731" s="13" t="n"/>
      <c r="Z2731" s="22" t="n"/>
      <c r="AA2731" s="22" t="n"/>
      <c r="AB2731" s="22" t="n"/>
      <c r="AC2731" s="22" t="n"/>
      <c r="AD2731" s="22" t="n"/>
      <c r="AE2731" s="22" t="n"/>
    </row>
    <row r="2732" ht="56" customHeight="1" s="380">
      <c r="A2732" s="139" t="n">
        <v>114</v>
      </c>
      <c r="B2732" s="390" t="n"/>
      <c r="C2732" s="390" t="inlineStr">
        <is>
          <t>Báo cáo giám sát quản trị công ty &gt;&gt; Báo cáo tình hình quản trị công ty - V.VII.1+2</t>
        </is>
      </c>
      <c r="D2732" s="390" t="inlineStr">
        <is>
          <t>Tài khoản giao dịch chứng khoán (nếu có)</t>
        </is>
      </c>
      <c r="E2732" s="401" t="inlineStr">
        <is>
          <t>Tài khoản giao dịch chứng khoán (nếu có)</t>
        </is>
      </c>
      <c r="F2732" s="390" t="inlineStr">
        <is>
          <t>Data Explorer</t>
        </is>
      </c>
      <c r="G2732" s="390" t="inlineStr">
        <is>
          <t>Chỉ tiêu cơ sở</t>
        </is>
      </c>
      <c r="H2732" s="390" t="inlineStr">
        <is>
          <t>TB</t>
        </is>
      </c>
      <c r="I2732" s="390" t="inlineStr">
        <is>
          <t>Ngày, CTCK</t>
        </is>
      </c>
      <c r="J2732" s="401" t="inlineStr">
        <is>
          <t>SCMS</t>
        </is>
      </c>
      <c r="K2732" s="401" t="n"/>
      <c r="L2732" s="401" t="inlineStr">
        <is>
          <t>X</t>
        </is>
      </c>
      <c r="M2732" s="401" t="n"/>
      <c r="N2732" s="401" t="inlineStr">
        <is>
          <t>Done</t>
        </is>
      </c>
      <c r="O2732" s="401" t="n"/>
      <c r="P2732" s="22" t="n"/>
      <c r="Q2732" s="401" t="inlineStr">
        <is>
          <t>CTCK_CO_DONG</t>
        </is>
      </c>
      <c r="R2732" s="401" t="inlineStr">
        <is>
          <t>TAI_KHOAN_GD</t>
        </is>
      </c>
      <c r="S2732" s="22" t="n"/>
      <c r="U2732" s="390" t="n"/>
      <c r="V2732" s="22" t="n"/>
      <c r="W2732" s="22" t="n"/>
      <c r="X2732" s="22" t="n"/>
      <c r="Y2732" s="13" t="n"/>
      <c r="Z2732" s="22" t="n"/>
      <c r="AA2732" s="22" t="n"/>
      <c r="AB2732" s="22" t="n"/>
      <c r="AC2732" s="22" t="n"/>
      <c r="AD2732" s="22" t="n"/>
      <c r="AE2732" s="22" t="n"/>
    </row>
    <row r="2733" ht="56" customHeight="1" s="380">
      <c r="A2733" s="139" t="n">
        <v>114</v>
      </c>
      <c r="B2733" s="390" t="n"/>
      <c r="C2733" s="390" t="inlineStr">
        <is>
          <t>Báo cáo giám sát quản trị công ty &gt;&gt; Báo cáo tình hình quản trị công ty - V.VII.1+2</t>
        </is>
      </c>
      <c r="D2733" s="390" t="inlineStr">
        <is>
          <t>Chức vụ tại công ty (nếu có)</t>
        </is>
      </c>
      <c r="E2733" s="401" t="inlineStr">
        <is>
          <t>Chức vụ tại công ty (nếu có)</t>
        </is>
      </c>
      <c r="F2733" s="390" t="inlineStr">
        <is>
          <t>Data Explorer</t>
        </is>
      </c>
      <c r="G2733" s="390" t="inlineStr">
        <is>
          <t>Chỉ tiêu cơ sở</t>
        </is>
      </c>
      <c r="H2733" s="390" t="inlineStr">
        <is>
          <t>TB</t>
        </is>
      </c>
      <c r="I2733" s="390" t="inlineStr">
        <is>
          <t>Ngày, CTCK</t>
        </is>
      </c>
      <c r="J2733" s="401" t="inlineStr">
        <is>
          <t>SCMS</t>
        </is>
      </c>
      <c r="K2733" s="401" t="n"/>
      <c r="L2733" s="401" t="inlineStr">
        <is>
          <t>X</t>
        </is>
      </c>
      <c r="M2733" s="401" t="n"/>
      <c r="N2733" s="401" t="inlineStr">
        <is>
          <t>Done</t>
        </is>
      </c>
      <c r="O2733" s="401" t="n"/>
      <c r="P2733" s="22" t="n"/>
      <c r="Q2733" s="401" t="inlineStr">
        <is>
          <t>DM_CHUC_VU
CTCK_CD_MOI_QUAN_HE
CTCK_NGUOI_HANH_NGHE_CK</t>
        </is>
      </c>
      <c r="R2733" s="401" t="inlineStr">
        <is>
          <t>TEN_CHUC_VU
VI_TRI_CONG_VIEC
CHUCVU</t>
        </is>
      </c>
      <c r="S2733" s="22" t="n"/>
      <c r="U2733" s="390" t="n"/>
      <c r="V2733" s="22" t="n"/>
      <c r="W2733" s="22" t="n"/>
      <c r="X2733" s="22" t="n"/>
      <c r="Y2733" s="13" t="n"/>
      <c r="Z2733" s="22" t="n"/>
      <c r="AA2733" s="22" t="n"/>
      <c r="AB2733" s="22" t="n"/>
      <c r="AC2733" s="22" t="n"/>
      <c r="AD2733" s="22" t="n"/>
      <c r="AE2733" s="22" t="n"/>
    </row>
    <row r="2734" ht="112" customHeight="1" s="380">
      <c r="A2734" s="139" t="n">
        <v>114</v>
      </c>
      <c r="B2734" s="390" t="n"/>
      <c r="C2734" s="390" t="inlineStr">
        <is>
          <t>Báo cáo giám sát quản trị công ty &gt;&gt; Báo cáo tình hình quản trị công ty - V.VII.1+2</t>
        </is>
      </c>
      <c r="D2734" s="390" t="inlineStr">
        <is>
          <t>Giấy NSH (số CMND/Hộ chiếu (đối với cá nhân) hoặc Số Giấy chứng nhận đăng ký doanh nghiệp, Giấy phép hoạt động hoặc giấy tờ pháp lý tương đương (đối với tổ chức)) &gt;&gt; Số</t>
        </is>
      </c>
      <c r="E2734" s="390" t="inlineStr">
        <is>
          <t>Giấy NSH (số CMND/Hộ chiếu (đối với cá nhân) hoặc Số Giấy chứng nhận đăng ký doanh nghiệp, Giấy phép hoạt động hoặc giấy tờ pháp lý tương đương (đối với tổ chức)) &gt;&gt; Số</t>
        </is>
      </c>
      <c r="F2734" s="390" t="inlineStr">
        <is>
          <t>Data Explorer</t>
        </is>
      </c>
      <c r="G2734" s="390" t="inlineStr">
        <is>
          <t>Chỉ tiêu cơ sở</t>
        </is>
      </c>
      <c r="H2734" s="390" t="inlineStr">
        <is>
          <t>TB</t>
        </is>
      </c>
      <c r="I2734" s="390" t="inlineStr">
        <is>
          <t>Ngày, CTCK</t>
        </is>
      </c>
      <c r="J2734" s="401" t="inlineStr">
        <is>
          <t>SCMS</t>
        </is>
      </c>
      <c r="K2734" s="401" t="n"/>
      <c r="L2734" s="401" t="inlineStr">
        <is>
          <t>X</t>
        </is>
      </c>
      <c r="M2734" s="401" t="n"/>
      <c r="N2734" s="401" t="inlineStr">
        <is>
          <t>Done</t>
        </is>
      </c>
      <c r="O2734" s="401" t="n"/>
      <c r="P2734" s="22" t="n"/>
      <c r="Q2734" s="401" t="inlineStr">
        <is>
          <t>CTCK_NHAN_SU_CAO_CAP
CTCK_CO_DONG
CTCK_CD_MOI_QUAN_HE
CTCK_NGUOI_HANH_NGHE_CK</t>
        </is>
      </c>
      <c r="R2734" s="401" t="inlineStr">
        <is>
          <t>SO_CMND
SOCMT</t>
        </is>
      </c>
      <c r="S2734" s="22" t="n"/>
      <c r="U2734" s="390" t="n"/>
      <c r="V2734" s="22" t="n"/>
      <c r="W2734" s="22" t="n"/>
      <c r="X2734" s="22" t="n"/>
      <c r="Y2734" s="13" t="n"/>
      <c r="Z2734" s="22" t="n"/>
      <c r="AA2734" s="22" t="n"/>
      <c r="AB2734" s="22" t="n"/>
      <c r="AC2734" s="22" t="n"/>
      <c r="AD2734" s="22" t="n"/>
      <c r="AE2734" s="22" t="n"/>
    </row>
    <row r="2735" ht="112" customHeight="1" s="380">
      <c r="A2735" s="139" t="n">
        <v>114</v>
      </c>
      <c r="B2735" s="390" t="n"/>
      <c r="C2735" s="390" t="inlineStr">
        <is>
          <t>Báo cáo giám sát quản trị công ty &gt;&gt; Báo cáo tình hình quản trị công ty - V.VII.1+2</t>
        </is>
      </c>
      <c r="D2735" s="390" t="inlineStr">
        <is>
          <t>Giấy NSH (số CMND/Hộ chiếu (đối với cá nhân) hoặc Số Giấy chứng nhận đăng ký doanh nghiệp, Giấy phép hoạt động hoặc giấy tờ pháp lý tương đương (đối với tổ chức)) &gt;&gt; Ngày cấp</t>
        </is>
      </c>
      <c r="E2735" s="390" t="inlineStr">
        <is>
          <t>Giấy NSH (số CMND/Hộ chiếu (đối với cá nhân) hoặc Số Giấy chứng nhận đăng ký doanh nghiệp, Giấy phép hoạt động hoặc giấy tờ pháp lý tương đương (đối với tổ chức)) &gt;&gt; Ngày cấp</t>
        </is>
      </c>
      <c r="F2735" s="390" t="inlineStr">
        <is>
          <t>Data Explorer</t>
        </is>
      </c>
      <c r="G2735" s="390" t="inlineStr">
        <is>
          <t>Chỉ tiêu cơ sở</t>
        </is>
      </c>
      <c r="H2735" s="390" t="inlineStr">
        <is>
          <t>TB</t>
        </is>
      </c>
      <c r="I2735" s="390" t="inlineStr">
        <is>
          <t>Ngày, CTCK</t>
        </is>
      </c>
      <c r="J2735" s="401" t="inlineStr">
        <is>
          <t>SCMS</t>
        </is>
      </c>
      <c r="K2735" s="401" t="n"/>
      <c r="L2735" s="401" t="inlineStr">
        <is>
          <t>X</t>
        </is>
      </c>
      <c r="M2735" s="401" t="n"/>
      <c r="N2735" s="401" t="inlineStr">
        <is>
          <t>Done</t>
        </is>
      </c>
      <c r="O2735" s="401" t="n"/>
      <c r="P2735" s="22" t="n"/>
      <c r="Q2735" s="401" t="inlineStr">
        <is>
          <t>CTCK_NHAN_SU_CAO_CAP
CTCK_CO_DONG
CTCK_CD_MOI_QUAN_HE
CTCK_NGUOI_HANH_NGHE_CK</t>
        </is>
      </c>
      <c r="R2735" s="401" t="inlineStr">
        <is>
          <t>NGAY_CAP
NGAYCAPCMT</t>
        </is>
      </c>
      <c r="S2735" s="22" t="n"/>
      <c r="U2735" s="390" t="n"/>
      <c r="V2735" s="22" t="n"/>
      <c r="W2735" s="22" t="n"/>
      <c r="X2735" s="22" t="n"/>
      <c r="Y2735" s="13" t="n"/>
      <c r="Z2735" s="22" t="n"/>
      <c r="AA2735" s="22" t="n"/>
      <c r="AB2735" s="22" t="n"/>
      <c r="AC2735" s="22" t="n"/>
      <c r="AD2735" s="22" t="n"/>
      <c r="AE2735" s="22" t="n"/>
    </row>
    <row r="2736" ht="112" customHeight="1" s="380">
      <c r="A2736" s="139" t="n">
        <v>114</v>
      </c>
      <c r="B2736" s="390" t="n"/>
      <c r="C2736" s="390" t="inlineStr">
        <is>
          <t>Báo cáo giám sát quản trị công ty &gt;&gt; Báo cáo tình hình quản trị công ty - V.VII.1+2</t>
        </is>
      </c>
      <c r="D2736" s="390" t="inlineStr">
        <is>
          <t>Giấy NSH (số CMND/Hộ chiếu (đối với cá nhân) hoặc Số Giấy chứng nhận đăng ký doanh nghiệp, Giấy phép hoạt động hoặc giấy tờ pháp lý tương đương (đối với tổ chức)) &gt;&gt; Nơi cấp</t>
        </is>
      </c>
      <c r="E2736" s="390" t="inlineStr">
        <is>
          <t>Giấy NSH (số CMND/Hộ chiếu (đối với cá nhân) hoặc Số Giấy chứng nhận đăng ký doanh nghiệp, Giấy phép hoạt động hoặc giấy tờ pháp lý tương đương (đối với tổ chức)) &gt;&gt; Nơi cấp</t>
        </is>
      </c>
      <c r="F2736" s="390" t="inlineStr">
        <is>
          <t>Data Explorer</t>
        </is>
      </c>
      <c r="G2736" s="390" t="inlineStr">
        <is>
          <t>Chỉ tiêu cơ sở</t>
        </is>
      </c>
      <c r="H2736" s="390" t="inlineStr">
        <is>
          <t>TB</t>
        </is>
      </c>
      <c r="I2736" s="390" t="inlineStr">
        <is>
          <t>Ngày, CTCK</t>
        </is>
      </c>
      <c r="J2736" s="401" t="inlineStr">
        <is>
          <t>SCMS</t>
        </is>
      </c>
      <c r="K2736" s="401" t="n"/>
      <c r="L2736" s="401" t="inlineStr">
        <is>
          <t>X</t>
        </is>
      </c>
      <c r="M2736" s="401" t="n"/>
      <c r="N2736" s="401" t="inlineStr">
        <is>
          <t>Done</t>
        </is>
      </c>
      <c r="O2736" s="401" t="n"/>
      <c r="P2736" s="22" t="n"/>
      <c r="Q2736" s="401" t="inlineStr">
        <is>
          <t>CTCK_NHAN_SU_CAO_CAP
CTCK_CO_DONG
CTCK_CD_MOI_QUAN_HE
CTCK_NGUOI_HANH_NGHE_CK</t>
        </is>
      </c>
      <c r="R2736" s="401" t="inlineStr">
        <is>
          <t>NOI_CAP
NOICAPCMT</t>
        </is>
      </c>
      <c r="S2736" s="22" t="n"/>
      <c r="U2736" s="390" t="n"/>
      <c r="V2736" s="22" t="n"/>
      <c r="W2736" s="22" t="n"/>
      <c r="X2736" s="22" t="n"/>
      <c r="Y2736" s="14" t="n"/>
      <c r="Z2736" s="22" t="n"/>
      <c r="AA2736" s="22" t="n"/>
      <c r="AB2736" s="22" t="n"/>
      <c r="AC2736" s="22" t="n"/>
      <c r="AD2736" s="22" t="n"/>
      <c r="AE2736" s="22" t="n"/>
    </row>
    <row r="2737" ht="56" customHeight="1" s="380">
      <c r="A2737" s="139" t="n">
        <v>114</v>
      </c>
      <c r="B2737" s="390" t="n"/>
      <c r="C2737" s="390" t="inlineStr">
        <is>
          <t>Báo cáo giám sát quản trị công ty &gt;&gt; Báo cáo tình hình quản trị công ty - V.VII.1+2</t>
        </is>
      </c>
      <c r="D2737" s="390" t="inlineStr">
        <is>
          <t>Địa chỉ trụ sở chính/ Địa chỉ liên hệ</t>
        </is>
      </c>
      <c r="E2737" s="401" t="inlineStr">
        <is>
          <t>Địa chỉ trụ sở chính/ Địa chỉ liên hệ</t>
        </is>
      </c>
      <c r="F2737" s="390" t="inlineStr">
        <is>
          <t>Data Explorer</t>
        </is>
      </c>
      <c r="G2737" s="390" t="inlineStr">
        <is>
          <t>Chỉ tiêu cơ sở</t>
        </is>
      </c>
      <c r="H2737" s="390" t="inlineStr">
        <is>
          <t>TB</t>
        </is>
      </c>
      <c r="I2737" s="390" t="inlineStr">
        <is>
          <t>Ngày, CTCK</t>
        </is>
      </c>
      <c r="J2737" s="401" t="inlineStr">
        <is>
          <t>SCMS</t>
        </is>
      </c>
      <c r="K2737" s="401" t="n"/>
      <c r="L2737" s="401" t="inlineStr">
        <is>
          <t>X</t>
        </is>
      </c>
      <c r="M2737" s="401" t="n"/>
      <c r="N2737" s="401" t="inlineStr">
        <is>
          <t>Done</t>
        </is>
      </c>
      <c r="O2737" s="401" t="n"/>
      <c r="P2737" s="22" t="n"/>
      <c r="Q2737" s="401" t="inlineStr">
        <is>
          <t>CTCK_NHAN_SU_CAO_CAP
CTCK_CO_DONG
CTCK_NGUOI_HANH_NGHE_CK</t>
        </is>
      </c>
      <c r="R2737" s="401" t="inlineStr">
        <is>
          <t>DIA_CHI
DIACHITHUONGTRU</t>
        </is>
      </c>
      <c r="S2737" s="22" t="n"/>
      <c r="U2737" s="390" t="n"/>
      <c r="V2737" s="22" t="n"/>
      <c r="W2737" s="22" t="n"/>
      <c r="X2737" s="22" t="n"/>
      <c r="Y2737" s="13" t="n"/>
      <c r="Z2737" s="22" t="n"/>
      <c r="AA2737" s="22" t="n"/>
      <c r="AB2737" s="22" t="n"/>
      <c r="AC2737" s="22" t="n"/>
      <c r="AD2737" s="22" t="n"/>
      <c r="AE2737" s="22" t="n"/>
    </row>
    <row r="2738" ht="56" customHeight="1" s="380">
      <c r="A2738" s="139" t="n">
        <v>114</v>
      </c>
      <c r="B2738" s="390" t="n"/>
      <c r="C2738" s="390" t="inlineStr">
        <is>
          <t>Báo cáo giám sát quản trị công ty &gt;&gt; Báo cáo tình hình quản trị công ty - V.VII.1+2</t>
        </is>
      </c>
      <c r="D2738" s="390" t="inlineStr">
        <is>
          <t>Thời điểm bắt đầu là người có liên quan</t>
        </is>
      </c>
      <c r="E2738" s="401" t="inlineStr">
        <is>
          <t>Thời điểm bắt đầu là người có liên quan</t>
        </is>
      </c>
      <c r="F2738" s="390" t="inlineStr">
        <is>
          <t>Data Explorer</t>
        </is>
      </c>
      <c r="G2738" s="390" t="inlineStr">
        <is>
          <t>Chỉ tiêu cơ sở</t>
        </is>
      </c>
      <c r="H2738" s="390" t="inlineStr">
        <is>
          <t>TB</t>
        </is>
      </c>
      <c r="I2738" s="390" t="inlineStr">
        <is>
          <t>Ngày, CTCK</t>
        </is>
      </c>
      <c r="J2738" s="401" t="inlineStr">
        <is>
          <t>SCMS</t>
        </is>
      </c>
      <c r="K2738" s="401" t="n"/>
      <c r="L2738" s="401" t="inlineStr">
        <is>
          <t>X</t>
        </is>
      </c>
      <c r="M2738" s="401" t="n"/>
      <c r="N2738" s="401" t="inlineStr">
        <is>
          <t>Done</t>
        </is>
      </c>
      <c r="O2738" s="401" t="n"/>
      <c r="P2738" s="22" t="n"/>
      <c r="Q2738" s="401" t="inlineStr">
        <is>
          <t>CTCK_NHAN_SU_CAO_CAP
CTCK_CO_DONG
CTCK_NGUOI_HANH_NGHE_CK</t>
        </is>
      </c>
      <c r="R2738" s="401" t="inlineStr">
        <is>
          <t>NGAY_BAT_DAU_LAM_VIEC
NGAYBATDAU</t>
        </is>
      </c>
      <c r="S2738" s="22" t="n"/>
      <c r="U2738" s="390" t="n"/>
      <c r="V2738" s="22" t="n"/>
      <c r="W2738" s="22" t="n"/>
      <c r="X2738" s="22" t="n"/>
      <c r="Y2738" s="13" t="n"/>
      <c r="Z2738" s="22" t="n"/>
      <c r="AA2738" s="22" t="n"/>
      <c r="AB2738" s="22" t="n"/>
      <c r="AC2738" s="22" t="n"/>
      <c r="AD2738" s="22" t="n"/>
      <c r="AE2738" s="22" t="n"/>
    </row>
    <row r="2739" ht="56" customHeight="1" s="380">
      <c r="A2739" s="139" t="n">
        <v>114</v>
      </c>
      <c r="B2739" s="390" t="n"/>
      <c r="C2739" s="390" t="inlineStr">
        <is>
          <t>Báo cáo giám sát quản trị công ty &gt;&gt; Báo cáo tình hình quản trị công ty - V.VII.1+2</t>
        </is>
      </c>
      <c r="D2739" s="390" t="inlineStr">
        <is>
          <t>Thời điểm không còn là người có liên quan</t>
        </is>
      </c>
      <c r="E2739" s="401" t="inlineStr">
        <is>
          <t>Thời điểm không còn là người có liên quan</t>
        </is>
      </c>
      <c r="F2739" s="390" t="inlineStr">
        <is>
          <t>Data Explorer</t>
        </is>
      </c>
      <c r="G2739" s="390" t="inlineStr">
        <is>
          <t>Chỉ tiêu cơ sở</t>
        </is>
      </c>
      <c r="H2739" s="390" t="inlineStr">
        <is>
          <t>TB</t>
        </is>
      </c>
      <c r="I2739" s="390" t="inlineStr">
        <is>
          <t>Ngày, CTCK</t>
        </is>
      </c>
      <c r="J2739" s="401" t="inlineStr">
        <is>
          <t>SCMS</t>
        </is>
      </c>
      <c r="K2739" s="401" t="n"/>
      <c r="L2739" s="401" t="inlineStr">
        <is>
          <t>X</t>
        </is>
      </c>
      <c r="M2739" s="401" t="n"/>
      <c r="N2739" s="401" t="inlineStr">
        <is>
          <t>Done</t>
        </is>
      </c>
      <c r="O2739" s="401" t="n"/>
      <c r="P2739" s="22" t="n"/>
      <c r="Q2739" s="401" t="inlineStr">
        <is>
          <t>CTCK_NHAN_SU_CAO_CAP
CTCK_CO_DONG
CTCK_NGUOI_HANH_NGHE_CK</t>
        </is>
      </c>
      <c r="R2739" s="401" t="inlineStr">
        <is>
          <t>NGAY_THOI_VIEC
NGAYKETTHUC</t>
        </is>
      </c>
      <c r="S2739" s="22" t="n"/>
      <c r="U2739" s="390" t="n"/>
      <c r="V2739" s="22" t="n"/>
      <c r="W2739" s="22" t="n"/>
      <c r="X2739" s="22" t="n"/>
      <c r="Y2739" s="13" t="n"/>
      <c r="Z2739" s="22" t="n"/>
      <c r="AA2739" s="22" t="n"/>
      <c r="AB2739" s="22" t="n"/>
      <c r="AC2739" s="22" t="n"/>
      <c r="AD2739" s="22" t="n"/>
      <c r="AE2739" s="22" t="n"/>
    </row>
    <row r="2740" ht="56" customHeight="1" s="380">
      <c r="A2740" s="139" t="n">
        <v>114</v>
      </c>
      <c r="B2740" s="390" t="n"/>
      <c r="C2740" s="390" t="inlineStr">
        <is>
          <t>Báo cáo giám sát quản trị công ty &gt;&gt; Báo cáo tình hình quản trị công ty - V.VII.1+2</t>
        </is>
      </c>
      <c r="D2740" s="390" t="inlineStr">
        <is>
          <t>Lý do</t>
        </is>
      </c>
      <c r="E2740" s="401" t="inlineStr">
        <is>
          <t>Lý do</t>
        </is>
      </c>
      <c r="F2740" s="390" t="inlineStr">
        <is>
          <t>Data Explorer</t>
        </is>
      </c>
      <c r="G2740" s="390" t="inlineStr">
        <is>
          <t>Chỉ tiêu cơ sở</t>
        </is>
      </c>
      <c r="H2740" s="390" t="inlineStr">
        <is>
          <t>TB</t>
        </is>
      </c>
      <c r="I2740" s="390" t="inlineStr">
        <is>
          <t>Ngày, CTCK</t>
        </is>
      </c>
      <c r="J2740" s="401" t="inlineStr">
        <is>
          <t>SCMS</t>
        </is>
      </c>
      <c r="K2740" s="401" t="n"/>
      <c r="L2740" s="401" t="inlineStr">
        <is>
          <t>X</t>
        </is>
      </c>
      <c r="M2740" s="401" t="n"/>
      <c r="N2740" s="401" t="inlineStr">
        <is>
          <t>Done</t>
        </is>
      </c>
      <c r="O2740" s="401" t="n"/>
      <c r="P2740" s="22" t="n"/>
      <c r="Q2740" s="401" t="inlineStr">
        <is>
          <t>CTCK_NHAN_SU_CAO_CAP
CTCK_CO_DONG</t>
        </is>
      </c>
      <c r="R2740" s="401" t="inlineStr">
        <is>
          <t>GHI_CHU</t>
        </is>
      </c>
      <c r="S2740" s="22" t="n"/>
      <c r="U2740" s="390" t="n"/>
      <c r="V2740" s="22" t="n"/>
      <c r="W2740" s="22" t="n"/>
      <c r="X2740" s="22" t="n"/>
      <c r="Y2740" s="13" t="n"/>
      <c r="Z2740" s="22" t="n"/>
      <c r="AA2740" s="22" t="n"/>
      <c r="AB2740" s="22" t="n"/>
      <c r="AC2740" s="22" t="n"/>
      <c r="AD2740" s="22" t="n"/>
      <c r="AE2740" s="22" t="n"/>
    </row>
    <row r="2741" ht="56" customHeight="1" s="380">
      <c r="A2741" s="139" t="n">
        <v>114</v>
      </c>
      <c r="B2741" s="390" t="n"/>
      <c r="C2741" s="390" t="inlineStr">
        <is>
          <t>Báo cáo giám sát quản trị công ty &gt;&gt; Báo cáo tình hình quản trị công ty - V.VII.1+2</t>
        </is>
      </c>
      <c r="D2741" s="390" t="inlineStr">
        <is>
          <t>Mối quan hệ liên quan với công ty</t>
        </is>
      </c>
      <c r="E2741" s="401" t="inlineStr">
        <is>
          <t>Mối quan hệ liên quan với công ty</t>
        </is>
      </c>
      <c r="F2741" s="390" t="inlineStr">
        <is>
          <t>Data Explorer</t>
        </is>
      </c>
      <c r="G2741" s="390" t="inlineStr">
        <is>
          <t>Chỉ tiêu cơ sở</t>
        </is>
      </c>
      <c r="H2741" s="390" t="inlineStr">
        <is>
          <t>TB</t>
        </is>
      </c>
      <c r="I2741" s="390" t="inlineStr">
        <is>
          <t>Ngày, CTCK</t>
        </is>
      </c>
      <c r="J2741" s="401" t="inlineStr">
        <is>
          <t>SCMS</t>
        </is>
      </c>
      <c r="K2741" s="401" t="n"/>
      <c r="L2741" s="401" t="inlineStr">
        <is>
          <t>X</t>
        </is>
      </c>
      <c r="M2741" s="401" t="n"/>
      <c r="N2741" s="401" t="inlineStr">
        <is>
          <t>Done</t>
        </is>
      </c>
      <c r="O2741" s="401" t="n"/>
      <c r="P2741" s="22" t="n"/>
      <c r="Q2741" s="401" t="inlineStr">
        <is>
          <t>CTCK_NHAN_SU_CAO_CAP
CTCK_CO_DONG</t>
        </is>
      </c>
      <c r="R2741" s="401" t="inlineStr">
        <is>
          <t>NHOM_CHUC_VU</t>
        </is>
      </c>
      <c r="S2741" s="22" t="n"/>
      <c r="U2741" s="390" t="n"/>
      <c r="V2741" s="22" t="n"/>
      <c r="W2741" s="22" t="n"/>
      <c r="X2741" s="22" t="n"/>
      <c r="Y2741" s="13" t="n"/>
      <c r="Z2741" s="22" t="n"/>
      <c r="AA2741" s="22" t="n"/>
      <c r="AB2741" s="22" t="n"/>
      <c r="AC2741" s="22" t="n"/>
      <c r="AD2741" s="22" t="n"/>
      <c r="AE2741" s="22" t="n"/>
    </row>
    <row r="2742" ht="56" customHeight="1" s="380">
      <c r="A2742" s="139" t="n">
        <v>114</v>
      </c>
      <c r="B2742" s="390" t="n"/>
      <c r="C2742" s="390" t="inlineStr">
        <is>
          <t>Báo cáo giám sát quản trị công ty &gt;&gt; Báo cáo tình hình quản trị công ty - V.VII.1+2</t>
        </is>
      </c>
      <c r="D2742" s="390" t="inlineStr">
        <is>
          <t>Thời điểm giao dịch với công ty</t>
        </is>
      </c>
      <c r="E2742" s="401" t="inlineStr">
        <is>
          <t>Thời điểm giao dịch với công ty</t>
        </is>
      </c>
      <c r="F2742" s="390" t="inlineStr">
        <is>
          <t>Data Explorer</t>
        </is>
      </c>
      <c r="G2742" s="390" t="inlineStr">
        <is>
          <t>Chỉ tiêu cơ sở</t>
        </is>
      </c>
      <c r="H2742" s="390" t="inlineStr">
        <is>
          <t>TB</t>
        </is>
      </c>
      <c r="I2742" s="390" t="inlineStr">
        <is>
          <t>Ngày, CTCK</t>
        </is>
      </c>
      <c r="J2742" s="401" t="inlineStr">
        <is>
          <t>SCMS</t>
        </is>
      </c>
      <c r="K2742" s="401" t="n"/>
      <c r="L2742" s="401" t="inlineStr">
        <is>
          <t>X</t>
        </is>
      </c>
      <c r="M2742" s="401" t="n"/>
      <c r="N2742" s="401" t="inlineStr">
        <is>
          <t>Done</t>
        </is>
      </c>
      <c r="O2742" s="401" t="n"/>
      <c r="P2742" s="22" t="n"/>
      <c r="Q2742" s="401" t="inlineStr">
        <is>
          <t>CBTT_BAO_CAO</t>
        </is>
      </c>
      <c r="R2742" s="401" t="inlineStr">
        <is>
          <t xml:space="preserve">MO_TA
</t>
        </is>
      </c>
      <c r="S2742" s="22" t="n"/>
      <c r="U2742" s="390" t="inlineStr">
        <is>
          <t>Dựa vào text để lấy dữ liệu</t>
        </is>
      </c>
      <c r="V2742" s="22" t="n"/>
      <c r="W2742" s="22" t="n"/>
      <c r="X2742" s="22" t="n"/>
      <c r="Y2742" s="38" t="n"/>
      <c r="Z2742" s="22" t="n"/>
      <c r="AA2742" s="22" t="n"/>
      <c r="AB2742" s="22" t="n"/>
      <c r="AC2742" s="22" t="n"/>
      <c r="AD2742" s="22" t="n"/>
      <c r="AE2742" s="22" t="n"/>
    </row>
    <row r="2743" ht="56" customHeight="1" s="380">
      <c r="A2743" s="139" t="n">
        <v>114</v>
      </c>
      <c r="B2743" s="390" t="n"/>
      <c r="C2743" s="390" t="inlineStr">
        <is>
          <t>Báo cáo giám sát quản trị công ty &gt;&gt; Báo cáo tình hình quản trị công ty - V.VII.1+2</t>
        </is>
      </c>
      <c r="D2743" s="390" t="inlineStr">
        <is>
          <t>Nghị quyết/Quyết định của cấp thẩm quyền thông qua &gt;&gt; Số</t>
        </is>
      </c>
      <c r="E2743" s="390" t="inlineStr">
        <is>
          <t>Nghị quyết/Quyết định của cấp thẩm quyền thông qua &gt;&gt; Số</t>
        </is>
      </c>
      <c r="F2743" s="390" t="inlineStr">
        <is>
          <t>Data Explorer</t>
        </is>
      </c>
      <c r="G2743" s="390" t="inlineStr">
        <is>
          <t>Chỉ tiêu cơ sở</t>
        </is>
      </c>
      <c r="H2743" s="390" t="inlineStr">
        <is>
          <t>TB</t>
        </is>
      </c>
      <c r="I2743" s="390" t="inlineStr">
        <is>
          <t>Ngày, CTCK</t>
        </is>
      </c>
      <c r="J2743" s="401" t="inlineStr">
        <is>
          <t>SCMS</t>
        </is>
      </c>
      <c r="K2743" s="401" t="n"/>
      <c r="L2743" s="401" t="inlineStr">
        <is>
          <t>X</t>
        </is>
      </c>
      <c r="M2743" s="401" t="n"/>
      <c r="N2743" s="401" t="inlineStr">
        <is>
          <t>Done</t>
        </is>
      </c>
      <c r="O2743" s="401" t="n"/>
      <c r="P2743" s="22" t="n"/>
      <c r="Q2743" s="401" t="inlineStr">
        <is>
          <t>CBTT_BAO_CAO</t>
        </is>
      </c>
      <c r="R2743" s="401" t="inlineStr">
        <is>
          <t xml:space="preserve">MO_TA
</t>
        </is>
      </c>
      <c r="S2743" s="22" t="n"/>
      <c r="U2743" s="390" t="inlineStr">
        <is>
          <t>Dựa vào text để lấy dữ liệu</t>
        </is>
      </c>
      <c r="V2743" s="22" t="n"/>
      <c r="W2743" s="22" t="n"/>
      <c r="X2743" s="22" t="n"/>
      <c r="Y2743" s="13" t="n"/>
      <c r="Z2743" s="22" t="n"/>
      <c r="AA2743" s="22" t="n"/>
      <c r="AB2743" s="22" t="n"/>
      <c r="AC2743" s="22" t="n"/>
      <c r="AD2743" s="22" t="n"/>
      <c r="AE2743" s="22" t="n"/>
    </row>
    <row r="2744" ht="56" customHeight="1" s="380">
      <c r="A2744" s="139" t="n">
        <v>114</v>
      </c>
      <c r="B2744" s="390" t="n"/>
      <c r="C2744" s="390" t="inlineStr">
        <is>
          <t>Báo cáo giám sát quản trị công ty &gt;&gt; Báo cáo tình hình quản trị công ty - V.VII.1+2</t>
        </is>
      </c>
      <c r="D2744" s="390" t="inlineStr">
        <is>
          <t>Nghị quyết/Quyết định của cấp thẩm quyền thông qua &gt;&gt; Ngày</t>
        </is>
      </c>
      <c r="E2744" s="390" t="inlineStr">
        <is>
          <t>Nghị quyết/Quyết định của cấp thẩm quyền thông qua &gt;&gt; Ngày</t>
        </is>
      </c>
      <c r="F2744" s="390" t="inlineStr">
        <is>
          <t>Data Explorer</t>
        </is>
      </c>
      <c r="G2744" s="390" t="inlineStr">
        <is>
          <t>Chỉ tiêu cơ sở</t>
        </is>
      </c>
      <c r="H2744" s="390" t="inlineStr">
        <is>
          <t>TB</t>
        </is>
      </c>
      <c r="I2744" s="390" t="inlineStr">
        <is>
          <t>Ngày, CTCK</t>
        </is>
      </c>
      <c r="J2744" s="401" t="inlineStr">
        <is>
          <t>SCMS</t>
        </is>
      </c>
      <c r="K2744" s="401" t="n"/>
      <c r="L2744" s="401" t="inlineStr">
        <is>
          <t>X</t>
        </is>
      </c>
      <c r="M2744" s="401" t="n"/>
      <c r="N2744" s="401" t="inlineStr">
        <is>
          <t>Done</t>
        </is>
      </c>
      <c r="O2744" s="401" t="n"/>
      <c r="P2744" s="22" t="n"/>
      <c r="Q2744" s="401" t="inlineStr">
        <is>
          <t>CBTT_BAO_CAO</t>
        </is>
      </c>
      <c r="R2744" s="401" t="inlineStr">
        <is>
          <t xml:space="preserve">MO_TA
</t>
        </is>
      </c>
      <c r="S2744" s="22" t="n"/>
      <c r="U2744" s="390" t="inlineStr">
        <is>
          <t>Dựa vào text để lấy dữ liệu</t>
        </is>
      </c>
      <c r="V2744" s="22" t="n"/>
      <c r="W2744" s="22" t="n"/>
      <c r="X2744" s="22" t="n"/>
      <c r="Y2744" s="13" t="n"/>
      <c r="Z2744" s="22" t="n"/>
      <c r="AA2744" s="22" t="n"/>
      <c r="AB2744" s="22" t="n"/>
      <c r="AC2744" s="22" t="n"/>
      <c r="AD2744" s="22" t="n"/>
      <c r="AE2744" s="22" t="n"/>
    </row>
    <row r="2745" ht="56" customHeight="1" s="380">
      <c r="A2745" s="139" t="n">
        <v>114</v>
      </c>
      <c r="B2745" s="390" t="n"/>
      <c r="C2745" s="390" t="inlineStr">
        <is>
          <t>Báo cáo giám sát quản trị công ty &gt;&gt; Báo cáo tình hình quản trị công ty - V.VII.1+2</t>
        </is>
      </c>
      <c r="D2745" s="390" t="inlineStr">
        <is>
          <t>Nội dung, số lượng, tổng giá trị giao dịch</t>
        </is>
      </c>
      <c r="E2745" s="401" t="inlineStr">
        <is>
          <t>Nội dung, số lượng, tổng giá trị giao dịch</t>
        </is>
      </c>
      <c r="F2745" s="390" t="inlineStr">
        <is>
          <t>Data Explorer</t>
        </is>
      </c>
      <c r="G2745" s="390" t="inlineStr">
        <is>
          <t>Chỉ tiêu cơ sở</t>
        </is>
      </c>
      <c r="H2745" s="390" t="inlineStr">
        <is>
          <t>TB</t>
        </is>
      </c>
      <c r="I2745" s="390" t="inlineStr">
        <is>
          <t>Ngày, CTCK</t>
        </is>
      </c>
      <c r="J2745" s="401" t="inlineStr">
        <is>
          <t>SCMS</t>
        </is>
      </c>
      <c r="K2745" s="401" t="n"/>
      <c r="L2745" s="401" t="inlineStr">
        <is>
          <t>X</t>
        </is>
      </c>
      <c r="M2745" s="401" t="n"/>
      <c r="N2745" s="401" t="inlineStr">
        <is>
          <t>Done</t>
        </is>
      </c>
      <c r="O2745" s="401" t="n"/>
      <c r="P2745" s="22" t="n"/>
      <c r="Q2745" s="401" t="inlineStr">
        <is>
          <t>CBTT_BAO_CAO</t>
        </is>
      </c>
      <c r="R2745" s="401" t="inlineStr">
        <is>
          <t xml:space="preserve">MO_TA
</t>
        </is>
      </c>
      <c r="S2745" s="22" t="n"/>
      <c r="U2745" s="390" t="inlineStr">
        <is>
          <t>Dựa vào text để lấy dữ liệu</t>
        </is>
      </c>
      <c r="V2745" s="22" t="n"/>
      <c r="W2745" s="22" t="n"/>
      <c r="X2745" s="22" t="n"/>
      <c r="Y2745" s="13" t="n"/>
      <c r="Z2745" s="22" t="n"/>
      <c r="AA2745" s="22" t="n"/>
      <c r="AB2745" s="22" t="n"/>
      <c r="AC2745" s="22" t="n"/>
      <c r="AD2745" s="22" t="n"/>
      <c r="AE2745" s="22" t="n"/>
    </row>
    <row r="2746" ht="56" customHeight="1" s="380">
      <c r="A2746" s="143" t="n">
        <v>114</v>
      </c>
      <c r="B2746" s="129" t="n"/>
      <c r="C2746" s="129" t="inlineStr">
        <is>
          <t>Báo cáo giám sát quản trị công ty &gt;&gt; Báo cáo tình hình quản trị công ty - V.VII.1+2</t>
        </is>
      </c>
      <c r="D2746" s="129" t="inlineStr">
        <is>
          <t>Ghi chú</t>
        </is>
      </c>
      <c r="E2746" s="85" t="inlineStr">
        <is>
          <t>Ghi chú</t>
        </is>
      </c>
      <c r="F2746" s="129" t="inlineStr">
        <is>
          <t>Data Explorer</t>
        </is>
      </c>
      <c r="G2746" s="129" t="inlineStr">
        <is>
          <t>Chỉ tiêu cơ sở</t>
        </is>
      </c>
      <c r="H2746" s="129" t="inlineStr">
        <is>
          <t>TB</t>
        </is>
      </c>
      <c r="I2746" s="129" t="inlineStr">
        <is>
          <t>Ngày, CTCK</t>
        </is>
      </c>
      <c r="J2746" s="85" t="inlineStr">
        <is>
          <t>SCMS</t>
        </is>
      </c>
      <c r="K2746" s="85" t="n"/>
      <c r="L2746" s="85" t="inlineStr">
        <is>
          <t>X</t>
        </is>
      </c>
      <c r="M2746" s="85" t="n"/>
      <c r="N2746" s="85" t="inlineStr">
        <is>
          <t>Done</t>
        </is>
      </c>
      <c r="O2746" s="85" t="n"/>
      <c r="P2746" s="130" t="n"/>
      <c r="Q2746" s="85" t="inlineStr">
        <is>
          <t>CBTT_BAO_CAO</t>
        </is>
      </c>
      <c r="R2746" s="85" t="inlineStr">
        <is>
          <t xml:space="preserve">MO_TA
</t>
        </is>
      </c>
      <c r="S2746" s="130" t="n"/>
      <c r="T2746" s="426" t="n"/>
      <c r="U2746" s="129" t="inlineStr">
        <is>
          <t>Dựa vào text để lấy dữ liệu</t>
        </is>
      </c>
      <c r="V2746" s="130" t="n"/>
      <c r="W2746" s="130" t="n"/>
      <c r="X2746" s="130" t="n"/>
      <c r="Y2746" s="97" t="n"/>
      <c r="Z2746" s="130" t="n"/>
      <c r="AA2746" s="130" t="n"/>
      <c r="AB2746" s="130" t="n"/>
      <c r="AC2746" s="130" t="n"/>
      <c r="AD2746" s="130" t="n"/>
      <c r="AE2746" s="130" t="n"/>
    </row>
    <row r="2747" ht="56" customHeight="1" s="380">
      <c r="A2747" s="139" t="n">
        <v>115</v>
      </c>
      <c r="B2747" s="140" t="inlineStr">
        <is>
          <t>Trang</t>
        </is>
      </c>
      <c r="C2747" s="127" t="inlineStr">
        <is>
          <t>Báo cáo giám sát quản trị công ty &gt;&gt; Báo cáo tình hình quản trị công ty - V.VIII.1</t>
        </is>
      </c>
      <c r="D2747" s="106" t="inlineStr">
        <is>
          <t>Loại báo cáo</t>
        </is>
      </c>
      <c r="E2747" s="107" t="inlineStr">
        <is>
          <t>Loại báo cáo</t>
        </is>
      </c>
      <c r="F2747" s="390" t="inlineStr">
        <is>
          <t>Data Explorer</t>
        </is>
      </c>
      <c r="G2747" s="390" t="inlineStr">
        <is>
          <t>Chiều</t>
        </is>
      </c>
      <c r="H2747" s="390" t="inlineStr">
        <is>
          <t>Dễ</t>
        </is>
      </c>
      <c r="I2747" s="390" t="inlineStr">
        <is>
          <t>Ngày, CTCK</t>
        </is>
      </c>
      <c r="J2747" s="401" t="inlineStr">
        <is>
          <t>SCMS</t>
        </is>
      </c>
      <c r="K2747" s="401" t="inlineStr">
        <is>
          <t>X</t>
        </is>
      </c>
      <c r="L2747" s="401" t="inlineStr">
        <is>
          <t>X</t>
        </is>
      </c>
      <c r="M2747" s="401" t="n"/>
      <c r="N2747" s="401" t="inlineStr">
        <is>
          <t>Pending</t>
        </is>
      </c>
      <c r="O2747" s="401" t="n"/>
      <c r="P2747" s="22" t="n"/>
      <c r="Q2747" s="105" t="inlineStr">
        <is>
          <t>DB cũ không thấy biểu mẫu báo cáo này</t>
        </is>
      </c>
      <c r="R2747" s="401" t="n"/>
      <c r="S2747" s="22" t="n"/>
      <c r="T2747" s="403" t="n"/>
      <c r="U2747" s="390" t="n"/>
      <c r="V2747" s="22" t="n"/>
      <c r="W2747" s="22" t="n"/>
      <c r="X2747" s="22" t="n"/>
      <c r="Y2747" s="13" t="n"/>
      <c r="Z2747" s="22" t="n"/>
      <c r="AA2747" s="22" t="n"/>
      <c r="AB2747" s="22" t="n"/>
      <c r="AC2747" s="22" t="n"/>
      <c r="AD2747" s="22" t="n"/>
      <c r="AE2747" s="22" t="n"/>
    </row>
    <row r="2748" ht="56" customHeight="1" s="380">
      <c r="A2748" s="139" t="n">
        <v>115</v>
      </c>
      <c r="B2748" s="390" t="n"/>
      <c r="C2748" s="390" t="inlineStr">
        <is>
          <t>Báo cáo giám sát quản trị công ty &gt;&gt; Báo cáo tình hình quản trị công ty - V.VIII.1</t>
        </is>
      </c>
      <c r="D2748" s="106" t="inlineStr">
        <is>
          <t>Kỳ báo cáo</t>
        </is>
      </c>
      <c r="E2748" s="107" t="inlineStr">
        <is>
          <t>Kỳ báo cáo</t>
        </is>
      </c>
      <c r="F2748" s="390" t="inlineStr">
        <is>
          <t>Data Explorer</t>
        </is>
      </c>
      <c r="G2748" s="390" t="inlineStr">
        <is>
          <t>Chiều</t>
        </is>
      </c>
      <c r="H2748" s="390" t="inlineStr">
        <is>
          <t>Dễ</t>
        </is>
      </c>
      <c r="I2748" s="390" t="inlineStr">
        <is>
          <t>Ngày, CTCK</t>
        </is>
      </c>
      <c r="J2748" s="401" t="inlineStr">
        <is>
          <t>SCMS</t>
        </is>
      </c>
      <c r="K2748" s="401" t="inlineStr">
        <is>
          <t>X</t>
        </is>
      </c>
      <c r="L2748" s="401" t="inlineStr">
        <is>
          <t>X</t>
        </is>
      </c>
      <c r="M2748" s="401" t="n"/>
      <c r="N2748" s="401" t="inlineStr">
        <is>
          <t>Pending</t>
        </is>
      </c>
      <c r="O2748" s="401" t="n"/>
      <c r="P2748" s="22" t="n"/>
      <c r="Q2748" s="401" t="n"/>
      <c r="R2748" s="401" t="n"/>
      <c r="S2748" s="22" t="n"/>
      <c r="T2748" s="390" t="n"/>
      <c r="U2748" s="390" t="n"/>
      <c r="V2748" s="22" t="n"/>
      <c r="W2748" s="22" t="n"/>
      <c r="X2748" s="22" t="n"/>
      <c r="Y2748" s="38" t="n"/>
      <c r="Z2748" s="22" t="n"/>
      <c r="AA2748" s="22" t="n"/>
      <c r="AB2748" s="22" t="n"/>
      <c r="AC2748" s="22" t="n"/>
      <c r="AD2748" s="22" t="n"/>
      <c r="AE2748" s="22" t="n"/>
    </row>
    <row r="2749" ht="56" customHeight="1" s="380">
      <c r="A2749" s="139" t="n">
        <v>115</v>
      </c>
      <c r="B2749" s="390" t="n"/>
      <c r="C2749" s="390" t="inlineStr">
        <is>
          <t>Báo cáo giám sát quản trị công ty &gt;&gt; Báo cáo tình hình quản trị công ty - V.VIII.1</t>
        </is>
      </c>
      <c r="D2749" s="106" t="inlineStr">
        <is>
          <t>Mã báo cáo</t>
        </is>
      </c>
      <c r="E2749" s="107" t="inlineStr">
        <is>
          <t>Mã báo cáo</t>
        </is>
      </c>
      <c r="F2749" s="390" t="inlineStr">
        <is>
          <t>Data Explorer</t>
        </is>
      </c>
      <c r="G2749" s="390" t="inlineStr">
        <is>
          <t>Chiều</t>
        </is>
      </c>
      <c r="H2749" s="390" t="inlineStr">
        <is>
          <t>Dễ</t>
        </is>
      </c>
      <c r="I2749" s="390" t="inlineStr">
        <is>
          <t>Ngày, CTCK</t>
        </is>
      </c>
      <c r="J2749" s="401" t="inlineStr">
        <is>
          <t>SCMS</t>
        </is>
      </c>
      <c r="K2749" s="401" t="inlineStr">
        <is>
          <t>X</t>
        </is>
      </c>
      <c r="L2749" s="401" t="inlineStr">
        <is>
          <t>X</t>
        </is>
      </c>
      <c r="M2749" s="401" t="n"/>
      <c r="N2749" s="401" t="inlineStr">
        <is>
          <t>Pending</t>
        </is>
      </c>
      <c r="O2749" s="401" t="n"/>
      <c r="P2749" s="22" t="n"/>
      <c r="Q2749" s="401" t="n"/>
      <c r="R2749" s="401" t="n"/>
      <c r="S2749" s="22" t="n"/>
      <c r="T2749" s="390" t="n"/>
      <c r="U2749" s="390" t="n"/>
      <c r="V2749" s="22" t="n"/>
      <c r="W2749" s="22" t="n"/>
      <c r="X2749" s="22" t="n"/>
      <c r="Y2749" s="13" t="n"/>
      <c r="Z2749" s="22" t="n"/>
      <c r="AA2749" s="22" t="n"/>
      <c r="AB2749" s="22" t="n"/>
      <c r="AC2749" s="22" t="n"/>
      <c r="AD2749" s="22" t="n"/>
      <c r="AE2749" s="22" t="n"/>
    </row>
    <row r="2750" ht="56" customHeight="1" s="380">
      <c r="A2750" s="139" t="n">
        <v>115</v>
      </c>
      <c r="B2750" s="390" t="n"/>
      <c r="C2750" s="390" t="inlineStr">
        <is>
          <t>Báo cáo giám sát quản trị công ty &gt;&gt; Báo cáo tình hình quản trị công ty - V.VIII.1</t>
        </is>
      </c>
      <c r="D2750" s="106" t="inlineStr">
        <is>
          <t>Tên báo cáo</t>
        </is>
      </c>
      <c r="E2750" s="107" t="inlineStr">
        <is>
          <t>Tên báo cáo</t>
        </is>
      </c>
      <c r="F2750" s="390" t="inlineStr">
        <is>
          <t>Data Explorer</t>
        </is>
      </c>
      <c r="G2750" s="390" t="inlineStr">
        <is>
          <t>Chiều</t>
        </is>
      </c>
      <c r="H2750" s="390" t="inlineStr">
        <is>
          <t>Dễ</t>
        </is>
      </c>
      <c r="I2750" s="390" t="inlineStr">
        <is>
          <t>Ngày, CTCK</t>
        </is>
      </c>
      <c r="J2750" s="401" t="inlineStr">
        <is>
          <t>SCMS</t>
        </is>
      </c>
      <c r="K2750" s="401" t="inlineStr">
        <is>
          <t>X</t>
        </is>
      </c>
      <c r="L2750" s="401" t="inlineStr">
        <is>
          <t>X</t>
        </is>
      </c>
      <c r="M2750" s="401" t="n"/>
      <c r="N2750" s="401" t="inlineStr">
        <is>
          <t>Pending</t>
        </is>
      </c>
      <c r="O2750" s="401" t="n"/>
      <c r="P2750" s="22" t="n"/>
      <c r="Q2750" s="401" t="n"/>
      <c r="R2750" s="401" t="n"/>
      <c r="S2750" s="22" t="n"/>
      <c r="T2750" s="390" t="n"/>
      <c r="U2750" s="390" t="n"/>
      <c r="V2750" s="22" t="n"/>
      <c r="W2750" s="22" t="n"/>
      <c r="X2750" s="22" t="n"/>
      <c r="Y2750" s="13" t="n"/>
      <c r="Z2750" s="22" t="n"/>
      <c r="AA2750" s="22" t="n"/>
      <c r="AB2750" s="22" t="n"/>
      <c r="AC2750" s="22" t="n"/>
      <c r="AD2750" s="22" t="n"/>
      <c r="AE2750" s="22" t="n"/>
    </row>
    <row r="2751" ht="56" customHeight="1" s="380">
      <c r="A2751" s="139" t="n">
        <v>115</v>
      </c>
      <c r="B2751" s="390" t="n"/>
      <c r="C2751" s="390" t="inlineStr">
        <is>
          <t>Báo cáo giám sát quản trị công ty &gt;&gt; Báo cáo tình hình quản trị công ty - V.VIII.1</t>
        </is>
      </c>
      <c r="D2751" s="106" t="inlineStr">
        <is>
          <t>Mã chỉ tiêu</t>
        </is>
      </c>
      <c r="E2751" s="107" t="inlineStr">
        <is>
          <t>Mã chỉ tiêu</t>
        </is>
      </c>
      <c r="F2751" s="390" t="inlineStr">
        <is>
          <t>Data Explorer</t>
        </is>
      </c>
      <c r="G2751" s="390" t="inlineStr">
        <is>
          <t>Chiều</t>
        </is>
      </c>
      <c r="H2751" s="390" t="inlineStr">
        <is>
          <t>Dễ</t>
        </is>
      </c>
      <c r="I2751" s="390" t="inlineStr">
        <is>
          <t>Ngày, CTCK</t>
        </is>
      </c>
      <c r="J2751" s="401" t="inlineStr">
        <is>
          <t>SCMS</t>
        </is>
      </c>
      <c r="K2751" s="401" t="inlineStr">
        <is>
          <t>X</t>
        </is>
      </c>
      <c r="L2751" s="401" t="inlineStr">
        <is>
          <t>X</t>
        </is>
      </c>
      <c r="M2751" s="401" t="n"/>
      <c r="N2751" s="401" t="inlineStr">
        <is>
          <t>Pending</t>
        </is>
      </c>
      <c r="O2751" s="401" t="n"/>
      <c r="P2751" s="22" t="n"/>
      <c r="Q2751" s="401" t="n"/>
      <c r="R2751" s="401" t="n"/>
      <c r="S2751" s="22" t="n"/>
      <c r="T2751" s="390" t="n"/>
      <c r="U2751" s="390" t="n"/>
      <c r="V2751" s="22" t="n"/>
      <c r="W2751" s="22" t="n"/>
      <c r="X2751" s="22" t="n"/>
      <c r="Y2751" s="13" t="n"/>
      <c r="Z2751" s="22" t="n"/>
      <c r="AA2751" s="22" t="n"/>
      <c r="AB2751" s="22" t="n"/>
      <c r="AC2751" s="22" t="n"/>
      <c r="AD2751" s="22" t="n"/>
      <c r="AE2751" s="22" t="n"/>
    </row>
    <row r="2752" ht="56" customHeight="1" s="380">
      <c r="A2752" s="139" t="n">
        <v>115</v>
      </c>
      <c r="B2752" s="390" t="n"/>
      <c r="C2752" s="390" t="inlineStr">
        <is>
          <t>Báo cáo giám sát quản trị công ty &gt;&gt; Báo cáo tình hình quản trị công ty - V.VIII.1</t>
        </is>
      </c>
      <c r="D2752" s="106" t="inlineStr">
        <is>
          <t>Tên chỉ tiêu</t>
        </is>
      </c>
      <c r="E2752" s="107" t="inlineStr">
        <is>
          <t>Tên chỉ tiêu</t>
        </is>
      </c>
      <c r="F2752" s="390" t="inlineStr">
        <is>
          <t>Data Explorer</t>
        </is>
      </c>
      <c r="G2752" s="390" t="inlineStr">
        <is>
          <t>Chiều</t>
        </is>
      </c>
      <c r="H2752" s="390" t="inlineStr">
        <is>
          <t>Dễ</t>
        </is>
      </c>
      <c r="I2752" s="390" t="inlineStr">
        <is>
          <t>Ngày, CTCK</t>
        </is>
      </c>
      <c r="J2752" s="401" t="inlineStr">
        <is>
          <t>SCMS</t>
        </is>
      </c>
      <c r="K2752" s="401" t="inlineStr">
        <is>
          <t>X</t>
        </is>
      </c>
      <c r="L2752" s="401" t="inlineStr">
        <is>
          <t>X</t>
        </is>
      </c>
      <c r="M2752" s="401" t="n"/>
      <c r="N2752" s="401" t="inlineStr">
        <is>
          <t>Pending</t>
        </is>
      </c>
      <c r="O2752" s="401" t="n"/>
      <c r="P2752" s="22" t="n"/>
      <c r="Q2752" s="401" t="n"/>
      <c r="R2752" s="401" t="n"/>
      <c r="S2752" s="22" t="n"/>
      <c r="T2752" s="390" t="n"/>
      <c r="U2752" s="390" t="n"/>
      <c r="V2752" s="22" t="n"/>
      <c r="W2752" s="22" t="n"/>
      <c r="X2752" s="22" t="n"/>
      <c r="Y2752" s="13" t="n"/>
      <c r="Z2752" s="22" t="n"/>
      <c r="AA2752" s="22" t="n"/>
      <c r="AB2752" s="22" t="n"/>
      <c r="AC2752" s="22" t="n"/>
      <c r="AD2752" s="22" t="n"/>
      <c r="AE2752" s="22" t="n"/>
    </row>
    <row r="2753" ht="56" customHeight="1" s="380">
      <c r="A2753" s="139" t="n">
        <v>115</v>
      </c>
      <c r="B2753" s="390" t="n"/>
      <c r="C2753" s="390" t="inlineStr">
        <is>
          <t>Báo cáo giám sát quản trị công ty &gt;&gt; Báo cáo tình hình quản trị công ty - V.VIII.1</t>
        </is>
      </c>
      <c r="D2753" s="390" t="inlineStr">
        <is>
          <t>Tên CTCK</t>
        </is>
      </c>
      <c r="E2753" s="401" t="inlineStr">
        <is>
          <t>Tên CTCK</t>
        </is>
      </c>
      <c r="F2753" s="390" t="inlineStr">
        <is>
          <t>Data Explorer</t>
        </is>
      </c>
      <c r="G2753" s="390" t="inlineStr">
        <is>
          <t>Chỉ tiêu cơ sở</t>
        </is>
      </c>
      <c r="H2753" s="390" t="inlineStr">
        <is>
          <t>Trùng</t>
        </is>
      </c>
      <c r="I2753" s="390" t="inlineStr">
        <is>
          <t>Ngày, CTCK</t>
        </is>
      </c>
      <c r="J2753" s="401" t="inlineStr">
        <is>
          <t>SCMS</t>
        </is>
      </c>
      <c r="K2753" s="401" t="n"/>
      <c r="L2753" s="401" t="inlineStr">
        <is>
          <t>X</t>
        </is>
      </c>
      <c r="M2753" s="401" t="n"/>
      <c r="N2753" s="401" t="inlineStr">
        <is>
          <t>Done</t>
        </is>
      </c>
      <c r="O2753" s="401" t="n"/>
      <c r="P2753" s="22" t="n"/>
      <c r="Q2753" s="401" t="inlineStr">
        <is>
          <t>CTCK_THONG_TIN</t>
        </is>
      </c>
      <c r="R2753" s="401" t="inlineStr">
        <is>
          <t>TEN_TIENG_VIET</t>
        </is>
      </c>
      <c r="S2753" s="22" t="n"/>
      <c r="T2753" s="389" t="inlineStr">
        <is>
          <t xml:space="preserve">SELECT a.TEN_TIENG_VIET "Tên CTCK",
a.DIA_CHI "Địa chỉ trụ sở chính",
a.VON_DIEU_LE "Vốn điều lệ",
a.MA_CHUNG_KHOAN "Mã chứng khoán",
a.GIAY_PHEP_KINH_DOANH "Số giấy phép hoạt động",
a.NGAY_CAP_GPKD "Ngày cấp giấy phép hoạt động",
CASE WHEN b.TEN_LOAI_CONG_TY = 'CTCP' THEN 'x' ELSE '' END "Đại hội đồng cổ đông",
CASE WHEN d.NHOM_CHUC_VU = 'HDQT' THEN 'x' ELSE '' END "Hội đồng quản trị",
CASE WHEN LOWER(d.TEN_CHUC_VU) LIKE '%giám đốc%' THEN 'x' ELSE '' END "Tổng giám đốc/giám đốc",
CASE WHEN d.NHOM_CHUC_VU = 'BKS' THEN 'x' ELSE '' END "Ban kiểm soát",
CASE WHEN (b.TEN_LOAI_CONG_TY = 'CTCP' 
         AND d.NHOM_CHUC_VU != 'BKS') OR LOWER(d.TEN_CHUC_VU) LIKE '%ủy ban kiểm toán%'
         THEN 'x' ELSE '' END "Ủy ban kiểm toán",
CASE WHEN LOWER(e.MO_TA) LIKE '%cuộc họp ủy ban kiểm toán%' AND e.LOAI_TIN = 2 THEN 'Đã Thực hiện'
         ELSE 'Chưa thực hiện'
         END "Chức năng kiểm toán nội bộ" 
FROM SCMS.CTCK_THONG_TIN a
LEFT JOIN SCMS.DM_LOAI_CONG_TY b ON a.LOAI_CONG_TY_ID = b.ID 
LEFT JOIN SCMS.CTCK_NHAN_SU_CAO_CAP c ON a.CTCK_THONG_TIN_ID = c.CTCK_THONG_TIN_ID 
LEFT JOIN SCMS.DM_CHUC_VU d ON c.CHUC_VU_ID = d.ID 
LEFT JOIN SCMS.CBTT_BAO_CAO e ON a.ID = e.CTCK_THONG_TIN_ID </t>
        </is>
      </c>
      <c r="U2753" s="390" t="n"/>
      <c r="V2753" s="22" t="n"/>
      <c r="W2753" s="22" t="n"/>
      <c r="X2753" s="22" t="n"/>
      <c r="Y2753" s="13" t="n"/>
      <c r="Z2753" s="22" t="n"/>
      <c r="AA2753" s="22" t="n"/>
      <c r="AB2753" s="22" t="n"/>
      <c r="AC2753" s="22" t="n"/>
      <c r="AD2753" s="22" t="n"/>
      <c r="AE2753" s="22" t="n"/>
    </row>
    <row r="2754" ht="56" customHeight="1" s="380">
      <c r="A2754" s="139" t="n">
        <v>115</v>
      </c>
      <c r="B2754" s="390" t="n"/>
      <c r="C2754" s="390" t="inlineStr">
        <is>
          <t>Báo cáo giám sát quản trị công ty &gt;&gt; Báo cáo tình hình quản trị công ty - V.VIII.1</t>
        </is>
      </c>
      <c r="D2754" s="390" t="inlineStr">
        <is>
          <t>Địa chỉ trụ sở chính</t>
        </is>
      </c>
      <c r="E2754" s="401" t="inlineStr">
        <is>
          <t>Địa chỉ trụ sở chính</t>
        </is>
      </c>
      <c r="F2754" s="390" t="inlineStr">
        <is>
          <t>Data Explorer</t>
        </is>
      </c>
      <c r="G2754" s="390" t="inlineStr">
        <is>
          <t>Chỉ tiêu cơ sở</t>
        </is>
      </c>
      <c r="H2754" s="390" t="inlineStr">
        <is>
          <t>Trùng</t>
        </is>
      </c>
      <c r="I2754" s="390" t="inlineStr">
        <is>
          <t>Ngày, CTCK</t>
        </is>
      </c>
      <c r="J2754" s="401" t="inlineStr">
        <is>
          <t>SCMS</t>
        </is>
      </c>
      <c r="K2754" s="401" t="n"/>
      <c r="L2754" s="401" t="inlineStr">
        <is>
          <t>X</t>
        </is>
      </c>
      <c r="M2754" s="401" t="n"/>
      <c r="N2754" s="401" t="inlineStr">
        <is>
          <t>Done</t>
        </is>
      </c>
      <c r="O2754" s="401" t="n"/>
      <c r="P2754" s="22" t="n"/>
      <c r="Q2754" s="401" t="inlineStr">
        <is>
          <t>CTCK_THONG_TIN</t>
        </is>
      </c>
      <c r="R2754" s="401" t="inlineStr">
        <is>
          <t>DIA_CHI</t>
        </is>
      </c>
      <c r="S2754" s="22" t="n"/>
      <c r="U2754" s="390" t="n"/>
      <c r="V2754" s="22" t="n"/>
      <c r="W2754" s="22" t="n"/>
      <c r="X2754" s="22" t="n"/>
      <c r="Y2754" s="38" t="n"/>
      <c r="Z2754" s="22" t="n"/>
      <c r="AA2754" s="22" t="n"/>
      <c r="AB2754" s="22" t="n"/>
      <c r="AC2754" s="22" t="n"/>
      <c r="AD2754" s="22" t="n"/>
      <c r="AE2754" s="22" t="n"/>
    </row>
    <row r="2755" ht="56" customHeight="1" s="380">
      <c r="A2755" s="139" t="n">
        <v>115</v>
      </c>
      <c r="B2755" s="390" t="n"/>
      <c r="C2755" s="390" t="inlineStr">
        <is>
          <t>Báo cáo giám sát quản trị công ty &gt;&gt; Báo cáo tình hình quản trị công ty - V.VIII.1</t>
        </is>
      </c>
      <c r="D2755" s="390" t="inlineStr">
        <is>
          <t>Vốn Điều lệ</t>
        </is>
      </c>
      <c r="E2755" s="401" t="inlineStr">
        <is>
          <t>Vốn Điều lệ</t>
        </is>
      </c>
      <c r="F2755" s="390" t="inlineStr">
        <is>
          <t>Data Explorer</t>
        </is>
      </c>
      <c r="G2755" s="390" t="inlineStr">
        <is>
          <t>Chỉ tiêu cơ sở</t>
        </is>
      </c>
      <c r="H2755" s="390" t="inlineStr">
        <is>
          <t>Trùng</t>
        </is>
      </c>
      <c r="I2755" s="390" t="inlineStr">
        <is>
          <t>Ngày, CTCK</t>
        </is>
      </c>
      <c r="J2755" s="401" t="inlineStr">
        <is>
          <t>SCMS</t>
        </is>
      </c>
      <c r="K2755" s="401" t="n"/>
      <c r="L2755" s="401" t="inlineStr">
        <is>
          <t>X</t>
        </is>
      </c>
      <c r="M2755" s="401" t="n"/>
      <c r="N2755" s="401" t="inlineStr">
        <is>
          <t>Done</t>
        </is>
      </c>
      <c r="O2755" s="401" t="n"/>
      <c r="P2755" s="22" t="n"/>
      <c r="Q2755" s="401" t="inlineStr">
        <is>
          <t>CTCK_THONG_TIN</t>
        </is>
      </c>
      <c r="R2755" s="401" t="inlineStr">
        <is>
          <t>VON_DIEU_LE</t>
        </is>
      </c>
      <c r="S2755" s="22" t="n"/>
      <c r="U2755" s="390" t="n"/>
      <c r="V2755" s="22" t="n"/>
      <c r="W2755" s="22" t="n"/>
      <c r="X2755" s="22" t="n"/>
      <c r="Y2755" s="13" t="n"/>
      <c r="Z2755" s="22" t="n"/>
      <c r="AA2755" s="22" t="n"/>
      <c r="AB2755" s="22" t="n"/>
      <c r="AC2755" s="22" t="n"/>
      <c r="AD2755" s="22" t="n"/>
      <c r="AE2755" s="22" t="n"/>
    </row>
    <row r="2756" ht="56" customHeight="1" s="380">
      <c r="A2756" s="139" t="n">
        <v>115</v>
      </c>
      <c r="B2756" s="390" t="n"/>
      <c r="C2756" s="390" t="inlineStr">
        <is>
          <t>Báo cáo giám sát quản trị công ty &gt;&gt; Báo cáo tình hình quản trị công ty - V.VIII.1</t>
        </is>
      </c>
      <c r="D2756" s="390" t="inlineStr">
        <is>
          <t>Mã CK</t>
        </is>
      </c>
      <c r="E2756" s="401" t="inlineStr">
        <is>
          <t>Mã CK</t>
        </is>
      </c>
      <c r="F2756" s="390" t="inlineStr">
        <is>
          <t>Data Explorer</t>
        </is>
      </c>
      <c r="G2756" s="390" t="inlineStr">
        <is>
          <t>Chỉ tiêu cơ sở</t>
        </is>
      </c>
      <c r="H2756" s="390" t="inlineStr">
        <is>
          <t>Trùng</t>
        </is>
      </c>
      <c r="I2756" s="390" t="inlineStr">
        <is>
          <t>Ngày, CTCK</t>
        </is>
      </c>
      <c r="J2756" s="401" t="inlineStr">
        <is>
          <t>SCMS</t>
        </is>
      </c>
      <c r="K2756" s="401" t="n"/>
      <c r="L2756" s="401" t="inlineStr">
        <is>
          <t>X</t>
        </is>
      </c>
      <c r="M2756" s="401" t="n"/>
      <c r="N2756" s="401" t="inlineStr">
        <is>
          <t>Done</t>
        </is>
      </c>
      <c r="O2756" s="401" t="n"/>
      <c r="P2756" s="22" t="n"/>
      <c r="Q2756" s="401" t="inlineStr">
        <is>
          <t>CTCK_THONG_TIN</t>
        </is>
      </c>
      <c r="R2756" s="401" t="inlineStr">
        <is>
          <t>MA_CHUNG_KHOAN</t>
        </is>
      </c>
      <c r="S2756" s="22" t="n"/>
      <c r="U2756" s="390" t="n"/>
      <c r="V2756" s="22" t="n"/>
      <c r="W2756" s="22" t="n"/>
      <c r="X2756" s="22" t="n"/>
      <c r="Y2756" s="13" t="n"/>
      <c r="Z2756" s="22" t="n"/>
      <c r="AA2756" s="22" t="n"/>
      <c r="AB2756" s="22" t="n"/>
      <c r="AC2756" s="22" t="n"/>
      <c r="AD2756" s="22" t="n"/>
      <c r="AE2756" s="22" t="n"/>
    </row>
    <row r="2757" ht="56" customHeight="1" s="380">
      <c r="A2757" s="139" t="n">
        <v>115</v>
      </c>
      <c r="B2757" s="390" t="n"/>
      <c r="C2757" s="390" t="inlineStr">
        <is>
          <t>Báo cáo giám sát quản trị công ty &gt;&gt; Báo cáo tình hình quản trị công ty - V.VIII.1</t>
        </is>
      </c>
      <c r="D2757" s="390" t="inlineStr">
        <is>
          <t>Giấy phép Hoạt động của Chủ tịch UBCKNN cấp lần đầu &gt;&gt; Số</t>
        </is>
      </c>
      <c r="E2757" s="390" t="inlineStr">
        <is>
          <t>Giấy phép Hoạt động của Chủ tịch UBCKNN cấp lần đầu &gt;&gt; Số</t>
        </is>
      </c>
      <c r="F2757" s="390" t="inlineStr">
        <is>
          <t>Data Explorer</t>
        </is>
      </c>
      <c r="G2757" s="390" t="inlineStr">
        <is>
          <t>Chỉ tiêu cơ sở</t>
        </is>
      </c>
      <c r="H2757" s="390" t="inlineStr">
        <is>
          <t>Trùng</t>
        </is>
      </c>
      <c r="I2757" s="390" t="inlineStr">
        <is>
          <t>Ngày, CTCK</t>
        </is>
      </c>
      <c r="J2757" s="401" t="inlineStr">
        <is>
          <t>SCMS</t>
        </is>
      </c>
      <c r="K2757" s="401" t="n"/>
      <c r="L2757" s="401" t="inlineStr">
        <is>
          <t>X</t>
        </is>
      </c>
      <c r="M2757" s="401" t="n"/>
      <c r="N2757" s="401" t="inlineStr">
        <is>
          <t>Done</t>
        </is>
      </c>
      <c r="O2757" s="401" t="n"/>
      <c r="P2757" s="22" t="n"/>
      <c r="Q2757" s="401" t="inlineStr">
        <is>
          <t>CTCK_THONG_TIN</t>
        </is>
      </c>
      <c r="R2757" s="401" t="inlineStr">
        <is>
          <t>GIAY_PHEP_KINH_DOANH</t>
        </is>
      </c>
      <c r="S2757" s="22" t="n"/>
      <c r="U2757" s="390" t="n"/>
      <c r="V2757" s="22" t="n"/>
      <c r="W2757" s="22" t="n"/>
      <c r="X2757" s="22" t="n"/>
      <c r="Y2757" s="13" t="n"/>
      <c r="Z2757" s="22" t="n"/>
      <c r="AA2757" s="22" t="n"/>
      <c r="AB2757" s="22" t="n"/>
      <c r="AC2757" s="22" t="n"/>
      <c r="AD2757" s="22" t="n"/>
      <c r="AE2757" s="22" t="n"/>
    </row>
    <row r="2758" ht="56" customHeight="1" s="380">
      <c r="A2758" s="139" t="n">
        <v>115</v>
      </c>
      <c r="B2758" s="390" t="n"/>
      <c r="C2758" s="390" t="inlineStr">
        <is>
          <t>Báo cáo giám sát quản trị công ty &gt;&gt; Báo cáo tình hình quản trị công ty - V.VIII.1</t>
        </is>
      </c>
      <c r="D2758" s="390" t="inlineStr">
        <is>
          <t>Giấy phép Hoạt động của Chủ tịch UBCKNN cấp lần đầu &gt;&gt; Ngày cấp</t>
        </is>
      </c>
      <c r="E2758" s="390" t="inlineStr">
        <is>
          <t>Giấy phép Hoạt động của Chủ tịch UBCKNN cấp lần đầu &gt;&gt; Ngày cấp</t>
        </is>
      </c>
      <c r="F2758" s="390" t="inlineStr">
        <is>
          <t>Data Explorer</t>
        </is>
      </c>
      <c r="G2758" s="390" t="inlineStr">
        <is>
          <t>Chỉ tiêu cơ sở</t>
        </is>
      </c>
      <c r="H2758" s="390" t="inlineStr">
        <is>
          <t>Trùng</t>
        </is>
      </c>
      <c r="I2758" s="390" t="inlineStr">
        <is>
          <t>Ngày, CTCK</t>
        </is>
      </c>
      <c r="J2758" s="401" t="inlineStr">
        <is>
          <t>SCMS</t>
        </is>
      </c>
      <c r="K2758" s="401" t="n"/>
      <c r="L2758" s="401" t="inlineStr">
        <is>
          <t>X</t>
        </is>
      </c>
      <c r="M2758" s="401" t="n"/>
      <c r="N2758" s="401" t="inlineStr">
        <is>
          <t>Done</t>
        </is>
      </c>
      <c r="O2758" s="401" t="n"/>
      <c r="P2758" s="22" t="n"/>
      <c r="Q2758" s="401" t="inlineStr">
        <is>
          <t>CTCK_THONG_TIN</t>
        </is>
      </c>
      <c r="R2758" s="401" t="inlineStr">
        <is>
          <t>NGAY_CAP_GPKD</t>
        </is>
      </c>
      <c r="S2758" s="22" t="n"/>
      <c r="U2758" s="390" t="n"/>
      <c r="V2758" s="22" t="n"/>
      <c r="W2758" s="22" t="n"/>
      <c r="X2758" s="22" t="n"/>
      <c r="Y2758" s="13" t="n"/>
      <c r="Z2758" s="22" t="n"/>
      <c r="AA2758" s="22" t="n"/>
      <c r="AB2758" s="22" t="n"/>
      <c r="AC2758" s="22" t="n"/>
      <c r="AD2758" s="22" t="n"/>
      <c r="AE2758" s="22" t="n"/>
    </row>
    <row r="2759" ht="56" customHeight="1" s="380">
      <c r="A2759" s="139" t="n">
        <v>115</v>
      </c>
      <c r="B2759" s="390" t="n"/>
      <c r="C2759" s="390" t="inlineStr">
        <is>
          <t>Báo cáo giám sát quản trị công ty &gt;&gt; Báo cáo tình hình quản trị công ty - V.VIII.1</t>
        </is>
      </c>
      <c r="D2759" s="390" t="inlineStr">
        <is>
          <t>Đại hội đồng cổ đông</t>
        </is>
      </c>
      <c r="E2759" s="401" t="inlineStr">
        <is>
          <t>Đại hội đồng cổ đông</t>
        </is>
      </c>
      <c r="F2759" s="390" t="inlineStr">
        <is>
          <t>Data Explorer</t>
        </is>
      </c>
      <c r="G2759" s="390" t="inlineStr">
        <is>
          <t>Chỉ tiêu cơ sở</t>
        </is>
      </c>
      <c r="H2759" s="390" t="inlineStr">
        <is>
          <t>Trùng</t>
        </is>
      </c>
      <c r="I2759" s="390" t="inlineStr">
        <is>
          <t>Ngày, CTCK</t>
        </is>
      </c>
      <c r="J2759" s="401" t="inlineStr">
        <is>
          <t>SCMS</t>
        </is>
      </c>
      <c r="K2759" s="401" t="n"/>
      <c r="L2759" s="401" t="inlineStr">
        <is>
          <t>X</t>
        </is>
      </c>
      <c r="M2759" s="401" t="n"/>
      <c r="N2759" s="401" t="inlineStr">
        <is>
          <t>Done</t>
        </is>
      </c>
      <c r="O2759" s="401" t="n"/>
      <c r="P2759" s="22" t="n"/>
      <c r="Q2759" s="401" t="inlineStr">
        <is>
          <t>DM_LOAI_CONG_TY</t>
        </is>
      </c>
      <c r="R2759" s="401" t="inlineStr">
        <is>
          <t>TEN_LOAI_CONG_TY</t>
        </is>
      </c>
      <c r="S2759" s="22" t="n"/>
      <c r="U2759" s="390" t="n"/>
      <c r="V2759" s="22" t="n"/>
      <c r="W2759" s="22" t="n"/>
      <c r="X2759" s="22" t="n"/>
      <c r="Y2759" s="13" t="n"/>
      <c r="Z2759" s="22" t="n"/>
      <c r="AA2759" s="22" t="n"/>
      <c r="AB2759" s="22" t="n"/>
      <c r="AC2759" s="22" t="n"/>
      <c r="AD2759" s="22" t="n"/>
      <c r="AE2759" s="22" t="n"/>
    </row>
    <row r="2760" ht="56" customHeight="1" s="380">
      <c r="A2760" s="139" t="n">
        <v>115</v>
      </c>
      <c r="B2760" s="390" t="n"/>
      <c r="C2760" s="390" t="inlineStr">
        <is>
          <t>Báo cáo giám sát quản trị công ty &gt;&gt; Báo cáo tình hình quản trị công ty - V.VIII.1</t>
        </is>
      </c>
      <c r="D2760" s="390" t="inlineStr">
        <is>
          <t>Hội đồng quản trị</t>
        </is>
      </c>
      <c r="E2760" s="401" t="inlineStr">
        <is>
          <t>Hội đồng quản trị</t>
        </is>
      </c>
      <c r="F2760" s="390" t="inlineStr">
        <is>
          <t>Data Explorer</t>
        </is>
      </c>
      <c r="G2760" s="390" t="inlineStr">
        <is>
          <t>Chỉ tiêu cơ sở</t>
        </is>
      </c>
      <c r="H2760" s="390" t="inlineStr">
        <is>
          <t>Trùng</t>
        </is>
      </c>
      <c r="I2760" s="390" t="inlineStr">
        <is>
          <t>Ngày, CTCK</t>
        </is>
      </c>
      <c r="J2760" s="401" t="inlineStr">
        <is>
          <t>SCMS</t>
        </is>
      </c>
      <c r="K2760" s="401" t="n"/>
      <c r="L2760" s="401" t="inlineStr">
        <is>
          <t>X</t>
        </is>
      </c>
      <c r="M2760" s="401" t="n"/>
      <c r="N2760" s="401" t="inlineStr">
        <is>
          <t>Done</t>
        </is>
      </c>
      <c r="O2760" s="401" t="n"/>
      <c r="P2760" s="22" t="n"/>
      <c r="Q2760" s="401" t="inlineStr">
        <is>
          <t>DM_CHUC_VU</t>
        </is>
      </c>
      <c r="R2760" s="401" t="inlineStr">
        <is>
          <t>NHOM_CHUC_VU</t>
        </is>
      </c>
      <c r="S2760" s="22" t="n"/>
      <c r="U2760" s="390" t="n"/>
      <c r="V2760" s="22" t="n"/>
      <c r="W2760" s="22" t="n"/>
      <c r="X2760" s="22" t="n"/>
      <c r="Y2760" s="38" t="n"/>
      <c r="Z2760" s="22" t="n"/>
      <c r="AA2760" s="22" t="n"/>
      <c r="AB2760" s="22" t="n"/>
      <c r="AC2760" s="22" t="n"/>
      <c r="AD2760" s="22" t="n"/>
      <c r="AE2760" s="22" t="n"/>
    </row>
    <row r="2761" ht="56" customHeight="1" s="380">
      <c r="A2761" s="139" t="n">
        <v>115</v>
      </c>
      <c r="B2761" s="390" t="n"/>
      <c r="C2761" s="390" t="inlineStr">
        <is>
          <t>Báo cáo giám sát quản trị công ty &gt;&gt; Báo cáo tình hình quản trị công ty - V.VIII.1</t>
        </is>
      </c>
      <c r="D2761" s="390" t="inlineStr">
        <is>
          <t>Tổng giám đốc/Giám đốc</t>
        </is>
      </c>
      <c r="E2761" s="401" t="inlineStr">
        <is>
          <t>Tổng giám đốc/Giám đốc</t>
        </is>
      </c>
      <c r="F2761" s="390" t="inlineStr">
        <is>
          <t>Data Explorer</t>
        </is>
      </c>
      <c r="G2761" s="390" t="inlineStr">
        <is>
          <t>Chỉ tiêu cơ sở</t>
        </is>
      </c>
      <c r="H2761" s="390" t="inlineStr">
        <is>
          <t>Trùng</t>
        </is>
      </c>
      <c r="I2761" s="390" t="inlineStr">
        <is>
          <t>Ngày, CTCK</t>
        </is>
      </c>
      <c r="J2761" s="401" t="inlineStr">
        <is>
          <t>SCMS</t>
        </is>
      </c>
      <c r="K2761" s="401" t="n"/>
      <c r="L2761" s="401" t="inlineStr">
        <is>
          <t>X</t>
        </is>
      </c>
      <c r="M2761" s="401" t="n"/>
      <c r="N2761" s="401" t="inlineStr">
        <is>
          <t>Done</t>
        </is>
      </c>
      <c r="O2761" s="401" t="n"/>
      <c r="P2761" s="22" t="n"/>
      <c r="Q2761" s="401" t="inlineStr">
        <is>
          <t>DM_CHUC_VU</t>
        </is>
      </c>
      <c r="R2761" s="401" t="inlineStr">
        <is>
          <t>TEN_CHUC_VU</t>
        </is>
      </c>
      <c r="S2761" s="22" t="n"/>
      <c r="U2761" s="390" t="n"/>
      <c r="V2761" s="22" t="n"/>
      <c r="W2761" s="22" t="n"/>
      <c r="X2761" s="22" t="n"/>
      <c r="Y2761" s="13" t="n"/>
      <c r="Z2761" s="22" t="n"/>
      <c r="AA2761" s="22" t="n"/>
      <c r="AB2761" s="22" t="n"/>
      <c r="AC2761" s="22" t="n"/>
      <c r="AD2761" s="22" t="n"/>
      <c r="AE2761" s="22" t="n"/>
    </row>
    <row r="2762" ht="56" customHeight="1" s="380">
      <c r="A2762" s="139" t="n">
        <v>115</v>
      </c>
      <c r="B2762" s="390" t="n"/>
      <c r="C2762" s="390" t="inlineStr">
        <is>
          <t>Báo cáo giám sát quản trị công ty &gt;&gt; Báo cáo tình hình quản trị công ty - V.VIII.1</t>
        </is>
      </c>
      <c r="D2762" s="390" t="inlineStr">
        <is>
          <t>Ban kiểm soát</t>
        </is>
      </c>
      <c r="E2762" s="401" t="inlineStr">
        <is>
          <t>Ban kiểm soát</t>
        </is>
      </c>
      <c r="F2762" s="390" t="inlineStr">
        <is>
          <t>Data Explorer</t>
        </is>
      </c>
      <c r="G2762" s="390" t="inlineStr">
        <is>
          <t>Chỉ tiêu cơ sở</t>
        </is>
      </c>
      <c r="H2762" s="390" t="inlineStr">
        <is>
          <t>Trùng</t>
        </is>
      </c>
      <c r="I2762" s="390" t="inlineStr">
        <is>
          <t>Ngày, CTCK</t>
        </is>
      </c>
      <c r="J2762" s="401" t="inlineStr">
        <is>
          <t>SCMS</t>
        </is>
      </c>
      <c r="K2762" s="401" t="n"/>
      <c r="L2762" s="401" t="inlineStr">
        <is>
          <t>X</t>
        </is>
      </c>
      <c r="M2762" s="401" t="n"/>
      <c r="N2762" s="401" t="inlineStr">
        <is>
          <t>Done</t>
        </is>
      </c>
      <c r="O2762" s="401" t="n"/>
      <c r="P2762" s="22" t="n"/>
      <c r="Q2762" s="401" t="inlineStr">
        <is>
          <t>DM_CHUC_VU</t>
        </is>
      </c>
      <c r="R2762" s="401" t="inlineStr">
        <is>
          <t>NHOM_CHUC_VU</t>
        </is>
      </c>
      <c r="S2762" s="22" t="n"/>
      <c r="U2762" s="390" t="n"/>
      <c r="V2762" s="22" t="n"/>
      <c r="W2762" s="22" t="n"/>
      <c r="X2762" s="22" t="n"/>
      <c r="Y2762" s="13" t="n"/>
      <c r="Z2762" s="22" t="n"/>
      <c r="AA2762" s="22" t="n"/>
      <c r="AB2762" s="22" t="n"/>
      <c r="AC2762" s="22" t="n"/>
      <c r="AD2762" s="22" t="n"/>
      <c r="AE2762" s="22" t="n"/>
    </row>
    <row r="2763" ht="56" customHeight="1" s="380">
      <c r="A2763" s="139" t="n">
        <v>115</v>
      </c>
      <c r="B2763" s="390" t="n"/>
      <c r="C2763" s="390" t="inlineStr">
        <is>
          <t>Báo cáo giám sát quản trị công ty &gt;&gt; Báo cáo tình hình quản trị công ty - V.VIII.1</t>
        </is>
      </c>
      <c r="D2763" s="390" t="inlineStr">
        <is>
          <t>Ủy ban kiểm toán</t>
        </is>
      </c>
      <c r="E2763" s="401" t="inlineStr">
        <is>
          <t>Ủy ban kiểm toán</t>
        </is>
      </c>
      <c r="F2763" s="390" t="inlineStr">
        <is>
          <t>Data Explorer</t>
        </is>
      </c>
      <c r="G2763" s="390" t="inlineStr">
        <is>
          <t>Chỉ tiêu cơ sở</t>
        </is>
      </c>
      <c r="H2763" s="390" t="inlineStr">
        <is>
          <t>Trùng</t>
        </is>
      </c>
      <c r="I2763" s="390" t="inlineStr">
        <is>
          <t>Ngày, CTCK</t>
        </is>
      </c>
      <c r="J2763" s="401" t="inlineStr">
        <is>
          <t>SCMS</t>
        </is>
      </c>
      <c r="K2763" s="401" t="n"/>
      <c r="L2763" s="401" t="inlineStr">
        <is>
          <t>X</t>
        </is>
      </c>
      <c r="M2763" s="401" t="n"/>
      <c r="N2763" s="401" t="inlineStr">
        <is>
          <t>Done</t>
        </is>
      </c>
      <c r="O2763" s="401" t="n"/>
      <c r="P2763" s="22" t="n"/>
      <c r="Q2763" s="401" t="inlineStr">
        <is>
          <t>DM_CHUC_VU</t>
        </is>
      </c>
      <c r="R2763" s="401" t="inlineStr">
        <is>
          <t>NHOM_CHUC_VU</t>
        </is>
      </c>
      <c r="S2763" s="22" t="n"/>
      <c r="U2763" s="390" t="n"/>
      <c r="V2763" s="22" t="n"/>
      <c r="W2763" s="22" t="n"/>
      <c r="X2763" s="22" t="n"/>
      <c r="Y2763" s="13" t="n"/>
      <c r="Z2763" s="22" t="n"/>
      <c r="AA2763" s="22" t="n"/>
      <c r="AB2763" s="22" t="n"/>
      <c r="AC2763" s="22" t="n"/>
      <c r="AD2763" s="22" t="n"/>
      <c r="AE2763" s="22" t="n"/>
    </row>
    <row r="2764" ht="56" customHeight="1" s="380">
      <c r="A2764" s="139" t="n">
        <v>115</v>
      </c>
      <c r="B2764" s="390" t="n"/>
      <c r="C2764" s="390" t="inlineStr">
        <is>
          <t>Báo cáo giám sát quản trị công ty &gt;&gt; Báo cáo tình hình quản trị công ty - V.VIII.1</t>
        </is>
      </c>
      <c r="D2764" s="390" t="inlineStr">
        <is>
          <t>Chức năng kiểm toán nội bộ &gt;&gt; Đã thực hiện</t>
        </is>
      </c>
      <c r="E2764" s="390" t="inlineStr">
        <is>
          <t>Chức năng kiểm toán nội bộ &gt;&gt; Đã thực hiện</t>
        </is>
      </c>
      <c r="F2764" s="390" t="inlineStr">
        <is>
          <t>Data Explorer</t>
        </is>
      </c>
      <c r="G2764" s="390" t="inlineStr">
        <is>
          <t>Chỉ tiêu cơ sở</t>
        </is>
      </c>
      <c r="H2764" s="390" t="inlineStr">
        <is>
          <t>Trùng</t>
        </is>
      </c>
      <c r="I2764" s="390" t="inlineStr">
        <is>
          <t>Ngày, CTCK</t>
        </is>
      </c>
      <c r="J2764" s="401" t="inlineStr">
        <is>
          <t>SCMS</t>
        </is>
      </c>
      <c r="K2764" s="401" t="n"/>
      <c r="L2764" s="401" t="inlineStr">
        <is>
          <t>X</t>
        </is>
      </c>
      <c r="M2764" s="401" t="n"/>
      <c r="N2764" s="401" t="inlineStr">
        <is>
          <t>Done</t>
        </is>
      </c>
      <c r="O2764" s="401" t="n"/>
      <c r="P2764" s="22" t="n"/>
      <c r="Q2764" s="401" t="inlineStr">
        <is>
          <t>CBTT_BAO_CAO</t>
        </is>
      </c>
      <c r="R2764" s="401" t="inlineStr">
        <is>
          <t>MO_TA
LOAI_TIN</t>
        </is>
      </c>
      <c r="S2764" s="22" t="n"/>
      <c r="U2764" s="390" t="inlineStr">
        <is>
          <t>Dựa vào text để lấy dữ liệu</t>
        </is>
      </c>
      <c r="V2764" s="22" t="n"/>
      <c r="W2764" s="22" t="n"/>
      <c r="X2764" s="22" t="n"/>
      <c r="Y2764" s="13" t="n"/>
      <c r="Z2764" s="22" t="n"/>
      <c r="AA2764" s="22" t="n"/>
      <c r="AB2764" s="22" t="n"/>
      <c r="AC2764" s="22" t="n"/>
      <c r="AD2764" s="22" t="n"/>
      <c r="AE2764" s="22" t="n"/>
    </row>
    <row r="2765" ht="56" customHeight="1" s="380">
      <c r="A2765" s="139" t="n">
        <v>115</v>
      </c>
      <c r="B2765" s="390" t="n"/>
      <c r="C2765" s="390" t="inlineStr">
        <is>
          <t>Báo cáo giám sát quản trị công ty &gt;&gt; Báo cáo tình hình quản trị công ty - V.VIII.1</t>
        </is>
      </c>
      <c r="D2765" s="390" t="inlineStr">
        <is>
          <t>Chức năng kiểm toán nội bộ &gt;&gt; Chưa thực hiện</t>
        </is>
      </c>
      <c r="E2765" s="390" t="inlineStr">
        <is>
          <t>Chức năng kiểm toán nội bộ &gt;&gt; Chưa thực hiện</t>
        </is>
      </c>
      <c r="F2765" s="390" t="inlineStr">
        <is>
          <t>Data Explorer</t>
        </is>
      </c>
      <c r="G2765" s="390" t="inlineStr">
        <is>
          <t>Chỉ tiêu cơ sở</t>
        </is>
      </c>
      <c r="H2765" s="390" t="inlineStr">
        <is>
          <t>Trùng</t>
        </is>
      </c>
      <c r="I2765" s="390" t="inlineStr">
        <is>
          <t>Ngày, CTCK</t>
        </is>
      </c>
      <c r="J2765" s="401" t="inlineStr">
        <is>
          <t>SCMS</t>
        </is>
      </c>
      <c r="K2765" s="401" t="n"/>
      <c r="L2765" s="401" t="inlineStr">
        <is>
          <t>X</t>
        </is>
      </c>
      <c r="M2765" s="401" t="n"/>
      <c r="N2765" s="401" t="inlineStr">
        <is>
          <t>Done</t>
        </is>
      </c>
      <c r="O2765" s="401" t="n"/>
      <c r="P2765" s="22" t="n"/>
      <c r="Q2765" s="401" t="inlineStr">
        <is>
          <t>CBTT_BAO_CAO</t>
        </is>
      </c>
      <c r="R2765" s="401" t="inlineStr">
        <is>
          <t>MO_TA
LOAI_TIN</t>
        </is>
      </c>
      <c r="S2765" s="22" t="n"/>
      <c r="U2765" s="390" t="inlineStr">
        <is>
          <t>Dựa vào text để lấy dữ liệu</t>
        </is>
      </c>
      <c r="V2765" s="22" t="n"/>
      <c r="W2765" s="22" t="n"/>
      <c r="X2765" s="22" t="n"/>
      <c r="Y2765" s="13" t="n"/>
      <c r="Z2765" s="22" t="n"/>
      <c r="AA2765" s="22" t="n"/>
      <c r="AB2765" s="22" t="n"/>
      <c r="AC2765" s="22" t="n"/>
      <c r="AD2765" s="22" t="n"/>
      <c r="AE2765" s="22" t="n"/>
    </row>
    <row r="2766" ht="56" customHeight="1" s="380">
      <c r="A2766" s="139" t="n">
        <v>115</v>
      </c>
      <c r="B2766" s="390" t="n"/>
      <c r="C2766" s="390" t="inlineStr">
        <is>
          <t>Báo cáo giám sát quản trị công ty &gt;&gt; Báo cáo tình hình quản trị công ty - V.VIII.1</t>
        </is>
      </c>
      <c r="D2766" s="390" t="inlineStr">
        <is>
          <t>Họ và tên</t>
        </is>
      </c>
      <c r="E2766" s="401" t="inlineStr">
        <is>
          <t>Họ và tên</t>
        </is>
      </c>
      <c r="F2766" s="390" t="inlineStr">
        <is>
          <t>Data Explorer</t>
        </is>
      </c>
      <c r="G2766" s="390" t="inlineStr">
        <is>
          <t>Chỉ tiêu cơ sở</t>
        </is>
      </c>
      <c r="H2766" s="390" t="inlineStr">
        <is>
          <t>TB</t>
        </is>
      </c>
      <c r="I2766" s="390" t="inlineStr">
        <is>
          <t>Ngày, CTCK</t>
        </is>
      </c>
      <c r="J2766" s="401" t="inlineStr">
        <is>
          <t>SCMS</t>
        </is>
      </c>
      <c r="K2766" s="401" t="n"/>
      <c r="L2766" s="401" t="inlineStr">
        <is>
          <t>X</t>
        </is>
      </c>
      <c r="M2766" s="401" t="n"/>
      <c r="N2766" s="401" t="inlineStr">
        <is>
          <t>Done</t>
        </is>
      </c>
      <c r="O2766" s="401" t="n"/>
      <c r="P2766" s="22" t="n"/>
      <c r="Q2766" s="401" t="inlineStr">
        <is>
          <t>CTCK_CO_DONG
CTCK_CD_MOI_QUAN_HE</t>
        </is>
      </c>
      <c r="R2766" s="401" t="inlineStr">
        <is>
          <t>TEN_CO_DONG
HO_TEN</t>
        </is>
      </c>
      <c r="S2766" s="22" t="n"/>
      <c r="T2766" s="433" t="inlineStr">
        <is>
          <t>SELECT a.TEN_CO_DONG "Họ tên",
a.TAI_KHOAN_GD "Tài khoản giao dịch chứng khoán",
d.TEN_CHUC_VU "Chức vụ tại công ty",
a.SO_CMND "Số",
a.NGAY_CAP "Ngày cấp",
a.NOI_CAP "Nơi cấp",
a.DIA_CHI_HIEN_TAI "Địa chỉ liên hệ",
a.SO_LUONG_NAM_GIU "Số cổ phiếu sở hữu cuối kỳ",
a.TY_LE_NAM_GIU "Tỷ lệ sở hữu cổ phiếu cuối kỳ",
NULL "Ghi chú"
FROM SCMS.CTCK_CO_DONG a
LEFT JOIN SCMS.CTCK_NHAN_SU_CAO_CAP b ON a.CTCK_NHAN_SU_ID = b.ID
LEFT JOIN SCMS.CTCK_THONG_TIN c ON a.CTCK_THONG_TIN_ID = c.ID 
LEFT JOIN SCMS.DM_CHUC_VU d ON b.CHUC_VU_ID = d.ID
WHERE a.TY_LE_NAM_GIU &gt;= 5
UNION
SELECT a.HO_TEN AS "Họ tên",
NULL AS "Tài khoản giao dịch chứng khoán",
CASE WHEN a.NOI_LAM_VIEC = b.TEN_TIENG_VIET THEN a.VI_TRI_CONG_VIEC ELSE NULL END AS "Chức vụ tại công ty",
CAST(a.SO_CMND AS NVARCHAR2(30)) AS "Số",
a.NGAY_CAP AS "Ngày cấp",
a.NOI_CAP AS "Nơi cấp",
NULL AS "Địa chỉ liên hệ",
a.SO_LUONG_CP AS "Số cổ phiếu sở hữu cuối kỳ",
a.TY_LE_NAM_GIU AS "Tỷ lệ sở hữu cổ phiếu cuối kỳ",
a.MOI_QUAN_HE AS "Ghi chú"
FROM SCMS.CTCK_CD_MOI_QUAN_HE a
LEFT JOIN SCMS.CTCK_THONG_TIN b ON a.CTCK_THONG_TIN_ID = b.ID 
WHERE a.TY_LE_NAM_GIU &gt;= 5
UNION
SELECT a.HO_TEN "Họ tên",
NULL "Tài khoản giao dịch chứng khoán",
b.TEN_CHUC_VU "Chức vụ tại công ty",
a.SO_CMND "Số",
a.NGAY_CAP "Ngày cấp",
a.NOI_CAP "Nơi cấp",
a.DIA_CHI "Địa chỉ liên hệ",
c.SO_LUONG_NAM_GIU "Số cổ phiếu sở hữu cuối kỳ",
c.TY_LE_NAM_GIU "Tỷ lệ sở hữu cổ phiếu cuối kỳ",
NULL "Ghi chú"
FROM SCMS.CTCK_NHAN_SU_CAO_CAP a
LEFT JOIN SCMS.DM_CHUC_VU b ON a.CHUC_VU_ID = b.ID
LEFT JOIN SCMS.CTCK_CO_DONG c ON c.CTCK_NHAN_SU_ID = b.ID
UNION
SELECT CAST(a.HOTEN AS NVARCHAR2(100)) "Họ tên",
NULL "Tài khoản giao dịch chứng khoán",
CAST(a.CHUCVU AS NVARCHAR2(100)) "Chức vụ tại công ty",
CAST(a.SOCMT AS NVARCHAR2(30)) "Số",
a.NGAYCAPCMT "Ngày cấp",
CAST(a.NOICAPCMT AS NVARCHAR2(250)) "Nơi cấp",
CAST(a.DIACHITHUONGTRU AS NVARCHAR2(500)) "Địa chỉ liên hệ",
NULL AS "Số cổ phiếu sở hữu cuối kỳ",
NULL AS "Tỷ lệ sở hữu cổ phiếu cuối kỳ",
NULL AS "Ghi chú"
FROM SCMS.CTCK_NGUOI_HANH_NGHE_CK a
LEFT JOIN SCMS.CTCK_NHAN_SU_CAO_CAP b ON a.CTCK_NHAN_SU_ID = b.ID</t>
        </is>
      </c>
      <c r="U2766" s="390" t="n"/>
      <c r="V2766" s="22" t="n"/>
      <c r="W2766" s="22" t="n"/>
      <c r="X2766" s="22" t="n"/>
      <c r="Y2766" s="38" t="n"/>
      <c r="Z2766" s="22" t="n"/>
      <c r="AA2766" s="22" t="n"/>
      <c r="AB2766" s="22" t="n"/>
      <c r="AC2766" s="22" t="n"/>
      <c r="AD2766" s="22" t="n"/>
      <c r="AE2766" s="22" t="n"/>
    </row>
    <row r="2767" ht="56" customHeight="1" s="380">
      <c r="A2767" s="139" t="n">
        <v>115</v>
      </c>
      <c r="B2767" s="390" t="n"/>
      <c r="C2767" s="390" t="inlineStr">
        <is>
          <t>Báo cáo giám sát quản trị công ty &gt;&gt; Báo cáo tình hình quản trị công ty - V.VIII.1</t>
        </is>
      </c>
      <c r="D2767" s="390" t="inlineStr">
        <is>
          <t>Tài khoản giao dịch chứng khoán (nếu có)</t>
        </is>
      </c>
      <c r="E2767" s="401" t="inlineStr">
        <is>
          <t>Tài khoản giao dịch chứng khoán (nếu có)</t>
        </is>
      </c>
      <c r="F2767" s="390" t="inlineStr">
        <is>
          <t>Data Explorer</t>
        </is>
      </c>
      <c r="G2767" s="390" t="inlineStr">
        <is>
          <t>Chỉ tiêu cơ sở</t>
        </is>
      </c>
      <c r="H2767" s="390" t="inlineStr">
        <is>
          <t>TB</t>
        </is>
      </c>
      <c r="I2767" s="390" t="inlineStr">
        <is>
          <t>Ngày, CTCK</t>
        </is>
      </c>
      <c r="J2767" s="401" t="inlineStr">
        <is>
          <t>SCMS</t>
        </is>
      </c>
      <c r="K2767" s="401" t="n"/>
      <c r="L2767" s="401" t="inlineStr">
        <is>
          <t>X</t>
        </is>
      </c>
      <c r="M2767" s="401" t="n"/>
      <c r="N2767" s="401" t="inlineStr">
        <is>
          <t>Done</t>
        </is>
      </c>
      <c r="O2767" s="401" t="n"/>
      <c r="P2767" s="22" t="n"/>
      <c r="Q2767" s="401" t="inlineStr">
        <is>
          <t>CTCK_CO_DONG</t>
        </is>
      </c>
      <c r="R2767" s="401" t="inlineStr">
        <is>
          <t>TAI_KHOAN_GD</t>
        </is>
      </c>
      <c r="S2767" s="22" t="n"/>
      <c r="U2767" s="390" t="n"/>
      <c r="V2767" s="22" t="n"/>
      <c r="W2767" s="22" t="n"/>
      <c r="X2767" s="22" t="n"/>
      <c r="Y2767" s="13" t="n"/>
      <c r="Z2767" s="22" t="n"/>
      <c r="AA2767" s="22" t="n"/>
      <c r="AB2767" s="22" t="n"/>
      <c r="AC2767" s="22" t="n"/>
      <c r="AD2767" s="22" t="n"/>
      <c r="AE2767" s="22" t="n"/>
    </row>
    <row r="2768" ht="56" customHeight="1" s="380">
      <c r="A2768" s="139" t="n">
        <v>115</v>
      </c>
      <c r="B2768" s="390" t="n"/>
      <c r="C2768" s="390" t="inlineStr">
        <is>
          <t>Báo cáo giám sát quản trị công ty &gt;&gt; Báo cáo tình hình quản trị công ty - V.VIII.1</t>
        </is>
      </c>
      <c r="D2768" s="390" t="inlineStr">
        <is>
          <t>Chức vụ tại công ty (nếu có)</t>
        </is>
      </c>
      <c r="E2768" s="401" t="inlineStr">
        <is>
          <t>Chức vụ tại công ty (nếu có)</t>
        </is>
      </c>
      <c r="F2768" s="390" t="inlineStr">
        <is>
          <t>Data Explorer</t>
        </is>
      </c>
      <c r="G2768" s="390" t="inlineStr">
        <is>
          <t>Chỉ tiêu cơ sở</t>
        </is>
      </c>
      <c r="H2768" s="390" t="inlineStr">
        <is>
          <t>TB</t>
        </is>
      </c>
      <c r="I2768" s="390" t="inlineStr">
        <is>
          <t>Ngày, CTCK</t>
        </is>
      </c>
      <c r="J2768" s="401" t="inlineStr">
        <is>
          <t>SCMS</t>
        </is>
      </c>
      <c r="K2768" s="401" t="n"/>
      <c r="L2768" s="401" t="inlineStr">
        <is>
          <t>X</t>
        </is>
      </c>
      <c r="M2768" s="401" t="n"/>
      <c r="N2768" s="401" t="inlineStr">
        <is>
          <t>Done</t>
        </is>
      </c>
      <c r="O2768" s="401" t="n"/>
      <c r="P2768" s="22" t="n"/>
      <c r="Q2768" s="401" t="inlineStr">
        <is>
          <t>DM_CHUC_VU</t>
        </is>
      </c>
      <c r="R2768" s="401" t="inlineStr">
        <is>
          <t>TEN_CHUC_VU</t>
        </is>
      </c>
      <c r="S2768" s="22" t="n"/>
      <c r="U2768" s="390" t="n"/>
      <c r="V2768" s="22" t="n"/>
      <c r="W2768" s="22" t="n"/>
      <c r="X2768" s="22" t="n"/>
      <c r="Y2768" s="13" t="n"/>
      <c r="Z2768" s="22" t="n"/>
      <c r="AA2768" s="22" t="n"/>
      <c r="AB2768" s="22" t="n"/>
      <c r="AC2768" s="22" t="n"/>
      <c r="AD2768" s="22" t="n"/>
      <c r="AE2768" s="22" t="n"/>
    </row>
    <row r="2769" ht="56" customHeight="1" s="380">
      <c r="A2769" s="139" t="n">
        <v>115</v>
      </c>
      <c r="B2769" s="390" t="n"/>
      <c r="C2769" s="390" t="inlineStr">
        <is>
          <t>Báo cáo giám sát quản trị công ty &gt;&gt; Báo cáo tình hình quản trị công ty - V.VIII.1</t>
        </is>
      </c>
      <c r="D2769" s="390" t="inlineStr">
        <is>
          <t>Số CMND/Hộ chiếu &gt;&gt; Số</t>
        </is>
      </c>
      <c r="E2769" s="401" t="inlineStr">
        <is>
          <t>Số CMND/Hộ chiếu &gt;&gt; Số</t>
        </is>
      </c>
      <c r="F2769" s="390" t="inlineStr">
        <is>
          <t>Data Explorer</t>
        </is>
      </c>
      <c r="G2769" s="390" t="inlineStr">
        <is>
          <t>Chỉ tiêu cơ sở</t>
        </is>
      </c>
      <c r="H2769" s="390" t="inlineStr">
        <is>
          <t>TB</t>
        </is>
      </c>
      <c r="I2769" s="390" t="inlineStr">
        <is>
          <t>Ngày, CTCK</t>
        </is>
      </c>
      <c r="J2769" s="401" t="inlineStr">
        <is>
          <t>SCMS</t>
        </is>
      </c>
      <c r="K2769" s="401" t="n"/>
      <c r="L2769" s="401" t="inlineStr">
        <is>
          <t>X</t>
        </is>
      </c>
      <c r="M2769" s="401" t="n"/>
      <c r="N2769" s="401" t="inlineStr">
        <is>
          <t>Done</t>
        </is>
      </c>
      <c r="O2769" s="401" t="n"/>
      <c r="P2769" s="22" t="n"/>
      <c r="Q2769" s="401" t="inlineStr">
        <is>
          <t>CTCK_CO_DONG
CTCK_CD_MOI_QUAN_HE</t>
        </is>
      </c>
      <c r="R2769" s="401" t="inlineStr">
        <is>
          <t>SO_CMND</t>
        </is>
      </c>
      <c r="S2769" s="22" t="n"/>
      <c r="U2769" s="390" t="n"/>
      <c r="V2769" s="22" t="n"/>
      <c r="W2769" s="22" t="n"/>
      <c r="X2769" s="22" t="n"/>
      <c r="Y2769" s="13" t="n"/>
      <c r="Z2769" s="22" t="n"/>
      <c r="AA2769" s="22" t="n"/>
      <c r="AB2769" s="22" t="n"/>
      <c r="AC2769" s="22" t="n"/>
      <c r="AD2769" s="22" t="n"/>
      <c r="AE2769" s="22" t="n"/>
    </row>
    <row r="2770" ht="56" customHeight="1" s="380">
      <c r="A2770" s="139" t="n">
        <v>115</v>
      </c>
      <c r="B2770" s="390" t="n"/>
      <c r="C2770" s="390" t="inlineStr">
        <is>
          <t>Báo cáo giám sát quản trị công ty &gt;&gt; Báo cáo tình hình quản trị công ty - V.VIII.1</t>
        </is>
      </c>
      <c r="D2770" s="390" t="inlineStr">
        <is>
          <t>Số CMND/Hộ chiếu &gt;&gt; Ngày cấp</t>
        </is>
      </c>
      <c r="E2770" s="401" t="inlineStr">
        <is>
          <t>Số CMND/Hộ chiếu &gt;&gt; Ngày cấp</t>
        </is>
      </c>
      <c r="F2770" s="390" t="inlineStr">
        <is>
          <t>Data Explorer</t>
        </is>
      </c>
      <c r="G2770" s="390" t="inlineStr">
        <is>
          <t>Chỉ tiêu cơ sở</t>
        </is>
      </c>
      <c r="H2770" s="390" t="inlineStr">
        <is>
          <t>TB</t>
        </is>
      </c>
      <c r="I2770" s="390" t="inlineStr">
        <is>
          <t>Ngày, CTCK</t>
        </is>
      </c>
      <c r="J2770" s="401" t="inlineStr">
        <is>
          <t>SCMS</t>
        </is>
      </c>
      <c r="K2770" s="401" t="n"/>
      <c r="L2770" s="401" t="inlineStr">
        <is>
          <t>X</t>
        </is>
      </c>
      <c r="M2770" s="401" t="n"/>
      <c r="N2770" s="401" t="inlineStr">
        <is>
          <t>Done</t>
        </is>
      </c>
      <c r="O2770" s="401" t="n"/>
      <c r="P2770" s="22" t="n"/>
      <c r="Q2770" s="401" t="inlineStr">
        <is>
          <t>CTCK_CO_DONG
CTCK_CD_MOI_QUAN_HE</t>
        </is>
      </c>
      <c r="R2770" s="401" t="inlineStr">
        <is>
          <t>NGAY_CAP</t>
        </is>
      </c>
      <c r="S2770" s="22" t="n"/>
      <c r="U2770" s="390" t="n"/>
      <c r="V2770" s="22" t="n"/>
      <c r="W2770" s="22" t="n"/>
      <c r="X2770" s="22" t="n"/>
      <c r="Y2770" s="13" t="n"/>
      <c r="Z2770" s="22" t="n"/>
      <c r="AA2770" s="22" t="n"/>
      <c r="AB2770" s="22" t="n"/>
      <c r="AC2770" s="22" t="n"/>
      <c r="AD2770" s="22" t="n"/>
      <c r="AE2770" s="22" t="n"/>
    </row>
    <row r="2771" ht="56" customHeight="1" s="380">
      <c r="A2771" s="139" t="n">
        <v>115</v>
      </c>
      <c r="B2771" s="390" t="n"/>
      <c r="C2771" s="390" t="inlineStr">
        <is>
          <t>Báo cáo giám sát quản trị công ty &gt;&gt; Báo cáo tình hình quản trị công ty - V.VIII.1</t>
        </is>
      </c>
      <c r="D2771" s="390" t="inlineStr">
        <is>
          <t>Số CMND/Hộ chiếu &gt;&gt; Nơi cấp</t>
        </is>
      </c>
      <c r="E2771" s="401" t="inlineStr">
        <is>
          <t>Số CMND/Hộ chiếu &gt;&gt; Nơi cấp</t>
        </is>
      </c>
      <c r="F2771" s="390" t="inlineStr">
        <is>
          <t>Data Explorer</t>
        </is>
      </c>
      <c r="G2771" s="390" t="inlineStr">
        <is>
          <t>Chỉ tiêu cơ sở</t>
        </is>
      </c>
      <c r="H2771" s="390" t="inlineStr">
        <is>
          <t>TB</t>
        </is>
      </c>
      <c r="I2771" s="390" t="inlineStr">
        <is>
          <t>Ngày, CTCK</t>
        </is>
      </c>
      <c r="J2771" s="401" t="inlineStr">
        <is>
          <t>SCMS</t>
        </is>
      </c>
      <c r="K2771" s="401" t="n"/>
      <c r="L2771" s="401" t="inlineStr">
        <is>
          <t>X</t>
        </is>
      </c>
      <c r="M2771" s="401" t="n"/>
      <c r="N2771" s="401" t="inlineStr">
        <is>
          <t>Done</t>
        </is>
      </c>
      <c r="O2771" s="401" t="n"/>
      <c r="P2771" s="22" t="n"/>
      <c r="Q2771" s="401" t="inlineStr">
        <is>
          <t>CTCK_CO_DONG
CTCK_CD_MOI_QUAN_HE</t>
        </is>
      </c>
      <c r="R2771" s="401" t="inlineStr">
        <is>
          <t>NOI_CAP</t>
        </is>
      </c>
      <c r="S2771" s="22" t="n"/>
      <c r="U2771" s="390" t="n"/>
      <c r="V2771" s="22" t="n"/>
      <c r="W2771" s="22" t="n"/>
      <c r="X2771" s="22" t="n"/>
      <c r="Y2771" s="13" t="n"/>
      <c r="Z2771" s="22" t="n"/>
      <c r="AA2771" s="22" t="n"/>
      <c r="AB2771" s="22" t="n"/>
      <c r="AC2771" s="22" t="n"/>
      <c r="AD2771" s="22" t="n"/>
      <c r="AE2771" s="22" t="n"/>
    </row>
    <row r="2772" ht="56" customHeight="1" s="380">
      <c r="A2772" s="139" t="n">
        <v>115</v>
      </c>
      <c r="B2772" s="390" t="n"/>
      <c r="C2772" s="390" t="inlineStr">
        <is>
          <t>Báo cáo giám sát quản trị công ty &gt;&gt; Báo cáo tình hình quản trị công ty - V.VIII.1</t>
        </is>
      </c>
      <c r="D2772" s="390" t="inlineStr">
        <is>
          <t>Địa chỉ liên hệ</t>
        </is>
      </c>
      <c r="E2772" s="401" t="inlineStr">
        <is>
          <t>Địa chỉ liên hệ</t>
        </is>
      </c>
      <c r="F2772" s="390" t="inlineStr">
        <is>
          <t>Data Explorer</t>
        </is>
      </c>
      <c r="G2772" s="390" t="inlineStr">
        <is>
          <t>Chỉ tiêu cơ sở</t>
        </is>
      </c>
      <c r="H2772" s="390" t="inlineStr">
        <is>
          <t>TB</t>
        </is>
      </c>
      <c r="I2772" s="390" t="inlineStr">
        <is>
          <t>Ngày, CTCK</t>
        </is>
      </c>
      <c r="J2772" s="401" t="inlineStr">
        <is>
          <t>SCMS</t>
        </is>
      </c>
      <c r="K2772" s="401" t="n"/>
      <c r="L2772" s="401" t="inlineStr">
        <is>
          <t>X</t>
        </is>
      </c>
      <c r="M2772" s="401" t="n"/>
      <c r="N2772" s="401" t="inlineStr">
        <is>
          <t>Done</t>
        </is>
      </c>
      <c r="O2772" s="401" t="n"/>
      <c r="P2772" s="22" t="n"/>
      <c r="Q2772" s="401" t="inlineStr">
        <is>
          <t>CTCK_CO_DONG</t>
        </is>
      </c>
      <c r="R2772" s="401" t="inlineStr">
        <is>
          <t>DIA_CHI_HIEN_TAI</t>
        </is>
      </c>
      <c r="S2772" s="22" t="n"/>
      <c r="U2772" s="390" t="n"/>
      <c r="V2772" s="22" t="n"/>
      <c r="W2772" s="22" t="n"/>
      <c r="X2772" s="22" t="n"/>
      <c r="Y2772" s="14" t="n"/>
      <c r="Z2772" s="22" t="n"/>
      <c r="AA2772" s="22" t="n"/>
      <c r="AB2772" s="22" t="n"/>
      <c r="AC2772" s="22" t="n"/>
      <c r="AD2772" s="22" t="n"/>
      <c r="AE2772" s="22" t="n"/>
    </row>
    <row r="2773" ht="56" customHeight="1" s="380">
      <c r="A2773" s="139" t="n">
        <v>115</v>
      </c>
      <c r="B2773" s="390" t="n"/>
      <c r="C2773" s="390" t="inlineStr">
        <is>
          <t>Báo cáo giám sát quản trị công ty &gt;&gt; Báo cáo tình hình quản trị công ty - V.VIII.1</t>
        </is>
      </c>
      <c r="D2773" s="390" t="inlineStr">
        <is>
          <t>Số cổ phiếu sở hữu cuối kỳ</t>
        </is>
      </c>
      <c r="E2773" s="401" t="inlineStr">
        <is>
          <t>Số cổ phiếu sở hữu cuối kỳ</t>
        </is>
      </c>
      <c r="F2773" s="390" t="inlineStr">
        <is>
          <t>Data Explorer</t>
        </is>
      </c>
      <c r="G2773" s="390" t="inlineStr">
        <is>
          <t>Chỉ tiêu cơ sở</t>
        </is>
      </c>
      <c r="H2773" s="390" t="inlineStr">
        <is>
          <t>TB</t>
        </is>
      </c>
      <c r="I2773" s="390" t="inlineStr">
        <is>
          <t>Ngày, CTCK</t>
        </is>
      </c>
      <c r="J2773" s="401" t="inlineStr">
        <is>
          <t>SCMS</t>
        </is>
      </c>
      <c r="K2773" s="401" t="n"/>
      <c r="L2773" s="401" t="inlineStr">
        <is>
          <t>X</t>
        </is>
      </c>
      <c r="M2773" s="401" t="n"/>
      <c r="N2773" s="401" t="inlineStr">
        <is>
          <t>Done</t>
        </is>
      </c>
      <c r="O2773" s="401" t="n"/>
      <c r="P2773" s="22" t="n"/>
      <c r="Q2773" s="401" t="inlineStr">
        <is>
          <t>CTCK_CO_DONG
CTCK_CD_MOI_QUAN_HE</t>
        </is>
      </c>
      <c r="R2773" s="401" t="inlineStr">
        <is>
          <t>SO_LUONG_NAM_GIU
SO_LUONG_CP</t>
        </is>
      </c>
      <c r="S2773" s="22" t="n"/>
      <c r="U2773" s="390" t="n"/>
      <c r="V2773" s="22" t="n"/>
      <c r="W2773" s="22" t="n"/>
      <c r="X2773" s="22" t="n"/>
      <c r="Y2773" s="13" t="n"/>
      <c r="Z2773" s="22" t="n"/>
      <c r="AA2773" s="22" t="n"/>
      <c r="AB2773" s="22" t="n"/>
      <c r="AC2773" s="22" t="n"/>
      <c r="AD2773" s="22" t="n"/>
      <c r="AE2773" s="22" t="n"/>
    </row>
    <row r="2774" ht="56" customHeight="1" s="380">
      <c r="A2774" s="139" t="n">
        <v>115</v>
      </c>
      <c r="B2774" s="390" t="n"/>
      <c r="C2774" s="390" t="inlineStr">
        <is>
          <t>Báo cáo giám sát quản trị công ty &gt;&gt; Báo cáo tình hình quản trị công ty - V.VIII.1</t>
        </is>
      </c>
      <c r="D2774" s="390" t="inlineStr">
        <is>
          <t>Tỷ lệ sở hữu cổ phiếu cuối kỳ</t>
        </is>
      </c>
      <c r="E2774" s="401" t="inlineStr">
        <is>
          <t>Tỷ lệ sở hữu cổ phiếu cuối kỳ</t>
        </is>
      </c>
      <c r="F2774" s="390" t="inlineStr">
        <is>
          <t>Data Explorer</t>
        </is>
      </c>
      <c r="G2774" s="390" t="inlineStr">
        <is>
          <t>Chỉ tiêu cơ sở</t>
        </is>
      </c>
      <c r="H2774" s="390" t="inlineStr">
        <is>
          <t>TB</t>
        </is>
      </c>
      <c r="I2774" s="390" t="inlineStr">
        <is>
          <t>Ngày, CTCK</t>
        </is>
      </c>
      <c r="J2774" s="401" t="inlineStr">
        <is>
          <t>SCMS</t>
        </is>
      </c>
      <c r="K2774" s="401" t="n"/>
      <c r="L2774" s="401" t="inlineStr">
        <is>
          <t>X</t>
        </is>
      </c>
      <c r="M2774" s="401" t="n"/>
      <c r="N2774" s="401" t="inlineStr">
        <is>
          <t>Done</t>
        </is>
      </c>
      <c r="O2774" s="401" t="n"/>
      <c r="P2774" s="22" t="n"/>
      <c r="Q2774" s="401" t="inlineStr">
        <is>
          <t>CTCK_CO_DONG
CTCK_CD_MOI_QUAN_HE</t>
        </is>
      </c>
      <c r="R2774" s="401" t="inlineStr">
        <is>
          <t>TY_LE_NAM_GIU</t>
        </is>
      </c>
      <c r="S2774" s="22" t="n"/>
      <c r="U2774" s="390" t="n"/>
      <c r="V2774" s="22" t="n"/>
      <c r="W2774" s="22" t="n"/>
      <c r="X2774" s="22" t="n"/>
      <c r="Y2774" s="13" t="n"/>
      <c r="Z2774" s="22" t="n"/>
      <c r="AA2774" s="22" t="n"/>
      <c r="AB2774" s="22" t="n"/>
      <c r="AC2774" s="22" t="n"/>
      <c r="AD2774" s="22" t="n"/>
      <c r="AE2774" s="22" t="n"/>
    </row>
    <row r="2775" ht="56" customHeight="1" s="380">
      <c r="A2775" s="143" t="n">
        <v>115</v>
      </c>
      <c r="B2775" s="129" t="n"/>
      <c r="C2775" s="129" t="inlineStr">
        <is>
          <t>Báo cáo giám sát quản trị công ty &gt;&gt; Báo cáo tình hình quản trị công ty - V.VIII.1</t>
        </is>
      </c>
      <c r="D2775" s="129" t="inlineStr">
        <is>
          <t>Ghi chú (Mối quan hệ với NNB)</t>
        </is>
      </c>
      <c r="E2775" s="85" t="inlineStr">
        <is>
          <t>Ghi chú (Mối quan hệ với NNB)</t>
        </is>
      </c>
      <c r="F2775" s="129" t="inlineStr">
        <is>
          <t>Data Explorer</t>
        </is>
      </c>
      <c r="G2775" s="129" t="inlineStr">
        <is>
          <t>Chỉ tiêu cơ sở</t>
        </is>
      </c>
      <c r="H2775" s="129" t="inlineStr">
        <is>
          <t>TB</t>
        </is>
      </c>
      <c r="I2775" s="129" t="inlineStr">
        <is>
          <t>Ngày, CTCK</t>
        </is>
      </c>
      <c r="J2775" s="85" t="inlineStr">
        <is>
          <t>SCMS</t>
        </is>
      </c>
      <c r="K2775" s="85" t="n"/>
      <c r="L2775" s="85" t="inlineStr">
        <is>
          <t>X</t>
        </is>
      </c>
      <c r="M2775" s="85" t="n"/>
      <c r="N2775" s="85" t="inlineStr">
        <is>
          <t>Done</t>
        </is>
      </c>
      <c r="O2775" s="85" t="n"/>
      <c r="P2775" s="130" t="n"/>
      <c r="Q2775" s="85" t="inlineStr">
        <is>
          <t>CTCK_CD_MOI_QUAN_HE</t>
        </is>
      </c>
      <c r="R2775" s="85" t="inlineStr">
        <is>
          <t>MOI_QUAN_HE</t>
        </is>
      </c>
      <c r="S2775" s="130" t="n"/>
      <c r="T2775" s="426" t="n"/>
      <c r="U2775" s="129" t="n"/>
      <c r="V2775" s="130" t="n"/>
      <c r="W2775" s="130" t="n"/>
      <c r="X2775" s="130" t="n"/>
      <c r="Y2775" s="97" t="n"/>
      <c r="Z2775" s="130" t="n"/>
      <c r="AA2775" s="130" t="n"/>
      <c r="AB2775" s="130" t="n"/>
      <c r="AC2775" s="130" t="n"/>
      <c r="AD2775" s="130" t="n"/>
      <c r="AE2775" s="130" t="n"/>
    </row>
    <row r="2776" ht="56" customHeight="1" s="380">
      <c r="A2776" s="139" t="n">
        <v>116</v>
      </c>
      <c r="B2776" s="140" t="inlineStr">
        <is>
          <t>Trang</t>
        </is>
      </c>
      <c r="C2776" s="127" t="inlineStr">
        <is>
          <t>Báo cáo giám sát quản trị công ty &gt;&gt; Báo cáo tình hình quản trị công ty - V.VII.3+VIII.2</t>
        </is>
      </c>
      <c r="D2776" s="106" t="inlineStr">
        <is>
          <t>Loại báo cáo</t>
        </is>
      </c>
      <c r="E2776" s="107" t="inlineStr">
        <is>
          <t>Loại báo cáo</t>
        </is>
      </c>
      <c r="F2776" s="390" t="inlineStr">
        <is>
          <t>Data Explorer</t>
        </is>
      </c>
      <c r="G2776" s="390" t="inlineStr">
        <is>
          <t>Chiều</t>
        </is>
      </c>
      <c r="H2776" s="390" t="inlineStr">
        <is>
          <t>Dễ</t>
        </is>
      </c>
      <c r="I2776" s="390" t="inlineStr">
        <is>
          <t>Ngày, CTCK</t>
        </is>
      </c>
      <c r="J2776" s="401" t="inlineStr">
        <is>
          <t>SCMS</t>
        </is>
      </c>
      <c r="K2776" s="401" t="inlineStr">
        <is>
          <t>X</t>
        </is>
      </c>
      <c r="L2776" s="401" t="inlineStr">
        <is>
          <t>X</t>
        </is>
      </c>
      <c r="M2776" s="401" t="n"/>
      <c r="N2776" s="401" t="inlineStr">
        <is>
          <t>Pending</t>
        </is>
      </c>
      <c r="O2776" s="401" t="n"/>
      <c r="P2776" s="22" t="n"/>
      <c r="Q2776" s="105" t="inlineStr">
        <is>
          <t>DB cũ không thấy biểu mẫu báo cáo này</t>
        </is>
      </c>
      <c r="R2776" s="401" t="n"/>
      <c r="S2776" s="22" t="n"/>
      <c r="T2776" s="403" t="n"/>
      <c r="U2776" s="390" t="n"/>
      <c r="V2776" s="22" t="n"/>
      <c r="W2776" s="22" t="n"/>
      <c r="X2776" s="22" t="n"/>
      <c r="Y2776" s="13" t="n"/>
      <c r="Z2776" s="22" t="n"/>
      <c r="AA2776" s="22" t="n"/>
      <c r="AB2776" s="22" t="n"/>
      <c r="AC2776" s="22" t="n"/>
      <c r="AD2776" s="22" t="n"/>
      <c r="AE2776" s="22" t="n"/>
    </row>
    <row r="2777" ht="56" customHeight="1" s="380">
      <c r="A2777" s="139" t="n">
        <v>116</v>
      </c>
      <c r="B2777" s="390" t="n"/>
      <c r="C2777" s="390" t="inlineStr">
        <is>
          <t>Báo cáo giám sát quản trị công ty &gt;&gt; Báo cáo tình hình quản trị công ty - V.VII.3+VIII.2</t>
        </is>
      </c>
      <c r="D2777" s="106" t="inlineStr">
        <is>
          <t>Kỳ báo cáo</t>
        </is>
      </c>
      <c r="E2777" s="107" t="inlineStr">
        <is>
          <t>Kỳ báo cáo</t>
        </is>
      </c>
      <c r="F2777" s="390" t="inlineStr">
        <is>
          <t>Data Explorer</t>
        </is>
      </c>
      <c r="G2777" s="390" t="inlineStr">
        <is>
          <t>Chiều</t>
        </is>
      </c>
      <c r="H2777" s="390" t="inlineStr">
        <is>
          <t>Dễ</t>
        </is>
      </c>
      <c r="I2777" s="390" t="inlineStr">
        <is>
          <t>Ngày, CTCK</t>
        </is>
      </c>
      <c r="J2777" s="401" t="inlineStr">
        <is>
          <t>SCMS</t>
        </is>
      </c>
      <c r="K2777" s="401" t="inlineStr">
        <is>
          <t>X</t>
        </is>
      </c>
      <c r="L2777" s="401" t="inlineStr">
        <is>
          <t>X</t>
        </is>
      </c>
      <c r="M2777" s="401" t="n"/>
      <c r="N2777" s="401" t="inlineStr">
        <is>
          <t>Pending</t>
        </is>
      </c>
      <c r="O2777" s="401" t="n"/>
      <c r="P2777" s="22" t="n"/>
      <c r="Q2777" s="401" t="n"/>
      <c r="R2777" s="401" t="n"/>
      <c r="S2777" s="22" t="n"/>
      <c r="T2777" s="390" t="n"/>
      <c r="U2777" s="390" t="n"/>
      <c r="V2777" s="22" t="n"/>
      <c r="W2777" s="22" t="n"/>
      <c r="X2777" s="22" t="n"/>
      <c r="Y2777" s="13" t="n"/>
      <c r="Z2777" s="22" t="n"/>
      <c r="AA2777" s="22" t="n"/>
      <c r="AB2777" s="22" t="n"/>
      <c r="AC2777" s="22" t="n"/>
      <c r="AD2777" s="22" t="n"/>
      <c r="AE2777" s="22" t="n"/>
    </row>
    <row r="2778" ht="56" customHeight="1" s="380">
      <c r="A2778" s="139" t="n">
        <v>116</v>
      </c>
      <c r="B2778" s="390" t="n"/>
      <c r="C2778" s="390" t="inlineStr">
        <is>
          <t>Báo cáo giám sát quản trị công ty &gt;&gt; Báo cáo tình hình quản trị công ty - V.VII.3+VIII.2</t>
        </is>
      </c>
      <c r="D2778" s="106" t="inlineStr">
        <is>
          <t>Mã báo cáo</t>
        </is>
      </c>
      <c r="E2778" s="107" t="inlineStr">
        <is>
          <t>Mã báo cáo</t>
        </is>
      </c>
      <c r="F2778" s="390" t="inlineStr">
        <is>
          <t>Data Explorer</t>
        </is>
      </c>
      <c r="G2778" s="390" t="inlineStr">
        <is>
          <t>Chiều</t>
        </is>
      </c>
      <c r="H2778" s="390" t="inlineStr">
        <is>
          <t>Dễ</t>
        </is>
      </c>
      <c r="I2778" s="390" t="inlineStr">
        <is>
          <t>Ngày, CTCK</t>
        </is>
      </c>
      <c r="J2778" s="401" t="inlineStr">
        <is>
          <t>SCMS</t>
        </is>
      </c>
      <c r="K2778" s="401" t="inlineStr">
        <is>
          <t>X</t>
        </is>
      </c>
      <c r="L2778" s="401" t="inlineStr">
        <is>
          <t>X</t>
        </is>
      </c>
      <c r="M2778" s="401" t="n"/>
      <c r="N2778" s="401" t="inlineStr">
        <is>
          <t>Pending</t>
        </is>
      </c>
      <c r="O2778" s="401" t="n"/>
      <c r="P2778" s="22" t="n"/>
      <c r="Q2778" s="401" t="n"/>
      <c r="R2778" s="401" t="n"/>
      <c r="S2778" s="22" t="n"/>
      <c r="T2778" s="390" t="n"/>
      <c r="U2778" s="390" t="n"/>
      <c r="V2778" s="22" t="n"/>
      <c r="W2778" s="22" t="n"/>
      <c r="X2778" s="22" t="n"/>
      <c r="Y2778" s="14" t="n"/>
      <c r="Z2778" s="22" t="n"/>
      <c r="AA2778" s="22" t="n"/>
      <c r="AB2778" s="22" t="n"/>
      <c r="AC2778" s="22" t="n"/>
      <c r="AD2778" s="22" t="n"/>
      <c r="AE2778" s="22" t="n"/>
    </row>
    <row r="2779" ht="56" customHeight="1" s="380">
      <c r="A2779" s="139" t="n">
        <v>116</v>
      </c>
      <c r="B2779" s="390" t="n"/>
      <c r="C2779" s="390" t="inlineStr">
        <is>
          <t>Báo cáo giám sát quản trị công ty &gt;&gt; Báo cáo tình hình quản trị công ty - V.VII.3+VIII.2</t>
        </is>
      </c>
      <c r="D2779" s="106" t="inlineStr">
        <is>
          <t>Tên báo cáo</t>
        </is>
      </c>
      <c r="E2779" s="107" t="inlineStr">
        <is>
          <t>Tên báo cáo</t>
        </is>
      </c>
      <c r="F2779" s="390" t="inlineStr">
        <is>
          <t>Data Explorer</t>
        </is>
      </c>
      <c r="G2779" s="390" t="inlineStr">
        <is>
          <t>Chiều</t>
        </is>
      </c>
      <c r="H2779" s="390" t="inlineStr">
        <is>
          <t>Dễ</t>
        </is>
      </c>
      <c r="I2779" s="390" t="inlineStr">
        <is>
          <t>Ngày, CTCK</t>
        </is>
      </c>
      <c r="J2779" s="401" t="inlineStr">
        <is>
          <t>SCMS</t>
        </is>
      </c>
      <c r="K2779" s="401" t="inlineStr">
        <is>
          <t>X</t>
        </is>
      </c>
      <c r="L2779" s="401" t="inlineStr">
        <is>
          <t>X</t>
        </is>
      </c>
      <c r="M2779" s="401" t="n"/>
      <c r="N2779" s="401" t="inlineStr">
        <is>
          <t>Pending</t>
        </is>
      </c>
      <c r="O2779" s="401" t="n"/>
      <c r="P2779" s="22" t="n"/>
      <c r="Q2779" s="401" t="n"/>
      <c r="R2779" s="401" t="n"/>
      <c r="S2779" s="22" t="n"/>
      <c r="T2779" s="390" t="n"/>
      <c r="U2779" s="390" t="n"/>
      <c r="V2779" s="22" t="n"/>
      <c r="W2779" s="22" t="n"/>
      <c r="X2779" s="22" t="n"/>
      <c r="Y2779" s="13" t="n"/>
      <c r="Z2779" s="22" t="n"/>
      <c r="AA2779" s="22" t="n"/>
      <c r="AB2779" s="22" t="n"/>
      <c r="AC2779" s="22" t="n"/>
      <c r="AD2779" s="22" t="n"/>
      <c r="AE2779" s="22" t="n"/>
    </row>
    <row r="2780" ht="56" customHeight="1" s="380">
      <c r="A2780" s="139" t="n">
        <v>116</v>
      </c>
      <c r="B2780" s="390" t="n"/>
      <c r="C2780" s="390" t="inlineStr">
        <is>
          <t>Báo cáo giám sát quản trị công ty &gt;&gt; Báo cáo tình hình quản trị công ty - V.VII.3+VIII.2</t>
        </is>
      </c>
      <c r="D2780" s="106" t="inlineStr">
        <is>
          <t>Mã chỉ tiêu</t>
        </is>
      </c>
      <c r="E2780" s="107" t="inlineStr">
        <is>
          <t>Mã chỉ tiêu</t>
        </is>
      </c>
      <c r="F2780" s="390" t="inlineStr">
        <is>
          <t>Data Explorer</t>
        </is>
      </c>
      <c r="G2780" s="390" t="inlineStr">
        <is>
          <t>Chiều</t>
        </is>
      </c>
      <c r="H2780" s="390" t="inlineStr">
        <is>
          <t>Dễ</t>
        </is>
      </c>
      <c r="I2780" s="390" t="inlineStr">
        <is>
          <t>Ngày, CTCK</t>
        </is>
      </c>
      <c r="J2780" s="401" t="inlineStr">
        <is>
          <t>SCMS</t>
        </is>
      </c>
      <c r="K2780" s="401" t="inlineStr">
        <is>
          <t>X</t>
        </is>
      </c>
      <c r="L2780" s="401" t="inlineStr">
        <is>
          <t>X</t>
        </is>
      </c>
      <c r="M2780" s="401" t="n"/>
      <c r="N2780" s="401" t="inlineStr">
        <is>
          <t>Pending</t>
        </is>
      </c>
      <c r="O2780" s="401" t="n"/>
      <c r="P2780" s="22" t="n"/>
      <c r="Q2780" s="401" t="n"/>
      <c r="R2780" s="401" t="n"/>
      <c r="S2780" s="22" t="n"/>
      <c r="T2780" s="390" t="n"/>
      <c r="U2780" s="390" t="n"/>
      <c r="V2780" s="22" t="n"/>
      <c r="W2780" s="22" t="n"/>
      <c r="X2780" s="22" t="n"/>
      <c r="Y2780" s="13" t="n"/>
      <c r="Z2780" s="22" t="n"/>
      <c r="AA2780" s="22" t="n"/>
      <c r="AB2780" s="22" t="n"/>
      <c r="AC2780" s="22" t="n"/>
      <c r="AD2780" s="22" t="n"/>
      <c r="AE2780" s="22" t="n"/>
    </row>
    <row r="2781" ht="56" customHeight="1" s="380">
      <c r="A2781" s="139" t="n">
        <v>116</v>
      </c>
      <c r="B2781" s="390" t="n"/>
      <c r="C2781" s="390" t="inlineStr">
        <is>
          <t>Báo cáo giám sát quản trị công ty &gt;&gt; Báo cáo tình hình quản trị công ty - V.VII.3+VIII.2</t>
        </is>
      </c>
      <c r="D2781" s="106" t="inlineStr">
        <is>
          <t>Tên chỉ tiêu</t>
        </is>
      </c>
      <c r="E2781" s="107" t="inlineStr">
        <is>
          <t>Tên chỉ tiêu</t>
        </is>
      </c>
      <c r="F2781" s="390" t="inlineStr">
        <is>
          <t>Data Explorer</t>
        </is>
      </c>
      <c r="G2781" s="390" t="inlineStr">
        <is>
          <t>Chiều</t>
        </is>
      </c>
      <c r="H2781" s="390" t="inlineStr">
        <is>
          <t>Dễ</t>
        </is>
      </c>
      <c r="I2781" s="390" t="inlineStr">
        <is>
          <t>Ngày, CTCK</t>
        </is>
      </c>
      <c r="J2781" s="401" t="inlineStr">
        <is>
          <t>SCMS</t>
        </is>
      </c>
      <c r="K2781" s="401" t="inlineStr">
        <is>
          <t>X</t>
        </is>
      </c>
      <c r="L2781" s="401" t="inlineStr">
        <is>
          <t>X</t>
        </is>
      </c>
      <c r="M2781" s="401" t="n"/>
      <c r="N2781" s="401" t="inlineStr">
        <is>
          <t>Pending</t>
        </is>
      </c>
      <c r="O2781" s="401" t="n"/>
      <c r="P2781" s="22" t="n"/>
      <c r="Q2781" s="401" t="n"/>
      <c r="R2781" s="401" t="n"/>
      <c r="S2781" s="22" t="n"/>
      <c r="T2781" s="390" t="n"/>
      <c r="U2781" s="390" t="n"/>
      <c r="V2781" s="22" t="n"/>
      <c r="W2781" s="22" t="n"/>
      <c r="X2781" s="22" t="n"/>
      <c r="Y2781" s="13" t="n"/>
      <c r="Z2781" s="22" t="n"/>
      <c r="AA2781" s="22" t="n"/>
      <c r="AB2781" s="22" t="n"/>
      <c r="AC2781" s="22" t="n"/>
      <c r="AD2781" s="22" t="n"/>
      <c r="AE2781" s="22" t="n"/>
    </row>
    <row r="2782" ht="56" customHeight="1" s="380">
      <c r="A2782" s="139" t="n">
        <v>116</v>
      </c>
      <c r="B2782" s="390" t="n"/>
      <c r="C2782" s="390" t="inlineStr">
        <is>
          <t>Báo cáo giám sát quản trị công ty &gt;&gt; Báo cáo tình hình quản trị công ty - V.VII.3+VIII.2</t>
        </is>
      </c>
      <c r="D2782" s="390" t="inlineStr">
        <is>
          <t>Tên CTCK</t>
        </is>
      </c>
      <c r="E2782" s="401" t="inlineStr">
        <is>
          <t>Tên CTCK</t>
        </is>
      </c>
      <c r="F2782" s="390" t="inlineStr">
        <is>
          <t>Data Explorer</t>
        </is>
      </c>
      <c r="G2782" s="390" t="inlineStr">
        <is>
          <t>Chỉ tiêu cơ sở</t>
        </is>
      </c>
      <c r="H2782" s="390" t="inlineStr">
        <is>
          <t>Trùng</t>
        </is>
      </c>
      <c r="I2782" s="390" t="inlineStr">
        <is>
          <t>Ngày, CTCK</t>
        </is>
      </c>
      <c r="J2782" s="401" t="inlineStr">
        <is>
          <t>SCMS</t>
        </is>
      </c>
      <c r="K2782" s="401" t="n"/>
      <c r="L2782" s="401" t="inlineStr">
        <is>
          <t>X</t>
        </is>
      </c>
      <c r="M2782" s="401" t="n"/>
      <c r="N2782" s="401" t="inlineStr">
        <is>
          <t>Done</t>
        </is>
      </c>
      <c r="O2782" s="401" t="n"/>
      <c r="P2782" s="22" t="n"/>
      <c r="Q2782" s="401" t="inlineStr">
        <is>
          <t>CTCK_THONG_TIN</t>
        </is>
      </c>
      <c r="R2782" s="401" t="inlineStr">
        <is>
          <t>TEN_TIENG_VIET</t>
        </is>
      </c>
      <c r="S2782" s="22" t="n"/>
      <c r="T2782" s="432" t="inlineStr">
        <is>
          <t>SELECT a.TEN_TIENG_VIET "Tên CTCK",
a.DIA_CHI "Địa chỉ trụ sở chính",
a.VON_DIEU_LE "Vốn điều lệ",
a.MA_CHUNG_KHOAN "Mã chứng khoán",
a.GIAY_PHEP_KINH_DOANH "Số giấy phép hoạt động",
a.NGAY_CAP_GPKD "Ngày cấp giấy phép hoạt động",
CASE WHEN b.TEN_LOAI_CONG_TY = 'CTCP' THEN 'x' ELSE '' END "Đại hội đồng cổ đông",
CASE WHEN d.NHOM_CHUC_VU = 'HDQT' THEN 'x' ELSE '' END "Hội đồng quản trị",
CASE WHEN LOWER(d.TEN_CHUC_VU) LIKE '%giám đốc%' THEN 'x' ELSE '' END "Tổng giám đốc/giám đốc",
CASE WHEN d.NHOM_CHUC_VU = 'BKS' THEN 'x' ELSE '' END "Ban kiểm soát",
CASE WHEN (b.TEN_LOAI_CONG_TY = 'CTCP' 
         AND d.NHOM_CHUC_VU != 'BKS') OR LOWER(d.TEN_CHUC_VU) LIKE '%ủy ban kiểm toán%'
         THEN 'x' ELSE '' END "Ủy ban kiểm toán",
CASE WHEN LOWER(e.MO_TA) LIKE '%cuộc họp ủy ban kiểm toán%' AND e.LOAI_TIN = 2 THEN 'Đã Thực hiện'
         ELSE 'Chưa thực hiện'
         END "Chức năng kiểm toán nội bộ",
MAX(REGEXP_SUBSTR(e.MO_TA, 'Người thực hiện giao dịch', 1, 1, NULL, 1)) AS "Người thực hiện giao dịch",
MAX(REGEXP_SUBSTR(e.MO_TA, 'Quan hệ với người nội bộ', 1, 1, NULL, 1)) AS "Quan hệ với người nội bộ",
MAX(REGEXP_SUBSTR(e.MO_TA, 'Chức vụ tại công ty niêm yết', 1, 1, NULL, 1)) AS "Chức vụ tại CTNY",
MAX(REGEXP_SUBSTR(e.MO_TA, 'Số cấp CMND/hộ chiếu', 1, 1, NULL, 1)) AS "Số cấp CMND/hộ chiếu",
MAX(REGEXP_SUBSTR(e.MO_TA, 'Ngày cấp CMND/hộ chiếu', 1, 1, NULL, 1)) AS "Ngày cấp CMND/hộ chiếu",
MAX(REGEXP_SUBSTR(e.MO_TA, 'Nơi cấp CMND/hộ chiếu', 1, 1, NULL, 1)) AS "Nơi cấp CMND/hộ chiếu",
MAX(REGEXP_SUBSTR(e.MO_TA, 'Địa chỉ', 1, 1, NULL, 1)) AS "Nơi cấp CMND/hộ chiếu",
MAX(REGEXP_SUBSTR(e.MO_TA, 'Tên công ty con, công ty do công ty niêm yết nắm quyền kiểm soát', 1, 1, NULL, 1)) AS "Tên công ty con, công ty do CTNY nắm quyền kiểm soát",
MAX(REGEXP_SUBSTR(e.MO_TA, 'Thời điểm giao dịch', 1, 1, NULL, 1)) AS "Thời điểm giao dịch",
MAX(REGEXP_SUBSTR(e.MO_TA, 'Nội dung, số lượng, tổng giá trị giao dịch', 1, 1, NULL, 1)) AS "Nội dung, số lượng, tổng giá trị giao dịch",
MAX(REGEXP_SUBSTR(e.MO_TA, 'Ghi chú', 1, 1, NULL, 1)) AS "Ghi chú",
MAX(REGEXP_SUBSTR(e.MO_TA, 'Số cổ phiếu sở hữu đầu kỳ', 1, 1, NULL, 1)) AS "Số cổ phiếu sở hữu đầu kỳ",
MAX(REGEXP_SUBSTR(e.MO_TA, 'Tỷ lệ cổ phiếu sở hữu đầu kỳ', 1, 1, NULL, 1)) AS "Tỷ lệ cổ phiếu sở hữu đầu kỳ",
MAX(REGEXP_SUBSTR(e.MO_TA, 'Số cổ phiếu sở hữu cuối kỳ', 1, 1, NULL, 1)) AS "Số cổ phiếu sở hữu cuối kỳ",
MAX(REGEXP_SUBSTR(e.MO_TA, 'Tỷ lệ cổ phiếu sở hữu cuối kỳ', 1, 1, NULL, 1)) AS "Tỷ lệ cổ phiếu sở hữu cuối kỳ",
MAX(REGEXP_SUBSTR(e.MO_TA, 'Lý do tăng, giảm', 1, 1, NULL, 1)) AS "Lý do tăng, giảm"
FROM SCMS.CTCK_THONG_TIN a
LEFT JOIN SCMS.DM_LOAI_CONG_TY b ON a.LOAI_CONG_TY_ID = b.ID 
LEFT JOIN SCMS.CTCK_NHAN_SU_CAO_CAP c ON a.CTCK_THONG_TIN_ID = c.CTCK_THONG_TIN_ID 
LEFT JOIN SCMS.DM_CHUC_VU d ON c.CHUC_VU_ID = d.ID 
LEFT JOIN SCMS.CBTT_BAO_CAO e ON a.ID = e.CTCK_THONG_TIN_ID 
GROUP BY a.TEN_TIENG_VIET ,
a.DIA_CHI ,
a.VON_DIEU_LE ,
a.MA_CHUNG_KHOAN ,
a.GIAY_PHEP_KINH_DOANH ,
a.NGAY_CAP_GPKD ,
CASE WHEN b.TEN_LOAI_CONG_TY = 'CTCP' THEN 'x' ELSE '' END ,
CASE WHEN d.NHOM_CHUC_VU = 'HDQT' THEN 'x' ELSE '' END,
CASE WHEN LOWER(d.TEN_CHUC_VU) LIKE '%giám đốc%' THEN 'x' ELSE '' END ,
CASE WHEN d.NHOM_CHUC_VU = 'BKS' THEN 'x' ELSE '' END ,
CASE WHEN (b.TEN_LOAI_CONG_TY = 'CTCP' 
         AND d.NHOM_CHUC_VU != 'BKS') OR LOWER(d.TEN_CHUC_VU) LIKE '%ủy ban kiểm toán%'
         THEN 'x' ELSE '' END ,
CASE WHEN LOWER(e.MO_TA) LIKE '%cuộc họp ủy ban kiểm toán%' AND e.LOAI_TIN = 2 THEN 'Đã Thực hiện'
         ELSE 'Chưa thực hiện'
         END</t>
        </is>
      </c>
      <c r="U2782" s="390" t="n"/>
      <c r="V2782" s="22" t="n"/>
      <c r="W2782" s="22" t="n"/>
      <c r="X2782" s="22" t="n"/>
      <c r="Y2782" s="13" t="n"/>
      <c r="Z2782" s="22" t="n"/>
      <c r="AA2782" s="22" t="n"/>
      <c r="AB2782" s="22" t="n"/>
      <c r="AC2782" s="22" t="n"/>
      <c r="AD2782" s="22" t="n"/>
      <c r="AE2782" s="22" t="n"/>
    </row>
    <row r="2783" ht="56" customHeight="1" s="380">
      <c r="A2783" s="139" t="n">
        <v>116</v>
      </c>
      <c r="B2783" s="390" t="n"/>
      <c r="C2783" s="390" t="inlineStr">
        <is>
          <t>Báo cáo giám sát quản trị công ty &gt;&gt; Báo cáo tình hình quản trị công ty - V.VII.3+VIII.2</t>
        </is>
      </c>
      <c r="D2783" s="390" t="inlineStr">
        <is>
          <t>Địa chỉ trụ sở chính</t>
        </is>
      </c>
      <c r="E2783" s="401" t="inlineStr">
        <is>
          <t>Địa chỉ trụ sở chính</t>
        </is>
      </c>
      <c r="F2783" s="390" t="inlineStr">
        <is>
          <t>Data Explorer</t>
        </is>
      </c>
      <c r="G2783" s="390" t="inlineStr">
        <is>
          <t>Chỉ tiêu cơ sở</t>
        </is>
      </c>
      <c r="H2783" s="390" t="inlineStr">
        <is>
          <t>Trùng</t>
        </is>
      </c>
      <c r="I2783" s="390" t="inlineStr">
        <is>
          <t>Ngày, CTCK</t>
        </is>
      </c>
      <c r="J2783" s="401" t="inlineStr">
        <is>
          <t>SCMS</t>
        </is>
      </c>
      <c r="K2783" s="401" t="n"/>
      <c r="L2783" s="401" t="inlineStr">
        <is>
          <t>X</t>
        </is>
      </c>
      <c r="M2783" s="401" t="n"/>
      <c r="N2783" s="401" t="inlineStr">
        <is>
          <t>Done</t>
        </is>
      </c>
      <c r="O2783" s="401" t="n"/>
      <c r="P2783" s="22" t="n"/>
      <c r="Q2783" s="401" t="inlineStr">
        <is>
          <t>CTCK_THONG_TIN</t>
        </is>
      </c>
      <c r="R2783" s="401" t="inlineStr">
        <is>
          <t>DIA_CHI</t>
        </is>
      </c>
      <c r="S2783" s="22" t="n"/>
      <c r="U2783" s="390" t="n"/>
      <c r="V2783" s="22" t="n"/>
      <c r="W2783" s="22" t="n"/>
      <c r="X2783" s="22" t="n"/>
      <c r="Y2783" s="13" t="n"/>
      <c r="Z2783" s="22" t="n"/>
      <c r="AA2783" s="22" t="n"/>
      <c r="AB2783" s="22" t="n"/>
      <c r="AC2783" s="22" t="n"/>
      <c r="AD2783" s="22" t="n"/>
      <c r="AE2783" s="22" t="n"/>
    </row>
    <row r="2784" ht="56" customHeight="1" s="380">
      <c r="A2784" s="139" t="n">
        <v>116</v>
      </c>
      <c r="B2784" s="390" t="n"/>
      <c r="C2784" s="390" t="inlineStr">
        <is>
          <t>Báo cáo giám sát quản trị công ty &gt;&gt; Báo cáo tình hình quản trị công ty - V.VII.3+VIII.2</t>
        </is>
      </c>
      <c r="D2784" s="390" t="inlineStr">
        <is>
          <t>Vốn Điều lệ</t>
        </is>
      </c>
      <c r="E2784" s="401" t="inlineStr">
        <is>
          <t>Vốn Điều lệ</t>
        </is>
      </c>
      <c r="F2784" s="390" t="inlineStr">
        <is>
          <t>Data Explorer</t>
        </is>
      </c>
      <c r="G2784" s="390" t="inlineStr">
        <is>
          <t>Chỉ tiêu cơ sở</t>
        </is>
      </c>
      <c r="H2784" s="390" t="inlineStr">
        <is>
          <t>Trùng</t>
        </is>
      </c>
      <c r="I2784" s="390" t="inlineStr">
        <is>
          <t>Ngày, CTCK</t>
        </is>
      </c>
      <c r="J2784" s="401" t="inlineStr">
        <is>
          <t>SCMS</t>
        </is>
      </c>
      <c r="K2784" s="401" t="n"/>
      <c r="L2784" s="401" t="inlineStr">
        <is>
          <t>X</t>
        </is>
      </c>
      <c r="M2784" s="401" t="n"/>
      <c r="N2784" s="401" t="inlineStr">
        <is>
          <t>Done</t>
        </is>
      </c>
      <c r="O2784" s="401" t="n"/>
      <c r="P2784" s="22" t="n"/>
      <c r="Q2784" s="401" t="inlineStr">
        <is>
          <t>CTCK_THONG_TIN</t>
        </is>
      </c>
      <c r="R2784" s="401" t="inlineStr">
        <is>
          <t>VON_DIEU_LE</t>
        </is>
      </c>
      <c r="S2784" s="22" t="n"/>
      <c r="U2784" s="390" t="n"/>
      <c r="V2784" s="22" t="n"/>
      <c r="W2784" s="22" t="n"/>
      <c r="X2784" s="22" t="n"/>
      <c r="Y2784" s="38" t="n"/>
      <c r="Z2784" s="22" t="n"/>
      <c r="AA2784" s="22" t="n"/>
      <c r="AB2784" s="22" t="n"/>
      <c r="AC2784" s="22" t="n"/>
      <c r="AD2784" s="22" t="n"/>
      <c r="AE2784" s="22" t="n"/>
    </row>
    <row r="2785" ht="56" customHeight="1" s="380">
      <c r="A2785" s="139" t="n">
        <v>116</v>
      </c>
      <c r="B2785" s="390" t="n"/>
      <c r="C2785" s="390" t="inlineStr">
        <is>
          <t>Báo cáo giám sát quản trị công ty &gt;&gt; Báo cáo tình hình quản trị công ty - V.VII.3+VIII.2</t>
        </is>
      </c>
      <c r="D2785" s="390" t="inlineStr">
        <is>
          <t>Mã CK</t>
        </is>
      </c>
      <c r="E2785" s="401" t="inlineStr">
        <is>
          <t>Mã CK</t>
        </is>
      </c>
      <c r="F2785" s="390" t="inlineStr">
        <is>
          <t>Data Explorer</t>
        </is>
      </c>
      <c r="G2785" s="390" t="inlineStr">
        <is>
          <t>Chỉ tiêu cơ sở</t>
        </is>
      </c>
      <c r="H2785" s="390" t="inlineStr">
        <is>
          <t>Trùng</t>
        </is>
      </c>
      <c r="I2785" s="390" t="inlineStr">
        <is>
          <t>Ngày, CTCK</t>
        </is>
      </c>
      <c r="J2785" s="401" t="inlineStr">
        <is>
          <t>SCMS</t>
        </is>
      </c>
      <c r="K2785" s="401" t="n"/>
      <c r="L2785" s="401" t="inlineStr">
        <is>
          <t>X</t>
        </is>
      </c>
      <c r="M2785" s="401" t="n"/>
      <c r="N2785" s="401" t="inlineStr">
        <is>
          <t>Done</t>
        </is>
      </c>
      <c r="O2785" s="401" t="n"/>
      <c r="P2785" s="22" t="n"/>
      <c r="Q2785" s="401" t="inlineStr">
        <is>
          <t>CTCK_THONG_TIN</t>
        </is>
      </c>
      <c r="R2785" s="401" t="inlineStr">
        <is>
          <t>MA_CHUNG_KHOAN</t>
        </is>
      </c>
      <c r="S2785" s="22" t="n"/>
      <c r="U2785" s="390" t="n"/>
      <c r="V2785" s="22" t="n"/>
      <c r="W2785" s="22" t="n"/>
      <c r="X2785" s="22" t="n"/>
      <c r="Y2785" s="13" t="n"/>
      <c r="Z2785" s="22" t="n"/>
      <c r="AA2785" s="22" t="n"/>
      <c r="AB2785" s="22" t="n"/>
      <c r="AC2785" s="22" t="n"/>
      <c r="AD2785" s="22" t="n"/>
      <c r="AE2785" s="22" t="n"/>
    </row>
    <row r="2786" ht="56" customHeight="1" s="380">
      <c r="A2786" s="139" t="n">
        <v>116</v>
      </c>
      <c r="B2786" s="390" t="n"/>
      <c r="C2786" s="390" t="inlineStr">
        <is>
          <t>Báo cáo giám sát quản trị công ty &gt;&gt; Báo cáo tình hình quản trị công ty - V.VII.3+VIII.2</t>
        </is>
      </c>
      <c r="D2786" s="390" t="inlineStr">
        <is>
          <t>Giấy phép Hoạt động của Chủ tịch UBCKNN cấp lần đầu &gt;&gt; Số</t>
        </is>
      </c>
      <c r="E2786" s="390" t="inlineStr">
        <is>
          <t>Giấy phép Hoạt động của Chủ tịch UBCKNN cấp lần đầu &gt;&gt; Số</t>
        </is>
      </c>
      <c r="F2786" s="390" t="inlineStr">
        <is>
          <t>Data Explorer</t>
        </is>
      </c>
      <c r="G2786" s="390" t="inlineStr">
        <is>
          <t>Chỉ tiêu cơ sở</t>
        </is>
      </c>
      <c r="H2786" s="390" t="inlineStr">
        <is>
          <t>Trùng</t>
        </is>
      </c>
      <c r="I2786" s="390" t="inlineStr">
        <is>
          <t>Ngày, CTCK</t>
        </is>
      </c>
      <c r="J2786" s="401" t="inlineStr">
        <is>
          <t>SCMS</t>
        </is>
      </c>
      <c r="K2786" s="401" t="n"/>
      <c r="L2786" s="401" t="inlineStr">
        <is>
          <t>X</t>
        </is>
      </c>
      <c r="M2786" s="401" t="n"/>
      <c r="N2786" s="401" t="inlineStr">
        <is>
          <t>Done</t>
        </is>
      </c>
      <c r="O2786" s="401" t="n"/>
      <c r="P2786" s="22" t="n"/>
      <c r="Q2786" s="401" t="inlineStr">
        <is>
          <t>CTCK_THONG_TIN</t>
        </is>
      </c>
      <c r="R2786" s="401" t="inlineStr">
        <is>
          <t>GIAY_PHEP_KINH_DOANH</t>
        </is>
      </c>
      <c r="S2786" s="22" t="n"/>
      <c r="U2786" s="390" t="n"/>
      <c r="V2786" s="22" t="n"/>
      <c r="W2786" s="22" t="n"/>
      <c r="X2786" s="22" t="n"/>
      <c r="Y2786" s="13" t="n"/>
      <c r="Z2786" s="22" t="n"/>
      <c r="AA2786" s="22" t="n"/>
      <c r="AB2786" s="22" t="n"/>
      <c r="AC2786" s="22" t="n"/>
      <c r="AD2786" s="22" t="n"/>
      <c r="AE2786" s="22" t="n"/>
    </row>
    <row r="2787" ht="56" customHeight="1" s="380">
      <c r="A2787" s="139" t="n">
        <v>116</v>
      </c>
      <c r="B2787" s="390" t="n"/>
      <c r="C2787" s="390" t="inlineStr">
        <is>
          <t>Báo cáo giám sát quản trị công ty &gt;&gt; Báo cáo tình hình quản trị công ty - V.VII.3+VIII.2</t>
        </is>
      </c>
      <c r="D2787" s="390" t="inlineStr">
        <is>
          <t>Giấy phép Hoạt động của Chủ tịch UBCKNN cấp lần đầu &gt;&gt; Ngày cấp</t>
        </is>
      </c>
      <c r="E2787" s="390" t="inlineStr">
        <is>
          <t>Giấy phép Hoạt động của Chủ tịch UBCKNN cấp lần đầu &gt;&gt; Ngày cấp</t>
        </is>
      </c>
      <c r="F2787" s="390" t="inlineStr">
        <is>
          <t>Data Explorer</t>
        </is>
      </c>
      <c r="G2787" s="390" t="inlineStr">
        <is>
          <t>Chỉ tiêu cơ sở</t>
        </is>
      </c>
      <c r="H2787" s="390" t="inlineStr">
        <is>
          <t>Trùng</t>
        </is>
      </c>
      <c r="I2787" s="390" t="inlineStr">
        <is>
          <t>Ngày, CTCK</t>
        </is>
      </c>
      <c r="J2787" s="401" t="inlineStr">
        <is>
          <t>SCMS</t>
        </is>
      </c>
      <c r="K2787" s="401" t="n"/>
      <c r="L2787" s="401" t="inlineStr">
        <is>
          <t>X</t>
        </is>
      </c>
      <c r="M2787" s="401" t="n"/>
      <c r="N2787" s="401" t="inlineStr">
        <is>
          <t>Done</t>
        </is>
      </c>
      <c r="O2787" s="401" t="n"/>
      <c r="P2787" s="22" t="n"/>
      <c r="Q2787" s="401" t="inlineStr">
        <is>
          <t>CTCK_THONG_TIN</t>
        </is>
      </c>
      <c r="R2787" s="401" t="inlineStr">
        <is>
          <t>NGAY_CAP_GPKD</t>
        </is>
      </c>
      <c r="S2787" s="22" t="n"/>
      <c r="U2787" s="390" t="n"/>
      <c r="V2787" s="22" t="n"/>
      <c r="W2787" s="22" t="n"/>
      <c r="X2787" s="22" t="n"/>
      <c r="Y2787" s="13" t="n"/>
      <c r="Z2787" s="22" t="n"/>
      <c r="AA2787" s="22" t="n"/>
      <c r="AB2787" s="22" t="n"/>
      <c r="AC2787" s="22" t="n"/>
      <c r="AD2787" s="22" t="n"/>
      <c r="AE2787" s="22" t="n"/>
    </row>
    <row r="2788" ht="56" customHeight="1" s="380">
      <c r="A2788" s="139" t="n">
        <v>116</v>
      </c>
      <c r="B2788" s="390" t="n"/>
      <c r="C2788" s="390" t="inlineStr">
        <is>
          <t>Báo cáo giám sát quản trị công ty &gt;&gt; Báo cáo tình hình quản trị công ty - V.VII.3+VIII.2</t>
        </is>
      </c>
      <c r="D2788" s="390" t="inlineStr">
        <is>
          <t>Đại hội đồng cổ đông</t>
        </is>
      </c>
      <c r="E2788" s="401" t="inlineStr">
        <is>
          <t>Đại hội đồng cổ đông</t>
        </is>
      </c>
      <c r="F2788" s="390" t="inlineStr">
        <is>
          <t>Data Explorer</t>
        </is>
      </c>
      <c r="G2788" s="390" t="inlineStr">
        <is>
          <t>Chỉ tiêu cơ sở</t>
        </is>
      </c>
      <c r="H2788" s="390" t="inlineStr">
        <is>
          <t>Trùng</t>
        </is>
      </c>
      <c r="I2788" s="390" t="inlineStr">
        <is>
          <t>Ngày, CTCK</t>
        </is>
      </c>
      <c r="J2788" s="401" t="inlineStr">
        <is>
          <t>SCMS</t>
        </is>
      </c>
      <c r="K2788" s="401" t="n"/>
      <c r="L2788" s="401" t="inlineStr">
        <is>
          <t>X</t>
        </is>
      </c>
      <c r="M2788" s="401" t="n"/>
      <c r="N2788" s="401" t="inlineStr">
        <is>
          <t>Done</t>
        </is>
      </c>
      <c r="O2788" s="401" t="n"/>
      <c r="P2788" s="22" t="n"/>
      <c r="Q2788" s="401" t="inlineStr">
        <is>
          <t>DM_LOAI_CONG_TY</t>
        </is>
      </c>
      <c r="R2788" s="401" t="inlineStr">
        <is>
          <t>TEN_LOAI_CONG_TY</t>
        </is>
      </c>
      <c r="S2788" s="22" t="n"/>
      <c r="U2788" s="390" t="n"/>
      <c r="V2788" s="22" t="n"/>
      <c r="W2788" s="22" t="n"/>
      <c r="X2788" s="22" t="n"/>
      <c r="Y2788" s="13" t="n"/>
      <c r="Z2788" s="22" t="n"/>
      <c r="AA2788" s="22" t="n"/>
      <c r="AB2788" s="22" t="n"/>
      <c r="AC2788" s="22" t="n"/>
      <c r="AD2788" s="22" t="n"/>
      <c r="AE2788" s="22" t="n"/>
    </row>
    <row r="2789" ht="56" customHeight="1" s="380">
      <c r="A2789" s="139" t="n">
        <v>116</v>
      </c>
      <c r="B2789" s="390" t="n"/>
      <c r="C2789" s="390" t="inlineStr">
        <is>
          <t>Báo cáo giám sát quản trị công ty &gt;&gt; Báo cáo tình hình quản trị công ty - V.VII.3+VIII.2</t>
        </is>
      </c>
      <c r="D2789" s="390" t="inlineStr">
        <is>
          <t>Hội đồng quản trị</t>
        </is>
      </c>
      <c r="E2789" s="401" t="inlineStr">
        <is>
          <t>Hội đồng quản trị</t>
        </is>
      </c>
      <c r="F2789" s="390" t="inlineStr">
        <is>
          <t>Data Explorer</t>
        </is>
      </c>
      <c r="G2789" s="390" t="inlineStr">
        <is>
          <t>Chỉ tiêu cơ sở</t>
        </is>
      </c>
      <c r="H2789" s="390" t="inlineStr">
        <is>
          <t>Trùng</t>
        </is>
      </c>
      <c r="I2789" s="390" t="inlineStr">
        <is>
          <t>Ngày, CTCK</t>
        </is>
      </c>
      <c r="J2789" s="401" t="inlineStr">
        <is>
          <t>SCMS</t>
        </is>
      </c>
      <c r="K2789" s="401" t="n"/>
      <c r="L2789" s="401" t="inlineStr">
        <is>
          <t>X</t>
        </is>
      </c>
      <c r="M2789" s="401" t="n"/>
      <c r="N2789" s="401" t="inlineStr">
        <is>
          <t>Done</t>
        </is>
      </c>
      <c r="O2789" s="401" t="n"/>
      <c r="P2789" s="22" t="n"/>
      <c r="Q2789" s="401" t="inlineStr">
        <is>
          <t>DM_CHUC_VU</t>
        </is>
      </c>
      <c r="R2789" s="401" t="inlineStr">
        <is>
          <t>NHOM_CHUC_VU</t>
        </is>
      </c>
      <c r="S2789" s="22" t="n"/>
      <c r="U2789" s="390" t="n"/>
      <c r="V2789" s="22" t="n"/>
      <c r="W2789" s="22" t="n"/>
      <c r="X2789" s="22" t="n"/>
      <c r="Y2789" s="13" t="n"/>
      <c r="Z2789" s="22" t="n"/>
      <c r="AA2789" s="22" t="n"/>
      <c r="AB2789" s="22" t="n"/>
      <c r="AC2789" s="22" t="n"/>
      <c r="AD2789" s="22" t="n"/>
      <c r="AE2789" s="22" t="n"/>
    </row>
    <row r="2790" ht="56" customHeight="1" s="380">
      <c r="A2790" s="139" t="n">
        <v>116</v>
      </c>
      <c r="B2790" s="390" t="n"/>
      <c r="C2790" s="390" t="inlineStr">
        <is>
          <t>Báo cáo giám sát quản trị công ty &gt;&gt; Báo cáo tình hình quản trị công ty - V.VII.3+VIII.2</t>
        </is>
      </c>
      <c r="D2790" s="390" t="inlineStr">
        <is>
          <t>Tổng giám đốc/Giám đốc</t>
        </is>
      </c>
      <c r="E2790" s="401" t="inlineStr">
        <is>
          <t>Tổng giám đốc/Giám đốc</t>
        </is>
      </c>
      <c r="F2790" s="390" t="inlineStr">
        <is>
          <t>Data Explorer</t>
        </is>
      </c>
      <c r="G2790" s="390" t="inlineStr">
        <is>
          <t>Chỉ tiêu cơ sở</t>
        </is>
      </c>
      <c r="H2790" s="390" t="inlineStr">
        <is>
          <t>Trùng</t>
        </is>
      </c>
      <c r="I2790" s="390" t="inlineStr">
        <is>
          <t>Ngày, CTCK</t>
        </is>
      </c>
      <c r="J2790" s="401" t="inlineStr">
        <is>
          <t>SCMS</t>
        </is>
      </c>
      <c r="K2790" s="401" t="n"/>
      <c r="L2790" s="401" t="inlineStr">
        <is>
          <t>X</t>
        </is>
      </c>
      <c r="M2790" s="401" t="n"/>
      <c r="N2790" s="401" t="inlineStr">
        <is>
          <t>Done</t>
        </is>
      </c>
      <c r="O2790" s="401" t="n"/>
      <c r="P2790" s="22" t="n"/>
      <c r="Q2790" s="401" t="inlineStr">
        <is>
          <t>DM_CHUC_VU</t>
        </is>
      </c>
      <c r="R2790" s="401" t="inlineStr">
        <is>
          <t>TEN_CHUC_VU</t>
        </is>
      </c>
      <c r="S2790" s="22" t="n"/>
      <c r="U2790" s="390" t="n"/>
      <c r="V2790" s="22" t="n"/>
      <c r="W2790" s="22" t="n"/>
      <c r="X2790" s="22" t="n"/>
      <c r="Y2790" s="38" t="n"/>
      <c r="Z2790" s="22" t="n"/>
      <c r="AA2790" s="22" t="n"/>
      <c r="AB2790" s="22" t="n"/>
      <c r="AC2790" s="22" t="n"/>
      <c r="AD2790" s="22" t="n"/>
      <c r="AE2790" s="22" t="n"/>
    </row>
    <row r="2791" ht="56" customHeight="1" s="380">
      <c r="A2791" s="139" t="n">
        <v>116</v>
      </c>
      <c r="B2791" s="390" t="n"/>
      <c r="C2791" s="390" t="inlineStr">
        <is>
          <t>Báo cáo giám sát quản trị công ty &gt;&gt; Báo cáo tình hình quản trị công ty - V.VII.3+VIII.2</t>
        </is>
      </c>
      <c r="D2791" s="390" t="inlineStr">
        <is>
          <t>Ban kiểm soát</t>
        </is>
      </c>
      <c r="E2791" s="401" t="inlineStr">
        <is>
          <t>Ban kiểm soát</t>
        </is>
      </c>
      <c r="F2791" s="390" t="inlineStr">
        <is>
          <t>Data Explorer</t>
        </is>
      </c>
      <c r="G2791" s="390" t="inlineStr">
        <is>
          <t>Chỉ tiêu cơ sở</t>
        </is>
      </c>
      <c r="H2791" s="390" t="inlineStr">
        <is>
          <t>Trùng</t>
        </is>
      </c>
      <c r="I2791" s="390" t="inlineStr">
        <is>
          <t>Ngày, CTCK</t>
        </is>
      </c>
      <c r="J2791" s="401" t="inlineStr">
        <is>
          <t>SCMS</t>
        </is>
      </c>
      <c r="K2791" s="401" t="n"/>
      <c r="L2791" s="401" t="inlineStr">
        <is>
          <t>X</t>
        </is>
      </c>
      <c r="M2791" s="401" t="n"/>
      <c r="N2791" s="401" t="inlineStr">
        <is>
          <t>Done</t>
        </is>
      </c>
      <c r="O2791" s="401" t="n"/>
      <c r="P2791" s="22" t="n"/>
      <c r="Q2791" s="401" t="inlineStr">
        <is>
          <t>DM_CHUC_VU</t>
        </is>
      </c>
      <c r="R2791" s="401" t="inlineStr">
        <is>
          <t>NHOM_CHUC_VU</t>
        </is>
      </c>
      <c r="S2791" s="22" t="n"/>
      <c r="U2791" s="390" t="n"/>
      <c r="V2791" s="22" t="n"/>
      <c r="W2791" s="22" t="n"/>
      <c r="X2791" s="22" t="n"/>
      <c r="Y2791" s="13" t="n"/>
      <c r="Z2791" s="22" t="n"/>
      <c r="AA2791" s="22" t="n"/>
      <c r="AB2791" s="22" t="n"/>
      <c r="AC2791" s="22" t="n"/>
      <c r="AD2791" s="22" t="n"/>
      <c r="AE2791" s="22" t="n"/>
    </row>
    <row r="2792" ht="56" customHeight="1" s="380">
      <c r="A2792" s="139" t="n">
        <v>116</v>
      </c>
      <c r="B2792" s="390" t="n"/>
      <c r="C2792" s="390" t="inlineStr">
        <is>
          <t>Báo cáo giám sát quản trị công ty &gt;&gt; Báo cáo tình hình quản trị công ty - V.VII.3+VIII.2</t>
        </is>
      </c>
      <c r="D2792" s="390" t="inlineStr">
        <is>
          <t>Ủy ban kiểm toán</t>
        </is>
      </c>
      <c r="E2792" s="401" t="inlineStr">
        <is>
          <t>Ủy ban kiểm toán</t>
        </is>
      </c>
      <c r="F2792" s="390" t="inlineStr">
        <is>
          <t>Data Explorer</t>
        </is>
      </c>
      <c r="G2792" s="390" t="inlineStr">
        <is>
          <t>Chỉ tiêu cơ sở</t>
        </is>
      </c>
      <c r="H2792" s="390" t="inlineStr">
        <is>
          <t>Trùng</t>
        </is>
      </c>
      <c r="I2792" s="390" t="inlineStr">
        <is>
          <t>Ngày, CTCK</t>
        </is>
      </c>
      <c r="J2792" s="401" t="inlineStr">
        <is>
          <t>SCMS</t>
        </is>
      </c>
      <c r="K2792" s="401" t="n"/>
      <c r="L2792" s="401" t="inlineStr">
        <is>
          <t>X</t>
        </is>
      </c>
      <c r="M2792" s="401" t="n"/>
      <c r="N2792" s="401" t="inlineStr">
        <is>
          <t>Done</t>
        </is>
      </c>
      <c r="O2792" s="401" t="n"/>
      <c r="P2792" s="22" t="n"/>
      <c r="Q2792" s="401" t="inlineStr">
        <is>
          <t>DM_CHUC_VU</t>
        </is>
      </c>
      <c r="R2792" s="401" t="inlineStr">
        <is>
          <t>NHOM_CHUC_VU</t>
        </is>
      </c>
      <c r="S2792" s="22" t="n"/>
      <c r="U2792" s="390" t="n"/>
      <c r="V2792" s="22" t="n"/>
      <c r="W2792" s="22" t="n"/>
      <c r="X2792" s="22" t="n"/>
      <c r="Y2792" s="13" t="n"/>
      <c r="Z2792" s="22" t="n"/>
      <c r="AA2792" s="22" t="n"/>
      <c r="AB2792" s="22" t="n"/>
      <c r="AC2792" s="22" t="n"/>
      <c r="AD2792" s="22" t="n"/>
      <c r="AE2792" s="22" t="n"/>
    </row>
    <row r="2793" ht="56" customHeight="1" s="380">
      <c r="A2793" s="139" t="n">
        <v>116</v>
      </c>
      <c r="B2793" s="390" t="n"/>
      <c r="C2793" s="390" t="inlineStr">
        <is>
          <t>Báo cáo giám sát quản trị công ty &gt;&gt; Báo cáo tình hình quản trị công ty - V.VII.3+VIII.2</t>
        </is>
      </c>
      <c r="D2793" s="390" t="inlineStr">
        <is>
          <t>Chức năng kiểm toán nội bộ &gt;&gt; Đã thực hiện</t>
        </is>
      </c>
      <c r="E2793" s="390" t="inlineStr">
        <is>
          <t>Chức năng kiểm toán nội bộ &gt;&gt; Đã thực hiện</t>
        </is>
      </c>
      <c r="F2793" s="390" t="inlineStr">
        <is>
          <t>Data Explorer</t>
        </is>
      </c>
      <c r="G2793" s="390" t="inlineStr">
        <is>
          <t>Chỉ tiêu cơ sở</t>
        </is>
      </c>
      <c r="H2793" s="390" t="inlineStr">
        <is>
          <t>Trùng</t>
        </is>
      </c>
      <c r="I2793" s="390" t="inlineStr">
        <is>
          <t>Ngày, CTCK</t>
        </is>
      </c>
      <c r="J2793" s="401" t="inlineStr">
        <is>
          <t>SCMS</t>
        </is>
      </c>
      <c r="K2793" s="401" t="n"/>
      <c r="L2793" s="401" t="inlineStr">
        <is>
          <t>X</t>
        </is>
      </c>
      <c r="M2793" s="401" t="n"/>
      <c r="N2793" s="401" t="inlineStr">
        <is>
          <t>Done</t>
        </is>
      </c>
      <c r="O2793" s="401" t="n"/>
      <c r="P2793" s="22" t="n"/>
      <c r="Q2793" s="401" t="n"/>
      <c r="R2793" s="401" t="n"/>
      <c r="S2793" s="22" t="n"/>
      <c r="U2793" s="390" t="inlineStr">
        <is>
          <t>Dựa vào text để lấy dữ liệu</t>
        </is>
      </c>
      <c r="V2793" s="22" t="n"/>
      <c r="W2793" s="22" t="n"/>
      <c r="X2793" s="22" t="n"/>
      <c r="Y2793" s="13" t="n"/>
      <c r="Z2793" s="22" t="n"/>
      <c r="AA2793" s="22" t="n"/>
      <c r="AB2793" s="22" t="n"/>
      <c r="AC2793" s="22" t="n"/>
      <c r="AD2793" s="22" t="n"/>
      <c r="AE2793" s="22" t="n"/>
    </row>
    <row r="2794" ht="56" customHeight="1" s="380">
      <c r="A2794" s="139" t="n">
        <v>116</v>
      </c>
      <c r="B2794" s="390" t="n"/>
      <c r="C2794" s="390" t="inlineStr">
        <is>
          <t>Báo cáo giám sát quản trị công ty &gt;&gt; Báo cáo tình hình quản trị công ty - V.VII.3+VIII.2</t>
        </is>
      </c>
      <c r="D2794" s="390" t="inlineStr">
        <is>
          <t>Chức năng kiểm toán nội bộ &gt;&gt; Chưa thực hiện</t>
        </is>
      </c>
      <c r="E2794" s="390" t="inlineStr">
        <is>
          <t>Chức năng kiểm toán nội bộ &gt;&gt; Chưa thực hiện</t>
        </is>
      </c>
      <c r="F2794" s="390" t="inlineStr">
        <is>
          <t>Data Explorer</t>
        </is>
      </c>
      <c r="G2794" s="390" t="inlineStr">
        <is>
          <t>Chỉ tiêu cơ sở</t>
        </is>
      </c>
      <c r="H2794" s="390" t="inlineStr">
        <is>
          <t>Trùng</t>
        </is>
      </c>
      <c r="I2794" s="390" t="inlineStr">
        <is>
          <t>Ngày, CTCK</t>
        </is>
      </c>
      <c r="J2794" s="401" t="inlineStr">
        <is>
          <t>SCMS</t>
        </is>
      </c>
      <c r="K2794" s="401" t="n"/>
      <c r="L2794" s="401" t="inlineStr">
        <is>
          <t>X</t>
        </is>
      </c>
      <c r="M2794" s="401" t="n"/>
      <c r="N2794" s="401" t="inlineStr">
        <is>
          <t>Done</t>
        </is>
      </c>
      <c r="O2794" s="401" t="n"/>
      <c r="P2794" s="22" t="n"/>
      <c r="Q2794" s="401" t="n"/>
      <c r="R2794" s="401" t="n"/>
      <c r="S2794" s="22" t="n"/>
      <c r="U2794" s="390" t="inlineStr">
        <is>
          <t>Dựa vào text để lấy dữ liệu</t>
        </is>
      </c>
      <c r="V2794" s="22" t="n"/>
      <c r="W2794" s="22" t="n"/>
      <c r="X2794" s="22" t="n"/>
      <c r="Y2794" s="13" t="n"/>
      <c r="Z2794" s="22" t="n"/>
      <c r="AA2794" s="22" t="n"/>
      <c r="AB2794" s="22" t="n"/>
      <c r="AC2794" s="22" t="n"/>
      <c r="AD2794" s="22" t="n"/>
      <c r="AE2794" s="22" t="n"/>
    </row>
    <row r="2795" ht="56" customHeight="1" s="380">
      <c r="A2795" s="139" t="n">
        <v>116</v>
      </c>
      <c r="B2795" s="390" t="n"/>
      <c r="C2795" s="390" t="inlineStr">
        <is>
          <t>Báo cáo giám sát quản trị công ty &gt;&gt; Báo cáo tình hình quản trị công ty - V.VII.3+VIII.2</t>
        </is>
      </c>
      <c r="D2795" s="390" t="inlineStr">
        <is>
          <t>Người thực hiện giao dịch</t>
        </is>
      </c>
      <c r="E2795" s="401" t="inlineStr">
        <is>
          <t>Người thực hiện giao dịch</t>
        </is>
      </c>
      <c r="F2795" s="390" t="inlineStr">
        <is>
          <t>Data Explorer</t>
        </is>
      </c>
      <c r="G2795" s="390" t="inlineStr">
        <is>
          <t>Chỉ tiêu cơ sở</t>
        </is>
      </c>
      <c r="H2795" s="390" t="inlineStr">
        <is>
          <t>TB</t>
        </is>
      </c>
      <c r="I2795" s="390" t="inlineStr">
        <is>
          <t>Ngày, CTCK</t>
        </is>
      </c>
      <c r="J2795" s="401" t="inlineStr">
        <is>
          <t>SCMS</t>
        </is>
      </c>
      <c r="K2795" s="401" t="n"/>
      <c r="L2795" s="401" t="inlineStr">
        <is>
          <t>X</t>
        </is>
      </c>
      <c r="M2795" s="401" t="n"/>
      <c r="N2795" s="401" t="inlineStr">
        <is>
          <t>Done</t>
        </is>
      </c>
      <c r="O2795" s="401" t="n"/>
      <c r="P2795" s="22" t="n"/>
      <c r="Q2795" s="401" t="n"/>
      <c r="R2795" s="401" t="n"/>
      <c r="S2795" s="22" t="n"/>
      <c r="U2795" s="390" t="inlineStr">
        <is>
          <t>Dựa vào text để lấy dữ liệu</t>
        </is>
      </c>
      <c r="V2795" s="22" t="n"/>
      <c r="W2795" s="22" t="n"/>
      <c r="X2795" s="22" t="n"/>
      <c r="Y2795" s="13" t="n"/>
      <c r="Z2795" s="22" t="n"/>
      <c r="AA2795" s="22" t="n"/>
      <c r="AB2795" s="22" t="n"/>
      <c r="AC2795" s="22" t="n"/>
      <c r="AD2795" s="22" t="n"/>
      <c r="AE2795" s="22" t="n"/>
    </row>
    <row r="2796" ht="56" customHeight="1" s="380">
      <c r="A2796" s="139" t="n">
        <v>116</v>
      </c>
      <c r="B2796" s="390" t="n"/>
      <c r="C2796" s="390" t="inlineStr">
        <is>
          <t>Báo cáo giám sát quản trị công ty &gt;&gt; Báo cáo tình hình quản trị công ty - V.VII.3+VIII.2</t>
        </is>
      </c>
      <c r="D2796" s="390" t="inlineStr">
        <is>
          <t>Quan hệ với người nội bộ</t>
        </is>
      </c>
      <c r="E2796" s="401" t="inlineStr">
        <is>
          <t>Quan hệ với người nội bộ</t>
        </is>
      </c>
      <c r="F2796" s="390" t="inlineStr">
        <is>
          <t>Data Explorer</t>
        </is>
      </c>
      <c r="G2796" s="390" t="inlineStr">
        <is>
          <t>Chỉ tiêu cơ sở</t>
        </is>
      </c>
      <c r="H2796" s="390" t="inlineStr">
        <is>
          <t>TB</t>
        </is>
      </c>
      <c r="I2796" s="390" t="inlineStr">
        <is>
          <t>Ngày, CTCK</t>
        </is>
      </c>
      <c r="J2796" s="401" t="inlineStr">
        <is>
          <t>SCMS</t>
        </is>
      </c>
      <c r="K2796" s="401" t="n"/>
      <c r="L2796" s="401" t="inlineStr">
        <is>
          <t>X</t>
        </is>
      </c>
      <c r="M2796" s="401" t="n"/>
      <c r="N2796" s="401" t="inlineStr">
        <is>
          <t>Done</t>
        </is>
      </c>
      <c r="O2796" s="401" t="n"/>
      <c r="P2796" s="22" t="n"/>
      <c r="Q2796" s="401" t="n"/>
      <c r="R2796" s="401" t="n"/>
      <c r="S2796" s="22" t="n"/>
      <c r="U2796" s="390" t="inlineStr">
        <is>
          <t>Dựa vào text để lấy dữ liệu</t>
        </is>
      </c>
      <c r="V2796" s="22" t="n"/>
      <c r="W2796" s="22" t="n"/>
      <c r="X2796" s="22" t="n"/>
      <c r="Y2796" s="38" t="n"/>
      <c r="Z2796" s="22" t="n"/>
      <c r="AA2796" s="22" t="n"/>
      <c r="AB2796" s="22" t="n"/>
      <c r="AC2796" s="22" t="n"/>
      <c r="AD2796" s="22" t="n"/>
      <c r="AE2796" s="22" t="n"/>
    </row>
    <row r="2797" ht="56" customHeight="1" s="380">
      <c r="A2797" s="139" t="n">
        <v>116</v>
      </c>
      <c r="B2797" s="390" t="n"/>
      <c r="C2797" s="390" t="inlineStr">
        <is>
          <t>Báo cáo giám sát quản trị công ty &gt;&gt; Báo cáo tình hình quản trị công ty - V.VII.3+VIII.2</t>
        </is>
      </c>
      <c r="D2797" s="390" t="inlineStr">
        <is>
          <t>Chức vụ tại CTNY</t>
        </is>
      </c>
      <c r="E2797" s="401" t="inlineStr">
        <is>
          <t>Chức vụ tại CTNY</t>
        </is>
      </c>
      <c r="F2797" s="390" t="inlineStr">
        <is>
          <t>Data Explorer</t>
        </is>
      </c>
      <c r="G2797" s="390" t="inlineStr">
        <is>
          <t>Chỉ tiêu cơ sở</t>
        </is>
      </c>
      <c r="H2797" s="390" t="inlineStr">
        <is>
          <t>TB</t>
        </is>
      </c>
      <c r="I2797" s="390" t="inlineStr">
        <is>
          <t>Ngày, CTCK</t>
        </is>
      </c>
      <c r="J2797" s="401" t="inlineStr">
        <is>
          <t>SCMS</t>
        </is>
      </c>
      <c r="K2797" s="401" t="n"/>
      <c r="L2797" s="401" t="inlineStr">
        <is>
          <t>X</t>
        </is>
      </c>
      <c r="M2797" s="401" t="n"/>
      <c r="N2797" s="401" t="inlineStr">
        <is>
          <t>Done</t>
        </is>
      </c>
      <c r="O2797" s="401" t="n"/>
      <c r="P2797" s="22" t="n"/>
      <c r="Q2797" s="401" t="n"/>
      <c r="R2797" s="401" t="n"/>
      <c r="S2797" s="22" t="n"/>
      <c r="U2797" s="390" t="inlineStr">
        <is>
          <t>Dựa vào text để lấy dữ liệu</t>
        </is>
      </c>
      <c r="V2797" s="22" t="n"/>
      <c r="W2797" s="22" t="n"/>
      <c r="X2797" s="22" t="n"/>
      <c r="Y2797" s="13" t="n"/>
      <c r="Z2797" s="22" t="n"/>
      <c r="AA2797" s="22" t="n"/>
      <c r="AB2797" s="22" t="n"/>
      <c r="AC2797" s="22" t="n"/>
      <c r="AD2797" s="22" t="n"/>
      <c r="AE2797" s="22" t="n"/>
    </row>
    <row r="2798" ht="56" customHeight="1" s="380">
      <c r="A2798" s="139" t="n">
        <v>116</v>
      </c>
      <c r="B2798" s="390" t="n"/>
      <c r="C2798" s="390" t="inlineStr">
        <is>
          <t>Báo cáo giám sát quản trị công ty &gt;&gt; Báo cáo tình hình quản trị công ty - V.VII.3+VIII.2</t>
        </is>
      </c>
      <c r="D2798" s="390" t="inlineStr">
        <is>
          <t>CMND/Hộ chiếu &gt;&gt; Số</t>
        </is>
      </c>
      <c r="E2798" s="401" t="inlineStr">
        <is>
          <t>CMND/Hộ chiếu &gt;&gt; Số</t>
        </is>
      </c>
      <c r="F2798" s="390" t="inlineStr">
        <is>
          <t>Data Explorer</t>
        </is>
      </c>
      <c r="G2798" s="390" t="inlineStr">
        <is>
          <t>Chỉ tiêu cơ sở</t>
        </is>
      </c>
      <c r="H2798" s="390" t="inlineStr">
        <is>
          <t>TB</t>
        </is>
      </c>
      <c r="I2798" s="390" t="inlineStr">
        <is>
          <t>Ngày, CTCK</t>
        </is>
      </c>
      <c r="J2798" s="401" t="inlineStr">
        <is>
          <t>SCMS</t>
        </is>
      </c>
      <c r="K2798" s="401" t="n"/>
      <c r="L2798" s="401" t="inlineStr">
        <is>
          <t>X</t>
        </is>
      </c>
      <c r="M2798" s="401" t="n"/>
      <c r="N2798" s="401" t="inlineStr">
        <is>
          <t>Done</t>
        </is>
      </c>
      <c r="O2798" s="401" t="n"/>
      <c r="P2798" s="22" t="n"/>
      <c r="Q2798" s="401" t="n"/>
      <c r="R2798" s="401" t="n"/>
      <c r="S2798" s="22" t="n"/>
      <c r="U2798" s="390" t="inlineStr">
        <is>
          <t>Dựa vào text để lấy dữ liệu</t>
        </is>
      </c>
      <c r="V2798" s="22" t="n"/>
      <c r="W2798" s="22" t="n"/>
      <c r="X2798" s="22" t="n"/>
      <c r="Y2798" s="13" t="n"/>
      <c r="Z2798" s="22" t="n"/>
      <c r="AA2798" s="22" t="n"/>
      <c r="AB2798" s="22" t="n"/>
      <c r="AC2798" s="22" t="n"/>
      <c r="AD2798" s="22" t="n"/>
      <c r="AE2798" s="22" t="n"/>
    </row>
    <row r="2799" ht="56" customHeight="1" s="380">
      <c r="A2799" s="139" t="n">
        <v>116</v>
      </c>
      <c r="B2799" s="390" t="n"/>
      <c r="C2799" s="390" t="inlineStr">
        <is>
          <t>Báo cáo giám sát quản trị công ty &gt;&gt; Báo cáo tình hình quản trị công ty - V.VII.3+VIII.2</t>
        </is>
      </c>
      <c r="D2799" s="390" t="inlineStr">
        <is>
          <t>CMND/Hộ chiếu &gt;&gt; Ngày cấp</t>
        </is>
      </c>
      <c r="E2799" s="401" t="inlineStr">
        <is>
          <t>CMND/Hộ chiếu &gt;&gt; Ngày cấp</t>
        </is>
      </c>
      <c r="F2799" s="390" t="inlineStr">
        <is>
          <t>Data Explorer</t>
        </is>
      </c>
      <c r="G2799" s="390" t="inlineStr">
        <is>
          <t>Chỉ tiêu cơ sở</t>
        </is>
      </c>
      <c r="H2799" s="390" t="inlineStr">
        <is>
          <t>TB</t>
        </is>
      </c>
      <c r="I2799" s="390" t="inlineStr">
        <is>
          <t>Ngày, CTCK</t>
        </is>
      </c>
      <c r="J2799" s="401" t="inlineStr">
        <is>
          <t>SCMS</t>
        </is>
      </c>
      <c r="K2799" s="401" t="n"/>
      <c r="L2799" s="401" t="inlineStr">
        <is>
          <t>X</t>
        </is>
      </c>
      <c r="M2799" s="401" t="n"/>
      <c r="N2799" s="401" t="inlineStr">
        <is>
          <t>Done</t>
        </is>
      </c>
      <c r="O2799" s="401" t="n"/>
      <c r="P2799" s="22" t="n"/>
      <c r="Q2799" s="401" t="n"/>
      <c r="R2799" s="401" t="n"/>
      <c r="S2799" s="22" t="n"/>
      <c r="U2799" s="390" t="inlineStr">
        <is>
          <t>Dựa vào text để lấy dữ liệu</t>
        </is>
      </c>
      <c r="V2799" s="22" t="n"/>
      <c r="W2799" s="22" t="n"/>
      <c r="X2799" s="22" t="n"/>
      <c r="Y2799" s="13" t="n"/>
      <c r="Z2799" s="22" t="n"/>
      <c r="AA2799" s="22" t="n"/>
      <c r="AB2799" s="22" t="n"/>
      <c r="AC2799" s="22" t="n"/>
      <c r="AD2799" s="22" t="n"/>
      <c r="AE2799" s="22" t="n"/>
    </row>
    <row r="2800" ht="56" customHeight="1" s="380">
      <c r="A2800" s="139" t="n">
        <v>116</v>
      </c>
      <c r="B2800" s="390" t="n"/>
      <c r="C2800" s="390" t="inlineStr">
        <is>
          <t>Báo cáo giám sát quản trị công ty &gt;&gt; Báo cáo tình hình quản trị công ty - V.VII.3+VIII.2</t>
        </is>
      </c>
      <c r="D2800" s="390" t="inlineStr">
        <is>
          <t>CMND/Hộ chiếu &gt;&gt; Nơi cấp</t>
        </is>
      </c>
      <c r="E2800" s="401" t="inlineStr">
        <is>
          <t>CMND/Hộ chiếu &gt;&gt; Nơi cấp</t>
        </is>
      </c>
      <c r="F2800" s="390" t="inlineStr">
        <is>
          <t>Data Explorer</t>
        </is>
      </c>
      <c r="G2800" s="390" t="inlineStr">
        <is>
          <t>Chỉ tiêu cơ sở</t>
        </is>
      </c>
      <c r="H2800" s="390" t="inlineStr">
        <is>
          <t>TB</t>
        </is>
      </c>
      <c r="I2800" s="390" t="inlineStr">
        <is>
          <t>Ngày, CTCK</t>
        </is>
      </c>
      <c r="J2800" s="401" t="inlineStr">
        <is>
          <t>SCMS</t>
        </is>
      </c>
      <c r="K2800" s="401" t="n"/>
      <c r="L2800" s="401" t="inlineStr">
        <is>
          <t>X</t>
        </is>
      </c>
      <c r="M2800" s="401" t="n"/>
      <c r="N2800" s="401" t="inlineStr">
        <is>
          <t>Done</t>
        </is>
      </c>
      <c r="O2800" s="401" t="n"/>
      <c r="P2800" s="22" t="n"/>
      <c r="Q2800" s="401" t="n"/>
      <c r="R2800" s="401" t="n"/>
      <c r="S2800" s="22" t="n"/>
      <c r="U2800" s="390" t="inlineStr">
        <is>
          <t>Dựa vào text để lấy dữ liệu</t>
        </is>
      </c>
      <c r="V2800" s="22" t="n"/>
      <c r="W2800" s="22" t="n"/>
      <c r="X2800" s="22" t="n"/>
      <c r="Y2800" s="13" t="n"/>
      <c r="Z2800" s="22" t="n"/>
      <c r="AA2800" s="22" t="n"/>
      <c r="AB2800" s="22" t="n"/>
      <c r="AC2800" s="22" t="n"/>
      <c r="AD2800" s="22" t="n"/>
      <c r="AE2800" s="22" t="n"/>
    </row>
    <row r="2801" ht="56" customHeight="1" s="380">
      <c r="A2801" s="139" t="n">
        <v>116</v>
      </c>
      <c r="B2801" s="390" t="n"/>
      <c r="C2801" s="390" t="inlineStr">
        <is>
          <t>Báo cáo giám sát quản trị công ty &gt;&gt; Báo cáo tình hình quản trị công ty - V.VII.3+VIII.2</t>
        </is>
      </c>
      <c r="D2801" s="390" t="inlineStr">
        <is>
          <t>Địa chỉ</t>
        </is>
      </c>
      <c r="E2801" s="401" t="inlineStr">
        <is>
          <t>Địa chỉ</t>
        </is>
      </c>
      <c r="F2801" s="390" t="inlineStr">
        <is>
          <t>Data Explorer</t>
        </is>
      </c>
      <c r="G2801" s="390" t="inlineStr">
        <is>
          <t>Chỉ tiêu cơ sở</t>
        </is>
      </c>
      <c r="H2801" s="390" t="inlineStr">
        <is>
          <t>TB</t>
        </is>
      </c>
      <c r="I2801" s="390" t="inlineStr">
        <is>
          <t>Ngày, CTCK</t>
        </is>
      </c>
      <c r="J2801" s="401" t="inlineStr">
        <is>
          <t>SCMS</t>
        </is>
      </c>
      <c r="K2801" s="401" t="n"/>
      <c r="L2801" s="401" t="inlineStr">
        <is>
          <t>X</t>
        </is>
      </c>
      <c r="M2801" s="401" t="n"/>
      <c r="N2801" s="401" t="inlineStr">
        <is>
          <t>Done</t>
        </is>
      </c>
      <c r="O2801" s="401" t="n"/>
      <c r="P2801" s="22" t="n"/>
      <c r="Q2801" s="401" t="n"/>
      <c r="R2801" s="401" t="n"/>
      <c r="S2801" s="22" t="n"/>
      <c r="U2801" s="390" t="inlineStr">
        <is>
          <t>Dựa vào text để lấy dữ liệu</t>
        </is>
      </c>
      <c r="V2801" s="22" t="n"/>
      <c r="W2801" s="22" t="n"/>
      <c r="X2801" s="22" t="n"/>
      <c r="Y2801" s="13" t="n"/>
      <c r="Z2801" s="22" t="n"/>
      <c r="AA2801" s="22" t="n"/>
      <c r="AB2801" s="22" t="n"/>
      <c r="AC2801" s="22" t="n"/>
      <c r="AD2801" s="22" t="n"/>
      <c r="AE2801" s="22" t="n"/>
    </row>
    <row r="2802" ht="56" customHeight="1" s="380">
      <c r="A2802" s="139" t="n">
        <v>116</v>
      </c>
      <c r="B2802" s="390" t="n"/>
      <c r="C2802" s="390" t="inlineStr">
        <is>
          <t>Báo cáo giám sát quản trị công ty &gt;&gt; Báo cáo tình hình quản trị công ty - V.VII.3+VIII.2</t>
        </is>
      </c>
      <c r="D2802" s="390" t="inlineStr">
        <is>
          <t>Tên công ty con, công ty do CTNY nắm quyền kiểm soát</t>
        </is>
      </c>
      <c r="E2802" s="390" t="inlineStr">
        <is>
          <t>Tên công ty con, công ty do CTNY nắm quyền kiểm soát</t>
        </is>
      </c>
      <c r="F2802" s="390" t="inlineStr">
        <is>
          <t>Data Explorer</t>
        </is>
      </c>
      <c r="G2802" s="390" t="inlineStr">
        <is>
          <t>Chỉ tiêu cơ sở</t>
        </is>
      </c>
      <c r="H2802" s="390" t="inlineStr">
        <is>
          <t>TB</t>
        </is>
      </c>
      <c r="I2802" s="390" t="inlineStr">
        <is>
          <t>Ngày, CTCK</t>
        </is>
      </c>
      <c r="J2802" s="401" t="inlineStr">
        <is>
          <t>SCMS</t>
        </is>
      </c>
      <c r="K2802" s="401" t="n"/>
      <c r="L2802" s="401" t="inlineStr">
        <is>
          <t>X</t>
        </is>
      </c>
      <c r="M2802" s="401" t="n"/>
      <c r="N2802" s="401" t="inlineStr">
        <is>
          <t>Done</t>
        </is>
      </c>
      <c r="O2802" s="401" t="n"/>
      <c r="P2802" s="22" t="n"/>
      <c r="Q2802" s="401" t="n"/>
      <c r="R2802" s="401" t="n"/>
      <c r="S2802" s="22" t="n"/>
      <c r="U2802" s="390" t="inlineStr">
        <is>
          <t>Dựa vào text để lấy dữ liệu</t>
        </is>
      </c>
      <c r="V2802" s="22" t="n"/>
      <c r="W2802" s="22" t="n"/>
      <c r="X2802" s="22" t="n"/>
      <c r="Y2802" s="38" t="n"/>
      <c r="Z2802" s="22" t="n"/>
      <c r="AA2802" s="22" t="n"/>
      <c r="AB2802" s="22" t="n"/>
      <c r="AC2802" s="22" t="n"/>
      <c r="AD2802" s="22" t="n"/>
      <c r="AE2802" s="22" t="n"/>
    </row>
    <row r="2803" ht="56" customHeight="1" s="380">
      <c r="A2803" s="139" t="n">
        <v>116</v>
      </c>
      <c r="B2803" s="390" t="n"/>
      <c r="C2803" s="390" t="inlineStr">
        <is>
          <t>Báo cáo giám sát quản trị công ty &gt;&gt; Báo cáo tình hình quản trị công ty - V.VII.3+VIII.2</t>
        </is>
      </c>
      <c r="D2803" s="390" t="inlineStr">
        <is>
          <t>Thời điểm giao dịch</t>
        </is>
      </c>
      <c r="E2803" s="401" t="inlineStr">
        <is>
          <t>Thời điểm giao dịch</t>
        </is>
      </c>
      <c r="F2803" s="390" t="inlineStr">
        <is>
          <t>Data Explorer</t>
        </is>
      </c>
      <c r="G2803" s="390" t="inlineStr">
        <is>
          <t>Chỉ tiêu cơ sở</t>
        </is>
      </c>
      <c r="H2803" s="390" t="inlineStr">
        <is>
          <t>TB</t>
        </is>
      </c>
      <c r="I2803" s="390" t="inlineStr">
        <is>
          <t>Ngày, CTCK</t>
        </is>
      </c>
      <c r="J2803" s="401" t="inlineStr">
        <is>
          <t>SCMS</t>
        </is>
      </c>
      <c r="K2803" s="401" t="n"/>
      <c r="L2803" s="401" t="inlineStr">
        <is>
          <t>X</t>
        </is>
      </c>
      <c r="M2803" s="401" t="n"/>
      <c r="N2803" s="401" t="inlineStr">
        <is>
          <t>Done</t>
        </is>
      </c>
      <c r="O2803" s="401" t="n"/>
      <c r="P2803" s="22" t="n"/>
      <c r="Q2803" s="401" t="n"/>
      <c r="R2803" s="401" t="n"/>
      <c r="S2803" s="22" t="n"/>
      <c r="U2803" s="390" t="inlineStr">
        <is>
          <t>Dựa vào text để lấy dữ liệu</t>
        </is>
      </c>
      <c r="V2803" s="22" t="n"/>
      <c r="W2803" s="22" t="n"/>
      <c r="X2803" s="22" t="n"/>
      <c r="Y2803" s="13" t="n"/>
      <c r="Z2803" s="22" t="n"/>
      <c r="AA2803" s="22" t="n"/>
      <c r="AB2803" s="22" t="n"/>
      <c r="AC2803" s="22" t="n"/>
      <c r="AD2803" s="22" t="n"/>
      <c r="AE2803" s="22" t="n"/>
    </row>
    <row r="2804" ht="56" customHeight="1" s="380">
      <c r="A2804" s="139" t="n">
        <v>116</v>
      </c>
      <c r="B2804" s="390" t="n"/>
      <c r="C2804" s="390" t="inlineStr">
        <is>
          <t>Báo cáo giám sát quản trị công ty &gt;&gt; Báo cáo tình hình quản trị công ty - V.VII.3+VIII.2</t>
        </is>
      </c>
      <c r="D2804" s="390" t="inlineStr">
        <is>
          <t>Nội dung, số lượng, tổng giá trị giao dịch</t>
        </is>
      </c>
      <c r="E2804" s="401" t="inlineStr">
        <is>
          <t>Nội dung, số lượng, tổng giá trị giao dịch</t>
        </is>
      </c>
      <c r="F2804" s="390" t="inlineStr">
        <is>
          <t>Data Explorer</t>
        </is>
      </c>
      <c r="G2804" s="390" t="inlineStr">
        <is>
          <t>Chỉ tiêu cơ sở</t>
        </is>
      </c>
      <c r="H2804" s="390" t="inlineStr">
        <is>
          <t>TB</t>
        </is>
      </c>
      <c r="I2804" s="390" t="inlineStr">
        <is>
          <t>Ngày, CTCK</t>
        </is>
      </c>
      <c r="J2804" s="401" t="inlineStr">
        <is>
          <t>SCMS</t>
        </is>
      </c>
      <c r="K2804" s="401" t="n"/>
      <c r="L2804" s="401" t="inlineStr">
        <is>
          <t>X</t>
        </is>
      </c>
      <c r="M2804" s="401" t="n"/>
      <c r="N2804" s="401" t="inlineStr">
        <is>
          <t>Done</t>
        </is>
      </c>
      <c r="O2804" s="401" t="n"/>
      <c r="P2804" s="22" t="n"/>
      <c r="Q2804" s="401" t="n"/>
      <c r="R2804" s="401" t="n"/>
      <c r="S2804" s="22" t="n"/>
      <c r="U2804" s="390" t="inlineStr">
        <is>
          <t>Dựa vào text để lấy dữ liệu</t>
        </is>
      </c>
      <c r="V2804" s="22" t="n"/>
      <c r="W2804" s="22" t="n"/>
      <c r="X2804" s="22" t="n"/>
      <c r="Y2804" s="13" t="n"/>
      <c r="Z2804" s="22" t="n"/>
      <c r="AA2804" s="22" t="n"/>
      <c r="AB2804" s="22" t="n"/>
      <c r="AC2804" s="22" t="n"/>
      <c r="AD2804" s="22" t="n"/>
      <c r="AE2804" s="22" t="n"/>
    </row>
    <row r="2805" ht="56" customHeight="1" s="380">
      <c r="A2805" s="139" t="n">
        <v>116</v>
      </c>
      <c r="B2805" s="390" t="n"/>
      <c r="C2805" s="390" t="inlineStr">
        <is>
          <t>Báo cáo giám sát quản trị công ty &gt;&gt; Báo cáo tình hình quản trị công ty - V.VII.3+VIII.2</t>
        </is>
      </c>
      <c r="D2805" s="390" t="inlineStr">
        <is>
          <t>Ghi chú</t>
        </is>
      </c>
      <c r="E2805" s="401" t="inlineStr">
        <is>
          <t>Ghi chú</t>
        </is>
      </c>
      <c r="F2805" s="390" t="inlineStr">
        <is>
          <t>Data Explorer</t>
        </is>
      </c>
      <c r="G2805" s="390" t="inlineStr">
        <is>
          <t>Chỉ tiêu cơ sở</t>
        </is>
      </c>
      <c r="H2805" s="390" t="inlineStr">
        <is>
          <t>TB</t>
        </is>
      </c>
      <c r="I2805" s="390" t="inlineStr">
        <is>
          <t>Ngày, CTCK</t>
        </is>
      </c>
      <c r="J2805" s="401" t="inlineStr">
        <is>
          <t>SCMS</t>
        </is>
      </c>
      <c r="K2805" s="401" t="n"/>
      <c r="L2805" s="401" t="inlineStr">
        <is>
          <t>X</t>
        </is>
      </c>
      <c r="M2805" s="401" t="n"/>
      <c r="N2805" s="401" t="inlineStr">
        <is>
          <t>Done</t>
        </is>
      </c>
      <c r="O2805" s="401" t="n"/>
      <c r="P2805" s="22" t="n"/>
      <c r="Q2805" s="401" t="n"/>
      <c r="R2805" s="401" t="n"/>
      <c r="S2805" s="22" t="n"/>
      <c r="U2805" s="390" t="inlineStr">
        <is>
          <t>Dựa vào text để lấy dữ liệu</t>
        </is>
      </c>
      <c r="V2805" s="22" t="n"/>
      <c r="W2805" s="22" t="n"/>
      <c r="X2805" s="22" t="n"/>
      <c r="Y2805" s="13" t="n"/>
      <c r="Z2805" s="22" t="n"/>
      <c r="AA2805" s="22" t="n"/>
      <c r="AB2805" s="22" t="n"/>
      <c r="AC2805" s="22" t="n"/>
      <c r="AD2805" s="22" t="n"/>
      <c r="AE2805" s="22" t="n"/>
    </row>
    <row r="2806" ht="56" customHeight="1" s="380">
      <c r="A2806" s="139" t="n">
        <v>116</v>
      </c>
      <c r="B2806" s="390" t="n"/>
      <c r="C2806" s="390" t="inlineStr">
        <is>
          <t>Báo cáo giám sát quản trị công ty &gt;&gt; Báo cáo tình hình quản trị công ty - V.VII.3+VIII.2</t>
        </is>
      </c>
      <c r="D2806" s="390" t="inlineStr">
        <is>
          <t>Số cổ phiếu sở hữu đầu kỳ &gt;&gt; Số cổ phiếu</t>
        </is>
      </c>
      <c r="E2806" s="401" t="inlineStr">
        <is>
          <t>Số cổ phiếu sở hữu đầu kỳ &gt;&gt; Số cổ phiếu</t>
        </is>
      </c>
      <c r="F2806" s="390" t="inlineStr">
        <is>
          <t>Data Explorer</t>
        </is>
      </c>
      <c r="G2806" s="390" t="inlineStr">
        <is>
          <t>Chỉ tiêu cơ sở</t>
        </is>
      </c>
      <c r="H2806" s="390" t="inlineStr">
        <is>
          <t>TB</t>
        </is>
      </c>
      <c r="I2806" s="390" t="inlineStr">
        <is>
          <t>Ngày, CTCK</t>
        </is>
      </c>
      <c r="J2806" s="401" t="inlineStr">
        <is>
          <t>SCMS</t>
        </is>
      </c>
      <c r="K2806" s="401" t="n"/>
      <c r="L2806" s="401" t="inlineStr">
        <is>
          <t>X</t>
        </is>
      </c>
      <c r="M2806" s="401" t="n"/>
      <c r="N2806" s="401" t="inlineStr">
        <is>
          <t>Done</t>
        </is>
      </c>
      <c r="O2806" s="401" t="n"/>
      <c r="P2806" s="22" t="n"/>
      <c r="Q2806" s="401" t="n"/>
      <c r="R2806" s="401" t="n"/>
      <c r="S2806" s="22" t="n"/>
      <c r="U2806" s="390" t="inlineStr">
        <is>
          <t>Dựa vào text để lấy dữ liệu</t>
        </is>
      </c>
      <c r="V2806" s="22" t="n"/>
      <c r="W2806" s="22" t="n"/>
      <c r="X2806" s="22" t="n"/>
      <c r="Y2806" s="13" t="n"/>
      <c r="Z2806" s="22" t="n"/>
      <c r="AA2806" s="22" t="n"/>
      <c r="AB2806" s="22" t="n"/>
      <c r="AC2806" s="22" t="n"/>
      <c r="AD2806" s="22" t="n"/>
      <c r="AE2806" s="22" t="n"/>
    </row>
    <row r="2807" ht="56" customHeight="1" s="380">
      <c r="A2807" s="139" t="n">
        <v>116</v>
      </c>
      <c r="B2807" s="390" t="n"/>
      <c r="C2807" s="390" t="inlineStr">
        <is>
          <t>Báo cáo giám sát quản trị công ty &gt;&gt; Báo cáo tình hình quản trị công ty - V.VII.3+VIII.2</t>
        </is>
      </c>
      <c r="D2807" s="390" t="inlineStr">
        <is>
          <t>Số cổ phiếu sở hữu đầu kỳ &gt;&gt; Tỷ lệ</t>
        </is>
      </c>
      <c r="E2807" s="401" t="inlineStr">
        <is>
          <t>Số cổ phiếu sở hữu đầu kỳ &gt;&gt; Tỷ lệ</t>
        </is>
      </c>
      <c r="F2807" s="390" t="inlineStr">
        <is>
          <t>Data Explorer</t>
        </is>
      </c>
      <c r="G2807" s="390" t="inlineStr">
        <is>
          <t>Chỉ tiêu cơ sở</t>
        </is>
      </c>
      <c r="H2807" s="390" t="inlineStr">
        <is>
          <t>TB</t>
        </is>
      </c>
      <c r="I2807" s="390" t="inlineStr">
        <is>
          <t>Ngày, CTCK</t>
        </is>
      </c>
      <c r="J2807" s="401" t="inlineStr">
        <is>
          <t>SCMS</t>
        </is>
      </c>
      <c r="K2807" s="401" t="n"/>
      <c r="L2807" s="401" t="inlineStr">
        <is>
          <t>X</t>
        </is>
      </c>
      <c r="M2807" s="401" t="n"/>
      <c r="N2807" s="401" t="inlineStr">
        <is>
          <t>Done</t>
        </is>
      </c>
      <c r="O2807" s="401" t="n"/>
      <c r="P2807" s="22" t="n"/>
      <c r="Q2807" s="401" t="n"/>
      <c r="R2807" s="401" t="n"/>
      <c r="S2807" s="22" t="n"/>
      <c r="U2807" s="390" t="inlineStr">
        <is>
          <t>Dựa vào text để lấy dữ liệu</t>
        </is>
      </c>
      <c r="V2807" s="22" t="n"/>
      <c r="W2807" s="22" t="n"/>
      <c r="X2807" s="22" t="n"/>
      <c r="Y2807" s="13" t="n"/>
      <c r="Z2807" s="22" t="n"/>
      <c r="AA2807" s="22" t="n"/>
      <c r="AB2807" s="22" t="n"/>
      <c r="AC2807" s="22" t="n"/>
      <c r="AD2807" s="22" t="n"/>
      <c r="AE2807" s="22" t="n"/>
    </row>
    <row r="2808" ht="56" customHeight="1" s="380">
      <c r="A2808" s="139" t="n">
        <v>116</v>
      </c>
      <c r="B2808" s="390" t="n"/>
      <c r="C2808" s="390" t="inlineStr">
        <is>
          <t>Báo cáo giám sát quản trị công ty &gt;&gt; Báo cáo tình hình quản trị công ty - V.VII.3+VIII.2</t>
        </is>
      </c>
      <c r="D2808" s="390" t="inlineStr">
        <is>
          <t>Số cổ phiếu sở hữu cuối kỳ &gt;&gt; Số cổ phiếu</t>
        </is>
      </c>
      <c r="E2808" s="401" t="inlineStr">
        <is>
          <t>Số cổ phiếu sở hữu cuối kỳ &gt;&gt; Số cổ phiếu</t>
        </is>
      </c>
      <c r="F2808" s="390" t="inlineStr">
        <is>
          <t>Data Explorer</t>
        </is>
      </c>
      <c r="G2808" s="390" t="inlineStr">
        <is>
          <t>Chỉ tiêu cơ sở</t>
        </is>
      </c>
      <c r="H2808" s="390" t="inlineStr">
        <is>
          <t>TB</t>
        </is>
      </c>
      <c r="I2808" s="390" t="inlineStr">
        <is>
          <t>Ngày, CTCK</t>
        </is>
      </c>
      <c r="J2808" s="401" t="inlineStr">
        <is>
          <t>SCMS</t>
        </is>
      </c>
      <c r="K2808" s="401" t="n"/>
      <c r="L2808" s="401" t="inlineStr">
        <is>
          <t>X</t>
        </is>
      </c>
      <c r="M2808" s="401" t="n"/>
      <c r="N2808" s="401" t="inlineStr">
        <is>
          <t>Done</t>
        </is>
      </c>
      <c r="O2808" s="401" t="n"/>
      <c r="P2808" s="22" t="n"/>
      <c r="Q2808" s="401" t="n"/>
      <c r="R2808" s="401" t="n"/>
      <c r="S2808" s="22" t="n"/>
      <c r="U2808" s="390" t="inlineStr">
        <is>
          <t>Dựa vào text để lấy dữ liệu</t>
        </is>
      </c>
      <c r="V2808" s="22" t="n"/>
      <c r="W2808" s="22" t="n"/>
      <c r="X2808" s="22" t="n"/>
      <c r="Y2808" s="38" t="n"/>
      <c r="Z2808" s="22" t="n"/>
      <c r="AA2808" s="22" t="n"/>
      <c r="AB2808" s="22" t="n"/>
      <c r="AC2808" s="22" t="n"/>
      <c r="AD2808" s="22" t="n"/>
      <c r="AE2808" s="22" t="n"/>
    </row>
    <row r="2809" ht="56" customHeight="1" s="380">
      <c r="A2809" s="139" t="n">
        <v>116</v>
      </c>
      <c r="B2809" s="390" t="n"/>
      <c r="C2809" s="390" t="inlineStr">
        <is>
          <t>Báo cáo giám sát quản trị công ty &gt;&gt; Báo cáo tình hình quản trị công ty - V.VII.3+VIII.2</t>
        </is>
      </c>
      <c r="D2809" s="390" t="inlineStr">
        <is>
          <t>Số cổ phiếu sở hữu cuối kỳ &gt;&gt; Tỷ lệ</t>
        </is>
      </c>
      <c r="E2809" s="401" t="inlineStr">
        <is>
          <t>Số cổ phiếu sở hữu cuối kỳ &gt;&gt; Tỷ lệ</t>
        </is>
      </c>
      <c r="F2809" s="390" t="inlineStr">
        <is>
          <t>Data Explorer</t>
        </is>
      </c>
      <c r="G2809" s="390" t="inlineStr">
        <is>
          <t>Chỉ tiêu cơ sở</t>
        </is>
      </c>
      <c r="H2809" s="390" t="inlineStr">
        <is>
          <t>TB</t>
        </is>
      </c>
      <c r="I2809" s="390" t="inlineStr">
        <is>
          <t>Ngày, CTCK</t>
        </is>
      </c>
      <c r="J2809" s="401" t="inlineStr">
        <is>
          <t>SCMS</t>
        </is>
      </c>
      <c r="K2809" s="401" t="n"/>
      <c r="L2809" s="401" t="inlineStr">
        <is>
          <t>X</t>
        </is>
      </c>
      <c r="M2809" s="401" t="n"/>
      <c r="N2809" s="401" t="inlineStr">
        <is>
          <t>Done</t>
        </is>
      </c>
      <c r="O2809" s="401" t="n"/>
      <c r="P2809" s="22" t="n"/>
      <c r="Q2809" s="401" t="n"/>
      <c r="R2809" s="401" t="n"/>
      <c r="S2809" s="22" t="n"/>
      <c r="U2809" s="390" t="inlineStr">
        <is>
          <t>Dựa vào text để lấy dữ liệu</t>
        </is>
      </c>
      <c r="V2809" s="22" t="n"/>
      <c r="W2809" s="22" t="n"/>
      <c r="X2809" s="22" t="n"/>
      <c r="Y2809" s="13" t="n"/>
      <c r="Z2809" s="22" t="n"/>
      <c r="AA2809" s="22" t="n"/>
      <c r="AB2809" s="22" t="n"/>
      <c r="AC2809" s="22" t="n"/>
      <c r="AD2809" s="22" t="n"/>
      <c r="AE2809" s="22" t="n"/>
    </row>
    <row r="2810" ht="56" customHeight="1" s="380">
      <c r="A2810" s="143" t="n">
        <v>116</v>
      </c>
      <c r="B2810" s="129" t="n"/>
      <c r="C2810" s="129" t="inlineStr">
        <is>
          <t>Báo cáo giám sát quản trị công ty &gt;&gt; Báo cáo tình hình quản trị công ty - V.VII.3+VIII.2</t>
        </is>
      </c>
      <c r="D2810" s="129" t="inlineStr">
        <is>
          <t>Lý do tăng, giảm (mua, bán, chuyển đổi, thưởng...</t>
        </is>
      </c>
      <c r="E2810" s="129" t="inlineStr">
        <is>
          <t>Lý do tăng, giảm (mua, bán, chuyển đổi, thưởng...</t>
        </is>
      </c>
      <c r="F2810" s="129" t="inlineStr">
        <is>
          <t>Data Explorer</t>
        </is>
      </c>
      <c r="G2810" s="129" t="inlineStr">
        <is>
          <t>Chỉ tiêu cơ sở</t>
        </is>
      </c>
      <c r="H2810" s="129" t="inlineStr">
        <is>
          <t>TB</t>
        </is>
      </c>
      <c r="I2810" s="129" t="inlineStr">
        <is>
          <t>Ngày, CTCK</t>
        </is>
      </c>
      <c r="J2810" s="85" t="inlineStr">
        <is>
          <t>SCMS</t>
        </is>
      </c>
      <c r="K2810" s="85" t="n"/>
      <c r="L2810" s="85" t="inlineStr">
        <is>
          <t>X</t>
        </is>
      </c>
      <c r="M2810" s="85" t="n"/>
      <c r="N2810" s="85" t="inlineStr">
        <is>
          <t>Done</t>
        </is>
      </c>
      <c r="O2810" s="85" t="n"/>
      <c r="P2810" s="130" t="n"/>
      <c r="Q2810" s="85" t="n"/>
      <c r="R2810" s="85" t="n"/>
      <c r="S2810" s="130" t="n"/>
      <c r="T2810" s="426" t="n"/>
      <c r="U2810" s="129" t="inlineStr">
        <is>
          <t>Dựa vào text để lấy dữ liệu</t>
        </is>
      </c>
      <c r="V2810" s="130" t="n"/>
      <c r="W2810" s="130" t="n"/>
      <c r="X2810" s="130" t="n"/>
      <c r="Y2810" s="97" t="n"/>
      <c r="Z2810" s="130" t="n"/>
      <c r="AA2810" s="130" t="n"/>
      <c r="AB2810" s="130" t="n"/>
      <c r="AC2810" s="130" t="n"/>
      <c r="AD2810" s="130" t="n"/>
      <c r="AE2810" s="130" t="n"/>
    </row>
    <row r="2811" ht="98" customHeight="1" s="380">
      <c r="A2811" s="144" t="n">
        <v>117</v>
      </c>
      <c r="B2811" s="140" t="inlineStr">
        <is>
          <t>Trang</t>
        </is>
      </c>
      <c r="C2811" s="127" t="inlineStr">
        <is>
          <t>Báo cáo NPF &gt;&gt; Kết quả triển khai quy định nhận lệnh, thực hiện lệnh giao dịch mua cổ phiếu không yêu cầu có đủ tiền khi đặt lệnh của nhà đầu tư nước ngoài là tổ chức (NPF)</t>
        </is>
      </c>
      <c r="D2811" s="109" t="inlineStr">
        <is>
          <t>Loại báo cáo</t>
        </is>
      </c>
      <c r="E2811" s="110" t="inlineStr">
        <is>
          <t>Loại báo cáo</t>
        </is>
      </c>
      <c r="F2811" s="403" t="inlineStr">
        <is>
          <t>Data Explorer</t>
        </is>
      </c>
      <c r="G2811" s="390" t="inlineStr">
        <is>
          <t>Chiều</t>
        </is>
      </c>
      <c r="H2811" s="403" t="inlineStr">
        <is>
          <t>Dễ</t>
        </is>
      </c>
      <c r="I2811" s="403" t="inlineStr">
        <is>
          <t>Ngày, CTCK</t>
        </is>
      </c>
      <c r="J2811" s="404" t="inlineStr">
        <is>
          <t>SCMS</t>
        </is>
      </c>
      <c r="K2811" s="404" t="inlineStr">
        <is>
          <t>X</t>
        </is>
      </c>
      <c r="L2811" s="404" t="inlineStr">
        <is>
          <t>X</t>
        </is>
      </c>
      <c r="M2811" s="404" t="n"/>
      <c r="N2811" s="404" t="inlineStr">
        <is>
          <t>Pending</t>
        </is>
      </c>
      <c r="O2811" s="404" t="n"/>
      <c r="P2811" s="141" t="n"/>
      <c r="Q2811" s="105" t="inlineStr">
        <is>
          <t>DB cũ không thấy biểu mẫu báo cáo này</t>
        </is>
      </c>
      <c r="R2811" s="404" t="n"/>
      <c r="S2811" s="141" t="n"/>
      <c r="T2811" s="403" t="n"/>
      <c r="U2811" s="403" t="n"/>
      <c r="V2811" s="141" t="n"/>
      <c r="W2811" s="141" t="n"/>
      <c r="X2811" s="141" t="n"/>
      <c r="Y2811" s="13" t="n"/>
      <c r="Z2811" s="141" t="n"/>
      <c r="AA2811" s="141" t="n"/>
      <c r="AB2811" s="141" t="n"/>
      <c r="AC2811" s="141" t="n"/>
      <c r="AD2811" s="141" t="n"/>
      <c r="AE2811" s="141" t="n"/>
    </row>
    <row r="2812" ht="98" customHeight="1" s="380">
      <c r="A2812" s="144" t="n">
        <v>117</v>
      </c>
      <c r="B2812" s="390" t="n"/>
      <c r="C2812" s="390" t="inlineStr">
        <is>
          <t>Báo cáo NPF &gt;&gt; Kết quả triển khai quy định nhận lệnh, thực hiện lệnh giao dịch mua cổ phiếu không yêu cầu có đủ tiền khi đặt lệnh của nhà đầu tư nước ngoài là tổ chức (NPF)</t>
        </is>
      </c>
      <c r="D2812" s="106" t="inlineStr">
        <is>
          <t>Kỳ báo cáo</t>
        </is>
      </c>
      <c r="E2812" s="107" t="inlineStr">
        <is>
          <t>Kỳ báo cáo</t>
        </is>
      </c>
      <c r="F2812" s="390" t="inlineStr">
        <is>
          <t>Data Explorer</t>
        </is>
      </c>
      <c r="G2812" s="390" t="inlineStr">
        <is>
          <t>Chiều</t>
        </is>
      </c>
      <c r="H2812" s="390" t="inlineStr">
        <is>
          <t>Dễ</t>
        </is>
      </c>
      <c r="I2812" s="390" t="inlineStr">
        <is>
          <t>Ngày, CTCK</t>
        </is>
      </c>
      <c r="J2812" s="401" t="inlineStr">
        <is>
          <t>SCMS</t>
        </is>
      </c>
      <c r="K2812" s="401" t="inlineStr">
        <is>
          <t>X</t>
        </is>
      </c>
      <c r="L2812" s="401" t="inlineStr">
        <is>
          <t>X</t>
        </is>
      </c>
      <c r="M2812" s="401" t="n"/>
      <c r="N2812" s="401" t="inlineStr">
        <is>
          <t>Pending</t>
        </is>
      </c>
      <c r="O2812" s="401" t="n"/>
      <c r="P2812" s="22" t="n"/>
      <c r="Q2812" s="401" t="n"/>
      <c r="R2812" s="401" t="n"/>
      <c r="S2812" s="22" t="n"/>
      <c r="T2812" s="390" t="n"/>
      <c r="U2812" s="390" t="n"/>
      <c r="V2812" s="22" t="n"/>
      <c r="W2812" s="22" t="n"/>
      <c r="X2812" s="22" t="n"/>
      <c r="Y2812" s="13" t="n"/>
      <c r="Z2812" s="22" t="n"/>
      <c r="AA2812" s="22" t="n"/>
      <c r="AB2812" s="22" t="n"/>
      <c r="AC2812" s="22" t="n"/>
      <c r="AD2812" s="22" t="n"/>
      <c r="AE2812" s="22" t="n"/>
    </row>
    <row r="2813" ht="98" customHeight="1" s="380">
      <c r="A2813" s="144" t="n">
        <v>117</v>
      </c>
      <c r="B2813" s="390" t="n"/>
      <c r="C2813" s="390" t="inlineStr">
        <is>
          <t>Báo cáo NPF &gt;&gt; Kết quả triển khai quy định nhận lệnh, thực hiện lệnh giao dịch mua cổ phiếu không yêu cầu có đủ tiền khi đặt lệnh của nhà đầu tư nước ngoài là tổ chức (NPF)</t>
        </is>
      </c>
      <c r="D2813" s="106" t="inlineStr">
        <is>
          <t>Mã báo cáo</t>
        </is>
      </c>
      <c r="E2813" s="107" t="inlineStr">
        <is>
          <t>Mã báo cáo</t>
        </is>
      </c>
      <c r="F2813" s="390" t="inlineStr">
        <is>
          <t>Data Explorer</t>
        </is>
      </c>
      <c r="G2813" s="390" t="inlineStr">
        <is>
          <t>Chiều</t>
        </is>
      </c>
      <c r="H2813" s="390" t="inlineStr">
        <is>
          <t>Dễ</t>
        </is>
      </c>
      <c r="I2813" s="390" t="inlineStr">
        <is>
          <t>Ngày, CTCK</t>
        </is>
      </c>
      <c r="J2813" s="401" t="inlineStr">
        <is>
          <t>SCMS</t>
        </is>
      </c>
      <c r="K2813" s="401" t="inlineStr">
        <is>
          <t>X</t>
        </is>
      </c>
      <c r="L2813" s="401" t="inlineStr">
        <is>
          <t>X</t>
        </is>
      </c>
      <c r="M2813" s="401" t="n"/>
      <c r="N2813" s="401" t="inlineStr">
        <is>
          <t>Pending</t>
        </is>
      </c>
      <c r="O2813" s="401" t="n"/>
      <c r="P2813" s="22" t="n"/>
      <c r="Q2813" s="401" t="n"/>
      <c r="R2813" s="401" t="n"/>
      <c r="S2813" s="22" t="n"/>
      <c r="T2813" s="390" t="n"/>
      <c r="U2813" s="390" t="n"/>
      <c r="V2813" s="22" t="n"/>
      <c r="W2813" s="22" t="n"/>
      <c r="X2813" s="22" t="n"/>
      <c r="Y2813" s="13" t="n"/>
      <c r="Z2813" s="22" t="n"/>
      <c r="AA2813" s="22" t="n"/>
      <c r="AB2813" s="22" t="n"/>
      <c r="AC2813" s="22" t="n"/>
      <c r="AD2813" s="22" t="n"/>
      <c r="AE2813" s="22" t="n"/>
    </row>
    <row r="2814" ht="98" customHeight="1" s="380">
      <c r="A2814" s="144" t="n">
        <v>117</v>
      </c>
      <c r="B2814" s="390" t="n"/>
      <c r="C2814" s="390" t="inlineStr">
        <is>
          <t>Báo cáo NPF &gt;&gt; Kết quả triển khai quy định nhận lệnh, thực hiện lệnh giao dịch mua cổ phiếu không yêu cầu có đủ tiền khi đặt lệnh của nhà đầu tư nước ngoài là tổ chức (NPF)</t>
        </is>
      </c>
      <c r="D2814" s="106" t="inlineStr">
        <is>
          <t>Tên báo cáo</t>
        </is>
      </c>
      <c r="E2814" s="107" t="inlineStr">
        <is>
          <t>Tên báo cáo</t>
        </is>
      </c>
      <c r="F2814" s="390" t="inlineStr">
        <is>
          <t>Data Explorer</t>
        </is>
      </c>
      <c r="G2814" s="390" t="inlineStr">
        <is>
          <t>Chiều</t>
        </is>
      </c>
      <c r="H2814" s="390" t="inlineStr">
        <is>
          <t>Dễ</t>
        </is>
      </c>
      <c r="I2814" s="390" t="inlineStr">
        <is>
          <t>Ngày, CTCK</t>
        </is>
      </c>
      <c r="J2814" s="401" t="inlineStr">
        <is>
          <t>SCMS</t>
        </is>
      </c>
      <c r="K2814" s="401" t="inlineStr">
        <is>
          <t>X</t>
        </is>
      </c>
      <c r="L2814" s="401" t="inlineStr">
        <is>
          <t>X</t>
        </is>
      </c>
      <c r="M2814" s="401" t="n"/>
      <c r="N2814" s="401" t="inlineStr">
        <is>
          <t>Pending</t>
        </is>
      </c>
      <c r="O2814" s="401" t="n"/>
      <c r="P2814" s="22" t="n"/>
      <c r="Q2814" s="401" t="n"/>
      <c r="R2814" s="401" t="n"/>
      <c r="S2814" s="22" t="n"/>
      <c r="T2814" s="390" t="n"/>
      <c r="U2814" s="390" t="n"/>
      <c r="V2814" s="22" t="n"/>
      <c r="W2814" s="22" t="n"/>
      <c r="X2814" s="22" t="n"/>
      <c r="Y2814" s="14" t="n"/>
      <c r="Z2814" s="22" t="n"/>
      <c r="AA2814" s="22" t="n"/>
      <c r="AB2814" s="22" t="n"/>
      <c r="AC2814" s="22" t="n"/>
      <c r="AD2814" s="22" t="n"/>
      <c r="AE2814" s="22" t="n"/>
    </row>
    <row r="2815" ht="98" customHeight="1" s="380">
      <c r="A2815" s="144" t="n">
        <v>117</v>
      </c>
      <c r="B2815" s="390" t="n"/>
      <c r="C2815" s="390" t="inlineStr">
        <is>
          <t>Báo cáo NPF &gt;&gt; Kết quả triển khai quy định nhận lệnh, thực hiện lệnh giao dịch mua cổ phiếu không yêu cầu có đủ tiền khi đặt lệnh của nhà đầu tư nước ngoài là tổ chức (NPF)</t>
        </is>
      </c>
      <c r="D2815" s="106" t="inlineStr">
        <is>
          <t>Mã chỉ tiêu</t>
        </is>
      </c>
      <c r="E2815" s="107" t="inlineStr">
        <is>
          <t>Mã chỉ tiêu</t>
        </is>
      </c>
      <c r="F2815" s="390" t="inlineStr">
        <is>
          <t>Data Explorer</t>
        </is>
      </c>
      <c r="G2815" s="390" t="inlineStr">
        <is>
          <t>Chiều</t>
        </is>
      </c>
      <c r="H2815" s="390" t="inlineStr">
        <is>
          <t>Dễ</t>
        </is>
      </c>
      <c r="I2815" s="390" t="inlineStr">
        <is>
          <t>Ngày, CTCK</t>
        </is>
      </c>
      <c r="J2815" s="401" t="inlineStr">
        <is>
          <t>SCMS</t>
        </is>
      </c>
      <c r="K2815" s="401" t="inlineStr">
        <is>
          <t>X</t>
        </is>
      </c>
      <c r="L2815" s="401" t="inlineStr">
        <is>
          <t>X</t>
        </is>
      </c>
      <c r="M2815" s="401" t="n"/>
      <c r="N2815" s="401" t="inlineStr">
        <is>
          <t>Pending</t>
        </is>
      </c>
      <c r="O2815" s="401" t="n"/>
      <c r="P2815" s="22" t="n"/>
      <c r="Q2815" s="401" t="n"/>
      <c r="R2815" s="401" t="n"/>
      <c r="S2815" s="22" t="n"/>
      <c r="T2815" s="390" t="n"/>
      <c r="U2815" s="390" t="n"/>
      <c r="V2815" s="22" t="n"/>
      <c r="W2815" s="22" t="n"/>
      <c r="X2815" s="22" t="n"/>
      <c r="Y2815" s="13" t="n"/>
      <c r="Z2815" s="22" t="n"/>
      <c r="AA2815" s="22" t="n"/>
      <c r="AB2815" s="22" t="n"/>
      <c r="AC2815" s="22" t="n"/>
      <c r="AD2815" s="22" t="n"/>
      <c r="AE2815" s="22" t="n"/>
    </row>
    <row r="2816" ht="98" customHeight="1" s="380">
      <c r="A2816" s="144" t="n">
        <v>117</v>
      </c>
      <c r="B2816" s="390" t="n"/>
      <c r="C2816" s="390" t="inlineStr">
        <is>
          <t>Báo cáo NPF &gt;&gt; Kết quả triển khai quy định nhận lệnh, thực hiện lệnh giao dịch mua cổ phiếu không yêu cầu có đủ tiền khi đặt lệnh của nhà đầu tư nước ngoài là tổ chức (NPF)</t>
        </is>
      </c>
      <c r="D2816" s="106" t="inlineStr">
        <is>
          <t>Tên chỉ tiêu</t>
        </is>
      </c>
      <c r="E2816" s="107" t="inlineStr">
        <is>
          <t>Tên chỉ tiêu</t>
        </is>
      </c>
      <c r="F2816" s="390" t="inlineStr">
        <is>
          <t>Data Explorer</t>
        </is>
      </c>
      <c r="G2816" s="390" t="inlineStr">
        <is>
          <t>Chiều</t>
        </is>
      </c>
      <c r="H2816" s="390" t="inlineStr">
        <is>
          <t>Dễ</t>
        </is>
      </c>
      <c r="I2816" s="390" t="inlineStr">
        <is>
          <t>Ngày, CTCK</t>
        </is>
      </c>
      <c r="J2816" s="401" t="inlineStr">
        <is>
          <t>SCMS</t>
        </is>
      </c>
      <c r="K2816" s="401" t="inlineStr">
        <is>
          <t>X</t>
        </is>
      </c>
      <c r="L2816" s="401" t="inlineStr">
        <is>
          <t>X</t>
        </is>
      </c>
      <c r="M2816" s="401" t="n"/>
      <c r="N2816" s="401" t="inlineStr">
        <is>
          <t>Pending</t>
        </is>
      </c>
      <c r="O2816" s="401" t="n"/>
      <c r="P2816" s="22" t="n"/>
      <c r="Q2816" s="401" t="n"/>
      <c r="R2816" s="401" t="n"/>
      <c r="S2816" s="22" t="n"/>
      <c r="T2816" s="390" t="n"/>
      <c r="U2816" s="390" t="n"/>
      <c r="V2816" s="22" t="n"/>
      <c r="W2816" s="22" t="n"/>
      <c r="X2816" s="22" t="n"/>
      <c r="Y2816" s="13" t="n"/>
      <c r="Z2816" s="22" t="n"/>
      <c r="AA2816" s="22" t="n"/>
      <c r="AB2816" s="22" t="n"/>
      <c r="AC2816" s="22" t="n"/>
      <c r="AD2816" s="22" t="n"/>
      <c r="AE2816" s="22" t="n"/>
    </row>
    <row r="2817" ht="98" customHeight="1" s="380">
      <c r="A2817" s="144" t="n">
        <v>117</v>
      </c>
      <c r="B2817" s="390" t="n"/>
      <c r="C2817" s="390" t="inlineStr">
        <is>
          <t>Báo cáo NPF &gt;&gt; Kết quả triển khai quy định nhận lệnh, thực hiện lệnh giao dịch mua cổ phiếu không yêu cầu có đủ tiền khi đặt lệnh của nhà đầu tư nước ngoài là tổ chức (NPF)</t>
        </is>
      </c>
      <c r="D2817" s="390" t="inlineStr">
        <is>
          <t>Tên công ty chứng khoán</t>
        </is>
      </c>
      <c r="E2817" s="401" t="inlineStr">
        <is>
          <t>Tên công ty chứng khoán</t>
        </is>
      </c>
      <c r="F2817" s="390" t="inlineStr">
        <is>
          <t>Data Explorer</t>
        </is>
      </c>
      <c r="G2817" s="390" t="inlineStr">
        <is>
          <t>Chỉ tiêu cơ sở</t>
        </is>
      </c>
      <c r="H2817" s="390" t="inlineStr">
        <is>
          <t>Dễ</t>
        </is>
      </c>
      <c r="I2817" s="390" t="inlineStr">
        <is>
          <t>Ngày, CTCK</t>
        </is>
      </c>
      <c r="J2817" s="401" t="inlineStr">
        <is>
          <t>SCMS</t>
        </is>
      </c>
      <c r="K2817" s="401" t="n"/>
      <c r="L2817" s="401" t="inlineStr">
        <is>
          <t>X</t>
        </is>
      </c>
      <c r="M2817" s="401" t="n"/>
      <c r="N2817" s="401" t="inlineStr">
        <is>
          <t>Pending</t>
        </is>
      </c>
      <c r="O2817" s="401" t="n"/>
      <c r="P2817" s="22" t="n"/>
      <c r="Q2817" s="401" t="n"/>
      <c r="R2817" s="401" t="n"/>
      <c r="S2817" s="22" t="n"/>
      <c r="T2817" s="390" t="n"/>
      <c r="U2817" s="390" t="inlineStr">
        <is>
          <t>Không có thông tin</t>
        </is>
      </c>
      <c r="V2817" s="22" t="n"/>
      <c r="W2817" s="22" t="n"/>
      <c r="X2817" s="22" t="n"/>
      <c r="Y2817" s="13" t="n"/>
      <c r="Z2817" s="22" t="n"/>
      <c r="AA2817" s="22" t="n"/>
      <c r="AB2817" s="22" t="n"/>
      <c r="AC2817" s="22" t="n"/>
      <c r="AD2817" s="22" t="n"/>
      <c r="AE2817" s="22" t="n"/>
    </row>
    <row r="2818" ht="98" customHeight="1" s="380">
      <c r="A2818" s="144" t="n">
        <v>117</v>
      </c>
      <c r="B2818" s="390" t="n"/>
      <c r="C2818" s="390" t="inlineStr">
        <is>
          <t>Báo cáo NPF &gt;&gt; Kết quả triển khai quy định nhận lệnh, thực hiện lệnh giao dịch mua cổ phiếu không yêu cầu có đủ tiền khi đặt lệnh của nhà đầu tư nước ngoài là tổ chức (NPF)</t>
        </is>
      </c>
      <c r="D2818" s="390" t="inlineStr">
        <is>
          <t>Ngày (Ngày/tháng/năm)</t>
        </is>
      </c>
      <c r="E2818" s="401" t="inlineStr">
        <is>
          <t>Ngày (Ngày/tháng/năm)</t>
        </is>
      </c>
      <c r="F2818" s="390" t="inlineStr">
        <is>
          <t>Data Explorer</t>
        </is>
      </c>
      <c r="G2818" s="390" t="inlineStr">
        <is>
          <t>Chỉ tiêu cơ sở</t>
        </is>
      </c>
      <c r="H2818" s="390" t="inlineStr">
        <is>
          <t>Dễ</t>
        </is>
      </c>
      <c r="I2818" s="390" t="inlineStr">
        <is>
          <t>Ngày, CTCK</t>
        </is>
      </c>
      <c r="J2818" s="401" t="inlineStr">
        <is>
          <t>SCMS</t>
        </is>
      </c>
      <c r="K2818" s="401" t="n"/>
      <c r="L2818" s="401" t="inlineStr">
        <is>
          <t>X</t>
        </is>
      </c>
      <c r="M2818" s="401" t="n"/>
      <c r="N2818" s="401" t="inlineStr">
        <is>
          <t>Pending</t>
        </is>
      </c>
      <c r="O2818" s="401" t="n"/>
      <c r="P2818" s="22" t="n"/>
      <c r="Q2818" s="401" t="n"/>
      <c r="R2818" s="401" t="n"/>
      <c r="S2818" s="22" t="n"/>
      <c r="T2818" s="390" t="n"/>
      <c r="U2818" s="390" t="inlineStr">
        <is>
          <t>Không có thông tin</t>
        </is>
      </c>
      <c r="V2818" s="22" t="n"/>
      <c r="W2818" s="22" t="n"/>
      <c r="X2818" s="22" t="n"/>
      <c r="Y2818" s="13" t="n"/>
      <c r="Z2818" s="22" t="n"/>
      <c r="AA2818" s="22" t="n"/>
      <c r="AB2818" s="22" t="n"/>
      <c r="AC2818" s="22" t="n"/>
      <c r="AD2818" s="22" t="n"/>
      <c r="AE2818" s="22" t="n"/>
    </row>
    <row r="2819" ht="98" customHeight="1" s="380">
      <c r="A2819" s="144" t="n">
        <v>117</v>
      </c>
      <c r="B2819" s="390" t="n"/>
      <c r="C2819" s="390" t="inlineStr">
        <is>
          <t>Báo cáo NPF &gt;&gt; Kết quả triển khai quy định nhận lệnh, thực hiện lệnh giao dịch mua cổ phiếu không yêu cầu có đủ tiền khi đặt lệnh của nhà đầu tư nước ngoài là tổ chức (NPF)</t>
        </is>
      </c>
      <c r="D2819" s="390" t="inlineStr">
        <is>
          <t xml:space="preserve">Số lượng NĐTNN là tổ chức đã đăng ký NPF &gt;&gt; Đã đăng ký </t>
        </is>
      </c>
      <c r="E2819" s="390" t="inlineStr">
        <is>
          <t xml:space="preserve">Số lượng NĐTNN là tổ chức đã đăng ký NPF &gt;&gt; Đã đăng ký </t>
        </is>
      </c>
      <c r="F2819" s="390" t="inlineStr">
        <is>
          <t>Data Explorer</t>
        </is>
      </c>
      <c r="G2819" s="390" t="inlineStr">
        <is>
          <t>Chỉ tiêu cơ sở</t>
        </is>
      </c>
      <c r="H2819" s="390" t="inlineStr">
        <is>
          <t>TB</t>
        </is>
      </c>
      <c r="I2819" s="390" t="inlineStr">
        <is>
          <t>Ngày, CTCK</t>
        </is>
      </c>
      <c r="J2819" s="401" t="inlineStr">
        <is>
          <t>SCMS</t>
        </is>
      </c>
      <c r="K2819" s="401" t="n"/>
      <c r="L2819" s="401" t="inlineStr">
        <is>
          <t>X</t>
        </is>
      </c>
      <c r="M2819" s="401" t="n"/>
      <c r="N2819" s="401" t="inlineStr">
        <is>
          <t>Pending</t>
        </is>
      </c>
      <c r="O2819" s="401" t="n"/>
      <c r="P2819" s="22" t="n"/>
      <c r="Q2819" s="401" t="n"/>
      <c r="R2819" s="401" t="n"/>
      <c r="S2819" s="22" t="n"/>
      <c r="T2819" s="390" t="n"/>
      <c r="U2819" s="390" t="inlineStr">
        <is>
          <t>Không có thông tin</t>
        </is>
      </c>
      <c r="V2819" s="22" t="n"/>
      <c r="W2819" s="22" t="n"/>
      <c r="X2819" s="22" t="n"/>
      <c r="Y2819" s="13" t="n"/>
      <c r="Z2819" s="22" t="n"/>
      <c r="AA2819" s="22" t="n"/>
      <c r="AB2819" s="22" t="n"/>
      <c r="AC2819" s="22" t="n"/>
      <c r="AD2819" s="22" t="n"/>
      <c r="AE2819" s="22" t="n"/>
    </row>
    <row r="2820" ht="98" customHeight="1" s="380">
      <c r="A2820" s="144" t="n">
        <v>117</v>
      </c>
      <c r="B2820" s="390" t="n"/>
      <c r="C2820" s="390" t="inlineStr">
        <is>
          <t>Báo cáo NPF &gt;&gt; Kết quả triển khai quy định nhận lệnh, thực hiện lệnh giao dịch mua cổ phiếu không yêu cầu có đủ tiền khi đặt lệnh của nhà đầu tư nước ngoài là tổ chức (NPF)</t>
        </is>
      </c>
      <c r="D2820" s="390" t="inlineStr">
        <is>
          <t>Số lượng NĐTNN là tổ chức đã đăng ký NPF &gt;&gt; Đã sử dụng</t>
        </is>
      </c>
      <c r="E2820" s="390" t="inlineStr">
        <is>
          <t>Số lượng NĐTNN là tổ chức đã đăng ký NPF &gt;&gt; Đã sử dụng</t>
        </is>
      </c>
      <c r="F2820" s="390" t="inlineStr">
        <is>
          <t>Data Explorer</t>
        </is>
      </c>
      <c r="G2820" s="390" t="inlineStr">
        <is>
          <t>Chỉ tiêu cơ sở</t>
        </is>
      </c>
      <c r="H2820" s="390" t="inlineStr">
        <is>
          <t>TB</t>
        </is>
      </c>
      <c r="I2820" s="390" t="inlineStr">
        <is>
          <t>Ngày, CTCK</t>
        </is>
      </c>
      <c r="J2820" s="401" t="inlineStr">
        <is>
          <t>SCMS</t>
        </is>
      </c>
      <c r="K2820" s="401" t="n"/>
      <c r="L2820" s="401" t="inlineStr">
        <is>
          <t>X</t>
        </is>
      </c>
      <c r="M2820" s="401" t="n"/>
      <c r="N2820" s="401" t="inlineStr">
        <is>
          <t>Pending</t>
        </is>
      </c>
      <c r="O2820" s="401" t="n"/>
      <c r="P2820" s="22" t="n"/>
      <c r="Q2820" s="401" t="n"/>
      <c r="R2820" s="401" t="n"/>
      <c r="S2820" s="22" t="n"/>
      <c r="T2820" s="390" t="n"/>
      <c r="U2820" s="390" t="inlineStr">
        <is>
          <t>Không có thông tin</t>
        </is>
      </c>
      <c r="V2820" s="22" t="n"/>
      <c r="W2820" s="22" t="n"/>
      <c r="X2820" s="22" t="n"/>
      <c r="Y2820" s="14" t="n"/>
      <c r="Z2820" s="22" t="n"/>
      <c r="AA2820" s="22" t="n"/>
      <c r="AB2820" s="22" t="n"/>
      <c r="AC2820" s="22" t="n"/>
      <c r="AD2820" s="22" t="n"/>
      <c r="AE2820" s="22" t="n"/>
    </row>
    <row r="2821" ht="98" customHeight="1" s="380">
      <c r="A2821" s="144" t="n">
        <v>117</v>
      </c>
      <c r="B2821" s="390" t="n"/>
      <c r="C2821" s="390" t="inlineStr">
        <is>
          <t>Báo cáo NPF &gt;&gt; Kết quả triển khai quy định nhận lệnh, thực hiện lệnh giao dịch mua cổ phiếu không yêu cầu có đủ tiền khi đặt lệnh của nhà đầu tư nước ngoài là tổ chức (NPF)</t>
        </is>
      </c>
      <c r="D2821" s="390" t="inlineStr">
        <is>
          <t>Số lượng tài khoản của NĐTNN là tổ chức đã đăng ký NPF &gt;&gt; Đã đăng ký</t>
        </is>
      </c>
      <c r="E2821" s="390" t="inlineStr">
        <is>
          <t>Số lượng tài khoản của NĐTNN là tổ chức đã đăng ký NPF &gt;&gt; Đã đăng ký</t>
        </is>
      </c>
      <c r="F2821" s="390" t="inlineStr">
        <is>
          <t>Data Explorer</t>
        </is>
      </c>
      <c r="G2821" s="390" t="inlineStr">
        <is>
          <t>Chỉ tiêu cơ sở</t>
        </is>
      </c>
      <c r="H2821" s="390" t="inlineStr">
        <is>
          <t>TB</t>
        </is>
      </c>
      <c r="I2821" s="390" t="inlineStr">
        <is>
          <t>Ngày, CTCK</t>
        </is>
      </c>
      <c r="J2821" s="401" t="inlineStr">
        <is>
          <t>SCMS</t>
        </is>
      </c>
      <c r="K2821" s="401" t="n"/>
      <c r="L2821" s="401" t="inlineStr">
        <is>
          <t>X</t>
        </is>
      </c>
      <c r="M2821" s="401" t="n"/>
      <c r="N2821" s="401" t="inlineStr">
        <is>
          <t>Pending</t>
        </is>
      </c>
      <c r="O2821" s="401" t="n"/>
      <c r="P2821" s="22" t="n"/>
      <c r="Q2821" s="401" t="n"/>
      <c r="R2821" s="401" t="n"/>
      <c r="S2821" s="22" t="n"/>
      <c r="T2821" s="390" t="n"/>
      <c r="U2821" s="390" t="inlineStr">
        <is>
          <t>Không có thông tin</t>
        </is>
      </c>
      <c r="V2821" s="22" t="n"/>
      <c r="W2821" s="22" t="n"/>
      <c r="X2821" s="22" t="n"/>
      <c r="Y2821" s="13" t="n"/>
      <c r="Z2821" s="22" t="n"/>
      <c r="AA2821" s="22" t="n"/>
      <c r="AB2821" s="22" t="n"/>
      <c r="AC2821" s="22" t="n"/>
      <c r="AD2821" s="22" t="n"/>
      <c r="AE2821" s="22" t="n"/>
    </row>
    <row r="2822" ht="98" customHeight="1" s="380">
      <c r="A2822" s="144" t="n">
        <v>117</v>
      </c>
      <c r="B2822" s="390" t="n"/>
      <c r="C2822" s="390" t="inlineStr">
        <is>
          <t>Báo cáo NPF &gt;&gt; Kết quả triển khai quy định nhận lệnh, thực hiện lệnh giao dịch mua cổ phiếu không yêu cầu có đủ tiền khi đặt lệnh của nhà đầu tư nước ngoài là tổ chức (NPF)</t>
        </is>
      </c>
      <c r="D2822" s="390" t="inlineStr">
        <is>
          <t>Số lượng tài khoản của NĐTNN là tổ chức đã đăng ký NPF &gt;&gt; Đã sử dụng</t>
        </is>
      </c>
      <c r="E2822" s="390" t="inlineStr">
        <is>
          <t>Số lượng tài khoản của NĐTNN là tổ chức đã đăng ký NPF &gt;&gt; Đã sử dụng</t>
        </is>
      </c>
      <c r="F2822" s="390" t="inlineStr">
        <is>
          <t>Data Explorer</t>
        </is>
      </c>
      <c r="G2822" s="390" t="inlineStr">
        <is>
          <t>Chỉ tiêu cơ sở</t>
        </is>
      </c>
      <c r="H2822" s="390" t="inlineStr">
        <is>
          <t>TB</t>
        </is>
      </c>
      <c r="I2822" s="390" t="inlineStr">
        <is>
          <t>Ngày, CTCK</t>
        </is>
      </c>
      <c r="J2822" s="401" t="inlineStr">
        <is>
          <t>SCMS</t>
        </is>
      </c>
      <c r="K2822" s="401" t="n"/>
      <c r="L2822" s="401" t="inlineStr">
        <is>
          <t>X</t>
        </is>
      </c>
      <c r="M2822" s="401" t="n"/>
      <c r="N2822" s="401" t="inlineStr">
        <is>
          <t>Pending</t>
        </is>
      </c>
      <c r="O2822" s="401" t="n"/>
      <c r="P2822" s="22" t="n"/>
      <c r="Q2822" s="401" t="n"/>
      <c r="R2822" s="401" t="n"/>
      <c r="S2822" s="22" t="n"/>
      <c r="T2822" s="390" t="n"/>
      <c r="U2822" s="390" t="inlineStr">
        <is>
          <t>Không có thông tin</t>
        </is>
      </c>
      <c r="V2822" s="22" t="n"/>
      <c r="W2822" s="22" t="n"/>
      <c r="X2822" s="22" t="n"/>
      <c r="Y2822" s="13" t="n"/>
      <c r="Z2822" s="22" t="n"/>
      <c r="AA2822" s="22" t="n"/>
      <c r="AB2822" s="22" t="n"/>
      <c r="AC2822" s="22" t="n"/>
      <c r="AD2822" s="22" t="n"/>
      <c r="AE2822" s="22" t="n"/>
    </row>
    <row r="2823" ht="98" customHeight="1" s="380">
      <c r="A2823" s="144" t="n">
        <v>117</v>
      </c>
      <c r="B2823" s="390" t="n"/>
      <c r="C2823" s="390" t="inlineStr">
        <is>
          <t>Báo cáo NPF &gt;&gt; Kết quả triển khai quy định nhận lệnh, thực hiện lệnh giao dịch mua cổ phiếu không yêu cầu có đủ tiền khi đặt lệnh của nhà đầu tư nước ngoài là tổ chức (NPF)</t>
        </is>
      </c>
      <c r="D2823" s="390" t="inlineStr">
        <is>
          <t>NĐTNN là tổ chức &gt;&gt; Số lần đặt lệnh mua cổ phiếu</t>
        </is>
      </c>
      <c r="E2823" s="390" t="inlineStr">
        <is>
          <t>NĐTNN là tổ chức &gt;&gt; Số lần đặt lệnh mua cổ phiếu</t>
        </is>
      </c>
      <c r="F2823" s="390" t="inlineStr">
        <is>
          <t>Data Explorer</t>
        </is>
      </c>
      <c r="G2823" s="390" t="inlineStr">
        <is>
          <t>Chỉ tiêu cơ sở</t>
        </is>
      </c>
      <c r="H2823" s="390" t="inlineStr">
        <is>
          <t>TB</t>
        </is>
      </c>
      <c r="I2823" s="390" t="inlineStr">
        <is>
          <t>Ngày, CTCK</t>
        </is>
      </c>
      <c r="J2823" s="401" t="inlineStr">
        <is>
          <t>SCMS</t>
        </is>
      </c>
      <c r="K2823" s="401" t="n"/>
      <c r="L2823" s="401" t="inlineStr">
        <is>
          <t>X</t>
        </is>
      </c>
      <c r="M2823" s="401" t="n"/>
      <c r="N2823" s="401" t="inlineStr">
        <is>
          <t>Pending</t>
        </is>
      </c>
      <c r="O2823" s="401" t="n"/>
      <c r="P2823" s="22" t="n"/>
      <c r="Q2823" s="401" t="n"/>
      <c r="R2823" s="401" t="n"/>
      <c r="S2823" s="22" t="n"/>
      <c r="T2823" s="390" t="n"/>
      <c r="U2823" s="390" t="inlineStr">
        <is>
          <t>Không có thông tin</t>
        </is>
      </c>
      <c r="V2823" s="22" t="n"/>
      <c r="W2823" s="22" t="n"/>
      <c r="X2823" s="22" t="n"/>
      <c r="Y2823" s="13" t="n"/>
      <c r="Z2823" s="22" t="n"/>
      <c r="AA2823" s="22" t="n"/>
      <c r="AB2823" s="22" t="n"/>
      <c r="AC2823" s="22" t="n"/>
      <c r="AD2823" s="22" t="n"/>
      <c r="AE2823" s="22" t="n"/>
    </row>
    <row r="2824" ht="98" customHeight="1" s="380">
      <c r="A2824" s="144" t="n">
        <v>117</v>
      </c>
      <c r="B2824" s="390" t="n"/>
      <c r="C2824" s="390" t="inlineStr">
        <is>
          <t>Báo cáo NPF &gt;&gt; Kết quả triển khai quy định nhận lệnh, thực hiện lệnh giao dịch mua cổ phiếu không yêu cầu có đủ tiền khi đặt lệnh của nhà đầu tư nước ngoài là tổ chức (NPF)</t>
        </is>
      </c>
      <c r="D2824" s="390" t="inlineStr">
        <is>
          <t>NĐTNN là tổ chức &gt;&gt; Số lượng cổ phiếu mua</t>
        </is>
      </c>
      <c r="E2824" s="390" t="inlineStr">
        <is>
          <t>NĐTNN là tổ chức &gt;&gt; Số lượng cổ phiếu mua</t>
        </is>
      </c>
      <c r="F2824" s="390" t="inlineStr">
        <is>
          <t>Data Explorer</t>
        </is>
      </c>
      <c r="G2824" s="390" t="inlineStr">
        <is>
          <t>Chỉ tiêu cơ sở</t>
        </is>
      </c>
      <c r="H2824" s="390" t="inlineStr">
        <is>
          <t>TB</t>
        </is>
      </c>
      <c r="I2824" s="390" t="inlineStr">
        <is>
          <t>Ngày, CTCK</t>
        </is>
      </c>
      <c r="J2824" s="401" t="inlineStr">
        <is>
          <t>SCMS</t>
        </is>
      </c>
      <c r="K2824" s="401" t="n"/>
      <c r="L2824" s="401" t="inlineStr">
        <is>
          <t>X</t>
        </is>
      </c>
      <c r="M2824" s="401" t="n"/>
      <c r="N2824" s="401" t="inlineStr">
        <is>
          <t>Pending</t>
        </is>
      </c>
      <c r="O2824" s="401" t="n"/>
      <c r="P2824" s="22" t="n"/>
      <c r="Q2824" s="401" t="n"/>
      <c r="R2824" s="401" t="n"/>
      <c r="S2824" s="22" t="n"/>
      <c r="T2824" s="390" t="n"/>
      <c r="U2824" s="390" t="inlineStr">
        <is>
          <t>Không có thông tin</t>
        </is>
      </c>
      <c r="V2824" s="22" t="n"/>
      <c r="W2824" s="22" t="n"/>
      <c r="X2824" s="22" t="n"/>
      <c r="Y2824" s="13" t="n"/>
      <c r="Z2824" s="22" t="n"/>
      <c r="AA2824" s="22" t="n"/>
      <c r="AB2824" s="22" t="n"/>
      <c r="AC2824" s="22" t="n"/>
      <c r="AD2824" s="22" t="n"/>
      <c r="AE2824" s="22" t="n"/>
    </row>
    <row r="2825" ht="98" customHeight="1" s="380">
      <c r="A2825" s="144" t="n">
        <v>117</v>
      </c>
      <c r="B2825" s="390" t="n"/>
      <c r="C2825" s="390" t="inlineStr">
        <is>
          <t>Báo cáo NPF &gt;&gt; Kết quả triển khai quy định nhận lệnh, thực hiện lệnh giao dịch mua cổ phiếu không yêu cầu có đủ tiền khi đặt lệnh của nhà đầu tư nước ngoài là tổ chức (NPF)</t>
        </is>
      </c>
      <c r="D2825" s="390" t="inlineStr">
        <is>
          <t>NĐTNN là tổ chức &gt;&gt; Giá trị cổ phiếu mua theo thị giá (tỷ đồng)</t>
        </is>
      </c>
      <c r="E2825" s="390" t="inlineStr">
        <is>
          <t>NĐTNN là tổ chức &gt;&gt; Giá trị cổ phiếu mua theo thị giá (tỷ đồng)</t>
        </is>
      </c>
      <c r="F2825" s="390" t="inlineStr">
        <is>
          <t>Data Explorer</t>
        </is>
      </c>
      <c r="G2825" s="390" t="inlineStr">
        <is>
          <t>Chỉ tiêu cơ sở</t>
        </is>
      </c>
      <c r="H2825" s="390" t="inlineStr">
        <is>
          <t>TB</t>
        </is>
      </c>
      <c r="I2825" s="390" t="inlineStr">
        <is>
          <t>Ngày, CTCK</t>
        </is>
      </c>
      <c r="J2825" s="401" t="inlineStr">
        <is>
          <t>SCMS</t>
        </is>
      </c>
      <c r="K2825" s="401" t="n"/>
      <c r="L2825" s="401" t="inlineStr">
        <is>
          <t>X</t>
        </is>
      </c>
      <c r="M2825" s="401" t="n"/>
      <c r="N2825" s="401" t="inlineStr">
        <is>
          <t>Pending</t>
        </is>
      </c>
      <c r="O2825" s="401" t="n"/>
      <c r="P2825" s="22" t="n"/>
      <c r="Q2825" s="401" t="n"/>
      <c r="R2825" s="401" t="n"/>
      <c r="S2825" s="22" t="n"/>
      <c r="T2825" s="390" t="n"/>
      <c r="U2825" s="390" t="inlineStr">
        <is>
          <t>Không có thông tin</t>
        </is>
      </c>
      <c r="V2825" s="22" t="n"/>
      <c r="W2825" s="22" t="n"/>
      <c r="X2825" s="22" t="n"/>
      <c r="Y2825" s="13" t="n"/>
      <c r="Z2825" s="22" t="n"/>
      <c r="AA2825" s="22" t="n"/>
      <c r="AB2825" s="22" t="n"/>
      <c r="AC2825" s="22" t="n"/>
      <c r="AD2825" s="22" t="n"/>
      <c r="AE2825" s="22" t="n"/>
    </row>
    <row r="2826" ht="98" customHeight="1" s="380">
      <c r="A2826" s="144" t="n">
        <v>117</v>
      </c>
      <c r="B2826" s="390" t="n"/>
      <c r="C2826" s="390" t="inlineStr">
        <is>
          <t>Báo cáo NPF &gt;&gt; Kết quả triển khai quy định nhận lệnh, thực hiện lệnh giao dịch mua cổ phiếu không yêu cầu có đủ tiền khi đặt lệnh của nhà đầu tư nước ngoài là tổ chức (NPF)</t>
        </is>
      </c>
      <c r="D2826" s="390" t="inlineStr">
        <is>
          <t>NĐTNN là tổ chức sử dụng NPF &gt;&gt; Số lần đặt lệnh mua NPF</t>
        </is>
      </c>
      <c r="E2826" s="390" t="inlineStr">
        <is>
          <t>NĐTNN là tổ chức sử dụng NPF &gt;&gt; Số lần đặt lệnh mua NPF</t>
        </is>
      </c>
      <c r="F2826" s="390" t="inlineStr">
        <is>
          <t>Data Explorer</t>
        </is>
      </c>
      <c r="G2826" s="390" t="inlineStr">
        <is>
          <t>Chỉ tiêu cơ sở</t>
        </is>
      </c>
      <c r="H2826" s="390" t="inlineStr">
        <is>
          <t>TB</t>
        </is>
      </c>
      <c r="I2826" s="390" t="inlineStr">
        <is>
          <t>Ngày, CTCK</t>
        </is>
      </c>
      <c r="J2826" s="401" t="inlineStr">
        <is>
          <t>SCMS</t>
        </is>
      </c>
      <c r="K2826" s="401" t="n"/>
      <c r="L2826" s="401" t="inlineStr">
        <is>
          <t>X</t>
        </is>
      </c>
      <c r="M2826" s="401" t="n"/>
      <c r="N2826" s="401" t="inlineStr">
        <is>
          <t>Pending</t>
        </is>
      </c>
      <c r="O2826" s="401" t="n"/>
      <c r="P2826" s="22" t="n"/>
      <c r="Q2826" s="401" t="n"/>
      <c r="R2826" s="401" t="n"/>
      <c r="S2826" s="22" t="n"/>
      <c r="T2826" s="390" t="n"/>
      <c r="U2826" s="390" t="inlineStr">
        <is>
          <t>Không có thông tin</t>
        </is>
      </c>
      <c r="V2826" s="22" t="n"/>
      <c r="W2826" s="22" t="n"/>
      <c r="X2826" s="22" t="n"/>
      <c r="Y2826" s="38" t="n"/>
      <c r="Z2826" s="22" t="n"/>
      <c r="AA2826" s="22" t="n"/>
      <c r="AB2826" s="22" t="n"/>
      <c r="AC2826" s="22" t="n"/>
      <c r="AD2826" s="22" t="n"/>
      <c r="AE2826" s="22" t="n"/>
    </row>
    <row r="2827" ht="98" customHeight="1" s="380">
      <c r="A2827" s="144" t="n">
        <v>117</v>
      </c>
      <c r="B2827" s="390" t="n"/>
      <c r="C2827" s="390" t="inlineStr">
        <is>
          <t>Báo cáo NPF &gt;&gt; Kết quả triển khai quy định nhận lệnh, thực hiện lệnh giao dịch mua cổ phiếu không yêu cầu có đủ tiền khi đặt lệnh của nhà đầu tư nước ngoài là tổ chức (NPF)</t>
        </is>
      </c>
      <c r="D2827" s="390" t="inlineStr">
        <is>
          <t>NĐTNN là tổ chức sử dụng NPF &gt;&gt; Số lượng cổ phiếu mua NPF</t>
        </is>
      </c>
      <c r="E2827" s="390" t="inlineStr">
        <is>
          <t>NĐTNN là tổ chức sử dụng NPF &gt;&gt; Số lượng cổ phiếu mua NPF</t>
        </is>
      </c>
      <c r="F2827" s="390" t="inlineStr">
        <is>
          <t>Data Explorer</t>
        </is>
      </c>
      <c r="G2827" s="390" t="inlineStr">
        <is>
          <t>Chỉ tiêu cơ sở</t>
        </is>
      </c>
      <c r="H2827" s="390" t="inlineStr">
        <is>
          <t>TB</t>
        </is>
      </c>
      <c r="I2827" s="390" t="inlineStr">
        <is>
          <t>Ngày, CTCK</t>
        </is>
      </c>
      <c r="J2827" s="401" t="inlineStr">
        <is>
          <t>SCMS</t>
        </is>
      </c>
      <c r="K2827" s="401" t="n"/>
      <c r="L2827" s="401" t="inlineStr">
        <is>
          <t>X</t>
        </is>
      </c>
      <c r="M2827" s="401" t="n"/>
      <c r="N2827" s="401" t="inlineStr">
        <is>
          <t>Pending</t>
        </is>
      </c>
      <c r="O2827" s="401" t="n"/>
      <c r="P2827" s="22" t="n"/>
      <c r="Q2827" s="401" t="n"/>
      <c r="R2827" s="401" t="n"/>
      <c r="S2827" s="22" t="n"/>
      <c r="T2827" s="390" t="n"/>
      <c r="U2827" s="390" t="inlineStr">
        <is>
          <t>Không có thông tin</t>
        </is>
      </c>
      <c r="V2827" s="22" t="n"/>
      <c r="W2827" s="22" t="n"/>
      <c r="X2827" s="22" t="n"/>
      <c r="Y2827" s="13" t="n"/>
      <c r="Z2827" s="22" t="n"/>
      <c r="AA2827" s="22" t="n"/>
      <c r="AB2827" s="22" t="n"/>
      <c r="AC2827" s="22" t="n"/>
      <c r="AD2827" s="22" t="n"/>
      <c r="AE2827" s="22" t="n"/>
    </row>
    <row r="2828" ht="98" customHeight="1" s="380">
      <c r="A2828" s="144" t="n">
        <v>117</v>
      </c>
      <c r="B2828" s="390" t="n"/>
      <c r="C2828" s="390" t="inlineStr">
        <is>
          <t>Báo cáo NPF &gt;&gt; Kết quả triển khai quy định nhận lệnh, thực hiện lệnh giao dịch mua cổ phiếu không yêu cầu có đủ tiền khi đặt lệnh của nhà đầu tư nước ngoài là tổ chức (NPF)</t>
        </is>
      </c>
      <c r="D2828" s="390" t="inlineStr">
        <is>
          <t>NĐTNN là tổ chức sử dụng NPF &gt;&gt; Giá trị giao dịch mua NPF (tỷ đồng)</t>
        </is>
      </c>
      <c r="E2828" s="390" t="inlineStr">
        <is>
          <t>NĐTNN là tổ chức sử dụng NPF &gt;&gt; Giá trị giao dịch mua NPF (tỷ đồng)</t>
        </is>
      </c>
      <c r="F2828" s="390" t="inlineStr">
        <is>
          <t>Data Explorer</t>
        </is>
      </c>
      <c r="G2828" s="390" t="inlineStr">
        <is>
          <t>Chỉ tiêu cơ sở</t>
        </is>
      </c>
      <c r="H2828" s="390" t="inlineStr">
        <is>
          <t>TB</t>
        </is>
      </c>
      <c r="I2828" s="390" t="inlineStr">
        <is>
          <t>Ngày, CTCK</t>
        </is>
      </c>
      <c r="J2828" s="401" t="inlineStr">
        <is>
          <t>SCMS</t>
        </is>
      </c>
      <c r="K2828" s="401" t="n"/>
      <c r="L2828" s="401" t="inlineStr">
        <is>
          <t>X</t>
        </is>
      </c>
      <c r="M2828" s="401" t="n"/>
      <c r="N2828" s="401" t="inlineStr">
        <is>
          <t>Pending</t>
        </is>
      </c>
      <c r="O2828" s="401" t="n"/>
      <c r="P2828" s="22" t="n"/>
      <c r="Q2828" s="401" t="n"/>
      <c r="R2828" s="401" t="n"/>
      <c r="S2828" s="22" t="n"/>
      <c r="T2828" s="390" t="n"/>
      <c r="U2828" s="390" t="inlineStr">
        <is>
          <t>Không có thông tin</t>
        </is>
      </c>
      <c r="V2828" s="22" t="n"/>
      <c r="W2828" s="22" t="n"/>
      <c r="X2828" s="22" t="n"/>
      <c r="Y2828" s="13" t="n"/>
      <c r="Z2828" s="22" t="n"/>
      <c r="AA2828" s="22" t="n"/>
      <c r="AB2828" s="22" t="n"/>
      <c r="AC2828" s="22" t="n"/>
      <c r="AD2828" s="22" t="n"/>
      <c r="AE2828" s="22" t="n"/>
    </row>
    <row r="2829" ht="98" customHeight="1" s="380">
      <c r="A2829" s="144" t="n">
        <v>117</v>
      </c>
      <c r="B2829" s="390" t="n"/>
      <c r="C2829" s="390" t="inlineStr">
        <is>
          <t>Báo cáo NPF &gt;&gt; Kết quả triển khai quy định nhận lệnh, thực hiện lệnh giao dịch mua cổ phiếu không yêu cầu có đủ tiền khi đặt lệnh của nhà đầu tư nước ngoài là tổ chức (NPF)</t>
        </is>
      </c>
      <c r="D2829" s="390" t="inlineStr">
        <is>
          <t>Giao dịch NPF thiếu tiền ngày T+1, CTCK phong tỏa tiền tại NHTT &gt;&gt; Số lần đặt lệnh NPF</t>
        </is>
      </c>
      <c r="E2829" s="390" t="inlineStr">
        <is>
          <t>Giao dịch NPF thiếu tiền ngày T+1, CTCK phong tỏa tiền tại NHTT &gt;&gt; Số lần đặt lệnh NPF</t>
        </is>
      </c>
      <c r="F2829" s="390" t="inlineStr">
        <is>
          <t>Data Explorer</t>
        </is>
      </c>
      <c r="G2829" s="390" t="inlineStr">
        <is>
          <t>Chỉ tiêu cơ sở</t>
        </is>
      </c>
      <c r="H2829" s="390" t="inlineStr">
        <is>
          <t>TB</t>
        </is>
      </c>
      <c r="I2829" s="390" t="inlineStr">
        <is>
          <t>Ngày, CTCK</t>
        </is>
      </c>
      <c r="J2829" s="401" t="inlineStr">
        <is>
          <t>SCMS</t>
        </is>
      </c>
      <c r="K2829" s="401" t="n"/>
      <c r="L2829" s="401" t="inlineStr">
        <is>
          <t>X</t>
        </is>
      </c>
      <c r="M2829" s="401" t="n"/>
      <c r="N2829" s="401" t="inlineStr">
        <is>
          <t>Pending</t>
        </is>
      </c>
      <c r="O2829" s="401" t="n"/>
      <c r="P2829" s="22" t="n"/>
      <c r="Q2829" s="401" t="n"/>
      <c r="R2829" s="401" t="n"/>
      <c r="S2829" s="22" t="n"/>
      <c r="T2829" s="390" t="n"/>
      <c r="U2829" s="390" t="inlineStr">
        <is>
          <t>Không có thông tin</t>
        </is>
      </c>
      <c r="V2829" s="22" t="n"/>
      <c r="W2829" s="22" t="n"/>
      <c r="X2829" s="22" t="n"/>
      <c r="Y2829" s="13" t="n"/>
      <c r="Z2829" s="22" t="n"/>
      <c r="AA2829" s="22" t="n"/>
      <c r="AB2829" s="22" t="n"/>
      <c r="AC2829" s="22" t="n"/>
      <c r="AD2829" s="22" t="n"/>
      <c r="AE2829" s="22" t="n"/>
    </row>
    <row r="2830" ht="98" customHeight="1" s="380">
      <c r="A2830" s="144" t="n">
        <v>117</v>
      </c>
      <c r="B2830" s="390" t="n"/>
      <c r="C2830" s="390" t="inlineStr">
        <is>
          <t>Báo cáo NPF &gt;&gt; Kết quả triển khai quy định nhận lệnh, thực hiện lệnh giao dịch mua cổ phiếu không yêu cầu có đủ tiền khi đặt lệnh của nhà đầu tư nước ngoài là tổ chức (NPF)</t>
        </is>
      </c>
      <c r="D2830" s="390" t="inlineStr">
        <is>
          <t>Giao dịch NPF thiếu tiền ngày T+1, CTCK phong tỏa tiền tại NHTT &gt;&gt; Số lượng cổ phiếu mua NPF</t>
        </is>
      </c>
      <c r="E2830" s="390" t="inlineStr">
        <is>
          <t>Giao dịch NPF thiếu tiền ngày T+1, CTCK phong tỏa tiền tại NHTT &gt;&gt; Số lượng cổ phiếu mua NPF</t>
        </is>
      </c>
      <c r="F2830" s="390" t="inlineStr">
        <is>
          <t>Data Explorer</t>
        </is>
      </c>
      <c r="G2830" s="390" t="inlineStr">
        <is>
          <t>Chỉ tiêu cơ sở</t>
        </is>
      </c>
      <c r="H2830" s="390" t="inlineStr">
        <is>
          <t>TB</t>
        </is>
      </c>
      <c r="I2830" s="390" t="inlineStr">
        <is>
          <t>Ngày, CTCK</t>
        </is>
      </c>
      <c r="J2830" s="401" t="inlineStr">
        <is>
          <t>SCMS</t>
        </is>
      </c>
      <c r="K2830" s="401" t="n"/>
      <c r="L2830" s="401" t="inlineStr">
        <is>
          <t>X</t>
        </is>
      </c>
      <c r="M2830" s="401" t="n"/>
      <c r="N2830" s="401" t="inlineStr">
        <is>
          <t>Pending</t>
        </is>
      </c>
      <c r="O2830" s="401" t="n"/>
      <c r="P2830" s="22" t="n"/>
      <c r="Q2830" s="401" t="n"/>
      <c r="R2830" s="401" t="n"/>
      <c r="S2830" s="22" t="n"/>
      <c r="T2830" s="390" t="n"/>
      <c r="U2830" s="390" t="inlineStr">
        <is>
          <t>Không có thông tin</t>
        </is>
      </c>
      <c r="V2830" s="22" t="n"/>
      <c r="W2830" s="22" t="n"/>
      <c r="X2830" s="22" t="n"/>
      <c r="Y2830" s="13" t="n"/>
      <c r="Z2830" s="22" t="n"/>
      <c r="AA2830" s="22" t="n"/>
      <c r="AB2830" s="22" t="n"/>
      <c r="AC2830" s="22" t="n"/>
      <c r="AD2830" s="22" t="n"/>
      <c r="AE2830" s="22" t="n"/>
    </row>
    <row r="2831" ht="98" customHeight="1" s="380">
      <c r="A2831" s="144" t="n">
        <v>117</v>
      </c>
      <c r="B2831" s="390" t="n"/>
      <c r="C2831" s="390" t="inlineStr">
        <is>
          <t>Báo cáo NPF &gt;&gt; Kết quả triển khai quy định nhận lệnh, thực hiện lệnh giao dịch mua cổ phiếu không yêu cầu có đủ tiền khi đặt lệnh của nhà đầu tư nước ngoài là tổ chức (NPF)</t>
        </is>
      </c>
      <c r="D2831" s="390" t="inlineStr">
        <is>
          <t>Giao dịch NPF thiếu tiền ngày T+1, CTCK phong tỏa tiền tại NHTT &gt;&gt; Giá trị (tỷ đồng)</t>
        </is>
      </c>
      <c r="E2831" s="390" t="inlineStr">
        <is>
          <t>Giao dịch NPF thiếu tiền ngày T+1, CTCK phong tỏa tiền tại NHTT &gt;&gt; Giá trị (tỷ đồng)</t>
        </is>
      </c>
      <c r="F2831" s="390" t="inlineStr">
        <is>
          <t>Data Explorer</t>
        </is>
      </c>
      <c r="G2831" s="390" t="inlineStr">
        <is>
          <t>Chỉ tiêu cơ sở</t>
        </is>
      </c>
      <c r="H2831" s="390" t="inlineStr">
        <is>
          <t>TB</t>
        </is>
      </c>
      <c r="I2831" s="390" t="inlineStr">
        <is>
          <t>Ngày, CTCK</t>
        </is>
      </c>
      <c r="J2831" s="401" t="inlineStr">
        <is>
          <t>SCMS</t>
        </is>
      </c>
      <c r="K2831" s="401" t="n"/>
      <c r="L2831" s="401" t="inlineStr">
        <is>
          <t>X</t>
        </is>
      </c>
      <c r="M2831" s="401" t="n"/>
      <c r="N2831" s="401" t="inlineStr">
        <is>
          <t>Pending</t>
        </is>
      </c>
      <c r="O2831" s="401" t="n"/>
      <c r="P2831" s="22" t="n"/>
      <c r="Q2831" s="401" t="n"/>
      <c r="R2831" s="401" t="n"/>
      <c r="S2831" s="22" t="n"/>
      <c r="T2831" s="390" t="n"/>
      <c r="U2831" s="390" t="inlineStr">
        <is>
          <t>Không có thông tin</t>
        </is>
      </c>
      <c r="V2831" s="22" t="n"/>
      <c r="W2831" s="22" t="n"/>
      <c r="X2831" s="22" t="n"/>
      <c r="Y2831" s="13" t="n"/>
      <c r="Z2831" s="22" t="n"/>
      <c r="AA2831" s="22" t="n"/>
      <c r="AB2831" s="22" t="n"/>
      <c r="AC2831" s="22" t="n"/>
      <c r="AD2831" s="22" t="n"/>
      <c r="AE2831" s="22" t="n"/>
    </row>
    <row r="2832" ht="98" customHeight="1" s="380">
      <c r="A2832" s="144" t="n">
        <v>117</v>
      </c>
      <c r="B2832" s="390" t="n"/>
      <c r="C2832" s="390" t="inlineStr">
        <is>
          <t>Báo cáo NPF &gt;&gt; Kết quả triển khai quy định nhận lệnh, thực hiện lệnh giao dịch mua cổ phiếu không yêu cầu có đủ tiền khi đặt lệnh của nhà đầu tư nước ngoài là tổ chức (NPF)</t>
        </is>
      </c>
      <c r="D2832" s="390" t="inlineStr">
        <is>
          <t>Giao dịch NPF thiếu tiền vào ngày T+2, CTCK thanh toán thay &gt;&gt; Số lần đặt lệnh NPF</t>
        </is>
      </c>
      <c r="E2832" s="390" t="inlineStr">
        <is>
          <t>Giao dịch NPF thiếu tiền vào ngày T+2, CTCK thanh toán thay &gt;&gt; Số lần đặt lệnh NPF</t>
        </is>
      </c>
      <c r="F2832" s="390" t="inlineStr">
        <is>
          <t>Data Explorer</t>
        </is>
      </c>
      <c r="G2832" s="390" t="inlineStr">
        <is>
          <t>Chỉ tiêu cơ sở</t>
        </is>
      </c>
      <c r="H2832" s="390" t="inlineStr">
        <is>
          <t>TB</t>
        </is>
      </c>
      <c r="I2832" s="390" t="inlineStr">
        <is>
          <t>Ngày, CTCK</t>
        </is>
      </c>
      <c r="J2832" s="401" t="inlineStr">
        <is>
          <t>SCMS</t>
        </is>
      </c>
      <c r="K2832" s="401" t="n"/>
      <c r="L2832" s="401" t="inlineStr">
        <is>
          <t>X</t>
        </is>
      </c>
      <c r="M2832" s="401" t="n"/>
      <c r="N2832" s="401" t="inlineStr">
        <is>
          <t>Pending</t>
        </is>
      </c>
      <c r="O2832" s="401" t="n"/>
      <c r="P2832" s="22" t="n"/>
      <c r="Q2832" s="401" t="n"/>
      <c r="R2832" s="401" t="n"/>
      <c r="S2832" s="22" t="n"/>
      <c r="T2832" s="390" t="n"/>
      <c r="U2832" s="390" t="inlineStr">
        <is>
          <t>Không có thông tin</t>
        </is>
      </c>
      <c r="V2832" s="22" t="n"/>
      <c r="W2832" s="22" t="n"/>
      <c r="X2832" s="22" t="n"/>
      <c r="Y2832" s="38" t="n"/>
      <c r="Z2832" s="22" t="n"/>
      <c r="AA2832" s="22" t="n"/>
      <c r="AB2832" s="22" t="n"/>
      <c r="AC2832" s="22" t="n"/>
      <c r="AD2832" s="22" t="n"/>
      <c r="AE2832" s="22" t="n"/>
    </row>
    <row r="2833" ht="98" customHeight="1" s="380">
      <c r="A2833" s="144" t="n">
        <v>117</v>
      </c>
      <c r="B2833" s="390" t="n"/>
      <c r="C2833" s="390" t="inlineStr">
        <is>
          <t>Báo cáo NPF &gt;&gt; Kết quả triển khai quy định nhận lệnh, thực hiện lệnh giao dịch mua cổ phiếu không yêu cầu có đủ tiền khi đặt lệnh của nhà đầu tư nước ngoài là tổ chức (NPF)</t>
        </is>
      </c>
      <c r="D2833" s="390" t="inlineStr">
        <is>
          <t>Giao dịch NPF thiếu tiền vào ngày T+2, CTCK thanh toán thay &gt;&gt; Số lượng cổ phiếu mua NPF</t>
        </is>
      </c>
      <c r="E2833" s="390" t="inlineStr">
        <is>
          <t>Giao dịch NPF thiếu tiền vào ngày T+2, CTCK thanh toán thay &gt;&gt; Số lượng cổ phiếu mua NPF</t>
        </is>
      </c>
      <c r="F2833" s="390" t="inlineStr">
        <is>
          <t>Data Explorer</t>
        </is>
      </c>
      <c r="G2833" s="390" t="inlineStr">
        <is>
          <t>Chỉ tiêu cơ sở</t>
        </is>
      </c>
      <c r="H2833" s="390" t="inlineStr">
        <is>
          <t>TB</t>
        </is>
      </c>
      <c r="I2833" s="390" t="inlineStr">
        <is>
          <t>Ngày, CTCK</t>
        </is>
      </c>
      <c r="J2833" s="401" t="inlineStr">
        <is>
          <t>SCMS</t>
        </is>
      </c>
      <c r="K2833" s="401" t="n"/>
      <c r="L2833" s="401" t="inlineStr">
        <is>
          <t>X</t>
        </is>
      </c>
      <c r="M2833" s="401" t="n"/>
      <c r="N2833" s="401" t="inlineStr">
        <is>
          <t>Pending</t>
        </is>
      </c>
      <c r="O2833" s="401" t="n"/>
      <c r="P2833" s="22" t="n"/>
      <c r="Q2833" s="401" t="n"/>
      <c r="R2833" s="401" t="n"/>
      <c r="S2833" s="22" t="n"/>
      <c r="T2833" s="390" t="n"/>
      <c r="U2833" s="390" t="inlineStr">
        <is>
          <t>Không có thông tin</t>
        </is>
      </c>
      <c r="V2833" s="22" t="n"/>
      <c r="W2833" s="22" t="n"/>
      <c r="X2833" s="22" t="n"/>
      <c r="Y2833" s="13" t="n"/>
      <c r="Z2833" s="22" t="n"/>
      <c r="AA2833" s="22" t="n"/>
      <c r="AB2833" s="22" t="n"/>
      <c r="AC2833" s="22" t="n"/>
      <c r="AD2833" s="22" t="n"/>
      <c r="AE2833" s="22" t="n"/>
    </row>
    <row r="2834" ht="98" customHeight="1" s="380">
      <c r="A2834" s="144" t="n">
        <v>117</v>
      </c>
      <c r="B2834" s="390" t="n"/>
      <c r="C2834" s="390" t="inlineStr">
        <is>
          <t>Báo cáo NPF &gt;&gt; Kết quả triển khai quy định nhận lệnh, thực hiện lệnh giao dịch mua cổ phiếu không yêu cầu có đủ tiền khi đặt lệnh của nhà đầu tư nước ngoài là tổ chức (NPF)</t>
        </is>
      </c>
      <c r="D2834" s="390" t="inlineStr">
        <is>
          <t>Giao dịch NPF thiếu tiền vào ngày T+2, CTCK thanh toán thay &gt;&gt; Giá trị (tỷ đồng)</t>
        </is>
      </c>
      <c r="E2834" s="390" t="inlineStr">
        <is>
          <t>Giao dịch NPF thiếu tiền vào ngày T+2, CTCK thanh toán thay &gt;&gt; Giá trị (tỷ đồng)</t>
        </is>
      </c>
      <c r="F2834" s="390" t="inlineStr">
        <is>
          <t>Data Explorer</t>
        </is>
      </c>
      <c r="G2834" s="390" t="inlineStr">
        <is>
          <t>Chỉ tiêu cơ sở</t>
        </is>
      </c>
      <c r="H2834" s="390" t="inlineStr">
        <is>
          <t>TB</t>
        </is>
      </c>
      <c r="I2834" s="390" t="inlineStr">
        <is>
          <t>Ngày, CTCK</t>
        </is>
      </c>
      <c r="J2834" s="401" t="inlineStr">
        <is>
          <t>SCMS</t>
        </is>
      </c>
      <c r="K2834" s="401" t="n"/>
      <c r="L2834" s="401" t="inlineStr">
        <is>
          <t>X</t>
        </is>
      </c>
      <c r="M2834" s="401" t="n"/>
      <c r="N2834" s="401" t="inlineStr">
        <is>
          <t>Pending</t>
        </is>
      </c>
      <c r="O2834" s="401" t="n"/>
      <c r="P2834" s="22" t="n"/>
      <c r="Q2834" s="401" t="n"/>
      <c r="R2834" s="401" t="n"/>
      <c r="S2834" s="22" t="n"/>
      <c r="T2834" s="390" t="n"/>
      <c r="U2834" s="390" t="inlineStr">
        <is>
          <t>Không có thông tin</t>
        </is>
      </c>
      <c r="V2834" s="22" t="n"/>
      <c r="W2834" s="22" t="n"/>
      <c r="X2834" s="22" t="n"/>
      <c r="Y2834" s="13" t="n"/>
      <c r="Z2834" s="22" t="n"/>
      <c r="AA2834" s="22" t="n"/>
      <c r="AB2834" s="22" t="n"/>
      <c r="AC2834" s="22" t="n"/>
      <c r="AD2834" s="22" t="n"/>
      <c r="AE2834" s="22" t="n"/>
    </row>
    <row r="2835" ht="98" customHeight="1" s="380">
      <c r="A2835" s="144" t="n">
        <v>117</v>
      </c>
      <c r="B2835" s="390" t="n"/>
      <c r="C2835" s="390" t="inlineStr">
        <is>
          <t>Báo cáo NPF &gt;&gt; Kết quả triển khai quy định nhận lệnh, thực hiện lệnh giao dịch mua cổ phiếu không yêu cầu có đủ tiền khi đặt lệnh của nhà đầu tư nước ngoài là tổ chức (NPF)</t>
        </is>
      </c>
      <c r="D2835" s="390" t="inlineStr">
        <is>
          <t>Giao dịch chuyển quyền sở hữu cổ phiếu từ tài khoản NĐT NPF sang tài khoản tự doanh CTCK &gt;&gt; Số lần đặt lệnh NPF</t>
        </is>
      </c>
      <c r="E2835" s="390" t="inlineStr">
        <is>
          <t>Giao dịch chuyển quyền sở hữu cổ phiếu từ tài khoản NĐT NPF sang tài khoản tự doanh CTCK &gt;&gt; Số lần đặt lệnh NPF</t>
        </is>
      </c>
      <c r="F2835" s="390" t="inlineStr">
        <is>
          <t>Data Explorer</t>
        </is>
      </c>
      <c r="G2835" s="390" t="inlineStr">
        <is>
          <t>Chỉ tiêu cơ sở</t>
        </is>
      </c>
      <c r="H2835" s="390" t="inlineStr">
        <is>
          <t>TB</t>
        </is>
      </c>
      <c r="I2835" s="390" t="inlineStr">
        <is>
          <t>Ngày, CTCK</t>
        </is>
      </c>
      <c r="J2835" s="401" t="inlineStr">
        <is>
          <t>SCMS</t>
        </is>
      </c>
      <c r="K2835" s="401" t="n"/>
      <c r="L2835" s="401" t="inlineStr">
        <is>
          <t>X</t>
        </is>
      </c>
      <c r="M2835" s="401" t="n"/>
      <c r="N2835" s="401" t="inlineStr">
        <is>
          <t>Pending</t>
        </is>
      </c>
      <c r="O2835" s="401" t="n"/>
      <c r="P2835" s="22" t="n"/>
      <c r="Q2835" s="401" t="n"/>
      <c r="R2835" s="401" t="n"/>
      <c r="S2835" s="22" t="n"/>
      <c r="T2835" s="390" t="n"/>
      <c r="U2835" s="390" t="inlineStr">
        <is>
          <t>Không có thông tin</t>
        </is>
      </c>
      <c r="V2835" s="22" t="n"/>
      <c r="W2835" s="22" t="n"/>
      <c r="X2835" s="22" t="n"/>
      <c r="Y2835" s="13" t="n"/>
      <c r="Z2835" s="22" t="n"/>
      <c r="AA2835" s="22" t="n"/>
      <c r="AB2835" s="22" t="n"/>
      <c r="AC2835" s="22" t="n"/>
      <c r="AD2835" s="22" t="n"/>
      <c r="AE2835" s="22" t="n"/>
    </row>
    <row r="2836" ht="98" customHeight="1" s="380">
      <c r="A2836" s="144" t="n">
        <v>117</v>
      </c>
      <c r="B2836" s="390" t="n"/>
      <c r="C2836" s="390" t="inlineStr">
        <is>
          <t>Báo cáo NPF &gt;&gt; Kết quả triển khai quy định nhận lệnh, thực hiện lệnh giao dịch mua cổ phiếu không yêu cầu có đủ tiền khi đặt lệnh của nhà đầu tư nước ngoài là tổ chức (NPF)</t>
        </is>
      </c>
      <c r="D2836" s="390" t="inlineStr">
        <is>
          <t>Giao dịch chuyển quyền sở hữu cổ phiếu từ tài khoản NĐT NPF sang tài khoản tự doanh CTCK &gt;&gt; Số lượng cổ phiếu mua NPF</t>
        </is>
      </c>
      <c r="E2836" s="390" t="inlineStr">
        <is>
          <t>Giao dịch chuyển quyền sở hữu cổ phiếu từ tài khoản NĐT NPF sang tài khoản tự doanh CTCK &gt;&gt; Số lượng cổ phiếu mua NPF</t>
        </is>
      </c>
      <c r="F2836" s="390" t="inlineStr">
        <is>
          <t>Data Explorer</t>
        </is>
      </c>
      <c r="G2836" s="390" t="inlineStr">
        <is>
          <t>Chỉ tiêu cơ sở</t>
        </is>
      </c>
      <c r="H2836" s="390" t="inlineStr">
        <is>
          <t>TB</t>
        </is>
      </c>
      <c r="I2836" s="390" t="inlineStr">
        <is>
          <t>Ngày, CTCK</t>
        </is>
      </c>
      <c r="J2836" s="401" t="inlineStr">
        <is>
          <t>SCMS</t>
        </is>
      </c>
      <c r="K2836" s="401" t="n"/>
      <c r="L2836" s="401" t="inlineStr">
        <is>
          <t>X</t>
        </is>
      </c>
      <c r="M2836" s="401" t="n"/>
      <c r="N2836" s="401" t="inlineStr">
        <is>
          <t>Pending</t>
        </is>
      </c>
      <c r="O2836" s="401" t="n"/>
      <c r="P2836" s="22" t="n"/>
      <c r="Q2836" s="401" t="n"/>
      <c r="R2836" s="401" t="n"/>
      <c r="S2836" s="22" t="n"/>
      <c r="T2836" s="390" t="n"/>
      <c r="U2836" s="390" t="inlineStr">
        <is>
          <t>Không có thông tin</t>
        </is>
      </c>
      <c r="V2836" s="22" t="n"/>
      <c r="W2836" s="22" t="n"/>
      <c r="X2836" s="22" t="n"/>
      <c r="Y2836" s="13" t="n"/>
      <c r="Z2836" s="22" t="n"/>
      <c r="AA2836" s="22" t="n"/>
      <c r="AB2836" s="22" t="n"/>
      <c r="AC2836" s="22" t="n"/>
      <c r="AD2836" s="22" t="n"/>
      <c r="AE2836" s="22" t="n"/>
    </row>
    <row r="2837" ht="98" customHeight="1" s="380">
      <c r="A2837" s="144" t="n">
        <v>117</v>
      </c>
      <c r="B2837" s="390" t="n"/>
      <c r="C2837" s="390" t="inlineStr">
        <is>
          <t>Báo cáo NPF &gt;&gt; Kết quả triển khai quy định nhận lệnh, thực hiện lệnh giao dịch mua cổ phiếu không yêu cầu có đủ tiền khi đặt lệnh của nhà đầu tư nước ngoài là tổ chức (NPF)</t>
        </is>
      </c>
      <c r="D2837" s="390" t="inlineStr">
        <is>
          <t>Giao dịch chuyển quyền sở hữu cổ phiếu từ tài khoản NĐT NPF sang tài khoản tự doanh CTCK &gt;&gt; Giá trị (tỷ đồng)</t>
        </is>
      </c>
      <c r="E2837" s="390" t="inlineStr">
        <is>
          <t>Giao dịch chuyển quyền sở hữu cổ phiếu từ tài khoản NĐT NPF sang tài khoản tự doanh CTCK &gt;&gt; Giá trị (tỷ đồng)</t>
        </is>
      </c>
      <c r="F2837" s="390" t="inlineStr">
        <is>
          <t>Data Explorer</t>
        </is>
      </c>
      <c r="G2837" s="390" t="inlineStr">
        <is>
          <t>Chỉ tiêu cơ sở</t>
        </is>
      </c>
      <c r="H2837" s="390" t="inlineStr">
        <is>
          <t>TB</t>
        </is>
      </c>
      <c r="I2837" s="390" t="inlineStr">
        <is>
          <t>Ngày, CTCK</t>
        </is>
      </c>
      <c r="J2837" s="401" t="inlineStr">
        <is>
          <t>SCMS</t>
        </is>
      </c>
      <c r="K2837" s="401" t="n"/>
      <c r="L2837" s="401" t="inlineStr">
        <is>
          <t>X</t>
        </is>
      </c>
      <c r="M2837" s="401" t="n"/>
      <c r="N2837" s="401" t="inlineStr">
        <is>
          <t>Pending</t>
        </is>
      </c>
      <c r="O2837" s="401" t="n"/>
      <c r="P2837" s="22" t="n"/>
      <c r="Q2837" s="401" t="n"/>
      <c r="R2837" s="401" t="n"/>
      <c r="S2837" s="22" t="n"/>
      <c r="T2837" s="390" t="n"/>
      <c r="U2837" s="390" t="inlineStr">
        <is>
          <t>Không có thông tin</t>
        </is>
      </c>
      <c r="V2837" s="22" t="n"/>
      <c r="W2837" s="22" t="n"/>
      <c r="X2837" s="22" t="n"/>
      <c r="Y2837" s="13" t="n"/>
      <c r="Z2837" s="22" t="n"/>
      <c r="AA2837" s="22" t="n"/>
      <c r="AB2837" s="22" t="n"/>
      <c r="AC2837" s="22" t="n"/>
      <c r="AD2837" s="22" t="n"/>
      <c r="AE2837" s="22" t="n"/>
    </row>
    <row r="2838" ht="98" customHeight="1" s="380">
      <c r="A2838" s="144" t="n">
        <v>117</v>
      </c>
      <c r="B2838" s="390" t="n"/>
      <c r="C2838" s="390" t="inlineStr">
        <is>
          <t>Báo cáo NPF &gt;&gt; Kết quả triển khai quy định nhận lệnh, thực hiện lệnh giao dịch mua cổ phiếu không yêu cầu có đủ tiền khi đặt lệnh của nhà đầu tư nước ngoài là tổ chức (NPF)</t>
        </is>
      </c>
      <c r="D2838" s="390" t="inlineStr">
        <is>
          <t>Giao dịch mua cổ phiếu của NĐTNN bị loại bỏ thanh toán do CTCK không đủ tiền phong tỏa ngày T+1 &gt;&gt; Số lần đặt lệnh NPF</t>
        </is>
      </c>
      <c r="E2838" s="390" t="inlineStr">
        <is>
          <t>Giao dịch mua cổ phiếu của NĐTNN bị loại bỏ thanh toán do CTCK không đủ tiền phong tỏa ngày T+1 &gt;&gt; Số lần đặt lệnh NPF</t>
        </is>
      </c>
      <c r="F2838" s="390" t="inlineStr">
        <is>
          <t>Data Explorer</t>
        </is>
      </c>
      <c r="G2838" s="390" t="inlineStr">
        <is>
          <t>Chỉ tiêu cơ sở</t>
        </is>
      </c>
      <c r="H2838" s="390" t="inlineStr">
        <is>
          <t>TB</t>
        </is>
      </c>
      <c r="I2838" s="390" t="inlineStr">
        <is>
          <t>Ngày, CTCK</t>
        </is>
      </c>
      <c r="J2838" s="401" t="inlineStr">
        <is>
          <t>SCMS</t>
        </is>
      </c>
      <c r="K2838" s="401" t="n"/>
      <c r="L2838" s="401" t="inlineStr">
        <is>
          <t>X</t>
        </is>
      </c>
      <c r="M2838" s="401" t="n"/>
      <c r="N2838" s="401" t="inlineStr">
        <is>
          <t>Pending</t>
        </is>
      </c>
      <c r="O2838" s="401" t="n"/>
      <c r="P2838" s="22" t="n"/>
      <c r="Q2838" s="401" t="n"/>
      <c r="R2838" s="401" t="n"/>
      <c r="S2838" s="22" t="n"/>
      <c r="T2838" s="390" t="n"/>
      <c r="U2838" s="390" t="inlineStr">
        <is>
          <t>Không có thông tin</t>
        </is>
      </c>
      <c r="V2838" s="22" t="n"/>
      <c r="W2838" s="22" t="n"/>
      <c r="X2838" s="22" t="n"/>
      <c r="Y2838" s="38" t="n"/>
      <c r="Z2838" s="22" t="n"/>
      <c r="AA2838" s="22" t="n"/>
      <c r="AB2838" s="22" t="n"/>
      <c r="AC2838" s="22" t="n"/>
      <c r="AD2838" s="22" t="n"/>
      <c r="AE2838" s="22" t="n"/>
    </row>
    <row r="2839" ht="98" customHeight="1" s="380">
      <c r="A2839" s="144" t="n">
        <v>117</v>
      </c>
      <c r="B2839" s="390" t="n"/>
      <c r="C2839" s="390" t="inlineStr">
        <is>
          <t>Báo cáo NPF &gt;&gt; Kết quả triển khai quy định nhận lệnh, thực hiện lệnh giao dịch mua cổ phiếu không yêu cầu có đủ tiền khi đặt lệnh của nhà đầu tư nước ngoài là tổ chức (NPF)</t>
        </is>
      </c>
      <c r="D2839" s="390" t="inlineStr">
        <is>
          <t>Giao dịch mua cổ phiếu của NĐTNN bị loại bỏ thanh toán do CTCK không đủ tiền phong tỏa ngày T+1 &gt;&gt; Số lượng cổ phiếu mua NPF</t>
        </is>
      </c>
      <c r="E2839" s="390" t="inlineStr">
        <is>
          <t>Giao dịch mua cổ phiếu của NĐTNN bị loại bỏ thanh toán do CTCK không đủ tiền phong tỏa ngày T+1 &gt;&gt; Số lượng cổ phiếu mua NPF</t>
        </is>
      </c>
      <c r="F2839" s="390" t="inlineStr">
        <is>
          <t>Data Explorer</t>
        </is>
      </c>
      <c r="G2839" s="390" t="inlineStr">
        <is>
          <t>Chỉ tiêu cơ sở</t>
        </is>
      </c>
      <c r="H2839" s="390" t="inlineStr">
        <is>
          <t>TB</t>
        </is>
      </c>
      <c r="I2839" s="390" t="inlineStr">
        <is>
          <t>Ngày, CTCK</t>
        </is>
      </c>
      <c r="J2839" s="401" t="inlineStr">
        <is>
          <t>SCMS</t>
        </is>
      </c>
      <c r="K2839" s="401" t="n"/>
      <c r="L2839" s="401" t="inlineStr">
        <is>
          <t>X</t>
        </is>
      </c>
      <c r="M2839" s="401" t="n"/>
      <c r="N2839" s="401" t="inlineStr">
        <is>
          <t>Pending</t>
        </is>
      </c>
      <c r="O2839" s="401" t="n"/>
      <c r="P2839" s="22" t="n"/>
      <c r="Q2839" s="401" t="n"/>
      <c r="R2839" s="401" t="n"/>
      <c r="S2839" s="22" t="n"/>
      <c r="T2839" s="390" t="n"/>
      <c r="U2839" s="390" t="inlineStr">
        <is>
          <t>Không có thông tin</t>
        </is>
      </c>
      <c r="V2839" s="22" t="n"/>
      <c r="W2839" s="22" t="n"/>
      <c r="X2839" s="22" t="n"/>
      <c r="Y2839" s="13" t="n"/>
      <c r="Z2839" s="22" t="n"/>
      <c r="AA2839" s="22" t="n"/>
      <c r="AB2839" s="22" t="n"/>
      <c r="AC2839" s="22" t="n"/>
      <c r="AD2839" s="22" t="n"/>
      <c r="AE2839" s="22" t="n"/>
    </row>
    <row r="2840" ht="98" customHeight="1" s="380">
      <c r="A2840" s="144" t="n">
        <v>117</v>
      </c>
      <c r="B2840" s="390" t="n"/>
      <c r="C2840" s="390" t="inlineStr">
        <is>
          <t>Báo cáo NPF &gt;&gt; Kết quả triển khai quy định nhận lệnh, thực hiện lệnh giao dịch mua cổ phiếu không yêu cầu có đủ tiền khi đặt lệnh của nhà đầu tư nước ngoài là tổ chức (NPF)</t>
        </is>
      </c>
      <c r="D2840" s="390" t="inlineStr">
        <is>
          <t>Giao dịch mua cổ phiếu của NĐTNN bị loại bỏ thanh toán do CTCK không đủ tiền phong tỏa ngày T+1 &gt;&gt; Giá trị (tỷ đồng)</t>
        </is>
      </c>
      <c r="E2840" s="390" t="inlineStr">
        <is>
          <t>Giao dịch mua cổ phiếu của NĐTNN bị loại bỏ thanh toán do CTCK không đủ tiền phong tỏa ngày T+1 &gt;&gt; Giá trị (tỷ đồng)</t>
        </is>
      </c>
      <c r="F2840" s="390" t="inlineStr">
        <is>
          <t>Data Explorer</t>
        </is>
      </c>
      <c r="G2840" s="390" t="inlineStr">
        <is>
          <t>Chỉ tiêu cơ sở</t>
        </is>
      </c>
      <c r="H2840" s="390" t="inlineStr">
        <is>
          <t>TB</t>
        </is>
      </c>
      <c r="I2840" s="390" t="inlineStr">
        <is>
          <t>Ngày, CTCK</t>
        </is>
      </c>
      <c r="J2840" s="401" t="inlineStr">
        <is>
          <t>SCMS</t>
        </is>
      </c>
      <c r="K2840" s="401" t="n"/>
      <c r="L2840" s="401" t="inlineStr">
        <is>
          <t>X</t>
        </is>
      </c>
      <c r="M2840" s="401" t="n"/>
      <c r="N2840" s="401" t="inlineStr">
        <is>
          <t>Pending</t>
        </is>
      </c>
      <c r="O2840" s="401" t="n"/>
      <c r="P2840" s="22" t="n"/>
      <c r="Q2840" s="401" t="n"/>
      <c r="R2840" s="401" t="n"/>
      <c r="S2840" s="22" t="n"/>
      <c r="T2840" s="390" t="n"/>
      <c r="U2840" s="390" t="inlineStr">
        <is>
          <t>Không có thông tin</t>
        </is>
      </c>
      <c r="V2840" s="22" t="n"/>
      <c r="W2840" s="22" t="n"/>
      <c r="X2840" s="22" t="n"/>
      <c r="Y2840" s="13" t="n"/>
      <c r="Z2840" s="22" t="n"/>
      <c r="AA2840" s="22" t="n"/>
      <c r="AB2840" s="22" t="n"/>
      <c r="AC2840" s="22" t="n"/>
      <c r="AD2840" s="22" t="n"/>
      <c r="AE2840" s="22" t="n"/>
    </row>
    <row r="2841" ht="98" customHeight="1" s="380">
      <c r="A2841" s="144" t="n">
        <v>117</v>
      </c>
      <c r="B2841" s="390" t="n"/>
      <c r="C2841" s="390" t="inlineStr">
        <is>
          <t>Báo cáo NPF &gt;&gt; Kết quả triển khai quy định nhận lệnh, thực hiện lệnh giao dịch mua cổ phiếu không yêu cầu có đủ tiền khi đặt lệnh của nhà đầu tư nước ngoài là tổ chức (NPF)</t>
        </is>
      </c>
      <c r="D2841" s="390" t="inlineStr">
        <is>
          <t>Giao dịch không đủ tiền để thanh toán vào ngày T+2 dẫn đến VSDC áp dụng biện pháp hỗ trợ thanh toán &gt;&gt; Số lần đặt lệnh NPF</t>
        </is>
      </c>
      <c r="E2841" s="390" t="inlineStr">
        <is>
          <t>Giao dịch không đủ tiền để thanh toán vào ngày T+2 dẫn đến VSDC áp dụng biện pháp hỗ trợ thanh toán &gt;&gt; Số lần đặt lệnh NPF</t>
        </is>
      </c>
      <c r="F2841" s="390" t="inlineStr">
        <is>
          <t>Data Explorer</t>
        </is>
      </c>
      <c r="G2841" s="390" t="inlineStr">
        <is>
          <t>Chỉ tiêu cơ sở</t>
        </is>
      </c>
      <c r="H2841" s="390" t="inlineStr">
        <is>
          <t>TB</t>
        </is>
      </c>
      <c r="I2841" s="390" t="inlineStr">
        <is>
          <t>Ngày, CTCK</t>
        </is>
      </c>
      <c r="J2841" s="401" t="inlineStr">
        <is>
          <t>SCMS</t>
        </is>
      </c>
      <c r="K2841" s="401" t="n"/>
      <c r="L2841" s="401" t="inlineStr">
        <is>
          <t>X</t>
        </is>
      </c>
      <c r="M2841" s="401" t="n"/>
      <c r="N2841" s="401" t="inlineStr">
        <is>
          <t>Pending</t>
        </is>
      </c>
      <c r="O2841" s="401" t="n"/>
      <c r="P2841" s="22" t="n"/>
      <c r="Q2841" s="401" t="n"/>
      <c r="R2841" s="401" t="n"/>
      <c r="S2841" s="22" t="n"/>
      <c r="T2841" s="390" t="n"/>
      <c r="U2841" s="390" t="inlineStr">
        <is>
          <t>Không có thông tin</t>
        </is>
      </c>
      <c r="V2841" s="22" t="n"/>
      <c r="W2841" s="22" t="n"/>
      <c r="X2841" s="22" t="n"/>
      <c r="Y2841" s="13" t="n"/>
      <c r="Z2841" s="22" t="n"/>
      <c r="AA2841" s="22" t="n"/>
      <c r="AB2841" s="22" t="n"/>
      <c r="AC2841" s="22" t="n"/>
      <c r="AD2841" s="22" t="n"/>
      <c r="AE2841" s="22" t="n"/>
    </row>
    <row r="2842" ht="98" customHeight="1" s="380">
      <c r="A2842" s="144" t="n">
        <v>117</v>
      </c>
      <c r="B2842" s="390" t="n"/>
      <c r="C2842" s="390" t="inlineStr">
        <is>
          <t>Báo cáo NPF &gt;&gt; Kết quả triển khai quy định nhận lệnh, thực hiện lệnh giao dịch mua cổ phiếu không yêu cầu có đủ tiền khi đặt lệnh của nhà đầu tư nước ngoài là tổ chức (NPF)</t>
        </is>
      </c>
      <c r="D2842" s="390" t="inlineStr">
        <is>
          <t>Giao dịch không đủ tiền để thanh toán vào ngày T+2 dẫn đến VSDC áp dụng biện pháp hỗ trợ thanh toán &gt;&gt; Số lượng cổ phiếu mua NPF</t>
        </is>
      </c>
      <c r="E2842" s="390" t="inlineStr">
        <is>
          <t>Giao dịch không đủ tiền để thanh toán vào ngày T+2 dẫn đến VSDC áp dụng biện pháp hỗ trợ thanh toán &gt;&gt; Số lượng cổ phiếu mua NPF</t>
        </is>
      </c>
      <c r="F2842" s="390" t="inlineStr">
        <is>
          <t>Data Explorer</t>
        </is>
      </c>
      <c r="G2842" s="390" t="inlineStr">
        <is>
          <t>Chỉ tiêu cơ sở</t>
        </is>
      </c>
      <c r="H2842" s="390" t="inlineStr">
        <is>
          <t>TB</t>
        </is>
      </c>
      <c r="I2842" s="390" t="inlineStr">
        <is>
          <t>Ngày, CTCK</t>
        </is>
      </c>
      <c r="J2842" s="401" t="inlineStr">
        <is>
          <t>SCMS</t>
        </is>
      </c>
      <c r="K2842" s="401" t="n"/>
      <c r="L2842" s="401" t="inlineStr">
        <is>
          <t>X</t>
        </is>
      </c>
      <c r="M2842" s="401" t="n"/>
      <c r="N2842" s="401" t="inlineStr">
        <is>
          <t>Pending</t>
        </is>
      </c>
      <c r="O2842" s="401" t="n"/>
      <c r="P2842" s="22" t="n"/>
      <c r="Q2842" s="401" t="n"/>
      <c r="R2842" s="401" t="n"/>
      <c r="S2842" s="22" t="n"/>
      <c r="T2842" s="390" t="n"/>
      <c r="U2842" s="390" t="inlineStr">
        <is>
          <t>Không có thông tin</t>
        </is>
      </c>
      <c r="V2842" s="22" t="n"/>
      <c r="W2842" s="22" t="n"/>
      <c r="X2842" s="22" t="n"/>
      <c r="Y2842" s="13" t="n"/>
      <c r="Z2842" s="22" t="n"/>
      <c r="AA2842" s="22" t="n"/>
      <c r="AB2842" s="22" t="n"/>
      <c r="AC2842" s="22" t="n"/>
      <c r="AD2842" s="22" t="n"/>
      <c r="AE2842" s="22" t="n"/>
    </row>
    <row r="2843" ht="98" customHeight="1" s="380">
      <c r="A2843" s="145" t="n">
        <v>117</v>
      </c>
      <c r="B2843" s="129" t="n"/>
      <c r="C2843" s="129" t="inlineStr">
        <is>
          <t>Báo cáo NPF &gt;&gt; Kết quả triển khai quy định nhận lệnh, thực hiện lệnh giao dịch mua cổ phiếu không yêu cầu có đủ tiền khi đặt lệnh của nhà đầu tư nước ngoài là tổ chức (NPF)</t>
        </is>
      </c>
      <c r="D2843" s="129" t="inlineStr">
        <is>
          <t>Giao dịch không đủ tiền để thanh toán vào ngày T+2 dẫn đến VSDC áp dụng biện pháp hỗ trợ thanh toán &gt;&gt; Giá trị (tỷ đồng)</t>
        </is>
      </c>
      <c r="E2843" s="129" t="inlineStr">
        <is>
          <t>Giao dịch không đủ tiền để thanh toán vào ngày T+2 dẫn đến VSDC áp dụng biện pháp hỗ trợ thanh toán &gt;&gt; Giá trị (tỷ đồng)</t>
        </is>
      </c>
      <c r="F2843" s="129" t="inlineStr">
        <is>
          <t>Data Explorer</t>
        </is>
      </c>
      <c r="G2843" s="129" t="inlineStr">
        <is>
          <t>Chỉ tiêu cơ sở</t>
        </is>
      </c>
      <c r="H2843" s="129" t="inlineStr">
        <is>
          <t>TB</t>
        </is>
      </c>
      <c r="I2843" s="129" t="inlineStr">
        <is>
          <t>Ngày, CTCK</t>
        </is>
      </c>
      <c r="J2843" s="85" t="inlineStr">
        <is>
          <t>SCMS</t>
        </is>
      </c>
      <c r="K2843" s="85" t="n"/>
      <c r="L2843" s="85" t="inlineStr">
        <is>
          <t>X</t>
        </is>
      </c>
      <c r="M2843" s="85" t="n"/>
      <c r="N2843" s="85" t="inlineStr">
        <is>
          <t>Pending</t>
        </is>
      </c>
      <c r="O2843" s="85" t="n"/>
      <c r="P2843" s="130" t="n"/>
      <c r="Q2843" s="85" t="n"/>
      <c r="R2843" s="85" t="n"/>
      <c r="S2843" s="130" t="n"/>
      <c r="T2843" s="129" t="n"/>
      <c r="U2843" s="129" t="inlineStr">
        <is>
          <t>Không có thông tin</t>
        </is>
      </c>
      <c r="V2843" s="130" t="n"/>
      <c r="W2843" s="130" t="n"/>
      <c r="X2843" s="130" t="n"/>
      <c r="Y2843" s="97" t="n"/>
      <c r="Z2843" s="130" t="n"/>
      <c r="AA2843" s="130" t="n"/>
      <c r="AB2843" s="130" t="n"/>
      <c r="AC2843" s="130" t="n"/>
      <c r="AD2843" s="130" t="n"/>
      <c r="AE2843" s="130" t="n"/>
    </row>
    <row r="2844" ht="14" customHeight="1" s="380">
      <c r="A2844" s="146" t="n">
        <v>118</v>
      </c>
      <c r="B2844" s="140" t="inlineStr">
        <is>
          <t>Trang</t>
        </is>
      </c>
      <c r="C2844" s="127" t="inlineStr">
        <is>
          <t>Báo cáo thường niên</t>
        </is>
      </c>
      <c r="D2844" s="109" t="inlineStr">
        <is>
          <t>Loại báo cáo</t>
        </is>
      </c>
      <c r="E2844" s="110" t="inlineStr">
        <is>
          <t>Loại báo cáo</t>
        </is>
      </c>
      <c r="F2844" s="403" t="inlineStr">
        <is>
          <t>Data Explorer</t>
        </is>
      </c>
      <c r="G2844" s="390" t="inlineStr">
        <is>
          <t>Chiều</t>
        </is>
      </c>
      <c r="H2844" s="403" t="inlineStr">
        <is>
          <t>Dễ</t>
        </is>
      </c>
      <c r="I2844" s="403" t="inlineStr">
        <is>
          <t>Ngày, CTCK</t>
        </is>
      </c>
      <c r="J2844" s="404" t="inlineStr">
        <is>
          <t>SCMS</t>
        </is>
      </c>
      <c r="K2844" s="404" t="inlineStr">
        <is>
          <t>X</t>
        </is>
      </c>
      <c r="L2844" s="404" t="inlineStr">
        <is>
          <t>X</t>
        </is>
      </c>
      <c r="M2844" s="404" t="n"/>
      <c r="N2844" s="404" t="inlineStr">
        <is>
          <t>Pending</t>
        </is>
      </c>
      <c r="O2844" s="404" t="n"/>
      <c r="P2844" s="141" t="n"/>
      <c r="Q2844" s="105" t="inlineStr">
        <is>
          <t>DB cũ không thấy biểu mẫu báo cáo này</t>
        </is>
      </c>
      <c r="R2844" s="404" t="n"/>
      <c r="S2844" s="141" t="n"/>
      <c r="T2844" s="403" t="n"/>
      <c r="U2844" s="403" t="n"/>
      <c r="V2844" s="141" t="n"/>
      <c r="W2844" s="141" t="n"/>
      <c r="X2844" s="141" t="n"/>
      <c r="Y2844" s="38" t="n"/>
      <c r="Z2844" s="141" t="n"/>
      <c r="AA2844" s="141" t="n"/>
      <c r="AB2844" s="141" t="n"/>
      <c r="AC2844" s="141" t="n"/>
      <c r="AD2844" s="141" t="n"/>
      <c r="AE2844" s="141" t="n"/>
    </row>
    <row r="2845" ht="14" customHeight="1" s="380">
      <c r="A2845" s="146" t="n">
        <v>118</v>
      </c>
      <c r="B2845" s="390" t="n"/>
      <c r="C2845" s="390" t="inlineStr">
        <is>
          <t>Báo cáo thường niên</t>
        </is>
      </c>
      <c r="D2845" s="106" t="inlineStr">
        <is>
          <t>Kỳ báo cáo</t>
        </is>
      </c>
      <c r="E2845" s="107" t="inlineStr">
        <is>
          <t>Kỳ báo cáo</t>
        </is>
      </c>
      <c r="F2845" s="390" t="inlineStr">
        <is>
          <t>Data Explorer</t>
        </is>
      </c>
      <c r="G2845" s="390" t="inlineStr">
        <is>
          <t>Chiều</t>
        </is>
      </c>
      <c r="H2845" s="390" t="inlineStr">
        <is>
          <t>Dễ</t>
        </is>
      </c>
      <c r="I2845" s="390" t="inlineStr">
        <is>
          <t>Ngày, CTCK</t>
        </is>
      </c>
      <c r="J2845" s="401" t="inlineStr">
        <is>
          <t>SCMS</t>
        </is>
      </c>
      <c r="K2845" s="401" t="inlineStr">
        <is>
          <t>X</t>
        </is>
      </c>
      <c r="L2845" s="401" t="inlineStr">
        <is>
          <t>X</t>
        </is>
      </c>
      <c r="M2845" s="401" t="n"/>
      <c r="N2845" s="401" t="inlineStr">
        <is>
          <t>Pending</t>
        </is>
      </c>
      <c r="O2845" s="401" t="n"/>
      <c r="P2845" s="22" t="n"/>
      <c r="Q2845" s="401" t="n"/>
      <c r="R2845" s="401" t="n"/>
      <c r="S2845" s="22" t="n"/>
      <c r="T2845" s="390" t="n"/>
      <c r="U2845" s="390" t="n"/>
      <c r="V2845" s="22" t="n"/>
      <c r="W2845" s="22" t="n"/>
      <c r="X2845" s="22" t="n"/>
      <c r="Y2845" s="13" t="n"/>
      <c r="Z2845" s="22" t="n"/>
      <c r="AA2845" s="22" t="n"/>
      <c r="AB2845" s="22" t="n"/>
      <c r="AC2845" s="22" t="n"/>
      <c r="AD2845" s="22" t="n"/>
      <c r="AE2845" s="22" t="n"/>
    </row>
    <row r="2846" ht="14" customHeight="1" s="380">
      <c r="A2846" s="146" t="n">
        <v>118</v>
      </c>
      <c r="B2846" s="390" t="n"/>
      <c r="C2846" s="390" t="inlineStr">
        <is>
          <t>Báo cáo thường niên</t>
        </is>
      </c>
      <c r="D2846" s="106" t="inlineStr">
        <is>
          <t>Mã báo cáo</t>
        </is>
      </c>
      <c r="E2846" s="107" t="inlineStr">
        <is>
          <t>Mã báo cáo</t>
        </is>
      </c>
      <c r="F2846" s="390" t="inlineStr">
        <is>
          <t>Data Explorer</t>
        </is>
      </c>
      <c r="G2846" s="390" t="inlineStr">
        <is>
          <t>Chiều</t>
        </is>
      </c>
      <c r="H2846" s="390" t="inlineStr">
        <is>
          <t>Dễ</t>
        </is>
      </c>
      <c r="I2846" s="390" t="inlineStr">
        <is>
          <t>Ngày, CTCK</t>
        </is>
      </c>
      <c r="J2846" s="401" t="inlineStr">
        <is>
          <t>SCMS</t>
        </is>
      </c>
      <c r="K2846" s="401" t="inlineStr">
        <is>
          <t>X</t>
        </is>
      </c>
      <c r="L2846" s="401" t="inlineStr">
        <is>
          <t>X</t>
        </is>
      </c>
      <c r="M2846" s="401" t="n"/>
      <c r="N2846" s="401" t="inlineStr">
        <is>
          <t>Pending</t>
        </is>
      </c>
      <c r="O2846" s="401" t="n"/>
      <c r="P2846" s="22" t="n"/>
      <c r="Q2846" s="401" t="n"/>
      <c r="R2846" s="401" t="n"/>
      <c r="S2846" s="22" t="n"/>
      <c r="T2846" s="390" t="n"/>
      <c r="U2846" s="390" t="n"/>
      <c r="V2846" s="22" t="n"/>
      <c r="W2846" s="22" t="n"/>
      <c r="X2846" s="22" t="n"/>
      <c r="Y2846" s="13" t="n"/>
      <c r="Z2846" s="22" t="n"/>
      <c r="AA2846" s="22" t="n"/>
      <c r="AB2846" s="22" t="n"/>
      <c r="AC2846" s="22" t="n"/>
      <c r="AD2846" s="22" t="n"/>
      <c r="AE2846" s="22" t="n"/>
    </row>
    <row r="2847" ht="14" customHeight="1" s="380">
      <c r="A2847" s="146" t="n">
        <v>118</v>
      </c>
      <c r="B2847" s="390" t="n"/>
      <c r="C2847" s="390" t="inlineStr">
        <is>
          <t>Báo cáo thường niên</t>
        </is>
      </c>
      <c r="D2847" s="106" t="inlineStr">
        <is>
          <t>Tên báo cáo</t>
        </is>
      </c>
      <c r="E2847" s="107" t="inlineStr">
        <is>
          <t>Tên báo cáo</t>
        </is>
      </c>
      <c r="F2847" s="390" t="inlineStr">
        <is>
          <t>Data Explorer</t>
        </is>
      </c>
      <c r="G2847" s="390" t="inlineStr">
        <is>
          <t>Chiều</t>
        </is>
      </c>
      <c r="H2847" s="390" t="inlineStr">
        <is>
          <t>Dễ</t>
        </is>
      </c>
      <c r="I2847" s="390" t="inlineStr">
        <is>
          <t>Ngày, CTCK</t>
        </is>
      </c>
      <c r="J2847" s="401" t="inlineStr">
        <is>
          <t>SCMS</t>
        </is>
      </c>
      <c r="K2847" s="401" t="inlineStr">
        <is>
          <t>X</t>
        </is>
      </c>
      <c r="L2847" s="401" t="inlineStr">
        <is>
          <t>X</t>
        </is>
      </c>
      <c r="M2847" s="401" t="n"/>
      <c r="N2847" s="401" t="inlineStr">
        <is>
          <t>Pending</t>
        </is>
      </c>
      <c r="O2847" s="401" t="n"/>
      <c r="P2847" s="22" t="n"/>
      <c r="Q2847" s="401" t="n"/>
      <c r="R2847" s="401" t="n"/>
      <c r="S2847" s="22" t="n"/>
      <c r="T2847" s="390" t="n"/>
      <c r="U2847" s="390" t="n"/>
      <c r="V2847" s="22" t="n"/>
      <c r="W2847" s="22" t="n"/>
      <c r="X2847" s="22" t="n"/>
      <c r="Y2847" s="13" t="n"/>
      <c r="Z2847" s="22" t="n"/>
      <c r="AA2847" s="22" t="n"/>
      <c r="AB2847" s="22" t="n"/>
      <c r="AC2847" s="22" t="n"/>
      <c r="AD2847" s="22" t="n"/>
      <c r="AE2847" s="22" t="n"/>
    </row>
    <row r="2848" ht="14" customHeight="1" s="380">
      <c r="A2848" s="146" t="n">
        <v>118</v>
      </c>
      <c r="B2848" s="390" t="n"/>
      <c r="C2848" s="390" t="inlineStr">
        <is>
          <t>Báo cáo thường niên</t>
        </is>
      </c>
      <c r="D2848" s="106" t="inlineStr">
        <is>
          <t>Mã chỉ tiêu</t>
        </is>
      </c>
      <c r="E2848" s="107" t="inlineStr">
        <is>
          <t>Mã chỉ tiêu</t>
        </is>
      </c>
      <c r="F2848" s="390" t="inlineStr">
        <is>
          <t>Data Explorer</t>
        </is>
      </c>
      <c r="G2848" s="390" t="inlineStr">
        <is>
          <t>Chiều</t>
        </is>
      </c>
      <c r="H2848" s="390" t="inlineStr">
        <is>
          <t>Dễ</t>
        </is>
      </c>
      <c r="I2848" s="390" t="inlineStr">
        <is>
          <t>Ngày, CTCK</t>
        </is>
      </c>
      <c r="J2848" s="401" t="inlineStr">
        <is>
          <t>SCMS</t>
        </is>
      </c>
      <c r="K2848" s="401" t="inlineStr">
        <is>
          <t>X</t>
        </is>
      </c>
      <c r="L2848" s="401" t="inlineStr">
        <is>
          <t>X</t>
        </is>
      </c>
      <c r="M2848" s="401" t="n"/>
      <c r="N2848" s="401" t="inlineStr">
        <is>
          <t>Pending</t>
        </is>
      </c>
      <c r="O2848" s="401" t="n"/>
      <c r="P2848" s="22" t="n"/>
      <c r="Q2848" s="401" t="n"/>
      <c r="R2848" s="401" t="n"/>
      <c r="S2848" s="22" t="n"/>
      <c r="T2848" s="390" t="n"/>
      <c r="U2848" s="390" t="n"/>
      <c r="V2848" s="22" t="n"/>
      <c r="W2848" s="22" t="n"/>
      <c r="X2848" s="22" t="n"/>
      <c r="Y2848" s="13" t="n"/>
      <c r="Z2848" s="22" t="n"/>
      <c r="AA2848" s="22" t="n"/>
      <c r="AB2848" s="22" t="n"/>
      <c r="AC2848" s="22" t="n"/>
      <c r="AD2848" s="22" t="n"/>
      <c r="AE2848" s="22" t="n"/>
    </row>
    <row r="2849" ht="14" customHeight="1" s="380">
      <c r="A2849" s="146" t="n">
        <v>118</v>
      </c>
      <c r="B2849" s="390" t="n"/>
      <c r="C2849" s="390" t="inlineStr">
        <is>
          <t>Báo cáo thường niên</t>
        </is>
      </c>
      <c r="D2849" s="106" t="inlineStr">
        <is>
          <t>Tên chỉ tiêu</t>
        </is>
      </c>
      <c r="E2849" s="107" t="inlineStr">
        <is>
          <t>Tên chỉ tiêu</t>
        </is>
      </c>
      <c r="F2849" s="390" t="inlineStr">
        <is>
          <t>Data Explorer</t>
        </is>
      </c>
      <c r="G2849" s="390" t="inlineStr">
        <is>
          <t>Chiều</t>
        </is>
      </c>
      <c r="H2849" s="390" t="inlineStr">
        <is>
          <t>Dễ</t>
        </is>
      </c>
      <c r="I2849" s="390" t="inlineStr">
        <is>
          <t>Ngày, CTCK</t>
        </is>
      </c>
      <c r="J2849" s="401" t="inlineStr">
        <is>
          <t>SCMS</t>
        </is>
      </c>
      <c r="K2849" s="401" t="inlineStr">
        <is>
          <t>X</t>
        </is>
      </c>
      <c r="L2849" s="401" t="inlineStr">
        <is>
          <t>X</t>
        </is>
      </c>
      <c r="M2849" s="401" t="n"/>
      <c r="N2849" s="401" t="inlineStr">
        <is>
          <t>Pending</t>
        </is>
      </c>
      <c r="O2849" s="401" t="n"/>
      <c r="P2849" s="22" t="n"/>
      <c r="Q2849" s="401" t="n"/>
      <c r="R2849" s="401" t="n"/>
      <c r="S2849" s="22" t="n"/>
      <c r="T2849" s="390" t="n"/>
      <c r="U2849" s="390" t="n"/>
      <c r="V2849" s="22" t="n"/>
      <c r="W2849" s="22" t="n"/>
      <c r="X2849" s="22" t="n"/>
      <c r="Y2849" s="13" t="n"/>
      <c r="Z2849" s="22" t="n"/>
      <c r="AA2849" s="22" t="n"/>
      <c r="AB2849" s="22" t="n"/>
      <c r="AC2849" s="22" t="n"/>
      <c r="AD2849" s="22" t="n"/>
      <c r="AE2849" s="22" t="n"/>
    </row>
    <row r="2850" ht="28" customHeight="1" s="380">
      <c r="A2850" s="146" t="n">
        <v>118</v>
      </c>
      <c r="B2850" s="390" t="n"/>
      <c r="C2850" s="390" t="inlineStr">
        <is>
          <t>Báo cáo thường niên</t>
        </is>
      </c>
      <c r="D2850" s="390" t="inlineStr">
        <is>
          <t xml:space="preserve">Thông tin chung &gt;&gt; Mô hình quản trị </t>
        </is>
      </c>
      <c r="E2850" s="390" t="inlineStr">
        <is>
          <t xml:space="preserve">Mô hình quản trị </t>
        </is>
      </c>
      <c r="F2850" s="390" t="inlineStr">
        <is>
          <t>Data Explorer</t>
        </is>
      </c>
      <c r="G2850" s="390" t="inlineStr">
        <is>
          <t>Chiều</t>
        </is>
      </c>
      <c r="H2850" s="390" t="inlineStr">
        <is>
          <t>Dễ</t>
        </is>
      </c>
      <c r="I2850" s="390" t="inlineStr">
        <is>
          <t>Ngày, CTCK</t>
        </is>
      </c>
      <c r="J2850" s="401" t="inlineStr">
        <is>
          <t>SCMS</t>
        </is>
      </c>
      <c r="K2850" s="401" t="inlineStr">
        <is>
          <t>X</t>
        </is>
      </c>
      <c r="L2850" s="401" t="inlineStr">
        <is>
          <t>X</t>
        </is>
      </c>
      <c r="M2850" s="401" t="n"/>
      <c r="N2850" s="401" t="inlineStr">
        <is>
          <t>Pending</t>
        </is>
      </c>
      <c r="O2850" s="401" t="n"/>
      <c r="P2850" s="22" t="n"/>
      <c r="Q2850" s="401" t="n"/>
      <c r="R2850" s="401" t="n"/>
      <c r="S2850" s="22" t="n"/>
      <c r="T2850" s="432" t="inlineStr">
        <is>
          <t>SELECT MAX(REGEXP_SUBSTR(e.MO_TA, 'Tên công ty con, công ty liên kết', 1, 1, NULL, 1)) AS "Tên công ty con, công ty liên kết",
MAX(REGEXP_SUBSTR(e.MO_TA, 'Địa chỉ công ty con, công ty liên kết', 1, 1, NULL, 1)) AS "Địa chỉ",
MAX(REGEXP_SUBSTR(e.MO_TA, 'Lĩnh vực sản xuất kinh doanh', 1, 1, NULL, 1)) AS "Lĩnh vực sản xuất kinh doanh",
MAX(REGEXP_SUBSTR(e.MO_TA, 'Vốn điều lệ', 1, 1, NULL, 1)) AS "Vốn điều lệ thực góp",
MAX(REGEXP_SUBSTR(e.MO_TA, 'Tỷ lệ sở hữu của công ty con, công ty liên kết', 1, 1, NULL, 1)) AS "Tỷ lệ sở hữu của công ty con, công ty liên kết",
a.HO_TEN "Họ và tên người tham gia điều hình",
b.TEN_CHUC_VU "Chức vụ người trong ban điều hành",
a.NGAY_SINH "Ngày sinh người trong ban điều hành",
c.TEN_QUOC_TICH "Quốc tịch người trong ban điều hành",
d.TY_LE_NAM_GIU "Tỷ lệ sở hữu cổ phần",
CASE WHEN a.CHUNG_CHI_HANH_NGHE = 0 THEN 'Không có chứng chỉ hành nghề'
         WHEN a.CHUNG_CHI_HANH_NGHE = 1 THEN 'Có chứng chỉ hành nghề'
         ELSE NULL
         END "Trình độ chuyên môn",
CAST(a.NGAY_BAT_DAU_LAM_VIEC AS VARCHAR2(15)) || ' - ' || CAST(a.NGAY_THOI_VIEC AS VARCHAR2(15)) "Quá trình công tác",
MAX(REGEXP_SUBSTR(e.MO_TA, 'Những thay đổi trong ban điều hành', 1, 1, NULL, 1)) AS "Những thay đổi trong ban điều hành",
MAX(REGEXP_SUBSTR(e.MO_TA, 'Tổng số lượng cán bộ, nhân viên', 1, 1, NULL, 1)) AS "Tổng số lượng cán bộ, nhân viên",
MAX(REGEXP_SUBSTR(e.MO_TA, 'Các khoản đầu tư lớn', 1, 1, NULL, 1)) AS "Các khoản đầu tư lớn",
MAX(REGEXP_SUBSTR(e.MO_TA, 'Tình hình thực hiện dự án', 1, 1, NULL, 1)) AS "Tình hình thực hiện dự án",
MAX(REGEXP_SUBSTR(e.MO_TA, 'Tiến độ thực hiện dự án', 1, 1, NULL, 1)) AS "Tiến độ thực hiện dự án",
MAX(REGEXP_SUBSTR(e.MO_TA, 'Đánh giá', 1, 1, NULL, 1)) AS "Đánh giá",
MAX(REGEXP_SUBSTR(e.MO_TA, 'Nguyên nhân', 1, 1, NULL, 1)) AS "Nguyên nhân",
MAX(REGEXP_SUBSTR(e.MO_TA, 'Tình hình tài chính công ty con, công ty liên kết', 1, 1, NULL, 1)) AS "Tình hình tài chính công ty con, công ty liên kết",
MAX(REGEXP_SUBSTR(e.MO_TA, 'Tổng số cổ phần', 1, 1, NULL, 1)) AS "Tổng số cổ phần",
MAX(REGEXP_SUBSTR(e.MO_TA, 'Loại cổ phần đang lưu hành', 1, 1, NULL, 1)) AS "Loại cổ phần đang lưu hành",
MAX(REGEXP_SUBSTR(e.MO_TA, 'Số lượng cổ phần chuyển nhượng tự do', 1, 1, NULL, 1)) AS "Số lượng cổ phần chuyển nhượng tự do",
MAX(REGEXP_SUBSTR(e.MO_TA, 'Thị trường giao dịch', 1, 1, NULL, 1)) AS "Thị trường giao dịch",
MAX(REGEXP_SUBSTR(e.MO_TA, 'Số lượng chứng khoán được giao dịch', 1, 1, NULL, 1)) AS "Số lượng chứng khoán được giao dịch",
MAX(REGEXP_SUBSTR(e.MO_TA, 'Số lượng chứng khoán được bảo trợ', 1, 1, NULL, 1)) AS "Số lượng chứng khoán được bảo trợ",
MAX(REGEXP_SUBSTR(e.MO_TA, 'Quyền, nghĩa vụ liên quan chứng khoán giao dịch', 1, 1, NULL, 1)) AS "Quyền, nghĩa vụ liên quan",
MAX(REGEXP_SUBSTR(e.MO_TA, 'Thời điểm thay đổi vốn đầu tư của chủ sở hữu', 1, 1, NULL, 1)) AS "Thời điểm thay đổi vốn đầu tư của chủ sở hữu",
MAX(REGEXP_SUBSTR(e.MO_TA, 'Giá trị thay đổi vốn đầu tư của chủ sở hữu', 1, 1, NULL, 1)) AS "Giá trị thay đổi vốn đầu tư của chủ sở hữu",
MAX(REGEXP_SUBSTR(e.MO_TA, 'Hình thức thay đổi vốn đầu tư của chủ sở hữu', 1, 1, NULL, 1)) AS "Hình thức thay đổi vốn đầu tư của chủ sở hữu",
MAX(REGEXP_SUBSTR(e.MO_TA, 'Đơn vị cấp', 1, 1, NULL, 1)) AS "Đơn vị cấp",
MAX(REGEXP_SUBSTR(e.MO_TA, 'Số lượng cổ phiếu quỹ hiện tại', 1, 1, NULL, 1)) AS "Số lượng cổ phiếu quỹ hiện tại",
MAX(REGEXP_SUBSTR(e.MO_TA, 'Thời điểm thực hiện giao dịch cổ phiếu quỹ', 1, 1, NULL, 1)) AS "Thời điểm thực hiện giao dịch cổ phiếu quỹ",
MAX(REGEXP_SUBSTR(e.MO_TA, 'Giá giao dịch cổ phiếu quỹ', 1, 1, NULL, 1)) AS "Giá giao dịch cổ phiếu quỹ",
MAX(REGEXP_SUBSTR(e.MO_TA, 'Đối tượng giao dịch cổ phiếu quỹ', 1, 1, NULL, 1)) AS "Đối tượng giao dịch cổ phiếu quỹ",
MAX(REGEXP_SUBSTR(e.MO_TA, 'Thời điểm phát hành chứng khoán khác', 1, 1, NULL, 1)) AS "Thời điểm phát hành chứng khoán khác",
MAX(REGEXP_SUBSTR(e.MO_TA, 'Số lượng chứng khoán khác', 1, 1, NULL, 1)) AS "Thời điểm phát hành chứng khoán khác",
MAX(REGEXP_SUBSTR(e.MO_TA, 'Cam kết chưa thực hiện của công ty', 1, 1, NULL, 1)) AS "Cam kết chưa thực hiện của công ty",
CASE WHEN b.NHOM_CHUC_VU = 'HDQT' THEN a.HO_TEN END "Họ và tên thành viên HĐQT",
CASE WHEN b.NHOM_CHUC_VU = 'HDQT' THEN a.PHONG_BAN END "Chức danh thành viên HĐQT",
CASE WHEN b.NHOM_CHUC_VU = 'HDQT' THEN d.TY_LE_NAM_GIU END "Tỷ lệ sở hữu CP có quyền biểu quyết",
MAX(REGEXP_SUBSTR(e.MO_TA, 'Số lượng cuộc họp hội đồng quản trị', 1, 1, NULL, 1)) AS "Số lượng cuộc họp hội đồng quản trị",
MAX(REGEXP_SUBSTR(e.MO_TA, 'Nội dung cuộc họp hội đồng quản trị', 1, 1, NULL, 1)) AS "Nội dung cuộc họp hội đồng quản trị",
MAX(REGEXP_SUBSTR(e.MO_TA, 'Kết quả cuộc họp hội đồng quản trị', 1, 1, NULL, 1)) AS "Kết quả cuộc họp hội đồng quản trị",
MAX(REGEXP_SUBSTR(e.MO_TA, 'Họ tên thành viên Hội đồng quản trị có chứng chỉ đào tạo về quản trị công ty', 1, 1, NULL, 1)) AS "Họ và tên TV HĐQT có chứng chỉ",
MAX(REGEXP_SUBSTR(e.MO_TA, 'Chức vụ thành viên Hội đồng quản trị có chứng chỉ đào tạo về quản trị công ty', 1, 1, NULL, 1)) AS "Chức vụ TV HĐQT có chứng chỉ",
CASE WHEN b.NHOM_CHUC_VU = 'BKS' THEN a.HO_TEN END "Họ và tên thành viên BKS",
CASE WHEN b.NHOM_CHUC_VU = 'BKS' THEN a.PHONG_BAN END "Chức danh thành viên BKS",
CASE WHEN b.NHOM_CHUC_VU = 'BKS' THEN d.TY_LE_NAM_GIU END "Tỷ lệ sở hữu CP có quyền biểu quyết",
MAX(REGEXP_SUBSTR(e.MO_TA, 'Số lượng cuộc họp ban kiểm soát/ủy ban kiểm toán', 1, 1, NULL, 1)) AS "Chức vụ TV HĐQT có chứng chỉ",
MAX(REGEXP_SUBSTR(e.MO_TA, 'Nội dung cuộc họp ban kiểm soát/ủy ban kiểm toán', 1, 1, NULL, 1)) AS "Nội dung cuộc họp hội đồng quản trị",
MAX(REGEXP_SUBSTR(e.MO_TA, 'Kết quả cuộc họp ban kiểm soát/ủy ban kiểm toán', 1, 1, NULL, 1)) AS "Kết quả cuộc họp hội đồng quản trị",
MAX(REGEXP_SUBSTR(e.MO_TA, 'Họ và tên người nhận lương, thưởng, thù lao, các khoản lợi ích', 1, 1, NULL, 1)) AS "Họ và tên người nhận lương, thưởng, thù lao, các khoản lợi ích",
MAX(REGEXP_SUBSTR(e.MO_TA, 'Chức vụ người nhận lương, thưởng, thù lao, các khoản lợi ích', 1, 1, NULL, 1)) AS "Chức vụ người nhận lương, thưởng, thù lao, các khoản lợi ích",
MAX(REGEXP_SUBSTR(e.MO_TA, 'Số tiền nhận lương, thưởng, thù lao, các khoản lợi ích', 1, 1, NULL, 1)) AS "Số tiền nhận lương, thưởng, thù lao, các khoản lợi ích",
MAX(REGEXP_SUBSTR(e.MO_TA, 'Thông tin về hợp đồng hoặc giao dịch với người nội bộ', 1, 1, NULL, 1)) AS "Thông tin về hợp đồng hoặc giao dịch với người nội bộ",
MAX(REGEXP_SUBSTR(e.MO_TA, 'Ý kiến kiểm toán', 1, 1, NULL, 1)) AS "Ý kiến kiểm toán"
FROM SCMS.CTCK_NHAN_SU_CAO_CAP a 
LEFT JOIN SCMS.DM_CHUC_VU b ON a.CHUC_VU_ID = b.ID
LEFT JOIN SCMS.DM_QUOC_TICH c ON c.ID = a.DM_QUOC_TICH_ID 
LEFT JOIN SCMS.CTCK_CO_DONG d ON a.SO_CMND = d.SO_CMND
LEFT JOIN SCMS.CBTT_BAO_CAO e ON a.CTCK_THONG_TIN_ID = e.CTCK_THONG_TIN_ID 
WHERE 1=1
AND b.NHOM_CHUC_VU = 'BDH'
AND e.LOAI_TIN = 1
GROUP BY 
a.HO_TEN ,
b.TEN_CHUC_VU ,
a.NGAY_SINH ,
c.TEN_QUOC_TICH ,
d.TY_LE_NAM_GIU ,
CASE WHEN a.CHUNG_CHI_HANH_NGHE = 0 THEN 'Không có chứng chỉ hành nghề'
         WHEN a.CHUNG_CHI_HANH_NGHE = 1 THEN 'Có chứng chỉ hành nghề'
         ELSE NULL
         END ,
CAST(a.NGAY_BAT_DAU_LAM_VIEC AS VARCHAR2(15)) || ' - ' || CAST(a.NGAY_THOI_VIEC AS VARCHAR2(15)),
CASE WHEN b.NHOM_CHUC_VU = 'HDQT' THEN a.HO_TEN END,
CASE WHEN b.NHOM_CHUC_VU = 'HDQT' THEN a.PHONG_BAN END,
CASE WHEN b.NHOM_CHUC_VU = 'HDQT' THEN d.TY_LE_NAM_GIU END ,
CASE WHEN b.NHOM_CHUC_VU = 'BKS' THEN a.HO_TEN END,
CASE WHEN b.NHOM_CHUC_VU = 'BKS' THEN a.PHONG_BAN END ,
CASE WHEN b.NHOM_CHUC_VU = 'BKS' THEN d.TY_LE_NAM_GIU END</t>
        </is>
      </c>
      <c r="U2850" s="390" t="n"/>
      <c r="V2850" s="22" t="n"/>
      <c r="W2850" s="22" t="n"/>
      <c r="X2850" s="22" t="n"/>
      <c r="Y2850" s="14" t="n"/>
      <c r="Z2850" s="22" t="n"/>
      <c r="AA2850" s="22" t="n"/>
      <c r="AB2850" s="22" t="n"/>
      <c r="AC2850" s="22" t="n"/>
      <c r="AD2850" s="22" t="n"/>
      <c r="AE2850" s="22" t="n"/>
    </row>
    <row r="2851" ht="42" customHeight="1" s="380">
      <c r="A2851" s="146" t="n">
        <v>118</v>
      </c>
      <c r="B2851" s="390" t="n"/>
      <c r="C2851" s="390" t="inlineStr">
        <is>
          <t>Báo cáo thường niên</t>
        </is>
      </c>
      <c r="D2851" s="390" t="inlineStr">
        <is>
          <t>Thông tin chung &gt;&gt; Các công ty con, công ty liên kết &gt;&gt; Tên công ty</t>
        </is>
      </c>
      <c r="E2851" s="390" t="inlineStr">
        <is>
          <t>Tên công ty</t>
        </is>
      </c>
      <c r="F2851" s="390" t="inlineStr">
        <is>
          <t>Data Explorer</t>
        </is>
      </c>
      <c r="G2851" s="390" t="inlineStr">
        <is>
          <t>Chỉ tiêu cơ sở</t>
        </is>
      </c>
      <c r="H2851" s="390" t="inlineStr">
        <is>
          <t>Dễ</t>
        </is>
      </c>
      <c r="I2851" s="390" t="inlineStr">
        <is>
          <t>Ngày, CTCK</t>
        </is>
      </c>
      <c r="J2851" s="401" t="inlineStr">
        <is>
          <t>SCMS</t>
        </is>
      </c>
      <c r="K2851" s="401" t="n"/>
      <c r="L2851" s="401" t="inlineStr">
        <is>
          <t>X</t>
        </is>
      </c>
      <c r="M2851" s="401" t="n"/>
      <c r="N2851" s="401" t="inlineStr">
        <is>
          <t>Done</t>
        </is>
      </c>
      <c r="O2851" s="401" t="n"/>
      <c r="P2851" s="22" t="n"/>
      <c r="Q2851" s="401" t="n"/>
      <c r="R2851" s="401" t="n"/>
      <c r="S2851" s="22" t="n"/>
      <c r="U2851" s="390" t="n"/>
      <c r="V2851" s="22" t="n"/>
      <c r="W2851" s="22" t="n"/>
      <c r="X2851" s="22" t="n"/>
      <c r="Y2851" s="6" t="n"/>
      <c r="Z2851" s="22" t="n"/>
      <c r="AA2851" s="22" t="n"/>
      <c r="AB2851" s="22" t="n"/>
      <c r="AC2851" s="22" t="n"/>
      <c r="AD2851" s="22" t="n"/>
      <c r="AE2851" s="22" t="n"/>
    </row>
    <row r="2852" ht="42" customHeight="1" s="380">
      <c r="A2852" s="146" t="n">
        <v>118</v>
      </c>
      <c r="B2852" s="390" t="n"/>
      <c r="C2852" s="390" t="inlineStr">
        <is>
          <t>Báo cáo thường niên</t>
        </is>
      </c>
      <c r="D2852" s="390" t="inlineStr">
        <is>
          <t>Thông tin chung &gt;&gt; Các công ty con, công ty liên kết &gt;&gt; Địa chỉ</t>
        </is>
      </c>
      <c r="E2852" s="390" t="inlineStr">
        <is>
          <t>Địa chỉ</t>
        </is>
      </c>
      <c r="F2852" s="390" t="inlineStr">
        <is>
          <t>Data Explorer</t>
        </is>
      </c>
      <c r="G2852" s="390" t="inlineStr">
        <is>
          <t>Chỉ tiêu cơ sở</t>
        </is>
      </c>
      <c r="H2852" s="390" t="inlineStr">
        <is>
          <t>Dễ</t>
        </is>
      </c>
      <c r="I2852" s="390" t="inlineStr">
        <is>
          <t>Ngày, CTCK</t>
        </is>
      </c>
      <c r="J2852" s="401" t="inlineStr">
        <is>
          <t>SCMS</t>
        </is>
      </c>
      <c r="K2852" s="401" t="n"/>
      <c r="L2852" s="401" t="inlineStr">
        <is>
          <t>X</t>
        </is>
      </c>
      <c r="M2852" s="401" t="n"/>
      <c r="N2852" s="401" t="inlineStr">
        <is>
          <t>Done</t>
        </is>
      </c>
      <c r="O2852" s="401" t="n"/>
      <c r="P2852" s="22" t="n"/>
      <c r="Q2852" s="401" t="n"/>
      <c r="R2852" s="401" t="n"/>
      <c r="S2852" s="22" t="n"/>
      <c r="U2852" s="390" t="n"/>
      <c r="V2852" s="22" t="n"/>
      <c r="W2852" s="22" t="n"/>
      <c r="X2852" s="22" t="n"/>
      <c r="Y2852" s="6" t="n"/>
      <c r="Z2852" s="22" t="n"/>
      <c r="AA2852" s="22" t="n"/>
      <c r="AB2852" s="22" t="n"/>
      <c r="AC2852" s="22" t="n"/>
      <c r="AD2852" s="22" t="n"/>
      <c r="AE2852" s="22" t="n"/>
    </row>
    <row r="2853" ht="56" customHeight="1" s="380">
      <c r="A2853" s="146" t="n">
        <v>118</v>
      </c>
      <c r="B2853" s="390" t="n"/>
      <c r="C2853" s="390" t="inlineStr">
        <is>
          <t>Báo cáo thường niên</t>
        </is>
      </c>
      <c r="D2853" s="390" t="inlineStr">
        <is>
          <t>Thông tin chung &gt;&gt; Các công ty con, công ty liên kết &gt;&gt; Lĩnh vực sản xuất kinh doanh chính</t>
        </is>
      </c>
      <c r="E2853" s="390" t="inlineStr">
        <is>
          <t>Lĩnh vực sản xuất kinh doanh chính</t>
        </is>
      </c>
      <c r="F2853" s="390" t="inlineStr">
        <is>
          <t>Data Explorer</t>
        </is>
      </c>
      <c r="G2853" s="390" t="inlineStr">
        <is>
          <t>Chỉ tiêu cơ sở</t>
        </is>
      </c>
      <c r="H2853" s="390" t="inlineStr">
        <is>
          <t>Dễ</t>
        </is>
      </c>
      <c r="I2853" s="390" t="inlineStr">
        <is>
          <t>Ngày, CTCK</t>
        </is>
      </c>
      <c r="J2853" s="401" t="inlineStr">
        <is>
          <t>SCMS</t>
        </is>
      </c>
      <c r="K2853" s="401" t="n"/>
      <c r="L2853" s="401" t="inlineStr">
        <is>
          <t>X</t>
        </is>
      </c>
      <c r="M2853" s="401" t="n"/>
      <c r="N2853" s="401" t="inlineStr">
        <is>
          <t>Done</t>
        </is>
      </c>
      <c r="O2853" s="401" t="n"/>
      <c r="P2853" s="22" t="n"/>
      <c r="Q2853" s="401" t="n"/>
      <c r="R2853" s="401" t="n"/>
      <c r="S2853" s="22" t="n"/>
      <c r="U2853" s="390" t="n"/>
      <c r="V2853" s="22" t="n"/>
      <c r="W2853" s="22" t="n"/>
      <c r="X2853" s="22" t="n"/>
      <c r="Y2853" s="395" t="n"/>
      <c r="Z2853" s="22" t="n"/>
      <c r="AA2853" s="22" t="n"/>
      <c r="AB2853" s="22" t="n"/>
      <c r="AC2853" s="22" t="n"/>
      <c r="AD2853" s="22" t="n"/>
      <c r="AE2853" s="22" t="n"/>
    </row>
    <row r="2854" ht="56" customHeight="1" s="380">
      <c r="A2854" s="146" t="n">
        <v>118</v>
      </c>
      <c r="B2854" s="390" t="n"/>
      <c r="C2854" s="390" t="inlineStr">
        <is>
          <t>Báo cáo thường niên</t>
        </is>
      </c>
      <c r="D2854" s="390" t="inlineStr">
        <is>
          <t>Thông tin chung &gt;&gt; Các công ty con, công ty liên kết &gt;&gt; Vốn điều lệ thực góp</t>
        </is>
      </c>
      <c r="E2854" s="390" t="inlineStr">
        <is>
          <t>Vốn điều lệ thực góp</t>
        </is>
      </c>
      <c r="F2854" s="390" t="inlineStr">
        <is>
          <t>Data Explorer</t>
        </is>
      </c>
      <c r="G2854" s="390" t="inlineStr">
        <is>
          <t>Chỉ tiêu cơ sở</t>
        </is>
      </c>
      <c r="H2854" s="390" t="inlineStr">
        <is>
          <t>TB</t>
        </is>
      </c>
      <c r="I2854" s="390" t="inlineStr">
        <is>
          <t>Ngày, CTCK</t>
        </is>
      </c>
      <c r="J2854" s="401" t="inlineStr">
        <is>
          <t>SCMS</t>
        </is>
      </c>
      <c r="K2854" s="401" t="n"/>
      <c r="L2854" s="401" t="inlineStr">
        <is>
          <t>X</t>
        </is>
      </c>
      <c r="M2854" s="401" t="n"/>
      <c r="N2854" s="401" t="inlineStr">
        <is>
          <t>Done</t>
        </is>
      </c>
      <c r="O2854" s="401" t="n"/>
      <c r="P2854" s="22" t="n"/>
      <c r="Q2854" s="401" t="n"/>
      <c r="R2854" s="401" t="n"/>
      <c r="S2854" s="22" t="n"/>
      <c r="U2854" s="390" t="n"/>
      <c r="V2854" s="22" t="n"/>
      <c r="W2854" s="22" t="n"/>
      <c r="X2854" s="22" t="n"/>
      <c r="Y2854" s="395" t="n"/>
      <c r="Z2854" s="22" t="n"/>
      <c r="AA2854" s="22" t="n"/>
      <c r="AB2854" s="22" t="n"/>
      <c r="AC2854" s="22" t="n"/>
      <c r="AD2854" s="22" t="n"/>
      <c r="AE2854" s="22" t="n"/>
    </row>
    <row r="2855" ht="42" customHeight="1" s="380">
      <c r="A2855" s="146" t="n">
        <v>118</v>
      </c>
      <c r="B2855" s="390" t="n"/>
      <c r="C2855" s="390" t="inlineStr">
        <is>
          <t>Báo cáo thường niên</t>
        </is>
      </c>
      <c r="D2855" s="390" t="inlineStr">
        <is>
          <t>Thông tin chung &gt;&gt; Các công ty con, công ty liên kết &gt;&gt; Tỷ lệ sở hữu</t>
        </is>
      </c>
      <c r="E2855" s="390" t="inlineStr">
        <is>
          <t>Tỷ lệ sở hữu của Công ty tại các công ty con, công ty liên kết</t>
        </is>
      </c>
      <c r="F2855" s="390" t="inlineStr">
        <is>
          <t>Data Explorer</t>
        </is>
      </c>
      <c r="G2855" s="390" t="inlineStr">
        <is>
          <t>Chỉ tiêu cơ sở</t>
        </is>
      </c>
      <c r="H2855" s="390" t="inlineStr">
        <is>
          <t>TB</t>
        </is>
      </c>
      <c r="I2855" s="390" t="inlineStr">
        <is>
          <t>Ngày, CTCK</t>
        </is>
      </c>
      <c r="J2855" s="401" t="inlineStr">
        <is>
          <t>SCMS</t>
        </is>
      </c>
      <c r="K2855" s="401" t="n"/>
      <c r="L2855" s="401" t="inlineStr">
        <is>
          <t>X</t>
        </is>
      </c>
      <c r="M2855" s="401" t="n"/>
      <c r="N2855" s="401" t="inlineStr">
        <is>
          <t>Done</t>
        </is>
      </c>
      <c r="O2855" s="401" t="n"/>
      <c r="P2855" s="22" t="n"/>
      <c r="Q2855" s="401" t="n"/>
      <c r="R2855" s="401" t="n"/>
      <c r="S2855" s="22" t="n"/>
      <c r="U2855" s="390" t="n"/>
      <c r="V2855" s="22" t="n"/>
      <c r="W2855" s="22" t="n"/>
      <c r="X2855" s="22" t="n"/>
      <c r="Y2855" s="395" t="n"/>
      <c r="Z2855" s="22" t="n"/>
      <c r="AA2855" s="22" t="n"/>
      <c r="AB2855" s="22" t="n"/>
      <c r="AC2855" s="22" t="n"/>
      <c r="AD2855" s="22" t="n"/>
      <c r="AE2855" s="22" t="n"/>
    </row>
    <row r="2856" ht="56" customHeight="1" s="380">
      <c r="A2856" s="146" t="n">
        <v>118</v>
      </c>
      <c r="B2856" s="390" t="n"/>
      <c r="C2856" s="390" t="inlineStr">
        <is>
          <t>Báo cáo thường niên</t>
        </is>
      </c>
      <c r="D2856" s="390" t="inlineStr">
        <is>
          <t>Tình hình hoạt động trong năm &gt;&gt; Danh sách Ban điều hành &gt;&gt; Họ và tên</t>
        </is>
      </c>
      <c r="E2856" s="390" t="inlineStr">
        <is>
          <t>Họ và tên người trong Ban điều hành</t>
        </is>
      </c>
      <c r="F2856" s="390" t="inlineStr">
        <is>
          <t>Data Explorer</t>
        </is>
      </c>
      <c r="G2856" s="390" t="inlineStr">
        <is>
          <t>Chỉ tiêu cơ sở</t>
        </is>
      </c>
      <c r="H2856" s="390" t="inlineStr">
        <is>
          <t>Dễ</t>
        </is>
      </c>
      <c r="I2856" s="390" t="inlineStr">
        <is>
          <t>Ngày, CTCK</t>
        </is>
      </c>
      <c r="J2856" s="401" t="inlineStr">
        <is>
          <t>SCMS</t>
        </is>
      </c>
      <c r="K2856" s="401" t="n"/>
      <c r="L2856" s="401" t="inlineStr">
        <is>
          <t>X</t>
        </is>
      </c>
      <c r="M2856" s="401" t="n"/>
      <c r="N2856" s="401" t="inlineStr">
        <is>
          <t>Done</t>
        </is>
      </c>
      <c r="O2856" s="401" t="n"/>
      <c r="P2856" s="22" t="n"/>
      <c r="Q2856" s="401" t="n"/>
      <c r="R2856" s="401" t="n"/>
      <c r="S2856" s="22" t="n"/>
      <c r="U2856" s="390" t="n"/>
      <c r="V2856" s="22" t="n"/>
      <c r="W2856" s="22" t="n"/>
      <c r="X2856" s="22" t="n"/>
      <c r="Y2856" s="395" t="n"/>
      <c r="Z2856" s="22" t="n"/>
      <c r="AA2856" s="22" t="n"/>
      <c r="AB2856" s="22" t="n"/>
      <c r="AC2856" s="22" t="n"/>
      <c r="AD2856" s="22" t="n"/>
      <c r="AE2856" s="22" t="n"/>
    </row>
    <row r="2857" ht="56" customHeight="1" s="380">
      <c r="A2857" s="146" t="n">
        <v>118</v>
      </c>
      <c r="B2857" s="390" t="n"/>
      <c r="C2857" s="390" t="inlineStr">
        <is>
          <t>Báo cáo thường niên</t>
        </is>
      </c>
      <c r="D2857" s="390" t="inlineStr">
        <is>
          <t>Tình hình hoạt động trong năm &gt;&gt; Danh sách Ban điều hành &gt;&gt; Chức vụ</t>
        </is>
      </c>
      <c r="E2857" s="390" t="inlineStr">
        <is>
          <t>Chức vụ người trong Ban điều hành</t>
        </is>
      </c>
      <c r="F2857" s="390" t="inlineStr">
        <is>
          <t>Data Explorer</t>
        </is>
      </c>
      <c r="G2857" s="390" t="inlineStr">
        <is>
          <t>Chỉ tiêu cơ sở</t>
        </is>
      </c>
      <c r="H2857" s="390" t="inlineStr">
        <is>
          <t>Dễ</t>
        </is>
      </c>
      <c r="I2857" s="390" t="inlineStr">
        <is>
          <t>Ngày, CTCK</t>
        </is>
      </c>
      <c r="J2857" s="401" t="inlineStr">
        <is>
          <t>SCMS</t>
        </is>
      </c>
      <c r="K2857" s="401" t="n"/>
      <c r="L2857" s="401" t="inlineStr">
        <is>
          <t>X</t>
        </is>
      </c>
      <c r="M2857" s="401" t="n"/>
      <c r="N2857" s="401" t="inlineStr">
        <is>
          <t>Done</t>
        </is>
      </c>
      <c r="O2857" s="401" t="n"/>
      <c r="P2857" s="22" t="n"/>
      <c r="Q2857" s="401" t="n"/>
      <c r="R2857" s="401" t="n"/>
      <c r="S2857" s="22" t="n"/>
      <c r="U2857" s="390" t="n"/>
      <c r="V2857" s="22" t="n"/>
      <c r="W2857" s="22" t="n"/>
      <c r="X2857" s="22" t="n"/>
      <c r="Y2857" s="395" t="n"/>
      <c r="Z2857" s="22" t="n"/>
      <c r="AA2857" s="22" t="n"/>
      <c r="AB2857" s="22" t="n"/>
      <c r="AC2857" s="22" t="n"/>
      <c r="AD2857" s="22" t="n"/>
      <c r="AE2857" s="22" t="n"/>
    </row>
    <row r="2858" ht="56" customHeight="1" s="380">
      <c r="A2858" s="146" t="n">
        <v>118</v>
      </c>
      <c r="B2858" s="390" t="n"/>
      <c r="C2858" s="390" t="inlineStr">
        <is>
          <t>Báo cáo thường niên</t>
        </is>
      </c>
      <c r="D2858" s="390" t="inlineStr">
        <is>
          <t>Tình hình hoạt động trong năm &gt;&gt; Danh sách Ban điều hành &gt;&gt; Ngày sinh</t>
        </is>
      </c>
      <c r="E2858" s="390" t="inlineStr">
        <is>
          <t>Ngày sinh người trong Ban điều hành</t>
        </is>
      </c>
      <c r="F2858" s="390" t="inlineStr">
        <is>
          <t>Data Explorer</t>
        </is>
      </c>
      <c r="G2858" s="390" t="inlineStr">
        <is>
          <t>Chỉ tiêu cơ sở</t>
        </is>
      </c>
      <c r="H2858" s="390" t="inlineStr">
        <is>
          <t>Dễ</t>
        </is>
      </c>
      <c r="I2858" s="390" t="inlineStr">
        <is>
          <t>Ngày, CTCK</t>
        </is>
      </c>
      <c r="J2858" s="401" t="inlineStr">
        <is>
          <t>SCMS</t>
        </is>
      </c>
      <c r="K2858" s="401" t="n"/>
      <c r="L2858" s="401" t="inlineStr">
        <is>
          <t>X</t>
        </is>
      </c>
      <c r="M2858" s="401" t="n"/>
      <c r="N2858" s="401" t="inlineStr">
        <is>
          <t>Done</t>
        </is>
      </c>
      <c r="O2858" s="401" t="n"/>
      <c r="P2858" s="22" t="n"/>
      <c r="Q2858" s="401" t="n"/>
      <c r="R2858" s="401" t="n"/>
      <c r="S2858" s="22" t="n"/>
      <c r="U2858" s="390" t="n"/>
      <c r="V2858" s="22" t="n"/>
      <c r="W2858" s="22" t="n"/>
      <c r="X2858" s="22" t="n"/>
      <c r="Y2858" s="395" t="n"/>
      <c r="Z2858" s="22" t="n"/>
      <c r="AA2858" s="22" t="n"/>
      <c r="AB2858" s="22" t="n"/>
      <c r="AC2858" s="22" t="n"/>
      <c r="AD2858" s="22" t="n"/>
      <c r="AE2858" s="22" t="n"/>
    </row>
    <row r="2859" ht="56" customHeight="1" s="380">
      <c r="A2859" s="146" t="n">
        <v>118</v>
      </c>
      <c r="B2859" s="390" t="n"/>
      <c r="C2859" s="390" t="inlineStr">
        <is>
          <t>Báo cáo thường niên</t>
        </is>
      </c>
      <c r="D2859" s="390" t="inlineStr">
        <is>
          <t>Tình hình hoạt động trong năm &gt;&gt; Danh sách Ban điều hành &gt;&gt; Quốc tịch</t>
        </is>
      </c>
      <c r="E2859" s="390" t="inlineStr">
        <is>
          <t>Quốc tịch người trong Ban điều hành</t>
        </is>
      </c>
      <c r="F2859" s="390" t="inlineStr">
        <is>
          <t>Data Explorer</t>
        </is>
      </c>
      <c r="G2859" s="390" t="inlineStr">
        <is>
          <t>Chỉ tiêu cơ sở</t>
        </is>
      </c>
      <c r="H2859" s="390" t="inlineStr">
        <is>
          <t>Dễ</t>
        </is>
      </c>
      <c r="I2859" s="390" t="inlineStr">
        <is>
          <t>Ngày, CTCK</t>
        </is>
      </c>
      <c r="J2859" s="401" t="inlineStr">
        <is>
          <t>SCMS</t>
        </is>
      </c>
      <c r="K2859" s="401" t="n"/>
      <c r="L2859" s="401" t="inlineStr">
        <is>
          <t>X</t>
        </is>
      </c>
      <c r="M2859" s="401" t="n"/>
      <c r="N2859" s="401" t="inlineStr">
        <is>
          <t>Done</t>
        </is>
      </c>
      <c r="O2859" s="401" t="n"/>
      <c r="P2859" s="22" t="n"/>
      <c r="Q2859" s="401" t="n"/>
      <c r="R2859" s="401" t="n"/>
      <c r="S2859" s="22" t="n"/>
      <c r="U2859" s="390" t="n"/>
      <c r="V2859" s="22" t="n"/>
      <c r="W2859" s="22" t="n"/>
      <c r="X2859" s="22" t="n"/>
      <c r="Y2859" s="395" t="n"/>
      <c r="Z2859" s="22" t="n"/>
      <c r="AA2859" s="22" t="n"/>
      <c r="AB2859" s="22" t="n"/>
      <c r="AC2859" s="22" t="n"/>
      <c r="AD2859" s="22" t="n"/>
      <c r="AE2859" s="22" t="n"/>
    </row>
    <row r="2860" ht="56" customHeight="1" s="380">
      <c r="A2860" s="146" t="n">
        <v>118</v>
      </c>
      <c r="B2860" s="390" t="n"/>
      <c r="C2860" s="390" t="inlineStr">
        <is>
          <t>Báo cáo thường niên</t>
        </is>
      </c>
      <c r="D2860" s="390" t="inlineStr">
        <is>
          <t>Tình hình hoạt động trong năm &gt;&gt; Danh sách Ban điều hành &gt;&gt; Số cổ phần sở hữu</t>
        </is>
      </c>
      <c r="E2860" s="390" t="inlineStr">
        <is>
          <t>Số cổ phần sở hữu của người trong Ban điều hành</t>
        </is>
      </c>
      <c r="F2860" s="390" t="inlineStr">
        <is>
          <t>Data Explorer</t>
        </is>
      </c>
      <c r="G2860" s="390" t="inlineStr">
        <is>
          <t>Chỉ tiêu cơ sở</t>
        </is>
      </c>
      <c r="H2860" s="390" t="inlineStr">
        <is>
          <t>TB</t>
        </is>
      </c>
      <c r="I2860" s="390" t="inlineStr">
        <is>
          <t>Ngày, CTCK</t>
        </is>
      </c>
      <c r="J2860" s="401" t="inlineStr">
        <is>
          <t>SCMS</t>
        </is>
      </c>
      <c r="K2860" s="401" t="n"/>
      <c r="L2860" s="401" t="inlineStr">
        <is>
          <t>X</t>
        </is>
      </c>
      <c r="M2860" s="401" t="n"/>
      <c r="N2860" s="401" t="inlineStr">
        <is>
          <t>Done</t>
        </is>
      </c>
      <c r="O2860" s="401" t="n"/>
      <c r="P2860" s="22" t="n"/>
      <c r="Q2860" s="401" t="n"/>
      <c r="R2860" s="401" t="n"/>
      <c r="S2860" s="22" t="n"/>
      <c r="U2860" s="390" t="n"/>
      <c r="V2860" s="22" t="n"/>
      <c r="W2860" s="22" t="n"/>
      <c r="X2860" s="22" t="n"/>
      <c r="Y2860" s="395" t="n"/>
      <c r="Z2860" s="22" t="n"/>
      <c r="AA2860" s="22" t="n"/>
      <c r="AB2860" s="22" t="n"/>
      <c r="AC2860" s="22" t="n"/>
      <c r="AD2860" s="22" t="n"/>
      <c r="AE2860" s="22" t="n"/>
    </row>
    <row r="2861" ht="56" customHeight="1" s="380">
      <c r="A2861" s="146" t="n">
        <v>118</v>
      </c>
      <c r="B2861" s="390" t="n"/>
      <c r="C2861" s="390" t="inlineStr">
        <is>
          <t>Báo cáo thường niên</t>
        </is>
      </c>
      <c r="D2861" s="390" t="inlineStr">
        <is>
          <t>Tình hình hoạt động trong năm &gt;&gt; Danh sách Ban điều hành &gt;&gt; Tỷ lệ sở hữu cổ phần</t>
        </is>
      </c>
      <c r="E2861" s="390" t="inlineStr">
        <is>
          <t>Tỷ lệ sở hữu cổ phần có quyền biểu quyết và các chứng khoán khác do công ty phát hành của người trong Ban điều hành</t>
        </is>
      </c>
      <c r="F2861" s="390" t="inlineStr">
        <is>
          <t>Data Explorer</t>
        </is>
      </c>
      <c r="G2861" s="390" t="inlineStr">
        <is>
          <t>Chỉ tiêu cơ sở</t>
        </is>
      </c>
      <c r="H2861" s="390" t="inlineStr">
        <is>
          <t>TB</t>
        </is>
      </c>
      <c r="I2861" s="390" t="inlineStr">
        <is>
          <t>Ngày, CTCK</t>
        </is>
      </c>
      <c r="J2861" s="401" t="inlineStr">
        <is>
          <t>SCMS</t>
        </is>
      </c>
      <c r="K2861" s="401" t="n"/>
      <c r="L2861" s="401" t="inlineStr">
        <is>
          <t>X</t>
        </is>
      </c>
      <c r="M2861" s="401" t="n"/>
      <c r="N2861" s="401" t="inlineStr">
        <is>
          <t>Done</t>
        </is>
      </c>
      <c r="O2861" s="401" t="n"/>
      <c r="P2861" s="22" t="n"/>
      <c r="Q2861" s="401" t="n"/>
      <c r="R2861" s="401" t="n"/>
      <c r="S2861" s="22" t="n"/>
      <c r="U2861" s="390" t="n"/>
      <c r="V2861" s="22" t="n"/>
      <c r="W2861" s="22" t="n"/>
      <c r="X2861" s="22" t="n"/>
      <c r="Y2861" s="395" t="n"/>
      <c r="Z2861" s="22" t="n"/>
      <c r="AA2861" s="22" t="n"/>
      <c r="AB2861" s="22" t="n"/>
      <c r="AC2861" s="22" t="n"/>
      <c r="AD2861" s="22" t="n"/>
      <c r="AE2861" s="22" t="n"/>
    </row>
    <row r="2862" ht="56" customHeight="1" s="380">
      <c r="A2862" s="146" t="n">
        <v>118</v>
      </c>
      <c r="B2862" s="390" t="n"/>
      <c r="C2862" s="390" t="inlineStr">
        <is>
          <t>Báo cáo thường niên</t>
        </is>
      </c>
      <c r="D2862" s="390" t="inlineStr">
        <is>
          <t>Tình hình hoạt động trong năm &gt;&gt; Danh sách Ban điều hành &gt;&gt; Trình độ chuyên môn</t>
        </is>
      </c>
      <c r="E2862" s="390" t="inlineStr">
        <is>
          <t>Trình độ chuyên môn người trong Ban điều hành</t>
        </is>
      </c>
      <c r="F2862" s="390" t="inlineStr">
        <is>
          <t>Data Explorer</t>
        </is>
      </c>
      <c r="G2862" s="390" t="inlineStr">
        <is>
          <t>Chỉ tiêu cơ sở</t>
        </is>
      </c>
      <c r="H2862" s="390" t="inlineStr">
        <is>
          <t>Dễ</t>
        </is>
      </c>
      <c r="I2862" s="390" t="inlineStr">
        <is>
          <t>Ngày, CTCK</t>
        </is>
      </c>
      <c r="J2862" s="401" t="inlineStr">
        <is>
          <t>SCMS</t>
        </is>
      </c>
      <c r="K2862" s="401" t="n"/>
      <c r="L2862" s="401" t="inlineStr">
        <is>
          <t>X</t>
        </is>
      </c>
      <c r="M2862" s="401" t="n"/>
      <c r="N2862" s="401" t="inlineStr">
        <is>
          <t>Done</t>
        </is>
      </c>
      <c r="O2862" s="401" t="n"/>
      <c r="P2862" s="22" t="n"/>
      <c r="Q2862" s="401" t="n"/>
      <c r="R2862" s="401" t="n"/>
      <c r="S2862" s="22" t="n"/>
      <c r="U2862" s="390" t="n"/>
      <c r="V2862" s="22" t="n"/>
      <c r="W2862" s="22" t="n"/>
      <c r="X2862" s="22" t="n"/>
      <c r="Y2862" s="395" t="n"/>
      <c r="Z2862" s="22" t="n"/>
      <c r="AA2862" s="22" t="n"/>
      <c r="AB2862" s="22" t="n"/>
      <c r="AC2862" s="22" t="n"/>
      <c r="AD2862" s="22" t="n"/>
      <c r="AE2862" s="22" t="n"/>
    </row>
    <row r="2863" ht="56" customHeight="1" s="380">
      <c r="A2863" s="146" t="n">
        <v>118</v>
      </c>
      <c r="B2863" s="390" t="n"/>
      <c r="C2863" s="390" t="inlineStr">
        <is>
          <t>Báo cáo thường niên</t>
        </is>
      </c>
      <c r="D2863" s="390" t="inlineStr">
        <is>
          <t>Tình hình hoạt động trong năm &gt;&gt; Danh sách Ban điều hành &gt;&gt; Quá trình công tác</t>
        </is>
      </c>
      <c r="E2863" s="390" t="inlineStr">
        <is>
          <t>Quá trình công tác người trong Ban điều hành</t>
        </is>
      </c>
      <c r="F2863" s="390" t="inlineStr">
        <is>
          <t>Data Explorer</t>
        </is>
      </c>
      <c r="G2863" s="390" t="inlineStr">
        <is>
          <t>Chỉ tiêu cơ sở</t>
        </is>
      </c>
      <c r="H2863" s="390" t="inlineStr">
        <is>
          <t>TB</t>
        </is>
      </c>
      <c r="I2863" s="390" t="inlineStr">
        <is>
          <t>Ngày, CTCK</t>
        </is>
      </c>
      <c r="J2863" s="401" t="inlineStr">
        <is>
          <t>SCMS</t>
        </is>
      </c>
      <c r="K2863" s="401" t="n"/>
      <c r="L2863" s="401" t="inlineStr">
        <is>
          <t>X</t>
        </is>
      </c>
      <c r="M2863" s="401" t="n"/>
      <c r="N2863" s="401" t="inlineStr">
        <is>
          <t>Done</t>
        </is>
      </c>
      <c r="O2863" s="401" t="n"/>
      <c r="P2863" s="22" t="n"/>
      <c r="Q2863" s="401" t="n"/>
      <c r="R2863" s="401" t="n"/>
      <c r="S2863" s="22" t="n"/>
      <c r="U2863" s="390" t="n"/>
      <c r="V2863" s="22" t="n"/>
      <c r="W2863" s="22" t="n"/>
      <c r="X2863" s="22" t="n"/>
      <c r="Y2863" s="395" t="n"/>
      <c r="Z2863" s="22" t="n"/>
      <c r="AA2863" s="22" t="n"/>
      <c r="AB2863" s="22" t="n"/>
      <c r="AC2863" s="22" t="n"/>
      <c r="AD2863" s="22" t="n"/>
      <c r="AE2863" s="22" t="n"/>
    </row>
    <row r="2864" ht="56" customHeight="1" s="380">
      <c r="A2864" s="146" t="n">
        <v>118</v>
      </c>
      <c r="B2864" s="390" t="n"/>
      <c r="C2864" s="390" t="inlineStr">
        <is>
          <t>Báo cáo thường niên</t>
        </is>
      </c>
      <c r="D2864" s="82" t="inlineStr">
        <is>
          <t>Tình hình hoạt động trong năm &gt;&gt; Những thay đổi trong ban điều hành</t>
        </is>
      </c>
      <c r="E2864" s="82" t="inlineStr">
        <is>
          <t>Những thay đổi trong ban điều hành</t>
        </is>
      </c>
      <c r="F2864" s="390" t="inlineStr">
        <is>
          <t>Data Explorer</t>
        </is>
      </c>
      <c r="G2864" s="390" t="inlineStr">
        <is>
          <t>Chỉ tiêu cơ sở</t>
        </is>
      </c>
      <c r="H2864" s="390" t="inlineStr">
        <is>
          <t>TB</t>
        </is>
      </c>
      <c r="I2864" s="390" t="inlineStr">
        <is>
          <t>Ngày, CTCK</t>
        </is>
      </c>
      <c r="J2864" s="401" t="inlineStr">
        <is>
          <t>SCMS</t>
        </is>
      </c>
      <c r="K2864" s="401" t="n"/>
      <c r="L2864" s="401" t="inlineStr">
        <is>
          <t>X</t>
        </is>
      </c>
      <c r="M2864" s="401" t="n"/>
      <c r="N2864" s="401" t="inlineStr">
        <is>
          <t>Done</t>
        </is>
      </c>
      <c r="O2864" s="401" t="n"/>
      <c r="P2864" s="22" t="n"/>
      <c r="Q2864" s="401" t="n"/>
      <c r="R2864" s="401" t="n"/>
      <c r="S2864" s="22" t="n"/>
      <c r="U2864" s="390" t="inlineStr">
        <is>
          <t>Dựa vào text để lấy dữ liệu</t>
        </is>
      </c>
      <c r="V2864" s="22" t="n"/>
      <c r="W2864" s="22" t="n"/>
      <c r="X2864" s="22" t="n"/>
      <c r="Y2864" s="395" t="n"/>
      <c r="Z2864" s="22" t="n"/>
      <c r="AA2864" s="22" t="n"/>
      <c r="AB2864" s="22" t="n"/>
      <c r="AC2864" s="22" t="n"/>
      <c r="AD2864" s="22" t="n"/>
      <c r="AE2864" s="22" t="n"/>
    </row>
    <row r="2865" ht="42" customHeight="1" s="380">
      <c r="A2865" s="146" t="n">
        <v>118</v>
      </c>
      <c r="B2865" s="390" t="n"/>
      <c r="C2865" s="390" t="inlineStr">
        <is>
          <t>Báo cáo thường niên</t>
        </is>
      </c>
      <c r="D2865" s="390" t="inlineStr">
        <is>
          <t>Tình hình hoạt động trong năm &gt;&gt; Tổng số lượng cán bộ, nhân viên</t>
        </is>
      </c>
      <c r="E2865" s="390" t="inlineStr">
        <is>
          <t>Tổng số lượng cán bộ, nhân viên</t>
        </is>
      </c>
      <c r="F2865" s="390" t="inlineStr">
        <is>
          <t>Data Explorer</t>
        </is>
      </c>
      <c r="G2865" s="390" t="inlineStr">
        <is>
          <t>Chỉ tiêu cơ sở</t>
        </is>
      </c>
      <c r="H2865" s="390" t="inlineStr">
        <is>
          <t>TB</t>
        </is>
      </c>
      <c r="I2865" s="390" t="inlineStr">
        <is>
          <t>Ngày, CTCK</t>
        </is>
      </c>
      <c r="J2865" s="401" t="inlineStr">
        <is>
          <t>SCMS</t>
        </is>
      </c>
      <c r="K2865" s="401" t="n"/>
      <c r="L2865" s="401" t="inlineStr">
        <is>
          <t>X</t>
        </is>
      </c>
      <c r="M2865" s="401" t="n"/>
      <c r="N2865" s="401" t="inlineStr">
        <is>
          <t>Done</t>
        </is>
      </c>
      <c r="O2865" s="401" t="n"/>
      <c r="P2865" s="22" t="n"/>
      <c r="Q2865" s="401" t="n"/>
      <c r="R2865" s="401" t="n"/>
      <c r="S2865" s="22" t="n"/>
      <c r="U2865" s="390" t="inlineStr">
        <is>
          <t>Dựa vào text để lấy dữ liệu</t>
        </is>
      </c>
      <c r="V2865" s="22" t="n"/>
      <c r="W2865" s="22" t="n"/>
      <c r="X2865" s="22" t="n"/>
      <c r="Y2865" s="395" t="n"/>
      <c r="Z2865" s="22" t="n"/>
      <c r="AA2865" s="22" t="n"/>
      <c r="AB2865" s="22" t="n"/>
      <c r="AC2865" s="22" t="n"/>
      <c r="AD2865" s="22" t="n"/>
      <c r="AE2865" s="22" t="n"/>
    </row>
    <row r="2866" ht="56" customHeight="1" s="380">
      <c r="A2866" s="146" t="n">
        <v>118</v>
      </c>
      <c r="B2866" s="390" t="n"/>
      <c r="C2866" s="390" t="inlineStr">
        <is>
          <t>Báo cáo thường niên</t>
        </is>
      </c>
      <c r="D2866" s="82" t="inlineStr">
        <is>
          <t>Tình hình hoạt động trong năm &gt;&gt; Các khoản đầu tư lớn &gt;&gt; Các khoản đầu tư lớn</t>
        </is>
      </c>
      <c r="E2866" s="82" t="inlineStr">
        <is>
          <t>Các khoản đầu tư lớn (bao gồm các khoản đầu tư tài chính và các khoản đầu tư dự án)</t>
        </is>
      </c>
      <c r="F2866" s="390" t="inlineStr">
        <is>
          <t>Data Explorer</t>
        </is>
      </c>
      <c r="G2866" s="390" t="inlineStr">
        <is>
          <t>Chỉ tiêu cơ sở</t>
        </is>
      </c>
      <c r="H2866" s="390" t="inlineStr">
        <is>
          <t>TB</t>
        </is>
      </c>
      <c r="I2866" s="390" t="inlineStr">
        <is>
          <t>Ngày, CTCK</t>
        </is>
      </c>
      <c r="J2866" s="401" t="inlineStr">
        <is>
          <t>SCMS</t>
        </is>
      </c>
      <c r="K2866" s="401" t="n"/>
      <c r="L2866" s="401" t="inlineStr">
        <is>
          <t>X</t>
        </is>
      </c>
      <c r="M2866" s="401" t="n"/>
      <c r="N2866" s="401" t="inlineStr">
        <is>
          <t>Done</t>
        </is>
      </c>
      <c r="O2866" s="401" t="n"/>
      <c r="P2866" s="22" t="n"/>
      <c r="Q2866" s="401" t="n"/>
      <c r="R2866" s="401" t="n"/>
      <c r="S2866" s="22" t="n"/>
      <c r="U2866" s="390" t="inlineStr">
        <is>
          <t>Dựa vào text để lấy dữ liệu</t>
        </is>
      </c>
      <c r="V2866" s="22" t="n"/>
      <c r="W2866" s="22" t="n"/>
      <c r="X2866" s="22" t="n"/>
      <c r="Y2866" s="395" t="n"/>
      <c r="Z2866" s="22" t="n"/>
      <c r="AA2866" s="22" t="n"/>
      <c r="AB2866" s="22" t="n"/>
      <c r="AC2866" s="22" t="n"/>
      <c r="AD2866" s="22" t="n"/>
      <c r="AE2866" s="22" t="n"/>
    </row>
    <row r="2867" ht="56" customHeight="1" s="380">
      <c r="A2867" s="146" t="n">
        <v>118</v>
      </c>
      <c r="B2867" s="390" t="n"/>
      <c r="C2867" s="390" t="inlineStr">
        <is>
          <t>Báo cáo thường niên</t>
        </is>
      </c>
      <c r="D2867" s="82" t="inlineStr">
        <is>
          <t>Tình hình hoạt động trong năm &gt;&gt; Các khoản đầu tư lớn &gt;&gt; Tình hình thực hiện dự án</t>
        </is>
      </c>
      <c r="E2867" s="82" t="inlineStr">
        <is>
          <t>Tình hình thực hiện dự án</t>
        </is>
      </c>
      <c r="F2867" s="390" t="inlineStr">
        <is>
          <t>Data Explorer</t>
        </is>
      </c>
      <c r="G2867" s="390" t="inlineStr">
        <is>
          <t>Chỉ tiêu cơ sở</t>
        </is>
      </c>
      <c r="H2867" s="390" t="inlineStr">
        <is>
          <t>TB</t>
        </is>
      </c>
      <c r="I2867" s="390" t="inlineStr">
        <is>
          <t>Ngày, CTCK</t>
        </is>
      </c>
      <c r="J2867" s="401" t="inlineStr">
        <is>
          <t>SCMS</t>
        </is>
      </c>
      <c r="K2867" s="401" t="n"/>
      <c r="L2867" s="401" t="inlineStr">
        <is>
          <t>X</t>
        </is>
      </c>
      <c r="M2867" s="401" t="n"/>
      <c r="N2867" s="401" t="inlineStr">
        <is>
          <t>Done</t>
        </is>
      </c>
      <c r="O2867" s="401" t="n"/>
      <c r="P2867" s="22" t="n"/>
      <c r="Q2867" s="401" t="n"/>
      <c r="R2867" s="401" t="n"/>
      <c r="S2867" s="22" t="n"/>
      <c r="U2867" s="390" t="inlineStr">
        <is>
          <t>Dựa vào text để lấy dữ liệu</t>
        </is>
      </c>
      <c r="V2867" s="22" t="n"/>
      <c r="W2867" s="22" t="n"/>
      <c r="X2867" s="22" t="n"/>
      <c r="Y2867" s="395" t="n"/>
      <c r="Z2867" s="22" t="n"/>
      <c r="AA2867" s="22" t="n"/>
      <c r="AB2867" s="22" t="n"/>
      <c r="AC2867" s="22" t="n"/>
      <c r="AD2867" s="22" t="n"/>
      <c r="AE2867" s="22" t="n"/>
    </row>
    <row r="2868" ht="56" customHeight="1" s="380">
      <c r="A2868" s="146" t="n">
        <v>118</v>
      </c>
      <c r="B2868" s="390" t="n"/>
      <c r="C2868" s="390" t="inlineStr">
        <is>
          <t>Báo cáo thường niên</t>
        </is>
      </c>
      <c r="D2868" s="82" t="inlineStr">
        <is>
          <t>Tình hình hoạt động trong năm &gt;&gt; Các khoản đầu tư lớn &gt;&gt; Tiến độ thực hiện dự án</t>
        </is>
      </c>
      <c r="E2868" s="82" t="inlineStr">
        <is>
          <t>Tiến độ thực hiện dự án</t>
        </is>
      </c>
      <c r="F2868" s="390" t="inlineStr">
        <is>
          <t>Data Explorer</t>
        </is>
      </c>
      <c r="G2868" s="390" t="inlineStr">
        <is>
          <t>Chỉ tiêu cơ sở</t>
        </is>
      </c>
      <c r="H2868" s="390" t="inlineStr">
        <is>
          <t>TB</t>
        </is>
      </c>
      <c r="I2868" s="390" t="inlineStr">
        <is>
          <t>Ngày, CTCK</t>
        </is>
      </c>
      <c r="J2868" s="401" t="inlineStr">
        <is>
          <t>SCMS</t>
        </is>
      </c>
      <c r="K2868" s="401" t="n"/>
      <c r="L2868" s="401" t="inlineStr">
        <is>
          <t>X</t>
        </is>
      </c>
      <c r="M2868" s="401" t="n"/>
      <c r="N2868" s="401" t="inlineStr">
        <is>
          <t>Done</t>
        </is>
      </c>
      <c r="O2868" s="401" t="n"/>
      <c r="P2868" s="22" t="n"/>
      <c r="Q2868" s="401" t="n"/>
      <c r="R2868" s="401" t="n"/>
      <c r="S2868" s="22" t="n"/>
      <c r="U2868" s="390" t="inlineStr">
        <is>
          <t>Dựa vào text để lấy dữ liệu</t>
        </is>
      </c>
      <c r="V2868" s="22" t="n"/>
      <c r="W2868" s="22" t="n"/>
      <c r="X2868" s="22" t="n"/>
      <c r="Y2868" s="395" t="n"/>
      <c r="Z2868" s="22" t="n"/>
      <c r="AA2868" s="22" t="n"/>
      <c r="AB2868" s="22" t="n"/>
      <c r="AC2868" s="22" t="n"/>
      <c r="AD2868" s="22" t="n"/>
      <c r="AE2868" s="22" t="n"/>
    </row>
    <row r="2869" ht="42" customHeight="1" s="380">
      <c r="A2869" s="146" t="n">
        <v>118</v>
      </c>
      <c r="B2869" s="390" t="n"/>
      <c r="C2869" s="390" t="inlineStr">
        <is>
          <t>Báo cáo thường niên</t>
        </is>
      </c>
      <c r="D2869" s="82" t="inlineStr">
        <is>
          <t>Tình hình hoạt động trong năm &gt;&gt; Các khoản đầu tư lớn &gt;&gt; Đánh giá</t>
        </is>
      </c>
      <c r="E2869" s="82" t="inlineStr">
        <is>
          <t>Đánh giá (đạt/không đạt)</t>
        </is>
      </c>
      <c r="F2869" s="390" t="inlineStr">
        <is>
          <t>Data Explorer</t>
        </is>
      </c>
      <c r="G2869" s="390" t="inlineStr">
        <is>
          <t>Chỉ tiêu cơ sở</t>
        </is>
      </c>
      <c r="H2869" s="390" t="inlineStr">
        <is>
          <t>TB</t>
        </is>
      </c>
      <c r="I2869" s="390" t="inlineStr">
        <is>
          <t>Ngày, CTCK</t>
        </is>
      </c>
      <c r="J2869" s="401" t="inlineStr">
        <is>
          <t>SCMS</t>
        </is>
      </c>
      <c r="K2869" s="401" t="n"/>
      <c r="L2869" s="401" t="inlineStr">
        <is>
          <t>X</t>
        </is>
      </c>
      <c r="M2869" s="401" t="n"/>
      <c r="N2869" s="401" t="inlineStr">
        <is>
          <t>Done</t>
        </is>
      </c>
      <c r="O2869" s="401" t="n"/>
      <c r="P2869" s="22" t="n"/>
      <c r="Q2869" s="401" t="n"/>
      <c r="R2869" s="401" t="n"/>
      <c r="S2869" s="22" t="n"/>
      <c r="U2869" s="390" t="inlineStr">
        <is>
          <t>Dựa vào text để lấy dữ liệu</t>
        </is>
      </c>
      <c r="V2869" s="22" t="n"/>
      <c r="W2869" s="22" t="n"/>
      <c r="X2869" s="22" t="n"/>
      <c r="Y2869" s="395" t="n"/>
      <c r="Z2869" s="22" t="n"/>
      <c r="AA2869" s="22" t="n"/>
      <c r="AB2869" s="22" t="n"/>
      <c r="AC2869" s="22" t="n"/>
      <c r="AD2869" s="22" t="n"/>
      <c r="AE2869" s="22" t="n"/>
    </row>
    <row r="2870" ht="56" customHeight="1" s="380">
      <c r="A2870" s="146" t="n">
        <v>118</v>
      </c>
      <c r="B2870" s="390" t="n"/>
      <c r="C2870" s="390" t="inlineStr">
        <is>
          <t>Báo cáo thường niên</t>
        </is>
      </c>
      <c r="D2870" s="82" t="inlineStr">
        <is>
          <t>Tình hình hoạt động trong năm &gt;&gt; Các khoản đầu tư lớn &gt;&gt; Nguyên nhân</t>
        </is>
      </c>
      <c r="E2870" s="82" t="inlineStr">
        <is>
          <t>Nguyên nhân</t>
        </is>
      </c>
      <c r="F2870" s="390" t="inlineStr">
        <is>
          <t>Data Explorer</t>
        </is>
      </c>
      <c r="G2870" s="390" t="inlineStr">
        <is>
          <t>Chỉ tiêu cơ sở</t>
        </is>
      </c>
      <c r="H2870" s="390" t="inlineStr">
        <is>
          <t>TB</t>
        </is>
      </c>
      <c r="I2870" s="390" t="inlineStr">
        <is>
          <t>Ngày, CTCK</t>
        </is>
      </c>
      <c r="J2870" s="401" t="inlineStr">
        <is>
          <t>SCMS</t>
        </is>
      </c>
      <c r="K2870" s="401" t="n"/>
      <c r="L2870" s="401" t="inlineStr">
        <is>
          <t>X</t>
        </is>
      </c>
      <c r="M2870" s="401" t="n"/>
      <c r="N2870" s="401" t="inlineStr">
        <is>
          <t>Done</t>
        </is>
      </c>
      <c r="O2870" s="401" t="n"/>
      <c r="P2870" s="22" t="n"/>
      <c r="Q2870" s="401" t="n"/>
      <c r="R2870" s="401" t="n"/>
      <c r="S2870" s="22" t="n"/>
      <c r="U2870" s="390" t="inlineStr">
        <is>
          <t>Dựa vào text để lấy dữ liệu</t>
        </is>
      </c>
      <c r="V2870" s="22" t="n"/>
      <c r="W2870" s="22" t="n"/>
      <c r="X2870" s="22" t="n"/>
      <c r="Y2870" s="395" t="n"/>
      <c r="Z2870" s="22" t="n"/>
      <c r="AA2870" s="22" t="n"/>
      <c r="AB2870" s="22" t="n"/>
      <c r="AC2870" s="22" t="n"/>
      <c r="AD2870" s="22" t="n"/>
      <c r="AE2870" s="22" t="n"/>
    </row>
    <row r="2871" ht="56" customHeight="1" s="380">
      <c r="A2871" s="146" t="n">
        <v>118</v>
      </c>
      <c r="B2871" s="390" t="n"/>
      <c r="C2871" s="390" t="inlineStr">
        <is>
          <t>Báo cáo thường niên</t>
        </is>
      </c>
      <c r="D2871" s="82" t="inlineStr">
        <is>
          <t>Tình hình hoạt động trong năm &gt;&gt; Các công ty con, công ty liên kết &gt;&gt; Tình hình tài chính</t>
        </is>
      </c>
      <c r="E2871" s="82" t="inlineStr">
        <is>
          <t>Tình hình tài chính của các công ty con, công ty liên kết</t>
        </is>
      </c>
      <c r="F2871" s="390" t="inlineStr">
        <is>
          <t>Data Explorer</t>
        </is>
      </c>
      <c r="G2871" s="390" t="inlineStr">
        <is>
          <t>Chỉ tiêu cơ sở</t>
        </is>
      </c>
      <c r="H2871" s="390" t="inlineStr">
        <is>
          <t>TB</t>
        </is>
      </c>
      <c r="I2871" s="390" t="inlineStr">
        <is>
          <t>Ngày, CTCK</t>
        </is>
      </c>
      <c r="J2871" s="401" t="inlineStr">
        <is>
          <t>SCMS</t>
        </is>
      </c>
      <c r="K2871" s="401" t="n"/>
      <c r="L2871" s="401" t="inlineStr">
        <is>
          <t>X</t>
        </is>
      </c>
      <c r="M2871" s="401" t="n"/>
      <c r="N2871" s="401" t="inlineStr">
        <is>
          <t>Done</t>
        </is>
      </c>
      <c r="O2871" s="401" t="n"/>
      <c r="P2871" s="22" t="n"/>
      <c r="Q2871" s="401" t="n"/>
      <c r="R2871" s="401" t="n"/>
      <c r="S2871" s="22" t="n"/>
      <c r="U2871" s="390" t="inlineStr">
        <is>
          <t>Dựa vào text để lấy dữ liệu</t>
        </is>
      </c>
      <c r="V2871" s="22" t="n"/>
      <c r="W2871" s="22" t="n"/>
      <c r="X2871" s="22" t="n"/>
      <c r="Y2871" s="395" t="n"/>
      <c r="Z2871" s="22" t="n"/>
      <c r="AA2871" s="22" t="n"/>
      <c r="AB2871" s="22" t="n"/>
      <c r="AC2871" s="22" t="n"/>
      <c r="AD2871" s="22" t="n"/>
      <c r="AE2871" s="22" t="n"/>
    </row>
    <row r="2872" ht="42" customHeight="1" s="380">
      <c r="A2872" s="146" t="n">
        <v>118</v>
      </c>
      <c r="B2872" s="390" t="n"/>
      <c r="C2872" s="390" t="inlineStr">
        <is>
          <t>Báo cáo thường niên</t>
        </is>
      </c>
      <c r="D2872" s="390" t="inlineStr">
        <is>
          <t>Tình hình hoạt động trong năm &gt;&gt; Cổ phần &gt;&gt; Tổng số cổ phần</t>
        </is>
      </c>
      <c r="E2872" s="390" t="inlineStr">
        <is>
          <t>Tổng số cổ phần</t>
        </is>
      </c>
      <c r="F2872" s="390" t="inlineStr">
        <is>
          <t>Data Explorer</t>
        </is>
      </c>
      <c r="G2872" s="390" t="inlineStr">
        <is>
          <t>Chỉ tiêu cơ sở</t>
        </is>
      </c>
      <c r="H2872" s="390" t="inlineStr">
        <is>
          <t>TB</t>
        </is>
      </c>
      <c r="I2872" s="390" t="inlineStr">
        <is>
          <t>Ngày, CTCK</t>
        </is>
      </c>
      <c r="J2872" s="401" t="inlineStr">
        <is>
          <t>SCMS</t>
        </is>
      </c>
      <c r="K2872" s="401" t="n"/>
      <c r="L2872" s="401" t="inlineStr">
        <is>
          <t>X</t>
        </is>
      </c>
      <c r="M2872" s="401" t="n"/>
      <c r="N2872" s="401" t="inlineStr">
        <is>
          <t>Done</t>
        </is>
      </c>
      <c r="O2872" s="401" t="n"/>
      <c r="P2872" s="22" t="n"/>
      <c r="Q2872" s="401" t="n"/>
      <c r="R2872" s="401" t="n"/>
      <c r="S2872" s="22" t="n"/>
      <c r="U2872" s="390" t="inlineStr">
        <is>
          <t>Dựa vào text để lấy dữ liệu</t>
        </is>
      </c>
      <c r="V2872" s="22" t="n"/>
      <c r="W2872" s="22" t="n"/>
      <c r="X2872" s="22" t="n"/>
      <c r="Y2872" s="395" t="n"/>
      <c r="Z2872" s="22" t="n"/>
      <c r="AA2872" s="22" t="n"/>
      <c r="AB2872" s="22" t="n"/>
      <c r="AC2872" s="22" t="n"/>
      <c r="AD2872" s="22" t="n"/>
      <c r="AE2872" s="22" t="n"/>
    </row>
    <row r="2873" ht="56" customHeight="1" s="380">
      <c r="A2873" s="146" t="n">
        <v>118</v>
      </c>
      <c r="B2873" s="390" t="n"/>
      <c r="C2873" s="390" t="inlineStr">
        <is>
          <t>Báo cáo thường niên</t>
        </is>
      </c>
      <c r="D2873" s="390" t="inlineStr">
        <is>
          <t>Tình hình hoạt động trong năm &gt;&gt; Cổ phần &gt;&gt; Loại cổ phần đang lưu hành</t>
        </is>
      </c>
      <c r="E2873" s="390" t="inlineStr">
        <is>
          <t>Loại cổ phần đang lưu hành</t>
        </is>
      </c>
      <c r="F2873" s="390" t="inlineStr">
        <is>
          <t>Data Explorer</t>
        </is>
      </c>
      <c r="G2873" s="390" t="inlineStr">
        <is>
          <t>Chỉ tiêu cơ sở</t>
        </is>
      </c>
      <c r="H2873" s="390" t="inlineStr">
        <is>
          <t>TB</t>
        </is>
      </c>
      <c r="I2873" s="390" t="inlineStr">
        <is>
          <t>Ngày, CTCK</t>
        </is>
      </c>
      <c r="J2873" s="401" t="inlineStr">
        <is>
          <t>SCMS</t>
        </is>
      </c>
      <c r="K2873" s="401" t="n"/>
      <c r="L2873" s="401" t="inlineStr">
        <is>
          <t>X</t>
        </is>
      </c>
      <c r="M2873" s="401" t="n"/>
      <c r="N2873" s="401" t="inlineStr">
        <is>
          <t>Done</t>
        </is>
      </c>
      <c r="O2873" s="401" t="n"/>
      <c r="P2873" s="22" t="n"/>
      <c r="Q2873" s="401" t="n"/>
      <c r="R2873" s="401" t="n"/>
      <c r="S2873" s="22" t="n"/>
      <c r="U2873" s="390" t="inlineStr">
        <is>
          <t>Dựa vào text để lấy dữ liệu</t>
        </is>
      </c>
      <c r="V2873" s="22" t="n"/>
      <c r="W2873" s="22" t="n"/>
      <c r="X2873" s="22" t="n"/>
      <c r="Y2873" s="395" t="n"/>
      <c r="Z2873" s="22" t="n"/>
      <c r="AA2873" s="22" t="n"/>
      <c r="AB2873" s="22" t="n"/>
      <c r="AC2873" s="22" t="n"/>
      <c r="AD2873" s="22" t="n"/>
      <c r="AE2873" s="22" t="n"/>
    </row>
    <row r="2874" ht="56" customHeight="1" s="380">
      <c r="A2874" s="146" t="n">
        <v>118</v>
      </c>
      <c r="B2874" s="390" t="n"/>
      <c r="C2874" s="390" t="inlineStr">
        <is>
          <t>Báo cáo thường niên</t>
        </is>
      </c>
      <c r="D2874" s="390" t="inlineStr">
        <is>
          <t>Tình hình hoạt động trong năm &gt;&gt; Cổ phần &gt;&gt; Số lượng cổ phần chuyển nhượng tự do</t>
        </is>
      </c>
      <c r="E2874" s="390" t="inlineStr">
        <is>
          <t>Số lượng cổ phần chuyển nhượng tự do</t>
        </is>
      </c>
      <c r="F2874" s="390" t="inlineStr">
        <is>
          <t>Data Explorer</t>
        </is>
      </c>
      <c r="G2874" s="390" t="inlineStr">
        <is>
          <t>Chỉ tiêu cơ sở</t>
        </is>
      </c>
      <c r="H2874" s="390" t="inlineStr">
        <is>
          <t>TB</t>
        </is>
      </c>
      <c r="I2874" s="390" t="inlineStr">
        <is>
          <t>Ngày, CTCK</t>
        </is>
      </c>
      <c r="J2874" s="401" t="inlineStr">
        <is>
          <t>SCMS</t>
        </is>
      </c>
      <c r="K2874" s="401" t="n"/>
      <c r="L2874" s="401" t="inlineStr">
        <is>
          <t>X</t>
        </is>
      </c>
      <c r="M2874" s="401" t="n"/>
      <c r="N2874" s="401" t="inlineStr">
        <is>
          <t>Done</t>
        </is>
      </c>
      <c r="O2874" s="401" t="n"/>
      <c r="P2874" s="22" t="n"/>
      <c r="Q2874" s="401" t="n"/>
      <c r="R2874" s="401" t="n"/>
      <c r="S2874" s="22" t="n"/>
      <c r="U2874" s="390" t="inlineStr">
        <is>
          <t>Dựa vào text để lấy dữ liệu</t>
        </is>
      </c>
      <c r="V2874" s="22" t="n"/>
      <c r="W2874" s="22" t="n"/>
      <c r="X2874" s="22" t="n"/>
      <c r="Y2874" s="395" t="n"/>
      <c r="Z2874" s="22" t="n"/>
      <c r="AA2874" s="22" t="n"/>
      <c r="AB2874" s="22" t="n"/>
      <c r="AC2874" s="22" t="n"/>
      <c r="AD2874" s="22" t="n"/>
      <c r="AE2874" s="22" t="n"/>
    </row>
    <row r="2875" ht="56" customHeight="1" s="380">
      <c r="A2875" s="146" t="n">
        <v>118</v>
      </c>
      <c r="B2875" s="390" t="n"/>
      <c r="C2875" s="390" t="inlineStr">
        <is>
          <t>Báo cáo thường niên</t>
        </is>
      </c>
      <c r="D2875" s="390" t="inlineStr">
        <is>
          <t>Tình hình hoạt động trong năm &gt;&gt; Cổ phần &gt;&gt; Số lượng cổ phần bị hạn chế chuyển nhượng</t>
        </is>
      </c>
      <c r="E2875" s="390" t="inlineStr">
        <is>
          <t>Số lượng cổ phần bị hạn chế chuyển nhượng</t>
        </is>
      </c>
      <c r="F2875" s="390" t="inlineStr">
        <is>
          <t>Data Explorer</t>
        </is>
      </c>
      <c r="G2875" s="390" t="inlineStr">
        <is>
          <t>Chỉ tiêu cơ sở</t>
        </is>
      </c>
      <c r="H2875" s="390" t="inlineStr">
        <is>
          <t>TB</t>
        </is>
      </c>
      <c r="I2875" s="390" t="inlineStr">
        <is>
          <t>Ngày, CTCK</t>
        </is>
      </c>
      <c r="J2875" s="401" t="inlineStr">
        <is>
          <t>SCMS</t>
        </is>
      </c>
      <c r="K2875" s="401" t="n"/>
      <c r="L2875" s="401" t="inlineStr">
        <is>
          <t>X</t>
        </is>
      </c>
      <c r="M2875" s="401" t="n"/>
      <c r="N2875" s="401" t="inlineStr">
        <is>
          <t>Done</t>
        </is>
      </c>
      <c r="O2875" s="401" t="n"/>
      <c r="P2875" s="22" t="n"/>
      <c r="Q2875" s="401" t="n"/>
      <c r="R2875" s="401" t="n"/>
      <c r="S2875" s="22" t="n"/>
      <c r="U2875" s="390" t="inlineStr">
        <is>
          <t>Dựa vào text để lấy dữ liệu</t>
        </is>
      </c>
      <c r="V2875" s="22" t="n"/>
      <c r="W2875" s="22" t="n"/>
      <c r="X2875" s="22" t="n"/>
      <c r="Y2875" s="395" t="n"/>
      <c r="Z2875" s="22" t="n"/>
      <c r="AA2875" s="22" t="n"/>
      <c r="AB2875" s="22" t="n"/>
      <c r="AC2875" s="22" t="n"/>
      <c r="AD2875" s="22" t="n"/>
      <c r="AE2875" s="22" t="n"/>
    </row>
    <row r="2876" ht="98" customHeight="1" s="380">
      <c r="A2876" s="146" t="n">
        <v>118</v>
      </c>
      <c r="B2876" s="390" t="n"/>
      <c r="C2876" s="390" t="inlineStr">
        <is>
          <t>Báo cáo thường niên</t>
        </is>
      </c>
      <c r="D2876" s="82" t="inlineStr">
        <is>
          <t>Tình hình hoạt động trong năm &gt;&gt; Cổ phần &gt;&gt; Thị trường giao dịch</t>
        </is>
      </c>
      <c r="E2876" s="82" t="inlineStr">
        <is>
          <t>Thị trường giao dịch</t>
        </is>
      </c>
      <c r="F2876" s="390" t="inlineStr">
        <is>
          <t>Data Explorer</t>
        </is>
      </c>
      <c r="G2876" s="390" t="inlineStr">
        <is>
          <t>Chỉ tiêu cơ sở</t>
        </is>
      </c>
      <c r="H2876" s="390" t="inlineStr">
        <is>
          <t>TB</t>
        </is>
      </c>
      <c r="I2876" s="390" t="inlineStr">
        <is>
          <t>Ngày, CTCK</t>
        </is>
      </c>
      <c r="J2876" s="401" t="inlineStr">
        <is>
          <t>SCMS</t>
        </is>
      </c>
      <c r="K2876" s="401" t="n"/>
      <c r="L2876" s="401" t="inlineStr">
        <is>
          <t>X</t>
        </is>
      </c>
      <c r="M2876" s="401" t="n"/>
      <c r="N2876" s="401" t="inlineStr">
        <is>
          <t>Done</t>
        </is>
      </c>
      <c r="O2876" s="401" t="n"/>
      <c r="P2876" s="22" t="n"/>
      <c r="Q2876" s="401" t="n"/>
      <c r="R2876" s="401" t="n"/>
      <c r="S2876" s="22" t="n"/>
      <c r="U2876" s="390" t="inlineStr">
        <is>
          <t>Trường hợp công ty có chứng khoán giao dịch tại nước ngoài hay bảo trợ việc phát hành và niêm yết chứng khoán tại nước ngoài (Trường hợp này mới có data) --&gt; Dựa vào text để lấy dữ liệu</t>
        </is>
      </c>
      <c r="V2876" s="22" t="n"/>
      <c r="W2876" s="22" t="n"/>
      <c r="X2876" s="22" t="n"/>
      <c r="Y2876" s="395" t="n"/>
      <c r="Z2876" s="22" t="n"/>
      <c r="AA2876" s="22" t="n"/>
      <c r="AB2876" s="22" t="n"/>
      <c r="AC2876" s="22" t="n"/>
      <c r="AD2876" s="22" t="n"/>
      <c r="AE2876" s="22" t="n"/>
    </row>
    <row r="2877" ht="98" customHeight="1" s="380">
      <c r="A2877" s="146" t="n">
        <v>118</v>
      </c>
      <c r="B2877" s="390" t="n"/>
      <c r="C2877" s="390" t="inlineStr">
        <is>
          <t>Báo cáo thường niên</t>
        </is>
      </c>
      <c r="D2877" s="82" t="inlineStr">
        <is>
          <t>Tình hình hoạt động trong năm &gt;&gt; Cổ phần &gt;&gt; Số lượng chứng khoán được giao dịch</t>
        </is>
      </c>
      <c r="E2877" s="82" t="inlineStr">
        <is>
          <t>Số lượng chứng khoán được giao dịch</t>
        </is>
      </c>
      <c r="F2877" s="390" t="inlineStr">
        <is>
          <t>Data Explorer</t>
        </is>
      </c>
      <c r="G2877" s="390" t="inlineStr">
        <is>
          <t>Chỉ tiêu cơ sở</t>
        </is>
      </c>
      <c r="H2877" s="390" t="inlineStr">
        <is>
          <t>TB</t>
        </is>
      </c>
      <c r="I2877" s="390" t="inlineStr">
        <is>
          <t>Ngày, CTCK</t>
        </is>
      </c>
      <c r="J2877" s="401" t="inlineStr">
        <is>
          <t>SCMS</t>
        </is>
      </c>
      <c r="K2877" s="401" t="n"/>
      <c r="L2877" s="401" t="inlineStr">
        <is>
          <t>X</t>
        </is>
      </c>
      <c r="M2877" s="401" t="n"/>
      <c r="N2877" s="401" t="inlineStr">
        <is>
          <t>Done</t>
        </is>
      </c>
      <c r="O2877" s="401" t="n"/>
      <c r="P2877" s="22" t="n"/>
      <c r="Q2877" s="401" t="n"/>
      <c r="R2877" s="401" t="n"/>
      <c r="S2877" s="22" t="n"/>
      <c r="U2877" s="390" t="inlineStr">
        <is>
          <t>Trường hợp công ty có chứng khoán giao dịch tại nước ngoài hay bảo trợ việc phát hành và niêm yết chứng khoán tại nước ngoài (Trường hợp này mới có data) --&gt; Dựa vào text để lấy dữ liệu</t>
        </is>
      </c>
      <c r="V2877" s="22" t="n"/>
      <c r="W2877" s="22" t="n"/>
      <c r="X2877" s="22" t="n"/>
      <c r="Y2877" s="395" t="n"/>
      <c r="Z2877" s="22" t="n"/>
      <c r="AA2877" s="22" t="n"/>
      <c r="AB2877" s="22" t="n"/>
      <c r="AC2877" s="22" t="n"/>
      <c r="AD2877" s="22" t="n"/>
      <c r="AE2877" s="22" t="n"/>
    </row>
    <row r="2878" ht="98" customHeight="1" s="380">
      <c r="A2878" s="146" t="n">
        <v>118</v>
      </c>
      <c r="B2878" s="390" t="n"/>
      <c r="C2878" s="390" t="inlineStr">
        <is>
          <t>Báo cáo thường niên</t>
        </is>
      </c>
      <c r="D2878" s="82" t="inlineStr">
        <is>
          <t>Tình hình hoạt động trong năm &gt;&gt; Cổ phần &gt;&gt; Số lượng chứng khoán được bảo trợ</t>
        </is>
      </c>
      <c r="E2878" s="82" t="inlineStr">
        <is>
          <t>Số lượng chứng khoán được bảo trợ</t>
        </is>
      </c>
      <c r="F2878" s="390" t="inlineStr">
        <is>
          <t>Data Explorer</t>
        </is>
      </c>
      <c r="G2878" s="390" t="inlineStr">
        <is>
          <t>Chỉ tiêu cơ sở</t>
        </is>
      </c>
      <c r="H2878" s="390" t="inlineStr">
        <is>
          <t>TB</t>
        </is>
      </c>
      <c r="I2878" s="390" t="inlineStr">
        <is>
          <t>Ngày, CTCK</t>
        </is>
      </c>
      <c r="J2878" s="401" t="inlineStr">
        <is>
          <t>SCMS</t>
        </is>
      </c>
      <c r="K2878" s="401" t="n"/>
      <c r="L2878" s="401" t="inlineStr">
        <is>
          <t>X</t>
        </is>
      </c>
      <c r="M2878" s="401" t="n"/>
      <c r="N2878" s="401" t="inlineStr">
        <is>
          <t>Done</t>
        </is>
      </c>
      <c r="O2878" s="401" t="n"/>
      <c r="P2878" s="22" t="n"/>
      <c r="Q2878" s="401" t="n"/>
      <c r="R2878" s="401" t="n"/>
      <c r="S2878" s="22" t="n"/>
      <c r="U2878" s="390" t="inlineStr">
        <is>
          <t>Trường hợp công ty có chứng khoán giao dịch tại nước ngoài hay bảo trợ việc phát hành và niêm yết chứng khoán tại nước ngoài (Trường hợp này mới có data) --&gt; Dựa vào text để lấy dữ liệu</t>
        </is>
      </c>
      <c r="V2878" s="22" t="n"/>
      <c r="W2878" s="22" t="n"/>
      <c r="X2878" s="22" t="n"/>
      <c r="Y2878" s="395" t="n"/>
      <c r="Z2878" s="22" t="n"/>
      <c r="AA2878" s="22" t="n"/>
      <c r="AB2878" s="22" t="n"/>
      <c r="AC2878" s="22" t="n"/>
      <c r="AD2878" s="22" t="n"/>
      <c r="AE2878" s="22" t="n"/>
    </row>
    <row r="2879" ht="98" customHeight="1" s="380">
      <c r="A2879" s="146" t="n">
        <v>118</v>
      </c>
      <c r="B2879" s="390" t="n"/>
      <c r="C2879" s="390" t="inlineStr">
        <is>
          <t>Báo cáo thường niên</t>
        </is>
      </c>
      <c r="D2879" s="82" t="inlineStr">
        <is>
          <t>Tình hình hoạt động trong năm &gt;&gt; Cổ phần &gt;&gt; Quyền, nghĩa vụ của công ty</t>
        </is>
      </c>
      <c r="E2879" s="82" t="inlineStr">
        <is>
          <t>Quyền, nghĩa vụ của công ty liên quan đến chứng khoán giao dịch hoặc được bảo trợ tại nước ngoài</t>
        </is>
      </c>
      <c r="F2879" s="390" t="inlineStr">
        <is>
          <t>Data Explorer</t>
        </is>
      </c>
      <c r="G2879" s="390" t="inlineStr">
        <is>
          <t>Chỉ tiêu cơ sở</t>
        </is>
      </c>
      <c r="H2879" s="390" t="inlineStr">
        <is>
          <t>TB</t>
        </is>
      </c>
      <c r="I2879" s="390" t="inlineStr">
        <is>
          <t>Ngày, CTCK</t>
        </is>
      </c>
      <c r="J2879" s="401" t="inlineStr">
        <is>
          <t>SCMS</t>
        </is>
      </c>
      <c r="K2879" s="401" t="n"/>
      <c r="L2879" s="401" t="inlineStr">
        <is>
          <t>X</t>
        </is>
      </c>
      <c r="M2879" s="401" t="n"/>
      <c r="N2879" s="401" t="inlineStr">
        <is>
          <t>Done</t>
        </is>
      </c>
      <c r="O2879" s="401" t="n"/>
      <c r="P2879" s="22" t="n"/>
      <c r="Q2879" s="401" t="n"/>
      <c r="R2879" s="401" t="n"/>
      <c r="S2879" s="22" t="n"/>
      <c r="U2879" s="390" t="inlineStr">
        <is>
          <t>Trường hợp công ty có chứng khoán giao dịch tại nước ngoài hay bảo trợ việc phát hành và niêm yết chứng khoán tại nước ngoài (Trường hợp này mới có data) --&gt; Dựa vào text để lấy dữ liệu</t>
        </is>
      </c>
      <c r="V2879" s="22" t="n"/>
      <c r="W2879" s="22" t="n"/>
      <c r="X2879" s="22" t="n"/>
      <c r="Y2879" s="395" t="n"/>
      <c r="Z2879" s="22" t="n"/>
      <c r="AA2879" s="22" t="n"/>
      <c r="AB2879" s="22" t="n"/>
      <c r="AC2879" s="22" t="n"/>
      <c r="AD2879" s="22" t="n"/>
      <c r="AE2879" s="22" t="n"/>
    </row>
    <row r="2880" ht="84" customHeight="1" s="380">
      <c r="A2880" s="146" t="n">
        <v>118</v>
      </c>
      <c r="B2880" s="390" t="n"/>
      <c r="C2880" s="390" t="inlineStr">
        <is>
          <t>Báo cáo thường niên</t>
        </is>
      </c>
      <c r="D2880" s="390" t="inlineStr">
        <is>
          <t>Tình hình hoạt động trong năm &gt;&gt; Tình hình thay đổi vốn đầu tư của chủ sở hữu &gt;&gt; Thời điểm thay đổi vốn đầu tư của chủ sở hữu</t>
        </is>
      </c>
      <c r="E2880" s="390" t="inlineStr">
        <is>
          <t>Thời điểm thay đổi vốn đầu tư của chủ sở hữu</t>
        </is>
      </c>
      <c r="F2880" s="390" t="inlineStr">
        <is>
          <t>Data Explorer</t>
        </is>
      </c>
      <c r="G2880" s="390" t="inlineStr">
        <is>
          <t>Chỉ tiêu cơ sở</t>
        </is>
      </c>
      <c r="H2880" s="390" t="inlineStr">
        <is>
          <t>TB</t>
        </is>
      </c>
      <c r="I2880" s="390" t="inlineStr">
        <is>
          <t>Ngày, CTCK</t>
        </is>
      </c>
      <c r="J2880" s="401" t="inlineStr">
        <is>
          <t>SCMS</t>
        </is>
      </c>
      <c r="K2880" s="401" t="n"/>
      <c r="L2880" s="401" t="inlineStr">
        <is>
          <t>X</t>
        </is>
      </c>
      <c r="M2880" s="401" t="n"/>
      <c r="N2880" s="401" t="inlineStr">
        <is>
          <t>Done</t>
        </is>
      </c>
      <c r="O2880" s="401" t="n"/>
      <c r="P2880" s="22" t="n"/>
      <c r="Q2880" s="401" t="n"/>
      <c r="R2880" s="401" t="n"/>
      <c r="S2880" s="22" t="n"/>
      <c r="U2880" s="390" t="inlineStr">
        <is>
          <t>Dựa vào text để lấy dữ liệu</t>
        </is>
      </c>
      <c r="V2880" s="22" t="n"/>
      <c r="W2880" s="22" t="n"/>
      <c r="X2880" s="22" t="n"/>
      <c r="Y2880" s="395" t="n"/>
      <c r="Z2880" s="22" t="n"/>
      <c r="AA2880" s="22" t="n"/>
      <c r="AB2880" s="22" t="n"/>
      <c r="AC2880" s="22" t="n"/>
      <c r="AD2880" s="22" t="n"/>
      <c r="AE2880" s="22" t="n"/>
    </row>
    <row r="2881" ht="84" customHeight="1" s="380">
      <c r="A2881" s="146" t="n">
        <v>118</v>
      </c>
      <c r="B2881" s="390" t="n"/>
      <c r="C2881" s="390" t="inlineStr">
        <is>
          <t>Báo cáo thường niên</t>
        </is>
      </c>
      <c r="D2881" s="390" t="inlineStr">
        <is>
          <t>Tình hình hoạt động trong năm &gt;&gt; Tình hình thay đổi vốn đầu tư của chủ sở hữu &gt;&gt; Giá trị thay đổi vốn đầu tư của chủ sở hữu</t>
        </is>
      </c>
      <c r="E2881" s="390" t="inlineStr">
        <is>
          <t>Giá trị thay đổi vốn đầu tư của chủ sở hữu</t>
        </is>
      </c>
      <c r="F2881" s="390" t="inlineStr">
        <is>
          <t>Data Explorer</t>
        </is>
      </c>
      <c r="G2881" s="390" t="inlineStr">
        <is>
          <t>Chỉ tiêu cơ sở</t>
        </is>
      </c>
      <c r="H2881" s="390" t="inlineStr">
        <is>
          <t>TB</t>
        </is>
      </c>
      <c r="I2881" s="390" t="inlineStr">
        <is>
          <t>Ngày, CTCK</t>
        </is>
      </c>
      <c r="J2881" s="401" t="inlineStr">
        <is>
          <t>SCMS</t>
        </is>
      </c>
      <c r="K2881" s="401" t="n"/>
      <c r="L2881" s="401" t="inlineStr">
        <is>
          <t>X</t>
        </is>
      </c>
      <c r="M2881" s="401" t="n"/>
      <c r="N2881" s="401" t="inlineStr">
        <is>
          <t>Done</t>
        </is>
      </c>
      <c r="O2881" s="401" t="n"/>
      <c r="P2881" s="22" t="n"/>
      <c r="Q2881" s="401" t="n"/>
      <c r="R2881" s="401" t="n"/>
      <c r="S2881" s="22" t="n"/>
      <c r="U2881" s="390" t="inlineStr">
        <is>
          <t>Dựa vào text để lấy dữ liệu</t>
        </is>
      </c>
      <c r="V2881" s="22" t="n"/>
      <c r="W2881" s="22" t="n"/>
      <c r="X2881" s="22" t="n"/>
      <c r="Y2881" s="395" t="n"/>
      <c r="Z2881" s="22" t="n"/>
      <c r="AA2881" s="22" t="n"/>
      <c r="AB2881" s="22" t="n"/>
      <c r="AC2881" s="22" t="n"/>
      <c r="AD2881" s="22" t="n"/>
      <c r="AE2881" s="22" t="n"/>
    </row>
    <row r="2882" ht="70" customHeight="1" s="380">
      <c r="A2882" s="146" t="n">
        <v>118</v>
      </c>
      <c r="B2882" s="390" t="n"/>
      <c r="C2882" s="390" t="inlineStr">
        <is>
          <t>Báo cáo thường niên</t>
        </is>
      </c>
      <c r="D2882" s="390" t="inlineStr">
        <is>
          <t>Tình hình hoạt động trong năm &gt;&gt; Tình hình thay đổi vốn đầu tư của chủ sở hữu &gt;&gt; Hình thức thay đổi vốn</t>
        </is>
      </c>
      <c r="E2882" s="390" t="inlineStr">
        <is>
          <t>Hình thức thay đổi vốn đầu tư của chủ sở hữu</t>
        </is>
      </c>
      <c r="F2882" s="390" t="inlineStr">
        <is>
          <t>Data Explorer</t>
        </is>
      </c>
      <c r="G2882" s="390" t="inlineStr">
        <is>
          <t>Chỉ tiêu cơ sở</t>
        </is>
      </c>
      <c r="H2882" s="390" t="inlineStr">
        <is>
          <t>TB</t>
        </is>
      </c>
      <c r="I2882" s="390" t="inlineStr">
        <is>
          <t>Ngày, CTCK</t>
        </is>
      </c>
      <c r="J2882" s="401" t="inlineStr">
        <is>
          <t>SCMS</t>
        </is>
      </c>
      <c r="K2882" s="401" t="n"/>
      <c r="L2882" s="401" t="inlineStr">
        <is>
          <t>X</t>
        </is>
      </c>
      <c r="M2882" s="401" t="n"/>
      <c r="N2882" s="401" t="inlineStr">
        <is>
          <t>Done</t>
        </is>
      </c>
      <c r="O2882" s="401" t="n"/>
      <c r="P2882" s="22" t="n"/>
      <c r="Q2882" s="401" t="n"/>
      <c r="R2882" s="401" t="n"/>
      <c r="S2882" s="22" t="n"/>
      <c r="U2882" s="390" t="inlineStr">
        <is>
          <t>Dựa vào text để lấy dữ liệu</t>
        </is>
      </c>
      <c r="V2882" s="22" t="n"/>
      <c r="W2882" s="22" t="n"/>
      <c r="X2882" s="22" t="n"/>
      <c r="Y2882" s="395" t="n"/>
      <c r="Z2882" s="22" t="n"/>
      <c r="AA2882" s="22" t="n"/>
      <c r="AB2882" s="22" t="n"/>
      <c r="AC2882" s="22" t="n"/>
      <c r="AD2882" s="22" t="n"/>
      <c r="AE2882" s="22" t="n"/>
    </row>
    <row r="2883" ht="70" customHeight="1" s="380">
      <c r="A2883" s="146" t="n">
        <v>118</v>
      </c>
      <c r="B2883" s="390" t="n"/>
      <c r="C2883" s="390" t="inlineStr">
        <is>
          <t>Báo cáo thường niên</t>
        </is>
      </c>
      <c r="D2883" s="390" t="inlineStr">
        <is>
          <t>Tình hình hoạt động trong năm &gt;&gt; Tình hình thay đổi vốn đầu tư của chủ sở hữu &gt;&gt; Đơn vị cấp</t>
        </is>
      </c>
      <c r="E2883" s="390" t="inlineStr">
        <is>
          <t>Đơn vị cấp</t>
        </is>
      </c>
      <c r="F2883" s="390" t="inlineStr">
        <is>
          <t>Data Explorer</t>
        </is>
      </c>
      <c r="G2883" s="390" t="inlineStr">
        <is>
          <t>Chỉ tiêu cơ sở</t>
        </is>
      </c>
      <c r="H2883" s="390" t="inlineStr">
        <is>
          <t>TB</t>
        </is>
      </c>
      <c r="I2883" s="390" t="inlineStr">
        <is>
          <t>Ngày, CTCK</t>
        </is>
      </c>
      <c r="J2883" s="401" t="inlineStr">
        <is>
          <t>SCMS</t>
        </is>
      </c>
      <c r="K2883" s="401" t="n"/>
      <c r="L2883" s="401" t="inlineStr">
        <is>
          <t>X</t>
        </is>
      </c>
      <c r="M2883" s="401" t="n"/>
      <c r="N2883" s="401" t="inlineStr">
        <is>
          <t>Done</t>
        </is>
      </c>
      <c r="O2883" s="401" t="n"/>
      <c r="P2883" s="22" t="n"/>
      <c r="Q2883" s="401" t="n"/>
      <c r="R2883" s="401" t="n"/>
      <c r="S2883" s="22" t="n"/>
      <c r="U2883" s="390" t="inlineStr">
        <is>
          <t>Dựa vào text để lấy dữ liệu</t>
        </is>
      </c>
      <c r="V2883" s="22" t="n"/>
      <c r="W2883" s="22" t="n"/>
      <c r="X2883" s="22" t="n"/>
      <c r="Y2883" s="395" t="n"/>
      <c r="Z2883" s="22" t="n"/>
      <c r="AA2883" s="22" t="n"/>
      <c r="AB2883" s="22" t="n"/>
      <c r="AC2883" s="22" t="n"/>
      <c r="AD2883" s="22" t="n"/>
      <c r="AE2883" s="22" t="n"/>
    </row>
    <row r="2884" ht="70" customHeight="1" s="380">
      <c r="A2884" s="146" t="n">
        <v>118</v>
      </c>
      <c r="B2884" s="390" t="n"/>
      <c r="C2884" s="390" t="inlineStr">
        <is>
          <t>Báo cáo thường niên</t>
        </is>
      </c>
      <c r="D2884" s="390" t="inlineStr">
        <is>
          <t>Tình hình hoạt động trong năm &gt;&gt; Giao dịch cổ phiếu quỹ &gt;&gt; Số lượng cổ phiếu quỹ hiện tại</t>
        </is>
      </c>
      <c r="E2884" s="390" t="inlineStr">
        <is>
          <t>Số lượng cổ phiếu quỹ hiện tại</t>
        </is>
      </c>
      <c r="F2884" s="390" t="inlineStr">
        <is>
          <t>Data Explorer</t>
        </is>
      </c>
      <c r="G2884" s="390" t="inlineStr">
        <is>
          <t>Chỉ tiêu cơ sở</t>
        </is>
      </c>
      <c r="H2884" s="390" t="inlineStr">
        <is>
          <t>TB</t>
        </is>
      </c>
      <c r="I2884" s="390" t="inlineStr">
        <is>
          <t>Ngày, CTCK</t>
        </is>
      </c>
      <c r="J2884" s="401" t="inlineStr">
        <is>
          <t>SCMS</t>
        </is>
      </c>
      <c r="K2884" s="401" t="n"/>
      <c r="L2884" s="401" t="inlineStr">
        <is>
          <t>X</t>
        </is>
      </c>
      <c r="M2884" s="401" t="n"/>
      <c r="N2884" s="401" t="inlineStr">
        <is>
          <t>Done</t>
        </is>
      </c>
      <c r="O2884" s="401" t="n"/>
      <c r="P2884" s="22" t="n"/>
      <c r="Q2884" s="401" t="n"/>
      <c r="R2884" s="401" t="n"/>
      <c r="S2884" s="22" t="n"/>
      <c r="U2884" s="390" t="inlineStr">
        <is>
          <t>Dựa vào text để lấy dữ liệu</t>
        </is>
      </c>
      <c r="V2884" s="22" t="n"/>
      <c r="W2884" s="22" t="n"/>
      <c r="X2884" s="22" t="n"/>
      <c r="Y2884" s="395" t="n"/>
      <c r="Z2884" s="22" t="n"/>
      <c r="AA2884" s="22" t="n"/>
      <c r="AB2884" s="22" t="n"/>
      <c r="AC2884" s="22" t="n"/>
      <c r="AD2884" s="22" t="n"/>
      <c r="AE2884" s="22" t="n"/>
    </row>
    <row r="2885" ht="70" customHeight="1" s="380">
      <c r="A2885" s="146" t="n">
        <v>118</v>
      </c>
      <c r="B2885" s="390" t="n"/>
      <c r="C2885" s="390" t="inlineStr">
        <is>
          <t>Báo cáo thường niên</t>
        </is>
      </c>
      <c r="D2885" s="390" t="inlineStr">
        <is>
          <t>Tình hình hoạt động trong năm &gt;&gt; Giao dịch cổ phiếu quỹ &gt;&gt; Thời điểm thực hiện giao dịch cổ phiếu quỹ</t>
        </is>
      </c>
      <c r="E2885" s="390" t="inlineStr">
        <is>
          <t>Thời điểm thực hiện giao dịch cổ phiếu quỹ</t>
        </is>
      </c>
      <c r="F2885" s="390" t="inlineStr">
        <is>
          <t>Data Explorer</t>
        </is>
      </c>
      <c r="G2885" s="390" t="inlineStr">
        <is>
          <t>Chỉ tiêu cơ sở</t>
        </is>
      </c>
      <c r="H2885" s="390" t="inlineStr">
        <is>
          <t>TB</t>
        </is>
      </c>
      <c r="I2885" s="390" t="inlineStr">
        <is>
          <t>Ngày, CTCK</t>
        </is>
      </c>
      <c r="J2885" s="401" t="inlineStr">
        <is>
          <t>SCMS</t>
        </is>
      </c>
      <c r="K2885" s="401" t="n"/>
      <c r="L2885" s="401" t="inlineStr">
        <is>
          <t>X</t>
        </is>
      </c>
      <c r="M2885" s="401" t="n"/>
      <c r="N2885" s="401" t="inlineStr">
        <is>
          <t>Done</t>
        </is>
      </c>
      <c r="O2885" s="401" t="n"/>
      <c r="P2885" s="22" t="n"/>
      <c r="Q2885" s="401" t="n"/>
      <c r="R2885" s="401" t="n"/>
      <c r="S2885" s="22" t="n"/>
      <c r="U2885" s="390" t="inlineStr">
        <is>
          <t>Dựa vào text để lấy dữ liệu</t>
        </is>
      </c>
      <c r="V2885" s="22" t="n"/>
      <c r="W2885" s="22" t="n"/>
      <c r="X2885" s="22" t="n"/>
      <c r="Y2885" s="395" t="n"/>
      <c r="Z2885" s="22" t="n"/>
      <c r="AA2885" s="22" t="n"/>
      <c r="AB2885" s="22" t="n"/>
      <c r="AC2885" s="22" t="n"/>
      <c r="AD2885" s="22" t="n"/>
      <c r="AE2885" s="22" t="n"/>
    </row>
    <row r="2886" ht="56" customHeight="1" s="380">
      <c r="A2886" s="146" t="n">
        <v>118</v>
      </c>
      <c r="B2886" s="390" t="n"/>
      <c r="C2886" s="390" t="inlineStr">
        <is>
          <t>Báo cáo thường niên</t>
        </is>
      </c>
      <c r="D2886" s="390" t="inlineStr">
        <is>
          <t>Tình hình hoạt động trong năm &gt;&gt; Giao dịch cổ phiếu quỹ &gt;&gt; Giá giao dịch cổ phiếu quỹ</t>
        </is>
      </c>
      <c r="E2886" s="390" t="inlineStr">
        <is>
          <t>Giá giao dịch cổ phiếu quỹ</t>
        </is>
      </c>
      <c r="F2886" s="390" t="inlineStr">
        <is>
          <t>Data Explorer</t>
        </is>
      </c>
      <c r="G2886" s="390" t="inlineStr">
        <is>
          <t>Chỉ tiêu cơ sở</t>
        </is>
      </c>
      <c r="H2886" s="390" t="inlineStr">
        <is>
          <t>TB</t>
        </is>
      </c>
      <c r="I2886" s="390" t="inlineStr">
        <is>
          <t>Ngày, CTCK</t>
        </is>
      </c>
      <c r="J2886" s="401" t="inlineStr">
        <is>
          <t>SCMS</t>
        </is>
      </c>
      <c r="K2886" s="401" t="n"/>
      <c r="L2886" s="401" t="inlineStr">
        <is>
          <t>X</t>
        </is>
      </c>
      <c r="M2886" s="401" t="n"/>
      <c r="N2886" s="401" t="inlineStr">
        <is>
          <t>Done</t>
        </is>
      </c>
      <c r="O2886" s="401" t="n"/>
      <c r="P2886" s="22" t="n"/>
      <c r="Q2886" s="401" t="n"/>
      <c r="R2886" s="401" t="n"/>
      <c r="S2886" s="22" t="n"/>
      <c r="U2886" s="390" t="inlineStr">
        <is>
          <t>Dựa vào text để lấy dữ liệu</t>
        </is>
      </c>
      <c r="V2886" s="22" t="n"/>
      <c r="W2886" s="22" t="n"/>
      <c r="X2886" s="22" t="n"/>
      <c r="Y2886" s="395" t="n"/>
      <c r="Z2886" s="22" t="n"/>
      <c r="AA2886" s="22" t="n"/>
      <c r="AB2886" s="22" t="n"/>
      <c r="AC2886" s="22" t="n"/>
      <c r="AD2886" s="22" t="n"/>
      <c r="AE2886" s="22" t="n"/>
    </row>
    <row r="2887" ht="70" customHeight="1" s="380">
      <c r="A2887" s="146" t="n">
        <v>118</v>
      </c>
      <c r="B2887" s="390" t="n"/>
      <c r="C2887" s="390" t="inlineStr">
        <is>
          <t>Báo cáo thường niên</t>
        </is>
      </c>
      <c r="D2887" s="390" t="inlineStr">
        <is>
          <t>Tình hình hoạt động trong năm &gt;&gt; Giao dịch cổ phiếu quỹ &gt;&gt; Đối tượng giao dịch cổ phiếu quỹ</t>
        </is>
      </c>
      <c r="E2887" s="390" t="inlineStr">
        <is>
          <t>Đối tượng giao dịch cổ phiếu quỹ</t>
        </is>
      </c>
      <c r="F2887" s="390" t="inlineStr">
        <is>
          <t>Data Explorer</t>
        </is>
      </c>
      <c r="G2887" s="390" t="inlineStr">
        <is>
          <t>Chỉ tiêu cơ sở</t>
        </is>
      </c>
      <c r="H2887" s="390" t="inlineStr">
        <is>
          <t>TB</t>
        </is>
      </c>
      <c r="I2887" s="390" t="inlineStr">
        <is>
          <t>Ngày, CTCK</t>
        </is>
      </c>
      <c r="J2887" s="401" t="inlineStr">
        <is>
          <t>SCMS</t>
        </is>
      </c>
      <c r="K2887" s="401" t="n"/>
      <c r="L2887" s="401" t="inlineStr">
        <is>
          <t>X</t>
        </is>
      </c>
      <c r="M2887" s="401" t="n"/>
      <c r="N2887" s="401" t="inlineStr">
        <is>
          <t>Done</t>
        </is>
      </c>
      <c r="O2887" s="401" t="n"/>
      <c r="P2887" s="22" t="n"/>
      <c r="Q2887" s="401" t="n"/>
      <c r="R2887" s="401" t="n"/>
      <c r="S2887" s="22" t="n"/>
      <c r="U2887" s="390" t="inlineStr">
        <is>
          <t>Dựa vào text để lấy dữ liệu</t>
        </is>
      </c>
      <c r="V2887" s="22" t="n"/>
      <c r="W2887" s="22" t="n"/>
      <c r="X2887" s="22" t="n"/>
      <c r="Y2887" s="395" t="n"/>
      <c r="Z2887" s="22" t="n"/>
      <c r="AA2887" s="22" t="n"/>
      <c r="AB2887" s="22" t="n"/>
      <c r="AC2887" s="22" t="n"/>
      <c r="AD2887" s="22" t="n"/>
      <c r="AE2887" s="22" t="n"/>
    </row>
    <row r="2888" ht="70" customHeight="1" s="380">
      <c r="A2888" s="146" t="n">
        <v>118</v>
      </c>
      <c r="B2888" s="390" t="n"/>
      <c r="C2888" s="390" t="inlineStr">
        <is>
          <t>Báo cáo thường niên</t>
        </is>
      </c>
      <c r="D2888" s="390" t="inlineStr">
        <is>
          <t>Tình hình hoạt động trong năm &gt;&gt; Các chứng khoán khác &gt;&gt; Thời điểm phát hành chứng khoán khác</t>
        </is>
      </c>
      <c r="E2888" s="390" t="inlineStr">
        <is>
          <t>Thời điểm phát hành chứng khoán khác</t>
        </is>
      </c>
      <c r="F2888" s="390" t="inlineStr">
        <is>
          <t>Data Explorer</t>
        </is>
      </c>
      <c r="G2888" s="390" t="inlineStr">
        <is>
          <t>Chỉ tiêu cơ sở</t>
        </is>
      </c>
      <c r="H2888" s="390" t="inlineStr">
        <is>
          <t>TB</t>
        </is>
      </c>
      <c r="I2888" s="390" t="inlineStr">
        <is>
          <t>Ngày, CTCK</t>
        </is>
      </c>
      <c r="J2888" s="401" t="inlineStr">
        <is>
          <t>SCMS</t>
        </is>
      </c>
      <c r="K2888" s="401" t="n"/>
      <c r="L2888" s="401" t="inlineStr">
        <is>
          <t>X</t>
        </is>
      </c>
      <c r="M2888" s="401" t="n"/>
      <c r="N2888" s="401" t="inlineStr">
        <is>
          <t>Done</t>
        </is>
      </c>
      <c r="O2888" s="401" t="n"/>
      <c r="P2888" s="22" t="n"/>
      <c r="Q2888" s="401" t="n"/>
      <c r="R2888" s="401" t="n"/>
      <c r="S2888" s="22" t="n"/>
      <c r="U2888" s="390" t="inlineStr">
        <is>
          <t>Dựa vào text để lấy dữ liệu</t>
        </is>
      </c>
      <c r="V2888" s="22" t="n"/>
      <c r="W2888" s="22" t="n"/>
      <c r="X2888" s="22" t="n"/>
      <c r="Y2888" s="395" t="n"/>
      <c r="Z2888" s="22" t="n"/>
      <c r="AA2888" s="22" t="n"/>
      <c r="AB2888" s="22" t="n"/>
      <c r="AC2888" s="22" t="n"/>
      <c r="AD2888" s="22" t="n"/>
      <c r="AE2888" s="22" t="n"/>
    </row>
    <row r="2889" ht="56" customHeight="1" s="380">
      <c r="A2889" s="146" t="n">
        <v>118</v>
      </c>
      <c r="B2889" s="390" t="n"/>
      <c r="C2889" s="390" t="inlineStr">
        <is>
          <t>Báo cáo thường niên</t>
        </is>
      </c>
      <c r="D2889" s="390" t="inlineStr">
        <is>
          <t>Tình hình hoạt động trong năm &gt;&gt; Các chứng khoán khác &gt;&gt; Số lượng chứng khoán khác</t>
        </is>
      </c>
      <c r="E2889" s="390" t="inlineStr">
        <is>
          <t>Số lượng chứng khoán khác</t>
        </is>
      </c>
      <c r="F2889" s="390" t="inlineStr">
        <is>
          <t>Data Explorer</t>
        </is>
      </c>
      <c r="G2889" s="390" t="inlineStr">
        <is>
          <t>Chỉ tiêu cơ sở</t>
        </is>
      </c>
      <c r="H2889" s="390" t="inlineStr">
        <is>
          <t>TB</t>
        </is>
      </c>
      <c r="I2889" s="390" t="inlineStr">
        <is>
          <t>Ngày, CTCK</t>
        </is>
      </c>
      <c r="J2889" s="401" t="inlineStr">
        <is>
          <t>SCMS</t>
        </is>
      </c>
      <c r="K2889" s="401" t="n"/>
      <c r="L2889" s="401" t="inlineStr">
        <is>
          <t>X</t>
        </is>
      </c>
      <c r="M2889" s="401" t="n"/>
      <c r="N2889" s="401" t="inlineStr">
        <is>
          <t>Done</t>
        </is>
      </c>
      <c r="O2889" s="401" t="n"/>
      <c r="P2889" s="22" t="n"/>
      <c r="Q2889" s="401" t="n"/>
      <c r="R2889" s="401" t="n"/>
      <c r="S2889" s="22" t="n"/>
      <c r="U2889" s="390" t="inlineStr">
        <is>
          <t>Dựa vào text để lấy dữ liệu</t>
        </is>
      </c>
      <c r="V2889" s="22" t="n"/>
      <c r="W2889" s="22" t="n"/>
      <c r="X2889" s="22" t="n"/>
      <c r="Y2889" s="36" t="n"/>
      <c r="Z2889" s="22" t="n"/>
      <c r="AA2889" s="22" t="n"/>
      <c r="AB2889" s="22" t="n"/>
      <c r="AC2889" s="22" t="n"/>
      <c r="AD2889" s="22" t="n"/>
      <c r="AE2889" s="22" t="n"/>
    </row>
    <row r="2890" ht="56" customHeight="1" s="380">
      <c r="A2890" s="146" t="n">
        <v>118</v>
      </c>
      <c r="B2890" s="390" t="n"/>
      <c r="C2890" s="390" t="inlineStr">
        <is>
          <t>Báo cáo thường niên</t>
        </is>
      </c>
      <c r="D2890" s="390" t="inlineStr">
        <is>
          <t>Tình hình hoạt động trong năm &gt;&gt; Các chứng khoán khác &gt;&gt; Đặc điểm loại chứng khoán khác</t>
        </is>
      </c>
      <c r="E2890" s="390" t="inlineStr">
        <is>
          <t>Đặc điểm loại chứng khoán khác hiện đang lưu hành</t>
        </is>
      </c>
      <c r="F2890" s="390" t="inlineStr">
        <is>
          <t>Data Explorer</t>
        </is>
      </c>
      <c r="G2890" s="390" t="inlineStr">
        <is>
          <t>Chỉ tiêu cơ sở</t>
        </is>
      </c>
      <c r="H2890" s="390" t="inlineStr">
        <is>
          <t>TB</t>
        </is>
      </c>
      <c r="I2890" s="390" t="inlineStr">
        <is>
          <t>Ngày, CTCK</t>
        </is>
      </c>
      <c r="J2890" s="401" t="inlineStr">
        <is>
          <t>SCMS</t>
        </is>
      </c>
      <c r="K2890" s="401" t="n"/>
      <c r="L2890" s="401" t="inlineStr">
        <is>
          <t>X</t>
        </is>
      </c>
      <c r="M2890" s="401" t="n"/>
      <c r="N2890" s="401" t="inlineStr">
        <is>
          <t>Done</t>
        </is>
      </c>
      <c r="O2890" s="401" t="n"/>
      <c r="P2890" s="22" t="n"/>
      <c r="Q2890" s="401" t="n"/>
      <c r="R2890" s="401" t="n"/>
      <c r="S2890" s="22" t="n"/>
      <c r="U2890" s="390" t="inlineStr">
        <is>
          <t>Dựa vào text để lấy dữ liệu</t>
        </is>
      </c>
      <c r="V2890" s="22" t="n"/>
      <c r="W2890" s="22" t="n"/>
      <c r="X2890" s="22" t="n"/>
      <c r="Y2890" s="395" t="n"/>
      <c r="Z2890" s="22" t="n"/>
      <c r="AA2890" s="22" t="n"/>
      <c r="AB2890" s="22" t="n"/>
      <c r="AC2890" s="22" t="n"/>
      <c r="AD2890" s="22" t="n"/>
      <c r="AE2890" s="22" t="n"/>
    </row>
    <row r="2891" ht="56" customHeight="1" s="380">
      <c r="A2891" s="146" t="n">
        <v>118</v>
      </c>
      <c r="B2891" s="390" t="n"/>
      <c r="C2891" s="390" t="inlineStr">
        <is>
          <t>Báo cáo thường niên</t>
        </is>
      </c>
      <c r="D2891" s="82" t="inlineStr">
        <is>
          <t>Tình hình hoạt động trong năm &gt;&gt; Các chứng khoán khác &gt;&gt; Cam kết chưa thực hiện</t>
        </is>
      </c>
      <c r="E2891" s="82" t="inlineStr">
        <is>
          <t>Cam kết chưa thực hiện của công ty với cá nhân, tổ chức khác liên quan đến việc phát hành chứng khoán</t>
        </is>
      </c>
      <c r="F2891" s="390" t="inlineStr">
        <is>
          <t>Data Explorer</t>
        </is>
      </c>
      <c r="G2891" s="390" t="inlineStr">
        <is>
          <t>Chỉ tiêu cơ sở</t>
        </is>
      </c>
      <c r="H2891" s="390" t="inlineStr">
        <is>
          <t>TB</t>
        </is>
      </c>
      <c r="I2891" s="390" t="inlineStr">
        <is>
          <t>Ngày, CTCK</t>
        </is>
      </c>
      <c r="J2891" s="401" t="inlineStr">
        <is>
          <t>SCMS</t>
        </is>
      </c>
      <c r="K2891" s="401" t="n"/>
      <c r="L2891" s="401" t="inlineStr">
        <is>
          <t>X</t>
        </is>
      </c>
      <c r="M2891" s="401" t="n"/>
      <c r="N2891" s="401" t="inlineStr">
        <is>
          <t>Done</t>
        </is>
      </c>
      <c r="O2891" s="401" t="n"/>
      <c r="P2891" s="22" t="n"/>
      <c r="Q2891" s="401" t="n"/>
      <c r="R2891" s="401" t="n"/>
      <c r="S2891" s="22" t="n"/>
      <c r="U2891" s="390" t="inlineStr">
        <is>
          <t>Dựa vào text để lấy dữ liệu</t>
        </is>
      </c>
      <c r="V2891" s="22" t="n"/>
      <c r="W2891" s="22" t="n"/>
      <c r="X2891" s="22" t="n"/>
      <c r="Y2891" s="395" t="n"/>
      <c r="Z2891" s="22" t="n"/>
      <c r="AA2891" s="22" t="n"/>
      <c r="AB2891" s="22" t="n"/>
      <c r="AC2891" s="22" t="n"/>
      <c r="AD2891" s="22" t="n"/>
      <c r="AE2891" s="22" t="n"/>
    </row>
    <row r="2892" ht="56" customHeight="1" s="380">
      <c r="A2892" s="146" t="n">
        <v>118</v>
      </c>
      <c r="B2892" s="390" t="n"/>
      <c r="C2892" s="390" t="inlineStr">
        <is>
          <t>Báo cáo thường niên</t>
        </is>
      </c>
      <c r="D2892" s="390" t="inlineStr">
        <is>
          <t>Quản trị công ty &gt;&gt; Thành viên và cơ cấu của Hội đồng quản trị &gt;&gt; Họ và tên</t>
        </is>
      </c>
      <c r="E2892" s="390" t="inlineStr">
        <is>
          <t>Họ và tên thành viên Hội đồng quản trị</t>
        </is>
      </c>
      <c r="F2892" s="390" t="inlineStr">
        <is>
          <t>Data Explorer</t>
        </is>
      </c>
      <c r="G2892" s="390" t="inlineStr">
        <is>
          <t>Chỉ tiêu cơ sở</t>
        </is>
      </c>
      <c r="H2892" s="390" t="inlineStr">
        <is>
          <t>Dễ</t>
        </is>
      </c>
      <c r="I2892" s="390" t="inlineStr">
        <is>
          <t>Ngày, CTCK</t>
        </is>
      </c>
      <c r="J2892" s="401" t="inlineStr">
        <is>
          <t>SCMS</t>
        </is>
      </c>
      <c r="K2892" s="401" t="n"/>
      <c r="L2892" s="401" t="inlineStr">
        <is>
          <t>X</t>
        </is>
      </c>
      <c r="M2892" s="401" t="n"/>
      <c r="N2892" s="401" t="inlineStr">
        <is>
          <t>Done</t>
        </is>
      </c>
      <c r="O2892" s="401" t="n"/>
      <c r="P2892" s="22" t="n"/>
      <c r="Q2892" s="401" t="n"/>
      <c r="R2892" s="401" t="n"/>
      <c r="S2892" s="22" t="n"/>
      <c r="U2892" s="390" t="n"/>
      <c r="V2892" s="22" t="n"/>
      <c r="W2892" s="22" t="n"/>
      <c r="X2892" s="22" t="n"/>
      <c r="Y2892" s="37" t="n"/>
      <c r="Z2892" s="22" t="n"/>
      <c r="AA2892" s="22" t="n"/>
      <c r="AB2892" s="22" t="n"/>
      <c r="AC2892" s="22" t="n"/>
      <c r="AD2892" s="22" t="n"/>
      <c r="AE2892" s="22" t="n"/>
    </row>
    <row r="2893" ht="56" customHeight="1" s="380">
      <c r="A2893" s="146" t="n">
        <v>118</v>
      </c>
      <c r="B2893" s="390" t="n"/>
      <c r="C2893" s="390" t="inlineStr">
        <is>
          <t>Báo cáo thường niên</t>
        </is>
      </c>
      <c r="D2893" s="390" t="inlineStr">
        <is>
          <t>Quản trị công ty &gt;&gt; Thành viên và cơ cấu của Hội đồng quản trị &gt;&gt; Chức danh</t>
        </is>
      </c>
      <c r="E2893" s="390" t="inlineStr">
        <is>
          <t>Chức danh thành viên Hội đồng quản trị</t>
        </is>
      </c>
      <c r="F2893" s="390" t="inlineStr">
        <is>
          <t>Data Explorer</t>
        </is>
      </c>
      <c r="G2893" s="390" t="inlineStr">
        <is>
          <t>Chỉ tiêu cơ sở</t>
        </is>
      </c>
      <c r="H2893" s="390" t="inlineStr">
        <is>
          <t>Dễ</t>
        </is>
      </c>
      <c r="I2893" s="390" t="inlineStr">
        <is>
          <t>Ngày, CTCK</t>
        </is>
      </c>
      <c r="J2893" s="401" t="inlineStr">
        <is>
          <t>SCMS</t>
        </is>
      </c>
      <c r="K2893" s="401" t="n"/>
      <c r="L2893" s="401" t="inlineStr">
        <is>
          <t>X</t>
        </is>
      </c>
      <c r="M2893" s="401" t="n"/>
      <c r="N2893" s="401" t="inlineStr">
        <is>
          <t>Done</t>
        </is>
      </c>
      <c r="O2893" s="401" t="n"/>
      <c r="P2893" s="22" t="n"/>
      <c r="Q2893" s="401" t="n"/>
      <c r="R2893" s="401" t="n"/>
      <c r="S2893" s="22" t="n"/>
      <c r="U2893" s="390" t="n"/>
      <c r="V2893" s="22" t="n"/>
      <c r="W2893" s="22" t="n"/>
      <c r="X2893" s="22" t="n"/>
      <c r="Y2893" s="395" t="n"/>
      <c r="Z2893" s="22" t="n"/>
      <c r="AA2893" s="22" t="n"/>
      <c r="AB2893" s="22" t="n"/>
      <c r="AC2893" s="22" t="n"/>
      <c r="AD2893" s="22" t="n"/>
      <c r="AE2893" s="22" t="n"/>
    </row>
    <row r="2894" ht="70" customHeight="1" s="380">
      <c r="A2894" s="146" t="n">
        <v>118</v>
      </c>
      <c r="B2894" s="390" t="n"/>
      <c r="C2894" s="390" t="inlineStr">
        <is>
          <t>Báo cáo thường niên</t>
        </is>
      </c>
      <c r="D2894" s="390" t="inlineStr">
        <is>
          <t>Quản trị công ty &gt;&gt; Thành viên và cơ cấu của Hội đồng quản trị &gt;&gt; Tỷ lệ sở hữu cổ phần có quyền biểu quyết</t>
        </is>
      </c>
      <c r="E2894" s="390" t="inlineStr">
        <is>
          <t>Tỷ lệ sở hữu cổ phần có quyền biểu quyết thành viên Hội đồng quản trị</t>
        </is>
      </c>
      <c r="F2894" s="390" t="inlineStr">
        <is>
          <t>Data Explorer</t>
        </is>
      </c>
      <c r="G2894" s="390" t="inlineStr">
        <is>
          <t>Chỉ tiêu cơ sở</t>
        </is>
      </c>
      <c r="H2894" s="390" t="inlineStr">
        <is>
          <t>TB</t>
        </is>
      </c>
      <c r="I2894" s="390" t="inlineStr">
        <is>
          <t>Ngày, CTCK</t>
        </is>
      </c>
      <c r="J2894" s="401" t="inlineStr">
        <is>
          <t>SCMS</t>
        </is>
      </c>
      <c r="K2894" s="401" t="n"/>
      <c r="L2894" s="401" t="inlineStr">
        <is>
          <t>X</t>
        </is>
      </c>
      <c r="M2894" s="401" t="n"/>
      <c r="N2894" s="401" t="inlineStr">
        <is>
          <t>Done</t>
        </is>
      </c>
      <c r="O2894" s="401" t="n"/>
      <c r="P2894" s="22" t="n"/>
      <c r="Q2894" s="401" t="n"/>
      <c r="R2894" s="401" t="n"/>
      <c r="S2894" s="22" t="n"/>
      <c r="U2894" s="390" t="n"/>
      <c r="V2894" s="22" t="n"/>
      <c r="W2894" s="22" t="n"/>
      <c r="X2894" s="22" t="n"/>
      <c r="Y2894" s="395" t="n"/>
      <c r="Z2894" s="22" t="n"/>
      <c r="AA2894" s="22" t="n"/>
      <c r="AB2894" s="22" t="n"/>
      <c r="AC2894" s="22" t="n"/>
      <c r="AD2894" s="22" t="n"/>
      <c r="AE2894" s="22" t="n"/>
    </row>
    <row r="2895" ht="56" customHeight="1" s="380">
      <c r="A2895" s="146" t="n">
        <v>118</v>
      </c>
      <c r="B2895" s="390" t="n"/>
      <c r="C2895" s="390" t="inlineStr">
        <is>
          <t>Báo cáo thường niên</t>
        </is>
      </c>
      <c r="D2895" s="390" t="inlineStr">
        <is>
          <t>Quản trị công ty &gt;&gt; Hoạt động của Hội đồng quản trị &gt;&gt; Số lượng các cuộc họp Hội đồng quản trị</t>
        </is>
      </c>
      <c r="E2895" s="390" t="inlineStr">
        <is>
          <t>Số lượng các cuộc họp Hội đồng quản trị</t>
        </is>
      </c>
      <c r="F2895" s="390" t="inlineStr">
        <is>
          <t>Data Explorer</t>
        </is>
      </c>
      <c r="G2895" s="390" t="inlineStr">
        <is>
          <t>Chỉ tiêu cơ sở</t>
        </is>
      </c>
      <c r="H2895" s="390" t="inlineStr">
        <is>
          <t>Dễ</t>
        </is>
      </c>
      <c r="I2895" s="390" t="inlineStr">
        <is>
          <t>Ngày, CTCK</t>
        </is>
      </c>
      <c r="J2895" s="401" t="inlineStr">
        <is>
          <t>SCMS</t>
        </is>
      </c>
      <c r="K2895" s="401" t="n"/>
      <c r="L2895" s="401" t="inlineStr">
        <is>
          <t>X</t>
        </is>
      </c>
      <c r="M2895" s="401" t="n"/>
      <c r="N2895" s="401" t="inlineStr">
        <is>
          <t>Done</t>
        </is>
      </c>
      <c r="O2895" s="401" t="n"/>
      <c r="P2895" s="22" t="n"/>
      <c r="Q2895" s="401" t="n"/>
      <c r="R2895" s="401" t="n"/>
      <c r="S2895" s="22" t="n"/>
      <c r="U2895" s="390" t="inlineStr">
        <is>
          <t>Dựa vào text để lấy dữ liệu</t>
        </is>
      </c>
      <c r="V2895" s="22" t="n"/>
      <c r="W2895" s="22" t="n"/>
      <c r="X2895" s="22" t="n"/>
      <c r="Y2895" s="395" t="n"/>
      <c r="Z2895" s="22" t="n"/>
      <c r="AA2895" s="22" t="n"/>
      <c r="AB2895" s="22" t="n"/>
      <c r="AC2895" s="22" t="n"/>
      <c r="AD2895" s="22" t="n"/>
      <c r="AE2895" s="22" t="n"/>
    </row>
    <row r="2896" ht="56" customHeight="1" s="380">
      <c r="A2896" s="146" t="n">
        <v>118</v>
      </c>
      <c r="B2896" s="390" t="n"/>
      <c r="C2896" s="390" t="inlineStr">
        <is>
          <t>Báo cáo thường niên</t>
        </is>
      </c>
      <c r="D2896" s="390" t="inlineStr">
        <is>
          <t>Quản trị công ty &gt;&gt; Hoạt động của Hội đồng quản trị &gt;&gt; Nội dung cuộc họp Hội đồng quản trị</t>
        </is>
      </c>
      <c r="E2896" s="390" t="inlineStr">
        <is>
          <t>Nội dung cuộc họp Hội đồng quản trị</t>
        </is>
      </c>
      <c r="F2896" s="390" t="inlineStr">
        <is>
          <t>Data Explorer</t>
        </is>
      </c>
      <c r="G2896" s="390" t="inlineStr">
        <is>
          <t>Chỉ tiêu cơ sở</t>
        </is>
      </c>
      <c r="H2896" s="390" t="inlineStr">
        <is>
          <t>Dễ</t>
        </is>
      </c>
      <c r="I2896" s="390" t="inlineStr">
        <is>
          <t>Ngày, CTCK</t>
        </is>
      </c>
      <c r="J2896" s="401" t="inlineStr">
        <is>
          <t>SCMS</t>
        </is>
      </c>
      <c r="K2896" s="401" t="n"/>
      <c r="L2896" s="401" t="inlineStr">
        <is>
          <t>X</t>
        </is>
      </c>
      <c r="M2896" s="401" t="n"/>
      <c r="N2896" s="401" t="inlineStr">
        <is>
          <t>Done</t>
        </is>
      </c>
      <c r="O2896" s="401" t="n"/>
      <c r="P2896" s="22" t="n"/>
      <c r="Q2896" s="401" t="n"/>
      <c r="R2896" s="401" t="n"/>
      <c r="S2896" s="22" t="n"/>
      <c r="U2896" s="390" t="inlineStr">
        <is>
          <t>Dựa vào text để lấy dữ liệu</t>
        </is>
      </c>
      <c r="V2896" s="22" t="n"/>
      <c r="W2896" s="22" t="n"/>
      <c r="X2896" s="22" t="n"/>
      <c r="Y2896" s="395" t="n"/>
      <c r="Z2896" s="22" t="n"/>
      <c r="AA2896" s="22" t="n"/>
      <c r="AB2896" s="22" t="n"/>
      <c r="AC2896" s="22" t="n"/>
      <c r="AD2896" s="22" t="n"/>
      <c r="AE2896" s="22" t="n"/>
    </row>
    <row r="2897" ht="56" customHeight="1" s="380">
      <c r="A2897" s="146" t="n">
        <v>118</v>
      </c>
      <c r="B2897" s="390" t="n"/>
      <c r="C2897" s="390" t="inlineStr">
        <is>
          <t>Báo cáo thường niên</t>
        </is>
      </c>
      <c r="D2897" s="390" t="inlineStr">
        <is>
          <t>Quản trị công ty &gt;&gt; Hoạt động của Hội đồng quản trị &gt;&gt; Kết quả cuộc họp Hội đồng quản trị</t>
        </is>
      </c>
      <c r="E2897" s="390" t="inlineStr">
        <is>
          <t>Kết quả cuộc họp Hội đồng quản trị</t>
        </is>
      </c>
      <c r="F2897" s="390" t="inlineStr">
        <is>
          <t>Data Explorer</t>
        </is>
      </c>
      <c r="G2897" s="390" t="inlineStr">
        <is>
          <t>Chỉ tiêu cơ sở</t>
        </is>
      </c>
      <c r="H2897" s="390" t="inlineStr">
        <is>
          <t>Dễ</t>
        </is>
      </c>
      <c r="I2897" s="390" t="inlineStr">
        <is>
          <t>Ngày, CTCK</t>
        </is>
      </c>
      <c r="J2897" s="401" t="inlineStr">
        <is>
          <t>SCMS</t>
        </is>
      </c>
      <c r="K2897" s="401" t="n"/>
      <c r="L2897" s="401" t="inlineStr">
        <is>
          <t>X</t>
        </is>
      </c>
      <c r="M2897" s="401" t="n"/>
      <c r="N2897" s="401" t="inlineStr">
        <is>
          <t>Done</t>
        </is>
      </c>
      <c r="O2897" s="401" t="n"/>
      <c r="P2897" s="22" t="n"/>
      <c r="Q2897" s="401" t="n"/>
      <c r="R2897" s="401" t="n"/>
      <c r="S2897" s="22" t="n"/>
      <c r="U2897" s="390" t="inlineStr">
        <is>
          <t>Dựa vào text để lấy dữ liệu</t>
        </is>
      </c>
      <c r="V2897" s="22" t="n"/>
      <c r="W2897" s="22" t="n"/>
      <c r="X2897" s="22" t="n"/>
      <c r="Y2897" s="395" t="n"/>
      <c r="Z2897" s="22" t="n"/>
      <c r="AA2897" s="22" t="n"/>
      <c r="AB2897" s="22" t="n"/>
      <c r="AC2897" s="22" t="n"/>
      <c r="AD2897" s="22" t="n"/>
      <c r="AE2897" s="22" t="n"/>
    </row>
    <row r="2898" ht="70" customHeight="1" s="380">
      <c r="A2898" s="146" t="n">
        <v>118</v>
      </c>
      <c r="B2898" s="390" t="n"/>
      <c r="C2898" s="390" t="inlineStr">
        <is>
          <t>Báo cáo thường niên</t>
        </is>
      </c>
      <c r="D2898" s="390" t="inlineStr">
        <is>
          <t>Quản trị công ty &gt;&gt; Danh sách các thành viên Hội đồng quản trị có chứng chỉ đào tạo về quản trị công ty &gt;&gt; Họ tên</t>
        </is>
      </c>
      <c r="E2898" s="390" t="inlineStr">
        <is>
          <t>Họ tên thành viên Hội đồng quản trị có chứng chỉ đào tạo về quản trị công ty</t>
        </is>
      </c>
      <c r="F2898" s="390" t="inlineStr">
        <is>
          <t>Data Explorer</t>
        </is>
      </c>
      <c r="G2898" s="390" t="inlineStr">
        <is>
          <t>Chỉ tiêu cơ sở</t>
        </is>
      </c>
      <c r="H2898" s="390" t="inlineStr">
        <is>
          <t>Dễ</t>
        </is>
      </c>
      <c r="I2898" s="390" t="inlineStr">
        <is>
          <t>Ngày, CTCK</t>
        </is>
      </c>
      <c r="J2898" s="401" t="inlineStr">
        <is>
          <t>SCMS</t>
        </is>
      </c>
      <c r="K2898" s="401" t="n"/>
      <c r="L2898" s="401" t="inlineStr">
        <is>
          <t>X</t>
        </is>
      </c>
      <c r="M2898" s="401" t="n"/>
      <c r="N2898" s="401" t="inlineStr">
        <is>
          <t>Done</t>
        </is>
      </c>
      <c r="O2898" s="401" t="n"/>
      <c r="P2898" s="22" t="n"/>
      <c r="Q2898" s="401" t="n"/>
      <c r="R2898" s="401" t="n"/>
      <c r="S2898" s="22" t="n"/>
      <c r="U2898" s="390" t="inlineStr">
        <is>
          <t>Dựa vào text để lấy dữ liệu</t>
        </is>
      </c>
      <c r="V2898" s="22" t="n"/>
      <c r="W2898" s="22" t="n"/>
      <c r="X2898" s="22" t="n"/>
      <c r="Y2898" s="395" t="n"/>
      <c r="Z2898" s="22" t="n"/>
      <c r="AA2898" s="22" t="n"/>
      <c r="AB2898" s="22" t="n"/>
      <c r="AC2898" s="22" t="n"/>
      <c r="AD2898" s="22" t="n"/>
      <c r="AE2898" s="22" t="n"/>
    </row>
    <row r="2899" ht="70" customHeight="1" s="380">
      <c r="A2899" s="146" t="n">
        <v>118</v>
      </c>
      <c r="B2899" s="390" t="n"/>
      <c r="C2899" s="390" t="inlineStr">
        <is>
          <t>Báo cáo thường niên</t>
        </is>
      </c>
      <c r="D2899" s="390" t="inlineStr">
        <is>
          <t>Quản trị công ty &gt;&gt; Danh sách các thành viên Hội đồng quản trị có chứng chỉ đào tạo về quản trị công ty &gt;&gt; Chức vụ</t>
        </is>
      </c>
      <c r="E2899" s="390" t="inlineStr">
        <is>
          <t>Chức vụ thành viên Hội đồng quản trị có chứng chỉ đào tạo về quản trị công ty</t>
        </is>
      </c>
      <c r="F2899" s="390" t="inlineStr">
        <is>
          <t>Data Explorer</t>
        </is>
      </c>
      <c r="G2899" s="390" t="inlineStr">
        <is>
          <t>Chỉ tiêu cơ sở</t>
        </is>
      </c>
      <c r="H2899" s="390" t="inlineStr">
        <is>
          <t>Dễ</t>
        </is>
      </c>
      <c r="I2899" s="390" t="inlineStr">
        <is>
          <t>Ngày, CTCK</t>
        </is>
      </c>
      <c r="J2899" s="401" t="inlineStr">
        <is>
          <t>SCMS</t>
        </is>
      </c>
      <c r="K2899" s="401" t="n"/>
      <c r="L2899" s="401" t="inlineStr">
        <is>
          <t>X</t>
        </is>
      </c>
      <c r="M2899" s="401" t="n"/>
      <c r="N2899" s="401" t="inlineStr">
        <is>
          <t>Done</t>
        </is>
      </c>
      <c r="O2899" s="401" t="n"/>
      <c r="P2899" s="22" t="n"/>
      <c r="Q2899" s="401" t="n"/>
      <c r="R2899" s="401" t="n"/>
      <c r="S2899" s="22" t="n"/>
      <c r="U2899" s="390" t="inlineStr">
        <is>
          <t>Dựa vào text để lấy dữ liệu</t>
        </is>
      </c>
      <c r="V2899" s="22" t="n"/>
      <c r="W2899" s="22" t="n"/>
      <c r="X2899" s="22" t="n"/>
      <c r="Y2899" s="36" t="n"/>
      <c r="Z2899" s="22" t="n"/>
      <c r="AA2899" s="22" t="n"/>
      <c r="AB2899" s="22" t="n"/>
      <c r="AC2899" s="22" t="n"/>
      <c r="AD2899" s="22" t="n"/>
      <c r="AE2899" s="22" t="n"/>
    </row>
    <row r="2900" ht="70" customHeight="1" s="380">
      <c r="A2900" s="146" t="n">
        <v>118</v>
      </c>
      <c r="B2900" s="390" t="n"/>
      <c r="C2900" s="390" t="inlineStr">
        <is>
          <t>Báo cáo thường niên</t>
        </is>
      </c>
      <c r="D2900" s="390" t="inlineStr">
        <is>
          <t>Quản trị công ty &gt;&gt; Thành viên và cơ cấu của Ban kiểm soát/ Ủy ban kiểm toán &gt;&gt; Họ và tên</t>
        </is>
      </c>
      <c r="E2900" s="390" t="inlineStr">
        <is>
          <t>Họ và tên thành viên Ban kiểm soát</t>
        </is>
      </c>
      <c r="F2900" s="390" t="inlineStr">
        <is>
          <t>Data Explorer</t>
        </is>
      </c>
      <c r="G2900" s="390" t="inlineStr">
        <is>
          <t>Chỉ tiêu cơ sở</t>
        </is>
      </c>
      <c r="H2900" s="390" t="inlineStr">
        <is>
          <t>Dễ</t>
        </is>
      </c>
      <c r="I2900" s="390" t="inlineStr">
        <is>
          <t>Ngày, CTCK</t>
        </is>
      </c>
      <c r="J2900" s="401" t="inlineStr">
        <is>
          <t>SCMS</t>
        </is>
      </c>
      <c r="K2900" s="401" t="n"/>
      <c r="L2900" s="401" t="inlineStr">
        <is>
          <t>X</t>
        </is>
      </c>
      <c r="M2900" s="401" t="n"/>
      <c r="N2900" s="401" t="inlineStr">
        <is>
          <t>Done</t>
        </is>
      </c>
      <c r="O2900" s="401" t="n"/>
      <c r="P2900" s="22" t="n"/>
      <c r="Q2900" s="401" t="n"/>
      <c r="R2900" s="401" t="n"/>
      <c r="S2900" s="22" t="n"/>
      <c r="U2900" s="390" t="n"/>
      <c r="V2900" s="22" t="n"/>
      <c r="W2900" s="22" t="n"/>
      <c r="X2900" s="22" t="n"/>
      <c r="Y2900" s="395" t="n"/>
      <c r="Z2900" s="22" t="n"/>
      <c r="AA2900" s="22" t="n"/>
      <c r="AB2900" s="22" t="n"/>
      <c r="AC2900" s="22" t="n"/>
      <c r="AD2900" s="22" t="n"/>
      <c r="AE2900" s="22" t="n"/>
    </row>
    <row r="2901" ht="70" customHeight="1" s="380">
      <c r="A2901" s="146" t="n">
        <v>118</v>
      </c>
      <c r="B2901" s="390" t="n"/>
      <c r="C2901" s="390" t="inlineStr">
        <is>
          <t>Báo cáo thường niên</t>
        </is>
      </c>
      <c r="D2901" s="390" t="inlineStr">
        <is>
          <t>Quản trị công ty &gt;&gt; Thành viên và cơ cấu của Ban kiểm soát/ Ủy ban kiểm toán &gt;&gt; Chức danh</t>
        </is>
      </c>
      <c r="E2901" s="390" t="inlineStr">
        <is>
          <t>Chức danh thành viên Ban kiểm soát</t>
        </is>
      </c>
      <c r="F2901" s="390" t="inlineStr">
        <is>
          <t>Data Explorer</t>
        </is>
      </c>
      <c r="G2901" s="390" t="inlineStr">
        <is>
          <t>Chỉ tiêu cơ sở</t>
        </is>
      </c>
      <c r="H2901" s="390" t="inlineStr">
        <is>
          <t>Dễ</t>
        </is>
      </c>
      <c r="I2901" s="390" t="inlineStr">
        <is>
          <t>Ngày, CTCK</t>
        </is>
      </c>
      <c r="J2901" s="401" t="inlineStr">
        <is>
          <t>SCMS</t>
        </is>
      </c>
      <c r="K2901" s="401" t="n"/>
      <c r="L2901" s="401" t="inlineStr">
        <is>
          <t>X</t>
        </is>
      </c>
      <c r="M2901" s="401" t="n"/>
      <c r="N2901" s="401" t="inlineStr">
        <is>
          <t>Done</t>
        </is>
      </c>
      <c r="O2901" s="401" t="n"/>
      <c r="P2901" s="22" t="n"/>
      <c r="Q2901" s="401" t="n"/>
      <c r="R2901" s="401" t="n"/>
      <c r="S2901" s="22" t="n"/>
      <c r="U2901" s="390" t="n"/>
      <c r="V2901" s="22" t="n"/>
      <c r="W2901" s="22" t="n"/>
      <c r="X2901" s="22" t="n"/>
      <c r="Y2901" s="395" t="n"/>
      <c r="Z2901" s="22" t="n"/>
      <c r="AA2901" s="22" t="n"/>
      <c r="AB2901" s="22" t="n"/>
      <c r="AC2901" s="22" t="n"/>
      <c r="AD2901" s="22" t="n"/>
      <c r="AE2901" s="22" t="n"/>
    </row>
    <row r="2902" ht="84" customHeight="1" s="380">
      <c r="A2902" s="146" t="n">
        <v>118</v>
      </c>
      <c r="B2902" s="390" t="n"/>
      <c r="C2902" s="390" t="inlineStr">
        <is>
          <t>Báo cáo thường niên</t>
        </is>
      </c>
      <c r="D2902" s="390" t="inlineStr">
        <is>
          <t>Quản trị công ty &gt;&gt; Thành viên và cơ cấu của Ban kiểm soát/ Ủy ban kiểm toán &gt;&gt; Tỷ lệ sở hữu cổ phần có quyền biểu quyết</t>
        </is>
      </c>
      <c r="E2902" s="390" t="inlineStr">
        <is>
          <t>Tỷ lệ sở hữu cổ phần có quyền biểu quyết của thành viên Ban kiểm soát</t>
        </is>
      </c>
      <c r="F2902" s="390" t="inlineStr">
        <is>
          <t>Data Explorer</t>
        </is>
      </c>
      <c r="G2902" s="390" t="inlineStr">
        <is>
          <t>Chỉ tiêu cơ sở</t>
        </is>
      </c>
      <c r="H2902" s="390" t="inlineStr">
        <is>
          <t>Dễ</t>
        </is>
      </c>
      <c r="I2902" s="390" t="inlineStr">
        <is>
          <t>Ngày, CTCK</t>
        </is>
      </c>
      <c r="J2902" s="401" t="inlineStr">
        <is>
          <t>SCMS</t>
        </is>
      </c>
      <c r="K2902" s="401" t="n"/>
      <c r="L2902" s="401" t="inlineStr">
        <is>
          <t>X</t>
        </is>
      </c>
      <c r="M2902" s="401" t="n"/>
      <c r="N2902" s="401" t="inlineStr">
        <is>
          <t>Done</t>
        </is>
      </c>
      <c r="O2902" s="401" t="n"/>
      <c r="P2902" s="22" t="n"/>
      <c r="Q2902" s="401" t="n"/>
      <c r="R2902" s="401" t="n"/>
      <c r="S2902" s="22" t="n"/>
      <c r="U2902" s="390" t="n"/>
      <c r="V2902" s="22" t="n"/>
      <c r="W2902" s="22" t="n"/>
      <c r="X2902" s="22" t="n"/>
      <c r="Y2902" s="395" t="n"/>
      <c r="Z2902" s="22" t="n"/>
      <c r="AA2902" s="22" t="n"/>
      <c r="AB2902" s="22" t="n"/>
      <c r="AC2902" s="22" t="n"/>
      <c r="AD2902" s="22" t="n"/>
      <c r="AE2902" s="22" t="n"/>
    </row>
    <row r="2903" ht="56" customHeight="1" s="380">
      <c r="A2903" s="146" t="n">
        <v>118</v>
      </c>
      <c r="B2903" s="390" t="n"/>
      <c r="C2903" s="390" t="inlineStr">
        <is>
          <t>Báo cáo thường niên</t>
        </is>
      </c>
      <c r="D2903" s="390" t="inlineStr">
        <is>
          <t>Quản trị công ty &gt;&gt; Hoạt động của Ban kiểm soát/ Ủy ban kiểm toán &gt;&gt; Số lượng các cuộc họp</t>
        </is>
      </c>
      <c r="E2903" s="390" t="inlineStr">
        <is>
          <t>Số lượng các cuộc họp của Ban kiểm soát/ Ủy ban kiểm toán</t>
        </is>
      </c>
      <c r="F2903" s="390" t="inlineStr">
        <is>
          <t>Data Explorer</t>
        </is>
      </c>
      <c r="G2903" s="390" t="inlineStr">
        <is>
          <t>Chỉ tiêu cơ sở</t>
        </is>
      </c>
      <c r="H2903" s="390" t="inlineStr">
        <is>
          <t>Dễ</t>
        </is>
      </c>
      <c r="I2903" s="390" t="inlineStr">
        <is>
          <t>Ngày, CTCK</t>
        </is>
      </c>
      <c r="J2903" s="401" t="inlineStr">
        <is>
          <t>SCMS</t>
        </is>
      </c>
      <c r="K2903" s="401" t="n"/>
      <c r="L2903" s="401" t="inlineStr">
        <is>
          <t>X</t>
        </is>
      </c>
      <c r="M2903" s="401" t="n"/>
      <c r="N2903" s="401" t="inlineStr">
        <is>
          <t>Done</t>
        </is>
      </c>
      <c r="O2903" s="401" t="n"/>
      <c r="P2903" s="22" t="n"/>
      <c r="Q2903" s="401" t="n"/>
      <c r="R2903" s="401" t="n"/>
      <c r="S2903" s="22" t="n"/>
      <c r="U2903" s="390" t="inlineStr">
        <is>
          <t>Dựa vào text để lấy dữ liệu</t>
        </is>
      </c>
      <c r="V2903" s="22" t="n"/>
      <c r="W2903" s="22" t="n"/>
      <c r="X2903" s="22" t="n"/>
      <c r="Y2903" s="395" t="n"/>
      <c r="Z2903" s="22" t="n"/>
      <c r="AA2903" s="22" t="n"/>
      <c r="AB2903" s="22" t="n"/>
      <c r="AC2903" s="22" t="n"/>
      <c r="AD2903" s="22" t="n"/>
      <c r="AE2903" s="22" t="n"/>
    </row>
    <row r="2904" ht="56" customHeight="1" s="380">
      <c r="A2904" s="146" t="n">
        <v>118</v>
      </c>
      <c r="B2904" s="390" t="n"/>
      <c r="C2904" s="390" t="inlineStr">
        <is>
          <t>Báo cáo thường niên</t>
        </is>
      </c>
      <c r="D2904" s="390" t="inlineStr">
        <is>
          <t>Quản trị công ty &gt;&gt; Hoạt động của Ban kiểm soát/ Ủy ban kiểm toán &gt;&gt; Nội dung cuộc họp</t>
        </is>
      </c>
      <c r="E2904" s="390" t="inlineStr">
        <is>
          <t>Nội dung cuộc họp của Ban kiểm soát/ Ủy ban kiểm toán</t>
        </is>
      </c>
      <c r="F2904" s="390" t="inlineStr">
        <is>
          <t>Data Explorer</t>
        </is>
      </c>
      <c r="G2904" s="390" t="inlineStr">
        <is>
          <t>Chỉ tiêu cơ sở</t>
        </is>
      </c>
      <c r="H2904" s="390" t="inlineStr">
        <is>
          <t>Dễ</t>
        </is>
      </c>
      <c r="I2904" s="390" t="inlineStr">
        <is>
          <t>Ngày, CTCK</t>
        </is>
      </c>
      <c r="J2904" s="401" t="inlineStr">
        <is>
          <t>SCMS</t>
        </is>
      </c>
      <c r="K2904" s="401" t="n"/>
      <c r="L2904" s="401" t="inlineStr">
        <is>
          <t>X</t>
        </is>
      </c>
      <c r="M2904" s="401" t="n"/>
      <c r="N2904" s="401" t="inlineStr">
        <is>
          <t>Done</t>
        </is>
      </c>
      <c r="O2904" s="401" t="n"/>
      <c r="P2904" s="22" t="n"/>
      <c r="Q2904" s="401" t="n"/>
      <c r="R2904" s="401" t="n"/>
      <c r="S2904" s="22" t="n"/>
      <c r="U2904" s="390" t="inlineStr">
        <is>
          <t>Dựa vào text để lấy dữ liệu</t>
        </is>
      </c>
      <c r="V2904" s="22" t="n"/>
      <c r="W2904" s="22" t="n"/>
      <c r="X2904" s="22" t="n"/>
      <c r="Y2904" s="395" t="n"/>
      <c r="Z2904" s="22" t="n"/>
      <c r="AA2904" s="22" t="n"/>
      <c r="AB2904" s="22" t="n"/>
      <c r="AC2904" s="22" t="n"/>
      <c r="AD2904" s="22" t="n"/>
      <c r="AE2904" s="22" t="n"/>
    </row>
    <row r="2905" ht="56" customHeight="1" s="380">
      <c r="A2905" s="146" t="n">
        <v>118</v>
      </c>
      <c r="B2905" s="390" t="n"/>
      <c r="C2905" s="390" t="inlineStr">
        <is>
          <t>Báo cáo thường niên</t>
        </is>
      </c>
      <c r="D2905" s="390" t="inlineStr">
        <is>
          <t>Quản trị công ty &gt;&gt; Hoạt động của Ban kiểm soát/ Ủy ban kiểm toán &gt;&gt; Kết quả cuộc họp</t>
        </is>
      </c>
      <c r="E2905" s="390" t="inlineStr">
        <is>
          <t>Kết quả cuộc họp của Ban kiểm soát/ Ủy ban kiểm toán</t>
        </is>
      </c>
      <c r="F2905" s="390" t="inlineStr">
        <is>
          <t>Data Explorer</t>
        </is>
      </c>
      <c r="G2905" s="390" t="inlineStr">
        <is>
          <t>Chỉ tiêu cơ sở</t>
        </is>
      </c>
      <c r="H2905" s="390" t="inlineStr">
        <is>
          <t>Dễ</t>
        </is>
      </c>
      <c r="I2905" s="390" t="inlineStr">
        <is>
          <t>Ngày, CTCK</t>
        </is>
      </c>
      <c r="J2905" s="401" t="inlineStr">
        <is>
          <t>SCMS</t>
        </is>
      </c>
      <c r="K2905" s="401" t="n"/>
      <c r="L2905" s="401" t="inlineStr">
        <is>
          <t>X</t>
        </is>
      </c>
      <c r="M2905" s="401" t="n"/>
      <c r="N2905" s="401" t="inlineStr">
        <is>
          <t>Done</t>
        </is>
      </c>
      <c r="O2905" s="401" t="n"/>
      <c r="P2905" s="22" t="n"/>
      <c r="Q2905" s="401" t="n"/>
      <c r="R2905" s="401" t="n"/>
      <c r="S2905" s="22" t="n"/>
      <c r="U2905" s="390" t="inlineStr">
        <is>
          <t>Dựa vào text để lấy dữ liệu</t>
        </is>
      </c>
      <c r="V2905" s="22" t="n"/>
      <c r="W2905" s="22" t="n"/>
      <c r="X2905" s="22" t="n"/>
      <c r="Y2905" s="395" t="n"/>
      <c r="Z2905" s="22" t="n"/>
      <c r="AA2905" s="22" t="n"/>
      <c r="AB2905" s="22" t="n"/>
      <c r="AC2905" s="22" t="n"/>
      <c r="AD2905" s="22" t="n"/>
      <c r="AE2905" s="22" t="n"/>
    </row>
    <row r="2906" ht="84" customHeight="1" s="380">
      <c r="A2906" s="146" t="n">
        <v>118</v>
      </c>
      <c r="B2906" s="390" t="n"/>
      <c r="C2906" s="390" t="inlineStr">
        <is>
          <t>Báo cáo thường niên</t>
        </is>
      </c>
      <c r="D2906" s="390" t="inlineStr">
        <is>
          <t>Quản trị công ty &gt;&gt; Các giao dịch, thù lao và các khoản lợi ích của Hội đồng quản trị, Ban giám đốc và Ban kiểm soát &gt;&gt; Họ và tên người nhận</t>
        </is>
      </c>
      <c r="E2906" s="390" t="inlineStr">
        <is>
          <t>Họ và tên người nhận (Hội đồng quản trị, Ban Giám đốc và Ban kiểm soát/ Ủy ban kiểm toán) lương, thưởng, thù lao, các khoản lợi ích</t>
        </is>
      </c>
      <c r="F2906" s="390" t="inlineStr">
        <is>
          <t>Data Explorer</t>
        </is>
      </c>
      <c r="G2906" s="390" t="inlineStr">
        <is>
          <t>Chỉ tiêu cơ sở</t>
        </is>
      </c>
      <c r="H2906" s="390" t="inlineStr">
        <is>
          <t>Dễ</t>
        </is>
      </c>
      <c r="I2906" s="390" t="inlineStr">
        <is>
          <t>Ngày, CTCK</t>
        </is>
      </c>
      <c r="J2906" s="401" t="inlineStr">
        <is>
          <t>SCMS</t>
        </is>
      </c>
      <c r="K2906" s="401" t="n"/>
      <c r="L2906" s="401" t="inlineStr">
        <is>
          <t>X</t>
        </is>
      </c>
      <c r="M2906" s="401" t="n"/>
      <c r="N2906" s="401" t="inlineStr">
        <is>
          <t>Done</t>
        </is>
      </c>
      <c r="O2906" s="401" t="n"/>
      <c r="P2906" s="22" t="n"/>
      <c r="Q2906" s="401" t="n"/>
      <c r="R2906" s="401" t="n"/>
      <c r="S2906" s="22" t="n"/>
      <c r="U2906" s="390" t="inlineStr">
        <is>
          <t>Dựa vào text để lấy dữ liệu</t>
        </is>
      </c>
      <c r="V2906" s="22" t="n"/>
      <c r="W2906" s="22" t="n"/>
      <c r="X2906" s="22" t="n"/>
      <c r="Y2906" s="36" t="n"/>
      <c r="Z2906" s="22" t="n"/>
      <c r="AA2906" s="22" t="n"/>
      <c r="AB2906" s="22" t="n"/>
      <c r="AC2906" s="22" t="n"/>
      <c r="AD2906" s="22" t="n"/>
      <c r="AE2906" s="22" t="n"/>
    </row>
    <row r="2907" ht="84" customHeight="1" s="380">
      <c r="A2907" s="146" t="n">
        <v>118</v>
      </c>
      <c r="B2907" s="390" t="n"/>
      <c r="C2907" s="390" t="inlineStr">
        <is>
          <t>Báo cáo thường niên</t>
        </is>
      </c>
      <c r="D2907" s="390" t="inlineStr">
        <is>
          <t>Quản trị công ty &gt;&gt; Các giao dịch, thù lao và các khoản lợi ích của Hội đồng quản trị, Ban giám đốc và Ban kiểm soát &gt;&gt; Chức vụ người nhận</t>
        </is>
      </c>
      <c r="E2907" s="390" t="inlineStr">
        <is>
          <t>Chức vụ người nhận lương, thưởng, thù lao, các khoản lợi ích</t>
        </is>
      </c>
      <c r="F2907" s="390" t="inlineStr">
        <is>
          <t>Data Explorer</t>
        </is>
      </c>
      <c r="G2907" s="390" t="inlineStr">
        <is>
          <t>Chỉ tiêu cơ sở</t>
        </is>
      </c>
      <c r="H2907" s="390" t="inlineStr">
        <is>
          <t>Dễ</t>
        </is>
      </c>
      <c r="I2907" s="390" t="inlineStr">
        <is>
          <t>Ngày, CTCK</t>
        </is>
      </c>
      <c r="J2907" s="401" t="inlineStr">
        <is>
          <t>SCMS</t>
        </is>
      </c>
      <c r="K2907" s="401" t="n"/>
      <c r="L2907" s="401" t="inlineStr">
        <is>
          <t>X</t>
        </is>
      </c>
      <c r="M2907" s="401" t="n"/>
      <c r="N2907" s="401" t="inlineStr">
        <is>
          <t>Done</t>
        </is>
      </c>
      <c r="O2907" s="401" t="n"/>
      <c r="P2907" s="22" t="n"/>
      <c r="Q2907" s="401" t="n"/>
      <c r="R2907" s="401" t="n"/>
      <c r="S2907" s="22" t="n"/>
      <c r="U2907" s="390" t="inlineStr">
        <is>
          <t>Dựa vào text để lấy dữ liệu</t>
        </is>
      </c>
      <c r="V2907" s="22" t="n"/>
      <c r="W2907" s="22" t="n"/>
      <c r="X2907" s="22" t="n"/>
      <c r="Y2907" s="395" t="n"/>
      <c r="Z2907" s="22" t="n"/>
      <c r="AA2907" s="22" t="n"/>
      <c r="AB2907" s="22" t="n"/>
      <c r="AC2907" s="22" t="n"/>
      <c r="AD2907" s="22" t="n"/>
      <c r="AE2907" s="22" t="n"/>
    </row>
    <row r="2908" ht="84" customHeight="1" s="380">
      <c r="A2908" s="146" t="n">
        <v>118</v>
      </c>
      <c r="B2908" s="390" t="n"/>
      <c r="C2908" s="390" t="inlineStr">
        <is>
          <t>Báo cáo thường niên</t>
        </is>
      </c>
      <c r="D2908" s="390" t="inlineStr">
        <is>
          <t>Quản trị công ty &gt;&gt; Các giao dịch, thù lao và các khoản lợi ích của Hội đồng quản trị, Ban giám đốc và Ban kiểm soát &gt;&gt; Số tiền nhận</t>
        </is>
      </c>
      <c r="E2908" s="390" t="inlineStr">
        <is>
          <t>Số tiền nhận lương, thưởng, thù lao, các khoản lợi ích</t>
        </is>
      </c>
      <c r="F2908" s="390" t="inlineStr">
        <is>
          <t>Data Explorer</t>
        </is>
      </c>
      <c r="G2908" s="390" t="inlineStr">
        <is>
          <t>Chỉ tiêu cơ sở</t>
        </is>
      </c>
      <c r="H2908" s="390" t="inlineStr">
        <is>
          <t>Dễ</t>
        </is>
      </c>
      <c r="I2908" s="390" t="inlineStr">
        <is>
          <t>Ngày, CTCK</t>
        </is>
      </c>
      <c r="J2908" s="401" t="inlineStr">
        <is>
          <t>SCMS</t>
        </is>
      </c>
      <c r="K2908" s="401" t="n"/>
      <c r="L2908" s="401" t="inlineStr">
        <is>
          <t>X</t>
        </is>
      </c>
      <c r="M2908" s="401" t="n"/>
      <c r="N2908" s="401" t="inlineStr">
        <is>
          <t>Done</t>
        </is>
      </c>
      <c r="O2908" s="401" t="n"/>
      <c r="P2908" s="22" t="n"/>
      <c r="Q2908" s="401" t="n"/>
      <c r="R2908" s="401" t="n"/>
      <c r="S2908" s="22" t="n"/>
      <c r="U2908" s="390" t="inlineStr">
        <is>
          <t>Dựa vào text để lấy dữ liệu</t>
        </is>
      </c>
      <c r="V2908" s="22" t="n"/>
      <c r="W2908" s="22" t="n"/>
      <c r="X2908" s="22" t="n"/>
      <c r="Y2908" s="36" t="n"/>
      <c r="Z2908" s="22" t="n"/>
      <c r="AA2908" s="22" t="n"/>
      <c r="AB2908" s="22" t="n"/>
      <c r="AC2908" s="22" t="n"/>
      <c r="AD2908" s="22" t="n"/>
      <c r="AE2908" s="22" t="n"/>
    </row>
    <row r="2909" ht="84" customHeight="1" s="380">
      <c r="A2909" s="146" t="n">
        <v>118</v>
      </c>
      <c r="B2909" s="390" t="n"/>
      <c r="C2909" s="390" t="inlineStr">
        <is>
          <t>Báo cáo thường niên</t>
        </is>
      </c>
      <c r="D2909" s="82" t="inlineStr">
        <is>
          <t>Quản trị công ty &gt;&gt; Hợp đồng hoặc giao dịch với người nội bộ &gt;&gt; Thông tin về hợp đồng hoặc giao dịch với người nội bộ</t>
        </is>
      </c>
      <c r="E2909" s="82" t="inlineStr">
        <is>
          <t>Thông tin về hợp đồng hoặc giao dịch với người nội bộ</t>
        </is>
      </c>
      <c r="F2909" s="390" t="inlineStr">
        <is>
          <t>Data Explorer</t>
        </is>
      </c>
      <c r="G2909" s="390" t="inlineStr">
        <is>
          <t>Chỉ tiêu cơ sở</t>
        </is>
      </c>
      <c r="H2909" s="390" t="inlineStr">
        <is>
          <t>TB</t>
        </is>
      </c>
      <c r="I2909" s="390" t="inlineStr">
        <is>
          <t>Ngày, CTCK</t>
        </is>
      </c>
      <c r="J2909" s="401" t="inlineStr">
        <is>
          <t>SCMS</t>
        </is>
      </c>
      <c r="K2909" s="401" t="n"/>
      <c r="L2909" s="401" t="inlineStr">
        <is>
          <t>X</t>
        </is>
      </c>
      <c r="M2909" s="401" t="n"/>
      <c r="N2909" s="401" t="inlineStr">
        <is>
          <t>Done</t>
        </is>
      </c>
      <c r="O2909" s="401" t="n"/>
      <c r="P2909" s="22" t="n"/>
      <c r="Q2909" s="401" t="n"/>
      <c r="R2909" s="401" t="n"/>
      <c r="S2909" s="22" t="n"/>
      <c r="U2909" s="390" t="inlineStr">
        <is>
          <t>Dựa vào text để lấy dữ liệu</t>
        </is>
      </c>
      <c r="V2909" s="22" t="n"/>
      <c r="W2909" s="22" t="n"/>
      <c r="X2909" s="22" t="n"/>
      <c r="Y2909" s="395" t="n"/>
      <c r="Z2909" s="22" t="n"/>
      <c r="AA2909" s="22" t="n"/>
      <c r="AB2909" s="22" t="n"/>
      <c r="AC2909" s="22" t="n"/>
      <c r="AD2909" s="22" t="n"/>
      <c r="AE2909" s="22" t="n"/>
    </row>
    <row r="2910" ht="28" customHeight="1" s="380">
      <c r="A2910" s="147" t="n">
        <v>118</v>
      </c>
      <c r="B2910" s="129" t="n"/>
      <c r="C2910" s="129" t="inlineStr">
        <is>
          <t>Báo cáo thường niên</t>
        </is>
      </c>
      <c r="D2910" s="129" t="inlineStr">
        <is>
          <t>Quản trị công ty &gt;&gt; Ý kiến kiểm toán</t>
        </is>
      </c>
      <c r="E2910" s="129" t="inlineStr">
        <is>
          <t>Ý kiến kiểm toán</t>
        </is>
      </c>
      <c r="F2910" s="129" t="inlineStr">
        <is>
          <t>Data Explorer</t>
        </is>
      </c>
      <c r="G2910" s="129" t="inlineStr">
        <is>
          <t>Chỉ tiêu cơ sở</t>
        </is>
      </c>
      <c r="H2910" s="129" t="inlineStr">
        <is>
          <t>TB</t>
        </is>
      </c>
      <c r="I2910" s="129" t="inlineStr">
        <is>
          <t>Ngày, CTCK</t>
        </is>
      </c>
      <c r="J2910" s="85" t="inlineStr">
        <is>
          <t>SCMS</t>
        </is>
      </c>
      <c r="K2910" s="85" t="n"/>
      <c r="L2910" s="85" t="inlineStr">
        <is>
          <t>X</t>
        </is>
      </c>
      <c r="M2910" s="85" t="n"/>
      <c r="N2910" s="85" t="inlineStr">
        <is>
          <t>Done</t>
        </is>
      </c>
      <c r="O2910" s="85" t="n"/>
      <c r="P2910" s="130" t="n"/>
      <c r="Q2910" s="85" t="n"/>
      <c r="R2910" s="85" t="n"/>
      <c r="S2910" s="130" t="n"/>
      <c r="T2910" s="426" t="n"/>
      <c r="U2910" s="129" t="inlineStr">
        <is>
          <t>Dựa vào text để lấy dữ liệu</t>
        </is>
      </c>
      <c r="V2910" s="130" t="n"/>
      <c r="W2910" s="130" t="n"/>
      <c r="X2910" s="130" t="n"/>
      <c r="Y2910" s="69" t="n"/>
      <c r="Z2910" s="130" t="n"/>
      <c r="AA2910" s="130" t="n"/>
      <c r="AB2910" s="130" t="n"/>
      <c r="AC2910" s="130" t="n"/>
      <c r="AD2910" s="130" t="n"/>
      <c r="AE2910" s="130" t="n"/>
    </row>
    <row r="2911" ht="84" customHeight="1" s="380">
      <c r="A2911" s="148" t="n">
        <v>119</v>
      </c>
      <c r="B2911" s="140" t="inlineStr">
        <is>
          <t>Trang</t>
        </is>
      </c>
      <c r="C2911" s="127" t="inlineStr">
        <is>
          <t>Báo cáo liên quan đến trái phiếu doanh nghiệp riêng lẻ &gt;&gt; Báo cáo của tổ chức tư vấn hồ sơ chào bán trái phiếu doanh nghiệp riêng lẻ</t>
        </is>
      </c>
      <c r="D2911" s="109" t="inlineStr">
        <is>
          <t>Loại báo cáo</t>
        </is>
      </c>
      <c r="E2911" s="110" t="inlineStr">
        <is>
          <t>Loại báo cáo</t>
        </is>
      </c>
      <c r="F2911" s="403" t="inlineStr">
        <is>
          <t>Data Explorer</t>
        </is>
      </c>
      <c r="G2911" s="403" t="inlineStr">
        <is>
          <t>Chiều</t>
        </is>
      </c>
      <c r="H2911" s="403" t="inlineStr">
        <is>
          <t>Dễ</t>
        </is>
      </c>
      <c r="I2911" s="403" t="inlineStr">
        <is>
          <t>Ngày, CTCK</t>
        </is>
      </c>
      <c r="J2911" s="404" t="inlineStr">
        <is>
          <t>SCMS</t>
        </is>
      </c>
      <c r="K2911" s="404" t="inlineStr">
        <is>
          <t>X</t>
        </is>
      </c>
      <c r="L2911" s="404" t="inlineStr">
        <is>
          <t>X</t>
        </is>
      </c>
      <c r="M2911" s="404" t="n"/>
      <c r="N2911" s="404" t="inlineStr">
        <is>
          <t>Pending</t>
        </is>
      </c>
      <c r="O2911" s="404" t="n"/>
      <c r="P2911" s="141" t="n"/>
      <c r="Q2911" s="105" t="inlineStr">
        <is>
          <t>DB cũ không thấy biểu mẫu báo cáo này</t>
        </is>
      </c>
      <c r="R2911" s="404" t="n"/>
      <c r="S2911" s="141" t="n"/>
      <c r="T2911" s="403" t="n"/>
      <c r="U2911" s="403" t="n"/>
      <c r="V2911" s="141" t="n"/>
      <c r="W2911" s="141" t="n"/>
      <c r="X2911" s="141" t="n"/>
      <c r="Y2911" s="395" t="n"/>
      <c r="Z2911" s="141" t="n"/>
      <c r="AA2911" s="141" t="n"/>
      <c r="AB2911" s="141" t="n"/>
      <c r="AC2911" s="141" t="n"/>
      <c r="AD2911" s="141" t="n"/>
      <c r="AE2911" s="141" t="n"/>
    </row>
    <row r="2912" ht="84" customHeight="1" s="380">
      <c r="A2912" s="148" t="n">
        <v>119</v>
      </c>
      <c r="B2912" s="390" t="n"/>
      <c r="C2912" s="390" t="inlineStr">
        <is>
          <t>Báo cáo liên quan đến trái phiếu doanh nghiệp riêng lẻ &gt;&gt; Báo cáo của tổ chức tư vấn hồ sơ chào bán trái phiếu doanh nghiệp riêng lẻ</t>
        </is>
      </c>
      <c r="D2912" s="106" t="inlineStr">
        <is>
          <t>Kỳ báo cáo</t>
        </is>
      </c>
      <c r="E2912" s="107" t="inlineStr">
        <is>
          <t>Kỳ báo cáo</t>
        </is>
      </c>
      <c r="F2912" s="390" t="inlineStr">
        <is>
          <t>Data Explorer</t>
        </is>
      </c>
      <c r="G2912" s="390" t="inlineStr">
        <is>
          <t>Chiều</t>
        </is>
      </c>
      <c r="H2912" s="390" t="inlineStr">
        <is>
          <t>Dễ</t>
        </is>
      </c>
      <c r="I2912" s="390" t="inlineStr">
        <is>
          <t>Ngày, CTCK</t>
        </is>
      </c>
      <c r="J2912" s="401" t="inlineStr">
        <is>
          <t>SCMS</t>
        </is>
      </c>
      <c r="K2912" s="401" t="inlineStr">
        <is>
          <t>X</t>
        </is>
      </c>
      <c r="L2912" s="401" t="inlineStr">
        <is>
          <t>X</t>
        </is>
      </c>
      <c r="M2912" s="401" t="n"/>
      <c r="N2912" s="401" t="inlineStr">
        <is>
          <t>Pending</t>
        </is>
      </c>
      <c r="O2912" s="401" t="n"/>
      <c r="P2912" s="22" t="n"/>
      <c r="Q2912" s="401" t="n"/>
      <c r="R2912" s="401" t="n"/>
      <c r="S2912" s="22" t="n"/>
      <c r="T2912" s="390" t="n"/>
      <c r="U2912" s="390" t="n"/>
      <c r="V2912" s="22" t="n"/>
      <c r="W2912" s="22" t="n"/>
      <c r="X2912" s="22" t="n"/>
      <c r="Y2912" s="395" t="n"/>
      <c r="Z2912" s="22" t="n"/>
      <c r="AA2912" s="22" t="n"/>
      <c r="AB2912" s="22" t="n"/>
      <c r="AC2912" s="22" t="n"/>
      <c r="AD2912" s="22" t="n"/>
      <c r="AE2912" s="22" t="n"/>
    </row>
    <row r="2913" ht="84" customHeight="1" s="380">
      <c r="A2913" s="148" t="n">
        <v>119</v>
      </c>
      <c r="B2913" s="390" t="n"/>
      <c r="C2913" s="390" t="inlineStr">
        <is>
          <t>Báo cáo liên quan đến trái phiếu doanh nghiệp riêng lẻ &gt;&gt; Báo cáo của tổ chức tư vấn hồ sơ chào bán trái phiếu doanh nghiệp riêng lẻ</t>
        </is>
      </c>
      <c r="D2913" s="106" t="inlineStr">
        <is>
          <t>Mã báo cáo</t>
        </is>
      </c>
      <c r="E2913" s="107" t="inlineStr">
        <is>
          <t>Mã báo cáo</t>
        </is>
      </c>
      <c r="F2913" s="390" t="inlineStr">
        <is>
          <t>Data Explorer</t>
        </is>
      </c>
      <c r="G2913" s="390" t="inlineStr">
        <is>
          <t>Chiều</t>
        </is>
      </c>
      <c r="H2913" s="390" t="inlineStr">
        <is>
          <t>Dễ</t>
        </is>
      </c>
      <c r="I2913" s="390" t="inlineStr">
        <is>
          <t>Ngày, CTCK</t>
        </is>
      </c>
      <c r="J2913" s="401" t="inlineStr">
        <is>
          <t>SCMS</t>
        </is>
      </c>
      <c r="K2913" s="401" t="inlineStr">
        <is>
          <t>X</t>
        </is>
      </c>
      <c r="L2913" s="401" t="inlineStr">
        <is>
          <t>X</t>
        </is>
      </c>
      <c r="M2913" s="401" t="n"/>
      <c r="N2913" s="401" t="inlineStr">
        <is>
          <t>Pending</t>
        </is>
      </c>
      <c r="O2913" s="401" t="n"/>
      <c r="P2913" s="22" t="n"/>
      <c r="Q2913" s="401" t="n"/>
      <c r="R2913" s="401" t="n"/>
      <c r="S2913" s="22" t="n"/>
      <c r="T2913" s="390" t="n"/>
      <c r="U2913" s="390" t="n"/>
      <c r="V2913" s="22" t="n"/>
      <c r="W2913" s="22" t="n"/>
      <c r="X2913" s="22" t="n"/>
      <c r="Y2913" s="36" t="n"/>
      <c r="Z2913" s="22" t="n"/>
      <c r="AA2913" s="22" t="n"/>
      <c r="AB2913" s="22" t="n"/>
      <c r="AC2913" s="22" t="n"/>
      <c r="AD2913" s="22" t="n"/>
      <c r="AE2913" s="22" t="n"/>
    </row>
    <row r="2914" ht="84" customHeight="1" s="380">
      <c r="A2914" s="148" t="n">
        <v>119</v>
      </c>
      <c r="B2914" s="390" t="n"/>
      <c r="C2914" s="390" t="inlineStr">
        <is>
          <t>Báo cáo liên quan đến trái phiếu doanh nghiệp riêng lẻ &gt;&gt; Báo cáo của tổ chức tư vấn hồ sơ chào bán trái phiếu doanh nghiệp riêng lẻ</t>
        </is>
      </c>
      <c r="D2914" s="106" t="inlineStr">
        <is>
          <t>Tên báo cáo</t>
        </is>
      </c>
      <c r="E2914" s="107" t="inlineStr">
        <is>
          <t>Tên báo cáo</t>
        </is>
      </c>
      <c r="F2914" s="390" t="inlineStr">
        <is>
          <t>Data Explorer</t>
        </is>
      </c>
      <c r="G2914" s="390" t="inlineStr">
        <is>
          <t>Chiều</t>
        </is>
      </c>
      <c r="H2914" s="390" t="inlineStr">
        <is>
          <t>Dễ</t>
        </is>
      </c>
      <c r="I2914" s="390" t="inlineStr">
        <is>
          <t>Ngày, CTCK</t>
        </is>
      </c>
      <c r="J2914" s="401" t="inlineStr">
        <is>
          <t>SCMS</t>
        </is>
      </c>
      <c r="K2914" s="401" t="inlineStr">
        <is>
          <t>X</t>
        </is>
      </c>
      <c r="L2914" s="401" t="inlineStr">
        <is>
          <t>X</t>
        </is>
      </c>
      <c r="M2914" s="401" t="n"/>
      <c r="N2914" s="401" t="inlineStr">
        <is>
          <t>Pending</t>
        </is>
      </c>
      <c r="O2914" s="401" t="n"/>
      <c r="P2914" s="22" t="n"/>
      <c r="Q2914" s="401" t="n"/>
      <c r="R2914" s="401" t="n"/>
      <c r="S2914" s="22" t="n"/>
      <c r="T2914" s="390" t="n"/>
      <c r="U2914" s="390" t="n"/>
      <c r="V2914" s="22" t="n"/>
      <c r="W2914" s="22" t="n"/>
      <c r="X2914" s="22" t="n"/>
      <c r="Y2914" s="37" t="n"/>
      <c r="Z2914" s="22" t="n"/>
      <c r="AA2914" s="22" t="n"/>
      <c r="AB2914" s="22" t="n"/>
      <c r="AC2914" s="22" t="n"/>
      <c r="AD2914" s="22" t="n"/>
      <c r="AE2914" s="22" t="n"/>
    </row>
    <row r="2915" ht="84" customHeight="1" s="380">
      <c r="A2915" s="148" t="n">
        <v>119</v>
      </c>
      <c r="B2915" s="390" t="n"/>
      <c r="C2915" s="390" t="inlineStr">
        <is>
          <t>Báo cáo liên quan đến trái phiếu doanh nghiệp riêng lẻ &gt;&gt; Báo cáo của tổ chức tư vấn hồ sơ chào bán trái phiếu doanh nghiệp riêng lẻ</t>
        </is>
      </c>
      <c r="D2915" s="106" t="inlineStr">
        <is>
          <t>Mã chỉ tiêu</t>
        </is>
      </c>
      <c r="E2915" s="107" t="inlineStr">
        <is>
          <t>Mã chỉ tiêu</t>
        </is>
      </c>
      <c r="F2915" s="390" t="inlineStr">
        <is>
          <t>Data Explorer</t>
        </is>
      </c>
      <c r="G2915" s="390" t="inlineStr">
        <is>
          <t>Chiều</t>
        </is>
      </c>
      <c r="H2915" s="390" t="inlineStr">
        <is>
          <t>Dễ</t>
        </is>
      </c>
      <c r="I2915" s="390" t="inlineStr">
        <is>
          <t>Ngày, CTCK</t>
        </is>
      </c>
      <c r="J2915" s="401" t="inlineStr">
        <is>
          <t>SCMS</t>
        </is>
      </c>
      <c r="K2915" s="401" t="inlineStr">
        <is>
          <t>X</t>
        </is>
      </c>
      <c r="L2915" s="401" t="inlineStr">
        <is>
          <t>X</t>
        </is>
      </c>
      <c r="M2915" s="401" t="n"/>
      <c r="N2915" s="401" t="inlineStr">
        <is>
          <t>Pending</t>
        </is>
      </c>
      <c r="O2915" s="401" t="n"/>
      <c r="P2915" s="22" t="n"/>
      <c r="Q2915" s="401" t="n"/>
      <c r="R2915" s="401" t="n"/>
      <c r="S2915" s="22" t="n"/>
      <c r="T2915" s="390" t="n"/>
      <c r="U2915" s="390" t="n"/>
      <c r="V2915" s="22" t="n"/>
      <c r="W2915" s="22" t="n"/>
      <c r="X2915" s="22" t="n"/>
      <c r="Y2915" s="395" t="n"/>
      <c r="Z2915" s="22" t="n"/>
      <c r="AA2915" s="22" t="n"/>
      <c r="AB2915" s="22" t="n"/>
      <c r="AC2915" s="22" t="n"/>
      <c r="AD2915" s="22" t="n"/>
      <c r="AE2915" s="22" t="n"/>
    </row>
    <row r="2916" ht="84" customHeight="1" s="380">
      <c r="A2916" s="148" t="n">
        <v>119</v>
      </c>
      <c r="B2916" s="390" t="n"/>
      <c r="C2916" s="390" t="inlineStr">
        <is>
          <t>Báo cáo liên quan đến trái phiếu doanh nghiệp riêng lẻ &gt;&gt; Báo cáo của tổ chức tư vấn hồ sơ chào bán trái phiếu doanh nghiệp riêng lẻ</t>
        </is>
      </c>
      <c r="D2916" s="106" t="inlineStr">
        <is>
          <t>Tên chỉ tiêu</t>
        </is>
      </c>
      <c r="E2916" s="107" t="inlineStr">
        <is>
          <t>Tên chỉ tiêu</t>
        </is>
      </c>
      <c r="F2916" s="390" t="inlineStr">
        <is>
          <t>Data Explorer</t>
        </is>
      </c>
      <c r="G2916" s="390" t="inlineStr">
        <is>
          <t>Chiều</t>
        </is>
      </c>
      <c r="H2916" s="390" t="inlineStr">
        <is>
          <t>Dễ</t>
        </is>
      </c>
      <c r="I2916" s="390" t="inlineStr">
        <is>
          <t>Ngày, CTCK</t>
        </is>
      </c>
      <c r="J2916" s="401" t="inlineStr">
        <is>
          <t>SCMS</t>
        </is>
      </c>
      <c r="K2916" s="401" t="inlineStr">
        <is>
          <t>X</t>
        </is>
      </c>
      <c r="L2916" s="401" t="inlineStr">
        <is>
          <t>X</t>
        </is>
      </c>
      <c r="M2916" s="401" t="n"/>
      <c r="N2916" s="401" t="inlineStr">
        <is>
          <t>Pending</t>
        </is>
      </c>
      <c r="O2916" s="401" t="n"/>
      <c r="P2916" s="22" t="n"/>
      <c r="Q2916" s="401" t="n"/>
      <c r="R2916" s="401" t="n"/>
      <c r="S2916" s="22" t="n"/>
      <c r="T2916" s="390" t="n"/>
      <c r="U2916" s="390" t="n"/>
      <c r="V2916" s="22" t="n"/>
      <c r="W2916" s="22" t="n"/>
      <c r="X2916" s="22" t="n"/>
      <c r="Y2916" s="395" t="n"/>
      <c r="Z2916" s="22" t="n"/>
      <c r="AA2916" s="22" t="n"/>
      <c r="AB2916" s="22" t="n"/>
      <c r="AC2916" s="22" t="n"/>
      <c r="AD2916" s="22" t="n"/>
      <c r="AE2916" s="22" t="n"/>
    </row>
    <row r="2917" ht="84" customHeight="1" s="380">
      <c r="A2917" s="148" t="n">
        <v>119</v>
      </c>
      <c r="B2917" s="390" t="n"/>
      <c r="C2917" s="390" t="inlineStr">
        <is>
          <t>Báo cáo liên quan đến trái phiếu doanh nghiệp riêng lẻ &gt;&gt; Báo cáo của tổ chức tư vấn hồ sơ chào bán trái phiếu doanh nghiệp riêng lẻ</t>
        </is>
      </c>
      <c r="D2917" s="390" t="inlineStr">
        <is>
          <t>Số lượng hợp đồng cung cấp dịch vụ trong kỳ &gt;&gt; Số hợp đồng (đối với từng hợp đồng)</t>
        </is>
      </c>
      <c r="E2917" s="401" t="inlineStr">
        <is>
          <t>Số hợp đồng (đối với từng hợp đồng)</t>
        </is>
      </c>
      <c r="F2917" s="390" t="inlineStr">
        <is>
          <t>Data Explorer</t>
        </is>
      </c>
      <c r="G2917" s="390" t="inlineStr">
        <is>
          <t>Chỉ tiêu cơ sở</t>
        </is>
      </c>
      <c r="H2917" s="390" t="inlineStr">
        <is>
          <t>TB</t>
        </is>
      </c>
      <c r="I2917" s="390" t="inlineStr">
        <is>
          <t>Ngày, CTCK</t>
        </is>
      </c>
      <c r="J2917" s="401" t="inlineStr">
        <is>
          <t>SCMS</t>
        </is>
      </c>
      <c r="K2917" s="401" t="n"/>
      <c r="L2917" s="401" t="inlineStr">
        <is>
          <t>X</t>
        </is>
      </c>
      <c r="M2917" s="401" t="n"/>
      <c r="N2917" s="401" t="inlineStr">
        <is>
          <t>Done</t>
        </is>
      </c>
      <c r="O2917" s="401" t="n"/>
      <c r="P2917" s="22" t="n"/>
      <c r="Q2917" s="401" t="n"/>
      <c r="R2917" s="401" t="n"/>
      <c r="S2917" s="22" t="n"/>
      <c r="T2917" s="389" t="inlineStr">
        <is>
          <t>SELECT a.SO_VAN_BAN "Số hợp đồng",
MONTHS_BETWEEN(a.NGAY_KET_THUC, a.NGAY_CHAO_BAN) "Thời gian hợp đồng",
b.TEN_TIENG_VIET "Doanh nghiệp phát hành",
a.NGAY_CHAO_BAN "Ngày phát hành",
a.GIA_TRI "Giá trị phát hành",
a.HINH_THUC_CHAO_BAN "Hình thức phát hành",
a.TRANG_THAI "Tình trạng"
FROM SCMS.CBTT_CHAO_BAN_CHUNG_KHOAN a
LEFT JOIN SCMS.CTCK_THONG_TIN b ON a.CTCK_THONG_TIN_ID = b.ID 
WHERE a.SU_VU = 1 --dự đoán 1 là chào bán riêng lẻ
AND LOWER(a.HINH_THUC_CHAO_BAN) LIKE '%trái phiếu%'</t>
        </is>
      </c>
      <c r="U2917" s="390" t="n"/>
      <c r="V2917" s="22" t="n"/>
      <c r="W2917" s="22" t="n"/>
      <c r="X2917" s="22" t="n"/>
      <c r="Y2917" s="395" t="n"/>
      <c r="Z2917" s="22" t="n"/>
      <c r="AA2917" s="22" t="n"/>
      <c r="AB2917" s="22" t="n"/>
      <c r="AC2917" s="22" t="n"/>
      <c r="AD2917" s="22" t="n"/>
      <c r="AE2917" s="22" t="n"/>
    </row>
    <row r="2918" ht="84" customHeight="1" s="380">
      <c r="A2918" s="148" t="n">
        <v>119</v>
      </c>
      <c r="B2918" s="390" t="n"/>
      <c r="C2918" s="390" t="inlineStr">
        <is>
          <t>Báo cáo liên quan đến trái phiếu doanh nghiệp riêng lẻ &gt;&gt; Báo cáo của tổ chức tư vấn hồ sơ chào bán trái phiếu doanh nghiệp riêng lẻ</t>
        </is>
      </c>
      <c r="D2918" s="390" t="inlineStr">
        <is>
          <t>Số lượng hợp đồng cung cấp dịch vụ trong kỳ &gt;&gt; Thời gian hợp đồng</t>
        </is>
      </c>
      <c r="E2918" s="401" t="inlineStr">
        <is>
          <t>Thời gian hợp đồng</t>
        </is>
      </c>
      <c r="F2918" s="390" t="inlineStr">
        <is>
          <t>Data Explorer</t>
        </is>
      </c>
      <c r="G2918" s="390" t="inlineStr">
        <is>
          <t>Chỉ tiêu cơ sở</t>
        </is>
      </c>
      <c r="H2918" s="390" t="inlineStr">
        <is>
          <t>TB</t>
        </is>
      </c>
      <c r="I2918" s="390" t="inlineStr">
        <is>
          <t>Ngày, CTCK</t>
        </is>
      </c>
      <c r="J2918" s="401" t="inlineStr">
        <is>
          <t>SCMS</t>
        </is>
      </c>
      <c r="K2918" s="401" t="n"/>
      <c r="L2918" s="401" t="inlineStr">
        <is>
          <t>X</t>
        </is>
      </c>
      <c r="M2918" s="401" t="n"/>
      <c r="N2918" s="401" t="inlineStr">
        <is>
          <t>Done</t>
        </is>
      </c>
      <c r="O2918" s="401" t="n"/>
      <c r="P2918" s="22" t="n"/>
      <c r="Q2918" s="401" t="n"/>
      <c r="R2918" s="401" t="n"/>
      <c r="S2918" s="22" t="n"/>
      <c r="U2918" s="390" t="n"/>
      <c r="V2918" s="22" t="n"/>
      <c r="W2918" s="22" t="n"/>
      <c r="X2918" s="22" t="n"/>
      <c r="Y2918" s="395" t="n"/>
      <c r="Z2918" s="22" t="n"/>
      <c r="AA2918" s="22" t="n"/>
      <c r="AB2918" s="22" t="n"/>
      <c r="AC2918" s="22" t="n"/>
      <c r="AD2918" s="22" t="n"/>
      <c r="AE2918" s="22" t="n"/>
    </row>
    <row r="2919" ht="84" customHeight="1" s="380">
      <c r="A2919" s="148" t="n">
        <v>119</v>
      </c>
      <c r="B2919" s="390" t="n"/>
      <c r="C2919" s="390" t="inlineStr">
        <is>
          <t>Báo cáo liên quan đến trái phiếu doanh nghiệp riêng lẻ &gt;&gt; Báo cáo của tổ chức tư vấn hồ sơ chào bán trái phiếu doanh nghiệp riêng lẻ</t>
        </is>
      </c>
      <c r="D2919" s="390" t="inlineStr">
        <is>
          <t>Số lượng hợp đồng cung cấp dịch vụ trong kỳ &gt;&gt; Doanh nghiệp phát hành</t>
        </is>
      </c>
      <c r="E2919" s="401" t="inlineStr">
        <is>
          <t>Doanh nghiệp phát hành</t>
        </is>
      </c>
      <c r="F2919" s="390" t="inlineStr">
        <is>
          <t>Data Explorer</t>
        </is>
      </c>
      <c r="G2919" s="390" t="inlineStr">
        <is>
          <t>Chỉ tiêu cơ sở</t>
        </is>
      </c>
      <c r="H2919" s="390" t="inlineStr">
        <is>
          <t>TB</t>
        </is>
      </c>
      <c r="I2919" s="390" t="inlineStr">
        <is>
          <t>Ngày, CTCK</t>
        </is>
      </c>
      <c r="J2919" s="401" t="inlineStr">
        <is>
          <t>SCMS</t>
        </is>
      </c>
      <c r="K2919" s="401" t="n"/>
      <c r="L2919" s="401" t="inlineStr">
        <is>
          <t>X</t>
        </is>
      </c>
      <c r="M2919" s="401" t="n"/>
      <c r="N2919" s="401" t="inlineStr">
        <is>
          <t>Done</t>
        </is>
      </c>
      <c r="O2919" s="401" t="n"/>
      <c r="P2919" s="22" t="n"/>
      <c r="Q2919" s="401" t="n"/>
      <c r="R2919" s="401" t="n"/>
      <c r="S2919" s="22" t="n"/>
      <c r="U2919" s="390" t="n"/>
      <c r="V2919" s="22" t="n"/>
      <c r="W2919" s="22" t="n"/>
      <c r="X2919" s="22" t="n"/>
      <c r="Y2919" s="36" t="n"/>
      <c r="Z2919" s="22" t="n"/>
      <c r="AA2919" s="22" t="n"/>
      <c r="AB2919" s="22" t="n"/>
      <c r="AC2919" s="22" t="n"/>
      <c r="AD2919" s="22" t="n"/>
      <c r="AE2919" s="22" t="n"/>
    </row>
    <row r="2920" ht="84" customHeight="1" s="380">
      <c r="A2920" s="148" t="n">
        <v>119</v>
      </c>
      <c r="B2920" s="390" t="n"/>
      <c r="C2920" s="390" t="inlineStr">
        <is>
          <t>Báo cáo liên quan đến trái phiếu doanh nghiệp riêng lẻ &gt;&gt; Báo cáo của tổ chức tư vấn hồ sơ chào bán trái phiếu doanh nghiệp riêng lẻ</t>
        </is>
      </c>
      <c r="D2920" s="390" t="inlineStr">
        <is>
          <t>Số lượng hợp đồng cung cấp dịch vụ trong kỳ &gt;&gt; Mã trái phiếu</t>
        </is>
      </c>
      <c r="E2920" s="401" t="inlineStr">
        <is>
          <t>Mã trái phiếu</t>
        </is>
      </c>
      <c r="F2920" s="390" t="inlineStr">
        <is>
          <t>Data Explorer</t>
        </is>
      </c>
      <c r="G2920" s="390" t="inlineStr">
        <is>
          <t>Chỉ tiêu cơ sở</t>
        </is>
      </c>
      <c r="H2920" s="390" t="inlineStr">
        <is>
          <t>TB</t>
        </is>
      </c>
      <c r="I2920" s="390" t="inlineStr">
        <is>
          <t>Ngày, CTCK</t>
        </is>
      </c>
      <c r="J2920" s="401" t="inlineStr">
        <is>
          <t>SCMS</t>
        </is>
      </c>
      <c r="K2920" s="401" t="n"/>
      <c r="L2920" s="401" t="inlineStr">
        <is>
          <t>X</t>
        </is>
      </c>
      <c r="M2920" s="401" t="n"/>
      <c r="N2920" s="401" t="inlineStr">
        <is>
          <t>Done</t>
        </is>
      </c>
      <c r="O2920" s="401" t="n"/>
      <c r="P2920" s="22" t="n"/>
      <c r="Q2920" s="401" t="n"/>
      <c r="R2920" s="401" t="n"/>
      <c r="S2920" s="22" t="n"/>
      <c r="U2920" s="390" t="n"/>
      <c r="V2920" s="22" t="n"/>
      <c r="W2920" s="22" t="n"/>
      <c r="X2920" s="22" t="n"/>
      <c r="Y2920" s="36" t="n"/>
      <c r="Z2920" s="22" t="n"/>
      <c r="AA2920" s="22" t="n"/>
      <c r="AB2920" s="22" t="n"/>
      <c r="AC2920" s="22" t="n"/>
      <c r="AD2920" s="22" t="n"/>
      <c r="AE2920" s="22" t="n"/>
    </row>
    <row r="2921" ht="84" customHeight="1" s="380">
      <c r="A2921" s="148" t="n">
        <v>119</v>
      </c>
      <c r="B2921" s="390" t="n"/>
      <c r="C2921" s="390" t="inlineStr">
        <is>
          <t>Báo cáo liên quan đến trái phiếu doanh nghiệp riêng lẻ &gt;&gt; Báo cáo của tổ chức tư vấn hồ sơ chào bán trái phiếu doanh nghiệp riêng lẻ</t>
        </is>
      </c>
      <c r="D2921" s="390" t="inlineStr">
        <is>
          <t>Số lượng hợp đồng cung cấp dịch vụ trong kỳ &gt;&gt; Ngày phát hành</t>
        </is>
      </c>
      <c r="E2921" s="401" t="inlineStr">
        <is>
          <t>Ngày phát hành</t>
        </is>
      </c>
      <c r="F2921" s="390" t="inlineStr">
        <is>
          <t>Data Explorer</t>
        </is>
      </c>
      <c r="G2921" s="390" t="inlineStr">
        <is>
          <t>Chỉ tiêu cơ sở</t>
        </is>
      </c>
      <c r="H2921" s="390" t="inlineStr">
        <is>
          <t>TB</t>
        </is>
      </c>
      <c r="I2921" s="390" t="inlineStr">
        <is>
          <t>Ngày, CTCK</t>
        </is>
      </c>
      <c r="J2921" s="401" t="inlineStr">
        <is>
          <t>SCMS</t>
        </is>
      </c>
      <c r="K2921" s="401" t="n"/>
      <c r="L2921" s="401" t="inlineStr">
        <is>
          <t>X</t>
        </is>
      </c>
      <c r="M2921" s="401" t="n"/>
      <c r="N2921" s="401" t="inlineStr">
        <is>
          <t>Done</t>
        </is>
      </c>
      <c r="O2921" s="401" t="n"/>
      <c r="P2921" s="22" t="n"/>
      <c r="Q2921" s="401" t="n"/>
      <c r="R2921" s="401" t="n"/>
      <c r="S2921" s="22" t="n"/>
      <c r="U2921" s="390" t="n"/>
      <c r="V2921" s="22" t="n"/>
      <c r="W2921" s="22" t="n"/>
      <c r="X2921" s="22" t="n"/>
      <c r="Y2921" s="395" t="n"/>
      <c r="Z2921" s="22" t="n"/>
      <c r="AA2921" s="22" t="n"/>
      <c r="AB2921" s="22" t="n"/>
      <c r="AC2921" s="22" t="n"/>
      <c r="AD2921" s="22" t="n"/>
      <c r="AE2921" s="22" t="n"/>
    </row>
    <row r="2922" ht="84" customHeight="1" s="380">
      <c r="A2922" s="148" t="n">
        <v>119</v>
      </c>
      <c r="B2922" s="390" t="n"/>
      <c r="C2922" s="390" t="inlineStr">
        <is>
          <t>Báo cáo liên quan đến trái phiếu doanh nghiệp riêng lẻ &gt;&gt; Báo cáo của tổ chức tư vấn hồ sơ chào bán trái phiếu doanh nghiệp riêng lẻ</t>
        </is>
      </c>
      <c r="D2922" s="390" t="inlineStr">
        <is>
          <t>Số lượng hợp đồng cung cấp dịch vụ trong kỳ &gt;&gt; Giá trị phát hành</t>
        </is>
      </c>
      <c r="E2922" s="401" t="inlineStr">
        <is>
          <t>Giá trị phát hành</t>
        </is>
      </c>
      <c r="F2922" s="390" t="inlineStr">
        <is>
          <t>Data Explorer</t>
        </is>
      </c>
      <c r="G2922" s="390" t="inlineStr">
        <is>
          <t>Chỉ tiêu cơ sở</t>
        </is>
      </c>
      <c r="H2922" s="390" t="inlineStr">
        <is>
          <t>TB</t>
        </is>
      </c>
      <c r="I2922" s="390" t="inlineStr">
        <is>
          <t>Ngày, CTCK</t>
        </is>
      </c>
      <c r="J2922" s="401" t="inlineStr">
        <is>
          <t>SCMS</t>
        </is>
      </c>
      <c r="K2922" s="401" t="n"/>
      <c r="L2922" s="401" t="inlineStr">
        <is>
          <t>X</t>
        </is>
      </c>
      <c r="M2922" s="401" t="n"/>
      <c r="N2922" s="401" t="inlineStr">
        <is>
          <t>Done</t>
        </is>
      </c>
      <c r="O2922" s="401" t="n"/>
      <c r="P2922" s="22" t="n"/>
      <c r="Q2922" s="401" t="n"/>
      <c r="R2922" s="401" t="n"/>
      <c r="S2922" s="22" t="n"/>
      <c r="U2922" s="390" t="n"/>
      <c r="V2922" s="22" t="n"/>
      <c r="W2922" s="22" t="n"/>
      <c r="X2922" s="22" t="n"/>
      <c r="Y2922" s="395" t="n"/>
      <c r="Z2922" s="22" t="n"/>
      <c r="AA2922" s="22" t="n"/>
      <c r="AB2922" s="22" t="n"/>
      <c r="AC2922" s="22" t="n"/>
      <c r="AD2922" s="22" t="n"/>
      <c r="AE2922" s="22" t="n"/>
    </row>
    <row r="2923" ht="84" customHeight="1" s="380">
      <c r="A2923" s="148" t="n">
        <v>119</v>
      </c>
      <c r="B2923" s="390" t="n"/>
      <c r="C2923" s="390" t="inlineStr">
        <is>
          <t>Báo cáo liên quan đến trái phiếu doanh nghiệp riêng lẻ &gt;&gt; Báo cáo của tổ chức tư vấn hồ sơ chào bán trái phiếu doanh nghiệp riêng lẻ</t>
        </is>
      </c>
      <c r="D2923" s="390" t="inlineStr">
        <is>
          <t>Số lượng hợp đồng cung cấp dịch vụ trong kỳ &gt;&gt; Kỳ hạn trái phiếu</t>
        </is>
      </c>
      <c r="E2923" s="401" t="inlineStr">
        <is>
          <t>Kỳ hạn trái phiếu</t>
        </is>
      </c>
      <c r="F2923" s="390" t="inlineStr">
        <is>
          <t>Data Explorer</t>
        </is>
      </c>
      <c r="G2923" s="390" t="inlineStr">
        <is>
          <t>Chỉ tiêu cơ sở</t>
        </is>
      </c>
      <c r="H2923" s="390" t="inlineStr">
        <is>
          <t>TB</t>
        </is>
      </c>
      <c r="I2923" s="390" t="inlineStr">
        <is>
          <t>Ngày, CTCK</t>
        </is>
      </c>
      <c r="J2923" s="401" t="inlineStr">
        <is>
          <t>SCMS</t>
        </is>
      </c>
      <c r="K2923" s="401" t="n"/>
      <c r="L2923" s="401" t="inlineStr">
        <is>
          <t>X</t>
        </is>
      </c>
      <c r="M2923" s="401" t="n"/>
      <c r="N2923" s="401" t="inlineStr">
        <is>
          <t>Pending</t>
        </is>
      </c>
      <c r="O2923" s="401" t="n"/>
      <c r="P2923" s="22" t="n"/>
      <c r="Q2923" s="401" t="n"/>
      <c r="R2923" s="401" t="n"/>
      <c r="S2923" s="22" t="n"/>
      <c r="U2923" s="390" t="inlineStr">
        <is>
          <t>Không có thông tin</t>
        </is>
      </c>
      <c r="V2923" s="22" t="n"/>
      <c r="W2923" s="22" t="n"/>
      <c r="X2923" s="22" t="n"/>
      <c r="Y2923" s="395" t="n"/>
      <c r="Z2923" s="22" t="n"/>
      <c r="AA2923" s="22" t="n"/>
      <c r="AB2923" s="22" t="n"/>
      <c r="AC2923" s="22" t="n"/>
      <c r="AD2923" s="22" t="n"/>
      <c r="AE2923" s="22" t="n"/>
    </row>
    <row r="2924" ht="84" customHeight="1" s="380">
      <c r="A2924" s="148" t="n">
        <v>119</v>
      </c>
      <c r="B2924" s="390" t="n"/>
      <c r="C2924" s="390" t="inlineStr">
        <is>
          <t>Báo cáo liên quan đến trái phiếu doanh nghiệp riêng lẻ &gt;&gt; Báo cáo của tổ chức tư vấn hồ sơ chào bán trái phiếu doanh nghiệp riêng lẻ</t>
        </is>
      </c>
      <c r="D2924" s="390" t="inlineStr">
        <is>
          <t>Số lượng hợp đồng cung cấp dịch vụ trong kỳ &gt;&gt; Phương thức phát hành</t>
        </is>
      </c>
      <c r="E2924" s="401" t="inlineStr">
        <is>
          <t>Phương thức phát hành</t>
        </is>
      </c>
      <c r="F2924" s="390" t="inlineStr">
        <is>
          <t>Data Explorer</t>
        </is>
      </c>
      <c r="G2924" s="390" t="inlineStr">
        <is>
          <t>Chỉ tiêu cơ sở</t>
        </is>
      </c>
      <c r="H2924" s="390" t="inlineStr">
        <is>
          <t>TB</t>
        </is>
      </c>
      <c r="I2924" s="390" t="inlineStr">
        <is>
          <t>Ngày, CTCK</t>
        </is>
      </c>
      <c r="J2924" s="401" t="inlineStr">
        <is>
          <t>SCMS</t>
        </is>
      </c>
      <c r="K2924" s="401" t="n"/>
      <c r="L2924" s="401" t="inlineStr">
        <is>
          <t>X</t>
        </is>
      </c>
      <c r="M2924" s="401" t="n"/>
      <c r="N2924" s="401" t="inlineStr">
        <is>
          <t>Done</t>
        </is>
      </c>
      <c r="O2924" s="401" t="n"/>
      <c r="P2924" s="22" t="n"/>
      <c r="Q2924" s="401" t="n"/>
      <c r="R2924" s="401" t="n"/>
      <c r="S2924" s="22" t="n"/>
      <c r="U2924" s="390" t="n"/>
      <c r="V2924" s="22" t="n"/>
      <c r="W2924" s="22" t="n"/>
      <c r="X2924" s="22" t="n"/>
      <c r="Y2924" s="395" t="n"/>
      <c r="Z2924" s="22" t="n"/>
      <c r="AA2924" s="22" t="n"/>
      <c r="AB2924" s="22" t="n"/>
      <c r="AC2924" s="22" t="n"/>
      <c r="AD2924" s="22" t="n"/>
      <c r="AE2924" s="22" t="n"/>
    </row>
    <row r="2925" ht="84" customHeight="1" s="380">
      <c r="A2925" s="148" t="n">
        <v>119</v>
      </c>
      <c r="B2925" s="390" t="n"/>
      <c r="C2925" s="390" t="inlineStr">
        <is>
          <t>Báo cáo liên quan đến trái phiếu doanh nghiệp riêng lẻ &gt;&gt; Báo cáo của tổ chức tư vấn hồ sơ chào bán trái phiếu doanh nghiệp riêng lẻ</t>
        </is>
      </c>
      <c r="D2925" s="390" t="inlineStr">
        <is>
          <t>Số lượng hợp đồng cung cấp dịch vụ trong kỳ &gt;&gt; Tình trạng (đang thực hiện/ đã hoàn thành)</t>
        </is>
      </c>
      <c r="E2925" s="401" t="inlineStr">
        <is>
          <t>Tình trạng (đang thực hiện/ đã hoàn thành)</t>
        </is>
      </c>
      <c r="F2925" s="390" t="inlineStr">
        <is>
          <t>Data Explorer</t>
        </is>
      </c>
      <c r="G2925" s="390" t="inlineStr">
        <is>
          <t>Chỉ tiêu cơ sở</t>
        </is>
      </c>
      <c r="H2925" s="390" t="inlineStr">
        <is>
          <t>TB</t>
        </is>
      </c>
      <c r="I2925" s="390" t="inlineStr">
        <is>
          <t>Ngày, CTCK</t>
        </is>
      </c>
      <c r="J2925" s="401" t="inlineStr">
        <is>
          <t>SCMS</t>
        </is>
      </c>
      <c r="K2925" s="401" t="n"/>
      <c r="L2925" s="401" t="inlineStr">
        <is>
          <t>X</t>
        </is>
      </c>
      <c r="M2925" s="401" t="n"/>
      <c r="N2925" s="401" t="inlineStr">
        <is>
          <t>Done</t>
        </is>
      </c>
      <c r="O2925" s="401" t="n"/>
      <c r="P2925" s="22" t="n"/>
      <c r="Q2925" s="401" t="n"/>
      <c r="R2925" s="401" t="n"/>
      <c r="S2925" s="22" t="n"/>
      <c r="U2925" s="390" t="n"/>
      <c r="V2925" s="22" t="n"/>
      <c r="W2925" s="22" t="n"/>
      <c r="X2925" s="22" t="n"/>
      <c r="Y2925" s="37" t="n"/>
      <c r="Z2925" s="22" t="n"/>
      <c r="AA2925" s="22" t="n"/>
      <c r="AB2925" s="22" t="n"/>
      <c r="AC2925" s="22" t="n"/>
      <c r="AD2925" s="22" t="n"/>
      <c r="AE2925" s="22" t="n"/>
    </row>
    <row r="2926" ht="84" customHeight="1" s="380">
      <c r="A2926" s="148" t="n">
        <v>119</v>
      </c>
      <c r="B2926" s="390" t="n"/>
      <c r="C2926" s="390" t="inlineStr">
        <is>
          <t>Báo cáo liên quan đến trái phiếu doanh nghiệp riêng lẻ &gt;&gt; Báo cáo của tổ chức tư vấn hồ sơ chào bán trái phiếu doanh nghiệp riêng lẻ</t>
        </is>
      </c>
      <c r="D2926" s="390" t="inlineStr">
        <is>
          <t>Kết quả rà soát điều kiện, hồ sơ chào bán trái phiếu đối với các hợp đồng đã hoàn thành &gt;&gt; Số hợp đồng</t>
        </is>
      </c>
      <c r="E2926" s="401" t="inlineStr">
        <is>
          <t>Số hợp đồng</t>
        </is>
      </c>
      <c r="F2926" s="390" t="inlineStr">
        <is>
          <t>Data Explorer</t>
        </is>
      </c>
      <c r="G2926" s="390" t="inlineStr">
        <is>
          <t>Chỉ tiêu cơ sở</t>
        </is>
      </c>
      <c r="H2926" s="390" t="inlineStr">
        <is>
          <t>TB</t>
        </is>
      </c>
      <c r="I2926" s="390" t="inlineStr">
        <is>
          <t>Ngày, CTCK</t>
        </is>
      </c>
      <c r="J2926" s="401" t="inlineStr">
        <is>
          <t>SCMS</t>
        </is>
      </c>
      <c r="K2926" s="401" t="n"/>
      <c r="L2926" s="401" t="inlineStr">
        <is>
          <t>X</t>
        </is>
      </c>
      <c r="M2926" s="401" t="n"/>
      <c r="N2926" s="401" t="inlineStr">
        <is>
          <t>Done</t>
        </is>
      </c>
      <c r="O2926" s="401" t="n"/>
      <c r="P2926" s="22" t="n"/>
      <c r="Q2926" s="401" t="n"/>
      <c r="R2926" s="401" t="n"/>
      <c r="S2926" s="22" t="n"/>
      <c r="T2926" s="389" t="inlineStr">
        <is>
          <t>SELECT a.SO_VAN_BAN "Số hợp đồng",
b.TEN_TIENG_VIET "Doanh nghiệp phát hành"
FROM SCMS.CBTT_CHAO_BAN_CHUNG_KHOAN a
LEFT JOIN SCMS.CTCK_THONG_TIN b ON a.CTCK_THONG_TIN_ID = b.ID 
WHERE a.SU_VU = 1 --dự đoán 1 là chào bán riêng lẻ
AND LOWER(a.HINH_THUC_CHAO_BAN) LIKE '%trái phiếu%'
AND a.TRANG_THAI = 1 -- dự đoán 1 là hoàn thành</t>
        </is>
      </c>
      <c r="U2926" s="390" t="n"/>
      <c r="V2926" s="22" t="n"/>
      <c r="W2926" s="22" t="n"/>
      <c r="X2926" s="22" t="n"/>
      <c r="Y2926" s="395" t="n"/>
      <c r="Z2926" s="22" t="n"/>
      <c r="AA2926" s="22" t="n"/>
      <c r="AB2926" s="22" t="n"/>
      <c r="AC2926" s="22" t="n"/>
      <c r="AD2926" s="22" t="n"/>
      <c r="AE2926" s="22" t="n"/>
    </row>
    <row r="2927" ht="84" customHeight="1" s="380">
      <c r="A2927" s="148" t="n">
        <v>119</v>
      </c>
      <c r="B2927" s="390" t="n"/>
      <c r="C2927" s="390" t="inlineStr">
        <is>
          <t>Báo cáo liên quan đến trái phiếu doanh nghiệp riêng lẻ &gt;&gt; Báo cáo của tổ chức tư vấn hồ sơ chào bán trái phiếu doanh nghiệp riêng lẻ</t>
        </is>
      </c>
      <c r="D2927" s="390" t="inlineStr">
        <is>
          <t>Kết quả rà soát điều kiện, hồ sơ chào bán trái phiếu đối với các hợp đồng đã hoàn thành &gt;&gt; Doanh nghiệp phát hành</t>
        </is>
      </c>
      <c r="E2927" s="401" t="inlineStr">
        <is>
          <t>Doanh nghiệp phát hành</t>
        </is>
      </c>
      <c r="F2927" s="390" t="inlineStr">
        <is>
          <t>Data Explorer</t>
        </is>
      </c>
      <c r="G2927" s="390" t="inlineStr">
        <is>
          <t>Chỉ tiêu cơ sở</t>
        </is>
      </c>
      <c r="H2927" s="390" t="inlineStr">
        <is>
          <t>TB</t>
        </is>
      </c>
      <c r="I2927" s="390" t="inlineStr">
        <is>
          <t>Ngày, CTCK</t>
        </is>
      </c>
      <c r="J2927" s="401" t="inlineStr">
        <is>
          <t>SCMS</t>
        </is>
      </c>
      <c r="K2927" s="401" t="n"/>
      <c r="L2927" s="401" t="inlineStr">
        <is>
          <t>X</t>
        </is>
      </c>
      <c r="M2927" s="401" t="n"/>
      <c r="N2927" s="401" t="inlineStr">
        <is>
          <t>Done</t>
        </is>
      </c>
      <c r="O2927" s="401" t="n"/>
      <c r="P2927" s="22" t="n"/>
      <c r="Q2927" s="401" t="n"/>
      <c r="R2927" s="401" t="n"/>
      <c r="S2927" s="22" t="n"/>
      <c r="U2927" s="390" t="n"/>
      <c r="V2927" s="22" t="n"/>
      <c r="W2927" s="22" t="n"/>
      <c r="X2927" s="22" t="n"/>
      <c r="Y2927" s="13" t="n"/>
      <c r="Z2927" s="22" t="n"/>
      <c r="AA2927" s="22" t="n"/>
      <c r="AB2927" s="22" t="n"/>
      <c r="AC2927" s="22" t="n"/>
      <c r="AD2927" s="22" t="n"/>
      <c r="AE2927" s="22" t="n"/>
    </row>
    <row r="2928" ht="84" customHeight="1" s="380">
      <c r="A2928" s="148" t="n">
        <v>119</v>
      </c>
      <c r="B2928" s="390" t="n"/>
      <c r="C2928" s="390" t="inlineStr">
        <is>
          <t>Báo cáo liên quan đến trái phiếu doanh nghiệp riêng lẻ &gt;&gt; Báo cáo của tổ chức tư vấn hồ sơ chào bán trái phiếu doanh nghiệp riêng lẻ</t>
        </is>
      </c>
      <c r="D2928" s="390" t="inlineStr">
        <is>
          <t>Kết quả rà soát điều kiện, hồ sơ chào bán trái phiếu đối với các hợp đồng đã hoàn thành &gt;&gt; Mã trái phiếu</t>
        </is>
      </c>
      <c r="E2928" s="401" t="inlineStr">
        <is>
          <t>Mã trái phiếu</t>
        </is>
      </c>
      <c r="F2928" s="390" t="inlineStr">
        <is>
          <t>Data Explorer</t>
        </is>
      </c>
      <c r="G2928" s="390" t="inlineStr">
        <is>
          <t>Chỉ tiêu cơ sở</t>
        </is>
      </c>
      <c r="H2928" s="390" t="inlineStr">
        <is>
          <t>TB</t>
        </is>
      </c>
      <c r="I2928" s="390" t="inlineStr">
        <is>
          <t>Ngày, CTCK</t>
        </is>
      </c>
      <c r="J2928" s="401" t="inlineStr">
        <is>
          <t>SCMS</t>
        </is>
      </c>
      <c r="K2928" s="401" t="n"/>
      <c r="L2928" s="401" t="inlineStr">
        <is>
          <t>X</t>
        </is>
      </c>
      <c r="M2928" s="401" t="n"/>
      <c r="N2928" s="401" t="inlineStr">
        <is>
          <t>Pending</t>
        </is>
      </c>
      <c r="O2928" s="401" t="n"/>
      <c r="P2928" s="22" t="n"/>
      <c r="Q2928" s="401" t="n"/>
      <c r="R2928" s="401" t="n"/>
      <c r="S2928" s="22" t="n"/>
      <c r="T2928" s="390" t="n"/>
      <c r="U2928" s="390" t="inlineStr">
        <is>
          <t>Không có thông tin</t>
        </is>
      </c>
      <c r="V2928" s="22" t="n"/>
      <c r="W2928" s="22" t="n"/>
      <c r="X2928" s="22" t="n"/>
      <c r="Y2928" s="13" t="n"/>
      <c r="Z2928" s="22" t="n"/>
      <c r="AA2928" s="22" t="n"/>
      <c r="AB2928" s="22" t="n"/>
      <c r="AC2928" s="22" t="n"/>
      <c r="AD2928" s="22" t="n"/>
      <c r="AE2928" s="22" t="n"/>
    </row>
    <row r="2929" ht="84" customHeight="1" s="380">
      <c r="A2929" s="148" t="n">
        <v>119</v>
      </c>
      <c r="B2929" s="390" t="n"/>
      <c r="C2929" s="390" t="inlineStr">
        <is>
          <t>Báo cáo liên quan đến trái phiếu doanh nghiệp riêng lẻ &gt;&gt; Báo cáo của tổ chức tư vấn hồ sơ chào bán trái phiếu doanh nghiệp riêng lẻ</t>
        </is>
      </c>
      <c r="D2929" s="390" t="inlineStr">
        <is>
          <t>Kết quả rà soát điều kiện, hồ sơ chào bán trái phiếu đối với các hợp đồng đã hoàn thành &gt;&gt; Loại trái phiếu</t>
        </is>
      </c>
      <c r="E2929" s="390" t="inlineStr">
        <is>
          <t>Loại trái phiếu: trái phiếu chuyển đổi, trái phiếu kèm chứng quyền, trái phiếu có bảo đảm, trái phiếu không chuyển đổi, không kèm chứng quyền, trái phiếu không có bảo đảm...</t>
        </is>
      </c>
      <c r="F2929" s="390" t="inlineStr">
        <is>
          <t>Data Explorer</t>
        </is>
      </c>
      <c r="G2929" s="390" t="inlineStr">
        <is>
          <t>Chỉ tiêu cơ sở</t>
        </is>
      </c>
      <c r="H2929" s="390" t="inlineStr">
        <is>
          <t>TB</t>
        </is>
      </c>
      <c r="I2929" s="390" t="inlineStr">
        <is>
          <t>Ngày, CTCK</t>
        </is>
      </c>
      <c r="J2929" s="401" t="inlineStr">
        <is>
          <t>SCMS</t>
        </is>
      </c>
      <c r="K2929" s="401" t="n"/>
      <c r="L2929" s="401" t="inlineStr">
        <is>
          <t>X</t>
        </is>
      </c>
      <c r="M2929" s="401" t="n"/>
      <c r="N2929" s="401" t="inlineStr">
        <is>
          <t>Pending</t>
        </is>
      </c>
      <c r="O2929" s="401" t="n"/>
      <c r="P2929" s="22" t="n"/>
      <c r="Q2929" s="401" t="n"/>
      <c r="R2929" s="401" t="n"/>
      <c r="S2929" s="22" t="n"/>
      <c r="T2929" s="390" t="n"/>
      <c r="U2929" s="390" t="inlineStr">
        <is>
          <t>Không có thông tin</t>
        </is>
      </c>
      <c r="V2929" s="22" t="n"/>
      <c r="W2929" s="22" t="n"/>
      <c r="X2929" s="22" t="n"/>
      <c r="Y2929" s="13" t="n"/>
      <c r="Z2929" s="22" t="n"/>
      <c r="AA2929" s="22" t="n"/>
      <c r="AB2929" s="22" t="n"/>
      <c r="AC2929" s="22" t="n"/>
      <c r="AD2929" s="22" t="n"/>
      <c r="AE2929" s="22" t="n"/>
    </row>
    <row r="2930" ht="84" customHeight="1" s="380">
      <c r="A2930" s="148" t="n">
        <v>119</v>
      </c>
      <c r="B2930" s="390" t="n"/>
      <c r="C2930" s="390" t="inlineStr">
        <is>
          <t>Báo cáo liên quan đến trái phiếu doanh nghiệp riêng lẻ &gt;&gt; Báo cáo của tổ chức tư vấn hồ sơ chào bán trái phiếu doanh nghiệp riêng lẻ</t>
        </is>
      </c>
      <c r="D2930" s="390" t="inlineStr">
        <is>
          <t>Kết quả rà soát điều kiện, hồ sơ chào bán trái phiếu đối với các hợp đồng đã hoàn thành &gt;&gt; Kết quả rà soát điều kiện phát hành</t>
        </is>
      </c>
      <c r="E2930" s="401" t="inlineStr">
        <is>
          <t>Kết quả rà soát điều kiện phát hành</t>
        </is>
      </c>
      <c r="F2930" s="390" t="inlineStr">
        <is>
          <t>Data Explorer</t>
        </is>
      </c>
      <c r="G2930" s="390" t="inlineStr">
        <is>
          <t>Chỉ tiêu cơ sở</t>
        </is>
      </c>
      <c r="H2930" s="390" t="inlineStr">
        <is>
          <t>TB</t>
        </is>
      </c>
      <c r="I2930" s="390" t="inlineStr">
        <is>
          <t>Ngày, CTCK</t>
        </is>
      </c>
      <c r="J2930" s="401" t="inlineStr">
        <is>
          <t>SCMS</t>
        </is>
      </c>
      <c r="K2930" s="401" t="n"/>
      <c r="L2930" s="401" t="inlineStr">
        <is>
          <t>X</t>
        </is>
      </c>
      <c r="M2930" s="401" t="n"/>
      <c r="N2930" s="401" t="inlineStr">
        <is>
          <t>Pending</t>
        </is>
      </c>
      <c r="O2930" s="401" t="n"/>
      <c r="P2930" s="22" t="n"/>
      <c r="Q2930" s="401" t="n"/>
      <c r="R2930" s="401" t="n"/>
      <c r="S2930" s="22" t="n"/>
      <c r="T2930" s="390" t="n"/>
      <c r="U2930" s="390" t="inlineStr">
        <is>
          <t>Không có thông tin</t>
        </is>
      </c>
      <c r="V2930" s="22" t="n"/>
      <c r="W2930" s="22" t="n"/>
      <c r="X2930" s="22" t="n"/>
      <c r="Y2930" s="13" t="n"/>
      <c r="Z2930" s="22" t="n"/>
      <c r="AA2930" s="22" t="n"/>
      <c r="AB2930" s="22" t="n"/>
      <c r="AC2930" s="22" t="n"/>
      <c r="AD2930" s="22" t="n"/>
      <c r="AE2930" s="22" t="n"/>
    </row>
    <row r="2931" ht="84" customHeight="1" s="380">
      <c r="A2931" s="148" t="n">
        <v>119</v>
      </c>
      <c r="B2931" s="390" t="n"/>
      <c r="C2931" s="390" t="inlineStr">
        <is>
          <t>Báo cáo liên quan đến trái phiếu doanh nghiệp riêng lẻ &gt;&gt; Báo cáo của tổ chức tư vấn hồ sơ chào bán trái phiếu doanh nghiệp riêng lẻ</t>
        </is>
      </c>
      <c r="D2931" s="390" t="inlineStr">
        <is>
          <t>Kết quả rà soát điều kiện, hồ sơ chào bán trái phiếu đối với các hợp đồng đã hoàn thành &gt;&gt; Kết quả rà soát hồ sơ phát hành</t>
        </is>
      </c>
      <c r="E2931" s="401" t="inlineStr">
        <is>
          <t>Kết quả rà soát hồ sơ phát hành</t>
        </is>
      </c>
      <c r="F2931" s="390" t="inlineStr">
        <is>
          <t>Data Explorer</t>
        </is>
      </c>
      <c r="G2931" s="390" t="inlineStr">
        <is>
          <t>Chỉ tiêu cơ sở</t>
        </is>
      </c>
      <c r="H2931" s="390" t="inlineStr">
        <is>
          <t>TB</t>
        </is>
      </c>
      <c r="I2931" s="390" t="inlineStr">
        <is>
          <t>Ngày, CTCK</t>
        </is>
      </c>
      <c r="J2931" s="401" t="inlineStr">
        <is>
          <t>SCMS</t>
        </is>
      </c>
      <c r="K2931" s="401" t="n"/>
      <c r="L2931" s="401" t="inlineStr">
        <is>
          <t>X</t>
        </is>
      </c>
      <c r="M2931" s="401" t="n"/>
      <c r="N2931" s="401" t="inlineStr">
        <is>
          <t>Pending</t>
        </is>
      </c>
      <c r="O2931" s="401" t="n"/>
      <c r="P2931" s="22" t="n"/>
      <c r="Q2931" s="401" t="n"/>
      <c r="R2931" s="401" t="n"/>
      <c r="S2931" s="22" t="n"/>
      <c r="T2931" s="390" t="n"/>
      <c r="U2931" s="390" t="inlineStr">
        <is>
          <t>Không có thông tin</t>
        </is>
      </c>
      <c r="V2931" s="22" t="n"/>
      <c r="W2931" s="22" t="n"/>
      <c r="X2931" s="22" t="n"/>
      <c r="Y2931" s="13" t="n"/>
      <c r="Z2931" s="22" t="n"/>
      <c r="AA2931" s="22" t="n"/>
      <c r="AB2931" s="22" t="n"/>
      <c r="AC2931" s="22" t="n"/>
      <c r="AD2931" s="22" t="n"/>
      <c r="AE2931" s="22" t="n"/>
    </row>
    <row r="2932" ht="84" customHeight="1" s="380">
      <c r="A2932" s="149" t="n">
        <v>119</v>
      </c>
      <c r="B2932" s="129" t="n"/>
      <c r="C2932" s="129" t="inlineStr">
        <is>
          <t>Báo cáo liên quan đến trái phiếu doanh nghiệp riêng lẻ &gt;&gt; Báo cáo của tổ chức tư vấn hồ sơ chào bán trái phiếu doanh nghiệp riêng lẻ</t>
        </is>
      </c>
      <c r="D2932" s="129" t="inlineStr">
        <is>
          <t>Kết quả rà soát điều kiện, hồ sơ chào bán trái phiếu đối với các hợp đồng đã hoàn thành &gt;&gt; Đánh giá</t>
        </is>
      </c>
      <c r="E2932" s="85" t="inlineStr">
        <is>
          <t>Đánh giá</t>
        </is>
      </c>
      <c r="F2932" s="129" t="inlineStr">
        <is>
          <t>Data Explorer</t>
        </is>
      </c>
      <c r="G2932" s="129" t="inlineStr">
        <is>
          <t>Chỉ tiêu cơ sở</t>
        </is>
      </c>
      <c r="H2932" s="129" t="inlineStr">
        <is>
          <t>TB</t>
        </is>
      </c>
      <c r="I2932" s="129" t="inlineStr">
        <is>
          <t>Ngày, CTCK</t>
        </is>
      </c>
      <c r="J2932" s="85" t="inlineStr">
        <is>
          <t>SCMS</t>
        </is>
      </c>
      <c r="K2932" s="85" t="n"/>
      <c r="L2932" s="85" t="inlineStr">
        <is>
          <t>X</t>
        </is>
      </c>
      <c r="M2932" s="85" t="n"/>
      <c r="N2932" s="85" t="inlineStr">
        <is>
          <t>Pending</t>
        </is>
      </c>
      <c r="O2932" s="85" t="n"/>
      <c r="P2932" s="130" t="n"/>
      <c r="Q2932" s="85" t="n"/>
      <c r="R2932" s="85" t="n"/>
      <c r="S2932" s="130" t="n"/>
      <c r="T2932" s="129" t="n"/>
      <c r="U2932" s="129" t="inlineStr">
        <is>
          <t>Không có thông tin</t>
        </is>
      </c>
      <c r="V2932" s="130" t="n"/>
      <c r="W2932" s="130" t="n"/>
      <c r="X2932" s="130" t="n"/>
      <c r="Y2932" s="97" t="n"/>
      <c r="Z2932" s="130" t="n"/>
      <c r="AA2932" s="130" t="n"/>
      <c r="AB2932" s="130" t="n"/>
      <c r="AC2932" s="130" t="n"/>
      <c r="AD2932" s="130" t="n"/>
      <c r="AE2932" s="130" t="n"/>
    </row>
    <row r="2933" ht="56" customHeight="1" s="380">
      <c r="A2933" s="126" t="n">
        <v>120</v>
      </c>
      <c r="B2933" s="140" t="n"/>
      <c r="C2933" s="127" t="inlineStr">
        <is>
          <t>Báo cáo tình hình hoạt động tháng - Chi nhánh công ty chứng khoán nước ngoài tại Việt Nam</t>
        </is>
      </c>
      <c r="D2933" s="109" t="inlineStr">
        <is>
          <t>Loại báo cáo</t>
        </is>
      </c>
      <c r="E2933" s="110" t="inlineStr">
        <is>
          <t>Loại báo cáo</t>
        </is>
      </c>
      <c r="F2933" s="403" t="inlineStr">
        <is>
          <t>Data Explorer</t>
        </is>
      </c>
      <c r="G2933" s="390" t="inlineStr">
        <is>
          <t>Chiều</t>
        </is>
      </c>
      <c r="H2933" s="403" t="inlineStr">
        <is>
          <t>Dễ</t>
        </is>
      </c>
      <c r="I2933" s="403" t="inlineStr">
        <is>
          <t>Ngày, CTCK</t>
        </is>
      </c>
      <c r="J2933" s="404" t="inlineStr">
        <is>
          <t>SCMS</t>
        </is>
      </c>
      <c r="K2933" s="404" t="inlineStr">
        <is>
          <t>X</t>
        </is>
      </c>
      <c r="L2933" s="404" t="inlineStr">
        <is>
          <t>X</t>
        </is>
      </c>
      <c r="M2933" s="404" t="n"/>
      <c r="N2933" s="404" t="inlineStr">
        <is>
          <t>Pending</t>
        </is>
      </c>
      <c r="O2933" s="404" t="n"/>
      <c r="P2933" s="141" t="n"/>
      <c r="Q2933" s="105" t="inlineStr">
        <is>
          <t>DB cũ không thấy biểu mẫu báo cáo này</t>
        </is>
      </c>
      <c r="R2933" s="404" t="n"/>
      <c r="S2933" s="141" t="n"/>
      <c r="T2933" s="403" t="n"/>
      <c r="U2933" s="403" t="n"/>
      <c r="V2933" s="141" t="n"/>
      <c r="W2933" s="141" t="n"/>
      <c r="X2933" s="141" t="n"/>
      <c r="Y2933" s="13" t="n"/>
      <c r="Z2933" s="141" t="n"/>
      <c r="AA2933" s="141" t="n"/>
      <c r="AB2933" s="141" t="n"/>
      <c r="AC2933" s="141" t="n"/>
      <c r="AD2933" s="141" t="n"/>
      <c r="AE2933" s="141" t="n"/>
    </row>
    <row r="2934" ht="56" customHeight="1" s="380">
      <c r="A2934" s="126" t="n">
        <v>120</v>
      </c>
      <c r="B2934" s="390" t="n"/>
      <c r="C2934" s="390" t="inlineStr">
        <is>
          <t>Báo cáo tình hình hoạt động tháng - Chi nhánh công ty chứng khoán nước ngoài tại Việt Nam</t>
        </is>
      </c>
      <c r="D2934" s="106" t="inlineStr">
        <is>
          <t>Kỳ báo cáo</t>
        </is>
      </c>
      <c r="E2934" s="107" t="inlineStr">
        <is>
          <t>Kỳ báo cáo</t>
        </is>
      </c>
      <c r="F2934" s="390" t="inlineStr">
        <is>
          <t>Data Explorer</t>
        </is>
      </c>
      <c r="G2934" s="390" t="inlineStr">
        <is>
          <t>Chiều</t>
        </is>
      </c>
      <c r="H2934" s="390" t="inlineStr">
        <is>
          <t>Dễ</t>
        </is>
      </c>
      <c r="I2934" s="390" t="inlineStr">
        <is>
          <t>Ngày, CTCK</t>
        </is>
      </c>
      <c r="J2934" s="401" t="inlineStr">
        <is>
          <t>SCMS</t>
        </is>
      </c>
      <c r="K2934" s="401" t="inlineStr">
        <is>
          <t>X</t>
        </is>
      </c>
      <c r="L2934" s="401" t="inlineStr">
        <is>
          <t>X</t>
        </is>
      </c>
      <c r="M2934" s="401" t="n"/>
      <c r="N2934" s="401" t="inlineStr">
        <is>
          <t>Pending</t>
        </is>
      </c>
      <c r="O2934" s="401" t="n"/>
      <c r="P2934" s="22" t="n"/>
      <c r="Q2934" s="401" t="n"/>
      <c r="R2934" s="401" t="n"/>
      <c r="S2934" s="22" t="n"/>
      <c r="T2934" s="390" t="n"/>
      <c r="U2934" s="390" t="n"/>
      <c r="V2934" s="22" t="n"/>
      <c r="W2934" s="22" t="n"/>
      <c r="X2934" s="22" t="n"/>
      <c r="Y2934" s="13" t="n"/>
      <c r="Z2934" s="22" t="n"/>
      <c r="AA2934" s="22" t="n"/>
      <c r="AB2934" s="22" t="n"/>
      <c r="AC2934" s="22" t="n"/>
      <c r="AD2934" s="22" t="n"/>
      <c r="AE2934" s="22" t="n"/>
    </row>
    <row r="2935" ht="56" customHeight="1" s="380">
      <c r="A2935" s="126" t="n">
        <v>120</v>
      </c>
      <c r="B2935" s="390" t="n"/>
      <c r="C2935" s="390" t="inlineStr">
        <is>
          <t>Báo cáo tình hình hoạt động tháng - Chi nhánh công ty chứng khoán nước ngoài tại Việt Nam</t>
        </is>
      </c>
      <c r="D2935" s="106" t="inlineStr">
        <is>
          <t>Mã báo cáo</t>
        </is>
      </c>
      <c r="E2935" s="107" t="inlineStr">
        <is>
          <t>Mã báo cáo</t>
        </is>
      </c>
      <c r="F2935" s="390" t="inlineStr">
        <is>
          <t>Data Explorer</t>
        </is>
      </c>
      <c r="G2935" s="390" t="inlineStr">
        <is>
          <t>Chiều</t>
        </is>
      </c>
      <c r="H2935" s="390" t="inlineStr">
        <is>
          <t>Dễ</t>
        </is>
      </c>
      <c r="I2935" s="390" t="inlineStr">
        <is>
          <t>Ngày, CTCK</t>
        </is>
      </c>
      <c r="J2935" s="401" t="inlineStr">
        <is>
          <t>SCMS</t>
        </is>
      </c>
      <c r="K2935" s="401" t="inlineStr">
        <is>
          <t>X</t>
        </is>
      </c>
      <c r="L2935" s="401" t="inlineStr">
        <is>
          <t>X</t>
        </is>
      </c>
      <c r="M2935" s="401" t="n"/>
      <c r="N2935" s="401" t="inlineStr">
        <is>
          <t>Pending</t>
        </is>
      </c>
      <c r="O2935" s="401" t="n"/>
      <c r="P2935" s="22" t="n"/>
      <c r="Q2935" s="401" t="n"/>
      <c r="R2935" s="401" t="n"/>
      <c r="S2935" s="22" t="n"/>
      <c r="T2935" s="390" t="n"/>
      <c r="U2935" s="390" t="n"/>
      <c r="V2935" s="22" t="n"/>
      <c r="W2935" s="22" t="n"/>
      <c r="X2935" s="22" t="n"/>
      <c r="Y2935" s="13" t="n"/>
      <c r="Z2935" s="22" t="n"/>
      <c r="AA2935" s="22" t="n"/>
      <c r="AB2935" s="22" t="n"/>
      <c r="AC2935" s="22" t="n"/>
      <c r="AD2935" s="22" t="n"/>
      <c r="AE2935" s="22" t="n"/>
    </row>
    <row r="2936" ht="56" customHeight="1" s="380">
      <c r="A2936" s="126" t="n">
        <v>120</v>
      </c>
      <c r="B2936" s="390" t="n"/>
      <c r="C2936" s="390" t="inlineStr">
        <is>
          <t>Báo cáo tình hình hoạt động tháng - Chi nhánh công ty chứng khoán nước ngoài tại Việt Nam</t>
        </is>
      </c>
      <c r="D2936" s="106" t="inlineStr">
        <is>
          <t>Tên báo cáo</t>
        </is>
      </c>
      <c r="E2936" s="107" t="inlineStr">
        <is>
          <t>Tên báo cáo</t>
        </is>
      </c>
      <c r="F2936" s="390" t="inlineStr">
        <is>
          <t>Data Explorer</t>
        </is>
      </c>
      <c r="G2936" s="390" t="inlineStr">
        <is>
          <t>Chiều</t>
        </is>
      </c>
      <c r="H2936" s="390" t="inlineStr">
        <is>
          <t>Dễ</t>
        </is>
      </c>
      <c r="I2936" s="390" t="inlineStr">
        <is>
          <t>Ngày, CTCK</t>
        </is>
      </c>
      <c r="J2936" s="401" t="inlineStr">
        <is>
          <t>SCMS</t>
        </is>
      </c>
      <c r="K2936" s="401" t="inlineStr">
        <is>
          <t>X</t>
        </is>
      </c>
      <c r="L2936" s="401" t="inlineStr">
        <is>
          <t>X</t>
        </is>
      </c>
      <c r="M2936" s="401" t="n"/>
      <c r="N2936" s="401" t="inlineStr">
        <is>
          <t>Pending</t>
        </is>
      </c>
      <c r="O2936" s="401" t="n"/>
      <c r="P2936" s="22" t="n"/>
      <c r="Q2936" s="401" t="n"/>
      <c r="R2936" s="401" t="n"/>
      <c r="S2936" s="22" t="n"/>
      <c r="T2936" s="390" t="n"/>
      <c r="U2936" s="390" t="n"/>
      <c r="V2936" s="22" t="n"/>
      <c r="W2936" s="22" t="n"/>
      <c r="X2936" s="22" t="n"/>
      <c r="Y2936" s="13" t="n"/>
      <c r="Z2936" s="22" t="n"/>
      <c r="AA2936" s="22" t="n"/>
      <c r="AB2936" s="22" t="n"/>
      <c r="AC2936" s="22" t="n"/>
      <c r="AD2936" s="22" t="n"/>
      <c r="AE2936" s="22" t="n"/>
    </row>
    <row r="2937" ht="56" customHeight="1" s="380">
      <c r="A2937" s="126" t="n">
        <v>120</v>
      </c>
      <c r="B2937" s="390" t="n"/>
      <c r="C2937" s="390" t="inlineStr">
        <is>
          <t>Báo cáo tình hình hoạt động tháng - Chi nhánh công ty chứng khoán nước ngoài tại Việt Nam</t>
        </is>
      </c>
      <c r="D2937" s="106" t="inlineStr">
        <is>
          <t>Mã chỉ tiêu</t>
        </is>
      </c>
      <c r="E2937" s="107" t="inlineStr">
        <is>
          <t>Mã chỉ tiêu</t>
        </is>
      </c>
      <c r="F2937" s="390" t="inlineStr">
        <is>
          <t>Data Explorer</t>
        </is>
      </c>
      <c r="G2937" s="390" t="inlineStr">
        <is>
          <t>Chiều</t>
        </is>
      </c>
      <c r="H2937" s="390" t="inlineStr">
        <is>
          <t>Dễ</t>
        </is>
      </c>
      <c r="I2937" s="390" t="inlineStr">
        <is>
          <t>Ngày, CTCK</t>
        </is>
      </c>
      <c r="J2937" s="401" t="inlineStr">
        <is>
          <t>SCMS</t>
        </is>
      </c>
      <c r="K2937" s="401" t="inlineStr">
        <is>
          <t>X</t>
        </is>
      </c>
      <c r="L2937" s="401" t="inlineStr">
        <is>
          <t>X</t>
        </is>
      </c>
      <c r="M2937" s="401" t="n"/>
      <c r="N2937" s="401" t="inlineStr">
        <is>
          <t>Pending</t>
        </is>
      </c>
      <c r="O2937" s="401" t="n"/>
      <c r="P2937" s="22" t="n"/>
      <c r="Q2937" s="401" t="n"/>
      <c r="R2937" s="401" t="n"/>
      <c r="S2937" s="22" t="n"/>
      <c r="T2937" s="390" t="n"/>
      <c r="U2937" s="390" t="n"/>
      <c r="V2937" s="22" t="n"/>
      <c r="W2937" s="22" t="n"/>
      <c r="X2937" s="22" t="n"/>
      <c r="Y2937" s="38" t="n"/>
      <c r="Z2937" s="22" t="n"/>
      <c r="AA2937" s="22" t="n"/>
      <c r="AB2937" s="22" t="n"/>
      <c r="AC2937" s="22" t="n"/>
      <c r="AD2937" s="22" t="n"/>
      <c r="AE2937" s="22" t="n"/>
    </row>
    <row r="2938" ht="56" customHeight="1" s="380">
      <c r="A2938" s="126" t="n">
        <v>120</v>
      </c>
      <c r="B2938" s="390" t="n"/>
      <c r="C2938" s="390" t="inlineStr">
        <is>
          <t>Báo cáo tình hình hoạt động tháng - Chi nhánh công ty chứng khoán nước ngoài tại Việt Nam</t>
        </is>
      </c>
      <c r="D2938" s="106" t="inlineStr">
        <is>
          <t>Tên chỉ tiêu</t>
        </is>
      </c>
      <c r="E2938" s="107" t="inlineStr">
        <is>
          <t>Tên chỉ tiêu</t>
        </is>
      </c>
      <c r="F2938" s="390" t="inlineStr">
        <is>
          <t>Data Explorer</t>
        </is>
      </c>
      <c r="G2938" s="390" t="inlineStr">
        <is>
          <t>Chiều</t>
        </is>
      </c>
      <c r="H2938" s="390" t="inlineStr">
        <is>
          <t>Dễ</t>
        </is>
      </c>
      <c r="I2938" s="390" t="inlineStr">
        <is>
          <t>Ngày, CTCK</t>
        </is>
      </c>
      <c r="J2938" s="401" t="inlineStr">
        <is>
          <t>SCMS</t>
        </is>
      </c>
      <c r="K2938" s="401" t="inlineStr">
        <is>
          <t>X</t>
        </is>
      </c>
      <c r="L2938" s="401" t="inlineStr">
        <is>
          <t>X</t>
        </is>
      </c>
      <c r="M2938" s="401" t="n"/>
      <c r="N2938" s="401" t="inlineStr">
        <is>
          <t>Pending</t>
        </is>
      </c>
      <c r="O2938" s="401" t="n"/>
      <c r="P2938" s="22" t="n"/>
      <c r="Q2938" s="401" t="n"/>
      <c r="R2938" s="401" t="n"/>
      <c r="S2938" s="22" t="n"/>
      <c r="T2938" s="390" t="n"/>
      <c r="U2938" s="390" t="n"/>
      <c r="V2938" s="22" t="n"/>
      <c r="W2938" s="22" t="n"/>
      <c r="X2938" s="22" t="n"/>
      <c r="Y2938" s="13" t="n"/>
      <c r="Z2938" s="22" t="n"/>
      <c r="AA2938" s="22" t="n"/>
      <c r="AB2938" s="22" t="n"/>
      <c r="AC2938" s="22" t="n"/>
      <c r="AD2938" s="22" t="n"/>
      <c r="AE2938" s="22" t="n"/>
    </row>
    <row r="2939" ht="56" customHeight="1" s="380">
      <c r="A2939" s="126" t="n">
        <v>120</v>
      </c>
      <c r="B2939" s="390" t="n"/>
      <c r="C2939" s="390" t="inlineStr">
        <is>
          <t>Báo cáo tình hình hoạt động tháng - Chi nhánh công ty chứng khoán nước ngoài tại Việt Nam</t>
        </is>
      </c>
      <c r="D2939" s="390" t="inlineStr">
        <is>
          <t>Tình hình nhân sự của chi nhánh &gt;&gt; Giám đốc chi nhánh &gt;&gt; Số lượng người làm việc đầu tháng</t>
        </is>
      </c>
      <c r="E2939" s="390" t="inlineStr">
        <is>
          <t>Tình hình nhân sự của chi nhánh &gt;&gt; Giám đốc chi nhánh &gt;&gt; Số lượng người làm việc đầu tháng</t>
        </is>
      </c>
      <c r="F2939" s="390" t="inlineStr">
        <is>
          <t>Data Explorer</t>
        </is>
      </c>
      <c r="G2939" s="390" t="inlineStr">
        <is>
          <t>Chỉ tiêu cơ sở</t>
        </is>
      </c>
      <c r="H2939" s="390" t="inlineStr">
        <is>
          <t>Dễ</t>
        </is>
      </c>
      <c r="I2939" s="390" t="inlineStr">
        <is>
          <t>Ngày, CTCK</t>
        </is>
      </c>
      <c r="J2939" s="401" t="inlineStr">
        <is>
          <t>SCMS</t>
        </is>
      </c>
      <c r="K2939" s="401" t="n"/>
      <c r="L2939" s="401" t="inlineStr">
        <is>
          <t>X</t>
        </is>
      </c>
      <c r="M2939" s="401" t="n"/>
      <c r="N2939" s="401" t="inlineStr">
        <is>
          <t>Pending</t>
        </is>
      </c>
      <c r="O2939" s="401" t="n"/>
      <c r="P2939" s="22" t="n"/>
      <c r="Q2939" s="401" t="n"/>
      <c r="R2939" s="401" t="n"/>
      <c r="S2939" s="22" t="n"/>
      <c r="T2939" s="390" t="n"/>
      <c r="U2939" s="390" t="inlineStr">
        <is>
          <t>Không có thông tin</t>
        </is>
      </c>
      <c r="V2939" s="22" t="n"/>
      <c r="W2939" s="22" t="n"/>
      <c r="X2939" s="22" t="n"/>
      <c r="Y2939" s="13" t="n"/>
      <c r="Z2939" s="22" t="n"/>
      <c r="AA2939" s="22" t="n"/>
      <c r="AB2939" s="22" t="n"/>
      <c r="AC2939" s="22" t="n"/>
      <c r="AD2939" s="22" t="n"/>
      <c r="AE2939" s="22" t="n"/>
    </row>
    <row r="2940" ht="56" customHeight="1" s="380">
      <c r="A2940" s="126" t="n">
        <v>120</v>
      </c>
      <c r="B2940" s="390" t="n"/>
      <c r="C2940" s="390" t="inlineStr">
        <is>
          <t>Báo cáo tình hình hoạt động tháng - Chi nhánh công ty chứng khoán nước ngoài tại Việt Nam</t>
        </is>
      </c>
      <c r="D2940" s="390" t="inlineStr">
        <is>
          <t>Tình hình nhân sự của chi nhánh &gt;&gt; Giám đốc chi nhánh &gt;&gt; Số lượng người làm việc cuối tháng</t>
        </is>
      </c>
      <c r="E2940" s="390" t="inlineStr">
        <is>
          <t>Tình hình nhân sự của chi nhánh &gt;&gt; Giám đốc chi nhánh &gt;&gt; Số lượng người làm việc cuối tháng</t>
        </is>
      </c>
      <c r="F2940" s="390" t="inlineStr">
        <is>
          <t>Data Explorer</t>
        </is>
      </c>
      <c r="G2940" s="390" t="inlineStr">
        <is>
          <t>Chỉ tiêu cơ sở</t>
        </is>
      </c>
      <c r="H2940" s="390" t="inlineStr">
        <is>
          <t>Dễ</t>
        </is>
      </c>
      <c r="I2940" s="390" t="inlineStr">
        <is>
          <t>Ngày, CTCK</t>
        </is>
      </c>
      <c r="J2940" s="401" t="inlineStr">
        <is>
          <t>SCMS</t>
        </is>
      </c>
      <c r="K2940" s="401" t="n"/>
      <c r="L2940" s="401" t="inlineStr">
        <is>
          <t>X</t>
        </is>
      </c>
      <c r="M2940" s="401" t="n"/>
      <c r="N2940" s="401" t="inlineStr">
        <is>
          <t>Pending</t>
        </is>
      </c>
      <c r="O2940" s="401" t="n"/>
      <c r="P2940" s="22" t="n"/>
      <c r="Q2940" s="401" t="n"/>
      <c r="R2940" s="401" t="n"/>
      <c r="S2940" s="22" t="n"/>
      <c r="T2940" s="390" t="n"/>
      <c r="U2940" s="390" t="inlineStr">
        <is>
          <t>Không có thông tin</t>
        </is>
      </c>
      <c r="V2940" s="22" t="n"/>
      <c r="W2940" s="22" t="n"/>
      <c r="X2940" s="22" t="n"/>
      <c r="Y2940" s="13" t="n"/>
      <c r="Z2940" s="22" t="n"/>
      <c r="AA2940" s="22" t="n"/>
      <c r="AB2940" s="22" t="n"/>
      <c r="AC2940" s="22" t="n"/>
      <c r="AD2940" s="22" t="n"/>
      <c r="AE2940" s="22" t="n"/>
    </row>
    <row r="2941" ht="70" customHeight="1" s="380">
      <c r="A2941" s="126" t="n">
        <v>120</v>
      </c>
      <c r="B2941" s="390" t="n"/>
      <c r="C2941" s="390" t="inlineStr">
        <is>
          <t>Báo cáo tình hình hoạt động tháng - Chi nhánh công ty chứng khoán nước ngoài tại Việt Nam</t>
        </is>
      </c>
      <c r="D2941" s="390" t="inlineStr">
        <is>
          <t>Tình hình nhân sự của chi nhánh &gt;&gt; Giám đốc chi nhánh &gt;&gt; Số lượng người có chứng chỉ hành nghề đầu tháng</t>
        </is>
      </c>
      <c r="E2941" s="390" t="inlineStr">
        <is>
          <t>Tình hình nhân sự của chi nhánh &gt;&gt; Giám đốc chi nhánh &gt;&gt; Số lượng người có chứng chỉ hành nghề đầu tháng</t>
        </is>
      </c>
      <c r="F2941" s="390" t="inlineStr">
        <is>
          <t>Data Explorer</t>
        </is>
      </c>
      <c r="G2941" s="390" t="inlineStr">
        <is>
          <t>Chỉ tiêu cơ sở</t>
        </is>
      </c>
      <c r="H2941" s="390" t="inlineStr">
        <is>
          <t>Dễ</t>
        </is>
      </c>
      <c r="I2941" s="390" t="inlineStr">
        <is>
          <t>Ngày, CTCK</t>
        </is>
      </c>
      <c r="J2941" s="401" t="inlineStr">
        <is>
          <t>SCMS</t>
        </is>
      </c>
      <c r="K2941" s="401" t="n"/>
      <c r="L2941" s="401" t="inlineStr">
        <is>
          <t>X</t>
        </is>
      </c>
      <c r="M2941" s="401" t="n"/>
      <c r="N2941" s="401" t="inlineStr">
        <is>
          <t>Pending</t>
        </is>
      </c>
      <c r="O2941" s="401" t="n"/>
      <c r="P2941" s="22" t="n"/>
      <c r="Q2941" s="401" t="n"/>
      <c r="R2941" s="401" t="n"/>
      <c r="S2941" s="22" t="n"/>
      <c r="T2941" s="390" t="n"/>
      <c r="U2941" s="390" t="inlineStr">
        <is>
          <t>Không có thông tin</t>
        </is>
      </c>
      <c r="V2941" s="22" t="n"/>
      <c r="W2941" s="22" t="n"/>
      <c r="X2941" s="22" t="n"/>
      <c r="Y2941" s="13" t="n"/>
      <c r="Z2941" s="22" t="n"/>
      <c r="AA2941" s="22" t="n"/>
      <c r="AB2941" s="22" t="n"/>
      <c r="AC2941" s="22" t="n"/>
      <c r="AD2941" s="22" t="n"/>
      <c r="AE2941" s="22" t="n"/>
    </row>
    <row r="2942" ht="84" customHeight="1" s="380">
      <c r="A2942" s="126" t="n">
        <v>120</v>
      </c>
      <c r="B2942" s="390" t="n"/>
      <c r="C2942" s="390" t="inlineStr">
        <is>
          <t>Báo cáo tình hình hoạt động tháng - Chi nhánh công ty chứng khoán nước ngoài tại Việt Nam</t>
        </is>
      </c>
      <c r="D2942" s="390" t="inlineStr">
        <is>
          <t>Tình hình nhân sự của chi nhánh &gt;&gt; Giám đốc chi nhánh &gt;&gt; Số lượng người có chứng chỉ hành nghề tăng/giảm trong tháng &gt;&gt; Tăng</t>
        </is>
      </c>
      <c r="E2942" s="390" t="inlineStr">
        <is>
          <t>Tình hình nhân sự của chi nhánh &gt;&gt; Giám đốc chi nhánh &gt;&gt; Số lượng người có chứng chỉ hành nghề tăng/giảm trong tháng &gt;&gt; Tăng</t>
        </is>
      </c>
      <c r="F2942" s="390" t="inlineStr">
        <is>
          <t>Data Explorer</t>
        </is>
      </c>
      <c r="G2942" s="390" t="inlineStr">
        <is>
          <t>Chỉ tiêu cơ sở</t>
        </is>
      </c>
      <c r="H2942" s="390" t="inlineStr">
        <is>
          <t>Dễ</t>
        </is>
      </c>
      <c r="I2942" s="390" t="inlineStr">
        <is>
          <t>Ngày, CTCK</t>
        </is>
      </c>
      <c r="J2942" s="401" t="inlineStr">
        <is>
          <t>SCMS</t>
        </is>
      </c>
      <c r="K2942" s="401" t="n"/>
      <c r="L2942" s="401" t="inlineStr">
        <is>
          <t>X</t>
        </is>
      </c>
      <c r="M2942" s="401" t="n"/>
      <c r="N2942" s="401" t="inlineStr">
        <is>
          <t>Pending</t>
        </is>
      </c>
      <c r="O2942" s="401" t="n"/>
      <c r="P2942" s="22" t="n"/>
      <c r="Q2942" s="401" t="n"/>
      <c r="R2942" s="401" t="n"/>
      <c r="S2942" s="22" t="n"/>
      <c r="T2942" s="390" t="n"/>
      <c r="U2942" s="390" t="inlineStr">
        <is>
          <t>Không có thông tin</t>
        </is>
      </c>
      <c r="V2942" s="22" t="n"/>
      <c r="W2942" s="22" t="n"/>
      <c r="X2942" s="22" t="n"/>
      <c r="Y2942" s="13" t="n"/>
      <c r="Z2942" s="22" t="n"/>
      <c r="AA2942" s="22" t="n"/>
      <c r="AB2942" s="22" t="n"/>
      <c r="AC2942" s="22" t="n"/>
      <c r="AD2942" s="22" t="n"/>
      <c r="AE2942" s="22" t="n"/>
    </row>
    <row r="2943" ht="84" customHeight="1" s="380">
      <c r="A2943" s="126" t="n">
        <v>120</v>
      </c>
      <c r="B2943" s="390" t="n"/>
      <c r="C2943" s="390" t="inlineStr">
        <is>
          <t>Báo cáo tình hình hoạt động tháng - Chi nhánh công ty chứng khoán nước ngoài tại Việt Nam</t>
        </is>
      </c>
      <c r="D2943" s="390" t="inlineStr">
        <is>
          <t>Tình hình nhân sự của chi nhánh &gt;&gt; Giám đốc chi nhánh &gt;&gt; Số lượng người có chứng chỉ hành nghề tăng/giảm trong tháng &gt;&gt; Giảm</t>
        </is>
      </c>
      <c r="E2943" s="390" t="inlineStr">
        <is>
          <t>Tình hình nhân sự của chi nhánh &gt;&gt; Giám đốc chi nhánh &gt;&gt; Số lượng người có chứng chỉ hành nghề tăng/giảm trong tháng &gt;&gt; Giảm</t>
        </is>
      </c>
      <c r="F2943" s="390" t="inlineStr">
        <is>
          <t>Data Explorer</t>
        </is>
      </c>
      <c r="G2943" s="390" t="inlineStr">
        <is>
          <t>Chỉ tiêu cơ sở</t>
        </is>
      </c>
      <c r="H2943" s="390" t="inlineStr">
        <is>
          <t>Dễ</t>
        </is>
      </c>
      <c r="I2943" s="390" t="inlineStr">
        <is>
          <t>Ngày, CTCK</t>
        </is>
      </c>
      <c r="J2943" s="401" t="inlineStr">
        <is>
          <t>SCMS</t>
        </is>
      </c>
      <c r="K2943" s="401" t="n"/>
      <c r="L2943" s="401" t="inlineStr">
        <is>
          <t>X</t>
        </is>
      </c>
      <c r="M2943" s="401" t="n"/>
      <c r="N2943" s="401" t="inlineStr">
        <is>
          <t>Pending</t>
        </is>
      </c>
      <c r="O2943" s="401" t="n"/>
      <c r="P2943" s="22" t="n"/>
      <c r="Q2943" s="401" t="n"/>
      <c r="R2943" s="401" t="n"/>
      <c r="S2943" s="22" t="n"/>
      <c r="T2943" s="390" t="n"/>
      <c r="U2943" s="390" t="inlineStr">
        <is>
          <t>Không có thông tin</t>
        </is>
      </c>
      <c r="V2943" s="22" t="n"/>
      <c r="W2943" s="22" t="n"/>
      <c r="X2943" s="22" t="n"/>
      <c r="Y2943" s="14" t="n"/>
      <c r="Z2943" s="22" t="n"/>
      <c r="AA2943" s="22" t="n"/>
      <c r="AB2943" s="22" t="n"/>
      <c r="AC2943" s="22" t="n"/>
      <c r="AD2943" s="22" t="n"/>
      <c r="AE2943" s="22" t="n"/>
    </row>
    <row r="2944" ht="70" customHeight="1" s="380">
      <c r="A2944" s="126" t="n">
        <v>120</v>
      </c>
      <c r="B2944" s="390" t="n"/>
      <c r="C2944" s="390" t="inlineStr">
        <is>
          <t>Báo cáo tình hình hoạt động tháng - Chi nhánh công ty chứng khoán nước ngoài tại Việt Nam</t>
        </is>
      </c>
      <c r="D2944" s="390" t="inlineStr">
        <is>
          <t>Tình hình nhân sự của chi nhánh &gt;&gt; Giám đốc chi nhánh &gt;&gt; Số lượng người có chứng chỉ hành nghề cuối tháng</t>
        </is>
      </c>
      <c r="E2944" s="390" t="inlineStr">
        <is>
          <t>Tình hình nhân sự của chi nhánh &gt;&gt; Giám đốc chi nhánh &gt;&gt; Số lượng người có chứng chỉ hành nghề cuối tháng</t>
        </is>
      </c>
      <c r="F2944" s="390" t="inlineStr">
        <is>
          <t>Data Explorer</t>
        </is>
      </c>
      <c r="G2944" s="390" t="inlineStr">
        <is>
          <t>Chỉ tiêu cơ sở</t>
        </is>
      </c>
      <c r="H2944" s="390" t="inlineStr">
        <is>
          <t>Dễ</t>
        </is>
      </c>
      <c r="I2944" s="390" t="inlineStr">
        <is>
          <t>Ngày, CTCK</t>
        </is>
      </c>
      <c r="J2944" s="401" t="inlineStr">
        <is>
          <t>SCMS</t>
        </is>
      </c>
      <c r="K2944" s="401" t="n"/>
      <c r="L2944" s="401" t="inlineStr">
        <is>
          <t>X</t>
        </is>
      </c>
      <c r="M2944" s="401" t="n"/>
      <c r="N2944" s="401" t="inlineStr">
        <is>
          <t>Pending</t>
        </is>
      </c>
      <c r="O2944" s="401" t="n"/>
      <c r="P2944" s="22" t="n"/>
      <c r="Q2944" s="401" t="n"/>
      <c r="R2944" s="401" t="n"/>
      <c r="S2944" s="22" t="n"/>
      <c r="T2944" s="390" t="n"/>
      <c r="U2944" s="390" t="inlineStr">
        <is>
          <t>Không có thông tin</t>
        </is>
      </c>
      <c r="V2944" s="22" t="n"/>
      <c r="W2944" s="22" t="n"/>
      <c r="X2944" s="22" t="n"/>
      <c r="Y2944" s="13" t="n"/>
      <c r="Z2944" s="22" t="n"/>
      <c r="AA2944" s="22" t="n"/>
      <c r="AB2944" s="22" t="n"/>
      <c r="AC2944" s="22" t="n"/>
      <c r="AD2944" s="22" t="n"/>
      <c r="AE2944" s="22" t="n"/>
    </row>
    <row r="2945" ht="56" customHeight="1" s="380">
      <c r="A2945" s="126" t="n">
        <v>120</v>
      </c>
      <c r="B2945" s="390" t="n"/>
      <c r="C2945" s="390" t="inlineStr">
        <is>
          <t>Báo cáo tình hình hoạt động tháng - Chi nhánh công ty chứng khoán nước ngoài tại Việt Nam</t>
        </is>
      </c>
      <c r="D2945" s="390" t="inlineStr">
        <is>
          <t>Tình hình nhân sự của chi nhánh &gt;&gt; Bộ phận tư vấn &gt;&gt; Số lượng người làm việc đầu tháng</t>
        </is>
      </c>
      <c r="E2945" s="390" t="inlineStr">
        <is>
          <t>Tình hình nhân sự của chi nhánh &gt;&gt; Bộ phận tư vấn &gt;&gt; Số lượng người làm việc đầu tháng</t>
        </is>
      </c>
      <c r="F2945" s="390" t="inlineStr">
        <is>
          <t>Data Explorer</t>
        </is>
      </c>
      <c r="G2945" s="390" t="inlineStr">
        <is>
          <t>Chỉ tiêu cơ sở</t>
        </is>
      </c>
      <c r="H2945" s="390" t="inlineStr">
        <is>
          <t>TB</t>
        </is>
      </c>
      <c r="I2945" s="390" t="inlineStr">
        <is>
          <t>Ngày, CTCK</t>
        </is>
      </c>
      <c r="J2945" s="401" t="inlineStr">
        <is>
          <t>SCMS</t>
        </is>
      </c>
      <c r="K2945" s="401" t="n"/>
      <c r="L2945" s="401" t="inlineStr">
        <is>
          <t>X</t>
        </is>
      </c>
      <c r="M2945" s="401" t="n"/>
      <c r="N2945" s="401" t="inlineStr">
        <is>
          <t>Pending</t>
        </is>
      </c>
      <c r="O2945" s="401" t="n"/>
      <c r="P2945" s="22" t="n"/>
      <c r="Q2945" s="401" t="n"/>
      <c r="R2945" s="401" t="n"/>
      <c r="S2945" s="22" t="n"/>
      <c r="T2945" s="390" t="n"/>
      <c r="U2945" s="390" t="inlineStr">
        <is>
          <t>Không có thông tin</t>
        </is>
      </c>
      <c r="V2945" s="22" t="n"/>
      <c r="W2945" s="22" t="n"/>
      <c r="X2945" s="22" t="n"/>
      <c r="Y2945" s="13" t="n"/>
      <c r="Z2945" s="22" t="n"/>
      <c r="AA2945" s="22" t="n"/>
      <c r="AB2945" s="22" t="n"/>
      <c r="AC2945" s="22" t="n"/>
      <c r="AD2945" s="22" t="n"/>
      <c r="AE2945" s="22" t="n"/>
    </row>
    <row r="2946" ht="56" customHeight="1" s="380">
      <c r="A2946" s="126" t="n">
        <v>120</v>
      </c>
      <c r="B2946" s="390" t="n"/>
      <c r="C2946" s="390" t="inlineStr">
        <is>
          <t>Báo cáo tình hình hoạt động tháng - Chi nhánh công ty chứng khoán nước ngoài tại Việt Nam</t>
        </is>
      </c>
      <c r="D2946" s="390" t="inlineStr">
        <is>
          <t>Tình hình nhân sự của chi nhánh &gt;&gt; Bộ phận tư vấn &gt;&gt; Số lượng người làm việc cuối tháng</t>
        </is>
      </c>
      <c r="E2946" s="390" t="inlineStr">
        <is>
          <t>Tình hình nhân sự của chi nhánh &gt;&gt; Bộ phận tư vấn &gt;&gt; Số lượng người làm việc cuối tháng</t>
        </is>
      </c>
      <c r="F2946" s="390" t="inlineStr">
        <is>
          <t>Data Explorer</t>
        </is>
      </c>
      <c r="G2946" s="390" t="inlineStr">
        <is>
          <t>Chỉ tiêu cơ sở</t>
        </is>
      </c>
      <c r="H2946" s="390" t="inlineStr">
        <is>
          <t>TB</t>
        </is>
      </c>
      <c r="I2946" s="390" t="inlineStr">
        <is>
          <t>Ngày, CTCK</t>
        </is>
      </c>
      <c r="J2946" s="401" t="inlineStr">
        <is>
          <t>SCMS</t>
        </is>
      </c>
      <c r="K2946" s="401" t="n"/>
      <c r="L2946" s="401" t="inlineStr">
        <is>
          <t>X</t>
        </is>
      </c>
      <c r="M2946" s="401" t="n"/>
      <c r="N2946" s="401" t="inlineStr">
        <is>
          <t>Pending</t>
        </is>
      </c>
      <c r="O2946" s="401" t="n"/>
      <c r="P2946" s="22" t="n"/>
      <c r="Q2946" s="401" t="n"/>
      <c r="R2946" s="401" t="n"/>
      <c r="S2946" s="22" t="n"/>
      <c r="T2946" s="390" t="n"/>
      <c r="U2946" s="390" t="inlineStr">
        <is>
          <t>Không có thông tin</t>
        </is>
      </c>
      <c r="V2946" s="22" t="n"/>
      <c r="W2946" s="22" t="n"/>
      <c r="X2946" s="22" t="n"/>
      <c r="Y2946" s="13" t="n"/>
      <c r="Z2946" s="22" t="n"/>
      <c r="AA2946" s="22" t="n"/>
      <c r="AB2946" s="22" t="n"/>
      <c r="AC2946" s="22" t="n"/>
      <c r="AD2946" s="22" t="n"/>
      <c r="AE2946" s="22" t="n"/>
    </row>
    <row r="2947" ht="70" customHeight="1" s="380">
      <c r="A2947" s="126" t="n">
        <v>120</v>
      </c>
      <c r="B2947" s="390" t="n"/>
      <c r="C2947" s="390" t="inlineStr">
        <is>
          <t>Báo cáo tình hình hoạt động tháng - Chi nhánh công ty chứng khoán nước ngoài tại Việt Nam</t>
        </is>
      </c>
      <c r="D2947" s="390" t="inlineStr">
        <is>
          <t>Tình hình nhân sự của chi nhánh &gt;&gt; Bộ phận tư vấn &gt;&gt; Số lượng người có chứng chỉ hành nghề đầu tháng</t>
        </is>
      </c>
      <c r="E2947" s="390" t="inlineStr">
        <is>
          <t>Tình hình nhân sự của chi nhánh &gt;&gt; Bộ phận tư vấn &gt;&gt; Số lượng người có chứng chỉ hành nghề đầu tháng</t>
        </is>
      </c>
      <c r="F2947" s="390" t="inlineStr">
        <is>
          <t>Data Explorer</t>
        </is>
      </c>
      <c r="G2947" s="390" t="inlineStr">
        <is>
          <t>Chỉ tiêu cơ sở</t>
        </is>
      </c>
      <c r="H2947" s="390" t="inlineStr">
        <is>
          <t>TB</t>
        </is>
      </c>
      <c r="I2947" s="390" t="inlineStr">
        <is>
          <t>Ngày, CTCK</t>
        </is>
      </c>
      <c r="J2947" s="401" t="inlineStr">
        <is>
          <t>SCMS</t>
        </is>
      </c>
      <c r="K2947" s="401" t="n"/>
      <c r="L2947" s="401" t="inlineStr">
        <is>
          <t>X</t>
        </is>
      </c>
      <c r="M2947" s="401" t="n"/>
      <c r="N2947" s="401" t="inlineStr">
        <is>
          <t>Pending</t>
        </is>
      </c>
      <c r="O2947" s="401" t="n"/>
      <c r="P2947" s="22" t="n"/>
      <c r="Q2947" s="401" t="n"/>
      <c r="R2947" s="401" t="n"/>
      <c r="S2947" s="22" t="n"/>
      <c r="T2947" s="390" t="n"/>
      <c r="U2947" s="390" t="inlineStr">
        <is>
          <t>Không có thông tin</t>
        </is>
      </c>
      <c r="V2947" s="22" t="n"/>
      <c r="W2947" s="22" t="n"/>
      <c r="X2947" s="22" t="n"/>
      <c r="Y2947" s="13" t="n"/>
      <c r="Z2947" s="22" t="n"/>
      <c r="AA2947" s="22" t="n"/>
      <c r="AB2947" s="22" t="n"/>
      <c r="AC2947" s="22" t="n"/>
      <c r="AD2947" s="22" t="n"/>
      <c r="AE2947" s="22" t="n"/>
    </row>
    <row r="2948" ht="84" customHeight="1" s="380">
      <c r="A2948" s="126" t="n">
        <v>120</v>
      </c>
      <c r="B2948" s="390" t="n"/>
      <c r="C2948" s="390" t="inlineStr">
        <is>
          <t>Báo cáo tình hình hoạt động tháng - Chi nhánh công ty chứng khoán nước ngoài tại Việt Nam</t>
        </is>
      </c>
      <c r="D2948" s="390" t="inlineStr">
        <is>
          <t>Tình hình nhân sự của chi nhánh &gt;&gt; Bộ phận tư vấn &gt;&gt; Số lượng người có chứng chỉ hành nghề tăng/giảm trong tháng &gt;&gt; Tăng</t>
        </is>
      </c>
      <c r="E2948" s="390" t="inlineStr">
        <is>
          <t>Tình hình nhân sự của chi nhánh &gt;&gt; Bộ phận tư vấn &gt;&gt; Số lượng người có chứng chỉ hành nghề tăng/giảm trong tháng &gt;&gt; Tăng</t>
        </is>
      </c>
      <c r="F2948" s="390" t="inlineStr">
        <is>
          <t>Data Explorer</t>
        </is>
      </c>
      <c r="G2948" s="390" t="inlineStr">
        <is>
          <t>Chỉ tiêu cơ sở</t>
        </is>
      </c>
      <c r="H2948" s="390" t="inlineStr">
        <is>
          <t>TB</t>
        </is>
      </c>
      <c r="I2948" s="390" t="inlineStr">
        <is>
          <t>Ngày, CTCK</t>
        </is>
      </c>
      <c r="J2948" s="401" t="inlineStr">
        <is>
          <t>SCMS</t>
        </is>
      </c>
      <c r="K2948" s="401" t="n"/>
      <c r="L2948" s="401" t="inlineStr">
        <is>
          <t>X</t>
        </is>
      </c>
      <c r="M2948" s="401" t="n"/>
      <c r="N2948" s="401" t="inlineStr">
        <is>
          <t>Pending</t>
        </is>
      </c>
      <c r="O2948" s="401" t="n"/>
      <c r="P2948" s="22" t="n"/>
      <c r="Q2948" s="401" t="n"/>
      <c r="R2948" s="401" t="n"/>
      <c r="S2948" s="22" t="n"/>
      <c r="T2948" s="390" t="n"/>
      <c r="U2948" s="390" t="inlineStr">
        <is>
          <t>Không có thông tin</t>
        </is>
      </c>
      <c r="V2948" s="22" t="n"/>
      <c r="W2948" s="22" t="n"/>
      <c r="X2948" s="22" t="n"/>
      <c r="Y2948" s="14" t="n"/>
      <c r="Z2948" s="22" t="n"/>
      <c r="AA2948" s="22" t="n"/>
      <c r="AB2948" s="22" t="n"/>
      <c r="AC2948" s="22" t="n"/>
      <c r="AD2948" s="22" t="n"/>
      <c r="AE2948" s="22" t="n"/>
    </row>
    <row r="2949" ht="84" customHeight="1" s="380">
      <c r="A2949" s="126" t="n">
        <v>120</v>
      </c>
      <c r="B2949" s="390" t="n"/>
      <c r="C2949" s="390" t="inlineStr">
        <is>
          <t>Báo cáo tình hình hoạt động tháng - Chi nhánh công ty chứng khoán nước ngoài tại Việt Nam</t>
        </is>
      </c>
      <c r="D2949" s="390" t="inlineStr">
        <is>
          <t>Tình hình nhân sự của chi nhánh &gt;&gt; Bộ phận tư vấn &gt;&gt; Số lượng người có chứng chỉ hành nghề tăng/giảm trong tháng &gt;&gt; Giảm</t>
        </is>
      </c>
      <c r="E2949" s="390" t="inlineStr">
        <is>
          <t>Tình hình nhân sự của chi nhánh &gt;&gt; Bộ phận tư vấn &gt;&gt; Số lượng người có chứng chỉ hành nghề tăng/giảm trong tháng &gt;&gt; Giảm</t>
        </is>
      </c>
      <c r="F2949" s="390" t="inlineStr">
        <is>
          <t>Data Explorer</t>
        </is>
      </c>
      <c r="G2949" s="390" t="inlineStr">
        <is>
          <t>Chỉ tiêu cơ sở</t>
        </is>
      </c>
      <c r="H2949" s="390" t="inlineStr">
        <is>
          <t>TB</t>
        </is>
      </c>
      <c r="I2949" s="390" t="inlineStr">
        <is>
          <t>Ngày, CTCK</t>
        </is>
      </c>
      <c r="J2949" s="401" t="inlineStr">
        <is>
          <t>SCMS</t>
        </is>
      </c>
      <c r="K2949" s="401" t="n"/>
      <c r="L2949" s="401" t="inlineStr">
        <is>
          <t>X</t>
        </is>
      </c>
      <c r="M2949" s="401" t="n"/>
      <c r="N2949" s="401" t="inlineStr">
        <is>
          <t>Pending</t>
        </is>
      </c>
      <c r="O2949" s="401" t="n"/>
      <c r="P2949" s="22" t="n"/>
      <c r="Q2949" s="401" t="n"/>
      <c r="R2949" s="401" t="n"/>
      <c r="S2949" s="22" t="n"/>
      <c r="T2949" s="390" t="n"/>
      <c r="U2949" s="390" t="inlineStr">
        <is>
          <t>Không có thông tin</t>
        </is>
      </c>
      <c r="V2949" s="22" t="n"/>
      <c r="W2949" s="22" t="n"/>
      <c r="X2949" s="22" t="n"/>
      <c r="Y2949" s="13" t="n"/>
      <c r="Z2949" s="22" t="n"/>
      <c r="AA2949" s="22" t="n"/>
      <c r="AB2949" s="22" t="n"/>
      <c r="AC2949" s="22" t="n"/>
      <c r="AD2949" s="22" t="n"/>
      <c r="AE2949" s="22" t="n"/>
    </row>
    <row r="2950" ht="70" customHeight="1" s="380">
      <c r="A2950" s="126" t="n">
        <v>120</v>
      </c>
      <c r="B2950" s="390" t="n"/>
      <c r="C2950" s="390" t="inlineStr">
        <is>
          <t>Báo cáo tình hình hoạt động tháng - Chi nhánh công ty chứng khoán nước ngoài tại Việt Nam</t>
        </is>
      </c>
      <c r="D2950" s="390" t="inlineStr">
        <is>
          <t>Tình hình nhân sự của chi nhánh &gt;&gt; Bộ phận tư vấn &gt;&gt; Số lượng người có chứng chỉ hành nghề cuối tháng</t>
        </is>
      </c>
      <c r="E2950" s="390" t="inlineStr">
        <is>
          <t>Tình hình nhân sự của chi nhánh &gt;&gt; Bộ phận tư vấn &gt;&gt; Số lượng người có chứng chỉ hành nghề cuối tháng</t>
        </is>
      </c>
      <c r="F2950" s="390" t="inlineStr">
        <is>
          <t>Data Explorer</t>
        </is>
      </c>
      <c r="G2950" s="390" t="inlineStr">
        <is>
          <t>Chỉ tiêu cơ sở</t>
        </is>
      </c>
      <c r="H2950" s="390" t="inlineStr">
        <is>
          <t>TB</t>
        </is>
      </c>
      <c r="I2950" s="390" t="inlineStr">
        <is>
          <t>Ngày, CTCK</t>
        </is>
      </c>
      <c r="J2950" s="401" t="inlineStr">
        <is>
          <t>SCMS</t>
        </is>
      </c>
      <c r="K2950" s="401" t="n"/>
      <c r="L2950" s="401" t="inlineStr">
        <is>
          <t>X</t>
        </is>
      </c>
      <c r="M2950" s="401" t="n"/>
      <c r="N2950" s="401" t="inlineStr">
        <is>
          <t>Pending</t>
        </is>
      </c>
      <c r="O2950" s="401" t="n"/>
      <c r="P2950" s="22" t="n"/>
      <c r="Q2950" s="401" t="n"/>
      <c r="R2950" s="401" t="n"/>
      <c r="S2950" s="22" t="n"/>
      <c r="T2950" s="390" t="n"/>
      <c r="U2950" s="390" t="inlineStr">
        <is>
          <t>Không có thông tin</t>
        </is>
      </c>
      <c r="V2950" s="22" t="n"/>
      <c r="W2950" s="22" t="n"/>
      <c r="X2950" s="22" t="n"/>
      <c r="Y2950" s="13" t="n"/>
      <c r="Z2950" s="22" t="n"/>
      <c r="AA2950" s="22" t="n"/>
      <c r="AB2950" s="22" t="n"/>
      <c r="AC2950" s="22" t="n"/>
      <c r="AD2950" s="22" t="n"/>
      <c r="AE2950" s="22" t="n"/>
    </row>
    <row r="2951" ht="56" customHeight="1" s="380">
      <c r="A2951" s="126" t="n">
        <v>120</v>
      </c>
      <c r="B2951" s="390" t="n"/>
      <c r="C2951" s="390" t="inlineStr">
        <is>
          <t>Báo cáo tình hình hoạt động tháng - Chi nhánh công ty chứng khoán nước ngoài tại Việt Nam</t>
        </is>
      </c>
      <c r="D2951" s="390" t="inlineStr">
        <is>
          <t>Tình hình nhân sự của chi nhánh &gt;&gt; Tổng số &gt;&gt; Số lượng người làm việc đầu tháng</t>
        </is>
      </c>
      <c r="E2951" s="390" t="inlineStr">
        <is>
          <t>Tình hình nhân sự của chi nhánh &gt;&gt; Tổng số &gt;&gt; Số lượng người làm việc đầu tháng</t>
        </is>
      </c>
      <c r="F2951" s="390" t="inlineStr">
        <is>
          <t>Data Explorer</t>
        </is>
      </c>
      <c r="G2951" s="390" t="inlineStr">
        <is>
          <t>Chỉ tiêu cơ sở</t>
        </is>
      </c>
      <c r="H2951" s="390" t="inlineStr">
        <is>
          <t>TB</t>
        </is>
      </c>
      <c r="I2951" s="390" t="inlineStr">
        <is>
          <t>Ngày, CTCK</t>
        </is>
      </c>
      <c r="J2951" s="401" t="inlineStr">
        <is>
          <t>SCMS</t>
        </is>
      </c>
      <c r="K2951" s="401" t="n"/>
      <c r="L2951" s="401" t="inlineStr">
        <is>
          <t>X</t>
        </is>
      </c>
      <c r="M2951" s="401" t="n"/>
      <c r="N2951" s="401" t="inlineStr">
        <is>
          <t>Pending</t>
        </is>
      </c>
      <c r="O2951" s="401" t="n"/>
      <c r="P2951" s="22" t="n"/>
      <c r="Q2951" s="401" t="n"/>
      <c r="R2951" s="401" t="n"/>
      <c r="S2951" s="22" t="n"/>
      <c r="T2951" s="390" t="n"/>
      <c r="U2951" s="390" t="inlineStr">
        <is>
          <t>Không có thông tin</t>
        </is>
      </c>
      <c r="V2951" s="22" t="n"/>
      <c r="W2951" s="22" t="n"/>
      <c r="X2951" s="22" t="n"/>
      <c r="Y2951" s="13" t="n"/>
      <c r="Z2951" s="22" t="n"/>
      <c r="AA2951" s="22" t="n"/>
      <c r="AB2951" s="22" t="n"/>
      <c r="AC2951" s="22" t="n"/>
      <c r="AD2951" s="22" t="n"/>
      <c r="AE2951" s="22" t="n"/>
    </row>
    <row r="2952" ht="56" customHeight="1" s="380">
      <c r="A2952" s="126" t="n">
        <v>120</v>
      </c>
      <c r="B2952" s="390" t="n"/>
      <c r="C2952" s="390" t="inlineStr">
        <is>
          <t>Báo cáo tình hình hoạt động tháng - Chi nhánh công ty chứng khoán nước ngoài tại Việt Nam</t>
        </is>
      </c>
      <c r="D2952" s="390" t="inlineStr">
        <is>
          <t>Tình hình nhân sự của chi nhánh &gt;&gt; Tổng số &gt;&gt; Số lượng người làm việc cuối tháng</t>
        </is>
      </c>
      <c r="E2952" s="390" t="inlineStr">
        <is>
          <t>Tình hình nhân sự của chi nhánh &gt;&gt; Tổng số &gt;&gt; Số lượng người làm việc cuối tháng</t>
        </is>
      </c>
      <c r="F2952" s="390" t="inlineStr">
        <is>
          <t>Data Explorer</t>
        </is>
      </c>
      <c r="G2952" s="390" t="inlineStr">
        <is>
          <t>Chỉ tiêu cơ sở</t>
        </is>
      </c>
      <c r="H2952" s="390" t="inlineStr">
        <is>
          <t>Dễ</t>
        </is>
      </c>
      <c r="I2952" s="390" t="inlineStr">
        <is>
          <t>Ngày, CTCK</t>
        </is>
      </c>
      <c r="J2952" s="401" t="inlineStr">
        <is>
          <t>SCMS</t>
        </is>
      </c>
      <c r="K2952" s="401" t="n"/>
      <c r="L2952" s="401" t="inlineStr">
        <is>
          <t>X</t>
        </is>
      </c>
      <c r="M2952" s="401" t="n"/>
      <c r="N2952" s="401" t="inlineStr">
        <is>
          <t>Pending</t>
        </is>
      </c>
      <c r="O2952" s="401" t="n"/>
      <c r="P2952" s="22" t="n"/>
      <c r="Q2952" s="401" t="n"/>
      <c r="R2952" s="401" t="n"/>
      <c r="S2952" s="22" t="n"/>
      <c r="T2952" s="390" t="n"/>
      <c r="U2952" s="390" t="inlineStr">
        <is>
          <t>Không có thông tin</t>
        </is>
      </c>
      <c r="V2952" s="22" t="n"/>
      <c r="W2952" s="22" t="n"/>
      <c r="X2952" s="22" t="n"/>
      <c r="Y2952" s="14" t="n"/>
      <c r="Z2952" s="22" t="n"/>
      <c r="AA2952" s="22" t="n"/>
      <c r="AB2952" s="22" t="n"/>
      <c r="AC2952" s="22" t="n"/>
      <c r="AD2952" s="22" t="n"/>
      <c r="AE2952" s="22" t="n"/>
    </row>
    <row r="2953" ht="70" customHeight="1" s="380">
      <c r="A2953" s="126" t="n">
        <v>120</v>
      </c>
      <c r="B2953" s="390" t="n"/>
      <c r="C2953" s="390" t="inlineStr">
        <is>
          <t>Báo cáo tình hình hoạt động tháng - Chi nhánh công ty chứng khoán nước ngoài tại Việt Nam</t>
        </is>
      </c>
      <c r="D2953" s="390" t="inlineStr">
        <is>
          <t>Tình hình nhân sự của chi nhánh &gt;&gt; Tổng số &gt;&gt; Số lượng người có chứng chỉ hành nghề đầu tháng</t>
        </is>
      </c>
      <c r="E2953" s="390" t="inlineStr">
        <is>
          <t>Tình hình nhân sự của chi nhánh &gt;&gt; Tổng số &gt;&gt; Số lượng người có chứng chỉ hành nghề đầu tháng</t>
        </is>
      </c>
      <c r="F2953" s="390" t="inlineStr">
        <is>
          <t>Data Explorer</t>
        </is>
      </c>
      <c r="G2953" s="390" t="inlineStr">
        <is>
          <t>Chỉ tiêu cơ sở</t>
        </is>
      </c>
      <c r="H2953" s="390" t="inlineStr">
        <is>
          <t>Dễ</t>
        </is>
      </c>
      <c r="I2953" s="390" t="inlineStr">
        <is>
          <t>Ngày, CTCK</t>
        </is>
      </c>
      <c r="J2953" s="401" t="inlineStr">
        <is>
          <t>SCMS</t>
        </is>
      </c>
      <c r="K2953" s="401" t="n"/>
      <c r="L2953" s="401" t="inlineStr">
        <is>
          <t>X</t>
        </is>
      </c>
      <c r="M2953" s="401" t="n"/>
      <c r="N2953" s="401" t="inlineStr">
        <is>
          <t>Pending</t>
        </is>
      </c>
      <c r="O2953" s="401" t="n"/>
      <c r="P2953" s="22" t="n"/>
      <c r="Q2953" s="401" t="n"/>
      <c r="R2953" s="401" t="n"/>
      <c r="S2953" s="22" t="n"/>
      <c r="T2953" s="390" t="n"/>
      <c r="U2953" s="390" t="inlineStr">
        <is>
          <t>Không có thông tin</t>
        </is>
      </c>
      <c r="V2953" s="22" t="n"/>
      <c r="W2953" s="22" t="n"/>
      <c r="X2953" s="22" t="n"/>
      <c r="Y2953" s="13" t="n"/>
      <c r="Z2953" s="22" t="n"/>
      <c r="AA2953" s="22" t="n"/>
      <c r="AB2953" s="22" t="n"/>
      <c r="AC2953" s="22" t="n"/>
      <c r="AD2953" s="22" t="n"/>
      <c r="AE2953" s="22" t="n"/>
    </row>
    <row r="2954" ht="84" customHeight="1" s="380">
      <c r="A2954" s="126" t="n">
        <v>120</v>
      </c>
      <c r="B2954" s="390" t="n"/>
      <c r="C2954" s="390" t="inlineStr">
        <is>
          <t>Báo cáo tình hình hoạt động tháng - Chi nhánh công ty chứng khoán nước ngoài tại Việt Nam</t>
        </is>
      </c>
      <c r="D2954" s="390" t="inlineStr">
        <is>
          <t>Tình hình nhân sự của chi nhánh &gt;&gt; Tổng số &gt;&gt; Số lượng người có chứng chỉ hành nghề tăng/giảm trong tháng &gt;&gt; Tăng</t>
        </is>
      </c>
      <c r="E2954" s="390" t="inlineStr">
        <is>
          <t>Tình hình nhân sự của chi nhánh &gt;&gt; Tổng số &gt;&gt; Số lượng người có chứng chỉ hành nghề tăng/giảm trong tháng &gt;&gt; Tăng</t>
        </is>
      </c>
      <c r="F2954" s="390" t="inlineStr">
        <is>
          <t>Data Explorer</t>
        </is>
      </c>
      <c r="G2954" s="390" t="inlineStr">
        <is>
          <t>Chỉ tiêu cơ sở</t>
        </is>
      </c>
      <c r="H2954" s="390" t="inlineStr">
        <is>
          <t>Dễ</t>
        </is>
      </c>
      <c r="I2954" s="390" t="inlineStr">
        <is>
          <t>Ngày, CTCK</t>
        </is>
      </c>
      <c r="J2954" s="401" t="inlineStr">
        <is>
          <t>SCMS</t>
        </is>
      </c>
      <c r="K2954" s="401" t="n"/>
      <c r="L2954" s="401" t="inlineStr">
        <is>
          <t>X</t>
        </is>
      </c>
      <c r="M2954" s="401" t="n"/>
      <c r="N2954" s="401" t="inlineStr">
        <is>
          <t>Pending</t>
        </is>
      </c>
      <c r="O2954" s="401" t="n"/>
      <c r="P2954" s="22" t="n"/>
      <c r="Q2954" s="401" t="n"/>
      <c r="R2954" s="401" t="n"/>
      <c r="S2954" s="22" t="n"/>
      <c r="T2954" s="390" t="n"/>
      <c r="U2954" s="390" t="inlineStr">
        <is>
          <t>Không có thông tin</t>
        </is>
      </c>
      <c r="V2954" s="22" t="n"/>
      <c r="W2954" s="22" t="n"/>
      <c r="X2954" s="22" t="n"/>
      <c r="Y2954" s="13" t="n"/>
      <c r="Z2954" s="22" t="n"/>
      <c r="AA2954" s="22" t="n"/>
      <c r="AB2954" s="22" t="n"/>
      <c r="AC2954" s="22" t="n"/>
      <c r="AD2954" s="22" t="n"/>
      <c r="AE2954" s="22" t="n"/>
    </row>
    <row r="2955" ht="84" customHeight="1" s="380">
      <c r="A2955" s="126" t="n">
        <v>120</v>
      </c>
      <c r="B2955" s="390" t="n"/>
      <c r="C2955" s="390" t="inlineStr">
        <is>
          <t>Báo cáo tình hình hoạt động tháng - Chi nhánh công ty chứng khoán nước ngoài tại Việt Nam</t>
        </is>
      </c>
      <c r="D2955" s="390" t="inlineStr">
        <is>
          <t>Tình hình nhân sự của chi nhánh &gt;&gt; Tổng số &gt;&gt; Số lượng người có chứng chỉ hành nghề tăng/giảm trong tháng &gt;&gt; Giảm</t>
        </is>
      </c>
      <c r="E2955" s="390" t="inlineStr">
        <is>
          <t>Tình hình nhân sự của chi nhánh &gt;&gt; Tổng số &gt;&gt; Số lượng người có chứng chỉ hành nghề tăng/giảm trong tháng &gt;&gt; Giảm</t>
        </is>
      </c>
      <c r="F2955" s="390" t="inlineStr">
        <is>
          <t>Data Explorer</t>
        </is>
      </c>
      <c r="G2955" s="390" t="inlineStr">
        <is>
          <t>Chỉ tiêu cơ sở</t>
        </is>
      </c>
      <c r="H2955" s="390" t="inlineStr">
        <is>
          <t>Dễ</t>
        </is>
      </c>
      <c r="I2955" s="390" t="inlineStr">
        <is>
          <t>Ngày, CTCK</t>
        </is>
      </c>
      <c r="J2955" s="401" t="inlineStr">
        <is>
          <t>SCMS</t>
        </is>
      </c>
      <c r="K2955" s="401" t="n"/>
      <c r="L2955" s="401" t="inlineStr">
        <is>
          <t>X</t>
        </is>
      </c>
      <c r="M2955" s="401" t="n"/>
      <c r="N2955" s="401" t="inlineStr">
        <is>
          <t>Pending</t>
        </is>
      </c>
      <c r="O2955" s="401" t="n"/>
      <c r="P2955" s="22" t="n"/>
      <c r="Q2955" s="401" t="n"/>
      <c r="R2955" s="401" t="n"/>
      <c r="S2955" s="22" t="n"/>
      <c r="T2955" s="390" t="n"/>
      <c r="U2955" s="390" t="inlineStr">
        <is>
          <t>Không có thông tin</t>
        </is>
      </c>
      <c r="V2955" s="22" t="n"/>
      <c r="W2955" s="22" t="n"/>
      <c r="X2955" s="22" t="n"/>
      <c r="Y2955" s="13" t="n"/>
      <c r="Z2955" s="22" t="n"/>
      <c r="AA2955" s="22" t="n"/>
      <c r="AB2955" s="22" t="n"/>
      <c r="AC2955" s="22" t="n"/>
      <c r="AD2955" s="22" t="n"/>
      <c r="AE2955" s="22" t="n"/>
    </row>
    <row r="2956" ht="70" customHeight="1" s="380">
      <c r="A2956" s="126" t="n">
        <v>120</v>
      </c>
      <c r="B2956" s="390" t="n"/>
      <c r="C2956" s="390" t="inlineStr">
        <is>
          <t>Báo cáo tình hình hoạt động tháng - Chi nhánh công ty chứng khoán nước ngoài tại Việt Nam</t>
        </is>
      </c>
      <c r="D2956" s="390" t="inlineStr">
        <is>
          <t>Tình hình nhân sự của chi nhánh &gt;&gt; Tổng số &gt;&gt; Số lượng người có chứng chỉ hành nghề cuối tháng</t>
        </is>
      </c>
      <c r="E2956" s="390" t="inlineStr">
        <is>
          <t>Tình hình nhân sự của chi nhánh &gt;&gt; Tổng số &gt;&gt; Số lượng người có chứng chỉ hành nghề cuối tháng</t>
        </is>
      </c>
      <c r="F2956" s="390" t="inlineStr">
        <is>
          <t>Data Explorer</t>
        </is>
      </c>
      <c r="G2956" s="390" t="inlineStr">
        <is>
          <t>Chỉ tiêu cơ sở</t>
        </is>
      </c>
      <c r="H2956" s="390" t="inlineStr">
        <is>
          <t>TB</t>
        </is>
      </c>
      <c r="I2956" s="390" t="inlineStr">
        <is>
          <t>Ngày, CTCK</t>
        </is>
      </c>
      <c r="J2956" s="401" t="inlineStr">
        <is>
          <t>SCMS</t>
        </is>
      </c>
      <c r="K2956" s="401" t="n"/>
      <c r="L2956" s="401" t="inlineStr">
        <is>
          <t>X</t>
        </is>
      </c>
      <c r="M2956" s="401" t="n"/>
      <c r="N2956" s="401" t="inlineStr">
        <is>
          <t>Pending</t>
        </is>
      </c>
      <c r="O2956" s="401" t="n"/>
      <c r="P2956" s="22" t="n"/>
      <c r="Q2956" s="401" t="n"/>
      <c r="R2956" s="401" t="n"/>
      <c r="S2956" s="22" t="n"/>
      <c r="T2956" s="390" t="n"/>
      <c r="U2956" s="390" t="inlineStr">
        <is>
          <t>Không có thông tin</t>
        </is>
      </c>
      <c r="V2956" s="22" t="n"/>
      <c r="W2956" s="22" t="n"/>
      <c r="X2956" s="22" t="n"/>
      <c r="Y2956" s="13" t="n"/>
      <c r="Z2956" s="22" t="n"/>
      <c r="AA2956" s="22" t="n"/>
      <c r="AB2956" s="22" t="n"/>
      <c r="AC2956" s="22" t="n"/>
      <c r="AD2956" s="22" t="n"/>
      <c r="AE2956" s="22" t="n"/>
    </row>
    <row r="2957" ht="70" customHeight="1" s="380">
      <c r="A2957" s="126" t="n">
        <v>120</v>
      </c>
      <c r="B2957" s="390" t="n"/>
      <c r="C2957" s="390" t="inlineStr">
        <is>
          <t>Báo cáo tình hình hoạt động tháng - Chi nhánh công ty chứng khoán nước ngoài tại Việt Nam</t>
        </is>
      </c>
      <c r="D2957" s="82" t="inlineStr">
        <is>
          <t>Tình hình hoạt động của chi nhánh &gt;&gt; Tư vấn đầu tư chứng khoán &gt;&gt; Kết quả phân tích &gt;&gt; Số hợp đồng đã ký đầu tháng</t>
        </is>
      </c>
      <c r="E2957" s="82" t="inlineStr">
        <is>
          <t>Tình hình hoạt động của chi nhánh &gt;&gt; Tư vấn đầu tư chứng khoán &gt;&gt; Kết quả phân tích &gt;&gt; Số hợp đồng đã ký đầu tháng</t>
        </is>
      </c>
      <c r="F2957" s="390" t="inlineStr">
        <is>
          <t>Data Explorer</t>
        </is>
      </c>
      <c r="G2957" s="390" t="inlineStr">
        <is>
          <t>Chỉ tiêu cơ sở</t>
        </is>
      </c>
      <c r="H2957" s="390" t="inlineStr">
        <is>
          <t>TB</t>
        </is>
      </c>
      <c r="I2957" s="390" t="inlineStr">
        <is>
          <t>Ngày, CTCK</t>
        </is>
      </c>
      <c r="J2957" s="401" t="inlineStr">
        <is>
          <t>SCMS</t>
        </is>
      </c>
      <c r="K2957" s="401" t="n"/>
      <c r="L2957" s="401" t="inlineStr">
        <is>
          <t>X</t>
        </is>
      </c>
      <c r="M2957" s="401" t="n"/>
      <c r="N2957" s="401" t="inlineStr">
        <is>
          <t>Pending</t>
        </is>
      </c>
      <c r="O2957" s="401" t="n"/>
      <c r="P2957" s="22" t="n"/>
      <c r="Q2957" s="401" t="n"/>
      <c r="R2957" s="401" t="n"/>
      <c r="S2957" s="22" t="n"/>
      <c r="T2957" s="390" t="n"/>
      <c r="U2957" s="390" t="inlineStr">
        <is>
          <t>Không có thông tin</t>
        </is>
      </c>
      <c r="V2957" s="22" t="n"/>
      <c r="W2957" s="22" t="n"/>
      <c r="X2957" s="22" t="n"/>
      <c r="Y2957" s="13" t="n"/>
      <c r="Z2957" s="22" t="n"/>
      <c r="AA2957" s="22" t="n"/>
      <c r="AB2957" s="22" t="n"/>
      <c r="AC2957" s="22" t="n"/>
      <c r="AD2957" s="22" t="n"/>
      <c r="AE2957" s="22" t="n"/>
    </row>
    <row r="2958" ht="84" customHeight="1" s="380">
      <c r="A2958" s="126" t="n">
        <v>120</v>
      </c>
      <c r="B2958" s="390" t="n"/>
      <c r="C2958" s="390" t="inlineStr">
        <is>
          <t>Báo cáo tình hình hoạt động tháng - Chi nhánh công ty chứng khoán nước ngoài tại Việt Nam</t>
        </is>
      </c>
      <c r="D2958" s="82" t="inlineStr">
        <is>
          <t>Tình hình hoạt động của chi nhánh &gt;&gt; Tư vấn đầu tư chứng khoán &gt;&gt; Kết quả phân tích &gt;&gt; Số hợp đồng đã thanh lý trong tháng</t>
        </is>
      </c>
      <c r="E2958" s="82" t="inlineStr">
        <is>
          <t>Tình hình hoạt động của chi nhánh &gt;&gt; Tư vấn đầu tư chứng khoán &gt;&gt; Kết quả phân tích &gt;&gt; Số hợp đồng đã thanh lý trong tháng</t>
        </is>
      </c>
      <c r="F2958" s="390" t="inlineStr">
        <is>
          <t>Data Explorer</t>
        </is>
      </c>
      <c r="G2958" s="390" t="inlineStr">
        <is>
          <t>Chỉ tiêu cơ sở</t>
        </is>
      </c>
      <c r="H2958" s="390" t="inlineStr">
        <is>
          <t>TB</t>
        </is>
      </c>
      <c r="I2958" s="390" t="inlineStr">
        <is>
          <t>Ngày, CTCK</t>
        </is>
      </c>
      <c r="J2958" s="401" t="inlineStr">
        <is>
          <t>SCMS</t>
        </is>
      </c>
      <c r="K2958" s="401" t="n"/>
      <c r="L2958" s="401" t="inlineStr">
        <is>
          <t>X</t>
        </is>
      </c>
      <c r="M2958" s="401" t="n"/>
      <c r="N2958" s="401" t="inlineStr">
        <is>
          <t>Pending</t>
        </is>
      </c>
      <c r="O2958" s="401" t="n"/>
      <c r="P2958" s="22" t="n"/>
      <c r="Q2958" s="401" t="n"/>
      <c r="R2958" s="401" t="n"/>
      <c r="S2958" s="22" t="n"/>
      <c r="T2958" s="390" t="n"/>
      <c r="U2958" s="390" t="inlineStr">
        <is>
          <t>Không có thông tin</t>
        </is>
      </c>
      <c r="V2958" s="22" t="n"/>
      <c r="W2958" s="22" t="n"/>
      <c r="X2958" s="22" t="n"/>
      <c r="Y2958" s="14" t="n"/>
      <c r="Z2958" s="22" t="n"/>
      <c r="AA2958" s="22" t="n"/>
      <c r="AB2958" s="22" t="n"/>
      <c r="AC2958" s="22" t="n"/>
      <c r="AD2958" s="22" t="n"/>
      <c r="AE2958" s="22" t="n"/>
    </row>
    <row r="2959" ht="70" customHeight="1" s="380">
      <c r="A2959" s="126" t="n">
        <v>120</v>
      </c>
      <c r="B2959" s="390" t="n"/>
      <c r="C2959" s="390" t="inlineStr">
        <is>
          <t>Báo cáo tình hình hoạt động tháng - Chi nhánh công ty chứng khoán nước ngoài tại Việt Nam</t>
        </is>
      </c>
      <c r="D2959" s="82" t="inlineStr">
        <is>
          <t>Tình hình hoạt động của chi nhánh &gt;&gt; Tư vấn đầu tư chứng khoán &gt;&gt; Kết quả phân tích &gt;&gt; Số hợp đồng ký mới trong tháng</t>
        </is>
      </c>
      <c r="E2959" s="82" t="inlineStr">
        <is>
          <t>Tình hình hoạt động của chi nhánh &gt;&gt; Tư vấn đầu tư chứng khoán &gt;&gt; Kết quả phân tích &gt;&gt; Số hợp đồng ký mới trong tháng</t>
        </is>
      </c>
      <c r="F2959" s="390" t="inlineStr">
        <is>
          <t>Data Explorer</t>
        </is>
      </c>
      <c r="G2959" s="390" t="inlineStr">
        <is>
          <t>Chỉ tiêu cơ sở</t>
        </is>
      </c>
      <c r="H2959" s="390" t="inlineStr">
        <is>
          <t>TB</t>
        </is>
      </c>
      <c r="I2959" s="390" t="inlineStr">
        <is>
          <t>Ngày, CTCK</t>
        </is>
      </c>
      <c r="J2959" s="401" t="inlineStr">
        <is>
          <t>SCMS</t>
        </is>
      </c>
      <c r="K2959" s="401" t="n"/>
      <c r="L2959" s="401" t="inlineStr">
        <is>
          <t>X</t>
        </is>
      </c>
      <c r="M2959" s="401" t="n"/>
      <c r="N2959" s="401" t="inlineStr">
        <is>
          <t>Pending</t>
        </is>
      </c>
      <c r="O2959" s="401" t="n"/>
      <c r="P2959" s="22" t="n"/>
      <c r="Q2959" s="401" t="n"/>
      <c r="R2959" s="401" t="n"/>
      <c r="S2959" s="22" t="n"/>
      <c r="T2959" s="390" t="n"/>
      <c r="U2959" s="390" t="inlineStr">
        <is>
          <t>Không có thông tin</t>
        </is>
      </c>
      <c r="V2959" s="22" t="n"/>
      <c r="W2959" s="22" t="n"/>
      <c r="X2959" s="22" t="n"/>
      <c r="Y2959" s="13" t="n"/>
      <c r="Z2959" s="22" t="n"/>
      <c r="AA2959" s="22" t="n"/>
      <c r="AB2959" s="22" t="n"/>
      <c r="AC2959" s="22" t="n"/>
      <c r="AD2959" s="22" t="n"/>
      <c r="AE2959" s="22" t="n"/>
    </row>
    <row r="2960" ht="84" customHeight="1" s="380">
      <c r="A2960" s="126" t="n">
        <v>120</v>
      </c>
      <c r="B2960" s="390" t="n"/>
      <c r="C2960" s="390" t="inlineStr">
        <is>
          <t>Báo cáo tình hình hoạt động tháng - Chi nhánh công ty chứng khoán nước ngoài tại Việt Nam</t>
        </is>
      </c>
      <c r="D2960" s="82" t="inlineStr">
        <is>
          <t>Tình hình hoạt động của chi nhánh &gt;&gt; Tư vấn đầu tư chứng khoán &gt;&gt; Kết quả phân tích &gt;&gt; Số hợp đồng còn hiệu lực cuối tháng</t>
        </is>
      </c>
      <c r="E2960" s="82" t="inlineStr">
        <is>
          <t>Tình hình hoạt động của chi nhánh &gt;&gt; Tư vấn đầu tư chứng khoán &gt;&gt; Kết quả phân tích &gt;&gt; Số hợp đồng còn hiệu lực cuối tháng</t>
        </is>
      </c>
      <c r="F2960" s="390" t="inlineStr">
        <is>
          <t>Data Explorer</t>
        </is>
      </c>
      <c r="G2960" s="390" t="inlineStr">
        <is>
          <t>Chỉ tiêu cơ sở</t>
        </is>
      </c>
      <c r="H2960" s="390" t="inlineStr">
        <is>
          <t>TB</t>
        </is>
      </c>
      <c r="I2960" s="390" t="inlineStr">
        <is>
          <t>Ngày, CTCK</t>
        </is>
      </c>
      <c r="J2960" s="401" t="inlineStr">
        <is>
          <t>SCMS</t>
        </is>
      </c>
      <c r="K2960" s="401" t="n"/>
      <c r="L2960" s="401" t="inlineStr">
        <is>
          <t>X</t>
        </is>
      </c>
      <c r="M2960" s="401" t="n"/>
      <c r="N2960" s="401" t="inlineStr">
        <is>
          <t>Pending</t>
        </is>
      </c>
      <c r="O2960" s="401" t="n"/>
      <c r="P2960" s="22" t="n"/>
      <c r="Q2960" s="401" t="n"/>
      <c r="R2960" s="401" t="n"/>
      <c r="S2960" s="22" t="n"/>
      <c r="T2960" s="390" t="n"/>
      <c r="U2960" s="390" t="inlineStr">
        <is>
          <t>Không có thông tin</t>
        </is>
      </c>
      <c r="V2960" s="22" t="n"/>
      <c r="W2960" s="22" t="n"/>
      <c r="X2960" s="22" t="n"/>
      <c r="Y2960" s="13" t="n"/>
      <c r="Z2960" s="22" t="n"/>
      <c r="AA2960" s="22" t="n"/>
      <c r="AB2960" s="22" t="n"/>
      <c r="AC2960" s="22" t="n"/>
      <c r="AD2960" s="22" t="n"/>
      <c r="AE2960" s="22" t="n"/>
    </row>
    <row r="2961" ht="84" customHeight="1" s="380">
      <c r="A2961" s="126" t="n">
        <v>120</v>
      </c>
      <c r="B2961" s="390" t="n"/>
      <c r="C2961" s="390" t="inlineStr">
        <is>
          <t>Báo cáo tình hình hoạt động tháng - Chi nhánh công ty chứng khoán nước ngoài tại Việt Nam</t>
        </is>
      </c>
      <c r="D2961" s="82" t="inlineStr">
        <is>
          <t>Tình hình hoạt động của chi nhánh &gt;&gt; Tư vấn đầu tư chứng khoán &gt;&gt; Kết quả phân tích &gt;&gt; Giá dịch vụ thu được trong tháng (đồng)</t>
        </is>
      </c>
      <c r="E2961" s="82" t="inlineStr">
        <is>
          <t>Tình hình hoạt động của chi nhánh &gt;&gt; Tư vấn đầu tư chứng khoán &gt;&gt; Kết quả phân tích &gt;&gt; Giá dịch vụ thu được trong tháng (đồng)</t>
        </is>
      </c>
      <c r="F2961" s="390" t="inlineStr">
        <is>
          <t>Data Explorer</t>
        </is>
      </c>
      <c r="G2961" s="390" t="inlineStr">
        <is>
          <t>Chỉ tiêu cơ sở</t>
        </is>
      </c>
      <c r="H2961" s="390" t="inlineStr">
        <is>
          <t>TB</t>
        </is>
      </c>
      <c r="I2961" s="390" t="inlineStr">
        <is>
          <t>Ngày, CTCK</t>
        </is>
      </c>
      <c r="J2961" s="401" t="inlineStr">
        <is>
          <t>SCMS</t>
        </is>
      </c>
      <c r="K2961" s="401" t="n"/>
      <c r="L2961" s="401" t="inlineStr">
        <is>
          <t>X</t>
        </is>
      </c>
      <c r="M2961" s="401" t="n"/>
      <c r="N2961" s="401" t="inlineStr">
        <is>
          <t>Pending</t>
        </is>
      </c>
      <c r="O2961" s="401" t="n"/>
      <c r="P2961" s="22" t="n"/>
      <c r="Q2961" s="401" t="n"/>
      <c r="R2961" s="401" t="n"/>
      <c r="S2961" s="22" t="n"/>
      <c r="T2961" s="390" t="n"/>
      <c r="U2961" s="390" t="inlineStr">
        <is>
          <t>Không có thông tin</t>
        </is>
      </c>
      <c r="V2961" s="22" t="n"/>
      <c r="W2961" s="22" t="n"/>
      <c r="X2961" s="22" t="n"/>
      <c r="Y2961" s="13" t="n"/>
      <c r="Z2961" s="22" t="n"/>
      <c r="AA2961" s="22" t="n"/>
      <c r="AB2961" s="22" t="n"/>
      <c r="AC2961" s="22" t="n"/>
      <c r="AD2961" s="22" t="n"/>
      <c r="AE2961" s="22" t="n"/>
    </row>
    <row r="2962" ht="70" customHeight="1" s="380">
      <c r="A2962" s="126" t="n">
        <v>120</v>
      </c>
      <c r="B2962" s="390" t="n"/>
      <c r="C2962" s="390" t="inlineStr">
        <is>
          <t>Báo cáo tình hình hoạt động tháng - Chi nhánh công ty chứng khoán nước ngoài tại Việt Nam</t>
        </is>
      </c>
      <c r="D2962" s="82" t="inlineStr">
        <is>
          <t>Tình hình hoạt động của chi nhánh &gt;&gt; Tư vấn đầu tư chứng khoán &gt;&gt; Báo cáo phân tích &gt;&gt; Số hợp đồng đã ký đầu tháng</t>
        </is>
      </c>
      <c r="E2962" s="82" t="inlineStr">
        <is>
          <t>Tình hình hoạt động của chi nhánh &gt;&gt; Tư vấn đầu tư chứng khoán &gt;&gt; Báo cáo phân tích &gt;&gt; Số hợp đồng đã ký đầu tháng</t>
        </is>
      </c>
      <c r="F2962" s="390" t="inlineStr">
        <is>
          <t>Data Explorer</t>
        </is>
      </c>
      <c r="G2962" s="390" t="inlineStr">
        <is>
          <t>Chỉ tiêu cơ sở</t>
        </is>
      </c>
      <c r="H2962" s="390" t="inlineStr">
        <is>
          <t>TB</t>
        </is>
      </c>
      <c r="I2962" s="390" t="inlineStr">
        <is>
          <t>Ngày, CTCK</t>
        </is>
      </c>
      <c r="J2962" s="401" t="inlineStr">
        <is>
          <t>SCMS</t>
        </is>
      </c>
      <c r="K2962" s="401" t="n"/>
      <c r="L2962" s="401" t="inlineStr">
        <is>
          <t>X</t>
        </is>
      </c>
      <c r="M2962" s="401" t="n"/>
      <c r="N2962" s="401" t="inlineStr">
        <is>
          <t>Pending</t>
        </is>
      </c>
      <c r="O2962" s="401" t="n"/>
      <c r="P2962" s="22" t="n"/>
      <c r="Q2962" s="401" t="n"/>
      <c r="R2962" s="401" t="n"/>
      <c r="S2962" s="22" t="n"/>
      <c r="T2962" s="390" t="n"/>
      <c r="U2962" s="390" t="inlineStr">
        <is>
          <t>Không có thông tin</t>
        </is>
      </c>
      <c r="V2962" s="22" t="n"/>
      <c r="W2962" s="22" t="n"/>
      <c r="X2962" s="22" t="n"/>
      <c r="Y2962" s="13" t="n"/>
      <c r="Z2962" s="22" t="n"/>
      <c r="AA2962" s="22" t="n"/>
      <c r="AB2962" s="22" t="n"/>
      <c r="AC2962" s="22" t="n"/>
      <c r="AD2962" s="22" t="n"/>
      <c r="AE2962" s="22" t="n"/>
    </row>
    <row r="2963" ht="84" customHeight="1" s="380">
      <c r="A2963" s="126" t="n">
        <v>120</v>
      </c>
      <c r="B2963" s="390" t="n"/>
      <c r="C2963" s="390" t="inlineStr">
        <is>
          <t>Báo cáo tình hình hoạt động tháng - Chi nhánh công ty chứng khoán nước ngoài tại Việt Nam</t>
        </is>
      </c>
      <c r="D2963" s="82" t="inlineStr">
        <is>
          <t>Tình hình hoạt động của chi nhánh &gt;&gt; Tư vấn đầu tư chứng khoán &gt;&gt; Báo cáo phân tích &gt;&gt; Số hợp đồng đã thanh lý trong tháng</t>
        </is>
      </c>
      <c r="E2963" s="82" t="inlineStr">
        <is>
          <t>Tình hình hoạt động của chi nhánh &gt;&gt; Tư vấn đầu tư chứng khoán &gt;&gt; Báo cáo phân tích &gt;&gt; Số hợp đồng đã thanh lý trong tháng</t>
        </is>
      </c>
      <c r="F2963" s="390" t="inlineStr">
        <is>
          <t>Data Explorer</t>
        </is>
      </c>
      <c r="G2963" s="390" t="inlineStr">
        <is>
          <t>Chỉ tiêu cơ sở</t>
        </is>
      </c>
      <c r="H2963" s="390" t="inlineStr">
        <is>
          <t>TB</t>
        </is>
      </c>
      <c r="I2963" s="390" t="inlineStr">
        <is>
          <t>Ngày, CTCK</t>
        </is>
      </c>
      <c r="J2963" s="401" t="inlineStr">
        <is>
          <t>SCMS</t>
        </is>
      </c>
      <c r="K2963" s="401" t="n"/>
      <c r="L2963" s="401" t="inlineStr">
        <is>
          <t>X</t>
        </is>
      </c>
      <c r="M2963" s="401" t="n"/>
      <c r="N2963" s="401" t="inlineStr">
        <is>
          <t>Pending</t>
        </is>
      </c>
      <c r="O2963" s="401" t="n"/>
      <c r="P2963" s="22" t="n"/>
      <c r="Q2963" s="401" t="n"/>
      <c r="R2963" s="401" t="n"/>
      <c r="S2963" s="22" t="n"/>
      <c r="T2963" s="390" t="n"/>
      <c r="U2963" s="390" t="inlineStr">
        <is>
          <t>Không có thông tin</t>
        </is>
      </c>
      <c r="V2963" s="22" t="n"/>
      <c r="W2963" s="22" t="n"/>
      <c r="X2963" s="22" t="n"/>
      <c r="Y2963" s="13" t="n"/>
      <c r="Z2963" s="22" t="n"/>
      <c r="AA2963" s="22" t="n"/>
      <c r="AB2963" s="22" t="n"/>
      <c r="AC2963" s="22" t="n"/>
      <c r="AD2963" s="22" t="n"/>
      <c r="AE2963" s="22" t="n"/>
    </row>
    <row r="2964" ht="70" customHeight="1" s="380">
      <c r="A2964" s="126" t="n">
        <v>120</v>
      </c>
      <c r="B2964" s="390" t="n"/>
      <c r="C2964" s="390" t="inlineStr">
        <is>
          <t>Báo cáo tình hình hoạt động tháng - Chi nhánh công ty chứng khoán nước ngoài tại Việt Nam</t>
        </is>
      </c>
      <c r="D2964" s="82" t="inlineStr">
        <is>
          <t>Tình hình hoạt động của chi nhánh &gt;&gt; Tư vấn đầu tư chứng khoán &gt;&gt; Báo cáo phân tích &gt;&gt; Số hợp đồng ký mới trong tháng</t>
        </is>
      </c>
      <c r="E2964" s="82" t="inlineStr">
        <is>
          <t>Tình hình hoạt động của chi nhánh &gt;&gt; Tư vấn đầu tư chứng khoán &gt;&gt; Báo cáo phân tích &gt;&gt; Số hợp đồng ký mới trong tháng</t>
        </is>
      </c>
      <c r="F2964" s="390" t="inlineStr">
        <is>
          <t>Data Explorer</t>
        </is>
      </c>
      <c r="G2964" s="390" t="inlineStr">
        <is>
          <t>Chỉ tiêu cơ sở</t>
        </is>
      </c>
      <c r="H2964" s="390" t="inlineStr">
        <is>
          <t>TB</t>
        </is>
      </c>
      <c r="I2964" s="390" t="inlineStr">
        <is>
          <t>Ngày, CTCK</t>
        </is>
      </c>
      <c r="J2964" s="401" t="inlineStr">
        <is>
          <t>SCMS</t>
        </is>
      </c>
      <c r="K2964" s="401" t="n"/>
      <c r="L2964" s="401" t="inlineStr">
        <is>
          <t>X</t>
        </is>
      </c>
      <c r="M2964" s="401" t="n"/>
      <c r="N2964" s="401" t="inlineStr">
        <is>
          <t>Pending</t>
        </is>
      </c>
      <c r="O2964" s="401" t="n"/>
      <c r="P2964" s="22" t="n"/>
      <c r="Q2964" s="401" t="n"/>
      <c r="R2964" s="401" t="n"/>
      <c r="S2964" s="22" t="n"/>
      <c r="T2964" s="390" t="n"/>
      <c r="U2964" s="390" t="inlineStr">
        <is>
          <t>Không có thông tin</t>
        </is>
      </c>
      <c r="V2964" s="22" t="n"/>
      <c r="W2964" s="22" t="n"/>
      <c r="X2964" s="22" t="n"/>
      <c r="Y2964" s="38" t="n"/>
      <c r="Z2964" s="22" t="n"/>
      <c r="AA2964" s="22" t="n"/>
      <c r="AB2964" s="22" t="n"/>
      <c r="AC2964" s="22" t="n"/>
      <c r="AD2964" s="22" t="n"/>
      <c r="AE2964" s="22" t="n"/>
    </row>
    <row r="2965" ht="84" customHeight="1" s="380">
      <c r="A2965" s="126" t="n">
        <v>120</v>
      </c>
      <c r="B2965" s="390" t="n"/>
      <c r="C2965" s="390" t="inlineStr">
        <is>
          <t>Báo cáo tình hình hoạt động tháng - Chi nhánh công ty chứng khoán nước ngoài tại Việt Nam</t>
        </is>
      </c>
      <c r="D2965" s="82" t="inlineStr">
        <is>
          <t>Tình hình hoạt động của chi nhánh &gt;&gt; Tư vấn đầu tư chứng khoán &gt;&gt; Báo cáo phân tích &gt;&gt; Số hợp đồng còn hiệu lực cuối tháng</t>
        </is>
      </c>
      <c r="E2965" s="82" t="inlineStr">
        <is>
          <t>Tình hình hoạt động của chi nhánh &gt;&gt; Tư vấn đầu tư chứng khoán &gt;&gt; Báo cáo phân tích &gt;&gt; Số hợp đồng còn hiệu lực cuối tháng</t>
        </is>
      </c>
      <c r="F2965" s="390" t="inlineStr">
        <is>
          <t>Data Explorer</t>
        </is>
      </c>
      <c r="G2965" s="390" t="inlineStr">
        <is>
          <t>Chỉ tiêu cơ sở</t>
        </is>
      </c>
      <c r="H2965" s="390" t="inlineStr">
        <is>
          <t>TB</t>
        </is>
      </c>
      <c r="I2965" s="390" t="inlineStr">
        <is>
          <t>Ngày, CTCK</t>
        </is>
      </c>
      <c r="J2965" s="401" t="inlineStr">
        <is>
          <t>SCMS</t>
        </is>
      </c>
      <c r="K2965" s="401" t="n"/>
      <c r="L2965" s="401" t="inlineStr">
        <is>
          <t>X</t>
        </is>
      </c>
      <c r="M2965" s="401" t="n"/>
      <c r="N2965" s="401" t="inlineStr">
        <is>
          <t>Pending</t>
        </is>
      </c>
      <c r="O2965" s="401" t="n"/>
      <c r="P2965" s="22" t="n"/>
      <c r="Q2965" s="401" t="n"/>
      <c r="R2965" s="401" t="n"/>
      <c r="S2965" s="22" t="n"/>
      <c r="T2965" s="390" t="n"/>
      <c r="U2965" s="390" t="inlineStr">
        <is>
          <t>Không có thông tin</t>
        </is>
      </c>
      <c r="V2965" s="22" t="n"/>
      <c r="W2965" s="22" t="n"/>
      <c r="X2965" s="22" t="n"/>
      <c r="Y2965" s="13" t="n"/>
      <c r="Z2965" s="22" t="n"/>
      <c r="AA2965" s="22" t="n"/>
      <c r="AB2965" s="22" t="n"/>
      <c r="AC2965" s="22" t="n"/>
      <c r="AD2965" s="22" t="n"/>
      <c r="AE2965" s="22" t="n"/>
    </row>
    <row r="2966" ht="84" customHeight="1" s="380">
      <c r="A2966" s="126" t="n">
        <v>120</v>
      </c>
      <c r="B2966" s="390" t="n"/>
      <c r="C2966" s="390" t="inlineStr">
        <is>
          <t>Báo cáo tình hình hoạt động tháng - Chi nhánh công ty chứng khoán nước ngoài tại Việt Nam</t>
        </is>
      </c>
      <c r="D2966" s="82" t="inlineStr">
        <is>
          <t>Tình hình hoạt động của chi nhánh &gt;&gt; Tư vấn đầu tư chứng khoán &gt;&gt; Báo cáo phân tích &gt;&gt; Giá dịch vụ thu được trong tháng (đồng)</t>
        </is>
      </c>
      <c r="E2966" s="82" t="inlineStr">
        <is>
          <t>Tình hình hoạt động của chi nhánh &gt;&gt; Tư vấn đầu tư chứng khoán &gt;&gt; Báo cáo phân tích &gt;&gt; Giá dịch vụ thu được trong tháng (đồng)</t>
        </is>
      </c>
      <c r="F2966" s="390" t="inlineStr">
        <is>
          <t>Data Explorer</t>
        </is>
      </c>
      <c r="G2966" s="390" t="inlineStr">
        <is>
          <t>Chỉ tiêu cơ sở</t>
        </is>
      </c>
      <c r="H2966" s="390" t="inlineStr">
        <is>
          <t>TB</t>
        </is>
      </c>
      <c r="I2966" s="390" t="inlineStr">
        <is>
          <t>Ngày, CTCK</t>
        </is>
      </c>
      <c r="J2966" s="401" t="inlineStr">
        <is>
          <t>SCMS</t>
        </is>
      </c>
      <c r="K2966" s="401" t="n"/>
      <c r="L2966" s="401" t="inlineStr">
        <is>
          <t>X</t>
        </is>
      </c>
      <c r="M2966" s="401" t="n"/>
      <c r="N2966" s="401" t="inlineStr">
        <is>
          <t>Pending</t>
        </is>
      </c>
      <c r="O2966" s="401" t="n"/>
      <c r="P2966" s="22" t="n"/>
      <c r="Q2966" s="401" t="n"/>
      <c r="R2966" s="401" t="n"/>
      <c r="S2966" s="22" t="n"/>
      <c r="T2966" s="390" t="n"/>
      <c r="U2966" s="390" t="inlineStr">
        <is>
          <t>Không có thông tin</t>
        </is>
      </c>
      <c r="V2966" s="22" t="n"/>
      <c r="W2966" s="22" t="n"/>
      <c r="X2966" s="22" t="n"/>
      <c r="Y2966" s="13" t="n"/>
      <c r="Z2966" s="22" t="n"/>
      <c r="AA2966" s="22" t="n"/>
      <c r="AB2966" s="22" t="n"/>
      <c r="AC2966" s="22" t="n"/>
      <c r="AD2966" s="22" t="n"/>
      <c r="AE2966" s="22" t="n"/>
    </row>
    <row r="2967" ht="84" customHeight="1" s="380">
      <c r="A2967" s="126" t="n">
        <v>120</v>
      </c>
      <c r="B2967" s="390" t="n"/>
      <c r="C2967" s="390" t="inlineStr">
        <is>
          <t>Báo cáo tình hình hoạt động tháng - Chi nhánh công ty chứng khoán nước ngoài tại Việt Nam</t>
        </is>
      </c>
      <c r="D2967" s="82" t="inlineStr">
        <is>
          <t>Tình hình hoạt động của chi nhánh &gt;&gt; Tư vấn đầu tư chứng khoán &gt;&gt; Khuyến nghị đầu tư chứng khoán &gt;&gt; Số hợp đồng đã ký đầu tháng</t>
        </is>
      </c>
      <c r="E2967" s="82" t="inlineStr">
        <is>
          <t>Tình hình hoạt động của chi nhánh &gt;&gt; Tư vấn đầu tư chứng khoán &gt;&gt; Khuyến nghị đầu tư chứng khoán &gt;&gt; Số hợp đồng đã ký đầu tháng</t>
        </is>
      </c>
      <c r="F2967" s="390" t="inlineStr">
        <is>
          <t>Data Explorer</t>
        </is>
      </c>
      <c r="G2967" s="390" t="inlineStr">
        <is>
          <t>Chỉ tiêu cơ sở</t>
        </is>
      </c>
      <c r="H2967" s="390" t="inlineStr">
        <is>
          <t>TB</t>
        </is>
      </c>
      <c r="I2967" s="390" t="inlineStr">
        <is>
          <t>Ngày, CTCK</t>
        </is>
      </c>
      <c r="J2967" s="401" t="inlineStr">
        <is>
          <t>SCMS</t>
        </is>
      </c>
      <c r="K2967" s="401" t="n"/>
      <c r="L2967" s="401" t="inlineStr">
        <is>
          <t>X</t>
        </is>
      </c>
      <c r="M2967" s="401" t="n"/>
      <c r="N2967" s="401" t="inlineStr">
        <is>
          <t>Pending</t>
        </is>
      </c>
      <c r="O2967" s="401" t="n"/>
      <c r="P2967" s="22" t="n"/>
      <c r="Q2967" s="401" t="n"/>
      <c r="R2967" s="401" t="n"/>
      <c r="S2967" s="22" t="n"/>
      <c r="T2967" s="390" t="n"/>
      <c r="U2967" s="390" t="inlineStr">
        <is>
          <t>Không có thông tin</t>
        </is>
      </c>
      <c r="V2967" s="22" t="n"/>
      <c r="W2967" s="22" t="n"/>
      <c r="X2967" s="22" t="n"/>
      <c r="Y2967" s="13" t="n"/>
      <c r="Z2967" s="22" t="n"/>
      <c r="AA2967" s="22" t="n"/>
      <c r="AB2967" s="22" t="n"/>
      <c r="AC2967" s="22" t="n"/>
      <c r="AD2967" s="22" t="n"/>
      <c r="AE2967" s="22" t="n"/>
    </row>
    <row r="2968" ht="98" customHeight="1" s="380">
      <c r="A2968" s="126" t="n">
        <v>120</v>
      </c>
      <c r="B2968" s="390" t="n"/>
      <c r="C2968" s="390" t="inlineStr">
        <is>
          <t>Báo cáo tình hình hoạt động tháng - Chi nhánh công ty chứng khoán nước ngoài tại Việt Nam</t>
        </is>
      </c>
      <c r="D2968" s="82" t="inlineStr">
        <is>
          <t>Tình hình hoạt động của chi nhánh &gt;&gt; Tư vấn đầu tư chứng khoán &gt;&gt; Khuyến nghị đầu tư chứng khoán &gt;&gt; Số hợp đồng đã thanh lý trong tháng</t>
        </is>
      </c>
      <c r="E2968" s="82" t="inlineStr">
        <is>
          <t>Tình hình hoạt động của chi nhánh &gt;&gt; Tư vấn đầu tư chứng khoán &gt;&gt; Khuyến nghị đầu tư chứng khoán &gt;&gt; Số hợp đồng đã thanh lý trong tháng</t>
        </is>
      </c>
      <c r="F2968" s="390" t="inlineStr">
        <is>
          <t>Data Explorer</t>
        </is>
      </c>
      <c r="G2968" s="390" t="inlineStr">
        <is>
          <t>Chỉ tiêu cơ sở</t>
        </is>
      </c>
      <c r="H2968" s="390" t="inlineStr">
        <is>
          <t>TB</t>
        </is>
      </c>
      <c r="I2968" s="390" t="inlineStr">
        <is>
          <t>Ngày, CTCK</t>
        </is>
      </c>
      <c r="J2968" s="401" t="inlineStr">
        <is>
          <t>SCMS</t>
        </is>
      </c>
      <c r="K2968" s="401" t="n"/>
      <c r="L2968" s="401" t="inlineStr">
        <is>
          <t>X</t>
        </is>
      </c>
      <c r="M2968" s="401" t="n"/>
      <c r="N2968" s="401" t="inlineStr">
        <is>
          <t>Pending</t>
        </is>
      </c>
      <c r="O2968" s="401" t="n"/>
      <c r="P2968" s="22" t="n"/>
      <c r="Q2968" s="401" t="n"/>
      <c r="R2968" s="401" t="n"/>
      <c r="S2968" s="22" t="n"/>
      <c r="T2968" s="390" t="n"/>
      <c r="U2968" s="390" t="inlineStr">
        <is>
          <t>Không có thông tin</t>
        </is>
      </c>
      <c r="V2968" s="22" t="n"/>
      <c r="W2968" s="22" t="n"/>
      <c r="X2968" s="22" t="n"/>
      <c r="Y2968" s="13" t="n"/>
      <c r="Z2968" s="22" t="n"/>
      <c r="AA2968" s="22" t="n"/>
      <c r="AB2968" s="22" t="n"/>
      <c r="AC2968" s="22" t="n"/>
      <c r="AD2968" s="22" t="n"/>
      <c r="AE2968" s="22" t="n"/>
    </row>
    <row r="2969" ht="84" customHeight="1" s="380">
      <c r="A2969" s="126" t="n">
        <v>120</v>
      </c>
      <c r="B2969" s="390" t="n"/>
      <c r="C2969" s="390" t="inlineStr">
        <is>
          <t>Báo cáo tình hình hoạt động tháng - Chi nhánh công ty chứng khoán nước ngoài tại Việt Nam</t>
        </is>
      </c>
      <c r="D2969" s="82" t="inlineStr">
        <is>
          <t>Tình hình hoạt động của chi nhánh &gt;&gt; Tư vấn đầu tư chứng khoán &gt;&gt; Khuyến nghị đầu tư chứng khoán &gt;&gt; Số hợp đồng ký mới trong tháng</t>
        </is>
      </c>
      <c r="E2969" s="82" t="inlineStr">
        <is>
          <t>Tình hình hoạt động của chi nhánh &gt;&gt; Tư vấn đầu tư chứng khoán &gt;&gt; Khuyến nghị đầu tư chứng khoán &gt;&gt; Số hợp đồng ký mới trong tháng</t>
        </is>
      </c>
      <c r="F2969" s="390" t="inlineStr">
        <is>
          <t>Data Explorer</t>
        </is>
      </c>
      <c r="G2969" s="390" t="inlineStr">
        <is>
          <t>Chỉ tiêu cơ sở</t>
        </is>
      </c>
      <c r="H2969" s="390" t="inlineStr">
        <is>
          <t>TB</t>
        </is>
      </c>
      <c r="I2969" s="390" t="inlineStr">
        <is>
          <t>Ngày, CTCK</t>
        </is>
      </c>
      <c r="J2969" s="401" t="inlineStr">
        <is>
          <t>SCMS</t>
        </is>
      </c>
      <c r="K2969" s="401" t="n"/>
      <c r="L2969" s="401" t="inlineStr">
        <is>
          <t>X</t>
        </is>
      </c>
      <c r="M2969" s="401" t="n"/>
      <c r="N2969" s="401" t="inlineStr">
        <is>
          <t>Pending</t>
        </is>
      </c>
      <c r="O2969" s="401" t="n"/>
      <c r="P2969" s="22" t="n"/>
      <c r="Q2969" s="401" t="n"/>
      <c r="R2969" s="401" t="n"/>
      <c r="S2969" s="22" t="n"/>
      <c r="T2969" s="390" t="n"/>
      <c r="U2969" s="390" t="inlineStr">
        <is>
          <t>Không có thông tin</t>
        </is>
      </c>
      <c r="V2969" s="22" t="n"/>
      <c r="W2969" s="22" t="n"/>
      <c r="X2969" s="22" t="n"/>
      <c r="Y2969" s="13" t="n"/>
      <c r="Z2969" s="22" t="n"/>
      <c r="AA2969" s="22" t="n"/>
      <c r="AB2969" s="22" t="n"/>
      <c r="AC2969" s="22" t="n"/>
      <c r="AD2969" s="22" t="n"/>
      <c r="AE2969" s="22" t="n"/>
    </row>
    <row r="2970" ht="98" customHeight="1" s="380">
      <c r="A2970" s="126" t="n">
        <v>120</v>
      </c>
      <c r="B2970" s="390" t="n"/>
      <c r="C2970" s="390" t="inlineStr">
        <is>
          <t>Báo cáo tình hình hoạt động tháng - Chi nhánh công ty chứng khoán nước ngoài tại Việt Nam</t>
        </is>
      </c>
      <c r="D2970" s="82" t="inlineStr">
        <is>
          <t>Tình hình hoạt động của chi nhánh &gt;&gt; Tư vấn đầu tư chứng khoán &gt;&gt; Khuyến nghị đầu tư chứng khoán &gt;&gt; Số hợp đồng còn hiệu lực cuối tháng</t>
        </is>
      </c>
      <c r="E2970" s="82" t="inlineStr">
        <is>
          <t>Tình hình hoạt động của chi nhánh &gt;&gt; Tư vấn đầu tư chứng khoán &gt;&gt; Khuyến nghị đầu tư chứng khoán &gt;&gt; Số hợp đồng còn hiệu lực cuối tháng</t>
        </is>
      </c>
      <c r="F2970" s="390" t="inlineStr">
        <is>
          <t>Data Explorer</t>
        </is>
      </c>
      <c r="G2970" s="390" t="inlineStr">
        <is>
          <t>Chỉ tiêu cơ sở</t>
        </is>
      </c>
      <c r="H2970" s="390" t="inlineStr">
        <is>
          <t>TB</t>
        </is>
      </c>
      <c r="I2970" s="390" t="inlineStr">
        <is>
          <t>Ngày, CTCK</t>
        </is>
      </c>
      <c r="J2970" s="401" t="inlineStr">
        <is>
          <t>SCMS</t>
        </is>
      </c>
      <c r="K2970" s="401" t="n"/>
      <c r="L2970" s="401" t="inlineStr">
        <is>
          <t>X</t>
        </is>
      </c>
      <c r="M2970" s="401" t="n"/>
      <c r="N2970" s="401" t="inlineStr">
        <is>
          <t>Pending</t>
        </is>
      </c>
      <c r="O2970" s="401" t="n"/>
      <c r="P2970" s="22" t="n"/>
      <c r="Q2970" s="401" t="n"/>
      <c r="R2970" s="401" t="n"/>
      <c r="S2970" s="22" t="n"/>
      <c r="T2970" s="390" t="n"/>
      <c r="U2970" s="390" t="inlineStr">
        <is>
          <t>Không có thông tin</t>
        </is>
      </c>
      <c r="V2970" s="22" t="n"/>
      <c r="W2970" s="22" t="n"/>
      <c r="X2970" s="22" t="n"/>
      <c r="Y2970" s="14" t="n"/>
      <c r="Z2970" s="22" t="n"/>
      <c r="AA2970" s="22" t="n"/>
      <c r="AB2970" s="22" t="n"/>
      <c r="AC2970" s="22" t="n"/>
      <c r="AD2970" s="22" t="n"/>
      <c r="AE2970" s="22" t="n"/>
    </row>
    <row r="2971" ht="98" customHeight="1" s="380">
      <c r="A2971" s="126" t="n">
        <v>120</v>
      </c>
      <c r="B2971" s="390" t="n"/>
      <c r="C2971" s="390" t="inlineStr">
        <is>
          <t>Báo cáo tình hình hoạt động tháng - Chi nhánh công ty chứng khoán nước ngoài tại Việt Nam</t>
        </is>
      </c>
      <c r="D2971" s="82" t="inlineStr">
        <is>
          <t>Tình hình hoạt động của chi nhánh &gt;&gt; Tư vấn đầu tư chứng khoán &gt;&gt; Khuyến nghị đầu tư chứng khoán &gt;&gt; Giá dịch vụ thu được trong tháng (đồng)</t>
        </is>
      </c>
      <c r="E2971" s="82" t="inlineStr">
        <is>
          <t>Tình hình hoạt động của chi nhánh &gt;&gt; Tư vấn đầu tư chứng khoán &gt;&gt; Khuyến nghị đầu tư chứng khoán &gt;&gt; Giá dịch vụ thu được trong tháng (đồng)</t>
        </is>
      </c>
      <c r="F2971" s="390" t="inlineStr">
        <is>
          <t>Data Explorer</t>
        </is>
      </c>
      <c r="G2971" s="390" t="inlineStr">
        <is>
          <t>Chỉ tiêu cơ sở</t>
        </is>
      </c>
      <c r="H2971" s="390" t="inlineStr">
        <is>
          <t>TB</t>
        </is>
      </c>
      <c r="I2971" s="390" t="inlineStr">
        <is>
          <t>Ngày, CTCK</t>
        </is>
      </c>
      <c r="J2971" s="401" t="inlineStr">
        <is>
          <t>SCMS</t>
        </is>
      </c>
      <c r="K2971" s="401" t="n"/>
      <c r="L2971" s="401" t="inlineStr">
        <is>
          <t>X</t>
        </is>
      </c>
      <c r="M2971" s="401" t="n"/>
      <c r="N2971" s="401" t="inlineStr">
        <is>
          <t>Pending</t>
        </is>
      </c>
      <c r="O2971" s="401" t="n"/>
      <c r="P2971" s="22" t="n"/>
      <c r="Q2971" s="401" t="n"/>
      <c r="R2971" s="401" t="n"/>
      <c r="S2971" s="22" t="n"/>
      <c r="T2971" s="390" t="n"/>
      <c r="U2971" s="390" t="inlineStr">
        <is>
          <t>Không có thông tin</t>
        </is>
      </c>
      <c r="V2971" s="22" t="n"/>
      <c r="W2971" s="22" t="n"/>
      <c r="X2971" s="22" t="n"/>
      <c r="Y2971" s="13" t="n"/>
      <c r="Z2971" s="22" t="n"/>
      <c r="AA2971" s="22" t="n"/>
      <c r="AB2971" s="22" t="n"/>
      <c r="AC2971" s="22" t="n"/>
      <c r="AD2971" s="22" t="n"/>
      <c r="AE2971" s="22" t="n"/>
    </row>
    <row r="2972" ht="56" customHeight="1" s="380">
      <c r="A2972" s="126" t="n">
        <v>120</v>
      </c>
      <c r="B2972" s="390" t="n"/>
      <c r="C2972" s="390" t="inlineStr">
        <is>
          <t>Báo cáo tình hình hoạt động tháng - Chi nhánh công ty chứng khoán nước ngoài tại Việt Nam</t>
        </is>
      </c>
      <c r="D2972" s="82" t="inlineStr">
        <is>
          <t>Tình hình hoạt động của chi nhánh &gt;&gt; Tổng cộng &gt;&gt; Số hợp đồng đã ký đầu tháng</t>
        </is>
      </c>
      <c r="E2972" s="82" t="inlineStr">
        <is>
          <t>Tình hình hoạt động của chi nhánh &gt;&gt; Tổng cộng &gt;&gt; Số hợp đồng đã ký đầu tháng</t>
        </is>
      </c>
      <c r="F2972" s="390" t="inlineStr">
        <is>
          <t>Data Explorer</t>
        </is>
      </c>
      <c r="G2972" s="390" t="inlineStr">
        <is>
          <t>Chỉ tiêu cơ sở</t>
        </is>
      </c>
      <c r="H2972" s="390" t="inlineStr">
        <is>
          <t>TB</t>
        </is>
      </c>
      <c r="I2972" s="390" t="inlineStr">
        <is>
          <t>Ngày, CTCK</t>
        </is>
      </c>
      <c r="J2972" s="401" t="inlineStr">
        <is>
          <t>SCMS</t>
        </is>
      </c>
      <c r="K2972" s="401" t="n"/>
      <c r="L2972" s="401" t="inlineStr">
        <is>
          <t>X</t>
        </is>
      </c>
      <c r="M2972" s="401" t="n"/>
      <c r="N2972" s="401" t="inlineStr">
        <is>
          <t>Pending</t>
        </is>
      </c>
      <c r="O2972" s="401" t="n"/>
      <c r="P2972" s="22" t="n"/>
      <c r="Q2972" s="401" t="n"/>
      <c r="R2972" s="401" t="n"/>
      <c r="S2972" s="22" t="n"/>
      <c r="T2972" s="390" t="n"/>
      <c r="U2972" s="390" t="inlineStr">
        <is>
          <t>Không có thông tin</t>
        </is>
      </c>
      <c r="V2972" s="22" t="n"/>
      <c r="W2972" s="22" t="n"/>
      <c r="X2972" s="22" t="n"/>
      <c r="Y2972" s="13" t="n"/>
      <c r="Z2972" s="22" t="n"/>
      <c r="AA2972" s="22" t="n"/>
      <c r="AB2972" s="22" t="n"/>
      <c r="AC2972" s="22" t="n"/>
      <c r="AD2972" s="22" t="n"/>
      <c r="AE2972" s="22" t="n"/>
    </row>
    <row r="2973" ht="56" customHeight="1" s="380">
      <c r="A2973" s="126" t="n">
        <v>120</v>
      </c>
      <c r="B2973" s="390" t="n"/>
      <c r="C2973" s="390" t="inlineStr">
        <is>
          <t>Báo cáo tình hình hoạt động tháng - Chi nhánh công ty chứng khoán nước ngoài tại Việt Nam</t>
        </is>
      </c>
      <c r="D2973" s="82" t="inlineStr">
        <is>
          <t>Tình hình hoạt động của chi nhánh &gt;&gt; Tổng cộng &gt;&gt; Số hợp đồng đã thanh lý trong tháng</t>
        </is>
      </c>
      <c r="E2973" s="82" t="inlineStr">
        <is>
          <t>Tình hình hoạt động của chi nhánh &gt;&gt; Tổng cộng &gt;&gt; Số hợp đồng đã thanh lý trong tháng</t>
        </is>
      </c>
      <c r="F2973" s="390" t="inlineStr">
        <is>
          <t>Data Explorer</t>
        </is>
      </c>
      <c r="G2973" s="390" t="inlineStr">
        <is>
          <t>Chỉ tiêu cơ sở</t>
        </is>
      </c>
      <c r="H2973" s="390" t="inlineStr">
        <is>
          <t>TB</t>
        </is>
      </c>
      <c r="I2973" s="390" t="inlineStr">
        <is>
          <t>Ngày, CTCK</t>
        </is>
      </c>
      <c r="J2973" s="401" t="inlineStr">
        <is>
          <t>SCMS</t>
        </is>
      </c>
      <c r="K2973" s="401" t="n"/>
      <c r="L2973" s="401" t="inlineStr">
        <is>
          <t>X</t>
        </is>
      </c>
      <c r="M2973" s="401" t="n"/>
      <c r="N2973" s="401" t="inlineStr">
        <is>
          <t>Pending</t>
        </is>
      </c>
      <c r="O2973" s="401" t="n"/>
      <c r="P2973" s="22" t="n"/>
      <c r="Q2973" s="401" t="n"/>
      <c r="R2973" s="401" t="n"/>
      <c r="S2973" s="22" t="n"/>
      <c r="T2973" s="390" t="n"/>
      <c r="U2973" s="390" t="inlineStr">
        <is>
          <t>Không có thông tin</t>
        </is>
      </c>
      <c r="V2973" s="22" t="n"/>
      <c r="W2973" s="22" t="n"/>
      <c r="X2973" s="22" t="n"/>
      <c r="Y2973" s="13" t="n"/>
      <c r="Z2973" s="22" t="n"/>
      <c r="AA2973" s="22" t="n"/>
      <c r="AB2973" s="22" t="n"/>
      <c r="AC2973" s="22" t="n"/>
      <c r="AD2973" s="22" t="n"/>
      <c r="AE2973" s="22" t="n"/>
    </row>
    <row r="2974" ht="56" customHeight="1" s="380">
      <c r="A2974" s="126" t="n">
        <v>120</v>
      </c>
      <c r="B2974" s="390" t="n"/>
      <c r="C2974" s="390" t="inlineStr">
        <is>
          <t>Báo cáo tình hình hoạt động tháng - Chi nhánh công ty chứng khoán nước ngoài tại Việt Nam</t>
        </is>
      </c>
      <c r="D2974" s="82" t="inlineStr">
        <is>
          <t>Tình hình hoạt động của chi nhánh &gt;&gt; Tổng cộng &gt;&gt; Số hợp đồng ký mới trong tháng</t>
        </is>
      </c>
      <c r="E2974" s="82" t="inlineStr">
        <is>
          <t>Tình hình hoạt động của chi nhánh &gt;&gt; Tổng cộng &gt;&gt; Số hợp đồng ký mới trong tháng</t>
        </is>
      </c>
      <c r="F2974" s="390" t="inlineStr">
        <is>
          <t>Data Explorer</t>
        </is>
      </c>
      <c r="G2974" s="390" t="inlineStr">
        <is>
          <t>Chỉ tiêu cơ sở</t>
        </is>
      </c>
      <c r="H2974" s="390" t="inlineStr">
        <is>
          <t>TB</t>
        </is>
      </c>
      <c r="I2974" s="390" t="inlineStr">
        <is>
          <t>Ngày, CTCK</t>
        </is>
      </c>
      <c r="J2974" s="401" t="inlineStr">
        <is>
          <t>SCMS</t>
        </is>
      </c>
      <c r="K2974" s="401" t="n"/>
      <c r="L2974" s="401" t="inlineStr">
        <is>
          <t>X</t>
        </is>
      </c>
      <c r="M2974" s="401" t="n"/>
      <c r="N2974" s="401" t="inlineStr">
        <is>
          <t>Pending</t>
        </is>
      </c>
      <c r="O2974" s="401" t="n"/>
      <c r="P2974" s="22" t="n"/>
      <c r="Q2974" s="401" t="n"/>
      <c r="R2974" s="401" t="n"/>
      <c r="S2974" s="22" t="n"/>
      <c r="T2974" s="390" t="n"/>
      <c r="U2974" s="390" t="inlineStr">
        <is>
          <t>Không có thông tin</t>
        </is>
      </c>
      <c r="V2974" s="22" t="n"/>
      <c r="W2974" s="22" t="n"/>
      <c r="X2974" s="22" t="n"/>
      <c r="Y2974" s="13" t="n"/>
      <c r="Z2974" s="22" t="n"/>
      <c r="AA2974" s="22" t="n"/>
      <c r="AB2974" s="22" t="n"/>
      <c r="AC2974" s="22" t="n"/>
      <c r="AD2974" s="22" t="n"/>
      <c r="AE2974" s="22" t="n"/>
    </row>
    <row r="2975" ht="56" customHeight="1" s="380">
      <c r="A2975" s="126" t="n">
        <v>120</v>
      </c>
      <c r="B2975" s="390" t="n"/>
      <c r="C2975" s="390" t="inlineStr">
        <is>
          <t>Báo cáo tình hình hoạt động tháng - Chi nhánh công ty chứng khoán nước ngoài tại Việt Nam</t>
        </is>
      </c>
      <c r="D2975" s="82" t="inlineStr">
        <is>
          <t>Tình hình hoạt động của chi nhánh &gt;&gt; Tổng cộng &gt;&gt; Số hợp đồng còn hiệu lực cuối tháng</t>
        </is>
      </c>
      <c r="E2975" s="82" t="inlineStr">
        <is>
          <t>Tình hình hoạt động của chi nhánh &gt;&gt; Tổng cộng &gt;&gt; Số hợp đồng còn hiệu lực cuối tháng</t>
        </is>
      </c>
      <c r="F2975" s="390" t="inlineStr">
        <is>
          <t>Data Explorer</t>
        </is>
      </c>
      <c r="G2975" s="390" t="inlineStr">
        <is>
          <t>Chỉ tiêu cơ sở</t>
        </is>
      </c>
      <c r="H2975" s="390" t="inlineStr">
        <is>
          <t>TB</t>
        </is>
      </c>
      <c r="I2975" s="390" t="inlineStr">
        <is>
          <t>Ngày, CTCK</t>
        </is>
      </c>
      <c r="J2975" s="401" t="inlineStr">
        <is>
          <t>SCMS</t>
        </is>
      </c>
      <c r="K2975" s="401" t="n"/>
      <c r="L2975" s="401" t="inlineStr">
        <is>
          <t>X</t>
        </is>
      </c>
      <c r="M2975" s="401" t="n"/>
      <c r="N2975" s="401" t="inlineStr">
        <is>
          <t>Pending</t>
        </is>
      </c>
      <c r="O2975" s="401" t="n"/>
      <c r="P2975" s="22" t="n"/>
      <c r="Q2975" s="401" t="n"/>
      <c r="R2975" s="401" t="n"/>
      <c r="S2975" s="22" t="n"/>
      <c r="T2975" s="390" t="n"/>
      <c r="U2975" s="390" t="inlineStr">
        <is>
          <t>Không có thông tin</t>
        </is>
      </c>
      <c r="V2975" s="22" t="n"/>
      <c r="W2975" s="22" t="n"/>
      <c r="X2975" s="22" t="n"/>
      <c r="Y2975" s="13" t="n"/>
      <c r="Z2975" s="22" t="n"/>
      <c r="AA2975" s="22" t="n"/>
      <c r="AB2975" s="22" t="n"/>
      <c r="AC2975" s="22" t="n"/>
      <c r="AD2975" s="22" t="n"/>
      <c r="AE2975" s="22" t="n"/>
    </row>
    <row r="2976" ht="56" customHeight="1" s="380">
      <c r="A2976" s="128" t="n">
        <v>120</v>
      </c>
      <c r="B2976" s="129" t="n"/>
      <c r="C2976" s="129" t="inlineStr">
        <is>
          <t>Báo cáo tình hình hoạt động tháng - Chi nhánh công ty chứng khoán nước ngoài tại Việt Nam</t>
        </is>
      </c>
      <c r="D2976" s="137" t="inlineStr">
        <is>
          <t>Tình hình hoạt động của chi nhánh &gt;&gt; Tổng cộng &gt;&gt; Giá dịch vụ thu được trong tháng (đồng)</t>
        </is>
      </c>
      <c r="E2976" s="137" t="inlineStr">
        <is>
          <t>Tình hình hoạt động của chi nhánh &gt;&gt; Tổng cộng &gt;&gt; Giá dịch vụ thu được trong tháng (đồng)</t>
        </is>
      </c>
      <c r="F2976" s="129" t="inlineStr">
        <is>
          <t>Data Explorer</t>
        </is>
      </c>
      <c r="G2976" s="129" t="inlineStr">
        <is>
          <t>Chỉ tiêu cơ sở</t>
        </is>
      </c>
      <c r="H2976" s="129" t="inlineStr">
        <is>
          <t>TB</t>
        </is>
      </c>
      <c r="I2976" s="129" t="inlineStr">
        <is>
          <t>Ngày, CTCK</t>
        </is>
      </c>
      <c r="J2976" s="85" t="inlineStr">
        <is>
          <t>SCMS</t>
        </is>
      </c>
      <c r="K2976" s="85" t="n"/>
      <c r="L2976" s="85" t="inlineStr">
        <is>
          <t>X</t>
        </is>
      </c>
      <c r="M2976" s="85" t="n"/>
      <c r="N2976" s="85" t="inlineStr">
        <is>
          <t>Pending</t>
        </is>
      </c>
      <c r="O2976" s="85" t="n"/>
      <c r="P2976" s="130" t="n"/>
      <c r="Q2976" s="85" t="n"/>
      <c r="R2976" s="85" t="n"/>
      <c r="S2976" s="130" t="n"/>
      <c r="T2976" s="129" t="n"/>
      <c r="U2976" s="129" t="inlineStr">
        <is>
          <t>Không có thông tin</t>
        </is>
      </c>
      <c r="V2976" s="130" t="n"/>
      <c r="W2976" s="130" t="n"/>
      <c r="X2976" s="130" t="n"/>
      <c r="Y2976" s="97" t="n"/>
      <c r="Z2976" s="130" t="n"/>
      <c r="AA2976" s="130" t="n"/>
      <c r="AB2976" s="130" t="n"/>
      <c r="AC2976" s="130" t="n"/>
      <c r="AD2976" s="130" t="n"/>
      <c r="AE2976" s="130" t="n"/>
    </row>
    <row r="2977" ht="56" customHeight="1" s="380">
      <c r="A2977" s="139" t="n">
        <v>121</v>
      </c>
      <c r="B2977" s="140" t="inlineStr">
        <is>
          <t>Trang</t>
        </is>
      </c>
      <c r="C2977" s="127" t="inlineStr">
        <is>
          <t>Báo cáo tình hình hoạt động năm - Chi nhánh công ty chứng khoán nước ngoài tại Việt Nam</t>
        </is>
      </c>
      <c r="D2977" s="106" t="inlineStr">
        <is>
          <t>Loại báo cáo</t>
        </is>
      </c>
      <c r="E2977" s="107" t="inlineStr">
        <is>
          <t>Loại báo cáo</t>
        </is>
      </c>
      <c r="F2977" s="390" t="inlineStr">
        <is>
          <t>Data Explorer</t>
        </is>
      </c>
      <c r="G2977" s="390" t="inlineStr">
        <is>
          <t>Chiều</t>
        </is>
      </c>
      <c r="H2977" s="390" t="inlineStr">
        <is>
          <t>Dễ</t>
        </is>
      </c>
      <c r="I2977" s="390" t="inlineStr">
        <is>
          <t>Ngày, CTCK</t>
        </is>
      </c>
      <c r="J2977" s="401" t="inlineStr">
        <is>
          <t>SCMS</t>
        </is>
      </c>
      <c r="K2977" s="401" t="inlineStr">
        <is>
          <t>X</t>
        </is>
      </c>
      <c r="L2977" s="401" t="inlineStr">
        <is>
          <t>X</t>
        </is>
      </c>
      <c r="M2977" s="401" t="n"/>
      <c r="N2977" s="401" t="inlineStr">
        <is>
          <t>Pending</t>
        </is>
      </c>
      <c r="O2977" s="401" t="n"/>
      <c r="P2977" s="22" t="n"/>
      <c r="Q2977" s="105" t="inlineStr">
        <is>
          <t>DB cũ không thấy biểu mẫu báo cáo này</t>
        </is>
      </c>
      <c r="R2977" s="401" t="n"/>
      <c r="S2977" s="22" t="n"/>
      <c r="T2977" s="390" t="n"/>
      <c r="U2977" s="390" t="n"/>
      <c r="V2977" s="22" t="n"/>
      <c r="W2977" s="22" t="n"/>
      <c r="X2977" s="22" t="n"/>
      <c r="Y2977" s="13" t="n"/>
      <c r="Z2977" s="22" t="n"/>
      <c r="AA2977" s="22" t="n"/>
      <c r="AB2977" s="22" t="n"/>
      <c r="AC2977" s="22" t="n"/>
      <c r="AD2977" s="22" t="n"/>
      <c r="AE2977" s="22" t="n"/>
    </row>
    <row r="2978" ht="56" customHeight="1" s="380">
      <c r="A2978" s="139" t="n">
        <v>121</v>
      </c>
      <c r="B2978" s="390" t="n"/>
      <c r="C2978" s="390" t="inlineStr">
        <is>
          <t>Báo cáo tình hình hoạt động năm - Chi nhánh công ty chứng khoán nước ngoài tại Việt Nam</t>
        </is>
      </c>
      <c r="D2978" s="106" t="inlineStr">
        <is>
          <t>Kỳ báo cáo</t>
        </is>
      </c>
      <c r="E2978" s="107" t="inlineStr">
        <is>
          <t>Kỳ báo cáo</t>
        </is>
      </c>
      <c r="F2978" s="390" t="inlineStr">
        <is>
          <t>Data Explorer</t>
        </is>
      </c>
      <c r="G2978" s="390" t="inlineStr">
        <is>
          <t>Chiều</t>
        </is>
      </c>
      <c r="H2978" s="390" t="inlineStr">
        <is>
          <t>Dễ</t>
        </is>
      </c>
      <c r="I2978" s="390" t="inlineStr">
        <is>
          <t>Ngày, CTCK</t>
        </is>
      </c>
      <c r="J2978" s="401" t="inlineStr">
        <is>
          <t>SCMS</t>
        </is>
      </c>
      <c r="K2978" s="401" t="inlineStr">
        <is>
          <t>X</t>
        </is>
      </c>
      <c r="L2978" s="401" t="inlineStr">
        <is>
          <t>X</t>
        </is>
      </c>
      <c r="M2978" s="401" t="n"/>
      <c r="N2978" s="401" t="inlineStr">
        <is>
          <t>Pending</t>
        </is>
      </c>
      <c r="O2978" s="401" t="n"/>
      <c r="P2978" s="22" t="n"/>
      <c r="Q2978" s="401" t="n"/>
      <c r="R2978" s="401" t="n"/>
      <c r="S2978" s="22" t="n"/>
      <c r="T2978" s="390" t="n"/>
      <c r="U2978" s="390" t="n"/>
      <c r="V2978" s="22" t="n"/>
      <c r="W2978" s="22" t="n"/>
      <c r="X2978" s="22" t="n"/>
      <c r="Y2978" s="13" t="n"/>
      <c r="Z2978" s="22" t="n"/>
      <c r="AA2978" s="22" t="n"/>
      <c r="AB2978" s="22" t="n"/>
      <c r="AC2978" s="22" t="n"/>
      <c r="AD2978" s="22" t="n"/>
      <c r="AE2978" s="22" t="n"/>
    </row>
    <row r="2979" ht="56" customHeight="1" s="380">
      <c r="A2979" s="139" t="n">
        <v>121</v>
      </c>
      <c r="B2979" s="390" t="n"/>
      <c r="C2979" s="390" t="inlineStr">
        <is>
          <t>Báo cáo tình hình hoạt động năm - Chi nhánh công ty chứng khoán nước ngoài tại Việt Nam</t>
        </is>
      </c>
      <c r="D2979" s="106" t="inlineStr">
        <is>
          <t>Mã báo cáo</t>
        </is>
      </c>
      <c r="E2979" s="107" t="inlineStr">
        <is>
          <t>Mã báo cáo</t>
        </is>
      </c>
      <c r="F2979" s="390" t="inlineStr">
        <is>
          <t>Data Explorer</t>
        </is>
      </c>
      <c r="G2979" s="390" t="inlineStr">
        <is>
          <t>Chiều</t>
        </is>
      </c>
      <c r="H2979" s="390" t="inlineStr">
        <is>
          <t>Dễ</t>
        </is>
      </c>
      <c r="I2979" s="390" t="inlineStr">
        <is>
          <t>Ngày, CTCK</t>
        </is>
      </c>
      <c r="J2979" s="401" t="inlineStr">
        <is>
          <t>SCMS</t>
        </is>
      </c>
      <c r="K2979" s="401" t="inlineStr">
        <is>
          <t>X</t>
        </is>
      </c>
      <c r="L2979" s="401" t="inlineStr">
        <is>
          <t>X</t>
        </is>
      </c>
      <c r="M2979" s="401" t="n"/>
      <c r="N2979" s="401" t="inlineStr">
        <is>
          <t>Pending</t>
        </is>
      </c>
      <c r="O2979" s="401" t="n"/>
      <c r="P2979" s="22" t="n"/>
      <c r="Q2979" s="401" t="n"/>
      <c r="R2979" s="401" t="n"/>
      <c r="S2979" s="22" t="n"/>
      <c r="T2979" s="390" t="n"/>
      <c r="U2979" s="390" t="n"/>
      <c r="V2979" s="22" t="n"/>
      <c r="W2979" s="22" t="n"/>
      <c r="X2979" s="22" t="n"/>
      <c r="Y2979" s="13" t="n"/>
      <c r="Z2979" s="22" t="n"/>
      <c r="AA2979" s="22" t="n"/>
      <c r="AB2979" s="22" t="n"/>
      <c r="AC2979" s="22" t="n"/>
      <c r="AD2979" s="22" t="n"/>
      <c r="AE2979" s="22" t="n"/>
    </row>
    <row r="2980" ht="56" customHeight="1" s="380">
      <c r="A2980" s="139" t="n">
        <v>121</v>
      </c>
      <c r="B2980" s="390" t="n"/>
      <c r="C2980" s="390" t="inlineStr">
        <is>
          <t>Báo cáo tình hình hoạt động năm - Chi nhánh công ty chứng khoán nước ngoài tại Việt Nam</t>
        </is>
      </c>
      <c r="D2980" s="106" t="inlineStr">
        <is>
          <t>Tên báo cáo</t>
        </is>
      </c>
      <c r="E2980" s="107" t="inlineStr">
        <is>
          <t>Tên báo cáo</t>
        </is>
      </c>
      <c r="F2980" s="390" t="inlineStr">
        <is>
          <t>Data Explorer</t>
        </is>
      </c>
      <c r="G2980" s="390" t="inlineStr">
        <is>
          <t>Chiều</t>
        </is>
      </c>
      <c r="H2980" s="390" t="inlineStr">
        <is>
          <t>Dễ</t>
        </is>
      </c>
      <c r="I2980" s="390" t="inlineStr">
        <is>
          <t>Ngày, CTCK</t>
        </is>
      </c>
      <c r="J2980" s="401" t="inlineStr">
        <is>
          <t>SCMS</t>
        </is>
      </c>
      <c r="K2980" s="401" t="inlineStr">
        <is>
          <t>X</t>
        </is>
      </c>
      <c r="L2980" s="401" t="inlineStr">
        <is>
          <t>X</t>
        </is>
      </c>
      <c r="M2980" s="401" t="n"/>
      <c r="N2980" s="401" t="inlineStr">
        <is>
          <t>Pending</t>
        </is>
      </c>
      <c r="O2980" s="401" t="n"/>
      <c r="P2980" s="22" t="n"/>
      <c r="Q2980" s="401" t="n"/>
      <c r="R2980" s="401" t="n"/>
      <c r="S2980" s="22" t="n"/>
      <c r="T2980" s="390" t="n"/>
      <c r="U2980" s="390" t="n"/>
      <c r="V2980" s="22" t="n"/>
      <c r="W2980" s="22" t="n"/>
      <c r="X2980" s="22" t="n"/>
      <c r="Y2980" s="13" t="n"/>
      <c r="Z2980" s="22" t="n"/>
      <c r="AA2980" s="22" t="n"/>
      <c r="AB2980" s="22" t="n"/>
      <c r="AC2980" s="22" t="n"/>
      <c r="AD2980" s="22" t="n"/>
      <c r="AE2980" s="22" t="n"/>
    </row>
    <row r="2981" ht="56" customHeight="1" s="380">
      <c r="A2981" s="139" t="n">
        <v>121</v>
      </c>
      <c r="B2981" s="390" t="n"/>
      <c r="C2981" s="390" t="inlineStr">
        <is>
          <t>Báo cáo tình hình hoạt động năm - Chi nhánh công ty chứng khoán nước ngoài tại Việt Nam</t>
        </is>
      </c>
      <c r="D2981" s="106" t="inlineStr">
        <is>
          <t>Mã chỉ tiêu</t>
        </is>
      </c>
      <c r="E2981" s="107" t="inlineStr">
        <is>
          <t>Mã chỉ tiêu</t>
        </is>
      </c>
      <c r="F2981" s="390" t="inlineStr">
        <is>
          <t>Data Explorer</t>
        </is>
      </c>
      <c r="G2981" s="390" t="inlineStr">
        <is>
          <t>Chiều</t>
        </is>
      </c>
      <c r="H2981" s="390" t="inlineStr">
        <is>
          <t>Dễ</t>
        </is>
      </c>
      <c r="I2981" s="390" t="inlineStr">
        <is>
          <t>Ngày, CTCK</t>
        </is>
      </c>
      <c r="J2981" s="401" t="inlineStr">
        <is>
          <t>SCMS</t>
        </is>
      </c>
      <c r="K2981" s="401" t="inlineStr">
        <is>
          <t>X</t>
        </is>
      </c>
      <c r="L2981" s="401" t="inlineStr">
        <is>
          <t>X</t>
        </is>
      </c>
      <c r="M2981" s="401" t="n"/>
      <c r="N2981" s="401" t="inlineStr">
        <is>
          <t>Pending</t>
        </is>
      </c>
      <c r="O2981" s="401" t="n"/>
      <c r="P2981" s="22" t="n"/>
      <c r="Q2981" s="401" t="n"/>
      <c r="R2981" s="401" t="n"/>
      <c r="S2981" s="22" t="n"/>
      <c r="T2981" s="390" t="n"/>
      <c r="U2981" s="390" t="n"/>
      <c r="V2981" s="22" t="n"/>
      <c r="W2981" s="22" t="n"/>
      <c r="X2981" s="22" t="n"/>
      <c r="Y2981" s="13" t="n"/>
      <c r="Z2981" s="22" t="n"/>
      <c r="AA2981" s="22" t="n"/>
      <c r="AB2981" s="22" t="n"/>
      <c r="AC2981" s="22" t="n"/>
      <c r="AD2981" s="22" t="n"/>
      <c r="AE2981" s="22" t="n"/>
    </row>
    <row r="2982" ht="56" customHeight="1" s="380">
      <c r="A2982" s="139" t="n">
        <v>121</v>
      </c>
      <c r="B2982" s="390" t="n"/>
      <c r="C2982" s="390" t="inlineStr">
        <is>
          <t>Báo cáo tình hình hoạt động năm - Chi nhánh công ty chứng khoán nước ngoài tại Việt Nam</t>
        </is>
      </c>
      <c r="D2982" s="106" t="inlineStr">
        <is>
          <t>Tên chỉ tiêu</t>
        </is>
      </c>
      <c r="E2982" s="107" t="inlineStr">
        <is>
          <t>Tên chỉ tiêu</t>
        </is>
      </c>
      <c r="F2982" s="390" t="inlineStr">
        <is>
          <t>Data Explorer</t>
        </is>
      </c>
      <c r="G2982" s="390" t="inlineStr">
        <is>
          <t>Chiều</t>
        </is>
      </c>
      <c r="H2982" s="390" t="inlineStr">
        <is>
          <t>Dễ</t>
        </is>
      </c>
      <c r="I2982" s="390" t="inlineStr">
        <is>
          <t>Ngày, CTCK</t>
        </is>
      </c>
      <c r="J2982" s="401" t="inlineStr">
        <is>
          <t>SCMS</t>
        </is>
      </c>
      <c r="K2982" s="401" t="inlineStr">
        <is>
          <t>X</t>
        </is>
      </c>
      <c r="L2982" s="401" t="inlineStr">
        <is>
          <t>X</t>
        </is>
      </c>
      <c r="M2982" s="401" t="n"/>
      <c r="N2982" s="401" t="inlineStr">
        <is>
          <t>Pending</t>
        </is>
      </c>
      <c r="O2982" s="401" t="n"/>
      <c r="P2982" s="22" t="n"/>
      <c r="Q2982" s="401" t="n"/>
      <c r="R2982" s="401" t="n"/>
      <c r="S2982" s="22" t="n"/>
      <c r="T2982" s="390" t="n"/>
      <c r="U2982" s="390" t="n"/>
      <c r="V2982" s="22" t="n"/>
      <c r="W2982" s="22" t="n"/>
      <c r="X2982" s="22" t="n"/>
      <c r="Y2982" s="38" t="n"/>
      <c r="Z2982" s="22" t="n"/>
      <c r="AA2982" s="22" t="n"/>
      <c r="AB2982" s="22" t="n"/>
      <c r="AC2982" s="22" t="n"/>
      <c r="AD2982" s="22" t="n"/>
      <c r="AE2982" s="22" t="n"/>
    </row>
    <row r="2983" ht="84" customHeight="1" s="380">
      <c r="A2983" s="139" t="n">
        <v>121</v>
      </c>
      <c r="B2983" s="390" t="n"/>
      <c r="C2983" s="390" t="inlineStr">
        <is>
          <t>Báo cáo tình hình hoạt động năm - Chi nhánh công ty chứng khoán nước ngoài tại Việt Nam</t>
        </is>
      </c>
      <c r="D2983" s="390" t="inlineStr">
        <is>
          <t>Tình hình nhân sự công ty &gt;&gt; Giám đốc chi nhánh &gt;&gt; Số lượng người có CCHN/tổng số người làm việc tại thời điểm đầu năm</t>
        </is>
      </c>
      <c r="E2983" s="390" t="inlineStr">
        <is>
          <t>Tình hình nhân sự công ty &gt;&gt; Giám đốc chi nhánh &gt;&gt; Số lượng người có CCHN/tổng số người làm việc tại thời điểm đầu năm</t>
        </is>
      </c>
      <c r="F2983" s="390" t="inlineStr">
        <is>
          <t>Data Explorer</t>
        </is>
      </c>
      <c r="G2983" s="390" t="inlineStr">
        <is>
          <t>Chỉ tiêu cơ sở</t>
        </is>
      </c>
      <c r="H2983" s="390" t="inlineStr">
        <is>
          <t>Trùng</t>
        </is>
      </c>
      <c r="I2983" s="390" t="inlineStr">
        <is>
          <t>Ngày, CTCK</t>
        </is>
      </c>
      <c r="J2983" s="401" t="inlineStr">
        <is>
          <t>SCMS</t>
        </is>
      </c>
      <c r="K2983" s="401" t="n"/>
      <c r="L2983" s="401" t="inlineStr">
        <is>
          <t>X</t>
        </is>
      </c>
      <c r="M2983" s="401" t="n"/>
      <c r="N2983" s="401" t="inlineStr">
        <is>
          <t>Pending</t>
        </is>
      </c>
      <c r="O2983" s="401" t="n"/>
      <c r="P2983" s="22" t="n"/>
      <c r="Q2983" s="401" t="n"/>
      <c r="R2983" s="401" t="n"/>
      <c r="S2983" s="22" t="n"/>
      <c r="T2983" s="390" t="n"/>
      <c r="U2983" s="390" t="inlineStr">
        <is>
          <t>Không có thông tin</t>
        </is>
      </c>
      <c r="V2983" s="22" t="n"/>
      <c r="W2983" s="22" t="n"/>
      <c r="X2983" s="22" t="n"/>
      <c r="Y2983" s="13" t="n"/>
      <c r="Z2983" s="22" t="n"/>
      <c r="AA2983" s="22" t="n"/>
      <c r="AB2983" s="22" t="n"/>
      <c r="AC2983" s="22" t="n"/>
      <c r="AD2983" s="22" t="n"/>
      <c r="AE2983" s="22" t="n"/>
    </row>
    <row r="2984" ht="84" customHeight="1" s="380">
      <c r="A2984" s="139" t="n">
        <v>121</v>
      </c>
      <c r="B2984" s="390" t="n"/>
      <c r="C2984" s="390" t="inlineStr">
        <is>
          <t>Báo cáo tình hình hoạt động năm - Chi nhánh công ty chứng khoán nước ngoài tại Việt Nam</t>
        </is>
      </c>
      <c r="D2984" s="390" t="inlineStr">
        <is>
          <t>Tình hình nhân sự công ty &gt;&gt; Giám đốc chi nhánh &gt;&gt; Số lượng người có CCHN thôi làm việc cho chi nhánh trong năm</t>
        </is>
      </c>
      <c r="E2984" s="390" t="inlineStr">
        <is>
          <t>Tình hình nhân sự công ty &gt;&gt; Giám đốc chi nhánh &gt;&gt; Số lượng người có CCHN thôi làm việc cho chi nhánh trong năm</t>
        </is>
      </c>
      <c r="F2984" s="390" t="inlineStr">
        <is>
          <t>Data Explorer</t>
        </is>
      </c>
      <c r="G2984" s="390" t="inlineStr">
        <is>
          <t>Chỉ tiêu cơ sở</t>
        </is>
      </c>
      <c r="H2984" s="390" t="inlineStr">
        <is>
          <t>Trùng</t>
        </is>
      </c>
      <c r="I2984" s="390" t="inlineStr">
        <is>
          <t>Ngày, CTCK</t>
        </is>
      </c>
      <c r="J2984" s="401" t="inlineStr">
        <is>
          <t>SCMS</t>
        </is>
      </c>
      <c r="K2984" s="401" t="n"/>
      <c r="L2984" s="401" t="inlineStr">
        <is>
          <t>X</t>
        </is>
      </c>
      <c r="M2984" s="401" t="n"/>
      <c r="N2984" s="401" t="inlineStr">
        <is>
          <t>Pending</t>
        </is>
      </c>
      <c r="O2984" s="401" t="n"/>
      <c r="P2984" s="22" t="n"/>
      <c r="Q2984" s="401" t="n"/>
      <c r="R2984" s="401" t="n"/>
      <c r="S2984" s="22" t="n"/>
      <c r="T2984" s="390" t="n"/>
      <c r="U2984" s="390" t="inlineStr">
        <is>
          <t>Không có thông tin</t>
        </is>
      </c>
      <c r="V2984" s="22" t="n"/>
      <c r="W2984" s="22" t="n"/>
      <c r="X2984" s="22" t="n"/>
      <c r="Y2984" s="13" t="n"/>
      <c r="Z2984" s="22" t="n"/>
      <c r="AA2984" s="22" t="n"/>
      <c r="AB2984" s="22" t="n"/>
      <c r="AC2984" s="22" t="n"/>
      <c r="AD2984" s="22" t="n"/>
      <c r="AE2984" s="22" t="n"/>
    </row>
    <row r="2985" ht="70" customHeight="1" s="380">
      <c r="A2985" s="139" t="n">
        <v>121</v>
      </c>
      <c r="B2985" s="390" t="n"/>
      <c r="C2985" s="390" t="inlineStr">
        <is>
          <t>Báo cáo tình hình hoạt động năm - Chi nhánh công ty chứng khoán nước ngoài tại Việt Nam</t>
        </is>
      </c>
      <c r="D2985" s="390" t="inlineStr">
        <is>
          <t>Tình hình nhân sự công ty &gt;&gt; Giám đốc chi nhánh &gt;&gt; Số lượng người có CCHN tuyển mới trong năm</t>
        </is>
      </c>
      <c r="E2985" s="390" t="inlineStr">
        <is>
          <t>Tình hình nhân sự công ty &gt;&gt; Giám đốc chi nhánh &gt;&gt; Số lượng người có CCHN tuyển mới trong năm</t>
        </is>
      </c>
      <c r="F2985" s="390" t="inlineStr">
        <is>
          <t>Data Explorer</t>
        </is>
      </c>
      <c r="G2985" s="390" t="inlineStr">
        <is>
          <t>Chỉ tiêu cơ sở</t>
        </is>
      </c>
      <c r="H2985" s="390" t="inlineStr">
        <is>
          <t>Trùng</t>
        </is>
      </c>
      <c r="I2985" s="390" t="inlineStr">
        <is>
          <t>Ngày, CTCK</t>
        </is>
      </c>
      <c r="J2985" s="401" t="inlineStr">
        <is>
          <t>SCMS</t>
        </is>
      </c>
      <c r="K2985" s="401" t="n"/>
      <c r="L2985" s="401" t="inlineStr">
        <is>
          <t>X</t>
        </is>
      </c>
      <c r="M2985" s="401" t="n"/>
      <c r="N2985" s="401" t="inlineStr">
        <is>
          <t>Pending</t>
        </is>
      </c>
      <c r="O2985" s="401" t="n"/>
      <c r="P2985" s="22" t="n"/>
      <c r="Q2985" s="401" t="n"/>
      <c r="R2985" s="401" t="n"/>
      <c r="S2985" s="22" t="n"/>
      <c r="T2985" s="390" t="n"/>
      <c r="U2985" s="390" t="inlineStr">
        <is>
          <t>Không có thông tin</t>
        </is>
      </c>
      <c r="V2985" s="22" t="n"/>
      <c r="W2985" s="22" t="n"/>
      <c r="X2985" s="22" t="n"/>
      <c r="Y2985" s="13" t="n"/>
      <c r="Z2985" s="22" t="n"/>
      <c r="AA2985" s="22" t="n"/>
      <c r="AB2985" s="22" t="n"/>
      <c r="AC2985" s="22" t="n"/>
      <c r="AD2985" s="22" t="n"/>
      <c r="AE2985" s="22" t="n"/>
    </row>
    <row r="2986" ht="84" customHeight="1" s="380">
      <c r="A2986" s="139" t="n">
        <v>121</v>
      </c>
      <c r="B2986" s="390" t="n"/>
      <c r="C2986" s="390" t="inlineStr">
        <is>
          <t>Báo cáo tình hình hoạt động năm - Chi nhánh công ty chứng khoán nước ngoài tại Việt Nam</t>
        </is>
      </c>
      <c r="D2986" s="390" t="inlineStr">
        <is>
          <t>Tình hình nhân sự công ty &gt;&gt; Giám đốc chi nhánh &gt;&gt; Số lượng người có CCHN/tổng số người làm việc tại thời điểm cuối năm</t>
        </is>
      </c>
      <c r="E2986" s="390" t="inlineStr">
        <is>
          <t>Tình hình nhân sự công ty &gt;&gt; Giám đốc chi nhánh &gt;&gt; Số lượng người có CCHN/tổng số người làm việc tại thời điểm cuối năm</t>
        </is>
      </c>
      <c r="F2986" s="390" t="inlineStr">
        <is>
          <t>Data Explorer</t>
        </is>
      </c>
      <c r="G2986" s="390" t="inlineStr">
        <is>
          <t>Chỉ tiêu cơ sở</t>
        </is>
      </c>
      <c r="H2986" s="390" t="inlineStr">
        <is>
          <t>Trùng</t>
        </is>
      </c>
      <c r="I2986" s="390" t="inlineStr">
        <is>
          <t>Ngày, CTCK</t>
        </is>
      </c>
      <c r="J2986" s="401" t="inlineStr">
        <is>
          <t>SCMS</t>
        </is>
      </c>
      <c r="K2986" s="401" t="n"/>
      <c r="L2986" s="401" t="inlineStr">
        <is>
          <t>X</t>
        </is>
      </c>
      <c r="M2986" s="401" t="n"/>
      <c r="N2986" s="401" t="inlineStr">
        <is>
          <t>Pending</t>
        </is>
      </c>
      <c r="O2986" s="401" t="n"/>
      <c r="P2986" s="22" t="n"/>
      <c r="Q2986" s="401" t="n"/>
      <c r="R2986" s="401" t="n"/>
      <c r="S2986" s="22" t="n"/>
      <c r="T2986" s="390" t="n"/>
      <c r="U2986" s="390" t="inlineStr">
        <is>
          <t>Không có thông tin</t>
        </is>
      </c>
      <c r="V2986" s="22" t="n"/>
      <c r="W2986" s="22" t="n"/>
      <c r="X2986" s="22" t="n"/>
      <c r="Y2986" s="13" t="n"/>
      <c r="Z2986" s="22" t="n"/>
      <c r="AA2986" s="22" t="n"/>
      <c r="AB2986" s="22" t="n"/>
      <c r="AC2986" s="22" t="n"/>
      <c r="AD2986" s="22" t="n"/>
      <c r="AE2986" s="22" t="n"/>
    </row>
    <row r="2987" ht="98" customHeight="1" s="380">
      <c r="A2987" s="139" t="n">
        <v>121</v>
      </c>
      <c r="B2987" s="390" t="n"/>
      <c r="C2987" s="390" t="inlineStr">
        <is>
          <t>Báo cáo tình hình hoạt động năm - Chi nhánh công ty chứng khoán nước ngoài tại Việt Nam</t>
        </is>
      </c>
      <c r="D2987" s="390" t="inlineStr">
        <is>
          <t>Tình hình nhân sự công ty &gt;&gt; Bộ phận tư vấn đầu tư chứng khoán &gt;&gt; Số lượng người có CCHN/tổng số người làm việc tại thời điểm đầu năm</t>
        </is>
      </c>
      <c r="E2987" s="390" t="inlineStr">
        <is>
          <t>Tình hình nhân sự công ty &gt;&gt; Bộ phận tư vấn đầu tư chứng khoán &gt;&gt; Số lượng người có CCHN/tổng số người làm việc tại thời điểm đầu năm</t>
        </is>
      </c>
      <c r="F2987" s="390" t="inlineStr">
        <is>
          <t>Data Explorer</t>
        </is>
      </c>
      <c r="G2987" s="390" t="inlineStr">
        <is>
          <t>Chỉ tiêu cơ sở</t>
        </is>
      </c>
      <c r="H2987" s="390" t="inlineStr">
        <is>
          <t>Trùng</t>
        </is>
      </c>
      <c r="I2987" s="390" t="inlineStr">
        <is>
          <t>Ngày, CTCK</t>
        </is>
      </c>
      <c r="J2987" s="401" t="inlineStr">
        <is>
          <t>SCMS</t>
        </is>
      </c>
      <c r="K2987" s="401" t="n"/>
      <c r="L2987" s="401" t="inlineStr">
        <is>
          <t>X</t>
        </is>
      </c>
      <c r="M2987" s="401" t="n"/>
      <c r="N2987" s="401" t="inlineStr">
        <is>
          <t>Pending</t>
        </is>
      </c>
      <c r="O2987" s="401" t="n"/>
      <c r="P2987" s="22" t="n"/>
      <c r="Q2987" s="401" t="n"/>
      <c r="R2987" s="401" t="n"/>
      <c r="S2987" s="22" t="n"/>
      <c r="T2987" s="390" t="n"/>
      <c r="U2987" s="390" t="inlineStr">
        <is>
          <t>Không có thông tin</t>
        </is>
      </c>
      <c r="V2987" s="22" t="n"/>
      <c r="W2987" s="22" t="n"/>
      <c r="X2987" s="22" t="n"/>
      <c r="Y2987" s="13" t="n"/>
      <c r="Z2987" s="22" t="n"/>
      <c r="AA2987" s="22" t="n"/>
      <c r="AB2987" s="22" t="n"/>
      <c r="AC2987" s="22" t="n"/>
      <c r="AD2987" s="22" t="n"/>
      <c r="AE2987" s="22" t="n"/>
    </row>
    <row r="2988" ht="84" customHeight="1" s="380">
      <c r="A2988" s="139" t="n">
        <v>121</v>
      </c>
      <c r="B2988" s="390" t="n"/>
      <c r="C2988" s="390" t="inlineStr">
        <is>
          <t>Báo cáo tình hình hoạt động năm - Chi nhánh công ty chứng khoán nước ngoài tại Việt Nam</t>
        </is>
      </c>
      <c r="D2988" s="390" t="inlineStr">
        <is>
          <t>Tình hình nhân sự công ty &gt;&gt; Bộ phận tư vấn đầu tư chứng khoán &gt;&gt; Số lượng người có CCHN thôi làm việc cho chi nhánh trong năm</t>
        </is>
      </c>
      <c r="E2988" s="390" t="inlineStr">
        <is>
          <t>Tình hình nhân sự công ty &gt;&gt; Bộ phận tư vấn đầu tư chứng khoán &gt;&gt; Số lượng người có CCHN thôi làm việc cho chi nhánh trong năm</t>
        </is>
      </c>
      <c r="F2988" s="390" t="inlineStr">
        <is>
          <t>Data Explorer</t>
        </is>
      </c>
      <c r="G2988" s="390" t="inlineStr">
        <is>
          <t>Chỉ tiêu cơ sở</t>
        </is>
      </c>
      <c r="H2988" s="390" t="inlineStr">
        <is>
          <t>Trùng</t>
        </is>
      </c>
      <c r="I2988" s="390" t="inlineStr">
        <is>
          <t>Ngày, CTCK</t>
        </is>
      </c>
      <c r="J2988" s="401" t="inlineStr">
        <is>
          <t>SCMS</t>
        </is>
      </c>
      <c r="K2988" s="401" t="n"/>
      <c r="L2988" s="401" t="inlineStr">
        <is>
          <t>X</t>
        </is>
      </c>
      <c r="M2988" s="401" t="n"/>
      <c r="N2988" s="401" t="inlineStr">
        <is>
          <t>Pending</t>
        </is>
      </c>
      <c r="O2988" s="401" t="n"/>
      <c r="P2988" s="22" t="n"/>
      <c r="Q2988" s="401" t="n"/>
      <c r="R2988" s="401" t="n"/>
      <c r="S2988" s="22" t="n"/>
      <c r="T2988" s="390" t="n"/>
      <c r="U2988" s="390" t="inlineStr">
        <is>
          <t>Không có thông tin</t>
        </is>
      </c>
      <c r="V2988" s="22" t="n"/>
      <c r="W2988" s="22" t="n"/>
      <c r="X2988" s="22" t="n"/>
      <c r="Y2988" s="38" t="n"/>
      <c r="Z2988" s="22" t="n"/>
      <c r="AA2988" s="22" t="n"/>
      <c r="AB2988" s="22" t="n"/>
      <c r="AC2988" s="22" t="n"/>
      <c r="AD2988" s="22" t="n"/>
      <c r="AE2988" s="22" t="n"/>
    </row>
    <row r="2989" ht="84" customHeight="1" s="380">
      <c r="A2989" s="139" t="n">
        <v>121</v>
      </c>
      <c r="B2989" s="390" t="n"/>
      <c r="C2989" s="390" t="inlineStr">
        <is>
          <t>Báo cáo tình hình hoạt động năm - Chi nhánh công ty chứng khoán nước ngoài tại Việt Nam</t>
        </is>
      </c>
      <c r="D2989" s="390" t="inlineStr">
        <is>
          <t>Tình hình nhân sự công ty &gt;&gt; Bộ phận tư vấn đầu tư chứng khoán &gt;&gt; Số lượng người có CCHN tuyển mới trong năm</t>
        </is>
      </c>
      <c r="E2989" s="390" t="inlineStr">
        <is>
          <t>Tình hình nhân sự công ty &gt;&gt; Bộ phận tư vấn đầu tư chứng khoán &gt;&gt; Số lượng người có CCHN tuyển mới trong năm</t>
        </is>
      </c>
      <c r="F2989" s="390" t="inlineStr">
        <is>
          <t>Data Explorer</t>
        </is>
      </c>
      <c r="G2989" s="390" t="inlineStr">
        <is>
          <t>Chỉ tiêu cơ sở</t>
        </is>
      </c>
      <c r="H2989" s="390" t="inlineStr">
        <is>
          <t>Trùng</t>
        </is>
      </c>
      <c r="I2989" s="390" t="inlineStr">
        <is>
          <t>Ngày, CTCK</t>
        </is>
      </c>
      <c r="J2989" s="401" t="inlineStr">
        <is>
          <t>SCMS</t>
        </is>
      </c>
      <c r="K2989" s="401" t="n"/>
      <c r="L2989" s="401" t="inlineStr">
        <is>
          <t>X</t>
        </is>
      </c>
      <c r="M2989" s="401" t="n"/>
      <c r="N2989" s="401" t="inlineStr">
        <is>
          <t>Pending</t>
        </is>
      </c>
      <c r="O2989" s="401" t="n"/>
      <c r="P2989" s="22" t="n"/>
      <c r="Q2989" s="401" t="n"/>
      <c r="R2989" s="401" t="n"/>
      <c r="S2989" s="22" t="n"/>
      <c r="T2989" s="390" t="n"/>
      <c r="U2989" s="390" t="inlineStr">
        <is>
          <t>Không có thông tin</t>
        </is>
      </c>
      <c r="V2989" s="22" t="n"/>
      <c r="W2989" s="22" t="n"/>
      <c r="X2989" s="22" t="n"/>
      <c r="Y2989" s="13" t="n"/>
      <c r="Z2989" s="22" t="n"/>
      <c r="AA2989" s="22" t="n"/>
      <c r="AB2989" s="22" t="n"/>
      <c r="AC2989" s="22" t="n"/>
      <c r="AD2989" s="22" t="n"/>
      <c r="AE2989" s="22" t="n"/>
    </row>
    <row r="2990" ht="98" customHeight="1" s="380">
      <c r="A2990" s="139" t="n">
        <v>121</v>
      </c>
      <c r="B2990" s="390" t="n"/>
      <c r="C2990" s="390" t="inlineStr">
        <is>
          <t>Báo cáo tình hình hoạt động năm - Chi nhánh công ty chứng khoán nước ngoài tại Việt Nam</t>
        </is>
      </c>
      <c r="D2990" s="390" t="inlineStr">
        <is>
          <t>Tình hình nhân sự công ty &gt;&gt; Bộ phận tư vấn đầu tư chứng khoán &gt;&gt; Số lượng người có CCHN/tổng số người làm việc tại thời điểm cuối năm</t>
        </is>
      </c>
      <c r="E2990" s="390" t="inlineStr">
        <is>
          <t>Tình hình nhân sự công ty &gt;&gt; Bộ phận tư vấn đầu tư chứng khoán &gt;&gt; Số lượng người có CCHN/tổng số người làm việc tại thời điểm cuối năm</t>
        </is>
      </c>
      <c r="F2990" s="390" t="inlineStr">
        <is>
          <t>Data Explorer</t>
        </is>
      </c>
      <c r="G2990" s="390" t="inlineStr">
        <is>
          <t>Chỉ tiêu cơ sở</t>
        </is>
      </c>
      <c r="H2990" s="390" t="inlineStr">
        <is>
          <t>Trùng</t>
        </is>
      </c>
      <c r="I2990" s="390" t="inlineStr">
        <is>
          <t>Ngày, CTCK</t>
        </is>
      </c>
      <c r="J2990" s="401" t="inlineStr">
        <is>
          <t>SCMS</t>
        </is>
      </c>
      <c r="K2990" s="401" t="n"/>
      <c r="L2990" s="401" t="inlineStr">
        <is>
          <t>X</t>
        </is>
      </c>
      <c r="M2990" s="401" t="n"/>
      <c r="N2990" s="401" t="inlineStr">
        <is>
          <t>Pending</t>
        </is>
      </c>
      <c r="O2990" s="401" t="n"/>
      <c r="P2990" s="22" t="n"/>
      <c r="Q2990" s="401" t="n"/>
      <c r="R2990" s="401" t="n"/>
      <c r="S2990" s="22" t="n"/>
      <c r="T2990" s="390" t="n"/>
      <c r="U2990" s="390" t="inlineStr">
        <is>
          <t>Không có thông tin</t>
        </is>
      </c>
      <c r="V2990" s="22" t="n"/>
      <c r="W2990" s="22" t="n"/>
      <c r="X2990" s="22" t="n"/>
      <c r="Y2990" s="13" t="n"/>
      <c r="Z2990" s="22" t="n"/>
      <c r="AA2990" s="22" t="n"/>
      <c r="AB2990" s="22" t="n"/>
      <c r="AC2990" s="22" t="n"/>
      <c r="AD2990" s="22" t="n"/>
      <c r="AE2990" s="22" t="n"/>
    </row>
    <row r="2991" ht="84" customHeight="1" s="380">
      <c r="A2991" s="139" t="n">
        <v>121</v>
      </c>
      <c r="B2991" s="390" t="n"/>
      <c r="C2991" s="390" t="inlineStr">
        <is>
          <t>Báo cáo tình hình hoạt động năm - Chi nhánh công ty chứng khoán nước ngoài tại Việt Nam</t>
        </is>
      </c>
      <c r="D2991" s="390" t="inlineStr">
        <is>
          <t>Tình hình nhân sự công ty &gt;&gt; Bộ phận khác &gt;&gt; Số lượng người có CCHN/tổng số người làm việc tại thời điểm đầu năm</t>
        </is>
      </c>
      <c r="E2991" s="390" t="inlineStr">
        <is>
          <t>Tình hình nhân sự công ty &gt;&gt; Bộ phận khác &gt;&gt; Số lượng người có CCHN/tổng số người làm việc tại thời điểm đầu năm</t>
        </is>
      </c>
      <c r="F2991" s="390" t="inlineStr">
        <is>
          <t>Data Explorer</t>
        </is>
      </c>
      <c r="G2991" s="390" t="inlineStr">
        <is>
          <t>Chỉ tiêu cơ sở</t>
        </is>
      </c>
      <c r="H2991" s="390" t="inlineStr">
        <is>
          <t>Trùng</t>
        </is>
      </c>
      <c r="I2991" s="390" t="inlineStr">
        <is>
          <t>Ngày, CTCK</t>
        </is>
      </c>
      <c r="J2991" s="401" t="inlineStr">
        <is>
          <t>SCMS</t>
        </is>
      </c>
      <c r="K2991" s="401" t="n"/>
      <c r="L2991" s="401" t="inlineStr">
        <is>
          <t>X</t>
        </is>
      </c>
      <c r="M2991" s="401" t="n"/>
      <c r="N2991" s="401" t="inlineStr">
        <is>
          <t>Pending</t>
        </is>
      </c>
      <c r="O2991" s="401" t="n"/>
      <c r="P2991" s="22" t="n"/>
      <c r="Q2991" s="401" t="n"/>
      <c r="R2991" s="401" t="n"/>
      <c r="S2991" s="22" t="n"/>
      <c r="T2991" s="390" t="n"/>
      <c r="U2991" s="390" t="inlineStr">
        <is>
          <t>Không có thông tin</t>
        </is>
      </c>
      <c r="V2991" s="22" t="n"/>
      <c r="W2991" s="22" t="n"/>
      <c r="X2991" s="22" t="n"/>
      <c r="Y2991" s="13" t="n"/>
      <c r="Z2991" s="22" t="n"/>
      <c r="AA2991" s="22" t="n"/>
      <c r="AB2991" s="22" t="n"/>
      <c r="AC2991" s="22" t="n"/>
      <c r="AD2991" s="22" t="n"/>
      <c r="AE2991" s="22" t="n"/>
    </row>
    <row r="2992" ht="70" customHeight="1" s="380">
      <c r="A2992" s="139" t="n">
        <v>121</v>
      </c>
      <c r="B2992" s="390" t="n"/>
      <c r="C2992" s="390" t="inlineStr">
        <is>
          <t>Báo cáo tình hình hoạt động năm - Chi nhánh công ty chứng khoán nước ngoài tại Việt Nam</t>
        </is>
      </c>
      <c r="D2992" s="390" t="inlineStr">
        <is>
          <t>Tình hình nhân sự công ty &gt;&gt; Bộ phận khác &gt;&gt; Số lượng người có CCHN thôi làm việc cho chi nhánh trong năm</t>
        </is>
      </c>
      <c r="E2992" s="390" t="inlineStr">
        <is>
          <t>Tình hình nhân sự công ty &gt;&gt; Bộ phận khác &gt;&gt; Số lượng người có CCHN thôi làm việc cho chi nhánh trong năm</t>
        </is>
      </c>
      <c r="F2992" s="390" t="inlineStr">
        <is>
          <t>Data Explorer</t>
        </is>
      </c>
      <c r="G2992" s="390" t="inlineStr">
        <is>
          <t>Chỉ tiêu cơ sở</t>
        </is>
      </c>
      <c r="H2992" s="390" t="inlineStr">
        <is>
          <t>Trùng</t>
        </is>
      </c>
      <c r="I2992" s="390" t="inlineStr">
        <is>
          <t>Ngày, CTCK</t>
        </is>
      </c>
      <c r="J2992" s="401" t="inlineStr">
        <is>
          <t>SCMS</t>
        </is>
      </c>
      <c r="K2992" s="401" t="n"/>
      <c r="L2992" s="401" t="inlineStr">
        <is>
          <t>X</t>
        </is>
      </c>
      <c r="M2992" s="401" t="n"/>
      <c r="N2992" s="401" t="inlineStr">
        <is>
          <t>Pending</t>
        </is>
      </c>
      <c r="O2992" s="401" t="n"/>
      <c r="P2992" s="22" t="n"/>
      <c r="Q2992" s="401" t="n"/>
      <c r="R2992" s="401" t="n"/>
      <c r="S2992" s="22" t="n"/>
      <c r="T2992" s="390" t="n"/>
      <c r="U2992" s="390" t="inlineStr">
        <is>
          <t>Không có thông tin</t>
        </is>
      </c>
      <c r="V2992" s="22" t="n"/>
      <c r="W2992" s="22" t="n"/>
      <c r="X2992" s="22" t="n"/>
      <c r="Y2992" s="13" t="n"/>
      <c r="Z2992" s="22" t="n"/>
      <c r="AA2992" s="22" t="n"/>
      <c r="AB2992" s="22" t="n"/>
      <c r="AC2992" s="22" t="n"/>
      <c r="AD2992" s="22" t="n"/>
      <c r="AE2992" s="22" t="n"/>
    </row>
    <row r="2993" ht="70" customHeight="1" s="380">
      <c r="A2993" s="139" t="n">
        <v>121</v>
      </c>
      <c r="B2993" s="390" t="n"/>
      <c r="C2993" s="390" t="inlineStr">
        <is>
          <t>Báo cáo tình hình hoạt động năm - Chi nhánh công ty chứng khoán nước ngoài tại Việt Nam</t>
        </is>
      </c>
      <c r="D2993" s="390" t="inlineStr">
        <is>
          <t>Tình hình nhân sự công ty &gt;&gt; Bộ phận khác &gt;&gt; Số lượng người có CCHN tuyển mới trong năm</t>
        </is>
      </c>
      <c r="E2993" s="390" t="inlineStr">
        <is>
          <t>Tình hình nhân sự công ty &gt;&gt; Bộ phận khác &gt;&gt; Số lượng người có CCHN tuyển mới trong năm</t>
        </is>
      </c>
      <c r="F2993" s="390" t="inlineStr">
        <is>
          <t>Data Explorer</t>
        </is>
      </c>
      <c r="G2993" s="390" t="inlineStr">
        <is>
          <t>Chỉ tiêu cơ sở</t>
        </is>
      </c>
      <c r="H2993" s="390" t="inlineStr">
        <is>
          <t>Trùng</t>
        </is>
      </c>
      <c r="I2993" s="390" t="inlineStr">
        <is>
          <t>Ngày, CTCK</t>
        </is>
      </c>
      <c r="J2993" s="401" t="inlineStr">
        <is>
          <t>SCMS</t>
        </is>
      </c>
      <c r="K2993" s="401" t="n"/>
      <c r="L2993" s="401" t="inlineStr">
        <is>
          <t>X</t>
        </is>
      </c>
      <c r="M2993" s="401" t="n"/>
      <c r="N2993" s="401" t="inlineStr">
        <is>
          <t>Pending</t>
        </is>
      </c>
      <c r="O2993" s="401" t="n"/>
      <c r="P2993" s="22" t="n"/>
      <c r="Q2993" s="401" t="n"/>
      <c r="R2993" s="401" t="n"/>
      <c r="S2993" s="22" t="n"/>
      <c r="T2993" s="390" t="n"/>
      <c r="U2993" s="390" t="inlineStr">
        <is>
          <t>Không có thông tin</t>
        </is>
      </c>
      <c r="V2993" s="22" t="n"/>
      <c r="W2993" s="22" t="n"/>
      <c r="X2993" s="22" t="n"/>
      <c r="Y2993" s="13" t="n"/>
      <c r="Z2993" s="22" t="n"/>
      <c r="AA2993" s="22" t="n"/>
      <c r="AB2993" s="22" t="n"/>
      <c r="AC2993" s="22" t="n"/>
      <c r="AD2993" s="22" t="n"/>
      <c r="AE2993" s="22" t="n"/>
    </row>
    <row r="2994" ht="84" customHeight="1" s="380">
      <c r="A2994" s="139" t="n">
        <v>121</v>
      </c>
      <c r="B2994" s="390" t="n"/>
      <c r="C2994" s="390" t="inlineStr">
        <is>
          <t>Báo cáo tình hình hoạt động năm - Chi nhánh công ty chứng khoán nước ngoài tại Việt Nam</t>
        </is>
      </c>
      <c r="D2994" s="390" t="inlineStr">
        <is>
          <t>Tình hình nhân sự công ty &gt;&gt; Bộ phận khác &gt;&gt; Số lượng người có CCHN/tổng số người làm việc tại thời điểm cuối năm</t>
        </is>
      </c>
      <c r="E2994" s="390" t="inlineStr">
        <is>
          <t>Tình hình nhân sự công ty &gt;&gt; Bộ phận khác &gt;&gt; Số lượng người có CCHN/tổng số người làm việc tại thời điểm cuối năm</t>
        </is>
      </c>
      <c r="F2994" s="390" t="inlineStr">
        <is>
          <t>Data Explorer</t>
        </is>
      </c>
      <c r="G2994" s="390" t="inlineStr">
        <is>
          <t>Chỉ tiêu cơ sở</t>
        </is>
      </c>
      <c r="H2994" s="390" t="inlineStr">
        <is>
          <t>Trùng</t>
        </is>
      </c>
      <c r="I2994" s="390" t="inlineStr">
        <is>
          <t>Ngày, CTCK</t>
        </is>
      </c>
      <c r="J2994" s="401" t="inlineStr">
        <is>
          <t>SCMS</t>
        </is>
      </c>
      <c r="K2994" s="401" t="n"/>
      <c r="L2994" s="401" t="inlineStr">
        <is>
          <t>X</t>
        </is>
      </c>
      <c r="M2994" s="401" t="n"/>
      <c r="N2994" s="401" t="inlineStr">
        <is>
          <t>Pending</t>
        </is>
      </c>
      <c r="O2994" s="401" t="n"/>
      <c r="P2994" s="22" t="n"/>
      <c r="Q2994" s="401" t="n"/>
      <c r="R2994" s="401" t="n"/>
      <c r="S2994" s="22" t="n"/>
      <c r="T2994" s="390" t="n"/>
      <c r="U2994" s="390" t="inlineStr">
        <is>
          <t>Không có thông tin</t>
        </is>
      </c>
      <c r="V2994" s="22" t="n"/>
      <c r="W2994" s="22" t="n"/>
      <c r="X2994" s="22" t="n"/>
      <c r="Y2994" s="14" t="n"/>
      <c r="Z2994" s="22" t="n"/>
      <c r="AA2994" s="22" t="n"/>
      <c r="AB2994" s="22" t="n"/>
      <c r="AC2994" s="22" t="n"/>
      <c r="AD2994" s="22" t="n"/>
      <c r="AE2994" s="22" t="n"/>
    </row>
    <row r="2995" ht="84" customHeight="1" s="380">
      <c r="A2995" s="139" t="n">
        <v>121</v>
      </c>
      <c r="B2995" s="390" t="n"/>
      <c r="C2995" s="390" t="inlineStr">
        <is>
          <t>Báo cáo tình hình hoạt động năm - Chi nhánh công ty chứng khoán nước ngoài tại Việt Nam</t>
        </is>
      </c>
      <c r="D2995" s="390" t="inlineStr">
        <is>
          <t>Tình hình nhân sự công ty &gt;&gt; Tổng số &gt;&gt; Số lượng người có CCHN/tổng số người làm việc tại thời điểm đầu năm</t>
        </is>
      </c>
      <c r="E2995" s="390" t="inlineStr">
        <is>
          <t>Tình hình nhân sự công ty &gt;&gt; Tổng số &gt;&gt; Số lượng người có CCHN/tổng số người làm việc tại thời điểm đầu năm</t>
        </is>
      </c>
      <c r="F2995" s="390" t="inlineStr">
        <is>
          <t>Data Explorer</t>
        </is>
      </c>
      <c r="G2995" s="390" t="inlineStr">
        <is>
          <t>Chỉ tiêu cơ sở</t>
        </is>
      </c>
      <c r="H2995" s="390" t="inlineStr">
        <is>
          <t>Trùng</t>
        </is>
      </c>
      <c r="I2995" s="390" t="inlineStr">
        <is>
          <t>Ngày, CTCK</t>
        </is>
      </c>
      <c r="J2995" s="401" t="inlineStr">
        <is>
          <t>SCMS</t>
        </is>
      </c>
      <c r="K2995" s="401" t="n"/>
      <c r="L2995" s="401" t="inlineStr">
        <is>
          <t>X</t>
        </is>
      </c>
      <c r="M2995" s="401" t="n"/>
      <c r="N2995" s="401" t="inlineStr">
        <is>
          <t>Pending</t>
        </is>
      </c>
      <c r="O2995" s="401" t="n"/>
      <c r="P2995" s="22" t="n"/>
      <c r="Q2995" s="401" t="n"/>
      <c r="R2995" s="401" t="n"/>
      <c r="S2995" s="22" t="n"/>
      <c r="T2995" s="390" t="n"/>
      <c r="U2995" s="390" t="inlineStr">
        <is>
          <t>Không có thông tin</t>
        </is>
      </c>
      <c r="V2995" s="22" t="n"/>
      <c r="W2995" s="22" t="n"/>
      <c r="X2995" s="22" t="n"/>
      <c r="Y2995" s="13" t="n"/>
      <c r="Z2995" s="22" t="n"/>
      <c r="AA2995" s="22" t="n"/>
      <c r="AB2995" s="22" t="n"/>
      <c r="AC2995" s="22" t="n"/>
      <c r="AD2995" s="22" t="n"/>
      <c r="AE2995" s="22" t="n"/>
    </row>
    <row r="2996" ht="70" customHeight="1" s="380">
      <c r="A2996" s="139" t="n">
        <v>121</v>
      </c>
      <c r="B2996" s="390" t="n"/>
      <c r="C2996" s="390" t="inlineStr">
        <is>
          <t>Báo cáo tình hình hoạt động năm - Chi nhánh công ty chứng khoán nước ngoài tại Việt Nam</t>
        </is>
      </c>
      <c r="D2996" s="390" t="inlineStr">
        <is>
          <t>Tình hình nhân sự công ty &gt;&gt; Tổng số &gt;&gt; Số lượng người có CCHN thôi làm việc cho chi nhánh trong năm</t>
        </is>
      </c>
      <c r="E2996" s="390" t="inlineStr">
        <is>
          <t>Tình hình nhân sự công ty &gt;&gt; Tổng số &gt;&gt; Số lượng người có CCHN thôi làm việc cho chi nhánh trong năm</t>
        </is>
      </c>
      <c r="F2996" s="390" t="inlineStr">
        <is>
          <t>Data Explorer</t>
        </is>
      </c>
      <c r="G2996" s="390" t="inlineStr">
        <is>
          <t>Chỉ tiêu cơ sở</t>
        </is>
      </c>
      <c r="H2996" s="390" t="inlineStr">
        <is>
          <t>TB</t>
        </is>
      </c>
      <c r="I2996" s="390" t="inlineStr">
        <is>
          <t>Ngày, CTCK</t>
        </is>
      </c>
      <c r="J2996" s="401" t="inlineStr">
        <is>
          <t>SCMS</t>
        </is>
      </c>
      <c r="K2996" s="401" t="n"/>
      <c r="L2996" s="401" t="inlineStr">
        <is>
          <t>X</t>
        </is>
      </c>
      <c r="M2996" s="401" t="n"/>
      <c r="N2996" s="401" t="inlineStr">
        <is>
          <t>Pending</t>
        </is>
      </c>
      <c r="O2996" s="401" t="n"/>
      <c r="P2996" s="22" t="n"/>
      <c r="Q2996" s="401" t="n"/>
      <c r="R2996" s="401" t="n"/>
      <c r="S2996" s="22" t="n"/>
      <c r="T2996" s="390" t="n"/>
      <c r="U2996" s="390" t="inlineStr">
        <is>
          <t>Không có thông tin</t>
        </is>
      </c>
      <c r="V2996" s="22" t="n"/>
      <c r="W2996" s="22" t="n"/>
      <c r="X2996" s="22" t="n"/>
      <c r="Y2996" s="13" t="n"/>
      <c r="Z2996" s="22" t="n"/>
      <c r="AA2996" s="22" t="n"/>
      <c r="AB2996" s="22" t="n"/>
      <c r="AC2996" s="22" t="n"/>
      <c r="AD2996" s="22" t="n"/>
      <c r="AE2996" s="22" t="n"/>
    </row>
    <row r="2997" ht="56" customHeight="1" s="380">
      <c r="A2997" s="139" t="n">
        <v>121</v>
      </c>
      <c r="B2997" s="390" t="n"/>
      <c r="C2997" s="390" t="inlineStr">
        <is>
          <t>Báo cáo tình hình hoạt động năm - Chi nhánh công ty chứng khoán nước ngoài tại Việt Nam</t>
        </is>
      </c>
      <c r="D2997" s="390" t="inlineStr">
        <is>
          <t>Tình hình nhân sự công ty &gt;&gt; Tổng số &gt;&gt; Số lượng người có CCHN tuyển mới trong năm</t>
        </is>
      </c>
      <c r="E2997" s="390" t="inlineStr">
        <is>
          <t>Tình hình nhân sự công ty &gt;&gt; Tổng số &gt;&gt; Số lượng người có CCHN tuyển mới trong năm</t>
        </is>
      </c>
      <c r="F2997" s="390" t="inlineStr">
        <is>
          <t>Data Explorer</t>
        </is>
      </c>
      <c r="G2997" s="390" t="inlineStr">
        <is>
          <t>Chỉ tiêu cơ sở</t>
        </is>
      </c>
      <c r="H2997" s="390" t="inlineStr">
        <is>
          <t>TB</t>
        </is>
      </c>
      <c r="I2997" s="390" t="inlineStr">
        <is>
          <t>Ngày, CTCK</t>
        </is>
      </c>
      <c r="J2997" s="401" t="inlineStr">
        <is>
          <t>SCMS</t>
        </is>
      </c>
      <c r="K2997" s="401" t="n"/>
      <c r="L2997" s="401" t="inlineStr">
        <is>
          <t>X</t>
        </is>
      </c>
      <c r="M2997" s="401" t="n"/>
      <c r="N2997" s="401" t="inlineStr">
        <is>
          <t>Pending</t>
        </is>
      </c>
      <c r="O2997" s="401" t="n"/>
      <c r="P2997" s="22" t="n"/>
      <c r="Q2997" s="401" t="n"/>
      <c r="R2997" s="401" t="n"/>
      <c r="S2997" s="22" t="n"/>
      <c r="T2997" s="390" t="n"/>
      <c r="U2997" s="390" t="inlineStr">
        <is>
          <t>Không có thông tin</t>
        </is>
      </c>
      <c r="V2997" s="22" t="n"/>
      <c r="W2997" s="22" t="n"/>
      <c r="X2997" s="22" t="n"/>
      <c r="Y2997" s="13" t="n"/>
      <c r="Z2997" s="22" t="n"/>
      <c r="AA2997" s="22" t="n"/>
      <c r="AB2997" s="22" t="n"/>
      <c r="AC2997" s="22" t="n"/>
      <c r="AD2997" s="22" t="n"/>
      <c r="AE2997" s="22" t="n"/>
    </row>
    <row r="2998" ht="84" customHeight="1" s="380">
      <c r="A2998" s="139" t="n">
        <v>121</v>
      </c>
      <c r="B2998" s="390" t="n"/>
      <c r="C2998" s="390" t="inlineStr">
        <is>
          <t>Báo cáo tình hình hoạt động năm - Chi nhánh công ty chứng khoán nước ngoài tại Việt Nam</t>
        </is>
      </c>
      <c r="D2998" s="390" t="inlineStr">
        <is>
          <t>Tình hình nhân sự công ty &gt;&gt; Tổng số &gt;&gt; Số lượng người có CCHN/tổng số người làm việc tại thời điểm cuối năm</t>
        </is>
      </c>
      <c r="E2998" s="390" t="inlineStr">
        <is>
          <t>Tình hình nhân sự công ty &gt;&gt; Tổng số &gt;&gt; Số lượng người có CCHN/tổng số người làm việc tại thời điểm cuối năm</t>
        </is>
      </c>
      <c r="F2998" s="390" t="inlineStr">
        <is>
          <t>Data Explorer</t>
        </is>
      </c>
      <c r="G2998" s="390" t="inlineStr">
        <is>
          <t>Chỉ tiêu cơ sở</t>
        </is>
      </c>
      <c r="H2998" s="390" t="inlineStr">
        <is>
          <t>TB</t>
        </is>
      </c>
      <c r="I2998" s="390" t="inlineStr">
        <is>
          <t>Ngày, CTCK</t>
        </is>
      </c>
      <c r="J2998" s="401" t="inlineStr">
        <is>
          <t>SCMS</t>
        </is>
      </c>
      <c r="K2998" s="401" t="n"/>
      <c r="L2998" s="401" t="inlineStr">
        <is>
          <t>X</t>
        </is>
      </c>
      <c r="M2998" s="401" t="n"/>
      <c r="N2998" s="401" t="inlineStr">
        <is>
          <t>Pending</t>
        </is>
      </c>
      <c r="O2998" s="401" t="n"/>
      <c r="P2998" s="22" t="n"/>
      <c r="Q2998" s="401" t="n"/>
      <c r="R2998" s="401" t="n"/>
      <c r="S2998" s="22" t="n"/>
      <c r="T2998" s="390" t="n"/>
      <c r="U2998" s="390" t="inlineStr">
        <is>
          <t>Không có thông tin</t>
        </is>
      </c>
      <c r="V2998" s="22" t="n"/>
      <c r="W2998" s="22" t="n"/>
      <c r="X2998" s="22" t="n"/>
      <c r="Y2998" s="13" t="n"/>
      <c r="Z2998" s="22" t="n"/>
      <c r="AA2998" s="22" t="n"/>
      <c r="AB2998" s="22" t="n"/>
      <c r="AC2998" s="22" t="n"/>
      <c r="AD2998" s="22" t="n"/>
      <c r="AE2998" s="22" t="n"/>
    </row>
    <row r="2999" ht="98" customHeight="1" s="380">
      <c r="A2999" s="139" t="n">
        <v>121</v>
      </c>
      <c r="B2999" s="390" t="n"/>
      <c r="C2999" s="390" t="inlineStr">
        <is>
          <t>Báo cáo tình hình hoạt động năm - Chi nhánh công ty chứng khoán nước ngoài tại Việt Nam</t>
        </is>
      </c>
      <c r="D2999" s="390" t="inlineStr">
        <is>
          <t>Vốn cấp cho chi nhánh và các chỉ tiêu an toàn tài chính trong năm báo cáo &gt;&gt; Báo cáo cụ thể về các đợt tăng, giảm vốn cấp cho chi nhánh trong năm</t>
        </is>
      </c>
      <c r="E2999" s="390" t="inlineStr">
        <is>
          <t>Vốn cấp cho chi nhánh và các chỉ tiêu an toàn tài chính trong năm báo cáo &gt;&gt; Báo cáo cụ thể về các đợt tăng, giảm vốn cấp cho chi nhánh trong năm</t>
        </is>
      </c>
      <c r="F2999" s="390" t="inlineStr">
        <is>
          <t>Data Explorer</t>
        </is>
      </c>
      <c r="G2999" s="390" t="inlineStr">
        <is>
          <t>Chỉ tiêu cơ sở</t>
        </is>
      </c>
      <c r="H2999" s="390" t="inlineStr">
        <is>
          <t>TB</t>
        </is>
      </c>
      <c r="I2999" s="390" t="inlineStr">
        <is>
          <t>Ngày, CTCK</t>
        </is>
      </c>
      <c r="J2999" s="401" t="inlineStr">
        <is>
          <t>SCMS</t>
        </is>
      </c>
      <c r="K2999" s="401" t="n"/>
      <c r="L2999" s="401" t="inlineStr">
        <is>
          <t>X</t>
        </is>
      </c>
      <c r="M2999" s="401" t="n"/>
      <c r="N2999" s="401" t="inlineStr">
        <is>
          <t>Pending</t>
        </is>
      </c>
      <c r="O2999" s="401" t="n"/>
      <c r="P2999" s="22" t="n"/>
      <c r="Q2999" s="401" t="n"/>
      <c r="R2999" s="401" t="n"/>
      <c r="S2999" s="22" t="n"/>
      <c r="T2999" s="390" t="n"/>
      <c r="U2999" s="390" t="inlineStr">
        <is>
          <t>Không có thông tin</t>
        </is>
      </c>
      <c r="V2999" s="22" t="n"/>
      <c r="W2999" s="22" t="n"/>
      <c r="X2999" s="22" t="n"/>
      <c r="Y2999" s="13" t="n"/>
      <c r="Z2999" s="22" t="n"/>
      <c r="AA2999" s="22" t="n"/>
      <c r="AB2999" s="22" t="n"/>
      <c r="AC2999" s="22" t="n"/>
      <c r="AD2999" s="22" t="n"/>
      <c r="AE2999" s="22" t="n"/>
    </row>
    <row r="3000" ht="84" customHeight="1" s="380">
      <c r="A3000" s="139" t="n">
        <v>121</v>
      </c>
      <c r="B3000" s="390" t="n"/>
      <c r="C3000" s="390" t="inlineStr">
        <is>
          <t>Báo cáo tình hình hoạt động năm - Chi nhánh công ty chứng khoán nước ngoài tại Việt Nam</t>
        </is>
      </c>
      <c r="D3000" s="390" t="inlineStr">
        <is>
          <t>Vốn cấp cho chi nhánh và các chỉ tiêu an toàn tài chính trong năm báo cáo &gt;&gt; Báo cáo về tình hình đảm bảo tỷ lệ vốn khả dụng trong năm</t>
        </is>
      </c>
      <c r="E3000" s="390" t="inlineStr">
        <is>
          <t>Vốn cấp cho chi nhánh và các chỉ tiêu an toàn tài chính trong năm báo cáo &gt;&gt; Báo cáo về tình hình đảm bảo tỷ lệ vốn khả dụng trong năm</t>
        </is>
      </c>
      <c r="F3000" s="390" t="inlineStr">
        <is>
          <t>Data Explorer</t>
        </is>
      </c>
      <c r="G3000" s="390" t="inlineStr">
        <is>
          <t>Chỉ tiêu cơ sở</t>
        </is>
      </c>
      <c r="H3000" s="390" t="inlineStr">
        <is>
          <t>TB</t>
        </is>
      </c>
      <c r="I3000" s="390" t="inlineStr">
        <is>
          <t>Ngày, CTCK</t>
        </is>
      </c>
      <c r="J3000" s="401" t="inlineStr">
        <is>
          <t>SCMS</t>
        </is>
      </c>
      <c r="K3000" s="401" t="n"/>
      <c r="L3000" s="401" t="inlineStr">
        <is>
          <t>X</t>
        </is>
      </c>
      <c r="M3000" s="401" t="n"/>
      <c r="N3000" s="401" t="inlineStr">
        <is>
          <t>Pending</t>
        </is>
      </c>
      <c r="O3000" s="401" t="n"/>
      <c r="P3000" s="22" t="n"/>
      <c r="Q3000" s="401" t="n"/>
      <c r="R3000" s="401" t="n"/>
      <c r="S3000" s="22" t="n"/>
      <c r="T3000" s="390" t="n"/>
      <c r="U3000" s="390" t="inlineStr">
        <is>
          <t>Không có thông tin</t>
        </is>
      </c>
      <c r="V3000" s="22" t="n"/>
      <c r="W3000" s="22" t="n"/>
      <c r="X3000" s="22" t="n"/>
      <c r="Y3000" s="38" t="n"/>
      <c r="Z3000" s="22" t="n"/>
      <c r="AA3000" s="22" t="n"/>
      <c r="AB3000" s="22" t="n"/>
      <c r="AC3000" s="22" t="n"/>
      <c r="AD3000" s="22" t="n"/>
      <c r="AE3000" s="22" t="n"/>
    </row>
    <row r="3001" ht="70" customHeight="1" s="380">
      <c r="A3001" s="139" t="n">
        <v>121</v>
      </c>
      <c r="B3001" s="390" t="n"/>
      <c r="C3001" s="390" t="inlineStr">
        <is>
          <t>Báo cáo tình hình hoạt động năm - Chi nhánh công ty chứng khoán nước ngoài tại Việt Nam</t>
        </is>
      </c>
      <c r="D3001" s="390" t="inlineStr">
        <is>
          <t>Vốn cấp cho chi nhánh và các chỉ tiêu an toàn tài chính trong năm báo cáo &gt;&gt; Các chỉ tiêu an toàn tài chính khác</t>
        </is>
      </c>
      <c r="E3001" s="390" t="inlineStr">
        <is>
          <t>Vốn cấp cho chi nhánh và các chỉ tiêu an toàn tài chính trong năm báo cáo &gt;&gt; Các chỉ tiêu an toàn tài chính khác</t>
        </is>
      </c>
      <c r="F3001" s="390" t="inlineStr">
        <is>
          <t>Data Explorer</t>
        </is>
      </c>
      <c r="G3001" s="390" t="inlineStr">
        <is>
          <t>Chỉ tiêu cơ sở</t>
        </is>
      </c>
      <c r="H3001" s="390" t="inlineStr">
        <is>
          <t>TB</t>
        </is>
      </c>
      <c r="I3001" s="390" t="inlineStr">
        <is>
          <t>Ngày, CTCK</t>
        </is>
      </c>
      <c r="J3001" s="401" t="inlineStr">
        <is>
          <t>SCMS</t>
        </is>
      </c>
      <c r="K3001" s="401" t="n"/>
      <c r="L3001" s="401" t="inlineStr">
        <is>
          <t>X</t>
        </is>
      </c>
      <c r="M3001" s="401" t="n"/>
      <c r="N3001" s="401" t="inlineStr">
        <is>
          <t>Pending</t>
        </is>
      </c>
      <c r="O3001" s="401" t="n"/>
      <c r="P3001" s="22" t="n"/>
      <c r="Q3001" s="401" t="n"/>
      <c r="R3001" s="401" t="n"/>
      <c r="S3001" s="22" t="n"/>
      <c r="T3001" s="390" t="n"/>
      <c r="U3001" s="390" t="inlineStr">
        <is>
          <t>Không có thông tin</t>
        </is>
      </c>
      <c r="V3001" s="22" t="n"/>
      <c r="W3001" s="22" t="n"/>
      <c r="X3001" s="22" t="n"/>
      <c r="Y3001" s="13" t="n"/>
      <c r="Z3001" s="22" t="n"/>
      <c r="AA3001" s="22" t="n"/>
      <c r="AB3001" s="22" t="n"/>
      <c r="AC3001" s="22" t="n"/>
      <c r="AD3001" s="22" t="n"/>
      <c r="AE3001" s="22" t="n"/>
    </row>
    <row r="3002" ht="56" customHeight="1" s="380">
      <c r="A3002" s="139" t="n">
        <v>121</v>
      </c>
      <c r="B3002" s="390" t="n"/>
      <c r="C3002" s="390" t="inlineStr">
        <is>
          <t>Báo cáo tình hình hoạt động năm - Chi nhánh công ty chứng khoán nước ngoài tại Việt Nam</t>
        </is>
      </c>
      <c r="D3002" s="390" t="inlineStr">
        <is>
          <t>Cơ sở vật chất trong năm báo cáo &gt;&gt; Mở rộng diện tích trụ sở chi nhánh</t>
        </is>
      </c>
      <c r="E3002" s="390" t="inlineStr">
        <is>
          <t>Cơ sở vật chất trong năm báo cáo &gt;&gt; Mở rộng diện tích trụ sở chi nhánh</t>
        </is>
      </c>
      <c r="F3002" s="390" t="inlineStr">
        <is>
          <t>Data Explorer</t>
        </is>
      </c>
      <c r="G3002" s="390" t="inlineStr">
        <is>
          <t>Chỉ tiêu cơ sở</t>
        </is>
      </c>
      <c r="H3002" s="390" t="inlineStr">
        <is>
          <t>TB</t>
        </is>
      </c>
      <c r="I3002" s="390" t="inlineStr">
        <is>
          <t>Ngày, CTCK</t>
        </is>
      </c>
      <c r="J3002" s="401" t="inlineStr">
        <is>
          <t>SCMS</t>
        </is>
      </c>
      <c r="K3002" s="401" t="n"/>
      <c r="L3002" s="401" t="inlineStr">
        <is>
          <t>X</t>
        </is>
      </c>
      <c r="M3002" s="401" t="n"/>
      <c r="N3002" s="401" t="inlineStr">
        <is>
          <t>Pending</t>
        </is>
      </c>
      <c r="O3002" s="401" t="n"/>
      <c r="P3002" s="22" t="n"/>
      <c r="Q3002" s="401" t="n"/>
      <c r="R3002" s="401" t="n"/>
      <c r="S3002" s="22" t="n"/>
      <c r="T3002" s="390" t="n"/>
      <c r="U3002" s="390" t="inlineStr">
        <is>
          <t>Không có thông tin</t>
        </is>
      </c>
      <c r="V3002" s="22" t="n"/>
      <c r="W3002" s="22" t="n"/>
      <c r="X3002" s="22" t="n"/>
      <c r="Y3002" s="13" t="n"/>
      <c r="Z3002" s="22" t="n"/>
      <c r="AA3002" s="22" t="n"/>
      <c r="AB3002" s="22" t="n"/>
      <c r="AC3002" s="22" t="n"/>
      <c r="AD3002" s="22" t="n"/>
      <c r="AE3002" s="22" t="n"/>
    </row>
    <row r="3003" ht="56" customHeight="1" s="380">
      <c r="A3003" s="139" t="n">
        <v>121</v>
      </c>
      <c r="B3003" s="390" t="n"/>
      <c r="C3003" s="390" t="inlineStr">
        <is>
          <t>Báo cáo tình hình hoạt động năm - Chi nhánh công ty chứng khoán nước ngoài tại Việt Nam</t>
        </is>
      </c>
      <c r="D3003" s="390" t="inlineStr">
        <is>
          <t>Cơ sở vật chất trong năm báo cáo &gt;&gt; Đầu tư nâng cấp hệ thống máy móc thuộc phần cứng</t>
        </is>
      </c>
      <c r="E3003" s="390" t="inlineStr">
        <is>
          <t>Cơ sở vật chất trong năm báo cáo &gt;&gt; Đầu tư nâng cấp hệ thống máy móc thuộc phần cứng</t>
        </is>
      </c>
      <c r="F3003" s="390" t="inlineStr">
        <is>
          <t>Data Explorer</t>
        </is>
      </c>
      <c r="G3003" s="390" t="inlineStr">
        <is>
          <t>Chỉ tiêu cơ sở</t>
        </is>
      </c>
      <c r="H3003" s="390" t="inlineStr">
        <is>
          <t>TB</t>
        </is>
      </c>
      <c r="I3003" s="390" t="inlineStr">
        <is>
          <t>Ngày, CTCK</t>
        </is>
      </c>
      <c r="J3003" s="401" t="inlineStr">
        <is>
          <t>SCMS</t>
        </is>
      </c>
      <c r="K3003" s="401" t="n"/>
      <c r="L3003" s="401" t="inlineStr">
        <is>
          <t>X</t>
        </is>
      </c>
      <c r="M3003" s="401" t="n"/>
      <c r="N3003" s="401" t="inlineStr">
        <is>
          <t>Pending</t>
        </is>
      </c>
      <c r="O3003" s="401" t="n"/>
      <c r="P3003" s="22" t="n"/>
      <c r="Q3003" s="401" t="n"/>
      <c r="R3003" s="401" t="n"/>
      <c r="S3003" s="22" t="n"/>
      <c r="T3003" s="390" t="n"/>
      <c r="U3003" s="390" t="inlineStr">
        <is>
          <t>Không có thông tin</t>
        </is>
      </c>
      <c r="V3003" s="22" t="n"/>
      <c r="W3003" s="22" t="n"/>
      <c r="X3003" s="22" t="n"/>
      <c r="Y3003" s="13" t="n"/>
      <c r="Z3003" s="22" t="n"/>
      <c r="AA3003" s="22" t="n"/>
      <c r="AB3003" s="22" t="n"/>
      <c r="AC3003" s="22" t="n"/>
      <c r="AD3003" s="22" t="n"/>
      <c r="AE3003" s="22" t="n"/>
    </row>
    <row r="3004" ht="56" customHeight="1" s="380">
      <c r="A3004" s="139" t="n">
        <v>121</v>
      </c>
      <c r="B3004" s="390" t="n"/>
      <c r="C3004" s="390" t="inlineStr">
        <is>
          <t>Báo cáo tình hình hoạt động năm - Chi nhánh công ty chứng khoán nước ngoài tại Việt Nam</t>
        </is>
      </c>
      <c r="D3004" s="390" t="inlineStr">
        <is>
          <t>Cơ sở vật chất trong năm báo cáo &gt;&gt; Đầu tư nâng cấp phần mềm cho các hệ thống</t>
        </is>
      </c>
      <c r="E3004" s="390" t="inlineStr">
        <is>
          <t>Cơ sở vật chất trong năm báo cáo &gt;&gt; Đầu tư nâng cấp phần mềm cho các hệ thống</t>
        </is>
      </c>
      <c r="F3004" s="390" t="inlineStr">
        <is>
          <t>Data Explorer</t>
        </is>
      </c>
      <c r="G3004" s="390" t="inlineStr">
        <is>
          <t>Chỉ tiêu cơ sở</t>
        </is>
      </c>
      <c r="H3004" s="390" t="inlineStr">
        <is>
          <t>TB</t>
        </is>
      </c>
      <c r="I3004" s="390" t="inlineStr">
        <is>
          <t>Ngày, CTCK</t>
        </is>
      </c>
      <c r="J3004" s="401" t="inlineStr">
        <is>
          <t>SCMS</t>
        </is>
      </c>
      <c r="K3004" s="401" t="n"/>
      <c r="L3004" s="401" t="inlineStr">
        <is>
          <t>X</t>
        </is>
      </c>
      <c r="M3004" s="401" t="n"/>
      <c r="N3004" s="401" t="inlineStr">
        <is>
          <t>Pending</t>
        </is>
      </c>
      <c r="O3004" s="401" t="n"/>
      <c r="P3004" s="22" t="n"/>
      <c r="Q3004" s="401" t="n"/>
      <c r="R3004" s="401" t="n"/>
      <c r="S3004" s="22" t="n"/>
      <c r="T3004" s="390" t="n"/>
      <c r="U3004" s="390" t="inlineStr">
        <is>
          <t>Không có thông tin</t>
        </is>
      </c>
      <c r="V3004" s="22" t="n"/>
      <c r="W3004" s="22" t="n"/>
      <c r="X3004" s="22" t="n"/>
      <c r="Y3004" s="13" t="n"/>
      <c r="Z3004" s="22" t="n"/>
      <c r="AA3004" s="22" t="n"/>
      <c r="AB3004" s="22" t="n"/>
      <c r="AC3004" s="22" t="n"/>
      <c r="AD3004" s="22" t="n"/>
      <c r="AE3004" s="22" t="n"/>
    </row>
    <row r="3005" ht="56" customHeight="1" s="380">
      <c r="A3005" s="139" t="n">
        <v>121</v>
      </c>
      <c r="B3005" s="390" t="n"/>
      <c r="C3005" s="390" t="inlineStr">
        <is>
          <t>Báo cáo tình hình hoạt động năm - Chi nhánh công ty chứng khoán nước ngoài tại Việt Nam</t>
        </is>
      </c>
      <c r="D3005" s="390" t="inlineStr">
        <is>
          <t>Cơ sở vật chất trong năm báo cáo &gt;&gt; Đầu tư kho két cho lưu trữ hồ sơ, chứng từ</t>
        </is>
      </c>
      <c r="E3005" s="390" t="inlineStr">
        <is>
          <t>Cơ sở vật chất trong năm báo cáo &gt;&gt; Đầu tư kho két cho lưu trữ hồ sơ, chứng từ</t>
        </is>
      </c>
      <c r="F3005" s="390" t="inlineStr">
        <is>
          <t>Data Explorer</t>
        </is>
      </c>
      <c r="G3005" s="390" t="inlineStr">
        <is>
          <t>Chỉ tiêu cơ sở</t>
        </is>
      </c>
      <c r="H3005" s="390" t="inlineStr">
        <is>
          <t>TB</t>
        </is>
      </c>
      <c r="I3005" s="390" t="inlineStr">
        <is>
          <t>Ngày, CTCK</t>
        </is>
      </c>
      <c r="J3005" s="401" t="inlineStr">
        <is>
          <t>SCMS</t>
        </is>
      </c>
      <c r="K3005" s="401" t="n"/>
      <c r="L3005" s="401" t="inlineStr">
        <is>
          <t>X</t>
        </is>
      </c>
      <c r="M3005" s="401" t="n"/>
      <c r="N3005" s="401" t="inlineStr">
        <is>
          <t>Pending</t>
        </is>
      </c>
      <c r="O3005" s="401" t="n"/>
      <c r="P3005" s="22" t="n"/>
      <c r="Q3005" s="401" t="n"/>
      <c r="R3005" s="401" t="n"/>
      <c r="S3005" s="22" t="n"/>
      <c r="T3005" s="390" t="n"/>
      <c r="U3005" s="390" t="inlineStr">
        <is>
          <t>Không có thông tin</t>
        </is>
      </c>
      <c r="V3005" s="22" t="n"/>
      <c r="W3005" s="22" t="n"/>
      <c r="X3005" s="22" t="n"/>
      <c r="Y3005" s="13" t="n"/>
      <c r="Z3005" s="22" t="n"/>
      <c r="AA3005" s="22" t="n"/>
      <c r="AB3005" s="22" t="n"/>
      <c r="AC3005" s="22" t="n"/>
      <c r="AD3005" s="22" t="n"/>
      <c r="AE3005" s="22" t="n"/>
    </row>
    <row r="3006" ht="56" customHeight="1" s="380">
      <c r="A3006" s="139" t="n">
        <v>121</v>
      </c>
      <c r="B3006" s="390" t="n"/>
      <c r="C3006" s="390" t="inlineStr">
        <is>
          <t>Báo cáo tình hình hoạt động năm - Chi nhánh công ty chứng khoán nước ngoài tại Việt Nam</t>
        </is>
      </c>
      <c r="D3006" s="390" t="inlineStr">
        <is>
          <t>Cơ sở vật chất trong năm báo cáo &gt;&gt; Các đầu tư cơ sở vật chất khác</t>
        </is>
      </c>
      <c r="E3006" s="390" t="inlineStr">
        <is>
          <t>Cơ sở vật chất trong năm báo cáo &gt;&gt; Các đầu tư cơ sở vật chất khác</t>
        </is>
      </c>
      <c r="F3006" s="390" t="inlineStr">
        <is>
          <t>Data Explorer</t>
        </is>
      </c>
      <c r="G3006" s="390" t="inlineStr">
        <is>
          <t>Chỉ tiêu cơ sở</t>
        </is>
      </c>
      <c r="H3006" s="390" t="inlineStr">
        <is>
          <t>TB</t>
        </is>
      </c>
      <c r="I3006" s="390" t="inlineStr">
        <is>
          <t>Ngày, CTCK</t>
        </is>
      </c>
      <c r="J3006" s="401" t="inlineStr">
        <is>
          <t>SCMS</t>
        </is>
      </c>
      <c r="K3006" s="401" t="n"/>
      <c r="L3006" s="401" t="inlineStr">
        <is>
          <t>X</t>
        </is>
      </c>
      <c r="M3006" s="401" t="n"/>
      <c r="N3006" s="401" t="inlineStr">
        <is>
          <t>Pending</t>
        </is>
      </c>
      <c r="O3006" s="401" t="n"/>
      <c r="P3006" s="22" t="n"/>
      <c r="Q3006" s="401" t="n"/>
      <c r="R3006" s="401" t="n"/>
      <c r="S3006" s="22" t="n"/>
      <c r="T3006" s="390" t="n"/>
      <c r="U3006" s="390" t="inlineStr">
        <is>
          <t>Không có thông tin</t>
        </is>
      </c>
      <c r="V3006" s="22" t="n"/>
      <c r="W3006" s="22" t="n"/>
      <c r="X3006" s="22" t="n"/>
      <c r="Y3006" s="38" t="n"/>
      <c r="Z3006" s="22" t="n"/>
      <c r="AA3006" s="22" t="n"/>
      <c r="AB3006" s="22" t="n"/>
      <c r="AC3006" s="22" t="n"/>
      <c r="AD3006" s="22" t="n"/>
      <c r="AE3006" s="22" t="n"/>
    </row>
    <row r="3007" ht="70" customHeight="1" s="380">
      <c r="A3007" s="139" t="n">
        <v>121</v>
      </c>
      <c r="B3007" s="390" t="n"/>
      <c r="C3007" s="390" t="inlineStr">
        <is>
          <t>Báo cáo tình hình hoạt động năm - Chi nhánh công ty chứng khoán nước ngoài tại Việt Nam</t>
        </is>
      </c>
      <c r="D3007" s="390" t="inlineStr">
        <is>
          <t>Hoạt động của chi nhánh công ty chứng khoán &gt;&gt; Tư vấn đầu tư chứng khoán &gt;&gt; Số hợp đồng đã ký đầu năm</t>
        </is>
      </c>
      <c r="E3007" s="390" t="inlineStr">
        <is>
          <t>Hoạt động của chi nhánh công ty chứng khoán &gt;&gt; Tư vấn đầu tư chứng khoán &gt;&gt; Số hợp đồng đã ký đầu năm</t>
        </is>
      </c>
      <c r="F3007" s="390" t="inlineStr">
        <is>
          <t>Data Explorer</t>
        </is>
      </c>
      <c r="G3007" s="390" t="inlineStr">
        <is>
          <t>Chỉ tiêu cơ sở</t>
        </is>
      </c>
      <c r="H3007" s="390" t="inlineStr">
        <is>
          <t>TB</t>
        </is>
      </c>
      <c r="I3007" s="390" t="inlineStr">
        <is>
          <t>Ngày, CTCK</t>
        </is>
      </c>
      <c r="J3007" s="401" t="inlineStr">
        <is>
          <t>SCMS</t>
        </is>
      </c>
      <c r="K3007" s="401" t="n"/>
      <c r="L3007" s="401" t="inlineStr">
        <is>
          <t>X</t>
        </is>
      </c>
      <c r="M3007" s="401" t="n"/>
      <c r="N3007" s="401" t="inlineStr">
        <is>
          <t>Pending</t>
        </is>
      </c>
      <c r="O3007" s="401" t="n"/>
      <c r="P3007" s="22" t="n"/>
      <c r="Q3007" s="401" t="n"/>
      <c r="R3007" s="401" t="n"/>
      <c r="S3007" s="22" t="n"/>
      <c r="T3007" s="390" t="n"/>
      <c r="U3007" s="390" t="inlineStr">
        <is>
          <t>Không có thông tin</t>
        </is>
      </c>
      <c r="V3007" s="22" t="n"/>
      <c r="W3007" s="22" t="n"/>
      <c r="X3007" s="22" t="n"/>
      <c r="Y3007" s="13" t="n"/>
      <c r="Z3007" s="22" t="n"/>
      <c r="AA3007" s="22" t="n"/>
      <c r="AB3007" s="22" t="n"/>
      <c r="AC3007" s="22" t="n"/>
      <c r="AD3007" s="22" t="n"/>
      <c r="AE3007" s="22" t="n"/>
    </row>
    <row r="3008" ht="70" customHeight="1" s="380">
      <c r="A3008" s="139" t="n">
        <v>121</v>
      </c>
      <c r="B3008" s="390" t="n"/>
      <c r="C3008" s="390" t="inlineStr">
        <is>
          <t>Báo cáo tình hình hoạt động năm - Chi nhánh công ty chứng khoán nước ngoài tại Việt Nam</t>
        </is>
      </c>
      <c r="D3008" s="390" t="inlineStr">
        <is>
          <t>Hoạt động của chi nhánh công ty chứng khoán &gt;&gt; Tư vấn đầu tư chứng khoán &gt;&gt; Số hợp đồng đã thanh lý trong năm</t>
        </is>
      </c>
      <c r="E3008" s="390" t="inlineStr">
        <is>
          <t>Hoạt động của chi nhánh công ty chứng khoán &gt;&gt; Tư vấn đầu tư chứng khoán &gt;&gt; Số hợp đồng đã thanh lý trong năm</t>
        </is>
      </c>
      <c r="F3008" s="390" t="inlineStr">
        <is>
          <t>Data Explorer</t>
        </is>
      </c>
      <c r="G3008" s="390" t="inlineStr">
        <is>
          <t>Chỉ tiêu cơ sở</t>
        </is>
      </c>
      <c r="H3008" s="390" t="inlineStr">
        <is>
          <t>TB</t>
        </is>
      </c>
      <c r="I3008" s="390" t="inlineStr">
        <is>
          <t>Ngày, CTCK</t>
        </is>
      </c>
      <c r="J3008" s="401" t="inlineStr">
        <is>
          <t>SCMS</t>
        </is>
      </c>
      <c r="K3008" s="401" t="n"/>
      <c r="L3008" s="401" t="inlineStr">
        <is>
          <t>X</t>
        </is>
      </c>
      <c r="M3008" s="401" t="n"/>
      <c r="N3008" s="401" t="inlineStr">
        <is>
          <t>Pending</t>
        </is>
      </c>
      <c r="O3008" s="401" t="n"/>
      <c r="P3008" s="22" t="n"/>
      <c r="Q3008" s="401" t="n"/>
      <c r="R3008" s="401" t="n"/>
      <c r="S3008" s="22" t="n"/>
      <c r="T3008" s="390" t="n"/>
      <c r="U3008" s="390" t="inlineStr">
        <is>
          <t>Không có thông tin</t>
        </is>
      </c>
      <c r="V3008" s="22" t="n"/>
      <c r="W3008" s="22" t="n"/>
      <c r="X3008" s="22" t="n"/>
      <c r="Y3008" s="13" t="n"/>
      <c r="Z3008" s="22" t="n"/>
      <c r="AA3008" s="22" t="n"/>
      <c r="AB3008" s="22" t="n"/>
      <c r="AC3008" s="22" t="n"/>
      <c r="AD3008" s="22" t="n"/>
      <c r="AE3008" s="22" t="n"/>
    </row>
    <row r="3009" ht="70" customHeight="1" s="380">
      <c r="A3009" s="139" t="n">
        <v>121</v>
      </c>
      <c r="B3009" s="390" t="n"/>
      <c r="C3009" s="390" t="inlineStr">
        <is>
          <t>Báo cáo tình hình hoạt động năm - Chi nhánh công ty chứng khoán nước ngoài tại Việt Nam</t>
        </is>
      </c>
      <c r="D3009" s="390" t="inlineStr">
        <is>
          <t>Hoạt động của chi nhánh công ty chứng khoán &gt;&gt; Tư vấn đầu tư chứng khoán &gt;&gt; Số hợp đồng ký mới trong năm</t>
        </is>
      </c>
      <c r="E3009" s="390" t="inlineStr">
        <is>
          <t>Hoạt động của chi nhánh công ty chứng khoán &gt;&gt; Tư vấn đầu tư chứng khoán &gt;&gt; Số hợp đồng ký mới trong năm</t>
        </is>
      </c>
      <c r="F3009" s="390" t="inlineStr">
        <is>
          <t>Data Explorer</t>
        </is>
      </c>
      <c r="G3009" s="390" t="inlineStr">
        <is>
          <t>Chỉ tiêu cơ sở</t>
        </is>
      </c>
      <c r="H3009" s="390" t="inlineStr">
        <is>
          <t>TB</t>
        </is>
      </c>
      <c r="I3009" s="390" t="inlineStr">
        <is>
          <t>Ngày, CTCK</t>
        </is>
      </c>
      <c r="J3009" s="401" t="inlineStr">
        <is>
          <t>SCMS</t>
        </is>
      </c>
      <c r="K3009" s="401" t="n"/>
      <c r="L3009" s="401" t="inlineStr">
        <is>
          <t>X</t>
        </is>
      </c>
      <c r="M3009" s="401" t="n"/>
      <c r="N3009" s="401" t="inlineStr">
        <is>
          <t>Pending</t>
        </is>
      </c>
      <c r="O3009" s="401" t="n"/>
      <c r="P3009" s="22" t="n"/>
      <c r="Q3009" s="401" t="n"/>
      <c r="R3009" s="401" t="n"/>
      <c r="S3009" s="22" t="n"/>
      <c r="T3009" s="390" t="n"/>
      <c r="U3009" s="390" t="inlineStr">
        <is>
          <t>Không có thông tin</t>
        </is>
      </c>
      <c r="V3009" s="22" t="n"/>
      <c r="W3009" s="22" t="n"/>
      <c r="X3009" s="22" t="n"/>
      <c r="Y3009" s="13" t="n"/>
      <c r="Z3009" s="22" t="n"/>
      <c r="AA3009" s="22" t="n"/>
      <c r="AB3009" s="22" t="n"/>
      <c r="AC3009" s="22" t="n"/>
      <c r="AD3009" s="22" t="n"/>
      <c r="AE3009" s="22" t="n"/>
    </row>
    <row r="3010" ht="70" customHeight="1" s="380">
      <c r="A3010" s="139" t="n">
        <v>121</v>
      </c>
      <c r="B3010" s="390" t="n"/>
      <c r="C3010" s="390" t="inlineStr">
        <is>
          <t>Báo cáo tình hình hoạt động năm - Chi nhánh công ty chứng khoán nước ngoài tại Việt Nam</t>
        </is>
      </c>
      <c r="D3010" s="390" t="inlineStr">
        <is>
          <t>Hoạt động của chi nhánh công ty chứng khoán &gt;&gt; Tư vấn đầu tư chứng khoán &gt;&gt; Số hợp đồng còn hiệu lực cuối năm</t>
        </is>
      </c>
      <c r="E3010" s="390" t="inlineStr">
        <is>
          <t>Hoạt động của chi nhánh công ty chứng khoán &gt;&gt; Tư vấn đầu tư chứng khoán &gt;&gt; Số hợp đồng còn hiệu lực cuối năm</t>
        </is>
      </c>
      <c r="F3010" s="390" t="inlineStr">
        <is>
          <t>Data Explorer</t>
        </is>
      </c>
      <c r="G3010" s="390" t="inlineStr">
        <is>
          <t>Chỉ tiêu cơ sở</t>
        </is>
      </c>
      <c r="H3010" s="390" t="inlineStr">
        <is>
          <t>TB</t>
        </is>
      </c>
      <c r="I3010" s="390" t="inlineStr">
        <is>
          <t>Ngày, CTCK</t>
        </is>
      </c>
      <c r="J3010" s="401" t="inlineStr">
        <is>
          <t>SCMS</t>
        </is>
      </c>
      <c r="K3010" s="401" t="n"/>
      <c r="L3010" s="401" t="inlineStr">
        <is>
          <t>X</t>
        </is>
      </c>
      <c r="M3010" s="401" t="n"/>
      <c r="N3010" s="401" t="inlineStr">
        <is>
          <t>Pending</t>
        </is>
      </c>
      <c r="O3010" s="401" t="n"/>
      <c r="P3010" s="22" t="n"/>
      <c r="Q3010" s="401" t="n"/>
      <c r="R3010" s="401" t="n"/>
      <c r="S3010" s="22" t="n"/>
      <c r="T3010" s="390" t="n"/>
      <c r="U3010" s="390" t="inlineStr">
        <is>
          <t>Không có thông tin</t>
        </is>
      </c>
      <c r="V3010" s="22" t="n"/>
      <c r="W3010" s="22" t="n"/>
      <c r="X3010" s="22" t="n"/>
      <c r="Y3010" s="13" t="n"/>
      <c r="Z3010" s="22" t="n"/>
      <c r="AA3010" s="22" t="n"/>
      <c r="AB3010" s="22" t="n"/>
      <c r="AC3010" s="22" t="n"/>
      <c r="AD3010" s="22" t="n"/>
      <c r="AE3010" s="22" t="n"/>
    </row>
    <row r="3011" ht="70" customHeight="1" s="380">
      <c r="A3011" s="139" t="n">
        <v>121</v>
      </c>
      <c r="B3011" s="390" t="n"/>
      <c r="C3011" s="390" t="inlineStr">
        <is>
          <t>Báo cáo tình hình hoạt động năm - Chi nhánh công ty chứng khoán nước ngoài tại Việt Nam</t>
        </is>
      </c>
      <c r="D3011" s="390" t="inlineStr">
        <is>
          <t>Hoạt động của chi nhánh công ty chứng khoán &gt;&gt; Tư vấn đầu tư chứng khoán &gt;&gt; Giá dịch vụ thu được trong năm (đồng)</t>
        </is>
      </c>
      <c r="E3011" s="390" t="inlineStr">
        <is>
          <t>Hoạt động của chi nhánh công ty chứng khoán &gt;&gt; Tư vấn đầu tư chứng khoán &gt;&gt; Giá dịch vụ thu được trong năm (đồng)</t>
        </is>
      </c>
      <c r="F3011" s="390" t="inlineStr">
        <is>
          <t>Data Explorer</t>
        </is>
      </c>
      <c r="G3011" s="390" t="inlineStr">
        <is>
          <t>Chỉ tiêu cơ sở</t>
        </is>
      </c>
      <c r="H3011" s="390" t="inlineStr">
        <is>
          <t>TB</t>
        </is>
      </c>
      <c r="I3011" s="390" t="inlineStr">
        <is>
          <t>Ngày, CTCK</t>
        </is>
      </c>
      <c r="J3011" s="401" t="inlineStr">
        <is>
          <t>SCMS</t>
        </is>
      </c>
      <c r="K3011" s="401" t="n"/>
      <c r="L3011" s="401" t="inlineStr">
        <is>
          <t>X</t>
        </is>
      </c>
      <c r="M3011" s="401" t="n"/>
      <c r="N3011" s="401" t="inlineStr">
        <is>
          <t>Pending</t>
        </is>
      </c>
      <c r="O3011" s="401" t="n"/>
      <c r="P3011" s="22" t="n"/>
      <c r="Q3011" s="401" t="n"/>
      <c r="R3011" s="401" t="n"/>
      <c r="S3011" s="22" t="n"/>
      <c r="T3011" s="390" t="n"/>
      <c r="U3011" s="390" t="inlineStr">
        <is>
          <t>Không có thông tin</t>
        </is>
      </c>
      <c r="V3011" s="22" t="n"/>
      <c r="W3011" s="22" t="n"/>
      <c r="X3011" s="22" t="n"/>
      <c r="Y3011" s="13" t="n"/>
      <c r="Z3011" s="22" t="n"/>
      <c r="AA3011" s="22" t="n"/>
      <c r="AB3011" s="22" t="n"/>
      <c r="AC3011" s="22" t="n"/>
      <c r="AD3011" s="22" t="n"/>
      <c r="AE3011" s="22" t="n"/>
    </row>
    <row r="3012" ht="56" customHeight="1" s="380">
      <c r="A3012" s="139" t="n">
        <v>121</v>
      </c>
      <c r="B3012" s="390" t="n"/>
      <c r="C3012" s="390" t="inlineStr">
        <is>
          <t>Báo cáo tình hình hoạt động năm - Chi nhánh công ty chứng khoán nước ngoài tại Việt Nam</t>
        </is>
      </c>
      <c r="D3012" s="390" t="inlineStr">
        <is>
          <t>Hoạt động của chi nhánh công ty chứng khoán &gt;&gt; Dịch vụ khác &gt;&gt; Số hợp đồng đã ký đầu năm</t>
        </is>
      </c>
      <c r="E3012" s="390" t="inlineStr">
        <is>
          <t>Hoạt động của chi nhánh công ty chứng khoán &gt;&gt; Dịch vụ khác &gt;&gt; Số hợp đồng đã ký đầu năm</t>
        </is>
      </c>
      <c r="F3012" s="390" t="inlineStr">
        <is>
          <t>Data Explorer</t>
        </is>
      </c>
      <c r="G3012" s="390" t="inlineStr">
        <is>
          <t>Chỉ tiêu cơ sở</t>
        </is>
      </c>
      <c r="H3012" s="390" t="inlineStr">
        <is>
          <t>TB</t>
        </is>
      </c>
      <c r="I3012" s="390" t="inlineStr">
        <is>
          <t>Ngày, CTCK</t>
        </is>
      </c>
      <c r="J3012" s="401" t="inlineStr">
        <is>
          <t>SCMS</t>
        </is>
      </c>
      <c r="K3012" s="401" t="n"/>
      <c r="L3012" s="401" t="inlineStr">
        <is>
          <t>X</t>
        </is>
      </c>
      <c r="M3012" s="401" t="n"/>
      <c r="N3012" s="401" t="inlineStr">
        <is>
          <t>Pending</t>
        </is>
      </c>
      <c r="O3012" s="401" t="n"/>
      <c r="P3012" s="22" t="n"/>
      <c r="Q3012" s="401" t="n"/>
      <c r="R3012" s="401" t="n"/>
      <c r="S3012" s="22" t="n"/>
      <c r="T3012" s="390" t="n"/>
      <c r="U3012" s="390" t="inlineStr">
        <is>
          <t>Không có thông tin</t>
        </is>
      </c>
      <c r="V3012" s="22" t="n"/>
      <c r="W3012" s="22" t="n"/>
      <c r="X3012" s="22" t="n"/>
      <c r="Y3012" s="38" t="n"/>
      <c r="Z3012" s="22" t="n"/>
      <c r="AA3012" s="22" t="n"/>
      <c r="AB3012" s="22" t="n"/>
      <c r="AC3012" s="22" t="n"/>
      <c r="AD3012" s="22" t="n"/>
      <c r="AE3012" s="22" t="n"/>
    </row>
    <row r="3013" ht="70" customHeight="1" s="380">
      <c r="A3013" s="139" t="n">
        <v>121</v>
      </c>
      <c r="B3013" s="390" t="n"/>
      <c r="C3013" s="390" t="inlineStr">
        <is>
          <t>Báo cáo tình hình hoạt động năm - Chi nhánh công ty chứng khoán nước ngoài tại Việt Nam</t>
        </is>
      </c>
      <c r="D3013" s="390" t="inlineStr">
        <is>
          <t>Hoạt động của chi nhánh công ty chứng khoán &gt;&gt; Dịch vụ khác &gt;&gt; Số hợp đồng đã thanh lý trong năm</t>
        </is>
      </c>
      <c r="E3013" s="390" t="inlineStr">
        <is>
          <t>Hoạt động của chi nhánh công ty chứng khoán &gt;&gt; Dịch vụ khác &gt;&gt; Số hợp đồng đã thanh lý trong năm</t>
        </is>
      </c>
      <c r="F3013" s="390" t="inlineStr">
        <is>
          <t>Data Explorer</t>
        </is>
      </c>
      <c r="G3013" s="390" t="inlineStr">
        <is>
          <t>Chỉ tiêu cơ sở</t>
        </is>
      </c>
      <c r="H3013" s="390" t="inlineStr">
        <is>
          <t>TB</t>
        </is>
      </c>
      <c r="I3013" s="390" t="inlineStr">
        <is>
          <t>Ngày, CTCK</t>
        </is>
      </c>
      <c r="J3013" s="401" t="inlineStr">
        <is>
          <t>SCMS</t>
        </is>
      </c>
      <c r="K3013" s="401" t="n"/>
      <c r="L3013" s="401" t="inlineStr">
        <is>
          <t>X</t>
        </is>
      </c>
      <c r="M3013" s="401" t="n"/>
      <c r="N3013" s="401" t="inlineStr">
        <is>
          <t>Pending</t>
        </is>
      </c>
      <c r="O3013" s="401" t="n"/>
      <c r="P3013" s="22" t="n"/>
      <c r="Q3013" s="401" t="n"/>
      <c r="R3013" s="401" t="n"/>
      <c r="S3013" s="22" t="n"/>
      <c r="T3013" s="390" t="n"/>
      <c r="U3013" s="390" t="inlineStr">
        <is>
          <t>Không có thông tin</t>
        </is>
      </c>
      <c r="V3013" s="22" t="n"/>
      <c r="W3013" s="22" t="n"/>
      <c r="X3013" s="22" t="n"/>
      <c r="Y3013" s="13" t="n"/>
      <c r="Z3013" s="22" t="n"/>
      <c r="AA3013" s="22" t="n"/>
      <c r="AB3013" s="22" t="n"/>
      <c r="AC3013" s="22" t="n"/>
      <c r="AD3013" s="22" t="n"/>
      <c r="AE3013" s="22" t="n"/>
    </row>
    <row r="3014" ht="56" customHeight="1" s="380">
      <c r="A3014" s="139" t="n">
        <v>121</v>
      </c>
      <c r="B3014" s="390" t="n"/>
      <c r="C3014" s="390" t="inlineStr">
        <is>
          <t>Báo cáo tình hình hoạt động năm - Chi nhánh công ty chứng khoán nước ngoài tại Việt Nam</t>
        </is>
      </c>
      <c r="D3014" s="390" t="inlineStr">
        <is>
          <t>Hoạt động của chi nhánh công ty chứng khoán &gt;&gt; Dịch vụ khác &gt;&gt; Số hợp đồng ký mới trong năm</t>
        </is>
      </c>
      <c r="E3014" s="390" t="inlineStr">
        <is>
          <t>Hoạt động của chi nhánh công ty chứng khoán &gt;&gt; Dịch vụ khác &gt;&gt; Số hợp đồng ký mới trong năm</t>
        </is>
      </c>
      <c r="F3014" s="390" t="inlineStr">
        <is>
          <t>Data Explorer</t>
        </is>
      </c>
      <c r="G3014" s="390" t="inlineStr">
        <is>
          <t>Chỉ tiêu cơ sở</t>
        </is>
      </c>
      <c r="H3014" s="390" t="inlineStr">
        <is>
          <t>TB</t>
        </is>
      </c>
      <c r="I3014" s="390" t="inlineStr">
        <is>
          <t>Ngày, CTCK</t>
        </is>
      </c>
      <c r="J3014" s="401" t="inlineStr">
        <is>
          <t>SCMS</t>
        </is>
      </c>
      <c r="K3014" s="401" t="n"/>
      <c r="L3014" s="401" t="inlineStr">
        <is>
          <t>X</t>
        </is>
      </c>
      <c r="M3014" s="401" t="n"/>
      <c r="N3014" s="401" t="inlineStr">
        <is>
          <t>Pending</t>
        </is>
      </c>
      <c r="O3014" s="401" t="n"/>
      <c r="P3014" s="22" t="n"/>
      <c r="Q3014" s="401" t="n"/>
      <c r="R3014" s="401" t="n"/>
      <c r="S3014" s="22" t="n"/>
      <c r="T3014" s="390" t="n"/>
      <c r="U3014" s="390" t="inlineStr">
        <is>
          <t>Không có thông tin</t>
        </is>
      </c>
      <c r="V3014" s="22" t="n"/>
      <c r="W3014" s="22" t="n"/>
      <c r="X3014" s="22" t="n"/>
      <c r="Y3014" s="13" t="n"/>
      <c r="Z3014" s="22" t="n"/>
      <c r="AA3014" s="22" t="n"/>
      <c r="AB3014" s="22" t="n"/>
      <c r="AC3014" s="22" t="n"/>
      <c r="AD3014" s="22" t="n"/>
      <c r="AE3014" s="22" t="n"/>
    </row>
    <row r="3015" ht="70" customHeight="1" s="380">
      <c r="A3015" s="139" t="n">
        <v>121</v>
      </c>
      <c r="B3015" s="390" t="n"/>
      <c r="C3015" s="390" t="inlineStr">
        <is>
          <t>Báo cáo tình hình hoạt động năm - Chi nhánh công ty chứng khoán nước ngoài tại Việt Nam</t>
        </is>
      </c>
      <c r="D3015" s="390" t="inlineStr">
        <is>
          <t>Hoạt động của chi nhánh công ty chứng khoán &gt;&gt; Dịch vụ khác &gt;&gt; Số hợp đồng còn hiệu lực cuối năm</t>
        </is>
      </c>
      <c r="E3015" s="390" t="inlineStr">
        <is>
          <t>Hoạt động của chi nhánh công ty chứng khoán &gt;&gt; Dịch vụ khác &gt;&gt; Số hợp đồng còn hiệu lực cuối năm</t>
        </is>
      </c>
      <c r="F3015" s="390" t="inlineStr">
        <is>
          <t>Data Explorer</t>
        </is>
      </c>
      <c r="G3015" s="390" t="inlineStr">
        <is>
          <t>Chỉ tiêu cơ sở</t>
        </is>
      </c>
      <c r="H3015" s="390" t="inlineStr">
        <is>
          <t>TB</t>
        </is>
      </c>
      <c r="I3015" s="390" t="inlineStr">
        <is>
          <t>Ngày, CTCK</t>
        </is>
      </c>
      <c r="J3015" s="401" t="inlineStr">
        <is>
          <t>SCMS</t>
        </is>
      </c>
      <c r="K3015" s="401" t="n"/>
      <c r="L3015" s="401" t="inlineStr">
        <is>
          <t>X</t>
        </is>
      </c>
      <c r="M3015" s="401" t="n"/>
      <c r="N3015" s="401" t="inlineStr">
        <is>
          <t>Pending</t>
        </is>
      </c>
      <c r="O3015" s="401" t="n"/>
      <c r="P3015" s="22" t="n"/>
      <c r="Q3015" s="401" t="n"/>
      <c r="R3015" s="401" t="n"/>
      <c r="S3015" s="22" t="n"/>
      <c r="T3015" s="390" t="n"/>
      <c r="U3015" s="390" t="inlineStr">
        <is>
          <t>Không có thông tin</t>
        </is>
      </c>
      <c r="V3015" s="22" t="n"/>
      <c r="W3015" s="22" t="n"/>
      <c r="X3015" s="22" t="n"/>
      <c r="Y3015" s="13" t="n"/>
      <c r="Z3015" s="22" t="n"/>
      <c r="AA3015" s="22" t="n"/>
      <c r="AB3015" s="22" t="n"/>
      <c r="AC3015" s="22" t="n"/>
      <c r="AD3015" s="22" t="n"/>
      <c r="AE3015" s="22" t="n"/>
    </row>
    <row r="3016" ht="70" customHeight="1" s="380">
      <c r="A3016" s="139" t="n">
        <v>121</v>
      </c>
      <c r="B3016" s="390" t="n"/>
      <c r="C3016" s="390" t="inlineStr">
        <is>
          <t>Báo cáo tình hình hoạt động năm - Chi nhánh công ty chứng khoán nước ngoài tại Việt Nam</t>
        </is>
      </c>
      <c r="D3016" s="390" t="inlineStr">
        <is>
          <t>Hoạt động của chi nhánh công ty chứng khoán &gt;&gt; Dịch vụ khác &gt;&gt; Giá dịch vụ thu được trong năm (đồng)</t>
        </is>
      </c>
      <c r="E3016" s="390" t="inlineStr">
        <is>
          <t>Hoạt động của chi nhánh công ty chứng khoán &gt;&gt; Dịch vụ khác &gt;&gt; Giá dịch vụ thu được trong năm (đồng)</t>
        </is>
      </c>
      <c r="F3016" s="390" t="inlineStr">
        <is>
          <t>Data Explorer</t>
        </is>
      </c>
      <c r="G3016" s="390" t="inlineStr">
        <is>
          <t>Chỉ tiêu cơ sở</t>
        </is>
      </c>
      <c r="H3016" s="390" t="inlineStr">
        <is>
          <t>TB</t>
        </is>
      </c>
      <c r="I3016" s="390" t="inlineStr">
        <is>
          <t>Ngày, CTCK</t>
        </is>
      </c>
      <c r="J3016" s="401" t="inlineStr">
        <is>
          <t>SCMS</t>
        </is>
      </c>
      <c r="K3016" s="401" t="n"/>
      <c r="L3016" s="401" t="inlineStr">
        <is>
          <t>X</t>
        </is>
      </c>
      <c r="M3016" s="401" t="n"/>
      <c r="N3016" s="401" t="inlineStr">
        <is>
          <t>Pending</t>
        </is>
      </c>
      <c r="O3016" s="401" t="n"/>
      <c r="P3016" s="22" t="n"/>
      <c r="Q3016" s="401" t="n"/>
      <c r="R3016" s="401" t="n"/>
      <c r="S3016" s="22" t="n"/>
      <c r="T3016" s="390" t="n"/>
      <c r="U3016" s="390" t="inlineStr">
        <is>
          <t>Không có thông tin</t>
        </is>
      </c>
      <c r="V3016" s="22" t="n"/>
      <c r="W3016" s="22" t="n"/>
      <c r="X3016" s="22" t="n"/>
      <c r="Y3016" s="13" t="n"/>
      <c r="Z3016" s="22" t="n"/>
      <c r="AA3016" s="22" t="n"/>
      <c r="AB3016" s="22" t="n"/>
      <c r="AC3016" s="22" t="n"/>
      <c r="AD3016" s="22" t="n"/>
      <c r="AE3016" s="22" t="n"/>
    </row>
    <row r="3017" ht="84" customHeight="1" s="380">
      <c r="A3017" s="139" t="n">
        <v>121</v>
      </c>
      <c r="B3017" s="390" t="n"/>
      <c r="C3017" s="390" t="inlineStr">
        <is>
          <t>Báo cáo tình hình hoạt động năm - Chi nhánh công ty chứng khoán nước ngoài tại Việt Nam</t>
        </is>
      </c>
      <c r="D3017" s="390" t="inlineStr">
        <is>
          <t>Báo cáo hoạt động giám sát tuân thủ &gt;&gt; Vi phạm quy định về số lượng người hành nghề chứng khoán &gt;&gt; Số lần vi phạm trong năm</t>
        </is>
      </c>
      <c r="E3017" s="390" t="inlineStr">
        <is>
          <t>Báo cáo hoạt động giám sát tuân thủ &gt;&gt; Vi phạm quy định về số lượng người hành nghề chứng khoán &gt;&gt; Số lần vi phạm trong năm</t>
        </is>
      </c>
      <c r="F3017" s="390" t="inlineStr">
        <is>
          <t>Data Explorer</t>
        </is>
      </c>
      <c r="G3017" s="390" t="inlineStr">
        <is>
          <t>Chỉ tiêu cơ sở</t>
        </is>
      </c>
      <c r="H3017" s="390" t="inlineStr">
        <is>
          <t>TB</t>
        </is>
      </c>
      <c r="I3017" s="390" t="inlineStr">
        <is>
          <t>Ngày, CTCK</t>
        </is>
      </c>
      <c r="J3017" s="401" t="inlineStr">
        <is>
          <t>Thanh tra</t>
        </is>
      </c>
      <c r="K3017" s="401" t="n"/>
      <c r="L3017" s="401" t="inlineStr">
        <is>
          <t>X</t>
        </is>
      </c>
      <c r="M3017" s="401" t="n"/>
      <c r="N3017" s="401" t="inlineStr">
        <is>
          <t>Done</t>
        </is>
      </c>
      <c r="O3017" s="401" t="n"/>
      <c r="P3017" s="22" t="n"/>
      <c r="Q3017" s="401" t="n"/>
      <c r="R3017" s="401" t="n"/>
      <c r="S3017" s="22" t="n"/>
      <c r="T3017" s="389" t="inlineStr">
        <is>
          <t>SELECT CASE WHEN LOWER(d.NAME) LIKE '%số lượng người hành nghề chứng khoán%' THEN 'VP về số lượng NHNCK'
                        WHEN LOWER(d.NAME) LIKE '%chậm công bố thông tin%' THEN 'Chậm công bố thông tin'
                        WHEN LOWER(d.NAME) LIKE '%không công bố thông tin%' THEN 'Không công bố thông tin'
                        WHEN LOWER(d.NAME) LIKE '%nộp chậm báo cáo%' THEN 'Nộp chậm báo cáo'
                        WHEN LOWER(d.NAME) LIKE '%không nộp báo cáo%' THEN 'Không nộp báo cáo'
                        WHEN LOWER(d.NAME) LIKE '%văn bản quy phạm pháp luật%' THEN 'Thực hiện các văn bản quy phạm pháp luật'
                        WHEN LOWER(d.NAME) LIKE '%văn bản của UBCKNN%' THEN 'Thực hiện các văn bản của UBCKNN'
                ELSE NULL 
                END "Nội dung báo cáo",
a.DECISION_NUMBER "Số lần vi phạm trong năm",
e.NAME "Hình thức xử lý",
NULL "Ghi chú"
FROM INSPECT.PENALTY_DECISION a
LEFT JOIN INSPECT.PENALTY_DECISION_SUBJECT b ON a.ID = b.PENALTY_DECISION_ID 
LEFT JOIN INSPECT.PENALTY_DECISION_SUBJECT_BEHAVIOR c ON b.ID = c.PENALTY_DECISION_SUBJECT_ID 
LEFT JOIN INSPECT.VIOLATION_BEHAVIOR d ON c.VIOLATION_BEHAVIOR_ID = d.ID 
LEFT JOIN INSPECT.PENALTY_TYPE e ON c.PENALTY_TYPE_ID = e.ID
WHERE e.CATEGORY = 'PRIMARY_PENALTY'
GROUP BY CASE WHEN LOWER(d.NAME) LIKE '%số lượng người hành nghề chứng khoán%' THEN 'VP về số lượng NHNCK'
                        WHEN LOWER(d.NAME) LIKE '%chậm công bố thông tin%' THEN 'Chậm công bố thông tin'
                        WHEN LOWER(d.NAME) LIKE '%không công bố thông tin%' THEN 'Không công bố thông tin'
                        WHEN LOWER(d.NAME) LIKE '%nộp chậm báo cáo%' THEN 'Nộp chậm báo cáo'
                        WHEN LOWER(d.NAME) LIKE '%không nộp báo cáo%' THEN 'Không nộp báo cáo'
                        WHEN LOWER(d.NAME) LIKE '%văn bản quy phạm pháp luật%' THEN 'Thực hiện các văn bản quy phạm pháp luật'
                        WHEN LOWER(d.NAME) LIKE '%văn bản của UBCKNN%' THEN 'Thực hiện các văn bản của UBCKNN'
                ELSE NULL
                END,
                a.DECISION_NUMBER, e.NAME</t>
        </is>
      </c>
      <c r="U3017" s="390" t="n"/>
      <c r="V3017" s="22" t="n"/>
      <c r="W3017" s="22" t="n"/>
      <c r="X3017" s="22" t="n"/>
      <c r="Y3017" s="13" t="n"/>
      <c r="Z3017" s="22" t="n"/>
      <c r="AA3017" s="22" t="n"/>
      <c r="AB3017" s="22" t="n"/>
      <c r="AC3017" s="22" t="n"/>
      <c r="AD3017" s="22" t="n"/>
      <c r="AE3017" s="22" t="n"/>
    </row>
    <row r="3018" ht="70" customHeight="1" s="380">
      <c r="A3018" s="139" t="n">
        <v>121</v>
      </c>
      <c r="B3018" s="390" t="n"/>
      <c r="C3018" s="390" t="inlineStr">
        <is>
          <t>Báo cáo tình hình hoạt động năm - Chi nhánh công ty chứng khoán nước ngoài tại Việt Nam</t>
        </is>
      </c>
      <c r="D3018" s="390" t="inlineStr">
        <is>
          <t>Báo cáo hoạt động giám sát tuân thủ &gt;&gt; Vi phạm quy định về số lượng người hành nghề chứng khoán &gt;&gt; Hình thức xử lý</t>
        </is>
      </c>
      <c r="E3018" s="390" t="inlineStr">
        <is>
          <t>Báo cáo hoạt động giám sát tuân thủ &gt;&gt; Vi phạm quy định về số lượng người hành nghề chứng khoán &gt;&gt; Hình thức xử lý</t>
        </is>
      </c>
      <c r="F3018" s="390" t="inlineStr">
        <is>
          <t>Data Explorer</t>
        </is>
      </c>
      <c r="G3018" s="390" t="inlineStr">
        <is>
          <t>Chỉ tiêu cơ sở</t>
        </is>
      </c>
      <c r="H3018" s="390" t="inlineStr">
        <is>
          <t>TB</t>
        </is>
      </c>
      <c r="I3018" s="390" t="inlineStr">
        <is>
          <t>Ngày, CTCK</t>
        </is>
      </c>
      <c r="J3018" s="401" t="inlineStr">
        <is>
          <t>Thanh tra</t>
        </is>
      </c>
      <c r="K3018" s="401" t="n"/>
      <c r="L3018" s="401" t="inlineStr">
        <is>
          <t>X</t>
        </is>
      </c>
      <c r="M3018" s="401" t="n"/>
      <c r="N3018" s="401" t="inlineStr">
        <is>
          <t>Done</t>
        </is>
      </c>
      <c r="O3018" s="401" t="n"/>
      <c r="P3018" s="22" t="n"/>
      <c r="Q3018" s="401" t="n"/>
      <c r="R3018" s="401" t="n"/>
      <c r="S3018" s="22" t="n"/>
      <c r="U3018" s="390" t="n"/>
      <c r="V3018" s="22" t="n"/>
      <c r="W3018" s="22" t="n"/>
      <c r="X3018" s="22" t="n"/>
      <c r="Y3018" s="38" t="n"/>
      <c r="Z3018" s="22" t="n"/>
      <c r="AA3018" s="22" t="n"/>
      <c r="AB3018" s="22" t="n"/>
      <c r="AC3018" s="22" t="n"/>
      <c r="AD3018" s="22" t="n"/>
      <c r="AE3018" s="22" t="n"/>
    </row>
    <row r="3019" ht="70" customHeight="1" s="380">
      <c r="A3019" s="139" t="n">
        <v>121</v>
      </c>
      <c r="B3019" s="390" t="n"/>
      <c r="C3019" s="390" t="inlineStr">
        <is>
          <t>Báo cáo tình hình hoạt động năm - Chi nhánh công ty chứng khoán nước ngoài tại Việt Nam</t>
        </is>
      </c>
      <c r="D3019" s="390" t="inlineStr">
        <is>
          <t>Báo cáo hoạt động giám sát tuân thủ &gt;&gt; Vi phạm quy định về số lượng người hành nghề chứng khoán &gt;&gt; Ghi chú</t>
        </is>
      </c>
      <c r="E3019" s="390" t="inlineStr">
        <is>
          <t>Báo cáo hoạt động giám sát tuân thủ &gt;&gt; Vi phạm quy định về số lượng người hành nghề chứng khoán &gt;&gt; Ghi chú</t>
        </is>
      </c>
      <c r="F3019" s="390" t="inlineStr">
        <is>
          <t>Data Explorer</t>
        </is>
      </c>
      <c r="G3019" s="390" t="inlineStr">
        <is>
          <t>Chỉ tiêu cơ sở</t>
        </is>
      </c>
      <c r="H3019" s="390" t="inlineStr">
        <is>
          <t>TB</t>
        </is>
      </c>
      <c r="I3019" s="390" t="inlineStr">
        <is>
          <t>Ngày, CTCK</t>
        </is>
      </c>
      <c r="J3019" s="401" t="inlineStr">
        <is>
          <t>Thanh tra</t>
        </is>
      </c>
      <c r="K3019" s="401" t="n"/>
      <c r="L3019" s="401" t="inlineStr">
        <is>
          <t>X</t>
        </is>
      </c>
      <c r="M3019" s="401" t="n"/>
      <c r="N3019" s="401" t="inlineStr">
        <is>
          <t>Done</t>
        </is>
      </c>
      <c r="O3019" s="401" t="n"/>
      <c r="P3019" s="22" t="n"/>
      <c r="Q3019" s="401" t="n"/>
      <c r="R3019" s="401" t="n"/>
      <c r="S3019" s="22" t="n"/>
      <c r="U3019" s="390" t="n"/>
      <c r="V3019" s="22" t="n"/>
      <c r="W3019" s="22" t="n"/>
      <c r="X3019" s="22" t="n"/>
      <c r="Y3019" s="13" t="n"/>
      <c r="Z3019" s="22" t="n"/>
      <c r="AA3019" s="22" t="n"/>
      <c r="AB3019" s="22" t="n"/>
      <c r="AC3019" s="22" t="n"/>
      <c r="AD3019" s="22" t="n"/>
      <c r="AE3019" s="22" t="n"/>
    </row>
    <row r="3020" ht="84" customHeight="1" s="380">
      <c r="A3020" s="139" t="n">
        <v>121</v>
      </c>
      <c r="B3020" s="390" t="n"/>
      <c r="C3020" s="390" t="inlineStr">
        <is>
          <t>Báo cáo tình hình hoạt động năm - Chi nhánh công ty chứng khoán nước ngoài tại Việt Nam</t>
        </is>
      </c>
      <c r="D3020" s="390" t="inlineStr">
        <is>
          <t>Báo cáo hoạt động giám sát tuân thủ &gt;&gt; Vi phạm chế độ công bố thông tin &gt;&gt; Chậm công bố thông tin &gt;&gt; Số lần vi phạm trong năm</t>
        </is>
      </c>
      <c r="E3020" s="390" t="inlineStr">
        <is>
          <t>Báo cáo hoạt động giám sát tuân thủ &gt;&gt; Vi phạm chế độ công bố thông tin &gt;&gt; Chậm công bố thông tin &gt;&gt; Số lần vi phạm trong năm</t>
        </is>
      </c>
      <c r="F3020" s="390" t="inlineStr">
        <is>
          <t>Data Explorer</t>
        </is>
      </c>
      <c r="G3020" s="390" t="inlineStr">
        <is>
          <t>Chỉ tiêu cơ sở</t>
        </is>
      </c>
      <c r="H3020" s="390" t="inlineStr">
        <is>
          <t>TB</t>
        </is>
      </c>
      <c r="I3020" s="390" t="inlineStr">
        <is>
          <t>Ngày, CTCK</t>
        </is>
      </c>
      <c r="J3020" s="401" t="inlineStr">
        <is>
          <t>Thanh tra</t>
        </is>
      </c>
      <c r="K3020" s="401" t="n"/>
      <c r="L3020" s="401" t="inlineStr">
        <is>
          <t>X</t>
        </is>
      </c>
      <c r="M3020" s="401" t="n"/>
      <c r="N3020" s="401" t="inlineStr">
        <is>
          <t>Done</t>
        </is>
      </c>
      <c r="O3020" s="401" t="n"/>
      <c r="P3020" s="22" t="n"/>
      <c r="Q3020" s="401" t="n"/>
      <c r="R3020" s="401" t="n"/>
      <c r="S3020" s="22" t="n"/>
      <c r="U3020" s="390" t="n"/>
      <c r="V3020" s="22" t="n"/>
      <c r="W3020" s="22" t="n"/>
      <c r="X3020" s="22" t="n"/>
      <c r="Y3020" s="13" t="n"/>
      <c r="Z3020" s="22" t="n"/>
      <c r="AA3020" s="22" t="n"/>
      <c r="AB3020" s="22" t="n"/>
      <c r="AC3020" s="22" t="n"/>
      <c r="AD3020" s="22" t="n"/>
      <c r="AE3020" s="22" t="n"/>
    </row>
    <row r="3021" ht="70" customHeight="1" s="380">
      <c r="A3021" s="139" t="n">
        <v>121</v>
      </c>
      <c r="B3021" s="390" t="n"/>
      <c r="C3021" s="390" t="inlineStr">
        <is>
          <t>Báo cáo tình hình hoạt động năm - Chi nhánh công ty chứng khoán nước ngoài tại Việt Nam</t>
        </is>
      </c>
      <c r="D3021" s="390" t="inlineStr">
        <is>
          <t>Báo cáo hoạt động giám sát tuân thủ &gt;&gt; Vi phạm chế độ công bố thông tin &gt;&gt; Chậm công bố thông tin &gt;&gt; Hình thức xử lý</t>
        </is>
      </c>
      <c r="E3021" s="390" t="inlineStr">
        <is>
          <t>Báo cáo hoạt động giám sát tuân thủ &gt;&gt; Vi phạm chế độ công bố thông tin &gt;&gt; Chậm công bố thông tin &gt;&gt; Hình thức xử lý</t>
        </is>
      </c>
      <c r="F3021" s="390" t="inlineStr">
        <is>
          <t>Data Explorer</t>
        </is>
      </c>
      <c r="G3021" s="390" t="inlineStr">
        <is>
          <t>Chỉ tiêu cơ sở</t>
        </is>
      </c>
      <c r="H3021" s="390" t="inlineStr">
        <is>
          <t>TB</t>
        </is>
      </c>
      <c r="I3021" s="390" t="inlineStr">
        <is>
          <t>Ngày, CTCK</t>
        </is>
      </c>
      <c r="J3021" s="401" t="inlineStr">
        <is>
          <t>Thanh tra</t>
        </is>
      </c>
      <c r="K3021" s="401" t="n"/>
      <c r="L3021" s="401" t="inlineStr">
        <is>
          <t>X</t>
        </is>
      </c>
      <c r="M3021" s="401" t="n"/>
      <c r="N3021" s="401" t="inlineStr">
        <is>
          <t>Done</t>
        </is>
      </c>
      <c r="O3021" s="401" t="n"/>
      <c r="P3021" s="22" t="n"/>
      <c r="Q3021" s="401" t="n"/>
      <c r="R3021" s="401" t="n"/>
      <c r="S3021" s="22" t="n"/>
      <c r="U3021" s="390" t="n"/>
      <c r="V3021" s="22" t="n"/>
      <c r="W3021" s="22" t="n"/>
      <c r="X3021" s="22" t="n"/>
      <c r="Y3021" s="13" t="n"/>
      <c r="Z3021" s="22" t="n"/>
      <c r="AA3021" s="22" t="n"/>
      <c r="AB3021" s="22" t="n"/>
      <c r="AC3021" s="22" t="n"/>
      <c r="AD3021" s="22" t="n"/>
      <c r="AE3021" s="22" t="n"/>
    </row>
    <row r="3022" ht="70" customHeight="1" s="380">
      <c r="A3022" s="139" t="n">
        <v>121</v>
      </c>
      <c r="B3022" s="390" t="n"/>
      <c r="C3022" s="390" t="inlineStr">
        <is>
          <t>Báo cáo tình hình hoạt động năm - Chi nhánh công ty chứng khoán nước ngoài tại Việt Nam</t>
        </is>
      </c>
      <c r="D3022" s="390" t="inlineStr">
        <is>
          <t>Báo cáo hoạt động giám sát tuân thủ &gt;&gt; Vi phạm chế độ công bố thông tin &gt;&gt; Chậm công bố thông tin &gt;&gt; Ghi chú</t>
        </is>
      </c>
      <c r="E3022" s="390" t="inlineStr">
        <is>
          <t>Báo cáo hoạt động giám sát tuân thủ &gt;&gt; Vi phạm chế độ công bố thông tin &gt;&gt; Chậm công bố thông tin &gt;&gt; Ghi chú</t>
        </is>
      </c>
      <c r="F3022" s="390" t="inlineStr">
        <is>
          <t>Data Explorer</t>
        </is>
      </c>
      <c r="G3022" s="390" t="inlineStr">
        <is>
          <t>Chỉ tiêu cơ sở</t>
        </is>
      </c>
      <c r="H3022" s="390" t="inlineStr">
        <is>
          <t>TB</t>
        </is>
      </c>
      <c r="I3022" s="390" t="inlineStr">
        <is>
          <t>Ngày, CTCK</t>
        </is>
      </c>
      <c r="J3022" s="401" t="inlineStr">
        <is>
          <t>Thanh tra</t>
        </is>
      </c>
      <c r="K3022" s="401" t="n"/>
      <c r="L3022" s="401" t="inlineStr">
        <is>
          <t>X</t>
        </is>
      </c>
      <c r="M3022" s="401" t="n"/>
      <c r="N3022" s="401" t="inlineStr">
        <is>
          <t>Done</t>
        </is>
      </c>
      <c r="O3022" s="401" t="n"/>
      <c r="P3022" s="22" t="n"/>
      <c r="Q3022" s="401" t="n"/>
      <c r="R3022" s="401" t="n"/>
      <c r="S3022" s="22" t="n"/>
      <c r="U3022" s="390" t="n"/>
      <c r="V3022" s="22" t="n"/>
      <c r="W3022" s="22" t="n"/>
      <c r="X3022" s="22" t="n"/>
      <c r="Y3022" s="13" t="n"/>
      <c r="Z3022" s="22" t="n"/>
      <c r="AA3022" s="22" t="n"/>
      <c r="AB3022" s="22" t="n"/>
      <c r="AC3022" s="22" t="n"/>
      <c r="AD3022" s="22" t="n"/>
      <c r="AE3022" s="22" t="n"/>
    </row>
    <row r="3023" ht="84" customHeight="1" s="380">
      <c r="A3023" s="139" t="n">
        <v>121</v>
      </c>
      <c r="B3023" s="390" t="n"/>
      <c r="C3023" s="390" t="inlineStr">
        <is>
          <t>Báo cáo tình hình hoạt động năm - Chi nhánh công ty chứng khoán nước ngoài tại Việt Nam</t>
        </is>
      </c>
      <c r="D3023" s="390" t="inlineStr">
        <is>
          <t>Báo cáo hoạt động giám sát tuân thủ &gt;&gt; Vi phạm chế độ công bố thông tin &gt;&gt; Không công bố thông tin &gt;&gt; Số lần vi phạm trong năm</t>
        </is>
      </c>
      <c r="E3023" s="390" t="inlineStr">
        <is>
          <t>Báo cáo hoạt động giám sát tuân thủ &gt;&gt; Vi phạm chế độ công bố thông tin &gt;&gt; Không công bố thông tin &gt;&gt; Số lần vi phạm trong năm</t>
        </is>
      </c>
      <c r="F3023" s="390" t="inlineStr">
        <is>
          <t>Data Explorer</t>
        </is>
      </c>
      <c r="G3023" s="390" t="inlineStr">
        <is>
          <t>Chỉ tiêu cơ sở</t>
        </is>
      </c>
      <c r="H3023" s="390" t="inlineStr">
        <is>
          <t>TB</t>
        </is>
      </c>
      <c r="I3023" s="390" t="inlineStr">
        <is>
          <t>Ngày, CTCK</t>
        </is>
      </c>
      <c r="J3023" s="401" t="inlineStr">
        <is>
          <t>Thanh tra</t>
        </is>
      </c>
      <c r="K3023" s="401" t="n"/>
      <c r="L3023" s="401" t="inlineStr">
        <is>
          <t>X</t>
        </is>
      </c>
      <c r="M3023" s="401" t="n"/>
      <c r="N3023" s="401" t="inlineStr">
        <is>
          <t>Done</t>
        </is>
      </c>
      <c r="O3023" s="401" t="n"/>
      <c r="P3023" s="22" t="n"/>
      <c r="Q3023" s="401" t="n"/>
      <c r="R3023" s="401" t="n"/>
      <c r="S3023" s="22" t="n"/>
      <c r="U3023" s="390" t="n"/>
      <c r="V3023" s="22" t="n"/>
      <c r="W3023" s="22" t="n"/>
      <c r="X3023" s="22" t="n"/>
      <c r="Y3023" s="13" t="n"/>
      <c r="Z3023" s="22" t="n"/>
      <c r="AA3023" s="22" t="n"/>
      <c r="AB3023" s="22" t="n"/>
      <c r="AC3023" s="22" t="n"/>
      <c r="AD3023" s="22" t="n"/>
      <c r="AE3023" s="22" t="n"/>
    </row>
    <row r="3024" ht="70" customHeight="1" s="380">
      <c r="A3024" s="139" t="n">
        <v>121</v>
      </c>
      <c r="B3024" s="390" t="n"/>
      <c r="C3024" s="390" t="inlineStr">
        <is>
          <t>Báo cáo tình hình hoạt động năm - Chi nhánh công ty chứng khoán nước ngoài tại Việt Nam</t>
        </is>
      </c>
      <c r="D3024" s="390" t="inlineStr">
        <is>
          <t>Báo cáo hoạt động giám sát tuân thủ &gt;&gt; Vi phạm chế độ công bố thông tin &gt;&gt; Không công bố thông tin &gt;&gt; Hình thức xử lý</t>
        </is>
      </c>
      <c r="E3024" s="390" t="inlineStr">
        <is>
          <t>Báo cáo hoạt động giám sát tuân thủ &gt;&gt; Vi phạm chế độ công bố thông tin &gt;&gt; Không công bố thông tin &gt;&gt; Hình thức xử lý</t>
        </is>
      </c>
      <c r="F3024" s="390" t="inlineStr">
        <is>
          <t>Data Explorer</t>
        </is>
      </c>
      <c r="G3024" s="390" t="inlineStr">
        <is>
          <t>Chỉ tiêu cơ sở</t>
        </is>
      </c>
      <c r="H3024" s="390" t="inlineStr">
        <is>
          <t>TB</t>
        </is>
      </c>
      <c r="I3024" s="390" t="inlineStr">
        <is>
          <t>Ngày, CTCK</t>
        </is>
      </c>
      <c r="J3024" s="401" t="inlineStr">
        <is>
          <t>Thanh tra</t>
        </is>
      </c>
      <c r="K3024" s="401" t="n"/>
      <c r="L3024" s="401" t="inlineStr">
        <is>
          <t>X</t>
        </is>
      </c>
      <c r="M3024" s="401" t="n"/>
      <c r="N3024" s="401" t="inlineStr">
        <is>
          <t>Done</t>
        </is>
      </c>
      <c r="O3024" s="401" t="n"/>
      <c r="P3024" s="22" t="n"/>
      <c r="Q3024" s="401" t="n"/>
      <c r="R3024" s="401" t="n"/>
      <c r="S3024" s="22" t="n"/>
      <c r="U3024" s="390" t="n"/>
      <c r="V3024" s="22" t="n"/>
      <c r="W3024" s="22" t="n"/>
      <c r="X3024" s="22" t="n"/>
      <c r="Y3024" s="38" t="n"/>
      <c r="Z3024" s="22" t="n"/>
      <c r="AA3024" s="22" t="n"/>
      <c r="AB3024" s="22" t="n"/>
      <c r="AC3024" s="22" t="n"/>
      <c r="AD3024" s="22" t="n"/>
      <c r="AE3024" s="22" t="n"/>
    </row>
    <row r="3025" ht="70" customHeight="1" s="380">
      <c r="A3025" s="139" t="n">
        <v>121</v>
      </c>
      <c r="B3025" s="390" t="n"/>
      <c r="C3025" s="390" t="inlineStr">
        <is>
          <t>Báo cáo tình hình hoạt động năm - Chi nhánh công ty chứng khoán nước ngoài tại Việt Nam</t>
        </is>
      </c>
      <c r="D3025" s="390" t="inlineStr">
        <is>
          <t>Báo cáo hoạt động giám sát tuân thủ &gt;&gt; Vi phạm chế độ công bố thông tin &gt;&gt; Không công bố thông tin &gt;&gt; Ghi chú</t>
        </is>
      </c>
      <c r="E3025" s="390" t="inlineStr">
        <is>
          <t>Báo cáo hoạt động giám sát tuân thủ &gt;&gt; Vi phạm chế độ công bố thông tin &gt;&gt; Không công bố thông tin &gt;&gt; Ghi chú</t>
        </is>
      </c>
      <c r="F3025" s="390" t="inlineStr">
        <is>
          <t>Data Explorer</t>
        </is>
      </c>
      <c r="G3025" s="390" t="inlineStr">
        <is>
          <t>Chỉ tiêu cơ sở</t>
        </is>
      </c>
      <c r="H3025" s="390" t="inlineStr">
        <is>
          <t>TB</t>
        </is>
      </c>
      <c r="I3025" s="390" t="inlineStr">
        <is>
          <t>Ngày, CTCK</t>
        </is>
      </c>
      <c r="J3025" s="401" t="inlineStr">
        <is>
          <t>Thanh tra</t>
        </is>
      </c>
      <c r="K3025" s="401" t="n"/>
      <c r="L3025" s="401" t="inlineStr">
        <is>
          <t>X</t>
        </is>
      </c>
      <c r="M3025" s="401" t="n"/>
      <c r="N3025" s="401" t="inlineStr">
        <is>
          <t>Done</t>
        </is>
      </c>
      <c r="O3025" s="401" t="n"/>
      <c r="P3025" s="22" t="n"/>
      <c r="Q3025" s="401" t="n"/>
      <c r="R3025" s="401" t="n"/>
      <c r="S3025" s="22" t="n"/>
      <c r="U3025" s="390" t="n"/>
      <c r="V3025" s="22" t="n"/>
      <c r="W3025" s="22" t="n"/>
      <c r="X3025" s="22" t="n"/>
      <c r="Y3025" s="13" t="n"/>
      <c r="Z3025" s="22" t="n"/>
      <c r="AA3025" s="22" t="n"/>
      <c r="AB3025" s="22" t="n"/>
      <c r="AC3025" s="22" t="n"/>
      <c r="AD3025" s="22" t="n"/>
      <c r="AE3025" s="22" t="n"/>
    </row>
    <row r="3026" ht="70" customHeight="1" s="380">
      <c r="A3026" s="139" t="n">
        <v>121</v>
      </c>
      <c r="B3026" s="390" t="n"/>
      <c r="C3026" s="390" t="inlineStr">
        <is>
          <t>Báo cáo tình hình hoạt động năm - Chi nhánh công ty chứng khoán nước ngoài tại Việt Nam</t>
        </is>
      </c>
      <c r="D3026" s="390" t="inlineStr">
        <is>
          <t>Báo cáo hoạt động giám sát tuân thủ &gt;&gt; Vi phạm chế độ báo cáo &gt;&gt; Nộp chậm báo cáo &gt;&gt; Số lần vi phạm trong năm</t>
        </is>
      </c>
      <c r="E3026" s="390" t="inlineStr">
        <is>
          <t>Báo cáo hoạt động giám sát tuân thủ &gt;&gt; Vi phạm chế độ báo cáo &gt;&gt; Nộp chậm báo cáo &gt;&gt; Số lần vi phạm trong năm</t>
        </is>
      </c>
      <c r="F3026" s="390" t="inlineStr">
        <is>
          <t>Data Explorer</t>
        </is>
      </c>
      <c r="G3026" s="390" t="inlineStr">
        <is>
          <t>Chỉ tiêu cơ sở</t>
        </is>
      </c>
      <c r="H3026" s="390" t="inlineStr">
        <is>
          <t>TB</t>
        </is>
      </c>
      <c r="I3026" s="390" t="inlineStr">
        <is>
          <t>Ngày, CTCK</t>
        </is>
      </c>
      <c r="J3026" s="401" t="inlineStr">
        <is>
          <t>Thanh tra</t>
        </is>
      </c>
      <c r="K3026" s="401" t="n"/>
      <c r="L3026" s="401" t="inlineStr">
        <is>
          <t>X</t>
        </is>
      </c>
      <c r="M3026" s="401" t="n"/>
      <c r="N3026" s="401" t="inlineStr">
        <is>
          <t>Done</t>
        </is>
      </c>
      <c r="O3026" s="401" t="n"/>
      <c r="P3026" s="22" t="n"/>
      <c r="Q3026" s="401" t="n"/>
      <c r="R3026" s="401" t="n"/>
      <c r="S3026" s="22" t="n"/>
      <c r="U3026" s="390" t="n"/>
      <c r="V3026" s="22" t="n"/>
      <c r="W3026" s="22" t="n"/>
      <c r="X3026" s="22" t="n"/>
      <c r="Y3026" s="13" t="n"/>
      <c r="Z3026" s="22" t="n"/>
      <c r="AA3026" s="22" t="n"/>
      <c r="AB3026" s="22" t="n"/>
      <c r="AC3026" s="22" t="n"/>
      <c r="AD3026" s="22" t="n"/>
      <c r="AE3026" s="22" t="n"/>
    </row>
    <row r="3027" ht="70" customHeight="1" s="380">
      <c r="A3027" s="139" t="n">
        <v>121</v>
      </c>
      <c r="B3027" s="390" t="n"/>
      <c r="C3027" s="390" t="inlineStr">
        <is>
          <t>Báo cáo tình hình hoạt động năm - Chi nhánh công ty chứng khoán nước ngoài tại Việt Nam</t>
        </is>
      </c>
      <c r="D3027" s="390" t="inlineStr">
        <is>
          <t>Báo cáo hoạt động giám sát tuân thủ &gt;&gt; Vi phạm chế độ báo cáo &gt;&gt; Nộp chậm báo cáo &gt;&gt; Hình thức xử lý</t>
        </is>
      </c>
      <c r="E3027" s="390" t="inlineStr">
        <is>
          <t>Báo cáo hoạt động giám sát tuân thủ &gt;&gt; Vi phạm chế độ báo cáo &gt;&gt; Nộp chậm báo cáo &gt;&gt; Hình thức xử lý</t>
        </is>
      </c>
      <c r="F3027" s="390" t="inlineStr">
        <is>
          <t>Data Explorer</t>
        </is>
      </c>
      <c r="G3027" s="390" t="inlineStr">
        <is>
          <t>Chỉ tiêu cơ sở</t>
        </is>
      </c>
      <c r="H3027" s="390" t="inlineStr">
        <is>
          <t>TB</t>
        </is>
      </c>
      <c r="I3027" s="390" t="inlineStr">
        <is>
          <t>Ngày, CTCK</t>
        </is>
      </c>
      <c r="J3027" s="401" t="inlineStr">
        <is>
          <t>Thanh tra</t>
        </is>
      </c>
      <c r="K3027" s="401" t="n"/>
      <c r="L3027" s="401" t="inlineStr">
        <is>
          <t>X</t>
        </is>
      </c>
      <c r="M3027" s="401" t="n"/>
      <c r="N3027" s="401" t="inlineStr">
        <is>
          <t>Done</t>
        </is>
      </c>
      <c r="O3027" s="401" t="n"/>
      <c r="P3027" s="22" t="n"/>
      <c r="Q3027" s="401" t="n"/>
      <c r="R3027" s="401" t="n"/>
      <c r="S3027" s="22" t="n"/>
      <c r="U3027" s="390" t="n"/>
      <c r="V3027" s="22" t="n"/>
      <c r="W3027" s="22" t="n"/>
      <c r="X3027" s="22" t="n"/>
      <c r="Y3027" s="13" t="n"/>
      <c r="Z3027" s="22" t="n"/>
      <c r="AA3027" s="22" t="n"/>
      <c r="AB3027" s="22" t="n"/>
      <c r="AC3027" s="22" t="n"/>
      <c r="AD3027" s="22" t="n"/>
      <c r="AE3027" s="22" t="n"/>
    </row>
    <row r="3028" ht="56" customHeight="1" s="380">
      <c r="A3028" s="139" t="n">
        <v>121</v>
      </c>
      <c r="B3028" s="390" t="n"/>
      <c r="C3028" s="390" t="inlineStr">
        <is>
          <t>Báo cáo tình hình hoạt động năm - Chi nhánh công ty chứng khoán nước ngoài tại Việt Nam</t>
        </is>
      </c>
      <c r="D3028" s="390" t="inlineStr">
        <is>
          <t>Báo cáo hoạt động giám sát tuân thủ &gt;&gt; Vi phạm chế độ báo cáo &gt;&gt; Nộp chậm báo cáo &gt;&gt; Ghi chú</t>
        </is>
      </c>
      <c r="E3028" s="390" t="inlineStr">
        <is>
          <t>Báo cáo hoạt động giám sát tuân thủ &gt;&gt; Vi phạm chế độ báo cáo &gt;&gt; Nộp chậm báo cáo &gt;&gt; Ghi chú</t>
        </is>
      </c>
      <c r="F3028" s="390" t="inlineStr">
        <is>
          <t>Data Explorer</t>
        </is>
      </c>
      <c r="G3028" s="390" t="inlineStr">
        <is>
          <t>Chỉ tiêu cơ sở</t>
        </is>
      </c>
      <c r="H3028" s="390" t="inlineStr">
        <is>
          <t>TB</t>
        </is>
      </c>
      <c r="I3028" s="390" t="inlineStr">
        <is>
          <t>Ngày, CTCK</t>
        </is>
      </c>
      <c r="J3028" s="401" t="inlineStr">
        <is>
          <t>Thanh tra</t>
        </is>
      </c>
      <c r="K3028" s="401" t="n"/>
      <c r="L3028" s="401" t="inlineStr">
        <is>
          <t>X</t>
        </is>
      </c>
      <c r="M3028" s="401" t="n"/>
      <c r="N3028" s="401" t="inlineStr">
        <is>
          <t>Done</t>
        </is>
      </c>
      <c r="O3028" s="401" t="n"/>
      <c r="P3028" s="22" t="n"/>
      <c r="Q3028" s="401" t="n"/>
      <c r="R3028" s="401" t="n"/>
      <c r="S3028" s="22" t="n"/>
      <c r="U3028" s="390" t="n"/>
      <c r="V3028" s="22" t="n"/>
      <c r="W3028" s="22" t="n"/>
      <c r="X3028" s="22" t="n"/>
      <c r="Y3028" s="13" t="n"/>
      <c r="Z3028" s="22" t="n"/>
      <c r="AA3028" s="22" t="n"/>
      <c r="AB3028" s="22" t="n"/>
      <c r="AC3028" s="22" t="n"/>
      <c r="AD3028" s="22" t="n"/>
      <c r="AE3028" s="22" t="n"/>
    </row>
    <row r="3029" ht="70" customHeight="1" s="380">
      <c r="A3029" s="139" t="n">
        <v>121</v>
      </c>
      <c r="B3029" s="390" t="n"/>
      <c r="C3029" s="390" t="inlineStr">
        <is>
          <t>Báo cáo tình hình hoạt động năm - Chi nhánh công ty chứng khoán nước ngoài tại Việt Nam</t>
        </is>
      </c>
      <c r="D3029" s="390" t="inlineStr">
        <is>
          <t>Báo cáo hoạt động giám sát tuân thủ &gt;&gt; Vi phạm chế độ báo cáo &gt;&gt; Không nộp báo cáo &gt;&gt; Số lần vi phạm trong năm</t>
        </is>
      </c>
      <c r="E3029" s="390" t="inlineStr">
        <is>
          <t>Báo cáo hoạt động giám sát tuân thủ &gt;&gt; Vi phạm chế độ báo cáo &gt;&gt; Không nộp báo cáo &gt;&gt; Số lần vi phạm trong năm</t>
        </is>
      </c>
      <c r="F3029" s="390" t="inlineStr">
        <is>
          <t>Data Explorer</t>
        </is>
      </c>
      <c r="G3029" s="390" t="inlineStr">
        <is>
          <t>Chỉ tiêu cơ sở</t>
        </is>
      </c>
      <c r="H3029" s="390" t="inlineStr">
        <is>
          <t>TB</t>
        </is>
      </c>
      <c r="I3029" s="390" t="inlineStr">
        <is>
          <t>Ngày, CTCK</t>
        </is>
      </c>
      <c r="J3029" s="401" t="inlineStr">
        <is>
          <t>Thanh tra</t>
        </is>
      </c>
      <c r="K3029" s="401" t="n"/>
      <c r="L3029" s="401" t="inlineStr">
        <is>
          <t>X</t>
        </is>
      </c>
      <c r="M3029" s="401" t="n"/>
      <c r="N3029" s="401" t="inlineStr">
        <is>
          <t>Done</t>
        </is>
      </c>
      <c r="O3029" s="401" t="n"/>
      <c r="P3029" s="22" t="n"/>
      <c r="Q3029" s="401" t="n"/>
      <c r="R3029" s="401" t="n"/>
      <c r="S3029" s="22" t="n"/>
      <c r="U3029" s="390" t="n"/>
      <c r="V3029" s="22" t="n"/>
      <c r="W3029" s="22" t="n"/>
      <c r="X3029" s="22" t="n"/>
      <c r="Y3029" s="13" t="n"/>
      <c r="Z3029" s="22" t="n"/>
      <c r="AA3029" s="22" t="n"/>
      <c r="AB3029" s="22" t="n"/>
      <c r="AC3029" s="22" t="n"/>
      <c r="AD3029" s="22" t="n"/>
      <c r="AE3029" s="22" t="n"/>
    </row>
    <row r="3030" ht="70" customHeight="1" s="380">
      <c r="A3030" s="139" t="n">
        <v>121</v>
      </c>
      <c r="B3030" s="390" t="n"/>
      <c r="C3030" s="390" t="inlineStr">
        <is>
          <t>Báo cáo tình hình hoạt động năm - Chi nhánh công ty chứng khoán nước ngoài tại Việt Nam</t>
        </is>
      </c>
      <c r="D3030" s="390" t="inlineStr">
        <is>
          <t>Báo cáo hoạt động giám sát tuân thủ &gt;&gt; Vi phạm chế độ báo cáo &gt;&gt; Không nộp báo cáo &gt;&gt; Hình thức xử lý</t>
        </is>
      </c>
      <c r="E3030" s="390" t="inlineStr">
        <is>
          <t>Báo cáo hoạt động giám sát tuân thủ &gt;&gt; Vi phạm chế độ báo cáo &gt;&gt; Không nộp báo cáo &gt;&gt; Hình thức xử lý</t>
        </is>
      </c>
      <c r="F3030" s="390" t="inlineStr">
        <is>
          <t>Data Explorer</t>
        </is>
      </c>
      <c r="G3030" s="390" t="inlineStr">
        <is>
          <t>Chỉ tiêu cơ sở</t>
        </is>
      </c>
      <c r="H3030" s="390" t="inlineStr">
        <is>
          <t>TB</t>
        </is>
      </c>
      <c r="I3030" s="390" t="inlineStr">
        <is>
          <t>Ngày, CTCK</t>
        </is>
      </c>
      <c r="J3030" s="401" t="inlineStr">
        <is>
          <t>Thanh tra</t>
        </is>
      </c>
      <c r="K3030" s="401" t="n"/>
      <c r="L3030" s="401" t="inlineStr">
        <is>
          <t>X</t>
        </is>
      </c>
      <c r="M3030" s="401" t="n"/>
      <c r="N3030" s="401" t="inlineStr">
        <is>
          <t>Done</t>
        </is>
      </c>
      <c r="O3030" s="401" t="n"/>
      <c r="P3030" s="22" t="n"/>
      <c r="Q3030" s="401" t="n"/>
      <c r="R3030" s="401" t="n"/>
      <c r="S3030" s="22" t="n"/>
      <c r="U3030" s="390" t="n"/>
      <c r="V3030" s="22" t="n"/>
      <c r="W3030" s="22" t="n"/>
      <c r="X3030" s="22" t="n"/>
      <c r="Y3030" s="14" t="n"/>
      <c r="Z3030" s="22" t="n"/>
      <c r="AA3030" s="22" t="n"/>
      <c r="AB3030" s="22" t="n"/>
      <c r="AC3030" s="22" t="n"/>
      <c r="AD3030" s="22" t="n"/>
      <c r="AE3030" s="22" t="n"/>
    </row>
    <row r="3031" ht="70" customHeight="1" s="380">
      <c r="A3031" s="139" t="n">
        <v>121</v>
      </c>
      <c r="B3031" s="390" t="n"/>
      <c r="C3031" s="390" t="inlineStr">
        <is>
          <t>Báo cáo tình hình hoạt động năm - Chi nhánh công ty chứng khoán nước ngoài tại Việt Nam</t>
        </is>
      </c>
      <c r="D3031" s="390" t="inlineStr">
        <is>
          <t>Báo cáo hoạt động giám sát tuân thủ &gt;&gt; Vi phạm chế độ báo cáo &gt;&gt; Không nộp báo cáo &gt;&gt; Ghi chú</t>
        </is>
      </c>
      <c r="E3031" s="390" t="inlineStr">
        <is>
          <t>Báo cáo hoạt động giám sát tuân thủ &gt;&gt; Vi phạm chế độ báo cáo &gt;&gt; Không nộp báo cáo &gt;&gt; Ghi chú</t>
        </is>
      </c>
      <c r="F3031" s="390" t="inlineStr">
        <is>
          <t>Data Explorer</t>
        </is>
      </c>
      <c r="G3031" s="390" t="inlineStr">
        <is>
          <t>Chỉ tiêu cơ sở</t>
        </is>
      </c>
      <c r="H3031" s="390" t="inlineStr">
        <is>
          <t>TB</t>
        </is>
      </c>
      <c r="I3031" s="390" t="inlineStr">
        <is>
          <t>Ngày, CTCK</t>
        </is>
      </c>
      <c r="J3031" s="401" t="inlineStr">
        <is>
          <t>Thanh tra</t>
        </is>
      </c>
      <c r="K3031" s="401" t="n"/>
      <c r="L3031" s="401" t="inlineStr">
        <is>
          <t>X</t>
        </is>
      </c>
      <c r="M3031" s="401" t="n"/>
      <c r="N3031" s="401" t="inlineStr">
        <is>
          <t>Done</t>
        </is>
      </c>
      <c r="O3031" s="401" t="n"/>
      <c r="P3031" s="22" t="n"/>
      <c r="Q3031" s="401" t="n"/>
      <c r="R3031" s="401" t="n"/>
      <c r="S3031" s="22" t="n"/>
      <c r="U3031" s="390" t="n"/>
      <c r="V3031" s="22" t="n"/>
      <c r="W3031" s="22" t="n"/>
      <c r="X3031" s="22" t="n"/>
      <c r="Y3031" s="13" t="n"/>
      <c r="Z3031" s="22" t="n"/>
      <c r="AA3031" s="22" t="n"/>
      <c r="AB3031" s="22" t="n"/>
      <c r="AC3031" s="22" t="n"/>
      <c r="AD3031" s="22" t="n"/>
      <c r="AE3031" s="22" t="n"/>
    </row>
    <row r="3032" ht="98" customHeight="1" s="380">
      <c r="A3032" s="139" t="n">
        <v>121</v>
      </c>
      <c r="B3032" s="390" t="n"/>
      <c r="C3032" s="390" t="inlineStr">
        <is>
          <t>Báo cáo tình hình hoạt động năm - Chi nhánh công ty chứng khoán nước ngoài tại Việt Nam</t>
        </is>
      </c>
      <c r="D3032" s="390" t="inlineStr">
        <is>
          <t>Báo cáo hoạt động giám sát tuân thủ &gt;&gt; Về hoạt động giám sát tuân thủ &gt;&gt; Thực hiện các văn bản quy phạm pháp luật &gt;&gt; Số lần vi phạm trong năm</t>
        </is>
      </c>
      <c r="E3032" s="390" t="inlineStr">
        <is>
          <t>Báo cáo hoạt động giám sát tuân thủ &gt;&gt; Về hoạt động giám sát tuân thủ &gt;&gt; Thực hiện các văn bản quy phạm pháp luật &gt;&gt; Số lần vi phạm trong năm</t>
        </is>
      </c>
      <c r="F3032" s="390" t="inlineStr">
        <is>
          <t>Data Explorer</t>
        </is>
      </c>
      <c r="G3032" s="390" t="inlineStr">
        <is>
          <t>Chỉ tiêu cơ sở</t>
        </is>
      </c>
      <c r="H3032" s="390" t="inlineStr">
        <is>
          <t>TB</t>
        </is>
      </c>
      <c r="I3032" s="390" t="inlineStr">
        <is>
          <t>Ngày, CTCK</t>
        </is>
      </c>
      <c r="J3032" s="401" t="inlineStr">
        <is>
          <t>Thanh tra</t>
        </is>
      </c>
      <c r="K3032" s="401" t="n"/>
      <c r="L3032" s="401" t="inlineStr">
        <is>
          <t>X</t>
        </is>
      </c>
      <c r="M3032" s="401" t="n"/>
      <c r="N3032" s="401" t="inlineStr">
        <is>
          <t>Done</t>
        </is>
      </c>
      <c r="O3032" s="401" t="n"/>
      <c r="P3032" s="22" t="n"/>
      <c r="Q3032" s="401" t="n"/>
      <c r="R3032" s="401" t="n"/>
      <c r="S3032" s="22" t="n"/>
      <c r="U3032" s="390" t="n"/>
      <c r="V3032" s="22" t="n"/>
      <c r="W3032" s="22" t="n"/>
      <c r="X3032" s="22" t="n"/>
      <c r="Y3032" s="13" t="n"/>
      <c r="Z3032" s="22" t="n"/>
      <c r="AA3032" s="22" t="n"/>
      <c r="AB3032" s="22" t="n"/>
      <c r="AC3032" s="22" t="n"/>
      <c r="AD3032" s="22" t="n"/>
      <c r="AE3032" s="22" t="n"/>
    </row>
    <row r="3033" ht="84" customHeight="1" s="380">
      <c r="A3033" s="139" t="n">
        <v>121</v>
      </c>
      <c r="B3033" s="390" t="n"/>
      <c r="C3033" s="390" t="inlineStr">
        <is>
          <t>Báo cáo tình hình hoạt động năm - Chi nhánh công ty chứng khoán nước ngoài tại Việt Nam</t>
        </is>
      </c>
      <c r="D3033" s="390" t="inlineStr">
        <is>
          <t>Báo cáo hoạt động giám sát tuân thủ &gt;&gt; Về hoạt động giám sát tuân thủ &gt;&gt; Thực hiện các văn bản quy phạm pháp luật &gt;&gt; Hình thức xử lý</t>
        </is>
      </c>
      <c r="E3033" s="390" t="inlineStr">
        <is>
          <t>Báo cáo hoạt động giám sát tuân thủ &gt;&gt; Về hoạt động giám sát tuân thủ &gt;&gt; Thực hiện các văn bản quy phạm pháp luật &gt;&gt; Hình thức xử lý</t>
        </is>
      </c>
      <c r="F3033" s="390" t="inlineStr">
        <is>
          <t>Data Explorer</t>
        </is>
      </c>
      <c r="G3033" s="390" t="inlineStr">
        <is>
          <t>Chỉ tiêu cơ sở</t>
        </is>
      </c>
      <c r="H3033" s="390" t="inlineStr">
        <is>
          <t>TB</t>
        </is>
      </c>
      <c r="I3033" s="390" t="inlineStr">
        <is>
          <t>Ngày, CTCK</t>
        </is>
      </c>
      <c r="J3033" s="401" t="inlineStr">
        <is>
          <t>Thanh tra</t>
        </is>
      </c>
      <c r="K3033" s="401" t="n"/>
      <c r="L3033" s="401" t="inlineStr">
        <is>
          <t>X</t>
        </is>
      </c>
      <c r="M3033" s="401" t="n"/>
      <c r="N3033" s="401" t="inlineStr">
        <is>
          <t>Done</t>
        </is>
      </c>
      <c r="O3033" s="401" t="n"/>
      <c r="P3033" s="22" t="n"/>
      <c r="Q3033" s="401" t="n"/>
      <c r="R3033" s="401" t="n"/>
      <c r="S3033" s="22" t="n"/>
      <c r="U3033" s="390" t="n"/>
      <c r="V3033" s="22" t="n"/>
      <c r="W3033" s="22" t="n"/>
      <c r="X3033" s="22" t="n"/>
      <c r="Y3033" s="13" t="n"/>
      <c r="Z3033" s="22" t="n"/>
      <c r="AA3033" s="22" t="n"/>
      <c r="AB3033" s="22" t="n"/>
      <c r="AC3033" s="22" t="n"/>
      <c r="AD3033" s="22" t="n"/>
      <c r="AE3033" s="22" t="n"/>
    </row>
    <row r="3034" ht="84" customHeight="1" s="380">
      <c r="A3034" s="139" t="n">
        <v>121</v>
      </c>
      <c r="B3034" s="390" t="n"/>
      <c r="C3034" s="390" t="inlineStr">
        <is>
          <t>Báo cáo tình hình hoạt động năm - Chi nhánh công ty chứng khoán nước ngoài tại Việt Nam</t>
        </is>
      </c>
      <c r="D3034" s="390" t="inlineStr">
        <is>
          <t>Báo cáo hoạt động giám sát tuân thủ &gt;&gt; Về hoạt động giám sát tuân thủ &gt;&gt; Thực hiện các văn bản quy phạm pháp luật &gt;&gt; Ghi chú</t>
        </is>
      </c>
      <c r="E3034" s="390" t="inlineStr">
        <is>
          <t>Báo cáo hoạt động giám sát tuân thủ &gt;&gt; Về hoạt động giám sát tuân thủ &gt;&gt; Thực hiện các văn bản quy phạm pháp luật &gt;&gt; Ghi chú</t>
        </is>
      </c>
      <c r="F3034" s="390" t="inlineStr">
        <is>
          <t>Data Explorer</t>
        </is>
      </c>
      <c r="G3034" s="390" t="inlineStr">
        <is>
          <t>Chỉ tiêu cơ sở</t>
        </is>
      </c>
      <c r="H3034" s="390" t="inlineStr">
        <is>
          <t>TB</t>
        </is>
      </c>
      <c r="I3034" s="390" t="inlineStr">
        <is>
          <t>Ngày, CTCK</t>
        </is>
      </c>
      <c r="J3034" s="401" t="inlineStr">
        <is>
          <t>Thanh tra</t>
        </is>
      </c>
      <c r="K3034" s="401" t="n"/>
      <c r="L3034" s="401" t="inlineStr">
        <is>
          <t>X</t>
        </is>
      </c>
      <c r="M3034" s="401" t="n"/>
      <c r="N3034" s="401" t="inlineStr">
        <is>
          <t>Done</t>
        </is>
      </c>
      <c r="O3034" s="401" t="n"/>
      <c r="P3034" s="22" t="n"/>
      <c r="Q3034" s="401" t="n"/>
      <c r="R3034" s="401" t="n"/>
      <c r="S3034" s="22" t="n"/>
      <c r="U3034" s="390" t="n"/>
      <c r="V3034" s="22" t="n"/>
      <c r="W3034" s="22" t="n"/>
      <c r="X3034" s="22" t="n"/>
      <c r="Y3034" s="13" t="n"/>
      <c r="Z3034" s="22" t="n"/>
      <c r="AA3034" s="22" t="n"/>
      <c r="AB3034" s="22" t="n"/>
      <c r="AC3034" s="22" t="n"/>
      <c r="AD3034" s="22" t="n"/>
      <c r="AE3034" s="22" t="n"/>
    </row>
    <row r="3035" ht="84" customHeight="1" s="380">
      <c r="A3035" s="139" t="n">
        <v>121</v>
      </c>
      <c r="B3035" s="390" t="n"/>
      <c r="C3035" s="390" t="inlineStr">
        <is>
          <t>Báo cáo tình hình hoạt động năm - Chi nhánh công ty chứng khoán nước ngoài tại Việt Nam</t>
        </is>
      </c>
      <c r="D3035" s="390" t="inlineStr">
        <is>
          <t>Báo cáo hoạt động giám sát tuân thủ &gt;&gt; Về hoạt động giám sát tuân thủ &gt;&gt; Thực hiện các văn bản của UBCKNN &gt;&gt; Số lần vi phạm trong năm</t>
        </is>
      </c>
      <c r="E3035" s="390" t="inlineStr">
        <is>
          <t>Báo cáo hoạt động giám sát tuân thủ &gt;&gt; Về hoạt động giám sát tuân thủ &gt;&gt; Thực hiện các văn bản của UBCKNN &gt;&gt; Số lần vi phạm trong năm</t>
        </is>
      </c>
      <c r="F3035" s="390" t="inlineStr">
        <is>
          <t>Data Explorer</t>
        </is>
      </c>
      <c r="G3035" s="390" t="inlineStr">
        <is>
          <t>Chỉ tiêu cơ sở</t>
        </is>
      </c>
      <c r="H3035" s="390" t="inlineStr">
        <is>
          <t>TB</t>
        </is>
      </c>
      <c r="I3035" s="390" t="inlineStr">
        <is>
          <t>Ngày, CTCK</t>
        </is>
      </c>
      <c r="J3035" s="401" t="inlineStr">
        <is>
          <t>Thanh tra</t>
        </is>
      </c>
      <c r="K3035" s="401" t="n"/>
      <c r="L3035" s="401" t="inlineStr">
        <is>
          <t>X</t>
        </is>
      </c>
      <c r="M3035" s="401" t="n"/>
      <c r="N3035" s="401" t="inlineStr">
        <is>
          <t>Done</t>
        </is>
      </c>
      <c r="O3035" s="401" t="n"/>
      <c r="P3035" s="22" t="n"/>
      <c r="Q3035" s="401" t="n"/>
      <c r="R3035" s="401" t="n"/>
      <c r="S3035" s="22" t="n"/>
      <c r="U3035" s="390" t="n"/>
      <c r="V3035" s="22" t="n"/>
      <c r="W3035" s="22" t="n"/>
      <c r="X3035" s="22" t="n"/>
      <c r="Y3035" s="13" t="n"/>
      <c r="Z3035" s="22" t="n"/>
      <c r="AA3035" s="22" t="n"/>
      <c r="AB3035" s="22" t="n"/>
      <c r="AC3035" s="22" t="n"/>
      <c r="AD3035" s="22" t="n"/>
      <c r="AE3035" s="22" t="n"/>
    </row>
    <row r="3036" ht="84" customHeight="1" s="380">
      <c r="A3036" s="139" t="n">
        <v>121</v>
      </c>
      <c r="B3036" s="390" t="n"/>
      <c r="C3036" s="390" t="inlineStr">
        <is>
          <t>Báo cáo tình hình hoạt động năm - Chi nhánh công ty chứng khoán nước ngoài tại Việt Nam</t>
        </is>
      </c>
      <c r="D3036" s="390" t="inlineStr">
        <is>
          <t>Báo cáo hoạt động giám sát tuân thủ &gt;&gt; Về hoạt động giám sát tuân thủ &gt;&gt; Thực hiện các văn bản của UBCKNN &gt;&gt; Hình thức xử lý</t>
        </is>
      </c>
      <c r="E3036" s="390" t="inlineStr">
        <is>
          <t>Báo cáo hoạt động giám sát tuân thủ &gt;&gt; Về hoạt động giám sát tuân thủ &gt;&gt; Thực hiện các văn bản của UBCKNN &gt;&gt; Hình thức xử lý</t>
        </is>
      </c>
      <c r="F3036" s="390" t="inlineStr">
        <is>
          <t>Data Explorer</t>
        </is>
      </c>
      <c r="G3036" s="390" t="inlineStr">
        <is>
          <t>Chỉ tiêu cơ sở</t>
        </is>
      </c>
      <c r="H3036" s="390" t="inlineStr">
        <is>
          <t>TB</t>
        </is>
      </c>
      <c r="I3036" s="390" t="inlineStr">
        <is>
          <t>Ngày, CTCK</t>
        </is>
      </c>
      <c r="J3036" s="401" t="inlineStr">
        <is>
          <t>Thanh tra</t>
        </is>
      </c>
      <c r="K3036" s="401" t="n"/>
      <c r="L3036" s="401" t="inlineStr">
        <is>
          <t>X</t>
        </is>
      </c>
      <c r="M3036" s="401" t="n"/>
      <c r="N3036" s="401" t="inlineStr">
        <is>
          <t>Done</t>
        </is>
      </c>
      <c r="O3036" s="401" t="n"/>
      <c r="P3036" s="22" t="n"/>
      <c r="Q3036" s="401" t="n"/>
      <c r="R3036" s="401" t="n"/>
      <c r="S3036" s="22" t="n"/>
      <c r="U3036" s="390" t="n"/>
      <c r="V3036" s="22" t="n"/>
      <c r="W3036" s="22" t="n"/>
      <c r="X3036" s="22" t="n"/>
      <c r="Y3036" s="14" t="n"/>
      <c r="Z3036" s="22" t="n"/>
      <c r="AA3036" s="22" t="n"/>
      <c r="AB3036" s="22" t="n"/>
      <c r="AC3036" s="22" t="n"/>
      <c r="AD3036" s="22" t="n"/>
      <c r="AE3036" s="22" t="n"/>
    </row>
    <row r="3037" ht="84" customHeight="1" s="380">
      <c r="A3037" s="139" t="n">
        <v>121</v>
      </c>
      <c r="B3037" s="390" t="n"/>
      <c r="C3037" s="390" t="inlineStr">
        <is>
          <t>Báo cáo tình hình hoạt động năm - Chi nhánh công ty chứng khoán nước ngoài tại Việt Nam</t>
        </is>
      </c>
      <c r="D3037" s="390" t="inlineStr">
        <is>
          <t>Báo cáo hoạt động giám sát tuân thủ &gt;&gt; Về hoạt động giám sát tuân thủ &gt;&gt; Thực hiện các văn bản của UBCKNN &gt;&gt; Ghi chú</t>
        </is>
      </c>
      <c r="E3037" s="390" t="inlineStr">
        <is>
          <t>Báo cáo hoạt động giám sát tuân thủ &gt;&gt; Về hoạt động giám sát tuân thủ &gt;&gt; Thực hiện các văn bản của UBCKNN &gt;&gt; Ghi chú</t>
        </is>
      </c>
      <c r="F3037" s="390" t="inlineStr">
        <is>
          <t>Data Explorer</t>
        </is>
      </c>
      <c r="G3037" s="390" t="inlineStr">
        <is>
          <t>Chỉ tiêu cơ sở</t>
        </is>
      </c>
      <c r="H3037" s="390" t="inlineStr">
        <is>
          <t>TB</t>
        </is>
      </c>
      <c r="I3037" s="390" t="inlineStr">
        <is>
          <t>Ngày, CTCK</t>
        </is>
      </c>
      <c r="J3037" s="401" t="inlineStr">
        <is>
          <t>Thanh tra</t>
        </is>
      </c>
      <c r="K3037" s="401" t="n"/>
      <c r="L3037" s="401" t="inlineStr">
        <is>
          <t>X</t>
        </is>
      </c>
      <c r="M3037" s="401" t="n"/>
      <c r="N3037" s="401" t="inlineStr">
        <is>
          <t>Done</t>
        </is>
      </c>
      <c r="O3037" s="401" t="n"/>
      <c r="P3037" s="22" t="n"/>
      <c r="Q3037" s="401" t="n"/>
      <c r="R3037" s="401" t="n"/>
      <c r="S3037" s="22" t="n"/>
      <c r="U3037" s="390" t="n"/>
      <c r="V3037" s="22" t="n"/>
      <c r="W3037" s="22" t="n"/>
      <c r="X3037" s="22" t="n"/>
      <c r="Y3037" s="13" t="n"/>
      <c r="Z3037" s="22" t="n"/>
      <c r="AA3037" s="22" t="n"/>
      <c r="AB3037" s="22" t="n"/>
      <c r="AC3037" s="22" t="n"/>
      <c r="AD3037" s="22" t="n"/>
      <c r="AE3037" s="22" t="n"/>
    </row>
    <row r="3038" ht="56" customHeight="1" s="380">
      <c r="A3038" s="139" t="n">
        <v>121</v>
      </c>
      <c r="B3038" s="390" t="n"/>
      <c r="C3038" s="390" t="inlineStr">
        <is>
          <t>Báo cáo tình hình hoạt động năm - Chi nhánh công ty chứng khoán nước ngoài tại Việt Nam</t>
        </is>
      </c>
      <c r="D3038" s="390" t="inlineStr">
        <is>
          <t>Chỉ tiêu an toàn tài chính &gt;&gt; Vốn được cấp (đồng) &gt;&gt; Giá trị</t>
        </is>
      </c>
      <c r="E3038" s="390" t="inlineStr">
        <is>
          <t>Chỉ tiêu an toàn tài chính &gt;&gt; Vốn được cấp (đồng) &gt;&gt; Giá trị</t>
        </is>
      </c>
      <c r="F3038" s="390" t="inlineStr">
        <is>
          <t>Data Explorer</t>
        </is>
      </c>
      <c r="G3038" s="390" t="inlineStr">
        <is>
          <t>Chỉ tiêu cơ sở</t>
        </is>
      </c>
      <c r="H3038" s="390" t="inlineStr">
        <is>
          <t>TB</t>
        </is>
      </c>
      <c r="I3038" s="390" t="inlineStr">
        <is>
          <t>Ngày, CTCK</t>
        </is>
      </c>
      <c r="J3038" s="401" t="inlineStr">
        <is>
          <t>SCMS</t>
        </is>
      </c>
      <c r="K3038" s="401" t="n"/>
      <c r="L3038" s="401" t="inlineStr">
        <is>
          <t>X</t>
        </is>
      </c>
      <c r="M3038" s="401" t="n"/>
      <c r="N3038" s="401" t="inlineStr">
        <is>
          <t>Pending</t>
        </is>
      </c>
      <c r="O3038" s="401" t="n"/>
      <c r="P3038" s="22" t="n"/>
      <c r="Q3038" s="401" t="n"/>
      <c r="R3038" s="401" t="n"/>
      <c r="S3038" s="22" t="n"/>
      <c r="T3038" s="390" t="n"/>
      <c r="U3038" s="390" t="inlineStr">
        <is>
          <t>Không có thông tin</t>
        </is>
      </c>
      <c r="V3038" s="22" t="n"/>
      <c r="W3038" s="22" t="n"/>
      <c r="X3038" s="22" t="n"/>
      <c r="Y3038" s="13" t="n"/>
      <c r="Z3038" s="22" t="n"/>
      <c r="AA3038" s="22" t="n"/>
      <c r="AB3038" s="22" t="n"/>
      <c r="AC3038" s="22" t="n"/>
      <c r="AD3038" s="22" t="n"/>
      <c r="AE3038" s="22" t="n"/>
    </row>
    <row r="3039" ht="56" customHeight="1" s="380">
      <c r="A3039" s="139" t="n">
        <v>121</v>
      </c>
      <c r="B3039" s="390" t="n"/>
      <c r="C3039" s="390" t="inlineStr">
        <is>
          <t>Báo cáo tình hình hoạt động năm - Chi nhánh công ty chứng khoán nước ngoài tại Việt Nam</t>
        </is>
      </c>
      <c r="D3039" s="390" t="inlineStr">
        <is>
          <t>Chỉ tiêu an toàn tài chính &gt;&gt; Vốn được cấp (đồng) &gt;&gt; Tỷ lệ</t>
        </is>
      </c>
      <c r="E3039" s="390" t="inlineStr">
        <is>
          <t>Chỉ tiêu an toàn tài chính &gt;&gt; Vốn được cấp (đồng) &gt;&gt; Tỷ lệ</t>
        </is>
      </c>
      <c r="F3039" s="390" t="inlineStr">
        <is>
          <t>Data Explorer</t>
        </is>
      </c>
      <c r="G3039" s="390" t="inlineStr">
        <is>
          <t>Chỉ tiêu cơ sở</t>
        </is>
      </c>
      <c r="H3039" s="390" t="inlineStr">
        <is>
          <t>TB</t>
        </is>
      </c>
      <c r="I3039" s="390" t="inlineStr">
        <is>
          <t>Ngày, CTCK</t>
        </is>
      </c>
      <c r="J3039" s="401" t="inlineStr">
        <is>
          <t>SCMS</t>
        </is>
      </c>
      <c r="K3039" s="401" t="n"/>
      <c r="L3039" s="401" t="inlineStr">
        <is>
          <t>X</t>
        </is>
      </c>
      <c r="M3039" s="401" t="n"/>
      <c r="N3039" s="401" t="inlineStr">
        <is>
          <t>Pending</t>
        </is>
      </c>
      <c r="O3039" s="401" t="n"/>
      <c r="P3039" s="22" t="n"/>
      <c r="Q3039" s="401" t="n"/>
      <c r="R3039" s="401" t="n"/>
      <c r="S3039" s="22" t="n"/>
      <c r="T3039" s="390" t="n"/>
      <c r="U3039" s="390" t="inlineStr">
        <is>
          <t>Không có thông tin</t>
        </is>
      </c>
      <c r="V3039" s="22" t="n"/>
      <c r="W3039" s="22" t="n"/>
      <c r="X3039" s="22" t="n"/>
      <c r="Y3039" s="13" t="n"/>
      <c r="Z3039" s="22" t="n"/>
      <c r="AA3039" s="22" t="n"/>
      <c r="AB3039" s="22" t="n"/>
      <c r="AC3039" s="22" t="n"/>
      <c r="AD3039" s="22" t="n"/>
      <c r="AE3039" s="22" t="n"/>
    </row>
    <row r="3040" ht="56" customHeight="1" s="380">
      <c r="A3040" s="139" t="n">
        <v>121</v>
      </c>
      <c r="B3040" s="390" t="n"/>
      <c r="C3040" s="390" t="inlineStr">
        <is>
          <t>Báo cáo tình hình hoạt động năm - Chi nhánh công ty chứng khoán nước ngoài tại Việt Nam</t>
        </is>
      </c>
      <c r="D3040" s="390" t="inlineStr">
        <is>
          <t>Chỉ tiêu an toàn tài chính &gt;&gt; Lãi (Lỗ) lũy kế (đồng) &gt;&gt; Giá trị</t>
        </is>
      </c>
      <c r="E3040" s="390" t="inlineStr">
        <is>
          <t>Chỉ tiêu an toàn tài chính &gt;&gt; Lãi (Lỗ) lũy kế (đồng) &gt;&gt; Giá trị</t>
        </is>
      </c>
      <c r="F3040" s="390" t="inlineStr">
        <is>
          <t>Data Explorer</t>
        </is>
      </c>
      <c r="G3040" s="390" t="inlineStr">
        <is>
          <t>Chỉ tiêu cơ sở</t>
        </is>
      </c>
      <c r="H3040" s="390" t="inlineStr">
        <is>
          <t>TB</t>
        </is>
      </c>
      <c r="I3040" s="390" t="inlineStr">
        <is>
          <t>Ngày, CTCK</t>
        </is>
      </c>
      <c r="J3040" s="401" t="inlineStr">
        <is>
          <t>SCMS</t>
        </is>
      </c>
      <c r="K3040" s="401" t="n"/>
      <c r="L3040" s="401" t="inlineStr">
        <is>
          <t>X</t>
        </is>
      </c>
      <c r="M3040" s="401" t="n"/>
      <c r="N3040" s="401" t="inlineStr">
        <is>
          <t>Pending</t>
        </is>
      </c>
      <c r="O3040" s="401" t="n"/>
      <c r="P3040" s="22" t="n"/>
      <c r="Q3040" s="401" t="n"/>
      <c r="R3040" s="401" t="n"/>
      <c r="S3040" s="22" t="n"/>
      <c r="T3040" s="390" t="n"/>
      <c r="U3040" s="390" t="inlineStr">
        <is>
          <t>Không có thông tin</t>
        </is>
      </c>
      <c r="V3040" s="22" t="n"/>
      <c r="W3040" s="22" t="n"/>
      <c r="X3040" s="22" t="n"/>
      <c r="Y3040" s="13" t="n"/>
      <c r="Z3040" s="22" t="n"/>
      <c r="AA3040" s="22" t="n"/>
      <c r="AB3040" s="22" t="n"/>
      <c r="AC3040" s="22" t="n"/>
      <c r="AD3040" s="22" t="n"/>
      <c r="AE3040" s="22" t="n"/>
    </row>
    <row r="3041" ht="56" customHeight="1" s="380">
      <c r="A3041" s="139" t="n">
        <v>121</v>
      </c>
      <c r="B3041" s="390" t="n"/>
      <c r="C3041" s="390" t="inlineStr">
        <is>
          <t>Báo cáo tình hình hoạt động năm - Chi nhánh công ty chứng khoán nước ngoài tại Việt Nam</t>
        </is>
      </c>
      <c r="D3041" s="390" t="inlineStr">
        <is>
          <t>Chỉ tiêu an toàn tài chính &gt;&gt; Lãi (Lỗ) lũy kế (đồng) &gt;&gt; Tỷ lệ</t>
        </is>
      </c>
      <c r="E3041" s="390" t="inlineStr">
        <is>
          <t>Chỉ tiêu an toàn tài chính &gt;&gt; Lãi (Lỗ) lũy kế (đồng) &gt;&gt; Tỷ lệ</t>
        </is>
      </c>
      <c r="F3041" s="390" t="inlineStr">
        <is>
          <t>Data Explorer</t>
        </is>
      </c>
      <c r="G3041" s="390" t="inlineStr">
        <is>
          <t>Chỉ tiêu cơ sở</t>
        </is>
      </c>
      <c r="H3041" s="390" t="inlineStr">
        <is>
          <t>TB</t>
        </is>
      </c>
      <c r="I3041" s="390" t="inlineStr">
        <is>
          <t>Ngày, CTCK</t>
        </is>
      </c>
      <c r="J3041" s="401" t="inlineStr">
        <is>
          <t>SCMS</t>
        </is>
      </c>
      <c r="K3041" s="401" t="n"/>
      <c r="L3041" s="401" t="inlineStr">
        <is>
          <t>X</t>
        </is>
      </c>
      <c r="M3041" s="401" t="n"/>
      <c r="N3041" s="401" t="inlineStr">
        <is>
          <t>Pending</t>
        </is>
      </c>
      <c r="O3041" s="401" t="n"/>
      <c r="P3041" s="22" t="n"/>
      <c r="Q3041" s="401" t="n"/>
      <c r="R3041" s="401" t="n"/>
      <c r="S3041" s="22" t="n"/>
      <c r="T3041" s="390" t="n"/>
      <c r="U3041" s="390" t="inlineStr">
        <is>
          <t>Không có thông tin</t>
        </is>
      </c>
      <c r="V3041" s="22" t="n"/>
      <c r="W3041" s="22" t="n"/>
      <c r="X3041" s="22" t="n"/>
      <c r="Y3041" s="13" t="n"/>
      <c r="Z3041" s="22" t="n"/>
      <c r="AA3041" s="22" t="n"/>
      <c r="AB3041" s="22" t="n"/>
      <c r="AC3041" s="22" t="n"/>
      <c r="AD3041" s="22" t="n"/>
      <c r="AE3041" s="22" t="n"/>
    </row>
    <row r="3042" ht="56" customHeight="1" s="380">
      <c r="A3042" s="139" t="n">
        <v>121</v>
      </c>
      <c r="B3042" s="390" t="n"/>
      <c r="C3042" s="390" t="inlineStr">
        <is>
          <t>Báo cáo tình hình hoạt động năm - Chi nhánh công ty chứng khoán nước ngoài tại Việt Nam</t>
        </is>
      </c>
      <c r="D3042" s="390" t="inlineStr">
        <is>
          <t>Chỉ tiêu an toàn tài chính &gt;&gt; Tài sản cố định (đồng) &gt;&gt; Giá trị</t>
        </is>
      </c>
      <c r="E3042" s="390" t="inlineStr">
        <is>
          <t>Chỉ tiêu an toàn tài chính &gt;&gt; Tài sản cố định (đồng) &gt;&gt; Giá trị</t>
        </is>
      </c>
      <c r="F3042" s="390" t="inlineStr">
        <is>
          <t>Data Explorer</t>
        </is>
      </c>
      <c r="G3042" s="390" t="inlineStr">
        <is>
          <t>Chỉ tiêu cơ sở</t>
        </is>
      </c>
      <c r="H3042" s="390" t="inlineStr">
        <is>
          <t>TB</t>
        </is>
      </c>
      <c r="I3042" s="390" t="inlineStr">
        <is>
          <t>Ngày, CTCK</t>
        </is>
      </c>
      <c r="J3042" s="401" t="inlineStr">
        <is>
          <t>SCMS</t>
        </is>
      </c>
      <c r="K3042" s="401" t="n"/>
      <c r="L3042" s="401" t="inlineStr">
        <is>
          <t>X</t>
        </is>
      </c>
      <c r="M3042" s="401" t="n"/>
      <c r="N3042" s="401" t="inlineStr">
        <is>
          <t>Pending</t>
        </is>
      </c>
      <c r="O3042" s="401" t="n"/>
      <c r="P3042" s="22" t="n"/>
      <c r="Q3042" s="401" t="n"/>
      <c r="R3042" s="401" t="n"/>
      <c r="S3042" s="22" t="n"/>
      <c r="T3042" s="390" t="n"/>
      <c r="U3042" s="390" t="inlineStr">
        <is>
          <t>Không có thông tin</t>
        </is>
      </c>
      <c r="V3042" s="22" t="n"/>
      <c r="W3042" s="22" t="n"/>
      <c r="X3042" s="22" t="n"/>
      <c r="Y3042" s="38" t="n"/>
      <c r="Z3042" s="22" t="n"/>
      <c r="AA3042" s="22" t="n"/>
      <c r="AB3042" s="22" t="n"/>
      <c r="AC3042" s="22" t="n"/>
      <c r="AD3042" s="22" t="n"/>
      <c r="AE3042" s="22" t="n"/>
    </row>
    <row r="3043" ht="56" customHeight="1" s="380">
      <c r="A3043" s="139" t="n">
        <v>121</v>
      </c>
      <c r="B3043" s="390" t="n"/>
      <c r="C3043" s="390" t="inlineStr">
        <is>
          <t>Báo cáo tình hình hoạt động năm - Chi nhánh công ty chứng khoán nước ngoài tại Việt Nam</t>
        </is>
      </c>
      <c r="D3043" s="390" t="inlineStr">
        <is>
          <t>Chỉ tiêu an toàn tài chính &gt;&gt; Tài sản cố định (đồng) &gt;&gt; Tỷ lệ</t>
        </is>
      </c>
      <c r="E3043" s="390" t="inlineStr">
        <is>
          <t>Chỉ tiêu an toàn tài chính &gt;&gt; Tài sản cố định (đồng) &gt;&gt; Tỷ lệ</t>
        </is>
      </c>
      <c r="F3043" s="390" t="inlineStr">
        <is>
          <t>Data Explorer</t>
        </is>
      </c>
      <c r="G3043" s="390" t="inlineStr">
        <is>
          <t>Chỉ tiêu cơ sở</t>
        </is>
      </c>
      <c r="H3043" s="390" t="inlineStr">
        <is>
          <t>TB</t>
        </is>
      </c>
      <c r="I3043" s="390" t="inlineStr">
        <is>
          <t>Ngày, CTCK</t>
        </is>
      </c>
      <c r="J3043" s="401" t="inlineStr">
        <is>
          <t>SCMS</t>
        </is>
      </c>
      <c r="K3043" s="401" t="n"/>
      <c r="L3043" s="401" t="inlineStr">
        <is>
          <t>X</t>
        </is>
      </c>
      <c r="M3043" s="401" t="n"/>
      <c r="N3043" s="401" t="inlineStr">
        <is>
          <t>Pending</t>
        </is>
      </c>
      <c r="O3043" s="401" t="n"/>
      <c r="P3043" s="22" t="n"/>
      <c r="Q3043" s="401" t="n"/>
      <c r="R3043" s="401" t="n"/>
      <c r="S3043" s="22" t="n"/>
      <c r="T3043" s="390" t="n"/>
      <c r="U3043" s="390" t="inlineStr">
        <is>
          <t>Không có thông tin</t>
        </is>
      </c>
      <c r="V3043" s="22" t="n"/>
      <c r="W3043" s="22" t="n"/>
      <c r="X3043" s="22" t="n"/>
      <c r="Y3043" s="13" t="n"/>
      <c r="Z3043" s="22" t="n"/>
      <c r="AA3043" s="22" t="n"/>
      <c r="AB3043" s="22" t="n"/>
      <c r="AC3043" s="22" t="n"/>
      <c r="AD3043" s="22" t="n"/>
      <c r="AE3043" s="22" t="n"/>
    </row>
    <row r="3044" ht="56" customHeight="1" s="380">
      <c r="A3044" s="139" t="n">
        <v>121</v>
      </c>
      <c r="B3044" s="390" t="n"/>
      <c r="C3044" s="390" t="inlineStr">
        <is>
          <t>Báo cáo tình hình hoạt động năm - Chi nhánh công ty chứng khoán nước ngoài tại Việt Nam</t>
        </is>
      </c>
      <c r="D3044" s="390" t="inlineStr">
        <is>
          <t>Chỉ tiêu an toàn tài chính &gt;&gt; Tỷ lệ vốn khả dụng (%) &gt;&gt; Giá trị</t>
        </is>
      </c>
      <c r="E3044" s="390" t="inlineStr">
        <is>
          <t>Chỉ tiêu an toàn tài chính &gt;&gt; Tỷ lệ vốn khả dụng (%) &gt;&gt; Giá trị</t>
        </is>
      </c>
      <c r="F3044" s="390" t="inlineStr">
        <is>
          <t>Data Explorer</t>
        </is>
      </c>
      <c r="G3044" s="390" t="inlineStr">
        <is>
          <t>Chỉ tiêu cơ sở</t>
        </is>
      </c>
      <c r="H3044" s="390" t="inlineStr">
        <is>
          <t>TB</t>
        </is>
      </c>
      <c r="I3044" s="390" t="inlineStr">
        <is>
          <t>Ngày, CTCK</t>
        </is>
      </c>
      <c r="J3044" s="401" t="inlineStr">
        <is>
          <t>SCMS</t>
        </is>
      </c>
      <c r="K3044" s="401" t="n"/>
      <c r="L3044" s="401" t="inlineStr">
        <is>
          <t>X</t>
        </is>
      </c>
      <c r="M3044" s="401" t="n"/>
      <c r="N3044" s="401" t="inlineStr">
        <is>
          <t>Pending</t>
        </is>
      </c>
      <c r="O3044" s="401" t="n"/>
      <c r="P3044" s="22" t="n"/>
      <c r="Q3044" s="401" t="n"/>
      <c r="R3044" s="401" t="n"/>
      <c r="S3044" s="22" t="n"/>
      <c r="T3044" s="390" t="n"/>
      <c r="U3044" s="390" t="inlineStr">
        <is>
          <t>Không có thông tin</t>
        </is>
      </c>
      <c r="V3044" s="22" t="n"/>
      <c r="W3044" s="22" t="n"/>
      <c r="X3044" s="22" t="n"/>
      <c r="Y3044" s="13" t="n"/>
      <c r="Z3044" s="22" t="n"/>
      <c r="AA3044" s="22" t="n"/>
      <c r="AB3044" s="22" t="n"/>
      <c r="AC3044" s="22" t="n"/>
      <c r="AD3044" s="22" t="n"/>
      <c r="AE3044" s="22" t="n"/>
    </row>
    <row r="3045" ht="56" customHeight="1" s="380">
      <c r="A3045" s="139" t="n">
        <v>121</v>
      </c>
      <c r="B3045" s="390" t="n"/>
      <c r="C3045" s="390" t="inlineStr">
        <is>
          <t>Báo cáo tình hình hoạt động năm - Chi nhánh công ty chứng khoán nước ngoài tại Việt Nam</t>
        </is>
      </c>
      <c r="D3045" s="390" t="inlineStr">
        <is>
          <t>Chỉ tiêu an toàn tài chính &gt;&gt; Tỷ lệ vốn khả dụng (%) &gt;&gt; Tỷ lệ</t>
        </is>
      </c>
      <c r="E3045" s="390" t="inlineStr">
        <is>
          <t>Chỉ tiêu an toàn tài chính &gt;&gt; Tỷ lệ vốn khả dụng (%) &gt;&gt; Tỷ lệ</t>
        </is>
      </c>
      <c r="F3045" s="390" t="inlineStr">
        <is>
          <t>Data Explorer</t>
        </is>
      </c>
      <c r="G3045" s="390" t="inlineStr">
        <is>
          <t>Chỉ tiêu cơ sở</t>
        </is>
      </c>
      <c r="H3045" s="390" t="inlineStr">
        <is>
          <t>TB</t>
        </is>
      </c>
      <c r="I3045" s="390" t="inlineStr">
        <is>
          <t>Ngày, CTCK</t>
        </is>
      </c>
      <c r="J3045" s="401" t="inlineStr">
        <is>
          <t>SCMS</t>
        </is>
      </c>
      <c r="K3045" s="401" t="n"/>
      <c r="L3045" s="401" t="inlineStr">
        <is>
          <t>X</t>
        </is>
      </c>
      <c r="M3045" s="401" t="n"/>
      <c r="N3045" s="401" t="inlineStr">
        <is>
          <t>Pending</t>
        </is>
      </c>
      <c r="O3045" s="401" t="n"/>
      <c r="P3045" s="22" t="n"/>
      <c r="Q3045" s="401" t="n"/>
      <c r="R3045" s="401" t="n"/>
      <c r="S3045" s="22" t="n"/>
      <c r="T3045" s="390" t="n"/>
      <c r="U3045" s="390" t="inlineStr">
        <is>
          <t>Không có thông tin</t>
        </is>
      </c>
      <c r="V3045" s="22" t="n"/>
      <c r="W3045" s="22" t="n"/>
      <c r="X3045" s="22" t="n"/>
      <c r="Y3045" s="13" t="n"/>
      <c r="Z3045" s="22" t="n"/>
      <c r="AA3045" s="22" t="n"/>
      <c r="AB3045" s="22" t="n"/>
      <c r="AC3045" s="22" t="n"/>
      <c r="AD3045" s="22" t="n"/>
      <c r="AE3045" s="22" t="n"/>
    </row>
    <row r="3046" ht="56" customHeight="1" s="380">
      <c r="A3046" s="139" t="n">
        <v>121</v>
      </c>
      <c r="B3046" s="390" t="n"/>
      <c r="C3046" s="390" t="inlineStr">
        <is>
          <t>Báo cáo tình hình hoạt động năm - Chi nhánh công ty chứng khoán nước ngoài tại Việt Nam</t>
        </is>
      </c>
      <c r="D3046" s="390" t="inlineStr">
        <is>
          <t>Chỉ tiêu an toàn tài chính &gt;&gt; Tổng tài sản &gt;&gt; Giá trị</t>
        </is>
      </c>
      <c r="E3046" s="390" t="inlineStr">
        <is>
          <t>Chỉ tiêu an toàn tài chính &gt;&gt; Tổng tài sản &gt;&gt; Giá trị</t>
        </is>
      </c>
      <c r="F3046" s="390" t="inlineStr">
        <is>
          <t>Data Explorer</t>
        </is>
      </c>
      <c r="G3046" s="390" t="inlineStr">
        <is>
          <t>Chỉ tiêu cơ sở</t>
        </is>
      </c>
      <c r="H3046" s="390" t="inlineStr">
        <is>
          <t>TB</t>
        </is>
      </c>
      <c r="I3046" s="390" t="inlineStr">
        <is>
          <t>Ngày, CTCK</t>
        </is>
      </c>
      <c r="J3046" s="401" t="inlineStr">
        <is>
          <t>SCMS</t>
        </is>
      </c>
      <c r="K3046" s="401" t="n"/>
      <c r="L3046" s="401" t="inlineStr">
        <is>
          <t>X</t>
        </is>
      </c>
      <c r="M3046" s="401" t="n"/>
      <c r="N3046" s="401" t="inlineStr">
        <is>
          <t>Pending</t>
        </is>
      </c>
      <c r="O3046" s="401" t="n"/>
      <c r="P3046" s="22" t="n"/>
      <c r="Q3046" s="401" t="n"/>
      <c r="R3046" s="401" t="n"/>
      <c r="S3046" s="22" t="n"/>
      <c r="T3046" s="390" t="n"/>
      <c r="U3046" s="390" t="inlineStr">
        <is>
          <t>Không có thông tin</t>
        </is>
      </c>
      <c r="V3046" s="22" t="n"/>
      <c r="W3046" s="22" t="n"/>
      <c r="X3046" s="22" t="n"/>
      <c r="Y3046" s="13" t="n"/>
      <c r="Z3046" s="22" t="n"/>
      <c r="AA3046" s="22" t="n"/>
      <c r="AB3046" s="22" t="n"/>
      <c r="AC3046" s="22" t="n"/>
      <c r="AD3046" s="22" t="n"/>
      <c r="AE3046" s="22" t="n"/>
    </row>
    <row r="3047" ht="56" customHeight="1" s="380">
      <c r="A3047" s="143" t="n">
        <v>121</v>
      </c>
      <c r="B3047" s="129" t="n"/>
      <c r="C3047" s="129" t="inlineStr">
        <is>
          <t>Báo cáo tình hình hoạt động năm - Chi nhánh công ty chứng khoán nước ngoài tại Việt Nam</t>
        </is>
      </c>
      <c r="D3047" s="129" t="inlineStr">
        <is>
          <t>Chỉ tiêu an toàn tài chính &gt;&gt; Tổng tài sản &gt;&gt; Tỷ lệ</t>
        </is>
      </c>
      <c r="E3047" s="129" t="inlineStr">
        <is>
          <t>Chỉ tiêu an toàn tài chính &gt;&gt; Tổng tài sản &gt;&gt; Tỷ lệ</t>
        </is>
      </c>
      <c r="F3047" s="129" t="inlineStr">
        <is>
          <t>Data Explorer</t>
        </is>
      </c>
      <c r="G3047" s="129" t="inlineStr">
        <is>
          <t>Chỉ tiêu cơ sở</t>
        </is>
      </c>
      <c r="H3047" s="129" t="inlineStr">
        <is>
          <t>TB</t>
        </is>
      </c>
      <c r="I3047" s="129" t="inlineStr">
        <is>
          <t>Ngày, CTCK</t>
        </is>
      </c>
      <c r="J3047" s="85" t="inlineStr">
        <is>
          <t>SCMS</t>
        </is>
      </c>
      <c r="K3047" s="85" t="n"/>
      <c r="L3047" s="85" t="inlineStr">
        <is>
          <t>X</t>
        </is>
      </c>
      <c r="M3047" s="85" t="n"/>
      <c r="N3047" s="85" t="inlineStr">
        <is>
          <t>Pending</t>
        </is>
      </c>
      <c r="O3047" s="85" t="n"/>
      <c r="P3047" s="130" t="n"/>
      <c r="Q3047" s="85" t="n"/>
      <c r="R3047" s="85" t="n"/>
      <c r="S3047" s="130" t="n"/>
      <c r="T3047" s="129" t="n"/>
      <c r="U3047" s="129" t="inlineStr">
        <is>
          <t>Không có thông tin</t>
        </is>
      </c>
      <c r="V3047" s="130" t="n"/>
      <c r="W3047" s="130" t="n"/>
      <c r="X3047" s="130" t="n"/>
      <c r="Y3047" s="97" t="n"/>
      <c r="Z3047" s="130" t="n"/>
      <c r="AA3047" s="130" t="n"/>
      <c r="AB3047" s="130" t="n"/>
      <c r="AC3047" s="130" t="n"/>
      <c r="AD3047" s="130" t="n"/>
      <c r="AE3047" s="130" t="n"/>
    </row>
    <row r="3048" ht="84" customHeight="1" s="380">
      <c r="A3048" s="144" t="n">
        <v>122</v>
      </c>
      <c r="B3048" s="140" t="inlineStr">
        <is>
          <t>Nga</t>
        </is>
      </c>
      <c r="C3048" s="127" t="inlineStr">
        <is>
          <t>Báo cáo tài chính quý, soát xét bán niên, kiểm toán năm - Chi nhánh công ty chứng khoán nước ngoài tại Việt Nam &gt;&gt; Thông tin kiểm toán</t>
        </is>
      </c>
      <c r="D3048" s="106" t="inlineStr">
        <is>
          <t>Loại báo cáo</t>
        </is>
      </c>
      <c r="E3048" s="107" t="inlineStr">
        <is>
          <t>Loại báo cáo</t>
        </is>
      </c>
      <c r="F3048" s="390" t="inlineStr">
        <is>
          <t>Data Explorer</t>
        </is>
      </c>
      <c r="G3048" s="390" t="inlineStr">
        <is>
          <t>Chiều</t>
        </is>
      </c>
      <c r="H3048" s="390" t="inlineStr">
        <is>
          <t>Dễ</t>
        </is>
      </c>
      <c r="I3048" s="390" t="inlineStr">
        <is>
          <t>Ngày, CTCK</t>
        </is>
      </c>
      <c r="J3048" s="401" t="inlineStr">
        <is>
          <t>SCMS</t>
        </is>
      </c>
      <c r="K3048" s="401" t="inlineStr">
        <is>
          <t>X</t>
        </is>
      </c>
      <c r="L3048" s="401" t="inlineStr">
        <is>
          <t>X</t>
        </is>
      </c>
      <c r="M3048" s="401" t="n"/>
      <c r="N3048" s="401" t="inlineStr">
        <is>
          <t>Done</t>
        </is>
      </c>
      <c r="O3048" s="401" t="n"/>
      <c r="P3048" s="22" t="n"/>
      <c r="Q3048" s="404" t="inlineStr">
        <is>
          <t>SCMS.BM_BAO_CAO
SCMS.BM_BAO_CAO_DINH_KY</t>
        </is>
      </c>
      <c r="R3048" s="404" t="inlineStr">
        <is>
          <t>bm.ID,
bm.MA_BAO_CAO,
bm.LOAI_BAO_CAO,
bm.TEN_BAO_CAO,
bm.SU_DUNG,
bdk.BM_BAO_CAO_ID,
bdk.KY_BAO_CAO,
bdk.SU_DUNG</t>
        </is>
      </c>
      <c r="S3048" s="22" t="n"/>
      <c r="T3048" s="389"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U3048" s="390" t="n"/>
      <c r="V3048" s="22" t="n"/>
      <c r="W3048" s="22" t="n"/>
      <c r="X3048" s="22" t="n"/>
      <c r="Y3048" s="38" t="n"/>
      <c r="Z3048" s="22" t="n"/>
      <c r="AA3048" s="22" t="n"/>
      <c r="AB3048" s="22" t="n"/>
      <c r="AC3048" s="22" t="n"/>
      <c r="AD3048" s="22" t="n"/>
      <c r="AE3048" s="22" t="n"/>
    </row>
    <row r="3049" ht="84" customHeight="1" s="380">
      <c r="A3049" s="144" t="n">
        <v>122</v>
      </c>
      <c r="B3049" s="390" t="n"/>
      <c r="C3049" s="390" t="inlineStr">
        <is>
          <t>Báo cáo tài chính quý, soát xét bán niên, kiểm toán năm - Chi nhánh công ty chứng khoán nước ngoài tại Việt Nam &gt;&gt; Thông tin kiểm toán</t>
        </is>
      </c>
      <c r="D3049" s="106" t="inlineStr">
        <is>
          <t>Kỳ báo cáo</t>
        </is>
      </c>
      <c r="E3049" s="107" t="inlineStr">
        <is>
          <t>Kỳ báo cáo</t>
        </is>
      </c>
      <c r="F3049" s="390" t="inlineStr">
        <is>
          <t>Data Explorer</t>
        </is>
      </c>
      <c r="G3049" s="390" t="inlineStr">
        <is>
          <t>Chiều</t>
        </is>
      </c>
      <c r="H3049" s="390" t="inlineStr">
        <is>
          <t>Dễ</t>
        </is>
      </c>
      <c r="I3049" s="390" t="inlineStr">
        <is>
          <t>Ngày, CTCK</t>
        </is>
      </c>
      <c r="J3049" s="401" t="inlineStr">
        <is>
          <t>SCMS</t>
        </is>
      </c>
      <c r="K3049" s="401" t="inlineStr">
        <is>
          <t>X</t>
        </is>
      </c>
      <c r="L3049" s="401" t="inlineStr">
        <is>
          <t>X</t>
        </is>
      </c>
      <c r="M3049" s="401" t="n"/>
      <c r="N3049" s="401" t="inlineStr">
        <is>
          <t>Done</t>
        </is>
      </c>
      <c r="O3049" s="401" t="n"/>
      <c r="P3049" s="22" t="n"/>
      <c r="S3049" s="22" t="n"/>
      <c r="U3049" s="390" t="n"/>
      <c r="V3049" s="22" t="n"/>
      <c r="W3049" s="22" t="n"/>
      <c r="X3049" s="22" t="n"/>
      <c r="Y3049" s="13" t="n"/>
      <c r="Z3049" s="22" t="n"/>
      <c r="AA3049" s="22" t="n"/>
      <c r="AB3049" s="22" t="n"/>
      <c r="AC3049" s="22" t="n"/>
      <c r="AD3049" s="22" t="n"/>
      <c r="AE3049" s="22" t="n"/>
    </row>
    <row r="3050" ht="84" customHeight="1" s="380">
      <c r="A3050" s="144" t="n">
        <v>122</v>
      </c>
      <c r="B3050" s="390" t="n"/>
      <c r="C3050" s="390" t="inlineStr">
        <is>
          <t>Báo cáo tài chính quý, soát xét bán niên, kiểm toán năm - Chi nhánh công ty chứng khoán nước ngoài tại Việt Nam &gt;&gt; Thông tin kiểm toán</t>
        </is>
      </c>
      <c r="D3050" s="106" t="inlineStr">
        <is>
          <t>Mã báo cáo</t>
        </is>
      </c>
      <c r="E3050" s="107" t="inlineStr">
        <is>
          <t>Mã báo cáo</t>
        </is>
      </c>
      <c r="F3050" s="390" t="inlineStr">
        <is>
          <t>Data Explorer</t>
        </is>
      </c>
      <c r="G3050" s="390" t="inlineStr">
        <is>
          <t>Chiều</t>
        </is>
      </c>
      <c r="H3050" s="390" t="inlineStr">
        <is>
          <t>Dễ</t>
        </is>
      </c>
      <c r="I3050" s="390" t="inlineStr">
        <is>
          <t>Ngày, CTCK</t>
        </is>
      </c>
      <c r="J3050" s="401" t="inlineStr">
        <is>
          <t>SCMS</t>
        </is>
      </c>
      <c r="K3050" s="401" t="inlineStr">
        <is>
          <t>X</t>
        </is>
      </c>
      <c r="L3050" s="401" t="inlineStr">
        <is>
          <t>X</t>
        </is>
      </c>
      <c r="M3050" s="401" t="n"/>
      <c r="N3050" s="401" t="inlineStr">
        <is>
          <t>Done</t>
        </is>
      </c>
      <c r="O3050" s="401" t="n"/>
      <c r="P3050" s="22" t="n"/>
      <c r="S3050" s="22" t="n"/>
      <c r="U3050" s="390" t="n"/>
      <c r="V3050" s="22" t="n"/>
      <c r="W3050" s="22" t="n"/>
      <c r="X3050" s="22" t="n"/>
      <c r="Y3050" s="13" t="n"/>
      <c r="Z3050" s="22" t="n"/>
      <c r="AA3050" s="22" t="n"/>
      <c r="AB3050" s="22" t="n"/>
      <c r="AC3050" s="22" t="n"/>
      <c r="AD3050" s="22" t="n"/>
      <c r="AE3050" s="22" t="n"/>
    </row>
    <row r="3051" ht="84" customHeight="1" s="380">
      <c r="A3051" s="144" t="n">
        <v>122</v>
      </c>
      <c r="B3051" s="390" t="n"/>
      <c r="C3051" s="390" t="inlineStr">
        <is>
          <t>Báo cáo tài chính quý, soát xét bán niên, kiểm toán năm - Chi nhánh công ty chứng khoán nước ngoài tại Việt Nam &gt;&gt; Thông tin kiểm toán</t>
        </is>
      </c>
      <c r="D3051" s="106" t="inlineStr">
        <is>
          <t>Tên báo cáo</t>
        </is>
      </c>
      <c r="E3051" s="107" t="inlineStr">
        <is>
          <t>Tên báo cáo</t>
        </is>
      </c>
      <c r="F3051" s="390" t="inlineStr">
        <is>
          <t>Data Explorer</t>
        </is>
      </c>
      <c r="G3051" s="390" t="inlineStr">
        <is>
          <t>Chiều</t>
        </is>
      </c>
      <c r="H3051" s="390" t="inlineStr">
        <is>
          <t>Dễ</t>
        </is>
      </c>
      <c r="I3051" s="390" t="inlineStr">
        <is>
          <t>Ngày, CTCK</t>
        </is>
      </c>
      <c r="J3051" s="401" t="inlineStr">
        <is>
          <t>SCMS</t>
        </is>
      </c>
      <c r="K3051" s="401" t="inlineStr">
        <is>
          <t>X</t>
        </is>
      </c>
      <c r="L3051" s="401" t="inlineStr">
        <is>
          <t>X</t>
        </is>
      </c>
      <c r="M3051" s="401" t="n"/>
      <c r="N3051" s="401" t="inlineStr">
        <is>
          <t>Done</t>
        </is>
      </c>
      <c r="O3051" s="401" t="n"/>
      <c r="P3051" s="22" t="n"/>
      <c r="S3051" s="22" t="n"/>
      <c r="U3051" s="390" t="n"/>
      <c r="V3051" s="22" t="n"/>
      <c r="W3051" s="22" t="n"/>
      <c r="X3051" s="22" t="n"/>
      <c r="Y3051" s="13" t="n"/>
      <c r="Z3051" s="22" t="n"/>
      <c r="AA3051" s="22" t="n"/>
      <c r="AB3051" s="22" t="n"/>
      <c r="AC3051" s="22" t="n"/>
      <c r="AD3051" s="22" t="n"/>
      <c r="AE3051" s="22" t="n"/>
    </row>
    <row r="3052" ht="84" customHeight="1" s="380">
      <c r="A3052" s="144" t="n">
        <v>122</v>
      </c>
      <c r="B3052" s="390" t="n"/>
      <c r="C3052" s="390" t="inlineStr">
        <is>
          <t>Báo cáo tài chính quý, soát xét bán niên, kiểm toán năm - Chi nhánh công ty chứng khoán nước ngoài tại Việt Nam &gt;&gt; Thông tin kiểm toán</t>
        </is>
      </c>
      <c r="D3052" s="106" t="inlineStr">
        <is>
          <t>Mã sheet</t>
        </is>
      </c>
      <c r="E3052" s="106" t="inlineStr">
        <is>
          <t>Mã sheet</t>
        </is>
      </c>
      <c r="F3052" s="390" t="inlineStr">
        <is>
          <t>Data Explorer</t>
        </is>
      </c>
      <c r="G3052" s="390" t="inlineStr">
        <is>
          <t>Chiều</t>
        </is>
      </c>
      <c r="H3052" s="390" t="inlineStr">
        <is>
          <t>Dễ</t>
        </is>
      </c>
      <c r="I3052" s="390" t="inlineStr">
        <is>
          <t>Ngày, CTCK</t>
        </is>
      </c>
      <c r="J3052" s="401" t="inlineStr">
        <is>
          <t>SCMS</t>
        </is>
      </c>
      <c r="K3052" s="401" t="inlineStr">
        <is>
          <t>X</t>
        </is>
      </c>
      <c r="L3052" s="401" t="inlineStr">
        <is>
          <t>X</t>
        </is>
      </c>
      <c r="M3052" s="401" t="n"/>
      <c r="N3052" s="401" t="inlineStr">
        <is>
          <t>Done</t>
        </is>
      </c>
      <c r="O3052" s="401" t="n"/>
      <c r="P3052" s="22" t="n"/>
      <c r="Q3052" s="401" t="inlineStr">
        <is>
          <t>SCMS.BM_BAO_CAO
SCMS.BM_SHEET</t>
        </is>
      </c>
      <c r="R3052" s="401" t="inlineStr">
        <is>
          <t>bm.ID,
bm.MA_BAO_CAO,
bm.SU_DUNG,
s.BM_BAO_CAO_ID,
s.MA_SHEET,
s.TEN_SHEET,
s.SAP_XEP</t>
        </is>
      </c>
      <c r="S3052" s="22" t="n"/>
      <c r="T3052" s="389" t="inlineStr">
        <is>
          <t>-- Mã sheet / Tên sheet
-- TEN_SHEET: KT
SELECT bm.MA_BAO_CAO,
s.MA_SHEET,
s.TEN_SHEET
FROM SCMS.BM_BAO_CAO bm
JOIN SCMS.BM_SHEET s ON s.BM_BAO_CAO_ID = bm.ID
WHERE bm.MA_BAO_CAO LIKE 'BCTCRLCTCK'
AND s.TEN_SHEET = 'KT'  -- Check lại
AND bm.SU_DUNG = 1
ORDER BY bm.MA_BAO_CAO, s.SAP_XEP;</t>
        </is>
      </c>
      <c r="U3052" s="390" t="n"/>
      <c r="V3052" s="22" t="n"/>
      <c r="W3052" s="22" t="n"/>
      <c r="X3052" s="22" t="n"/>
      <c r="Y3052" s="13" t="n"/>
      <c r="Z3052" s="22" t="n"/>
      <c r="AA3052" s="22" t="n"/>
      <c r="AB3052" s="22" t="n"/>
      <c r="AC3052" s="22" t="n"/>
      <c r="AD3052" s="22" t="n"/>
      <c r="AE3052" s="22" t="n"/>
    </row>
    <row r="3053" ht="84" customHeight="1" s="380">
      <c r="A3053" s="144" t="n">
        <v>122</v>
      </c>
      <c r="B3053" s="390" t="n"/>
      <c r="C3053" s="390" t="inlineStr">
        <is>
          <t>Báo cáo tài chính quý, soát xét bán niên, kiểm toán năm - Chi nhánh công ty chứng khoán nước ngoài tại Việt Nam &gt;&gt; Thông tin kiểm toán</t>
        </is>
      </c>
      <c r="D3053" s="106" t="inlineStr">
        <is>
          <t>Tên sheet</t>
        </is>
      </c>
      <c r="E3053" s="106" t="inlineStr">
        <is>
          <t>Tên sheet</t>
        </is>
      </c>
      <c r="F3053" s="390" t="inlineStr">
        <is>
          <t>Data Explorer</t>
        </is>
      </c>
      <c r="G3053" s="390" t="inlineStr">
        <is>
          <t>Chiều</t>
        </is>
      </c>
      <c r="H3053" s="390" t="inlineStr">
        <is>
          <t>Dễ</t>
        </is>
      </c>
      <c r="I3053" s="390" t="inlineStr">
        <is>
          <t>Ngày, CTCK</t>
        </is>
      </c>
      <c r="J3053" s="401" t="inlineStr">
        <is>
          <t>SCMS</t>
        </is>
      </c>
      <c r="K3053" s="401" t="inlineStr">
        <is>
          <t>X</t>
        </is>
      </c>
      <c r="L3053" s="401" t="inlineStr">
        <is>
          <t>X</t>
        </is>
      </c>
      <c r="M3053" s="401" t="n"/>
      <c r="N3053" s="401" t="inlineStr">
        <is>
          <t>Done</t>
        </is>
      </c>
      <c r="O3053" s="401" t="n"/>
      <c r="P3053" s="22" t="n"/>
      <c r="S3053" s="22" t="n"/>
      <c r="U3053" s="390" t="n"/>
      <c r="V3053" s="22" t="n"/>
      <c r="W3053" s="22" t="n"/>
      <c r="X3053" s="22" t="n"/>
      <c r="Y3053" s="13" t="n"/>
      <c r="Z3053" s="22" t="n"/>
      <c r="AA3053" s="22" t="n"/>
      <c r="AB3053" s="22" t="n"/>
      <c r="AC3053" s="22" t="n"/>
      <c r="AD3053" s="22" t="n"/>
      <c r="AE3053" s="22" t="n"/>
    </row>
    <row r="3054" ht="84" customHeight="1" s="380">
      <c r="A3054" s="144" t="n">
        <v>122</v>
      </c>
      <c r="B3054" s="390" t="n"/>
      <c r="C3054" s="390" t="inlineStr">
        <is>
          <t>Báo cáo tài chính quý, soát xét bán niên, kiểm toán năm - Chi nhánh công ty chứng khoán nước ngoài tại Việt Nam &gt;&gt; Thông tin kiểm toán</t>
        </is>
      </c>
      <c r="D3054" s="106" t="inlineStr">
        <is>
          <t>Mã chỉ tiêu</t>
        </is>
      </c>
      <c r="E3054" s="107" t="inlineStr">
        <is>
          <t>Mã chỉ tiêu</t>
        </is>
      </c>
      <c r="F3054" s="390" t="inlineStr">
        <is>
          <t>Data Explorer</t>
        </is>
      </c>
      <c r="G3054" s="390" t="inlineStr">
        <is>
          <t>Chiều</t>
        </is>
      </c>
      <c r="H3054" s="390" t="inlineStr">
        <is>
          <t>Dễ</t>
        </is>
      </c>
      <c r="I3054" s="390" t="inlineStr">
        <is>
          <t>Ngày, CTCK</t>
        </is>
      </c>
      <c r="J3054" s="401" t="inlineStr">
        <is>
          <t>SCMS</t>
        </is>
      </c>
      <c r="K3054" s="401" t="inlineStr">
        <is>
          <t>X</t>
        </is>
      </c>
      <c r="L3054" s="401" t="inlineStr">
        <is>
          <t>X</t>
        </is>
      </c>
      <c r="M3054" s="401" t="n"/>
      <c r="N3054" s="401" t="inlineStr">
        <is>
          <t>Done</t>
        </is>
      </c>
      <c r="O3054" s="401" t="n"/>
      <c r="P3054" s="22" t="n"/>
      <c r="Q3054" s="401" t="inlineStr">
        <is>
          <t>SCMS.BM_BAO_CAO
SCMS.BM_SHEET
SCMS.BM_BAO_CAO_CT
SCMS.DM_CHI_TIEU</t>
        </is>
      </c>
      <c r="R3054" s="402" t="inlineStr">
        <is>
          <t>dct.ID,
dct.MA_CHI_TIEU,
dct.TEN_CHI_TIEU,
dct.SU_DUNG,
s.BM_BAO_CAO_ID,
s.MA_SHEET,
ct.BM_BAO_CAO_ID,
ct.DM_CHI_TIEU_ID,
ct.SU_DUNG,
bm.ID,
bm.MA_BAO_CAO,
bm.SU_DUNG</t>
        </is>
      </c>
      <c r="S3054" s="22" t="n"/>
      <c r="T3054" s="389" t="inlineStr">
        <is>
          <t>-- Mã chỉ tiêu / Tên chỉ tiêu
SELECT DISTINCT
    dct.MA_CHI_TIEU  AS ma_chi_tieu,
    dct.TEN_CHI_TIEU AS ten_chi_tieu
FROM SCMS.BM_BAO_CAO bm
JOIN SCMS.BM_SHEET s ON s.BM_BAO_CAO_ID = bm.ID
        AND s.TEN_SHEET = 'KT'
JOIN SCMS.BM_BAO_CAO_CT ct ON ct.BM_SHEET_ID = s.ID
        AND ct.SU_DUNG = 1
JOIN SCMS.DM_CHI_TIEU dct ON dct.ID = ct.DM_CHI_TIEU_ID
        AND dct.SU_DUNG = 1
WHERE bm.MA_BAO_CAO LIKE 'BCTCRLCTCK'
        AND bm.SU_DUNG = 1
ORDER BY dct.MA_CHI_TIEU;</t>
        </is>
      </c>
      <c r="U3054" s="390" t="n"/>
      <c r="V3054" s="22" t="n"/>
      <c r="W3054" s="22" t="n"/>
      <c r="X3054" s="22" t="n"/>
      <c r="Y3054" s="13" t="n"/>
      <c r="Z3054" s="22" t="n"/>
      <c r="AA3054" s="22" t="n"/>
      <c r="AB3054" s="22" t="n"/>
      <c r="AC3054" s="22" t="n"/>
      <c r="AD3054" s="22" t="n"/>
      <c r="AE3054" s="22" t="n"/>
    </row>
    <row r="3055" ht="84" customHeight="1" s="380">
      <c r="A3055" s="144" t="n">
        <v>122</v>
      </c>
      <c r="B3055" s="390" t="n"/>
      <c r="C3055" s="390" t="inlineStr">
        <is>
          <t>Báo cáo tài chính quý, soát xét bán niên, kiểm toán năm - Chi nhánh công ty chứng khoán nước ngoài tại Việt Nam &gt;&gt; Thông tin kiểm toán</t>
        </is>
      </c>
      <c r="D3055" s="106" t="inlineStr">
        <is>
          <t>Tên chỉ tiêu</t>
        </is>
      </c>
      <c r="E3055" s="107" t="inlineStr">
        <is>
          <t>Tên chỉ tiêu</t>
        </is>
      </c>
      <c r="F3055" s="390" t="inlineStr">
        <is>
          <t>Data Explorer</t>
        </is>
      </c>
      <c r="G3055" s="390" t="inlineStr">
        <is>
          <t>Chiều</t>
        </is>
      </c>
      <c r="H3055" s="390" t="inlineStr">
        <is>
          <t>Dễ</t>
        </is>
      </c>
      <c r="I3055" s="390" t="inlineStr">
        <is>
          <t>Ngày, CTCK</t>
        </is>
      </c>
      <c r="J3055" s="401" t="inlineStr">
        <is>
          <t>SCMS</t>
        </is>
      </c>
      <c r="K3055" s="401" t="inlineStr">
        <is>
          <t>X</t>
        </is>
      </c>
      <c r="L3055" s="401" t="inlineStr">
        <is>
          <t>X</t>
        </is>
      </c>
      <c r="M3055" s="401" t="n"/>
      <c r="N3055" s="401" t="inlineStr">
        <is>
          <t>Done</t>
        </is>
      </c>
      <c r="O3055" s="401" t="n"/>
      <c r="P3055" s="22" t="n"/>
      <c r="S3055" s="22" t="n"/>
      <c r="U3055" s="390" t="n"/>
      <c r="V3055" s="22" t="n"/>
      <c r="W3055" s="22" t="n"/>
      <c r="X3055" s="22" t="n"/>
      <c r="Y3055" s="13" t="n"/>
      <c r="Z3055" s="22" t="n"/>
      <c r="AA3055" s="22" t="n"/>
      <c r="AB3055" s="22" t="n"/>
      <c r="AC3055" s="22" t="n"/>
      <c r="AD3055" s="22" t="n"/>
      <c r="AE3055" s="22" t="n"/>
    </row>
    <row r="3056" ht="84" customHeight="1" s="380">
      <c r="A3056" s="144" t="n">
        <v>122</v>
      </c>
      <c r="B3056" s="390" t="n"/>
      <c r="C3056" s="390" t="inlineStr">
        <is>
          <t>Báo cáo tài chính quý, soát xét bán niên, kiểm toán năm - Chi nhánh công ty chứng khoán nước ngoài tại Việt Nam &gt;&gt; Thông tin kiểm toán</t>
        </is>
      </c>
      <c r="D3056" s="390" t="inlineStr">
        <is>
          <t>Người đại diện KT</t>
        </is>
      </c>
      <c r="E3056" s="401" t="inlineStr">
        <is>
          <t>Người đại diện KT</t>
        </is>
      </c>
      <c r="F3056" s="390" t="inlineStr">
        <is>
          <t>Data Explorer</t>
        </is>
      </c>
      <c r="G3056" s="390" t="inlineStr">
        <is>
          <t>Chỉ tiêu cơ sở</t>
        </is>
      </c>
      <c r="H3056" s="390" t="inlineStr">
        <is>
          <t>Dễ</t>
        </is>
      </c>
      <c r="I3056" s="390" t="inlineStr">
        <is>
          <t>Ngày, CTCK</t>
        </is>
      </c>
      <c r="J3056" s="401" t="inlineStr">
        <is>
          <t>SCMS</t>
        </is>
      </c>
      <c r="K3056" s="401" t="n"/>
      <c r="L3056" s="401" t="inlineStr">
        <is>
          <t>X</t>
        </is>
      </c>
      <c r="M3056" s="401" t="n"/>
      <c r="N3056" s="401" t="inlineStr">
        <is>
          <t>Done</t>
        </is>
      </c>
      <c r="O3056" s="401" t="n"/>
      <c r="P3056" s="22" t="n"/>
      <c r="Q3056" s="431" t="inlineStr">
        <is>
          <t>SCMS.BC_THANH_VIEN
SCMS.BM_BAO_CAO
SCMS.BC_BAO_CAO_GT
SCMS.BM_BAO_CAO_HANG
SCMS.BM_BAO_CAO_COT</t>
        </is>
      </c>
      <c r="R3056" s="431" t="inlineStr">
        <is>
          <t>bsc.TEN_COT,
bsc.BM_SHEET_ID,
bsh.ID,
bsh.MA_HANG,
gt.GIA_TRI,
gt.BC_THANH_VIEN_ID,
gt.BM_SHEET_HANG_ID,
bm.ID,
bm.MA_BAO_CAO,
btv.ID,
btv.BM_BAO_CAO_ID,
btv.TRANG_THAI,
btv.NGAY_SO_LIEU</t>
        </is>
      </c>
      <c r="S3056" s="22" t="n"/>
      <c r="T3056" s="432" t="inlineStr">
        <is>
          <t>-- CHỈ TIÊU
SELECT
    MAX(CASE WHEN bsc.TEN_COT=N'Người đại diện KT' THEN CAST(gt.GIA_TRI AS VARCHAR2(4000)) END) AS "Người đại diện KT",
    MAX(CASE WHEN bsc.TEN_COT=N'Chức vụ' THEN CAST(gt.GIA_TRI AS VARCHAR2(4000)) END) AS "Chức vụ",
    MAX(CASE WHEN bsc.TEN_COT=N'Giấy chứng nhận' AND bsc.MA_COT = '3' THEN CAST(gt.GIA_TRI AS VARCHAR2(4000)) END) AS "Giấy chứng nhận đại diện KT",
    MAX(CASE WHEN bsc.TEN_COT=N'Người kiểm toán' THEN CAST(gt.GIA_TRI AS VARCHAR2(4000)) END) AS "Người kiểm toán",
    MAX(CASE WHEN bsc.TEN_COT=N'Giấy chứng nhận' AND bsc.MA_COT = '5' THEN CAST(gt.GIA_TRI AS VARCHAR2(4000)) END) AS "Giấy chứng nhận người KT",
    MAX(CASE WHEN bsc.TEN_COT=N'Ngày kiểm toán' AND bsc.MA_COT = '6' THEN CAST(gt.GIA_TRI AS VARCHAR2(4000)) END) AS "Ngày kiểm toán từ",
    MAX(CASE WHEN bsc.TEN_COT=N'Ngày kiểm toán' AND bsc.MA_COT = '7' THEN CAST(gt.GIA_TRI AS VARCHAR2(4000)) END) AS "Ngày kiểm toán đến",
    MAX(CASE WHEN bsc.TEN_COT=N'Ý kiến kiểm toán' THEN CAST(gt.GIA_TRI AS VARCHAR2(4000)) END) AS "Ý kiến kiểm toán"
FROM SCMS.BC_THANH_VIEN btv
JOIN SCMS.BM_BAO_CAO bm ON bm.ID = btv.BM_BAO_CAO_ID
JOIN SCMS.BC_BAO_CAO_GT gt ON gt.BC_THANH_VIEN_ID = btv.ID
JOIN SCMS.BM_BAO_CAO_COT bsc ON bsc.BM_SHEET_ID = 5892
--                               AND bsc.TEN_COT = gt.TEN_COT
WHERE bm.MA_BAO_CAO LIKE 'BCTCRLCTCK'
  AND btv.TRANG_THAI IN (2, 3)
GROUP BY btv.ID, btv.NGAY_SO_LIEU
ORDER BY btv.NGAY_SO_LIEU DESC;</t>
        </is>
      </c>
      <c r="U3056" s="390" t="inlineStr">
        <is>
          <t>Không có thông tin</t>
        </is>
      </c>
      <c r="V3056" s="22" t="n"/>
      <c r="W3056" s="22" t="n"/>
      <c r="X3056" s="22" t="n"/>
      <c r="Y3056" s="38" t="n"/>
      <c r="Z3056" s="22" t="n"/>
      <c r="AA3056" s="22" t="n"/>
      <c r="AB3056" s="22" t="n"/>
      <c r="AC3056" s="22" t="n"/>
      <c r="AD3056" s="22" t="n"/>
      <c r="AE3056" s="22" t="n"/>
    </row>
    <row r="3057" ht="84" customHeight="1" s="380">
      <c r="A3057" s="144" t="n">
        <v>122</v>
      </c>
      <c r="B3057" s="390" t="n"/>
      <c r="C3057" s="390" t="inlineStr">
        <is>
          <t>Báo cáo tài chính quý, soát xét bán niên, kiểm toán năm - Chi nhánh công ty chứng khoán nước ngoài tại Việt Nam &gt;&gt; Thông tin kiểm toán</t>
        </is>
      </c>
      <c r="D3057" s="390" t="inlineStr">
        <is>
          <t>Chức vụ</t>
        </is>
      </c>
      <c r="E3057" s="401" t="inlineStr">
        <is>
          <t>Chức vụ</t>
        </is>
      </c>
      <c r="F3057" s="390" t="inlineStr">
        <is>
          <t>Data Explorer</t>
        </is>
      </c>
      <c r="G3057" s="390" t="inlineStr">
        <is>
          <t>Chỉ tiêu cơ sở</t>
        </is>
      </c>
      <c r="H3057" s="390" t="inlineStr">
        <is>
          <t>Dễ</t>
        </is>
      </c>
      <c r="I3057" s="390" t="inlineStr">
        <is>
          <t>Ngày, CTCK</t>
        </is>
      </c>
      <c r="J3057" s="401" t="inlineStr">
        <is>
          <t>SCMS</t>
        </is>
      </c>
      <c r="K3057" s="401" t="n"/>
      <c r="L3057" s="401" t="inlineStr">
        <is>
          <t>X</t>
        </is>
      </c>
      <c r="M3057" s="401" t="n"/>
      <c r="N3057" s="401" t="inlineStr">
        <is>
          <t>Done</t>
        </is>
      </c>
      <c r="O3057" s="401" t="n"/>
      <c r="P3057" s="22" t="n"/>
      <c r="S3057" s="22" t="n"/>
      <c r="U3057" s="390" t="inlineStr">
        <is>
          <t>Không có thông tin</t>
        </is>
      </c>
      <c r="V3057" s="22" t="n"/>
      <c r="W3057" s="22" t="n"/>
      <c r="X3057" s="22" t="n"/>
      <c r="Y3057" s="13" t="n"/>
      <c r="Z3057" s="22" t="n"/>
      <c r="AA3057" s="22" t="n"/>
      <c r="AB3057" s="22" t="n"/>
      <c r="AC3057" s="22" t="n"/>
      <c r="AD3057" s="22" t="n"/>
      <c r="AE3057" s="22" t="n"/>
    </row>
    <row r="3058" ht="84" customHeight="1" s="380">
      <c r="A3058" s="144" t="n">
        <v>122</v>
      </c>
      <c r="B3058" s="390" t="n"/>
      <c r="C3058" s="390" t="inlineStr">
        <is>
          <t>Báo cáo tài chính quý, soát xét bán niên, kiểm toán năm - Chi nhánh công ty chứng khoán nước ngoài tại Việt Nam &gt;&gt; Thông tin kiểm toán</t>
        </is>
      </c>
      <c r="D3058" s="390" t="inlineStr">
        <is>
          <t>Giấy chứng nhận</t>
        </is>
      </c>
      <c r="E3058" s="401" t="inlineStr">
        <is>
          <t>Giấy chứng nhận</t>
        </is>
      </c>
      <c r="F3058" s="390" t="inlineStr">
        <is>
          <t>Data Explorer</t>
        </is>
      </c>
      <c r="G3058" s="390" t="inlineStr">
        <is>
          <t>Chỉ tiêu cơ sở</t>
        </is>
      </c>
      <c r="H3058" s="390" t="inlineStr">
        <is>
          <t>Dễ</t>
        </is>
      </c>
      <c r="I3058" s="390" t="inlineStr">
        <is>
          <t>Ngày, CTCK</t>
        </is>
      </c>
      <c r="J3058" s="401" t="inlineStr">
        <is>
          <t>SCMS</t>
        </is>
      </c>
      <c r="K3058" s="401" t="n"/>
      <c r="L3058" s="401" t="inlineStr">
        <is>
          <t>X</t>
        </is>
      </c>
      <c r="M3058" s="401" t="n"/>
      <c r="N3058" s="401" t="inlineStr">
        <is>
          <t>Done</t>
        </is>
      </c>
      <c r="O3058" s="401" t="n"/>
      <c r="P3058" s="22" t="n"/>
      <c r="S3058" s="22" t="n"/>
      <c r="U3058" s="390" t="inlineStr">
        <is>
          <t>Không có thông tin</t>
        </is>
      </c>
      <c r="V3058" s="22" t="n"/>
      <c r="W3058" s="22" t="n"/>
      <c r="X3058" s="22" t="n"/>
      <c r="Y3058" s="13" t="n"/>
      <c r="Z3058" s="22" t="n"/>
      <c r="AA3058" s="22" t="n"/>
      <c r="AB3058" s="22" t="n"/>
      <c r="AC3058" s="22" t="n"/>
      <c r="AD3058" s="22" t="n"/>
      <c r="AE3058" s="22" t="n"/>
    </row>
    <row r="3059" ht="84" customHeight="1" s="380">
      <c r="A3059" s="144" t="n">
        <v>122</v>
      </c>
      <c r="B3059" s="390" t="n"/>
      <c r="C3059" s="390" t="inlineStr">
        <is>
          <t>Báo cáo tài chính quý, soát xét bán niên, kiểm toán năm - Chi nhánh công ty chứng khoán nước ngoài tại Việt Nam &gt;&gt; Thông tin kiểm toán</t>
        </is>
      </c>
      <c r="D3059" s="390" t="inlineStr">
        <is>
          <t>Người kiểm toán</t>
        </is>
      </c>
      <c r="E3059" s="401" t="inlineStr">
        <is>
          <t>Người kiểm toán</t>
        </is>
      </c>
      <c r="F3059" s="390" t="inlineStr">
        <is>
          <t>Data Explorer</t>
        </is>
      </c>
      <c r="G3059" s="390" t="inlineStr">
        <is>
          <t>Chỉ tiêu cơ sở</t>
        </is>
      </c>
      <c r="H3059" s="390" t="inlineStr">
        <is>
          <t>Dễ</t>
        </is>
      </c>
      <c r="I3059" s="390" t="inlineStr">
        <is>
          <t>Ngày, CTCK</t>
        </is>
      </c>
      <c r="J3059" s="401" t="inlineStr">
        <is>
          <t>SCMS</t>
        </is>
      </c>
      <c r="K3059" s="401" t="n"/>
      <c r="L3059" s="401" t="inlineStr">
        <is>
          <t>X</t>
        </is>
      </c>
      <c r="M3059" s="401" t="n"/>
      <c r="N3059" s="401" t="inlineStr">
        <is>
          <t>Done</t>
        </is>
      </c>
      <c r="O3059" s="401" t="n"/>
      <c r="P3059" s="22" t="n"/>
      <c r="S3059" s="22" t="n"/>
      <c r="U3059" s="390" t="inlineStr">
        <is>
          <t>Không có thông tin</t>
        </is>
      </c>
      <c r="V3059" s="22" t="n"/>
      <c r="W3059" s="22" t="n"/>
      <c r="X3059" s="22" t="n"/>
      <c r="Y3059" s="13" t="n"/>
      <c r="Z3059" s="22" t="n"/>
      <c r="AA3059" s="22" t="n"/>
      <c r="AB3059" s="22" t="n"/>
      <c r="AC3059" s="22" t="n"/>
      <c r="AD3059" s="22" t="n"/>
      <c r="AE3059" s="22" t="n"/>
    </row>
    <row r="3060" ht="84" customHeight="1" s="380">
      <c r="A3060" s="144" t="n">
        <v>122</v>
      </c>
      <c r="B3060" s="390" t="n"/>
      <c r="C3060" s="390" t="inlineStr">
        <is>
          <t>Báo cáo tài chính quý, soát xét bán niên, kiểm toán năm - Chi nhánh công ty chứng khoán nước ngoài tại Việt Nam &gt;&gt; Thông tin kiểm toán</t>
        </is>
      </c>
      <c r="D3060" s="390" t="inlineStr">
        <is>
          <t>Giấy chứng nhận</t>
        </is>
      </c>
      <c r="E3060" s="401" t="inlineStr">
        <is>
          <t>Giấy chứng nhận</t>
        </is>
      </c>
      <c r="F3060" s="390" t="inlineStr">
        <is>
          <t>Data Explorer</t>
        </is>
      </c>
      <c r="G3060" s="390" t="inlineStr">
        <is>
          <t>Chỉ tiêu cơ sở</t>
        </is>
      </c>
      <c r="H3060" s="390" t="inlineStr">
        <is>
          <t>Dễ</t>
        </is>
      </c>
      <c r="I3060" s="390" t="inlineStr">
        <is>
          <t>Ngày, CTCK</t>
        </is>
      </c>
      <c r="J3060" s="401" t="inlineStr">
        <is>
          <t>SCMS</t>
        </is>
      </c>
      <c r="K3060" s="401" t="n"/>
      <c r="L3060" s="401" t="inlineStr">
        <is>
          <t>X</t>
        </is>
      </c>
      <c r="M3060" s="401" t="n"/>
      <c r="N3060" s="401" t="inlineStr">
        <is>
          <t>Done</t>
        </is>
      </c>
      <c r="O3060" s="401" t="n"/>
      <c r="P3060" s="22" t="n"/>
      <c r="S3060" s="22" t="n"/>
      <c r="U3060" s="390" t="inlineStr">
        <is>
          <t>Không có thông tin</t>
        </is>
      </c>
      <c r="V3060" s="22" t="n"/>
      <c r="W3060" s="22" t="n"/>
      <c r="X3060" s="22" t="n"/>
      <c r="Y3060" s="13" t="n"/>
      <c r="Z3060" s="22" t="n"/>
      <c r="AA3060" s="22" t="n"/>
      <c r="AB3060" s="22" t="n"/>
      <c r="AC3060" s="22" t="n"/>
      <c r="AD3060" s="22" t="n"/>
      <c r="AE3060" s="22" t="n"/>
    </row>
    <row r="3061" ht="84" customHeight="1" s="380">
      <c r="A3061" s="144" t="n">
        <v>122</v>
      </c>
      <c r="B3061" s="390" t="n"/>
      <c r="C3061" s="390" t="inlineStr">
        <is>
          <t>Báo cáo tài chính quý, soát xét bán niên, kiểm toán năm - Chi nhánh công ty chứng khoán nước ngoài tại Việt Nam &gt;&gt; Thông tin kiểm toán</t>
        </is>
      </c>
      <c r="D3061" s="390" t="inlineStr">
        <is>
          <t>Ngày kiểm toán</t>
        </is>
      </c>
      <c r="E3061" s="401" t="inlineStr">
        <is>
          <t>Ngày kiểm toán</t>
        </is>
      </c>
      <c r="F3061" s="390" t="inlineStr">
        <is>
          <t>Data Explorer</t>
        </is>
      </c>
      <c r="G3061" s="390" t="inlineStr">
        <is>
          <t>Chỉ tiêu cơ sở</t>
        </is>
      </c>
      <c r="H3061" s="390" t="inlineStr">
        <is>
          <t>Dễ</t>
        </is>
      </c>
      <c r="I3061" s="390" t="inlineStr">
        <is>
          <t>Ngày, CTCK</t>
        </is>
      </c>
      <c r="J3061" s="401" t="inlineStr">
        <is>
          <t>SCMS</t>
        </is>
      </c>
      <c r="K3061" s="401" t="n"/>
      <c r="L3061" s="401" t="inlineStr">
        <is>
          <t>X</t>
        </is>
      </c>
      <c r="M3061" s="401" t="n"/>
      <c r="N3061" s="401" t="inlineStr">
        <is>
          <t>Done</t>
        </is>
      </c>
      <c r="O3061" s="401" t="n"/>
      <c r="P3061" s="22" t="n"/>
      <c r="S3061" s="22" t="n"/>
      <c r="U3061" s="390" t="inlineStr">
        <is>
          <t>Không có thông tin</t>
        </is>
      </c>
      <c r="V3061" s="22" t="n"/>
      <c r="W3061" s="22" t="n"/>
      <c r="X3061" s="22" t="n"/>
      <c r="Y3061" s="13" t="n"/>
      <c r="Z3061" s="22" t="n"/>
      <c r="AA3061" s="22" t="n"/>
      <c r="AB3061" s="22" t="n"/>
      <c r="AC3061" s="22" t="n"/>
      <c r="AD3061" s="22" t="n"/>
      <c r="AE3061" s="22" t="n"/>
    </row>
    <row r="3062" ht="84" customHeight="1" s="380">
      <c r="A3062" s="144" t="n">
        <v>122</v>
      </c>
      <c r="B3062" s="390" t="n"/>
      <c r="C3062" s="390" t="inlineStr">
        <is>
          <t>Báo cáo tài chính quý, soát xét bán niên, kiểm toán năm - Chi nhánh công ty chứng khoán nước ngoài tại Việt Nam &gt;&gt; Thông tin kiểm toán</t>
        </is>
      </c>
      <c r="D3062" s="390" t="inlineStr">
        <is>
          <t>Ngày kiểm toán</t>
        </is>
      </c>
      <c r="E3062" s="401" t="inlineStr">
        <is>
          <t>Ngày kiểm toán</t>
        </is>
      </c>
      <c r="F3062" s="390" t="inlineStr">
        <is>
          <t>Data Explorer</t>
        </is>
      </c>
      <c r="G3062" s="390" t="inlineStr">
        <is>
          <t>Chỉ tiêu cơ sở</t>
        </is>
      </c>
      <c r="H3062" s="390" t="inlineStr">
        <is>
          <t>Dễ</t>
        </is>
      </c>
      <c r="I3062" s="390" t="inlineStr">
        <is>
          <t>Ngày, CTCK</t>
        </is>
      </c>
      <c r="J3062" s="401" t="inlineStr">
        <is>
          <t>SCMS</t>
        </is>
      </c>
      <c r="K3062" s="401" t="n"/>
      <c r="L3062" s="401" t="inlineStr">
        <is>
          <t>X</t>
        </is>
      </c>
      <c r="M3062" s="401" t="n"/>
      <c r="N3062" s="401" t="inlineStr">
        <is>
          <t>Done</t>
        </is>
      </c>
      <c r="O3062" s="401" t="n"/>
      <c r="P3062" s="22" t="n"/>
      <c r="S3062" s="22" t="n"/>
      <c r="U3062" s="390" t="inlineStr">
        <is>
          <t>Không có thông tin</t>
        </is>
      </c>
      <c r="V3062" s="22" t="n"/>
      <c r="W3062" s="22" t="n"/>
      <c r="X3062" s="22" t="n"/>
      <c r="Y3062" s="13" t="n"/>
      <c r="Z3062" s="22" t="n"/>
      <c r="AA3062" s="22" t="n"/>
      <c r="AB3062" s="22" t="n"/>
      <c r="AC3062" s="22" t="n"/>
      <c r="AD3062" s="22" t="n"/>
      <c r="AE3062" s="22" t="n"/>
    </row>
    <row r="3063" ht="84" customHeight="1" s="380">
      <c r="A3063" s="145" t="n">
        <v>122</v>
      </c>
      <c r="B3063" s="129" t="n"/>
      <c r="C3063" s="129" t="inlineStr">
        <is>
          <t>Báo cáo tài chính quý, soát xét bán niên, kiểm toán năm - Chi nhánh công ty chứng khoán nước ngoài tại Việt Nam &gt;&gt; Thông tin kiểm toán</t>
        </is>
      </c>
      <c r="D3063" s="129" t="inlineStr">
        <is>
          <t>Ý kiến kiểm toán</t>
        </is>
      </c>
      <c r="E3063" s="85" t="inlineStr">
        <is>
          <t>Ý kiến kiểm toán</t>
        </is>
      </c>
      <c r="F3063" s="129" t="inlineStr">
        <is>
          <t>Data Explorer</t>
        </is>
      </c>
      <c r="G3063" s="129" t="inlineStr">
        <is>
          <t>Chỉ tiêu cơ sở</t>
        </is>
      </c>
      <c r="H3063" s="129" t="inlineStr">
        <is>
          <t>Dễ</t>
        </is>
      </c>
      <c r="I3063" s="129" t="inlineStr">
        <is>
          <t>Ngày, CTCK</t>
        </is>
      </c>
      <c r="J3063" s="85" t="inlineStr">
        <is>
          <t>SCMS</t>
        </is>
      </c>
      <c r="K3063" s="85" t="n"/>
      <c r="L3063" s="85" t="inlineStr">
        <is>
          <t>X</t>
        </is>
      </c>
      <c r="M3063" s="85" t="n"/>
      <c r="N3063" s="85" t="inlineStr">
        <is>
          <t>Done</t>
        </is>
      </c>
      <c r="O3063" s="85" t="n"/>
      <c r="P3063" s="130" t="n"/>
      <c r="Q3063" s="426" t="n"/>
      <c r="R3063" s="426" t="n"/>
      <c r="S3063" s="130" t="n"/>
      <c r="T3063" s="426" t="n"/>
      <c r="U3063" s="129" t="inlineStr">
        <is>
          <t>Không có thông tin</t>
        </is>
      </c>
      <c r="V3063" s="130" t="n"/>
      <c r="W3063" s="130" t="n"/>
      <c r="X3063" s="130" t="n"/>
      <c r="Y3063" s="97" t="n"/>
      <c r="Z3063" s="130" t="n"/>
      <c r="AA3063" s="130" t="n"/>
      <c r="AB3063" s="130" t="n"/>
      <c r="AC3063" s="130" t="n"/>
      <c r="AD3063" s="130" t="n"/>
      <c r="AE3063" s="130" t="n"/>
    </row>
    <row r="3064" ht="98" customHeight="1" s="380">
      <c r="A3064" s="144" t="n">
        <v>123</v>
      </c>
      <c r="B3064" s="140" t="inlineStr">
        <is>
          <t>Nga</t>
        </is>
      </c>
      <c r="C3064" s="127" t="inlineStr">
        <is>
          <t>Báo cáo tài chính quý, soát xét bán niên, kiểm toán năm - Chi nhánh công ty chứng khoán nước ngoài tại Việt Nam &gt;&gt; Báo cáo tình hình tài chính riêng</t>
        </is>
      </c>
      <c r="D3064" s="106" t="inlineStr">
        <is>
          <t>Loại báo cáo</t>
        </is>
      </c>
      <c r="E3064" s="107" t="inlineStr">
        <is>
          <t>Loại báo cáo</t>
        </is>
      </c>
      <c r="F3064" s="390" t="inlineStr">
        <is>
          <t>Data Explorer</t>
        </is>
      </c>
      <c r="G3064" s="390" t="inlineStr">
        <is>
          <t>Chiều</t>
        </is>
      </c>
      <c r="H3064" s="390" t="inlineStr">
        <is>
          <t>Dễ</t>
        </is>
      </c>
      <c r="I3064" s="390" t="inlineStr">
        <is>
          <t>Ngày, CTCK</t>
        </is>
      </c>
      <c r="J3064" s="401" t="inlineStr">
        <is>
          <t>SCMS</t>
        </is>
      </c>
      <c r="K3064" s="401" t="inlineStr">
        <is>
          <t>X</t>
        </is>
      </c>
      <c r="L3064" s="401" t="inlineStr">
        <is>
          <t>X</t>
        </is>
      </c>
      <c r="M3064" s="401" t="n"/>
      <c r="N3064" s="401" t="inlineStr">
        <is>
          <t>Done</t>
        </is>
      </c>
      <c r="O3064" s="401" t="n"/>
      <c r="P3064" s="401" t="n"/>
      <c r="Q3064" s="404" t="inlineStr">
        <is>
          <t>SCMS.BM_BAO_CAO
SCMS.BM_BAO_CAO_DINH_KY</t>
        </is>
      </c>
      <c r="R3064" s="404" t="inlineStr">
        <is>
          <t>bm.ID,
bm.MA_BAO_CAO,
bm.LOAI_BAO_CAO,
bm.TEN_BAO_CAO,
bm.SU_DUNG,
bdk.BM_BAO_CAO_ID,
bdk.KY_BAO_CAO,
bdk.SU_DUNG</t>
        </is>
      </c>
      <c r="S3064" s="401" t="n"/>
      <c r="T3064" s="390"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U3064" s="401" t="n"/>
      <c r="V3064" s="22" t="n"/>
      <c r="W3064" s="22" t="n"/>
      <c r="X3064" s="22" t="n"/>
      <c r="Y3064" s="13" t="n"/>
      <c r="Z3064" s="22" t="n"/>
      <c r="AA3064" s="22" t="n"/>
      <c r="AB3064" s="22" t="n"/>
      <c r="AC3064" s="22" t="n"/>
      <c r="AD3064" s="22" t="n"/>
      <c r="AE3064" s="22" t="n"/>
    </row>
    <row r="3065" ht="98" customHeight="1" s="380">
      <c r="A3065" s="144" t="n">
        <v>123</v>
      </c>
      <c r="B3065" s="390" t="n"/>
      <c r="C3065" s="390" t="inlineStr">
        <is>
          <t>Báo cáo tài chính quý, soát xét bán niên, kiểm toán năm - Chi nhánh công ty chứng khoán nước ngoài tại Việt Nam &gt;&gt; Báo cáo tình hình tài chính riêng</t>
        </is>
      </c>
      <c r="D3065" s="106" t="inlineStr">
        <is>
          <t>Kỳ báo cáo</t>
        </is>
      </c>
      <c r="E3065" s="107" t="inlineStr">
        <is>
          <t>Kỳ báo cáo</t>
        </is>
      </c>
      <c r="F3065" s="390" t="inlineStr">
        <is>
          <t>Data Explorer</t>
        </is>
      </c>
      <c r="G3065" s="390" t="inlineStr">
        <is>
          <t>Chiều</t>
        </is>
      </c>
      <c r="H3065" s="390" t="inlineStr">
        <is>
          <t>Dễ</t>
        </is>
      </c>
      <c r="I3065" s="390" t="inlineStr">
        <is>
          <t>Ngày, CTCK</t>
        </is>
      </c>
      <c r="J3065" s="401" t="inlineStr">
        <is>
          <t>SCMS</t>
        </is>
      </c>
      <c r="K3065" s="401" t="inlineStr">
        <is>
          <t>X</t>
        </is>
      </c>
      <c r="L3065" s="401" t="inlineStr">
        <is>
          <t>X</t>
        </is>
      </c>
      <c r="M3065" s="401" t="n"/>
      <c r="N3065" s="401" t="inlineStr">
        <is>
          <t>Done</t>
        </is>
      </c>
      <c r="O3065" s="401" t="n"/>
      <c r="P3065" s="401" t="n"/>
      <c r="S3065" s="401" t="n"/>
      <c r="U3065" s="401" t="n"/>
      <c r="V3065" s="22" t="n"/>
      <c r="W3065" s="22" t="n"/>
      <c r="X3065" s="22" t="n"/>
      <c r="Y3065" s="13" t="n"/>
      <c r="Z3065" s="22" t="n"/>
      <c r="AA3065" s="22" t="n"/>
      <c r="AB3065" s="22" t="n"/>
      <c r="AC3065" s="22" t="n"/>
      <c r="AD3065" s="22" t="n"/>
      <c r="AE3065" s="22" t="n"/>
    </row>
    <row r="3066" ht="98" customHeight="1" s="380">
      <c r="A3066" s="144" t="n">
        <v>123</v>
      </c>
      <c r="B3066" s="390" t="n"/>
      <c r="C3066" s="390" t="inlineStr">
        <is>
          <t>Báo cáo tài chính quý, soát xét bán niên, kiểm toán năm - Chi nhánh công ty chứng khoán nước ngoài tại Việt Nam &gt;&gt; Báo cáo tình hình tài chính riêng</t>
        </is>
      </c>
      <c r="D3066" s="106" t="inlineStr">
        <is>
          <t>Mã báo cáo</t>
        </is>
      </c>
      <c r="E3066" s="107" t="inlineStr">
        <is>
          <t>Mã báo cáo</t>
        </is>
      </c>
      <c r="F3066" s="390" t="inlineStr">
        <is>
          <t>Data Explorer</t>
        </is>
      </c>
      <c r="G3066" s="390" t="inlineStr">
        <is>
          <t>Chiều</t>
        </is>
      </c>
      <c r="H3066" s="390" t="inlineStr">
        <is>
          <t>Dễ</t>
        </is>
      </c>
      <c r="I3066" s="390" t="inlineStr">
        <is>
          <t>Ngày, CTCK</t>
        </is>
      </c>
      <c r="J3066" s="401" t="inlineStr">
        <is>
          <t>SCMS</t>
        </is>
      </c>
      <c r="K3066" s="401" t="inlineStr">
        <is>
          <t>X</t>
        </is>
      </c>
      <c r="L3066" s="401" t="inlineStr">
        <is>
          <t>X</t>
        </is>
      </c>
      <c r="M3066" s="401" t="n"/>
      <c r="N3066" s="401" t="inlineStr">
        <is>
          <t>Done</t>
        </is>
      </c>
      <c r="O3066" s="401" t="n"/>
      <c r="P3066" s="401" t="n"/>
      <c r="S3066" s="401" t="n"/>
      <c r="U3066" s="401" t="n"/>
      <c r="V3066" s="22" t="n"/>
      <c r="W3066" s="22" t="n"/>
      <c r="X3066" s="22" t="n"/>
      <c r="Y3066" s="13" t="n"/>
      <c r="Z3066" s="22" t="n"/>
      <c r="AA3066" s="22" t="n"/>
      <c r="AB3066" s="22" t="n"/>
      <c r="AC3066" s="22" t="n"/>
      <c r="AD3066" s="22" t="n"/>
      <c r="AE3066" s="22" t="n"/>
    </row>
    <row r="3067" ht="98" customHeight="1" s="380">
      <c r="A3067" s="144" t="n">
        <v>123</v>
      </c>
      <c r="B3067" s="390" t="n"/>
      <c r="C3067" s="390" t="inlineStr">
        <is>
          <t>Báo cáo tài chính quý, soát xét bán niên, kiểm toán năm - Chi nhánh công ty chứng khoán nước ngoài tại Việt Nam &gt;&gt; Báo cáo tình hình tài chính riêng</t>
        </is>
      </c>
      <c r="D3067" s="106" t="inlineStr">
        <is>
          <t>Tên báo cáo</t>
        </is>
      </c>
      <c r="E3067" s="107" t="inlineStr">
        <is>
          <t>Tên báo cáo</t>
        </is>
      </c>
      <c r="F3067" s="390" t="inlineStr">
        <is>
          <t>Data Explorer</t>
        </is>
      </c>
      <c r="G3067" s="390" t="inlineStr">
        <is>
          <t>Chiều</t>
        </is>
      </c>
      <c r="H3067" s="390" t="inlineStr">
        <is>
          <t>Dễ</t>
        </is>
      </c>
      <c r="I3067" s="390" t="inlineStr">
        <is>
          <t>Ngày, CTCK</t>
        </is>
      </c>
      <c r="J3067" s="401" t="inlineStr">
        <is>
          <t>SCMS</t>
        </is>
      </c>
      <c r="K3067" s="401" t="inlineStr">
        <is>
          <t>X</t>
        </is>
      </c>
      <c r="L3067" s="401" t="inlineStr">
        <is>
          <t>X</t>
        </is>
      </c>
      <c r="M3067" s="401" t="n"/>
      <c r="N3067" s="401" t="inlineStr">
        <is>
          <t>Done</t>
        </is>
      </c>
      <c r="O3067" s="401" t="n"/>
      <c r="P3067" s="401" t="n"/>
      <c r="S3067" s="401" t="n"/>
      <c r="U3067" s="401" t="n"/>
      <c r="V3067" s="22" t="n"/>
      <c r="W3067" s="22" t="n"/>
      <c r="X3067" s="22" t="n"/>
      <c r="Y3067" s="13" t="n"/>
      <c r="Z3067" s="22" t="n"/>
      <c r="AA3067" s="22" t="n"/>
      <c r="AB3067" s="22" t="n"/>
      <c r="AC3067" s="22" t="n"/>
      <c r="AD3067" s="22" t="n"/>
      <c r="AE3067" s="22" t="n"/>
    </row>
    <row r="3068" ht="98" customHeight="1" s="380">
      <c r="A3068" s="144" t="n">
        <v>123</v>
      </c>
      <c r="B3068" s="390" t="n"/>
      <c r="C3068" s="390" t="inlineStr">
        <is>
          <t>Báo cáo tài chính quý, soát xét bán niên, kiểm toán năm - Chi nhánh công ty chứng khoán nước ngoài tại Việt Nam &gt;&gt; Báo cáo tình hình tài chính riêng</t>
        </is>
      </c>
      <c r="D3068" s="106" t="inlineStr">
        <is>
          <t>Mã sheet</t>
        </is>
      </c>
      <c r="E3068" s="106" t="inlineStr">
        <is>
          <t>Mã sheet</t>
        </is>
      </c>
      <c r="F3068" s="390" t="inlineStr">
        <is>
          <t>Data Explorer</t>
        </is>
      </c>
      <c r="G3068" s="390" t="inlineStr">
        <is>
          <t>Chiều</t>
        </is>
      </c>
      <c r="H3068" s="390" t="inlineStr">
        <is>
          <t>Dễ</t>
        </is>
      </c>
      <c r="I3068" s="390" t="inlineStr">
        <is>
          <t>Ngày, CTCK</t>
        </is>
      </c>
      <c r="J3068" s="401" t="inlineStr">
        <is>
          <t>SCMS</t>
        </is>
      </c>
      <c r="K3068" s="401" t="inlineStr">
        <is>
          <t>X</t>
        </is>
      </c>
      <c r="L3068" s="401" t="inlineStr">
        <is>
          <t>X</t>
        </is>
      </c>
      <c r="M3068" s="401" t="n"/>
      <c r="N3068" s="401" t="inlineStr">
        <is>
          <t>Done</t>
        </is>
      </c>
      <c r="O3068" s="401" t="n"/>
      <c r="P3068" s="401" t="n"/>
      <c r="Q3068" s="401" t="inlineStr">
        <is>
          <t>SCMS.BM_BAO_CAO
SCMS.BM_SHEET</t>
        </is>
      </c>
      <c r="R3068" s="401" t="inlineStr">
        <is>
          <t>bm.ID,
bm.MA_BAO_CAO,
bm.SU_DUNG,
s.BM_BAO_CAO_ID,
s.MA_SHEET,
s.TEN_SHEET,
s.SAP_XEP</t>
        </is>
      </c>
      <c r="S3068" s="401" t="n"/>
      <c r="T3068" s="389" t="inlineStr">
        <is>
          <t>-- Mã sheet / Tên sheet
-- TEN_SHEET: BCTCR
SELECT bm.MA_BAO_CAO,
s.MA_SHEET,
s.TEN_SHEET
FROM SCMS.BM_BAO_CAO bm
JOIN SCMS.BM_SHEET s ON s.BM_BAO_CAO_ID = bm.ID
WHERE bm.MA_BAO_CAO LIKE 'BCTCRLCTCK'
AND s.TEN_SHEET = 'BCTCR'  -- Check lại
AND bm.SU_DUNG = 1
ORDER BY bm.MA_BAO_CAO, s.SAP_XEP;</t>
        </is>
      </c>
      <c r="U3068" s="401" t="n"/>
      <c r="V3068" s="22" t="n"/>
      <c r="W3068" s="22" t="n"/>
      <c r="X3068" s="22" t="n"/>
      <c r="Y3068" s="13" t="n"/>
      <c r="Z3068" s="22" t="n"/>
      <c r="AA3068" s="22" t="n"/>
      <c r="AB3068" s="22" t="n"/>
      <c r="AC3068" s="22" t="n"/>
      <c r="AD3068" s="22" t="n"/>
      <c r="AE3068" s="22" t="n"/>
    </row>
    <row r="3069" ht="98" customHeight="1" s="380">
      <c r="A3069" s="144" t="n">
        <v>123</v>
      </c>
      <c r="B3069" s="390" t="n"/>
      <c r="C3069" s="390" t="inlineStr">
        <is>
          <t>Báo cáo tài chính quý, soát xét bán niên, kiểm toán năm - Chi nhánh công ty chứng khoán nước ngoài tại Việt Nam &gt;&gt; Báo cáo tình hình tài chính riêng</t>
        </is>
      </c>
      <c r="D3069" s="106" t="inlineStr">
        <is>
          <t>Tên sheet</t>
        </is>
      </c>
      <c r="E3069" s="106" t="inlineStr">
        <is>
          <t>Tên sheet</t>
        </is>
      </c>
      <c r="F3069" s="390" t="inlineStr">
        <is>
          <t>Data Explorer</t>
        </is>
      </c>
      <c r="G3069" s="390" t="inlineStr">
        <is>
          <t>Chiều</t>
        </is>
      </c>
      <c r="H3069" s="390" t="inlineStr">
        <is>
          <t>Dễ</t>
        </is>
      </c>
      <c r="I3069" s="390" t="inlineStr">
        <is>
          <t>Ngày, CTCK</t>
        </is>
      </c>
      <c r="J3069" s="401" t="inlineStr">
        <is>
          <t>SCMS</t>
        </is>
      </c>
      <c r="K3069" s="401" t="inlineStr">
        <is>
          <t>X</t>
        </is>
      </c>
      <c r="L3069" s="401" t="inlineStr">
        <is>
          <t>X</t>
        </is>
      </c>
      <c r="M3069" s="401" t="n"/>
      <c r="N3069" s="401" t="inlineStr">
        <is>
          <t>Done</t>
        </is>
      </c>
      <c r="O3069" s="401" t="n"/>
      <c r="P3069" s="401" t="n"/>
      <c r="S3069" s="401" t="n"/>
      <c r="U3069" s="401" t="n"/>
      <c r="V3069" s="22" t="n"/>
      <c r="W3069" s="22" t="n"/>
      <c r="X3069" s="22" t="n"/>
      <c r="Y3069" s="13" t="n"/>
      <c r="Z3069" s="22" t="n"/>
      <c r="AA3069" s="22" t="n"/>
      <c r="AB3069" s="22" t="n"/>
      <c r="AC3069" s="22" t="n"/>
      <c r="AD3069" s="22" t="n"/>
      <c r="AE3069" s="22" t="n"/>
    </row>
    <row r="3070" ht="98" customHeight="1" s="380">
      <c r="A3070" s="144" t="n">
        <v>123</v>
      </c>
      <c r="B3070" s="390" t="n"/>
      <c r="C3070" s="390" t="inlineStr">
        <is>
          <t>Báo cáo tài chính quý, soát xét bán niên, kiểm toán năm - Chi nhánh công ty chứng khoán nước ngoài tại Việt Nam &gt;&gt; Báo cáo tình hình tài chính riêng</t>
        </is>
      </c>
      <c r="D3070" s="106" t="inlineStr">
        <is>
          <t>Mã chỉ tiêu</t>
        </is>
      </c>
      <c r="E3070" s="107" t="inlineStr">
        <is>
          <t>Mã chỉ tiêu</t>
        </is>
      </c>
      <c r="F3070" s="390" t="inlineStr">
        <is>
          <t>Data Explorer</t>
        </is>
      </c>
      <c r="G3070" s="390" t="inlineStr">
        <is>
          <t>Chiều</t>
        </is>
      </c>
      <c r="H3070" s="390" t="inlineStr">
        <is>
          <t>Dễ</t>
        </is>
      </c>
      <c r="I3070" s="390" t="inlineStr">
        <is>
          <t>Ngày, CTCK</t>
        </is>
      </c>
      <c r="J3070" s="401" t="inlineStr">
        <is>
          <t>SCMS</t>
        </is>
      </c>
      <c r="K3070" s="401" t="inlineStr">
        <is>
          <t>X</t>
        </is>
      </c>
      <c r="L3070" s="401" t="inlineStr">
        <is>
          <t>X</t>
        </is>
      </c>
      <c r="M3070" s="401" t="n"/>
      <c r="N3070" s="401" t="inlineStr">
        <is>
          <t>Done</t>
        </is>
      </c>
      <c r="O3070" s="401" t="n"/>
      <c r="P3070" s="401" t="n"/>
      <c r="Q3070" s="401" t="inlineStr">
        <is>
          <t>SCMS.BM_BAO_CAO
SCMS.BM_SHEET
SCMS.BM_BAO_CAO_CT
SCMS.DM_CHI_TIEU</t>
        </is>
      </c>
      <c r="R3070" s="401" t="inlineStr">
        <is>
          <t>dct.ID,
dct.MA_CHI_TIEU,
dct.TEN_CHI_TIEU,
dct.SU_DUNG,
s.BM_BAO_CAO_ID,
s.MA_SHEET,
ct.BM_BAO_CAO_ID,
ct.DM_CHI_TIEU_ID,
ct.SU_DUNG,
bm.ID,
bm.MA_BAO_CAO,
bm.SU_DUNG</t>
        </is>
      </c>
      <c r="S3070" s="401" t="n"/>
      <c r="T3070" s="389" t="inlineStr">
        <is>
          <t>-- Mã chỉ tiêu / Tên chỉ tiêu
SELECT DISTINCT
    dct.MA_CHI_TIEU  AS ma_chi_tieu,
    dct.TEN_CHI_TIEU AS ten_chi_tieu
FROM SCMS.BM_BAO_CAO bm
JOIN SCMS.BM_SHEET s ON s.BM_BAO_CAO_ID = bm.ID
	AND s.TEN_SHEET = 'BCTCR'
JOIN SCMS.BM_BAO_CAO_CT ct ON ct.BM_SHEET_ID = s.ID
	AND ct.SU_DUNG = 1
JOIN SCMS.DM_CHI_TIEU dct ON dct.ID = ct.DM_CHI_TIEU_ID
	AND dct.SU_DUNG = 1
WHERE bm.MA_BAO_CAO LIKE 'BCTCRLCTCK'
	AND bm.SU_DUNG = 1
ORDER BY dct.MA_CHI_TIEU;</t>
        </is>
      </c>
      <c r="U3070" s="401" t="n"/>
      <c r="V3070" s="22" t="n"/>
      <c r="W3070" s="22" t="n"/>
      <c r="X3070" s="22" t="n"/>
      <c r="Y3070" s="13" t="n"/>
      <c r="Z3070" s="22" t="n"/>
      <c r="AA3070" s="22" t="n"/>
      <c r="AB3070" s="22" t="n"/>
      <c r="AC3070" s="22" t="n"/>
      <c r="AD3070" s="22" t="n"/>
      <c r="AE3070" s="22" t="n"/>
    </row>
    <row r="3071" ht="98" customHeight="1" s="380">
      <c r="A3071" s="144" t="n">
        <v>123</v>
      </c>
      <c r="B3071" s="390" t="n"/>
      <c r="C3071" s="390" t="inlineStr">
        <is>
          <t>Báo cáo tài chính quý, soát xét bán niên, kiểm toán năm - Chi nhánh công ty chứng khoán nước ngoài tại Việt Nam &gt;&gt; Báo cáo tình hình tài chính riêng</t>
        </is>
      </c>
      <c r="D3071" s="106" t="inlineStr">
        <is>
          <t>Tên chỉ tiêu</t>
        </is>
      </c>
      <c r="E3071" s="107" t="inlineStr">
        <is>
          <t>Tên chỉ tiêu</t>
        </is>
      </c>
      <c r="F3071" s="390" t="inlineStr">
        <is>
          <t>Data Explorer</t>
        </is>
      </c>
      <c r="G3071" s="390" t="inlineStr">
        <is>
          <t>Chiều</t>
        </is>
      </c>
      <c r="H3071" s="390" t="inlineStr">
        <is>
          <t>Dễ</t>
        </is>
      </c>
      <c r="I3071" s="390" t="inlineStr">
        <is>
          <t>Ngày, CTCK</t>
        </is>
      </c>
      <c r="J3071" s="401" t="inlineStr">
        <is>
          <t>SCMS</t>
        </is>
      </c>
      <c r="K3071" s="401" t="inlineStr">
        <is>
          <t>X</t>
        </is>
      </c>
      <c r="L3071" s="401" t="inlineStr">
        <is>
          <t>X</t>
        </is>
      </c>
      <c r="M3071" s="401" t="n"/>
      <c r="N3071" s="401" t="inlineStr">
        <is>
          <t>Done</t>
        </is>
      </c>
      <c r="O3071" s="401" t="n"/>
      <c r="P3071" s="401" t="n"/>
      <c r="S3071" s="401" t="n"/>
      <c r="U3071" s="401" t="n"/>
      <c r="V3071" s="22" t="n"/>
      <c r="W3071" s="22" t="n"/>
      <c r="X3071" s="22" t="n"/>
      <c r="Y3071" s="38" t="n"/>
      <c r="Z3071" s="22" t="n"/>
      <c r="AA3071" s="22" t="n"/>
      <c r="AB3071" s="22" t="n"/>
      <c r="AC3071" s="22" t="n"/>
      <c r="AD3071" s="22" t="n"/>
      <c r="AE3071" s="22" t="n"/>
    </row>
    <row r="3072" ht="98" customHeight="1" s="380">
      <c r="A3072" s="144" t="n">
        <v>123</v>
      </c>
      <c r="B3072" s="390" t="n"/>
      <c r="C3072" s="390" t="inlineStr">
        <is>
          <t>Báo cáo tài chính quý, soát xét bán niên, kiểm toán năm - Chi nhánh công ty chứng khoán nước ngoài tại Việt Nam &gt;&gt; Báo cáo tình hình tài chính riêng</t>
        </is>
      </c>
      <c r="D3072" s="132" t="inlineStr">
        <is>
          <t>A. TÀI SẢN NGẮN HẠN (100 = 110 + 130)</t>
        </is>
      </c>
      <c r="E3072" s="150" t="n">
        <v>100</v>
      </c>
      <c r="F3072" s="390" t="inlineStr">
        <is>
          <t>Data Explorer</t>
        </is>
      </c>
      <c r="G3072" s="390" t="inlineStr">
        <is>
          <t>Chỉ tiêu cơ sở</t>
        </is>
      </c>
      <c r="H3072" s="390" t="inlineStr">
        <is>
          <t>Dễ</t>
        </is>
      </c>
      <c r="I3072" s="390" t="inlineStr">
        <is>
          <t>Ngày, CTCK</t>
        </is>
      </c>
      <c r="J3072" s="401" t="inlineStr">
        <is>
          <t>SCMS</t>
        </is>
      </c>
      <c r="K3072" s="401" t="n"/>
      <c r="L3072" s="401" t="inlineStr">
        <is>
          <t>X</t>
        </is>
      </c>
      <c r="M3072" s="401" t="n"/>
      <c r="N3072" s="401" t="inlineStr">
        <is>
          <t>Done</t>
        </is>
      </c>
      <c r="O3072" s="401" t="n"/>
      <c r="P3072" s="401" t="n"/>
      <c r="Q3072" s="85" t="inlineStr">
        <is>
          <t>SCMS.BC_THANH_VIEN
SCMS.BM_BAO_CAO
SCMS.BC_BAO_CAO_GT
SCMS.BM_BAO_CAO_HANG
SCMS.BM_BAO_CAO_COT</t>
        </is>
      </c>
      <c r="R3072" s="85" t="inlineStr">
        <is>
          <t>bsc.TEN_COT,
bsc.BM_SHEET_ID,
bsh.ID,
bsh.MA_HANG,
gt.GIA_TRI,
gt.BC_THANH_VIEN_ID,
gt.BM_SHEET_HANG_ID,
bm.ID,
bm.MA_BAO_CAO,
btv.ID,
btv.BM_BAO_CAO_ID,
btv.TRANG_THAI,
btv.NGAY_SO_LIEU</t>
        </is>
      </c>
      <c r="S3072" s="401" t="n"/>
      <c r="T3072" s="389" t="inlineStr">
        <is>
          <t>-- CHỈ TIÊU
SELECT
	-- Thuyết minh
    MAX(CASE WHEN bsc.TEN_COT=N'Thuyết minh' AND bsh.MA_HANG = '2' THEN CAST(gt.GIA_TRI AS VARCHAR2(4000)) END) AS "TÀI SẢN",
    MAX(CASE WHEN bsc.TEN_COT=N'Thuyết minh' AND bsh.MA_HANG = '3' THEN CAST(gt.GIA_TRI AS VARCHAR2(4000)) END) AS "A. TÀI SẢN NGẮN HẠN (100 = 110 + 130)",
    MAX(CASE WHEN bsc.TEN_COT=N'Thuyết minh' AND bsh.MA_HANG = '4' THEN CAST(gt.GIA_TRI AS VARCHAR2(4000)) END) AS "I. Tài sản tài chính",
    MAX(CASE WHEN bsc.TEN_COT=N'Thuyết minh' AND bsh.MA_HANG = '5' THEN CAST(gt.GIA_TRI AS VARCHAR2(4000)) END) AS "1.Tiền và các khoản tương đương tiền",
    MAX(CASE WHEN bsc.TEN_COT=N'Thuyết minh' AND bsh.MA_HANG = '6' THEN CAST(gt.GIA_TRI AS VARCHAR2(4000)) END) AS "1.1. Tiền",
    MAX(CASE WHEN bsc.TEN_COT=N'Thuyết minh' AND bsh.MA_HANG = '7' THEN CAST(gt.GIA_TRI AS VARCHAR2(4000)) END) AS "1.2. Các khoản tương đương tiền",
    MAX(CASE WHEN bsc.TEN_COT=N'Thuyết minh' AND bsh.MA_HANG = '8' THEN CAST(gt.GIA_TRI AS VARCHAR2(4000)) END) AS "2. Các tài sản tài chính ghi nhận thông qua lãi/lỗ (FVTPL)",
    MAX(CASE WHEN bsc.TEN_COT=N'Thuyết minh' AND bsh.MA_HANG = '9' THEN CAST(gt.GIA_TRI AS VARCHAR2(4000)) END) AS "3. Các  khoản đầu tư  nắm giữ đến ngày đáo hạn (HTM)",
    MAX(CASE WHEN bsc.TEN_COT=N'Thuyết minh' AND bsh.MA_HANG = '10' THEN CAST(gt.GIA_TRI AS VARCHAR2(4000)) END) AS "4. Các khoản cho vay",
    MAX(CASE WHEN bsc.TEN_COT=N'Thuyết minh' AND bsh.MA_HANG = '11' THEN CAST(gt.GIA_TRI AS VARCHAR2(4000)) END) AS "5. Tài sản tài chính sẵn sàng để bán (AFS)",
    MAX(CASE WHEN bsc.TEN_COT=N'Thuyết minh' AND bsh.MA_HANG = '12' THEN CAST(gt.GIA_TRI AS VARCHAR2(4000)) END) AS "6. Dự phòng suy giảm giá trị các tài sản tài chính và tài sản thế chấp",
    MAX(CASE WHEN bsc.TEN_COT=N'Thuyết minh' AND bsh.MA_HANG = '13' THEN CAST(gt.GIA_TRI AS VARCHAR2(4000)) END) AS "7. Các khoản phải thu",
    MAX(CASE WHEN bsc.TEN_COT=N'Thuyết minh' AND bsh.MA_HANG = '14' THEN CAST(gt.GIA_TRI AS VARCHAR2(4000)) END) AS "7.1. Phải thu bán các tài sản tài chính",
    MAX(CASE WHEN bsc.TEN_COT=N'Thuyết minh' AND bsh.MA_HANG = '15' THEN CAST(gt.GIA_TRI AS VARCHAR2(4000)) END) AS "7.2. Phải thu và dự thu cổ tức, tiền lãi các tài sản tài chính",
    MAX(CASE WHEN bsc.TEN_COT=N'Thuyết minh' AND bsh.MA_HANG = '16' THEN CAST(gt.GIA_TRI AS VARCHAR2(4000)) END) AS "7.2.1. Phải thu cổ tức, tiền lãi đến ngày nhận",
    MAX(CASE WHEN bsc.TEN_COT=N'Thuyết minh' AND bsh.MA_HANG = '17' THEN CAST(gt.GIA_TRI AS VARCHAR2(4000)) END) AS "7.2.2. Dự thu cổ tức, tiền lãi chưa đến ngày nhận",
    MAX(CASE WHEN bsc.TEN_COT=N'Thuyết minh' AND bsh.MA_HANG = '18' THEN CAST(gt.GIA_TRI AS VARCHAR2(4000)) END) AS "8. Trả trước cho người bán",
    MAX(CASE WHEN bsc.TEN_COT=N'Thuyết minh' AND bsh.MA_HANG = '19' THEN CAST(gt.GIA_TRI AS VARCHAR2(4000)) END) AS "9. Phải thu các dịch vụ CTCK cung cấp",
    MAX(CASE WHEN bsc.TEN_COT=N'Thuyết minh' AND bsh.MA_HANG = '20' THEN CAST(gt.GIA_TRI AS VARCHAR2(4000)) END) AS "10. Phải thu nội bộ",
    MAX(CASE WHEN bsc.TEN_COT=N'Thuyết minh' AND bsh.MA_HANG = '21' THEN CAST(gt.GIA_TRI AS VARCHAR2(4000)) END) AS "11. Phải thu về lỗi giao dịch chứng khoán",
    MAX(CASE WHEN bsc.TEN_COT=N'Thuyết minh' AND bsh.MA_HANG = '22' THEN CAST(gt.GIA_TRI AS VARCHAR2(4000)) END) AS "12. Các khoản phải thu khác",
    MAX(CASE WHEN bsc.TEN_COT=N'Thuyết minh' AND bsh.MA_HANG = '23' THEN CAST(gt.GIA_TRI AS VARCHAR2(4000)) END) AS "13. Dự phòng suy giảm giá trị các khoản phải thu (*)",
    MAX(CASE WHEN bsc.TEN_COT=N'Thuyết minh' AND bsh.MA_HANG = '24' THEN CAST(gt.GIA_TRI AS VARCHAR2(4000)) END) AS "II. Tài sản ngắn hạn khác",
    MAX(CASE WHEN bsc.TEN_COT=N'Thuyết minh' AND bsh.MA_HANG = '25' THEN CAST(gt.GIA_TRI AS VARCHAR2(4000)) END) AS "1. Tạm ứng",
    MAX(CASE WHEN bsc.TEN_COT=N'Thuyết minh' AND bsh.MA_HANG = '26' THEN CAST(gt.GIA_TRI AS VARCHAR2(4000)) END) AS "2. Vật tư văn phòng, công cụ, dụng cụ",
    MAX(CASE WHEN bsc.TEN_COT=N'Thuyết minh' AND bsh.MA_HANG = '27' THEN CAST(gt.GIA_TRI AS VARCHAR2(4000)) END) AS "3. Chi phí trả trước ngắn hạn",
    MAX(CASE WHEN bsc.TEN_COT=N'Thuyết minh' AND bsh.MA_HANG = '28' THEN CAST(gt.GIA_TRI AS VARCHAR2(4000)) END) AS "4. Cầm cố, thế chấp, ký quỹ, ký cược ngắn hạn",
    MAX(CASE WHEN bsc.TEN_COT=N'Thuyết minh' AND bsh.MA_HANG = '29' THEN CAST(gt.GIA_TRI AS VARCHAR2(4000)) END) AS "5. Thuế giá trị gia tăng được khấu trừ",
    MAX(CASE WHEN bsc.TEN_COT=N'Thuyết minh' AND bsh.MA_HANG = '30' THEN CAST(gt.GIA_TRI AS VARCHAR2(4000)) END) AS "6. Thuế và các khoản khác phải thu Nhà nước",
    MAX(CASE WHEN bsc.TEN_COT=N'Thuyết minh' AND bsh.MA_HANG = '31' THEN CAST(gt.GIA_TRI AS VARCHAR2(4000)) END) AS "7. Tài sản ngắn hạn khác",
    MAX(CASE WHEN bsc.TEN_COT=N'Thuyết minh' AND bsh.MA_HANG = '32' THEN CAST(gt.GIA_TRI AS VARCHAR2(4000)) END) AS "8. Giao dịch mua bán lại trái phiếu Chính phủ",
    MAX(CASE WHEN bsc.TEN_COT=N'Thuyết minh' AND bsh.MA_HANG = '33' THEN CAST(gt.GIA_TRI AS VARCHAR2(4000)) END) AS "9. Dự phòng suy giảm giá trị tài sản ngắn hạn khác",
    MAX(CASE WHEN bsc.TEN_COT=N'Thuyết minh' AND bsh.MA_HANG = '34' THEN CAST(gt.GIA_TRI AS VARCHAR2(4000)) END) AS "B. TÀI SẢN DÀI HẠN (200 = 210 + 220 + 230 + 240 + 250 - 260)",
    MAX(CASE WHEN bsc.TEN_COT=N'Thuyết minh' AND bsh.MA_HANG = '35' THEN CAST(gt.GIA_TRI AS VARCHAR2(4000)) END) AS "I. Tài sản tài chính dài hạn",
    MAX(CASE WHEN bsc.TEN_COT=N'Thuyết minh' AND bsh.MA_HANG = '36' THEN CAST(gt.GIA_TRI AS VARCHAR2(4000)) END) AS "1. Các khoản phải thu dài hạn",
    MAX(CASE WHEN bsc.TEN_COT=N'Thuyết minh' AND bsh.MA_HANG = '37' THEN CAST(gt.GIA_TRI AS VARCHAR2(4000)) END) AS "2. Các khoản đầu tư",
    MAX(CASE WHEN bsc.TEN_COT=N'Thuyết minh' AND bsh.MA_HANG = '38' THEN CAST(gt.GIA_TRI AS VARCHAR2(4000)) END) AS "2.1.Các khoản đầu tư nắm giữ đến ngày đáo hạn",
    MAX(CASE WHEN bsc.TEN_COT=N'Thuyết minh' AND bsh.MA_HANG = '39' THEN CAST(gt.GIA_TRI AS VARCHAR2(4000)) END) AS "2.2. Đầu tư vào công ty con ",
    MAX(CASE WHEN bsc.TEN_COT=N'Thuyết minh' AND bsh.MA_HANG = '40' THEN CAST(gt.GIA_TRI AS VARCHAR2(4000)) END) AS "2.3. Đầu tư vào công ty liên doanh, liên kết ",
    MAX(CASE WHEN bsc.TEN_COT=N'Thuyết minh' AND bsh.MA_HANG = '41' THEN CAST(gt.GIA_TRI AS VARCHAR2(4000)) END) AS "2.4. Đầu tư dài hạn khác",
    MAX(CASE WHEN bsc.TEN_COT=N'Thuyết minh' AND bsh.MA_HANG = '42' THEN CAST(gt.GIA_TRI AS VARCHAR2(4000)) END) AS "3. Dự phòng suy giảm tài sản tài chính dài hạn",
    MAX(CASE WHEN bsc.TEN_COT=N'Thuyết minh' AND bsh.MA_HANG = '43' THEN CAST(gt.GIA_TRI AS VARCHAR2(4000)) END) AS "II. Tài sản cố định",
    MAX(CASE WHEN bsc.TEN_COT=N'Thuyết minh' AND bsh.MA_HANG = '44' THEN CAST(gt.GIA_TRI AS VARCHAR2(4000)) END) AS "1. Tài sản cố định hữu hình",
    MAX(CASE WHEN bsc.TEN_COT=N'Thuyết minh' AND bsh.MA_HANG = '45' THEN CAST(gt.GIA_TRI AS VARCHAR2(4000)) END) AS "- Nguyên giá",
    MAX(CASE WHEN bsc.TEN_COT=N'Thuyết minh' AND bsh.MA_HANG = '46' THEN CAST(gt.GIA_TRI AS VARCHAR2(4000)) END) AS "- Giá trị hao mòn luỹ kế (*)",
    MAX(CASE WHEN bsc.TEN_COT=N'Thuyết minh' AND bsh.MA_HANG = '47' THEN CAST(gt.GIA_TRI AS VARCHAR2(4000)) END) AS "- Đánh giá TSCĐHH theo giá trị hợp lý",
    MAX(CASE WHEN bsc.TEN_COT=N'Thuyết minh' AND bsh.MA_HANG = '48' THEN CAST(gt.GIA_TRI AS VARCHAR2(4000)) END) AS "2. Tài sản cố định thuê tài chính",
    MAX(CASE WHEN bsc.TEN_COT=N'Thuyết minh' AND bsh.MA_HANG = '49' THEN CAST(gt.GIA_TRI AS VARCHAR2(4000)) END) AS "- Nguyên giá",
    MAX(CASE WHEN bsc.TEN_COT=N'Thuyết minh' AND bsh.MA_HANG = '50' THEN CAST(gt.GIA_TRI AS VARCHAR2(4000)) END) AS "- Giá trị hao mòn luỹ kế (*)",
    MAX(CASE WHEN bsc.TEN_COT=N'Thuyết minh' AND bsh.MA_HANG = '51' THEN CAST(gt.GIA_TRI AS VARCHAR2(4000)) END) AS "- Đánh giá TSCĐTTC theo giá trị hợp lý",
    MAX(CASE WHEN bsc.TEN_COT=N'Thuyết minh' AND bsh.MA_HANG = '52' THEN CAST(gt.GIA_TRI AS VARCHAR2(4000)) END) AS "3. Tài sản cố định vô hình",
    MAX(CASE WHEN bsc.TEN_COT=N'Thuyết minh' AND bsh.MA_HANG = '53' THEN CAST(gt.GIA_TRI AS VARCHAR2(4000)) END) AS "- Nguyên giá",
    MAX(CASE WHEN bsc.TEN_COT=N'Thuyết minh' AND bsh.MA_HANG = '54' THEN CAST(gt.GIA_TRI AS VARCHAR2(4000)) END) AS "- Giá trị hao mòn luỹ kế (*)",
    MAX(CASE WHEN bsc.TEN_COT=N'Thuyết minh' AND bsh.MA_HANG = '55' THEN CAST(gt.GIA_TRI AS VARCHAR2(4000)) END) AS "- Đánh giá TSCĐVH theo giá trị hợp lý",
    MAX(CASE WHEN bsc.TEN_COT=N'Thuyết minh' AND bsh.MA_HANG = '56' THEN CAST(gt.GIA_TRI AS VARCHAR2(4000)) END) AS "III. Bất động sản đầu tư",
    MAX(CASE WHEN bsc.TEN_COT=N'Thuyết minh' AND bsh.MA_HANG = '57' THEN CAST(gt.GIA_TRI AS VARCHAR2(4000)) END) AS "- Nguyên giá",
    MAX(CASE WHEN bsc.TEN_COT=N'Thuyết minh' AND bsh.MA_HANG = '58' THEN CAST(gt.GIA_TRI AS VARCHAR2(4000)) END) AS "- Giá trị hao mòn luỹ kế (*)",
    MAX(CASE WHEN bsc.TEN_COT=N'Thuyết minh' AND bsh.MA_HANG = '59' THEN CAST(gt.GIA_TRI AS VARCHAR2(4000)) END) AS "- Đánh giá TSCĐVH theo giá trị hợp lý",
    MAX(CASE WHEN bsc.TEN_COT=N'Thuyết minh' AND bsh.MA_HANG = '60' THEN CAST(gt.GIA_TRI AS VARCHAR2(4000)) END) AS "IV.Chi phí xây dựng cơ bản dở dang",
    MAX(CASE WHEN bsc.TEN_COT=N'Thuyết minh' AND bsh.MA_HANG = '61' THEN CAST(gt.GIA_TRI AS VARCHAR2(4000)) END) AS "V. Tài sản dài hạn khác",
    MAX(CASE WHEN bsc.TEN_COT=N'Thuyết minh' AND bsh.MA_HANG = '62' THEN CAST(gt.GIA_TRI AS VARCHAR2(4000)) END) AS "1. Cầm cố, thế chấp, ký quỹ, ký cược dài hạn",
    MAX(CASE WHEN bsc.TEN_COT=N'Thuyết minh' AND bsh.MA_HANG = '63' THEN CAST(gt.GIA_TRI AS VARCHAR2(4000)) END) AS "2. Chi phí trả trước dài hạn",
    MAX(CASE WHEN bsc.TEN_COT=N'Thuyết minh' AND bsh.MA_HANG = '64' THEN CAST(gt.GIA_TRI AS VARCHAR2(4000)) END) AS "3. Tài sản thuế thu nhập hoãn lại",
    MAX(CASE WHEN bsc.TEN_COT=N'Thuyết minh' AND bsh.MA_HANG = '65' THEN CAST(gt.GIA_TRI AS VARCHAR2(4000)) END) AS "4. Tiền nộp Quỹ Hỗ trợ thanh toán",
    MAX(CASE WHEN bsc.TEN_COT=N'Thuyết minh' AND bsh.MA_HANG = '66' THEN CAST(gt.GIA_TRI AS VARCHAR2(4000)) END) AS "5. Tài sản dài hạn khác",
    MAX(CASE WHEN bsc.TEN_COT=N'Thuyết minh' AND bsh.MA_HANG = '67' THEN CAST(gt.GIA_TRI AS VARCHAR2(4000)) END) AS "VI. Dự phòng suy giảm giá trị tài sản dài hạn",
    MAX(CASE WHEN bsc.TEN_COT=N'Thuyết minh' AND bsh.MA_HANG = '68' THEN CAST(gt.GIA_TRI AS VARCHAR2(4000)) END) AS "TỔNG CỘNG TÀI SẢN",
    MAX(CASE WHEN bsc.TEN_COT=N'Thuyết minh' AND bsh.MA_HANG = '69' THEN CAST(gt.GIA_TRI AS VARCHAR2(4000)) END) AS "(270 = 100 + 200)",
    MAX(CASE WHEN bsc.TEN_COT=N'Thuyết minh' AND bsh.MA_HANG = '70' THEN CAST(gt.GIA_TRI AS VARCHAR2(4000)) END) AS "C. NỢ PHẢI TRẢ (300 = 310 + 340)",
    MAX(CASE WHEN bsc.TEN_COT=N'Thuyết minh' AND bsh.MA_HANG = '71' THEN CAST(gt.GIA_TRI AS VARCHAR2(4000)) END) AS "I. Nợ phải trả ngắn hạn",
    MAX(CASE WHEN bsc.TEN_COT=N'Thuyết minh' AND bsh.MA_HANG = '72' THEN CAST(gt.GIA_TRI AS VARCHAR2(4000)) END) AS "1. Vay và nợ thuê tài chính ngắn hạn",
    MAX(CASE WHEN bsc.TEN_COT=N'Thuyết minh' AND bsh.MA_HANG = '73' THEN CAST(gt.GIA_TRI AS VARCHAR2(4000)) END) AS "1.1. Vay ngắn hạn",
    MAX(CASE WHEN bsc.TEN_COT=N'Thuyết minh' AND bsh.MA_HANG = '74' THEN CAST(gt.GIA_TRI AS VARCHAR2(4000)) END) AS "1.2. Nợ thuê tài chính ngắn hạn",
    MAX(CASE WHEN bsc.TEN_COT=N'Thuyết minh' AND bsh.MA_HANG = '75' THEN CAST(gt.GIA_TRI AS VARCHAR2(4000)) END) AS "2. Vay tài sản tài chính ngắn hạn",
    MAX(CASE WHEN bsc.TEN_COT=N'Thuyết minh' AND bsh.MA_HANG = '76' THEN CAST(gt.GIA_TRI AS VARCHAR2(4000)) END) AS "3. Trái phiếu chuyển đổi ngắn hạn - Cấu phần nợ",
    MAX(CASE WHEN bsc.TEN_COT=N'Thuyết minh' AND bsh.MA_HANG = '77' THEN CAST(gt.GIA_TRI AS VARCHAR2(4000)) END) AS "4. Trái phiếu phát hành ngắn hạn",
    MAX(CASE WHEN bsc.TEN_COT=N'Thuyết minh' AND bsh.MA_HANG = '78' THEN CAST(gt.GIA_TRI AS VARCHAR2(4000)) END) AS "5. Vay Quỹ Hỗ trợ thanh toán",
    MAX(CASE WHEN bsc.TEN_COT=N'Thuyết minh' AND bsh.MA_HANG = '79' THEN CAST(gt.GIA_TRI AS VARCHAR2(4000)) END) AS "6. Phải trả hoạt động giao dịch chứng khoán",
    MAX(CASE WHEN bsc.TEN_COT=N'Thuyết minh' AND bsh.MA_HANG = '80' THEN CAST(gt.GIA_TRI AS VARCHAR2(4000)) END) AS "7. Phải trả về lỗi giao dịch các tài sản tài chính",
    MAX(CASE WHEN bsc.TEN_COT=N'Thuyết minh' AND bsh.MA_HANG = '81' THEN CAST(gt.GIA_TRI AS VARCHAR2(4000)) END) AS "8. Phải trả người bán ngắn hạn",
    MAX(CASE WHEN bsc.TEN_COT=N'Thuyết minh' AND bsh.MA_HANG = '82' THEN CAST(gt.GIA_TRI AS VARCHAR2(4000)) END) AS "9. Người mua trả tiền trước ngắn hạn",
    MAX(CASE WHEN bsc.TEN_COT=N'Thuyết minh' AND bsh.MA_HANG = '83' THEN CAST(gt.GIA_TRI AS VARCHAR2(4000)) END) AS "10. Thuế và các khoản phải nộp Nhà nước",
    MAX(CASE WHEN bsc.TEN_COT=N'Thuyết minh' AND bsh.MA_HANG = '84' THEN CAST(gt.GIA_TRI AS VARCHAR2(4000)) END) AS "11. Phải trả người lao động",
    MAX(CASE WHEN bsc.TEN_COT=N'Thuyết minh' AND bsh.MA_HANG = '85' THEN CAST(gt.GIA_TRI AS VARCHAR2(4000)) END) AS "12. Các khoản trích nộp phúc lợi nhân viên",
    MAX(CASE WHEN bsc.TEN_COT=N'Thuyết minh' AND bsh.MA_HANG = '86' THEN CAST(gt.GIA_TRI AS VARCHAR2(4000)) END) AS "13. Chi phí phải trả ngắn hạn",
    MAX(CASE WHEN bsc.TEN_COT=N'Thuyết minh' AND bsh.MA_HANG = '87' THEN CAST(gt.GIA_TRI AS VARCHAR2(4000)) END) AS "14. Phải trả nội bộ ngắn hạn",
    MAX(CASE WHEN bsc.TEN_COT=N'Thuyết minh' AND bsh.MA_HANG = '88' THEN CAST(gt.GIA_TRI AS VARCHAR2(4000)) END) AS "15. Doanh thu chưa thực hiện ngắn hạn",
    MAX(CASE WHEN bsc.TEN_COT=N'Thuyết minh' AND bsh.MA_HANG = '89' THEN CAST(gt.GIA_TRI AS VARCHAR2(4000)) END) AS "16. Nhận ký quỹ, ký cược ngắn hạn",
    MAX(CASE WHEN bsc.TEN_COT=N'Thuyết minh' AND bsh.MA_HANG = '90' THEN CAST(gt.GIA_TRI AS VARCHAR2(4000)) END) AS "17. Các khoản phải trả, phải nộp khác ngắn hạn",
    MAX(CASE WHEN bsc.TEN_COT=N'Thuyết minh' AND bsh.MA_HANG = '91' THEN CAST(gt.GIA_TRI AS VARCHAR2(4000)) END) AS "18. Dự phòng phải trả ngắn hạn",
    MAX(CASE WHEN bsc.TEN_COT=N'Thuyết minh' AND bsh.MA_HANG = '92' THEN CAST(gt.GIA_TRI AS VARCHAR2(4000)) END) AS "19. Quỹ khen thưởng, phúc lợi",
    MAX(CASE WHEN bsc.TEN_COT=N'Thuyết minh' AND bsh.MA_HANG = '93' THEN CAST(gt.GIA_TRI AS VARCHAR2(4000)) END) AS "20. Giao dịch mua bán lại trái phiếu Chính phủ",
    MAX(CASE WHEN bsc.TEN_COT=N'Thuyết minh' AND bsh.MA_HANG = '94' THEN CAST(gt.GIA_TRI AS VARCHAR2(4000)) END) AS "II. Nợ phải trả dài hạn",
    MAX(CASE WHEN bsc.TEN_COT=N'Thuyết minh' AND bsh.MA_HANG = '95' THEN CAST(gt.GIA_TRI AS VARCHAR2(4000)) END) AS "1. Vay và nợ thuê tài chính dài hạn",
    MAX(CASE WHEN bsc.TEN_COT=N'Thuyết minh' AND bsh.MA_HANG = '96' THEN CAST(gt.GIA_TRI AS VARCHAR2(4000)) END) AS "1.1.Vay dài hạn",
    MAX(CASE WHEN bsc.TEN_COT=N'Thuyết minh' AND bsh.MA_HANG = '97' THEN CAST(gt.GIA_TRI AS VARCHAR2(4000)) END) AS "1.2. Nợ thuê tài chính dài hạn",
    MAX(CASE WHEN bsc.TEN_COT=N'Thuyết minh' AND bsh.MA_HANG = '98' THEN CAST(gt.GIA_TRI AS VARCHAR2(4000)) END) AS "2. Vay tài sản tài chính dài hạn",
    MAX(CASE WHEN bsc.TEN_COT=N'Thuyết minh' AND bsh.MA_HANG = '99' THEN CAST(gt.GIA_TRI AS VARCHAR2(4000)) END) AS "3. Trái phiếu chuyển đổi dài hạn - Cấu phần nợ",
    MAX(CASE WHEN bsc.TEN_COT=N'Thuyết minh' AND bsh.MA_HANG = '100' THEN CAST(gt.GIA_TRI AS VARCHAR2(4000)) END) AS "4. Trái phiếu phát hành dài hạn",
    MAX(CASE WHEN bsc.TEN_COT=N'Thuyết minh' AND bsh.MA_HANG = '101' THEN CAST(gt.GIA_TRI AS VARCHAR2(4000)) END) AS "5. Phải trả người bán dài hạn",
    MAX(CASE WHEN bsc.TEN_COT=N'Thuyết minh' AND bsh.MA_HANG = '102' THEN CAST(gt.GIA_TRI AS VARCHAR2(4000)) END) AS "6. Người mua trả tiền trước dài hạn",
    MAX(CASE WHEN bsc.TEN_COT=N'Thuyết minh' AND bsh.MA_HANG = '103' THEN CAST(gt.GIA_TRI AS VARCHAR2(4000)) END) AS "7. Chi phí phải trả dài hạn",
    MAX(CASE WHEN bsc.TEN_COT=N'Thuyết minh' AND bsh.MA_HANG = '104' THEN CAST(gt.GIA_TRI AS VARCHAR2(4000)) END) AS "8. Phải trả nội bộ dài hạn",
    MAX(CASE WHEN bsc.TEN_COT=N'Thuyết minh' AND bsh.MA_HANG = '105' THEN CAST(gt.GIA_TRI AS VARCHAR2(4000)) END) AS "9. Doanh thu chưa thực hiện dài hạn",
    MAX(CASE WHEN bsc.TEN_COT=N'Thuyết minh' AND bsh.MA_HANG = '106' THEN CAST(gt.GIA_TRI AS VARCHAR2(4000)) END) AS "10. Nhận ký quỹ, ký cược dài hạn",
    MAX(CASE WHEN bsc.TEN_COT=N'Thuyết minh' AND bsh.MA_HANG = '107' THEN CAST(gt.GIA_TRI AS VARCHAR2(4000)) END) AS "11. Các khoản phải trả, phải nộp khác dài hạn",
    MAX(CASE WHEN bsc.TEN_COT=N'Thuyết minh' AND bsh.MA_HANG = '108' THEN CAST(gt.GIA_TRI AS VARCHAR2(4000)) END) AS "12. Dự phòng phải trả dài hạn",
    MAX(CASE WHEN bsc.TEN_COT=N'Thuyết minh' AND bsh.MA_HANG = '109' THEN CAST(gt.GIA_TRI AS VARCHAR2(4000)) END) AS "13. Quỹ bảo vệ Nhà đầu tư",
    MAX(CASE WHEN bsc.TEN_COT=N'Thuyết minh' AND bsh.MA_HANG = '110' THEN CAST(gt.GIA_TRI AS VARCHAR2(4000)) END) AS "14. Thuế thu nhập hoãn lại phải trả",
    MAX(CASE WHEN bsc.TEN_COT=N'Thuyết minh' AND bsh.MA_HANG = '111' THEN CAST(gt.GIA_TRI AS VARCHAR2(4000)) END) AS "15. Quỹ phát triển khoa học và công nghệ",
    MAX(CASE WHEN bsc.TEN_COT=N'Thuyết minh' AND bsh.MA_HANG = '112' THEN CAST(gt.GIA_TRI AS VARCHAR2(4000)) END) AS "D. VỐN CHỦ SỞ HỮU",
    MAX(CASE WHEN bsc.TEN_COT=N'Thuyết minh' AND bsh.MA_HANG = '113' THEN CAST(gt.GIA_TRI AS VARCHAR2(4000)) END) AS "(400 = 410 + 420)",
    MAX(CASE WHEN bsc.TEN_COT=N'Thuyết minh' AND bsh.MA_HANG = '114' THEN CAST(gt.GIA_TRI AS VARCHAR2(4000)) END) AS "I. Vốn chủ sở hữu",
    MAX(CASE WHEN bsc.TEN_COT=N'Thuyết minh' AND bsh.MA_HANG = '115' THEN CAST(gt.GIA_TRI AS VARCHAR2(4000)) END) AS "1. Vốn đầu tư của chủ sở hữu",
    MAX(CASE WHEN bsc.TEN_COT=N'Thuyết minh' AND bsh.MA_HANG = '116' THEN CAST(gt.GIA_TRI AS VARCHAR2(4000)) END) AS "1.1. Vốn góp của chủ sở hữu",
    MAX(CASE WHEN bsc.TEN_COT=N'Thuyết minh' AND bsh.MA_HANG = '117' THEN CAST(gt.GIA_TRI AS VARCHAR2(4000)) END) AS "a. Cổ phiếu phổ thông có quyền biểu quyết",
    MAX(CASE WHEN bsc.TEN_COT=N'Thuyết minh' AND bsh.MA_HANG = '118' THEN CAST(gt.GIA_TRI AS VARCHAR2(4000)) END) AS "b. Cổ phiếu ưu đãi",
    MAX(CASE WHEN bsc.TEN_COT=N'Thuyết minh' AND bsh.MA_HANG = '119' THEN CAST(gt.GIA_TRI AS VARCHAR2(4000)) END) AS "1.2. Thặng dư vốn cổ phần",
    MAX(CASE WHEN bsc.TEN_COT=N'Thuyết minh' AND bsh.MA_HANG = '120' THEN CAST(gt.GIA_TRI AS VARCHAR2(4000)) END) AS "1.3. Quyền chọn chuyển đổi trái phiếu - Cấu phần vốn",
    MAX(CASE WHEN bsc.TEN_COT=N'Thuyết minh' AND bsh.MA_HANG = '121' THEN CAST(gt.GIA_TRI AS VARCHAR2(4000)) END) AS "1.4. Vốn khác của chủ sở hữu",
    MAX(CASE WHEN bsc.TEN_COT=N'Thuyết minh' AND bsh.MA_HANG = '122' THEN CAST(gt.GIA_TRI AS VARCHAR2(4000)) END) AS "1.5. Cổ phiếu quỹ (*)",
    MAX(CASE WHEN bsc.TEN_COT=N'Thuyết minh' AND bsh.MA_HANG = '123' THEN CAST(gt.GIA_TRI AS VARCHAR2(4000)) END) AS "2. Chênh lệch đánh giá tài sản theo giá trị hợp lý",
    MAX(CASE WHEN bsc.TEN_COT=N'Thuyết minh' AND bsh.MA_HANG = '124' THEN CAST(gt.GIA_TRI AS VARCHAR2(4000)) END) AS "3. Chênh lệch tỷ giá hối đoái",
    MAX(CASE WHEN bsc.TEN_COT=N'Thuyết minh' AND bsh.MA_HANG = '125' THEN CAST(gt.GIA_TRI AS VARCHAR2(4000)) END) AS "4. Quỹ dự trữ bổ sung vốn  điều lệ",
    MAX(CASE WHEN bsc.TEN_COT=N'Thuyết minh' AND bsh.MA_HANG = '126' THEN CAST(gt.GIA_TRI AS VARCHAR2(4000)) END) AS "5. Quỹ dự phòng tài chính và rủi ro nghiệp vụ",
    MAX(CASE WHEN bsc.TEN_COT=N'Thuyết minh' AND bsh.MA_HANG = '127' THEN CAST(gt.GIA_TRI AS VARCHAR2(4000)) END) AS "6. Các Quỹ khác thuộc vốn chủ sở hữu",
    MAX(CASE WHEN bsc.TEN_COT=N'Thuyết minh' AND bsh.MA_HANG = '128' THEN CAST(gt.GIA_TRI AS VARCHAR2(4000)) END) AS "7. Lợi nhuận chưa phân phối",
    MAX(CASE WHEN bsc.TEN_COT=N'Thuyết minh' AND bsh.MA_HANG = '129' THEN CAST(gt.GIA_TRI AS VARCHAR2(4000)) END) AS "7.1. Lợi nhuận sau thuế đã thực hiện",
    MAX(CASE WHEN bsc.TEN_COT=N'Thuyết minh' AND bsh.MA_HANG = '130' THEN CAST(gt.GIA_TRI AS VARCHAR2(4000)) END) AS "7.2. Lợi nhuận chưa thực hiện",
    MAX(CASE WHEN bsc.TEN_COT=N'Thuyết minh' AND bsh.MA_HANG = '131' THEN CAST(gt.GIA_TRI AS VARCHAR2(4000)) END) AS "II. Nguồn kinh phí và quỹ khác ",
    MAX(CASE WHEN bsc.TEN_COT=N'Thuyết minh' AND bsh.MA_HANG = '132' THEN CAST(gt.GIA_TRI AS VARCHAR2(4000)) END) AS "TỔNG CỘNG NỢ VÀ VỐN CHỦ SỞ HỮU",
    MAX(CASE WHEN bsc.TEN_COT=N'Thuyết minh' AND bsh.MA_HANG = '133' THEN CAST(gt.GIA_TRI AS VARCHAR2(4000)) END) AS "(440 = 300 + 400)",</t>
        </is>
      </c>
      <c r="U3072" s="106" t="inlineStr">
        <is>
          <t>Full câu query dài quá, đang phải chia nhỏ ra 3 ô</t>
        </is>
      </c>
      <c r="V3072" s="22" t="n"/>
      <c r="W3072" s="22" t="n"/>
      <c r="X3072" s="22" t="n"/>
      <c r="Y3072" s="13" t="n"/>
      <c r="Z3072" s="22" t="n"/>
      <c r="AA3072" s="22" t="n"/>
      <c r="AB3072" s="22" t="n"/>
      <c r="AC3072" s="22" t="n"/>
      <c r="AD3072" s="22" t="n"/>
      <c r="AE3072" s="22" t="n"/>
    </row>
    <row r="3073" ht="98" customHeight="1" s="380">
      <c r="A3073" s="144" t="n">
        <v>123</v>
      </c>
      <c r="B3073" s="390" t="n"/>
      <c r="C3073" s="390" t="inlineStr">
        <is>
          <t>Báo cáo tài chính quý, soát xét bán niên, kiểm toán năm - Chi nhánh công ty chứng khoán nước ngoài tại Việt Nam &gt;&gt; Báo cáo tình hình tài chính riêng</t>
        </is>
      </c>
      <c r="D3073" s="132" t="inlineStr">
        <is>
          <t>I. Tài sản tài chính</t>
        </is>
      </c>
      <c r="E3073" s="150" t="n">
        <v>110</v>
      </c>
      <c r="F3073" s="390" t="inlineStr">
        <is>
          <t>Data Explorer</t>
        </is>
      </c>
      <c r="G3073" s="390" t="inlineStr">
        <is>
          <t>Chỉ tiêu cơ sở</t>
        </is>
      </c>
      <c r="H3073" s="390" t="inlineStr">
        <is>
          <t>Dễ</t>
        </is>
      </c>
      <c r="I3073" s="390" t="inlineStr">
        <is>
          <t>Ngày, CTCK</t>
        </is>
      </c>
      <c r="J3073" s="401" t="inlineStr">
        <is>
          <t>SCMS</t>
        </is>
      </c>
      <c r="K3073" s="401" t="n"/>
      <c r="L3073" s="401" t="inlineStr">
        <is>
          <t>X</t>
        </is>
      </c>
      <c r="M3073" s="401" t="n"/>
      <c r="N3073" s="401" t="inlineStr">
        <is>
          <t>Done</t>
        </is>
      </c>
      <c r="O3073" s="401" t="n"/>
      <c r="P3073" s="401" t="n"/>
      <c r="S3073" s="401" t="n"/>
      <c r="U3073" s="401" t="n"/>
      <c r="V3073" s="22" t="n"/>
      <c r="W3073" s="22" t="n"/>
      <c r="X3073" s="22" t="n"/>
      <c r="Y3073" s="13" t="n"/>
      <c r="Z3073" s="22" t="n"/>
      <c r="AA3073" s="22" t="n"/>
      <c r="AB3073" s="22" t="n"/>
      <c r="AC3073" s="22" t="n"/>
      <c r="AD3073" s="22" t="n"/>
      <c r="AE3073" s="22" t="n"/>
    </row>
    <row r="3074" ht="98" customHeight="1" s="380">
      <c r="A3074" s="144" t="n">
        <v>123</v>
      </c>
      <c r="B3074" s="390" t="n"/>
      <c r="C3074" s="390" t="inlineStr">
        <is>
          <t>Báo cáo tài chính quý, soát xét bán niên, kiểm toán năm - Chi nhánh công ty chứng khoán nước ngoài tại Việt Nam &gt;&gt; Báo cáo tình hình tài chính riêng</t>
        </is>
      </c>
      <c r="D3074" s="390" t="inlineStr">
        <is>
          <t>1.Tiền và các khoản tương đương tiền</t>
        </is>
      </c>
      <c r="E3074" s="151" t="n">
        <v>111</v>
      </c>
      <c r="F3074" s="390" t="inlineStr">
        <is>
          <t>Data Explorer</t>
        </is>
      </c>
      <c r="G3074" s="390" t="inlineStr">
        <is>
          <t>Chỉ tiêu cơ sở</t>
        </is>
      </c>
      <c r="H3074" s="390" t="inlineStr">
        <is>
          <t>Dễ</t>
        </is>
      </c>
      <c r="I3074" s="390" t="inlineStr">
        <is>
          <t>Ngày, CTCK</t>
        </is>
      </c>
      <c r="J3074" s="401" t="inlineStr">
        <is>
          <t>SCMS</t>
        </is>
      </c>
      <c r="K3074" s="401" t="n"/>
      <c r="L3074" s="401" t="inlineStr">
        <is>
          <t>X</t>
        </is>
      </c>
      <c r="M3074" s="401" t="n"/>
      <c r="N3074" s="401" t="inlineStr">
        <is>
          <t>Done</t>
        </is>
      </c>
      <c r="O3074" s="401" t="n"/>
      <c r="P3074" s="401" t="n"/>
      <c r="S3074" s="401" t="n"/>
      <c r="U3074" s="401" t="n"/>
      <c r="V3074" s="22" t="n"/>
      <c r="W3074" s="22" t="n"/>
      <c r="X3074" s="22" t="n"/>
      <c r="Y3074" s="13" t="n"/>
      <c r="Z3074" s="22" t="n"/>
      <c r="AA3074" s="22" t="n"/>
      <c r="AB3074" s="22" t="n"/>
      <c r="AC3074" s="22" t="n"/>
      <c r="AD3074" s="22" t="n"/>
      <c r="AE3074" s="22" t="n"/>
    </row>
    <row r="3075" ht="98" customHeight="1" s="380">
      <c r="A3075" s="144" t="n">
        <v>123</v>
      </c>
      <c r="B3075" s="390" t="n"/>
      <c r="C3075" s="390" t="inlineStr">
        <is>
          <t>Báo cáo tài chính quý, soát xét bán niên, kiểm toán năm - Chi nhánh công ty chứng khoán nước ngoài tại Việt Nam &gt;&gt; Báo cáo tình hình tài chính riêng</t>
        </is>
      </c>
      <c r="D3075" s="390" t="inlineStr">
        <is>
          <t>1.1. Tiền</t>
        </is>
      </c>
      <c r="E3075" s="151" t="n">
        <v>111.1</v>
      </c>
      <c r="F3075" s="390" t="inlineStr">
        <is>
          <t>Data Explorer</t>
        </is>
      </c>
      <c r="G3075" s="390" t="inlineStr">
        <is>
          <t>Chỉ tiêu cơ sở</t>
        </is>
      </c>
      <c r="H3075" s="390" t="inlineStr">
        <is>
          <t>Dễ</t>
        </is>
      </c>
      <c r="I3075" s="390" t="inlineStr">
        <is>
          <t>Ngày, CTCK</t>
        </is>
      </c>
      <c r="J3075" s="401" t="inlineStr">
        <is>
          <t>SCMS</t>
        </is>
      </c>
      <c r="K3075" s="401" t="n"/>
      <c r="L3075" s="401" t="inlineStr">
        <is>
          <t>X</t>
        </is>
      </c>
      <c r="M3075" s="401" t="n"/>
      <c r="N3075" s="401" t="inlineStr">
        <is>
          <t>Done</t>
        </is>
      </c>
      <c r="O3075" s="401" t="n"/>
      <c r="P3075" s="401" t="n"/>
      <c r="S3075" s="401" t="n"/>
      <c r="U3075" s="401" t="n"/>
      <c r="V3075" s="22" t="n"/>
      <c r="W3075" s="22" t="n"/>
      <c r="X3075" s="22" t="n"/>
      <c r="Y3075" s="13" t="n"/>
      <c r="Z3075" s="22" t="n"/>
      <c r="AA3075" s="22" t="n"/>
      <c r="AB3075" s="22" t="n"/>
      <c r="AC3075" s="22" t="n"/>
      <c r="AD3075" s="22" t="n"/>
      <c r="AE3075" s="22" t="n"/>
    </row>
    <row r="3076" ht="28" customHeight="1" s="380">
      <c r="A3076" s="144" t="n"/>
      <c r="B3076" s="390" t="n"/>
      <c r="C3076" s="390" t="n"/>
      <c r="D3076" s="390" t="inlineStr">
        <is>
          <t>1.2. Các khoản tương đương tiền</t>
        </is>
      </c>
      <c r="E3076" s="151" t="n">
        <v>111.2</v>
      </c>
      <c r="F3076" s="390" t="inlineStr">
        <is>
          <t>Data Explorer</t>
        </is>
      </c>
      <c r="G3076" s="390" t="inlineStr">
        <is>
          <t>Chỉ tiêu cơ sở</t>
        </is>
      </c>
      <c r="H3076" s="390" t="inlineStr">
        <is>
          <t>Dễ</t>
        </is>
      </c>
      <c r="I3076" s="390" t="inlineStr">
        <is>
          <t>Ngày, CTCK</t>
        </is>
      </c>
      <c r="J3076" s="401" t="inlineStr">
        <is>
          <t>SCMS</t>
        </is>
      </c>
      <c r="K3076" s="401" t="n"/>
      <c r="L3076" s="401" t="inlineStr">
        <is>
          <t>X</t>
        </is>
      </c>
      <c r="M3076" s="401" t="n"/>
      <c r="N3076" s="401" t="inlineStr">
        <is>
          <t>Done</t>
        </is>
      </c>
      <c r="O3076" s="401" t="n"/>
      <c r="P3076" s="401" t="n"/>
      <c r="S3076" s="401" t="n"/>
      <c r="U3076" s="401" t="n"/>
      <c r="V3076" s="22" t="n"/>
      <c r="W3076" s="22" t="n"/>
      <c r="X3076" s="22" t="n"/>
      <c r="Y3076" s="13" t="n"/>
      <c r="Z3076" s="22" t="n"/>
      <c r="AA3076" s="22" t="n"/>
      <c r="AB3076" s="22" t="n"/>
      <c r="AC3076" s="22" t="n"/>
      <c r="AD3076" s="22" t="n"/>
      <c r="AE3076" s="22" t="n"/>
    </row>
    <row r="3077" ht="98" customHeight="1" s="380">
      <c r="A3077" s="144" t="n">
        <v>123</v>
      </c>
      <c r="B3077" s="390" t="n"/>
      <c r="C3077" s="390" t="inlineStr">
        <is>
          <t>Báo cáo tài chính quý, soát xét bán niên, kiểm toán năm - Chi nhánh công ty chứng khoán nước ngoài tại Việt Nam &gt;&gt; Báo cáo tình hình tài chính riêng</t>
        </is>
      </c>
      <c r="D3077" s="390" t="inlineStr">
        <is>
          <t>2. Các tài sản tài chính ghi nhận thông qua lãi/lỗ (FVTPL)</t>
        </is>
      </c>
      <c r="E3077" s="151" t="n">
        <v>112</v>
      </c>
      <c r="F3077" s="390" t="inlineStr">
        <is>
          <t>Data Explorer</t>
        </is>
      </c>
      <c r="G3077" s="390" t="inlineStr">
        <is>
          <t>Chỉ tiêu cơ sở</t>
        </is>
      </c>
      <c r="H3077" s="390" t="inlineStr">
        <is>
          <t>Dễ</t>
        </is>
      </c>
      <c r="I3077" s="390" t="inlineStr">
        <is>
          <t>Ngày, CTCK</t>
        </is>
      </c>
      <c r="J3077" s="401" t="inlineStr">
        <is>
          <t>SCMS</t>
        </is>
      </c>
      <c r="K3077" s="401" t="n"/>
      <c r="L3077" s="401" t="inlineStr">
        <is>
          <t>X</t>
        </is>
      </c>
      <c r="M3077" s="401" t="n"/>
      <c r="N3077" s="401" t="inlineStr">
        <is>
          <t>Done</t>
        </is>
      </c>
      <c r="O3077" s="401" t="n"/>
      <c r="P3077" s="401" t="n"/>
      <c r="S3077" s="401" t="n"/>
      <c r="U3077" s="401" t="n"/>
      <c r="V3077" s="22" t="n"/>
      <c r="W3077" s="22" t="n"/>
      <c r="X3077" s="22" t="n"/>
      <c r="Y3077" s="13" t="n"/>
      <c r="Z3077" s="22" t="n"/>
      <c r="AA3077" s="22" t="n"/>
      <c r="AB3077" s="22" t="n"/>
      <c r="AC3077" s="22" t="n"/>
      <c r="AD3077" s="22" t="n"/>
      <c r="AE3077" s="22" t="n"/>
    </row>
    <row r="3078" ht="98" customHeight="1" s="380">
      <c r="A3078" s="144" t="n">
        <v>123</v>
      </c>
      <c r="B3078" s="390" t="n"/>
      <c r="C3078" s="390" t="inlineStr">
        <is>
          <t>Báo cáo tài chính quý, soát xét bán niên, kiểm toán năm - Chi nhánh công ty chứng khoán nước ngoài tại Việt Nam &gt;&gt; Báo cáo tình hình tài chính riêng</t>
        </is>
      </c>
      <c r="D3078" s="390" t="inlineStr">
        <is>
          <t>3. Các  khoản đầu tư  nắm giữ đến ngày đáo hạn (HTM)</t>
        </is>
      </c>
      <c r="E3078" s="151" t="n">
        <v>113</v>
      </c>
      <c r="F3078" s="390" t="inlineStr">
        <is>
          <t>Data Explorer</t>
        </is>
      </c>
      <c r="G3078" s="390" t="inlineStr">
        <is>
          <t>Chỉ tiêu cơ sở</t>
        </is>
      </c>
      <c r="H3078" s="390" t="inlineStr">
        <is>
          <t>Dễ</t>
        </is>
      </c>
      <c r="I3078" s="390" t="inlineStr">
        <is>
          <t>Ngày, CTCK</t>
        </is>
      </c>
      <c r="J3078" s="401" t="inlineStr">
        <is>
          <t>SCMS</t>
        </is>
      </c>
      <c r="K3078" s="401" t="n"/>
      <c r="L3078" s="401" t="inlineStr">
        <is>
          <t>X</t>
        </is>
      </c>
      <c r="M3078" s="401" t="n"/>
      <c r="N3078" s="401" t="inlineStr">
        <is>
          <t>Done</t>
        </is>
      </c>
      <c r="O3078" s="401" t="n"/>
      <c r="P3078" s="401" t="n"/>
      <c r="S3078" s="401" t="n"/>
      <c r="U3078" s="401" t="n"/>
      <c r="V3078" s="22" t="n"/>
      <c r="W3078" s="22" t="n"/>
      <c r="X3078" s="22" t="n"/>
      <c r="Y3078" s="14" t="n"/>
      <c r="Z3078" s="22" t="n"/>
      <c r="AA3078" s="22" t="n"/>
      <c r="AB3078" s="22" t="n"/>
      <c r="AC3078" s="22" t="n"/>
      <c r="AD3078" s="22" t="n"/>
      <c r="AE3078" s="22" t="n"/>
    </row>
    <row r="3079" ht="98" customHeight="1" s="380">
      <c r="A3079" s="144" t="n">
        <v>123</v>
      </c>
      <c r="B3079" s="390" t="n"/>
      <c r="C3079" s="390" t="inlineStr">
        <is>
          <t>Báo cáo tài chính quý, soát xét bán niên, kiểm toán năm - Chi nhánh công ty chứng khoán nước ngoài tại Việt Nam &gt;&gt; Báo cáo tình hình tài chính riêng</t>
        </is>
      </c>
      <c r="D3079" s="390" t="inlineStr">
        <is>
          <t>4. Các khoản cho vay</t>
        </is>
      </c>
      <c r="E3079" s="151" t="n">
        <v>114</v>
      </c>
      <c r="F3079" s="390" t="inlineStr">
        <is>
          <t>Data Explorer</t>
        </is>
      </c>
      <c r="G3079" s="390" t="inlineStr">
        <is>
          <t>Chỉ tiêu cơ sở</t>
        </is>
      </c>
      <c r="H3079" s="390" t="inlineStr">
        <is>
          <t>Dễ</t>
        </is>
      </c>
      <c r="I3079" s="390" t="inlineStr">
        <is>
          <t>Ngày, CTCK</t>
        </is>
      </c>
      <c r="J3079" s="401" t="inlineStr">
        <is>
          <t>SCMS</t>
        </is>
      </c>
      <c r="K3079" s="401" t="n"/>
      <c r="L3079" s="401" t="inlineStr">
        <is>
          <t>X</t>
        </is>
      </c>
      <c r="M3079" s="401" t="n"/>
      <c r="N3079" s="401" t="inlineStr">
        <is>
          <t>Done</t>
        </is>
      </c>
      <c r="O3079" s="401" t="n"/>
      <c r="P3079" s="401" t="n"/>
      <c r="S3079" s="401" t="n"/>
      <c r="U3079" s="401" t="n"/>
      <c r="V3079" s="22" t="n"/>
      <c r="W3079" s="22" t="n"/>
      <c r="X3079" s="22" t="n"/>
      <c r="Y3079" s="13" t="n"/>
      <c r="Z3079" s="22" t="n"/>
      <c r="AA3079" s="22" t="n"/>
      <c r="AB3079" s="22" t="n"/>
      <c r="AC3079" s="22" t="n"/>
      <c r="AD3079" s="22" t="n"/>
      <c r="AE3079" s="22" t="n"/>
    </row>
    <row r="3080" ht="98" customHeight="1" s="380">
      <c r="A3080" s="144" t="n">
        <v>123</v>
      </c>
      <c r="B3080" s="390" t="n"/>
      <c r="C3080" s="390" t="inlineStr">
        <is>
          <t>Báo cáo tài chính quý, soát xét bán niên, kiểm toán năm - Chi nhánh công ty chứng khoán nước ngoài tại Việt Nam &gt;&gt; Báo cáo tình hình tài chính riêng</t>
        </is>
      </c>
      <c r="D3080" s="390" t="inlineStr">
        <is>
          <t>5. Tài sản tài chính sẵn sàng để bán (AFS)</t>
        </is>
      </c>
      <c r="E3080" s="151" t="n">
        <v>115</v>
      </c>
      <c r="F3080" s="390" t="inlineStr">
        <is>
          <t>Data Explorer</t>
        </is>
      </c>
      <c r="G3080" s="390" t="inlineStr">
        <is>
          <t>Chỉ tiêu cơ sở</t>
        </is>
      </c>
      <c r="H3080" s="390" t="inlineStr">
        <is>
          <t>Dễ</t>
        </is>
      </c>
      <c r="I3080" s="390" t="inlineStr">
        <is>
          <t>Ngày, CTCK</t>
        </is>
      </c>
      <c r="J3080" s="401" t="inlineStr">
        <is>
          <t>SCMS</t>
        </is>
      </c>
      <c r="K3080" s="401" t="n"/>
      <c r="L3080" s="401" t="inlineStr">
        <is>
          <t>X</t>
        </is>
      </c>
      <c r="M3080" s="401" t="n"/>
      <c r="N3080" s="401" t="inlineStr">
        <is>
          <t>Done</t>
        </is>
      </c>
      <c r="O3080" s="401" t="n"/>
      <c r="P3080" s="401" t="n"/>
      <c r="S3080" s="401" t="n"/>
      <c r="U3080" s="401" t="n"/>
      <c r="V3080" s="22" t="n"/>
      <c r="W3080" s="22" t="n"/>
      <c r="X3080" s="22" t="n"/>
      <c r="Y3080" s="13" t="n"/>
      <c r="Z3080" s="22" t="n"/>
      <c r="AA3080" s="22" t="n"/>
      <c r="AB3080" s="22" t="n"/>
      <c r="AC3080" s="22" t="n"/>
      <c r="AD3080" s="22" t="n"/>
      <c r="AE3080" s="22" t="n"/>
    </row>
    <row r="3081" ht="98" customHeight="1" s="380">
      <c r="A3081" s="144" t="n">
        <v>123</v>
      </c>
      <c r="B3081" s="390" t="n"/>
      <c r="C3081" s="390" t="inlineStr">
        <is>
          <t>Báo cáo tài chính quý, soát xét bán niên, kiểm toán năm - Chi nhánh công ty chứng khoán nước ngoài tại Việt Nam &gt;&gt; Báo cáo tình hình tài chính riêng</t>
        </is>
      </c>
      <c r="D3081" s="390" t="inlineStr">
        <is>
          <t xml:space="preserve">6. Dự phòng suy giảm giá trị các tài sản tài chính và tài sản thế chấp
</t>
        </is>
      </c>
      <c r="E3081" s="151" t="n">
        <v>116</v>
      </c>
      <c r="F3081" s="390" t="inlineStr">
        <is>
          <t>Data Explorer</t>
        </is>
      </c>
      <c r="G3081" s="390" t="inlineStr">
        <is>
          <t>Chỉ tiêu cơ sở</t>
        </is>
      </c>
      <c r="H3081" s="390" t="inlineStr">
        <is>
          <t>Dễ</t>
        </is>
      </c>
      <c r="I3081" s="390" t="inlineStr">
        <is>
          <t>Ngày, CTCK</t>
        </is>
      </c>
      <c r="J3081" s="401" t="inlineStr">
        <is>
          <t>SCMS</t>
        </is>
      </c>
      <c r="K3081" s="401" t="n"/>
      <c r="L3081" s="401" t="inlineStr">
        <is>
          <t>X</t>
        </is>
      </c>
      <c r="M3081" s="401" t="n"/>
      <c r="N3081" s="401" t="inlineStr">
        <is>
          <t>Done</t>
        </is>
      </c>
      <c r="O3081" s="401" t="n"/>
      <c r="P3081" s="401" t="n"/>
      <c r="S3081" s="401" t="n"/>
      <c r="U3081" s="401" t="n"/>
      <c r="V3081" s="22" t="n"/>
      <c r="W3081" s="22" t="n"/>
      <c r="X3081" s="22" t="n"/>
      <c r="Y3081" s="13" t="n"/>
      <c r="Z3081" s="22" t="n"/>
      <c r="AA3081" s="22" t="n"/>
      <c r="AB3081" s="22" t="n"/>
      <c r="AC3081" s="22" t="n"/>
      <c r="AD3081" s="22" t="n"/>
      <c r="AE3081" s="22" t="n"/>
    </row>
    <row r="3082" ht="98" customHeight="1" s="380">
      <c r="A3082" s="144" t="n">
        <v>123</v>
      </c>
      <c r="B3082" s="390" t="n"/>
      <c r="C3082" s="390" t="inlineStr">
        <is>
          <t>Báo cáo tài chính quý, soát xét bán niên, kiểm toán năm - Chi nhánh công ty chứng khoán nước ngoài tại Việt Nam &gt;&gt; Báo cáo tình hình tài chính riêng</t>
        </is>
      </c>
      <c r="D3082" s="390" t="inlineStr">
        <is>
          <t>7. Các khoản phải thu</t>
        </is>
      </c>
      <c r="E3082" s="151" t="n">
        <v>117</v>
      </c>
      <c r="F3082" s="390" t="inlineStr">
        <is>
          <t>Data Explorer</t>
        </is>
      </c>
      <c r="G3082" s="390" t="inlineStr">
        <is>
          <t>Chỉ tiêu cơ sở</t>
        </is>
      </c>
      <c r="H3082" s="390" t="inlineStr">
        <is>
          <t>Dễ</t>
        </is>
      </c>
      <c r="I3082" s="390" t="inlineStr">
        <is>
          <t>Ngày, CTCK</t>
        </is>
      </c>
      <c r="J3082" s="401" t="inlineStr">
        <is>
          <t>SCMS</t>
        </is>
      </c>
      <c r="K3082" s="401" t="n"/>
      <c r="L3082" s="401" t="inlineStr">
        <is>
          <t>X</t>
        </is>
      </c>
      <c r="M3082" s="401" t="n"/>
      <c r="N3082" s="401" t="inlineStr">
        <is>
          <t>Done</t>
        </is>
      </c>
      <c r="O3082" s="401" t="n"/>
      <c r="P3082" s="401" t="n"/>
      <c r="S3082" s="401" t="n"/>
      <c r="U3082" s="401" t="n"/>
      <c r="V3082" s="22" t="n"/>
      <c r="W3082" s="22" t="n"/>
      <c r="X3082" s="22" t="n"/>
      <c r="Y3082" s="13" t="n"/>
      <c r="Z3082" s="22" t="n"/>
      <c r="AA3082" s="22" t="n"/>
      <c r="AB3082" s="22" t="n"/>
      <c r="AC3082" s="22" t="n"/>
      <c r="AD3082" s="22" t="n"/>
      <c r="AE3082" s="22" t="n"/>
    </row>
    <row r="3083" ht="98" customHeight="1" s="380">
      <c r="A3083" s="144" t="n">
        <v>123</v>
      </c>
      <c r="B3083" s="390" t="n"/>
      <c r="C3083" s="390" t="inlineStr">
        <is>
          <t>Báo cáo tài chính quý, soát xét bán niên, kiểm toán năm - Chi nhánh công ty chứng khoán nước ngoài tại Việt Nam &gt;&gt; Báo cáo tình hình tài chính riêng</t>
        </is>
      </c>
      <c r="D3083" s="390" t="inlineStr">
        <is>
          <t>7.1. Phải thu bán các tài sản tài chính</t>
        </is>
      </c>
      <c r="E3083" s="151" t="n">
        <v>117.1</v>
      </c>
      <c r="F3083" s="390" t="inlineStr">
        <is>
          <t>Data Explorer</t>
        </is>
      </c>
      <c r="G3083" s="390" t="inlineStr">
        <is>
          <t>Chỉ tiêu cơ sở</t>
        </is>
      </c>
      <c r="H3083" s="390" t="inlineStr">
        <is>
          <t>Dễ</t>
        </is>
      </c>
      <c r="I3083" s="390" t="inlineStr">
        <is>
          <t>Ngày, CTCK</t>
        </is>
      </c>
      <c r="J3083" s="401" t="inlineStr">
        <is>
          <t>SCMS</t>
        </is>
      </c>
      <c r="K3083" s="401" t="n"/>
      <c r="L3083" s="401" t="inlineStr">
        <is>
          <t>X</t>
        </is>
      </c>
      <c r="M3083" s="401" t="n"/>
      <c r="N3083" s="401" t="inlineStr">
        <is>
          <t>Done</t>
        </is>
      </c>
      <c r="O3083" s="401" t="n"/>
      <c r="P3083" s="401" t="n"/>
      <c r="S3083" s="401" t="n"/>
      <c r="U3083" s="401" t="n"/>
      <c r="V3083" s="22" t="n"/>
      <c r="W3083" s="22" t="n"/>
      <c r="X3083" s="22" t="n"/>
      <c r="Y3083" s="13" t="n"/>
      <c r="Z3083" s="22" t="n"/>
      <c r="AA3083" s="22" t="n"/>
      <c r="AB3083" s="22" t="n"/>
      <c r="AC3083" s="22" t="n"/>
      <c r="AD3083" s="22" t="n"/>
      <c r="AE3083" s="22" t="n"/>
    </row>
    <row r="3084" ht="98" customHeight="1" s="380">
      <c r="A3084" s="144" t="n">
        <v>123</v>
      </c>
      <c r="B3084" s="390" t="n"/>
      <c r="C3084" s="390" t="inlineStr">
        <is>
          <t>Báo cáo tài chính quý, soát xét bán niên, kiểm toán năm - Chi nhánh công ty chứng khoán nước ngoài tại Việt Nam &gt;&gt; Báo cáo tình hình tài chính riêng</t>
        </is>
      </c>
      <c r="D3084" s="390" t="inlineStr">
        <is>
          <t xml:space="preserve">7.2. Phải thu và dự thu cổ tức, tiền lãi các tài sản tài chính
</t>
        </is>
      </c>
      <c r="E3084" s="151" t="n">
        <v>117.2</v>
      </c>
      <c r="F3084" s="390" t="inlineStr">
        <is>
          <t>Data Explorer</t>
        </is>
      </c>
      <c r="G3084" s="390" t="inlineStr">
        <is>
          <t>Chỉ tiêu cơ sở</t>
        </is>
      </c>
      <c r="H3084" s="390" t="inlineStr">
        <is>
          <t>Dễ</t>
        </is>
      </c>
      <c r="I3084" s="390" t="inlineStr">
        <is>
          <t>Ngày, CTCK</t>
        </is>
      </c>
      <c r="J3084" s="401" t="inlineStr">
        <is>
          <t>SCMS</t>
        </is>
      </c>
      <c r="K3084" s="401" t="n"/>
      <c r="L3084" s="401" t="inlineStr">
        <is>
          <t>X</t>
        </is>
      </c>
      <c r="M3084" s="401" t="n"/>
      <c r="N3084" s="401" t="inlineStr">
        <is>
          <t>Done</t>
        </is>
      </c>
      <c r="O3084" s="401" t="n"/>
      <c r="P3084" s="401" t="n"/>
      <c r="S3084" s="401" t="n"/>
      <c r="U3084" s="401" t="n"/>
      <c r="V3084" s="22" t="n"/>
      <c r="W3084" s="22" t="n"/>
      <c r="X3084" s="22" t="n"/>
      <c r="Y3084" s="14" t="n"/>
      <c r="Z3084" s="22" t="n"/>
      <c r="AA3084" s="22" t="n"/>
      <c r="AB3084" s="22" t="n"/>
      <c r="AC3084" s="22" t="n"/>
      <c r="AD3084" s="22" t="n"/>
      <c r="AE3084" s="22" t="n"/>
    </row>
    <row r="3085" ht="98" customHeight="1" s="380">
      <c r="A3085" s="144" t="n">
        <v>123</v>
      </c>
      <c r="B3085" s="390" t="n"/>
      <c r="C3085" s="390" t="inlineStr">
        <is>
          <t>Báo cáo tài chính quý, soát xét bán niên, kiểm toán năm - Chi nhánh công ty chứng khoán nước ngoài tại Việt Nam &gt;&gt; Báo cáo tình hình tài chính riêng</t>
        </is>
      </c>
      <c r="D3085" s="390" t="inlineStr">
        <is>
          <t>7.2.1. Phải thu cổ tức, tiền lãi đến ngày nhận</t>
        </is>
      </c>
      <c r="E3085" s="151" t="n">
        <v>117.3</v>
      </c>
      <c r="F3085" s="390" t="inlineStr">
        <is>
          <t>Data Explorer</t>
        </is>
      </c>
      <c r="G3085" s="390" t="inlineStr">
        <is>
          <t>Chỉ tiêu cơ sở</t>
        </is>
      </c>
      <c r="H3085" s="390" t="inlineStr">
        <is>
          <t>Dễ</t>
        </is>
      </c>
      <c r="I3085" s="390" t="inlineStr">
        <is>
          <t>Ngày, CTCK</t>
        </is>
      </c>
      <c r="J3085" s="401" t="inlineStr">
        <is>
          <t>SCMS</t>
        </is>
      </c>
      <c r="K3085" s="401" t="n"/>
      <c r="L3085" s="401" t="inlineStr">
        <is>
          <t>X</t>
        </is>
      </c>
      <c r="M3085" s="401" t="n"/>
      <c r="N3085" s="401" t="inlineStr">
        <is>
          <t>Done</t>
        </is>
      </c>
      <c r="O3085" s="401" t="n"/>
      <c r="P3085" s="401" t="n"/>
      <c r="S3085" s="401" t="n"/>
      <c r="U3085" s="401" t="n"/>
      <c r="V3085" s="22" t="n"/>
      <c r="W3085" s="22" t="n"/>
      <c r="X3085" s="22" t="n"/>
      <c r="Y3085" s="13" t="n"/>
      <c r="Z3085" s="22" t="n"/>
      <c r="AA3085" s="22" t="n"/>
      <c r="AB3085" s="22" t="n"/>
      <c r="AC3085" s="22" t="n"/>
      <c r="AD3085" s="22" t="n"/>
      <c r="AE3085" s="22" t="n"/>
    </row>
    <row r="3086" ht="98" customHeight="1" s="380">
      <c r="A3086" s="144" t="n">
        <v>123</v>
      </c>
      <c r="B3086" s="390" t="n"/>
      <c r="C3086" s="390" t="inlineStr">
        <is>
          <t>Báo cáo tài chính quý, soát xét bán niên, kiểm toán năm - Chi nhánh công ty chứng khoán nước ngoài tại Việt Nam &gt;&gt; Báo cáo tình hình tài chính riêng</t>
        </is>
      </c>
      <c r="D3086" s="390" t="inlineStr">
        <is>
          <t>7.2.2. Dự thu cổ tức, tiền lãi chưa đến ngày nhận</t>
        </is>
      </c>
      <c r="E3086" s="151" t="n">
        <v>117.4</v>
      </c>
      <c r="F3086" s="390" t="inlineStr">
        <is>
          <t>Data Explorer</t>
        </is>
      </c>
      <c r="G3086" s="390" t="inlineStr">
        <is>
          <t>Chỉ tiêu cơ sở</t>
        </is>
      </c>
      <c r="H3086" s="390" t="inlineStr">
        <is>
          <t>Dễ</t>
        </is>
      </c>
      <c r="I3086" s="390" t="inlineStr">
        <is>
          <t>Ngày, CTCK</t>
        </is>
      </c>
      <c r="J3086" s="401" t="inlineStr">
        <is>
          <t>SCMS</t>
        </is>
      </c>
      <c r="K3086" s="401" t="n"/>
      <c r="L3086" s="401" t="inlineStr">
        <is>
          <t>X</t>
        </is>
      </c>
      <c r="M3086" s="401" t="n"/>
      <c r="N3086" s="401" t="inlineStr">
        <is>
          <t>Done</t>
        </is>
      </c>
      <c r="O3086" s="401" t="n"/>
      <c r="P3086" s="401" t="n"/>
      <c r="S3086" s="401" t="n"/>
      <c r="U3086" s="401" t="n"/>
      <c r="V3086" s="22" t="n"/>
      <c r="W3086" s="22" t="n"/>
      <c r="X3086" s="22" t="n"/>
      <c r="Y3086" s="13" t="n"/>
      <c r="Z3086" s="22" t="n"/>
      <c r="AA3086" s="22" t="n"/>
      <c r="AB3086" s="22" t="n"/>
      <c r="AC3086" s="22" t="n"/>
      <c r="AD3086" s="22" t="n"/>
      <c r="AE3086" s="22" t="n"/>
    </row>
    <row r="3087" ht="98" customHeight="1" s="380">
      <c r="A3087" s="144" t="n">
        <v>123</v>
      </c>
      <c r="B3087" s="390" t="n"/>
      <c r="C3087" s="390" t="inlineStr">
        <is>
          <t>Báo cáo tài chính quý, soát xét bán niên, kiểm toán năm - Chi nhánh công ty chứng khoán nước ngoài tại Việt Nam &gt;&gt; Báo cáo tình hình tài chính riêng</t>
        </is>
      </c>
      <c r="D3087" s="390" t="inlineStr">
        <is>
          <t>8. Trả trước cho người bán</t>
        </is>
      </c>
      <c r="E3087" s="151" t="n">
        <v>118</v>
      </c>
      <c r="F3087" s="390" t="inlineStr">
        <is>
          <t>Data Explorer</t>
        </is>
      </c>
      <c r="G3087" s="390" t="inlineStr">
        <is>
          <t>Chỉ tiêu cơ sở</t>
        </is>
      </c>
      <c r="H3087" s="390" t="inlineStr">
        <is>
          <t>Dễ</t>
        </is>
      </c>
      <c r="I3087" s="390" t="inlineStr">
        <is>
          <t>Ngày, CTCK</t>
        </is>
      </c>
      <c r="J3087" s="401" t="inlineStr">
        <is>
          <t>SCMS</t>
        </is>
      </c>
      <c r="K3087" s="401" t="n"/>
      <c r="L3087" s="401" t="inlineStr">
        <is>
          <t>X</t>
        </is>
      </c>
      <c r="M3087" s="401" t="n"/>
      <c r="N3087" s="401" t="inlineStr">
        <is>
          <t>Done</t>
        </is>
      </c>
      <c r="O3087" s="401" t="n"/>
      <c r="P3087" s="401" t="n"/>
      <c r="S3087" s="401" t="n"/>
      <c r="U3087" s="401" t="n"/>
      <c r="V3087" s="22" t="n"/>
      <c r="W3087" s="22" t="n"/>
      <c r="X3087" s="22" t="n"/>
      <c r="Y3087" s="13" t="n"/>
      <c r="Z3087" s="22" t="n"/>
      <c r="AA3087" s="22" t="n"/>
      <c r="AB3087" s="22" t="n"/>
      <c r="AC3087" s="22" t="n"/>
      <c r="AD3087" s="22" t="n"/>
      <c r="AE3087" s="22" t="n"/>
    </row>
    <row r="3088" ht="98" customHeight="1" s="380">
      <c r="A3088" s="144" t="n">
        <v>123</v>
      </c>
      <c r="B3088" s="390" t="n"/>
      <c r="C3088" s="390" t="inlineStr">
        <is>
          <t>Báo cáo tài chính quý, soát xét bán niên, kiểm toán năm - Chi nhánh công ty chứng khoán nước ngoài tại Việt Nam &gt;&gt; Báo cáo tình hình tài chính riêng</t>
        </is>
      </c>
      <c r="D3088" s="390" t="inlineStr">
        <is>
          <t>9. Phải thu các dịch vụ CTCK cung cấp</t>
        </is>
      </c>
      <c r="E3088" s="151" t="n">
        <v>119</v>
      </c>
      <c r="F3088" s="390" t="inlineStr">
        <is>
          <t>Data Explorer</t>
        </is>
      </c>
      <c r="G3088" s="390" t="inlineStr">
        <is>
          <t>Chỉ tiêu cơ sở</t>
        </is>
      </c>
      <c r="H3088" s="390" t="inlineStr">
        <is>
          <t>Dễ</t>
        </is>
      </c>
      <c r="I3088" s="390" t="inlineStr">
        <is>
          <t>Ngày, CTCK</t>
        </is>
      </c>
      <c r="J3088" s="401" t="inlineStr">
        <is>
          <t>SCMS</t>
        </is>
      </c>
      <c r="K3088" s="401" t="n"/>
      <c r="L3088" s="401" t="inlineStr">
        <is>
          <t>X</t>
        </is>
      </c>
      <c r="M3088" s="401" t="n"/>
      <c r="N3088" s="401" t="inlineStr">
        <is>
          <t>Done</t>
        </is>
      </c>
      <c r="O3088" s="401" t="n"/>
      <c r="P3088" s="401" t="n"/>
      <c r="S3088" s="401" t="n"/>
      <c r="U3088" s="401" t="n"/>
      <c r="V3088" s="22" t="n"/>
      <c r="W3088" s="22" t="n"/>
      <c r="X3088" s="22" t="n"/>
      <c r="Y3088" s="13" t="n"/>
      <c r="Z3088" s="22" t="n"/>
      <c r="AA3088" s="22" t="n"/>
      <c r="AB3088" s="22" t="n"/>
      <c r="AC3088" s="22" t="n"/>
      <c r="AD3088" s="22" t="n"/>
      <c r="AE3088" s="22" t="n"/>
    </row>
    <row r="3089" ht="98" customHeight="1" s="380">
      <c r="A3089" s="144" t="n">
        <v>123</v>
      </c>
      <c r="B3089" s="390" t="n"/>
      <c r="C3089" s="390" t="inlineStr">
        <is>
          <t>Báo cáo tài chính quý, soát xét bán niên, kiểm toán năm - Chi nhánh công ty chứng khoán nước ngoài tại Việt Nam &gt;&gt; Báo cáo tình hình tài chính riêng</t>
        </is>
      </c>
      <c r="D3089" s="390" t="inlineStr">
        <is>
          <t>10. Phải thu nội bộ</t>
        </is>
      </c>
      <c r="E3089" s="151" t="n">
        <v>120</v>
      </c>
      <c r="F3089" s="390" t="inlineStr">
        <is>
          <t>Data Explorer</t>
        </is>
      </c>
      <c r="G3089" s="390" t="inlineStr">
        <is>
          <t>Chỉ tiêu cơ sở</t>
        </is>
      </c>
      <c r="H3089" s="390" t="inlineStr">
        <is>
          <t>Dễ</t>
        </is>
      </c>
      <c r="I3089" s="390" t="inlineStr">
        <is>
          <t>Ngày, CTCK</t>
        </is>
      </c>
      <c r="J3089" s="401" t="inlineStr">
        <is>
          <t>SCMS</t>
        </is>
      </c>
      <c r="K3089" s="401" t="n"/>
      <c r="L3089" s="401" t="inlineStr">
        <is>
          <t>X</t>
        </is>
      </c>
      <c r="M3089" s="401" t="n"/>
      <c r="N3089" s="401" t="inlineStr">
        <is>
          <t>Done</t>
        </is>
      </c>
      <c r="O3089" s="401" t="n"/>
      <c r="P3089" s="401" t="n"/>
      <c r="S3089" s="401" t="n"/>
      <c r="T3089" s="389" t="inlineStr">
        <is>
          <t xml:space="preserve">    
    -- Số cuối năm
	MAX(CASE WHEN bsc.TEN_COT=N'Số cuối năm' AND bsh.MA_HANG = '2' THEN CAST(gt.GIA_TRI AS VARCHAR2(4000)) END) AS "TÀI SẢN",
    MAX(CASE WHEN bsc.TEN_COT=N'Số cuối năm' AND bsh.MA_HANG = '3' THEN CAST(gt.GIA_TRI AS VARCHAR2(4000)) END) AS "A. TÀI SẢN NGẮN HẠN (100 = 110 + 130)",
    MAX(CASE WHEN bsc.TEN_COT=N'Số cuối năm' AND bsh.MA_HANG = '4' THEN CAST(gt.GIA_TRI AS VARCHAR2(4000)) END) AS "I. Tài sản tài chính",
    MAX(CASE WHEN bsc.TEN_COT=N'Số cuối năm' AND bsh.MA_HANG = '5' THEN CAST(gt.GIA_TRI AS VARCHAR2(4000)) END) AS "1.Tiền và các khoản tương đương tiền",
    MAX(CASE WHEN bsc.TEN_COT=N'Số cuối năm' AND bsh.MA_HANG = '6' THEN CAST(gt.GIA_TRI AS VARCHAR2(4000)) END) AS "1.1. Tiền",
    MAX(CASE WHEN bsc.TEN_COT=N'Số cuối năm' AND bsh.MA_HANG = '7' THEN CAST(gt.GIA_TRI AS VARCHAR2(4000)) END) AS "1.2. Các khoản tương đương tiền",
    MAX(CASE WHEN bsc.TEN_COT=N'Số cuối năm' AND bsh.MA_HANG = '8' THEN CAST(gt.GIA_TRI AS VARCHAR2(4000)) END) AS "2. Các tài sản tài chính ghi nhận thông qua lãi/lỗ (FVTPL)",
    MAX(CASE WHEN bsc.TEN_COT=N'Số cuối năm' AND bsh.MA_HANG = '9' THEN CAST(gt.GIA_TRI AS VARCHAR2(4000)) END) AS "3. Các  khoản đầu tư  nắm giữ đến ngày đáo hạn (HTM)",
    MAX(CASE WHEN bsc.TEN_COT=N'Số cuối năm' AND bsh.MA_HANG = '10' THEN CAST(gt.GIA_TRI AS VARCHAR2(4000)) END) AS "4. Các khoản cho vay",
    MAX(CASE WHEN bsc.TEN_COT=N'Số cuối năm' AND bsh.MA_HANG = '11' THEN CAST(gt.GIA_TRI AS VARCHAR2(4000)) END) AS "5. Tài sản tài chính sẵn sàng để bán (AFS)",
    MAX(CASE WHEN bsc.TEN_COT=N'Số cuối năm' AND bsh.MA_HANG = '12' THEN CAST(gt.GIA_TRI AS VARCHAR2(4000)) END) AS "6. Dự phòng suy giảm giá trị các tài sản tài chính và tài sản thế chấp",
    MAX(CASE WHEN bsc.TEN_COT=N'Số cuối năm' AND bsh.MA_HANG = '13' THEN CAST(gt.GIA_TRI AS VARCHAR2(4000)) END) AS "7. Các khoản phải thu",
    MAX(CASE WHEN bsc.TEN_COT=N'Số cuối năm' AND bsh.MA_HANG = '14' THEN CAST(gt.GIA_TRI AS VARCHAR2(4000)) END) AS "7.1. Phải thu bán các tài sản tài chính",
    MAX(CASE WHEN bsc.TEN_COT=N'Số cuối năm' AND bsh.MA_HANG = '15' THEN CAST(gt.GIA_TRI AS VARCHAR2(4000)) END) AS "7.2. Phải thu và dự thu cổ tức, tiền lãi các tài sản tài chính",
    MAX(CASE WHEN bsc.TEN_COT=N'Số cuối năm' AND bsh.MA_HANG = '16' THEN CAST(gt.GIA_TRI AS VARCHAR2(4000)) END) AS "7.2.1. Phải thu cổ tức, tiền lãi đến ngày nhận",
    MAX(CASE WHEN bsc.TEN_COT=N'Số cuối năm' AND bsh.MA_HANG = '17' THEN CAST(gt.GIA_TRI AS VARCHAR2(4000)) END) AS "7.2.2. Dự thu cổ tức, tiền lãi chưa đến ngày nhận",
    MAX(CASE WHEN bsc.TEN_COT=N'Số cuối năm' AND bsh.MA_HANG = '18' THEN CAST(gt.GIA_TRI AS VARCHAR2(4000)) END) AS "8. Trả trước cho người bán",
    MAX(CASE WHEN bsc.TEN_COT=N'Số cuối năm' AND bsh.MA_HANG = '19' THEN CAST(gt.GIA_TRI AS VARCHAR2(4000)) END) AS "9. Phải thu các dịch vụ CTCK cung cấp",
    MAX(CASE WHEN bsc.TEN_COT=N'Số cuối năm' AND bsh.MA_HANG = '20' THEN CAST(gt.GIA_TRI AS VARCHAR2(4000)) END) AS "10. Phải thu nội bộ",
    MAX(CASE WHEN bsc.TEN_COT=N'Số cuối năm' AND bsh.MA_HANG = '21' THEN CAST(gt.GIA_TRI AS VARCHAR2(4000)) END) AS "11. Phải thu về lỗi giao dịch chứng khoán",
    MAX(CASE WHEN bsc.TEN_COT=N'Số cuối năm' AND bsh.MA_HANG = '22' THEN CAST(gt.GIA_TRI AS VARCHAR2(4000)) END) AS "12. Các khoản phải thu khác",
    MAX(CASE WHEN bsc.TEN_COT=N'Số cuối năm' AND bsh.MA_HANG = '23' THEN CAST(gt.GIA_TRI AS VARCHAR2(4000)) END) AS "13. Dự phòng suy giảm giá trị các khoản phải thu (*)",
    MAX(CASE WHEN bsc.TEN_COT=N'Số cuối năm' AND bsh.MA_HANG = '24' THEN CAST(gt.GIA_TRI AS VARCHAR2(4000)) END) AS "II. Tài sản ngắn hạn khác",
    MAX(CASE WHEN bsc.TEN_COT=N'Số cuối năm' AND bsh.MA_HANG = '25' THEN CAST(gt.GIA_TRI AS VARCHAR2(4000)) END) AS "1. Tạm ứng",
    MAX(CASE WHEN bsc.TEN_COT=N'Số cuối năm' AND bsh.MA_HANG = '26' THEN CAST(gt.GIA_TRI AS VARCHAR2(4000)) END) AS "2. Vật tư văn phòng, công cụ, dụng cụ",
    MAX(CASE WHEN bsc.TEN_COT=N'Số cuối năm' AND bsh.MA_HANG = '27' THEN CAST(gt.GIA_TRI AS VARCHAR2(4000)) END) AS "3. Chi phí trả trước ngắn hạn",
    MAX(CASE WHEN bsc.TEN_COT=N'Số cuối năm' AND bsh.MA_HANG = '28' THEN CAST(gt.GIA_TRI AS VARCHAR2(4000)) END) AS "4. Cầm cố, thế chấp, ký quỹ, ký cược ngắn hạn",
    MAX(CASE WHEN bsc.TEN_COT=N'Số cuối năm' AND bsh.MA_HANG = '29' THEN CAST(gt.GIA_TRI AS VARCHAR2(4000)) END) AS "5. Thuế giá trị gia tăng được khấu trừ",
    MAX(CASE WHEN bsc.TEN_COT=N'Số cuối năm' AND bsh.MA_HANG = '30' THEN CAST(gt.GIA_TRI AS VARCHAR2(4000)) END) AS "6. Thuế và các khoản khác phải thu Nhà nước",
    MAX(CASE WHEN bsc.TEN_COT=N'Số cuối năm' AND bsh.MA_HANG = '31' THEN CAST(gt.GIA_TRI AS VARCHAR2(4000)) END) AS "7. Tài sản ngắn hạn khác",
    MAX(CASE WHEN bsc.TEN_COT=N'Số cuối năm' AND bsh.MA_HANG = '32' THEN CAST(gt.GIA_TRI AS VARCHAR2(4000)) END) AS "8. Giao dịch mua bán lại trái phiếu Chính phủ",
    MAX(CASE WHEN bsc.TEN_COT=N'Số cuối năm' AND bsh.MA_HANG = '33' THEN CAST(gt.GIA_TRI AS VARCHAR2(4000)) END) AS "9. Dự phòng suy giảm giá trị tài sản ngắn hạn khác",
    MAX(CASE WHEN bsc.TEN_COT=N'Số cuối năm' AND bsh.MA_HANG = '34' THEN CAST(gt.GIA_TRI AS VARCHAR2(4000)) END) AS "B. TÀI SẢN DÀI HẠN (200 = 210 + 220 + 230 + 240 + 250 - 260)",
    MAX(CASE WHEN bsc.TEN_COT=N'Số cuối năm' AND bsh.MA_HANG = '35' THEN CAST(gt.GIA_TRI AS VARCHAR2(4000)) END) AS "I. Tài sản tài chính dài hạn",
    MAX(CASE WHEN bsc.TEN_COT=N'Số cuối năm' AND bsh.MA_HANG = '36' THEN CAST(gt.GIA_TRI AS VARCHAR2(4000)) END) AS "1. Các khoản phải thu dài hạn",
    MAX(CASE WHEN bsc.TEN_COT=N'Số cuối năm' AND bsh.MA_HANG = '37' THEN CAST(gt.GIA_TRI AS VARCHAR2(4000)) END) AS "2. Các khoản đầu tư",
    MAX(CASE WHEN bsc.TEN_COT=N'Số cuối năm' AND bsh.MA_HANG = '38' THEN CAST(gt.GIA_TRI AS VARCHAR2(4000)) END) AS "2.1.Các khoản đầu tư nắm giữ đến ngày đáo hạn",
    MAX(CASE WHEN bsc.TEN_COT=N'Số cuối năm' AND bsh.MA_HANG = '39' THEN CAST(gt.GIA_TRI AS VARCHAR2(4000)) END) AS "2.2. Đầu tư vào công ty con ",
    MAX(CASE WHEN bsc.TEN_COT=N'Số cuối năm' AND bsh.MA_HANG = '40' THEN CAST(gt.GIA_TRI AS VARCHAR2(4000)) END) AS "2.3. Đầu tư vào công ty liên doanh, liên kết ",
    MAX(CASE WHEN bsc.TEN_COT=N'Số cuối năm' AND bsh.MA_HANG = '41' THEN CAST(gt.GIA_TRI AS VARCHAR2(4000)) END) AS "2.4. Đầu tư dài hạn khác",
    MAX(CASE WHEN bsc.TEN_COT=N'Số cuối năm' AND bsh.MA_HANG = '42' THEN CAST(gt.GIA_TRI AS VARCHAR2(4000)) END) AS "3. Dự phòng suy giảm tài sản tài chính dài hạn",
    MAX(CASE WHEN bsc.TEN_COT=N'Số cuối năm' AND bsh.MA_HANG = '43' THEN CAST(gt.GIA_TRI AS VARCHAR2(4000)) END) AS "II. Tài sản cố định",
    MAX(CASE WHEN bsc.TEN_COT=N'Số cuối năm' AND bsh.MA_HANG = '44' THEN CAST(gt.GIA_TRI AS VARCHAR2(4000)) END) AS "1. Tài sản cố định hữu hình",
    MAX(CASE WHEN bsc.TEN_COT=N'Số cuối năm' AND bsh.MA_HANG = '45' THEN CAST(gt.GIA_TRI AS VARCHAR2(4000)) END) AS "- Nguyên giá",
    MAX(CASE WHEN bsc.TEN_COT=N'Số cuối năm' AND bsh.MA_HANG = '46' THEN CAST(gt.GIA_TRI AS VARCHAR2(4000)) END) AS "- Giá trị hao mòn luỹ kế (*)",
    MAX(CASE WHEN bsc.TEN_COT=N'Số cuối năm' AND bsh.MA_HANG = '47' THEN CAST(gt.GIA_TRI AS VARCHAR2(4000)) END) AS "- Đánh giá TSCĐHH theo giá trị hợp lý",
    MAX(CASE WHEN bsc.TEN_COT=N'Số cuối năm' AND bsh.MA_HANG = '48' THEN CAST(gt.GIA_TRI AS VARCHAR2(4000)) END) AS "2. Tài sản cố định thuê tài chính",
    MAX(CASE WHEN bsc.TEN_COT=N'Số cuối năm' AND bsh.MA_HANG = '49' THEN CAST(gt.GIA_TRI AS VARCHAR2(4000)) END) AS "- Nguyên giá",
    MAX(CASE WHEN bsc.TEN_COT=N'Số cuối năm' AND bsh.MA_HANG = '50' THEN CAST(gt.GIA_TRI AS VARCHAR2(4000)) END) AS "- Giá trị hao mòn luỹ kế (*)",
    MAX(CASE WHEN bsc.TEN_COT=N'Số cuối năm' AND bsh.MA_HANG = '51' THEN CAST(gt.GIA_TRI AS VARCHAR2(4000)) END) AS "- Đánh giá TSCĐTTC theo giá trị hợp lý",
    MAX(CASE WHEN bsc.TEN_COT=N'Số cuối năm' AND bsh.MA_HANG = '52' THEN CAST(gt.GIA_TRI AS VARCHAR2(4000)) END) AS "3. Tài sản cố định vô hình",
    MAX(CASE WHEN bsc.TEN_COT=N'Số cuối năm' AND bsh.MA_HANG = '53' THEN CAST(gt.GIA_TRI AS VARCHAR2(4000)) END) AS "- Nguyên giá",
    MAX(CASE WHEN bsc.TEN_COT=N'Số cuối năm' AND bsh.MA_HANG = '54' THEN CAST(gt.GIA_TRI AS VARCHAR2(4000)) END) AS "- Giá trị hao mòn luỹ kế (*)",
    MAX(CASE WHEN bsc.TEN_COT=N'Số cuối năm' AND bsh.MA_HANG = '55' THEN CAST(gt.GIA_TRI AS VARCHAR2(4000)) END) AS "- Đánh giá TSCĐVH theo giá trị hợp lý",
    MAX(CASE WHEN bsc.TEN_COT=N'Số cuối năm' AND bsh.MA_HANG = '56' THEN CAST(gt.GIA_TRI AS VARCHAR2(4000)) END) AS "III. Bất động sản đầu tư",
    MAX(CASE WHEN bsc.TEN_COT=N'Số cuối năm' AND bsh.MA_HANG = '57' THEN CAST(gt.GIA_TRI AS VARCHAR2(4000)) END) AS "- Nguyên giá",
    MAX(CASE WHEN bsc.TEN_COT=N'Số cuối năm' AND bsh.MA_HANG = '58' THEN CAST(gt.GIA_TRI AS VARCHAR2(4000)) END) AS "- Giá trị hao mòn luỹ kế (*)",
    MAX(CASE WHEN bsc.TEN_COT=N'Số cuối năm' AND bsh.MA_HANG = '59' THEN CAST(gt.GIA_TRI AS VARCHAR2(4000)) END) AS "- Đánh giá TSCĐVH theo giá trị hợp lý",
    MAX(CASE WHEN bsc.TEN_COT=N'Số cuối năm' AND bsh.MA_HANG = '60' THEN CAST(gt.GIA_TRI AS VARCHAR2(4000)) END) AS "IV.Chi phí xây dựng cơ bản dở dang",
    MAX(CASE WHEN bsc.TEN_COT=N'Số cuối năm' AND bsh.MA_HANG = '61' THEN CAST(gt.GIA_TRI AS VARCHAR2(4000)) END) AS "V. Tài sản dài hạn khác",
    MAX(CASE WHEN bsc.TEN_COT=N'Số cuối năm' AND bsh.MA_HANG = '62' THEN CAST(gt.GIA_TRI AS VARCHAR2(4000)) END) AS "1. Cầm cố, thế chấp, ký quỹ, ký cược dài hạn",
    MAX(CASE WHEN bsc.TEN_COT=N'Số cuối năm' AND bsh.MA_HANG = '63' THEN CAST(gt.GIA_TRI AS VARCHAR2(4000)) END) AS "2. Chi phí trả trước dài hạn",
    MAX(CASE WHEN bsc.TEN_COT=N'Số cuối năm' AND bsh.MA_HANG = '64' THEN CAST(gt.GIA_TRI AS VARCHAR2(4000)) END) AS "3. Tài sản thuế thu nhập hoãn lại",
    MAX(CASE WHEN bsc.TEN_COT=N'Số cuối năm' AND bsh.MA_HANG = '65' THEN CAST(gt.GIA_TRI AS VARCHAR2(4000)) END) AS "4. Tiền nộp Quỹ Hỗ trợ thanh toán",
    MAX(CASE WHEN bsc.TEN_COT=N'Số cuối năm' AND bsh.MA_HANG = '66' THEN CAST(gt.GIA_TRI AS VARCHAR2(4000)) END) AS "5. Tài sản dài hạn khác",
    MAX(CASE WHEN bsc.TEN_COT=N'Số cuối năm' AND bsh.MA_HANG = '67' THEN CAST(gt.GIA_TRI AS VARCHAR2(4000)) END) AS "VI. Dự phòng suy giảm giá trị tài sản dài hạn",
    MAX(CASE WHEN bsc.TEN_COT=N'Số cuối năm' AND bsh.MA_HANG = '68' THEN CAST(gt.GIA_TRI AS VARCHAR2(4000)) END) AS "TỔNG CỘNG TÀI SẢN",
    MAX(CASE WHEN bsc.TEN_COT=N'Số cuối năm' AND bsh.MA_HANG = '69' THEN CAST(gt.GIA_TRI AS VARCHAR2(4000)) END) AS "(270 = 100 + 200)",
    MAX(CASE WHEN bsc.TEN_COT=N'Số cuối năm' AND bsh.MA_HANG = '70' THEN CAST(gt.GIA_TRI AS VARCHAR2(4000)) END) AS "C. NỢ PHẢI TRẢ (300 = 310 + 340)",
    MAX(CASE WHEN bsc.TEN_COT=N'Số cuối năm' AND bsh.MA_HANG = '71' THEN CAST(gt.GIA_TRI AS VARCHAR2(4000)) END) AS "I. Nợ phải trả ngắn hạn",
    MAX(CASE WHEN bsc.TEN_COT=N'Số cuối năm' AND bsh.MA_HANG = '72' THEN CAST(gt.GIA_TRI AS VARCHAR2(4000)) END) AS "1. Vay và nợ thuê tài chính ngắn hạn",
    MAX(CASE WHEN bsc.TEN_COT=N'Số cuối năm' AND bsh.MA_HANG = '73' THEN CAST(gt.GIA_TRI AS VARCHAR2(4000)) END) AS "1.1. Vay ngắn hạn",
    MAX(CASE WHEN bsc.TEN_COT=N'Số cuối năm' AND bsh.MA_HANG = '74' THEN CAST(gt.GIA_TRI AS VARCHAR2(4000)) END) AS "1.2. Nợ thuê tài chính ngắn hạn",
    MAX(CASE WHEN bsc.TEN_COT=N'Số cuối năm' AND bsh.MA_HANG = '75' THEN CAST(gt.GIA_TRI AS VARCHAR2(4000)) END) AS "2. Vay tài sản tài chính ngắn hạn",
    MAX(CASE WHEN bsc.TEN_COT=N'Số cuối năm' AND bsh.MA_HANG = '76' THEN CAST(gt.GIA_TRI AS VARCHAR2(4000)) END) AS "3. Trái phiếu chuyển đổi ngắn hạn - Cấu phần nợ",
    MAX(CASE WHEN bsc.TEN_COT=N'Số cuối năm' AND bsh.MA_HANG = '77' THEN CAST(gt.GIA_TRI AS VARCHAR2(4000)) END) AS "4. Trái phiếu phát hành ngắn hạn",
    MAX(CASE WHEN bsc.TEN_COT=N'Số cuối năm' AND bsh.MA_HANG = '78' THEN CAST(gt.GIA_TRI AS VARCHAR2(4000)) END) AS "5. Vay Quỹ Hỗ trợ thanh toán",
    MAX(CASE WHEN bsc.TEN_COT=N'Số cuối năm' AND bsh.MA_HANG = '79' THEN CAST(gt.GIA_TRI AS VARCHAR2(4000)) END) AS "6. Phải trả hoạt động giao dịch chứng khoán",
    MAX(CASE WHEN bsc.TEN_COT=N'Số cuối năm' AND bsh.MA_HANG = '80' THEN CAST(gt.GIA_TRI AS VARCHAR2(4000)) END) AS "7. Phải trả về lỗi giao dịch các tài sản tài chính",
    MAX(CASE WHEN bsc.TEN_COT=N'Số cuối năm' AND bsh.MA_HANG = '81' THEN CAST(gt.GIA_TRI AS VARCHAR2(4000)) END) AS "8. Phải trả người bán ngắn hạn",
    MAX(CASE WHEN bsc.TEN_COT=N'Số cuối năm' AND bsh.MA_HANG = '82' THEN CAST(gt.GIA_TRI AS VARCHAR2(4000)) END) AS "9. Người mua trả tiền trước ngắn hạn",
    MAX(CASE WHEN bsc.TEN_COT=N'Số cuối năm' AND bsh.MA_HANG = '83' THEN CAST(gt.GIA_TRI AS VARCHAR2(4000)) END) AS "10. Thuế và các khoản phải nộp Nhà nước",
    MAX(CASE WHEN bsc.TEN_COT=N'Số cuối năm' AND bsh.MA_HANG = '84' THEN CAST(gt.GIA_TRI AS VARCHAR2(4000)) END) AS "11. Phải trả người lao động",
    MAX(CASE WHEN bsc.TEN_COT=N'Số cuối năm' AND bsh.MA_HANG = '85' THEN CAST(gt.GIA_TRI AS VARCHAR2(4000)) END) AS "12. Các khoản trích nộp phúc lợi nhân viên",
    MAX(CASE WHEN bsc.TEN_COT=N'Số cuối năm' AND bsh.MA_HANG = '86' THEN CAST(gt.GIA_TRI AS VARCHAR2(4000)) END) AS "13. Chi phí phải trả ngắn hạn",
    MAX(CASE WHEN bsc.TEN_COT=N'Số cuối năm' AND bsh.MA_HANG = '87' THEN CAST(gt.GIA_TRI AS VARCHAR2(4000)) END) AS "14. Phải trả nội bộ ngắn hạn",
    MAX(CASE WHEN bsc.TEN_COT=N'Số cuối năm' AND bsh.MA_HANG = '88' THEN CAST(gt.GIA_TRI AS VARCHAR2(4000)) END) AS "15. Doanh thu chưa thực hiện ngắn hạn",
    MAX(CASE WHEN bsc.TEN_COT=N'Số cuối năm' AND bsh.MA_HANG = '89' THEN CAST(gt.GIA_TRI AS VARCHAR2(4000)) END) AS "16. Nhận ký quỹ, ký cược ngắn hạn",
    MAX(CASE WHEN bsc.TEN_COT=N'Số cuối năm' AND bsh.MA_HANG = '90' THEN CAST(gt.GIA_TRI AS VARCHAR2(4000)) END) AS "17. Các khoản phải trả, phải nộp khác ngắn hạn",
    MAX(CASE WHEN bsc.TEN_COT=N'Số cuối năm' AND bsh.MA_HANG = '91' THEN CAST(gt.GIA_TRI AS VARCHAR2(4000)) END) AS "18. Dự phòng phải trả ngắn hạn",
    MAX(CASE WHEN bsc.TEN_COT=N'Số cuối năm' AND bsh.MA_HANG = '92' THEN CAST(gt.GIA_TRI AS VARCHAR2(4000)) END) AS "19. Quỹ khen thưởng, phúc lợi",
    MAX(CASE WHEN bsc.TEN_COT=N'Số cuối năm' AND bsh.MA_HANG = '93' THEN CAST(gt.GIA_TRI AS VARCHAR2(4000)) END) AS "20. Giao dịch mua bán lại trái phiếu Chính phủ",
    MAX(CASE WHEN bsc.TEN_COT=N'Số cuối năm' AND bsh.MA_HANG = '94' THEN CAST(gt.GIA_TRI AS VARCHAR2(4000)) END) AS "II. Nợ phải trả dài hạn",
    MAX(CASE WHEN bsc.TEN_COT=N'Số cuối năm' AND bsh.MA_HANG = '95' THEN CAST(gt.GIA_TRI AS VARCHAR2(4000)) END) AS "1. Vay và nợ thuê tài chính dài hạn",
    MAX(CASE WHEN bsc.TEN_COT=N'Số cuối năm' AND bsh.MA_HANG = '96' THEN CAST(gt.GIA_TRI AS VARCHAR2(4000)) END) AS "1.1.Vay dài hạn",
    MAX(CASE WHEN bsc.TEN_COT=N'Số cuối năm' AND bsh.MA_HANG = '97' THEN CAST(gt.GIA_TRI AS VARCHAR2(4000)) END) AS "1.2. Nợ thuê tài chính dài hạn",
    MAX(CASE WHEN bsc.TEN_COT=N'Số cuối năm' AND bsh.MA_HANG = '98' THEN CAST(gt.GIA_TRI AS VARCHAR2(4000)) END) AS "2. Vay tài sản tài chính dài hạn",
    MAX(CASE WHEN bsc.TEN_COT=N'Số cuối năm' AND bsh.MA_HANG = '99' THEN CAST(gt.GIA_TRI AS VARCHAR2(4000)) END) AS "3. Trái phiếu chuyển đổi dài hạn - Cấu phần nợ",
    MAX(CASE WHEN bsc.TEN_COT=N'Số cuối năm' AND bsh.MA_HANG = '100' THEN CAST(gt.GIA_TRI AS VARCHAR2(4000)) END) AS "4. Trái phiếu phát hành dài hạn",
    MAX(CASE WHEN bsc.TEN_COT=N'Số cuối năm' AND bsh.MA_HANG = '101' THEN CAST(gt.GIA_TRI AS VARCHAR2(4000)) END) AS "5. Phải trả người bán dài hạn",
    MAX(CASE WHEN bsc.TEN_COT=N'Số cuối năm' AND bsh.MA_HANG = '102' THEN CAST(gt.GIA_TRI AS VARCHAR2(4000)) END) AS "6. Người mua trả tiền trước dài hạn",
    MAX(CASE WHEN bsc.TEN_COT=N'Số cuối năm' AND bsh.MA_HANG = '103' THEN CAST(gt.GIA_TRI AS VARCHAR2(4000)) END) AS "7. Chi phí phải trả dài hạn",
    MAX(CASE WHEN bsc.TEN_COT=N'Số cuối năm' AND bsh.MA_HANG = '104' THEN CAST(gt.GIA_TRI AS VARCHAR2(4000)) END) AS "8. Phải trả nội bộ dài hạn",
    MAX(CASE WHEN bsc.TEN_COT=N'Số cuối năm' AND bsh.MA_HANG = '105' THEN CAST(gt.GIA_TRI AS VARCHAR2(4000)) END) AS "9. Doanh thu chưa thực hiện dài hạn",
    MAX(CASE WHEN bsc.TEN_COT=N'Số cuối năm' AND bsh.MA_HANG = '106' THEN CAST(gt.GIA_TRI AS VARCHAR2(4000)) END) AS "10. Nhận ký quỹ, ký cược dài hạn",
    MAX(CASE WHEN bsc.TEN_COT=N'Số cuối năm' AND bsh.MA_HANG = '107' THEN CAST(gt.GIA_TRI AS VARCHAR2(4000)) END) AS "11. Các khoản phải trả, phải nộp khác dài hạn",
    MAX(CASE WHEN bsc.TEN_COT=N'Số cuối năm' AND bsh.MA_HANG = '108' THEN CAST(gt.GIA_TRI AS VARCHAR2(4000)) END) AS "12. Dự phòng phải trả dài hạn",
    MAX(CASE WHEN bsc.TEN_COT=N'Số cuối năm' AND bsh.MA_HANG = '109' THEN CAST(gt.GIA_TRI AS VARCHAR2(4000)) END) AS "13. Quỹ bảo vệ Nhà đầu tư",
    MAX(CASE WHEN bsc.TEN_COT=N'Số cuối năm' AND bsh.MA_HANG = '110' THEN CAST(gt.GIA_TRI AS VARCHAR2(4000)) END) AS "14. Thuế thu nhập hoãn lại phải trả",
    MAX(CASE WHEN bsc.TEN_COT=N'Số cuối năm' AND bsh.MA_HANG = '111' THEN CAST(gt.GIA_TRI AS VARCHAR2(4000)) END) AS "15. Quỹ phát triển khoa học và công nghệ",
    MAX(CASE WHEN bsc.TEN_COT=N'Số cuối năm' AND bsh.MA_HANG = '112' THEN CAST(gt.GIA_TRI AS VARCHAR2(4000)) END) AS "D. VỐN CHỦ SỞ HỮU",
    MAX(CASE WHEN bsc.TEN_COT=N'Số cuối năm' AND bsh.MA_HANG = '113' THEN CAST(gt.GIA_TRI AS VARCHAR2(4000)) END) AS "(400 = 410 + 420)",
    MAX(CASE WHEN bsc.TEN_COT=N'Số cuối năm' AND bsh.MA_HANG = '114' THEN CAST(gt.GIA_TRI AS VARCHAR2(4000)) END) AS "I. Vốn chủ sở hữu",
    MAX(CASE WHEN bsc.TEN_COT=N'Số cuối năm' AND bsh.MA_HANG = '115' THEN CAST(gt.GIA_TRI AS VARCHAR2(4000)) END) AS "1. Vốn đầu tư của chủ sở hữu",
    MAX(CASE WHEN bsc.TEN_COT=N'Số cuối năm' AND bsh.MA_HANG = '116' THEN CAST(gt.GIA_TRI AS VARCHAR2(4000)) END) AS "1.1. Vốn góp của chủ sở hữu",
    MAX(CASE WHEN bsc.TEN_COT=N'Số cuối năm' AND bsh.MA_HANG = '117' THEN CAST(gt.GIA_TRI AS VARCHAR2(4000)) END) AS "a. Cổ phiếu phổ thông có quyền biểu quyết",
    MAX(CASE WHEN bsc.TEN_COT=N'Số cuối năm' AND bsh.MA_HANG = '118' THEN CAST(gt.GIA_TRI AS VARCHAR2(4000)) END) AS "b. Cổ phiếu ưu đãi",
    MAX(CASE WHEN bsc.TEN_COT=N'Số cuối năm' AND bsh.MA_HANG = '119' THEN CAST(gt.GIA_TRI AS VARCHAR2(4000)) END) AS "1.2. Thặng dư vốn cổ phần",
    MAX(CASE WHEN bsc.TEN_COT=N'Số cuối năm' AND bsh.MA_HANG = '120' THEN CAST(gt.GIA_TRI AS VARCHAR2(4000)) END) AS "1.3. Quyền chọn chuyển đổi trái phiếu - Cấu phần vốn",
    MAX(CASE WHEN bsc.TEN_COT=N'Số cuối năm' AND bsh.MA_HANG = '121' THEN CAST(gt.GIA_TRI AS VARCHAR2(4000)) END) AS "1.4. Vốn khác của chủ sở hữu",
    MAX(CASE WHEN bsc.TEN_COT=N'Số cuối năm' AND bsh.MA_HANG = '122' THEN CAST(gt.GIA_TRI AS VARCHAR2(4000)) END) AS "1.5. Cổ phiếu quỹ (*)",
    MAX(CASE WHEN bsc.TEN_COT=N'Số cuối năm' AND bsh.MA_HANG = '123' THEN CAST(gt.GIA_TRI AS VARCHAR2(4000)) END) AS "2. Chênh lệch đánh giá tài sản theo giá trị hợp lý",
    MAX(CASE WHEN bsc.TEN_COT=N'Số cuối năm' AND bsh.MA_HANG = '124' THEN CAST(gt.GIA_TRI AS VARCHAR2(4000)) END) AS "3. Chênh lệch tỷ giá hối đoái",
    MAX(CASE WHEN bsc.TEN_COT=N'Số cuối năm' AND bsh.MA_HANG = '125' THEN CAST(gt.GIA_TRI AS VARCHAR2(4000)) END) AS "4. Quỹ dự trữ bổ sung vốn  điều lệ",
    MAX(CASE WHEN bsc.TEN_COT=N'Số cuối năm' AND bsh.MA_HANG = '126' THEN CAST(gt.GIA_TRI AS VARCHAR2(4000)) END) AS "5. Quỹ dự phòng tài chính và rủi ro nghiệp vụ",
    MAX(CASE WHEN bsc.TEN_COT=N'Số cuối năm' AND bsh.MA_HANG = '127' THEN CAST(gt.GIA_TRI AS VARCHAR2(4000)) END) AS "6. Các Quỹ khác thuộc vốn chủ sở hữu",
    MAX(CASE WHEN bsc.TEN_COT=N'Số cuối năm' AND bsh.MA_HANG = '128' THEN CAST(gt.GIA_TRI AS VARCHAR2(4000)) END) AS "7. Lợi nhuận chưa phân phối",
    MAX(CASE WHEN bsc.TEN_COT=N'Số cuối năm' AND bsh.MA_HANG = '129' THEN CAST(gt.GIA_TRI AS VARCHAR2(4000)) END) AS "7.1. Lợi nhuận sau thuế đã thực hiện",
    MAX(CASE WHEN bsc.TEN_COT=N'Số cuối năm' AND bsh.MA_HANG = '130' THEN CAST(gt.GIA_TRI AS VARCHAR2(4000)) END) AS "7.2. Lợi nhuận chưa thực hiện",
    MAX(CASE WHEN bsc.TEN_COT=N'Số cuối năm' AND bsh.MA_HANG = '131' THEN CAST(gt.GIA_TRI AS VARCHAR2(4000)) END) AS "II. Nguồn kinh phí và quỹ khác ",
    MAX(CASE WHEN bsc.TEN_COT=N'Số cuối năm' AND bsh.MA_HANG = '132' THEN CAST(gt.GIA_TRI AS VARCHAR2(4000)) END) AS "TỔNG CỘNG NỢ VÀ VỐN CHỦ SỞ HỮU",
    MAX(CASE WHEN bsc.TEN_COT=N'Số cuối năm' AND bsh.MA_HANG = '133' THEN CAST(gt.GIA_TRI AS VARCHAR2(4000)) END) AS "(440 = 300 + 400)",</t>
        </is>
      </c>
      <c r="U3089" s="106" t="inlineStr">
        <is>
          <t>Phần tiếp của câu query</t>
        </is>
      </c>
      <c r="V3089" s="22" t="n"/>
      <c r="W3089" s="22" t="n"/>
      <c r="X3089" s="22" t="n"/>
      <c r="Y3089" s="13" t="n"/>
      <c r="Z3089" s="22" t="n"/>
      <c r="AA3089" s="22" t="n"/>
      <c r="AB3089" s="22" t="n"/>
      <c r="AC3089" s="22" t="n"/>
      <c r="AD3089" s="22" t="n"/>
      <c r="AE3089" s="22" t="n"/>
    </row>
    <row r="3090" ht="98" customHeight="1" s="380">
      <c r="A3090" s="144" t="n">
        <v>123</v>
      </c>
      <c r="B3090" s="390" t="n"/>
      <c r="C3090" s="390" t="inlineStr">
        <is>
          <t>Báo cáo tài chính quý, soát xét bán niên, kiểm toán năm - Chi nhánh công ty chứng khoán nước ngoài tại Việt Nam &gt;&gt; Báo cáo tình hình tài chính riêng</t>
        </is>
      </c>
      <c r="D3090" s="390" t="inlineStr">
        <is>
          <t>11. Phải thu về lỗi giao dịch chứng khoán</t>
        </is>
      </c>
      <c r="E3090" s="151" t="n">
        <v>121</v>
      </c>
      <c r="F3090" s="390" t="inlineStr">
        <is>
          <t>Data Explorer</t>
        </is>
      </c>
      <c r="G3090" s="390" t="inlineStr">
        <is>
          <t>Chỉ tiêu cơ sở</t>
        </is>
      </c>
      <c r="H3090" s="390" t="inlineStr">
        <is>
          <t>Dễ</t>
        </is>
      </c>
      <c r="I3090" s="390" t="inlineStr">
        <is>
          <t>Ngày, CTCK</t>
        </is>
      </c>
      <c r="J3090" s="401" t="inlineStr">
        <is>
          <t>SCMS</t>
        </is>
      </c>
      <c r="K3090" s="401" t="n"/>
      <c r="L3090" s="401" t="inlineStr">
        <is>
          <t>X</t>
        </is>
      </c>
      <c r="M3090" s="401" t="n"/>
      <c r="N3090" s="401" t="inlineStr">
        <is>
          <t>Done</t>
        </is>
      </c>
      <c r="O3090" s="401" t="n"/>
      <c r="P3090" s="401" t="n"/>
      <c r="S3090" s="401" t="n"/>
      <c r="U3090" s="401" t="n"/>
      <c r="V3090" s="22" t="n"/>
      <c r="W3090" s="22" t="n"/>
      <c r="X3090" s="22" t="n"/>
      <c r="Y3090" s="38" t="n"/>
      <c r="Z3090" s="22" t="n"/>
      <c r="AA3090" s="22" t="n"/>
      <c r="AB3090" s="22" t="n"/>
      <c r="AC3090" s="22" t="n"/>
      <c r="AD3090" s="22" t="n"/>
      <c r="AE3090" s="22" t="n"/>
    </row>
    <row r="3091" ht="98" customHeight="1" s="380">
      <c r="A3091" s="144" t="n">
        <v>123</v>
      </c>
      <c r="B3091" s="390" t="n"/>
      <c r="C3091" s="390" t="inlineStr">
        <is>
          <t>Báo cáo tài chính quý, soát xét bán niên, kiểm toán năm - Chi nhánh công ty chứng khoán nước ngoài tại Việt Nam &gt;&gt; Báo cáo tình hình tài chính riêng</t>
        </is>
      </c>
      <c r="D3091" s="390" t="inlineStr">
        <is>
          <t>12. Các khoản phải thu khác</t>
        </is>
      </c>
      <c r="E3091" s="151" t="n">
        <v>122</v>
      </c>
      <c r="F3091" s="390" t="inlineStr">
        <is>
          <t>Data Explorer</t>
        </is>
      </c>
      <c r="G3091" s="390" t="inlineStr">
        <is>
          <t>Chỉ tiêu cơ sở</t>
        </is>
      </c>
      <c r="H3091" s="390" t="inlineStr">
        <is>
          <t>Dễ</t>
        </is>
      </c>
      <c r="I3091" s="390" t="inlineStr">
        <is>
          <t>Ngày, CTCK</t>
        </is>
      </c>
      <c r="J3091" s="401" t="inlineStr">
        <is>
          <t>SCMS</t>
        </is>
      </c>
      <c r="K3091" s="401" t="n"/>
      <c r="L3091" s="401" t="inlineStr">
        <is>
          <t>X</t>
        </is>
      </c>
      <c r="M3091" s="401" t="n"/>
      <c r="N3091" s="401" t="inlineStr">
        <is>
          <t>Done</t>
        </is>
      </c>
      <c r="O3091" s="401" t="n"/>
      <c r="P3091" s="401" t="n"/>
      <c r="S3091" s="401" t="n"/>
      <c r="U3091" s="401" t="n"/>
      <c r="V3091" s="22" t="n"/>
      <c r="W3091" s="22" t="n"/>
      <c r="X3091" s="22" t="n"/>
      <c r="Y3091" s="13" t="n"/>
      <c r="Z3091" s="22" t="n"/>
      <c r="AA3091" s="22" t="n"/>
      <c r="AB3091" s="22" t="n"/>
      <c r="AC3091" s="22" t="n"/>
      <c r="AD3091" s="22" t="n"/>
      <c r="AE3091" s="22" t="n"/>
    </row>
    <row r="3092" ht="98" customHeight="1" s="380">
      <c r="A3092" s="144" t="n">
        <v>123</v>
      </c>
      <c r="B3092" s="390" t="n"/>
      <c r="C3092" s="390" t="inlineStr">
        <is>
          <t>Báo cáo tài chính quý, soát xét bán niên, kiểm toán năm - Chi nhánh công ty chứng khoán nước ngoài tại Việt Nam &gt;&gt; Báo cáo tình hình tài chính riêng</t>
        </is>
      </c>
      <c r="D3092" s="390" t="inlineStr">
        <is>
          <t>13. Dự phòng suy giảm giá trị các khoản phải thu (*)</t>
        </is>
      </c>
      <c r="E3092" s="151" t="n">
        <v>129</v>
      </c>
      <c r="F3092" s="390" t="inlineStr">
        <is>
          <t>Data Explorer</t>
        </is>
      </c>
      <c r="G3092" s="390" t="inlineStr">
        <is>
          <t>Chỉ tiêu cơ sở</t>
        </is>
      </c>
      <c r="H3092" s="390" t="inlineStr">
        <is>
          <t>Dễ</t>
        </is>
      </c>
      <c r="I3092" s="390" t="inlineStr">
        <is>
          <t>Ngày, CTCK</t>
        </is>
      </c>
      <c r="J3092" s="401" t="inlineStr">
        <is>
          <t>SCMS</t>
        </is>
      </c>
      <c r="K3092" s="401" t="n"/>
      <c r="L3092" s="401" t="inlineStr">
        <is>
          <t>X</t>
        </is>
      </c>
      <c r="M3092" s="401" t="n"/>
      <c r="N3092" s="401" t="inlineStr">
        <is>
          <t>Done</t>
        </is>
      </c>
      <c r="O3092" s="401" t="n"/>
      <c r="P3092" s="401" t="n"/>
      <c r="S3092" s="401" t="n"/>
      <c r="U3092" s="401" t="n"/>
      <c r="V3092" s="22" t="n"/>
      <c r="W3092" s="22" t="n"/>
      <c r="X3092" s="22" t="n"/>
      <c r="Y3092" s="13" t="n"/>
      <c r="Z3092" s="22" t="n"/>
      <c r="AA3092" s="22" t="n"/>
      <c r="AB3092" s="22" t="n"/>
      <c r="AC3092" s="22" t="n"/>
      <c r="AD3092" s="22" t="n"/>
      <c r="AE3092" s="22" t="n"/>
    </row>
    <row r="3093" ht="98" customHeight="1" s="380">
      <c r="A3093" s="144" t="n">
        <v>123</v>
      </c>
      <c r="B3093" s="390" t="n"/>
      <c r="C3093" s="390" t="inlineStr">
        <is>
          <t>Báo cáo tài chính quý, soát xét bán niên, kiểm toán năm - Chi nhánh công ty chứng khoán nước ngoài tại Việt Nam &gt;&gt; Báo cáo tình hình tài chính riêng</t>
        </is>
      </c>
      <c r="D3093" s="132" t="inlineStr">
        <is>
          <t>II. Tài sản ngắn hạn khác</t>
        </is>
      </c>
      <c r="E3093" s="150" t="n">
        <v>130</v>
      </c>
      <c r="F3093" s="390" t="inlineStr">
        <is>
          <t>Data Explorer</t>
        </is>
      </c>
      <c r="G3093" s="390" t="inlineStr">
        <is>
          <t>Chỉ tiêu cơ sở</t>
        </is>
      </c>
      <c r="H3093" s="390" t="inlineStr">
        <is>
          <t>Dễ</t>
        </is>
      </c>
      <c r="I3093" s="390" t="inlineStr">
        <is>
          <t>Ngày, CTCK</t>
        </is>
      </c>
      <c r="J3093" s="401" t="inlineStr">
        <is>
          <t>SCMS</t>
        </is>
      </c>
      <c r="K3093" s="401" t="n"/>
      <c r="L3093" s="401" t="inlineStr">
        <is>
          <t>X</t>
        </is>
      </c>
      <c r="M3093" s="401" t="n"/>
      <c r="N3093" s="401" t="inlineStr">
        <is>
          <t>Done</t>
        </is>
      </c>
      <c r="O3093" s="401" t="n"/>
      <c r="P3093" s="401" t="n"/>
      <c r="S3093" s="401" t="n"/>
      <c r="U3093" s="401" t="n"/>
      <c r="V3093" s="22" t="n"/>
      <c r="W3093" s="22" t="n"/>
      <c r="X3093" s="22" t="n"/>
      <c r="Y3093" s="13" t="n"/>
      <c r="Z3093" s="22" t="n"/>
      <c r="AA3093" s="22" t="n"/>
      <c r="AB3093" s="22" t="n"/>
      <c r="AC3093" s="22" t="n"/>
      <c r="AD3093" s="22" t="n"/>
      <c r="AE3093" s="22" t="n"/>
    </row>
    <row r="3094" ht="98" customHeight="1" s="380">
      <c r="A3094" s="144" t="n">
        <v>123</v>
      </c>
      <c r="B3094" s="390" t="n"/>
      <c r="C3094" s="390" t="inlineStr">
        <is>
          <t>Báo cáo tài chính quý, soát xét bán niên, kiểm toán năm - Chi nhánh công ty chứng khoán nước ngoài tại Việt Nam &gt;&gt; Báo cáo tình hình tài chính riêng</t>
        </is>
      </c>
      <c r="D3094" s="390" t="inlineStr">
        <is>
          <t>1. Tạm ứng</t>
        </is>
      </c>
      <c r="E3094" s="151" t="n">
        <v>131</v>
      </c>
      <c r="F3094" s="390" t="inlineStr">
        <is>
          <t>Data Explorer</t>
        </is>
      </c>
      <c r="G3094" s="390" t="inlineStr">
        <is>
          <t>Chỉ tiêu cơ sở</t>
        </is>
      </c>
      <c r="H3094" s="390" t="inlineStr">
        <is>
          <t>Dễ</t>
        </is>
      </c>
      <c r="I3094" s="390" t="inlineStr">
        <is>
          <t>Ngày, CTCK</t>
        </is>
      </c>
      <c r="J3094" s="401" t="inlineStr">
        <is>
          <t>SCMS</t>
        </is>
      </c>
      <c r="K3094" s="401" t="n"/>
      <c r="L3094" s="401" t="inlineStr">
        <is>
          <t>X</t>
        </is>
      </c>
      <c r="M3094" s="401" t="n"/>
      <c r="N3094" s="401" t="inlineStr">
        <is>
          <t>Done</t>
        </is>
      </c>
      <c r="O3094" s="401" t="n"/>
      <c r="P3094" s="401" t="n"/>
      <c r="S3094" s="401" t="n"/>
      <c r="U3094" s="401" t="n"/>
      <c r="V3094" s="22" t="n"/>
      <c r="W3094" s="22" t="n"/>
      <c r="X3094" s="22" t="n"/>
      <c r="Y3094" s="13" t="n"/>
      <c r="Z3094" s="22" t="n"/>
      <c r="AA3094" s="22" t="n"/>
      <c r="AB3094" s="22" t="n"/>
      <c r="AC3094" s="22" t="n"/>
      <c r="AD3094" s="22" t="n"/>
      <c r="AE3094" s="22" t="n"/>
    </row>
    <row r="3095" ht="98" customHeight="1" s="380">
      <c r="A3095" s="144" t="n">
        <v>123</v>
      </c>
      <c r="B3095" s="390" t="n"/>
      <c r="C3095" s="390" t="inlineStr">
        <is>
          <t>Báo cáo tài chính quý, soát xét bán niên, kiểm toán năm - Chi nhánh công ty chứng khoán nước ngoài tại Việt Nam &gt;&gt; Báo cáo tình hình tài chính riêng</t>
        </is>
      </c>
      <c r="D3095" s="390" t="inlineStr">
        <is>
          <t>2. Vật tư văn phòng, công cụ, dụng cụ</t>
        </is>
      </c>
      <c r="E3095" s="151" t="n">
        <v>132</v>
      </c>
      <c r="F3095" s="390" t="inlineStr">
        <is>
          <t>Data Explorer</t>
        </is>
      </c>
      <c r="G3095" s="390" t="inlineStr">
        <is>
          <t>Chỉ tiêu cơ sở</t>
        </is>
      </c>
      <c r="H3095" s="390" t="inlineStr">
        <is>
          <t>Dễ</t>
        </is>
      </c>
      <c r="I3095" s="390" t="inlineStr">
        <is>
          <t>Ngày, CTCK</t>
        </is>
      </c>
      <c r="J3095" s="401" t="inlineStr">
        <is>
          <t>SCMS</t>
        </is>
      </c>
      <c r="K3095" s="401" t="n"/>
      <c r="L3095" s="401" t="inlineStr">
        <is>
          <t>X</t>
        </is>
      </c>
      <c r="M3095" s="401" t="n"/>
      <c r="N3095" s="401" t="inlineStr">
        <is>
          <t>Done</t>
        </is>
      </c>
      <c r="O3095" s="401" t="n"/>
      <c r="P3095" s="401" t="n"/>
      <c r="S3095" s="401" t="n"/>
      <c r="U3095" s="401" t="n"/>
      <c r="V3095" s="22" t="n"/>
      <c r="W3095" s="22" t="n"/>
      <c r="X3095" s="22" t="n"/>
      <c r="Y3095" s="13" t="n"/>
      <c r="Z3095" s="22" t="n"/>
      <c r="AA3095" s="22" t="n"/>
      <c r="AB3095" s="22" t="n"/>
      <c r="AC3095" s="22" t="n"/>
      <c r="AD3095" s="22" t="n"/>
      <c r="AE3095" s="22" t="n"/>
    </row>
    <row r="3096" ht="98" customHeight="1" s="380">
      <c r="A3096" s="144" t="n">
        <v>123</v>
      </c>
      <c r="B3096" s="390" t="n"/>
      <c r="C3096" s="390" t="inlineStr">
        <is>
          <t>Báo cáo tài chính quý, soát xét bán niên, kiểm toán năm - Chi nhánh công ty chứng khoán nước ngoài tại Việt Nam &gt;&gt; Báo cáo tình hình tài chính riêng</t>
        </is>
      </c>
      <c r="D3096" s="390" t="inlineStr">
        <is>
          <t>3. Chi phí trả trước ngắn hạn</t>
        </is>
      </c>
      <c r="E3096" s="151" t="n">
        <v>133</v>
      </c>
      <c r="F3096" s="390" t="inlineStr">
        <is>
          <t>Data Explorer</t>
        </is>
      </c>
      <c r="G3096" s="390" t="inlineStr">
        <is>
          <t>Chỉ tiêu cơ sở</t>
        </is>
      </c>
      <c r="H3096" s="390" t="inlineStr">
        <is>
          <t>Dễ</t>
        </is>
      </c>
      <c r="I3096" s="390" t="inlineStr">
        <is>
          <t>Ngày, CTCK</t>
        </is>
      </c>
      <c r="J3096" s="401" t="inlineStr">
        <is>
          <t>SCMS</t>
        </is>
      </c>
      <c r="K3096" s="401" t="n"/>
      <c r="L3096" s="401" t="inlineStr">
        <is>
          <t>X</t>
        </is>
      </c>
      <c r="M3096" s="401" t="n"/>
      <c r="N3096" s="401" t="inlineStr">
        <is>
          <t>Done</t>
        </is>
      </c>
      <c r="O3096" s="401" t="n"/>
      <c r="P3096" s="401" t="n"/>
      <c r="S3096" s="401" t="n"/>
      <c r="U3096" s="401" t="n"/>
      <c r="V3096" s="22" t="n"/>
      <c r="W3096" s="22" t="n"/>
      <c r="X3096" s="22" t="n"/>
      <c r="Y3096" s="38" t="n"/>
      <c r="Z3096" s="22" t="n"/>
      <c r="AA3096" s="22" t="n"/>
      <c r="AB3096" s="22" t="n"/>
      <c r="AC3096" s="22" t="n"/>
      <c r="AD3096" s="22" t="n"/>
      <c r="AE3096" s="22" t="n"/>
    </row>
    <row r="3097" ht="98" customHeight="1" s="380">
      <c r="A3097" s="144" t="n">
        <v>123</v>
      </c>
      <c r="B3097" s="390" t="n"/>
      <c r="C3097" s="390" t="inlineStr">
        <is>
          <t>Báo cáo tài chính quý, soát xét bán niên, kiểm toán năm - Chi nhánh công ty chứng khoán nước ngoài tại Việt Nam &gt;&gt; Báo cáo tình hình tài chính riêng</t>
        </is>
      </c>
      <c r="D3097" s="390" t="inlineStr">
        <is>
          <t>4. Cầm cố, thế chấp, ký quỹ, ký cược ngắn hạn</t>
        </is>
      </c>
      <c r="E3097" s="151" t="n">
        <v>134</v>
      </c>
      <c r="F3097" s="390" t="inlineStr">
        <is>
          <t>Data Explorer</t>
        </is>
      </c>
      <c r="G3097" s="390" t="inlineStr">
        <is>
          <t>Chỉ tiêu cơ sở</t>
        </is>
      </c>
      <c r="H3097" s="390" t="inlineStr">
        <is>
          <t>Dễ</t>
        </is>
      </c>
      <c r="I3097" s="390" t="inlineStr">
        <is>
          <t>Ngày, CTCK</t>
        </is>
      </c>
      <c r="J3097" s="401" t="inlineStr">
        <is>
          <t>SCMS</t>
        </is>
      </c>
      <c r="K3097" s="401" t="n"/>
      <c r="L3097" s="401" t="inlineStr">
        <is>
          <t>X</t>
        </is>
      </c>
      <c r="M3097" s="401" t="n"/>
      <c r="N3097" s="401" t="inlineStr">
        <is>
          <t>Done</t>
        </is>
      </c>
      <c r="O3097" s="401" t="n"/>
      <c r="P3097" s="401" t="n"/>
      <c r="S3097" s="401" t="n"/>
      <c r="U3097" s="401" t="n"/>
      <c r="V3097" s="22" t="n"/>
      <c r="W3097" s="22" t="n"/>
      <c r="X3097" s="22" t="n"/>
      <c r="Y3097" s="13" t="n"/>
      <c r="Z3097" s="22" t="n"/>
      <c r="AA3097" s="22" t="n"/>
      <c r="AB3097" s="22" t="n"/>
      <c r="AC3097" s="22" t="n"/>
      <c r="AD3097" s="22" t="n"/>
      <c r="AE3097" s="22" t="n"/>
    </row>
    <row r="3098" ht="98" customHeight="1" s="380">
      <c r="A3098" s="144" t="n">
        <v>123</v>
      </c>
      <c r="B3098" s="390" t="n"/>
      <c r="C3098" s="390" t="inlineStr">
        <is>
          <t>Báo cáo tài chính quý, soát xét bán niên, kiểm toán năm - Chi nhánh công ty chứng khoán nước ngoài tại Việt Nam &gt;&gt; Báo cáo tình hình tài chính riêng</t>
        </is>
      </c>
      <c r="D3098" s="390" t="inlineStr">
        <is>
          <t>5. Thuế giá trị gia tăng được khấu trừ</t>
        </is>
      </c>
      <c r="E3098" s="151" t="n">
        <v>135</v>
      </c>
      <c r="F3098" s="390" t="inlineStr">
        <is>
          <t>Data Explorer</t>
        </is>
      </c>
      <c r="G3098" s="390" t="inlineStr">
        <is>
          <t>Chỉ tiêu cơ sở</t>
        </is>
      </c>
      <c r="H3098" s="390" t="inlineStr">
        <is>
          <t>Dễ</t>
        </is>
      </c>
      <c r="I3098" s="390" t="inlineStr">
        <is>
          <t>Ngày, CTCK</t>
        </is>
      </c>
      <c r="J3098" s="401" t="inlineStr">
        <is>
          <t>SCMS</t>
        </is>
      </c>
      <c r="K3098" s="401" t="n"/>
      <c r="L3098" s="401" t="inlineStr">
        <is>
          <t>X</t>
        </is>
      </c>
      <c r="M3098" s="401" t="n"/>
      <c r="N3098" s="401" t="inlineStr">
        <is>
          <t>Done</t>
        </is>
      </c>
      <c r="O3098" s="401" t="n"/>
      <c r="P3098" s="401" t="n"/>
      <c r="S3098" s="401" t="n"/>
      <c r="U3098" s="401" t="n"/>
      <c r="V3098" s="22" t="n"/>
      <c r="W3098" s="22" t="n"/>
      <c r="X3098" s="22" t="n"/>
      <c r="Y3098" s="13" t="n"/>
      <c r="Z3098" s="22" t="n"/>
      <c r="AA3098" s="22" t="n"/>
      <c r="AB3098" s="22" t="n"/>
      <c r="AC3098" s="22" t="n"/>
      <c r="AD3098" s="22" t="n"/>
      <c r="AE3098" s="22" t="n"/>
    </row>
    <row r="3099" ht="98" customHeight="1" s="380">
      <c r="A3099" s="144" t="n">
        <v>123</v>
      </c>
      <c r="B3099" s="390" t="n"/>
      <c r="C3099" s="390" t="inlineStr">
        <is>
          <t>Báo cáo tài chính quý, soát xét bán niên, kiểm toán năm - Chi nhánh công ty chứng khoán nước ngoài tại Việt Nam &gt;&gt; Báo cáo tình hình tài chính riêng</t>
        </is>
      </c>
      <c r="D3099" s="390" t="inlineStr">
        <is>
          <t>6. Thuế và các khoản khác phải thu Nhà nước</t>
        </is>
      </c>
      <c r="E3099" s="151" t="n">
        <v>136</v>
      </c>
      <c r="F3099" s="390" t="inlineStr">
        <is>
          <t>Data Explorer</t>
        </is>
      </c>
      <c r="G3099" s="390" t="inlineStr">
        <is>
          <t>Chỉ tiêu cơ sở</t>
        </is>
      </c>
      <c r="H3099" s="390" t="inlineStr">
        <is>
          <t>Dễ</t>
        </is>
      </c>
      <c r="I3099" s="390" t="inlineStr">
        <is>
          <t>Ngày, CTCK</t>
        </is>
      </c>
      <c r="J3099" s="401" t="inlineStr">
        <is>
          <t>SCMS</t>
        </is>
      </c>
      <c r="K3099" s="401" t="n"/>
      <c r="L3099" s="401" t="inlineStr">
        <is>
          <t>X</t>
        </is>
      </c>
      <c r="M3099" s="401" t="n"/>
      <c r="N3099" s="401" t="inlineStr">
        <is>
          <t>Done</t>
        </is>
      </c>
      <c r="O3099" s="401" t="n"/>
      <c r="P3099" s="401" t="n"/>
      <c r="S3099" s="401" t="n"/>
      <c r="U3099" s="401" t="n"/>
      <c r="V3099" s="22" t="n"/>
      <c r="W3099" s="22" t="n"/>
      <c r="X3099" s="22" t="n"/>
      <c r="Y3099" s="13" t="n"/>
      <c r="Z3099" s="22" t="n"/>
      <c r="AA3099" s="22" t="n"/>
      <c r="AB3099" s="22" t="n"/>
      <c r="AC3099" s="22" t="n"/>
      <c r="AD3099" s="22" t="n"/>
      <c r="AE3099" s="22" t="n"/>
    </row>
    <row r="3100" ht="98" customHeight="1" s="380">
      <c r="A3100" s="144" t="n">
        <v>123</v>
      </c>
      <c r="B3100" s="390" t="n"/>
      <c r="C3100" s="390" t="inlineStr">
        <is>
          <t>Báo cáo tài chính quý, soát xét bán niên, kiểm toán năm - Chi nhánh công ty chứng khoán nước ngoài tại Việt Nam &gt;&gt; Báo cáo tình hình tài chính riêng</t>
        </is>
      </c>
      <c r="D3100" s="390" t="inlineStr">
        <is>
          <t>7. Tài sản ngắn hạn khác</t>
        </is>
      </c>
      <c r="E3100" s="151" t="n">
        <v>137</v>
      </c>
      <c r="F3100" s="390" t="inlineStr">
        <is>
          <t>Data Explorer</t>
        </is>
      </c>
      <c r="G3100" s="390" t="inlineStr">
        <is>
          <t>Chỉ tiêu cơ sở</t>
        </is>
      </c>
      <c r="H3100" s="390" t="inlineStr">
        <is>
          <t>Dễ</t>
        </is>
      </c>
      <c r="I3100" s="390" t="inlineStr">
        <is>
          <t>Ngày, CTCK</t>
        </is>
      </c>
      <c r="J3100" s="401" t="inlineStr">
        <is>
          <t>SCMS</t>
        </is>
      </c>
      <c r="K3100" s="401" t="n"/>
      <c r="L3100" s="401" t="inlineStr">
        <is>
          <t>X</t>
        </is>
      </c>
      <c r="M3100" s="401" t="n"/>
      <c r="N3100" s="401" t="inlineStr">
        <is>
          <t>Done</t>
        </is>
      </c>
      <c r="O3100" s="401" t="n"/>
      <c r="P3100" s="401" t="n"/>
      <c r="S3100" s="401" t="n"/>
      <c r="U3100" s="401" t="n"/>
      <c r="V3100" s="22" t="n"/>
      <c r="W3100" s="22" t="n"/>
      <c r="X3100" s="22" t="n"/>
      <c r="Y3100" s="13" t="n"/>
      <c r="Z3100" s="22" t="n"/>
      <c r="AA3100" s="22" t="n"/>
      <c r="AB3100" s="22" t="n"/>
      <c r="AC3100" s="22" t="n"/>
      <c r="AD3100" s="22" t="n"/>
      <c r="AE3100" s="22" t="n"/>
    </row>
    <row r="3101" ht="98" customHeight="1" s="380">
      <c r="A3101" s="144" t="n">
        <v>123</v>
      </c>
      <c r="B3101" s="390" t="n"/>
      <c r="C3101" s="390" t="inlineStr">
        <is>
          <t>Báo cáo tài chính quý, soát xét bán niên, kiểm toán năm - Chi nhánh công ty chứng khoán nước ngoài tại Việt Nam &gt;&gt; Báo cáo tình hình tài chính riêng</t>
        </is>
      </c>
      <c r="D3101" s="390" t="inlineStr">
        <is>
          <t>8. Giao dịch mua bán lại trái phiếu Chính phủ</t>
        </is>
      </c>
      <c r="E3101" s="151" t="n">
        <v>138</v>
      </c>
      <c r="F3101" s="390" t="inlineStr">
        <is>
          <t>Data Explorer</t>
        </is>
      </c>
      <c r="G3101" s="390" t="inlineStr">
        <is>
          <t>Chỉ tiêu cơ sở</t>
        </is>
      </c>
      <c r="H3101" s="390" t="inlineStr">
        <is>
          <t>Dễ</t>
        </is>
      </c>
      <c r="I3101" s="390" t="inlineStr">
        <is>
          <t>Ngày, CTCK</t>
        </is>
      </c>
      <c r="J3101" s="401" t="inlineStr">
        <is>
          <t>SCMS</t>
        </is>
      </c>
      <c r="K3101" s="401" t="n"/>
      <c r="L3101" s="401" t="inlineStr">
        <is>
          <t>X</t>
        </is>
      </c>
      <c r="M3101" s="401" t="n"/>
      <c r="N3101" s="401" t="inlineStr">
        <is>
          <t>Done</t>
        </is>
      </c>
      <c r="O3101" s="401" t="n"/>
      <c r="P3101" s="401" t="n"/>
      <c r="S3101" s="401" t="n"/>
      <c r="U3101" s="401" t="n"/>
      <c r="V3101" s="22" t="n"/>
      <c r="W3101" s="22" t="n"/>
      <c r="X3101" s="22" t="n"/>
      <c r="Y3101" s="13" t="n"/>
      <c r="Z3101" s="22" t="n"/>
      <c r="AA3101" s="22" t="n"/>
      <c r="AB3101" s="22" t="n"/>
      <c r="AC3101" s="22" t="n"/>
      <c r="AD3101" s="22" t="n"/>
      <c r="AE3101" s="22" t="n"/>
    </row>
    <row r="3102" ht="98" customHeight="1" s="380">
      <c r="A3102" s="144" t="n">
        <v>123</v>
      </c>
      <c r="B3102" s="390" t="n"/>
      <c r="C3102" s="390" t="inlineStr">
        <is>
          <t>Báo cáo tài chính quý, soát xét bán niên, kiểm toán năm - Chi nhánh công ty chứng khoán nước ngoài tại Việt Nam &gt;&gt; Báo cáo tình hình tài chính riêng</t>
        </is>
      </c>
      <c r="D3102" s="390" t="inlineStr">
        <is>
          <t>9. Dự phòng suy giảm giá trị tài sản ngắn hạn khác</t>
        </is>
      </c>
      <c r="E3102" s="151" t="n">
        <v>139</v>
      </c>
      <c r="F3102" s="390" t="inlineStr">
        <is>
          <t>Data Explorer</t>
        </is>
      </c>
      <c r="G3102" s="390" t="inlineStr">
        <is>
          <t>Chỉ tiêu cơ sở</t>
        </is>
      </c>
      <c r="H3102" s="390" t="inlineStr">
        <is>
          <t>Dễ</t>
        </is>
      </c>
      <c r="I3102" s="390" t="inlineStr">
        <is>
          <t>Ngày, CTCK</t>
        </is>
      </c>
      <c r="J3102" s="401" t="inlineStr">
        <is>
          <t>SCMS</t>
        </is>
      </c>
      <c r="K3102" s="401" t="n"/>
      <c r="L3102" s="401" t="inlineStr">
        <is>
          <t>X</t>
        </is>
      </c>
      <c r="M3102" s="401" t="n"/>
      <c r="N3102" s="401" t="inlineStr">
        <is>
          <t>Done</t>
        </is>
      </c>
      <c r="O3102" s="401" t="n"/>
      <c r="P3102" s="401" t="n"/>
      <c r="S3102" s="401" t="n"/>
      <c r="U3102" s="401" t="n"/>
      <c r="V3102" s="22" t="n"/>
      <c r="W3102" s="22" t="n"/>
      <c r="X3102" s="22" t="n"/>
      <c r="Y3102" s="38" t="n"/>
      <c r="Z3102" s="22" t="n"/>
      <c r="AA3102" s="22" t="n"/>
      <c r="AB3102" s="22" t="n"/>
      <c r="AC3102" s="22" t="n"/>
      <c r="AD3102" s="22" t="n"/>
      <c r="AE3102" s="22" t="n"/>
    </row>
    <row r="3103" ht="98" customHeight="1" s="380">
      <c r="A3103" s="144" t="n">
        <v>123</v>
      </c>
      <c r="B3103" s="390" t="n"/>
      <c r="C3103" s="390" t="inlineStr">
        <is>
          <t>Báo cáo tài chính quý, soát xét bán niên, kiểm toán năm - Chi nhánh công ty chứng khoán nước ngoài tại Việt Nam &gt;&gt; Báo cáo tình hình tài chính riêng</t>
        </is>
      </c>
      <c r="D3103" s="132" t="inlineStr">
        <is>
          <t>B. TÀI SẢN DÀI HẠN (200 = 210 + 220 + 230 + 240 + 250 - 260)</t>
        </is>
      </c>
      <c r="E3103" s="150" t="n">
        <v>200</v>
      </c>
      <c r="F3103" s="390" t="inlineStr">
        <is>
          <t>Data Explorer</t>
        </is>
      </c>
      <c r="G3103" s="390" t="inlineStr">
        <is>
          <t>Chỉ tiêu cơ sở</t>
        </is>
      </c>
      <c r="H3103" s="390" t="inlineStr">
        <is>
          <t>Dễ</t>
        </is>
      </c>
      <c r="I3103" s="390" t="inlineStr">
        <is>
          <t>Ngày, CTCK</t>
        </is>
      </c>
      <c r="J3103" s="401" t="inlineStr">
        <is>
          <t>SCMS</t>
        </is>
      </c>
      <c r="K3103" s="401" t="n"/>
      <c r="L3103" s="401" t="inlineStr">
        <is>
          <t>X</t>
        </is>
      </c>
      <c r="M3103" s="401" t="n"/>
      <c r="N3103" s="401" t="inlineStr">
        <is>
          <t>Done</t>
        </is>
      </c>
      <c r="O3103" s="401" t="n"/>
      <c r="P3103" s="401" t="n"/>
      <c r="S3103" s="401" t="n"/>
      <c r="U3103" s="401" t="n"/>
      <c r="V3103" s="22" t="n"/>
      <c r="W3103" s="22" t="n"/>
      <c r="X3103" s="22" t="n"/>
      <c r="Y3103" s="13" t="n"/>
      <c r="Z3103" s="22" t="n"/>
      <c r="AA3103" s="22" t="n"/>
      <c r="AB3103" s="22" t="n"/>
      <c r="AC3103" s="22" t="n"/>
      <c r="AD3103" s="22" t="n"/>
      <c r="AE3103" s="22" t="n"/>
    </row>
    <row r="3104" ht="98" customHeight="1" s="380">
      <c r="A3104" s="144" t="n">
        <v>123</v>
      </c>
      <c r="B3104" s="390" t="n"/>
      <c r="C3104" s="390" t="inlineStr">
        <is>
          <t>Báo cáo tài chính quý, soát xét bán niên, kiểm toán năm - Chi nhánh công ty chứng khoán nước ngoài tại Việt Nam &gt;&gt; Báo cáo tình hình tài chính riêng</t>
        </is>
      </c>
      <c r="D3104" s="132" t="inlineStr">
        <is>
          <t>I. Tài sản tài chính dài hạn</t>
        </is>
      </c>
      <c r="E3104" s="150" t="n">
        <v>210</v>
      </c>
      <c r="F3104" s="390" t="inlineStr">
        <is>
          <t>Data Explorer</t>
        </is>
      </c>
      <c r="G3104" s="390" t="inlineStr">
        <is>
          <t>Chỉ tiêu cơ sở</t>
        </is>
      </c>
      <c r="H3104" s="390" t="inlineStr">
        <is>
          <t>Dễ</t>
        </is>
      </c>
      <c r="I3104" s="390" t="inlineStr">
        <is>
          <t>Ngày, CTCK</t>
        </is>
      </c>
      <c r="J3104" s="401" t="inlineStr">
        <is>
          <t>SCMS</t>
        </is>
      </c>
      <c r="K3104" s="401" t="n"/>
      <c r="L3104" s="401" t="inlineStr">
        <is>
          <t>X</t>
        </is>
      </c>
      <c r="M3104" s="401" t="n"/>
      <c r="N3104" s="401" t="inlineStr">
        <is>
          <t>Done</t>
        </is>
      </c>
      <c r="O3104" s="401" t="n"/>
      <c r="P3104" s="401" t="n"/>
      <c r="S3104" s="401" t="n"/>
      <c r="U3104" s="401" t="n"/>
      <c r="V3104" s="22" t="n"/>
      <c r="W3104" s="22" t="n"/>
      <c r="X3104" s="22" t="n"/>
      <c r="Y3104" s="13" t="n"/>
      <c r="Z3104" s="22" t="n"/>
      <c r="AA3104" s="22" t="n"/>
      <c r="AB3104" s="22" t="n"/>
      <c r="AC3104" s="22" t="n"/>
      <c r="AD3104" s="22" t="n"/>
      <c r="AE3104" s="22" t="n"/>
    </row>
    <row r="3105" ht="98" customHeight="1" s="380">
      <c r="A3105" s="144" t="n">
        <v>123</v>
      </c>
      <c r="B3105" s="390" t="n"/>
      <c r="C3105" s="390" t="inlineStr">
        <is>
          <t>Báo cáo tài chính quý, soát xét bán niên, kiểm toán năm - Chi nhánh công ty chứng khoán nước ngoài tại Việt Nam &gt;&gt; Báo cáo tình hình tài chính riêng</t>
        </is>
      </c>
      <c r="D3105" s="390" t="inlineStr">
        <is>
          <t>1. Các khoản phải thu dài hạn</t>
        </is>
      </c>
      <c r="E3105" s="151" t="n">
        <v>211</v>
      </c>
      <c r="F3105" s="390" t="inlineStr">
        <is>
          <t>Data Explorer</t>
        </is>
      </c>
      <c r="G3105" s="390" t="inlineStr">
        <is>
          <t>Chỉ tiêu cơ sở</t>
        </is>
      </c>
      <c r="H3105" s="390" t="inlineStr">
        <is>
          <t>Dễ</t>
        </is>
      </c>
      <c r="I3105" s="390" t="inlineStr">
        <is>
          <t>Ngày, CTCK</t>
        </is>
      </c>
      <c r="J3105" s="401" t="inlineStr">
        <is>
          <t>SCMS</t>
        </is>
      </c>
      <c r="K3105" s="401" t="n"/>
      <c r="L3105" s="401" t="inlineStr">
        <is>
          <t>X</t>
        </is>
      </c>
      <c r="M3105" s="401" t="n"/>
      <c r="N3105" s="401" t="inlineStr">
        <is>
          <t>Done</t>
        </is>
      </c>
      <c r="O3105" s="401" t="n"/>
      <c r="P3105" s="401" t="n"/>
      <c r="S3105" s="401" t="n"/>
      <c r="U3105" s="401" t="n"/>
      <c r="V3105" s="22" t="n"/>
      <c r="W3105" s="22" t="n"/>
      <c r="X3105" s="22" t="n"/>
      <c r="Y3105" s="13" t="n"/>
      <c r="Z3105" s="22" t="n"/>
      <c r="AA3105" s="22" t="n"/>
      <c r="AB3105" s="22" t="n"/>
      <c r="AC3105" s="22" t="n"/>
      <c r="AD3105" s="22" t="n"/>
      <c r="AE3105" s="22" t="n"/>
    </row>
    <row r="3106" ht="98" customHeight="1" s="380">
      <c r="A3106" s="144" t="n">
        <v>123</v>
      </c>
      <c r="B3106" s="390" t="n"/>
      <c r="C3106" s="390" t="inlineStr">
        <is>
          <t>Báo cáo tài chính quý, soát xét bán niên, kiểm toán năm - Chi nhánh công ty chứng khoán nước ngoài tại Việt Nam &gt;&gt; Báo cáo tình hình tài chính riêng</t>
        </is>
      </c>
      <c r="D3106" s="390" t="inlineStr">
        <is>
          <t>2. Các khoản đầu tư</t>
        </is>
      </c>
      <c r="E3106" s="151" t="n">
        <v>212</v>
      </c>
      <c r="F3106" s="390" t="inlineStr">
        <is>
          <t>Data Explorer</t>
        </is>
      </c>
      <c r="G3106" s="390" t="inlineStr">
        <is>
          <t>Chỉ tiêu cơ sở</t>
        </is>
      </c>
      <c r="H3106" s="390" t="inlineStr">
        <is>
          <t>Dễ</t>
        </is>
      </c>
      <c r="I3106" s="390" t="inlineStr">
        <is>
          <t>Ngày, CTCK</t>
        </is>
      </c>
      <c r="J3106" s="401" t="inlineStr">
        <is>
          <t>SCMS</t>
        </is>
      </c>
      <c r="K3106" s="401" t="n"/>
      <c r="L3106" s="401" t="inlineStr">
        <is>
          <t>X</t>
        </is>
      </c>
      <c r="M3106" s="401" t="n"/>
      <c r="N3106" s="401" t="inlineStr">
        <is>
          <t>Done</t>
        </is>
      </c>
      <c r="O3106" s="401" t="n"/>
      <c r="P3106" s="401" t="n"/>
      <c r="S3106" s="401" t="n"/>
      <c r="U3106" s="401" t="n"/>
      <c r="V3106" s="22" t="n"/>
      <c r="W3106" s="22" t="n"/>
      <c r="X3106" s="22" t="n"/>
      <c r="Y3106" s="13" t="n"/>
      <c r="Z3106" s="22" t="n"/>
      <c r="AA3106" s="22" t="n"/>
      <c r="AB3106" s="22" t="n"/>
      <c r="AC3106" s="22" t="n"/>
      <c r="AD3106" s="22" t="n"/>
      <c r="AE3106" s="22" t="n"/>
    </row>
    <row r="3107" ht="98" customHeight="1" s="380">
      <c r="A3107" s="144" t="n">
        <v>123</v>
      </c>
      <c r="B3107" s="390" t="n"/>
      <c r="C3107" s="390" t="inlineStr">
        <is>
          <t>Báo cáo tài chính quý, soát xét bán niên, kiểm toán năm - Chi nhánh công ty chứng khoán nước ngoài tại Việt Nam &gt;&gt; Báo cáo tình hình tài chính riêng</t>
        </is>
      </c>
      <c r="D3107" s="390" t="inlineStr">
        <is>
          <t>2.1.Các khoản đầu tư nắm giữ đến ngày đáo hạn</t>
        </is>
      </c>
      <c r="E3107" s="151" t="n">
        <v>212.1</v>
      </c>
      <c r="F3107" s="390" t="inlineStr">
        <is>
          <t>Data Explorer</t>
        </is>
      </c>
      <c r="G3107" s="390" t="inlineStr">
        <is>
          <t>Chỉ tiêu cơ sở</t>
        </is>
      </c>
      <c r="H3107" s="390" t="inlineStr">
        <is>
          <t>Dễ</t>
        </is>
      </c>
      <c r="I3107" s="390" t="inlineStr">
        <is>
          <t>Ngày, CTCK</t>
        </is>
      </c>
      <c r="J3107" s="401" t="inlineStr">
        <is>
          <t>SCMS</t>
        </is>
      </c>
      <c r="K3107" s="401" t="n"/>
      <c r="L3107" s="401" t="inlineStr">
        <is>
          <t>X</t>
        </is>
      </c>
      <c r="M3107" s="401" t="n"/>
      <c r="N3107" s="401" t="inlineStr">
        <is>
          <t>Done</t>
        </is>
      </c>
      <c r="O3107" s="401" t="n"/>
      <c r="P3107" s="401" t="n"/>
      <c r="S3107" s="401" t="n"/>
      <c r="U3107" s="401" t="n"/>
      <c r="V3107" s="22" t="n"/>
      <c r="W3107" s="22" t="n"/>
      <c r="X3107" s="22" t="n"/>
      <c r="Y3107" s="13" t="n"/>
      <c r="Z3107" s="22" t="n"/>
      <c r="AA3107" s="22" t="n"/>
      <c r="AB3107" s="22" t="n"/>
      <c r="AC3107" s="22" t="n"/>
      <c r="AD3107" s="22" t="n"/>
      <c r="AE3107" s="22" t="n"/>
    </row>
    <row r="3108" ht="98" customHeight="1" s="380">
      <c r="A3108" s="144" t="n">
        <v>123</v>
      </c>
      <c r="B3108" s="390" t="n"/>
      <c r="C3108" s="390" t="inlineStr">
        <is>
          <t>Báo cáo tài chính quý, soát xét bán niên, kiểm toán năm - Chi nhánh công ty chứng khoán nước ngoài tại Việt Nam &gt;&gt; Báo cáo tình hình tài chính riêng</t>
        </is>
      </c>
      <c r="D3108" s="390" t="inlineStr">
        <is>
          <t>2.2. Đầu tư vào công ty con</t>
        </is>
      </c>
      <c r="E3108" s="151" t="n">
        <v>212.2</v>
      </c>
      <c r="F3108" s="390" t="inlineStr">
        <is>
          <t>Data Explorer</t>
        </is>
      </c>
      <c r="G3108" s="390" t="inlineStr">
        <is>
          <t>Chỉ tiêu cơ sở</t>
        </is>
      </c>
      <c r="H3108" s="390" t="inlineStr">
        <is>
          <t>Dễ</t>
        </is>
      </c>
      <c r="I3108" s="390" t="inlineStr">
        <is>
          <t>Ngày, CTCK</t>
        </is>
      </c>
      <c r="J3108" s="401" t="inlineStr">
        <is>
          <t>SCMS</t>
        </is>
      </c>
      <c r="K3108" s="401" t="n"/>
      <c r="L3108" s="401" t="inlineStr">
        <is>
          <t>X</t>
        </is>
      </c>
      <c r="M3108" s="401" t="n"/>
      <c r="N3108" s="401" t="inlineStr">
        <is>
          <t>Done</t>
        </is>
      </c>
      <c r="O3108" s="401" t="n"/>
      <c r="P3108" s="401" t="n"/>
      <c r="S3108" s="401" t="n"/>
      <c r="U3108" s="401" t="n"/>
      <c r="V3108" s="22" t="n"/>
      <c r="W3108" s="22" t="n"/>
      <c r="X3108" s="22" t="n"/>
      <c r="Y3108" s="38" t="n"/>
      <c r="Z3108" s="22" t="n"/>
      <c r="AA3108" s="22" t="n"/>
      <c r="AB3108" s="22" t="n"/>
      <c r="AC3108" s="22" t="n"/>
      <c r="AD3108" s="22" t="n"/>
      <c r="AE3108" s="22" t="n"/>
    </row>
    <row r="3109" ht="98" customHeight="1" s="380">
      <c r="A3109" s="144" t="n">
        <v>123</v>
      </c>
      <c r="B3109" s="390" t="n"/>
      <c r="C3109" s="390" t="inlineStr">
        <is>
          <t>Báo cáo tài chính quý, soát xét bán niên, kiểm toán năm - Chi nhánh công ty chứng khoán nước ngoài tại Việt Nam &gt;&gt; Báo cáo tình hình tài chính riêng</t>
        </is>
      </c>
      <c r="D3109" s="390" t="inlineStr">
        <is>
          <t>2.3. Đầu tư vào công ty liên doanh, liên kết</t>
        </is>
      </c>
      <c r="E3109" s="151" t="n">
        <v>212.3</v>
      </c>
      <c r="F3109" s="390" t="inlineStr">
        <is>
          <t>Data Explorer</t>
        </is>
      </c>
      <c r="G3109" s="390" t="inlineStr">
        <is>
          <t>Chỉ tiêu cơ sở</t>
        </is>
      </c>
      <c r="H3109" s="390" t="inlineStr">
        <is>
          <t>Dễ</t>
        </is>
      </c>
      <c r="I3109" s="390" t="inlineStr">
        <is>
          <t>Ngày, CTCK</t>
        </is>
      </c>
      <c r="J3109" s="401" t="inlineStr">
        <is>
          <t>SCMS</t>
        </is>
      </c>
      <c r="K3109" s="401" t="n"/>
      <c r="L3109" s="401" t="inlineStr">
        <is>
          <t>X</t>
        </is>
      </c>
      <c r="M3109" s="401" t="n"/>
      <c r="N3109" s="401" t="inlineStr">
        <is>
          <t>Done</t>
        </is>
      </c>
      <c r="O3109" s="401" t="n"/>
      <c r="P3109" s="401" t="n"/>
      <c r="S3109" s="401" t="n"/>
      <c r="U3109" s="401" t="n"/>
      <c r="V3109" s="22" t="n"/>
      <c r="W3109" s="22" t="n"/>
      <c r="X3109" s="22" t="n"/>
      <c r="Y3109" s="13" t="n"/>
      <c r="Z3109" s="22" t="n"/>
      <c r="AA3109" s="22" t="n"/>
      <c r="AB3109" s="22" t="n"/>
      <c r="AC3109" s="22" t="n"/>
      <c r="AD3109" s="22" t="n"/>
      <c r="AE3109" s="22" t="n"/>
    </row>
    <row r="3110" ht="98" customHeight="1" s="380">
      <c r="A3110" s="144" t="n">
        <v>123</v>
      </c>
      <c r="B3110" s="390" t="n"/>
      <c r="C3110" s="390" t="inlineStr">
        <is>
          <t>Báo cáo tài chính quý, soát xét bán niên, kiểm toán năm - Chi nhánh công ty chứng khoán nước ngoài tại Việt Nam &gt;&gt; Báo cáo tình hình tài chính riêng</t>
        </is>
      </c>
      <c r="D3110" s="390" t="inlineStr">
        <is>
          <t>2.4. Đầu tư dài hạn khác</t>
        </is>
      </c>
      <c r="E3110" s="151" t="n">
        <v>212.4</v>
      </c>
      <c r="F3110" s="390" t="inlineStr">
        <is>
          <t>Data Explorer</t>
        </is>
      </c>
      <c r="G3110" s="390" t="inlineStr">
        <is>
          <t>Chỉ tiêu cơ sở</t>
        </is>
      </c>
      <c r="H3110" s="390" t="inlineStr">
        <is>
          <t>Dễ</t>
        </is>
      </c>
      <c r="I3110" s="390" t="inlineStr">
        <is>
          <t>Ngày, CTCK</t>
        </is>
      </c>
      <c r="J3110" s="401" t="inlineStr">
        <is>
          <t>SCMS</t>
        </is>
      </c>
      <c r="K3110" s="401" t="n"/>
      <c r="L3110" s="401" t="inlineStr">
        <is>
          <t>X</t>
        </is>
      </c>
      <c r="M3110" s="401" t="n"/>
      <c r="N3110" s="401" t="inlineStr">
        <is>
          <t>Done</t>
        </is>
      </c>
      <c r="O3110" s="401" t="n"/>
      <c r="P3110" s="401" t="n"/>
      <c r="S3110" s="401" t="n"/>
      <c r="U3110" s="401" t="n"/>
      <c r="V3110" s="22" t="n"/>
      <c r="W3110" s="22" t="n"/>
      <c r="X3110" s="22" t="n"/>
      <c r="Y3110" s="13" t="n"/>
      <c r="Z3110" s="22" t="n"/>
      <c r="AA3110" s="22" t="n"/>
      <c r="AB3110" s="22" t="n"/>
      <c r="AC3110" s="22" t="n"/>
      <c r="AD3110" s="22" t="n"/>
      <c r="AE3110" s="22" t="n"/>
    </row>
    <row r="3111" ht="98" customHeight="1" s="380">
      <c r="A3111" s="144" t="n">
        <v>123</v>
      </c>
      <c r="B3111" s="390" t="n"/>
      <c r="C3111" s="390" t="inlineStr">
        <is>
          <t>Báo cáo tài chính quý, soát xét bán niên, kiểm toán năm - Chi nhánh công ty chứng khoán nước ngoài tại Việt Nam &gt;&gt; Báo cáo tình hình tài chính riêng</t>
        </is>
      </c>
      <c r="D3111" s="390" t="inlineStr">
        <is>
          <t>3. Dự phòng suy giảm tài sản tài chính dài hạn</t>
        </is>
      </c>
      <c r="E3111" s="151" t="n">
        <v>213</v>
      </c>
      <c r="F3111" s="390" t="inlineStr">
        <is>
          <t>Data Explorer</t>
        </is>
      </c>
      <c r="G3111" s="390" t="inlineStr">
        <is>
          <t>Chỉ tiêu cơ sở</t>
        </is>
      </c>
      <c r="H3111" s="390" t="inlineStr">
        <is>
          <t>Dễ</t>
        </is>
      </c>
      <c r="I3111" s="390" t="inlineStr">
        <is>
          <t>Ngày, CTCK</t>
        </is>
      </c>
      <c r="J3111" s="401" t="inlineStr">
        <is>
          <t>SCMS</t>
        </is>
      </c>
      <c r="K3111" s="401" t="n"/>
      <c r="L3111" s="401" t="inlineStr">
        <is>
          <t>X</t>
        </is>
      </c>
      <c r="M3111" s="401" t="n"/>
      <c r="N3111" s="401" t="inlineStr">
        <is>
          <t>Done</t>
        </is>
      </c>
      <c r="O3111" s="401" t="n"/>
      <c r="P3111" s="401" t="n"/>
      <c r="S3111" s="401" t="n"/>
      <c r="U3111" s="401" t="n"/>
      <c r="V3111" s="22" t="n"/>
      <c r="W3111" s="22" t="n"/>
      <c r="X3111" s="22" t="n"/>
      <c r="Y3111" s="13" t="n"/>
      <c r="Z3111" s="22" t="n"/>
      <c r="AA3111" s="22" t="n"/>
      <c r="AB3111" s="22" t="n"/>
      <c r="AC3111" s="22" t="n"/>
      <c r="AD3111" s="22" t="n"/>
      <c r="AE3111" s="22" t="n"/>
    </row>
    <row r="3112" ht="98" customHeight="1" s="380">
      <c r="A3112" s="144" t="n">
        <v>123</v>
      </c>
      <c r="B3112" s="390" t="n"/>
      <c r="C3112" s="390" t="inlineStr">
        <is>
          <t>Báo cáo tài chính quý, soát xét bán niên, kiểm toán năm - Chi nhánh công ty chứng khoán nước ngoài tại Việt Nam &gt;&gt; Báo cáo tình hình tài chính riêng</t>
        </is>
      </c>
      <c r="D3112" s="132" t="inlineStr">
        <is>
          <t>II. Tài sản cố định</t>
        </is>
      </c>
      <c r="E3112" s="150" t="n">
        <v>220</v>
      </c>
      <c r="F3112" s="390" t="inlineStr">
        <is>
          <t>Data Explorer</t>
        </is>
      </c>
      <c r="G3112" s="390" t="inlineStr">
        <is>
          <t>Chỉ tiêu cơ sở</t>
        </is>
      </c>
      <c r="H3112" s="390" t="inlineStr">
        <is>
          <t>Dễ</t>
        </is>
      </c>
      <c r="I3112" s="390" t="inlineStr">
        <is>
          <t>Ngày, CTCK</t>
        </is>
      </c>
      <c r="J3112" s="401" t="inlineStr">
        <is>
          <t>SCMS</t>
        </is>
      </c>
      <c r="K3112" s="401" t="n"/>
      <c r="L3112" s="401" t="inlineStr">
        <is>
          <t>X</t>
        </is>
      </c>
      <c r="M3112" s="401" t="n"/>
      <c r="N3112" s="401" t="inlineStr">
        <is>
          <t>Done</t>
        </is>
      </c>
      <c r="O3112" s="401" t="n"/>
      <c r="P3112" s="401" t="n"/>
      <c r="S3112" s="401" t="n"/>
      <c r="U3112" s="401" t="n"/>
      <c r="V3112" s="22" t="n"/>
      <c r="W3112" s="22" t="n"/>
      <c r="X3112" s="22" t="n"/>
      <c r="Y3112" s="13" t="n"/>
      <c r="Z3112" s="22" t="n"/>
      <c r="AA3112" s="22" t="n"/>
      <c r="AB3112" s="22" t="n"/>
      <c r="AC3112" s="22" t="n"/>
      <c r="AD3112" s="22" t="n"/>
      <c r="AE3112" s="22" t="n"/>
    </row>
    <row r="3113" ht="98" customHeight="1" s="380">
      <c r="A3113" s="144" t="n">
        <v>123</v>
      </c>
      <c r="B3113" s="390" t="n"/>
      <c r="C3113" s="390" t="inlineStr">
        <is>
          <t>Báo cáo tài chính quý, soát xét bán niên, kiểm toán năm - Chi nhánh công ty chứng khoán nước ngoài tại Việt Nam &gt;&gt; Báo cáo tình hình tài chính riêng</t>
        </is>
      </c>
      <c r="D3113" s="390" t="inlineStr">
        <is>
          <t>1. Tài sản cố định hữu hình</t>
        </is>
      </c>
      <c r="E3113" s="151" t="n">
        <v>221</v>
      </c>
      <c r="F3113" s="390" t="inlineStr">
        <is>
          <t>Data Explorer</t>
        </is>
      </c>
      <c r="G3113" s="390" t="inlineStr">
        <is>
          <t>Chỉ tiêu cơ sở</t>
        </is>
      </c>
      <c r="H3113" s="390" t="inlineStr">
        <is>
          <t>Dễ</t>
        </is>
      </c>
      <c r="I3113" s="390" t="inlineStr">
        <is>
          <t>Ngày, CTCK</t>
        </is>
      </c>
      <c r="J3113" s="401" t="inlineStr">
        <is>
          <t>SCMS</t>
        </is>
      </c>
      <c r="K3113" s="401" t="n"/>
      <c r="L3113" s="401" t="inlineStr">
        <is>
          <t>X</t>
        </is>
      </c>
      <c r="M3113" s="401" t="n"/>
      <c r="N3113" s="401" t="inlineStr">
        <is>
          <t>Done</t>
        </is>
      </c>
      <c r="O3113" s="401" t="n"/>
      <c r="P3113" s="401" t="n"/>
      <c r="S3113" s="401" t="n"/>
      <c r="U3113" s="401" t="n"/>
      <c r="V3113" s="22" t="n"/>
      <c r="W3113" s="22" t="n"/>
      <c r="X3113" s="22" t="n"/>
      <c r="Y3113" s="13" t="n"/>
      <c r="Z3113" s="22" t="n"/>
      <c r="AA3113" s="22" t="n"/>
      <c r="AB3113" s="22" t="n"/>
      <c r="AC3113" s="22" t="n"/>
      <c r="AD3113" s="22" t="n"/>
      <c r="AE3113" s="22" t="n"/>
    </row>
    <row r="3114" ht="98" customHeight="1" s="380">
      <c r="A3114" s="144" t="n">
        <v>123</v>
      </c>
      <c r="B3114" s="390" t="n"/>
      <c r="C3114" s="390" t="inlineStr">
        <is>
          <t>Báo cáo tài chính quý, soát xét bán niên, kiểm toán năm - Chi nhánh công ty chứng khoán nước ngoài tại Việt Nam &gt;&gt; Báo cáo tình hình tài chính riêng</t>
        </is>
      </c>
      <c r="D3114" s="390" t="inlineStr">
        <is>
          <t>- Nguyên giá</t>
        </is>
      </c>
      <c r="E3114" s="151" t="n">
        <v>222</v>
      </c>
      <c r="F3114" s="390" t="inlineStr">
        <is>
          <t>Data Explorer</t>
        </is>
      </c>
      <c r="G3114" s="390" t="inlineStr">
        <is>
          <t>Chỉ tiêu cơ sở</t>
        </is>
      </c>
      <c r="H3114" s="390" t="inlineStr">
        <is>
          <t>Dễ</t>
        </is>
      </c>
      <c r="I3114" s="390" t="inlineStr">
        <is>
          <t>Ngày, CTCK</t>
        </is>
      </c>
      <c r="J3114" s="401" t="inlineStr">
        <is>
          <t>SCMS</t>
        </is>
      </c>
      <c r="K3114" s="401" t="n"/>
      <c r="L3114" s="401" t="inlineStr">
        <is>
          <t>X</t>
        </is>
      </c>
      <c r="M3114" s="401" t="n"/>
      <c r="N3114" s="401" t="inlineStr">
        <is>
          <t>Done</t>
        </is>
      </c>
      <c r="O3114" s="401" t="n"/>
      <c r="P3114" s="401" t="n"/>
      <c r="S3114" s="401" t="n"/>
      <c r="U3114" s="401" t="n"/>
      <c r="V3114" s="22" t="n"/>
      <c r="W3114" s="22" t="n"/>
      <c r="X3114" s="22" t="n"/>
      <c r="Y3114" s="14" t="n"/>
      <c r="Z3114" s="22" t="n"/>
      <c r="AA3114" s="22" t="n"/>
      <c r="AB3114" s="22" t="n"/>
      <c r="AC3114" s="22" t="n"/>
      <c r="AD3114" s="22" t="n"/>
      <c r="AE3114" s="22" t="n"/>
    </row>
    <row r="3115" ht="98" customHeight="1" s="380">
      <c r="A3115" s="144" t="n">
        <v>123</v>
      </c>
      <c r="B3115" s="390" t="n"/>
      <c r="C3115" s="390" t="inlineStr">
        <is>
          <t>Báo cáo tài chính quý, soát xét bán niên, kiểm toán năm - Chi nhánh công ty chứng khoán nước ngoài tại Việt Nam &gt;&gt; Báo cáo tình hình tài chính riêng</t>
        </is>
      </c>
      <c r="D3115" s="390" t="inlineStr">
        <is>
          <t>- Giá trị hao mòn luỹ kế (*)</t>
        </is>
      </c>
      <c r="E3115" s="401" t="inlineStr">
        <is>
          <t xml:space="preserve">223a
</t>
        </is>
      </c>
      <c r="F3115" s="390" t="inlineStr">
        <is>
          <t>Data Explorer</t>
        </is>
      </c>
      <c r="G3115" s="390" t="inlineStr">
        <is>
          <t>Chỉ tiêu cơ sở</t>
        </is>
      </c>
      <c r="H3115" s="390" t="inlineStr">
        <is>
          <t>Dễ</t>
        </is>
      </c>
      <c r="I3115" s="390" t="inlineStr">
        <is>
          <t>Ngày, CTCK</t>
        </is>
      </c>
      <c r="J3115" s="401" t="inlineStr">
        <is>
          <t>SCMS</t>
        </is>
      </c>
      <c r="K3115" s="401" t="n"/>
      <c r="L3115" s="401" t="inlineStr">
        <is>
          <t>X</t>
        </is>
      </c>
      <c r="M3115" s="401" t="n"/>
      <c r="N3115" s="401" t="inlineStr">
        <is>
          <t>Done</t>
        </is>
      </c>
      <c r="O3115" s="401" t="n"/>
      <c r="P3115" s="401" t="n"/>
      <c r="S3115" s="401" t="n"/>
      <c r="T3115" s="432" t="inlineStr">
        <is>
          <t xml:space="preserve">
    -- Số đầu năm
	MAX(CASE WHEN bsc.TEN_COT=N'Số đầu năm' AND bsh.MA_HANG = '2' THEN CAST(gt.GIA_TRI AS VARCHAR2(4000)) END) AS "TÀI SẢN",
    MAX(CASE WHEN bsc.TEN_COT=N'Số đầu năm' AND bsh.MA_HANG = '3' THEN CAST(gt.GIA_TRI AS VARCHAR2(4000)) END) AS "A. TÀI SẢN NGẮN HẠN (100 = 110 + 130)",
    MAX(CASE WHEN bsc.TEN_COT=N'Số đầu năm' AND bsh.MA_HANG = '4' THEN CAST(gt.GIA_TRI AS VARCHAR2(4000)) END) AS "I. Tài sản tài chính",
    MAX(CASE WHEN bsc.TEN_COT=N'Số đầu năm' AND bsh.MA_HANG = '5' THEN CAST(gt.GIA_TRI AS VARCHAR2(4000)) END) AS "1.Tiền và các khoản tương đương tiền",
    MAX(CASE WHEN bsc.TEN_COT=N'Số đầu năm' AND bsh.MA_HANG = '6' THEN CAST(gt.GIA_TRI AS VARCHAR2(4000)) END) AS "1.1. Tiền",
    MAX(CASE WHEN bsc.TEN_COT=N'Số đầu năm' AND bsh.MA_HANG = '7' THEN CAST(gt.GIA_TRI AS VARCHAR2(4000)) END) AS "1.2. Các khoản tương đương tiền",
    MAX(CASE WHEN bsc.TEN_COT=N'Số đầu năm' AND bsh.MA_HANG = '8' THEN CAST(gt.GIA_TRI AS VARCHAR2(4000)) END) AS "2. Các tài sản tài chính ghi nhận thông qua lãi/lỗ (FVTPL)",
    MAX(CASE WHEN bsc.TEN_COT=N'Số đầu năm' AND bsh.MA_HANG = '9' THEN CAST(gt.GIA_TRI AS VARCHAR2(4000)) END) AS "3. Các  khoản đầu tư  nắm giữ đến ngày đáo hạn (HTM)",
    MAX(CASE WHEN bsc.TEN_COT=N'Số đầu năm' AND bsh.MA_HANG = '10' THEN CAST(gt.GIA_TRI AS VARCHAR2(4000)) END) AS "4. Các khoản cho vay",
    MAX(CASE WHEN bsc.TEN_COT=N'Số đầu năm' AND bsh.MA_HANG = '11' THEN CAST(gt.GIA_TRI AS VARCHAR2(4000)) END) AS "5. Tài sản tài chính sẵn sàng để bán (AFS)",
    MAX(CASE WHEN bsc.TEN_COT=N'Số đầu năm' AND bsh.MA_HANG = '12' THEN CAST(gt.GIA_TRI AS VARCHAR2(4000)) END) AS "6. Dự phòng suy giảm giá trị các tài sản tài chính và tài sản thế chấp",
    MAX(CASE WHEN bsc.TEN_COT=N'Số đầu năm' AND bsh.MA_HANG = '13' THEN CAST(gt.GIA_TRI AS VARCHAR2(4000)) END) AS "7. Các khoản phải thu",
    MAX(CASE WHEN bsc.TEN_COT=N'Số đầu năm' AND bsh.MA_HANG = '14' THEN CAST(gt.GIA_TRI AS VARCHAR2(4000)) END) AS "7.1. Phải thu bán các tài sản tài chính",
    MAX(CASE WHEN bsc.TEN_COT=N'Số đầu năm' AND bsh.MA_HANG = '15' THEN CAST(gt.GIA_TRI AS VARCHAR2(4000)) END) AS "7.2. Phải thu và dự thu cổ tức, tiền lãi các tài sản tài chính",
    MAX(CASE WHEN bsc.TEN_COT=N'Số đầu năm' AND bsh.MA_HANG = '16' THEN CAST(gt.GIA_TRI AS VARCHAR2(4000)) END) AS "7.2.1. Phải thu cổ tức, tiền lãi đến ngày nhận",
    MAX(CASE WHEN bsc.TEN_COT=N'Số đầu năm' AND bsh.MA_HANG = '17' THEN CAST(gt.GIA_TRI AS VARCHAR2(4000)) END) AS "7.2.2. Dự thu cổ tức, tiền lãi chưa đến ngày nhận",
    MAX(CASE WHEN bsc.TEN_COT=N'Số đầu năm' AND bsh.MA_HANG = '18' THEN CAST(gt.GIA_TRI AS VARCHAR2(4000)) END) AS "8. Trả trước cho người bán",
    MAX(CASE WHEN bsc.TEN_COT=N'Số đầu năm' AND bsh.MA_HANG = '19' THEN CAST(gt.GIA_TRI AS VARCHAR2(4000)) END) AS "9. Phải thu các dịch vụ CTCK cung cấp",
    MAX(CASE WHEN bsc.TEN_COT=N'Số đầu năm' AND bsh.MA_HANG = '20' THEN CAST(gt.GIA_TRI AS VARCHAR2(4000)) END) AS "10. Phải thu nội bộ",
    MAX(CASE WHEN bsc.TEN_COT=N'Số đầu năm' AND bsh.MA_HANG = '21' THEN CAST(gt.GIA_TRI AS VARCHAR2(4000)) END) AS "11. Phải thu về lỗi giao dịch chứng khoán",
    MAX(CASE WHEN bsc.TEN_COT=N'Số đầu năm' AND bsh.MA_HANG = '22' THEN CAST(gt.GIA_TRI AS VARCHAR2(4000)) END) AS "12. Các khoản phải thu khác",
    MAX(CASE WHEN bsc.TEN_COT=N'Số đầu năm' AND bsh.MA_HANG = '23' THEN CAST(gt.GIA_TRI AS VARCHAR2(4000)) END) AS "13. Dự phòng suy giảm giá trị các khoản phải thu (*)",
    MAX(CASE WHEN bsc.TEN_COT=N'Số đầu năm' AND bsh.MA_HANG = '24' THEN CAST(gt.GIA_TRI AS VARCHAR2(4000)) END) AS "II. Tài sản ngắn hạn khác",
    MAX(CASE WHEN bsc.TEN_COT=N'Số đầu năm' AND bsh.MA_HANG = '25' THEN CAST(gt.GIA_TRI AS VARCHAR2(4000)) END) AS "1. Tạm ứng",
    MAX(CASE WHEN bsc.TEN_COT=N'Số đầu năm' AND bsh.MA_HANG = '26' THEN CAST(gt.GIA_TRI AS VARCHAR2(4000)) END) AS "2. Vật tư văn phòng, công cụ, dụng cụ",
    MAX(CASE WHEN bsc.TEN_COT=N'Số đầu năm' AND bsh.MA_HANG = '27' THEN CAST(gt.GIA_TRI AS VARCHAR2(4000)) END) AS "3. Chi phí trả trước ngắn hạn",
    MAX(CASE WHEN bsc.TEN_COT=N'Số đầu năm' AND bsh.MA_HANG = '28' THEN CAST(gt.GIA_TRI AS VARCHAR2(4000)) END) AS "4. Cầm cố, thế chấp, ký quỹ, ký cược ngắn hạn",
    MAX(CASE WHEN bsc.TEN_COT=N'Số đầu năm' AND bsh.MA_HANG = '29' THEN CAST(gt.GIA_TRI AS VARCHAR2(4000)) END) AS "5. Thuế giá trị gia tăng được khấu trừ",
    MAX(CASE WHEN bsc.TEN_COT=N'Số đầu năm' AND bsh.MA_HANG = '30' THEN CAST(gt.GIA_TRI AS VARCHAR2(4000)) END) AS "6. Thuế và các khoản khác phải thu Nhà nước",
    MAX(CASE WHEN bsc.TEN_COT=N'Số đầu năm' AND bsh.MA_HANG = '31' THEN CAST(gt.GIA_TRI AS VARCHAR2(4000)) END) AS "7. Tài sản ngắn hạn khác",
    MAX(CASE WHEN bsc.TEN_COT=N'Số đầu năm' AND bsh.MA_HANG = '32' THEN CAST(gt.GIA_TRI AS VARCHAR2(4000)) END) AS "8. Giao dịch mua bán lại trái phiếu Chính phủ",
    MAX(CASE WHEN bsc.TEN_COT=N'Số đầu năm' AND bsh.MA_HANG = '33' THEN CAST(gt.GIA_TRI AS VARCHAR2(4000)) END) AS "9. Dự phòng suy giảm giá trị tài sản ngắn hạn khác",
    MAX(CASE WHEN bsc.TEN_COT=N'Số đầu năm' AND bsh.MA_HANG = '34' THEN CAST(gt.GIA_TRI AS VARCHAR2(4000)) END) AS "B. TÀI SẢN DÀI HẠN (200 = 210 + 220 + 230 + 240 + 250 - 260)",
    MAX(CASE WHEN bsc.TEN_COT=N'Số đầu năm' AND bsh.MA_HANG = '35' THEN CAST(gt.GIA_TRI AS VARCHAR2(4000)) END) AS "I. Tài sản tài chính dài hạn",
    MAX(CASE WHEN bsc.TEN_COT=N'Số đầu năm' AND bsh.MA_HANG = '36' THEN CAST(gt.GIA_TRI AS VARCHAR2(4000)) END) AS "1. Các khoản phải thu dài hạn",
    MAX(CASE WHEN bsc.TEN_COT=N'Số đầu năm' AND bsh.MA_HANG = '37' THEN CAST(gt.GIA_TRI AS VARCHAR2(4000)) END) AS "2. Các khoản đầu tư",
    MAX(CASE WHEN bsc.TEN_COT=N'Số đầu năm' AND bsh.MA_HANG = '38' THEN CAST(gt.GIA_TRI AS VARCHAR2(4000)) END) AS "2.1.Các khoản đầu tư nắm giữ đến ngày đáo hạn",
    MAX(CASE WHEN bsc.TEN_COT=N'Số đầu năm' AND bsh.MA_HANG = '39' THEN CAST(gt.GIA_TRI AS VARCHAR2(4000)) END) AS "2.2. Đầu tư vào công ty con ",
    MAX(CASE WHEN bsc.TEN_COT=N'Số đầu năm' AND bsh.MA_HANG = '40' THEN CAST(gt.GIA_TRI AS VARCHAR2(4000)) END) AS "2.3. Đầu tư vào công ty liên doanh, liên kết ",
    MAX(CASE WHEN bsc.TEN_COT=N'Số đầu năm' AND bsh.MA_HANG = '41' THEN CAST(gt.GIA_TRI AS VARCHAR2(4000)) END) AS "2.4. Đầu tư dài hạn khác",
    MAX(CASE WHEN bsc.TEN_COT=N'Số đầu năm' AND bsh.MA_HANG = '42' THEN CAST(gt.GIA_TRI AS VARCHAR2(4000)) END) AS "3. Dự phòng suy giảm tài sản tài chính dài hạn",
    MAX(CASE WHEN bsc.TEN_COT=N'Số đầu năm' AND bsh.MA_HANG = '43' THEN CAST(gt.GIA_TRI AS VARCHAR2(4000)) END) AS "II. Tài sản cố định",
    MAX(CASE WHEN bsc.TEN_COT=N'Số đầu năm' AND bsh.MA_HANG = '44' THEN CAST(gt.GIA_TRI AS VARCHAR2(4000)) END) AS "1. Tài sản cố định hữu hình",
    MAX(CASE WHEN bsc.TEN_COT=N'Số đầu năm' AND bsh.MA_HANG = '45' THEN CAST(gt.GIA_TRI AS VARCHAR2(4000)) END) AS "- Nguyên giá",
    MAX(CASE WHEN bsc.TEN_COT=N'Số đầu năm' AND bsh.MA_HANG = '46' THEN CAST(gt.GIA_TRI AS VARCHAR2(4000)) END) AS "- Giá trị hao mòn luỹ kế (*)",
    MAX(CASE WHEN bsc.TEN_COT=N'Số đầu năm' AND bsh.MA_HANG = '47' THEN CAST(gt.GIA_TRI AS VARCHAR2(4000)) END) AS "- Đánh giá TSCĐHH theo giá trị hợp lý",
    MAX(CASE WHEN bsc.TEN_COT=N'Số đầu năm' AND bsh.MA_HANG = '48' THEN CAST(gt.GIA_TRI AS VARCHAR2(4000)) END) AS "2. Tài sản cố định thuê tài chính",
    MAX(CASE WHEN bsc.TEN_COT=N'Số đầu năm' AND bsh.MA_HANG = '49' THEN CAST(gt.GIA_TRI AS VARCHAR2(4000)) END) AS "- Nguyên giá",
    MAX(CASE WHEN bsc.TEN_COT=N'Số đầu năm' AND bsh.MA_HANG = '50' THEN CAST(gt.GIA_TRI AS VARCHAR2(4000)) END) AS "- Giá trị hao mòn luỹ kế (*)",
    MAX(CASE WHEN bsc.TEN_COT=N'Số đầu năm' AND bsh.MA_HANG = '51' THEN CAST(gt.GIA_TRI AS VARCHAR2(4000)) END) AS "- Đánh giá TSCĐTTC theo giá trị hợp lý",
    MAX(CASE WHEN bsc.TEN_COT=N'Số đầu năm' AND bsh.MA_HANG = '52' THEN CAST(gt.GIA_TRI AS VARCHAR2(4000)) END) AS "3. Tài sản cố định vô hình",
    MAX(CASE WHEN bsc.TEN_COT=N'Số đầu năm' AND bsh.MA_HANG = '53' THEN CAST(gt.GIA_TRI AS VARCHAR2(4000)) END) AS "- Nguyên giá",
    MAX(CASE WHEN bsc.TEN_COT=N'Số đầu năm' AND bsh.MA_HANG = '54' THEN CAST(gt.GIA_TRI AS VARCHAR2(4000)) END) AS "- Giá trị hao mòn luỹ kế (*)",
    MAX(CASE WHEN bsc.TEN_COT=N'Số đầu năm' AND bsh.MA_HANG = '55' THEN CAST(gt.GIA_TRI AS VARCHAR2(4000)) END) AS "- Đánh giá TSCĐVH theo giá trị hợp lý",
    MAX(CASE WHEN bsc.TEN_COT=N'Số đầu năm' AND bsh.MA_HANG = '56' THEN CAST(gt.GIA_TRI AS VARCHAR2(4000)) END) AS "III. Bất động sản đầu tư",
    MAX(CASE WHEN bsc.TEN_COT=N'Số đầu năm' AND bsh.MA_HANG = '57' THEN CAST(gt.GIA_TRI AS VARCHAR2(4000)) END) AS "- Nguyên giá",
    MAX(CASE WHEN bsc.TEN_COT=N'Số đầu năm' AND bsh.MA_HANG = '58' THEN CAST(gt.GIA_TRI AS VARCHAR2(4000)) END) AS "- Giá trị hao mòn luỹ kế (*)",
    MAX(CASE WHEN bsc.TEN_COT=N'Số đầu năm' AND bsh.MA_HANG = '59' THEN CAST(gt.GIA_TRI AS VARCHAR2(4000)) END) AS "- Đánh giá TSCĐVH theo giá trị hợp lý",
    MAX(CASE WHEN bsc.TEN_COT=N'Số đầu năm' AND bsh.MA_HANG = '60' THEN CAST(gt.GIA_TRI AS VARCHAR2(4000)) END) AS "IV.Chi phí xây dựng cơ bản dở dang",
    MAX(CASE WHEN bsc.TEN_COT=N'Số đầu năm' AND bsh.MA_HANG = '61' THEN CAST(gt.GIA_TRI AS VARCHAR2(4000)) END) AS "V. Tài sản dài hạn khác",
    MAX(CASE WHEN bsc.TEN_COT=N'Số đầu năm' AND bsh.MA_HANG = '62' THEN CAST(gt.GIA_TRI AS VARCHAR2(4000)) END) AS "1. Cầm cố, thế chấp, ký quỹ, ký cược dài hạn",
    MAX(CASE WHEN bsc.TEN_COT=N'Số đầu năm' AND bsh.MA_HANG = '63' THEN CAST(gt.GIA_TRI AS VARCHAR2(4000)) END) AS "2. Chi phí trả trước dài hạn",
    MAX(CASE WHEN bsc.TEN_COT=N'Số đầu năm' AND bsh.MA_HANG = '64' THEN CAST(gt.GIA_TRI AS VARCHAR2(4000)) END) AS "3. Tài sản thuế thu nhập hoãn lại",
    MAX(CASE WHEN bsc.TEN_COT=N'Số đầu năm' AND bsh.MA_HANG = '65' THEN CAST(gt.GIA_TRI AS VARCHAR2(4000)) END) AS "4. Tiền nộp Quỹ Hỗ trợ thanh toán",
    MAX(CASE WHEN bsc.TEN_COT=N'Số đầu năm' AND bsh.MA_HANG = '66' THEN CAST(gt.GIA_TRI AS VARCHAR2(4000)) END) AS "5. Tài sản dài hạn khác",
    MAX(CASE WHEN bsc.TEN_COT=N'Số đầu năm' AND bsh.MA_HANG = '67' THEN CAST(gt.GIA_TRI AS VARCHAR2(4000)) END) AS "VI. Dự phòng suy giảm giá trị tài sản dài hạn",
    MAX(CASE WHEN bsc.TEN_COT=N'Số đầu năm' AND bsh.MA_HANG = '68' THEN CAST(gt.GIA_TRI AS VARCHAR2(4000)) END) AS "TỔNG CỘNG TÀI SẢN",
    MAX(CASE WHEN bsc.TEN_COT=N'Số đầu năm' AND bsh.MA_HANG = '69' THEN CAST(gt.GIA_TRI AS VARCHAR2(4000)) END) AS "(270 = 100 + 200)",
    MAX(CASE WHEN bsc.TEN_COT=N'Số đầu năm' AND bsh.MA_HANG = '70' THEN CAST(gt.GIA_TRI AS VARCHAR2(4000)) END) AS "C. NỢ PHẢI TRẢ (300 = 310 + 340)",
    MAX(CASE WHEN bsc.TEN_COT=N'Số đầu năm' AND bsh.MA_HANG = '71' THEN CAST(gt.GIA_TRI AS VARCHAR2(4000)) END) AS "I. Nợ phải trả ngắn hạn",
    MAX(CASE WHEN bsc.TEN_COT=N'Số đầu năm' AND bsh.MA_HANG = '72' THEN CAST(gt.GIA_TRI AS VARCHAR2(4000)) END) AS "1. Vay và nợ thuê tài chính ngắn hạn",
    MAX(CASE WHEN bsc.TEN_COT=N'Số đầu năm' AND bsh.MA_HANG = '73' THEN CAST(gt.GIA_TRI AS VARCHAR2(4000)) END) AS "1.1. Vay ngắn hạn",
    MAX(CASE WHEN bsc.TEN_COT=N'Số đầu năm' AND bsh.MA_HANG = '74' THEN CAST(gt.GIA_TRI AS VARCHAR2(4000)) END) AS "1.2. Nợ thuê tài chính ngắn hạn",
    MAX(CASE WHEN bsc.TEN_COT=N'Số đầu năm' AND bsh.MA_HANG = '75' THEN CAST(gt.GIA_TRI AS VARCHAR2(4000)) END) AS "2. Vay tài sản tài chính ngắn hạn",
    MAX(CASE WHEN bsc.TEN_COT=N'Số đầu năm' AND bsh.MA_HANG = '76' THEN CAST(gt.GIA_TRI AS VARCHAR2(4000)) END) AS "3. Trái phiếu chuyển đổi ngắn hạn - Cấu phần nợ",
    MAX(CASE WHEN bsc.TEN_COT=N'Số đầu năm' AND bsh.MA_HANG = '77' THEN CAST(gt.GIA_TRI AS VARCHAR2(4000)) END) AS "4. Trái phiếu phát hành ngắn hạn",
    MAX(CASE WHEN bsc.TEN_COT=N'Số đầu năm' AND bsh.MA_HANG = '78' THEN CAST(gt.GIA_TRI AS VARCHAR2(4000)) END) AS "5. Vay Quỹ Hỗ trợ thanh toán",
    MAX(CASE WHEN bsc.TEN_COT=N'Số đầu năm' AND bsh.MA_HANG = '79' THEN CAST(gt.GIA_TRI AS VARCHAR2(4000)) END) AS "6. Phải trả hoạt động giao dịch chứng khoán",
    MAX(CASE WHEN bsc.TEN_COT=N'Số đầu năm' AND bsh.MA_HANG = '80' THEN CAST(gt.GIA_TRI AS VARCHAR2(4000)) END) AS "7. Phải trả về lỗi giao dịch các tài sản tài chính",
    MAX(CASE WHEN bsc.TEN_COT=N'Số đầu năm' AND bsh.MA_HANG = '81' THEN CAST(gt.GIA_TRI AS VARCHAR2(4000)) END) AS "8. Phải trả người bán ngắn hạn",
    MAX(CASE WHEN bsc.TEN_COT=N'Số đầu năm' AND bsh.MA_HANG = '82' THEN CAST(gt.GIA_TRI AS VARCHAR2(4000)) END) AS "9. Người mua trả tiền trước ngắn hạn",
    MAX(CASE WHEN bsc.TEN_COT=N'Số đầu năm' AND bsh.MA_HANG = '83' THEN CAST(gt.GIA_TRI AS VARCHAR2(4000)) END) AS "10. Thuế và các khoản phải nộp Nhà nước",
    MAX(CASE WHEN bsc.TEN_COT=N'Số đầu năm' AND bsh.MA_HANG = '84' THEN CAST(gt.GIA_TRI AS VARCHAR2(4000)) END) AS "11. Phải trả người lao động",
    MAX(CASE WHEN bsc.TEN_COT=N'Số đầu năm' AND bsh.MA_HANG = '85' THEN CAST(gt.GIA_TRI AS VARCHAR2(4000)) END) AS "12. Các khoản trích nộp phúc lợi nhân viên",
    MAX(CASE WHEN bsc.TEN_COT=N'Số đầu năm' AND bsh.MA_HANG = '86' THEN CAST(gt.GIA_TRI AS VARCHAR2(4000)) END) AS "13. Chi phí phải trả ngắn hạn",
    MAX(CASE WHEN bsc.TEN_COT=N'Số đầu năm' AND bsh.MA_HANG = '87' THEN CAST(gt.GIA_TRI AS VARCHAR2(4000)) END) AS "14. Phải trả nội bộ ngắn hạn",
    MAX(CASE WHEN bsc.TEN_COT=N'Số đầu năm' AND bsh.MA_HANG = '88' THEN CAST(gt.GIA_TRI AS VARCHAR2(4000)) END) AS "15. Doanh thu chưa thực hiện ngắn hạn",
    MAX(CASE WHEN bsc.TEN_COT=N'Số đầu năm' AND bsh.MA_HANG = '89' THEN CAST(gt.GIA_TRI AS VARCHAR2(4000)) END) AS "16. Nhận ký quỹ, ký cược ngắn hạn",
    MAX(CASE WHEN bsc.TEN_COT=N'Số đầu năm' AND bsh.MA_HANG = '90' THEN CAST(gt.GIA_TRI AS VARCHAR2(4000)) END) AS "17. Các khoản phải trả, phải nộp khác ngắn hạn",
    MAX(CASE WHEN bsc.TEN_COT=N'Số đầu năm' AND bsh.MA_HANG = '91' THEN CAST(gt.GIA_TRI AS VARCHAR2(4000)) END) AS "18. Dự phòng phải trả ngắn hạn",
    MAX(CASE WHEN bsc.TEN_COT=N'Số đầu năm' AND bsh.MA_HANG = '92' THEN CAST(gt.GIA_TRI AS VARCHAR2(4000)) END) AS "19. Quỹ khen thưởng, phúc lợi",
    MAX(CASE WHEN bsc.TEN_COT=N'Số đầu năm' AND bsh.MA_HANG = '93' THEN CAST(gt.GIA_TRI AS VARCHAR2(4000)) END) AS "20. Giao dịch mua bán lại trái phiếu Chính phủ",
    MAX(CASE WHEN bsc.TEN_COT=N'Số đầu năm' AND bsh.MA_HANG = '94' THEN CAST(gt.GIA_TRI AS VARCHAR2(4000)) END) AS "II. Nợ phải trả dài hạn",
    MAX(CASE WHEN bsc.TEN_COT=N'Số đầu năm' AND bsh.MA_HANG = '95' THEN CAST(gt.GIA_TRI AS VARCHAR2(4000)) END) AS "1. Vay và nợ thuê tài chính dài hạn",
    MAX(CASE WHEN bsc.TEN_COT=N'Số đầu năm' AND bsh.MA_HANG = '96' THEN CAST(gt.GIA_TRI AS VARCHAR2(4000)) END) AS "1.1.Vay dài hạn",
    MAX(CASE WHEN bsc.TEN_COT=N'Số đầu năm' AND bsh.MA_HANG = '97' THEN CAST(gt.GIA_TRI AS VARCHAR2(4000)) END) AS "1.2. Nợ thuê tài chính dài hạn",
    MAX(CASE WHEN bsc.TEN_COT=N'Số đầu năm' AND bsh.MA_HANG = '98' THEN CAST(gt.GIA_TRI AS VARCHAR2(4000)) END) AS "2. Vay tài sản tài chính dài hạn",
    MAX(CASE WHEN bsc.TEN_COT=N'Số đầu năm' AND bsh.MA_HANG = '99' THEN CAST(gt.GIA_TRI AS VARCHAR2(4000)) END) AS "3. Trái phiếu chuyển đổi dài hạn - Cấu phần nợ",
    MAX(CASE WHEN bsc.TEN_COT=N'Số đầu năm' AND bsh.MA_HANG = '100' THEN CAST(gt.GIA_TRI AS VARCHAR2(4000)) END) AS "4. Trái phiếu phát hành dài hạn",
    MAX(CASE WHEN bsc.TEN_COT=N'Số đầu năm' AND bsh.MA_HANG = '101' THEN CAST(gt.GIA_TRI AS VARCHAR2(4000)) END) AS "5. Phải trả người bán dài hạn",
    MAX(CASE WHEN bsc.TEN_COT=N'Số đầu năm' AND bsh.MA_HANG = '102' THEN CAST(gt.GIA_TRI AS VARCHAR2(4000)) END) AS "6. Người mua trả tiền trước dài hạn",
    MAX(CASE WHEN bsc.TEN_COT=N'Số đầu năm' AND bsh.MA_HANG = '103' THEN CAST(gt.GIA_TRI AS VARCHAR2(4000)) END) AS "7. Chi phí phải trả dài hạn",
    MAX(CASE WHEN bsc.TEN_COT=N'Số đầu năm' AND bsh.MA_HANG = '104' THEN CAST(gt.GIA_TRI AS VARCHAR2(4000)) END) AS "8. Phải trả nội bộ dài hạn",
    MAX(CASE WHEN bsc.TEN_COT=N'Số đầu năm' AND bsh.MA_HANG = '105' THEN CAST(gt.GIA_TRI AS VARCHAR2(4000)) END) AS "9. Doanh thu chưa thực hiện dài hạn",
    MAX(CASE WHEN bsc.TEN_COT=N'Số đầu năm' AND bsh.MA_HANG = '106' THEN CAST(gt.GIA_TRI AS VARCHAR2(4000)) END) AS "10. Nhận ký quỹ, ký cược dài hạn",
    MAX(CASE WHEN bsc.TEN_COT=N'Số đầu năm' AND bsh.MA_HANG = '107' THEN CAST(gt.GIA_TRI AS VARCHAR2(4000)) END) AS "11. Các khoản phải trả, phải nộp khác dài hạn",
    MAX(CASE WHEN bsc.TEN_COT=N'Số đầu năm' AND bsh.MA_HANG = '108' THEN CAST(gt.GIA_TRI AS VARCHAR2(4000)) END) AS "12. Dự phòng phải trả dài hạn",
    MAX(CASE WHEN bsc.TEN_COT=N'Số đầu năm' AND bsh.MA_HANG = '109' THEN CAST(gt.GIA_TRI AS VARCHAR2(4000)) END) AS "13. Quỹ bảo vệ Nhà đầu tư",
    MAX(CASE WHEN bsc.TEN_COT=N'Số đầu năm' AND bsh.MA_HANG = '110' THEN CAST(gt.GIA_TRI AS VARCHAR2(4000)) END) AS "14. Thuế thu nhập hoãn lại phải trả",
    MAX(CASE WHEN bsc.TEN_COT=N'Số đầu năm' AND bsh.MA_HANG = '111' THEN CAST(gt.GIA_TRI AS VARCHAR2(4000)) END) AS "15. Quỹ phát triển khoa học và công nghệ",
    MAX(CASE WHEN bsc.TEN_COT=N'Số đầu năm' AND bsh.MA_HANG = '112' THEN CAST(gt.GIA_TRI AS VARCHAR2(4000)) END) AS "D. VỐN CHỦ SỞ HỮU",
    MAX(CASE WHEN bsc.TEN_COT=N'Số đầu năm' AND bsh.MA_HANG = '113' THEN CAST(gt.GIA_TRI AS VARCHAR2(4000)) END) AS "(400 = 410 + 420)",
    MAX(CASE WHEN bsc.TEN_COT=N'Số đầu năm' AND bsh.MA_HANG = '114' THEN CAST(gt.GIA_TRI AS VARCHAR2(4000)) END) AS "I. Vốn chủ sở hữu",
    MAX(CASE WHEN bsc.TEN_COT=N'Số đầu năm' AND bsh.MA_HANG = '115' THEN CAST(gt.GIA_TRI AS VARCHAR2(4000)) END) AS "1. Vốn đầu tư của chủ sở hữu",
    MAX(CASE WHEN bsc.TEN_COT=N'Số đầu năm' AND bsh.MA_HANG = '116' THEN CAST(gt.GIA_TRI AS VARCHAR2(4000)) END) AS "1.1. Vốn góp của chủ sở hữu",
    MAX(CASE WHEN bsc.TEN_COT=N'Số đầu năm' AND bsh.MA_HANG = '117' THEN CAST(gt.GIA_TRI AS VARCHAR2(4000)) END) AS "a. Cổ phiếu phổ thông có quyền biểu quyết",
    MAX(CASE WHEN bsc.TEN_COT=N'Số đầu năm' AND bsh.MA_HANG = '118' THEN CAST(gt.GIA_TRI AS VARCHAR2(4000)) END) AS "b. Cổ phiếu ưu đãi",
    MAX(CASE WHEN bsc.TEN_COT=N'Số đầu năm' AND bsh.MA_HANG = '119' THEN CAST(gt.GIA_TRI AS VARCHAR2(4000)) END) AS "1.2. Thặng dư vốn cổ phần",
    MAX(CASE WHEN bsc.TEN_COT=N'Số đầu năm' AND bsh.MA_HANG = '120' THEN CAST(gt.GIA_TRI AS VARCHAR2(4000)) END) AS "1.3. Quyền chọn chuyển đổi trái phiếu - Cấu phần vốn",
    MAX(CASE WHEN bsc.TEN_COT=N'Số đầu năm' AND bsh.MA_HANG = '121' THEN CAST(gt.GIA_TRI AS VARCHAR2(4000)) END) AS "1.4. Vốn khác của chủ sở hữu",
    MAX(CASE WHEN bsc.TEN_COT=N'Số đầu năm' AND bsh.MA_HANG = '122' THEN CAST(gt.GIA_TRI AS VARCHAR2(4000)) END) AS "1.5. Cổ phiếu quỹ (*)",
    MAX(CASE WHEN bsc.TEN_COT=N'Số đầu năm' AND bsh.MA_HANG = '123' THEN CAST(gt.GIA_TRI AS VARCHAR2(4000)) END) AS "2. Chênh lệch đánh giá tài sản theo giá trị hợp lý",
    MAX(CASE WHEN bsc.TEN_COT=N'Số đầu năm' AND bsh.MA_HANG = '124' THEN CAST(gt.GIA_TRI AS VARCHAR2(4000)) END) AS "3. Chênh lệch tỷ giá hối đoái",
    MAX(CASE WHEN bsc.TEN_COT=N'Số đầu năm' AND bsh.MA_HANG = '125' THEN CAST(gt.GIA_TRI AS VARCHAR2(4000)) END) AS "4. Quỹ dự trữ bổ sung vốn  điều lệ",
    MAX(CASE WHEN bsc.TEN_COT=N'Số đầu năm' AND bsh.MA_HANG = '126' THEN CAST(gt.GIA_TRI AS VARCHAR2(4000)) END) AS "5. Quỹ dự phòng tài chính và rủi ro nghiệp vụ",
    MAX(CASE WHEN bsc.TEN_COT=N'Số đầu năm' AND bsh.MA_HANG = '127' THEN CAST(gt.GIA_TRI AS VARCHAR2(4000)) END) AS "6. Các Quỹ khác thuộc vốn chủ sở hữu",
    MAX(CASE WHEN bsc.TEN_COT=N'Số đầu năm' AND bsh.MA_HANG = '128' THEN CAST(gt.GIA_TRI AS VARCHAR2(4000)) END) AS "7. Lợi nhuận chưa phân phối",
    MAX(CASE WHEN bsc.TEN_COT=N'Số đầu năm' AND bsh.MA_HANG = '129' THEN CAST(gt.GIA_TRI AS VARCHAR2(4000)) END) AS "7.1. Lợi nhuận sau thuế đã thực hiện",
    MAX(CASE WHEN bsc.TEN_COT=N'Số đầu năm' AND bsh.MA_HANG = '130' THEN CAST(gt.GIA_TRI AS VARCHAR2(4000)) END) AS "7.2. Lợi nhuận chưa thực hiện",
    MAX(CASE WHEN bsc.TEN_COT=N'Số đầu năm' AND bsh.MA_HANG = '131' THEN CAST(gt.GIA_TRI AS VARCHAR2(4000)) END) AS "II. Nguồn kinh phí và quỹ khác ",
    MAX(CASE WHEN bsc.TEN_COT=N'Số đầu năm' AND bsh.MA_HANG = '132' THEN CAST(gt.GIA_TRI AS VARCHAR2(4000)) END) AS "TỔNG CỘNG NỢ VÀ VỐN CHỦ SỞ HỮU",
    MAX(CASE WHEN bsc.TEN_COT=N'Số đầu năm' AND bsh.MA_HANG = '133' THEN CAST(gt.GIA_TRI AS VARCHAR2(4000)) END) AS "(440 = 300 + 400)"
FROM SCMS.BC_THANH_VIEN btv
JOIN SCMS.BM_BAO_CAO bm ON bm.ID = btv.BM_BAO_CAO_ID
JOIN SCMS.BC_BAO_CAO_GT gt ON gt.BC_THANH_VIEN_ID = btv.ID
JOIN SCMS.BM_BAO_CAO_HANG bsh ON bsh.ID = gt.BM_SHEET_HANG_ID
JOIN SCMS.BM_BAO_CAO_COT bsc ON bsc.BM_SHEET_ID = 5894
--                               AND bsc.TEN_COT = gt.TEN_COT
WHERE bm.MA_BAO_CAO LIKE 'BCTCRLCTCK'
  AND btv.TRANG_THAI IN (2, 3)
GROUP BY btv.ID, btv.NGAY_SO_LIEU
ORDER BY btv.NGAY_SO_LIEU DESC;</t>
        </is>
      </c>
      <c r="U3115" s="106" t="inlineStr">
        <is>
          <t>Phần tiếp của câu query</t>
        </is>
      </c>
      <c r="V3115" s="22" t="n"/>
      <c r="W3115" s="22" t="n"/>
      <c r="X3115" s="22" t="n"/>
      <c r="Y3115" s="6" t="n"/>
      <c r="Z3115" s="22" t="n"/>
      <c r="AA3115" s="22" t="n"/>
      <c r="AB3115" s="22" t="n"/>
      <c r="AC3115" s="22" t="n"/>
      <c r="AD3115" s="22" t="n"/>
      <c r="AE3115" s="22" t="n"/>
    </row>
    <row r="3116" ht="98" customHeight="1" s="380">
      <c r="A3116" s="144" t="n">
        <v>123</v>
      </c>
      <c r="B3116" s="390" t="n"/>
      <c r="C3116" s="390" t="inlineStr">
        <is>
          <t>Báo cáo tài chính quý, soát xét bán niên, kiểm toán năm - Chi nhánh công ty chứng khoán nước ngoài tại Việt Nam &gt;&gt; Báo cáo tình hình tài chính riêng</t>
        </is>
      </c>
      <c r="D3116" s="390" t="inlineStr">
        <is>
          <t>- Đánh giá TSCĐHH theo giá trị hợp lý</t>
        </is>
      </c>
      <c r="E3116" s="401" t="inlineStr">
        <is>
          <t xml:space="preserve">223b
</t>
        </is>
      </c>
      <c r="F3116" s="390" t="inlineStr">
        <is>
          <t>Data Explorer</t>
        </is>
      </c>
      <c r="G3116" s="390" t="inlineStr">
        <is>
          <t>Chỉ tiêu cơ sở</t>
        </is>
      </c>
      <c r="H3116" s="390" t="inlineStr">
        <is>
          <t>Dễ</t>
        </is>
      </c>
      <c r="I3116" s="390" t="inlineStr">
        <is>
          <t>Ngày, CTCK</t>
        </is>
      </c>
      <c r="J3116" s="401" t="inlineStr">
        <is>
          <t>SCMS</t>
        </is>
      </c>
      <c r="K3116" s="401" t="n"/>
      <c r="L3116" s="401" t="inlineStr">
        <is>
          <t>X</t>
        </is>
      </c>
      <c r="M3116" s="401" t="n"/>
      <c r="N3116" s="401" t="inlineStr">
        <is>
          <t>Done</t>
        </is>
      </c>
      <c r="O3116" s="401" t="n"/>
      <c r="P3116" s="401" t="n"/>
      <c r="S3116" s="401" t="n"/>
      <c r="U3116" s="401" t="n"/>
      <c r="V3116" s="22" t="n"/>
      <c r="W3116" s="22" t="n"/>
      <c r="X3116" s="22" t="n"/>
      <c r="Y3116" s="6" t="n"/>
      <c r="Z3116" s="22" t="n"/>
      <c r="AA3116" s="22" t="n"/>
      <c r="AB3116" s="22" t="n"/>
      <c r="AC3116" s="22" t="n"/>
      <c r="AD3116" s="22" t="n"/>
      <c r="AE3116" s="22" t="n"/>
    </row>
    <row r="3117" ht="98" customHeight="1" s="380">
      <c r="A3117" s="144" t="n">
        <v>123</v>
      </c>
      <c r="B3117" s="390" t="n"/>
      <c r="C3117" s="390" t="inlineStr">
        <is>
          <t>Báo cáo tài chính quý, soát xét bán niên, kiểm toán năm - Chi nhánh công ty chứng khoán nước ngoài tại Việt Nam &gt;&gt; Báo cáo tình hình tài chính riêng</t>
        </is>
      </c>
      <c r="D3117" s="390" t="inlineStr">
        <is>
          <t>2. Tài sản cố định thuê tài chính</t>
        </is>
      </c>
      <c r="E3117" s="151" t="n">
        <v>224</v>
      </c>
      <c r="F3117" s="390" t="inlineStr">
        <is>
          <t>Data Explorer</t>
        </is>
      </c>
      <c r="G3117" s="390" t="inlineStr">
        <is>
          <t>Chỉ tiêu cơ sở</t>
        </is>
      </c>
      <c r="H3117" s="390" t="inlineStr">
        <is>
          <t>Dễ</t>
        </is>
      </c>
      <c r="I3117" s="390" t="inlineStr">
        <is>
          <t>Ngày, CTCK</t>
        </is>
      </c>
      <c r="J3117" s="401" t="inlineStr">
        <is>
          <t>SCMS</t>
        </is>
      </c>
      <c r="K3117" s="401" t="n"/>
      <c r="L3117" s="401" t="inlineStr">
        <is>
          <t>X</t>
        </is>
      </c>
      <c r="M3117" s="401" t="n"/>
      <c r="N3117" s="401" t="inlineStr">
        <is>
          <t>Done</t>
        </is>
      </c>
      <c r="O3117" s="401" t="n"/>
      <c r="P3117" s="401" t="n"/>
      <c r="S3117" s="401" t="n"/>
      <c r="U3117" s="401" t="n"/>
      <c r="V3117" s="22" t="n"/>
      <c r="W3117" s="22" t="n"/>
      <c r="X3117" s="22" t="n"/>
      <c r="Y3117" s="395" t="n"/>
      <c r="Z3117" s="22" t="n"/>
      <c r="AA3117" s="22" t="n"/>
      <c r="AB3117" s="22" t="n"/>
      <c r="AC3117" s="22" t="n"/>
      <c r="AD3117" s="22" t="n"/>
      <c r="AE3117" s="22" t="n"/>
    </row>
    <row r="3118" ht="98" customHeight="1" s="380">
      <c r="A3118" s="144" t="n">
        <v>123</v>
      </c>
      <c r="B3118" s="390" t="n"/>
      <c r="C3118" s="390" t="inlineStr">
        <is>
          <t>Báo cáo tài chính quý, soát xét bán niên, kiểm toán năm - Chi nhánh công ty chứng khoán nước ngoài tại Việt Nam &gt;&gt; Báo cáo tình hình tài chính riêng</t>
        </is>
      </c>
      <c r="D3118" s="390" t="inlineStr">
        <is>
          <t>- Nguyên giá</t>
        </is>
      </c>
      <c r="E3118" s="151" t="n">
        <v>225</v>
      </c>
      <c r="F3118" s="390" t="inlineStr">
        <is>
          <t>Data Explorer</t>
        </is>
      </c>
      <c r="G3118" s="390" t="inlineStr">
        <is>
          <t>Chỉ tiêu cơ sở</t>
        </is>
      </c>
      <c r="H3118" s="390" t="inlineStr">
        <is>
          <t>Dễ</t>
        </is>
      </c>
      <c r="I3118" s="390" t="inlineStr">
        <is>
          <t>Ngày, CTCK</t>
        </is>
      </c>
      <c r="J3118" s="401" t="inlineStr">
        <is>
          <t>SCMS</t>
        </is>
      </c>
      <c r="K3118" s="401" t="n"/>
      <c r="L3118" s="401" t="inlineStr">
        <is>
          <t>X</t>
        </is>
      </c>
      <c r="M3118" s="401" t="n"/>
      <c r="N3118" s="401" t="inlineStr">
        <is>
          <t>Done</t>
        </is>
      </c>
      <c r="O3118" s="401" t="n"/>
      <c r="P3118" s="401" t="n"/>
      <c r="S3118" s="401" t="n"/>
      <c r="U3118" s="401" t="n"/>
      <c r="V3118" s="22" t="n"/>
      <c r="W3118" s="22" t="n"/>
      <c r="X3118" s="22" t="n"/>
      <c r="Y3118" s="395" t="n"/>
      <c r="Z3118" s="22" t="n"/>
      <c r="AA3118" s="22" t="n"/>
      <c r="AB3118" s="22" t="n"/>
      <c r="AC3118" s="22" t="n"/>
      <c r="AD3118" s="22" t="n"/>
      <c r="AE3118" s="22" t="n"/>
    </row>
    <row r="3119" ht="98" customHeight="1" s="380">
      <c r="A3119" s="144" t="n">
        <v>123</v>
      </c>
      <c r="B3119" s="390" t="n"/>
      <c r="C3119" s="390" t="inlineStr">
        <is>
          <t>Báo cáo tài chính quý, soát xét bán niên, kiểm toán năm - Chi nhánh công ty chứng khoán nước ngoài tại Việt Nam &gt;&gt; Báo cáo tình hình tài chính riêng</t>
        </is>
      </c>
      <c r="D3119" s="390" t="inlineStr">
        <is>
          <t>- Giá trị hao mòn luỹ kế (*)</t>
        </is>
      </c>
      <c r="E3119" s="401" t="inlineStr">
        <is>
          <t xml:space="preserve">226a
</t>
        </is>
      </c>
      <c r="F3119" s="390" t="inlineStr">
        <is>
          <t>Data Explorer</t>
        </is>
      </c>
      <c r="G3119" s="390" t="inlineStr">
        <is>
          <t>Chỉ tiêu cơ sở</t>
        </is>
      </c>
      <c r="H3119" s="390" t="inlineStr">
        <is>
          <t>Dễ</t>
        </is>
      </c>
      <c r="I3119" s="390" t="inlineStr">
        <is>
          <t>Ngày, CTCK</t>
        </is>
      </c>
      <c r="J3119" s="401" t="inlineStr">
        <is>
          <t>SCMS</t>
        </is>
      </c>
      <c r="K3119" s="401" t="n"/>
      <c r="L3119" s="401" t="inlineStr">
        <is>
          <t>X</t>
        </is>
      </c>
      <c r="M3119" s="401" t="n"/>
      <c r="N3119" s="401" t="inlineStr">
        <is>
          <t>Done</t>
        </is>
      </c>
      <c r="O3119" s="401" t="n"/>
      <c r="P3119" s="401" t="n"/>
      <c r="S3119" s="401" t="n"/>
      <c r="U3119" s="401" t="n"/>
      <c r="V3119" s="22" t="n"/>
      <c r="W3119" s="22" t="n"/>
      <c r="X3119" s="22" t="n"/>
      <c r="Y3119" s="395" t="n"/>
      <c r="Z3119" s="22" t="n"/>
      <c r="AA3119" s="22" t="n"/>
      <c r="AB3119" s="22" t="n"/>
      <c r="AC3119" s="22" t="n"/>
      <c r="AD3119" s="22" t="n"/>
      <c r="AE3119" s="22" t="n"/>
    </row>
    <row r="3120" ht="98" customHeight="1" s="380">
      <c r="A3120" s="144" t="n">
        <v>123</v>
      </c>
      <c r="B3120" s="390" t="n"/>
      <c r="C3120" s="390" t="inlineStr">
        <is>
          <t>Báo cáo tài chính quý, soát xét bán niên, kiểm toán năm - Chi nhánh công ty chứng khoán nước ngoài tại Việt Nam &gt;&gt; Báo cáo tình hình tài chính riêng</t>
        </is>
      </c>
      <c r="D3120" s="390" t="inlineStr">
        <is>
          <t>- Đánh giá TSCĐTTC theo giá trị hợp lý</t>
        </is>
      </c>
      <c r="E3120" s="401" t="inlineStr">
        <is>
          <t xml:space="preserve">226b
</t>
        </is>
      </c>
      <c r="F3120" s="390" t="inlineStr">
        <is>
          <t>Data Explorer</t>
        </is>
      </c>
      <c r="G3120" s="390" t="inlineStr">
        <is>
          <t>Chỉ tiêu cơ sở</t>
        </is>
      </c>
      <c r="H3120" s="390" t="inlineStr">
        <is>
          <t>Dễ</t>
        </is>
      </c>
      <c r="I3120" s="390" t="inlineStr">
        <is>
          <t>Ngày, CTCK</t>
        </is>
      </c>
      <c r="J3120" s="401" t="inlineStr">
        <is>
          <t>SCMS</t>
        </is>
      </c>
      <c r="K3120" s="401" t="n"/>
      <c r="L3120" s="401" t="inlineStr">
        <is>
          <t>X</t>
        </is>
      </c>
      <c r="M3120" s="401" t="n"/>
      <c r="N3120" s="401" t="inlineStr">
        <is>
          <t>Done</t>
        </is>
      </c>
      <c r="O3120" s="401" t="n"/>
      <c r="P3120" s="401" t="n"/>
      <c r="S3120" s="401" t="n"/>
      <c r="U3120" s="401" t="n"/>
      <c r="V3120" s="22" t="n"/>
      <c r="W3120" s="22" t="n"/>
      <c r="X3120" s="22" t="n"/>
      <c r="Y3120" s="395" t="n"/>
      <c r="Z3120" s="22" t="n"/>
      <c r="AA3120" s="22" t="n"/>
      <c r="AB3120" s="22" t="n"/>
      <c r="AC3120" s="22" t="n"/>
      <c r="AD3120" s="22" t="n"/>
      <c r="AE3120" s="22" t="n"/>
    </row>
    <row r="3121" ht="98" customHeight="1" s="380">
      <c r="A3121" s="144" t="n">
        <v>123</v>
      </c>
      <c r="B3121" s="390" t="n"/>
      <c r="C3121" s="390" t="inlineStr">
        <is>
          <t>Báo cáo tài chính quý, soát xét bán niên, kiểm toán năm - Chi nhánh công ty chứng khoán nước ngoài tại Việt Nam &gt;&gt; Báo cáo tình hình tài chính riêng</t>
        </is>
      </c>
      <c r="D3121" s="390" t="inlineStr">
        <is>
          <t>3. Tài sản cố định vô hình</t>
        </is>
      </c>
      <c r="E3121" s="151" t="n">
        <v>227</v>
      </c>
      <c r="F3121" s="390" t="inlineStr">
        <is>
          <t>Data Explorer</t>
        </is>
      </c>
      <c r="G3121" s="390" t="inlineStr">
        <is>
          <t>Chỉ tiêu cơ sở</t>
        </is>
      </c>
      <c r="H3121" s="390" t="inlineStr">
        <is>
          <t>Dễ</t>
        </is>
      </c>
      <c r="I3121" s="390" t="inlineStr">
        <is>
          <t>Ngày, CTCK</t>
        </is>
      </c>
      <c r="J3121" s="401" t="inlineStr">
        <is>
          <t>SCMS</t>
        </is>
      </c>
      <c r="K3121" s="401" t="n"/>
      <c r="L3121" s="401" t="inlineStr">
        <is>
          <t>X</t>
        </is>
      </c>
      <c r="M3121" s="401" t="n"/>
      <c r="N3121" s="401" t="inlineStr">
        <is>
          <t>Done</t>
        </is>
      </c>
      <c r="O3121" s="401" t="n"/>
      <c r="P3121" s="401" t="n"/>
      <c r="S3121" s="401" t="n"/>
      <c r="U3121" s="401" t="n"/>
      <c r="V3121" s="22" t="n"/>
      <c r="W3121" s="22" t="n"/>
      <c r="X3121" s="22" t="n"/>
      <c r="Y3121" s="395" t="n"/>
      <c r="Z3121" s="22" t="n"/>
      <c r="AA3121" s="22" t="n"/>
      <c r="AB3121" s="22" t="n"/>
      <c r="AC3121" s="22" t="n"/>
      <c r="AD3121" s="22" t="n"/>
      <c r="AE3121" s="22" t="n"/>
    </row>
    <row r="3122" ht="98" customHeight="1" s="380">
      <c r="A3122" s="144" t="n">
        <v>123</v>
      </c>
      <c r="B3122" s="390" t="n"/>
      <c r="C3122" s="390" t="inlineStr">
        <is>
          <t>Báo cáo tài chính quý, soát xét bán niên, kiểm toán năm - Chi nhánh công ty chứng khoán nước ngoài tại Việt Nam &gt;&gt; Báo cáo tình hình tài chính riêng</t>
        </is>
      </c>
      <c r="D3122" s="390" t="inlineStr">
        <is>
          <t>- Nguyên giá</t>
        </is>
      </c>
      <c r="E3122" s="151" t="n">
        <v>228</v>
      </c>
      <c r="F3122" s="390" t="inlineStr">
        <is>
          <t>Data Explorer</t>
        </is>
      </c>
      <c r="G3122" s="390" t="inlineStr">
        <is>
          <t>Chỉ tiêu cơ sở</t>
        </is>
      </c>
      <c r="H3122" s="390" t="inlineStr">
        <is>
          <t>Dễ</t>
        </is>
      </c>
      <c r="I3122" s="390" t="inlineStr">
        <is>
          <t>Ngày, CTCK</t>
        </is>
      </c>
      <c r="J3122" s="401" t="inlineStr">
        <is>
          <t>SCMS</t>
        </is>
      </c>
      <c r="K3122" s="401" t="n"/>
      <c r="L3122" s="401" t="inlineStr">
        <is>
          <t>X</t>
        </is>
      </c>
      <c r="M3122" s="401" t="n"/>
      <c r="N3122" s="401" t="inlineStr">
        <is>
          <t>Done</t>
        </is>
      </c>
      <c r="O3122" s="401" t="n"/>
      <c r="P3122" s="401" t="n"/>
      <c r="S3122" s="401" t="n"/>
      <c r="U3122" s="401" t="n"/>
      <c r="V3122" s="22" t="n"/>
      <c r="W3122" s="22" t="n"/>
      <c r="X3122" s="22" t="n"/>
      <c r="Y3122" s="395" t="n"/>
      <c r="Z3122" s="22" t="n"/>
      <c r="AA3122" s="22" t="n"/>
      <c r="AB3122" s="22" t="n"/>
      <c r="AC3122" s="22" t="n"/>
      <c r="AD3122" s="22" t="n"/>
      <c r="AE3122" s="22" t="n"/>
    </row>
    <row r="3123" ht="98" customHeight="1" s="380">
      <c r="A3123" s="144" t="n">
        <v>123</v>
      </c>
      <c r="B3123" s="390" t="n"/>
      <c r="C3123" s="390" t="inlineStr">
        <is>
          <t>Báo cáo tài chính quý, soát xét bán niên, kiểm toán năm - Chi nhánh công ty chứng khoán nước ngoài tại Việt Nam &gt;&gt; Báo cáo tình hình tài chính riêng</t>
        </is>
      </c>
      <c r="D3123" s="390" t="inlineStr">
        <is>
          <t>- Giá trị hao mòn luỹ kế (*)</t>
        </is>
      </c>
      <c r="E3123" s="401" t="inlineStr">
        <is>
          <t xml:space="preserve">229a
</t>
        </is>
      </c>
      <c r="F3123" s="390" t="inlineStr">
        <is>
          <t>Data Explorer</t>
        </is>
      </c>
      <c r="G3123" s="390" t="inlineStr">
        <is>
          <t>Chỉ tiêu cơ sở</t>
        </is>
      </c>
      <c r="H3123" s="390" t="inlineStr">
        <is>
          <t>Dễ</t>
        </is>
      </c>
      <c r="I3123" s="390" t="inlineStr">
        <is>
          <t>Ngày, CTCK</t>
        </is>
      </c>
      <c r="J3123" s="401" t="inlineStr">
        <is>
          <t>SCMS</t>
        </is>
      </c>
      <c r="K3123" s="401" t="n"/>
      <c r="L3123" s="401" t="inlineStr">
        <is>
          <t>X</t>
        </is>
      </c>
      <c r="M3123" s="401" t="n"/>
      <c r="N3123" s="401" t="inlineStr">
        <is>
          <t>Done</t>
        </is>
      </c>
      <c r="O3123" s="401" t="n"/>
      <c r="P3123" s="401" t="n"/>
      <c r="S3123" s="401" t="n"/>
      <c r="U3123" s="401" t="n"/>
      <c r="V3123" s="22" t="n"/>
      <c r="W3123" s="22" t="n"/>
      <c r="X3123" s="22" t="n"/>
      <c r="Y3123" s="395" t="n"/>
      <c r="Z3123" s="22" t="n"/>
      <c r="AA3123" s="22" t="n"/>
      <c r="AB3123" s="22" t="n"/>
      <c r="AC3123" s="22" t="n"/>
      <c r="AD3123" s="22" t="n"/>
      <c r="AE3123" s="22" t="n"/>
    </row>
    <row r="3124" ht="98" customHeight="1" s="380">
      <c r="A3124" s="144" t="n">
        <v>123</v>
      </c>
      <c r="B3124" s="390" t="n"/>
      <c r="C3124" s="390" t="inlineStr">
        <is>
          <t>Báo cáo tài chính quý, soát xét bán niên, kiểm toán năm - Chi nhánh công ty chứng khoán nước ngoài tại Việt Nam &gt;&gt; Báo cáo tình hình tài chính riêng</t>
        </is>
      </c>
      <c r="D3124" s="390" t="inlineStr">
        <is>
          <t>- Đánh giá TSCĐVH theo giá trị hợp lý</t>
        </is>
      </c>
      <c r="E3124" s="401" t="inlineStr">
        <is>
          <t xml:space="preserve">229b
</t>
        </is>
      </c>
      <c r="F3124" s="390" t="inlineStr">
        <is>
          <t>Data Explorer</t>
        </is>
      </c>
      <c r="G3124" s="390" t="inlineStr">
        <is>
          <t>Chỉ tiêu cơ sở</t>
        </is>
      </c>
      <c r="H3124" s="390" t="inlineStr">
        <is>
          <t>Dễ</t>
        </is>
      </c>
      <c r="I3124" s="390" t="inlineStr">
        <is>
          <t>Ngày, CTCK</t>
        </is>
      </c>
      <c r="J3124" s="401" t="inlineStr">
        <is>
          <t>SCMS</t>
        </is>
      </c>
      <c r="K3124" s="401" t="n"/>
      <c r="L3124" s="401" t="inlineStr">
        <is>
          <t>X</t>
        </is>
      </c>
      <c r="M3124" s="401" t="n"/>
      <c r="N3124" s="401" t="inlineStr">
        <is>
          <t>Done</t>
        </is>
      </c>
      <c r="O3124" s="401" t="n"/>
      <c r="P3124" s="401" t="n"/>
      <c r="S3124" s="401" t="n"/>
      <c r="U3124" s="401" t="n"/>
      <c r="V3124" s="22" t="n"/>
      <c r="W3124" s="22" t="n"/>
      <c r="X3124" s="22" t="n"/>
      <c r="Y3124" s="395" t="n"/>
      <c r="Z3124" s="22" t="n"/>
      <c r="AA3124" s="22" t="n"/>
      <c r="AB3124" s="22" t="n"/>
      <c r="AC3124" s="22" t="n"/>
      <c r="AD3124" s="22" t="n"/>
      <c r="AE3124" s="22" t="n"/>
    </row>
    <row r="3125" ht="98" customHeight="1" s="380">
      <c r="A3125" s="144" t="n">
        <v>123</v>
      </c>
      <c r="B3125" s="390" t="n"/>
      <c r="C3125" s="390" t="inlineStr">
        <is>
          <t>Báo cáo tài chính quý, soát xét bán niên, kiểm toán năm - Chi nhánh công ty chứng khoán nước ngoài tại Việt Nam &gt;&gt; Báo cáo tình hình tài chính riêng</t>
        </is>
      </c>
      <c r="D3125" s="132" t="inlineStr">
        <is>
          <t>III. Bất động sản đầu tư</t>
        </is>
      </c>
      <c r="E3125" s="150" t="n">
        <v>230</v>
      </c>
      <c r="F3125" s="390" t="inlineStr">
        <is>
          <t>Data Explorer</t>
        </is>
      </c>
      <c r="G3125" s="390" t="inlineStr">
        <is>
          <t>Chỉ tiêu cơ sở</t>
        </is>
      </c>
      <c r="H3125" s="390" t="inlineStr">
        <is>
          <t>Dễ</t>
        </is>
      </c>
      <c r="I3125" s="390" t="inlineStr">
        <is>
          <t>Ngày, CTCK</t>
        </is>
      </c>
      <c r="J3125" s="401" t="inlineStr">
        <is>
          <t>SCMS</t>
        </is>
      </c>
      <c r="K3125" s="401" t="n"/>
      <c r="L3125" s="401" t="inlineStr">
        <is>
          <t>X</t>
        </is>
      </c>
      <c r="M3125" s="401" t="n"/>
      <c r="N3125" s="401" t="inlineStr">
        <is>
          <t>Done</t>
        </is>
      </c>
      <c r="O3125" s="401" t="n"/>
      <c r="P3125" s="401" t="n"/>
      <c r="S3125" s="401" t="n"/>
      <c r="U3125" s="401" t="n"/>
      <c r="V3125" s="22" t="n"/>
      <c r="W3125" s="22" t="n"/>
      <c r="X3125" s="22" t="n"/>
      <c r="Y3125" s="395" t="n"/>
      <c r="Z3125" s="22" t="n"/>
      <c r="AA3125" s="22" t="n"/>
      <c r="AB3125" s="22" t="n"/>
      <c r="AC3125" s="22" t="n"/>
      <c r="AD3125" s="22" t="n"/>
      <c r="AE3125" s="22" t="n"/>
    </row>
    <row r="3126" ht="98" customHeight="1" s="380">
      <c r="A3126" s="144" t="n">
        <v>123</v>
      </c>
      <c r="B3126" s="390" t="n"/>
      <c r="C3126" s="390" t="inlineStr">
        <is>
          <t>Báo cáo tài chính quý, soát xét bán niên, kiểm toán năm - Chi nhánh công ty chứng khoán nước ngoài tại Việt Nam &gt;&gt; Báo cáo tình hình tài chính riêng</t>
        </is>
      </c>
      <c r="D3126" s="390" t="inlineStr">
        <is>
          <t>- Nguyên giá</t>
        </is>
      </c>
      <c r="E3126" s="151" t="n">
        <v>231</v>
      </c>
      <c r="F3126" s="390" t="inlineStr">
        <is>
          <t>Data Explorer</t>
        </is>
      </c>
      <c r="G3126" s="390" t="inlineStr">
        <is>
          <t>Chỉ tiêu cơ sở</t>
        </is>
      </c>
      <c r="H3126" s="390" t="inlineStr">
        <is>
          <t>Dễ</t>
        </is>
      </c>
      <c r="I3126" s="390" t="inlineStr">
        <is>
          <t>Ngày, CTCK</t>
        </is>
      </c>
      <c r="J3126" s="401" t="inlineStr">
        <is>
          <t>SCMS</t>
        </is>
      </c>
      <c r="K3126" s="401" t="n"/>
      <c r="L3126" s="401" t="inlineStr">
        <is>
          <t>X</t>
        </is>
      </c>
      <c r="M3126" s="401" t="n"/>
      <c r="N3126" s="401" t="inlineStr">
        <is>
          <t>Done</t>
        </is>
      </c>
      <c r="O3126" s="401" t="n"/>
      <c r="P3126" s="401" t="n"/>
      <c r="S3126" s="401" t="n"/>
      <c r="U3126" s="401" t="n"/>
      <c r="V3126" s="22" t="n"/>
      <c r="W3126" s="22" t="n"/>
      <c r="X3126" s="22" t="n"/>
      <c r="Y3126" s="395" t="n"/>
      <c r="Z3126" s="22" t="n"/>
      <c r="AA3126" s="22" t="n"/>
      <c r="AB3126" s="22" t="n"/>
      <c r="AC3126" s="22" t="n"/>
      <c r="AD3126" s="22" t="n"/>
      <c r="AE3126" s="22" t="n"/>
    </row>
    <row r="3127" ht="98" customHeight="1" s="380">
      <c r="A3127" s="144" t="n">
        <v>123</v>
      </c>
      <c r="B3127" s="390" t="n"/>
      <c r="C3127" s="390" t="inlineStr">
        <is>
          <t>Báo cáo tài chính quý, soát xét bán niên, kiểm toán năm - Chi nhánh công ty chứng khoán nước ngoài tại Việt Nam &gt;&gt; Báo cáo tình hình tài chính riêng</t>
        </is>
      </c>
      <c r="D3127" s="390" t="inlineStr">
        <is>
          <t>- Giá trị hao mòn luỹ kế (*)</t>
        </is>
      </c>
      <c r="E3127" s="401" t="inlineStr">
        <is>
          <t xml:space="preserve">232a
</t>
        </is>
      </c>
      <c r="F3127" s="390" t="inlineStr">
        <is>
          <t>Data Explorer</t>
        </is>
      </c>
      <c r="G3127" s="390" t="inlineStr">
        <is>
          <t>Chỉ tiêu cơ sở</t>
        </is>
      </c>
      <c r="H3127" s="390" t="inlineStr">
        <is>
          <t>Dễ</t>
        </is>
      </c>
      <c r="I3127" s="390" t="inlineStr">
        <is>
          <t>Ngày, CTCK</t>
        </is>
      </c>
      <c r="J3127" s="401" t="inlineStr">
        <is>
          <t>SCMS</t>
        </is>
      </c>
      <c r="K3127" s="401" t="n"/>
      <c r="L3127" s="401" t="inlineStr">
        <is>
          <t>X</t>
        </is>
      </c>
      <c r="M3127" s="401" t="n"/>
      <c r="N3127" s="401" t="inlineStr">
        <is>
          <t>Done</t>
        </is>
      </c>
      <c r="O3127" s="401" t="n"/>
      <c r="P3127" s="401" t="n"/>
      <c r="S3127" s="401" t="n"/>
      <c r="U3127" s="401" t="n"/>
      <c r="V3127" s="22" t="n"/>
      <c r="W3127" s="22" t="n"/>
      <c r="X3127" s="22" t="n"/>
      <c r="Y3127" s="395" t="n"/>
      <c r="Z3127" s="22" t="n"/>
      <c r="AA3127" s="22" t="n"/>
      <c r="AB3127" s="22" t="n"/>
      <c r="AC3127" s="22" t="n"/>
      <c r="AD3127" s="22" t="n"/>
      <c r="AE3127" s="22" t="n"/>
    </row>
    <row r="3128" ht="98" customHeight="1" s="380">
      <c r="A3128" s="144" t="n">
        <v>123</v>
      </c>
      <c r="B3128" s="390" t="n"/>
      <c r="C3128" s="390" t="inlineStr">
        <is>
          <t>Báo cáo tài chính quý, soát xét bán niên, kiểm toán năm - Chi nhánh công ty chứng khoán nước ngoài tại Việt Nam &gt;&gt; Báo cáo tình hình tài chính riêng</t>
        </is>
      </c>
      <c r="D3128" s="390" t="inlineStr">
        <is>
          <t>- Đánh giá BĐSĐT theo giá trị hợp lý</t>
        </is>
      </c>
      <c r="E3128" s="401" t="inlineStr">
        <is>
          <t xml:space="preserve">232b
</t>
        </is>
      </c>
      <c r="F3128" s="390" t="inlineStr">
        <is>
          <t>Data Explorer</t>
        </is>
      </c>
      <c r="G3128" s="390" t="inlineStr">
        <is>
          <t>Chỉ tiêu cơ sở</t>
        </is>
      </c>
      <c r="H3128" s="390" t="inlineStr">
        <is>
          <t>Dễ</t>
        </is>
      </c>
      <c r="I3128" s="390" t="inlineStr">
        <is>
          <t>Ngày, CTCK</t>
        </is>
      </c>
      <c r="J3128" s="401" t="inlineStr">
        <is>
          <t>SCMS</t>
        </is>
      </c>
      <c r="K3128" s="401" t="n"/>
      <c r="L3128" s="401" t="inlineStr">
        <is>
          <t>X</t>
        </is>
      </c>
      <c r="M3128" s="401" t="n"/>
      <c r="N3128" s="401" t="inlineStr">
        <is>
          <t>Done</t>
        </is>
      </c>
      <c r="O3128" s="401" t="n"/>
      <c r="P3128" s="401" t="n"/>
      <c r="S3128" s="401" t="n"/>
      <c r="U3128" s="401" t="n"/>
      <c r="V3128" s="22" t="n"/>
      <c r="W3128" s="22" t="n"/>
      <c r="X3128" s="22" t="n"/>
      <c r="Y3128" s="395" t="n"/>
      <c r="Z3128" s="22" t="n"/>
      <c r="AA3128" s="22" t="n"/>
      <c r="AB3128" s="22" t="n"/>
      <c r="AC3128" s="22" t="n"/>
      <c r="AD3128" s="22" t="n"/>
      <c r="AE3128" s="22" t="n"/>
    </row>
    <row r="3129" ht="98" customHeight="1" s="380">
      <c r="A3129" s="144" t="n">
        <v>123</v>
      </c>
      <c r="B3129" s="390" t="n"/>
      <c r="C3129" s="390" t="inlineStr">
        <is>
          <t>Báo cáo tài chính quý, soát xét bán niên, kiểm toán năm - Chi nhánh công ty chứng khoán nước ngoài tại Việt Nam &gt;&gt; Báo cáo tình hình tài chính riêng</t>
        </is>
      </c>
      <c r="D3129" s="132" t="inlineStr">
        <is>
          <t>IV.Chi phí xây dựng cơ bản dở dang</t>
        </is>
      </c>
      <c r="E3129" s="150" t="n">
        <v>240</v>
      </c>
      <c r="F3129" s="390" t="inlineStr">
        <is>
          <t>Data Explorer</t>
        </is>
      </c>
      <c r="G3129" s="390" t="inlineStr">
        <is>
          <t>Chỉ tiêu cơ sở</t>
        </is>
      </c>
      <c r="H3129" s="390" t="inlineStr">
        <is>
          <t>Dễ</t>
        </is>
      </c>
      <c r="I3129" s="390" t="inlineStr">
        <is>
          <t>Ngày, CTCK</t>
        </is>
      </c>
      <c r="J3129" s="401" t="inlineStr">
        <is>
          <t>SCMS</t>
        </is>
      </c>
      <c r="K3129" s="401" t="n"/>
      <c r="L3129" s="401" t="inlineStr">
        <is>
          <t>X</t>
        </is>
      </c>
      <c r="M3129" s="401" t="n"/>
      <c r="N3129" s="401" t="inlineStr">
        <is>
          <t>Done</t>
        </is>
      </c>
      <c r="O3129" s="401" t="n"/>
      <c r="P3129" s="401" t="n"/>
      <c r="S3129" s="401" t="n"/>
      <c r="U3129" s="401" t="n"/>
      <c r="V3129" s="22" t="n"/>
      <c r="W3129" s="22" t="n"/>
      <c r="X3129" s="22" t="n"/>
      <c r="Y3129" s="395" t="n"/>
      <c r="Z3129" s="22" t="n"/>
      <c r="AA3129" s="22" t="n"/>
      <c r="AB3129" s="22" t="n"/>
      <c r="AC3129" s="22" t="n"/>
      <c r="AD3129" s="22" t="n"/>
      <c r="AE3129" s="22" t="n"/>
    </row>
    <row r="3130" ht="98" customHeight="1" s="380">
      <c r="A3130" s="144" t="n">
        <v>123</v>
      </c>
      <c r="B3130" s="390" t="n"/>
      <c r="C3130" s="390" t="inlineStr">
        <is>
          <t>Báo cáo tài chính quý, soát xét bán niên, kiểm toán năm - Chi nhánh công ty chứng khoán nước ngoài tại Việt Nam &gt;&gt; Báo cáo tình hình tài chính riêng</t>
        </is>
      </c>
      <c r="D3130" s="132" t="inlineStr">
        <is>
          <t>V. Tài sản dài hạn khác</t>
        </is>
      </c>
      <c r="E3130" s="150" t="n">
        <v>250</v>
      </c>
      <c r="F3130" s="390" t="inlineStr">
        <is>
          <t>Data Explorer</t>
        </is>
      </c>
      <c r="G3130" s="390" t="inlineStr">
        <is>
          <t>Chỉ tiêu cơ sở</t>
        </is>
      </c>
      <c r="H3130" s="390" t="inlineStr">
        <is>
          <t>Dễ</t>
        </is>
      </c>
      <c r="I3130" s="390" t="inlineStr">
        <is>
          <t>Ngày, CTCK</t>
        </is>
      </c>
      <c r="J3130" s="401" t="inlineStr">
        <is>
          <t>SCMS</t>
        </is>
      </c>
      <c r="K3130" s="401" t="n"/>
      <c r="L3130" s="401" t="inlineStr">
        <is>
          <t>X</t>
        </is>
      </c>
      <c r="M3130" s="401" t="n"/>
      <c r="N3130" s="401" t="inlineStr">
        <is>
          <t>Done</t>
        </is>
      </c>
      <c r="O3130" s="401" t="n"/>
      <c r="P3130" s="401" t="n"/>
      <c r="S3130" s="401" t="n"/>
      <c r="U3130" s="401" t="n"/>
      <c r="V3130" s="22" t="n"/>
      <c r="W3130" s="22" t="n"/>
      <c r="X3130" s="22" t="n"/>
      <c r="Y3130" s="395" t="n"/>
      <c r="Z3130" s="22" t="n"/>
      <c r="AA3130" s="22" t="n"/>
      <c r="AB3130" s="22" t="n"/>
      <c r="AC3130" s="22" t="n"/>
      <c r="AD3130" s="22" t="n"/>
      <c r="AE3130" s="22" t="n"/>
    </row>
    <row r="3131" ht="98" customHeight="1" s="380">
      <c r="A3131" s="144" t="n">
        <v>123</v>
      </c>
      <c r="B3131" s="390" t="n"/>
      <c r="C3131" s="390" t="inlineStr">
        <is>
          <t>Báo cáo tài chính quý, soát xét bán niên, kiểm toán năm - Chi nhánh công ty chứng khoán nước ngoài tại Việt Nam &gt;&gt; Báo cáo tình hình tài chính riêng</t>
        </is>
      </c>
      <c r="D3131" s="390" t="inlineStr">
        <is>
          <t>1. Cầm cố, thế chấp, ký quỹ, ký cược dài hạn</t>
        </is>
      </c>
      <c r="E3131" s="151" t="n">
        <v>251</v>
      </c>
      <c r="F3131" s="390" t="inlineStr">
        <is>
          <t>Data Explorer</t>
        </is>
      </c>
      <c r="G3131" s="390" t="inlineStr">
        <is>
          <t>Chỉ tiêu cơ sở</t>
        </is>
      </c>
      <c r="H3131" s="390" t="inlineStr">
        <is>
          <t>Dễ</t>
        </is>
      </c>
      <c r="I3131" s="390" t="inlineStr">
        <is>
          <t>Ngày, CTCK</t>
        </is>
      </c>
      <c r="J3131" s="401" t="inlineStr">
        <is>
          <t>SCMS</t>
        </is>
      </c>
      <c r="K3131" s="401" t="n"/>
      <c r="L3131" s="401" t="inlineStr">
        <is>
          <t>X</t>
        </is>
      </c>
      <c r="M3131" s="401" t="n"/>
      <c r="N3131" s="401" t="inlineStr">
        <is>
          <t>Done</t>
        </is>
      </c>
      <c r="O3131" s="401" t="n"/>
      <c r="P3131" s="401" t="n"/>
      <c r="S3131" s="401" t="n"/>
      <c r="U3131" s="401" t="n"/>
      <c r="V3131" s="22" t="n"/>
      <c r="W3131" s="22" t="n"/>
      <c r="X3131" s="22" t="n"/>
      <c r="Y3131" s="395" t="n"/>
      <c r="Z3131" s="22" t="n"/>
      <c r="AA3131" s="22" t="n"/>
      <c r="AB3131" s="22" t="n"/>
      <c r="AC3131" s="22" t="n"/>
      <c r="AD3131" s="22" t="n"/>
      <c r="AE3131" s="22" t="n"/>
    </row>
    <row r="3132" ht="98" customHeight="1" s="380">
      <c r="A3132" s="144" t="n">
        <v>123</v>
      </c>
      <c r="B3132" s="390" t="n"/>
      <c r="C3132" s="390" t="inlineStr">
        <is>
          <t>Báo cáo tài chính quý, soát xét bán niên, kiểm toán năm - Chi nhánh công ty chứng khoán nước ngoài tại Việt Nam &gt;&gt; Báo cáo tình hình tài chính riêng</t>
        </is>
      </c>
      <c r="D3132" s="390" t="inlineStr">
        <is>
          <t>2. Chi phí trả trước dài hạn</t>
        </is>
      </c>
      <c r="E3132" s="151" t="n">
        <v>252</v>
      </c>
      <c r="F3132" s="390" t="inlineStr">
        <is>
          <t>Data Explorer</t>
        </is>
      </c>
      <c r="G3132" s="390" t="inlineStr">
        <is>
          <t>Chỉ tiêu cơ sở</t>
        </is>
      </c>
      <c r="H3132" s="390" t="inlineStr">
        <is>
          <t>Dễ</t>
        </is>
      </c>
      <c r="I3132" s="390" t="inlineStr">
        <is>
          <t>Ngày, CTCK</t>
        </is>
      </c>
      <c r="J3132" s="401" t="inlineStr">
        <is>
          <t>SCMS</t>
        </is>
      </c>
      <c r="K3132" s="401" t="n"/>
      <c r="L3132" s="401" t="inlineStr">
        <is>
          <t>X</t>
        </is>
      </c>
      <c r="M3132" s="401" t="n"/>
      <c r="N3132" s="401" t="inlineStr">
        <is>
          <t>Done</t>
        </is>
      </c>
      <c r="O3132" s="401" t="n"/>
      <c r="P3132" s="401" t="n"/>
      <c r="S3132" s="401" t="n"/>
      <c r="U3132" s="401" t="n"/>
      <c r="V3132" s="22" t="n"/>
      <c r="W3132" s="22" t="n"/>
      <c r="X3132" s="22" t="n"/>
      <c r="Y3132" s="395" t="n"/>
      <c r="Z3132" s="22" t="n"/>
      <c r="AA3132" s="22" t="n"/>
      <c r="AB3132" s="22" t="n"/>
      <c r="AC3132" s="22" t="n"/>
      <c r="AD3132" s="22" t="n"/>
      <c r="AE3132" s="22" t="n"/>
    </row>
    <row r="3133" ht="98" customHeight="1" s="380">
      <c r="A3133" s="144" t="n">
        <v>123</v>
      </c>
      <c r="B3133" s="390" t="n"/>
      <c r="C3133" s="390" t="inlineStr">
        <is>
          <t>Báo cáo tài chính quý, soát xét bán niên, kiểm toán năm - Chi nhánh công ty chứng khoán nước ngoài tại Việt Nam &gt;&gt; Báo cáo tình hình tài chính riêng</t>
        </is>
      </c>
      <c r="D3133" s="390" t="inlineStr">
        <is>
          <t>3. Tài sản thuế thu nhập hoãn lại</t>
        </is>
      </c>
      <c r="E3133" s="151" t="n">
        <v>253</v>
      </c>
      <c r="F3133" s="390" t="inlineStr">
        <is>
          <t>Data Explorer</t>
        </is>
      </c>
      <c r="G3133" s="390" t="inlineStr">
        <is>
          <t>Chỉ tiêu cơ sở</t>
        </is>
      </c>
      <c r="H3133" s="390" t="inlineStr">
        <is>
          <t>Dễ</t>
        </is>
      </c>
      <c r="I3133" s="390" t="inlineStr">
        <is>
          <t>Ngày, CTCK</t>
        </is>
      </c>
      <c r="J3133" s="401" t="inlineStr">
        <is>
          <t>SCMS</t>
        </is>
      </c>
      <c r="K3133" s="401" t="n"/>
      <c r="L3133" s="401" t="inlineStr">
        <is>
          <t>X</t>
        </is>
      </c>
      <c r="M3133" s="401" t="n"/>
      <c r="N3133" s="401" t="inlineStr">
        <is>
          <t>Done</t>
        </is>
      </c>
      <c r="O3133" s="401" t="n"/>
      <c r="P3133" s="401" t="n"/>
      <c r="S3133" s="401" t="n"/>
      <c r="U3133" s="401" t="n"/>
      <c r="V3133" s="22" t="n"/>
      <c r="W3133" s="22" t="n"/>
      <c r="X3133" s="22" t="n"/>
      <c r="Y3133" s="395" t="n"/>
      <c r="Z3133" s="22" t="n"/>
      <c r="AA3133" s="22" t="n"/>
      <c r="AB3133" s="22" t="n"/>
      <c r="AC3133" s="22" t="n"/>
      <c r="AD3133" s="22" t="n"/>
      <c r="AE3133" s="22" t="n"/>
    </row>
    <row r="3134" ht="98" customHeight="1" s="380">
      <c r="A3134" s="144" t="n">
        <v>123</v>
      </c>
      <c r="B3134" s="390" t="n"/>
      <c r="C3134" s="390" t="inlineStr">
        <is>
          <t>Báo cáo tài chính quý, soát xét bán niên, kiểm toán năm - Chi nhánh công ty chứng khoán nước ngoài tại Việt Nam &gt;&gt; Báo cáo tình hình tài chính riêng</t>
        </is>
      </c>
      <c r="D3134" s="390" t="inlineStr">
        <is>
          <t>4. Tiền nộp Quỹ Hỗ trợ thanh toán</t>
        </is>
      </c>
      <c r="E3134" s="151" t="n">
        <v>254</v>
      </c>
      <c r="F3134" s="390" t="inlineStr">
        <is>
          <t>Data Explorer</t>
        </is>
      </c>
      <c r="G3134" s="390" t="inlineStr">
        <is>
          <t>Chỉ tiêu cơ sở</t>
        </is>
      </c>
      <c r="H3134" s="390" t="inlineStr">
        <is>
          <t>Dễ</t>
        </is>
      </c>
      <c r="I3134" s="390" t="inlineStr">
        <is>
          <t>Ngày, CTCK</t>
        </is>
      </c>
      <c r="J3134" s="401" t="inlineStr">
        <is>
          <t>SCMS</t>
        </is>
      </c>
      <c r="K3134" s="401" t="n"/>
      <c r="L3134" s="401" t="inlineStr">
        <is>
          <t>X</t>
        </is>
      </c>
      <c r="M3134" s="401" t="n"/>
      <c r="N3134" s="401" t="inlineStr">
        <is>
          <t>Done</t>
        </is>
      </c>
      <c r="O3134" s="401" t="n"/>
      <c r="P3134" s="401" t="n"/>
      <c r="S3134" s="401" t="n"/>
      <c r="U3134" s="401" t="n"/>
      <c r="V3134" s="22" t="n"/>
      <c r="W3134" s="22" t="n"/>
      <c r="X3134" s="22" t="n"/>
      <c r="Y3134" s="395" t="n"/>
      <c r="Z3134" s="22" t="n"/>
      <c r="AA3134" s="22" t="n"/>
      <c r="AB3134" s="22" t="n"/>
      <c r="AC3134" s="22" t="n"/>
      <c r="AD3134" s="22" t="n"/>
      <c r="AE3134" s="22" t="n"/>
    </row>
    <row r="3135" ht="98" customHeight="1" s="380">
      <c r="A3135" s="144" t="n">
        <v>123</v>
      </c>
      <c r="B3135" s="390" t="n"/>
      <c r="C3135" s="390" t="inlineStr">
        <is>
          <t>Báo cáo tài chính quý, soát xét bán niên, kiểm toán năm - Chi nhánh công ty chứng khoán nước ngoài tại Việt Nam &gt;&gt; Báo cáo tình hình tài chính riêng</t>
        </is>
      </c>
      <c r="D3135" s="390" t="inlineStr">
        <is>
          <t>5. Tài sản dài hạn khác</t>
        </is>
      </c>
      <c r="E3135" s="151" t="n">
        <v>255</v>
      </c>
      <c r="F3135" s="390" t="inlineStr">
        <is>
          <t>Data Explorer</t>
        </is>
      </c>
      <c r="G3135" s="390" t="inlineStr">
        <is>
          <t>Chỉ tiêu cơ sở</t>
        </is>
      </c>
      <c r="H3135" s="390" t="inlineStr">
        <is>
          <t>Dễ</t>
        </is>
      </c>
      <c r="I3135" s="390" t="inlineStr">
        <is>
          <t>Ngày, CTCK</t>
        </is>
      </c>
      <c r="J3135" s="401" t="inlineStr">
        <is>
          <t>SCMS</t>
        </is>
      </c>
      <c r="K3135" s="401" t="n"/>
      <c r="L3135" s="401" t="inlineStr">
        <is>
          <t>X</t>
        </is>
      </c>
      <c r="M3135" s="401" t="n"/>
      <c r="N3135" s="401" t="inlineStr">
        <is>
          <t>Done</t>
        </is>
      </c>
      <c r="O3135" s="401" t="n"/>
      <c r="P3135" s="401" t="n"/>
      <c r="S3135" s="401" t="n"/>
      <c r="U3135" s="401" t="n"/>
      <c r="V3135" s="22" t="n"/>
      <c r="W3135" s="22" t="n"/>
      <c r="X3135" s="22" t="n"/>
      <c r="Y3135" s="395" t="n"/>
      <c r="Z3135" s="22" t="n"/>
      <c r="AA3135" s="22" t="n"/>
      <c r="AB3135" s="22" t="n"/>
      <c r="AC3135" s="22" t="n"/>
      <c r="AD3135" s="22" t="n"/>
      <c r="AE3135" s="22" t="n"/>
    </row>
    <row r="3136" ht="98" customHeight="1" s="380">
      <c r="A3136" s="144" t="n">
        <v>123</v>
      </c>
      <c r="B3136" s="390" t="n"/>
      <c r="C3136" s="390" t="inlineStr">
        <is>
          <t>Báo cáo tài chính quý, soát xét bán niên, kiểm toán năm - Chi nhánh công ty chứng khoán nước ngoài tại Việt Nam &gt;&gt; Báo cáo tình hình tài chính riêng</t>
        </is>
      </c>
      <c r="D3136" s="132" t="inlineStr">
        <is>
          <t>VI. Dự phòng suy giảm giá trị tài sản dài hạn</t>
        </is>
      </c>
      <c r="E3136" s="150" t="n">
        <v>260</v>
      </c>
      <c r="F3136" s="390" t="inlineStr">
        <is>
          <t>Data Explorer</t>
        </is>
      </c>
      <c r="G3136" s="390" t="inlineStr">
        <is>
          <t>Chỉ tiêu cơ sở</t>
        </is>
      </c>
      <c r="H3136" s="390" t="inlineStr">
        <is>
          <t>Dễ</t>
        </is>
      </c>
      <c r="I3136" s="390" t="inlineStr">
        <is>
          <t>Ngày, CTCK</t>
        </is>
      </c>
      <c r="J3136" s="401" t="inlineStr">
        <is>
          <t>SCMS</t>
        </is>
      </c>
      <c r="K3136" s="401" t="n"/>
      <c r="L3136" s="401" t="inlineStr">
        <is>
          <t>X</t>
        </is>
      </c>
      <c r="M3136" s="401" t="n"/>
      <c r="N3136" s="401" t="inlineStr">
        <is>
          <t>Done</t>
        </is>
      </c>
      <c r="O3136" s="401" t="n"/>
      <c r="P3136" s="401" t="n"/>
      <c r="S3136" s="401" t="n"/>
      <c r="U3136" s="401" t="n"/>
      <c r="V3136" s="22" t="n"/>
      <c r="W3136" s="22" t="n"/>
      <c r="X3136" s="22" t="n"/>
      <c r="Y3136" s="395" t="n"/>
      <c r="Z3136" s="22" t="n"/>
      <c r="AA3136" s="22" t="n"/>
      <c r="AB3136" s="22" t="n"/>
      <c r="AC3136" s="22" t="n"/>
      <c r="AD3136" s="22" t="n"/>
      <c r="AE3136" s="22" t="n"/>
    </row>
    <row r="3137" ht="98" customHeight="1" s="380">
      <c r="A3137" s="144" t="n">
        <v>123</v>
      </c>
      <c r="B3137" s="390" t="n"/>
      <c r="C3137" s="390" t="inlineStr">
        <is>
          <t>Báo cáo tài chính quý, soát xét bán niên, kiểm toán năm - Chi nhánh công ty chứng khoán nước ngoài tại Việt Nam &gt;&gt; Báo cáo tình hình tài chính riêng</t>
        </is>
      </c>
      <c r="D3137" s="132" t="inlineStr">
        <is>
          <t>TỔNG CỘNG TÀI SẢN</t>
        </is>
      </c>
      <c r="E3137" s="150" t="n">
        <v>270</v>
      </c>
      <c r="F3137" s="390" t="inlineStr">
        <is>
          <t>Data Explorer</t>
        </is>
      </c>
      <c r="G3137" s="390" t="inlineStr">
        <is>
          <t>Chỉ tiêu cơ sở</t>
        </is>
      </c>
      <c r="H3137" s="390" t="inlineStr">
        <is>
          <t>Dễ</t>
        </is>
      </c>
      <c r="I3137" s="390" t="inlineStr">
        <is>
          <t>Ngày, CTCK</t>
        </is>
      </c>
      <c r="J3137" s="401" t="inlineStr">
        <is>
          <t>SCMS</t>
        </is>
      </c>
      <c r="K3137" s="401" t="n"/>
      <c r="L3137" s="401" t="inlineStr">
        <is>
          <t>X</t>
        </is>
      </c>
      <c r="M3137" s="401" t="n"/>
      <c r="N3137" s="401" t="inlineStr">
        <is>
          <t>Done</t>
        </is>
      </c>
      <c r="O3137" s="401" t="n"/>
      <c r="P3137" s="401" t="n"/>
      <c r="S3137" s="401" t="n"/>
      <c r="U3137" s="401" t="n"/>
      <c r="V3137" s="22" t="n"/>
      <c r="W3137" s="22" t="n"/>
      <c r="X3137" s="22" t="n"/>
      <c r="Y3137" s="395" t="n"/>
      <c r="Z3137" s="22" t="n"/>
      <c r="AA3137" s="22" t="n"/>
      <c r="AB3137" s="22" t="n"/>
      <c r="AC3137" s="22" t="n"/>
      <c r="AD3137" s="22" t="n"/>
      <c r="AE3137" s="22" t="n"/>
    </row>
    <row r="3138" ht="98" customHeight="1" s="380">
      <c r="A3138" s="144" t="n">
        <v>123</v>
      </c>
      <c r="B3138" s="390" t="n"/>
      <c r="C3138" s="390" t="inlineStr">
        <is>
          <t>Báo cáo tài chính quý, soát xét bán niên, kiểm toán năm - Chi nhánh công ty chứng khoán nước ngoài tại Việt Nam &gt;&gt; Báo cáo tình hình tài chính riêng</t>
        </is>
      </c>
      <c r="D3138" s="132" t="inlineStr">
        <is>
          <t>(270 = 100 + 200)</t>
        </is>
      </c>
      <c r="E3138" s="150" t="n">
        <v>270</v>
      </c>
      <c r="F3138" s="390" t="inlineStr">
        <is>
          <t>Data Explorer</t>
        </is>
      </c>
      <c r="G3138" s="390" t="inlineStr">
        <is>
          <t>Chỉ tiêu cơ sở</t>
        </is>
      </c>
      <c r="H3138" s="390" t="inlineStr">
        <is>
          <t>Dễ</t>
        </is>
      </c>
      <c r="I3138" s="390" t="inlineStr">
        <is>
          <t>Ngày, CTCK</t>
        </is>
      </c>
      <c r="J3138" s="401" t="inlineStr">
        <is>
          <t>SCMS</t>
        </is>
      </c>
      <c r="K3138" s="401" t="n"/>
      <c r="L3138" s="401" t="inlineStr">
        <is>
          <t>X</t>
        </is>
      </c>
      <c r="M3138" s="401" t="n"/>
      <c r="N3138" s="401" t="inlineStr">
        <is>
          <t>Done</t>
        </is>
      </c>
      <c r="O3138" s="401" t="n"/>
      <c r="P3138" s="401" t="n"/>
      <c r="S3138" s="401" t="n"/>
      <c r="U3138" s="401" t="n"/>
      <c r="V3138" s="22" t="n"/>
      <c r="W3138" s="22" t="n"/>
      <c r="X3138" s="22" t="n"/>
      <c r="Y3138" s="395" t="n"/>
      <c r="Z3138" s="22" t="n"/>
      <c r="AA3138" s="22" t="n"/>
      <c r="AB3138" s="22" t="n"/>
      <c r="AC3138" s="22" t="n"/>
      <c r="AD3138" s="22" t="n"/>
      <c r="AE3138" s="22" t="n"/>
    </row>
    <row r="3139" ht="98" customHeight="1" s="380">
      <c r="A3139" s="144" t="n">
        <v>123</v>
      </c>
      <c r="B3139" s="390" t="n"/>
      <c r="C3139" s="390" t="inlineStr">
        <is>
          <t>Báo cáo tài chính quý, soát xét bán niên, kiểm toán năm - Chi nhánh công ty chứng khoán nước ngoài tại Việt Nam &gt;&gt; Báo cáo tình hình tài chính riêng</t>
        </is>
      </c>
      <c r="D3139" s="132" t="inlineStr">
        <is>
          <t>C. NỢ PHẢI TRẢ (300 = 310 + 340)</t>
        </is>
      </c>
      <c r="E3139" s="150" t="n">
        <v>300</v>
      </c>
      <c r="F3139" s="390" t="inlineStr">
        <is>
          <t>Data Explorer</t>
        </is>
      </c>
      <c r="G3139" s="390" t="inlineStr">
        <is>
          <t>Chỉ tiêu cơ sở</t>
        </is>
      </c>
      <c r="H3139" s="390" t="inlineStr">
        <is>
          <t>Dễ</t>
        </is>
      </c>
      <c r="I3139" s="390" t="inlineStr">
        <is>
          <t>Ngày, CTCK</t>
        </is>
      </c>
      <c r="J3139" s="401" t="inlineStr">
        <is>
          <t>SCMS</t>
        </is>
      </c>
      <c r="K3139" s="401" t="n"/>
      <c r="L3139" s="401" t="inlineStr">
        <is>
          <t>X</t>
        </is>
      </c>
      <c r="M3139" s="401" t="n"/>
      <c r="N3139" s="401" t="inlineStr">
        <is>
          <t>Done</t>
        </is>
      </c>
      <c r="O3139" s="401" t="n"/>
      <c r="P3139" s="401" t="n"/>
      <c r="S3139" s="401" t="n"/>
      <c r="U3139" s="401" t="n"/>
      <c r="V3139" s="22" t="n"/>
      <c r="W3139" s="22" t="n"/>
      <c r="X3139" s="22" t="n"/>
      <c r="Y3139" s="395" t="n"/>
      <c r="Z3139" s="22" t="n"/>
      <c r="AA3139" s="22" t="n"/>
      <c r="AB3139" s="22" t="n"/>
      <c r="AC3139" s="22" t="n"/>
      <c r="AD3139" s="22" t="n"/>
      <c r="AE3139" s="22" t="n"/>
    </row>
    <row r="3140" ht="98" customHeight="1" s="380">
      <c r="A3140" s="144" t="n">
        <v>123</v>
      </c>
      <c r="B3140" s="390" t="n"/>
      <c r="C3140" s="390" t="inlineStr">
        <is>
          <t>Báo cáo tài chính quý, soát xét bán niên, kiểm toán năm - Chi nhánh công ty chứng khoán nước ngoài tại Việt Nam &gt;&gt; Báo cáo tình hình tài chính riêng</t>
        </is>
      </c>
      <c r="D3140" s="132" t="inlineStr">
        <is>
          <t>I. Nợ phải trả ngắn hạn</t>
        </is>
      </c>
      <c r="E3140" s="150" t="n">
        <v>310</v>
      </c>
      <c r="F3140" s="390" t="inlineStr">
        <is>
          <t>Data Explorer</t>
        </is>
      </c>
      <c r="G3140" s="390" t="inlineStr">
        <is>
          <t>Chỉ tiêu cơ sở</t>
        </is>
      </c>
      <c r="H3140" s="390" t="inlineStr">
        <is>
          <t>Dễ</t>
        </is>
      </c>
      <c r="I3140" s="390" t="inlineStr">
        <is>
          <t>Ngày, CTCK</t>
        </is>
      </c>
      <c r="J3140" s="401" t="inlineStr">
        <is>
          <t>SCMS</t>
        </is>
      </c>
      <c r="K3140" s="401" t="n"/>
      <c r="L3140" s="401" t="inlineStr">
        <is>
          <t>X</t>
        </is>
      </c>
      <c r="M3140" s="401" t="n"/>
      <c r="N3140" s="401" t="inlineStr">
        <is>
          <t>Done</t>
        </is>
      </c>
      <c r="O3140" s="401" t="n"/>
      <c r="P3140" s="401" t="n"/>
      <c r="S3140" s="401" t="n"/>
      <c r="U3140" s="401" t="n"/>
      <c r="V3140" s="22" t="n"/>
      <c r="W3140" s="22" t="n"/>
      <c r="X3140" s="22" t="n"/>
      <c r="Y3140" s="395" t="n"/>
      <c r="Z3140" s="22" t="n"/>
      <c r="AA3140" s="22" t="n"/>
      <c r="AB3140" s="22" t="n"/>
      <c r="AC3140" s="22" t="n"/>
      <c r="AD3140" s="22" t="n"/>
      <c r="AE3140" s="22" t="n"/>
    </row>
    <row r="3141" ht="98" customHeight="1" s="380">
      <c r="A3141" s="144" t="n">
        <v>123</v>
      </c>
      <c r="B3141" s="390" t="n"/>
      <c r="C3141" s="390" t="inlineStr">
        <is>
          <t>Báo cáo tài chính quý, soát xét bán niên, kiểm toán năm - Chi nhánh công ty chứng khoán nước ngoài tại Việt Nam &gt;&gt; Báo cáo tình hình tài chính riêng</t>
        </is>
      </c>
      <c r="D3141" s="390" t="inlineStr">
        <is>
          <t>1. Vay và nợ thuê tài chính ngắn hạn</t>
        </is>
      </c>
      <c r="E3141" s="151" t="n">
        <v>311</v>
      </c>
      <c r="F3141" s="390" t="inlineStr">
        <is>
          <t>Data Explorer</t>
        </is>
      </c>
      <c r="G3141" s="390" t="inlineStr">
        <is>
          <t>Chỉ tiêu cơ sở</t>
        </is>
      </c>
      <c r="H3141" s="390" t="inlineStr">
        <is>
          <t>Dễ</t>
        </is>
      </c>
      <c r="I3141" s="390" t="inlineStr">
        <is>
          <t>Ngày, CTCK</t>
        </is>
      </c>
      <c r="J3141" s="401" t="inlineStr">
        <is>
          <t>SCMS</t>
        </is>
      </c>
      <c r="K3141" s="401" t="n"/>
      <c r="L3141" s="401" t="inlineStr">
        <is>
          <t>X</t>
        </is>
      </c>
      <c r="M3141" s="401" t="n"/>
      <c r="N3141" s="401" t="inlineStr">
        <is>
          <t>Done</t>
        </is>
      </c>
      <c r="O3141" s="401" t="n"/>
      <c r="P3141" s="401" t="n"/>
      <c r="S3141" s="401" t="n"/>
      <c r="U3141" s="401" t="n"/>
      <c r="V3141" s="22" t="n"/>
      <c r="W3141" s="22" t="n"/>
      <c r="X3141" s="22" t="n"/>
      <c r="Y3141" s="395" t="n"/>
      <c r="Z3141" s="22" t="n"/>
      <c r="AA3141" s="22" t="n"/>
      <c r="AB3141" s="22" t="n"/>
      <c r="AC3141" s="22" t="n"/>
      <c r="AD3141" s="22" t="n"/>
      <c r="AE3141" s="22" t="n"/>
    </row>
    <row r="3142" ht="98" customHeight="1" s="380">
      <c r="A3142" s="144" t="n">
        <v>123</v>
      </c>
      <c r="B3142" s="390" t="n"/>
      <c r="C3142" s="390" t="inlineStr">
        <is>
          <t>Báo cáo tài chính quý, soát xét bán niên, kiểm toán năm - Chi nhánh công ty chứng khoán nước ngoài tại Việt Nam &gt;&gt; Báo cáo tình hình tài chính riêng</t>
        </is>
      </c>
      <c r="D3142" s="390" t="inlineStr">
        <is>
          <t>1.1. Vay ngắn hạn</t>
        </is>
      </c>
      <c r="E3142" s="151" t="n">
        <v>312</v>
      </c>
      <c r="F3142" s="390" t="inlineStr">
        <is>
          <t>Data Explorer</t>
        </is>
      </c>
      <c r="G3142" s="390" t="inlineStr">
        <is>
          <t>Chỉ tiêu cơ sở</t>
        </is>
      </c>
      <c r="H3142" s="390" t="inlineStr">
        <is>
          <t>Dễ</t>
        </is>
      </c>
      <c r="I3142" s="390" t="inlineStr">
        <is>
          <t>Ngày, CTCK</t>
        </is>
      </c>
      <c r="J3142" s="401" t="inlineStr">
        <is>
          <t>SCMS</t>
        </is>
      </c>
      <c r="K3142" s="401" t="n"/>
      <c r="L3142" s="401" t="inlineStr">
        <is>
          <t>X</t>
        </is>
      </c>
      <c r="M3142" s="401" t="n"/>
      <c r="N3142" s="401" t="inlineStr">
        <is>
          <t>Done</t>
        </is>
      </c>
      <c r="O3142" s="401" t="n"/>
      <c r="P3142" s="401" t="n"/>
      <c r="S3142" s="401" t="n"/>
      <c r="U3142" s="401" t="n"/>
      <c r="V3142" s="22" t="n"/>
      <c r="W3142" s="22" t="n"/>
      <c r="X3142" s="22" t="n"/>
      <c r="Y3142" s="395" t="n"/>
      <c r="Z3142" s="22" t="n"/>
      <c r="AA3142" s="22" t="n"/>
      <c r="AB3142" s="22" t="n"/>
      <c r="AC3142" s="22" t="n"/>
      <c r="AD3142" s="22" t="n"/>
      <c r="AE3142" s="22" t="n"/>
    </row>
    <row r="3143" ht="98" customHeight="1" s="380">
      <c r="A3143" s="144" t="n">
        <v>123</v>
      </c>
      <c r="B3143" s="390" t="n"/>
      <c r="C3143" s="390" t="inlineStr">
        <is>
          <t>Báo cáo tài chính quý, soát xét bán niên, kiểm toán năm - Chi nhánh công ty chứng khoán nước ngoài tại Việt Nam &gt;&gt; Báo cáo tình hình tài chính riêng</t>
        </is>
      </c>
      <c r="D3143" s="390" t="inlineStr">
        <is>
          <t>1.2. Nợ thuê tài chính ngắn hạn</t>
        </is>
      </c>
      <c r="E3143" s="151" t="n">
        <v>313</v>
      </c>
      <c r="F3143" s="390" t="inlineStr">
        <is>
          <t>Data Explorer</t>
        </is>
      </c>
      <c r="G3143" s="390" t="inlineStr">
        <is>
          <t>Chỉ tiêu cơ sở</t>
        </is>
      </c>
      <c r="H3143" s="390" t="inlineStr">
        <is>
          <t>Dễ</t>
        </is>
      </c>
      <c r="I3143" s="390" t="inlineStr">
        <is>
          <t>Ngày, CTCK</t>
        </is>
      </c>
      <c r="J3143" s="401" t="inlineStr">
        <is>
          <t>SCMS</t>
        </is>
      </c>
      <c r="K3143" s="401" t="n"/>
      <c r="L3143" s="401" t="inlineStr">
        <is>
          <t>X</t>
        </is>
      </c>
      <c r="M3143" s="401" t="n"/>
      <c r="N3143" s="401" t="inlineStr">
        <is>
          <t>Done</t>
        </is>
      </c>
      <c r="O3143" s="401" t="n"/>
      <c r="P3143" s="401" t="n"/>
      <c r="S3143" s="401" t="n"/>
      <c r="U3143" s="401" t="n"/>
      <c r="V3143" s="22" t="n"/>
      <c r="W3143" s="22" t="n"/>
      <c r="X3143" s="22" t="n"/>
      <c r="Y3143" s="395" t="n"/>
      <c r="Z3143" s="22" t="n"/>
      <c r="AA3143" s="22" t="n"/>
      <c r="AB3143" s="22" t="n"/>
      <c r="AC3143" s="22" t="n"/>
      <c r="AD3143" s="22" t="n"/>
      <c r="AE3143" s="22" t="n"/>
    </row>
    <row r="3144" ht="98" customHeight="1" s="380">
      <c r="A3144" s="144" t="n">
        <v>123</v>
      </c>
      <c r="B3144" s="390" t="n"/>
      <c r="C3144" s="390" t="inlineStr">
        <is>
          <t>Báo cáo tài chính quý, soát xét bán niên, kiểm toán năm - Chi nhánh công ty chứng khoán nước ngoài tại Việt Nam &gt;&gt; Báo cáo tình hình tài chính riêng</t>
        </is>
      </c>
      <c r="D3144" s="390" t="inlineStr">
        <is>
          <t>2. Vay tài sản tài chính ngắn hạn</t>
        </is>
      </c>
      <c r="E3144" s="151" t="n">
        <v>314</v>
      </c>
      <c r="F3144" s="390" t="inlineStr">
        <is>
          <t>Data Explorer</t>
        </is>
      </c>
      <c r="G3144" s="390" t="inlineStr">
        <is>
          <t>Chỉ tiêu cơ sở</t>
        </is>
      </c>
      <c r="H3144" s="390" t="inlineStr">
        <is>
          <t>Dễ</t>
        </is>
      </c>
      <c r="I3144" s="390" t="inlineStr">
        <is>
          <t>Ngày, CTCK</t>
        </is>
      </c>
      <c r="J3144" s="401" t="inlineStr">
        <is>
          <t>SCMS</t>
        </is>
      </c>
      <c r="K3144" s="401" t="n"/>
      <c r="L3144" s="401" t="inlineStr">
        <is>
          <t>X</t>
        </is>
      </c>
      <c r="M3144" s="401" t="n"/>
      <c r="N3144" s="401" t="inlineStr">
        <is>
          <t>Done</t>
        </is>
      </c>
      <c r="O3144" s="401" t="n"/>
      <c r="P3144" s="401" t="n"/>
      <c r="S3144" s="401" t="n"/>
      <c r="U3144" s="401" t="n"/>
      <c r="V3144" s="22" t="n"/>
      <c r="W3144" s="22" t="n"/>
      <c r="X3144" s="22" t="n"/>
      <c r="Y3144" s="395" t="n"/>
      <c r="Z3144" s="22" t="n"/>
      <c r="AA3144" s="22" t="n"/>
      <c r="AB3144" s="22" t="n"/>
      <c r="AC3144" s="22" t="n"/>
      <c r="AD3144" s="22" t="n"/>
      <c r="AE3144" s="22" t="n"/>
    </row>
    <row r="3145" ht="98" customHeight="1" s="380">
      <c r="A3145" s="144" t="n">
        <v>123</v>
      </c>
      <c r="B3145" s="390" t="n"/>
      <c r="C3145" s="390" t="inlineStr">
        <is>
          <t>Báo cáo tài chính quý, soát xét bán niên, kiểm toán năm - Chi nhánh công ty chứng khoán nước ngoài tại Việt Nam &gt;&gt; Báo cáo tình hình tài chính riêng</t>
        </is>
      </c>
      <c r="D3145" s="390" t="inlineStr">
        <is>
          <t>3. Trái phiếu chuyển đổi ngắn hạn - Cấu phần nợ</t>
        </is>
      </c>
      <c r="E3145" s="151" t="n">
        <v>315</v>
      </c>
      <c r="F3145" s="390" t="inlineStr">
        <is>
          <t>Data Explorer</t>
        </is>
      </c>
      <c r="G3145" s="390" t="inlineStr">
        <is>
          <t>Chỉ tiêu cơ sở</t>
        </is>
      </c>
      <c r="H3145" s="390" t="inlineStr">
        <is>
          <t>Dễ</t>
        </is>
      </c>
      <c r="I3145" s="390" t="inlineStr">
        <is>
          <t>Ngày, CTCK</t>
        </is>
      </c>
      <c r="J3145" s="401" t="inlineStr">
        <is>
          <t>SCMS</t>
        </is>
      </c>
      <c r="K3145" s="401" t="n"/>
      <c r="L3145" s="401" t="inlineStr">
        <is>
          <t>X</t>
        </is>
      </c>
      <c r="M3145" s="401" t="n"/>
      <c r="N3145" s="401" t="inlineStr">
        <is>
          <t>Done</t>
        </is>
      </c>
      <c r="O3145" s="401" t="n"/>
      <c r="P3145" s="401" t="n"/>
      <c r="S3145" s="401" t="n"/>
      <c r="U3145" s="401" t="n"/>
      <c r="V3145" s="22" t="n"/>
      <c r="W3145" s="22" t="n"/>
      <c r="X3145" s="22" t="n"/>
      <c r="Y3145" s="395" t="n"/>
      <c r="Z3145" s="22" t="n"/>
      <c r="AA3145" s="22" t="n"/>
      <c r="AB3145" s="22" t="n"/>
      <c r="AC3145" s="22" t="n"/>
      <c r="AD3145" s="22" t="n"/>
      <c r="AE3145" s="22" t="n"/>
    </row>
    <row r="3146" ht="98" customHeight="1" s="380">
      <c r="A3146" s="144" t="n">
        <v>123</v>
      </c>
      <c r="B3146" s="390" t="n"/>
      <c r="C3146" s="390" t="inlineStr">
        <is>
          <t>Báo cáo tài chính quý, soát xét bán niên, kiểm toán năm - Chi nhánh công ty chứng khoán nước ngoài tại Việt Nam &gt;&gt; Báo cáo tình hình tài chính riêng</t>
        </is>
      </c>
      <c r="D3146" s="390" t="inlineStr">
        <is>
          <t>4. Trái phiếu phát hành ngắn hạn</t>
        </is>
      </c>
      <c r="E3146" s="151" t="n">
        <v>316</v>
      </c>
      <c r="F3146" s="390" t="inlineStr">
        <is>
          <t>Data Explorer</t>
        </is>
      </c>
      <c r="G3146" s="390" t="inlineStr">
        <is>
          <t>Chỉ tiêu cơ sở</t>
        </is>
      </c>
      <c r="H3146" s="390" t="inlineStr">
        <is>
          <t>Dễ</t>
        </is>
      </c>
      <c r="I3146" s="390" t="inlineStr">
        <is>
          <t>Ngày, CTCK</t>
        </is>
      </c>
      <c r="J3146" s="401" t="inlineStr">
        <is>
          <t>SCMS</t>
        </is>
      </c>
      <c r="K3146" s="401" t="n"/>
      <c r="L3146" s="401" t="inlineStr">
        <is>
          <t>X</t>
        </is>
      </c>
      <c r="M3146" s="401" t="n"/>
      <c r="N3146" s="401" t="inlineStr">
        <is>
          <t>Done</t>
        </is>
      </c>
      <c r="O3146" s="401" t="n"/>
      <c r="P3146" s="401" t="n"/>
      <c r="S3146" s="401" t="n"/>
      <c r="U3146" s="401" t="n"/>
      <c r="V3146" s="22" t="n"/>
      <c r="W3146" s="22" t="n"/>
      <c r="X3146" s="22" t="n"/>
      <c r="Y3146" s="395" t="n"/>
      <c r="Z3146" s="22" t="n"/>
      <c r="AA3146" s="22" t="n"/>
      <c r="AB3146" s="22" t="n"/>
      <c r="AC3146" s="22" t="n"/>
      <c r="AD3146" s="22" t="n"/>
      <c r="AE3146" s="22" t="n"/>
    </row>
    <row r="3147" ht="98" customHeight="1" s="380">
      <c r="A3147" s="144" t="n">
        <v>123</v>
      </c>
      <c r="B3147" s="390" t="n"/>
      <c r="C3147" s="390" t="inlineStr">
        <is>
          <t>Báo cáo tài chính quý, soát xét bán niên, kiểm toán năm - Chi nhánh công ty chứng khoán nước ngoài tại Việt Nam &gt;&gt; Báo cáo tình hình tài chính riêng</t>
        </is>
      </c>
      <c r="D3147" s="390" t="inlineStr">
        <is>
          <t>5. Vay Quỹ Hỗ trợ thanh toán</t>
        </is>
      </c>
      <c r="E3147" s="151" t="n">
        <v>317</v>
      </c>
      <c r="F3147" s="390" t="inlineStr">
        <is>
          <t>Data Explorer</t>
        </is>
      </c>
      <c r="G3147" s="390" t="inlineStr">
        <is>
          <t>Chỉ tiêu cơ sở</t>
        </is>
      </c>
      <c r="H3147" s="390" t="inlineStr">
        <is>
          <t>Dễ</t>
        </is>
      </c>
      <c r="I3147" s="390" t="inlineStr">
        <is>
          <t>Ngày, CTCK</t>
        </is>
      </c>
      <c r="J3147" s="401" t="inlineStr">
        <is>
          <t>SCMS</t>
        </is>
      </c>
      <c r="K3147" s="401" t="n"/>
      <c r="L3147" s="401" t="inlineStr">
        <is>
          <t>X</t>
        </is>
      </c>
      <c r="M3147" s="401" t="n"/>
      <c r="N3147" s="401" t="inlineStr">
        <is>
          <t>Done</t>
        </is>
      </c>
      <c r="O3147" s="401" t="n"/>
      <c r="P3147" s="401" t="n"/>
      <c r="S3147" s="401" t="n"/>
      <c r="U3147" s="401" t="n"/>
      <c r="V3147" s="22" t="n"/>
      <c r="W3147" s="22" t="n"/>
      <c r="X3147" s="22" t="n"/>
      <c r="Y3147" s="395" t="n"/>
      <c r="Z3147" s="22" t="n"/>
      <c r="AA3147" s="22" t="n"/>
      <c r="AB3147" s="22" t="n"/>
      <c r="AC3147" s="22" t="n"/>
      <c r="AD3147" s="22" t="n"/>
      <c r="AE3147" s="22" t="n"/>
    </row>
    <row r="3148" ht="98" customHeight="1" s="380">
      <c r="A3148" s="144" t="n">
        <v>123</v>
      </c>
      <c r="B3148" s="390" t="n"/>
      <c r="C3148" s="390" t="inlineStr">
        <is>
          <t>Báo cáo tài chính quý, soát xét bán niên, kiểm toán năm - Chi nhánh công ty chứng khoán nước ngoài tại Việt Nam &gt;&gt; Báo cáo tình hình tài chính riêng</t>
        </is>
      </c>
      <c r="D3148" s="390" t="inlineStr">
        <is>
          <t>6. Phải trả hoạt động giao dịch chứng khoán</t>
        </is>
      </c>
      <c r="E3148" s="151" t="n">
        <v>318</v>
      </c>
      <c r="F3148" s="390" t="inlineStr">
        <is>
          <t>Data Explorer</t>
        </is>
      </c>
      <c r="G3148" s="390" t="inlineStr">
        <is>
          <t>Chỉ tiêu cơ sở</t>
        </is>
      </c>
      <c r="H3148" s="390" t="inlineStr">
        <is>
          <t>Dễ</t>
        </is>
      </c>
      <c r="I3148" s="390" t="inlineStr">
        <is>
          <t>Ngày, CTCK</t>
        </is>
      </c>
      <c r="J3148" s="401" t="inlineStr">
        <is>
          <t>SCMS</t>
        </is>
      </c>
      <c r="K3148" s="401" t="n"/>
      <c r="L3148" s="401" t="inlineStr">
        <is>
          <t>X</t>
        </is>
      </c>
      <c r="M3148" s="401" t="n"/>
      <c r="N3148" s="401" t="inlineStr">
        <is>
          <t>Done</t>
        </is>
      </c>
      <c r="O3148" s="401" t="n"/>
      <c r="P3148" s="401" t="n"/>
      <c r="S3148" s="401" t="n"/>
      <c r="U3148" s="401" t="n"/>
      <c r="V3148" s="22" t="n"/>
      <c r="W3148" s="22" t="n"/>
      <c r="X3148" s="22" t="n"/>
      <c r="Y3148" s="395" t="n"/>
      <c r="Z3148" s="22" t="n"/>
      <c r="AA3148" s="22" t="n"/>
      <c r="AB3148" s="22" t="n"/>
      <c r="AC3148" s="22" t="n"/>
      <c r="AD3148" s="22" t="n"/>
      <c r="AE3148" s="22" t="n"/>
    </row>
    <row r="3149" ht="98" customHeight="1" s="380">
      <c r="A3149" s="144" t="n">
        <v>123</v>
      </c>
      <c r="B3149" s="390" t="n"/>
      <c r="C3149" s="390" t="inlineStr">
        <is>
          <t>Báo cáo tài chính quý, soát xét bán niên, kiểm toán năm - Chi nhánh công ty chứng khoán nước ngoài tại Việt Nam &gt;&gt; Báo cáo tình hình tài chính riêng</t>
        </is>
      </c>
      <c r="D3149" s="390" t="inlineStr">
        <is>
          <t>7. Phải trả về lỗi giao dịch các tài sản tài chính</t>
        </is>
      </c>
      <c r="E3149" s="151" t="n">
        <v>319</v>
      </c>
      <c r="F3149" s="390" t="inlineStr">
        <is>
          <t>Data Explorer</t>
        </is>
      </c>
      <c r="G3149" s="390" t="inlineStr">
        <is>
          <t>Chỉ tiêu cơ sở</t>
        </is>
      </c>
      <c r="H3149" s="390" t="inlineStr">
        <is>
          <t>Dễ</t>
        </is>
      </c>
      <c r="I3149" s="390" t="inlineStr">
        <is>
          <t>Ngày, CTCK</t>
        </is>
      </c>
      <c r="J3149" s="401" t="inlineStr">
        <is>
          <t>SCMS</t>
        </is>
      </c>
      <c r="K3149" s="401" t="n"/>
      <c r="L3149" s="401" t="inlineStr">
        <is>
          <t>X</t>
        </is>
      </c>
      <c r="M3149" s="401" t="n"/>
      <c r="N3149" s="401" t="inlineStr">
        <is>
          <t>Done</t>
        </is>
      </c>
      <c r="O3149" s="401" t="n"/>
      <c r="P3149" s="401" t="n"/>
      <c r="S3149" s="401" t="n"/>
      <c r="U3149" s="401" t="n"/>
      <c r="V3149" s="22" t="n"/>
      <c r="W3149" s="22" t="n"/>
      <c r="X3149" s="22" t="n"/>
      <c r="Y3149" s="395" t="n"/>
      <c r="Z3149" s="22" t="n"/>
      <c r="AA3149" s="22" t="n"/>
      <c r="AB3149" s="22" t="n"/>
      <c r="AC3149" s="22" t="n"/>
      <c r="AD3149" s="22" t="n"/>
      <c r="AE3149" s="22" t="n"/>
    </row>
    <row r="3150" ht="98" customHeight="1" s="380">
      <c r="A3150" s="144" t="n">
        <v>123</v>
      </c>
      <c r="B3150" s="390" t="n"/>
      <c r="C3150" s="390" t="inlineStr">
        <is>
          <t>Báo cáo tài chính quý, soát xét bán niên, kiểm toán năm - Chi nhánh công ty chứng khoán nước ngoài tại Việt Nam &gt;&gt; Báo cáo tình hình tài chính riêng</t>
        </is>
      </c>
      <c r="D3150" s="390" t="inlineStr">
        <is>
          <t>8.  Phải trả người bán ngắn hạn</t>
        </is>
      </c>
      <c r="E3150" s="151" t="n">
        <v>320</v>
      </c>
      <c r="F3150" s="390" t="inlineStr">
        <is>
          <t>Data Explorer</t>
        </is>
      </c>
      <c r="G3150" s="390" t="inlineStr">
        <is>
          <t>Chỉ tiêu cơ sở</t>
        </is>
      </c>
      <c r="H3150" s="390" t="inlineStr">
        <is>
          <t>Dễ</t>
        </is>
      </c>
      <c r="I3150" s="390" t="inlineStr">
        <is>
          <t>Ngày, CTCK</t>
        </is>
      </c>
      <c r="J3150" s="401" t="inlineStr">
        <is>
          <t>SCMS</t>
        </is>
      </c>
      <c r="K3150" s="401" t="n"/>
      <c r="L3150" s="401" t="inlineStr">
        <is>
          <t>X</t>
        </is>
      </c>
      <c r="M3150" s="401" t="n"/>
      <c r="N3150" s="401" t="inlineStr">
        <is>
          <t>Done</t>
        </is>
      </c>
      <c r="O3150" s="401" t="n"/>
      <c r="P3150" s="401" t="n"/>
      <c r="S3150" s="401" t="n"/>
      <c r="U3150" s="401" t="n"/>
      <c r="V3150" s="22" t="n"/>
      <c r="W3150" s="22" t="n"/>
      <c r="X3150" s="22" t="n"/>
      <c r="Y3150" s="395" t="n"/>
      <c r="Z3150" s="22" t="n"/>
      <c r="AA3150" s="22" t="n"/>
      <c r="AB3150" s="22" t="n"/>
      <c r="AC3150" s="22" t="n"/>
      <c r="AD3150" s="22" t="n"/>
      <c r="AE3150" s="22" t="n"/>
    </row>
    <row r="3151" ht="98" customHeight="1" s="380">
      <c r="A3151" s="144" t="n">
        <v>123</v>
      </c>
      <c r="B3151" s="390" t="n"/>
      <c r="C3151" s="390" t="inlineStr">
        <is>
          <t>Báo cáo tài chính quý, soát xét bán niên, kiểm toán năm - Chi nhánh công ty chứng khoán nước ngoài tại Việt Nam &gt;&gt; Báo cáo tình hình tài chính riêng</t>
        </is>
      </c>
      <c r="D3151" s="390" t="inlineStr">
        <is>
          <t>9. Người mua trả tiền trước ngắn hạn</t>
        </is>
      </c>
      <c r="E3151" s="151" t="n">
        <v>321</v>
      </c>
      <c r="F3151" s="390" t="inlineStr">
        <is>
          <t>Data Explorer</t>
        </is>
      </c>
      <c r="G3151" s="390" t="inlineStr">
        <is>
          <t>Chỉ tiêu cơ sở</t>
        </is>
      </c>
      <c r="H3151" s="390" t="inlineStr">
        <is>
          <t>Dễ</t>
        </is>
      </c>
      <c r="I3151" s="390" t="inlineStr">
        <is>
          <t>Ngày, CTCK</t>
        </is>
      </c>
      <c r="J3151" s="401" t="inlineStr">
        <is>
          <t>SCMS</t>
        </is>
      </c>
      <c r="K3151" s="401" t="n"/>
      <c r="L3151" s="401" t="inlineStr">
        <is>
          <t>X</t>
        </is>
      </c>
      <c r="M3151" s="401" t="n"/>
      <c r="N3151" s="401" t="inlineStr">
        <is>
          <t>Done</t>
        </is>
      </c>
      <c r="O3151" s="401" t="n"/>
      <c r="P3151" s="401" t="n"/>
      <c r="S3151" s="401" t="n"/>
      <c r="U3151" s="401" t="n"/>
      <c r="V3151" s="22" t="n"/>
      <c r="W3151" s="22" t="n"/>
      <c r="X3151" s="22" t="n"/>
      <c r="Y3151" s="395" t="n"/>
      <c r="Z3151" s="22" t="n"/>
      <c r="AA3151" s="22" t="n"/>
      <c r="AB3151" s="22" t="n"/>
      <c r="AC3151" s="22" t="n"/>
      <c r="AD3151" s="22" t="n"/>
      <c r="AE3151" s="22" t="n"/>
    </row>
    <row r="3152" ht="98" customHeight="1" s="380">
      <c r="A3152" s="144" t="n">
        <v>123</v>
      </c>
      <c r="B3152" s="390" t="n"/>
      <c r="C3152" s="390" t="inlineStr">
        <is>
          <t>Báo cáo tài chính quý, soát xét bán niên, kiểm toán năm - Chi nhánh công ty chứng khoán nước ngoài tại Việt Nam &gt;&gt; Báo cáo tình hình tài chính riêng</t>
        </is>
      </c>
      <c r="D3152" s="390" t="inlineStr">
        <is>
          <t>10. Thuế và các khoản phải nộp Nhà nước</t>
        </is>
      </c>
      <c r="E3152" s="151" t="n">
        <v>322</v>
      </c>
      <c r="F3152" s="390" t="inlineStr">
        <is>
          <t>Data Explorer</t>
        </is>
      </c>
      <c r="G3152" s="390" t="inlineStr">
        <is>
          <t>Chỉ tiêu cơ sở</t>
        </is>
      </c>
      <c r="H3152" s="390" t="inlineStr">
        <is>
          <t>Dễ</t>
        </is>
      </c>
      <c r="I3152" s="390" t="inlineStr">
        <is>
          <t>Ngày, CTCK</t>
        </is>
      </c>
      <c r="J3152" s="401" t="inlineStr">
        <is>
          <t>SCMS</t>
        </is>
      </c>
      <c r="K3152" s="401" t="n"/>
      <c r="L3152" s="401" t="inlineStr">
        <is>
          <t>X</t>
        </is>
      </c>
      <c r="M3152" s="401" t="n"/>
      <c r="N3152" s="401" t="inlineStr">
        <is>
          <t>Done</t>
        </is>
      </c>
      <c r="O3152" s="401" t="n"/>
      <c r="P3152" s="401" t="n"/>
      <c r="S3152" s="401" t="n"/>
      <c r="U3152" s="401" t="n"/>
      <c r="V3152" s="22" t="n"/>
      <c r="W3152" s="22" t="n"/>
      <c r="X3152" s="22" t="n"/>
      <c r="Y3152" s="395" t="n"/>
      <c r="Z3152" s="22" t="n"/>
      <c r="AA3152" s="22" t="n"/>
      <c r="AB3152" s="22" t="n"/>
      <c r="AC3152" s="22" t="n"/>
      <c r="AD3152" s="22" t="n"/>
      <c r="AE3152" s="22" t="n"/>
    </row>
    <row r="3153" ht="98" customHeight="1" s="380">
      <c r="A3153" s="144" t="n">
        <v>123</v>
      </c>
      <c r="B3153" s="390" t="n"/>
      <c r="C3153" s="390" t="inlineStr">
        <is>
          <t>Báo cáo tài chính quý, soát xét bán niên, kiểm toán năm - Chi nhánh công ty chứng khoán nước ngoài tại Việt Nam &gt;&gt; Báo cáo tình hình tài chính riêng</t>
        </is>
      </c>
      <c r="D3153" s="390" t="inlineStr">
        <is>
          <t>11. Phải trả người lao động</t>
        </is>
      </c>
      <c r="E3153" s="151" t="n">
        <v>323</v>
      </c>
      <c r="F3153" s="390" t="inlineStr">
        <is>
          <t>Data Explorer</t>
        </is>
      </c>
      <c r="G3153" s="390" t="inlineStr">
        <is>
          <t>Chỉ tiêu cơ sở</t>
        </is>
      </c>
      <c r="H3153" s="390" t="inlineStr">
        <is>
          <t>Dễ</t>
        </is>
      </c>
      <c r="I3153" s="390" t="inlineStr">
        <is>
          <t>Ngày, CTCK</t>
        </is>
      </c>
      <c r="J3153" s="401" t="inlineStr">
        <is>
          <t>SCMS</t>
        </is>
      </c>
      <c r="K3153" s="401" t="n"/>
      <c r="L3153" s="401" t="inlineStr">
        <is>
          <t>X</t>
        </is>
      </c>
      <c r="M3153" s="401" t="n"/>
      <c r="N3153" s="401" t="inlineStr">
        <is>
          <t>Done</t>
        </is>
      </c>
      <c r="O3153" s="401" t="n"/>
      <c r="P3153" s="401" t="n"/>
      <c r="S3153" s="401" t="n"/>
      <c r="U3153" s="401" t="n"/>
      <c r="V3153" s="22" t="n"/>
      <c r="W3153" s="22" t="n"/>
      <c r="X3153" s="22" t="n"/>
      <c r="Y3153" s="36" t="n"/>
      <c r="Z3153" s="22" t="n"/>
      <c r="AA3153" s="22" t="n"/>
      <c r="AB3153" s="22" t="n"/>
      <c r="AC3153" s="22" t="n"/>
      <c r="AD3153" s="22" t="n"/>
      <c r="AE3153" s="22" t="n"/>
    </row>
    <row r="3154" ht="98" customHeight="1" s="380">
      <c r="A3154" s="144" t="n">
        <v>123</v>
      </c>
      <c r="B3154" s="390" t="n"/>
      <c r="C3154" s="390" t="inlineStr">
        <is>
          <t>Báo cáo tài chính quý, soát xét bán niên, kiểm toán năm - Chi nhánh công ty chứng khoán nước ngoài tại Việt Nam &gt;&gt; Báo cáo tình hình tài chính riêng</t>
        </is>
      </c>
      <c r="D3154" s="390" t="inlineStr">
        <is>
          <t>12.Các khoản trích nộp phúc lợi nhân viên</t>
        </is>
      </c>
      <c r="E3154" s="151" t="n">
        <v>324</v>
      </c>
      <c r="F3154" s="390" t="inlineStr">
        <is>
          <t>Data Explorer</t>
        </is>
      </c>
      <c r="G3154" s="390" t="inlineStr">
        <is>
          <t>Chỉ tiêu cơ sở</t>
        </is>
      </c>
      <c r="H3154" s="390" t="inlineStr">
        <is>
          <t>Dễ</t>
        </is>
      </c>
      <c r="I3154" s="390" t="inlineStr">
        <is>
          <t>Ngày, CTCK</t>
        </is>
      </c>
      <c r="J3154" s="401" t="inlineStr">
        <is>
          <t>SCMS</t>
        </is>
      </c>
      <c r="K3154" s="401" t="n"/>
      <c r="L3154" s="401" t="inlineStr">
        <is>
          <t>X</t>
        </is>
      </c>
      <c r="M3154" s="401" t="n"/>
      <c r="N3154" s="401" t="inlineStr">
        <is>
          <t>Done</t>
        </is>
      </c>
      <c r="O3154" s="401" t="n"/>
      <c r="P3154" s="401" t="n"/>
      <c r="S3154" s="401" t="n"/>
      <c r="U3154" s="401" t="n"/>
      <c r="V3154" s="22" t="n"/>
      <c r="W3154" s="22" t="n"/>
      <c r="X3154" s="22" t="n"/>
      <c r="Y3154" s="395" t="n"/>
      <c r="Z3154" s="22" t="n"/>
      <c r="AA3154" s="22" t="n"/>
      <c r="AB3154" s="22" t="n"/>
      <c r="AC3154" s="22" t="n"/>
      <c r="AD3154" s="22" t="n"/>
      <c r="AE3154" s="22" t="n"/>
    </row>
    <row r="3155" ht="98" customHeight="1" s="380">
      <c r="A3155" s="144" t="n">
        <v>123</v>
      </c>
      <c r="B3155" s="390" t="n"/>
      <c r="C3155" s="390" t="inlineStr">
        <is>
          <t>Báo cáo tài chính quý, soát xét bán niên, kiểm toán năm - Chi nhánh công ty chứng khoán nước ngoài tại Việt Nam &gt;&gt; Báo cáo tình hình tài chính riêng</t>
        </is>
      </c>
      <c r="D3155" s="390" t="inlineStr">
        <is>
          <t>13. Chi phí phải trả ngắn hạn</t>
        </is>
      </c>
      <c r="E3155" s="151" t="n">
        <v>325</v>
      </c>
      <c r="F3155" s="390" t="inlineStr">
        <is>
          <t>Data Explorer</t>
        </is>
      </c>
      <c r="G3155" s="390" t="inlineStr">
        <is>
          <t>Chỉ tiêu cơ sở</t>
        </is>
      </c>
      <c r="H3155" s="390" t="inlineStr">
        <is>
          <t>Dễ</t>
        </is>
      </c>
      <c r="I3155" s="390" t="inlineStr">
        <is>
          <t>Ngày, CTCK</t>
        </is>
      </c>
      <c r="J3155" s="401" t="inlineStr">
        <is>
          <t>SCMS</t>
        </is>
      </c>
      <c r="K3155" s="401" t="n"/>
      <c r="L3155" s="401" t="inlineStr">
        <is>
          <t>X</t>
        </is>
      </c>
      <c r="M3155" s="401" t="n"/>
      <c r="N3155" s="401" t="inlineStr">
        <is>
          <t>Done</t>
        </is>
      </c>
      <c r="O3155" s="401" t="n"/>
      <c r="P3155" s="401" t="n"/>
      <c r="S3155" s="401" t="n"/>
      <c r="U3155" s="401" t="n"/>
      <c r="V3155" s="22" t="n"/>
      <c r="W3155" s="22" t="n"/>
      <c r="X3155" s="22" t="n"/>
      <c r="Y3155" s="395" t="n"/>
      <c r="Z3155" s="22" t="n"/>
      <c r="AA3155" s="22" t="n"/>
      <c r="AB3155" s="22" t="n"/>
      <c r="AC3155" s="22" t="n"/>
      <c r="AD3155" s="22" t="n"/>
      <c r="AE3155" s="22" t="n"/>
    </row>
    <row r="3156" ht="98" customHeight="1" s="380">
      <c r="A3156" s="144" t="n">
        <v>123</v>
      </c>
      <c r="B3156" s="390" t="n"/>
      <c r="C3156" s="390" t="inlineStr">
        <is>
          <t>Báo cáo tài chính quý, soát xét bán niên, kiểm toán năm - Chi nhánh công ty chứng khoán nước ngoài tại Việt Nam &gt;&gt; Báo cáo tình hình tài chính riêng</t>
        </is>
      </c>
      <c r="D3156" s="390" t="inlineStr">
        <is>
          <t>14. Phải trả nội bộ ngắn hạn</t>
        </is>
      </c>
      <c r="E3156" s="151" t="n">
        <v>326</v>
      </c>
      <c r="F3156" s="390" t="inlineStr">
        <is>
          <t>Data Explorer</t>
        </is>
      </c>
      <c r="G3156" s="390" t="inlineStr">
        <is>
          <t>Chỉ tiêu cơ sở</t>
        </is>
      </c>
      <c r="H3156" s="390" t="inlineStr">
        <is>
          <t>Dễ</t>
        </is>
      </c>
      <c r="I3156" s="390" t="inlineStr">
        <is>
          <t>Ngày, CTCK</t>
        </is>
      </c>
      <c r="J3156" s="401" t="inlineStr">
        <is>
          <t>SCMS</t>
        </is>
      </c>
      <c r="K3156" s="401" t="n"/>
      <c r="L3156" s="401" t="inlineStr">
        <is>
          <t>X</t>
        </is>
      </c>
      <c r="M3156" s="401" t="n"/>
      <c r="N3156" s="401" t="inlineStr">
        <is>
          <t>Done</t>
        </is>
      </c>
      <c r="O3156" s="401" t="n"/>
      <c r="P3156" s="401" t="n"/>
      <c r="S3156" s="401" t="n"/>
      <c r="U3156" s="401" t="n"/>
      <c r="V3156" s="22" t="n"/>
      <c r="W3156" s="22" t="n"/>
      <c r="X3156" s="22" t="n"/>
      <c r="Y3156" s="37" t="n"/>
      <c r="Z3156" s="22" t="n"/>
      <c r="AA3156" s="22" t="n"/>
      <c r="AB3156" s="22" t="n"/>
      <c r="AC3156" s="22" t="n"/>
      <c r="AD3156" s="22" t="n"/>
      <c r="AE3156" s="22" t="n"/>
    </row>
    <row r="3157" ht="98" customHeight="1" s="380">
      <c r="A3157" s="144" t="n">
        <v>123</v>
      </c>
      <c r="B3157" s="390" t="n"/>
      <c r="C3157" s="390" t="inlineStr">
        <is>
          <t>Báo cáo tài chính quý, soát xét bán niên, kiểm toán năm - Chi nhánh công ty chứng khoán nước ngoài tại Việt Nam &gt;&gt; Báo cáo tình hình tài chính riêng</t>
        </is>
      </c>
      <c r="D3157" s="390" t="inlineStr">
        <is>
          <t>15. Doanh thu chưa thực hiện ngắn hạn</t>
        </is>
      </c>
      <c r="E3157" s="151" t="n">
        <v>327</v>
      </c>
      <c r="F3157" s="390" t="inlineStr">
        <is>
          <t>Data Explorer</t>
        </is>
      </c>
      <c r="G3157" s="390" t="inlineStr">
        <is>
          <t>Chỉ tiêu cơ sở</t>
        </is>
      </c>
      <c r="H3157" s="390" t="inlineStr">
        <is>
          <t>Dễ</t>
        </is>
      </c>
      <c r="I3157" s="390" t="inlineStr">
        <is>
          <t>Ngày, CTCK</t>
        </is>
      </c>
      <c r="J3157" s="401" t="inlineStr">
        <is>
          <t>SCMS</t>
        </is>
      </c>
      <c r="K3157" s="401" t="n"/>
      <c r="L3157" s="401" t="inlineStr">
        <is>
          <t>X</t>
        </is>
      </c>
      <c r="M3157" s="401" t="n"/>
      <c r="N3157" s="401" t="inlineStr">
        <is>
          <t>Done</t>
        </is>
      </c>
      <c r="O3157" s="401" t="n"/>
      <c r="P3157" s="401" t="n"/>
      <c r="S3157" s="401" t="n"/>
      <c r="U3157" s="401" t="n"/>
      <c r="V3157" s="22" t="n"/>
      <c r="W3157" s="22" t="n"/>
      <c r="X3157" s="22" t="n"/>
      <c r="Y3157" s="395" t="n"/>
      <c r="Z3157" s="22" t="n"/>
      <c r="AA3157" s="22" t="n"/>
      <c r="AB3157" s="22" t="n"/>
      <c r="AC3157" s="22" t="n"/>
      <c r="AD3157" s="22" t="n"/>
      <c r="AE3157" s="22" t="n"/>
    </row>
    <row r="3158" ht="98" customHeight="1" s="380">
      <c r="A3158" s="144" t="n">
        <v>123</v>
      </c>
      <c r="B3158" s="390" t="n"/>
      <c r="C3158" s="390" t="inlineStr">
        <is>
          <t>Báo cáo tài chính quý, soát xét bán niên, kiểm toán năm - Chi nhánh công ty chứng khoán nước ngoài tại Việt Nam &gt;&gt; Báo cáo tình hình tài chính riêng</t>
        </is>
      </c>
      <c r="D3158" s="390" t="inlineStr">
        <is>
          <t>16. Nhận ký quỹ, ký cược ngắn hạn</t>
        </is>
      </c>
      <c r="E3158" s="151" t="n">
        <v>328</v>
      </c>
      <c r="F3158" s="390" t="inlineStr">
        <is>
          <t>Data Explorer</t>
        </is>
      </c>
      <c r="G3158" s="390" t="inlineStr">
        <is>
          <t>Chỉ tiêu cơ sở</t>
        </is>
      </c>
      <c r="H3158" s="390" t="inlineStr">
        <is>
          <t>Dễ</t>
        </is>
      </c>
      <c r="I3158" s="390" t="inlineStr">
        <is>
          <t>Ngày, CTCK</t>
        </is>
      </c>
      <c r="J3158" s="401" t="inlineStr">
        <is>
          <t>SCMS</t>
        </is>
      </c>
      <c r="K3158" s="401" t="n"/>
      <c r="L3158" s="401" t="inlineStr">
        <is>
          <t>X</t>
        </is>
      </c>
      <c r="M3158" s="401" t="n"/>
      <c r="N3158" s="401" t="inlineStr">
        <is>
          <t>Done</t>
        </is>
      </c>
      <c r="O3158" s="401" t="n"/>
      <c r="P3158" s="401" t="n"/>
      <c r="S3158" s="401" t="n"/>
      <c r="U3158" s="401" t="n"/>
      <c r="V3158" s="22" t="n"/>
      <c r="W3158" s="22" t="n"/>
      <c r="X3158" s="22" t="n"/>
      <c r="Y3158" s="395" t="n"/>
      <c r="Z3158" s="22" t="n"/>
      <c r="AA3158" s="22" t="n"/>
      <c r="AB3158" s="22" t="n"/>
      <c r="AC3158" s="22" t="n"/>
      <c r="AD3158" s="22" t="n"/>
      <c r="AE3158" s="22" t="n"/>
    </row>
    <row r="3159" ht="98" customHeight="1" s="380">
      <c r="A3159" s="144" t="n">
        <v>123</v>
      </c>
      <c r="B3159" s="390" t="n"/>
      <c r="C3159" s="390" t="inlineStr">
        <is>
          <t>Báo cáo tài chính quý, soát xét bán niên, kiểm toán năm - Chi nhánh công ty chứng khoán nước ngoài tại Việt Nam &gt;&gt; Báo cáo tình hình tài chính riêng</t>
        </is>
      </c>
      <c r="D3159" s="390" t="inlineStr">
        <is>
          <t>17.Các khoản phải trả, phải nộp khác ngắn hạn</t>
        </is>
      </c>
      <c r="E3159" s="151" t="n">
        <v>329</v>
      </c>
      <c r="F3159" s="390" t="inlineStr">
        <is>
          <t>Data Explorer</t>
        </is>
      </c>
      <c r="G3159" s="390" t="inlineStr">
        <is>
          <t>Chỉ tiêu cơ sở</t>
        </is>
      </c>
      <c r="H3159" s="390" t="inlineStr">
        <is>
          <t>Dễ</t>
        </is>
      </c>
      <c r="I3159" s="390" t="inlineStr">
        <is>
          <t>Ngày, CTCK</t>
        </is>
      </c>
      <c r="J3159" s="401" t="inlineStr">
        <is>
          <t>SCMS</t>
        </is>
      </c>
      <c r="K3159" s="401" t="n"/>
      <c r="L3159" s="401" t="inlineStr">
        <is>
          <t>X</t>
        </is>
      </c>
      <c r="M3159" s="401" t="n"/>
      <c r="N3159" s="401" t="inlineStr">
        <is>
          <t>Done</t>
        </is>
      </c>
      <c r="O3159" s="401" t="n"/>
      <c r="P3159" s="401" t="n"/>
      <c r="S3159" s="401" t="n"/>
      <c r="U3159" s="401" t="n"/>
      <c r="V3159" s="22" t="n"/>
      <c r="W3159" s="22" t="n"/>
      <c r="X3159" s="22" t="n"/>
      <c r="Y3159" s="395" t="n"/>
      <c r="Z3159" s="22" t="n"/>
      <c r="AA3159" s="22" t="n"/>
      <c r="AB3159" s="22" t="n"/>
      <c r="AC3159" s="22" t="n"/>
      <c r="AD3159" s="22" t="n"/>
      <c r="AE3159" s="22" t="n"/>
    </row>
    <row r="3160" ht="98" customHeight="1" s="380">
      <c r="A3160" s="144" t="n">
        <v>123</v>
      </c>
      <c r="B3160" s="390" t="n"/>
      <c r="C3160" s="390" t="inlineStr">
        <is>
          <t>Báo cáo tài chính quý, soát xét bán niên, kiểm toán năm - Chi nhánh công ty chứng khoán nước ngoài tại Việt Nam &gt;&gt; Báo cáo tình hình tài chính riêng</t>
        </is>
      </c>
      <c r="D3160" s="390" t="inlineStr">
        <is>
          <t>18. Dự phòng phải trả ngắn hạn</t>
        </is>
      </c>
      <c r="E3160" s="151" t="n">
        <v>330</v>
      </c>
      <c r="F3160" s="390" t="inlineStr">
        <is>
          <t>Data Explorer</t>
        </is>
      </c>
      <c r="G3160" s="390" t="inlineStr">
        <is>
          <t>Chỉ tiêu cơ sở</t>
        </is>
      </c>
      <c r="H3160" s="390" t="inlineStr">
        <is>
          <t>Dễ</t>
        </is>
      </c>
      <c r="I3160" s="390" t="inlineStr">
        <is>
          <t>Ngày, CTCK</t>
        </is>
      </c>
      <c r="J3160" s="401" t="inlineStr">
        <is>
          <t>SCMS</t>
        </is>
      </c>
      <c r="K3160" s="401" t="n"/>
      <c r="L3160" s="401" t="inlineStr">
        <is>
          <t>X</t>
        </is>
      </c>
      <c r="M3160" s="401" t="n"/>
      <c r="N3160" s="401" t="inlineStr">
        <is>
          <t>Done</t>
        </is>
      </c>
      <c r="O3160" s="401" t="n"/>
      <c r="P3160" s="401" t="n"/>
      <c r="S3160" s="401" t="n"/>
      <c r="U3160" s="401" t="n"/>
      <c r="V3160" s="22" t="n"/>
      <c r="W3160" s="22" t="n"/>
      <c r="X3160" s="22" t="n"/>
      <c r="Y3160" s="395" t="n"/>
      <c r="Z3160" s="22" t="n"/>
      <c r="AA3160" s="22" t="n"/>
      <c r="AB3160" s="22" t="n"/>
      <c r="AC3160" s="22" t="n"/>
      <c r="AD3160" s="22" t="n"/>
      <c r="AE3160" s="22" t="n"/>
    </row>
    <row r="3161" ht="98" customHeight="1" s="380">
      <c r="A3161" s="144" t="n">
        <v>123</v>
      </c>
      <c r="B3161" s="390" t="n"/>
      <c r="C3161" s="390" t="inlineStr">
        <is>
          <t>Báo cáo tài chính quý, soát xét bán niên, kiểm toán năm - Chi nhánh công ty chứng khoán nước ngoài tại Việt Nam &gt;&gt; Báo cáo tình hình tài chính riêng</t>
        </is>
      </c>
      <c r="D3161" s="390" t="inlineStr">
        <is>
          <t>19. Quỹ khen thưởng, phúc lợi</t>
        </is>
      </c>
      <c r="E3161" s="151" t="n">
        <v>331</v>
      </c>
      <c r="F3161" s="390" t="inlineStr">
        <is>
          <t>Data Explorer</t>
        </is>
      </c>
      <c r="G3161" s="390" t="inlineStr">
        <is>
          <t>Chỉ tiêu cơ sở</t>
        </is>
      </c>
      <c r="H3161" s="390" t="inlineStr">
        <is>
          <t>Dễ</t>
        </is>
      </c>
      <c r="I3161" s="390" t="inlineStr">
        <is>
          <t>Ngày, CTCK</t>
        </is>
      </c>
      <c r="J3161" s="401" t="inlineStr">
        <is>
          <t>SCMS</t>
        </is>
      </c>
      <c r="K3161" s="401" t="n"/>
      <c r="L3161" s="401" t="inlineStr">
        <is>
          <t>X</t>
        </is>
      </c>
      <c r="M3161" s="401" t="n"/>
      <c r="N3161" s="401" t="inlineStr">
        <is>
          <t>Done</t>
        </is>
      </c>
      <c r="O3161" s="401" t="n"/>
      <c r="P3161" s="401" t="n"/>
      <c r="S3161" s="401" t="n"/>
      <c r="U3161" s="401" t="n"/>
      <c r="V3161" s="22" t="n"/>
      <c r="W3161" s="22" t="n"/>
      <c r="X3161" s="22" t="n"/>
      <c r="Y3161" s="395" t="n"/>
      <c r="Z3161" s="22" t="n"/>
      <c r="AA3161" s="22" t="n"/>
      <c r="AB3161" s="22" t="n"/>
      <c r="AC3161" s="22" t="n"/>
      <c r="AD3161" s="22" t="n"/>
      <c r="AE3161" s="22" t="n"/>
    </row>
    <row r="3162" ht="98" customHeight="1" s="380">
      <c r="A3162" s="144" t="n">
        <v>123</v>
      </c>
      <c r="B3162" s="390" t="n"/>
      <c r="C3162" s="390" t="inlineStr">
        <is>
          <t>Báo cáo tài chính quý, soát xét bán niên, kiểm toán năm - Chi nhánh công ty chứng khoán nước ngoài tại Việt Nam &gt;&gt; Báo cáo tình hình tài chính riêng</t>
        </is>
      </c>
      <c r="D3162" s="390" t="inlineStr">
        <is>
          <t>20. Giao dịch mua bán lại trái phiếu Chính phủ</t>
        </is>
      </c>
      <c r="E3162" s="151" t="n">
        <v>332</v>
      </c>
      <c r="F3162" s="390" t="inlineStr">
        <is>
          <t>Data Explorer</t>
        </is>
      </c>
      <c r="G3162" s="390" t="inlineStr">
        <is>
          <t>Chỉ tiêu cơ sở</t>
        </is>
      </c>
      <c r="H3162" s="390" t="inlineStr">
        <is>
          <t>Dễ</t>
        </is>
      </c>
      <c r="I3162" s="390" t="inlineStr">
        <is>
          <t>Ngày, CTCK</t>
        </is>
      </c>
      <c r="J3162" s="401" t="inlineStr">
        <is>
          <t>SCMS</t>
        </is>
      </c>
      <c r="K3162" s="401" t="n"/>
      <c r="L3162" s="401" t="inlineStr">
        <is>
          <t>X</t>
        </is>
      </c>
      <c r="M3162" s="401" t="n"/>
      <c r="N3162" s="401" t="inlineStr">
        <is>
          <t>Done</t>
        </is>
      </c>
      <c r="O3162" s="401" t="n"/>
      <c r="P3162" s="401" t="n"/>
      <c r="S3162" s="401" t="n"/>
      <c r="U3162" s="401" t="n"/>
      <c r="V3162" s="22" t="n"/>
      <c r="W3162" s="22" t="n"/>
      <c r="X3162" s="22" t="n"/>
      <c r="Y3162" s="395" t="n"/>
      <c r="Z3162" s="22" t="n"/>
      <c r="AA3162" s="22" t="n"/>
      <c r="AB3162" s="22" t="n"/>
      <c r="AC3162" s="22" t="n"/>
      <c r="AD3162" s="22" t="n"/>
      <c r="AE3162" s="22" t="n"/>
    </row>
    <row r="3163" ht="98" customHeight="1" s="380">
      <c r="A3163" s="144" t="n">
        <v>123</v>
      </c>
      <c r="B3163" s="390" t="n"/>
      <c r="C3163" s="390" t="inlineStr">
        <is>
          <t>Báo cáo tài chính quý, soát xét bán niên, kiểm toán năm - Chi nhánh công ty chứng khoán nước ngoài tại Việt Nam &gt;&gt; Báo cáo tình hình tài chính riêng</t>
        </is>
      </c>
      <c r="D3163" s="132" t="inlineStr">
        <is>
          <t>II. Nợ phải trả dài hạn</t>
        </is>
      </c>
      <c r="E3163" s="150" t="n">
        <v>340</v>
      </c>
      <c r="F3163" s="390" t="inlineStr">
        <is>
          <t>Data Explorer</t>
        </is>
      </c>
      <c r="G3163" s="390" t="inlineStr">
        <is>
          <t>Chỉ tiêu cơ sở</t>
        </is>
      </c>
      <c r="H3163" s="390" t="inlineStr">
        <is>
          <t>Dễ</t>
        </is>
      </c>
      <c r="I3163" s="390" t="inlineStr">
        <is>
          <t>Ngày, CTCK</t>
        </is>
      </c>
      <c r="J3163" s="401" t="inlineStr">
        <is>
          <t>SCMS</t>
        </is>
      </c>
      <c r="K3163" s="401" t="n"/>
      <c r="L3163" s="401" t="inlineStr">
        <is>
          <t>X</t>
        </is>
      </c>
      <c r="M3163" s="401" t="n"/>
      <c r="N3163" s="401" t="inlineStr">
        <is>
          <t>Done</t>
        </is>
      </c>
      <c r="O3163" s="401" t="n"/>
      <c r="P3163" s="401" t="n"/>
      <c r="S3163" s="401" t="n"/>
      <c r="U3163" s="401" t="n"/>
      <c r="V3163" s="22" t="n"/>
      <c r="W3163" s="22" t="n"/>
      <c r="X3163" s="22" t="n"/>
      <c r="Y3163" s="36" t="n"/>
      <c r="Z3163" s="22" t="n"/>
      <c r="AA3163" s="22" t="n"/>
      <c r="AB3163" s="22" t="n"/>
      <c r="AC3163" s="22" t="n"/>
      <c r="AD3163" s="22" t="n"/>
      <c r="AE3163" s="22" t="n"/>
    </row>
    <row r="3164" ht="98" customHeight="1" s="380">
      <c r="A3164" s="144" t="n">
        <v>123</v>
      </c>
      <c r="B3164" s="390" t="n"/>
      <c r="C3164" s="390" t="inlineStr">
        <is>
          <t>Báo cáo tài chính quý, soát xét bán niên, kiểm toán năm - Chi nhánh công ty chứng khoán nước ngoài tại Việt Nam &gt;&gt; Báo cáo tình hình tài chính riêng</t>
        </is>
      </c>
      <c r="D3164" s="390" t="inlineStr">
        <is>
          <t>1. Vay và nợ thuê tài chính dài hạn</t>
        </is>
      </c>
      <c r="E3164" s="151" t="n">
        <v>341</v>
      </c>
      <c r="F3164" s="390" t="inlineStr">
        <is>
          <t>Data Explorer</t>
        </is>
      </c>
      <c r="G3164" s="390" t="inlineStr">
        <is>
          <t>Chỉ tiêu cơ sở</t>
        </is>
      </c>
      <c r="H3164" s="390" t="inlineStr">
        <is>
          <t>Dễ</t>
        </is>
      </c>
      <c r="I3164" s="390" t="inlineStr">
        <is>
          <t>Ngày, CTCK</t>
        </is>
      </c>
      <c r="J3164" s="401" t="inlineStr">
        <is>
          <t>SCMS</t>
        </is>
      </c>
      <c r="K3164" s="401" t="n"/>
      <c r="L3164" s="401" t="inlineStr">
        <is>
          <t>X</t>
        </is>
      </c>
      <c r="M3164" s="401" t="n"/>
      <c r="N3164" s="401" t="inlineStr">
        <is>
          <t>Done</t>
        </is>
      </c>
      <c r="O3164" s="401" t="n"/>
      <c r="P3164" s="401" t="n"/>
      <c r="S3164" s="401" t="n"/>
      <c r="U3164" s="401" t="n"/>
      <c r="V3164" s="22" t="n"/>
      <c r="W3164" s="22" t="n"/>
      <c r="X3164" s="22" t="n"/>
      <c r="Y3164" s="395" t="n"/>
      <c r="Z3164" s="22" t="n"/>
      <c r="AA3164" s="22" t="n"/>
      <c r="AB3164" s="22" t="n"/>
      <c r="AC3164" s="22" t="n"/>
      <c r="AD3164" s="22" t="n"/>
      <c r="AE3164" s="22" t="n"/>
    </row>
    <row r="3165" ht="98" customHeight="1" s="380">
      <c r="A3165" s="144" t="n">
        <v>123</v>
      </c>
      <c r="B3165" s="390" t="n"/>
      <c r="C3165" s="390" t="inlineStr">
        <is>
          <t>Báo cáo tài chính quý, soát xét bán niên, kiểm toán năm - Chi nhánh công ty chứng khoán nước ngoài tại Việt Nam &gt;&gt; Báo cáo tình hình tài chính riêng</t>
        </is>
      </c>
      <c r="D3165" s="390" t="inlineStr">
        <is>
          <t>1.1.Vay dài hạn</t>
        </is>
      </c>
      <c r="E3165" s="151" t="n">
        <v>342</v>
      </c>
      <c r="F3165" s="390" t="inlineStr">
        <is>
          <t>Data Explorer</t>
        </is>
      </c>
      <c r="G3165" s="390" t="inlineStr">
        <is>
          <t>Chỉ tiêu cơ sở</t>
        </is>
      </c>
      <c r="H3165" s="390" t="inlineStr">
        <is>
          <t>Dễ</t>
        </is>
      </c>
      <c r="I3165" s="390" t="inlineStr">
        <is>
          <t>Ngày, CTCK</t>
        </is>
      </c>
      <c r="J3165" s="401" t="inlineStr">
        <is>
          <t>SCMS</t>
        </is>
      </c>
      <c r="K3165" s="401" t="n"/>
      <c r="L3165" s="401" t="inlineStr">
        <is>
          <t>X</t>
        </is>
      </c>
      <c r="M3165" s="401" t="n"/>
      <c r="N3165" s="401" t="inlineStr">
        <is>
          <t>Done</t>
        </is>
      </c>
      <c r="O3165" s="401" t="n"/>
      <c r="P3165" s="401" t="n"/>
      <c r="S3165" s="401" t="n"/>
      <c r="U3165" s="401" t="n"/>
      <c r="V3165" s="22" t="n"/>
      <c r="W3165" s="22" t="n"/>
      <c r="X3165" s="22" t="n"/>
      <c r="Y3165" s="395" t="n"/>
      <c r="Z3165" s="22" t="n"/>
      <c r="AA3165" s="22" t="n"/>
      <c r="AB3165" s="22" t="n"/>
      <c r="AC3165" s="22" t="n"/>
      <c r="AD3165" s="22" t="n"/>
      <c r="AE3165" s="22" t="n"/>
    </row>
    <row r="3166" ht="98" customHeight="1" s="380">
      <c r="A3166" s="144" t="n">
        <v>123</v>
      </c>
      <c r="B3166" s="390" t="n"/>
      <c r="C3166" s="390" t="inlineStr">
        <is>
          <t>Báo cáo tài chính quý, soát xét bán niên, kiểm toán năm - Chi nhánh công ty chứng khoán nước ngoài tại Việt Nam &gt;&gt; Báo cáo tình hình tài chính riêng</t>
        </is>
      </c>
      <c r="D3166" s="390" t="inlineStr">
        <is>
          <t>1.2. Nợ thuê tài chính dài hạn</t>
        </is>
      </c>
      <c r="E3166" s="151" t="n">
        <v>343</v>
      </c>
      <c r="F3166" s="390" t="inlineStr">
        <is>
          <t>Data Explorer</t>
        </is>
      </c>
      <c r="G3166" s="390" t="inlineStr">
        <is>
          <t>Chỉ tiêu cơ sở</t>
        </is>
      </c>
      <c r="H3166" s="390" t="inlineStr">
        <is>
          <t>Dễ</t>
        </is>
      </c>
      <c r="I3166" s="390" t="inlineStr">
        <is>
          <t>Ngày, CTCK</t>
        </is>
      </c>
      <c r="J3166" s="401" t="inlineStr">
        <is>
          <t>SCMS</t>
        </is>
      </c>
      <c r="K3166" s="401" t="n"/>
      <c r="L3166" s="401" t="inlineStr">
        <is>
          <t>X</t>
        </is>
      </c>
      <c r="M3166" s="401" t="n"/>
      <c r="N3166" s="401" t="inlineStr">
        <is>
          <t>Done</t>
        </is>
      </c>
      <c r="O3166" s="401" t="n"/>
      <c r="P3166" s="401" t="n"/>
      <c r="S3166" s="401" t="n"/>
      <c r="U3166" s="401" t="n"/>
      <c r="V3166" s="22" t="n"/>
      <c r="W3166" s="22" t="n"/>
      <c r="X3166" s="22" t="n"/>
      <c r="Y3166" s="395" t="n"/>
      <c r="Z3166" s="22" t="n"/>
      <c r="AA3166" s="22" t="n"/>
      <c r="AB3166" s="22" t="n"/>
      <c r="AC3166" s="22" t="n"/>
      <c r="AD3166" s="22" t="n"/>
      <c r="AE3166" s="22" t="n"/>
    </row>
    <row r="3167" ht="98" customHeight="1" s="380">
      <c r="A3167" s="144" t="n">
        <v>123</v>
      </c>
      <c r="B3167" s="390" t="n"/>
      <c r="C3167" s="390" t="inlineStr">
        <is>
          <t>Báo cáo tài chính quý, soát xét bán niên, kiểm toán năm - Chi nhánh công ty chứng khoán nước ngoài tại Việt Nam &gt;&gt; Báo cáo tình hình tài chính riêng</t>
        </is>
      </c>
      <c r="D3167" s="390" t="inlineStr">
        <is>
          <t>2. Vay tài sản tài chính dài hạn</t>
        </is>
      </c>
      <c r="E3167" s="151" t="n">
        <v>344</v>
      </c>
      <c r="F3167" s="390" t="inlineStr">
        <is>
          <t>Data Explorer</t>
        </is>
      </c>
      <c r="G3167" s="390" t="inlineStr">
        <is>
          <t>Chỉ tiêu cơ sở</t>
        </is>
      </c>
      <c r="H3167" s="390" t="inlineStr">
        <is>
          <t>Dễ</t>
        </is>
      </c>
      <c r="I3167" s="390" t="inlineStr">
        <is>
          <t>Ngày, CTCK</t>
        </is>
      </c>
      <c r="J3167" s="401" t="inlineStr">
        <is>
          <t>SCMS</t>
        </is>
      </c>
      <c r="K3167" s="401" t="n"/>
      <c r="L3167" s="401" t="inlineStr">
        <is>
          <t>X</t>
        </is>
      </c>
      <c r="M3167" s="401" t="n"/>
      <c r="N3167" s="401" t="inlineStr">
        <is>
          <t>Done</t>
        </is>
      </c>
      <c r="O3167" s="401" t="n"/>
      <c r="P3167" s="401" t="n"/>
      <c r="S3167" s="401" t="n"/>
      <c r="U3167" s="401" t="n"/>
      <c r="V3167" s="22" t="n"/>
      <c r="W3167" s="22" t="n"/>
      <c r="X3167" s="22" t="n"/>
      <c r="Y3167" s="395" t="n"/>
      <c r="Z3167" s="22" t="n"/>
      <c r="AA3167" s="22" t="n"/>
      <c r="AB3167" s="22" t="n"/>
      <c r="AC3167" s="22" t="n"/>
      <c r="AD3167" s="22" t="n"/>
      <c r="AE3167" s="22" t="n"/>
    </row>
    <row r="3168" ht="98" customHeight="1" s="380">
      <c r="A3168" s="144" t="n">
        <v>123</v>
      </c>
      <c r="B3168" s="390" t="n"/>
      <c r="C3168" s="390" t="inlineStr">
        <is>
          <t>Báo cáo tài chính quý, soát xét bán niên, kiểm toán năm - Chi nhánh công ty chứng khoán nước ngoài tại Việt Nam &gt;&gt; Báo cáo tình hình tài chính riêng</t>
        </is>
      </c>
      <c r="D3168" s="390" t="inlineStr">
        <is>
          <t>3.Trái phiếu chuyển đổi dài hạn - Cấu phần nợ</t>
        </is>
      </c>
      <c r="E3168" s="151" t="n">
        <v>345</v>
      </c>
      <c r="F3168" s="390" t="inlineStr">
        <is>
          <t>Data Explorer</t>
        </is>
      </c>
      <c r="G3168" s="390" t="inlineStr">
        <is>
          <t>Chỉ tiêu cơ sở</t>
        </is>
      </c>
      <c r="H3168" s="390" t="inlineStr">
        <is>
          <t>Dễ</t>
        </is>
      </c>
      <c r="I3168" s="390" t="inlineStr">
        <is>
          <t>Ngày, CTCK</t>
        </is>
      </c>
      <c r="J3168" s="401" t="inlineStr">
        <is>
          <t>SCMS</t>
        </is>
      </c>
      <c r="K3168" s="401" t="n"/>
      <c r="L3168" s="401" t="inlineStr">
        <is>
          <t>X</t>
        </is>
      </c>
      <c r="M3168" s="401" t="n"/>
      <c r="N3168" s="401" t="inlineStr">
        <is>
          <t>Done</t>
        </is>
      </c>
      <c r="O3168" s="401" t="n"/>
      <c r="P3168" s="401" t="n"/>
      <c r="S3168" s="401" t="n"/>
      <c r="U3168" s="401" t="n"/>
      <c r="V3168" s="22" t="n"/>
      <c r="W3168" s="22" t="n"/>
      <c r="X3168" s="22" t="n"/>
      <c r="Y3168" s="395" t="n"/>
      <c r="Z3168" s="22" t="n"/>
      <c r="AA3168" s="22" t="n"/>
      <c r="AB3168" s="22" t="n"/>
      <c r="AC3168" s="22" t="n"/>
      <c r="AD3168" s="22" t="n"/>
      <c r="AE3168" s="22" t="n"/>
    </row>
    <row r="3169" ht="98" customHeight="1" s="380">
      <c r="A3169" s="144" t="n">
        <v>123</v>
      </c>
      <c r="B3169" s="390" t="n"/>
      <c r="C3169" s="390" t="inlineStr">
        <is>
          <t>Báo cáo tài chính quý, soát xét bán niên, kiểm toán năm - Chi nhánh công ty chứng khoán nước ngoài tại Việt Nam &gt;&gt; Báo cáo tình hình tài chính riêng</t>
        </is>
      </c>
      <c r="D3169" s="390" t="inlineStr">
        <is>
          <t>4.Trái phiếu phát hành dài hạn</t>
        </is>
      </c>
      <c r="E3169" s="151" t="n">
        <v>346</v>
      </c>
      <c r="F3169" s="390" t="inlineStr">
        <is>
          <t>Data Explorer</t>
        </is>
      </c>
      <c r="G3169" s="390" t="inlineStr">
        <is>
          <t>Chỉ tiêu cơ sở</t>
        </is>
      </c>
      <c r="H3169" s="390" t="inlineStr">
        <is>
          <t>Dễ</t>
        </is>
      </c>
      <c r="I3169" s="390" t="inlineStr">
        <is>
          <t>Ngày, CTCK</t>
        </is>
      </c>
      <c r="J3169" s="401" t="inlineStr">
        <is>
          <t>SCMS</t>
        </is>
      </c>
      <c r="K3169" s="401" t="n"/>
      <c r="L3169" s="401" t="inlineStr">
        <is>
          <t>X</t>
        </is>
      </c>
      <c r="M3169" s="401" t="n"/>
      <c r="N3169" s="401" t="inlineStr">
        <is>
          <t>Done</t>
        </is>
      </c>
      <c r="O3169" s="401" t="n"/>
      <c r="P3169" s="401" t="n"/>
      <c r="S3169" s="401" t="n"/>
      <c r="U3169" s="401" t="n"/>
      <c r="V3169" s="22" t="n"/>
      <c r="W3169" s="22" t="n"/>
      <c r="X3169" s="22" t="n"/>
      <c r="Y3169" s="395" t="n"/>
      <c r="Z3169" s="22" t="n"/>
      <c r="AA3169" s="22" t="n"/>
      <c r="AB3169" s="22" t="n"/>
      <c r="AC3169" s="22" t="n"/>
      <c r="AD3169" s="22" t="n"/>
      <c r="AE3169" s="22" t="n"/>
    </row>
    <row r="3170" ht="98" customHeight="1" s="380">
      <c r="A3170" s="144" t="n">
        <v>123</v>
      </c>
      <c r="B3170" s="390" t="n"/>
      <c r="C3170" s="390" t="inlineStr">
        <is>
          <t>Báo cáo tài chính quý, soát xét bán niên, kiểm toán năm - Chi nhánh công ty chứng khoán nước ngoài tại Việt Nam &gt;&gt; Báo cáo tình hình tài chính riêng</t>
        </is>
      </c>
      <c r="D3170" s="390" t="inlineStr">
        <is>
          <t>5.  Phải trả người bán dài hạn</t>
        </is>
      </c>
      <c r="E3170" s="151" t="n">
        <v>347</v>
      </c>
      <c r="F3170" s="390" t="inlineStr">
        <is>
          <t>Data Explorer</t>
        </is>
      </c>
      <c r="G3170" s="390" t="inlineStr">
        <is>
          <t>Chỉ tiêu cơ sở</t>
        </is>
      </c>
      <c r="H3170" s="390" t="inlineStr">
        <is>
          <t>Dễ</t>
        </is>
      </c>
      <c r="I3170" s="390" t="inlineStr">
        <is>
          <t>Ngày, CTCK</t>
        </is>
      </c>
      <c r="J3170" s="401" t="inlineStr">
        <is>
          <t>SCMS</t>
        </is>
      </c>
      <c r="K3170" s="401" t="n"/>
      <c r="L3170" s="401" t="inlineStr">
        <is>
          <t>X</t>
        </is>
      </c>
      <c r="M3170" s="401" t="n"/>
      <c r="N3170" s="401" t="inlineStr">
        <is>
          <t>Done</t>
        </is>
      </c>
      <c r="O3170" s="401" t="n"/>
      <c r="P3170" s="401" t="n"/>
      <c r="S3170" s="401" t="n"/>
      <c r="U3170" s="401" t="n"/>
      <c r="V3170" s="22" t="n"/>
      <c r="W3170" s="22" t="n"/>
      <c r="X3170" s="22" t="n"/>
      <c r="Y3170" s="36" t="n"/>
      <c r="Z3170" s="22" t="n"/>
      <c r="AA3170" s="22" t="n"/>
      <c r="AB3170" s="22" t="n"/>
      <c r="AC3170" s="22" t="n"/>
      <c r="AD3170" s="22" t="n"/>
      <c r="AE3170" s="22" t="n"/>
    </row>
    <row r="3171" ht="98" customHeight="1" s="380">
      <c r="A3171" s="144" t="n">
        <v>123</v>
      </c>
      <c r="B3171" s="390" t="n"/>
      <c r="C3171" s="390" t="inlineStr">
        <is>
          <t>Báo cáo tài chính quý, soát xét bán niên, kiểm toán năm - Chi nhánh công ty chứng khoán nước ngoài tại Việt Nam &gt;&gt; Báo cáo tình hình tài chính riêng</t>
        </is>
      </c>
      <c r="D3171" s="390" t="inlineStr">
        <is>
          <t>6. Người mua trả tiền trước dài hạn</t>
        </is>
      </c>
      <c r="E3171" s="151" t="n">
        <v>348</v>
      </c>
      <c r="F3171" s="390" t="inlineStr">
        <is>
          <t>Data Explorer</t>
        </is>
      </c>
      <c r="G3171" s="390" t="inlineStr">
        <is>
          <t>Chỉ tiêu cơ sở</t>
        </is>
      </c>
      <c r="H3171" s="390" t="inlineStr">
        <is>
          <t>Dễ</t>
        </is>
      </c>
      <c r="I3171" s="390" t="inlineStr">
        <is>
          <t>Ngày, CTCK</t>
        </is>
      </c>
      <c r="J3171" s="401" t="inlineStr">
        <is>
          <t>SCMS</t>
        </is>
      </c>
      <c r="K3171" s="401" t="n"/>
      <c r="L3171" s="401" t="inlineStr">
        <is>
          <t>X</t>
        </is>
      </c>
      <c r="M3171" s="401" t="n"/>
      <c r="N3171" s="401" t="inlineStr">
        <is>
          <t>Done</t>
        </is>
      </c>
      <c r="O3171" s="401" t="n"/>
      <c r="P3171" s="401" t="n"/>
      <c r="S3171" s="401" t="n"/>
      <c r="U3171" s="401" t="n"/>
      <c r="V3171" s="22" t="n"/>
      <c r="W3171" s="22" t="n"/>
      <c r="X3171" s="22" t="n"/>
      <c r="Y3171" s="395" t="n"/>
      <c r="Z3171" s="22" t="n"/>
      <c r="AA3171" s="22" t="n"/>
      <c r="AB3171" s="22" t="n"/>
      <c r="AC3171" s="22" t="n"/>
      <c r="AD3171" s="22" t="n"/>
      <c r="AE3171" s="22" t="n"/>
    </row>
    <row r="3172" ht="98" customHeight="1" s="380">
      <c r="A3172" s="144" t="n">
        <v>123</v>
      </c>
      <c r="B3172" s="390" t="n"/>
      <c r="C3172" s="390" t="inlineStr">
        <is>
          <t>Báo cáo tài chính quý, soát xét bán niên, kiểm toán năm - Chi nhánh công ty chứng khoán nước ngoài tại Việt Nam &gt;&gt; Báo cáo tình hình tài chính riêng</t>
        </is>
      </c>
      <c r="D3172" s="390" t="inlineStr">
        <is>
          <t>7. Chi phí phải trả dài hạn</t>
        </is>
      </c>
      <c r="E3172" s="151" t="n">
        <v>349</v>
      </c>
      <c r="F3172" s="390" t="inlineStr">
        <is>
          <t>Data Explorer</t>
        </is>
      </c>
      <c r="G3172" s="390" t="inlineStr">
        <is>
          <t>Chỉ tiêu cơ sở</t>
        </is>
      </c>
      <c r="H3172" s="390" t="inlineStr">
        <is>
          <t>Dễ</t>
        </is>
      </c>
      <c r="I3172" s="390" t="inlineStr">
        <is>
          <t>Ngày, CTCK</t>
        </is>
      </c>
      <c r="J3172" s="401" t="inlineStr">
        <is>
          <t>SCMS</t>
        </is>
      </c>
      <c r="K3172" s="401" t="n"/>
      <c r="L3172" s="401" t="inlineStr">
        <is>
          <t>X</t>
        </is>
      </c>
      <c r="M3172" s="401" t="n"/>
      <c r="N3172" s="401" t="inlineStr">
        <is>
          <t>Done</t>
        </is>
      </c>
      <c r="O3172" s="401" t="n"/>
      <c r="P3172" s="401" t="n"/>
      <c r="S3172" s="401" t="n"/>
      <c r="U3172" s="401" t="n"/>
      <c r="V3172" s="22" t="n"/>
      <c r="W3172" s="22" t="n"/>
      <c r="X3172" s="22" t="n"/>
      <c r="Y3172" s="36" t="n"/>
      <c r="Z3172" s="22" t="n"/>
      <c r="AA3172" s="22" t="n"/>
      <c r="AB3172" s="22" t="n"/>
      <c r="AC3172" s="22" t="n"/>
      <c r="AD3172" s="22" t="n"/>
      <c r="AE3172" s="22" t="n"/>
    </row>
    <row r="3173" ht="98" customHeight="1" s="380">
      <c r="A3173" s="144" t="n">
        <v>123</v>
      </c>
      <c r="B3173" s="390" t="n"/>
      <c r="C3173" s="390" t="inlineStr">
        <is>
          <t>Báo cáo tài chính quý, soát xét bán niên, kiểm toán năm - Chi nhánh công ty chứng khoán nước ngoài tại Việt Nam &gt;&gt; Báo cáo tình hình tài chính riêng</t>
        </is>
      </c>
      <c r="D3173" s="390" t="inlineStr">
        <is>
          <t>8. Phải trả nội bộ dài hạn</t>
        </is>
      </c>
      <c r="E3173" s="151" t="n">
        <v>350</v>
      </c>
      <c r="F3173" s="390" t="inlineStr">
        <is>
          <t>Data Explorer</t>
        </is>
      </c>
      <c r="G3173" s="390" t="inlineStr">
        <is>
          <t>Chỉ tiêu cơ sở</t>
        </is>
      </c>
      <c r="H3173" s="390" t="inlineStr">
        <is>
          <t>Dễ</t>
        </is>
      </c>
      <c r="I3173" s="390" t="inlineStr">
        <is>
          <t>Ngày, CTCK</t>
        </is>
      </c>
      <c r="J3173" s="401" t="inlineStr">
        <is>
          <t>SCMS</t>
        </is>
      </c>
      <c r="K3173" s="401" t="n"/>
      <c r="L3173" s="401" t="inlineStr">
        <is>
          <t>X</t>
        </is>
      </c>
      <c r="M3173" s="401" t="n"/>
      <c r="N3173" s="401" t="inlineStr">
        <is>
          <t>Done</t>
        </is>
      </c>
      <c r="O3173" s="401" t="n"/>
      <c r="P3173" s="401" t="n"/>
      <c r="S3173" s="401" t="n"/>
      <c r="U3173" s="401" t="n"/>
      <c r="V3173" s="22" t="n"/>
      <c r="W3173" s="22" t="n"/>
      <c r="X3173" s="22" t="n"/>
      <c r="Y3173" s="395" t="n"/>
      <c r="Z3173" s="22" t="n"/>
      <c r="AA3173" s="22" t="n"/>
      <c r="AB3173" s="22" t="n"/>
      <c r="AC3173" s="22" t="n"/>
      <c r="AD3173" s="22" t="n"/>
      <c r="AE3173" s="22" t="n"/>
    </row>
    <row r="3174" ht="98" customHeight="1" s="380">
      <c r="A3174" s="144" t="n">
        <v>123</v>
      </c>
      <c r="B3174" s="390" t="n"/>
      <c r="C3174" s="390" t="inlineStr">
        <is>
          <t>Báo cáo tài chính quý, soát xét bán niên, kiểm toán năm - Chi nhánh công ty chứng khoán nước ngoài tại Việt Nam &gt;&gt; Báo cáo tình hình tài chính riêng</t>
        </is>
      </c>
      <c r="D3174" s="390" t="inlineStr">
        <is>
          <t>9. Doanh thu chưa thực hiện dài hạn</t>
        </is>
      </c>
      <c r="E3174" s="151" t="n">
        <v>351</v>
      </c>
      <c r="F3174" s="390" t="inlineStr">
        <is>
          <t>Data Explorer</t>
        </is>
      </c>
      <c r="G3174" s="390" t="inlineStr">
        <is>
          <t>Chỉ tiêu cơ sở</t>
        </is>
      </c>
      <c r="H3174" s="390" t="inlineStr">
        <is>
          <t>Dễ</t>
        </is>
      </c>
      <c r="I3174" s="390" t="inlineStr">
        <is>
          <t>Ngày, CTCK</t>
        </is>
      </c>
      <c r="J3174" s="401" t="inlineStr">
        <is>
          <t>SCMS</t>
        </is>
      </c>
      <c r="K3174" s="401" t="n"/>
      <c r="L3174" s="401" t="inlineStr">
        <is>
          <t>X</t>
        </is>
      </c>
      <c r="M3174" s="401" t="n"/>
      <c r="N3174" s="401" t="inlineStr">
        <is>
          <t>Done</t>
        </is>
      </c>
      <c r="O3174" s="401" t="n"/>
      <c r="P3174" s="401" t="n"/>
      <c r="S3174" s="401" t="n"/>
      <c r="U3174" s="401" t="n"/>
      <c r="V3174" s="22" t="n"/>
      <c r="W3174" s="22" t="n"/>
      <c r="X3174" s="22" t="n"/>
      <c r="Y3174" s="395" t="n"/>
      <c r="Z3174" s="22" t="n"/>
      <c r="AA3174" s="22" t="n"/>
      <c r="AB3174" s="22" t="n"/>
      <c r="AC3174" s="22" t="n"/>
      <c r="AD3174" s="22" t="n"/>
      <c r="AE3174" s="22" t="n"/>
    </row>
    <row r="3175" ht="98" customHeight="1" s="380">
      <c r="A3175" s="144" t="n">
        <v>123</v>
      </c>
      <c r="B3175" s="390" t="n"/>
      <c r="C3175" s="390" t="inlineStr">
        <is>
          <t>Báo cáo tài chính quý, soát xét bán niên, kiểm toán năm - Chi nhánh công ty chứng khoán nước ngoài tại Việt Nam &gt;&gt; Báo cáo tình hình tài chính riêng</t>
        </is>
      </c>
      <c r="D3175" s="390" t="inlineStr">
        <is>
          <t>10. Nhận ký quỹ, ký cược dài hạn</t>
        </is>
      </c>
      <c r="E3175" s="151" t="n">
        <v>352</v>
      </c>
      <c r="F3175" s="390" t="inlineStr">
        <is>
          <t>Data Explorer</t>
        </is>
      </c>
      <c r="G3175" s="390" t="inlineStr">
        <is>
          <t>Chỉ tiêu cơ sở</t>
        </is>
      </c>
      <c r="H3175" s="390" t="inlineStr">
        <is>
          <t>Dễ</t>
        </is>
      </c>
      <c r="I3175" s="390" t="inlineStr">
        <is>
          <t>Ngày, CTCK</t>
        </is>
      </c>
      <c r="J3175" s="401" t="inlineStr">
        <is>
          <t>SCMS</t>
        </is>
      </c>
      <c r="K3175" s="401" t="n"/>
      <c r="L3175" s="401" t="inlineStr">
        <is>
          <t>X</t>
        </is>
      </c>
      <c r="M3175" s="401" t="n"/>
      <c r="N3175" s="401" t="inlineStr">
        <is>
          <t>Done</t>
        </is>
      </c>
      <c r="O3175" s="401" t="n"/>
      <c r="P3175" s="401" t="n"/>
      <c r="S3175" s="401" t="n"/>
      <c r="U3175" s="401" t="n"/>
      <c r="V3175" s="22" t="n"/>
      <c r="W3175" s="22" t="n"/>
      <c r="X3175" s="22" t="n"/>
      <c r="Y3175" s="395" t="n"/>
      <c r="Z3175" s="22" t="n"/>
      <c r="AA3175" s="22" t="n"/>
      <c r="AB3175" s="22" t="n"/>
      <c r="AC3175" s="22" t="n"/>
      <c r="AD3175" s="22" t="n"/>
      <c r="AE3175" s="22" t="n"/>
    </row>
    <row r="3176" ht="98" customHeight="1" s="380">
      <c r="A3176" s="144" t="n">
        <v>123</v>
      </c>
      <c r="B3176" s="390" t="n"/>
      <c r="C3176" s="390" t="inlineStr">
        <is>
          <t>Báo cáo tài chính quý, soát xét bán niên, kiểm toán năm - Chi nhánh công ty chứng khoán nước ngoài tại Việt Nam &gt;&gt; Báo cáo tình hình tài chính riêng</t>
        </is>
      </c>
      <c r="D3176" s="390" t="inlineStr">
        <is>
          <t>11. Các khoản phải trả, phải nộp khác dài hạn</t>
        </is>
      </c>
      <c r="E3176" s="151" t="n">
        <v>353</v>
      </c>
      <c r="F3176" s="390" t="inlineStr">
        <is>
          <t>Data Explorer</t>
        </is>
      </c>
      <c r="G3176" s="390" t="inlineStr">
        <is>
          <t>Chỉ tiêu cơ sở</t>
        </is>
      </c>
      <c r="H3176" s="390" t="inlineStr">
        <is>
          <t>Dễ</t>
        </is>
      </c>
      <c r="I3176" s="390" t="inlineStr">
        <is>
          <t>Ngày, CTCK</t>
        </is>
      </c>
      <c r="J3176" s="401" t="inlineStr">
        <is>
          <t>SCMS</t>
        </is>
      </c>
      <c r="K3176" s="401" t="n"/>
      <c r="L3176" s="401" t="inlineStr">
        <is>
          <t>X</t>
        </is>
      </c>
      <c r="M3176" s="401" t="n"/>
      <c r="N3176" s="401" t="inlineStr">
        <is>
          <t>Done</t>
        </is>
      </c>
      <c r="O3176" s="401" t="n"/>
      <c r="P3176" s="401" t="n"/>
      <c r="S3176" s="401" t="n"/>
      <c r="U3176" s="401" t="n"/>
      <c r="V3176" s="22" t="n"/>
      <c r="W3176" s="22" t="n"/>
      <c r="X3176" s="22" t="n"/>
      <c r="Y3176" s="395" t="n"/>
      <c r="Z3176" s="22" t="n"/>
      <c r="AA3176" s="22" t="n"/>
      <c r="AB3176" s="22" t="n"/>
      <c r="AC3176" s="22" t="n"/>
      <c r="AD3176" s="22" t="n"/>
      <c r="AE3176" s="22" t="n"/>
    </row>
    <row r="3177" ht="98" customHeight="1" s="380">
      <c r="A3177" s="144" t="n">
        <v>123</v>
      </c>
      <c r="B3177" s="390" t="n"/>
      <c r="C3177" s="390" t="inlineStr">
        <is>
          <t>Báo cáo tài chính quý, soát xét bán niên, kiểm toán năm - Chi nhánh công ty chứng khoán nước ngoài tại Việt Nam &gt;&gt; Báo cáo tình hình tài chính riêng</t>
        </is>
      </c>
      <c r="D3177" s="390" t="inlineStr">
        <is>
          <t>12. Dự phòng phải trả dài hạn</t>
        </is>
      </c>
      <c r="E3177" s="151" t="n">
        <v>354</v>
      </c>
      <c r="F3177" s="390" t="inlineStr">
        <is>
          <t>Data Explorer</t>
        </is>
      </c>
      <c r="G3177" s="390" t="inlineStr">
        <is>
          <t>Chỉ tiêu cơ sở</t>
        </is>
      </c>
      <c r="H3177" s="390" t="inlineStr">
        <is>
          <t>Dễ</t>
        </is>
      </c>
      <c r="I3177" s="390" t="inlineStr">
        <is>
          <t>Ngày, CTCK</t>
        </is>
      </c>
      <c r="J3177" s="401" t="inlineStr">
        <is>
          <t>SCMS</t>
        </is>
      </c>
      <c r="K3177" s="401" t="n"/>
      <c r="L3177" s="401" t="inlineStr">
        <is>
          <t>X</t>
        </is>
      </c>
      <c r="M3177" s="401" t="n"/>
      <c r="N3177" s="401" t="inlineStr">
        <is>
          <t>Done</t>
        </is>
      </c>
      <c r="O3177" s="401" t="n"/>
      <c r="P3177" s="401" t="n"/>
      <c r="S3177" s="401" t="n"/>
      <c r="U3177" s="401" t="n"/>
      <c r="V3177" s="22" t="n"/>
      <c r="W3177" s="22" t="n"/>
      <c r="X3177" s="22" t="n"/>
      <c r="Y3177" s="36" t="n"/>
      <c r="Z3177" s="22" t="n"/>
      <c r="AA3177" s="22" t="n"/>
      <c r="AB3177" s="22" t="n"/>
      <c r="AC3177" s="22" t="n"/>
      <c r="AD3177" s="22" t="n"/>
      <c r="AE3177" s="22" t="n"/>
    </row>
    <row r="3178" ht="98" customHeight="1" s="380">
      <c r="A3178" s="144" t="n">
        <v>123</v>
      </c>
      <c r="B3178" s="390" t="n"/>
      <c r="C3178" s="390" t="inlineStr">
        <is>
          <t>Báo cáo tài chính quý, soát xét bán niên, kiểm toán năm - Chi nhánh công ty chứng khoán nước ngoài tại Việt Nam &gt;&gt; Báo cáo tình hình tài chính riêng</t>
        </is>
      </c>
      <c r="D3178" s="390" t="inlineStr">
        <is>
          <t>13. Quỹ bảo vệ Nhà đầu tư</t>
        </is>
      </c>
      <c r="E3178" s="151" t="n">
        <v>355</v>
      </c>
      <c r="F3178" s="390" t="inlineStr">
        <is>
          <t>Data Explorer</t>
        </is>
      </c>
      <c r="G3178" s="390" t="inlineStr">
        <is>
          <t>Chỉ tiêu cơ sở</t>
        </is>
      </c>
      <c r="H3178" s="390" t="inlineStr">
        <is>
          <t>Dễ</t>
        </is>
      </c>
      <c r="I3178" s="390" t="inlineStr">
        <is>
          <t>Ngày, CTCK</t>
        </is>
      </c>
      <c r="J3178" s="401" t="inlineStr">
        <is>
          <t>SCMS</t>
        </is>
      </c>
      <c r="K3178" s="401" t="n"/>
      <c r="L3178" s="401" t="inlineStr">
        <is>
          <t>X</t>
        </is>
      </c>
      <c r="M3178" s="401" t="n"/>
      <c r="N3178" s="401" t="inlineStr">
        <is>
          <t>Done</t>
        </is>
      </c>
      <c r="O3178" s="401" t="n"/>
      <c r="P3178" s="401" t="n"/>
      <c r="S3178" s="401" t="n"/>
      <c r="U3178" s="401" t="n"/>
      <c r="V3178" s="22" t="n"/>
      <c r="W3178" s="22" t="n"/>
      <c r="X3178" s="22" t="n"/>
      <c r="Y3178" s="37" t="n"/>
      <c r="Z3178" s="22" t="n"/>
      <c r="AA3178" s="22" t="n"/>
      <c r="AB3178" s="22" t="n"/>
      <c r="AC3178" s="22" t="n"/>
      <c r="AD3178" s="22" t="n"/>
      <c r="AE3178" s="22" t="n"/>
    </row>
    <row r="3179" ht="98" customHeight="1" s="380">
      <c r="A3179" s="144" t="n">
        <v>123</v>
      </c>
      <c r="B3179" s="390" t="n"/>
      <c r="C3179" s="390" t="inlineStr">
        <is>
          <t>Báo cáo tài chính quý, soát xét bán niên, kiểm toán năm - Chi nhánh công ty chứng khoán nước ngoài tại Việt Nam &gt;&gt; Báo cáo tình hình tài chính riêng</t>
        </is>
      </c>
      <c r="D3179" s="390" t="inlineStr">
        <is>
          <t>14. Thuế thu nhập hoãn lại phải trả</t>
        </is>
      </c>
      <c r="E3179" s="151" t="n">
        <v>356</v>
      </c>
      <c r="F3179" s="390" t="inlineStr">
        <is>
          <t>Data Explorer</t>
        </is>
      </c>
      <c r="G3179" s="390" t="inlineStr">
        <is>
          <t>Chỉ tiêu cơ sở</t>
        </is>
      </c>
      <c r="H3179" s="390" t="inlineStr">
        <is>
          <t>Dễ</t>
        </is>
      </c>
      <c r="I3179" s="390" t="inlineStr">
        <is>
          <t>Ngày, CTCK</t>
        </is>
      </c>
      <c r="J3179" s="401" t="inlineStr">
        <is>
          <t>SCMS</t>
        </is>
      </c>
      <c r="K3179" s="401" t="n"/>
      <c r="L3179" s="401" t="inlineStr">
        <is>
          <t>X</t>
        </is>
      </c>
      <c r="M3179" s="401" t="n"/>
      <c r="N3179" s="401" t="inlineStr">
        <is>
          <t>Done</t>
        </is>
      </c>
      <c r="O3179" s="401" t="n"/>
      <c r="P3179" s="401" t="n"/>
      <c r="S3179" s="401" t="n"/>
      <c r="U3179" s="401" t="n"/>
      <c r="V3179" s="22" t="n"/>
      <c r="W3179" s="22" t="n"/>
      <c r="X3179" s="22" t="n"/>
      <c r="Y3179" s="395" t="n"/>
      <c r="Z3179" s="22" t="n"/>
      <c r="AA3179" s="22" t="n"/>
      <c r="AB3179" s="22" t="n"/>
      <c r="AC3179" s="22" t="n"/>
      <c r="AD3179" s="22" t="n"/>
      <c r="AE3179" s="22" t="n"/>
    </row>
    <row r="3180" ht="98" customHeight="1" s="380">
      <c r="A3180" s="144" t="n">
        <v>123</v>
      </c>
      <c r="B3180" s="390" t="n"/>
      <c r="C3180" s="390" t="inlineStr">
        <is>
          <t>Báo cáo tài chính quý, soát xét bán niên, kiểm toán năm - Chi nhánh công ty chứng khoán nước ngoài tại Việt Nam &gt;&gt; Báo cáo tình hình tài chính riêng</t>
        </is>
      </c>
      <c r="D3180" s="390" t="inlineStr">
        <is>
          <t>15. Quỹ phát triển khoa học và công nghệ</t>
        </is>
      </c>
      <c r="E3180" s="151" t="n">
        <v>357</v>
      </c>
      <c r="F3180" s="390" t="inlineStr">
        <is>
          <t>Data Explorer</t>
        </is>
      </c>
      <c r="G3180" s="390" t="inlineStr">
        <is>
          <t>Chỉ tiêu cơ sở</t>
        </is>
      </c>
      <c r="H3180" s="390" t="inlineStr">
        <is>
          <t>Dễ</t>
        </is>
      </c>
      <c r="I3180" s="390" t="inlineStr">
        <is>
          <t>Ngày, CTCK</t>
        </is>
      </c>
      <c r="J3180" s="401" t="inlineStr">
        <is>
          <t>SCMS</t>
        </is>
      </c>
      <c r="K3180" s="401" t="n"/>
      <c r="L3180" s="401" t="inlineStr">
        <is>
          <t>X</t>
        </is>
      </c>
      <c r="M3180" s="401" t="n"/>
      <c r="N3180" s="401" t="inlineStr">
        <is>
          <t>Done</t>
        </is>
      </c>
      <c r="O3180" s="401" t="n"/>
      <c r="P3180" s="401" t="n"/>
      <c r="S3180" s="401" t="n"/>
      <c r="U3180" s="401" t="n"/>
      <c r="V3180" s="22" t="n"/>
      <c r="W3180" s="22" t="n"/>
      <c r="X3180" s="22" t="n"/>
      <c r="Y3180" s="395" t="n"/>
      <c r="Z3180" s="22" t="n"/>
      <c r="AA3180" s="22" t="n"/>
      <c r="AB3180" s="22" t="n"/>
      <c r="AC3180" s="22" t="n"/>
      <c r="AD3180" s="22" t="n"/>
      <c r="AE3180" s="22" t="n"/>
    </row>
    <row r="3181" ht="98" customHeight="1" s="380">
      <c r="A3181" s="144" t="n">
        <v>123</v>
      </c>
      <c r="B3181" s="390" t="n"/>
      <c r="C3181" s="390" t="inlineStr">
        <is>
          <t>Báo cáo tài chính quý, soát xét bán niên, kiểm toán năm - Chi nhánh công ty chứng khoán nước ngoài tại Việt Nam &gt;&gt; Báo cáo tình hình tài chính riêng</t>
        </is>
      </c>
      <c r="D3181" s="132" t="inlineStr">
        <is>
          <t>D. VỐN CHỦ SỞ HỮU (400 = 410 + 420)</t>
        </is>
      </c>
      <c r="E3181" s="150" t="n">
        <v>400</v>
      </c>
      <c r="F3181" s="390" t="inlineStr">
        <is>
          <t>Data Explorer</t>
        </is>
      </c>
      <c r="G3181" s="390" t="inlineStr">
        <is>
          <t>Chỉ tiêu cơ sở</t>
        </is>
      </c>
      <c r="H3181" s="390" t="inlineStr">
        <is>
          <t>Dễ</t>
        </is>
      </c>
      <c r="I3181" s="390" t="inlineStr">
        <is>
          <t>Ngày, CTCK</t>
        </is>
      </c>
      <c r="J3181" s="401" t="inlineStr">
        <is>
          <t>SCMS</t>
        </is>
      </c>
      <c r="K3181" s="401" t="n"/>
      <c r="L3181" s="401" t="inlineStr">
        <is>
          <t>X</t>
        </is>
      </c>
      <c r="M3181" s="401" t="n"/>
      <c r="N3181" s="401" t="inlineStr">
        <is>
          <t>Done</t>
        </is>
      </c>
      <c r="O3181" s="401" t="n"/>
      <c r="P3181" s="401" t="n"/>
      <c r="S3181" s="401" t="n"/>
      <c r="U3181" s="401" t="n"/>
      <c r="V3181" s="22" t="n"/>
      <c r="W3181" s="22" t="n"/>
      <c r="X3181" s="22" t="n"/>
      <c r="Y3181" s="395" t="n"/>
      <c r="Z3181" s="22" t="n"/>
      <c r="AA3181" s="22" t="n"/>
      <c r="AB3181" s="22" t="n"/>
      <c r="AC3181" s="22" t="n"/>
      <c r="AD3181" s="22" t="n"/>
      <c r="AE3181" s="22" t="n"/>
    </row>
    <row r="3182" ht="98" customHeight="1" s="380">
      <c r="A3182" s="144" t="n">
        <v>123</v>
      </c>
      <c r="B3182" s="390" t="n"/>
      <c r="C3182" s="390" t="inlineStr">
        <is>
          <t>Báo cáo tài chính quý, soát xét bán niên, kiểm toán năm - Chi nhánh công ty chứng khoán nước ngoài tại Việt Nam &gt;&gt; Báo cáo tình hình tài chính riêng</t>
        </is>
      </c>
      <c r="D3182" s="132" t="inlineStr">
        <is>
          <t>I. Vốn chủ sở hữu</t>
        </is>
      </c>
      <c r="E3182" s="150" t="n">
        <v>410</v>
      </c>
      <c r="F3182" s="390" t="inlineStr">
        <is>
          <t>Data Explorer</t>
        </is>
      </c>
      <c r="G3182" s="390" t="inlineStr">
        <is>
          <t>Chỉ tiêu cơ sở</t>
        </is>
      </c>
      <c r="H3182" s="390" t="inlineStr">
        <is>
          <t>Dễ</t>
        </is>
      </c>
      <c r="I3182" s="390" t="inlineStr">
        <is>
          <t>Ngày, CTCK</t>
        </is>
      </c>
      <c r="J3182" s="401" t="inlineStr">
        <is>
          <t>SCMS</t>
        </is>
      </c>
      <c r="K3182" s="401" t="n"/>
      <c r="L3182" s="401" t="inlineStr">
        <is>
          <t>X</t>
        </is>
      </c>
      <c r="M3182" s="401" t="n"/>
      <c r="N3182" s="401" t="inlineStr">
        <is>
          <t>Done</t>
        </is>
      </c>
      <c r="O3182" s="401" t="n"/>
      <c r="P3182" s="401" t="n"/>
      <c r="S3182" s="401" t="n"/>
      <c r="U3182" s="401" t="n"/>
      <c r="V3182" s="22" t="n"/>
      <c r="W3182" s="22" t="n"/>
      <c r="X3182" s="22" t="n"/>
      <c r="Y3182" s="395" t="n"/>
      <c r="Z3182" s="22" t="n"/>
      <c r="AA3182" s="22" t="n"/>
      <c r="AB3182" s="22" t="n"/>
      <c r="AC3182" s="22" t="n"/>
      <c r="AD3182" s="22" t="n"/>
      <c r="AE3182" s="22" t="n"/>
    </row>
    <row r="3183" ht="98" customHeight="1" s="380">
      <c r="A3183" s="144" t="n">
        <v>123</v>
      </c>
      <c r="B3183" s="390" t="n"/>
      <c r="C3183" s="390" t="inlineStr">
        <is>
          <t>Báo cáo tài chính quý, soát xét bán niên, kiểm toán năm - Chi nhánh công ty chứng khoán nước ngoài tại Việt Nam &gt;&gt; Báo cáo tình hình tài chính riêng</t>
        </is>
      </c>
      <c r="D3183" s="390" t="inlineStr">
        <is>
          <t>1. Vốn đầu tư của chủ sở hữu</t>
        </is>
      </c>
      <c r="E3183" s="151" t="n">
        <v>411</v>
      </c>
      <c r="F3183" s="390" t="inlineStr">
        <is>
          <t>Data Explorer</t>
        </is>
      </c>
      <c r="G3183" s="390" t="inlineStr">
        <is>
          <t>Chỉ tiêu cơ sở</t>
        </is>
      </c>
      <c r="H3183" s="390" t="inlineStr">
        <is>
          <t>Dễ</t>
        </is>
      </c>
      <c r="I3183" s="390" t="inlineStr">
        <is>
          <t>Ngày, CTCK</t>
        </is>
      </c>
      <c r="J3183" s="401" t="inlineStr">
        <is>
          <t>SCMS</t>
        </is>
      </c>
      <c r="K3183" s="401" t="n"/>
      <c r="L3183" s="401" t="inlineStr">
        <is>
          <t>X</t>
        </is>
      </c>
      <c r="M3183" s="401" t="n"/>
      <c r="N3183" s="401" t="inlineStr">
        <is>
          <t>Done</t>
        </is>
      </c>
      <c r="O3183" s="401" t="n"/>
      <c r="P3183" s="401" t="n"/>
      <c r="S3183" s="401" t="n"/>
      <c r="U3183" s="401" t="n"/>
      <c r="V3183" s="22" t="n"/>
      <c r="W3183" s="22" t="n"/>
      <c r="X3183" s="22" t="n"/>
      <c r="Y3183" s="36" t="n"/>
      <c r="Z3183" s="22" t="n"/>
      <c r="AA3183" s="22" t="n"/>
      <c r="AB3183" s="22" t="n"/>
      <c r="AC3183" s="22" t="n"/>
      <c r="AD3183" s="22" t="n"/>
      <c r="AE3183" s="22" t="n"/>
    </row>
    <row r="3184" ht="98" customHeight="1" s="380">
      <c r="A3184" s="144" t="n">
        <v>123</v>
      </c>
      <c r="B3184" s="390" t="n"/>
      <c r="C3184" s="390" t="inlineStr">
        <is>
          <t>Báo cáo tài chính quý, soát xét bán niên, kiểm toán năm - Chi nhánh công ty chứng khoán nước ngoài tại Việt Nam &gt;&gt; Báo cáo tình hình tài chính riêng</t>
        </is>
      </c>
      <c r="D3184" s="390" t="inlineStr">
        <is>
          <t>1.1. Vốn góp của chủ sở hữu</t>
        </is>
      </c>
      <c r="E3184" s="151" t="n">
        <v>411.1</v>
      </c>
      <c r="F3184" s="390" t="inlineStr">
        <is>
          <t>Data Explorer</t>
        </is>
      </c>
      <c r="G3184" s="390" t="inlineStr">
        <is>
          <t>Chỉ tiêu cơ sở</t>
        </is>
      </c>
      <c r="H3184" s="390" t="inlineStr">
        <is>
          <t>Dễ</t>
        </is>
      </c>
      <c r="I3184" s="390" t="inlineStr">
        <is>
          <t>Ngày, CTCK</t>
        </is>
      </c>
      <c r="J3184" s="401" t="inlineStr">
        <is>
          <t>SCMS</t>
        </is>
      </c>
      <c r="K3184" s="401" t="n"/>
      <c r="L3184" s="401" t="inlineStr">
        <is>
          <t>X</t>
        </is>
      </c>
      <c r="M3184" s="401" t="n"/>
      <c r="N3184" s="401" t="inlineStr">
        <is>
          <t>Done</t>
        </is>
      </c>
      <c r="O3184" s="401" t="n"/>
      <c r="P3184" s="401" t="n"/>
      <c r="S3184" s="401" t="n"/>
      <c r="U3184" s="401" t="n"/>
      <c r="V3184" s="22" t="n"/>
      <c r="W3184" s="22" t="n"/>
      <c r="X3184" s="22" t="n"/>
      <c r="Y3184" s="36" t="n"/>
      <c r="Z3184" s="22" t="n"/>
      <c r="AA3184" s="22" t="n"/>
      <c r="AB3184" s="22" t="n"/>
      <c r="AC3184" s="22" t="n"/>
      <c r="AD3184" s="22" t="n"/>
      <c r="AE3184" s="22" t="n"/>
    </row>
    <row r="3185" ht="98" customHeight="1" s="380">
      <c r="A3185" s="144" t="n">
        <v>123</v>
      </c>
      <c r="B3185" s="390" t="n"/>
      <c r="C3185" s="390" t="inlineStr">
        <is>
          <t>Báo cáo tài chính quý, soát xét bán niên, kiểm toán năm - Chi nhánh công ty chứng khoán nước ngoài tại Việt Nam &gt;&gt; Báo cáo tình hình tài chính riêng</t>
        </is>
      </c>
      <c r="D3185" s="390" t="inlineStr">
        <is>
          <t>a. Cổ phiếu phổ thông có quyền biểu quyết</t>
        </is>
      </c>
      <c r="E3185" s="401" t="inlineStr">
        <is>
          <t xml:space="preserve">411.1a
</t>
        </is>
      </c>
      <c r="F3185" s="390" t="inlineStr">
        <is>
          <t>Data Explorer</t>
        </is>
      </c>
      <c r="G3185" s="390" t="inlineStr">
        <is>
          <t>Chỉ tiêu cơ sở</t>
        </is>
      </c>
      <c r="H3185" s="390" t="inlineStr">
        <is>
          <t>Dễ</t>
        </is>
      </c>
      <c r="I3185" s="390" t="inlineStr">
        <is>
          <t>Ngày, CTCK</t>
        </is>
      </c>
      <c r="J3185" s="401" t="inlineStr">
        <is>
          <t>SCMS</t>
        </is>
      </c>
      <c r="K3185" s="401" t="n"/>
      <c r="L3185" s="401" t="inlineStr">
        <is>
          <t>X</t>
        </is>
      </c>
      <c r="M3185" s="401" t="n"/>
      <c r="N3185" s="401" t="inlineStr">
        <is>
          <t>Done</t>
        </is>
      </c>
      <c r="O3185" s="401" t="n"/>
      <c r="P3185" s="401" t="n"/>
      <c r="S3185" s="401" t="n"/>
      <c r="U3185" s="401" t="n"/>
      <c r="V3185" s="22" t="n"/>
      <c r="W3185" s="22" t="n"/>
      <c r="X3185" s="22" t="n"/>
      <c r="Y3185" s="395" t="n"/>
      <c r="Z3185" s="22" t="n"/>
      <c r="AA3185" s="22" t="n"/>
      <c r="AB3185" s="22" t="n"/>
      <c r="AC3185" s="22" t="n"/>
      <c r="AD3185" s="22" t="n"/>
      <c r="AE3185" s="22" t="n"/>
    </row>
    <row r="3186" ht="98" customHeight="1" s="380">
      <c r="A3186" s="144" t="n">
        <v>123</v>
      </c>
      <c r="B3186" s="390" t="n"/>
      <c r="C3186" s="390" t="inlineStr">
        <is>
          <t>Báo cáo tài chính quý, soát xét bán niên, kiểm toán năm - Chi nhánh công ty chứng khoán nước ngoài tại Việt Nam &gt;&gt; Báo cáo tình hình tài chính riêng</t>
        </is>
      </c>
      <c r="D3186" s="390" t="inlineStr">
        <is>
          <t>b. Cổ phiếu ưu đãi</t>
        </is>
      </c>
      <c r="E3186" s="401" t="inlineStr">
        <is>
          <t xml:space="preserve">411.1b
</t>
        </is>
      </c>
      <c r="F3186" s="390" t="inlineStr">
        <is>
          <t>Data Explorer</t>
        </is>
      </c>
      <c r="G3186" s="390" t="inlineStr">
        <is>
          <t>Chỉ tiêu cơ sở</t>
        </is>
      </c>
      <c r="H3186" s="390" t="inlineStr">
        <is>
          <t>Dễ</t>
        </is>
      </c>
      <c r="I3186" s="390" t="inlineStr">
        <is>
          <t>Ngày, CTCK</t>
        </is>
      </c>
      <c r="J3186" s="401" t="inlineStr">
        <is>
          <t>SCMS</t>
        </is>
      </c>
      <c r="K3186" s="401" t="n"/>
      <c r="L3186" s="401" t="inlineStr">
        <is>
          <t>X</t>
        </is>
      </c>
      <c r="M3186" s="401" t="n"/>
      <c r="N3186" s="401" t="inlineStr">
        <is>
          <t>Done</t>
        </is>
      </c>
      <c r="O3186" s="401" t="n"/>
      <c r="P3186" s="401" t="n"/>
      <c r="S3186" s="401" t="n"/>
      <c r="U3186" s="401" t="n"/>
      <c r="V3186" s="22" t="n"/>
      <c r="W3186" s="22" t="n"/>
      <c r="X3186" s="22" t="n"/>
      <c r="Y3186" s="395" t="n"/>
      <c r="Z3186" s="22" t="n"/>
      <c r="AA3186" s="22" t="n"/>
      <c r="AB3186" s="22" t="n"/>
      <c r="AC3186" s="22" t="n"/>
      <c r="AD3186" s="22" t="n"/>
      <c r="AE3186" s="22" t="n"/>
    </row>
    <row r="3187" ht="98" customHeight="1" s="380">
      <c r="A3187" s="144" t="n">
        <v>123</v>
      </c>
      <c r="B3187" s="390" t="n"/>
      <c r="C3187" s="390" t="inlineStr">
        <is>
          <t>Báo cáo tài chính quý, soát xét bán niên, kiểm toán năm - Chi nhánh công ty chứng khoán nước ngoài tại Việt Nam &gt;&gt; Báo cáo tình hình tài chính riêng</t>
        </is>
      </c>
      <c r="D3187" s="390" t="inlineStr">
        <is>
          <t>1.2. Thặng dư vốn cổ phần</t>
        </is>
      </c>
      <c r="E3187" s="151" t="n">
        <v>411.2</v>
      </c>
      <c r="F3187" s="390" t="inlineStr">
        <is>
          <t>Data Explorer</t>
        </is>
      </c>
      <c r="G3187" s="390" t="inlineStr">
        <is>
          <t>Chỉ tiêu cơ sở</t>
        </is>
      </c>
      <c r="H3187" s="390" t="inlineStr">
        <is>
          <t>Dễ</t>
        </is>
      </c>
      <c r="I3187" s="390" t="inlineStr">
        <is>
          <t>Ngày, CTCK</t>
        </is>
      </c>
      <c r="J3187" s="401" t="inlineStr">
        <is>
          <t>SCMS</t>
        </is>
      </c>
      <c r="K3187" s="401" t="n"/>
      <c r="L3187" s="401" t="inlineStr">
        <is>
          <t>X</t>
        </is>
      </c>
      <c r="M3187" s="401" t="n"/>
      <c r="N3187" s="401" t="inlineStr">
        <is>
          <t>Done</t>
        </is>
      </c>
      <c r="O3187" s="401" t="n"/>
      <c r="P3187" s="401" t="n"/>
      <c r="S3187" s="401" t="n"/>
      <c r="U3187" s="401" t="n"/>
      <c r="V3187" s="22" t="n"/>
      <c r="W3187" s="22" t="n"/>
      <c r="X3187" s="22" t="n"/>
      <c r="Y3187" s="395" t="n"/>
      <c r="Z3187" s="22" t="n"/>
      <c r="AA3187" s="22" t="n"/>
      <c r="AB3187" s="22" t="n"/>
      <c r="AC3187" s="22" t="n"/>
      <c r="AD3187" s="22" t="n"/>
      <c r="AE3187" s="22" t="n"/>
    </row>
    <row r="3188" ht="98" customHeight="1" s="380">
      <c r="A3188" s="144" t="n">
        <v>123</v>
      </c>
      <c r="B3188" s="390" t="n"/>
      <c r="C3188" s="390" t="inlineStr">
        <is>
          <t>Báo cáo tài chính quý, soát xét bán niên, kiểm toán năm - Chi nhánh công ty chứng khoán nước ngoài tại Việt Nam &gt;&gt; Báo cáo tình hình tài chính riêng</t>
        </is>
      </c>
      <c r="D3188" s="390" t="inlineStr">
        <is>
          <t>1.3. Quyền chọn chuyển đổi trái phiếu - Cấu phần vốn</t>
        </is>
      </c>
      <c r="E3188" s="151" t="n">
        <v>411.3</v>
      </c>
      <c r="F3188" s="390" t="inlineStr">
        <is>
          <t>Data Explorer</t>
        </is>
      </c>
      <c r="G3188" s="390" t="inlineStr">
        <is>
          <t>Chỉ tiêu cơ sở</t>
        </is>
      </c>
      <c r="H3188" s="390" t="inlineStr">
        <is>
          <t>Dễ</t>
        </is>
      </c>
      <c r="I3188" s="390" t="inlineStr">
        <is>
          <t>Ngày, CTCK</t>
        </is>
      </c>
      <c r="J3188" s="401" t="inlineStr">
        <is>
          <t>SCMS</t>
        </is>
      </c>
      <c r="K3188" s="401" t="n"/>
      <c r="L3188" s="401" t="inlineStr">
        <is>
          <t>X</t>
        </is>
      </c>
      <c r="M3188" s="401" t="n"/>
      <c r="N3188" s="401" t="inlineStr">
        <is>
          <t>Done</t>
        </is>
      </c>
      <c r="O3188" s="401" t="n"/>
      <c r="P3188" s="401" t="n"/>
      <c r="S3188" s="401" t="n"/>
      <c r="U3188" s="401" t="n"/>
      <c r="V3188" s="22" t="n"/>
      <c r="W3188" s="22" t="n"/>
      <c r="X3188" s="22" t="n"/>
      <c r="Y3188" s="395" t="n"/>
      <c r="Z3188" s="22" t="n"/>
      <c r="AA3188" s="22" t="n"/>
      <c r="AB3188" s="22" t="n"/>
      <c r="AC3188" s="22" t="n"/>
      <c r="AD3188" s="22" t="n"/>
      <c r="AE3188" s="22" t="n"/>
    </row>
    <row r="3189" ht="98" customHeight="1" s="380">
      <c r="A3189" s="144" t="n">
        <v>123</v>
      </c>
      <c r="B3189" s="390" t="n"/>
      <c r="C3189" s="390" t="inlineStr">
        <is>
          <t>Báo cáo tài chính quý, soát xét bán niên, kiểm toán năm - Chi nhánh công ty chứng khoán nước ngoài tại Việt Nam &gt;&gt; Báo cáo tình hình tài chính riêng</t>
        </is>
      </c>
      <c r="D3189" s="390" t="inlineStr">
        <is>
          <t>1.4. Vốn khác của chủ sở hữu</t>
        </is>
      </c>
      <c r="E3189" s="151" t="n">
        <v>411.4</v>
      </c>
      <c r="F3189" s="390" t="inlineStr">
        <is>
          <t>Data Explorer</t>
        </is>
      </c>
      <c r="G3189" s="390" t="inlineStr">
        <is>
          <t>Chỉ tiêu cơ sở</t>
        </is>
      </c>
      <c r="H3189" s="390" t="inlineStr">
        <is>
          <t>Dễ</t>
        </is>
      </c>
      <c r="I3189" s="390" t="inlineStr">
        <is>
          <t>Ngày, CTCK</t>
        </is>
      </c>
      <c r="J3189" s="401" t="inlineStr">
        <is>
          <t>SCMS</t>
        </is>
      </c>
      <c r="K3189" s="401" t="n"/>
      <c r="L3189" s="401" t="inlineStr">
        <is>
          <t>X</t>
        </is>
      </c>
      <c r="M3189" s="401" t="n"/>
      <c r="N3189" s="401" t="inlineStr">
        <is>
          <t>Done</t>
        </is>
      </c>
      <c r="O3189" s="401" t="n"/>
      <c r="P3189" s="401" t="n"/>
      <c r="S3189" s="401" t="n"/>
      <c r="U3189" s="401" t="n"/>
      <c r="V3189" s="22" t="n"/>
      <c r="W3189" s="22" t="n"/>
      <c r="X3189" s="22" t="n"/>
      <c r="Y3189" s="37" t="n"/>
      <c r="Z3189" s="22" t="n"/>
      <c r="AA3189" s="22" t="n"/>
      <c r="AB3189" s="22" t="n"/>
      <c r="AC3189" s="22" t="n"/>
      <c r="AD3189" s="22" t="n"/>
      <c r="AE3189" s="22" t="n"/>
    </row>
    <row r="3190" ht="98" customHeight="1" s="380">
      <c r="A3190" s="144" t="n">
        <v>123</v>
      </c>
      <c r="B3190" s="390" t="n"/>
      <c r="C3190" s="390" t="inlineStr">
        <is>
          <t>Báo cáo tài chính quý, soát xét bán niên, kiểm toán năm - Chi nhánh công ty chứng khoán nước ngoài tại Việt Nam &gt;&gt; Báo cáo tình hình tài chính riêng</t>
        </is>
      </c>
      <c r="D3190" s="390" t="inlineStr">
        <is>
          <t>1.5. Cổ phiếu quỹ (*)</t>
        </is>
      </c>
      <c r="E3190" s="151" t="n">
        <v>411.5</v>
      </c>
      <c r="F3190" s="390" t="inlineStr">
        <is>
          <t>Data Explorer</t>
        </is>
      </c>
      <c r="G3190" s="390" t="inlineStr">
        <is>
          <t>Chỉ tiêu cơ sở</t>
        </is>
      </c>
      <c r="H3190" s="390" t="inlineStr">
        <is>
          <t>Dễ</t>
        </is>
      </c>
      <c r="I3190" s="390" t="inlineStr">
        <is>
          <t>Ngày, CTCK</t>
        </is>
      </c>
      <c r="J3190" s="401" t="inlineStr">
        <is>
          <t>SCMS</t>
        </is>
      </c>
      <c r="K3190" s="401" t="n"/>
      <c r="L3190" s="401" t="inlineStr">
        <is>
          <t>X</t>
        </is>
      </c>
      <c r="M3190" s="401" t="n"/>
      <c r="N3190" s="401" t="inlineStr">
        <is>
          <t>Done</t>
        </is>
      </c>
      <c r="O3190" s="401" t="n"/>
      <c r="P3190" s="401" t="n"/>
      <c r="S3190" s="401" t="n"/>
      <c r="U3190" s="401" t="n"/>
      <c r="V3190" s="22" t="n"/>
      <c r="W3190" s="22" t="n"/>
      <c r="X3190" s="22" t="n"/>
      <c r="Y3190" s="395" t="n"/>
      <c r="Z3190" s="22" t="n"/>
      <c r="AA3190" s="22" t="n"/>
      <c r="AB3190" s="22" t="n"/>
      <c r="AC3190" s="22" t="n"/>
      <c r="AD3190" s="22" t="n"/>
      <c r="AE3190" s="22" t="n"/>
    </row>
    <row r="3191" ht="98" customHeight="1" s="380">
      <c r="A3191" s="144" t="n">
        <v>123</v>
      </c>
      <c r="B3191" s="390" t="n"/>
      <c r="C3191" s="390" t="inlineStr">
        <is>
          <t>Báo cáo tài chính quý, soát xét bán niên, kiểm toán năm - Chi nhánh công ty chứng khoán nước ngoài tại Việt Nam &gt;&gt; Báo cáo tình hình tài chính riêng</t>
        </is>
      </c>
      <c r="D3191" s="390" t="inlineStr">
        <is>
          <t>2. Chênh lệch đánh giá tài sản theo giá trị hợp lý</t>
        </is>
      </c>
      <c r="E3191" s="151" t="n">
        <v>412</v>
      </c>
      <c r="F3191" s="390" t="inlineStr">
        <is>
          <t>Data Explorer</t>
        </is>
      </c>
      <c r="G3191" s="390" t="inlineStr">
        <is>
          <t>Chỉ tiêu cơ sở</t>
        </is>
      </c>
      <c r="H3191" s="390" t="inlineStr">
        <is>
          <t>Dễ</t>
        </is>
      </c>
      <c r="I3191" s="390" t="inlineStr">
        <is>
          <t>Ngày, CTCK</t>
        </is>
      </c>
      <c r="J3191" s="401" t="inlineStr">
        <is>
          <t>SCMS</t>
        </is>
      </c>
      <c r="K3191" s="401" t="n"/>
      <c r="L3191" s="401" t="inlineStr">
        <is>
          <t>X</t>
        </is>
      </c>
      <c r="M3191" s="401" t="n"/>
      <c r="N3191" s="401" t="inlineStr">
        <is>
          <t>Done</t>
        </is>
      </c>
      <c r="O3191" s="401" t="n"/>
      <c r="P3191" s="401" t="n"/>
      <c r="S3191" s="401" t="n"/>
      <c r="U3191" s="401" t="n"/>
      <c r="V3191" s="22" t="n"/>
      <c r="W3191" s="22" t="n"/>
      <c r="X3191" s="22" t="n"/>
      <c r="Y3191" s="13" t="n"/>
      <c r="Z3191" s="22" t="n"/>
      <c r="AA3191" s="22" t="n"/>
      <c r="AB3191" s="22" t="n"/>
      <c r="AC3191" s="22" t="n"/>
      <c r="AD3191" s="22" t="n"/>
      <c r="AE3191" s="22" t="n"/>
    </row>
    <row r="3192" ht="98" customHeight="1" s="380">
      <c r="A3192" s="144" t="n">
        <v>123</v>
      </c>
      <c r="B3192" s="390" t="n"/>
      <c r="C3192" s="390" t="inlineStr">
        <is>
          <t>Báo cáo tài chính quý, soát xét bán niên, kiểm toán năm - Chi nhánh công ty chứng khoán nước ngoài tại Việt Nam &gt;&gt; Báo cáo tình hình tài chính riêng</t>
        </is>
      </c>
      <c r="D3192" s="390" t="inlineStr">
        <is>
          <t>3. Chênh lệch tỷ giá hối đoái</t>
        </is>
      </c>
      <c r="E3192" s="151" t="n">
        <v>413</v>
      </c>
      <c r="F3192" s="390" t="inlineStr">
        <is>
          <t>Data Explorer</t>
        </is>
      </c>
      <c r="G3192" s="390" t="inlineStr">
        <is>
          <t>Chỉ tiêu cơ sở</t>
        </is>
      </c>
      <c r="H3192" s="390" t="inlineStr">
        <is>
          <t>Dễ</t>
        </is>
      </c>
      <c r="I3192" s="390" t="inlineStr">
        <is>
          <t>Ngày, CTCK</t>
        </is>
      </c>
      <c r="J3192" s="401" t="inlineStr">
        <is>
          <t>SCMS</t>
        </is>
      </c>
      <c r="K3192" s="401" t="n"/>
      <c r="L3192" s="401" t="inlineStr">
        <is>
          <t>X</t>
        </is>
      </c>
      <c r="M3192" s="401" t="n"/>
      <c r="N3192" s="401" t="inlineStr">
        <is>
          <t>Done</t>
        </is>
      </c>
      <c r="O3192" s="401" t="n"/>
      <c r="P3192" s="401" t="n"/>
      <c r="S3192" s="401" t="n"/>
      <c r="U3192" s="401" t="n"/>
      <c r="V3192" s="22" t="n"/>
      <c r="W3192" s="22" t="n"/>
      <c r="X3192" s="22" t="n"/>
      <c r="Y3192" s="13" t="n"/>
      <c r="Z3192" s="22" t="n"/>
      <c r="AA3192" s="22" t="n"/>
      <c r="AB3192" s="22" t="n"/>
      <c r="AC3192" s="22" t="n"/>
      <c r="AD3192" s="22" t="n"/>
      <c r="AE3192" s="22" t="n"/>
    </row>
    <row r="3193" ht="98" customHeight="1" s="380">
      <c r="A3193" s="144" t="n">
        <v>123</v>
      </c>
      <c r="B3193" s="390" t="n"/>
      <c r="C3193" s="390" t="inlineStr">
        <is>
          <t>Báo cáo tài chính quý, soát xét bán niên, kiểm toán năm - Chi nhánh công ty chứng khoán nước ngoài tại Việt Nam &gt;&gt; Báo cáo tình hình tài chính riêng</t>
        </is>
      </c>
      <c r="D3193" s="390" t="inlineStr">
        <is>
          <t>4. Quỹ dự trữ bổ sung vốn  điều lệ</t>
        </is>
      </c>
      <c r="E3193" s="151" t="n">
        <v>414</v>
      </c>
      <c r="F3193" s="390" t="inlineStr">
        <is>
          <t>Data Explorer</t>
        </is>
      </c>
      <c r="G3193" s="390" t="inlineStr">
        <is>
          <t>Chỉ tiêu cơ sở</t>
        </is>
      </c>
      <c r="H3193" s="390" t="inlineStr">
        <is>
          <t>Dễ</t>
        </is>
      </c>
      <c r="I3193" s="390" t="inlineStr">
        <is>
          <t>Ngày, CTCK</t>
        </is>
      </c>
      <c r="J3193" s="401" t="inlineStr">
        <is>
          <t>SCMS</t>
        </is>
      </c>
      <c r="K3193" s="401" t="n"/>
      <c r="L3193" s="401" t="inlineStr">
        <is>
          <t>X</t>
        </is>
      </c>
      <c r="M3193" s="401" t="n"/>
      <c r="N3193" s="401" t="inlineStr">
        <is>
          <t>Done</t>
        </is>
      </c>
      <c r="O3193" s="401" t="n"/>
      <c r="P3193" s="401" t="n"/>
      <c r="S3193" s="401" t="n"/>
      <c r="U3193" s="401" t="n"/>
      <c r="V3193" s="22" t="n"/>
      <c r="W3193" s="22" t="n"/>
      <c r="X3193" s="22" t="n"/>
      <c r="Y3193" s="13" t="n"/>
      <c r="Z3193" s="22" t="n"/>
      <c r="AA3193" s="22" t="n"/>
      <c r="AB3193" s="22" t="n"/>
      <c r="AC3193" s="22" t="n"/>
      <c r="AD3193" s="22" t="n"/>
      <c r="AE3193" s="22" t="n"/>
    </row>
    <row r="3194" ht="98" customHeight="1" s="380">
      <c r="A3194" s="144" t="n">
        <v>123</v>
      </c>
      <c r="B3194" s="390" t="n"/>
      <c r="C3194" s="390" t="inlineStr">
        <is>
          <t>Báo cáo tài chính quý, soát xét bán niên, kiểm toán năm - Chi nhánh công ty chứng khoán nước ngoài tại Việt Nam &gt;&gt; Báo cáo tình hình tài chính riêng</t>
        </is>
      </c>
      <c r="D3194" s="390" t="inlineStr">
        <is>
          <t>5. Quỹ dự phòng tài chính và rủi ro nghiệp vụ</t>
        </is>
      </c>
      <c r="E3194" s="151" t="n">
        <v>415</v>
      </c>
      <c r="F3194" s="390" t="inlineStr">
        <is>
          <t>Data Explorer</t>
        </is>
      </c>
      <c r="G3194" s="390" t="inlineStr">
        <is>
          <t>Chỉ tiêu cơ sở</t>
        </is>
      </c>
      <c r="H3194" s="390" t="inlineStr">
        <is>
          <t>Dễ</t>
        </is>
      </c>
      <c r="I3194" s="390" t="inlineStr">
        <is>
          <t>Ngày, CTCK</t>
        </is>
      </c>
      <c r="J3194" s="401" t="inlineStr">
        <is>
          <t>SCMS</t>
        </is>
      </c>
      <c r="K3194" s="401" t="n"/>
      <c r="L3194" s="401" t="inlineStr">
        <is>
          <t>X</t>
        </is>
      </c>
      <c r="M3194" s="401" t="n"/>
      <c r="N3194" s="401" t="inlineStr">
        <is>
          <t>Done</t>
        </is>
      </c>
      <c r="O3194" s="401" t="n"/>
      <c r="P3194" s="401" t="n"/>
      <c r="S3194" s="401" t="n"/>
      <c r="U3194" s="401" t="n"/>
      <c r="V3194" s="22" t="n"/>
      <c r="W3194" s="22" t="n"/>
      <c r="X3194" s="22" t="n"/>
      <c r="Y3194" s="13" t="n"/>
      <c r="Z3194" s="22" t="n"/>
      <c r="AA3194" s="22" t="n"/>
      <c r="AB3194" s="22" t="n"/>
      <c r="AC3194" s="22" t="n"/>
      <c r="AD3194" s="22" t="n"/>
      <c r="AE3194" s="22" t="n"/>
    </row>
    <row r="3195" ht="98" customHeight="1" s="380">
      <c r="A3195" s="144" t="n">
        <v>123</v>
      </c>
      <c r="B3195" s="390" t="n"/>
      <c r="C3195" s="390" t="inlineStr">
        <is>
          <t>Báo cáo tài chính quý, soát xét bán niên, kiểm toán năm - Chi nhánh công ty chứng khoán nước ngoài tại Việt Nam &gt;&gt; Báo cáo tình hình tài chính riêng</t>
        </is>
      </c>
      <c r="D3195" s="390" t="inlineStr">
        <is>
          <t>6. Các Quỹ khác thuộc vốn chủ sở hữu</t>
        </is>
      </c>
      <c r="E3195" s="151" t="n">
        <v>416</v>
      </c>
      <c r="F3195" s="390" t="inlineStr">
        <is>
          <t>Data Explorer</t>
        </is>
      </c>
      <c r="G3195" s="390" t="inlineStr">
        <is>
          <t>Chỉ tiêu cơ sở</t>
        </is>
      </c>
      <c r="H3195" s="390" t="inlineStr">
        <is>
          <t>Dễ</t>
        </is>
      </c>
      <c r="I3195" s="390" t="inlineStr">
        <is>
          <t>Ngày, CTCK</t>
        </is>
      </c>
      <c r="J3195" s="401" t="inlineStr">
        <is>
          <t>SCMS</t>
        </is>
      </c>
      <c r="K3195" s="401" t="n"/>
      <c r="L3195" s="401" t="inlineStr">
        <is>
          <t>X</t>
        </is>
      </c>
      <c r="M3195" s="401" t="n"/>
      <c r="N3195" s="401" t="inlineStr">
        <is>
          <t>Done</t>
        </is>
      </c>
      <c r="O3195" s="401" t="n"/>
      <c r="P3195" s="401" t="n"/>
      <c r="S3195" s="401" t="n"/>
      <c r="U3195" s="401" t="n"/>
      <c r="V3195" s="22" t="n"/>
      <c r="W3195" s="22" t="n"/>
      <c r="X3195" s="22" t="n"/>
      <c r="Y3195" s="13" t="n"/>
      <c r="Z3195" s="22" t="n"/>
      <c r="AA3195" s="22" t="n"/>
      <c r="AB3195" s="22" t="n"/>
      <c r="AC3195" s="22" t="n"/>
      <c r="AD3195" s="22" t="n"/>
      <c r="AE3195" s="22" t="n"/>
    </row>
    <row r="3196" ht="98" customHeight="1" s="380">
      <c r="A3196" s="144" t="n">
        <v>123</v>
      </c>
      <c r="B3196" s="390" t="n"/>
      <c r="C3196" s="390" t="inlineStr">
        <is>
          <t>Báo cáo tài chính quý, soát xét bán niên, kiểm toán năm - Chi nhánh công ty chứng khoán nước ngoài tại Việt Nam &gt;&gt; Báo cáo tình hình tài chính riêng</t>
        </is>
      </c>
      <c r="D3196" s="390" t="inlineStr">
        <is>
          <t>7. Lợi nhuận chưa phân phối</t>
        </is>
      </c>
      <c r="E3196" s="151" t="n">
        <v>417</v>
      </c>
      <c r="F3196" s="390" t="inlineStr">
        <is>
          <t>Data Explorer</t>
        </is>
      </c>
      <c r="G3196" s="390" t="inlineStr">
        <is>
          <t>Chỉ tiêu cơ sở</t>
        </is>
      </c>
      <c r="H3196" s="390" t="inlineStr">
        <is>
          <t>Dễ</t>
        </is>
      </c>
      <c r="I3196" s="390" t="inlineStr">
        <is>
          <t>Ngày, CTCK</t>
        </is>
      </c>
      <c r="J3196" s="401" t="inlineStr">
        <is>
          <t>SCMS</t>
        </is>
      </c>
      <c r="K3196" s="401" t="n"/>
      <c r="L3196" s="401" t="inlineStr">
        <is>
          <t>X</t>
        </is>
      </c>
      <c r="M3196" s="401" t="n"/>
      <c r="N3196" s="401" t="inlineStr">
        <is>
          <t>Done</t>
        </is>
      </c>
      <c r="O3196" s="401" t="n"/>
      <c r="P3196" s="401" t="n"/>
      <c r="S3196" s="401" t="n"/>
      <c r="U3196" s="401" t="n"/>
      <c r="V3196" s="22" t="n"/>
      <c r="W3196" s="22" t="n"/>
      <c r="X3196" s="22" t="n"/>
      <c r="Y3196" s="13" t="n"/>
      <c r="Z3196" s="22" t="n"/>
      <c r="AA3196" s="22" t="n"/>
      <c r="AB3196" s="22" t="n"/>
      <c r="AC3196" s="22" t="n"/>
      <c r="AD3196" s="22" t="n"/>
      <c r="AE3196" s="22" t="n"/>
    </row>
    <row r="3197" ht="98" customHeight="1" s="380">
      <c r="A3197" s="144" t="n">
        <v>123</v>
      </c>
      <c r="B3197" s="390" t="n"/>
      <c r="C3197" s="390" t="inlineStr">
        <is>
          <t>Báo cáo tài chính quý, soát xét bán niên, kiểm toán năm - Chi nhánh công ty chứng khoán nước ngoài tại Việt Nam &gt;&gt; Báo cáo tình hình tài chính riêng</t>
        </is>
      </c>
      <c r="D3197" s="390" t="inlineStr">
        <is>
          <t>7.1. Lợi nhuận sau thuế đã thực hiện</t>
        </is>
      </c>
      <c r="E3197" s="151" t="n">
        <v>417.1</v>
      </c>
      <c r="F3197" s="390" t="inlineStr">
        <is>
          <t>Data Explorer</t>
        </is>
      </c>
      <c r="G3197" s="390" t="inlineStr">
        <is>
          <t>Chỉ tiêu cơ sở</t>
        </is>
      </c>
      <c r="H3197" s="390" t="inlineStr">
        <is>
          <t>Dễ</t>
        </is>
      </c>
      <c r="I3197" s="390" t="inlineStr">
        <is>
          <t>Ngày, CTCK</t>
        </is>
      </c>
      <c r="J3197" s="401" t="inlineStr">
        <is>
          <t>SCMS</t>
        </is>
      </c>
      <c r="K3197" s="401" t="n"/>
      <c r="L3197" s="401" t="inlineStr">
        <is>
          <t>X</t>
        </is>
      </c>
      <c r="M3197" s="401" t="n"/>
      <c r="N3197" s="401" t="inlineStr">
        <is>
          <t>Done</t>
        </is>
      </c>
      <c r="O3197" s="401" t="n"/>
      <c r="P3197" s="401" t="n"/>
      <c r="S3197" s="401" t="n"/>
      <c r="U3197" s="401" t="n"/>
      <c r="V3197" s="22" t="n"/>
      <c r="W3197" s="22" t="n"/>
      <c r="X3197" s="22" t="n"/>
      <c r="Y3197" s="13" t="n"/>
      <c r="Z3197" s="22" t="n"/>
      <c r="AA3197" s="22" t="n"/>
      <c r="AB3197" s="22" t="n"/>
      <c r="AC3197" s="22" t="n"/>
      <c r="AD3197" s="22" t="n"/>
      <c r="AE3197" s="22" t="n"/>
    </row>
    <row r="3198" ht="98" customHeight="1" s="380">
      <c r="A3198" s="144" t="n">
        <v>123</v>
      </c>
      <c r="B3198" s="390" t="n"/>
      <c r="C3198" s="390" t="inlineStr">
        <is>
          <t>Báo cáo tài chính quý, soát xét bán niên, kiểm toán năm - Chi nhánh công ty chứng khoán nước ngoài tại Việt Nam &gt;&gt; Báo cáo tình hình tài chính riêng</t>
        </is>
      </c>
      <c r="D3198" s="390" t="inlineStr">
        <is>
          <t>7.2. Lợi nhuận chưa thực hiện</t>
        </is>
      </c>
      <c r="E3198" s="151" t="n">
        <v>417.2</v>
      </c>
      <c r="F3198" s="390" t="inlineStr">
        <is>
          <t>Data Explorer</t>
        </is>
      </c>
      <c r="G3198" s="390" t="inlineStr">
        <is>
          <t>Chỉ tiêu cơ sở</t>
        </is>
      </c>
      <c r="H3198" s="390" t="inlineStr">
        <is>
          <t>Dễ</t>
        </is>
      </c>
      <c r="I3198" s="390" t="inlineStr">
        <is>
          <t>Ngày, CTCK</t>
        </is>
      </c>
      <c r="J3198" s="401" t="inlineStr">
        <is>
          <t>SCMS</t>
        </is>
      </c>
      <c r="K3198" s="401" t="n"/>
      <c r="L3198" s="401" t="inlineStr">
        <is>
          <t>X</t>
        </is>
      </c>
      <c r="M3198" s="401" t="n"/>
      <c r="N3198" s="401" t="inlineStr">
        <is>
          <t>Done</t>
        </is>
      </c>
      <c r="O3198" s="401" t="n"/>
      <c r="P3198" s="401" t="n"/>
      <c r="S3198" s="401" t="n"/>
      <c r="U3198" s="401" t="n"/>
      <c r="V3198" s="22" t="n"/>
      <c r="W3198" s="22" t="n"/>
      <c r="X3198" s="22" t="n"/>
      <c r="Y3198" s="13" t="n"/>
      <c r="Z3198" s="22" t="n"/>
      <c r="AA3198" s="22" t="n"/>
      <c r="AB3198" s="22" t="n"/>
      <c r="AC3198" s="22" t="n"/>
      <c r="AD3198" s="22" t="n"/>
      <c r="AE3198" s="22" t="n"/>
    </row>
    <row r="3199" ht="98" customHeight="1" s="380">
      <c r="A3199" s="144" t="n">
        <v>123</v>
      </c>
      <c r="B3199" s="390" t="n"/>
      <c r="C3199" s="390" t="inlineStr">
        <is>
          <t>Báo cáo tài chính quý, soát xét bán niên, kiểm toán năm - Chi nhánh công ty chứng khoán nước ngoài tại Việt Nam &gt;&gt; Báo cáo tình hình tài chính riêng</t>
        </is>
      </c>
      <c r="D3199" s="132" t="inlineStr">
        <is>
          <t>II. Nguồn kinh phí và quỹ khác</t>
        </is>
      </c>
      <c r="E3199" s="150" t="n">
        <v>420</v>
      </c>
      <c r="F3199" s="390" t="inlineStr">
        <is>
          <t>Data Explorer</t>
        </is>
      </c>
      <c r="G3199" s="390" t="inlineStr">
        <is>
          <t>Chỉ tiêu cơ sở</t>
        </is>
      </c>
      <c r="H3199" s="390" t="inlineStr">
        <is>
          <t>Dễ</t>
        </is>
      </c>
      <c r="I3199" s="390" t="inlineStr">
        <is>
          <t>Ngày, CTCK</t>
        </is>
      </c>
      <c r="J3199" s="401" t="inlineStr">
        <is>
          <t>SCMS</t>
        </is>
      </c>
      <c r="K3199" s="401" t="n"/>
      <c r="L3199" s="401" t="inlineStr">
        <is>
          <t>X</t>
        </is>
      </c>
      <c r="M3199" s="401" t="n"/>
      <c r="N3199" s="401" t="inlineStr">
        <is>
          <t>Done</t>
        </is>
      </c>
      <c r="O3199" s="401" t="n"/>
      <c r="P3199" s="401" t="n"/>
      <c r="S3199" s="401" t="n"/>
      <c r="U3199" s="401" t="n"/>
      <c r="V3199" s="22" t="n"/>
      <c r="W3199" s="22" t="n"/>
      <c r="X3199" s="22" t="n"/>
      <c r="Y3199" s="13" t="n"/>
      <c r="Z3199" s="22" t="n"/>
      <c r="AA3199" s="22" t="n"/>
      <c r="AB3199" s="22" t="n"/>
      <c r="AC3199" s="22" t="n"/>
      <c r="AD3199" s="22" t="n"/>
      <c r="AE3199" s="22" t="n"/>
    </row>
    <row r="3200" ht="98" customHeight="1" s="380">
      <c r="A3200" s="145" t="n">
        <v>123</v>
      </c>
      <c r="B3200" s="129" t="n"/>
      <c r="C3200" s="129" t="inlineStr">
        <is>
          <t>Báo cáo tài chính quý, soát xét bán niên, kiểm toán năm - Chi nhánh công ty chứng khoán nước ngoài tại Việt Nam &gt;&gt; Báo cáo tình hình tài chính riêng</t>
        </is>
      </c>
      <c r="D3200" s="134" t="inlineStr">
        <is>
          <t>TỔNG CỘNG NỢ  VÀ VỐN CHỦ SỞ HỮU (440 = 300 + 400)</t>
        </is>
      </c>
      <c r="E3200" s="152" t="n">
        <v>440</v>
      </c>
      <c r="F3200" s="129" t="inlineStr">
        <is>
          <t>Data Explorer</t>
        </is>
      </c>
      <c r="G3200" s="129" t="inlineStr">
        <is>
          <t>Chỉ tiêu cơ sở</t>
        </is>
      </c>
      <c r="H3200" s="129" t="inlineStr">
        <is>
          <t>Dễ</t>
        </is>
      </c>
      <c r="I3200" s="129" t="inlineStr">
        <is>
          <t>Ngày, CTCK</t>
        </is>
      </c>
      <c r="J3200" s="85" t="inlineStr">
        <is>
          <t>SCMS</t>
        </is>
      </c>
      <c r="K3200" s="85" t="n"/>
      <c r="L3200" s="85" t="inlineStr">
        <is>
          <t>X</t>
        </is>
      </c>
      <c r="M3200" s="85" t="n"/>
      <c r="N3200" s="85" t="inlineStr">
        <is>
          <t>Done</t>
        </is>
      </c>
      <c r="O3200" s="85" t="n"/>
      <c r="P3200" s="85" t="n"/>
      <c r="Q3200" s="426" t="n"/>
      <c r="R3200" s="426" t="n"/>
      <c r="S3200" s="85" t="n"/>
      <c r="T3200" s="426" t="n"/>
      <c r="U3200" s="85" t="n"/>
      <c r="V3200" s="130" t="n"/>
      <c r="W3200" s="130" t="n"/>
      <c r="X3200" s="130" t="n"/>
      <c r="Y3200" s="97" t="n"/>
      <c r="Z3200" s="130" t="n"/>
      <c r="AA3200" s="130" t="n"/>
      <c r="AB3200" s="130" t="n"/>
      <c r="AC3200" s="130" t="n"/>
      <c r="AD3200" s="130" t="n"/>
      <c r="AE3200" s="130" t="n"/>
    </row>
    <row r="3201" ht="112" customHeight="1" s="380">
      <c r="A3201" s="144" t="n">
        <v>124</v>
      </c>
      <c r="B3201" s="140" t="inlineStr">
        <is>
          <t>Nga</t>
        </is>
      </c>
      <c r="C3201" s="127" t="inlineStr">
        <is>
          <t>Báo cáo tài chính quý, soát xét bán niên, kiểm toán năm - Chi nhánh công ty chứng khoán nước ngoài tại Việt Nam &gt;&gt; Các chỉ tiêu ngoài báo cáo tình hình tài chính riêng</t>
        </is>
      </c>
      <c r="D3201" s="106" t="inlineStr">
        <is>
          <t>Loại báo cáo</t>
        </is>
      </c>
      <c r="E3201" s="107" t="inlineStr">
        <is>
          <t>Loại báo cáo</t>
        </is>
      </c>
      <c r="F3201" s="390" t="inlineStr">
        <is>
          <t>Data Explorer</t>
        </is>
      </c>
      <c r="G3201" s="390" t="inlineStr">
        <is>
          <t>Chiều</t>
        </is>
      </c>
      <c r="H3201" s="390" t="inlineStr">
        <is>
          <t>Dễ</t>
        </is>
      </c>
      <c r="I3201" s="390" t="inlineStr">
        <is>
          <t>Ngày, CTCK</t>
        </is>
      </c>
      <c r="J3201" s="401" t="inlineStr">
        <is>
          <t>SCMS</t>
        </is>
      </c>
      <c r="K3201" s="401" t="inlineStr">
        <is>
          <t>X</t>
        </is>
      </c>
      <c r="L3201" s="401" t="inlineStr">
        <is>
          <t>X</t>
        </is>
      </c>
      <c r="M3201" s="401" t="n"/>
      <c r="N3201" s="401" t="inlineStr">
        <is>
          <t>Done</t>
        </is>
      </c>
      <c r="O3201" s="401" t="n"/>
      <c r="P3201" s="401" t="n"/>
      <c r="Q3201" s="404" t="inlineStr">
        <is>
          <t>SCMS.BM_BAO_CAO
SCMS.BM_BAO_CAO_DINH_KY</t>
        </is>
      </c>
      <c r="R3201" s="404" t="inlineStr">
        <is>
          <t>bm.ID,
bm.MA_BAO_CAO,
bm.LOAI_BAO_CAO,
bm.TEN_BAO_CAO,
bm.SU_DUNG,
bdk.BM_BAO_CAO_ID,
bdk.KY_BAO_CAO,
bdk.SU_DUNG</t>
        </is>
      </c>
      <c r="S3201" s="401" t="n"/>
      <c r="T3201" s="390"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U3201" s="390" t="n"/>
      <c r="V3201" s="22" t="n"/>
      <c r="W3201" s="22" t="n"/>
      <c r="X3201" s="22" t="n"/>
      <c r="Y3201" s="38" t="n"/>
      <c r="Z3201" s="22" t="n"/>
      <c r="AA3201" s="22" t="n"/>
      <c r="AB3201" s="22" t="n"/>
      <c r="AC3201" s="22" t="n"/>
      <c r="AD3201" s="22" t="n"/>
      <c r="AE3201" s="22" t="n"/>
    </row>
    <row r="3202" ht="112" customHeight="1" s="380">
      <c r="A3202" s="144" t="n">
        <v>124</v>
      </c>
      <c r="B3202" s="390" t="n"/>
      <c r="C3202" s="390" t="inlineStr">
        <is>
          <t>Báo cáo tài chính quý, soát xét bán niên, kiểm toán năm - Chi nhánh công ty chứng khoán nước ngoài tại Việt Nam &gt;&gt; Các chỉ tiêu ngoài báo cáo tình hình tài chính riêng</t>
        </is>
      </c>
      <c r="D3202" s="106" t="inlineStr">
        <is>
          <t>Kỳ báo cáo</t>
        </is>
      </c>
      <c r="E3202" s="107" t="inlineStr">
        <is>
          <t>Kỳ báo cáo</t>
        </is>
      </c>
      <c r="F3202" s="390" t="inlineStr">
        <is>
          <t>Data Explorer</t>
        </is>
      </c>
      <c r="G3202" s="390" t="inlineStr">
        <is>
          <t>Chiều</t>
        </is>
      </c>
      <c r="H3202" s="390" t="inlineStr">
        <is>
          <t>Dễ</t>
        </is>
      </c>
      <c r="I3202" s="390" t="inlineStr">
        <is>
          <t>Ngày, CTCK</t>
        </is>
      </c>
      <c r="J3202" s="401" t="inlineStr">
        <is>
          <t>SCMS</t>
        </is>
      </c>
      <c r="K3202" s="401" t="inlineStr">
        <is>
          <t>X</t>
        </is>
      </c>
      <c r="L3202" s="401" t="inlineStr">
        <is>
          <t>X</t>
        </is>
      </c>
      <c r="M3202" s="401" t="n"/>
      <c r="N3202" s="401" t="inlineStr">
        <is>
          <t>Done</t>
        </is>
      </c>
      <c r="O3202" s="401" t="n"/>
      <c r="P3202" s="401" t="n"/>
      <c r="S3202" s="401" t="n"/>
      <c r="U3202" s="390" t="n"/>
      <c r="V3202" s="22" t="n"/>
      <c r="W3202" s="22" t="n"/>
      <c r="X3202" s="22" t="n"/>
      <c r="Y3202" s="13" t="n"/>
      <c r="Z3202" s="22" t="n"/>
      <c r="AA3202" s="22" t="n"/>
      <c r="AB3202" s="22" t="n"/>
      <c r="AC3202" s="22" t="n"/>
      <c r="AD3202" s="22" t="n"/>
      <c r="AE3202" s="22" t="n"/>
    </row>
    <row r="3203" ht="112" customHeight="1" s="380">
      <c r="A3203" s="144" t="n">
        <v>124</v>
      </c>
      <c r="B3203" s="390" t="n"/>
      <c r="C3203" s="390" t="inlineStr">
        <is>
          <t>Báo cáo tài chính quý, soát xét bán niên, kiểm toán năm - Chi nhánh công ty chứng khoán nước ngoài tại Việt Nam &gt;&gt; Các chỉ tiêu ngoài báo cáo tình hình tài chính riêng</t>
        </is>
      </c>
      <c r="D3203" s="106" t="inlineStr">
        <is>
          <t>Mã báo cáo</t>
        </is>
      </c>
      <c r="E3203" s="107" t="inlineStr">
        <is>
          <t>Mã báo cáo</t>
        </is>
      </c>
      <c r="F3203" s="390" t="inlineStr">
        <is>
          <t>Data Explorer</t>
        </is>
      </c>
      <c r="G3203" s="390" t="inlineStr">
        <is>
          <t>Chiều</t>
        </is>
      </c>
      <c r="H3203" s="390" t="inlineStr">
        <is>
          <t>Dễ</t>
        </is>
      </c>
      <c r="I3203" s="390" t="inlineStr">
        <is>
          <t>Ngày, CTCK</t>
        </is>
      </c>
      <c r="J3203" s="401" t="inlineStr">
        <is>
          <t>SCMS</t>
        </is>
      </c>
      <c r="K3203" s="401" t="inlineStr">
        <is>
          <t>X</t>
        </is>
      </c>
      <c r="L3203" s="401" t="inlineStr">
        <is>
          <t>X</t>
        </is>
      </c>
      <c r="M3203" s="401" t="n"/>
      <c r="N3203" s="401" t="inlineStr">
        <is>
          <t>Done</t>
        </is>
      </c>
      <c r="O3203" s="401" t="n"/>
      <c r="P3203" s="401" t="n"/>
      <c r="S3203" s="401" t="n"/>
      <c r="U3203" s="390" t="n"/>
      <c r="V3203" s="22" t="n"/>
      <c r="W3203" s="22" t="n"/>
      <c r="X3203" s="22" t="n"/>
      <c r="Y3203" s="13" t="n"/>
      <c r="Z3203" s="22" t="n"/>
      <c r="AA3203" s="22" t="n"/>
      <c r="AB3203" s="22" t="n"/>
      <c r="AC3203" s="22" t="n"/>
      <c r="AD3203" s="22" t="n"/>
      <c r="AE3203" s="22" t="n"/>
    </row>
    <row r="3204" ht="112" customHeight="1" s="380">
      <c r="A3204" s="144" t="n">
        <v>124</v>
      </c>
      <c r="B3204" s="390" t="n"/>
      <c r="C3204" s="390" t="inlineStr">
        <is>
          <t>Báo cáo tài chính quý, soát xét bán niên, kiểm toán năm - Chi nhánh công ty chứng khoán nước ngoài tại Việt Nam &gt;&gt; Các chỉ tiêu ngoài báo cáo tình hình tài chính riêng</t>
        </is>
      </c>
      <c r="D3204" s="106" t="inlineStr">
        <is>
          <t>Tên báo cáo</t>
        </is>
      </c>
      <c r="E3204" s="107" t="inlineStr">
        <is>
          <t>Tên báo cáo</t>
        </is>
      </c>
      <c r="F3204" s="390" t="inlineStr">
        <is>
          <t>Data Explorer</t>
        </is>
      </c>
      <c r="G3204" s="390" t="inlineStr">
        <is>
          <t>Chiều</t>
        </is>
      </c>
      <c r="H3204" s="390" t="inlineStr">
        <is>
          <t>Dễ</t>
        </is>
      </c>
      <c r="I3204" s="390" t="inlineStr">
        <is>
          <t>Ngày, CTCK</t>
        </is>
      </c>
      <c r="J3204" s="401" t="inlineStr">
        <is>
          <t>SCMS</t>
        </is>
      </c>
      <c r="K3204" s="401" t="inlineStr">
        <is>
          <t>X</t>
        </is>
      </c>
      <c r="L3204" s="401" t="inlineStr">
        <is>
          <t>X</t>
        </is>
      </c>
      <c r="M3204" s="401" t="n"/>
      <c r="N3204" s="401" t="inlineStr">
        <is>
          <t>Done</t>
        </is>
      </c>
      <c r="O3204" s="401" t="n"/>
      <c r="P3204" s="401" t="n"/>
      <c r="S3204" s="401" t="n"/>
      <c r="U3204" s="390" t="n"/>
      <c r="V3204" s="22" t="n"/>
      <c r="W3204" s="22" t="n"/>
      <c r="X3204" s="22" t="n"/>
      <c r="Y3204" s="13" t="n"/>
      <c r="Z3204" s="22" t="n"/>
      <c r="AA3204" s="22" t="n"/>
      <c r="AB3204" s="22" t="n"/>
      <c r="AC3204" s="22" t="n"/>
      <c r="AD3204" s="22" t="n"/>
      <c r="AE3204" s="22" t="n"/>
    </row>
    <row r="3205" ht="112" customHeight="1" s="380">
      <c r="A3205" s="144" t="n">
        <v>124</v>
      </c>
      <c r="B3205" s="390" t="n"/>
      <c r="C3205" s="390" t="inlineStr">
        <is>
          <t>Báo cáo tài chính quý, soát xét bán niên, kiểm toán năm - Chi nhánh công ty chứng khoán nước ngoài tại Việt Nam &gt;&gt; Các chỉ tiêu ngoài báo cáo tình hình tài chính riêng</t>
        </is>
      </c>
      <c r="D3205" s="106" t="inlineStr">
        <is>
          <t>Mã sheet</t>
        </is>
      </c>
      <c r="E3205" s="106" t="inlineStr">
        <is>
          <t>Mã sheet</t>
        </is>
      </c>
      <c r="F3205" s="390" t="inlineStr">
        <is>
          <t>Data Explorer</t>
        </is>
      </c>
      <c r="G3205" s="390" t="inlineStr">
        <is>
          <t>Chiều</t>
        </is>
      </c>
      <c r="H3205" s="390" t="inlineStr">
        <is>
          <t>Dễ</t>
        </is>
      </c>
      <c r="I3205" s="390" t="inlineStr">
        <is>
          <t>Ngày, CTCK</t>
        </is>
      </c>
      <c r="J3205" s="401" t="inlineStr">
        <is>
          <t>SCMS</t>
        </is>
      </c>
      <c r="K3205" s="401" t="inlineStr">
        <is>
          <t>X</t>
        </is>
      </c>
      <c r="L3205" s="401" t="inlineStr">
        <is>
          <t>X</t>
        </is>
      </c>
      <c r="M3205" s="401" t="n"/>
      <c r="N3205" s="401" t="inlineStr">
        <is>
          <t>Done</t>
        </is>
      </c>
      <c r="O3205" s="401" t="n"/>
      <c r="P3205" s="401" t="n"/>
      <c r="Q3205" s="401" t="inlineStr">
        <is>
          <t>SCMS.BM_BAO_CAO
SCMS.BM_SHEET</t>
        </is>
      </c>
      <c r="R3205" s="401" t="inlineStr">
        <is>
          <t>bm.ID,
bm.MA_BAO_CAO,
bm.SU_DUNG,
s.BM_BAO_CAO_ID,
s.MA_SHEET,
s.TEN_SHEET,
s.SAP_XEP</t>
        </is>
      </c>
      <c r="S3205" s="401" t="n"/>
      <c r="T3205" s="390" t="inlineStr">
        <is>
          <t>-- Mã sheet / Tên sheet
-- TEN_SHEET: CCTTCR
SELECT bm.MA_BAO_CAO,
s.MA_SHEET,
s.TEN_SHEET
FROM SCMS.BM_BAO_CAO bm
JOIN SCMS.BM_SHEET s ON s.BM_BAO_CAO_ID = bm.ID
WHERE bm.MA_BAO_CAO LIKE 'BCTCRLCTCK'
AND s.TEN_SHEET = 'CCTTCR'  -- Check lại
AND bm.SU_DUNG = 1
ORDER BY bm.MA_BAO_CAO, s.SAP_XEP;</t>
        </is>
      </c>
      <c r="U3205" s="390" t="n"/>
      <c r="V3205" s="22" t="n"/>
      <c r="W3205" s="22" t="n"/>
      <c r="X3205" s="22" t="n"/>
      <c r="Y3205" s="13" t="n"/>
      <c r="Z3205" s="22" t="n"/>
      <c r="AA3205" s="22" t="n"/>
      <c r="AB3205" s="22" t="n"/>
      <c r="AC3205" s="22" t="n"/>
      <c r="AD3205" s="22" t="n"/>
      <c r="AE3205" s="22" t="n"/>
    </row>
    <row r="3206" ht="112" customHeight="1" s="380">
      <c r="A3206" s="144" t="n">
        <v>124</v>
      </c>
      <c r="B3206" s="390" t="n"/>
      <c r="C3206" s="390" t="inlineStr">
        <is>
          <t>Báo cáo tài chính quý, soát xét bán niên, kiểm toán năm - Chi nhánh công ty chứng khoán nước ngoài tại Việt Nam &gt;&gt; Các chỉ tiêu ngoài báo cáo tình hình tài chính riêng</t>
        </is>
      </c>
      <c r="D3206" s="106" t="inlineStr">
        <is>
          <t>Tên sheet</t>
        </is>
      </c>
      <c r="E3206" s="106" t="inlineStr">
        <is>
          <t>Tên sheet</t>
        </is>
      </c>
      <c r="F3206" s="390" t="inlineStr">
        <is>
          <t>Data Explorer</t>
        </is>
      </c>
      <c r="G3206" s="390" t="inlineStr">
        <is>
          <t>Chiều</t>
        </is>
      </c>
      <c r="H3206" s="390" t="inlineStr">
        <is>
          <t>Dễ</t>
        </is>
      </c>
      <c r="I3206" s="390" t="inlineStr">
        <is>
          <t>Ngày, CTCK</t>
        </is>
      </c>
      <c r="J3206" s="401" t="inlineStr">
        <is>
          <t>SCMS</t>
        </is>
      </c>
      <c r="K3206" s="401" t="inlineStr">
        <is>
          <t>X</t>
        </is>
      </c>
      <c r="L3206" s="401" t="inlineStr">
        <is>
          <t>X</t>
        </is>
      </c>
      <c r="M3206" s="401" t="n"/>
      <c r="N3206" s="401" t="inlineStr">
        <is>
          <t>Done</t>
        </is>
      </c>
      <c r="O3206" s="401" t="n"/>
      <c r="P3206" s="401" t="n"/>
      <c r="S3206" s="401" t="n"/>
      <c r="U3206" s="390" t="n"/>
      <c r="V3206" s="22" t="n"/>
      <c r="W3206" s="22" t="n"/>
      <c r="X3206" s="22" t="n"/>
      <c r="Y3206" s="13" t="n"/>
      <c r="Z3206" s="22" t="n"/>
      <c r="AA3206" s="22" t="n"/>
      <c r="AB3206" s="22" t="n"/>
      <c r="AC3206" s="22" t="n"/>
      <c r="AD3206" s="22" t="n"/>
      <c r="AE3206" s="22" t="n"/>
    </row>
    <row r="3207" ht="112" customHeight="1" s="380">
      <c r="A3207" s="144" t="n">
        <v>124</v>
      </c>
      <c r="B3207" s="390" t="n"/>
      <c r="C3207" s="390" t="inlineStr">
        <is>
          <t>Báo cáo tài chính quý, soát xét bán niên, kiểm toán năm - Chi nhánh công ty chứng khoán nước ngoài tại Việt Nam &gt;&gt; Các chỉ tiêu ngoài báo cáo tình hình tài chính riêng</t>
        </is>
      </c>
      <c r="D3207" s="106" t="inlineStr">
        <is>
          <t>Mã chỉ tiêu</t>
        </is>
      </c>
      <c r="E3207" s="107" t="inlineStr">
        <is>
          <t>Mã chỉ tiêu</t>
        </is>
      </c>
      <c r="F3207" s="390" t="inlineStr">
        <is>
          <t>Data Explorer</t>
        </is>
      </c>
      <c r="G3207" s="390" t="inlineStr">
        <is>
          <t>Chiều</t>
        </is>
      </c>
      <c r="H3207" s="390" t="inlineStr">
        <is>
          <t>Dễ</t>
        </is>
      </c>
      <c r="I3207" s="390" t="inlineStr">
        <is>
          <t>Ngày, CTCK</t>
        </is>
      </c>
      <c r="J3207" s="401" t="inlineStr">
        <is>
          <t>SCMS</t>
        </is>
      </c>
      <c r="K3207" s="401" t="inlineStr">
        <is>
          <t>X</t>
        </is>
      </c>
      <c r="L3207" s="401" t="inlineStr">
        <is>
          <t>X</t>
        </is>
      </c>
      <c r="M3207" s="401" t="n"/>
      <c r="N3207" s="401" t="inlineStr">
        <is>
          <t>Done</t>
        </is>
      </c>
      <c r="O3207" s="401" t="n"/>
      <c r="P3207" s="401" t="n"/>
      <c r="Q3207" s="401" t="inlineStr">
        <is>
          <t>SCMS.BM_BAO_CAO
SCMS.BM_SHEET
SCMS.BM_BAO_CAO_CT
SCMS.DM_CHI_TIEU</t>
        </is>
      </c>
      <c r="R3207" s="401" t="inlineStr">
        <is>
          <t>dct.ID,
dct.MA_CHI_TIEU,
dct.TEN_CHI_TIEU,
dct.SU_DUNG,
s.BM_BAO_CAO_ID,
s.MA_SHEET,
ct.BM_BAO_CAO_ID,
ct.DM_CHI_TIEU_ID,
ct.SU_DUNG,
bm.ID,
bm.MA_BAO_CAO,
bm.SU_DUNG</t>
        </is>
      </c>
      <c r="S3207" s="401" t="n"/>
      <c r="T3207" s="389" t="inlineStr">
        <is>
          <t>-- Mã chỉ tiêu / Tên chỉ tiêu
SELECT DISTINCT
    dct.MA_CHI_TIEU  AS ma_chi_tieu,
    dct.TEN_CHI_TIEU AS ten_chi_tieu
FROM SCMS.BM_BAO_CAO bm
JOIN SCMS.BM_SHEET s ON s.BM_BAO_CAO_ID = bm.ID
	AND s.TEN_SHEET = 'CCTTCR'
JOIN SCMS.BM_BAO_CAO_CT ct ON ct.BM_SHEET_ID = s.ID
	AND ct.SU_DUNG = 1
JOIN SCMS.DM_CHI_TIEU dct ON dct.ID = ct.DM_CHI_TIEU_ID
	AND dct.SU_DUNG = 1
WHERE bm.MA_BAO_CAO LIKE 'BCTCRLCTCK'
	AND bm.SU_DUNG = 1
ORDER BY dct.MA_CHI_TIEU;</t>
        </is>
      </c>
      <c r="U3207" s="390" t="n"/>
      <c r="V3207" s="22" t="n"/>
      <c r="W3207" s="22" t="n"/>
      <c r="X3207" s="22" t="n"/>
      <c r="Y3207" s="13" t="n"/>
      <c r="Z3207" s="22" t="n"/>
      <c r="AA3207" s="22" t="n"/>
      <c r="AB3207" s="22" t="n"/>
      <c r="AC3207" s="22" t="n"/>
      <c r="AD3207" s="22" t="n"/>
      <c r="AE3207" s="22" t="n"/>
    </row>
    <row r="3208" ht="112" customHeight="1" s="380">
      <c r="A3208" s="144" t="n">
        <v>124</v>
      </c>
      <c r="B3208" s="390" t="n"/>
      <c r="C3208" s="390" t="inlineStr">
        <is>
          <t>Báo cáo tài chính quý, soát xét bán niên, kiểm toán năm - Chi nhánh công ty chứng khoán nước ngoài tại Việt Nam &gt;&gt; Các chỉ tiêu ngoài báo cáo tình hình tài chính riêng</t>
        </is>
      </c>
      <c r="D3208" s="106" t="inlineStr">
        <is>
          <t>Tên chỉ tiêu</t>
        </is>
      </c>
      <c r="E3208" s="107" t="inlineStr">
        <is>
          <t>Tên chỉ tiêu</t>
        </is>
      </c>
      <c r="F3208" s="390" t="inlineStr">
        <is>
          <t>Data Explorer</t>
        </is>
      </c>
      <c r="G3208" s="390" t="inlineStr">
        <is>
          <t>Chiều</t>
        </is>
      </c>
      <c r="H3208" s="390" t="inlineStr">
        <is>
          <t>Dễ</t>
        </is>
      </c>
      <c r="I3208" s="390" t="inlineStr">
        <is>
          <t>Ngày, CTCK</t>
        </is>
      </c>
      <c r="J3208" s="401" t="inlineStr">
        <is>
          <t>SCMS</t>
        </is>
      </c>
      <c r="K3208" s="401" t="inlineStr">
        <is>
          <t>X</t>
        </is>
      </c>
      <c r="L3208" s="401" t="inlineStr">
        <is>
          <t>X</t>
        </is>
      </c>
      <c r="M3208" s="401" t="n"/>
      <c r="N3208" s="401" t="inlineStr">
        <is>
          <t>Done</t>
        </is>
      </c>
      <c r="O3208" s="401" t="n"/>
      <c r="P3208" s="401" t="n"/>
      <c r="S3208" s="401" t="n"/>
      <c r="U3208" s="390" t="n"/>
      <c r="V3208" s="22" t="n"/>
      <c r="W3208" s="22" t="n"/>
      <c r="X3208" s="22" t="n"/>
      <c r="Y3208" s="13" t="n"/>
      <c r="Z3208" s="22" t="n"/>
      <c r="AA3208" s="22" t="n"/>
      <c r="AB3208" s="22" t="n"/>
      <c r="AC3208" s="22" t="n"/>
      <c r="AD3208" s="22" t="n"/>
      <c r="AE3208" s="22" t="n"/>
    </row>
    <row r="3209" ht="112" customHeight="1" s="380">
      <c r="A3209" s="144" t="n">
        <v>124</v>
      </c>
      <c r="B3209" s="390" t="n"/>
      <c r="C3209" s="390" t="inlineStr">
        <is>
          <t>Báo cáo tài chính quý, soát xét bán niên, kiểm toán năm - Chi nhánh công ty chứng khoán nước ngoài tại Việt Nam &gt;&gt; Các chỉ tiêu ngoài báo cáo tình hình tài chính riêng</t>
        </is>
      </c>
      <c r="D3209" s="132" t="inlineStr">
        <is>
          <t>A.TÀI SẢN CỦA CTCK VÀ TÀI SẢN QUẢN LÝ THEO CAM KẾT</t>
        </is>
      </c>
      <c r="E3209" s="401" t="n"/>
      <c r="F3209" s="390" t="inlineStr">
        <is>
          <t>Data Explorer</t>
        </is>
      </c>
      <c r="G3209" s="390" t="inlineStr">
        <is>
          <t>Chỉ tiêu cơ sở</t>
        </is>
      </c>
      <c r="H3209" s="390" t="inlineStr">
        <is>
          <t>Dễ</t>
        </is>
      </c>
      <c r="I3209" s="390" t="inlineStr">
        <is>
          <t>Ngày, CTCK</t>
        </is>
      </c>
      <c r="J3209" s="401" t="inlineStr">
        <is>
          <t>SCMS</t>
        </is>
      </c>
      <c r="K3209" s="401" t="n"/>
      <c r="L3209" s="401" t="inlineStr">
        <is>
          <t>X</t>
        </is>
      </c>
      <c r="M3209" s="401" t="n"/>
      <c r="N3209" s="401" t="inlineStr">
        <is>
          <t>Done</t>
        </is>
      </c>
      <c r="O3209" s="401" t="n"/>
      <c r="P3209" s="401" t="n"/>
      <c r="Q3209" s="431" t="inlineStr">
        <is>
          <t>SCMS.BC_THANH_VIEN
SCMS.BM_BAO_CAO
SCMS.BC_BAO_CAO_GT
SCMS.BM_BAO_CAO_HANG
SCMS.BM_BAO_CAO_COT</t>
        </is>
      </c>
      <c r="R3209" s="431" t="inlineStr">
        <is>
          <t>bsc.TEN_COT,
bsc.BM_SHEET_ID,
bsh.ID,
bsh.MA_HANG,
gt.GIA_TRI,
gt.BC_THANH_VIEN_ID,
gt.BM_SHEET_HANG_ID,
bm.ID,
bm.MA_BAO_CAO,
btv.ID,
btv.BM_BAO_CAO_ID,
btv.TRANG_THAI,
btv.NGAY_SO_LIEU</t>
        </is>
      </c>
      <c r="S3209" s="401" t="n"/>
      <c r="T3209" s="432" t="inlineStr">
        <is>
          <t>-- CHỈ TIÊU
SELECT
	-- Thuyết minh
    MAX(CASE WHEN bsc.TEN_COT=N'Thuyết minh' AND bsh.MA_HANG = '4' THEN CAST(gt.GIA_TRI AS VARCHAR2(4000)) END) AS "A.TÀI SẢN CỦA CTCK VÀ TÀI SẢN QUẢN LÝ THEO CAM KẾT",
    MAX(CASE WHEN bsc.TEN_COT=N'Thuyết minh' AND bsh.MA_HANG = '5' THEN CAST(gt.GIA_TRI AS VARCHAR2(4000)) END) AS "1. Tài sản cố định thuê ngoài",    
    MAX(CASE WHEN bsc.TEN_COT=N'Thuyết minh' AND bsh.MA_HANG = '6' THEN CAST(gt.GIA_TRI AS VARCHAR2(4000)) END) AS "2. Chứng chỉ có giá nhận giữ hộ",
    MAX(CASE WHEN bsc.TEN_COT=N'Thuyết minh' AND bsh.MA_HANG = '7' THEN CAST(gt.GIA_TRI AS VARCHAR2(4000)) END) AS "3. Tài sản nhận thế chấp",
    MAX(CASE WHEN bsc.TEN_COT=N'Thuyết minh' AND bsh.MA_HANG = '8' THEN CAST(gt.GIA_TRI AS VARCHAR2(4000)) END) AS "4. Nợ khó đòi đã xử lý",
    MAX(CASE WHEN bsc.TEN_COT=N'Thuyết minh' AND bsh.MA_HANG = '9' THEN CAST(gt.GIA_TRI AS VARCHAR2(4000)) END) AS "5. Ngoại tệ các loại",
    MAX(CASE WHEN bsc.TEN_COT=N'Thuyết minh' AND bsh.MA_HANG = '10' THEN CAST(gt.GIA_TRI AS VARCHAR2(4000)) END) AS "6. Cổ phiếu đang lưu hành",
    MAX(CASE WHEN bsc.TEN_COT=N'Thuyết minh' AND bsh.MA_HANG = '11' THEN CAST(gt.GIA_TRI AS VARCHAR2(4000)) END) AS "7. Cổ phiếu quỹ",
    MAX(CASE WHEN bsc.TEN_COT=N'Thuyết minh' AND bsh.MA_HANG = '12' THEN CAST(gt.GIA_TRI AS VARCHAR2(4000)) END) AS "8. Tài sản tài chính niêm yết/đăng ký giao dịch tại VSD của CTCK",
    MAX(CASE WHEN bsc.TEN_COT=N'Thuyết minh' AND bsh.MA_HANG = '13' THEN CAST(gt.GIA_TRI AS VARCHAR2(4000)) END) AS "9. Tài sản tài chính đã lưu ký tại VSD và chưa giao dịch của CTCK",
    MAX(CASE WHEN bsc.TEN_COT=N'Thuyết minh' AND bsh.MA_HANG = '14' THEN CAST(gt.GIA_TRI AS VARCHAR2(4000)) END) AS "10. Tài sản tài chính chờ về của CTCK",
    MAX(CASE WHEN bsc.TEN_COT=N'Thuyết minh' AND bsh.MA_HANG = '15' THEN CAST(gt.GIA_TRI AS VARCHAR2(4000)) END) AS "11. Tài sản tài chính sửa lỗi giao dịch của CTCK",
    MAX(CASE WHEN bsc.TEN_COT=N'Thuyết minh' AND bsh.MA_HANG = '16' THEN CAST(gt.GIA_TRI AS VARCHAR2(4000)) END) AS "12. Tài sản tài chính chưa lưu ký tại VSD của CTCK",
    MAX(CASE WHEN bsc.TEN_COT=N'Thuyết minh' AND bsh.MA_HANG = '17' THEN CAST(gt.GIA_TRI AS VARCHAR2(4000)) END) AS "13.Tài sản tài chính được hưởng quyền của CTCK",
    MAX(CASE WHEN bsc.TEN_COT=N'Thuyết minh' AND bsh.MA_HANG = '18' THEN CAST(gt.GIA_TRI AS VARCHAR2(4000)) END) AS "14. Chứng quyền",  -- DB cũ đang thiếu chỉ tiêu này
    MAX(CASE WHEN bsc.TEN_COT=N'Thuyết minh' AND bsh.MA_HANG = '19' THEN CAST(gt.GIA_TRI AS VARCHAR2(4000)) END) AS "B. TÀI SẢN VÀ CÁC KHOẢN PHẢI TRẢ VỀ TÀI SẢN QUẢN LÝ CAM KẾT VỚI KHÁCH HÀNG",
    MAX(CASE WHEN bsc.TEN_COT=N'Thuyết minh' AND bsh.MA_HANG = '20' THEN CAST(gt.GIA_TRI AS VARCHAR2(4000)) END) AS "1. Tài sản tài chính niêm yết/đăng ký giao dịch tại VSD của Nhà đầu tư",
    MAX(CASE WHEN bsc.TEN_COT=N'Thuyết minh' AND bsh.MA_HANG = '21' THEN CAST(gt.GIA_TRI AS VARCHAR2(4000)) END) AS "a.Tài sản tài chính giao dịch tự do chuyển nhượng",
    MAX(CASE WHEN bsc.TEN_COT=N'Thuyết minh' AND bsh.MA_HANG = '22' THEN CAST(gt.GIA_TRI AS VARCHAR2(4000)) END) AS "b.Tài sản tài chính hạn chế chuyển nhượng",
    MAX(CASE WHEN bsc.TEN_COT=N'Thuyết minh' AND bsh.MA_HANG = '23' THEN CAST(gt.GIA_TRI AS VARCHAR2(4000)) END) AS "c.Tài sản tài chính giao dịch cầm cố",
    MAX(CASE WHEN bsc.TEN_COT=N'Thuyết minh' AND bsh.MA_HANG = '24' THEN CAST(gt.GIA_TRI AS VARCHAR2(4000)) END) AS "d.Tài sản tài chính phong tỏa, tạm giữ",
    MAX(CASE WHEN bsc.TEN_COT=N'Thuyết minh' AND bsh.MA_HANG = '25' THEN CAST(gt.GIA_TRI AS VARCHAR2(4000)) END) AS "e.Tài sản tài chính chờ thanh toán",
    MAX(CASE WHEN bsc.TEN_COT=N'Thuyết minh' AND bsh.MA_HANG = '26' THEN CAST(gt.GIA_TRI AS VARCHAR2(4000)) END) AS "f. Tài sản tài chính chờ cho vay",
    MAX(CASE WHEN bsc.TEN_COT=N'Thuyết minh' AND bsh.MA_HANG = '27' THEN CAST(gt.GIA_TRI AS VARCHAR2(4000)) END) AS "2. Tài sản tài chính đã lưu ký tại VSD và chưa giao dịch của Nhà đầu tư",
    MAX(CASE WHEN bsc.TEN_COT=N'Thuyết minh' AND bsh.MA_HANG = '28' THEN CAST(gt.GIA_TRI AS VARCHAR2(4000)) END) AS "a.Tài sản tài chính đã lưu ký tại VSD và chưa giao dịch, tự do chuyển nhượng",
    MAX(CASE WHEN bsc.TEN_COT=N'Thuyết minh' AND bsh.MA_HANG = '29' THEN CAST(gt.GIA_TRI AS VARCHAR2(4000)) END) AS "b.Tài sản tài chính đã lưu ký tại VSD và chưa giao dịch, hạn chế chuyển nhượng",
    MAX(CASE WHEN bsc.TEN_COT=N'Thuyết minh' AND bsh.MA_HANG = '30' THEN CAST(gt.GIA_TRI AS VARCHAR2(4000)) END) AS "c.Tài sản tài chính đã lưu ký tại VSD và chưa giao dịch, cầm cố",
    MAX(CASE WHEN bsc.TEN_COT=N'Thuyết minh' AND bsh.MA_HANG = '31' THEN CAST(gt.GIA_TRI AS VARCHAR2(4000)) END) AS "d.Tài sản tài chính đã lưu ký tại VSD và chưa giao dịch, phong tỏa, tạm giữ",
    MAX(CASE WHEN bsc.TEN_COT=N'Thuyết minh' AND bsh.MA_HANG = '32' THEN CAST(gt.GIA_TRI AS VARCHAR2(4000)) END) AS "3. Tài sản tài chính chờ về của Nhà đầu tư",
    MAX(CASE WHEN bsc.TEN_COT=N'Thuyết minh' AND bsh.MA_HANG = '33' THEN CAST(gt.GIA_TRI AS VARCHAR2(4000)) END) AS "4. Tài sản tài chính sửa lỗi giao dịch của Nhà đầu tư",
    MAX(CASE WHEN bsc.TEN_COT=N'Thuyết minh' AND bsh.MA_HANG = '34' THEN CAST(gt.GIA_TRI AS VARCHAR2(4000)) END) AS "5.Tài sản tài chính chưa lưu ký tại VSD của Nhà đầu tư",
    MAX(CASE WHEN bsc.TEN_COT=N'Thuyết minh' AND bsh.MA_HANG = '35' THEN CAST(gt.GIA_TRI AS VARCHAR2(4000)) END) AS "6.Tài sản tài chính được hưởng quyền của Nhà đầu tư",
    MAX(CASE WHEN bsc.TEN_COT=N'Thuyết minh' AND bsh.MA_HANG = '36' THEN CAST(gt.GIA_TRI AS VARCHAR2(4000)) END) AS "7. Tiền gửi của khách hàng",
    MAX(CASE WHEN bsc.TEN_COT=N'Thuyết minh' AND bsh.MA_HANG = '37' THEN CAST(gt.GIA_TRI AS VARCHAR2(4000)) END) AS "7.1. Tiền gửi của Nhà đầu tư về giao dịch chứng khoán theo phương thức CTCK quản lý",
    MAX(CASE WHEN bsc.TEN_COT=N'Thuyết minh' AND bsh.MA_HANG = '38' THEN CAST(gt.GIA_TRI AS VARCHAR2(4000)) END) AS "7.2. Tiền gửi tổng hợp giao dịch chứng khoán cho khách hàng",
    MAX(CASE WHEN bsc.TEN_COT=N'Thuyết minh' AND bsh.MA_HANG = '39' THEN CAST(gt.GIA_TRI AS VARCHAR2(4000)) END) AS "7.3. Tiền gửi bù trừ và thanh toán giao dịch chứng khoán",
    MAX(CASE WHEN bsc.TEN_COT=N'Thuyết minh' AND bsh.MA_HANG = '40' THEN CAST(gt.GIA_TRI AS VARCHAR2(4000)) END) AS "a. Tiền gửi bù trừ và thanh toán giao dịch chứng khoán Nhà đầu tư trong nước",
    MAX(CASE WHEN bsc.TEN_COT=N'Thuyết minh' AND bsh.MA_HANG = '41' THEN CAST(gt.GIA_TRI AS VARCHAR2(4000)) END) AS "b. Tiền gửi bù trừ và thanh toán giao dịch chứng khoán Nhà đầu tư nước ngoài",
    MAX(CASE WHEN bsc.TEN_COT=N'Thuyết minh' AND bsh.MA_HANG = '42' THEN CAST(gt.GIA_TRI AS VARCHAR2(4000)) END) AS "7.4. Tiền gửi của Tổ chức phát hành chứng khoán",
    MAX(CASE WHEN bsc.TEN_COT=N'Thuyết minh' AND bsh.MA_HANG = '43' THEN CAST(gt.GIA_TRI AS VARCHAR2(4000)) END) AS "8. Phải trả Nhà đầu tư về tiền gửi giao dịch chứng khoán theo phương thức CTCK quản lý",
    MAX(CASE WHEN bsc.TEN_COT=N'Thuyết minh' AND bsh.MA_HANG = '44' THEN CAST(gt.GIA_TRI AS VARCHAR2(4000)) END) AS "8.1. Phải trả Nhà đầu tư trong nước về tiền gửi giao dịch chứng khoán theo phương thức CTCK quản lý",
    MAX(CASE WHEN bsc.TEN_COT=N'Thuyết minh' AND bsh.MA_HANG = '45' THEN CAST(gt.GIA_TRI AS VARCHAR2(4000)) END) AS "8.2. Phải trả Nhà đầu tư nước ngoài về tiền gửi giao dịch chứng khoán theo phương thức CTCK quản lý",
    MAX(CASE WHEN bsc.TEN_COT=N'Thuyết minh' AND bsh.MA_HANG = '46' THEN CAST(gt.GIA_TRI AS VARCHAR2(4000)) END) AS "9. Phải trả Tổ chức phát hành chứng khoán",
    MAX(CASE WHEN bsc.TEN_COT=N'Thuyết minh' AND bsh.MA_HANG = '47' THEN CAST(gt.GIA_TRI AS VARCHAR2(4000)) END) AS "10. Phải thu của khách hàng về lỗi giao dịch các tài sản tài chính",
    MAX(CASE WHEN bsc.TEN_COT=N'Thuyết minh' AND bsh.MA_HANG = '48' THEN CAST(gt.GIA_TRI AS VARCHAR2(4000)) END) AS "11. Phải trả của khách hàng về lỗi giao dịch các tài sản tài chính",
    MAX(CASE WHEN bsc.TEN_COT=N'Thuyết minh' AND bsh.MA_HANG = '49' THEN CAST(gt.GIA_TRI AS VARCHAR2(4000)) END) AS "12. Phải trả cổ tức, gốc và lãi trái phiếu",
    -- Số cuối năm
	MAX(CASE WHEN bsc.TEN_COT=N'Số cuối năm' AND bsh.MA_HANG = '4' THEN CAST(gt.GIA_TRI AS VARCHAR2(4000)) END) AS "A.TÀI SẢN CỦA CTCK VÀ TÀI SẢN QUẢN LÝ THEO CAM KẾT",
    MAX(CASE WHEN bsc.TEN_COT=N'Số cuối năm' AND bsh.MA_HANG = '5' THEN CAST(gt.GIA_TRI AS VARCHAR2(4000)) END) AS "1. Tài sản cố định thuê ngoài",    
    MAX(CASE WHEN bsc.TEN_COT=N'Số cuối năm' AND bsh.MA_HANG = '6' THEN CAST(gt.GIA_TRI AS VARCHAR2(4000)) END) AS "2. Chứng chỉ có giá nhận giữ hộ",
    MAX(CASE WHEN bsc.TEN_COT=N'Số cuối năm' AND bsh.MA_HANG = '7' THEN CAST(gt.GIA_TRI AS VARCHAR2(4000)) END) AS "3. Tài sản nhận thế chấp",
    MAX(CASE WHEN bsc.TEN_COT=N'Số cuối năm' AND bsh.MA_HANG = '8' THEN CAST(gt.GIA_TRI AS VARCHAR2(4000)) END) AS "4. Nợ khó đòi đã xử lý",
    MAX(CASE WHEN bsc.TEN_COT=N'Số cuối năm' AND bsh.MA_HANG = '9' THEN CAST(gt.GIA_TRI AS VARCHAR2(4000)) END) AS "5. Ngoại tệ các loại",
    MAX(CASE WHEN bsc.TEN_COT=N'Số cuối năm' AND bsh.MA_HANG = '10' THEN CAST(gt.GIA_TRI AS VARCHAR2(4000)) END) AS "6. Cổ phiếu đang lưu hành",
    MAX(CASE WHEN bsc.TEN_COT=N'Số cuối năm' AND bsh.MA_HANG = '11' THEN CAST(gt.GIA_TRI AS VARCHAR2(4000)) END) AS "7. Cổ phiếu quỹ",
    MAX(CASE WHEN bsc.TEN_COT=N'Số cuối năm' AND bsh.MA_HANG = '12' THEN CAST(gt.GIA_TRI AS VARCHAR2(4000)) END) AS "8. Tài sản tài chính niêm yết/đăng ký giao dịch tại VSD của CTCK",
    MAX(CASE WHEN bsc.TEN_COT=N'Số cuối năm' AND bsh.MA_HANG = '13' THEN CAST(gt.GIA_TRI AS VARCHAR2(4000)) END) AS "9. Tài sản tài chính đã lưu ký tại VSD và chưa giao dịch của CTCK",
    MAX(CASE WHEN bsc.TEN_COT=N'Số cuối năm' AND bsh.MA_HANG = '14' THEN CAST(gt.GIA_TRI AS VARCHAR2(4000)) END) AS "10. Tài sản tài chính chờ về của CTCK",
    MAX(CASE WHEN bsc.TEN_COT=N'Số cuối năm' AND bsh.MA_HANG = '15' THEN CAST(gt.GIA_TRI AS VARCHAR2(4000)) END) AS "11. Tài sản tài chính sửa lỗi giao dịch của CTCK",
    MAX(CASE WHEN bsc.TEN_COT=N'Số cuối năm' AND bsh.MA_HANG = '16' THEN CAST(gt.GIA_TRI AS VARCHAR2(4000)) END) AS "12. Tài sản tài chính chưa lưu ký tại VSD của CTCK",
    MAX(CASE WHEN bsc.TEN_COT=N'Số cuối năm' AND bsh.MA_HANG = '17' THEN CAST(gt.GIA_TRI AS VARCHAR2(4000)) END) AS "13.Tài sản tài chính được hưởng quyền của CTCK",
    MAX(CASE WHEN bsc.TEN_COT=N'Số cuối năm' AND bsh.MA_HANG = '18' THEN CAST(gt.GIA_TRI AS VARCHAR2(4000)) END) AS "14. Chứng quyền",  -- DB cũ đang thiếu chỉ tiêu này
    MAX(CASE WHEN bsc.TEN_COT=N'Số cuối năm' AND bsh.MA_HANG = '19' THEN CAST(gt.GIA_TRI AS VARCHAR2(4000)) END) AS "B. TÀI SẢN VÀ CÁC KHOẢN PHẢI TRẢ VỀ TÀI SẢN QUẢN LÝ CAM KẾT VỚI KHÁCH HÀNG",
    MAX(CASE WHEN bsc.TEN_COT=N'Số cuối năm' AND bsh.MA_HANG = '20' THEN CAST(gt.GIA_TRI AS VARCHAR2(4000)) END) AS "1. Tài sản tài chính niêm yết/đăng ký giao dịch tại VSD của Nhà đầu tư",
    MAX(CASE WHEN bsc.TEN_COT=N'Số cuối năm' AND bsh.MA_HANG = '21' THEN CAST(gt.GIA_TRI AS VARCHAR2(4000)) END) AS "a.Tài sản tài chính giao dịch tự do chuyển nhượng",
    MAX(CASE WHEN bsc.TEN_COT=N'Số cuối năm' AND bsh.MA_HANG = '22' THEN CAST(gt.GIA_TRI AS VARCHAR2(4000)) END) AS "b.Tài sản tài chính hạn chế chuyển nhượng",
    MAX(CASE WHEN bsc.TEN_COT=N'Số cuối năm' AND bsh.MA_HANG = '23' THEN CAST(gt.GIA_TRI AS VARCHAR2(4000)) END) AS "c.Tài sản tài chính giao dịch cầm cố",
    MAX(CASE WHEN bsc.TEN_COT=N'Số cuối năm' AND bsh.MA_HANG = '24' THEN CAST(gt.GIA_TRI AS VARCHAR2(4000)) END) AS "d.Tài sản tài chính phong tỏa, tạm giữ",
    MAX(CASE WHEN bsc.TEN_COT=N'Số cuối năm' AND bsh.MA_HANG = '25' THEN CAST(gt.GIA_TRI AS VARCHAR2(4000)) END) AS "e.Tài sản tài chính chờ thanh toán",
    MAX(CASE WHEN bsc.TEN_COT=N'Số cuối năm' AND bsh.MA_HANG = '26' THEN CAST(gt.GIA_TRI AS VARCHAR2(4000)) END) AS "f. Tài sản tài chính chờ cho vay",
    MAX(CASE WHEN bsc.TEN_COT=N'Số cuối năm' AND bsh.MA_HANG = '27' THEN CAST(gt.GIA_TRI AS VARCHAR2(4000)) END) AS "2. Tài sản tài chính đã lưu ký tại VSD và chưa giao dịch của Nhà đầu tư",
    MAX(CASE WHEN bsc.TEN_COT=N'Số cuối năm' AND bsh.MA_HANG = '28' THEN CAST(gt.GIA_TRI AS VARCHAR2(4000)) END) AS "a.Tài sản tài chính đã lưu ký tại VSD và chưa giao dịch, tự do chuyển nhượng",
    MAX(CASE WHEN bsc.TEN_COT=N'Số cuối năm' AND bsh.MA_HANG = '29' THEN CAST(gt.GIA_TRI AS VARCHAR2(4000)) END) AS "b.Tài sản tài chính đã lưu ký tại VSD và chưa giao dịch, hạn chế chuyển nhượng",
    MAX(CASE WHEN bsc.TEN_COT=N'Số cuối năm' AND bsh.MA_HANG = '30' THEN CAST(gt.GIA_TRI AS VARCHAR2(4000)) END) AS "c.Tài sản tài chính đã lưu ký tại VSD và chưa giao dịch, cầm cố",
    MAX(CASE WHEN bsc.TEN_COT=N'Số cuối năm' AND bsh.MA_HANG = '31' THEN CAST(gt.GIA_TRI AS VARCHAR2(4000)) END) AS "d.Tài sản tài chính đã lưu ký tại VSD và chưa giao dịch, phong tỏa, tạm giữ",
    MAX(CASE WHEN bsc.TEN_COT=N'Số cuối năm' AND bsh.MA_HANG = '32' THEN CAST(gt.GIA_TRI AS VARCHAR2(4000)) END) AS "3. Tài sản tài chính chờ về của Nhà đầu tư",
    MAX(CASE WHEN bsc.TEN_COT=N'Số cuối năm' AND bsh.MA_HANG = '33' THEN CAST(gt.GIA_TRI AS VARCHAR2(4000)) END) AS "4. Tài sản tài chính sửa lỗi giao dịch của Nhà đầu tư",
    MAX(CASE WHEN bsc.TEN_COT=N'Số cuối năm' AND bsh.MA_HANG = '34' THEN CAST(gt.GIA_TRI AS VARCHAR2(4000)) END) AS "5.Tài sản tài chính chưa lưu ký tại VSD của Nhà đầu tư",
    MAX(CASE WHEN bsc.TEN_COT=N'Số cuối năm' AND bsh.MA_HANG = '35' THEN CAST(gt.GIA_TRI AS VARCHAR2(4000)) END) AS "6.Tài sản tài chính được hưởng quyền của Nhà đầu tư",
    MAX(CASE WHEN bsc.TEN_COT=N'Số cuối năm' AND bsh.MA_HANG = '36' THEN CAST(gt.GIA_TRI AS VARCHAR2(4000)) END) AS "7. Tiền gửi của khách hàng",
    MAX(CASE WHEN bsc.TEN_COT=N'Số cuối năm' AND bsh.MA_HANG = '37' THEN CAST(gt.GIA_TRI AS VARCHAR2(4000)) END) AS "7.1. Tiền gửi của Nhà đầu tư về giao dịch chứng khoán theo phương thức CTCK quản lý",
    MAX(CASE WHEN bsc.TEN_COT=N'Số cuối năm' AND bsh.MA_HANG = '38' THEN CAST(gt.GIA_TRI AS VARCHAR2(4000)) END) AS "7.2. Tiền gửi tổng hợp giao dịch chứng khoán cho khách hàng",
    MAX(CASE WHEN bsc.TEN_COT=N'Số cuối năm' AND bsh.MA_HANG = '39' THEN CAST(gt.GIA_TRI AS VARCHAR2(4000)) END) AS "7.3. Tiền gửi bù trừ và thanh toán giao dịch chứng khoán",
    MAX(CASE WHEN bsc.TEN_COT=N'Số cuối năm' AND bsh.MA_HANG = '40' THEN CAST(gt.GIA_TRI AS VARCHAR2(4000)) END) AS "a. Tiền gửi bù trừ và thanh toán giao dịch chứng khoán Nhà đầu tư trong nước",
    MAX(CASE WHEN bsc.TEN_COT=N'Số cuối năm' AND bsh.MA_HANG = '41' THEN CAST(gt.GIA_TRI AS VARCHAR2(4000)) END) AS "b. Tiền gửi bù trừ và thanh toán giao dịch chứng khoán Nhà đầu tư nước ngoài",
    MAX(CASE WHEN bsc.TEN_COT=N'Số cuối năm' AND bsh.MA_HANG = '42' THEN CAST(gt.GIA_TRI AS VARCHAR2(4000)) END) AS "7.4. Tiền gửi của Tổ chức phát hành chứng khoán",
    MAX(CASE WHEN bsc.TEN_COT=N'Số cuối năm' AND bsh.MA_HANG = '43' THEN CAST(gt.GIA_TRI AS VARCHAR2(4000)) END) AS "8. Phải trả Nhà đầu tư về tiền gửi giao dịch chứng khoán theo phương thức CTCK quản lý",
    MAX(CASE WHEN bsc.TEN_COT=N'Số cuối năm' AND bsh.MA_HANG = '44' THEN CAST(gt.GIA_TRI AS VARCHAR2(4000)) END) AS "8.1. Phải trả Nhà đầu tư trong nước về tiền gửi giao dịch chứng khoán theo phương thức CTCK quản lý",
    MAX(CASE WHEN bsc.TEN_COT=N'Số cuối năm' AND bsh.MA_HANG = '45' THEN CAST(gt.GIA_TRI AS VARCHAR2(4000)) END) AS "8.2. Phải trả Nhà đầu tư nước ngoài về tiền gửi giao dịch chứng khoán theo phương thức CTCK quản lý",
    MAX(CASE WHEN bsc.TEN_COT=N'Số cuối năm' AND bsh.MA_HANG = '46' THEN CAST(gt.GIA_TRI AS VARCHAR2(4000)) END) AS "9. Phải trả Tổ chức phát hành chứng khoán",
    MAX(CASE WHEN bsc.TEN_COT=N'Số cuối năm' AND bsh.MA_HANG = '47' THEN CAST(gt.GIA_TRI AS VARCHAR2(4000)) END) AS "10. Phải thu của khách hàng về lỗi giao dịch các tài sản tài chính",
    MAX(CASE WHEN bsc.TEN_COT=N'Số cuối năm' AND bsh.MA_HANG = '48' THEN CAST(gt.GIA_TRI AS VARCHAR2(4000)) END) AS "11. Phải trả của khách hàng về lỗi giao dịch các tài sản tài chính",
    MAX(CASE WHEN bsc.TEN_COT=N'Số cuối năm' AND bsh.MA_HANG = '49' THEN CAST(gt.GIA_TRI AS VARCHAR2(4000)) END) AS "12. Phải trả cổ tức, gốc và lãi trái phiếu",    
    -- Số đầu năm
	MAX(CASE WHEN bsc.TEN_COT=N'Số đầu năm' AND bsh.MA_HANG = '4' THEN CAST(gt.GIA_TRI AS VARCHAR2(4000)) END) AS "A.TÀI SẢN CỦA CTCK VÀ TÀI SẢN QUẢN LÝ THEO CAM KẾT",
    MAX(CASE WHEN bsc.TEN_COT=N'Số đầu năm' AND bsh.MA_HANG = '5' THEN CAST(gt.GIA_TRI AS VARCHAR2(4000)) END) AS "1. Tài sản cố định thuê ngoài",    
    MAX(CASE WHEN bsc.TEN_COT=N'Số đầu năm' AND bsh.MA_HANG = '6' THEN CAST(gt.GIA_TRI AS VARCHAR2(4000)) END) AS "2. Chứng chỉ có giá nhận giữ hộ",
    MAX(CASE WHEN bsc.TEN_COT=N'Số đầu năm' AND bsh.MA_HANG = '7' THEN CAST(gt.GIA_TRI AS VARCHAR2(4000)) END) AS "3. Tài sản nhận thế chấp",
    MAX(CASE WHEN bsc.TEN_COT=N'Số đầu năm' AND bsh.MA_HANG = '8' THEN CAST(gt.GIA_TRI AS VARCHAR2(4000)) END) AS "4. Nợ khó đòi đã xử lý",
    MAX(CASE WHEN bsc.TEN_COT=N'Số đầu năm' AND bsh.MA_HANG = '9' THEN CAST(gt.GIA_TRI AS VARCHAR2(4000)) END) AS "5. Ngoại tệ các loại",
    MAX(CASE WHEN bsc.TEN_COT=N'Số đầu năm' AND bsh.MA_HANG = '10' THEN CAST(gt.GIA_TRI AS VARCHAR2(4000)) END) AS "6. Cổ phiếu đang lưu hành",
    MAX(CASE WHEN bsc.TEN_COT=N'Số đầu năm' AND bsh.MA_HANG = '11' THEN CAST(gt.GIA_TRI AS VARCHAR2(4000)) END) AS "7. Cổ phiếu quỹ",
    MAX(CASE WHEN bsc.TEN_COT=N'Số đầu năm' AND bsh.MA_HANG = '12' THEN CAST(gt.GIA_TRI AS VARCHAR2(4000)) END) AS "8. Tài sản tài chính niêm yết/đăng ký giao dịch tại VSD của CTCK",
    MAX(CASE WHEN bsc.TEN_COT=N'Số đầu năm' AND bsh.MA_HANG = '13' THEN CAST(gt.GIA_TRI AS VARCHAR2(4000)) END) AS "9. Tài sản tài chính đã lưu ký tại VSD và chưa giao dịch của CTCK",
    MAX(CASE WHEN bsc.TEN_COT=N'Số đầu năm' AND bsh.MA_HANG = '14' THEN CAST(gt.GIA_TRI AS VARCHAR2(4000)) END) AS "10. Tài sản tài chính chờ về của CTCK",
    MAX(CASE WHEN bsc.TEN_COT=N'Số đầu năm' AND bsh.MA_HANG = '15' THEN CAST(gt.GIA_TRI AS VARCHAR2(4000)) END) AS "11. Tài sản tài chính sửa lỗi giao dịch của CTCK",
    MAX(CASE WHEN bsc.TEN_COT=N'Số đầu năm' AND bsh.MA_HANG = '16' THEN CAST(gt.GIA_TRI AS VARCHAR2(4000)) END) AS "12. Tài sản tài chính chưa lưu ký tại VSD của CTCK",
    MAX(CASE WHEN bsc.TEN_COT=N'Số đầu năm' AND bsh.MA_HANG = '17' THEN CAST(gt.GIA_TRI AS VARCHAR2(4000)) END) AS "13.Tài sản tài chính được hưởng quyền của CTCK",
    MAX(CASE WHEN bsc.TEN_COT=N'Số đầu năm' AND bsh.MA_HANG = '18' THEN CAST(gt.GIA_TRI AS VARCHAR2(4000)) END) AS "14. Chứng quyền",  -- DB cũ đang thiếu chỉ tiêu này
    MAX(CASE WHEN bsc.TEN_COT=N'Số đầu năm' AND bsh.MA_HANG = '19' THEN CAST(gt.GIA_TRI AS VARCHAR2(4000)) END) AS "B. TÀI SẢN VÀ CÁC KHOẢN PHẢI TRẢ VỀ TÀI SẢN QUẢN LÝ CAM KẾT VỚI KHÁCH HÀNG",
    MAX(CASE WHEN bsc.TEN_COT=N'Số đầu năm' AND bsh.MA_HANG = '20' THEN CAST(gt.GIA_TRI AS VARCHAR2(4000)) END) AS "1. Tài sản tài chính niêm yết/đăng ký giao dịch tại VSD của Nhà đầu tư",
    MAX(CASE WHEN bsc.TEN_COT=N'Số đầu năm' AND bsh.MA_HANG = '21' THEN CAST(gt.GIA_TRI AS VARCHAR2(4000)) END) AS "a.Tài sản tài chính giao dịch tự do chuyển nhượng",
    MAX(CASE WHEN bsc.TEN_COT=N'Số đầu năm' AND bsh.MA_HANG = '22' THEN CAST(gt.GIA_TRI AS VARCHAR2(4000)) END) AS "b.Tài sản tài chính hạn chế chuyển nhượng",
    MAX(CASE WHEN bsc.TEN_COT=N'Số đầu năm' AND bsh.MA_HANG = '23' THEN CAST(gt.GIA_TRI AS VARCHAR2(4000)) END) AS "c.Tài sản tài chính giao dịch cầm cố",
    MAX(CASE WHEN bsc.TEN_COT=N'Số đầu năm' AND bsh.MA_HANG = '24' THEN CAST(gt.GIA_TRI AS VARCHAR2(4000)) END) AS "d.Tài sản tài chính phong tỏa, tạm giữ",
    MAX(CASE WHEN bsc.TEN_COT=N'Số đầu năm' AND bsh.MA_HANG = '25' THEN CAST(gt.GIA_TRI AS VARCHAR2(4000)) END) AS "e.Tài sản tài chính chờ thanh toán",
    MAX(CASE WHEN bsc.TEN_COT=N'Số đầu năm' AND bsh.MA_HANG = '26' THEN CAST(gt.GIA_TRI AS VARCHAR2(4000)) END) AS "f. Tài sản tài chính chờ cho vay",
    MAX(CASE WHEN bsc.TEN_COT=N'Số đầu năm' AND bsh.MA_HANG = '27' THEN CAST(gt.GIA_TRI AS VARCHAR2(4000)) END) AS "2. Tài sản tài chính đã lưu ký tại VSD và chưa giao dịch của Nhà đầu tư",
    MAX(CASE WHEN bsc.TEN_COT=N'Số đầu năm' AND bsh.MA_HANG = '28' THEN CAST(gt.GIA_TRI AS VARCHAR2(4000)) END) AS "a.Tài sản tài chính đã lưu ký tại VSD và chưa giao dịch, tự do chuyển nhượng",
    MAX(CASE WHEN bsc.TEN_COT=N'Số đầu năm' AND bsh.MA_HANG = '29' THEN CAST(gt.GIA_TRI AS VARCHAR2(4000)) END) AS "b.Tài sản tài chính đã lưu ký tại VSD và chưa giao dịch, hạn chế chuyển nhượng",
    MAX(CASE WHEN bsc.TEN_COT=N'Số đầu năm' AND bsh.MA_HANG = '30' THEN CAST(gt.GIA_TRI AS VARCHAR2(4000)) END) AS "c.Tài sản tài chính đã lưu ký tại VSD và chưa giao dịch, cầm cố",
    MAX(CASE WHEN bsc.TEN_COT=N'Số đầu năm' AND bsh.MA_HANG = '31' THEN CAST(gt.GIA_TRI AS VARCHAR2(4000)) END) AS "d.Tài sản tài chính đã lưu ký tại VSD và chưa giao dịch, phong tỏa, tạm giữ",
    MAX(CASE WHEN bsc.TEN_COT=N'Số đầu năm' AND bsh.MA_HANG = '32' THEN CAST(gt.GIA_TRI AS VARCHAR2(4000)) END) AS "3. Tài sản tài chính chờ về của Nhà đầu tư",
    MAX(CASE WHEN bsc.TEN_COT=N'Số đầu năm' AND bsh.MA_HANG = '33' THEN CAST(gt.GIA_TRI AS VARCHAR2(4000)) END) AS "4. Tài sản tài chính sửa lỗi giao dịch của Nhà đầu tư",
    MAX(CASE WHEN bsc.TEN_COT=N'Số đầu năm' AND bsh.MA_HANG = '34' THEN CAST(gt.GIA_TRI AS VARCHAR2(4000)) END) AS "5.Tài sản tài chính chưa lưu ký tại VSD của Nhà đầu tư",
    MAX(CASE WHEN bsc.TEN_COT=N'Số đầu năm' AND bsh.MA_HANG = '35' THEN CAST(gt.GIA_TRI AS VARCHAR2(4000)) END) AS "6.Tài sản tài chính được hưởng quyền của Nhà đầu tư",
    MAX(CASE WHEN bsc.TEN_COT=N'Số đầu năm' AND bsh.MA_HANG = '36' THEN CAST(gt.GIA_TRI AS VARCHAR2(4000)) END) AS "7. Tiền gửi của khách hàng",
    MAX(CASE WHEN bsc.TEN_COT=N'Số đầu năm' AND bsh.MA_HANG = '37' THEN CAST(gt.GIA_TRI AS VARCHAR2(4000)) END) AS "7.1. Tiền gửi của Nhà đầu tư về giao dịch chứng khoán theo phương thức CTCK quản lý",
    MAX(CASE WHEN bsc.TEN_COT=N'Số đầu năm' AND bsh.MA_HANG = '38' THEN CAST(gt.GIA_TRI AS VARCHAR2(4000)) END) AS "7.2. Tiền gửi tổng hợp giao dịch chứng khoán cho khách hàng",
    MAX(CASE WHEN bsc.TEN_COT=N'Số đầu năm' AND bsh.MA_HANG = '39' THEN CAST(gt.GIA_TRI AS VARCHAR2(4000)) END) AS "7.3. Tiền gửi bù trừ và thanh toán giao dịch chứng khoán",
    MAX(CASE WHEN bsc.TEN_COT=N'Số đầu năm' AND bsh.MA_HANG = '40' THEN CAST(gt.GIA_TRI AS VARCHAR2(4000)) END) AS "a. Tiền gửi bù trừ và thanh toán giao dịch chứng khoán Nhà đầu tư trong nước",
    MAX(CASE WHEN bsc.TEN_COT=N'Số đầu năm' AND bsh.MA_HANG = '41' THEN CAST(gt.GIA_TRI AS VARCHAR2(4000)) END) AS "b. Tiền gửi bù trừ và thanh toán giao dịch chứng khoán Nhà đầu tư nước ngoài",
    MAX(CASE WHEN bsc.TEN_COT=N'Số đầu năm' AND bsh.MA_HANG = '42' THEN CAST(gt.GIA_TRI AS VARCHAR2(4000)) END) AS "7.4. Tiền gửi của Tổ chức phát hành chứng khoán",
    MAX(CASE WHEN bsc.TEN_COT=N'Số đầu năm' AND bsh.MA_HANG = '43' THEN CAST(gt.GIA_TRI AS VARCHAR2(4000)) END) AS "8. Phải trả Nhà đầu tư về tiền gửi giao dịch chứng khoán theo phương thức CTCK quản lý",
    MAX(CASE WHEN bsc.TEN_COT=N'Số đầu năm' AND bsh.MA_HANG = '44' THEN CAST(gt.GIA_TRI AS VARCHAR2(4000)) END) AS "8.1. Phải trả Nhà đầu tư trong nước về tiền gửi giao dịch chứng khoán theo phương thức CTCK quản lý",
    MAX(CASE WHEN bsc.TEN_COT=N'Số đầu năm' AND bsh.MA_HANG = '45' THEN CAST(gt.GIA_TRI AS VARCHAR2(4000)) END) AS "8.2. Phải trả Nhà đầu tư nước ngoài về tiền gửi giao dịch chứng khoán theo phương thức CTCK quản lý",
    MAX(CASE WHEN bsc.TEN_COT=N'Số đầu năm' AND bsh.MA_HANG = '46' THEN CAST(gt.GIA_TRI AS VARCHAR2(4000)) END) AS "9. Phải trả Tổ chức phát hành chứng khoán",
    MAX(CASE WHEN bsc.TEN_COT=N'Số đầu năm' AND bsh.MA_HANG = '47' THEN CAST(gt.GIA_TRI AS VARCHAR2(4000)) END) AS "10. Phải thu của khách hàng về lỗi giao dịch các tài sản tài chính",
    MAX(CASE WHEN bsc.TEN_COT=N'Số đầu năm' AND bsh.MA_HANG = '48' THEN CAST(gt.GIA_TRI AS VARCHAR2(4000)) END) AS "11. Phải trả của khách hàng về lỗi giao dịch các tài sản tài chính",
    MAX(CASE WHEN bsc.TEN_COT=N'Số đầu năm' AND bsh.MA_HANG = '49' THEN CAST(gt.GIA_TRI AS VARCHAR2(4000)) END) AS "12. Phải trả cổ tức, gốc và lãi trái phiếu"
FROM SCMS.BC_THANH_VIEN btv
JOIN SCMS.BM_BAO_CAO bm ON bm.ID = btv.BM_BAO_CAO_ID
JOIN SCMS.BC_BAO_CAO_GT gt ON gt.BC_THANH_VIEN_ID = btv.ID
JOIN SCMS.BM_BAO_CAO_HANG bsh ON bsh.ID = gt.BM_SHEET_HANG_ID
JOIN SCMS.BM_BAO_CAO_COT bsc ON bsc.BM_SHEET_ID = 5889
--                               AND bsc.TEN_COT = gt.TEN_COT
WHERE bm.MA_BAO_CAO LIKE 'BCTCRLCTCK'
  AND btv.TRANG_THAI IN (2, 3)
GROUP BY btv.ID, btv.NGAY_SO_LIEU
ORDER BY btv.NGAY_SO_LIEU DESC;</t>
        </is>
      </c>
      <c r="U3209" s="390" t="n"/>
      <c r="V3209" s="22" t="n"/>
      <c r="W3209" s="22" t="n"/>
      <c r="X3209" s="22" t="n"/>
      <c r="Y3209" s="14" t="n"/>
      <c r="Z3209" s="22" t="n"/>
      <c r="AA3209" s="22" t="n"/>
      <c r="AB3209" s="22" t="n"/>
      <c r="AC3209" s="22" t="n"/>
      <c r="AD3209" s="22" t="n"/>
      <c r="AE3209" s="22" t="n"/>
    </row>
    <row r="3210" ht="112" customHeight="1" s="380">
      <c r="A3210" s="144" t="n">
        <v>124</v>
      </c>
      <c r="B3210" s="390" t="n"/>
      <c r="C3210" s="390" t="inlineStr">
        <is>
          <t>Báo cáo tài chính quý, soát xét bán niên, kiểm toán năm - Chi nhánh công ty chứng khoán nước ngoài tại Việt Nam &gt;&gt; Các chỉ tiêu ngoài báo cáo tình hình tài chính riêng</t>
        </is>
      </c>
      <c r="D3210" s="390" t="inlineStr">
        <is>
          <t>1. Tài sản cố định thuê ngoài</t>
        </is>
      </c>
      <c r="E3210" s="401" t="n">
        <v>1</v>
      </c>
      <c r="F3210" s="390" t="inlineStr">
        <is>
          <t>Data Explorer</t>
        </is>
      </c>
      <c r="G3210" s="390" t="inlineStr">
        <is>
          <t>Chỉ tiêu cơ sở</t>
        </is>
      </c>
      <c r="H3210" s="390" t="inlineStr">
        <is>
          <t>Dễ</t>
        </is>
      </c>
      <c r="I3210" s="390" t="inlineStr">
        <is>
          <t>Ngày, CTCK</t>
        </is>
      </c>
      <c r="J3210" s="401" t="inlineStr">
        <is>
          <t>SCMS</t>
        </is>
      </c>
      <c r="K3210" s="401" t="n"/>
      <c r="L3210" s="401" t="inlineStr">
        <is>
          <t>X</t>
        </is>
      </c>
      <c r="M3210" s="401" t="n"/>
      <c r="N3210" s="401" t="inlineStr">
        <is>
          <t>Done</t>
        </is>
      </c>
      <c r="O3210" s="401" t="n"/>
      <c r="P3210" s="401" t="n"/>
      <c r="S3210" s="401" t="n"/>
      <c r="U3210" s="390" t="n"/>
      <c r="V3210" s="22" t="n"/>
      <c r="W3210" s="22" t="n"/>
      <c r="X3210" s="22" t="n"/>
      <c r="Y3210" s="13" t="n"/>
      <c r="Z3210" s="22" t="n"/>
      <c r="AA3210" s="22" t="n"/>
      <c r="AB3210" s="22" t="n"/>
      <c r="AC3210" s="22" t="n"/>
      <c r="AD3210" s="22" t="n"/>
      <c r="AE3210" s="22" t="n"/>
    </row>
    <row r="3211" ht="112" customHeight="1" s="380">
      <c r="A3211" s="144" t="n">
        <v>124</v>
      </c>
      <c r="B3211" s="390" t="n"/>
      <c r="C3211" s="390" t="inlineStr">
        <is>
          <t>Báo cáo tài chính quý, soát xét bán niên, kiểm toán năm - Chi nhánh công ty chứng khoán nước ngoài tại Việt Nam &gt;&gt; Các chỉ tiêu ngoài báo cáo tình hình tài chính riêng</t>
        </is>
      </c>
      <c r="D3211" s="390" t="inlineStr">
        <is>
          <t>2. Chứng chỉ có giá nhận giữ hộ</t>
        </is>
      </c>
      <c r="E3211" s="401" t="n">
        <v>2</v>
      </c>
      <c r="F3211" s="390" t="inlineStr">
        <is>
          <t>Data Explorer</t>
        </is>
      </c>
      <c r="G3211" s="390" t="inlineStr">
        <is>
          <t>Chỉ tiêu cơ sở</t>
        </is>
      </c>
      <c r="H3211" s="390" t="inlineStr">
        <is>
          <t>Dễ</t>
        </is>
      </c>
      <c r="I3211" s="390" t="inlineStr">
        <is>
          <t>Ngày, CTCK</t>
        </is>
      </c>
      <c r="J3211" s="401" t="inlineStr">
        <is>
          <t>SCMS</t>
        </is>
      </c>
      <c r="K3211" s="401" t="n"/>
      <c r="L3211" s="401" t="inlineStr">
        <is>
          <t>X</t>
        </is>
      </c>
      <c r="M3211" s="401" t="n"/>
      <c r="N3211" s="401" t="inlineStr">
        <is>
          <t>Done</t>
        </is>
      </c>
      <c r="O3211" s="401" t="n"/>
      <c r="P3211" s="401" t="n"/>
      <c r="S3211" s="401" t="n"/>
      <c r="U3211" s="390" t="n"/>
      <c r="V3211" s="22" t="n"/>
      <c r="W3211" s="22" t="n"/>
      <c r="X3211" s="22" t="n"/>
      <c r="Y3211" s="13" t="n"/>
      <c r="Z3211" s="22" t="n"/>
      <c r="AA3211" s="22" t="n"/>
      <c r="AB3211" s="22" t="n"/>
      <c r="AC3211" s="22" t="n"/>
      <c r="AD3211" s="22" t="n"/>
      <c r="AE3211" s="22" t="n"/>
    </row>
    <row r="3212" ht="112" customHeight="1" s="380">
      <c r="A3212" s="144" t="n">
        <v>124</v>
      </c>
      <c r="B3212" s="390" t="n"/>
      <c r="C3212" s="390" t="inlineStr">
        <is>
          <t>Báo cáo tài chính quý, soát xét bán niên, kiểm toán năm - Chi nhánh công ty chứng khoán nước ngoài tại Việt Nam &gt;&gt; Các chỉ tiêu ngoài báo cáo tình hình tài chính riêng</t>
        </is>
      </c>
      <c r="D3212" s="390" t="inlineStr">
        <is>
          <t>3. Tài sản nhận thế chấp</t>
        </is>
      </c>
      <c r="E3212" s="401" t="n">
        <v>3</v>
      </c>
      <c r="F3212" s="390" t="inlineStr">
        <is>
          <t>Data Explorer</t>
        </is>
      </c>
      <c r="G3212" s="390" t="inlineStr">
        <is>
          <t>Chỉ tiêu cơ sở</t>
        </is>
      </c>
      <c r="H3212" s="390" t="inlineStr">
        <is>
          <t>Dễ</t>
        </is>
      </c>
      <c r="I3212" s="390" t="inlineStr">
        <is>
          <t>Ngày, CTCK</t>
        </is>
      </c>
      <c r="J3212" s="401" t="inlineStr">
        <is>
          <t>SCMS</t>
        </is>
      </c>
      <c r="K3212" s="401" t="n"/>
      <c r="L3212" s="401" t="inlineStr">
        <is>
          <t>X</t>
        </is>
      </c>
      <c r="M3212" s="401" t="n"/>
      <c r="N3212" s="401" t="inlineStr">
        <is>
          <t>Done</t>
        </is>
      </c>
      <c r="O3212" s="401" t="n"/>
      <c r="P3212" s="401" t="n"/>
      <c r="S3212" s="401" t="n"/>
      <c r="U3212" s="390" t="n"/>
      <c r="V3212" s="22" t="n"/>
      <c r="W3212" s="22" t="n"/>
      <c r="X3212" s="22" t="n"/>
      <c r="Y3212" s="13" t="n"/>
      <c r="Z3212" s="22" t="n"/>
      <c r="AA3212" s="22" t="n"/>
      <c r="AB3212" s="22" t="n"/>
      <c r="AC3212" s="22" t="n"/>
      <c r="AD3212" s="22" t="n"/>
      <c r="AE3212" s="22" t="n"/>
    </row>
    <row r="3213" ht="112" customHeight="1" s="380">
      <c r="A3213" s="144" t="n">
        <v>124</v>
      </c>
      <c r="B3213" s="390" t="n"/>
      <c r="C3213" s="390" t="inlineStr">
        <is>
          <t>Báo cáo tài chính quý, soát xét bán niên, kiểm toán năm - Chi nhánh công ty chứng khoán nước ngoài tại Việt Nam &gt;&gt; Các chỉ tiêu ngoài báo cáo tình hình tài chính riêng</t>
        </is>
      </c>
      <c r="D3213" s="390" t="inlineStr">
        <is>
          <t>4. Nợ khó đòi đã xử lý</t>
        </is>
      </c>
      <c r="E3213" s="401" t="n">
        <v>4</v>
      </c>
      <c r="F3213" s="390" t="inlineStr">
        <is>
          <t>Data Explorer</t>
        </is>
      </c>
      <c r="G3213" s="390" t="inlineStr">
        <is>
          <t>Chỉ tiêu cơ sở</t>
        </is>
      </c>
      <c r="H3213" s="390" t="inlineStr">
        <is>
          <t>Dễ</t>
        </is>
      </c>
      <c r="I3213" s="390" t="inlineStr">
        <is>
          <t>Ngày, CTCK</t>
        </is>
      </c>
      <c r="J3213" s="401" t="inlineStr">
        <is>
          <t>SCMS</t>
        </is>
      </c>
      <c r="K3213" s="401" t="n"/>
      <c r="L3213" s="401" t="inlineStr">
        <is>
          <t>X</t>
        </is>
      </c>
      <c r="M3213" s="401" t="n"/>
      <c r="N3213" s="401" t="inlineStr">
        <is>
          <t>Done</t>
        </is>
      </c>
      <c r="O3213" s="401" t="n"/>
      <c r="P3213" s="401" t="n"/>
      <c r="S3213" s="401" t="n"/>
      <c r="U3213" s="390" t="n"/>
      <c r="V3213" s="22" t="n"/>
      <c r="W3213" s="22" t="n"/>
      <c r="X3213" s="22" t="n"/>
      <c r="Y3213" s="13" t="n"/>
      <c r="Z3213" s="22" t="n"/>
      <c r="AA3213" s="22" t="n"/>
      <c r="AB3213" s="22" t="n"/>
      <c r="AC3213" s="22" t="n"/>
      <c r="AD3213" s="22" t="n"/>
      <c r="AE3213" s="22" t="n"/>
    </row>
    <row r="3214" ht="112" customHeight="1" s="380">
      <c r="A3214" s="144" t="n">
        <v>124</v>
      </c>
      <c r="B3214" s="390" t="n"/>
      <c r="C3214" s="390" t="inlineStr">
        <is>
          <t>Báo cáo tài chính quý, soát xét bán niên, kiểm toán năm - Chi nhánh công ty chứng khoán nước ngoài tại Việt Nam &gt;&gt; Các chỉ tiêu ngoài báo cáo tình hình tài chính riêng</t>
        </is>
      </c>
      <c r="D3214" s="390" t="inlineStr">
        <is>
          <t>5. Ngoại tệ các loại</t>
        </is>
      </c>
      <c r="E3214" s="401" t="n">
        <v>5</v>
      </c>
      <c r="F3214" s="390" t="inlineStr">
        <is>
          <t>Data Explorer</t>
        </is>
      </c>
      <c r="G3214" s="390" t="inlineStr">
        <is>
          <t>Chỉ tiêu cơ sở</t>
        </is>
      </c>
      <c r="H3214" s="390" t="inlineStr">
        <is>
          <t>Dễ</t>
        </is>
      </c>
      <c r="I3214" s="390" t="inlineStr">
        <is>
          <t>Ngày, CTCK</t>
        </is>
      </c>
      <c r="J3214" s="401" t="inlineStr">
        <is>
          <t>SCMS</t>
        </is>
      </c>
      <c r="K3214" s="401" t="n"/>
      <c r="L3214" s="401" t="inlineStr">
        <is>
          <t>X</t>
        </is>
      </c>
      <c r="M3214" s="401" t="n"/>
      <c r="N3214" s="401" t="inlineStr">
        <is>
          <t>Done</t>
        </is>
      </c>
      <c r="O3214" s="401" t="n"/>
      <c r="P3214" s="401" t="n"/>
      <c r="S3214" s="401" t="n"/>
      <c r="U3214" s="390" t="n"/>
      <c r="V3214" s="22" t="n"/>
      <c r="W3214" s="22" t="n"/>
      <c r="X3214" s="22" t="n"/>
      <c r="Y3214" s="14" t="n"/>
      <c r="Z3214" s="22" t="n"/>
      <c r="AA3214" s="22" t="n"/>
      <c r="AB3214" s="22" t="n"/>
      <c r="AC3214" s="22" t="n"/>
      <c r="AD3214" s="22" t="n"/>
      <c r="AE3214" s="22" t="n"/>
    </row>
    <row r="3215" ht="112" customHeight="1" s="380">
      <c r="A3215" s="144" t="n">
        <v>124</v>
      </c>
      <c r="B3215" s="390" t="n"/>
      <c r="C3215" s="390" t="inlineStr">
        <is>
          <t>Báo cáo tài chính quý, soát xét bán niên, kiểm toán năm - Chi nhánh công ty chứng khoán nước ngoài tại Việt Nam &gt;&gt; Các chỉ tiêu ngoài báo cáo tình hình tài chính riêng</t>
        </is>
      </c>
      <c r="D3215" s="390" t="inlineStr">
        <is>
          <t>6. Cổ phiếu đang lưu hành</t>
        </is>
      </c>
      <c r="E3215" s="401" t="n">
        <v>6</v>
      </c>
      <c r="F3215" s="390" t="inlineStr">
        <is>
          <t>Data Explorer</t>
        </is>
      </c>
      <c r="G3215" s="390" t="inlineStr">
        <is>
          <t>Chỉ tiêu cơ sở</t>
        </is>
      </c>
      <c r="H3215" s="390" t="inlineStr">
        <is>
          <t>Dễ</t>
        </is>
      </c>
      <c r="I3215" s="390" t="inlineStr">
        <is>
          <t>Ngày, CTCK</t>
        </is>
      </c>
      <c r="J3215" s="401" t="inlineStr">
        <is>
          <t>SCMS</t>
        </is>
      </c>
      <c r="K3215" s="401" t="n"/>
      <c r="L3215" s="401" t="inlineStr">
        <is>
          <t>X</t>
        </is>
      </c>
      <c r="M3215" s="401" t="n"/>
      <c r="N3215" s="401" t="inlineStr">
        <is>
          <t>Done</t>
        </is>
      </c>
      <c r="O3215" s="401" t="n"/>
      <c r="P3215" s="401" t="n"/>
      <c r="S3215" s="401" t="n"/>
      <c r="U3215" s="390" t="n"/>
      <c r="V3215" s="22" t="n"/>
      <c r="W3215" s="22" t="n"/>
      <c r="X3215" s="22" t="n"/>
      <c r="Y3215" s="13" t="n"/>
      <c r="Z3215" s="22" t="n"/>
      <c r="AA3215" s="22" t="n"/>
      <c r="AB3215" s="22" t="n"/>
      <c r="AC3215" s="22" t="n"/>
      <c r="AD3215" s="22" t="n"/>
      <c r="AE3215" s="22" t="n"/>
    </row>
    <row r="3216" ht="112" customHeight="1" s="380">
      <c r="A3216" s="144" t="n">
        <v>124</v>
      </c>
      <c r="B3216" s="390" t="n"/>
      <c r="C3216" s="390" t="inlineStr">
        <is>
          <t>Báo cáo tài chính quý, soát xét bán niên, kiểm toán năm - Chi nhánh công ty chứng khoán nước ngoài tại Việt Nam &gt;&gt; Các chỉ tiêu ngoài báo cáo tình hình tài chính riêng</t>
        </is>
      </c>
      <c r="D3216" s="390" t="inlineStr">
        <is>
          <t>7. Cổ phiếu quỹ</t>
        </is>
      </c>
      <c r="E3216" s="401" t="n">
        <v>7</v>
      </c>
      <c r="F3216" s="390" t="inlineStr">
        <is>
          <t>Data Explorer</t>
        </is>
      </c>
      <c r="G3216" s="390" t="inlineStr">
        <is>
          <t>Chỉ tiêu cơ sở</t>
        </is>
      </c>
      <c r="H3216" s="390" t="inlineStr">
        <is>
          <t>Dễ</t>
        </is>
      </c>
      <c r="I3216" s="390" t="inlineStr">
        <is>
          <t>Ngày, CTCK</t>
        </is>
      </c>
      <c r="J3216" s="401" t="inlineStr">
        <is>
          <t>SCMS</t>
        </is>
      </c>
      <c r="K3216" s="401" t="n"/>
      <c r="L3216" s="401" t="inlineStr">
        <is>
          <t>X</t>
        </is>
      </c>
      <c r="M3216" s="401" t="n"/>
      <c r="N3216" s="401" t="inlineStr">
        <is>
          <t>Done</t>
        </is>
      </c>
      <c r="O3216" s="401" t="n"/>
      <c r="P3216" s="401" t="n"/>
      <c r="S3216" s="401" t="n"/>
      <c r="U3216" s="390" t="n"/>
      <c r="V3216" s="22" t="n"/>
      <c r="W3216" s="22" t="n"/>
      <c r="X3216" s="22" t="n"/>
      <c r="Y3216" s="13" t="n"/>
      <c r="Z3216" s="22" t="n"/>
      <c r="AA3216" s="22" t="n"/>
      <c r="AB3216" s="22" t="n"/>
      <c r="AC3216" s="22" t="n"/>
      <c r="AD3216" s="22" t="n"/>
      <c r="AE3216" s="22" t="n"/>
    </row>
    <row r="3217" ht="112" customHeight="1" s="380">
      <c r="A3217" s="144" t="n">
        <v>124</v>
      </c>
      <c r="B3217" s="390" t="n"/>
      <c r="C3217" s="390" t="inlineStr">
        <is>
          <t>Báo cáo tài chính quý, soát xét bán niên, kiểm toán năm - Chi nhánh công ty chứng khoán nước ngoài tại Việt Nam &gt;&gt; Các chỉ tiêu ngoài báo cáo tình hình tài chính riêng</t>
        </is>
      </c>
      <c r="D3217" s="390" t="inlineStr">
        <is>
          <t xml:space="preserve">8. Tài sản tài chính niêm yết/đăng ký giao dịch tại VSD của CTCK </t>
        </is>
      </c>
      <c r="E3217" s="401" t="n">
        <v>8</v>
      </c>
      <c r="F3217" s="390" t="inlineStr">
        <is>
          <t>Data Explorer</t>
        </is>
      </c>
      <c r="G3217" s="390" t="inlineStr">
        <is>
          <t>Chỉ tiêu cơ sở</t>
        </is>
      </c>
      <c r="H3217" s="390" t="inlineStr">
        <is>
          <t>Dễ</t>
        </is>
      </c>
      <c r="I3217" s="390" t="inlineStr">
        <is>
          <t>Ngày, CTCK</t>
        </is>
      </c>
      <c r="J3217" s="401" t="inlineStr">
        <is>
          <t>SCMS</t>
        </is>
      </c>
      <c r="K3217" s="401" t="n"/>
      <c r="L3217" s="401" t="inlineStr">
        <is>
          <t>X</t>
        </is>
      </c>
      <c r="M3217" s="401" t="n"/>
      <c r="N3217" s="401" t="inlineStr">
        <is>
          <t>Done</t>
        </is>
      </c>
      <c r="O3217" s="401" t="n"/>
      <c r="P3217" s="401" t="n"/>
      <c r="S3217" s="401" t="n"/>
      <c r="U3217" s="390" t="n"/>
      <c r="V3217" s="22" t="n"/>
      <c r="W3217" s="22" t="n"/>
      <c r="X3217" s="22" t="n"/>
      <c r="Y3217" s="13" t="n"/>
      <c r="Z3217" s="22" t="n"/>
      <c r="AA3217" s="22" t="n"/>
      <c r="AB3217" s="22" t="n"/>
      <c r="AC3217" s="22" t="n"/>
      <c r="AD3217" s="22" t="n"/>
      <c r="AE3217" s="22" t="n"/>
    </row>
    <row r="3218" ht="112" customHeight="1" s="380">
      <c r="A3218" s="144" t="n">
        <v>124</v>
      </c>
      <c r="B3218" s="390" t="n"/>
      <c r="C3218" s="390" t="inlineStr">
        <is>
          <t>Báo cáo tài chính quý, soát xét bán niên, kiểm toán năm - Chi nhánh công ty chứng khoán nước ngoài tại Việt Nam &gt;&gt; Các chỉ tiêu ngoài báo cáo tình hình tài chính riêng</t>
        </is>
      </c>
      <c r="D3218" s="390" t="inlineStr">
        <is>
          <t xml:space="preserve">9. Tài sản tài chính đã lưu ký tại VSD và chưa giao dịch của CTCK </t>
        </is>
      </c>
      <c r="E3218" s="401" t="n">
        <v>9</v>
      </c>
      <c r="F3218" s="390" t="inlineStr">
        <is>
          <t>Data Explorer</t>
        </is>
      </c>
      <c r="G3218" s="390" t="inlineStr">
        <is>
          <t>Chỉ tiêu cơ sở</t>
        </is>
      </c>
      <c r="H3218" s="390" t="inlineStr">
        <is>
          <t>Dễ</t>
        </is>
      </c>
      <c r="I3218" s="390" t="inlineStr">
        <is>
          <t>Ngày, CTCK</t>
        </is>
      </c>
      <c r="J3218" s="401" t="inlineStr">
        <is>
          <t>SCMS</t>
        </is>
      </c>
      <c r="K3218" s="401" t="n"/>
      <c r="L3218" s="401" t="inlineStr">
        <is>
          <t>X</t>
        </is>
      </c>
      <c r="M3218" s="401" t="n"/>
      <c r="N3218" s="401" t="inlineStr">
        <is>
          <t>Done</t>
        </is>
      </c>
      <c r="O3218" s="401" t="n"/>
      <c r="P3218" s="401" t="n"/>
      <c r="S3218" s="401" t="n"/>
      <c r="U3218" s="390" t="n"/>
      <c r="V3218" s="22" t="n"/>
      <c r="W3218" s="22" t="n"/>
      <c r="X3218" s="22" t="n"/>
      <c r="Y3218" s="14" t="n"/>
      <c r="Z3218" s="22" t="n"/>
      <c r="AA3218" s="22" t="n"/>
      <c r="AB3218" s="22" t="n"/>
      <c r="AC3218" s="22" t="n"/>
      <c r="AD3218" s="22" t="n"/>
      <c r="AE3218" s="22" t="n"/>
    </row>
    <row r="3219" ht="112" customHeight="1" s="380">
      <c r="A3219" s="144" t="n">
        <v>124</v>
      </c>
      <c r="B3219" s="390" t="n"/>
      <c r="C3219" s="390" t="inlineStr">
        <is>
          <t>Báo cáo tài chính quý, soát xét bán niên, kiểm toán năm - Chi nhánh công ty chứng khoán nước ngoài tại Việt Nam &gt;&gt; Các chỉ tiêu ngoài báo cáo tình hình tài chính riêng</t>
        </is>
      </c>
      <c r="D3219" s="390" t="inlineStr">
        <is>
          <t xml:space="preserve">10. Tài sản tài chính chờ về của CTCK </t>
        </is>
      </c>
      <c r="E3219" s="401" t="n">
        <v>10</v>
      </c>
      <c r="F3219" s="390" t="inlineStr">
        <is>
          <t>Data Explorer</t>
        </is>
      </c>
      <c r="G3219" s="390" t="inlineStr">
        <is>
          <t>Chỉ tiêu cơ sở</t>
        </is>
      </c>
      <c r="H3219" s="390" t="inlineStr">
        <is>
          <t>Dễ</t>
        </is>
      </c>
      <c r="I3219" s="390" t="inlineStr">
        <is>
          <t>Ngày, CTCK</t>
        </is>
      </c>
      <c r="J3219" s="401" t="inlineStr">
        <is>
          <t>SCMS</t>
        </is>
      </c>
      <c r="K3219" s="401" t="n"/>
      <c r="L3219" s="401" t="inlineStr">
        <is>
          <t>X</t>
        </is>
      </c>
      <c r="M3219" s="401" t="n"/>
      <c r="N3219" s="401" t="inlineStr">
        <is>
          <t>Done</t>
        </is>
      </c>
      <c r="O3219" s="401" t="n"/>
      <c r="P3219" s="401" t="n"/>
      <c r="S3219" s="401" t="n"/>
      <c r="U3219" s="390" t="n"/>
      <c r="V3219" s="22" t="n"/>
      <c r="W3219" s="22" t="n"/>
      <c r="X3219" s="22" t="n"/>
      <c r="Y3219" s="13" t="n"/>
      <c r="Z3219" s="22" t="n"/>
      <c r="AA3219" s="22" t="n"/>
      <c r="AB3219" s="22" t="n"/>
      <c r="AC3219" s="22" t="n"/>
      <c r="AD3219" s="22" t="n"/>
      <c r="AE3219" s="22" t="n"/>
    </row>
    <row r="3220" ht="112" customHeight="1" s="380">
      <c r="A3220" s="144" t="n">
        <v>124</v>
      </c>
      <c r="B3220" s="390" t="n"/>
      <c r="C3220" s="390" t="inlineStr">
        <is>
          <t>Báo cáo tài chính quý, soát xét bán niên, kiểm toán năm - Chi nhánh công ty chứng khoán nước ngoài tại Việt Nam &gt;&gt; Các chỉ tiêu ngoài báo cáo tình hình tài chính riêng</t>
        </is>
      </c>
      <c r="D3220" s="390" t="inlineStr">
        <is>
          <t xml:space="preserve">11. Tài sản tài chính sửa lỗi giao dịch của CTCK </t>
        </is>
      </c>
      <c r="E3220" s="401" t="n">
        <v>11</v>
      </c>
      <c r="F3220" s="390" t="inlineStr">
        <is>
          <t>Data Explorer</t>
        </is>
      </c>
      <c r="G3220" s="390" t="inlineStr">
        <is>
          <t>Chỉ tiêu cơ sở</t>
        </is>
      </c>
      <c r="H3220" s="390" t="inlineStr">
        <is>
          <t>Dễ</t>
        </is>
      </c>
      <c r="I3220" s="390" t="inlineStr">
        <is>
          <t>Ngày, CTCK</t>
        </is>
      </c>
      <c r="J3220" s="401" t="inlineStr">
        <is>
          <t>SCMS</t>
        </is>
      </c>
      <c r="K3220" s="401" t="n"/>
      <c r="L3220" s="401" t="inlineStr">
        <is>
          <t>X</t>
        </is>
      </c>
      <c r="M3220" s="401" t="n"/>
      <c r="N3220" s="401" t="inlineStr">
        <is>
          <t>Done</t>
        </is>
      </c>
      <c r="O3220" s="401" t="n"/>
      <c r="P3220" s="401" t="n"/>
      <c r="S3220" s="401" t="n"/>
      <c r="U3220" s="390" t="n"/>
      <c r="V3220" s="22" t="n"/>
      <c r="W3220" s="22" t="n"/>
      <c r="X3220" s="22" t="n"/>
      <c r="Y3220" s="13" t="n"/>
      <c r="Z3220" s="22" t="n"/>
      <c r="AA3220" s="22" t="n"/>
      <c r="AB3220" s="22" t="n"/>
      <c r="AC3220" s="22" t="n"/>
      <c r="AD3220" s="22" t="n"/>
      <c r="AE3220" s="22" t="n"/>
    </row>
    <row r="3221" ht="112" customHeight="1" s="380">
      <c r="A3221" s="144" t="n">
        <v>124</v>
      </c>
      <c r="B3221" s="390" t="n"/>
      <c r="C3221" s="390" t="inlineStr">
        <is>
          <t>Báo cáo tài chính quý, soát xét bán niên, kiểm toán năm - Chi nhánh công ty chứng khoán nước ngoài tại Việt Nam &gt;&gt; Các chỉ tiêu ngoài báo cáo tình hình tài chính riêng</t>
        </is>
      </c>
      <c r="D3221" s="390" t="inlineStr">
        <is>
          <t xml:space="preserve">12. Tài sản tài chính chưa lưu ký tại VSD của CTCK </t>
        </is>
      </c>
      <c r="E3221" s="401" t="n">
        <v>12</v>
      </c>
      <c r="F3221" s="390" t="inlineStr">
        <is>
          <t>Data Explorer</t>
        </is>
      </c>
      <c r="G3221" s="390" t="inlineStr">
        <is>
          <t>Chỉ tiêu cơ sở</t>
        </is>
      </c>
      <c r="H3221" s="390" t="inlineStr">
        <is>
          <t>Dễ</t>
        </is>
      </c>
      <c r="I3221" s="390" t="inlineStr">
        <is>
          <t>Ngày, CTCK</t>
        </is>
      </c>
      <c r="J3221" s="401" t="inlineStr">
        <is>
          <t>SCMS</t>
        </is>
      </c>
      <c r="K3221" s="401" t="n"/>
      <c r="L3221" s="401" t="inlineStr">
        <is>
          <t>X</t>
        </is>
      </c>
      <c r="M3221" s="401" t="n"/>
      <c r="N3221" s="401" t="inlineStr">
        <is>
          <t>Done</t>
        </is>
      </c>
      <c r="O3221" s="401" t="n"/>
      <c r="P3221" s="401" t="n"/>
      <c r="S3221" s="401" t="n"/>
      <c r="U3221" s="390" t="n"/>
      <c r="V3221" s="22" t="n"/>
      <c r="W3221" s="22" t="n"/>
      <c r="X3221" s="22" t="n"/>
      <c r="Y3221" s="13" t="n"/>
      <c r="Z3221" s="22" t="n"/>
      <c r="AA3221" s="22" t="n"/>
      <c r="AB3221" s="22" t="n"/>
      <c r="AC3221" s="22" t="n"/>
      <c r="AD3221" s="22" t="n"/>
      <c r="AE3221" s="22" t="n"/>
    </row>
    <row r="3222" ht="112" customHeight="1" s="380">
      <c r="A3222" s="144" t="n">
        <v>124</v>
      </c>
      <c r="B3222" s="390" t="n"/>
      <c r="C3222" s="390" t="inlineStr">
        <is>
          <t>Báo cáo tài chính quý, soát xét bán niên, kiểm toán năm - Chi nhánh công ty chứng khoán nước ngoài tại Việt Nam &gt;&gt; Các chỉ tiêu ngoài báo cáo tình hình tài chính riêng</t>
        </is>
      </c>
      <c r="D3222" s="390" t="inlineStr">
        <is>
          <t xml:space="preserve">13.Tài sản tài chính được hưởng quyền của CTCK </t>
        </is>
      </c>
      <c r="E3222" s="401" t="n">
        <v>13</v>
      </c>
      <c r="F3222" s="390" t="inlineStr">
        <is>
          <t>Data Explorer</t>
        </is>
      </c>
      <c r="G3222" s="390" t="inlineStr">
        <is>
          <t>Chỉ tiêu cơ sở</t>
        </is>
      </c>
      <c r="H3222" s="390" t="inlineStr">
        <is>
          <t>Dễ</t>
        </is>
      </c>
      <c r="I3222" s="390" t="inlineStr">
        <is>
          <t>Ngày, CTCK</t>
        </is>
      </c>
      <c r="J3222" s="401" t="inlineStr">
        <is>
          <t>SCMS</t>
        </is>
      </c>
      <c r="K3222" s="401" t="n"/>
      <c r="L3222" s="401" t="inlineStr">
        <is>
          <t>X</t>
        </is>
      </c>
      <c r="M3222" s="401" t="n"/>
      <c r="N3222" s="401" t="inlineStr">
        <is>
          <t>Done</t>
        </is>
      </c>
      <c r="O3222" s="401" t="n"/>
      <c r="P3222" s="401" t="n"/>
      <c r="S3222" s="401" t="n"/>
      <c r="U3222" s="390" t="n"/>
      <c r="V3222" s="22" t="n"/>
      <c r="W3222" s="22" t="n"/>
      <c r="X3222" s="22" t="n"/>
      <c r="Y3222" s="13" t="n"/>
      <c r="Z3222" s="22" t="n"/>
      <c r="AA3222" s="22" t="n"/>
      <c r="AB3222" s="22" t="n"/>
      <c r="AC3222" s="22" t="n"/>
      <c r="AD3222" s="22" t="n"/>
      <c r="AE3222" s="22" t="n"/>
    </row>
    <row r="3223" ht="112" customHeight="1" s="380">
      <c r="A3223" s="144" t="n">
        <v>124</v>
      </c>
      <c r="B3223" s="390" t="n"/>
      <c r="C3223" s="390" t="inlineStr">
        <is>
          <t>Báo cáo tài chính quý, soát xét bán niên, kiểm toán năm - Chi nhánh công ty chứng khoán nước ngoài tại Việt Nam &gt;&gt; Các chỉ tiêu ngoài báo cáo tình hình tài chính riêng</t>
        </is>
      </c>
      <c r="D3223" s="390" t="inlineStr">
        <is>
          <t>14.Chứng quyền</t>
        </is>
      </c>
      <c r="E3223" s="401" t="n"/>
      <c r="F3223" s="390" t="inlineStr">
        <is>
          <t>Data Explorer</t>
        </is>
      </c>
      <c r="G3223" s="390" t="inlineStr">
        <is>
          <t>Chỉ tiêu cơ sở</t>
        </is>
      </c>
      <c r="H3223" s="390" t="inlineStr">
        <is>
          <t>Dễ</t>
        </is>
      </c>
      <c r="I3223" s="390" t="inlineStr">
        <is>
          <t>Ngày, CTCK</t>
        </is>
      </c>
      <c r="J3223" s="401" t="inlineStr">
        <is>
          <t>SCMS</t>
        </is>
      </c>
      <c r="K3223" s="401" t="n"/>
      <c r="L3223" s="401" t="inlineStr">
        <is>
          <t>X</t>
        </is>
      </c>
      <c r="M3223" s="401" t="n"/>
      <c r="N3223" s="401" t="inlineStr">
        <is>
          <t>Pending</t>
        </is>
      </c>
      <c r="O3223" s="401" t="n"/>
      <c r="P3223" s="401" t="n"/>
      <c r="S3223" s="401" t="n"/>
      <c r="U3223" s="82" t="inlineStr">
        <is>
          <t>DB cũ đang thiếu chỉ tiêu này</t>
        </is>
      </c>
      <c r="V3223" s="22" t="n"/>
      <c r="W3223" s="22" t="n"/>
      <c r="X3223" s="22" t="n"/>
      <c r="Y3223" s="13" t="n"/>
      <c r="Z3223" s="22" t="n"/>
      <c r="AA3223" s="22" t="n"/>
      <c r="AB3223" s="22" t="n"/>
      <c r="AC3223" s="22" t="n"/>
      <c r="AD3223" s="22" t="n"/>
      <c r="AE3223" s="22" t="n"/>
    </row>
    <row r="3224" ht="112" customHeight="1" s="380">
      <c r="A3224" s="144" t="n">
        <v>124</v>
      </c>
      <c r="B3224" s="390" t="n"/>
      <c r="C3224" s="390" t="inlineStr">
        <is>
          <t>Báo cáo tài chính quý, soát xét bán niên, kiểm toán năm - Chi nhánh công ty chứng khoán nước ngoài tại Việt Nam &gt;&gt; Các chỉ tiêu ngoài báo cáo tình hình tài chính riêng</t>
        </is>
      </c>
      <c r="D3224" s="132" t="inlineStr">
        <is>
          <t xml:space="preserve">B. TÀI SẢN VÀ CÁC KHOẢN PHẢI TRẢ VỀ TÀI SẢN QUẢN LÝ CAM KẾT VỚI KHÁCH HÀNG </t>
        </is>
      </c>
      <c r="E3224" s="401" t="n"/>
      <c r="F3224" s="390" t="inlineStr">
        <is>
          <t>Data Explorer</t>
        </is>
      </c>
      <c r="G3224" s="390" t="inlineStr">
        <is>
          <t>Chỉ tiêu cơ sở</t>
        </is>
      </c>
      <c r="H3224" s="390" t="inlineStr">
        <is>
          <t>Dễ</t>
        </is>
      </c>
      <c r="I3224" s="390" t="inlineStr">
        <is>
          <t>Ngày, CTCK</t>
        </is>
      </c>
      <c r="J3224" s="401" t="inlineStr">
        <is>
          <t>SCMS</t>
        </is>
      </c>
      <c r="K3224" s="401" t="n"/>
      <c r="L3224" s="401" t="inlineStr">
        <is>
          <t>X</t>
        </is>
      </c>
      <c r="M3224" s="401" t="n"/>
      <c r="N3224" s="401" t="inlineStr">
        <is>
          <t>Done</t>
        </is>
      </c>
      <c r="O3224" s="401" t="n"/>
      <c r="P3224" s="401" t="n"/>
      <c r="S3224" s="401" t="n"/>
      <c r="U3224" s="390" t="n"/>
      <c r="V3224" s="22" t="n"/>
      <c r="W3224" s="22" t="n"/>
      <c r="X3224" s="22" t="n"/>
      <c r="Y3224" s="14" t="n"/>
      <c r="Z3224" s="22" t="n"/>
      <c r="AA3224" s="22" t="n"/>
      <c r="AB3224" s="22" t="n"/>
      <c r="AC3224" s="22" t="n"/>
      <c r="AD3224" s="22" t="n"/>
      <c r="AE3224" s="22" t="n"/>
    </row>
    <row r="3225" ht="112" customHeight="1" s="380">
      <c r="A3225" s="144" t="n">
        <v>124</v>
      </c>
      <c r="B3225" s="390" t="n"/>
      <c r="C3225" s="390" t="inlineStr">
        <is>
          <t>Báo cáo tài chính quý, soát xét bán niên, kiểm toán năm - Chi nhánh công ty chứng khoán nước ngoài tại Việt Nam &gt;&gt; Các chỉ tiêu ngoài báo cáo tình hình tài chính riêng</t>
        </is>
      </c>
      <c r="D3225" s="390" t="inlineStr">
        <is>
          <t>1.Tài sản tài chính niêm yết/đăng ký giao dịch tại VSD của Nhà đầu tư</t>
        </is>
      </c>
      <c r="E3225" s="401" t="n">
        <v>21</v>
      </c>
      <c r="F3225" s="390" t="inlineStr">
        <is>
          <t>Data Explorer</t>
        </is>
      </c>
      <c r="G3225" s="390" t="inlineStr">
        <is>
          <t>Chỉ tiêu cơ sở</t>
        </is>
      </c>
      <c r="H3225" s="390" t="inlineStr">
        <is>
          <t>Dễ</t>
        </is>
      </c>
      <c r="I3225" s="390" t="inlineStr">
        <is>
          <t>Ngày, CTCK</t>
        </is>
      </c>
      <c r="J3225" s="401" t="inlineStr">
        <is>
          <t>SCMS</t>
        </is>
      </c>
      <c r="K3225" s="401" t="n"/>
      <c r="L3225" s="401" t="inlineStr">
        <is>
          <t>X</t>
        </is>
      </c>
      <c r="M3225" s="401" t="n"/>
      <c r="N3225" s="401" t="inlineStr">
        <is>
          <t>Done</t>
        </is>
      </c>
      <c r="O3225" s="401" t="n"/>
      <c r="P3225" s="401" t="n"/>
      <c r="S3225" s="401" t="n"/>
      <c r="U3225" s="390" t="n"/>
      <c r="V3225" s="22" t="n"/>
      <c r="W3225" s="22" t="n"/>
      <c r="X3225" s="22" t="n"/>
      <c r="Y3225" s="13" t="n"/>
      <c r="Z3225" s="22" t="n"/>
      <c r="AA3225" s="22" t="n"/>
      <c r="AB3225" s="22" t="n"/>
      <c r="AC3225" s="22" t="n"/>
      <c r="AD3225" s="22" t="n"/>
      <c r="AE3225" s="22" t="n"/>
    </row>
    <row r="3226" ht="112" customHeight="1" s="380">
      <c r="A3226" s="144" t="n">
        <v>124</v>
      </c>
      <c r="B3226" s="390" t="n"/>
      <c r="C3226" s="390" t="inlineStr">
        <is>
          <t>Báo cáo tài chính quý, soát xét bán niên, kiểm toán năm - Chi nhánh công ty chứng khoán nước ngoài tại Việt Nam &gt;&gt; Các chỉ tiêu ngoài báo cáo tình hình tài chính riêng</t>
        </is>
      </c>
      <c r="D3226" s="390" t="inlineStr">
        <is>
          <t>a.Tài sản tài chính giao dịch tự do chuyển nhượng</t>
        </is>
      </c>
      <c r="E3226" s="401" t="n">
        <v>21.1</v>
      </c>
      <c r="F3226" s="390" t="inlineStr">
        <is>
          <t>Data Explorer</t>
        </is>
      </c>
      <c r="G3226" s="390" t="inlineStr">
        <is>
          <t>Chỉ tiêu cơ sở</t>
        </is>
      </c>
      <c r="H3226" s="390" t="inlineStr">
        <is>
          <t>Dễ</t>
        </is>
      </c>
      <c r="I3226" s="390" t="inlineStr">
        <is>
          <t>Ngày, CTCK</t>
        </is>
      </c>
      <c r="J3226" s="401" t="inlineStr">
        <is>
          <t>SCMS</t>
        </is>
      </c>
      <c r="K3226" s="401" t="n"/>
      <c r="L3226" s="401" t="inlineStr">
        <is>
          <t>X</t>
        </is>
      </c>
      <c r="M3226" s="401" t="n"/>
      <c r="N3226" s="401" t="inlineStr">
        <is>
          <t>Done</t>
        </is>
      </c>
      <c r="O3226" s="401" t="n"/>
      <c r="P3226" s="401" t="n"/>
      <c r="S3226" s="401" t="n"/>
      <c r="U3226" s="390" t="n"/>
      <c r="V3226" s="22" t="n"/>
      <c r="W3226" s="22" t="n"/>
      <c r="X3226" s="22" t="n"/>
      <c r="Y3226" s="13" t="n"/>
      <c r="Z3226" s="22" t="n"/>
      <c r="AA3226" s="22" t="n"/>
      <c r="AB3226" s="22" t="n"/>
      <c r="AC3226" s="22" t="n"/>
      <c r="AD3226" s="22" t="n"/>
      <c r="AE3226" s="22" t="n"/>
    </row>
    <row r="3227" ht="112" customHeight="1" s="380">
      <c r="A3227" s="144" t="n">
        <v>124</v>
      </c>
      <c r="B3227" s="390" t="n"/>
      <c r="C3227" s="390" t="inlineStr">
        <is>
          <t>Báo cáo tài chính quý, soát xét bán niên, kiểm toán năm - Chi nhánh công ty chứng khoán nước ngoài tại Việt Nam &gt;&gt; Các chỉ tiêu ngoài báo cáo tình hình tài chính riêng</t>
        </is>
      </c>
      <c r="D3227" s="390" t="inlineStr">
        <is>
          <t>b.Tài sản tài chính hạn chế chuyển nhượng</t>
        </is>
      </c>
      <c r="E3227" s="401" t="n">
        <v>21.2</v>
      </c>
      <c r="F3227" s="390" t="inlineStr">
        <is>
          <t>Data Explorer</t>
        </is>
      </c>
      <c r="G3227" s="390" t="inlineStr">
        <is>
          <t>Chỉ tiêu cơ sở</t>
        </is>
      </c>
      <c r="H3227" s="390" t="inlineStr">
        <is>
          <t>Dễ</t>
        </is>
      </c>
      <c r="I3227" s="390" t="inlineStr">
        <is>
          <t>Ngày, CTCK</t>
        </is>
      </c>
      <c r="J3227" s="401" t="inlineStr">
        <is>
          <t>SCMS</t>
        </is>
      </c>
      <c r="K3227" s="401" t="n"/>
      <c r="L3227" s="401" t="inlineStr">
        <is>
          <t>X</t>
        </is>
      </c>
      <c r="M3227" s="401" t="n"/>
      <c r="N3227" s="401" t="inlineStr">
        <is>
          <t>Done</t>
        </is>
      </c>
      <c r="O3227" s="401" t="n"/>
      <c r="P3227" s="401" t="n"/>
      <c r="S3227" s="401" t="n"/>
      <c r="U3227" s="390" t="n"/>
      <c r="V3227" s="22" t="n"/>
      <c r="W3227" s="22" t="n"/>
      <c r="X3227" s="22" t="n"/>
      <c r="Y3227" s="13" t="n"/>
      <c r="Z3227" s="22" t="n"/>
      <c r="AA3227" s="22" t="n"/>
      <c r="AB3227" s="22" t="n"/>
      <c r="AC3227" s="22" t="n"/>
      <c r="AD3227" s="22" t="n"/>
      <c r="AE3227" s="22" t="n"/>
    </row>
    <row r="3228" ht="112" customHeight="1" s="380">
      <c r="A3228" s="144" t="n">
        <v>124</v>
      </c>
      <c r="B3228" s="390" t="n"/>
      <c r="C3228" s="390" t="inlineStr">
        <is>
          <t>Báo cáo tài chính quý, soát xét bán niên, kiểm toán năm - Chi nhánh công ty chứng khoán nước ngoài tại Việt Nam &gt;&gt; Các chỉ tiêu ngoài báo cáo tình hình tài chính riêng</t>
        </is>
      </c>
      <c r="D3228" s="390" t="inlineStr">
        <is>
          <t>c.Tài sản tài chính giao dịch cầm cố</t>
        </is>
      </c>
      <c r="E3228" s="401" t="n">
        <v>21.3</v>
      </c>
      <c r="F3228" s="390" t="inlineStr">
        <is>
          <t>Data Explorer</t>
        </is>
      </c>
      <c r="G3228" s="390" t="inlineStr">
        <is>
          <t>Chỉ tiêu cơ sở</t>
        </is>
      </c>
      <c r="H3228" s="390" t="inlineStr">
        <is>
          <t>Dễ</t>
        </is>
      </c>
      <c r="I3228" s="390" t="inlineStr">
        <is>
          <t>Ngày, CTCK</t>
        </is>
      </c>
      <c r="J3228" s="401" t="inlineStr">
        <is>
          <t>SCMS</t>
        </is>
      </c>
      <c r="K3228" s="401" t="n"/>
      <c r="L3228" s="401" t="inlineStr">
        <is>
          <t>X</t>
        </is>
      </c>
      <c r="M3228" s="401" t="n"/>
      <c r="N3228" s="401" t="inlineStr">
        <is>
          <t>Done</t>
        </is>
      </c>
      <c r="O3228" s="401" t="n"/>
      <c r="P3228" s="401" t="n"/>
      <c r="S3228" s="401" t="n"/>
      <c r="U3228" s="390" t="n"/>
      <c r="V3228" s="22" t="n"/>
      <c r="W3228" s="22" t="n"/>
      <c r="X3228" s="22" t="n"/>
      <c r="Y3228" s="13" t="n"/>
      <c r="Z3228" s="22" t="n"/>
      <c r="AA3228" s="22" t="n"/>
      <c r="AB3228" s="22" t="n"/>
      <c r="AC3228" s="22" t="n"/>
      <c r="AD3228" s="22" t="n"/>
      <c r="AE3228" s="22" t="n"/>
    </row>
    <row r="3229" ht="112" customHeight="1" s="380">
      <c r="A3229" s="144" t="n">
        <v>124</v>
      </c>
      <c r="B3229" s="390" t="n"/>
      <c r="C3229" s="390" t="inlineStr">
        <is>
          <t>Báo cáo tài chính quý, soát xét bán niên, kiểm toán năm - Chi nhánh công ty chứng khoán nước ngoài tại Việt Nam &gt;&gt; Các chỉ tiêu ngoài báo cáo tình hình tài chính riêng</t>
        </is>
      </c>
      <c r="D3229" s="390" t="inlineStr">
        <is>
          <t>d.Tài sản tài chính phong tỏa, tạm giữ</t>
        </is>
      </c>
      <c r="E3229" s="401" t="n">
        <v>21.4</v>
      </c>
      <c r="F3229" s="390" t="inlineStr">
        <is>
          <t>Data Explorer</t>
        </is>
      </c>
      <c r="G3229" s="390" t="inlineStr">
        <is>
          <t>Chỉ tiêu cơ sở</t>
        </is>
      </c>
      <c r="H3229" s="390" t="inlineStr">
        <is>
          <t>Dễ</t>
        </is>
      </c>
      <c r="I3229" s="390" t="inlineStr">
        <is>
          <t>Ngày, CTCK</t>
        </is>
      </c>
      <c r="J3229" s="401" t="inlineStr">
        <is>
          <t>SCMS</t>
        </is>
      </c>
      <c r="K3229" s="401" t="n"/>
      <c r="L3229" s="401" t="inlineStr">
        <is>
          <t>X</t>
        </is>
      </c>
      <c r="M3229" s="401" t="n"/>
      <c r="N3229" s="401" t="inlineStr">
        <is>
          <t>Done</t>
        </is>
      </c>
      <c r="O3229" s="401" t="n"/>
      <c r="P3229" s="401" t="n"/>
      <c r="S3229" s="401" t="n"/>
      <c r="U3229" s="390" t="n"/>
      <c r="V3229" s="22" t="n"/>
      <c r="W3229" s="22" t="n"/>
      <c r="X3229" s="22" t="n"/>
      <c r="Y3229" s="13" t="n"/>
      <c r="Z3229" s="22" t="n"/>
      <c r="AA3229" s="22" t="n"/>
      <c r="AB3229" s="22" t="n"/>
      <c r="AC3229" s="22" t="n"/>
      <c r="AD3229" s="22" t="n"/>
      <c r="AE3229" s="22" t="n"/>
    </row>
    <row r="3230" ht="112" customHeight="1" s="380">
      <c r="A3230" s="144" t="n">
        <v>124</v>
      </c>
      <c r="B3230" s="390" t="n"/>
      <c r="C3230" s="390" t="inlineStr">
        <is>
          <t>Báo cáo tài chính quý, soát xét bán niên, kiểm toán năm - Chi nhánh công ty chứng khoán nước ngoài tại Việt Nam &gt;&gt; Các chỉ tiêu ngoài báo cáo tình hình tài chính riêng</t>
        </is>
      </c>
      <c r="D3230" s="390" t="inlineStr">
        <is>
          <t>e.Tài sản tài chính chờ thanh toán</t>
        </is>
      </c>
      <c r="E3230" s="401" t="n">
        <v>21.5</v>
      </c>
      <c r="F3230" s="390" t="inlineStr">
        <is>
          <t>Data Explorer</t>
        </is>
      </c>
      <c r="G3230" s="390" t="inlineStr">
        <is>
          <t>Chỉ tiêu cơ sở</t>
        </is>
      </c>
      <c r="H3230" s="390" t="inlineStr">
        <is>
          <t>Dễ</t>
        </is>
      </c>
      <c r="I3230" s="390" t="inlineStr">
        <is>
          <t>Ngày, CTCK</t>
        </is>
      </c>
      <c r="J3230" s="401" t="inlineStr">
        <is>
          <t>SCMS</t>
        </is>
      </c>
      <c r="K3230" s="401" t="n"/>
      <c r="L3230" s="401" t="inlineStr">
        <is>
          <t>X</t>
        </is>
      </c>
      <c r="M3230" s="401" t="n"/>
      <c r="N3230" s="401" t="inlineStr">
        <is>
          <t>Done</t>
        </is>
      </c>
      <c r="O3230" s="401" t="n"/>
      <c r="P3230" s="401" t="n"/>
      <c r="S3230" s="401" t="n"/>
      <c r="U3230" s="390" t="n"/>
      <c r="V3230" s="22" t="n"/>
      <c r="W3230" s="22" t="n"/>
      <c r="X3230" s="22" t="n"/>
      <c r="Y3230" s="38" t="n"/>
      <c r="Z3230" s="22" t="n"/>
      <c r="AA3230" s="22" t="n"/>
      <c r="AB3230" s="22" t="n"/>
      <c r="AC3230" s="22" t="n"/>
      <c r="AD3230" s="22" t="n"/>
      <c r="AE3230" s="22" t="n"/>
    </row>
    <row r="3231" ht="112" customHeight="1" s="380">
      <c r="A3231" s="144" t="n">
        <v>124</v>
      </c>
      <c r="B3231" s="390" t="n"/>
      <c r="C3231" s="390" t="inlineStr">
        <is>
          <t>Báo cáo tài chính quý, soát xét bán niên, kiểm toán năm - Chi nhánh công ty chứng khoán nước ngoài tại Việt Nam &gt;&gt; Các chỉ tiêu ngoài báo cáo tình hình tài chính riêng</t>
        </is>
      </c>
      <c r="D3231" s="390" t="inlineStr">
        <is>
          <t>f. Tài sản tài chính chờ cho vay</t>
        </is>
      </c>
      <c r="E3231" s="401" t="n">
        <v>21.6</v>
      </c>
      <c r="F3231" s="390" t="inlineStr">
        <is>
          <t>Data Explorer</t>
        </is>
      </c>
      <c r="G3231" s="390" t="inlineStr">
        <is>
          <t>Chỉ tiêu cơ sở</t>
        </is>
      </c>
      <c r="H3231" s="390" t="inlineStr">
        <is>
          <t>Dễ</t>
        </is>
      </c>
      <c r="I3231" s="390" t="inlineStr">
        <is>
          <t>Ngày, CTCK</t>
        </is>
      </c>
      <c r="J3231" s="401" t="inlineStr">
        <is>
          <t>SCMS</t>
        </is>
      </c>
      <c r="K3231" s="401" t="n"/>
      <c r="L3231" s="401" t="inlineStr">
        <is>
          <t>X</t>
        </is>
      </c>
      <c r="M3231" s="401" t="n"/>
      <c r="N3231" s="401" t="inlineStr">
        <is>
          <t>Done</t>
        </is>
      </c>
      <c r="O3231" s="401" t="n"/>
      <c r="P3231" s="401" t="n"/>
      <c r="S3231" s="401" t="n"/>
      <c r="U3231" s="390" t="n"/>
      <c r="V3231" s="22" t="n"/>
      <c r="W3231" s="22" t="n"/>
      <c r="X3231" s="22" t="n"/>
      <c r="Y3231" s="13" t="n"/>
      <c r="Z3231" s="22" t="n"/>
      <c r="AA3231" s="22" t="n"/>
      <c r="AB3231" s="22" t="n"/>
      <c r="AC3231" s="22" t="n"/>
      <c r="AD3231" s="22" t="n"/>
      <c r="AE3231" s="22" t="n"/>
    </row>
    <row r="3232" ht="112" customHeight="1" s="380">
      <c r="A3232" s="144" t="n">
        <v>124</v>
      </c>
      <c r="B3232" s="390" t="n"/>
      <c r="C3232" s="390" t="inlineStr">
        <is>
          <t>Báo cáo tài chính quý, soát xét bán niên, kiểm toán năm - Chi nhánh công ty chứng khoán nước ngoài tại Việt Nam &gt;&gt; Các chỉ tiêu ngoài báo cáo tình hình tài chính riêng</t>
        </is>
      </c>
      <c r="D3232" s="390" t="inlineStr">
        <is>
          <t>2. Tài sản tài chính đã lưu ký tại VSD và chưa giao dịch của Nhà đầu tư</t>
        </is>
      </c>
      <c r="E3232" s="401" t="n">
        <v>22</v>
      </c>
      <c r="F3232" s="390" t="inlineStr">
        <is>
          <t>Data Explorer</t>
        </is>
      </c>
      <c r="G3232" s="390" t="inlineStr">
        <is>
          <t>Chỉ tiêu cơ sở</t>
        </is>
      </c>
      <c r="H3232" s="390" t="inlineStr">
        <is>
          <t>Dễ</t>
        </is>
      </c>
      <c r="I3232" s="390" t="inlineStr">
        <is>
          <t>Ngày, CTCK</t>
        </is>
      </c>
      <c r="J3232" s="401" t="inlineStr">
        <is>
          <t>SCMS</t>
        </is>
      </c>
      <c r="K3232" s="401" t="n"/>
      <c r="L3232" s="401" t="inlineStr">
        <is>
          <t>X</t>
        </is>
      </c>
      <c r="M3232" s="401" t="n"/>
      <c r="N3232" s="401" t="inlineStr">
        <is>
          <t>Done</t>
        </is>
      </c>
      <c r="O3232" s="401" t="n"/>
      <c r="P3232" s="401" t="n"/>
      <c r="S3232" s="401" t="n"/>
      <c r="U3232" s="390" t="n"/>
      <c r="V3232" s="22" t="n"/>
      <c r="W3232" s="22" t="n"/>
      <c r="X3232" s="22" t="n"/>
      <c r="Y3232" s="13" t="n"/>
      <c r="Z3232" s="22" t="n"/>
      <c r="AA3232" s="22" t="n"/>
      <c r="AB3232" s="22" t="n"/>
      <c r="AC3232" s="22" t="n"/>
      <c r="AD3232" s="22" t="n"/>
      <c r="AE3232" s="22" t="n"/>
    </row>
    <row r="3233" ht="112" customHeight="1" s="380">
      <c r="A3233" s="144" t="n">
        <v>124</v>
      </c>
      <c r="B3233" s="390" t="n"/>
      <c r="C3233" s="390" t="inlineStr">
        <is>
          <t>Báo cáo tài chính quý, soát xét bán niên, kiểm toán năm - Chi nhánh công ty chứng khoán nước ngoài tại Việt Nam &gt;&gt; Các chỉ tiêu ngoài báo cáo tình hình tài chính riêng</t>
        </is>
      </c>
      <c r="D3233" s="390" t="inlineStr">
        <is>
          <t>a.Tài sản tài chính đã lưu ký tại VSD và chưa giao dịch, tự do chuyển nhượng</t>
        </is>
      </c>
      <c r="E3233" s="401" t="n">
        <v>22.1</v>
      </c>
      <c r="F3233" s="390" t="inlineStr">
        <is>
          <t>Data Explorer</t>
        </is>
      </c>
      <c r="G3233" s="390" t="inlineStr">
        <is>
          <t>Chỉ tiêu cơ sở</t>
        </is>
      </c>
      <c r="H3233" s="390" t="inlineStr">
        <is>
          <t>Dễ</t>
        </is>
      </c>
      <c r="I3233" s="390" t="inlineStr">
        <is>
          <t>Ngày, CTCK</t>
        </is>
      </c>
      <c r="J3233" s="401" t="inlineStr">
        <is>
          <t>SCMS</t>
        </is>
      </c>
      <c r="K3233" s="401" t="n"/>
      <c r="L3233" s="401" t="inlineStr">
        <is>
          <t>X</t>
        </is>
      </c>
      <c r="M3233" s="401" t="n"/>
      <c r="N3233" s="401" t="inlineStr">
        <is>
          <t>Done</t>
        </is>
      </c>
      <c r="O3233" s="401" t="n"/>
      <c r="P3233" s="401" t="n"/>
      <c r="S3233" s="401" t="n"/>
      <c r="U3233" s="390" t="n"/>
      <c r="V3233" s="22" t="n"/>
      <c r="W3233" s="22" t="n"/>
      <c r="X3233" s="22" t="n"/>
      <c r="Y3233" s="13" t="n"/>
      <c r="Z3233" s="22" t="n"/>
      <c r="AA3233" s="22" t="n"/>
      <c r="AB3233" s="22" t="n"/>
      <c r="AC3233" s="22" t="n"/>
      <c r="AD3233" s="22" t="n"/>
      <c r="AE3233" s="22" t="n"/>
    </row>
    <row r="3234" ht="112" customHeight="1" s="380">
      <c r="A3234" s="144" t="n">
        <v>124</v>
      </c>
      <c r="B3234" s="390" t="n"/>
      <c r="C3234" s="390" t="inlineStr">
        <is>
          <t>Báo cáo tài chính quý, soát xét bán niên, kiểm toán năm - Chi nhánh công ty chứng khoán nước ngoài tại Việt Nam &gt;&gt; Các chỉ tiêu ngoài báo cáo tình hình tài chính riêng</t>
        </is>
      </c>
      <c r="D3234" s="390" t="inlineStr">
        <is>
          <t>b.Tài sản tài chính đã lưu ký tại VSD và chưa giao dịch, hạn chế chuyển nhượng</t>
        </is>
      </c>
      <c r="E3234" s="401" t="n">
        <v>22.2</v>
      </c>
      <c r="F3234" s="390" t="inlineStr">
        <is>
          <t>Data Explorer</t>
        </is>
      </c>
      <c r="G3234" s="390" t="inlineStr">
        <is>
          <t>Chỉ tiêu cơ sở</t>
        </is>
      </c>
      <c r="H3234" s="390" t="inlineStr">
        <is>
          <t>Dễ</t>
        </is>
      </c>
      <c r="I3234" s="390" t="inlineStr">
        <is>
          <t>Ngày, CTCK</t>
        </is>
      </c>
      <c r="J3234" s="401" t="inlineStr">
        <is>
          <t>SCMS</t>
        </is>
      </c>
      <c r="K3234" s="401" t="n"/>
      <c r="L3234" s="401" t="inlineStr">
        <is>
          <t>X</t>
        </is>
      </c>
      <c r="M3234" s="401" t="n"/>
      <c r="N3234" s="401" t="inlineStr">
        <is>
          <t>Done</t>
        </is>
      </c>
      <c r="O3234" s="401" t="n"/>
      <c r="P3234" s="401" t="n"/>
      <c r="S3234" s="401" t="n"/>
      <c r="U3234" s="390" t="n"/>
      <c r="V3234" s="22" t="n"/>
      <c r="W3234" s="22" t="n"/>
      <c r="X3234" s="22" t="n"/>
      <c r="Y3234" s="13" t="n"/>
      <c r="Z3234" s="22" t="n"/>
      <c r="AA3234" s="22" t="n"/>
      <c r="AB3234" s="22" t="n"/>
      <c r="AC3234" s="22" t="n"/>
      <c r="AD3234" s="22" t="n"/>
      <c r="AE3234" s="22" t="n"/>
    </row>
    <row r="3235" ht="112" customHeight="1" s="380">
      <c r="A3235" s="144" t="n">
        <v>124</v>
      </c>
      <c r="B3235" s="390" t="n"/>
      <c r="C3235" s="390" t="inlineStr">
        <is>
          <t>Báo cáo tài chính quý, soát xét bán niên, kiểm toán năm - Chi nhánh công ty chứng khoán nước ngoài tại Việt Nam &gt;&gt; Các chỉ tiêu ngoài báo cáo tình hình tài chính riêng</t>
        </is>
      </c>
      <c r="D3235" s="390" t="inlineStr">
        <is>
          <t>c.Tài sản tài chính đã lưu ký tại VSD và chưa giao dịch, cầm cố</t>
        </is>
      </c>
      <c r="E3235" s="401" t="n">
        <v>22.3</v>
      </c>
      <c r="F3235" s="390" t="inlineStr">
        <is>
          <t>Data Explorer</t>
        </is>
      </c>
      <c r="G3235" s="390" t="inlineStr">
        <is>
          <t>Chỉ tiêu cơ sở</t>
        </is>
      </c>
      <c r="H3235" s="390" t="inlineStr">
        <is>
          <t>Dễ</t>
        </is>
      </c>
      <c r="I3235" s="390" t="inlineStr">
        <is>
          <t>Ngày, CTCK</t>
        </is>
      </c>
      <c r="J3235" s="401" t="inlineStr">
        <is>
          <t>SCMS</t>
        </is>
      </c>
      <c r="K3235" s="401" t="n"/>
      <c r="L3235" s="401" t="inlineStr">
        <is>
          <t>X</t>
        </is>
      </c>
      <c r="M3235" s="401" t="n"/>
      <c r="N3235" s="401" t="inlineStr">
        <is>
          <t>Done</t>
        </is>
      </c>
      <c r="O3235" s="401" t="n"/>
      <c r="P3235" s="401" t="n"/>
      <c r="S3235" s="401" t="n"/>
      <c r="U3235" s="390" t="n"/>
      <c r="V3235" s="22" t="n"/>
      <c r="W3235" s="22" t="n"/>
      <c r="X3235" s="22" t="n"/>
      <c r="Y3235" s="13" t="n"/>
      <c r="Z3235" s="22" t="n"/>
      <c r="AA3235" s="22" t="n"/>
      <c r="AB3235" s="22" t="n"/>
      <c r="AC3235" s="22" t="n"/>
      <c r="AD3235" s="22" t="n"/>
      <c r="AE3235" s="22" t="n"/>
    </row>
    <row r="3236" ht="112" customHeight="1" s="380">
      <c r="A3236" s="144" t="n">
        <v>124</v>
      </c>
      <c r="B3236" s="390" t="n"/>
      <c r="C3236" s="390" t="inlineStr">
        <is>
          <t>Báo cáo tài chính quý, soát xét bán niên, kiểm toán năm - Chi nhánh công ty chứng khoán nước ngoài tại Việt Nam &gt;&gt; Các chỉ tiêu ngoài báo cáo tình hình tài chính riêng</t>
        </is>
      </c>
      <c r="D3236" s="390" t="inlineStr">
        <is>
          <t>d.Tài sản tài chính đã lưu ký tại VSD và chưa giao dịch, phong tỏa, tạm giữ</t>
        </is>
      </c>
      <c r="E3236" s="401" t="n">
        <v>22.4</v>
      </c>
      <c r="F3236" s="390" t="inlineStr">
        <is>
          <t>Data Explorer</t>
        </is>
      </c>
      <c r="G3236" s="390" t="inlineStr">
        <is>
          <t>Chỉ tiêu cơ sở</t>
        </is>
      </c>
      <c r="H3236" s="390" t="inlineStr">
        <is>
          <t>Dễ</t>
        </is>
      </c>
      <c r="I3236" s="390" t="inlineStr">
        <is>
          <t>Ngày, CTCK</t>
        </is>
      </c>
      <c r="J3236" s="401" t="inlineStr">
        <is>
          <t>SCMS</t>
        </is>
      </c>
      <c r="K3236" s="401" t="n"/>
      <c r="L3236" s="401" t="inlineStr">
        <is>
          <t>X</t>
        </is>
      </c>
      <c r="M3236" s="401" t="n"/>
      <c r="N3236" s="401" t="inlineStr">
        <is>
          <t>Done</t>
        </is>
      </c>
      <c r="O3236" s="401" t="n"/>
      <c r="P3236" s="401" t="n"/>
      <c r="S3236" s="401" t="n"/>
      <c r="U3236" s="390" t="n"/>
      <c r="V3236" s="22" t="n"/>
      <c r="W3236" s="22" t="n"/>
      <c r="X3236" s="22" t="n"/>
      <c r="Y3236" s="14" t="n"/>
      <c r="Z3236" s="22" t="n"/>
      <c r="AA3236" s="22" t="n"/>
      <c r="AB3236" s="22" t="n"/>
      <c r="AC3236" s="22" t="n"/>
      <c r="AD3236" s="22" t="n"/>
      <c r="AE3236" s="22" t="n"/>
    </row>
    <row r="3237" ht="112" customHeight="1" s="380">
      <c r="A3237" s="144" t="n">
        <v>124</v>
      </c>
      <c r="B3237" s="390" t="n"/>
      <c r="C3237" s="390" t="inlineStr">
        <is>
          <t>Báo cáo tài chính quý, soát xét bán niên, kiểm toán năm - Chi nhánh công ty chứng khoán nước ngoài tại Việt Nam &gt;&gt; Các chỉ tiêu ngoài báo cáo tình hình tài chính riêng</t>
        </is>
      </c>
      <c r="D3237" s="390" t="inlineStr">
        <is>
          <t>3. Tài sản tài chính chờ về của Nhà đầu tư</t>
        </is>
      </c>
      <c r="E3237" s="401" t="n">
        <v>23</v>
      </c>
      <c r="F3237" s="390" t="inlineStr">
        <is>
          <t>Data Explorer</t>
        </is>
      </c>
      <c r="G3237" s="390" t="inlineStr">
        <is>
          <t>Chỉ tiêu cơ sở</t>
        </is>
      </c>
      <c r="H3237" s="390" t="inlineStr">
        <is>
          <t>Dễ</t>
        </is>
      </c>
      <c r="I3237" s="390" t="inlineStr">
        <is>
          <t>Ngày, CTCK</t>
        </is>
      </c>
      <c r="J3237" s="401" t="inlineStr">
        <is>
          <t>SCMS</t>
        </is>
      </c>
      <c r="K3237" s="401" t="n"/>
      <c r="L3237" s="401" t="inlineStr">
        <is>
          <t>X</t>
        </is>
      </c>
      <c r="M3237" s="401" t="n"/>
      <c r="N3237" s="401" t="inlineStr">
        <is>
          <t>Done</t>
        </is>
      </c>
      <c r="O3237" s="401" t="n"/>
      <c r="P3237" s="401" t="n"/>
      <c r="S3237" s="401" t="n"/>
      <c r="U3237" s="390" t="n"/>
      <c r="V3237" s="22" t="n"/>
      <c r="W3237" s="22" t="n"/>
      <c r="X3237" s="22" t="n"/>
      <c r="Y3237" s="13" t="n"/>
      <c r="Z3237" s="22" t="n"/>
      <c r="AA3237" s="22" t="n"/>
      <c r="AB3237" s="22" t="n"/>
      <c r="AC3237" s="22" t="n"/>
      <c r="AD3237" s="22" t="n"/>
      <c r="AE3237" s="22" t="n"/>
    </row>
    <row r="3238" ht="112" customHeight="1" s="380">
      <c r="A3238" s="144" t="n">
        <v>124</v>
      </c>
      <c r="B3238" s="390" t="n"/>
      <c r="C3238" s="390" t="inlineStr">
        <is>
          <t>Báo cáo tài chính quý, soát xét bán niên, kiểm toán năm - Chi nhánh công ty chứng khoán nước ngoài tại Việt Nam &gt;&gt; Các chỉ tiêu ngoài báo cáo tình hình tài chính riêng</t>
        </is>
      </c>
      <c r="D3238" s="390" t="inlineStr">
        <is>
          <t>4. Tài sản tài chính sửa lỗi giao dịch của Nhà đầu tư</t>
        </is>
      </c>
      <c r="E3238" s="401" t="inlineStr">
        <is>
          <t xml:space="preserve">024.a
</t>
        </is>
      </c>
      <c r="F3238" s="390" t="inlineStr">
        <is>
          <t>Data Explorer</t>
        </is>
      </c>
      <c r="G3238" s="390" t="inlineStr">
        <is>
          <t>Chỉ tiêu cơ sở</t>
        </is>
      </c>
      <c r="H3238" s="390" t="inlineStr">
        <is>
          <t>Dễ</t>
        </is>
      </c>
      <c r="I3238" s="390" t="inlineStr">
        <is>
          <t>Ngày, CTCK</t>
        </is>
      </c>
      <c r="J3238" s="401" t="inlineStr">
        <is>
          <t>SCMS</t>
        </is>
      </c>
      <c r="K3238" s="401" t="n"/>
      <c r="L3238" s="401" t="inlineStr">
        <is>
          <t>X</t>
        </is>
      </c>
      <c r="M3238" s="401" t="n"/>
      <c r="N3238" s="401" t="inlineStr">
        <is>
          <t>Done</t>
        </is>
      </c>
      <c r="O3238" s="401" t="n"/>
      <c r="P3238" s="401" t="n"/>
      <c r="S3238" s="401" t="n"/>
      <c r="U3238" s="390" t="n"/>
      <c r="V3238" s="22" t="n"/>
      <c r="W3238" s="22" t="n"/>
      <c r="X3238" s="22" t="n"/>
      <c r="Y3238" s="13" t="n"/>
      <c r="Z3238" s="22" t="n"/>
      <c r="AA3238" s="22" t="n"/>
      <c r="AB3238" s="22" t="n"/>
      <c r="AC3238" s="22" t="n"/>
      <c r="AD3238" s="22" t="n"/>
      <c r="AE3238" s="22" t="n"/>
    </row>
    <row r="3239" ht="112" customHeight="1" s="380">
      <c r="A3239" s="144" t="n">
        <v>124</v>
      </c>
      <c r="B3239" s="390" t="n"/>
      <c r="C3239" s="390" t="inlineStr">
        <is>
          <t>Báo cáo tài chính quý, soát xét bán niên, kiểm toán năm - Chi nhánh công ty chứng khoán nước ngoài tại Việt Nam &gt;&gt; Các chỉ tiêu ngoài báo cáo tình hình tài chính riêng</t>
        </is>
      </c>
      <c r="D3239" s="390" t="inlineStr">
        <is>
          <t>5.Tài sản tài chính chưa lưu ký tại VSD của Nhà đầu tư</t>
        </is>
      </c>
      <c r="E3239" s="401" t="inlineStr">
        <is>
          <t xml:space="preserve">024.b
</t>
        </is>
      </c>
      <c r="F3239" s="390" t="inlineStr">
        <is>
          <t>Data Explorer</t>
        </is>
      </c>
      <c r="G3239" s="390" t="inlineStr">
        <is>
          <t>Chỉ tiêu cơ sở</t>
        </is>
      </c>
      <c r="H3239" s="390" t="inlineStr">
        <is>
          <t>Dễ</t>
        </is>
      </c>
      <c r="I3239" s="390" t="inlineStr">
        <is>
          <t>Ngày, CTCK</t>
        </is>
      </c>
      <c r="J3239" s="401" t="inlineStr">
        <is>
          <t>SCMS</t>
        </is>
      </c>
      <c r="K3239" s="401" t="n"/>
      <c r="L3239" s="401" t="inlineStr">
        <is>
          <t>X</t>
        </is>
      </c>
      <c r="M3239" s="401" t="n"/>
      <c r="N3239" s="401" t="inlineStr">
        <is>
          <t>Done</t>
        </is>
      </c>
      <c r="O3239" s="401" t="n"/>
      <c r="P3239" s="401" t="n"/>
      <c r="S3239" s="401" t="n"/>
      <c r="U3239" s="390" t="n"/>
      <c r="V3239" s="22" t="n"/>
      <c r="W3239" s="22" t="n"/>
      <c r="X3239" s="22" t="n"/>
      <c r="Y3239" s="13" t="n"/>
      <c r="Z3239" s="22" t="n"/>
      <c r="AA3239" s="22" t="n"/>
      <c r="AB3239" s="22" t="n"/>
      <c r="AC3239" s="22" t="n"/>
      <c r="AD3239" s="22" t="n"/>
      <c r="AE3239" s="22" t="n"/>
    </row>
    <row r="3240" ht="112" customHeight="1" s="380">
      <c r="A3240" s="144" t="n">
        <v>124</v>
      </c>
      <c r="B3240" s="390" t="n"/>
      <c r="C3240" s="390" t="inlineStr">
        <is>
          <t>Báo cáo tài chính quý, soát xét bán niên, kiểm toán năm - Chi nhánh công ty chứng khoán nước ngoài tại Việt Nam &gt;&gt; Các chỉ tiêu ngoài báo cáo tình hình tài chính riêng</t>
        </is>
      </c>
      <c r="D3240" s="390" t="inlineStr">
        <is>
          <t>6.Tài sản tài chính được hưởng quyền của Nhà đầu tư</t>
        </is>
      </c>
      <c r="E3240" s="401" t="n">
        <v>25</v>
      </c>
      <c r="F3240" s="390" t="inlineStr">
        <is>
          <t>Data Explorer</t>
        </is>
      </c>
      <c r="G3240" s="390" t="inlineStr">
        <is>
          <t>Chỉ tiêu cơ sở</t>
        </is>
      </c>
      <c r="H3240" s="390" t="inlineStr">
        <is>
          <t>Dễ</t>
        </is>
      </c>
      <c r="I3240" s="390" t="inlineStr">
        <is>
          <t>Ngày, CTCK</t>
        </is>
      </c>
      <c r="J3240" s="401" t="inlineStr">
        <is>
          <t>SCMS</t>
        </is>
      </c>
      <c r="K3240" s="401" t="n"/>
      <c r="L3240" s="401" t="inlineStr">
        <is>
          <t>X</t>
        </is>
      </c>
      <c r="M3240" s="401" t="n"/>
      <c r="N3240" s="401" t="inlineStr">
        <is>
          <t>Done</t>
        </is>
      </c>
      <c r="O3240" s="401" t="n"/>
      <c r="P3240" s="401" t="n"/>
      <c r="S3240" s="401" t="n"/>
      <c r="U3240" s="390" t="n"/>
      <c r="V3240" s="22" t="n"/>
      <c r="W3240" s="22" t="n"/>
      <c r="X3240" s="22" t="n"/>
      <c r="Y3240" s="13" t="n"/>
      <c r="Z3240" s="22" t="n"/>
      <c r="AA3240" s="22" t="n"/>
      <c r="AB3240" s="22" t="n"/>
      <c r="AC3240" s="22" t="n"/>
      <c r="AD3240" s="22" t="n"/>
      <c r="AE3240" s="22" t="n"/>
    </row>
    <row r="3241" ht="112" customHeight="1" s="380">
      <c r="A3241" s="144" t="n">
        <v>124</v>
      </c>
      <c r="B3241" s="390" t="n"/>
      <c r="C3241" s="390" t="inlineStr">
        <is>
          <t>Báo cáo tài chính quý, soát xét bán niên, kiểm toán năm - Chi nhánh công ty chứng khoán nước ngoài tại Việt Nam &gt;&gt; Các chỉ tiêu ngoài báo cáo tình hình tài chính riêng</t>
        </is>
      </c>
      <c r="D3241" s="390" t="inlineStr">
        <is>
          <t>7. Tiền gửi của khách hàng</t>
        </is>
      </c>
      <c r="E3241" s="401" t="n">
        <v>26</v>
      </c>
      <c r="F3241" s="390" t="inlineStr">
        <is>
          <t>Data Explorer</t>
        </is>
      </c>
      <c r="G3241" s="390" t="inlineStr">
        <is>
          <t>Chỉ tiêu cơ sở</t>
        </is>
      </c>
      <c r="H3241" s="390" t="inlineStr">
        <is>
          <t>Dễ</t>
        </is>
      </c>
      <c r="I3241" s="390" t="inlineStr">
        <is>
          <t>Ngày, CTCK</t>
        </is>
      </c>
      <c r="J3241" s="401" t="inlineStr">
        <is>
          <t>SCMS</t>
        </is>
      </c>
      <c r="K3241" s="401" t="n"/>
      <c r="L3241" s="401" t="inlineStr">
        <is>
          <t>X</t>
        </is>
      </c>
      <c r="M3241" s="401" t="n"/>
      <c r="N3241" s="401" t="inlineStr">
        <is>
          <t>Done</t>
        </is>
      </c>
      <c r="O3241" s="401" t="n"/>
      <c r="P3241" s="401" t="n"/>
      <c r="S3241" s="401" t="n"/>
      <c r="U3241" s="390" t="n"/>
      <c r="V3241" s="22" t="n"/>
      <c r="W3241" s="22" t="n"/>
      <c r="X3241" s="22" t="n"/>
      <c r="Y3241" s="13" t="n"/>
      <c r="Z3241" s="22" t="n"/>
      <c r="AA3241" s="22" t="n"/>
      <c r="AB3241" s="22" t="n"/>
      <c r="AC3241" s="22" t="n"/>
      <c r="AD3241" s="22" t="n"/>
      <c r="AE3241" s="22" t="n"/>
    </row>
    <row r="3242" ht="112" customHeight="1" s="380">
      <c r="A3242" s="144" t="n">
        <v>124</v>
      </c>
      <c r="B3242" s="390" t="n"/>
      <c r="C3242" s="390" t="inlineStr">
        <is>
          <t>Báo cáo tài chính quý, soát xét bán niên, kiểm toán năm - Chi nhánh công ty chứng khoán nước ngoài tại Việt Nam &gt;&gt; Các chỉ tiêu ngoài báo cáo tình hình tài chính riêng</t>
        </is>
      </c>
      <c r="D3242" s="390" t="inlineStr">
        <is>
          <t>7.1. Tiền gửi của Nhà đầu tư về giao dịch chứng khoán theo phương thức CTCK quản lý</t>
        </is>
      </c>
      <c r="E3242" s="401" t="n">
        <v>27</v>
      </c>
      <c r="F3242" s="390" t="inlineStr">
        <is>
          <t>Data Explorer</t>
        </is>
      </c>
      <c r="G3242" s="390" t="inlineStr">
        <is>
          <t>Chỉ tiêu cơ sở</t>
        </is>
      </c>
      <c r="H3242" s="390" t="inlineStr">
        <is>
          <t>Dễ</t>
        </is>
      </c>
      <c r="I3242" s="390" t="inlineStr">
        <is>
          <t>Ngày, CTCK</t>
        </is>
      </c>
      <c r="J3242" s="401" t="inlineStr">
        <is>
          <t>SCMS</t>
        </is>
      </c>
      <c r="K3242" s="401" t="n"/>
      <c r="L3242" s="401" t="inlineStr">
        <is>
          <t>X</t>
        </is>
      </c>
      <c r="M3242" s="401" t="n"/>
      <c r="N3242" s="401" t="inlineStr">
        <is>
          <t>Done</t>
        </is>
      </c>
      <c r="O3242" s="401" t="n"/>
      <c r="P3242" s="401" t="n"/>
      <c r="S3242" s="401" t="n"/>
      <c r="U3242" s="390" t="n"/>
      <c r="V3242" s="22" t="n"/>
      <c r="W3242" s="22" t="n"/>
      <c r="X3242" s="22" t="n"/>
      <c r="Y3242" s="38" t="n"/>
      <c r="Z3242" s="22" t="n"/>
      <c r="AA3242" s="22" t="n"/>
      <c r="AB3242" s="22" t="n"/>
      <c r="AC3242" s="22" t="n"/>
      <c r="AD3242" s="22" t="n"/>
      <c r="AE3242" s="22" t="n"/>
    </row>
    <row r="3243" ht="112" customHeight="1" s="380">
      <c r="A3243" s="144" t="n">
        <v>124</v>
      </c>
      <c r="B3243" s="390" t="n"/>
      <c r="C3243" s="390" t="inlineStr">
        <is>
          <t>Báo cáo tài chính quý, soát xét bán niên, kiểm toán năm - Chi nhánh công ty chứng khoán nước ngoài tại Việt Nam &gt;&gt; Các chỉ tiêu ngoài báo cáo tình hình tài chính riêng</t>
        </is>
      </c>
      <c r="D3243" s="390" t="inlineStr">
        <is>
          <t>7.2.Tiền gửi tổng hợp giao dịch chứng khoán cho khách hàng</t>
        </is>
      </c>
      <c r="E3243" s="401" t="n">
        <v>28</v>
      </c>
      <c r="F3243" s="390" t="inlineStr">
        <is>
          <t>Data Explorer</t>
        </is>
      </c>
      <c r="G3243" s="390" t="inlineStr">
        <is>
          <t>Chỉ tiêu cơ sở</t>
        </is>
      </c>
      <c r="H3243" s="390" t="inlineStr">
        <is>
          <t>Dễ</t>
        </is>
      </c>
      <c r="I3243" s="390" t="inlineStr">
        <is>
          <t>Ngày, CTCK</t>
        </is>
      </c>
      <c r="J3243" s="401" t="inlineStr">
        <is>
          <t>SCMS</t>
        </is>
      </c>
      <c r="K3243" s="401" t="n"/>
      <c r="L3243" s="401" t="inlineStr">
        <is>
          <t>X</t>
        </is>
      </c>
      <c r="M3243" s="401" t="n"/>
      <c r="N3243" s="401" t="inlineStr">
        <is>
          <t>Done</t>
        </is>
      </c>
      <c r="O3243" s="401" t="n"/>
      <c r="P3243" s="401" t="n"/>
      <c r="S3243" s="401" t="n"/>
      <c r="U3243" s="390" t="n"/>
      <c r="V3243" s="22" t="n"/>
      <c r="W3243" s="22" t="n"/>
      <c r="X3243" s="22" t="n"/>
      <c r="Y3243" s="13" t="n"/>
      <c r="Z3243" s="22" t="n"/>
      <c r="AA3243" s="22" t="n"/>
      <c r="AB3243" s="22" t="n"/>
      <c r="AC3243" s="22" t="n"/>
      <c r="AD3243" s="22" t="n"/>
      <c r="AE3243" s="22" t="n"/>
    </row>
    <row r="3244" ht="112" customHeight="1" s="380">
      <c r="A3244" s="144" t="n">
        <v>124</v>
      </c>
      <c r="B3244" s="390" t="n"/>
      <c r="C3244" s="390" t="inlineStr">
        <is>
          <t>Báo cáo tài chính quý, soát xét bán niên, kiểm toán năm - Chi nhánh công ty chứng khoán nước ngoài tại Việt Nam &gt;&gt; Các chỉ tiêu ngoài báo cáo tình hình tài chính riêng</t>
        </is>
      </c>
      <c r="D3244" s="390" t="inlineStr">
        <is>
          <t>7.3. Tiền gửi bù trừ và thanh toán giao dịch chứng khoán</t>
        </is>
      </c>
      <c r="E3244" s="401" t="n">
        <v>29</v>
      </c>
      <c r="F3244" s="390" t="inlineStr">
        <is>
          <t>Data Explorer</t>
        </is>
      </c>
      <c r="G3244" s="390" t="inlineStr">
        <is>
          <t>Chỉ tiêu cơ sở</t>
        </is>
      </c>
      <c r="H3244" s="390" t="inlineStr">
        <is>
          <t>Dễ</t>
        </is>
      </c>
      <c r="I3244" s="390" t="inlineStr">
        <is>
          <t>Ngày, CTCK</t>
        </is>
      </c>
      <c r="J3244" s="401" t="inlineStr">
        <is>
          <t>SCMS</t>
        </is>
      </c>
      <c r="K3244" s="401" t="n"/>
      <c r="L3244" s="401" t="inlineStr">
        <is>
          <t>X</t>
        </is>
      </c>
      <c r="M3244" s="401" t="n"/>
      <c r="N3244" s="401" t="inlineStr">
        <is>
          <t>Done</t>
        </is>
      </c>
      <c r="O3244" s="401" t="n"/>
      <c r="P3244" s="401" t="n"/>
      <c r="S3244" s="401" t="n"/>
      <c r="U3244" s="390" t="n"/>
      <c r="V3244" s="22" t="n"/>
      <c r="W3244" s="22" t="n"/>
      <c r="X3244" s="22" t="n"/>
      <c r="Y3244" s="13" t="n"/>
      <c r="Z3244" s="22" t="n"/>
      <c r="AA3244" s="22" t="n"/>
      <c r="AB3244" s="22" t="n"/>
      <c r="AC3244" s="22" t="n"/>
      <c r="AD3244" s="22" t="n"/>
      <c r="AE3244" s="22" t="n"/>
    </row>
    <row r="3245" ht="112" customHeight="1" s="380">
      <c r="A3245" s="144" t="n">
        <v>124</v>
      </c>
      <c r="B3245" s="390" t="n"/>
      <c r="C3245" s="390" t="inlineStr">
        <is>
          <t>Báo cáo tài chính quý, soát xét bán niên, kiểm toán năm - Chi nhánh công ty chứng khoán nước ngoài tại Việt Nam &gt;&gt; Các chỉ tiêu ngoài báo cáo tình hình tài chính riêng</t>
        </is>
      </c>
      <c r="D3245" s="390" t="inlineStr">
        <is>
          <t>a. Tiền gửi bù trừ và thanh toán giao dịch chứng khoán Nhà đầu tư trong nước</t>
        </is>
      </c>
      <c r="E3245" s="401" t="n">
        <v>29.1</v>
      </c>
      <c r="F3245" s="390" t="inlineStr">
        <is>
          <t>Data Explorer</t>
        </is>
      </c>
      <c r="G3245" s="390" t="inlineStr">
        <is>
          <t>Chỉ tiêu cơ sở</t>
        </is>
      </c>
      <c r="H3245" s="390" t="inlineStr">
        <is>
          <t>Dễ</t>
        </is>
      </c>
      <c r="I3245" s="390" t="inlineStr">
        <is>
          <t>Ngày, CTCK</t>
        </is>
      </c>
      <c r="J3245" s="401" t="inlineStr">
        <is>
          <t>SCMS</t>
        </is>
      </c>
      <c r="K3245" s="401" t="n"/>
      <c r="L3245" s="401" t="inlineStr">
        <is>
          <t>X</t>
        </is>
      </c>
      <c r="M3245" s="401" t="n"/>
      <c r="N3245" s="401" t="inlineStr">
        <is>
          <t>Done</t>
        </is>
      </c>
      <c r="O3245" s="401" t="n"/>
      <c r="P3245" s="401" t="n"/>
      <c r="S3245" s="401" t="n"/>
      <c r="U3245" s="390" t="n"/>
      <c r="V3245" s="22" t="n"/>
      <c r="W3245" s="22" t="n"/>
      <c r="X3245" s="22" t="n"/>
      <c r="Y3245" s="13" t="n"/>
      <c r="Z3245" s="22" t="n"/>
      <c r="AA3245" s="22" t="n"/>
      <c r="AB3245" s="22" t="n"/>
      <c r="AC3245" s="22" t="n"/>
      <c r="AD3245" s="22" t="n"/>
      <c r="AE3245" s="22" t="n"/>
    </row>
    <row r="3246" ht="112" customHeight="1" s="380">
      <c r="A3246" s="144" t="n">
        <v>124</v>
      </c>
      <c r="B3246" s="390" t="n"/>
      <c r="C3246" s="390" t="inlineStr">
        <is>
          <t>Báo cáo tài chính quý, soát xét bán niên, kiểm toán năm - Chi nhánh công ty chứng khoán nước ngoài tại Việt Nam &gt;&gt; Các chỉ tiêu ngoài báo cáo tình hình tài chính riêng</t>
        </is>
      </c>
      <c r="D3246" s="390" t="inlineStr">
        <is>
          <t>b. Tiền gửi bù trừ và thanh toán giao dịch chứng khoán Nhà đầu tư nước ngoài</t>
        </is>
      </c>
      <c r="E3246" s="401" t="n">
        <v>29.2</v>
      </c>
      <c r="F3246" s="390" t="inlineStr">
        <is>
          <t>Data Explorer</t>
        </is>
      </c>
      <c r="G3246" s="390" t="inlineStr">
        <is>
          <t>Chỉ tiêu cơ sở</t>
        </is>
      </c>
      <c r="H3246" s="390" t="inlineStr">
        <is>
          <t>Dễ</t>
        </is>
      </c>
      <c r="I3246" s="390" t="inlineStr">
        <is>
          <t>Ngày, CTCK</t>
        </is>
      </c>
      <c r="J3246" s="401" t="inlineStr">
        <is>
          <t>SCMS</t>
        </is>
      </c>
      <c r="K3246" s="401" t="n"/>
      <c r="L3246" s="401" t="inlineStr">
        <is>
          <t>X</t>
        </is>
      </c>
      <c r="M3246" s="401" t="n"/>
      <c r="N3246" s="401" t="inlineStr">
        <is>
          <t>Done</t>
        </is>
      </c>
      <c r="O3246" s="401" t="n"/>
      <c r="P3246" s="401" t="n"/>
      <c r="S3246" s="401" t="n"/>
      <c r="U3246" s="390" t="n"/>
      <c r="V3246" s="22" t="n"/>
      <c r="W3246" s="22" t="n"/>
      <c r="X3246" s="22" t="n"/>
      <c r="Y3246" s="13" t="n"/>
      <c r="Z3246" s="22" t="n"/>
      <c r="AA3246" s="22" t="n"/>
      <c r="AB3246" s="22" t="n"/>
      <c r="AC3246" s="22" t="n"/>
      <c r="AD3246" s="22" t="n"/>
      <c r="AE3246" s="22" t="n"/>
    </row>
    <row r="3247" ht="112" customHeight="1" s="380">
      <c r="A3247" s="144" t="n">
        <v>124</v>
      </c>
      <c r="B3247" s="390" t="n"/>
      <c r="C3247" s="390" t="inlineStr">
        <is>
          <t>Báo cáo tài chính quý, soát xét bán niên, kiểm toán năm - Chi nhánh công ty chứng khoán nước ngoài tại Việt Nam &gt;&gt; Các chỉ tiêu ngoài báo cáo tình hình tài chính riêng</t>
        </is>
      </c>
      <c r="D3247" s="390" t="inlineStr">
        <is>
          <t>7.4. Tiền gửi của Tổ chức phát hành chứng khoán</t>
        </is>
      </c>
      <c r="E3247" s="401" t="n">
        <v>30</v>
      </c>
      <c r="F3247" s="390" t="inlineStr">
        <is>
          <t>Data Explorer</t>
        </is>
      </c>
      <c r="G3247" s="390" t="inlineStr">
        <is>
          <t>Chỉ tiêu cơ sở</t>
        </is>
      </c>
      <c r="H3247" s="390" t="inlineStr">
        <is>
          <t>Dễ</t>
        </is>
      </c>
      <c r="I3247" s="390" t="inlineStr">
        <is>
          <t>Ngày, CTCK</t>
        </is>
      </c>
      <c r="J3247" s="401" t="inlineStr">
        <is>
          <t>SCMS</t>
        </is>
      </c>
      <c r="K3247" s="401" t="n"/>
      <c r="L3247" s="401" t="inlineStr">
        <is>
          <t>X</t>
        </is>
      </c>
      <c r="M3247" s="401" t="n"/>
      <c r="N3247" s="401" t="inlineStr">
        <is>
          <t>Done</t>
        </is>
      </c>
      <c r="O3247" s="401" t="n"/>
      <c r="P3247" s="401" t="n"/>
      <c r="S3247" s="401" t="n"/>
      <c r="U3247" s="390" t="n"/>
      <c r="V3247" s="22" t="n"/>
      <c r="W3247" s="22" t="n"/>
      <c r="X3247" s="22" t="n"/>
      <c r="Y3247" s="13" t="n"/>
      <c r="Z3247" s="22" t="n"/>
      <c r="AA3247" s="22" t="n"/>
      <c r="AB3247" s="22" t="n"/>
      <c r="AC3247" s="22" t="n"/>
      <c r="AD3247" s="22" t="n"/>
      <c r="AE3247" s="22" t="n"/>
    </row>
    <row r="3248" ht="112" customHeight="1" s="380">
      <c r="A3248" s="144" t="n">
        <v>124</v>
      </c>
      <c r="B3248" s="390" t="n"/>
      <c r="C3248" s="390" t="inlineStr">
        <is>
          <t>Báo cáo tài chính quý, soát xét bán niên, kiểm toán năm - Chi nhánh công ty chứng khoán nước ngoài tại Việt Nam &gt;&gt; Các chỉ tiêu ngoài báo cáo tình hình tài chính riêng</t>
        </is>
      </c>
      <c r="D3248" s="390" t="inlineStr">
        <is>
          <t>8. Phải trả Nhà đầu tư về tiền gửi giao dịch chứng khoán theo phương thức CTCK quản lý</t>
        </is>
      </c>
      <c r="E3248" s="401" t="n">
        <v>31</v>
      </c>
      <c r="F3248" s="390" t="inlineStr">
        <is>
          <t>Data Explorer</t>
        </is>
      </c>
      <c r="G3248" s="390" t="inlineStr">
        <is>
          <t>Chỉ tiêu cơ sở</t>
        </is>
      </c>
      <c r="H3248" s="390" t="inlineStr">
        <is>
          <t>Dễ</t>
        </is>
      </c>
      <c r="I3248" s="390" t="inlineStr">
        <is>
          <t>Ngày, CTCK</t>
        </is>
      </c>
      <c r="J3248" s="401" t="inlineStr">
        <is>
          <t>SCMS</t>
        </is>
      </c>
      <c r="K3248" s="401" t="n"/>
      <c r="L3248" s="401" t="inlineStr">
        <is>
          <t>X</t>
        </is>
      </c>
      <c r="M3248" s="401" t="n"/>
      <c r="N3248" s="401" t="inlineStr">
        <is>
          <t>Done</t>
        </is>
      </c>
      <c r="O3248" s="401" t="n"/>
      <c r="P3248" s="401" t="n"/>
      <c r="S3248" s="401" t="n"/>
      <c r="U3248" s="390" t="n"/>
      <c r="V3248" s="22" t="n"/>
      <c r="W3248" s="22" t="n"/>
      <c r="X3248" s="22" t="n"/>
      <c r="Y3248" s="38" t="n"/>
      <c r="Z3248" s="22" t="n"/>
      <c r="AA3248" s="22" t="n"/>
      <c r="AB3248" s="22" t="n"/>
      <c r="AC3248" s="22" t="n"/>
      <c r="AD3248" s="22" t="n"/>
      <c r="AE3248" s="22" t="n"/>
    </row>
    <row r="3249" ht="112" customHeight="1" s="380">
      <c r="A3249" s="144" t="n">
        <v>124</v>
      </c>
      <c r="B3249" s="390" t="n"/>
      <c r="C3249" s="390" t="inlineStr">
        <is>
          <t>Báo cáo tài chính quý, soát xét bán niên, kiểm toán năm - Chi nhánh công ty chứng khoán nước ngoài tại Việt Nam &gt;&gt; Các chỉ tiêu ngoài báo cáo tình hình tài chính riêng</t>
        </is>
      </c>
      <c r="D3249" s="390" t="inlineStr">
        <is>
          <t xml:space="preserve">8.1. Phải trả Nhà đầu tư trong nước về tiền gửi giao dịch chứng khoán theo phương thức CTCK quản lý </t>
        </is>
      </c>
      <c r="E3249" s="401" t="n">
        <v>31.1</v>
      </c>
      <c r="F3249" s="390" t="inlineStr">
        <is>
          <t>Data Explorer</t>
        </is>
      </c>
      <c r="G3249" s="390" t="inlineStr">
        <is>
          <t>Chỉ tiêu cơ sở</t>
        </is>
      </c>
      <c r="H3249" s="390" t="inlineStr">
        <is>
          <t>Dễ</t>
        </is>
      </c>
      <c r="I3249" s="390" t="inlineStr">
        <is>
          <t>Ngày, CTCK</t>
        </is>
      </c>
      <c r="J3249" s="401" t="inlineStr">
        <is>
          <t>SCMS</t>
        </is>
      </c>
      <c r="K3249" s="401" t="n"/>
      <c r="L3249" s="401" t="inlineStr">
        <is>
          <t>X</t>
        </is>
      </c>
      <c r="M3249" s="401" t="n"/>
      <c r="N3249" s="401" t="inlineStr">
        <is>
          <t>Done</t>
        </is>
      </c>
      <c r="O3249" s="401" t="n"/>
      <c r="P3249" s="401" t="n"/>
      <c r="S3249" s="401" t="n"/>
      <c r="U3249" s="390" t="n"/>
      <c r="V3249" s="22" t="n"/>
      <c r="W3249" s="22" t="n"/>
      <c r="X3249" s="22" t="n"/>
      <c r="Y3249" s="13" t="n"/>
      <c r="Z3249" s="22" t="n"/>
      <c r="AA3249" s="22" t="n"/>
      <c r="AB3249" s="22" t="n"/>
      <c r="AC3249" s="22" t="n"/>
      <c r="AD3249" s="22" t="n"/>
      <c r="AE3249" s="22" t="n"/>
    </row>
    <row r="3250" ht="112" customHeight="1" s="380">
      <c r="A3250" s="144" t="n">
        <v>124</v>
      </c>
      <c r="B3250" s="390" t="n"/>
      <c r="C3250" s="390" t="inlineStr">
        <is>
          <t>Báo cáo tài chính quý, soát xét bán niên, kiểm toán năm - Chi nhánh công ty chứng khoán nước ngoài tại Việt Nam &gt;&gt; Các chỉ tiêu ngoài báo cáo tình hình tài chính riêng</t>
        </is>
      </c>
      <c r="D3250" s="390" t="inlineStr">
        <is>
          <t>8.2. Phải trả Nhà đầu tư nước ngoài về tiền gửi giao dịch chứng khoán theo phương thức CTCK quản lý</t>
        </is>
      </c>
      <c r="E3250" s="401" t="n">
        <v>31.2</v>
      </c>
      <c r="F3250" s="390" t="inlineStr">
        <is>
          <t>Data Explorer</t>
        </is>
      </c>
      <c r="G3250" s="390" t="inlineStr">
        <is>
          <t>Chỉ tiêu cơ sở</t>
        </is>
      </c>
      <c r="H3250" s="390" t="inlineStr">
        <is>
          <t>Dễ</t>
        </is>
      </c>
      <c r="I3250" s="390" t="inlineStr">
        <is>
          <t>Ngày, CTCK</t>
        </is>
      </c>
      <c r="J3250" s="401" t="inlineStr">
        <is>
          <t>SCMS</t>
        </is>
      </c>
      <c r="K3250" s="401" t="n"/>
      <c r="L3250" s="401" t="inlineStr">
        <is>
          <t>X</t>
        </is>
      </c>
      <c r="M3250" s="401" t="n"/>
      <c r="N3250" s="401" t="inlineStr">
        <is>
          <t>Done</t>
        </is>
      </c>
      <c r="O3250" s="401" t="n"/>
      <c r="P3250" s="401" t="n"/>
      <c r="S3250" s="401" t="n"/>
      <c r="U3250" s="390" t="n"/>
      <c r="V3250" s="22" t="n"/>
      <c r="W3250" s="22" t="n"/>
      <c r="X3250" s="22" t="n"/>
      <c r="Y3250" s="13" t="n"/>
      <c r="Z3250" s="22" t="n"/>
      <c r="AA3250" s="22" t="n"/>
      <c r="AB3250" s="22" t="n"/>
      <c r="AC3250" s="22" t="n"/>
      <c r="AD3250" s="22" t="n"/>
      <c r="AE3250" s="22" t="n"/>
    </row>
    <row r="3251" ht="112" customHeight="1" s="380">
      <c r="A3251" s="144" t="n">
        <v>124</v>
      </c>
      <c r="B3251" s="390" t="n"/>
      <c r="C3251" s="390" t="inlineStr">
        <is>
          <t>Báo cáo tài chính quý, soát xét bán niên, kiểm toán năm - Chi nhánh công ty chứng khoán nước ngoài tại Việt Nam &gt;&gt; Các chỉ tiêu ngoài báo cáo tình hình tài chính riêng</t>
        </is>
      </c>
      <c r="D3251" s="390" t="inlineStr">
        <is>
          <t>9. Phải trả Tổ chức phát hành chứng khoán</t>
        </is>
      </c>
      <c r="E3251" s="401" t="n">
        <v>32</v>
      </c>
      <c r="F3251" s="390" t="inlineStr">
        <is>
          <t>Data Explorer</t>
        </is>
      </c>
      <c r="G3251" s="390" t="inlineStr">
        <is>
          <t>Chỉ tiêu cơ sở</t>
        </is>
      </c>
      <c r="H3251" s="390" t="inlineStr">
        <is>
          <t>Dễ</t>
        </is>
      </c>
      <c r="I3251" s="390" t="inlineStr">
        <is>
          <t>Ngày, CTCK</t>
        </is>
      </c>
      <c r="J3251" s="401" t="inlineStr">
        <is>
          <t>SCMS</t>
        </is>
      </c>
      <c r="K3251" s="401" t="n"/>
      <c r="L3251" s="401" t="inlineStr">
        <is>
          <t>X</t>
        </is>
      </c>
      <c r="M3251" s="401" t="n"/>
      <c r="N3251" s="401" t="inlineStr">
        <is>
          <t>Done</t>
        </is>
      </c>
      <c r="O3251" s="401" t="n"/>
      <c r="P3251" s="401" t="n"/>
      <c r="S3251" s="401" t="n"/>
      <c r="U3251" s="390" t="n"/>
      <c r="V3251" s="22" t="n"/>
      <c r="W3251" s="22" t="n"/>
      <c r="X3251" s="22" t="n"/>
      <c r="Y3251" s="13" t="n"/>
      <c r="Z3251" s="22" t="n"/>
      <c r="AA3251" s="22" t="n"/>
      <c r="AB3251" s="22" t="n"/>
      <c r="AC3251" s="22" t="n"/>
      <c r="AD3251" s="22" t="n"/>
      <c r="AE3251" s="22" t="n"/>
    </row>
    <row r="3252" ht="112" customHeight="1" s="380">
      <c r="A3252" s="144" t="n">
        <v>124</v>
      </c>
      <c r="B3252" s="390" t="n"/>
      <c r="C3252" s="390" t="inlineStr">
        <is>
          <t>Báo cáo tài chính quý, soát xét bán niên, kiểm toán năm - Chi nhánh công ty chứng khoán nước ngoài tại Việt Nam &gt;&gt; Các chỉ tiêu ngoài báo cáo tình hình tài chính riêng</t>
        </is>
      </c>
      <c r="D3252" s="390" t="inlineStr">
        <is>
          <t>10. Phải thu của khách hàng về lỗi giao dịch các tài sản tài chính</t>
        </is>
      </c>
      <c r="E3252" s="401" t="n">
        <v>33</v>
      </c>
      <c r="F3252" s="390" t="inlineStr">
        <is>
          <t>Data Explorer</t>
        </is>
      </c>
      <c r="G3252" s="390" t="inlineStr">
        <is>
          <t>Chỉ tiêu cơ sở</t>
        </is>
      </c>
      <c r="H3252" s="390" t="inlineStr">
        <is>
          <t>Dễ</t>
        </is>
      </c>
      <c r="I3252" s="390" t="inlineStr">
        <is>
          <t>Ngày, CTCK</t>
        </is>
      </c>
      <c r="J3252" s="401" t="inlineStr">
        <is>
          <t>SCMS</t>
        </is>
      </c>
      <c r="K3252" s="401" t="n"/>
      <c r="L3252" s="401" t="inlineStr">
        <is>
          <t>X</t>
        </is>
      </c>
      <c r="M3252" s="401" t="n"/>
      <c r="N3252" s="401" t="inlineStr">
        <is>
          <t>Done</t>
        </is>
      </c>
      <c r="O3252" s="401" t="n"/>
      <c r="P3252" s="401" t="n"/>
      <c r="S3252" s="401" t="n"/>
      <c r="U3252" s="390" t="n"/>
      <c r="V3252" s="22" t="n"/>
      <c r="W3252" s="22" t="n"/>
      <c r="X3252" s="22" t="n"/>
      <c r="Y3252" s="13" t="n"/>
      <c r="Z3252" s="22" t="n"/>
      <c r="AA3252" s="22" t="n"/>
      <c r="AB3252" s="22" t="n"/>
      <c r="AC3252" s="22" t="n"/>
      <c r="AD3252" s="22" t="n"/>
      <c r="AE3252" s="22" t="n"/>
    </row>
    <row r="3253" ht="112" customHeight="1" s="380">
      <c r="A3253" s="144" t="n">
        <v>124</v>
      </c>
      <c r="B3253" s="390" t="n"/>
      <c r="C3253" s="390" t="inlineStr">
        <is>
          <t>Báo cáo tài chính quý, soát xét bán niên, kiểm toán năm - Chi nhánh công ty chứng khoán nước ngoài tại Việt Nam &gt;&gt; Các chỉ tiêu ngoài báo cáo tình hình tài chính riêng</t>
        </is>
      </c>
      <c r="D3253" s="390" t="inlineStr">
        <is>
          <t>11. Phải trả của khách hàng về lỗi giao dịch các tài sản tài chính</t>
        </is>
      </c>
      <c r="E3253" s="401" t="n">
        <v>34</v>
      </c>
      <c r="F3253" s="390" t="inlineStr">
        <is>
          <t>Data Explorer</t>
        </is>
      </c>
      <c r="G3253" s="390" t="inlineStr">
        <is>
          <t>Chỉ tiêu cơ sở</t>
        </is>
      </c>
      <c r="H3253" s="390" t="inlineStr">
        <is>
          <t>Dễ</t>
        </is>
      </c>
      <c r="I3253" s="390" t="inlineStr">
        <is>
          <t>Ngày, CTCK</t>
        </is>
      </c>
      <c r="J3253" s="401" t="inlineStr">
        <is>
          <t>SCMS</t>
        </is>
      </c>
      <c r="K3253" s="401" t="n"/>
      <c r="L3253" s="401" t="inlineStr">
        <is>
          <t>X</t>
        </is>
      </c>
      <c r="M3253" s="401" t="n"/>
      <c r="N3253" s="401" t="inlineStr">
        <is>
          <t>Done</t>
        </is>
      </c>
      <c r="O3253" s="401" t="n"/>
      <c r="P3253" s="401" t="n"/>
      <c r="S3253" s="401" t="n"/>
      <c r="U3253" s="390" t="n"/>
      <c r="V3253" s="22" t="n"/>
      <c r="W3253" s="22" t="n"/>
      <c r="X3253" s="22" t="n"/>
      <c r="Y3253" s="13" t="n"/>
      <c r="Z3253" s="22" t="n"/>
      <c r="AA3253" s="22" t="n"/>
      <c r="AB3253" s="22" t="n"/>
      <c r="AC3253" s="22" t="n"/>
      <c r="AD3253" s="22" t="n"/>
      <c r="AE3253" s="22" t="n"/>
    </row>
    <row r="3254" ht="112" customHeight="1" s="380">
      <c r="A3254" s="145" t="n">
        <v>124</v>
      </c>
      <c r="B3254" s="129" t="n"/>
      <c r="C3254" s="129" t="inlineStr">
        <is>
          <t>Báo cáo tài chính quý, soát xét bán niên, kiểm toán năm - Chi nhánh công ty chứng khoán nước ngoài tại Việt Nam &gt;&gt; Các chỉ tiêu ngoài báo cáo tình hình tài chính riêng</t>
        </is>
      </c>
      <c r="D3254" s="129" t="inlineStr">
        <is>
          <t>12. Phải trả cổ tức, gốc và lãi trái phiếu</t>
        </is>
      </c>
      <c r="E3254" s="85" t="n">
        <v>35</v>
      </c>
      <c r="F3254" s="129" t="inlineStr">
        <is>
          <t>Data Explorer</t>
        </is>
      </c>
      <c r="G3254" s="129" t="inlineStr">
        <is>
          <t>Chỉ tiêu cơ sở</t>
        </is>
      </c>
      <c r="H3254" s="129" t="inlineStr">
        <is>
          <t>Dễ</t>
        </is>
      </c>
      <c r="I3254" s="129" t="inlineStr">
        <is>
          <t>Ngày, CTCK</t>
        </is>
      </c>
      <c r="J3254" s="85" t="inlineStr">
        <is>
          <t>SCMS</t>
        </is>
      </c>
      <c r="K3254" s="85" t="n"/>
      <c r="L3254" s="85" t="inlineStr">
        <is>
          <t>X</t>
        </is>
      </c>
      <c r="M3254" s="85" t="n"/>
      <c r="N3254" s="85" t="inlineStr">
        <is>
          <t>Done</t>
        </is>
      </c>
      <c r="O3254" s="85" t="n"/>
      <c r="P3254" s="85" t="n"/>
      <c r="Q3254" s="426" t="n"/>
      <c r="R3254" s="426" t="n"/>
      <c r="S3254" s="85" t="n"/>
      <c r="T3254" s="426" t="n"/>
      <c r="U3254" s="129" t="n"/>
      <c r="V3254" s="130" t="n"/>
      <c r="W3254" s="130" t="n"/>
      <c r="X3254" s="130" t="n"/>
      <c r="Y3254" s="97" t="n"/>
      <c r="Z3254" s="130" t="n"/>
      <c r="AA3254" s="130" t="n"/>
      <c r="AB3254" s="130" t="n"/>
      <c r="AC3254" s="130" t="n"/>
      <c r="AD3254" s="130" t="n"/>
      <c r="AE3254" s="130" t="n"/>
    </row>
    <row r="3255" ht="98" customHeight="1" s="380">
      <c r="A3255" s="144" t="n">
        <v>125</v>
      </c>
      <c r="B3255" s="140" t="inlineStr">
        <is>
          <t>Nga</t>
        </is>
      </c>
      <c r="C3255" s="127" t="inlineStr">
        <is>
          <t>Báo cáo tài chính quý, soát xét bán niên, kiểm toán năm - Chi nhánh công ty chứng khoán nước ngoài tại Việt Nam &gt;&gt; Báo cáo kết quả hoạt động riêng</t>
        </is>
      </c>
      <c r="D3255" s="106" t="inlineStr">
        <is>
          <t>Loại báo cáo</t>
        </is>
      </c>
      <c r="E3255" s="107" t="inlineStr">
        <is>
          <t>Loại báo cáo</t>
        </is>
      </c>
      <c r="F3255" s="390" t="inlineStr">
        <is>
          <t>Data Explorer</t>
        </is>
      </c>
      <c r="G3255" s="390" t="inlineStr">
        <is>
          <t>Chiều</t>
        </is>
      </c>
      <c r="H3255" s="390" t="inlineStr">
        <is>
          <t>Dễ</t>
        </is>
      </c>
      <c r="I3255" s="390" t="inlineStr">
        <is>
          <t>Ngày, CTCK</t>
        </is>
      </c>
      <c r="J3255" s="401" t="inlineStr">
        <is>
          <t>SCMS</t>
        </is>
      </c>
      <c r="K3255" s="401" t="inlineStr">
        <is>
          <t>X</t>
        </is>
      </c>
      <c r="L3255" s="401" t="inlineStr">
        <is>
          <t>X</t>
        </is>
      </c>
      <c r="M3255" s="401" t="n"/>
      <c r="N3255" s="401" t="inlineStr">
        <is>
          <t>Done</t>
        </is>
      </c>
      <c r="O3255" s="401" t="n"/>
      <c r="P3255" s="401" t="n"/>
      <c r="Q3255" s="404" t="inlineStr">
        <is>
          <t>SCMS.BM_BAO_CAO
SCMS.BM_BAO_CAO_DINH_KY</t>
        </is>
      </c>
      <c r="R3255" s="404" t="inlineStr">
        <is>
          <t>bm.ID,
bm.MA_BAO_CAO,
bm.LOAI_BAO_CAO,
bm.TEN_BAO_CAO,
bm.SU_DUNG,
bdk.BM_BAO_CAO_ID,
bdk.KY_BAO_CAO,
bdk.SU_DUNG</t>
        </is>
      </c>
      <c r="S3255" s="401" t="n"/>
      <c r="T3255" s="390"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U3255" s="401" t="n"/>
      <c r="V3255" s="22" t="n"/>
      <c r="W3255" s="22" t="n"/>
      <c r="X3255" s="22" t="n"/>
      <c r="Y3255" s="13" t="n"/>
      <c r="Z3255" s="22" t="n"/>
      <c r="AA3255" s="22" t="n"/>
      <c r="AB3255" s="22" t="n"/>
      <c r="AC3255" s="22" t="n"/>
      <c r="AD3255" s="22" t="n"/>
      <c r="AE3255" s="22" t="n"/>
    </row>
    <row r="3256" ht="98" customHeight="1" s="380">
      <c r="A3256" s="144" t="n">
        <v>125</v>
      </c>
      <c r="B3256" s="390" t="n"/>
      <c r="C3256" s="390" t="inlineStr">
        <is>
          <t>Báo cáo tài chính quý, soát xét bán niên, kiểm toán năm - Chi nhánh công ty chứng khoán nước ngoài tại Việt Nam &gt;&gt; Báo cáo kết quả hoạt động riêng</t>
        </is>
      </c>
      <c r="D3256" s="106" t="inlineStr">
        <is>
          <t>Kỳ báo cáo</t>
        </is>
      </c>
      <c r="E3256" s="107" t="inlineStr">
        <is>
          <t>Kỳ báo cáo</t>
        </is>
      </c>
      <c r="F3256" s="390" t="inlineStr">
        <is>
          <t>Data Explorer</t>
        </is>
      </c>
      <c r="G3256" s="390" t="inlineStr">
        <is>
          <t>Chiều</t>
        </is>
      </c>
      <c r="H3256" s="390" t="inlineStr">
        <is>
          <t>Dễ</t>
        </is>
      </c>
      <c r="I3256" s="390" t="inlineStr">
        <is>
          <t>Ngày, CTCK</t>
        </is>
      </c>
      <c r="J3256" s="401" t="inlineStr">
        <is>
          <t>SCMS</t>
        </is>
      </c>
      <c r="K3256" s="401" t="inlineStr">
        <is>
          <t>X</t>
        </is>
      </c>
      <c r="L3256" s="401" t="inlineStr">
        <is>
          <t>X</t>
        </is>
      </c>
      <c r="M3256" s="401" t="n"/>
      <c r="N3256" s="401" t="inlineStr">
        <is>
          <t>Done</t>
        </is>
      </c>
      <c r="O3256" s="401" t="n"/>
      <c r="P3256" s="401" t="n"/>
      <c r="S3256" s="401" t="n"/>
      <c r="U3256" s="401" t="n"/>
      <c r="V3256" s="22" t="n"/>
      <c r="W3256" s="22" t="n"/>
      <c r="X3256" s="22" t="n"/>
      <c r="Y3256" s="13" t="n"/>
      <c r="Z3256" s="22" t="n"/>
      <c r="AA3256" s="22" t="n"/>
      <c r="AB3256" s="22" t="n"/>
      <c r="AC3256" s="22" t="n"/>
      <c r="AD3256" s="22" t="n"/>
      <c r="AE3256" s="22" t="n"/>
    </row>
    <row r="3257" ht="98" customHeight="1" s="380">
      <c r="A3257" s="144" t="n">
        <v>125</v>
      </c>
      <c r="B3257" s="390" t="n"/>
      <c r="C3257" s="390" t="inlineStr">
        <is>
          <t>Báo cáo tài chính quý, soát xét bán niên, kiểm toán năm - Chi nhánh công ty chứng khoán nước ngoài tại Việt Nam &gt;&gt; Báo cáo kết quả hoạt động riêng</t>
        </is>
      </c>
      <c r="D3257" s="106" t="inlineStr">
        <is>
          <t>Mã báo cáo</t>
        </is>
      </c>
      <c r="E3257" s="107" t="inlineStr">
        <is>
          <t>Mã báo cáo</t>
        </is>
      </c>
      <c r="F3257" s="390" t="inlineStr">
        <is>
          <t>Data Explorer</t>
        </is>
      </c>
      <c r="G3257" s="390" t="inlineStr">
        <is>
          <t>Chiều</t>
        </is>
      </c>
      <c r="H3257" s="390" t="inlineStr">
        <is>
          <t>Dễ</t>
        </is>
      </c>
      <c r="I3257" s="390" t="inlineStr">
        <is>
          <t>Ngày, CTCK</t>
        </is>
      </c>
      <c r="J3257" s="401" t="inlineStr">
        <is>
          <t>SCMS</t>
        </is>
      </c>
      <c r="K3257" s="401" t="inlineStr">
        <is>
          <t>X</t>
        </is>
      </c>
      <c r="L3257" s="401" t="inlineStr">
        <is>
          <t>X</t>
        </is>
      </c>
      <c r="M3257" s="401" t="n"/>
      <c r="N3257" s="401" t="inlineStr">
        <is>
          <t>Done</t>
        </is>
      </c>
      <c r="O3257" s="401" t="n"/>
      <c r="P3257" s="401" t="n"/>
      <c r="S3257" s="401" t="n"/>
      <c r="U3257" s="401" t="n"/>
      <c r="V3257" s="22" t="n"/>
      <c r="W3257" s="22" t="n"/>
      <c r="X3257" s="22" t="n"/>
      <c r="Y3257" s="13" t="n"/>
      <c r="Z3257" s="22" t="n"/>
      <c r="AA3257" s="22" t="n"/>
      <c r="AB3257" s="22" t="n"/>
      <c r="AC3257" s="22" t="n"/>
      <c r="AD3257" s="22" t="n"/>
      <c r="AE3257" s="22" t="n"/>
    </row>
    <row r="3258" ht="98" customHeight="1" s="380">
      <c r="A3258" s="144" t="n">
        <v>125</v>
      </c>
      <c r="B3258" s="390" t="n"/>
      <c r="C3258" s="390" t="inlineStr">
        <is>
          <t>Báo cáo tài chính quý, soát xét bán niên, kiểm toán năm - Chi nhánh công ty chứng khoán nước ngoài tại Việt Nam &gt;&gt; Báo cáo kết quả hoạt động riêng</t>
        </is>
      </c>
      <c r="D3258" s="106" t="inlineStr">
        <is>
          <t>Tên báo cáo</t>
        </is>
      </c>
      <c r="E3258" s="107" t="inlineStr">
        <is>
          <t>Tên báo cáo</t>
        </is>
      </c>
      <c r="F3258" s="390" t="inlineStr">
        <is>
          <t>Data Explorer</t>
        </is>
      </c>
      <c r="G3258" s="390" t="inlineStr">
        <is>
          <t>Chiều</t>
        </is>
      </c>
      <c r="H3258" s="390" t="inlineStr">
        <is>
          <t>Dễ</t>
        </is>
      </c>
      <c r="I3258" s="390" t="inlineStr">
        <is>
          <t>Ngày, CTCK</t>
        </is>
      </c>
      <c r="J3258" s="401" t="inlineStr">
        <is>
          <t>SCMS</t>
        </is>
      </c>
      <c r="K3258" s="401" t="inlineStr">
        <is>
          <t>X</t>
        </is>
      </c>
      <c r="L3258" s="401" t="inlineStr">
        <is>
          <t>X</t>
        </is>
      </c>
      <c r="M3258" s="401" t="n"/>
      <c r="N3258" s="401" t="inlineStr">
        <is>
          <t>Done</t>
        </is>
      </c>
      <c r="O3258" s="401" t="n"/>
      <c r="P3258" s="401" t="n"/>
      <c r="S3258" s="401" t="n"/>
      <c r="U3258" s="401" t="n"/>
      <c r="V3258" s="22" t="n"/>
      <c r="W3258" s="22" t="n"/>
      <c r="X3258" s="22" t="n"/>
      <c r="Y3258" s="13" t="n"/>
      <c r="Z3258" s="22" t="n"/>
      <c r="AA3258" s="22" t="n"/>
      <c r="AB3258" s="22" t="n"/>
      <c r="AC3258" s="22" t="n"/>
      <c r="AD3258" s="22" t="n"/>
      <c r="AE3258" s="22" t="n"/>
    </row>
    <row r="3259" ht="98" customHeight="1" s="380">
      <c r="A3259" s="144" t="n">
        <v>125</v>
      </c>
      <c r="B3259" s="390" t="n"/>
      <c r="C3259" s="390" t="inlineStr">
        <is>
          <t>Báo cáo tài chính quý, soát xét bán niên, kiểm toán năm - Chi nhánh công ty chứng khoán nước ngoài tại Việt Nam &gt;&gt; Báo cáo kết quả hoạt động riêng</t>
        </is>
      </c>
      <c r="D3259" s="106" t="n"/>
      <c r="E3259" s="107" t="n"/>
      <c r="F3259" s="390" t="inlineStr">
        <is>
          <t>Data Explorer</t>
        </is>
      </c>
      <c r="G3259" s="390" t="inlineStr">
        <is>
          <t>Chiều</t>
        </is>
      </c>
      <c r="H3259" s="390" t="inlineStr">
        <is>
          <t>Dễ</t>
        </is>
      </c>
      <c r="I3259" s="390" t="inlineStr">
        <is>
          <t>Ngày, CTCK</t>
        </is>
      </c>
      <c r="J3259" s="401" t="inlineStr">
        <is>
          <t>SCMS</t>
        </is>
      </c>
      <c r="K3259" s="401" t="inlineStr">
        <is>
          <t>X</t>
        </is>
      </c>
      <c r="L3259" s="401" t="inlineStr">
        <is>
          <t>X</t>
        </is>
      </c>
      <c r="M3259" s="401" t="n"/>
      <c r="N3259" s="401" t="inlineStr">
        <is>
          <t>Done</t>
        </is>
      </c>
      <c r="O3259" s="401" t="n"/>
      <c r="P3259" s="401" t="n"/>
      <c r="Q3259" s="401" t="inlineStr">
        <is>
          <t>SCMS.BM_BAO_CAO
SCMS.BM_SHEET</t>
        </is>
      </c>
      <c r="R3259" s="401" t="inlineStr">
        <is>
          <t>bm.ID,
bm.MA_BAO_CAO,
bm.SU_DUNG,
s.BM_BAO_CAO_ID,
s.MA_SHEET,
s.TEN_SHEET,
s.SAP_XEP</t>
        </is>
      </c>
      <c r="S3259" s="401" t="n"/>
      <c r="T3259" s="389" t="inlineStr">
        <is>
          <t>-- Mã sheet / Tên sheet
-- TEN_SHEET: BCKQHDR
SELECT bm.MA_BAO_CAO,
s.MA_SHEET,
s.TEN_SHEET
FROM SCMS.BM_BAO_CAO bm
JOIN SCMS.BM_SHEET s ON s.BM_BAO_CAO_ID = bm.ID
WHERE bm.MA_BAO_CAO LIKE 'BCTCRLCTCK'
AND s.TEN_SHEET = 'BCKQHDR'  -- Check lại
AND bm.SU_DUNG = 1
ORDER BY bm.MA_BAO_CAO, s.SAP_XEP;</t>
        </is>
      </c>
      <c r="U3259" s="401" t="n"/>
      <c r="V3259" s="22" t="n"/>
      <c r="W3259" s="22" t="n"/>
      <c r="X3259" s="22" t="n"/>
      <c r="Y3259" s="13" t="n"/>
      <c r="Z3259" s="22" t="n"/>
      <c r="AA3259" s="22" t="n"/>
      <c r="AB3259" s="22" t="n"/>
      <c r="AC3259" s="22" t="n"/>
      <c r="AD3259" s="22" t="n"/>
      <c r="AE3259" s="22" t="n"/>
    </row>
    <row r="3260" ht="98" customHeight="1" s="380">
      <c r="A3260" s="144" t="n">
        <v>125</v>
      </c>
      <c r="B3260" s="390" t="n"/>
      <c r="C3260" s="390" t="inlineStr">
        <is>
          <t>Báo cáo tài chính quý, soát xét bán niên, kiểm toán năm - Chi nhánh công ty chứng khoán nước ngoài tại Việt Nam &gt;&gt; Báo cáo kết quả hoạt động riêng</t>
        </is>
      </c>
      <c r="D3260" s="106" t="n"/>
      <c r="E3260" s="107" t="n"/>
      <c r="F3260" s="390" t="inlineStr">
        <is>
          <t>Data Explorer</t>
        </is>
      </c>
      <c r="G3260" s="390" t="inlineStr">
        <is>
          <t>Chiều</t>
        </is>
      </c>
      <c r="H3260" s="390" t="inlineStr">
        <is>
          <t>Dễ</t>
        </is>
      </c>
      <c r="I3260" s="390" t="inlineStr">
        <is>
          <t>Ngày, CTCK</t>
        </is>
      </c>
      <c r="J3260" s="401" t="inlineStr">
        <is>
          <t>SCMS</t>
        </is>
      </c>
      <c r="K3260" s="401" t="inlineStr">
        <is>
          <t>X</t>
        </is>
      </c>
      <c r="L3260" s="401" t="inlineStr">
        <is>
          <t>X</t>
        </is>
      </c>
      <c r="M3260" s="401" t="n"/>
      <c r="N3260" s="401" t="inlineStr">
        <is>
          <t>Done</t>
        </is>
      </c>
      <c r="O3260" s="401" t="n"/>
      <c r="P3260" s="401" t="n"/>
      <c r="S3260" s="401" t="n"/>
      <c r="U3260" s="401" t="n"/>
      <c r="V3260" s="22" t="n"/>
      <c r="W3260" s="22" t="n"/>
      <c r="X3260" s="22" t="n"/>
      <c r="Y3260" s="13" t="n"/>
      <c r="Z3260" s="22" t="n"/>
      <c r="AA3260" s="22" t="n"/>
      <c r="AB3260" s="22" t="n"/>
      <c r="AC3260" s="22" t="n"/>
      <c r="AD3260" s="22" t="n"/>
      <c r="AE3260" s="22" t="n"/>
    </row>
    <row r="3261" ht="98" customHeight="1" s="380">
      <c r="A3261" s="144" t="n">
        <v>125</v>
      </c>
      <c r="B3261" s="390" t="n"/>
      <c r="C3261" s="390" t="inlineStr">
        <is>
          <t>Báo cáo tài chính quý, soát xét bán niên, kiểm toán năm - Chi nhánh công ty chứng khoán nước ngoài tại Việt Nam &gt;&gt; Báo cáo kết quả hoạt động riêng</t>
        </is>
      </c>
      <c r="D3261" s="106" t="inlineStr">
        <is>
          <t>Mã chỉ tiêu</t>
        </is>
      </c>
      <c r="E3261" s="107" t="inlineStr">
        <is>
          <t>Mã chỉ tiêu</t>
        </is>
      </c>
      <c r="F3261" s="390" t="inlineStr">
        <is>
          <t>Data Explorer</t>
        </is>
      </c>
      <c r="G3261" s="390" t="inlineStr">
        <is>
          <t>Chiều</t>
        </is>
      </c>
      <c r="H3261" s="390" t="inlineStr">
        <is>
          <t>Dễ</t>
        </is>
      </c>
      <c r="I3261" s="390" t="inlineStr">
        <is>
          <t>Ngày, CTCK</t>
        </is>
      </c>
      <c r="J3261" s="401" t="inlineStr">
        <is>
          <t>SCMS</t>
        </is>
      </c>
      <c r="K3261" s="401" t="inlineStr">
        <is>
          <t>X</t>
        </is>
      </c>
      <c r="L3261" s="401" t="inlineStr">
        <is>
          <t>X</t>
        </is>
      </c>
      <c r="M3261" s="401" t="n"/>
      <c r="N3261" s="401" t="inlineStr">
        <is>
          <t>Done</t>
        </is>
      </c>
      <c r="O3261" s="401" t="n"/>
      <c r="P3261" s="401" t="n"/>
      <c r="Q3261" s="401" t="inlineStr">
        <is>
          <t>SCMS.BM_BAO_CAO
SCMS.BM_SHEET
SCMS.BM_BAO_CAO_CT
SCMS.DM_CHI_TIEU</t>
        </is>
      </c>
      <c r="R3261" s="401" t="inlineStr">
        <is>
          <t>dct.ID,
dct.MA_CHI_TIEU,
dct.TEN_CHI_TIEU,
dct.SU_DUNG,
s.BM_BAO_CAO_ID,
s.MA_SHEET,
ct.BM_BAO_CAO_ID,
ct.DM_CHI_TIEU_ID,
ct.SU_DUNG,
bm.ID,
bm.MA_BAO_CAO,
bm.SU_DUNG</t>
        </is>
      </c>
      <c r="S3261" s="401" t="n"/>
      <c r="T3261" s="389" t="inlineStr">
        <is>
          <t>-- Mã chỉ tiêu / Tên chỉ tiêu
SELECT DISTINCT
    dct.MA_CHI_TIEU  AS ma_chi_tieu,
    dct.TEN_CHI_TIEU AS ten_chi_tieu
FROM SCMS.BM_BAO_CAO bm
JOIN SCMS.BM_SHEET s ON s.BM_BAO_CAO_ID = bm.ID
	AND s.TEN_SHEET = 'BCKQHDR'
JOIN SCMS.BM_BAO_CAO_CT ct ON ct.BM_SHEET_ID = s.ID
	AND ct.SU_DUNG = 1
JOIN SCMS.DM_CHI_TIEU dct ON dct.ID = ct.DM_CHI_TIEU_ID
	AND dct.SU_DUNG = 1
WHERE bm.MA_BAO_CAO LIKE 'BCTCRLCTCK'
	AND bm.SU_DUNG = 1
ORDER BY dct.MA_CHI_TIEU;</t>
        </is>
      </c>
      <c r="U3261" s="401" t="n"/>
      <c r="V3261" s="22" t="n"/>
      <c r="W3261" s="22" t="n"/>
      <c r="X3261" s="22" t="n"/>
      <c r="Y3261" s="13" t="n"/>
      <c r="Z3261" s="22" t="n"/>
      <c r="AA3261" s="22" t="n"/>
      <c r="AB3261" s="22" t="n"/>
      <c r="AC3261" s="22" t="n"/>
      <c r="AD3261" s="22" t="n"/>
      <c r="AE3261" s="22" t="n"/>
    </row>
    <row r="3262" ht="98" customHeight="1" s="380">
      <c r="A3262" s="144" t="n">
        <v>125</v>
      </c>
      <c r="B3262" s="390" t="n"/>
      <c r="C3262" s="390" t="inlineStr">
        <is>
          <t>Báo cáo tài chính quý, soát xét bán niên, kiểm toán năm - Chi nhánh công ty chứng khoán nước ngoài tại Việt Nam &gt;&gt; Báo cáo kết quả hoạt động riêng</t>
        </is>
      </c>
      <c r="D3262" s="106" t="inlineStr">
        <is>
          <t>Tên chỉ tiêu</t>
        </is>
      </c>
      <c r="E3262" s="107" t="inlineStr">
        <is>
          <t>Tên chỉ tiêu</t>
        </is>
      </c>
      <c r="F3262" s="390" t="inlineStr">
        <is>
          <t>Data Explorer</t>
        </is>
      </c>
      <c r="G3262" s="390" t="inlineStr">
        <is>
          <t>Chiều</t>
        </is>
      </c>
      <c r="H3262" s="390" t="inlineStr">
        <is>
          <t>Dễ</t>
        </is>
      </c>
      <c r="I3262" s="390" t="inlineStr">
        <is>
          <t>Ngày, CTCK</t>
        </is>
      </c>
      <c r="J3262" s="401" t="inlineStr">
        <is>
          <t>SCMS</t>
        </is>
      </c>
      <c r="K3262" s="401" t="inlineStr">
        <is>
          <t>X</t>
        </is>
      </c>
      <c r="L3262" s="401" t="inlineStr">
        <is>
          <t>X</t>
        </is>
      </c>
      <c r="M3262" s="401" t="n"/>
      <c r="N3262" s="401" t="inlineStr">
        <is>
          <t>Done</t>
        </is>
      </c>
      <c r="O3262" s="401" t="n"/>
      <c r="P3262" s="401" t="n"/>
      <c r="S3262" s="401" t="n"/>
      <c r="U3262" s="401" t="n"/>
      <c r="V3262" s="22" t="n"/>
      <c r="W3262" s="22" t="n"/>
      <c r="X3262" s="22" t="n"/>
      <c r="Y3262" s="14" t="n"/>
      <c r="Z3262" s="22" t="n"/>
      <c r="AA3262" s="22" t="n"/>
      <c r="AB3262" s="22" t="n"/>
      <c r="AC3262" s="22" t="n"/>
      <c r="AD3262" s="22" t="n"/>
      <c r="AE3262" s="22" t="n"/>
    </row>
    <row r="3263" ht="98" customHeight="1" s="380">
      <c r="A3263" s="144" t="n">
        <v>125</v>
      </c>
      <c r="B3263" s="390" t="n"/>
      <c r="C3263" s="390" t="inlineStr">
        <is>
          <t>Báo cáo tài chính quý, soát xét bán niên, kiểm toán năm - Chi nhánh công ty chứng khoán nước ngoài tại Việt Nam &gt;&gt; Báo cáo kết quả hoạt động riêng</t>
        </is>
      </c>
      <c r="D3263" s="132" t="inlineStr">
        <is>
          <t xml:space="preserve">I. DOANH THU HOẠT ĐỘNG </t>
        </is>
      </c>
      <c r="E3263" s="401" t="n"/>
      <c r="F3263" s="390" t="inlineStr">
        <is>
          <t>Data Explorer</t>
        </is>
      </c>
      <c r="G3263" s="390" t="inlineStr">
        <is>
          <t>Chỉ tiêu cơ sở</t>
        </is>
      </c>
      <c r="H3263" s="390" t="inlineStr">
        <is>
          <t>Dễ</t>
        </is>
      </c>
      <c r="I3263" s="390" t="inlineStr">
        <is>
          <t>Ngày, CTCK</t>
        </is>
      </c>
      <c r="J3263" s="401" t="inlineStr">
        <is>
          <t>SCMS</t>
        </is>
      </c>
      <c r="K3263" s="401" t="n"/>
      <c r="L3263" s="401" t="inlineStr">
        <is>
          <t>X</t>
        </is>
      </c>
      <c r="M3263" s="401" t="n"/>
      <c r="N3263" s="401" t="inlineStr">
        <is>
          <t>Done</t>
        </is>
      </c>
      <c r="O3263" s="401" t="n"/>
      <c r="P3263" s="401" t="n"/>
      <c r="Q3263" s="431" t="inlineStr">
        <is>
          <t>SCMS.BC_THANH_VIEN
SCMS.BM_BAO_CAO
SCMS.BC_BAO_CAO_GT
SCMS.BM_BAO_CAO_HANG
SCMS.BM_BAO_CAO_COT</t>
        </is>
      </c>
      <c r="R3263" s="431" t="inlineStr">
        <is>
          <t>bsc.TEN_COT,
bsc.BM_SHEET_ID,
bsh.ID,
bsh.MA_HANG,
gt.GIA_TRI,
gt.BC_THANH_VIEN_ID,
gt.BM_SHEET_HANG_ID,
bm.ID,
bm.MA_BAO_CAO,
btv.ID,
btv.BM_BAO_CAO_ID,
btv.TRANG_THAI,
btv.NGAY_SO_LIEU</t>
        </is>
      </c>
      <c r="S3263" s="401" t="n"/>
      <c r="T3263" s="432" t="inlineStr">
        <is>
          <t xml:space="preserve">-- CHỈ TIÊU
SELECT
	-- Thuyết minh
    MAX(CASE WHEN bsc.TEN_COT=N'Thuyết minh' AND bsh.MA_HANG = '2' THEN CAST(gt.GIA_TRI AS VARCHAR2(4000)) END) AS "I. DOANH THU HOẠT ĐỘNG",
    MAX(CASE WHEN bsc.TEN_COT=N'Thuyết minh' AND bsh.MA_HANG = '3' THEN CAST(gt.GIA_TRI AS VARCHAR2(4000)) END) AS "1.1. Lãi từ các tài sản tài chính ghi nhận thông qua lãi/lỗ (FVTPL)",
    MAX(CASE WHEN bsc.TEN_COT=N'Thuyết minh' AND bsh.MA_HANG = '4' THEN CAST(gt.GIA_TRI AS VARCHAR2(4000)) END) AS "a. Lãi bán các tài sản tài chính FVTPL",
    MAX(CASE WHEN bsc.TEN_COT=N'Thuyết minh' AND bsh.MA_HANG = '5' THEN CAST(gt.GIA_TRI AS VARCHAR2(4000)) END) AS "b. Chênh lệch tăng về đánh giá lại các TSTC FVTPL",
    MAX(CASE WHEN bsc.TEN_COT=N'Thuyết minh' AND bsh.MA_HANG = '6' THEN CAST(gt.GIA_TRI AS VARCHAR2(4000)) END) AS "c. Cổ tức, tiền lãi phát sinh từ tài sản tài chính FVTPL",
    MAX(CASE WHEN bsc.TEN_COT=N'Thuyết minh' AND bsh.MA_HANG = '7' THEN CAST(gt.GIA_TRI AS VARCHAR2(4000)) END) AS "d. Chênh lệch giảm do đánh giá lại phải trả chứng quyền đang lưu hành",  -- DB cũ không có chỉ tiêu này
    MAX(CASE WHEN bsc.TEN_COT=N'Thuyết minh' AND bsh.MA_HANG = '8' THEN CAST(gt.GIA_TRI AS VARCHAR2(4000)) END) AS "1.2. Lãi từ các khoản đầu tư nắm giữ đến ngày đáo hạn (HTM)",
    MAX(CASE WHEN bsc.TEN_COT=N'Thuyết minh' AND bsh.MA_HANG = '9' THEN CAST(gt.GIA_TRI AS VARCHAR2(4000)) END) AS "1.3. Lãi từ các khoản cho vay và phải thu",
    MAX(CASE WHEN bsc.TEN_COT=N'Thuyết minh' AND bsh.MA_HANG = '10' THEN CAST(gt.GIA_TRI AS VARCHAR2(4000)) END) AS "1.4. Lãi từ tài sản tài chính sẵn sàng để bán (AFS)",
    MAX(CASE WHEN bsc.TEN_COT=N'Thuyết minh' AND bsh.MA_HANG = '11' THEN CAST(gt.GIA_TRI AS VARCHAR2(4000)) END) AS "1.5. Lãi từ các công cụ phái sinh phòng ngừa rủi ro",
    MAX(CASE WHEN bsc.TEN_COT=N'Thuyết minh' AND bsh.MA_HANG = '12' THEN CAST(gt.GIA_TRI AS VARCHAR2(4000)) END) AS "1.6. Doanh thu nghiệp vụ môi giới chứng khoán",
    MAX(CASE WHEN bsc.TEN_COT=N'Thuyết minh' AND bsh.MA_HANG = '13' THEN CAST(gt.GIA_TRI AS VARCHAR2(4000)) END) AS "1.7. Doanh thu nghiệp vụ bảo lãnh, đại lý phát hành chứng khoán",
    MAX(CASE WHEN bsc.TEN_COT=N'Thuyết minh' AND bsh.MA_HANG = '14' THEN CAST(gt.GIA_TRI AS VARCHAR2(4000)) END) AS "1.8. Doanh thu nghiệp vụ tư vấn đầu tư chứng khoán",
    MAX(CASE WHEN bsc.TEN_COT=N'Thuyết minh' AND bsh.MA_HANG = '15' THEN CAST(gt.GIA_TRI AS VARCHAR2(4000)) END) AS "1.9. Doanh thu nghiệp vụ lưu ký chứng khoán",
    MAX(CASE WHEN bsc.TEN_COT=N'Thuyết minh' AND bsh.MA_HANG = '16' THEN CAST(gt.GIA_TRI AS VARCHAR2(4000)) END) AS "1.10. Doanh thu hoạt động tư vấn tài chính",
    MAX(CASE WHEN bsc.TEN_COT=N'Thuyết minh' AND bsh.MA_HANG = '17' THEN CAST(gt.GIA_TRI AS VARCHAR2(4000)) END) AS "1.11. Thu nhập hoạt động khác",
    MAX(CASE WHEN bsc.TEN_COT=N'Thuyết minh' AND bsh.MA_HANG = '18' THEN CAST(gt.GIA_TRI AS VARCHAR2(4000)) END) AS "Cộng doanh thu hoạt động (20 = 01 đến 11)",
    MAX(CASE WHEN bsc.TEN_COT=N'Thuyết minh' AND bsh.MA_HANG = '19' THEN CAST(gt.GIA_TRI AS VARCHAR2(4000)) END) AS "II. CHI PHÍ HOẠT ĐỘNG",
    MAX(CASE WHEN bsc.TEN_COT=N'Thuyết minh' AND bsh.MA_HANG = '20' THEN CAST(gt.GIA_TRI AS VARCHAR2(4000)) END) AS "2.1. Lỗ các tài sản tài chính ghi nhận thông qua lãi/lỗ (FVTPL)",
    MAX(CASE WHEN bsc.TEN_COT=N'Thuyết minh' AND bsh.MA_HANG = '21' THEN CAST(gt.GIA_TRI AS VARCHAR2(4000)) END) AS "a. Lỗ bán các tài sản tài chính FVTPL",
    MAX(CASE WHEN bsc.TEN_COT=N'Thuyết minh' AND bsh.MA_HANG = '22' THEN CAST(gt.GIA_TRI AS VARCHAR2(4000)) END) AS "b. Chênh lệch giảm đánh giá lại các TSTC FVTPL",
    MAX(CASE WHEN bsc.TEN_COT=N'Thuyết minh' AND bsh.MA_HANG = '23' THEN CAST(gt.GIA_TRI AS VARCHAR2(4000)) END) AS "c. Chi phí giao dịch mua các tài sản tài chính FVTPL",
    MAX(CASE WHEN bsc.TEN_COT=N'Thuyết minh' AND bsh.MA_HANG = '24' THEN CAST(gt.GIA_TRI AS VARCHAR2(4000)) END) AS "d. Chênh lệch tăng đánh do đánh giá lại phải trả chứng quyền đang lưu hành",  -- DB cũ không có chỉ tiêu này
    MAX(CASE WHEN bsc.TEN_COT=N'Thuyết minh' AND bsh.MA_HANG = '25' THEN CAST(gt.GIA_TRI AS VARCHAR2(4000)) END) AS "2.2. Lỗ các khoản đầu tư nắm giữ đến ngày đáo hạn (HTM)",
    MAX(CASE WHEN bsc.TEN_COT=N'Thuyết minh' AND bsh.MA_HANG = '26' THEN CAST(gt.GIA_TRI AS VARCHAR2(4000)) END) AS "2.3. Lỗ và ghi nhận chênh lệch đánh giá theo giá trị hợp lý tài sản tài chính sẵn sàng để bán (AFS) khi phân loại lại",
    MAX(CASE WHEN bsc.TEN_COT=N'Thuyết minh' AND bsh.MA_HANG = '27' THEN CAST(gt.GIA_TRI AS VARCHAR2(4000)) END) AS "2.4. Chi phí dự phòng tài sản tài chính, xử lý tổn thất các khoản phải thu khó đòi và lỗ suy giảm tài sản tài chính và chi phí đi vay của các khoản cho vay",
    MAX(CASE WHEN bsc.TEN_COT=N'Thuyết minh' AND bsh.MA_HANG = '28' THEN CAST(gt.GIA_TRI AS VARCHAR2(4000)) END) AS "2.5. Lỗ từ các tài sản tài chính phái sinh phòng ngừa rủi ro",
    MAX(CASE WHEN bsc.TEN_COT=N'Thuyết minh' AND bsh.MA_HANG = '29' THEN CAST(gt.GIA_TRI AS VARCHAR2(4000)) END) AS "2.6. Chi phí hoạt động tự doanh",
    MAX(CASE WHEN bsc.TEN_COT=N'Thuyết minh' AND bsh.MA_HANG = '30' THEN CAST(gt.GIA_TRI AS VARCHAR2(4000)) END) AS "2.7. Chi phí nghiệp vụ môi giới chứng khoán",
    MAX(CASE WHEN bsc.TEN_COT=N'Thuyết minh' AND bsh.MA_HANG = '31' THEN CAST(gt.GIA_TRI AS VARCHAR2(4000)) END) AS "2.8. Chi phí nghiệp vụ bảo lãnh, đại lý phát hành chứng khoán",
    MAX(CASE WHEN bsc.TEN_COT=N'Thuyết minh' AND bsh.MA_HANG = '32' THEN CAST(gt.GIA_TRI AS VARCHAR2(4000)) END) AS "2.9. Chi phí nghiệp vụ tư vấn đầu tư chứng khoán",
    MAX(CASE WHEN bsc.TEN_COT=N'Thuyết minh' AND bsh.MA_HANG = '33' THEN CAST(gt.GIA_TRI AS VARCHAR2(4000)) END) AS "2.10. Chi phí nghiệp vụ lưu ký chứng khoán",
    MAX(CASE WHEN bsc.TEN_COT=N'Thuyết minh' AND bsh.MA_HANG = '34' THEN CAST(gt.GIA_TRI AS VARCHAR2(4000)) END) AS "2.11. Chi phí hoạt động tư vấn tài chính",
    MAX(CASE WHEN bsc.TEN_COT=N'Thuyết minh' AND bsh.MA_HANG = '35' THEN CAST(gt.GIA_TRI AS VARCHAR2(4000)) END) AS "2.12. Chi phí các dịch vụ khác",
    MAX(CASE WHEN bsc.TEN_COT=N'Thuyết minh' AND bsh.MA_HANG = '36' THEN CAST(gt.GIA_TRI AS VARCHAR2(4000)) END) AS "Cộng chi phí hoạt động (40 = 21 đến 32)",
    MAX(CASE WHEN bsc.TEN_COT=N'Thuyết minh' AND bsh.MA_HANG = '37' THEN CAST(gt.GIA_TRI AS VARCHAR2(4000)) END) AS "III. DOANH THU HOẠT ĐỘNG TÀI CHÍNH",
    MAX(CASE WHEN bsc.TEN_COT=N'Thuyết minh' AND bsh.MA_HANG = '38' THEN CAST(gt.GIA_TRI AS VARCHAR2(4000)) END) AS "3.1. Chênh lệch lãi tỷ giá hối đoái đã và chưa thực hiện",
    MAX(CASE WHEN bsc.TEN_COT=N'Thuyết minh' AND bsh.MA_HANG = '39' THEN CAST(gt.GIA_TRI AS VARCHAR2(4000)) END) AS "3.2. Doanh thu, dự thu cổ tức, lãi tiền gửi ngân hàng không cố định",
    MAX(CASE WHEN bsc.TEN_COT=N'Thuyết minh' AND bsh.MA_HANG = '40' THEN CAST(gt.GIA_TRI AS VARCHAR2(4000)) END) AS "3.3. Lãi bán, thanh lý các khoản đầu tư vào công ty con, liên kết, liên doanh",
    MAX(CASE WHEN bsc.TEN_COT=N'Thuyết minh' AND bsh.MA_HANG = '41' THEN CAST(gt.GIA_TRI AS VARCHAR2(4000)) END) AS "3.4. Doanh thu khác về đầu tư",
    MAX(CASE WHEN bsc.TEN_COT=N'Thuyết minh' AND bsh.MA_HANG = '42' THEN CAST(gt.GIA_TRI AS VARCHAR2(4000)) END) AS "Cộng doanh thu hoạt động tài chính (50 = 41 đến 44)",
    MAX(CASE WHEN bsc.TEN_COT=N'Thuyết minh' AND bsh.MA_HANG = '43' THEN CAST(gt.GIA_TRI AS VARCHAR2(4000)) END) AS "IV. CHI PHÍ TÀI CHÍNH",
    MAX(CASE WHEN bsc.TEN_COT=N'Thuyết minh' AND bsh.MA_HANG = '44' THEN CAST(gt.GIA_TRI AS VARCHAR2(4000)) END) AS "4.1. Chênh lệch lỗ tỷ giá hối đoái đã và chưa thực hiện",
    MAX(CASE WHEN bsc.TEN_COT=N'Thuyết minh' AND bsh.MA_HANG = '45' THEN CAST(gt.GIA_TRI AS VARCHAR2(4000)) END) AS "4.2. Chi phí lãi vay",
    MAX(CASE WHEN bsc.TEN_COT=N'Thuyết minh' AND bsh.MA_HANG = '46' THEN CAST(gt.GIA_TRI AS VARCHAR2(4000)) END) AS "4.3. Lỗ bán, thanh lý các khoản đầu tư vào công ty con, liên kết, liên doanh",
    MAX(CASE WHEN bsc.TEN_COT=N'Thuyết minh' AND bsh.MA_HANG = '47' THEN CAST(gt.GIA_TRI AS VARCHAR2(4000)) END) AS "4.4. Chi phí dự phòng suy giảm giá trị các khoản đầu tư tài chính dài hạn",
    MAX(CASE WHEN bsc.TEN_COT=N'Thuyết minh' AND bsh.MA_HANG = '48' THEN CAST(gt.GIA_TRI AS VARCHAR2(4000)) END) AS "4.5. Chi phí tài chính khác",
    MAX(CASE WHEN bsc.TEN_COT=N'Thuyết minh' AND bsh.MA_HANG = '49' THEN CAST(gt.GIA_TRI AS VARCHAR2(4000)) END) AS "Cộng chi phí tài chính (60 = 51 đến 55)",
    MAX(CASE WHEN bsc.TEN_COT=N'Thuyết minh' AND bsh.MA_HANG = '50' THEN CAST(gt.GIA_TRI AS VARCHAR2(4000)) END) AS "V. CHI PHÍ BÁN HÀNG",
    MAX(CASE WHEN bsc.TEN_COT=N'Thuyết minh' AND bsh.MA_HANG = '51' THEN CAST(gt.GIA_TRI AS VARCHAR2(4000)) END) AS "VI. CHI PHÍ QUẢN LÝ CÔNG TY CHỨNG KHOÁN",
    MAX(CASE WHEN bsc.TEN_COT=N'Thuyết minh' AND bsh.MA_HANG = '52' THEN CAST(gt.GIA_TRI AS VARCHAR2(4000)) END) AS "VII. KẾT QUẢ HOẠT ĐỘNG (70= 20+50-40 -60-61-62)",
    MAX(CASE WHEN bsc.TEN_COT=N'Thuyết minh' AND bsh.MA_HANG = '53' THEN CAST(gt.GIA_TRI AS VARCHAR2(4000)) END) AS "VIII. THU NHẬP KHÁC VÀ CHI PHÍ KHÁC",
    MAX(CASE WHEN bsc.TEN_COT=N'Thuyết minh' AND bsh.MA_HANG = '54' THEN CAST(gt.GIA_TRI AS VARCHAR2(4000)) END) AS "8.1. Thu nhập khác",
    MAX(CASE WHEN bsc.TEN_COT=N'Thuyết minh' AND bsh.MA_HANG = '55' THEN CAST(gt.GIA_TRI AS VARCHAR2(4000)) END) AS "8.2. Chi phí khác",
    MAX(CASE WHEN bsc.TEN_COT=N'Thuyết minh' AND bsh.MA_HANG = '56' THEN CAST(gt.GIA_TRI AS VARCHAR2(4000)) END) AS "Cộng kết quả hoạt động khác (80= 71-72)",
    MAX(CASE WHEN bsc.TEN_COT=N'Thuyết minh' AND bsh.MA_HANG = '57' THEN CAST(gt.GIA_TRI AS VARCHAR2(4000)) END) AS "IX. TỔNG LỢI NHUẬN KẾ TOÁN TRƯỚC THUẾ (90=70 + 80)",
    MAX(CASE WHEN bsc.TEN_COT=N'Thuyết minh' AND bsh.MA_HANG = '58' THEN CAST(gt.GIA_TRI AS VARCHAR2(4000)) END) AS "9.1. Lợi nhuận đã thực hiện",
    MAX(CASE WHEN bsc.TEN_COT=N'Thuyết minh' AND bsh.MA_HANG = '59' THEN CAST(gt.GIA_TRI AS VARCHAR2(4000)) END) AS "9.2. Lợi nhuận chưa thực hiện",
    MAX(CASE WHEN bsc.TEN_COT=N'Thuyết minh' AND bsh.MA_HANG = '60' THEN CAST(gt.GIA_TRI AS VARCHAR2(4000)) END) AS "X. CHI PHÍ THUẾ TNDN",
    MAX(CASE WHEN bsc.TEN_COT=N'Thuyết minh' AND bsh.MA_HANG = '61' THEN CAST(gt.GIA_TRI AS VARCHAR2(4000)) END) AS "10.1.Chi phí thuế TNDN hiện hành",
    MAX(CASE WHEN bsc.TEN_COT=N'Thuyết minh' AND bsh.MA_HANG = '62' THEN CAST(gt.GIA_TRI AS VARCHAR2(4000)) END) AS "10.2.Chi phí thuế TNDN hoãn lại",
    MAX(CASE WHEN bsc.TEN_COT=N'Thuyết minh' AND bsh.MA_HANG = '63' THEN CAST(gt.GIA_TRI AS VARCHAR2(4000)) END) AS "XI. LỢI NHUẬN KẾ TOÁN SAU THUẾ TNDN (200 = 90 - 100)",
    MAX(CASE WHEN bsc.TEN_COT=N'Thuyết minh' AND bsh.MA_HANG = '64' THEN CAST(gt.GIA_TRI AS VARCHAR2(4000)) END) AS "XII. THU NHẬP (LỖ) TOÀN DIỆN KHÁC SAU THUẾ TNDN",
    MAX(CASE WHEN bsc.TEN_COT=N'Thuyết minh' AND bsh.MA_HANG = '65' THEN CAST(gt.GIA_TRI AS VARCHAR2(4000)) END) AS "12.1.Lãi/(Lỗ) từ đánh giá lại các tài sản tài chính sẵn sàng để bán",
    MAX(CASE WHEN bsc.TEN_COT=N'Thuyết minh' AND bsh.MA_HANG = '66' THEN CAST(gt.GIA_TRI AS VARCHAR2(4000)) END) AS "12.2. Lãi/(lỗ) chênh lệch tỷ giá của hoạt động tại nước ngoài",
    MAX(CASE WHEN bsc.TEN_COT=N'Thuyết minh' AND bsh.MA_HANG = '67' THEN CAST(gt.GIA_TRI AS VARCHAR2(4000)) END) AS "12.3. Lãi, lỗ đánh giá lại tài sản cố định theo mô hình giá trị hợp lý",
    MAX(CASE WHEN bsc.TEN_COT=N'Thuyết minh' AND bsh.MA_HANG = '68' THEN CAST(gt.GIA_TRI AS VARCHAR2(4000)) END) AS "12.4. Lãi, lỗ toàn diện khác",
    MAX(CASE WHEN bsc.TEN_COT=N'Thuyết minh' AND bsh.MA_HANG = '69' THEN CAST(gt.GIA_TRI AS VARCHAR2(4000)) END) AS "Tổng thu nhập toàn diện",
    MAX(CASE WHEN bsc.TEN_COT=N'Thuyết minh' AND bsh.MA_HANG = '70' THEN CAST(gt.GIA_TRI AS VARCHAR2(4000)) END) AS "XIII. THU NHẬP THUẦN TRÊN CỔ PHIẾU PHỔ THÔNG",
    MAX(CASE WHEN bsc.TEN_COT=N'Thuyết minh' AND bsh.MA_HANG = '71' THEN CAST(gt.GIA_TRI AS VARCHAR2(4000)) END) AS "13.1.Lãi cơ bản trên cổ phiếu (Đồng/1 cổ phiếu)",
    MAX(CASE WHEN bsc.TEN_COT=N'Thuyết minh' AND bsh.MA_HANG = '72' THEN CAST(gt.GIA_TRI AS VARCHAR2(4000)) END) AS "13.2.Thu nhập pha loãng trên cổ phiếu (Đồng/1 cổ phiếu)",
    -- Năm nay
	MAX(CASE WHEN bsc.TEN_COT=N'Năm nay' AND bsh.MA_HANG = '2' THEN CAST(gt.GIA_TRI AS VARCHAR2(4000)) END) AS "I. DOANH THU HOẠT ĐỘNG",
    MAX(CASE WHEN bsc.TEN_COT=N'Năm nay' AND bsh.MA_HANG = '3' THEN CAST(gt.GIA_TRI AS VARCHAR2(4000)) END) AS "1.1. Lãi từ các tài sản tài chính ghi nhận thông qua lãi/lỗ (FVTPL)",
    MAX(CASE WHEN bsc.TEN_COT=N'Năm nay' AND bsh.MA_HANG = '4' THEN CAST(gt.GIA_TRI AS VARCHAR2(4000)) END) AS "a. Lãi bán các tài sản tài chính FVTPL",
    MAX(CASE WHEN bsc.TEN_COT=N'Năm nay' AND bsh.MA_HANG = '5' THEN CAST(gt.GIA_TRI AS VARCHAR2(4000)) END) AS "b. Chênh lệch tăng về đánh giá lại các TSTC FVTPL",
    MAX(CASE WHEN bsc.TEN_COT=N'Năm nay' AND bsh.MA_HANG = '6' THEN CAST(gt.GIA_TRI AS VARCHAR2(4000)) END) AS "c. Cổ tức, tiền lãi phát sinh từ tài sản tài chính FVTPL",
    MAX(CASE WHEN bsc.TEN_COT=N'Năm nay' AND bsh.MA_HANG = '7' THEN CAST(gt.GIA_TRI AS VARCHAR2(4000)) END) AS "d. Chênh lệch giảm do đánh giá lại phải trả chứng quyền đang lưu hành",  -- DB cũ không có chỉ tiêu này
    MAX(CASE WHEN bsc.TEN_COT=N'Năm nay' AND bsh.MA_HANG = '8' THEN CAST(gt.GIA_TRI AS VARCHAR2(4000)) END) AS "1.2. Lãi từ các khoản đầu tư nắm giữ đến ngày đáo hạn (HTM)",
    MAX(CASE WHEN bsc.TEN_COT=N'Năm nay' AND bsh.MA_HANG = '9' THEN CAST(gt.GIA_TRI AS VARCHAR2(4000)) END) AS "1.3. Lãi từ các khoản cho vay và phải thu",
    MAX(CASE WHEN bsc.TEN_COT=N'Năm nay' AND bsh.MA_HANG = '10' THEN CAST(gt.GIA_TRI AS VARCHAR2(4000)) END) AS "1.4. Lãi từ tài sản tài chính sẵn sàng để bán (AFS)",
    MAX(CASE WHEN bsc.TEN_COT=N'Năm nay' AND bsh.MA_HANG = '11' THEN CAST(gt.GIA_TRI AS VARCHAR2(4000)) END) AS "1.5. Lãi từ các công cụ phái sinh phòng ngừa rủi ro",
    MAX(CASE WHEN bsc.TEN_COT=N'Năm nay' AND bsh.MA_HANG = '12' THEN CAST(gt.GIA_TRI AS VARCHAR2(4000)) END) AS "1.6. Doanh thu nghiệp vụ môi giới chứng khoán",
    MAX(CASE WHEN bsc.TEN_COT=N'Năm nay' AND bsh.MA_HANG = '13' THEN CAST(gt.GIA_TRI AS VARCHAR2(4000)) END) AS "1.7. Doanh thu nghiệp vụ bảo lãnh, đại lý phát hành chứng khoán",
    MAX(CASE WHEN bsc.TEN_COT=N'Năm nay' AND bsh.MA_HANG = '14' THEN CAST(gt.GIA_TRI AS VARCHAR2(4000)) END) AS "1.8. Doanh thu nghiệp vụ tư vấn đầu tư chứng khoán",
    MAX(CASE WHEN bsc.TEN_COT=N'Năm nay' AND bsh.MA_HANG = '15' THEN CAST(gt.GIA_TRI AS VARCHAR2(4000)) END) AS "1.9. Doanh thu nghiệp vụ lưu ký chứng khoán",
    MAX(CASE WHEN bsc.TEN_COT=N'Năm nay' AND bsh.MA_HANG = '16' THEN CAST(gt.GIA_TRI AS VARCHAR2(4000)) END) AS "1.10. Doanh thu hoạt động tư vấn tài chính",
    MAX(CASE WHEN bsc.TEN_COT=N'Năm nay' AND bsh.MA_HANG = '17' THEN CAST(gt.GIA_TRI AS VARCHAR2(4000)) END) AS "1.11. Thu nhập hoạt động khác",
    MAX(CASE WHEN bsc.TEN_COT=N'Năm nay' AND bsh.MA_HANG = '18' THEN CAST(gt.GIA_TRI AS VARCHAR2(4000)) END) AS "Cộng doanh thu hoạt động (20 = 01 đến 11)",
    MAX(CASE WHEN bsc.TEN_COT=N'Năm nay' AND bsh.MA_HANG = '19' THEN CAST(gt.GIA_TRI AS VARCHAR2(4000)) END) AS "II. CHI PHÍ HOẠT ĐỘNG",
    MAX(CASE WHEN bsc.TEN_COT=N'Năm nay' AND bsh.MA_HANG = '20' THEN CAST(gt.GIA_TRI AS VARCHAR2(4000)) END) AS "2.1. Lỗ các tài sản tài chính ghi nhận thông qua lãi/lỗ (FVTPL)",
    MAX(CASE WHEN bsc.TEN_COT=N'Năm nay' AND bsh.MA_HANG = '21' THEN CAST(gt.GIA_TRI AS VARCHAR2(4000)) END) AS "a. Lỗ bán các tài sản tài chính FVTPL",
    MAX(CASE WHEN bsc.TEN_COT=N'Năm nay' AND bsh.MA_HANG = '22' THEN CAST(gt.GIA_TRI AS VARCHAR2(4000)) END) AS "b. Chênh lệch giảm đánh giá lại các TSTC FVTPL",
    MAX(CASE WHEN bsc.TEN_COT=N'Năm nay' AND bsh.MA_HANG = '23' THEN CAST(gt.GIA_TRI AS VARCHAR2(4000)) END) AS "c. Chi phí giao dịch mua các tài sản tài chính FVTPL",
    MAX(CASE WHEN bsc.TEN_COT=N'Năm nay' AND bsh.MA_HANG = '24' THEN CAST(gt.GIA_TRI AS VARCHAR2(4000)) END) AS "d. Chênh lệch tăng đánh do đánh giá lại phải trả chứng quyền đang lưu hành",  -- DB cũ không có chỉ tiêu này
    MAX(CASE WHEN bsc.TEN_COT=N'Năm nay' AND bsh.MA_HANG = '25' THEN CAST(gt.GIA_TRI AS VARCHAR2(4000)) END) AS "2.2. Lỗ các khoản đầu tư nắm giữ đến ngày đáo hạn (HTM)",
    MAX(CASE WHEN bsc.TEN_COT=N'Năm nay' AND bsh.MA_HANG = '26' THEN CAST(gt.GIA_TRI AS VARCHAR2(4000)) END) AS "2.3. Lỗ và ghi nhận chênh lệch đánh giá theo giá trị hợp lý tài sản tài chính sẵn sàng để bán (AFS) khi phân loại lại",
    MAX(CASE WHEN bsc.TEN_COT=N'Năm nay' AND bsh.MA_HANG = '27' THEN CAST(gt.GIA_TRI AS VARCHAR2(4000)) END) AS "2.4. Chi phí dự phòng tài sản tài chính, xử lý tổn thất các khoản phải thu khó đòi và lỗ suy giảm tài sản tài chính và chi phí đi vay của các khoản cho vay",
    MAX(CASE WHEN bsc.TEN_COT=N'Năm nay' AND bsh.MA_HANG = '28' THEN CAST(gt.GIA_TRI AS VARCHAR2(4000)) END) AS "2.5. Lỗ từ các tài sản tài chính phái sinh phòng ngừa rủi ro",
    MAX(CASE WHEN bsc.TEN_COT=N'Năm nay' AND bsh.MA_HANG = '29' THEN CAST(gt.GIA_TRI AS VARCHAR2(4000)) END) AS "2.6. Chi phí hoạt động tự doanh",
    MAX(CASE WHEN bsc.TEN_COT=N'Năm nay' AND bsh.MA_HANG = '30' THEN CAST(gt.GIA_TRI AS VARCHAR2(4000)) END) AS "2.7. Chi phí nghiệp vụ môi giới chứng khoán",
    MAX(CASE WHEN bsc.TEN_COT=N'Năm nay' AND bsh.MA_HANG = '31' THEN CAST(gt.GIA_TRI AS VARCHAR2(4000)) END) AS "2.8. Chi phí nghiệp vụ bảo lãnh, đại lý phát hành chứng khoán",
    MAX(CASE WHEN bsc.TEN_COT=N'Năm nay' AND bsh.MA_HANG = '32' THEN CAST(gt.GIA_TRI AS VARCHAR2(4000)) END) AS "2.9. Chi phí nghiệp vụ tư vấn đầu tư chứng khoán",
    MAX(CASE WHEN bsc.TEN_COT=N'Năm nay' AND bsh.MA_HANG = '33' THEN CAST(gt.GIA_TRI AS VARCHAR2(4000)) END) AS "2.10. Chi phí nghiệp vụ lưu ký chứng khoán",
    MAX(CASE WHEN bsc.TEN_COT=N'Năm nay' AND bsh.MA_HANG = '34' THEN CAST(gt.GIA_TRI AS VARCHAR2(4000)) END) AS "2.11. Chi phí hoạt động tư vấn tài chính",
    MAX(CASE WHEN bsc.TEN_COT=N'Năm nay' AND bsh.MA_HANG = '35' THEN CAST(gt.GIA_TRI AS VARCHAR2(4000)) END) AS "2.12. Chi phí các dịch vụ khác",
    MAX(CASE WHEN bsc.TEN_COT=N'Năm nay' AND bsh.MA_HANG = '36' THEN CAST(gt.GIA_TRI AS VARCHAR2(4000)) END) AS "Cộng chi phí hoạt động (40 = 21 đến 32)",
    MAX(CASE WHEN bsc.TEN_COT=N'Năm nay' AND bsh.MA_HANG = '37' THEN CAST(gt.GIA_TRI AS VARCHAR2(4000)) END) AS "III. DOANH THU HOẠT ĐỘNG TÀI CHÍNH",
    MAX(CASE WHEN bsc.TEN_COT=N'Năm nay' AND bsh.MA_HANG = '38' THEN CAST(gt.GIA_TRI AS VARCHAR2(4000)) END) AS "3.1. Chênh lệch lãi tỷ giá hối đoái đã và chưa thực hiện",
    MAX(CASE WHEN bsc.TEN_COT=N'Năm nay' AND bsh.MA_HANG = '39' THEN CAST(gt.GIA_TRI AS VARCHAR2(4000)) END) AS "3.2. Doanh thu, dự thu cổ tức, lãi tiền gửi ngân hàng không cố định",
    MAX(CASE WHEN bsc.TEN_COT=N'Năm nay' AND bsh.MA_HANG = '40' THEN CAST(gt.GIA_TRI AS VARCHAR2(4000)) END) AS "3.3. Lãi bán, thanh lý các khoản đầu tư vào công ty con, liên kết, liên doanh",
    MAX(CASE WHEN bsc.TEN_COT=N'Năm nay' AND bsh.MA_HANG = '41' THEN CAST(gt.GIA_TRI AS VARCHAR2(4000)) END) AS "3.4. Doanh thu khác về đầu tư",
    MAX(CASE WHEN bsc.TEN_COT=N'Năm nay' AND bsh.MA_HANG = '42' THEN CAST(gt.GIA_TRI AS VARCHAR2(4000)) END) AS "Cộng doanh thu hoạt động tài chính (50 = 41 đến 44)",
    MAX(CASE WHEN bsc.TEN_COT=N'Năm nay' AND bsh.MA_HANG = '43' THEN CAST(gt.GIA_TRI AS VARCHAR2(4000)) END) AS "IV. CHI PHÍ TÀI CHÍNH",
    MAX(CASE WHEN bsc.TEN_COT=N'Năm nay' AND bsh.MA_HANG = '44' THEN CAST(gt.GIA_TRI AS VARCHAR2(4000)) END) AS "4.1. Chênh lệch lỗ tỷ giá hối đoái đã và chưa thực hiện",
    MAX(CASE WHEN bsc.TEN_COT=N'Năm nay' AND bsh.MA_HANG = '45' THEN CAST(gt.GIA_TRI AS VARCHAR2(4000)) END) AS "4.2. Chi phí lãi vay",
    MAX(CASE WHEN bsc.TEN_COT=N'Năm nay' AND bsh.MA_HANG = '46' THEN CAST(gt.GIA_TRI AS VARCHAR2(4000)) END) AS "4.3. Lỗ bán, thanh lý các khoản đầu tư vào công ty con, liên kết, liên doanh",
    MAX(CASE WHEN bsc.TEN_COT=N'Năm nay' AND bsh.MA_HANG = '47' THEN CAST(gt.GIA_TRI AS VARCHAR2(4000)) END) AS "4.4. Chi phí dự phòng suy giảm giá trị các khoản đầu tư tài chính dài hạn",
    MAX(CASE WHEN bsc.TEN_COT=N'Năm nay' AND bsh.MA_HANG = '48' THEN CAST(gt.GIA_TRI AS VARCHAR2(4000)) END) AS "4.5. Chi phí tài chính khác",
    MAX(CASE WHEN bsc.TEN_COT=N'Năm nay' AND bsh.MA_HANG = '49' THEN CAST(gt.GIA_TRI AS VARCHAR2(4000)) END) AS "Cộng chi phí tài chính (60 = 51 đến 55)",
    MAX(CASE WHEN bsc.TEN_COT=N'Năm nay' AND bsh.MA_HANG = '50' THEN CAST(gt.GIA_TRI AS VARCHAR2(4000)) END) AS "V. CHI PHÍ BÁN HÀNG",
    MAX(CASE WHEN bsc.TEN_COT=N'Năm nay' AND bsh.MA_HANG = '51' THEN CAST(gt.GIA_TRI AS VARCHAR2(4000)) END) AS "VI. CHI PHÍ QUẢN LÝ CÔNG TY CHỨNG KHOÁN",
    MAX(CASE WHEN bsc.TEN_COT=N'Năm nay' AND bsh.MA_HANG = '52' THEN CAST(gt.GIA_TRI AS VARCHAR2(4000)) END) AS "VII. KẾT QUẢ HOẠT ĐỘNG (70= 20+50-40 -60-61-62)",
    MAX(CASE WHEN bsc.TEN_COT=N'Năm nay' AND bsh.MA_HANG = '53' THEN CAST(gt.GIA_TRI AS VARCHAR2(4000)) END) AS "VIII. THU NHẬP KHÁC VÀ CHI PHÍ KHÁC",
    MAX(CASE WHEN bsc.TEN_COT=N'Năm nay' AND bsh.MA_HANG = '54' THEN CAST(gt.GIA_TRI AS VARCHAR2(4000)) END) AS "8.1. Thu nhập khác",
    MAX(CASE WHEN bsc.TEN_COT=N'Năm nay' AND bsh.MA_HANG = '55' THEN CAST(gt.GIA_TRI AS VARCHAR2(4000)) END) AS "8.2. Chi phí khác",
    MAX(CASE WHEN bsc.TEN_COT=N'Năm nay' AND bsh.MA_HANG = '56' THEN CAST(gt.GIA_TRI AS VARCHAR2(4000)) END) AS "Cộng kết quả hoạt động khác (80= 71-72)",
    MAX(CASE WHEN bsc.TEN_COT=N'Năm nay' AND bsh.MA_HANG = '57' THEN CAST(gt.GIA_TRI AS VARCHAR2(4000)) END) AS "IX. TỔNG LỢI NHUẬN KẾ TOÁN TRƯỚC THUẾ (90=70 + 80)",
    MAX(CASE WHEN bsc.TEN_COT=N'Năm nay' AND bsh.MA_HANG = '58' THEN CAST(gt.GIA_TRI AS VARCHAR2(4000)) END) AS "9.1. Lợi nhuận đã thực hiện",
    MAX(CASE WHEN bsc.TEN_COT=N'Năm nay' AND bsh.MA_HANG = '59' THEN CAST(gt.GIA_TRI AS VARCHAR2(4000)) END) AS "9.2. Lợi nhuận chưa thực hiện",
    MAX(CASE WHEN bsc.TEN_COT=N'Năm nay' AND bsh.MA_HANG = '60' THEN CAST(gt.GIA_TRI AS VARCHAR2(4000)) END) AS "X. CHI PHÍ THUẾ TNDN",
    MAX(CASE WHEN bsc.TEN_COT=N'Năm nay' AND bsh.MA_HANG = '61' THEN CAST(gt.GIA_TRI AS VARCHAR2(4000)) END) AS "10.1.Chi phí thuế TNDN hiện hành",
    MAX(CASE WHEN bsc.TEN_COT=N'Năm nay' AND bsh.MA_HANG = '62' THEN CAST(gt.GIA_TRI AS VARCHAR2(4000)) END) AS "10.2.Chi phí thuế TNDN hoãn lại",
    MAX(CASE WHEN bsc.TEN_COT=N'Năm nay' AND bsh.MA_HANG = '63' THEN CAST(gt.GIA_TRI AS VARCHAR2(4000)) END) AS "XI. LỢI NHUẬN KẾ TOÁN SAU THUẾ TNDN (200 = 90 - 100)",
    MAX(CASE WHEN bsc.TEN_COT=N'Năm nay' AND bsh.MA_HANG = '64' THEN CAST(gt.GIA_TRI AS VARCHAR2(4000)) END) AS "XII. THU NHẬP (LỖ) TOÀN DIỆN KHÁC SAU THUẾ TNDN",
    MAX(CASE WHEN bsc.TEN_COT=N'Năm nay' AND bsh.MA_HANG = '65' THEN CAST(gt.GIA_TRI AS VARCHAR2(4000)) END) AS "12.1.Lãi/(Lỗ) từ đánh giá lại các tài sản tài chính sẵn sàng để bán",
    MAX(CASE WHEN bsc.TEN_COT=N'Năm nay' AND bsh.MA_HANG = '66' THEN CAST(gt.GIA_TRI AS VARCHAR2(4000)) END) AS "12.2. Lãi/(lỗ) chênh lệch tỷ giá của hoạt động tại nước ngoài",
    MAX(CASE WHEN bsc.TEN_COT=N'Năm nay' AND bsh.MA_HANG = '67' THEN CAST(gt.GIA_TRI AS VARCHAR2(4000)) END) AS "12.3. Lãi, lỗ đánh giá lại tài sản cố định theo mô hình giá trị hợp lý",
    MAX(CASE WHEN bsc.TEN_COT=N'Năm nay' AND bsh.MA_HANG = '68' THEN CAST(gt.GIA_TRI AS VARCHAR2(4000)) END) AS "12.4. Lãi, lỗ toàn diện khác",
    MAX(CASE WHEN bsc.TEN_COT=N'Năm nay' AND bsh.MA_HANG = '69' THEN CAST(gt.GIA_TRI AS VARCHAR2(4000)) END) AS "Tổng thu nhập toàn diện",
    MAX(CASE WHEN bsc.TEN_COT=N'Năm nay' AND bsh.MA_HANG = '70' THEN CAST(gt.GIA_TRI AS VARCHAR2(4000)) END) AS "XIII. THU NHẬP THUẦN TRÊN CỔ PHIẾU PHỔ THÔNG",
    MAX(CASE WHEN bsc.TEN_COT=N'Năm nay' AND bsh.MA_HANG = '71' THEN CAST(gt.GIA_TRI AS VARCHAR2(4000)) END) AS "13.1.Lãi cơ bản trên cổ phiếu (Đồng/1 cổ phiếu)",
    MAX(CASE WHEN bsc.TEN_COT=N'Năm nay' AND bsh.MA_HANG = '72' THEN CAST(gt.GIA_TRI AS VARCHAR2(4000)) END) AS "13.2.Thu nhập pha loãng trên cổ phiếu (Đồng/1 cổ phiếu)",       
    -- Năm trước
	MAX(CASE WHEN bsc.TEN_COT=N'Năm trước' AND bsh.MA_HANG = '2' THEN CAST(gt.GIA_TRI AS VARCHAR2(4000)) END) AS "I. DOANH THU HOẠT ĐỘNG",
    MAX(CASE WHEN bsc.TEN_COT=N'Năm trước' AND bsh.MA_HANG = '3' THEN CAST(gt.GIA_TRI AS VARCHAR2(4000)) END) AS "1.1. Lãi từ các tài sản tài chính ghi nhận thông qua lãi/lỗ (FVTPL)",
    MAX(CASE WHEN bsc.TEN_COT=N'Năm trước' AND bsh.MA_HANG = '4' THEN CAST(gt.GIA_TRI AS VARCHAR2(4000)) END) AS "a. Lãi bán các tài sản tài chính FVTPL",
    MAX(CASE WHEN bsc.TEN_COT=N'Năm trước' AND bsh.MA_HANG = '5' THEN CAST(gt.GIA_TRI AS VARCHAR2(4000)) END) AS "b. Chênh lệch tăng về đánh giá lại các TSTC FVTPL",
    MAX(CASE WHEN bsc.TEN_COT=N'Năm trước' AND bsh.MA_HANG = '6' THEN CAST(gt.GIA_TRI AS VARCHAR2(4000)) END) AS "c. Cổ tức, tiền lãi phát sinh từ tài sản tài chính FVTPL",
    MAX(CASE WHEN bsc.TEN_COT=N'Năm trước' AND bsh.MA_HANG = '7' THEN CAST(gt.GIA_TRI AS VARCHAR2(4000)) END) AS "d. Chênh lệch giảm do đánh giá lại phải trả chứng quyền đang lưu hành",  -- DB cũ không có chỉ tiêu này
    MAX(CASE WHEN bsc.TEN_COT=N'Năm trước' AND bsh.MA_HANG = '8' THEN CAST(gt.GIA_TRI AS VARCHAR2(4000)) END) AS "1.2. Lãi từ các khoản đầu tư nắm giữ đến ngày đáo hạn (HTM)",
    MAX(CASE WHEN bsc.TEN_COT=N'Năm trước' AND bsh.MA_HANG = '9' THEN CAST(gt.GIA_TRI AS VARCHAR2(4000)) END) AS "1.3. Lãi từ các khoản cho vay và phải thu",
    MAX(CASE WHEN bsc.TEN_COT=N'Năm trước' AND bsh.MA_HANG = '10' THEN CAST(gt.GIA_TRI AS VARCHAR2(4000)) END) AS "1.4. Lãi từ tài sản tài chính sẵn sàng để bán (AFS)",
    MAX(CASE WHEN bsc.TEN_COT=N'Năm trước' AND bsh.MA_HANG = '11' THEN CAST(gt.GIA_TRI AS VARCHAR2(4000)) END) AS "1.5. Lãi từ các công cụ phái sinh phòng ngừa rủi ro",
    MAX(CASE WHEN bsc.TEN_COT=N'Năm trước' AND bsh.MA_HANG = '12' THEN CAST(gt.GIA_TRI AS VARCHAR2(4000)) END) AS "1.6. Doanh thu nghiệp vụ môi giới chứng khoán",
    MAX(CASE WHEN bsc.TEN_COT=N'Năm trước' AND bsh.MA_HANG = '13' THEN CAST(gt.GIA_TRI AS VARCHAR2(4000)) END) AS "1.7. Doanh thu nghiệp vụ bảo lãnh, đại lý phát hành chứng khoán",
    MAX(CASE WHEN bsc.TEN_COT=N'Năm trước' AND bsh.MA_HANG = '14' THEN CAST(gt.GIA_TRI AS VARCHAR2(4000)) END) AS "1.8. Doanh thu nghiệp vụ tư vấn đầu tư chứng khoán",
    MAX(CASE WHEN bsc.TEN_COT=N'Năm trước' AND bsh.MA_HANG = '15' THEN CAST(gt.GIA_TRI AS VARCHAR2(4000)) END) AS "1.9. Doanh thu nghiệp vụ lưu ký chứng khoán",
    MAX(CASE WHEN bsc.TEN_COT=N'Năm trước' AND bsh.MA_HANG = '16' THEN CAST(gt.GIA_TRI AS VARCHAR2(4000)) END) AS "1.10. Doanh thu hoạt động tư vấn tài chính",
    MAX(CASE WHEN bsc.TEN_COT=N'Năm trước' AND bsh.MA_HANG = '17' THEN CAST(gt.GIA_TRI AS VARCHAR2(4000)) END) AS "1.11. Thu nhập hoạt động khác",
    MAX(CASE WHEN bsc.TEN_COT=N'Năm trước' AND bsh.MA_HANG = '18' THEN CAST(gt.GIA_TRI AS VARCHAR2(4000)) END) AS "Cộng doanh thu hoạt động (20 = 01 đến 11)",
    MAX(CASE WHEN bsc.TEN_COT=N'Năm trước' AND bsh.MA_HANG = '19' THEN CAST(gt.GIA_TRI AS VARCHAR2(4000)) END) AS "II. CHI PHÍ HOẠT ĐỘNG",
    MAX(CASE WHEN bsc.TEN_COT=N'Năm trước' AND bsh.MA_HANG = '20' THEN CAST(gt.GIA_TRI AS VARCHAR2(4000)) END) AS "2.1. Lỗ các tài sản tài chính ghi nhận thông qua lãi/lỗ (FVTPL)",
    MAX(CASE WHEN bsc.TEN_COT=N'Năm trước' AND bsh.MA_HANG = '21' THEN CAST(gt.GIA_TRI AS VARCHAR2(4000)) END) AS "a. Lỗ bán các tài sản tài chính FVTPL",
    MAX(CASE WHEN bsc.TEN_COT=N'Năm trước' AND bsh.MA_HANG = '22' THEN CAST(gt.GIA_TRI AS VARCHAR2(4000)) END) AS "b. Chênh lệch giảm đánh giá lại các TSTC FVTPL",
    MAX(CASE WHEN bsc.TEN_COT=N'Năm trước' AND bsh.MA_HANG = '23' THEN CAST(gt.GIA_TRI AS VARCHAR2(4000)) END) AS "c. Chi phí giao dịch mua các tài sản tài chính FVTPL",
    MAX(CASE WHEN bsc.TEN_COT=N'Năm trước' AND bsh.MA_HANG = '24' THEN CAST(gt.GIA_TRI AS VARCHAR2(4000)) END) AS "d. Chênh lệch tăng đánh do đánh giá lại phải trả chứng quyền đang lưu hành",  -- DB cũ không có chỉ tiêu này
    MAX(CASE WHEN bsc.TEN_COT=N'Năm trước' AND bsh.MA_HANG = '25' THEN CAST(gt.GIA_TRI AS VARCHAR2(4000)) END) AS "2.2. Lỗ các khoản đầu tư nắm giữ đến ngày đáo hạn (HTM)",
    MAX(CASE WHEN bsc.TEN_COT=N'Năm trước' AND bsh.MA_HANG = '26' THEN CAST(gt.GIA_TRI AS VARCHAR2(4000)) END) AS "2.3. Lỗ và ghi nhận chênh lệch đánh giá theo giá trị hợp lý tài sản tài chính sẵn sàng để bán (AFS) khi phân loại lại",
    MAX(CASE WHEN bsc.TEN_COT=N'Năm trước' AND bsh.MA_HANG = '27' THEN CAST(gt.GIA_TRI AS VARCHAR2(4000)) END) AS "2.4. Chi phí dự phòng tài sản tài chính, xử lý tổn thất các khoản phải thu khó đòi và lỗ suy giảm tài sản tài chính và chi phí đi vay của các khoản cho vay",
    MAX(CASE WHEN bsc.TEN_COT=N'Năm trước' AND bsh.MA_HANG = '28' THEN CAST(gt.GIA_TRI AS VARCHAR2(4000)) END) AS "2.5. Lỗ từ các tài sản tài chính phái sinh phòng ngừa rủi ro",
    MAX(CASE WHEN bsc.TEN_COT=N'Năm trước' AND bsh.MA_HANG = '29' THEN CAST(gt.GIA_TRI AS VARCHAR2(4000)) END) AS "2.6. Chi phí hoạt động tự doanh",
    MAX(CASE WHEN bsc.TEN_COT=N'Năm trước' AND bsh.MA_HANG = '30' THEN CAST(gt.GIA_TRI AS VARCHAR2(4000)) END) AS "2.7. Chi phí nghiệp vụ môi giới chứng khoán",
    MAX(CASE WHEN bsc.TEN_COT=N'Năm trước' AND bsh.MA_HANG = '31' THEN CAST(gt.GIA_TRI AS VARCHAR2(4000)) END) AS "2.8. Chi phí nghiệp vụ bảo lãnh, đại lý phát hành chứng khoán",
    MAX(CASE WHEN bsc.TEN_COT=N'Năm trước' AND bsh.MA_HANG = '32' THEN CAST(gt.GIA_TRI AS VARCHAR2(4000)) END) AS "2.9. Chi phí nghiệp vụ tư vấn đầu tư chứng khoán",
    MAX(CASE WHEN bsc.TEN_COT=N'Năm trước' AND bsh.MA_HANG = '33' THEN CAST(gt.GIA_TRI AS VARCHAR2(4000)) END) AS "2.10. Chi phí nghiệp vụ lưu ký chứng khoán",
    MAX(CASE WHEN bsc.TEN_COT=N'Năm trước' AND bsh.MA_HANG = '34' THEN CAST(gt.GIA_TRI AS VARCHAR2(4000)) END) AS "2.11. Chi phí hoạt động tư vấn tài chính",
    MAX(CASE WHEN bsc.TEN_COT=N'Năm trước' AND bsh.MA_HANG = '35' THEN CAST(gt.GIA_TRI AS VARCHAR2(4000)) END) AS "2.12. Chi phí các dịch vụ khác",
    MAX(CASE WHEN bsc.TEN_COT=N'Năm trước' AND bsh.MA_HANG = '36' THEN CAST(gt.GIA_TRI AS VARCHAR2(4000)) END) AS "Cộng chi phí hoạt động (40 = 21 đến 32)",
    MAX(CASE WHEN bsc.TEN_COT=N'Năm trước' AND bsh.MA_HANG = '37' THEN CAST(gt.GIA_TRI AS VARCHAR2(4000)) END) AS "III. DOANH THU HOẠT ĐỘNG TÀI CHÍNH",
    MAX(CASE WHEN bsc.TEN_COT=N'Năm trước' AND bsh.MA_HANG = '38' THEN CAST(gt.GIA_TRI AS VARCHAR2(4000)) END) AS "3.1. Chênh lệch lãi tỷ giá hối đoái đã và chưa thực hiện",
    MAX(CASE WHEN bsc.TEN_COT=N'Năm trước' AND bsh.MA_HANG = '39' THEN CAST(gt.GIA_TRI AS VARCHAR2(4000)) END) AS "3.2. Doanh thu, dự thu cổ tức, lãi tiền gửi ngân hàng không cố định",
    MAX(CASE WHEN bsc.TEN_COT=N'Năm trước' AND bsh.MA_HANG = '40' THEN CAST(gt.GIA_TRI AS VARCHAR2(4000)) END) AS "3.3. Lãi bán, thanh lý các khoản đầu tư vào công ty con, liên kết, liên doanh",
    MAX(CASE WHEN bsc.TEN_COT=N'Năm trước' AND bsh.MA_HANG = '41' THEN CAST(gt.GIA_TRI AS VARCHAR2(4000)) END) AS "3.4. Doanh thu khác về đầu tư",
    MAX(CASE WHEN bsc.TEN_COT=N'Năm trước' AND bsh.MA_HANG = '42' THEN CAST(gt.GIA_TRI AS VARCHAR2(4000)) END) AS "Cộng doanh thu hoạt động tài chính (50 = 41 đến 44)",
    MAX(CASE WHEN bsc.TEN_COT=N'Năm trước' AND bsh.MA_HANG = '43' THEN CAST(gt.GIA_TRI AS VARCHAR2(4000)) END) AS "IV. CHI PHÍ TÀI CHÍNH",
    MAX(CASE WHEN bsc.TEN_COT=N'Năm trước' AND bsh.MA_HANG = '44' THEN CAST(gt.GIA_TRI AS VARCHAR2(4000)) END) AS "4.1. Chênh lệch lỗ tỷ giá hối đoái đã và chưa thực hiện",
    MAX(CASE WHEN bsc.TEN_COT=N'Năm trước' AND bsh.MA_HANG = '45' THEN CAST(gt.GIA_TRI AS VARCHAR2(4000)) END) AS "4.2. Chi phí lãi vay",
    MAX(CASE WHEN bsc.TEN_COT=N'Năm trước' AND bsh.MA_HANG = '46' THEN CAST(gt.GIA_TRI AS VARCHAR2(4000)) END) AS "4.3. Lỗ bán, thanh lý các khoản đầu tư vào công ty con, liên kết, liên doanh",
    MAX(CASE WHEN bsc.TEN_COT=N'Năm trước' AND bsh.MA_HANG = '47' THEN CAST(gt.GIA_TRI AS VARCHAR2(4000)) END) AS "4.4. Chi phí dự phòng suy giảm giá trị các khoản đầu tư tài chính dài hạn",
    MAX(CASE WHEN bsc.TEN_COT=N'Năm trước' AND bsh.MA_HANG = '48' THEN CAST(gt.GIA_TRI AS VARCHAR2(4000)) END) AS "4.5. Chi phí tài chính khác",
    MAX(CASE WHEN bsc.TEN_COT=N'Năm trước' AND bsh.MA_HANG = '49' THEN CAST(gt.GIA_TRI AS VARCHAR2(4000)) END) AS "Cộng chi phí tài chính (60 = 51 đến 55)",
    MAX(CASE WHEN bsc.TEN_COT=N'Năm trước' AND bsh.MA_HANG = '50' THEN CAST(gt.GIA_TRI AS VARCHAR2(4000)) END) AS "V. CHI PHÍ BÁN HÀNG",
    MAX(CASE WHEN bsc.TEN_COT=N'Năm trước' AND bsh.MA_HANG = '51' THEN CAST(gt.GIA_TRI AS VARCHAR2(4000)) END) AS "VI. CHI PHÍ QUẢN LÝ CÔNG TY CHỨNG KHOÁN",
    MAX(CASE WHEN bsc.TEN_COT=N'Năm trước' AND bsh.MA_HANG = '52' THEN CAST(gt.GIA_TRI AS VARCHAR2(4000)) END) AS "VII. KẾT QUẢ HOẠT ĐỘNG (70= 20+50-40 -60-61-62)",
    MAX(CASE WHEN bsc.TEN_COT=N'Năm trước' AND bsh.MA_HANG = '53' THEN CAST(gt.GIA_TRI AS VARCHAR2(4000)) END) AS "VIII. THU NHẬP KHÁC VÀ CHI PHÍ KHÁC",
    MAX(CASE WHEN bsc.TEN_COT=N'Năm trước' AND bsh.MA_HANG = '54' THEN CAST(gt.GIA_TRI AS VARCHAR2(4000)) END) AS "8.1. Thu nhập khác",
    MAX(CASE WHEN bsc.TEN_COT=N'Năm trước' AND bsh.MA_HANG = '55' THEN CAST(gt.GIA_TRI AS VARCHAR2(4000)) END) AS "8.2. Chi phí khác",
    MAX(CASE WHEN bsc.TEN_COT=N'Năm trước' AND bsh.MA_HANG </t>
        </is>
      </c>
      <c r="U3263" s="401" t="n"/>
      <c r="V3263" s="22" t="n"/>
      <c r="W3263" s="22" t="n"/>
      <c r="X3263" s="22" t="n"/>
      <c r="Y3263" s="13" t="n"/>
      <c r="Z3263" s="22" t="n"/>
      <c r="AA3263" s="22" t="n"/>
      <c r="AB3263" s="22" t="n"/>
      <c r="AC3263" s="22" t="n"/>
      <c r="AD3263" s="22" t="n"/>
      <c r="AE3263" s="22" t="n"/>
    </row>
    <row r="3264" ht="98" customHeight="1" s="380">
      <c r="A3264" s="144" t="n">
        <v>125</v>
      </c>
      <c r="B3264" s="390" t="n"/>
      <c r="C3264" s="390" t="inlineStr">
        <is>
          <t>Báo cáo tài chính quý, soát xét bán niên, kiểm toán năm - Chi nhánh công ty chứng khoán nước ngoài tại Việt Nam &gt;&gt; Báo cáo kết quả hoạt động riêng</t>
        </is>
      </c>
      <c r="D3264" s="390" t="inlineStr">
        <is>
          <t>1.1. Lãi từ các tài sản tài chính ghi nhận thông qua lãi/lỗ (FVTPL)</t>
        </is>
      </c>
      <c r="E3264" s="390" t="n">
        <v>1</v>
      </c>
      <c r="F3264" s="390" t="inlineStr">
        <is>
          <t>Data Explorer</t>
        </is>
      </c>
      <c r="G3264" s="390" t="inlineStr">
        <is>
          <t>Chỉ tiêu cơ sở</t>
        </is>
      </c>
      <c r="H3264" s="390" t="inlineStr">
        <is>
          <t>Dễ</t>
        </is>
      </c>
      <c r="I3264" s="390" t="inlineStr">
        <is>
          <t>Ngày, CTCK</t>
        </is>
      </c>
      <c r="J3264" s="401" t="inlineStr">
        <is>
          <t>SCMS</t>
        </is>
      </c>
      <c r="K3264" s="401" t="n"/>
      <c r="L3264" s="401" t="inlineStr">
        <is>
          <t>X</t>
        </is>
      </c>
      <c r="M3264" s="401" t="n"/>
      <c r="N3264" s="401" t="inlineStr">
        <is>
          <t>Done</t>
        </is>
      </c>
      <c r="O3264" s="401" t="n"/>
      <c r="P3264" s="401" t="n"/>
      <c r="S3264" s="401" t="n"/>
      <c r="U3264" s="401" t="n"/>
      <c r="V3264" s="22" t="n"/>
      <c r="W3264" s="22" t="n"/>
      <c r="X3264" s="22" t="n"/>
      <c r="Y3264" s="13" t="n"/>
      <c r="Z3264" s="22" t="n"/>
      <c r="AA3264" s="22" t="n"/>
      <c r="AB3264" s="22" t="n"/>
      <c r="AC3264" s="22" t="n"/>
      <c r="AD3264" s="22" t="n"/>
      <c r="AE3264" s="22" t="n"/>
    </row>
    <row r="3265" ht="98" customHeight="1" s="380">
      <c r="A3265" s="144" t="n">
        <v>125</v>
      </c>
      <c r="B3265" s="390" t="n"/>
      <c r="C3265" s="390" t="inlineStr">
        <is>
          <t>Báo cáo tài chính quý, soát xét bán niên, kiểm toán năm - Chi nhánh công ty chứng khoán nước ngoài tại Việt Nam &gt;&gt; Báo cáo kết quả hoạt động riêng</t>
        </is>
      </c>
      <c r="D3265" s="390" t="inlineStr">
        <is>
          <t>a. Lãi bán các tài sản tài chính FVTPL</t>
        </is>
      </c>
      <c r="E3265" s="390" t="n">
        <v>1.1</v>
      </c>
      <c r="F3265" s="390" t="inlineStr">
        <is>
          <t>Data Explorer</t>
        </is>
      </c>
      <c r="G3265" s="390" t="inlineStr">
        <is>
          <t>Chỉ tiêu cơ sở</t>
        </is>
      </c>
      <c r="H3265" s="390" t="inlineStr">
        <is>
          <t>Dễ</t>
        </is>
      </c>
      <c r="I3265" s="390" t="inlineStr">
        <is>
          <t>Ngày, CTCK</t>
        </is>
      </c>
      <c r="J3265" s="401" t="inlineStr">
        <is>
          <t>SCMS</t>
        </is>
      </c>
      <c r="K3265" s="401" t="n"/>
      <c r="L3265" s="401" t="inlineStr">
        <is>
          <t>X</t>
        </is>
      </c>
      <c r="M3265" s="401" t="n"/>
      <c r="N3265" s="401" t="inlineStr">
        <is>
          <t>Done</t>
        </is>
      </c>
      <c r="O3265" s="401" t="n"/>
      <c r="P3265" s="401" t="n"/>
      <c r="S3265" s="401" t="n"/>
      <c r="U3265" s="401" t="n"/>
      <c r="V3265" s="22" t="n"/>
      <c r="W3265" s="22" t="n"/>
      <c r="X3265" s="22" t="n"/>
      <c r="Y3265" s="13" t="n"/>
      <c r="Z3265" s="22" t="n"/>
      <c r="AA3265" s="22" t="n"/>
      <c r="AB3265" s="22" t="n"/>
      <c r="AC3265" s="22" t="n"/>
      <c r="AD3265" s="22" t="n"/>
      <c r="AE3265" s="22" t="n"/>
    </row>
    <row r="3266" ht="98" customHeight="1" s="380">
      <c r="A3266" s="144" t="n">
        <v>125</v>
      </c>
      <c r="B3266" s="390" t="n"/>
      <c r="C3266" s="390" t="inlineStr">
        <is>
          <t>Báo cáo tài chính quý, soát xét bán niên, kiểm toán năm - Chi nhánh công ty chứng khoán nước ngoài tại Việt Nam &gt;&gt; Báo cáo kết quả hoạt động riêng</t>
        </is>
      </c>
      <c r="D3266" s="390" t="inlineStr">
        <is>
          <t xml:space="preserve">b. Chênh lệch tăng về đánh giá lại các TSTC FVTPL </t>
        </is>
      </c>
      <c r="E3266" s="390" t="n">
        <v>1.2</v>
      </c>
      <c r="F3266" s="390" t="inlineStr">
        <is>
          <t>Data Explorer</t>
        </is>
      </c>
      <c r="G3266" s="390" t="inlineStr">
        <is>
          <t>Chỉ tiêu cơ sở</t>
        </is>
      </c>
      <c r="H3266" s="390" t="inlineStr">
        <is>
          <t>Dễ</t>
        </is>
      </c>
      <c r="I3266" s="390" t="inlineStr">
        <is>
          <t>Ngày, CTCK</t>
        </is>
      </c>
      <c r="J3266" s="401" t="inlineStr">
        <is>
          <t>SCMS</t>
        </is>
      </c>
      <c r="K3266" s="401" t="n"/>
      <c r="L3266" s="401" t="inlineStr">
        <is>
          <t>X</t>
        </is>
      </c>
      <c r="M3266" s="401" t="n"/>
      <c r="N3266" s="401" t="inlineStr">
        <is>
          <t>Done</t>
        </is>
      </c>
      <c r="O3266" s="401" t="n"/>
      <c r="P3266" s="401" t="n"/>
      <c r="S3266" s="401" t="n"/>
      <c r="U3266" s="401" t="n"/>
      <c r="V3266" s="22" t="n"/>
      <c r="W3266" s="22" t="n"/>
      <c r="X3266" s="22" t="n"/>
      <c r="Y3266" s="13" t="n"/>
      <c r="Z3266" s="22" t="n"/>
      <c r="AA3266" s="22" t="n"/>
      <c r="AB3266" s="22" t="n"/>
      <c r="AC3266" s="22" t="n"/>
      <c r="AD3266" s="22" t="n"/>
      <c r="AE3266" s="22" t="n"/>
    </row>
    <row r="3267" ht="98" customHeight="1" s="380">
      <c r="A3267" s="144" t="n">
        <v>125</v>
      </c>
      <c r="B3267" s="390" t="n"/>
      <c r="C3267" s="390" t="inlineStr">
        <is>
          <t>Báo cáo tài chính quý, soát xét bán niên, kiểm toán năm - Chi nhánh công ty chứng khoán nước ngoài tại Việt Nam &gt;&gt; Báo cáo kết quả hoạt động riêng</t>
        </is>
      </c>
      <c r="D3267" s="390" t="inlineStr">
        <is>
          <t>c. Cổ tức, tiền lãi phát sinh từ tài sản tài chính FVTPL</t>
        </is>
      </c>
      <c r="E3267" s="390" t="n">
        <v>1.3</v>
      </c>
      <c r="F3267" s="390" t="inlineStr">
        <is>
          <t>Data Explorer</t>
        </is>
      </c>
      <c r="G3267" s="390" t="inlineStr">
        <is>
          <t>Chỉ tiêu cơ sở</t>
        </is>
      </c>
      <c r="H3267" s="390" t="inlineStr">
        <is>
          <t>Dễ</t>
        </is>
      </c>
      <c r="I3267" s="390" t="inlineStr">
        <is>
          <t>Ngày, CTCK</t>
        </is>
      </c>
      <c r="J3267" s="401" t="inlineStr">
        <is>
          <t>SCMS</t>
        </is>
      </c>
      <c r="K3267" s="401" t="n"/>
      <c r="L3267" s="401" t="inlineStr">
        <is>
          <t>X</t>
        </is>
      </c>
      <c r="M3267" s="401" t="n"/>
      <c r="N3267" s="401" t="inlineStr">
        <is>
          <t>Done</t>
        </is>
      </c>
      <c r="O3267" s="401" t="n"/>
      <c r="P3267" s="401" t="n"/>
      <c r="S3267" s="401" t="n"/>
      <c r="U3267" s="401" t="n"/>
      <c r="V3267" s="22" t="n"/>
      <c r="W3267" s="22" t="n"/>
      <c r="X3267" s="22" t="n"/>
      <c r="Y3267" s="13" t="n"/>
      <c r="Z3267" s="22" t="n"/>
      <c r="AA3267" s="22" t="n"/>
      <c r="AB3267" s="22" t="n"/>
      <c r="AC3267" s="22" t="n"/>
      <c r="AD3267" s="22" t="n"/>
      <c r="AE3267" s="22" t="n"/>
    </row>
    <row r="3268" ht="98" customHeight="1" s="380">
      <c r="A3268" s="144" t="n">
        <v>125</v>
      </c>
      <c r="B3268" s="390" t="n"/>
      <c r="C3268" s="390" t="inlineStr">
        <is>
          <t>Báo cáo tài chính quý, soát xét bán niên, kiểm toán năm - Chi nhánh công ty chứng khoán nước ngoài tại Việt Nam &gt;&gt; Báo cáo kết quả hoạt động riêng</t>
        </is>
      </c>
      <c r="D3268" s="390" t="inlineStr">
        <is>
          <t>d. Chênh lệch giảm do đánh giá lại phải trả chứng quyền đang lưu hành</t>
        </is>
      </c>
      <c r="E3268" s="390" t="inlineStr">
        <is>
          <t>1,4</t>
        </is>
      </c>
      <c r="F3268" s="390" t="inlineStr">
        <is>
          <t>Data Explorer</t>
        </is>
      </c>
      <c r="G3268" s="390" t="inlineStr">
        <is>
          <t>Chỉ tiêu cơ sở</t>
        </is>
      </c>
      <c r="H3268" s="390" t="inlineStr">
        <is>
          <t>Dễ</t>
        </is>
      </c>
      <c r="I3268" s="390" t="inlineStr">
        <is>
          <t>Ngày, CTCK</t>
        </is>
      </c>
      <c r="J3268" s="401" t="inlineStr">
        <is>
          <t>SCMS</t>
        </is>
      </c>
      <c r="K3268" s="401" t="n"/>
      <c r="L3268" s="401" t="inlineStr">
        <is>
          <t>X</t>
        </is>
      </c>
      <c r="M3268" s="401" t="n"/>
      <c r="N3268" s="401" t="inlineStr">
        <is>
          <t>Pending</t>
        </is>
      </c>
      <c r="O3268" s="401" t="n"/>
      <c r="P3268" s="401" t="n"/>
      <c r="S3268" s="401" t="n"/>
      <c r="U3268" s="82" t="inlineStr">
        <is>
          <t>DB cũ không có chỉ tiêu này</t>
        </is>
      </c>
      <c r="V3268" s="22" t="n"/>
      <c r="W3268" s="22" t="n"/>
      <c r="X3268" s="22" t="n"/>
      <c r="Y3268" s="38" t="n"/>
      <c r="Z3268" s="22" t="n"/>
      <c r="AA3268" s="22" t="n"/>
      <c r="AB3268" s="22" t="n"/>
      <c r="AC3268" s="22" t="n"/>
      <c r="AD3268" s="22" t="n"/>
      <c r="AE3268" s="22" t="n"/>
    </row>
    <row r="3269" ht="98" customHeight="1" s="380">
      <c r="A3269" s="144" t="n">
        <v>125</v>
      </c>
      <c r="B3269" s="390" t="n"/>
      <c r="C3269" s="390" t="inlineStr">
        <is>
          <t>Báo cáo tài chính quý, soát xét bán niên, kiểm toán năm - Chi nhánh công ty chứng khoán nước ngoài tại Việt Nam &gt;&gt; Báo cáo kết quả hoạt động riêng</t>
        </is>
      </c>
      <c r="D3269" s="390" t="inlineStr">
        <is>
          <t>1.2. Lãi từ các khoản đầu tư nắm giữ đến ngày đáo hạn (HTM)</t>
        </is>
      </c>
      <c r="E3269" s="390" t="n">
        <v>2</v>
      </c>
      <c r="F3269" s="390" t="inlineStr">
        <is>
          <t>Data Explorer</t>
        </is>
      </c>
      <c r="G3269" s="390" t="inlineStr">
        <is>
          <t>Chỉ tiêu cơ sở</t>
        </is>
      </c>
      <c r="H3269" s="390" t="inlineStr">
        <is>
          <t>Dễ</t>
        </is>
      </c>
      <c r="I3269" s="390" t="inlineStr">
        <is>
          <t>Ngày, CTCK</t>
        </is>
      </c>
      <c r="J3269" s="401" t="inlineStr">
        <is>
          <t>SCMS</t>
        </is>
      </c>
      <c r="K3269" s="401" t="n"/>
      <c r="L3269" s="401" t="inlineStr">
        <is>
          <t>X</t>
        </is>
      </c>
      <c r="M3269" s="401" t="n"/>
      <c r="N3269" s="401" t="inlineStr">
        <is>
          <t>Done</t>
        </is>
      </c>
      <c r="O3269" s="401" t="n"/>
      <c r="P3269" s="401" t="n"/>
      <c r="S3269" s="401" t="n"/>
      <c r="U3269" s="401" t="n"/>
      <c r="V3269" s="22" t="n"/>
      <c r="W3269" s="22" t="n"/>
      <c r="X3269" s="22" t="n"/>
      <c r="Y3269" s="13" t="n"/>
      <c r="Z3269" s="22" t="n"/>
      <c r="AA3269" s="22" t="n"/>
      <c r="AB3269" s="22" t="n"/>
      <c r="AC3269" s="22" t="n"/>
      <c r="AD3269" s="22" t="n"/>
      <c r="AE3269" s="22" t="n"/>
    </row>
    <row r="3270" ht="98" customHeight="1" s="380">
      <c r="A3270" s="144" t="n">
        <v>125</v>
      </c>
      <c r="B3270" s="390" t="n"/>
      <c r="C3270" s="390" t="inlineStr">
        <is>
          <t>Báo cáo tài chính quý, soát xét bán niên, kiểm toán năm - Chi nhánh công ty chứng khoán nước ngoài tại Việt Nam &gt;&gt; Báo cáo kết quả hoạt động riêng</t>
        </is>
      </c>
      <c r="D3270" s="390" t="inlineStr">
        <is>
          <t>1.3. Lãi từ các khoản cho vay và phải thu</t>
        </is>
      </c>
      <c r="E3270" s="390" t="n">
        <v>3</v>
      </c>
      <c r="F3270" s="390" t="inlineStr">
        <is>
          <t>Data Explorer</t>
        </is>
      </c>
      <c r="G3270" s="390" t="inlineStr">
        <is>
          <t>Chỉ tiêu cơ sở</t>
        </is>
      </c>
      <c r="H3270" s="390" t="inlineStr">
        <is>
          <t>Dễ</t>
        </is>
      </c>
      <c r="I3270" s="390" t="inlineStr">
        <is>
          <t>Ngày, CTCK</t>
        </is>
      </c>
      <c r="J3270" s="401" t="inlineStr">
        <is>
          <t>SCMS</t>
        </is>
      </c>
      <c r="K3270" s="401" t="n"/>
      <c r="L3270" s="401" t="inlineStr">
        <is>
          <t>X</t>
        </is>
      </c>
      <c r="M3270" s="401" t="n"/>
      <c r="N3270" s="401" t="inlineStr">
        <is>
          <t>Done</t>
        </is>
      </c>
      <c r="O3270" s="401" t="n"/>
      <c r="P3270" s="401" t="n"/>
      <c r="S3270" s="401" t="n"/>
      <c r="U3270" s="401" t="n"/>
      <c r="V3270" s="22" t="n"/>
      <c r="W3270" s="22" t="n"/>
      <c r="X3270" s="22" t="n"/>
      <c r="Y3270" s="13" t="n"/>
      <c r="Z3270" s="22" t="n"/>
      <c r="AA3270" s="22" t="n"/>
      <c r="AB3270" s="22" t="n"/>
      <c r="AC3270" s="22" t="n"/>
      <c r="AD3270" s="22" t="n"/>
      <c r="AE3270" s="22" t="n"/>
    </row>
    <row r="3271" ht="98" customHeight="1" s="380">
      <c r="A3271" s="144" t="n">
        <v>125</v>
      </c>
      <c r="B3271" s="390" t="n"/>
      <c r="C3271" s="390" t="inlineStr">
        <is>
          <t>Báo cáo tài chính quý, soát xét bán niên, kiểm toán năm - Chi nhánh công ty chứng khoán nước ngoài tại Việt Nam &gt;&gt; Báo cáo kết quả hoạt động riêng</t>
        </is>
      </c>
      <c r="D3271" s="390" t="inlineStr">
        <is>
          <t>1.4. Lãi từ tài sản tài chính sẵn sàng để bán (AFS)</t>
        </is>
      </c>
      <c r="E3271" s="390" t="n">
        <v>4</v>
      </c>
      <c r="F3271" s="390" t="inlineStr">
        <is>
          <t>Data Explorer</t>
        </is>
      </c>
      <c r="G3271" s="390" t="inlineStr">
        <is>
          <t>Chỉ tiêu cơ sở</t>
        </is>
      </c>
      <c r="H3271" s="390" t="inlineStr">
        <is>
          <t>Dễ</t>
        </is>
      </c>
      <c r="I3271" s="390" t="inlineStr">
        <is>
          <t>Ngày, CTCK</t>
        </is>
      </c>
      <c r="J3271" s="401" t="inlineStr">
        <is>
          <t>SCMS</t>
        </is>
      </c>
      <c r="K3271" s="401" t="n"/>
      <c r="L3271" s="401" t="inlineStr">
        <is>
          <t>X</t>
        </is>
      </c>
      <c r="M3271" s="401" t="n"/>
      <c r="N3271" s="401" t="inlineStr">
        <is>
          <t>Done</t>
        </is>
      </c>
      <c r="O3271" s="401" t="n"/>
      <c r="P3271" s="401" t="n"/>
      <c r="S3271" s="401" t="n"/>
      <c r="U3271" s="401" t="n"/>
      <c r="V3271" s="22" t="n"/>
      <c r="W3271" s="22" t="n"/>
      <c r="X3271" s="22" t="n"/>
      <c r="Y3271" s="13" t="n"/>
      <c r="Z3271" s="22" t="n"/>
      <c r="AA3271" s="22" t="n"/>
      <c r="AB3271" s="22" t="n"/>
      <c r="AC3271" s="22" t="n"/>
      <c r="AD3271" s="22" t="n"/>
      <c r="AE3271" s="22" t="n"/>
    </row>
    <row r="3272" ht="98" customHeight="1" s="380">
      <c r="A3272" s="144" t="n">
        <v>125</v>
      </c>
      <c r="B3272" s="390" t="n"/>
      <c r="C3272" s="390" t="inlineStr">
        <is>
          <t>Báo cáo tài chính quý, soát xét bán niên, kiểm toán năm - Chi nhánh công ty chứng khoán nước ngoài tại Việt Nam &gt;&gt; Báo cáo kết quả hoạt động riêng</t>
        </is>
      </c>
      <c r="D3272" s="390" t="inlineStr">
        <is>
          <t>1.5. Lãi từ các công cụ phái sinh phòng ngừa rủi ro</t>
        </is>
      </c>
      <c r="E3272" s="390" t="n">
        <v>5</v>
      </c>
      <c r="F3272" s="390" t="inlineStr">
        <is>
          <t>Data Explorer</t>
        </is>
      </c>
      <c r="G3272" s="390" t="inlineStr">
        <is>
          <t>Chỉ tiêu cơ sở</t>
        </is>
      </c>
      <c r="H3272" s="390" t="inlineStr">
        <is>
          <t>Dễ</t>
        </is>
      </c>
      <c r="I3272" s="390" t="inlineStr">
        <is>
          <t>Ngày, CTCK</t>
        </is>
      </c>
      <c r="J3272" s="401" t="inlineStr">
        <is>
          <t>SCMS</t>
        </is>
      </c>
      <c r="K3272" s="401" t="n"/>
      <c r="L3272" s="401" t="inlineStr">
        <is>
          <t>X</t>
        </is>
      </c>
      <c r="M3272" s="401" t="n"/>
      <c r="N3272" s="401" t="inlineStr">
        <is>
          <t>Done</t>
        </is>
      </c>
      <c r="O3272" s="401" t="n"/>
      <c r="P3272" s="401" t="n"/>
      <c r="S3272" s="401" t="n"/>
      <c r="U3272" s="401" t="n"/>
      <c r="V3272" s="22" t="n"/>
      <c r="W3272" s="22" t="n"/>
      <c r="X3272" s="22" t="n"/>
      <c r="Y3272" s="13" t="n"/>
      <c r="Z3272" s="22" t="n"/>
      <c r="AA3272" s="22" t="n"/>
      <c r="AB3272" s="22" t="n"/>
      <c r="AC3272" s="22" t="n"/>
      <c r="AD3272" s="22" t="n"/>
      <c r="AE3272" s="22" t="n"/>
    </row>
    <row r="3273" ht="98" customHeight="1" s="380">
      <c r="A3273" s="144" t="n">
        <v>125</v>
      </c>
      <c r="B3273" s="390" t="n"/>
      <c r="C3273" s="390" t="inlineStr">
        <is>
          <t>Báo cáo tài chính quý, soát xét bán niên, kiểm toán năm - Chi nhánh công ty chứng khoán nước ngoài tại Việt Nam &gt;&gt; Báo cáo kết quả hoạt động riêng</t>
        </is>
      </c>
      <c r="D3273" s="390" t="inlineStr">
        <is>
          <t>1.6. Doanh thu nghiệp vụ môi giới chứng khoán</t>
        </is>
      </c>
      <c r="E3273" s="390" t="n">
        <v>6</v>
      </c>
      <c r="F3273" s="390" t="inlineStr">
        <is>
          <t>Data Explorer</t>
        </is>
      </c>
      <c r="G3273" s="390" t="inlineStr">
        <is>
          <t>Chỉ tiêu cơ sở</t>
        </is>
      </c>
      <c r="H3273" s="390" t="inlineStr">
        <is>
          <t>Dễ</t>
        </is>
      </c>
      <c r="I3273" s="390" t="inlineStr">
        <is>
          <t>Ngày, CTCK</t>
        </is>
      </c>
      <c r="J3273" s="401" t="inlineStr">
        <is>
          <t>SCMS</t>
        </is>
      </c>
      <c r="K3273" s="401" t="n"/>
      <c r="L3273" s="401" t="inlineStr">
        <is>
          <t>X</t>
        </is>
      </c>
      <c r="M3273" s="401" t="n"/>
      <c r="N3273" s="401" t="inlineStr">
        <is>
          <t>Done</t>
        </is>
      </c>
      <c r="O3273" s="401" t="n"/>
      <c r="P3273" s="401" t="n"/>
      <c r="S3273" s="401" t="n"/>
      <c r="U3273" s="401" t="n"/>
      <c r="V3273" s="22" t="n"/>
      <c r="W3273" s="22" t="n"/>
      <c r="X3273" s="22" t="n"/>
      <c r="Y3273" s="13" t="n"/>
      <c r="Z3273" s="22" t="n"/>
      <c r="AA3273" s="22" t="n"/>
      <c r="AB3273" s="22" t="n"/>
      <c r="AC3273" s="22" t="n"/>
      <c r="AD3273" s="22" t="n"/>
      <c r="AE3273" s="22" t="n"/>
    </row>
    <row r="3274" ht="98" customHeight="1" s="380">
      <c r="A3274" s="144" t="n">
        <v>125</v>
      </c>
      <c r="B3274" s="390" t="n"/>
      <c r="C3274" s="390" t="inlineStr">
        <is>
          <t>Báo cáo tài chính quý, soát xét bán niên, kiểm toán năm - Chi nhánh công ty chứng khoán nước ngoài tại Việt Nam &gt;&gt; Báo cáo kết quả hoạt động riêng</t>
        </is>
      </c>
      <c r="D3274" s="390" t="inlineStr">
        <is>
          <t>1.7. Doanh thu nghiệp vụ bảo lãnh, đại lý phát hành chứng khoán</t>
        </is>
      </c>
      <c r="E3274" s="390" t="n">
        <v>7</v>
      </c>
      <c r="F3274" s="390" t="inlineStr">
        <is>
          <t>Data Explorer</t>
        </is>
      </c>
      <c r="G3274" s="390" t="inlineStr">
        <is>
          <t>Chỉ tiêu cơ sở</t>
        </is>
      </c>
      <c r="H3274" s="390" t="inlineStr">
        <is>
          <t>Dễ</t>
        </is>
      </c>
      <c r="I3274" s="390" t="inlineStr">
        <is>
          <t>Ngày, CTCK</t>
        </is>
      </c>
      <c r="J3274" s="401" t="inlineStr">
        <is>
          <t>SCMS</t>
        </is>
      </c>
      <c r="K3274" s="401" t="n"/>
      <c r="L3274" s="401" t="inlineStr">
        <is>
          <t>X</t>
        </is>
      </c>
      <c r="M3274" s="401" t="n"/>
      <c r="N3274" s="401" t="inlineStr">
        <is>
          <t>Done</t>
        </is>
      </c>
      <c r="O3274" s="401" t="n"/>
      <c r="P3274" s="401" t="n"/>
      <c r="S3274" s="401" t="n"/>
      <c r="U3274" s="401" t="n"/>
      <c r="V3274" s="22" t="n"/>
      <c r="W3274" s="22" t="n"/>
      <c r="X3274" s="22" t="n"/>
      <c r="Y3274" s="38" t="n"/>
      <c r="Z3274" s="22" t="n"/>
      <c r="AA3274" s="22" t="n"/>
      <c r="AB3274" s="22" t="n"/>
      <c r="AC3274" s="22" t="n"/>
      <c r="AD3274" s="22" t="n"/>
      <c r="AE3274" s="22" t="n"/>
    </row>
    <row r="3275" ht="98" customHeight="1" s="380">
      <c r="A3275" s="144" t="n">
        <v>125</v>
      </c>
      <c r="B3275" s="390" t="n"/>
      <c r="C3275" s="390" t="inlineStr">
        <is>
          <t>Báo cáo tài chính quý, soát xét bán niên, kiểm toán năm - Chi nhánh công ty chứng khoán nước ngoài tại Việt Nam &gt;&gt; Báo cáo kết quả hoạt động riêng</t>
        </is>
      </c>
      <c r="D3275" s="390" t="inlineStr">
        <is>
          <t>1.8. Doanh thu nghiệp vụ tư vấn đầu tư chứng khoán</t>
        </is>
      </c>
      <c r="E3275" s="390" t="n">
        <v>8</v>
      </c>
      <c r="F3275" s="390" t="inlineStr">
        <is>
          <t>Data Explorer</t>
        </is>
      </c>
      <c r="G3275" s="390" t="inlineStr">
        <is>
          <t>Chỉ tiêu cơ sở</t>
        </is>
      </c>
      <c r="H3275" s="390" t="inlineStr">
        <is>
          <t>Dễ</t>
        </is>
      </c>
      <c r="I3275" s="390" t="inlineStr">
        <is>
          <t>Ngày, CTCK</t>
        </is>
      </c>
      <c r="J3275" s="401" t="inlineStr">
        <is>
          <t>SCMS</t>
        </is>
      </c>
      <c r="K3275" s="401" t="n"/>
      <c r="L3275" s="401" t="inlineStr">
        <is>
          <t>X</t>
        </is>
      </c>
      <c r="M3275" s="401" t="n"/>
      <c r="N3275" s="401" t="inlineStr">
        <is>
          <t>Done</t>
        </is>
      </c>
      <c r="O3275" s="401" t="n"/>
      <c r="P3275" s="401" t="n"/>
      <c r="S3275" s="401" t="n"/>
      <c r="U3275" s="401" t="n"/>
      <c r="V3275" s="22" t="n"/>
      <c r="W3275" s="22" t="n"/>
      <c r="X3275" s="22" t="n"/>
      <c r="Y3275" s="13" t="n"/>
      <c r="Z3275" s="22" t="n"/>
      <c r="AA3275" s="22" t="n"/>
      <c r="AB3275" s="22" t="n"/>
      <c r="AC3275" s="22" t="n"/>
      <c r="AD3275" s="22" t="n"/>
      <c r="AE3275" s="22" t="n"/>
    </row>
    <row r="3276" ht="98" customHeight="1" s="380">
      <c r="A3276" s="144" t="n">
        <v>125</v>
      </c>
      <c r="B3276" s="390" t="n"/>
      <c r="C3276" s="390" t="inlineStr">
        <is>
          <t>Báo cáo tài chính quý, soát xét bán niên, kiểm toán năm - Chi nhánh công ty chứng khoán nước ngoài tại Việt Nam &gt;&gt; Báo cáo kết quả hoạt động riêng</t>
        </is>
      </c>
      <c r="D3276" s="390" t="inlineStr">
        <is>
          <t>1.9. Doanh thu nghiệp vụ lưu ký chứng khoán</t>
        </is>
      </c>
      <c r="E3276" s="390" t="n">
        <v>9</v>
      </c>
      <c r="F3276" s="390" t="inlineStr">
        <is>
          <t>Data Explorer</t>
        </is>
      </c>
      <c r="G3276" s="390" t="inlineStr">
        <is>
          <t>Chỉ tiêu cơ sở</t>
        </is>
      </c>
      <c r="H3276" s="390" t="inlineStr">
        <is>
          <t>Dễ</t>
        </is>
      </c>
      <c r="I3276" s="390" t="inlineStr">
        <is>
          <t>Ngày, CTCK</t>
        </is>
      </c>
      <c r="J3276" s="401" t="inlineStr">
        <is>
          <t>SCMS</t>
        </is>
      </c>
      <c r="K3276" s="401" t="n"/>
      <c r="L3276" s="401" t="inlineStr">
        <is>
          <t>X</t>
        </is>
      </c>
      <c r="M3276" s="401" t="n"/>
      <c r="N3276" s="401" t="inlineStr">
        <is>
          <t>Done</t>
        </is>
      </c>
      <c r="O3276" s="401" t="n"/>
      <c r="P3276" s="401" t="n"/>
      <c r="S3276" s="401" t="n"/>
      <c r="U3276" s="401" t="n"/>
      <c r="V3276" s="22" t="n"/>
      <c r="W3276" s="22" t="n"/>
      <c r="X3276" s="22" t="n"/>
      <c r="Y3276" s="13" t="n"/>
      <c r="Z3276" s="22" t="n"/>
      <c r="AA3276" s="22" t="n"/>
      <c r="AB3276" s="22" t="n"/>
      <c r="AC3276" s="22" t="n"/>
      <c r="AD3276" s="22" t="n"/>
      <c r="AE3276" s="22" t="n"/>
    </row>
    <row r="3277" ht="98" customHeight="1" s="380">
      <c r="A3277" s="144" t="n">
        <v>125</v>
      </c>
      <c r="B3277" s="390" t="n"/>
      <c r="C3277" s="390" t="inlineStr">
        <is>
          <t>Báo cáo tài chính quý, soát xét bán niên, kiểm toán năm - Chi nhánh công ty chứng khoán nước ngoài tại Việt Nam &gt;&gt; Báo cáo kết quả hoạt động riêng</t>
        </is>
      </c>
      <c r="D3277" s="390" t="inlineStr">
        <is>
          <t>1.10. Doanh thu hoạt động tư vấn tài chính</t>
        </is>
      </c>
      <c r="E3277" s="390" t="n">
        <v>10</v>
      </c>
      <c r="F3277" s="390" t="inlineStr">
        <is>
          <t>Data Explorer</t>
        </is>
      </c>
      <c r="G3277" s="390" t="inlineStr">
        <is>
          <t>Chỉ tiêu cơ sở</t>
        </is>
      </c>
      <c r="H3277" s="390" t="inlineStr">
        <is>
          <t>Dễ</t>
        </is>
      </c>
      <c r="I3277" s="390" t="inlineStr">
        <is>
          <t>Ngày, CTCK</t>
        </is>
      </c>
      <c r="J3277" s="401" t="inlineStr">
        <is>
          <t>SCMS</t>
        </is>
      </c>
      <c r="K3277" s="401" t="n"/>
      <c r="L3277" s="401" t="inlineStr">
        <is>
          <t>X</t>
        </is>
      </c>
      <c r="M3277" s="401" t="n"/>
      <c r="N3277" s="401" t="inlineStr">
        <is>
          <t>Done</t>
        </is>
      </c>
      <c r="O3277" s="401" t="n"/>
      <c r="P3277" s="401" t="n"/>
      <c r="S3277" s="401" t="n"/>
      <c r="U3277" s="401" t="n"/>
      <c r="V3277" s="22" t="n"/>
      <c r="W3277" s="22" t="n"/>
      <c r="X3277" s="22" t="n"/>
      <c r="Y3277" s="13" t="n"/>
      <c r="Z3277" s="22" t="n"/>
      <c r="AA3277" s="22" t="n"/>
      <c r="AB3277" s="22" t="n"/>
      <c r="AC3277" s="22" t="n"/>
      <c r="AD3277" s="22" t="n"/>
      <c r="AE3277" s="22" t="n"/>
    </row>
    <row r="3278" ht="98" customHeight="1" s="380">
      <c r="A3278" s="144" t="n">
        <v>125</v>
      </c>
      <c r="B3278" s="390" t="n"/>
      <c r="C3278" s="390" t="inlineStr">
        <is>
          <t>Báo cáo tài chính quý, soát xét bán niên, kiểm toán năm - Chi nhánh công ty chứng khoán nước ngoài tại Việt Nam &gt;&gt; Báo cáo kết quả hoạt động riêng</t>
        </is>
      </c>
      <c r="D3278" s="390" t="inlineStr">
        <is>
          <t xml:space="preserve">1.11. Thu nhập hoạt động khác </t>
        </is>
      </c>
      <c r="E3278" s="390" t="n">
        <v>11</v>
      </c>
      <c r="F3278" s="390" t="inlineStr">
        <is>
          <t>Data Explorer</t>
        </is>
      </c>
      <c r="G3278" s="390" t="inlineStr">
        <is>
          <t>Chỉ tiêu cơ sở</t>
        </is>
      </c>
      <c r="H3278" s="390" t="inlineStr">
        <is>
          <t>Dễ</t>
        </is>
      </c>
      <c r="I3278" s="390" t="inlineStr">
        <is>
          <t>Ngày, CTCK</t>
        </is>
      </c>
      <c r="J3278" s="401" t="inlineStr">
        <is>
          <t>SCMS</t>
        </is>
      </c>
      <c r="K3278" s="401" t="n"/>
      <c r="L3278" s="401" t="inlineStr">
        <is>
          <t>X</t>
        </is>
      </c>
      <c r="M3278" s="401" t="n"/>
      <c r="N3278" s="401" t="inlineStr">
        <is>
          <t>Done</t>
        </is>
      </c>
      <c r="O3278" s="401" t="n"/>
      <c r="P3278" s="401" t="n"/>
      <c r="S3278" s="401" t="n"/>
      <c r="U3278" s="401" t="n"/>
      <c r="V3278" s="22" t="n"/>
      <c r="W3278" s="22" t="n"/>
      <c r="X3278" s="22" t="n"/>
      <c r="Y3278" s="13" t="n"/>
      <c r="Z3278" s="22" t="n"/>
      <c r="AA3278" s="22" t="n"/>
      <c r="AB3278" s="22" t="n"/>
      <c r="AC3278" s="22" t="n"/>
      <c r="AD3278" s="22" t="n"/>
      <c r="AE3278" s="22" t="n"/>
    </row>
    <row r="3279" ht="98" customHeight="1" s="380">
      <c r="A3279" s="144" t="n">
        <v>125</v>
      </c>
      <c r="B3279" s="390" t="n"/>
      <c r="C3279" s="390" t="inlineStr">
        <is>
          <t>Báo cáo tài chính quý, soát xét bán niên, kiểm toán năm - Chi nhánh công ty chứng khoán nước ngoài tại Việt Nam &gt;&gt; Báo cáo kết quả hoạt động riêng</t>
        </is>
      </c>
      <c r="D3279" s="132" t="inlineStr">
        <is>
          <t>Cộng doanh thu hoạt động (20 = 01 đến 11)</t>
        </is>
      </c>
      <c r="E3279" s="132" t="n">
        <v>20</v>
      </c>
      <c r="F3279" s="390" t="inlineStr">
        <is>
          <t>Data Explorer</t>
        </is>
      </c>
      <c r="G3279" s="390" t="inlineStr">
        <is>
          <t>Chỉ tiêu cơ sở</t>
        </is>
      </c>
      <c r="H3279" s="390" t="inlineStr">
        <is>
          <t>Dễ</t>
        </is>
      </c>
      <c r="I3279" s="390" t="inlineStr">
        <is>
          <t>Ngày, CTCK</t>
        </is>
      </c>
      <c r="J3279" s="401" t="inlineStr">
        <is>
          <t>SCMS</t>
        </is>
      </c>
      <c r="K3279" s="401" t="n"/>
      <c r="L3279" s="401" t="inlineStr">
        <is>
          <t>X</t>
        </is>
      </c>
      <c r="M3279" s="401" t="n"/>
      <c r="N3279" s="401" t="inlineStr">
        <is>
          <t>Done</t>
        </is>
      </c>
      <c r="O3279" s="401" t="n"/>
      <c r="P3279" s="401" t="n"/>
      <c r="S3279" s="401" t="n"/>
      <c r="U3279" s="401" t="n"/>
      <c r="V3279" s="22" t="n"/>
      <c r="W3279" s="22" t="n"/>
      <c r="X3279" s="22" t="n"/>
      <c r="Y3279" s="13" t="n"/>
      <c r="Z3279" s="22" t="n"/>
      <c r="AA3279" s="22" t="n"/>
      <c r="AB3279" s="22" t="n"/>
      <c r="AC3279" s="22" t="n"/>
      <c r="AD3279" s="22" t="n"/>
      <c r="AE3279" s="22" t="n"/>
    </row>
    <row r="3280" ht="98" customHeight="1" s="380">
      <c r="A3280" s="144" t="n">
        <v>125</v>
      </c>
      <c r="B3280" s="390" t="n"/>
      <c r="C3280" s="390" t="inlineStr">
        <is>
          <t>Báo cáo tài chính quý, soát xét bán niên, kiểm toán năm - Chi nhánh công ty chứng khoán nước ngoài tại Việt Nam &gt;&gt; Báo cáo kết quả hoạt động riêng</t>
        </is>
      </c>
      <c r="D3280" s="132" t="inlineStr">
        <is>
          <t xml:space="preserve">II. CHI PHÍ HOẠT ĐỘNG </t>
        </is>
      </c>
      <c r="E3280" s="401" t="n"/>
      <c r="F3280" s="390" t="inlineStr">
        <is>
          <t>Data Explorer</t>
        </is>
      </c>
      <c r="G3280" s="390" t="inlineStr">
        <is>
          <t>Chỉ tiêu cơ sở</t>
        </is>
      </c>
      <c r="H3280" s="390" t="inlineStr">
        <is>
          <t>Dễ</t>
        </is>
      </c>
      <c r="I3280" s="390" t="inlineStr">
        <is>
          <t>Ngày, CTCK</t>
        </is>
      </c>
      <c r="J3280" s="401" t="inlineStr">
        <is>
          <t>SCMS</t>
        </is>
      </c>
      <c r="K3280" s="401" t="n"/>
      <c r="L3280" s="401" t="inlineStr">
        <is>
          <t>X</t>
        </is>
      </c>
      <c r="M3280" s="401" t="n"/>
      <c r="N3280" s="401" t="inlineStr">
        <is>
          <t>Done</t>
        </is>
      </c>
      <c r="O3280" s="401" t="n"/>
      <c r="P3280" s="401" t="n"/>
      <c r="S3280" s="401" t="n"/>
      <c r="U3280" s="401" t="n"/>
      <c r="V3280" s="22" t="n"/>
      <c r="W3280" s="22" t="n"/>
      <c r="X3280" s="22" t="n"/>
      <c r="Y3280" s="38" t="n"/>
      <c r="Z3280" s="22" t="n"/>
      <c r="AA3280" s="22" t="n"/>
      <c r="AB3280" s="22" t="n"/>
      <c r="AC3280" s="22" t="n"/>
      <c r="AD3280" s="22" t="n"/>
      <c r="AE3280" s="22" t="n"/>
    </row>
    <row r="3281" ht="98" customHeight="1" s="380">
      <c r="A3281" s="144" t="n">
        <v>125</v>
      </c>
      <c r="B3281" s="390" t="n"/>
      <c r="C3281" s="390" t="inlineStr">
        <is>
          <t>Báo cáo tài chính quý, soát xét bán niên, kiểm toán năm - Chi nhánh công ty chứng khoán nước ngoài tại Việt Nam &gt;&gt; Báo cáo kết quả hoạt động riêng</t>
        </is>
      </c>
      <c r="D3281" s="390" t="inlineStr">
        <is>
          <t>2.1. Lỗ các tài sản tài chính ghi nhận thông qua lãi/lỗ (FVTPL)</t>
        </is>
      </c>
      <c r="E3281" s="390" t="n">
        <v>21</v>
      </c>
      <c r="F3281" s="390" t="inlineStr">
        <is>
          <t>Data Explorer</t>
        </is>
      </c>
      <c r="G3281" s="390" t="inlineStr">
        <is>
          <t>Chỉ tiêu cơ sở</t>
        </is>
      </c>
      <c r="H3281" s="390" t="inlineStr">
        <is>
          <t>Dễ</t>
        </is>
      </c>
      <c r="I3281" s="390" t="inlineStr">
        <is>
          <t>Ngày, CTCK</t>
        </is>
      </c>
      <c r="J3281" s="401" t="inlineStr">
        <is>
          <t>SCMS</t>
        </is>
      </c>
      <c r="K3281" s="401" t="n"/>
      <c r="L3281" s="401" t="inlineStr">
        <is>
          <t>X</t>
        </is>
      </c>
      <c r="M3281" s="401" t="n"/>
      <c r="N3281" s="401" t="inlineStr">
        <is>
          <t>Done</t>
        </is>
      </c>
      <c r="O3281" s="401" t="n"/>
      <c r="P3281" s="401" t="n"/>
      <c r="S3281" s="401" t="n"/>
      <c r="U3281" s="401" t="n"/>
      <c r="V3281" s="22" t="n"/>
      <c r="W3281" s="22" t="n"/>
      <c r="X3281" s="22" t="n"/>
      <c r="Y3281" s="13" t="n"/>
      <c r="Z3281" s="22" t="n"/>
      <c r="AA3281" s="22" t="n"/>
      <c r="AB3281" s="22" t="n"/>
      <c r="AC3281" s="22" t="n"/>
      <c r="AD3281" s="22" t="n"/>
      <c r="AE3281" s="22" t="n"/>
    </row>
    <row r="3282" ht="98" customHeight="1" s="380">
      <c r="A3282" s="144" t="n">
        <v>125</v>
      </c>
      <c r="B3282" s="390" t="n"/>
      <c r="C3282" s="390" t="inlineStr">
        <is>
          <t>Báo cáo tài chính quý, soát xét bán niên, kiểm toán năm - Chi nhánh công ty chứng khoán nước ngoài tại Việt Nam &gt;&gt; Báo cáo kết quả hoạt động riêng</t>
        </is>
      </c>
      <c r="D3282" s="390" t="inlineStr">
        <is>
          <t>a.     Lỗ bán các tài sản tài chính FVTPL</t>
        </is>
      </c>
      <c r="E3282" s="390" t="n">
        <v>21.1</v>
      </c>
      <c r="F3282" s="390" t="inlineStr">
        <is>
          <t>Data Explorer</t>
        </is>
      </c>
      <c r="G3282" s="390" t="inlineStr">
        <is>
          <t>Chỉ tiêu cơ sở</t>
        </is>
      </c>
      <c r="H3282" s="390" t="inlineStr">
        <is>
          <t>Dễ</t>
        </is>
      </c>
      <c r="I3282" s="390" t="inlineStr">
        <is>
          <t>Ngày, CTCK</t>
        </is>
      </c>
      <c r="J3282" s="401" t="inlineStr">
        <is>
          <t>SCMS</t>
        </is>
      </c>
      <c r="K3282" s="401" t="n"/>
      <c r="L3282" s="401" t="inlineStr">
        <is>
          <t>X</t>
        </is>
      </c>
      <c r="M3282" s="401" t="n"/>
      <c r="N3282" s="401" t="inlineStr">
        <is>
          <t>Done</t>
        </is>
      </c>
      <c r="O3282" s="401" t="n"/>
      <c r="P3282" s="401" t="n"/>
      <c r="S3282" s="401" t="n"/>
      <c r="U3282" s="401" t="n"/>
      <c r="V3282" s="22" t="n"/>
      <c r="W3282" s="22" t="n"/>
      <c r="X3282" s="22" t="n"/>
      <c r="Y3282" s="13" t="n"/>
      <c r="Z3282" s="22" t="n"/>
      <c r="AA3282" s="22" t="n"/>
      <c r="AB3282" s="22" t="n"/>
      <c r="AC3282" s="22" t="n"/>
      <c r="AD3282" s="22" t="n"/>
      <c r="AE3282" s="22" t="n"/>
    </row>
    <row r="3283" ht="98" customHeight="1" s="380">
      <c r="A3283" s="144" t="n">
        <v>125</v>
      </c>
      <c r="B3283" s="390" t="n"/>
      <c r="C3283" s="390" t="inlineStr">
        <is>
          <t>Báo cáo tài chính quý, soát xét bán niên, kiểm toán năm - Chi nhánh công ty chứng khoán nước ngoài tại Việt Nam &gt;&gt; Báo cáo kết quả hoạt động riêng</t>
        </is>
      </c>
      <c r="D3283" s="390" t="inlineStr">
        <is>
          <t>b.    Chênh lệch giảm đánh giá lại các TSTC FVTPL</t>
        </is>
      </c>
      <c r="E3283" s="390" t="n">
        <v>21.2</v>
      </c>
      <c r="F3283" s="390" t="inlineStr">
        <is>
          <t>Data Explorer</t>
        </is>
      </c>
      <c r="G3283" s="390" t="inlineStr">
        <is>
          <t>Chỉ tiêu cơ sở</t>
        </is>
      </c>
      <c r="H3283" s="390" t="inlineStr">
        <is>
          <t>Dễ</t>
        </is>
      </c>
      <c r="I3283" s="390" t="inlineStr">
        <is>
          <t>Ngày, CTCK</t>
        </is>
      </c>
      <c r="J3283" s="401" t="inlineStr">
        <is>
          <t>SCMS</t>
        </is>
      </c>
      <c r="K3283" s="401" t="n"/>
      <c r="L3283" s="401" t="inlineStr">
        <is>
          <t>X</t>
        </is>
      </c>
      <c r="M3283" s="401" t="n"/>
      <c r="N3283" s="401" t="inlineStr">
        <is>
          <t>Done</t>
        </is>
      </c>
      <c r="O3283" s="401" t="n"/>
      <c r="P3283" s="401" t="n"/>
      <c r="S3283" s="401" t="n"/>
      <c r="U3283" s="401" t="n"/>
      <c r="V3283" s="22" t="n"/>
      <c r="W3283" s="22" t="n"/>
      <c r="X3283" s="22" t="n"/>
      <c r="Y3283" s="13" t="n"/>
      <c r="Z3283" s="22" t="n"/>
      <c r="AA3283" s="22" t="n"/>
      <c r="AB3283" s="22" t="n"/>
      <c r="AC3283" s="22" t="n"/>
      <c r="AD3283" s="22" t="n"/>
      <c r="AE3283" s="22" t="n"/>
    </row>
    <row r="3284" ht="98" customHeight="1" s="380">
      <c r="A3284" s="144" t="n">
        <v>125</v>
      </c>
      <c r="B3284" s="390" t="n"/>
      <c r="C3284" s="390" t="inlineStr">
        <is>
          <t>Báo cáo tài chính quý, soát xét bán niên, kiểm toán năm - Chi nhánh công ty chứng khoán nước ngoài tại Việt Nam &gt;&gt; Báo cáo kết quả hoạt động riêng</t>
        </is>
      </c>
      <c r="D3284" s="390" t="inlineStr">
        <is>
          <t>c.     Chi phí giao dịch mua các tài sản tài chính FVTPL</t>
        </is>
      </c>
      <c r="E3284" s="390" t="n">
        <v>21.3</v>
      </c>
      <c r="F3284" s="390" t="inlineStr">
        <is>
          <t>Data Explorer</t>
        </is>
      </c>
      <c r="G3284" s="390" t="inlineStr">
        <is>
          <t>Chỉ tiêu cơ sở</t>
        </is>
      </c>
      <c r="H3284" s="390" t="inlineStr">
        <is>
          <t>Dễ</t>
        </is>
      </c>
      <c r="I3284" s="390" t="inlineStr">
        <is>
          <t>Ngày, CTCK</t>
        </is>
      </c>
      <c r="J3284" s="401" t="inlineStr">
        <is>
          <t>SCMS</t>
        </is>
      </c>
      <c r="K3284" s="401" t="n"/>
      <c r="L3284" s="401" t="inlineStr">
        <is>
          <t>X</t>
        </is>
      </c>
      <c r="M3284" s="401" t="n"/>
      <c r="N3284" s="401" t="inlineStr">
        <is>
          <t>Done</t>
        </is>
      </c>
      <c r="O3284" s="401" t="n"/>
      <c r="P3284" s="401" t="n"/>
      <c r="S3284" s="401" t="n"/>
      <c r="U3284" s="401" t="n"/>
      <c r="V3284" s="22" t="n"/>
      <c r="W3284" s="22" t="n"/>
      <c r="X3284" s="22" t="n"/>
      <c r="Y3284" s="13" t="n"/>
      <c r="Z3284" s="22" t="n"/>
      <c r="AA3284" s="22" t="n"/>
      <c r="AB3284" s="22" t="n"/>
      <c r="AC3284" s="22" t="n"/>
      <c r="AD3284" s="22" t="n"/>
      <c r="AE3284" s="22" t="n"/>
    </row>
    <row r="3285" ht="98" customHeight="1" s="380">
      <c r="A3285" s="144" t="n">
        <v>125</v>
      </c>
      <c r="B3285" s="390" t="n"/>
      <c r="C3285" s="390" t="inlineStr">
        <is>
          <t>Báo cáo tài chính quý, soát xét bán niên, kiểm toán năm - Chi nhánh công ty chứng khoán nước ngoài tại Việt Nam &gt;&gt; Báo cáo kết quả hoạt động riêng</t>
        </is>
      </c>
      <c r="D3285" s="390" t="inlineStr">
        <is>
          <t>d. Chênh lệch tăng đánh do đánh giá lại phải trả chứng quyền đang lưu hành</t>
        </is>
      </c>
      <c r="E3285" s="390" t="inlineStr">
        <is>
          <t>21,4</t>
        </is>
      </c>
      <c r="F3285" s="390" t="inlineStr">
        <is>
          <t>Data Explorer</t>
        </is>
      </c>
      <c r="G3285" s="390" t="inlineStr">
        <is>
          <t>Chỉ tiêu cơ sở</t>
        </is>
      </c>
      <c r="H3285" s="390" t="inlineStr">
        <is>
          <t>Dễ</t>
        </is>
      </c>
      <c r="I3285" s="390" t="inlineStr">
        <is>
          <t>Ngày, CTCK</t>
        </is>
      </c>
      <c r="J3285" s="401" t="inlineStr">
        <is>
          <t>SCMS</t>
        </is>
      </c>
      <c r="K3285" s="401" t="n"/>
      <c r="L3285" s="401" t="inlineStr">
        <is>
          <t>X</t>
        </is>
      </c>
      <c r="M3285" s="401" t="n"/>
      <c r="N3285" s="401" t="inlineStr">
        <is>
          <t>Pending</t>
        </is>
      </c>
      <c r="O3285" s="401" t="n"/>
      <c r="P3285" s="401" t="n"/>
      <c r="S3285" s="401" t="n"/>
      <c r="U3285" s="82" t="inlineStr">
        <is>
          <t>DB cũ không có chỉ tiêu này</t>
        </is>
      </c>
      <c r="V3285" s="22" t="n"/>
      <c r="W3285" s="22" t="n"/>
      <c r="X3285" s="22" t="n"/>
      <c r="Y3285" s="13" t="n"/>
      <c r="Z3285" s="22" t="n"/>
      <c r="AA3285" s="22" t="n"/>
      <c r="AB3285" s="22" t="n"/>
      <c r="AC3285" s="22" t="n"/>
      <c r="AD3285" s="22" t="n"/>
      <c r="AE3285" s="22" t="n"/>
    </row>
    <row r="3286" ht="98" customHeight="1" s="380">
      <c r="A3286" s="144" t="n">
        <v>125</v>
      </c>
      <c r="B3286" s="390" t="n"/>
      <c r="C3286" s="390" t="inlineStr">
        <is>
          <t>Báo cáo tài chính quý, soát xét bán niên, kiểm toán năm - Chi nhánh công ty chứng khoán nước ngoài tại Việt Nam &gt;&gt; Báo cáo kết quả hoạt động riêng</t>
        </is>
      </c>
      <c r="D3286" s="390" t="inlineStr">
        <is>
          <t>2.2. Lỗ các khoản đầu tư nắm giữ đến ngày đáo hạn (HTM)</t>
        </is>
      </c>
      <c r="E3286" s="390" t="n">
        <v>22</v>
      </c>
      <c r="F3286" s="390" t="inlineStr">
        <is>
          <t>Data Explorer</t>
        </is>
      </c>
      <c r="G3286" s="390" t="inlineStr">
        <is>
          <t>Chỉ tiêu cơ sở</t>
        </is>
      </c>
      <c r="H3286" s="390" t="inlineStr">
        <is>
          <t>Dễ</t>
        </is>
      </c>
      <c r="I3286" s="390" t="inlineStr">
        <is>
          <t>Ngày, CTCK</t>
        </is>
      </c>
      <c r="J3286" s="401" t="inlineStr">
        <is>
          <t>SCMS</t>
        </is>
      </c>
      <c r="K3286" s="401" t="n"/>
      <c r="L3286" s="401" t="inlineStr">
        <is>
          <t>X</t>
        </is>
      </c>
      <c r="M3286" s="401" t="n"/>
      <c r="N3286" s="401" t="inlineStr">
        <is>
          <t>Done</t>
        </is>
      </c>
      <c r="O3286" s="401" t="n"/>
      <c r="P3286" s="401" t="n"/>
      <c r="S3286" s="401" t="n"/>
      <c r="U3286" s="401" t="n"/>
      <c r="V3286" s="22" t="n"/>
      <c r="W3286" s="22" t="n"/>
      <c r="X3286" s="22" t="n"/>
      <c r="Y3286" s="38" t="n"/>
      <c r="Z3286" s="22" t="n"/>
      <c r="AA3286" s="22" t="n"/>
      <c r="AB3286" s="22" t="n"/>
      <c r="AC3286" s="22" t="n"/>
      <c r="AD3286" s="22" t="n"/>
      <c r="AE3286" s="22" t="n"/>
    </row>
    <row r="3287" ht="98" customHeight="1" s="380">
      <c r="A3287" s="144" t="n">
        <v>125</v>
      </c>
      <c r="B3287" s="390" t="n"/>
      <c r="C3287" s="390" t="inlineStr">
        <is>
          <t>Báo cáo tài chính quý, soát xét bán niên, kiểm toán năm - Chi nhánh công ty chứng khoán nước ngoài tại Việt Nam &gt;&gt; Báo cáo kết quả hoạt động riêng</t>
        </is>
      </c>
      <c r="D3287" s="390" t="inlineStr">
        <is>
          <t>2.3. Lỗ và ghi nhận chênh lệch đánh giá theo giá trị hợp lý tài sản tài chính sẵn sàng để bán (AFS) khi phân loại lại</t>
        </is>
      </c>
      <c r="E3287" s="390" t="n">
        <v>23</v>
      </c>
      <c r="F3287" s="390" t="inlineStr">
        <is>
          <t>Data Explorer</t>
        </is>
      </c>
      <c r="G3287" s="390" t="inlineStr">
        <is>
          <t>Chỉ tiêu cơ sở</t>
        </is>
      </c>
      <c r="H3287" s="390" t="inlineStr">
        <is>
          <t>Dễ</t>
        </is>
      </c>
      <c r="I3287" s="390" t="inlineStr">
        <is>
          <t>Ngày, CTCK</t>
        </is>
      </c>
      <c r="J3287" s="401" t="inlineStr">
        <is>
          <t>SCMS</t>
        </is>
      </c>
      <c r="K3287" s="401" t="n"/>
      <c r="L3287" s="401" t="inlineStr">
        <is>
          <t>X</t>
        </is>
      </c>
      <c r="M3287" s="401" t="n"/>
      <c r="N3287" s="401" t="inlineStr">
        <is>
          <t>Done</t>
        </is>
      </c>
      <c r="O3287" s="401" t="n"/>
      <c r="P3287" s="401" t="n"/>
      <c r="S3287" s="401" t="n"/>
      <c r="U3287" s="401" t="n"/>
      <c r="V3287" s="22" t="n"/>
      <c r="W3287" s="22" t="n"/>
      <c r="X3287" s="22" t="n"/>
      <c r="Y3287" s="13" t="n"/>
      <c r="Z3287" s="22" t="n"/>
      <c r="AA3287" s="22" t="n"/>
      <c r="AB3287" s="22" t="n"/>
      <c r="AC3287" s="22" t="n"/>
      <c r="AD3287" s="22" t="n"/>
      <c r="AE3287" s="22" t="n"/>
    </row>
    <row r="3288" ht="98" customHeight="1" s="380">
      <c r="A3288" s="144" t="n">
        <v>125</v>
      </c>
      <c r="B3288" s="390" t="n"/>
      <c r="C3288" s="390" t="inlineStr">
        <is>
          <t>Báo cáo tài chính quý, soát xét bán niên, kiểm toán năm - Chi nhánh công ty chứng khoán nước ngoài tại Việt Nam &gt;&gt; Báo cáo kết quả hoạt động riêng</t>
        </is>
      </c>
      <c r="D3288" s="390" t="inlineStr">
        <is>
          <t>2.4. Chi phí dự phòng tài sản tài chính, xử lý tổn thất các khoản phải thu khó đòi và lỗ suy giảm tài sản tài chính và chi phí đi vay của các khoản cho vay</t>
        </is>
      </c>
      <c r="E3288" s="390" t="n">
        <v>24</v>
      </c>
      <c r="F3288" s="390" t="inlineStr">
        <is>
          <t>Data Explorer</t>
        </is>
      </c>
      <c r="G3288" s="390" t="inlineStr">
        <is>
          <t>Chỉ tiêu cơ sở</t>
        </is>
      </c>
      <c r="H3288" s="390" t="inlineStr">
        <is>
          <t>Dễ</t>
        </is>
      </c>
      <c r="I3288" s="390" t="inlineStr">
        <is>
          <t>Ngày, CTCK</t>
        </is>
      </c>
      <c r="J3288" s="401" t="inlineStr">
        <is>
          <t>SCMS</t>
        </is>
      </c>
      <c r="K3288" s="401" t="n"/>
      <c r="L3288" s="401" t="inlineStr">
        <is>
          <t>X</t>
        </is>
      </c>
      <c r="M3288" s="401" t="n"/>
      <c r="N3288" s="401" t="inlineStr">
        <is>
          <t>Done</t>
        </is>
      </c>
      <c r="O3288" s="401" t="n"/>
      <c r="P3288" s="401" t="n"/>
      <c r="S3288" s="401" t="n"/>
      <c r="U3288" s="401" t="n"/>
      <c r="V3288" s="22" t="n"/>
      <c r="W3288" s="22" t="n"/>
      <c r="X3288" s="22" t="n"/>
      <c r="Y3288" s="13" t="n"/>
      <c r="Z3288" s="22" t="n"/>
      <c r="AA3288" s="22" t="n"/>
      <c r="AB3288" s="22" t="n"/>
      <c r="AC3288" s="22" t="n"/>
      <c r="AD3288" s="22" t="n"/>
      <c r="AE3288" s="22" t="n"/>
    </row>
    <row r="3289" ht="98" customHeight="1" s="380">
      <c r="A3289" s="144" t="n">
        <v>125</v>
      </c>
      <c r="B3289" s="390" t="n"/>
      <c r="C3289" s="390" t="inlineStr">
        <is>
          <t>Báo cáo tài chính quý, soát xét bán niên, kiểm toán năm - Chi nhánh công ty chứng khoán nước ngoài tại Việt Nam &gt;&gt; Báo cáo kết quả hoạt động riêng</t>
        </is>
      </c>
      <c r="D3289" s="390" t="inlineStr">
        <is>
          <t>2.5. Lỗ từ các tài sản tài chính phái sinh phòng ngừa rủi ro</t>
        </is>
      </c>
      <c r="E3289" s="390" t="n">
        <v>25</v>
      </c>
      <c r="F3289" s="390" t="inlineStr">
        <is>
          <t>Data Explorer</t>
        </is>
      </c>
      <c r="G3289" s="390" t="inlineStr">
        <is>
          <t>Chỉ tiêu cơ sở</t>
        </is>
      </c>
      <c r="H3289" s="390" t="inlineStr">
        <is>
          <t>Dễ</t>
        </is>
      </c>
      <c r="I3289" s="390" t="inlineStr">
        <is>
          <t>Ngày, CTCK</t>
        </is>
      </c>
      <c r="J3289" s="401" t="inlineStr">
        <is>
          <t>SCMS</t>
        </is>
      </c>
      <c r="K3289" s="401" t="n"/>
      <c r="L3289" s="401" t="inlineStr">
        <is>
          <t>X</t>
        </is>
      </c>
      <c r="M3289" s="401" t="n"/>
      <c r="N3289" s="401" t="inlineStr">
        <is>
          <t>Done</t>
        </is>
      </c>
      <c r="O3289" s="401" t="n"/>
      <c r="P3289" s="401" t="n"/>
      <c r="S3289" s="401" t="n"/>
      <c r="U3289" s="401" t="n"/>
      <c r="V3289" s="22" t="n"/>
      <c r="W3289" s="22" t="n"/>
      <c r="X3289" s="22" t="n"/>
      <c r="Y3289" s="13" t="n"/>
      <c r="Z3289" s="22" t="n"/>
      <c r="AA3289" s="22" t="n"/>
      <c r="AB3289" s="22" t="n"/>
      <c r="AC3289" s="22" t="n"/>
      <c r="AD3289" s="22" t="n"/>
      <c r="AE3289" s="22" t="n"/>
    </row>
    <row r="3290" ht="98" customHeight="1" s="380">
      <c r="A3290" s="144" t="n">
        <v>125</v>
      </c>
      <c r="B3290" s="390" t="n"/>
      <c r="C3290" s="390" t="inlineStr">
        <is>
          <t>Báo cáo tài chính quý, soát xét bán niên, kiểm toán năm - Chi nhánh công ty chứng khoán nước ngoài tại Việt Nam &gt;&gt; Báo cáo kết quả hoạt động riêng</t>
        </is>
      </c>
      <c r="D3290" s="390" t="inlineStr">
        <is>
          <t>2.6. Chi phí hoạt động tự doanh</t>
        </is>
      </c>
      <c r="E3290" s="390" t="n">
        <v>26</v>
      </c>
      <c r="F3290" s="390" t="inlineStr">
        <is>
          <t>Data Explorer</t>
        </is>
      </c>
      <c r="G3290" s="390" t="inlineStr">
        <is>
          <t>Chỉ tiêu cơ sở</t>
        </is>
      </c>
      <c r="H3290" s="390" t="inlineStr">
        <is>
          <t>Dễ</t>
        </is>
      </c>
      <c r="I3290" s="390" t="inlineStr">
        <is>
          <t>Ngày, CTCK</t>
        </is>
      </c>
      <c r="J3290" s="401" t="inlineStr">
        <is>
          <t>SCMS</t>
        </is>
      </c>
      <c r="K3290" s="401" t="n"/>
      <c r="L3290" s="401" t="inlineStr">
        <is>
          <t>X</t>
        </is>
      </c>
      <c r="M3290" s="401" t="n"/>
      <c r="N3290" s="401" t="inlineStr">
        <is>
          <t>Done</t>
        </is>
      </c>
      <c r="O3290" s="401" t="n"/>
      <c r="P3290" s="401" t="n"/>
      <c r="S3290" s="401" t="n"/>
      <c r="U3290" s="401" t="n"/>
      <c r="V3290" s="22" t="n"/>
      <c r="W3290" s="22" t="n"/>
      <c r="X3290" s="22" t="n"/>
      <c r="Y3290" s="13" t="n"/>
      <c r="Z3290" s="22" t="n"/>
      <c r="AA3290" s="22" t="n"/>
      <c r="AB3290" s="22" t="n"/>
      <c r="AC3290" s="22" t="n"/>
      <c r="AD3290" s="22" t="n"/>
      <c r="AE3290" s="22" t="n"/>
    </row>
    <row r="3291" ht="98" customHeight="1" s="380">
      <c r="A3291" s="144" t="n">
        <v>125</v>
      </c>
      <c r="B3291" s="390" t="n"/>
      <c r="C3291" s="390" t="inlineStr">
        <is>
          <t>Báo cáo tài chính quý, soát xét bán niên, kiểm toán năm - Chi nhánh công ty chứng khoán nước ngoài tại Việt Nam &gt;&gt; Báo cáo kết quả hoạt động riêng</t>
        </is>
      </c>
      <c r="D3291" s="390" t="inlineStr">
        <is>
          <t>2.7. Chi phí nghiệp vụ môi giới chứng khoán</t>
        </is>
      </c>
      <c r="E3291" s="390" t="n">
        <v>27</v>
      </c>
      <c r="F3291" s="390" t="inlineStr">
        <is>
          <t>Data Explorer</t>
        </is>
      </c>
      <c r="G3291" s="390" t="inlineStr">
        <is>
          <t>Chỉ tiêu cơ sở</t>
        </is>
      </c>
      <c r="H3291" s="390" t="inlineStr">
        <is>
          <t>Dễ</t>
        </is>
      </c>
      <c r="I3291" s="390" t="inlineStr">
        <is>
          <t>Ngày, CTCK</t>
        </is>
      </c>
      <c r="J3291" s="401" t="inlineStr">
        <is>
          <t>SCMS</t>
        </is>
      </c>
      <c r="K3291" s="401" t="n"/>
      <c r="L3291" s="401" t="inlineStr">
        <is>
          <t>X</t>
        </is>
      </c>
      <c r="M3291" s="401" t="n"/>
      <c r="N3291" s="401" t="inlineStr">
        <is>
          <t>Done</t>
        </is>
      </c>
      <c r="O3291" s="401" t="n"/>
      <c r="P3291" s="401" t="n"/>
      <c r="S3291" s="401" t="n"/>
      <c r="U3291" s="401" t="n"/>
      <c r="V3291" s="22" t="n"/>
      <c r="W3291" s="22" t="n"/>
      <c r="X3291" s="22" t="n"/>
      <c r="Y3291" s="13" t="n"/>
      <c r="Z3291" s="22" t="n"/>
      <c r="AA3291" s="22" t="n"/>
      <c r="AB3291" s="22" t="n"/>
      <c r="AC3291" s="22" t="n"/>
      <c r="AD3291" s="22" t="n"/>
      <c r="AE3291" s="22" t="n"/>
    </row>
    <row r="3292" ht="98" customHeight="1" s="380">
      <c r="A3292" s="144" t="n">
        <v>125</v>
      </c>
      <c r="B3292" s="390" t="n"/>
      <c r="C3292" s="390" t="inlineStr">
        <is>
          <t>Báo cáo tài chính quý, soát xét bán niên, kiểm toán năm - Chi nhánh công ty chứng khoán nước ngoài tại Việt Nam &gt;&gt; Báo cáo kết quả hoạt động riêng</t>
        </is>
      </c>
      <c r="D3292" s="390" t="inlineStr">
        <is>
          <t>2.8. Chi phí nghiệp vụ bảo lãnh, đại lý phát hành chứng khoán</t>
        </is>
      </c>
      <c r="E3292" s="390" t="n">
        <v>28</v>
      </c>
      <c r="F3292" s="390" t="inlineStr">
        <is>
          <t>Data Explorer</t>
        </is>
      </c>
      <c r="G3292" s="390" t="inlineStr">
        <is>
          <t>Chỉ tiêu cơ sở</t>
        </is>
      </c>
      <c r="H3292" s="390" t="inlineStr">
        <is>
          <t>Dễ</t>
        </is>
      </c>
      <c r="I3292" s="390" t="inlineStr">
        <is>
          <t>Ngày, CTCK</t>
        </is>
      </c>
      <c r="J3292" s="401" t="inlineStr">
        <is>
          <t>SCMS</t>
        </is>
      </c>
      <c r="K3292" s="401" t="n"/>
      <c r="L3292" s="401" t="inlineStr">
        <is>
          <t>X</t>
        </is>
      </c>
      <c r="M3292" s="401" t="n"/>
      <c r="N3292" s="401" t="inlineStr">
        <is>
          <t>Done</t>
        </is>
      </c>
      <c r="O3292" s="401" t="n"/>
      <c r="P3292" s="401" t="n"/>
      <c r="S3292" s="401" t="n"/>
      <c r="U3292" s="401" t="n"/>
      <c r="V3292" s="22" t="n"/>
      <c r="W3292" s="22" t="n"/>
      <c r="X3292" s="22" t="n"/>
      <c r="Y3292" s="38" t="n"/>
      <c r="Z3292" s="22" t="n"/>
      <c r="AA3292" s="22" t="n"/>
      <c r="AB3292" s="22" t="n"/>
      <c r="AC3292" s="22" t="n"/>
      <c r="AD3292" s="22" t="n"/>
      <c r="AE3292" s="22" t="n"/>
    </row>
    <row r="3293" ht="98" customHeight="1" s="380">
      <c r="A3293" s="144" t="n">
        <v>125</v>
      </c>
      <c r="B3293" s="390" t="n"/>
      <c r="C3293" s="390" t="inlineStr">
        <is>
          <t>Báo cáo tài chính quý, soát xét bán niên, kiểm toán năm - Chi nhánh công ty chứng khoán nước ngoài tại Việt Nam &gt;&gt; Báo cáo kết quả hoạt động riêng</t>
        </is>
      </c>
      <c r="D3293" s="390" t="inlineStr">
        <is>
          <t>2.9. Chi phí nghiệp vụ tư vấn đầu tư chứng khoán</t>
        </is>
      </c>
      <c r="E3293" s="390" t="n">
        <v>29</v>
      </c>
      <c r="F3293" s="390" t="inlineStr">
        <is>
          <t>Data Explorer</t>
        </is>
      </c>
      <c r="G3293" s="390" t="inlineStr">
        <is>
          <t>Chỉ tiêu cơ sở</t>
        </is>
      </c>
      <c r="H3293" s="390" t="inlineStr">
        <is>
          <t>Dễ</t>
        </is>
      </c>
      <c r="I3293" s="390" t="inlineStr">
        <is>
          <t>Ngày, CTCK</t>
        </is>
      </c>
      <c r="J3293" s="401" t="inlineStr">
        <is>
          <t>SCMS</t>
        </is>
      </c>
      <c r="K3293" s="401" t="n"/>
      <c r="L3293" s="401" t="inlineStr">
        <is>
          <t>X</t>
        </is>
      </c>
      <c r="M3293" s="401" t="n"/>
      <c r="N3293" s="401" t="inlineStr">
        <is>
          <t>Done</t>
        </is>
      </c>
      <c r="O3293" s="401" t="n"/>
      <c r="P3293" s="401" t="n"/>
      <c r="S3293" s="401" t="n"/>
      <c r="U3293" s="401" t="n"/>
      <c r="V3293" s="22" t="n"/>
      <c r="W3293" s="22" t="n"/>
      <c r="X3293" s="22" t="n"/>
      <c r="Y3293" s="13" t="n"/>
      <c r="Z3293" s="22" t="n"/>
      <c r="AA3293" s="22" t="n"/>
      <c r="AB3293" s="22" t="n"/>
      <c r="AC3293" s="22" t="n"/>
      <c r="AD3293" s="22" t="n"/>
      <c r="AE3293" s="22" t="n"/>
    </row>
    <row r="3294" ht="98" customHeight="1" s="380">
      <c r="A3294" s="144" t="n">
        <v>125</v>
      </c>
      <c r="B3294" s="390" t="n"/>
      <c r="C3294" s="390" t="inlineStr">
        <is>
          <t>Báo cáo tài chính quý, soát xét bán niên, kiểm toán năm - Chi nhánh công ty chứng khoán nước ngoài tại Việt Nam &gt;&gt; Báo cáo kết quả hoạt động riêng</t>
        </is>
      </c>
      <c r="D3294" s="390" t="inlineStr">
        <is>
          <t>2.10. Chi phí nghiệp vụ lưu ký chứng khoán</t>
        </is>
      </c>
      <c r="E3294" s="390" t="n">
        <v>30</v>
      </c>
      <c r="F3294" s="390" t="inlineStr">
        <is>
          <t>Data Explorer</t>
        </is>
      </c>
      <c r="G3294" s="390" t="inlineStr">
        <is>
          <t>Chỉ tiêu cơ sở</t>
        </is>
      </c>
      <c r="H3294" s="390" t="inlineStr">
        <is>
          <t>Dễ</t>
        </is>
      </c>
      <c r="I3294" s="390" t="inlineStr">
        <is>
          <t>Ngày, CTCK</t>
        </is>
      </c>
      <c r="J3294" s="401" t="inlineStr">
        <is>
          <t>SCMS</t>
        </is>
      </c>
      <c r="K3294" s="401" t="n"/>
      <c r="L3294" s="401" t="inlineStr">
        <is>
          <t>X</t>
        </is>
      </c>
      <c r="M3294" s="401" t="n"/>
      <c r="N3294" s="401" t="inlineStr">
        <is>
          <t>Done</t>
        </is>
      </c>
      <c r="O3294" s="401" t="n"/>
      <c r="P3294" s="401" t="n"/>
      <c r="S3294" s="401" t="n"/>
      <c r="U3294" s="401" t="n"/>
      <c r="V3294" s="22" t="n"/>
      <c r="W3294" s="22" t="n"/>
      <c r="X3294" s="22" t="n"/>
      <c r="Y3294" s="13" t="n"/>
      <c r="Z3294" s="22" t="n"/>
      <c r="AA3294" s="22" t="n"/>
      <c r="AB3294" s="22" t="n"/>
      <c r="AC3294" s="22" t="n"/>
      <c r="AD3294" s="22" t="n"/>
      <c r="AE3294" s="22" t="n"/>
    </row>
    <row r="3295" ht="98" customHeight="1" s="380">
      <c r="A3295" s="144" t="n">
        <v>125</v>
      </c>
      <c r="B3295" s="390" t="n"/>
      <c r="C3295" s="390" t="inlineStr">
        <is>
          <t>Báo cáo tài chính quý, soát xét bán niên, kiểm toán năm - Chi nhánh công ty chứng khoán nước ngoài tại Việt Nam &gt;&gt; Báo cáo kết quả hoạt động riêng</t>
        </is>
      </c>
      <c r="D3295" s="390" t="inlineStr">
        <is>
          <t>2.11. Chi phí hoạt động tư vấn tài chính</t>
        </is>
      </c>
      <c r="E3295" s="390" t="n">
        <v>31</v>
      </c>
      <c r="F3295" s="390" t="inlineStr">
        <is>
          <t>Data Explorer</t>
        </is>
      </c>
      <c r="G3295" s="390" t="inlineStr">
        <is>
          <t>Chỉ tiêu cơ sở</t>
        </is>
      </c>
      <c r="H3295" s="390" t="inlineStr">
        <is>
          <t>Dễ</t>
        </is>
      </c>
      <c r="I3295" s="390" t="inlineStr">
        <is>
          <t>Ngày, CTCK</t>
        </is>
      </c>
      <c r="J3295" s="401" t="inlineStr">
        <is>
          <t>SCMS</t>
        </is>
      </c>
      <c r="K3295" s="401" t="n"/>
      <c r="L3295" s="401" t="inlineStr">
        <is>
          <t>X</t>
        </is>
      </c>
      <c r="M3295" s="401" t="n"/>
      <c r="N3295" s="401" t="inlineStr">
        <is>
          <t>Done</t>
        </is>
      </c>
      <c r="O3295" s="401" t="n"/>
      <c r="P3295" s="401" t="n"/>
      <c r="S3295" s="401" t="n"/>
      <c r="U3295" s="401" t="n"/>
      <c r="V3295" s="22" t="n"/>
      <c r="W3295" s="22" t="n"/>
      <c r="X3295" s="22" t="n"/>
      <c r="Y3295" s="13" t="n"/>
      <c r="Z3295" s="22" t="n"/>
      <c r="AA3295" s="22" t="n"/>
      <c r="AB3295" s="22" t="n"/>
      <c r="AC3295" s="22" t="n"/>
      <c r="AD3295" s="22" t="n"/>
      <c r="AE3295" s="22" t="n"/>
    </row>
    <row r="3296" ht="98" customHeight="1" s="380">
      <c r="A3296" s="144" t="n">
        <v>125</v>
      </c>
      <c r="B3296" s="390" t="n"/>
      <c r="C3296" s="390" t="inlineStr">
        <is>
          <t>Báo cáo tài chính quý, soát xét bán niên, kiểm toán năm - Chi nhánh công ty chứng khoán nước ngoài tại Việt Nam &gt;&gt; Báo cáo kết quả hoạt động riêng</t>
        </is>
      </c>
      <c r="D3296" s="390" t="inlineStr">
        <is>
          <t>2.12. Chi phí các dịch vụ khác</t>
        </is>
      </c>
      <c r="E3296" s="390" t="n">
        <v>32</v>
      </c>
      <c r="F3296" s="390" t="inlineStr">
        <is>
          <t>Data Explorer</t>
        </is>
      </c>
      <c r="G3296" s="390" t="inlineStr">
        <is>
          <t>Chỉ tiêu cơ sở</t>
        </is>
      </c>
      <c r="H3296" s="390" t="inlineStr">
        <is>
          <t>Dễ</t>
        </is>
      </c>
      <c r="I3296" s="390" t="inlineStr">
        <is>
          <t>Ngày, CTCK</t>
        </is>
      </c>
      <c r="J3296" s="401" t="inlineStr">
        <is>
          <t>SCMS</t>
        </is>
      </c>
      <c r="K3296" s="401" t="n"/>
      <c r="L3296" s="401" t="inlineStr">
        <is>
          <t>X</t>
        </is>
      </c>
      <c r="M3296" s="401" t="n"/>
      <c r="N3296" s="401" t="inlineStr">
        <is>
          <t>Done</t>
        </is>
      </c>
      <c r="O3296" s="401" t="n"/>
      <c r="P3296" s="401" t="n"/>
      <c r="S3296" s="401" t="n"/>
      <c r="U3296" s="401" t="n"/>
      <c r="V3296" s="22" t="n"/>
      <c r="W3296" s="22" t="n"/>
      <c r="X3296" s="22" t="n"/>
      <c r="Y3296" s="13" t="n"/>
      <c r="Z3296" s="22" t="n"/>
      <c r="AA3296" s="22" t="n"/>
      <c r="AB3296" s="22" t="n"/>
      <c r="AC3296" s="22" t="n"/>
      <c r="AD3296" s="22" t="n"/>
      <c r="AE3296" s="22" t="n"/>
    </row>
    <row r="3297" ht="98" customHeight="1" s="380">
      <c r="A3297" s="144" t="n">
        <v>125</v>
      </c>
      <c r="B3297" s="390" t="n"/>
      <c r="C3297" s="390" t="inlineStr">
        <is>
          <t>Báo cáo tài chính quý, soát xét bán niên, kiểm toán năm - Chi nhánh công ty chứng khoán nước ngoài tại Việt Nam &gt;&gt; Báo cáo kết quả hoạt động riêng</t>
        </is>
      </c>
      <c r="D3297" s="132" t="inlineStr">
        <is>
          <t>Cộng chi phí hoạt động (40 = 21 đến 32)</t>
        </is>
      </c>
      <c r="E3297" s="132" t="n">
        <v>40</v>
      </c>
      <c r="F3297" s="390" t="inlineStr">
        <is>
          <t>Data Explorer</t>
        </is>
      </c>
      <c r="G3297" s="390" t="inlineStr">
        <is>
          <t>Chỉ tiêu cơ sở</t>
        </is>
      </c>
      <c r="H3297" s="390" t="inlineStr">
        <is>
          <t>Dễ</t>
        </is>
      </c>
      <c r="I3297" s="390" t="inlineStr">
        <is>
          <t>Ngày, CTCK</t>
        </is>
      </c>
      <c r="J3297" s="401" t="inlineStr">
        <is>
          <t>SCMS</t>
        </is>
      </c>
      <c r="K3297" s="401" t="n"/>
      <c r="L3297" s="401" t="inlineStr">
        <is>
          <t>X</t>
        </is>
      </c>
      <c r="M3297" s="401" t="n"/>
      <c r="N3297" s="401" t="inlineStr">
        <is>
          <t>Done</t>
        </is>
      </c>
      <c r="O3297" s="401" t="n"/>
      <c r="P3297" s="401" t="n"/>
      <c r="S3297" s="401" t="n"/>
      <c r="U3297" s="401" t="n"/>
      <c r="V3297" s="22" t="n"/>
      <c r="W3297" s="22" t="n"/>
      <c r="X3297" s="22" t="n"/>
      <c r="Y3297" s="13" t="n"/>
      <c r="Z3297" s="22" t="n"/>
      <c r="AA3297" s="22" t="n"/>
      <c r="AB3297" s="22" t="n"/>
      <c r="AC3297" s="22" t="n"/>
      <c r="AD3297" s="22" t="n"/>
      <c r="AE3297" s="22" t="n"/>
    </row>
    <row r="3298" ht="98" customHeight="1" s="380">
      <c r="A3298" s="144" t="n">
        <v>125</v>
      </c>
      <c r="B3298" s="390" t="n"/>
      <c r="C3298" s="390" t="inlineStr">
        <is>
          <t>Báo cáo tài chính quý, soát xét bán niên, kiểm toán năm - Chi nhánh công ty chứng khoán nước ngoài tại Việt Nam &gt;&gt; Báo cáo kết quả hoạt động riêng</t>
        </is>
      </c>
      <c r="D3298" s="132" t="inlineStr">
        <is>
          <t>III. DOANH THU HOẠT ĐỘNG TÀI CHÍNH</t>
        </is>
      </c>
      <c r="E3298" s="401" t="n"/>
      <c r="F3298" s="390" t="inlineStr">
        <is>
          <t>Data Explorer</t>
        </is>
      </c>
      <c r="G3298" s="390" t="inlineStr">
        <is>
          <t>Chỉ tiêu cơ sở</t>
        </is>
      </c>
      <c r="H3298" s="390" t="inlineStr">
        <is>
          <t>Dễ</t>
        </is>
      </c>
      <c r="I3298" s="390" t="inlineStr">
        <is>
          <t>Ngày, CTCK</t>
        </is>
      </c>
      <c r="J3298" s="401" t="inlineStr">
        <is>
          <t>SCMS</t>
        </is>
      </c>
      <c r="K3298" s="401" t="n"/>
      <c r="L3298" s="401" t="inlineStr">
        <is>
          <t>X</t>
        </is>
      </c>
      <c r="M3298" s="401" t="n"/>
      <c r="N3298" s="401" t="inlineStr">
        <is>
          <t>Done</t>
        </is>
      </c>
      <c r="O3298" s="401" t="n"/>
      <c r="P3298" s="401" t="n"/>
      <c r="S3298" s="401" t="n"/>
      <c r="U3298" s="401" t="n"/>
      <c r="V3298" s="22" t="n"/>
      <c r="W3298" s="22" t="n"/>
      <c r="X3298" s="22" t="n"/>
      <c r="Y3298" s="14" t="n"/>
      <c r="Z3298" s="22" t="n"/>
      <c r="AA3298" s="22" t="n"/>
      <c r="AB3298" s="22" t="n"/>
      <c r="AC3298" s="22" t="n"/>
      <c r="AD3298" s="22" t="n"/>
      <c r="AE3298" s="22" t="n"/>
    </row>
    <row r="3299" ht="98" customHeight="1" s="380">
      <c r="A3299" s="144" t="n">
        <v>125</v>
      </c>
      <c r="B3299" s="390" t="n"/>
      <c r="C3299" s="390" t="inlineStr">
        <is>
          <t>Báo cáo tài chính quý, soát xét bán niên, kiểm toán năm - Chi nhánh công ty chứng khoán nước ngoài tại Việt Nam &gt;&gt; Báo cáo kết quả hoạt động riêng</t>
        </is>
      </c>
      <c r="D3299" s="390" t="inlineStr">
        <is>
          <t>3.1. Chênh lệch lãi tỷ giá hối đoái đã và chưa thực hiện</t>
        </is>
      </c>
      <c r="E3299" s="390" t="n">
        <v>41</v>
      </c>
      <c r="F3299" s="390" t="inlineStr">
        <is>
          <t>Data Explorer</t>
        </is>
      </c>
      <c r="G3299" s="390" t="inlineStr">
        <is>
          <t>Chỉ tiêu cơ sở</t>
        </is>
      </c>
      <c r="H3299" s="390" t="inlineStr">
        <is>
          <t>Dễ</t>
        </is>
      </c>
      <c r="I3299" s="390" t="inlineStr">
        <is>
          <t>Ngày, CTCK</t>
        </is>
      </c>
      <c r="J3299" s="401" t="inlineStr">
        <is>
          <t>SCMS</t>
        </is>
      </c>
      <c r="K3299" s="401" t="n"/>
      <c r="L3299" s="401" t="inlineStr">
        <is>
          <t>X</t>
        </is>
      </c>
      <c r="M3299" s="401" t="n"/>
      <c r="N3299" s="401" t="inlineStr">
        <is>
          <t>Done</t>
        </is>
      </c>
      <c r="O3299" s="401" t="n"/>
      <c r="P3299" s="401" t="n"/>
      <c r="S3299" s="401" t="n"/>
      <c r="U3299" s="401" t="n"/>
      <c r="V3299" s="22" t="n"/>
      <c r="W3299" s="22" t="n"/>
      <c r="X3299" s="22" t="n"/>
      <c r="Y3299" s="13" t="n"/>
      <c r="Z3299" s="22" t="n"/>
      <c r="AA3299" s="22" t="n"/>
      <c r="AB3299" s="22" t="n"/>
      <c r="AC3299" s="22" t="n"/>
      <c r="AD3299" s="22" t="n"/>
      <c r="AE3299" s="22" t="n"/>
    </row>
    <row r="3300" ht="98" customHeight="1" s="380">
      <c r="A3300" s="144" t="n">
        <v>125</v>
      </c>
      <c r="B3300" s="390" t="n"/>
      <c r="C3300" s="390" t="inlineStr">
        <is>
          <t>Báo cáo tài chính quý, soát xét bán niên, kiểm toán năm - Chi nhánh công ty chứng khoán nước ngoài tại Việt Nam &gt;&gt; Báo cáo kết quả hoạt động riêng</t>
        </is>
      </c>
      <c r="D3300" s="390" t="inlineStr">
        <is>
          <t xml:space="preserve">3.2. Doanh thu, dự thu cổ tức, lãi tiền gửi ngân hàng không cố định </t>
        </is>
      </c>
      <c r="E3300" s="390" t="n">
        <v>42</v>
      </c>
      <c r="F3300" s="390" t="inlineStr">
        <is>
          <t>Data Explorer</t>
        </is>
      </c>
      <c r="G3300" s="390" t="inlineStr">
        <is>
          <t>Chỉ tiêu cơ sở</t>
        </is>
      </c>
      <c r="H3300" s="390" t="inlineStr">
        <is>
          <t>Dễ</t>
        </is>
      </c>
      <c r="I3300" s="390" t="inlineStr">
        <is>
          <t>Ngày, CTCK</t>
        </is>
      </c>
      <c r="J3300" s="401" t="inlineStr">
        <is>
          <t>SCMS</t>
        </is>
      </c>
      <c r="K3300" s="401" t="n"/>
      <c r="L3300" s="401" t="inlineStr">
        <is>
          <t>X</t>
        </is>
      </c>
      <c r="M3300" s="401" t="n"/>
      <c r="N3300" s="401" t="inlineStr">
        <is>
          <t>Done</t>
        </is>
      </c>
      <c r="O3300" s="401" t="n"/>
      <c r="P3300" s="401" t="n"/>
      <c r="S3300" s="401" t="n"/>
      <c r="U3300" s="401" t="n"/>
      <c r="V3300" s="22" t="n"/>
      <c r="W3300" s="22" t="n"/>
      <c r="X3300" s="22" t="n"/>
      <c r="Y3300" s="13" t="n"/>
      <c r="Z3300" s="22" t="n"/>
      <c r="AA3300" s="22" t="n"/>
      <c r="AB3300" s="22" t="n"/>
      <c r="AC3300" s="22" t="n"/>
      <c r="AD3300" s="22" t="n"/>
      <c r="AE3300" s="22" t="n"/>
    </row>
    <row r="3301" ht="98" customHeight="1" s="380">
      <c r="A3301" s="144" t="n">
        <v>125</v>
      </c>
      <c r="B3301" s="390" t="n"/>
      <c r="C3301" s="390" t="inlineStr">
        <is>
          <t>Báo cáo tài chính quý, soát xét bán niên, kiểm toán năm - Chi nhánh công ty chứng khoán nước ngoài tại Việt Nam &gt;&gt; Báo cáo kết quả hoạt động riêng</t>
        </is>
      </c>
      <c r="D3301" s="390" t="inlineStr">
        <is>
          <t>3.3. Lãi bán, thanh lý các khoản đầu tư vào công ty con, liên kết, liên doanh</t>
        </is>
      </c>
      <c r="E3301" s="390" t="n">
        <v>43</v>
      </c>
      <c r="F3301" s="390" t="inlineStr">
        <is>
          <t>Data Explorer</t>
        </is>
      </c>
      <c r="G3301" s="390" t="inlineStr">
        <is>
          <t>Chỉ tiêu cơ sở</t>
        </is>
      </c>
      <c r="H3301" s="390" t="inlineStr">
        <is>
          <t>Dễ</t>
        </is>
      </c>
      <c r="I3301" s="390" t="inlineStr">
        <is>
          <t>Ngày, CTCK</t>
        </is>
      </c>
      <c r="J3301" s="401" t="inlineStr">
        <is>
          <t>SCMS</t>
        </is>
      </c>
      <c r="K3301" s="401" t="n"/>
      <c r="L3301" s="401" t="inlineStr">
        <is>
          <t>X</t>
        </is>
      </c>
      <c r="M3301" s="401" t="n"/>
      <c r="N3301" s="401" t="inlineStr">
        <is>
          <t>Done</t>
        </is>
      </c>
      <c r="O3301" s="401" t="n"/>
      <c r="P3301" s="401" t="n"/>
      <c r="S3301" s="401" t="n"/>
      <c r="U3301" s="401" t="n"/>
      <c r="V3301" s="22" t="n"/>
      <c r="W3301" s="22" t="n"/>
      <c r="X3301" s="22" t="n"/>
      <c r="Y3301" s="13" t="n"/>
      <c r="Z3301" s="22" t="n"/>
      <c r="AA3301" s="22" t="n"/>
      <c r="AB3301" s="22" t="n"/>
      <c r="AC3301" s="22" t="n"/>
      <c r="AD3301" s="22" t="n"/>
      <c r="AE3301" s="22" t="n"/>
    </row>
    <row r="3302" ht="98" customHeight="1" s="380">
      <c r="A3302" s="144" t="n">
        <v>125</v>
      </c>
      <c r="B3302" s="390" t="n"/>
      <c r="C3302" s="390" t="inlineStr">
        <is>
          <t>Báo cáo tài chính quý, soát xét bán niên, kiểm toán năm - Chi nhánh công ty chứng khoán nước ngoài tại Việt Nam &gt;&gt; Báo cáo kết quả hoạt động riêng</t>
        </is>
      </c>
      <c r="D3302" s="390" t="inlineStr">
        <is>
          <t>3.4. Doanh thu khác về đầu tư</t>
        </is>
      </c>
      <c r="E3302" s="390" t="n">
        <v>44</v>
      </c>
      <c r="F3302" s="390" t="inlineStr">
        <is>
          <t>Data Explorer</t>
        </is>
      </c>
      <c r="G3302" s="390" t="inlineStr">
        <is>
          <t>Chỉ tiêu cơ sở</t>
        </is>
      </c>
      <c r="H3302" s="390" t="inlineStr">
        <is>
          <t>Dễ</t>
        </is>
      </c>
      <c r="I3302" s="390" t="inlineStr">
        <is>
          <t>Ngày, CTCK</t>
        </is>
      </c>
      <c r="J3302" s="401" t="inlineStr">
        <is>
          <t>SCMS</t>
        </is>
      </c>
      <c r="K3302" s="401" t="n"/>
      <c r="L3302" s="401" t="inlineStr">
        <is>
          <t>X</t>
        </is>
      </c>
      <c r="M3302" s="401" t="n"/>
      <c r="N3302" s="401" t="inlineStr">
        <is>
          <t>Done</t>
        </is>
      </c>
      <c r="O3302" s="401" t="n"/>
      <c r="P3302" s="401" t="n"/>
      <c r="S3302" s="401" t="n"/>
      <c r="U3302" s="401" t="n"/>
      <c r="V3302" s="22" t="n"/>
      <c r="W3302" s="22" t="n"/>
      <c r="X3302" s="22" t="n"/>
      <c r="Y3302" s="13" t="n"/>
      <c r="Z3302" s="22" t="n"/>
      <c r="AA3302" s="22" t="n"/>
      <c r="AB3302" s="22" t="n"/>
      <c r="AC3302" s="22" t="n"/>
      <c r="AD3302" s="22" t="n"/>
      <c r="AE3302" s="22" t="n"/>
    </row>
    <row r="3303" ht="98" customHeight="1" s="380">
      <c r="A3303" s="144" t="n">
        <v>125</v>
      </c>
      <c r="B3303" s="390" t="n"/>
      <c r="C3303" s="390" t="inlineStr">
        <is>
          <t>Báo cáo tài chính quý, soát xét bán niên, kiểm toán năm - Chi nhánh công ty chứng khoán nước ngoài tại Việt Nam &gt;&gt; Báo cáo kết quả hoạt động riêng</t>
        </is>
      </c>
      <c r="D3303" s="132" t="inlineStr">
        <is>
          <t>Cộng doanh thu hoạt động tài chính (50 = 41 đến 44)</t>
        </is>
      </c>
      <c r="E3303" s="132" t="n">
        <v>50</v>
      </c>
      <c r="F3303" s="390" t="inlineStr">
        <is>
          <t>Data Explorer</t>
        </is>
      </c>
      <c r="G3303" s="390" t="inlineStr">
        <is>
          <t>Chỉ tiêu cơ sở</t>
        </is>
      </c>
      <c r="H3303" s="390" t="inlineStr">
        <is>
          <t>Dễ</t>
        </is>
      </c>
      <c r="I3303" s="390" t="inlineStr">
        <is>
          <t>Ngày, CTCK</t>
        </is>
      </c>
      <c r="J3303" s="401" t="inlineStr">
        <is>
          <t>SCMS</t>
        </is>
      </c>
      <c r="K3303" s="401" t="n"/>
      <c r="L3303" s="401" t="inlineStr">
        <is>
          <t>X</t>
        </is>
      </c>
      <c r="M3303" s="401" t="n"/>
      <c r="N3303" s="401" t="inlineStr">
        <is>
          <t>Done</t>
        </is>
      </c>
      <c r="O3303" s="401" t="n"/>
      <c r="P3303" s="401" t="n"/>
      <c r="S3303" s="401" t="n"/>
      <c r="U3303" s="401" t="n"/>
      <c r="V3303" s="22" t="n"/>
      <c r="W3303" s="22" t="n"/>
      <c r="X3303" s="22" t="n"/>
      <c r="Y3303" s="13" t="n"/>
      <c r="Z3303" s="22" t="n"/>
      <c r="AA3303" s="22" t="n"/>
      <c r="AB3303" s="22" t="n"/>
      <c r="AC3303" s="22" t="n"/>
      <c r="AD3303" s="22" t="n"/>
      <c r="AE3303" s="22" t="n"/>
    </row>
    <row r="3304" ht="98" customHeight="1" s="380">
      <c r="A3304" s="144" t="n">
        <v>125</v>
      </c>
      <c r="B3304" s="390" t="n"/>
      <c r="C3304" s="390" t="inlineStr">
        <is>
          <t>Báo cáo tài chính quý, soát xét bán niên, kiểm toán năm - Chi nhánh công ty chứng khoán nước ngoài tại Việt Nam &gt;&gt; Báo cáo kết quả hoạt động riêng</t>
        </is>
      </c>
      <c r="D3304" s="132" t="inlineStr">
        <is>
          <t xml:space="preserve">IV. CHI PHÍ TÀI CHÍNH </t>
        </is>
      </c>
      <c r="E3304" s="401" t="n"/>
      <c r="F3304" s="390" t="inlineStr">
        <is>
          <t>Data Explorer</t>
        </is>
      </c>
      <c r="G3304" s="390" t="inlineStr">
        <is>
          <t>Chỉ tiêu cơ sở</t>
        </is>
      </c>
      <c r="H3304" s="390" t="inlineStr">
        <is>
          <t>Dễ</t>
        </is>
      </c>
      <c r="I3304" s="390" t="inlineStr">
        <is>
          <t>Ngày, CTCK</t>
        </is>
      </c>
      <c r="J3304" s="401" t="inlineStr">
        <is>
          <t>SCMS</t>
        </is>
      </c>
      <c r="K3304" s="401" t="n"/>
      <c r="L3304" s="401" t="inlineStr">
        <is>
          <t>X</t>
        </is>
      </c>
      <c r="M3304" s="401" t="n"/>
      <c r="N3304" s="401" t="inlineStr">
        <is>
          <t>Done</t>
        </is>
      </c>
      <c r="O3304" s="401" t="n"/>
      <c r="P3304" s="401" t="n"/>
      <c r="S3304" s="401" t="n"/>
      <c r="U3304" s="401" t="n"/>
      <c r="V3304" s="22" t="n"/>
      <c r="W3304" s="22" t="n"/>
      <c r="X3304" s="22" t="n"/>
      <c r="Y3304" s="14" t="n"/>
      <c r="Z3304" s="22" t="n"/>
      <c r="AA3304" s="22" t="n"/>
      <c r="AB3304" s="22" t="n"/>
      <c r="AC3304" s="22" t="n"/>
      <c r="AD3304" s="22" t="n"/>
      <c r="AE3304" s="22" t="n"/>
    </row>
    <row r="3305" ht="98" customHeight="1" s="380">
      <c r="A3305" s="144" t="n">
        <v>125</v>
      </c>
      <c r="B3305" s="390" t="n"/>
      <c r="C3305" s="390" t="inlineStr">
        <is>
          <t>Báo cáo tài chính quý, soát xét bán niên, kiểm toán năm - Chi nhánh công ty chứng khoán nước ngoài tại Việt Nam &gt;&gt; Báo cáo kết quả hoạt động riêng</t>
        </is>
      </c>
      <c r="D3305" s="390" t="inlineStr">
        <is>
          <t>4.1. Chênh lệch lỗ tỷ giá hối đoái đã và chưa thực hiện</t>
        </is>
      </c>
      <c r="E3305" s="390" t="n">
        <v>51</v>
      </c>
      <c r="F3305" s="390" t="inlineStr">
        <is>
          <t>Data Explorer</t>
        </is>
      </c>
      <c r="G3305" s="390" t="inlineStr">
        <is>
          <t>Chỉ tiêu cơ sở</t>
        </is>
      </c>
      <c r="H3305" s="390" t="inlineStr">
        <is>
          <t>Dễ</t>
        </is>
      </c>
      <c r="I3305" s="390" t="inlineStr">
        <is>
          <t>Ngày, CTCK</t>
        </is>
      </c>
      <c r="J3305" s="401" t="inlineStr">
        <is>
          <t>SCMS</t>
        </is>
      </c>
      <c r="K3305" s="401" t="n"/>
      <c r="L3305" s="401" t="inlineStr">
        <is>
          <t>X</t>
        </is>
      </c>
      <c r="M3305" s="401" t="n"/>
      <c r="N3305" s="401" t="inlineStr">
        <is>
          <t>Done</t>
        </is>
      </c>
      <c r="O3305" s="401" t="n"/>
      <c r="P3305" s="401" t="n"/>
      <c r="S3305" s="401" t="n"/>
      <c r="U3305" s="401" t="n"/>
      <c r="V3305" s="22" t="n"/>
      <c r="W3305" s="22" t="n"/>
      <c r="X3305" s="22" t="n"/>
      <c r="Y3305" s="13" t="n"/>
      <c r="Z3305" s="22" t="n"/>
      <c r="AA3305" s="22" t="n"/>
      <c r="AB3305" s="22" t="n"/>
      <c r="AC3305" s="22" t="n"/>
      <c r="AD3305" s="22" t="n"/>
      <c r="AE3305" s="22" t="n"/>
    </row>
    <row r="3306" ht="98" customHeight="1" s="380">
      <c r="A3306" s="144" t="n">
        <v>125</v>
      </c>
      <c r="B3306" s="390" t="n"/>
      <c r="C3306" s="390" t="inlineStr">
        <is>
          <t>Báo cáo tài chính quý, soát xét bán niên, kiểm toán năm - Chi nhánh công ty chứng khoán nước ngoài tại Việt Nam &gt;&gt; Báo cáo kết quả hoạt động riêng</t>
        </is>
      </c>
      <c r="D3306" s="390" t="inlineStr">
        <is>
          <t>4.2. Chi phí lãi vay</t>
        </is>
      </c>
      <c r="E3306" s="390" t="n">
        <v>52</v>
      </c>
      <c r="F3306" s="390" t="inlineStr">
        <is>
          <t>Data Explorer</t>
        </is>
      </c>
      <c r="G3306" s="390" t="inlineStr">
        <is>
          <t>Chỉ tiêu cơ sở</t>
        </is>
      </c>
      <c r="H3306" s="390" t="inlineStr">
        <is>
          <t>Dễ</t>
        </is>
      </c>
      <c r="I3306" s="390" t="inlineStr">
        <is>
          <t>Ngày, CTCK</t>
        </is>
      </c>
      <c r="J3306" s="401" t="inlineStr">
        <is>
          <t>SCMS</t>
        </is>
      </c>
      <c r="K3306" s="401" t="n"/>
      <c r="L3306" s="401" t="inlineStr">
        <is>
          <t>X</t>
        </is>
      </c>
      <c r="M3306" s="401" t="n"/>
      <c r="N3306" s="401" t="inlineStr">
        <is>
          <t>Done</t>
        </is>
      </c>
      <c r="O3306" s="401" t="n"/>
      <c r="P3306" s="401" t="n"/>
      <c r="S3306" s="401" t="n"/>
      <c r="U3306" s="401" t="n"/>
      <c r="V3306" s="22" t="n"/>
      <c r="W3306" s="22" t="n"/>
      <c r="X3306" s="22" t="n"/>
      <c r="Y3306" s="13" t="n"/>
      <c r="Z3306" s="22" t="n"/>
      <c r="AA3306" s="22" t="n"/>
      <c r="AB3306" s="22" t="n"/>
      <c r="AC3306" s="22" t="n"/>
      <c r="AD3306" s="22" t="n"/>
      <c r="AE3306" s="22" t="n"/>
    </row>
    <row r="3307" ht="98" customHeight="1" s="380">
      <c r="A3307" s="144" t="n">
        <v>125</v>
      </c>
      <c r="B3307" s="390" t="n"/>
      <c r="C3307" s="390" t="inlineStr">
        <is>
          <t>Báo cáo tài chính quý, soát xét bán niên, kiểm toán năm - Chi nhánh công ty chứng khoán nước ngoài tại Việt Nam &gt;&gt; Báo cáo kết quả hoạt động riêng</t>
        </is>
      </c>
      <c r="D3307" s="390" t="inlineStr">
        <is>
          <t>4.3. Lỗ bán, thanh lý các khoản đầu tư vào công ty con, liên kết, liên doanh</t>
        </is>
      </c>
      <c r="E3307" s="390" t="n">
        <v>60</v>
      </c>
      <c r="F3307" s="390" t="inlineStr">
        <is>
          <t>Data Explorer</t>
        </is>
      </c>
      <c r="G3307" s="390" t="inlineStr">
        <is>
          <t>Chỉ tiêu cơ sở</t>
        </is>
      </c>
      <c r="H3307" s="390" t="inlineStr">
        <is>
          <t>Dễ</t>
        </is>
      </c>
      <c r="I3307" s="390" t="inlineStr">
        <is>
          <t>Ngày, CTCK</t>
        </is>
      </c>
      <c r="J3307" s="401" t="inlineStr">
        <is>
          <t>SCMS</t>
        </is>
      </c>
      <c r="K3307" s="401" t="n"/>
      <c r="L3307" s="401" t="inlineStr">
        <is>
          <t>X</t>
        </is>
      </c>
      <c r="M3307" s="401" t="n"/>
      <c r="N3307" s="401" t="inlineStr">
        <is>
          <t>Done</t>
        </is>
      </c>
      <c r="O3307" s="401" t="n"/>
      <c r="P3307" s="401" t="n"/>
      <c r="S3307" s="401" t="n"/>
      <c r="U3307" s="401" t="n"/>
      <c r="V3307" s="22" t="n"/>
      <c r="W3307" s="22" t="n"/>
      <c r="X3307" s="22" t="n"/>
      <c r="Y3307" s="13" t="n"/>
      <c r="Z3307" s="22" t="n"/>
      <c r="AA3307" s="22" t="n"/>
      <c r="AB3307" s="22" t="n"/>
      <c r="AC3307" s="22" t="n"/>
      <c r="AD3307" s="22" t="n"/>
      <c r="AE3307" s="22" t="n"/>
    </row>
    <row r="3308" ht="98" customHeight="1" s="380">
      <c r="A3308" s="144" t="n">
        <v>125</v>
      </c>
      <c r="B3308" s="390" t="n"/>
      <c r="C3308" s="390" t="inlineStr">
        <is>
          <t>Báo cáo tài chính quý, soát xét bán niên, kiểm toán năm - Chi nhánh công ty chứng khoán nước ngoài tại Việt Nam &gt;&gt; Báo cáo kết quả hoạt động riêng</t>
        </is>
      </c>
      <c r="D3308" s="390" t="inlineStr">
        <is>
          <t>4.4. Chi phí dự phòng suy giảm giá trị các khoản đầu tư tài chính dài hạn</t>
        </is>
      </c>
      <c r="E3308" s="390" t="n">
        <v>54</v>
      </c>
      <c r="F3308" s="390" t="inlineStr">
        <is>
          <t>Data Explorer</t>
        </is>
      </c>
      <c r="G3308" s="390" t="inlineStr">
        <is>
          <t>Chỉ tiêu cơ sở</t>
        </is>
      </c>
      <c r="H3308" s="390" t="inlineStr">
        <is>
          <t>Dễ</t>
        </is>
      </c>
      <c r="I3308" s="390" t="inlineStr">
        <is>
          <t>Ngày, CTCK</t>
        </is>
      </c>
      <c r="J3308" s="401" t="inlineStr">
        <is>
          <t>SCMS</t>
        </is>
      </c>
      <c r="K3308" s="401" t="n"/>
      <c r="L3308" s="401" t="inlineStr">
        <is>
          <t>X</t>
        </is>
      </c>
      <c r="M3308" s="401" t="n"/>
      <c r="N3308" s="401" t="inlineStr">
        <is>
          <t>Done</t>
        </is>
      </c>
      <c r="O3308" s="401" t="n"/>
      <c r="P3308" s="401" t="n"/>
      <c r="S3308" s="401" t="n"/>
      <c r="U3308" s="401" t="n"/>
      <c r="V3308" s="22" t="n"/>
      <c r="W3308" s="22" t="n"/>
      <c r="X3308" s="22" t="n"/>
      <c r="Y3308" s="13" t="n"/>
      <c r="Z3308" s="22" t="n"/>
      <c r="AA3308" s="22" t="n"/>
      <c r="AB3308" s="22" t="n"/>
      <c r="AC3308" s="22" t="n"/>
      <c r="AD3308" s="22" t="n"/>
      <c r="AE3308" s="22" t="n"/>
    </row>
    <row r="3309" ht="98" customHeight="1" s="380">
      <c r="A3309" s="144" t="n">
        <v>125</v>
      </c>
      <c r="B3309" s="390" t="n"/>
      <c r="C3309" s="390" t="inlineStr">
        <is>
          <t>Báo cáo tài chính quý, soát xét bán niên, kiểm toán năm - Chi nhánh công ty chứng khoán nước ngoài tại Việt Nam &gt;&gt; Báo cáo kết quả hoạt động riêng</t>
        </is>
      </c>
      <c r="D3309" s="390" t="inlineStr">
        <is>
          <t>4.5. Chi phí tài chính khác</t>
        </is>
      </c>
      <c r="E3309" s="390" t="n">
        <v>55</v>
      </c>
      <c r="F3309" s="390" t="inlineStr">
        <is>
          <t>Data Explorer</t>
        </is>
      </c>
      <c r="G3309" s="390" t="inlineStr">
        <is>
          <t>Chỉ tiêu cơ sở</t>
        </is>
      </c>
      <c r="H3309" s="390" t="inlineStr">
        <is>
          <t>Dễ</t>
        </is>
      </c>
      <c r="I3309" s="390" t="inlineStr">
        <is>
          <t>Ngày, CTCK</t>
        </is>
      </c>
      <c r="J3309" s="401" t="inlineStr">
        <is>
          <t>SCMS</t>
        </is>
      </c>
      <c r="K3309" s="401" t="n"/>
      <c r="L3309" s="401" t="inlineStr">
        <is>
          <t>X</t>
        </is>
      </c>
      <c r="M3309" s="401" t="n"/>
      <c r="N3309" s="401" t="inlineStr">
        <is>
          <t>Done</t>
        </is>
      </c>
      <c r="O3309" s="401" t="n"/>
      <c r="P3309" s="401" t="n"/>
      <c r="S3309" s="401" t="n"/>
      <c r="U3309" s="401" t="n"/>
      <c r="V3309" s="22" t="n"/>
      <c r="W3309" s="22" t="n"/>
      <c r="X3309" s="22" t="n"/>
      <c r="Y3309" s="13" t="n"/>
      <c r="Z3309" s="22" t="n"/>
      <c r="AA3309" s="22" t="n"/>
      <c r="AB3309" s="22" t="n"/>
      <c r="AC3309" s="22" t="n"/>
      <c r="AD3309" s="22" t="n"/>
      <c r="AE3309" s="22" t="n"/>
    </row>
    <row r="3310" ht="98" customHeight="1" s="380">
      <c r="A3310" s="144" t="n">
        <v>125</v>
      </c>
      <c r="B3310" s="390" t="n"/>
      <c r="C3310" s="390" t="inlineStr">
        <is>
          <t>Báo cáo tài chính quý, soát xét bán niên, kiểm toán năm - Chi nhánh công ty chứng khoán nước ngoài tại Việt Nam &gt;&gt; Báo cáo kết quả hoạt động riêng</t>
        </is>
      </c>
      <c r="D3310" s="132" t="inlineStr">
        <is>
          <t>Cộng chi phí tài chính (60 = 51 đến 55)</t>
        </is>
      </c>
      <c r="E3310" s="132" t="n">
        <v>60</v>
      </c>
      <c r="F3310" s="390" t="inlineStr">
        <is>
          <t>Data Explorer</t>
        </is>
      </c>
      <c r="G3310" s="390" t="inlineStr">
        <is>
          <t>Chỉ tiêu cơ sở</t>
        </is>
      </c>
      <c r="H3310" s="390" t="inlineStr">
        <is>
          <t>Dễ</t>
        </is>
      </c>
      <c r="I3310" s="390" t="inlineStr">
        <is>
          <t>Ngày, CTCK</t>
        </is>
      </c>
      <c r="J3310" s="401" t="inlineStr">
        <is>
          <t>SCMS</t>
        </is>
      </c>
      <c r="K3310" s="401" t="n"/>
      <c r="L3310" s="401" t="inlineStr">
        <is>
          <t>X</t>
        </is>
      </c>
      <c r="M3310" s="401" t="n"/>
      <c r="N3310" s="401" t="inlineStr">
        <is>
          <t>Done</t>
        </is>
      </c>
      <c r="O3310" s="401" t="n"/>
      <c r="P3310" s="401" t="n"/>
      <c r="S3310" s="401" t="n"/>
      <c r="U3310" s="401" t="n"/>
      <c r="V3310" s="22" t="n"/>
      <c r="W3310" s="22" t="n"/>
      <c r="X3310" s="22" t="n"/>
      <c r="Y3310" s="38" t="n"/>
      <c r="Z3310" s="22" t="n"/>
      <c r="AA3310" s="22" t="n"/>
      <c r="AB3310" s="22" t="n"/>
      <c r="AC3310" s="22" t="n"/>
      <c r="AD3310" s="22" t="n"/>
      <c r="AE3310" s="22" t="n"/>
    </row>
    <row r="3311" ht="98" customHeight="1" s="380">
      <c r="A3311" s="144" t="n">
        <v>125</v>
      </c>
      <c r="B3311" s="390" t="n"/>
      <c r="C3311" s="390" t="inlineStr">
        <is>
          <t>Báo cáo tài chính quý, soát xét bán niên, kiểm toán năm - Chi nhánh công ty chứng khoán nước ngoài tại Việt Nam &gt;&gt; Báo cáo kết quả hoạt động riêng</t>
        </is>
      </c>
      <c r="D3311" s="132" t="inlineStr">
        <is>
          <t>V. CHI PHÍ BÁN HÀNG</t>
        </is>
      </c>
      <c r="E3311" s="132" t="n">
        <v>61</v>
      </c>
      <c r="F3311" s="390" t="inlineStr">
        <is>
          <t>Data Explorer</t>
        </is>
      </c>
      <c r="G3311" s="390" t="inlineStr">
        <is>
          <t>Chỉ tiêu cơ sở</t>
        </is>
      </c>
      <c r="H3311" s="390" t="inlineStr">
        <is>
          <t>Dễ</t>
        </is>
      </c>
      <c r="I3311" s="390" t="inlineStr">
        <is>
          <t>Ngày, CTCK</t>
        </is>
      </c>
      <c r="J3311" s="401" t="inlineStr">
        <is>
          <t>SCMS</t>
        </is>
      </c>
      <c r="K3311" s="401" t="n"/>
      <c r="L3311" s="401" t="inlineStr">
        <is>
          <t>X</t>
        </is>
      </c>
      <c r="M3311" s="401" t="n"/>
      <c r="N3311" s="401" t="inlineStr">
        <is>
          <t>Done</t>
        </is>
      </c>
      <c r="O3311" s="401" t="n"/>
      <c r="P3311" s="401" t="n"/>
      <c r="S3311" s="401" t="n"/>
      <c r="U3311" s="401" t="n"/>
      <c r="V3311" s="22" t="n"/>
      <c r="W3311" s="22" t="n"/>
      <c r="X3311" s="22" t="n"/>
      <c r="Y3311" s="13" t="n"/>
      <c r="Z3311" s="22" t="n"/>
      <c r="AA3311" s="22" t="n"/>
      <c r="AB3311" s="22" t="n"/>
      <c r="AC3311" s="22" t="n"/>
      <c r="AD3311" s="22" t="n"/>
      <c r="AE3311" s="22" t="n"/>
    </row>
    <row r="3312" ht="98" customHeight="1" s="380">
      <c r="A3312" s="144" t="n">
        <v>125</v>
      </c>
      <c r="B3312" s="390" t="n"/>
      <c r="C3312" s="390" t="inlineStr">
        <is>
          <t>Báo cáo tài chính quý, soát xét bán niên, kiểm toán năm - Chi nhánh công ty chứng khoán nước ngoài tại Việt Nam &gt;&gt; Báo cáo kết quả hoạt động riêng</t>
        </is>
      </c>
      <c r="D3312" s="132" t="inlineStr">
        <is>
          <t>VI. CHI PHÍ QUẢN LÝ CÔNG TY CHỨNG KHOÁN</t>
        </is>
      </c>
      <c r="E3312" s="132" t="n">
        <v>62</v>
      </c>
      <c r="F3312" s="390" t="inlineStr">
        <is>
          <t>Data Explorer</t>
        </is>
      </c>
      <c r="G3312" s="390" t="inlineStr">
        <is>
          <t>Chỉ tiêu cơ sở</t>
        </is>
      </c>
      <c r="H3312" s="390" t="inlineStr">
        <is>
          <t>Dễ</t>
        </is>
      </c>
      <c r="I3312" s="390" t="inlineStr">
        <is>
          <t>Ngày, CTCK</t>
        </is>
      </c>
      <c r="J3312" s="401" t="inlineStr">
        <is>
          <t>SCMS</t>
        </is>
      </c>
      <c r="K3312" s="401" t="n"/>
      <c r="L3312" s="401" t="inlineStr">
        <is>
          <t>X</t>
        </is>
      </c>
      <c r="M3312" s="401" t="n"/>
      <c r="N3312" s="401" t="inlineStr">
        <is>
          <t>Done</t>
        </is>
      </c>
      <c r="O3312" s="401" t="n"/>
      <c r="P3312" s="401" t="n"/>
      <c r="S3312" s="401" t="n"/>
      <c r="U3312" s="401" t="n"/>
      <c r="V3312" s="22" t="n"/>
      <c r="W3312" s="22" t="n"/>
      <c r="X3312" s="22" t="n"/>
      <c r="Y3312" s="13" t="n"/>
      <c r="Z3312" s="22" t="n"/>
      <c r="AA3312" s="22" t="n"/>
      <c r="AB3312" s="22" t="n"/>
      <c r="AC3312" s="22" t="n"/>
      <c r="AD3312" s="22" t="n"/>
      <c r="AE3312" s="22" t="n"/>
    </row>
    <row r="3313" ht="98" customHeight="1" s="380">
      <c r="A3313" s="144" t="n">
        <v>125</v>
      </c>
      <c r="B3313" s="390" t="n"/>
      <c r="C3313" s="390" t="inlineStr">
        <is>
          <t>Báo cáo tài chính quý, soát xét bán niên, kiểm toán năm - Chi nhánh công ty chứng khoán nước ngoài tại Việt Nam &gt;&gt; Báo cáo kết quả hoạt động riêng</t>
        </is>
      </c>
      <c r="D3313" s="132" t="inlineStr">
        <is>
          <t>VII. KẾT QUẢ HOẠT ĐỘNG (70= 20+50-40 -60-61-62)</t>
        </is>
      </c>
      <c r="E3313" s="132" t="n">
        <v>70</v>
      </c>
      <c r="F3313" s="390" t="inlineStr">
        <is>
          <t>Data Explorer</t>
        </is>
      </c>
      <c r="G3313" s="390" t="inlineStr">
        <is>
          <t>Chỉ tiêu cơ sở</t>
        </is>
      </c>
      <c r="H3313" s="390" t="inlineStr">
        <is>
          <t>Dễ</t>
        </is>
      </c>
      <c r="I3313" s="390" t="inlineStr">
        <is>
          <t>Ngày, CTCK</t>
        </is>
      </c>
      <c r="J3313" s="401" t="inlineStr">
        <is>
          <t>SCMS</t>
        </is>
      </c>
      <c r="K3313" s="401" t="n"/>
      <c r="L3313" s="401" t="inlineStr">
        <is>
          <t>X</t>
        </is>
      </c>
      <c r="M3313" s="401" t="n"/>
      <c r="N3313" s="401" t="inlineStr">
        <is>
          <t>Done</t>
        </is>
      </c>
      <c r="O3313" s="401" t="n"/>
      <c r="P3313" s="401" t="n"/>
      <c r="S3313" s="401" t="n"/>
      <c r="U3313" s="401" t="n"/>
      <c r="V3313" s="22" t="n"/>
      <c r="W3313" s="22" t="n"/>
      <c r="X3313" s="22" t="n"/>
      <c r="Y3313" s="13" t="n"/>
      <c r="Z3313" s="22" t="n"/>
      <c r="AA3313" s="22" t="n"/>
      <c r="AB3313" s="22" t="n"/>
      <c r="AC3313" s="22" t="n"/>
      <c r="AD3313" s="22" t="n"/>
      <c r="AE3313" s="22" t="n"/>
    </row>
    <row r="3314" ht="98" customHeight="1" s="380">
      <c r="A3314" s="144" t="n">
        <v>125</v>
      </c>
      <c r="B3314" s="390" t="n"/>
      <c r="C3314" s="390" t="inlineStr">
        <is>
          <t>Báo cáo tài chính quý, soát xét bán niên, kiểm toán năm - Chi nhánh công ty chứng khoán nước ngoài tại Việt Nam &gt;&gt; Báo cáo kết quả hoạt động riêng</t>
        </is>
      </c>
      <c r="D3314" s="132" t="inlineStr">
        <is>
          <t xml:space="preserve">VIII. THU NHẬP KHÁC VÀ CHI PHÍ KHÁC </t>
        </is>
      </c>
      <c r="E3314" s="401" t="n"/>
      <c r="F3314" s="390" t="inlineStr">
        <is>
          <t>Data Explorer</t>
        </is>
      </c>
      <c r="G3314" s="390" t="inlineStr">
        <is>
          <t>Chỉ tiêu cơ sở</t>
        </is>
      </c>
      <c r="H3314" s="390" t="inlineStr">
        <is>
          <t>Dễ</t>
        </is>
      </c>
      <c r="I3314" s="390" t="inlineStr">
        <is>
          <t>Ngày, CTCK</t>
        </is>
      </c>
      <c r="J3314" s="401" t="inlineStr">
        <is>
          <t>SCMS</t>
        </is>
      </c>
      <c r="K3314" s="401" t="n"/>
      <c r="L3314" s="401" t="inlineStr">
        <is>
          <t>X</t>
        </is>
      </c>
      <c r="M3314" s="401" t="n"/>
      <c r="N3314" s="401" t="inlineStr">
        <is>
          <t>Done</t>
        </is>
      </c>
      <c r="O3314" s="401" t="n"/>
      <c r="P3314" s="401" t="n"/>
      <c r="S3314" s="401" t="n"/>
      <c r="U3314" s="401" t="n"/>
      <c r="V3314" s="22" t="n"/>
      <c r="W3314" s="22" t="n"/>
      <c r="X3314" s="22" t="n"/>
      <c r="Y3314" s="13" t="n"/>
      <c r="Z3314" s="22" t="n"/>
      <c r="AA3314" s="22" t="n"/>
      <c r="AB3314" s="22" t="n"/>
      <c r="AC3314" s="22" t="n"/>
      <c r="AD3314" s="22" t="n"/>
      <c r="AE3314" s="22" t="n"/>
    </row>
    <row r="3315" ht="98" customHeight="1" s="380">
      <c r="A3315" s="144" t="n">
        <v>125</v>
      </c>
      <c r="B3315" s="390" t="n"/>
      <c r="C3315" s="390" t="inlineStr">
        <is>
          <t>Báo cáo tài chính quý, soát xét bán niên, kiểm toán năm - Chi nhánh công ty chứng khoán nước ngoài tại Việt Nam &gt;&gt; Báo cáo kết quả hoạt động riêng</t>
        </is>
      </c>
      <c r="D3315" s="390" t="inlineStr">
        <is>
          <t>8.1. Thu nhập khác</t>
        </is>
      </c>
      <c r="E3315" s="390" t="n">
        <v>71</v>
      </c>
      <c r="F3315" s="390" t="inlineStr">
        <is>
          <t>Data Explorer</t>
        </is>
      </c>
      <c r="G3315" s="390" t="inlineStr">
        <is>
          <t>Chỉ tiêu cơ sở</t>
        </is>
      </c>
      <c r="H3315" s="390" t="inlineStr">
        <is>
          <t>Dễ</t>
        </is>
      </c>
      <c r="I3315" s="390" t="inlineStr">
        <is>
          <t>Ngày, CTCK</t>
        </is>
      </c>
      <c r="J3315" s="401" t="inlineStr">
        <is>
          <t>SCMS</t>
        </is>
      </c>
      <c r="K3315" s="401" t="n"/>
      <c r="L3315" s="401" t="inlineStr">
        <is>
          <t>X</t>
        </is>
      </c>
      <c r="M3315" s="401" t="n"/>
      <c r="N3315" s="401" t="inlineStr">
        <is>
          <t>Done</t>
        </is>
      </c>
      <c r="O3315" s="401" t="n"/>
      <c r="P3315" s="401" t="n"/>
      <c r="S3315" s="401" t="n"/>
      <c r="U3315" s="401" t="n"/>
      <c r="V3315" s="22" t="n"/>
      <c r="W3315" s="22" t="n"/>
      <c r="X3315" s="22" t="n"/>
      <c r="Y3315" s="13" t="n"/>
      <c r="Z3315" s="22" t="n"/>
      <c r="AA3315" s="22" t="n"/>
      <c r="AB3315" s="22" t="n"/>
      <c r="AC3315" s="22" t="n"/>
      <c r="AD3315" s="22" t="n"/>
      <c r="AE3315" s="22" t="n"/>
    </row>
    <row r="3316" ht="98" customHeight="1" s="380">
      <c r="A3316" s="144" t="n">
        <v>125</v>
      </c>
      <c r="B3316" s="390" t="n"/>
      <c r="C3316" s="390" t="inlineStr">
        <is>
          <t>Báo cáo tài chính quý, soát xét bán niên, kiểm toán năm - Chi nhánh công ty chứng khoán nước ngoài tại Việt Nam &gt;&gt; Báo cáo kết quả hoạt động riêng</t>
        </is>
      </c>
      <c r="D3316" s="390" t="inlineStr">
        <is>
          <t>8.2. Chi phí khác</t>
        </is>
      </c>
      <c r="E3316" s="390" t="n">
        <v>72</v>
      </c>
      <c r="F3316" s="390" t="inlineStr">
        <is>
          <t>Data Explorer</t>
        </is>
      </c>
      <c r="G3316" s="390" t="inlineStr">
        <is>
          <t>Chỉ tiêu cơ sở</t>
        </is>
      </c>
      <c r="H3316" s="390" t="inlineStr">
        <is>
          <t>Dễ</t>
        </is>
      </c>
      <c r="I3316" s="390" t="inlineStr">
        <is>
          <t>Ngày, CTCK</t>
        </is>
      </c>
      <c r="J3316" s="401" t="inlineStr">
        <is>
          <t>SCMS</t>
        </is>
      </c>
      <c r="K3316" s="401" t="n"/>
      <c r="L3316" s="401" t="inlineStr">
        <is>
          <t>X</t>
        </is>
      </c>
      <c r="M3316" s="401" t="n"/>
      <c r="N3316" s="401" t="inlineStr">
        <is>
          <t>Done</t>
        </is>
      </c>
      <c r="O3316" s="401" t="n"/>
      <c r="P3316" s="401" t="n"/>
      <c r="S3316" s="401" t="n"/>
      <c r="U3316" s="401" t="n"/>
      <c r="V3316" s="22" t="n"/>
      <c r="W3316" s="22" t="n"/>
      <c r="X3316" s="22" t="n"/>
      <c r="Y3316" s="38" t="n"/>
      <c r="Z3316" s="22" t="n"/>
      <c r="AA3316" s="22" t="n"/>
      <c r="AB3316" s="22" t="n"/>
      <c r="AC3316" s="22" t="n"/>
      <c r="AD3316" s="22" t="n"/>
      <c r="AE3316" s="22" t="n"/>
    </row>
    <row r="3317" ht="98" customHeight="1" s="380">
      <c r="A3317" s="144" t="n">
        <v>125</v>
      </c>
      <c r="B3317" s="390" t="n"/>
      <c r="C3317" s="390" t="inlineStr">
        <is>
          <t>Báo cáo tài chính quý, soát xét bán niên, kiểm toán năm - Chi nhánh công ty chứng khoán nước ngoài tại Việt Nam &gt;&gt; Báo cáo kết quả hoạt động riêng</t>
        </is>
      </c>
      <c r="D3317" s="132" t="inlineStr">
        <is>
          <t>Cộng kết quả hoạt động khác (80= 71-72)</t>
        </is>
      </c>
      <c r="E3317" s="132" t="n">
        <v>80</v>
      </c>
      <c r="F3317" s="390" t="inlineStr">
        <is>
          <t>Data Explorer</t>
        </is>
      </c>
      <c r="G3317" s="390" t="inlineStr">
        <is>
          <t>Chỉ tiêu cơ sở</t>
        </is>
      </c>
      <c r="H3317" s="390" t="inlineStr">
        <is>
          <t>Dễ</t>
        </is>
      </c>
      <c r="I3317" s="390" t="inlineStr">
        <is>
          <t>Ngày, CTCK</t>
        </is>
      </c>
      <c r="J3317" s="401" t="inlineStr">
        <is>
          <t>SCMS</t>
        </is>
      </c>
      <c r="K3317" s="401" t="n"/>
      <c r="L3317" s="401" t="inlineStr">
        <is>
          <t>X</t>
        </is>
      </c>
      <c r="M3317" s="401" t="n"/>
      <c r="N3317" s="401" t="inlineStr">
        <is>
          <t>Done</t>
        </is>
      </c>
      <c r="O3317" s="401" t="n"/>
      <c r="P3317" s="401" t="n"/>
      <c r="S3317" s="401" t="n"/>
      <c r="U3317" s="401" t="n"/>
      <c r="V3317" s="22" t="n"/>
      <c r="W3317" s="22" t="n"/>
      <c r="X3317" s="22" t="n"/>
      <c r="Y3317" s="13" t="n"/>
      <c r="Z3317" s="22" t="n"/>
      <c r="AA3317" s="22" t="n"/>
      <c r="AB3317" s="22" t="n"/>
      <c r="AC3317" s="22" t="n"/>
      <c r="AD3317" s="22" t="n"/>
      <c r="AE3317" s="22" t="n"/>
    </row>
    <row r="3318" ht="98" customHeight="1" s="380">
      <c r="A3318" s="144" t="n">
        <v>125</v>
      </c>
      <c r="B3318" s="390" t="n"/>
      <c r="C3318" s="390" t="inlineStr">
        <is>
          <t>Báo cáo tài chính quý, soát xét bán niên, kiểm toán năm - Chi nhánh công ty chứng khoán nước ngoài tại Việt Nam &gt;&gt; Báo cáo kết quả hoạt động riêng</t>
        </is>
      </c>
      <c r="D3318" s="132" t="inlineStr">
        <is>
          <t>IX. TỔNG LỢI NHUẬN KẾ TOÁN TRƯỚC THUẾ (90=70 + 80)</t>
        </is>
      </c>
      <c r="E3318" s="132" t="n">
        <v>90</v>
      </c>
      <c r="F3318" s="390" t="inlineStr">
        <is>
          <t>Data Explorer</t>
        </is>
      </c>
      <c r="G3318" s="390" t="inlineStr">
        <is>
          <t>Chỉ tiêu cơ sở</t>
        </is>
      </c>
      <c r="H3318" s="390" t="inlineStr">
        <is>
          <t>Dễ</t>
        </is>
      </c>
      <c r="I3318" s="390" t="inlineStr">
        <is>
          <t>Ngày, CTCK</t>
        </is>
      </c>
      <c r="J3318" s="401" t="inlineStr">
        <is>
          <t>SCMS</t>
        </is>
      </c>
      <c r="K3318" s="401" t="n"/>
      <c r="L3318" s="401" t="inlineStr">
        <is>
          <t>X</t>
        </is>
      </c>
      <c r="M3318" s="401" t="n"/>
      <c r="N3318" s="401" t="inlineStr">
        <is>
          <t>Done</t>
        </is>
      </c>
      <c r="O3318" s="401" t="n"/>
      <c r="P3318" s="401" t="n"/>
      <c r="S3318" s="401" t="n"/>
      <c r="U3318" s="401" t="n"/>
      <c r="V3318" s="22" t="n"/>
      <c r="W3318" s="22" t="n"/>
      <c r="X3318" s="22" t="n"/>
      <c r="Y3318" s="13" t="n"/>
      <c r="Z3318" s="22" t="n"/>
      <c r="AA3318" s="22" t="n"/>
      <c r="AB3318" s="22" t="n"/>
      <c r="AC3318" s="22" t="n"/>
      <c r="AD3318" s="22" t="n"/>
      <c r="AE3318" s="22" t="n"/>
    </row>
    <row r="3319" ht="98" customHeight="1" s="380">
      <c r="A3319" s="144" t="n">
        <v>125</v>
      </c>
      <c r="B3319" s="390" t="n"/>
      <c r="C3319" s="390" t="inlineStr">
        <is>
          <t>Báo cáo tài chính quý, soát xét bán niên, kiểm toán năm - Chi nhánh công ty chứng khoán nước ngoài tại Việt Nam &gt;&gt; Báo cáo kết quả hoạt động riêng</t>
        </is>
      </c>
      <c r="D3319" s="390" t="inlineStr">
        <is>
          <t>9.1. Lợi nhuận đã thực hiện</t>
        </is>
      </c>
      <c r="E3319" s="390" t="n">
        <v>91</v>
      </c>
      <c r="F3319" s="390" t="inlineStr">
        <is>
          <t>Data Explorer</t>
        </is>
      </c>
      <c r="G3319" s="390" t="inlineStr">
        <is>
          <t>Chỉ tiêu cơ sở</t>
        </is>
      </c>
      <c r="H3319" s="390" t="inlineStr">
        <is>
          <t>Dễ</t>
        </is>
      </c>
      <c r="I3319" s="390" t="inlineStr">
        <is>
          <t>Ngày, CTCK</t>
        </is>
      </c>
      <c r="J3319" s="401" t="inlineStr">
        <is>
          <t>SCMS</t>
        </is>
      </c>
      <c r="K3319" s="401" t="n"/>
      <c r="L3319" s="401" t="inlineStr">
        <is>
          <t>X</t>
        </is>
      </c>
      <c r="M3319" s="401" t="n"/>
      <c r="N3319" s="401" t="inlineStr">
        <is>
          <t>Done</t>
        </is>
      </c>
      <c r="O3319" s="401" t="n"/>
      <c r="P3319" s="401" t="n"/>
      <c r="S3319" s="401" t="n"/>
      <c r="U3319" s="401" t="n"/>
      <c r="V3319" s="22" t="n"/>
      <c r="W3319" s="22" t="n"/>
      <c r="X3319" s="22" t="n"/>
      <c r="Y3319" s="13" t="n"/>
      <c r="Z3319" s="22" t="n"/>
      <c r="AA3319" s="22" t="n"/>
      <c r="AB3319" s="22" t="n"/>
      <c r="AC3319" s="22" t="n"/>
      <c r="AD3319" s="22" t="n"/>
      <c r="AE3319" s="22" t="n"/>
    </row>
    <row r="3320" ht="98" customHeight="1" s="380">
      <c r="A3320" s="144" t="n">
        <v>125</v>
      </c>
      <c r="B3320" s="390" t="n"/>
      <c r="C3320" s="390" t="inlineStr">
        <is>
          <t>Báo cáo tài chính quý, soát xét bán niên, kiểm toán năm - Chi nhánh công ty chứng khoán nước ngoài tại Việt Nam &gt;&gt; Báo cáo kết quả hoạt động riêng</t>
        </is>
      </c>
      <c r="D3320" s="390" t="inlineStr">
        <is>
          <t>9.2. Lợi nhuận chưa thực hiện</t>
        </is>
      </c>
      <c r="E3320" s="390" t="n">
        <v>92</v>
      </c>
      <c r="F3320" s="390" t="inlineStr">
        <is>
          <t>Data Explorer</t>
        </is>
      </c>
      <c r="G3320" s="390" t="inlineStr">
        <is>
          <t>Chỉ tiêu cơ sở</t>
        </is>
      </c>
      <c r="H3320" s="390" t="inlineStr">
        <is>
          <t>Dễ</t>
        </is>
      </c>
      <c r="I3320" s="390" t="inlineStr">
        <is>
          <t>Ngày, CTCK</t>
        </is>
      </c>
      <c r="J3320" s="401" t="inlineStr">
        <is>
          <t>SCMS</t>
        </is>
      </c>
      <c r="K3320" s="401" t="n"/>
      <c r="L3320" s="401" t="inlineStr">
        <is>
          <t>X</t>
        </is>
      </c>
      <c r="M3320" s="401" t="n"/>
      <c r="N3320" s="401" t="inlineStr">
        <is>
          <t>Done</t>
        </is>
      </c>
      <c r="O3320" s="401" t="n"/>
      <c r="P3320" s="401" t="n"/>
      <c r="S3320" s="401" t="n"/>
      <c r="U3320" s="401" t="n"/>
      <c r="V3320" s="22" t="n"/>
      <c r="W3320" s="22" t="n"/>
      <c r="X3320" s="22" t="n"/>
      <c r="Y3320" s="13" t="n"/>
      <c r="Z3320" s="22" t="n"/>
      <c r="AA3320" s="22" t="n"/>
      <c r="AB3320" s="22" t="n"/>
      <c r="AC3320" s="22" t="n"/>
      <c r="AD3320" s="22" t="n"/>
      <c r="AE3320" s="22" t="n"/>
    </row>
    <row r="3321" ht="98" customHeight="1" s="380">
      <c r="A3321" s="144" t="n">
        <v>125</v>
      </c>
      <c r="B3321" s="390" t="n"/>
      <c r="C3321" s="390" t="inlineStr">
        <is>
          <t>Báo cáo tài chính quý, soát xét bán niên, kiểm toán năm - Chi nhánh công ty chứng khoán nước ngoài tại Việt Nam &gt;&gt; Báo cáo kết quả hoạt động riêng</t>
        </is>
      </c>
      <c r="D3321" s="132" t="inlineStr">
        <is>
          <t>X. CHI PHÍ THUẾ TNDN</t>
        </is>
      </c>
      <c r="E3321" s="132" t="n">
        <v>100</v>
      </c>
      <c r="F3321" s="390" t="inlineStr">
        <is>
          <t>Data Explorer</t>
        </is>
      </c>
      <c r="G3321" s="390" t="inlineStr">
        <is>
          <t>Chỉ tiêu cơ sở</t>
        </is>
      </c>
      <c r="H3321" s="390" t="inlineStr">
        <is>
          <t>Dễ</t>
        </is>
      </c>
      <c r="I3321" s="390" t="inlineStr">
        <is>
          <t>Ngày, CTCK</t>
        </is>
      </c>
      <c r="J3321" s="401" t="inlineStr">
        <is>
          <t>SCMS</t>
        </is>
      </c>
      <c r="K3321" s="401" t="n"/>
      <c r="L3321" s="401" t="inlineStr">
        <is>
          <t>X</t>
        </is>
      </c>
      <c r="M3321" s="401" t="n"/>
      <c r="N3321" s="401" t="inlineStr">
        <is>
          <t>Done</t>
        </is>
      </c>
      <c r="O3321" s="401" t="n"/>
      <c r="P3321" s="401" t="n"/>
      <c r="S3321" s="401" t="n"/>
      <c r="U3321" s="401" t="n"/>
      <c r="V3321" s="22" t="n"/>
      <c r="W3321" s="22" t="n"/>
      <c r="X3321" s="22" t="n"/>
      <c r="Y3321" s="13" t="n"/>
      <c r="Z3321" s="22" t="n"/>
      <c r="AA3321" s="22" t="n"/>
      <c r="AB3321" s="22" t="n"/>
      <c r="AC3321" s="22" t="n"/>
      <c r="AD3321" s="22" t="n"/>
      <c r="AE3321" s="22" t="n"/>
    </row>
    <row r="3322" ht="98" customHeight="1" s="380">
      <c r="A3322" s="144" t="n">
        <v>125</v>
      </c>
      <c r="B3322" s="390" t="n"/>
      <c r="C3322" s="390" t="inlineStr">
        <is>
          <t>Báo cáo tài chính quý, soát xét bán niên, kiểm toán năm - Chi nhánh công ty chứng khoán nước ngoài tại Việt Nam &gt;&gt; Báo cáo kết quả hoạt động riêng</t>
        </is>
      </c>
      <c r="D3322" s="390" t="inlineStr">
        <is>
          <t>10.1.Chi phí thuế TNDN hiện hành</t>
        </is>
      </c>
      <c r="E3322" s="390" t="n">
        <v>100.1</v>
      </c>
      <c r="F3322" s="390" t="inlineStr">
        <is>
          <t>Data Explorer</t>
        </is>
      </c>
      <c r="G3322" s="390" t="inlineStr">
        <is>
          <t>Chỉ tiêu cơ sở</t>
        </is>
      </c>
      <c r="H3322" s="390" t="inlineStr">
        <is>
          <t>Dễ</t>
        </is>
      </c>
      <c r="I3322" s="390" t="inlineStr">
        <is>
          <t>Ngày, CTCK</t>
        </is>
      </c>
      <c r="J3322" s="401" t="inlineStr">
        <is>
          <t>SCMS</t>
        </is>
      </c>
      <c r="K3322" s="401" t="n"/>
      <c r="L3322" s="401" t="inlineStr">
        <is>
          <t>X</t>
        </is>
      </c>
      <c r="M3322" s="401" t="n"/>
      <c r="N3322" s="401" t="inlineStr">
        <is>
          <t>Done</t>
        </is>
      </c>
      <c r="O3322" s="401" t="n"/>
      <c r="P3322" s="401" t="n"/>
      <c r="S3322" s="401" t="n"/>
      <c r="U3322" s="401" t="n"/>
      <c r="V3322" s="22" t="n"/>
      <c r="W3322" s="22" t="n"/>
      <c r="X3322" s="22" t="n"/>
      <c r="Y3322" s="38" t="n"/>
      <c r="Z3322" s="22" t="n"/>
      <c r="AA3322" s="22" t="n"/>
      <c r="AB3322" s="22" t="n"/>
      <c r="AC3322" s="22" t="n"/>
      <c r="AD3322" s="22" t="n"/>
      <c r="AE3322" s="22" t="n"/>
    </row>
    <row r="3323" ht="98" customHeight="1" s="380">
      <c r="A3323" s="144" t="n">
        <v>125</v>
      </c>
      <c r="B3323" s="390" t="n"/>
      <c r="C3323" s="390" t="inlineStr">
        <is>
          <t>Báo cáo tài chính quý, soát xét bán niên, kiểm toán năm - Chi nhánh công ty chứng khoán nước ngoài tại Việt Nam &gt;&gt; Báo cáo kết quả hoạt động riêng</t>
        </is>
      </c>
      <c r="D3323" s="390" t="inlineStr">
        <is>
          <t>10.2.Chi phí thuế TNDN hoãn lại</t>
        </is>
      </c>
      <c r="E3323" s="390" t="n">
        <v>100.2</v>
      </c>
      <c r="F3323" s="390" t="inlineStr">
        <is>
          <t>Data Explorer</t>
        </is>
      </c>
      <c r="G3323" s="390" t="inlineStr">
        <is>
          <t>Chỉ tiêu cơ sở</t>
        </is>
      </c>
      <c r="H3323" s="390" t="inlineStr">
        <is>
          <t>Dễ</t>
        </is>
      </c>
      <c r="I3323" s="390" t="inlineStr">
        <is>
          <t>Ngày, CTCK</t>
        </is>
      </c>
      <c r="J3323" s="401" t="inlineStr">
        <is>
          <t>SCMS</t>
        </is>
      </c>
      <c r="K3323" s="401" t="n"/>
      <c r="L3323" s="401" t="inlineStr">
        <is>
          <t>X</t>
        </is>
      </c>
      <c r="M3323" s="401" t="n"/>
      <c r="N3323" s="401" t="inlineStr">
        <is>
          <t>Done</t>
        </is>
      </c>
      <c r="O3323" s="401" t="n"/>
      <c r="P3323" s="401" t="n"/>
      <c r="S3323" s="401" t="n"/>
      <c r="U3323" s="401" t="n"/>
      <c r="V3323" s="22" t="n"/>
      <c r="W3323" s="22" t="n"/>
      <c r="X3323" s="22" t="n"/>
      <c r="Y3323" s="13" t="n"/>
      <c r="Z3323" s="22" t="n"/>
      <c r="AA3323" s="22" t="n"/>
      <c r="AB3323" s="22" t="n"/>
      <c r="AC3323" s="22" t="n"/>
      <c r="AD3323" s="22" t="n"/>
      <c r="AE3323" s="22" t="n"/>
    </row>
    <row r="3324" ht="98" customHeight="1" s="380">
      <c r="A3324" s="144" t="n">
        <v>125</v>
      </c>
      <c r="B3324" s="390" t="n"/>
      <c r="C3324" s="390" t="inlineStr">
        <is>
          <t>Báo cáo tài chính quý, soát xét bán niên, kiểm toán năm - Chi nhánh công ty chứng khoán nước ngoài tại Việt Nam &gt;&gt; Báo cáo kết quả hoạt động riêng</t>
        </is>
      </c>
      <c r="D3324" s="132" t="inlineStr">
        <is>
          <t>XI. LỢI NHUẬN KẾ TOÁN SAU THUẾ TNDN (200 = 90 - 100)</t>
        </is>
      </c>
      <c r="E3324" s="132" t="n">
        <v>200</v>
      </c>
      <c r="F3324" s="390" t="inlineStr">
        <is>
          <t>Data Explorer</t>
        </is>
      </c>
      <c r="G3324" s="390" t="inlineStr">
        <is>
          <t>Chỉ tiêu cơ sở</t>
        </is>
      </c>
      <c r="H3324" s="390" t="inlineStr">
        <is>
          <t>Dễ</t>
        </is>
      </c>
      <c r="I3324" s="390" t="inlineStr">
        <is>
          <t>Ngày, CTCK</t>
        </is>
      </c>
      <c r="J3324" s="401" t="inlineStr">
        <is>
          <t>SCMS</t>
        </is>
      </c>
      <c r="K3324" s="401" t="n"/>
      <c r="L3324" s="401" t="inlineStr">
        <is>
          <t>X</t>
        </is>
      </c>
      <c r="M3324" s="401" t="n"/>
      <c r="N3324" s="401" t="inlineStr">
        <is>
          <t>Done</t>
        </is>
      </c>
      <c r="O3324" s="401" t="n"/>
      <c r="P3324" s="401" t="n"/>
      <c r="S3324" s="401" t="n"/>
      <c r="U3324" s="401" t="n"/>
      <c r="V3324" s="22" t="n"/>
      <c r="W3324" s="22" t="n"/>
      <c r="X3324" s="22" t="n"/>
      <c r="Y3324" s="13" t="n"/>
      <c r="Z3324" s="22" t="n"/>
      <c r="AA3324" s="22" t="n"/>
      <c r="AB3324" s="22" t="n"/>
      <c r="AC3324" s="22" t="n"/>
      <c r="AD3324" s="22" t="n"/>
      <c r="AE3324" s="22" t="n"/>
    </row>
    <row r="3325" ht="98" customHeight="1" s="380">
      <c r="A3325" s="144" t="n">
        <v>125</v>
      </c>
      <c r="B3325" s="390" t="n"/>
      <c r="C3325" s="390" t="inlineStr">
        <is>
          <t>Báo cáo tài chính quý, soát xét bán niên, kiểm toán năm - Chi nhánh công ty chứng khoán nước ngoài tại Việt Nam &gt;&gt; Báo cáo kết quả hoạt động riêng</t>
        </is>
      </c>
      <c r="D3325" s="132" t="inlineStr">
        <is>
          <t>XII. THU NHẬP (LỖ) TOÀN DIỆN KHÁC SAU THUẾ TNDN</t>
        </is>
      </c>
      <c r="E3325" s="132" t="n">
        <v>300</v>
      </c>
      <c r="F3325" s="390" t="inlineStr">
        <is>
          <t>Data Explorer</t>
        </is>
      </c>
      <c r="G3325" s="390" t="inlineStr">
        <is>
          <t>Chỉ tiêu cơ sở</t>
        </is>
      </c>
      <c r="H3325" s="390" t="inlineStr">
        <is>
          <t>Dễ</t>
        </is>
      </c>
      <c r="I3325" s="390" t="inlineStr">
        <is>
          <t>Ngày, CTCK</t>
        </is>
      </c>
      <c r="J3325" s="401" t="inlineStr">
        <is>
          <t>SCMS</t>
        </is>
      </c>
      <c r="K3325" s="401" t="n"/>
      <c r="L3325" s="401" t="inlineStr">
        <is>
          <t>X</t>
        </is>
      </c>
      <c r="M3325" s="401" t="n"/>
      <c r="N3325" s="401" t="inlineStr">
        <is>
          <t>Done</t>
        </is>
      </c>
      <c r="O3325" s="401" t="n"/>
      <c r="P3325" s="401" t="n"/>
      <c r="S3325" s="401" t="n"/>
      <c r="U3325" s="401" t="n"/>
      <c r="V3325" s="22" t="n"/>
      <c r="W3325" s="22" t="n"/>
      <c r="X3325" s="22" t="n"/>
      <c r="Y3325" s="13" t="n"/>
      <c r="Z3325" s="22" t="n"/>
      <c r="AA3325" s="22" t="n"/>
      <c r="AB3325" s="22" t="n"/>
      <c r="AC3325" s="22" t="n"/>
      <c r="AD3325" s="22" t="n"/>
      <c r="AE3325" s="22" t="n"/>
    </row>
    <row r="3326" ht="98" customHeight="1" s="380">
      <c r="A3326" s="144" t="n">
        <v>125</v>
      </c>
      <c r="B3326" s="390" t="n"/>
      <c r="C3326" s="390" t="inlineStr">
        <is>
          <t>Báo cáo tài chính quý, soát xét bán niên, kiểm toán năm - Chi nhánh công ty chứng khoán nước ngoài tại Việt Nam &gt;&gt; Báo cáo kết quả hoạt động riêng</t>
        </is>
      </c>
      <c r="D3326" s="390" t="inlineStr">
        <is>
          <t>12.1.Lãi/(Lỗ) từ đánh giá lại các tài sản tài chính sẵn sàng để bán</t>
        </is>
      </c>
      <c r="E3326" s="390" t="n">
        <v>301</v>
      </c>
      <c r="F3326" s="390" t="inlineStr">
        <is>
          <t>Data Explorer</t>
        </is>
      </c>
      <c r="G3326" s="390" t="inlineStr">
        <is>
          <t>Chỉ tiêu cơ sở</t>
        </is>
      </c>
      <c r="H3326" s="390" t="inlineStr">
        <is>
          <t>Dễ</t>
        </is>
      </c>
      <c r="I3326" s="390" t="inlineStr">
        <is>
          <t>Ngày, CTCK</t>
        </is>
      </c>
      <c r="J3326" s="401" t="inlineStr">
        <is>
          <t>SCMS</t>
        </is>
      </c>
      <c r="K3326" s="401" t="n"/>
      <c r="L3326" s="401" t="inlineStr">
        <is>
          <t>X</t>
        </is>
      </c>
      <c r="M3326" s="401" t="n"/>
      <c r="N3326" s="401" t="inlineStr">
        <is>
          <t>Done</t>
        </is>
      </c>
      <c r="O3326" s="401" t="n"/>
      <c r="P3326" s="401" t="n"/>
      <c r="S3326" s="401" t="n"/>
      <c r="U3326" s="401" t="n"/>
      <c r="V3326" s="22" t="n"/>
      <c r="W3326" s="22" t="n"/>
      <c r="X3326" s="22" t="n"/>
      <c r="Y3326" s="13" t="n"/>
      <c r="Z3326" s="22" t="n"/>
      <c r="AA3326" s="22" t="n"/>
      <c r="AB3326" s="22" t="n"/>
      <c r="AC3326" s="22" t="n"/>
      <c r="AD3326" s="22" t="n"/>
      <c r="AE3326" s="22" t="n"/>
    </row>
    <row r="3327" ht="98" customHeight="1" s="380">
      <c r="A3327" s="144" t="n">
        <v>125</v>
      </c>
      <c r="B3327" s="390" t="n"/>
      <c r="C3327" s="390" t="inlineStr">
        <is>
          <t>Báo cáo tài chính quý, soát xét bán niên, kiểm toán năm - Chi nhánh công ty chứng khoán nước ngoài tại Việt Nam &gt;&gt; Báo cáo kết quả hoạt động riêng</t>
        </is>
      </c>
      <c r="D3327" s="390" t="inlineStr">
        <is>
          <t xml:space="preserve">12.2. Lãi/(lỗ) chênh lệch tỷ giá của hoạt động tại nước ngoài </t>
        </is>
      </c>
      <c r="E3327" s="390" t="n">
        <v>302</v>
      </c>
      <c r="F3327" s="390" t="inlineStr">
        <is>
          <t>Data Explorer</t>
        </is>
      </c>
      <c r="G3327" s="390" t="inlineStr">
        <is>
          <t>Chỉ tiêu cơ sở</t>
        </is>
      </c>
      <c r="H3327" s="390" t="inlineStr">
        <is>
          <t>Dễ</t>
        </is>
      </c>
      <c r="I3327" s="390" t="inlineStr">
        <is>
          <t>Ngày, CTCK</t>
        </is>
      </c>
      <c r="J3327" s="401" t="inlineStr">
        <is>
          <t>SCMS</t>
        </is>
      </c>
      <c r="K3327" s="401" t="n"/>
      <c r="L3327" s="401" t="inlineStr">
        <is>
          <t>X</t>
        </is>
      </c>
      <c r="M3327" s="401" t="n"/>
      <c r="N3327" s="401" t="inlineStr">
        <is>
          <t>Done</t>
        </is>
      </c>
      <c r="O3327" s="401" t="n"/>
      <c r="P3327" s="401" t="n"/>
      <c r="S3327" s="401" t="n"/>
      <c r="U3327" s="401" t="n"/>
      <c r="V3327" s="22" t="n"/>
      <c r="W3327" s="22" t="n"/>
      <c r="X3327" s="22" t="n"/>
      <c r="Y3327" s="13" t="n"/>
      <c r="Z3327" s="22" t="n"/>
      <c r="AA3327" s="22" t="n"/>
      <c r="AB3327" s="22" t="n"/>
      <c r="AC3327" s="22" t="n"/>
      <c r="AD3327" s="22" t="n"/>
      <c r="AE3327" s="22" t="n"/>
    </row>
    <row r="3328" ht="98" customHeight="1" s="380">
      <c r="A3328" s="144" t="n">
        <v>125</v>
      </c>
      <c r="B3328" s="390" t="n"/>
      <c r="C3328" s="390" t="inlineStr">
        <is>
          <t>Báo cáo tài chính quý, soát xét bán niên, kiểm toán năm - Chi nhánh công ty chứng khoán nước ngoài tại Việt Nam &gt;&gt; Báo cáo kết quả hoạt động riêng</t>
        </is>
      </c>
      <c r="D3328" s="390" t="inlineStr">
        <is>
          <t>12.3. Lãi, lỗ đánh giá lại tài sản cố định theo mô hình giá trị hợp lý</t>
        </is>
      </c>
      <c r="E3328" s="390" t="n">
        <v>303</v>
      </c>
      <c r="F3328" s="390" t="inlineStr">
        <is>
          <t>Data Explorer</t>
        </is>
      </c>
      <c r="G3328" s="390" t="inlineStr">
        <is>
          <t>Chỉ tiêu cơ sở</t>
        </is>
      </c>
      <c r="H3328" s="390" t="inlineStr">
        <is>
          <t>Dễ</t>
        </is>
      </c>
      <c r="I3328" s="390" t="inlineStr">
        <is>
          <t>Ngày, CTCK</t>
        </is>
      </c>
      <c r="J3328" s="401" t="inlineStr">
        <is>
          <t>SCMS</t>
        </is>
      </c>
      <c r="K3328" s="401" t="n"/>
      <c r="L3328" s="401" t="inlineStr">
        <is>
          <t>X</t>
        </is>
      </c>
      <c r="M3328" s="401" t="n"/>
      <c r="N3328" s="401" t="inlineStr">
        <is>
          <t>Done</t>
        </is>
      </c>
      <c r="O3328" s="401" t="n"/>
      <c r="P3328" s="401" t="n"/>
      <c r="S3328" s="401" t="n"/>
      <c r="U3328" s="401" t="n"/>
      <c r="V3328" s="22" t="n"/>
      <c r="W3328" s="22" t="n"/>
      <c r="X3328" s="22" t="n"/>
      <c r="Y3328" s="38" t="n"/>
      <c r="Z3328" s="22" t="n"/>
      <c r="AA3328" s="22" t="n"/>
      <c r="AB3328" s="22" t="n"/>
      <c r="AC3328" s="22" t="n"/>
      <c r="AD3328" s="22" t="n"/>
      <c r="AE3328" s="22" t="n"/>
    </row>
    <row r="3329" ht="98" customHeight="1" s="380">
      <c r="A3329" s="144" t="n">
        <v>125</v>
      </c>
      <c r="B3329" s="390" t="n"/>
      <c r="C3329" s="390" t="inlineStr">
        <is>
          <t>Báo cáo tài chính quý, soát xét bán niên, kiểm toán năm - Chi nhánh công ty chứng khoán nước ngoài tại Việt Nam &gt;&gt; Báo cáo kết quả hoạt động riêng</t>
        </is>
      </c>
      <c r="D3329" s="390" t="inlineStr">
        <is>
          <t>12.4. Lãi, lỗ toàn diện khác</t>
        </is>
      </c>
      <c r="E3329" s="390" t="n">
        <v>304</v>
      </c>
      <c r="F3329" s="390" t="inlineStr">
        <is>
          <t>Data Explorer</t>
        </is>
      </c>
      <c r="G3329" s="390" t="inlineStr">
        <is>
          <t>Chỉ tiêu cơ sở</t>
        </is>
      </c>
      <c r="H3329" s="390" t="inlineStr">
        <is>
          <t>Dễ</t>
        </is>
      </c>
      <c r="I3329" s="390" t="inlineStr">
        <is>
          <t>Ngày, CTCK</t>
        </is>
      </c>
      <c r="J3329" s="401" t="inlineStr">
        <is>
          <t>SCMS</t>
        </is>
      </c>
      <c r="K3329" s="401" t="n"/>
      <c r="L3329" s="401" t="inlineStr">
        <is>
          <t>X</t>
        </is>
      </c>
      <c r="M3329" s="401" t="n"/>
      <c r="N3329" s="401" t="inlineStr">
        <is>
          <t>Done</t>
        </is>
      </c>
      <c r="O3329" s="401" t="n"/>
      <c r="P3329" s="401" t="n"/>
      <c r="S3329" s="401" t="n"/>
      <c r="U3329" s="401" t="n"/>
      <c r="V3329" s="22" t="n"/>
      <c r="W3329" s="22" t="n"/>
      <c r="X3329" s="22" t="n"/>
      <c r="Y3329" s="13" t="n"/>
      <c r="Z3329" s="22" t="n"/>
      <c r="AA3329" s="22" t="n"/>
      <c r="AB3329" s="22" t="n"/>
      <c r="AC3329" s="22" t="n"/>
      <c r="AD3329" s="22" t="n"/>
      <c r="AE3329" s="22" t="n"/>
    </row>
    <row r="3330" ht="98" customHeight="1" s="380">
      <c r="A3330" s="144" t="n">
        <v>125</v>
      </c>
      <c r="B3330" s="390" t="n"/>
      <c r="C3330" s="390" t="inlineStr">
        <is>
          <t>Báo cáo tài chính quý, soát xét bán niên, kiểm toán năm - Chi nhánh công ty chứng khoán nước ngoài tại Việt Nam &gt;&gt; Báo cáo kết quả hoạt động riêng</t>
        </is>
      </c>
      <c r="D3330" s="132" t="inlineStr">
        <is>
          <t>Tổng thu nhập toàn diện</t>
        </is>
      </c>
      <c r="E3330" s="132" t="n">
        <v>400</v>
      </c>
      <c r="F3330" s="390" t="inlineStr">
        <is>
          <t>Data Explorer</t>
        </is>
      </c>
      <c r="G3330" s="390" t="inlineStr">
        <is>
          <t>Chỉ tiêu cơ sở</t>
        </is>
      </c>
      <c r="H3330" s="390" t="inlineStr">
        <is>
          <t>Dễ</t>
        </is>
      </c>
      <c r="I3330" s="390" t="inlineStr">
        <is>
          <t>Ngày, CTCK</t>
        </is>
      </c>
      <c r="J3330" s="401" t="inlineStr">
        <is>
          <t>SCMS</t>
        </is>
      </c>
      <c r="K3330" s="401" t="n"/>
      <c r="L3330" s="401" t="inlineStr">
        <is>
          <t>X</t>
        </is>
      </c>
      <c r="M3330" s="401" t="n"/>
      <c r="N3330" s="401" t="inlineStr">
        <is>
          <t>Done</t>
        </is>
      </c>
      <c r="O3330" s="401" t="n"/>
      <c r="P3330" s="401" t="n"/>
      <c r="S3330" s="401" t="n"/>
      <c r="U3330" s="401" t="n"/>
      <c r="V3330" s="22" t="n"/>
      <c r="W3330" s="22" t="n"/>
      <c r="X3330" s="22" t="n"/>
      <c r="Y3330" s="13" t="n"/>
      <c r="Z3330" s="22" t="n"/>
      <c r="AA3330" s="22" t="n"/>
      <c r="AB3330" s="22" t="n"/>
      <c r="AC3330" s="22" t="n"/>
      <c r="AD3330" s="22" t="n"/>
      <c r="AE3330" s="22" t="n"/>
    </row>
    <row r="3331" ht="98" customHeight="1" s="380">
      <c r="A3331" s="144" t="n">
        <v>125</v>
      </c>
      <c r="B3331" s="390" t="n"/>
      <c r="C3331" s="390" t="inlineStr">
        <is>
          <t>Báo cáo tài chính quý, soát xét bán niên, kiểm toán năm - Chi nhánh công ty chứng khoán nước ngoài tại Việt Nam &gt;&gt; Báo cáo kết quả hoạt động riêng</t>
        </is>
      </c>
      <c r="D3331" s="132" t="inlineStr">
        <is>
          <t>XIII. THU NHẬP THUẦN TRÊN CỔ PHIẾU PHỔ THÔNG</t>
        </is>
      </c>
      <c r="E3331" s="132" t="n">
        <v>500</v>
      </c>
      <c r="F3331" s="390" t="inlineStr">
        <is>
          <t>Data Explorer</t>
        </is>
      </c>
      <c r="G3331" s="390" t="inlineStr">
        <is>
          <t>Chỉ tiêu cơ sở</t>
        </is>
      </c>
      <c r="H3331" s="390" t="inlineStr">
        <is>
          <t>Dễ</t>
        </is>
      </c>
      <c r="I3331" s="390" t="inlineStr">
        <is>
          <t>Ngày, CTCK</t>
        </is>
      </c>
      <c r="J3331" s="401" t="inlineStr">
        <is>
          <t>SCMS</t>
        </is>
      </c>
      <c r="K3331" s="401" t="n"/>
      <c r="L3331" s="401" t="inlineStr">
        <is>
          <t>X</t>
        </is>
      </c>
      <c r="M3331" s="401" t="n"/>
      <c r="N3331" s="401" t="inlineStr">
        <is>
          <t>Done</t>
        </is>
      </c>
      <c r="O3331" s="401" t="n"/>
      <c r="P3331" s="401" t="n"/>
      <c r="S3331" s="401" t="n"/>
      <c r="U3331" s="401" t="n"/>
      <c r="V3331" s="22" t="n"/>
      <c r="W3331" s="22" t="n"/>
      <c r="X3331" s="22" t="n"/>
      <c r="Y3331" s="13" t="n"/>
      <c r="Z3331" s="22" t="n"/>
      <c r="AA3331" s="22" t="n"/>
      <c r="AB3331" s="22" t="n"/>
      <c r="AC3331" s="22" t="n"/>
      <c r="AD3331" s="22" t="n"/>
      <c r="AE3331" s="22" t="n"/>
    </row>
    <row r="3332" ht="98" customHeight="1" s="380">
      <c r="A3332" s="144" t="n">
        <v>125</v>
      </c>
      <c r="B3332" s="390" t="n"/>
      <c r="C3332" s="390" t="inlineStr">
        <is>
          <t>Báo cáo tài chính quý, soát xét bán niên, kiểm toán năm - Chi nhánh công ty chứng khoán nước ngoài tại Việt Nam &gt;&gt; Báo cáo kết quả hoạt động riêng</t>
        </is>
      </c>
      <c r="D3332" s="390" t="inlineStr">
        <is>
          <t>13.1.Lãi cơ bản trên cổ phiếu (Đồng/1 cổ phiếu)</t>
        </is>
      </c>
      <c r="E3332" s="390" t="n">
        <v>501</v>
      </c>
      <c r="F3332" s="390" t="inlineStr">
        <is>
          <t>Data Explorer</t>
        </is>
      </c>
      <c r="G3332" s="390" t="inlineStr">
        <is>
          <t>Chỉ tiêu cơ sở</t>
        </is>
      </c>
      <c r="H3332" s="390" t="inlineStr">
        <is>
          <t>Dễ</t>
        </is>
      </c>
      <c r="I3332" s="390" t="inlineStr">
        <is>
          <t>Ngày, CTCK</t>
        </is>
      </c>
      <c r="J3332" s="401" t="inlineStr">
        <is>
          <t>SCMS</t>
        </is>
      </c>
      <c r="K3332" s="401" t="n"/>
      <c r="L3332" s="401" t="inlineStr">
        <is>
          <t>X</t>
        </is>
      </c>
      <c r="M3332" s="401" t="n"/>
      <c r="N3332" s="401" t="inlineStr">
        <is>
          <t>Done</t>
        </is>
      </c>
      <c r="O3332" s="401" t="n"/>
      <c r="P3332" s="401" t="n"/>
      <c r="S3332" s="401" t="n"/>
      <c r="U3332" s="401" t="n"/>
      <c r="V3332" s="22" t="n"/>
      <c r="W3332" s="22" t="n"/>
      <c r="X3332" s="22" t="n"/>
      <c r="Y3332" s="13" t="n"/>
      <c r="Z3332" s="22" t="n"/>
      <c r="AA3332" s="22" t="n"/>
      <c r="AB3332" s="22" t="n"/>
      <c r="AC3332" s="22" t="n"/>
      <c r="AD3332" s="22" t="n"/>
      <c r="AE3332" s="22" t="n"/>
    </row>
    <row r="3333" ht="98" customHeight="1" s="380">
      <c r="A3333" s="145" t="n">
        <v>125</v>
      </c>
      <c r="B3333" s="129" t="n"/>
      <c r="C3333" s="129" t="inlineStr">
        <is>
          <t>Báo cáo tài chính quý, soát xét bán niên, kiểm toán năm - Chi nhánh công ty chứng khoán nước ngoài tại Việt Nam &gt;&gt; Báo cáo kết quả hoạt động riêng</t>
        </is>
      </c>
      <c r="D3333" s="129" t="inlineStr">
        <is>
          <t>13.2.Thu nhập pha loãng trên cổ phiếu (Đồng/1 cổ phiếu)</t>
        </is>
      </c>
      <c r="E3333" s="129" t="n">
        <v>502</v>
      </c>
      <c r="F3333" s="129" t="inlineStr">
        <is>
          <t>Data Explorer</t>
        </is>
      </c>
      <c r="G3333" s="129" t="inlineStr">
        <is>
          <t>Chỉ tiêu cơ sở</t>
        </is>
      </c>
      <c r="H3333" s="129" t="inlineStr">
        <is>
          <t>Dễ</t>
        </is>
      </c>
      <c r="I3333" s="129" t="inlineStr">
        <is>
          <t>Ngày, CTCK</t>
        </is>
      </c>
      <c r="J3333" s="85" t="inlineStr">
        <is>
          <t>SCMS</t>
        </is>
      </c>
      <c r="K3333" s="85" t="n"/>
      <c r="L3333" s="85" t="inlineStr">
        <is>
          <t>X</t>
        </is>
      </c>
      <c r="M3333" s="85" t="n"/>
      <c r="N3333" s="85" t="inlineStr">
        <is>
          <t>Done</t>
        </is>
      </c>
      <c r="O3333" s="85" t="n"/>
      <c r="P3333" s="85" t="n"/>
      <c r="Q3333" s="426" t="n"/>
      <c r="R3333" s="426" t="n"/>
      <c r="S3333" s="85" t="n"/>
      <c r="T3333" s="426" t="n"/>
      <c r="U3333" s="85" t="n"/>
      <c r="V3333" s="130" t="n"/>
      <c r="W3333" s="130" t="n"/>
      <c r="X3333" s="130" t="n"/>
      <c r="Y3333" s="97" t="n"/>
      <c r="Z3333" s="130" t="n"/>
      <c r="AA3333" s="130" t="n"/>
      <c r="AB3333" s="130" t="n"/>
      <c r="AC3333" s="130" t="n"/>
      <c r="AD3333" s="130" t="n"/>
      <c r="AE3333" s="130" t="n"/>
    </row>
    <row r="3334" ht="98" customHeight="1" s="380">
      <c r="A3334" s="144" t="n">
        <v>126</v>
      </c>
      <c r="B3334" s="140" t="inlineStr">
        <is>
          <t>Nga</t>
        </is>
      </c>
      <c r="C3334" s="127" t="inlineStr">
        <is>
          <t>Báo cáo tài chính quý, soát xét bán niên, kiểm toán năm - Chi nhánh công ty chứng khoán nước ngoài tại Việt Nam &gt;&gt; Báo cáo lưu chuyển tiền tệ riêng_06611</t>
        </is>
      </c>
      <c r="D3334" s="106" t="inlineStr">
        <is>
          <t>Loại báo cáo</t>
        </is>
      </c>
      <c r="E3334" s="107" t="inlineStr">
        <is>
          <t>Loại báo cáo</t>
        </is>
      </c>
      <c r="F3334" s="390" t="inlineStr">
        <is>
          <t>Data Explorer</t>
        </is>
      </c>
      <c r="G3334" s="390" t="inlineStr">
        <is>
          <t>Chiều</t>
        </is>
      </c>
      <c r="H3334" s="390" t="inlineStr">
        <is>
          <t>Dễ</t>
        </is>
      </c>
      <c r="I3334" s="390" t="inlineStr">
        <is>
          <t>Ngày, CTCK</t>
        </is>
      </c>
      <c r="J3334" s="401" t="inlineStr">
        <is>
          <t>SCMS</t>
        </is>
      </c>
      <c r="K3334" s="401" t="inlineStr">
        <is>
          <t>X</t>
        </is>
      </c>
      <c r="L3334" s="401" t="inlineStr">
        <is>
          <t>X</t>
        </is>
      </c>
      <c r="M3334" s="401" t="n"/>
      <c r="N3334" s="401" t="inlineStr">
        <is>
          <t>Done</t>
        </is>
      </c>
      <c r="O3334" s="401" t="n"/>
      <c r="P3334" s="401" t="n"/>
      <c r="Q3334" s="404" t="inlineStr">
        <is>
          <t>SCMS.BM_BAO_CAO
SCMS.BM_BAO_CAO_DINH_KY</t>
        </is>
      </c>
      <c r="R3334" s="404" t="inlineStr">
        <is>
          <t>bm.ID,
bm.MA_BAO_CAO,
bm.LOAI_BAO_CAO,
bm.TEN_BAO_CAO,
bm.SU_DUNG,
bdk.BM_BAO_CAO_ID,
bdk.KY_BAO_CAO,
bdk.SU_DUNG</t>
        </is>
      </c>
      <c r="S3334" s="401" t="n"/>
      <c r="T3334" s="390"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U3334" s="401" t="n"/>
      <c r="V3334" s="22" t="n"/>
      <c r="W3334" s="22" t="n"/>
      <c r="X3334" s="22" t="n"/>
      <c r="Y3334" s="38" t="n"/>
      <c r="Z3334" s="22" t="n"/>
      <c r="AA3334" s="22" t="n"/>
      <c r="AB3334" s="22" t="n"/>
      <c r="AC3334" s="22" t="n"/>
      <c r="AD3334" s="22" t="n"/>
      <c r="AE3334" s="22" t="n"/>
    </row>
    <row r="3335" ht="98" customHeight="1" s="380">
      <c r="A3335" s="144" t="n">
        <v>126</v>
      </c>
      <c r="B3335" s="390" t="n"/>
      <c r="C3335" s="390" t="inlineStr">
        <is>
          <t>Báo cáo tài chính quý, soát xét bán niên, kiểm toán năm - Chi nhánh công ty chứng khoán nước ngoài tại Việt Nam &gt;&gt; Báo cáo lưu chuyển tiền tệ riêng_06611</t>
        </is>
      </c>
      <c r="D3335" s="106" t="inlineStr">
        <is>
          <t>Kỳ báo cáo</t>
        </is>
      </c>
      <c r="E3335" s="107" t="inlineStr">
        <is>
          <t>Kỳ báo cáo</t>
        </is>
      </c>
      <c r="F3335" s="390" t="inlineStr">
        <is>
          <t>Data Explorer</t>
        </is>
      </c>
      <c r="G3335" s="390" t="inlineStr">
        <is>
          <t>Chiều</t>
        </is>
      </c>
      <c r="H3335" s="390" t="inlineStr">
        <is>
          <t>Dễ</t>
        </is>
      </c>
      <c r="I3335" s="390" t="inlineStr">
        <is>
          <t>Ngày, CTCK</t>
        </is>
      </c>
      <c r="J3335" s="401" t="inlineStr">
        <is>
          <t>SCMS</t>
        </is>
      </c>
      <c r="K3335" s="401" t="inlineStr">
        <is>
          <t>X</t>
        </is>
      </c>
      <c r="L3335" s="401" t="inlineStr">
        <is>
          <t>X</t>
        </is>
      </c>
      <c r="M3335" s="401" t="n"/>
      <c r="N3335" s="401" t="inlineStr">
        <is>
          <t>Done</t>
        </is>
      </c>
      <c r="O3335" s="401" t="n"/>
      <c r="P3335" s="401" t="n"/>
      <c r="S3335" s="401" t="n"/>
      <c r="U3335" s="401" t="n"/>
      <c r="V3335" s="22" t="n"/>
      <c r="W3335" s="22" t="n"/>
      <c r="X3335" s="22" t="n"/>
      <c r="Y3335" s="13" t="n"/>
      <c r="Z3335" s="22" t="n"/>
      <c r="AA3335" s="22" t="n"/>
      <c r="AB3335" s="22" t="n"/>
      <c r="AC3335" s="22" t="n"/>
      <c r="AD3335" s="22" t="n"/>
      <c r="AE3335" s="22" t="n"/>
    </row>
    <row r="3336" ht="98" customHeight="1" s="380">
      <c r="A3336" s="144" t="n">
        <v>126</v>
      </c>
      <c r="B3336" s="390" t="n"/>
      <c r="C3336" s="390" t="inlineStr">
        <is>
          <t>Báo cáo tài chính quý, soát xét bán niên, kiểm toán năm - Chi nhánh công ty chứng khoán nước ngoài tại Việt Nam &gt;&gt; Báo cáo lưu chuyển tiền tệ riêng_06611</t>
        </is>
      </c>
      <c r="D3336" s="106" t="inlineStr">
        <is>
          <t>Mã báo cáo</t>
        </is>
      </c>
      <c r="E3336" s="107" t="inlineStr">
        <is>
          <t>Mã báo cáo</t>
        </is>
      </c>
      <c r="F3336" s="390" t="inlineStr">
        <is>
          <t>Data Explorer</t>
        </is>
      </c>
      <c r="G3336" s="390" t="inlineStr">
        <is>
          <t>Chiều</t>
        </is>
      </c>
      <c r="H3336" s="390" t="inlineStr">
        <is>
          <t>Dễ</t>
        </is>
      </c>
      <c r="I3336" s="390" t="inlineStr">
        <is>
          <t>Ngày, CTCK</t>
        </is>
      </c>
      <c r="J3336" s="401" t="inlineStr">
        <is>
          <t>SCMS</t>
        </is>
      </c>
      <c r="K3336" s="401" t="inlineStr">
        <is>
          <t>X</t>
        </is>
      </c>
      <c r="L3336" s="401" t="inlineStr">
        <is>
          <t>X</t>
        </is>
      </c>
      <c r="M3336" s="401" t="n"/>
      <c r="N3336" s="401" t="inlineStr">
        <is>
          <t>Done</t>
        </is>
      </c>
      <c r="O3336" s="401" t="n"/>
      <c r="P3336" s="401" t="n"/>
      <c r="S3336" s="401" t="n"/>
      <c r="U3336" s="401" t="n"/>
      <c r="V3336" s="22" t="n"/>
      <c r="W3336" s="22" t="n"/>
      <c r="X3336" s="22" t="n"/>
      <c r="Y3336" s="13" t="n"/>
      <c r="Z3336" s="22" t="n"/>
      <c r="AA3336" s="22" t="n"/>
      <c r="AB3336" s="22" t="n"/>
      <c r="AC3336" s="22" t="n"/>
      <c r="AD3336" s="22" t="n"/>
      <c r="AE3336" s="22" t="n"/>
    </row>
    <row r="3337" ht="98" customHeight="1" s="380">
      <c r="A3337" s="144" t="n">
        <v>126</v>
      </c>
      <c r="B3337" s="390" t="n"/>
      <c r="C3337" s="390" t="inlineStr">
        <is>
          <t>Báo cáo tài chính quý, soát xét bán niên, kiểm toán năm - Chi nhánh công ty chứng khoán nước ngoài tại Việt Nam &gt;&gt; Báo cáo lưu chuyển tiền tệ riêng_06611</t>
        </is>
      </c>
      <c r="D3337" s="106" t="inlineStr">
        <is>
          <t>Tên báo cáo</t>
        </is>
      </c>
      <c r="E3337" s="107" t="inlineStr">
        <is>
          <t>Tên báo cáo</t>
        </is>
      </c>
      <c r="F3337" s="390" t="inlineStr">
        <is>
          <t>Data Explorer</t>
        </is>
      </c>
      <c r="G3337" s="390" t="inlineStr">
        <is>
          <t>Chiều</t>
        </is>
      </c>
      <c r="H3337" s="390" t="inlineStr">
        <is>
          <t>Dễ</t>
        </is>
      </c>
      <c r="I3337" s="390" t="inlineStr">
        <is>
          <t>Ngày, CTCK</t>
        </is>
      </c>
      <c r="J3337" s="401" t="inlineStr">
        <is>
          <t>SCMS</t>
        </is>
      </c>
      <c r="K3337" s="401" t="inlineStr">
        <is>
          <t>X</t>
        </is>
      </c>
      <c r="L3337" s="401" t="inlineStr">
        <is>
          <t>X</t>
        </is>
      </c>
      <c r="M3337" s="401" t="n"/>
      <c r="N3337" s="401" t="inlineStr">
        <is>
          <t>Done</t>
        </is>
      </c>
      <c r="O3337" s="401" t="n"/>
      <c r="P3337" s="401" t="n"/>
      <c r="S3337" s="401" t="n"/>
      <c r="U3337" s="401" t="n"/>
      <c r="V3337" s="22" t="n"/>
      <c r="W3337" s="22" t="n"/>
      <c r="X3337" s="22" t="n"/>
      <c r="Y3337" s="13" t="n"/>
      <c r="Z3337" s="22" t="n"/>
      <c r="AA3337" s="22" t="n"/>
      <c r="AB3337" s="22" t="n"/>
      <c r="AC3337" s="22" t="n"/>
      <c r="AD3337" s="22" t="n"/>
      <c r="AE3337" s="22" t="n"/>
    </row>
    <row r="3338" ht="98" customHeight="1" s="380">
      <c r="A3338" s="144" t="n">
        <v>126</v>
      </c>
      <c r="B3338" s="390" t="n"/>
      <c r="C3338" s="390" t="inlineStr">
        <is>
          <t>Báo cáo tài chính quý, soát xét bán niên, kiểm toán năm - Chi nhánh công ty chứng khoán nước ngoài tại Việt Nam &gt;&gt; Báo cáo lưu chuyển tiền tệ riêng_06611</t>
        </is>
      </c>
      <c r="D3338" s="106" t="inlineStr">
        <is>
          <t>Mã sheet</t>
        </is>
      </c>
      <c r="E3338" s="106" t="inlineStr">
        <is>
          <t>Mã sheet</t>
        </is>
      </c>
      <c r="F3338" s="390" t="inlineStr">
        <is>
          <t>Data Explorer</t>
        </is>
      </c>
      <c r="G3338" s="390" t="inlineStr">
        <is>
          <t>Chiều</t>
        </is>
      </c>
      <c r="H3338" s="390" t="inlineStr">
        <is>
          <t>Dễ</t>
        </is>
      </c>
      <c r="I3338" s="390" t="inlineStr">
        <is>
          <t>Ngày, CTCK</t>
        </is>
      </c>
      <c r="J3338" s="401" t="inlineStr">
        <is>
          <t>SCMS</t>
        </is>
      </c>
      <c r="K3338" s="401" t="inlineStr">
        <is>
          <t>X</t>
        </is>
      </c>
      <c r="L3338" s="401" t="inlineStr">
        <is>
          <t>X</t>
        </is>
      </c>
      <c r="M3338" s="401" t="n"/>
      <c r="N3338" s="401" t="inlineStr">
        <is>
          <t>Done</t>
        </is>
      </c>
      <c r="O3338" s="401" t="n"/>
      <c r="P3338" s="401" t="n"/>
      <c r="Q3338" s="401" t="inlineStr">
        <is>
          <t>SCMS.BM_BAO_CAO
SCMS.BM_SHEET</t>
        </is>
      </c>
      <c r="R3338" s="401" t="inlineStr">
        <is>
          <t>bm.ID,
bm.MA_BAO_CAO,
bm.SU_DUNG,
s.BM_BAO_CAO_ID,
s.MA_SHEET,
s.TEN_SHEET,
s.SAP_XEP</t>
        </is>
      </c>
      <c r="S3338" s="401" t="n"/>
      <c r="T3338" s="389" t="inlineStr">
        <is>
          <t>-- Mã sheet / Tên sheet
-- TEN_SHEET: BCLCTTRTT
SELECT bm.MA_BAO_CAO,
s.MA_SHEET,
s.TEN_SHEET
FROM SCMS.BM_BAO_CAO bm
JOIN SCMS.BM_SHEET s ON s.BM_BAO_CAO_ID = bm.ID
WHERE bm.MA_BAO_CAO LIKE 'BCTCRLCTCK'
AND s.TEN_SHEET = 'BCLCTTRTT'  -- Check lại
AND bm.SU_DUNG = 1
ORDER BY bm.MA_BAO_CAO, s.SAP_XEP;</t>
        </is>
      </c>
      <c r="U3338" s="401" t="n"/>
      <c r="V3338" s="22" t="n"/>
      <c r="W3338" s="22" t="n"/>
      <c r="X3338" s="22" t="n"/>
      <c r="Y3338" s="13" t="n"/>
      <c r="Z3338" s="22" t="n"/>
      <c r="AA3338" s="22" t="n"/>
      <c r="AB3338" s="22" t="n"/>
      <c r="AC3338" s="22" t="n"/>
      <c r="AD3338" s="22" t="n"/>
      <c r="AE3338" s="22" t="n"/>
    </row>
    <row r="3339" ht="98" customHeight="1" s="380">
      <c r="A3339" s="144" t="n">
        <v>126</v>
      </c>
      <c r="B3339" s="390" t="n"/>
      <c r="C3339" s="390" t="inlineStr">
        <is>
          <t>Báo cáo tài chính quý, soát xét bán niên, kiểm toán năm - Chi nhánh công ty chứng khoán nước ngoài tại Việt Nam &gt;&gt; Báo cáo lưu chuyển tiền tệ riêng_06611</t>
        </is>
      </c>
      <c r="D3339" s="106" t="inlineStr">
        <is>
          <t>Tên sheet</t>
        </is>
      </c>
      <c r="E3339" s="106" t="inlineStr">
        <is>
          <t>Tên sheet</t>
        </is>
      </c>
      <c r="F3339" s="390" t="inlineStr">
        <is>
          <t>Data Explorer</t>
        </is>
      </c>
      <c r="G3339" s="390" t="inlineStr">
        <is>
          <t>Chiều</t>
        </is>
      </c>
      <c r="H3339" s="390" t="inlineStr">
        <is>
          <t>Dễ</t>
        </is>
      </c>
      <c r="I3339" s="390" t="inlineStr">
        <is>
          <t>Ngày, CTCK</t>
        </is>
      </c>
      <c r="J3339" s="401" t="inlineStr">
        <is>
          <t>SCMS</t>
        </is>
      </c>
      <c r="K3339" s="401" t="inlineStr">
        <is>
          <t>X</t>
        </is>
      </c>
      <c r="L3339" s="401" t="inlineStr">
        <is>
          <t>X</t>
        </is>
      </c>
      <c r="M3339" s="401" t="n"/>
      <c r="N3339" s="401" t="inlineStr">
        <is>
          <t>Done</t>
        </is>
      </c>
      <c r="O3339" s="401" t="n"/>
      <c r="P3339" s="401" t="n"/>
      <c r="S3339" s="401" t="n"/>
      <c r="U3339" s="401" t="n"/>
      <c r="V3339" s="22" t="n"/>
      <c r="W3339" s="22" t="n"/>
      <c r="X3339" s="22" t="n"/>
      <c r="Y3339" s="13" t="n"/>
      <c r="Z3339" s="22" t="n"/>
      <c r="AA3339" s="22" t="n"/>
      <c r="AB3339" s="22" t="n"/>
      <c r="AC3339" s="22" t="n"/>
      <c r="AD3339" s="22" t="n"/>
      <c r="AE3339" s="22" t="n"/>
    </row>
    <row r="3340" ht="98" customHeight="1" s="380">
      <c r="A3340" s="144" t="n">
        <v>126</v>
      </c>
      <c r="B3340" s="390" t="n"/>
      <c r="C3340" s="390" t="inlineStr">
        <is>
          <t>Báo cáo tài chính quý, soát xét bán niên, kiểm toán năm - Chi nhánh công ty chứng khoán nước ngoài tại Việt Nam &gt;&gt; Báo cáo lưu chuyển tiền tệ riêng_06611</t>
        </is>
      </c>
      <c r="D3340" s="106" t="inlineStr">
        <is>
          <t>Mã chỉ tiêu</t>
        </is>
      </c>
      <c r="E3340" s="107" t="inlineStr">
        <is>
          <t>Mã chỉ tiêu</t>
        </is>
      </c>
      <c r="F3340" s="390" t="inlineStr">
        <is>
          <t>Data Explorer</t>
        </is>
      </c>
      <c r="G3340" s="390" t="inlineStr">
        <is>
          <t>Chiều</t>
        </is>
      </c>
      <c r="H3340" s="390" t="inlineStr">
        <is>
          <t>Dễ</t>
        </is>
      </c>
      <c r="I3340" s="390" t="inlineStr">
        <is>
          <t>Ngày, CTCK</t>
        </is>
      </c>
      <c r="J3340" s="401" t="inlineStr">
        <is>
          <t>SCMS</t>
        </is>
      </c>
      <c r="K3340" s="401" t="inlineStr">
        <is>
          <t>X</t>
        </is>
      </c>
      <c r="L3340" s="401" t="inlineStr">
        <is>
          <t>X</t>
        </is>
      </c>
      <c r="M3340" s="401" t="n"/>
      <c r="N3340" s="401" t="inlineStr">
        <is>
          <t>Done</t>
        </is>
      </c>
      <c r="O3340" s="401" t="n"/>
      <c r="P3340" s="401" t="n"/>
      <c r="Q3340" s="401" t="inlineStr">
        <is>
          <t>SCMS.BM_BAO_CAO
SCMS.BM_SHEET
SCMS.BM_BAO_CAO_CT
SCMS.DM_CHI_TIEU</t>
        </is>
      </c>
      <c r="R3340" s="401" t="inlineStr">
        <is>
          <t>dct.ID,
dct.MA_CHI_TIEU,
dct.TEN_CHI_TIEU,
dct.SU_DUNG,
s.BM_BAO_CAO_ID,
s.MA_SHEET,
ct.BM_BAO_CAO_ID,
ct.DM_CHI_TIEU_ID,
ct.SU_DUNG,
bm.ID,
bm.MA_BAO_CAO,
bm.SU_DUNG</t>
        </is>
      </c>
      <c r="S3340" s="401" t="n"/>
      <c r="T3340" s="389" t="inlineStr">
        <is>
          <t>-- Mã chỉ tiêu / Tên chỉ tiêu
SELECT DISTINCT
    dct.MA_CHI_TIEU  AS ma_chi_tieu,
    dct.TEN_CHI_TIEU AS ten_chi_tieu
FROM SCMS.BM_BAO_CAO bm
JOIN SCMS.BM_SHEET s ON s.BM_BAO_CAO_ID = bm.ID
	AND s.TEN_SHEET = 'BCLCTTRTT'
JOIN SCMS.BM_BAO_CAO_CT ct ON ct.BM_SHEET_ID = s.ID
	AND ct.SU_DUNG = 1
JOIN SCMS.DM_CHI_TIEU dct ON dct.ID = ct.DM_CHI_TIEU_ID
	AND dct.SU_DUNG = 1
WHERE bm.MA_BAO_CAO LIKE 'BCTCRLCTCK'
	AND bm.SU_DUNG = 1
ORDER BY dct.MA_CHI_TIEU;</t>
        </is>
      </c>
      <c r="U3340" s="401" t="n"/>
      <c r="V3340" s="22" t="n"/>
      <c r="W3340" s="22" t="n"/>
      <c r="X3340" s="22" t="n"/>
      <c r="Y3340" s="13" t="n"/>
      <c r="Z3340" s="22" t="n"/>
      <c r="AA3340" s="22" t="n"/>
      <c r="AB3340" s="22" t="n"/>
      <c r="AC3340" s="22" t="n"/>
      <c r="AD3340" s="22" t="n"/>
      <c r="AE3340" s="22" t="n"/>
    </row>
    <row r="3341" ht="98" customHeight="1" s="380">
      <c r="A3341" s="144" t="n">
        <v>126</v>
      </c>
      <c r="B3341" s="390" t="n"/>
      <c r="C3341" s="390" t="inlineStr">
        <is>
          <t>Báo cáo tài chính quý, soát xét bán niên, kiểm toán năm - Chi nhánh công ty chứng khoán nước ngoài tại Việt Nam &gt;&gt; Báo cáo lưu chuyển tiền tệ riêng_06611</t>
        </is>
      </c>
      <c r="D3341" s="106" t="inlineStr">
        <is>
          <t>Tên chỉ tiêu</t>
        </is>
      </c>
      <c r="E3341" s="107" t="inlineStr">
        <is>
          <t>Tên chỉ tiêu</t>
        </is>
      </c>
      <c r="F3341" s="390" t="inlineStr">
        <is>
          <t>Data Explorer</t>
        </is>
      </c>
      <c r="G3341" s="390" t="inlineStr">
        <is>
          <t>Chiều</t>
        </is>
      </c>
      <c r="H3341" s="390" t="inlineStr">
        <is>
          <t>Dễ</t>
        </is>
      </c>
      <c r="I3341" s="390" t="inlineStr">
        <is>
          <t>Ngày, CTCK</t>
        </is>
      </c>
      <c r="J3341" s="401" t="inlineStr">
        <is>
          <t>SCMS</t>
        </is>
      </c>
      <c r="K3341" s="401" t="inlineStr">
        <is>
          <t>X</t>
        </is>
      </c>
      <c r="L3341" s="401" t="inlineStr">
        <is>
          <t>X</t>
        </is>
      </c>
      <c r="M3341" s="401" t="n"/>
      <c r="N3341" s="401" t="inlineStr">
        <is>
          <t>Done</t>
        </is>
      </c>
      <c r="O3341" s="401" t="n"/>
      <c r="P3341" s="401" t="n"/>
      <c r="S3341" s="401" t="n"/>
      <c r="U3341" s="401" t="n"/>
      <c r="V3341" s="22" t="n"/>
      <c r="W3341" s="22" t="n"/>
      <c r="X3341" s="22" t="n"/>
      <c r="Y3341" s="13" t="n"/>
      <c r="Z3341" s="22" t="n"/>
      <c r="AA3341" s="22" t="n"/>
      <c r="AB3341" s="22" t="n"/>
      <c r="AC3341" s="22" t="n"/>
      <c r="AD3341" s="22" t="n"/>
      <c r="AE3341" s="22" t="n"/>
    </row>
    <row r="3342" ht="98" customHeight="1" s="380">
      <c r="A3342" s="144" t="n">
        <v>126</v>
      </c>
      <c r="B3342" s="390" t="n"/>
      <c r="C3342" s="390" t="inlineStr">
        <is>
          <t>Báo cáo tài chính quý, soát xét bán niên, kiểm toán năm - Chi nhánh công ty chứng khoán nước ngoài tại Việt Nam &gt;&gt; Báo cáo lưu chuyển tiền tệ riêng_06611</t>
        </is>
      </c>
      <c r="D3342" s="132" t="inlineStr">
        <is>
          <t>I. Lưu chuyển tiền từ hoạt động kinh doanh</t>
        </is>
      </c>
      <c r="E3342" s="401" t="n"/>
      <c r="F3342" s="390" t="inlineStr">
        <is>
          <t>Data Explorer</t>
        </is>
      </c>
      <c r="G3342" s="390" t="inlineStr">
        <is>
          <t>Chỉ tiêu cơ sở</t>
        </is>
      </c>
      <c r="H3342" s="390" t="inlineStr">
        <is>
          <t>Dễ</t>
        </is>
      </c>
      <c r="I3342" s="390" t="inlineStr">
        <is>
          <t>Ngày, CTCK</t>
        </is>
      </c>
      <c r="J3342" s="401" t="inlineStr">
        <is>
          <t>SCMS</t>
        </is>
      </c>
      <c r="K3342" s="401" t="n"/>
      <c r="L3342" s="401" t="inlineStr">
        <is>
          <t>X</t>
        </is>
      </c>
      <c r="M3342" s="401" t="n"/>
      <c r="N3342" s="401" t="inlineStr">
        <is>
          <t>Done</t>
        </is>
      </c>
      <c r="O3342" s="401" t="n"/>
      <c r="P3342" s="401" t="n"/>
      <c r="Q3342" s="431" t="inlineStr">
        <is>
          <t>SCMS.BC_THANH_VIEN
SCMS.BM_BAO_CAO
SCMS.BC_BAO_CAO_GT
SCMS.BM_BAO_CAO_HANG
SCMS.BM_BAO_CAO_COT</t>
        </is>
      </c>
      <c r="R3342" s="431" t="inlineStr">
        <is>
          <t>bsc.TEN_COT,
bsc.BM_SHEET_ID,
bsh.ID,
bsh.MA_HANG,
gt.GIA_TRI,
gt.BC_THANH_VIEN_ID,
gt.BM_SHEET_HANG_ID,
bm.ID,
bm.MA_BAO_CAO,
btv.ID,
btv.BM_BAO_CAO_ID,
btv.TRANG_THAI,
btv.NGAY_SO_LIEU</t>
        </is>
      </c>
      <c r="S3342" s="401" t="n"/>
      <c r="T3342" s="432" t="inlineStr">
        <is>
          <t>-- CHỈ TIÊU
SELECT
	-- Thuyết minh
    MAX(CASE WHEN bsc.TEN_COT=N'Thuyết minh' AND bsh.MA_HANG = '7' THEN CAST(gt.GIA_TRI AS VARCHAR2(4000)) END) AS "I. Lưu chuyển tiền từ hoạt động kinh doanh",
	MAX(CASE WHEN bsc.TEN_COT=N'Thuyết minh' AND bsh.MA_HANG = '8' THEN CAST(gt.GIA_TRI AS VARCHAR2(4000)) END) AS "1.Tiền đã chi mua các tài sản tài chính",
	MAX(CASE WHEN bsc.TEN_COT=N'Thuyết minh' AND bsh.MA_HANG = '9' THEN CAST(gt.GIA_TRI AS VARCHAR2(4000)) END) AS "2.Tiền đã thu từ bán các tài sản tài chính",
	MAX(CASE WHEN bsc.TEN_COT=N'Thuyết minh' AND bsh.MA_HANG = '10' THEN CAST(gt.GIA_TRI AS VARCHAR2(4000)) END) AS "3. Tiền chi nộp Quỹ Hỗ trợ thanh toán",
	MAX(CASE WHEN bsc.TEN_COT=N'Thuyết minh' AND bsh.MA_HANG = '11' THEN CAST(gt.GIA_TRI AS VARCHAR2(4000)) END) AS "4. Cổ tức đã nhận",
	MAX(CASE WHEN bsc.TEN_COT=N'Thuyết minh' AND bsh.MA_HANG = '12' THEN CAST(gt.GIA_TRI AS VARCHAR2(4000)) END) AS "5. Tiền lãi đã thu",
	MAX(CASE WHEN bsc.TEN_COT=N'Thuyết minh' AND bsh.MA_HANG = '13' THEN CAST(gt.GIA_TRI AS VARCHAR2(4000)) END) AS "6. Tiền chi trả lãi vay cho hoạt động của CTCK",
	MAX(CASE WHEN bsc.TEN_COT=N'Thuyết minh' AND bsh.MA_HANG = '14' THEN CAST(gt.GIA_TRI AS VARCHAR2(4000)) END) AS "7. Tiền chi trả Tổ chức cung cấp dịch vụ cho CTCK",
	MAX(CASE WHEN bsc.TEN_COT=N'Thuyết minh' AND bsh.MA_HANG = '15' THEN CAST(gt.GIA_TRI AS VARCHAR2(4000)) END) AS "8. Tiền chi trả cho người lao động",
	MAX(CASE WHEN bsc.TEN_COT=N'Thuyết minh' AND bsh.MA_HANG = '16' THEN CAST(gt.GIA_TRI AS VARCHAR2(4000)) END) AS "9. Tiền chi nộp thuế liên quan đến hoạt động CTCK" ,
	MAX(CASE WHEN bsc.TEN_COT=N'Thuyết minh' AND bsh.MA_HANG = '17' THEN CAST(gt.GIA_TRI AS VARCHAR2(4000)) END) AS "10.Tiền chi thanh toán các chi phí cho hoạt động mua, bán các tài sản tài chính",
	MAX(CASE WHEN bsc.TEN_COT=N'Thuyết minh' AND bsh.MA_HANG = '18' THEN CAST(gt.GIA_TRI AS VARCHAR2(4000)) END) AS "11. Tiền thu khác từ hoạt động kinh doanh",
	MAX(CASE WHEN bsc.TEN_COT=N'Thuyết minh' AND bsh.MA_HANG = '19' THEN CAST(gt.GIA_TRI AS VARCHAR2(4000)) END) AS "12. Tiền chi khác cho hoạt động kinh doanh",
	MAX(CASE WHEN bsc.TEN_COT=N'Thuyết minh' AND bsh.MA_HANG = '20' THEN CAST(gt.GIA_TRI AS VARCHAR2(4000)) END) AS "Lưu chuyển tiền thuần từ hoạt động kinh doanh",
	MAX(CASE WHEN bsc.TEN_COT=N'Thuyết minh' AND bsh.MA_HANG = '21' THEN CAST(gt.GIA_TRI AS VARCHAR2(4000)) END) AS "II. Lưu chuyển tiền từ hoạt động đầu tư",
	MAX(CASE WHEN bsc.TEN_COT=N'Thuyết minh' AND bsh.MA_HANG = '22' THEN CAST(gt.GIA_TRI AS VARCHAR2(4000)) END) AS "1.Tiền chi để mua sắm, xây dựng TSCĐ, BĐSĐT và các tài sản khác",
	MAX(CASE WHEN bsc.TEN_COT=N'Thuyết minh' AND bsh.MA_HANG = '23' THEN CAST(gt.GIA_TRI AS VARCHAR2(4000)) END) AS "2.Tiền thu từ thanh lý, nhượng bán TSCĐ, BĐSĐT  và các tài sản khác",
	MAX(CASE WHEN bsc.TEN_COT=N'Thuyết minh' AND bsh.MA_HANG = '24' THEN CAST(gt.GIA_TRI AS VARCHAR2(4000)) END) AS "3.Tiền chi đầu tư góp vốn vào công ty con, công  ty liên doanh, liên kết và đầu tư khác",
	MAX(CASE WHEN bsc.TEN_COT=N'Thuyết minh' AND bsh.MA_HANG = '25' THEN CAST(gt.GIA_TRI AS VARCHAR2(4000)) END) AS "4.Tiền thu hồi đầu tư góp vốn vào công ty con, công ty liên doanh, liên kết và đầu tư khác",
	MAX(CASE WHEN bsc.TEN_COT=N'Thuyết minh' AND bsh.MA_HANG = '26' THEN CAST(gt.GIA_TRI AS VARCHAR2(4000)) END) AS "5.Tiền thu về  cổ tức và lợi nhuận được chia từ các khoản đầu tư tài chính dài hạn",
	MAX(CASE WHEN bsc.TEN_COT=N'Thuyết minh' AND bsh.MA_HANG = '27' THEN CAST(gt.GIA_TRI AS VARCHAR2(4000)) END) AS "Lưu chuyển tiền thuần từ hoạt động đầu tư",
	MAX(CASE WHEN bsc.TEN_COT=N'Thuyết minh' AND bsh.MA_HANG = '28' THEN CAST(gt.GIA_TRI AS VARCHAR2(4000)) END) AS "III. Lưu chuyển tiền từ hoạt động tài chính",
	MAX(CASE WHEN bsc.TEN_COT=N'Thuyết minh' AND bsh.MA_HANG = '29' THEN CAST(gt.GIA_TRI AS VARCHAR2(4000)) END) AS "1.Tiền thu từ phát hành cổ phiếu, nhận vốn góp của chủ sở hữu",
	MAX(CASE WHEN bsc.TEN_COT=N'Thuyết minh' AND bsh.MA_HANG = '30' THEN CAST(gt.GIA_TRI AS VARCHAR2(4000)) END) AS "2.Tiền chi trả vốn góp cho các chủ sở hữu, mua lại cổ phiếu đã phát hành",
	MAX(CASE WHEN bsc.TEN_COT=N'Thuyết minh' AND bsh.MA_HANG = '31' THEN CAST(gt.GIA_TRI AS VARCHAR2(4000)) END) AS "3.Tiền vay gốc",
	MAX(CASE WHEN bsc.TEN_COT=N'Thuyết minh' AND bsh.MA_HANG = '32' THEN CAST(gt.GIA_TRI AS VARCHAR2(4000)) END) AS "3.1. Tiền vay Quỹ Hỗ trợ thanh toán",
	MAX(CASE WHEN bsc.TEN_COT=N'Thuyết minh' AND bsh.MA_HANG = '33' THEN CAST(gt.GIA_TRI AS VARCHAR2(4000)) END) AS "3.2. Tiền vay khác",
	MAX(CASE WHEN bsc.TEN_COT=N'Thuyết minh' AND bsh.MA_HANG = '34' THEN CAST(gt.GIA_TRI AS VARCHAR2(4000)) END) AS "4. Tiền chi trả nợ gốc vay",
	MAX(CASE WHEN bsc.TEN_COT=N'Thuyết minh' AND bsh.MA_HANG = '35' THEN CAST(gt.GIA_TRI AS VARCHAR2(4000)) END) AS "4.1. Tiền chi trả gốc vay Quỹ Hỗ trợ thanh toán",
	MAX(CASE WHEN bsc.TEN_COT=N'Thuyết minh' AND bsh.MA_HANG = '36' THEN CAST(gt.GIA_TRI AS VARCHAR2(4000)) END) AS "4.2. Tiền chi trả gốc vay tài sản tài chính",
	MAX(CASE WHEN bsc.TEN_COT=N'Thuyết minh' AND bsh.MA_HANG = '37' THEN CAST(gt.GIA_TRI AS VARCHAR2(4000)) END) AS "4.3. Tiền chi trả gốc vay khác",
	MAX(CASE WHEN bsc.TEN_COT=N'Thuyết minh' AND bsh.MA_HANG = '38' THEN CAST(gt.GIA_TRI AS VARCHAR2(4000)) END) AS "5.Tiền chi trả nợ gốc thuê tài chính",
	MAX(CASE WHEN bsc.TEN_COT=N'Thuyết minh' AND bsh.MA_HANG = '39' THEN CAST(gt.GIA_TRI AS VARCHAR2(4000)) END) AS "6. Cổ tức, lợi nhuận đã trả cho chủ sở hữu",
	MAX(CASE WHEN bsc.TEN_COT=N'Thuyết minh' AND bsh.MA_HANG = '40' THEN CAST(gt.GIA_TRI AS VARCHAR2(4000)) END) AS "Lưu chuyển tiền thuần từ hoạt động tài chính",
	MAX(CASE WHEN bsc.TEN_COT=N'Thuyết minh' AND bsh.MA_HANG = '41' THEN CAST(gt.GIA_TRI AS VARCHAR2(4000)) END) AS "IV. Tăng/giảm tiền thuần trong kỳ",
	MAX(CASE WHEN bsc.TEN_COT=N'Thuyết minh' AND bsh.MA_HANG = '42' THEN CAST(gt.GIA_TRI AS VARCHAR2(4000)) END) AS "V. Tiền và các khoản tương đương tiền đầu kỳ",
	MAX(CASE WHEN bsc.TEN_COT=N'Thuyết minh' AND bsh.MA_HANG = '43' THEN CAST(gt.GIA_TRI AS VARCHAR2(4000)) END) AS "Tiền - Đầu kỳ",
	MAX(CASE WHEN bsc.TEN_COT=N'Thuyết minh' AND bsh.MA_HANG = '44' THEN CAST(gt.GIA_TRI AS VARCHAR2(4000)) END) AS "Các khoản tương đương tiền - Đầu kỳ",
	MAX(CASE WHEN bsc.TEN_COT=N'Thuyết minh' AND bsh.MA_HANG = '45' THEN CAST(gt.GIA_TRI AS VARCHAR2(4000)) END) AS "Ảnh hưởng của thay đổi tỷ giá hối đoái quy đổi ngoại tệ - Đầu kỳ",
	MAX(CASE WHEN bsc.TEN_COT=N'Thuyết minh' AND bsh.MA_HANG = '46' THEN CAST(gt.GIA_TRI AS VARCHAR2(4000)) END) AS "VI. Tiền và các khoản tương đương tiền cuối kỳ (70 = 50 + 60)",
	MAX(CASE WHEN bsc.TEN_COT=N'Thuyết minh' AND bsh.MA_HANG = '47' THEN CAST(gt.GIA_TRI AS VARCHAR2(4000)) END) AS "Tiền - Cuối kỳ",
	MAX(CASE WHEN bsc.TEN_COT=N'Thuyết minh' AND bsh.MA_HANG = '48' THEN CAST(gt.GIA_TRI AS VARCHAR2(4000)) END) AS "Các khoản tương đương tiền - Cuối kỳ",
	MAX(CASE WHEN bsc.TEN_COT=N'Thuyết minh' AND bsh.MA_HANG = '49' THEN CAST(gt.GIA_TRI AS VARCHAR2(4000)) END) AS "Ảnh hưởng của thay đổi tỷ giá hối đoái quy đổi ngoại tệ - Cuối kỳ",    
    -- Năm nay
	MAX(CASE WHEN bsc.TEN_COT=N'Năm nay' AND bsh.MA_HANG = '7' THEN CAST(gt.GIA_TRI AS VARCHAR2(4000)) END) AS "I. Lưu chuyển tiền từ hoạt động kinh doanh",
	MAX(CASE WHEN bsc.TEN_COT=N'Năm nay' AND bsh.MA_HANG = '8' THEN CAST(gt.GIA_TRI AS VARCHAR2(4000)) END) AS "1.Tiền đã chi mua các tài sản tài chính",
	MAX(CASE WHEN bsc.TEN_COT=N'Năm nay' AND bsh.MA_HANG = '9' THEN CAST(gt.GIA_TRI AS VARCHAR2(4000)) END) AS "2.Tiền đã thu từ bán các tài sản tài chính",
	MAX(CASE WHEN bsc.TEN_COT=N'Năm nay' AND bsh.MA_HANG = '10' THEN CAST(gt.GIA_TRI AS VARCHAR2(4000)) END) AS "3. Tiền chi nộp Quỹ Hỗ trợ thanh toán",
	MAX(CASE WHEN bsc.TEN_COT=N'Năm nay' AND bsh.MA_HANG = '11' THEN CAST(gt.GIA_TRI AS VARCHAR2(4000)) END) AS "4. Cổ tức đã nhận",
	MAX(CASE WHEN bsc.TEN_COT=N'Năm nay' AND bsh.MA_HANG = '12' THEN CAST(gt.GIA_TRI AS VARCHAR2(4000)) END) AS "5. Tiền lãi đã thu",
	MAX(CASE WHEN bsc.TEN_COT=N'Năm nay' AND bsh.MA_HANG = '13' THEN CAST(gt.GIA_TRI AS VARCHAR2(4000)) END) AS "6. Tiền chi trả lãi vay cho hoạt động của CTCK",
	MAX(CASE WHEN bsc.TEN_COT=N'Năm nay' AND bsh.MA_HANG = '14' THEN CAST(gt.GIA_TRI AS VARCHAR2(4000)) END) AS "7. Tiền chi trả Tổ chức cung cấp dịch vụ cho CTCK",
	MAX(CASE WHEN bsc.TEN_COT=N'Năm nay' AND bsh.MA_HANG = '15' THEN CAST(gt.GIA_TRI AS VARCHAR2(4000)) END) AS "8. Tiền chi trả cho người lao động",
	MAX(CASE WHEN bsc.TEN_COT=N'Năm nay' AND bsh.MA_HANG = '16' THEN CAST(gt.GIA_TRI AS VARCHAR2(4000)) END) AS "9. Tiền chi nộp thuế liên quan đến hoạt động CTCK" ,
	MAX(CASE WHEN bsc.TEN_COT=N'Năm nay' AND bsh.MA_HANG = '17' THEN CAST(gt.GIA_TRI AS VARCHAR2(4000)) END) AS "10.Tiền chi thanh toán các chi phí cho hoạt động mua, bán các tài sản tài chính",
	MAX(CASE WHEN bsc.TEN_COT=N'Năm nay' AND bsh.MA_HANG = '18' THEN CAST(gt.GIA_TRI AS VARCHAR2(4000)) END) AS "11. Tiền thu khác từ hoạt động kinh doanh",
	MAX(CASE WHEN bsc.TEN_COT=N'Năm nay' AND bsh.MA_HANG = '19' THEN CAST(gt.GIA_TRI AS VARCHAR2(4000)) END) AS "12. Tiền chi khác cho hoạt động kinh doanh",
	MAX(CASE WHEN bsc.TEN_COT=N'Năm nay' AND bsh.MA_HANG = '20' THEN CAST(gt.GIA_TRI AS VARCHAR2(4000)) END) AS "Lưu chuyển tiền thuần từ hoạt động kinh doanh",
	MAX(CASE WHEN bsc.TEN_COT=N'Năm nay' AND bsh.MA_HANG = '21' THEN CAST(gt.GIA_TRI AS VARCHAR2(4000)) END) AS "II. Lưu chuyển tiền từ hoạt động đầu tư",
	MAX(CASE WHEN bsc.TEN_COT=N'Năm nay' AND bsh.MA_HANG = '22' THEN CAST(gt.GIA_TRI AS VARCHAR2(4000)) END) AS "1.Tiền chi để mua sắm, xây dựng TSCĐ, BĐSĐT và các tài sản khác",
	MAX(CASE WHEN bsc.TEN_COT=N'Năm nay' AND bsh.MA_HANG = '23' THEN CAST(gt.GIA_TRI AS VARCHAR2(4000)) END) AS "2.Tiền thu từ thanh lý, nhượng bán TSCĐ, BĐSĐT  và các tài sản khác",
	MAX(CASE WHEN bsc.TEN_COT=N'Năm nay' AND bsh.MA_HANG = '24' THEN CAST(gt.GIA_TRI AS VARCHAR2(4000)) END) AS "3.Tiền chi đầu tư góp vốn vào công ty con, công  ty liên doanh, liên kết và đầu tư khác",
	MAX(CASE WHEN bsc.TEN_COT=N'Năm nay' AND bsh.MA_HANG = '25' THEN CAST(gt.GIA_TRI AS VARCHAR2(4000)) END) AS "4.Tiền thu hồi đầu tư góp vốn vào công ty con, công ty liên doanh, liên kết và đầu tư khác",
	MAX(CASE WHEN bsc.TEN_COT=N'Năm nay' AND bsh.MA_HANG = '26' THEN CAST(gt.GIA_TRI AS VARCHAR2(4000)) END) AS "5.Tiền thu về  cổ tức và lợi nhuận được chia từ các khoản đầu tư tài chính dài hạn",
	MAX(CASE WHEN bsc.TEN_COT=N'Năm nay' AND bsh.MA_HANG = '27' THEN CAST(gt.GIA_TRI AS VARCHAR2(4000)) END) AS "Lưu chuyển tiền thuần từ hoạt động đầu tư",
	MAX(CASE WHEN bsc.TEN_COT=N'Năm nay' AND bsh.MA_HANG = '28' THEN CAST(gt.GIA_TRI AS VARCHAR2(4000)) END) AS "III. Lưu chuyển tiền từ hoạt động tài chính",
	MAX(CASE WHEN bsc.TEN_COT=N'Năm nay' AND bsh.MA_HANG = '29' THEN CAST(gt.GIA_TRI AS VARCHAR2(4000)) END) AS "1.Tiền thu từ phát hành cổ phiếu, nhận vốn góp của chủ sở hữu",
	MAX(CASE WHEN bsc.TEN_COT=N'Năm nay' AND bsh.MA_HANG = '30' THEN CAST(gt.GIA_TRI AS VARCHAR2(4000)) END) AS "2.Tiền chi trả vốn góp cho các chủ sở hữu, mua lại cổ phiếu đã phát hành",
	MAX(CASE WHEN bsc.TEN_COT=N'Năm nay' AND bsh.MA_HANG = '31' THEN CAST(gt.GIA_TRI AS VARCHAR2(4000)) END) AS "3.Tiền vay gốc",
	MAX(CASE WHEN bsc.TEN_COT=N'Năm nay' AND bsh.MA_HANG = '32' THEN CAST(gt.GIA_TRI AS VARCHAR2(4000)) END) AS "3.1. Tiền vay Quỹ Hỗ trợ thanh toán",
	MAX(CASE WHEN bsc.TEN_COT=N'Năm nay' AND bsh.MA_HANG = '33' THEN CAST(gt.GIA_TRI AS VARCHAR2(4000)) END) AS "3.2. Tiền vay khác",
	MAX(CASE WHEN bsc.TEN_COT=N'Năm nay' AND bsh.MA_HANG = '34' THEN CAST(gt.GIA_TRI AS VARCHAR2(4000)) END) AS "4. Tiền chi trả nợ gốc vay",
	MAX(CASE WHEN bsc.TEN_COT=N'Năm nay' AND bsh.MA_HANG = '35' THEN CAST(gt.GIA_TRI AS VARCHAR2(4000)) END) AS "4.1. Tiền chi trả gốc vay Quỹ Hỗ trợ thanh toán",
	MAX(CASE WHEN bsc.TEN_COT=N'Năm nay' AND bsh.MA_HANG = '36' THEN CAST(gt.GIA_TRI AS VARCHAR2(4000)) END) AS "4.2. Tiền chi trả gốc vay tài sản tài chính",
	MAX(CASE WHEN bsc.TEN_COT=N'Năm nay' AND bsh.MA_HANG = '37' THEN CAST(gt.GIA_TRI AS VARCHAR2(4000)) END) AS "4.3. Tiền chi trả gốc vay khác",
	MAX(CASE WHEN bsc.TEN_COT=N'Năm nay' AND bsh.MA_HANG = '38' THEN CAST(gt.GIA_TRI AS VARCHAR2(4000)) END) AS "5.Tiền chi trả nợ gốc thuê tài chính",
	MAX(CASE WHEN bsc.TEN_COT=N'Năm nay' AND bsh.MA_HANG = '39' THEN CAST(gt.GIA_TRI AS VARCHAR2(4000)) END) AS "6. Cổ tức, lợi nhuận đã trả cho chủ sở hữu",
	MAX(CASE WHEN bsc.TEN_COT=N'Năm nay' AND bsh.MA_HANG = '40' THEN CAST(gt.GIA_TRI AS VARCHAR2(4000)) END) AS "Lưu chuyển tiền thuần từ hoạt động tài chính",
	MAX(CASE WHEN bsc.TEN_COT=N'Năm nay' AND bsh.MA_HANG = '41' THEN CAST(gt.GIA_TRI AS VARCHAR2(4000)) END) AS "IV. Tăng/giảm tiền thuần trong kỳ",
	MAX(CASE WHEN bsc.TEN_COT=N'Năm nay' AND bsh.MA_HANG = '42' THEN CAST(gt.GIA_TRI AS VARCHAR2(4000)) END) AS "V. Tiền và các khoản tương đương tiền đầu kỳ",
	MAX(CASE WHEN bsc.TEN_COT=N'Năm nay' AND bsh.MA_HANG = '43' THEN CAST(gt.GIA_TRI AS VARCHAR2(4000)) END) AS "Tiền - Đầu kỳ",
	MAX(CASE WHEN bsc.TEN_COT=N'Năm nay' AND bsh.MA_HANG = '44' THEN CAST(gt.GIA_TRI AS VARCHAR2(4000)) END) AS "Các khoản tương đương tiền - Đầu kỳ",
	MAX(CASE WHEN bsc.TEN_COT=N'Năm nay' AND bsh.MA_HANG = '45' THEN CAST(gt.GIA_TRI AS VARCHAR2(4000)) END) AS "Ảnh hưởng của thay đổi tỷ giá hối đoái quy đổi ngoại tệ - Đầu kỳ",
	MAX(CASE WHEN bsc.TEN_COT=N'Năm nay' AND bsh.MA_HANG = '46' THEN CAST(gt.GIA_TRI AS VARCHAR2(4000)) END) AS "VI. Tiền và các khoản tương đương tiền cuối kỳ (70 = 50 + 60)",
	MAX(CASE WHEN bsc.TEN_COT=N'Năm nay' AND bsh.MA_HANG = '47' THEN CAST(gt.GIA_TRI AS VARCHAR2(4000)) END) AS "Tiền - Cuối kỳ",
	MAX(CASE WHEN bsc.TEN_COT=N'Năm nay' AND bsh.MA_HANG = '48' THEN CAST(gt.GIA_TRI AS VARCHAR2(4000)) END) AS "Các khoản tương đương tiền - Cuối kỳ",
	MAX(CASE WHEN bsc.TEN_COT=N'Năm nay' AND bsh.MA_HANG = '49' THEN CAST(gt.GIA_TRI AS VARCHAR2(4000)) END) AS "Ảnh hưởng của thay đổi tỷ giá hối đoái quy đổi ngoại tệ - Cuối kỳ",	    
    -- Năm trước
	MAX(CASE WHEN bsc.TEN_COT=N'Năm trước' AND bsh.MA_HANG = '7' THEN CAST(gt.GIA_TRI AS VARCHAR2(4000)) END) AS "I. Lưu chuyển tiền từ hoạt động kinh doanh",
	MAX(CASE WHEN bsc.TEN_COT=N'Năm trước' AND bsh.MA_HANG = '8' THEN CAST(gt.GIA_TRI AS VARCHAR2(4000)) END) AS "1.Tiền đã chi mua các tài sản tài chính",
	MAX(CASE WHEN bsc.TEN_COT=N'Năm trước' AND bsh.MA_HANG = '9' THEN CAST(gt.GIA_TRI AS VARCHAR2(4000)) END) AS "2.Tiền đã thu từ bán các tài sản tài chính",
	MAX(CASE WHEN bsc.TEN_COT=N'Năm trước' AND bsh.MA_HANG = '10' THEN CAST(gt.GIA_TRI AS VARCHAR2(4000)) END) AS "3. Tiền chi nộp Quỹ Hỗ trợ thanh toán",
	MAX(CASE WHEN bsc.TEN_COT=N'Năm trước' AND bsh.MA_HANG = '11' THEN CAST(gt.GIA_TRI AS VARCHAR2(4000)) END) AS "4. Cổ tức đã nhận",
	MAX(CASE WHEN bsc.TEN_COT=N'Năm trước' AND bsh.MA_HANG = '12' THEN CAST(gt.GIA_TRI AS VARCHAR2(4000)) END) AS "5. Tiền lãi đã thu",
	MAX(CASE WHEN bsc.TEN_COT=N'Năm trước' AND bsh.MA_HANG = '13' THEN CAST(gt.GIA_TRI AS VARCHAR2(4000)) END) AS "6. Tiền chi trả lãi vay cho hoạt động của CTCK",
	MAX(CASE WHEN bsc.TEN_COT=N'Năm trước' AND bsh.MA_HANG = '14' THEN CAST(gt.GIA_TRI AS VARCHAR2(4000)) END) AS "7. Tiền chi trả Tổ chức cung cấp dịch vụ cho CTCK",
	MAX(CASE WHEN bsc.TEN_COT=N'Năm trước' AND bsh.MA_HANG = '15' THEN CAST(gt.GIA_TRI AS VARCHAR2(4000)) END) AS "8. Tiền chi trả cho người lao động",
	MAX(CASE WHEN bsc.TEN_COT=N'Năm trước' AND bsh.MA_HANG = '16' THEN CAST(gt.GIA_TRI AS VARCHAR2(4000)) END) AS "9. Tiền chi nộp thuế liên quan đến hoạt động CTCK" ,
	MAX(CASE WHEN bsc.TEN_COT=N'Năm trước' AND bsh.MA_HANG = '17' THEN CAST(gt.GIA_TRI AS VARCHAR2(4000)) END) AS "10.Tiền chi thanh toán các chi phí cho hoạt động mua, bán các tài sản tài chính",
	MAX(CASE WHEN bsc.TEN_COT=N'Năm trước' AND bsh.MA_HANG = '18' THEN CAST(gt.GIA_TRI AS VARCHAR2(4000)) END) AS "11. Tiền thu khác từ hoạt động kinh doanh",
	MAX(CASE WHEN bsc.TEN_COT=N'Năm trước' AND bsh.MA_HANG = '19' THEN CAST(gt.GIA_TRI AS VARCHAR2(4000)) END) AS "12. Tiền chi khác cho hoạt động kinh doanh",
	MAX(CASE WHEN bsc.TEN_COT=N'Năm trước' AND bsh.MA_HANG = '20' THEN CAST(gt.GIA_TRI AS VARCHAR2(4000)) END) AS "Lưu chuyển tiền thuần từ hoạt động kinh doanh",
	MAX(CASE WHEN bsc.TEN_COT=N'Năm trước' AND bsh.MA_HANG = '21' THEN CAST(gt.GIA_TRI AS VARCHAR2(4000)) END) AS "II. Lưu chuyển tiền từ hoạt động đầu tư",
	MAX(CASE WHEN bsc.TEN_COT=N'Năm trước' AND bsh.MA_HANG = '22' THEN CAST(gt.GIA_TRI AS VARCHAR2(4000)) END) AS "1.Tiền chi để mua sắm, xây dựng TSCĐ, BĐSĐT và các tài sản khác",
	MAX(CASE WHEN bsc.TEN_COT=N'Năm trước' AND bsh.MA_HANG = '23' THEN CAST(gt.GIA_TRI AS VARCHAR2(4000)) END) AS "2.Tiền thu từ thanh lý, nhượng bán TSCĐ, BĐSĐT  và các tài sản khác",
	MAX(CASE WHEN bsc.TEN_COT=N'Năm trước' AND bsh.MA_HANG = '24' THEN CAST(gt.GIA_TRI AS VARCHAR2(4000)) END) AS "3.Tiền chi đầu tư góp vốn vào công ty con, công  ty liên doanh, liên kết và đầu tư khác",
	MAX(CASE WHEN bsc.TEN_COT=N'Năm trước' AND bsh.MA_HANG = '25' THEN CAST(gt.GIA_TRI AS VARCHAR2(4000)) END) AS "4.Tiền thu hồi đầu tư góp vốn vào công ty con, công ty liên doanh, liên kết và đầu tư khác",
	MAX(CASE WHEN bsc.TEN_COT=N'Năm trước' AND bsh.MA_HANG = '26' THEN CAST(gt.GIA_TRI AS VARCHAR2(4000)) END) AS "5.Tiền thu về  cổ tức và lợi nhuận được chia từ các khoản đầu tư tài chính dài hạn",
	MAX(CASE WHEN bsc.TEN_COT=N'Năm trước' AND bsh.MA_HANG = '27' THEN CAST(gt.GIA_TRI AS VARCHAR2(4000)) END) AS "Lưu chuyển tiền thuần từ hoạt động đầu tư",
	MAX(CASE WHEN bsc.TEN_COT=N'Năm trước' AND bsh.MA_HANG = '28' THEN CAST(gt.GIA_TRI AS VARCHAR2(4000)) END) AS "III. Lưu chuyển tiền từ hoạt động tài chính",
	MAX(CASE WHEN bsc.TEN_COT=N'Năm trước' AND bsh.MA_HANG = '29' THEN CAST(gt.GIA_TRI AS VARCHAR2(4000)) END) AS "1.Tiền thu từ phát hành cổ phiếu, nhận vốn góp của chủ sở hữu",
	MAX(CASE WHEN bsc.TEN_COT=N'Năm trước' AND bsh.MA_HANG = '30' THEN CAST(gt.GIA_TRI AS VARCHAR2(4000)) END) AS "2.Tiền chi trả vốn góp cho các chủ sở hữu, mua lại cổ phiếu đã phát hành",
	MAX(CASE WHEN bsc.TEN_COT=N'Năm trước' AND bsh.MA_HANG = '31' THEN CAST(gt.GIA_TRI AS VARCHAR2(4000)) END) AS "3.Tiền vay gốc",
	MAX(CASE WHEN bsc.TEN_COT=N'Năm trước' AND bsh.MA_HANG = '32' THEN CAST(gt.GIA_TRI AS VARCHAR2(4000)) END) AS "3.1. Tiền vay Quỹ Hỗ trợ thanh toán",
	MAX(CASE WHEN bsc.TEN_COT=N'Năm trước' AND bsh.MA_HANG = '33' THEN CAST(gt.GIA_TRI AS VARCHAR2(4000)) END) AS "3.2. Tiền vay khác",
	MAX(CASE WHEN bsc.TEN_COT=N'Năm trước' AND bsh.MA_HANG = '34' THEN CAST(gt.GIA_TRI AS VARCHAR2(4000)) END) AS "4. Tiền chi trả nợ gốc vay",
	MAX(CASE WHEN bsc.TEN_COT=N'Năm trước' AND bsh.MA_HANG = '35' THEN CAST(gt.GIA_TRI AS VARCHAR2(4000)) END) AS "4.1. Tiền chi trả gốc vay Quỹ Hỗ trợ thanh toán",
	MAX(CASE WHEN bsc.TEN_COT=N'Năm trước' AND bsh.MA_HANG = '36' THEN CAST(gt.GIA_TRI AS VARCHAR2(4000)) END) AS "4.2. Tiền chi trả gốc vay tài sản tài chính",
	MAX(CASE WHEN bsc.TEN_COT=N'Năm trước' AND bsh.MA_HANG = '37' THEN CAST(gt.GIA_TRI AS VARCHAR2(4000)) END) AS "4.3. Tiền chi trả gốc vay khác",
	MAX(CASE WHEN bsc.TEN_COT=N'Năm trước' AND bsh.MA_HANG = '38' THEN CAST(gt.GIA_TRI AS VARCHAR2(4000)) END) AS "5.Tiền chi trả nợ gốc thuê tài chính",
	MAX(CASE WHEN bsc.TEN_COT=N'Năm trước' AND bsh.MA_HANG = '39' THEN CAST(gt.GIA_TRI AS VARCHAR2(4000)) END) AS "6. Cổ tức, lợi nhuận đã trả cho chủ sở hữu",
	MAX(CASE WHEN bsc.TEN_COT=N'Năm trước' AND bsh.MA_HANG = '40' THEN CAST(gt.GIA_TRI AS VARCHAR2(4000)) END) AS "Lưu chuyển tiền thuần từ hoạt động tài chính",
	MAX(CASE WHEN bsc.TEN_COT=N'Năm trước' AND bsh.MA_HANG = '41' THEN CAST(gt.GIA_TRI AS VARCHAR2(4000)) END) AS "IV. Tăng/giảm tiền thuần trong kỳ",
	MAX(CASE WHEN bsc.TEN_COT=N'Năm trước' AND bsh.MA_HANG = '42' THEN CAST(gt.GIA_TRI AS VARCHAR2(4000)) END) AS "V. Tiền và các khoản tương đương tiền đầu kỳ",
	MAX(CASE WHEN bsc.TEN_COT=N'Năm trước' AND bsh.MA_HANG = '43' THEN CAST(gt.GIA_TRI AS VARCHAR2(4000)) END) AS "Tiền - Đầu kỳ",
	MAX(CASE WHEN bsc.TEN_COT=N'Năm trước' AND bsh.MA_HANG = '44' THEN CAST(gt.GIA_TRI AS VARCHAR2(4000)) END) AS "Các khoản tương đương tiền - Đầu kỳ",
	MAX(CASE WHEN bsc.TEN_COT=N'Năm trước' AND bsh.MA_HANG = '45' THEN CAST(gt.GIA_TRI AS VARCHAR2(4000)) END) AS "Ảnh hưởng của thay đổi tỷ giá hối đoái quy đổi ngoại tệ - Đầu kỳ",
	MAX(CASE WHEN bsc.TEN_COT=N'Năm trước' AND bsh.MA_HANG = '46' THEN CAST(gt.GIA_TRI AS VARCHAR2(4000)) END) AS "VI. Tiền và các khoản tương đương tiền cuối kỳ (70 = 50 + 60)",
	MAX(CASE WHEN bsc.TEN_COT=N'Năm trước' AND bsh.MA_HANG = '47' THEN CAST(gt.GIA_TRI AS VARCHAR2(4000)) END) AS "Tiền - Cuối kỳ",
	MAX(CASE WHEN bsc.TEN_COT=N'Năm trước' AND bsh.MA_HANG = '48' THEN CAST(gt.GIA_TRI AS VARCHAR2(4000)) END) AS "Các khoản tương đương tiền - Cuối kỳ",
	MAX(CASE WHEN bsc.TEN_COT=N'Năm trước' AND bsh.MA_HANG = '49' THEN CAST(gt.GIA_TRI AS VARCHAR2(4000)) END) AS "Ảnh hưởng của thay đổi tỷ giá hối đoái quy đổi ngoại tệ - Cuối kỳ"  
FROM SCMS.BC_THANH_VIEN btv
JOIN SCMS.BM_BAO_CAO bm ON bm.ID = btv.BM_BAO_CAO_ID
JOIN SCMS.BC_BAO_CAO_GT gt ON gt.BC_THANH_VIEN_ID = btv.ID
JOIN SCMS.BM_BAO_CAO_HANG bsh ON bsh.ID = gt.BM_SHEET_HANG_ID
JOIN SCMS.BM_BAO_CAO_COT bsc ON bsc.BM_SHEET_ID = 5890
--                               AND bsc.TEN_COT = gt.TEN_COT
WHERE bm.MA_BAO_CAO LIKE 'BCTCRLCTCK'
  AND btv.TRANG_THAI IN (2, 3)
GROUP BY btv.ID, btv.NGAY_SO_LIEU
ORDER BY btv.NGAY_SO_LIEU DESC;</t>
        </is>
      </c>
      <c r="U3342" s="401" t="n"/>
      <c r="V3342" s="22" t="n"/>
      <c r="W3342" s="22" t="n"/>
      <c r="X3342" s="22" t="n"/>
      <c r="Y3342" s="14" t="n"/>
      <c r="Z3342" s="22" t="n"/>
      <c r="AA3342" s="22" t="n"/>
      <c r="AB3342" s="22" t="n"/>
      <c r="AC3342" s="22" t="n"/>
      <c r="AD3342" s="22" t="n"/>
      <c r="AE3342" s="22" t="n"/>
    </row>
    <row r="3343" ht="98" customHeight="1" s="380">
      <c r="A3343" s="144" t="n">
        <v>126</v>
      </c>
      <c r="B3343" s="390" t="n"/>
      <c r="C3343" s="390" t="inlineStr">
        <is>
          <t>Báo cáo tài chính quý, soát xét bán niên, kiểm toán năm - Chi nhánh công ty chứng khoán nước ngoài tại Việt Nam &gt;&gt; Báo cáo lưu chuyển tiền tệ riêng_06611</t>
        </is>
      </c>
      <c r="D3343" s="390" t="inlineStr">
        <is>
          <t>1.Tiền đã chi mua các tài sản tài chính</t>
        </is>
      </c>
      <c r="E3343" s="390" t="n">
        <v>1</v>
      </c>
      <c r="F3343" s="390" t="inlineStr">
        <is>
          <t>Data Explorer</t>
        </is>
      </c>
      <c r="G3343" s="390" t="inlineStr">
        <is>
          <t>Chỉ tiêu cơ sở</t>
        </is>
      </c>
      <c r="H3343" s="390" t="inlineStr">
        <is>
          <t>Dễ</t>
        </is>
      </c>
      <c r="I3343" s="390" t="inlineStr">
        <is>
          <t>Ngày, CTCK</t>
        </is>
      </c>
      <c r="J3343" s="401" t="inlineStr">
        <is>
          <t>SCMS</t>
        </is>
      </c>
      <c r="K3343" s="401" t="n"/>
      <c r="L3343" s="401" t="inlineStr">
        <is>
          <t>X</t>
        </is>
      </c>
      <c r="M3343" s="401" t="n"/>
      <c r="N3343" s="401" t="inlineStr">
        <is>
          <t>Done</t>
        </is>
      </c>
      <c r="O3343" s="401" t="n"/>
      <c r="P3343" s="401" t="n"/>
      <c r="S3343" s="401" t="n"/>
      <c r="U3343" s="401" t="n"/>
      <c r="V3343" s="22" t="n"/>
      <c r="W3343" s="22" t="n"/>
      <c r="X3343" s="22" t="n"/>
      <c r="Y3343" s="13" t="n"/>
      <c r="Z3343" s="22" t="n"/>
      <c r="AA3343" s="22" t="n"/>
      <c r="AB3343" s="22" t="n"/>
      <c r="AC3343" s="22" t="n"/>
      <c r="AD3343" s="22" t="n"/>
      <c r="AE3343" s="22" t="n"/>
    </row>
    <row r="3344" ht="98" customHeight="1" s="380">
      <c r="A3344" s="144" t="n">
        <v>126</v>
      </c>
      <c r="B3344" s="390" t="n"/>
      <c r="C3344" s="390" t="inlineStr">
        <is>
          <t>Báo cáo tài chính quý, soát xét bán niên, kiểm toán năm - Chi nhánh công ty chứng khoán nước ngoài tại Việt Nam &gt;&gt; Báo cáo lưu chuyển tiền tệ riêng_06611</t>
        </is>
      </c>
      <c r="D3344" s="390" t="inlineStr">
        <is>
          <t>2.Tiền đã thu từ bán các tài sản tài chính</t>
        </is>
      </c>
      <c r="E3344" s="390" t="n">
        <v>2</v>
      </c>
      <c r="F3344" s="390" t="inlineStr">
        <is>
          <t>Data Explorer</t>
        </is>
      </c>
      <c r="G3344" s="390" t="inlineStr">
        <is>
          <t>Chỉ tiêu cơ sở</t>
        </is>
      </c>
      <c r="H3344" s="390" t="inlineStr">
        <is>
          <t>Dễ</t>
        </is>
      </c>
      <c r="I3344" s="390" t="inlineStr">
        <is>
          <t>Ngày, CTCK</t>
        </is>
      </c>
      <c r="J3344" s="401" t="inlineStr">
        <is>
          <t>SCMS</t>
        </is>
      </c>
      <c r="K3344" s="401" t="n"/>
      <c r="L3344" s="401" t="inlineStr">
        <is>
          <t>X</t>
        </is>
      </c>
      <c r="M3344" s="401" t="n"/>
      <c r="N3344" s="401" t="inlineStr">
        <is>
          <t>Done</t>
        </is>
      </c>
      <c r="O3344" s="401" t="n"/>
      <c r="P3344" s="401" t="n"/>
      <c r="S3344" s="401" t="n"/>
      <c r="U3344" s="401" t="n"/>
      <c r="V3344" s="22" t="n"/>
      <c r="W3344" s="22" t="n"/>
      <c r="X3344" s="22" t="n"/>
      <c r="Y3344" s="13" t="n"/>
      <c r="Z3344" s="22" t="n"/>
      <c r="AA3344" s="22" t="n"/>
      <c r="AB3344" s="22" t="n"/>
      <c r="AC3344" s="22" t="n"/>
      <c r="AD3344" s="22" t="n"/>
      <c r="AE3344" s="22" t="n"/>
    </row>
    <row r="3345" ht="98" customHeight="1" s="380">
      <c r="A3345" s="144" t="n">
        <v>126</v>
      </c>
      <c r="B3345" s="390" t="n"/>
      <c r="C3345" s="390" t="inlineStr">
        <is>
          <t>Báo cáo tài chính quý, soát xét bán niên, kiểm toán năm - Chi nhánh công ty chứng khoán nước ngoài tại Việt Nam &gt;&gt; Báo cáo lưu chuyển tiền tệ riêng_06611</t>
        </is>
      </c>
      <c r="D3345" s="390" t="inlineStr">
        <is>
          <t>3. Tiền chi nộp Quỹ Hỗ trợ thanh toán</t>
        </is>
      </c>
      <c r="E3345" s="390" t="n">
        <v>3</v>
      </c>
      <c r="F3345" s="390" t="inlineStr">
        <is>
          <t>Data Explorer</t>
        </is>
      </c>
      <c r="G3345" s="390" t="inlineStr">
        <is>
          <t>Chỉ tiêu cơ sở</t>
        </is>
      </c>
      <c r="H3345" s="390" t="inlineStr">
        <is>
          <t>Dễ</t>
        </is>
      </c>
      <c r="I3345" s="390" t="inlineStr">
        <is>
          <t>Ngày, CTCK</t>
        </is>
      </c>
      <c r="J3345" s="401" t="inlineStr">
        <is>
          <t>SCMS</t>
        </is>
      </c>
      <c r="K3345" s="401" t="n"/>
      <c r="L3345" s="401" t="inlineStr">
        <is>
          <t>X</t>
        </is>
      </c>
      <c r="M3345" s="401" t="n"/>
      <c r="N3345" s="401" t="inlineStr">
        <is>
          <t>Done</t>
        </is>
      </c>
      <c r="O3345" s="401" t="n"/>
      <c r="P3345" s="401" t="n"/>
      <c r="S3345" s="401" t="n"/>
      <c r="U3345" s="401" t="n"/>
      <c r="V3345" s="22" t="n"/>
      <c r="W3345" s="22" t="n"/>
      <c r="X3345" s="22" t="n"/>
      <c r="Y3345" s="13" t="n"/>
      <c r="Z3345" s="22" t="n"/>
      <c r="AA3345" s="22" t="n"/>
      <c r="AB3345" s="22" t="n"/>
      <c r="AC3345" s="22" t="n"/>
      <c r="AD3345" s="22" t="n"/>
      <c r="AE3345" s="22" t="n"/>
    </row>
    <row r="3346" ht="98" customHeight="1" s="380">
      <c r="A3346" s="144" t="n">
        <v>126</v>
      </c>
      <c r="B3346" s="390" t="n"/>
      <c r="C3346" s="390" t="inlineStr">
        <is>
          <t>Báo cáo tài chính quý, soát xét bán niên, kiểm toán năm - Chi nhánh công ty chứng khoán nước ngoài tại Việt Nam &gt;&gt; Báo cáo lưu chuyển tiền tệ riêng_06611</t>
        </is>
      </c>
      <c r="D3346" s="390" t="inlineStr">
        <is>
          <t xml:space="preserve">4. Cổ tức đã nhận </t>
        </is>
      </c>
      <c r="E3346" s="390" t="n">
        <v>4</v>
      </c>
      <c r="F3346" s="390" t="inlineStr">
        <is>
          <t>Data Explorer</t>
        </is>
      </c>
      <c r="G3346" s="390" t="inlineStr">
        <is>
          <t>Chỉ tiêu cơ sở</t>
        </is>
      </c>
      <c r="H3346" s="390" t="inlineStr">
        <is>
          <t>Dễ</t>
        </is>
      </c>
      <c r="I3346" s="390" t="inlineStr">
        <is>
          <t>Ngày, CTCK</t>
        </is>
      </c>
      <c r="J3346" s="401" t="inlineStr">
        <is>
          <t>SCMS</t>
        </is>
      </c>
      <c r="K3346" s="401" t="n"/>
      <c r="L3346" s="401" t="inlineStr">
        <is>
          <t>X</t>
        </is>
      </c>
      <c r="M3346" s="401" t="n"/>
      <c r="N3346" s="401" t="inlineStr">
        <is>
          <t>Done</t>
        </is>
      </c>
      <c r="O3346" s="401" t="n"/>
      <c r="P3346" s="401" t="n"/>
      <c r="S3346" s="401" t="n"/>
      <c r="U3346" s="401" t="n"/>
      <c r="V3346" s="22" t="n"/>
      <c r="W3346" s="22" t="n"/>
      <c r="X3346" s="22" t="n"/>
      <c r="Y3346" s="13" t="n"/>
      <c r="Z3346" s="22" t="n"/>
      <c r="AA3346" s="22" t="n"/>
      <c r="AB3346" s="22" t="n"/>
      <c r="AC3346" s="22" t="n"/>
      <c r="AD3346" s="22" t="n"/>
      <c r="AE3346" s="22" t="n"/>
    </row>
    <row r="3347" ht="98" customHeight="1" s="380">
      <c r="A3347" s="144" t="n">
        <v>126</v>
      </c>
      <c r="B3347" s="390" t="n"/>
      <c r="C3347" s="390" t="inlineStr">
        <is>
          <t>Báo cáo tài chính quý, soát xét bán niên, kiểm toán năm - Chi nhánh công ty chứng khoán nước ngoài tại Việt Nam &gt;&gt; Báo cáo lưu chuyển tiền tệ riêng_06611</t>
        </is>
      </c>
      <c r="D3347" s="390" t="inlineStr">
        <is>
          <t>5. Tiền lãi đã thu</t>
        </is>
      </c>
      <c r="E3347" s="390" t="n">
        <v>5</v>
      </c>
      <c r="F3347" s="390" t="inlineStr">
        <is>
          <t>Data Explorer</t>
        </is>
      </c>
      <c r="G3347" s="390" t="inlineStr">
        <is>
          <t>Chỉ tiêu cơ sở</t>
        </is>
      </c>
      <c r="H3347" s="390" t="inlineStr">
        <is>
          <t>Dễ</t>
        </is>
      </c>
      <c r="I3347" s="390" t="inlineStr">
        <is>
          <t>Ngày, CTCK</t>
        </is>
      </c>
      <c r="J3347" s="401" t="inlineStr">
        <is>
          <t>SCMS</t>
        </is>
      </c>
      <c r="K3347" s="401" t="n"/>
      <c r="L3347" s="401" t="inlineStr">
        <is>
          <t>X</t>
        </is>
      </c>
      <c r="M3347" s="401" t="n"/>
      <c r="N3347" s="401" t="inlineStr">
        <is>
          <t>Done</t>
        </is>
      </c>
      <c r="O3347" s="401" t="n"/>
      <c r="P3347" s="401" t="n"/>
      <c r="S3347" s="401" t="n"/>
      <c r="U3347" s="401" t="n"/>
      <c r="V3347" s="22" t="n"/>
      <c r="W3347" s="22" t="n"/>
      <c r="X3347" s="22" t="n"/>
      <c r="Y3347" s="13" t="n"/>
      <c r="Z3347" s="22" t="n"/>
      <c r="AA3347" s="22" t="n"/>
      <c r="AB3347" s="22" t="n"/>
      <c r="AC3347" s="22" t="n"/>
      <c r="AD3347" s="22" t="n"/>
      <c r="AE3347" s="22" t="n"/>
    </row>
    <row r="3348" ht="98" customHeight="1" s="380">
      <c r="A3348" s="144" t="n">
        <v>126</v>
      </c>
      <c r="B3348" s="390" t="n"/>
      <c r="C3348" s="390" t="inlineStr">
        <is>
          <t>Báo cáo tài chính quý, soát xét bán niên, kiểm toán năm - Chi nhánh công ty chứng khoán nước ngoài tại Việt Nam &gt;&gt; Báo cáo lưu chuyển tiền tệ riêng_06611</t>
        </is>
      </c>
      <c r="D3348" s="390" t="inlineStr">
        <is>
          <t xml:space="preserve">6. Tiền chi trả lãi vay cho hoạt động của CTCK </t>
        </is>
      </c>
      <c r="E3348" s="390" t="n">
        <v>6</v>
      </c>
      <c r="F3348" s="390" t="inlineStr">
        <is>
          <t>Data Explorer</t>
        </is>
      </c>
      <c r="G3348" s="390" t="inlineStr">
        <is>
          <t>Chỉ tiêu cơ sở</t>
        </is>
      </c>
      <c r="H3348" s="390" t="inlineStr">
        <is>
          <t>Dễ</t>
        </is>
      </c>
      <c r="I3348" s="390" t="inlineStr">
        <is>
          <t>Ngày, CTCK</t>
        </is>
      </c>
      <c r="J3348" s="401" t="inlineStr">
        <is>
          <t>SCMS</t>
        </is>
      </c>
      <c r="K3348" s="401" t="n"/>
      <c r="L3348" s="401" t="inlineStr">
        <is>
          <t>X</t>
        </is>
      </c>
      <c r="M3348" s="401" t="n"/>
      <c r="N3348" s="401" t="inlineStr">
        <is>
          <t>Done</t>
        </is>
      </c>
      <c r="O3348" s="401" t="n"/>
      <c r="P3348" s="401" t="n"/>
      <c r="S3348" s="401" t="n"/>
      <c r="U3348" s="401" t="n"/>
      <c r="V3348" s="22" t="n"/>
      <c r="W3348" s="22" t="n"/>
      <c r="X3348" s="22" t="n"/>
      <c r="Y3348" s="14" t="n"/>
      <c r="Z3348" s="22" t="n"/>
      <c r="AA3348" s="22" t="n"/>
      <c r="AB3348" s="22" t="n"/>
      <c r="AC3348" s="22" t="n"/>
      <c r="AD3348" s="22" t="n"/>
      <c r="AE3348" s="22" t="n"/>
    </row>
    <row r="3349" ht="98" customHeight="1" s="380">
      <c r="A3349" s="144" t="n">
        <v>126</v>
      </c>
      <c r="B3349" s="390" t="n"/>
      <c r="C3349" s="390" t="inlineStr">
        <is>
          <t>Báo cáo tài chính quý, soát xét bán niên, kiểm toán năm - Chi nhánh công ty chứng khoán nước ngoài tại Việt Nam &gt;&gt; Báo cáo lưu chuyển tiền tệ riêng_06611</t>
        </is>
      </c>
      <c r="D3349" s="390" t="inlineStr">
        <is>
          <t xml:space="preserve">7. Tiền chi trả Tổ chức cung cấp dịch vụ cho CTCK </t>
        </is>
      </c>
      <c r="E3349" s="390" t="n">
        <v>7</v>
      </c>
      <c r="F3349" s="390" t="inlineStr">
        <is>
          <t>Data Explorer</t>
        </is>
      </c>
      <c r="G3349" s="390" t="inlineStr">
        <is>
          <t>Chỉ tiêu cơ sở</t>
        </is>
      </c>
      <c r="H3349" s="390" t="inlineStr">
        <is>
          <t>Dễ</t>
        </is>
      </c>
      <c r="I3349" s="390" t="inlineStr">
        <is>
          <t>Ngày, CTCK</t>
        </is>
      </c>
      <c r="J3349" s="401" t="inlineStr">
        <is>
          <t>SCMS</t>
        </is>
      </c>
      <c r="K3349" s="401" t="n"/>
      <c r="L3349" s="401" t="inlineStr">
        <is>
          <t>X</t>
        </is>
      </c>
      <c r="M3349" s="401" t="n"/>
      <c r="N3349" s="401" t="inlineStr">
        <is>
          <t>Done</t>
        </is>
      </c>
      <c r="O3349" s="401" t="n"/>
      <c r="P3349" s="401" t="n"/>
      <c r="S3349" s="401" t="n"/>
      <c r="U3349" s="401" t="n"/>
      <c r="V3349" s="22" t="n"/>
      <c r="W3349" s="22" t="n"/>
      <c r="X3349" s="22" t="n"/>
      <c r="Y3349" s="13" t="n"/>
      <c r="Z3349" s="22" t="n"/>
      <c r="AA3349" s="22" t="n"/>
      <c r="AB3349" s="22" t="n"/>
      <c r="AC3349" s="22" t="n"/>
      <c r="AD3349" s="22" t="n"/>
      <c r="AE3349" s="22" t="n"/>
    </row>
    <row r="3350" ht="98" customHeight="1" s="380">
      <c r="A3350" s="144" t="n">
        <v>126</v>
      </c>
      <c r="B3350" s="390" t="n"/>
      <c r="C3350" s="390" t="inlineStr">
        <is>
          <t>Báo cáo tài chính quý, soát xét bán niên, kiểm toán năm - Chi nhánh công ty chứng khoán nước ngoài tại Việt Nam &gt;&gt; Báo cáo lưu chuyển tiền tệ riêng_06611</t>
        </is>
      </c>
      <c r="D3350" s="390" t="inlineStr">
        <is>
          <t>8. Tiền chi trả cho người lao động</t>
        </is>
      </c>
      <c r="E3350" s="390" t="n">
        <v>8</v>
      </c>
      <c r="F3350" s="390" t="inlineStr">
        <is>
          <t>Data Explorer</t>
        </is>
      </c>
      <c r="G3350" s="390" t="inlineStr">
        <is>
          <t>Chỉ tiêu cơ sở</t>
        </is>
      </c>
      <c r="H3350" s="390" t="inlineStr">
        <is>
          <t>Dễ</t>
        </is>
      </c>
      <c r="I3350" s="390" t="inlineStr">
        <is>
          <t>Ngày, CTCK</t>
        </is>
      </c>
      <c r="J3350" s="401" t="inlineStr">
        <is>
          <t>SCMS</t>
        </is>
      </c>
      <c r="K3350" s="401" t="n"/>
      <c r="L3350" s="401" t="inlineStr">
        <is>
          <t>X</t>
        </is>
      </c>
      <c r="M3350" s="401" t="n"/>
      <c r="N3350" s="401" t="inlineStr">
        <is>
          <t>Done</t>
        </is>
      </c>
      <c r="O3350" s="401" t="n"/>
      <c r="P3350" s="401" t="n"/>
      <c r="S3350" s="401" t="n"/>
      <c r="U3350" s="401" t="n"/>
      <c r="V3350" s="22" t="n"/>
      <c r="W3350" s="22" t="n"/>
      <c r="X3350" s="22" t="n"/>
      <c r="Y3350" s="13" t="n"/>
      <c r="Z3350" s="22" t="n"/>
      <c r="AA3350" s="22" t="n"/>
      <c r="AB3350" s="22" t="n"/>
      <c r="AC3350" s="22" t="n"/>
      <c r="AD3350" s="22" t="n"/>
      <c r="AE3350" s="22" t="n"/>
    </row>
    <row r="3351" ht="98" customHeight="1" s="380">
      <c r="A3351" s="144" t="n">
        <v>126</v>
      </c>
      <c r="B3351" s="390" t="n"/>
      <c r="C3351" s="390" t="inlineStr">
        <is>
          <t>Báo cáo tài chính quý, soát xét bán niên, kiểm toán năm - Chi nhánh công ty chứng khoán nước ngoài tại Việt Nam &gt;&gt; Báo cáo lưu chuyển tiền tệ riêng_06611</t>
        </is>
      </c>
      <c r="D3351" s="390" t="inlineStr">
        <is>
          <t xml:space="preserve">9. Tiền chi nộp thuế liên quan đến hoạt động CTCK </t>
        </is>
      </c>
      <c r="E3351" s="390" t="n">
        <v>9</v>
      </c>
      <c r="F3351" s="390" t="inlineStr">
        <is>
          <t>Data Explorer</t>
        </is>
      </c>
      <c r="G3351" s="390" t="inlineStr">
        <is>
          <t>Chỉ tiêu cơ sở</t>
        </is>
      </c>
      <c r="H3351" s="390" t="inlineStr">
        <is>
          <t>Dễ</t>
        </is>
      </c>
      <c r="I3351" s="390" t="inlineStr">
        <is>
          <t>Ngày, CTCK</t>
        </is>
      </c>
      <c r="J3351" s="401" t="inlineStr">
        <is>
          <t>SCMS</t>
        </is>
      </c>
      <c r="K3351" s="401" t="n"/>
      <c r="L3351" s="401" t="inlineStr">
        <is>
          <t>X</t>
        </is>
      </c>
      <c r="M3351" s="401" t="n"/>
      <c r="N3351" s="401" t="inlineStr">
        <is>
          <t>Done</t>
        </is>
      </c>
      <c r="O3351" s="401" t="n"/>
      <c r="P3351" s="401" t="n"/>
      <c r="S3351" s="401" t="n"/>
      <c r="U3351" s="401" t="n"/>
      <c r="V3351" s="22" t="n"/>
      <c r="W3351" s="22" t="n"/>
      <c r="X3351" s="22" t="n"/>
      <c r="Y3351" s="13" t="n"/>
      <c r="Z3351" s="22" t="n"/>
      <c r="AA3351" s="22" t="n"/>
      <c r="AB3351" s="22" t="n"/>
      <c r="AC3351" s="22" t="n"/>
      <c r="AD3351" s="22" t="n"/>
      <c r="AE3351" s="22" t="n"/>
    </row>
    <row r="3352" ht="98" customHeight="1" s="380">
      <c r="A3352" s="144" t="n">
        <v>126</v>
      </c>
      <c r="B3352" s="390" t="n"/>
      <c r="C3352" s="390" t="inlineStr">
        <is>
          <t>Báo cáo tài chính quý, soát xét bán niên, kiểm toán năm - Chi nhánh công ty chứng khoán nước ngoài tại Việt Nam &gt;&gt; Báo cáo lưu chuyển tiền tệ riêng_06611</t>
        </is>
      </c>
      <c r="D3352" s="390" t="inlineStr">
        <is>
          <t xml:space="preserve">10.Tiền chi thanh toán các chi phí cho hoạt động mua, bán các tài sản tài chính </t>
        </is>
      </c>
      <c r="E3352" s="390" t="n">
        <v>10</v>
      </c>
      <c r="F3352" s="390" t="inlineStr">
        <is>
          <t>Data Explorer</t>
        </is>
      </c>
      <c r="G3352" s="390" t="inlineStr">
        <is>
          <t>Chỉ tiêu cơ sở</t>
        </is>
      </c>
      <c r="H3352" s="390" t="inlineStr">
        <is>
          <t>Dễ</t>
        </is>
      </c>
      <c r="I3352" s="390" t="inlineStr">
        <is>
          <t>Ngày, CTCK</t>
        </is>
      </c>
      <c r="J3352" s="401" t="inlineStr">
        <is>
          <t>SCMS</t>
        </is>
      </c>
      <c r="K3352" s="401" t="n"/>
      <c r="L3352" s="401" t="inlineStr">
        <is>
          <t>X</t>
        </is>
      </c>
      <c r="M3352" s="401" t="n"/>
      <c r="N3352" s="401" t="inlineStr">
        <is>
          <t>Done</t>
        </is>
      </c>
      <c r="O3352" s="401" t="n"/>
      <c r="P3352" s="401" t="n"/>
      <c r="S3352" s="401" t="n"/>
      <c r="U3352" s="401" t="n"/>
      <c r="V3352" s="22" t="n"/>
      <c r="W3352" s="22" t="n"/>
      <c r="X3352" s="22" t="n"/>
      <c r="Y3352" s="13" t="n"/>
      <c r="Z3352" s="22" t="n"/>
      <c r="AA3352" s="22" t="n"/>
      <c r="AB3352" s="22" t="n"/>
      <c r="AC3352" s="22" t="n"/>
      <c r="AD3352" s="22" t="n"/>
      <c r="AE3352" s="22" t="n"/>
    </row>
    <row r="3353" ht="98" customHeight="1" s="380">
      <c r="A3353" s="144" t="n">
        <v>126</v>
      </c>
      <c r="B3353" s="390" t="n"/>
      <c r="C3353" s="390" t="inlineStr">
        <is>
          <t>Báo cáo tài chính quý, soát xét bán niên, kiểm toán năm - Chi nhánh công ty chứng khoán nước ngoài tại Việt Nam &gt;&gt; Báo cáo lưu chuyển tiền tệ riêng_06611</t>
        </is>
      </c>
      <c r="D3353" s="390" t="inlineStr">
        <is>
          <t>11. Tiền thu khác từ hoạt động kinh doanh</t>
        </is>
      </c>
      <c r="E3353" s="390" t="n">
        <v>11</v>
      </c>
      <c r="F3353" s="390" t="inlineStr">
        <is>
          <t>Data Explorer</t>
        </is>
      </c>
      <c r="G3353" s="390" t="inlineStr">
        <is>
          <t>Chỉ tiêu cơ sở</t>
        </is>
      </c>
      <c r="H3353" s="390" t="inlineStr">
        <is>
          <t>Dễ</t>
        </is>
      </c>
      <c r="I3353" s="390" t="inlineStr">
        <is>
          <t>Ngày, CTCK</t>
        </is>
      </c>
      <c r="J3353" s="401" t="inlineStr">
        <is>
          <t>SCMS</t>
        </is>
      </c>
      <c r="K3353" s="401" t="n"/>
      <c r="L3353" s="401" t="inlineStr">
        <is>
          <t>X</t>
        </is>
      </c>
      <c r="M3353" s="401" t="n"/>
      <c r="N3353" s="401" t="inlineStr">
        <is>
          <t>Done</t>
        </is>
      </c>
      <c r="O3353" s="401" t="n"/>
      <c r="P3353" s="401" t="n"/>
      <c r="S3353" s="401" t="n"/>
      <c r="U3353" s="401" t="n"/>
      <c r="V3353" s="22" t="n"/>
      <c r="W3353" s="22" t="n"/>
      <c r="X3353" s="22" t="n"/>
      <c r="Y3353" s="13" t="n"/>
      <c r="Z3353" s="22" t="n"/>
      <c r="AA3353" s="22" t="n"/>
      <c r="AB3353" s="22" t="n"/>
      <c r="AC3353" s="22" t="n"/>
      <c r="AD3353" s="22" t="n"/>
      <c r="AE3353" s="22" t="n"/>
    </row>
    <row r="3354" ht="98" customHeight="1" s="380">
      <c r="A3354" s="144" t="n">
        <v>126</v>
      </c>
      <c r="B3354" s="390" t="n"/>
      <c r="C3354" s="390" t="inlineStr">
        <is>
          <t>Báo cáo tài chính quý, soát xét bán niên, kiểm toán năm - Chi nhánh công ty chứng khoán nước ngoài tại Việt Nam &gt;&gt; Báo cáo lưu chuyển tiền tệ riêng_06611</t>
        </is>
      </c>
      <c r="D3354" s="390" t="inlineStr">
        <is>
          <t>12. Tiền chi khác cho hoạt động kinh doanh</t>
        </is>
      </c>
      <c r="E3354" s="390" t="n">
        <v>12</v>
      </c>
      <c r="F3354" s="390" t="inlineStr">
        <is>
          <t>Data Explorer</t>
        </is>
      </c>
      <c r="G3354" s="390" t="inlineStr">
        <is>
          <t>Chỉ tiêu cơ sở</t>
        </is>
      </c>
      <c r="H3354" s="390" t="inlineStr">
        <is>
          <t>Dễ</t>
        </is>
      </c>
      <c r="I3354" s="390" t="inlineStr">
        <is>
          <t>Ngày, CTCK</t>
        </is>
      </c>
      <c r="J3354" s="401" t="inlineStr">
        <is>
          <t>SCMS</t>
        </is>
      </c>
      <c r="K3354" s="401" t="n"/>
      <c r="L3354" s="401" t="inlineStr">
        <is>
          <t>X</t>
        </is>
      </c>
      <c r="M3354" s="401" t="n"/>
      <c r="N3354" s="401" t="inlineStr">
        <is>
          <t>Done</t>
        </is>
      </c>
      <c r="O3354" s="401" t="n"/>
      <c r="P3354" s="401" t="n"/>
      <c r="S3354" s="401" t="n"/>
      <c r="U3354" s="401" t="n"/>
      <c r="V3354" s="22" t="n"/>
      <c r="W3354" s="22" t="n"/>
      <c r="X3354" s="22" t="n"/>
      <c r="Y3354" s="38" t="n"/>
      <c r="Z3354" s="22" t="n"/>
      <c r="AA3354" s="22" t="n"/>
      <c r="AB3354" s="22" t="n"/>
      <c r="AC3354" s="22" t="n"/>
      <c r="AD3354" s="22" t="n"/>
      <c r="AE3354" s="22" t="n"/>
    </row>
    <row r="3355" ht="98" customHeight="1" s="380">
      <c r="A3355" s="144" t="n">
        <v>126</v>
      </c>
      <c r="B3355" s="390" t="n"/>
      <c r="C3355" s="390" t="inlineStr">
        <is>
          <t>Báo cáo tài chính quý, soát xét bán niên, kiểm toán năm - Chi nhánh công ty chứng khoán nước ngoài tại Việt Nam &gt;&gt; Báo cáo lưu chuyển tiền tệ riêng_06611</t>
        </is>
      </c>
      <c r="D3355" s="132" t="inlineStr">
        <is>
          <t>Lưu chuyển tiền thuần từ hoạt động kinh doanh</t>
        </is>
      </c>
      <c r="E3355" s="132" t="n">
        <v>20</v>
      </c>
      <c r="F3355" s="390" t="inlineStr">
        <is>
          <t>Data Explorer</t>
        </is>
      </c>
      <c r="G3355" s="390" t="inlineStr">
        <is>
          <t>Chỉ tiêu cơ sở</t>
        </is>
      </c>
      <c r="H3355" s="390" t="inlineStr">
        <is>
          <t>Dễ</t>
        </is>
      </c>
      <c r="I3355" s="390" t="inlineStr">
        <is>
          <t>Ngày, CTCK</t>
        </is>
      </c>
      <c r="J3355" s="401" t="inlineStr">
        <is>
          <t>SCMS</t>
        </is>
      </c>
      <c r="K3355" s="401" t="n"/>
      <c r="L3355" s="401" t="inlineStr">
        <is>
          <t>X</t>
        </is>
      </c>
      <c r="M3355" s="401" t="n"/>
      <c r="N3355" s="401" t="inlineStr">
        <is>
          <t>Done</t>
        </is>
      </c>
      <c r="O3355" s="401" t="n"/>
      <c r="P3355" s="401" t="n"/>
      <c r="S3355" s="401" t="n"/>
      <c r="U3355" s="401" t="n"/>
      <c r="V3355" s="22" t="n"/>
      <c r="W3355" s="22" t="n"/>
      <c r="X3355" s="22" t="n"/>
      <c r="Y3355" s="13" t="n"/>
      <c r="Z3355" s="22" t="n"/>
      <c r="AA3355" s="22" t="n"/>
      <c r="AB3355" s="22" t="n"/>
      <c r="AC3355" s="22" t="n"/>
      <c r="AD3355" s="22" t="n"/>
      <c r="AE3355" s="22" t="n"/>
    </row>
    <row r="3356" ht="98" customHeight="1" s="380">
      <c r="A3356" s="144" t="n">
        <v>126</v>
      </c>
      <c r="B3356" s="390" t="n"/>
      <c r="C3356" s="390" t="inlineStr">
        <is>
          <t>Báo cáo tài chính quý, soát xét bán niên, kiểm toán năm - Chi nhánh công ty chứng khoán nước ngoài tại Việt Nam &gt;&gt; Báo cáo lưu chuyển tiền tệ riêng_06611</t>
        </is>
      </c>
      <c r="D3356" s="132" t="inlineStr">
        <is>
          <t>II. Lưu chuyển tiền từ hoạt động đầu tư</t>
        </is>
      </c>
      <c r="E3356" s="401" t="n"/>
      <c r="F3356" s="390" t="inlineStr">
        <is>
          <t>Data Explorer</t>
        </is>
      </c>
      <c r="G3356" s="390" t="inlineStr">
        <is>
          <t>Chỉ tiêu cơ sở</t>
        </is>
      </c>
      <c r="H3356" s="390" t="inlineStr">
        <is>
          <t>Dễ</t>
        </is>
      </c>
      <c r="I3356" s="390" t="inlineStr">
        <is>
          <t>Ngày, CTCK</t>
        </is>
      </c>
      <c r="J3356" s="401" t="inlineStr">
        <is>
          <t>SCMS</t>
        </is>
      </c>
      <c r="K3356" s="401" t="n"/>
      <c r="L3356" s="401" t="inlineStr">
        <is>
          <t>X</t>
        </is>
      </c>
      <c r="M3356" s="401" t="n"/>
      <c r="N3356" s="401" t="inlineStr">
        <is>
          <t>Done</t>
        </is>
      </c>
      <c r="O3356" s="401" t="n"/>
      <c r="P3356" s="401" t="n"/>
      <c r="S3356" s="401" t="n"/>
      <c r="U3356" s="401" t="n"/>
      <c r="V3356" s="22" t="n"/>
      <c r="W3356" s="22" t="n"/>
      <c r="X3356" s="22" t="n"/>
      <c r="Y3356" s="13" t="n"/>
      <c r="Z3356" s="22" t="n"/>
      <c r="AA3356" s="22" t="n"/>
      <c r="AB3356" s="22" t="n"/>
      <c r="AC3356" s="22" t="n"/>
      <c r="AD3356" s="22" t="n"/>
      <c r="AE3356" s="22" t="n"/>
    </row>
    <row r="3357" ht="98" customHeight="1" s="380">
      <c r="A3357" s="144" t="n">
        <v>126</v>
      </c>
      <c r="B3357" s="390" t="n"/>
      <c r="C3357" s="390" t="inlineStr">
        <is>
          <t>Báo cáo tài chính quý, soát xét bán niên, kiểm toán năm - Chi nhánh công ty chứng khoán nước ngoài tại Việt Nam &gt;&gt; Báo cáo lưu chuyển tiền tệ riêng_06611</t>
        </is>
      </c>
      <c r="D3357" s="390" t="inlineStr">
        <is>
          <t>1.Tiền chi để mua sắm, xây dựng TSCĐ, BĐSĐT và các tài sản khác</t>
        </is>
      </c>
      <c r="E3357" s="390" t="n">
        <v>21</v>
      </c>
      <c r="F3357" s="390" t="inlineStr">
        <is>
          <t>Data Explorer</t>
        </is>
      </c>
      <c r="G3357" s="390" t="inlineStr">
        <is>
          <t>Chỉ tiêu cơ sở</t>
        </is>
      </c>
      <c r="H3357" s="390" t="inlineStr">
        <is>
          <t>Dễ</t>
        </is>
      </c>
      <c r="I3357" s="390" t="inlineStr">
        <is>
          <t>Ngày, CTCK</t>
        </is>
      </c>
      <c r="J3357" s="401" t="inlineStr">
        <is>
          <t>SCMS</t>
        </is>
      </c>
      <c r="K3357" s="401" t="n"/>
      <c r="L3357" s="401" t="inlineStr">
        <is>
          <t>X</t>
        </is>
      </c>
      <c r="M3357" s="401" t="n"/>
      <c r="N3357" s="401" t="inlineStr">
        <is>
          <t>Done</t>
        </is>
      </c>
      <c r="O3357" s="401" t="n"/>
      <c r="P3357" s="401" t="n"/>
      <c r="S3357" s="401" t="n"/>
      <c r="U3357" s="401" t="n"/>
      <c r="V3357" s="22" t="n"/>
      <c r="W3357" s="22" t="n"/>
      <c r="X3357" s="22" t="n"/>
      <c r="Y3357" s="13" t="n"/>
      <c r="Z3357" s="22" t="n"/>
      <c r="AA3357" s="22" t="n"/>
      <c r="AB3357" s="22" t="n"/>
      <c r="AC3357" s="22" t="n"/>
      <c r="AD3357" s="22" t="n"/>
      <c r="AE3357" s="22" t="n"/>
    </row>
    <row r="3358" ht="98" customHeight="1" s="380">
      <c r="A3358" s="144" t="n">
        <v>126</v>
      </c>
      <c r="B3358" s="390" t="n"/>
      <c r="C3358" s="390" t="inlineStr">
        <is>
          <t>Báo cáo tài chính quý, soát xét bán niên, kiểm toán năm - Chi nhánh công ty chứng khoán nước ngoài tại Việt Nam &gt;&gt; Báo cáo lưu chuyển tiền tệ riêng_06611</t>
        </is>
      </c>
      <c r="D3358" s="390" t="inlineStr">
        <is>
          <t>2.Tiền thu từ thanh lý, nhượng bán TSCĐ, BĐSĐT  và các tài sản khác</t>
        </is>
      </c>
      <c r="E3358" s="390" t="n">
        <v>22</v>
      </c>
      <c r="F3358" s="390" t="inlineStr">
        <is>
          <t>Data Explorer</t>
        </is>
      </c>
      <c r="G3358" s="390" t="inlineStr">
        <is>
          <t>Chỉ tiêu cơ sở</t>
        </is>
      </c>
      <c r="H3358" s="390" t="inlineStr">
        <is>
          <t>Dễ</t>
        </is>
      </c>
      <c r="I3358" s="390" t="inlineStr">
        <is>
          <t>Ngày, CTCK</t>
        </is>
      </c>
      <c r="J3358" s="401" t="inlineStr">
        <is>
          <t>SCMS</t>
        </is>
      </c>
      <c r="K3358" s="401" t="n"/>
      <c r="L3358" s="401" t="inlineStr">
        <is>
          <t>X</t>
        </is>
      </c>
      <c r="M3358" s="401" t="n"/>
      <c r="N3358" s="401" t="inlineStr">
        <is>
          <t>Done</t>
        </is>
      </c>
      <c r="O3358" s="401" t="n"/>
      <c r="P3358" s="401" t="n"/>
      <c r="S3358" s="401" t="n"/>
      <c r="U3358" s="401" t="n"/>
      <c r="V3358" s="22" t="n"/>
      <c r="W3358" s="22" t="n"/>
      <c r="X3358" s="22" t="n"/>
      <c r="Y3358" s="13" t="n"/>
      <c r="Z3358" s="22" t="n"/>
      <c r="AA3358" s="22" t="n"/>
      <c r="AB3358" s="22" t="n"/>
      <c r="AC3358" s="22" t="n"/>
      <c r="AD3358" s="22" t="n"/>
      <c r="AE3358" s="22" t="n"/>
    </row>
    <row r="3359" ht="98" customHeight="1" s="380">
      <c r="A3359" s="144" t="n">
        <v>126</v>
      </c>
      <c r="B3359" s="390" t="n"/>
      <c r="C3359" s="390" t="inlineStr">
        <is>
          <t>Báo cáo tài chính quý, soát xét bán niên, kiểm toán năm - Chi nhánh công ty chứng khoán nước ngoài tại Việt Nam &gt;&gt; Báo cáo lưu chuyển tiền tệ riêng_06611</t>
        </is>
      </c>
      <c r="D3359" s="390" t="inlineStr">
        <is>
          <t>3.Tiền chi đầu tư góp vốn vào công ty con, công  ty liên doanh, liên kết và đầu tư khác</t>
        </is>
      </c>
      <c r="E3359" s="390" t="n">
        <v>23</v>
      </c>
      <c r="F3359" s="390" t="inlineStr">
        <is>
          <t>Data Explorer</t>
        </is>
      </c>
      <c r="G3359" s="390" t="inlineStr">
        <is>
          <t>Chỉ tiêu cơ sở</t>
        </is>
      </c>
      <c r="H3359" s="390" t="inlineStr">
        <is>
          <t>Dễ</t>
        </is>
      </c>
      <c r="I3359" s="390" t="inlineStr">
        <is>
          <t>Ngày, CTCK</t>
        </is>
      </c>
      <c r="J3359" s="401" t="inlineStr">
        <is>
          <t>SCMS</t>
        </is>
      </c>
      <c r="K3359" s="401" t="n"/>
      <c r="L3359" s="401" t="inlineStr">
        <is>
          <t>X</t>
        </is>
      </c>
      <c r="M3359" s="401" t="n"/>
      <c r="N3359" s="401" t="inlineStr">
        <is>
          <t>Done</t>
        </is>
      </c>
      <c r="O3359" s="401" t="n"/>
      <c r="P3359" s="401" t="n"/>
      <c r="S3359" s="401" t="n"/>
      <c r="U3359" s="401" t="n"/>
      <c r="V3359" s="22" t="n"/>
      <c r="W3359" s="22" t="n"/>
      <c r="X3359" s="22" t="n"/>
      <c r="Y3359" s="13" t="n"/>
      <c r="Z3359" s="22" t="n"/>
      <c r="AA3359" s="22" t="n"/>
      <c r="AB3359" s="22" t="n"/>
      <c r="AC3359" s="22" t="n"/>
      <c r="AD3359" s="22" t="n"/>
      <c r="AE3359" s="22" t="n"/>
    </row>
    <row r="3360" ht="98" customHeight="1" s="380">
      <c r="A3360" s="144" t="n">
        <v>126</v>
      </c>
      <c r="B3360" s="390" t="n"/>
      <c r="C3360" s="390" t="inlineStr">
        <is>
          <t>Báo cáo tài chính quý, soát xét bán niên, kiểm toán năm - Chi nhánh công ty chứng khoán nước ngoài tại Việt Nam &gt;&gt; Báo cáo lưu chuyển tiền tệ riêng_06611</t>
        </is>
      </c>
      <c r="D3360" s="390" t="inlineStr">
        <is>
          <t>4.Tiền thu hồi đầu tư góp vốn vào công ty con, công ty liên doanh, liên kết và đầu tư khác</t>
        </is>
      </c>
      <c r="E3360" s="390" t="n">
        <v>24</v>
      </c>
      <c r="F3360" s="390" t="inlineStr">
        <is>
          <t>Data Explorer</t>
        </is>
      </c>
      <c r="G3360" s="390" t="inlineStr">
        <is>
          <t>Chỉ tiêu cơ sở</t>
        </is>
      </c>
      <c r="H3360" s="390" t="inlineStr">
        <is>
          <t>Dễ</t>
        </is>
      </c>
      <c r="I3360" s="390" t="inlineStr">
        <is>
          <t>Ngày, CTCK</t>
        </is>
      </c>
      <c r="J3360" s="401" t="inlineStr">
        <is>
          <t>SCMS</t>
        </is>
      </c>
      <c r="K3360" s="401" t="n"/>
      <c r="L3360" s="401" t="inlineStr">
        <is>
          <t>X</t>
        </is>
      </c>
      <c r="M3360" s="401" t="n"/>
      <c r="N3360" s="401" t="inlineStr">
        <is>
          <t>Done</t>
        </is>
      </c>
      <c r="O3360" s="401" t="n"/>
      <c r="P3360" s="401" t="n"/>
      <c r="S3360" s="401" t="n"/>
      <c r="U3360" s="401" t="n"/>
      <c r="V3360" s="22" t="n"/>
      <c r="W3360" s="22" t="n"/>
      <c r="X3360" s="22" t="n"/>
      <c r="Y3360" s="38" t="n"/>
      <c r="Z3360" s="22" t="n"/>
      <c r="AA3360" s="22" t="n"/>
      <c r="AB3360" s="22" t="n"/>
      <c r="AC3360" s="22" t="n"/>
      <c r="AD3360" s="22" t="n"/>
      <c r="AE3360" s="22" t="n"/>
    </row>
    <row r="3361" ht="98" customHeight="1" s="380">
      <c r="A3361" s="144" t="n">
        <v>126</v>
      </c>
      <c r="B3361" s="390" t="n"/>
      <c r="C3361" s="390" t="inlineStr">
        <is>
          <t>Báo cáo tài chính quý, soát xét bán niên, kiểm toán năm - Chi nhánh công ty chứng khoán nước ngoài tại Việt Nam &gt;&gt; Báo cáo lưu chuyển tiền tệ riêng_06611</t>
        </is>
      </c>
      <c r="D3361" s="390" t="inlineStr">
        <is>
          <t>5.Tiền thu về  cổ tức và lợi nhuận được chia từ các khoản đầu tư tài chính dài hạn</t>
        </is>
      </c>
      <c r="E3361" s="390" t="n">
        <v>25</v>
      </c>
      <c r="F3361" s="390" t="inlineStr">
        <is>
          <t>Data Explorer</t>
        </is>
      </c>
      <c r="G3361" s="390" t="inlineStr">
        <is>
          <t>Chỉ tiêu cơ sở</t>
        </is>
      </c>
      <c r="H3361" s="390" t="inlineStr">
        <is>
          <t>Dễ</t>
        </is>
      </c>
      <c r="I3361" s="390" t="inlineStr">
        <is>
          <t>Ngày, CTCK</t>
        </is>
      </c>
      <c r="J3361" s="401" t="inlineStr">
        <is>
          <t>SCMS</t>
        </is>
      </c>
      <c r="K3361" s="401" t="n"/>
      <c r="L3361" s="401" t="inlineStr">
        <is>
          <t>X</t>
        </is>
      </c>
      <c r="M3361" s="401" t="n"/>
      <c r="N3361" s="401" t="inlineStr">
        <is>
          <t>Done</t>
        </is>
      </c>
      <c r="O3361" s="401" t="n"/>
      <c r="P3361" s="401" t="n"/>
      <c r="S3361" s="401" t="n"/>
      <c r="U3361" s="401" t="n"/>
      <c r="V3361" s="22" t="n"/>
      <c r="W3361" s="22" t="n"/>
      <c r="X3361" s="22" t="n"/>
      <c r="Y3361" s="13" t="n"/>
      <c r="Z3361" s="22" t="n"/>
      <c r="AA3361" s="22" t="n"/>
      <c r="AB3361" s="22" t="n"/>
      <c r="AC3361" s="22" t="n"/>
      <c r="AD3361" s="22" t="n"/>
      <c r="AE3361" s="22" t="n"/>
    </row>
    <row r="3362" ht="98" customHeight="1" s="380">
      <c r="A3362" s="144" t="n">
        <v>126</v>
      </c>
      <c r="B3362" s="390" t="n"/>
      <c r="C3362" s="390" t="inlineStr">
        <is>
          <t>Báo cáo tài chính quý, soát xét bán niên, kiểm toán năm - Chi nhánh công ty chứng khoán nước ngoài tại Việt Nam &gt;&gt; Báo cáo lưu chuyển tiền tệ riêng_06611</t>
        </is>
      </c>
      <c r="D3362" s="132" t="inlineStr">
        <is>
          <t>Lưu chuyển tiền thuần từ hoạt động đầu tư</t>
        </is>
      </c>
      <c r="E3362" s="132" t="n">
        <v>30</v>
      </c>
      <c r="F3362" s="390" t="inlineStr">
        <is>
          <t>Data Explorer</t>
        </is>
      </c>
      <c r="G3362" s="390" t="inlineStr">
        <is>
          <t>Chỉ tiêu cơ sở</t>
        </is>
      </c>
      <c r="H3362" s="390" t="inlineStr">
        <is>
          <t>Dễ</t>
        </is>
      </c>
      <c r="I3362" s="390" t="inlineStr">
        <is>
          <t>Ngày, CTCK</t>
        </is>
      </c>
      <c r="J3362" s="401" t="inlineStr">
        <is>
          <t>SCMS</t>
        </is>
      </c>
      <c r="K3362" s="401" t="n"/>
      <c r="L3362" s="401" t="inlineStr">
        <is>
          <t>X</t>
        </is>
      </c>
      <c r="M3362" s="401" t="n"/>
      <c r="N3362" s="401" t="inlineStr">
        <is>
          <t>Done</t>
        </is>
      </c>
      <c r="O3362" s="401" t="n"/>
      <c r="P3362" s="401" t="n"/>
      <c r="S3362" s="401" t="n"/>
      <c r="U3362" s="401" t="n"/>
      <c r="V3362" s="22" t="n"/>
      <c r="W3362" s="22" t="n"/>
      <c r="X3362" s="22" t="n"/>
      <c r="Y3362" s="13" t="n"/>
      <c r="Z3362" s="22" t="n"/>
      <c r="AA3362" s="22" t="n"/>
      <c r="AB3362" s="22" t="n"/>
      <c r="AC3362" s="22" t="n"/>
      <c r="AD3362" s="22" t="n"/>
      <c r="AE3362" s="22" t="n"/>
    </row>
    <row r="3363" ht="98" customHeight="1" s="380">
      <c r="A3363" s="144" t="n">
        <v>126</v>
      </c>
      <c r="B3363" s="390" t="n"/>
      <c r="C3363" s="390" t="inlineStr">
        <is>
          <t>Báo cáo tài chính quý, soát xét bán niên, kiểm toán năm - Chi nhánh công ty chứng khoán nước ngoài tại Việt Nam &gt;&gt; Báo cáo lưu chuyển tiền tệ riêng_06611</t>
        </is>
      </c>
      <c r="D3363" s="132" t="inlineStr">
        <is>
          <t>III. Lưu chuyển tiền từ hoạt động tài chính</t>
        </is>
      </c>
      <c r="E3363" s="401" t="n"/>
      <c r="F3363" s="390" t="inlineStr">
        <is>
          <t>Data Explorer</t>
        </is>
      </c>
      <c r="G3363" s="390" t="inlineStr">
        <is>
          <t>Chỉ tiêu cơ sở</t>
        </is>
      </c>
      <c r="H3363" s="390" t="inlineStr">
        <is>
          <t>Dễ</t>
        </is>
      </c>
      <c r="I3363" s="390" t="inlineStr">
        <is>
          <t>Ngày, CTCK</t>
        </is>
      </c>
      <c r="J3363" s="401" t="inlineStr">
        <is>
          <t>SCMS</t>
        </is>
      </c>
      <c r="K3363" s="401" t="n"/>
      <c r="L3363" s="401" t="inlineStr">
        <is>
          <t>X</t>
        </is>
      </c>
      <c r="M3363" s="401" t="n"/>
      <c r="N3363" s="401" t="inlineStr">
        <is>
          <t>Done</t>
        </is>
      </c>
      <c r="O3363" s="401" t="n"/>
      <c r="P3363" s="401" t="n"/>
      <c r="S3363" s="401" t="n"/>
      <c r="U3363" s="401" t="n"/>
      <c r="V3363" s="22" t="n"/>
      <c r="W3363" s="22" t="n"/>
      <c r="X3363" s="22" t="n"/>
      <c r="Y3363" s="13" t="n"/>
      <c r="Z3363" s="22" t="n"/>
      <c r="AA3363" s="22" t="n"/>
      <c r="AB3363" s="22" t="n"/>
      <c r="AC3363" s="22" t="n"/>
      <c r="AD3363" s="22" t="n"/>
      <c r="AE3363" s="22" t="n"/>
    </row>
    <row r="3364" ht="98" customHeight="1" s="380">
      <c r="A3364" s="144" t="n">
        <v>126</v>
      </c>
      <c r="B3364" s="390" t="n"/>
      <c r="C3364" s="390" t="inlineStr">
        <is>
          <t>Báo cáo tài chính quý, soát xét bán niên, kiểm toán năm - Chi nhánh công ty chứng khoán nước ngoài tại Việt Nam &gt;&gt; Báo cáo lưu chuyển tiền tệ riêng_06611</t>
        </is>
      </c>
      <c r="D3364" s="390" t="inlineStr">
        <is>
          <t>1.Tiền thu từ phát hành cổ phiếu, nhận vốn góp của chủ sở hữu</t>
        </is>
      </c>
      <c r="E3364" s="390" t="n">
        <v>31</v>
      </c>
      <c r="F3364" s="390" t="inlineStr">
        <is>
          <t>Data Explorer</t>
        </is>
      </c>
      <c r="G3364" s="390" t="inlineStr">
        <is>
          <t>Chỉ tiêu cơ sở</t>
        </is>
      </c>
      <c r="H3364" s="390" t="inlineStr">
        <is>
          <t>Dễ</t>
        </is>
      </c>
      <c r="I3364" s="390" t="inlineStr">
        <is>
          <t>Ngày, CTCK</t>
        </is>
      </c>
      <c r="J3364" s="401" t="inlineStr">
        <is>
          <t>SCMS</t>
        </is>
      </c>
      <c r="K3364" s="401" t="n"/>
      <c r="L3364" s="401" t="inlineStr">
        <is>
          <t>X</t>
        </is>
      </c>
      <c r="M3364" s="401" t="n"/>
      <c r="N3364" s="401" t="inlineStr">
        <is>
          <t>Done</t>
        </is>
      </c>
      <c r="O3364" s="401" t="n"/>
      <c r="P3364" s="401" t="n"/>
      <c r="S3364" s="401" t="n"/>
      <c r="U3364" s="401" t="n"/>
      <c r="V3364" s="22" t="n"/>
      <c r="W3364" s="22" t="n"/>
      <c r="X3364" s="22" t="n"/>
      <c r="Y3364" s="13" t="n"/>
      <c r="Z3364" s="22" t="n"/>
      <c r="AA3364" s="22" t="n"/>
      <c r="AB3364" s="22" t="n"/>
      <c r="AC3364" s="22" t="n"/>
      <c r="AD3364" s="22" t="n"/>
      <c r="AE3364" s="22" t="n"/>
    </row>
    <row r="3365" ht="98" customHeight="1" s="380">
      <c r="A3365" s="144" t="n">
        <v>126</v>
      </c>
      <c r="B3365" s="390" t="n"/>
      <c r="C3365" s="390" t="inlineStr">
        <is>
          <t>Báo cáo tài chính quý, soát xét bán niên, kiểm toán năm - Chi nhánh công ty chứng khoán nước ngoài tại Việt Nam &gt;&gt; Báo cáo lưu chuyển tiền tệ riêng_06611</t>
        </is>
      </c>
      <c r="D3365" s="390" t="inlineStr">
        <is>
          <t>2.Tiền chi trả vốn góp cho các chủ sở hữu, mua lại cổ phiếu đã phát hành</t>
        </is>
      </c>
      <c r="E3365" s="390" t="n">
        <v>32</v>
      </c>
      <c r="F3365" s="390" t="inlineStr">
        <is>
          <t>Data Explorer</t>
        </is>
      </c>
      <c r="G3365" s="390" t="inlineStr">
        <is>
          <t>Chỉ tiêu cơ sở</t>
        </is>
      </c>
      <c r="H3365" s="390" t="inlineStr">
        <is>
          <t>Dễ</t>
        </is>
      </c>
      <c r="I3365" s="390" t="inlineStr">
        <is>
          <t>Ngày, CTCK</t>
        </is>
      </c>
      <c r="J3365" s="401" t="inlineStr">
        <is>
          <t>SCMS</t>
        </is>
      </c>
      <c r="K3365" s="401" t="n"/>
      <c r="L3365" s="401" t="inlineStr">
        <is>
          <t>X</t>
        </is>
      </c>
      <c r="M3365" s="401" t="n"/>
      <c r="N3365" s="401" t="inlineStr">
        <is>
          <t>Done</t>
        </is>
      </c>
      <c r="O3365" s="401" t="n"/>
      <c r="P3365" s="401" t="n"/>
      <c r="S3365" s="401" t="n"/>
      <c r="U3365" s="401" t="n"/>
      <c r="V3365" s="22" t="n"/>
      <c r="W3365" s="22" t="n"/>
      <c r="X3365" s="22" t="n"/>
      <c r="Y3365" s="13" t="n"/>
      <c r="Z3365" s="22" t="n"/>
      <c r="AA3365" s="22" t="n"/>
      <c r="AB3365" s="22" t="n"/>
      <c r="AC3365" s="22" t="n"/>
      <c r="AD3365" s="22" t="n"/>
      <c r="AE3365" s="22" t="n"/>
    </row>
    <row r="3366" ht="98" customHeight="1" s="380">
      <c r="A3366" s="144" t="n">
        <v>126</v>
      </c>
      <c r="B3366" s="390" t="n"/>
      <c r="C3366" s="390" t="inlineStr">
        <is>
          <t>Báo cáo tài chính quý, soát xét bán niên, kiểm toán năm - Chi nhánh công ty chứng khoán nước ngoài tại Việt Nam &gt;&gt; Báo cáo lưu chuyển tiền tệ riêng_06611</t>
        </is>
      </c>
      <c r="D3366" s="390" t="inlineStr">
        <is>
          <t>3.Tiền vay gốc</t>
        </is>
      </c>
      <c r="E3366" s="390" t="n">
        <v>33</v>
      </c>
      <c r="F3366" s="390" t="inlineStr">
        <is>
          <t>Data Explorer</t>
        </is>
      </c>
      <c r="G3366" s="390" t="inlineStr">
        <is>
          <t>Chỉ tiêu cơ sở</t>
        </is>
      </c>
      <c r="H3366" s="390" t="inlineStr">
        <is>
          <t>Dễ</t>
        </is>
      </c>
      <c r="I3366" s="390" t="inlineStr">
        <is>
          <t>Ngày, CTCK</t>
        </is>
      </c>
      <c r="J3366" s="401" t="inlineStr">
        <is>
          <t>SCMS</t>
        </is>
      </c>
      <c r="K3366" s="401" t="n"/>
      <c r="L3366" s="401" t="inlineStr">
        <is>
          <t>X</t>
        </is>
      </c>
      <c r="M3366" s="401" t="n"/>
      <c r="N3366" s="401" t="inlineStr">
        <is>
          <t>Done</t>
        </is>
      </c>
      <c r="O3366" s="401" t="n"/>
      <c r="P3366" s="401" t="n"/>
      <c r="S3366" s="401" t="n"/>
      <c r="U3366" s="401" t="n"/>
      <c r="V3366" s="22" t="n"/>
      <c r="W3366" s="22" t="n"/>
      <c r="X3366" s="22" t="n"/>
      <c r="Y3366" s="38" t="n"/>
      <c r="Z3366" s="22" t="n"/>
      <c r="AA3366" s="22" t="n"/>
      <c r="AB3366" s="22" t="n"/>
      <c r="AC3366" s="22" t="n"/>
      <c r="AD3366" s="22" t="n"/>
      <c r="AE3366" s="22" t="n"/>
    </row>
    <row r="3367" ht="98" customHeight="1" s="380">
      <c r="A3367" s="144" t="n">
        <v>126</v>
      </c>
      <c r="B3367" s="390" t="n"/>
      <c r="C3367" s="390" t="inlineStr">
        <is>
          <t>Báo cáo tài chính quý, soát xét bán niên, kiểm toán năm - Chi nhánh công ty chứng khoán nước ngoài tại Việt Nam &gt;&gt; Báo cáo lưu chuyển tiền tệ riêng_06611</t>
        </is>
      </c>
      <c r="D3367" s="390" t="inlineStr">
        <is>
          <t>3.1. Tiền vay Quỹ Hỗ trợ thanh toán</t>
        </is>
      </c>
      <c r="E3367" s="390" t="n">
        <v>33.1</v>
      </c>
      <c r="F3367" s="390" t="inlineStr">
        <is>
          <t>Data Explorer</t>
        </is>
      </c>
      <c r="G3367" s="390" t="inlineStr">
        <is>
          <t>Chỉ tiêu cơ sở</t>
        </is>
      </c>
      <c r="H3367" s="390" t="inlineStr">
        <is>
          <t>Dễ</t>
        </is>
      </c>
      <c r="I3367" s="390" t="inlineStr">
        <is>
          <t>Ngày, CTCK</t>
        </is>
      </c>
      <c r="J3367" s="401" t="inlineStr">
        <is>
          <t>SCMS</t>
        </is>
      </c>
      <c r="K3367" s="401" t="n"/>
      <c r="L3367" s="401" t="inlineStr">
        <is>
          <t>X</t>
        </is>
      </c>
      <c r="M3367" s="401" t="n"/>
      <c r="N3367" s="401" t="inlineStr">
        <is>
          <t>Done</t>
        </is>
      </c>
      <c r="O3367" s="401" t="n"/>
      <c r="P3367" s="401" t="n"/>
      <c r="S3367" s="401" t="n"/>
      <c r="U3367" s="401" t="n"/>
      <c r="V3367" s="22" t="n"/>
      <c r="W3367" s="22" t="n"/>
      <c r="X3367" s="22" t="n"/>
      <c r="Y3367" s="13" t="n"/>
      <c r="Z3367" s="22" t="n"/>
      <c r="AA3367" s="22" t="n"/>
      <c r="AB3367" s="22" t="n"/>
      <c r="AC3367" s="22" t="n"/>
      <c r="AD3367" s="22" t="n"/>
      <c r="AE3367" s="22" t="n"/>
    </row>
    <row r="3368" ht="98" customHeight="1" s="380">
      <c r="A3368" s="144" t="n">
        <v>126</v>
      </c>
      <c r="B3368" s="390" t="n"/>
      <c r="C3368" s="390" t="inlineStr">
        <is>
          <t>Báo cáo tài chính quý, soát xét bán niên, kiểm toán năm - Chi nhánh công ty chứng khoán nước ngoài tại Việt Nam &gt;&gt; Báo cáo lưu chuyển tiền tệ riêng_06611</t>
        </is>
      </c>
      <c r="D3368" s="390" t="inlineStr">
        <is>
          <t>3.2. Tiền vay khác</t>
        </is>
      </c>
      <c r="E3368" s="390" t="n">
        <v>33.2</v>
      </c>
      <c r="F3368" s="390" t="inlineStr">
        <is>
          <t>Data Explorer</t>
        </is>
      </c>
      <c r="G3368" s="390" t="inlineStr">
        <is>
          <t>Chỉ tiêu cơ sở</t>
        </is>
      </c>
      <c r="H3368" s="390" t="inlineStr">
        <is>
          <t>Dễ</t>
        </is>
      </c>
      <c r="I3368" s="390" t="inlineStr">
        <is>
          <t>Ngày, CTCK</t>
        </is>
      </c>
      <c r="J3368" s="401" t="inlineStr">
        <is>
          <t>SCMS</t>
        </is>
      </c>
      <c r="K3368" s="401" t="n"/>
      <c r="L3368" s="401" t="inlineStr">
        <is>
          <t>X</t>
        </is>
      </c>
      <c r="M3368" s="401" t="n"/>
      <c r="N3368" s="401" t="inlineStr">
        <is>
          <t>Done</t>
        </is>
      </c>
      <c r="O3368" s="401" t="n"/>
      <c r="P3368" s="401" t="n"/>
      <c r="S3368" s="401" t="n"/>
      <c r="U3368" s="401" t="n"/>
      <c r="V3368" s="22" t="n"/>
      <c r="W3368" s="22" t="n"/>
      <c r="X3368" s="22" t="n"/>
      <c r="Y3368" s="13" t="n"/>
      <c r="Z3368" s="22" t="n"/>
      <c r="AA3368" s="22" t="n"/>
      <c r="AB3368" s="22" t="n"/>
      <c r="AC3368" s="22" t="n"/>
      <c r="AD3368" s="22" t="n"/>
      <c r="AE3368" s="22" t="n"/>
    </row>
    <row r="3369" ht="98" customHeight="1" s="380">
      <c r="A3369" s="144" t="n">
        <v>126</v>
      </c>
      <c r="B3369" s="390" t="n"/>
      <c r="C3369" s="390" t="inlineStr">
        <is>
          <t>Báo cáo tài chính quý, soát xét bán niên, kiểm toán năm - Chi nhánh công ty chứng khoán nước ngoài tại Việt Nam &gt;&gt; Báo cáo lưu chuyển tiền tệ riêng_06611</t>
        </is>
      </c>
      <c r="D3369" s="390" t="inlineStr">
        <is>
          <t>4. Tiền chi trả nợ gốc vay</t>
        </is>
      </c>
      <c r="E3369" s="390" t="n">
        <v>34</v>
      </c>
      <c r="F3369" s="390" t="inlineStr">
        <is>
          <t>Data Explorer</t>
        </is>
      </c>
      <c r="G3369" s="390" t="inlineStr">
        <is>
          <t>Chỉ tiêu cơ sở</t>
        </is>
      </c>
      <c r="H3369" s="390" t="inlineStr">
        <is>
          <t>Dễ</t>
        </is>
      </c>
      <c r="I3369" s="390" t="inlineStr">
        <is>
          <t>Ngày, CTCK</t>
        </is>
      </c>
      <c r="J3369" s="401" t="inlineStr">
        <is>
          <t>SCMS</t>
        </is>
      </c>
      <c r="K3369" s="401" t="n"/>
      <c r="L3369" s="401" t="inlineStr">
        <is>
          <t>X</t>
        </is>
      </c>
      <c r="M3369" s="401" t="n"/>
      <c r="N3369" s="401" t="inlineStr">
        <is>
          <t>Done</t>
        </is>
      </c>
      <c r="O3369" s="401" t="n"/>
      <c r="P3369" s="401" t="n"/>
      <c r="S3369" s="401" t="n"/>
      <c r="U3369" s="401" t="n"/>
      <c r="V3369" s="22" t="n"/>
      <c r="W3369" s="22" t="n"/>
      <c r="X3369" s="22" t="n"/>
      <c r="Y3369" s="13" t="n"/>
      <c r="Z3369" s="22" t="n"/>
      <c r="AA3369" s="22" t="n"/>
      <c r="AB3369" s="22" t="n"/>
      <c r="AC3369" s="22" t="n"/>
      <c r="AD3369" s="22" t="n"/>
      <c r="AE3369" s="22" t="n"/>
    </row>
    <row r="3370" ht="98" customHeight="1" s="380">
      <c r="A3370" s="144" t="n">
        <v>126</v>
      </c>
      <c r="B3370" s="390" t="n"/>
      <c r="C3370" s="390" t="inlineStr">
        <is>
          <t>Báo cáo tài chính quý, soát xét bán niên, kiểm toán năm - Chi nhánh công ty chứng khoán nước ngoài tại Việt Nam &gt;&gt; Báo cáo lưu chuyển tiền tệ riêng_06611</t>
        </is>
      </c>
      <c r="D3370" s="390" t="inlineStr">
        <is>
          <t>4.1. Tiền chi trả gốc vay Quỹ Hỗ trợ thanh toán</t>
        </is>
      </c>
      <c r="E3370" s="390" t="n">
        <v>34.1</v>
      </c>
      <c r="F3370" s="390" t="inlineStr">
        <is>
          <t>Data Explorer</t>
        </is>
      </c>
      <c r="G3370" s="390" t="inlineStr">
        <is>
          <t>Chỉ tiêu cơ sở</t>
        </is>
      </c>
      <c r="H3370" s="390" t="inlineStr">
        <is>
          <t>Dễ</t>
        </is>
      </c>
      <c r="I3370" s="390" t="inlineStr">
        <is>
          <t>Ngày, CTCK</t>
        </is>
      </c>
      <c r="J3370" s="401" t="inlineStr">
        <is>
          <t>SCMS</t>
        </is>
      </c>
      <c r="K3370" s="401" t="n"/>
      <c r="L3370" s="401" t="inlineStr">
        <is>
          <t>X</t>
        </is>
      </c>
      <c r="M3370" s="401" t="n"/>
      <c r="N3370" s="401" t="inlineStr">
        <is>
          <t>Done</t>
        </is>
      </c>
      <c r="O3370" s="401" t="n"/>
      <c r="P3370" s="401" t="n"/>
      <c r="S3370" s="401" t="n"/>
      <c r="U3370" s="401" t="n"/>
      <c r="V3370" s="22" t="n"/>
      <c r="W3370" s="22" t="n"/>
      <c r="X3370" s="22" t="n"/>
      <c r="Y3370" s="13" t="n"/>
      <c r="Z3370" s="22" t="n"/>
      <c r="AA3370" s="22" t="n"/>
      <c r="AB3370" s="22" t="n"/>
      <c r="AC3370" s="22" t="n"/>
      <c r="AD3370" s="22" t="n"/>
      <c r="AE3370" s="22" t="n"/>
    </row>
    <row r="3371" ht="98" customHeight="1" s="380">
      <c r="A3371" s="144" t="n">
        <v>126</v>
      </c>
      <c r="B3371" s="390" t="n"/>
      <c r="C3371" s="390" t="inlineStr">
        <is>
          <t>Báo cáo tài chính quý, soát xét bán niên, kiểm toán năm - Chi nhánh công ty chứng khoán nước ngoài tại Việt Nam &gt;&gt; Báo cáo lưu chuyển tiền tệ riêng_06611</t>
        </is>
      </c>
      <c r="D3371" s="390" t="inlineStr">
        <is>
          <t>4.2. Tiền chi trả gốc vay tài sản tài chính</t>
        </is>
      </c>
      <c r="E3371" s="390" t="n">
        <v>34.2</v>
      </c>
      <c r="F3371" s="390" t="inlineStr">
        <is>
          <t>Data Explorer</t>
        </is>
      </c>
      <c r="G3371" s="390" t="inlineStr">
        <is>
          <t>Chỉ tiêu cơ sở</t>
        </is>
      </c>
      <c r="H3371" s="390" t="inlineStr">
        <is>
          <t>Dễ</t>
        </is>
      </c>
      <c r="I3371" s="390" t="inlineStr">
        <is>
          <t>Ngày, CTCK</t>
        </is>
      </c>
      <c r="J3371" s="401" t="inlineStr">
        <is>
          <t>SCMS</t>
        </is>
      </c>
      <c r="K3371" s="401" t="n"/>
      <c r="L3371" s="401" t="inlineStr">
        <is>
          <t>X</t>
        </is>
      </c>
      <c r="M3371" s="401" t="n"/>
      <c r="N3371" s="401" t="inlineStr">
        <is>
          <t>Done</t>
        </is>
      </c>
      <c r="O3371" s="401" t="n"/>
      <c r="P3371" s="401" t="n"/>
      <c r="S3371" s="401" t="n"/>
      <c r="U3371" s="401" t="n"/>
      <c r="V3371" s="22" t="n"/>
      <c r="W3371" s="22" t="n"/>
      <c r="X3371" s="22" t="n"/>
      <c r="Y3371" s="13" t="n"/>
      <c r="Z3371" s="22" t="n"/>
      <c r="AA3371" s="22" t="n"/>
      <c r="AB3371" s="22" t="n"/>
      <c r="AC3371" s="22" t="n"/>
      <c r="AD3371" s="22" t="n"/>
      <c r="AE3371" s="22" t="n"/>
    </row>
    <row r="3372" ht="98" customHeight="1" s="380">
      <c r="A3372" s="144" t="n">
        <v>126</v>
      </c>
      <c r="B3372" s="390" t="n"/>
      <c r="C3372" s="390" t="inlineStr">
        <is>
          <t>Báo cáo tài chính quý, soát xét bán niên, kiểm toán năm - Chi nhánh công ty chứng khoán nước ngoài tại Việt Nam &gt;&gt; Báo cáo lưu chuyển tiền tệ riêng_06611</t>
        </is>
      </c>
      <c r="D3372" s="390" t="inlineStr">
        <is>
          <t>4.3. Tiền chi trả gốc vay khác</t>
        </is>
      </c>
      <c r="E3372" s="390" t="n">
        <v>34.3</v>
      </c>
      <c r="F3372" s="390" t="inlineStr">
        <is>
          <t>Data Explorer</t>
        </is>
      </c>
      <c r="G3372" s="390" t="inlineStr">
        <is>
          <t>Chỉ tiêu cơ sở</t>
        </is>
      </c>
      <c r="H3372" s="390" t="inlineStr">
        <is>
          <t>Dễ</t>
        </is>
      </c>
      <c r="I3372" s="390" t="inlineStr">
        <is>
          <t>Ngày, CTCK</t>
        </is>
      </c>
      <c r="J3372" s="401" t="inlineStr">
        <is>
          <t>SCMS</t>
        </is>
      </c>
      <c r="K3372" s="401" t="n"/>
      <c r="L3372" s="401" t="inlineStr">
        <is>
          <t>X</t>
        </is>
      </c>
      <c r="M3372" s="401" t="n"/>
      <c r="N3372" s="401" t="inlineStr">
        <is>
          <t>Done</t>
        </is>
      </c>
      <c r="O3372" s="401" t="n"/>
      <c r="P3372" s="401" t="n"/>
      <c r="S3372" s="401" t="n"/>
      <c r="U3372" s="401" t="n"/>
      <c r="V3372" s="22" t="n"/>
      <c r="W3372" s="22" t="n"/>
      <c r="X3372" s="22" t="n"/>
      <c r="Y3372" s="38" t="n"/>
      <c r="Z3372" s="22" t="n"/>
      <c r="AA3372" s="22" t="n"/>
      <c r="AB3372" s="22" t="n"/>
      <c r="AC3372" s="22" t="n"/>
      <c r="AD3372" s="22" t="n"/>
      <c r="AE3372" s="22" t="n"/>
    </row>
    <row r="3373" ht="98" customHeight="1" s="380">
      <c r="A3373" s="144" t="n">
        <v>126</v>
      </c>
      <c r="B3373" s="390" t="n"/>
      <c r="C3373" s="390" t="inlineStr">
        <is>
          <t>Báo cáo tài chính quý, soát xét bán niên, kiểm toán năm - Chi nhánh công ty chứng khoán nước ngoài tại Việt Nam &gt;&gt; Báo cáo lưu chuyển tiền tệ riêng_06611</t>
        </is>
      </c>
      <c r="D3373" s="390" t="inlineStr">
        <is>
          <t>5.Tiền chi trả nợ gốc thuê tài chính</t>
        </is>
      </c>
      <c r="E3373" s="390" t="n">
        <v>35</v>
      </c>
      <c r="F3373" s="390" t="inlineStr">
        <is>
          <t>Data Explorer</t>
        </is>
      </c>
      <c r="G3373" s="390" t="inlineStr">
        <is>
          <t>Chỉ tiêu cơ sở</t>
        </is>
      </c>
      <c r="H3373" s="390" t="inlineStr">
        <is>
          <t>Dễ</t>
        </is>
      </c>
      <c r="I3373" s="390" t="inlineStr">
        <is>
          <t>Ngày, CTCK</t>
        </is>
      </c>
      <c r="J3373" s="401" t="inlineStr">
        <is>
          <t>SCMS</t>
        </is>
      </c>
      <c r="K3373" s="401" t="n"/>
      <c r="L3373" s="401" t="inlineStr">
        <is>
          <t>X</t>
        </is>
      </c>
      <c r="M3373" s="401" t="n"/>
      <c r="N3373" s="401" t="inlineStr">
        <is>
          <t>Done</t>
        </is>
      </c>
      <c r="O3373" s="401" t="n"/>
      <c r="P3373" s="401" t="n"/>
      <c r="S3373" s="401" t="n"/>
      <c r="U3373" s="401" t="n"/>
      <c r="V3373" s="22" t="n"/>
      <c r="W3373" s="22" t="n"/>
      <c r="X3373" s="22" t="n"/>
      <c r="Y3373" s="13" t="n"/>
      <c r="Z3373" s="22" t="n"/>
      <c r="AA3373" s="22" t="n"/>
      <c r="AB3373" s="22" t="n"/>
      <c r="AC3373" s="22" t="n"/>
      <c r="AD3373" s="22" t="n"/>
      <c r="AE3373" s="22" t="n"/>
    </row>
    <row r="3374" ht="98" customHeight="1" s="380">
      <c r="A3374" s="144" t="n">
        <v>126</v>
      </c>
      <c r="B3374" s="390" t="n"/>
      <c r="C3374" s="390" t="inlineStr">
        <is>
          <t>Báo cáo tài chính quý, soát xét bán niên, kiểm toán năm - Chi nhánh công ty chứng khoán nước ngoài tại Việt Nam &gt;&gt; Báo cáo lưu chuyển tiền tệ riêng_06611</t>
        </is>
      </c>
      <c r="D3374" s="390" t="inlineStr">
        <is>
          <t>6. Cổ tức, lợi nhuận đã trả cho chủ sở hữu</t>
        </is>
      </c>
      <c r="E3374" s="390" t="n">
        <v>36</v>
      </c>
      <c r="F3374" s="390" t="inlineStr">
        <is>
          <t>Data Explorer</t>
        </is>
      </c>
      <c r="G3374" s="390" t="inlineStr">
        <is>
          <t>Chỉ tiêu cơ sở</t>
        </is>
      </c>
      <c r="H3374" s="390" t="inlineStr">
        <is>
          <t>Dễ</t>
        </is>
      </c>
      <c r="I3374" s="390" t="inlineStr">
        <is>
          <t>Ngày, CTCK</t>
        </is>
      </c>
      <c r="J3374" s="401" t="inlineStr">
        <is>
          <t>SCMS</t>
        </is>
      </c>
      <c r="K3374" s="401" t="n"/>
      <c r="L3374" s="401" t="inlineStr">
        <is>
          <t>X</t>
        </is>
      </c>
      <c r="M3374" s="401" t="n"/>
      <c r="N3374" s="401" t="inlineStr">
        <is>
          <t>Done</t>
        </is>
      </c>
      <c r="O3374" s="401" t="n"/>
      <c r="P3374" s="401" t="n"/>
      <c r="S3374" s="401" t="n"/>
      <c r="U3374" s="401" t="n"/>
      <c r="V3374" s="22" t="n"/>
      <c r="W3374" s="22" t="n"/>
      <c r="X3374" s="22" t="n"/>
      <c r="Y3374" s="13" t="n"/>
      <c r="Z3374" s="22" t="n"/>
      <c r="AA3374" s="22" t="n"/>
      <c r="AB3374" s="22" t="n"/>
      <c r="AC3374" s="22" t="n"/>
      <c r="AD3374" s="22" t="n"/>
      <c r="AE3374" s="22" t="n"/>
    </row>
    <row r="3375" ht="98" customHeight="1" s="380">
      <c r="A3375" s="144" t="n">
        <v>126</v>
      </c>
      <c r="B3375" s="390" t="n"/>
      <c r="C3375" s="390" t="inlineStr">
        <is>
          <t>Báo cáo tài chính quý, soát xét bán niên, kiểm toán năm - Chi nhánh công ty chứng khoán nước ngoài tại Việt Nam &gt;&gt; Báo cáo lưu chuyển tiền tệ riêng_06611</t>
        </is>
      </c>
      <c r="D3375" s="132" t="inlineStr">
        <is>
          <t>Lưu chuyển tiền thuần từ hoạt động tài chính</t>
        </is>
      </c>
      <c r="E3375" s="132" t="n">
        <v>40</v>
      </c>
      <c r="F3375" s="390" t="inlineStr">
        <is>
          <t>Data Explorer</t>
        </is>
      </c>
      <c r="G3375" s="390" t="inlineStr">
        <is>
          <t>Chỉ tiêu cơ sở</t>
        </is>
      </c>
      <c r="H3375" s="390" t="inlineStr">
        <is>
          <t>Dễ</t>
        </is>
      </c>
      <c r="I3375" s="390" t="inlineStr">
        <is>
          <t>Ngày, CTCK</t>
        </is>
      </c>
      <c r="J3375" s="401" t="inlineStr">
        <is>
          <t>SCMS</t>
        </is>
      </c>
      <c r="K3375" s="401" t="n"/>
      <c r="L3375" s="401" t="inlineStr">
        <is>
          <t>X</t>
        </is>
      </c>
      <c r="M3375" s="401" t="n"/>
      <c r="N3375" s="401" t="inlineStr">
        <is>
          <t>Done</t>
        </is>
      </c>
      <c r="O3375" s="401" t="n"/>
      <c r="P3375" s="401" t="n"/>
      <c r="S3375" s="401" t="n"/>
      <c r="U3375" s="401" t="n"/>
      <c r="V3375" s="22" t="n"/>
      <c r="W3375" s="22" t="n"/>
      <c r="X3375" s="22" t="n"/>
      <c r="Y3375" s="13" t="n"/>
      <c r="Z3375" s="22" t="n"/>
      <c r="AA3375" s="22" t="n"/>
      <c r="AB3375" s="22" t="n"/>
      <c r="AC3375" s="22" t="n"/>
      <c r="AD3375" s="22" t="n"/>
      <c r="AE3375" s="22" t="n"/>
    </row>
    <row r="3376" ht="98" customHeight="1" s="380">
      <c r="A3376" s="144" t="n">
        <v>126</v>
      </c>
      <c r="B3376" s="390" t="n"/>
      <c r="C3376" s="390" t="inlineStr">
        <is>
          <t>Báo cáo tài chính quý, soát xét bán niên, kiểm toán năm - Chi nhánh công ty chứng khoán nước ngoài tại Việt Nam &gt;&gt; Báo cáo lưu chuyển tiền tệ riêng_06611</t>
        </is>
      </c>
      <c r="D3376" s="132" t="inlineStr">
        <is>
          <t>IV. Tăng/giảm tiền thuần trong kỳ</t>
        </is>
      </c>
      <c r="E3376" s="132" t="n">
        <v>50</v>
      </c>
      <c r="F3376" s="390" t="inlineStr">
        <is>
          <t>Data Explorer</t>
        </is>
      </c>
      <c r="G3376" s="390" t="inlineStr">
        <is>
          <t>Chỉ tiêu cơ sở</t>
        </is>
      </c>
      <c r="H3376" s="390" t="inlineStr">
        <is>
          <t>Dễ</t>
        </is>
      </c>
      <c r="I3376" s="390" t="inlineStr">
        <is>
          <t>Ngày, CTCK</t>
        </is>
      </c>
      <c r="J3376" s="401" t="inlineStr">
        <is>
          <t>SCMS</t>
        </is>
      </c>
      <c r="K3376" s="401" t="n"/>
      <c r="L3376" s="401" t="inlineStr">
        <is>
          <t>X</t>
        </is>
      </c>
      <c r="M3376" s="401" t="n"/>
      <c r="N3376" s="401" t="inlineStr">
        <is>
          <t>Done</t>
        </is>
      </c>
      <c r="O3376" s="401" t="n"/>
      <c r="P3376" s="401" t="n"/>
      <c r="S3376" s="401" t="n"/>
      <c r="U3376" s="401" t="n"/>
      <c r="V3376" s="22" t="n"/>
      <c r="W3376" s="22" t="n"/>
      <c r="X3376" s="22" t="n"/>
      <c r="Y3376" s="13" t="n"/>
      <c r="Z3376" s="22" t="n"/>
      <c r="AA3376" s="22" t="n"/>
      <c r="AB3376" s="22" t="n"/>
      <c r="AC3376" s="22" t="n"/>
      <c r="AD3376" s="22" t="n"/>
      <c r="AE3376" s="22" t="n"/>
    </row>
    <row r="3377" ht="98" customHeight="1" s="380">
      <c r="A3377" s="144" t="n">
        <v>126</v>
      </c>
      <c r="B3377" s="390" t="n"/>
      <c r="C3377" s="390" t="inlineStr">
        <is>
          <t>Báo cáo tài chính quý, soát xét bán niên, kiểm toán năm - Chi nhánh công ty chứng khoán nước ngoài tại Việt Nam &gt;&gt; Báo cáo lưu chuyển tiền tệ riêng_06611</t>
        </is>
      </c>
      <c r="D3377" s="132" t="inlineStr">
        <is>
          <t>V. Tiền và các khoản tương đương tiền đầu kỳ</t>
        </is>
      </c>
      <c r="E3377" s="132" t="n">
        <v>60</v>
      </c>
      <c r="F3377" s="390" t="inlineStr">
        <is>
          <t>Data Explorer</t>
        </is>
      </c>
      <c r="G3377" s="390" t="inlineStr">
        <is>
          <t>Chỉ tiêu cơ sở</t>
        </is>
      </c>
      <c r="H3377" s="390" t="inlineStr">
        <is>
          <t>Dễ</t>
        </is>
      </c>
      <c r="I3377" s="390" t="inlineStr">
        <is>
          <t>Ngày, CTCK</t>
        </is>
      </c>
      <c r="J3377" s="401" t="inlineStr">
        <is>
          <t>SCMS</t>
        </is>
      </c>
      <c r="K3377" s="401" t="n"/>
      <c r="L3377" s="401" t="inlineStr">
        <is>
          <t>X</t>
        </is>
      </c>
      <c r="M3377" s="401" t="n"/>
      <c r="N3377" s="401" t="inlineStr">
        <is>
          <t>Done</t>
        </is>
      </c>
      <c r="O3377" s="401" t="n"/>
      <c r="P3377" s="401" t="n"/>
      <c r="S3377" s="401" t="n"/>
      <c r="U3377" s="401" t="n"/>
      <c r="V3377" s="22" t="n"/>
      <c r="W3377" s="22" t="n"/>
      <c r="X3377" s="22" t="n"/>
      <c r="Y3377" s="13" t="n"/>
      <c r="Z3377" s="22" t="n"/>
      <c r="AA3377" s="22" t="n"/>
      <c r="AB3377" s="22" t="n"/>
      <c r="AC3377" s="22" t="n"/>
      <c r="AD3377" s="22" t="n"/>
      <c r="AE3377" s="22" t="n"/>
    </row>
    <row r="3378" ht="98" customHeight="1" s="380">
      <c r="A3378" s="144" t="n">
        <v>126</v>
      </c>
      <c r="B3378" s="390" t="n"/>
      <c r="C3378" s="390" t="inlineStr">
        <is>
          <t>Báo cáo tài chính quý, soát xét bán niên, kiểm toán năm - Chi nhánh công ty chứng khoán nước ngoài tại Việt Nam &gt;&gt; Báo cáo lưu chuyển tiền tệ riêng_06611</t>
        </is>
      </c>
      <c r="D3378" s="390" t="inlineStr">
        <is>
          <t xml:space="preserve">Tiền </t>
        </is>
      </c>
      <c r="E3378" s="390" t="n">
        <v>61</v>
      </c>
      <c r="F3378" s="390" t="inlineStr">
        <is>
          <t>Data Explorer</t>
        </is>
      </c>
      <c r="G3378" s="390" t="inlineStr">
        <is>
          <t>Chỉ tiêu cơ sở</t>
        </is>
      </c>
      <c r="H3378" s="390" t="inlineStr">
        <is>
          <t>Dễ</t>
        </is>
      </c>
      <c r="I3378" s="390" t="inlineStr">
        <is>
          <t>Ngày, CTCK</t>
        </is>
      </c>
      <c r="J3378" s="401" t="inlineStr">
        <is>
          <t>SCMS</t>
        </is>
      </c>
      <c r="K3378" s="401" t="n"/>
      <c r="L3378" s="401" t="inlineStr">
        <is>
          <t>X</t>
        </is>
      </c>
      <c r="M3378" s="401" t="n"/>
      <c r="N3378" s="401" t="inlineStr">
        <is>
          <t>Done</t>
        </is>
      </c>
      <c r="O3378" s="401" t="n"/>
      <c r="P3378" s="401" t="n"/>
      <c r="S3378" s="401" t="n"/>
      <c r="U3378" s="401" t="n"/>
      <c r="V3378" s="22" t="n"/>
      <c r="W3378" s="22" t="n"/>
      <c r="X3378" s="22" t="n"/>
      <c r="Y3378" s="14" t="n"/>
      <c r="Z3378" s="22" t="n"/>
      <c r="AA3378" s="22" t="n"/>
      <c r="AB3378" s="22" t="n"/>
      <c r="AC3378" s="22" t="n"/>
      <c r="AD3378" s="22" t="n"/>
      <c r="AE3378" s="22" t="n"/>
    </row>
    <row r="3379" ht="98" customHeight="1" s="380">
      <c r="A3379" s="144" t="n">
        <v>126</v>
      </c>
      <c r="B3379" s="390" t="n"/>
      <c r="C3379" s="390" t="inlineStr">
        <is>
          <t>Báo cáo tài chính quý, soát xét bán niên, kiểm toán năm - Chi nhánh công ty chứng khoán nước ngoài tại Việt Nam &gt;&gt; Báo cáo lưu chuyển tiền tệ riêng_06611</t>
        </is>
      </c>
      <c r="D3379" s="390" t="inlineStr">
        <is>
          <t>Các khoản tương đương tiền</t>
        </is>
      </c>
      <c r="E3379" s="390" t="n">
        <v>62</v>
      </c>
      <c r="F3379" s="390" t="inlineStr">
        <is>
          <t>Data Explorer</t>
        </is>
      </c>
      <c r="G3379" s="390" t="inlineStr">
        <is>
          <t>Chỉ tiêu cơ sở</t>
        </is>
      </c>
      <c r="H3379" s="390" t="inlineStr">
        <is>
          <t>Dễ</t>
        </is>
      </c>
      <c r="I3379" s="390" t="inlineStr">
        <is>
          <t>Ngày, CTCK</t>
        </is>
      </c>
      <c r="J3379" s="401" t="inlineStr">
        <is>
          <t>SCMS</t>
        </is>
      </c>
      <c r="K3379" s="401" t="n"/>
      <c r="L3379" s="401" t="inlineStr">
        <is>
          <t>X</t>
        </is>
      </c>
      <c r="M3379" s="401" t="n"/>
      <c r="N3379" s="401" t="inlineStr">
        <is>
          <t>Done</t>
        </is>
      </c>
      <c r="O3379" s="401" t="n"/>
      <c r="P3379" s="401" t="n"/>
      <c r="S3379" s="401" t="n"/>
      <c r="U3379" s="401" t="n"/>
      <c r="V3379" s="22" t="n"/>
      <c r="W3379" s="22" t="n"/>
      <c r="X3379" s="22" t="n"/>
      <c r="Y3379" s="6" t="n"/>
      <c r="Z3379" s="22" t="n"/>
      <c r="AA3379" s="22" t="n"/>
      <c r="AB3379" s="22" t="n"/>
      <c r="AC3379" s="22" t="n"/>
      <c r="AD3379" s="22" t="n"/>
      <c r="AE3379" s="22" t="n"/>
    </row>
    <row r="3380" ht="98" customHeight="1" s="380">
      <c r="A3380" s="144" t="n">
        <v>126</v>
      </c>
      <c r="B3380" s="390" t="n"/>
      <c r="C3380" s="390" t="inlineStr">
        <is>
          <t>Báo cáo tài chính quý, soát xét bán niên, kiểm toán năm - Chi nhánh công ty chứng khoán nước ngoài tại Việt Nam &gt;&gt; Báo cáo lưu chuyển tiền tệ riêng_06611</t>
        </is>
      </c>
      <c r="D3380" s="390" t="inlineStr">
        <is>
          <t>Ảnh hưởng của thay đổi tỷ giá hối đoái quy đổi ngoại tệ</t>
        </is>
      </c>
      <c r="E3380" s="390" t="n">
        <v>63</v>
      </c>
      <c r="F3380" s="390" t="inlineStr">
        <is>
          <t>Data Explorer</t>
        </is>
      </c>
      <c r="G3380" s="390" t="inlineStr">
        <is>
          <t>Chỉ tiêu cơ sở</t>
        </is>
      </c>
      <c r="H3380" s="390" t="inlineStr">
        <is>
          <t>Dễ</t>
        </is>
      </c>
      <c r="I3380" s="390" t="inlineStr">
        <is>
          <t>Ngày, CTCK</t>
        </is>
      </c>
      <c r="J3380" s="401" t="inlineStr">
        <is>
          <t>SCMS</t>
        </is>
      </c>
      <c r="K3380" s="401" t="n"/>
      <c r="L3380" s="401" t="inlineStr">
        <is>
          <t>X</t>
        </is>
      </c>
      <c r="M3380" s="401" t="n"/>
      <c r="N3380" s="401" t="inlineStr">
        <is>
          <t>Done</t>
        </is>
      </c>
      <c r="O3380" s="401" t="n"/>
      <c r="P3380" s="401" t="n"/>
      <c r="S3380" s="401" t="n"/>
      <c r="U3380" s="401" t="n"/>
      <c r="V3380" s="22" t="n"/>
      <c r="W3380" s="22" t="n"/>
      <c r="X3380" s="22" t="n"/>
      <c r="Y3380" s="6" t="n"/>
      <c r="Z3380" s="22" t="n"/>
      <c r="AA3380" s="22" t="n"/>
      <c r="AB3380" s="22" t="n"/>
      <c r="AC3380" s="22" t="n"/>
      <c r="AD3380" s="22" t="n"/>
      <c r="AE3380" s="22" t="n"/>
    </row>
    <row r="3381" ht="98" customHeight="1" s="380">
      <c r="A3381" s="144" t="n">
        <v>126</v>
      </c>
      <c r="B3381" s="390" t="n"/>
      <c r="C3381" s="390" t="inlineStr">
        <is>
          <t>Báo cáo tài chính quý, soát xét bán niên, kiểm toán năm - Chi nhánh công ty chứng khoán nước ngoài tại Việt Nam &gt;&gt; Báo cáo lưu chuyển tiền tệ riêng_06611</t>
        </is>
      </c>
      <c r="D3381" s="132" t="inlineStr">
        <is>
          <t>VI. Tiền và các khoản tương đương tiền cuối kỳ (70 = 50 + 60)</t>
        </is>
      </c>
      <c r="E3381" s="132" t="n">
        <v>70</v>
      </c>
      <c r="F3381" s="390" t="inlineStr">
        <is>
          <t>Data Explorer</t>
        </is>
      </c>
      <c r="G3381" s="390" t="inlineStr">
        <is>
          <t>Chỉ tiêu cơ sở</t>
        </is>
      </c>
      <c r="H3381" s="390" t="inlineStr">
        <is>
          <t>Dễ</t>
        </is>
      </c>
      <c r="I3381" s="390" t="inlineStr">
        <is>
          <t>Ngày, CTCK</t>
        </is>
      </c>
      <c r="J3381" s="401" t="inlineStr">
        <is>
          <t>SCMS</t>
        </is>
      </c>
      <c r="K3381" s="401" t="n"/>
      <c r="L3381" s="401" t="inlineStr">
        <is>
          <t>X</t>
        </is>
      </c>
      <c r="M3381" s="401" t="n"/>
      <c r="N3381" s="401" t="inlineStr">
        <is>
          <t>Done</t>
        </is>
      </c>
      <c r="O3381" s="401" t="n"/>
      <c r="P3381" s="401" t="n"/>
      <c r="S3381" s="401" t="n"/>
      <c r="U3381" s="401" t="n"/>
      <c r="V3381" s="22" t="n"/>
      <c r="W3381" s="22" t="n"/>
      <c r="X3381" s="22" t="n"/>
      <c r="Y3381" s="395" t="n"/>
      <c r="Z3381" s="22" t="n"/>
      <c r="AA3381" s="22" t="n"/>
      <c r="AB3381" s="22" t="n"/>
      <c r="AC3381" s="22" t="n"/>
      <c r="AD3381" s="22" t="n"/>
      <c r="AE3381" s="22" t="n"/>
    </row>
    <row r="3382" ht="98" customHeight="1" s="380">
      <c r="A3382" s="144" t="n">
        <v>126</v>
      </c>
      <c r="B3382" s="390" t="n"/>
      <c r="C3382" s="390" t="inlineStr">
        <is>
          <t>Báo cáo tài chính quý, soát xét bán niên, kiểm toán năm - Chi nhánh công ty chứng khoán nước ngoài tại Việt Nam &gt;&gt; Báo cáo lưu chuyển tiền tệ riêng_06611</t>
        </is>
      </c>
      <c r="D3382" s="390" t="inlineStr">
        <is>
          <t xml:space="preserve">Tiền </t>
        </is>
      </c>
      <c r="E3382" s="390" t="n">
        <v>71</v>
      </c>
      <c r="F3382" s="390" t="inlineStr">
        <is>
          <t>Data Explorer</t>
        </is>
      </c>
      <c r="G3382" s="390" t="inlineStr">
        <is>
          <t>Chỉ tiêu cơ sở</t>
        </is>
      </c>
      <c r="H3382" s="390" t="inlineStr">
        <is>
          <t>Dễ</t>
        </is>
      </c>
      <c r="I3382" s="390" t="inlineStr">
        <is>
          <t>Ngày, CTCK</t>
        </is>
      </c>
      <c r="J3382" s="401" t="inlineStr">
        <is>
          <t>SCMS</t>
        </is>
      </c>
      <c r="K3382" s="401" t="n"/>
      <c r="L3382" s="401" t="inlineStr">
        <is>
          <t>X</t>
        </is>
      </c>
      <c r="M3382" s="401" t="n"/>
      <c r="N3382" s="401" t="inlineStr">
        <is>
          <t>Done</t>
        </is>
      </c>
      <c r="O3382" s="401" t="n"/>
      <c r="P3382" s="401" t="n"/>
      <c r="S3382" s="401" t="n"/>
      <c r="U3382" s="401" t="n"/>
      <c r="V3382" s="22" t="n"/>
      <c r="W3382" s="22" t="n"/>
      <c r="X3382" s="22" t="n"/>
      <c r="Y3382" s="395" t="n"/>
      <c r="Z3382" s="22" t="n"/>
      <c r="AA3382" s="22" t="n"/>
      <c r="AB3382" s="22" t="n"/>
      <c r="AC3382" s="22" t="n"/>
      <c r="AD3382" s="22" t="n"/>
      <c r="AE3382" s="22" t="n"/>
    </row>
    <row r="3383" ht="98" customHeight="1" s="380">
      <c r="A3383" s="144" t="n">
        <v>126</v>
      </c>
      <c r="B3383" s="390" t="n"/>
      <c r="C3383" s="390" t="inlineStr">
        <is>
          <t>Báo cáo tài chính quý, soát xét bán niên, kiểm toán năm - Chi nhánh công ty chứng khoán nước ngoài tại Việt Nam &gt;&gt; Báo cáo lưu chuyển tiền tệ riêng_06611</t>
        </is>
      </c>
      <c r="D3383" s="390" t="inlineStr">
        <is>
          <t>Các khoản tương đương tiền</t>
        </is>
      </c>
      <c r="E3383" s="390" t="n">
        <v>72</v>
      </c>
      <c r="F3383" s="390" t="inlineStr">
        <is>
          <t>Data Explorer</t>
        </is>
      </c>
      <c r="G3383" s="390" t="inlineStr">
        <is>
          <t>Chỉ tiêu cơ sở</t>
        </is>
      </c>
      <c r="H3383" s="390" t="inlineStr">
        <is>
          <t>Dễ</t>
        </is>
      </c>
      <c r="I3383" s="390" t="inlineStr">
        <is>
          <t>Ngày, CTCK</t>
        </is>
      </c>
      <c r="J3383" s="401" t="inlineStr">
        <is>
          <t>SCMS</t>
        </is>
      </c>
      <c r="K3383" s="401" t="n"/>
      <c r="L3383" s="401" t="inlineStr">
        <is>
          <t>X</t>
        </is>
      </c>
      <c r="M3383" s="401" t="n"/>
      <c r="N3383" s="401" t="inlineStr">
        <is>
          <t>Done</t>
        </is>
      </c>
      <c r="O3383" s="401" t="n"/>
      <c r="P3383" s="401" t="n"/>
      <c r="S3383" s="401" t="n"/>
      <c r="U3383" s="401" t="n"/>
      <c r="V3383" s="22" t="n"/>
      <c r="W3383" s="22" t="n"/>
      <c r="X3383" s="22" t="n"/>
      <c r="Y3383" s="395" t="n"/>
      <c r="Z3383" s="22" t="n"/>
      <c r="AA3383" s="22" t="n"/>
      <c r="AB3383" s="22" t="n"/>
      <c r="AC3383" s="22" t="n"/>
      <c r="AD3383" s="22" t="n"/>
      <c r="AE3383" s="22" t="n"/>
    </row>
    <row r="3384" ht="98" customHeight="1" s="380">
      <c r="A3384" s="145" t="n">
        <v>126</v>
      </c>
      <c r="B3384" s="129" t="n"/>
      <c r="C3384" s="129" t="inlineStr">
        <is>
          <t>Báo cáo tài chính quý, soát xét bán niên, kiểm toán năm - Chi nhánh công ty chứng khoán nước ngoài tại Việt Nam &gt;&gt; Báo cáo lưu chuyển tiền tệ riêng_06611</t>
        </is>
      </c>
      <c r="D3384" s="129" t="inlineStr">
        <is>
          <t>Ảnh hưởng của thay đổi tỷ giá hối đoái quy đổi ngoại tệ</t>
        </is>
      </c>
      <c r="E3384" s="129" t="n">
        <v>73</v>
      </c>
      <c r="F3384" s="129" t="inlineStr">
        <is>
          <t>Data Explorer</t>
        </is>
      </c>
      <c r="G3384" s="129" t="inlineStr">
        <is>
          <t>Chỉ tiêu cơ sở</t>
        </is>
      </c>
      <c r="H3384" s="129" t="inlineStr">
        <is>
          <t>Dễ</t>
        </is>
      </c>
      <c r="I3384" s="129" t="inlineStr">
        <is>
          <t>Ngày, CTCK</t>
        </is>
      </c>
      <c r="J3384" s="85" t="inlineStr">
        <is>
          <t>SCMS</t>
        </is>
      </c>
      <c r="K3384" s="85" t="n"/>
      <c r="L3384" s="85" t="inlineStr">
        <is>
          <t>X</t>
        </is>
      </c>
      <c r="M3384" s="85" t="n"/>
      <c r="N3384" s="85" t="inlineStr">
        <is>
          <t>Done</t>
        </is>
      </c>
      <c r="O3384" s="85" t="n"/>
      <c r="P3384" s="85" t="n"/>
      <c r="Q3384" s="426" t="n"/>
      <c r="R3384" s="426" t="n"/>
      <c r="S3384" s="85" t="n"/>
      <c r="T3384" s="426" t="n"/>
      <c r="U3384" s="85" t="n"/>
      <c r="V3384" s="130" t="n"/>
      <c r="W3384" s="130" t="n"/>
      <c r="X3384" s="130" t="n"/>
      <c r="Y3384" s="69" t="n"/>
      <c r="Z3384" s="130" t="n"/>
      <c r="AA3384" s="130" t="n"/>
      <c r="AB3384" s="130" t="n"/>
      <c r="AC3384" s="130" t="n"/>
      <c r="AD3384" s="130" t="n"/>
      <c r="AE3384" s="130" t="n"/>
    </row>
    <row r="3385" ht="126" customHeight="1" s="380">
      <c r="A3385" s="144" t="n">
        <v>127</v>
      </c>
      <c r="B3385" s="140" t="inlineStr">
        <is>
          <t>Nga</t>
        </is>
      </c>
      <c r="C3385" s="127" t="inlineStr">
        <is>
          <t>Báo cáo tài chính quý, soát xét bán niên, kiểm toán năm - Chi nhánh công ty chứng khoán nước ngoài tại Việt Nam &gt;&gt; Phần lưu chuyển tiền tệ hoạt động môi giới, ủy thác của khách hàng_06612</t>
        </is>
      </c>
      <c r="D3385" s="106" t="inlineStr">
        <is>
          <t>Loại báo cáo</t>
        </is>
      </c>
      <c r="E3385" s="107" t="inlineStr">
        <is>
          <t>Loại báo cáo</t>
        </is>
      </c>
      <c r="F3385" s="390" t="inlineStr">
        <is>
          <t>Data Explorer</t>
        </is>
      </c>
      <c r="G3385" s="390" t="inlineStr">
        <is>
          <t>Chiều</t>
        </is>
      </c>
      <c r="H3385" s="390" t="inlineStr">
        <is>
          <t>Dễ</t>
        </is>
      </c>
      <c r="I3385" s="390" t="inlineStr">
        <is>
          <t>Ngày, CTCK</t>
        </is>
      </c>
      <c r="J3385" s="401" t="inlineStr">
        <is>
          <t>SCMS</t>
        </is>
      </c>
      <c r="K3385" s="401" t="inlineStr">
        <is>
          <t>X</t>
        </is>
      </c>
      <c r="L3385" s="401" t="inlineStr">
        <is>
          <t>X</t>
        </is>
      </c>
      <c r="M3385" s="401" t="n"/>
      <c r="N3385" s="401" t="inlineStr">
        <is>
          <t>Done</t>
        </is>
      </c>
      <c r="O3385" s="401" t="n"/>
      <c r="P3385" s="401" t="n"/>
      <c r="Q3385" s="404" t="inlineStr">
        <is>
          <t>SCMS.BM_BAO_CAO
SCMS.BM_BAO_CAO_DINH_KY</t>
        </is>
      </c>
      <c r="R3385" s="404" t="inlineStr">
        <is>
          <t>bm.ID,
bm.MA_BAO_CAO,
bm.LOAI_BAO_CAO,
bm.TEN_BAO_CAO,
bm.SU_DUNG,
bdk.BM_BAO_CAO_ID,
bdk.KY_BAO_CAO,
bdk.SU_DUNG</t>
        </is>
      </c>
      <c r="S3385" s="401" t="n"/>
      <c r="T3385" s="390"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U3385" s="401" t="n"/>
      <c r="V3385" s="22" t="n"/>
      <c r="W3385" s="22" t="n"/>
      <c r="X3385" s="22" t="n"/>
      <c r="Y3385" s="395" t="n"/>
      <c r="Z3385" s="22" t="n"/>
      <c r="AA3385" s="22" t="n"/>
      <c r="AB3385" s="22" t="n"/>
      <c r="AC3385" s="22" t="n"/>
      <c r="AD3385" s="22" t="n"/>
      <c r="AE3385" s="22" t="n"/>
    </row>
    <row r="3386" ht="126" customHeight="1" s="380">
      <c r="A3386" s="144" t="n">
        <v>127</v>
      </c>
      <c r="B3386" s="390" t="n"/>
      <c r="C3386" s="390" t="inlineStr">
        <is>
          <t>Báo cáo tài chính quý, soát xét bán niên, kiểm toán năm - Chi nhánh công ty chứng khoán nước ngoài tại Việt Nam &gt;&gt; Phần lưu chuyển tiền tệ hoạt động môi giới, ủy thác của khách hàng_06612</t>
        </is>
      </c>
      <c r="D3386" s="106" t="inlineStr">
        <is>
          <t>Kỳ báo cáo</t>
        </is>
      </c>
      <c r="E3386" s="107" t="inlineStr">
        <is>
          <t>Kỳ báo cáo</t>
        </is>
      </c>
      <c r="F3386" s="390" t="inlineStr">
        <is>
          <t>Data Explorer</t>
        </is>
      </c>
      <c r="G3386" s="390" t="inlineStr">
        <is>
          <t>Chiều</t>
        </is>
      </c>
      <c r="H3386" s="390" t="inlineStr">
        <is>
          <t>Dễ</t>
        </is>
      </c>
      <c r="I3386" s="390" t="inlineStr">
        <is>
          <t>Ngày, CTCK</t>
        </is>
      </c>
      <c r="J3386" s="401" t="inlineStr">
        <is>
          <t>SCMS</t>
        </is>
      </c>
      <c r="K3386" s="401" t="inlineStr">
        <is>
          <t>X</t>
        </is>
      </c>
      <c r="L3386" s="401" t="inlineStr">
        <is>
          <t>X</t>
        </is>
      </c>
      <c r="M3386" s="401" t="n"/>
      <c r="N3386" s="401" t="inlineStr">
        <is>
          <t>Done</t>
        </is>
      </c>
      <c r="O3386" s="401" t="n"/>
      <c r="P3386" s="401" t="n"/>
      <c r="S3386" s="401" t="n"/>
      <c r="U3386" s="401" t="n"/>
      <c r="V3386" s="22" t="n"/>
      <c r="W3386" s="22" t="n"/>
      <c r="X3386" s="22" t="n"/>
      <c r="Y3386" s="395" t="n"/>
      <c r="Z3386" s="22" t="n"/>
      <c r="AA3386" s="22" t="n"/>
      <c r="AB3386" s="22" t="n"/>
      <c r="AC3386" s="22" t="n"/>
      <c r="AD3386" s="22" t="n"/>
      <c r="AE3386" s="22" t="n"/>
    </row>
    <row r="3387" ht="126" customHeight="1" s="380">
      <c r="A3387" s="144" t="n">
        <v>127</v>
      </c>
      <c r="B3387" s="390" t="n"/>
      <c r="C3387" s="390" t="inlineStr">
        <is>
          <t>Báo cáo tài chính quý, soát xét bán niên, kiểm toán năm - Chi nhánh công ty chứng khoán nước ngoài tại Việt Nam &gt;&gt; Phần lưu chuyển tiền tệ hoạt động môi giới, ủy thác của khách hàng_06612</t>
        </is>
      </c>
      <c r="D3387" s="106" t="inlineStr">
        <is>
          <t>Mã báo cáo</t>
        </is>
      </c>
      <c r="E3387" s="107" t="inlineStr">
        <is>
          <t>Mã báo cáo</t>
        </is>
      </c>
      <c r="F3387" s="390" t="inlineStr">
        <is>
          <t>Data Explorer</t>
        </is>
      </c>
      <c r="G3387" s="390" t="inlineStr">
        <is>
          <t>Chiều</t>
        </is>
      </c>
      <c r="H3387" s="390" t="inlineStr">
        <is>
          <t>Dễ</t>
        </is>
      </c>
      <c r="I3387" s="390" t="inlineStr">
        <is>
          <t>Ngày, CTCK</t>
        </is>
      </c>
      <c r="J3387" s="401" t="inlineStr">
        <is>
          <t>SCMS</t>
        </is>
      </c>
      <c r="K3387" s="401" t="inlineStr">
        <is>
          <t>X</t>
        </is>
      </c>
      <c r="L3387" s="401" t="inlineStr">
        <is>
          <t>X</t>
        </is>
      </c>
      <c r="M3387" s="401" t="n"/>
      <c r="N3387" s="401" t="inlineStr">
        <is>
          <t>Done</t>
        </is>
      </c>
      <c r="O3387" s="401" t="n"/>
      <c r="P3387" s="401" t="n"/>
      <c r="S3387" s="401" t="n"/>
      <c r="U3387" s="401" t="n"/>
      <c r="V3387" s="22" t="n"/>
      <c r="W3387" s="22" t="n"/>
      <c r="X3387" s="22" t="n"/>
      <c r="Y3387" s="395" t="n"/>
      <c r="Z3387" s="22" t="n"/>
      <c r="AA3387" s="22" t="n"/>
      <c r="AB3387" s="22" t="n"/>
      <c r="AC3387" s="22" t="n"/>
      <c r="AD3387" s="22" t="n"/>
      <c r="AE3387" s="22" t="n"/>
    </row>
    <row r="3388" ht="126" customHeight="1" s="380">
      <c r="A3388" s="144" t="n">
        <v>127</v>
      </c>
      <c r="B3388" s="390" t="n"/>
      <c r="C3388" s="390" t="inlineStr">
        <is>
          <t>Báo cáo tài chính quý, soát xét bán niên, kiểm toán năm - Chi nhánh công ty chứng khoán nước ngoài tại Việt Nam &gt;&gt; Phần lưu chuyển tiền tệ hoạt động môi giới, ủy thác của khách hàng_06612</t>
        </is>
      </c>
      <c r="D3388" s="106" t="inlineStr">
        <is>
          <t>Tên báo cáo</t>
        </is>
      </c>
      <c r="E3388" s="107" t="inlineStr">
        <is>
          <t>Tên báo cáo</t>
        </is>
      </c>
      <c r="F3388" s="390" t="inlineStr">
        <is>
          <t>Data Explorer</t>
        </is>
      </c>
      <c r="G3388" s="390" t="inlineStr">
        <is>
          <t>Chiều</t>
        </is>
      </c>
      <c r="H3388" s="390" t="inlineStr">
        <is>
          <t>Dễ</t>
        </is>
      </c>
      <c r="I3388" s="390" t="inlineStr">
        <is>
          <t>Ngày, CTCK</t>
        </is>
      </c>
      <c r="J3388" s="401" t="inlineStr">
        <is>
          <t>SCMS</t>
        </is>
      </c>
      <c r="K3388" s="401" t="inlineStr">
        <is>
          <t>X</t>
        </is>
      </c>
      <c r="L3388" s="401" t="inlineStr">
        <is>
          <t>X</t>
        </is>
      </c>
      <c r="M3388" s="401" t="n"/>
      <c r="N3388" s="401" t="inlineStr">
        <is>
          <t>Done</t>
        </is>
      </c>
      <c r="O3388" s="401" t="n"/>
      <c r="P3388" s="401" t="n"/>
      <c r="S3388" s="401" t="n"/>
      <c r="U3388" s="401" t="n"/>
      <c r="V3388" s="22" t="n"/>
      <c r="W3388" s="22" t="n"/>
      <c r="X3388" s="22" t="n"/>
      <c r="Y3388" s="395" t="n"/>
      <c r="Z3388" s="22" t="n"/>
      <c r="AA3388" s="22" t="n"/>
      <c r="AB3388" s="22" t="n"/>
      <c r="AC3388" s="22" t="n"/>
      <c r="AD3388" s="22" t="n"/>
      <c r="AE3388" s="22" t="n"/>
    </row>
    <row r="3389" ht="126" customHeight="1" s="380">
      <c r="A3389" s="144" t="n">
        <v>127</v>
      </c>
      <c r="B3389" s="390" t="n"/>
      <c r="C3389" s="390" t="inlineStr">
        <is>
          <t>Báo cáo tài chính quý, soát xét bán niên, kiểm toán năm - Chi nhánh công ty chứng khoán nước ngoài tại Việt Nam &gt;&gt; Phần lưu chuyển tiền tệ hoạt động môi giới, ủy thác của khách hàng_06612</t>
        </is>
      </c>
      <c r="D3389" s="106" t="inlineStr">
        <is>
          <t>Mã sheet</t>
        </is>
      </c>
      <c r="E3389" s="106" t="inlineStr">
        <is>
          <t>Mã sheet</t>
        </is>
      </c>
      <c r="F3389" s="390" t="inlineStr">
        <is>
          <t>Data Explorer</t>
        </is>
      </c>
      <c r="G3389" s="390" t="inlineStr">
        <is>
          <t>Chiều</t>
        </is>
      </c>
      <c r="H3389" s="390" t="inlineStr">
        <is>
          <t>Dễ</t>
        </is>
      </c>
      <c r="I3389" s="390" t="inlineStr">
        <is>
          <t>Ngày, CTCK</t>
        </is>
      </c>
      <c r="J3389" s="401" t="inlineStr">
        <is>
          <t>SCMS</t>
        </is>
      </c>
      <c r="K3389" s="401" t="inlineStr">
        <is>
          <t>X</t>
        </is>
      </c>
      <c r="L3389" s="401" t="inlineStr">
        <is>
          <t>X</t>
        </is>
      </c>
      <c r="M3389" s="401" t="n"/>
      <c r="N3389" s="401" t="inlineStr">
        <is>
          <t>Done</t>
        </is>
      </c>
      <c r="O3389" s="401" t="n"/>
      <c r="P3389" s="401" t="n"/>
      <c r="Q3389" s="401" t="inlineStr">
        <is>
          <t>SCMS.BM_BAO_CAO
SCMS.BM_SHEET</t>
        </is>
      </c>
      <c r="R3389" s="401" t="inlineStr">
        <is>
          <t>bm.ID,
bm.MA_BAO_CAO,
bm.SU_DUNG,
s.BM_BAO_CAO_ID,
s.MA_SHEET,
s.TEN_SHEET,
s.SAP_XEP</t>
        </is>
      </c>
      <c r="S3389" s="401" t="n"/>
      <c r="T3389" s="390" t="inlineStr">
        <is>
          <t>-- Mã sheet / Tên sheet
-- TEN_SHEET: PLCTTHDMGUTCKHTT
SELECT bm.MA_BAO_CAO,
s.MA_SHEET,
s.TEN_SHEET
FROM SCMS.BM_BAO_CAO bm
JOIN SCMS.BM_SHEET s ON s.BM_BAO_CAO_ID = bm.ID
WHERE bm.MA_BAO_CAO LIKE 'BCTCRLCTCK'
AND s.TEN_SHEET = 'PLCTTHDMGUTCKHTT'  -- Check lại
AND bm.SU_DUNG = 1
ORDER BY bm.MA_BAO_CAO, s.SAP_XEP;</t>
        </is>
      </c>
      <c r="U3389" s="401" t="n"/>
      <c r="V3389" s="22" t="n"/>
      <c r="W3389" s="22" t="n"/>
      <c r="X3389" s="22" t="n"/>
      <c r="Y3389" s="395" t="n"/>
      <c r="Z3389" s="22" t="n"/>
      <c r="AA3389" s="22" t="n"/>
      <c r="AB3389" s="22" t="n"/>
      <c r="AC3389" s="22" t="n"/>
      <c r="AD3389" s="22" t="n"/>
      <c r="AE3389" s="22" t="n"/>
    </row>
    <row r="3390" ht="126" customHeight="1" s="380">
      <c r="A3390" s="144" t="n">
        <v>127</v>
      </c>
      <c r="B3390" s="390" t="n"/>
      <c r="C3390" s="390" t="inlineStr">
        <is>
          <t>Báo cáo tài chính quý, soát xét bán niên, kiểm toán năm - Chi nhánh công ty chứng khoán nước ngoài tại Việt Nam &gt;&gt; Phần lưu chuyển tiền tệ hoạt động môi giới, ủy thác của khách hàng_06612</t>
        </is>
      </c>
      <c r="D3390" s="106" t="inlineStr">
        <is>
          <t>Tên sheet</t>
        </is>
      </c>
      <c r="E3390" s="106" t="inlineStr">
        <is>
          <t>Tên sheet</t>
        </is>
      </c>
      <c r="F3390" s="390" t="inlineStr">
        <is>
          <t>Data Explorer</t>
        </is>
      </c>
      <c r="G3390" s="390" t="inlineStr">
        <is>
          <t>Chiều</t>
        </is>
      </c>
      <c r="H3390" s="390" t="inlineStr">
        <is>
          <t>Dễ</t>
        </is>
      </c>
      <c r="I3390" s="390" t="inlineStr">
        <is>
          <t>Ngày, CTCK</t>
        </is>
      </c>
      <c r="J3390" s="401" t="inlineStr">
        <is>
          <t>SCMS</t>
        </is>
      </c>
      <c r="K3390" s="401" t="inlineStr">
        <is>
          <t>X</t>
        </is>
      </c>
      <c r="L3390" s="401" t="inlineStr">
        <is>
          <t>X</t>
        </is>
      </c>
      <c r="M3390" s="401" t="n"/>
      <c r="N3390" s="401" t="inlineStr">
        <is>
          <t>Done</t>
        </is>
      </c>
      <c r="O3390" s="401" t="n"/>
      <c r="P3390" s="401" t="n"/>
      <c r="S3390" s="401" t="n"/>
      <c r="U3390" s="401" t="n"/>
      <c r="V3390" s="22" t="n"/>
      <c r="W3390" s="22" t="n"/>
      <c r="X3390" s="22" t="n"/>
      <c r="Y3390" s="395" t="n"/>
      <c r="Z3390" s="22" t="n"/>
      <c r="AA3390" s="22" t="n"/>
      <c r="AB3390" s="22" t="n"/>
      <c r="AC3390" s="22" t="n"/>
      <c r="AD3390" s="22" t="n"/>
      <c r="AE3390" s="22" t="n"/>
    </row>
    <row r="3391" ht="126" customHeight="1" s="380">
      <c r="A3391" s="144" t="n">
        <v>127</v>
      </c>
      <c r="B3391" s="390" t="n"/>
      <c r="C3391" s="390" t="inlineStr">
        <is>
          <t>Báo cáo tài chính quý, soát xét bán niên, kiểm toán năm - Chi nhánh công ty chứng khoán nước ngoài tại Việt Nam &gt;&gt; Phần lưu chuyển tiền tệ hoạt động môi giới, ủy thác của khách hàng_06612</t>
        </is>
      </c>
      <c r="D3391" s="106" t="inlineStr">
        <is>
          <t>Mã chỉ tiêu</t>
        </is>
      </c>
      <c r="E3391" s="107" t="inlineStr">
        <is>
          <t>Mã chỉ tiêu</t>
        </is>
      </c>
      <c r="F3391" s="390" t="inlineStr">
        <is>
          <t>Data Explorer</t>
        </is>
      </c>
      <c r="G3391" s="390" t="inlineStr">
        <is>
          <t>Chiều</t>
        </is>
      </c>
      <c r="H3391" s="390" t="inlineStr">
        <is>
          <t>Dễ</t>
        </is>
      </c>
      <c r="I3391" s="390" t="inlineStr">
        <is>
          <t>Ngày, CTCK</t>
        </is>
      </c>
      <c r="J3391" s="401" t="inlineStr">
        <is>
          <t>SCMS</t>
        </is>
      </c>
      <c r="K3391" s="401" t="inlineStr">
        <is>
          <t>X</t>
        </is>
      </c>
      <c r="L3391" s="401" t="inlineStr">
        <is>
          <t>X</t>
        </is>
      </c>
      <c r="M3391" s="401" t="n"/>
      <c r="N3391" s="401" t="inlineStr">
        <is>
          <t>Done</t>
        </is>
      </c>
      <c r="O3391" s="401" t="n"/>
      <c r="P3391" s="401" t="n"/>
      <c r="Q3391" s="401" t="inlineStr">
        <is>
          <t>SCMS.BM_BAO_CAO
SCMS.BM_SHEET
SCMS.BM_BAO_CAO_CT
SCMS.DM_CHI_TIEU</t>
        </is>
      </c>
      <c r="R3391" s="401" t="inlineStr">
        <is>
          <t>dct.ID,
dct.MA_CHI_TIEU,
dct.TEN_CHI_TIEU,
dct.SU_DUNG,
s.BM_BAO_CAO_ID,
s.MA_SHEET,
ct.BM_BAO_CAO_ID,
ct.DM_CHI_TIEU_ID,
ct.SU_DUNG,
bm.ID,
bm.MA_BAO_CAO,
bm.SU_DUNG</t>
        </is>
      </c>
      <c r="S3391" s="401" t="n"/>
      <c r="T3391" s="389" t="inlineStr">
        <is>
          <t>-- Mã chỉ tiêu / Tên chỉ tiêu
SELECT DISTINCT
    dct.MA_CHI_TIEU  AS ma_chi_tieu,
    dct.TEN_CHI_TIEU AS ten_chi_tieu
FROM SCMS.BM_BAO_CAO bm
JOIN SCMS.BM_SHEET s ON s.BM_BAO_CAO_ID = bm.ID
	AND s.TEN_SHEET = 'PLCTTHDMGUTCKHTT'
JOIN SCMS.BM_BAO_CAO_CT ct ON ct.BM_SHEET_ID = s.ID
	AND ct.SU_DUNG = 1
JOIN SCMS.DM_CHI_TIEU dct ON dct.ID = ct.DM_CHI_TIEU_ID
	AND dct.SU_DUNG = 1
WHERE bm.MA_BAO_CAO LIKE 'BCTCRLCTCK'
	AND bm.SU_DUNG = 1
ORDER BY dct.MA_CHI_TIEU;</t>
        </is>
      </c>
      <c r="U3391" s="401" t="n"/>
      <c r="V3391" s="22" t="n"/>
      <c r="W3391" s="22" t="n"/>
      <c r="X3391" s="22" t="n"/>
      <c r="Y3391" s="395" t="n"/>
      <c r="Z3391" s="22" t="n"/>
      <c r="AA3391" s="22" t="n"/>
      <c r="AB3391" s="22" t="n"/>
      <c r="AC3391" s="22" t="n"/>
      <c r="AD3391" s="22" t="n"/>
      <c r="AE3391" s="22" t="n"/>
    </row>
    <row r="3392" ht="126" customHeight="1" s="380">
      <c r="A3392" s="144" t="n">
        <v>127</v>
      </c>
      <c r="B3392" s="390" t="n"/>
      <c r="C3392" s="390" t="inlineStr">
        <is>
          <t>Báo cáo tài chính quý, soát xét bán niên, kiểm toán năm - Chi nhánh công ty chứng khoán nước ngoài tại Việt Nam &gt;&gt; Phần lưu chuyển tiền tệ hoạt động môi giới, ủy thác của khách hàng_06612</t>
        </is>
      </c>
      <c r="D3392" s="106" t="inlineStr">
        <is>
          <t>Tên chỉ tiêu</t>
        </is>
      </c>
      <c r="E3392" s="107" t="inlineStr">
        <is>
          <t>Tên chỉ tiêu</t>
        </is>
      </c>
      <c r="F3392" s="390" t="inlineStr">
        <is>
          <t>Data Explorer</t>
        </is>
      </c>
      <c r="G3392" s="390" t="inlineStr">
        <is>
          <t>Chiều</t>
        </is>
      </c>
      <c r="H3392" s="390" t="inlineStr">
        <is>
          <t>Dễ</t>
        </is>
      </c>
      <c r="I3392" s="390" t="inlineStr">
        <is>
          <t>Ngày, CTCK</t>
        </is>
      </c>
      <c r="J3392" s="401" t="inlineStr">
        <is>
          <t>SCMS</t>
        </is>
      </c>
      <c r="K3392" s="401" t="inlineStr">
        <is>
          <t>X</t>
        </is>
      </c>
      <c r="L3392" s="401" t="inlineStr">
        <is>
          <t>X</t>
        </is>
      </c>
      <c r="M3392" s="401" t="n"/>
      <c r="N3392" s="401" t="inlineStr">
        <is>
          <t>Done</t>
        </is>
      </c>
      <c r="O3392" s="401" t="n"/>
      <c r="P3392" s="401" t="n"/>
      <c r="S3392" s="401" t="n"/>
      <c r="U3392" s="401" t="n"/>
      <c r="V3392" s="22" t="n"/>
      <c r="W3392" s="22" t="n"/>
      <c r="X3392" s="22" t="n"/>
      <c r="Y3392" s="395" t="n"/>
      <c r="Z3392" s="22" t="n"/>
      <c r="AA3392" s="22" t="n"/>
      <c r="AB3392" s="22" t="n"/>
      <c r="AC3392" s="22" t="n"/>
      <c r="AD3392" s="22" t="n"/>
      <c r="AE3392" s="22" t="n"/>
    </row>
    <row r="3393" ht="126" customHeight="1" s="380">
      <c r="A3393" s="144" t="n">
        <v>127</v>
      </c>
      <c r="B3393" s="390" t="n"/>
      <c r="C3393" s="390" t="inlineStr">
        <is>
          <t>Báo cáo tài chính quý, soát xét bán niên, kiểm toán năm - Chi nhánh công ty chứng khoán nước ngoài tại Việt Nam &gt;&gt; Phần lưu chuyển tiền tệ hoạt động môi giới, ủy thác của khách hàng_06612</t>
        </is>
      </c>
      <c r="D3393" s="132" t="inlineStr">
        <is>
          <t>I. Lưu chuyển tiền hoạt động môi giới, ủy thác của khách hàng</t>
        </is>
      </c>
      <c r="E3393" s="401" t="n"/>
      <c r="F3393" s="390" t="inlineStr">
        <is>
          <t>Data Explorer</t>
        </is>
      </c>
      <c r="G3393" s="390" t="inlineStr">
        <is>
          <t>Chỉ tiêu cơ sở</t>
        </is>
      </c>
      <c r="H3393" s="390" t="inlineStr">
        <is>
          <t>Dễ</t>
        </is>
      </c>
      <c r="I3393" s="390" t="inlineStr">
        <is>
          <t>Ngày, CTCK</t>
        </is>
      </c>
      <c r="J3393" s="401" t="inlineStr">
        <is>
          <t>SCMS</t>
        </is>
      </c>
      <c r="K3393" s="401" t="n"/>
      <c r="L3393" s="401" t="inlineStr">
        <is>
          <t>X</t>
        </is>
      </c>
      <c r="M3393" s="401" t="n"/>
      <c r="N3393" s="401" t="inlineStr">
        <is>
          <t>Done</t>
        </is>
      </c>
      <c r="O3393" s="401" t="n"/>
      <c r="P3393" s="401" t="n"/>
      <c r="Q3393" s="431" t="inlineStr">
        <is>
          <t>SCMS.BC_THANH_VIEN
SCMS.BM_BAO_CAO
SCMS.BC_BAO_CAO_GT
SCMS.BM_BAO_CAO_HANG
SCMS.BM_BAO_CAO_COT</t>
        </is>
      </c>
      <c r="R3393" s="431" t="inlineStr">
        <is>
          <t>bsc.TEN_COT,
bsc.BM_SHEET_ID,
bsh.ID,
bsh.MA_HANG,
gt.GIA_TRI,
gt.BC_THANH_VIEN_ID,
gt.BM_SHEET_HANG_ID,
bm.ID,
bm.MA_BAO_CAO,
btv.ID,
btv.BM_BAO_CAO_ID,
btv.TRANG_THAI,
btv.NGAY_SO_LIEU</t>
        </is>
      </c>
      <c r="S3393" s="401" t="n"/>
      <c r="T3393" s="432" t="inlineStr">
        <is>
          <t>-- CHỈ TIÊU
SELECT
	-- Thuyết minh
    MAX(CASE WHEN bsc.TEN_COT=N'Thuyết minh' AND bsh.MA_HANG = '4' THEN CAST(gt.GIA_TRI AS VARCHAR2(4000)) END) AS "I. Lưu chuyển tiền hoạt động môi giới, ủy thác của khách hàng",
	MAX(CASE WHEN bsc.TEN_COT=N'Thuyết minh' AND bsh.MA_HANG = '5' THEN CAST(gt.GIA_TRI AS VARCHAR2(4000)) END) AS "1. Tiền thu bán chứng khoán môi giới cho khách hàng",
	MAX(CASE WHEN bsc.TEN_COT=N'Thuyết minh' AND bsh.MA_HANG = '6' THEN CAST(gt.GIA_TRI AS VARCHAR2(4000)) END) AS "2. Tiền chi mua chứng khoán môi giới cho khách hàng",
	MAX(CASE WHEN bsc.TEN_COT=N'Thuyết minh' AND bsh.MA_HANG = '7' THEN CAST(gt.GIA_TRI AS VARCHAR2(4000)) END) AS "3. Tiền thu bán chứng khoán ủy thác của khách hàng",
	MAX(CASE WHEN bsc.TEN_COT=N'Thuyết minh' AND bsh.MA_HANG = '8' THEN CAST(gt.GIA_TRI AS VARCHAR2(4000)) END) AS "4.Tiền chi mua chứng khoán ủy thác của khách hàng",
	MAX(CASE WHEN bsc.TEN_COT=N'Thuyết minh' AND bsh.MA_HANG = '9' THEN CAST(gt.GIA_TRI AS VARCHAR2(4000)) END) AS "5. Thu vay Quỹ Hỗ trợ thanh toán",
	MAX(CASE WHEN bsc.TEN_COT=N'Thuyết minh' AND bsh.MA_HANG = '10' THEN CAST(gt.GIA_TRI AS VARCHAR2(4000)) END) AS "6. Chi trả vay Quỹ Hỗ trợ thanh toán",
	MAX(CASE WHEN bsc.TEN_COT=N'Thuyết minh' AND bsh.MA_HANG = '11' THEN CAST(gt.GIA_TRI AS VARCHAR2(4000)) END) AS "7. Nhận tiền gửi để thanh toán giao dịch chứng khoán của khách hàng",
	MAX(CASE WHEN bsc.TEN_COT=N'Thuyết minh' AND bsh.MA_HANG = '12' THEN CAST(gt.GIA_TRI AS VARCHAR2(4000)) END) AS "8. Nhận tiền gửi của Nhà đầu tư cho hoạt động ủy thác đầu tư của khách hàng",
	MAX(CASE WHEN bsc.TEN_COT=N'Thuyết minh' AND bsh.MA_HANG = '13' THEN CAST(gt.GIA_TRI AS VARCHAR2(4000)) END) AS "9. Chi trả phí lưu ký chứng khoán của khách hàng",
	MAX(CASE WHEN bsc.TEN_COT=N'Thuyết minh' AND bsh.MA_HANG = '14' THEN CAST(gt.GIA_TRI AS VARCHAR2(4000)) END) AS "10. Thu lỗi giao dịch chứng khoán",
	MAX(CASE WHEN bsc.TEN_COT=N'Thuyết minh' AND bsh.MA_HANG = '15' THEN CAST(gt.GIA_TRI AS VARCHAR2(4000)) END) AS "11. Chi lỗi giao dịch chứng khoán",
	MAX(CASE WHEN bsc.TEN_COT=N'Thuyết minh' AND bsh.MA_HANG = '16' THEN CAST(gt.GIA_TRI AS VARCHAR2(4000)) END) AS "12. Tiền thu của Tổ chức phát hành chứng khoán",
	MAX(CASE WHEN bsc.TEN_COT=N'Thuyết minh' AND bsh.MA_HANG = '17' THEN CAST(gt.GIA_TRI AS VARCHAR2(4000)) END) AS "13. Tiền chi trả Tổ chức phát hành chứng khoán",
	MAX(CASE WHEN bsc.TEN_COT=N'Thuyết minh' AND bsh.MA_HANG = '18' THEN CAST(gt.GIA_TRI AS VARCHAR2(4000)) END) AS "Tăng/giảm tiền thuần trong kỳ",
	MAX(CASE WHEN bsc.TEN_COT=N'Thuyết minh' AND bsh.MA_HANG = '19' THEN CAST(gt.GIA_TRI AS VARCHAR2(4000)) END) AS "II. Tiền và các khoản tương đương tiền đầu kỳ của khách hàng",
	MAX(CASE WHEN bsc.TEN_COT=N'Thuyết minh' AND bsh.MA_HANG = '20' THEN CAST(gt.GIA_TRI AS VARCHAR2(4000)) END) AS "Tiền gửi ngân hàng đầu kỳ",
	MAX(CASE WHEN bsc.TEN_COT=N'Thuyết minh' AND bsh.MA_HANG = '21' THEN CAST(gt.GIA_TRI AS VARCHAR2(4000)) END) AS "Tiền gửi của Nhà đầu tư về giao dịch chứng khoán theo phương thức CTCK quản lý",
	MAX(CASE WHEN bsc.TEN_COT=N'Thuyết minh' AND bsh.MA_HANG = '22' THEN CAST(gt.GIA_TRI AS VARCHAR2(4000)) END) AS "Trong đó có kỳ hạn",
	MAX(CASE WHEN bsc.TEN_COT=N'Thuyết minh' AND bsh.MA_HANG = '23' THEN CAST(gt.GIA_TRI AS VARCHAR2(4000)) END) AS "Tiền gửi bù trừ và thanh toán giao dịch chứng khoán",
	MAX(CASE WHEN bsc.TEN_COT=N'Thuyết minh' AND bsh.MA_HANG = '24' THEN CAST(gt.GIA_TRI AS VARCHAR2(4000)) END) AS "Tiền gửi tổng hợp giao dịch chứng khoán cho khách hàng",
	MAX(CASE WHEN bsc.TEN_COT=N'Thuyết minh' AND bsh.MA_HANG = '25' THEN CAST(gt.GIA_TRI AS VARCHAR2(4000)) END) AS "Tiền gửi của tổ chức phát hành",
	MAX(CASE WHEN bsc.TEN_COT=N'Thuyết minh' AND bsh.MA_HANG = '26' THEN CAST(gt.GIA_TRI AS VARCHAR2(4000)) END) AS "Trong đó có kỳ hạn",
	MAX(CASE WHEN bsc.TEN_COT=N'Thuyết minh' AND bsh.MA_HANG = '27' THEN CAST(gt.GIA_TRI AS VARCHAR2(4000)) END) AS "Các khoản tương đương tiền",
	MAX(CASE WHEN bsc.TEN_COT=N'Thuyết minh' AND bsh.MA_HANG = '28' THEN CAST(gt.GIA_TRI AS VARCHAR2(4000)) END) AS "Ảnh hưởng của thay đổi tỷ giá hối đoái quy đổi ngoại tệ",
	MAX(CASE WHEN bsc.TEN_COT=N'Thuyết minh' AND bsh.MA_HANG = '29' THEN CAST(gt.GIA_TRI AS VARCHAR2(4000)) END) AS "III. Tiền và các khoản tương đương tiền cuối kỳ của khách hàng (40 = 20 + 30)",
	MAX(CASE WHEN bsc.TEN_COT=N'Thuyết minh' AND bsh.MA_HANG = '30' THEN CAST(gt.GIA_TRI AS VARCHAR2(4000)) END) AS "Tiền gửi ngân hàng cuối kỳ",
	MAX(CASE WHEN bsc.TEN_COT=N'Thuyết minh' AND bsh.MA_HANG = '31' THEN CAST(gt.GIA_TRI AS VARCHAR2(4000)) END) AS "Tiền gửi của Nhà đầu tư về giao dịch chứng khoán theo phương thức CTCK quản lý",
	MAX(CASE WHEN bsc.TEN_COT=N'Thuyết minh' AND bsh.MA_HANG = '32' THEN CAST(gt.GIA_TRI AS VARCHAR2(4000)) END) AS "Trong đó có kỳ hạn",
	MAX(CASE WHEN bsc.TEN_COT=N'Thuyết minh' AND bsh.MA_HANG = '33' THEN CAST(gt.GIA_TRI AS VARCHAR2(4000)) END) AS "Tiền gửi tổng hợp giao dịch chứng khoán cho khách hàng",
	MAX(CASE WHEN bsc.TEN_COT=N'Thuyết minh' AND bsh.MA_HANG = '34' THEN CAST(gt.GIA_TRI AS VARCHAR2(4000)) END) AS "Tiền gửi bù trừ và thanh toán giao dịch chứng khoán",
	MAX(CASE WHEN bsc.TEN_COT=N'Thuyết minh' AND bsh.MA_HANG = '35' THEN CAST(gt.GIA_TRI AS VARCHAR2(4000)) END) AS "Tiền gửi của tổ chức phát hành",
	MAX(CASE WHEN bsc.TEN_COT=N'Thuyết minh' AND bsh.MA_HANG = '36' THEN CAST(gt.GIA_TRI AS VARCHAR2(4000)) END) AS "Trong đó có kỳ hạn",
	MAX(CASE WHEN bsc.TEN_COT=N'Thuyết minh' AND bsh.MA_HANG = '37' THEN CAST(gt.GIA_TRI AS VARCHAR2(4000)) END) AS "Các khoản tương đương tiền",
	MAX(CASE WHEN bsc.TEN_COT=N'Thuyết minh' AND bsh.MA_HANG = '38' THEN CAST(gt.GIA_TRI AS VARCHAR2(4000)) END) AS "Ảnh hưởng của thay đổi tỷ giá hối đoái quy đổi ngoại tệ",	    
    -- Năm nay
	MAX(CASE WHEN bsc.TEN_COT=N'Năm nay' AND bsh.MA_HANG = '4' THEN CAST(gt.GIA_TRI AS VARCHAR2(4000)) END) AS "I. Lưu chuyển tiền hoạt động môi giới, ủy thác của khách hàng",
	MAX(CASE WHEN bsc.TEN_COT=N'Năm nay' AND bsh.MA_HANG = '5' THEN CAST(gt.GIA_TRI AS VARCHAR2(4000)) END) AS "1. Tiền thu bán chứng khoán môi giới cho khách hàng",
	MAX(CASE WHEN bsc.TEN_COT=N'Năm nay' AND bsh.MA_HANG = '6' THEN CAST(gt.GIA_TRI AS VARCHAR2(4000)) END) AS "2. Tiền chi mua chứng khoán môi giới cho khách hàng",
	MAX(CASE WHEN bsc.TEN_COT=N'Năm nay' AND bsh.MA_HANG = '7' THEN CAST(gt.GIA_TRI AS VARCHAR2(4000)) END) AS "3. Tiền thu bán chứng khoán ủy thác của khách hàng",
	MAX(CASE WHEN bsc.TEN_COT=N'Năm nay' AND bsh.MA_HANG = '8' THEN CAST(gt.GIA_TRI AS VARCHAR2(4000)) END) AS "4.Tiền chi mua chứng khoán ủy thác của khách hàng",
	MAX(CASE WHEN bsc.TEN_COT=N'Năm nay' AND bsh.MA_HANG = '9' THEN CAST(gt.GIA_TRI AS VARCHAR2(4000)) END) AS "5. Thu vay Quỹ Hỗ trợ thanh toán",
	MAX(CASE WHEN bsc.TEN_COT=N'Năm nay' AND bsh.MA_HANG = '10' THEN CAST(gt.GIA_TRI AS VARCHAR2(4000)) END) AS "6. Chi trả vay Quỹ Hỗ trợ thanh toán",
	MAX(CASE WHEN bsc.TEN_COT=N'Năm nay' AND bsh.MA_HANG = '11' THEN CAST(gt.GIA_TRI AS VARCHAR2(4000)) END) AS "7. Nhận tiền gửi để thanh toán giao dịch chứng khoán của khách hàng",
	MAX(CASE WHEN bsc.TEN_COT=N'Năm nay' AND bsh.MA_HANG = '12' THEN CAST(gt.GIA_TRI AS VARCHAR2(4000)) END) AS "8. Nhận tiền gửi của Nhà đầu tư cho hoạt động ủy thác đầu tư của khách hàng",
	MAX(CASE WHEN bsc.TEN_COT=N'Năm nay' AND bsh.MA_HANG = '13' THEN CAST(gt.GIA_TRI AS VARCHAR2(4000)) END) AS "9. Chi trả phí lưu ký chứng khoán của khách hàng",
	MAX(CASE WHEN bsc.TEN_COT=N'Năm nay' AND bsh.MA_HANG = '14' THEN CAST(gt.GIA_TRI AS VARCHAR2(4000)) END) AS "10. Thu lỗi giao dịch chứng khoán",
	MAX(CASE WHEN bsc.TEN_COT=N'Năm nay' AND bsh.MA_HANG = '15' THEN CAST(gt.GIA_TRI AS VARCHAR2(4000)) END) AS "11. Chi lỗi giao dịch chứng khoán",
	MAX(CASE WHEN bsc.TEN_COT=N'Năm nay' AND bsh.MA_HANG = '16' THEN CAST(gt.GIA_TRI AS VARCHAR2(4000)) END) AS "12. Tiền thu của Tổ chức phát hành chứng khoán",
	MAX(CASE WHEN bsc.TEN_COT=N'Năm nay' AND bsh.MA_HANG = '17' THEN CAST(gt.GIA_TRI AS VARCHAR2(4000)) END) AS "13. Tiền chi trả Tổ chức phát hành chứng khoán",
	MAX(CASE WHEN bsc.TEN_COT=N'Năm nay' AND bsh.MA_HANG = '18' THEN CAST(gt.GIA_TRI AS VARCHAR2(4000)) END) AS "Tăng/giảm tiền thuần trong kỳ",
	MAX(CASE WHEN bsc.TEN_COT=N'Năm nay' AND bsh.MA_HANG = '19' THEN CAST(gt.GIA_TRI AS VARCHAR2(4000)) END) AS "II. Tiền và các khoản tương đương tiền đầu kỳ của khách hàng",
	MAX(CASE WHEN bsc.TEN_COT=N'Năm nay' AND bsh.MA_HANG = '20' THEN CAST(gt.GIA_TRI AS VARCHAR2(4000)) END) AS "Tiền gửi ngân hàng đầu kỳ",
	MAX(CASE WHEN bsc.TEN_COT=N'Năm nay' AND bsh.MA_HANG = '21' THEN CAST(gt.GIA_TRI AS VARCHAR2(4000)) END) AS "Tiền gửi của Nhà đầu tư về giao dịch chứng khoán theo phương thức CTCK quản lý",
	MAX(CASE WHEN bsc.TEN_COT=N'Năm nay' AND bsh.MA_HANG = '22' THEN CAST(gt.GIA_TRI AS VARCHAR2(4000)) END) AS "Trong đó có kỳ hạn",
	MAX(CASE WHEN bsc.TEN_COT=N'Năm nay' AND bsh.MA_HANG = '23' THEN CAST(gt.GIA_TRI AS VARCHAR2(4000)) END) AS "Tiền gửi bù trừ và thanh toán giao dịch chứng khoán",
	MAX(CASE WHEN bsc.TEN_COT=N'Năm nay' AND bsh.MA_HANG = '24' THEN CAST(gt.GIA_TRI AS VARCHAR2(4000)) END) AS "Tiền gửi tổng hợp giao dịch chứng khoán cho khách hàng",
	MAX(CASE WHEN bsc.TEN_COT=N'Năm nay' AND bsh.MA_HANG = '25' THEN CAST(gt.GIA_TRI AS VARCHAR2(4000)) END) AS "Tiền gửi của tổ chức phát hành",
	MAX(CASE WHEN bsc.TEN_COT=N'Năm nay' AND bsh.MA_HANG = '26' THEN CAST(gt.GIA_TRI AS VARCHAR2(4000)) END) AS "Trong đó có kỳ hạn",
	MAX(CASE WHEN bsc.TEN_COT=N'Năm nay' AND bsh.MA_HANG = '27' THEN CAST(gt.GIA_TRI AS VARCHAR2(4000)) END) AS "Các khoản tương đương tiền",
	MAX(CASE WHEN bsc.TEN_COT=N'Năm nay' AND bsh.MA_HANG = '28' THEN CAST(gt.GIA_TRI AS VARCHAR2(4000)) END) AS "Ảnh hưởng của thay đổi tỷ giá hối đoái quy đổi ngoại tệ",
	MAX(CASE WHEN bsc.TEN_COT=N'Năm nay' AND bsh.MA_HANG = '29' THEN CAST(gt.GIA_TRI AS VARCHAR2(4000)) END) AS "III. Tiền và các khoản tương đương tiền cuối kỳ của khách hàng (40 = 20 + 30)",
	MAX(CASE WHEN bsc.TEN_COT=N'Năm nay' AND bsh.MA_HANG = '30' THEN CAST(gt.GIA_TRI AS VARCHAR2(4000)) END) AS "Tiền gửi ngân hàng cuối kỳ",
	MAX(CASE WHEN bsc.TEN_COT=N'Năm nay' AND bsh.MA_HANG = '31' THEN CAST(gt.GIA_TRI AS VARCHAR2(4000)) END) AS "Tiền gửi của Nhà đầu tư về giao dịch chứng khoán theo phương thức CTCK quản lý",
	MAX(CASE WHEN bsc.TEN_COT=N'Năm nay' AND bsh.MA_HANG = '32' THEN CAST(gt.GIA_TRI AS VARCHAR2(4000)) END) AS "Trong đó có kỳ hạn",
	MAX(CASE WHEN bsc.TEN_COT=N'Năm nay' AND bsh.MA_HANG = '33' THEN CAST(gt.GIA_TRI AS VARCHAR2(4000)) END) AS "Tiền gửi tổng hợp giao dịch chứng khoán cho khách hàng",
	MAX(CASE WHEN bsc.TEN_COT=N'Năm nay' AND bsh.MA_HANG = '34' THEN CAST(gt.GIA_TRI AS VARCHAR2(4000)) END) AS "Tiền gửi bù trừ và thanh toán giao dịch chứng khoán",
	MAX(CASE WHEN bsc.TEN_COT=N'Năm nay' AND bsh.MA_HANG = '35' THEN CAST(gt.GIA_TRI AS VARCHAR2(4000)) END) AS "Tiền gửi của tổ chức phát hành",
	MAX(CASE WHEN bsc.TEN_COT=N'Năm nay' AND bsh.MA_HANG = '36' THEN CAST(gt.GIA_TRI AS VARCHAR2(4000)) END) AS "Trong đó có kỳ hạn",
	MAX(CASE WHEN bsc.TEN_COT=N'Năm nay' AND bsh.MA_HANG = '37' THEN CAST(gt.GIA_TRI AS VARCHAR2(4000)) END) AS "Các khoản tương đương tiền",
	MAX(CASE WHEN bsc.TEN_COT=N'Năm nay' AND bsh.MA_HANG = '38' THEN CAST(gt.GIA_TRI AS VARCHAR2(4000)) END) AS "Ảnh hưởng của thay đổi tỷ giá hối đoái quy đổi ngoại tệ",	    
    -- Năm trước
	MAX(CASE WHEN bsc.TEN_COT=N'Năm trước' AND bsh.MA_HANG = '4' THEN CAST(gt.GIA_TRI AS VARCHAR2(4000)) END) AS "I. Lưu chuyển tiền hoạt động môi giới, ủy thác của khách hàng",
	MAX(CASE WHEN bsc.TEN_COT=N'Năm trước' AND bsh.MA_HANG = '5' THEN CAST(gt.GIA_TRI AS VARCHAR2(4000)) END) AS "1. Tiền thu bán chứng khoán môi giới cho khách hàng",
	MAX(CASE WHEN bsc.TEN_COT=N'Năm trước' AND bsh.MA_HANG = '6' THEN CAST(gt.GIA_TRI AS VARCHAR2(4000)) END) AS "2. Tiền chi mua chứng khoán môi giới cho khách hàng",
	MAX(CASE WHEN bsc.TEN_COT=N'Năm trước' AND bsh.MA_HANG = '7' THEN CAST(gt.GIA_TRI AS VARCHAR2(4000)) END) AS "3. Tiền thu bán chứng khoán ủy thác của khách hàng",
	MAX(CASE WHEN bsc.TEN_COT=N'Năm trước' AND bsh.MA_HANG = '8' THEN CAST(gt.GIA_TRI AS VARCHAR2(4000)) END) AS "4.Tiền chi mua chứng khoán ủy thác của khách hàng",
	MAX(CASE WHEN bsc.TEN_COT=N'Năm trước' AND bsh.MA_HANG = '9' THEN CAST(gt.GIA_TRI AS VARCHAR2(4000)) END) AS "5. Thu vay Quỹ Hỗ trợ thanh toán",
	MAX(CASE WHEN bsc.TEN_COT=N'Năm trước' AND bsh.MA_HANG = '10' THEN CAST(gt.GIA_TRI AS VARCHAR2(4000)) END) AS "6. Chi trả vay Quỹ Hỗ trợ thanh toán",
	MAX(CASE WHEN bsc.TEN_COT=N'Năm trước' AND bsh.MA_HANG = '11' THEN CAST(gt.GIA_TRI AS VARCHAR2(4000)) END) AS "7. Nhận tiền gửi để thanh toán giao dịch chứng khoán của khách hàng",
	MAX(CASE WHEN bsc.TEN_COT=N'Năm trước' AND bsh.MA_HANG = '12' THEN CAST(gt.GIA_TRI AS VARCHAR2(4000)) END) AS "8. Nhận tiền gửi của Nhà đầu tư cho hoạt động ủy thác đầu tư của khách hàng",
	MAX(CASE WHEN bsc.TEN_COT=N'Năm trước' AND bsh.MA_HANG = '13' THEN CAST(gt.GIA_TRI AS VARCHAR2(4000)) END) AS "9. Chi trả phí lưu ký chứng khoán của khách hàng",
	MAX(CASE WHEN bsc.TEN_COT=N'Năm trước' AND bsh.MA_HANG = '14' THEN CAST(gt.GIA_TRI AS VARCHAR2(4000)) END) AS "10. Thu lỗi giao dịch chứng khoán",
	MAX(CASE WHEN bsc.TEN_COT=N'Năm trước' AND bsh.MA_HANG = '15' THEN CAST(gt.GIA_TRI AS VARCHAR2(4000)) END) AS "11. Chi lỗi giao dịch chứng khoán",
	MAX(CASE WHEN bsc.TEN_COT=N'Năm trước' AND bsh.MA_HANG = '16' THEN CAST(gt.GIA_TRI AS VARCHAR2(4000)) END) AS "12. Tiền thu của Tổ chức phát hành chứng khoán",
	MAX(CASE WHEN bsc.TEN_COT=N'Năm trước' AND bsh.MA_HANG = '17' THEN CAST(gt.GIA_TRI AS VARCHAR2(4000)) END) AS "13. Tiền chi trả Tổ chức phát hành chứng khoán",
	MAX(CASE WHEN bsc.TEN_COT=N'Năm trước' AND bsh.MA_HANG = '18' THEN CAST(gt.GIA_TRI AS VARCHAR2(4000)) END) AS "Tăng/giảm tiền thuần trong kỳ",
	MAX(CASE WHEN bsc.TEN_COT=N'Năm trước' AND bsh.MA_HANG = '19' THEN CAST(gt.GIA_TRI AS VARCHAR2(4000)) END) AS "II. Tiền và các khoản tương đương tiền đầu kỳ của khách hàng",
	MAX(CASE WHEN bsc.TEN_COT=N'Năm trước' AND bsh.MA_HANG = '20' THEN CAST(gt.GIA_TRI AS VARCHAR2(4000)) END) AS "Tiền gửi ngân hàng đầu kỳ",
	MAX(CASE WHEN bsc.TEN_COT=N'Năm trước' AND bsh.MA_HANG = '21' THEN CAST(gt.GIA_TRI AS VARCHAR2(4000)) END) AS "Tiền gửi của Nhà đầu tư về giao dịch chứng khoán theo phương thức CTCK quản lý",
	MAX(CASE WHEN bsc.TEN_COT=N'Năm trước' AND bsh.MA_HANG = '22' THEN CAST(gt.GIA_TRI AS VARCHAR2(4000)) END) AS "Trong đó có kỳ hạn",
	MAX(CASE WHEN bsc.TEN_COT=N'Năm trước' AND bsh.MA_HANG = '23' THEN CAST(gt.GIA_TRI AS VARCHAR2(4000)) END) AS "Tiền gửi bù trừ và thanh toán giao dịch chứng khoán",
	MAX(CASE WHEN bsc.TEN_COT=N'Năm trước' AND bsh.MA_HANG = '24' THEN CAST(gt.GIA_TRI AS VARCHAR2(4000)) END) AS "Tiền gửi tổng hợp giao dịch chứng khoán cho khách hàng",
	MAX(CASE WHEN bsc.TEN_COT=N'Năm trước' AND bsh.MA_HANG = '25' THEN CAST(gt.GIA_TRI AS VARCHAR2(4000)) END) AS "Tiền gửi của tổ chức phát hành",
	MAX(CASE WHEN bsc.TEN_COT=N'Năm trước' AND bsh.MA_HANG = '26' THEN CAST(gt.GIA_TRI AS VARCHAR2(4000)) END) AS "Trong đó có kỳ hạn",
	MAX(CASE WHEN bsc.TEN_COT=N'Năm trước' AND bsh.MA_HANG = '27' THEN CAST(gt.GIA_TRI AS VARCHAR2(4000)) END) AS "Các khoản tương đương tiền",
	MAX(CASE WHEN bsc.TEN_COT=N'Năm trước' AND bsh.MA_HANG = '28' THEN CAST(gt.GIA_TRI AS VARCHAR2(4000)) END) AS "Ảnh hưởng của thay đổi tỷ giá hối đoái quy đổi ngoại tệ",
	MAX(CASE WHEN bsc.TEN_COT=N'Năm trước' AND bsh.MA_HANG = '29' THEN CAST(gt.GIA_TRI AS VARCHAR2(4000)) END) AS "III. Tiền và các khoản tương đương tiền cuối kỳ của khách hàng (40 = 20 + 30)",
	MAX(CASE WHEN bsc.TEN_COT=N'Năm trước' AND bsh.MA_HANG = '30' THEN CAST(gt.GIA_TRI AS VARCHAR2(4000)) END) AS "Tiền gửi ngân hàng cuối kỳ",
	MAX(CASE WHEN bsc.TEN_COT=N'Năm trước' AND bsh.MA_HANG = '31' THEN CAST(gt.GIA_TRI AS VARCHAR2(4000)) END) AS "Tiền gửi của Nhà đầu tư về giao dịch chứng khoán theo phương thức CTCK quản lý",
	MAX(CASE WHEN bsc.TEN_COT=N'Năm trước' AND bsh.MA_HANG = '32' THEN CAST(gt.GIA_TRI AS VARCHAR2(4000)) END) AS "Trong đó có kỳ hạn",
	MAX(CASE WHEN bsc.TEN_COT=N'Năm trước' AND bsh.MA_HANG = '33' THEN CAST(gt.GIA_TRI AS VARCHAR2(4000)) END) AS "Tiền gửi tổng hợp giao dịch chứng khoán cho khách hàng",
	MAX(CASE WHEN bsc.TEN_COT=N'Năm trước' AND bsh.MA_HANG = '34' THEN CAST(gt.GIA_TRI AS VARCHAR2(4000)) END) AS "Tiền gửi bù trừ và thanh toán giao dịch chứng khoán",
	MAX(CASE WHEN bsc.TEN_COT=N'Năm trước' AND bsh.MA_HANG = '35' THEN CAST(gt.GIA_TRI AS VARCHAR2(4000)) END) AS "Tiền gửi của tổ chức phát hành",
	MAX(CASE WHEN bsc.TEN_COT=N'Năm trước' AND bsh.MA_HANG = '36' THEN CAST(gt.GIA_TRI AS VARCHAR2(4000)) END) AS "Trong đó có kỳ hạn",
	MAX(CASE WHEN bsc.TEN_COT=N'Năm trước' AND bsh.MA_HANG = '37' THEN CAST(gt.GIA_TRI AS VARCHAR2(4000)) END) AS "Các khoản tương đương tiền",
	MAX(CASE WHEN bsc.TEN_COT=N'Năm trước' AND bsh.MA_HANG = '38' THEN CAST(gt.GIA_TRI AS VARCHAR2(4000)) END) AS "Ảnh hưởng của thay đổi tỷ giá hối đoái quy đổi ngoại tệ"
FROM SCMS.BC_THANH_VIEN btv
JOIN SCMS.BM_BAO_CAO bm ON bm.ID = btv.BM_BAO_CAO_ID
JOIN SCMS.BC_BAO_CAO_GT gt ON gt.BC_THANH_VIEN_ID = btv.ID
JOIN SCMS.BM_BAO_CAO_HANG bsh ON bsh.ID = gt.BM_SHEET_HANG_ID
JOIN SCMS.BM_BAO_CAO_COT bsc ON bsc.BM_SHEET_ID = 5887
--                               AND bsc.TEN_COT = gt.TEN_COT
WHERE bm.MA_BAO_CAO LIKE 'BCTCRLCTCK'
  AND btv.TRANG_THAI IN (2, 3)
GROUP BY btv.ID, btv.NGAY_SO_LIEU
ORDER BY btv.NGAY_SO_LIEU DESC;</t>
        </is>
      </c>
      <c r="U3393" s="401" t="n"/>
      <c r="V3393" s="22" t="n"/>
      <c r="W3393" s="22" t="n"/>
      <c r="X3393" s="22" t="n"/>
      <c r="Y3393" s="395" t="n"/>
      <c r="Z3393" s="22" t="n"/>
      <c r="AA3393" s="22" t="n"/>
      <c r="AB3393" s="22" t="n"/>
      <c r="AC3393" s="22" t="n"/>
      <c r="AD3393" s="22" t="n"/>
      <c r="AE3393" s="22" t="n"/>
    </row>
    <row r="3394" ht="126" customHeight="1" s="380">
      <c r="A3394" s="144" t="n">
        <v>127</v>
      </c>
      <c r="B3394" s="390" t="n"/>
      <c r="C3394" s="390" t="inlineStr">
        <is>
          <t>Báo cáo tài chính quý, soát xét bán niên, kiểm toán năm - Chi nhánh công ty chứng khoán nước ngoài tại Việt Nam &gt;&gt; Phần lưu chuyển tiền tệ hoạt động môi giới, ủy thác của khách hàng_06612</t>
        </is>
      </c>
      <c r="D3394" s="390" t="inlineStr">
        <is>
          <t>1. Tiền thu bán chứng khoán môi giới cho khách hàng</t>
        </is>
      </c>
      <c r="E3394" s="390" t="n">
        <v>1</v>
      </c>
      <c r="F3394" s="390" t="inlineStr">
        <is>
          <t>Data Explorer</t>
        </is>
      </c>
      <c r="G3394" s="390" t="inlineStr">
        <is>
          <t>Chỉ tiêu cơ sở</t>
        </is>
      </c>
      <c r="H3394" s="390" t="inlineStr">
        <is>
          <t>Dễ</t>
        </is>
      </c>
      <c r="I3394" s="390" t="inlineStr">
        <is>
          <t>Ngày, CTCK</t>
        </is>
      </c>
      <c r="J3394" s="401" t="inlineStr">
        <is>
          <t>SCMS</t>
        </is>
      </c>
      <c r="K3394" s="401" t="n"/>
      <c r="L3394" s="401" t="inlineStr">
        <is>
          <t>X</t>
        </is>
      </c>
      <c r="M3394" s="401" t="n"/>
      <c r="N3394" s="401" t="inlineStr">
        <is>
          <t>Done</t>
        </is>
      </c>
      <c r="O3394" s="401" t="n"/>
      <c r="P3394" s="401" t="n"/>
      <c r="S3394" s="401" t="n"/>
      <c r="U3394" s="401" t="n"/>
      <c r="V3394" s="22" t="n"/>
      <c r="W3394" s="22" t="n"/>
      <c r="X3394" s="22" t="n"/>
      <c r="Y3394" s="395" t="n"/>
      <c r="Z3394" s="22" t="n"/>
      <c r="AA3394" s="22" t="n"/>
      <c r="AB3394" s="22" t="n"/>
      <c r="AC3394" s="22" t="n"/>
      <c r="AD3394" s="22" t="n"/>
      <c r="AE3394" s="22" t="n"/>
    </row>
    <row r="3395" ht="126" customHeight="1" s="380">
      <c r="A3395" s="144" t="n">
        <v>127</v>
      </c>
      <c r="B3395" s="390" t="n"/>
      <c r="C3395" s="390" t="inlineStr">
        <is>
          <t>Báo cáo tài chính quý, soát xét bán niên, kiểm toán năm - Chi nhánh công ty chứng khoán nước ngoài tại Việt Nam &gt;&gt; Phần lưu chuyển tiền tệ hoạt động môi giới, ủy thác của khách hàng_06612</t>
        </is>
      </c>
      <c r="D3395" s="390" t="inlineStr">
        <is>
          <t>2. Tiền chi mua chứng khoán môi giới cho khách hàng</t>
        </is>
      </c>
      <c r="E3395" s="390" t="n">
        <v>2</v>
      </c>
      <c r="F3395" s="390" t="inlineStr">
        <is>
          <t>Data Explorer</t>
        </is>
      </c>
      <c r="G3395" s="390" t="inlineStr">
        <is>
          <t>Chỉ tiêu cơ sở</t>
        </is>
      </c>
      <c r="H3395" s="390" t="inlineStr">
        <is>
          <t>Dễ</t>
        </is>
      </c>
      <c r="I3395" s="390" t="inlineStr">
        <is>
          <t>Ngày, CTCK</t>
        </is>
      </c>
      <c r="J3395" s="401" t="inlineStr">
        <is>
          <t>SCMS</t>
        </is>
      </c>
      <c r="K3395" s="401" t="n"/>
      <c r="L3395" s="401" t="inlineStr">
        <is>
          <t>X</t>
        </is>
      </c>
      <c r="M3395" s="401" t="n"/>
      <c r="N3395" s="401" t="inlineStr">
        <is>
          <t>Done</t>
        </is>
      </c>
      <c r="O3395" s="401" t="n"/>
      <c r="P3395" s="401" t="n"/>
      <c r="S3395" s="401" t="n"/>
      <c r="U3395" s="401" t="n"/>
      <c r="V3395" s="22" t="n"/>
      <c r="W3395" s="22" t="n"/>
      <c r="X3395" s="22" t="n"/>
      <c r="Y3395" s="395" t="n"/>
      <c r="Z3395" s="22" t="n"/>
      <c r="AA3395" s="22" t="n"/>
      <c r="AB3395" s="22" t="n"/>
      <c r="AC3395" s="22" t="n"/>
      <c r="AD3395" s="22" t="n"/>
      <c r="AE3395" s="22" t="n"/>
    </row>
    <row r="3396" ht="126" customHeight="1" s="380">
      <c r="A3396" s="144" t="n">
        <v>127</v>
      </c>
      <c r="B3396" s="390" t="n"/>
      <c r="C3396" s="390" t="inlineStr">
        <is>
          <t>Báo cáo tài chính quý, soát xét bán niên, kiểm toán năm - Chi nhánh công ty chứng khoán nước ngoài tại Việt Nam &gt;&gt; Phần lưu chuyển tiền tệ hoạt động môi giới, ủy thác của khách hàng_06612</t>
        </is>
      </c>
      <c r="D3396" s="390" t="inlineStr">
        <is>
          <t>3. Tiền thu bán chứng khoán ủy thác của khách hàng</t>
        </is>
      </c>
      <c r="E3396" s="390" t="n">
        <v>3</v>
      </c>
      <c r="F3396" s="390" t="inlineStr">
        <is>
          <t>Data Explorer</t>
        </is>
      </c>
      <c r="G3396" s="390" t="inlineStr">
        <is>
          <t>Chỉ tiêu cơ sở</t>
        </is>
      </c>
      <c r="H3396" s="390" t="inlineStr">
        <is>
          <t>Dễ</t>
        </is>
      </c>
      <c r="I3396" s="390" t="inlineStr">
        <is>
          <t>Ngày, CTCK</t>
        </is>
      </c>
      <c r="J3396" s="401" t="inlineStr">
        <is>
          <t>SCMS</t>
        </is>
      </c>
      <c r="K3396" s="401" t="n"/>
      <c r="L3396" s="401" t="inlineStr">
        <is>
          <t>X</t>
        </is>
      </c>
      <c r="M3396" s="401" t="n"/>
      <c r="N3396" s="401" t="inlineStr">
        <is>
          <t>Done</t>
        </is>
      </c>
      <c r="O3396" s="401" t="n"/>
      <c r="P3396" s="401" t="n"/>
      <c r="S3396" s="401" t="n"/>
      <c r="U3396" s="401" t="n"/>
      <c r="V3396" s="22" t="n"/>
      <c r="W3396" s="22" t="n"/>
      <c r="X3396" s="22" t="n"/>
      <c r="Y3396" s="395" t="n"/>
      <c r="Z3396" s="22" t="n"/>
      <c r="AA3396" s="22" t="n"/>
      <c r="AB3396" s="22" t="n"/>
      <c r="AC3396" s="22" t="n"/>
      <c r="AD3396" s="22" t="n"/>
      <c r="AE3396" s="22" t="n"/>
    </row>
    <row r="3397" ht="126" customHeight="1" s="380">
      <c r="A3397" s="144" t="n">
        <v>127</v>
      </c>
      <c r="B3397" s="390" t="n"/>
      <c r="C3397" s="390" t="inlineStr">
        <is>
          <t>Báo cáo tài chính quý, soát xét bán niên, kiểm toán năm - Chi nhánh công ty chứng khoán nước ngoài tại Việt Nam &gt;&gt; Phần lưu chuyển tiền tệ hoạt động môi giới, ủy thác của khách hàng_06612</t>
        </is>
      </c>
      <c r="D3397" s="390" t="inlineStr">
        <is>
          <t>4.Tiền chi mua chứng khoán ủy thác của khách hàng</t>
        </is>
      </c>
      <c r="E3397" s="390" t="n">
        <v>4</v>
      </c>
      <c r="F3397" s="390" t="inlineStr">
        <is>
          <t>Data Explorer</t>
        </is>
      </c>
      <c r="G3397" s="390" t="inlineStr">
        <is>
          <t>Chỉ tiêu cơ sở</t>
        </is>
      </c>
      <c r="H3397" s="390" t="inlineStr">
        <is>
          <t>Dễ</t>
        </is>
      </c>
      <c r="I3397" s="390" t="inlineStr">
        <is>
          <t>Ngày, CTCK</t>
        </is>
      </c>
      <c r="J3397" s="401" t="inlineStr">
        <is>
          <t>SCMS</t>
        </is>
      </c>
      <c r="K3397" s="401" t="n"/>
      <c r="L3397" s="401" t="inlineStr">
        <is>
          <t>X</t>
        </is>
      </c>
      <c r="M3397" s="401" t="n"/>
      <c r="N3397" s="401" t="inlineStr">
        <is>
          <t>Done</t>
        </is>
      </c>
      <c r="O3397" s="401" t="n"/>
      <c r="P3397" s="401" t="n"/>
      <c r="S3397" s="401" t="n"/>
      <c r="U3397" s="401" t="n"/>
      <c r="V3397" s="22" t="n"/>
      <c r="W3397" s="22" t="n"/>
      <c r="X3397" s="22" t="n"/>
      <c r="Y3397" s="395" t="n"/>
      <c r="Z3397" s="22" t="n"/>
      <c r="AA3397" s="22" t="n"/>
      <c r="AB3397" s="22" t="n"/>
      <c r="AC3397" s="22" t="n"/>
      <c r="AD3397" s="22" t="n"/>
      <c r="AE3397" s="22" t="n"/>
    </row>
    <row r="3398" ht="126" customHeight="1" s="380">
      <c r="A3398" s="144" t="n">
        <v>127</v>
      </c>
      <c r="B3398" s="390" t="n"/>
      <c r="C3398" s="390" t="inlineStr">
        <is>
          <t>Báo cáo tài chính quý, soát xét bán niên, kiểm toán năm - Chi nhánh công ty chứng khoán nước ngoài tại Việt Nam &gt;&gt; Phần lưu chuyển tiền tệ hoạt động môi giới, ủy thác của khách hàng_06612</t>
        </is>
      </c>
      <c r="D3398" s="390" t="inlineStr">
        <is>
          <t>5. Thu vay Quỹ Hỗ trợ thanh toán</t>
        </is>
      </c>
      <c r="E3398" s="390" t="n">
        <v>5</v>
      </c>
      <c r="F3398" s="390" t="inlineStr">
        <is>
          <t>Data Explorer</t>
        </is>
      </c>
      <c r="G3398" s="390" t="inlineStr">
        <is>
          <t>Chỉ tiêu cơ sở</t>
        </is>
      </c>
      <c r="H3398" s="390" t="inlineStr">
        <is>
          <t>Dễ</t>
        </is>
      </c>
      <c r="I3398" s="390" t="inlineStr">
        <is>
          <t>Ngày, CTCK</t>
        </is>
      </c>
      <c r="J3398" s="401" t="inlineStr">
        <is>
          <t>SCMS</t>
        </is>
      </c>
      <c r="K3398" s="401" t="n"/>
      <c r="L3398" s="401" t="inlineStr">
        <is>
          <t>X</t>
        </is>
      </c>
      <c r="M3398" s="401" t="n"/>
      <c r="N3398" s="401" t="inlineStr">
        <is>
          <t>Done</t>
        </is>
      </c>
      <c r="O3398" s="401" t="n"/>
      <c r="P3398" s="401" t="n"/>
      <c r="S3398" s="401" t="n"/>
      <c r="U3398" s="401" t="n"/>
      <c r="V3398" s="22" t="n"/>
      <c r="W3398" s="22" t="n"/>
      <c r="X3398" s="22" t="n"/>
      <c r="Y3398" s="395" t="n"/>
      <c r="Z3398" s="22" t="n"/>
      <c r="AA3398" s="22" t="n"/>
      <c r="AB3398" s="22" t="n"/>
      <c r="AC3398" s="22" t="n"/>
      <c r="AD3398" s="22" t="n"/>
      <c r="AE3398" s="22" t="n"/>
    </row>
    <row r="3399" ht="126" customHeight="1" s="380">
      <c r="A3399" s="144" t="n">
        <v>127</v>
      </c>
      <c r="B3399" s="390" t="n"/>
      <c r="C3399" s="390" t="inlineStr">
        <is>
          <t>Báo cáo tài chính quý, soát xét bán niên, kiểm toán năm - Chi nhánh công ty chứng khoán nước ngoài tại Việt Nam &gt;&gt; Phần lưu chuyển tiền tệ hoạt động môi giới, ủy thác của khách hàng_06612</t>
        </is>
      </c>
      <c r="D3399" s="390" t="inlineStr">
        <is>
          <t>6. Chi trả vay Quỹ Hỗ trợ thanh toán</t>
        </is>
      </c>
      <c r="E3399" s="390" t="n">
        <v>6</v>
      </c>
      <c r="F3399" s="390" t="inlineStr">
        <is>
          <t>Data Explorer</t>
        </is>
      </c>
      <c r="G3399" s="390" t="inlineStr">
        <is>
          <t>Chỉ tiêu cơ sở</t>
        </is>
      </c>
      <c r="H3399" s="390" t="inlineStr">
        <is>
          <t>Dễ</t>
        </is>
      </c>
      <c r="I3399" s="390" t="inlineStr">
        <is>
          <t>Ngày, CTCK</t>
        </is>
      </c>
      <c r="J3399" s="401" t="inlineStr">
        <is>
          <t>SCMS</t>
        </is>
      </c>
      <c r="K3399" s="401" t="n"/>
      <c r="L3399" s="401" t="inlineStr">
        <is>
          <t>X</t>
        </is>
      </c>
      <c r="M3399" s="401" t="n"/>
      <c r="N3399" s="401" t="inlineStr">
        <is>
          <t>Done</t>
        </is>
      </c>
      <c r="O3399" s="401" t="n"/>
      <c r="P3399" s="401" t="n"/>
      <c r="S3399" s="401" t="n"/>
      <c r="U3399" s="401" t="n"/>
      <c r="V3399" s="22" t="n"/>
      <c r="W3399" s="22" t="n"/>
      <c r="X3399" s="22" t="n"/>
      <c r="Y3399" s="395" t="n"/>
      <c r="Z3399" s="22" t="n"/>
      <c r="AA3399" s="22" t="n"/>
      <c r="AB3399" s="22" t="n"/>
      <c r="AC3399" s="22" t="n"/>
      <c r="AD3399" s="22" t="n"/>
      <c r="AE3399" s="22" t="n"/>
    </row>
    <row r="3400" ht="126" customHeight="1" s="380">
      <c r="A3400" s="144" t="n">
        <v>127</v>
      </c>
      <c r="B3400" s="390" t="n"/>
      <c r="C3400" s="390" t="inlineStr">
        <is>
          <t>Báo cáo tài chính quý, soát xét bán niên, kiểm toán năm - Chi nhánh công ty chứng khoán nước ngoài tại Việt Nam &gt;&gt; Phần lưu chuyển tiền tệ hoạt động môi giới, ủy thác của khách hàng_06612</t>
        </is>
      </c>
      <c r="D3400" s="390" t="inlineStr">
        <is>
          <t xml:space="preserve">7. Nhận tiền gửi để thanh toán giao dịch chứng khoán của khách hàng </t>
        </is>
      </c>
      <c r="E3400" s="390" t="n">
        <v>7</v>
      </c>
      <c r="F3400" s="390" t="inlineStr">
        <is>
          <t>Data Explorer</t>
        </is>
      </c>
      <c r="G3400" s="390" t="inlineStr">
        <is>
          <t>Chỉ tiêu cơ sở</t>
        </is>
      </c>
      <c r="H3400" s="390" t="inlineStr">
        <is>
          <t>Dễ</t>
        </is>
      </c>
      <c r="I3400" s="390" t="inlineStr">
        <is>
          <t>Ngày, CTCK</t>
        </is>
      </c>
      <c r="J3400" s="401" t="inlineStr">
        <is>
          <t>SCMS</t>
        </is>
      </c>
      <c r="K3400" s="401" t="n"/>
      <c r="L3400" s="401" t="inlineStr">
        <is>
          <t>X</t>
        </is>
      </c>
      <c r="M3400" s="401" t="n"/>
      <c r="N3400" s="401" t="inlineStr">
        <is>
          <t>Done</t>
        </is>
      </c>
      <c r="O3400" s="401" t="n"/>
      <c r="P3400" s="401" t="n"/>
      <c r="S3400" s="401" t="n"/>
      <c r="U3400" s="401" t="n"/>
      <c r="V3400" s="22" t="n"/>
      <c r="W3400" s="22" t="n"/>
      <c r="X3400" s="22" t="n"/>
      <c r="Y3400" s="395" t="n"/>
      <c r="Z3400" s="22" t="n"/>
      <c r="AA3400" s="22" t="n"/>
      <c r="AB3400" s="22" t="n"/>
      <c r="AC3400" s="22" t="n"/>
      <c r="AD3400" s="22" t="n"/>
      <c r="AE3400" s="22" t="n"/>
    </row>
    <row r="3401" ht="126" customHeight="1" s="380">
      <c r="A3401" s="144" t="n">
        <v>127</v>
      </c>
      <c r="B3401" s="390" t="n"/>
      <c r="C3401" s="390" t="inlineStr">
        <is>
          <t>Báo cáo tài chính quý, soát xét bán niên, kiểm toán năm - Chi nhánh công ty chứng khoán nước ngoài tại Việt Nam &gt;&gt; Phần lưu chuyển tiền tệ hoạt động môi giới, ủy thác của khách hàng_06612</t>
        </is>
      </c>
      <c r="D3401" s="390" t="inlineStr">
        <is>
          <t>8. Nhận tiền gửi của Nhà đầu tư cho hoạt động ủy thác đầu tư của khách hàng</t>
        </is>
      </c>
      <c r="E3401" s="390" t="n">
        <v>8</v>
      </c>
      <c r="F3401" s="390" t="inlineStr">
        <is>
          <t>Data Explorer</t>
        </is>
      </c>
      <c r="G3401" s="390" t="inlineStr">
        <is>
          <t>Chỉ tiêu cơ sở</t>
        </is>
      </c>
      <c r="H3401" s="390" t="inlineStr">
        <is>
          <t>Dễ</t>
        </is>
      </c>
      <c r="I3401" s="390" t="inlineStr">
        <is>
          <t>Ngày, CTCK</t>
        </is>
      </c>
      <c r="J3401" s="401" t="inlineStr">
        <is>
          <t>SCMS</t>
        </is>
      </c>
      <c r="K3401" s="401" t="n"/>
      <c r="L3401" s="401" t="inlineStr">
        <is>
          <t>X</t>
        </is>
      </c>
      <c r="M3401" s="401" t="n"/>
      <c r="N3401" s="401" t="inlineStr">
        <is>
          <t>Done</t>
        </is>
      </c>
      <c r="O3401" s="401" t="n"/>
      <c r="P3401" s="401" t="n"/>
      <c r="S3401" s="401" t="n"/>
      <c r="U3401" s="401" t="n"/>
      <c r="V3401" s="22" t="n"/>
      <c r="W3401" s="22" t="n"/>
      <c r="X3401" s="22" t="n"/>
      <c r="Y3401" s="395" t="n"/>
      <c r="Z3401" s="22" t="n"/>
      <c r="AA3401" s="22" t="n"/>
      <c r="AB3401" s="22" t="n"/>
      <c r="AC3401" s="22" t="n"/>
      <c r="AD3401" s="22" t="n"/>
      <c r="AE3401" s="22" t="n"/>
    </row>
    <row r="3402" ht="126" customHeight="1" s="380">
      <c r="A3402" s="144" t="n">
        <v>127</v>
      </c>
      <c r="B3402" s="390" t="n"/>
      <c r="C3402" s="390" t="inlineStr">
        <is>
          <t>Báo cáo tài chính quý, soát xét bán niên, kiểm toán năm - Chi nhánh công ty chứng khoán nước ngoài tại Việt Nam &gt;&gt; Phần lưu chuyển tiền tệ hoạt động môi giới, ủy thác của khách hàng_06612</t>
        </is>
      </c>
      <c r="D3402" s="390" t="inlineStr">
        <is>
          <t>9. Chi trả phí lưu ký chứng khoán của khách hàng</t>
        </is>
      </c>
      <c r="E3402" s="390" t="n">
        <v>9</v>
      </c>
      <c r="F3402" s="390" t="inlineStr">
        <is>
          <t>Data Explorer</t>
        </is>
      </c>
      <c r="G3402" s="390" t="inlineStr">
        <is>
          <t>Chỉ tiêu cơ sở</t>
        </is>
      </c>
      <c r="H3402" s="390" t="inlineStr">
        <is>
          <t>Dễ</t>
        </is>
      </c>
      <c r="I3402" s="390" t="inlineStr">
        <is>
          <t>Ngày, CTCK</t>
        </is>
      </c>
      <c r="J3402" s="401" t="inlineStr">
        <is>
          <t>SCMS</t>
        </is>
      </c>
      <c r="K3402" s="401" t="n"/>
      <c r="L3402" s="401" t="inlineStr">
        <is>
          <t>X</t>
        </is>
      </c>
      <c r="M3402" s="401" t="n"/>
      <c r="N3402" s="401" t="inlineStr">
        <is>
          <t>Done</t>
        </is>
      </c>
      <c r="O3402" s="401" t="n"/>
      <c r="P3402" s="401" t="n"/>
      <c r="S3402" s="401" t="n"/>
      <c r="U3402" s="401" t="n"/>
      <c r="V3402" s="22" t="n"/>
      <c r="W3402" s="22" t="n"/>
      <c r="X3402" s="22" t="n"/>
      <c r="Y3402" s="395" t="n"/>
      <c r="Z3402" s="22" t="n"/>
      <c r="AA3402" s="22" t="n"/>
      <c r="AB3402" s="22" t="n"/>
      <c r="AC3402" s="22" t="n"/>
      <c r="AD3402" s="22" t="n"/>
      <c r="AE3402" s="22" t="n"/>
    </row>
    <row r="3403" ht="126" customHeight="1" s="380">
      <c r="A3403" s="144" t="n">
        <v>127</v>
      </c>
      <c r="B3403" s="390" t="n"/>
      <c r="C3403" s="390" t="inlineStr">
        <is>
          <t>Báo cáo tài chính quý, soát xét bán niên, kiểm toán năm - Chi nhánh công ty chứng khoán nước ngoài tại Việt Nam &gt;&gt; Phần lưu chuyển tiền tệ hoạt động môi giới, ủy thác của khách hàng_06612</t>
        </is>
      </c>
      <c r="D3403" s="390" t="inlineStr">
        <is>
          <t>10. Thu lỗi giao dịch chứng khoán</t>
        </is>
      </c>
      <c r="E3403" s="390" t="n">
        <v>10</v>
      </c>
      <c r="F3403" s="390" t="inlineStr">
        <is>
          <t>Data Explorer</t>
        </is>
      </c>
      <c r="G3403" s="390" t="inlineStr">
        <is>
          <t>Chỉ tiêu cơ sở</t>
        </is>
      </c>
      <c r="H3403" s="390" t="inlineStr">
        <is>
          <t>Dễ</t>
        </is>
      </c>
      <c r="I3403" s="390" t="inlineStr">
        <is>
          <t>Ngày, CTCK</t>
        </is>
      </c>
      <c r="J3403" s="401" t="inlineStr">
        <is>
          <t>SCMS</t>
        </is>
      </c>
      <c r="K3403" s="401" t="n"/>
      <c r="L3403" s="401" t="inlineStr">
        <is>
          <t>X</t>
        </is>
      </c>
      <c r="M3403" s="401" t="n"/>
      <c r="N3403" s="401" t="inlineStr">
        <is>
          <t>Done</t>
        </is>
      </c>
      <c r="O3403" s="401" t="n"/>
      <c r="P3403" s="401" t="n"/>
      <c r="S3403" s="401" t="n"/>
      <c r="U3403" s="401" t="n"/>
      <c r="V3403" s="22" t="n"/>
      <c r="W3403" s="22" t="n"/>
      <c r="X3403" s="22" t="n"/>
      <c r="Y3403" s="395" t="n"/>
      <c r="Z3403" s="22" t="n"/>
      <c r="AA3403" s="22" t="n"/>
      <c r="AB3403" s="22" t="n"/>
      <c r="AC3403" s="22" t="n"/>
      <c r="AD3403" s="22" t="n"/>
      <c r="AE3403" s="22" t="n"/>
    </row>
    <row r="3404" ht="126" customHeight="1" s="380">
      <c r="A3404" s="144" t="n">
        <v>127</v>
      </c>
      <c r="B3404" s="390" t="n"/>
      <c r="C3404" s="390" t="inlineStr">
        <is>
          <t>Báo cáo tài chính quý, soát xét bán niên, kiểm toán năm - Chi nhánh công ty chứng khoán nước ngoài tại Việt Nam &gt;&gt; Phần lưu chuyển tiền tệ hoạt động môi giới, ủy thác của khách hàng_06612</t>
        </is>
      </c>
      <c r="D3404" s="390" t="inlineStr">
        <is>
          <t>11. Chi lỗi giao dịch chứng khoán</t>
        </is>
      </c>
      <c r="E3404" s="390" t="n">
        <v>11</v>
      </c>
      <c r="F3404" s="390" t="inlineStr">
        <is>
          <t>Data Explorer</t>
        </is>
      </c>
      <c r="G3404" s="390" t="inlineStr">
        <is>
          <t>Chỉ tiêu cơ sở</t>
        </is>
      </c>
      <c r="H3404" s="390" t="inlineStr">
        <is>
          <t>Dễ</t>
        </is>
      </c>
      <c r="I3404" s="390" t="inlineStr">
        <is>
          <t>Ngày, CTCK</t>
        </is>
      </c>
      <c r="J3404" s="401" t="inlineStr">
        <is>
          <t>SCMS</t>
        </is>
      </c>
      <c r="K3404" s="401" t="n"/>
      <c r="L3404" s="401" t="inlineStr">
        <is>
          <t>X</t>
        </is>
      </c>
      <c r="M3404" s="401" t="n"/>
      <c r="N3404" s="401" t="inlineStr">
        <is>
          <t>Done</t>
        </is>
      </c>
      <c r="O3404" s="401" t="n"/>
      <c r="P3404" s="401" t="n"/>
      <c r="S3404" s="401" t="n"/>
      <c r="U3404" s="401" t="n"/>
      <c r="V3404" s="22" t="n"/>
      <c r="W3404" s="22" t="n"/>
      <c r="X3404" s="22" t="n"/>
      <c r="Y3404" s="395" t="n"/>
      <c r="Z3404" s="22" t="n"/>
      <c r="AA3404" s="22" t="n"/>
      <c r="AB3404" s="22" t="n"/>
      <c r="AC3404" s="22" t="n"/>
      <c r="AD3404" s="22" t="n"/>
      <c r="AE3404" s="22" t="n"/>
    </row>
    <row r="3405" ht="126" customHeight="1" s="380">
      <c r="A3405" s="144" t="n">
        <v>127</v>
      </c>
      <c r="B3405" s="390" t="n"/>
      <c r="C3405" s="390" t="inlineStr">
        <is>
          <t>Báo cáo tài chính quý, soát xét bán niên, kiểm toán năm - Chi nhánh công ty chứng khoán nước ngoài tại Việt Nam &gt;&gt; Phần lưu chuyển tiền tệ hoạt động môi giới, ủy thác của khách hàng_06612</t>
        </is>
      </c>
      <c r="D3405" s="390" t="inlineStr">
        <is>
          <t>12. Tiền thu của Tổ chức phát hành chứng khoán</t>
        </is>
      </c>
      <c r="E3405" s="390" t="n">
        <v>12</v>
      </c>
      <c r="F3405" s="390" t="inlineStr">
        <is>
          <t>Data Explorer</t>
        </is>
      </c>
      <c r="G3405" s="390" t="inlineStr">
        <is>
          <t>Chỉ tiêu cơ sở</t>
        </is>
      </c>
      <c r="H3405" s="390" t="inlineStr">
        <is>
          <t>Dễ</t>
        </is>
      </c>
      <c r="I3405" s="390" t="inlineStr">
        <is>
          <t>Ngày, CTCK</t>
        </is>
      </c>
      <c r="J3405" s="401" t="inlineStr">
        <is>
          <t>SCMS</t>
        </is>
      </c>
      <c r="K3405" s="401" t="n"/>
      <c r="L3405" s="401" t="inlineStr">
        <is>
          <t>X</t>
        </is>
      </c>
      <c r="M3405" s="401" t="n"/>
      <c r="N3405" s="401" t="inlineStr">
        <is>
          <t>Done</t>
        </is>
      </c>
      <c r="O3405" s="401" t="n"/>
      <c r="P3405" s="401" t="n"/>
      <c r="S3405" s="401" t="n"/>
      <c r="U3405" s="401" t="n"/>
      <c r="V3405" s="22" t="n"/>
      <c r="W3405" s="22" t="n"/>
      <c r="X3405" s="22" t="n"/>
      <c r="Y3405" s="395" t="n"/>
      <c r="Z3405" s="22" t="n"/>
      <c r="AA3405" s="22" t="n"/>
      <c r="AB3405" s="22" t="n"/>
      <c r="AC3405" s="22" t="n"/>
      <c r="AD3405" s="22" t="n"/>
      <c r="AE3405" s="22" t="n"/>
    </row>
    <row r="3406" ht="126" customHeight="1" s="380">
      <c r="A3406" s="144" t="n">
        <v>127</v>
      </c>
      <c r="B3406" s="390" t="n"/>
      <c r="C3406" s="390" t="inlineStr">
        <is>
          <t>Báo cáo tài chính quý, soát xét bán niên, kiểm toán năm - Chi nhánh công ty chứng khoán nước ngoài tại Việt Nam &gt;&gt; Phần lưu chuyển tiền tệ hoạt động môi giới, ủy thác của khách hàng_06612</t>
        </is>
      </c>
      <c r="D3406" s="390" t="inlineStr">
        <is>
          <t>13. Tiền chi trả Tổ chức phát hành chứng khoán</t>
        </is>
      </c>
      <c r="E3406" s="390" t="n">
        <v>13</v>
      </c>
      <c r="F3406" s="390" t="inlineStr">
        <is>
          <t>Data Explorer</t>
        </is>
      </c>
      <c r="G3406" s="390" t="inlineStr">
        <is>
          <t>Chỉ tiêu cơ sở</t>
        </is>
      </c>
      <c r="H3406" s="390" t="inlineStr">
        <is>
          <t>Dễ</t>
        </is>
      </c>
      <c r="I3406" s="390" t="inlineStr">
        <is>
          <t>Ngày, CTCK</t>
        </is>
      </c>
      <c r="J3406" s="401" t="inlineStr">
        <is>
          <t>SCMS</t>
        </is>
      </c>
      <c r="K3406" s="401" t="n"/>
      <c r="L3406" s="401" t="inlineStr">
        <is>
          <t>X</t>
        </is>
      </c>
      <c r="M3406" s="401" t="n"/>
      <c r="N3406" s="401" t="inlineStr">
        <is>
          <t>Done</t>
        </is>
      </c>
      <c r="O3406" s="401" t="n"/>
      <c r="P3406" s="401" t="n"/>
      <c r="S3406" s="401" t="n"/>
      <c r="U3406" s="401" t="n"/>
      <c r="V3406" s="22" t="n"/>
      <c r="W3406" s="22" t="n"/>
      <c r="X3406" s="22" t="n"/>
      <c r="Y3406" s="395" t="n"/>
      <c r="Z3406" s="22" t="n"/>
      <c r="AA3406" s="22" t="n"/>
      <c r="AB3406" s="22" t="n"/>
      <c r="AC3406" s="22" t="n"/>
      <c r="AD3406" s="22" t="n"/>
      <c r="AE3406" s="22" t="n"/>
    </row>
    <row r="3407" ht="126" customHeight="1" s="380">
      <c r="A3407" s="144" t="n">
        <v>127</v>
      </c>
      <c r="B3407" s="390" t="n"/>
      <c r="C3407" s="390" t="inlineStr">
        <is>
          <t>Báo cáo tài chính quý, soát xét bán niên, kiểm toán năm - Chi nhánh công ty chứng khoán nước ngoài tại Việt Nam &gt;&gt; Phần lưu chuyển tiền tệ hoạt động môi giới, ủy thác của khách hàng_06612</t>
        </is>
      </c>
      <c r="D3407" s="390" t="inlineStr">
        <is>
          <t>Tăng/giảm tiền thuần trong kỳ</t>
        </is>
      </c>
      <c r="E3407" s="390" t="n">
        <v>20</v>
      </c>
      <c r="F3407" s="390" t="inlineStr">
        <is>
          <t>Data Explorer</t>
        </is>
      </c>
      <c r="G3407" s="390" t="inlineStr">
        <is>
          <t>Chỉ tiêu cơ sở</t>
        </is>
      </c>
      <c r="H3407" s="390" t="inlineStr">
        <is>
          <t>Dễ</t>
        </is>
      </c>
      <c r="I3407" s="390" t="inlineStr">
        <is>
          <t>Ngày, CTCK</t>
        </is>
      </c>
      <c r="J3407" s="401" t="inlineStr">
        <is>
          <t>SCMS</t>
        </is>
      </c>
      <c r="K3407" s="401" t="n"/>
      <c r="L3407" s="401" t="inlineStr">
        <is>
          <t>X</t>
        </is>
      </c>
      <c r="M3407" s="401" t="n"/>
      <c r="N3407" s="401" t="inlineStr">
        <is>
          <t>Done</t>
        </is>
      </c>
      <c r="O3407" s="401" t="n"/>
      <c r="P3407" s="401" t="n"/>
      <c r="S3407" s="401" t="n"/>
      <c r="U3407" s="401" t="n"/>
      <c r="V3407" s="22" t="n"/>
      <c r="W3407" s="22" t="n"/>
      <c r="X3407" s="22" t="n"/>
      <c r="Y3407" s="395" t="n"/>
      <c r="Z3407" s="22" t="n"/>
      <c r="AA3407" s="22" t="n"/>
      <c r="AB3407" s="22" t="n"/>
      <c r="AC3407" s="22" t="n"/>
      <c r="AD3407" s="22" t="n"/>
      <c r="AE3407" s="22" t="n"/>
    </row>
    <row r="3408" ht="126" customHeight="1" s="380">
      <c r="A3408" s="144" t="n">
        <v>127</v>
      </c>
      <c r="B3408" s="390" t="n"/>
      <c r="C3408" s="390" t="inlineStr">
        <is>
          <t>Báo cáo tài chính quý, soát xét bán niên, kiểm toán năm - Chi nhánh công ty chứng khoán nước ngoài tại Việt Nam &gt;&gt; Phần lưu chuyển tiền tệ hoạt động môi giới, ủy thác của khách hàng_06612</t>
        </is>
      </c>
      <c r="D3408" s="132" t="inlineStr">
        <is>
          <t>II. Tiền và các khoản tương đương tiền đầu kỳ của khách hàng</t>
        </is>
      </c>
      <c r="E3408" s="132" t="n">
        <v>30</v>
      </c>
      <c r="F3408" s="390" t="inlineStr">
        <is>
          <t>Data Explorer</t>
        </is>
      </c>
      <c r="G3408" s="390" t="inlineStr">
        <is>
          <t>Chỉ tiêu cơ sở</t>
        </is>
      </c>
      <c r="H3408" s="390" t="inlineStr">
        <is>
          <t>Dễ</t>
        </is>
      </c>
      <c r="I3408" s="390" t="inlineStr">
        <is>
          <t>Ngày, CTCK</t>
        </is>
      </c>
      <c r="J3408" s="401" t="inlineStr">
        <is>
          <t>SCMS</t>
        </is>
      </c>
      <c r="K3408" s="401" t="n"/>
      <c r="L3408" s="401" t="inlineStr">
        <is>
          <t>X</t>
        </is>
      </c>
      <c r="M3408" s="401" t="n"/>
      <c r="N3408" s="401" t="inlineStr">
        <is>
          <t>Done</t>
        </is>
      </c>
      <c r="O3408" s="401" t="n"/>
      <c r="P3408" s="401" t="n"/>
      <c r="S3408" s="401" t="n"/>
      <c r="U3408" s="401" t="n"/>
      <c r="V3408" s="22" t="n"/>
      <c r="W3408" s="22" t="n"/>
      <c r="X3408" s="22" t="n"/>
      <c r="Y3408" s="395" t="n"/>
      <c r="Z3408" s="22" t="n"/>
      <c r="AA3408" s="22" t="n"/>
      <c r="AB3408" s="22" t="n"/>
      <c r="AC3408" s="22" t="n"/>
      <c r="AD3408" s="22" t="n"/>
      <c r="AE3408" s="22" t="n"/>
    </row>
    <row r="3409" ht="126" customHeight="1" s="380">
      <c r="A3409" s="144" t="n">
        <v>127</v>
      </c>
      <c r="B3409" s="390" t="n"/>
      <c r="C3409" s="390" t="inlineStr">
        <is>
          <t>Báo cáo tài chính quý, soát xét bán niên, kiểm toán năm - Chi nhánh công ty chứng khoán nước ngoài tại Việt Nam &gt;&gt; Phần lưu chuyển tiền tệ hoạt động môi giới, ủy thác của khách hàng_06612</t>
        </is>
      </c>
      <c r="D3409" s="390" t="inlineStr">
        <is>
          <t>Tiền gửi ngân hàng đầu kỳ:</t>
        </is>
      </c>
      <c r="E3409" s="390" t="n">
        <v>31</v>
      </c>
      <c r="F3409" s="390" t="inlineStr">
        <is>
          <t>Data Explorer</t>
        </is>
      </c>
      <c r="G3409" s="390" t="inlineStr">
        <is>
          <t>Chỉ tiêu cơ sở</t>
        </is>
      </c>
      <c r="H3409" s="390" t="inlineStr">
        <is>
          <t>Dễ</t>
        </is>
      </c>
      <c r="I3409" s="390" t="inlineStr">
        <is>
          <t>Ngày, CTCK</t>
        </is>
      </c>
      <c r="J3409" s="401" t="inlineStr">
        <is>
          <t>SCMS</t>
        </is>
      </c>
      <c r="K3409" s="401" t="n"/>
      <c r="L3409" s="401" t="inlineStr">
        <is>
          <t>X</t>
        </is>
      </c>
      <c r="M3409" s="401" t="n"/>
      <c r="N3409" s="401" t="inlineStr">
        <is>
          <t>Done</t>
        </is>
      </c>
      <c r="O3409" s="401" t="n"/>
      <c r="P3409" s="401" t="n"/>
      <c r="S3409" s="401" t="n"/>
      <c r="U3409" s="401" t="n"/>
      <c r="V3409" s="22" t="n"/>
      <c r="W3409" s="22" t="n"/>
      <c r="X3409" s="22" t="n"/>
      <c r="Y3409" s="395" t="n"/>
      <c r="Z3409" s="22" t="n"/>
      <c r="AA3409" s="22" t="n"/>
      <c r="AB3409" s="22" t="n"/>
      <c r="AC3409" s="22" t="n"/>
      <c r="AD3409" s="22" t="n"/>
      <c r="AE3409" s="22" t="n"/>
    </row>
    <row r="3410" ht="126" customHeight="1" s="380">
      <c r="A3410" s="144" t="n">
        <v>127</v>
      </c>
      <c r="B3410" s="390" t="n"/>
      <c r="C3410" s="390" t="inlineStr">
        <is>
          <t>Báo cáo tài chính quý, soát xét bán niên, kiểm toán năm - Chi nhánh công ty chứng khoán nước ngoài tại Việt Nam &gt;&gt; Phần lưu chuyển tiền tệ hoạt động môi giới, ủy thác của khách hàng_06612</t>
        </is>
      </c>
      <c r="D3410" s="390" t="inlineStr">
        <is>
          <t xml:space="preserve">-Tiền gửi của Nhà đầu tư về giao dịch chứng khoán theo phương thức CTCK quản lý </t>
        </is>
      </c>
      <c r="E3410" s="390" t="n">
        <v>32</v>
      </c>
      <c r="F3410" s="390" t="inlineStr">
        <is>
          <t>Data Explorer</t>
        </is>
      </c>
      <c r="G3410" s="390" t="inlineStr">
        <is>
          <t>Chỉ tiêu cơ sở</t>
        </is>
      </c>
      <c r="H3410" s="390" t="inlineStr">
        <is>
          <t>Dễ</t>
        </is>
      </c>
      <c r="I3410" s="390" t="inlineStr">
        <is>
          <t>Ngày, CTCK</t>
        </is>
      </c>
      <c r="J3410" s="401" t="inlineStr">
        <is>
          <t>SCMS</t>
        </is>
      </c>
      <c r="K3410" s="401" t="n"/>
      <c r="L3410" s="401" t="inlineStr">
        <is>
          <t>X</t>
        </is>
      </c>
      <c r="M3410" s="401" t="n"/>
      <c r="N3410" s="401" t="inlineStr">
        <is>
          <t>Done</t>
        </is>
      </c>
      <c r="O3410" s="401" t="n"/>
      <c r="P3410" s="401" t="n"/>
      <c r="S3410" s="401" t="n"/>
      <c r="U3410" s="401" t="n"/>
      <c r="V3410" s="22" t="n"/>
      <c r="W3410" s="22" t="n"/>
      <c r="X3410" s="22" t="n"/>
      <c r="Y3410" s="395" t="n"/>
      <c r="Z3410" s="22" t="n"/>
      <c r="AA3410" s="22" t="n"/>
      <c r="AB3410" s="22" t="n"/>
      <c r="AC3410" s="22" t="n"/>
      <c r="AD3410" s="22" t="n"/>
      <c r="AE3410" s="22" t="n"/>
    </row>
    <row r="3411" ht="126" customHeight="1" s="380">
      <c r="A3411" s="144" t="n">
        <v>127</v>
      </c>
      <c r="B3411" s="390" t="n"/>
      <c r="C3411" s="390" t="inlineStr">
        <is>
          <t>Báo cáo tài chính quý, soát xét bán niên, kiểm toán năm - Chi nhánh công ty chứng khoán nước ngoài tại Việt Nam &gt;&gt; Phần lưu chuyển tiền tệ hoạt động môi giới, ủy thác của khách hàng_06612</t>
        </is>
      </c>
      <c r="D3411" s="390" t="inlineStr">
        <is>
          <t>Trong đó có kỳ hạn</t>
        </is>
      </c>
      <c r="E3411" s="390" t="n">
        <v>32</v>
      </c>
      <c r="F3411" s="390" t="inlineStr">
        <is>
          <t>Data Explorer</t>
        </is>
      </c>
      <c r="G3411" s="390" t="inlineStr">
        <is>
          <t>Chỉ tiêu cơ sở</t>
        </is>
      </c>
      <c r="H3411" s="390" t="inlineStr">
        <is>
          <t>Dễ</t>
        </is>
      </c>
      <c r="I3411" s="390" t="inlineStr">
        <is>
          <t>Ngày, CTCK</t>
        </is>
      </c>
      <c r="J3411" s="401" t="inlineStr">
        <is>
          <t>SCMS</t>
        </is>
      </c>
      <c r="K3411" s="401" t="n"/>
      <c r="L3411" s="401" t="inlineStr">
        <is>
          <t>X</t>
        </is>
      </c>
      <c r="M3411" s="401" t="n"/>
      <c r="N3411" s="401" t="inlineStr">
        <is>
          <t>Done</t>
        </is>
      </c>
      <c r="O3411" s="401" t="n"/>
      <c r="P3411" s="401" t="n"/>
      <c r="S3411" s="401" t="n"/>
      <c r="U3411" s="401" t="n"/>
      <c r="V3411" s="22" t="n"/>
      <c r="W3411" s="22" t="n"/>
      <c r="X3411" s="22" t="n"/>
      <c r="Y3411" s="395" t="n"/>
      <c r="Z3411" s="22" t="n"/>
      <c r="AA3411" s="22" t="n"/>
      <c r="AB3411" s="22" t="n"/>
      <c r="AC3411" s="22" t="n"/>
      <c r="AD3411" s="22" t="n"/>
      <c r="AE3411" s="22" t="n"/>
    </row>
    <row r="3412" ht="126" customHeight="1" s="380">
      <c r="A3412" s="144" t="n">
        <v>127</v>
      </c>
      <c r="B3412" s="390" t="n"/>
      <c r="C3412" s="390" t="inlineStr">
        <is>
          <t>Báo cáo tài chính quý, soát xét bán niên, kiểm toán năm - Chi nhánh công ty chứng khoán nước ngoài tại Việt Nam &gt;&gt; Phần lưu chuyển tiền tệ hoạt động môi giới, ủy thác của khách hàng_06612</t>
        </is>
      </c>
      <c r="D3412" s="390" t="inlineStr">
        <is>
          <t>- Tiền gửi bù trừ và thanh toán giao dịch chứng khoán</t>
        </is>
      </c>
      <c r="E3412" s="390" t="n">
        <v>33</v>
      </c>
      <c r="F3412" s="390" t="inlineStr">
        <is>
          <t>Data Explorer</t>
        </is>
      </c>
      <c r="G3412" s="390" t="inlineStr">
        <is>
          <t>Chỉ tiêu cơ sở</t>
        </is>
      </c>
      <c r="H3412" s="390" t="inlineStr">
        <is>
          <t>Dễ</t>
        </is>
      </c>
      <c r="I3412" s="390" t="inlineStr">
        <is>
          <t>Ngày, CTCK</t>
        </is>
      </c>
      <c r="J3412" s="401" t="inlineStr">
        <is>
          <t>SCMS</t>
        </is>
      </c>
      <c r="K3412" s="401" t="n"/>
      <c r="L3412" s="401" t="inlineStr">
        <is>
          <t>X</t>
        </is>
      </c>
      <c r="M3412" s="401" t="n"/>
      <c r="N3412" s="401" t="inlineStr">
        <is>
          <t>Done</t>
        </is>
      </c>
      <c r="O3412" s="401" t="n"/>
      <c r="P3412" s="401" t="n"/>
      <c r="S3412" s="401" t="n"/>
      <c r="U3412" s="401" t="n"/>
      <c r="V3412" s="22" t="n"/>
      <c r="W3412" s="22" t="n"/>
      <c r="X3412" s="22" t="n"/>
      <c r="Y3412" s="395" t="n"/>
      <c r="Z3412" s="22" t="n"/>
      <c r="AA3412" s="22" t="n"/>
      <c r="AB3412" s="22" t="n"/>
      <c r="AC3412" s="22" t="n"/>
      <c r="AD3412" s="22" t="n"/>
      <c r="AE3412" s="22" t="n"/>
    </row>
    <row r="3413" ht="126" customHeight="1" s="380">
      <c r="A3413" s="144" t="n">
        <v>127</v>
      </c>
      <c r="B3413" s="390" t="n"/>
      <c r="C3413" s="390" t="inlineStr">
        <is>
          <t>Báo cáo tài chính quý, soát xét bán niên, kiểm toán năm - Chi nhánh công ty chứng khoán nước ngoài tại Việt Nam &gt;&gt; Phần lưu chuyển tiền tệ hoạt động môi giới, ủy thác của khách hàng_06612</t>
        </is>
      </c>
      <c r="D3413" s="390" t="inlineStr">
        <is>
          <t xml:space="preserve">- Tiền gửi tổng hợp giao dịch chứng khoán cho khách hàng </t>
        </is>
      </c>
      <c r="E3413" s="390" t="n">
        <v>34</v>
      </c>
      <c r="F3413" s="390" t="inlineStr">
        <is>
          <t>Data Explorer</t>
        </is>
      </c>
      <c r="G3413" s="390" t="inlineStr">
        <is>
          <t>Chỉ tiêu cơ sở</t>
        </is>
      </c>
      <c r="H3413" s="390" t="inlineStr">
        <is>
          <t>Dễ</t>
        </is>
      </c>
      <c r="I3413" s="390" t="inlineStr">
        <is>
          <t>Ngày, CTCK</t>
        </is>
      </c>
      <c r="J3413" s="401" t="inlineStr">
        <is>
          <t>SCMS</t>
        </is>
      </c>
      <c r="K3413" s="401" t="n"/>
      <c r="L3413" s="401" t="inlineStr">
        <is>
          <t>X</t>
        </is>
      </c>
      <c r="M3413" s="401" t="n"/>
      <c r="N3413" s="401" t="inlineStr">
        <is>
          <t>Done</t>
        </is>
      </c>
      <c r="O3413" s="401" t="n"/>
      <c r="P3413" s="401" t="n"/>
      <c r="S3413" s="401" t="n"/>
      <c r="U3413" s="401" t="n"/>
      <c r="V3413" s="22" t="n"/>
      <c r="W3413" s="22" t="n"/>
      <c r="X3413" s="22" t="n"/>
      <c r="Y3413" s="395" t="n"/>
      <c r="Z3413" s="22" t="n"/>
      <c r="AA3413" s="22" t="n"/>
      <c r="AB3413" s="22" t="n"/>
      <c r="AC3413" s="22" t="n"/>
      <c r="AD3413" s="22" t="n"/>
      <c r="AE3413" s="22" t="n"/>
    </row>
    <row r="3414" ht="126" customHeight="1" s="380">
      <c r="A3414" s="144" t="n">
        <v>127</v>
      </c>
      <c r="B3414" s="390" t="n"/>
      <c r="C3414" s="390" t="inlineStr">
        <is>
          <t>Báo cáo tài chính quý, soát xét bán niên, kiểm toán năm - Chi nhánh công ty chứng khoán nước ngoài tại Việt Nam &gt;&gt; Phần lưu chuyển tiền tệ hoạt động môi giới, ủy thác của khách hàng_06612</t>
        </is>
      </c>
      <c r="D3414" s="390" t="inlineStr">
        <is>
          <t>-Tiền gửi của tổ chức phát hành</t>
        </is>
      </c>
      <c r="E3414" s="390" t="n">
        <v>35</v>
      </c>
      <c r="F3414" s="390" t="inlineStr">
        <is>
          <t>Data Explorer</t>
        </is>
      </c>
      <c r="G3414" s="390" t="inlineStr">
        <is>
          <t>Chỉ tiêu cơ sở</t>
        </is>
      </c>
      <c r="H3414" s="390" t="inlineStr">
        <is>
          <t>Dễ</t>
        </is>
      </c>
      <c r="I3414" s="390" t="inlineStr">
        <is>
          <t>Ngày, CTCK</t>
        </is>
      </c>
      <c r="J3414" s="401" t="inlineStr">
        <is>
          <t>SCMS</t>
        </is>
      </c>
      <c r="K3414" s="401" t="n"/>
      <c r="L3414" s="401" t="inlineStr">
        <is>
          <t>X</t>
        </is>
      </c>
      <c r="M3414" s="401" t="n"/>
      <c r="N3414" s="401" t="inlineStr">
        <is>
          <t>Done</t>
        </is>
      </c>
      <c r="O3414" s="401" t="n"/>
      <c r="P3414" s="401" t="n"/>
      <c r="S3414" s="401" t="n"/>
      <c r="U3414" s="401" t="n"/>
      <c r="V3414" s="22" t="n"/>
      <c r="W3414" s="22" t="n"/>
      <c r="X3414" s="22" t="n"/>
      <c r="Y3414" s="395" t="n"/>
      <c r="Z3414" s="22" t="n"/>
      <c r="AA3414" s="22" t="n"/>
      <c r="AB3414" s="22" t="n"/>
      <c r="AC3414" s="22" t="n"/>
      <c r="AD3414" s="22" t="n"/>
      <c r="AE3414" s="22" t="n"/>
    </row>
    <row r="3415" ht="126" customHeight="1" s="380">
      <c r="A3415" s="144" t="n">
        <v>127</v>
      </c>
      <c r="B3415" s="390" t="n"/>
      <c r="C3415" s="390" t="inlineStr">
        <is>
          <t>Báo cáo tài chính quý, soát xét bán niên, kiểm toán năm - Chi nhánh công ty chứng khoán nước ngoài tại Việt Nam &gt;&gt; Phần lưu chuyển tiền tệ hoạt động môi giới, ủy thác của khách hàng_06612</t>
        </is>
      </c>
      <c r="D3415" s="390" t="inlineStr">
        <is>
          <t>Trong đó có kỳ hạn</t>
        </is>
      </c>
      <c r="E3415" s="390" t="n">
        <v>35</v>
      </c>
      <c r="F3415" s="390" t="inlineStr">
        <is>
          <t>Data Explorer</t>
        </is>
      </c>
      <c r="G3415" s="390" t="inlineStr">
        <is>
          <t>Chỉ tiêu cơ sở</t>
        </is>
      </c>
      <c r="H3415" s="390" t="inlineStr">
        <is>
          <t>Dễ</t>
        </is>
      </c>
      <c r="I3415" s="390" t="inlineStr">
        <is>
          <t>Ngày, CTCK</t>
        </is>
      </c>
      <c r="J3415" s="401" t="inlineStr">
        <is>
          <t>SCMS</t>
        </is>
      </c>
      <c r="K3415" s="401" t="n"/>
      <c r="L3415" s="401" t="inlineStr">
        <is>
          <t>X</t>
        </is>
      </c>
      <c r="M3415" s="401" t="n"/>
      <c r="N3415" s="401" t="inlineStr">
        <is>
          <t>Done</t>
        </is>
      </c>
      <c r="O3415" s="401" t="n"/>
      <c r="P3415" s="401" t="n"/>
      <c r="S3415" s="401" t="n"/>
      <c r="U3415" s="401" t="n"/>
      <c r="V3415" s="22" t="n"/>
      <c r="W3415" s="22" t="n"/>
      <c r="X3415" s="22" t="n"/>
      <c r="Y3415" s="395" t="n"/>
      <c r="Z3415" s="22" t="n"/>
      <c r="AA3415" s="22" t="n"/>
      <c r="AB3415" s="22" t="n"/>
      <c r="AC3415" s="22" t="n"/>
      <c r="AD3415" s="22" t="n"/>
      <c r="AE3415" s="22" t="n"/>
    </row>
    <row r="3416" ht="126" customHeight="1" s="380">
      <c r="A3416" s="144" t="n">
        <v>127</v>
      </c>
      <c r="B3416" s="390" t="n"/>
      <c r="C3416" s="390" t="inlineStr">
        <is>
          <t>Báo cáo tài chính quý, soát xét bán niên, kiểm toán năm - Chi nhánh công ty chứng khoán nước ngoài tại Việt Nam &gt;&gt; Phần lưu chuyển tiền tệ hoạt động môi giới, ủy thác của khách hàng_06612</t>
        </is>
      </c>
      <c r="D3416" s="390" t="inlineStr">
        <is>
          <t>Các khoản tương đương tiền</t>
        </is>
      </c>
      <c r="E3416" s="390" t="n">
        <v>36</v>
      </c>
      <c r="F3416" s="390" t="inlineStr">
        <is>
          <t>Data Explorer</t>
        </is>
      </c>
      <c r="G3416" s="390" t="inlineStr">
        <is>
          <t>Chỉ tiêu cơ sở</t>
        </is>
      </c>
      <c r="H3416" s="390" t="inlineStr">
        <is>
          <t>Dễ</t>
        </is>
      </c>
      <c r="I3416" s="390" t="inlineStr">
        <is>
          <t>Ngày, CTCK</t>
        </is>
      </c>
      <c r="J3416" s="401" t="inlineStr">
        <is>
          <t>SCMS</t>
        </is>
      </c>
      <c r="K3416" s="401" t="n"/>
      <c r="L3416" s="401" t="inlineStr">
        <is>
          <t>X</t>
        </is>
      </c>
      <c r="M3416" s="401" t="n"/>
      <c r="N3416" s="401" t="inlineStr">
        <is>
          <t>Done</t>
        </is>
      </c>
      <c r="O3416" s="401" t="n"/>
      <c r="P3416" s="401" t="n"/>
      <c r="S3416" s="401" t="n"/>
      <c r="U3416" s="401" t="n"/>
      <c r="V3416" s="22" t="n"/>
      <c r="W3416" s="22" t="n"/>
      <c r="X3416" s="22" t="n"/>
      <c r="Y3416" s="395" t="n"/>
      <c r="Z3416" s="22" t="n"/>
      <c r="AA3416" s="22" t="n"/>
      <c r="AB3416" s="22" t="n"/>
      <c r="AC3416" s="22" t="n"/>
      <c r="AD3416" s="22" t="n"/>
      <c r="AE3416" s="22" t="n"/>
    </row>
    <row r="3417" ht="126" customHeight="1" s="380">
      <c r="A3417" s="144" t="n">
        <v>127</v>
      </c>
      <c r="B3417" s="390" t="n"/>
      <c r="C3417" s="390" t="inlineStr">
        <is>
          <t>Báo cáo tài chính quý, soát xét bán niên, kiểm toán năm - Chi nhánh công ty chứng khoán nước ngoài tại Việt Nam &gt;&gt; Phần lưu chuyển tiền tệ hoạt động môi giới, ủy thác của khách hàng_06612</t>
        </is>
      </c>
      <c r="D3417" s="390" t="inlineStr">
        <is>
          <t>Ảnh hưởng của thay đổi tỷ giá hối đoái quy đổi ngoại tệ</t>
        </is>
      </c>
      <c r="E3417" s="390" t="n">
        <v>37</v>
      </c>
      <c r="F3417" s="390" t="inlineStr">
        <is>
          <t>Data Explorer</t>
        </is>
      </c>
      <c r="G3417" s="390" t="inlineStr">
        <is>
          <t>Chỉ tiêu cơ sở</t>
        </is>
      </c>
      <c r="H3417" s="390" t="inlineStr">
        <is>
          <t>Dễ</t>
        </is>
      </c>
      <c r="I3417" s="390" t="inlineStr">
        <is>
          <t>Ngày, CTCK</t>
        </is>
      </c>
      <c r="J3417" s="401" t="inlineStr">
        <is>
          <t>SCMS</t>
        </is>
      </c>
      <c r="K3417" s="401" t="n"/>
      <c r="L3417" s="401" t="inlineStr">
        <is>
          <t>X</t>
        </is>
      </c>
      <c r="M3417" s="401" t="n"/>
      <c r="N3417" s="401" t="inlineStr">
        <is>
          <t>Done</t>
        </is>
      </c>
      <c r="O3417" s="401" t="n"/>
      <c r="P3417" s="401" t="n"/>
      <c r="S3417" s="401" t="n"/>
      <c r="U3417" s="401" t="n"/>
      <c r="V3417" s="22" t="n"/>
      <c r="W3417" s="22" t="n"/>
      <c r="X3417" s="22" t="n"/>
      <c r="Y3417" s="395" t="n"/>
      <c r="Z3417" s="22" t="n"/>
      <c r="AA3417" s="22" t="n"/>
      <c r="AB3417" s="22" t="n"/>
      <c r="AC3417" s="22" t="n"/>
      <c r="AD3417" s="22" t="n"/>
      <c r="AE3417" s="22" t="n"/>
    </row>
    <row r="3418" ht="126" customHeight="1" s="380">
      <c r="A3418" s="144" t="n">
        <v>127</v>
      </c>
      <c r="B3418" s="390" t="n"/>
      <c r="C3418" s="390" t="inlineStr">
        <is>
          <t>Báo cáo tài chính quý, soát xét bán niên, kiểm toán năm - Chi nhánh công ty chứng khoán nước ngoài tại Việt Nam &gt;&gt; Phần lưu chuyển tiền tệ hoạt động môi giới, ủy thác của khách hàng_06612</t>
        </is>
      </c>
      <c r="D3418" s="132" t="inlineStr">
        <is>
          <t>III. Tiền và các khoản tương đương tiền cuối kỳ của khách hàng (40 = 20 + 30)</t>
        </is>
      </c>
      <c r="E3418" s="132" t="n">
        <v>40</v>
      </c>
      <c r="F3418" s="390" t="inlineStr">
        <is>
          <t>Data Explorer</t>
        </is>
      </c>
      <c r="G3418" s="390" t="inlineStr">
        <is>
          <t>Chỉ tiêu cơ sở</t>
        </is>
      </c>
      <c r="H3418" s="390" t="inlineStr">
        <is>
          <t>Dễ</t>
        </is>
      </c>
      <c r="I3418" s="390" t="inlineStr">
        <is>
          <t>Ngày, CTCK</t>
        </is>
      </c>
      <c r="J3418" s="401" t="inlineStr">
        <is>
          <t>SCMS</t>
        </is>
      </c>
      <c r="K3418" s="401" t="n"/>
      <c r="L3418" s="401" t="inlineStr">
        <is>
          <t>X</t>
        </is>
      </c>
      <c r="M3418" s="401" t="n"/>
      <c r="N3418" s="401" t="inlineStr">
        <is>
          <t>Done</t>
        </is>
      </c>
      <c r="O3418" s="401" t="n"/>
      <c r="P3418" s="401" t="n"/>
      <c r="S3418" s="401" t="n"/>
      <c r="U3418" s="401" t="n"/>
      <c r="V3418" s="22" t="n"/>
      <c r="W3418" s="22" t="n"/>
      <c r="X3418" s="22" t="n"/>
      <c r="Y3418" s="395" t="n"/>
      <c r="Z3418" s="22" t="n"/>
      <c r="AA3418" s="22" t="n"/>
      <c r="AB3418" s="22" t="n"/>
      <c r="AC3418" s="22" t="n"/>
      <c r="AD3418" s="22" t="n"/>
      <c r="AE3418" s="22" t="n"/>
    </row>
    <row r="3419" ht="126" customHeight="1" s="380">
      <c r="A3419" s="144" t="n">
        <v>127</v>
      </c>
      <c r="B3419" s="390" t="n"/>
      <c r="C3419" s="390" t="inlineStr">
        <is>
          <t>Báo cáo tài chính quý, soát xét bán niên, kiểm toán năm - Chi nhánh công ty chứng khoán nước ngoài tại Việt Nam &gt;&gt; Phần lưu chuyển tiền tệ hoạt động môi giới, ủy thác của khách hàng_06612</t>
        </is>
      </c>
      <c r="D3419" s="390" t="inlineStr">
        <is>
          <t>Tiền gửi ngân hàng cuối kỳ:</t>
        </is>
      </c>
      <c r="E3419" s="390" t="n">
        <v>41</v>
      </c>
      <c r="F3419" s="390" t="inlineStr">
        <is>
          <t>Data Explorer</t>
        </is>
      </c>
      <c r="G3419" s="390" t="inlineStr">
        <is>
          <t>Chỉ tiêu cơ sở</t>
        </is>
      </c>
      <c r="H3419" s="390" t="inlineStr">
        <is>
          <t>Dễ</t>
        </is>
      </c>
      <c r="I3419" s="390" t="inlineStr">
        <is>
          <t>Ngày, CTCK</t>
        </is>
      </c>
      <c r="J3419" s="401" t="inlineStr">
        <is>
          <t>SCMS</t>
        </is>
      </c>
      <c r="K3419" s="401" t="n"/>
      <c r="L3419" s="401" t="inlineStr">
        <is>
          <t>X</t>
        </is>
      </c>
      <c r="M3419" s="401" t="n"/>
      <c r="N3419" s="401" t="inlineStr">
        <is>
          <t>Done</t>
        </is>
      </c>
      <c r="O3419" s="401" t="n"/>
      <c r="P3419" s="401" t="n"/>
      <c r="S3419" s="401" t="n"/>
      <c r="U3419" s="401" t="n"/>
      <c r="V3419" s="22" t="n"/>
      <c r="W3419" s="22" t="n"/>
      <c r="X3419" s="22" t="n"/>
      <c r="Y3419" s="36" t="n"/>
      <c r="Z3419" s="22" t="n"/>
      <c r="AA3419" s="22" t="n"/>
      <c r="AB3419" s="22" t="n"/>
      <c r="AC3419" s="22" t="n"/>
      <c r="AD3419" s="22" t="n"/>
      <c r="AE3419" s="22" t="n"/>
    </row>
    <row r="3420" ht="126" customHeight="1" s="380">
      <c r="A3420" s="144" t="n">
        <v>127</v>
      </c>
      <c r="B3420" s="390" t="n"/>
      <c r="C3420" s="390" t="inlineStr">
        <is>
          <t>Báo cáo tài chính quý, soát xét bán niên, kiểm toán năm - Chi nhánh công ty chứng khoán nước ngoài tại Việt Nam &gt;&gt; Phần lưu chuyển tiền tệ hoạt động môi giới, ủy thác của khách hàng_06612</t>
        </is>
      </c>
      <c r="D3420" s="390" t="inlineStr">
        <is>
          <t xml:space="preserve">-Tiền gửi của Nhà đầu tư về giao dịch chứng khoán theo phương thức CTCK quản lý </t>
        </is>
      </c>
      <c r="E3420" s="390" t="n">
        <v>42</v>
      </c>
      <c r="F3420" s="390" t="inlineStr">
        <is>
          <t>Data Explorer</t>
        </is>
      </c>
      <c r="G3420" s="390" t="inlineStr">
        <is>
          <t>Chỉ tiêu cơ sở</t>
        </is>
      </c>
      <c r="H3420" s="390" t="inlineStr">
        <is>
          <t>Dễ</t>
        </is>
      </c>
      <c r="I3420" s="390" t="inlineStr">
        <is>
          <t>Ngày, CTCK</t>
        </is>
      </c>
      <c r="J3420" s="401" t="inlineStr">
        <is>
          <t>SCMS</t>
        </is>
      </c>
      <c r="K3420" s="401" t="n"/>
      <c r="L3420" s="401" t="inlineStr">
        <is>
          <t>X</t>
        </is>
      </c>
      <c r="M3420" s="401" t="n"/>
      <c r="N3420" s="401" t="inlineStr">
        <is>
          <t>Done</t>
        </is>
      </c>
      <c r="O3420" s="401" t="n"/>
      <c r="P3420" s="401" t="n"/>
      <c r="S3420" s="401" t="n"/>
      <c r="U3420" s="401" t="n"/>
      <c r="V3420" s="22" t="n"/>
      <c r="W3420" s="22" t="n"/>
      <c r="X3420" s="22" t="n"/>
      <c r="Y3420" s="395" t="n"/>
      <c r="Z3420" s="22" t="n"/>
      <c r="AA3420" s="22" t="n"/>
      <c r="AB3420" s="22" t="n"/>
      <c r="AC3420" s="22" t="n"/>
      <c r="AD3420" s="22" t="n"/>
      <c r="AE3420" s="22" t="n"/>
    </row>
    <row r="3421" ht="126" customHeight="1" s="380">
      <c r="A3421" s="144" t="n">
        <v>127</v>
      </c>
      <c r="B3421" s="390" t="n"/>
      <c r="C3421" s="390" t="inlineStr">
        <is>
          <t>Báo cáo tài chính quý, soát xét bán niên, kiểm toán năm - Chi nhánh công ty chứng khoán nước ngoài tại Việt Nam &gt;&gt; Phần lưu chuyển tiền tệ hoạt động môi giới, ủy thác của khách hàng_06612</t>
        </is>
      </c>
      <c r="D3421" s="390" t="inlineStr">
        <is>
          <t>Trong đó có kỳ hạn</t>
        </is>
      </c>
      <c r="E3421" s="390" t="n">
        <v>42</v>
      </c>
      <c r="F3421" s="390" t="inlineStr">
        <is>
          <t>Data Explorer</t>
        </is>
      </c>
      <c r="G3421" s="390" t="inlineStr">
        <is>
          <t>Chỉ tiêu cơ sở</t>
        </is>
      </c>
      <c r="H3421" s="390" t="inlineStr">
        <is>
          <t>Dễ</t>
        </is>
      </c>
      <c r="I3421" s="390" t="inlineStr">
        <is>
          <t>Ngày, CTCK</t>
        </is>
      </c>
      <c r="J3421" s="401" t="inlineStr">
        <is>
          <t>SCMS</t>
        </is>
      </c>
      <c r="K3421" s="401" t="n"/>
      <c r="L3421" s="401" t="inlineStr">
        <is>
          <t>X</t>
        </is>
      </c>
      <c r="M3421" s="401" t="n"/>
      <c r="N3421" s="401" t="inlineStr">
        <is>
          <t>Done</t>
        </is>
      </c>
      <c r="O3421" s="401" t="n"/>
      <c r="P3421" s="401" t="n"/>
      <c r="S3421" s="401" t="n"/>
      <c r="U3421" s="401" t="n"/>
      <c r="V3421" s="22" t="n"/>
      <c r="W3421" s="22" t="n"/>
      <c r="X3421" s="22" t="n"/>
      <c r="Y3421" s="395" t="n"/>
      <c r="Z3421" s="22" t="n"/>
      <c r="AA3421" s="22" t="n"/>
      <c r="AB3421" s="22" t="n"/>
      <c r="AC3421" s="22" t="n"/>
      <c r="AD3421" s="22" t="n"/>
      <c r="AE3421" s="22" t="n"/>
    </row>
    <row r="3422" ht="126" customHeight="1" s="380">
      <c r="A3422" s="144" t="n">
        <v>127</v>
      </c>
      <c r="B3422" s="390" t="n"/>
      <c r="C3422" s="390" t="inlineStr">
        <is>
          <t>Báo cáo tài chính quý, soát xét bán niên, kiểm toán năm - Chi nhánh công ty chứng khoán nước ngoài tại Việt Nam &gt;&gt; Phần lưu chuyển tiền tệ hoạt động môi giới, ủy thác của khách hàng_06612</t>
        </is>
      </c>
      <c r="D3422" s="390" t="inlineStr">
        <is>
          <t xml:space="preserve">- Tiền gửi tổng hợp giao dịch chứng khoán cho khách hàng </t>
        </is>
      </c>
      <c r="E3422" s="390" t="n">
        <v>43</v>
      </c>
      <c r="F3422" s="390" t="inlineStr">
        <is>
          <t>Data Explorer</t>
        </is>
      </c>
      <c r="G3422" s="390" t="inlineStr">
        <is>
          <t>Chỉ tiêu cơ sở</t>
        </is>
      </c>
      <c r="H3422" s="390" t="inlineStr">
        <is>
          <t>Dễ</t>
        </is>
      </c>
      <c r="I3422" s="390" t="inlineStr">
        <is>
          <t>Ngày, CTCK</t>
        </is>
      </c>
      <c r="J3422" s="401" t="inlineStr">
        <is>
          <t>SCMS</t>
        </is>
      </c>
      <c r="K3422" s="401" t="n"/>
      <c r="L3422" s="401" t="inlineStr">
        <is>
          <t>X</t>
        </is>
      </c>
      <c r="M3422" s="401" t="n"/>
      <c r="N3422" s="401" t="inlineStr">
        <is>
          <t>Done</t>
        </is>
      </c>
      <c r="O3422" s="401" t="n"/>
      <c r="P3422" s="401" t="n"/>
      <c r="S3422" s="401" t="n"/>
      <c r="U3422" s="401" t="n"/>
      <c r="V3422" s="22" t="n"/>
      <c r="W3422" s="22" t="n"/>
      <c r="X3422" s="22" t="n"/>
      <c r="Y3422" s="37" t="n"/>
      <c r="Z3422" s="22" t="n"/>
      <c r="AA3422" s="22" t="n"/>
      <c r="AB3422" s="22" t="n"/>
      <c r="AC3422" s="22" t="n"/>
      <c r="AD3422" s="22" t="n"/>
      <c r="AE3422" s="22" t="n"/>
    </row>
    <row r="3423" ht="126" customHeight="1" s="380">
      <c r="A3423" s="144" t="n">
        <v>127</v>
      </c>
      <c r="B3423" s="390" t="n"/>
      <c r="C3423" s="390" t="inlineStr">
        <is>
          <t>Báo cáo tài chính quý, soát xét bán niên, kiểm toán năm - Chi nhánh công ty chứng khoán nước ngoài tại Việt Nam &gt;&gt; Phần lưu chuyển tiền tệ hoạt động môi giới, ủy thác của khách hàng_06612</t>
        </is>
      </c>
      <c r="D3423" s="390" t="inlineStr">
        <is>
          <t>- Tiền gửi bù trừ và thanh toán giao dịch chứng khoán</t>
        </is>
      </c>
      <c r="E3423" s="390" t="n">
        <v>44</v>
      </c>
      <c r="F3423" s="390" t="inlineStr">
        <is>
          <t>Data Explorer</t>
        </is>
      </c>
      <c r="G3423" s="390" t="inlineStr">
        <is>
          <t>Chỉ tiêu cơ sở</t>
        </is>
      </c>
      <c r="H3423" s="390" t="inlineStr">
        <is>
          <t>Dễ</t>
        </is>
      </c>
      <c r="I3423" s="390" t="inlineStr">
        <is>
          <t>Ngày, CTCK</t>
        </is>
      </c>
      <c r="J3423" s="401" t="inlineStr">
        <is>
          <t>SCMS</t>
        </is>
      </c>
      <c r="K3423" s="401" t="n"/>
      <c r="L3423" s="401" t="inlineStr">
        <is>
          <t>X</t>
        </is>
      </c>
      <c r="M3423" s="401" t="n"/>
      <c r="N3423" s="401" t="inlineStr">
        <is>
          <t>Done</t>
        </is>
      </c>
      <c r="O3423" s="401" t="n"/>
      <c r="P3423" s="401" t="n"/>
      <c r="S3423" s="401" t="n"/>
      <c r="U3423" s="401" t="n"/>
      <c r="V3423" s="22" t="n"/>
      <c r="W3423" s="22" t="n"/>
      <c r="X3423" s="22" t="n"/>
      <c r="Y3423" s="395" t="n"/>
      <c r="Z3423" s="22" t="n"/>
      <c r="AA3423" s="22" t="n"/>
      <c r="AB3423" s="22" t="n"/>
      <c r="AC3423" s="22" t="n"/>
      <c r="AD3423" s="22" t="n"/>
      <c r="AE3423" s="22" t="n"/>
    </row>
    <row r="3424" ht="126" customHeight="1" s="380">
      <c r="A3424" s="144" t="n">
        <v>127</v>
      </c>
      <c r="B3424" s="390" t="n"/>
      <c r="C3424" s="390" t="inlineStr">
        <is>
          <t>Báo cáo tài chính quý, soát xét bán niên, kiểm toán năm - Chi nhánh công ty chứng khoán nước ngoài tại Việt Nam &gt;&gt; Phần lưu chuyển tiền tệ hoạt động môi giới, ủy thác của khách hàng_06612</t>
        </is>
      </c>
      <c r="D3424" s="390" t="inlineStr">
        <is>
          <t>-Tiền gửi của tổ chức phát hành</t>
        </is>
      </c>
      <c r="E3424" s="390" t="n">
        <v>45</v>
      </c>
      <c r="F3424" s="390" t="inlineStr">
        <is>
          <t>Data Explorer</t>
        </is>
      </c>
      <c r="G3424" s="390" t="inlineStr">
        <is>
          <t>Chỉ tiêu cơ sở</t>
        </is>
      </c>
      <c r="H3424" s="390" t="inlineStr">
        <is>
          <t>Dễ</t>
        </is>
      </c>
      <c r="I3424" s="390" t="inlineStr">
        <is>
          <t>Ngày, CTCK</t>
        </is>
      </c>
      <c r="J3424" s="401" t="inlineStr">
        <is>
          <t>SCMS</t>
        </is>
      </c>
      <c r="K3424" s="401" t="n"/>
      <c r="L3424" s="401" t="inlineStr">
        <is>
          <t>X</t>
        </is>
      </c>
      <c r="M3424" s="401" t="n"/>
      <c r="N3424" s="401" t="inlineStr">
        <is>
          <t>Done</t>
        </is>
      </c>
      <c r="O3424" s="401" t="n"/>
      <c r="P3424" s="401" t="n"/>
      <c r="S3424" s="401" t="n"/>
      <c r="U3424" s="401" t="n"/>
      <c r="V3424" s="22" t="n"/>
      <c r="W3424" s="22" t="n"/>
      <c r="X3424" s="22" t="n"/>
      <c r="Y3424" s="395" t="n"/>
      <c r="Z3424" s="22" t="n"/>
      <c r="AA3424" s="22" t="n"/>
      <c r="AB3424" s="22" t="n"/>
      <c r="AC3424" s="22" t="n"/>
      <c r="AD3424" s="22" t="n"/>
      <c r="AE3424" s="22" t="n"/>
    </row>
    <row r="3425" ht="126" customHeight="1" s="380">
      <c r="A3425" s="144" t="n">
        <v>127</v>
      </c>
      <c r="B3425" s="390" t="n"/>
      <c r="C3425" s="390" t="inlineStr">
        <is>
          <t>Báo cáo tài chính quý, soát xét bán niên, kiểm toán năm - Chi nhánh công ty chứng khoán nước ngoài tại Việt Nam &gt;&gt; Phần lưu chuyển tiền tệ hoạt động môi giới, ủy thác của khách hàng_06612</t>
        </is>
      </c>
      <c r="D3425" s="390" t="inlineStr">
        <is>
          <t>Trong đó có kỳ hạn</t>
        </is>
      </c>
      <c r="E3425" s="390" t="n">
        <v>45</v>
      </c>
      <c r="F3425" s="390" t="inlineStr">
        <is>
          <t>Data Explorer</t>
        </is>
      </c>
      <c r="G3425" s="390" t="inlineStr">
        <is>
          <t>Chỉ tiêu cơ sở</t>
        </is>
      </c>
      <c r="H3425" s="390" t="inlineStr">
        <is>
          <t>Dễ</t>
        </is>
      </c>
      <c r="I3425" s="390" t="inlineStr">
        <is>
          <t>Ngày, CTCK</t>
        </is>
      </c>
      <c r="J3425" s="401" t="inlineStr">
        <is>
          <t>SCMS</t>
        </is>
      </c>
      <c r="K3425" s="401" t="n"/>
      <c r="L3425" s="401" t="inlineStr">
        <is>
          <t>X</t>
        </is>
      </c>
      <c r="M3425" s="401" t="n"/>
      <c r="N3425" s="401" t="inlineStr">
        <is>
          <t>Done</t>
        </is>
      </c>
      <c r="O3425" s="401" t="n"/>
      <c r="P3425" s="401" t="n"/>
      <c r="S3425" s="401" t="n"/>
      <c r="U3425" s="401" t="n"/>
      <c r="V3425" s="22" t="n"/>
      <c r="W3425" s="22" t="n"/>
      <c r="X3425" s="22" t="n"/>
      <c r="Y3425" s="395" t="n"/>
      <c r="Z3425" s="22" t="n"/>
      <c r="AA3425" s="22" t="n"/>
      <c r="AB3425" s="22" t="n"/>
      <c r="AC3425" s="22" t="n"/>
      <c r="AD3425" s="22" t="n"/>
      <c r="AE3425" s="22" t="n"/>
    </row>
    <row r="3426" ht="126" customHeight="1" s="380">
      <c r="A3426" s="144" t="n">
        <v>127</v>
      </c>
      <c r="B3426" s="390" t="n"/>
      <c r="C3426" s="390" t="inlineStr">
        <is>
          <t>Báo cáo tài chính quý, soát xét bán niên, kiểm toán năm - Chi nhánh công ty chứng khoán nước ngoài tại Việt Nam &gt;&gt; Phần lưu chuyển tiền tệ hoạt động môi giới, ủy thác của khách hàng_06612</t>
        </is>
      </c>
      <c r="D3426" s="390" t="inlineStr">
        <is>
          <t>Các khoản tương đương tiền</t>
        </is>
      </c>
      <c r="E3426" s="390" t="n">
        <v>46</v>
      </c>
      <c r="F3426" s="390" t="inlineStr">
        <is>
          <t>Data Explorer</t>
        </is>
      </c>
      <c r="G3426" s="390" t="inlineStr">
        <is>
          <t>Chỉ tiêu cơ sở</t>
        </is>
      </c>
      <c r="H3426" s="390" t="inlineStr">
        <is>
          <t>Dễ</t>
        </is>
      </c>
      <c r="I3426" s="390" t="inlineStr">
        <is>
          <t>Ngày, CTCK</t>
        </is>
      </c>
      <c r="J3426" s="401" t="inlineStr">
        <is>
          <t>SCMS</t>
        </is>
      </c>
      <c r="K3426" s="401" t="n"/>
      <c r="L3426" s="401" t="inlineStr">
        <is>
          <t>X</t>
        </is>
      </c>
      <c r="M3426" s="401" t="n"/>
      <c r="N3426" s="401" t="inlineStr">
        <is>
          <t>Done</t>
        </is>
      </c>
      <c r="O3426" s="401" t="n"/>
      <c r="P3426" s="401" t="n"/>
      <c r="S3426" s="401" t="n"/>
      <c r="U3426" s="401" t="n"/>
      <c r="V3426" s="22" t="n"/>
      <c r="W3426" s="22" t="n"/>
      <c r="X3426" s="22" t="n"/>
      <c r="Y3426" s="395" t="n"/>
      <c r="Z3426" s="22" t="n"/>
      <c r="AA3426" s="22" t="n"/>
      <c r="AB3426" s="22" t="n"/>
      <c r="AC3426" s="22" t="n"/>
      <c r="AD3426" s="22" t="n"/>
      <c r="AE3426" s="22" t="n"/>
    </row>
    <row r="3427" ht="126" customHeight="1" s="380">
      <c r="A3427" s="145" t="n">
        <v>127</v>
      </c>
      <c r="B3427" s="129" t="n"/>
      <c r="C3427" s="129" t="inlineStr">
        <is>
          <t>Báo cáo tài chính quý, soát xét bán niên, kiểm toán năm - Chi nhánh công ty chứng khoán nước ngoài tại Việt Nam &gt;&gt; Phần lưu chuyển tiền tệ hoạt động môi giới, ủy thác của khách hàng_06612</t>
        </is>
      </c>
      <c r="D3427" s="129" t="inlineStr">
        <is>
          <t>Ảnh hưởng của thay đổi tỷ giá hối đoái quy đổi ngoại tệ</t>
        </is>
      </c>
      <c r="E3427" s="129" t="n">
        <v>47</v>
      </c>
      <c r="F3427" s="129" t="inlineStr">
        <is>
          <t>Data Explorer</t>
        </is>
      </c>
      <c r="G3427" s="129" t="inlineStr">
        <is>
          <t>Chỉ tiêu cơ sở</t>
        </is>
      </c>
      <c r="H3427" s="129" t="inlineStr">
        <is>
          <t>Dễ</t>
        </is>
      </c>
      <c r="I3427" s="129" t="inlineStr">
        <is>
          <t>Ngày, CTCK</t>
        </is>
      </c>
      <c r="J3427" s="85" t="inlineStr">
        <is>
          <t>SCMS</t>
        </is>
      </c>
      <c r="K3427" s="85" t="n"/>
      <c r="L3427" s="85" t="inlineStr">
        <is>
          <t>X</t>
        </is>
      </c>
      <c r="M3427" s="85" t="n"/>
      <c r="N3427" s="85" t="inlineStr">
        <is>
          <t>Done</t>
        </is>
      </c>
      <c r="O3427" s="85" t="n"/>
      <c r="P3427" s="85" t="n"/>
      <c r="Q3427" s="426" t="n"/>
      <c r="R3427" s="426" t="n"/>
      <c r="S3427" s="85" t="n"/>
      <c r="T3427" s="426" t="n"/>
      <c r="U3427" s="85" t="n"/>
      <c r="V3427" s="130" t="n"/>
      <c r="W3427" s="130" t="n"/>
      <c r="X3427" s="130" t="n"/>
      <c r="Y3427" s="69" t="n"/>
      <c r="Z3427" s="130" t="n"/>
      <c r="AA3427" s="130" t="n"/>
      <c r="AB3427" s="130" t="n"/>
      <c r="AC3427" s="130" t="n"/>
      <c r="AD3427" s="130" t="n"/>
      <c r="AE3427" s="130" t="n"/>
    </row>
    <row r="3428" ht="98" customHeight="1" s="380">
      <c r="A3428" s="144" t="n">
        <v>128</v>
      </c>
      <c r="B3428" s="140" t="inlineStr">
        <is>
          <t>Nga</t>
        </is>
      </c>
      <c r="C3428" s="127" t="inlineStr">
        <is>
          <t>Báo cáo tài chính quý, soát xét bán niên, kiểm toán năm - Chi nhánh công ty chứng khoán nước ngoài tại Việt Nam &gt;&gt; Báo cáo lưu chuyển tiền tệ riêng_06613</t>
        </is>
      </c>
      <c r="D3428" s="106" t="inlineStr">
        <is>
          <t>Loại báo cáo</t>
        </is>
      </c>
      <c r="E3428" s="107" t="inlineStr">
        <is>
          <t>Loại báo cáo</t>
        </is>
      </c>
      <c r="F3428" s="390" t="inlineStr">
        <is>
          <t>Data Explorer</t>
        </is>
      </c>
      <c r="G3428" s="390" t="inlineStr">
        <is>
          <t>Chiều</t>
        </is>
      </c>
      <c r="H3428" s="390" t="inlineStr">
        <is>
          <t>Dễ</t>
        </is>
      </c>
      <c r="I3428" s="390" t="inlineStr">
        <is>
          <t>Ngày, CTCK</t>
        </is>
      </c>
      <c r="J3428" s="401" t="inlineStr">
        <is>
          <t>SCMS</t>
        </is>
      </c>
      <c r="K3428" s="401" t="inlineStr">
        <is>
          <t>X</t>
        </is>
      </c>
      <c r="L3428" s="401" t="inlineStr">
        <is>
          <t>X</t>
        </is>
      </c>
      <c r="M3428" s="401" t="n"/>
      <c r="N3428" s="401" t="inlineStr">
        <is>
          <t>Done</t>
        </is>
      </c>
      <c r="O3428" s="401" t="n"/>
      <c r="P3428" s="401" t="n"/>
      <c r="Q3428" s="404" t="inlineStr">
        <is>
          <t>SCMS.BM_BAO_CAO
SCMS.BM_BAO_CAO_DINH_KY</t>
        </is>
      </c>
      <c r="R3428" s="404" t="inlineStr">
        <is>
          <t>bm.ID,
bm.MA_BAO_CAO,
bm.LOAI_BAO_CAO,
bm.TEN_BAO_CAO,
bm.SU_DUNG,
bdk.BM_BAO_CAO_ID,
bdk.KY_BAO_CAO,
bdk.SU_DUNG</t>
        </is>
      </c>
      <c r="S3428" s="401" t="n"/>
      <c r="T3428" s="390"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U3428" s="401" t="n"/>
      <c r="V3428" s="22" t="n"/>
      <c r="W3428" s="22" t="n"/>
      <c r="X3428" s="22" t="n"/>
      <c r="Y3428" s="395" t="n"/>
      <c r="Z3428" s="22" t="n"/>
      <c r="AA3428" s="22" t="n"/>
      <c r="AB3428" s="22" t="n"/>
      <c r="AC3428" s="22" t="n"/>
      <c r="AD3428" s="22" t="n"/>
      <c r="AE3428" s="22" t="n"/>
    </row>
    <row r="3429" ht="98" customHeight="1" s="380">
      <c r="A3429" s="144" t="n">
        <v>128</v>
      </c>
      <c r="B3429" s="390" t="n"/>
      <c r="C3429" s="390" t="inlineStr">
        <is>
          <t>Báo cáo tài chính quý, soát xét bán niên, kiểm toán năm - Chi nhánh công ty chứng khoán nước ngoài tại Việt Nam &gt;&gt; Báo cáo lưu chuyển tiền tệ riêng_06613</t>
        </is>
      </c>
      <c r="D3429" s="106" t="inlineStr">
        <is>
          <t>Kỳ báo cáo</t>
        </is>
      </c>
      <c r="E3429" s="107" t="inlineStr">
        <is>
          <t>Kỳ báo cáo</t>
        </is>
      </c>
      <c r="F3429" s="390" t="inlineStr">
        <is>
          <t>Data Explorer</t>
        </is>
      </c>
      <c r="G3429" s="390" t="inlineStr">
        <is>
          <t>Chiều</t>
        </is>
      </c>
      <c r="H3429" s="390" t="inlineStr">
        <is>
          <t>Dễ</t>
        </is>
      </c>
      <c r="I3429" s="390" t="inlineStr">
        <is>
          <t>Ngày, CTCK</t>
        </is>
      </c>
      <c r="J3429" s="401" t="inlineStr">
        <is>
          <t>SCMS</t>
        </is>
      </c>
      <c r="K3429" s="401" t="inlineStr">
        <is>
          <t>X</t>
        </is>
      </c>
      <c r="L3429" s="401" t="inlineStr">
        <is>
          <t>X</t>
        </is>
      </c>
      <c r="M3429" s="401" t="n"/>
      <c r="N3429" s="401" t="inlineStr">
        <is>
          <t>Done</t>
        </is>
      </c>
      <c r="O3429" s="401" t="n"/>
      <c r="P3429" s="401" t="n"/>
      <c r="S3429" s="401" t="n"/>
      <c r="U3429" s="401" t="n"/>
      <c r="V3429" s="22" t="n"/>
      <c r="W3429" s="22" t="n"/>
      <c r="X3429" s="22" t="n"/>
      <c r="Y3429" s="36" t="n"/>
      <c r="Z3429" s="22" t="n"/>
      <c r="AA3429" s="22" t="n"/>
      <c r="AB3429" s="22" t="n"/>
      <c r="AC3429" s="22" t="n"/>
      <c r="AD3429" s="22" t="n"/>
      <c r="AE3429" s="22" t="n"/>
    </row>
    <row r="3430" ht="98" customHeight="1" s="380">
      <c r="A3430" s="144" t="n">
        <v>128</v>
      </c>
      <c r="B3430" s="390" t="n"/>
      <c r="C3430" s="390" t="inlineStr">
        <is>
          <t>Báo cáo tài chính quý, soát xét bán niên, kiểm toán năm - Chi nhánh công ty chứng khoán nước ngoài tại Việt Nam &gt;&gt; Báo cáo lưu chuyển tiền tệ riêng_06613</t>
        </is>
      </c>
      <c r="D3430" s="106" t="inlineStr">
        <is>
          <t>Mã báo cáo</t>
        </is>
      </c>
      <c r="E3430" s="107" t="inlineStr">
        <is>
          <t>Mã báo cáo</t>
        </is>
      </c>
      <c r="F3430" s="390" t="inlineStr">
        <is>
          <t>Data Explorer</t>
        </is>
      </c>
      <c r="G3430" s="390" t="inlineStr">
        <is>
          <t>Chiều</t>
        </is>
      </c>
      <c r="H3430" s="390" t="inlineStr">
        <is>
          <t>Dễ</t>
        </is>
      </c>
      <c r="I3430" s="390" t="inlineStr">
        <is>
          <t>Ngày, CTCK</t>
        </is>
      </c>
      <c r="J3430" s="401" t="inlineStr">
        <is>
          <t>SCMS</t>
        </is>
      </c>
      <c r="K3430" s="401" t="inlineStr">
        <is>
          <t>X</t>
        </is>
      </c>
      <c r="L3430" s="401" t="inlineStr">
        <is>
          <t>X</t>
        </is>
      </c>
      <c r="M3430" s="401" t="n"/>
      <c r="N3430" s="401" t="inlineStr">
        <is>
          <t>Done</t>
        </is>
      </c>
      <c r="O3430" s="401" t="n"/>
      <c r="P3430" s="401" t="n"/>
      <c r="S3430" s="401" t="n"/>
      <c r="U3430" s="401" t="n"/>
      <c r="V3430" s="22" t="n"/>
      <c r="W3430" s="22" t="n"/>
      <c r="X3430" s="22" t="n"/>
      <c r="Y3430" s="395" t="n"/>
      <c r="Z3430" s="22" t="n"/>
      <c r="AA3430" s="22" t="n"/>
      <c r="AB3430" s="22" t="n"/>
      <c r="AC3430" s="22" t="n"/>
      <c r="AD3430" s="22" t="n"/>
      <c r="AE3430" s="22" t="n"/>
    </row>
    <row r="3431" ht="98" customHeight="1" s="380">
      <c r="A3431" s="144" t="n">
        <v>128</v>
      </c>
      <c r="B3431" s="390" t="n"/>
      <c r="C3431" s="390" t="inlineStr">
        <is>
          <t>Báo cáo tài chính quý, soát xét bán niên, kiểm toán năm - Chi nhánh công ty chứng khoán nước ngoài tại Việt Nam &gt;&gt; Báo cáo lưu chuyển tiền tệ riêng_06613</t>
        </is>
      </c>
      <c r="D3431" s="106" t="inlineStr">
        <is>
          <t>Tên báo cáo</t>
        </is>
      </c>
      <c r="E3431" s="107" t="inlineStr">
        <is>
          <t>Tên báo cáo</t>
        </is>
      </c>
      <c r="F3431" s="390" t="inlineStr">
        <is>
          <t>Data Explorer</t>
        </is>
      </c>
      <c r="G3431" s="390" t="inlineStr">
        <is>
          <t>Chiều</t>
        </is>
      </c>
      <c r="H3431" s="390" t="inlineStr">
        <is>
          <t>Dễ</t>
        </is>
      </c>
      <c r="I3431" s="390" t="inlineStr">
        <is>
          <t>Ngày, CTCK</t>
        </is>
      </c>
      <c r="J3431" s="401" t="inlineStr">
        <is>
          <t>SCMS</t>
        </is>
      </c>
      <c r="K3431" s="401" t="inlineStr">
        <is>
          <t>X</t>
        </is>
      </c>
      <c r="L3431" s="401" t="inlineStr">
        <is>
          <t>X</t>
        </is>
      </c>
      <c r="M3431" s="401" t="n"/>
      <c r="N3431" s="401" t="inlineStr">
        <is>
          <t>Done</t>
        </is>
      </c>
      <c r="O3431" s="401" t="n"/>
      <c r="P3431" s="401" t="n"/>
      <c r="S3431" s="401" t="n"/>
      <c r="U3431" s="401" t="n"/>
      <c r="V3431" s="22" t="n"/>
      <c r="W3431" s="22" t="n"/>
      <c r="X3431" s="22" t="n"/>
      <c r="Y3431" s="395" t="n"/>
      <c r="Z3431" s="22" t="n"/>
      <c r="AA3431" s="22" t="n"/>
      <c r="AB3431" s="22" t="n"/>
      <c r="AC3431" s="22" t="n"/>
      <c r="AD3431" s="22" t="n"/>
      <c r="AE3431" s="22" t="n"/>
    </row>
    <row r="3432" ht="98" customHeight="1" s="380">
      <c r="A3432" s="144" t="n">
        <v>128</v>
      </c>
      <c r="B3432" s="390" t="n"/>
      <c r="C3432" s="390" t="inlineStr">
        <is>
          <t>Báo cáo tài chính quý, soát xét bán niên, kiểm toán năm - Chi nhánh công ty chứng khoán nước ngoài tại Việt Nam &gt;&gt; Báo cáo lưu chuyển tiền tệ riêng_06613</t>
        </is>
      </c>
      <c r="D3432" s="106" t="inlineStr">
        <is>
          <t>Mã sheet</t>
        </is>
      </c>
      <c r="E3432" s="106" t="inlineStr">
        <is>
          <t>Mã sheet</t>
        </is>
      </c>
      <c r="F3432" s="390" t="inlineStr">
        <is>
          <t>Data Explorer</t>
        </is>
      </c>
      <c r="G3432" s="390" t="inlineStr">
        <is>
          <t>Chiều</t>
        </is>
      </c>
      <c r="H3432" s="390" t="inlineStr">
        <is>
          <t>Dễ</t>
        </is>
      </c>
      <c r="I3432" s="390" t="inlineStr">
        <is>
          <t>Ngày, CTCK</t>
        </is>
      </c>
      <c r="J3432" s="401" t="inlineStr">
        <is>
          <t>SCMS</t>
        </is>
      </c>
      <c r="K3432" s="401" t="inlineStr">
        <is>
          <t>X</t>
        </is>
      </c>
      <c r="L3432" s="401" t="inlineStr">
        <is>
          <t>X</t>
        </is>
      </c>
      <c r="M3432" s="401" t="n"/>
      <c r="N3432" s="401" t="inlineStr">
        <is>
          <t>Done</t>
        </is>
      </c>
      <c r="O3432" s="401" t="n"/>
      <c r="P3432" s="401" t="n"/>
      <c r="Q3432" s="401" t="inlineStr">
        <is>
          <t>SCMS.BM_BAO_CAO
SCMS.BM_SHEET</t>
        </is>
      </c>
      <c r="R3432" s="401" t="inlineStr">
        <is>
          <t>bm.ID,
bm.MA_BAO_CAO,
bm.SU_DUNG,
s.BM_BAO_CAO_ID,
s.MA_SHEET,
s.TEN_SHEET,
s.SAP_XEP</t>
        </is>
      </c>
      <c r="S3432" s="401" t="n"/>
      <c r="T3432" s="389" t="inlineStr">
        <is>
          <t>-- Mã sheet / Tên sheet
-- TEN_SHEET: BCLCTTRGT
SELECT bm.MA_BAO_CAO,
s.MA_SHEET,
s.TEN_SHEET
FROM SCMS.BM_BAO_CAO bm
JOIN SCMS.BM_SHEET s ON s.BM_BAO_CAO_ID = bm.ID
WHERE bm.MA_BAO_CAO LIKE 'BCTCRLCTCK'
AND s.TEN_SHEET = 'BCLCTTRGT'  -- Check lại
AND bm.SU_DUNG = 1
ORDER BY bm.MA_BAO_CAO, s.SAP_XEP;</t>
        </is>
      </c>
      <c r="U3432" s="401" t="n"/>
      <c r="V3432" s="22" t="n"/>
      <c r="W3432" s="22" t="n"/>
      <c r="X3432" s="22" t="n"/>
      <c r="Y3432" s="395" t="n"/>
      <c r="Z3432" s="22" t="n"/>
      <c r="AA3432" s="22" t="n"/>
      <c r="AB3432" s="22" t="n"/>
      <c r="AC3432" s="22" t="n"/>
      <c r="AD3432" s="22" t="n"/>
      <c r="AE3432" s="22" t="n"/>
    </row>
    <row r="3433" ht="98" customHeight="1" s="380">
      <c r="A3433" s="144" t="n">
        <v>128</v>
      </c>
      <c r="B3433" s="390" t="n"/>
      <c r="C3433" s="390" t="inlineStr">
        <is>
          <t>Báo cáo tài chính quý, soát xét bán niên, kiểm toán năm - Chi nhánh công ty chứng khoán nước ngoài tại Việt Nam &gt;&gt; Báo cáo lưu chuyển tiền tệ riêng_06613</t>
        </is>
      </c>
      <c r="D3433" s="106" t="inlineStr">
        <is>
          <t>Tên sheet</t>
        </is>
      </c>
      <c r="E3433" s="106" t="inlineStr">
        <is>
          <t>Tên sheet</t>
        </is>
      </c>
      <c r="F3433" s="390" t="inlineStr">
        <is>
          <t>Data Explorer</t>
        </is>
      </c>
      <c r="G3433" s="390" t="inlineStr">
        <is>
          <t>Chiều</t>
        </is>
      </c>
      <c r="H3433" s="390" t="inlineStr">
        <is>
          <t>Dễ</t>
        </is>
      </c>
      <c r="I3433" s="390" t="inlineStr">
        <is>
          <t>Ngày, CTCK</t>
        </is>
      </c>
      <c r="J3433" s="401" t="inlineStr">
        <is>
          <t>SCMS</t>
        </is>
      </c>
      <c r="K3433" s="401" t="inlineStr">
        <is>
          <t>X</t>
        </is>
      </c>
      <c r="L3433" s="401" t="inlineStr">
        <is>
          <t>X</t>
        </is>
      </c>
      <c r="M3433" s="401" t="n"/>
      <c r="N3433" s="401" t="inlineStr">
        <is>
          <t>Done</t>
        </is>
      </c>
      <c r="O3433" s="401" t="n"/>
      <c r="P3433" s="401" t="n"/>
      <c r="S3433" s="401" t="n"/>
      <c r="U3433" s="401" t="n"/>
      <c r="V3433" s="22" t="n"/>
      <c r="W3433" s="22" t="n"/>
      <c r="X3433" s="22" t="n"/>
      <c r="Y3433" s="395" t="n"/>
      <c r="Z3433" s="22" t="n"/>
      <c r="AA3433" s="22" t="n"/>
      <c r="AB3433" s="22" t="n"/>
      <c r="AC3433" s="22" t="n"/>
      <c r="AD3433" s="22" t="n"/>
      <c r="AE3433" s="22" t="n"/>
    </row>
    <row r="3434" ht="98" customHeight="1" s="380">
      <c r="A3434" s="144" t="n">
        <v>128</v>
      </c>
      <c r="B3434" s="390" t="n"/>
      <c r="C3434" s="390" t="inlineStr">
        <is>
          <t>Báo cáo tài chính quý, soát xét bán niên, kiểm toán năm - Chi nhánh công ty chứng khoán nước ngoài tại Việt Nam &gt;&gt; Báo cáo lưu chuyển tiền tệ riêng_06613</t>
        </is>
      </c>
      <c r="D3434" s="106" t="inlineStr">
        <is>
          <t>Mã chỉ tiêu</t>
        </is>
      </c>
      <c r="E3434" s="107" t="inlineStr">
        <is>
          <t>Mã chỉ tiêu</t>
        </is>
      </c>
      <c r="F3434" s="390" t="inlineStr">
        <is>
          <t>Data Explorer</t>
        </is>
      </c>
      <c r="G3434" s="390" t="inlineStr">
        <is>
          <t>Chiều</t>
        </is>
      </c>
      <c r="H3434" s="390" t="inlineStr">
        <is>
          <t>Dễ</t>
        </is>
      </c>
      <c r="I3434" s="390" t="inlineStr">
        <is>
          <t>Ngày, CTCK</t>
        </is>
      </c>
      <c r="J3434" s="401" t="inlineStr">
        <is>
          <t>SCMS</t>
        </is>
      </c>
      <c r="K3434" s="401" t="inlineStr">
        <is>
          <t>X</t>
        </is>
      </c>
      <c r="L3434" s="401" t="inlineStr">
        <is>
          <t>X</t>
        </is>
      </c>
      <c r="M3434" s="401" t="n"/>
      <c r="N3434" s="401" t="inlineStr">
        <is>
          <t>Done</t>
        </is>
      </c>
      <c r="O3434" s="401" t="n"/>
      <c r="P3434" s="401" t="n"/>
      <c r="Q3434" s="401" t="inlineStr">
        <is>
          <t>SCMS.BM_BAO_CAO
SCMS.BM_SHEET
SCMS.BM_BAO_CAO_CT
SCMS.DM_CHI_TIEU</t>
        </is>
      </c>
      <c r="R3434" s="401" t="inlineStr">
        <is>
          <t>dct.ID,
dct.MA_CHI_TIEU,
dct.TEN_CHI_TIEU,
dct.SU_DUNG,
s.BM_BAO_CAO_ID,
s.MA_SHEET,
ct.BM_BAO_CAO_ID,
ct.DM_CHI_TIEU_ID,
ct.SU_DUNG,
bm.ID,
bm.MA_BAO_CAO,
bm.SU_DUNG</t>
        </is>
      </c>
      <c r="S3434" s="401" t="n"/>
      <c r="T3434" s="389" t="inlineStr">
        <is>
          <t>-- Mã chỉ tiêu / Tên chỉ tiêu
SELECT DISTINCT
    dct.MA_CHI_TIEU  AS ma_chi_tieu,
    dct.TEN_CHI_TIEU AS ten_chi_tieu
FROM SCMS.BM_BAO_CAO bm
JOIN SCMS.BM_SHEET s ON s.BM_BAO_CAO_ID = bm.ID
	AND s.TEN_SHEET = 'BCLCTTRGT'
JOIN SCMS.BM_BAO_CAO_CT ct ON ct.BM_SHEET_ID = s.ID
	AND ct.SU_DUNG = 1
JOIN SCMS.DM_CHI_TIEU dct ON dct.ID = ct.DM_CHI_TIEU_ID
	AND dct.SU_DUNG = 1
WHERE bm.MA_BAO_CAO LIKE 'BCTCRLCTCK'
	AND bm.SU_DUNG = 1
ORDER BY dct.MA_CHI_TIEU;</t>
        </is>
      </c>
      <c r="U3434" s="401" t="n"/>
      <c r="V3434" s="22" t="n"/>
      <c r="W3434" s="22" t="n"/>
      <c r="X3434" s="22" t="n"/>
      <c r="Y3434" s="395" t="n"/>
      <c r="Z3434" s="22" t="n"/>
      <c r="AA3434" s="22" t="n"/>
      <c r="AB3434" s="22" t="n"/>
      <c r="AC3434" s="22" t="n"/>
      <c r="AD3434" s="22" t="n"/>
      <c r="AE3434" s="22" t="n"/>
    </row>
    <row r="3435" ht="98" customHeight="1" s="380">
      <c r="A3435" s="144" t="n">
        <v>128</v>
      </c>
      <c r="B3435" s="390" t="n"/>
      <c r="C3435" s="390" t="inlineStr">
        <is>
          <t>Báo cáo tài chính quý, soát xét bán niên, kiểm toán năm - Chi nhánh công ty chứng khoán nước ngoài tại Việt Nam &gt;&gt; Báo cáo lưu chuyển tiền tệ riêng_06613</t>
        </is>
      </c>
      <c r="D3435" s="106" t="inlineStr">
        <is>
          <t>Tên chỉ tiêu</t>
        </is>
      </c>
      <c r="E3435" s="107" t="inlineStr">
        <is>
          <t>Tên chỉ tiêu</t>
        </is>
      </c>
      <c r="F3435" s="390" t="inlineStr">
        <is>
          <t>Data Explorer</t>
        </is>
      </c>
      <c r="G3435" s="390" t="inlineStr">
        <is>
          <t>Chiều</t>
        </is>
      </c>
      <c r="H3435" s="390" t="inlineStr">
        <is>
          <t>Dễ</t>
        </is>
      </c>
      <c r="I3435" s="390" t="inlineStr">
        <is>
          <t>Ngày, CTCK</t>
        </is>
      </c>
      <c r="J3435" s="401" t="inlineStr">
        <is>
          <t>SCMS</t>
        </is>
      </c>
      <c r="K3435" s="401" t="inlineStr">
        <is>
          <t>X</t>
        </is>
      </c>
      <c r="L3435" s="401" t="inlineStr">
        <is>
          <t>X</t>
        </is>
      </c>
      <c r="M3435" s="401" t="n"/>
      <c r="N3435" s="401" t="inlineStr">
        <is>
          <t>Done</t>
        </is>
      </c>
      <c r="O3435" s="401" t="n"/>
      <c r="P3435" s="401" t="n"/>
      <c r="S3435" s="401" t="n"/>
      <c r="U3435" s="401" t="n"/>
      <c r="V3435" s="22" t="n"/>
      <c r="W3435" s="22" t="n"/>
      <c r="X3435" s="22" t="n"/>
      <c r="Y3435" s="395" t="n"/>
      <c r="Z3435" s="22" t="n"/>
      <c r="AA3435" s="22" t="n"/>
      <c r="AB3435" s="22" t="n"/>
      <c r="AC3435" s="22" t="n"/>
      <c r="AD3435" s="22" t="n"/>
      <c r="AE3435" s="22" t="n"/>
    </row>
    <row r="3436" ht="98" customHeight="1" s="380">
      <c r="A3436" s="144" t="n">
        <v>128</v>
      </c>
      <c r="B3436" s="390" t="n"/>
      <c r="C3436" s="390" t="inlineStr">
        <is>
          <t>Báo cáo tài chính quý, soát xét bán niên, kiểm toán năm - Chi nhánh công ty chứng khoán nước ngoài tại Việt Nam &gt;&gt; Báo cáo lưu chuyển tiền tệ riêng_06613</t>
        </is>
      </c>
      <c r="D3436" s="132" t="inlineStr">
        <is>
          <t>I. Lưu chuyển tiền từ hoạt động kinh doanh</t>
        </is>
      </c>
      <c r="E3436" s="401" t="n"/>
      <c r="F3436" s="390" t="inlineStr">
        <is>
          <t>Data Explorer</t>
        </is>
      </c>
      <c r="G3436" s="390" t="inlineStr">
        <is>
          <t>Chỉ tiêu cơ sở</t>
        </is>
      </c>
      <c r="H3436" s="390" t="inlineStr">
        <is>
          <t>Dễ</t>
        </is>
      </c>
      <c r="I3436" s="390" t="inlineStr">
        <is>
          <t>Ngày, CTCK</t>
        </is>
      </c>
      <c r="J3436" s="401" t="inlineStr">
        <is>
          <t>SCMS</t>
        </is>
      </c>
      <c r="K3436" s="401" t="n"/>
      <c r="L3436" s="401" t="inlineStr">
        <is>
          <t>X</t>
        </is>
      </c>
      <c r="M3436" s="401" t="n"/>
      <c r="N3436" s="401" t="inlineStr">
        <is>
          <t>Done</t>
        </is>
      </c>
      <c r="O3436" s="401" t="n"/>
      <c r="P3436" s="401" t="n"/>
      <c r="Q3436" s="431" t="inlineStr">
        <is>
          <t>SCMS.BC_THANH_VIEN
SCMS.BM_BAO_CAO
SCMS.BC_BAO_CAO_GT
SCMS.BM_BAO_CAO_HANG
SCMS.BM_BAO_CAO_COT</t>
        </is>
      </c>
      <c r="R3436" s="431" t="inlineStr">
        <is>
          <t>bsc.TEN_COT,
bsc.BM_SHEET_ID,
bsh.ID,
bsh.MA_HANG,
gt.GIA_TRI,
gt.BC_THANH_VIEN_ID,
gt.BM_SHEET_HANG_ID,
bm.ID,
bm.MA_BAO_CAO,
btv.ID,
btv.BM_BAO_CAO_ID,
btv.TRANG_THAI,
btv.NGAY_SO_LIEU</t>
        </is>
      </c>
      <c r="S3436" s="401" t="n"/>
      <c r="T3436" s="432" t="inlineStr">
        <is>
          <t>-- CHỈ TIÊU
SELECT
	-- Thuyết minh
    MAX(CASE WHEN bsc.TEN_COT=N'Thuyết minh' AND bsh.MA_HANG = '2' THEN CAST(gt.GIA_TRI AS VARCHAR2(4000)) END) AS "I. Lưu chuyển tiền từ hoạt động kinh doanh",
	MAX(CASE WHEN bsc.TEN_COT=N'Thuyết minh' AND bsh.MA_HANG = '3' THEN CAST(gt.GIA_TRI AS VARCHAR2(4000)) END) AS "1. Lợi nhuận trước Thuế Thu nhập doanh nghiệp",
	MAX(CASE WHEN bsc.TEN_COT=N'Thuyết minh' AND bsh.MA_HANG = '4' THEN CAST(gt.GIA_TRI AS VARCHAR2(4000)) END) AS "2. Điều chỉnh cho các khoản",
	MAX(CASE WHEN bsc.TEN_COT=N'Thuyết minh' AND bsh.MA_HANG = '5' THEN CAST(gt.GIA_TRI AS VARCHAR2(4000)) END) AS "Khấu hao TSCĐ",
	MAX(CASE WHEN bsc.TEN_COT=N'Thuyết minh' AND bsh.MA_HANG = '6' THEN CAST(gt.GIA_TRI AS VARCHAR2(4000)) END) AS "Các khoản dự phòng",
	MAX(CASE WHEN bsc.TEN_COT=N'Thuyết minh' AND bsh.MA_HANG = '7' THEN CAST(gt.GIA_TRI AS VARCHAR2(4000)) END) AS "(- Lãi) hoặc (+ lỗ) chênh lệch tỷ giá hối đoái chưa thực hiện",
	MAX(CASE WHEN bsc.TEN_COT=N'Thuyết minh' AND bsh.MA_HANG = '8' THEN CAST(gt.GIA_TRI AS VARCHAR2(4000)) END) AS "Chi phí lãi vay",
	MAX(CASE WHEN bsc.TEN_COT=N'Thuyết minh' AND bsh.MA_HANG = '9' THEN CAST(gt.GIA_TRI AS VARCHAR2(4000)) END) AS "Lãi, lỗ từ hoạt động đầu tư",
	MAX(CASE WHEN bsc.TEN_COT=N'Thuyết minh' AND bsh.MA_HANG = '10' THEN CAST(gt.GIA_TRI AS VARCHAR2(4000)) END) AS "Dự thu tiền lãi", 
	MAX(CASE WHEN bsc.TEN_COT=N'Thuyết minh' AND bsh.MA_HANG = '11' THEN CAST(gt.GIA_TRI AS VARCHAR2(4000)) END) AS "Các khoản điều chỉnh khác",
	MAX(CASE WHEN bsc.TEN_COT=N'Thuyết minh' AND bsh.MA_HANG = '12' THEN CAST(gt.GIA_TRI AS VARCHAR2(4000)) END) AS "3. Tăng các chi phí phi tiền tệ",
	MAX(CASE WHEN bsc.TEN_COT=N'Thuyết minh' AND bsh.MA_HANG = '13' THEN CAST(gt.GIA_TRI AS VARCHAR2(4000)) END) AS "Lỗ đánh giá lại giá trị các tài sản tài chính ghi nhận thông qua lãi/lỗ FVTPL",
	MAX(CASE WHEN bsc.TEN_COT=N'Thuyết minh' AND bsh.MA_HANG = '14' THEN CAST(gt.GIA_TRI AS VARCHAR2(4000)) END) AS "Lỗ suy giảm giá trị Các khoản đầu tư nắm giữ đến ngày đáo hạn (HTM)",
	MAX(CASE WHEN bsc.TEN_COT=N'Thuyết minh' AND bsh.MA_HANG = '15' THEN CAST(gt.GIA_TRI AS VARCHAR2(4000)) END) AS "Lỗ suy giảm giá trị Các khoản cho vay",
	MAX(CASE WHEN bsc.TEN_COT=N'Thuyết minh' AND bsh.MA_HANG = '16' THEN CAST(gt.GIA_TRI AS VARCHAR2(4000)) END) AS "Lỗ về ghi nhận chênh lệch đánh giá theo giá trị hợp lý TSTC sẵn sàng để bán AFS khi phân loại lại",
	MAX(CASE WHEN bsc.TEN_COT=N'Thuyết minh' AND bsh.MA_HANG = '17' THEN CAST(gt.GIA_TRI AS VARCHAR2(4000)) END) AS "Suy giảm giá trị của các tài sản cố định, BĐSĐT",
	MAX(CASE WHEN bsc.TEN_COT=N'Thuyết minh' AND bsh.MA_HANG = '18' THEN CAST(gt.GIA_TRI AS VARCHAR2(4000)) END) AS "Chi phí dự phòng suy giảm giá trị các khoản đầu tư tài chính dài hạn",
	MAX(CASE WHEN bsc.TEN_COT=N'Thuyết minh' AND bsh.MA_HANG = '19' THEN CAST(gt.GIA_TRI AS VARCHAR2(4000)) END) AS "Lỗ khác",
	MAX(CASE WHEN bsc.TEN_COT=N'Thuyết minh' AND bsh.MA_HANG = '20' THEN CAST(gt.GIA_TRI AS VARCHAR2(4000)) END) AS "4. Giảm các doanh thu phi tiền tệ",
	MAX(CASE WHEN bsc.TEN_COT=N'Thuyết minh' AND bsh.MA_HANG = '21' THEN CAST(gt.GIA_TRI AS VARCHAR2(4000)) END) AS "Lãi đánh giá lại giá trị các tài sản tài chính ghi nhận thông qua lãi/lỗ FVTPL",
	MAX(CASE WHEN bsc.TEN_COT=N'Thuyết minh' AND bsh.MA_HANG = '22' THEN CAST(gt.GIA_TRI AS VARCHAR2(4000)) END) AS "Lãi về ghi nhận chênh lệch đánh giá theo giá trị hợp lý TSTC sẵn sàng để bán (AFS) khi phân loại lại",
	MAX(CASE WHEN bsc.TEN_COT=N'Thuyết minh' AND bsh.MA_HANG = '23' THEN CAST(gt.GIA_TRI AS VARCHAR2(4000)) END) AS "Lãi khác",
	MAX(CASE WHEN bsc.TEN_COT=N'Thuyết minh' AND bsh.MA_HANG = '24' THEN CAST(gt.GIA_TRI AS VARCHAR2(4000)) END) AS "5. Lợi nhuận từ hoạt động kinh doanh trước thay đổi vốn lưu động",
	MAX(CASE WHEN bsc.TEN_COT=N'Thuyết minh' AND bsh.MA_HANG = '25' THEN CAST(gt.GIA_TRI AS VARCHAR2(4000)) END) AS "Tăng (giảm) tài sản tài chính ghi nhận thông qua lãi/lỗ FVTPL",
	MAX(CASE WHEN bsc.TEN_COT=N'Thuyết minh' AND bsh.MA_HANG = '26' THEN CAST(gt.GIA_TRI AS VARCHAR2(4000)) END) AS "Tăng (giảm) Các khoản đầu tư nắm giữ đến ngày đáo hạn (HTM)",
	MAX(CASE WHEN bsc.TEN_COT=N'Thuyết minh' AND bsh.MA_HANG = '27' THEN CAST(gt.GIA_TRI AS VARCHAR2(4000)) END) AS "Tăng (giảm) Các khoản cho vay", 
	MAX(CASE WHEN bsc.TEN_COT=N'Thuyết minh' AND bsh.MA_HANG = '28' THEN CAST(gt.GIA_TRI AS VARCHAR2(4000)) END) AS "Tăng (giảm) tài sản tài chính sẵn sàng để bán AFS",
	MAX(CASE WHEN bsc.TEN_COT=N'Thuyết minh' AND bsh.MA_HANG = '29' THEN CAST(gt.GIA_TRI AS VARCHAR2(4000)) END) AS "(-) Tăng, (+) giảm phải thu bán các tài sản tài chính",
	MAX(CASE WHEN bsc.TEN_COT=N'Thuyết minh' AND bsh.MA_HANG = '30' THEN CAST(gt.GIA_TRI AS VARCHAR2(4000)) END) AS "(-) Tăng, (+) giảm phải thu và dự thu cổ tức, tiền lãi các tài sản tài chính",
	MAX(CASE WHEN bsc.TEN_COT=N'Thuyết minh' AND bsh.MA_HANG = '31' THEN CAST(gt.GIA_TRI AS VARCHAR2(4000)) END) AS "(-) Tăng, (+) giảm các khoản phải thu các dịch vụ CTCK cung cấp",
	MAX(CASE WHEN bsc.TEN_COT=N'Thuyết minh' AND bsh.MA_HANG = '32' THEN CAST(gt.GIA_TRI AS VARCHAR2(4000)) END) AS "(-) Tăng, (+) giảm các khoản phải thu về lỗi giao dịch các TSTC",
	MAX(CASE WHEN bsc.TEN_COT=N'Thuyết minh' AND bsh.MA_HANG = '33' THEN CAST(gt.GIA_TRI AS VARCHAR2(4000)) END) AS "(-) Tăng, (+) giảm các khoản phải thu khác",
	MAX(CASE WHEN bsc.TEN_COT=N'Thuyết minh' AND bsh.MA_HANG = '34' THEN CAST(gt.GIA_TRI AS VARCHAR2(4000)) END) AS "Tăng (giảm) các tài sản khác",
	MAX(CASE WHEN bsc.TEN_COT=N'Thuyết minh' AND bsh.MA_HANG = '35' THEN CAST(gt.GIA_TRI AS VARCHAR2(4000)) END) AS "Tăng (giảm) chi phí phải trả (không bao gồm chi phí lãi vay)",
	MAX(CASE WHEN bsc.TEN_COT=N'Thuyết minh' AND bsh.MA_HANG = '36' THEN CAST(gt.GIA_TRI AS VARCHAR2(4000)) END) AS "Tăng (giảm)  chi phí trả trước",
	MAX(CASE WHEN bsc.TEN_COT=N'Thuyết minh' AND bsh.MA_HANG = '37' THEN CAST(gt.GIA_TRI AS VARCHAR2(4000)) END) AS "(-) Thuế TNDN đã nộp",
	MAX(CASE WHEN bsc.TEN_COT=N'Thuyết minh' AND bsh.MA_HANG = '38' THEN CAST(gt.GIA_TRI AS VARCHAR2(4000)) END) AS "(-) Lãi vay đã trả",
	MAX(CASE WHEN bsc.TEN_COT=N'Thuyết minh' AND bsh.MA_HANG = '39' THEN CAST(gt.GIA_TRI AS VARCHAR2(4000)) END) AS "Tăng (giảm) phải trả cho người bán",
	MAX(CASE WHEN bsc.TEN_COT=N'Thuyết minh' AND bsh.MA_HANG = '40' THEN CAST(gt.GIA_TRI AS VARCHAR2(4000)) END) AS "Tăng (giảm) các khoản trích nộp phúc lợi nhân viên",
	MAX(CASE WHEN bsc.TEN_COT=N'Thuyết minh' AND bsh.MA_HANG = '41' THEN CAST(gt.GIA_TRI AS VARCHAR2(4000)) END) AS "Tăng (giảm) thuế và các khoản phải nộp Nhà nước (Không bao gồm thuế TNDN đã nộp)",
	MAX(CASE WHEN bsc.TEN_COT=N'Thuyết minh' AND bsh.MA_HANG = '42' THEN CAST(gt.GIA_TRI AS VARCHAR2(4000)) END) AS "Tăng (giảm) phải trả người lao động",
	MAX(CASE WHEN bsc.TEN_COT=N'Thuyết minh' AND bsh.MA_HANG = '43' THEN CAST(gt.GIA_TRI AS VARCHAR2(4000)) END) AS "Tăng (giảm) phải trả về lỗi giao dịch các TSTC",
	MAX(CASE WHEN bsc.TEN_COT=N'Thuyết minh' AND bsh.MA_HANG = '44' THEN CAST(gt.GIA_TRI AS VARCHAR2(4000)) END) AS "Tăng (giảm) phải trả, phải nộp khác",
	MAX(CASE WHEN bsc.TEN_COT=N'Thuyết minh' AND bsh.MA_HANG = '45' THEN CAST(gt.GIA_TRI AS VARCHAR2(4000)) END) AS "Tiền thu khác từ hoạt động kinh doanh",
	MAX(CASE WHEN bsc.TEN_COT=N'Thuyết minh' AND bsh.MA_HANG = '46' THEN CAST(gt.GIA_TRI AS VARCHAR2(4000)) END) AS "Tiền chi khác cho hoạt động kinh doanh",
	MAX(CASE WHEN bsc.TEN_COT=N'Thuyết minh' AND bsh.MA_HANG = '47' THEN CAST(gt.GIA_TRI AS VARCHAR2(4000)) END) AS "Lưu chuyển tiền thuần từ hoạt động kinh doanh",
	MAX(CASE WHEN bsc.TEN_COT=N'Thuyết minh' AND bsh.MA_HANG = '48' THEN CAST(gt.GIA_TRI AS VARCHAR2(4000)) END) AS "II. Lưu chuyển tiền từ hoạt động đầu tư",
	MAX(CASE WHEN bsc.TEN_COT=N'Thuyết minh' AND bsh.MA_HANG = '49' THEN CAST(gt.GIA_TRI AS VARCHAR2(4000)) END) AS "1. Tiền chi để mua sắm, xây dựng TSCĐ, BĐSĐT và các tài sản khác",
	MAX(CASE WHEN bsc.TEN_COT=N'Thuyết minh' AND bsh.MA_HANG = '50' THEN CAST(gt.GIA_TRI AS VARCHAR2(4000)) END) AS "2. Tiền thu từ thanh lý, nhượng bán TSCĐ, BĐSĐT và các tài sản khác",
	MAX(CASE WHEN bsc.TEN_COT=N'Thuyết minh' AND bsh.MA_HANG = '51' THEN CAST(gt.GIA_TRI AS VARCHAR2(4000)) END) AS "3. Tiền chi đầu tư vốn vào công ty con, công ty liên doanh, liên kết và đầu tư khác",
	MAX(CASE WHEN bsc.TEN_COT=N'Thuyết minh' AND bsh.MA_HANG = '52' THEN CAST(gt.GIA_TRI AS VARCHAR2(4000)) END) AS "4. Tiền thu hồi các khoản đầu tư vào công ty con, công ty liên doanh, liên kết và đầu tư khác",
	MAX(CASE WHEN bsc.TEN_COT=N'Thuyết minh' AND bsh.MA_HANG = '53' THEN CAST(gt.GIA_TRI AS VARCHAR2(4000)) END) AS "5. Tiền thu về cổ tức và lợi nhuận được chia từ các khoản đầu tư tài chính dài hạn",
	MAX(CASE WHEN bsc.TEN_COT=N'Thuyết minh' AND bsh.MA_HANG = '54' THEN CAST(gt.GIA_TRI AS VARCHAR2(4000)) END) AS "Lưu chuyển tiền thuần từ hoạt động đầu tư",
	MAX(CASE WHEN bsc.TEN_COT=N'Thuyết minh' AND bsh.MA_HANG = '55' THEN CAST(gt.GIA_TRI AS VARCHAR2(4000)) END) AS "III. Lưu chuyển tiền từ hoạt động tài chính",
	MAX(CASE WHEN bsc.TEN_COT=N'Thuyết minh' AND bsh.MA_HANG = '56' THEN CAST(gt.GIA_TRI AS VARCHAR2(4000)) END) AS "1.Tiền thu từ phát hành cổ phiếu, nhận vốn góp của chủ sở hữu",
	MAX(CASE WHEN bsc.TEN_COT=N'Thuyết minh' AND bsh.MA_HANG = '57' THEN CAST(gt.GIA_TRI AS VARCHAR2(4000)) END) AS "2. Tiền chi trả vốn góp cho chủ sở hữu, mua lại cổ phiếu phát hành",
	MAX(CASE WHEN bsc.TEN_COT=N'Thuyết minh' AND bsh.MA_HANG = '58' THEN CAST(gt.GIA_TRI AS VARCHAR2(4000)) END) AS "3. Tiền vay gốc",
	MAX(CASE WHEN bsc.TEN_COT=N'Thuyết minh' AND bsh.MA_HANG = '59' THEN CAST(gt.GIA_TRI AS VARCHAR2(4000)) END) AS "3.1. Tiền vay Quỹ Hỗ trợ thanh toán",
	MAX(CASE WHEN bsc.TEN_COT=N'Thuyết minh' AND bsh.MA_HANG = '60' THEN CAST(gt.GIA_TRI AS VARCHAR2(4000)) END) AS "3.2. Tiền vay khác",
	MAX(CASE WHEN bsc.TEN_COT=N'Thuyết minh' AND bsh.MA_HANG = '61' THEN CAST(gt.GIA_TRI AS VARCHAR2(4000)) END) AS "4. Tiền chi trả nợ gốc vay",
	MAX(CASE WHEN bsc.TEN_COT=N'Thuyết minh' AND bsh.MA_HANG = '62' THEN CAST(gt.GIA_TRI AS VARCHAR2(4000)) END) AS "4.1. Tiền chi trả gốc vay Quỹ Hỗ trợ thanh toán",
	MAX(CASE WHEN bsc.TEN_COT=N'Thuyết minh' AND bsh.MA_HANG = '63' THEN CAST(gt.GIA_TRI AS VARCHAR2(4000)) END) AS "4.2. Tiền chi trả nợ gốc vay tài sản tài chính",
	MAX(CASE WHEN bsc.TEN_COT=N'Thuyết minh' AND bsh.MA_HANG = '64' THEN CAST(gt.GIA_TRI AS VARCHAR2(4000)) END) AS "4.3. Tiền chi trả gốc vay khác",
	MAX(CASE WHEN bsc.TEN_COT=N'Thuyết minh' AND bsh.MA_HANG = '65' THEN CAST(gt.GIA_TRI AS VARCHAR2(4000)) END) AS "5. Tiền chi trả nợ gốc thuê tài chính",
	MAX(CASE WHEN bsc.TEN_COT=N'Thuyết minh' AND bsh.MA_HANG = '66' THEN CAST(gt.GIA_TRI AS VARCHAR2(4000)) END) AS "6. Cổ tức, lợi nhuận đã trả cho chủ sở hữu",
	MAX(CASE WHEN bsc.TEN_COT=N'Thuyết minh' AND bsh.MA_HANG = '67' THEN CAST(gt.GIA_TRI AS VARCHAR2(4000)) END) AS "Lưu chuyển tiền thuần từ hoạt động tài chính",
	MAX(CASE WHEN bsc.TEN_COT=N'Thuyết minh' AND bsh.MA_HANG = '68' THEN CAST(gt.GIA_TRI AS VARCHAR2(4000)) END) AS "IV. Tăng/giảm tiền thuần trong kỳ",
	MAX(CASE WHEN bsc.TEN_COT=N'Thuyết minh' AND bsh.MA_HANG = '69' THEN CAST(gt.GIA_TRI AS VARCHAR2(4000)) END) AS "V. Tiền và các khoản tương đương tiền đầu kỳ",
	MAX(CASE WHEN bsc.TEN_COT=N'Thuyết minh' AND bsh.MA_HANG = '70' THEN CAST(gt.GIA_TRI AS VARCHAR2(4000)) END) AS "Tiền - Đầu kỳ",
	MAX(CASE WHEN bsc.TEN_COT=N'Thuyết minh' AND bsh.MA_HANG = '71' THEN CAST(gt.GIA_TRI AS VARCHAR2(4000)) END) AS "Các khoản tương đương tiền - Đầu kỳ",
	MAX(CASE WHEN bsc.TEN_COT=N'Thuyết minh' AND bsh.MA_HANG = '72' THEN CAST(gt.GIA_TRI AS VARCHAR2(4000)) END) AS "Ảnh hưởng của thay đổi tỷ giá hối đoái quy đổi ngoại tệ - Đầu kỳ",
	MAX(CASE WHEN bsc.TEN_COT=N'Thuyết minh' AND bsh.MA_HANG = '73' THEN CAST(gt.GIA_TRI AS VARCHAR2(4000)) END) AS "VI. Tiền và các khoản tương đương tiền cuối kỳ",
	MAX(CASE WHEN bsc.TEN_COT=N'Thuyết minh' AND bsh.MA_HANG = '74' THEN CAST(gt.GIA_TRI AS VARCHAR2(4000)) END) AS "Tiền - Cuối kỳ",
	MAX(CASE WHEN bsc.TEN_COT=N'Thuyết minh' AND bsh.MA_HANG = '75' THEN CAST(gt.GIA_TRI AS VARCHAR2(4000)) END) AS "Các khoản tương đương tiền - Cuối kỳ",
	MAX(CASE WHEN bsc.TEN_COT=N'Thuyết minh' AND bsh.MA_HANG = '76' THEN CAST(gt.GIA_TRI AS VARCHAR2(4000)) END) AS "Ảnh hưởng của thay đổi tỷ giá hối đoái quy đổi ngoại tệ - Cuối kỳ",	    
    -- Năm nay
	MAX(CASE WHEN bsc.TEN_COT=N'Năm nay' AND bsh.MA_HANG = '2' THEN CAST(gt.GIA_TRI AS VARCHAR2(4000)) END) AS "I. Lưu chuyển tiền từ hoạt động kinh doanh",
	MAX(CASE WHEN bsc.TEN_COT=N'Năm nay' AND bsh.MA_HANG = '3' THEN CAST(gt.GIA_TRI AS VARCHAR2(4000)) END) AS "1. Lợi nhuận trước Thuế Thu nhập doanh nghiệp",
	MAX(CASE WHEN bsc.TEN_COT=N'Năm nay' AND bsh.MA_HANG = '4' THEN CAST(gt.GIA_TRI AS VARCHAR2(4000)) END) AS "2. Điều chỉnh cho các khoản",
	MAX(CASE WHEN bsc.TEN_COT=N'Năm nay' AND bsh.MA_HANG = '5' THEN CAST(gt.GIA_TRI AS VARCHAR2(4000)) END) AS "Khấu hao TSCĐ",
	MAX(CASE WHEN bsc.TEN_COT=N'Năm nay' AND bsh.MA_HANG = '6' THEN CAST(gt.GIA_TRI AS VARCHAR2(4000)) END) AS "Các khoản dự phòng",
	MAX(CASE WHEN bsc.TEN_COT=N'Năm nay' AND bsh.MA_HANG = '7' THEN CAST(gt.GIA_TRI AS VARCHAR2(4000)) END) AS "(- Lãi) hoặc (+ lỗ) chênh lệch tỷ giá hối đoái chưa thực hiện",
	MAX(CASE WHEN bsc.TEN_COT=N'Năm nay' AND bsh.MA_HANG = '8' THEN CAST(gt.GIA_TRI AS VARCHAR2(4000)) END) AS "Chi phí lãi vay",
	MAX(CASE WHEN bsc.TEN_COT=N'Năm nay' AND bsh.MA_HANG = '9' THEN CAST(gt.GIA_TRI AS VARCHAR2(4000)) END) AS "Lãi, lỗ từ hoạt động đầu tư",
	MAX(CASE WHEN bsc.TEN_COT=N'Năm nay' AND bsh.MA_HANG = '10' THEN CAST(gt.GIA_TRI AS VARCHAR2(4000)) END) AS "Dự thu tiền lãi", 
	MAX(CASE WHEN bsc.TEN_COT=N'Năm nay' AND bsh.MA_HANG = '11' THEN CAST(gt.GIA_TRI AS VARCHAR2(4000)) END) AS "Các khoản điều chỉnh khác",
	MAX(CASE WHEN bsc.TEN_COT=N'Năm nay' AND bsh.MA_HANG = '12' THEN CAST(gt.GIA_TRI AS VARCHAR2(4000)) END) AS "3. Tăng các chi phí phi tiền tệ",
	MAX(CASE WHEN bsc.TEN_COT=N'Năm nay' AND bsh.MA_HANG = '13' THEN CAST(gt.GIA_TRI AS VARCHAR2(4000)) END) AS "Lỗ đánh giá lại giá trị các tài sản tài chính ghi nhận thông qua lãi/lỗ FVTPL",
	MAX(CASE WHEN bsc.TEN_COT=N'Năm nay' AND bsh.MA_HANG = '14' THEN CAST(gt.GIA_TRI AS VARCHAR2(4000)) END) AS "Lỗ suy giảm giá trị Các khoản đầu tư nắm giữ đến ngày đáo hạn (HTM)",
	MAX(CASE WHEN bsc.TEN_COT=N'Năm nay' AND bsh.MA_HANG = '15' THEN CAST(gt.GIA_TRI AS VARCHAR2(4000)) END) AS "Lỗ suy giảm giá trị Các khoản cho vay",
	MAX(CASE WHEN bsc.TEN_COT=N'Năm nay' AND bsh.MA_HANG = '16' THEN CAST(gt.GIA_TRI AS VARCHAR2(4000)) END) AS "Lỗ về ghi nhận chênh lệch đánh giá theo giá trị hợp lý TSTC sẵn sàng để bán AFS khi phân loại lại",
	MAX(CASE WHEN bsc.TEN_COT=N'Năm nay' AND bsh.MA_HANG = '17' THEN CAST(gt.GIA_TRI AS VARCHAR2(4000)) END) AS "Suy giảm giá trị của các tài sản cố định, BĐSĐT",
	MAX(CASE WHEN bsc.TEN_COT=N'Năm nay' AND bsh.MA_HANG = '18' THEN CAST(gt.GIA_TRI AS VARCHAR2(4000)) END) AS "Chi phí dự phòng suy giảm giá trị các khoản đầu tư tài chính dài hạn",
	MAX(CASE WHEN bsc.TEN_COT=N'Năm nay' AND bsh.MA_HANG = '19' THEN CAST(gt.GIA_TRI AS VARCHAR2(4000)) END) AS "Lỗ khác",
	MAX(CASE WHEN bsc.TEN_COT=N'Năm nay' AND bsh.MA_HANG = '20' THEN CAST(gt.GIA_TRI AS VARCHAR2(4000)) END) AS "4. Giảm các doanh thu phi tiền tệ",
	MAX(CASE WHEN bsc.TEN_COT=N'Năm nay' AND bsh.MA_HANG = '21' THEN CAST(gt.GIA_TRI AS VARCHAR2(4000)) END) AS "Lãi đánh giá lại giá trị các tài sản tài chính ghi nhận thông qua lãi/lỗ FVTPL",
	MAX(CASE WHEN bsc.TEN_COT=N'Năm nay' AND bsh.MA_HANG = '22' THEN CAST(gt.GIA_TRI AS VARCHAR2(4000)) END) AS "Lãi về ghi nhận chênh lệch đánh giá theo giá trị hợp lý TSTC sẵn sàng để bán (AFS) khi phân loại lại",
	MAX(CASE WHEN bsc.TEN_COT=N'Năm nay' AND bsh.MA_HANG = '23' THEN CAST(gt.GIA_TRI AS VARCHAR2(4000)) END) AS "Lãi khác",
	MAX(CASE WHEN bsc.TEN_COT=N'Năm nay' AND bsh.MA_HANG = '24' THEN CAST(gt.GIA_TRI AS VARCHAR2(4000)) END) AS "5. Lợi nhuận từ hoạt động kinh doanh trước thay đổi vốn lưu động",
	MAX(CASE WHEN bsc.TEN_COT=N'Năm nay' AND bsh.MA_HANG = '25' THEN CAST(gt.GIA_TRI AS VARCHAR2(4000)) END) AS "Tăng (giảm) tài sản tài chính ghi nhận thông qua lãi/lỗ FVTPL",
	MAX(CASE WHEN bsc.TEN_COT=N'Năm nay' AND bsh.MA_HANG = '26' THEN CAST(gt.GIA_TRI AS VARCHAR2(4000)) END) AS "Tăng (giảm) Các khoản đầu tư nắm giữ đến ngày đáo hạn (HTM)",
	MAX(CASE WHEN bsc.TEN_COT=N'Năm nay' AND bsh.MA_HANG = '27' THEN CAST(gt.GIA_TRI AS VARCHAR2(4000)) END) AS "Tăng (giảm) Các khoản cho vay", 
	MAX(CASE WHEN bsc.TEN_COT=N'Năm nay' AND bsh.MA_HANG = '28' THEN CAST(gt.GIA_TRI AS VARCHAR2(4000)) END) AS "Tăng (giảm) tài sản tài chính sẵn sàng để bán AFS",
	MAX(CASE WHEN bsc.TEN_COT=N'Năm nay' AND bsh.MA_HANG = '29' THEN CAST(gt.GIA_TRI AS VARCHAR2(4000)) END) AS "(-) Tăng, (+) giảm phải thu bán các tài sản tài chính",
	MAX(CASE WHEN bsc.TEN_COT=N'Năm nay' AND bsh.MA_HANG = '30' THEN CAST(gt.GIA_TRI AS VARCHAR2(4000)) END) AS "(-) Tăng, (+) giảm phải thu và dự thu cổ tức, tiền lãi các tài sản tài chính",
	MAX(CASE WHEN bsc.TEN_COT=N'Năm nay' AND bsh.MA_HANG = '31' THEN CAST(gt.GIA_TRI AS VARCHAR2(4000)) END) AS "(-) Tăng, (+) giảm các khoản phải thu các dịch vụ CTCK cung cấp",
	MAX(CASE WHEN bsc.TEN_COT=N'Năm nay' AND bsh.MA_HANG = '32' THEN CAST(gt.GIA_TRI AS VARCHAR2(4000)) END) AS "(-) Tăng, (+) giảm các khoản phải thu về lỗi giao dịch các TSTC",
	MAX(CASE WHEN bsc.TEN_COT=N'Năm nay' AND bsh.MA_HANG = '33' THEN CAST(gt.GIA_TRI AS VARCHAR2(4000)) END) AS "(-) Tăng, (+) giảm các khoản phải thu khác",
	MAX(CASE WHEN bsc.TEN_COT=N'Năm nay' AND bsh.MA_HANG = '34' THEN CAST(gt.GIA_TRI AS VARCHAR2(4000)) END) AS "Tăng (giảm) các tài sản khác",
	MAX(CASE WHEN bsc.TEN_COT=N'Năm nay' AND bsh.MA_HANG = '35' THEN CAST(gt.GIA_TRI AS VARCHAR2(4000)) END) AS "Tăng (giảm) chi phí phải trả (không bao gồm chi phí lãi vay)",
	MAX(CASE WHEN bsc.TEN_COT=N'Năm nay' AND bsh.MA_HANG = '36' THEN CAST(gt.GIA_TRI AS VARCHAR2(4000)) END) AS "Tăng (giảm)  chi phí trả trước",
	MAX(CASE WHEN bsc.TEN_COT=N'Năm nay' AND bsh.MA_HANG = '37' THEN CAST(gt.GIA_TRI AS VARCHAR2(4000)) END) AS "(-) Thuế TNDN đã nộp",
	MAX(CASE WHEN bsc.TEN_COT=N'Năm nay' AND bsh.MA_HANG = '38' THEN CAST(gt.GIA_TRI AS VARCHAR2(4000)) END) AS "(-) Lãi vay đã trả",
	MAX(CASE WHEN bsc.TEN_COT=N'Năm nay' AND bsh.MA_HANG = '39' THEN CAST(gt.GIA_TRI AS VARCHAR2(4000)) END) AS "Tăng (giảm) phải trả cho người bán",
	MAX(CASE WHEN bsc.TEN_COT=N'Năm nay' AND bsh.MA_HANG = '40' THEN CAST(gt.GIA_TRI AS VARCHAR2(4000)) END) AS "Tăng (giảm) các khoản trích nộp phúc lợi nhân viên",
	MAX(CASE WHEN bsc.TEN_COT=N'Năm nay' AND bsh.MA_HANG = '41' THEN CAST(gt.GIA_TRI AS VARCHAR2(4000)) END) AS "Tăng (giảm) thuế và các khoản phải nộp Nhà nước (Không bao gồm thuế TNDN đã nộp)",
	MAX(CASE WHEN bsc.TEN_COT=N'Năm nay' AND bsh.MA_HANG = '42' THEN CAST(gt.GIA_TRI AS VARCHAR2(4000)) END) AS "Tăng (giảm) phải trả người lao động",
	MAX(CASE WHEN bsc.TEN_COT=N'Năm nay' AND bsh.MA_HANG = '43' THEN CAST(gt.GIA_TRI AS VARCHAR2(4000)) END) AS "Tăng (giảm) phải trả về lỗi giao dịch các TSTC",
	MAX(CASE WHEN bsc.TEN_COT=N'Năm nay' AND bsh.MA_HANG = '44' THEN CAST(gt.GIA_TRI AS VARCHAR2(4000)) END) AS "Tăng (giảm) phải trả, phải nộp khác",
	MAX(CASE WHEN bsc.TEN_COT=N'Năm nay' AND bsh.MA_HANG = '45' THEN CAST(gt.GIA_TRI AS VARCHAR2(4000)) END) AS "Tiền thu khác từ hoạt động kinh doanh",
	MAX(CASE WHEN bsc.TEN_COT=N'Năm nay' AND bsh.MA_HANG = '46' THEN CAST(gt.GIA_TRI AS VARCHAR2(4000)) END) AS "Tiền chi khác cho hoạt động kinh doanh",
	MAX(CASE WHEN bsc.TEN_COT=N'Năm nay' AND bsh.MA_HANG = '47' THEN CAST(gt.GIA_TRI AS VARCHAR2(4000)) END) AS "Lưu chuyển tiền thuần từ hoạt động kinh doanh",
	MAX(CASE WHEN bsc.TEN_COT=N'Năm nay' AND bsh.MA_HANG = '48' THEN CAST(gt.GIA_TRI AS VARCHAR2(4000)) END) AS "II. Lưu chuyển tiền từ hoạt động đầu tư",
	MAX(CASE WHEN bsc.TEN_COT=N'Năm nay' AND bsh.MA_HANG = '49' THEN CAST(gt.GIA_TRI AS VARCHAR2(4000)) END) AS "1. Tiền chi để mua sắm, xây dựng TSCĐ, BĐSĐT và các tài sản khác",
	MAX(CASE WHEN bsc.TEN_COT=N'Năm nay' AND bsh.MA_HANG = '50' THEN CAST(gt.GIA_TRI AS VARCHAR2(4000)) END) AS "2. Tiền thu từ thanh lý, nhượng bán TSCĐ, BĐSĐT và các tài sản khác",
	MAX(CASE WHEN bsc.TEN_COT=N'Năm nay' AND bsh.MA_HANG = '51' THEN CAST(gt.GIA_TRI AS VARCHAR2(4000)) END) AS "3. Tiền chi đầu tư vốn vào công ty con, công ty liên doanh, liên kết và đầu tư khác",
	MAX(CASE WHEN bsc.TEN_COT=N'Năm nay' AND bsh.MA_HANG = '52' THEN CAST(gt.GIA_TRI AS VARCHAR2(4000)) END) AS "4. Tiền thu hồi các khoản đầu tư vào công ty con, công ty liên doanh, liên kết và đầu tư khác",
	MAX(CASE WHEN bsc.TEN_COT=N'Năm nay' AND bsh.MA_HANG = '53' THEN CAST(gt.GIA_TRI AS VARCHAR2(4000)) END) AS "5. Tiền thu về cổ tức và lợi nhuận được chia từ các khoản đầu tư tài chính dài hạn",
	MAX(CASE WHEN bsc.TEN_COT=N'Năm nay' AND bsh.MA_HANG = '54' THEN CAST(gt.GIA_TRI AS VARCHAR2(4000)) END) AS "Lưu chuyển tiền thuần từ hoạt động đầu tư",
	MAX(CASE WHEN bsc.TEN_COT=N'Năm nay' AND bsh.MA_HANG = '55' THEN CAST(gt.GIA_TRI AS VARCHAR2(4000)) END) AS "III. Lưu chuyển tiền từ hoạt động tài chính",
	MAX(CASE WHEN bsc.TEN_COT=N'Năm nay' AND bsh.MA_HANG = '56' THEN CAST(gt.GIA_TRI AS VARCHAR2(4000)) END) AS "1.Tiền thu từ phát hành cổ phiếu, nhận vốn góp của chủ sở hữu",
	MAX(CASE WHEN bsc.TEN_COT=N'Năm nay' AND bsh.MA_HANG = '57' THEN CAST(gt.GIA_TRI AS VARCHAR2(4000)) END) AS "2. Tiền chi trả vốn góp cho chủ sở hữu, mua lại cổ phiếu phát hành",
	MAX(CASE WHEN bsc.TEN_COT=N'Năm nay' AND bsh.MA_HANG = '58' THEN CAST(gt.GIA_TRI AS VARCHAR2(4000)) END) AS "3. Tiền vay gốc",
	MAX(CASE WHEN bsc.TEN_COT=N'Năm nay' AND bsh.MA_HANG = '59' THEN CAST(gt.GIA_TRI AS VARCHAR2(4000)) END) AS "3.1. Tiền vay Quỹ Hỗ trợ thanh toán",
	MAX(CASE WHEN bsc.TEN_COT=N'Năm nay' AND bsh.MA_HANG = '60' THEN CAST(gt.GIA_TRI AS VARCHAR2(4000)) END) AS "3.2. Tiền vay khác",
	MAX(CASE WHEN bsc.TEN_COT=N'Năm nay' AND bsh.MA_HANG = '61' THEN CAST(gt.GIA_TRI AS VARCHAR2(4000)) END) AS "4. Tiền chi trả nợ gốc vay",
	MAX(CASE WHEN bsc.TEN_COT=N'Năm nay' AND bsh.MA_HANG = '62' THEN CAST(gt.GIA_TRI AS VARCHAR2(4000)) END) AS "4.1. Tiền chi trả gốc vay Quỹ Hỗ trợ thanh toán",
	MAX(CASE WHEN bsc.TEN_COT=N'Năm nay' AND bsh.MA_HANG = '63' THEN CAST(gt.GIA_TRI AS VARCHAR2(4000)) END) AS "4.2. Tiền chi trả nợ gốc vay tài sản tài chính",
	MAX(CASE WHEN bsc.TEN_COT=N'Năm nay' AND bsh.MA_HANG = '64' THEN CAST(gt.GIA_TRI AS VARCHAR2(4000)) END) AS "4.3. Tiền chi trả gốc vay khác",
	MAX(CASE WHEN bsc.TEN_COT=N'Năm nay' AND bsh.MA_HANG = '65' THEN CAST(gt.GIA_TRI AS VARCHAR2(4000)) END) AS "5. Tiền chi trả nợ gốc thuê tài chính",
	MAX(CASE WHEN bsc.TEN_COT=N'Năm nay' AND bsh.MA_HANG = '66' THEN CAST(gt.GIA_TRI AS VARCHAR2(4000)) END) AS "6. Cổ tức, lợi nhuận đã trả cho chủ sở hữu",
	MAX(CASE WHEN bsc.TEN_COT=N'Năm nay' AND bsh.MA_HANG = '67' THEN CAST(gt.GIA_TRI AS VARCHAR2(4000)) END) AS "Lưu chuyển tiền thuần từ hoạt động tài chính",
	MAX(CASE WHEN bsc.TEN_COT=N'Năm nay' AND bsh.MA_HANG = '68' THEN CAST(gt.GIA_TRI AS VARCHAR2(4000)) END) AS "IV. Tăng/giảm tiền thuần trong kỳ",
	MAX(CASE WHEN bsc.TEN_COT=N'Năm nay' AND bsh.MA_HANG = '69' THEN CAST(gt.GIA_TRI AS VARCHAR2(4000)) END) AS "V. Tiền và các khoản tương đương tiền đầu kỳ",
	MAX(CASE WHEN bsc.TEN_COT=N'Năm nay' AND bsh.MA_HANG = '70' THEN CAST(gt.GIA_TRI AS VARCHAR2(4000)) END) AS "Tiền - Đầu kỳ",
	MAX(CASE WHEN bsc.TEN_COT=N'Năm nay' AND bsh.MA_HANG = '71' THEN CAST(gt.GIA_TRI AS VARCHAR2(4000)) END) AS "Các khoản tương đương tiền - Đầu kỳ",
	MAX(CASE WHEN bsc.TEN_COT=N'Năm nay' AND bsh.MA_HANG = '72' THEN CAST(gt.GIA_TRI AS VARCHAR2(4000)) END) AS "Ảnh hưởng của thay đổi tỷ giá hối đoái quy đổi ngoại tệ - Đầu kỳ",
	MAX(CASE WHEN bsc.TEN_COT=N'Năm nay' AND bsh.MA_HANG = '73' THEN CAST(gt.GIA_TRI AS VARCHAR2(4000)) END) AS "VI. Tiền và các khoản tương đương tiền cuối kỳ",
	MAX(CASE WHEN bsc.TEN_COT=N'Năm nay' AND bsh.MA_HANG = '74' THEN CAST(gt.GIA_TRI AS VARCHAR2(4000)) END) AS "Tiền - Cuối kỳ",
	MAX(CASE WHEN bsc.TEN_COT=N'Năm nay' AND bsh.MA_HANG = '75' THEN CAST(gt.GIA_TRI AS VARCHAR2(4000)) END) AS "Các khoản tương đương tiền - Cuối kỳ",
	MAX(CASE WHEN bsc.TEN_COT=N'Năm nay' AND bsh.MA_HANG = '76' THEN CAST(gt.GIA_TRI AS VARCHAR2(4000)) END) AS "Ảnh hưởng của thay đổi tỷ giá hối đoái quy đổi ngoại tệ - Cuối kỳ",	    
    -- Năm trước
	MAX(CASE WHEN bsc.TEN_COT=N'Năm trước' AND bsh.MA_HANG = '2' THEN CAST(gt.GIA_TRI AS VARCHAR2(4000)) END) AS "I. Lưu chuyển tiền từ hoạt động kinh doanh",
	MAX(CASE WHEN bsc.TEN_COT=N'Năm trước' AND bsh.MA_HANG = '3' THEN CAST(gt.GIA_TRI AS VARCHAR2(4000)) END) AS "1. Lợi nhuận trước Thuế Thu nhập doanh nghiệp",
	MAX(CASE WHEN bsc.TEN_COT=N'Năm trước' AND bsh.MA_HANG = '4' THEN CAST(gt.GIA_TRI AS VARCHAR2(4000)) END) AS "2. Điều chỉnh cho các khoản",
	MAX(CASE WHEN bsc.TEN_COT=N'Năm trước' AND bsh.MA_HANG = '5' THEN CAST(gt.GIA_TRI AS VARCHAR2(4000)) END) AS "Khấu hao TSCĐ",
	MAX(CASE WHEN bsc.TEN_COT=N'Năm trước' AND bsh.MA_HANG = '6' THEN CAST(gt.GIA_TRI AS VARCHAR2(4000)) END) AS "Các khoản dự phòng",
	MAX(CASE WHEN bsc.TEN_COT=N'Năm trước' AND bsh.MA_HANG = '7' THEN CAST(gt.GIA_TRI AS VARCHAR2(4000)) END) AS "(- Lãi) hoặc (+ lỗ) chênh lệch tỷ giá hối đoái chưa thực hiện",
	MAX(CASE WHEN bsc.TEN_COT=N'Năm trước' AND bsh.MA_HANG = '8' THEN CAST(gt.GIA_TRI AS VARCHAR2(4000)) END) AS "Chi phí lãi vay",
	MAX(CASE WHEN bsc.TEN_COT=N'Năm trước' AND bsh.MA_HANG = '9' THEN CAST(gt.GIA_TRI AS VARCHAR2(4000)) END) AS "Lãi, lỗ từ hoạt động đầu tư",
	MAX(CASE WHEN bsc.TEN_COT=N'Năm trước' AND bsh.MA_HANG = '10' THEN CAST(gt.GIA_TRI AS VARCHAR2(4000)) END) AS "Dự thu tiền lãi", 
	MAX(CASE WHEN bsc.TEN_COT=N'Năm trước' AND bsh.MA_HANG = '11' THEN CAST(gt.GIA_TRI AS VARCHAR2(4000)) END) AS "Các khoản điều chỉnh khác",
	MAX(CASE WHEN bsc.TEN_COT=N'Năm trước' AND bsh.MA_HANG = '12' THEN CAST(gt.GIA_TRI AS VARCHAR2(4000)) END) AS "3. Tăng các chi phí phi tiền tệ",
	MAX(CASE WHEN bsc.TEN_COT=N'Năm trước' AND bsh.MA_HANG = '13' THEN CAST(gt.GIA_TRI AS VARCHAR2(4000)) END) AS "Lỗ đánh giá lại giá trị các tài sản tài chính ghi nhận thông qua lãi/lỗ FVTPL",
	MAX(CASE WHEN bsc.TEN_COT=N'Năm trước' AND bsh.MA_HANG = '14' THEN CAST(gt.GIA_TRI AS VARCHAR2(4000)) END) AS "Lỗ suy giảm giá trị Các khoản đầu tư nắm giữ đến ngày đáo hạn (HTM)",
	MAX(CASE WHEN bsc.TEN_COT=N'Năm trước' AND bsh.MA_HANG = '15' THEN CAST(gt.GIA_TRI AS VARCHAR2(4000)) END) AS "Lỗ suy giảm giá trị Các khoản cho vay",
	MAX(CASE WHEN bsc.TEN_COT=N'Năm trước' AND bsh.MA_HANG = '16' THEN CAST(gt.GIA_TRI AS VARCHAR2(4000)) END) AS "Lỗ về ghi nhận chênh lệch đánh giá theo giá trị hợp lý TSTC sẵn sàng để bán AFS khi phân loại lại",
	MAX(CASE WHEN bsc.TEN_COT=N'Năm trước' AND bsh.MA_HANG = '17' THEN CAST(gt.GIA_TRI AS VARCHAR2(4000)) END) AS "Suy giảm giá trị của các tài sản cố định, BĐSĐT",
	MAX(CASE WHEN bsc.TEN_COT=N'Năm trước' AND bsh.MA_HANG = '18' THEN CAST(gt.GIA_TRI AS VARCHAR2(4000)) END) AS "Chi phí dự phòng suy giảm giá trị các khoản đầu tư tài chính dài hạn",
	MAX(CASE WHEN bsc.TEN_COT=N'Năm trước' AND bsh.MA_HANG = '19' THEN CAST(gt.GIA_TRI AS VARCHAR2(4000)) END) AS "Lỗ khác",
	MAX(CASE WHEN bsc.TEN_COT=N'Năm trước' AND bsh.MA_HANG = '20' THEN CAST(gt.GIA_TRI AS VARCHAR2(4000)) END) AS "4. Giảm các doanh thu phi tiền tệ",
	MAX(CASE WHEN bsc.TEN_COT=N'Năm trước' AND bsh.MA_HANG = '21' THEN CAST(gt.GIA_TRI AS VARCHAR2(4000)) END) AS "Lãi đánh giá lại giá trị các tài sản tài chính ghi nhận thông qua lãi/lỗ FVTPL",
	MAX(CASE WHEN bsc.TEN_COT=N'Năm trước' AND bsh.MA_HANG = '22' THEN CAST(gt.GIA_TRI AS VARCHAR2(4000)) END) AS "Lãi về ghi nhận chênh lệch đánh giá theo giá trị hợp lý TSTC sẵn sàng để bán (AFS) khi phân loại lại",
	MAX(CASE WHEN bsc.TEN_COT=N'Năm trước' AND bsh.MA_HANG = '23' THEN CAST(gt.GIA_TRI AS VARCHAR2(4000)) END) AS "Lãi khác",
	MAX(CASE WHEN bsc.TEN_COT=N'Năm trước' AND bsh.MA_HANG = '24' THEN CAST(gt.GIA_TRI AS VARCHAR2(4000)) END) AS "5. Lợi nhuận từ hoạt động kinh doanh trước thay đổi vốn lưu động",
	MAX(CASE WHEN bsc.TEN_COT=N'Năm trước' AND bsh.MA_HANG = '25' THEN CAST(gt.GIA_TRI AS VARCHAR2(4000)) END) AS "Tăng (giảm) tài sản tài chính ghi nhận thông qua lãi/lỗ FVTPL",
	MAX(CASE WHEN bsc.TEN_COT=N'Năm trước' AND bsh.MA_HANG = '26' THEN CAST(gt.GIA_TRI AS VARCHAR2(4000)) END) AS "Tăng (giảm) Các khoản đầu tư nắm giữ đến ngày đáo hạn (HTM)",
	MAX(CASE WHEN bsc.TEN_COT=N'Năm trước' AND bsh.MA_HANG = '27' THEN CAST(gt.GIA_TRI AS VARCHAR2(4000)) END) AS "Tăng (giảm) Các khoản cho vay", 
	MAX(CASE WHEN bsc.TEN_COT=N'Năm trước' AND bsh.MA_HANG = '28' THEN CAST(gt.GIA_TRI AS VARCHAR2(4000)) END) AS "Tăng (giảm) tài sản tài chính sẵn sàng để bán AFS",
	MAX(CASE WHEN bsc.TEN_COT=N'Năm trước' AND bsh.MA_HANG = '29' THEN CAST(gt.GIA_TRI AS VARCHAR2(4000)) END) AS "(-) Tăng, (+) giảm phải thu bán các tài sản tài chính",
	MAX(CASE WHEN bsc.TEN_COT=N'Năm trước' AND bsh.MA_HANG = '30' THEN CAST(gt.GIA_TRI AS VARCHAR2(4000)) END) AS "(-) Tăng, (+) giảm phải thu và dự thu cổ tức, tiền lãi các tài sản tài chính",
	MAX(CASE WHEN bsc.TEN_COT=N'Năm trước' AND bsh.MA_HANG = '31' THEN CAST(gt.GIA_TRI AS VARCHAR2(4000)) END) AS "(-) Tăng, (+) giảm các khoản phải thu các dịch vụ CTCK cung cấp",
	MAX(CASE WHEN bsc.TEN_COT=N'Năm trước' AND bsh.MA_HANG = '32' THEN CAST(gt.GIA_TRI AS VARCHAR2(4000)) END) AS "(-) Tăng, (+) giảm các khoản phải thu về lỗi giao dịch các TSTC",
	MAX(CASE WHEN bsc.TEN_COT=N'Năm trước' AND bsh.MA_HANG = '33' THEN CAST(gt.GIA_TRI AS VARCHAR2(4000)) END) AS "(-) Tăng, (+) giảm các khoản phải thu khác",
	MAX(CASE WHEN bsc.TEN_COT=N'Năm trước' AND bsh.MA_HANG = '34' THEN CAST(gt.GIA_TRI AS VARCHAR2(4000)) END) AS "Tăng (giảm) các tài sản khác",
	MAX(CASE WHEN bsc.TEN_COT=N'Năm trước' AND bsh.MA_HANG = '35' THEN CAST(gt.GIA_TRI AS VARCHAR2(4000)) END) AS "Tăng (giảm) chi phí phải trả (không bao gồm chi phí lãi vay)",
	MAX(CASE WHEN bsc.TEN_COT=N'Năm trước' AND bsh.MA_HANG = '36' THEN CAST(gt.GIA_TRI AS VARCHAR2(4000)) END) AS "Tăng (giảm)  chi phí trả trước",
	MAX(CASE WHEN bsc.TEN_COT=N'Năm trước' AND bsh.MA_HANG = '37' THEN CAST(gt.GIA_TRI AS VARCHAR2(4000)) END) AS "(-) Thuế TNDN đã nộp",
	MAX(CASE WHEN bsc.TEN_COT=N'Năm trước' AND bsh.MA_HANG = '38' THEN CAST(gt.GIA_TRI AS VARCHAR2(4000)) END) AS "(-) Lãi vay đã trả",
	MAX(CASE WHEN bsc.TEN_COT=N'Năm trước' AND bsh.MA_HANG = '39' THEN CAST(gt.GIA_TRI AS VARCHAR2(4000)) END) AS "Tăng (giảm) phải trả cho người bán",
	MAX(CASE WHEN bsc.TEN_COT=N'Năm trước' AND bsh.MA_HANG = '40' THEN CAST(gt.GIA_TRI AS VARCHAR2(4000)) END) AS "Tăng (giảm) các khoản trích nộp phúc lợi nhân viên",
	MAX(CASE WHEN bsc.TEN_COT=N'Năm trước' AND bsh.MA_HANG = '41' THEN CAST(gt.GIA_TRI AS VARCHAR2(4000)) END) AS "Tăng (giảm) thuế và các khoản phải nộp Nhà nước (Không bao gồm thuế TNDN đã nộp)",
	MAX(CASE WHEN bsc.TEN_COT=N'Năm trước' AND bsh.MA_HANG = '42' THEN CAST(gt.GIA_TRI AS VARCHAR2(4000)) END) AS "Tăng (giảm) phải trả người lao động",
	MAX(CASE WHEN bsc.TEN_COT=N'Năm trước' AND bsh.MA_HANG = '43' THEN CAST(gt.GIA_TRI AS VARCHAR2(4000)) END) AS "Tăng (giảm) phải trả về lỗi giao dịch các TSTC",
	MAX(CASE WHEN bsc.TEN_COT=N'Năm trước' AND bsh.MA_HANG = '44' THEN CAST(gt.GIA_TRI AS VARCHAR2(4000)) END) AS "Tăng (giảm) phải trả, phải nộp khác",
	MAX(CASE WHEN bsc.TEN_COT=N'Năm trước' AND bsh.MA_HANG = '45' THEN CAST(gt.GIA_TRI AS VARCHAR2(4000)) END) AS "Tiền thu khác từ hoạt động kinh doanh",
	MAX(CASE WHEN bsc.TEN_COT=N'Năm trước' AND bsh.MA_HANG = '46' THEN CAST(gt.GIA_TRI AS VARCHAR2(4000)) END) AS "Tiền chi khác cho hoạt động kinh doanh",
	MAX(CASE WHEN bsc.TEN_COT=N'Năm trước' AND bsh.MA_HANG = '47' THEN CAST(gt.GIA_TRI AS VARCHAR2(4000)) END) AS "Lưu chuyển tiền thuần từ hoạt động kinh doanh",
	MAX(CASE WHEN bsc.TEN_COT=N'Năm trước' AND bsh.MA_HANG = '48' THEN CAST(gt.GIA_TRI AS VARCHAR2(4000)) END) AS "II. Lưu chuyển tiền từ hoạt động đầu tư",
	MAX(CASE WHEN bsc.TEN_COT=N'Năm trước' AND bsh.MA_HANG = '49' THEN CAST(gt.GIA_TRI AS VARCHAR2(4000)) END) AS "1. Tiền chi để mua sắm, xây dựng TSCĐ, BĐSĐT và các tài sản khác",
	MAX(CASE WHEN bsc.TEN_COT=N'Năm trước' AND bsh.MA_HANG = '50' THEN CAST(gt.GIA_TRI AS VARCHAR2(4000)) END) AS "2. Tiền thu từ thanh lý, nhượng bán TSCĐ, BĐSĐT và các tài sản khác",
	MAX(CASE WHEN bsc.TEN_COT=N'Năm trước' AND bsh.MA_HANG = '51' THEN CAST(gt.GIA_TRI AS VARCHAR2(4000)) END) AS "3. Tiền chi đầu tư vốn vào công ty con, công ty liên doanh, liên kết và đầu tư khác",
	MAX(CASE WHEN bsc.TEN_COT=N'Năm trước' AND bsh.MA_HANG = '52' THEN CAST(gt.GIA_TRI AS VARCHAR2(4000)) END) AS "4. Tiền thu hồi các khoản đầu tư vào công ty con, công ty liên doanh, liên kết và đầu tư khác",
	MAX(CASE WHEN bsc.TEN_COT=N'Năm trước' AND bsh.MA_HANG = '53' THEN CAST(gt.GIA_TRI AS VARCHAR2(4000)) END) AS "5. Tiền thu về cổ tức và lợi nhuận được chia từ các khoản đầu tư tài chính dài hạn",
	MAX(CASE WHEN bsc.TEN_COT=N'Năm trước' AND bsh.MA_HANG = '54' THEN CAST(gt.GIA_TRI AS VARCHAR2(4000)) END) AS "Lưu chuyển tiền thuần từ hoạt động đầu tư",
	MAX(CASE WHEN bsc.TEN_COT=N'Năm trước' AND bsh.MA_HANG = '55' T</t>
        </is>
      </c>
      <c r="U3436" s="401" t="n"/>
      <c r="V3436" s="22" t="n"/>
      <c r="W3436" s="22" t="n"/>
      <c r="X3436" s="22" t="n"/>
      <c r="Y3436" s="395" t="n"/>
      <c r="Z3436" s="22" t="n"/>
      <c r="AA3436" s="22" t="n"/>
      <c r="AB3436" s="22" t="n"/>
      <c r="AC3436" s="22" t="n"/>
      <c r="AD3436" s="22" t="n"/>
      <c r="AE3436" s="22" t="n"/>
    </row>
    <row r="3437" ht="98" customHeight="1" s="380">
      <c r="A3437" s="144" t="n">
        <v>128</v>
      </c>
      <c r="B3437" s="390" t="n"/>
      <c r="C3437" s="390" t="inlineStr">
        <is>
          <t>Báo cáo tài chính quý, soát xét bán niên, kiểm toán năm - Chi nhánh công ty chứng khoán nước ngoài tại Việt Nam &gt;&gt; Báo cáo lưu chuyển tiền tệ riêng_06613</t>
        </is>
      </c>
      <c r="D3437" s="132" t="inlineStr">
        <is>
          <t>1. Lợi nhuận trước Thuế Thu nhập doanh nghiệp</t>
        </is>
      </c>
      <c r="E3437" s="132" t="n">
        <v>1</v>
      </c>
      <c r="F3437" s="390" t="inlineStr">
        <is>
          <t>Data Explorer</t>
        </is>
      </c>
      <c r="G3437" s="390" t="inlineStr">
        <is>
          <t>Chỉ tiêu cơ sở</t>
        </is>
      </c>
      <c r="H3437" s="390" t="inlineStr">
        <is>
          <t>Dễ</t>
        </is>
      </c>
      <c r="I3437" s="390" t="inlineStr">
        <is>
          <t>Ngày, CTCK</t>
        </is>
      </c>
      <c r="J3437" s="401" t="inlineStr">
        <is>
          <t>SCMS</t>
        </is>
      </c>
      <c r="K3437" s="401" t="n"/>
      <c r="L3437" s="401" t="inlineStr">
        <is>
          <t>X</t>
        </is>
      </c>
      <c r="M3437" s="401" t="n"/>
      <c r="N3437" s="401" t="inlineStr">
        <is>
          <t>Done</t>
        </is>
      </c>
      <c r="O3437" s="401" t="n"/>
      <c r="P3437" s="401" t="n"/>
      <c r="S3437" s="401" t="n"/>
      <c r="U3437" s="401" t="n"/>
      <c r="V3437" s="22" t="n"/>
      <c r="W3437" s="22" t="n"/>
      <c r="X3437" s="22" t="n"/>
      <c r="Y3437" s="395" t="n"/>
      <c r="Z3437" s="22" t="n"/>
      <c r="AA3437" s="22" t="n"/>
      <c r="AB3437" s="22" t="n"/>
      <c r="AC3437" s="22" t="n"/>
      <c r="AD3437" s="22" t="n"/>
      <c r="AE3437" s="22" t="n"/>
    </row>
    <row r="3438" ht="98" customHeight="1" s="380">
      <c r="A3438" s="144" t="n">
        <v>128</v>
      </c>
      <c r="B3438" s="390" t="n"/>
      <c r="C3438" s="390" t="inlineStr">
        <is>
          <t>Báo cáo tài chính quý, soát xét bán niên, kiểm toán năm - Chi nhánh công ty chứng khoán nước ngoài tại Việt Nam &gt;&gt; Báo cáo lưu chuyển tiền tệ riêng_06613</t>
        </is>
      </c>
      <c r="D3438" s="132" t="inlineStr">
        <is>
          <t xml:space="preserve">2. Điều chỉnh cho các khoản: </t>
        </is>
      </c>
      <c r="E3438" s="132" t="n">
        <v>2</v>
      </c>
      <c r="F3438" s="390" t="inlineStr">
        <is>
          <t>Data Explorer</t>
        </is>
      </c>
      <c r="G3438" s="390" t="inlineStr">
        <is>
          <t>Chỉ tiêu cơ sở</t>
        </is>
      </c>
      <c r="H3438" s="390" t="inlineStr">
        <is>
          <t>Dễ</t>
        </is>
      </c>
      <c r="I3438" s="390" t="inlineStr">
        <is>
          <t>Ngày, CTCK</t>
        </is>
      </c>
      <c r="J3438" s="401" t="inlineStr">
        <is>
          <t>SCMS</t>
        </is>
      </c>
      <c r="K3438" s="401" t="n"/>
      <c r="L3438" s="401" t="inlineStr">
        <is>
          <t>X</t>
        </is>
      </c>
      <c r="M3438" s="401" t="n"/>
      <c r="N3438" s="401" t="inlineStr">
        <is>
          <t>Done</t>
        </is>
      </c>
      <c r="O3438" s="401" t="n"/>
      <c r="P3438" s="401" t="n"/>
      <c r="S3438" s="401" t="n"/>
      <c r="U3438" s="401" t="n"/>
      <c r="V3438" s="22" t="n"/>
      <c r="W3438" s="22" t="n"/>
      <c r="X3438" s="22" t="n"/>
      <c r="Y3438" s="36" t="n"/>
      <c r="Z3438" s="22" t="n"/>
      <c r="AA3438" s="22" t="n"/>
      <c r="AB3438" s="22" t="n"/>
      <c r="AC3438" s="22" t="n"/>
      <c r="AD3438" s="22" t="n"/>
      <c r="AE3438" s="22" t="n"/>
    </row>
    <row r="3439" ht="98" customHeight="1" s="380">
      <c r="A3439" s="144" t="n">
        <v>128</v>
      </c>
      <c r="B3439" s="390" t="n"/>
      <c r="C3439" s="390" t="inlineStr">
        <is>
          <t>Báo cáo tài chính quý, soát xét bán niên, kiểm toán năm - Chi nhánh công ty chứng khoán nước ngoài tại Việt Nam &gt;&gt; Báo cáo lưu chuyển tiền tệ riêng_06613</t>
        </is>
      </c>
      <c r="D3439" s="390" t="inlineStr">
        <is>
          <t>- Khấu hao TSCĐ</t>
        </is>
      </c>
      <c r="E3439" s="390" t="n">
        <v>3</v>
      </c>
      <c r="F3439" s="390" t="inlineStr">
        <is>
          <t>Data Explorer</t>
        </is>
      </c>
      <c r="G3439" s="390" t="inlineStr">
        <is>
          <t>Chỉ tiêu cơ sở</t>
        </is>
      </c>
      <c r="H3439" s="390" t="inlineStr">
        <is>
          <t>Dễ</t>
        </is>
      </c>
      <c r="I3439" s="390" t="inlineStr">
        <is>
          <t>Ngày, CTCK</t>
        </is>
      </c>
      <c r="J3439" s="401" t="inlineStr">
        <is>
          <t>SCMS</t>
        </is>
      </c>
      <c r="K3439" s="401" t="n"/>
      <c r="L3439" s="401" t="inlineStr">
        <is>
          <t>X</t>
        </is>
      </c>
      <c r="M3439" s="401" t="n"/>
      <c r="N3439" s="401" t="inlineStr">
        <is>
          <t>Done</t>
        </is>
      </c>
      <c r="O3439" s="401" t="n"/>
      <c r="P3439" s="401" t="n"/>
      <c r="S3439" s="401" t="n"/>
      <c r="U3439" s="401" t="n"/>
      <c r="V3439" s="22" t="n"/>
      <c r="W3439" s="22" t="n"/>
      <c r="X3439" s="22" t="n"/>
      <c r="Y3439" s="395" t="n"/>
      <c r="Z3439" s="22" t="n"/>
      <c r="AA3439" s="22" t="n"/>
      <c r="AB3439" s="22" t="n"/>
      <c r="AC3439" s="22" t="n"/>
      <c r="AD3439" s="22" t="n"/>
      <c r="AE3439" s="22" t="n"/>
    </row>
    <row r="3440" ht="98" customHeight="1" s="380">
      <c r="A3440" s="144" t="n">
        <v>128</v>
      </c>
      <c r="B3440" s="390" t="n"/>
      <c r="C3440" s="390" t="inlineStr">
        <is>
          <t>Báo cáo tài chính quý, soát xét bán niên, kiểm toán năm - Chi nhánh công ty chứng khoán nước ngoài tại Việt Nam &gt;&gt; Báo cáo lưu chuyển tiền tệ riêng_06613</t>
        </is>
      </c>
      <c r="D3440" s="390" t="inlineStr">
        <is>
          <t>- Các khoản dự phòng</t>
        </is>
      </c>
      <c r="E3440" s="390" t="n">
        <v>4</v>
      </c>
      <c r="F3440" s="390" t="inlineStr">
        <is>
          <t>Data Explorer</t>
        </is>
      </c>
      <c r="G3440" s="390" t="inlineStr">
        <is>
          <t>Chỉ tiêu cơ sở</t>
        </is>
      </c>
      <c r="H3440" s="390" t="inlineStr">
        <is>
          <t>Dễ</t>
        </is>
      </c>
      <c r="I3440" s="390" t="inlineStr">
        <is>
          <t>Ngày, CTCK</t>
        </is>
      </c>
      <c r="J3440" s="401" t="inlineStr">
        <is>
          <t>SCMS</t>
        </is>
      </c>
      <c r="K3440" s="401" t="n"/>
      <c r="L3440" s="401" t="inlineStr">
        <is>
          <t>X</t>
        </is>
      </c>
      <c r="M3440" s="401" t="n"/>
      <c r="N3440" s="401" t="inlineStr">
        <is>
          <t>Done</t>
        </is>
      </c>
      <c r="O3440" s="401" t="n"/>
      <c r="P3440" s="401" t="n"/>
      <c r="S3440" s="401" t="n"/>
      <c r="U3440" s="401" t="n"/>
      <c r="V3440" s="22" t="n"/>
      <c r="W3440" s="22" t="n"/>
      <c r="X3440" s="22" t="n"/>
      <c r="Y3440" s="36" t="n"/>
      <c r="Z3440" s="22" t="n"/>
      <c r="AA3440" s="22" t="n"/>
      <c r="AB3440" s="22" t="n"/>
      <c r="AC3440" s="22" t="n"/>
      <c r="AD3440" s="22" t="n"/>
      <c r="AE3440" s="22" t="n"/>
    </row>
    <row r="3441" ht="98" customHeight="1" s="380">
      <c r="A3441" s="144" t="n">
        <v>128</v>
      </c>
      <c r="B3441" s="390" t="n"/>
      <c r="C3441" s="390" t="inlineStr">
        <is>
          <t>Báo cáo tài chính quý, soát xét bán niên, kiểm toán năm - Chi nhánh công ty chứng khoán nước ngoài tại Việt Nam &gt;&gt; Báo cáo lưu chuyển tiền tệ riêng_06613</t>
        </is>
      </c>
      <c r="D3441" s="390" t="inlineStr">
        <is>
          <t>(- Lãi) hoặc (+ lỗ) chênh lệch tỷ giá hối đoái chưa thực hiện.</t>
        </is>
      </c>
      <c r="E3441" s="390" t="n">
        <v>5</v>
      </c>
      <c r="F3441" s="390" t="inlineStr">
        <is>
          <t>Data Explorer</t>
        </is>
      </c>
      <c r="G3441" s="390" t="inlineStr">
        <is>
          <t>Chỉ tiêu cơ sở</t>
        </is>
      </c>
      <c r="H3441" s="390" t="inlineStr">
        <is>
          <t>Dễ</t>
        </is>
      </c>
      <c r="I3441" s="390" t="inlineStr">
        <is>
          <t>Ngày, CTCK</t>
        </is>
      </c>
      <c r="J3441" s="401" t="inlineStr">
        <is>
          <t>SCMS</t>
        </is>
      </c>
      <c r="K3441" s="401" t="n"/>
      <c r="L3441" s="401" t="inlineStr">
        <is>
          <t>X</t>
        </is>
      </c>
      <c r="M3441" s="401" t="n"/>
      <c r="N3441" s="401" t="inlineStr">
        <is>
          <t>Done</t>
        </is>
      </c>
      <c r="O3441" s="401" t="n"/>
      <c r="P3441" s="401" t="n"/>
      <c r="S3441" s="401" t="n"/>
      <c r="U3441" s="401" t="n"/>
      <c r="V3441" s="22" t="n"/>
      <c r="W3441" s="22" t="n"/>
      <c r="X3441" s="22" t="n"/>
      <c r="Y3441" s="395" t="n"/>
      <c r="Z3441" s="22" t="n"/>
      <c r="AA3441" s="22" t="n"/>
      <c r="AB3441" s="22" t="n"/>
      <c r="AC3441" s="22" t="n"/>
      <c r="AD3441" s="22" t="n"/>
      <c r="AE3441" s="22" t="n"/>
    </row>
    <row r="3442" ht="98" customHeight="1" s="380">
      <c r="A3442" s="144" t="n">
        <v>128</v>
      </c>
      <c r="B3442" s="390" t="n"/>
      <c r="C3442" s="390" t="inlineStr">
        <is>
          <t>Báo cáo tài chính quý, soát xét bán niên, kiểm toán năm - Chi nhánh công ty chứng khoán nước ngoài tại Việt Nam &gt;&gt; Báo cáo lưu chuyển tiền tệ riêng_06613</t>
        </is>
      </c>
      <c r="D3442" s="390" t="inlineStr">
        <is>
          <t>- Chi phí lãi vay</t>
        </is>
      </c>
      <c r="E3442" s="390" t="n">
        <v>6</v>
      </c>
      <c r="F3442" s="390" t="inlineStr">
        <is>
          <t>Data Explorer</t>
        </is>
      </c>
      <c r="G3442" s="390" t="inlineStr">
        <is>
          <t>Chỉ tiêu cơ sở</t>
        </is>
      </c>
      <c r="H3442" s="390" t="inlineStr">
        <is>
          <t>Dễ</t>
        </is>
      </c>
      <c r="I3442" s="390" t="inlineStr">
        <is>
          <t>Ngày, CTCK</t>
        </is>
      </c>
      <c r="J3442" s="401" t="inlineStr">
        <is>
          <t>SCMS</t>
        </is>
      </c>
      <c r="K3442" s="401" t="n"/>
      <c r="L3442" s="401" t="inlineStr">
        <is>
          <t>X</t>
        </is>
      </c>
      <c r="M3442" s="401" t="n"/>
      <c r="N3442" s="401" t="inlineStr">
        <is>
          <t>Done</t>
        </is>
      </c>
      <c r="O3442" s="401" t="n"/>
      <c r="P3442" s="401" t="n"/>
      <c r="S3442" s="401" t="n"/>
      <c r="U3442" s="401" t="n"/>
      <c r="V3442" s="22" t="n"/>
      <c r="W3442" s="22" t="n"/>
      <c r="X3442" s="22" t="n"/>
      <c r="Y3442" s="395" t="n"/>
      <c r="Z3442" s="22" t="n"/>
      <c r="AA3442" s="22" t="n"/>
      <c r="AB3442" s="22" t="n"/>
      <c r="AC3442" s="22" t="n"/>
      <c r="AD3442" s="22" t="n"/>
      <c r="AE3442" s="22" t="n"/>
    </row>
    <row r="3443" ht="98" customHeight="1" s="380">
      <c r="A3443" s="144" t="n">
        <v>128</v>
      </c>
      <c r="B3443" s="390" t="n"/>
      <c r="C3443" s="390" t="inlineStr">
        <is>
          <t>Báo cáo tài chính quý, soát xét bán niên, kiểm toán năm - Chi nhánh công ty chứng khoán nước ngoài tại Việt Nam &gt;&gt; Báo cáo lưu chuyển tiền tệ riêng_06613</t>
        </is>
      </c>
      <c r="D3443" s="390" t="inlineStr">
        <is>
          <t xml:space="preserve">- Lãi, lỗ từ hoạt động đầu tư </t>
        </is>
      </c>
      <c r="E3443" s="390" t="n">
        <v>7</v>
      </c>
      <c r="F3443" s="390" t="inlineStr">
        <is>
          <t>Data Explorer</t>
        </is>
      </c>
      <c r="G3443" s="390" t="inlineStr">
        <is>
          <t>Chỉ tiêu cơ sở</t>
        </is>
      </c>
      <c r="H3443" s="390" t="inlineStr">
        <is>
          <t>Dễ</t>
        </is>
      </c>
      <c r="I3443" s="390" t="inlineStr">
        <is>
          <t>Ngày, CTCK</t>
        </is>
      </c>
      <c r="J3443" s="401" t="inlineStr">
        <is>
          <t>SCMS</t>
        </is>
      </c>
      <c r="K3443" s="401" t="n"/>
      <c r="L3443" s="401" t="inlineStr">
        <is>
          <t>X</t>
        </is>
      </c>
      <c r="M3443" s="401" t="n"/>
      <c r="N3443" s="401" t="inlineStr">
        <is>
          <t>Done</t>
        </is>
      </c>
      <c r="O3443" s="401" t="n"/>
      <c r="P3443" s="401" t="n"/>
      <c r="S3443" s="401" t="n"/>
      <c r="U3443" s="401" t="n"/>
      <c r="V3443" s="22" t="n"/>
      <c r="W3443" s="22" t="n"/>
      <c r="X3443" s="22" t="n"/>
      <c r="Y3443" s="395" t="n"/>
      <c r="Z3443" s="22" t="n"/>
      <c r="AA3443" s="22" t="n"/>
      <c r="AB3443" s="22" t="n"/>
      <c r="AC3443" s="22" t="n"/>
      <c r="AD3443" s="22" t="n"/>
      <c r="AE3443" s="22" t="n"/>
    </row>
    <row r="3444" ht="98" customHeight="1" s="380">
      <c r="A3444" s="144" t="n">
        <v>128</v>
      </c>
      <c r="B3444" s="390" t="n"/>
      <c r="C3444" s="390" t="inlineStr">
        <is>
          <t>Báo cáo tài chính quý, soát xét bán niên, kiểm toán năm - Chi nhánh công ty chứng khoán nước ngoài tại Việt Nam &gt;&gt; Báo cáo lưu chuyển tiền tệ riêng_06613</t>
        </is>
      </c>
      <c r="D3444" s="390" t="inlineStr">
        <is>
          <t xml:space="preserve">- Dự thu tiền lãi </t>
        </is>
      </c>
      <c r="E3444" s="390" t="n">
        <v>8</v>
      </c>
      <c r="F3444" s="390" t="inlineStr">
        <is>
          <t>Data Explorer</t>
        </is>
      </c>
      <c r="G3444" s="390" t="inlineStr">
        <is>
          <t>Chỉ tiêu cơ sở</t>
        </is>
      </c>
      <c r="H3444" s="390" t="inlineStr">
        <is>
          <t>Dễ</t>
        </is>
      </c>
      <c r="I3444" s="390" t="inlineStr">
        <is>
          <t>Ngày, CTCK</t>
        </is>
      </c>
      <c r="J3444" s="401" t="inlineStr">
        <is>
          <t>SCMS</t>
        </is>
      </c>
      <c r="K3444" s="401" t="n"/>
      <c r="L3444" s="401" t="inlineStr">
        <is>
          <t>X</t>
        </is>
      </c>
      <c r="M3444" s="401" t="n"/>
      <c r="N3444" s="401" t="inlineStr">
        <is>
          <t>Done</t>
        </is>
      </c>
      <c r="O3444" s="401" t="n"/>
      <c r="P3444" s="401" t="n"/>
      <c r="S3444" s="401" t="n"/>
      <c r="U3444" s="401" t="n"/>
      <c r="V3444" s="22" t="n"/>
      <c r="W3444" s="22" t="n"/>
      <c r="X3444" s="22" t="n"/>
      <c r="Y3444" s="395" t="n"/>
      <c r="Z3444" s="22" t="n"/>
      <c r="AA3444" s="22" t="n"/>
      <c r="AB3444" s="22" t="n"/>
      <c r="AC3444" s="22" t="n"/>
      <c r="AD3444" s="22" t="n"/>
      <c r="AE3444" s="22" t="n"/>
    </row>
    <row r="3445" ht="98" customHeight="1" s="380">
      <c r="A3445" s="144" t="n">
        <v>128</v>
      </c>
      <c r="B3445" s="390" t="n"/>
      <c r="C3445" s="390" t="inlineStr">
        <is>
          <t>Báo cáo tài chính quý, soát xét bán niên, kiểm toán năm - Chi nhánh công ty chứng khoán nước ngoài tại Việt Nam &gt;&gt; Báo cáo lưu chuyển tiền tệ riêng_06613</t>
        </is>
      </c>
      <c r="D3445" s="390" t="inlineStr">
        <is>
          <t xml:space="preserve">- Các khoản điều chỉnh khác </t>
        </is>
      </c>
      <c r="E3445" s="390" t="n">
        <v>9</v>
      </c>
      <c r="F3445" s="390" t="inlineStr">
        <is>
          <t>Data Explorer</t>
        </is>
      </c>
      <c r="G3445" s="390" t="inlineStr">
        <is>
          <t>Chỉ tiêu cơ sở</t>
        </is>
      </c>
      <c r="H3445" s="390" t="inlineStr">
        <is>
          <t>Dễ</t>
        </is>
      </c>
      <c r="I3445" s="390" t="inlineStr">
        <is>
          <t>Ngày, CTCK</t>
        </is>
      </c>
      <c r="J3445" s="401" t="inlineStr">
        <is>
          <t>SCMS</t>
        </is>
      </c>
      <c r="K3445" s="401" t="n"/>
      <c r="L3445" s="401" t="inlineStr">
        <is>
          <t>X</t>
        </is>
      </c>
      <c r="M3445" s="401" t="n"/>
      <c r="N3445" s="401" t="inlineStr">
        <is>
          <t>Done</t>
        </is>
      </c>
      <c r="O3445" s="401" t="n"/>
      <c r="P3445" s="401" t="n"/>
      <c r="S3445" s="401" t="n"/>
      <c r="U3445" s="401" t="n"/>
      <c r="V3445" s="22" t="n"/>
      <c r="W3445" s="22" t="n"/>
      <c r="X3445" s="22" t="n"/>
      <c r="Y3445" s="36" t="n"/>
      <c r="Z3445" s="22" t="n"/>
      <c r="AA3445" s="22" t="n"/>
      <c r="AB3445" s="22" t="n"/>
      <c r="AC3445" s="22" t="n"/>
      <c r="AD3445" s="22" t="n"/>
      <c r="AE3445" s="22" t="n"/>
    </row>
    <row r="3446" ht="98" customHeight="1" s="380">
      <c r="A3446" s="144" t="n">
        <v>128</v>
      </c>
      <c r="B3446" s="390" t="n"/>
      <c r="C3446" s="390" t="inlineStr">
        <is>
          <t>Báo cáo tài chính quý, soát xét bán niên, kiểm toán năm - Chi nhánh công ty chứng khoán nước ngoài tại Việt Nam &gt;&gt; Báo cáo lưu chuyển tiền tệ riêng_06613</t>
        </is>
      </c>
      <c r="D3446" s="132" t="inlineStr">
        <is>
          <t>3. Tăng các chi phí phi tiền tệ</t>
        </is>
      </c>
      <c r="E3446" s="132" t="n">
        <v>10</v>
      </c>
      <c r="F3446" s="390" t="inlineStr">
        <is>
          <t>Data Explorer</t>
        </is>
      </c>
      <c r="G3446" s="390" t="inlineStr">
        <is>
          <t>Chỉ tiêu cơ sở</t>
        </is>
      </c>
      <c r="H3446" s="390" t="inlineStr">
        <is>
          <t>Dễ</t>
        </is>
      </c>
      <c r="I3446" s="390" t="inlineStr">
        <is>
          <t>Ngày, CTCK</t>
        </is>
      </c>
      <c r="J3446" s="401" t="inlineStr">
        <is>
          <t>SCMS</t>
        </is>
      </c>
      <c r="K3446" s="401" t="n"/>
      <c r="L3446" s="401" t="inlineStr">
        <is>
          <t>X</t>
        </is>
      </c>
      <c r="M3446" s="401" t="n"/>
      <c r="N3446" s="401" t="inlineStr">
        <is>
          <t>Done</t>
        </is>
      </c>
      <c r="O3446" s="401" t="n"/>
      <c r="P3446" s="401" t="n"/>
      <c r="S3446" s="401" t="n"/>
      <c r="U3446" s="401" t="n"/>
      <c r="V3446" s="22" t="n"/>
      <c r="W3446" s="22" t="n"/>
      <c r="X3446" s="22" t="n"/>
      <c r="Y3446" s="37" t="n"/>
      <c r="Z3446" s="22" t="n"/>
      <c r="AA3446" s="22" t="n"/>
      <c r="AB3446" s="22" t="n"/>
      <c r="AC3446" s="22" t="n"/>
      <c r="AD3446" s="22" t="n"/>
      <c r="AE3446" s="22" t="n"/>
    </row>
    <row r="3447" ht="98" customHeight="1" s="380">
      <c r="A3447" s="144" t="n">
        <v>128</v>
      </c>
      <c r="B3447" s="390" t="n"/>
      <c r="C3447" s="390" t="inlineStr">
        <is>
          <t>Báo cáo tài chính quý, soát xét bán niên, kiểm toán năm - Chi nhánh công ty chứng khoán nước ngoài tại Việt Nam &gt;&gt; Báo cáo lưu chuyển tiền tệ riêng_06613</t>
        </is>
      </c>
      <c r="D3447" s="390" t="inlineStr">
        <is>
          <t>- Lỗ đánh giá lại giá trị các tài sản tài chính ghi nhận thông qua lãi/lỗ FVTPL</t>
        </is>
      </c>
      <c r="E3447" s="390" t="n">
        <v>11</v>
      </c>
      <c r="F3447" s="390" t="inlineStr">
        <is>
          <t>Data Explorer</t>
        </is>
      </c>
      <c r="G3447" s="390" t="inlineStr">
        <is>
          <t>Chỉ tiêu cơ sở</t>
        </is>
      </c>
      <c r="H3447" s="390" t="inlineStr">
        <is>
          <t>Dễ</t>
        </is>
      </c>
      <c r="I3447" s="390" t="inlineStr">
        <is>
          <t>Ngày, CTCK</t>
        </is>
      </c>
      <c r="J3447" s="401" t="inlineStr">
        <is>
          <t>SCMS</t>
        </is>
      </c>
      <c r="K3447" s="401" t="n"/>
      <c r="L3447" s="401" t="inlineStr">
        <is>
          <t>X</t>
        </is>
      </c>
      <c r="M3447" s="401" t="n"/>
      <c r="N3447" s="401" t="inlineStr">
        <is>
          <t>Done</t>
        </is>
      </c>
      <c r="O3447" s="401" t="n"/>
      <c r="P3447" s="401" t="n"/>
      <c r="S3447" s="401" t="n"/>
      <c r="U3447" s="401" t="n"/>
      <c r="V3447" s="22" t="n"/>
      <c r="W3447" s="22" t="n"/>
      <c r="X3447" s="22" t="n"/>
      <c r="Y3447" s="395" t="n"/>
      <c r="Z3447" s="22" t="n"/>
      <c r="AA3447" s="22" t="n"/>
      <c r="AB3447" s="22" t="n"/>
      <c r="AC3447" s="22" t="n"/>
      <c r="AD3447" s="22" t="n"/>
      <c r="AE3447" s="22" t="n"/>
    </row>
    <row r="3448" ht="98" customHeight="1" s="380">
      <c r="A3448" s="144" t="n">
        <v>128</v>
      </c>
      <c r="B3448" s="390" t="n"/>
      <c r="C3448" s="390" t="inlineStr">
        <is>
          <t>Báo cáo tài chính quý, soát xét bán niên, kiểm toán năm - Chi nhánh công ty chứng khoán nước ngoài tại Việt Nam &gt;&gt; Báo cáo lưu chuyển tiền tệ riêng_06613</t>
        </is>
      </c>
      <c r="D3448" s="390" t="inlineStr">
        <is>
          <t>- Lỗ suy giảm giá trị Các khoản đầu tư nắm giữ đến ngày đáo hạn (HTM)</t>
        </is>
      </c>
      <c r="E3448" s="390" t="n">
        <v>12</v>
      </c>
      <c r="F3448" s="390" t="inlineStr">
        <is>
          <t>Data Explorer</t>
        </is>
      </c>
      <c r="G3448" s="390" t="inlineStr">
        <is>
          <t>Chỉ tiêu cơ sở</t>
        </is>
      </c>
      <c r="H3448" s="390" t="inlineStr">
        <is>
          <t>Dễ</t>
        </is>
      </c>
      <c r="I3448" s="390" t="inlineStr">
        <is>
          <t>Ngày, CTCK</t>
        </is>
      </c>
      <c r="J3448" s="401" t="inlineStr">
        <is>
          <t>SCMS</t>
        </is>
      </c>
      <c r="K3448" s="401" t="n"/>
      <c r="L3448" s="401" t="inlineStr">
        <is>
          <t>X</t>
        </is>
      </c>
      <c r="M3448" s="401" t="n"/>
      <c r="N3448" s="401" t="inlineStr">
        <is>
          <t>Done</t>
        </is>
      </c>
      <c r="O3448" s="401" t="n"/>
      <c r="P3448" s="401" t="n"/>
      <c r="S3448" s="401" t="n"/>
      <c r="U3448" s="401" t="n"/>
      <c r="V3448" s="22" t="n"/>
      <c r="W3448" s="22" t="n"/>
      <c r="X3448" s="22" t="n"/>
      <c r="Y3448" s="395" t="n"/>
      <c r="Z3448" s="22" t="n"/>
      <c r="AA3448" s="22" t="n"/>
      <c r="AB3448" s="22" t="n"/>
      <c r="AC3448" s="22" t="n"/>
      <c r="AD3448" s="22" t="n"/>
      <c r="AE3448" s="22" t="n"/>
    </row>
    <row r="3449" ht="98" customHeight="1" s="380">
      <c r="A3449" s="144" t="n">
        <v>128</v>
      </c>
      <c r="B3449" s="390" t="n"/>
      <c r="C3449" s="390" t="inlineStr">
        <is>
          <t>Báo cáo tài chính quý, soát xét bán niên, kiểm toán năm - Chi nhánh công ty chứng khoán nước ngoài tại Việt Nam &gt;&gt; Báo cáo lưu chuyển tiền tệ riêng_06613</t>
        </is>
      </c>
      <c r="D3449" s="390" t="inlineStr">
        <is>
          <t>- Lỗ suy giảm giá trị Các khoản cho vay</t>
        </is>
      </c>
      <c r="E3449" s="390" t="n">
        <v>13</v>
      </c>
      <c r="F3449" s="390" t="inlineStr">
        <is>
          <t>Data Explorer</t>
        </is>
      </c>
      <c r="G3449" s="390" t="inlineStr">
        <is>
          <t>Chỉ tiêu cơ sở</t>
        </is>
      </c>
      <c r="H3449" s="390" t="inlineStr">
        <is>
          <t>Dễ</t>
        </is>
      </c>
      <c r="I3449" s="390" t="inlineStr">
        <is>
          <t>Ngày, CTCK</t>
        </is>
      </c>
      <c r="J3449" s="401" t="inlineStr">
        <is>
          <t>SCMS</t>
        </is>
      </c>
      <c r="K3449" s="401" t="n"/>
      <c r="L3449" s="401" t="inlineStr">
        <is>
          <t>X</t>
        </is>
      </c>
      <c r="M3449" s="401" t="n"/>
      <c r="N3449" s="401" t="inlineStr">
        <is>
          <t>Done</t>
        </is>
      </c>
      <c r="O3449" s="401" t="n"/>
      <c r="P3449" s="401" t="n"/>
      <c r="S3449" s="401" t="n"/>
      <c r="U3449" s="401" t="n"/>
      <c r="V3449" s="22" t="n"/>
      <c r="W3449" s="22" t="n"/>
      <c r="X3449" s="22" t="n"/>
      <c r="Y3449" s="395" t="n"/>
      <c r="Z3449" s="22" t="n"/>
      <c r="AA3449" s="22" t="n"/>
      <c r="AB3449" s="22" t="n"/>
      <c r="AC3449" s="22" t="n"/>
      <c r="AD3449" s="22" t="n"/>
      <c r="AE3449" s="22" t="n"/>
    </row>
    <row r="3450" ht="98" customHeight="1" s="380">
      <c r="A3450" s="144" t="n">
        <v>128</v>
      </c>
      <c r="B3450" s="390" t="n"/>
      <c r="C3450" s="390" t="inlineStr">
        <is>
          <t>Báo cáo tài chính quý, soát xét bán niên, kiểm toán năm - Chi nhánh công ty chứng khoán nước ngoài tại Việt Nam &gt;&gt; Báo cáo lưu chuyển tiền tệ riêng_06613</t>
        </is>
      </c>
      <c r="D3450" s="390" t="inlineStr">
        <is>
          <t>- Lỗ về ghi nhận chênh lệch đánh giá theo giá trị hợp lý TSTC sẵn sàng để bán AFS khi phân loại lại</t>
        </is>
      </c>
      <c r="E3450" s="390" t="n">
        <v>14</v>
      </c>
      <c r="F3450" s="390" t="inlineStr">
        <is>
          <t>Data Explorer</t>
        </is>
      </c>
      <c r="G3450" s="390" t="inlineStr">
        <is>
          <t>Chỉ tiêu cơ sở</t>
        </is>
      </c>
      <c r="H3450" s="390" t="inlineStr">
        <is>
          <t>Dễ</t>
        </is>
      </c>
      <c r="I3450" s="390" t="inlineStr">
        <is>
          <t>Ngày, CTCK</t>
        </is>
      </c>
      <c r="J3450" s="401" t="inlineStr">
        <is>
          <t>SCMS</t>
        </is>
      </c>
      <c r="K3450" s="401" t="n"/>
      <c r="L3450" s="401" t="inlineStr">
        <is>
          <t>X</t>
        </is>
      </c>
      <c r="M3450" s="401" t="n"/>
      <c r="N3450" s="401" t="inlineStr">
        <is>
          <t>Done</t>
        </is>
      </c>
      <c r="O3450" s="401" t="n"/>
      <c r="P3450" s="401" t="n"/>
      <c r="S3450" s="401" t="n"/>
      <c r="U3450" s="401" t="n"/>
      <c r="V3450" s="22" t="n"/>
      <c r="W3450" s="22" t="n"/>
      <c r="X3450" s="22" t="n"/>
      <c r="Y3450" s="395" t="n"/>
      <c r="Z3450" s="22" t="n"/>
      <c r="AA3450" s="22" t="n"/>
      <c r="AB3450" s="22" t="n"/>
      <c r="AC3450" s="22" t="n"/>
      <c r="AD3450" s="22" t="n"/>
      <c r="AE3450" s="22" t="n"/>
    </row>
    <row r="3451" ht="98" customHeight="1" s="380">
      <c r="A3451" s="144" t="n">
        <v>128</v>
      </c>
      <c r="B3451" s="390" t="n"/>
      <c r="C3451" s="390" t="inlineStr">
        <is>
          <t>Báo cáo tài chính quý, soát xét bán niên, kiểm toán năm - Chi nhánh công ty chứng khoán nước ngoài tại Việt Nam &gt;&gt; Báo cáo lưu chuyển tiền tệ riêng_06613</t>
        </is>
      </c>
      <c r="D3451" s="390" t="inlineStr">
        <is>
          <t xml:space="preserve">- Suy giảm giá trị của các tài sản cố định, BĐSĐT </t>
        </is>
      </c>
      <c r="E3451" s="390" t="n">
        <v>15</v>
      </c>
      <c r="F3451" s="390" t="inlineStr">
        <is>
          <t>Data Explorer</t>
        </is>
      </c>
      <c r="G3451" s="390" t="inlineStr">
        <is>
          <t>Chỉ tiêu cơ sở</t>
        </is>
      </c>
      <c r="H3451" s="390" t="inlineStr">
        <is>
          <t>Dễ</t>
        </is>
      </c>
      <c r="I3451" s="390" t="inlineStr">
        <is>
          <t>Ngày, CTCK</t>
        </is>
      </c>
      <c r="J3451" s="401" t="inlineStr">
        <is>
          <t>SCMS</t>
        </is>
      </c>
      <c r="K3451" s="401" t="n"/>
      <c r="L3451" s="401" t="inlineStr">
        <is>
          <t>X</t>
        </is>
      </c>
      <c r="M3451" s="401" t="n"/>
      <c r="N3451" s="401" t="inlineStr">
        <is>
          <t>Done</t>
        </is>
      </c>
      <c r="O3451" s="401" t="n"/>
      <c r="P3451" s="401" t="n"/>
      <c r="S3451" s="401" t="n"/>
      <c r="U3451" s="401" t="n"/>
      <c r="V3451" s="22" t="n"/>
      <c r="W3451" s="22" t="n"/>
      <c r="X3451" s="22" t="n"/>
      <c r="Y3451" s="36" t="n"/>
      <c r="Z3451" s="22" t="n"/>
      <c r="AA3451" s="22" t="n"/>
      <c r="AB3451" s="22" t="n"/>
      <c r="AC3451" s="22" t="n"/>
      <c r="AD3451" s="22" t="n"/>
      <c r="AE3451" s="22" t="n"/>
    </row>
    <row r="3452" ht="98" customHeight="1" s="380">
      <c r="A3452" s="144" t="n">
        <v>128</v>
      </c>
      <c r="B3452" s="390" t="n"/>
      <c r="C3452" s="390" t="inlineStr">
        <is>
          <t>Báo cáo tài chính quý, soát xét bán niên, kiểm toán năm - Chi nhánh công ty chứng khoán nước ngoài tại Việt Nam &gt;&gt; Báo cáo lưu chuyển tiền tệ riêng_06613</t>
        </is>
      </c>
      <c r="D3452" s="390" t="inlineStr">
        <is>
          <t>- Chi phí dự phòng suy giảm giá trị các khoản đầu tư tài chính dài hạn</t>
        </is>
      </c>
      <c r="E3452" s="390" t="n">
        <v>16</v>
      </c>
      <c r="F3452" s="390" t="inlineStr">
        <is>
          <t>Data Explorer</t>
        </is>
      </c>
      <c r="G3452" s="390" t="inlineStr">
        <is>
          <t>Chỉ tiêu cơ sở</t>
        </is>
      </c>
      <c r="H3452" s="390" t="inlineStr">
        <is>
          <t>Dễ</t>
        </is>
      </c>
      <c r="I3452" s="390" t="inlineStr">
        <is>
          <t>Ngày, CTCK</t>
        </is>
      </c>
      <c r="J3452" s="401" t="inlineStr">
        <is>
          <t>SCMS</t>
        </is>
      </c>
      <c r="K3452" s="401" t="n"/>
      <c r="L3452" s="401" t="inlineStr">
        <is>
          <t>X</t>
        </is>
      </c>
      <c r="M3452" s="401" t="n"/>
      <c r="N3452" s="401" t="inlineStr">
        <is>
          <t>Done</t>
        </is>
      </c>
      <c r="O3452" s="401" t="n"/>
      <c r="P3452" s="401" t="n"/>
      <c r="S3452" s="401" t="n"/>
      <c r="U3452" s="401" t="n"/>
      <c r="V3452" s="22" t="n"/>
      <c r="W3452" s="22" t="n"/>
      <c r="X3452" s="22" t="n"/>
      <c r="Y3452" s="36" t="n"/>
      <c r="Z3452" s="22" t="n"/>
      <c r="AA3452" s="22" t="n"/>
      <c r="AB3452" s="22" t="n"/>
      <c r="AC3452" s="22" t="n"/>
      <c r="AD3452" s="22" t="n"/>
      <c r="AE3452" s="22" t="n"/>
    </row>
    <row r="3453" ht="98" customHeight="1" s="380">
      <c r="A3453" s="144" t="n">
        <v>128</v>
      </c>
      <c r="B3453" s="390" t="n"/>
      <c r="C3453" s="390" t="inlineStr">
        <is>
          <t>Báo cáo tài chính quý, soát xét bán niên, kiểm toán năm - Chi nhánh công ty chứng khoán nước ngoài tại Việt Nam &gt;&gt; Báo cáo lưu chuyển tiền tệ riêng_06613</t>
        </is>
      </c>
      <c r="D3453" s="390" t="inlineStr">
        <is>
          <t>-   Lỗ khác</t>
        </is>
      </c>
      <c r="E3453" s="390" t="n">
        <v>17</v>
      </c>
      <c r="F3453" s="390" t="inlineStr">
        <is>
          <t>Data Explorer</t>
        </is>
      </c>
      <c r="G3453" s="390" t="inlineStr">
        <is>
          <t>Chỉ tiêu cơ sở</t>
        </is>
      </c>
      <c r="H3453" s="390" t="inlineStr">
        <is>
          <t>Dễ</t>
        </is>
      </c>
      <c r="I3453" s="390" t="inlineStr">
        <is>
          <t>Ngày, CTCK</t>
        </is>
      </c>
      <c r="J3453" s="401" t="inlineStr">
        <is>
          <t>SCMS</t>
        </is>
      </c>
      <c r="K3453" s="401" t="n"/>
      <c r="L3453" s="401" t="inlineStr">
        <is>
          <t>X</t>
        </is>
      </c>
      <c r="M3453" s="401" t="n"/>
      <c r="N3453" s="401" t="inlineStr">
        <is>
          <t>Done</t>
        </is>
      </c>
      <c r="O3453" s="401" t="n"/>
      <c r="P3453" s="401" t="n"/>
      <c r="S3453" s="401" t="n"/>
      <c r="U3453" s="401" t="n"/>
      <c r="V3453" s="22" t="n"/>
      <c r="W3453" s="22" t="n"/>
      <c r="X3453" s="22" t="n"/>
      <c r="Y3453" s="395" t="n"/>
      <c r="Z3453" s="22" t="n"/>
      <c r="AA3453" s="22" t="n"/>
      <c r="AB3453" s="22" t="n"/>
      <c r="AC3453" s="22" t="n"/>
      <c r="AD3453" s="22" t="n"/>
      <c r="AE3453" s="22" t="n"/>
    </row>
    <row r="3454" ht="98" customHeight="1" s="380">
      <c r="A3454" s="144" t="n">
        <v>128</v>
      </c>
      <c r="B3454" s="390" t="n"/>
      <c r="C3454" s="390" t="inlineStr">
        <is>
          <t>Báo cáo tài chính quý, soát xét bán niên, kiểm toán năm - Chi nhánh công ty chứng khoán nước ngoài tại Việt Nam &gt;&gt; Báo cáo lưu chuyển tiền tệ riêng_06613</t>
        </is>
      </c>
      <c r="D3454" s="132" t="inlineStr">
        <is>
          <t>4. Giảm các doanh thu phi tiền tệ</t>
        </is>
      </c>
      <c r="E3454" s="132" t="n">
        <v>18</v>
      </c>
      <c r="F3454" s="390" t="inlineStr">
        <is>
          <t>Data Explorer</t>
        </is>
      </c>
      <c r="G3454" s="390" t="inlineStr">
        <is>
          <t>Chỉ tiêu cơ sở</t>
        </is>
      </c>
      <c r="H3454" s="390" t="inlineStr">
        <is>
          <t>Dễ</t>
        </is>
      </c>
      <c r="I3454" s="390" t="inlineStr">
        <is>
          <t>Ngày, CTCK</t>
        </is>
      </c>
      <c r="J3454" s="401" t="inlineStr">
        <is>
          <t>SCMS</t>
        </is>
      </c>
      <c r="K3454" s="401" t="n"/>
      <c r="L3454" s="401" t="inlineStr">
        <is>
          <t>X</t>
        </is>
      </c>
      <c r="M3454" s="401" t="n"/>
      <c r="N3454" s="401" t="inlineStr">
        <is>
          <t>Done</t>
        </is>
      </c>
      <c r="O3454" s="401" t="n"/>
      <c r="P3454" s="401" t="n"/>
      <c r="S3454" s="401" t="n"/>
      <c r="U3454" s="401" t="n"/>
      <c r="V3454" s="22" t="n"/>
      <c r="W3454" s="22" t="n"/>
      <c r="X3454" s="22" t="n"/>
      <c r="Y3454" s="395" t="n"/>
      <c r="Z3454" s="22" t="n"/>
      <c r="AA3454" s="22" t="n"/>
      <c r="AB3454" s="22" t="n"/>
      <c r="AC3454" s="22" t="n"/>
      <c r="AD3454" s="22" t="n"/>
      <c r="AE3454" s="22" t="n"/>
    </row>
    <row r="3455" ht="98" customHeight="1" s="380">
      <c r="A3455" s="144" t="n">
        <v>128</v>
      </c>
      <c r="B3455" s="390" t="n"/>
      <c r="C3455" s="390" t="inlineStr">
        <is>
          <t>Báo cáo tài chính quý, soát xét bán niên, kiểm toán năm - Chi nhánh công ty chứng khoán nước ngoài tại Việt Nam &gt;&gt; Báo cáo lưu chuyển tiền tệ riêng_06613</t>
        </is>
      </c>
      <c r="D3455" s="390" t="inlineStr">
        <is>
          <t>-  Lãi đánh giá lại giá trị các tài sản tài chính ghi nhận thông qua lãi/lỗ FVTPL</t>
        </is>
      </c>
      <c r="E3455" s="390" t="n">
        <v>19</v>
      </c>
      <c r="F3455" s="390" t="inlineStr">
        <is>
          <t>Data Explorer</t>
        </is>
      </c>
      <c r="G3455" s="390" t="inlineStr">
        <is>
          <t>Chỉ tiêu cơ sở</t>
        </is>
      </c>
      <c r="H3455" s="390" t="inlineStr">
        <is>
          <t>Dễ</t>
        </is>
      </c>
      <c r="I3455" s="390" t="inlineStr">
        <is>
          <t>Ngày, CTCK</t>
        </is>
      </c>
      <c r="J3455" s="401" t="inlineStr">
        <is>
          <t>SCMS</t>
        </is>
      </c>
      <c r="K3455" s="401" t="n"/>
      <c r="L3455" s="401" t="inlineStr">
        <is>
          <t>X</t>
        </is>
      </c>
      <c r="M3455" s="401" t="n"/>
      <c r="N3455" s="401" t="inlineStr">
        <is>
          <t>Done</t>
        </is>
      </c>
      <c r="O3455" s="401" t="n"/>
      <c r="P3455" s="401" t="n"/>
      <c r="S3455" s="401" t="n"/>
      <c r="U3455" s="401" t="n"/>
      <c r="V3455" s="22" t="n"/>
      <c r="W3455" s="22" t="n"/>
      <c r="X3455" s="22" t="n"/>
      <c r="Y3455" s="395" t="n"/>
      <c r="Z3455" s="22" t="n"/>
      <c r="AA3455" s="22" t="n"/>
      <c r="AB3455" s="22" t="n"/>
      <c r="AC3455" s="22" t="n"/>
      <c r="AD3455" s="22" t="n"/>
      <c r="AE3455" s="22" t="n"/>
    </row>
    <row r="3456" ht="98" customHeight="1" s="380">
      <c r="A3456" s="144" t="n">
        <v>128</v>
      </c>
      <c r="B3456" s="390" t="n"/>
      <c r="C3456" s="390" t="inlineStr">
        <is>
          <t>Báo cáo tài chính quý, soát xét bán niên, kiểm toán năm - Chi nhánh công ty chứng khoán nước ngoài tại Việt Nam &gt;&gt; Báo cáo lưu chuyển tiền tệ riêng_06613</t>
        </is>
      </c>
      <c r="D3456" s="390" t="inlineStr">
        <is>
          <t>-  Lãi về ghi nhận chênh lệch đánh giá theo giá trị hợp lý TSTC sẵn sàng để bán (AFS) khi phân loại lại</t>
        </is>
      </c>
      <c r="E3456" s="390" t="n">
        <v>20</v>
      </c>
      <c r="F3456" s="390" t="inlineStr">
        <is>
          <t>Data Explorer</t>
        </is>
      </c>
      <c r="G3456" s="390" t="inlineStr">
        <is>
          <t>Chỉ tiêu cơ sở</t>
        </is>
      </c>
      <c r="H3456" s="390" t="inlineStr">
        <is>
          <t>Dễ</t>
        </is>
      </c>
      <c r="I3456" s="390" t="inlineStr">
        <is>
          <t>Ngày, CTCK</t>
        </is>
      </c>
      <c r="J3456" s="401" t="inlineStr">
        <is>
          <t>SCMS</t>
        </is>
      </c>
      <c r="K3456" s="401" t="n"/>
      <c r="L3456" s="401" t="inlineStr">
        <is>
          <t>X</t>
        </is>
      </c>
      <c r="M3456" s="401" t="n"/>
      <c r="N3456" s="401" t="inlineStr">
        <is>
          <t>Done</t>
        </is>
      </c>
      <c r="O3456" s="401" t="n"/>
      <c r="P3456" s="401" t="n"/>
      <c r="S3456" s="401" t="n"/>
      <c r="U3456" s="401" t="n"/>
      <c r="V3456" s="22" t="n"/>
      <c r="W3456" s="22" t="n"/>
      <c r="X3456" s="22" t="n"/>
      <c r="Y3456" s="395" t="n"/>
      <c r="Z3456" s="22" t="n"/>
      <c r="AA3456" s="22" t="n"/>
      <c r="AB3456" s="22" t="n"/>
      <c r="AC3456" s="22" t="n"/>
      <c r="AD3456" s="22" t="n"/>
      <c r="AE3456" s="22" t="n"/>
    </row>
    <row r="3457" ht="98" customHeight="1" s="380">
      <c r="A3457" s="144" t="n">
        <v>128</v>
      </c>
      <c r="B3457" s="390" t="n"/>
      <c r="C3457" s="390" t="inlineStr">
        <is>
          <t>Báo cáo tài chính quý, soát xét bán niên, kiểm toán năm - Chi nhánh công ty chứng khoán nước ngoài tại Việt Nam &gt;&gt; Báo cáo lưu chuyển tiền tệ riêng_06613</t>
        </is>
      </c>
      <c r="D3457" s="390" t="inlineStr">
        <is>
          <t>- Lãi khác</t>
        </is>
      </c>
      <c r="E3457" s="390" t="n">
        <v>21</v>
      </c>
      <c r="F3457" s="390" t="inlineStr">
        <is>
          <t>Data Explorer</t>
        </is>
      </c>
      <c r="G3457" s="390" t="inlineStr">
        <is>
          <t>Chỉ tiêu cơ sở</t>
        </is>
      </c>
      <c r="H3457" s="390" t="inlineStr">
        <is>
          <t>Dễ</t>
        </is>
      </c>
      <c r="I3457" s="390" t="inlineStr">
        <is>
          <t>Ngày, CTCK</t>
        </is>
      </c>
      <c r="J3457" s="401" t="inlineStr">
        <is>
          <t>SCMS</t>
        </is>
      </c>
      <c r="K3457" s="401" t="n"/>
      <c r="L3457" s="401" t="inlineStr">
        <is>
          <t>X</t>
        </is>
      </c>
      <c r="M3457" s="401" t="n"/>
      <c r="N3457" s="401" t="inlineStr">
        <is>
          <t>Done</t>
        </is>
      </c>
      <c r="O3457" s="401" t="n"/>
      <c r="P3457" s="401" t="n"/>
      <c r="S3457" s="401" t="n"/>
      <c r="U3457" s="401" t="n"/>
      <c r="V3457" s="22" t="n"/>
      <c r="W3457" s="22" t="n"/>
      <c r="X3457" s="22" t="n"/>
      <c r="Y3457" s="37" t="n"/>
      <c r="Z3457" s="22" t="n"/>
      <c r="AA3457" s="22" t="n"/>
      <c r="AB3457" s="22" t="n"/>
      <c r="AC3457" s="22" t="n"/>
      <c r="AD3457" s="22" t="n"/>
      <c r="AE3457" s="22" t="n"/>
    </row>
    <row r="3458" ht="98" customHeight="1" s="380">
      <c r="A3458" s="144" t="n">
        <v>128</v>
      </c>
      <c r="B3458" s="390" t="n"/>
      <c r="C3458" s="390" t="inlineStr">
        <is>
          <t>Báo cáo tài chính quý, soát xét bán niên, kiểm toán năm - Chi nhánh công ty chứng khoán nước ngoài tại Việt Nam &gt;&gt; Báo cáo lưu chuyển tiền tệ riêng_06613</t>
        </is>
      </c>
      <c r="D3458" s="132" t="inlineStr">
        <is>
          <t>5. Lợi nhuận từ hoạt động kinh doanh trước thay đổi vốn lưu động</t>
        </is>
      </c>
      <c r="E3458" s="132" t="n">
        <v>30</v>
      </c>
      <c r="F3458" s="390" t="inlineStr">
        <is>
          <t>Data Explorer</t>
        </is>
      </c>
      <c r="G3458" s="390" t="inlineStr">
        <is>
          <t>Chỉ tiêu cơ sở</t>
        </is>
      </c>
      <c r="H3458" s="390" t="inlineStr">
        <is>
          <t>Dễ</t>
        </is>
      </c>
      <c r="I3458" s="390" t="inlineStr">
        <is>
          <t>Ngày, CTCK</t>
        </is>
      </c>
      <c r="J3458" s="401" t="inlineStr">
        <is>
          <t>SCMS</t>
        </is>
      </c>
      <c r="K3458" s="401" t="n"/>
      <c r="L3458" s="401" t="inlineStr">
        <is>
          <t>X</t>
        </is>
      </c>
      <c r="M3458" s="401" t="n"/>
      <c r="N3458" s="401" t="inlineStr">
        <is>
          <t>Done</t>
        </is>
      </c>
      <c r="O3458" s="401" t="n"/>
      <c r="P3458" s="401" t="n"/>
      <c r="S3458" s="401" t="n"/>
      <c r="U3458" s="401" t="n"/>
      <c r="V3458" s="22" t="n"/>
      <c r="W3458" s="22" t="n"/>
      <c r="X3458" s="22" t="n"/>
      <c r="Y3458" s="395" t="n"/>
      <c r="Z3458" s="22" t="n"/>
      <c r="AA3458" s="22" t="n"/>
      <c r="AB3458" s="22" t="n"/>
      <c r="AC3458" s="22" t="n"/>
      <c r="AD3458" s="22" t="n"/>
      <c r="AE3458" s="22" t="n"/>
    </row>
    <row r="3459" ht="98" customHeight="1" s="380">
      <c r="A3459" s="144" t="n">
        <v>128</v>
      </c>
      <c r="B3459" s="390" t="n"/>
      <c r="C3459" s="390" t="inlineStr">
        <is>
          <t>Báo cáo tài chính quý, soát xét bán niên, kiểm toán năm - Chi nhánh công ty chứng khoán nước ngoài tại Việt Nam &gt;&gt; Báo cáo lưu chuyển tiền tệ riêng_06613</t>
        </is>
      </c>
      <c r="D3459" s="390" t="inlineStr">
        <is>
          <t>-  Tăng (giảm) tài sản tài chính ghi nhận thông qua lãi/lỗ FVTPL</t>
        </is>
      </c>
      <c r="E3459" s="390" t="n">
        <v>31</v>
      </c>
      <c r="F3459" s="390" t="inlineStr">
        <is>
          <t>Data Explorer</t>
        </is>
      </c>
      <c r="G3459" s="390" t="inlineStr">
        <is>
          <t>Chỉ tiêu cơ sở</t>
        </is>
      </c>
      <c r="H3459" s="390" t="inlineStr">
        <is>
          <t>Dễ</t>
        </is>
      </c>
      <c r="I3459" s="390" t="inlineStr">
        <is>
          <t>Ngày, CTCK</t>
        </is>
      </c>
      <c r="J3459" s="401" t="inlineStr">
        <is>
          <t>SCMS</t>
        </is>
      </c>
      <c r="K3459" s="401" t="n"/>
      <c r="L3459" s="401" t="inlineStr">
        <is>
          <t>X</t>
        </is>
      </c>
      <c r="M3459" s="401" t="n"/>
      <c r="N3459" s="401" t="inlineStr">
        <is>
          <t>Done</t>
        </is>
      </c>
      <c r="O3459" s="401" t="n"/>
      <c r="P3459" s="401" t="n"/>
      <c r="S3459" s="401" t="n"/>
      <c r="U3459" s="401" t="n"/>
      <c r="V3459" s="22" t="n"/>
      <c r="W3459" s="22" t="n"/>
      <c r="X3459" s="22" t="n"/>
      <c r="Y3459" s="13" t="n"/>
      <c r="Z3459" s="22" t="n"/>
      <c r="AA3459" s="22" t="n"/>
      <c r="AB3459" s="22" t="n"/>
      <c r="AC3459" s="22" t="n"/>
      <c r="AD3459" s="22" t="n"/>
      <c r="AE3459" s="22" t="n"/>
    </row>
    <row r="3460" ht="98" customHeight="1" s="380">
      <c r="A3460" s="144" t="n">
        <v>128</v>
      </c>
      <c r="B3460" s="390" t="n"/>
      <c r="C3460" s="390" t="inlineStr">
        <is>
          <t>Báo cáo tài chính quý, soát xét bán niên, kiểm toán năm - Chi nhánh công ty chứng khoán nước ngoài tại Việt Nam &gt;&gt; Báo cáo lưu chuyển tiền tệ riêng_06613</t>
        </is>
      </c>
      <c r="D3460" s="390" t="inlineStr">
        <is>
          <t>-  Tăng (giảm) Các khoản đầu tư nắm giữ đến ngày đáo hạn (HTM)</t>
        </is>
      </c>
      <c r="E3460" s="390" t="n">
        <v>32</v>
      </c>
      <c r="F3460" s="390" t="inlineStr">
        <is>
          <t>Data Explorer</t>
        </is>
      </c>
      <c r="G3460" s="390" t="inlineStr">
        <is>
          <t>Chỉ tiêu cơ sở</t>
        </is>
      </c>
      <c r="H3460" s="390" t="inlineStr">
        <is>
          <t>Dễ</t>
        </is>
      </c>
      <c r="I3460" s="390" t="inlineStr">
        <is>
          <t>Ngày, CTCK</t>
        </is>
      </c>
      <c r="J3460" s="401" t="inlineStr">
        <is>
          <t>SCMS</t>
        </is>
      </c>
      <c r="K3460" s="401" t="n"/>
      <c r="L3460" s="401" t="inlineStr">
        <is>
          <t>X</t>
        </is>
      </c>
      <c r="M3460" s="401" t="n"/>
      <c r="N3460" s="401" t="inlineStr">
        <is>
          <t>Done</t>
        </is>
      </c>
      <c r="O3460" s="401" t="n"/>
      <c r="P3460" s="401" t="n"/>
      <c r="S3460" s="401" t="n"/>
      <c r="U3460" s="401" t="n"/>
      <c r="V3460" s="22" t="n"/>
      <c r="W3460" s="22" t="n"/>
      <c r="X3460" s="22" t="n"/>
      <c r="Y3460" s="13" t="n"/>
      <c r="Z3460" s="22" t="n"/>
      <c r="AA3460" s="22" t="n"/>
      <c r="AB3460" s="22" t="n"/>
      <c r="AC3460" s="22" t="n"/>
      <c r="AD3460" s="22" t="n"/>
      <c r="AE3460" s="22" t="n"/>
    </row>
    <row r="3461" ht="98" customHeight="1" s="380">
      <c r="A3461" s="144" t="n">
        <v>128</v>
      </c>
      <c r="B3461" s="390" t="n"/>
      <c r="C3461" s="390" t="inlineStr">
        <is>
          <t>Báo cáo tài chính quý, soát xét bán niên, kiểm toán năm - Chi nhánh công ty chứng khoán nước ngoài tại Việt Nam &gt;&gt; Báo cáo lưu chuyển tiền tệ riêng_06613</t>
        </is>
      </c>
      <c r="D3461" s="390" t="inlineStr">
        <is>
          <t xml:space="preserve">-  Tăng (giảm) Các khoản cho vay </t>
        </is>
      </c>
      <c r="E3461" s="390" t="n">
        <v>33</v>
      </c>
      <c r="F3461" s="390" t="inlineStr">
        <is>
          <t>Data Explorer</t>
        </is>
      </c>
      <c r="G3461" s="390" t="inlineStr">
        <is>
          <t>Chỉ tiêu cơ sở</t>
        </is>
      </c>
      <c r="H3461" s="390" t="inlineStr">
        <is>
          <t>Dễ</t>
        </is>
      </c>
      <c r="I3461" s="390" t="inlineStr">
        <is>
          <t>Ngày, CTCK</t>
        </is>
      </c>
      <c r="J3461" s="401" t="inlineStr">
        <is>
          <t>SCMS</t>
        </is>
      </c>
      <c r="K3461" s="401" t="n"/>
      <c r="L3461" s="401" t="inlineStr">
        <is>
          <t>X</t>
        </is>
      </c>
      <c r="M3461" s="401" t="n"/>
      <c r="N3461" s="401" t="inlineStr">
        <is>
          <t>Done</t>
        </is>
      </c>
      <c r="O3461" s="401" t="n"/>
      <c r="P3461" s="401" t="n"/>
      <c r="S3461" s="401" t="n"/>
      <c r="U3461" s="401" t="n"/>
      <c r="V3461" s="22" t="n"/>
      <c r="W3461" s="22" t="n"/>
      <c r="X3461" s="22" t="n"/>
      <c r="Y3461" s="13" t="n"/>
      <c r="Z3461" s="22" t="n"/>
      <c r="AA3461" s="22" t="n"/>
      <c r="AB3461" s="22" t="n"/>
      <c r="AC3461" s="22" t="n"/>
      <c r="AD3461" s="22" t="n"/>
      <c r="AE3461" s="22" t="n"/>
    </row>
    <row r="3462" ht="98" customHeight="1" s="380">
      <c r="A3462" s="144" t="n">
        <v>128</v>
      </c>
      <c r="B3462" s="390" t="n"/>
      <c r="C3462" s="390" t="inlineStr">
        <is>
          <t>Báo cáo tài chính quý, soát xét bán niên, kiểm toán năm - Chi nhánh công ty chứng khoán nước ngoài tại Việt Nam &gt;&gt; Báo cáo lưu chuyển tiền tệ riêng_06613</t>
        </is>
      </c>
      <c r="D3462" s="390" t="inlineStr">
        <is>
          <t xml:space="preserve">-  Tăng (giảm) tài sản tài chính sẵn sàng để bán AFS </t>
        </is>
      </c>
      <c r="E3462" s="390" t="n">
        <v>34</v>
      </c>
      <c r="F3462" s="390" t="inlineStr">
        <is>
          <t>Data Explorer</t>
        </is>
      </c>
      <c r="G3462" s="390" t="inlineStr">
        <is>
          <t>Chỉ tiêu cơ sở</t>
        </is>
      </c>
      <c r="H3462" s="390" t="inlineStr">
        <is>
          <t>Dễ</t>
        </is>
      </c>
      <c r="I3462" s="390" t="inlineStr">
        <is>
          <t>Ngày, CTCK</t>
        </is>
      </c>
      <c r="J3462" s="401" t="inlineStr">
        <is>
          <t>SCMS</t>
        </is>
      </c>
      <c r="K3462" s="401" t="n"/>
      <c r="L3462" s="401" t="inlineStr">
        <is>
          <t>X</t>
        </is>
      </c>
      <c r="M3462" s="401" t="n"/>
      <c r="N3462" s="401" t="inlineStr">
        <is>
          <t>Done</t>
        </is>
      </c>
      <c r="O3462" s="401" t="n"/>
      <c r="P3462" s="401" t="n"/>
      <c r="S3462" s="401" t="n"/>
      <c r="U3462" s="401" t="n"/>
      <c r="V3462" s="22" t="n"/>
      <c r="W3462" s="22" t="n"/>
      <c r="X3462" s="22" t="n"/>
      <c r="Y3462" s="13" t="n"/>
      <c r="Z3462" s="22" t="n"/>
      <c r="AA3462" s="22" t="n"/>
      <c r="AB3462" s="22" t="n"/>
      <c r="AC3462" s="22" t="n"/>
      <c r="AD3462" s="22" t="n"/>
      <c r="AE3462" s="22" t="n"/>
    </row>
    <row r="3463" ht="98" customHeight="1" s="380">
      <c r="A3463" s="144" t="n">
        <v>128</v>
      </c>
      <c r="B3463" s="390" t="n"/>
      <c r="C3463" s="390" t="inlineStr">
        <is>
          <t>Báo cáo tài chính quý, soát xét bán niên, kiểm toán năm - Chi nhánh công ty chứng khoán nước ngoài tại Việt Nam &gt;&gt; Báo cáo lưu chuyển tiền tệ riêng_06613</t>
        </is>
      </c>
      <c r="D3463" s="390" t="inlineStr">
        <is>
          <t>(-) Tăng, (+) giảm phải thu bán các tài sản tài chính</t>
        </is>
      </c>
      <c r="E3463" s="390" t="n">
        <v>35</v>
      </c>
      <c r="F3463" s="390" t="inlineStr">
        <is>
          <t>Data Explorer</t>
        </is>
      </c>
      <c r="G3463" s="390" t="inlineStr">
        <is>
          <t>Chỉ tiêu cơ sở</t>
        </is>
      </c>
      <c r="H3463" s="390" t="inlineStr">
        <is>
          <t>Dễ</t>
        </is>
      </c>
      <c r="I3463" s="390" t="inlineStr">
        <is>
          <t>Ngày, CTCK</t>
        </is>
      </c>
      <c r="J3463" s="401" t="inlineStr">
        <is>
          <t>SCMS</t>
        </is>
      </c>
      <c r="K3463" s="401" t="n"/>
      <c r="L3463" s="401" t="inlineStr">
        <is>
          <t>X</t>
        </is>
      </c>
      <c r="M3463" s="401" t="n"/>
      <c r="N3463" s="401" t="inlineStr">
        <is>
          <t>Done</t>
        </is>
      </c>
      <c r="O3463" s="401" t="n"/>
      <c r="P3463" s="401" t="n"/>
      <c r="S3463" s="401" t="n"/>
      <c r="U3463" s="401" t="n"/>
      <c r="V3463" s="22" t="n"/>
      <c r="W3463" s="22" t="n"/>
      <c r="X3463" s="22" t="n"/>
      <c r="Y3463" s="13" t="n"/>
      <c r="Z3463" s="22" t="n"/>
      <c r="AA3463" s="22" t="n"/>
      <c r="AB3463" s="22" t="n"/>
      <c r="AC3463" s="22" t="n"/>
      <c r="AD3463" s="22" t="n"/>
      <c r="AE3463" s="22" t="n"/>
    </row>
    <row r="3464" ht="98" customHeight="1" s="380">
      <c r="A3464" s="144" t="n">
        <v>128</v>
      </c>
      <c r="B3464" s="390" t="n"/>
      <c r="C3464" s="390" t="inlineStr">
        <is>
          <t>Báo cáo tài chính quý, soát xét bán niên, kiểm toán năm - Chi nhánh công ty chứng khoán nước ngoài tại Việt Nam &gt;&gt; Báo cáo lưu chuyển tiền tệ riêng_06613</t>
        </is>
      </c>
      <c r="D3464" s="390" t="inlineStr">
        <is>
          <t>(-) Tăng, (+) giảm phải thu và dự thu cổ tức, tiền lãi các tài sản tài chính</t>
        </is>
      </c>
      <c r="E3464" s="390" t="n">
        <v>36</v>
      </c>
      <c r="F3464" s="390" t="inlineStr">
        <is>
          <t>Data Explorer</t>
        </is>
      </c>
      <c r="G3464" s="390" t="inlineStr">
        <is>
          <t>Chỉ tiêu cơ sở</t>
        </is>
      </c>
      <c r="H3464" s="390" t="inlineStr">
        <is>
          <t>Dễ</t>
        </is>
      </c>
      <c r="I3464" s="390" t="inlineStr">
        <is>
          <t>Ngày, CTCK</t>
        </is>
      </c>
      <c r="J3464" s="401" t="inlineStr">
        <is>
          <t>SCMS</t>
        </is>
      </c>
      <c r="K3464" s="401" t="n"/>
      <c r="L3464" s="401" t="inlineStr">
        <is>
          <t>X</t>
        </is>
      </c>
      <c r="M3464" s="401" t="n"/>
      <c r="N3464" s="401" t="inlineStr">
        <is>
          <t>Done</t>
        </is>
      </c>
      <c r="O3464" s="401" t="n"/>
      <c r="P3464" s="401" t="n"/>
      <c r="S3464" s="401" t="n"/>
      <c r="U3464" s="401" t="n"/>
      <c r="V3464" s="22" t="n"/>
      <c r="W3464" s="22" t="n"/>
      <c r="X3464" s="22" t="n"/>
      <c r="Y3464" s="13" t="n"/>
      <c r="Z3464" s="22" t="n"/>
      <c r="AA3464" s="22" t="n"/>
      <c r="AB3464" s="22" t="n"/>
      <c r="AC3464" s="22" t="n"/>
      <c r="AD3464" s="22" t="n"/>
      <c r="AE3464" s="22" t="n"/>
    </row>
    <row r="3465" ht="98" customHeight="1" s="380">
      <c r="A3465" s="144" t="n">
        <v>128</v>
      </c>
      <c r="B3465" s="390" t="n"/>
      <c r="C3465" s="390" t="inlineStr">
        <is>
          <t>Báo cáo tài chính quý, soát xét bán niên, kiểm toán năm - Chi nhánh công ty chứng khoán nước ngoài tại Việt Nam &gt;&gt; Báo cáo lưu chuyển tiền tệ riêng_06613</t>
        </is>
      </c>
      <c r="D3465" s="390" t="inlineStr">
        <is>
          <t>(-) Tăng, (+) giảm các khoản phải thu các dịch vụ CTCK cung cấp</t>
        </is>
      </c>
      <c r="E3465" s="390" t="n">
        <v>37</v>
      </c>
      <c r="F3465" s="390" t="inlineStr">
        <is>
          <t>Data Explorer</t>
        </is>
      </c>
      <c r="G3465" s="390" t="inlineStr">
        <is>
          <t>Chỉ tiêu cơ sở</t>
        </is>
      </c>
      <c r="H3465" s="390" t="inlineStr">
        <is>
          <t>Dễ</t>
        </is>
      </c>
      <c r="I3465" s="390" t="inlineStr">
        <is>
          <t>Ngày, CTCK</t>
        </is>
      </c>
      <c r="J3465" s="401" t="inlineStr">
        <is>
          <t>SCMS</t>
        </is>
      </c>
      <c r="K3465" s="401" t="n"/>
      <c r="L3465" s="401" t="inlineStr">
        <is>
          <t>X</t>
        </is>
      </c>
      <c r="M3465" s="401" t="n"/>
      <c r="N3465" s="401" t="inlineStr">
        <is>
          <t>Done</t>
        </is>
      </c>
      <c r="O3465" s="401" t="n"/>
      <c r="P3465" s="401" t="n"/>
      <c r="S3465" s="401" t="n"/>
      <c r="U3465" s="401" t="n"/>
      <c r="V3465" s="22" t="n"/>
      <c r="W3465" s="22" t="n"/>
      <c r="X3465" s="22" t="n"/>
      <c r="Y3465" s="13" t="n"/>
      <c r="Z3465" s="22" t="n"/>
      <c r="AA3465" s="22" t="n"/>
      <c r="AB3465" s="22" t="n"/>
      <c r="AC3465" s="22" t="n"/>
      <c r="AD3465" s="22" t="n"/>
      <c r="AE3465" s="22" t="n"/>
    </row>
    <row r="3466" ht="98" customHeight="1" s="380">
      <c r="A3466" s="144" t="n">
        <v>128</v>
      </c>
      <c r="B3466" s="390" t="n"/>
      <c r="C3466" s="390" t="inlineStr">
        <is>
          <t>Báo cáo tài chính quý, soát xét bán niên, kiểm toán năm - Chi nhánh công ty chứng khoán nước ngoài tại Việt Nam &gt;&gt; Báo cáo lưu chuyển tiền tệ riêng_06613</t>
        </is>
      </c>
      <c r="D3466" s="390" t="inlineStr">
        <is>
          <t>(-) Tăng, (+) giảm các khoản phải thu về lỗi giao dịch các TSTC</t>
        </is>
      </c>
      <c r="E3466" s="390" t="n">
        <v>38</v>
      </c>
      <c r="F3466" s="390" t="inlineStr">
        <is>
          <t>Data Explorer</t>
        </is>
      </c>
      <c r="G3466" s="390" t="inlineStr">
        <is>
          <t>Chỉ tiêu cơ sở</t>
        </is>
      </c>
      <c r="H3466" s="390" t="inlineStr">
        <is>
          <t>Dễ</t>
        </is>
      </c>
      <c r="I3466" s="390" t="inlineStr">
        <is>
          <t>Ngày, CTCK</t>
        </is>
      </c>
      <c r="J3466" s="401" t="inlineStr">
        <is>
          <t>SCMS</t>
        </is>
      </c>
      <c r="K3466" s="401" t="n"/>
      <c r="L3466" s="401" t="inlineStr">
        <is>
          <t>X</t>
        </is>
      </c>
      <c r="M3466" s="401" t="n"/>
      <c r="N3466" s="401" t="inlineStr">
        <is>
          <t>Done</t>
        </is>
      </c>
      <c r="O3466" s="401" t="n"/>
      <c r="P3466" s="401" t="n"/>
      <c r="S3466" s="401" t="n"/>
      <c r="U3466" s="401" t="n"/>
      <c r="V3466" s="22" t="n"/>
      <c r="W3466" s="22" t="n"/>
      <c r="X3466" s="22" t="n"/>
      <c r="Y3466" s="13" t="n"/>
      <c r="Z3466" s="22" t="n"/>
      <c r="AA3466" s="22" t="n"/>
      <c r="AB3466" s="22" t="n"/>
      <c r="AC3466" s="22" t="n"/>
      <c r="AD3466" s="22" t="n"/>
      <c r="AE3466" s="22" t="n"/>
    </row>
    <row r="3467" ht="98" customHeight="1" s="380">
      <c r="A3467" s="144" t="n">
        <v>128</v>
      </c>
      <c r="B3467" s="390" t="n"/>
      <c r="C3467" s="390" t="inlineStr">
        <is>
          <t>Báo cáo tài chính quý, soát xét bán niên, kiểm toán năm - Chi nhánh công ty chứng khoán nước ngoài tại Việt Nam &gt;&gt; Báo cáo lưu chuyển tiền tệ riêng_06613</t>
        </is>
      </c>
      <c r="D3467" s="390" t="inlineStr">
        <is>
          <t>(-) Tăng, (+) giảm các khoản phải thu khác</t>
        </is>
      </c>
      <c r="E3467" s="390" t="n">
        <v>39</v>
      </c>
      <c r="F3467" s="390" t="inlineStr">
        <is>
          <t>Data Explorer</t>
        </is>
      </c>
      <c r="G3467" s="390" t="inlineStr">
        <is>
          <t>Chỉ tiêu cơ sở</t>
        </is>
      </c>
      <c r="H3467" s="390" t="inlineStr">
        <is>
          <t>Dễ</t>
        </is>
      </c>
      <c r="I3467" s="390" t="inlineStr">
        <is>
          <t>Ngày, CTCK</t>
        </is>
      </c>
      <c r="J3467" s="401" t="inlineStr">
        <is>
          <t>SCMS</t>
        </is>
      </c>
      <c r="K3467" s="401" t="n"/>
      <c r="L3467" s="401" t="inlineStr">
        <is>
          <t>X</t>
        </is>
      </c>
      <c r="M3467" s="401" t="n"/>
      <c r="N3467" s="401" t="inlineStr">
        <is>
          <t>Done</t>
        </is>
      </c>
      <c r="O3467" s="401" t="n"/>
      <c r="P3467" s="401" t="n"/>
      <c r="S3467" s="401" t="n"/>
      <c r="U3467" s="401" t="n"/>
      <c r="V3467" s="22" t="n"/>
      <c r="W3467" s="22" t="n"/>
      <c r="X3467" s="22" t="n"/>
      <c r="Y3467" s="13" t="n"/>
      <c r="Z3467" s="22" t="n"/>
      <c r="AA3467" s="22" t="n"/>
      <c r="AB3467" s="22" t="n"/>
      <c r="AC3467" s="22" t="n"/>
      <c r="AD3467" s="22" t="n"/>
      <c r="AE3467" s="22" t="n"/>
    </row>
    <row r="3468" ht="98" customHeight="1" s="380">
      <c r="A3468" s="144" t="n">
        <v>128</v>
      </c>
      <c r="B3468" s="390" t="n"/>
      <c r="C3468" s="390" t="inlineStr">
        <is>
          <t>Báo cáo tài chính quý, soát xét bán niên, kiểm toán năm - Chi nhánh công ty chứng khoán nước ngoài tại Việt Nam &gt;&gt; Báo cáo lưu chuyển tiền tệ riêng_06613</t>
        </is>
      </c>
      <c r="D3468" s="390" t="inlineStr">
        <is>
          <t>-  Tăng (giảm) các tài sản khác</t>
        </is>
      </c>
      <c r="E3468" s="390" t="n">
        <v>40</v>
      </c>
      <c r="F3468" s="390" t="inlineStr">
        <is>
          <t>Data Explorer</t>
        </is>
      </c>
      <c r="G3468" s="390" t="inlineStr">
        <is>
          <t>Chỉ tiêu cơ sở</t>
        </is>
      </c>
      <c r="H3468" s="390" t="inlineStr">
        <is>
          <t>Dễ</t>
        </is>
      </c>
      <c r="I3468" s="390" t="inlineStr">
        <is>
          <t>Ngày, CTCK</t>
        </is>
      </c>
      <c r="J3468" s="401" t="inlineStr">
        <is>
          <t>SCMS</t>
        </is>
      </c>
      <c r="K3468" s="401" t="n"/>
      <c r="L3468" s="401" t="inlineStr">
        <is>
          <t>X</t>
        </is>
      </c>
      <c r="M3468" s="401" t="n"/>
      <c r="N3468" s="401" t="inlineStr">
        <is>
          <t>Done</t>
        </is>
      </c>
      <c r="O3468" s="401" t="n"/>
      <c r="P3468" s="401" t="n"/>
      <c r="S3468" s="401" t="n"/>
      <c r="U3468" s="401" t="n"/>
      <c r="V3468" s="22" t="n"/>
      <c r="W3468" s="22" t="n"/>
      <c r="X3468" s="22" t="n"/>
      <c r="Y3468" s="13" t="n"/>
      <c r="Z3468" s="22" t="n"/>
      <c r="AA3468" s="22" t="n"/>
      <c r="AB3468" s="22" t="n"/>
      <c r="AC3468" s="22" t="n"/>
      <c r="AD3468" s="22" t="n"/>
      <c r="AE3468" s="22" t="n"/>
    </row>
    <row r="3469" ht="98" customHeight="1" s="380">
      <c r="A3469" s="144" t="n">
        <v>128</v>
      </c>
      <c r="B3469" s="390" t="n"/>
      <c r="C3469" s="390" t="inlineStr">
        <is>
          <t>Báo cáo tài chính quý, soát xét bán niên, kiểm toán năm - Chi nhánh công ty chứng khoán nước ngoài tại Việt Nam &gt;&gt; Báo cáo lưu chuyển tiền tệ riêng_06613</t>
        </is>
      </c>
      <c r="D3469" s="390" t="inlineStr">
        <is>
          <t>- Tăng (giảm) chi phí phải trả (không bao gồm chi phí lãi vay)</t>
        </is>
      </c>
      <c r="E3469" s="390" t="n">
        <v>41</v>
      </c>
      <c r="F3469" s="390" t="inlineStr">
        <is>
          <t>Data Explorer</t>
        </is>
      </c>
      <c r="G3469" s="390" t="inlineStr">
        <is>
          <t>Chỉ tiêu cơ sở</t>
        </is>
      </c>
      <c r="H3469" s="390" t="inlineStr">
        <is>
          <t>Dễ</t>
        </is>
      </c>
      <c r="I3469" s="390" t="inlineStr">
        <is>
          <t>Ngày, CTCK</t>
        </is>
      </c>
      <c r="J3469" s="401" t="inlineStr">
        <is>
          <t>SCMS</t>
        </is>
      </c>
      <c r="K3469" s="401" t="n"/>
      <c r="L3469" s="401" t="inlineStr">
        <is>
          <t>X</t>
        </is>
      </c>
      <c r="M3469" s="401" t="n"/>
      <c r="N3469" s="401" t="inlineStr">
        <is>
          <t>Done</t>
        </is>
      </c>
      <c r="O3469" s="401" t="n"/>
      <c r="P3469" s="401" t="n"/>
      <c r="S3469" s="401" t="n"/>
      <c r="U3469" s="401" t="n"/>
      <c r="V3469" s="22" t="n"/>
      <c r="W3469" s="22" t="n"/>
      <c r="X3469" s="22" t="n"/>
      <c r="Y3469" s="38" t="n"/>
      <c r="Z3469" s="22" t="n"/>
      <c r="AA3469" s="22" t="n"/>
      <c r="AB3469" s="22" t="n"/>
      <c r="AC3469" s="22" t="n"/>
      <c r="AD3469" s="22" t="n"/>
      <c r="AE3469" s="22" t="n"/>
    </row>
    <row r="3470" ht="98" customHeight="1" s="380">
      <c r="A3470" s="144" t="n">
        <v>128</v>
      </c>
      <c r="B3470" s="390" t="n"/>
      <c r="C3470" s="390" t="inlineStr">
        <is>
          <t>Báo cáo tài chính quý, soát xét bán niên, kiểm toán năm - Chi nhánh công ty chứng khoán nước ngoài tại Việt Nam &gt;&gt; Báo cáo lưu chuyển tiền tệ riêng_06613</t>
        </is>
      </c>
      <c r="D3470" s="390" t="inlineStr">
        <is>
          <t>- Tăng (giảm)  chi phí trả trước</t>
        </is>
      </c>
      <c r="E3470" s="390" t="n">
        <v>42</v>
      </c>
      <c r="F3470" s="390" t="inlineStr">
        <is>
          <t>Data Explorer</t>
        </is>
      </c>
      <c r="G3470" s="390" t="inlineStr">
        <is>
          <t>Chỉ tiêu cơ sở</t>
        </is>
      </c>
      <c r="H3470" s="390" t="inlineStr">
        <is>
          <t>Dễ</t>
        </is>
      </c>
      <c r="I3470" s="390" t="inlineStr">
        <is>
          <t>Ngày, CTCK</t>
        </is>
      </c>
      <c r="J3470" s="401" t="inlineStr">
        <is>
          <t>SCMS</t>
        </is>
      </c>
      <c r="K3470" s="401" t="n"/>
      <c r="L3470" s="401" t="inlineStr">
        <is>
          <t>X</t>
        </is>
      </c>
      <c r="M3470" s="401" t="n"/>
      <c r="N3470" s="401" t="inlineStr">
        <is>
          <t>Done</t>
        </is>
      </c>
      <c r="O3470" s="401" t="n"/>
      <c r="P3470" s="401" t="n"/>
      <c r="S3470" s="401" t="n"/>
      <c r="U3470" s="401" t="n"/>
      <c r="V3470" s="22" t="n"/>
      <c r="W3470" s="22" t="n"/>
      <c r="X3470" s="22" t="n"/>
      <c r="Y3470" s="13" t="n"/>
      <c r="Z3470" s="22" t="n"/>
      <c r="AA3470" s="22" t="n"/>
      <c r="AB3470" s="22" t="n"/>
      <c r="AC3470" s="22" t="n"/>
      <c r="AD3470" s="22" t="n"/>
      <c r="AE3470" s="22" t="n"/>
    </row>
    <row r="3471" ht="98" customHeight="1" s="380">
      <c r="A3471" s="144" t="n">
        <v>128</v>
      </c>
      <c r="B3471" s="390" t="n"/>
      <c r="C3471" s="390" t="inlineStr">
        <is>
          <t>Báo cáo tài chính quý, soát xét bán niên, kiểm toán năm - Chi nhánh công ty chứng khoán nước ngoài tại Việt Nam &gt;&gt; Báo cáo lưu chuyển tiền tệ riêng_06613</t>
        </is>
      </c>
      <c r="D3471" s="390" t="inlineStr">
        <is>
          <t xml:space="preserve">(-) Thuế TNDN đã nộp </t>
        </is>
      </c>
      <c r="E3471" s="390" t="n">
        <v>43</v>
      </c>
      <c r="F3471" s="390" t="inlineStr">
        <is>
          <t>Data Explorer</t>
        </is>
      </c>
      <c r="G3471" s="390" t="inlineStr">
        <is>
          <t>Chỉ tiêu cơ sở</t>
        </is>
      </c>
      <c r="H3471" s="390" t="inlineStr">
        <is>
          <t>Dễ</t>
        </is>
      </c>
      <c r="I3471" s="390" t="inlineStr">
        <is>
          <t>Ngày, CTCK</t>
        </is>
      </c>
      <c r="J3471" s="401" t="inlineStr">
        <is>
          <t>SCMS</t>
        </is>
      </c>
      <c r="K3471" s="401" t="n"/>
      <c r="L3471" s="401" t="inlineStr">
        <is>
          <t>X</t>
        </is>
      </c>
      <c r="M3471" s="401" t="n"/>
      <c r="N3471" s="401" t="inlineStr">
        <is>
          <t>Done</t>
        </is>
      </c>
      <c r="O3471" s="401" t="n"/>
      <c r="P3471" s="401" t="n"/>
      <c r="S3471" s="401" t="n"/>
      <c r="U3471" s="401" t="n"/>
      <c r="V3471" s="22" t="n"/>
      <c r="W3471" s="22" t="n"/>
      <c r="X3471" s="22" t="n"/>
      <c r="Y3471" s="13" t="n"/>
      <c r="Z3471" s="22" t="n"/>
      <c r="AA3471" s="22" t="n"/>
      <c r="AB3471" s="22" t="n"/>
      <c r="AC3471" s="22" t="n"/>
      <c r="AD3471" s="22" t="n"/>
      <c r="AE3471" s="22" t="n"/>
    </row>
    <row r="3472" ht="98" customHeight="1" s="380">
      <c r="A3472" s="144" t="n">
        <v>128</v>
      </c>
      <c r="B3472" s="390" t="n"/>
      <c r="C3472" s="390" t="inlineStr">
        <is>
          <t>Báo cáo tài chính quý, soát xét bán niên, kiểm toán năm - Chi nhánh công ty chứng khoán nước ngoài tại Việt Nam &gt;&gt; Báo cáo lưu chuyển tiền tệ riêng_06613</t>
        </is>
      </c>
      <c r="D3472" s="390" t="inlineStr">
        <is>
          <t>(-) Lãi vay đã trả</t>
        </is>
      </c>
      <c r="E3472" s="390" t="n">
        <v>44</v>
      </c>
      <c r="F3472" s="390" t="inlineStr">
        <is>
          <t>Data Explorer</t>
        </is>
      </c>
      <c r="G3472" s="390" t="inlineStr">
        <is>
          <t>Chỉ tiêu cơ sở</t>
        </is>
      </c>
      <c r="H3472" s="390" t="inlineStr">
        <is>
          <t>Dễ</t>
        </is>
      </c>
      <c r="I3472" s="390" t="inlineStr">
        <is>
          <t>Ngày, CTCK</t>
        </is>
      </c>
      <c r="J3472" s="401" t="inlineStr">
        <is>
          <t>SCMS</t>
        </is>
      </c>
      <c r="K3472" s="401" t="n"/>
      <c r="L3472" s="401" t="inlineStr">
        <is>
          <t>X</t>
        </is>
      </c>
      <c r="M3472" s="401" t="n"/>
      <c r="N3472" s="401" t="inlineStr">
        <is>
          <t>Done</t>
        </is>
      </c>
      <c r="O3472" s="401" t="n"/>
      <c r="P3472" s="401" t="n"/>
      <c r="S3472" s="401" t="n"/>
      <c r="U3472" s="401" t="n"/>
      <c r="V3472" s="22" t="n"/>
      <c r="W3472" s="22" t="n"/>
      <c r="X3472" s="22" t="n"/>
      <c r="Y3472" s="13" t="n"/>
      <c r="Z3472" s="22" t="n"/>
      <c r="AA3472" s="22" t="n"/>
      <c r="AB3472" s="22" t="n"/>
      <c r="AC3472" s="22" t="n"/>
      <c r="AD3472" s="22" t="n"/>
      <c r="AE3472" s="22" t="n"/>
    </row>
    <row r="3473" ht="98" customHeight="1" s="380">
      <c r="A3473" s="144" t="n">
        <v>128</v>
      </c>
      <c r="B3473" s="390" t="n"/>
      <c r="C3473" s="390" t="inlineStr">
        <is>
          <t>Báo cáo tài chính quý, soát xét bán niên, kiểm toán năm - Chi nhánh công ty chứng khoán nước ngoài tại Việt Nam &gt;&gt; Báo cáo lưu chuyển tiền tệ riêng_06613</t>
        </is>
      </c>
      <c r="D3473" s="390" t="inlineStr">
        <is>
          <t>-  Tăng (giảm) phải trả cho người bán</t>
        </is>
      </c>
      <c r="E3473" s="390" t="n">
        <v>45</v>
      </c>
      <c r="F3473" s="390" t="inlineStr">
        <is>
          <t>Data Explorer</t>
        </is>
      </c>
      <c r="G3473" s="390" t="inlineStr">
        <is>
          <t>Chỉ tiêu cơ sở</t>
        </is>
      </c>
      <c r="H3473" s="390" t="inlineStr">
        <is>
          <t>Dễ</t>
        </is>
      </c>
      <c r="I3473" s="390" t="inlineStr">
        <is>
          <t>Ngày, CTCK</t>
        </is>
      </c>
      <c r="J3473" s="401" t="inlineStr">
        <is>
          <t>SCMS</t>
        </is>
      </c>
      <c r="K3473" s="401" t="n"/>
      <c r="L3473" s="401" t="inlineStr">
        <is>
          <t>X</t>
        </is>
      </c>
      <c r="M3473" s="401" t="n"/>
      <c r="N3473" s="401" t="inlineStr">
        <is>
          <t>Done</t>
        </is>
      </c>
      <c r="O3473" s="401" t="n"/>
      <c r="P3473" s="401" t="n"/>
      <c r="S3473" s="401" t="n"/>
      <c r="U3473" s="401" t="n"/>
      <c r="V3473" s="22" t="n"/>
      <c r="W3473" s="22" t="n"/>
      <c r="X3473" s="22" t="n"/>
      <c r="Y3473" s="13" t="n"/>
      <c r="Z3473" s="22" t="n"/>
      <c r="AA3473" s="22" t="n"/>
      <c r="AB3473" s="22" t="n"/>
      <c r="AC3473" s="22" t="n"/>
      <c r="AD3473" s="22" t="n"/>
      <c r="AE3473" s="22" t="n"/>
    </row>
    <row r="3474" ht="98" customHeight="1" s="380">
      <c r="A3474" s="144" t="n">
        <v>128</v>
      </c>
      <c r="B3474" s="390" t="n"/>
      <c r="C3474" s="390" t="inlineStr">
        <is>
          <t>Báo cáo tài chính quý, soát xét bán niên, kiểm toán năm - Chi nhánh công ty chứng khoán nước ngoài tại Việt Nam &gt;&gt; Báo cáo lưu chuyển tiền tệ riêng_06613</t>
        </is>
      </c>
      <c r="D3474" s="390" t="inlineStr">
        <is>
          <t>-  Tăng (giảm) các khoản trích nộp phúc lợi nhân viên</t>
        </is>
      </c>
      <c r="E3474" s="390" t="n">
        <v>46</v>
      </c>
      <c r="F3474" s="390" t="inlineStr">
        <is>
          <t>Data Explorer</t>
        </is>
      </c>
      <c r="G3474" s="390" t="inlineStr">
        <is>
          <t>Chỉ tiêu cơ sở</t>
        </is>
      </c>
      <c r="H3474" s="390" t="inlineStr">
        <is>
          <t>Dễ</t>
        </is>
      </c>
      <c r="I3474" s="390" t="inlineStr">
        <is>
          <t>Ngày, CTCK</t>
        </is>
      </c>
      <c r="J3474" s="401" t="inlineStr">
        <is>
          <t>SCMS</t>
        </is>
      </c>
      <c r="K3474" s="401" t="n"/>
      <c r="L3474" s="401" t="inlineStr">
        <is>
          <t>X</t>
        </is>
      </c>
      <c r="M3474" s="401" t="n"/>
      <c r="N3474" s="401" t="inlineStr">
        <is>
          <t>Done</t>
        </is>
      </c>
      <c r="O3474" s="401" t="n"/>
      <c r="P3474" s="401" t="n"/>
      <c r="S3474" s="401" t="n"/>
      <c r="U3474" s="401" t="n"/>
      <c r="V3474" s="22" t="n"/>
      <c r="W3474" s="22" t="n"/>
      <c r="X3474" s="22" t="n"/>
      <c r="Y3474" s="13" t="n"/>
      <c r="Z3474" s="22" t="n"/>
      <c r="AA3474" s="22" t="n"/>
      <c r="AB3474" s="22" t="n"/>
      <c r="AC3474" s="22" t="n"/>
      <c r="AD3474" s="22" t="n"/>
      <c r="AE3474" s="22" t="n"/>
    </row>
    <row r="3475" ht="98" customHeight="1" s="380">
      <c r="A3475" s="144" t="n">
        <v>128</v>
      </c>
      <c r="B3475" s="390" t="n"/>
      <c r="C3475" s="390" t="inlineStr">
        <is>
          <t>Báo cáo tài chính quý, soát xét bán niên, kiểm toán năm - Chi nhánh công ty chứng khoán nước ngoài tại Việt Nam &gt;&gt; Báo cáo lưu chuyển tiền tệ riêng_06613</t>
        </is>
      </c>
      <c r="D3475" s="390" t="inlineStr">
        <is>
          <t>-  Tăng (giảm) thuế và các khoản phải nộp Nhà nước (Không bao gồm thuế TNDN đã nộp)</t>
        </is>
      </c>
      <c r="E3475" s="390" t="n">
        <v>47</v>
      </c>
      <c r="F3475" s="390" t="inlineStr">
        <is>
          <t>Data Explorer</t>
        </is>
      </c>
      <c r="G3475" s="390" t="inlineStr">
        <is>
          <t>Chỉ tiêu cơ sở</t>
        </is>
      </c>
      <c r="H3475" s="390" t="inlineStr">
        <is>
          <t>Dễ</t>
        </is>
      </c>
      <c r="I3475" s="390" t="inlineStr">
        <is>
          <t>Ngày, CTCK</t>
        </is>
      </c>
      <c r="J3475" s="401" t="inlineStr">
        <is>
          <t>SCMS</t>
        </is>
      </c>
      <c r="K3475" s="401" t="n"/>
      <c r="L3475" s="401" t="inlineStr">
        <is>
          <t>X</t>
        </is>
      </c>
      <c r="M3475" s="401" t="n"/>
      <c r="N3475" s="401" t="inlineStr">
        <is>
          <t>Done</t>
        </is>
      </c>
      <c r="O3475" s="401" t="n"/>
      <c r="P3475" s="401" t="n"/>
      <c r="S3475" s="401" t="n"/>
      <c r="U3475" s="401" t="n"/>
      <c r="V3475" s="22" t="n"/>
      <c r="W3475" s="22" t="n"/>
      <c r="X3475" s="22" t="n"/>
      <c r="Y3475" s="14" t="n"/>
      <c r="Z3475" s="22" t="n"/>
      <c r="AA3475" s="22" t="n"/>
      <c r="AB3475" s="22" t="n"/>
      <c r="AC3475" s="22" t="n"/>
      <c r="AD3475" s="22" t="n"/>
      <c r="AE3475" s="22" t="n"/>
    </row>
    <row r="3476" ht="98" customHeight="1" s="380">
      <c r="A3476" s="144" t="n">
        <v>128</v>
      </c>
      <c r="B3476" s="390" t="n"/>
      <c r="C3476" s="390" t="inlineStr">
        <is>
          <t>Báo cáo tài chính quý, soát xét bán niên, kiểm toán năm - Chi nhánh công ty chứng khoán nước ngoài tại Việt Nam &gt;&gt; Báo cáo lưu chuyển tiền tệ riêng_06613</t>
        </is>
      </c>
      <c r="D3476" s="390" t="inlineStr">
        <is>
          <t>-  Tăng (giảm) phải trả người lao động</t>
        </is>
      </c>
      <c r="E3476" s="390" t="n">
        <v>48</v>
      </c>
      <c r="F3476" s="390" t="inlineStr">
        <is>
          <t>Data Explorer</t>
        </is>
      </c>
      <c r="G3476" s="390" t="inlineStr">
        <is>
          <t>Chỉ tiêu cơ sở</t>
        </is>
      </c>
      <c r="H3476" s="390" t="inlineStr">
        <is>
          <t>Dễ</t>
        </is>
      </c>
      <c r="I3476" s="390" t="inlineStr">
        <is>
          <t>Ngày, CTCK</t>
        </is>
      </c>
      <c r="J3476" s="401" t="inlineStr">
        <is>
          <t>SCMS</t>
        </is>
      </c>
      <c r="K3476" s="401" t="n"/>
      <c r="L3476" s="401" t="inlineStr">
        <is>
          <t>X</t>
        </is>
      </c>
      <c r="M3476" s="401" t="n"/>
      <c r="N3476" s="401" t="inlineStr">
        <is>
          <t>Done</t>
        </is>
      </c>
      <c r="O3476" s="401" t="n"/>
      <c r="P3476" s="401" t="n"/>
      <c r="S3476" s="401" t="n"/>
      <c r="U3476" s="401" t="n"/>
      <c r="V3476" s="22" t="n"/>
      <c r="W3476" s="22" t="n"/>
      <c r="X3476" s="22" t="n"/>
      <c r="Y3476" s="13" t="n"/>
      <c r="Z3476" s="22" t="n"/>
      <c r="AA3476" s="22" t="n"/>
      <c r="AB3476" s="22" t="n"/>
      <c r="AC3476" s="22" t="n"/>
      <c r="AD3476" s="22" t="n"/>
      <c r="AE3476" s="22" t="n"/>
    </row>
    <row r="3477" ht="98" customHeight="1" s="380">
      <c r="A3477" s="144" t="n">
        <v>128</v>
      </c>
      <c r="B3477" s="390" t="n"/>
      <c r="C3477" s="390" t="inlineStr">
        <is>
          <t>Báo cáo tài chính quý, soát xét bán niên, kiểm toán năm - Chi nhánh công ty chứng khoán nước ngoài tại Việt Nam &gt;&gt; Báo cáo lưu chuyển tiền tệ riêng_06613</t>
        </is>
      </c>
      <c r="D3477" s="390" t="inlineStr">
        <is>
          <t>- Tăng (giảm) phải trả về lỗi giao dịch các TSTC</t>
        </is>
      </c>
      <c r="E3477" s="390" t="n">
        <v>49</v>
      </c>
      <c r="F3477" s="390" t="inlineStr">
        <is>
          <t>Data Explorer</t>
        </is>
      </c>
      <c r="G3477" s="390" t="inlineStr">
        <is>
          <t>Chỉ tiêu cơ sở</t>
        </is>
      </c>
      <c r="H3477" s="390" t="inlineStr">
        <is>
          <t>Dễ</t>
        </is>
      </c>
      <c r="I3477" s="390" t="inlineStr">
        <is>
          <t>Ngày, CTCK</t>
        </is>
      </c>
      <c r="J3477" s="401" t="inlineStr">
        <is>
          <t>SCMS</t>
        </is>
      </c>
      <c r="K3477" s="401" t="n"/>
      <c r="L3477" s="401" t="inlineStr">
        <is>
          <t>X</t>
        </is>
      </c>
      <c r="M3477" s="401" t="n"/>
      <c r="N3477" s="401" t="inlineStr">
        <is>
          <t>Done</t>
        </is>
      </c>
      <c r="O3477" s="401" t="n"/>
      <c r="P3477" s="401" t="n"/>
      <c r="S3477" s="401" t="n"/>
      <c r="U3477" s="401" t="n"/>
      <c r="V3477" s="22" t="n"/>
      <c r="W3477" s="22" t="n"/>
      <c r="X3477" s="22" t="n"/>
      <c r="Y3477" s="13" t="n"/>
      <c r="Z3477" s="22" t="n"/>
      <c r="AA3477" s="22" t="n"/>
      <c r="AB3477" s="22" t="n"/>
      <c r="AC3477" s="22" t="n"/>
      <c r="AD3477" s="22" t="n"/>
      <c r="AE3477" s="22" t="n"/>
    </row>
    <row r="3478" ht="98" customHeight="1" s="380">
      <c r="A3478" s="144" t="n">
        <v>128</v>
      </c>
      <c r="B3478" s="390" t="n"/>
      <c r="C3478" s="390" t="inlineStr">
        <is>
          <t>Báo cáo tài chính quý, soát xét bán niên, kiểm toán năm - Chi nhánh công ty chứng khoán nước ngoài tại Việt Nam &gt;&gt; Báo cáo lưu chuyển tiền tệ riêng_06613</t>
        </is>
      </c>
      <c r="D3478" s="390" t="inlineStr">
        <is>
          <t>-  Tăng (giảm) phải trả, phải nộp khác</t>
        </is>
      </c>
      <c r="E3478" s="390" t="n">
        <v>50</v>
      </c>
      <c r="F3478" s="390" t="inlineStr">
        <is>
          <t>Data Explorer</t>
        </is>
      </c>
      <c r="G3478" s="390" t="inlineStr">
        <is>
          <t>Chỉ tiêu cơ sở</t>
        </is>
      </c>
      <c r="H3478" s="390" t="inlineStr">
        <is>
          <t>Dễ</t>
        </is>
      </c>
      <c r="I3478" s="390" t="inlineStr">
        <is>
          <t>Ngày, CTCK</t>
        </is>
      </c>
      <c r="J3478" s="401" t="inlineStr">
        <is>
          <t>SCMS</t>
        </is>
      </c>
      <c r="K3478" s="401" t="n"/>
      <c r="L3478" s="401" t="inlineStr">
        <is>
          <t>X</t>
        </is>
      </c>
      <c r="M3478" s="401" t="n"/>
      <c r="N3478" s="401" t="inlineStr">
        <is>
          <t>Done</t>
        </is>
      </c>
      <c r="O3478" s="401" t="n"/>
      <c r="P3478" s="401" t="n"/>
      <c r="S3478" s="401" t="n"/>
      <c r="U3478" s="401" t="n"/>
      <c r="V3478" s="22" t="n"/>
      <c r="W3478" s="22" t="n"/>
      <c r="X3478" s="22" t="n"/>
      <c r="Y3478" s="13" t="n"/>
      <c r="Z3478" s="22" t="n"/>
      <c r="AA3478" s="22" t="n"/>
      <c r="AB3478" s="22" t="n"/>
      <c r="AC3478" s="22" t="n"/>
      <c r="AD3478" s="22" t="n"/>
      <c r="AE3478" s="22" t="n"/>
    </row>
    <row r="3479" ht="98" customHeight="1" s="380">
      <c r="A3479" s="144" t="n">
        <v>128</v>
      </c>
      <c r="B3479" s="390" t="n"/>
      <c r="C3479" s="390" t="inlineStr">
        <is>
          <t>Báo cáo tài chính quý, soát xét bán niên, kiểm toán năm - Chi nhánh công ty chứng khoán nước ngoài tại Việt Nam &gt;&gt; Báo cáo lưu chuyển tiền tệ riêng_06613</t>
        </is>
      </c>
      <c r="D3479" s="390" t="inlineStr">
        <is>
          <t>- Tiền thu khác từ hoạt động kinh doanh</t>
        </is>
      </c>
      <c r="E3479" s="390" t="n">
        <v>51</v>
      </c>
      <c r="F3479" s="390" t="inlineStr">
        <is>
          <t>Data Explorer</t>
        </is>
      </c>
      <c r="G3479" s="390" t="inlineStr">
        <is>
          <t>Chỉ tiêu cơ sở</t>
        </is>
      </c>
      <c r="H3479" s="390" t="inlineStr">
        <is>
          <t>Dễ</t>
        </is>
      </c>
      <c r="I3479" s="390" t="inlineStr">
        <is>
          <t>Ngày, CTCK</t>
        </is>
      </c>
      <c r="J3479" s="401" t="inlineStr">
        <is>
          <t>SCMS</t>
        </is>
      </c>
      <c r="K3479" s="401" t="n"/>
      <c r="L3479" s="401" t="inlineStr">
        <is>
          <t>X</t>
        </is>
      </c>
      <c r="M3479" s="401" t="n"/>
      <c r="N3479" s="401" t="inlineStr">
        <is>
          <t>Done</t>
        </is>
      </c>
      <c r="O3479" s="401" t="n"/>
      <c r="P3479" s="401" t="n"/>
      <c r="S3479" s="401" t="n"/>
      <c r="U3479" s="401" t="n"/>
      <c r="V3479" s="22" t="n"/>
      <c r="W3479" s="22" t="n"/>
      <c r="X3479" s="22" t="n"/>
      <c r="Y3479" s="13" t="n"/>
      <c r="Z3479" s="22" t="n"/>
      <c r="AA3479" s="22" t="n"/>
      <c r="AB3479" s="22" t="n"/>
      <c r="AC3479" s="22" t="n"/>
      <c r="AD3479" s="22" t="n"/>
      <c r="AE3479" s="22" t="n"/>
    </row>
    <row r="3480" ht="98" customHeight="1" s="380">
      <c r="A3480" s="144" t="n">
        <v>128</v>
      </c>
      <c r="B3480" s="390" t="n"/>
      <c r="C3480" s="390" t="inlineStr">
        <is>
          <t>Báo cáo tài chính quý, soát xét bán niên, kiểm toán năm - Chi nhánh công ty chứng khoán nước ngoài tại Việt Nam &gt;&gt; Báo cáo lưu chuyển tiền tệ riêng_06613</t>
        </is>
      </c>
      <c r="D3480" s="390" t="inlineStr">
        <is>
          <t>- Tiền chi khác cho hoạt động kinh doanh</t>
        </is>
      </c>
      <c r="E3480" s="390" t="n">
        <v>52</v>
      </c>
      <c r="F3480" s="390" t="inlineStr">
        <is>
          <t>Data Explorer</t>
        </is>
      </c>
      <c r="G3480" s="390" t="inlineStr">
        <is>
          <t>Chỉ tiêu cơ sở</t>
        </is>
      </c>
      <c r="H3480" s="390" t="inlineStr">
        <is>
          <t>Dễ</t>
        </is>
      </c>
      <c r="I3480" s="390" t="inlineStr">
        <is>
          <t>Ngày, CTCK</t>
        </is>
      </c>
      <c r="J3480" s="401" t="inlineStr">
        <is>
          <t>SCMS</t>
        </is>
      </c>
      <c r="K3480" s="401" t="n"/>
      <c r="L3480" s="401" t="inlineStr">
        <is>
          <t>X</t>
        </is>
      </c>
      <c r="M3480" s="401" t="n"/>
      <c r="N3480" s="401" t="inlineStr">
        <is>
          <t>Done</t>
        </is>
      </c>
      <c r="O3480" s="401" t="n"/>
      <c r="P3480" s="401" t="n"/>
      <c r="S3480" s="401" t="n"/>
      <c r="U3480" s="401" t="n"/>
      <c r="V3480" s="22" t="n"/>
      <c r="W3480" s="22" t="n"/>
      <c r="X3480" s="22" t="n"/>
      <c r="Y3480" s="14" t="n"/>
      <c r="Z3480" s="22" t="n"/>
      <c r="AA3480" s="22" t="n"/>
      <c r="AB3480" s="22" t="n"/>
      <c r="AC3480" s="22" t="n"/>
      <c r="AD3480" s="22" t="n"/>
      <c r="AE3480" s="22" t="n"/>
    </row>
    <row r="3481" ht="98" customHeight="1" s="380">
      <c r="A3481" s="144" t="n">
        <v>128</v>
      </c>
      <c r="B3481" s="390" t="n"/>
      <c r="C3481" s="390" t="inlineStr">
        <is>
          <t>Báo cáo tài chính quý, soát xét bán niên, kiểm toán năm - Chi nhánh công ty chứng khoán nước ngoài tại Việt Nam &gt;&gt; Báo cáo lưu chuyển tiền tệ riêng_06613</t>
        </is>
      </c>
      <c r="D3481" s="132" t="inlineStr">
        <is>
          <t>Lưu chuyển tiền thuần từ hoạt động kinh doanh</t>
        </is>
      </c>
      <c r="E3481" s="132" t="n">
        <v>60</v>
      </c>
      <c r="F3481" s="390" t="inlineStr">
        <is>
          <t>Data Explorer</t>
        </is>
      </c>
      <c r="G3481" s="390" t="inlineStr">
        <is>
          <t>Chỉ tiêu cơ sở</t>
        </is>
      </c>
      <c r="H3481" s="390" t="inlineStr">
        <is>
          <t>Dễ</t>
        </is>
      </c>
      <c r="I3481" s="390" t="inlineStr">
        <is>
          <t>Ngày, CTCK</t>
        </is>
      </c>
      <c r="J3481" s="401" t="inlineStr">
        <is>
          <t>SCMS</t>
        </is>
      </c>
      <c r="K3481" s="401" t="n"/>
      <c r="L3481" s="401" t="inlineStr">
        <is>
          <t>X</t>
        </is>
      </c>
      <c r="M3481" s="401" t="n"/>
      <c r="N3481" s="401" t="inlineStr">
        <is>
          <t>Done</t>
        </is>
      </c>
      <c r="O3481" s="401" t="n"/>
      <c r="P3481" s="401" t="n"/>
      <c r="S3481" s="401" t="n"/>
      <c r="U3481" s="401" t="n"/>
      <c r="V3481" s="22" t="n"/>
      <c r="W3481" s="22" t="n"/>
      <c r="X3481" s="22" t="n"/>
      <c r="Y3481" s="13" t="n"/>
      <c r="Z3481" s="22" t="n"/>
      <c r="AA3481" s="22" t="n"/>
      <c r="AB3481" s="22" t="n"/>
      <c r="AC3481" s="22" t="n"/>
      <c r="AD3481" s="22" t="n"/>
      <c r="AE3481" s="22" t="n"/>
    </row>
    <row r="3482" ht="98" customHeight="1" s="380">
      <c r="A3482" s="144" t="n">
        <v>128</v>
      </c>
      <c r="B3482" s="390" t="n"/>
      <c r="C3482" s="390" t="inlineStr">
        <is>
          <t>Báo cáo tài chính quý, soát xét bán niên, kiểm toán năm - Chi nhánh công ty chứng khoán nước ngoài tại Việt Nam &gt;&gt; Báo cáo lưu chuyển tiền tệ riêng_06613</t>
        </is>
      </c>
      <c r="D3482" s="132" t="inlineStr">
        <is>
          <t>II. Lưu chuyển tiền từ hoạt động đầu tư</t>
        </is>
      </c>
      <c r="E3482" s="401" t="n"/>
      <c r="F3482" s="390" t="inlineStr">
        <is>
          <t>Data Explorer</t>
        </is>
      </c>
      <c r="G3482" s="390" t="inlineStr">
        <is>
          <t>Chỉ tiêu cơ sở</t>
        </is>
      </c>
      <c r="H3482" s="390" t="inlineStr">
        <is>
          <t>Dễ</t>
        </is>
      </c>
      <c r="I3482" s="390" t="inlineStr">
        <is>
          <t>Ngày, CTCK</t>
        </is>
      </c>
      <c r="J3482" s="401" t="inlineStr">
        <is>
          <t>SCMS</t>
        </is>
      </c>
      <c r="K3482" s="401" t="n"/>
      <c r="L3482" s="401" t="inlineStr">
        <is>
          <t>X</t>
        </is>
      </c>
      <c r="M3482" s="401" t="n"/>
      <c r="N3482" s="401" t="inlineStr">
        <is>
          <t>Done</t>
        </is>
      </c>
      <c r="O3482" s="401" t="n"/>
      <c r="P3482" s="401" t="n"/>
      <c r="S3482" s="401" t="n"/>
      <c r="U3482" s="401" t="n"/>
      <c r="V3482" s="22" t="n"/>
      <c r="W3482" s="22" t="n"/>
      <c r="X3482" s="22" t="n"/>
      <c r="Y3482" s="13" t="n"/>
      <c r="Z3482" s="22" t="n"/>
      <c r="AA3482" s="22" t="n"/>
      <c r="AB3482" s="22" t="n"/>
      <c r="AC3482" s="22" t="n"/>
      <c r="AD3482" s="22" t="n"/>
      <c r="AE3482" s="22" t="n"/>
    </row>
    <row r="3483" ht="98" customHeight="1" s="380">
      <c r="A3483" s="144" t="n">
        <v>128</v>
      </c>
      <c r="B3483" s="390" t="n"/>
      <c r="C3483" s="390" t="inlineStr">
        <is>
          <t>Báo cáo tài chính quý, soát xét bán niên, kiểm toán năm - Chi nhánh công ty chứng khoán nước ngoài tại Việt Nam &gt;&gt; Báo cáo lưu chuyển tiền tệ riêng_06613</t>
        </is>
      </c>
      <c r="D3483" s="390" t="inlineStr">
        <is>
          <t>1. Tiền chi để mua sắm, xây dựng TSCĐ, BĐSĐT và các tài sản khác</t>
        </is>
      </c>
      <c r="E3483" s="390" t="n">
        <v>61</v>
      </c>
      <c r="F3483" s="390" t="inlineStr">
        <is>
          <t>Data Explorer</t>
        </is>
      </c>
      <c r="G3483" s="390" t="inlineStr">
        <is>
          <t>Chỉ tiêu cơ sở</t>
        </is>
      </c>
      <c r="H3483" s="390" t="inlineStr">
        <is>
          <t>Dễ</t>
        </is>
      </c>
      <c r="I3483" s="390" t="inlineStr">
        <is>
          <t>Ngày, CTCK</t>
        </is>
      </c>
      <c r="J3483" s="401" t="inlineStr">
        <is>
          <t>SCMS</t>
        </is>
      </c>
      <c r="K3483" s="401" t="n"/>
      <c r="L3483" s="401" t="inlineStr">
        <is>
          <t>X</t>
        </is>
      </c>
      <c r="M3483" s="401" t="n"/>
      <c r="N3483" s="401" t="inlineStr">
        <is>
          <t>Done</t>
        </is>
      </c>
      <c r="O3483" s="401" t="n"/>
      <c r="P3483" s="401" t="n"/>
      <c r="S3483" s="401" t="n"/>
      <c r="U3483" s="401" t="n"/>
      <c r="V3483" s="22" t="n"/>
      <c r="W3483" s="22" t="n"/>
      <c r="X3483" s="22" t="n"/>
      <c r="Y3483" s="13" t="n"/>
      <c r="Z3483" s="22" t="n"/>
      <c r="AA3483" s="22" t="n"/>
      <c r="AB3483" s="22" t="n"/>
      <c r="AC3483" s="22" t="n"/>
      <c r="AD3483" s="22" t="n"/>
      <c r="AE3483" s="22" t="n"/>
    </row>
    <row r="3484" ht="98" customHeight="1" s="380">
      <c r="A3484" s="144" t="n">
        <v>128</v>
      </c>
      <c r="B3484" s="390" t="n"/>
      <c r="C3484" s="390" t="inlineStr">
        <is>
          <t>Báo cáo tài chính quý, soát xét bán niên, kiểm toán năm - Chi nhánh công ty chứng khoán nước ngoài tại Việt Nam &gt;&gt; Báo cáo lưu chuyển tiền tệ riêng_06613</t>
        </is>
      </c>
      <c r="D3484" s="390" t="inlineStr">
        <is>
          <t>2. Tiền thu từ thanh lý, nhượng bán TSCĐ, BĐSĐT và các tài sản khác</t>
        </is>
      </c>
      <c r="E3484" s="390" t="n">
        <v>62</v>
      </c>
      <c r="F3484" s="390" t="inlineStr">
        <is>
          <t>Data Explorer</t>
        </is>
      </c>
      <c r="G3484" s="390" t="inlineStr">
        <is>
          <t>Chỉ tiêu cơ sở</t>
        </is>
      </c>
      <c r="H3484" s="390" t="inlineStr">
        <is>
          <t>Dễ</t>
        </is>
      </c>
      <c r="I3484" s="390" t="inlineStr">
        <is>
          <t>Ngày, CTCK</t>
        </is>
      </c>
      <c r="J3484" s="401" t="inlineStr">
        <is>
          <t>SCMS</t>
        </is>
      </c>
      <c r="K3484" s="401" t="n"/>
      <c r="L3484" s="401" t="inlineStr">
        <is>
          <t>X</t>
        </is>
      </c>
      <c r="M3484" s="401" t="n"/>
      <c r="N3484" s="401" t="inlineStr">
        <is>
          <t>Done</t>
        </is>
      </c>
      <c r="O3484" s="401" t="n"/>
      <c r="P3484" s="401" t="n"/>
      <c r="S3484" s="401" t="n"/>
      <c r="U3484" s="401" t="n"/>
      <c r="V3484" s="22" t="n"/>
      <c r="W3484" s="22" t="n"/>
      <c r="X3484" s="22" t="n"/>
      <c r="Y3484" s="14" t="n"/>
      <c r="Z3484" s="22" t="n"/>
      <c r="AA3484" s="22" t="n"/>
      <c r="AB3484" s="22" t="n"/>
      <c r="AC3484" s="22" t="n"/>
      <c r="AD3484" s="22" t="n"/>
      <c r="AE3484" s="22" t="n"/>
    </row>
    <row r="3485" ht="98" customHeight="1" s="380">
      <c r="A3485" s="144" t="n">
        <v>128</v>
      </c>
      <c r="B3485" s="390" t="n"/>
      <c r="C3485" s="390" t="inlineStr">
        <is>
          <t>Báo cáo tài chính quý, soát xét bán niên, kiểm toán năm - Chi nhánh công ty chứng khoán nước ngoài tại Việt Nam &gt;&gt; Báo cáo lưu chuyển tiền tệ riêng_06613</t>
        </is>
      </c>
      <c r="D3485" s="390" t="inlineStr">
        <is>
          <t>3. Tiền chi đầu tư vốn vào công ty con, công ty liên doanh, liên kết và đầu tư khác</t>
        </is>
      </c>
      <c r="E3485" s="390" t="n">
        <v>63</v>
      </c>
      <c r="F3485" s="390" t="inlineStr">
        <is>
          <t>Data Explorer</t>
        </is>
      </c>
      <c r="G3485" s="390" t="inlineStr">
        <is>
          <t>Chỉ tiêu cơ sở</t>
        </is>
      </c>
      <c r="H3485" s="390" t="inlineStr">
        <is>
          <t>Dễ</t>
        </is>
      </c>
      <c r="I3485" s="390" t="inlineStr">
        <is>
          <t>Ngày, CTCK</t>
        </is>
      </c>
      <c r="J3485" s="401" t="inlineStr">
        <is>
          <t>SCMS</t>
        </is>
      </c>
      <c r="K3485" s="401" t="n"/>
      <c r="L3485" s="401" t="inlineStr">
        <is>
          <t>X</t>
        </is>
      </c>
      <c r="M3485" s="401" t="n"/>
      <c r="N3485" s="401" t="inlineStr">
        <is>
          <t>Done</t>
        </is>
      </c>
      <c r="O3485" s="401" t="n"/>
      <c r="P3485" s="401" t="n"/>
      <c r="S3485" s="401" t="n"/>
      <c r="U3485" s="401" t="n"/>
      <c r="V3485" s="22" t="n"/>
      <c r="W3485" s="22" t="n"/>
      <c r="X3485" s="22" t="n"/>
      <c r="Y3485" s="13" t="n"/>
      <c r="Z3485" s="22" t="n"/>
      <c r="AA3485" s="22" t="n"/>
      <c r="AB3485" s="22" t="n"/>
      <c r="AC3485" s="22" t="n"/>
      <c r="AD3485" s="22" t="n"/>
      <c r="AE3485" s="22" t="n"/>
    </row>
    <row r="3486" ht="98" customHeight="1" s="380">
      <c r="A3486" s="144" t="n">
        <v>128</v>
      </c>
      <c r="B3486" s="390" t="n"/>
      <c r="C3486" s="390" t="inlineStr">
        <is>
          <t>Báo cáo tài chính quý, soát xét bán niên, kiểm toán năm - Chi nhánh công ty chứng khoán nước ngoài tại Việt Nam &gt;&gt; Báo cáo lưu chuyển tiền tệ riêng_06613</t>
        </is>
      </c>
      <c r="D3486" s="390" t="inlineStr">
        <is>
          <t>4. Tiền thu hồi các khoản đầu tư vào công ty con, công ty liên doanh, liên kết và đầu tư khác</t>
        </is>
      </c>
      <c r="E3486" s="390" t="n">
        <v>64</v>
      </c>
      <c r="F3486" s="390" t="inlineStr">
        <is>
          <t>Data Explorer</t>
        </is>
      </c>
      <c r="G3486" s="390" t="inlineStr">
        <is>
          <t>Chỉ tiêu cơ sở</t>
        </is>
      </c>
      <c r="H3486" s="390" t="inlineStr">
        <is>
          <t>Dễ</t>
        </is>
      </c>
      <c r="I3486" s="390" t="inlineStr">
        <is>
          <t>Ngày, CTCK</t>
        </is>
      </c>
      <c r="J3486" s="401" t="inlineStr">
        <is>
          <t>SCMS</t>
        </is>
      </c>
      <c r="K3486" s="401" t="n"/>
      <c r="L3486" s="401" t="inlineStr">
        <is>
          <t>X</t>
        </is>
      </c>
      <c r="M3486" s="401" t="n"/>
      <c r="N3486" s="401" t="inlineStr">
        <is>
          <t>Done</t>
        </is>
      </c>
      <c r="O3486" s="401" t="n"/>
      <c r="P3486" s="401" t="n"/>
      <c r="S3486" s="401" t="n"/>
      <c r="U3486" s="401" t="n"/>
      <c r="V3486" s="22" t="n"/>
      <c r="W3486" s="22" t="n"/>
      <c r="X3486" s="22" t="n"/>
      <c r="Y3486" s="13" t="n"/>
      <c r="Z3486" s="22" t="n"/>
      <c r="AA3486" s="22" t="n"/>
      <c r="AB3486" s="22" t="n"/>
      <c r="AC3486" s="22" t="n"/>
      <c r="AD3486" s="22" t="n"/>
      <c r="AE3486" s="22" t="n"/>
    </row>
    <row r="3487" ht="98" customHeight="1" s="380">
      <c r="A3487" s="144" t="n">
        <v>128</v>
      </c>
      <c r="B3487" s="390" t="n"/>
      <c r="C3487" s="390" t="inlineStr">
        <is>
          <t>Báo cáo tài chính quý, soát xét bán niên, kiểm toán năm - Chi nhánh công ty chứng khoán nước ngoài tại Việt Nam &gt;&gt; Báo cáo lưu chuyển tiền tệ riêng_06613</t>
        </is>
      </c>
      <c r="D3487" s="390" t="inlineStr">
        <is>
          <t>5. Tiền thu về cổ tức và lợi nhuận được chia từ các khoản đầu tư tài chính dài hạn</t>
        </is>
      </c>
      <c r="E3487" s="390" t="n">
        <v>65</v>
      </c>
      <c r="F3487" s="390" t="inlineStr">
        <is>
          <t>Data Explorer</t>
        </is>
      </c>
      <c r="G3487" s="390" t="inlineStr">
        <is>
          <t>Chỉ tiêu cơ sở</t>
        </is>
      </c>
      <c r="H3487" s="390" t="inlineStr">
        <is>
          <t>Dễ</t>
        </is>
      </c>
      <c r="I3487" s="390" t="inlineStr">
        <is>
          <t>Ngày, CTCK</t>
        </is>
      </c>
      <c r="J3487" s="401" t="inlineStr">
        <is>
          <t>SCMS</t>
        </is>
      </c>
      <c r="K3487" s="401" t="n"/>
      <c r="L3487" s="401" t="inlineStr">
        <is>
          <t>X</t>
        </is>
      </c>
      <c r="M3487" s="401" t="n"/>
      <c r="N3487" s="401" t="inlineStr">
        <is>
          <t>Done</t>
        </is>
      </c>
      <c r="O3487" s="401" t="n"/>
      <c r="P3487" s="401" t="n"/>
      <c r="S3487" s="401" t="n"/>
      <c r="U3487" s="401" t="n"/>
      <c r="V3487" s="22" t="n"/>
      <c r="W3487" s="22" t="n"/>
      <c r="X3487" s="22" t="n"/>
      <c r="Y3487" s="13" t="n"/>
      <c r="Z3487" s="22" t="n"/>
      <c r="AA3487" s="22" t="n"/>
      <c r="AB3487" s="22" t="n"/>
      <c r="AC3487" s="22" t="n"/>
      <c r="AD3487" s="22" t="n"/>
      <c r="AE3487" s="22" t="n"/>
    </row>
    <row r="3488" ht="98" customHeight="1" s="380">
      <c r="A3488" s="144" t="n">
        <v>128</v>
      </c>
      <c r="B3488" s="390" t="n"/>
      <c r="C3488" s="390" t="inlineStr">
        <is>
          <t>Báo cáo tài chính quý, soát xét bán niên, kiểm toán năm - Chi nhánh công ty chứng khoán nước ngoài tại Việt Nam &gt;&gt; Báo cáo lưu chuyển tiền tệ riêng_06613</t>
        </is>
      </c>
      <c r="D3488" s="132" t="inlineStr">
        <is>
          <t>Lưu chuyển tiền thuần từ hoạt động đầu tư</t>
        </is>
      </c>
      <c r="E3488" s="132" t="n">
        <v>70</v>
      </c>
      <c r="F3488" s="390" t="inlineStr">
        <is>
          <t>Data Explorer</t>
        </is>
      </c>
      <c r="G3488" s="390" t="inlineStr">
        <is>
          <t>Chỉ tiêu cơ sở</t>
        </is>
      </c>
      <c r="H3488" s="390" t="inlineStr">
        <is>
          <t>Dễ</t>
        </is>
      </c>
      <c r="I3488" s="390" t="inlineStr">
        <is>
          <t>Ngày, CTCK</t>
        </is>
      </c>
      <c r="J3488" s="401" t="inlineStr">
        <is>
          <t>SCMS</t>
        </is>
      </c>
      <c r="K3488" s="401" t="n"/>
      <c r="L3488" s="401" t="inlineStr">
        <is>
          <t>X</t>
        </is>
      </c>
      <c r="M3488" s="401" t="n"/>
      <c r="N3488" s="401" t="inlineStr">
        <is>
          <t>Done</t>
        </is>
      </c>
      <c r="O3488" s="401" t="n"/>
      <c r="P3488" s="401" t="n"/>
      <c r="S3488" s="401" t="n"/>
      <c r="U3488" s="401" t="n"/>
      <c r="V3488" s="22" t="n"/>
      <c r="W3488" s="22" t="n"/>
      <c r="X3488" s="22" t="n"/>
      <c r="Y3488" s="13" t="n"/>
      <c r="Z3488" s="22" t="n"/>
      <c r="AA3488" s="22" t="n"/>
      <c r="AB3488" s="22" t="n"/>
      <c r="AC3488" s="22" t="n"/>
      <c r="AD3488" s="22" t="n"/>
      <c r="AE3488" s="22" t="n"/>
    </row>
    <row r="3489" ht="98" customHeight="1" s="380">
      <c r="A3489" s="144" t="n">
        <v>128</v>
      </c>
      <c r="B3489" s="390" t="n"/>
      <c r="C3489" s="390" t="inlineStr">
        <is>
          <t>Báo cáo tài chính quý, soát xét bán niên, kiểm toán năm - Chi nhánh công ty chứng khoán nước ngoài tại Việt Nam &gt;&gt; Báo cáo lưu chuyển tiền tệ riêng_06613</t>
        </is>
      </c>
      <c r="D3489" s="132" t="inlineStr">
        <is>
          <t>III. Lưu chuyển tiền từ hoạt động tài chính</t>
        </is>
      </c>
      <c r="E3489" s="401" t="n"/>
      <c r="F3489" s="390" t="inlineStr">
        <is>
          <t>Data Explorer</t>
        </is>
      </c>
      <c r="G3489" s="390" t="inlineStr">
        <is>
          <t>Chỉ tiêu cơ sở</t>
        </is>
      </c>
      <c r="H3489" s="390" t="inlineStr">
        <is>
          <t>Dễ</t>
        </is>
      </c>
      <c r="I3489" s="390" t="inlineStr">
        <is>
          <t>Ngày, CTCK</t>
        </is>
      </c>
      <c r="J3489" s="401" t="inlineStr">
        <is>
          <t>SCMS</t>
        </is>
      </c>
      <c r="K3489" s="401" t="n"/>
      <c r="L3489" s="401" t="inlineStr">
        <is>
          <t>X</t>
        </is>
      </c>
      <c r="M3489" s="401" t="n"/>
      <c r="N3489" s="401" t="inlineStr">
        <is>
          <t>Done</t>
        </is>
      </c>
      <c r="O3489" s="401" t="n"/>
      <c r="P3489" s="401" t="n"/>
      <c r="S3489" s="401" t="n"/>
      <c r="U3489" s="401" t="n"/>
      <c r="V3489" s="22" t="n"/>
      <c r="W3489" s="22" t="n"/>
      <c r="X3489" s="22" t="n"/>
      <c r="Y3489" s="13" t="n"/>
      <c r="Z3489" s="22" t="n"/>
      <c r="AA3489" s="22" t="n"/>
      <c r="AB3489" s="22" t="n"/>
      <c r="AC3489" s="22" t="n"/>
      <c r="AD3489" s="22" t="n"/>
      <c r="AE3489" s="22" t="n"/>
    </row>
    <row r="3490" ht="98" customHeight="1" s="380">
      <c r="A3490" s="144" t="n">
        <v>128</v>
      </c>
      <c r="B3490" s="390" t="n"/>
      <c r="C3490" s="390" t="inlineStr">
        <is>
          <t>Báo cáo tài chính quý, soát xét bán niên, kiểm toán năm - Chi nhánh công ty chứng khoán nước ngoài tại Việt Nam &gt;&gt; Báo cáo lưu chuyển tiền tệ riêng_06613</t>
        </is>
      </c>
      <c r="D3490" s="390" t="inlineStr">
        <is>
          <t>1.Tiền thu từ phát hành cổ phiếu, nhận vốn góp của chủ sở hữu</t>
        </is>
      </c>
      <c r="E3490" s="390" t="n">
        <v>71</v>
      </c>
      <c r="F3490" s="390" t="inlineStr">
        <is>
          <t>Data Explorer</t>
        </is>
      </c>
      <c r="G3490" s="390" t="inlineStr">
        <is>
          <t>Chỉ tiêu cơ sở</t>
        </is>
      </c>
      <c r="H3490" s="390" t="inlineStr">
        <is>
          <t>Dễ</t>
        </is>
      </c>
      <c r="I3490" s="390" t="inlineStr">
        <is>
          <t>Ngày, CTCK</t>
        </is>
      </c>
      <c r="J3490" s="401" t="inlineStr">
        <is>
          <t>SCMS</t>
        </is>
      </c>
      <c r="K3490" s="401" t="n"/>
      <c r="L3490" s="401" t="inlineStr">
        <is>
          <t>X</t>
        </is>
      </c>
      <c r="M3490" s="401" t="n"/>
      <c r="N3490" s="401" t="inlineStr">
        <is>
          <t>Done</t>
        </is>
      </c>
      <c r="O3490" s="401" t="n"/>
      <c r="P3490" s="401" t="n"/>
      <c r="S3490" s="401" t="n"/>
      <c r="U3490" s="401" t="n"/>
      <c r="V3490" s="22" t="n"/>
      <c r="W3490" s="22" t="n"/>
      <c r="X3490" s="22" t="n"/>
      <c r="Y3490" s="14" t="n"/>
      <c r="Z3490" s="22" t="n"/>
      <c r="AA3490" s="22" t="n"/>
      <c r="AB3490" s="22" t="n"/>
      <c r="AC3490" s="22" t="n"/>
      <c r="AD3490" s="22" t="n"/>
      <c r="AE3490" s="22" t="n"/>
    </row>
    <row r="3491" ht="98" customHeight="1" s="380">
      <c r="A3491" s="144" t="n">
        <v>128</v>
      </c>
      <c r="B3491" s="390" t="n"/>
      <c r="C3491" s="390" t="inlineStr">
        <is>
          <t>Báo cáo tài chính quý, soát xét bán niên, kiểm toán năm - Chi nhánh công ty chứng khoán nước ngoài tại Việt Nam &gt;&gt; Báo cáo lưu chuyển tiền tệ riêng_06613</t>
        </is>
      </c>
      <c r="D3491" s="390" t="inlineStr">
        <is>
          <t>2. Tiền chi trả vốn góp cho chủ sở hữu, mua lại cổ phiếu phát hành</t>
        </is>
      </c>
      <c r="E3491" s="390" t="n">
        <v>72</v>
      </c>
      <c r="F3491" s="390" t="inlineStr">
        <is>
          <t>Data Explorer</t>
        </is>
      </c>
      <c r="G3491" s="390" t="inlineStr">
        <is>
          <t>Chỉ tiêu cơ sở</t>
        </is>
      </c>
      <c r="H3491" s="390" t="inlineStr">
        <is>
          <t>Dễ</t>
        </is>
      </c>
      <c r="I3491" s="390" t="inlineStr">
        <is>
          <t>Ngày, CTCK</t>
        </is>
      </c>
      <c r="J3491" s="401" t="inlineStr">
        <is>
          <t>SCMS</t>
        </is>
      </c>
      <c r="K3491" s="401" t="n"/>
      <c r="L3491" s="401" t="inlineStr">
        <is>
          <t>X</t>
        </is>
      </c>
      <c r="M3491" s="401" t="n"/>
      <c r="N3491" s="401" t="inlineStr">
        <is>
          <t>Done</t>
        </is>
      </c>
      <c r="O3491" s="401" t="n"/>
      <c r="P3491" s="401" t="n"/>
      <c r="S3491" s="401" t="n"/>
      <c r="U3491" s="401" t="n"/>
      <c r="V3491" s="22" t="n"/>
      <c r="W3491" s="22" t="n"/>
      <c r="X3491" s="22" t="n"/>
      <c r="Y3491" s="13" t="n"/>
      <c r="Z3491" s="22" t="n"/>
      <c r="AA3491" s="22" t="n"/>
      <c r="AB3491" s="22" t="n"/>
      <c r="AC3491" s="22" t="n"/>
      <c r="AD3491" s="22" t="n"/>
      <c r="AE3491" s="22" t="n"/>
    </row>
    <row r="3492" ht="98" customHeight="1" s="380">
      <c r="A3492" s="144" t="n">
        <v>128</v>
      </c>
      <c r="B3492" s="390" t="n"/>
      <c r="C3492" s="390" t="inlineStr">
        <is>
          <t>Báo cáo tài chính quý, soát xét bán niên, kiểm toán năm - Chi nhánh công ty chứng khoán nước ngoài tại Việt Nam &gt;&gt; Báo cáo lưu chuyển tiền tệ riêng_06613</t>
        </is>
      </c>
      <c r="D3492" s="390" t="inlineStr">
        <is>
          <t>3. Tiền vay gốc</t>
        </is>
      </c>
      <c r="E3492" s="390" t="n">
        <v>73</v>
      </c>
      <c r="F3492" s="390" t="inlineStr">
        <is>
          <t>Data Explorer</t>
        </is>
      </c>
      <c r="G3492" s="390" t="inlineStr">
        <is>
          <t>Chỉ tiêu cơ sở</t>
        </is>
      </c>
      <c r="H3492" s="390" t="inlineStr">
        <is>
          <t>Dễ</t>
        </is>
      </c>
      <c r="I3492" s="390" t="inlineStr">
        <is>
          <t>Ngày, CTCK</t>
        </is>
      </c>
      <c r="J3492" s="401" t="inlineStr">
        <is>
          <t>SCMS</t>
        </is>
      </c>
      <c r="K3492" s="401" t="n"/>
      <c r="L3492" s="401" t="inlineStr">
        <is>
          <t>X</t>
        </is>
      </c>
      <c r="M3492" s="401" t="n"/>
      <c r="N3492" s="401" t="inlineStr">
        <is>
          <t>Done</t>
        </is>
      </c>
      <c r="O3492" s="401" t="n"/>
      <c r="P3492" s="401" t="n"/>
      <c r="S3492" s="401" t="n"/>
      <c r="U3492" s="401" t="n"/>
      <c r="V3492" s="22" t="n"/>
      <c r="W3492" s="22" t="n"/>
      <c r="X3492" s="22" t="n"/>
      <c r="Y3492" s="13" t="n"/>
      <c r="Z3492" s="22" t="n"/>
      <c r="AA3492" s="22" t="n"/>
      <c r="AB3492" s="22" t="n"/>
      <c r="AC3492" s="22" t="n"/>
      <c r="AD3492" s="22" t="n"/>
      <c r="AE3492" s="22" t="n"/>
    </row>
    <row r="3493" ht="98" customHeight="1" s="380">
      <c r="A3493" s="144" t="n">
        <v>128</v>
      </c>
      <c r="B3493" s="390" t="n"/>
      <c r="C3493" s="390" t="inlineStr">
        <is>
          <t>Báo cáo tài chính quý, soát xét bán niên, kiểm toán năm - Chi nhánh công ty chứng khoán nước ngoài tại Việt Nam &gt;&gt; Báo cáo lưu chuyển tiền tệ riêng_06613</t>
        </is>
      </c>
      <c r="D3493" s="390" t="inlineStr">
        <is>
          <t>3.1. Tiền vay Quỹ Hỗ trợ thanh toán</t>
        </is>
      </c>
      <c r="E3493" s="390" t="n">
        <v>73.09999999999999</v>
      </c>
      <c r="F3493" s="390" t="inlineStr">
        <is>
          <t>Data Explorer</t>
        </is>
      </c>
      <c r="G3493" s="390" t="inlineStr">
        <is>
          <t>Chỉ tiêu cơ sở</t>
        </is>
      </c>
      <c r="H3493" s="390" t="inlineStr">
        <is>
          <t>Dễ</t>
        </is>
      </c>
      <c r="I3493" s="390" t="inlineStr">
        <is>
          <t>Ngày, CTCK</t>
        </is>
      </c>
      <c r="J3493" s="401" t="inlineStr">
        <is>
          <t>SCMS</t>
        </is>
      </c>
      <c r="K3493" s="401" t="n"/>
      <c r="L3493" s="401" t="inlineStr">
        <is>
          <t>X</t>
        </is>
      </c>
      <c r="M3493" s="401" t="n"/>
      <c r="N3493" s="401" t="inlineStr">
        <is>
          <t>Done</t>
        </is>
      </c>
      <c r="O3493" s="401" t="n"/>
      <c r="P3493" s="401" t="n"/>
      <c r="S3493" s="401" t="n"/>
      <c r="U3493" s="401" t="n"/>
      <c r="V3493" s="22" t="n"/>
      <c r="W3493" s="22" t="n"/>
      <c r="X3493" s="22" t="n"/>
      <c r="Y3493" s="13" t="n"/>
      <c r="Z3493" s="22" t="n"/>
      <c r="AA3493" s="22" t="n"/>
      <c r="AB3493" s="22" t="n"/>
      <c r="AC3493" s="22" t="n"/>
      <c r="AD3493" s="22" t="n"/>
      <c r="AE3493" s="22" t="n"/>
    </row>
    <row r="3494" ht="98" customHeight="1" s="380">
      <c r="A3494" s="144" t="n">
        <v>128</v>
      </c>
      <c r="B3494" s="390" t="n"/>
      <c r="C3494" s="390" t="inlineStr">
        <is>
          <t>Báo cáo tài chính quý, soát xét bán niên, kiểm toán năm - Chi nhánh công ty chứng khoán nước ngoài tại Việt Nam &gt;&gt; Báo cáo lưu chuyển tiền tệ riêng_06613</t>
        </is>
      </c>
      <c r="D3494" s="390" t="inlineStr">
        <is>
          <t>3.2. Tiền vay khác</t>
        </is>
      </c>
      <c r="E3494" s="390" t="n">
        <v>73.2</v>
      </c>
      <c r="F3494" s="390" t="inlineStr">
        <is>
          <t>Data Explorer</t>
        </is>
      </c>
      <c r="G3494" s="390" t="inlineStr">
        <is>
          <t>Chỉ tiêu cơ sở</t>
        </is>
      </c>
      <c r="H3494" s="390" t="inlineStr">
        <is>
          <t>Dễ</t>
        </is>
      </c>
      <c r="I3494" s="390" t="inlineStr">
        <is>
          <t>Ngày, CTCK</t>
        </is>
      </c>
      <c r="J3494" s="401" t="inlineStr">
        <is>
          <t>SCMS</t>
        </is>
      </c>
      <c r="K3494" s="401" t="n"/>
      <c r="L3494" s="401" t="inlineStr">
        <is>
          <t>X</t>
        </is>
      </c>
      <c r="M3494" s="401" t="n"/>
      <c r="N3494" s="401" t="inlineStr">
        <is>
          <t>Done</t>
        </is>
      </c>
      <c r="O3494" s="401" t="n"/>
      <c r="P3494" s="401" t="n"/>
      <c r="S3494" s="401" t="n"/>
      <c r="U3494" s="401" t="n"/>
      <c r="V3494" s="22" t="n"/>
      <c r="W3494" s="22" t="n"/>
      <c r="X3494" s="22" t="n"/>
      <c r="Y3494" s="13" t="n"/>
      <c r="Z3494" s="22" t="n"/>
      <c r="AA3494" s="22" t="n"/>
      <c r="AB3494" s="22" t="n"/>
      <c r="AC3494" s="22" t="n"/>
      <c r="AD3494" s="22" t="n"/>
      <c r="AE3494" s="22" t="n"/>
    </row>
    <row r="3495" ht="98" customHeight="1" s="380">
      <c r="A3495" s="144" t="n">
        <v>128</v>
      </c>
      <c r="B3495" s="390" t="n"/>
      <c r="C3495" s="390" t="inlineStr">
        <is>
          <t>Báo cáo tài chính quý, soát xét bán niên, kiểm toán năm - Chi nhánh công ty chứng khoán nước ngoài tại Việt Nam &gt;&gt; Báo cáo lưu chuyển tiền tệ riêng_06613</t>
        </is>
      </c>
      <c r="D3495" s="390" t="inlineStr">
        <is>
          <t>4. Tiền chi trả nợ gốc vay</t>
        </is>
      </c>
      <c r="E3495" s="390" t="n">
        <v>74</v>
      </c>
      <c r="F3495" s="390" t="inlineStr">
        <is>
          <t>Data Explorer</t>
        </is>
      </c>
      <c r="G3495" s="390" t="inlineStr">
        <is>
          <t>Chỉ tiêu cơ sở</t>
        </is>
      </c>
      <c r="H3495" s="390" t="inlineStr">
        <is>
          <t>Dễ</t>
        </is>
      </c>
      <c r="I3495" s="390" t="inlineStr">
        <is>
          <t>Ngày, CTCK</t>
        </is>
      </c>
      <c r="J3495" s="401" t="inlineStr">
        <is>
          <t>SCMS</t>
        </is>
      </c>
      <c r="K3495" s="401" t="n"/>
      <c r="L3495" s="401" t="inlineStr">
        <is>
          <t>X</t>
        </is>
      </c>
      <c r="M3495" s="401" t="n"/>
      <c r="N3495" s="401" t="inlineStr">
        <is>
          <t>Done</t>
        </is>
      </c>
      <c r="O3495" s="401" t="n"/>
      <c r="P3495" s="401" t="n"/>
      <c r="S3495" s="401" t="n"/>
      <c r="U3495" s="401" t="n"/>
      <c r="V3495" s="22" t="n"/>
      <c r="W3495" s="22" t="n"/>
      <c r="X3495" s="22" t="n"/>
      <c r="Y3495" s="13" t="n"/>
      <c r="Z3495" s="22" t="n"/>
      <c r="AA3495" s="22" t="n"/>
      <c r="AB3495" s="22" t="n"/>
      <c r="AC3495" s="22" t="n"/>
      <c r="AD3495" s="22" t="n"/>
      <c r="AE3495" s="22" t="n"/>
    </row>
    <row r="3496" ht="98" customHeight="1" s="380">
      <c r="A3496" s="144" t="n">
        <v>128</v>
      </c>
      <c r="B3496" s="390" t="n"/>
      <c r="C3496" s="390" t="inlineStr">
        <is>
          <t>Báo cáo tài chính quý, soát xét bán niên, kiểm toán năm - Chi nhánh công ty chứng khoán nước ngoài tại Việt Nam &gt;&gt; Báo cáo lưu chuyển tiền tệ riêng_06613</t>
        </is>
      </c>
      <c r="D3496" s="390" t="inlineStr">
        <is>
          <t>4.1. Tiền chi trả gốc vay Quỹ Hỗ trợ thanh toán</t>
        </is>
      </c>
      <c r="E3496" s="390" t="n">
        <v>74.09999999999999</v>
      </c>
      <c r="F3496" s="390" t="inlineStr">
        <is>
          <t>Data Explorer</t>
        </is>
      </c>
      <c r="G3496" s="390" t="inlineStr">
        <is>
          <t>Chỉ tiêu cơ sở</t>
        </is>
      </c>
      <c r="H3496" s="390" t="inlineStr">
        <is>
          <t>Dễ</t>
        </is>
      </c>
      <c r="I3496" s="390" t="inlineStr">
        <is>
          <t>Ngày, CTCK</t>
        </is>
      </c>
      <c r="J3496" s="401" t="inlineStr">
        <is>
          <t>SCMS</t>
        </is>
      </c>
      <c r="K3496" s="401" t="n"/>
      <c r="L3496" s="401" t="inlineStr">
        <is>
          <t>X</t>
        </is>
      </c>
      <c r="M3496" s="401" t="n"/>
      <c r="N3496" s="401" t="inlineStr">
        <is>
          <t>Done</t>
        </is>
      </c>
      <c r="O3496" s="401" t="n"/>
      <c r="P3496" s="401" t="n"/>
      <c r="S3496" s="401" t="n"/>
      <c r="U3496" s="401" t="n"/>
      <c r="V3496" s="22" t="n"/>
      <c r="W3496" s="22" t="n"/>
      <c r="X3496" s="22" t="n"/>
      <c r="Y3496" s="38" t="n"/>
      <c r="Z3496" s="22" t="n"/>
      <c r="AA3496" s="22" t="n"/>
      <c r="AB3496" s="22" t="n"/>
      <c r="AC3496" s="22" t="n"/>
      <c r="AD3496" s="22" t="n"/>
      <c r="AE3496" s="22" t="n"/>
    </row>
    <row r="3497" ht="98" customHeight="1" s="380">
      <c r="A3497" s="144" t="n">
        <v>128</v>
      </c>
      <c r="B3497" s="390" t="n"/>
      <c r="C3497" s="390" t="inlineStr">
        <is>
          <t>Báo cáo tài chính quý, soát xét bán niên, kiểm toán năm - Chi nhánh công ty chứng khoán nước ngoài tại Việt Nam &gt;&gt; Báo cáo lưu chuyển tiền tệ riêng_06613</t>
        </is>
      </c>
      <c r="D3497" s="390" t="inlineStr">
        <is>
          <t>4.2. Tiền chi trả nợ gốc vay tài sản tài chính</t>
        </is>
      </c>
      <c r="E3497" s="390" t="n">
        <v>74.2</v>
      </c>
      <c r="F3497" s="390" t="inlineStr">
        <is>
          <t>Data Explorer</t>
        </is>
      </c>
      <c r="G3497" s="390" t="inlineStr">
        <is>
          <t>Chỉ tiêu cơ sở</t>
        </is>
      </c>
      <c r="H3497" s="390" t="inlineStr">
        <is>
          <t>Dễ</t>
        </is>
      </c>
      <c r="I3497" s="390" t="inlineStr">
        <is>
          <t>Ngày, CTCK</t>
        </is>
      </c>
      <c r="J3497" s="401" t="inlineStr">
        <is>
          <t>SCMS</t>
        </is>
      </c>
      <c r="K3497" s="401" t="n"/>
      <c r="L3497" s="401" t="inlineStr">
        <is>
          <t>X</t>
        </is>
      </c>
      <c r="M3497" s="401" t="n"/>
      <c r="N3497" s="401" t="inlineStr">
        <is>
          <t>Done</t>
        </is>
      </c>
      <c r="O3497" s="401" t="n"/>
      <c r="P3497" s="401" t="n"/>
      <c r="S3497" s="401" t="n"/>
      <c r="U3497" s="401" t="n"/>
      <c r="V3497" s="22" t="n"/>
      <c r="W3497" s="22" t="n"/>
      <c r="X3497" s="22" t="n"/>
      <c r="Y3497" s="13" t="n"/>
      <c r="Z3497" s="22" t="n"/>
      <c r="AA3497" s="22" t="n"/>
      <c r="AB3497" s="22" t="n"/>
      <c r="AC3497" s="22" t="n"/>
      <c r="AD3497" s="22" t="n"/>
      <c r="AE3497" s="22" t="n"/>
    </row>
    <row r="3498" ht="98" customHeight="1" s="380">
      <c r="A3498" s="144" t="n">
        <v>128</v>
      </c>
      <c r="B3498" s="390" t="n"/>
      <c r="C3498" s="390" t="inlineStr">
        <is>
          <t>Báo cáo tài chính quý, soát xét bán niên, kiểm toán năm - Chi nhánh công ty chứng khoán nước ngoài tại Việt Nam &gt;&gt; Báo cáo lưu chuyển tiền tệ riêng_06613</t>
        </is>
      </c>
      <c r="D3498" s="390" t="inlineStr">
        <is>
          <t>4.3. Tiền chi trả gốc vay khác</t>
        </is>
      </c>
      <c r="E3498" s="390" t="n">
        <v>74.3</v>
      </c>
      <c r="F3498" s="390" t="inlineStr">
        <is>
          <t>Data Explorer</t>
        </is>
      </c>
      <c r="G3498" s="390" t="inlineStr">
        <is>
          <t>Chỉ tiêu cơ sở</t>
        </is>
      </c>
      <c r="H3498" s="390" t="inlineStr">
        <is>
          <t>Dễ</t>
        </is>
      </c>
      <c r="I3498" s="390" t="inlineStr">
        <is>
          <t>Ngày, CTCK</t>
        </is>
      </c>
      <c r="J3498" s="401" t="inlineStr">
        <is>
          <t>SCMS</t>
        </is>
      </c>
      <c r="K3498" s="401" t="n"/>
      <c r="L3498" s="401" t="inlineStr">
        <is>
          <t>X</t>
        </is>
      </c>
      <c r="M3498" s="401" t="n"/>
      <c r="N3498" s="401" t="inlineStr">
        <is>
          <t>Done</t>
        </is>
      </c>
      <c r="O3498" s="401" t="n"/>
      <c r="P3498" s="401" t="n"/>
      <c r="S3498" s="401" t="n"/>
      <c r="U3498" s="401" t="n"/>
      <c r="V3498" s="22" t="n"/>
      <c r="W3498" s="22" t="n"/>
      <c r="X3498" s="22" t="n"/>
      <c r="Y3498" s="13" t="n"/>
      <c r="Z3498" s="22" t="n"/>
      <c r="AA3498" s="22" t="n"/>
      <c r="AB3498" s="22" t="n"/>
      <c r="AC3498" s="22" t="n"/>
      <c r="AD3498" s="22" t="n"/>
      <c r="AE3498" s="22" t="n"/>
    </row>
    <row r="3499" ht="98" customHeight="1" s="380">
      <c r="A3499" s="144" t="n">
        <v>128</v>
      </c>
      <c r="B3499" s="390" t="n"/>
      <c r="C3499" s="390" t="inlineStr">
        <is>
          <t>Báo cáo tài chính quý, soát xét bán niên, kiểm toán năm - Chi nhánh công ty chứng khoán nước ngoài tại Việt Nam &gt;&gt; Báo cáo lưu chuyển tiền tệ riêng_06613</t>
        </is>
      </c>
      <c r="D3499" s="390" t="inlineStr">
        <is>
          <t>5. Tiền chi trả nợ gốc thuê tài chính</t>
        </is>
      </c>
      <c r="E3499" s="390" t="n">
        <v>75</v>
      </c>
      <c r="F3499" s="390" t="inlineStr">
        <is>
          <t>Data Explorer</t>
        </is>
      </c>
      <c r="G3499" s="390" t="inlineStr">
        <is>
          <t>Chỉ tiêu cơ sở</t>
        </is>
      </c>
      <c r="H3499" s="390" t="inlineStr">
        <is>
          <t>Dễ</t>
        </is>
      </c>
      <c r="I3499" s="390" t="inlineStr">
        <is>
          <t>Ngày, CTCK</t>
        </is>
      </c>
      <c r="J3499" s="401" t="inlineStr">
        <is>
          <t>SCMS</t>
        </is>
      </c>
      <c r="K3499" s="401" t="n"/>
      <c r="L3499" s="401" t="inlineStr">
        <is>
          <t>X</t>
        </is>
      </c>
      <c r="M3499" s="401" t="n"/>
      <c r="N3499" s="401" t="inlineStr">
        <is>
          <t>Done</t>
        </is>
      </c>
      <c r="O3499" s="401" t="n"/>
      <c r="P3499" s="401" t="n"/>
      <c r="S3499" s="401" t="n"/>
      <c r="U3499" s="401" t="n"/>
      <c r="V3499" s="22" t="n"/>
      <c r="W3499" s="22" t="n"/>
      <c r="X3499" s="22" t="n"/>
      <c r="Y3499" s="13" t="n"/>
      <c r="Z3499" s="22" t="n"/>
      <c r="AA3499" s="22" t="n"/>
      <c r="AB3499" s="22" t="n"/>
      <c r="AC3499" s="22" t="n"/>
      <c r="AD3499" s="22" t="n"/>
      <c r="AE3499" s="22" t="n"/>
    </row>
    <row r="3500" ht="98" customHeight="1" s="380">
      <c r="A3500" s="144" t="n">
        <v>128</v>
      </c>
      <c r="B3500" s="390" t="n"/>
      <c r="C3500" s="390" t="inlineStr">
        <is>
          <t>Báo cáo tài chính quý, soát xét bán niên, kiểm toán năm - Chi nhánh công ty chứng khoán nước ngoài tại Việt Nam &gt;&gt; Báo cáo lưu chuyển tiền tệ riêng_06613</t>
        </is>
      </c>
      <c r="D3500" s="390" t="inlineStr">
        <is>
          <t>6. Cổ tức, lợi nhuận đã trả cho chủ sở hữu</t>
        </is>
      </c>
      <c r="E3500" s="390" t="n">
        <v>76</v>
      </c>
      <c r="F3500" s="390" t="inlineStr">
        <is>
          <t>Data Explorer</t>
        </is>
      </c>
      <c r="G3500" s="390" t="inlineStr">
        <is>
          <t>Chỉ tiêu cơ sở</t>
        </is>
      </c>
      <c r="H3500" s="390" t="inlineStr">
        <is>
          <t>Dễ</t>
        </is>
      </c>
      <c r="I3500" s="390" t="inlineStr">
        <is>
          <t>Ngày, CTCK</t>
        </is>
      </c>
      <c r="J3500" s="401" t="inlineStr">
        <is>
          <t>SCMS</t>
        </is>
      </c>
      <c r="K3500" s="401" t="n"/>
      <c r="L3500" s="401" t="inlineStr">
        <is>
          <t>X</t>
        </is>
      </c>
      <c r="M3500" s="401" t="n"/>
      <c r="N3500" s="401" t="inlineStr">
        <is>
          <t>Done</t>
        </is>
      </c>
      <c r="O3500" s="401" t="n"/>
      <c r="P3500" s="401" t="n"/>
      <c r="S3500" s="401" t="n"/>
      <c r="U3500" s="401" t="n"/>
      <c r="V3500" s="22" t="n"/>
      <c r="W3500" s="22" t="n"/>
      <c r="X3500" s="22" t="n"/>
      <c r="Y3500" s="13" t="n"/>
      <c r="Z3500" s="22" t="n"/>
      <c r="AA3500" s="22" t="n"/>
      <c r="AB3500" s="22" t="n"/>
      <c r="AC3500" s="22" t="n"/>
      <c r="AD3500" s="22" t="n"/>
      <c r="AE3500" s="22" t="n"/>
    </row>
    <row r="3501" ht="98" customHeight="1" s="380">
      <c r="A3501" s="144" t="n">
        <v>128</v>
      </c>
      <c r="B3501" s="390" t="n"/>
      <c r="C3501" s="390" t="inlineStr">
        <is>
          <t>Báo cáo tài chính quý, soát xét bán niên, kiểm toán năm - Chi nhánh công ty chứng khoán nước ngoài tại Việt Nam &gt;&gt; Báo cáo lưu chuyển tiền tệ riêng_06613</t>
        </is>
      </c>
      <c r="D3501" s="132" t="inlineStr">
        <is>
          <t>Lưu chuyển tiền thuần từ hoạt động tài chính</t>
        </is>
      </c>
      <c r="E3501" s="132" t="n">
        <v>80</v>
      </c>
      <c r="F3501" s="390" t="inlineStr">
        <is>
          <t>Data Explorer</t>
        </is>
      </c>
      <c r="G3501" s="390" t="inlineStr">
        <is>
          <t>Chỉ tiêu cơ sở</t>
        </is>
      </c>
      <c r="H3501" s="390" t="inlineStr">
        <is>
          <t>Dễ</t>
        </is>
      </c>
      <c r="I3501" s="390" t="inlineStr">
        <is>
          <t>Ngày, CTCK</t>
        </is>
      </c>
      <c r="J3501" s="401" t="inlineStr">
        <is>
          <t>SCMS</t>
        </is>
      </c>
      <c r="K3501" s="401" t="n"/>
      <c r="L3501" s="401" t="inlineStr">
        <is>
          <t>X</t>
        </is>
      </c>
      <c r="M3501" s="401" t="n"/>
      <c r="N3501" s="401" t="inlineStr">
        <is>
          <t>Done</t>
        </is>
      </c>
      <c r="O3501" s="401" t="n"/>
      <c r="P3501" s="401" t="n"/>
      <c r="S3501" s="401" t="n"/>
      <c r="U3501" s="401" t="n"/>
      <c r="V3501" s="22" t="n"/>
      <c r="W3501" s="22" t="n"/>
      <c r="X3501" s="22" t="n"/>
      <c r="Y3501" s="13" t="n"/>
      <c r="Z3501" s="22" t="n"/>
      <c r="AA3501" s="22" t="n"/>
      <c r="AB3501" s="22" t="n"/>
      <c r="AC3501" s="22" t="n"/>
      <c r="AD3501" s="22" t="n"/>
      <c r="AE3501" s="22" t="n"/>
    </row>
    <row r="3502" ht="98" customHeight="1" s="380">
      <c r="A3502" s="144" t="n">
        <v>128</v>
      </c>
      <c r="B3502" s="390" t="n"/>
      <c r="C3502" s="390" t="inlineStr">
        <is>
          <t>Báo cáo tài chính quý, soát xét bán niên, kiểm toán năm - Chi nhánh công ty chứng khoán nước ngoài tại Việt Nam &gt;&gt; Báo cáo lưu chuyển tiền tệ riêng_06613</t>
        </is>
      </c>
      <c r="D3502" s="132" t="inlineStr">
        <is>
          <t>IV. Tăng/giảm tiền thuần trong kỳ</t>
        </is>
      </c>
      <c r="E3502" s="132" t="n">
        <v>90</v>
      </c>
      <c r="F3502" s="390" t="inlineStr">
        <is>
          <t>Data Explorer</t>
        </is>
      </c>
      <c r="G3502" s="390" t="inlineStr">
        <is>
          <t>Chỉ tiêu cơ sở</t>
        </is>
      </c>
      <c r="H3502" s="390" t="inlineStr">
        <is>
          <t>Dễ</t>
        </is>
      </c>
      <c r="I3502" s="390" t="inlineStr">
        <is>
          <t>Ngày, CTCK</t>
        </is>
      </c>
      <c r="J3502" s="401" t="inlineStr">
        <is>
          <t>SCMS</t>
        </is>
      </c>
      <c r="K3502" s="401" t="n"/>
      <c r="L3502" s="401" t="inlineStr">
        <is>
          <t>X</t>
        </is>
      </c>
      <c r="M3502" s="401" t="n"/>
      <c r="N3502" s="401" t="inlineStr">
        <is>
          <t>Done</t>
        </is>
      </c>
      <c r="O3502" s="401" t="n"/>
      <c r="P3502" s="401" t="n"/>
      <c r="S3502" s="401" t="n"/>
      <c r="U3502" s="401" t="n"/>
      <c r="V3502" s="22" t="n"/>
      <c r="W3502" s="22" t="n"/>
      <c r="X3502" s="22" t="n"/>
      <c r="Y3502" s="14" t="n"/>
      <c r="Z3502" s="22" t="n"/>
      <c r="AA3502" s="22" t="n"/>
      <c r="AB3502" s="22" t="n"/>
      <c r="AC3502" s="22" t="n"/>
      <c r="AD3502" s="22" t="n"/>
      <c r="AE3502" s="22" t="n"/>
    </row>
    <row r="3503" ht="98" customHeight="1" s="380">
      <c r="A3503" s="144" t="n">
        <v>128</v>
      </c>
      <c r="B3503" s="390" t="n"/>
      <c r="C3503" s="390" t="inlineStr">
        <is>
          <t>Báo cáo tài chính quý, soát xét bán niên, kiểm toán năm - Chi nhánh công ty chứng khoán nước ngoài tại Việt Nam &gt;&gt; Báo cáo lưu chuyển tiền tệ riêng_06613</t>
        </is>
      </c>
      <c r="D3503" s="132" t="inlineStr">
        <is>
          <t>V. Tiền và các khoản tương đương tiền đầu kỳ</t>
        </is>
      </c>
      <c r="E3503" s="132" t="n">
        <v>101</v>
      </c>
      <c r="F3503" s="390" t="inlineStr">
        <is>
          <t>Data Explorer</t>
        </is>
      </c>
      <c r="G3503" s="390" t="inlineStr">
        <is>
          <t>Chỉ tiêu cơ sở</t>
        </is>
      </c>
      <c r="H3503" s="390" t="inlineStr">
        <is>
          <t>Dễ</t>
        </is>
      </c>
      <c r="I3503" s="390" t="inlineStr">
        <is>
          <t>Ngày, CTCK</t>
        </is>
      </c>
      <c r="J3503" s="401" t="inlineStr">
        <is>
          <t>SCMS</t>
        </is>
      </c>
      <c r="K3503" s="401" t="n"/>
      <c r="L3503" s="401" t="inlineStr">
        <is>
          <t>X</t>
        </is>
      </c>
      <c r="M3503" s="401" t="n"/>
      <c r="N3503" s="401" t="inlineStr">
        <is>
          <t>Done</t>
        </is>
      </c>
      <c r="O3503" s="401" t="n"/>
      <c r="P3503" s="401" t="n"/>
      <c r="S3503" s="401" t="n"/>
      <c r="U3503" s="401" t="n"/>
      <c r="V3503" s="22" t="n"/>
      <c r="W3503" s="22" t="n"/>
      <c r="X3503" s="22" t="n"/>
      <c r="Y3503" s="13" t="n"/>
      <c r="Z3503" s="22" t="n"/>
      <c r="AA3503" s="22" t="n"/>
      <c r="AB3503" s="22" t="n"/>
      <c r="AC3503" s="22" t="n"/>
      <c r="AD3503" s="22" t="n"/>
      <c r="AE3503" s="22" t="n"/>
    </row>
    <row r="3504" ht="98" customHeight="1" s="380">
      <c r="A3504" s="144" t="n">
        <v>128</v>
      </c>
      <c r="B3504" s="390" t="n"/>
      <c r="C3504" s="390" t="inlineStr">
        <is>
          <t>Báo cáo tài chính quý, soát xét bán niên, kiểm toán năm - Chi nhánh công ty chứng khoán nước ngoài tại Việt Nam &gt;&gt; Báo cáo lưu chuyển tiền tệ riêng_06613</t>
        </is>
      </c>
      <c r="D3504" s="390" t="inlineStr">
        <is>
          <t xml:space="preserve">- Tiền </t>
        </is>
      </c>
      <c r="E3504" s="390" t="n">
        <v>101.1</v>
      </c>
      <c r="F3504" s="390" t="inlineStr">
        <is>
          <t>Data Explorer</t>
        </is>
      </c>
      <c r="G3504" s="390" t="inlineStr">
        <is>
          <t>Chỉ tiêu cơ sở</t>
        </is>
      </c>
      <c r="H3504" s="390" t="inlineStr">
        <is>
          <t>Dễ</t>
        </is>
      </c>
      <c r="I3504" s="390" t="inlineStr">
        <is>
          <t>Ngày, CTCK</t>
        </is>
      </c>
      <c r="J3504" s="401" t="inlineStr">
        <is>
          <t>SCMS</t>
        </is>
      </c>
      <c r="K3504" s="401" t="n"/>
      <c r="L3504" s="401" t="inlineStr">
        <is>
          <t>X</t>
        </is>
      </c>
      <c r="M3504" s="401" t="n"/>
      <c r="N3504" s="401" t="inlineStr">
        <is>
          <t>Done</t>
        </is>
      </c>
      <c r="O3504" s="401" t="n"/>
      <c r="P3504" s="401" t="n"/>
      <c r="S3504" s="401" t="n"/>
      <c r="U3504" s="401" t="n"/>
      <c r="V3504" s="22" t="n"/>
      <c r="W3504" s="22" t="n"/>
      <c r="X3504" s="22" t="n"/>
      <c r="Y3504" s="13" t="n"/>
      <c r="Z3504" s="22" t="n"/>
      <c r="AA3504" s="22" t="n"/>
      <c r="AB3504" s="22" t="n"/>
      <c r="AC3504" s="22" t="n"/>
      <c r="AD3504" s="22" t="n"/>
      <c r="AE3504" s="22" t="n"/>
    </row>
    <row r="3505" ht="98" customHeight="1" s="380">
      <c r="A3505" s="144" t="n">
        <v>128</v>
      </c>
      <c r="B3505" s="390" t="n"/>
      <c r="C3505" s="390" t="inlineStr">
        <is>
          <t>Báo cáo tài chính quý, soát xét bán niên, kiểm toán năm - Chi nhánh công ty chứng khoán nước ngoài tại Việt Nam &gt;&gt; Báo cáo lưu chuyển tiền tệ riêng_06613</t>
        </is>
      </c>
      <c r="D3505" s="390" t="inlineStr">
        <is>
          <t>- Các khoản tương đương tiền</t>
        </is>
      </c>
      <c r="E3505" s="390" t="n">
        <v>101.2</v>
      </c>
      <c r="F3505" s="390" t="inlineStr">
        <is>
          <t>Data Explorer</t>
        </is>
      </c>
      <c r="G3505" s="390" t="inlineStr">
        <is>
          <t>Chỉ tiêu cơ sở</t>
        </is>
      </c>
      <c r="H3505" s="390" t="inlineStr">
        <is>
          <t>Dễ</t>
        </is>
      </c>
      <c r="I3505" s="390" t="inlineStr">
        <is>
          <t>Ngày, CTCK</t>
        </is>
      </c>
      <c r="J3505" s="401" t="inlineStr">
        <is>
          <t>SCMS</t>
        </is>
      </c>
      <c r="K3505" s="401" t="n"/>
      <c r="L3505" s="401" t="inlineStr">
        <is>
          <t>X</t>
        </is>
      </c>
      <c r="M3505" s="401" t="n"/>
      <c r="N3505" s="401" t="inlineStr">
        <is>
          <t>Done</t>
        </is>
      </c>
      <c r="O3505" s="401" t="n"/>
      <c r="P3505" s="401" t="n"/>
      <c r="S3505" s="401" t="n"/>
      <c r="U3505" s="401" t="n"/>
      <c r="V3505" s="22" t="n"/>
      <c r="W3505" s="22" t="n"/>
      <c r="X3505" s="22" t="n"/>
      <c r="Y3505" s="13" t="n"/>
      <c r="Z3505" s="22" t="n"/>
      <c r="AA3505" s="22" t="n"/>
      <c r="AB3505" s="22" t="n"/>
      <c r="AC3505" s="22" t="n"/>
      <c r="AD3505" s="22" t="n"/>
      <c r="AE3505" s="22" t="n"/>
    </row>
    <row r="3506" ht="98" customHeight="1" s="380">
      <c r="A3506" s="144" t="n">
        <v>128</v>
      </c>
      <c r="B3506" s="390" t="n"/>
      <c r="C3506" s="390" t="inlineStr">
        <is>
          <t>Báo cáo tài chính quý, soát xét bán niên, kiểm toán năm - Chi nhánh công ty chứng khoán nước ngoài tại Việt Nam &gt;&gt; Báo cáo lưu chuyển tiền tệ riêng_06613</t>
        </is>
      </c>
      <c r="D3506" s="390" t="inlineStr">
        <is>
          <t>- Ảnh hưởng của thay đổi tỷ giá hối đoái quy đổi ngoại tệ</t>
        </is>
      </c>
      <c r="E3506" s="390" t="n">
        <v>102</v>
      </c>
      <c r="F3506" s="390" t="inlineStr">
        <is>
          <t>Data Explorer</t>
        </is>
      </c>
      <c r="G3506" s="390" t="inlineStr">
        <is>
          <t>Chỉ tiêu cơ sở</t>
        </is>
      </c>
      <c r="H3506" s="390" t="inlineStr">
        <is>
          <t>Dễ</t>
        </is>
      </c>
      <c r="I3506" s="390" t="inlineStr">
        <is>
          <t>Ngày, CTCK</t>
        </is>
      </c>
      <c r="J3506" s="401" t="inlineStr">
        <is>
          <t>SCMS</t>
        </is>
      </c>
      <c r="K3506" s="401" t="n"/>
      <c r="L3506" s="401" t="inlineStr">
        <is>
          <t>X</t>
        </is>
      </c>
      <c r="M3506" s="401" t="n"/>
      <c r="N3506" s="401" t="inlineStr">
        <is>
          <t>Done</t>
        </is>
      </c>
      <c r="O3506" s="401" t="n"/>
      <c r="P3506" s="401" t="n"/>
      <c r="S3506" s="401" t="n"/>
      <c r="U3506" s="401" t="n"/>
      <c r="V3506" s="22" t="n"/>
      <c r="W3506" s="22" t="n"/>
      <c r="X3506" s="22" t="n"/>
      <c r="Y3506" s="13" t="n"/>
      <c r="Z3506" s="22" t="n"/>
      <c r="AA3506" s="22" t="n"/>
      <c r="AB3506" s="22" t="n"/>
      <c r="AC3506" s="22" t="n"/>
      <c r="AD3506" s="22" t="n"/>
      <c r="AE3506" s="22" t="n"/>
    </row>
    <row r="3507" ht="98" customHeight="1" s="380">
      <c r="A3507" s="144" t="n">
        <v>128</v>
      </c>
      <c r="B3507" s="390" t="n"/>
      <c r="C3507" s="390" t="inlineStr">
        <is>
          <t>Báo cáo tài chính quý, soát xét bán niên, kiểm toán năm - Chi nhánh công ty chứng khoán nước ngoài tại Việt Nam &gt;&gt; Báo cáo lưu chuyển tiền tệ riêng_06613</t>
        </is>
      </c>
      <c r="D3507" s="132" t="inlineStr">
        <is>
          <t>VI. Tiền và các khoản tương đương tiền cuối kỳ</t>
        </is>
      </c>
      <c r="E3507" s="132" t="n">
        <v>103</v>
      </c>
      <c r="F3507" s="390" t="inlineStr">
        <is>
          <t>Data Explorer</t>
        </is>
      </c>
      <c r="G3507" s="390" t="inlineStr">
        <is>
          <t>Chỉ tiêu cơ sở</t>
        </is>
      </c>
      <c r="H3507" s="390" t="inlineStr">
        <is>
          <t>Dễ</t>
        </is>
      </c>
      <c r="I3507" s="390" t="inlineStr">
        <is>
          <t>Ngày, CTCK</t>
        </is>
      </c>
      <c r="J3507" s="401" t="inlineStr">
        <is>
          <t>SCMS</t>
        </is>
      </c>
      <c r="K3507" s="401" t="n"/>
      <c r="L3507" s="401" t="inlineStr">
        <is>
          <t>X</t>
        </is>
      </c>
      <c r="M3507" s="401" t="n"/>
      <c r="N3507" s="401" t="inlineStr">
        <is>
          <t>Done</t>
        </is>
      </c>
      <c r="O3507" s="401" t="n"/>
      <c r="P3507" s="401" t="n"/>
      <c r="S3507" s="401" t="n"/>
      <c r="U3507" s="401" t="n"/>
      <c r="V3507" s="22" t="n"/>
      <c r="W3507" s="22" t="n"/>
      <c r="X3507" s="22" t="n"/>
      <c r="Y3507" s="13" t="n"/>
      <c r="Z3507" s="22" t="n"/>
      <c r="AA3507" s="22" t="n"/>
      <c r="AB3507" s="22" t="n"/>
      <c r="AC3507" s="22" t="n"/>
      <c r="AD3507" s="22" t="n"/>
      <c r="AE3507" s="22" t="n"/>
    </row>
    <row r="3508" ht="98" customHeight="1" s="380">
      <c r="A3508" s="144" t="n">
        <v>128</v>
      </c>
      <c r="B3508" s="390" t="n"/>
      <c r="C3508" s="390" t="inlineStr">
        <is>
          <t>Báo cáo tài chính quý, soát xét bán niên, kiểm toán năm - Chi nhánh công ty chứng khoán nước ngoài tại Việt Nam &gt;&gt; Báo cáo lưu chuyển tiền tệ riêng_06613</t>
        </is>
      </c>
      <c r="D3508" s="390" t="inlineStr">
        <is>
          <t xml:space="preserve">- Tiền </t>
        </is>
      </c>
      <c r="E3508" s="390" t="n">
        <v>103.1</v>
      </c>
      <c r="F3508" s="390" t="inlineStr">
        <is>
          <t>Data Explorer</t>
        </is>
      </c>
      <c r="G3508" s="390" t="inlineStr">
        <is>
          <t>Chỉ tiêu cơ sở</t>
        </is>
      </c>
      <c r="H3508" s="390" t="inlineStr">
        <is>
          <t>Dễ</t>
        </is>
      </c>
      <c r="I3508" s="390" t="inlineStr">
        <is>
          <t>Ngày, CTCK</t>
        </is>
      </c>
      <c r="J3508" s="401" t="inlineStr">
        <is>
          <t>SCMS</t>
        </is>
      </c>
      <c r="K3508" s="401" t="n"/>
      <c r="L3508" s="401" t="inlineStr">
        <is>
          <t>X</t>
        </is>
      </c>
      <c r="M3508" s="401" t="n"/>
      <c r="N3508" s="401" t="inlineStr">
        <is>
          <t>Done</t>
        </is>
      </c>
      <c r="O3508" s="401" t="n"/>
      <c r="P3508" s="401" t="n"/>
      <c r="S3508" s="401" t="n"/>
      <c r="U3508" s="401" t="n"/>
      <c r="V3508" s="22" t="n"/>
      <c r="W3508" s="22" t="n"/>
      <c r="X3508" s="22" t="n"/>
      <c r="Y3508" s="38" t="n"/>
      <c r="Z3508" s="22" t="n"/>
      <c r="AA3508" s="22" t="n"/>
      <c r="AB3508" s="22" t="n"/>
      <c r="AC3508" s="22" t="n"/>
      <c r="AD3508" s="22" t="n"/>
      <c r="AE3508" s="22" t="n"/>
    </row>
    <row r="3509" ht="98" customHeight="1" s="380">
      <c r="A3509" s="144" t="n">
        <v>128</v>
      </c>
      <c r="B3509" s="390" t="n"/>
      <c r="C3509" s="390" t="inlineStr">
        <is>
          <t>Báo cáo tài chính quý, soát xét bán niên, kiểm toán năm - Chi nhánh công ty chứng khoán nước ngoài tại Việt Nam &gt;&gt; Báo cáo lưu chuyển tiền tệ riêng_06613</t>
        </is>
      </c>
      <c r="D3509" s="390" t="inlineStr">
        <is>
          <t>- Các khoản tương đương tiền</t>
        </is>
      </c>
      <c r="E3509" s="390" t="n">
        <v>103.2</v>
      </c>
      <c r="F3509" s="390" t="inlineStr">
        <is>
          <t>Data Explorer</t>
        </is>
      </c>
      <c r="G3509" s="390" t="inlineStr">
        <is>
          <t>Chỉ tiêu cơ sở</t>
        </is>
      </c>
      <c r="H3509" s="390" t="inlineStr">
        <is>
          <t>Dễ</t>
        </is>
      </c>
      <c r="I3509" s="390" t="inlineStr">
        <is>
          <t>Ngày, CTCK</t>
        </is>
      </c>
      <c r="J3509" s="401" t="inlineStr">
        <is>
          <t>SCMS</t>
        </is>
      </c>
      <c r="K3509" s="401" t="n"/>
      <c r="L3509" s="401" t="inlineStr">
        <is>
          <t>X</t>
        </is>
      </c>
      <c r="M3509" s="401" t="n"/>
      <c r="N3509" s="401" t="inlineStr">
        <is>
          <t>Done</t>
        </is>
      </c>
      <c r="O3509" s="401" t="n"/>
      <c r="P3509" s="401" t="n"/>
      <c r="S3509" s="401" t="n"/>
      <c r="U3509" s="401" t="n"/>
      <c r="V3509" s="22" t="n"/>
      <c r="W3509" s="22" t="n"/>
      <c r="X3509" s="22" t="n"/>
      <c r="Y3509" s="13" t="n"/>
      <c r="Z3509" s="22" t="n"/>
      <c r="AA3509" s="22" t="n"/>
      <c r="AB3509" s="22" t="n"/>
      <c r="AC3509" s="22" t="n"/>
      <c r="AD3509" s="22" t="n"/>
      <c r="AE3509" s="22" t="n"/>
    </row>
    <row r="3510" ht="98" customHeight="1" s="380">
      <c r="A3510" s="145" t="n">
        <v>128</v>
      </c>
      <c r="B3510" s="129" t="n"/>
      <c r="C3510" s="129" t="inlineStr">
        <is>
          <t>Báo cáo tài chính quý, soát xét bán niên, kiểm toán năm - Chi nhánh công ty chứng khoán nước ngoài tại Việt Nam &gt;&gt; Báo cáo lưu chuyển tiền tệ riêng_06613</t>
        </is>
      </c>
      <c r="D3510" s="129" t="inlineStr">
        <is>
          <t>- Ảnh hưởng của thay đổi tỷ giá hối đoái quy đổi ngoại tệ</t>
        </is>
      </c>
      <c r="E3510" s="129" t="n">
        <v>104</v>
      </c>
      <c r="F3510" s="129" t="inlineStr">
        <is>
          <t>Data Explorer</t>
        </is>
      </c>
      <c r="G3510" s="129" t="inlineStr">
        <is>
          <t>Chỉ tiêu cơ sở</t>
        </is>
      </c>
      <c r="H3510" s="129" t="inlineStr">
        <is>
          <t>Dễ</t>
        </is>
      </c>
      <c r="I3510" s="129" t="inlineStr">
        <is>
          <t>Ngày, CTCK</t>
        </is>
      </c>
      <c r="J3510" s="85" t="inlineStr">
        <is>
          <t>SCMS</t>
        </is>
      </c>
      <c r="K3510" s="85" t="n"/>
      <c r="L3510" s="85" t="inlineStr">
        <is>
          <t>X</t>
        </is>
      </c>
      <c r="M3510" s="85" t="n"/>
      <c r="N3510" s="85" t="inlineStr">
        <is>
          <t>Done</t>
        </is>
      </c>
      <c r="O3510" s="85" t="n"/>
      <c r="P3510" s="85" t="n"/>
      <c r="Q3510" s="426" t="n"/>
      <c r="R3510" s="426" t="n"/>
      <c r="S3510" s="85" t="n"/>
      <c r="T3510" s="426" t="n"/>
      <c r="U3510" s="85" t="n"/>
      <c r="V3510" s="130" t="n"/>
      <c r="W3510" s="130" t="n"/>
      <c r="X3510" s="130" t="n"/>
      <c r="Y3510" s="97" t="n"/>
      <c r="Z3510" s="130" t="n"/>
      <c r="AA3510" s="130" t="n"/>
      <c r="AB3510" s="130" t="n"/>
      <c r="AC3510" s="130" t="n"/>
      <c r="AD3510" s="130" t="n"/>
      <c r="AE3510" s="130" t="n"/>
    </row>
    <row r="3511" ht="126" customHeight="1" s="380">
      <c r="A3511" s="144" t="n">
        <v>129</v>
      </c>
      <c r="B3511" s="140" t="inlineStr">
        <is>
          <t>Nga</t>
        </is>
      </c>
      <c r="C3511" s="127" t="inlineStr">
        <is>
          <t>Báo cáo tài chính quý, soát xét bán niên, kiểm toán năm - Chi nhánh công ty chứng khoán nước ngoài tại Việt Nam &gt;&gt; Phần lưu chuyển tiền tệ hoạt động môi giới, ủy thác của khách hàng_06614</t>
        </is>
      </c>
      <c r="D3511" s="106" t="inlineStr">
        <is>
          <t>Loại báo cáo</t>
        </is>
      </c>
      <c r="E3511" s="107" t="inlineStr">
        <is>
          <t>Loại báo cáo</t>
        </is>
      </c>
      <c r="F3511" s="390" t="inlineStr">
        <is>
          <t>Data Explorer</t>
        </is>
      </c>
      <c r="G3511" s="390" t="inlineStr">
        <is>
          <t>Chiều</t>
        </is>
      </c>
      <c r="H3511" s="390" t="inlineStr">
        <is>
          <t>Dễ</t>
        </is>
      </c>
      <c r="I3511" s="390" t="inlineStr">
        <is>
          <t>Ngày, CTCK</t>
        </is>
      </c>
      <c r="J3511" s="401" t="inlineStr">
        <is>
          <t>SCMS</t>
        </is>
      </c>
      <c r="K3511" s="401" t="inlineStr">
        <is>
          <t>X</t>
        </is>
      </c>
      <c r="L3511" s="401" t="inlineStr">
        <is>
          <t>X</t>
        </is>
      </c>
      <c r="M3511" s="401" t="n"/>
      <c r="N3511" s="401" t="inlineStr">
        <is>
          <t>Done</t>
        </is>
      </c>
      <c r="O3511" s="401" t="n"/>
      <c r="P3511" s="401" t="n"/>
      <c r="Q3511" s="404" t="inlineStr">
        <is>
          <t>SCMS.BM_BAO_CAO
SCMS.BM_BAO_CAO_DINH_KY</t>
        </is>
      </c>
      <c r="R3511" s="404" t="inlineStr">
        <is>
          <t>bm.ID,
bm.MA_BAO_CAO,
bm.LOAI_BAO_CAO,
bm.TEN_BAO_CAO,
bm.SU_DUNG,
bdk.BM_BAO_CAO_ID,
bdk.KY_BAO_CAO,
bdk.SU_DUNG</t>
        </is>
      </c>
      <c r="S3511" s="401" t="n"/>
      <c r="T3511" s="390"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U3511" s="401" t="n"/>
      <c r="V3511" s="22" t="n"/>
      <c r="W3511" s="22" t="n"/>
      <c r="X3511" s="22" t="n"/>
      <c r="Y3511" s="13" t="n"/>
      <c r="Z3511" s="22" t="n"/>
      <c r="AA3511" s="22" t="n"/>
      <c r="AB3511" s="22" t="n"/>
      <c r="AC3511" s="22" t="n"/>
      <c r="AD3511" s="22" t="n"/>
      <c r="AE3511" s="22" t="n"/>
    </row>
    <row r="3512" ht="126" customHeight="1" s="380">
      <c r="A3512" s="144" t="n">
        <v>129</v>
      </c>
      <c r="B3512" s="390" t="n"/>
      <c r="C3512" s="390" t="inlineStr">
        <is>
          <t>Báo cáo tài chính quý, soát xét bán niên, kiểm toán năm - Chi nhánh công ty chứng khoán nước ngoài tại Việt Nam &gt;&gt; Phần lưu chuyển tiền tệ hoạt động môi giới, ủy thác của khách hàng_06614</t>
        </is>
      </c>
      <c r="D3512" s="106" t="inlineStr">
        <is>
          <t>Kỳ báo cáo</t>
        </is>
      </c>
      <c r="E3512" s="107" t="inlineStr">
        <is>
          <t>Kỳ báo cáo</t>
        </is>
      </c>
      <c r="F3512" s="390" t="inlineStr">
        <is>
          <t>Data Explorer</t>
        </is>
      </c>
      <c r="G3512" s="390" t="inlineStr">
        <is>
          <t>Chiều</t>
        </is>
      </c>
      <c r="H3512" s="390" t="inlineStr">
        <is>
          <t>Dễ</t>
        </is>
      </c>
      <c r="I3512" s="390" t="inlineStr">
        <is>
          <t>Ngày, CTCK</t>
        </is>
      </c>
      <c r="J3512" s="401" t="inlineStr">
        <is>
          <t>SCMS</t>
        </is>
      </c>
      <c r="K3512" s="401" t="inlineStr">
        <is>
          <t>X</t>
        </is>
      </c>
      <c r="L3512" s="401" t="inlineStr">
        <is>
          <t>X</t>
        </is>
      </c>
      <c r="M3512" s="401" t="n"/>
      <c r="N3512" s="401" t="inlineStr">
        <is>
          <t>Done</t>
        </is>
      </c>
      <c r="O3512" s="401" t="n"/>
      <c r="P3512" s="401" t="n"/>
      <c r="S3512" s="401" t="n"/>
      <c r="U3512" s="401" t="n"/>
      <c r="V3512" s="22" t="n"/>
      <c r="W3512" s="22" t="n"/>
      <c r="X3512" s="22" t="n"/>
      <c r="Y3512" s="13" t="n"/>
      <c r="Z3512" s="22" t="n"/>
      <c r="AA3512" s="22" t="n"/>
      <c r="AB3512" s="22" t="n"/>
      <c r="AC3512" s="22" t="n"/>
      <c r="AD3512" s="22" t="n"/>
      <c r="AE3512" s="22" t="n"/>
    </row>
    <row r="3513" ht="126" customHeight="1" s="380">
      <c r="A3513" s="144" t="n">
        <v>129</v>
      </c>
      <c r="B3513" s="390" t="n"/>
      <c r="C3513" s="390" t="inlineStr">
        <is>
          <t>Báo cáo tài chính quý, soát xét bán niên, kiểm toán năm - Chi nhánh công ty chứng khoán nước ngoài tại Việt Nam &gt;&gt; Phần lưu chuyển tiền tệ hoạt động môi giới, ủy thác của khách hàng_06614</t>
        </is>
      </c>
      <c r="D3513" s="106" t="inlineStr">
        <is>
          <t>Mã báo cáo</t>
        </is>
      </c>
      <c r="E3513" s="107" t="inlineStr">
        <is>
          <t>Mã báo cáo</t>
        </is>
      </c>
      <c r="F3513" s="390" t="inlineStr">
        <is>
          <t>Data Explorer</t>
        </is>
      </c>
      <c r="G3513" s="390" t="inlineStr">
        <is>
          <t>Chiều</t>
        </is>
      </c>
      <c r="H3513" s="390" t="inlineStr">
        <is>
          <t>Dễ</t>
        </is>
      </c>
      <c r="I3513" s="390" t="inlineStr">
        <is>
          <t>Ngày, CTCK</t>
        </is>
      </c>
      <c r="J3513" s="401" t="inlineStr">
        <is>
          <t>SCMS</t>
        </is>
      </c>
      <c r="K3513" s="401" t="inlineStr">
        <is>
          <t>X</t>
        </is>
      </c>
      <c r="L3513" s="401" t="inlineStr">
        <is>
          <t>X</t>
        </is>
      </c>
      <c r="M3513" s="401" t="n"/>
      <c r="N3513" s="401" t="inlineStr">
        <is>
          <t>Done</t>
        </is>
      </c>
      <c r="O3513" s="401" t="n"/>
      <c r="P3513" s="401" t="n"/>
      <c r="S3513" s="401" t="n"/>
      <c r="U3513" s="401" t="n"/>
      <c r="V3513" s="22" t="n"/>
      <c r="W3513" s="22" t="n"/>
      <c r="X3513" s="22" t="n"/>
      <c r="Y3513" s="13" t="n"/>
      <c r="Z3513" s="22" t="n"/>
      <c r="AA3513" s="22" t="n"/>
      <c r="AB3513" s="22" t="n"/>
      <c r="AC3513" s="22" t="n"/>
      <c r="AD3513" s="22" t="n"/>
      <c r="AE3513" s="22" t="n"/>
    </row>
    <row r="3514" ht="126" customHeight="1" s="380">
      <c r="A3514" s="144" t="n">
        <v>129</v>
      </c>
      <c r="B3514" s="390" t="n"/>
      <c r="C3514" s="390" t="inlineStr">
        <is>
          <t>Báo cáo tài chính quý, soát xét bán niên, kiểm toán năm - Chi nhánh công ty chứng khoán nước ngoài tại Việt Nam &gt;&gt; Phần lưu chuyển tiền tệ hoạt động môi giới, ủy thác của khách hàng_06614</t>
        </is>
      </c>
      <c r="D3514" s="106" t="inlineStr">
        <is>
          <t>Tên báo cáo</t>
        </is>
      </c>
      <c r="E3514" s="107" t="inlineStr">
        <is>
          <t>Tên báo cáo</t>
        </is>
      </c>
      <c r="F3514" s="390" t="inlineStr">
        <is>
          <t>Data Explorer</t>
        </is>
      </c>
      <c r="G3514" s="390" t="inlineStr">
        <is>
          <t>Chiều</t>
        </is>
      </c>
      <c r="H3514" s="390" t="inlineStr">
        <is>
          <t>Dễ</t>
        </is>
      </c>
      <c r="I3514" s="390" t="inlineStr">
        <is>
          <t>Ngày, CTCK</t>
        </is>
      </c>
      <c r="J3514" s="401" t="inlineStr">
        <is>
          <t>SCMS</t>
        </is>
      </c>
      <c r="K3514" s="401" t="inlineStr">
        <is>
          <t>X</t>
        </is>
      </c>
      <c r="L3514" s="401" t="inlineStr">
        <is>
          <t>X</t>
        </is>
      </c>
      <c r="M3514" s="401" t="n"/>
      <c r="N3514" s="401" t="inlineStr">
        <is>
          <t>Done</t>
        </is>
      </c>
      <c r="O3514" s="401" t="n"/>
      <c r="P3514" s="401" t="n"/>
      <c r="S3514" s="401" t="n"/>
      <c r="U3514" s="401" t="n"/>
      <c r="V3514" s="22" t="n"/>
      <c r="W3514" s="22" t="n"/>
      <c r="X3514" s="22" t="n"/>
      <c r="Y3514" s="38" t="n"/>
      <c r="Z3514" s="22" t="n"/>
      <c r="AA3514" s="22" t="n"/>
      <c r="AB3514" s="22" t="n"/>
      <c r="AC3514" s="22" t="n"/>
      <c r="AD3514" s="22" t="n"/>
      <c r="AE3514" s="22" t="n"/>
    </row>
    <row r="3515" ht="126" customHeight="1" s="380">
      <c r="A3515" s="144" t="n">
        <v>129</v>
      </c>
      <c r="B3515" s="390" t="n"/>
      <c r="C3515" s="390" t="inlineStr">
        <is>
          <t>Báo cáo tài chính quý, soát xét bán niên, kiểm toán năm - Chi nhánh công ty chứng khoán nước ngoài tại Việt Nam &gt;&gt; Phần lưu chuyển tiền tệ hoạt động môi giới, ủy thác của khách hàng_06614</t>
        </is>
      </c>
      <c r="D3515" s="106" t="inlineStr">
        <is>
          <t>Mã sheet</t>
        </is>
      </c>
      <c r="E3515" s="106" t="inlineStr">
        <is>
          <t>Mã sheet</t>
        </is>
      </c>
      <c r="F3515" s="390" t="inlineStr">
        <is>
          <t>Data Explorer</t>
        </is>
      </c>
      <c r="G3515" s="390" t="inlineStr">
        <is>
          <t>Chiều</t>
        </is>
      </c>
      <c r="H3515" s="390" t="inlineStr">
        <is>
          <t>Dễ</t>
        </is>
      </c>
      <c r="I3515" s="390" t="inlineStr">
        <is>
          <t>Ngày, CTCK</t>
        </is>
      </c>
      <c r="J3515" s="401" t="inlineStr">
        <is>
          <t>SCMS</t>
        </is>
      </c>
      <c r="K3515" s="401" t="inlineStr">
        <is>
          <t>X</t>
        </is>
      </c>
      <c r="L3515" s="401" t="inlineStr">
        <is>
          <t>X</t>
        </is>
      </c>
      <c r="M3515" s="401" t="n"/>
      <c r="N3515" s="401" t="inlineStr">
        <is>
          <t>Done</t>
        </is>
      </c>
      <c r="O3515" s="401" t="n"/>
      <c r="P3515" s="401" t="n"/>
      <c r="Q3515" s="401" t="inlineStr">
        <is>
          <t>SCMS.BM_BAO_CAO
SCMS.BM_SHEET</t>
        </is>
      </c>
      <c r="R3515" s="401" t="inlineStr">
        <is>
          <t>bm.ID,
bm.MA_BAO_CAO,
bm.SU_DUNG,
s.BM_BAO_CAO_ID,
s.MA_SHEET,
s.TEN_SHEET,
s.SAP_XEP</t>
        </is>
      </c>
      <c r="S3515" s="401" t="n"/>
      <c r="T3515" s="390" t="inlineStr">
        <is>
          <t>-- Mã sheet / Tên sheet
-- TEN_SHEET: PLCTTHDMGUTCKHGT
SELECT bm.MA_BAO_CAO,
s.MA_SHEET,
s.TEN_SHEET
FROM SCMS.BM_BAO_CAO bm
JOIN SCMS.BM_SHEET s ON s.BM_BAO_CAO_ID = bm.ID
WHERE bm.MA_BAO_CAO LIKE 'BCTCRLCTCK'
AND s.TEN_SHEET = 'PLCTTHDMGUTCKHGT'  -- Check lại
AND bm.SU_DUNG = 1
ORDER BY bm.MA_BAO_CAO, s.SAP_XEP;</t>
        </is>
      </c>
      <c r="U3515" s="401" t="n"/>
      <c r="V3515" s="22" t="n"/>
      <c r="W3515" s="22" t="n"/>
      <c r="X3515" s="22" t="n"/>
      <c r="Y3515" s="13" t="n"/>
      <c r="Z3515" s="22" t="n"/>
      <c r="AA3515" s="22" t="n"/>
      <c r="AB3515" s="22" t="n"/>
      <c r="AC3515" s="22" t="n"/>
      <c r="AD3515" s="22" t="n"/>
      <c r="AE3515" s="22" t="n"/>
    </row>
    <row r="3516" ht="126" customHeight="1" s="380">
      <c r="A3516" s="144" t="n">
        <v>129</v>
      </c>
      <c r="B3516" s="390" t="n"/>
      <c r="C3516" s="390" t="inlineStr">
        <is>
          <t>Báo cáo tài chính quý, soát xét bán niên, kiểm toán năm - Chi nhánh công ty chứng khoán nước ngoài tại Việt Nam &gt;&gt; Phần lưu chuyển tiền tệ hoạt động môi giới, ủy thác của khách hàng_06614</t>
        </is>
      </c>
      <c r="D3516" s="106" t="inlineStr">
        <is>
          <t>Tên sheet</t>
        </is>
      </c>
      <c r="E3516" s="106" t="inlineStr">
        <is>
          <t>Tên sheet</t>
        </is>
      </c>
      <c r="F3516" s="390" t="inlineStr">
        <is>
          <t>Data Explorer</t>
        </is>
      </c>
      <c r="G3516" s="390" t="inlineStr">
        <is>
          <t>Chiều</t>
        </is>
      </c>
      <c r="H3516" s="390" t="inlineStr">
        <is>
          <t>Dễ</t>
        </is>
      </c>
      <c r="I3516" s="390" t="inlineStr">
        <is>
          <t>Ngày, CTCK</t>
        </is>
      </c>
      <c r="J3516" s="401" t="inlineStr">
        <is>
          <t>SCMS</t>
        </is>
      </c>
      <c r="K3516" s="401" t="inlineStr">
        <is>
          <t>X</t>
        </is>
      </c>
      <c r="L3516" s="401" t="inlineStr">
        <is>
          <t>X</t>
        </is>
      </c>
      <c r="M3516" s="401" t="n"/>
      <c r="N3516" s="401" t="inlineStr">
        <is>
          <t>Done</t>
        </is>
      </c>
      <c r="O3516" s="401" t="n"/>
      <c r="P3516" s="401" t="n"/>
      <c r="S3516" s="401" t="n"/>
      <c r="U3516" s="401" t="n"/>
      <c r="V3516" s="22" t="n"/>
      <c r="W3516" s="22" t="n"/>
      <c r="X3516" s="22" t="n"/>
      <c r="Y3516" s="13" t="n"/>
      <c r="Z3516" s="22" t="n"/>
      <c r="AA3516" s="22" t="n"/>
      <c r="AB3516" s="22" t="n"/>
      <c r="AC3516" s="22" t="n"/>
      <c r="AD3516" s="22" t="n"/>
      <c r="AE3516" s="22" t="n"/>
    </row>
    <row r="3517" ht="126" customHeight="1" s="380">
      <c r="A3517" s="144" t="n">
        <v>129</v>
      </c>
      <c r="B3517" s="390" t="n"/>
      <c r="C3517" s="390" t="inlineStr">
        <is>
          <t>Báo cáo tài chính quý, soát xét bán niên, kiểm toán năm - Chi nhánh công ty chứng khoán nước ngoài tại Việt Nam &gt;&gt; Phần lưu chuyển tiền tệ hoạt động môi giới, ủy thác của khách hàng_06614</t>
        </is>
      </c>
      <c r="D3517" s="106" t="inlineStr">
        <is>
          <t>Mã chỉ tiêu</t>
        </is>
      </c>
      <c r="E3517" s="107" t="inlineStr">
        <is>
          <t>Mã chỉ tiêu</t>
        </is>
      </c>
      <c r="F3517" s="390" t="inlineStr">
        <is>
          <t>Data Explorer</t>
        </is>
      </c>
      <c r="G3517" s="390" t="inlineStr">
        <is>
          <t>Chiều</t>
        </is>
      </c>
      <c r="H3517" s="390" t="inlineStr">
        <is>
          <t>Dễ</t>
        </is>
      </c>
      <c r="I3517" s="390" t="inlineStr">
        <is>
          <t>Ngày, CTCK</t>
        </is>
      </c>
      <c r="J3517" s="401" t="inlineStr">
        <is>
          <t>SCMS</t>
        </is>
      </c>
      <c r="K3517" s="401" t="inlineStr">
        <is>
          <t>X</t>
        </is>
      </c>
      <c r="L3517" s="401" t="inlineStr">
        <is>
          <t>X</t>
        </is>
      </c>
      <c r="M3517" s="401" t="n"/>
      <c r="N3517" s="401" t="inlineStr">
        <is>
          <t>Done</t>
        </is>
      </c>
      <c r="O3517" s="401" t="n"/>
      <c r="P3517" s="401" t="n"/>
      <c r="Q3517" s="401" t="inlineStr">
        <is>
          <t>SCMS.BM_BAO_CAO
SCMS.BM_SHEET
SCMS.BM_BAO_CAO_CT
SCMS.DM_CHI_TIEU</t>
        </is>
      </c>
      <c r="R3517" s="401" t="inlineStr">
        <is>
          <t>dct.ID,
dct.MA_CHI_TIEU,
dct.TEN_CHI_TIEU,
dct.SU_DUNG,
s.BM_BAO_CAO_ID,
s.MA_SHEET,
ct.BM_BAO_CAO_ID,
ct.DM_CHI_TIEU_ID,
ct.SU_DUNG,
bm.ID,
bm.MA_BAO_CAO,
bm.SU_DUNG</t>
        </is>
      </c>
      <c r="S3517" s="401" t="n"/>
      <c r="T3517" s="389" t="inlineStr">
        <is>
          <t>-- Mã chỉ tiêu / Tên chỉ tiêu
SELECT DISTINCT
    dct.MA_CHI_TIEU  AS ma_chi_tieu,
    dct.TEN_CHI_TIEU AS ten_chi_tieu
FROM SCMS.BM_BAO_CAO bm
JOIN SCMS.BM_SHEET s ON s.BM_BAO_CAO_ID = bm.ID
	AND s.TEN_SHEET = 'PLCTTHDMGUTCKHGT'
JOIN SCMS.BM_BAO_CAO_CT ct ON ct.BM_SHEET_ID = s.ID
	AND ct.SU_DUNG = 1
JOIN SCMS.DM_CHI_TIEU dct ON dct.ID = ct.DM_CHI_TIEU_ID
	AND dct.SU_DUNG = 1
WHERE bm.MA_BAO_CAO LIKE 'BCTCRLCTCK'
	AND bm.SU_DUNG = 1
ORDER BY dct.MA_CHI_TIEU;</t>
        </is>
      </c>
      <c r="U3517" s="401" t="n"/>
      <c r="V3517" s="22" t="n"/>
      <c r="W3517" s="22" t="n"/>
      <c r="X3517" s="22" t="n"/>
      <c r="Y3517" s="13" t="n"/>
      <c r="Z3517" s="22" t="n"/>
      <c r="AA3517" s="22" t="n"/>
      <c r="AB3517" s="22" t="n"/>
      <c r="AC3517" s="22" t="n"/>
      <c r="AD3517" s="22" t="n"/>
      <c r="AE3517" s="22" t="n"/>
    </row>
    <row r="3518" ht="126" customHeight="1" s="380">
      <c r="A3518" s="144" t="n">
        <v>129</v>
      </c>
      <c r="B3518" s="390" t="n"/>
      <c r="C3518" s="390" t="inlineStr">
        <is>
          <t>Báo cáo tài chính quý, soát xét bán niên, kiểm toán năm - Chi nhánh công ty chứng khoán nước ngoài tại Việt Nam &gt;&gt; Phần lưu chuyển tiền tệ hoạt động môi giới, ủy thác của khách hàng_06614</t>
        </is>
      </c>
      <c r="D3518" s="106" t="inlineStr">
        <is>
          <t>Tên chỉ tiêu</t>
        </is>
      </c>
      <c r="E3518" s="107" t="inlineStr">
        <is>
          <t>Tên chỉ tiêu</t>
        </is>
      </c>
      <c r="F3518" s="390" t="inlineStr">
        <is>
          <t>Data Explorer</t>
        </is>
      </c>
      <c r="G3518" s="390" t="inlineStr">
        <is>
          <t>Chiều</t>
        </is>
      </c>
      <c r="H3518" s="390" t="inlineStr">
        <is>
          <t>Dễ</t>
        </is>
      </c>
      <c r="I3518" s="390" t="inlineStr">
        <is>
          <t>Ngày, CTCK</t>
        </is>
      </c>
      <c r="J3518" s="401" t="inlineStr">
        <is>
          <t>SCMS</t>
        </is>
      </c>
      <c r="K3518" s="401" t="inlineStr">
        <is>
          <t>X</t>
        </is>
      </c>
      <c r="L3518" s="401" t="inlineStr">
        <is>
          <t>X</t>
        </is>
      </c>
      <c r="M3518" s="401" t="n"/>
      <c r="N3518" s="401" t="inlineStr">
        <is>
          <t>Done</t>
        </is>
      </c>
      <c r="O3518" s="401" t="n"/>
      <c r="P3518" s="401" t="n"/>
      <c r="S3518" s="401" t="n"/>
      <c r="U3518" s="401" t="n"/>
      <c r="V3518" s="22" t="n"/>
      <c r="W3518" s="22" t="n"/>
      <c r="X3518" s="22" t="n"/>
      <c r="Y3518" s="13" t="n"/>
      <c r="Z3518" s="22" t="n"/>
      <c r="AA3518" s="22" t="n"/>
      <c r="AB3518" s="22" t="n"/>
      <c r="AC3518" s="22" t="n"/>
      <c r="AD3518" s="22" t="n"/>
      <c r="AE3518" s="22" t="n"/>
    </row>
    <row r="3519" ht="126" customHeight="1" s="380">
      <c r="A3519" s="144" t="n">
        <v>129</v>
      </c>
      <c r="B3519" s="390" t="n"/>
      <c r="C3519" s="390" t="inlineStr">
        <is>
          <t>Báo cáo tài chính quý, soát xét bán niên, kiểm toán năm - Chi nhánh công ty chứng khoán nước ngoài tại Việt Nam &gt;&gt; Phần lưu chuyển tiền tệ hoạt động môi giới, ủy thác của khách hàng_06614</t>
        </is>
      </c>
      <c r="D3519" s="132" t="inlineStr">
        <is>
          <t>I, Lưu chuyển tiền hoạt động môi giới, ủy thác của khách hàng</t>
        </is>
      </c>
      <c r="E3519" s="401" t="n"/>
      <c r="F3519" s="390" t="inlineStr">
        <is>
          <t>Data Explorer</t>
        </is>
      </c>
      <c r="G3519" s="390" t="inlineStr">
        <is>
          <t>Chỉ tiêu cơ sở</t>
        </is>
      </c>
      <c r="H3519" s="390" t="inlineStr">
        <is>
          <t>Dễ</t>
        </is>
      </c>
      <c r="I3519" s="390" t="inlineStr">
        <is>
          <t>Ngày, CTCK</t>
        </is>
      </c>
      <c r="J3519" s="401" t="inlineStr">
        <is>
          <t>SCMS</t>
        </is>
      </c>
      <c r="K3519" s="401" t="n"/>
      <c r="L3519" s="401" t="inlineStr">
        <is>
          <t>X</t>
        </is>
      </c>
      <c r="M3519" s="401" t="n"/>
      <c r="N3519" s="401" t="inlineStr">
        <is>
          <t>Done</t>
        </is>
      </c>
      <c r="O3519" s="401" t="n"/>
      <c r="P3519" s="401" t="n"/>
      <c r="Q3519" s="431" t="inlineStr">
        <is>
          <t>SCMS.BC_THANH_VIEN
SCMS.BM_BAO_CAO
SCMS.BC_BAO_CAO_GT
SCMS.BM_BAO_CAO_HANG
SCMS.BM_BAO_CAO_COT</t>
        </is>
      </c>
      <c r="R3519" s="431" t="inlineStr">
        <is>
          <t>bsc.TEN_COT,
bsc.BM_SHEET_ID,
bsh.ID,
bsh.MA_HANG,
gt.GIA_TRI,
gt.BC_THANH_VIEN_ID,
gt.BM_SHEET_HANG_ID,
bm.ID,
bm.MA_BAO_CAO,
btv.ID,
btv.BM_BAO_CAO_ID,
btv.TRANG_THAI,
btv.NGAY_SO_LIEU</t>
        </is>
      </c>
      <c r="S3519" s="401" t="n"/>
      <c r="T3519" s="432" t="inlineStr">
        <is>
          <t>-- CHỈ TIÊU
SELECT
        -- Thuyết minh
    MAX(CASE WHEN bsc.TEN_COT=N'Thuyết minh' AND bsh.MA_HANG = '4' THEN CAST(gt.GIA_TRI AS VARCHAR2(4000)) END) AS "I, Lưu chuyển tiền hoạt động môi giới, ủy thác của khách hàng",
        MAX(CASE WHEN bsc.TEN_COT=N'Thuyết minh' AND bsh.MA_HANG = '5' THEN CAST(gt.GIA_TRI AS VARCHAR2(4000)) END) AS "1. Tiền thu bán chứng khoán môi giới cho khách hàng",
        MAX(CASE WHEN bsc.TEN_COT=N'Thuyết minh' AND bsh.MA_HANG = '6' THEN CAST(gt.GIA_TRI AS VARCHAR2(4000)) END) AS "2. Tiền chi mua chứng khoán môi giới cho khách hàng",
        MAX(CASE WHEN bsc.TEN_COT=N'Thuyết minh' AND bsh.MA_HANG = '7' THEN CAST(gt.GIA_TRI AS VARCHAR2(4000)) END) AS "3. Tiền thu bán chứng khoán ủy thác của khách hàng",
        MAX(CASE WHEN bsc.TEN_COT=N'Thuyết minh' AND bsh.MA_HANG = '8' THEN CAST(gt.GIA_TRI AS VARCHAR2(4000)) END) AS "4. Tiền chi bán chứng khoán ủy thác của khách hàng",
        MAX(CASE WHEN bsc.TEN_COT=N'Thuyết minh' AND bsh.MA_HANG = '9' THEN CAST(gt.GIA_TRI AS VARCHAR2(4000)) END) AS "5. Thu vay Quỹ Hỗ trợ thanh toán",
        MAX(CASE WHEN bsc.TEN_COT=N'Thuyết minh' AND bsh.MA_HANG = '10' THEN CAST(gt.GIA_TRI AS VARCHAR2(4000)) END) AS "6. Chi trả vay Quỹ Hỗ trợ thanh toán",
        MAX(CASE WHEN bsc.TEN_COT=N'Thuyết minh' AND bsh.MA_HANG = '11' THEN CAST(gt.GIA_TRI AS VARCHAR2(4000)) END) AS "7. Nhận tiền gửi để thanh toán giao dịch chứng khoán của khách hàng",
        MAX(CASE WHEN bsc.TEN_COT=N'Thuyết minh' AND bsh.MA_HANG = '12' THEN CAST(gt.GIA_TRI AS VARCHAR2(4000)) END) AS "7.1 Tiền gửi ký quỹ của nhà đầu tư tại VSD",
        MAX(CASE WHEN bsc.TEN_COT=N'Thuyết minh' AND bsh.MA_HANG = '13' THEN CAST(gt.GIA_TRI AS VARCHAR2(4000)) END) AS "8. Chi trả thanh toán giao dịch chứng khoán của khách hàng",
        MAX(CASE WHEN bsc.TEN_COT=N'Thuyết minh' AND bsh.MA_HANG = '14' THEN CAST(gt.GIA_TRI AS VARCHAR2(4000)) END) AS "9. Nhận tiền gửi của Nhà đầu tư cho hoạt động ủy thác đầu tư của khách hàng",
        MAX(CASE WHEN bsc.TEN_COT=N'Thuyết minh' AND bsh.MA_HANG = '15' THEN CAST(gt.GIA_TRI AS VARCHAR2(4000)) END) AS "10. Chi trả cho hoạt động ủy thác đầu tư của khách hàng",
        MAX(CASE WHEN bsc.TEN_COT=N'Thuyết minh' AND bsh.MA_HANG = '16' THEN CAST(gt.GIA_TRI AS VARCHAR2(4000)) END) AS "11. Chi trả phí lưu ký chứng khoán của khách hàng",
        MAX(CASE WHEN bsc.TEN_COT=N'Thuyết minh' AND bsh.MA_HANG = '17' THEN CAST(gt.GIA_TRI AS VARCHAR2(4000)) END) AS "12. Thu lỗi giao dịch chứng khoán",
        MAX(CASE WHEN bsc.TEN_COT=N'Thuyết minh' AND bsh.MA_HANG = '18' THEN CAST(gt.GIA_TRI AS VARCHAR2(4000)) END) AS "13.Chi lỗi giao dịch chứng khoán",
        MAX(CASE WHEN bsc.TEN_COT=N'Thuyết minh' AND bsh.MA_HANG = '19' THEN CAST(gt.GIA_TRI AS VARCHAR2(4000)) END) AS "14. Tiền thu của Tổ chức phát hành chứng khoán",
        MAX(CASE WHEN bsc.TEN_COT=N'Thuyết minh' AND bsh.MA_HANG = '20' THEN CAST(gt.GIA_TRI AS VARCHAR2(4000)) END) AS "15. Tiền chi trả Tổ chức phát hành chứng khoán",
        MAX(CASE WHEN bsc.TEN_COT=N'Thuyết minh' AND bsh.MA_HANG = '21' THEN CAST(gt.GIA_TRI AS VARCHAR2(4000)) END) AS "Tăng/giảm tiền thuần trong kỳ",
        MAX(CASE WHEN bsc.TEN_COT=N'Thuyết minh' AND bsh.MA_HANG = '22' THEN CAST(gt.GIA_TRI AS VARCHAR2(4000)) END) AS "II, Tiền và các khoản tương đương tiền đầu kỳ của khách hàng",
        MAX(CASE WHEN bsc.TEN_COT=N'Thuyết minh' AND bsh.MA_HANG = '23' THEN CAST(gt.GIA_TRI AS VARCHAR2(4000)) END) AS "Tiền gửi ngân hàng đầu kỳ",
        MAX(CASE WHEN bsc.TEN_COT=N'Thuyết minh' AND bsh.MA_HANG = '24' THEN CAST(gt.GIA_TRI AS VARCHAR2(4000)) END) AS "Tiền gửi của Nhà đầu tư về giao dịch chứng khoán theo phương thức CTCK quản lý",
        MAX(CASE WHEN bsc.TEN_COT=N'Thuyết minh' AND bsh.MA_HANG = '25' THEN CAST(gt.GIA_TRI AS VARCHAR2(4000)) END) AS "Trong đó có kỳ hạn",
        MAX(CASE WHEN bsc.TEN_COT=N'Thuyết minh' AND bsh.MA_HANG = '26' THEN CAST(gt.GIA_TRI AS VARCHAR2(4000)) END) AS "Tiền gửi tổng hợp giao dịch chứng khoán cho khách hàng",
        MAX(CASE WHEN bsc.TEN_COT=N'Thuyết minh' AND bsh.MA_HANG = '27' THEN CAST(gt.GIA_TRI AS VARCHAR2(4000)) END) AS "Tiền gửi bù trừ và thanh toán giao dịch chứng khoán",
        MAX(CASE WHEN bsc.TEN_COT=N'Thuyết minh' AND bsh.MA_HANG = '28' THEN CAST(gt.GIA_TRI AS VARCHAR2(4000)) END) AS "Tiền gửi của Tổ chức phát hành",
        MAX(CASE WHEN bsc.TEN_COT=N'Thuyết minh' AND bsh.MA_HANG = '29' THEN CAST(gt.GIA_TRI AS VARCHAR2(4000)) END) AS "Trong đó có kỳ hạn",
        MAX(CASE WHEN bsc.TEN_COT=N'Thuyết minh' AND bsh.MA_HANG = '30' THEN CAST(gt.GIA_TRI AS VARCHAR2(4000)) END) AS "Các khoản tương đương tiền",
        MAX(CASE WHEN bsc.TEN_COT=N'Thuyết minh' AND bsh.MA_HANG = '31' THEN CAST(gt.GIA_TRI AS VARCHAR2(4000)) END) AS "Ảnh hưởng của thay đổi tỷ giá hối đoái quy đổi ngoại tệ",
        MAX(CASE WHEN bsc.TEN_COT=N'Thuyết minh' AND bsh.MA_HANG = '32' THEN CAST(gt.GIA_TRI AS VARCHAR2(4000)) END) AS "III, Tiền và các khoản tương đương tiền cuối kỳ của khách hàng",
        MAX(CASE WHEN bsc.TEN_COT=N'Thuyết minh' AND bsh.MA_HANG = '33' THEN CAST(gt.GIA_TRI AS VARCHAR2(4000)) END) AS "Tiền gửi ngân hàng cuối kỳ",
        MAX(CASE WHEN bsc.TEN_COT=N'Thuyết minh' AND bsh.MA_HANG = '34' THEN CAST(gt.GIA_TRI AS VARCHAR2(4000)) END) AS "Tiền gửi của Nhà đầu tư về giao dịch chứng khoán theo phương thức CTCK quản lý",
        MAX(CASE WHEN bsc.TEN_COT=N'Thuyết minh' AND bsh.MA_HANG = '35' THEN CAST(gt.GIA_TRI AS VARCHAR2(4000)) END) AS "Trong đó có kỳ hạn",
        MAX(CASE WHEN bsc.TEN_COT=N'Thuyết minh' AND bsh.MA_HANG = '36' THEN CAST(gt.GIA_TRI AS VARCHAR2(4000)) END) AS "Tiền gửi tổng hợp giao dịch chứng khoán cho khách hàng",
        MAX(CASE WHEN bsc.TEN_COT=N'Thuyết minh' AND bsh.MA_HANG = '37' THEN CAST(gt.GIA_TRI AS VARCHAR2(4000)) END) AS "Tiền gửi bù trừ và thanh toán giao dịch chứng khoán",
        MAX(CASE WHEN bsc.TEN_COT=N'Thuyết minh' AND bsh.MA_HANG = '38' THEN CAST(gt.GIA_TRI AS VARCHAR2(4000)) END) AS "Tiền gửi của Tổ chức phát hành",
        MAX(CASE WHEN bsc.TEN_COT=N'Thuyết minh' AND bsh.MA_HANG = '39' THEN CAST(gt.GIA_TRI AS VARCHAR2(4000)) END) AS "Trong đó có kỳ hạn",
        MAX(CASE WHEN bsc.TEN_COT=N'Thuyết minh' AND bsh.MA_HANG = '40' THEN CAST(gt.GIA_TRI AS VARCHAR2(4000)) END) AS "Các khoản tương đương tiền",
        MAX(CASE WHEN bsc.TEN_COT=N'Thuyết minh' AND bsh.MA_HANG = '41' THEN CAST(gt.GIA_TRI AS VARCHAR2(4000)) END) AS "Ảnh hưởng của thay đổi tỷ giá hối đoái quy đổi ngoại tệ",            
    -- Năm nay
        MAX(CASE WHEN bsc.TEN_COT=N'Năm nay' AND bsh.MA_HANG = '4' THEN CAST(gt.GIA_TRI AS VARCHAR2(4000)) END) AS "I, Lưu chuyển tiền hoạt động môi giới, ủy thác của khách hàng",
        MAX(CASE WHEN bsc.TEN_COT=N'Năm nay' AND bsh.MA_HANG = '5' THEN CAST(gt.GIA_TRI AS VARCHAR2(4000)) END) AS "1. Tiền thu bán chứng khoán môi giới cho khách hàng",
        MAX(CASE WHEN bsc.TEN_COT=N'Năm nay' AND bsh.MA_HANG = '6' THEN CAST(gt.GIA_TRI AS VARCHAR2(4000)) END) AS "2. Tiền chi mua chứng khoán môi giới cho khách hàng",
        MAX(CASE WHEN bsc.TEN_COT=N'Năm nay' AND bsh.MA_HANG = '7' THEN CAST(gt.GIA_TRI AS VARCHAR2(4000)) END) AS "3. Tiền thu bán chứng khoán ủy thác của khách hàng",
        MAX(CASE WHEN bsc.TEN_COT=N'Năm nay' AND bsh.MA_HANG = '8' THEN CAST(gt.GIA_TRI AS VARCHAR2(4000)) END) AS "4. Tiền chi bán chứng khoán ủy thác của khách hàng",
        MAX(CASE WHEN bsc.TEN_COT=N'Năm nay' AND bsh.MA_HANG = '9' THEN CAST(gt.GIA_TRI AS VARCHAR2(4000)) END) AS "5. Thu vay Quỹ Hỗ trợ thanh toán",
        MAX(CASE WHEN bsc.TEN_COT=N'Năm nay' AND bsh.MA_HANG = '10' THEN CAST(gt.GIA_TRI AS VARCHAR2(4000)) END) AS "6. Chi trả vay Quỹ Hỗ trợ thanh toán",
        MAX(CASE WHEN bsc.TEN_COT=N'Năm nay' AND bsh.MA_HANG = '11' THEN CAST(gt.GIA_TRI AS VARCHAR2(4000)) END) AS "7. Nhận tiền gửi để thanh toán giao dịch chứng khoán của khách hàng",
        MAX(CASE WHEN bsc.TEN_COT=N'Năm nay' AND bsh.MA_HANG = '12' THEN CAST(gt.GIA_TRI AS VARCHAR2(4000)) END) AS "7.1 Tiền gửi ký quỹ của nhà đầu tư tại VSD",
        MAX(CASE WHEN bsc.TEN_COT=N'Năm nay' AND bsh.MA_HANG = '13' THEN CAST(gt.GIA_TRI AS VARCHAR2(4000)) END) AS "8. Chi trả thanh toán giao dịch chứng khoán của khách hàng",
        MAX(CASE WHEN bsc.TEN_COT=N'Năm nay' AND bsh.MA_HANG = '14' THEN CAST(gt.GIA_TRI AS VARCHAR2(4000)) END) AS "9. Nhận tiền gửi của Nhà đầu tư cho hoạt động ủy thác đầu tư của khách hàng",
        MAX(CASE WHEN bsc.TEN_COT=N'Năm nay' AND bsh.MA_HANG = '15' THEN CAST(gt.GIA_TRI AS VARCHAR2(4000)) END) AS "10. Chi trả cho hoạt động ủy thác đầu tư của khách hàng",
        MAX(CASE WHEN bsc.TEN_COT=N'Năm nay' AND bsh.MA_HANG = '16' THEN CAST(gt.GIA_TRI AS VARCHAR2(4000)) END) AS "11. Chi trả phí lưu ký chứng khoán của khách hàng",
        MAX(CASE WHEN bsc.TEN_COT=N'Năm nay' AND bsh.MA_HANG = '17' THEN CAST(gt.GIA_TRI AS VARCHAR2(4000)) END) AS "12. Thu lỗi giao dịch chứng khoán",
        MAX(CASE WHEN bsc.TEN_COT=N'Năm nay' AND bsh.MA_HANG = '18' THEN CAST(gt.GIA_TRI AS VARCHAR2(4000)) END) AS "13.Chi lỗi giao dịch chứng khoán",
        MAX(CASE WHEN bsc.TEN_COT=N'Năm nay' AND bsh.MA_HANG = '19' THEN CAST(gt.GIA_TRI AS VARCHAR2(4000)) END) AS "14. Tiền thu của Tổ chức phát hành chứng khoán",
        MAX(CASE WHEN bsc.TEN_COT=N'Năm nay' AND bsh.MA_HANG = '20' THEN CAST(gt.GIA_TRI AS VARCHAR2(4000)) END) AS "15. Tiền chi trả Tổ chức phát hành chứng khoán",
        MAX(CASE WHEN bsc.TEN_COT=N'Năm nay' AND bsh.MA_HANG = '21' THEN CAST(gt.GIA_TRI AS VARCHAR2(4000)) END) AS "Tăng/giảm tiền thuần trong kỳ",
        MAX(CASE WHEN bsc.TEN_COT=N'Năm nay' AND bsh.MA_HANG = '22' THEN CAST(gt.GIA_TRI AS VARCHAR2(4000)) END) AS "II, Tiền và các khoản tương đương tiền đầu kỳ của khách hàng",
        MAX(CASE WHEN bsc.TEN_COT=N'Năm nay' AND bsh.MA_HANG = '23' THEN CAST(gt.GIA_TRI AS VARCHAR2(4000)) END) AS "Tiền gửi ngân hàng đầu kỳ",
        MAX(CASE WHEN bsc.TEN_COT=N'Năm nay' AND bsh.MA_HANG = '24' THEN CAST(gt.GIA_TRI AS VARCHAR2(4000)) END) AS "Tiền gửi của Nhà đầu tư về giao dịch chứng khoán theo phương thức CTCK quản lý",
        MAX(CASE WHEN bsc.TEN_COT=N'Năm nay' AND bsh.MA_HANG = '25' THEN CAST(gt.GIA_TRI AS VARCHAR2(4000)) END) AS "Trong đó có kỳ hạn",
        MAX(CASE WHEN bsc.TEN_COT=N'Năm nay' AND bsh.MA_HANG = '26' THEN CAST(gt.GIA_TRI AS VARCHAR2(4000)) END) AS "Tiền gửi tổng hợp giao dịch chứng khoán cho khách hàng",
        MAX(CASE WHEN bsc.TEN_COT=N'Năm nay' AND bsh.MA_HANG = '27' THEN CAST(gt.GIA_TRI AS VARCHAR2(4000)) END) AS "Tiền gửi bù trừ và thanh toán giao dịch chứng khoán",
        MAX(CASE WHEN bsc.TEN_COT=N'Năm nay' AND bsh.MA_HANG = '28' THEN CAST(gt.GIA_TRI AS VARCHAR2(4000)) END) AS "Tiền gửi của Tổ chức phát hành",
        MAX(CASE WHEN bsc.TEN_COT=N'Năm nay' AND bsh.MA_HANG = '29' THEN CAST(gt.GIA_TRI AS VARCHAR2(4000)) END) AS "Trong đó có kỳ hạn",
        MAX(CASE WHEN bsc.TEN_COT=N'Năm nay' AND bsh.MA_HANG = '30' THEN CAST(gt.GIA_TRI AS VARCHAR2(4000)) END) AS "Các khoản tương đương tiền",
        MAX(CASE WHEN bsc.TEN_COT=N'Năm nay' AND bsh.MA_HANG = '31' THEN CAST(gt.GIA_TRI AS VARCHAR2(4000)) END) AS "Ảnh hưởng của thay đổi tỷ giá hối đoái quy đổi ngoại tệ",
        MAX(CASE WHEN bsc.TEN_COT=N'Năm nay' AND bsh.MA_HANG = '32' THEN CAST(gt.GIA_TRI AS VARCHAR2(4000)) END) AS "III, Tiền và các khoản tương đương tiền cuối kỳ của khách hàng",
        MAX(CASE WHEN bsc.TEN_COT=N'Năm nay' AND bsh.MA_HANG = '33' THEN CAST(gt.GIA_TRI AS VARCHAR2(4000)) END) AS "Tiền gửi ngân hàng cuối kỳ",
        MAX(CASE WHEN bsc.TEN_COT=N'Năm nay' AND bsh.MA_HANG = '34' THEN CAST(gt.GIA_TRI AS VARCHAR2(4000)) END) AS "Tiền gửi của Nhà đầu tư về giao dịch chứng khoán theo phương thức CTCK quản lý",
        MAX(CASE WHEN bsc.TEN_COT=N'Năm nay' AND bsh.MA_HANG = '35' THEN CAST(gt.GIA_TRI AS VARCHAR2(4000)) END) AS "Trong đó có kỳ hạn",
        MAX(CASE WHEN bsc.TEN_COT=N'Năm nay' AND bsh.MA_HANG = '36' THEN CAST(gt.GIA_TRI AS VARCHAR2(4000)) END) AS "Tiền gửi tổng hợp giao dịch chứng khoán cho khách hàng",
        MAX(CASE WHEN bsc.TEN_COT=N'Năm nay' AND bsh.MA_HANG = '37' THEN CAST(gt.GIA_TRI AS VARCHAR2(4000)) END) AS "Tiền gửi bù trừ và thanh toán giao dịch chứng khoán",
        MAX(CASE WHEN bsc.TEN_COT=N'Năm nay' AND bsh.MA_HANG = '38' THEN CAST(gt.GIA_TRI AS VARCHAR2(4000)) END) AS "Tiền gửi của Tổ chức phát hành",
        MAX(CASE WHEN bsc.TEN_COT=N'Năm nay' AND bsh.MA_HANG = '39' THEN CAST(gt.GIA_TRI AS VARCHAR2(4000)) END) AS "Trong đó có kỳ hạn",
        MAX(CASE WHEN bsc.TEN_COT=N'Năm nay' AND bsh.MA_HANG = '40' THEN CAST(gt.GIA_TRI AS VARCHAR2(4000)) END) AS "Các khoản tương đương tiền",
        MAX(CASE WHEN bsc.TEN_COT=N'Năm nay' AND bsh.MA_HANG = '41' THEN CAST(gt.GIA_TRI AS VARCHAR2(4000)) END) AS "Ảnh hưởng của thay đổi tỷ giá hối đoái quy đổi ngoại tệ",            
    -- Năm trước
        MAX(CASE WHEN bsc.TEN_COT=N'Năm trước' AND bsh.MA_HANG = '4' THEN CAST(gt.GIA_TRI AS VARCHAR2(4000)) END) AS "I, Lưu chuyển tiền hoạt động môi giới, ủy thác của khách hàng",
        MAX(CASE WHEN bsc.TEN_COT=N'Năm trước' AND bsh.MA_HANG = '5' THEN CAST(gt.GIA_TRI AS VARCHAR2(4000)) END) AS "1. Tiền thu bán chứng khoán môi giới cho khách hàng",
        MAX(CASE WHEN bsc.TEN_COT=N'Năm trước' AND bsh.MA_HANG = '6' THEN CAST(gt.GIA_TRI AS VARCHAR2(4000)) END) AS "2. Tiền chi mua chứng khoán môi giới cho khách hàng",
        MAX(CASE WHEN bsc.TEN_COT=N'Năm trước' AND bsh.MA_HANG = '7' THEN CAST(gt.GIA_TRI AS VARCHAR2(4000)) END) AS "3. Tiền thu bán chứng khoán ủy thác của khách hàng",
        MAX(CASE WHEN bsc.TEN_COT=N'Năm trước' AND bsh.MA_HANG = '8' THEN CAST(gt.GIA_TRI AS VARCHAR2(4000)) END) AS "4. Tiền chi bán chứng khoán ủy thác của khách hàng",
        MAX(CASE WHEN bsc.TEN_COT=N'Năm trước' AND bsh.MA_HANG = '9' THEN CAST(gt.GIA_TRI AS VARCHAR2(4000)) END) AS "5. Thu vay Quỹ Hỗ trợ thanh toán",
        MAX(CASE WHEN bsc.TEN_COT=N'Năm trước' AND bsh.MA_HANG = '10' THEN CAST(gt.GIA_TRI AS VARCHAR2(4000)) END) AS "6. Chi trả vay Quỹ Hỗ trợ thanh toán",
        MAX(CASE WHEN bsc.TEN_COT=N'Năm trước' AND bsh.MA_HANG = '11' THEN CAST(gt.GIA_TRI AS VARCHAR2(4000)) END) AS "7. Nhận tiền gửi để thanh toán giao dịch chứng khoán của khách hàng",
        MAX(CASE WHEN bsc.TEN_COT=N'Năm trước' AND bsh.MA_HANG = '12' THEN CAST(gt.GIA_TRI AS VARCHAR2(4000)) END) AS "7.1 Tiền gửi ký quỹ của nhà đầu tư tại VSD",
        MAX(CASE WHEN bsc.TEN_COT=N'Năm trước' AND bsh.MA_HANG = '13' THEN CAST(gt.GIA_TRI AS VARCHAR2(4000)) END) AS "8. Chi trả thanh toán giao dịch chứng khoán của khách hàng",
        MAX(CASE WHEN bsc.TEN_COT=N'Năm trước' AND bsh.MA_HANG = '14' THEN CAST(gt.GIA_TRI AS VARCHAR2(4000)) END) AS "9. Nhận tiền gửi của Nhà đầu tư cho hoạt động ủy thác đầu tư của khách hàng",
        MAX(CASE WHEN bsc.TEN_COT=N'Năm trước' AND bsh.MA_HANG = '15' THEN CAST(gt.GIA_TRI AS VARCHAR2(4000)) END) AS "10. Chi trả cho hoạt động ủy thác đầu tư của khách hàng",
        MAX(CASE WHEN bsc.TEN_COT=N'Năm trước' AND bsh.MA_HANG = '16' THEN CAST(gt.GIA_TRI AS VARCHAR2(4000)) END) AS "11. Chi trả phí lưu ký chứng khoán của khách hàng",
        MAX(CASE WHEN bsc.TEN_COT=N'Năm trước' AND bsh.MA_HANG = '17' THEN CAST(gt.GIA_TRI AS VARCHAR2(4000)) END) AS "12. Thu lỗi giao dịch chứng khoán",
        MAX(CASE WHEN bsc.TEN_COT=N'Năm trước' AND bsh.MA_HANG = '18' THEN CAST(gt.GIA_TRI AS VARCHAR2(4000)) END) AS "13.Chi lỗi giao dịch chứng khoán",
        MAX(CASE WHEN bsc.TEN_COT=N'Năm trước' AND bsh.MA_HANG = '19' THEN CAST(gt.GIA_TRI AS VARCHAR2(4000)) END) AS "14. Tiền thu của Tổ chức phát hành chứng khoán",
        MAX(CASE WHEN bsc.TEN_COT=N'Năm trước' AND bsh.MA_HANG = '20' THEN CAST(gt.GIA_TRI AS VARCHAR2(4000)) END) AS "15. Tiền chi trả Tổ chức phát hành chứng khoán",
        MAX(CASE WHEN bsc.TEN_COT=N'Năm trước' AND bsh.MA_HANG = '21' THEN CAST(gt.GIA_TRI AS VARCHAR2(4000)) END) AS "Tăng/giảm tiền thuần trong kỳ",
        MAX(CASE WHEN bsc.TEN_COT=N'Năm trước' AND bsh.MA_HANG = '22' THEN CAST(gt.GIA_TRI AS VARCHAR2(4000)) END) AS "II, Tiền và các khoản tương đương tiền đầu kỳ của khách hàng",
        MAX(CASE WHEN bsc.TEN_COT=N'Năm trước' AND bsh.MA_HANG = '23' THEN CAST(gt.GIA_TRI AS VARCHAR2(4000)) END) AS "Tiền gửi ngân hàng đầu kỳ",
        MAX(CASE WHEN bsc.TEN_COT=N'Năm trước' AND bsh.MA_HANG = '24' THEN CAST(gt.GIA_TRI AS VARCHAR2(4000)) END) AS "Tiền gửi của Nhà đầu tư về giao dịch chứng khoán theo phương thức CTCK quản lý",
        MAX(CASE WHEN bsc.TEN_COT=N'Năm trước' AND bsh.MA_HANG = '25' THEN CAST(gt.GIA_TRI AS VARCHAR2(4000)) END) AS "Trong đó có kỳ hạn",
        MAX(CASE WHEN bsc.TEN_COT=N'Năm trước' AND bsh.MA_HANG = '26' THEN CAST(gt.GIA_TRI AS VARCHAR2(4000)) END) AS "Tiền gửi tổng hợp giao dịch chứng khoán cho khách hàng",
        MAX(CASE WHEN bsc.TEN_COT=N'Năm trước' AND bsh.MA_HANG = '27' THEN CAST(gt.GIA_TRI AS VARCHAR2(4000)) END) AS "Tiền gửi bù trừ và thanh toán giao dịch chứng khoán",
        MAX(CASE WHEN bsc.TEN_COT=N'Năm trước' AND bsh.MA_HANG = '28' THEN CAST(gt.GIA_TRI AS VARCHAR2(4000)) END) AS "Tiền gửi của Tổ chức phát hành",
        MAX(CASE WHEN bsc.TEN_COT=N'Năm trước' AND bsh.MA_HANG = '29' THEN CAST(gt.GIA_TRI AS VARCHAR2(4000)) END) AS "Trong đó có kỳ hạn",
        MAX(CASE WHEN bsc.TEN_COT=N'Năm trước' AND bsh.MA_HANG = '30' THEN CAST(gt.GIA_TRI AS VARCHAR2(4000)) END) AS "Các khoản tương đương tiền",
        MAX(CASE WHEN bsc.TEN_COT=N'Năm trước' AND bsh.MA_HANG = '31' THEN CAST(gt.GIA_TRI AS VARCHAR2(4000)) END) AS "Ảnh hưởng của thay đổi tỷ giá hối đoái quy đổi ngoại tệ",
        MAX(CASE WHEN bsc.TEN_COT=N'Năm trước' AND bsh.MA_HANG = '32' THEN CAST(gt.GIA_TRI AS VARCHAR2(4000)) END) AS "III, Tiền và các khoản tương đương tiền cuối kỳ của khách hàng",
        MAX(CASE WHEN bsc.TEN_COT=N'Năm trước' AND bsh.MA_HANG = '33' THEN CAST(gt.GIA_TRI AS VARCHAR2(4000)) END) AS "Tiền gửi ngân hàng cuối kỳ",
        MAX(CASE WHEN bsc.TEN_COT=N'Năm trước' AND bsh.MA_HANG = '34' THEN CAST(gt.GIA_TRI AS VARCHAR2(4000)) END) AS "Tiền gửi của Nhà đầu tư về giao dịch chứng khoán theo phương thức CTCK quản lý",
        MAX(CASE WHEN bsc.TEN_COT=N'Năm trước' AND bsh.MA_HANG = '35' THEN CAST(gt.GIA_TRI AS VARCHAR2(4000)) END) AS "Trong đó có kỳ hạn",
        MAX(CASE WHEN bsc.TEN_COT=N'Năm trước' AND bsh.MA_HANG = '36' THEN CAST(gt.GIA_TRI AS VARCHAR2(4000)) END) AS "Tiền gửi tổng hợp giao dịch chứng khoán cho khách hàng",
        MAX(CASE WHEN bsc.TEN_COT=N'Năm trước' AND bsh.MA_HANG = '37' THEN CAST(gt.GIA_TRI AS VARCHAR2(4000)) END) AS "Tiền gửi bù trừ và thanh toán giao dịch chứng khoán",
        MAX(CASE WHEN bsc.TEN_COT=N'Năm trước' AND bsh.MA_HANG = '38' THEN CAST(gt.GIA_TRI AS VARCHAR2(4000)) END) AS "Tiền gửi của Tổ chức phát hành",
        MAX(CASE WHEN bsc.TEN_COT=N'Năm trước' AND bsh.MA_HANG = '39' THEN CAST(gt.GIA_TRI AS VARCHAR2(4000)) END) AS "Trong đó có kỳ hạn",
        MAX(CASE WHEN bsc.TEN_COT=N'Năm trước' AND bsh.MA_HANG = '40' THEN CAST(gt.GIA_TRI AS VARCHAR2(4000)) END) AS "Các khoản tương đương tiền",
        MAX(CASE WHEN bsc.TEN_COT=N'Năm trước' AND bsh.MA_HANG = '41' THEN CAST(gt.GIA_TRI AS VARCHAR2(4000)) END) AS "Ảnh hưởng của thay đổi tỷ giá hối đoái quy đổi ngoại tệ"
FROM SCMS.BC_THANH_VIEN btv
JOIN SCMS.BM_BAO_CAO bm ON bm.ID = btv.BM_BAO_CAO_ID
JOIN SCMS.BC_BAO_CAO_GT gt ON gt.BC_THANH_VIEN_ID = btv.ID
JOIN SCMS.BM_BAO_CAO_HANG bsh ON bsh.ID = gt.BM_SHEET_HANG_ID
JOIN SCMS.BM_BAO_CAO_COT bsc ON bsc.BM_SHEET_ID = 5888
--                               AND bsc.TEN_COT = gt.TEN_COT
WHERE bm.MA_BAO_CAO LIKE 'BCTCRLCTCK'
  AND btv.TRANG_THAI IN (2, 3)
GROUP BY btv.ID, btv.NGAY_SO_LIEU
ORDER BY btv.NGAY_SO_LIEU DESC;</t>
        </is>
      </c>
      <c r="U3519" s="401" t="n"/>
      <c r="V3519" s="22" t="n"/>
      <c r="W3519" s="22" t="n"/>
      <c r="X3519" s="22" t="n"/>
      <c r="Y3519" s="13" t="n"/>
      <c r="Z3519" s="22" t="n"/>
      <c r="AA3519" s="22" t="n"/>
      <c r="AB3519" s="22" t="n"/>
      <c r="AC3519" s="22" t="n"/>
      <c r="AD3519" s="22" t="n"/>
      <c r="AE3519" s="22" t="n"/>
    </row>
    <row r="3520" ht="126" customHeight="1" s="380">
      <c r="A3520" s="144" t="n">
        <v>129</v>
      </c>
      <c r="B3520" s="390" t="n"/>
      <c r="C3520" s="390" t="inlineStr">
        <is>
          <t>Báo cáo tài chính quý, soát xét bán niên, kiểm toán năm - Chi nhánh công ty chứng khoán nước ngoài tại Việt Nam &gt;&gt; Phần lưu chuyển tiền tệ hoạt động môi giới, ủy thác của khách hàng_06614</t>
        </is>
      </c>
      <c r="D3520" s="390" t="inlineStr">
        <is>
          <t>1. Tiền thu bán chứng khoán môi giới cho khách hàng</t>
        </is>
      </c>
      <c r="E3520" s="390" t="n">
        <v>1</v>
      </c>
      <c r="F3520" s="390" t="inlineStr">
        <is>
          <t>Data Explorer</t>
        </is>
      </c>
      <c r="G3520" s="390" t="inlineStr">
        <is>
          <t>Chỉ tiêu cơ sở</t>
        </is>
      </c>
      <c r="H3520" s="390" t="inlineStr">
        <is>
          <t>Dễ</t>
        </is>
      </c>
      <c r="I3520" s="390" t="inlineStr">
        <is>
          <t>Ngày, CTCK</t>
        </is>
      </c>
      <c r="J3520" s="401" t="inlineStr">
        <is>
          <t>SCMS</t>
        </is>
      </c>
      <c r="K3520" s="401" t="n"/>
      <c r="L3520" s="401" t="inlineStr">
        <is>
          <t>X</t>
        </is>
      </c>
      <c r="M3520" s="401" t="n"/>
      <c r="N3520" s="401" t="inlineStr">
        <is>
          <t>Done</t>
        </is>
      </c>
      <c r="O3520" s="401" t="n"/>
      <c r="P3520" s="401" t="n"/>
      <c r="S3520" s="401" t="n"/>
      <c r="U3520" s="401" t="n"/>
      <c r="V3520" s="22" t="n"/>
      <c r="W3520" s="22" t="n"/>
      <c r="X3520" s="22" t="n"/>
      <c r="Y3520" s="13" t="n"/>
      <c r="Z3520" s="22" t="n"/>
      <c r="AA3520" s="22" t="n"/>
      <c r="AB3520" s="22" t="n"/>
      <c r="AC3520" s="22" t="n"/>
      <c r="AD3520" s="22" t="n"/>
      <c r="AE3520" s="22" t="n"/>
    </row>
    <row r="3521" ht="126" customHeight="1" s="380">
      <c r="A3521" s="144" t="n">
        <v>129</v>
      </c>
      <c r="B3521" s="390" t="n"/>
      <c r="C3521" s="390" t="inlineStr">
        <is>
          <t>Báo cáo tài chính quý, soát xét bán niên, kiểm toán năm - Chi nhánh công ty chứng khoán nước ngoài tại Việt Nam &gt;&gt; Phần lưu chuyển tiền tệ hoạt động môi giới, ủy thác của khách hàng_06614</t>
        </is>
      </c>
      <c r="D3521" s="390" t="inlineStr">
        <is>
          <t>2. Tiền chi mua chứng khoán môi giới cho khách hàng</t>
        </is>
      </c>
      <c r="E3521" s="390" t="n">
        <v>2</v>
      </c>
      <c r="F3521" s="390" t="inlineStr">
        <is>
          <t>Data Explorer</t>
        </is>
      </c>
      <c r="G3521" s="390" t="inlineStr">
        <is>
          <t>Chỉ tiêu cơ sở</t>
        </is>
      </c>
      <c r="H3521" s="390" t="inlineStr">
        <is>
          <t>Dễ</t>
        </is>
      </c>
      <c r="I3521" s="390" t="inlineStr">
        <is>
          <t>Ngày, CTCK</t>
        </is>
      </c>
      <c r="J3521" s="401" t="inlineStr">
        <is>
          <t>SCMS</t>
        </is>
      </c>
      <c r="K3521" s="401" t="n"/>
      <c r="L3521" s="401" t="inlineStr">
        <is>
          <t>X</t>
        </is>
      </c>
      <c r="M3521" s="401" t="n"/>
      <c r="N3521" s="401" t="inlineStr">
        <is>
          <t>Done</t>
        </is>
      </c>
      <c r="O3521" s="401" t="n"/>
      <c r="P3521" s="401" t="n"/>
      <c r="S3521" s="401" t="n"/>
      <c r="U3521" s="401" t="n"/>
      <c r="V3521" s="22" t="n"/>
      <c r="W3521" s="22" t="n"/>
      <c r="X3521" s="22" t="n"/>
      <c r="Y3521" s="13" t="n"/>
      <c r="Z3521" s="22" t="n"/>
      <c r="AA3521" s="22" t="n"/>
      <c r="AB3521" s="22" t="n"/>
      <c r="AC3521" s="22" t="n"/>
      <c r="AD3521" s="22" t="n"/>
      <c r="AE3521" s="22" t="n"/>
    </row>
    <row r="3522" ht="126" customHeight="1" s="380">
      <c r="A3522" s="144" t="n">
        <v>129</v>
      </c>
      <c r="B3522" s="390" t="n"/>
      <c r="C3522" s="390" t="inlineStr">
        <is>
          <t>Báo cáo tài chính quý, soát xét bán niên, kiểm toán năm - Chi nhánh công ty chứng khoán nước ngoài tại Việt Nam &gt;&gt; Phần lưu chuyển tiền tệ hoạt động môi giới, ủy thác của khách hàng_06614</t>
        </is>
      </c>
      <c r="D3522" s="390" t="inlineStr">
        <is>
          <t>3. Tiền thu bán chứng khoán ủy thác của khách hàng</t>
        </is>
      </c>
      <c r="E3522" s="390" t="n">
        <v>3</v>
      </c>
      <c r="F3522" s="390" t="inlineStr">
        <is>
          <t>Data Explorer</t>
        </is>
      </c>
      <c r="G3522" s="390" t="inlineStr">
        <is>
          <t>Chỉ tiêu cơ sở</t>
        </is>
      </c>
      <c r="H3522" s="390" t="inlineStr">
        <is>
          <t>Dễ</t>
        </is>
      </c>
      <c r="I3522" s="390" t="inlineStr">
        <is>
          <t>Ngày, CTCK</t>
        </is>
      </c>
      <c r="J3522" s="401" t="inlineStr">
        <is>
          <t>SCMS</t>
        </is>
      </c>
      <c r="K3522" s="401" t="n"/>
      <c r="L3522" s="401" t="inlineStr">
        <is>
          <t>X</t>
        </is>
      </c>
      <c r="M3522" s="401" t="n"/>
      <c r="N3522" s="401" t="inlineStr">
        <is>
          <t>Done</t>
        </is>
      </c>
      <c r="O3522" s="401" t="n"/>
      <c r="P3522" s="401" t="n"/>
      <c r="S3522" s="401" t="n"/>
      <c r="U3522" s="401" t="n"/>
      <c r="V3522" s="22" t="n"/>
      <c r="W3522" s="22" t="n"/>
      <c r="X3522" s="22" t="n"/>
      <c r="Y3522" s="38" t="n"/>
      <c r="Z3522" s="22" t="n"/>
      <c r="AA3522" s="22" t="n"/>
      <c r="AB3522" s="22" t="n"/>
      <c r="AC3522" s="22" t="n"/>
      <c r="AD3522" s="22" t="n"/>
      <c r="AE3522" s="22" t="n"/>
    </row>
    <row r="3523" ht="126" customHeight="1" s="380">
      <c r="A3523" s="144" t="n">
        <v>129</v>
      </c>
      <c r="B3523" s="390" t="n"/>
      <c r="C3523" s="390" t="inlineStr">
        <is>
          <t>Báo cáo tài chính quý, soát xét bán niên, kiểm toán năm - Chi nhánh công ty chứng khoán nước ngoài tại Việt Nam &gt;&gt; Phần lưu chuyển tiền tệ hoạt động môi giới, ủy thác của khách hàng_06614</t>
        </is>
      </c>
      <c r="D3523" s="390" t="inlineStr">
        <is>
          <t>4. Tiền chi bán chứng khoán ủy thác của khách hàng</t>
        </is>
      </c>
      <c r="E3523" s="390" t="n">
        <v>4</v>
      </c>
      <c r="F3523" s="390" t="inlineStr">
        <is>
          <t>Data Explorer</t>
        </is>
      </c>
      <c r="G3523" s="390" t="inlineStr">
        <is>
          <t>Chỉ tiêu cơ sở</t>
        </is>
      </c>
      <c r="H3523" s="390" t="inlineStr">
        <is>
          <t>Dễ</t>
        </is>
      </c>
      <c r="I3523" s="390" t="inlineStr">
        <is>
          <t>Ngày, CTCK</t>
        </is>
      </c>
      <c r="J3523" s="401" t="inlineStr">
        <is>
          <t>SCMS</t>
        </is>
      </c>
      <c r="K3523" s="401" t="n"/>
      <c r="L3523" s="401" t="inlineStr">
        <is>
          <t>X</t>
        </is>
      </c>
      <c r="M3523" s="401" t="n"/>
      <c r="N3523" s="401" t="inlineStr">
        <is>
          <t>Done</t>
        </is>
      </c>
      <c r="O3523" s="401" t="n"/>
      <c r="P3523" s="401" t="n"/>
      <c r="S3523" s="401" t="n"/>
      <c r="U3523" s="401" t="n"/>
      <c r="V3523" s="22" t="n"/>
      <c r="W3523" s="22" t="n"/>
      <c r="X3523" s="22" t="n"/>
      <c r="Y3523" s="13" t="n"/>
      <c r="Z3523" s="22" t="n"/>
      <c r="AA3523" s="22" t="n"/>
      <c r="AB3523" s="22" t="n"/>
      <c r="AC3523" s="22" t="n"/>
      <c r="AD3523" s="22" t="n"/>
      <c r="AE3523" s="22" t="n"/>
    </row>
    <row r="3524" ht="126" customHeight="1" s="380">
      <c r="A3524" s="144" t="n">
        <v>129</v>
      </c>
      <c r="B3524" s="390" t="n"/>
      <c r="C3524" s="390" t="inlineStr">
        <is>
          <t>Báo cáo tài chính quý, soát xét bán niên, kiểm toán năm - Chi nhánh công ty chứng khoán nước ngoài tại Việt Nam &gt;&gt; Phần lưu chuyển tiền tệ hoạt động môi giới, ủy thác của khách hàng_06614</t>
        </is>
      </c>
      <c r="D3524" s="390" t="inlineStr">
        <is>
          <t>5. Thu vay Quỹ Hỗ trợ thanh toán</t>
        </is>
      </c>
      <c r="E3524" s="390" t="n">
        <v>5</v>
      </c>
      <c r="F3524" s="390" t="inlineStr">
        <is>
          <t>Data Explorer</t>
        </is>
      </c>
      <c r="G3524" s="390" t="inlineStr">
        <is>
          <t>Chỉ tiêu cơ sở</t>
        </is>
      </c>
      <c r="H3524" s="390" t="inlineStr">
        <is>
          <t>Dễ</t>
        </is>
      </c>
      <c r="I3524" s="390" t="inlineStr">
        <is>
          <t>Ngày, CTCK</t>
        </is>
      </c>
      <c r="J3524" s="401" t="inlineStr">
        <is>
          <t>SCMS</t>
        </is>
      </c>
      <c r="K3524" s="401" t="n"/>
      <c r="L3524" s="401" t="inlineStr">
        <is>
          <t>X</t>
        </is>
      </c>
      <c r="M3524" s="401" t="n"/>
      <c r="N3524" s="401" t="inlineStr">
        <is>
          <t>Done</t>
        </is>
      </c>
      <c r="O3524" s="401" t="n"/>
      <c r="P3524" s="401" t="n"/>
      <c r="S3524" s="401" t="n"/>
      <c r="U3524" s="401" t="n"/>
      <c r="V3524" s="22" t="n"/>
      <c r="W3524" s="22" t="n"/>
      <c r="X3524" s="22" t="n"/>
      <c r="Y3524" s="13" t="n"/>
      <c r="Z3524" s="22" t="n"/>
      <c r="AA3524" s="22" t="n"/>
      <c r="AB3524" s="22" t="n"/>
      <c r="AC3524" s="22" t="n"/>
      <c r="AD3524" s="22" t="n"/>
      <c r="AE3524" s="22" t="n"/>
    </row>
    <row r="3525" ht="126" customHeight="1" s="380">
      <c r="A3525" s="144" t="n">
        <v>129</v>
      </c>
      <c r="B3525" s="390" t="n"/>
      <c r="C3525" s="390" t="inlineStr">
        <is>
          <t>Báo cáo tài chính quý, soát xét bán niên, kiểm toán năm - Chi nhánh công ty chứng khoán nước ngoài tại Việt Nam &gt;&gt; Phần lưu chuyển tiền tệ hoạt động môi giới, ủy thác của khách hàng_06614</t>
        </is>
      </c>
      <c r="D3525" s="390" t="inlineStr">
        <is>
          <t>6. Chi trả vay Quỹ Hỗ trợ thanh toán</t>
        </is>
      </c>
      <c r="E3525" s="390" t="n">
        <v>6</v>
      </c>
      <c r="F3525" s="390" t="inlineStr">
        <is>
          <t>Data Explorer</t>
        </is>
      </c>
      <c r="G3525" s="390" t="inlineStr">
        <is>
          <t>Chỉ tiêu cơ sở</t>
        </is>
      </c>
      <c r="H3525" s="390" t="inlineStr">
        <is>
          <t>Dễ</t>
        </is>
      </c>
      <c r="I3525" s="390" t="inlineStr">
        <is>
          <t>Ngày, CTCK</t>
        </is>
      </c>
      <c r="J3525" s="401" t="inlineStr">
        <is>
          <t>SCMS</t>
        </is>
      </c>
      <c r="K3525" s="401" t="n"/>
      <c r="L3525" s="401" t="inlineStr">
        <is>
          <t>X</t>
        </is>
      </c>
      <c r="M3525" s="401" t="n"/>
      <c r="N3525" s="401" t="inlineStr">
        <is>
          <t>Done</t>
        </is>
      </c>
      <c r="O3525" s="401" t="n"/>
      <c r="P3525" s="401" t="n"/>
      <c r="S3525" s="401" t="n"/>
      <c r="U3525" s="401" t="n"/>
      <c r="V3525" s="22" t="n"/>
      <c r="W3525" s="22" t="n"/>
      <c r="X3525" s="22" t="n"/>
      <c r="Y3525" s="13" t="n"/>
      <c r="Z3525" s="22" t="n"/>
      <c r="AA3525" s="22" t="n"/>
      <c r="AB3525" s="22" t="n"/>
      <c r="AC3525" s="22" t="n"/>
      <c r="AD3525" s="22" t="n"/>
      <c r="AE3525" s="22" t="n"/>
    </row>
    <row r="3526" ht="126" customHeight="1" s="380">
      <c r="A3526" s="144" t="n">
        <v>129</v>
      </c>
      <c r="B3526" s="390" t="n"/>
      <c r="C3526" s="390" t="inlineStr">
        <is>
          <t>Báo cáo tài chính quý, soát xét bán niên, kiểm toán năm - Chi nhánh công ty chứng khoán nước ngoài tại Việt Nam &gt;&gt; Phần lưu chuyển tiền tệ hoạt động môi giới, ủy thác của khách hàng_06614</t>
        </is>
      </c>
      <c r="D3526" s="390" t="inlineStr">
        <is>
          <t xml:space="preserve">7. Nhận tiền gửi để thanh toán giao dịch chứng khoán của khách hàng </t>
        </is>
      </c>
      <c r="E3526" s="390" t="n">
        <v>7</v>
      </c>
      <c r="F3526" s="390" t="inlineStr">
        <is>
          <t>Data Explorer</t>
        </is>
      </c>
      <c r="G3526" s="390" t="inlineStr">
        <is>
          <t>Chỉ tiêu cơ sở</t>
        </is>
      </c>
      <c r="H3526" s="390" t="inlineStr">
        <is>
          <t>Dễ</t>
        </is>
      </c>
      <c r="I3526" s="390" t="inlineStr">
        <is>
          <t>Ngày, CTCK</t>
        </is>
      </c>
      <c r="J3526" s="401" t="inlineStr">
        <is>
          <t>SCMS</t>
        </is>
      </c>
      <c r="K3526" s="401" t="n"/>
      <c r="L3526" s="401" t="inlineStr">
        <is>
          <t>X</t>
        </is>
      </c>
      <c r="M3526" s="401" t="n"/>
      <c r="N3526" s="401" t="inlineStr">
        <is>
          <t>Done</t>
        </is>
      </c>
      <c r="O3526" s="401" t="n"/>
      <c r="P3526" s="401" t="n"/>
      <c r="S3526" s="401" t="n"/>
      <c r="U3526" s="401" t="n"/>
      <c r="V3526" s="22" t="n"/>
      <c r="W3526" s="22" t="n"/>
      <c r="X3526" s="22" t="n"/>
      <c r="Y3526" s="13" t="n"/>
      <c r="Z3526" s="22" t="n"/>
      <c r="AA3526" s="22" t="n"/>
      <c r="AB3526" s="22" t="n"/>
      <c r="AC3526" s="22" t="n"/>
      <c r="AD3526" s="22" t="n"/>
      <c r="AE3526" s="22" t="n"/>
    </row>
    <row r="3527" ht="126" customHeight="1" s="380">
      <c r="A3527" s="144" t="n">
        <v>129</v>
      </c>
      <c r="B3527" s="390" t="n"/>
      <c r="C3527" s="390" t="inlineStr">
        <is>
          <t>Báo cáo tài chính quý, soát xét bán niên, kiểm toán năm - Chi nhánh công ty chứng khoán nước ngoài tại Việt Nam &gt;&gt; Phần lưu chuyển tiền tệ hoạt động môi giới, ủy thác của khách hàng_06614</t>
        </is>
      </c>
      <c r="D3527" s="390" t="inlineStr">
        <is>
          <t>7.1 Tiền gửi ký quỹ của nhà đầu tư tại VSD</t>
        </is>
      </c>
      <c r="E3527" s="401" t="n"/>
      <c r="F3527" s="390" t="inlineStr">
        <is>
          <t>Data Explorer</t>
        </is>
      </c>
      <c r="G3527" s="390" t="inlineStr">
        <is>
          <t>Chỉ tiêu cơ sở</t>
        </is>
      </c>
      <c r="H3527" s="390" t="inlineStr">
        <is>
          <t>Dễ</t>
        </is>
      </c>
      <c r="I3527" s="390" t="inlineStr">
        <is>
          <t>Ngày, CTCK</t>
        </is>
      </c>
      <c r="J3527" s="401" t="inlineStr">
        <is>
          <t>SCMS</t>
        </is>
      </c>
      <c r="K3527" s="401" t="n"/>
      <c r="L3527" s="401" t="inlineStr">
        <is>
          <t>X</t>
        </is>
      </c>
      <c r="M3527" s="401" t="n"/>
      <c r="N3527" s="401" t="inlineStr">
        <is>
          <t>Done</t>
        </is>
      </c>
      <c r="O3527" s="401" t="n"/>
      <c r="P3527" s="401" t="n"/>
      <c r="S3527" s="401" t="n"/>
      <c r="U3527" s="401" t="n"/>
      <c r="V3527" s="22" t="n"/>
      <c r="W3527" s="22" t="n"/>
      <c r="X3527" s="22" t="n"/>
      <c r="Y3527" s="13" t="n"/>
      <c r="Z3527" s="22" t="n"/>
      <c r="AA3527" s="22" t="n"/>
      <c r="AB3527" s="22" t="n"/>
      <c r="AC3527" s="22" t="n"/>
      <c r="AD3527" s="22" t="n"/>
      <c r="AE3527" s="22" t="n"/>
    </row>
    <row r="3528" ht="126" customHeight="1" s="380">
      <c r="A3528" s="144" t="n">
        <v>129</v>
      </c>
      <c r="B3528" s="390" t="n"/>
      <c r="C3528" s="390" t="inlineStr">
        <is>
          <t>Báo cáo tài chính quý, soát xét bán niên, kiểm toán năm - Chi nhánh công ty chứng khoán nước ngoài tại Việt Nam &gt;&gt; Phần lưu chuyển tiền tệ hoạt động môi giới, ủy thác của khách hàng_06614</t>
        </is>
      </c>
      <c r="D3528" s="390" t="inlineStr">
        <is>
          <t>8. Chi trả thanh toán giao dịch chứng khoán của khách hàng</t>
        </is>
      </c>
      <c r="E3528" s="390" t="n">
        <v>8</v>
      </c>
      <c r="F3528" s="390" t="inlineStr">
        <is>
          <t>Data Explorer</t>
        </is>
      </c>
      <c r="G3528" s="390" t="inlineStr">
        <is>
          <t>Chỉ tiêu cơ sở</t>
        </is>
      </c>
      <c r="H3528" s="390" t="inlineStr">
        <is>
          <t>Dễ</t>
        </is>
      </c>
      <c r="I3528" s="390" t="inlineStr">
        <is>
          <t>Ngày, CTCK</t>
        </is>
      </c>
      <c r="J3528" s="401" t="inlineStr">
        <is>
          <t>SCMS</t>
        </is>
      </c>
      <c r="K3528" s="401" t="n"/>
      <c r="L3528" s="401" t="inlineStr">
        <is>
          <t>X</t>
        </is>
      </c>
      <c r="M3528" s="401" t="n"/>
      <c r="N3528" s="401" t="inlineStr">
        <is>
          <t>Done</t>
        </is>
      </c>
      <c r="O3528" s="401" t="n"/>
      <c r="P3528" s="401" t="n"/>
      <c r="S3528" s="401" t="n"/>
      <c r="U3528" s="401" t="n"/>
      <c r="V3528" s="22" t="n"/>
      <c r="W3528" s="22" t="n"/>
      <c r="X3528" s="22" t="n"/>
      <c r="Y3528" s="14" t="n"/>
      <c r="Z3528" s="22" t="n"/>
      <c r="AA3528" s="22" t="n"/>
      <c r="AB3528" s="22" t="n"/>
      <c r="AC3528" s="22" t="n"/>
      <c r="AD3528" s="22" t="n"/>
      <c r="AE3528" s="22" t="n"/>
    </row>
    <row r="3529" ht="126" customHeight="1" s="380">
      <c r="A3529" s="144" t="n">
        <v>129</v>
      </c>
      <c r="B3529" s="390" t="n"/>
      <c r="C3529" s="390" t="inlineStr">
        <is>
          <t>Báo cáo tài chính quý, soát xét bán niên, kiểm toán năm - Chi nhánh công ty chứng khoán nước ngoài tại Việt Nam &gt;&gt; Phần lưu chuyển tiền tệ hoạt động môi giới, ủy thác của khách hàng_06614</t>
        </is>
      </c>
      <c r="D3529" s="390" t="inlineStr">
        <is>
          <t>9. Nhận tiền gửi của Nhà đầu tư cho hoạt động ủy thác đầu tư của khách hàng</t>
        </is>
      </c>
      <c r="E3529" s="390" t="n">
        <v>9</v>
      </c>
      <c r="F3529" s="390" t="inlineStr">
        <is>
          <t>Data Explorer</t>
        </is>
      </c>
      <c r="G3529" s="390" t="inlineStr">
        <is>
          <t>Chỉ tiêu cơ sở</t>
        </is>
      </c>
      <c r="H3529" s="390" t="inlineStr">
        <is>
          <t>Dễ</t>
        </is>
      </c>
      <c r="I3529" s="390" t="inlineStr">
        <is>
          <t>Ngày, CTCK</t>
        </is>
      </c>
      <c r="J3529" s="401" t="inlineStr">
        <is>
          <t>SCMS</t>
        </is>
      </c>
      <c r="K3529" s="401" t="n"/>
      <c r="L3529" s="401" t="inlineStr">
        <is>
          <t>X</t>
        </is>
      </c>
      <c r="M3529" s="401" t="n"/>
      <c r="N3529" s="401" t="inlineStr">
        <is>
          <t>Done</t>
        </is>
      </c>
      <c r="O3529" s="401" t="n"/>
      <c r="P3529" s="401" t="n"/>
      <c r="S3529" s="401" t="n"/>
      <c r="U3529" s="401" t="n"/>
      <c r="V3529" s="22" t="n"/>
      <c r="W3529" s="22" t="n"/>
      <c r="X3529" s="22" t="n"/>
      <c r="Y3529" s="13" t="n"/>
      <c r="Z3529" s="22" t="n"/>
      <c r="AA3529" s="22" t="n"/>
      <c r="AB3529" s="22" t="n"/>
      <c r="AC3529" s="22" t="n"/>
      <c r="AD3529" s="22" t="n"/>
      <c r="AE3529" s="22" t="n"/>
    </row>
    <row r="3530" ht="126" customHeight="1" s="380">
      <c r="A3530" s="144" t="n">
        <v>129</v>
      </c>
      <c r="B3530" s="390" t="n"/>
      <c r="C3530" s="390" t="inlineStr">
        <is>
          <t>Báo cáo tài chính quý, soát xét bán niên, kiểm toán năm - Chi nhánh công ty chứng khoán nước ngoài tại Việt Nam &gt;&gt; Phần lưu chuyển tiền tệ hoạt động môi giới, ủy thác của khách hàng_06614</t>
        </is>
      </c>
      <c r="D3530" s="390" t="inlineStr">
        <is>
          <t>10. Chi trả cho hoạt động ủy thác đầu tư của khách hàng</t>
        </is>
      </c>
      <c r="E3530" s="390" t="n">
        <v>10</v>
      </c>
      <c r="F3530" s="390" t="inlineStr">
        <is>
          <t>Data Explorer</t>
        </is>
      </c>
      <c r="G3530" s="390" t="inlineStr">
        <is>
          <t>Chỉ tiêu cơ sở</t>
        </is>
      </c>
      <c r="H3530" s="390" t="inlineStr">
        <is>
          <t>Dễ</t>
        </is>
      </c>
      <c r="I3530" s="390" t="inlineStr">
        <is>
          <t>Ngày, CTCK</t>
        </is>
      </c>
      <c r="J3530" s="401" t="inlineStr">
        <is>
          <t>SCMS</t>
        </is>
      </c>
      <c r="K3530" s="401" t="n"/>
      <c r="L3530" s="401" t="inlineStr">
        <is>
          <t>X</t>
        </is>
      </c>
      <c r="M3530" s="401" t="n"/>
      <c r="N3530" s="401" t="inlineStr">
        <is>
          <t>Done</t>
        </is>
      </c>
      <c r="O3530" s="401" t="n"/>
      <c r="P3530" s="401" t="n"/>
      <c r="S3530" s="401" t="n"/>
      <c r="U3530" s="401" t="n"/>
      <c r="V3530" s="22" t="n"/>
      <c r="W3530" s="22" t="n"/>
      <c r="X3530" s="22" t="n"/>
      <c r="Y3530" s="13" t="n"/>
      <c r="Z3530" s="22" t="n"/>
      <c r="AA3530" s="22" t="n"/>
      <c r="AB3530" s="22" t="n"/>
      <c r="AC3530" s="22" t="n"/>
      <c r="AD3530" s="22" t="n"/>
      <c r="AE3530" s="22" t="n"/>
    </row>
    <row r="3531" ht="126" customHeight="1" s="380">
      <c r="A3531" s="144" t="n">
        <v>129</v>
      </c>
      <c r="B3531" s="390" t="n"/>
      <c r="C3531" s="390" t="inlineStr">
        <is>
          <t>Báo cáo tài chính quý, soát xét bán niên, kiểm toán năm - Chi nhánh công ty chứng khoán nước ngoài tại Việt Nam &gt;&gt; Phần lưu chuyển tiền tệ hoạt động môi giới, ủy thác của khách hàng_06614</t>
        </is>
      </c>
      <c r="D3531" s="390" t="inlineStr">
        <is>
          <t xml:space="preserve">11. Chi trả phí lưu ký chứng khoán của khách hàng </t>
        </is>
      </c>
      <c r="E3531" s="390" t="n">
        <v>11</v>
      </c>
      <c r="F3531" s="390" t="inlineStr">
        <is>
          <t>Data Explorer</t>
        </is>
      </c>
      <c r="G3531" s="390" t="inlineStr">
        <is>
          <t>Chỉ tiêu cơ sở</t>
        </is>
      </c>
      <c r="H3531" s="390" t="inlineStr">
        <is>
          <t>Dễ</t>
        </is>
      </c>
      <c r="I3531" s="390" t="inlineStr">
        <is>
          <t>Ngày, CTCK</t>
        </is>
      </c>
      <c r="J3531" s="401" t="inlineStr">
        <is>
          <t>SCMS</t>
        </is>
      </c>
      <c r="K3531" s="401" t="n"/>
      <c r="L3531" s="401" t="inlineStr">
        <is>
          <t>X</t>
        </is>
      </c>
      <c r="M3531" s="401" t="n"/>
      <c r="N3531" s="401" t="inlineStr">
        <is>
          <t>Done</t>
        </is>
      </c>
      <c r="O3531" s="401" t="n"/>
      <c r="P3531" s="401" t="n"/>
      <c r="S3531" s="401" t="n"/>
      <c r="U3531" s="401" t="n"/>
      <c r="V3531" s="22" t="n"/>
      <c r="W3531" s="22" t="n"/>
      <c r="X3531" s="22" t="n"/>
      <c r="Y3531" s="13" t="n"/>
      <c r="Z3531" s="22" t="n"/>
      <c r="AA3531" s="22" t="n"/>
      <c r="AB3531" s="22" t="n"/>
      <c r="AC3531" s="22" t="n"/>
      <c r="AD3531" s="22" t="n"/>
      <c r="AE3531" s="22" t="n"/>
    </row>
    <row r="3532" ht="126" customHeight="1" s="380">
      <c r="A3532" s="144" t="n">
        <v>129</v>
      </c>
      <c r="B3532" s="390" t="n"/>
      <c r="C3532" s="390" t="inlineStr">
        <is>
          <t>Báo cáo tài chính quý, soát xét bán niên, kiểm toán năm - Chi nhánh công ty chứng khoán nước ngoài tại Việt Nam &gt;&gt; Phần lưu chuyển tiền tệ hoạt động môi giới, ủy thác của khách hàng_06614</t>
        </is>
      </c>
      <c r="D3532" s="390" t="inlineStr">
        <is>
          <t>12. Thu lỗi giao dịch chứng khoán</t>
        </is>
      </c>
      <c r="E3532" s="390" t="n">
        <v>12</v>
      </c>
      <c r="F3532" s="390" t="inlineStr">
        <is>
          <t>Data Explorer</t>
        </is>
      </c>
      <c r="G3532" s="390" t="inlineStr">
        <is>
          <t>Chỉ tiêu cơ sở</t>
        </is>
      </c>
      <c r="H3532" s="390" t="inlineStr">
        <is>
          <t>Dễ</t>
        </is>
      </c>
      <c r="I3532" s="390" t="inlineStr">
        <is>
          <t>Ngày, CTCK</t>
        </is>
      </c>
      <c r="J3532" s="401" t="inlineStr">
        <is>
          <t>SCMS</t>
        </is>
      </c>
      <c r="K3532" s="401" t="n"/>
      <c r="L3532" s="401" t="inlineStr">
        <is>
          <t>X</t>
        </is>
      </c>
      <c r="M3532" s="401" t="n"/>
      <c r="N3532" s="401" t="inlineStr">
        <is>
          <t>Done</t>
        </is>
      </c>
      <c r="O3532" s="401" t="n"/>
      <c r="P3532" s="401" t="n"/>
      <c r="S3532" s="401" t="n"/>
      <c r="U3532" s="401" t="n"/>
      <c r="V3532" s="22" t="n"/>
      <c r="W3532" s="22" t="n"/>
      <c r="X3532" s="22" t="n"/>
      <c r="Y3532" s="13" t="n"/>
      <c r="Z3532" s="22" t="n"/>
      <c r="AA3532" s="22" t="n"/>
      <c r="AB3532" s="22" t="n"/>
      <c r="AC3532" s="22" t="n"/>
      <c r="AD3532" s="22" t="n"/>
      <c r="AE3532" s="22" t="n"/>
    </row>
    <row r="3533" ht="126" customHeight="1" s="380">
      <c r="A3533" s="144" t="n">
        <v>129</v>
      </c>
      <c r="B3533" s="390" t="n"/>
      <c r="C3533" s="390" t="inlineStr">
        <is>
          <t>Báo cáo tài chính quý, soát xét bán niên, kiểm toán năm - Chi nhánh công ty chứng khoán nước ngoài tại Việt Nam &gt;&gt; Phần lưu chuyển tiền tệ hoạt động môi giới, ủy thác của khách hàng_06614</t>
        </is>
      </c>
      <c r="D3533" s="390" t="inlineStr">
        <is>
          <t>13.Chi lỗi giao dịch chứng khoán</t>
        </is>
      </c>
      <c r="E3533" s="390" t="n">
        <v>13</v>
      </c>
      <c r="F3533" s="390" t="inlineStr">
        <is>
          <t>Data Explorer</t>
        </is>
      </c>
      <c r="G3533" s="390" t="inlineStr">
        <is>
          <t>Chỉ tiêu cơ sở</t>
        </is>
      </c>
      <c r="H3533" s="390" t="inlineStr">
        <is>
          <t>Dễ</t>
        </is>
      </c>
      <c r="I3533" s="390" t="inlineStr">
        <is>
          <t>Ngày, CTCK</t>
        </is>
      </c>
      <c r="J3533" s="401" t="inlineStr">
        <is>
          <t>SCMS</t>
        </is>
      </c>
      <c r="K3533" s="401" t="n"/>
      <c r="L3533" s="401" t="inlineStr">
        <is>
          <t>X</t>
        </is>
      </c>
      <c r="M3533" s="401" t="n"/>
      <c r="N3533" s="401" t="inlineStr">
        <is>
          <t>Done</t>
        </is>
      </c>
      <c r="O3533" s="401" t="n"/>
      <c r="P3533" s="401" t="n"/>
      <c r="S3533" s="401" t="n"/>
      <c r="U3533" s="401" t="n"/>
      <c r="V3533" s="22" t="n"/>
      <c r="W3533" s="22" t="n"/>
      <c r="X3533" s="22" t="n"/>
      <c r="Y3533" s="13" t="n"/>
      <c r="Z3533" s="22" t="n"/>
      <c r="AA3533" s="22" t="n"/>
      <c r="AB3533" s="22" t="n"/>
      <c r="AC3533" s="22" t="n"/>
      <c r="AD3533" s="22" t="n"/>
      <c r="AE3533" s="22" t="n"/>
    </row>
    <row r="3534" ht="126" customHeight="1" s="380">
      <c r="A3534" s="144" t="n">
        <v>129</v>
      </c>
      <c r="B3534" s="390" t="n"/>
      <c r="C3534" s="390" t="inlineStr">
        <is>
          <t>Báo cáo tài chính quý, soát xét bán niên, kiểm toán năm - Chi nhánh công ty chứng khoán nước ngoài tại Việt Nam &gt;&gt; Phần lưu chuyển tiền tệ hoạt động môi giới, ủy thác của khách hàng_06614</t>
        </is>
      </c>
      <c r="D3534" s="390" t="inlineStr">
        <is>
          <t>14. Tiền thu của Tổ chức phát hành chứng khoán</t>
        </is>
      </c>
      <c r="E3534" s="390" t="n">
        <v>14</v>
      </c>
      <c r="F3534" s="390" t="inlineStr">
        <is>
          <t>Data Explorer</t>
        </is>
      </c>
      <c r="G3534" s="390" t="inlineStr">
        <is>
          <t>Chỉ tiêu cơ sở</t>
        </is>
      </c>
      <c r="H3534" s="390" t="inlineStr">
        <is>
          <t>Dễ</t>
        </is>
      </c>
      <c r="I3534" s="390" t="inlineStr">
        <is>
          <t>Ngày, CTCK</t>
        </is>
      </c>
      <c r="J3534" s="401" t="inlineStr">
        <is>
          <t>SCMS</t>
        </is>
      </c>
      <c r="K3534" s="401" t="n"/>
      <c r="L3534" s="401" t="inlineStr">
        <is>
          <t>X</t>
        </is>
      </c>
      <c r="M3534" s="401" t="n"/>
      <c r="N3534" s="401" t="inlineStr">
        <is>
          <t>Done</t>
        </is>
      </c>
      <c r="O3534" s="401" t="n"/>
      <c r="P3534" s="401" t="n"/>
      <c r="S3534" s="401" t="n"/>
      <c r="U3534" s="401" t="n"/>
      <c r="V3534" s="22" t="n"/>
      <c r="W3534" s="22" t="n"/>
      <c r="X3534" s="22" t="n"/>
      <c r="Y3534" s="38" t="n"/>
      <c r="Z3534" s="22" t="n"/>
      <c r="AA3534" s="22" t="n"/>
      <c r="AB3534" s="22" t="n"/>
      <c r="AC3534" s="22" t="n"/>
      <c r="AD3534" s="22" t="n"/>
      <c r="AE3534" s="22" t="n"/>
    </row>
    <row r="3535" ht="126" customHeight="1" s="380">
      <c r="A3535" s="144" t="n">
        <v>129</v>
      </c>
      <c r="B3535" s="390" t="n"/>
      <c r="C3535" s="390" t="inlineStr">
        <is>
          <t>Báo cáo tài chính quý, soát xét bán niên, kiểm toán năm - Chi nhánh công ty chứng khoán nước ngoài tại Việt Nam &gt;&gt; Phần lưu chuyển tiền tệ hoạt động môi giới, ủy thác của khách hàng_06614</t>
        </is>
      </c>
      <c r="D3535" s="390" t="inlineStr">
        <is>
          <t>15. Tiền chi trả Tổ chức phát hành chứng khoán</t>
        </is>
      </c>
      <c r="E3535" s="390" t="n">
        <v>15</v>
      </c>
      <c r="F3535" s="390" t="inlineStr">
        <is>
          <t>Data Explorer</t>
        </is>
      </c>
      <c r="G3535" s="390" t="inlineStr">
        <is>
          <t>Chỉ tiêu cơ sở</t>
        </is>
      </c>
      <c r="H3535" s="390" t="inlineStr">
        <is>
          <t>Dễ</t>
        </is>
      </c>
      <c r="I3535" s="390" t="inlineStr">
        <is>
          <t>Ngày, CTCK</t>
        </is>
      </c>
      <c r="J3535" s="401" t="inlineStr">
        <is>
          <t>SCMS</t>
        </is>
      </c>
      <c r="K3535" s="401" t="n"/>
      <c r="L3535" s="401" t="inlineStr">
        <is>
          <t>X</t>
        </is>
      </c>
      <c r="M3535" s="401" t="n"/>
      <c r="N3535" s="401" t="inlineStr">
        <is>
          <t>Done</t>
        </is>
      </c>
      <c r="O3535" s="401" t="n"/>
      <c r="P3535" s="401" t="n"/>
      <c r="S3535" s="401" t="n"/>
      <c r="U3535" s="401" t="n"/>
      <c r="V3535" s="22" t="n"/>
      <c r="W3535" s="22" t="n"/>
      <c r="X3535" s="22" t="n"/>
      <c r="Y3535" s="13" t="n"/>
      <c r="Z3535" s="22" t="n"/>
      <c r="AA3535" s="22" t="n"/>
      <c r="AB3535" s="22" t="n"/>
      <c r="AC3535" s="22" t="n"/>
      <c r="AD3535" s="22" t="n"/>
      <c r="AE3535" s="22" t="n"/>
    </row>
    <row r="3536" ht="126" customHeight="1" s="380">
      <c r="A3536" s="144" t="n">
        <v>129</v>
      </c>
      <c r="B3536" s="390" t="n"/>
      <c r="C3536" s="390" t="inlineStr">
        <is>
          <t>Báo cáo tài chính quý, soát xét bán niên, kiểm toán năm - Chi nhánh công ty chứng khoán nước ngoài tại Việt Nam &gt;&gt; Phần lưu chuyển tiền tệ hoạt động môi giới, ủy thác của khách hàng_06614</t>
        </is>
      </c>
      <c r="D3536" s="132" t="inlineStr">
        <is>
          <t>Tăng/giảm tiền thuần trong kỳ</t>
        </is>
      </c>
      <c r="E3536" s="132" t="n">
        <v>20</v>
      </c>
      <c r="F3536" s="390" t="inlineStr">
        <is>
          <t>Data Explorer</t>
        </is>
      </c>
      <c r="G3536" s="390" t="inlineStr">
        <is>
          <t>Chỉ tiêu cơ sở</t>
        </is>
      </c>
      <c r="H3536" s="390" t="inlineStr">
        <is>
          <t>Dễ</t>
        </is>
      </c>
      <c r="I3536" s="390" t="inlineStr">
        <is>
          <t>Ngày, CTCK</t>
        </is>
      </c>
      <c r="J3536" s="401" t="inlineStr">
        <is>
          <t>SCMS</t>
        </is>
      </c>
      <c r="K3536" s="401" t="n"/>
      <c r="L3536" s="401" t="inlineStr">
        <is>
          <t>X</t>
        </is>
      </c>
      <c r="M3536" s="401" t="n"/>
      <c r="N3536" s="401" t="inlineStr">
        <is>
          <t>Done</t>
        </is>
      </c>
      <c r="O3536" s="401" t="n"/>
      <c r="P3536" s="401" t="n"/>
      <c r="S3536" s="401" t="n"/>
      <c r="U3536" s="401" t="n"/>
      <c r="V3536" s="22" t="n"/>
      <c r="W3536" s="22" t="n"/>
      <c r="X3536" s="22" t="n"/>
      <c r="Y3536" s="13" t="n"/>
      <c r="Z3536" s="22" t="n"/>
      <c r="AA3536" s="22" t="n"/>
      <c r="AB3536" s="22" t="n"/>
      <c r="AC3536" s="22" t="n"/>
      <c r="AD3536" s="22" t="n"/>
      <c r="AE3536" s="22" t="n"/>
    </row>
    <row r="3537" ht="126" customHeight="1" s="380">
      <c r="A3537" s="144" t="n">
        <v>129</v>
      </c>
      <c r="B3537" s="390" t="n"/>
      <c r="C3537" s="390" t="inlineStr">
        <is>
          <t>Báo cáo tài chính quý, soát xét bán niên, kiểm toán năm - Chi nhánh công ty chứng khoán nước ngoài tại Việt Nam &gt;&gt; Phần lưu chuyển tiền tệ hoạt động môi giới, ủy thác của khách hàng_06614</t>
        </is>
      </c>
      <c r="D3537" s="132" t="inlineStr">
        <is>
          <t>II, Tiền và các khoản tương đương tiền đầu kỳ của khách hàng</t>
        </is>
      </c>
      <c r="E3537" s="132" t="n">
        <v>30</v>
      </c>
      <c r="F3537" s="390" t="inlineStr">
        <is>
          <t>Data Explorer</t>
        </is>
      </c>
      <c r="G3537" s="390" t="inlineStr">
        <is>
          <t>Chỉ tiêu cơ sở</t>
        </is>
      </c>
      <c r="H3537" s="390" t="inlineStr">
        <is>
          <t>Dễ</t>
        </is>
      </c>
      <c r="I3537" s="390" t="inlineStr">
        <is>
          <t>Ngày, CTCK</t>
        </is>
      </c>
      <c r="J3537" s="401" t="inlineStr">
        <is>
          <t>SCMS</t>
        </is>
      </c>
      <c r="K3537" s="401" t="n"/>
      <c r="L3537" s="401" t="inlineStr">
        <is>
          <t>X</t>
        </is>
      </c>
      <c r="M3537" s="401" t="n"/>
      <c r="N3537" s="401" t="inlineStr">
        <is>
          <t>Done</t>
        </is>
      </c>
      <c r="O3537" s="401" t="n"/>
      <c r="P3537" s="401" t="n"/>
      <c r="S3537" s="401" t="n"/>
      <c r="U3537" s="401" t="n"/>
      <c r="V3537" s="22" t="n"/>
      <c r="W3537" s="22" t="n"/>
      <c r="X3537" s="22" t="n"/>
      <c r="Y3537" s="13" t="n"/>
      <c r="Z3537" s="22" t="n"/>
      <c r="AA3537" s="22" t="n"/>
      <c r="AB3537" s="22" t="n"/>
      <c r="AC3537" s="22" t="n"/>
      <c r="AD3537" s="22" t="n"/>
      <c r="AE3537" s="22" t="n"/>
    </row>
    <row r="3538" ht="126" customHeight="1" s="380">
      <c r="A3538" s="144" t="n">
        <v>129</v>
      </c>
      <c r="B3538" s="390" t="n"/>
      <c r="C3538" s="390" t="inlineStr">
        <is>
          <t>Báo cáo tài chính quý, soát xét bán niên, kiểm toán năm - Chi nhánh công ty chứng khoán nước ngoài tại Việt Nam &gt;&gt; Phần lưu chuyển tiền tệ hoạt động môi giới, ủy thác của khách hàng_06614</t>
        </is>
      </c>
      <c r="D3538" s="390" t="inlineStr">
        <is>
          <t>Tiền gửi ngân hàng đầu kỳ:</t>
        </is>
      </c>
      <c r="E3538" s="390" t="n">
        <v>31</v>
      </c>
      <c r="F3538" s="390" t="inlineStr">
        <is>
          <t>Data Explorer</t>
        </is>
      </c>
      <c r="G3538" s="390" t="inlineStr">
        <is>
          <t>Chỉ tiêu cơ sở</t>
        </is>
      </c>
      <c r="H3538" s="390" t="inlineStr">
        <is>
          <t>Dễ</t>
        </is>
      </c>
      <c r="I3538" s="390" t="inlineStr">
        <is>
          <t>Ngày, CTCK</t>
        </is>
      </c>
      <c r="J3538" s="401" t="inlineStr">
        <is>
          <t>SCMS</t>
        </is>
      </c>
      <c r="K3538" s="401" t="n"/>
      <c r="L3538" s="401" t="inlineStr">
        <is>
          <t>X</t>
        </is>
      </c>
      <c r="M3538" s="401" t="n"/>
      <c r="N3538" s="401" t="inlineStr">
        <is>
          <t>Done</t>
        </is>
      </c>
      <c r="O3538" s="401" t="n"/>
      <c r="P3538" s="401" t="n"/>
      <c r="S3538" s="401" t="n"/>
      <c r="U3538" s="401" t="n"/>
      <c r="V3538" s="22" t="n"/>
      <c r="W3538" s="22" t="n"/>
      <c r="X3538" s="22" t="n"/>
      <c r="Y3538" s="13" t="n"/>
      <c r="Z3538" s="22" t="n"/>
      <c r="AA3538" s="22" t="n"/>
      <c r="AB3538" s="22" t="n"/>
      <c r="AC3538" s="22" t="n"/>
      <c r="AD3538" s="22" t="n"/>
      <c r="AE3538" s="22" t="n"/>
    </row>
    <row r="3539" ht="126" customHeight="1" s="380">
      <c r="A3539" s="144" t="n">
        <v>129</v>
      </c>
      <c r="B3539" s="390" t="n"/>
      <c r="C3539" s="390" t="inlineStr">
        <is>
          <t>Báo cáo tài chính quý, soát xét bán niên, kiểm toán năm - Chi nhánh công ty chứng khoán nước ngoài tại Việt Nam &gt;&gt; Phần lưu chuyển tiền tệ hoạt động môi giới, ủy thác của khách hàng_06614</t>
        </is>
      </c>
      <c r="D3539" s="390" t="inlineStr">
        <is>
          <t xml:space="preserve">-Tiền gửi của Nhà đầu tư về giao dịch chứng khoán theo phương thức CTCK quản lý </t>
        </is>
      </c>
      <c r="E3539" s="390" t="n">
        <v>32</v>
      </c>
      <c r="F3539" s="390" t="inlineStr">
        <is>
          <t>Data Explorer</t>
        </is>
      </c>
      <c r="G3539" s="390" t="inlineStr">
        <is>
          <t>Chỉ tiêu cơ sở</t>
        </is>
      </c>
      <c r="H3539" s="390" t="inlineStr">
        <is>
          <t>Dễ</t>
        </is>
      </c>
      <c r="I3539" s="390" t="inlineStr">
        <is>
          <t>Ngày, CTCK</t>
        </is>
      </c>
      <c r="J3539" s="401" t="inlineStr">
        <is>
          <t>SCMS</t>
        </is>
      </c>
      <c r="K3539" s="401" t="n"/>
      <c r="L3539" s="401" t="inlineStr">
        <is>
          <t>X</t>
        </is>
      </c>
      <c r="M3539" s="401" t="n"/>
      <c r="N3539" s="401" t="inlineStr">
        <is>
          <t>Done</t>
        </is>
      </c>
      <c r="O3539" s="401" t="n"/>
      <c r="P3539" s="401" t="n"/>
      <c r="S3539" s="401" t="n"/>
      <c r="U3539" s="401" t="n"/>
      <c r="V3539" s="22" t="n"/>
      <c r="W3539" s="22" t="n"/>
      <c r="X3539" s="22" t="n"/>
      <c r="Y3539" s="13" t="n"/>
      <c r="Z3539" s="22" t="n"/>
      <c r="AA3539" s="22" t="n"/>
      <c r="AB3539" s="22" t="n"/>
      <c r="AC3539" s="22" t="n"/>
      <c r="AD3539" s="22" t="n"/>
      <c r="AE3539" s="22" t="n"/>
    </row>
    <row r="3540" ht="126" customHeight="1" s="380">
      <c r="A3540" s="144" t="n">
        <v>129</v>
      </c>
      <c r="B3540" s="390" t="n"/>
      <c r="C3540" s="390" t="inlineStr">
        <is>
          <t>Báo cáo tài chính quý, soát xét bán niên, kiểm toán năm - Chi nhánh công ty chứng khoán nước ngoài tại Việt Nam &gt;&gt; Phần lưu chuyển tiền tệ hoạt động môi giới, ủy thác của khách hàng_06614</t>
        </is>
      </c>
      <c r="D3540" s="390" t="inlineStr">
        <is>
          <t>Trong đó có kỳ hạn</t>
        </is>
      </c>
      <c r="E3540" s="390" t="n">
        <v>32</v>
      </c>
      <c r="F3540" s="390" t="inlineStr">
        <is>
          <t>Data Explorer</t>
        </is>
      </c>
      <c r="G3540" s="390" t="inlineStr">
        <is>
          <t>Chỉ tiêu cơ sở</t>
        </is>
      </c>
      <c r="H3540" s="390" t="inlineStr">
        <is>
          <t>Dễ</t>
        </is>
      </c>
      <c r="I3540" s="390" t="inlineStr">
        <is>
          <t>Ngày, CTCK</t>
        </is>
      </c>
      <c r="J3540" s="401" t="inlineStr">
        <is>
          <t>SCMS</t>
        </is>
      </c>
      <c r="K3540" s="401" t="n"/>
      <c r="L3540" s="401" t="inlineStr">
        <is>
          <t>X</t>
        </is>
      </c>
      <c r="M3540" s="401" t="n"/>
      <c r="N3540" s="401" t="inlineStr">
        <is>
          <t>Done</t>
        </is>
      </c>
      <c r="O3540" s="401" t="n"/>
      <c r="P3540" s="401" t="n"/>
      <c r="S3540" s="401" t="n"/>
      <c r="U3540" s="401" t="n"/>
      <c r="V3540" s="22" t="n"/>
      <c r="W3540" s="22" t="n"/>
      <c r="X3540" s="22" t="n"/>
      <c r="Y3540" s="38" t="n"/>
      <c r="Z3540" s="22" t="n"/>
      <c r="AA3540" s="22" t="n"/>
      <c r="AB3540" s="22" t="n"/>
      <c r="AC3540" s="22" t="n"/>
      <c r="AD3540" s="22" t="n"/>
      <c r="AE3540" s="22" t="n"/>
    </row>
    <row r="3541" ht="126" customHeight="1" s="380">
      <c r="A3541" s="144" t="n">
        <v>129</v>
      </c>
      <c r="B3541" s="390" t="n"/>
      <c r="C3541" s="390" t="inlineStr">
        <is>
          <t>Báo cáo tài chính quý, soát xét bán niên, kiểm toán năm - Chi nhánh công ty chứng khoán nước ngoài tại Việt Nam &gt;&gt; Phần lưu chuyển tiền tệ hoạt động môi giới, ủy thác của khách hàng_06614</t>
        </is>
      </c>
      <c r="D3541" s="390" t="inlineStr">
        <is>
          <t xml:space="preserve">- Tiền gửi tổng hợp giao dịch chứng khoán cho khách hàng </t>
        </is>
      </c>
      <c r="E3541" s="390" t="n">
        <v>33</v>
      </c>
      <c r="F3541" s="390" t="inlineStr">
        <is>
          <t>Data Explorer</t>
        </is>
      </c>
      <c r="G3541" s="390" t="inlineStr">
        <is>
          <t>Chỉ tiêu cơ sở</t>
        </is>
      </c>
      <c r="H3541" s="390" t="inlineStr">
        <is>
          <t>Dễ</t>
        </is>
      </c>
      <c r="I3541" s="390" t="inlineStr">
        <is>
          <t>Ngày, CTCK</t>
        </is>
      </c>
      <c r="J3541" s="401" t="inlineStr">
        <is>
          <t>SCMS</t>
        </is>
      </c>
      <c r="K3541" s="401" t="n"/>
      <c r="L3541" s="401" t="inlineStr">
        <is>
          <t>X</t>
        </is>
      </c>
      <c r="M3541" s="401" t="n"/>
      <c r="N3541" s="401" t="inlineStr">
        <is>
          <t>Done</t>
        </is>
      </c>
      <c r="O3541" s="401" t="n"/>
      <c r="P3541" s="401" t="n"/>
      <c r="S3541" s="401" t="n"/>
      <c r="U3541" s="401" t="n"/>
      <c r="V3541" s="22" t="n"/>
      <c r="W3541" s="22" t="n"/>
      <c r="X3541" s="22" t="n"/>
      <c r="Y3541" s="13" t="n"/>
      <c r="Z3541" s="22" t="n"/>
      <c r="AA3541" s="22" t="n"/>
      <c r="AB3541" s="22" t="n"/>
      <c r="AC3541" s="22" t="n"/>
      <c r="AD3541" s="22" t="n"/>
      <c r="AE3541" s="22" t="n"/>
    </row>
    <row r="3542" ht="126" customHeight="1" s="380">
      <c r="A3542" s="144" t="n">
        <v>129</v>
      </c>
      <c r="B3542" s="390" t="n"/>
      <c r="C3542" s="390" t="inlineStr">
        <is>
          <t>Báo cáo tài chính quý, soát xét bán niên, kiểm toán năm - Chi nhánh công ty chứng khoán nước ngoài tại Việt Nam &gt;&gt; Phần lưu chuyển tiền tệ hoạt động môi giới, ủy thác của khách hàng_06614</t>
        </is>
      </c>
      <c r="D3542" s="390" t="inlineStr">
        <is>
          <t>- Tiền gửi bù trừ và thanh toán giao dịch chứng khoán</t>
        </is>
      </c>
      <c r="E3542" s="390" t="n">
        <v>34</v>
      </c>
      <c r="F3542" s="390" t="inlineStr">
        <is>
          <t>Data Explorer</t>
        </is>
      </c>
      <c r="G3542" s="390" t="inlineStr">
        <is>
          <t>Chỉ tiêu cơ sở</t>
        </is>
      </c>
      <c r="H3542" s="390" t="inlineStr">
        <is>
          <t>Dễ</t>
        </is>
      </c>
      <c r="I3542" s="390" t="inlineStr">
        <is>
          <t>Ngày, CTCK</t>
        </is>
      </c>
      <c r="J3542" s="401" t="inlineStr">
        <is>
          <t>SCMS</t>
        </is>
      </c>
      <c r="K3542" s="401" t="n"/>
      <c r="L3542" s="401" t="inlineStr">
        <is>
          <t>X</t>
        </is>
      </c>
      <c r="M3542" s="401" t="n"/>
      <c r="N3542" s="401" t="inlineStr">
        <is>
          <t>Done</t>
        </is>
      </c>
      <c r="O3542" s="401" t="n"/>
      <c r="P3542" s="401" t="n"/>
      <c r="S3542" s="401" t="n"/>
      <c r="U3542" s="401" t="n"/>
      <c r="V3542" s="22" t="n"/>
      <c r="W3542" s="22" t="n"/>
      <c r="X3542" s="22" t="n"/>
      <c r="Y3542" s="13" t="n"/>
      <c r="Z3542" s="22" t="n"/>
      <c r="AA3542" s="22" t="n"/>
      <c r="AB3542" s="22" t="n"/>
      <c r="AC3542" s="22" t="n"/>
      <c r="AD3542" s="22" t="n"/>
      <c r="AE3542" s="22" t="n"/>
    </row>
    <row r="3543" ht="126" customHeight="1" s="380">
      <c r="A3543" s="144" t="n">
        <v>129</v>
      </c>
      <c r="B3543" s="390" t="n"/>
      <c r="C3543" s="390" t="inlineStr">
        <is>
          <t>Báo cáo tài chính quý, soát xét bán niên, kiểm toán năm - Chi nhánh công ty chứng khoán nước ngoài tại Việt Nam &gt;&gt; Phần lưu chuyển tiền tệ hoạt động môi giới, ủy thác của khách hàng_06614</t>
        </is>
      </c>
      <c r="D3543" s="390" t="inlineStr">
        <is>
          <t>-Tiền gửi của Tổ chức phát hành</t>
        </is>
      </c>
      <c r="E3543" s="390" t="n">
        <v>35</v>
      </c>
      <c r="F3543" s="390" t="inlineStr">
        <is>
          <t>Data Explorer</t>
        </is>
      </c>
      <c r="G3543" s="390" t="inlineStr">
        <is>
          <t>Chỉ tiêu cơ sở</t>
        </is>
      </c>
      <c r="H3543" s="390" t="inlineStr">
        <is>
          <t>Dễ</t>
        </is>
      </c>
      <c r="I3543" s="390" t="inlineStr">
        <is>
          <t>Ngày, CTCK</t>
        </is>
      </c>
      <c r="J3543" s="401" t="inlineStr">
        <is>
          <t>SCMS</t>
        </is>
      </c>
      <c r="K3543" s="401" t="n"/>
      <c r="L3543" s="401" t="inlineStr">
        <is>
          <t>X</t>
        </is>
      </c>
      <c r="M3543" s="401" t="n"/>
      <c r="N3543" s="401" t="inlineStr">
        <is>
          <t>Done</t>
        </is>
      </c>
      <c r="O3543" s="401" t="n"/>
      <c r="P3543" s="401" t="n"/>
      <c r="S3543" s="401" t="n"/>
      <c r="U3543" s="401" t="n"/>
      <c r="V3543" s="22" t="n"/>
      <c r="W3543" s="22" t="n"/>
      <c r="X3543" s="22" t="n"/>
      <c r="Y3543" s="13" t="n"/>
      <c r="Z3543" s="22" t="n"/>
      <c r="AA3543" s="22" t="n"/>
      <c r="AB3543" s="22" t="n"/>
      <c r="AC3543" s="22" t="n"/>
      <c r="AD3543" s="22" t="n"/>
      <c r="AE3543" s="22" t="n"/>
    </row>
    <row r="3544" ht="126" customHeight="1" s="380">
      <c r="A3544" s="144" t="n">
        <v>129</v>
      </c>
      <c r="B3544" s="390" t="n"/>
      <c r="C3544" s="390" t="inlineStr">
        <is>
          <t>Báo cáo tài chính quý, soát xét bán niên, kiểm toán năm - Chi nhánh công ty chứng khoán nước ngoài tại Việt Nam &gt;&gt; Phần lưu chuyển tiền tệ hoạt động môi giới, ủy thác của khách hàng_06614</t>
        </is>
      </c>
      <c r="D3544" s="390" t="inlineStr">
        <is>
          <t>Trong đó có kỳ hạn</t>
        </is>
      </c>
      <c r="E3544" s="390" t="n">
        <v>35</v>
      </c>
      <c r="F3544" s="390" t="inlineStr">
        <is>
          <t>Data Explorer</t>
        </is>
      </c>
      <c r="G3544" s="390" t="inlineStr">
        <is>
          <t>Chỉ tiêu cơ sở</t>
        </is>
      </c>
      <c r="H3544" s="390" t="inlineStr">
        <is>
          <t>Dễ</t>
        </is>
      </c>
      <c r="I3544" s="390" t="inlineStr">
        <is>
          <t>Ngày, CTCK</t>
        </is>
      </c>
      <c r="J3544" s="401" t="inlineStr">
        <is>
          <t>SCMS</t>
        </is>
      </c>
      <c r="K3544" s="401" t="n"/>
      <c r="L3544" s="401" t="inlineStr">
        <is>
          <t>X</t>
        </is>
      </c>
      <c r="M3544" s="401" t="n"/>
      <c r="N3544" s="401" t="inlineStr">
        <is>
          <t>Done</t>
        </is>
      </c>
      <c r="O3544" s="401" t="n"/>
      <c r="P3544" s="401" t="n"/>
      <c r="S3544" s="401" t="n"/>
      <c r="U3544" s="401" t="n"/>
      <c r="V3544" s="22" t="n"/>
      <c r="W3544" s="22" t="n"/>
      <c r="X3544" s="22" t="n"/>
      <c r="Y3544" s="13" t="n"/>
      <c r="Z3544" s="22" t="n"/>
      <c r="AA3544" s="22" t="n"/>
      <c r="AB3544" s="22" t="n"/>
      <c r="AC3544" s="22" t="n"/>
      <c r="AD3544" s="22" t="n"/>
      <c r="AE3544" s="22" t="n"/>
    </row>
    <row r="3545" ht="126" customHeight="1" s="380">
      <c r="A3545" s="144" t="n">
        <v>129</v>
      </c>
      <c r="B3545" s="390" t="n"/>
      <c r="C3545" s="390" t="inlineStr">
        <is>
          <t>Báo cáo tài chính quý, soát xét bán niên, kiểm toán năm - Chi nhánh công ty chứng khoán nước ngoài tại Việt Nam &gt;&gt; Phần lưu chuyển tiền tệ hoạt động môi giới, ủy thác của khách hàng_06614</t>
        </is>
      </c>
      <c r="D3545" s="390" t="inlineStr">
        <is>
          <t>Các khoản tương đương tiền</t>
        </is>
      </c>
      <c r="E3545" s="390" t="n">
        <v>36</v>
      </c>
      <c r="F3545" s="390" t="inlineStr">
        <is>
          <t>Data Explorer</t>
        </is>
      </c>
      <c r="G3545" s="390" t="inlineStr">
        <is>
          <t>Chỉ tiêu cơ sở</t>
        </is>
      </c>
      <c r="H3545" s="390" t="inlineStr">
        <is>
          <t>Dễ</t>
        </is>
      </c>
      <c r="I3545" s="390" t="inlineStr">
        <is>
          <t>Ngày, CTCK</t>
        </is>
      </c>
      <c r="J3545" s="401" t="inlineStr">
        <is>
          <t>SCMS</t>
        </is>
      </c>
      <c r="K3545" s="401" t="n"/>
      <c r="L3545" s="401" t="inlineStr">
        <is>
          <t>X</t>
        </is>
      </c>
      <c r="M3545" s="401" t="n"/>
      <c r="N3545" s="401" t="inlineStr">
        <is>
          <t>Done</t>
        </is>
      </c>
      <c r="O3545" s="401" t="n"/>
      <c r="P3545" s="401" t="n"/>
      <c r="S3545" s="401" t="n"/>
      <c r="U3545" s="401" t="n"/>
      <c r="V3545" s="22" t="n"/>
      <c r="W3545" s="22" t="n"/>
      <c r="X3545" s="22" t="n"/>
      <c r="Y3545" s="13" t="n"/>
      <c r="Z3545" s="22" t="n"/>
      <c r="AA3545" s="22" t="n"/>
      <c r="AB3545" s="22" t="n"/>
      <c r="AC3545" s="22" t="n"/>
      <c r="AD3545" s="22" t="n"/>
      <c r="AE3545" s="22" t="n"/>
    </row>
    <row r="3546" ht="126" customHeight="1" s="380">
      <c r="A3546" s="144" t="n">
        <v>129</v>
      </c>
      <c r="B3546" s="390" t="n"/>
      <c r="C3546" s="390" t="inlineStr">
        <is>
          <t>Báo cáo tài chính quý, soát xét bán niên, kiểm toán năm - Chi nhánh công ty chứng khoán nước ngoài tại Việt Nam &gt;&gt; Phần lưu chuyển tiền tệ hoạt động môi giới, ủy thác của khách hàng_06614</t>
        </is>
      </c>
      <c r="D3546" s="390" t="inlineStr">
        <is>
          <t>Ảnh hưởng của thay đổi tỷ giá hối đoái quy đổi ngoại tệ</t>
        </is>
      </c>
      <c r="E3546" s="390" t="n">
        <v>37</v>
      </c>
      <c r="F3546" s="390" t="inlineStr">
        <is>
          <t>Data Explorer</t>
        </is>
      </c>
      <c r="G3546" s="390" t="inlineStr">
        <is>
          <t>Chỉ tiêu cơ sở</t>
        </is>
      </c>
      <c r="H3546" s="390" t="inlineStr">
        <is>
          <t>Dễ</t>
        </is>
      </c>
      <c r="I3546" s="390" t="inlineStr">
        <is>
          <t>Ngày, CTCK</t>
        </is>
      </c>
      <c r="J3546" s="401" t="inlineStr">
        <is>
          <t>SCMS</t>
        </is>
      </c>
      <c r="K3546" s="401" t="n"/>
      <c r="L3546" s="401" t="inlineStr">
        <is>
          <t>X</t>
        </is>
      </c>
      <c r="M3546" s="401" t="n"/>
      <c r="N3546" s="401" t="inlineStr">
        <is>
          <t>Done</t>
        </is>
      </c>
      <c r="O3546" s="401" t="n"/>
      <c r="P3546" s="401" t="n"/>
      <c r="S3546" s="401" t="n"/>
      <c r="U3546" s="401" t="n"/>
      <c r="V3546" s="22" t="n"/>
      <c r="W3546" s="22" t="n"/>
      <c r="X3546" s="22" t="n"/>
      <c r="Y3546" s="38" t="n"/>
      <c r="Z3546" s="22" t="n"/>
      <c r="AA3546" s="22" t="n"/>
      <c r="AB3546" s="22" t="n"/>
      <c r="AC3546" s="22" t="n"/>
      <c r="AD3546" s="22" t="n"/>
      <c r="AE3546" s="22" t="n"/>
    </row>
    <row r="3547" ht="126" customHeight="1" s="380">
      <c r="A3547" s="144" t="n">
        <v>129</v>
      </c>
      <c r="B3547" s="390" t="n"/>
      <c r="C3547" s="390" t="inlineStr">
        <is>
          <t>Báo cáo tài chính quý, soát xét bán niên, kiểm toán năm - Chi nhánh công ty chứng khoán nước ngoài tại Việt Nam &gt;&gt; Phần lưu chuyển tiền tệ hoạt động môi giới, ủy thác của khách hàng_06614</t>
        </is>
      </c>
      <c r="D3547" s="132" t="inlineStr">
        <is>
          <t>III, Tiền và các khoản tương đương tiền cuối kỳ của khách hàng</t>
        </is>
      </c>
      <c r="E3547" s="132" t="n">
        <v>40</v>
      </c>
      <c r="F3547" s="390" t="inlineStr">
        <is>
          <t>Data Explorer</t>
        </is>
      </c>
      <c r="G3547" s="390" t="inlineStr">
        <is>
          <t>Chỉ tiêu cơ sở</t>
        </is>
      </c>
      <c r="H3547" s="390" t="inlineStr">
        <is>
          <t>Dễ</t>
        </is>
      </c>
      <c r="I3547" s="390" t="inlineStr">
        <is>
          <t>Ngày, CTCK</t>
        </is>
      </c>
      <c r="J3547" s="401" t="inlineStr">
        <is>
          <t>SCMS</t>
        </is>
      </c>
      <c r="K3547" s="401" t="n"/>
      <c r="L3547" s="401" t="inlineStr">
        <is>
          <t>X</t>
        </is>
      </c>
      <c r="M3547" s="401" t="n"/>
      <c r="N3547" s="401" t="inlineStr">
        <is>
          <t>Done</t>
        </is>
      </c>
      <c r="O3547" s="401" t="n"/>
      <c r="P3547" s="401" t="n"/>
      <c r="S3547" s="401" t="n"/>
      <c r="U3547" s="401" t="n"/>
      <c r="V3547" s="22" t="n"/>
      <c r="W3547" s="22" t="n"/>
      <c r="X3547" s="22" t="n"/>
      <c r="Y3547" s="13" t="n"/>
      <c r="Z3547" s="22" t="n"/>
      <c r="AA3547" s="22" t="n"/>
      <c r="AB3547" s="22" t="n"/>
      <c r="AC3547" s="22" t="n"/>
      <c r="AD3547" s="22" t="n"/>
      <c r="AE3547" s="22" t="n"/>
    </row>
    <row r="3548" ht="126" customHeight="1" s="380">
      <c r="A3548" s="144" t="n">
        <v>129</v>
      </c>
      <c r="B3548" s="390" t="n"/>
      <c r="C3548" s="390" t="inlineStr">
        <is>
          <t>Báo cáo tài chính quý, soát xét bán niên, kiểm toán năm - Chi nhánh công ty chứng khoán nước ngoài tại Việt Nam &gt;&gt; Phần lưu chuyển tiền tệ hoạt động môi giới, ủy thác của khách hàng_06614</t>
        </is>
      </c>
      <c r="D3548" s="390" t="inlineStr">
        <is>
          <t>Tiền gửi ngân hàng cuối kỳ:</t>
        </is>
      </c>
      <c r="E3548" s="390" t="n">
        <v>41</v>
      </c>
      <c r="F3548" s="390" t="inlineStr">
        <is>
          <t>Data Explorer</t>
        </is>
      </c>
      <c r="G3548" s="390" t="inlineStr">
        <is>
          <t>Chỉ tiêu cơ sở</t>
        </is>
      </c>
      <c r="H3548" s="390" t="inlineStr">
        <is>
          <t>Dễ</t>
        </is>
      </c>
      <c r="I3548" s="390" t="inlineStr">
        <is>
          <t>Ngày, CTCK</t>
        </is>
      </c>
      <c r="J3548" s="401" t="inlineStr">
        <is>
          <t>SCMS</t>
        </is>
      </c>
      <c r="K3548" s="401" t="n"/>
      <c r="L3548" s="401" t="inlineStr">
        <is>
          <t>X</t>
        </is>
      </c>
      <c r="M3548" s="401" t="n"/>
      <c r="N3548" s="401" t="inlineStr">
        <is>
          <t>Done</t>
        </is>
      </c>
      <c r="O3548" s="401" t="n"/>
      <c r="P3548" s="401" t="n"/>
      <c r="S3548" s="401" t="n"/>
      <c r="U3548" s="401" t="n"/>
      <c r="V3548" s="22" t="n"/>
      <c r="W3548" s="22" t="n"/>
      <c r="X3548" s="22" t="n"/>
      <c r="Y3548" s="13" t="n"/>
      <c r="Z3548" s="22" t="n"/>
      <c r="AA3548" s="22" t="n"/>
      <c r="AB3548" s="22" t="n"/>
      <c r="AC3548" s="22" t="n"/>
      <c r="AD3548" s="22" t="n"/>
      <c r="AE3548" s="22" t="n"/>
    </row>
    <row r="3549" ht="126" customHeight="1" s="380">
      <c r="A3549" s="144" t="n">
        <v>129</v>
      </c>
      <c r="B3549" s="390" t="n"/>
      <c r="C3549" s="390" t="inlineStr">
        <is>
          <t>Báo cáo tài chính quý, soát xét bán niên, kiểm toán năm - Chi nhánh công ty chứng khoán nước ngoài tại Việt Nam &gt;&gt; Phần lưu chuyển tiền tệ hoạt động môi giới, ủy thác của khách hàng_06614</t>
        </is>
      </c>
      <c r="D3549" s="390" t="inlineStr">
        <is>
          <t xml:space="preserve">-Tiền gửi của Nhà đầu tư về giao dịch chứng khoán theo phương thức CTCK quản lý </t>
        </is>
      </c>
      <c r="E3549" s="390" t="n">
        <v>42</v>
      </c>
      <c r="F3549" s="390" t="inlineStr">
        <is>
          <t>Data Explorer</t>
        </is>
      </c>
      <c r="G3549" s="390" t="inlineStr">
        <is>
          <t>Chỉ tiêu cơ sở</t>
        </is>
      </c>
      <c r="H3549" s="390" t="inlineStr">
        <is>
          <t>Dễ</t>
        </is>
      </c>
      <c r="I3549" s="390" t="inlineStr">
        <is>
          <t>Ngày, CTCK</t>
        </is>
      </c>
      <c r="J3549" s="401" t="inlineStr">
        <is>
          <t>SCMS</t>
        </is>
      </c>
      <c r="K3549" s="401" t="n"/>
      <c r="L3549" s="401" t="inlineStr">
        <is>
          <t>X</t>
        </is>
      </c>
      <c r="M3549" s="401" t="n"/>
      <c r="N3549" s="401" t="inlineStr">
        <is>
          <t>Done</t>
        </is>
      </c>
      <c r="O3549" s="401" t="n"/>
      <c r="P3549" s="401" t="n"/>
      <c r="S3549" s="401" t="n"/>
      <c r="U3549" s="401" t="n"/>
      <c r="V3549" s="22" t="n"/>
      <c r="W3549" s="22" t="n"/>
      <c r="X3549" s="22" t="n"/>
      <c r="Y3549" s="13" t="n"/>
      <c r="Z3549" s="22" t="n"/>
      <c r="AA3549" s="22" t="n"/>
      <c r="AB3549" s="22" t="n"/>
      <c r="AC3549" s="22" t="n"/>
      <c r="AD3549" s="22" t="n"/>
      <c r="AE3549" s="22" t="n"/>
    </row>
    <row r="3550" ht="126" customHeight="1" s="380">
      <c r="A3550" s="144" t="n">
        <v>129</v>
      </c>
      <c r="B3550" s="390" t="n"/>
      <c r="C3550" s="390" t="inlineStr">
        <is>
          <t>Báo cáo tài chính quý, soát xét bán niên, kiểm toán năm - Chi nhánh công ty chứng khoán nước ngoài tại Việt Nam &gt;&gt; Phần lưu chuyển tiền tệ hoạt động môi giới, ủy thác của khách hàng_06614</t>
        </is>
      </c>
      <c r="D3550" s="390" t="inlineStr">
        <is>
          <t>Trong đó có kỳ hạn</t>
        </is>
      </c>
      <c r="E3550" s="390" t="n">
        <v>42</v>
      </c>
      <c r="F3550" s="390" t="inlineStr">
        <is>
          <t>Data Explorer</t>
        </is>
      </c>
      <c r="G3550" s="390" t="inlineStr">
        <is>
          <t>Chỉ tiêu cơ sở</t>
        </is>
      </c>
      <c r="H3550" s="390" t="inlineStr">
        <is>
          <t>Dễ</t>
        </is>
      </c>
      <c r="I3550" s="390" t="inlineStr">
        <is>
          <t>Ngày, CTCK</t>
        </is>
      </c>
      <c r="J3550" s="401" t="inlineStr">
        <is>
          <t>SCMS</t>
        </is>
      </c>
      <c r="K3550" s="401" t="n"/>
      <c r="L3550" s="401" t="inlineStr">
        <is>
          <t>X</t>
        </is>
      </c>
      <c r="M3550" s="401" t="n"/>
      <c r="N3550" s="401" t="inlineStr">
        <is>
          <t>Done</t>
        </is>
      </c>
      <c r="O3550" s="401" t="n"/>
      <c r="P3550" s="401" t="n"/>
      <c r="S3550" s="401" t="n"/>
      <c r="U3550" s="401" t="n"/>
      <c r="V3550" s="22" t="n"/>
      <c r="W3550" s="22" t="n"/>
      <c r="X3550" s="22" t="n"/>
      <c r="Y3550" s="13" t="n"/>
      <c r="Z3550" s="22" t="n"/>
      <c r="AA3550" s="22" t="n"/>
      <c r="AB3550" s="22" t="n"/>
      <c r="AC3550" s="22" t="n"/>
      <c r="AD3550" s="22" t="n"/>
      <c r="AE3550" s="22" t="n"/>
    </row>
    <row r="3551" ht="126" customHeight="1" s="380">
      <c r="A3551" s="144" t="n">
        <v>129</v>
      </c>
      <c r="B3551" s="390" t="n"/>
      <c r="C3551" s="390" t="inlineStr">
        <is>
          <t>Báo cáo tài chính quý, soát xét bán niên, kiểm toán năm - Chi nhánh công ty chứng khoán nước ngoài tại Việt Nam &gt;&gt; Phần lưu chuyển tiền tệ hoạt động môi giới, ủy thác của khách hàng_06614</t>
        </is>
      </c>
      <c r="D3551" s="390" t="inlineStr">
        <is>
          <t xml:space="preserve">- Tiền gửi tổng hợp giao dịch chứng khoán cho khách hàng </t>
        </is>
      </c>
      <c r="E3551" s="390" t="n">
        <v>43</v>
      </c>
      <c r="F3551" s="390" t="inlineStr">
        <is>
          <t>Data Explorer</t>
        </is>
      </c>
      <c r="G3551" s="390" t="inlineStr">
        <is>
          <t>Chỉ tiêu cơ sở</t>
        </is>
      </c>
      <c r="H3551" s="390" t="inlineStr">
        <is>
          <t>Dễ</t>
        </is>
      </c>
      <c r="I3551" s="390" t="inlineStr">
        <is>
          <t>Ngày, CTCK</t>
        </is>
      </c>
      <c r="J3551" s="401" t="inlineStr">
        <is>
          <t>SCMS</t>
        </is>
      </c>
      <c r="K3551" s="401" t="n"/>
      <c r="L3551" s="401" t="inlineStr">
        <is>
          <t>X</t>
        </is>
      </c>
      <c r="M3551" s="401" t="n"/>
      <c r="N3551" s="401" t="inlineStr">
        <is>
          <t>Done</t>
        </is>
      </c>
      <c r="O3551" s="401" t="n"/>
      <c r="P3551" s="401" t="n"/>
      <c r="S3551" s="401" t="n"/>
      <c r="U3551" s="401" t="n"/>
      <c r="V3551" s="22" t="n"/>
      <c r="W3551" s="22" t="n"/>
      <c r="X3551" s="22" t="n"/>
      <c r="Y3551" s="13" t="n"/>
      <c r="Z3551" s="22" t="n"/>
      <c r="AA3551" s="22" t="n"/>
      <c r="AB3551" s="22" t="n"/>
      <c r="AC3551" s="22" t="n"/>
      <c r="AD3551" s="22" t="n"/>
      <c r="AE3551" s="22" t="n"/>
    </row>
    <row r="3552" ht="126" customHeight="1" s="380">
      <c r="A3552" s="144" t="n">
        <v>129</v>
      </c>
      <c r="B3552" s="390" t="n"/>
      <c r="C3552" s="390" t="inlineStr">
        <is>
          <t>Báo cáo tài chính quý, soát xét bán niên, kiểm toán năm - Chi nhánh công ty chứng khoán nước ngoài tại Việt Nam &gt;&gt; Phần lưu chuyển tiền tệ hoạt động môi giới, ủy thác của khách hàng_06614</t>
        </is>
      </c>
      <c r="D3552" s="390" t="inlineStr">
        <is>
          <t>- Tiền gửi bù trừ và thanh toán giao dịch chứng khoán</t>
        </is>
      </c>
      <c r="E3552" s="390" t="n">
        <v>44</v>
      </c>
      <c r="F3552" s="390" t="inlineStr">
        <is>
          <t>Data Explorer</t>
        </is>
      </c>
      <c r="G3552" s="390" t="inlineStr">
        <is>
          <t>Chỉ tiêu cơ sở</t>
        </is>
      </c>
      <c r="H3552" s="390" t="inlineStr">
        <is>
          <t>Dễ</t>
        </is>
      </c>
      <c r="I3552" s="390" t="inlineStr">
        <is>
          <t>Ngày, CTCK</t>
        </is>
      </c>
      <c r="J3552" s="401" t="inlineStr">
        <is>
          <t>SCMS</t>
        </is>
      </c>
      <c r="K3552" s="401" t="n"/>
      <c r="L3552" s="401" t="inlineStr">
        <is>
          <t>X</t>
        </is>
      </c>
      <c r="M3552" s="401" t="n"/>
      <c r="N3552" s="401" t="inlineStr">
        <is>
          <t>Done</t>
        </is>
      </c>
      <c r="O3552" s="401" t="n"/>
      <c r="P3552" s="401" t="n"/>
      <c r="S3552" s="401" t="n"/>
      <c r="U3552" s="401" t="n"/>
      <c r="V3552" s="22" t="n"/>
      <c r="W3552" s="22" t="n"/>
      <c r="X3552" s="22" t="n"/>
      <c r="Y3552" s="38" t="n"/>
      <c r="Z3552" s="22" t="n"/>
      <c r="AA3552" s="22" t="n"/>
      <c r="AB3552" s="22" t="n"/>
      <c r="AC3552" s="22" t="n"/>
      <c r="AD3552" s="22" t="n"/>
      <c r="AE3552" s="22" t="n"/>
    </row>
    <row r="3553" ht="126" customHeight="1" s="380">
      <c r="A3553" s="144" t="n">
        <v>129</v>
      </c>
      <c r="B3553" s="390" t="n"/>
      <c r="C3553" s="390" t="inlineStr">
        <is>
          <t>Báo cáo tài chính quý, soát xét bán niên, kiểm toán năm - Chi nhánh công ty chứng khoán nước ngoài tại Việt Nam &gt;&gt; Phần lưu chuyển tiền tệ hoạt động môi giới, ủy thác của khách hàng_06614</t>
        </is>
      </c>
      <c r="D3553" s="390" t="inlineStr">
        <is>
          <t>- Tiền gửi của Tổ chức phát hành</t>
        </is>
      </c>
      <c r="E3553" s="390" t="n">
        <v>45</v>
      </c>
      <c r="F3553" s="390" t="inlineStr">
        <is>
          <t>Data Explorer</t>
        </is>
      </c>
      <c r="G3553" s="390" t="inlineStr">
        <is>
          <t>Chỉ tiêu cơ sở</t>
        </is>
      </c>
      <c r="H3553" s="390" t="inlineStr">
        <is>
          <t>Dễ</t>
        </is>
      </c>
      <c r="I3553" s="390" t="inlineStr">
        <is>
          <t>Ngày, CTCK</t>
        </is>
      </c>
      <c r="J3553" s="401" t="inlineStr">
        <is>
          <t>SCMS</t>
        </is>
      </c>
      <c r="K3553" s="401" t="n"/>
      <c r="L3553" s="401" t="inlineStr">
        <is>
          <t>X</t>
        </is>
      </c>
      <c r="M3553" s="401" t="n"/>
      <c r="N3553" s="401" t="inlineStr">
        <is>
          <t>Done</t>
        </is>
      </c>
      <c r="O3553" s="401" t="n"/>
      <c r="P3553" s="401" t="n"/>
      <c r="S3553" s="401" t="n"/>
      <c r="U3553" s="401" t="n"/>
      <c r="V3553" s="22" t="n"/>
      <c r="W3553" s="22" t="n"/>
      <c r="X3553" s="22" t="n"/>
      <c r="Y3553" s="13" t="n"/>
      <c r="Z3553" s="22" t="n"/>
      <c r="AA3553" s="22" t="n"/>
      <c r="AB3553" s="22" t="n"/>
      <c r="AC3553" s="22" t="n"/>
      <c r="AD3553" s="22" t="n"/>
      <c r="AE3553" s="22" t="n"/>
    </row>
    <row r="3554" ht="126" customHeight="1" s="380">
      <c r="A3554" s="144" t="n">
        <v>129</v>
      </c>
      <c r="B3554" s="390" t="n"/>
      <c r="C3554" s="390" t="inlineStr">
        <is>
          <t>Báo cáo tài chính quý, soát xét bán niên, kiểm toán năm - Chi nhánh công ty chứng khoán nước ngoài tại Việt Nam &gt;&gt; Phần lưu chuyển tiền tệ hoạt động môi giới, ủy thác của khách hàng_06614</t>
        </is>
      </c>
      <c r="D3554" s="390" t="inlineStr">
        <is>
          <t>Trong đó có kỳ hạn</t>
        </is>
      </c>
      <c r="E3554" s="390" t="n">
        <v>45</v>
      </c>
      <c r="F3554" s="390" t="inlineStr">
        <is>
          <t>Data Explorer</t>
        </is>
      </c>
      <c r="G3554" s="390" t="inlineStr">
        <is>
          <t>Chỉ tiêu cơ sở</t>
        </is>
      </c>
      <c r="H3554" s="390" t="inlineStr">
        <is>
          <t>Dễ</t>
        </is>
      </c>
      <c r="I3554" s="390" t="inlineStr">
        <is>
          <t>Ngày, CTCK</t>
        </is>
      </c>
      <c r="J3554" s="401" t="inlineStr">
        <is>
          <t>SCMS</t>
        </is>
      </c>
      <c r="K3554" s="401" t="n"/>
      <c r="L3554" s="401" t="inlineStr">
        <is>
          <t>X</t>
        </is>
      </c>
      <c r="M3554" s="401" t="n"/>
      <c r="N3554" s="401" t="inlineStr">
        <is>
          <t>Done</t>
        </is>
      </c>
      <c r="O3554" s="401" t="n"/>
      <c r="P3554" s="401" t="n"/>
      <c r="S3554" s="401" t="n"/>
      <c r="U3554" s="401" t="n"/>
      <c r="V3554" s="22" t="n"/>
      <c r="W3554" s="22" t="n"/>
      <c r="X3554" s="22" t="n"/>
      <c r="Y3554" s="13" t="n"/>
      <c r="Z3554" s="22" t="n"/>
      <c r="AA3554" s="22" t="n"/>
      <c r="AB3554" s="22" t="n"/>
      <c r="AC3554" s="22" t="n"/>
      <c r="AD3554" s="22" t="n"/>
      <c r="AE3554" s="22" t="n"/>
    </row>
    <row r="3555" ht="126" customHeight="1" s="380">
      <c r="A3555" s="144" t="n">
        <v>129</v>
      </c>
      <c r="B3555" s="390" t="n"/>
      <c r="C3555" s="390" t="inlineStr">
        <is>
          <t>Báo cáo tài chính quý, soát xét bán niên, kiểm toán năm - Chi nhánh công ty chứng khoán nước ngoài tại Việt Nam &gt;&gt; Phần lưu chuyển tiền tệ hoạt động môi giới, ủy thác của khách hàng_06614</t>
        </is>
      </c>
      <c r="D3555" s="390" t="inlineStr">
        <is>
          <t>Các khoản tương đương tiền</t>
        </is>
      </c>
      <c r="E3555" s="390" t="n">
        <v>46</v>
      </c>
      <c r="F3555" s="390" t="inlineStr">
        <is>
          <t>Data Explorer</t>
        </is>
      </c>
      <c r="G3555" s="390" t="inlineStr">
        <is>
          <t>Chỉ tiêu cơ sở</t>
        </is>
      </c>
      <c r="H3555" s="390" t="inlineStr">
        <is>
          <t>Dễ</t>
        </is>
      </c>
      <c r="I3555" s="390" t="inlineStr">
        <is>
          <t>Ngày, CTCK</t>
        </is>
      </c>
      <c r="J3555" s="401" t="inlineStr">
        <is>
          <t>SCMS</t>
        </is>
      </c>
      <c r="K3555" s="401" t="n"/>
      <c r="L3555" s="401" t="inlineStr">
        <is>
          <t>X</t>
        </is>
      </c>
      <c r="M3555" s="401" t="n"/>
      <c r="N3555" s="401" t="inlineStr">
        <is>
          <t>Done</t>
        </is>
      </c>
      <c r="O3555" s="401" t="n"/>
      <c r="P3555" s="401" t="n"/>
      <c r="S3555" s="401" t="n"/>
      <c r="U3555" s="401" t="n"/>
      <c r="V3555" s="22" t="n"/>
      <c r="W3555" s="22" t="n"/>
      <c r="X3555" s="22" t="n"/>
      <c r="Y3555" s="13" t="n"/>
      <c r="Z3555" s="22" t="n"/>
      <c r="AA3555" s="22" t="n"/>
      <c r="AB3555" s="22" t="n"/>
      <c r="AC3555" s="22" t="n"/>
      <c r="AD3555" s="22" t="n"/>
      <c r="AE3555" s="22" t="n"/>
    </row>
    <row r="3556" ht="126" customHeight="1" s="380">
      <c r="A3556" s="145" t="n">
        <v>129</v>
      </c>
      <c r="B3556" s="129" t="n"/>
      <c r="C3556" s="129" t="inlineStr">
        <is>
          <t>Báo cáo tài chính quý, soát xét bán niên, kiểm toán năm - Chi nhánh công ty chứng khoán nước ngoài tại Việt Nam &gt;&gt; Phần lưu chuyển tiền tệ hoạt động môi giới, ủy thác của khách hàng_06614</t>
        </is>
      </c>
      <c r="D3556" s="129" t="inlineStr">
        <is>
          <t>- Ảnh hưởng của thay đổi tỷ giá hối đoái quy đổi ngoại tệ</t>
        </is>
      </c>
      <c r="E3556" s="129" t="n">
        <v>47</v>
      </c>
      <c r="F3556" s="129" t="inlineStr">
        <is>
          <t>Data Explorer</t>
        </is>
      </c>
      <c r="G3556" s="129" t="inlineStr">
        <is>
          <t>Chỉ tiêu cơ sở</t>
        </is>
      </c>
      <c r="H3556" s="129" t="inlineStr">
        <is>
          <t>Dễ</t>
        </is>
      </c>
      <c r="I3556" s="129" t="inlineStr">
        <is>
          <t>Ngày, CTCK</t>
        </is>
      </c>
      <c r="J3556" s="85" t="inlineStr">
        <is>
          <t>SCMS</t>
        </is>
      </c>
      <c r="K3556" s="85" t="n"/>
      <c r="L3556" s="85" t="inlineStr">
        <is>
          <t>X</t>
        </is>
      </c>
      <c r="M3556" s="85" t="n"/>
      <c r="N3556" s="85" t="inlineStr">
        <is>
          <t>Done</t>
        </is>
      </c>
      <c r="O3556" s="85" t="n"/>
      <c r="P3556" s="85" t="n"/>
      <c r="Q3556" s="426" t="n"/>
      <c r="R3556" s="426" t="n"/>
      <c r="S3556" s="85" t="n"/>
      <c r="T3556" s="426" t="n"/>
      <c r="U3556" s="85" t="n"/>
      <c r="V3556" s="130" t="n"/>
      <c r="W3556" s="130" t="n"/>
      <c r="X3556" s="130" t="n"/>
      <c r="Y3556" s="97" t="n"/>
      <c r="Z3556" s="130" t="n"/>
      <c r="AA3556" s="130" t="n"/>
      <c r="AB3556" s="130" t="n"/>
      <c r="AC3556" s="130" t="n"/>
      <c r="AD3556" s="130" t="n"/>
      <c r="AE3556" s="130" t="n"/>
    </row>
    <row r="3557" ht="98" customHeight="1" s="380">
      <c r="A3557" s="144" t="n">
        <v>130</v>
      </c>
      <c r="B3557" s="140" t="inlineStr">
        <is>
          <t>Nga</t>
        </is>
      </c>
      <c r="C3557" s="127" t="inlineStr">
        <is>
          <t>Báo cáo tài chính quý, soát xét bán niên, kiểm toán năm - Chi nhánh công ty chứng khoán nước ngoài tại Việt Nam &gt;&gt; Báo cáo tình hình biến động vốn chủ sở hữu</t>
        </is>
      </c>
      <c r="D3557" s="106" t="inlineStr">
        <is>
          <t>Loại báo cáo</t>
        </is>
      </c>
      <c r="E3557" s="107" t="inlineStr">
        <is>
          <t>Loại báo cáo</t>
        </is>
      </c>
      <c r="F3557" s="390" t="inlineStr">
        <is>
          <t>Data Explorer</t>
        </is>
      </c>
      <c r="G3557" s="390" t="inlineStr">
        <is>
          <t>Chiều</t>
        </is>
      </c>
      <c r="H3557" s="390" t="inlineStr">
        <is>
          <t>Dễ</t>
        </is>
      </c>
      <c r="I3557" s="390" t="inlineStr">
        <is>
          <t>Ngày, CTCK</t>
        </is>
      </c>
      <c r="J3557" s="401" t="inlineStr">
        <is>
          <t>SCMS</t>
        </is>
      </c>
      <c r="K3557" s="401" t="inlineStr">
        <is>
          <t>X</t>
        </is>
      </c>
      <c r="L3557" s="401" t="inlineStr">
        <is>
          <t>X</t>
        </is>
      </c>
      <c r="M3557" s="401" t="n"/>
      <c r="N3557" s="401" t="inlineStr">
        <is>
          <t>Done</t>
        </is>
      </c>
      <c r="O3557" s="401" t="n"/>
      <c r="P3557" s="401" t="n"/>
      <c r="Q3557" s="404" t="inlineStr">
        <is>
          <t>SCMS.BM_BAO_CAO
SCMS.BM_BAO_CAO_DINH_KY</t>
        </is>
      </c>
      <c r="R3557" s="404" t="inlineStr">
        <is>
          <t>bm.ID,
bm.MA_BAO_CAO,
bm.LOAI_BAO_CAO,
bm.TEN_BAO_CAO,
bm.SU_DUNG,
bdk.BM_BAO_CAO_ID,
bdk.KY_BAO_CAO,
bdk.SU_DUNG</t>
        </is>
      </c>
      <c r="S3557" s="401" t="n"/>
      <c r="T3557" s="390" t="inlineStr">
        <is>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is>
      </c>
      <c r="U3557" s="401" t="n"/>
      <c r="V3557" s="22" t="n"/>
      <c r="W3557" s="22" t="n"/>
      <c r="X3557" s="22" t="n"/>
      <c r="Y3557" s="13" t="n"/>
      <c r="Z3557" s="22" t="n"/>
      <c r="AA3557" s="22" t="n"/>
      <c r="AB3557" s="22" t="n"/>
      <c r="AC3557" s="22" t="n"/>
      <c r="AD3557" s="22" t="n"/>
      <c r="AE3557" s="22" t="n"/>
    </row>
    <row r="3558" ht="98" customHeight="1" s="380">
      <c r="A3558" s="144" t="n">
        <v>130</v>
      </c>
      <c r="B3558" s="390" t="n"/>
      <c r="C3558" s="390" t="inlineStr">
        <is>
          <t>Báo cáo tài chính quý, soát xét bán niên, kiểm toán năm - Chi nhánh công ty chứng khoán nước ngoài tại Việt Nam &gt;&gt; Báo cáo tình hình biến động vốn chủ sở hữu</t>
        </is>
      </c>
      <c r="D3558" s="106" t="inlineStr">
        <is>
          <t>Kỳ báo cáo</t>
        </is>
      </c>
      <c r="E3558" s="107" t="inlineStr">
        <is>
          <t>Kỳ báo cáo</t>
        </is>
      </c>
      <c r="F3558" s="390" t="inlineStr">
        <is>
          <t>Data Explorer</t>
        </is>
      </c>
      <c r="G3558" s="390" t="inlineStr">
        <is>
          <t>Chiều</t>
        </is>
      </c>
      <c r="H3558" s="390" t="inlineStr">
        <is>
          <t>Dễ</t>
        </is>
      </c>
      <c r="I3558" s="390" t="inlineStr">
        <is>
          <t>Ngày, CTCK</t>
        </is>
      </c>
      <c r="J3558" s="401" t="inlineStr">
        <is>
          <t>SCMS</t>
        </is>
      </c>
      <c r="K3558" s="401" t="inlineStr">
        <is>
          <t>X</t>
        </is>
      </c>
      <c r="L3558" s="401" t="inlineStr">
        <is>
          <t>X</t>
        </is>
      </c>
      <c r="M3558" s="401" t="n"/>
      <c r="N3558" s="401" t="inlineStr">
        <is>
          <t>Done</t>
        </is>
      </c>
      <c r="O3558" s="401" t="n"/>
      <c r="P3558" s="401" t="n"/>
      <c r="S3558" s="401" t="n"/>
      <c r="U3558" s="401" t="n"/>
      <c r="V3558" s="22" t="n"/>
      <c r="W3558" s="22" t="n"/>
      <c r="X3558" s="22" t="n"/>
      <c r="Y3558" s="38" t="n"/>
      <c r="Z3558" s="22" t="n"/>
      <c r="AA3558" s="22" t="n"/>
      <c r="AB3558" s="22" t="n"/>
      <c r="AC3558" s="22" t="n"/>
      <c r="AD3558" s="22" t="n"/>
      <c r="AE3558" s="22" t="n"/>
    </row>
    <row r="3559" ht="98" customHeight="1" s="380">
      <c r="A3559" s="144" t="n">
        <v>130</v>
      </c>
      <c r="B3559" s="390" t="n"/>
      <c r="C3559" s="390" t="inlineStr">
        <is>
          <t>Báo cáo tài chính quý, soát xét bán niên, kiểm toán năm - Chi nhánh công ty chứng khoán nước ngoài tại Việt Nam &gt;&gt; Báo cáo tình hình biến động vốn chủ sở hữu</t>
        </is>
      </c>
      <c r="D3559" s="106" t="inlineStr">
        <is>
          <t>Mã báo cáo</t>
        </is>
      </c>
      <c r="E3559" s="107" t="inlineStr">
        <is>
          <t>Mã báo cáo</t>
        </is>
      </c>
      <c r="F3559" s="390" t="inlineStr">
        <is>
          <t>Data Explorer</t>
        </is>
      </c>
      <c r="G3559" s="390" t="inlineStr">
        <is>
          <t>Chiều</t>
        </is>
      </c>
      <c r="H3559" s="390" t="inlineStr">
        <is>
          <t>Dễ</t>
        </is>
      </c>
      <c r="I3559" s="390" t="inlineStr">
        <is>
          <t>Ngày, CTCK</t>
        </is>
      </c>
      <c r="J3559" s="401" t="inlineStr">
        <is>
          <t>SCMS</t>
        </is>
      </c>
      <c r="K3559" s="401" t="inlineStr">
        <is>
          <t>X</t>
        </is>
      </c>
      <c r="L3559" s="401" t="inlineStr">
        <is>
          <t>X</t>
        </is>
      </c>
      <c r="M3559" s="401" t="n"/>
      <c r="N3559" s="401" t="inlineStr">
        <is>
          <t>Done</t>
        </is>
      </c>
      <c r="O3559" s="401" t="n"/>
      <c r="P3559" s="401" t="n"/>
      <c r="S3559" s="401" t="n"/>
      <c r="U3559" s="401" t="n"/>
      <c r="V3559" s="22" t="n"/>
      <c r="W3559" s="22" t="n"/>
      <c r="X3559" s="22" t="n"/>
      <c r="Y3559" s="13" t="n"/>
      <c r="Z3559" s="22" t="n"/>
      <c r="AA3559" s="22" t="n"/>
      <c r="AB3559" s="22" t="n"/>
      <c r="AC3559" s="22" t="n"/>
      <c r="AD3559" s="22" t="n"/>
      <c r="AE3559" s="22" t="n"/>
    </row>
    <row r="3560" ht="98" customHeight="1" s="380">
      <c r="A3560" s="144" t="n">
        <v>130</v>
      </c>
      <c r="B3560" s="390" t="n"/>
      <c r="C3560" s="390" t="inlineStr">
        <is>
          <t>Báo cáo tài chính quý, soát xét bán niên, kiểm toán năm - Chi nhánh công ty chứng khoán nước ngoài tại Việt Nam &gt;&gt; Báo cáo tình hình biến động vốn chủ sở hữu</t>
        </is>
      </c>
      <c r="D3560" s="106" t="inlineStr">
        <is>
          <t>Tên báo cáo</t>
        </is>
      </c>
      <c r="E3560" s="107" t="inlineStr">
        <is>
          <t>Tên báo cáo</t>
        </is>
      </c>
      <c r="F3560" s="390" t="inlineStr">
        <is>
          <t>Data Explorer</t>
        </is>
      </c>
      <c r="G3560" s="390" t="inlineStr">
        <is>
          <t>Chiều</t>
        </is>
      </c>
      <c r="H3560" s="390" t="inlineStr">
        <is>
          <t>Dễ</t>
        </is>
      </c>
      <c r="I3560" s="390" t="inlineStr">
        <is>
          <t>Ngày, CTCK</t>
        </is>
      </c>
      <c r="J3560" s="401" t="inlineStr">
        <is>
          <t>SCMS</t>
        </is>
      </c>
      <c r="K3560" s="401" t="inlineStr">
        <is>
          <t>X</t>
        </is>
      </c>
      <c r="L3560" s="401" t="inlineStr">
        <is>
          <t>X</t>
        </is>
      </c>
      <c r="M3560" s="401" t="n"/>
      <c r="N3560" s="401" t="inlineStr">
        <is>
          <t>Done</t>
        </is>
      </c>
      <c r="O3560" s="401" t="n"/>
      <c r="P3560" s="401" t="n"/>
      <c r="S3560" s="401" t="n"/>
      <c r="U3560" s="401" t="n"/>
      <c r="V3560" s="22" t="n"/>
      <c r="W3560" s="22" t="n"/>
      <c r="X3560" s="22" t="n"/>
      <c r="Y3560" s="13" t="n"/>
      <c r="Z3560" s="22" t="n"/>
      <c r="AA3560" s="22" t="n"/>
      <c r="AB3560" s="22" t="n"/>
      <c r="AC3560" s="22" t="n"/>
      <c r="AD3560" s="22" t="n"/>
      <c r="AE3560" s="22" t="n"/>
    </row>
    <row r="3561" ht="98" customHeight="1" s="380">
      <c r="A3561" s="144" t="n">
        <v>130</v>
      </c>
      <c r="B3561" s="390" t="n"/>
      <c r="C3561" s="390" t="inlineStr">
        <is>
          <t>Báo cáo tài chính quý, soát xét bán niên, kiểm toán năm - Chi nhánh công ty chứng khoán nước ngoài tại Việt Nam &gt;&gt; Báo cáo tình hình biến động vốn chủ sở hữu</t>
        </is>
      </c>
      <c r="D3561" s="106" t="inlineStr">
        <is>
          <t>Mã sheet</t>
        </is>
      </c>
      <c r="E3561" s="106" t="inlineStr">
        <is>
          <t>Mã sheet</t>
        </is>
      </c>
      <c r="F3561" s="390" t="inlineStr">
        <is>
          <t>Data Explorer</t>
        </is>
      </c>
      <c r="G3561" s="390" t="inlineStr">
        <is>
          <t>Chiều</t>
        </is>
      </c>
      <c r="H3561" s="390" t="inlineStr">
        <is>
          <t>Dễ</t>
        </is>
      </c>
      <c r="I3561" s="390" t="inlineStr">
        <is>
          <t>Ngày, CTCK</t>
        </is>
      </c>
      <c r="J3561" s="401" t="inlineStr">
        <is>
          <t>SCMS</t>
        </is>
      </c>
      <c r="K3561" s="401" t="inlineStr">
        <is>
          <t>X</t>
        </is>
      </c>
      <c r="L3561" s="401" t="inlineStr">
        <is>
          <t>X</t>
        </is>
      </c>
      <c r="M3561" s="401" t="n"/>
      <c r="N3561" s="401" t="inlineStr">
        <is>
          <t>Done</t>
        </is>
      </c>
      <c r="O3561" s="401" t="n"/>
      <c r="P3561" s="401" t="n"/>
      <c r="Q3561" s="401" t="inlineStr">
        <is>
          <t>SCMS.BM_BAO_CAO
SCMS.BM_SHEET</t>
        </is>
      </c>
      <c r="R3561" s="401" t="inlineStr">
        <is>
          <t>bm.ID,
bm.MA_BAO_CAO,
bm.SU_DUNG,
s.BM_BAO_CAO_ID,
s.MA_SHEET,
s.TEN_SHEET,
s.SAP_XEP</t>
        </is>
      </c>
      <c r="S3561" s="401" t="n"/>
      <c r="T3561" s="389" t="inlineStr">
        <is>
          <t>-- Mã sheet / Tên sheet
-- TEN_SHEET: BCTHBDVCSH
SELECT bm.MA_BAO_CAO,
s.MA_SHEET,
s.TEN_SHEET
FROM SCMS.BM_BAO_CAO bm
JOIN SCMS.BM_SHEET s ON s.BM_BAO_CAO_ID = bm.ID
WHERE bm.MA_BAO_CAO LIKE 'BCTCRLCTCK'
AND s.TEN_SHEET = 'BCTHBDVCSH'  -- Check lại
AND bm.SU_DUNG = 1
ORDER BY bm.MA_BAO_CAO, s.SAP_XEP;</t>
        </is>
      </c>
      <c r="U3561" s="401" t="n"/>
      <c r="V3561" s="22" t="n"/>
      <c r="W3561" s="22" t="n"/>
      <c r="X3561" s="22" t="n"/>
      <c r="Y3561" s="13" t="n"/>
      <c r="Z3561" s="22" t="n"/>
      <c r="AA3561" s="22" t="n"/>
      <c r="AB3561" s="22" t="n"/>
      <c r="AC3561" s="22" t="n"/>
      <c r="AD3561" s="22" t="n"/>
      <c r="AE3561" s="22" t="n"/>
    </row>
    <row r="3562" ht="98" customHeight="1" s="380">
      <c r="A3562" s="144" t="n">
        <v>130</v>
      </c>
      <c r="B3562" s="390" t="n"/>
      <c r="C3562" s="390" t="inlineStr">
        <is>
          <t>Báo cáo tài chính quý, soát xét bán niên, kiểm toán năm - Chi nhánh công ty chứng khoán nước ngoài tại Việt Nam &gt;&gt; Báo cáo tình hình biến động vốn chủ sở hữu</t>
        </is>
      </c>
      <c r="D3562" s="106" t="inlineStr">
        <is>
          <t>Tên sheet</t>
        </is>
      </c>
      <c r="E3562" s="106" t="inlineStr">
        <is>
          <t>Tên sheet</t>
        </is>
      </c>
      <c r="F3562" s="390" t="inlineStr">
        <is>
          <t>Data Explorer</t>
        </is>
      </c>
      <c r="G3562" s="390" t="inlineStr">
        <is>
          <t>Chiều</t>
        </is>
      </c>
      <c r="H3562" s="390" t="inlineStr">
        <is>
          <t>Dễ</t>
        </is>
      </c>
      <c r="I3562" s="390" t="inlineStr">
        <is>
          <t>Ngày, CTCK</t>
        </is>
      </c>
      <c r="J3562" s="401" t="inlineStr">
        <is>
          <t>SCMS</t>
        </is>
      </c>
      <c r="K3562" s="401" t="inlineStr">
        <is>
          <t>X</t>
        </is>
      </c>
      <c r="L3562" s="401" t="inlineStr">
        <is>
          <t>X</t>
        </is>
      </c>
      <c r="M3562" s="401" t="n"/>
      <c r="N3562" s="401" t="inlineStr">
        <is>
          <t>Done</t>
        </is>
      </c>
      <c r="O3562" s="401" t="n"/>
      <c r="P3562" s="401" t="n"/>
      <c r="S3562" s="401" t="n"/>
      <c r="U3562" s="401" t="n"/>
      <c r="V3562" s="22" t="n"/>
      <c r="W3562" s="22" t="n"/>
      <c r="X3562" s="22" t="n"/>
      <c r="Y3562" s="13" t="n"/>
      <c r="Z3562" s="22" t="n"/>
      <c r="AA3562" s="22" t="n"/>
      <c r="AB3562" s="22" t="n"/>
      <c r="AC3562" s="22" t="n"/>
      <c r="AD3562" s="22" t="n"/>
      <c r="AE3562" s="22" t="n"/>
    </row>
    <row r="3563" ht="98" customHeight="1" s="380">
      <c r="A3563" s="144" t="n">
        <v>130</v>
      </c>
      <c r="B3563" s="390" t="n"/>
      <c r="C3563" s="390" t="inlineStr">
        <is>
          <t>Báo cáo tài chính quý, soát xét bán niên, kiểm toán năm - Chi nhánh công ty chứng khoán nước ngoài tại Việt Nam &gt;&gt; Báo cáo tình hình biến động vốn chủ sở hữu</t>
        </is>
      </c>
      <c r="D3563" s="106" t="inlineStr">
        <is>
          <t>Mã chỉ tiêu</t>
        </is>
      </c>
      <c r="E3563" s="107" t="inlineStr">
        <is>
          <t>Mã chỉ tiêu</t>
        </is>
      </c>
      <c r="F3563" s="390" t="inlineStr">
        <is>
          <t>Data Explorer</t>
        </is>
      </c>
      <c r="G3563" s="390" t="inlineStr">
        <is>
          <t>Chiều</t>
        </is>
      </c>
      <c r="H3563" s="390" t="inlineStr">
        <is>
          <t>Dễ</t>
        </is>
      </c>
      <c r="I3563" s="390" t="inlineStr">
        <is>
          <t>Ngày, CTCK</t>
        </is>
      </c>
      <c r="J3563" s="401" t="inlineStr">
        <is>
          <t>SCMS</t>
        </is>
      </c>
      <c r="K3563" s="401" t="inlineStr">
        <is>
          <t>X</t>
        </is>
      </c>
      <c r="L3563" s="401" t="inlineStr">
        <is>
          <t>X</t>
        </is>
      </c>
      <c r="M3563" s="401" t="n"/>
      <c r="N3563" s="401" t="inlineStr">
        <is>
          <t>Done</t>
        </is>
      </c>
      <c r="O3563" s="401" t="n"/>
      <c r="P3563" s="401" t="n"/>
      <c r="Q3563" s="401" t="inlineStr">
        <is>
          <t>SCMS.BM_BAO_CAO
SCMS.BM_SHEET
SCMS.BM_BAO_CAO_CT
SCMS.DM_CHI_TIEU</t>
        </is>
      </c>
      <c r="R3563" s="401" t="inlineStr">
        <is>
          <t>dct.ID,
dct.MA_CHI_TIEU,
dct.TEN_CHI_TIEU,
dct.SU_DUNG,
s.BM_BAO_CAO_ID,
s.MA_SHEET,
ct.BM_BAO_CAO_ID,
ct.DM_CHI_TIEU_ID,
ct.SU_DUNG,
bm.ID,
bm.MA_BAO_CAO,
bm.SU_DUNG</t>
        </is>
      </c>
      <c r="S3563" s="401" t="n"/>
      <c r="T3563" s="389" t="inlineStr">
        <is>
          <t>-- Mã chỉ tiêu / Tên chỉ tiêu
SELECT DISTINCT
    dct.MA_CHI_TIEU  AS ma_chi_tieu,
    dct.TEN_CHI_TIEU AS ten_chi_tieu
FROM SCMS.BM_BAO_CAO bm
JOIN SCMS.BM_SHEET s ON s.BM_BAO_CAO_ID = bm.ID
	AND s.TEN_SHEET = 'BCTHBDVCSH'
JOIN SCMS.BM_BAO_CAO_CT ct ON ct.BM_SHEET_ID = s.ID
	AND ct.SU_DUNG = 1
JOIN SCMS.DM_CHI_TIEU dct ON dct.ID = ct.DM_CHI_TIEU_ID
	AND dct.SU_DUNG = 1
WHERE bm.MA_BAO_CAO LIKE 'BCTCRLCTCK'
	AND bm.SU_DUNG = 1
ORDER BY dct.MA_CHI_TIEU;</t>
        </is>
      </c>
      <c r="U3563" s="401" t="n"/>
      <c r="V3563" s="22" t="n"/>
      <c r="W3563" s="22" t="n"/>
      <c r="X3563" s="22" t="n"/>
      <c r="Y3563" s="13" t="n"/>
      <c r="Z3563" s="22" t="n"/>
      <c r="AA3563" s="22" t="n"/>
      <c r="AB3563" s="22" t="n"/>
      <c r="AC3563" s="22" t="n"/>
      <c r="AD3563" s="22" t="n"/>
      <c r="AE3563" s="22" t="n"/>
    </row>
    <row r="3564" ht="98" customHeight="1" s="380">
      <c r="A3564" s="144" t="n">
        <v>130</v>
      </c>
      <c r="B3564" s="390" t="n"/>
      <c r="C3564" s="390" t="inlineStr">
        <is>
          <t>Báo cáo tài chính quý, soát xét bán niên, kiểm toán năm - Chi nhánh công ty chứng khoán nước ngoài tại Việt Nam &gt;&gt; Báo cáo tình hình biến động vốn chủ sở hữu</t>
        </is>
      </c>
      <c r="D3564" s="106" t="inlineStr">
        <is>
          <t>Tên chỉ tiêu</t>
        </is>
      </c>
      <c r="E3564" s="107" t="inlineStr">
        <is>
          <t>Tên chỉ tiêu</t>
        </is>
      </c>
      <c r="F3564" s="390" t="inlineStr">
        <is>
          <t>Data Explorer</t>
        </is>
      </c>
      <c r="G3564" s="390" t="inlineStr">
        <is>
          <t>Chiều</t>
        </is>
      </c>
      <c r="H3564" s="390" t="inlineStr">
        <is>
          <t>Dễ</t>
        </is>
      </c>
      <c r="I3564" s="390" t="inlineStr">
        <is>
          <t>Ngày, CTCK</t>
        </is>
      </c>
      <c r="J3564" s="401" t="inlineStr">
        <is>
          <t>SCMS</t>
        </is>
      </c>
      <c r="K3564" s="401" t="inlineStr">
        <is>
          <t>X</t>
        </is>
      </c>
      <c r="L3564" s="401" t="inlineStr">
        <is>
          <t>X</t>
        </is>
      </c>
      <c r="M3564" s="401" t="n"/>
      <c r="N3564" s="401" t="inlineStr">
        <is>
          <t>Done</t>
        </is>
      </c>
      <c r="O3564" s="401" t="n"/>
      <c r="P3564" s="401" t="n"/>
      <c r="S3564" s="401" t="n"/>
      <c r="U3564" s="401" t="n"/>
      <c r="V3564" s="22" t="n"/>
      <c r="W3564" s="22" t="n"/>
      <c r="X3564" s="22" t="n"/>
      <c r="Y3564" s="13" t="n"/>
      <c r="Z3564" s="22" t="n"/>
      <c r="AA3564" s="22" t="n"/>
      <c r="AB3564" s="22" t="n"/>
      <c r="AC3564" s="22" t="n"/>
      <c r="AD3564" s="22" t="n"/>
      <c r="AE3564" s="22" t="n"/>
    </row>
    <row r="3565" ht="98" customHeight="1" s="380">
      <c r="A3565" s="144" t="n">
        <v>130</v>
      </c>
      <c r="B3565" s="390" t="n"/>
      <c r="C3565" s="390" t="inlineStr">
        <is>
          <t>Báo cáo tài chính quý, soát xét bán niên, kiểm toán năm - Chi nhánh công ty chứng khoán nước ngoài tại Việt Nam &gt;&gt; Báo cáo tình hình biến động vốn chủ sở hữu</t>
        </is>
      </c>
      <c r="D3565" s="132" t="inlineStr">
        <is>
          <t xml:space="preserve"> I. Biến động vốn chủ sở hữu</t>
        </is>
      </c>
      <c r="E3565" s="132" t="inlineStr">
        <is>
          <t xml:space="preserve"> I. Biến động vốn chủ sở hữu</t>
        </is>
      </c>
      <c r="F3565" s="390" t="inlineStr">
        <is>
          <t>Data Explorer</t>
        </is>
      </c>
      <c r="G3565" s="390" t="inlineStr">
        <is>
          <t>Chỉ tiêu cơ sở</t>
        </is>
      </c>
      <c r="H3565" s="390" t="inlineStr">
        <is>
          <t>Dễ</t>
        </is>
      </c>
      <c r="I3565" s="390" t="inlineStr">
        <is>
          <t>Ngày, CTCK</t>
        </is>
      </c>
      <c r="J3565" s="401" t="inlineStr">
        <is>
          <t>SCMS</t>
        </is>
      </c>
      <c r="K3565" s="401" t="n"/>
      <c r="L3565" s="401" t="inlineStr">
        <is>
          <t>X</t>
        </is>
      </c>
      <c r="M3565" s="401" t="n"/>
      <c r="N3565" s="401" t="inlineStr">
        <is>
          <t>Done</t>
        </is>
      </c>
      <c r="O3565" s="401" t="n"/>
      <c r="P3565" s="401" t="n"/>
      <c r="Q3565" s="431" t="inlineStr">
        <is>
          <t>SCMS.BC_THANH_VIEN
SCMS.BM_BAO_CAO
SCMS.BC_BAO_CAO_GT
SCMS.BM_BAO_CAO_HANG
SCMS.BM_BAO_CAO_COT</t>
        </is>
      </c>
      <c r="R3565" s="431" t="inlineStr">
        <is>
          <t>bsc.TEN_COT,
bsc.BM_SHEET_ID,
bsh.ID,
bsh.MA_HANG,
gt.GIA_TRI,
gt.BC_THANH_VIEN_ID,
gt.BM_SHEET_HANG_ID,
bm.ID,
bm.MA_BAO_CAO,
btv.ID,
btv.BM_BAO_CAO_ID,
btv.TRANG_THAI,
btv.NGAY_SO_LIEU</t>
        </is>
      </c>
      <c r="S3565" s="401" t="n"/>
      <c r="T3565" s="432" t="inlineStr">
        <is>
          <t>-- CHỈ TIÊU
SELECT
	-- Thuyết minh
    MAX(CASE WHEN bsc.TEN_COT=N'Thuyết minh' AND bsh.MA_HANG = '1' THEN CAST(gt.GIA_TRI AS VARCHAR2(4000)) END) AS "I. Biến động vốn chủ sở hữu",
	MAX(CASE WHEN bsc.TEN_COT=N'Thuyết minh' AND bsh.MA_HANG = '2' THEN CAST(gt.GIA_TRI AS VARCHAR2(4000)) END) AS "1. Vốn đầu tư của chủ sở hữu",
	MAX(CASE WHEN bsc.TEN_COT=N'Thuyết minh' AND bsh.MA_HANG = '3' THEN CAST(gt.GIA_TRI AS VARCHAR2(4000)) END) AS "1.1. Cổ phiếu phổ thông có quyền biểu quyết",
	MAX(CASE WHEN bsc.TEN_COT=N'Thuyết minh' AND bsh.MA_HANG = '4' THEN CAST(gt.GIA_TRI AS VARCHAR2(4000)) END) AS "1.2. Cổ phiếu ưu đãi",
	MAX(CASE WHEN bsc.TEN_COT=N'Thuyết minh' AND bsh.MA_HANG = '5' THEN CAST(gt.GIA_TRI AS VARCHAR2(4000)) END) AS "1.3. Thặng dư vốn cổ phần",
	MAX(CASE WHEN bsc.TEN_COT=N'Thuyết minh' AND bsh.MA_HANG = '6' THEN CAST(gt.GIA_TRI AS VARCHAR2(4000)) END) AS "1.4.Quyền chọn chuyển đổi trái phiếu - Cấu phần vốn",
	MAX(CASE WHEN bsc.TEN_COT=N'Thuyết minh' AND bsh.MA_HANG = '7' THEN CAST(gt.GIA_TRI AS VARCHAR2(4000)) END) AS "1.5. Vốn khác của chủ sở hữu", 
	MAX(CASE WHEN bsc.TEN_COT=N'Thuyết minh' AND bsh.MA_HANG = '8' THEN CAST(gt.GIA_TRI AS VARCHAR2(4000)) END) AS "2. Cổ phiếu quỹ (*)",
	MAX(CASE WHEN bsc.TEN_COT=N'Thuyết minh' AND bsh.MA_HANG = '9' THEN CAST(gt.GIA_TRI AS VARCHAR2(4000)) END) AS "3. Quỹ dự trữ bổ sung vốn điều lệ",
	MAX(CASE WHEN bsc.TEN_COT=N'Thuyết minh' AND bsh.MA_HANG = '10' THEN CAST(gt.GIA_TRI AS VARCHAR2(4000)) END) AS "4. Quỹ dự phòng tài chính và rủi ro nghiệp vụ",
	MAX(CASE WHEN bsc.TEN_COT=N'Thuyết minh' AND bsh.MA_HANG = '11' THEN CAST(gt.GIA_TRI AS VARCHAR2(4000)) END) AS "5. Chênh lệch đánh giá lại tài sản theo giá trị hợp lý",
	MAX(CASE WHEN bsc.TEN_COT=N'Thuyết minh' AND bsh.MA_HANG = '12' THEN CAST(gt.GIA_TRI AS VARCHAR2(4000)) END) AS "6.Chênh lệch tỷ giá hối đoái",
	MAX(CASE WHEN bsc.TEN_COT=N'Thuyết minh' AND bsh.MA_HANG = '13' THEN CAST(gt.GIA_TRI AS VARCHAR2(4000)) END) AS "7. Các Quỹ khác thuộc vốn chủ sở hữu",
	MAX(CASE WHEN bsc.TEN_COT=N'Thuyết minh' AND bsh.MA_HANG = '14' THEN CAST(gt.GIA_TRI AS VARCHAR2(4000)) END) AS "8. Lợi nhuận chưa phân phối",
	MAX(CASE WHEN bsc.TEN_COT=N'Thuyết minh' AND bsh.MA_HANG = '15' THEN CAST(gt.GIA_TRI AS VARCHAR2(4000)) END) AS "8.1. Lợi nhuận sau thuế đã thực hiện",
	MAX(CASE WHEN bsc.TEN_COT=N'Thuyết minh' AND bsh.MA_HANG = '16' THEN CAST(gt.GIA_TRI AS VARCHAR2(4000)) END) AS "8.2. Lợi nhuận chưa thực hiện",
	MAX(CASE WHEN bsc.TEN_COT=N'Thuyết minh' AND bsh.MA_HANG = '17' THEN CAST(gt.GIA_TRI AS VARCHAR2(4000)) END) AS "Tổng cộng",
	MAX(CASE WHEN bsc.TEN_COT=N'Thuyết minh' AND bsh.MA_HANG = '18' THEN CAST(gt.GIA_TRI AS VARCHAR2(4000)) END) AS "II. Thu nhập toàn diện khác",
	MAX(CASE WHEN bsc.TEN_COT=N'Thuyết minh' AND bsh.MA_HANG = '19' THEN CAST(gt.GIA_TRI AS VARCHAR2(4000)) END) AS "1. Lãi/lỗ từ đánh giá lại các TSTC sẵn sàng để bán",
	MAX(CASE WHEN bsc.TEN_COT=N'Thuyết minh' AND bsh.MA_HANG = '20' THEN CAST(gt.GIA_TRI AS VARCHAR2(4000)) END) AS "2. Lãi, lỗ đánh giá lại TĐ theo mô hình giá trị hợp lý",
	MAX(CASE WHEN bsc.TEN_COT=N'Thuyết minh' AND bsh.MA_HANG = '21' THEN CAST(gt.GIA_TRI AS VARCHAR2(4000)) END) AS "3. Lãi, lỗ chênh lệch tỷ giá của hoạt động tại nước ngoài",
	MAX(CASE WHEN bsc.TEN_COT=N'Thuyết minh' AND bsh.MA_HANG = '22' THEN CAST(gt.GIA_TRI AS VARCHAR2(4000)) END) AS "4. Lãi, lỗ toàn diện khác",
	MAX(CASE WHEN bsc.TEN_COT=N'Thuyết minh' AND bsh.MA_HANG = '23' THEN CAST(gt.GIA_TRI AS VARCHAR2(4000)) END) AS "Tổng cộng",   
    -- Số dư đầu năm &gt;&gt; N-1
	MAX(CASE WHEN bsc.TEN_COT=N'N-1' AND bsc.MA_COT = '3' AND bsh.MA_HANG = '1' THEN CAST(gt.GIA_TRI AS VARCHAR2(4000)) END) AS "I. Biến động vốn chủ sở hữu",
	MAX(CASE WHEN bsc.TEN_COT=N'N-1' AND bsc.MA_COT = '3' AND bsh.MA_HANG = '2' THEN CAST(gt.GIA_TRI AS VARCHAR2(4000)) END) AS "1. Vốn đầu tư của chủ sở hữu",
	MAX(CASE WHEN bsc.TEN_COT=N'N-1' AND bsc.MA_COT = '3' AND bsh.MA_HANG = '3' THEN CAST(gt.GIA_TRI AS VARCHAR2(4000)) END) AS "1.1. Cổ phiếu phổ thông có quyền biểu quyết",
	MAX(CASE WHEN bsc.TEN_COT=N'N-1' AND bsc.MA_COT = '3' AND bsh.MA_HANG = '4' THEN CAST(gt.GIA_TRI AS VARCHAR2(4000)) END) AS "1.2. Cổ phiếu ưu đãi",
	MAX(CASE WHEN bsc.TEN_COT=N'N-1' AND bsc.MA_COT = '3' AND bsh.MA_HANG = '5' THEN CAST(gt.GIA_TRI AS VARCHAR2(4000)) END) AS "1.3. Thặng dư vốn cổ phần",
	MAX(CASE WHEN bsc.TEN_COT=N'N-1' AND bsc.MA_COT = '3' AND bsh.MA_HANG = '6' THEN CAST(gt.GIA_TRI AS VARCHAR2(4000)) END) AS "1.4.Quyền chọn chuyển đổi trái phiếu - Cấu phần vốn",
	MAX(CASE WHEN bsc.TEN_COT=N'N-1' AND bsc.MA_COT = '3' AND bsh.MA_HANG = '7' THEN CAST(gt.GIA_TRI AS VARCHAR2(4000)) END) AS "1.5. Vốn khác của chủ sở hữu", 
	MAX(CASE WHEN bsc.TEN_COT=N'N-1' AND bsc.MA_COT = '3' AND bsh.MA_HANG = '8' THEN CAST(gt.GIA_TRI AS VARCHAR2(4000)) END) AS "2. Cổ phiếu quỹ (*)",
	MAX(CASE WHEN bsc.TEN_COT=N'N-1' AND bsc.MA_COT = '3' AND bsh.MA_HANG = '9' THEN CAST(gt.GIA_TRI AS VARCHAR2(4000)) END) AS "3. Quỹ dự trữ bổ sung vốn điều lệ",
	MAX(CASE WHEN bsc.TEN_COT=N'N-1' AND bsc.MA_COT = '3' AND bsh.MA_HANG = '10' THEN CAST(gt.GIA_TRI AS VARCHAR2(4000)) END) AS "4. Quỹ dự phòng tài chính và rủi ro nghiệp vụ",
	MAX(CASE WHEN bsc.TEN_COT=N'N-1' AND bsc.MA_COT = '3' AND bsh.MA_HANG = '11' THEN CAST(gt.GIA_TRI AS VARCHAR2(4000)) END) AS "5. Chênh lệch đánh giá lại tài sản theo giá trị hợp lý",
	MAX(CASE WHEN bsc.TEN_COT=N'N-1' AND bsc.MA_COT = '3' AND bsh.MA_HANG = '12' THEN CAST(gt.GIA_TRI AS VARCHAR2(4000)) END) AS "6.Chênh lệch tỷ giá hối đoái",
	MAX(CASE WHEN bsc.TEN_COT=N'N-1' AND bsc.MA_COT = '3' AND bsh.MA_HANG = '13' THEN CAST(gt.GIA_TRI AS VARCHAR2(4000)) END) AS "7. Các Quỹ khác thuộc vốn chủ sở hữu",
	MAX(CASE WHEN bsc.TEN_COT=N'N-1' AND bsc.MA_COT = '3' AND bsh.MA_HANG = '14' THEN CAST(gt.GIA_TRI AS VARCHAR2(4000)) END) AS "8. Lợi nhuận chưa phân phối",
	MAX(CASE WHEN bsc.TEN_COT=N'N-1' AND bsc.MA_COT = '3' AND bsh.MA_HANG = '15' THEN CAST(gt.GIA_TRI AS VARCHAR2(4000)) END) AS "8.1. Lợi nhuận sau thuế đã thực hiện",
	MAX(CASE WHEN bsc.TEN_COT=N'N-1' AND bsc.MA_COT = '3' AND bsh.MA_HANG = '16' THEN CAST(gt.GIA_TRI AS VARCHAR2(4000)) END) AS "8.2. Lợi nhuận chưa thực hiện",
	MAX(CASE WHEN bsc.TEN_COT=N'N-1' AND bsc.MA_COT = '3' AND bsh.MA_HANG = '17' THEN CAST(gt.GIA_TRI AS VARCHAR2(4000)) END) AS "Tổng cộng",
	MAX(CASE WHEN bsc.TEN_COT=N'N-1' AND bsc.MA_COT = '3' AND bsh.MA_HANG = '18' THEN CAST(gt.GIA_TRI AS VARCHAR2(4000)) END) AS "II. Thu nhập toàn diện khác",
	MAX(CASE WHEN bsc.TEN_COT=N'N-1' AND bsc.MA_COT = '3' AND bsh.MA_HANG = '19' THEN CAST(gt.GIA_TRI AS VARCHAR2(4000)) END) AS "1. Lãi/lỗ từ đánh giá lại các TSTC sẵn sàng để bán",
	MAX(CASE WHEN bsc.TEN_COT=N'N-1' AND bsc.MA_COT = '3' AND bsh.MA_HANG = '20' THEN CAST(gt.GIA_TRI AS VARCHAR2(4000)) END) AS "2. Lãi, lỗ đánh giá lại TĐ theo mô hình giá trị hợp lý",
	MAX(CASE WHEN bsc.TEN_COT=N'N-1' AND bsc.MA_COT = '3' AND bsh.MA_HANG = '21' THEN CAST(gt.GIA_TRI AS VARCHAR2(4000)) END) AS "3. Lãi, lỗ chênh lệch tỷ giá của hoạt động tại nước ngoài",
	MAX(CASE WHEN bsc.TEN_COT=N'N-1' AND bsc.MA_COT = '3' AND bsh.MA_HANG = '22' THEN CAST(gt.GIA_TRI AS VARCHAR2(4000)) END) AS "4. Lãi, lỗ toàn diện khác",
	MAX(CASE WHEN bsc.TEN_COT=N'N-1' AND bsc.MA_COT = '3' AND bsh.MA_HANG = '23' THEN CAST(gt.GIA_TRI AS VARCHAR2(4000)) END) AS "Tổng cộng", 
	-- Số dư đầu năm &gt;&gt; N
	MAX(CASE WHEN bsc.TEN_COT=N'N' AND bsc.MA_COT = '4' AND bsh.MA_HANG = '1' THEN CAST(gt.GIA_TRI AS VARCHAR2(4000)) END) AS "I. Biến động vốn chủ sở hữu",
	MAX(CASE WHEN bsc.TEN_COT=N'N' AND bsc.MA_COT = '4' AND bsh.MA_HANG = '2' THEN CAST(gt.GIA_TRI AS VARCHAR2(4000)) END) AS "1. Vốn đầu tư của chủ sở hữu",
	MAX(CASE WHEN bsc.TEN_COT=N'N' AND bsc.MA_COT = '4' AND bsh.MA_HANG = '3' THEN CAST(gt.GIA_TRI AS VARCHAR2(4000)) END) AS "1.1. Cổ phiếu phổ thông có quyền biểu quyết",
	MAX(CASE WHEN bsc.TEN_COT=N'N' AND bsc.MA_COT = '4' AND bsh.MA_HANG = '4' THEN CAST(gt.GIA_TRI AS VARCHAR2(4000)) END) AS "1.2. Cổ phiếu ưu đãi",
	MAX(CASE WHEN bsc.TEN_COT=N'N' AND bsc.MA_COT = '4' AND bsh.MA_HANG = '5' THEN CAST(gt.GIA_TRI AS VARCHAR2(4000)) END) AS "1.3. Thặng dư vốn cổ phần",
	MAX(CASE WHEN bsc.TEN_COT=N'N' AND bsc.MA_COT = '4' AND bsh.MA_HANG = '6' THEN CAST(gt.GIA_TRI AS VARCHAR2(4000)) END) AS "1.4.Quyền chọn chuyển đổi trái phiếu - Cấu phần vốn",
	MAX(CASE WHEN bsc.TEN_COT=N'N' AND bsc.MA_COT = '4' AND bsh.MA_HANG = '7' THEN CAST(gt.GIA_TRI AS VARCHAR2(4000)) END) AS "1.5. Vốn khác của chủ sở hữu", 
	MAX(CASE WHEN bsc.TEN_COT=N'N' AND bsc.MA_COT = '4' AND bsh.MA_HANG = '8' THEN CAST(gt.GIA_TRI AS VARCHAR2(4000)) END) AS "2. Cổ phiếu quỹ (*)",
	MAX(CASE WHEN bsc.TEN_COT=N'N' AND bsc.MA_COT = '4' AND bsh.MA_HANG = '9' THEN CAST(gt.GIA_TRI AS VARCHAR2(4000)) END) AS "3. Quỹ dự trữ bổ sung vốn điều lệ",
	MAX(CASE WHEN bsc.TEN_COT=N'N' AND bsc.MA_COT = '4' AND bsh.MA_HANG = '10' THEN CAST(gt.GIA_TRI AS VARCHAR2(4000)) END) AS "4. Quỹ dự phòng tài chính và rủi ro nghiệp vụ",
	MAX(CASE WHEN bsc.TEN_COT=N'N' AND bsc.MA_COT = '4' AND bsh.MA_HANG = '11' THEN CAST(gt.GIA_TRI AS VARCHAR2(4000)) END) AS "5. Chênh lệch đánh giá lại tài sản theo giá trị hợp lý",
	MAX(CASE WHEN bsc.TEN_COT=N'N' AND bsc.MA_COT = '4' AND bsh.MA_HANG = '12' THEN CAST(gt.GIA_TRI AS VARCHAR2(4000)) END) AS "6.Chênh lệch tỷ giá hối đoái",
	MAX(CASE WHEN bsc.TEN_COT=N'N' AND bsc.MA_COT = '4' AND bsh.MA_HANG = '13' THEN CAST(gt.GIA_TRI AS VARCHAR2(4000)) END) AS "7. Các Quỹ khác thuộc vốn chủ sở hữu",
	MAX(CASE WHEN bsc.TEN_COT=N'N' AND bsc.MA_COT = '4' AND bsh.MA_HANG = '14' THEN CAST(gt.GIA_TRI AS VARCHAR2(4000)) END) AS "8. Lợi nhuận chưa phân phối",
	MAX(CASE WHEN bsc.TEN_COT=N'N' AND bsc.MA_COT = '4' AND bsh.MA_HANG = '15' THEN CAST(gt.GIA_TRI AS VARCHAR2(4000)) END) AS "8.1. Lợi nhuận sau thuế đã thực hiện",
	MAX(CASE WHEN bsc.TEN_COT=N'N' AND bsc.MA_COT = '4' AND bsh.MA_HANG = '16' THEN CAST(gt.GIA_TRI AS VARCHAR2(4000)) END) AS "8.2. Lợi nhuận chưa thực hiện",
	MAX(CASE WHEN bsc.TEN_COT=N'N' AND bsc.MA_COT = '4' AND bsh.MA_HANG = '17' THEN CAST(gt.GIA_TRI AS VARCHAR2(4000)) END) AS "Tổng cộng",
	MAX(CASE WHEN bsc.TEN_COT=N'N' AND bsc.MA_COT = '4' AND bsh.MA_HANG = '18' THEN CAST(gt.GIA_TRI AS VARCHAR2(4000)) END) AS "II. Thu nhập toàn diện khác",
	MAX(CASE WHEN bsc.TEN_COT=N'N' AND bsc.MA_COT = '4' AND bsh.MA_HANG = '19' THEN CAST(gt.GIA_TRI AS VARCHAR2(4000)) END) AS "1. Lãi/lỗ từ đánh giá lại các TSTC sẵn sàng để bán",
	MAX(CASE WHEN bsc.TEN_COT=N'N' AND bsc.MA_COT = '4' AND bsh.MA_HANG = '20' THEN CAST(gt.GIA_TRI AS VARCHAR2(4000)) END) AS "2. Lãi, lỗ đánh giá lại TĐ theo mô hình giá trị hợp lý",
	MAX(CASE WHEN bsc.TEN_COT=N'N' AND bsc.MA_COT = '4' AND bsh.MA_HANG = '21' THEN CAST(gt.GIA_TRI AS VARCHAR2(4000)) END) AS "3. Lãi, lỗ chênh lệch tỷ giá của hoạt động tại nước ngoài",
	MAX(CASE WHEN bsc.TEN_COT=N'N' AND bsc.MA_COT = '4' AND bsh.MA_HANG = '22' THEN CAST(gt.GIA_TRI AS VARCHAR2(4000)) END) AS "4. Lãi, lỗ toàn diện khác",
	MAX(CASE WHEN bsc.TEN_COT=N'N' AND bsc.MA_COT = '4' AND bsh.MA_HANG = '23' THEN CAST(gt.GIA_TRI AS VARCHAR2(4000)) END) AS "Tổng cộng",
	-- Số tăng/giảm &gt;&gt; N-1 &gt;&gt; Tăng
	MAX(CASE WHEN bsc.TEN_COT=N'Tăng' AND bsc.MA_COT = '5' AND bsh.MA_HANG = '1' THEN CAST(gt.GIA_TRI AS VARCHAR2(4000)) END) AS "I. Biến động vốn chủ sở hữu",
	MAX(CASE WHEN bsc.TEN_COT=N'Tăng' AND bsc.MA_COT = '5' AND bsh.MA_HANG = '2' THEN CAST(gt.GIA_TRI AS VARCHAR2(4000)) END) AS "1. Vốn đầu tư của chủ sở hữu",
	MAX(CASE WHEN bsc.TEN_COT=N'Tăng' AND bsc.MA_COT = '5' AND bsh.MA_HANG = '3' THEN CAST(gt.GIA_TRI AS VARCHAR2(4000)) END) AS "1.1. Cổ phiếu phổ thông có quyền biểu quyết",
	MAX(CASE WHEN bsc.TEN_COT=N'Tăng' AND bsc.MA_COT = '5' AND bsh.MA_HANG = '4' THEN CAST(gt.GIA_TRI AS VARCHAR2(4000)) END) AS "1.2. Cổ phiếu ưu đãi",
	MAX(CASE WHEN bsc.TEN_COT=N'Tăng' AND bsc.MA_COT = '5' AND bsh.MA_HANG = '5' THEN CAST(gt.GIA_TRI AS VARCHAR2(4000)) END) AS "1.3. Thặng dư vốn cổ phần",
	MAX(CASE WHEN bsc.TEN_COT=N'Tăng' AND bsc.MA_COT = '5' AND bsh.MA_HANG = '6' THEN CAST(gt.GIA_TRI AS VARCHAR2(4000)) END) AS "1.4.Quyền chọn chuyển đổi trái phiếu - Cấu phần vốn",
	MAX(CASE WHEN bsc.TEN_COT=N'Tăng' AND bsc.MA_COT = '5' AND bsh.MA_HANG = '7' THEN CAST(gt.GIA_TRI AS VARCHAR2(4000)) END) AS "1.5. Vốn khác của chủ sở hữu", 
	MAX(CASE WHEN bsc.TEN_COT=N'Tăng' AND bsc.MA_COT = '5' AND bsh.MA_HANG = '8' THEN CAST(gt.GIA_TRI AS VARCHAR2(4000)) END) AS "2. Cổ phiếu quỹ (*)",
	MAX(CASE WHEN bsc.TEN_COT=N'Tăng' AND bsc.MA_COT = '5' AND bsh.MA_HANG = '9' THEN CAST(gt.GIA_TRI AS VARCHAR2(4000)) END) AS "3. Quỹ dự trữ bổ sung vốn điều lệ",
	MAX(CASE WHEN bsc.TEN_COT=N'Tăng' AND bsc.MA_COT = '5' AND bsh.MA_HANG = '10' THEN CAST(gt.GIA_TRI AS VARCHAR2(4000)) END) AS "4. Quỹ dự phòng tài chính và rủi ro nghiệp vụ",
	MAX(CASE WHEN bsc.TEN_COT=N'Tăng' AND bsc.MA_COT = '5' AND bsh.MA_HANG = '11' THEN CAST(gt.GIA_TRI AS VARCHAR2(4000)) END) AS "5. Chênh lệch đánh giá lại tài sản theo giá trị hợp lý",
	MAX(CASE WHEN bsc.TEN_COT=N'Tăng' AND bsc.MA_COT = '5' AND bsh.MA_HANG = '12' THEN CAST(gt.GIA_TRI AS VARCHAR2(4000)) END) AS "6.Chênh lệch tỷ giá hối đoái",
	MAX(CASE WHEN bsc.TEN_COT=N'Tăng' AND bsc.MA_COT = '5' AND bsh.MA_HANG = '13' THEN CAST(gt.GIA_TRI AS VARCHAR2(4000)) END) AS "7. Các Quỹ khác thuộc vốn chủ sở hữu",
	MAX(CASE WHEN bsc.TEN_COT=N'Tăng' AND bsc.MA_COT = '5' AND bsh.MA_HANG = '14' THEN CAST(gt.GIA_TRI AS VARCHAR2(4000)) END) AS "8. Lợi nhuận chưa phân phối",
	MAX(CASE WHEN bsc.TEN_COT=N'Tăng' AND bsc.MA_COT = '5' AND bsh.MA_HANG = '15' THEN CAST(gt.GIA_TRI AS VARCHAR2(4000)) END) AS "8.1. Lợi nhuận sau thuế đã thực hiện",
	MAX(CASE WHEN bsc.TEN_COT=N'Tăng' AND bsc.MA_COT = '5' AND bsh.MA_HANG = '16' THEN CAST(gt.GIA_TRI AS VARCHAR2(4000)) END) AS "8.2. Lợi nhuận chưa thực hiện",
	MAX(CASE WHEN bsc.TEN_COT=N'Tăng' AND bsc.MA_COT = '5' AND bsh.MA_HANG = '17' THEN CAST(gt.GIA_TRI AS VARCHAR2(4000)) END) AS "Tổng cộng",
	MAX(CASE WHEN bsc.TEN_COT=N'Tăng' AND bsc.MA_COT = '5' AND bsh.MA_HANG = '18' THEN CAST(gt.GIA_TRI AS VARCHAR2(4000)) END) AS "II. Thu nhập toàn diện khác",
	MAX(CASE WHEN bsc.TEN_COT=N'Tăng' AND bsc.MA_COT = '5' AND bsh.MA_HANG = '19' THEN CAST(gt.GIA_TRI AS VARCHAR2(4000)) END) AS "1. Lãi/lỗ từ đánh giá lại các TSTC sẵn sàng để bán",
	MAX(CASE WHEN bsc.TEN_COT=N'Tăng' AND bsc.MA_COT = '5' AND bsh.MA_HANG = '20' THEN CAST(gt.GIA_TRI AS VARCHAR2(4000)) END) AS "2. Lãi, lỗ đánh giá lại TĐ theo mô hình giá trị hợp lý",
	MAX(CASE WHEN bsc.TEN_COT=N'Tăng' AND bsc.MA_COT = '5' AND bsh.MA_HANG = '21' THEN CAST(gt.GIA_TRI AS VARCHAR2(4000)) END) AS "3. Lãi, lỗ chênh lệch tỷ giá của hoạt động tại nước ngoài",
	MAX(CASE WHEN bsc.TEN_COT=N'Tăng' AND bsc.MA_COT = '5' AND bsh.MA_HANG = '22' THEN CAST(gt.GIA_TRI AS VARCHAR2(4000)) END) AS "4. Lãi, lỗ toàn diện khác",
	MAX(CASE WHEN bsc.TEN_COT=N'Tăng' AND bsc.MA_COT = '5' AND bsh.MA_HANG = '23' THEN CAST(gt.GIA_TRI AS VARCHAR2(4000)) END) AS "Tổng cộng",
	-- Số tăng/giảm &gt;&gt; N-1 &gt;&gt; Giảm
	MAX(CASE WHEN bsc.TEN_COT=N'Giảm' AND bsc.MA_COT = '6' AND bsh.MA_HANG = '1' THEN CAST(gt.GIA_TRI AS VARCHAR2(4000)) END) AS "I. Biến động vốn chủ sở hữu",
	MAX(CASE WHEN bsc.TEN_COT=N'Giảm' AND bsc.MA_COT = '6' AND bsh.MA_HANG = '2' THEN CAST(gt.GIA_TRI AS VARCHAR2(4000)) END) AS "1. Vốn đầu tư của chủ sở hữu",
	MAX(CASE WHEN bsc.TEN_COT=N'Giảm' AND bsc.MA_COT = '6' AND bsh.MA_HANG = '3' THEN CAST(gt.GIA_TRI AS VARCHAR2(4000)) END) AS "1.1. Cổ phiếu phổ thông có quyền biểu quyết",
	MAX(CASE WHEN bsc.TEN_COT=N'Giảm' AND bsc.MA_COT = '6' AND bsh.MA_HANG = '4' THEN CAST(gt.GIA_TRI AS VARCHAR2(4000)) END) AS "1.2. Cổ phiếu ưu đãi",
	MAX(CASE WHEN bsc.TEN_COT=N'Giảm' AND bsc.MA_COT = '6' AND bsh.MA_HANG = '5' THEN CAST(gt.GIA_TRI AS VARCHAR2(4000)) END) AS "1.3. Thặng dư vốn cổ phần",
	MAX(CASE WHEN bsc.TEN_COT=N'Giảm' AND bsc.MA_COT = '6' AND bsh.MA_HANG = '6' THEN CAST(gt.GIA_TRI AS VARCHAR2(4000)) END) AS "1.4.Quyền chọn chuyển đổi trái phiếu - Cấu phần vốn",
	MAX(CASE WHEN bsc.TEN_COT=N'Giảm' AND bsc.MA_COT = '6' AND bsh.MA_HANG = '7' THEN CAST(gt.GIA_TRI AS VARCHAR2(4000)) END) AS "1.5. Vốn khác của chủ sở hữu", 
	MAX(CASE WHEN bsc.TEN_COT=N'Giảm' AND bsc.MA_COT = '6' AND bsh.MA_HANG = '8' THEN CAST(gt.GIA_TRI AS VARCHAR2(4000)) END) AS "2. Cổ phiếu quỹ (*)",
	MAX(CASE WHEN bsc.TEN_COT=N'Giảm' AND bsc.MA_COT = '6' AND bsh.MA_HANG = '9' THEN CAST(gt.GIA_TRI AS VARCHAR2(4000)) END) AS "3. Quỹ dự trữ bổ sung vốn điều lệ",
	MAX(CASE WHEN bsc.TEN_COT=N'Giảm' AND bsc.MA_COT = '6' AND bsh.MA_HANG = '10' THEN CAST(gt.GIA_TRI AS VARCHAR2(4000)) END) AS "4. Quỹ dự phòng tài chính và rủi ro nghiệp vụ",
	MAX(CASE WHEN bsc.TEN_COT=N'Giảm' AND bsc.MA_COT = '6' AND bsh.MA_HANG = '11' THEN CAST(gt.GIA_TRI AS VARCHAR2(4000)) END) AS "5. Chênh lệch đánh giá lại tài sản theo giá trị hợp lý",
	MAX(CASE WHEN bsc.TEN_COT=N'Giảm' AND bsc.MA_COT = '6' AND bsh.MA_HANG = '12' THEN CAST(gt.GIA_TRI AS VARCHAR2(4000)) END) AS "6.Chênh lệch tỷ giá hối đoái",
	MAX(CASE WHEN bsc.TEN_COT=N'Giảm' AND bsc.MA_COT = '6' AND bsh.MA_HANG = '13' THEN CAST(gt.GIA_TRI AS VARCHAR2(4000)) END) AS "7. Các Quỹ khác thuộc vốn chủ sở hữu",
	MAX(CASE WHEN bsc.TEN_COT=N'Giảm' AND bsc.MA_COT = '6' AND bsh.MA_HANG = '14' THEN CAST(gt.GIA_TRI AS VARCHAR2(4000)) END) AS "8. Lợi nhuận chưa phân phối",
	MAX(CASE WHEN bsc.TEN_COT=N'Giảm' AND bsc.MA_COT = '6' AND bsh.MA_HANG = '15' THEN CAST(gt.GIA_TRI AS VARCHAR2(4000)) END) AS "8.1. Lợi nhuận sau thuế đã thực hiện",
	MAX(CASE WHEN bsc.TEN_COT=N'Giảm' AND bsc.MA_COT = '6' AND bsh.MA_HANG = '16' THEN CAST(gt.GIA_TRI AS VARCHAR2(4000)) END) AS "8.2. Lợi nhuận chưa thực hiện",
	MAX(CASE WHEN bsc.TEN_COT=N'Giảm' AND bsc.MA_COT = '6' AND bsh.MA_HANG = '17' THEN CAST(gt.GIA_TRI AS VARCHAR2(4000)) END) AS "Tổng cộng",
	MAX(CASE WHEN bsc.TEN_COT=N'Giảm' AND bsc.MA_COT = '6' AND bsh.MA_HANG = '18' THEN CAST(gt.GIA_TRI AS VARCHAR2(4000)) END) AS "II. Thu nhập toàn diện khác",
	MAX(CASE WHEN bsc.TEN_COT=N'Giảm' AND bsc.MA_COT = '6' AND bsh.MA_HANG = '19' THEN CAST(gt.GIA_TRI AS VARCHAR2(4000)) END) AS "1. Lãi/lỗ từ đánh giá lại các TSTC sẵn sàng để bán",
	MAX(CASE WHEN bsc.TEN_COT=N'Giảm' AND bsc.MA_COT = '6' AND bsh.MA_HANG = '20' THEN CAST(gt.GIA_TRI AS VARCHAR2(4000)) END) AS "2. Lãi, lỗ đánh giá lại TĐ theo mô hình giá trị hợp lý",
	MAX(CASE WHEN bsc.TEN_COT=N'Giảm' AND bsc.MA_COT = '6' AND bsh.MA_HANG = '21' THEN CAST(gt.GIA_TRI AS VARCHAR2(4000)) END) AS "3. Lãi, lỗ chênh lệch tỷ giá của hoạt động tại nước ngoài",
	MAX(CASE WHEN bsc.TEN_COT=N'Giảm' AND bsc.MA_COT = '6' AND bsh.MA_HANG = '22' THEN CAST(gt.GIA_TRI AS VARCHAR2(4000)) END) AS "4. Lãi, lỗ toàn diện khác",
	MAX(CASE WHEN bsc.TEN_COT=N'Giảm' AND bsc.MA_COT = '6' AND bsh.MA_HANG = '23' THEN CAST(gt.GIA_TRI AS VARCHAR2(4000)) END) AS "Tổng cộng",
	-- Số tăng/giảm &gt;&gt; N &gt;&gt; Tăng
	MAX(CASE WHEN bsc.TEN_COT=N'Tăng' AND bsc.MA_COT = '7' AND bsh.MA_HANG = '1' THEN CAST(gt.GIA_TRI AS VARCHAR2(4000)) END) AS "I. Biến động vốn chủ sở hữu",
	MAX(CASE WHEN bsc.TEN_COT=N'Tăng' AND bsc.MA_COT = '7' AND bsh.MA_HANG = '2' THEN CAST(gt.GIA_TRI AS VARCHAR2(4000)) END) AS "1. Vốn đầu tư của chủ sở hữu",
	MAX(CASE WHEN bsc.TEN_COT=N'Tăng' AND bsc.MA_COT = '7' AND bsh.MA_HANG = '3' THEN CAST(gt.GIA_TRI AS VARCHAR2(4000)) END) AS "1.1. Cổ phiếu phổ thông có quyền biểu quyết",
	MAX(CASE WHEN bsc.TEN_COT=N'Tăng' AND bsc.MA_COT = '7' AND bsh.MA_HANG = '4' THEN CAST(gt.GIA_TRI AS VARCHAR2(4000)) END) AS "1.2. Cổ phiếu ưu đãi",
	MAX(CASE WHEN bsc.TEN_COT=N'Tăng' AND bsc.MA_COT = '7' AND bsh.MA_HANG = '5' THEN CAST(gt.GIA_TRI AS VARCHAR2(4000)) END) AS "1.3. Thặng dư vốn cổ phần",
	MAX(CASE WHEN bsc.TEN_COT=N'Tăng' AND bsc.MA_COT = '7' AND bsh.MA_HANG = '6' THEN CAST(gt.GIA_TRI AS VARCHAR2(4000)) END) AS "1.4.Quyền chọn chuyển đổi trái phiếu - Cấu phần vốn",
	MAX(CASE WHEN bsc.TEN_COT=N'Tăng' AND bsc.MA_COT = '7' AND bsh.MA_HANG = '7' THEN CAST(gt.GIA_TRI AS VARCHAR2(4000)) END) AS "1.5. Vốn khác của chủ sở hữu", 
	MAX(CASE WHEN bsc.TEN_COT=N'Tăng' AND bsc.MA_COT = '7' AND bsh.MA_HANG = '8' THEN CAST(gt.GIA_TRI AS VARCHAR2(4000)) END) AS "2. Cổ phiếu quỹ (*)",
	MAX(CASE WHEN bsc.TEN_COT=N'Tăng' AND bsc.MA_COT = '7' AND bsh.MA_HANG = '9' THEN CAST(gt.GIA_TRI AS VARCHAR2(4000)) END) AS "3. Quỹ dự trữ bổ sung vốn điều lệ",
	MAX(CASE WHEN bsc.TEN_COT=N'Tăng' AND bsc.MA_COT = '7' AND bsh.MA_HANG = '10' THEN CAST(gt.GIA_TRI AS VARCHAR2(4000)) END) AS "4. Quỹ dự phòng tài chính và rủi ro nghiệp vụ",
	MAX(CASE WHEN bsc.TEN_COT=N'Tăng' AND bsc.MA_COT = '7' AND bsh.MA_HANG = '11' THEN CAST(gt.GIA_TRI AS VARCHAR2(4000)) END) AS "5. Chênh lệch đánh giá lại tài sản theo giá trị hợp lý",
	MAX(CASE WHEN bsc.TEN_COT=N'Tăng' AND bsc.MA_COT = '7' AND bsh.MA_HANG = '12' THEN CAST(gt.GIA_TRI AS VARCHAR2(4000)) END) AS "6.Chênh lệch tỷ giá hối đoái",
	MAX(CASE WHEN bsc.TEN_COT=N'Tăng' AND bsc.MA_COT = '7' AND bsh.MA_HANG = '13' THEN CAST(gt.GIA_TRI AS VARCHAR2(4000)) END) AS "7. Các Quỹ khác thuộc vốn chủ sở hữu",
	MAX(CASE WHEN bsc.TEN_COT=N'Tăng' AND bsc.MA_COT = '7' AND bsh.MA_HANG = '14' THEN CAST(gt.GIA_TRI AS VARCHAR2(4000)) END) AS "8. Lợi nhuận chưa phân phối",
	MAX(CASE WHEN bsc.TEN_COT=N'Tăng' AND bsc.MA_COT = '7' AND bsh.MA_HANG = '15' THEN CAST(gt.GIA_TRI AS VARCHAR2(4000)) END) AS "8.1. Lợi nhuận sau thuế đã thực hiện",
	MAX(CASE WHEN bsc.TEN_COT=N'Tăng' AND bsc.MA_COT = '7' AND bsh.MA_HANG = '16' THEN CAST(gt.GIA_TRI AS VARCHAR2(4000)) END) AS "8.2. Lợi nhuận chưa thực hiện",
	MAX(CASE WHEN bsc.TEN_COT=N'Tăng' AND bsc.MA_COT = '7' AND bsh.MA_HANG = '17' THEN CAST(gt.GIA_TRI AS VARCHAR2(4000)) END) AS "Tổng cộng",
	MAX(CASE WHEN bsc.TEN_COT=N'Tăng' AND bsc.MA_COT = '7' AND bsh.MA_HANG = '18' THEN CAST(gt.GIA_TRI AS VARCHAR2(4000)) END) AS "II. Thu nhập toàn diện khác",
	MAX(CASE WHEN bsc.TEN_COT=N'Tăng' AND bsc.MA_COT = '7' AND bsh.MA_HANG = '19' THEN CAST(gt.GIA_TRI AS VARCHAR2(4000)) END) AS "1. Lãi/lỗ từ đánh giá lại các TSTC sẵn sàng để bán",
	MAX(CASE WHEN bsc.TEN_COT=N'Tăng' AND bsc.MA_COT = '7' AND bsh.MA_HANG = '20' THEN CAST(gt.GIA_TRI AS VARCHAR2(4000)) END) AS "2. Lãi, lỗ đánh giá lại TĐ theo mô hình giá trị hợp lý",
	MAX(CASE WHEN bsc.TEN_COT=N'Tăng' AND bsc.MA_COT = '7' AND bsh.MA_HANG = '21' THEN CAST(gt.GIA_TRI AS VARCHAR2(4000)) END) AS "3. Lãi, lỗ chênh lệch tỷ giá của hoạt động tại nước ngoài",
	MAX(CASE WHEN bsc.TEN_COT=N'Tăng' AND bsc.MA_COT = '7' AND bsh.MA_HANG = '22' THEN CAST(gt.GIA_TRI AS VARCHAR2(4000)) END) AS "4. Lãi, lỗ toàn diện khác",
	MAX(CASE WHEN bsc.TEN_COT=N'Tăng' AND bsc.MA_COT = '7' AND bsh.MA_HANG = '23' THEN CAST(gt.GIA_TRI AS VARCHAR2(4000)) END) AS "Tổng cộng",
	-- Số tăng/giảm &gt;&gt; N &gt;&gt; Giảm
	MAX(CASE WHEN bsc.TEN_COT=N'Giảm' AND bsc.MA_COT = '8' AND bsh.MA_HANG = '1' THEN CAST(gt.GIA_TRI AS VARCHAR2(4000)) END) AS "I. Biến động vốn chủ sở hữu",
	MAX(CASE WHEN bsc.TEN_COT=N'Giảm' AND bsc.MA_COT = '8' AND bsh.MA_HANG = '2' THEN CAST(gt.GIA_TRI AS VARCHAR2(4000)) END) AS "1. Vốn đầu tư của chủ sở hữu",
	MAX(CASE WHEN bsc.TEN_COT=N'Giảm' AND bsc.MA_COT = '8' AND bsh.MA_HANG = '3' THEN CAST(gt.GIA_TRI AS VARCHAR2(4000)) END) AS "1.1. Cổ phiếu phổ thông có quyền biểu quyết",
	MAX(CASE WHEN bsc.TEN_COT=N'Giảm' AND bsc.MA_COT = '8' AND bsh.MA_HANG = '4' THEN CAST(gt.GIA_TRI AS VARCHAR2(4000)) END) AS "1.2. Cổ phiếu ưu đãi",
	MAX(CASE WHEN bsc.TEN_COT=N'Giảm' AND bsc.MA_COT = '8' AND bsh.MA_HANG = '5' THEN CAST(gt.GIA_TRI AS VARCHAR2(4000)) END) AS "1.3. Thặng dư vốn cổ phần",
	MAX(CASE WHEN bsc.TEN_COT=N'Giảm' AND bsc.MA_COT = '8' AND bsh.MA_HANG = '6' THEN CAST(gt.GIA_TRI AS VARCHAR2(4000)) END) AS "1.4.Quyền chọn chuyển đổi trái phiếu - Cấu phần vốn",
	MAX(CASE WHEN bsc.TEN_COT=N'Giảm' AND bsc.MA_COT = '8' AND bsh.MA_HANG = '7' THEN CAST(gt.GIA_TRI AS VARCHAR2(4000)) END) AS "1.5. Vốn khác của chủ sở hữu", 
	MAX(CASE WHEN bsc.TEN_COT=N'Giảm' AND bsc.MA_COT = '8' AND bsh.MA_HANG = '8' THEN CAST(gt.GIA_TRI AS VARCHAR2(4000)) END) AS "2. Cổ phiếu quỹ (*)",
	MAX(CASE WHEN bsc.TEN_COT=N'Giảm' AND bsc.MA_COT = '8' AND bsh.MA_HANG = '9' THEN CAST(gt.GIA_TRI AS VARCHAR2(4000)) END) AS "3. Quỹ dự trữ bổ sung vốn điều lệ",
	MAX(CASE WHEN bsc.TEN_COT=N'Giảm' AND bsc.MA_COT = '8' AND bsh.MA_HANG = '10' THEN CAST(gt.GIA_TRI AS VARCHAR2(4000)) END) AS "4. Quỹ dự phòng tài chính và rủi ro nghiệp vụ",
	MAX(CASE WHEN bsc.TEN_COT=N'Giảm' AND bsc.MA_COT = '8' AND bsh.MA_HANG = '11' THEN CAST(gt.GIA_TRI AS VARCHAR2(4000)) END) AS "5. Chênh lệch đánh giá lại tài sản theo giá trị hợp lý",
	MAX(CASE WHEN bsc.TEN_COT=N'Giảm' AND bsc.MA_COT = '8' AND bsh.MA_HANG = '12' THEN CAST(gt.GIA_TRI AS VARCHAR2(4000)) END) AS "6.Chênh lệch tỷ giá hối đoái",
	MAX(CASE WHEN bsc.TEN_COT=N'Giảm' AND bsc.MA_COT = '8' AND bsh.MA_HANG = '13' THEN CAST(gt.GIA_TRI AS VARCHAR2(4000)) END) AS "7. Các Quỹ khác thuộc vốn chủ sở hữu",
	MAX(CASE WHEN bsc.TEN_COT=N'Giảm' AND bsc.MA_COT = '8' AND bsh.MA_HANG = '14' THEN CAST(gt.GIA_TRI AS VARCHAR2(4000)) END) AS "8. Lợi nhuận chưa phân phối",
	MAX(CASE WHEN bsc.TEN_COT=N'Giảm' AND bsc.MA_COT = '8' AND bsh.MA_HANG = '15' THEN CAST(gt.GIA_TRI AS VARCHAR2(4000)) END) AS "8.1. Lợi nhuận sau thuế đã thực hiện",
	MAX(CASE WHEN bsc.TEN_COT=N'Giảm' AND bsc.MA_COT = '8' AND bsh.MA_HANG = '16' THEN CAST(gt.GIA_TRI AS VARCHAR2(4000)) END) AS "8.2. Lợi nhuận chưa thực hiện",
	MAX(CASE WHEN bsc.TEN_COT=N'Giảm' AND bsc.MA_COT = '8' AND bsh.MA_HANG = '17' THEN CAST(gt.GIA_TRI AS VARCHAR2(4000)) END) AS "Tổng cộng",
	MAX(CASE WHEN bsc.TEN_COT=N'Giảm' AND bsc.MA_COT = '8' AND bsh.MA_HANG = '18' THEN CAST(gt.GIA_TRI AS VARCHAR2(4000)) END) AS "II. Thu nhập toàn diện khác",
	MAX(CASE WHEN bsc.TEN_COT=N'Giảm' AND bsc.MA_COT = '8' AND bsh.MA_HANG = '19' THEN CAST(gt.GIA_TRI AS VARCHAR2(4000)) END) AS "1. Lãi/lỗ từ đánh giá lại các TSTC sẵn sàng để bán",
	MAX(CASE WHEN bsc.TEN_COT=N'Giảm' AND bsc.MA_COT = '8' AND bsh.MA_HANG = '20' THEN CAST(gt.GIA_TRI AS VARCHAR2(4000)) END) AS "2. Lãi, lỗ đánh giá lại TĐ theo mô hình giá trị hợp lý",
	MAX(CASE WHEN bsc.TEN_COT=N'Giảm' AND bsc.MA_COT = '8' AND bsh.MA_HANG = '21' THEN CAST(gt.GIA_TRI AS VARCHAR2(4000)) END) AS "3. Lãi, lỗ chênh lệch tỷ giá của hoạt động tại nước ngoài",
	MAX(CASE WHEN bsc.TEN_COT=N'Giảm' AND bsc.MA_COT = '8' AND bsh.MA_HANG = '22' THEN CAST(gt.GIA_TRI AS VARCHAR2(4000)) END) AS "4. Lãi, lỗ toàn diện khác",
	MAX(CASE WHEN bsc.TEN_COT=N'Giảm' AND bsc.MA_COT = '8' AND bsh.MA_HANG = '23' THEN CAST(gt.GIA_TRI AS VARCHAR2(4000)) END) AS "Tổng cộng",
	-- Số dư cuối năm &gt;&gt; N-1
	MAX(CASE WHEN bsc.TEN_COT=N'N-1' AND bsc.MA_COT = '9' AND bsh.MA_HANG = '1' THEN CAST(gt.GIA_TRI AS VARCHAR2(4000)) END) AS "I. Biến động vốn chủ sở hữu",
	MAX(CASE WHEN bsc.TEN_COT=N'N-1' AND bsc.MA_COT = '9' AND bsh.MA_HANG = '2' THEN CAST(gt.GIA_TRI AS VARCHAR2(4000)) END) AS "1. Vốn đầu tư của chủ sở hữu",
	MAX(CASE WHEN bsc.TEN_COT=N'N-1' AND bsc.MA_COT = '9' AND bsh.MA_HANG = '3' THEN CAST(gt.GIA_TRI AS VARCHAR2(4000)) END) AS "1.1. Cổ phiếu phổ thông có quyền biểu quyết",
	MAX(CASE WHEN bsc.TEN_COT=N'N-1' AND bsc.MA_COT = '9' AND bsh.MA_HANG = '4' THEN CAST(gt.GIA_TRI AS VARCHAR2(4000)) END) AS "1.2. Cổ phiếu ưu đãi",
	MAX(CASE WHEN bsc.TEN_COT=N'N-1' AND bsc.MA_COT = '9' AND bsh.MA_HANG = '5' THEN CAST(gt.GIA_TRI AS VARCHAR2(4000)) END) AS "1.3. Thặng dư vốn cổ phần",
	MAX(CASE WHEN bsc.TEN_COT=N'N-1' AND bsc.MA_COT = '9' AND bsh.MA_HANG = '6' THEN CAST(gt.GIA_TRI AS VARCHAR2(4000)) END) AS "1.4.Quyền chọn chuyển đổi trái phiếu - Cấu phần vốn",
	MAX(CASE WHEN bsc.TEN_COT=N'N-1' AND bsc.MA_COT = '9' AND bsh.MA_HANG = '7' THEN CAST(gt.GIA_TRI AS VARCHAR2(4000)) END) AS "1.5. Vốn khác của chủ sở hữu", 
	MAX(CASE WHEN bsc.TEN_COT=N'N-1' AND bsc.MA_COT = '9' AND bsh.MA_HANG = '8' THEN CAST(gt.GIA_TRI AS VARCHAR2(4000)) END) AS "2. Cổ phiếu quỹ (*)",
	MAX(CASE WHEN bsc.TEN_COT=N'N-1' AND bsc.MA_COT = '9' AND bsh.MA_HANG = '9' THEN CAST(gt.GIA_TRI AS VARCHAR2(4000)) END) AS "3. Quỹ dự trữ bổ sung vốn điều lệ",
	MAX(CASE WHEN bsc.TEN_COT=N'N-1' AND bsc.MA_COT = '9' AND bsh.MA_HANG = '10' THEN CAST(gt.GIA_TRI AS VARCHAR2(4000)) END) AS "4. Quỹ dự phòng tài chính và rủi ro nghiệp vụ",
	MAX(CASE WHEN bsc.TEN_COT=N'N-1' AND bsc.MA_COT = '9' AND bsh.MA_HANG = '11' THEN CAST(gt.GIA_TRI AS VARCHAR2(4000)) END) AS "5. Chênh lệch đánh giá lại tài sản theo giá trị hợp lý",
	MAX(CASE WHEN bsc.TEN_COT=N'N-1' AND bsc.MA_COT = '9' AND bsh.MA_HANG = '12' THEN CAST(gt.GIA_TRI AS VARCHAR2(4000)) END) AS "6.Chênh lệch tỷ giá hối đoái",
	MAX(CASE WHEN bsc.TEN_COT=N'N-1' AND bsc.MA_COT = '9' AND bsh.MA_HANG = '13' THEN CAST(gt.GIA_TRI AS VARCHAR2(4000)) END) AS "7. Các Quỹ khác thuộc vốn chủ sở hữu",
	MAX(CASE WHEN bsc.TEN_COT=N'N-1' AND bsc.MA_COT = '9' AND bsh.MA_HANG = '14' THEN CAST(gt.GIA_TRI AS VARCHAR2(4000)) END) AS "8. Lợi nhuận chưa phân phối",
	MAX(CASE WHEN bsc.TEN_COT=N'N-1' AND bsc.MA_COT = '9' AND bsh.MA_HANG = '15' THEN CAST(gt.GIA_TRI AS VARCHAR2(4000)) END) AS "8.1. Lợi nhuận sau thuế đã thực hiện",
	MAX(CASE WHEN bsc.TEN_COT=N'N-1' AND bsc.MA_COT = '9' AND bsh.MA_HANG = '16' THEN CAST(gt.GIA_TRI AS VARCHAR2(4000)) END) AS "8.2. Lợi nhuận chưa thực hiện",
	MAX(CASE WHEN bsc.TEN_COT=N'N-1' AND bsc.MA_COT = '9' AND bsh.MA_HANG = '17' THEN CAST(gt.GIA_TRI AS VARCHAR2(4000)) END) AS "Tổng cộng",
	MAX(CASE WHEN bsc.TEN_COT=N'N-1' AND bsc.MA_COT = '9' AND bsh.MA_HANG = '18' THEN CAST(gt.GIA_TRI AS VARCHAR2(4000)) END) AS "II. Thu nhập toàn diện khác",
	MAX(CASE WHEN bsc.TEN_COT=N'N-1' AND bsc.MA_COT = '9' AND bsh.MA_HANG = '19' THEN CAST(gt.GIA_TRI AS VARCHAR2(4000)) END) AS "1. Lãi/lỗ từ đánh giá lại các TSTC sẵn sàng để bán",
	MAX(CASE WHEN bsc.TEN_COT=N'N-1' AND bsc.MA_COT = '9' AND bsh.MA_HANG = '20' THEN CAST(gt.GIA_TRI AS VARCHAR2(4000)) END) AS "2. Lãi, lỗ đánh giá lại TĐ theo mô hình giá trị hợp lý",
	MAX(CASE WHEN bsc.TEN_COT=N'N-1' AND bsc.MA_COT = '9' AND bsh.MA_HANG = '21' THEN CAST(gt.GIA_TRI AS VARCHAR2(4000)) END) AS "3. Lãi, lỗ chênh lệch tỷ giá của hoạt động tại nước ngoài",
	MAX(CASE WHEN bsc.TEN_COT=N'N-1' AND bsc.MA_COT = '9' AND bsh.MA_HANG = '22' THEN CAST(gt.GIA_TRI AS VARCHAR2(4000)) END) AS "4. Lãi, lỗ toàn diện khác",
	MAX(CASE WHEN bsc.TEN_COT=N'N-1' AND bsc.MA_COT = '9' AND bsh.MA_HANG = '23' THEN CAST(gt.GIA_TRI AS VARCHAR2(4000)) END) AS "Tổng cộng",
	-- Số dư cuối năm &gt;&gt; N
	MAX(CASE WHEN bsc.TEN_COT=N'N' AND bsc.MA_COT = '10' AND bsh.MA_HANG = '1' THEN CAST(gt.GIA_TRI AS VARCHAR2(4000)) END) AS "I. Biến động vốn chủ sở hữu",
	MAX(CASE WHEN bsc.TEN_COT=N'N' AND bsc.MA_COT = '10' AND bsh.MA_HANG = '2' THEN CAST(gt.GIA_TRI AS VARCHAR2(4000)) END) AS "1. Vốn đầu tư của chủ sở hữu",
	MAX(CASE WHEN bsc.TEN_COT=N'N' AND bsc.MA_COT = '10' AND bsh.MA_HANG = '3' THEN CAST(gt.GIA_TRI AS VARCHAR2(4000)) END) AS "1.1. Cổ phiếu phổ thông có quyền biểu quyết",
	MAX(CASE WHEN bsc.TEN_COT=N'N' AND bsc.MA_COT = '10' AND bsh.MA_HANG = '4' THEN CAST(gt.GIA_TRI AS VARCHAR2(4000)) END) AS "1.2. Cổ phiếu ưu đãi",
	MAX(CASE WHEN bsc.TEN_COT=N'N' AND bsc.MA_COT = '10' AND bsh.MA_HANG = '5' THEN CAST(gt.GIA_TRI AS VARCHAR2(4000)) END) AS "1.3. Thặng dư vốn cổ phần",
	MAX(CASE WHEN bsc.TEN_COT=N'N' AND bsc.MA_COT = '10' AND bsh.MA_HANG = '6' THEN CAST(gt.GIA_TRI AS VARCHAR2(4000)) END) AS "1.4.Quyền chọn chuyển đổi trái phiếu - Cấu phần vốn",
	MAX(CASE WHEN bsc.TEN_COT=N'N' AND bsc.MA_COT = '10' AND bsh.MA_HANG = '7' THEN CAST(gt.GIA_TRI AS VARCHAR2(4000)) END) AS "1.5. Vốn khác của chủ sở hữu", 
	MAX(CASE WHEN bsc.TEN_COT=N'N' AND bsc.MA_COT = '10' AND bsh.MA_HANG = '8' THEN CAST(gt.GIA_TRI AS VARCHAR2(4000)) END) AS "2. Cổ phiếu quỹ (*)",
	MAX(CASE WHEN bsc.TEN_COT=N'N' AND bsc.MA_COT = '10' AND bsh.MA_HANG = '9' THEN CAST(gt.GIA_TRI AS VARCHAR2(4000)) END) AS "3. Quỹ dự trữ bổ sung vốn điều lệ",
	MAX(CASE WHEN bsc.TEN_COT=N'N' AND bsc.MA_COT = '10' AND bsh.MA_HANG = '10' THEN CAST(gt.GIA_TRI AS VARCHAR2(4000)) END) AS "4. Quỹ dự phòng tài chính và rủi ro nghiệp vụ",
	MAX(CASE WHEN bsc.TEN_COT=N'N' AND bsc.MA_COT = '10' AND bsh.MA_HANG = '11' THEN CAST(gt.GIA_TRI AS VARCHAR2(4000)) END) AS "5. Chênh lệch đánh giá lại tài sản theo giá trị hợp lý",
	MAX(CASE WHEN bsc.TEN_COT=N'N' AND bsc.MA_COT = '10' AND bsh.MA_HANG = '12' THEN CAST(gt.GIA_TRI AS VARCHAR2(4000)) END) AS "6.Chênh lệch tỷ giá hối đoái",
	MAX(CASE WHEN bsc.TEN_COT=N'N' AND bsc.MA_COT = '10' AND bsh.MA_HANG = '13' THEN CAST(gt.GIA_TRI AS VARCHAR2(4000)) END) AS "7. Các Quỹ khác thuộc vốn chủ sở hữu",
	MAX(CASE WHEN bsc.TEN_COT=N'N' AND bsc.MA_COT = '10' AND bsh.MA_HANG = '14' THEN CAST(gt.GIA_TRI AS VARCHAR2(4000)) END) AS "8. Lợi nhuận chưa phân phối",
	MAX(CASE WHEN bsc.TEN_COT=N'N' AND bsc.MA_COT = '10' AND bsh.MA_HANG = '15' THEN CAST(gt.GIA_TRI AS VARCHAR2(4000)) END) AS "8.1. Lợi nhuận sau thuế đã thực hiện",
	MAX(CASE WHEN bsc.TEN_COT=N'N' AND bsc.MA_COT = '10' AND bsh.MA_HANG = '16' THEN CAST(gt.GIA_TRI AS VARCHAR2(4000)) END) AS "8.2. Lợi nhuận chưa thực hiện",
	MAX(CASE WHEN bsc.TEN_COT=N'N' AND bsc.MA_COT = '10' AND bsh.MA_HANG = '17' THEN CAST(gt.GIA_TRI AS VARCHAR2(4000)) END) AS "Tổng cộng",
	MAX(CASE WHEN bsc.TEN_COT=N'N' AND bsc.MA_COT = '10' AND bsh.MA_HANG = '18</t>
        </is>
      </c>
      <c r="U3565" s="401" t="n"/>
      <c r="V3565" s="22" t="n"/>
      <c r="W3565" s="22" t="n"/>
      <c r="X3565" s="22" t="n"/>
      <c r="Y3565" s="13" t="n"/>
      <c r="Z3565" s="22" t="n"/>
      <c r="AA3565" s="22" t="n"/>
      <c r="AB3565" s="22" t="n"/>
      <c r="AC3565" s="22" t="n"/>
      <c r="AD3565" s="22" t="n"/>
      <c r="AE3565" s="22" t="n"/>
    </row>
    <row r="3566" ht="98" customHeight="1" s="380">
      <c r="A3566" s="144" t="n">
        <v>130</v>
      </c>
      <c r="B3566" s="390" t="n"/>
      <c r="C3566" s="390" t="inlineStr">
        <is>
          <t>Báo cáo tài chính quý, soát xét bán niên, kiểm toán năm - Chi nhánh công ty chứng khoán nước ngoài tại Việt Nam &gt;&gt; Báo cáo tình hình biến động vốn chủ sở hữu</t>
        </is>
      </c>
      <c r="D3566" s="390" t="inlineStr">
        <is>
          <t>1. Vốn đầu tư của chủ sở hữu</t>
        </is>
      </c>
      <c r="E3566" s="390" t="inlineStr">
        <is>
          <t>1. Vốn đầu tư của chủ sở hữu</t>
        </is>
      </c>
      <c r="F3566" s="390" t="inlineStr">
        <is>
          <t>Data Explorer</t>
        </is>
      </c>
      <c r="G3566" s="390" t="inlineStr">
        <is>
          <t>Chỉ tiêu cơ sở</t>
        </is>
      </c>
      <c r="H3566" s="390" t="inlineStr">
        <is>
          <t>Dễ</t>
        </is>
      </c>
      <c r="I3566" s="390" t="inlineStr">
        <is>
          <t>Ngày, CTCK</t>
        </is>
      </c>
      <c r="J3566" s="401" t="inlineStr">
        <is>
          <t>SCMS</t>
        </is>
      </c>
      <c r="K3566" s="401" t="n"/>
      <c r="L3566" s="401" t="inlineStr">
        <is>
          <t>X</t>
        </is>
      </c>
      <c r="M3566" s="401" t="n"/>
      <c r="N3566" s="401" t="inlineStr">
        <is>
          <t>Done</t>
        </is>
      </c>
      <c r="O3566" s="401" t="n"/>
      <c r="P3566" s="401" t="n"/>
      <c r="S3566" s="401" t="n"/>
      <c r="U3566" s="401" t="n"/>
      <c r="V3566" s="22" t="n"/>
      <c r="W3566" s="22" t="n"/>
      <c r="X3566" s="22" t="n"/>
      <c r="Y3566" s="14" t="n"/>
      <c r="Z3566" s="22" t="n"/>
      <c r="AA3566" s="22" t="n"/>
      <c r="AB3566" s="22" t="n"/>
      <c r="AC3566" s="22" t="n"/>
      <c r="AD3566" s="22" t="n"/>
      <c r="AE3566" s="22" t="n"/>
    </row>
    <row r="3567" ht="98" customHeight="1" s="380">
      <c r="A3567" s="144" t="n">
        <v>130</v>
      </c>
      <c r="B3567" s="390" t="n"/>
      <c r="C3567" s="390" t="inlineStr">
        <is>
          <t>Báo cáo tài chính quý, soát xét bán niên, kiểm toán năm - Chi nhánh công ty chứng khoán nước ngoài tại Việt Nam &gt;&gt; Báo cáo tình hình biến động vốn chủ sở hữu</t>
        </is>
      </c>
      <c r="D3567" s="390" t="inlineStr">
        <is>
          <t>1.1. Cổ phiếu phổ thông có quyền biểu quyết</t>
        </is>
      </c>
      <c r="E3567" s="390" t="inlineStr">
        <is>
          <t>1.1. Cổ phiếu phổ thông có quyền biểu quyết</t>
        </is>
      </c>
      <c r="F3567" s="390" t="inlineStr">
        <is>
          <t>Data Explorer</t>
        </is>
      </c>
      <c r="G3567" s="390" t="inlineStr">
        <is>
          <t>Chỉ tiêu cơ sở</t>
        </is>
      </c>
      <c r="H3567" s="390" t="inlineStr">
        <is>
          <t>Dễ</t>
        </is>
      </c>
      <c r="I3567" s="390" t="inlineStr">
        <is>
          <t>Ngày, CTCK</t>
        </is>
      </c>
      <c r="J3567" s="401" t="inlineStr">
        <is>
          <t>SCMS</t>
        </is>
      </c>
      <c r="K3567" s="401" t="n"/>
      <c r="L3567" s="401" t="inlineStr">
        <is>
          <t>X</t>
        </is>
      </c>
      <c r="M3567" s="401" t="n"/>
      <c r="N3567" s="401" t="inlineStr">
        <is>
          <t>Done</t>
        </is>
      </c>
      <c r="O3567" s="401" t="n"/>
      <c r="P3567" s="401" t="n"/>
      <c r="S3567" s="401" t="n"/>
      <c r="U3567" s="401" t="n"/>
      <c r="V3567" s="22" t="n"/>
      <c r="W3567" s="22" t="n"/>
      <c r="X3567" s="22" t="n"/>
      <c r="Y3567" s="13" t="n"/>
      <c r="Z3567" s="22" t="n"/>
      <c r="AA3567" s="22" t="n"/>
      <c r="AB3567" s="22" t="n"/>
      <c r="AC3567" s="22" t="n"/>
      <c r="AD3567" s="22" t="n"/>
      <c r="AE3567" s="22" t="n"/>
    </row>
    <row r="3568" ht="98" customHeight="1" s="380">
      <c r="A3568" s="144" t="n">
        <v>130</v>
      </c>
      <c r="B3568" s="390" t="n"/>
      <c r="C3568" s="390" t="inlineStr">
        <is>
          <t>Báo cáo tài chính quý, soát xét bán niên, kiểm toán năm - Chi nhánh công ty chứng khoán nước ngoài tại Việt Nam &gt;&gt; Báo cáo tình hình biến động vốn chủ sở hữu</t>
        </is>
      </c>
      <c r="D3568" s="390" t="inlineStr">
        <is>
          <t>1.2. Cổ phiếu ưu đãi</t>
        </is>
      </c>
      <c r="E3568" s="390" t="inlineStr">
        <is>
          <t>1.2. Cổ phiếu ưu đãi</t>
        </is>
      </c>
      <c r="F3568" s="390" t="inlineStr">
        <is>
          <t>Data Explorer</t>
        </is>
      </c>
      <c r="G3568" s="390" t="inlineStr">
        <is>
          <t>Chỉ tiêu cơ sở</t>
        </is>
      </c>
      <c r="H3568" s="390" t="inlineStr">
        <is>
          <t>Dễ</t>
        </is>
      </c>
      <c r="I3568" s="390" t="inlineStr">
        <is>
          <t>Ngày, CTCK</t>
        </is>
      </c>
      <c r="J3568" s="401" t="inlineStr">
        <is>
          <t>SCMS</t>
        </is>
      </c>
      <c r="K3568" s="401" t="n"/>
      <c r="L3568" s="401" t="inlineStr">
        <is>
          <t>X</t>
        </is>
      </c>
      <c r="M3568" s="401" t="n"/>
      <c r="N3568" s="401" t="inlineStr">
        <is>
          <t>Done</t>
        </is>
      </c>
      <c r="O3568" s="401" t="n"/>
      <c r="P3568" s="401" t="n"/>
      <c r="S3568" s="401" t="n"/>
      <c r="U3568" s="401" t="n"/>
      <c r="V3568" s="22" t="n"/>
      <c r="W3568" s="22" t="n"/>
      <c r="X3568" s="22" t="n"/>
      <c r="Y3568" s="13" t="n"/>
      <c r="Z3568" s="22" t="n"/>
      <c r="AA3568" s="22" t="n"/>
      <c r="AB3568" s="22" t="n"/>
      <c r="AC3568" s="22" t="n"/>
      <c r="AD3568" s="22" t="n"/>
      <c r="AE3568" s="22" t="n"/>
    </row>
    <row r="3569" ht="98" customHeight="1" s="380">
      <c r="A3569" s="144" t="n">
        <v>130</v>
      </c>
      <c r="B3569" s="390" t="n"/>
      <c r="C3569" s="390" t="inlineStr">
        <is>
          <t>Báo cáo tài chính quý, soát xét bán niên, kiểm toán năm - Chi nhánh công ty chứng khoán nước ngoài tại Việt Nam &gt;&gt; Báo cáo tình hình biến động vốn chủ sở hữu</t>
        </is>
      </c>
      <c r="D3569" s="390" t="inlineStr">
        <is>
          <t xml:space="preserve">1.3. Thặng dư vốn cổ phần </t>
        </is>
      </c>
      <c r="E3569" s="390" t="inlineStr">
        <is>
          <t xml:space="preserve">1.3. Thặng dư vốn cổ phần </t>
        </is>
      </c>
      <c r="F3569" s="390" t="inlineStr">
        <is>
          <t>Data Explorer</t>
        </is>
      </c>
      <c r="G3569" s="390" t="inlineStr">
        <is>
          <t>Chỉ tiêu cơ sở</t>
        </is>
      </c>
      <c r="H3569" s="390" t="inlineStr">
        <is>
          <t>Dễ</t>
        </is>
      </c>
      <c r="I3569" s="390" t="inlineStr">
        <is>
          <t>Ngày, CTCK</t>
        </is>
      </c>
      <c r="J3569" s="401" t="inlineStr">
        <is>
          <t>SCMS</t>
        </is>
      </c>
      <c r="K3569" s="401" t="n"/>
      <c r="L3569" s="401" t="inlineStr">
        <is>
          <t>X</t>
        </is>
      </c>
      <c r="M3569" s="401" t="n"/>
      <c r="N3569" s="401" t="inlineStr">
        <is>
          <t>Done</t>
        </is>
      </c>
      <c r="O3569" s="401" t="n"/>
      <c r="P3569" s="401" t="n"/>
      <c r="S3569" s="401" t="n"/>
      <c r="U3569" s="401" t="n"/>
      <c r="V3569" s="22" t="n"/>
      <c r="W3569" s="22" t="n"/>
      <c r="X3569" s="22" t="n"/>
      <c r="Y3569" s="13" t="n"/>
      <c r="Z3569" s="22" t="n"/>
      <c r="AA3569" s="22" t="n"/>
      <c r="AB3569" s="22" t="n"/>
      <c r="AC3569" s="22" t="n"/>
      <c r="AD3569" s="22" t="n"/>
      <c r="AE3569" s="22" t="n"/>
    </row>
    <row r="3570" ht="98" customHeight="1" s="380">
      <c r="A3570" s="144" t="n">
        <v>130</v>
      </c>
      <c r="B3570" s="390" t="n"/>
      <c r="C3570" s="390" t="inlineStr">
        <is>
          <t>Báo cáo tài chính quý, soát xét bán niên, kiểm toán năm - Chi nhánh công ty chứng khoán nước ngoài tại Việt Nam &gt;&gt; Báo cáo tình hình biến động vốn chủ sở hữu</t>
        </is>
      </c>
      <c r="D3570" s="390" t="inlineStr">
        <is>
          <t>1.4.Quyền chọn chuyển đổi trái phiếu - Cấu phần vốn</t>
        </is>
      </c>
      <c r="E3570" s="390" t="inlineStr">
        <is>
          <t>1.4.Quyền chọn chuyển đổi trái phiếu - Cấu phần vốn</t>
        </is>
      </c>
      <c r="F3570" s="390" t="inlineStr">
        <is>
          <t>Data Explorer</t>
        </is>
      </c>
      <c r="G3570" s="390" t="inlineStr">
        <is>
          <t>Chỉ tiêu cơ sở</t>
        </is>
      </c>
      <c r="H3570" s="390" t="inlineStr">
        <is>
          <t>Dễ</t>
        </is>
      </c>
      <c r="I3570" s="390" t="inlineStr">
        <is>
          <t>Ngày, CTCK</t>
        </is>
      </c>
      <c r="J3570" s="401" t="inlineStr">
        <is>
          <t>SCMS</t>
        </is>
      </c>
      <c r="K3570" s="401" t="n"/>
      <c r="L3570" s="401" t="inlineStr">
        <is>
          <t>X</t>
        </is>
      </c>
      <c r="M3570" s="401" t="n"/>
      <c r="N3570" s="401" t="inlineStr">
        <is>
          <t>Done</t>
        </is>
      </c>
      <c r="O3570" s="401" t="n"/>
      <c r="P3570" s="401" t="n"/>
      <c r="S3570" s="401" t="n"/>
      <c r="U3570" s="401" t="n"/>
      <c r="V3570" s="22" t="n"/>
      <c r="W3570" s="22" t="n"/>
      <c r="X3570" s="22" t="n"/>
      <c r="Y3570" s="13" t="n"/>
      <c r="Z3570" s="22" t="n"/>
      <c r="AA3570" s="22" t="n"/>
      <c r="AB3570" s="22" t="n"/>
      <c r="AC3570" s="22" t="n"/>
      <c r="AD3570" s="22" t="n"/>
      <c r="AE3570" s="22" t="n"/>
    </row>
    <row r="3571" ht="98" customHeight="1" s="380">
      <c r="A3571" s="144" t="n">
        <v>130</v>
      </c>
      <c r="B3571" s="390" t="n"/>
      <c r="C3571" s="390" t="inlineStr">
        <is>
          <t>Báo cáo tài chính quý, soát xét bán niên, kiểm toán năm - Chi nhánh công ty chứng khoán nước ngoài tại Việt Nam &gt;&gt; Báo cáo tình hình biến động vốn chủ sở hữu</t>
        </is>
      </c>
      <c r="D3571" s="390" t="inlineStr">
        <is>
          <t xml:space="preserve">1.5. Vốn khác của chủ sở hữu </t>
        </is>
      </c>
      <c r="E3571" s="390" t="inlineStr">
        <is>
          <t xml:space="preserve">1.5. Vốn khác của chủ sở hữu </t>
        </is>
      </c>
      <c r="F3571" s="390" t="inlineStr">
        <is>
          <t>Data Explorer</t>
        </is>
      </c>
      <c r="G3571" s="390" t="inlineStr">
        <is>
          <t>Chỉ tiêu cơ sở</t>
        </is>
      </c>
      <c r="H3571" s="390" t="inlineStr">
        <is>
          <t>Dễ</t>
        </is>
      </c>
      <c r="I3571" s="390" t="inlineStr">
        <is>
          <t>Ngày, CTCK</t>
        </is>
      </c>
      <c r="J3571" s="401" t="inlineStr">
        <is>
          <t>SCMS</t>
        </is>
      </c>
      <c r="K3571" s="401" t="n"/>
      <c r="L3571" s="401" t="inlineStr">
        <is>
          <t>X</t>
        </is>
      </c>
      <c r="M3571" s="401" t="n"/>
      <c r="N3571" s="401" t="inlineStr">
        <is>
          <t>Done</t>
        </is>
      </c>
      <c r="O3571" s="401" t="n"/>
      <c r="P3571" s="401" t="n"/>
      <c r="S3571" s="401" t="n"/>
      <c r="U3571" s="401" t="n"/>
      <c r="V3571" s="22" t="n"/>
      <c r="W3571" s="22" t="n"/>
      <c r="X3571" s="22" t="n"/>
      <c r="Y3571" s="13" t="n"/>
      <c r="Z3571" s="22" t="n"/>
      <c r="AA3571" s="22" t="n"/>
      <c r="AB3571" s="22" t="n"/>
      <c r="AC3571" s="22" t="n"/>
      <c r="AD3571" s="22" t="n"/>
      <c r="AE3571" s="22" t="n"/>
    </row>
    <row r="3572" ht="98" customHeight="1" s="380">
      <c r="A3572" s="144" t="n">
        <v>130</v>
      </c>
      <c r="B3572" s="390" t="n"/>
      <c r="C3572" s="390" t="inlineStr">
        <is>
          <t>Báo cáo tài chính quý, soát xét bán niên, kiểm toán năm - Chi nhánh công ty chứng khoán nước ngoài tại Việt Nam &gt;&gt; Báo cáo tình hình biến động vốn chủ sở hữu</t>
        </is>
      </c>
      <c r="D3572" s="390" t="inlineStr">
        <is>
          <t>2. Cổ phiếu quỹ (*)</t>
        </is>
      </c>
      <c r="E3572" s="390" t="inlineStr">
        <is>
          <t>2. Cổ phiếu quỹ (*)</t>
        </is>
      </c>
      <c r="F3572" s="390" t="inlineStr">
        <is>
          <t>Data Explorer</t>
        </is>
      </c>
      <c r="G3572" s="390" t="inlineStr">
        <is>
          <t>Chỉ tiêu cơ sở</t>
        </is>
      </c>
      <c r="H3572" s="390" t="inlineStr">
        <is>
          <t>Dễ</t>
        </is>
      </c>
      <c r="I3572" s="390" t="inlineStr">
        <is>
          <t>Ngày, CTCK</t>
        </is>
      </c>
      <c r="J3572" s="401" t="inlineStr">
        <is>
          <t>SCMS</t>
        </is>
      </c>
      <c r="K3572" s="401" t="n"/>
      <c r="L3572" s="401" t="inlineStr">
        <is>
          <t>X</t>
        </is>
      </c>
      <c r="M3572" s="401" t="n"/>
      <c r="N3572" s="401" t="inlineStr">
        <is>
          <t>Done</t>
        </is>
      </c>
      <c r="O3572" s="401" t="n"/>
      <c r="P3572" s="401" t="n"/>
      <c r="S3572" s="401" t="n"/>
      <c r="U3572" s="401" t="n"/>
      <c r="V3572" s="22" t="n"/>
      <c r="W3572" s="22" t="n"/>
      <c r="X3572" s="22" t="n"/>
      <c r="Y3572" s="14" t="n"/>
      <c r="Z3572" s="22" t="n"/>
      <c r="AA3572" s="22" t="n"/>
      <c r="AB3572" s="22" t="n"/>
      <c r="AC3572" s="22" t="n"/>
      <c r="AD3572" s="22" t="n"/>
      <c r="AE3572" s="22" t="n"/>
    </row>
    <row r="3573" ht="98" customHeight="1" s="380">
      <c r="A3573" s="144" t="n">
        <v>130</v>
      </c>
      <c r="B3573" s="390" t="n"/>
      <c r="C3573" s="390" t="inlineStr">
        <is>
          <t>Báo cáo tài chính quý, soát xét bán niên, kiểm toán năm - Chi nhánh công ty chứng khoán nước ngoài tại Việt Nam &gt;&gt; Báo cáo tình hình biến động vốn chủ sở hữu</t>
        </is>
      </c>
      <c r="D3573" s="390" t="inlineStr">
        <is>
          <t>3. Quỹ dự trữ bổ sung vốn điều lệ</t>
        </is>
      </c>
      <c r="E3573" s="390" t="inlineStr">
        <is>
          <t>3. Quỹ dự trữ bổ sung vốn điều lệ</t>
        </is>
      </c>
      <c r="F3573" s="390" t="inlineStr">
        <is>
          <t>Data Explorer</t>
        </is>
      </c>
      <c r="G3573" s="390" t="inlineStr">
        <is>
          <t>Chỉ tiêu cơ sở</t>
        </is>
      </c>
      <c r="H3573" s="390" t="inlineStr">
        <is>
          <t>Dễ</t>
        </is>
      </c>
      <c r="I3573" s="390" t="inlineStr">
        <is>
          <t>Ngày, CTCK</t>
        </is>
      </c>
      <c r="J3573" s="401" t="inlineStr">
        <is>
          <t>SCMS</t>
        </is>
      </c>
      <c r="K3573" s="401" t="n"/>
      <c r="L3573" s="401" t="inlineStr">
        <is>
          <t>X</t>
        </is>
      </c>
      <c r="M3573" s="401" t="n"/>
      <c r="N3573" s="401" t="inlineStr">
        <is>
          <t>Done</t>
        </is>
      </c>
      <c r="O3573" s="401" t="n"/>
      <c r="P3573" s="401" t="n"/>
      <c r="S3573" s="401" t="n"/>
      <c r="U3573" s="401" t="n"/>
      <c r="V3573" s="22" t="n"/>
      <c r="W3573" s="22" t="n"/>
      <c r="X3573" s="22" t="n"/>
      <c r="Y3573" s="13" t="n"/>
      <c r="Z3573" s="22" t="n"/>
      <c r="AA3573" s="22" t="n"/>
      <c r="AB3573" s="22" t="n"/>
      <c r="AC3573" s="22" t="n"/>
      <c r="AD3573" s="22" t="n"/>
      <c r="AE3573" s="22" t="n"/>
    </row>
    <row r="3574" ht="98" customHeight="1" s="380">
      <c r="A3574" s="144" t="n">
        <v>130</v>
      </c>
      <c r="B3574" s="390" t="n"/>
      <c r="C3574" s="390" t="inlineStr">
        <is>
          <t>Báo cáo tài chính quý, soát xét bán niên, kiểm toán năm - Chi nhánh công ty chứng khoán nước ngoài tại Việt Nam &gt;&gt; Báo cáo tình hình biến động vốn chủ sở hữu</t>
        </is>
      </c>
      <c r="D3574" s="390" t="inlineStr">
        <is>
          <t>4. Quỹ dự phòng tài chính và rủi ro nghiệp vụ</t>
        </is>
      </c>
      <c r="E3574" s="390" t="inlineStr">
        <is>
          <t>4. Quỹ dự phòng tài chính và rủi ro nghiệp vụ</t>
        </is>
      </c>
      <c r="F3574" s="390" t="inlineStr">
        <is>
          <t>Data Explorer</t>
        </is>
      </c>
      <c r="G3574" s="390" t="inlineStr">
        <is>
          <t>Chỉ tiêu cơ sở</t>
        </is>
      </c>
      <c r="H3574" s="390" t="inlineStr">
        <is>
          <t>Dễ</t>
        </is>
      </c>
      <c r="I3574" s="390" t="inlineStr">
        <is>
          <t>Ngày, CTCK</t>
        </is>
      </c>
      <c r="J3574" s="401" t="inlineStr">
        <is>
          <t>SCMS</t>
        </is>
      </c>
      <c r="K3574" s="401" t="n"/>
      <c r="L3574" s="401" t="inlineStr">
        <is>
          <t>X</t>
        </is>
      </c>
      <c r="M3574" s="401" t="n"/>
      <c r="N3574" s="401" t="inlineStr">
        <is>
          <t>Done</t>
        </is>
      </c>
      <c r="O3574" s="401" t="n"/>
      <c r="P3574" s="401" t="n"/>
      <c r="S3574" s="401" t="n"/>
      <c r="U3574" s="401" t="n"/>
      <c r="V3574" s="22" t="n"/>
      <c r="W3574" s="22" t="n"/>
      <c r="X3574" s="22" t="n"/>
      <c r="Y3574" s="13" t="n"/>
      <c r="Z3574" s="22" t="n"/>
      <c r="AA3574" s="22" t="n"/>
      <c r="AB3574" s="22" t="n"/>
      <c r="AC3574" s="22" t="n"/>
      <c r="AD3574" s="22" t="n"/>
      <c r="AE3574" s="22" t="n"/>
    </row>
    <row r="3575" ht="98" customHeight="1" s="380">
      <c r="A3575" s="144" t="n">
        <v>130</v>
      </c>
      <c r="B3575" s="390" t="n"/>
      <c r="C3575" s="390" t="inlineStr">
        <is>
          <t>Báo cáo tài chính quý, soát xét bán niên, kiểm toán năm - Chi nhánh công ty chứng khoán nước ngoài tại Việt Nam &gt;&gt; Báo cáo tình hình biến động vốn chủ sở hữu</t>
        </is>
      </c>
      <c r="D3575" s="390" t="inlineStr">
        <is>
          <t>5. Chênh lệch đánh giá lại tài sản theo giá trị hợp lý</t>
        </is>
      </c>
      <c r="E3575" s="390" t="inlineStr">
        <is>
          <t>5. Chênh lệch đánh giá lại tài sản theo giá trị hợp lý</t>
        </is>
      </c>
      <c r="F3575" s="390" t="inlineStr">
        <is>
          <t>Data Explorer</t>
        </is>
      </c>
      <c r="G3575" s="390" t="inlineStr">
        <is>
          <t>Chỉ tiêu cơ sở</t>
        </is>
      </c>
      <c r="H3575" s="390" t="inlineStr">
        <is>
          <t>Dễ</t>
        </is>
      </c>
      <c r="I3575" s="390" t="inlineStr">
        <is>
          <t>Ngày, CTCK</t>
        </is>
      </c>
      <c r="J3575" s="401" t="inlineStr">
        <is>
          <t>SCMS</t>
        </is>
      </c>
      <c r="K3575" s="401" t="n"/>
      <c r="L3575" s="401" t="inlineStr">
        <is>
          <t>X</t>
        </is>
      </c>
      <c r="M3575" s="401" t="n"/>
      <c r="N3575" s="401" t="inlineStr">
        <is>
          <t>Done</t>
        </is>
      </c>
      <c r="O3575" s="401" t="n"/>
      <c r="P3575" s="401" t="n"/>
      <c r="S3575" s="401" t="n"/>
      <c r="U3575" s="401" t="n"/>
      <c r="V3575" s="22" t="n"/>
      <c r="W3575" s="22" t="n"/>
      <c r="X3575" s="22" t="n"/>
      <c r="Y3575" s="13" t="n"/>
      <c r="Z3575" s="22" t="n"/>
      <c r="AA3575" s="22" t="n"/>
      <c r="AB3575" s="22" t="n"/>
      <c r="AC3575" s="22" t="n"/>
      <c r="AD3575" s="22" t="n"/>
      <c r="AE3575" s="22" t="n"/>
    </row>
    <row r="3576" ht="98" customHeight="1" s="380">
      <c r="A3576" s="144" t="n">
        <v>130</v>
      </c>
      <c r="B3576" s="390" t="n"/>
      <c r="C3576" s="390" t="inlineStr">
        <is>
          <t>Báo cáo tài chính quý, soát xét bán niên, kiểm toán năm - Chi nhánh công ty chứng khoán nước ngoài tại Việt Nam &gt;&gt; Báo cáo tình hình biến động vốn chủ sở hữu</t>
        </is>
      </c>
      <c r="D3576" s="390" t="inlineStr">
        <is>
          <t>6.Chênh lệch tỷ giá hối đoái</t>
        </is>
      </c>
      <c r="E3576" s="390" t="inlineStr">
        <is>
          <t>6.Chênh lệch tỷ giá hối đoái</t>
        </is>
      </c>
      <c r="F3576" s="390" t="inlineStr">
        <is>
          <t>Data Explorer</t>
        </is>
      </c>
      <c r="G3576" s="390" t="inlineStr">
        <is>
          <t>Chỉ tiêu cơ sở</t>
        </is>
      </c>
      <c r="H3576" s="390" t="inlineStr">
        <is>
          <t>Dễ</t>
        </is>
      </c>
      <c r="I3576" s="390" t="inlineStr">
        <is>
          <t>Ngày, CTCK</t>
        </is>
      </c>
      <c r="J3576" s="401" t="inlineStr">
        <is>
          <t>SCMS</t>
        </is>
      </c>
      <c r="K3576" s="401" t="n"/>
      <c r="L3576" s="401" t="inlineStr">
        <is>
          <t>X</t>
        </is>
      </c>
      <c r="M3576" s="401" t="n"/>
      <c r="N3576" s="401" t="inlineStr">
        <is>
          <t>Done</t>
        </is>
      </c>
      <c r="O3576" s="401" t="n"/>
      <c r="P3576" s="401" t="n"/>
      <c r="S3576" s="401" t="n"/>
      <c r="U3576" s="401" t="n"/>
      <c r="V3576" s="22" t="n"/>
      <c r="W3576" s="22" t="n"/>
      <c r="X3576" s="22" t="n"/>
      <c r="Y3576" s="13" t="n"/>
      <c r="Z3576" s="22" t="n"/>
      <c r="AA3576" s="22" t="n"/>
      <c r="AB3576" s="22" t="n"/>
      <c r="AC3576" s="22" t="n"/>
      <c r="AD3576" s="22" t="n"/>
      <c r="AE3576" s="22" t="n"/>
    </row>
    <row r="3577" ht="98" customHeight="1" s="380">
      <c r="A3577" s="144" t="n">
        <v>130</v>
      </c>
      <c r="B3577" s="390" t="n"/>
      <c r="C3577" s="390" t="inlineStr">
        <is>
          <t>Báo cáo tài chính quý, soát xét bán niên, kiểm toán năm - Chi nhánh công ty chứng khoán nước ngoài tại Việt Nam &gt;&gt; Báo cáo tình hình biến động vốn chủ sở hữu</t>
        </is>
      </c>
      <c r="D3577" s="390" t="inlineStr">
        <is>
          <t>7. Các Quỹ khác thuộc vốn chủ sở hữu</t>
        </is>
      </c>
      <c r="E3577" s="390" t="inlineStr">
        <is>
          <t>7. Các Quỹ khác thuộc vốn chủ sở hữu</t>
        </is>
      </c>
      <c r="F3577" s="390" t="inlineStr">
        <is>
          <t>Data Explorer</t>
        </is>
      </c>
      <c r="G3577" s="390" t="inlineStr">
        <is>
          <t>Chỉ tiêu cơ sở</t>
        </is>
      </c>
      <c r="H3577" s="390" t="inlineStr">
        <is>
          <t>Dễ</t>
        </is>
      </c>
      <c r="I3577" s="390" t="inlineStr">
        <is>
          <t>Ngày, CTCK</t>
        </is>
      </c>
      <c r="J3577" s="401" t="inlineStr">
        <is>
          <t>SCMS</t>
        </is>
      </c>
      <c r="K3577" s="401" t="n"/>
      <c r="L3577" s="401" t="inlineStr">
        <is>
          <t>X</t>
        </is>
      </c>
      <c r="M3577" s="401" t="n"/>
      <c r="N3577" s="401" t="inlineStr">
        <is>
          <t>Done</t>
        </is>
      </c>
      <c r="O3577" s="401" t="n"/>
      <c r="P3577" s="401" t="n"/>
      <c r="S3577" s="401" t="n"/>
      <c r="U3577" s="401" t="n"/>
      <c r="V3577" s="22" t="n"/>
      <c r="W3577" s="22" t="n"/>
      <c r="X3577" s="22" t="n"/>
      <c r="Y3577" s="13" t="n"/>
      <c r="Z3577" s="22" t="n"/>
      <c r="AA3577" s="22" t="n"/>
      <c r="AB3577" s="22" t="n"/>
      <c r="AC3577" s="22" t="n"/>
      <c r="AD3577" s="22" t="n"/>
      <c r="AE3577" s="22" t="n"/>
    </row>
    <row r="3578" ht="98" customHeight="1" s="380">
      <c r="A3578" s="144" t="n">
        <v>130</v>
      </c>
      <c r="B3578" s="390" t="n"/>
      <c r="C3578" s="390" t="inlineStr">
        <is>
          <t>Báo cáo tài chính quý, soát xét bán niên, kiểm toán năm - Chi nhánh công ty chứng khoán nước ngoài tại Việt Nam &gt;&gt; Báo cáo tình hình biến động vốn chủ sở hữu</t>
        </is>
      </c>
      <c r="D3578" s="390" t="inlineStr">
        <is>
          <t>8. Lợi nhuận chưa phân phối</t>
        </is>
      </c>
      <c r="E3578" s="390" t="inlineStr">
        <is>
          <t>8. Lợi nhuận chưa phân phối</t>
        </is>
      </c>
      <c r="F3578" s="390" t="inlineStr">
        <is>
          <t>Data Explorer</t>
        </is>
      </c>
      <c r="G3578" s="390" t="inlineStr">
        <is>
          <t>Chỉ tiêu cơ sở</t>
        </is>
      </c>
      <c r="H3578" s="390" t="inlineStr">
        <is>
          <t>Dễ</t>
        </is>
      </c>
      <c r="I3578" s="390" t="inlineStr">
        <is>
          <t>Ngày, CTCK</t>
        </is>
      </c>
      <c r="J3578" s="401" t="inlineStr">
        <is>
          <t>SCMS</t>
        </is>
      </c>
      <c r="K3578" s="401" t="n"/>
      <c r="L3578" s="401" t="inlineStr">
        <is>
          <t>X</t>
        </is>
      </c>
      <c r="M3578" s="401" t="n"/>
      <c r="N3578" s="401" t="inlineStr">
        <is>
          <t>Done</t>
        </is>
      </c>
      <c r="O3578" s="401" t="n"/>
      <c r="P3578" s="401" t="n"/>
      <c r="S3578" s="401" t="n"/>
      <c r="U3578" s="401" t="n"/>
      <c r="V3578" s="22" t="n"/>
      <c r="W3578" s="22" t="n"/>
      <c r="X3578" s="22" t="n"/>
      <c r="Y3578" s="38" t="n"/>
      <c r="Z3578" s="22" t="n"/>
      <c r="AA3578" s="22" t="n"/>
      <c r="AB3578" s="22" t="n"/>
      <c r="AC3578" s="22" t="n"/>
      <c r="AD3578" s="22" t="n"/>
      <c r="AE3578" s="22" t="n"/>
    </row>
    <row r="3579" ht="98" customHeight="1" s="380">
      <c r="A3579" s="144" t="n">
        <v>130</v>
      </c>
      <c r="B3579" s="390" t="n"/>
      <c r="C3579" s="390" t="inlineStr">
        <is>
          <t>Báo cáo tài chính quý, soát xét bán niên, kiểm toán năm - Chi nhánh công ty chứng khoán nước ngoài tại Việt Nam &gt;&gt; Báo cáo tình hình biến động vốn chủ sở hữu</t>
        </is>
      </c>
      <c r="D3579" s="390" t="inlineStr">
        <is>
          <t>8.1. Lợi nhuận sau thuế đã thực hiện</t>
        </is>
      </c>
      <c r="E3579" s="390" t="inlineStr">
        <is>
          <t>8.1. Lợi nhuận sau thuế đã thực hiện</t>
        </is>
      </c>
      <c r="F3579" s="390" t="inlineStr">
        <is>
          <t>Data Explorer</t>
        </is>
      </c>
      <c r="G3579" s="390" t="inlineStr">
        <is>
          <t>Chỉ tiêu cơ sở</t>
        </is>
      </c>
      <c r="H3579" s="390" t="inlineStr">
        <is>
          <t>Dễ</t>
        </is>
      </c>
      <c r="I3579" s="390" t="inlineStr">
        <is>
          <t>Ngày, CTCK</t>
        </is>
      </c>
      <c r="J3579" s="401" t="inlineStr">
        <is>
          <t>SCMS</t>
        </is>
      </c>
      <c r="K3579" s="401" t="n"/>
      <c r="L3579" s="401" t="inlineStr">
        <is>
          <t>X</t>
        </is>
      </c>
      <c r="M3579" s="401" t="n"/>
      <c r="N3579" s="401" t="inlineStr">
        <is>
          <t>Done</t>
        </is>
      </c>
      <c r="O3579" s="401" t="n"/>
      <c r="P3579" s="401" t="n"/>
      <c r="S3579" s="401" t="n"/>
      <c r="U3579" s="401" t="n"/>
      <c r="V3579" s="22" t="n"/>
      <c r="W3579" s="22" t="n"/>
      <c r="X3579" s="22" t="n"/>
      <c r="Y3579" s="13" t="n"/>
      <c r="Z3579" s="22" t="n"/>
      <c r="AA3579" s="22" t="n"/>
      <c r="AB3579" s="22" t="n"/>
      <c r="AC3579" s="22" t="n"/>
      <c r="AD3579" s="22" t="n"/>
      <c r="AE3579" s="22" t="n"/>
    </row>
    <row r="3580" ht="98" customHeight="1" s="380">
      <c r="A3580" s="144" t="n">
        <v>130</v>
      </c>
      <c r="B3580" s="390" t="n"/>
      <c r="C3580" s="390" t="inlineStr">
        <is>
          <t>Báo cáo tài chính quý, soát xét bán niên, kiểm toán năm - Chi nhánh công ty chứng khoán nước ngoài tại Việt Nam &gt;&gt; Báo cáo tình hình biến động vốn chủ sở hữu</t>
        </is>
      </c>
      <c r="D3580" s="390" t="inlineStr">
        <is>
          <t xml:space="preserve">8.2. Lợi nhuận chưa thực hiện </t>
        </is>
      </c>
      <c r="E3580" s="390" t="inlineStr">
        <is>
          <t xml:space="preserve">8.2. Lợi nhuận chưa thực hiện </t>
        </is>
      </c>
      <c r="F3580" s="390" t="inlineStr">
        <is>
          <t>Data Explorer</t>
        </is>
      </c>
      <c r="G3580" s="390" t="inlineStr">
        <is>
          <t>Chỉ tiêu cơ sở</t>
        </is>
      </c>
      <c r="H3580" s="390" t="inlineStr">
        <is>
          <t>Dễ</t>
        </is>
      </c>
      <c r="I3580" s="390" t="inlineStr">
        <is>
          <t>Ngày, CTCK</t>
        </is>
      </c>
      <c r="J3580" s="401" t="inlineStr">
        <is>
          <t>SCMS</t>
        </is>
      </c>
      <c r="K3580" s="401" t="n"/>
      <c r="L3580" s="401" t="inlineStr">
        <is>
          <t>X</t>
        </is>
      </c>
      <c r="M3580" s="401" t="n"/>
      <c r="N3580" s="401" t="inlineStr">
        <is>
          <t>Done</t>
        </is>
      </c>
      <c r="O3580" s="401" t="n"/>
      <c r="P3580" s="401" t="n"/>
      <c r="S3580" s="401" t="n"/>
      <c r="U3580" s="401" t="n"/>
      <c r="V3580" s="22" t="n"/>
      <c r="W3580" s="22" t="n"/>
      <c r="X3580" s="22" t="n"/>
      <c r="Y3580" s="13" t="n"/>
      <c r="Z3580" s="22" t="n"/>
      <c r="AA3580" s="22" t="n"/>
      <c r="AB3580" s="22" t="n"/>
      <c r="AC3580" s="22" t="n"/>
      <c r="AD3580" s="22" t="n"/>
      <c r="AE3580" s="22" t="n"/>
    </row>
    <row r="3581" ht="98" customHeight="1" s="380">
      <c r="A3581" s="144" t="n">
        <v>130</v>
      </c>
      <c r="B3581" s="390" t="n"/>
      <c r="C3581" s="390" t="inlineStr">
        <is>
          <t>Báo cáo tài chính quý, soát xét bán niên, kiểm toán năm - Chi nhánh công ty chứng khoán nước ngoài tại Việt Nam &gt;&gt; Báo cáo tình hình biến động vốn chủ sở hữu</t>
        </is>
      </c>
      <c r="D3581" s="132" t="inlineStr">
        <is>
          <t>Tổng cộng</t>
        </is>
      </c>
      <c r="E3581" s="132" t="inlineStr">
        <is>
          <t>Tổng cộng</t>
        </is>
      </c>
      <c r="F3581" s="390" t="inlineStr">
        <is>
          <t>Data Explorer</t>
        </is>
      </c>
      <c r="G3581" s="390" t="inlineStr">
        <is>
          <t>Chỉ tiêu cơ sở</t>
        </is>
      </c>
      <c r="H3581" s="390" t="inlineStr">
        <is>
          <t>Dễ</t>
        </is>
      </c>
      <c r="I3581" s="390" t="inlineStr">
        <is>
          <t>Ngày, CTCK</t>
        </is>
      </c>
      <c r="J3581" s="401" t="inlineStr">
        <is>
          <t>SCMS</t>
        </is>
      </c>
      <c r="K3581" s="401" t="n"/>
      <c r="L3581" s="401" t="inlineStr">
        <is>
          <t>X</t>
        </is>
      </c>
      <c r="M3581" s="401" t="n"/>
      <c r="N3581" s="401" t="inlineStr">
        <is>
          <t>Done</t>
        </is>
      </c>
      <c r="O3581" s="401" t="n"/>
      <c r="P3581" s="401" t="n"/>
      <c r="S3581" s="401" t="n"/>
      <c r="U3581" s="401" t="n"/>
      <c r="V3581" s="22" t="n"/>
      <c r="W3581" s="22" t="n"/>
      <c r="X3581" s="22" t="n"/>
      <c r="Y3581" s="13" t="n"/>
      <c r="Z3581" s="22" t="n"/>
      <c r="AA3581" s="22" t="n"/>
      <c r="AB3581" s="22" t="n"/>
      <c r="AC3581" s="22" t="n"/>
      <c r="AD3581" s="22" t="n"/>
      <c r="AE3581" s="22" t="n"/>
    </row>
    <row r="3582" ht="98" customHeight="1" s="380">
      <c r="A3582" s="144" t="n">
        <v>130</v>
      </c>
      <c r="B3582" s="390" t="n"/>
      <c r="C3582" s="390" t="inlineStr">
        <is>
          <t>Báo cáo tài chính quý, soát xét bán niên, kiểm toán năm - Chi nhánh công ty chứng khoán nước ngoài tại Việt Nam &gt;&gt; Báo cáo tình hình biến động vốn chủ sở hữu</t>
        </is>
      </c>
      <c r="D3582" s="132" t="inlineStr">
        <is>
          <t>II. Thu nhập toàn diện khác</t>
        </is>
      </c>
      <c r="E3582" s="132" t="inlineStr">
        <is>
          <t>II. Thu nhập toàn diện khác</t>
        </is>
      </c>
      <c r="F3582" s="390" t="inlineStr">
        <is>
          <t>Data Explorer</t>
        </is>
      </c>
      <c r="G3582" s="390" t="inlineStr">
        <is>
          <t>Chỉ tiêu cơ sở</t>
        </is>
      </c>
      <c r="H3582" s="390" t="inlineStr">
        <is>
          <t>Dễ</t>
        </is>
      </c>
      <c r="I3582" s="390" t="inlineStr">
        <is>
          <t>Ngày, CTCK</t>
        </is>
      </c>
      <c r="J3582" s="401" t="inlineStr">
        <is>
          <t>SCMS</t>
        </is>
      </c>
      <c r="K3582" s="401" t="n"/>
      <c r="L3582" s="401" t="inlineStr">
        <is>
          <t>X</t>
        </is>
      </c>
      <c r="M3582" s="401" t="n"/>
      <c r="N3582" s="401" t="inlineStr">
        <is>
          <t>Done</t>
        </is>
      </c>
      <c r="O3582" s="401" t="n"/>
      <c r="P3582" s="401" t="n"/>
      <c r="S3582" s="401" t="n"/>
      <c r="U3582" s="401" t="n"/>
      <c r="V3582" s="22" t="n"/>
      <c r="W3582" s="22" t="n"/>
      <c r="X3582" s="22" t="n"/>
      <c r="Y3582" s="13" t="n"/>
      <c r="Z3582" s="22" t="n"/>
      <c r="AA3582" s="22" t="n"/>
      <c r="AB3582" s="22" t="n"/>
      <c r="AC3582" s="22" t="n"/>
      <c r="AD3582" s="22" t="n"/>
      <c r="AE3582" s="22" t="n"/>
    </row>
    <row r="3583" ht="98" customHeight="1" s="380">
      <c r="A3583" s="144" t="n">
        <v>130</v>
      </c>
      <c r="B3583" s="390" t="n"/>
      <c r="C3583" s="390" t="inlineStr">
        <is>
          <t>Báo cáo tài chính quý, soát xét bán niên, kiểm toán năm - Chi nhánh công ty chứng khoán nước ngoài tại Việt Nam &gt;&gt; Báo cáo tình hình biến động vốn chủ sở hữu</t>
        </is>
      </c>
      <c r="D3583" s="390" t="inlineStr">
        <is>
          <t>1. Lãi/lỗ từ đánh giá lại các TSTC sẵn sàng để bán</t>
        </is>
      </c>
      <c r="E3583" s="390" t="inlineStr">
        <is>
          <t>1. Lãi/lỗ từ đánh giá lại các TSTC sẵn sàng để bán</t>
        </is>
      </c>
      <c r="F3583" s="390" t="inlineStr">
        <is>
          <t>Data Explorer</t>
        </is>
      </c>
      <c r="G3583" s="390" t="inlineStr">
        <is>
          <t>Chỉ tiêu cơ sở</t>
        </is>
      </c>
      <c r="H3583" s="390" t="inlineStr">
        <is>
          <t>Dễ</t>
        </is>
      </c>
      <c r="I3583" s="390" t="inlineStr">
        <is>
          <t>Ngày, CTCK</t>
        </is>
      </c>
      <c r="J3583" s="401" t="inlineStr">
        <is>
          <t>SCMS</t>
        </is>
      </c>
      <c r="K3583" s="401" t="n"/>
      <c r="L3583" s="401" t="inlineStr">
        <is>
          <t>X</t>
        </is>
      </c>
      <c r="M3583" s="401" t="n"/>
      <c r="N3583" s="401" t="inlineStr">
        <is>
          <t>Done</t>
        </is>
      </c>
      <c r="O3583" s="401" t="n"/>
      <c r="P3583" s="401" t="n"/>
      <c r="S3583" s="401" t="n"/>
      <c r="U3583" s="401" t="n"/>
      <c r="V3583" s="22" t="n"/>
      <c r="W3583" s="22" t="n"/>
      <c r="X3583" s="22" t="n"/>
      <c r="Y3583" s="13" t="n"/>
      <c r="Z3583" s="22" t="n"/>
      <c r="AA3583" s="22" t="n"/>
      <c r="AB3583" s="22" t="n"/>
      <c r="AC3583" s="22" t="n"/>
      <c r="AD3583" s="22" t="n"/>
      <c r="AE3583" s="22" t="n"/>
    </row>
    <row r="3584" ht="98" customHeight="1" s="380">
      <c r="A3584" s="144" t="n">
        <v>130</v>
      </c>
      <c r="B3584" s="390" t="n"/>
      <c r="C3584" s="390" t="inlineStr">
        <is>
          <t>Báo cáo tài chính quý, soát xét bán niên, kiểm toán năm - Chi nhánh công ty chứng khoán nước ngoài tại Việt Nam &gt;&gt; Báo cáo tình hình biến động vốn chủ sở hữu</t>
        </is>
      </c>
      <c r="D3584" s="390" t="inlineStr">
        <is>
          <t>2. Lãi, lỗ đánh giá lại TĐ theo mô hình giá trị hợp lý</t>
        </is>
      </c>
      <c r="E3584" s="390" t="inlineStr">
        <is>
          <t>2. Lãi, lỗ đánh giá lại TĐ theo mô hình giá trị hợp lý</t>
        </is>
      </c>
      <c r="F3584" s="390" t="inlineStr">
        <is>
          <t>Data Explorer</t>
        </is>
      </c>
      <c r="G3584" s="390" t="inlineStr">
        <is>
          <t>Chỉ tiêu cơ sở</t>
        </is>
      </c>
      <c r="H3584" s="390" t="inlineStr">
        <is>
          <t>Dễ</t>
        </is>
      </c>
      <c r="I3584" s="390" t="inlineStr">
        <is>
          <t>Ngày, CTCK</t>
        </is>
      </c>
      <c r="J3584" s="401" t="inlineStr">
        <is>
          <t>SCMS</t>
        </is>
      </c>
      <c r="K3584" s="401" t="n"/>
      <c r="L3584" s="401" t="inlineStr">
        <is>
          <t>X</t>
        </is>
      </c>
      <c r="M3584" s="401" t="n"/>
      <c r="N3584" s="401" t="inlineStr">
        <is>
          <t>Done</t>
        </is>
      </c>
      <c r="O3584" s="401" t="n"/>
      <c r="P3584" s="401" t="n"/>
      <c r="S3584" s="401" t="n"/>
      <c r="U3584" s="401" t="n"/>
      <c r="V3584" s="22" t="n"/>
      <c r="W3584" s="22" t="n"/>
      <c r="X3584" s="22" t="n"/>
      <c r="Y3584" s="38" t="n"/>
      <c r="Z3584" s="22" t="n"/>
      <c r="AA3584" s="22" t="n"/>
      <c r="AB3584" s="22" t="n"/>
      <c r="AC3584" s="22" t="n"/>
      <c r="AD3584" s="22" t="n"/>
      <c r="AE3584" s="22" t="n"/>
    </row>
    <row r="3585" ht="98" customHeight="1" s="380">
      <c r="A3585" s="144" t="n">
        <v>130</v>
      </c>
      <c r="B3585" s="390" t="n"/>
      <c r="C3585" s="390" t="inlineStr">
        <is>
          <t>Báo cáo tài chính quý, soát xét bán niên, kiểm toán năm - Chi nhánh công ty chứng khoán nước ngoài tại Việt Nam &gt;&gt; Báo cáo tình hình biến động vốn chủ sở hữu</t>
        </is>
      </c>
      <c r="D3585" s="390" t="inlineStr">
        <is>
          <t>3. Lãi, lỗ chênh lệch tỷ giá của hoạt động tại nước ngoài</t>
        </is>
      </c>
      <c r="E3585" s="390" t="inlineStr">
        <is>
          <t>3. Lãi, lỗ chênh lệch tỷ giá của hoạt động tại nước ngoài</t>
        </is>
      </c>
      <c r="F3585" s="390" t="inlineStr">
        <is>
          <t>Data Explorer</t>
        </is>
      </c>
      <c r="G3585" s="390" t="inlineStr">
        <is>
          <t>Chỉ tiêu cơ sở</t>
        </is>
      </c>
      <c r="H3585" s="390" t="inlineStr">
        <is>
          <t>Dễ</t>
        </is>
      </c>
      <c r="I3585" s="390" t="inlineStr">
        <is>
          <t>Ngày, CTCK</t>
        </is>
      </c>
      <c r="J3585" s="401" t="inlineStr">
        <is>
          <t>SCMS</t>
        </is>
      </c>
      <c r="K3585" s="401" t="n"/>
      <c r="L3585" s="401" t="inlineStr">
        <is>
          <t>X</t>
        </is>
      </c>
      <c r="M3585" s="401" t="n"/>
      <c r="N3585" s="401" t="inlineStr">
        <is>
          <t>Done</t>
        </is>
      </c>
      <c r="O3585" s="401" t="n"/>
      <c r="P3585" s="401" t="n"/>
      <c r="S3585" s="401" t="n"/>
      <c r="U3585" s="401" t="n"/>
      <c r="V3585" s="22" t="n"/>
      <c r="W3585" s="22" t="n"/>
      <c r="X3585" s="22" t="n"/>
      <c r="Y3585" s="13" t="n"/>
      <c r="Z3585" s="22" t="n"/>
      <c r="AA3585" s="22" t="n"/>
      <c r="AB3585" s="22" t="n"/>
      <c r="AC3585" s="22" t="n"/>
      <c r="AD3585" s="22" t="n"/>
      <c r="AE3585" s="22" t="n"/>
    </row>
    <row r="3586" ht="98" customHeight="1" s="380">
      <c r="A3586" s="144" t="n">
        <v>130</v>
      </c>
      <c r="B3586" s="390" t="n"/>
      <c r="C3586" s="390" t="inlineStr">
        <is>
          <t>Báo cáo tài chính quý, soát xét bán niên, kiểm toán năm - Chi nhánh công ty chứng khoán nước ngoài tại Việt Nam &gt;&gt; Báo cáo tình hình biến động vốn chủ sở hữu</t>
        </is>
      </c>
      <c r="D3586" s="390" t="inlineStr">
        <is>
          <t>4. Lãi, lỗ toàn diện khác</t>
        </is>
      </c>
      <c r="E3586" s="390" t="inlineStr">
        <is>
          <t>4. Lãi, lỗ toàn diện khác</t>
        </is>
      </c>
      <c r="F3586" s="390" t="inlineStr">
        <is>
          <t>Data Explorer</t>
        </is>
      </c>
      <c r="G3586" s="390" t="inlineStr">
        <is>
          <t>Chỉ tiêu cơ sở</t>
        </is>
      </c>
      <c r="H3586" s="390" t="inlineStr">
        <is>
          <t>Dễ</t>
        </is>
      </c>
      <c r="I3586" s="390" t="inlineStr">
        <is>
          <t>Ngày, CTCK</t>
        </is>
      </c>
      <c r="J3586" s="401" t="inlineStr">
        <is>
          <t>SCMS</t>
        </is>
      </c>
      <c r="K3586" s="401" t="n"/>
      <c r="L3586" s="401" t="inlineStr">
        <is>
          <t>X</t>
        </is>
      </c>
      <c r="M3586" s="401" t="n"/>
      <c r="N3586" s="401" t="inlineStr">
        <is>
          <t>Done</t>
        </is>
      </c>
      <c r="O3586" s="401" t="n"/>
      <c r="P3586" s="401" t="n"/>
      <c r="S3586" s="401" t="n"/>
      <c r="U3586" s="401" t="n"/>
      <c r="V3586" s="22" t="n"/>
      <c r="W3586" s="22" t="n"/>
      <c r="X3586" s="22" t="n"/>
      <c r="Y3586" s="13" t="n"/>
      <c r="Z3586" s="22" t="n"/>
      <c r="AA3586" s="22" t="n"/>
      <c r="AB3586" s="22" t="n"/>
      <c r="AC3586" s="22" t="n"/>
      <c r="AD3586" s="22" t="n"/>
      <c r="AE3586" s="22" t="n"/>
    </row>
    <row r="3587" ht="98" customHeight="1" s="380">
      <c r="A3587" s="145" t="n">
        <v>130</v>
      </c>
      <c r="B3587" s="129" t="n"/>
      <c r="C3587" s="129" t="inlineStr">
        <is>
          <t>Báo cáo tài chính quý, soát xét bán niên, kiểm toán năm - Chi nhánh công ty chứng khoán nước ngoài tại Việt Nam &gt;&gt; Báo cáo tình hình biến động vốn chủ sở hữu</t>
        </is>
      </c>
      <c r="D3587" s="134" t="inlineStr">
        <is>
          <t>Tổng cộng</t>
        </is>
      </c>
      <c r="E3587" s="134" t="inlineStr">
        <is>
          <t>Tổng cộng</t>
        </is>
      </c>
      <c r="F3587" s="129" t="inlineStr">
        <is>
          <t>Data Explorer</t>
        </is>
      </c>
      <c r="G3587" s="129" t="inlineStr">
        <is>
          <t>Chỉ tiêu cơ sở</t>
        </is>
      </c>
      <c r="H3587" s="129" t="inlineStr">
        <is>
          <t>Dễ</t>
        </is>
      </c>
      <c r="I3587" s="129" t="inlineStr">
        <is>
          <t>Ngày, CTCK</t>
        </is>
      </c>
      <c r="J3587" s="85" t="inlineStr">
        <is>
          <t>SCMS</t>
        </is>
      </c>
      <c r="K3587" s="85" t="n"/>
      <c r="L3587" s="85" t="inlineStr">
        <is>
          <t>X</t>
        </is>
      </c>
      <c r="M3587" s="85" t="n"/>
      <c r="N3587" s="85" t="inlineStr">
        <is>
          <t>Done</t>
        </is>
      </c>
      <c r="O3587" s="85" t="n"/>
      <c r="P3587" s="85" t="n"/>
      <c r="Q3587" s="426" t="n"/>
      <c r="R3587" s="426" t="n"/>
      <c r="S3587" s="85" t="n"/>
      <c r="T3587" s="426" t="n"/>
      <c r="U3587" s="85" t="n"/>
      <c r="V3587" s="130" t="n"/>
      <c r="W3587" s="130" t="n"/>
      <c r="X3587" s="130" t="n"/>
      <c r="Y3587" s="97" t="n"/>
      <c r="Z3587" s="130" t="n"/>
      <c r="AA3587" s="130" t="n"/>
      <c r="AB3587" s="130" t="n"/>
      <c r="AC3587" s="130" t="n"/>
      <c r="AD3587" s="130" t="n"/>
      <c r="AE3587" s="130" t="n"/>
    </row>
    <row r="3588" ht="70" customHeight="1" s="380">
      <c r="A3588" s="148" t="n">
        <v>131</v>
      </c>
      <c r="B3588" s="140" t="inlineStr">
        <is>
          <t>Nga</t>
        </is>
      </c>
      <c r="C3588" s="127" t="inlineStr">
        <is>
          <t>Báo cáo tỷ lệ an toàn tài chính - Chi nhánh công ty chứng khoán nước ngoài tại Việt Nam &gt;&gt; Bảng tính vốn khả dụng</t>
        </is>
      </c>
      <c r="D3588" s="106" t="inlineStr">
        <is>
          <t>Loại báo cáo</t>
        </is>
      </c>
      <c r="E3588" s="107" t="inlineStr">
        <is>
          <t>Loại báo cáo</t>
        </is>
      </c>
      <c r="F3588" s="390" t="inlineStr">
        <is>
          <t>Data Explorer</t>
        </is>
      </c>
      <c r="G3588" s="390" t="inlineStr">
        <is>
          <t>Chiều</t>
        </is>
      </c>
      <c r="H3588" s="390" t="inlineStr">
        <is>
          <t>Dễ</t>
        </is>
      </c>
      <c r="I3588" s="390" t="inlineStr">
        <is>
          <t>Ngày, CTCK</t>
        </is>
      </c>
      <c r="J3588" s="401" t="inlineStr">
        <is>
          <t>SCMS</t>
        </is>
      </c>
      <c r="K3588" s="401" t="inlineStr">
        <is>
          <t>X</t>
        </is>
      </c>
      <c r="L3588" s="401" t="inlineStr">
        <is>
          <t>X</t>
        </is>
      </c>
      <c r="M3588" s="401" t="n"/>
      <c r="N3588" s="401" t="inlineStr">
        <is>
          <t>Done</t>
        </is>
      </c>
      <c r="O3588" s="401" t="n"/>
      <c r="P3588" s="401" t="n"/>
      <c r="Q3588" s="404" t="inlineStr">
        <is>
          <t>SCMS.BM_BAO_CAO
SCMS.BM_BAO_CAO_DINH_KY</t>
        </is>
      </c>
      <c r="R3588" s="404" t="inlineStr">
        <is>
          <t>bm.ID,
bm.MA_BAO_CAO,
bm.LOAI_BAO_CAO,
bm.TEN_BAO_CAO,
bm.SU_DUNG,
bdk.BM_BAO_CAO_ID,
bdk.KY_BAO_CAO,
bdk.SU_DUNG</t>
        </is>
      </c>
      <c r="S3588" s="401" t="n"/>
      <c r="T3588" s="390"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3588" s="401" t="n"/>
      <c r="V3588" s="22" t="n"/>
      <c r="W3588" s="22" t="n"/>
      <c r="X3588" s="22" t="n"/>
      <c r="Y3588" s="13" t="n"/>
      <c r="Z3588" s="22" t="n"/>
      <c r="AA3588" s="22" t="n"/>
      <c r="AB3588" s="22" t="n"/>
      <c r="AC3588" s="22" t="n"/>
      <c r="AD3588" s="22" t="n"/>
      <c r="AE3588" s="22" t="n"/>
    </row>
    <row r="3589" ht="70" customHeight="1" s="380">
      <c r="A3589" s="148" t="n">
        <v>131</v>
      </c>
      <c r="B3589" s="390" t="n"/>
      <c r="C3589" s="390" t="inlineStr">
        <is>
          <t>Báo cáo tỷ lệ an toàn tài chính - Chi nhánh công ty chứng khoán nước ngoài tại Việt Nam &gt;&gt; Bảng tính vốn khả dụng</t>
        </is>
      </c>
      <c r="D3589" s="106" t="inlineStr">
        <is>
          <t>Kỳ báo cáo</t>
        </is>
      </c>
      <c r="E3589" s="107" t="inlineStr">
        <is>
          <t>Kỳ báo cáo</t>
        </is>
      </c>
      <c r="F3589" s="390" t="inlineStr">
        <is>
          <t>Data Explorer</t>
        </is>
      </c>
      <c r="G3589" s="390" t="inlineStr">
        <is>
          <t>Chiều</t>
        </is>
      </c>
      <c r="H3589" s="390" t="inlineStr">
        <is>
          <t>Dễ</t>
        </is>
      </c>
      <c r="I3589" s="390" t="inlineStr">
        <is>
          <t>Ngày, CTCK</t>
        </is>
      </c>
      <c r="J3589" s="401" t="inlineStr">
        <is>
          <t>SCMS</t>
        </is>
      </c>
      <c r="K3589" s="401" t="inlineStr">
        <is>
          <t>X</t>
        </is>
      </c>
      <c r="L3589" s="401" t="inlineStr">
        <is>
          <t>X</t>
        </is>
      </c>
      <c r="M3589" s="401" t="n"/>
      <c r="N3589" s="401" t="inlineStr">
        <is>
          <t>Done</t>
        </is>
      </c>
      <c r="O3589" s="401" t="n"/>
      <c r="P3589" s="401" t="n"/>
      <c r="S3589" s="401" t="n"/>
      <c r="U3589" s="401" t="n"/>
      <c r="V3589" s="22" t="n"/>
      <c r="W3589" s="22" t="n"/>
      <c r="X3589" s="22" t="n"/>
      <c r="Y3589" s="13" t="n"/>
      <c r="Z3589" s="22" t="n"/>
      <c r="AA3589" s="22" t="n"/>
      <c r="AB3589" s="22" t="n"/>
      <c r="AC3589" s="22" t="n"/>
      <c r="AD3589" s="22" t="n"/>
      <c r="AE3589" s="22" t="n"/>
    </row>
    <row r="3590" ht="70" customHeight="1" s="380">
      <c r="A3590" s="148" t="n">
        <v>131</v>
      </c>
      <c r="B3590" s="390" t="n"/>
      <c r="C3590" s="390" t="inlineStr">
        <is>
          <t>Báo cáo tỷ lệ an toàn tài chính - Chi nhánh công ty chứng khoán nước ngoài tại Việt Nam &gt;&gt; Bảng tính vốn khả dụng</t>
        </is>
      </c>
      <c r="D3590" s="106" t="inlineStr">
        <is>
          <t>Mã báo cáo</t>
        </is>
      </c>
      <c r="E3590" s="107" t="inlineStr">
        <is>
          <t>Mã báo cáo</t>
        </is>
      </c>
      <c r="F3590" s="390" t="inlineStr">
        <is>
          <t>Data Explorer</t>
        </is>
      </c>
      <c r="G3590" s="390" t="inlineStr">
        <is>
          <t>Chiều</t>
        </is>
      </c>
      <c r="H3590" s="390" t="inlineStr">
        <is>
          <t>Dễ</t>
        </is>
      </c>
      <c r="I3590" s="390" t="inlineStr">
        <is>
          <t>Ngày, CTCK</t>
        </is>
      </c>
      <c r="J3590" s="401" t="inlineStr">
        <is>
          <t>SCMS</t>
        </is>
      </c>
      <c r="K3590" s="401" t="inlineStr">
        <is>
          <t>X</t>
        </is>
      </c>
      <c r="L3590" s="401" t="inlineStr">
        <is>
          <t>X</t>
        </is>
      </c>
      <c r="M3590" s="401" t="n"/>
      <c r="N3590" s="401" t="inlineStr">
        <is>
          <t>Done</t>
        </is>
      </c>
      <c r="O3590" s="401" t="n"/>
      <c r="P3590" s="401" t="n"/>
      <c r="S3590" s="401" t="n"/>
      <c r="U3590" s="401" t="n"/>
      <c r="V3590" s="22" t="n"/>
      <c r="W3590" s="22" t="n"/>
      <c r="X3590" s="22" t="n"/>
      <c r="Y3590" s="38" t="n"/>
      <c r="Z3590" s="22" t="n"/>
      <c r="AA3590" s="22" t="n"/>
      <c r="AB3590" s="22" t="n"/>
      <c r="AC3590" s="22" t="n"/>
      <c r="AD3590" s="22" t="n"/>
      <c r="AE3590" s="22" t="n"/>
    </row>
    <row r="3591" ht="70" customHeight="1" s="380">
      <c r="A3591" s="148" t="n">
        <v>131</v>
      </c>
      <c r="B3591" s="390" t="n"/>
      <c r="C3591" s="390" t="inlineStr">
        <is>
          <t>Báo cáo tỷ lệ an toàn tài chính - Chi nhánh công ty chứng khoán nước ngoài tại Việt Nam &gt;&gt; Bảng tính vốn khả dụng</t>
        </is>
      </c>
      <c r="D3591" s="106" t="inlineStr">
        <is>
          <t>Tên báo cáo</t>
        </is>
      </c>
      <c r="E3591" s="107" t="inlineStr">
        <is>
          <t>Tên báo cáo</t>
        </is>
      </c>
      <c r="F3591" s="390" t="inlineStr">
        <is>
          <t>Data Explorer</t>
        </is>
      </c>
      <c r="G3591" s="390" t="inlineStr">
        <is>
          <t>Chiều</t>
        </is>
      </c>
      <c r="H3591" s="390" t="inlineStr">
        <is>
          <t>Dễ</t>
        </is>
      </c>
      <c r="I3591" s="390" t="inlineStr">
        <is>
          <t>Ngày, CTCK</t>
        </is>
      </c>
      <c r="J3591" s="401" t="inlineStr">
        <is>
          <t>SCMS</t>
        </is>
      </c>
      <c r="K3591" s="401" t="inlineStr">
        <is>
          <t>X</t>
        </is>
      </c>
      <c r="L3591" s="401" t="inlineStr">
        <is>
          <t>X</t>
        </is>
      </c>
      <c r="M3591" s="401" t="n"/>
      <c r="N3591" s="401" t="inlineStr">
        <is>
          <t>Done</t>
        </is>
      </c>
      <c r="O3591" s="401" t="n"/>
      <c r="P3591" s="401" t="n"/>
      <c r="S3591" s="401" t="n"/>
      <c r="U3591" s="401" t="n"/>
      <c r="V3591" s="22" t="n"/>
      <c r="W3591" s="22" t="n"/>
      <c r="X3591" s="22" t="n"/>
      <c r="Y3591" s="13" t="n"/>
      <c r="Z3591" s="22" t="n"/>
      <c r="AA3591" s="22" t="n"/>
      <c r="AB3591" s="22" t="n"/>
      <c r="AC3591" s="22" t="n"/>
      <c r="AD3591" s="22" t="n"/>
      <c r="AE3591" s="22" t="n"/>
    </row>
    <row r="3592" ht="70" customHeight="1" s="380">
      <c r="A3592" s="148" t="n">
        <v>131</v>
      </c>
      <c r="B3592" s="390" t="n"/>
      <c r="C3592" s="390" t="inlineStr">
        <is>
          <t>Báo cáo tỷ lệ an toàn tài chính - Chi nhánh công ty chứng khoán nước ngoài tại Việt Nam &gt;&gt; Bảng tính vốn khả dụng</t>
        </is>
      </c>
      <c r="D3592" s="106" t="inlineStr">
        <is>
          <t>Mã sheet</t>
        </is>
      </c>
      <c r="E3592" s="106" t="inlineStr">
        <is>
          <t>Mã sheet</t>
        </is>
      </c>
      <c r="F3592" s="390" t="inlineStr">
        <is>
          <t>Data Explorer</t>
        </is>
      </c>
      <c r="G3592" s="390" t="inlineStr">
        <is>
          <t>Chiều</t>
        </is>
      </c>
      <c r="H3592" s="390" t="inlineStr">
        <is>
          <t>Dễ</t>
        </is>
      </c>
      <c r="I3592" s="390" t="inlineStr">
        <is>
          <t>Ngày, CTCK</t>
        </is>
      </c>
      <c r="J3592" s="401" t="inlineStr">
        <is>
          <t>SCMS</t>
        </is>
      </c>
      <c r="K3592" s="401" t="inlineStr">
        <is>
          <t>X</t>
        </is>
      </c>
      <c r="L3592" s="401" t="inlineStr">
        <is>
          <t>X</t>
        </is>
      </c>
      <c r="M3592" s="401" t="n"/>
      <c r="N3592" s="401" t="inlineStr">
        <is>
          <t>Done</t>
        </is>
      </c>
      <c r="O3592" s="401" t="n"/>
      <c r="P3592" s="401" t="n"/>
      <c r="Q3592" s="401" t="inlineStr">
        <is>
          <t>SCMS.BM_BAO_CAO
SCMS.BM_SHEET</t>
        </is>
      </c>
      <c r="R3592" s="401" t="inlineStr">
        <is>
          <t>bm.ID,
bm.MA_BAO_CAO,
bm.SU_DUNG,
s.BM_BAO_CAO_ID,
s.MA_SHEET,
s.TEN_SHEET,
s.SAP_XEP</t>
        </is>
      </c>
      <c r="S3592" s="401" t="n"/>
      <c r="T3592" s="389" t="inlineStr">
        <is>
          <t>-- Mã sheet / Tên sheet
-- TEN_SHEET: 06H01
SELECT bm.MA_BAO_CAO,
s.MA_SHEET,
s.TEN_SHEET
FROM SCMS.BM_BAO_CAO bm
JOIN SCMS.BM_SHEET s ON s.BM_BAO_CAO_ID = bm.ID
WHERE bm.MA_BAO_CAO LIKE 'BCTLAT_TT102/2025'
AND s.MA_SHEET = '06H01'  -- Check lại
AND bm.SU_DUNG = 1
ORDER BY bm.MA_BAO_CAO, s.SAP_XEP;</t>
        </is>
      </c>
      <c r="U3592" s="401" t="n"/>
      <c r="V3592" s="22" t="n"/>
      <c r="W3592" s="22" t="n"/>
      <c r="X3592" s="22" t="n"/>
      <c r="Y3592" s="13" t="n"/>
      <c r="Z3592" s="22" t="n"/>
      <c r="AA3592" s="22" t="n"/>
      <c r="AB3592" s="22" t="n"/>
      <c r="AC3592" s="22" t="n"/>
      <c r="AD3592" s="22" t="n"/>
      <c r="AE3592" s="22" t="n"/>
    </row>
    <row r="3593" ht="70" customHeight="1" s="380">
      <c r="A3593" s="148" t="n">
        <v>131</v>
      </c>
      <c r="B3593" s="390" t="n"/>
      <c r="C3593" s="390" t="inlineStr">
        <is>
          <t>Báo cáo tỷ lệ an toàn tài chính - Chi nhánh công ty chứng khoán nước ngoài tại Việt Nam &gt;&gt; Bảng tính vốn khả dụng</t>
        </is>
      </c>
      <c r="D3593" s="106" t="inlineStr">
        <is>
          <t>Tên sheet</t>
        </is>
      </c>
      <c r="E3593" s="106" t="inlineStr">
        <is>
          <t>Tên sheet</t>
        </is>
      </c>
      <c r="F3593" s="390" t="inlineStr">
        <is>
          <t>Data Explorer</t>
        </is>
      </c>
      <c r="G3593" s="390" t="inlineStr">
        <is>
          <t>Chiều</t>
        </is>
      </c>
      <c r="H3593" s="390" t="inlineStr">
        <is>
          <t>Dễ</t>
        </is>
      </c>
      <c r="I3593" s="390" t="inlineStr">
        <is>
          <t>Ngày, CTCK</t>
        </is>
      </c>
      <c r="J3593" s="401" t="inlineStr">
        <is>
          <t>SCMS</t>
        </is>
      </c>
      <c r="K3593" s="401" t="inlineStr">
        <is>
          <t>X</t>
        </is>
      </c>
      <c r="L3593" s="401" t="inlineStr">
        <is>
          <t>X</t>
        </is>
      </c>
      <c r="M3593" s="401" t="n"/>
      <c r="N3593" s="401" t="inlineStr">
        <is>
          <t>Done</t>
        </is>
      </c>
      <c r="O3593" s="401" t="n"/>
      <c r="P3593" s="401" t="n"/>
      <c r="S3593" s="401" t="n"/>
      <c r="U3593" s="401" t="n"/>
      <c r="V3593" s="22" t="n"/>
      <c r="W3593" s="22" t="n"/>
      <c r="X3593" s="22" t="n"/>
      <c r="Y3593" s="13" t="n"/>
      <c r="Z3593" s="22" t="n"/>
      <c r="AA3593" s="22" t="n"/>
      <c r="AB3593" s="22" t="n"/>
      <c r="AC3593" s="22" t="n"/>
      <c r="AD3593" s="22" t="n"/>
      <c r="AE3593" s="22" t="n"/>
    </row>
    <row r="3594" ht="70" customHeight="1" s="380">
      <c r="A3594" s="148" t="n">
        <v>131</v>
      </c>
      <c r="B3594" s="390" t="n"/>
      <c r="C3594" s="390" t="inlineStr">
        <is>
          <t>Báo cáo tỷ lệ an toàn tài chính - Chi nhánh công ty chứng khoán nước ngoài tại Việt Nam &gt;&gt; Bảng tính vốn khả dụng</t>
        </is>
      </c>
      <c r="D3594" s="106" t="inlineStr">
        <is>
          <t>Mã chỉ tiêu</t>
        </is>
      </c>
      <c r="E3594" s="107" t="inlineStr">
        <is>
          <t>Mã chỉ tiêu</t>
        </is>
      </c>
      <c r="F3594" s="390" t="inlineStr">
        <is>
          <t>Data Explorer</t>
        </is>
      </c>
      <c r="G3594" s="390" t="inlineStr">
        <is>
          <t>Chiều</t>
        </is>
      </c>
      <c r="H3594" s="390" t="inlineStr">
        <is>
          <t>Dễ</t>
        </is>
      </c>
      <c r="I3594" s="390" t="inlineStr">
        <is>
          <t>Ngày, CTCK</t>
        </is>
      </c>
      <c r="J3594" s="401" t="inlineStr">
        <is>
          <t>SCMS</t>
        </is>
      </c>
      <c r="K3594" s="401" t="inlineStr">
        <is>
          <t>X</t>
        </is>
      </c>
      <c r="L3594" s="401" t="inlineStr">
        <is>
          <t>X</t>
        </is>
      </c>
      <c r="M3594" s="401" t="n"/>
      <c r="N3594" s="401" t="inlineStr">
        <is>
          <t>Done</t>
        </is>
      </c>
      <c r="O3594" s="401" t="n"/>
      <c r="P3594" s="401" t="n"/>
      <c r="Q3594" s="401" t="inlineStr">
        <is>
          <t>SCMS.BM_BAO_CAO
SCMS.BM_SHEET
SCMS.BM_BAO_CAO_CT
SCMS.DM_CHI_TIEU</t>
        </is>
      </c>
      <c r="R3594" s="401" t="inlineStr">
        <is>
          <t>dct.ID,
dct.MA_CHI_TIEU,
dct.TEN_CHI_TIEU,
dct.SU_DUNG,
s.BM_BAO_CAO_ID,
s.MA_SHEET,
ct.BM_BAO_CAO_ID,
ct.DM_CHI_TIEU_ID,
ct.SU_DUNG,
bm.ID,
bm.MA_BAO_CAO,
bm.SU_DUNG</t>
        </is>
      </c>
      <c r="S3594" s="401" t="n"/>
      <c r="T3594" s="389" t="inlineStr">
        <is>
          <t>-- Mã chỉ tiêu / Tên chỉ tiêu
SELECT DISTINCT
    dct.MA_CHI_TIEU  AS ma_chi_tieu,
    dct.TEN_CHI_TIEU AS ten_chi_tieu
FROM SCMS.BM_BAO_CAO bm
JOIN SCMS.BM_SHEET s ON s.BM_BAO_CAO_ID = bm.ID
	AND s.MA_SHEET = '06H01'
JOIN SCMS.BM_BAO_CAO_CT ct ON ct.BM_SHEET_ID = s.ID
	AND ct.SU_DUNG = 1
JOIN SCMS.DM_CHI_TIEU dct ON dct.ID = ct.DM_CHI_TIEU_ID
	AND dct.SU_DUNG = 1
WHERE bm.MA_BAO_CAO LIKE 'BCTLAT_TT102/2025'
	AND bm.SU_DUNG = 1
ORDER BY dct.MA_CHI_TIEU;</t>
        </is>
      </c>
      <c r="U3594" s="401" t="n"/>
      <c r="V3594" s="22" t="n"/>
      <c r="W3594" s="22" t="n"/>
      <c r="X3594" s="22" t="n"/>
      <c r="Y3594" s="13" t="n"/>
      <c r="Z3594" s="22" t="n"/>
      <c r="AA3594" s="22" t="n"/>
      <c r="AB3594" s="22" t="n"/>
      <c r="AC3594" s="22" t="n"/>
      <c r="AD3594" s="22" t="n"/>
      <c r="AE3594" s="22" t="n"/>
    </row>
    <row r="3595" ht="70" customHeight="1" s="380">
      <c r="A3595" s="148" t="n">
        <v>131</v>
      </c>
      <c r="B3595" s="390" t="n"/>
      <c r="C3595" s="390" t="inlineStr">
        <is>
          <t>Báo cáo tỷ lệ an toàn tài chính - Chi nhánh công ty chứng khoán nước ngoài tại Việt Nam &gt;&gt; Bảng tính vốn khả dụng</t>
        </is>
      </c>
      <c r="D3595" s="106" t="inlineStr">
        <is>
          <t>Tên chỉ tiêu</t>
        </is>
      </c>
      <c r="E3595" s="107" t="inlineStr">
        <is>
          <t>Tên chỉ tiêu</t>
        </is>
      </c>
      <c r="F3595" s="390" t="inlineStr">
        <is>
          <t>Data Explorer</t>
        </is>
      </c>
      <c r="G3595" s="390" t="inlineStr">
        <is>
          <t>Chiều</t>
        </is>
      </c>
      <c r="H3595" s="390" t="inlineStr">
        <is>
          <t>Dễ</t>
        </is>
      </c>
      <c r="I3595" s="390" t="inlineStr">
        <is>
          <t>Ngày, CTCK</t>
        </is>
      </c>
      <c r="J3595" s="401" t="inlineStr">
        <is>
          <t>SCMS</t>
        </is>
      </c>
      <c r="K3595" s="401" t="inlineStr">
        <is>
          <t>X</t>
        </is>
      </c>
      <c r="L3595" s="401" t="inlineStr">
        <is>
          <t>X</t>
        </is>
      </c>
      <c r="M3595" s="401" t="n"/>
      <c r="N3595" s="401" t="inlineStr">
        <is>
          <t>Done</t>
        </is>
      </c>
      <c r="O3595" s="401" t="n"/>
      <c r="P3595" s="401" t="n"/>
      <c r="S3595" s="401" t="n"/>
      <c r="U3595" s="401" t="n"/>
      <c r="V3595" s="22" t="n"/>
      <c r="W3595" s="22" t="n"/>
      <c r="X3595" s="22" t="n"/>
      <c r="Y3595" s="13" t="n"/>
      <c r="Z3595" s="22" t="n"/>
      <c r="AA3595" s="22" t="n"/>
      <c r="AB3595" s="22" t="n"/>
      <c r="AC3595" s="22" t="n"/>
      <c r="AD3595" s="22" t="n"/>
      <c r="AE3595" s="22" t="n"/>
    </row>
    <row r="3596" ht="70" customHeight="1" s="380">
      <c r="A3596" s="148" t="n">
        <v>131</v>
      </c>
      <c r="B3596" s="390" t="n"/>
      <c r="C3596" s="390" t="inlineStr">
        <is>
          <t>Báo cáo tỷ lệ an toàn tài chính - Chi nhánh công ty chứng khoán nước ngoài tại Việt Nam &gt;&gt; Bảng tính vốn khả dụng</t>
        </is>
      </c>
      <c r="D3596" s="390" t="inlineStr">
        <is>
          <t>Vốn chủ sở hữu</t>
        </is>
      </c>
      <c r="E3596" s="390" t="inlineStr">
        <is>
          <t>Vốn chủ sở hữu</t>
        </is>
      </c>
      <c r="F3596" s="390" t="inlineStr">
        <is>
          <t>Data Explorer</t>
        </is>
      </c>
      <c r="G3596" s="390" t="inlineStr">
        <is>
          <t>Chỉ tiêu cơ sở</t>
        </is>
      </c>
      <c r="H3596" s="390" t="inlineStr">
        <is>
          <t>TB</t>
        </is>
      </c>
      <c r="I3596" s="390" t="inlineStr">
        <is>
          <t>Ngày, CTCK</t>
        </is>
      </c>
      <c r="J3596" s="401" t="inlineStr">
        <is>
          <t>SCMS</t>
        </is>
      </c>
      <c r="K3596" s="401" t="n"/>
      <c r="L3596" s="401" t="inlineStr">
        <is>
          <t>X</t>
        </is>
      </c>
      <c r="M3596" s="401" t="n"/>
      <c r="N3596" s="401" t="inlineStr">
        <is>
          <t>Done</t>
        </is>
      </c>
      <c r="O3596" s="401" t="n"/>
      <c r="P3596" s="401" t="n"/>
      <c r="Q3596" s="431" t="inlineStr">
        <is>
          <t>SCMS.BC_THANH_VIEN
SCMS.BM_BAO_CAO
SCMS.BC_BAO_CAO_GT
SCMS.BM_BAO_CAO_HANG
SCMS.BM_BAO_CAO_COT</t>
        </is>
      </c>
      <c r="R3596" s="431" t="inlineStr">
        <is>
          <t>bsc.TEN_COT,
bsc.BM_SHEET_ID,
bsh.ID,
bsh.MA_HANG,
gt.GIA_TRI,
gt.BC_THANH_VIEN_ID,
gt.BM_SHEET_HANG_ID,
bm.ID,
bm.MA_BAO_CAO,
btv.ID,
btv.BM_BAO_CAO_ID,
btv.TRANG_THAI,
btv.NGAY_SO_LIEU</t>
        </is>
      </c>
      <c r="S3596" s="401" t="n"/>
      <c r="T3596" s="432" t="inlineStr">
        <is>
          <t>-- CHỈ TIÊU
SELECT
	-- Vốn khả dụng
    MAX(CASE WHEN bsc.TEN_COT=N'Vốn khả dụng' AND bsh.MA_HANG = '1' THEN CAST(gt.GIA_TRI AS VARCHAR2(4000)) END) AS "Vốn chủ sở hữu",                                                                               
	MAX(CASE WHEN bsc.TEN_COT=N'Vốn khả dụng' AND bsh.MA_HANG = '2' THEN CAST(gt.GIA_TRI AS VARCHAR2(4000)) END) AS "Vốn góp của chủ sở hữu không bao gồm cổ phần ưu đãi hoàn lại (nếu có)",                            
	MAX(CASE WHEN bsc.TEN_COT=N'Vốn khả dụng' AND bsh.MA_HANG = '3' THEN CAST(gt.GIA_TRI AS VARCHAR2(4000)) END) AS "Thặng dư vốn cổ phần không bao gồm cổ phần ưu đãi hoàn lại (nếu có)",
	MAX(CASE WHEN bsc.TEN_COT=N'Vốn khả dụng' AND bsh.MA_HANG = '4' THEN CAST(gt.GIA_TRI AS VARCHAR2(4000)) END) AS "Cổ phiếu quỹ",
	MAX(CASE WHEN bsc.TEN_COT=N'Vốn khả dụng' AND bsh.MA_HANG = '5' THEN CAST(gt.GIA_TRI AS VARCHAR2(4000)) END) AS "Quyền chọn chuyển đổi trái phiếu – Cấu phần vốn",
	MAX(CASE WHEN bsc.TEN_COT=N'Vốn khả dụng' AND bsh.MA_HANG = '6' THEN CAST(gt.GIA_TRI AS VARCHAR2(4000)) END) AS "Vốn khác của chủ sở hữu",
	MAX(CASE WHEN bsc.TEN_COT=N'Vốn khả dụng' AND bsh.MA_HANG = '7' THEN CAST(gt.GIA_TRI AS VARCHAR2(4000)) END) AS "Chênh lệch đánh giá tài sản theo giá trị hợp lý",
	MAX(CASE WHEN bsc.TEN_COT=N'Vốn khả dụng' AND bsh.MA_HANG = '8' THEN CAST(gt.GIA_TRI AS VARCHAR2(4000)) END) AS "Quỹ dự trữ bổ sung vốn điều lệ",
	MAX(CASE WHEN bsc.TEN_COT=N'Vốn khả dụng' AND bsh.MA_HANG = '9' THEN CAST(gt.GIA_TRI AS VARCHAR2(4000)) END) AS "Quỹ dự phòng tài chính và rủi ro nghiệp vụ",
	MAX(CASE WHEN bsc.TEN_COT=N'Vốn khả dụng' AND bsh.MA_HANG = '10' THEN CAST(gt.GIA_TRI AS VARCHAR2(4000)) END) AS "Quỹ khác thuộc vốn chủ sở hữu",
	MAX(CASE WHEN bsc.TEN_COT=N'Vốn khả dụng' AND bsh.MA_HANG = '11' THEN CAST(gt.GIA_TRI AS VARCHAR2(4000)) END) AS "Lợi nhuận chưa phân phối",
	MAX(CASE WHEN bsc.TEN_COT=N'Vốn khả dụng' AND bsh.MA_HANG = '12' THEN CAST(gt.GIA_TRI AS VARCHAR2(4000)) END) AS "Số dư dự phòng suy giảm giá trị tài sản",
	MAX(CASE WHEN bsc.TEN_COT=N'Vốn khả dụng' AND bsh.MA_HANG = '13' THEN CAST(gt.GIA_TRI AS VARCHAR2(4000)) END) AS "Chênh lệch đánh giá lại tài sản cố định",
	MAX(CASE WHEN bsc.TEN_COT=N'Vốn khả dụng' AND bsh.MA_HANG = '14' THEN CAST(gt.GIA_TRI AS VARCHAR2(4000)) END) AS "Chênh lệch tỷ giá hối đoái",
	MAX(CASE WHEN bsc.TEN_COT=N'Vốn khả dụng' AND bsh.MA_HANG = '15' THEN CAST(gt.GIA_TRI AS VARCHAR2(4000)) END) AS "Các khoản nợ có thể chuyển đổi",
	MAX(CASE WHEN bsc.TEN_COT=N'Vốn khả dụng' AND bsh.MA_HANG = '16' THEN CAST(gt.GIA_TRI AS VARCHAR2(4000)) END) AS "Toàn bộ phần giảm đi hoặc tăng thêm của các chứng khoán tại chỉ tiêu đầu tư tài chính",
	MAX(CASE WHEN bsc.TEN_COT=N'Vốn khả dụng' AND bsh.MA_HANG = '17' THEN CAST(gt.GIA_TRI AS VARCHAR2(4000)) END) AS "Vốn khác (nếu có)",
	MAX(CASE WHEN bsc.TEN_COT=N'Vốn khả dụng' AND bsh.MA_HANG = '18' THEN CAST(gt.GIA_TRI AS VARCHAR2(4000)) END) AS "Tổng",
	MAX(CASE WHEN bsc.TEN_COT=N'Vốn khả dụng' AND bsh.MA_HANG = '19' THEN CAST(gt.GIA_TRI AS VARCHAR2(4000)) END) AS "Tài sản ngắn hạn",
	MAX(CASE WHEN bsc.TEN_COT=N'Vốn khả dụng' AND bsh.MA_HANG = '20' THEN CAST(gt.GIA_TRI AS VARCHAR2(4000)) END) AS "Tài sản tài chính",
	MAX(CASE WHEN bsc.TEN_COT=N'Vốn khả dụng' AND bsh.MA_HANG = '21' THEN CAST(gt.GIA_TRI AS VARCHAR2(4000)) END) AS "Tiền và các khoản tương đương tiền",
	MAX(CASE WHEN bsc.TEN_COT=N'Vốn khả dụng' AND bsh.MA_HANG = '22' THEN CAST(gt.GIA_TRI AS VARCHAR2(4000)) END) AS "Các tài sản tài chính ghi nhận thông qua lãi/lỗ (FVTPL)",
	MAX(CASE WHEN bsc.TEN_COT=N'Vốn khả dụng' AND bsh.MA_HANG = '23' THEN CAST(gt.GIA_TRI AS VARCHAR2(4000)) END) AS "- Chứng khoán tiềm ẩn rủi ro thị trường",
	MAX(CASE WHEN bsc.TEN_COT=N'Vốn khả dụng' AND bsh.MA_HANG = '24' THEN CAST(gt.GIA_TRI AS VARCHAR2(4000)) END) AS "- Chứng khoán bị giảm trừ khỏi vốn khả dụng",
	MAX(CASE WHEN bsc.TEN_COT=N'Vốn khả dụng' AND bsh.MA_HANG = '25' THEN CAST(gt.GIA_TRI AS VARCHAR2(4000)) END) AS "Các khoản đầu tư nắm giữ đến ngày đáo hạn (HTM)",
	MAX(CASE WHEN bsc.TEN_COT=N'Vốn khả dụng' AND bsh.MA_HANG = '26' THEN CAST(gt.GIA_TRI AS VARCHAR2(4000)) END) AS "- Chứng khoán tiềm ẩn rủi ro thị trường",
	MAX(CASE WHEN bsc.TEN_COT=N'Vốn khả dụng' AND bsh.MA_HANG = '27' THEN CAST(gt.GIA_TRI AS VARCHAR2(4000)) END) AS "- Chứng khoán bị giảm trừ khỏi vốn khả dụng",
	MAX(CASE WHEN bsc.TEN_COT=N'Vốn khả dụng' AND bsh.MA_HANG = '28' THEN CAST(gt.GIA_TRI AS VARCHAR2(4000)) END) AS "Các khoản cho vay",
	MAX(CASE WHEN bsc.TEN_COT=N'Vốn khả dụng' AND bsh.MA_HANG = '29' THEN CAST(gt.GIA_TRI AS VARCHAR2(4000)) END) AS "Tài sản tài chính sẵn sàng để bán (AFS)",
	MAX(CASE WHEN bsc.TEN_COT=N'Vốn khả dụng' AND bsh.MA_HANG = '30' THEN CAST(gt.GIA_TRI AS VARCHAR2(4000)) END) AS "- Chứng khoán tiềm ẩn rủi ro thị trường",
	MAX(CASE WHEN bsc.TEN_COT=N'Vốn khả dụng' AND bsh.MA_HANG = '31' THEN CAST(gt.GIA_TRI AS VARCHAR2(4000)) END) AS "- Chứng khoán bị giảm trừ khỏi vốn khả dụng",
	MAX(CASE WHEN bsc.TEN_COT=N'Vốn khả dụng' AND bsh.MA_HANG = '32' THEN CAST(gt.GIA_TRI AS VARCHAR2(4000)) END) AS "Dự phòng suy giảm giá trị các tài sản tài chính và tài sản thế chấp",
	MAX(CASE WHEN bsc.TEN_COT=N'Vốn khả dụng' AND bsh.MA_HANG = '33' THEN CAST(gt.GIA_TRI AS VARCHAR2(4000)) END) AS "Các khoản phải thu (Phải thu bán các tài sản tài chính; Phải thu và dự thu cổ tức, tiền lãi từ các tài sản tài chính)",
	MAX(CASE WHEN bsc.TEN_COT=N'Vốn khả dụng' AND bsh.MA_HANG = '34' THEN CAST(gt.GIA_TRI AS VARCHAR2(4000)) END) AS "- Các khoản phải thu có thời hạn thanh toán còn lại từ 90 ngày trở xuống",
	MAX(CASE WHEN bsc.TEN_COT=N'Vốn khả dụng' AND bsh.MA_HANG = '35' THEN CAST(gt.GIA_TRI AS VARCHAR2(4000)) END) AS "- Các khoản phải thu có thời hạn thanh toán còn lại trên 90 ngày",
	MAX(CASE WHEN bsc.TEN_COT=N'Vốn khả dụng' AND bsh.MA_HANG = '36' THEN CAST(gt.GIA_TRI AS VARCHAR2(4000)) END) AS "- Phải thu còn hạn nhưng đối tác mất khả năng thanh toán",
	MAX(CASE WHEN bsc.TEN_COT=N'Vốn khả dụng' AND bsh.MA_HANG = '37' THEN CAST(gt.GIA_TRI AS VARCHAR2(4000)) END) AS "Chứng quyền có bảo đảm chưa phát hành hết",
	MAX(CASE WHEN bsc.TEN_COT=N'Vốn khả dụng' AND bsh.MA_HANG = '38' THEN CAST(gt.GIA_TRI AS VARCHAR2(4000)) END) AS "Chứng khoán cơ sở phục vụ mục đích phòng ngừa rủi ro khi phát hành chứng quyền có bảo đảm",
	MAX(CASE WHEN bsc.TEN_COT=N'Vốn khả dụng' AND bsh.MA_HANG = '39' THEN CAST(gt.GIA_TRI AS VARCHAR2(4000)) END) AS "Phải thu các dịch vụ công ty chứng khoán cung cấp",
	MAX(CASE WHEN bsc.TEN_COT=N'Vốn khả dụng' AND bsh.MA_HANG = '40' THEN CAST(gt.GIA_TRI AS VARCHAR2(4000)) END) AS "- Các khoản phải thu có thời hạn thanh toán còn lại từ 90 ngày trở xuống",
	MAX(CASE WHEN bsc.TEN_COT=N'Vốn khả dụng' AND bsh.MA_HANG = '41' THEN CAST(gt.GIA_TRI AS VARCHAR2(4000)) END) AS "- Các khoản phải thu có thời hạn thanh toán còn lại trên 90 ngày",
	MAX(CASE WHEN bsc.TEN_COT=N'Vốn khả dụng' AND bsh.MA_HANG = '42' THEN CAST(gt.GIA_TRI AS VARCHAR2(4000)) END) AS "- Phải thu còn hạn nhưng đối tác mất khả năng thanh toán",
	MAX(CASE WHEN bsc.TEN_COT=N'Vốn khả dụng' AND bsh.MA_HANG = '43' THEN CAST(gt.GIA_TRI AS VARCHAR2(4000)) END) AS "Phải thu nội bộ",
	MAX(CASE WHEN bsc.TEN_COT=N'Vốn khả dụng' AND bsh.MA_HANG = '44' THEN CAST(gt.GIA_TRI AS VARCHAR2(4000)) END) AS "- Phải thu nội bộ có thời hạn thanh toán còn lại từ 90 ngày trở xuống",
	MAX(CASE WHEN bsc.TEN_COT=N'Vốn khả dụng' AND bsh.MA_HANG = '45' THEN CAST(gt.GIA_TRI AS VARCHAR2(4000)) END) AS "- Phải thu nội bộ có thời hạn thanh toán còn lại trên 90 ngày",
	MAX(CASE WHEN bsc.TEN_COT=N'Vốn khả dụng' AND bsh.MA_HANG = '46' THEN CAST(gt.GIA_TRI AS VARCHAR2(4000)) END) AS "- Phải thu còn hạn nhưng đối tác mất khả năng thanh toán",
	MAX(CASE WHEN bsc.TEN_COT=N'Vốn khả dụng' AND bsh.MA_HANG = '47' THEN CAST(gt.GIA_TRI AS VARCHAR2(4000)) END) AS "Phải thu về lỗi giao dịch chứng khoán",
	MAX(CASE WHEN bsc.TEN_COT=N'Vốn khả dụng' AND bsh.MA_HANG = '48' THEN CAST(gt.GIA_TRI AS VARCHAR2(4000)) END) AS "- Các khoản phải thu có thời hạn thanh toán còn lại từ 90 ngày trở xuống",
	MAX(CASE WHEN bsc.TEN_COT=N'Vốn khả dụng' AND bsh.MA_HANG = '49' THEN CAST(gt.GIA_TRI AS VARCHAR2(4000)) END) AS "- Các khoản phải thu có thời hạn thanh toán còn lại trên 90 ngày",
	MAX(CASE WHEN bsc.TEN_COT=N'Vốn khả dụng' AND bsh.MA_HANG = '50' THEN CAST(gt.GIA_TRI AS VARCHAR2(4000)) END) AS "- Phải thu còn hạn nhưng đối tác mất khả năng thanh toán",
	MAX(CASE WHEN bsc.TEN_COT=N'Vốn khả dụng' AND bsh.MA_HANG = '51' THEN CAST(gt.GIA_TRI AS VARCHAR2(4000)) END) AS "Các khoản phải thu khác",
	MAX(CASE WHEN bsc.TEN_COT=N'Vốn khả dụng' AND bsh.MA_HANG = '52' THEN CAST(gt.GIA_TRI AS VARCHAR2(4000)) END) AS "- Các khoản phải thu có thời hạn thanh toán còn lại từ 90 ngày trở xuống",
	MAX(CASE WHEN bsc.TEN_COT=N'Vốn khả dụng' AND bsh.MA_HANG = '53' THEN CAST(gt.GIA_TRI AS VARCHAR2(4000)) END) AS "- Các khoản phải thu có thời hạn thanh toán còn lại trên 90 ngày",
	MAX(CASE WHEN bsc.TEN_COT=N'Vốn khả dụng' AND bsh.MA_HANG = '54' THEN CAST(gt.GIA_TRI AS VARCHAR2(4000)) END) AS "- Tạm ứng có thời hạn hoàn ứng còn lại trên 90 ngày",
	MAX(CASE WHEN bsc.TEN_COT=N'Vốn khả dụng' AND bsh.MA_HANG = '55' THEN CAST(gt.GIA_TRI AS VARCHAR2(4000)) END) AS "Dự phòng suy giảm giá trị các khoản phải thu",
	MAX(CASE WHEN bsc.TEN_COT=N'Vốn khả dụng' AND bsh.MA_HANG = '56' THEN CAST(gt.GIA_TRI AS VARCHAR2(4000)) END) AS "Tài sản ngắn hạn khác",
	MAX(CASE WHEN bsc.TEN_COT=N'Vốn khả dụng' AND bsh.MA_HANG = '57' THEN CAST(gt.GIA_TRI AS VARCHAR2(4000)) END) AS "Cầm cố, thế chấp, ký quỹ, ký cược ngắn hạn",
	MAX(CASE WHEN bsc.TEN_COT=N'Vốn khả dụng' AND bsh.MA_HANG = '58' THEN CAST(gt.GIA_TRI AS VARCHAR2(4000)) END) AS "Thuế giá trị gia tăng được khấu trừ",
	MAX(CASE WHEN bsc.TEN_COT=N'Vốn khả dụng' AND bsh.MA_HANG = '59' THEN CAST(gt.GIA_TRI AS VARCHAR2(4000)) END) AS "Thuế và các khoản khác phải thu Nhà nước",
	MAX(CASE WHEN bsc.TEN_COT=N'Vốn khả dụng' AND bsh.MA_HANG = '60' THEN CAST(gt.GIA_TRI AS VARCHAR2(4000)) END) AS "Tài sản ngắn hạn khác",
	MAX(CASE WHEN bsc.TEN_COT=N'Vốn khả dụng' AND bsh.MA_HANG = '61' THEN CAST(gt.GIA_TRI AS VARCHAR2(4000)) END) AS "Vật tư văn phòng, công cụ dụng cụ",
	MAX(CASE WHEN bsc.TEN_COT=N'Vốn khả dụng' AND bsh.MA_HANG = '62' THEN CAST(gt.GIA_TRI AS VARCHAR2(4000)) END) AS "Chi phí trả trước ngắn hạn",
	MAX(CASE WHEN bsc.TEN_COT=N'Vốn khả dụng' AND bsh.MA_HANG = '63' THEN CAST(gt.GIA_TRI AS VARCHAR2(4000)) END) AS "Cầm cố, thế chấp, ký quỹ, ký cược ngắn hạn",
	MAX(CASE WHEN bsc.TEN_COT=N'Vốn khả dụng' AND bsh.MA_HANG = '64' THEN CAST(gt.GIA_TRI AS VARCHAR2(4000)) END) AS "Thuế giá trị gia tăng được khấu trừ",
	MAX(CASE WHEN bsc.TEN_COT=N'Vốn khả dụng' AND bsh.MA_HANG = '65' THEN CAST(gt.GIA_TRI AS VARCHAR2(4000)) END) AS "Thuế và các khoản khác phải thu Nhà nước",
	MAX(CASE WHEN bsc.TEN_COT=N'Vốn khả dụng' AND bsh.MA_HANG = '66' THEN CAST(gt.GIA_TRI AS VARCHAR2(4000)) END) AS "Tài sản ngắn hạn khác",
	MAX(CASE WHEN bsc.TEN_COT=N'Vốn khả dụng' AND bsh.MA_HANG = '67' THEN CAST(gt.GIA_TRI AS VARCHAR2(4000)) END) AS "Dự phòng suy giảm giá trị tài sản ngắn hạn khác",
	MAX(CASE WHEN bsc.TEN_COT=N'Vốn khả dụng' AND bsh.MA_HANG = '68' THEN CAST(gt.GIA_TRI AS VARCHAR2(4000)) END) AS "Tổng",
	MAX(CASE WHEN bsc.TEN_COT=N'Vốn khả dụng' AND bsh.MA_HANG = '69' THEN CAST(gt.GIA_TRI AS VARCHAR2(4000)) END) AS "Tài sản dài hạn",
	MAX(CASE WHEN bsc.TEN_COT=N'Vốn khả dụng' AND bsh.MA_HANG = '70' THEN CAST(gt.GIA_TRI AS VARCHAR2(4000)) END) AS "Tài sản tài chính dài hạn",
	MAX(CASE WHEN bsc.TEN_COT=N'Vốn khả dụng' AND bsh.MA_HANG = '71' THEN CAST(gt.GIA_TRI AS VARCHAR2(4000)) END) AS "Các khoản phải thu dài hạn",
	MAX(CASE WHEN bsc.TEN_COT=N'Vốn khả dụng' AND bsh.MA_HANG = '72' THEN CAST(gt.GIA_TRI AS VARCHAR2(4000)) END) AS "Các khoản đầu tư",
	MAX(CASE WHEN bsc.TEN_COT=N'Vốn khả dụng' AND bsh.MA_HANG = '73' THEN CAST(gt.GIA_TRI AS VARCHAR2(4000)) END) AS "Các khoản đầu tư nắm giữ đến ngày đáo hạn",
	MAX(CASE WHEN bsc.TEN_COT=N'Vốn khả dụng' AND bsh.MA_HANG = '74' THEN CAST(gt.GIA_TRI AS VARCHAR2(4000)) END) AS "- Chứng khoán tiềm ẩn rủi ro thị trường",
	MAX(CASE WHEN bsc.TEN_COT=N'Vốn khả dụng' AND bsh.MA_HANG = '75' THEN CAST(gt.GIA_TRI AS VARCHAR2(4000)) END) AS "- Chứng khoán bị giảm trừ khỏi vốn khả dụng",
	MAX(CASE WHEN bsc.TEN_COT=N'Vốn khả dụng' AND bsh.MA_HANG = '76' THEN CAST(gt.GIA_TRI AS VARCHAR2(4000)) END) AS "Đầu tư vào công ty con",
	MAX(CASE WHEN bsc.TEN_COT=N'Vốn khả dụng' AND bsh.MA_HANG = '78' THEN CAST(gt.GIA_TRI AS VARCHAR2(4000)) END) AS "Đầu tư dài hạn khác",  -- DB cũ là MA_HANG = '78'
	MAX(CASE WHEN bsc.TEN_COT=N'Vốn khả dụng' AND bsh.MA_HANG = '78' THEN CAST(gt.GIA_TRI AS VARCHAR2(4000)) END) AS "Tài sản cố định",
	MAX(CASE WHEN bsc.TEN_COT=N'Vốn khả dụng' AND bsh.MA_HANG = '79' THEN CAST(gt.GIA_TRI AS VARCHAR2(4000)) END) AS "Bất động sản đầu tư",
	MAX(CASE WHEN bsc.TEN_COT=N'Vốn khả dụng' AND bsh.MA_HANG = '80' THEN CAST(gt.GIA_TRI AS VARCHAR2(4000)) END) AS "Chi phí xây dựng cơ bản dở dang",
	MAX(CASE WHEN bsc.TEN_COT=N'Vốn khả dụng' AND bsh.MA_HANG = '81' THEN CAST(gt.GIA_TRI AS VARCHAR2(4000)) END) AS "Tài sản dài hạn khác",
	MAX(CASE WHEN bsc.TEN_COT=N'Vốn khả dụng' AND bsh.MA_HANG = '82' THEN CAST(gt.GIA_TRI AS VARCHAR2(4000)) END) AS "Cầm cố, thế chấp, ký quỹ, ký cược dài hạn",
	MAX(CASE WHEN bsc.TEN_COT=N'Vốn khả dụng' AND bsh.MA_HANG = '83' THEN CAST(gt.GIA_TRI AS VARCHAR2(4000)) END) AS "Chi phí trả trước dài hạn",
	MAX(CASE WHEN bsc.TEN_COT=N'Vốn khả dụng' AND bsh.MA_HANG = '84' THEN CAST(gt.GIA_TRI AS VARCHAR2(4000)) END) AS "Tài sản thuế thu nhập hoãn lại",
	MAX(CASE WHEN bsc.TEN_COT=N'Vốn khả dụng' AND bsh.MA_HANG = '85' THEN CAST(gt.GIA_TRI AS VARCHAR2(4000)) END) AS "Tiền nộp Quỹ hỗ trợ thanh toán",
	MAX(CASE WHEN bsc.TEN_COT=N'Vốn khả dụng' AND bsh.MA_HANG = '86' THEN CAST(gt.GIA_TRI AS VARCHAR2(4000)) END) AS "Tài sản dài hạn khác",
	MAX(CASE WHEN bsc.TEN_COT=N'Vốn khả dụng' AND bsh.MA_HANG = '87' THEN CAST(gt.GIA_TRI AS VARCHAR2(4000)) END) AS "Các chỉ tiêu tài sản bị coi là khoản ngoại trừ, có ý kiến trái ngược hoặc từ chối đưa ra ý kiến tại báo cáo tài chính đã được kiểm toán, soát xét mà không bị tính giảm trừ theo quy định tại Điều 5",
	MAX(CASE WHEN bsc.TEN_COT=N'Vốn khả dụng' AND bsh.MA_HANG = '88' THEN CAST(gt.GIA_TRI AS VARCHAR2(4000)) END) AS "Các chỉ tiêu tài sản bị coi là khoản ngoại trừ, có ý kiến trái ngược hoặc từ chối đưa ra ý kiến tại báo cáo tài chính đã được kiểm toán, soát xét mà không bị tính giảm trừ theo quy định tại Điều 5",
	MAX(CASE WHEN bsc.TEN_COT=N'Vốn khả dụng' AND bsh.MA_HANG = '89' THEN CAST(gt.GIA_TRI AS VARCHAR2(4000)) END) AS "Tổng",
	MAX(CASE WHEN bsc.TEN_COT=N'Vốn khả dụng' AND bsh.MA_HANG = '90' THEN CAST(gt.GIA_TRI AS VARCHAR2(4000)) END) AS "Các khoản ký quỹ, đảm bảo",
	MAX(CASE WHEN bsc.TEN_COT=N'Vốn khả dụng' AND bsh.MA_HANG = '91' THEN CAST(gt.GIA_TRI AS VARCHAR2(4000)) END) AS "Giá trị ký quỹ",
	MAX(CASE WHEN bsc.TEN_COT=N'Vốn khả dụng' AND bsh.MA_HANG = '92' THEN CAST(gt.GIA_TRI AS VARCHAR2(4000)) END) AS "Giá trị đóng góp vào quỹ hỗ trợ thanh toán của Tổng công ty lưu ký và bù trừ chứng khoán Việt Nam",
	MAX(CASE WHEN bsc.TEN_COT=N'Vốn khả dụng' AND bsh.MA_HANG = '93' THEN CAST(gt.GIA_TRI AS VARCHAR2(4000)) END) AS "Giá trị đóng góp vào quỹ bù trừ của đối tác thanh toán trung tâm đối với vị thế mở của chính thành viên bù trừ",
	MAX(CASE WHEN bsc.TEN_COT=N'Vốn khả dụng' AND bsh.MA_HANG = '94' THEN CAST(gt.GIA_TRI AS VARCHAR2(4000)) END) AS "Khoản ký quỹ bằng tiền và giá trị bảo lãnh thanh toán của ngân hàng khi phát hành chứng quyền có bảo đảm",
	MAX(CASE WHEN bsc.TEN_COT=N'Vốn khả dụng' AND bsh.MA_HANG = '95' THEN CAST(gt.GIA_TRI AS VARCHAR2(4000)) END) AS "Giá trị tài sản bảo đảm cho các nghĩa vụ phải trả có thời hạn còn lại trên 90 ngày",
	MAX(CASE WHEN bsc.TEN_COT=N'Vốn khả dụng' AND bsh.MA_HANG = '96' THEN CAST(gt.GIA_TRI AS VARCHAR2(4000)) END) AS "Tổng",
	MAX(CASE WHEN bsc.TEN_COT=N'Vốn khả dụng' AND bsh.MA_HANG = '97' THEN CAST(gt.GIA_TRI AS VARCHAR2(4000)) END) AS "VỐN KHẢ DỤNG = 1A-1B-1C-1D",
    -- Khoản giảm trừ
    MAX(CASE WHEN bsc.TEN_COT=N'Khoản giảm trừ' AND bsh.MA_HANG = '1' THEN CAST(gt.GIA_TRI AS VARCHAR2(4000)) END) AS "Vốn chủ sở hữu",                                                                               
	MAX(CASE WHEN bsc.TEN_COT=N'Khoản giảm trừ' AND bsh.MA_HANG = '2' THEN CAST(gt.GIA_TRI AS VARCHAR2(4000)) END) AS "Vốn góp của chủ sở hữu không bao gồm cổ phần ưu đãi hoàn lại (nếu có)",                            
	MAX(CASE WHEN bsc.TEN_COT=N'Khoản giảm trừ' AND bsh.MA_HANG = '3' THEN CAST(gt.GIA_TRI AS VARCHAR2(4000)) END) AS "Thặng dư vốn cổ phần không bao gồm cổ phần ưu đãi hoàn lại (nếu có)",
	MAX(CASE WHEN bsc.TEN_COT=N'Khoản giảm trừ' AND bsh.MA_HANG = '4' THEN CAST(gt.GIA_TRI AS VARCHAR2(4000)) END) AS "Cổ phiếu quỹ",
	MAX(CASE WHEN bsc.TEN_COT=N'Khoản giảm trừ' AND bsh.MA_HANG = '5' THEN CAST(gt.GIA_TRI AS VARCHAR2(4000)) END) AS "Quyền chọn chuyển đổi trái phiếu – Cấu phần vốn",
	MAX(CASE WHEN bsc.TEN_COT=N'Khoản giảm trừ' AND bsh.MA_HANG = '6' THEN CAST(gt.GIA_TRI AS VARCHAR2(4000)) END) AS "Vốn khác của chủ sở hữu",
	MAX(CASE WHEN bsc.TEN_COT=N'Khoản giảm trừ' AND bsh.MA_HANG = '7' THEN CAST(gt.GIA_TRI AS VARCHAR2(4000)) END) AS "Chênh lệch đánh giá tài sản theo giá trị hợp lý",
	MAX(CASE WHEN bsc.TEN_COT=N'Khoản giảm trừ' AND bsh.MA_HANG = '8' THEN CAST(gt.GIA_TRI AS VARCHAR2(4000)) END) AS "Quỹ dự trữ bổ sung vốn điều lệ",
	MAX(CASE WHEN bsc.TEN_COT=N'Khoản giảm trừ' AND bsh.MA_HANG = '9' THEN CAST(gt.GIA_TRI AS VARCHAR2(4000)) END) AS "Quỹ dự phòng tài chính và rủi ro nghiệp vụ",
	MAX(CASE WHEN bsc.TEN_COT=N'Khoản giảm trừ' AND bsh.MA_HANG = '10' THEN CAST(gt.GIA_TRI AS VARCHAR2(4000)) END) AS "Quỹ khác thuộc vốn chủ sở hữu",
	MAX(CASE WHEN bsc.TEN_COT=N'Khoản giảm trừ' AND bsh.MA_HANG = '11' THEN CAST(gt.GIA_TRI AS VARCHAR2(4000)) END) AS "Lợi nhuận chưa phân phối",
	MAX(CASE WHEN bsc.TEN_COT=N'Khoản giảm trừ' AND bsh.MA_HANG = '12' THEN CAST(gt.GIA_TRI AS VARCHAR2(4000)) END) AS "Số dư dự phòng suy giảm giá trị tài sản",
	MAX(CASE WHEN bsc.TEN_COT=N'Khoản giảm trừ' AND bsh.MA_HANG = '13' THEN CAST(gt.GIA_TRI AS VARCHAR2(4000)) END) AS "Chênh lệch đánh giá lại tài sản cố định",
	MAX(CASE WHEN bsc.TEN_COT=N'Khoản giảm trừ' AND bsh.MA_HANG = '14' THEN CAST(gt.GIA_TRI AS VARCHAR2(4000)) END) AS "Chênh lệch tỷ giá hối đoái",
	MAX(CASE WHEN bsc.TEN_COT=N'Khoản giảm trừ' AND bsh.MA_HANG = '15' THEN CAST(gt.GIA_TRI AS VARCHAR2(4000)) END) AS "Các khoản nợ có thể chuyển đổi",
	MAX(CASE WHEN bsc.TEN_COT=N'Khoản giảm trừ' AND bsh.MA_HANG = '16' THEN CAST(gt.GIA_TRI AS VARCHAR2(4000)) END) AS "Toàn bộ phần giảm đi hoặc tăng thêm của các chứng khoán tại chỉ tiêu đầu tư tài chính",
	MAX(CASE WHEN bsc.TEN_COT=N'Khoản giảm trừ' AND bsh.MA_HANG = '17' THEN CAST(gt.GIA_TRI AS VARCHAR2(4000)) END) AS "Vốn khác (nếu có)",
	MAX(CASE WHEN bsc.TEN_COT=N'Khoản giảm trừ' AND bsh.MA_HANG = '18' THEN CAST(gt.GIA_TRI AS VARCHAR2(4000)) END) AS "Tổng",
	MAX(CASE WHEN bsc.TEN_COT=N'Khoản giảm trừ' AND bsh.MA_HANG = '19' THEN CAST(gt.GIA_TRI AS VARCHAR2(4000)) END) AS "Tài sản ngắn hạn",
	MAX(CASE WHEN bsc.TEN_COT=N'Khoản giảm trừ' AND bsh.MA_HANG = '20' THEN CAST(gt.GIA_TRI AS VARCHAR2(4000)) END) AS "Tài sản tài chính",
	MAX(CASE WHEN bsc.TEN_COT=N'Khoản giảm trừ' AND bsh.MA_HANG = '21' THEN CAST(gt.GIA_TRI AS VARCHAR2(4000)) END) AS "Tiền và các khoản tương đương tiền",
	MAX(CASE WHEN bsc.TEN_COT=N'Khoản giảm trừ' AND bsh.MA_HANG = '22' THEN CAST(gt.GIA_TRI AS VARCHAR2(4000)) END) AS "Các tài sản tài chính ghi nhận thông qua lãi/lỗ (FVTPL)",
	MAX(CASE WHEN bsc.TEN_COT=N'Khoản giảm trừ' AND bsh.MA_HANG = '23' THEN CAST(gt.GIA_TRI AS VARCHAR2(4000)) END) AS "- Chứng khoán tiềm ẩn rủi ro thị trường",
	MAX(CASE WHEN bsc.TEN_COT=N'Khoản giảm trừ' AND bsh.MA_HANG = '24' THEN CAST(gt.GIA_TRI AS VARCHAR2(4000)) END) AS "- Chứng khoán bị giảm trừ khỏi vốn khả dụng",
	MAX(CASE WHEN bsc.TEN_COT=N'Khoản giảm trừ' AND bsh.MA_HANG = '25' THEN CAST(gt.GIA_TRI AS VARCHAR2(4000)) END) AS "Các khoản đầu tư nắm giữ đến ngày đáo hạn (HTM)",
	MAX(CASE WHEN bsc.TEN_COT=N'Khoản giảm trừ' AND bsh.MA_HANG = '26' THEN CAST(gt.GIA_TRI AS VARCHAR2(4000)) END) AS "- Chứng khoán tiềm ẩn rủi ro thị trường",
	MAX(CASE WHEN bsc.TEN_COT=N'Khoản giảm trừ' AND bsh.MA_HANG = '27' THEN CAST(gt.GIA_TRI AS VARCHAR2(4000)) END) AS "- Chứng khoán bị giảm trừ khỏi vốn khả dụng",
	MAX(CASE WHEN bsc.TEN_COT=N'Khoản giảm trừ' AND bsh.MA_HANG = '28' THEN CAST(gt.GIA_TRI AS VARCHAR2(4000)) END) AS "Các khoản cho vay",
	MAX(CASE WHEN bsc.TEN_COT=N'Khoản giảm trừ' AND bsh.MA_HANG = '29' THEN CAST(gt.GIA_TRI AS VARCHAR2(4000)) END) AS "Tài sản tài chính sẵn sàng để bán (AFS)",
	MAX(CASE WHEN bsc.TEN_COT=N'Khoản giảm trừ' AND bsh.MA_HANG = '30' THEN CAST(gt.GIA_TRI AS VARCHAR2(4000)) END) AS "- Chứng khoán tiềm ẩn rủi ro thị trường",
	MAX(CASE WHEN bsc.TEN_COT=N'Khoản giảm trừ' AND bsh.MA_HANG = '31' THEN CAST(gt.GIA_TRI AS VARCHAR2(4000)) END) AS "- Chứng khoán bị giảm trừ khỏi vốn khả dụng",
	MAX(CASE WHEN bsc.TEN_COT=N'Khoản giảm trừ' AND bsh.MA_HANG = '32' THEN CAST(gt.GIA_TRI AS VARCHAR2(4000)) END) AS "Dự phòng suy giảm giá trị các tài sản tài chính và tài sản thế chấp",
	MAX(CASE WHEN bsc.TEN_COT=N'Khoản giảm trừ' AND bsh.MA_HANG = '33' THEN CAST(gt.GIA_TRI AS VARCHAR2(4000)) END) AS "Các khoản phải thu (Phải thu bán các tài sản tài chính; Phải thu và dự thu cổ tức, tiền lãi từ các tài sản tài chính)",
	MAX(CASE WHEN bsc.TEN_COT=N'Khoản giảm trừ' AND bsh.MA_HANG = '34' THEN CAST(gt.GIA_TRI AS VARCHAR2(4000)) END) AS "- Các khoản phải thu có thời hạn thanh toán còn lại từ 90 ngày trở xuống",
	MAX(CASE WHEN bsc.TEN_COT=N'Khoản giảm trừ' AND bsh.MA_HANG = '35' THEN CAST(gt.GIA_TRI AS VARCHAR2(4000)) END) AS "- Các khoản phải thu có thời hạn thanh toán còn lại trên 90 ngày",
	MAX(CASE WHEN bsc.TEN_COT=N'Khoản giảm trừ' AND bsh.MA_HANG = '36' THEN CAST(gt.GIA_TRI AS VARCHAR2(4000)) END) AS "- Phải thu còn hạn nhưng đối tác mất khả năng thanh toán",
	MAX(CASE WHEN bsc.TEN_COT=N'Khoản giảm trừ' AND bsh.MA_HANG = '37' THEN CAST(gt.GIA_TRI AS VARCHAR2(4000)) END) AS "Chứng quyền có bảo đảm chưa phát hành hết",
	MAX(CASE WHEN bsc.TEN_COT=N'Khoản giảm trừ' AND bsh.MA_HANG = '38' THEN CAST(gt.GIA_TRI AS VARCHAR2(4000)) END) AS "Chứng khoán cơ sở phục vụ mục đích phòng ngừa rủi ro khi phát hành chứng quyền có bảo đảm",
	MAX(CASE WHEN bsc.TEN_COT=N'Khoản giảm trừ' AND bsh.MA_HANG = '39' THEN CAST(gt.GIA_TRI AS VARCHAR2(4000)) END) AS "Phải thu các dịch vụ công ty chứng khoán cung cấp",
	MAX(CASE WHEN bsc.TEN_COT=N'Khoản giảm trừ' AND bsh.MA_HANG = '40' THEN CAST(gt.GIA_TRI AS VARCHAR2(4000)) END) AS "- Các khoản phải thu có thời hạn thanh toán còn lại từ 90 ngày trở xuống",
	MAX(CASE WHEN bsc.TEN_COT=N'Khoản giảm trừ' AND bsh.MA_HANG = '41' THEN CAST(gt.GIA_TRI AS VARCHAR2(4000)) END) AS "- Các khoản phải thu có thời hạn thanh toán còn lại trên 90 ngày",
	MAX(CASE WHEN bsc.TEN_COT=N'Khoản giảm trừ' AND bsh.MA_HANG = '42' THEN CAST(gt.GIA_TRI AS VARCHAR2(4000)) END) AS "- Phải thu còn hạn nhưng đối tác mất khả năng thanh toán",
	MAX(CASE WHEN bsc.TEN_COT=N'Khoản giảm trừ' AND bsh.MA_HANG = '43' THEN CAST(gt.GIA_TRI AS VARCHAR2(4000)) END) AS "Phải thu nội bộ",
	MAX(CASE WHEN bsc.TEN_COT=N'Khoản giảm trừ' AND bsh.MA_HANG = '44' THEN CAST(gt.GIA_TRI AS VARCHAR2(4000)) END) AS "- Phải thu nội bộ có thời hạn thanh toán còn lại từ 90 ngày trở xuống",
	MAX(CASE WHEN bsc.TEN_COT=N'Khoản giảm trừ' AND bsh.MA_HANG = '45' THEN CAST(gt.GIA_TRI AS VARCHAR2(4000)) END) AS "- Phải thu nội bộ có thời hạn thanh toán còn lại trên 90 ngày",
	MAX(CASE WHEN bsc.TEN_COT=N'Khoản giảm trừ' AND bsh.MA_HANG = '46' THEN CAST(gt.GIA_TRI AS VARCHAR2(4000)) END) AS "- Phải thu còn hạn nhưng đối tác mất khả năng thanh toán",
	MAX(CASE WHEN bsc.TEN_COT=N'Khoản giảm trừ' AND bsh.MA_HANG = '47' THEN CAST(gt.GIA_TRI AS VARCHAR2(4000)) END) AS "Phải thu về lỗi giao dịch chứng khoán",
	MAX(CASE WHEN bsc.TEN_COT=N'Khoản giảm trừ' AND bsh.MA_HANG = '48' THEN CAST(gt.GIA_TRI AS VARCHAR2(4000)) END) AS "- Các khoản phải thu có thời hạn thanh toán còn lại từ 90 ngày trở xuống",
	MAX(CASE WHEN bsc.TEN_COT=N'Khoản giảm trừ' AND bsh.MA_HANG = '49' THEN CAST(gt.GIA_TRI AS VARCHAR2(4000)) END) AS "- Các khoản phải thu có thời hạn thanh toán còn lại trên 90 ngày",
	MAX(CASE WHEN bsc.TEN_COT=N'Khoản giảm trừ' AND bsh.MA_HANG = '50' THEN CAST(gt.GIA_TRI AS VARCHAR2(4000)) END) AS "- Phải thu còn hạn nhưng đối tác mất khả năng thanh toán",
	MAX(CASE WHEN bsc.TEN_COT=N'Khoản giảm trừ' AND bsh.MA_HANG = '51' THEN CAST(gt.GIA_TRI AS VARCHAR2(4000)) END) AS "Các khoản phải thu khác",
	MAX(CASE WHEN bsc.TEN_COT=N'Khoản giảm trừ' AND bsh.MA_HANG = '52' THEN CAST(gt.GIA_TRI AS VARCHAR2(4000)) END) AS "- Các khoản phải thu có thời hạn thanh toán còn lại từ 90 ngày trở xuống",
	MAX(CASE WHEN bsc.TEN_COT=N'Khoản giảm trừ' AND bsh.MA_HANG = '53' THEN CAST(gt.GIA_TRI AS VARCHAR2(4000)) END) AS "- Các khoản phải thu có thời hạn thanh toán còn lại trên 90 ngày",
	MAX(CASE WHEN bsc.TEN_COT=N'Khoản giảm trừ' AND bsh.MA_HANG = '54' THEN CAST(gt.GIA_TRI AS VARCHAR2(4000)) END) AS "- Tạm ứng có thời hạn hoàn ứng còn lại trên 90 ngày",
	MAX(CASE WHEN bsc.TEN_COT=N'Khoản giảm trừ' AND bsh.MA_HANG = '55' THEN CAST(gt.GIA_TRI AS VARCHAR2(4000)) END) AS "Dự phòng suy giảm giá trị các khoản phải thu",
	MAX(CASE WHEN bsc.TEN_COT=N'Khoản giảm trừ' AND bsh.MA_HANG = '56' THEN CAST(gt.GIA_TRI AS VARCHAR2(4000)) END) AS "Tài sản ngắn hạn khác",
	MAX(CASE WHEN bsc.TEN_COT=N'Khoản giảm trừ' AND bsh.MA_HANG = '57' THEN CAST(gt.GIA_TRI AS VARCHAR2(4000)) END) AS "Cầm cố, thế chấp, ký quỹ, ký cược ngắn hạn",
	MAX(CASE WHEN bsc.TEN_COT=N'Khoản giảm trừ' AND bsh.MA_HANG = '58' THEN CAST(gt.GIA_TRI AS VARCHAR2(4000)) END) AS "Thuế giá trị gia tăng được khấu trừ",
	MAX(CASE WHEN bsc.TEN_COT=N'Khoản giảm trừ' AND bsh.MA_HANG = '59' THEN CAST(gt.GIA_TRI AS VARCHAR2(4000)) END) AS "Thuế và các khoản khác phải thu Nhà nước",
	MAX(CASE WHEN bsc.TEN_COT=N'Khoản giảm trừ' AND bsh.MA_HANG = '60' THEN CAST(gt.GIA_TRI AS VARCHAR2(4000)) END) AS "Tài sản ngắn hạn khác",
	MAX(CASE WHEN bsc.TEN_COT=N'Khoản giảm trừ' AND bsh.MA_HANG = '61' THEN CAST(gt.GIA_TRI AS VARCHAR2(4000)) END) AS "Vật tư văn phòng, công cụ dụng cụ",
	MAX(CASE WHEN bsc.TEN_COT=N'Khoản giảm trừ' AND bsh.MA_HANG = '62' THEN CAST(gt.GIA_TRI AS VARCHAR2(4000)) END) AS "Chi phí trả trước ngắn hạn",
	MAX(CASE WHEN bsc.TEN_COT=N'Khoản giảm trừ' AND bsh.MA_HANG = '63' THEN CAST(gt.GIA_TRI AS VARCHAR2(4000)) END) AS "Cầm cố, thế chấp, ký quỹ, ký cược ngắn hạn",
	MAX(CASE WHEN bsc.TEN_COT=N'Khoản giảm trừ' AND bsh.MA_HANG = '64' THEN CAST(gt.GIA_TRI AS VARCHAR2(4000)) END) AS "Thuế giá trị gia tăng được khấu trừ",
	MAX(CASE WHEN bsc.TEN_COT=N'Khoản giảm trừ' AND bsh.MA_HANG = '65' THEN CAST(gt.GIA_TRI AS VARCHAR2(4000)) END) AS "Thuế và các khoản khác phải thu Nhà nước",
	MAX(CASE WHEN bsc.TEN_COT=N'Khoản giảm trừ' AND bsh.MA_HANG = '66' THEN CAST(gt.GIA_TRI AS VARCHAR2(4000)) END) AS "Tài sản ngắn hạn khác",
	MAX(CASE WHEN bsc.TEN_COT=N'Khoản giảm trừ' AND bsh.MA_HANG = '67' THEN CAST(gt.GIA_TRI AS VARCHAR2(4000)) END) AS "Dự phòng suy giảm giá trị tài sản ngắn hạn khác",
	MAX(CASE WHEN bsc.TEN_COT=N'Khoản giảm trừ' AND bsh.MA_HANG = '68' THEN CAST(gt.GIA_TRI AS VARCHAR2(4000)) END) AS "Tổng",
	MAX(CASE WHEN bsc.TEN_COT=N'Khoản giảm trừ' AND bsh.MA_HANG = '69' THEN CAST(gt.GIA_TRI AS VARCHAR2(4000)) END) AS "Tài sản dài hạn",
	MAX(CASE WHEN bsc.TEN_COT=N'Khoản giảm trừ' AND bsh.MA_HANG = '70' THEN CAST(gt.GIA_TRI AS VARCHAR2(4000)) END) AS "Tài sản tài chính dài hạn",
	MAX(CASE WHEN bsc.TEN_COT=N'Khoản giảm trừ' AND bsh.MA_HANG = '71' THEN CAST(gt.GIA_TRI AS VARCHAR2(4000)) END) AS "Các khoản phải thu dài hạn",
	MAX(CASE WHEN bsc.TEN_COT=N'Khoản giảm trừ' AND bsh.MA_HANG = '72' THEN CAST(gt.GIA_TRI AS VARCHAR2(4000)) END) AS "Các khoản đầu tư",
	MAX(CASE WHEN bsc.TEN_COT=N'Khoản giảm trừ' AND bsh.MA_HANG = '73' THEN CAST(gt.GIA_TRI AS VARCHAR2(4000)) END) AS "Các khoản đầu tư nắm giữ đến ngày đáo hạn",
	MAX(CASE WHEN bsc.TEN_COT=N'Khoản giảm trừ' AND bsh.MA_HANG = '74' THEN CAST(gt.GIA_TRI AS VARCHAR2(4000)) END) AS "- Chứng khoán tiềm ẩn rủi ro thị trường",
	MAX(CASE WHEN bsc.TEN_COT=N'Khoản giảm trừ' AND bsh.MA_HANG = '75' THEN CAST(gt.GIA_TRI AS VARCHAR2(4000)) END) AS "- Chứng khoán bị giảm trừ khỏi vốn khả dụng",
	MAX(CASE WHEN bsc.TEN_COT=N'Khoản giảm trừ' AND bsh.MA_HANG = '76' THEN CAST(gt.GIA_TRI AS VARCHAR2(4000)) END) AS "Đầu tư vào công ty con",
	MAX(CASE WHEN bsc.TEN_COT=N'Khoản giảm trừ' AND bsh.MA_HANG = '78' THEN CAST(gt.GIA_TRI AS VARCHAR2(4000)) END) AS "Đầu tư dài hạn khác",  -- DB cũ là MA_HANG = '78'
	MAX(CASE WHEN bsc.TEN_COT=N'Khoản giảm trừ' AND bsh.MA_HANG = '78' THEN CAST(gt.GIA_TRI AS VARCHAR2(4000)) END) AS "Tài sản cố định",
	MAX(CASE WHEN bsc.TEN_COT=N'Khoản giảm trừ' AND bsh.MA_HANG = '79' THEN CAST(gt.GIA_TRI AS VARCHAR2(4000)) END) AS "Bất động sản đầu tư",
	MAX(CASE WHEN bsc.TEN_COT=N'Khoản giảm trừ' AND bsh.MA_HANG = '80' THEN CAST(gt.GIA_TRI AS VARCHAR2(4000)) END) AS "Chi phí xây dựng cơ bản dở dang",
	MAX(CASE WHEN bsc.TEN_COT=N'Khoản giảm trừ' AND bsh.MA_HANG = '81' THEN CAST(gt.GIA_TRI AS VARCHAR2(4000)) END) AS "Tài sản dài hạn khác",
	MAX(CASE WHEN bsc.TEN_COT=N'Khoản giảm trừ' AND bsh.MA_HANG = '82' THEN CAST(gt.GIA_TRI AS VARCHAR2(4000)) END) AS "Cầm cố, thế chấp, ký quỹ, ký cược dài hạn",
	MAX(CASE WHEN bsc.TEN_COT=N'Khoản giảm trừ' AND bsh.MA_HANG = '83' THEN CAST(gt.GIA_TRI AS VARCHAR2(4000)) END) AS "Chi phí trả trước dài hạn",
	MAX(CASE WHEN bsc.TEN_COT=N'Khoản giảm trừ' AND bsh.MA_HANG = '84' THEN CAST(gt.GIA_TRI AS VARCHAR2(4000)) END) AS "Tài sản thuế thu nhập hoãn lại",
	MAX(CASE WHEN bsc.TEN_COT=N'Khoản giảm trừ' AND bsh.MA_HANG = '85' THEN CAST(gt.GIA_TRI AS VARCHAR2(4000)) END) AS "Tiền nộp Quỹ hỗ trợ thanh toán",
	MAX(CASE WHEN bsc.TEN_COT=N'Khoản giảm trừ' AND bsh.MA_HANG = '86' THEN CAST(gt.GIA_TRI AS VARCHAR2(4000)) END) AS "Tài sản dài hạn khác",
	MAX(CASE WHEN bsc.TEN_COT=N'Khoản giảm trừ' AND bsh.MA_HANG = '87' THEN CAST(gt.GIA_TRI AS VARCHAR2(4000)) END) AS "Các chỉ tiêu tài sản bị coi là khoản ngoại trừ, có ý kiến trái ngược hoặc từ chối đưa ra ý kiến tại báo cáo tài chính đã được kiểm toán, soát xét mà không bị tính giảm trừ theo quy định tại Điều 5",
	MAX(CASE WHEN bsc.TEN_COT=N'Khoản giảm trừ' AND bsh.MA_HANG = '88' THEN CAST(gt.GIA_TRI AS VARCHAR2(4000)) END) AS "Các chỉ tiêu tài sản bị coi là khoản ngoại trừ, có ý kiến trái ngược hoặc từ chối đưa ra ý kiến tại báo cáo tài chính đã được kiểm toán, soát xét mà không bị tính giảm trừ theo quy định tại Điều 5",
	MAX(CASE WHEN bsc.TEN_COT=N'Khoản giảm trừ' AND bsh.MA_HANG = '89' THEN CAST(gt.GIA_TRI AS VARCHAR2(4000)) END) AS "Tổng",
	MAX(CASE WHEN bsc.TEN_COT=N'Khoản giảm trừ' AND bsh.MA_HANG = '90' THEN CAST(gt.GIA_TRI AS VARCHAR2(4000)) END) AS "Các khoản ký quỹ, đảm bảo",
	MAX(CASE WHEN bsc.TEN_COT=N'Khoản giảm trừ' AND bsh.MA_HANG = '91' THEN CAST(gt.GIA_TRI AS VARCHAR2(4000)) END) AS "Giá trị ký quỹ",
	MAX(CASE WHEN bsc.TEN_COT=N'Khoản giảm trừ' AND bsh.MA_HANG = '92' THEN CAST(gt.GIA_TRI AS VARCHAR2(4000)) END) AS "Giá trị đóng góp vào quỹ hỗ trợ thanh toán của Tổng công ty lưu ký và bù trừ chứng khoán Việt Nam",
	MAX(CASE WHEN bsc.TEN_COT=N'Khoản giảm trừ' AND bsh.MA_HANG = '93' THEN CAST(gt.GIA_TRI AS VARCHAR2(4000)) END) AS "Giá trị đóng góp vào quỹ bù trừ của đối tác thanh toán trung tâm đối với vị thế mở của chính thành viên bù trừ",
	MAX(CASE WHEN bsc.TEN_COT=N'Khoản giảm trừ' AND bsh.MA_HANG = '94' THEN CAST(gt.GIA_TRI AS VARCHAR2(4000)) END) AS "Khoản ký quỹ bằng tiền và giá trị bảo lãnh thanh toán của ngân hàng khi phát hành chứng quyền có bảo đảm",
	MAX(CASE WHEN bsc.TEN_COT=N'Khoản giảm trừ' AND bsh.MA_HANG = '95' THEN CAST(gt.GIA_TRI AS VARCHAR2(4000)) END) AS "Giá trị tài sản bảo đảm cho các nghĩa vụ phải trả có thời hạn còn lại trên 90 ngày",
	MAX(CASE WHEN bsc.TEN_COT=N'Khoản giảm trừ' AND bsh.MA_HANG = '96' THEN CAST(gt.GIA_TRI AS VARCHAR2(4000)) END) AS "Tổng",
	MAX(CASE WHEN bsc.TEN_COT=N'Khoản giảm trừ' AND bsh.MA_HANG = '97' THEN CAST(gt.GIA_TRI AS VARCHAR2(4000)) END) AS "VỐN KHẢ DỤNG = 1A-1B-1C-1D",
    -- Khoản tăng thêm
	MAX(CASE WHEN bsc.TEN_COT=N'Khoản tăng thêm' AND bsh.MA_HANG = '1' THEN CAST(gt.GIA_TRI AS VARCHAR2(4000)) END) AS "Vốn chủ sở hữu",                                                                               
	MAX(CASE WHEN bsc.TEN_COT=N'Khoản tăng thêm' AND bsh.MA_HANG = '2' THEN CAST(gt.GIA_TRI AS VARCHAR2(4000)) END) AS "Vốn góp của chủ sở hữu không bao gồm cổ phần ưu đãi hoàn lại (nếu có)",                            
	MAX(CASE WHEN bsc.TEN_COT=N'Khoản tăng thêm' AND bsh.MA_HANG = '3' THEN CAST(gt.GIA_TRI AS VARCHAR2(4000)) END) AS "Thặng dư vốn cổ phần không bao gồm cổ phần ưu đãi hoàn lại (nếu có)",
	MAX(CASE WHEN bsc.TEN_COT=N'Khoản tăng thêm' AND bsh.MA_HANG = '4' THEN CAST(gt.GIA_TRI AS VARCHAR2(4000)) END) AS "Cổ phiếu quỹ",
	MAX(CA</t>
        </is>
      </c>
      <c r="U3596" s="401" t="n"/>
      <c r="V3596" s="22" t="n"/>
      <c r="W3596" s="22" t="n"/>
      <c r="X3596" s="22" t="n"/>
      <c r="Y3596" s="13" t="n"/>
      <c r="Z3596" s="22" t="n"/>
      <c r="AA3596" s="22" t="n"/>
      <c r="AB3596" s="22" t="n"/>
      <c r="AC3596" s="22" t="n"/>
      <c r="AD3596" s="22" t="n"/>
      <c r="AE3596" s="22" t="n"/>
    </row>
    <row r="3597" ht="70" customHeight="1" s="380">
      <c r="A3597" s="148" t="n">
        <v>131</v>
      </c>
      <c r="B3597" s="390" t="n"/>
      <c r="C3597" s="390" t="inlineStr">
        <is>
          <t>Báo cáo tỷ lệ an toàn tài chính - Chi nhánh công ty chứng khoán nước ngoài tại Việt Nam &gt;&gt; Bảng tính vốn khả dụng</t>
        </is>
      </c>
      <c r="D3597" s="390" t="inlineStr">
        <is>
          <t xml:space="preserve">Vốn góp của chủ sở hữu không bao gồm cổ phần ưu đãi hoàn lại (nếu có)                            
</t>
        </is>
      </c>
      <c r="E3597" s="390" t="inlineStr">
        <is>
          <t xml:space="preserve">Vốn góp của chủ sở hữu không bao gồm cổ phần ưu đãi hoàn lại (nếu có)                            
</t>
        </is>
      </c>
      <c r="F3597" s="390" t="inlineStr">
        <is>
          <t>Data Explorer</t>
        </is>
      </c>
      <c r="G3597" s="390" t="inlineStr">
        <is>
          <t>Chỉ tiêu cơ sở</t>
        </is>
      </c>
      <c r="H3597" s="390" t="inlineStr">
        <is>
          <t>TB</t>
        </is>
      </c>
      <c r="I3597" s="390" t="inlineStr">
        <is>
          <t>Ngày, CTCK</t>
        </is>
      </c>
      <c r="J3597" s="401" t="inlineStr">
        <is>
          <t>SCMS</t>
        </is>
      </c>
      <c r="K3597" s="401" t="n"/>
      <c r="L3597" s="401" t="inlineStr">
        <is>
          <t>X</t>
        </is>
      </c>
      <c r="M3597" s="401" t="n"/>
      <c r="N3597" s="401" t="inlineStr">
        <is>
          <t>Done</t>
        </is>
      </c>
      <c r="O3597" s="401" t="n"/>
      <c r="P3597" s="401" t="n"/>
      <c r="S3597" s="401" t="n"/>
      <c r="U3597" s="401" t="n"/>
      <c r="V3597" s="22" t="n"/>
      <c r="W3597" s="22" t="n"/>
      <c r="X3597" s="22" t="n"/>
      <c r="Y3597" s="13" t="n"/>
      <c r="Z3597" s="22" t="n"/>
      <c r="AA3597" s="22" t="n"/>
      <c r="AB3597" s="22" t="n"/>
      <c r="AC3597" s="22" t="n"/>
      <c r="AD3597" s="22" t="n"/>
      <c r="AE3597" s="22" t="n"/>
    </row>
    <row r="3598" ht="70" customHeight="1" s="380">
      <c r="A3598" s="148" t="n">
        <v>131</v>
      </c>
      <c r="B3598" s="390" t="n"/>
      <c r="C3598" s="390" t="inlineStr">
        <is>
          <t>Báo cáo tỷ lệ an toàn tài chính - Chi nhánh công ty chứng khoán nước ngoài tại Việt Nam &gt;&gt; Bảng tính vốn khả dụng</t>
        </is>
      </c>
      <c r="D3598" s="390" t="inlineStr">
        <is>
          <t xml:space="preserve">Thặng dư vốn cổ phần không bao gồm cổ phần ưu đãi hoàn lại (nếu có) 
</t>
        </is>
      </c>
      <c r="E3598" s="390" t="inlineStr">
        <is>
          <t xml:space="preserve">Thặng dư vốn cổ phần không bao gồm cổ phần ưu đãi hoàn lại (nếu có) 
</t>
        </is>
      </c>
      <c r="F3598" s="390" t="inlineStr">
        <is>
          <t>Data Explorer</t>
        </is>
      </c>
      <c r="G3598" s="390" t="inlineStr">
        <is>
          <t>Chỉ tiêu cơ sở</t>
        </is>
      </c>
      <c r="H3598" s="390" t="inlineStr">
        <is>
          <t>TB</t>
        </is>
      </c>
      <c r="I3598" s="390" t="inlineStr">
        <is>
          <t>Ngày, CTCK</t>
        </is>
      </c>
      <c r="J3598" s="401" t="inlineStr">
        <is>
          <t>SCMS</t>
        </is>
      </c>
      <c r="K3598" s="401" t="n"/>
      <c r="L3598" s="401" t="inlineStr">
        <is>
          <t>X</t>
        </is>
      </c>
      <c r="M3598" s="401" t="n"/>
      <c r="N3598" s="401" t="inlineStr">
        <is>
          <t>Done</t>
        </is>
      </c>
      <c r="O3598" s="401" t="n"/>
      <c r="P3598" s="401" t="n"/>
      <c r="S3598" s="401" t="n"/>
      <c r="U3598" s="401" t="n"/>
      <c r="V3598" s="22" t="n"/>
      <c r="W3598" s="22" t="n"/>
      <c r="X3598" s="22" t="n"/>
      <c r="Y3598" s="38" t="n"/>
      <c r="Z3598" s="22" t="n"/>
      <c r="AA3598" s="22" t="n"/>
      <c r="AB3598" s="22" t="n"/>
      <c r="AC3598" s="22" t="n"/>
      <c r="AD3598" s="22" t="n"/>
      <c r="AE3598" s="22" t="n"/>
    </row>
    <row r="3599" ht="70" customHeight="1" s="380">
      <c r="A3599" s="148" t="n">
        <v>131</v>
      </c>
      <c r="B3599" s="390" t="n"/>
      <c r="C3599" s="390" t="inlineStr">
        <is>
          <t>Báo cáo tỷ lệ an toàn tài chính - Chi nhánh công ty chứng khoán nước ngoài tại Việt Nam &gt;&gt; Bảng tính vốn khả dụng</t>
        </is>
      </c>
      <c r="D3599" s="390" t="inlineStr">
        <is>
          <t xml:space="preserve">Cổ phiếu quỹ                                                                                                   
</t>
        </is>
      </c>
      <c r="E3599" s="390" t="inlineStr">
        <is>
          <t xml:space="preserve">Cổ phiếu quỹ                                                                                                   
</t>
        </is>
      </c>
      <c r="F3599" s="390" t="inlineStr">
        <is>
          <t>Data Explorer</t>
        </is>
      </c>
      <c r="G3599" s="390" t="inlineStr">
        <is>
          <t>Chỉ tiêu cơ sở</t>
        </is>
      </c>
      <c r="H3599" s="390" t="inlineStr">
        <is>
          <t>TB</t>
        </is>
      </c>
      <c r="I3599" s="390" t="inlineStr">
        <is>
          <t>Ngày, CTCK</t>
        </is>
      </c>
      <c r="J3599" s="401" t="inlineStr">
        <is>
          <t>SCMS</t>
        </is>
      </c>
      <c r="K3599" s="401" t="n"/>
      <c r="L3599" s="401" t="inlineStr">
        <is>
          <t>X</t>
        </is>
      </c>
      <c r="M3599" s="401" t="n"/>
      <c r="N3599" s="401" t="inlineStr">
        <is>
          <t>Done</t>
        </is>
      </c>
      <c r="O3599" s="401" t="n"/>
      <c r="P3599" s="401" t="n"/>
      <c r="S3599" s="401" t="n"/>
      <c r="U3599" s="401" t="n"/>
      <c r="V3599" s="22" t="n"/>
      <c r="W3599" s="22" t="n"/>
      <c r="X3599" s="22" t="n"/>
      <c r="Y3599" s="38" t="n"/>
      <c r="Z3599" s="22" t="n"/>
      <c r="AA3599" s="22" t="n"/>
      <c r="AB3599" s="22" t="n"/>
      <c r="AC3599" s="22" t="n"/>
      <c r="AD3599" s="22" t="n"/>
      <c r="AE3599" s="22" t="n"/>
    </row>
    <row r="3600" ht="70" customHeight="1" s="380">
      <c r="A3600" s="148" t="n">
        <v>131</v>
      </c>
      <c r="B3600" s="390" t="n"/>
      <c r="C3600" s="390" t="inlineStr">
        <is>
          <t>Báo cáo tỷ lệ an toàn tài chính - Chi nhánh công ty chứng khoán nước ngoài tại Việt Nam &gt;&gt; Bảng tính vốn khả dụng</t>
        </is>
      </c>
      <c r="D3600" s="390" t="inlineStr">
        <is>
          <t xml:space="preserve">Quyền chọn chuyển đổi trái phiếu – Cấu phần vốn
</t>
        </is>
      </c>
      <c r="E3600" s="390" t="inlineStr">
        <is>
          <t xml:space="preserve">Quyền chọn chuyển đổi trái phiếu – Cấu phần vốn
</t>
        </is>
      </c>
      <c r="F3600" s="390" t="inlineStr">
        <is>
          <t>Data Explorer</t>
        </is>
      </c>
      <c r="G3600" s="390" t="inlineStr">
        <is>
          <t>Chỉ tiêu cơ sở</t>
        </is>
      </c>
      <c r="H3600" s="390" t="inlineStr">
        <is>
          <t>TB</t>
        </is>
      </c>
      <c r="I3600" s="390" t="inlineStr">
        <is>
          <t>Ngày, CTCK</t>
        </is>
      </c>
      <c r="J3600" s="401" t="inlineStr">
        <is>
          <t>SCMS</t>
        </is>
      </c>
      <c r="K3600" s="401" t="n"/>
      <c r="L3600" s="401" t="inlineStr">
        <is>
          <t>X</t>
        </is>
      </c>
      <c r="M3600" s="401" t="n"/>
      <c r="N3600" s="401" t="inlineStr">
        <is>
          <t>Done</t>
        </is>
      </c>
      <c r="O3600" s="401" t="n"/>
      <c r="P3600" s="401" t="n"/>
      <c r="S3600" s="401" t="n"/>
      <c r="U3600" s="401" t="n"/>
      <c r="V3600" s="22" t="n"/>
      <c r="W3600" s="22" t="n"/>
      <c r="X3600" s="22" t="n"/>
      <c r="Y3600" s="38" t="n"/>
      <c r="Z3600" s="22" t="n"/>
      <c r="AA3600" s="22" t="n"/>
      <c r="AB3600" s="22" t="n"/>
      <c r="AC3600" s="22" t="n"/>
      <c r="AD3600" s="22" t="n"/>
      <c r="AE3600" s="22" t="n"/>
    </row>
    <row r="3601" ht="70" customHeight="1" s="380">
      <c r="A3601" s="148" t="n">
        <v>131</v>
      </c>
      <c r="B3601" s="390" t="n"/>
      <c r="C3601" s="390" t="inlineStr">
        <is>
          <t>Báo cáo tỷ lệ an toàn tài chính - Chi nhánh công ty chứng khoán nước ngoài tại Việt Nam &gt;&gt; Bảng tính vốn khả dụng</t>
        </is>
      </c>
      <c r="D3601" s="390" t="inlineStr">
        <is>
          <t xml:space="preserve">Vốn khác của chủ sở hữu                                                                                    
</t>
        </is>
      </c>
      <c r="E3601" s="390" t="inlineStr">
        <is>
          <t xml:space="preserve">Vốn khác của chủ sở hữu                                                                                    
</t>
        </is>
      </c>
      <c r="F3601" s="390" t="inlineStr">
        <is>
          <t>Data Explorer</t>
        </is>
      </c>
      <c r="G3601" s="390" t="inlineStr">
        <is>
          <t>Chỉ tiêu cơ sở</t>
        </is>
      </c>
      <c r="H3601" s="390" t="inlineStr">
        <is>
          <t>TB</t>
        </is>
      </c>
      <c r="I3601" s="390" t="inlineStr">
        <is>
          <t>Ngày, CTCK</t>
        </is>
      </c>
      <c r="J3601" s="401" t="inlineStr">
        <is>
          <t>SCMS</t>
        </is>
      </c>
      <c r="K3601" s="401" t="n"/>
      <c r="L3601" s="401" t="inlineStr">
        <is>
          <t>X</t>
        </is>
      </c>
      <c r="M3601" s="401" t="n"/>
      <c r="N3601" s="401" t="inlineStr">
        <is>
          <t>Done</t>
        </is>
      </c>
      <c r="O3601" s="401" t="n"/>
      <c r="P3601" s="401" t="n"/>
      <c r="S3601" s="401" t="n"/>
      <c r="U3601" s="401" t="n"/>
      <c r="V3601" s="22" t="n"/>
      <c r="W3601" s="22" t="n"/>
      <c r="X3601" s="22" t="n"/>
      <c r="Y3601" s="38" t="n"/>
      <c r="Z3601" s="22" t="n"/>
      <c r="AA3601" s="22" t="n"/>
      <c r="AB3601" s="22" t="n"/>
      <c r="AC3601" s="22" t="n"/>
      <c r="AD3601" s="22" t="n"/>
      <c r="AE3601" s="22" t="n"/>
    </row>
    <row r="3602" ht="70" customHeight="1" s="380">
      <c r="A3602" s="148" t="n">
        <v>131</v>
      </c>
      <c r="B3602" s="390" t="n"/>
      <c r="C3602" s="390" t="inlineStr">
        <is>
          <t>Báo cáo tỷ lệ an toàn tài chính - Chi nhánh công ty chứng khoán nước ngoài tại Việt Nam &gt;&gt; Bảng tính vốn khả dụng</t>
        </is>
      </c>
      <c r="D3602" s="390" t="inlineStr">
        <is>
          <t xml:space="preserve">Chênh lệch đánh giá tài sản theo giá trị hợp lý                                                                                   
</t>
        </is>
      </c>
      <c r="E3602" s="390" t="inlineStr">
        <is>
          <t xml:space="preserve">Chênh lệch đánh giá tài sản theo giá trị hợp lý                                                                                   
</t>
        </is>
      </c>
      <c r="F3602" s="390" t="inlineStr">
        <is>
          <t>Data Explorer</t>
        </is>
      </c>
      <c r="G3602" s="390" t="inlineStr">
        <is>
          <t>Chỉ tiêu cơ sở</t>
        </is>
      </c>
      <c r="H3602" s="390" t="inlineStr">
        <is>
          <t>TB</t>
        </is>
      </c>
      <c r="I3602" s="390" t="inlineStr">
        <is>
          <t>Ngày, CTCK</t>
        </is>
      </c>
      <c r="J3602" s="401" t="inlineStr">
        <is>
          <t>SCMS</t>
        </is>
      </c>
      <c r="K3602" s="401" t="n"/>
      <c r="L3602" s="401" t="inlineStr">
        <is>
          <t>X</t>
        </is>
      </c>
      <c r="M3602" s="401" t="n"/>
      <c r="N3602" s="401" t="inlineStr">
        <is>
          <t>Done</t>
        </is>
      </c>
      <c r="O3602" s="401" t="n"/>
      <c r="P3602" s="401" t="n"/>
      <c r="S3602" s="401" t="n"/>
      <c r="U3602" s="401" t="n"/>
      <c r="V3602" s="22" t="n"/>
      <c r="W3602" s="22" t="n"/>
      <c r="X3602" s="22" t="n"/>
      <c r="Y3602" s="38" t="n"/>
      <c r="Z3602" s="22" t="n"/>
      <c r="AA3602" s="22" t="n"/>
      <c r="AB3602" s="22" t="n"/>
      <c r="AC3602" s="22" t="n"/>
      <c r="AD3602" s="22" t="n"/>
      <c r="AE3602" s="22" t="n"/>
    </row>
    <row r="3603" ht="70" customHeight="1" s="380">
      <c r="A3603" s="148" t="n">
        <v>131</v>
      </c>
      <c r="B3603" s="390" t="n"/>
      <c r="C3603" s="390" t="inlineStr">
        <is>
          <t>Báo cáo tỷ lệ an toàn tài chính - Chi nhánh công ty chứng khoán nước ngoài tại Việt Nam &gt;&gt; Bảng tính vốn khả dụng</t>
        </is>
      </c>
      <c r="D3603" s="390" t="inlineStr">
        <is>
          <t xml:space="preserve">Quỹ dự trữ bổ sung vốn điều lệ                                                                              
</t>
        </is>
      </c>
      <c r="E3603" s="390" t="inlineStr">
        <is>
          <t xml:space="preserve">Quỹ dự trữ bổ sung vốn điều lệ                                                                              
</t>
        </is>
      </c>
      <c r="F3603" s="390" t="inlineStr">
        <is>
          <t>Data Explorer</t>
        </is>
      </c>
      <c r="G3603" s="390" t="inlineStr">
        <is>
          <t>Chỉ tiêu cơ sở</t>
        </is>
      </c>
      <c r="H3603" s="390" t="inlineStr">
        <is>
          <t>TB</t>
        </is>
      </c>
      <c r="I3603" s="390" t="inlineStr">
        <is>
          <t>Ngày, CTCK</t>
        </is>
      </c>
      <c r="J3603" s="401" t="inlineStr">
        <is>
          <t>SCMS</t>
        </is>
      </c>
      <c r="K3603" s="401" t="n"/>
      <c r="L3603" s="401" t="inlineStr">
        <is>
          <t>X</t>
        </is>
      </c>
      <c r="M3603" s="401" t="n"/>
      <c r="N3603" s="401" t="inlineStr">
        <is>
          <t>Done</t>
        </is>
      </c>
      <c r="O3603" s="401" t="n"/>
      <c r="P3603" s="401" t="n"/>
      <c r="S3603" s="401" t="n"/>
      <c r="U3603" s="401" t="n"/>
      <c r="V3603" s="22" t="n"/>
      <c r="W3603" s="22" t="n"/>
      <c r="X3603" s="22" t="n"/>
      <c r="Y3603" s="38" t="n"/>
      <c r="Z3603" s="22" t="n"/>
      <c r="AA3603" s="22" t="n"/>
      <c r="AB3603" s="22" t="n"/>
      <c r="AC3603" s="22" t="n"/>
      <c r="AD3603" s="22" t="n"/>
      <c r="AE3603" s="22" t="n"/>
    </row>
    <row r="3604" ht="70" customHeight="1" s="380">
      <c r="A3604" s="148" t="n">
        <v>131</v>
      </c>
      <c r="B3604" s="390" t="n"/>
      <c r="C3604" s="390" t="inlineStr">
        <is>
          <t>Báo cáo tỷ lệ an toàn tài chính - Chi nhánh công ty chứng khoán nước ngoài tại Việt Nam &gt;&gt; Bảng tính vốn khả dụng</t>
        </is>
      </c>
      <c r="D3604" s="390" t="inlineStr">
        <is>
          <t xml:space="preserve">Quỹ dự phòng tài chính và rủi ro nghiệp vụ
</t>
        </is>
      </c>
      <c r="E3604" s="390" t="inlineStr">
        <is>
          <t xml:space="preserve">Quỹ dự phòng tài chính và rủi ro nghiệp vụ
</t>
        </is>
      </c>
      <c r="F3604" s="390" t="inlineStr">
        <is>
          <t>Data Explorer</t>
        </is>
      </c>
      <c r="G3604" s="390" t="inlineStr">
        <is>
          <t>Chỉ tiêu cơ sở</t>
        </is>
      </c>
      <c r="H3604" s="390" t="inlineStr">
        <is>
          <t>TB</t>
        </is>
      </c>
      <c r="I3604" s="390" t="inlineStr">
        <is>
          <t>Ngày, CTCK</t>
        </is>
      </c>
      <c r="J3604" s="401" t="inlineStr">
        <is>
          <t>SCMS</t>
        </is>
      </c>
      <c r="K3604" s="401" t="n"/>
      <c r="L3604" s="401" t="inlineStr">
        <is>
          <t>X</t>
        </is>
      </c>
      <c r="M3604" s="401" t="n"/>
      <c r="N3604" s="401" t="inlineStr">
        <is>
          <t>Done</t>
        </is>
      </c>
      <c r="O3604" s="401" t="n"/>
      <c r="P3604" s="401" t="n"/>
      <c r="S3604" s="401" t="n"/>
      <c r="U3604" s="401" t="n"/>
      <c r="V3604" s="22" t="n"/>
      <c r="W3604" s="22" t="n"/>
      <c r="X3604" s="22" t="n"/>
      <c r="Y3604" s="38" t="n"/>
      <c r="Z3604" s="22" t="n"/>
      <c r="AA3604" s="22" t="n"/>
      <c r="AB3604" s="22" t="n"/>
      <c r="AC3604" s="22" t="n"/>
      <c r="AD3604" s="22" t="n"/>
      <c r="AE3604" s="22" t="n"/>
    </row>
    <row r="3605" ht="70" customHeight="1" s="380">
      <c r="A3605" s="148" t="n">
        <v>131</v>
      </c>
      <c r="B3605" s="390" t="n"/>
      <c r="C3605" s="390" t="inlineStr">
        <is>
          <t>Báo cáo tỷ lệ an toàn tài chính - Chi nhánh công ty chứng khoán nước ngoài tại Việt Nam &gt;&gt; Bảng tính vốn khả dụng</t>
        </is>
      </c>
      <c r="D3605" s="390" t="inlineStr">
        <is>
          <t xml:space="preserve">Quỹ khác thuộc vốn chủ sở hữu
</t>
        </is>
      </c>
      <c r="E3605" s="390" t="inlineStr">
        <is>
          <t xml:space="preserve">Quỹ khác thuộc vốn chủ sở hữu
</t>
        </is>
      </c>
      <c r="F3605" s="390" t="inlineStr">
        <is>
          <t>Data Explorer</t>
        </is>
      </c>
      <c r="G3605" s="390" t="inlineStr">
        <is>
          <t>Chỉ tiêu cơ sở</t>
        </is>
      </c>
      <c r="H3605" s="390" t="inlineStr">
        <is>
          <t>TB</t>
        </is>
      </c>
      <c r="I3605" s="390" t="inlineStr">
        <is>
          <t>Ngày, CTCK</t>
        </is>
      </c>
      <c r="J3605" s="401" t="inlineStr">
        <is>
          <t>SCMS</t>
        </is>
      </c>
      <c r="K3605" s="401" t="n"/>
      <c r="L3605" s="401" t="inlineStr">
        <is>
          <t>X</t>
        </is>
      </c>
      <c r="M3605" s="401" t="n"/>
      <c r="N3605" s="401" t="inlineStr">
        <is>
          <t>Done</t>
        </is>
      </c>
      <c r="O3605" s="401" t="n"/>
      <c r="P3605" s="401" t="n"/>
      <c r="S3605" s="401" t="n"/>
      <c r="U3605" s="401" t="n"/>
      <c r="V3605" s="22" t="n"/>
      <c r="W3605" s="22" t="n"/>
      <c r="X3605" s="22" t="n"/>
      <c r="Y3605" s="38" t="n"/>
      <c r="Z3605" s="22" t="n"/>
      <c r="AA3605" s="22" t="n"/>
      <c r="AB3605" s="22" t="n"/>
      <c r="AC3605" s="22" t="n"/>
      <c r="AD3605" s="22" t="n"/>
      <c r="AE3605" s="22" t="n"/>
    </row>
    <row r="3606" ht="70" customHeight="1" s="380">
      <c r="A3606" s="148" t="n">
        <v>131</v>
      </c>
      <c r="B3606" s="390" t="n"/>
      <c r="C3606" s="390" t="inlineStr">
        <is>
          <t>Báo cáo tỷ lệ an toàn tài chính - Chi nhánh công ty chứng khoán nước ngoài tại Việt Nam &gt;&gt; Bảng tính vốn khả dụng</t>
        </is>
      </c>
      <c r="D3606" s="390" t="inlineStr">
        <is>
          <t xml:space="preserve">Lợi nhuận chưa phân phối
</t>
        </is>
      </c>
      <c r="E3606" s="390" t="inlineStr">
        <is>
          <t xml:space="preserve">Lợi nhuận chưa phân phối
</t>
        </is>
      </c>
      <c r="F3606" s="390" t="inlineStr">
        <is>
          <t>Data Explorer</t>
        </is>
      </c>
      <c r="G3606" s="390" t="inlineStr">
        <is>
          <t>Chỉ tiêu cơ sở</t>
        </is>
      </c>
      <c r="H3606" s="390" t="inlineStr">
        <is>
          <t>TB</t>
        </is>
      </c>
      <c r="I3606" s="390" t="inlineStr">
        <is>
          <t>Ngày, CTCK</t>
        </is>
      </c>
      <c r="J3606" s="401" t="inlineStr">
        <is>
          <t>SCMS</t>
        </is>
      </c>
      <c r="K3606" s="401" t="n"/>
      <c r="L3606" s="401" t="inlineStr">
        <is>
          <t>X</t>
        </is>
      </c>
      <c r="M3606" s="401" t="n"/>
      <c r="N3606" s="401" t="inlineStr">
        <is>
          <t>Done</t>
        </is>
      </c>
      <c r="O3606" s="401" t="n"/>
      <c r="P3606" s="401" t="n"/>
      <c r="S3606" s="401" t="n"/>
      <c r="U3606" s="401" t="n"/>
      <c r="V3606" s="22" t="n"/>
      <c r="W3606" s="22" t="n"/>
      <c r="X3606" s="22" t="n"/>
      <c r="Y3606" s="38" t="n"/>
      <c r="Z3606" s="22" t="n"/>
      <c r="AA3606" s="22" t="n"/>
      <c r="AB3606" s="22" t="n"/>
      <c r="AC3606" s="22" t="n"/>
      <c r="AD3606" s="22" t="n"/>
      <c r="AE3606" s="22" t="n"/>
    </row>
    <row r="3607" ht="70" customHeight="1" s="380">
      <c r="A3607" s="148" t="n">
        <v>131</v>
      </c>
      <c r="B3607" s="390" t="n"/>
      <c r="C3607" s="390" t="inlineStr">
        <is>
          <t>Báo cáo tỷ lệ an toàn tài chính - Chi nhánh công ty chứng khoán nước ngoài tại Việt Nam &gt;&gt; Bảng tính vốn khả dụng</t>
        </is>
      </c>
      <c r="D3607" s="390" t="inlineStr">
        <is>
          <t xml:space="preserve">Số dư dự phòng suy giảm giá trị tài sản
</t>
        </is>
      </c>
      <c r="E3607" s="390" t="inlineStr">
        <is>
          <t xml:space="preserve">Số dư dự phòng suy giảm giá trị tài sản
</t>
        </is>
      </c>
      <c r="F3607" s="390" t="inlineStr">
        <is>
          <t>Data Explorer</t>
        </is>
      </c>
      <c r="G3607" s="390" t="inlineStr">
        <is>
          <t>Chỉ tiêu cơ sở</t>
        </is>
      </c>
      <c r="H3607" s="390" t="inlineStr">
        <is>
          <t>TB</t>
        </is>
      </c>
      <c r="I3607" s="390" t="inlineStr">
        <is>
          <t>Ngày, CTCK</t>
        </is>
      </c>
      <c r="J3607" s="401" t="inlineStr">
        <is>
          <t>SCMS</t>
        </is>
      </c>
      <c r="K3607" s="401" t="n"/>
      <c r="L3607" s="401" t="inlineStr">
        <is>
          <t>X</t>
        </is>
      </c>
      <c r="M3607" s="401" t="n"/>
      <c r="N3607" s="401" t="inlineStr">
        <is>
          <t>Done</t>
        </is>
      </c>
      <c r="O3607" s="401" t="n"/>
      <c r="P3607" s="401" t="n"/>
      <c r="S3607" s="401" t="n"/>
      <c r="U3607" s="401" t="n"/>
      <c r="V3607" s="22" t="n"/>
      <c r="W3607" s="22" t="n"/>
      <c r="X3607" s="22" t="n"/>
      <c r="Y3607" s="38" t="n"/>
      <c r="Z3607" s="22" t="n"/>
      <c r="AA3607" s="22" t="n"/>
      <c r="AB3607" s="22" t="n"/>
      <c r="AC3607" s="22" t="n"/>
      <c r="AD3607" s="22" t="n"/>
      <c r="AE3607" s="22" t="n"/>
    </row>
    <row r="3608" ht="70" customHeight="1" s="380">
      <c r="A3608" s="148" t="n">
        <v>131</v>
      </c>
      <c r="B3608" s="390" t="n"/>
      <c r="C3608" s="390" t="inlineStr">
        <is>
          <t>Báo cáo tỷ lệ an toàn tài chính - Chi nhánh công ty chứng khoán nước ngoài tại Việt Nam &gt;&gt; Bảng tính vốn khả dụng</t>
        </is>
      </c>
      <c r="D3608" s="390" t="inlineStr">
        <is>
          <t xml:space="preserve">Chênh lệch đánh giá lại tài sản cố định
</t>
        </is>
      </c>
      <c r="E3608" s="390" t="inlineStr">
        <is>
          <t xml:space="preserve">Chênh lệch đánh giá lại tài sản cố định
</t>
        </is>
      </c>
      <c r="F3608" s="390" t="inlineStr">
        <is>
          <t>Data Explorer</t>
        </is>
      </c>
      <c r="G3608" s="390" t="inlineStr">
        <is>
          <t>Chỉ tiêu cơ sở</t>
        </is>
      </c>
      <c r="H3608" s="390" t="inlineStr">
        <is>
          <t>TB</t>
        </is>
      </c>
      <c r="I3608" s="390" t="inlineStr">
        <is>
          <t>Ngày, CTCK</t>
        </is>
      </c>
      <c r="J3608" s="401" t="inlineStr">
        <is>
          <t>SCMS</t>
        </is>
      </c>
      <c r="K3608" s="401" t="n"/>
      <c r="L3608" s="401" t="inlineStr">
        <is>
          <t>X</t>
        </is>
      </c>
      <c r="M3608" s="401" t="n"/>
      <c r="N3608" s="401" t="inlineStr">
        <is>
          <t>Done</t>
        </is>
      </c>
      <c r="O3608" s="401" t="n"/>
      <c r="P3608" s="401" t="n"/>
      <c r="S3608" s="401" t="n"/>
      <c r="U3608" s="401" t="n"/>
      <c r="V3608" s="22" t="n"/>
      <c r="W3608" s="22" t="n"/>
      <c r="X3608" s="22" t="n"/>
      <c r="Y3608" s="38" t="n"/>
      <c r="Z3608" s="22" t="n"/>
      <c r="AA3608" s="22" t="n"/>
      <c r="AB3608" s="22" t="n"/>
      <c r="AC3608" s="22" t="n"/>
      <c r="AD3608" s="22" t="n"/>
      <c r="AE3608" s="22" t="n"/>
    </row>
    <row r="3609" ht="70" customHeight="1" s="380">
      <c r="A3609" s="148" t="n">
        <v>131</v>
      </c>
      <c r="B3609" s="390" t="n"/>
      <c r="C3609" s="390" t="inlineStr">
        <is>
          <t>Báo cáo tỷ lệ an toàn tài chính - Chi nhánh công ty chứng khoán nước ngoài tại Việt Nam &gt;&gt; Bảng tính vốn khả dụng</t>
        </is>
      </c>
      <c r="D3609" s="390" t="inlineStr">
        <is>
          <t xml:space="preserve">Chênh lệch tỷ giá hối đoái
</t>
        </is>
      </c>
      <c r="E3609" s="390" t="inlineStr">
        <is>
          <t xml:space="preserve">Chênh lệch tỷ giá hối đoái
</t>
        </is>
      </c>
      <c r="F3609" s="390" t="inlineStr">
        <is>
          <t>Data Explorer</t>
        </is>
      </c>
      <c r="G3609" s="390" t="inlineStr">
        <is>
          <t>Chỉ tiêu cơ sở</t>
        </is>
      </c>
      <c r="H3609" s="390" t="inlineStr">
        <is>
          <t>TB</t>
        </is>
      </c>
      <c r="I3609" s="390" t="inlineStr">
        <is>
          <t>Ngày, CTCK</t>
        </is>
      </c>
      <c r="J3609" s="401" t="inlineStr">
        <is>
          <t>SCMS</t>
        </is>
      </c>
      <c r="K3609" s="401" t="n"/>
      <c r="L3609" s="401" t="inlineStr">
        <is>
          <t>X</t>
        </is>
      </c>
      <c r="M3609" s="401" t="n"/>
      <c r="N3609" s="401" t="inlineStr">
        <is>
          <t>Done</t>
        </is>
      </c>
      <c r="O3609" s="401" t="n"/>
      <c r="P3609" s="401" t="n"/>
      <c r="S3609" s="401" t="n"/>
      <c r="U3609" s="401" t="n"/>
      <c r="V3609" s="22" t="n"/>
      <c r="W3609" s="22" t="n"/>
      <c r="X3609" s="22" t="n"/>
      <c r="Y3609" s="38" t="n"/>
      <c r="Z3609" s="22" t="n"/>
      <c r="AA3609" s="22" t="n"/>
      <c r="AB3609" s="22" t="n"/>
      <c r="AC3609" s="22" t="n"/>
      <c r="AD3609" s="22" t="n"/>
      <c r="AE3609" s="22" t="n"/>
    </row>
    <row r="3610" ht="70" customHeight="1" s="380">
      <c r="A3610" s="148" t="n">
        <v>131</v>
      </c>
      <c r="B3610" s="390" t="n"/>
      <c r="C3610" s="390" t="inlineStr">
        <is>
          <t>Báo cáo tỷ lệ an toàn tài chính - Chi nhánh công ty chứng khoán nước ngoài tại Việt Nam &gt;&gt; Bảng tính vốn khả dụng</t>
        </is>
      </c>
      <c r="D3610" s="390" t="inlineStr">
        <is>
          <t xml:space="preserve">Các khoản nợ có thể chuyển đổi
</t>
        </is>
      </c>
      <c r="E3610" s="390" t="inlineStr">
        <is>
          <t xml:space="preserve">Các khoản nợ có thể chuyển đổi
</t>
        </is>
      </c>
      <c r="F3610" s="390" t="inlineStr">
        <is>
          <t>Data Explorer</t>
        </is>
      </c>
      <c r="G3610" s="390" t="inlineStr">
        <is>
          <t>Chỉ tiêu cơ sở</t>
        </is>
      </c>
      <c r="H3610" s="390" t="inlineStr">
        <is>
          <t>TB</t>
        </is>
      </c>
      <c r="I3610" s="390" t="inlineStr">
        <is>
          <t>Ngày, CTCK</t>
        </is>
      </c>
      <c r="J3610" s="401" t="inlineStr">
        <is>
          <t>SCMS</t>
        </is>
      </c>
      <c r="K3610" s="401" t="n"/>
      <c r="L3610" s="401" t="inlineStr">
        <is>
          <t>X</t>
        </is>
      </c>
      <c r="M3610" s="401" t="n"/>
      <c r="N3610" s="401" t="inlineStr">
        <is>
          <t>Done</t>
        </is>
      </c>
      <c r="O3610" s="401" t="n"/>
      <c r="P3610" s="401" t="n"/>
      <c r="S3610" s="401" t="n"/>
      <c r="U3610" s="401" t="n"/>
      <c r="V3610" s="22" t="n"/>
      <c r="W3610" s="22" t="n"/>
      <c r="X3610" s="22" t="n"/>
      <c r="Y3610" s="38" t="n"/>
      <c r="Z3610" s="22" t="n"/>
      <c r="AA3610" s="22" t="n"/>
      <c r="AB3610" s="22" t="n"/>
      <c r="AC3610" s="22" t="n"/>
      <c r="AD3610" s="22" t="n"/>
      <c r="AE3610" s="22" t="n"/>
    </row>
    <row r="3611" ht="70" customHeight="1" s="380">
      <c r="A3611" s="148" t="n">
        <v>131</v>
      </c>
      <c r="B3611" s="390" t="n"/>
      <c r="C3611" s="390" t="inlineStr">
        <is>
          <t>Báo cáo tỷ lệ an toàn tài chính - Chi nhánh công ty chứng khoán nước ngoài tại Việt Nam &gt;&gt; Bảng tính vốn khả dụng</t>
        </is>
      </c>
      <c r="D3611" s="390" t="inlineStr">
        <is>
          <t xml:space="preserve">Toàn bộ phần giảm đi hoặc tăng thêm của các chứng khoán tại chỉ tiêu đầu tư tài chính
</t>
        </is>
      </c>
      <c r="E3611" s="390" t="inlineStr">
        <is>
          <t xml:space="preserve">Toàn bộ phần giảm đi hoặc tăng thêm của các chứng khoán tại chỉ tiêu đầu tư tài chính
</t>
        </is>
      </c>
      <c r="F3611" s="390" t="inlineStr">
        <is>
          <t>Data Explorer</t>
        </is>
      </c>
      <c r="G3611" s="390" t="inlineStr">
        <is>
          <t>Chỉ tiêu cơ sở</t>
        </is>
      </c>
      <c r="H3611" s="390" t="inlineStr">
        <is>
          <t>TB</t>
        </is>
      </c>
      <c r="I3611" s="390" t="inlineStr">
        <is>
          <t>Ngày, CTCK</t>
        </is>
      </c>
      <c r="J3611" s="401" t="inlineStr">
        <is>
          <t>SCMS</t>
        </is>
      </c>
      <c r="K3611" s="401" t="n"/>
      <c r="L3611" s="401" t="inlineStr">
        <is>
          <t>X</t>
        </is>
      </c>
      <c r="M3611" s="401" t="n"/>
      <c r="N3611" s="401" t="inlineStr">
        <is>
          <t>Done</t>
        </is>
      </c>
      <c r="O3611" s="401" t="n"/>
      <c r="P3611" s="401" t="n"/>
      <c r="S3611" s="401" t="n"/>
      <c r="U3611" s="401" t="n"/>
      <c r="V3611" s="22" t="n"/>
      <c r="W3611" s="22" t="n"/>
      <c r="X3611" s="22" t="n"/>
      <c r="Y3611" s="38" t="n"/>
      <c r="Z3611" s="22" t="n"/>
      <c r="AA3611" s="22" t="n"/>
      <c r="AB3611" s="22" t="n"/>
      <c r="AC3611" s="22" t="n"/>
      <c r="AD3611" s="22" t="n"/>
      <c r="AE3611" s="22" t="n"/>
    </row>
    <row r="3612" ht="70" customHeight="1" s="380">
      <c r="A3612" s="148" t="n">
        <v>131</v>
      </c>
      <c r="B3612" s="390" t="n"/>
      <c r="C3612" s="390" t="inlineStr">
        <is>
          <t>Báo cáo tỷ lệ an toàn tài chính - Chi nhánh công ty chứng khoán nước ngoài tại Việt Nam &gt;&gt; Bảng tính vốn khả dụng</t>
        </is>
      </c>
      <c r="D3612" s="390" t="inlineStr">
        <is>
          <t xml:space="preserve">Vốn khác (nếu có)
</t>
        </is>
      </c>
      <c r="E3612" s="390" t="inlineStr">
        <is>
          <t xml:space="preserve">Vốn khác (nếu có)
</t>
        </is>
      </c>
      <c r="F3612" s="390" t="inlineStr">
        <is>
          <t>Data Explorer</t>
        </is>
      </c>
      <c r="G3612" s="390" t="inlineStr">
        <is>
          <t>Chỉ tiêu cơ sở</t>
        </is>
      </c>
      <c r="H3612" s="390" t="inlineStr">
        <is>
          <t>TB</t>
        </is>
      </c>
      <c r="I3612" s="390" t="inlineStr">
        <is>
          <t>Ngày, CTCK</t>
        </is>
      </c>
      <c r="J3612" s="401" t="inlineStr">
        <is>
          <t>SCMS</t>
        </is>
      </c>
      <c r="K3612" s="401" t="n"/>
      <c r="L3612" s="401" t="inlineStr">
        <is>
          <t>X</t>
        </is>
      </c>
      <c r="M3612" s="401" t="n"/>
      <c r="N3612" s="401" t="inlineStr">
        <is>
          <t>Done</t>
        </is>
      </c>
      <c r="O3612" s="401" t="n"/>
      <c r="P3612" s="401" t="n"/>
      <c r="S3612" s="401" t="n"/>
      <c r="U3612" s="401" t="n"/>
      <c r="V3612" s="22" t="n"/>
      <c r="W3612" s="22" t="n"/>
      <c r="X3612" s="22" t="n"/>
      <c r="Y3612" s="38" t="n"/>
      <c r="Z3612" s="22" t="n"/>
      <c r="AA3612" s="22" t="n"/>
      <c r="AB3612" s="22" t="n"/>
      <c r="AC3612" s="22" t="n"/>
      <c r="AD3612" s="22" t="n"/>
      <c r="AE3612" s="22" t="n"/>
    </row>
    <row r="3613" ht="70" customHeight="1" s="380">
      <c r="A3613" s="148" t="n">
        <v>131</v>
      </c>
      <c r="B3613" s="390" t="n"/>
      <c r="C3613" s="390" t="inlineStr">
        <is>
          <t>Báo cáo tỷ lệ an toàn tài chính - Chi nhánh công ty chứng khoán nước ngoài tại Việt Nam &gt;&gt; Bảng tính vốn khả dụng</t>
        </is>
      </c>
      <c r="D3613" s="390" t="inlineStr">
        <is>
          <t xml:space="preserve">Tổng                                                                                                         
</t>
        </is>
      </c>
      <c r="E3613" s="390" t="inlineStr">
        <is>
          <t xml:space="preserve">Tổng                                                                                                         
</t>
        </is>
      </c>
      <c r="F3613" s="390" t="inlineStr">
        <is>
          <t>Data Explorer</t>
        </is>
      </c>
      <c r="G3613" s="390" t="inlineStr">
        <is>
          <t>Chỉ tiêu cơ sở</t>
        </is>
      </c>
      <c r="H3613" s="390" t="inlineStr">
        <is>
          <t>TB</t>
        </is>
      </c>
      <c r="I3613" s="390" t="inlineStr">
        <is>
          <t>Ngày, CTCK</t>
        </is>
      </c>
      <c r="J3613" s="401" t="inlineStr">
        <is>
          <t>SCMS</t>
        </is>
      </c>
      <c r="K3613" s="401" t="n"/>
      <c r="L3613" s="401" t="inlineStr">
        <is>
          <t>X</t>
        </is>
      </c>
      <c r="M3613" s="401" t="n"/>
      <c r="N3613" s="401" t="inlineStr">
        <is>
          <t>Done</t>
        </is>
      </c>
      <c r="O3613" s="401" t="n"/>
      <c r="P3613" s="401" t="n"/>
      <c r="S3613" s="401" t="n"/>
      <c r="U3613" s="401" t="n"/>
      <c r="V3613" s="22" t="n"/>
      <c r="W3613" s="22" t="n"/>
      <c r="X3613" s="22" t="n"/>
      <c r="Y3613" s="38" t="n"/>
      <c r="Z3613" s="22" t="n"/>
      <c r="AA3613" s="22" t="n"/>
      <c r="AB3613" s="22" t="n"/>
      <c r="AC3613" s="22" t="n"/>
      <c r="AD3613" s="22" t="n"/>
      <c r="AE3613" s="22" t="n"/>
    </row>
    <row r="3614" ht="70" customHeight="1" s="380">
      <c r="A3614" s="148" t="n">
        <v>131</v>
      </c>
      <c r="B3614" s="390" t="n"/>
      <c r="C3614" s="390" t="inlineStr">
        <is>
          <t>Báo cáo tỷ lệ an toàn tài chính - Chi nhánh công ty chứng khoán nước ngoài tại Việt Nam &gt;&gt; Bảng tính vốn khả dụng</t>
        </is>
      </c>
      <c r="D3614" s="390" t="inlineStr">
        <is>
          <t xml:space="preserve">Tài sản ngắn hạn                                                                                              
</t>
        </is>
      </c>
      <c r="E3614" s="390" t="inlineStr">
        <is>
          <t xml:space="preserve">Tài sản ngắn hạn                                                                                              
</t>
        </is>
      </c>
      <c r="F3614" s="390" t="inlineStr">
        <is>
          <t>Data Explorer</t>
        </is>
      </c>
      <c r="G3614" s="390" t="inlineStr">
        <is>
          <t>Chỉ tiêu cơ sở</t>
        </is>
      </c>
      <c r="H3614" s="390" t="inlineStr">
        <is>
          <t>TB</t>
        </is>
      </c>
      <c r="I3614" s="390" t="inlineStr">
        <is>
          <t>Ngày, CTCK</t>
        </is>
      </c>
      <c r="J3614" s="401" t="inlineStr">
        <is>
          <t>SCMS</t>
        </is>
      </c>
      <c r="K3614" s="401" t="n"/>
      <c r="L3614" s="401" t="inlineStr">
        <is>
          <t>X</t>
        </is>
      </c>
      <c r="M3614" s="401" t="n"/>
      <c r="N3614" s="401" t="inlineStr">
        <is>
          <t>Done</t>
        </is>
      </c>
      <c r="O3614" s="401" t="n"/>
      <c r="P3614" s="401" t="n"/>
      <c r="S3614" s="401" t="n"/>
      <c r="U3614" s="401" t="n"/>
      <c r="V3614" s="22" t="n"/>
      <c r="W3614" s="22" t="n"/>
      <c r="X3614" s="22" t="n"/>
      <c r="Y3614" s="38" t="n"/>
      <c r="Z3614" s="22" t="n"/>
      <c r="AA3614" s="22" t="n"/>
      <c r="AB3614" s="22" t="n"/>
      <c r="AC3614" s="22" t="n"/>
      <c r="AD3614" s="22" t="n"/>
      <c r="AE3614" s="22" t="n"/>
    </row>
    <row r="3615" ht="70" customHeight="1" s="380">
      <c r="A3615" s="148" t="n">
        <v>131</v>
      </c>
      <c r="B3615" s="390" t="n"/>
      <c r="C3615" s="390" t="inlineStr">
        <is>
          <t>Báo cáo tỷ lệ an toàn tài chính - Chi nhánh công ty chứng khoán nước ngoài tại Việt Nam &gt;&gt; Bảng tính vốn khả dụng</t>
        </is>
      </c>
      <c r="D3615" s="390" t="inlineStr">
        <is>
          <t xml:space="preserve">Tài sản tài chính                                                                   
</t>
        </is>
      </c>
      <c r="E3615" s="390" t="inlineStr">
        <is>
          <t xml:space="preserve">Tài sản tài chính                                                                   
</t>
        </is>
      </c>
      <c r="F3615" s="390" t="inlineStr">
        <is>
          <t>Data Explorer</t>
        </is>
      </c>
      <c r="G3615" s="390" t="inlineStr">
        <is>
          <t>Chỉ tiêu cơ sở</t>
        </is>
      </c>
      <c r="H3615" s="390" t="inlineStr">
        <is>
          <t>TB</t>
        </is>
      </c>
      <c r="I3615" s="390" t="inlineStr">
        <is>
          <t>Ngày, CTCK</t>
        </is>
      </c>
      <c r="J3615" s="401" t="inlineStr">
        <is>
          <t>SCMS</t>
        </is>
      </c>
      <c r="K3615" s="401" t="n"/>
      <c r="L3615" s="401" t="inlineStr">
        <is>
          <t>X</t>
        </is>
      </c>
      <c r="M3615" s="401" t="n"/>
      <c r="N3615" s="401" t="inlineStr">
        <is>
          <t>Done</t>
        </is>
      </c>
      <c r="O3615" s="401" t="n"/>
      <c r="P3615" s="401" t="n"/>
      <c r="S3615" s="401" t="n"/>
      <c r="U3615" s="401" t="n"/>
      <c r="V3615" s="22" t="n"/>
      <c r="W3615" s="22" t="n"/>
      <c r="X3615" s="22" t="n"/>
      <c r="Y3615" s="38" t="n"/>
      <c r="Z3615" s="22" t="n"/>
      <c r="AA3615" s="22" t="n"/>
      <c r="AB3615" s="22" t="n"/>
      <c r="AC3615" s="22" t="n"/>
      <c r="AD3615" s="22" t="n"/>
      <c r="AE3615" s="22" t="n"/>
    </row>
    <row r="3616" ht="70" customHeight="1" s="380">
      <c r="A3616" s="148" t="n">
        <v>131</v>
      </c>
      <c r="B3616" s="390" t="n"/>
      <c r="C3616" s="390" t="inlineStr">
        <is>
          <t>Báo cáo tỷ lệ an toàn tài chính - Chi nhánh công ty chứng khoán nước ngoài tại Việt Nam &gt;&gt; Bảng tính vốn khả dụng</t>
        </is>
      </c>
      <c r="D3616" s="390" t="inlineStr">
        <is>
          <t xml:space="preserve">Tiền và các khoản tương đương tiền
</t>
        </is>
      </c>
      <c r="E3616" s="390" t="inlineStr">
        <is>
          <t xml:space="preserve">Tiền và các khoản tương đương tiền
</t>
        </is>
      </c>
      <c r="F3616" s="390" t="inlineStr">
        <is>
          <t>Data Explorer</t>
        </is>
      </c>
      <c r="G3616" s="390" t="inlineStr">
        <is>
          <t>Chỉ tiêu cơ sở</t>
        </is>
      </c>
      <c r="H3616" s="390" t="inlineStr">
        <is>
          <t>TB</t>
        </is>
      </c>
      <c r="I3616" s="390" t="inlineStr">
        <is>
          <t>Ngày, CTCK</t>
        </is>
      </c>
      <c r="J3616" s="401" t="inlineStr">
        <is>
          <t>SCMS</t>
        </is>
      </c>
      <c r="K3616" s="401" t="n"/>
      <c r="L3616" s="401" t="inlineStr">
        <is>
          <t>X</t>
        </is>
      </c>
      <c r="M3616" s="401" t="n"/>
      <c r="N3616" s="401" t="inlineStr">
        <is>
          <t>Done</t>
        </is>
      </c>
      <c r="O3616" s="401" t="n"/>
      <c r="P3616" s="401" t="n"/>
      <c r="S3616" s="401" t="n"/>
      <c r="U3616" s="401" t="n"/>
      <c r="V3616" s="22" t="n"/>
      <c r="W3616" s="22" t="n"/>
      <c r="X3616" s="22" t="n"/>
      <c r="Y3616" s="38" t="n"/>
      <c r="Z3616" s="22" t="n"/>
      <c r="AA3616" s="22" t="n"/>
      <c r="AB3616" s="22" t="n"/>
      <c r="AC3616" s="22" t="n"/>
      <c r="AD3616" s="22" t="n"/>
      <c r="AE3616" s="22" t="n"/>
    </row>
    <row r="3617" ht="70" customHeight="1" s="380">
      <c r="A3617" s="148" t="n">
        <v>131</v>
      </c>
      <c r="B3617" s="390" t="n"/>
      <c r="C3617" s="390" t="inlineStr">
        <is>
          <t>Báo cáo tỷ lệ an toàn tài chính - Chi nhánh công ty chứng khoán nước ngoài tại Việt Nam &gt;&gt; Bảng tính vốn khả dụng</t>
        </is>
      </c>
      <c r="D3617" s="390" t="inlineStr">
        <is>
          <t xml:space="preserve">Các tài sản tài chính ghi nhận thông qua lãi/lỗ (FVTPL)
</t>
        </is>
      </c>
      <c r="E3617" s="390" t="inlineStr">
        <is>
          <t xml:space="preserve">Các tài sản tài chính ghi nhận thông qua lãi/lỗ (FVTPL)
</t>
        </is>
      </c>
      <c r="F3617" s="390" t="inlineStr">
        <is>
          <t>Data Explorer</t>
        </is>
      </c>
      <c r="G3617" s="390" t="inlineStr">
        <is>
          <t>Chỉ tiêu cơ sở</t>
        </is>
      </c>
      <c r="H3617" s="390" t="inlineStr">
        <is>
          <t>TB</t>
        </is>
      </c>
      <c r="I3617" s="390" t="inlineStr">
        <is>
          <t>Ngày, CTCK</t>
        </is>
      </c>
      <c r="J3617" s="401" t="inlineStr">
        <is>
          <t>SCMS</t>
        </is>
      </c>
      <c r="K3617" s="401" t="n"/>
      <c r="L3617" s="401" t="inlineStr">
        <is>
          <t>X</t>
        </is>
      </c>
      <c r="M3617" s="401" t="n"/>
      <c r="N3617" s="401" t="inlineStr">
        <is>
          <t>Done</t>
        </is>
      </c>
      <c r="O3617" s="401" t="n"/>
      <c r="P3617" s="401" t="n"/>
      <c r="S3617" s="401" t="n"/>
      <c r="U3617" s="401" t="n"/>
      <c r="V3617" s="22" t="n"/>
      <c r="W3617" s="22" t="n"/>
      <c r="X3617" s="22" t="n"/>
      <c r="Y3617" s="38" t="n"/>
      <c r="Z3617" s="22" t="n"/>
      <c r="AA3617" s="22" t="n"/>
      <c r="AB3617" s="22" t="n"/>
      <c r="AC3617" s="22" t="n"/>
      <c r="AD3617" s="22" t="n"/>
      <c r="AE3617" s="22" t="n"/>
    </row>
    <row r="3618" ht="70" customHeight="1" s="380">
      <c r="A3618" s="148" t="n">
        <v>131</v>
      </c>
      <c r="B3618" s="390" t="n"/>
      <c r="C3618" s="390" t="inlineStr">
        <is>
          <t>Báo cáo tỷ lệ an toàn tài chính - Chi nhánh công ty chứng khoán nước ngoài tại Việt Nam &gt;&gt; Bảng tính vốn khả dụng</t>
        </is>
      </c>
      <c r="D3618" s="390" t="inlineStr">
        <is>
          <t xml:space="preserve">- Chứng khoán tiềm ẩn rủi ro thị trường
</t>
        </is>
      </c>
      <c r="E3618" s="390" t="inlineStr">
        <is>
          <t xml:space="preserve">- Chứng khoán tiềm ẩn rủi ro thị trường
</t>
        </is>
      </c>
      <c r="F3618" s="390" t="inlineStr">
        <is>
          <t>Data Explorer</t>
        </is>
      </c>
      <c r="G3618" s="390" t="inlineStr">
        <is>
          <t>Chỉ tiêu cơ sở</t>
        </is>
      </c>
      <c r="H3618" s="390" t="inlineStr">
        <is>
          <t>TB</t>
        </is>
      </c>
      <c r="I3618" s="390" t="inlineStr">
        <is>
          <t>Ngày, CTCK</t>
        </is>
      </c>
      <c r="J3618" s="401" t="inlineStr">
        <is>
          <t>SCMS</t>
        </is>
      </c>
      <c r="K3618" s="401" t="n"/>
      <c r="L3618" s="401" t="inlineStr">
        <is>
          <t>X</t>
        </is>
      </c>
      <c r="M3618" s="401" t="n"/>
      <c r="N3618" s="401" t="inlineStr">
        <is>
          <t>Done</t>
        </is>
      </c>
      <c r="O3618" s="401" t="n"/>
      <c r="P3618" s="401" t="n"/>
      <c r="S3618" s="401" t="n"/>
      <c r="U3618" s="401" t="n"/>
      <c r="V3618" s="22" t="n"/>
      <c r="W3618" s="22" t="n"/>
      <c r="X3618" s="22" t="n"/>
      <c r="Y3618" s="38" t="n"/>
      <c r="Z3618" s="22" t="n"/>
      <c r="AA3618" s="22" t="n"/>
      <c r="AB3618" s="22" t="n"/>
      <c r="AC3618" s="22" t="n"/>
      <c r="AD3618" s="22" t="n"/>
      <c r="AE3618" s="22" t="n"/>
    </row>
    <row r="3619" ht="70" customHeight="1" s="380">
      <c r="A3619" s="148" t="n">
        <v>131</v>
      </c>
      <c r="B3619" s="390" t="n"/>
      <c r="C3619" s="390" t="inlineStr">
        <is>
          <t>Báo cáo tỷ lệ an toàn tài chính - Chi nhánh công ty chứng khoán nước ngoài tại Việt Nam &gt;&gt; Bảng tính vốn khả dụng</t>
        </is>
      </c>
      <c r="D3619" s="390" t="inlineStr">
        <is>
          <t xml:space="preserve">- Chứng khoán bị giảm trừ khỏi vốn khả dụng
</t>
        </is>
      </c>
      <c r="E3619" s="390" t="inlineStr">
        <is>
          <t xml:space="preserve">- Chứng khoán bị giảm trừ khỏi vốn khả dụng
</t>
        </is>
      </c>
      <c r="F3619" s="390" t="inlineStr">
        <is>
          <t>Data Explorer</t>
        </is>
      </c>
      <c r="G3619" s="390" t="inlineStr">
        <is>
          <t>Chỉ tiêu cơ sở</t>
        </is>
      </c>
      <c r="H3619" s="390" t="inlineStr">
        <is>
          <t>TB</t>
        </is>
      </c>
      <c r="I3619" s="390" t="inlineStr">
        <is>
          <t>Ngày, CTCK</t>
        </is>
      </c>
      <c r="J3619" s="401" t="inlineStr">
        <is>
          <t>SCMS</t>
        </is>
      </c>
      <c r="K3619" s="401" t="n"/>
      <c r="L3619" s="401" t="inlineStr">
        <is>
          <t>X</t>
        </is>
      </c>
      <c r="M3619" s="401" t="n"/>
      <c r="N3619" s="401" t="inlineStr">
        <is>
          <t>Done</t>
        </is>
      </c>
      <c r="O3619" s="401" t="n"/>
      <c r="P3619" s="401" t="n"/>
      <c r="S3619" s="401" t="n"/>
      <c r="U3619" s="401" t="n"/>
      <c r="V3619" s="22" t="n"/>
      <c r="W3619" s="22" t="n"/>
      <c r="X3619" s="22" t="n"/>
      <c r="Y3619" s="38" t="n"/>
      <c r="Z3619" s="22" t="n"/>
      <c r="AA3619" s="22" t="n"/>
      <c r="AB3619" s="22" t="n"/>
      <c r="AC3619" s="22" t="n"/>
      <c r="AD3619" s="22" t="n"/>
      <c r="AE3619" s="22" t="n"/>
    </row>
    <row r="3620" ht="70" customHeight="1" s="380">
      <c r="A3620" s="148" t="n">
        <v>131</v>
      </c>
      <c r="B3620" s="390" t="n"/>
      <c r="C3620" s="390" t="inlineStr">
        <is>
          <t>Báo cáo tỷ lệ an toàn tài chính - Chi nhánh công ty chứng khoán nước ngoài tại Việt Nam &gt;&gt; Bảng tính vốn khả dụng</t>
        </is>
      </c>
      <c r="D3620" s="390" t="inlineStr">
        <is>
          <t xml:space="preserve">Các khoản đầu tư nắm giữ đến ngày đáo hạn (HTM)
</t>
        </is>
      </c>
      <c r="E3620" s="390" t="inlineStr">
        <is>
          <t xml:space="preserve">Các khoản đầu tư nắm giữ đến ngày đáo hạn (HTM)
</t>
        </is>
      </c>
      <c r="F3620" s="390" t="inlineStr">
        <is>
          <t>Data Explorer</t>
        </is>
      </c>
      <c r="G3620" s="390" t="inlineStr">
        <is>
          <t>Chỉ tiêu cơ sở</t>
        </is>
      </c>
      <c r="H3620" s="390" t="inlineStr">
        <is>
          <t>TB</t>
        </is>
      </c>
      <c r="I3620" s="390" t="inlineStr">
        <is>
          <t>Ngày, CTCK</t>
        </is>
      </c>
      <c r="J3620" s="401" t="inlineStr">
        <is>
          <t>SCMS</t>
        </is>
      </c>
      <c r="K3620" s="401" t="n"/>
      <c r="L3620" s="401" t="inlineStr">
        <is>
          <t>X</t>
        </is>
      </c>
      <c r="M3620" s="401" t="n"/>
      <c r="N3620" s="401" t="inlineStr">
        <is>
          <t>Done</t>
        </is>
      </c>
      <c r="O3620" s="401" t="n"/>
      <c r="P3620" s="401" t="n"/>
      <c r="S3620" s="401" t="n"/>
      <c r="U3620" s="401" t="n"/>
      <c r="V3620" s="22" t="n"/>
      <c r="W3620" s="22" t="n"/>
      <c r="X3620" s="22" t="n"/>
      <c r="Y3620" s="38" t="n"/>
      <c r="Z3620" s="22" t="n"/>
      <c r="AA3620" s="22" t="n"/>
      <c r="AB3620" s="22" t="n"/>
      <c r="AC3620" s="22" t="n"/>
      <c r="AD3620" s="22" t="n"/>
      <c r="AE3620" s="22" t="n"/>
    </row>
    <row r="3621" ht="70" customHeight="1" s="380">
      <c r="A3621" s="148" t="n">
        <v>131</v>
      </c>
      <c r="B3621" s="390" t="n"/>
      <c r="C3621" s="390" t="inlineStr">
        <is>
          <t>Báo cáo tỷ lệ an toàn tài chính - Chi nhánh công ty chứng khoán nước ngoài tại Việt Nam &gt;&gt; Bảng tính vốn khả dụng</t>
        </is>
      </c>
      <c r="D3621" s="390" t="inlineStr">
        <is>
          <t xml:space="preserve">- Chứng khoán tiềm ẩn rủi ro thị trường
</t>
        </is>
      </c>
      <c r="E3621" s="390" t="inlineStr">
        <is>
          <t xml:space="preserve">- Chứng khoán tiềm ẩn rủi ro thị trường
</t>
        </is>
      </c>
      <c r="F3621" s="390" t="inlineStr">
        <is>
          <t>Data Explorer</t>
        </is>
      </c>
      <c r="G3621" s="390" t="inlineStr">
        <is>
          <t>Chỉ tiêu cơ sở</t>
        </is>
      </c>
      <c r="H3621" s="390" t="inlineStr">
        <is>
          <t>TB</t>
        </is>
      </c>
      <c r="I3621" s="390" t="inlineStr">
        <is>
          <t>Ngày, CTCK</t>
        </is>
      </c>
      <c r="J3621" s="401" t="inlineStr">
        <is>
          <t>SCMS</t>
        </is>
      </c>
      <c r="K3621" s="401" t="n"/>
      <c r="L3621" s="401" t="inlineStr">
        <is>
          <t>X</t>
        </is>
      </c>
      <c r="M3621" s="401" t="n"/>
      <c r="N3621" s="401" t="inlineStr">
        <is>
          <t>Done</t>
        </is>
      </c>
      <c r="O3621" s="401" t="n"/>
      <c r="P3621" s="401" t="n"/>
      <c r="S3621" s="401" t="n"/>
      <c r="U3621" s="401" t="n"/>
      <c r="V3621" s="22" t="n"/>
      <c r="W3621" s="22" t="n"/>
      <c r="X3621" s="22" t="n"/>
      <c r="Y3621" s="38" t="n"/>
      <c r="Z3621" s="22" t="n"/>
      <c r="AA3621" s="22" t="n"/>
      <c r="AB3621" s="22" t="n"/>
      <c r="AC3621" s="22" t="n"/>
      <c r="AD3621" s="22" t="n"/>
      <c r="AE3621" s="22" t="n"/>
    </row>
    <row r="3622" ht="70" customHeight="1" s="380">
      <c r="A3622" s="148" t="n">
        <v>131</v>
      </c>
      <c r="B3622" s="390" t="n"/>
      <c r="C3622" s="390" t="inlineStr">
        <is>
          <t>Báo cáo tỷ lệ an toàn tài chính - Chi nhánh công ty chứng khoán nước ngoài tại Việt Nam &gt;&gt; Bảng tính vốn khả dụng</t>
        </is>
      </c>
      <c r="D3622" s="390" t="inlineStr">
        <is>
          <t xml:space="preserve">- Chứng khoán bị giảm trừ khỏi vốn khả dụng
</t>
        </is>
      </c>
      <c r="E3622" s="390" t="inlineStr">
        <is>
          <t xml:space="preserve">- Chứng khoán bị giảm trừ khỏi vốn khả dụng
</t>
        </is>
      </c>
      <c r="F3622" s="390" t="inlineStr">
        <is>
          <t>Data Explorer</t>
        </is>
      </c>
      <c r="G3622" s="390" t="inlineStr">
        <is>
          <t>Chỉ tiêu cơ sở</t>
        </is>
      </c>
      <c r="H3622" s="390" t="inlineStr">
        <is>
          <t>TB</t>
        </is>
      </c>
      <c r="I3622" s="390" t="inlineStr">
        <is>
          <t>Ngày, CTCK</t>
        </is>
      </c>
      <c r="J3622" s="401" t="inlineStr">
        <is>
          <t>SCMS</t>
        </is>
      </c>
      <c r="K3622" s="401" t="n"/>
      <c r="L3622" s="401" t="inlineStr">
        <is>
          <t>X</t>
        </is>
      </c>
      <c r="M3622" s="401" t="n"/>
      <c r="N3622" s="401" t="inlineStr">
        <is>
          <t>Done</t>
        </is>
      </c>
      <c r="O3622" s="401" t="n"/>
      <c r="P3622" s="401" t="n"/>
      <c r="S3622" s="401" t="n"/>
      <c r="U3622" s="401" t="n"/>
      <c r="V3622" s="22" t="n"/>
      <c r="W3622" s="22" t="n"/>
      <c r="X3622" s="22" t="n"/>
      <c r="Y3622" s="38" t="n"/>
      <c r="Z3622" s="22" t="n"/>
      <c r="AA3622" s="22" t="n"/>
      <c r="AB3622" s="22" t="n"/>
      <c r="AC3622" s="22" t="n"/>
      <c r="AD3622" s="22" t="n"/>
      <c r="AE3622" s="22" t="n"/>
    </row>
    <row r="3623" ht="70" customHeight="1" s="380">
      <c r="A3623" s="148" t="n">
        <v>131</v>
      </c>
      <c r="B3623" s="390" t="n"/>
      <c r="C3623" s="390" t="inlineStr">
        <is>
          <t>Báo cáo tỷ lệ an toàn tài chính - Chi nhánh công ty chứng khoán nước ngoài tại Việt Nam &gt;&gt; Bảng tính vốn khả dụng</t>
        </is>
      </c>
      <c r="D3623" s="390" t="inlineStr">
        <is>
          <t xml:space="preserve">Các khoản cho vay
</t>
        </is>
      </c>
      <c r="E3623" s="390" t="inlineStr">
        <is>
          <t xml:space="preserve">Các khoản cho vay
</t>
        </is>
      </c>
      <c r="F3623" s="390" t="inlineStr">
        <is>
          <t>Data Explorer</t>
        </is>
      </c>
      <c r="G3623" s="390" t="inlineStr">
        <is>
          <t>Chỉ tiêu cơ sở</t>
        </is>
      </c>
      <c r="H3623" s="390" t="inlineStr">
        <is>
          <t>TB</t>
        </is>
      </c>
      <c r="I3623" s="390" t="inlineStr">
        <is>
          <t>Ngày, CTCK</t>
        </is>
      </c>
      <c r="J3623" s="401" t="inlineStr">
        <is>
          <t>SCMS</t>
        </is>
      </c>
      <c r="K3623" s="401" t="n"/>
      <c r="L3623" s="401" t="inlineStr">
        <is>
          <t>X</t>
        </is>
      </c>
      <c r="M3623" s="401" t="n"/>
      <c r="N3623" s="401" t="inlineStr">
        <is>
          <t>Done</t>
        </is>
      </c>
      <c r="O3623" s="401" t="n"/>
      <c r="P3623" s="401" t="n"/>
      <c r="S3623" s="401" t="n"/>
      <c r="U3623" s="401" t="n"/>
      <c r="V3623" s="22" t="n"/>
      <c r="W3623" s="22" t="n"/>
      <c r="X3623" s="22" t="n"/>
      <c r="Y3623" s="38" t="n"/>
      <c r="Z3623" s="22" t="n"/>
      <c r="AA3623" s="22" t="n"/>
      <c r="AB3623" s="22" t="n"/>
      <c r="AC3623" s="22" t="n"/>
      <c r="AD3623" s="22" t="n"/>
      <c r="AE3623" s="22" t="n"/>
    </row>
    <row r="3624" ht="70" customHeight="1" s="380">
      <c r="A3624" s="148" t="n">
        <v>131</v>
      </c>
      <c r="B3624" s="390" t="n"/>
      <c r="C3624" s="390" t="inlineStr">
        <is>
          <t>Báo cáo tỷ lệ an toàn tài chính - Chi nhánh công ty chứng khoán nước ngoài tại Việt Nam &gt;&gt; Bảng tính vốn khả dụng</t>
        </is>
      </c>
      <c r="D3624" s="390" t="inlineStr">
        <is>
          <t xml:space="preserve">Tài sản tài chính sẵn sàng để bán (AFS)
</t>
        </is>
      </c>
      <c r="E3624" s="390" t="inlineStr">
        <is>
          <t xml:space="preserve">Tài sản tài chính sẵn sàng để bán (AFS)
</t>
        </is>
      </c>
      <c r="F3624" s="390" t="inlineStr">
        <is>
          <t>Data Explorer</t>
        </is>
      </c>
      <c r="G3624" s="390" t="inlineStr">
        <is>
          <t>Chỉ tiêu cơ sở</t>
        </is>
      </c>
      <c r="H3624" s="390" t="inlineStr">
        <is>
          <t>TB</t>
        </is>
      </c>
      <c r="I3624" s="390" t="inlineStr">
        <is>
          <t>Ngày, CTCK</t>
        </is>
      </c>
      <c r="J3624" s="401" t="inlineStr">
        <is>
          <t>SCMS</t>
        </is>
      </c>
      <c r="K3624" s="401" t="n"/>
      <c r="L3624" s="401" t="inlineStr">
        <is>
          <t>X</t>
        </is>
      </c>
      <c r="M3624" s="401" t="n"/>
      <c r="N3624" s="401" t="inlineStr">
        <is>
          <t>Done</t>
        </is>
      </c>
      <c r="O3624" s="401" t="n"/>
      <c r="P3624" s="401" t="n"/>
      <c r="S3624" s="401" t="n"/>
      <c r="U3624" s="401" t="n"/>
      <c r="V3624" s="22" t="n"/>
      <c r="W3624" s="22" t="n"/>
      <c r="X3624" s="22" t="n"/>
      <c r="Y3624" s="38" t="n"/>
      <c r="Z3624" s="22" t="n"/>
      <c r="AA3624" s="22" t="n"/>
      <c r="AB3624" s="22" t="n"/>
      <c r="AC3624" s="22" t="n"/>
      <c r="AD3624" s="22" t="n"/>
      <c r="AE3624" s="22" t="n"/>
    </row>
    <row r="3625" ht="70" customHeight="1" s="380">
      <c r="A3625" s="148" t="n">
        <v>131</v>
      </c>
      <c r="B3625" s="390" t="n"/>
      <c r="C3625" s="390" t="inlineStr">
        <is>
          <t>Báo cáo tỷ lệ an toàn tài chính - Chi nhánh công ty chứng khoán nước ngoài tại Việt Nam &gt;&gt; Bảng tính vốn khả dụng</t>
        </is>
      </c>
      <c r="D3625" s="390" t="inlineStr">
        <is>
          <t xml:space="preserve">- Chứng khoán tiềm ẩn rủi ro thị trường
</t>
        </is>
      </c>
      <c r="E3625" s="390" t="inlineStr">
        <is>
          <t xml:space="preserve">- Chứng khoán tiềm ẩn rủi ro thị trường
</t>
        </is>
      </c>
      <c r="F3625" s="390" t="inlineStr">
        <is>
          <t>Data Explorer</t>
        </is>
      </c>
      <c r="G3625" s="390" t="inlineStr">
        <is>
          <t>Chỉ tiêu cơ sở</t>
        </is>
      </c>
      <c r="H3625" s="390" t="inlineStr">
        <is>
          <t>TB</t>
        </is>
      </c>
      <c r="I3625" s="390" t="inlineStr">
        <is>
          <t>Ngày, CTCK</t>
        </is>
      </c>
      <c r="J3625" s="401" t="inlineStr">
        <is>
          <t>SCMS</t>
        </is>
      </c>
      <c r="K3625" s="401" t="n"/>
      <c r="L3625" s="401" t="inlineStr">
        <is>
          <t>X</t>
        </is>
      </c>
      <c r="M3625" s="401" t="n"/>
      <c r="N3625" s="401" t="inlineStr">
        <is>
          <t>Done</t>
        </is>
      </c>
      <c r="O3625" s="401" t="n"/>
      <c r="P3625" s="401" t="n"/>
      <c r="S3625" s="401" t="n"/>
      <c r="U3625" s="401" t="n"/>
      <c r="V3625" s="22" t="n"/>
      <c r="W3625" s="22" t="n"/>
      <c r="X3625" s="22" t="n"/>
      <c r="Y3625" s="38" t="n"/>
      <c r="Z3625" s="22" t="n"/>
      <c r="AA3625" s="22" t="n"/>
      <c r="AB3625" s="22" t="n"/>
      <c r="AC3625" s="22" t="n"/>
      <c r="AD3625" s="22" t="n"/>
      <c r="AE3625" s="22" t="n"/>
    </row>
    <row r="3626" ht="70" customHeight="1" s="380">
      <c r="A3626" s="148" t="n">
        <v>131</v>
      </c>
      <c r="B3626" s="390" t="n"/>
      <c r="C3626" s="390" t="inlineStr">
        <is>
          <t>Báo cáo tỷ lệ an toàn tài chính - Chi nhánh công ty chứng khoán nước ngoài tại Việt Nam &gt;&gt; Bảng tính vốn khả dụng</t>
        </is>
      </c>
      <c r="D3626" s="390" t="inlineStr">
        <is>
          <t>- Chứng khoán bị giảm trừ khỏi vốn khả dụng</t>
        </is>
      </c>
      <c r="E3626" s="390" t="inlineStr">
        <is>
          <t>- Chứng khoán bị giảm trừ khỏi vốn khả dụng</t>
        </is>
      </c>
      <c r="F3626" s="390" t="inlineStr">
        <is>
          <t>Data Explorer</t>
        </is>
      </c>
      <c r="G3626" s="390" t="inlineStr">
        <is>
          <t>Chỉ tiêu cơ sở</t>
        </is>
      </c>
      <c r="H3626" s="390" t="inlineStr">
        <is>
          <t>TB</t>
        </is>
      </c>
      <c r="I3626" s="390" t="inlineStr">
        <is>
          <t>Ngày, CTCK</t>
        </is>
      </c>
      <c r="J3626" s="401" t="inlineStr">
        <is>
          <t>SCMS</t>
        </is>
      </c>
      <c r="K3626" s="401" t="n"/>
      <c r="L3626" s="401" t="inlineStr">
        <is>
          <t>X</t>
        </is>
      </c>
      <c r="M3626" s="401" t="n"/>
      <c r="N3626" s="401" t="inlineStr">
        <is>
          <t>Done</t>
        </is>
      </c>
      <c r="O3626" s="401" t="n"/>
      <c r="P3626" s="401" t="n"/>
      <c r="S3626" s="401" t="n"/>
      <c r="U3626" s="401" t="n"/>
      <c r="V3626" s="22" t="n"/>
      <c r="W3626" s="22" t="n"/>
      <c r="X3626" s="22" t="n"/>
      <c r="Y3626" s="38" t="n"/>
      <c r="Z3626" s="22" t="n"/>
      <c r="AA3626" s="22" t="n"/>
      <c r="AB3626" s="22" t="n"/>
      <c r="AC3626" s="22" t="n"/>
      <c r="AD3626" s="22" t="n"/>
      <c r="AE3626" s="22" t="n"/>
    </row>
    <row r="3627" ht="70" customHeight="1" s="380">
      <c r="A3627" s="148" t="n">
        <v>131</v>
      </c>
      <c r="B3627" s="390" t="n"/>
      <c r="C3627" s="390" t="inlineStr">
        <is>
          <t>Báo cáo tỷ lệ an toàn tài chính - Chi nhánh công ty chứng khoán nước ngoài tại Việt Nam &gt;&gt; Bảng tính vốn khả dụng</t>
        </is>
      </c>
      <c r="D3627" s="390" t="inlineStr">
        <is>
          <t xml:space="preserve">Dự phòng suy giảm giá trị các tài sản tài chính và tài sản thế chấp
</t>
        </is>
      </c>
      <c r="E3627" s="390" t="inlineStr">
        <is>
          <t xml:space="preserve">Dự phòng suy giảm giá trị các tài sản tài chính và tài sản thế chấp
</t>
        </is>
      </c>
      <c r="F3627" s="390" t="inlineStr">
        <is>
          <t>Data Explorer</t>
        </is>
      </c>
      <c r="G3627" s="390" t="inlineStr">
        <is>
          <t>Chỉ tiêu cơ sở</t>
        </is>
      </c>
      <c r="H3627" s="390" t="inlineStr">
        <is>
          <t>TB</t>
        </is>
      </c>
      <c r="I3627" s="390" t="inlineStr">
        <is>
          <t>Ngày, CTCK</t>
        </is>
      </c>
      <c r="J3627" s="401" t="inlineStr">
        <is>
          <t>SCMS</t>
        </is>
      </c>
      <c r="K3627" s="401" t="n"/>
      <c r="L3627" s="401" t="inlineStr">
        <is>
          <t>X</t>
        </is>
      </c>
      <c r="M3627" s="401" t="n"/>
      <c r="N3627" s="401" t="inlineStr">
        <is>
          <t>Done</t>
        </is>
      </c>
      <c r="O3627" s="401" t="n"/>
      <c r="P3627" s="401" t="n"/>
      <c r="S3627" s="401" t="n"/>
      <c r="U3627" s="401" t="n"/>
      <c r="V3627" s="22" t="n"/>
      <c r="W3627" s="22" t="n"/>
      <c r="X3627" s="22" t="n"/>
      <c r="Y3627" s="38" t="n"/>
      <c r="Z3627" s="22" t="n"/>
      <c r="AA3627" s="22" t="n"/>
      <c r="AB3627" s="22" t="n"/>
      <c r="AC3627" s="22" t="n"/>
      <c r="AD3627" s="22" t="n"/>
      <c r="AE3627" s="22" t="n"/>
    </row>
    <row r="3628" ht="84" customHeight="1" s="380">
      <c r="A3628" s="148" t="n">
        <v>131</v>
      </c>
      <c r="B3628" s="390" t="n"/>
      <c r="C3628" s="390" t="inlineStr">
        <is>
          <t>Báo cáo tỷ lệ an toàn tài chính - Chi nhánh công ty chứng khoán nước ngoài tại Việt Nam &gt;&gt; Bảng tính vốn khả dụng</t>
        </is>
      </c>
      <c r="D3628" s="390" t="inlineStr">
        <is>
          <t xml:space="preserve">Các khoản phải thu (Phải thu bán các tài sản tài chính; Phải thu và dự thu cổ tức, tiền lãi từ các tài sản tài chính)
</t>
        </is>
      </c>
      <c r="E3628" s="390" t="inlineStr">
        <is>
          <t xml:space="preserve">Các khoản phải thu (Phải thu bán các tài sản tài chính; Phải thu và dự thu cổ tức, tiền lãi từ các tài sản tài chính)
</t>
        </is>
      </c>
      <c r="F3628" s="390" t="inlineStr">
        <is>
          <t>Data Explorer</t>
        </is>
      </c>
      <c r="G3628" s="390" t="inlineStr">
        <is>
          <t>Chỉ tiêu cơ sở</t>
        </is>
      </c>
      <c r="H3628" s="390" t="inlineStr">
        <is>
          <t>TB</t>
        </is>
      </c>
      <c r="I3628" s="390" t="inlineStr">
        <is>
          <t>Ngày, CTCK</t>
        </is>
      </c>
      <c r="J3628" s="401" t="inlineStr">
        <is>
          <t>SCMS</t>
        </is>
      </c>
      <c r="K3628" s="401" t="n"/>
      <c r="L3628" s="401" t="inlineStr">
        <is>
          <t>X</t>
        </is>
      </c>
      <c r="M3628" s="401" t="n"/>
      <c r="N3628" s="401" t="inlineStr">
        <is>
          <t>Done</t>
        </is>
      </c>
      <c r="O3628" s="401" t="n"/>
      <c r="P3628" s="401" t="n"/>
      <c r="S3628" s="401" t="n"/>
      <c r="U3628" s="401" t="n"/>
      <c r="V3628" s="22" t="n"/>
      <c r="W3628" s="22" t="n"/>
      <c r="X3628" s="22" t="n"/>
      <c r="Y3628" s="38" t="n"/>
      <c r="Z3628" s="22" t="n"/>
      <c r="AA3628" s="22" t="n"/>
      <c r="AB3628" s="22" t="n"/>
      <c r="AC3628" s="22" t="n"/>
      <c r="AD3628" s="22" t="n"/>
      <c r="AE3628" s="22" t="n"/>
    </row>
    <row r="3629" ht="70" customHeight="1" s="380">
      <c r="A3629" s="148" t="n">
        <v>131</v>
      </c>
      <c r="B3629" s="390" t="n"/>
      <c r="C3629" s="390" t="inlineStr">
        <is>
          <t>Báo cáo tỷ lệ an toàn tài chính - Chi nhánh công ty chứng khoán nước ngoài tại Việt Nam &gt;&gt; Bảng tính vốn khả dụng</t>
        </is>
      </c>
      <c r="D3629" s="390" t="inlineStr">
        <is>
          <t xml:space="preserve">- Các khoản phải thu có thời hạn thanh toán còn lại từ 90 ngày trở xuống
</t>
        </is>
      </c>
      <c r="E3629" s="390" t="inlineStr">
        <is>
          <t xml:space="preserve">- Các khoản phải thu có thời hạn thanh toán còn lại từ 90 ngày trở xuống
</t>
        </is>
      </c>
      <c r="F3629" s="390" t="inlineStr">
        <is>
          <t>Data Explorer</t>
        </is>
      </c>
      <c r="G3629" s="390" t="inlineStr">
        <is>
          <t>Chỉ tiêu cơ sở</t>
        </is>
      </c>
      <c r="H3629" s="390" t="inlineStr">
        <is>
          <t>TB</t>
        </is>
      </c>
      <c r="I3629" s="390" t="inlineStr">
        <is>
          <t>Ngày, CTCK</t>
        </is>
      </c>
      <c r="J3629" s="401" t="inlineStr">
        <is>
          <t>SCMS</t>
        </is>
      </c>
      <c r="K3629" s="401" t="n"/>
      <c r="L3629" s="401" t="inlineStr">
        <is>
          <t>X</t>
        </is>
      </c>
      <c r="M3629" s="401" t="n"/>
      <c r="N3629" s="401" t="inlineStr">
        <is>
          <t>Done</t>
        </is>
      </c>
      <c r="O3629" s="401" t="n"/>
      <c r="P3629" s="401" t="n"/>
      <c r="S3629" s="401" t="n"/>
      <c r="U3629" s="401" t="n"/>
      <c r="V3629" s="22" t="n"/>
      <c r="W3629" s="22" t="n"/>
      <c r="X3629" s="22" t="n"/>
      <c r="Y3629" s="38" t="n"/>
      <c r="Z3629" s="22" t="n"/>
      <c r="AA3629" s="22" t="n"/>
      <c r="AB3629" s="22" t="n"/>
      <c r="AC3629" s="22" t="n"/>
      <c r="AD3629" s="22" t="n"/>
      <c r="AE3629" s="22" t="n"/>
    </row>
    <row r="3630" ht="70" customHeight="1" s="380">
      <c r="A3630" s="148" t="n">
        <v>131</v>
      </c>
      <c r="B3630" s="390" t="n"/>
      <c r="C3630" s="390" t="inlineStr">
        <is>
          <t>Báo cáo tỷ lệ an toàn tài chính - Chi nhánh công ty chứng khoán nước ngoài tại Việt Nam &gt;&gt; Bảng tính vốn khả dụng</t>
        </is>
      </c>
      <c r="D3630" s="390" t="inlineStr">
        <is>
          <t xml:space="preserve">- Các khoản phải thu có thời hạn thanh toán còn lại trên 90 ngày
</t>
        </is>
      </c>
      <c r="E3630" s="390" t="inlineStr">
        <is>
          <t xml:space="preserve">- Các khoản phải thu có thời hạn thanh toán còn lại trên 90 ngày
</t>
        </is>
      </c>
      <c r="F3630" s="390" t="inlineStr">
        <is>
          <t>Data Explorer</t>
        </is>
      </c>
      <c r="G3630" s="390" t="inlineStr">
        <is>
          <t>Chỉ tiêu cơ sở</t>
        </is>
      </c>
      <c r="H3630" s="390" t="inlineStr">
        <is>
          <t>TB</t>
        </is>
      </c>
      <c r="I3630" s="390" t="inlineStr">
        <is>
          <t>Ngày, CTCK</t>
        </is>
      </c>
      <c r="J3630" s="401" t="inlineStr">
        <is>
          <t>SCMS</t>
        </is>
      </c>
      <c r="K3630" s="401" t="n"/>
      <c r="L3630" s="401" t="inlineStr">
        <is>
          <t>X</t>
        </is>
      </c>
      <c r="M3630" s="401" t="n"/>
      <c r="N3630" s="401" t="inlineStr">
        <is>
          <t>Done</t>
        </is>
      </c>
      <c r="O3630" s="401" t="n"/>
      <c r="P3630" s="401" t="n"/>
      <c r="S3630" s="401" t="n"/>
      <c r="U3630" s="401" t="n"/>
      <c r="V3630" s="22" t="n"/>
      <c r="W3630" s="22" t="n"/>
      <c r="X3630" s="22" t="n"/>
      <c r="Y3630" s="38" t="n"/>
      <c r="Z3630" s="22" t="n"/>
      <c r="AA3630" s="22" t="n"/>
      <c r="AB3630" s="22" t="n"/>
      <c r="AC3630" s="22" t="n"/>
      <c r="AD3630" s="22" t="n"/>
      <c r="AE3630" s="22" t="n"/>
    </row>
    <row r="3631" ht="70" customHeight="1" s="380">
      <c r="A3631" s="148" t="n">
        <v>131</v>
      </c>
      <c r="B3631" s="390" t="n"/>
      <c r="C3631" s="390" t="inlineStr">
        <is>
          <t>Báo cáo tỷ lệ an toàn tài chính - Chi nhánh công ty chứng khoán nước ngoài tại Việt Nam &gt;&gt; Bảng tính vốn khả dụng</t>
        </is>
      </c>
      <c r="D3631" s="390" t="inlineStr">
        <is>
          <t xml:space="preserve">- Phải thu còn hạn nhưng đối tác mất khả năng thanh toán
</t>
        </is>
      </c>
      <c r="E3631" s="390" t="inlineStr">
        <is>
          <t xml:space="preserve">- Phải thu còn hạn nhưng đối tác mất khả năng thanh toán
</t>
        </is>
      </c>
      <c r="F3631" s="390" t="inlineStr">
        <is>
          <t>Data Explorer</t>
        </is>
      </c>
      <c r="G3631" s="390" t="inlineStr">
        <is>
          <t>Chỉ tiêu cơ sở</t>
        </is>
      </c>
      <c r="H3631" s="390" t="inlineStr">
        <is>
          <t>TB</t>
        </is>
      </c>
      <c r="I3631" s="390" t="inlineStr">
        <is>
          <t>Ngày, CTCK</t>
        </is>
      </c>
      <c r="J3631" s="401" t="inlineStr">
        <is>
          <t>SCMS</t>
        </is>
      </c>
      <c r="K3631" s="401" t="n"/>
      <c r="L3631" s="401" t="inlineStr">
        <is>
          <t>X</t>
        </is>
      </c>
      <c r="M3631" s="401" t="n"/>
      <c r="N3631" s="401" t="inlineStr">
        <is>
          <t>Done</t>
        </is>
      </c>
      <c r="O3631" s="401" t="n"/>
      <c r="P3631" s="401" t="n"/>
      <c r="S3631" s="401" t="n"/>
      <c r="U3631" s="401" t="n"/>
      <c r="V3631" s="22" t="n"/>
      <c r="W3631" s="22" t="n"/>
      <c r="X3631" s="22" t="n"/>
      <c r="Y3631" s="38" t="n"/>
      <c r="Z3631" s="22" t="n"/>
      <c r="AA3631" s="22" t="n"/>
      <c r="AB3631" s="22" t="n"/>
      <c r="AC3631" s="22" t="n"/>
      <c r="AD3631" s="22" t="n"/>
      <c r="AE3631" s="22" t="n"/>
    </row>
    <row r="3632" ht="70" customHeight="1" s="380">
      <c r="A3632" s="148" t="n">
        <v>131</v>
      </c>
      <c r="B3632" s="390" t="n"/>
      <c r="C3632" s="390" t="inlineStr">
        <is>
          <t>Báo cáo tỷ lệ an toàn tài chính - Chi nhánh công ty chứng khoán nước ngoài tại Việt Nam &gt;&gt; Bảng tính vốn khả dụng</t>
        </is>
      </c>
      <c r="D3632" s="390" t="inlineStr">
        <is>
          <t xml:space="preserve">Chứng quyền có bảo đảm chưa phát hành hết
</t>
        </is>
      </c>
      <c r="E3632" s="390" t="inlineStr">
        <is>
          <t xml:space="preserve">Chứng quyền có bảo đảm chưa phát hành hết
</t>
        </is>
      </c>
      <c r="F3632" s="390" t="inlineStr">
        <is>
          <t>Data Explorer</t>
        </is>
      </c>
      <c r="G3632" s="390" t="inlineStr">
        <is>
          <t>Chỉ tiêu cơ sở</t>
        </is>
      </c>
      <c r="H3632" s="390" t="inlineStr">
        <is>
          <t>TB</t>
        </is>
      </c>
      <c r="I3632" s="390" t="inlineStr">
        <is>
          <t>Ngày, CTCK</t>
        </is>
      </c>
      <c r="J3632" s="401" t="inlineStr">
        <is>
          <t>SCMS</t>
        </is>
      </c>
      <c r="K3632" s="401" t="n"/>
      <c r="L3632" s="401" t="inlineStr">
        <is>
          <t>X</t>
        </is>
      </c>
      <c r="M3632" s="401" t="n"/>
      <c r="N3632" s="401" t="inlineStr">
        <is>
          <t>Done</t>
        </is>
      </c>
      <c r="O3632" s="401" t="n"/>
      <c r="P3632" s="401" t="n"/>
      <c r="S3632" s="401" t="n"/>
      <c r="U3632" s="401" t="n"/>
      <c r="V3632" s="22" t="n"/>
      <c r="W3632" s="22" t="n"/>
      <c r="X3632" s="22" t="n"/>
      <c r="Y3632" s="38" t="n"/>
      <c r="Z3632" s="22" t="n"/>
      <c r="AA3632" s="22" t="n"/>
      <c r="AB3632" s="22" t="n"/>
      <c r="AC3632" s="22" t="n"/>
      <c r="AD3632" s="22" t="n"/>
      <c r="AE3632" s="22" t="n"/>
    </row>
    <row r="3633" ht="84" customHeight="1" s="380">
      <c r="A3633" s="148" t="n">
        <v>131</v>
      </c>
      <c r="B3633" s="390" t="n"/>
      <c r="C3633" s="390" t="inlineStr">
        <is>
          <t>Báo cáo tỷ lệ an toàn tài chính - Chi nhánh công ty chứng khoán nước ngoài tại Việt Nam &gt;&gt; Bảng tính vốn khả dụng</t>
        </is>
      </c>
      <c r="D3633" s="390" t="inlineStr">
        <is>
          <t xml:space="preserve">Chứng khoán cơ sở phục vụ mục đích phòng ngừa rủi ro khi phát hành chứng quyền có bảo đảm			
</t>
        </is>
      </c>
      <c r="E3633" s="390" t="inlineStr">
        <is>
          <t xml:space="preserve">Chứng khoán cơ sở phục vụ mục đích phòng ngừa rủi ro khi phát hành chứng quyền có bảo đảm			
</t>
        </is>
      </c>
      <c r="F3633" s="390" t="inlineStr">
        <is>
          <t>Data Explorer</t>
        </is>
      </c>
      <c r="G3633" s="390" t="inlineStr">
        <is>
          <t>Chỉ tiêu cơ sở</t>
        </is>
      </c>
      <c r="H3633" s="390" t="inlineStr">
        <is>
          <t>TB</t>
        </is>
      </c>
      <c r="I3633" s="390" t="inlineStr">
        <is>
          <t>Ngày, CTCK</t>
        </is>
      </c>
      <c r="J3633" s="401" t="inlineStr">
        <is>
          <t>SCMS</t>
        </is>
      </c>
      <c r="K3633" s="401" t="n"/>
      <c r="L3633" s="401" t="inlineStr">
        <is>
          <t>X</t>
        </is>
      </c>
      <c r="M3633" s="401" t="n"/>
      <c r="N3633" s="401" t="inlineStr">
        <is>
          <t>Done</t>
        </is>
      </c>
      <c r="O3633" s="401" t="n"/>
      <c r="P3633" s="401" t="n"/>
      <c r="S3633" s="401" t="n"/>
      <c r="U3633" s="401" t="n"/>
      <c r="V3633" s="22" t="n"/>
      <c r="W3633" s="22" t="n"/>
      <c r="X3633" s="22" t="n"/>
      <c r="Y3633" s="38" t="n"/>
      <c r="Z3633" s="22" t="n"/>
      <c r="AA3633" s="22" t="n"/>
      <c r="AB3633" s="22" t="n"/>
      <c r="AC3633" s="22" t="n"/>
      <c r="AD3633" s="22" t="n"/>
      <c r="AE3633" s="22" t="n"/>
    </row>
    <row r="3634" ht="70" customHeight="1" s="380">
      <c r="A3634" s="148" t="n">
        <v>131</v>
      </c>
      <c r="B3634" s="390" t="n"/>
      <c r="C3634" s="390" t="inlineStr">
        <is>
          <t>Báo cáo tỷ lệ an toàn tài chính - Chi nhánh công ty chứng khoán nước ngoài tại Việt Nam &gt;&gt; Bảng tính vốn khả dụng</t>
        </is>
      </c>
      <c r="D3634" s="390" t="inlineStr">
        <is>
          <t xml:space="preserve">Phải thu các dịch vụ công ty chứng khoán cung cấp			</t>
        </is>
      </c>
      <c r="E3634" s="390" t="inlineStr">
        <is>
          <t xml:space="preserve">Phải thu các dịch vụ công ty chứng khoán cung cấp			</t>
        </is>
      </c>
      <c r="F3634" s="390" t="inlineStr">
        <is>
          <t>Data Explorer</t>
        </is>
      </c>
      <c r="G3634" s="390" t="inlineStr">
        <is>
          <t>Chỉ tiêu cơ sở</t>
        </is>
      </c>
      <c r="H3634" s="390" t="inlineStr">
        <is>
          <t>TB</t>
        </is>
      </c>
      <c r="I3634" s="390" t="inlineStr">
        <is>
          <t>Ngày, CTCK</t>
        </is>
      </c>
      <c r="J3634" s="401" t="inlineStr">
        <is>
          <t>SCMS</t>
        </is>
      </c>
      <c r="K3634" s="401" t="n"/>
      <c r="L3634" s="401" t="inlineStr">
        <is>
          <t>X</t>
        </is>
      </c>
      <c r="M3634" s="401" t="n"/>
      <c r="N3634" s="401" t="inlineStr">
        <is>
          <t>Done</t>
        </is>
      </c>
      <c r="O3634" s="401" t="n"/>
      <c r="P3634" s="401" t="n"/>
      <c r="S3634" s="401" t="n"/>
      <c r="U3634" s="401" t="n"/>
      <c r="V3634" s="22" t="n"/>
      <c r="W3634" s="22" t="n"/>
      <c r="X3634" s="22" t="n"/>
      <c r="Y3634" s="38" t="n"/>
      <c r="Z3634" s="22" t="n"/>
      <c r="AA3634" s="22" t="n"/>
      <c r="AB3634" s="22" t="n"/>
      <c r="AC3634" s="22" t="n"/>
      <c r="AD3634" s="22" t="n"/>
      <c r="AE3634" s="22" t="n"/>
    </row>
    <row r="3635" ht="70" customHeight="1" s="380">
      <c r="A3635" s="148" t="n">
        <v>131</v>
      </c>
      <c r="B3635" s="390" t="n"/>
      <c r="C3635" s="390" t="inlineStr">
        <is>
          <t>Báo cáo tỷ lệ an toàn tài chính - Chi nhánh công ty chứng khoán nước ngoài tại Việt Nam &gt;&gt; Bảng tính vốn khả dụng</t>
        </is>
      </c>
      <c r="D3635" s="390" t="inlineStr">
        <is>
          <t xml:space="preserve">- Các khoản phải thu có thời hạn thanh toán còn lại từ 90 ngày trở xuống
</t>
        </is>
      </c>
      <c r="E3635" s="390" t="inlineStr">
        <is>
          <t xml:space="preserve">- Các khoản phải thu có thời hạn thanh toán còn lại từ 90 ngày trở xuống
</t>
        </is>
      </c>
      <c r="F3635" s="390" t="inlineStr">
        <is>
          <t>Data Explorer</t>
        </is>
      </c>
      <c r="G3635" s="390" t="inlineStr">
        <is>
          <t>Chỉ tiêu cơ sở</t>
        </is>
      </c>
      <c r="H3635" s="390" t="inlineStr">
        <is>
          <t>TB</t>
        </is>
      </c>
      <c r="I3635" s="390" t="inlineStr">
        <is>
          <t>Ngày, CTCK</t>
        </is>
      </c>
      <c r="J3635" s="401" t="inlineStr">
        <is>
          <t>SCMS</t>
        </is>
      </c>
      <c r="K3635" s="401" t="n"/>
      <c r="L3635" s="401" t="inlineStr">
        <is>
          <t>X</t>
        </is>
      </c>
      <c r="M3635" s="401" t="n"/>
      <c r="N3635" s="401" t="inlineStr">
        <is>
          <t>Done</t>
        </is>
      </c>
      <c r="O3635" s="401" t="n"/>
      <c r="P3635" s="401" t="n"/>
      <c r="S3635" s="401" t="n"/>
      <c r="U3635" s="401" t="n"/>
      <c r="V3635" s="22" t="n"/>
      <c r="W3635" s="22" t="n"/>
      <c r="X3635" s="22" t="n"/>
      <c r="Y3635" s="38" t="n"/>
      <c r="Z3635" s="22" t="n"/>
      <c r="AA3635" s="22" t="n"/>
      <c r="AB3635" s="22" t="n"/>
      <c r="AC3635" s="22" t="n"/>
      <c r="AD3635" s="22" t="n"/>
      <c r="AE3635" s="22" t="n"/>
    </row>
    <row r="3636" ht="70" customHeight="1" s="380">
      <c r="A3636" s="148" t="n">
        <v>131</v>
      </c>
      <c r="B3636" s="390" t="n"/>
      <c r="C3636" s="390" t="inlineStr">
        <is>
          <t>Báo cáo tỷ lệ an toàn tài chính - Chi nhánh công ty chứng khoán nước ngoài tại Việt Nam &gt;&gt; Bảng tính vốn khả dụng</t>
        </is>
      </c>
      <c r="D3636" s="390" t="inlineStr">
        <is>
          <t xml:space="preserve">- Các khoản phải thu có thời hạn thanh toán còn lại trên 90 ngày
</t>
        </is>
      </c>
      <c r="E3636" s="390" t="inlineStr">
        <is>
          <t xml:space="preserve">- Các khoản phải thu có thời hạn thanh toán còn lại trên 90 ngày
</t>
        </is>
      </c>
      <c r="F3636" s="390" t="inlineStr">
        <is>
          <t>Data Explorer</t>
        </is>
      </c>
      <c r="G3636" s="390" t="inlineStr">
        <is>
          <t>Chỉ tiêu cơ sở</t>
        </is>
      </c>
      <c r="H3636" s="390" t="inlineStr">
        <is>
          <t>TB</t>
        </is>
      </c>
      <c r="I3636" s="390" t="inlineStr">
        <is>
          <t>Ngày, CTCK</t>
        </is>
      </c>
      <c r="J3636" s="401" t="inlineStr">
        <is>
          <t>SCMS</t>
        </is>
      </c>
      <c r="K3636" s="401" t="n"/>
      <c r="L3636" s="401" t="inlineStr">
        <is>
          <t>X</t>
        </is>
      </c>
      <c r="M3636" s="401" t="n"/>
      <c r="N3636" s="401" t="inlineStr">
        <is>
          <t>Done</t>
        </is>
      </c>
      <c r="O3636" s="401" t="n"/>
      <c r="P3636" s="401" t="n"/>
      <c r="S3636" s="401" t="n"/>
      <c r="U3636" s="401" t="n"/>
      <c r="V3636" s="22" t="n"/>
      <c r="W3636" s="22" t="n"/>
      <c r="X3636" s="22" t="n"/>
      <c r="Y3636" s="38" t="n"/>
      <c r="Z3636" s="22" t="n"/>
      <c r="AA3636" s="22" t="n"/>
      <c r="AB3636" s="22" t="n"/>
      <c r="AC3636" s="22" t="n"/>
      <c r="AD3636" s="22" t="n"/>
      <c r="AE3636" s="22" t="n"/>
    </row>
    <row r="3637" ht="70" customHeight="1" s="380">
      <c r="A3637" s="148" t="n">
        <v>131</v>
      </c>
      <c r="B3637" s="390" t="n"/>
      <c r="C3637" s="390" t="inlineStr">
        <is>
          <t>Báo cáo tỷ lệ an toàn tài chính - Chi nhánh công ty chứng khoán nước ngoài tại Việt Nam &gt;&gt; Bảng tính vốn khả dụng</t>
        </is>
      </c>
      <c r="D3637" s="390" t="inlineStr">
        <is>
          <t xml:space="preserve">- Phải thu còn hạn nhưng đối tác mất khả năng thanh toán
</t>
        </is>
      </c>
      <c r="E3637" s="390" t="inlineStr">
        <is>
          <t xml:space="preserve">- Phải thu còn hạn nhưng đối tác mất khả năng thanh toán
</t>
        </is>
      </c>
      <c r="F3637" s="390" t="inlineStr">
        <is>
          <t>Data Explorer</t>
        </is>
      </c>
      <c r="G3637" s="390" t="inlineStr">
        <is>
          <t>Chỉ tiêu cơ sở</t>
        </is>
      </c>
      <c r="H3637" s="390" t="inlineStr">
        <is>
          <t>TB</t>
        </is>
      </c>
      <c r="I3637" s="390" t="inlineStr">
        <is>
          <t>Ngày, CTCK</t>
        </is>
      </c>
      <c r="J3637" s="401" t="inlineStr">
        <is>
          <t>SCMS</t>
        </is>
      </c>
      <c r="K3637" s="401" t="n"/>
      <c r="L3637" s="401" t="inlineStr">
        <is>
          <t>X</t>
        </is>
      </c>
      <c r="M3637" s="401" t="n"/>
      <c r="N3637" s="401" t="inlineStr">
        <is>
          <t>Done</t>
        </is>
      </c>
      <c r="O3637" s="401" t="n"/>
      <c r="P3637" s="401" t="n"/>
      <c r="S3637" s="401" t="n"/>
      <c r="U3637" s="401" t="n"/>
      <c r="V3637" s="22" t="n"/>
      <c r="W3637" s="22" t="n"/>
      <c r="X3637" s="22" t="n"/>
      <c r="Y3637" s="38" t="n"/>
      <c r="Z3637" s="22" t="n"/>
      <c r="AA3637" s="22" t="n"/>
      <c r="AB3637" s="22" t="n"/>
      <c r="AC3637" s="22" t="n"/>
      <c r="AD3637" s="22" t="n"/>
      <c r="AE3637" s="22" t="n"/>
    </row>
    <row r="3638" ht="70" customHeight="1" s="380">
      <c r="A3638" s="148" t="n">
        <v>131</v>
      </c>
      <c r="B3638" s="390" t="n"/>
      <c r="C3638" s="390" t="inlineStr">
        <is>
          <t>Báo cáo tỷ lệ an toàn tài chính - Chi nhánh công ty chứng khoán nước ngoài tại Việt Nam &gt;&gt; Bảng tính vốn khả dụng</t>
        </is>
      </c>
      <c r="D3638" s="390" t="inlineStr">
        <is>
          <t xml:space="preserve">Phải thu nội bộ
</t>
        </is>
      </c>
      <c r="E3638" s="390" t="inlineStr">
        <is>
          <t xml:space="preserve">Phải thu nội bộ
</t>
        </is>
      </c>
      <c r="F3638" s="390" t="inlineStr">
        <is>
          <t>Data Explorer</t>
        </is>
      </c>
      <c r="G3638" s="390" t="inlineStr">
        <is>
          <t>Chỉ tiêu cơ sở</t>
        </is>
      </c>
      <c r="H3638" s="390" t="inlineStr">
        <is>
          <t>TB</t>
        </is>
      </c>
      <c r="I3638" s="390" t="inlineStr">
        <is>
          <t>Ngày, CTCK</t>
        </is>
      </c>
      <c r="J3638" s="401" t="inlineStr">
        <is>
          <t>SCMS</t>
        </is>
      </c>
      <c r="K3638" s="401" t="n"/>
      <c r="L3638" s="401" t="inlineStr">
        <is>
          <t>X</t>
        </is>
      </c>
      <c r="M3638" s="401" t="n"/>
      <c r="N3638" s="401" t="inlineStr">
        <is>
          <t>Done</t>
        </is>
      </c>
      <c r="O3638" s="401" t="n"/>
      <c r="P3638" s="401" t="n"/>
      <c r="S3638" s="401" t="n"/>
      <c r="U3638" s="401" t="n"/>
      <c r="V3638" s="22" t="n"/>
      <c r="W3638" s="22" t="n"/>
      <c r="X3638" s="22" t="n"/>
      <c r="Y3638" s="38" t="n"/>
      <c r="Z3638" s="22" t="n"/>
      <c r="AA3638" s="22" t="n"/>
      <c r="AB3638" s="22" t="n"/>
      <c r="AC3638" s="22" t="n"/>
      <c r="AD3638" s="22" t="n"/>
      <c r="AE3638" s="22" t="n"/>
    </row>
    <row r="3639" ht="70" customHeight="1" s="380">
      <c r="A3639" s="148" t="n">
        <v>131</v>
      </c>
      <c r="B3639" s="390" t="n"/>
      <c r="C3639" s="390" t="inlineStr">
        <is>
          <t>Báo cáo tỷ lệ an toàn tài chính - Chi nhánh công ty chứng khoán nước ngoài tại Việt Nam &gt;&gt; Bảng tính vốn khả dụng</t>
        </is>
      </c>
      <c r="D3639" s="390" t="inlineStr">
        <is>
          <t xml:space="preserve">- Phải thu nội bộ có thời hạn thanh toán còn lại từ 90 ngày trở xuống
</t>
        </is>
      </c>
      <c r="E3639" s="390" t="inlineStr">
        <is>
          <t xml:space="preserve">- Phải thu nội bộ có thời hạn thanh toán còn lại từ 90 ngày trở xuống
</t>
        </is>
      </c>
      <c r="F3639" s="390" t="inlineStr">
        <is>
          <t>Data Explorer</t>
        </is>
      </c>
      <c r="G3639" s="390" t="inlineStr">
        <is>
          <t>Chỉ tiêu cơ sở</t>
        </is>
      </c>
      <c r="H3639" s="390" t="inlineStr">
        <is>
          <t>TB</t>
        </is>
      </c>
      <c r="I3639" s="390" t="inlineStr">
        <is>
          <t>Ngày, CTCK</t>
        </is>
      </c>
      <c r="J3639" s="401" t="inlineStr">
        <is>
          <t>SCMS</t>
        </is>
      </c>
      <c r="K3639" s="401" t="n"/>
      <c r="L3639" s="401" t="inlineStr">
        <is>
          <t>X</t>
        </is>
      </c>
      <c r="M3639" s="401" t="n"/>
      <c r="N3639" s="401" t="inlineStr">
        <is>
          <t>Done</t>
        </is>
      </c>
      <c r="O3639" s="401" t="n"/>
      <c r="P3639" s="401" t="n"/>
      <c r="S3639" s="401" t="n"/>
      <c r="U3639" s="401" t="n"/>
      <c r="V3639" s="22" t="n"/>
      <c r="W3639" s="22" t="n"/>
      <c r="X3639" s="22" t="n"/>
      <c r="Y3639" s="38" t="n"/>
      <c r="Z3639" s="22" t="n"/>
      <c r="AA3639" s="22" t="n"/>
      <c r="AB3639" s="22" t="n"/>
      <c r="AC3639" s="22" t="n"/>
      <c r="AD3639" s="22" t="n"/>
      <c r="AE3639" s="22" t="n"/>
    </row>
    <row r="3640" ht="70" customHeight="1" s="380">
      <c r="A3640" s="148" t="n">
        <v>131</v>
      </c>
      <c r="B3640" s="390" t="n"/>
      <c r="C3640" s="390" t="inlineStr">
        <is>
          <t>Báo cáo tỷ lệ an toàn tài chính - Chi nhánh công ty chứng khoán nước ngoài tại Việt Nam &gt;&gt; Bảng tính vốn khả dụng</t>
        </is>
      </c>
      <c r="D3640" s="390" t="inlineStr">
        <is>
          <t xml:space="preserve">- Phải thu nội bộ có thời hạn thanh toán còn lại trên 90 ngày
</t>
        </is>
      </c>
      <c r="E3640" s="390" t="inlineStr">
        <is>
          <t xml:space="preserve">- Phải thu nội bộ có thời hạn thanh toán còn lại trên 90 ngày
</t>
        </is>
      </c>
      <c r="F3640" s="390" t="inlineStr">
        <is>
          <t>Data Explorer</t>
        </is>
      </c>
      <c r="G3640" s="390" t="inlineStr">
        <is>
          <t>Chỉ tiêu cơ sở</t>
        </is>
      </c>
      <c r="H3640" s="390" t="inlineStr">
        <is>
          <t>TB</t>
        </is>
      </c>
      <c r="I3640" s="390" t="inlineStr">
        <is>
          <t>Ngày, CTCK</t>
        </is>
      </c>
      <c r="J3640" s="401" t="inlineStr">
        <is>
          <t>SCMS</t>
        </is>
      </c>
      <c r="K3640" s="401" t="n"/>
      <c r="L3640" s="401" t="inlineStr">
        <is>
          <t>X</t>
        </is>
      </c>
      <c r="M3640" s="401" t="n"/>
      <c r="N3640" s="401" t="inlineStr">
        <is>
          <t>Done</t>
        </is>
      </c>
      <c r="O3640" s="401" t="n"/>
      <c r="P3640" s="401" t="n"/>
      <c r="S3640" s="401" t="n"/>
      <c r="U3640" s="401" t="n"/>
      <c r="V3640" s="22" t="n"/>
      <c r="W3640" s="22" t="n"/>
      <c r="X3640" s="22" t="n"/>
      <c r="Y3640" s="38" t="n"/>
      <c r="Z3640" s="22" t="n"/>
      <c r="AA3640" s="22" t="n"/>
      <c r="AB3640" s="22" t="n"/>
      <c r="AC3640" s="22" t="n"/>
      <c r="AD3640" s="22" t="n"/>
      <c r="AE3640" s="22" t="n"/>
    </row>
    <row r="3641" ht="70" customHeight="1" s="380">
      <c r="A3641" s="148" t="n">
        <v>131</v>
      </c>
      <c r="B3641" s="390" t="n"/>
      <c r="C3641" s="390" t="inlineStr">
        <is>
          <t>Báo cáo tỷ lệ an toàn tài chính - Chi nhánh công ty chứng khoán nước ngoài tại Việt Nam &gt;&gt; Bảng tính vốn khả dụng</t>
        </is>
      </c>
      <c r="D3641" s="390" t="inlineStr">
        <is>
          <t xml:space="preserve">- Phải thu còn hạn nhưng đối tác mất khả năng thanh toán
</t>
        </is>
      </c>
      <c r="E3641" s="390" t="inlineStr">
        <is>
          <t xml:space="preserve">- Phải thu còn hạn nhưng đối tác mất khả năng thanh toán
</t>
        </is>
      </c>
      <c r="F3641" s="390" t="inlineStr">
        <is>
          <t>Data Explorer</t>
        </is>
      </c>
      <c r="G3641" s="390" t="inlineStr">
        <is>
          <t>Chỉ tiêu cơ sở</t>
        </is>
      </c>
      <c r="H3641" s="390" t="inlineStr">
        <is>
          <t>TB</t>
        </is>
      </c>
      <c r="I3641" s="390" t="inlineStr">
        <is>
          <t>Ngày, CTCK</t>
        </is>
      </c>
      <c r="J3641" s="401" t="inlineStr">
        <is>
          <t>SCMS</t>
        </is>
      </c>
      <c r="K3641" s="401" t="n"/>
      <c r="L3641" s="401" t="inlineStr">
        <is>
          <t>X</t>
        </is>
      </c>
      <c r="M3641" s="401" t="n"/>
      <c r="N3641" s="401" t="inlineStr">
        <is>
          <t>Done</t>
        </is>
      </c>
      <c r="O3641" s="401" t="n"/>
      <c r="P3641" s="401" t="n"/>
      <c r="S3641" s="401" t="n"/>
      <c r="U3641" s="401" t="n"/>
      <c r="V3641" s="22" t="n"/>
      <c r="W3641" s="22" t="n"/>
      <c r="X3641" s="22" t="n"/>
      <c r="Y3641" s="38" t="n"/>
      <c r="Z3641" s="22" t="n"/>
      <c r="AA3641" s="22" t="n"/>
      <c r="AB3641" s="22" t="n"/>
      <c r="AC3641" s="22" t="n"/>
      <c r="AD3641" s="22" t="n"/>
      <c r="AE3641" s="22" t="n"/>
    </row>
    <row r="3642" ht="70" customHeight="1" s="380">
      <c r="A3642" s="148" t="n">
        <v>131</v>
      </c>
      <c r="B3642" s="390" t="n"/>
      <c r="C3642" s="390" t="inlineStr">
        <is>
          <t>Báo cáo tỷ lệ an toàn tài chính - Chi nhánh công ty chứng khoán nước ngoài tại Việt Nam &gt;&gt; Bảng tính vốn khả dụng</t>
        </is>
      </c>
      <c r="D3642" s="390" t="inlineStr">
        <is>
          <t xml:space="preserve">Phải thu về lỗi giao dịch chứng khoán			
</t>
        </is>
      </c>
      <c r="E3642" s="390" t="inlineStr">
        <is>
          <t xml:space="preserve">Phải thu về lỗi giao dịch chứng khoán			
</t>
        </is>
      </c>
      <c r="F3642" s="390" t="inlineStr">
        <is>
          <t>Data Explorer</t>
        </is>
      </c>
      <c r="G3642" s="390" t="inlineStr">
        <is>
          <t>Chỉ tiêu cơ sở</t>
        </is>
      </c>
      <c r="H3642" s="390" t="inlineStr">
        <is>
          <t>TB</t>
        </is>
      </c>
      <c r="I3642" s="390" t="inlineStr">
        <is>
          <t>Ngày, CTCK</t>
        </is>
      </c>
      <c r="J3642" s="401" t="inlineStr">
        <is>
          <t>SCMS</t>
        </is>
      </c>
      <c r="K3642" s="401" t="n"/>
      <c r="L3642" s="401" t="inlineStr">
        <is>
          <t>X</t>
        </is>
      </c>
      <c r="M3642" s="401" t="n"/>
      <c r="N3642" s="401" t="inlineStr">
        <is>
          <t>Done</t>
        </is>
      </c>
      <c r="O3642" s="401" t="n"/>
      <c r="P3642" s="401" t="n"/>
      <c r="S3642" s="401" t="n"/>
      <c r="U3642" s="401" t="n"/>
      <c r="V3642" s="22" t="n"/>
      <c r="W3642" s="22" t="n"/>
      <c r="X3642" s="22" t="n"/>
      <c r="Y3642" s="38" t="n"/>
      <c r="Z3642" s="22" t="n"/>
      <c r="AA3642" s="22" t="n"/>
      <c r="AB3642" s="22" t="n"/>
      <c r="AC3642" s="22" t="n"/>
      <c r="AD3642" s="22" t="n"/>
      <c r="AE3642" s="22" t="n"/>
    </row>
    <row r="3643" ht="70" customHeight="1" s="380">
      <c r="A3643" s="148" t="n">
        <v>131</v>
      </c>
      <c r="B3643" s="390" t="n"/>
      <c r="C3643" s="390" t="inlineStr">
        <is>
          <t>Báo cáo tỷ lệ an toàn tài chính - Chi nhánh công ty chứng khoán nước ngoài tại Việt Nam &gt;&gt; Bảng tính vốn khả dụng</t>
        </is>
      </c>
      <c r="D3643" s="390" t="inlineStr">
        <is>
          <t xml:space="preserve">- Các khoản phải thu có thời hạn thanh toán còn lại từ 90 ngày trở xuống
</t>
        </is>
      </c>
      <c r="E3643" s="390" t="inlineStr">
        <is>
          <t xml:space="preserve">- Các khoản phải thu có thời hạn thanh toán còn lại từ 90 ngày trở xuống
</t>
        </is>
      </c>
      <c r="F3643" s="390" t="inlineStr">
        <is>
          <t>Data Explorer</t>
        </is>
      </c>
      <c r="G3643" s="390" t="inlineStr">
        <is>
          <t>Chỉ tiêu cơ sở</t>
        </is>
      </c>
      <c r="H3643" s="390" t="inlineStr">
        <is>
          <t>TB</t>
        </is>
      </c>
      <c r="I3643" s="390" t="inlineStr">
        <is>
          <t>Ngày, CTCK</t>
        </is>
      </c>
      <c r="J3643" s="401" t="inlineStr">
        <is>
          <t>SCMS</t>
        </is>
      </c>
      <c r="K3643" s="401" t="n"/>
      <c r="L3643" s="401" t="inlineStr">
        <is>
          <t>X</t>
        </is>
      </c>
      <c r="M3643" s="401" t="n"/>
      <c r="N3643" s="401" t="inlineStr">
        <is>
          <t>Done</t>
        </is>
      </c>
      <c r="O3643" s="401" t="n"/>
      <c r="P3643" s="401" t="n"/>
      <c r="S3643" s="401" t="n"/>
      <c r="U3643" s="401" t="n"/>
      <c r="V3643" s="22" t="n"/>
      <c r="W3643" s="22" t="n"/>
      <c r="X3643" s="22" t="n"/>
      <c r="Y3643" s="38" t="n"/>
      <c r="Z3643" s="22" t="n"/>
      <c r="AA3643" s="22" t="n"/>
      <c r="AB3643" s="22" t="n"/>
      <c r="AC3643" s="22" t="n"/>
      <c r="AD3643" s="22" t="n"/>
      <c r="AE3643" s="22" t="n"/>
    </row>
    <row r="3644" ht="70" customHeight="1" s="380">
      <c r="A3644" s="148" t="n">
        <v>131</v>
      </c>
      <c r="B3644" s="390" t="n"/>
      <c r="C3644" s="390" t="inlineStr">
        <is>
          <t>Báo cáo tỷ lệ an toàn tài chính - Chi nhánh công ty chứng khoán nước ngoài tại Việt Nam &gt;&gt; Bảng tính vốn khả dụng</t>
        </is>
      </c>
      <c r="D3644" s="390" t="inlineStr">
        <is>
          <t xml:space="preserve">- Các khoản phải thu có thời hạn thanh toán còn lại trên 90 ngày
</t>
        </is>
      </c>
      <c r="E3644" s="390" t="inlineStr">
        <is>
          <t xml:space="preserve">- Các khoản phải thu có thời hạn thanh toán còn lại trên 90 ngày
</t>
        </is>
      </c>
      <c r="F3644" s="390" t="inlineStr">
        <is>
          <t>Data Explorer</t>
        </is>
      </c>
      <c r="G3644" s="390" t="inlineStr">
        <is>
          <t>Chỉ tiêu cơ sở</t>
        </is>
      </c>
      <c r="H3644" s="390" t="inlineStr">
        <is>
          <t>TB</t>
        </is>
      </c>
      <c r="I3644" s="390" t="inlineStr">
        <is>
          <t>Ngày, CTCK</t>
        </is>
      </c>
      <c r="J3644" s="401" t="inlineStr">
        <is>
          <t>SCMS</t>
        </is>
      </c>
      <c r="K3644" s="401" t="n"/>
      <c r="L3644" s="401" t="inlineStr">
        <is>
          <t>X</t>
        </is>
      </c>
      <c r="M3644" s="401" t="n"/>
      <c r="N3644" s="401" t="inlineStr">
        <is>
          <t>Done</t>
        </is>
      </c>
      <c r="O3644" s="401" t="n"/>
      <c r="P3644" s="401" t="n"/>
      <c r="S3644" s="401" t="n"/>
      <c r="U3644" s="401" t="n"/>
      <c r="V3644" s="22" t="n"/>
      <c r="W3644" s="22" t="n"/>
      <c r="X3644" s="22" t="n"/>
      <c r="Y3644" s="38" t="n"/>
      <c r="Z3644" s="22" t="n"/>
      <c r="AA3644" s="22" t="n"/>
      <c r="AB3644" s="22" t="n"/>
      <c r="AC3644" s="22" t="n"/>
      <c r="AD3644" s="22" t="n"/>
      <c r="AE3644" s="22" t="n"/>
    </row>
    <row r="3645" ht="70" customHeight="1" s="380">
      <c r="A3645" s="148" t="n">
        <v>131</v>
      </c>
      <c r="B3645" s="390" t="n"/>
      <c r="C3645" s="390" t="inlineStr">
        <is>
          <t>Báo cáo tỷ lệ an toàn tài chính - Chi nhánh công ty chứng khoán nước ngoài tại Việt Nam &gt;&gt; Bảng tính vốn khả dụng</t>
        </is>
      </c>
      <c r="D3645" s="390" t="inlineStr">
        <is>
          <t xml:space="preserve">- Phải thu còn hạn nhưng đối tác mất khả năng thanh toán
</t>
        </is>
      </c>
      <c r="E3645" s="390" t="inlineStr">
        <is>
          <t xml:space="preserve">- Phải thu còn hạn nhưng đối tác mất khả năng thanh toán
</t>
        </is>
      </c>
      <c r="F3645" s="390" t="inlineStr">
        <is>
          <t>Data Explorer</t>
        </is>
      </c>
      <c r="G3645" s="390" t="inlineStr">
        <is>
          <t>Chỉ tiêu cơ sở</t>
        </is>
      </c>
      <c r="H3645" s="390" t="inlineStr">
        <is>
          <t>TB</t>
        </is>
      </c>
      <c r="I3645" s="390" t="inlineStr">
        <is>
          <t>Ngày, CTCK</t>
        </is>
      </c>
      <c r="J3645" s="401" t="inlineStr">
        <is>
          <t>SCMS</t>
        </is>
      </c>
      <c r="K3645" s="401" t="n"/>
      <c r="L3645" s="401" t="inlineStr">
        <is>
          <t>X</t>
        </is>
      </c>
      <c r="M3645" s="401" t="n"/>
      <c r="N3645" s="401" t="inlineStr">
        <is>
          <t>Done</t>
        </is>
      </c>
      <c r="O3645" s="401" t="n"/>
      <c r="P3645" s="401" t="n"/>
      <c r="S3645" s="401" t="n"/>
      <c r="U3645" s="401" t="n"/>
      <c r="V3645" s="22" t="n"/>
      <c r="W3645" s="22" t="n"/>
      <c r="X3645" s="22" t="n"/>
      <c r="Y3645" s="38" t="n"/>
      <c r="Z3645" s="22" t="n"/>
      <c r="AA3645" s="22" t="n"/>
      <c r="AB3645" s="22" t="n"/>
      <c r="AC3645" s="22" t="n"/>
      <c r="AD3645" s="22" t="n"/>
      <c r="AE3645" s="22" t="n"/>
    </row>
    <row r="3646" ht="70" customHeight="1" s="380">
      <c r="A3646" s="148" t="n">
        <v>131</v>
      </c>
      <c r="B3646" s="390" t="n"/>
      <c r="C3646" s="390" t="inlineStr">
        <is>
          <t>Báo cáo tỷ lệ an toàn tài chính - Chi nhánh công ty chứng khoán nước ngoài tại Việt Nam &gt;&gt; Bảng tính vốn khả dụng</t>
        </is>
      </c>
      <c r="D3646" s="390" t="inlineStr">
        <is>
          <t xml:space="preserve">Các khoản phải thu khác
</t>
        </is>
      </c>
      <c r="E3646" s="390" t="inlineStr">
        <is>
          <t xml:space="preserve">Các khoản phải thu khác
</t>
        </is>
      </c>
      <c r="F3646" s="390" t="inlineStr">
        <is>
          <t>Data Explorer</t>
        </is>
      </c>
      <c r="G3646" s="390" t="inlineStr">
        <is>
          <t>Chỉ tiêu cơ sở</t>
        </is>
      </c>
      <c r="H3646" s="390" t="inlineStr">
        <is>
          <t>TB</t>
        </is>
      </c>
      <c r="I3646" s="390" t="inlineStr">
        <is>
          <t>Ngày, CTCK</t>
        </is>
      </c>
      <c r="J3646" s="401" t="inlineStr">
        <is>
          <t>SCMS</t>
        </is>
      </c>
      <c r="K3646" s="401" t="n"/>
      <c r="L3646" s="401" t="inlineStr">
        <is>
          <t>X</t>
        </is>
      </c>
      <c r="M3646" s="401" t="n"/>
      <c r="N3646" s="401" t="inlineStr">
        <is>
          <t>Done</t>
        </is>
      </c>
      <c r="O3646" s="401" t="n"/>
      <c r="P3646" s="401" t="n"/>
      <c r="S3646" s="401" t="n"/>
      <c r="U3646" s="401" t="n"/>
      <c r="V3646" s="22" t="n"/>
      <c r="W3646" s="22" t="n"/>
      <c r="X3646" s="22" t="n"/>
      <c r="Y3646" s="38" t="n"/>
      <c r="Z3646" s="22" t="n"/>
      <c r="AA3646" s="22" t="n"/>
      <c r="AB3646" s="22" t="n"/>
      <c r="AC3646" s="22" t="n"/>
      <c r="AD3646" s="22" t="n"/>
      <c r="AE3646" s="22" t="n"/>
    </row>
    <row r="3647" ht="70" customHeight="1" s="380">
      <c r="A3647" s="148" t="n">
        <v>131</v>
      </c>
      <c r="B3647" s="390" t="n"/>
      <c r="C3647" s="390" t="inlineStr">
        <is>
          <t>Báo cáo tỷ lệ an toàn tài chính - Chi nhánh công ty chứng khoán nước ngoài tại Việt Nam &gt;&gt; Bảng tính vốn khả dụng</t>
        </is>
      </c>
      <c r="D3647" s="390" t="inlineStr">
        <is>
          <t>- Các khoản phải thu có thời hạn thanh toán còn lại từ 90 ngày trở xuống</t>
        </is>
      </c>
      <c r="E3647" s="390" t="inlineStr">
        <is>
          <t>- Các khoản phải thu có thời hạn thanh toán còn lại từ 90 ngày trở xuống</t>
        </is>
      </c>
      <c r="F3647" s="390" t="inlineStr">
        <is>
          <t>Data Explorer</t>
        </is>
      </c>
      <c r="G3647" s="390" t="inlineStr">
        <is>
          <t>Chỉ tiêu cơ sở</t>
        </is>
      </c>
      <c r="H3647" s="390" t="inlineStr">
        <is>
          <t>TB</t>
        </is>
      </c>
      <c r="I3647" s="390" t="inlineStr">
        <is>
          <t>Ngày, CTCK</t>
        </is>
      </c>
      <c r="J3647" s="401" t="inlineStr">
        <is>
          <t>SCMS</t>
        </is>
      </c>
      <c r="K3647" s="401" t="n"/>
      <c r="L3647" s="401" t="inlineStr">
        <is>
          <t>X</t>
        </is>
      </c>
      <c r="M3647" s="401" t="n"/>
      <c r="N3647" s="401" t="inlineStr">
        <is>
          <t>Done</t>
        </is>
      </c>
      <c r="O3647" s="401" t="n"/>
      <c r="P3647" s="401" t="n"/>
      <c r="S3647" s="401" t="n"/>
      <c r="U3647" s="401" t="n"/>
      <c r="V3647" s="22" t="n"/>
      <c r="W3647" s="22" t="n"/>
      <c r="X3647" s="22" t="n"/>
      <c r="Y3647" s="38" t="n"/>
      <c r="Z3647" s="22" t="n"/>
      <c r="AA3647" s="22" t="n"/>
      <c r="AB3647" s="22" t="n"/>
      <c r="AC3647" s="22" t="n"/>
      <c r="AD3647" s="22" t="n"/>
      <c r="AE3647" s="22" t="n"/>
    </row>
    <row r="3648" ht="70" customHeight="1" s="380">
      <c r="A3648" s="148" t="n">
        <v>131</v>
      </c>
      <c r="B3648" s="390" t="n"/>
      <c r="C3648" s="390" t="inlineStr">
        <is>
          <t>Báo cáo tỷ lệ an toàn tài chính - Chi nhánh công ty chứng khoán nước ngoài tại Việt Nam &gt;&gt; Bảng tính vốn khả dụng</t>
        </is>
      </c>
      <c r="D3648" s="390" t="inlineStr">
        <is>
          <t xml:space="preserve">- Các khoản phải thu có thời hạn thanh toán còn lại trên 90 ngày
</t>
        </is>
      </c>
      <c r="E3648" s="390" t="inlineStr">
        <is>
          <t xml:space="preserve">- Các khoản phải thu có thời hạn thanh toán còn lại trên 90 ngày
</t>
        </is>
      </c>
      <c r="F3648" s="390" t="inlineStr">
        <is>
          <t>Data Explorer</t>
        </is>
      </c>
      <c r="G3648" s="390" t="inlineStr">
        <is>
          <t>Chỉ tiêu cơ sở</t>
        </is>
      </c>
      <c r="H3648" s="390" t="inlineStr">
        <is>
          <t>TB</t>
        </is>
      </c>
      <c r="I3648" s="390" t="inlineStr">
        <is>
          <t>Ngày, CTCK</t>
        </is>
      </c>
      <c r="J3648" s="401" t="inlineStr">
        <is>
          <t>SCMS</t>
        </is>
      </c>
      <c r="K3648" s="401" t="n"/>
      <c r="L3648" s="401" t="inlineStr">
        <is>
          <t>X</t>
        </is>
      </c>
      <c r="M3648" s="401" t="n"/>
      <c r="N3648" s="401" t="inlineStr">
        <is>
          <t>Done</t>
        </is>
      </c>
      <c r="O3648" s="401" t="n"/>
      <c r="P3648" s="401" t="n"/>
      <c r="S3648" s="401" t="n"/>
      <c r="U3648" s="401" t="n"/>
      <c r="V3648" s="22" t="n"/>
      <c r="W3648" s="22" t="n"/>
      <c r="X3648" s="22" t="n"/>
      <c r="Y3648" s="38" t="n"/>
      <c r="Z3648" s="22" t="n"/>
      <c r="AA3648" s="22" t="n"/>
      <c r="AB3648" s="22" t="n"/>
      <c r="AC3648" s="22" t="n"/>
      <c r="AD3648" s="22" t="n"/>
      <c r="AE3648" s="22" t="n"/>
    </row>
    <row r="3649" ht="70" customHeight="1" s="380">
      <c r="A3649" s="148" t="n">
        <v>131</v>
      </c>
      <c r="B3649" s="390" t="n"/>
      <c r="C3649" s="390" t="inlineStr">
        <is>
          <t>Báo cáo tỷ lệ an toàn tài chính - Chi nhánh công ty chứng khoán nước ngoài tại Việt Nam &gt;&gt; Bảng tính vốn khả dụng</t>
        </is>
      </c>
      <c r="D3649" s="390" t="inlineStr">
        <is>
          <t xml:space="preserve">- Tạm ứng có thời hạn hoàn ứng còn lại trên 90 ngày
</t>
        </is>
      </c>
      <c r="E3649" s="390" t="inlineStr">
        <is>
          <t xml:space="preserve">- Tạm ứng có thời hạn hoàn ứng còn lại trên 90 ngày
</t>
        </is>
      </c>
      <c r="F3649" s="390" t="inlineStr">
        <is>
          <t>Data Explorer</t>
        </is>
      </c>
      <c r="G3649" s="390" t="inlineStr">
        <is>
          <t>Chỉ tiêu cơ sở</t>
        </is>
      </c>
      <c r="H3649" s="390" t="inlineStr">
        <is>
          <t>TB</t>
        </is>
      </c>
      <c r="I3649" s="390" t="inlineStr">
        <is>
          <t>Ngày, CTCK</t>
        </is>
      </c>
      <c r="J3649" s="401" t="inlineStr">
        <is>
          <t>SCMS</t>
        </is>
      </c>
      <c r="K3649" s="401" t="n"/>
      <c r="L3649" s="401" t="inlineStr">
        <is>
          <t>X</t>
        </is>
      </c>
      <c r="M3649" s="401" t="n"/>
      <c r="N3649" s="401" t="inlineStr">
        <is>
          <t>Done</t>
        </is>
      </c>
      <c r="O3649" s="401" t="n"/>
      <c r="P3649" s="401" t="n"/>
      <c r="S3649" s="401" t="n"/>
      <c r="U3649" s="401" t="n"/>
      <c r="V3649" s="22" t="n"/>
      <c r="W3649" s="22" t="n"/>
      <c r="X3649" s="22" t="n"/>
      <c r="Y3649" s="38" t="n"/>
      <c r="Z3649" s="22" t="n"/>
      <c r="AA3649" s="22" t="n"/>
      <c r="AB3649" s="22" t="n"/>
      <c r="AC3649" s="22" t="n"/>
      <c r="AD3649" s="22" t="n"/>
      <c r="AE3649" s="22" t="n"/>
    </row>
    <row r="3650" ht="70" customHeight="1" s="380">
      <c r="A3650" s="148" t="n">
        <v>131</v>
      </c>
      <c r="B3650" s="390" t="n"/>
      <c r="C3650" s="390" t="inlineStr">
        <is>
          <t>Báo cáo tỷ lệ an toàn tài chính - Chi nhánh công ty chứng khoán nước ngoài tại Việt Nam &gt;&gt; Bảng tính vốn khả dụng</t>
        </is>
      </c>
      <c r="D3650" s="390" t="inlineStr">
        <is>
          <t xml:space="preserve">Dự phòng suy giảm giá trị các khoản phải thu
</t>
        </is>
      </c>
      <c r="E3650" s="390" t="inlineStr">
        <is>
          <t xml:space="preserve">Dự phòng suy giảm giá trị các khoản phải thu
</t>
        </is>
      </c>
      <c r="F3650" s="390" t="inlineStr">
        <is>
          <t>Data Explorer</t>
        </is>
      </c>
      <c r="G3650" s="390" t="inlineStr">
        <is>
          <t>Chỉ tiêu cơ sở</t>
        </is>
      </c>
      <c r="H3650" s="390" t="inlineStr">
        <is>
          <t>TB</t>
        </is>
      </c>
      <c r="I3650" s="390" t="inlineStr">
        <is>
          <t>Ngày, CTCK</t>
        </is>
      </c>
      <c r="J3650" s="401" t="inlineStr">
        <is>
          <t>SCMS</t>
        </is>
      </c>
      <c r="K3650" s="401" t="n"/>
      <c r="L3650" s="401" t="inlineStr">
        <is>
          <t>X</t>
        </is>
      </c>
      <c r="M3650" s="401" t="n"/>
      <c r="N3650" s="401" t="inlineStr">
        <is>
          <t>Done</t>
        </is>
      </c>
      <c r="O3650" s="401" t="n"/>
      <c r="P3650" s="401" t="n"/>
      <c r="S3650" s="401" t="n"/>
      <c r="U3650" s="401" t="n"/>
      <c r="V3650" s="22" t="n"/>
      <c r="W3650" s="22" t="n"/>
      <c r="X3650" s="22" t="n"/>
      <c r="Y3650" s="38" t="n"/>
      <c r="Z3650" s="22" t="n"/>
      <c r="AA3650" s="22" t="n"/>
      <c r="AB3650" s="22" t="n"/>
      <c r="AC3650" s="22" t="n"/>
      <c r="AD3650" s="22" t="n"/>
      <c r="AE3650" s="22" t="n"/>
    </row>
    <row r="3651" ht="70" customHeight="1" s="380">
      <c r="A3651" s="148" t="n">
        <v>131</v>
      </c>
      <c r="B3651" s="390" t="n"/>
      <c r="C3651" s="390" t="inlineStr">
        <is>
          <t>Báo cáo tỷ lệ an toàn tài chính - Chi nhánh công ty chứng khoán nước ngoài tại Việt Nam &gt;&gt; Bảng tính vốn khả dụng</t>
        </is>
      </c>
      <c r="D3651" s="390" t="inlineStr">
        <is>
          <t xml:space="preserve">Tài sản ngắn hạn khác
</t>
        </is>
      </c>
      <c r="E3651" s="390" t="inlineStr">
        <is>
          <t xml:space="preserve">Tài sản ngắn hạn khác
</t>
        </is>
      </c>
      <c r="F3651" s="390" t="inlineStr">
        <is>
          <t>Data Explorer</t>
        </is>
      </c>
      <c r="G3651" s="390" t="inlineStr">
        <is>
          <t>Chỉ tiêu cơ sở</t>
        </is>
      </c>
      <c r="H3651" s="390" t="inlineStr">
        <is>
          <t>TB</t>
        </is>
      </c>
      <c r="I3651" s="390" t="inlineStr">
        <is>
          <t>Ngày, CTCK</t>
        </is>
      </c>
      <c r="J3651" s="401" t="inlineStr">
        <is>
          <t>SCMS</t>
        </is>
      </c>
      <c r="K3651" s="401" t="n"/>
      <c r="L3651" s="401" t="inlineStr">
        <is>
          <t>X</t>
        </is>
      </c>
      <c r="M3651" s="401" t="n"/>
      <c r="N3651" s="401" t="inlineStr">
        <is>
          <t>Done</t>
        </is>
      </c>
      <c r="O3651" s="401" t="n"/>
      <c r="P3651" s="401" t="n"/>
      <c r="S3651" s="401" t="n"/>
      <c r="U3651" s="401" t="n"/>
      <c r="V3651" s="22" t="n"/>
      <c r="W3651" s="22" t="n"/>
      <c r="X3651" s="22" t="n"/>
      <c r="Y3651" s="38" t="n"/>
      <c r="Z3651" s="22" t="n"/>
      <c r="AA3651" s="22" t="n"/>
      <c r="AB3651" s="22" t="n"/>
      <c r="AC3651" s="22" t="n"/>
      <c r="AD3651" s="22" t="n"/>
      <c r="AE3651" s="22" t="n"/>
    </row>
    <row r="3652" ht="70" customHeight="1" s="380">
      <c r="A3652" s="148" t="n">
        <v>131</v>
      </c>
      <c r="B3652" s="390" t="n"/>
      <c r="C3652" s="390" t="inlineStr">
        <is>
          <t>Báo cáo tỷ lệ an toàn tài chính - Chi nhánh công ty chứng khoán nước ngoài tại Việt Nam &gt;&gt; Bảng tính vốn khả dụng</t>
        </is>
      </c>
      <c r="D3652" s="390" t="inlineStr">
        <is>
          <t xml:space="preserve">Cầm cố, thế chấp, ký quỹ, ký cược ngắn hạn
</t>
        </is>
      </c>
      <c r="E3652" s="390" t="inlineStr">
        <is>
          <t xml:space="preserve">Cầm cố, thế chấp, ký quỹ, ký cược ngắn hạn
</t>
        </is>
      </c>
      <c r="F3652" s="390" t="inlineStr">
        <is>
          <t>Data Explorer</t>
        </is>
      </c>
      <c r="G3652" s="390" t="inlineStr">
        <is>
          <t>Chỉ tiêu cơ sở</t>
        </is>
      </c>
      <c r="H3652" s="390" t="inlineStr">
        <is>
          <t>TB</t>
        </is>
      </c>
      <c r="I3652" s="390" t="inlineStr">
        <is>
          <t>Ngày, CTCK</t>
        </is>
      </c>
      <c r="J3652" s="401" t="inlineStr">
        <is>
          <t>SCMS</t>
        </is>
      </c>
      <c r="K3652" s="401" t="n"/>
      <c r="L3652" s="401" t="inlineStr">
        <is>
          <t>X</t>
        </is>
      </c>
      <c r="M3652" s="401" t="n"/>
      <c r="N3652" s="401" t="inlineStr">
        <is>
          <t>Done</t>
        </is>
      </c>
      <c r="O3652" s="401" t="n"/>
      <c r="P3652" s="401" t="n"/>
      <c r="S3652" s="401" t="n"/>
      <c r="U3652" s="401" t="n"/>
      <c r="V3652" s="22" t="n"/>
      <c r="W3652" s="22" t="n"/>
      <c r="X3652" s="22" t="n"/>
      <c r="Y3652" s="38" t="n"/>
      <c r="Z3652" s="22" t="n"/>
      <c r="AA3652" s="22" t="n"/>
      <c r="AB3652" s="22" t="n"/>
      <c r="AC3652" s="22" t="n"/>
      <c r="AD3652" s="22" t="n"/>
      <c r="AE3652" s="22" t="n"/>
    </row>
    <row r="3653" ht="70" customHeight="1" s="380">
      <c r="A3653" s="148" t="n">
        <v>131</v>
      </c>
      <c r="B3653" s="390" t="n"/>
      <c r="C3653" s="390" t="inlineStr">
        <is>
          <t>Báo cáo tỷ lệ an toàn tài chính - Chi nhánh công ty chứng khoán nước ngoài tại Việt Nam &gt;&gt; Bảng tính vốn khả dụng</t>
        </is>
      </c>
      <c r="D3653" s="390" t="inlineStr">
        <is>
          <t xml:space="preserve">Thuế giá trị gia tăng được khấu trừ
</t>
        </is>
      </c>
      <c r="E3653" s="390" t="inlineStr">
        <is>
          <t xml:space="preserve">Thuế giá trị gia tăng được khấu trừ
</t>
        </is>
      </c>
      <c r="F3653" s="390" t="inlineStr">
        <is>
          <t>Data Explorer</t>
        </is>
      </c>
      <c r="G3653" s="390" t="inlineStr">
        <is>
          <t>Chỉ tiêu cơ sở</t>
        </is>
      </c>
      <c r="H3653" s="390" t="inlineStr">
        <is>
          <t>TB</t>
        </is>
      </c>
      <c r="I3653" s="390" t="inlineStr">
        <is>
          <t>Ngày, CTCK</t>
        </is>
      </c>
      <c r="J3653" s="401" t="inlineStr">
        <is>
          <t>SCMS</t>
        </is>
      </c>
      <c r="K3653" s="401" t="n"/>
      <c r="L3653" s="401" t="inlineStr">
        <is>
          <t>X</t>
        </is>
      </c>
      <c r="M3653" s="401" t="n"/>
      <c r="N3653" s="401" t="inlineStr">
        <is>
          <t>Done</t>
        </is>
      </c>
      <c r="O3653" s="401" t="n"/>
      <c r="P3653" s="401" t="n"/>
      <c r="S3653" s="401" t="n"/>
      <c r="U3653" s="401" t="n"/>
      <c r="V3653" s="22" t="n"/>
      <c r="W3653" s="22" t="n"/>
      <c r="X3653" s="22" t="n"/>
      <c r="Y3653" s="38" t="n"/>
      <c r="Z3653" s="22" t="n"/>
      <c r="AA3653" s="22" t="n"/>
      <c r="AB3653" s="22" t="n"/>
      <c r="AC3653" s="22" t="n"/>
      <c r="AD3653" s="22" t="n"/>
      <c r="AE3653" s="22" t="n"/>
    </row>
    <row r="3654" ht="70" customHeight="1" s="380">
      <c r="A3654" s="148" t="n">
        <v>131</v>
      </c>
      <c r="B3654" s="390" t="n"/>
      <c r="C3654" s="390" t="inlineStr">
        <is>
          <t>Báo cáo tỷ lệ an toàn tài chính - Chi nhánh công ty chứng khoán nước ngoài tại Việt Nam &gt;&gt; Bảng tính vốn khả dụng</t>
        </is>
      </c>
      <c r="D3654" s="390" t="inlineStr">
        <is>
          <t xml:space="preserve">Thuế và các khoản khác phải thu Nhà nước
</t>
        </is>
      </c>
      <c r="E3654" s="390" t="inlineStr">
        <is>
          <t xml:space="preserve">Thuế và các khoản khác phải thu Nhà nước
</t>
        </is>
      </c>
      <c r="F3654" s="390" t="inlineStr">
        <is>
          <t>Data Explorer</t>
        </is>
      </c>
      <c r="G3654" s="390" t="inlineStr">
        <is>
          <t>Chỉ tiêu cơ sở</t>
        </is>
      </c>
      <c r="H3654" s="390" t="inlineStr">
        <is>
          <t>TB</t>
        </is>
      </c>
      <c r="I3654" s="390" t="inlineStr">
        <is>
          <t>Ngày, CTCK</t>
        </is>
      </c>
      <c r="J3654" s="401" t="inlineStr">
        <is>
          <t>SCMS</t>
        </is>
      </c>
      <c r="K3654" s="401" t="n"/>
      <c r="L3654" s="401" t="inlineStr">
        <is>
          <t>X</t>
        </is>
      </c>
      <c r="M3654" s="401" t="n"/>
      <c r="N3654" s="401" t="inlineStr">
        <is>
          <t>Done</t>
        </is>
      </c>
      <c r="O3654" s="401" t="n"/>
      <c r="P3654" s="401" t="n"/>
      <c r="S3654" s="401" t="n"/>
      <c r="U3654" s="401" t="n"/>
      <c r="V3654" s="22" t="n"/>
      <c r="W3654" s="22" t="n"/>
      <c r="X3654" s="22" t="n"/>
      <c r="Y3654" s="38" t="n"/>
      <c r="Z3654" s="22" t="n"/>
      <c r="AA3654" s="22" t="n"/>
      <c r="AB3654" s="22" t="n"/>
      <c r="AC3654" s="22" t="n"/>
      <c r="AD3654" s="22" t="n"/>
      <c r="AE3654" s="22" t="n"/>
    </row>
    <row r="3655" ht="70" customHeight="1" s="380">
      <c r="A3655" s="148" t="n">
        <v>131</v>
      </c>
      <c r="B3655" s="390" t="n"/>
      <c r="C3655" s="390" t="inlineStr">
        <is>
          <t>Báo cáo tỷ lệ an toàn tài chính - Chi nhánh công ty chứng khoán nước ngoài tại Việt Nam &gt;&gt; Bảng tính vốn khả dụng</t>
        </is>
      </c>
      <c r="D3655" s="390" t="inlineStr">
        <is>
          <t xml:space="preserve">Tài sản ngắn hạn khác
</t>
        </is>
      </c>
      <c r="E3655" s="390" t="inlineStr">
        <is>
          <t xml:space="preserve">Tài sản ngắn hạn khác
</t>
        </is>
      </c>
      <c r="F3655" s="390" t="inlineStr">
        <is>
          <t>Data Explorer</t>
        </is>
      </c>
      <c r="G3655" s="390" t="inlineStr">
        <is>
          <t>Chỉ tiêu cơ sở</t>
        </is>
      </c>
      <c r="H3655" s="390" t="inlineStr">
        <is>
          <t>TB</t>
        </is>
      </c>
      <c r="I3655" s="390" t="inlineStr">
        <is>
          <t>Ngày, CTCK</t>
        </is>
      </c>
      <c r="J3655" s="401" t="inlineStr">
        <is>
          <t>SCMS</t>
        </is>
      </c>
      <c r="K3655" s="401" t="n"/>
      <c r="L3655" s="401" t="inlineStr">
        <is>
          <t>X</t>
        </is>
      </c>
      <c r="M3655" s="401" t="n"/>
      <c r="N3655" s="401" t="inlineStr">
        <is>
          <t>Done</t>
        </is>
      </c>
      <c r="O3655" s="401" t="n"/>
      <c r="P3655" s="401" t="n"/>
      <c r="S3655" s="401" t="n"/>
      <c r="U3655" s="401" t="n"/>
      <c r="V3655" s="22" t="n"/>
      <c r="W3655" s="22" t="n"/>
      <c r="X3655" s="22" t="n"/>
      <c r="Y3655" s="38" t="n"/>
      <c r="Z3655" s="22" t="n"/>
      <c r="AA3655" s="22" t="n"/>
      <c r="AB3655" s="22" t="n"/>
      <c r="AC3655" s="22" t="n"/>
      <c r="AD3655" s="22" t="n"/>
      <c r="AE3655" s="22" t="n"/>
    </row>
    <row r="3656" ht="70" customHeight="1" s="380">
      <c r="A3656" s="148" t="n">
        <v>131</v>
      </c>
      <c r="B3656" s="390" t="n"/>
      <c r="C3656" s="390" t="inlineStr">
        <is>
          <t>Báo cáo tỷ lệ an toàn tài chính - Chi nhánh công ty chứng khoán nước ngoài tại Việt Nam &gt;&gt; Bảng tính vốn khả dụng</t>
        </is>
      </c>
      <c r="D3656" s="390" t="inlineStr">
        <is>
          <t>Vật tư văn phòng, công cụ dụng cụ</t>
        </is>
      </c>
      <c r="E3656" s="390" t="inlineStr">
        <is>
          <t>Vật tư văn phòng, công cụ dụng cụ</t>
        </is>
      </c>
      <c r="F3656" s="390" t="inlineStr">
        <is>
          <t>Data Explorer</t>
        </is>
      </c>
      <c r="G3656" s="390" t="inlineStr">
        <is>
          <t>Chỉ tiêu cơ sở</t>
        </is>
      </c>
      <c r="H3656" s="390" t="inlineStr">
        <is>
          <t>TB</t>
        </is>
      </c>
      <c r="I3656" s="390" t="inlineStr">
        <is>
          <t>Ngày, CTCK</t>
        </is>
      </c>
      <c r="J3656" s="401" t="inlineStr">
        <is>
          <t>SCMS</t>
        </is>
      </c>
      <c r="K3656" s="401" t="n"/>
      <c r="L3656" s="401" t="inlineStr">
        <is>
          <t>X</t>
        </is>
      </c>
      <c r="M3656" s="401" t="n"/>
      <c r="N3656" s="401" t="inlineStr">
        <is>
          <t>Done</t>
        </is>
      </c>
      <c r="O3656" s="401" t="n"/>
      <c r="P3656" s="401" t="n"/>
      <c r="S3656" s="401" t="n"/>
      <c r="U3656" s="401" t="n"/>
      <c r="V3656" s="22" t="n"/>
      <c r="W3656" s="22" t="n"/>
      <c r="X3656" s="22" t="n"/>
      <c r="Y3656" s="38" t="n"/>
      <c r="Z3656" s="22" t="n"/>
      <c r="AA3656" s="22" t="n"/>
      <c r="AB3656" s="22" t="n"/>
      <c r="AC3656" s="22" t="n"/>
      <c r="AD3656" s="22" t="n"/>
      <c r="AE3656" s="22" t="n"/>
    </row>
    <row r="3657" ht="70" customHeight="1" s="380">
      <c r="A3657" s="148" t="n">
        <v>131</v>
      </c>
      <c r="B3657" s="390" t="n"/>
      <c r="C3657" s="390" t="inlineStr">
        <is>
          <t>Báo cáo tỷ lệ an toàn tài chính - Chi nhánh công ty chứng khoán nước ngoài tại Việt Nam &gt;&gt; Bảng tính vốn khả dụng</t>
        </is>
      </c>
      <c r="D3657" s="390" t="inlineStr">
        <is>
          <t>Chi phí trả trước ngắn hạn</t>
        </is>
      </c>
      <c r="E3657" s="390" t="inlineStr">
        <is>
          <t>Chi phí trả trước ngắn hạn</t>
        </is>
      </c>
      <c r="F3657" s="390" t="inlineStr">
        <is>
          <t>Data Explorer</t>
        </is>
      </c>
      <c r="G3657" s="390" t="inlineStr">
        <is>
          <t>Chỉ tiêu cơ sở</t>
        </is>
      </c>
      <c r="H3657" s="390" t="inlineStr">
        <is>
          <t>TB</t>
        </is>
      </c>
      <c r="I3657" s="390" t="inlineStr">
        <is>
          <t>Ngày, CTCK</t>
        </is>
      </c>
      <c r="J3657" s="401" t="inlineStr">
        <is>
          <t>SCMS</t>
        </is>
      </c>
      <c r="K3657" s="401" t="n"/>
      <c r="L3657" s="401" t="inlineStr">
        <is>
          <t>X</t>
        </is>
      </c>
      <c r="M3657" s="401" t="n"/>
      <c r="N3657" s="401" t="inlineStr">
        <is>
          <t>Done</t>
        </is>
      </c>
      <c r="O3657" s="401" t="n"/>
      <c r="P3657" s="401" t="n"/>
      <c r="S3657" s="401" t="n"/>
      <c r="U3657" s="401" t="n"/>
      <c r="V3657" s="22" t="n"/>
      <c r="W3657" s="22" t="n"/>
      <c r="X3657" s="22" t="n"/>
      <c r="Y3657" s="38" t="n"/>
      <c r="Z3657" s="22" t="n"/>
      <c r="AA3657" s="22" t="n"/>
      <c r="AB3657" s="22" t="n"/>
      <c r="AC3657" s="22" t="n"/>
      <c r="AD3657" s="22" t="n"/>
      <c r="AE3657" s="22" t="n"/>
    </row>
    <row r="3658" ht="70" customHeight="1" s="380">
      <c r="A3658" s="148" t="n">
        <v>131</v>
      </c>
      <c r="B3658" s="390" t="n"/>
      <c r="C3658" s="390" t="inlineStr">
        <is>
          <t>Báo cáo tỷ lệ an toàn tài chính - Chi nhánh công ty chứng khoán nước ngoài tại Việt Nam &gt;&gt; Bảng tính vốn khả dụng</t>
        </is>
      </c>
      <c r="D3658" s="390" t="inlineStr">
        <is>
          <t>Cầm cố, thế chấp, ký quỹ, ký cược ngắn hạn</t>
        </is>
      </c>
      <c r="E3658" s="390" t="inlineStr">
        <is>
          <t>Cầm cố, thế chấp, ký quỹ, ký cược ngắn hạn</t>
        </is>
      </c>
      <c r="F3658" s="390" t="inlineStr">
        <is>
          <t>Data Explorer</t>
        </is>
      </c>
      <c r="G3658" s="390" t="inlineStr">
        <is>
          <t>Chỉ tiêu cơ sở</t>
        </is>
      </c>
      <c r="H3658" s="390" t="inlineStr">
        <is>
          <t>TB</t>
        </is>
      </c>
      <c r="I3658" s="390" t="inlineStr">
        <is>
          <t>Ngày, CTCK</t>
        </is>
      </c>
      <c r="J3658" s="401" t="inlineStr">
        <is>
          <t>SCMS</t>
        </is>
      </c>
      <c r="K3658" s="401" t="n"/>
      <c r="L3658" s="401" t="inlineStr">
        <is>
          <t>X</t>
        </is>
      </c>
      <c r="M3658" s="401" t="n"/>
      <c r="N3658" s="401" t="inlineStr">
        <is>
          <t>Done</t>
        </is>
      </c>
      <c r="O3658" s="401" t="n"/>
      <c r="P3658" s="401" t="n"/>
      <c r="S3658" s="401" t="n"/>
      <c r="U3658" s="401" t="n"/>
      <c r="V3658" s="22" t="n"/>
      <c r="W3658" s="22" t="n"/>
      <c r="X3658" s="22" t="n"/>
      <c r="Y3658" s="38" t="n"/>
      <c r="Z3658" s="22" t="n"/>
      <c r="AA3658" s="22" t="n"/>
      <c r="AB3658" s="22" t="n"/>
      <c r="AC3658" s="22" t="n"/>
      <c r="AD3658" s="22" t="n"/>
      <c r="AE3658" s="22" t="n"/>
    </row>
    <row r="3659" ht="70" customHeight="1" s="380">
      <c r="A3659" s="148" t="n">
        <v>131</v>
      </c>
      <c r="B3659" s="390" t="n"/>
      <c r="C3659" s="390" t="inlineStr">
        <is>
          <t>Báo cáo tỷ lệ an toàn tài chính - Chi nhánh công ty chứng khoán nước ngoài tại Việt Nam &gt;&gt; Bảng tính vốn khả dụng</t>
        </is>
      </c>
      <c r="D3659" s="390" t="inlineStr">
        <is>
          <t>Thuế giá trị gia tăng được khấu trừ</t>
        </is>
      </c>
      <c r="E3659" s="390" t="inlineStr">
        <is>
          <t>Thuế giá trị gia tăng được khấu trừ</t>
        </is>
      </c>
      <c r="F3659" s="390" t="inlineStr">
        <is>
          <t>Data Explorer</t>
        </is>
      </c>
      <c r="G3659" s="390" t="inlineStr">
        <is>
          <t>Chỉ tiêu cơ sở</t>
        </is>
      </c>
      <c r="H3659" s="390" t="inlineStr">
        <is>
          <t>TB</t>
        </is>
      </c>
      <c r="I3659" s="390" t="inlineStr">
        <is>
          <t>Ngày, CTCK</t>
        </is>
      </c>
      <c r="J3659" s="401" t="inlineStr">
        <is>
          <t>SCMS</t>
        </is>
      </c>
      <c r="K3659" s="401" t="n"/>
      <c r="L3659" s="401" t="inlineStr">
        <is>
          <t>X</t>
        </is>
      </c>
      <c r="M3659" s="401" t="n"/>
      <c r="N3659" s="401" t="inlineStr">
        <is>
          <t>Done</t>
        </is>
      </c>
      <c r="O3659" s="401" t="n"/>
      <c r="P3659" s="401" t="n"/>
      <c r="S3659" s="401" t="n"/>
      <c r="U3659" s="401" t="n"/>
      <c r="V3659" s="22" t="n"/>
      <c r="W3659" s="22" t="n"/>
      <c r="X3659" s="22" t="n"/>
      <c r="Y3659" s="38" t="n"/>
      <c r="Z3659" s="22" t="n"/>
      <c r="AA3659" s="22" t="n"/>
      <c r="AB3659" s="22" t="n"/>
      <c r="AC3659" s="22" t="n"/>
      <c r="AD3659" s="22" t="n"/>
      <c r="AE3659" s="22" t="n"/>
    </row>
    <row r="3660" ht="70" customHeight="1" s="380">
      <c r="A3660" s="148" t="n">
        <v>131</v>
      </c>
      <c r="B3660" s="390" t="n"/>
      <c r="C3660" s="390" t="inlineStr">
        <is>
          <t>Báo cáo tỷ lệ an toàn tài chính - Chi nhánh công ty chứng khoán nước ngoài tại Việt Nam &gt;&gt; Bảng tính vốn khả dụng</t>
        </is>
      </c>
      <c r="D3660" s="390" t="inlineStr">
        <is>
          <t>Thuế và các khoản khác phải thu Nhà nước</t>
        </is>
      </c>
      <c r="E3660" s="390" t="inlineStr">
        <is>
          <t>Thuế và các khoản khác phải thu Nhà nước</t>
        </is>
      </c>
      <c r="F3660" s="390" t="inlineStr">
        <is>
          <t>Data Explorer</t>
        </is>
      </c>
      <c r="G3660" s="390" t="inlineStr">
        <is>
          <t>Chỉ tiêu cơ sở</t>
        </is>
      </c>
      <c r="H3660" s="390" t="inlineStr">
        <is>
          <t>TB</t>
        </is>
      </c>
      <c r="I3660" s="390" t="inlineStr">
        <is>
          <t>Ngày, CTCK</t>
        </is>
      </c>
      <c r="J3660" s="401" t="inlineStr">
        <is>
          <t>SCMS</t>
        </is>
      </c>
      <c r="K3660" s="401" t="n"/>
      <c r="L3660" s="401" t="inlineStr">
        <is>
          <t>X</t>
        </is>
      </c>
      <c r="M3660" s="401" t="n"/>
      <c r="N3660" s="401" t="inlineStr">
        <is>
          <t>Done</t>
        </is>
      </c>
      <c r="O3660" s="401" t="n"/>
      <c r="P3660" s="401" t="n"/>
      <c r="S3660" s="401" t="n"/>
      <c r="U3660" s="401" t="n"/>
      <c r="V3660" s="22" t="n"/>
      <c r="W3660" s="22" t="n"/>
      <c r="X3660" s="22" t="n"/>
      <c r="Y3660" s="38" t="n"/>
      <c r="Z3660" s="22" t="n"/>
      <c r="AA3660" s="22" t="n"/>
      <c r="AB3660" s="22" t="n"/>
      <c r="AC3660" s="22" t="n"/>
      <c r="AD3660" s="22" t="n"/>
      <c r="AE3660" s="22" t="n"/>
    </row>
    <row r="3661" ht="70" customHeight="1" s="380">
      <c r="A3661" s="148" t="n">
        <v>131</v>
      </c>
      <c r="B3661" s="390" t="n"/>
      <c r="C3661" s="390" t="inlineStr">
        <is>
          <t>Báo cáo tỷ lệ an toàn tài chính - Chi nhánh công ty chứng khoán nước ngoài tại Việt Nam &gt;&gt; Bảng tính vốn khả dụng</t>
        </is>
      </c>
      <c r="D3661" s="390" t="inlineStr">
        <is>
          <t>Tài sản ngắn hạn khác</t>
        </is>
      </c>
      <c r="E3661" s="390" t="inlineStr">
        <is>
          <t>Tài sản ngắn hạn khác</t>
        </is>
      </c>
      <c r="F3661" s="390" t="inlineStr">
        <is>
          <t>Data Explorer</t>
        </is>
      </c>
      <c r="G3661" s="390" t="inlineStr">
        <is>
          <t>Chỉ tiêu cơ sở</t>
        </is>
      </c>
      <c r="H3661" s="390" t="inlineStr">
        <is>
          <t>TB</t>
        </is>
      </c>
      <c r="I3661" s="390" t="inlineStr">
        <is>
          <t>Ngày, CTCK</t>
        </is>
      </c>
      <c r="J3661" s="401" t="inlineStr">
        <is>
          <t>SCMS</t>
        </is>
      </c>
      <c r="K3661" s="401" t="n"/>
      <c r="L3661" s="401" t="inlineStr">
        <is>
          <t>X</t>
        </is>
      </c>
      <c r="M3661" s="401" t="n"/>
      <c r="N3661" s="401" t="inlineStr">
        <is>
          <t>Done</t>
        </is>
      </c>
      <c r="O3661" s="401" t="n"/>
      <c r="P3661" s="401" t="n"/>
      <c r="S3661" s="401" t="n"/>
      <c r="U3661" s="401" t="n"/>
      <c r="V3661" s="22" t="n"/>
      <c r="W3661" s="22" t="n"/>
      <c r="X3661" s="22" t="n"/>
      <c r="Y3661" s="38" t="n"/>
      <c r="Z3661" s="22" t="n"/>
      <c r="AA3661" s="22" t="n"/>
      <c r="AB3661" s="22" t="n"/>
      <c r="AC3661" s="22" t="n"/>
      <c r="AD3661" s="22" t="n"/>
      <c r="AE3661" s="22" t="n"/>
    </row>
    <row r="3662" ht="70" customHeight="1" s="380">
      <c r="A3662" s="148" t="n">
        <v>131</v>
      </c>
      <c r="B3662" s="390" t="n"/>
      <c r="C3662" s="390" t="inlineStr">
        <is>
          <t>Báo cáo tỷ lệ an toàn tài chính - Chi nhánh công ty chứng khoán nước ngoài tại Việt Nam &gt;&gt; Bảng tính vốn khả dụng</t>
        </is>
      </c>
      <c r="D3662" s="390" t="inlineStr">
        <is>
          <t xml:space="preserve">Dự phòng suy giảm giá trị tài sản ngắn hạn khác
</t>
        </is>
      </c>
      <c r="E3662" s="390" t="inlineStr">
        <is>
          <t xml:space="preserve">Dự phòng suy giảm giá trị tài sản ngắn hạn khác
</t>
        </is>
      </c>
      <c r="F3662" s="390" t="inlineStr">
        <is>
          <t>Data Explorer</t>
        </is>
      </c>
      <c r="G3662" s="390" t="inlineStr">
        <is>
          <t>Chỉ tiêu cơ sở</t>
        </is>
      </c>
      <c r="H3662" s="390" t="inlineStr">
        <is>
          <t>TB</t>
        </is>
      </c>
      <c r="I3662" s="390" t="inlineStr">
        <is>
          <t>Ngày, CTCK</t>
        </is>
      </c>
      <c r="J3662" s="401" t="inlineStr">
        <is>
          <t>SCMS</t>
        </is>
      </c>
      <c r="K3662" s="401" t="n"/>
      <c r="L3662" s="401" t="inlineStr">
        <is>
          <t>X</t>
        </is>
      </c>
      <c r="M3662" s="401" t="n"/>
      <c r="N3662" s="401" t="inlineStr">
        <is>
          <t>Done</t>
        </is>
      </c>
      <c r="O3662" s="401" t="n"/>
      <c r="P3662" s="401" t="n"/>
      <c r="S3662" s="401" t="n"/>
      <c r="U3662" s="401" t="n"/>
      <c r="V3662" s="22" t="n"/>
      <c r="W3662" s="22" t="n"/>
      <c r="X3662" s="22" t="n"/>
      <c r="Y3662" s="38" t="n"/>
      <c r="Z3662" s="22" t="n"/>
      <c r="AA3662" s="22" t="n"/>
      <c r="AB3662" s="22" t="n"/>
      <c r="AC3662" s="22" t="n"/>
      <c r="AD3662" s="22" t="n"/>
      <c r="AE3662" s="22" t="n"/>
    </row>
    <row r="3663" ht="70" customHeight="1" s="380">
      <c r="A3663" s="148" t="n">
        <v>131</v>
      </c>
      <c r="B3663" s="390" t="n"/>
      <c r="C3663" s="390" t="inlineStr">
        <is>
          <t>Báo cáo tỷ lệ an toàn tài chính - Chi nhánh công ty chứng khoán nước ngoài tại Việt Nam &gt;&gt; Bảng tính vốn khả dụng</t>
        </is>
      </c>
      <c r="D3663" s="390" t="inlineStr">
        <is>
          <t xml:space="preserve">Tổng
</t>
        </is>
      </c>
      <c r="E3663" s="390" t="inlineStr">
        <is>
          <t xml:space="preserve">Tổng
</t>
        </is>
      </c>
      <c r="F3663" s="390" t="inlineStr">
        <is>
          <t>Data Explorer</t>
        </is>
      </c>
      <c r="G3663" s="390" t="inlineStr">
        <is>
          <t>Chỉ tiêu cơ sở</t>
        </is>
      </c>
      <c r="H3663" s="390" t="inlineStr">
        <is>
          <t>TB</t>
        </is>
      </c>
      <c r="I3663" s="390" t="inlineStr">
        <is>
          <t>Ngày, CTCK</t>
        </is>
      </c>
      <c r="J3663" s="401" t="inlineStr">
        <is>
          <t>SCMS</t>
        </is>
      </c>
      <c r="K3663" s="401" t="n"/>
      <c r="L3663" s="401" t="inlineStr">
        <is>
          <t>X</t>
        </is>
      </c>
      <c r="M3663" s="401" t="n"/>
      <c r="N3663" s="401" t="inlineStr">
        <is>
          <t>Done</t>
        </is>
      </c>
      <c r="O3663" s="401" t="n"/>
      <c r="P3663" s="401" t="n"/>
      <c r="S3663" s="401" t="n"/>
      <c r="U3663" s="401" t="n"/>
      <c r="V3663" s="22" t="n"/>
      <c r="W3663" s="22" t="n"/>
      <c r="X3663" s="22" t="n"/>
      <c r="Y3663" s="38" t="n"/>
      <c r="Z3663" s="22" t="n"/>
      <c r="AA3663" s="22" t="n"/>
      <c r="AB3663" s="22" t="n"/>
      <c r="AC3663" s="22" t="n"/>
      <c r="AD3663" s="22" t="n"/>
      <c r="AE3663" s="22" t="n"/>
    </row>
    <row r="3664" ht="70" customHeight="1" s="380">
      <c r="A3664" s="148" t="n">
        <v>131</v>
      </c>
      <c r="B3664" s="390" t="n"/>
      <c r="C3664" s="390" t="inlineStr">
        <is>
          <t>Báo cáo tỷ lệ an toàn tài chính - Chi nhánh công ty chứng khoán nước ngoài tại Việt Nam &gt;&gt; Bảng tính vốn khả dụng</t>
        </is>
      </c>
      <c r="D3664" s="390" t="inlineStr">
        <is>
          <t xml:space="preserve">Tài sản dài hạn
</t>
        </is>
      </c>
      <c r="E3664" s="390" t="inlineStr">
        <is>
          <t xml:space="preserve">Tài sản dài hạn
</t>
        </is>
      </c>
      <c r="F3664" s="390" t="inlineStr">
        <is>
          <t>Data Explorer</t>
        </is>
      </c>
      <c r="G3664" s="390" t="inlineStr">
        <is>
          <t>Chỉ tiêu cơ sở</t>
        </is>
      </c>
      <c r="H3664" s="390" t="inlineStr">
        <is>
          <t>TB</t>
        </is>
      </c>
      <c r="I3664" s="390" t="inlineStr">
        <is>
          <t>Ngày, CTCK</t>
        </is>
      </c>
      <c r="J3664" s="401" t="inlineStr">
        <is>
          <t>SCMS</t>
        </is>
      </c>
      <c r="K3664" s="401" t="n"/>
      <c r="L3664" s="401" t="inlineStr">
        <is>
          <t>X</t>
        </is>
      </c>
      <c r="M3664" s="401" t="n"/>
      <c r="N3664" s="401" t="inlineStr">
        <is>
          <t>Done</t>
        </is>
      </c>
      <c r="O3664" s="401" t="n"/>
      <c r="P3664" s="401" t="n"/>
      <c r="S3664" s="401" t="n"/>
      <c r="U3664" s="401" t="n"/>
      <c r="V3664" s="22" t="n"/>
      <c r="W3664" s="22" t="n"/>
      <c r="X3664" s="22" t="n"/>
      <c r="Y3664" s="38" t="n"/>
      <c r="Z3664" s="22" t="n"/>
      <c r="AA3664" s="22" t="n"/>
      <c r="AB3664" s="22" t="n"/>
      <c r="AC3664" s="22" t="n"/>
      <c r="AD3664" s="22" t="n"/>
      <c r="AE3664" s="22" t="n"/>
    </row>
    <row r="3665" ht="70" customHeight="1" s="380">
      <c r="A3665" s="148" t="n">
        <v>131</v>
      </c>
      <c r="B3665" s="390" t="n"/>
      <c r="C3665" s="390" t="inlineStr">
        <is>
          <t>Báo cáo tỷ lệ an toàn tài chính - Chi nhánh công ty chứng khoán nước ngoài tại Việt Nam &gt;&gt; Bảng tính vốn khả dụng</t>
        </is>
      </c>
      <c r="D3665" s="390" t="inlineStr">
        <is>
          <t xml:space="preserve">Tài sản tài chính dài hạn
</t>
        </is>
      </c>
      <c r="E3665" s="390" t="inlineStr">
        <is>
          <t xml:space="preserve">Tài sản tài chính dài hạn
</t>
        </is>
      </c>
      <c r="F3665" s="390" t="inlineStr">
        <is>
          <t>Data Explorer</t>
        </is>
      </c>
      <c r="G3665" s="390" t="inlineStr">
        <is>
          <t>Chỉ tiêu cơ sở</t>
        </is>
      </c>
      <c r="H3665" s="390" t="inlineStr">
        <is>
          <t>TB</t>
        </is>
      </c>
      <c r="I3665" s="390" t="inlineStr">
        <is>
          <t>Ngày, CTCK</t>
        </is>
      </c>
      <c r="J3665" s="401" t="inlineStr">
        <is>
          <t>SCMS</t>
        </is>
      </c>
      <c r="K3665" s="401" t="n"/>
      <c r="L3665" s="401" t="inlineStr">
        <is>
          <t>X</t>
        </is>
      </c>
      <c r="M3665" s="401" t="n"/>
      <c r="N3665" s="401" t="inlineStr">
        <is>
          <t>Done</t>
        </is>
      </c>
      <c r="O3665" s="401" t="n"/>
      <c r="P3665" s="401" t="n"/>
      <c r="S3665" s="401" t="n"/>
      <c r="U3665" s="401" t="n"/>
      <c r="V3665" s="22" t="n"/>
      <c r="W3665" s="22" t="n"/>
      <c r="X3665" s="22" t="n"/>
      <c r="Y3665" s="38" t="n"/>
      <c r="Z3665" s="22" t="n"/>
      <c r="AA3665" s="22" t="n"/>
      <c r="AB3665" s="22" t="n"/>
      <c r="AC3665" s="22" t="n"/>
      <c r="AD3665" s="22" t="n"/>
      <c r="AE3665" s="22" t="n"/>
    </row>
    <row r="3666" ht="70" customHeight="1" s="380">
      <c r="A3666" s="148" t="n">
        <v>131</v>
      </c>
      <c r="B3666" s="390" t="n"/>
      <c r="C3666" s="390" t="inlineStr">
        <is>
          <t>Báo cáo tỷ lệ an toàn tài chính - Chi nhánh công ty chứng khoán nước ngoài tại Việt Nam &gt;&gt; Bảng tính vốn khả dụng</t>
        </is>
      </c>
      <c r="D3666" s="390" t="inlineStr">
        <is>
          <t xml:space="preserve">Các khoản phải thu dài hạn
</t>
        </is>
      </c>
      <c r="E3666" s="390" t="inlineStr">
        <is>
          <t xml:space="preserve">Các khoản phải thu dài hạn
</t>
        </is>
      </c>
      <c r="F3666" s="390" t="inlineStr">
        <is>
          <t>Data Explorer</t>
        </is>
      </c>
      <c r="G3666" s="390" t="inlineStr">
        <is>
          <t>Chỉ tiêu cơ sở</t>
        </is>
      </c>
      <c r="H3666" s="390" t="inlineStr">
        <is>
          <t>TB</t>
        </is>
      </c>
      <c r="I3666" s="390" t="inlineStr">
        <is>
          <t>Ngày, CTCK</t>
        </is>
      </c>
      <c r="J3666" s="401" t="inlineStr">
        <is>
          <t>SCMS</t>
        </is>
      </c>
      <c r="K3666" s="401" t="n"/>
      <c r="L3666" s="401" t="inlineStr">
        <is>
          <t>X</t>
        </is>
      </c>
      <c r="M3666" s="401" t="n"/>
      <c r="N3666" s="401" t="inlineStr">
        <is>
          <t>Done</t>
        </is>
      </c>
      <c r="O3666" s="401" t="n"/>
      <c r="P3666" s="401" t="n"/>
      <c r="S3666" s="401" t="n"/>
      <c r="U3666" s="401" t="n"/>
      <c r="V3666" s="22" t="n"/>
      <c r="W3666" s="22" t="n"/>
      <c r="X3666" s="22" t="n"/>
      <c r="Y3666" s="38" t="n"/>
      <c r="Z3666" s="22" t="n"/>
      <c r="AA3666" s="22" t="n"/>
      <c r="AB3666" s="22" t="n"/>
      <c r="AC3666" s="22" t="n"/>
      <c r="AD3666" s="22" t="n"/>
      <c r="AE3666" s="22" t="n"/>
    </row>
    <row r="3667" ht="70" customHeight="1" s="380">
      <c r="A3667" s="148" t="n">
        <v>131</v>
      </c>
      <c r="B3667" s="390" t="n"/>
      <c r="C3667" s="390" t="inlineStr">
        <is>
          <t>Báo cáo tỷ lệ an toàn tài chính - Chi nhánh công ty chứng khoán nước ngoài tại Việt Nam &gt;&gt; Bảng tính vốn khả dụng</t>
        </is>
      </c>
      <c r="D3667" s="390" t="inlineStr">
        <is>
          <t xml:space="preserve">Các khoản đầu tư
</t>
        </is>
      </c>
      <c r="E3667" s="390" t="inlineStr">
        <is>
          <t xml:space="preserve">Các khoản đầu tư
</t>
        </is>
      </c>
      <c r="F3667" s="390" t="inlineStr">
        <is>
          <t>Data Explorer</t>
        </is>
      </c>
      <c r="G3667" s="390" t="inlineStr">
        <is>
          <t>Chỉ tiêu cơ sở</t>
        </is>
      </c>
      <c r="H3667" s="390" t="inlineStr">
        <is>
          <t>TB</t>
        </is>
      </c>
      <c r="I3667" s="390" t="inlineStr">
        <is>
          <t>Ngày, CTCK</t>
        </is>
      </c>
      <c r="J3667" s="401" t="inlineStr">
        <is>
          <t>SCMS</t>
        </is>
      </c>
      <c r="K3667" s="401" t="n"/>
      <c r="L3667" s="401" t="inlineStr">
        <is>
          <t>X</t>
        </is>
      </c>
      <c r="M3667" s="401" t="n"/>
      <c r="N3667" s="401" t="inlineStr">
        <is>
          <t>Done</t>
        </is>
      </c>
      <c r="O3667" s="401" t="n"/>
      <c r="P3667" s="401" t="n"/>
      <c r="S3667" s="401" t="n"/>
      <c r="U3667" s="401" t="n"/>
      <c r="V3667" s="22" t="n"/>
      <c r="W3667" s="22" t="n"/>
      <c r="X3667" s="22" t="n"/>
      <c r="Y3667" s="38" t="n"/>
      <c r="Z3667" s="22" t="n"/>
      <c r="AA3667" s="22" t="n"/>
      <c r="AB3667" s="22" t="n"/>
      <c r="AC3667" s="22" t="n"/>
      <c r="AD3667" s="22" t="n"/>
      <c r="AE3667" s="22" t="n"/>
    </row>
    <row r="3668" ht="70" customHeight="1" s="380">
      <c r="A3668" s="148" t="n">
        <v>131</v>
      </c>
      <c r="B3668" s="390" t="n"/>
      <c r="C3668" s="390" t="inlineStr">
        <is>
          <t>Báo cáo tỷ lệ an toàn tài chính - Chi nhánh công ty chứng khoán nước ngoài tại Việt Nam &gt;&gt; Bảng tính vốn khả dụng</t>
        </is>
      </c>
      <c r="D3668" s="390" t="inlineStr">
        <is>
          <t xml:space="preserve">Các khoản đầu tư nắm giữ đến ngày đáo hạn
</t>
        </is>
      </c>
      <c r="E3668" s="390" t="inlineStr">
        <is>
          <t xml:space="preserve">Các khoản đầu tư nắm giữ đến ngày đáo hạn
</t>
        </is>
      </c>
      <c r="F3668" s="390" t="inlineStr">
        <is>
          <t>Data Explorer</t>
        </is>
      </c>
      <c r="G3668" s="390" t="inlineStr">
        <is>
          <t>Chỉ tiêu cơ sở</t>
        </is>
      </c>
      <c r="H3668" s="390" t="inlineStr">
        <is>
          <t>TB</t>
        </is>
      </c>
      <c r="I3668" s="390" t="inlineStr">
        <is>
          <t>Ngày, CTCK</t>
        </is>
      </c>
      <c r="J3668" s="401" t="inlineStr">
        <is>
          <t>SCMS</t>
        </is>
      </c>
      <c r="K3668" s="401" t="n"/>
      <c r="L3668" s="401" t="inlineStr">
        <is>
          <t>X</t>
        </is>
      </c>
      <c r="M3668" s="401" t="n"/>
      <c r="N3668" s="401" t="inlineStr">
        <is>
          <t>Done</t>
        </is>
      </c>
      <c r="O3668" s="401" t="n"/>
      <c r="P3668" s="401" t="n"/>
      <c r="S3668" s="401" t="n"/>
      <c r="U3668" s="401" t="n"/>
      <c r="V3668" s="22" t="n"/>
      <c r="W3668" s="22" t="n"/>
      <c r="X3668" s="22" t="n"/>
      <c r="Y3668" s="38" t="n"/>
      <c r="Z3668" s="22" t="n"/>
      <c r="AA3668" s="22" t="n"/>
      <c r="AB3668" s="22" t="n"/>
      <c r="AC3668" s="22" t="n"/>
      <c r="AD3668" s="22" t="n"/>
      <c r="AE3668" s="22" t="n"/>
    </row>
    <row r="3669" ht="70" customHeight="1" s="380">
      <c r="A3669" s="148" t="n">
        <v>131</v>
      </c>
      <c r="B3669" s="390" t="n"/>
      <c r="C3669" s="390" t="inlineStr">
        <is>
          <t>Báo cáo tỷ lệ an toàn tài chính - Chi nhánh công ty chứng khoán nước ngoài tại Việt Nam &gt;&gt; Bảng tính vốn khả dụng</t>
        </is>
      </c>
      <c r="D3669" s="390" t="inlineStr">
        <is>
          <t xml:space="preserve">- Chứng khoán tiềm ẩn rủi ro thị trường
</t>
        </is>
      </c>
      <c r="E3669" s="390" t="inlineStr">
        <is>
          <t xml:space="preserve">- Chứng khoán tiềm ẩn rủi ro thị trường
</t>
        </is>
      </c>
      <c r="F3669" s="390" t="inlineStr">
        <is>
          <t>Data Explorer</t>
        </is>
      </c>
      <c r="G3669" s="390" t="inlineStr">
        <is>
          <t>Chỉ tiêu cơ sở</t>
        </is>
      </c>
      <c r="H3669" s="390" t="inlineStr">
        <is>
          <t>TB</t>
        </is>
      </c>
      <c r="I3669" s="390" t="inlineStr">
        <is>
          <t>Ngày, CTCK</t>
        </is>
      </c>
      <c r="J3669" s="401" t="inlineStr">
        <is>
          <t>SCMS</t>
        </is>
      </c>
      <c r="K3669" s="401" t="n"/>
      <c r="L3669" s="401" t="inlineStr">
        <is>
          <t>X</t>
        </is>
      </c>
      <c r="M3669" s="401" t="n"/>
      <c r="N3669" s="401" t="inlineStr">
        <is>
          <t>Done</t>
        </is>
      </c>
      <c r="O3669" s="401" t="n"/>
      <c r="P3669" s="401" t="n"/>
      <c r="S3669" s="401" t="n"/>
      <c r="U3669" s="401" t="n"/>
      <c r="V3669" s="22" t="n"/>
      <c r="W3669" s="22" t="n"/>
      <c r="X3669" s="22" t="n"/>
      <c r="Y3669" s="38" t="n"/>
      <c r="Z3669" s="22" t="n"/>
      <c r="AA3669" s="22" t="n"/>
      <c r="AB3669" s="22" t="n"/>
      <c r="AC3669" s="22" t="n"/>
      <c r="AD3669" s="22" t="n"/>
      <c r="AE3669" s="22" t="n"/>
    </row>
    <row r="3670" ht="70" customHeight="1" s="380">
      <c r="A3670" s="148" t="n">
        <v>131</v>
      </c>
      <c r="B3670" s="390" t="n"/>
      <c r="C3670" s="390" t="inlineStr">
        <is>
          <t>Báo cáo tỷ lệ an toàn tài chính - Chi nhánh công ty chứng khoán nước ngoài tại Việt Nam &gt;&gt; Bảng tính vốn khả dụng</t>
        </is>
      </c>
      <c r="D3670" s="390" t="inlineStr">
        <is>
          <t xml:space="preserve">- Chứng khoán bị giảm trừ khỏi vốn khả dụng
</t>
        </is>
      </c>
      <c r="E3670" s="390" t="inlineStr">
        <is>
          <t xml:space="preserve">- Chứng khoán bị giảm trừ khỏi vốn khả dụng
</t>
        </is>
      </c>
      <c r="F3670" s="390" t="inlineStr">
        <is>
          <t>Data Explorer</t>
        </is>
      </c>
      <c r="G3670" s="390" t="inlineStr">
        <is>
          <t>Chỉ tiêu cơ sở</t>
        </is>
      </c>
      <c r="H3670" s="390" t="inlineStr">
        <is>
          <t>TB</t>
        </is>
      </c>
      <c r="I3670" s="390" t="inlineStr">
        <is>
          <t>Ngày, CTCK</t>
        </is>
      </c>
      <c r="J3670" s="401" t="inlineStr">
        <is>
          <t>SCMS</t>
        </is>
      </c>
      <c r="K3670" s="401" t="n"/>
      <c r="L3670" s="401" t="inlineStr">
        <is>
          <t>X</t>
        </is>
      </c>
      <c r="M3670" s="401" t="n"/>
      <c r="N3670" s="401" t="inlineStr">
        <is>
          <t>Done</t>
        </is>
      </c>
      <c r="O3670" s="401" t="n"/>
      <c r="P3670" s="401" t="n"/>
      <c r="S3670" s="401" t="n"/>
      <c r="U3670" s="401" t="n"/>
      <c r="V3670" s="22" t="n"/>
      <c r="W3670" s="22" t="n"/>
      <c r="X3670" s="22" t="n"/>
      <c r="Y3670" s="38" t="n"/>
      <c r="Z3670" s="22" t="n"/>
      <c r="AA3670" s="22" t="n"/>
      <c r="AB3670" s="22" t="n"/>
      <c r="AC3670" s="22" t="n"/>
      <c r="AD3670" s="22" t="n"/>
      <c r="AE3670" s="22" t="n"/>
    </row>
    <row r="3671" ht="70" customHeight="1" s="380">
      <c r="A3671" s="148" t="n">
        <v>131</v>
      </c>
      <c r="B3671" s="390" t="n"/>
      <c r="C3671" s="390" t="inlineStr">
        <is>
          <t>Báo cáo tỷ lệ an toàn tài chính - Chi nhánh công ty chứng khoán nước ngoài tại Việt Nam &gt;&gt; Bảng tính vốn khả dụng</t>
        </is>
      </c>
      <c r="D3671" s="390" t="inlineStr">
        <is>
          <t xml:space="preserve">Đầu tư vào công ty con
</t>
        </is>
      </c>
      <c r="E3671" s="390" t="inlineStr">
        <is>
          <t xml:space="preserve">Đầu tư vào công ty con
</t>
        </is>
      </c>
      <c r="F3671" s="390" t="inlineStr">
        <is>
          <t>Data Explorer</t>
        </is>
      </c>
      <c r="G3671" s="390" t="inlineStr">
        <is>
          <t>Chỉ tiêu cơ sở</t>
        </is>
      </c>
      <c r="H3671" s="390" t="inlineStr">
        <is>
          <t>TB</t>
        </is>
      </c>
      <c r="I3671" s="390" t="inlineStr">
        <is>
          <t>Ngày, CTCK</t>
        </is>
      </c>
      <c r="J3671" s="401" t="inlineStr">
        <is>
          <t>SCMS</t>
        </is>
      </c>
      <c r="K3671" s="401" t="n"/>
      <c r="L3671" s="401" t="inlineStr">
        <is>
          <t>X</t>
        </is>
      </c>
      <c r="M3671" s="401" t="n"/>
      <c r="N3671" s="401" t="inlineStr">
        <is>
          <t>Done</t>
        </is>
      </c>
      <c r="O3671" s="401" t="n"/>
      <c r="P3671" s="401" t="n"/>
      <c r="S3671" s="401" t="n"/>
      <c r="U3671" s="401" t="n"/>
      <c r="V3671" s="22" t="n"/>
      <c r="W3671" s="22" t="n"/>
      <c r="X3671" s="22" t="n"/>
      <c r="Y3671" s="38" t="n"/>
      <c r="Z3671" s="22" t="n"/>
      <c r="AA3671" s="22" t="n"/>
      <c r="AB3671" s="22" t="n"/>
      <c r="AC3671" s="22" t="n"/>
      <c r="AD3671" s="22" t="n"/>
      <c r="AE3671" s="22" t="n"/>
    </row>
    <row r="3672" ht="70" customHeight="1" s="380">
      <c r="A3672" s="148" t="n">
        <v>131</v>
      </c>
      <c r="B3672" s="390" t="n"/>
      <c r="C3672" s="390" t="inlineStr">
        <is>
          <t>Báo cáo tỷ lệ an toàn tài chính - Chi nhánh công ty chứng khoán nước ngoài tại Việt Nam &gt;&gt; Bảng tính vốn khả dụng</t>
        </is>
      </c>
      <c r="D3672" s="390" t="inlineStr">
        <is>
          <t xml:space="preserve">Đầu tư dài hạn khác
</t>
        </is>
      </c>
      <c r="E3672" s="390" t="inlineStr">
        <is>
          <t xml:space="preserve">Đầu tư dài hạn khác
</t>
        </is>
      </c>
      <c r="F3672" s="390" t="inlineStr">
        <is>
          <t>Data Explorer</t>
        </is>
      </c>
      <c r="G3672" s="390" t="inlineStr">
        <is>
          <t>Chỉ tiêu cơ sở</t>
        </is>
      </c>
      <c r="H3672" s="390" t="inlineStr">
        <is>
          <t>TB</t>
        </is>
      </c>
      <c r="I3672" s="390" t="inlineStr">
        <is>
          <t>Ngày, CTCK</t>
        </is>
      </c>
      <c r="J3672" s="401" t="inlineStr">
        <is>
          <t>SCMS</t>
        </is>
      </c>
      <c r="K3672" s="401" t="n"/>
      <c r="L3672" s="401" t="inlineStr">
        <is>
          <t>X</t>
        </is>
      </c>
      <c r="M3672" s="401" t="n"/>
      <c r="N3672" s="401" t="inlineStr">
        <is>
          <t>Done</t>
        </is>
      </c>
      <c r="O3672" s="401" t="n"/>
      <c r="P3672" s="401" t="n"/>
      <c r="S3672" s="401" t="n"/>
      <c r="U3672" s="401" t="n"/>
      <c r="V3672" s="22" t="n"/>
      <c r="W3672" s="22" t="n"/>
      <c r="X3672" s="22" t="n"/>
      <c r="Y3672" s="38" t="n"/>
      <c r="Z3672" s="22" t="n"/>
      <c r="AA3672" s="22" t="n"/>
      <c r="AB3672" s="22" t="n"/>
      <c r="AC3672" s="22" t="n"/>
      <c r="AD3672" s="22" t="n"/>
      <c r="AE3672" s="22" t="n"/>
    </row>
    <row r="3673" ht="70" customHeight="1" s="380">
      <c r="A3673" s="148" t="n">
        <v>131</v>
      </c>
      <c r="B3673" s="390" t="n"/>
      <c r="C3673" s="390" t="inlineStr">
        <is>
          <t>Báo cáo tỷ lệ an toàn tài chính - Chi nhánh công ty chứng khoán nước ngoài tại Việt Nam &gt;&gt; Bảng tính vốn khả dụng</t>
        </is>
      </c>
      <c r="D3673" s="390" t="inlineStr">
        <is>
          <t xml:space="preserve">Tài sản cố định
</t>
        </is>
      </c>
      <c r="E3673" s="390" t="inlineStr">
        <is>
          <t xml:space="preserve">Tài sản cố định
</t>
        </is>
      </c>
      <c r="F3673" s="390" t="inlineStr">
        <is>
          <t>Data Explorer</t>
        </is>
      </c>
      <c r="G3673" s="390" t="inlineStr">
        <is>
          <t>Chỉ tiêu cơ sở</t>
        </is>
      </c>
      <c r="H3673" s="390" t="inlineStr">
        <is>
          <t>TB</t>
        </is>
      </c>
      <c r="I3673" s="390" t="inlineStr">
        <is>
          <t>Ngày, CTCK</t>
        </is>
      </c>
      <c r="J3673" s="401" t="inlineStr">
        <is>
          <t>SCMS</t>
        </is>
      </c>
      <c r="K3673" s="401" t="n"/>
      <c r="L3673" s="401" t="inlineStr">
        <is>
          <t>X</t>
        </is>
      </c>
      <c r="M3673" s="401" t="n"/>
      <c r="N3673" s="401" t="inlineStr">
        <is>
          <t>Done</t>
        </is>
      </c>
      <c r="O3673" s="401" t="n"/>
      <c r="P3673" s="401" t="n"/>
      <c r="S3673" s="401" t="n"/>
      <c r="U3673" s="401" t="n"/>
      <c r="V3673" s="22" t="n"/>
      <c r="W3673" s="22" t="n"/>
      <c r="X3673" s="22" t="n"/>
      <c r="Y3673" s="38" t="n"/>
      <c r="Z3673" s="22" t="n"/>
      <c r="AA3673" s="22" t="n"/>
      <c r="AB3673" s="22" t="n"/>
      <c r="AC3673" s="22" t="n"/>
      <c r="AD3673" s="22" t="n"/>
      <c r="AE3673" s="22" t="n"/>
    </row>
    <row r="3674" ht="70" customHeight="1" s="380">
      <c r="A3674" s="148" t="n">
        <v>131</v>
      </c>
      <c r="B3674" s="390" t="n"/>
      <c r="C3674" s="390" t="inlineStr">
        <is>
          <t>Báo cáo tỷ lệ an toàn tài chính - Chi nhánh công ty chứng khoán nước ngoài tại Việt Nam &gt;&gt; Bảng tính vốn khả dụng</t>
        </is>
      </c>
      <c r="D3674" s="390" t="inlineStr">
        <is>
          <t xml:space="preserve">Bất động sản đầu tư
</t>
        </is>
      </c>
      <c r="E3674" s="390" t="inlineStr">
        <is>
          <t xml:space="preserve">Bất động sản đầu tư
</t>
        </is>
      </c>
      <c r="F3674" s="390" t="inlineStr">
        <is>
          <t>Data Explorer</t>
        </is>
      </c>
      <c r="G3674" s="390" t="inlineStr">
        <is>
          <t>Chỉ tiêu cơ sở</t>
        </is>
      </c>
      <c r="H3674" s="390" t="inlineStr">
        <is>
          <t>TB</t>
        </is>
      </c>
      <c r="I3674" s="390" t="inlineStr">
        <is>
          <t>Ngày, CTCK</t>
        </is>
      </c>
      <c r="J3674" s="401" t="inlineStr">
        <is>
          <t>SCMS</t>
        </is>
      </c>
      <c r="K3674" s="401" t="n"/>
      <c r="L3674" s="401" t="inlineStr">
        <is>
          <t>X</t>
        </is>
      </c>
      <c r="M3674" s="401" t="n"/>
      <c r="N3674" s="401" t="inlineStr">
        <is>
          <t>Done</t>
        </is>
      </c>
      <c r="O3674" s="401" t="n"/>
      <c r="P3674" s="401" t="n"/>
      <c r="S3674" s="401" t="n"/>
      <c r="U3674" s="401" t="n"/>
      <c r="V3674" s="22" t="n"/>
      <c r="W3674" s="22" t="n"/>
      <c r="X3674" s="22" t="n"/>
      <c r="Y3674" s="38" t="n"/>
      <c r="Z3674" s="22" t="n"/>
      <c r="AA3674" s="22" t="n"/>
      <c r="AB3674" s="22" t="n"/>
      <c r="AC3674" s="22" t="n"/>
      <c r="AD3674" s="22" t="n"/>
      <c r="AE3674" s="22" t="n"/>
    </row>
    <row r="3675" ht="70" customHeight="1" s="380">
      <c r="A3675" s="148" t="n">
        <v>131</v>
      </c>
      <c r="B3675" s="390" t="n"/>
      <c r="C3675" s="390" t="inlineStr">
        <is>
          <t>Báo cáo tỷ lệ an toàn tài chính - Chi nhánh công ty chứng khoán nước ngoài tại Việt Nam &gt;&gt; Bảng tính vốn khả dụng</t>
        </is>
      </c>
      <c r="D3675" s="390" t="inlineStr">
        <is>
          <t xml:space="preserve">Chi phí xây dựng cơ bản dở dang
</t>
        </is>
      </c>
      <c r="E3675" s="390" t="inlineStr">
        <is>
          <t xml:space="preserve">Chi phí xây dựng cơ bản dở dang
</t>
        </is>
      </c>
      <c r="F3675" s="390" t="inlineStr">
        <is>
          <t>Data Explorer</t>
        </is>
      </c>
      <c r="G3675" s="390" t="inlineStr">
        <is>
          <t>Chỉ tiêu cơ sở</t>
        </is>
      </c>
      <c r="H3675" s="390" t="inlineStr">
        <is>
          <t>TB</t>
        </is>
      </c>
      <c r="I3675" s="390" t="inlineStr">
        <is>
          <t>Ngày, CTCK</t>
        </is>
      </c>
      <c r="J3675" s="401" t="inlineStr">
        <is>
          <t>SCMS</t>
        </is>
      </c>
      <c r="K3675" s="401" t="n"/>
      <c r="L3675" s="401" t="inlineStr">
        <is>
          <t>X</t>
        </is>
      </c>
      <c r="M3675" s="401" t="n"/>
      <c r="N3675" s="401" t="inlineStr">
        <is>
          <t>Done</t>
        </is>
      </c>
      <c r="O3675" s="401" t="n"/>
      <c r="P3675" s="401" t="n"/>
      <c r="S3675" s="401" t="n"/>
      <c r="U3675" s="401" t="n"/>
      <c r="V3675" s="22" t="n"/>
      <c r="W3675" s="22" t="n"/>
      <c r="X3675" s="22" t="n"/>
      <c r="Y3675" s="38" t="n"/>
      <c r="Z3675" s="22" t="n"/>
      <c r="AA3675" s="22" t="n"/>
      <c r="AB3675" s="22" t="n"/>
      <c r="AC3675" s="22" t="n"/>
      <c r="AD3675" s="22" t="n"/>
      <c r="AE3675" s="22" t="n"/>
    </row>
    <row r="3676" ht="70" customHeight="1" s="380">
      <c r="A3676" s="148" t="n">
        <v>131</v>
      </c>
      <c r="B3676" s="390" t="n"/>
      <c r="C3676" s="390" t="inlineStr">
        <is>
          <t>Báo cáo tỷ lệ an toàn tài chính - Chi nhánh công ty chứng khoán nước ngoài tại Việt Nam &gt;&gt; Bảng tính vốn khả dụng</t>
        </is>
      </c>
      <c r="D3676" s="390" t="inlineStr">
        <is>
          <t xml:space="preserve">Tài sản dài hạn khác
</t>
        </is>
      </c>
      <c r="E3676" s="390" t="inlineStr">
        <is>
          <t xml:space="preserve">Tài sản dài hạn khác
</t>
        </is>
      </c>
      <c r="F3676" s="390" t="inlineStr">
        <is>
          <t>Data Explorer</t>
        </is>
      </c>
      <c r="G3676" s="390" t="inlineStr">
        <is>
          <t>Chỉ tiêu cơ sở</t>
        </is>
      </c>
      <c r="H3676" s="390" t="inlineStr">
        <is>
          <t>TB</t>
        </is>
      </c>
      <c r="I3676" s="390" t="inlineStr">
        <is>
          <t>Ngày, CTCK</t>
        </is>
      </c>
      <c r="J3676" s="401" t="inlineStr">
        <is>
          <t>SCMS</t>
        </is>
      </c>
      <c r="K3676" s="401" t="n"/>
      <c r="L3676" s="401" t="inlineStr">
        <is>
          <t>X</t>
        </is>
      </c>
      <c r="M3676" s="401" t="n"/>
      <c r="N3676" s="401" t="inlineStr">
        <is>
          <t>Done</t>
        </is>
      </c>
      <c r="O3676" s="401" t="n"/>
      <c r="P3676" s="401" t="n"/>
      <c r="S3676" s="401" t="n"/>
      <c r="U3676" s="401" t="n"/>
      <c r="V3676" s="22" t="n"/>
      <c r="W3676" s="22" t="n"/>
      <c r="X3676" s="22" t="n"/>
      <c r="Y3676" s="38" t="n"/>
      <c r="Z3676" s="22" t="n"/>
      <c r="AA3676" s="22" t="n"/>
      <c r="AB3676" s="22" t="n"/>
      <c r="AC3676" s="22" t="n"/>
      <c r="AD3676" s="22" t="n"/>
      <c r="AE3676" s="22" t="n"/>
    </row>
    <row r="3677" ht="70" customHeight="1" s="380">
      <c r="A3677" s="148" t="n">
        <v>131</v>
      </c>
      <c r="B3677" s="390" t="n"/>
      <c r="C3677" s="390" t="inlineStr">
        <is>
          <t>Báo cáo tỷ lệ an toàn tài chính - Chi nhánh công ty chứng khoán nước ngoài tại Việt Nam &gt;&gt; Bảng tính vốn khả dụng</t>
        </is>
      </c>
      <c r="D3677" s="390" t="inlineStr">
        <is>
          <t xml:space="preserve">Cầm cố, thế chấp, ký quỹ, ký cược dài hạn
</t>
        </is>
      </c>
      <c r="E3677" s="390" t="inlineStr">
        <is>
          <t xml:space="preserve">Cầm cố, thế chấp, ký quỹ, ký cược dài hạn
</t>
        </is>
      </c>
      <c r="F3677" s="390" t="inlineStr">
        <is>
          <t>Data Explorer</t>
        </is>
      </c>
      <c r="G3677" s="390" t="inlineStr">
        <is>
          <t>Chỉ tiêu cơ sở</t>
        </is>
      </c>
      <c r="H3677" s="390" t="inlineStr">
        <is>
          <t>TB</t>
        </is>
      </c>
      <c r="I3677" s="390" t="inlineStr">
        <is>
          <t>Ngày, CTCK</t>
        </is>
      </c>
      <c r="J3677" s="401" t="inlineStr">
        <is>
          <t>SCMS</t>
        </is>
      </c>
      <c r="K3677" s="401" t="n"/>
      <c r="L3677" s="401" t="inlineStr">
        <is>
          <t>X</t>
        </is>
      </c>
      <c r="M3677" s="401" t="n"/>
      <c r="N3677" s="401" t="inlineStr">
        <is>
          <t>Done</t>
        </is>
      </c>
      <c r="O3677" s="401" t="n"/>
      <c r="P3677" s="401" t="n"/>
      <c r="S3677" s="401" t="n"/>
      <c r="U3677" s="401" t="n"/>
      <c r="V3677" s="22" t="n"/>
      <c r="W3677" s="22" t="n"/>
      <c r="X3677" s="22" t="n"/>
      <c r="Y3677" s="38" t="n"/>
      <c r="Z3677" s="22" t="n"/>
      <c r="AA3677" s="22" t="n"/>
      <c r="AB3677" s="22" t="n"/>
      <c r="AC3677" s="22" t="n"/>
      <c r="AD3677" s="22" t="n"/>
      <c r="AE3677" s="22" t="n"/>
    </row>
    <row r="3678" ht="70" customHeight="1" s="380">
      <c r="A3678" s="148" t="n">
        <v>131</v>
      </c>
      <c r="B3678" s="390" t="n"/>
      <c r="C3678" s="390" t="inlineStr">
        <is>
          <t>Báo cáo tỷ lệ an toàn tài chính - Chi nhánh công ty chứng khoán nước ngoài tại Việt Nam &gt;&gt; Bảng tính vốn khả dụng</t>
        </is>
      </c>
      <c r="D3678" s="390" t="inlineStr">
        <is>
          <t xml:space="preserve">Chi phí trả trước dài hạn
</t>
        </is>
      </c>
      <c r="E3678" s="390" t="inlineStr">
        <is>
          <t xml:space="preserve">Chi phí trả trước dài hạn
</t>
        </is>
      </c>
      <c r="F3678" s="390" t="inlineStr">
        <is>
          <t>Data Explorer</t>
        </is>
      </c>
      <c r="G3678" s="390" t="inlineStr">
        <is>
          <t>Chỉ tiêu cơ sở</t>
        </is>
      </c>
      <c r="H3678" s="390" t="inlineStr">
        <is>
          <t>TB</t>
        </is>
      </c>
      <c r="I3678" s="390" t="inlineStr">
        <is>
          <t>Ngày, CTCK</t>
        </is>
      </c>
      <c r="J3678" s="401" t="inlineStr">
        <is>
          <t>SCMS</t>
        </is>
      </c>
      <c r="K3678" s="401" t="n"/>
      <c r="L3678" s="401" t="inlineStr">
        <is>
          <t>X</t>
        </is>
      </c>
      <c r="M3678" s="401" t="n"/>
      <c r="N3678" s="401" t="inlineStr">
        <is>
          <t>Done</t>
        </is>
      </c>
      <c r="O3678" s="401" t="n"/>
      <c r="P3678" s="401" t="n"/>
      <c r="S3678" s="401" t="n"/>
      <c r="U3678" s="401" t="n"/>
      <c r="V3678" s="22" t="n"/>
      <c r="W3678" s="22" t="n"/>
      <c r="X3678" s="22" t="n"/>
      <c r="Y3678" s="38" t="n"/>
      <c r="Z3678" s="22" t="n"/>
      <c r="AA3678" s="22" t="n"/>
      <c r="AB3678" s="22" t="n"/>
      <c r="AC3678" s="22" t="n"/>
      <c r="AD3678" s="22" t="n"/>
      <c r="AE3678" s="22" t="n"/>
    </row>
    <row r="3679" ht="70" customHeight="1" s="380">
      <c r="A3679" s="148" t="n">
        <v>131</v>
      </c>
      <c r="B3679" s="390" t="n"/>
      <c r="C3679" s="390" t="inlineStr">
        <is>
          <t>Báo cáo tỷ lệ an toàn tài chính - Chi nhánh công ty chứng khoán nước ngoài tại Việt Nam &gt;&gt; Bảng tính vốn khả dụng</t>
        </is>
      </c>
      <c r="D3679" s="390" t="inlineStr">
        <is>
          <t xml:space="preserve">Tài sản thuế thu nhập hoãn lại
</t>
        </is>
      </c>
      <c r="E3679" s="390" t="inlineStr">
        <is>
          <t xml:space="preserve">Tài sản thuế thu nhập hoãn lại
</t>
        </is>
      </c>
      <c r="F3679" s="390" t="inlineStr">
        <is>
          <t>Data Explorer</t>
        </is>
      </c>
      <c r="G3679" s="390" t="inlineStr">
        <is>
          <t>Chỉ tiêu cơ sở</t>
        </is>
      </c>
      <c r="H3679" s="390" t="inlineStr">
        <is>
          <t>TB</t>
        </is>
      </c>
      <c r="I3679" s="390" t="inlineStr">
        <is>
          <t>Ngày, CTCK</t>
        </is>
      </c>
      <c r="J3679" s="401" t="inlineStr">
        <is>
          <t>SCMS</t>
        </is>
      </c>
      <c r="K3679" s="401" t="n"/>
      <c r="L3679" s="401" t="inlineStr">
        <is>
          <t>X</t>
        </is>
      </c>
      <c r="M3679" s="401" t="n"/>
      <c r="N3679" s="401" t="inlineStr">
        <is>
          <t>Done</t>
        </is>
      </c>
      <c r="O3679" s="401" t="n"/>
      <c r="P3679" s="401" t="n"/>
      <c r="S3679" s="401" t="n"/>
      <c r="U3679" s="401" t="n"/>
      <c r="V3679" s="22" t="n"/>
      <c r="W3679" s="22" t="n"/>
      <c r="X3679" s="22" t="n"/>
      <c r="Y3679" s="38" t="n"/>
      <c r="Z3679" s="22" t="n"/>
      <c r="AA3679" s="22" t="n"/>
      <c r="AB3679" s="22" t="n"/>
      <c r="AC3679" s="22" t="n"/>
      <c r="AD3679" s="22" t="n"/>
      <c r="AE3679" s="22" t="n"/>
    </row>
    <row r="3680" ht="70" customHeight="1" s="380">
      <c r="A3680" s="148" t="n">
        <v>131</v>
      </c>
      <c r="B3680" s="390" t="n"/>
      <c r="C3680" s="390" t="inlineStr">
        <is>
          <t>Báo cáo tỷ lệ an toàn tài chính - Chi nhánh công ty chứng khoán nước ngoài tại Việt Nam &gt;&gt; Bảng tính vốn khả dụng</t>
        </is>
      </c>
      <c r="D3680" s="390" t="inlineStr">
        <is>
          <t xml:space="preserve">Tiền nộp Quỹ hỗ trợ thanh toán
</t>
        </is>
      </c>
      <c r="E3680" s="390" t="inlineStr">
        <is>
          <t xml:space="preserve">Tiền nộp Quỹ hỗ trợ thanh toán
</t>
        </is>
      </c>
      <c r="F3680" s="390" t="inlineStr">
        <is>
          <t>Data Explorer</t>
        </is>
      </c>
      <c r="G3680" s="390" t="inlineStr">
        <is>
          <t>Chỉ tiêu cơ sở</t>
        </is>
      </c>
      <c r="H3680" s="390" t="inlineStr">
        <is>
          <t>TB</t>
        </is>
      </c>
      <c r="I3680" s="390" t="inlineStr">
        <is>
          <t>Ngày, CTCK</t>
        </is>
      </c>
      <c r="J3680" s="401" t="inlineStr">
        <is>
          <t>SCMS</t>
        </is>
      </c>
      <c r="K3680" s="401" t="n"/>
      <c r="L3680" s="401" t="inlineStr">
        <is>
          <t>X</t>
        </is>
      </c>
      <c r="M3680" s="401" t="n"/>
      <c r="N3680" s="401" t="inlineStr">
        <is>
          <t>Done</t>
        </is>
      </c>
      <c r="O3680" s="401" t="n"/>
      <c r="P3680" s="401" t="n"/>
      <c r="S3680" s="401" t="n"/>
      <c r="U3680" s="401" t="n"/>
      <c r="V3680" s="22" t="n"/>
      <c r="W3680" s="22" t="n"/>
      <c r="X3680" s="22" t="n"/>
      <c r="Y3680" s="38" t="n"/>
      <c r="Z3680" s="22" t="n"/>
      <c r="AA3680" s="22" t="n"/>
      <c r="AB3680" s="22" t="n"/>
      <c r="AC3680" s="22" t="n"/>
      <c r="AD3680" s="22" t="n"/>
      <c r="AE3680" s="22" t="n"/>
    </row>
    <row r="3681" ht="70" customHeight="1" s="380">
      <c r="A3681" s="148" t="n">
        <v>131</v>
      </c>
      <c r="B3681" s="390" t="n"/>
      <c r="C3681" s="390" t="inlineStr">
        <is>
          <t>Báo cáo tỷ lệ an toàn tài chính - Chi nhánh công ty chứng khoán nước ngoài tại Việt Nam &gt;&gt; Bảng tính vốn khả dụng</t>
        </is>
      </c>
      <c r="D3681" s="390" t="inlineStr">
        <is>
          <t xml:space="preserve">Tài sản dài hạn khác
</t>
        </is>
      </c>
      <c r="E3681" s="390" t="inlineStr">
        <is>
          <t xml:space="preserve">Tài sản dài hạn khác
</t>
        </is>
      </c>
      <c r="F3681" s="390" t="inlineStr">
        <is>
          <t>Data Explorer</t>
        </is>
      </c>
      <c r="G3681" s="390" t="inlineStr">
        <is>
          <t>Chỉ tiêu cơ sở</t>
        </is>
      </c>
      <c r="H3681" s="390" t="inlineStr">
        <is>
          <t>TB</t>
        </is>
      </c>
      <c r="I3681" s="390" t="inlineStr">
        <is>
          <t>Ngày, CTCK</t>
        </is>
      </c>
      <c r="J3681" s="401" t="inlineStr">
        <is>
          <t>SCMS</t>
        </is>
      </c>
      <c r="K3681" s="401" t="n"/>
      <c r="L3681" s="401" t="inlineStr">
        <is>
          <t>X</t>
        </is>
      </c>
      <c r="M3681" s="401" t="n"/>
      <c r="N3681" s="401" t="inlineStr">
        <is>
          <t>Done</t>
        </is>
      </c>
      <c r="O3681" s="401" t="n"/>
      <c r="P3681" s="401" t="n"/>
      <c r="S3681" s="401" t="n"/>
      <c r="U3681" s="401" t="n"/>
      <c r="V3681" s="22" t="n"/>
      <c r="W3681" s="22" t="n"/>
      <c r="X3681" s="22" t="n"/>
      <c r="Y3681" s="38" t="n"/>
      <c r="Z3681" s="22" t="n"/>
      <c r="AA3681" s="22" t="n"/>
      <c r="AB3681" s="22" t="n"/>
      <c r="AC3681" s="22" t="n"/>
      <c r="AD3681" s="22" t="n"/>
      <c r="AE3681" s="22" t="n"/>
    </row>
    <row r="3682" ht="126" customHeight="1" s="380">
      <c r="A3682" s="148" t="n">
        <v>131</v>
      </c>
      <c r="B3682" s="390" t="n"/>
      <c r="C3682" s="390" t="inlineStr">
        <is>
          <t>Báo cáo tỷ lệ an toàn tài chính - Chi nhánh công ty chứng khoán nước ngoài tại Việt Nam &gt;&gt; Bảng tính vốn khả dụng</t>
        </is>
      </c>
      <c r="D3682" s="390" t="inlineStr">
        <is>
          <t xml:space="preserve">Các chỉ tiêu tài sản bị coi là khoản ngoại trừ, có ý kiến trái ngược hoặc từ chối đưa ra ý kiến tại báo cáo tài chính đã được kiểm toán, soát xét mà không bị tính giảm trừ theo quy định tại Điều 5
</t>
        </is>
      </c>
      <c r="E3682" s="390" t="inlineStr">
        <is>
          <t xml:space="preserve">Các chỉ tiêu tài sản bị coi là khoản ngoại trừ, có ý kiến trái ngược hoặc từ chối đưa ra ý kiến tại báo cáo tài chính đã được kiểm toán, soát xét mà không bị tính giảm trừ theo quy định tại Điều 5
</t>
        </is>
      </c>
      <c r="F3682" s="390" t="inlineStr">
        <is>
          <t>Data Explorer</t>
        </is>
      </c>
      <c r="G3682" s="390" t="inlineStr">
        <is>
          <t>Chỉ tiêu cơ sở</t>
        </is>
      </c>
      <c r="H3682" s="390" t="inlineStr">
        <is>
          <t>TB</t>
        </is>
      </c>
      <c r="I3682" s="390" t="inlineStr">
        <is>
          <t>Ngày, CTCK</t>
        </is>
      </c>
      <c r="J3682" s="401" t="inlineStr">
        <is>
          <t>SCMS</t>
        </is>
      </c>
      <c r="K3682" s="401" t="n"/>
      <c r="L3682" s="401" t="inlineStr">
        <is>
          <t>X</t>
        </is>
      </c>
      <c r="M3682" s="401" t="n"/>
      <c r="N3682" s="401" t="inlineStr">
        <is>
          <t>Done</t>
        </is>
      </c>
      <c r="O3682" s="401" t="n"/>
      <c r="P3682" s="401" t="n"/>
      <c r="S3682" s="401" t="n"/>
      <c r="U3682" s="401" t="n"/>
      <c r="V3682" s="22" t="n"/>
      <c r="W3682" s="22" t="n"/>
      <c r="X3682" s="22" t="n"/>
      <c r="Y3682" s="38" t="n"/>
      <c r="Z3682" s="22" t="n"/>
      <c r="AA3682" s="22" t="n"/>
      <c r="AB3682" s="22" t="n"/>
      <c r="AC3682" s="22" t="n"/>
      <c r="AD3682" s="22" t="n"/>
      <c r="AE3682" s="22" t="n"/>
    </row>
    <row r="3683" ht="126" customHeight="1" s="380">
      <c r="A3683" s="148" t="n">
        <v>131</v>
      </c>
      <c r="B3683" s="390" t="n"/>
      <c r="C3683" s="390" t="inlineStr">
        <is>
          <t>Báo cáo tỷ lệ an toàn tài chính - Chi nhánh công ty chứng khoán nước ngoài tại Việt Nam &gt;&gt; Bảng tính vốn khả dụng</t>
        </is>
      </c>
      <c r="D3683" s="390" t="inlineStr">
        <is>
          <t xml:space="preserve">Các chỉ tiêu tài sản bị coi là khoản ngoại trừ, có ý kiến trái ngược hoặc từ chối đưa ra ý kiến tại báo cáo tài chính đã được kiểm toán, soát xét mà không bị tính giảm trừ theo quy định tại Điều 5
</t>
        </is>
      </c>
      <c r="E3683" s="390" t="inlineStr">
        <is>
          <t xml:space="preserve">Các chỉ tiêu tài sản bị coi là khoản ngoại trừ, có ý kiến trái ngược hoặc từ chối đưa ra ý kiến tại báo cáo tài chính đã được kiểm toán, soát xét mà không bị tính giảm trừ theo quy định tại Điều 5
</t>
        </is>
      </c>
      <c r="F3683" s="390" t="inlineStr">
        <is>
          <t>Data Explorer</t>
        </is>
      </c>
      <c r="G3683" s="390" t="inlineStr">
        <is>
          <t>Chỉ tiêu cơ sở</t>
        </is>
      </c>
      <c r="H3683" s="390" t="inlineStr">
        <is>
          <t>TB</t>
        </is>
      </c>
      <c r="I3683" s="390" t="inlineStr">
        <is>
          <t>Ngày, CTCK</t>
        </is>
      </c>
      <c r="J3683" s="401" t="inlineStr">
        <is>
          <t>SCMS</t>
        </is>
      </c>
      <c r="K3683" s="401" t="n"/>
      <c r="L3683" s="401" t="inlineStr">
        <is>
          <t>X</t>
        </is>
      </c>
      <c r="M3683" s="401" t="n"/>
      <c r="N3683" s="401" t="inlineStr">
        <is>
          <t>Done</t>
        </is>
      </c>
      <c r="O3683" s="401" t="n"/>
      <c r="P3683" s="401" t="n"/>
      <c r="S3683" s="401" t="n"/>
      <c r="U3683" s="401" t="n"/>
      <c r="V3683" s="22" t="n"/>
      <c r="W3683" s="22" t="n"/>
      <c r="X3683" s="22" t="n"/>
      <c r="Y3683" s="38" t="n"/>
      <c r="Z3683" s="22" t="n"/>
      <c r="AA3683" s="22" t="n"/>
      <c r="AB3683" s="22" t="n"/>
      <c r="AC3683" s="22" t="n"/>
      <c r="AD3683" s="22" t="n"/>
      <c r="AE3683" s="22" t="n"/>
    </row>
    <row r="3684" ht="70" customHeight="1" s="380">
      <c r="A3684" s="148" t="n">
        <v>131</v>
      </c>
      <c r="B3684" s="390" t="n"/>
      <c r="C3684" s="390" t="inlineStr">
        <is>
          <t>Báo cáo tỷ lệ an toàn tài chính - Chi nhánh công ty chứng khoán nước ngoài tại Việt Nam &gt;&gt; Bảng tính vốn khả dụng</t>
        </is>
      </c>
      <c r="D3684" s="390" t="inlineStr">
        <is>
          <t xml:space="preserve">Tổng
</t>
        </is>
      </c>
      <c r="E3684" s="390" t="inlineStr">
        <is>
          <t xml:space="preserve">Tổng
</t>
        </is>
      </c>
      <c r="F3684" s="390" t="inlineStr">
        <is>
          <t>Data Explorer</t>
        </is>
      </c>
      <c r="G3684" s="390" t="inlineStr">
        <is>
          <t>Chỉ tiêu cơ sở</t>
        </is>
      </c>
      <c r="H3684" s="390" t="inlineStr">
        <is>
          <t>TB</t>
        </is>
      </c>
      <c r="I3684" s="390" t="inlineStr">
        <is>
          <t>Ngày, CTCK</t>
        </is>
      </c>
      <c r="J3684" s="401" t="inlineStr">
        <is>
          <t>SCMS</t>
        </is>
      </c>
      <c r="K3684" s="401" t="n"/>
      <c r="L3684" s="401" t="inlineStr">
        <is>
          <t>X</t>
        </is>
      </c>
      <c r="M3684" s="401" t="n"/>
      <c r="N3684" s="401" t="inlineStr">
        <is>
          <t>Done</t>
        </is>
      </c>
      <c r="O3684" s="401" t="n"/>
      <c r="P3684" s="401" t="n"/>
      <c r="S3684" s="401" t="n"/>
      <c r="U3684" s="401" t="n"/>
      <c r="V3684" s="22" t="n"/>
      <c r="W3684" s="22" t="n"/>
      <c r="X3684" s="22" t="n"/>
      <c r="Y3684" s="38" t="n"/>
      <c r="Z3684" s="22" t="n"/>
      <c r="AA3684" s="22" t="n"/>
      <c r="AB3684" s="22" t="n"/>
      <c r="AC3684" s="22" t="n"/>
      <c r="AD3684" s="22" t="n"/>
      <c r="AE3684" s="22" t="n"/>
    </row>
    <row r="3685" ht="70" customHeight="1" s="380">
      <c r="A3685" s="148" t="n">
        <v>131</v>
      </c>
      <c r="B3685" s="390" t="n"/>
      <c r="C3685" s="390" t="inlineStr">
        <is>
          <t>Báo cáo tỷ lệ an toàn tài chính - Chi nhánh công ty chứng khoán nước ngoài tại Việt Nam &gt;&gt; Bảng tính vốn khả dụng</t>
        </is>
      </c>
      <c r="D3685" s="390" t="inlineStr">
        <is>
          <t xml:space="preserve">Các khoản ký quỹ, đảm bảo
</t>
        </is>
      </c>
      <c r="E3685" s="390" t="inlineStr">
        <is>
          <t xml:space="preserve">Các khoản ký quỹ, đảm bảo
</t>
        </is>
      </c>
      <c r="F3685" s="390" t="inlineStr">
        <is>
          <t>Data Explorer</t>
        </is>
      </c>
      <c r="G3685" s="390" t="inlineStr">
        <is>
          <t>Chỉ tiêu cơ sở</t>
        </is>
      </c>
      <c r="H3685" s="390" t="inlineStr">
        <is>
          <t>TB</t>
        </is>
      </c>
      <c r="I3685" s="390" t="inlineStr">
        <is>
          <t>Ngày, CTCK</t>
        </is>
      </c>
      <c r="J3685" s="401" t="inlineStr">
        <is>
          <t>SCMS</t>
        </is>
      </c>
      <c r="K3685" s="401" t="n"/>
      <c r="L3685" s="401" t="inlineStr">
        <is>
          <t>X</t>
        </is>
      </c>
      <c r="M3685" s="401" t="n"/>
      <c r="N3685" s="401" t="inlineStr">
        <is>
          <t>Done</t>
        </is>
      </c>
      <c r="O3685" s="401" t="n"/>
      <c r="P3685" s="401" t="n"/>
      <c r="S3685" s="401" t="n"/>
      <c r="U3685" s="401" t="n"/>
      <c r="V3685" s="22" t="n"/>
      <c r="W3685" s="22" t="n"/>
      <c r="X3685" s="22" t="n"/>
      <c r="Y3685" s="38" t="n"/>
      <c r="Z3685" s="22" t="n"/>
      <c r="AA3685" s="22" t="n"/>
      <c r="AB3685" s="22" t="n"/>
      <c r="AC3685" s="22" t="n"/>
      <c r="AD3685" s="22" t="n"/>
      <c r="AE3685" s="22" t="n"/>
    </row>
    <row r="3686" ht="70" customHeight="1" s="380">
      <c r="A3686" s="148" t="n">
        <v>131</v>
      </c>
      <c r="B3686" s="390" t="n"/>
      <c r="C3686" s="390" t="inlineStr">
        <is>
          <t>Báo cáo tỷ lệ an toàn tài chính - Chi nhánh công ty chứng khoán nước ngoài tại Việt Nam &gt;&gt; Bảng tính vốn khả dụng</t>
        </is>
      </c>
      <c r="D3686" s="390" t="inlineStr">
        <is>
          <t xml:space="preserve">Giá trị ký quỹ
</t>
        </is>
      </c>
      <c r="E3686" s="390" t="inlineStr">
        <is>
          <t xml:space="preserve">Giá trị ký quỹ
</t>
        </is>
      </c>
      <c r="F3686" s="390" t="inlineStr">
        <is>
          <t>Data Explorer</t>
        </is>
      </c>
      <c r="G3686" s="390" t="inlineStr">
        <is>
          <t>Chỉ tiêu cơ sở</t>
        </is>
      </c>
      <c r="H3686" s="390" t="inlineStr">
        <is>
          <t>TB</t>
        </is>
      </c>
      <c r="I3686" s="390" t="inlineStr">
        <is>
          <t>Ngày, CTCK</t>
        </is>
      </c>
      <c r="J3686" s="401" t="inlineStr">
        <is>
          <t>SCMS</t>
        </is>
      </c>
      <c r="K3686" s="401" t="n"/>
      <c r="L3686" s="401" t="inlineStr">
        <is>
          <t>X</t>
        </is>
      </c>
      <c r="M3686" s="401" t="n"/>
      <c r="N3686" s="401" t="inlineStr">
        <is>
          <t>Done</t>
        </is>
      </c>
      <c r="O3686" s="401" t="n"/>
      <c r="P3686" s="401" t="n"/>
      <c r="S3686" s="401" t="n"/>
      <c r="U3686" s="401" t="n"/>
      <c r="V3686" s="22" t="n"/>
      <c r="W3686" s="22" t="n"/>
      <c r="X3686" s="22" t="n"/>
      <c r="Y3686" s="38" t="n"/>
      <c r="Z3686" s="22" t="n"/>
      <c r="AA3686" s="22" t="n"/>
      <c r="AB3686" s="22" t="n"/>
      <c r="AC3686" s="22" t="n"/>
      <c r="AD3686" s="22" t="n"/>
      <c r="AE3686" s="22" t="n"/>
    </row>
    <row r="3687" ht="70" customHeight="1" s="380">
      <c r="A3687" s="148" t="n">
        <v>131</v>
      </c>
      <c r="B3687" s="390" t="n"/>
      <c r="C3687" s="390" t="inlineStr">
        <is>
          <t>Báo cáo tỷ lệ an toàn tài chính - Chi nhánh công ty chứng khoán nước ngoài tại Việt Nam &gt;&gt; Bảng tính vốn khả dụng</t>
        </is>
      </c>
      <c r="D3687" s="390" t="inlineStr">
        <is>
          <t>Giá trị đóng góp vào quỹ hỗ trợ thanh toán của Tổng công ty lưu ký và bù trừ chứng khoán Việt Nam</t>
        </is>
      </c>
      <c r="E3687" s="390" t="inlineStr">
        <is>
          <t>Giá trị đóng góp vào quỹ hỗ trợ thanh toán của Tổng công ty lưu ký và bù trừ chứng khoán Việt Nam</t>
        </is>
      </c>
      <c r="F3687" s="390" t="inlineStr">
        <is>
          <t>Data Explorer</t>
        </is>
      </c>
      <c r="G3687" s="390" t="inlineStr">
        <is>
          <t>Chỉ tiêu cơ sở</t>
        </is>
      </c>
      <c r="H3687" s="390" t="inlineStr">
        <is>
          <t>TB</t>
        </is>
      </c>
      <c r="I3687" s="390" t="inlineStr">
        <is>
          <t>Ngày, CTCK</t>
        </is>
      </c>
      <c r="J3687" s="401" t="inlineStr">
        <is>
          <t>SCMS</t>
        </is>
      </c>
      <c r="K3687" s="401" t="n"/>
      <c r="L3687" s="401" t="inlineStr">
        <is>
          <t>X</t>
        </is>
      </c>
      <c r="M3687" s="401" t="n"/>
      <c r="N3687" s="401" t="inlineStr">
        <is>
          <t>Done</t>
        </is>
      </c>
      <c r="O3687" s="401" t="n"/>
      <c r="P3687" s="401" t="n"/>
      <c r="S3687" s="401" t="n"/>
      <c r="U3687" s="401" t="n"/>
      <c r="V3687" s="22" t="n"/>
      <c r="W3687" s="22" t="n"/>
      <c r="X3687" s="22" t="n"/>
      <c r="Y3687" s="38" t="n"/>
      <c r="Z3687" s="22" t="n"/>
      <c r="AA3687" s="22" t="n"/>
      <c r="AB3687" s="22" t="n"/>
      <c r="AC3687" s="22" t="n"/>
      <c r="AD3687" s="22" t="n"/>
      <c r="AE3687" s="22" t="n"/>
    </row>
    <row r="3688" ht="70" customHeight="1" s="380">
      <c r="A3688" s="148" t="n">
        <v>131</v>
      </c>
      <c r="B3688" s="390" t="n"/>
      <c r="C3688" s="390" t="inlineStr">
        <is>
          <t>Báo cáo tỷ lệ an toàn tài chính - Chi nhánh công ty chứng khoán nước ngoài tại Việt Nam &gt;&gt; Bảng tính vốn khả dụng</t>
        </is>
      </c>
      <c r="D3688" s="390" t="inlineStr">
        <is>
          <t>Giá trị đóng góp vào quỹ bù trừ của đối tác thanh toán trung tâm đối với vị thế mở của chính thành viên bù trừ</t>
        </is>
      </c>
      <c r="E3688" s="390" t="inlineStr">
        <is>
          <t>Giá trị đóng góp vào quỹ bù trừ của đối tác thanh toán trung tâm đối với vị thế mở của chính thành viên bù trừ</t>
        </is>
      </c>
      <c r="F3688" s="390" t="inlineStr">
        <is>
          <t>Data Explorer</t>
        </is>
      </c>
      <c r="G3688" s="390" t="inlineStr">
        <is>
          <t>Chỉ tiêu cơ sở</t>
        </is>
      </c>
      <c r="H3688" s="390" t="inlineStr">
        <is>
          <t>TB</t>
        </is>
      </c>
      <c r="I3688" s="390" t="inlineStr">
        <is>
          <t>Ngày, CTCK</t>
        </is>
      </c>
      <c r="J3688" s="401" t="inlineStr">
        <is>
          <t>SCMS</t>
        </is>
      </c>
      <c r="K3688" s="401" t="n"/>
      <c r="L3688" s="401" t="inlineStr">
        <is>
          <t>X</t>
        </is>
      </c>
      <c r="M3688" s="401" t="n"/>
      <c r="N3688" s="401" t="inlineStr">
        <is>
          <t>Done</t>
        </is>
      </c>
      <c r="O3688" s="401" t="n"/>
      <c r="P3688" s="401" t="n"/>
      <c r="S3688" s="401" t="n"/>
      <c r="U3688" s="401" t="n"/>
      <c r="V3688" s="22" t="n"/>
      <c r="W3688" s="22" t="n"/>
      <c r="X3688" s="22" t="n"/>
      <c r="Y3688" s="38" t="n"/>
      <c r="Z3688" s="22" t="n"/>
      <c r="AA3688" s="22" t="n"/>
      <c r="AB3688" s="22" t="n"/>
      <c r="AC3688" s="22" t="n"/>
      <c r="AD3688" s="22" t="n"/>
      <c r="AE3688" s="22" t="n"/>
    </row>
    <row r="3689" ht="84" customHeight="1" s="380">
      <c r="A3689" s="148" t="n">
        <v>131</v>
      </c>
      <c r="B3689" s="390" t="n"/>
      <c r="C3689" s="390" t="inlineStr">
        <is>
          <t>Báo cáo tỷ lệ an toàn tài chính - Chi nhánh công ty chứng khoán nước ngoài tại Việt Nam &gt;&gt; Bảng tính vốn khả dụng</t>
        </is>
      </c>
      <c r="D3689" s="390" t="inlineStr">
        <is>
          <t xml:space="preserve">Khoản ký quỹ bằng tiền và giá trị bảo lãnh thanh toán của ngân hàng khi phát hành chứng quyền có bảo đảm
</t>
        </is>
      </c>
      <c r="E3689" s="390" t="inlineStr">
        <is>
          <t xml:space="preserve">Khoản ký quỹ bằng tiền và giá trị bảo lãnh thanh toán của ngân hàng khi phát hành chứng quyền có bảo đảm
</t>
        </is>
      </c>
      <c r="F3689" s="390" t="inlineStr">
        <is>
          <t>Data Explorer</t>
        </is>
      </c>
      <c r="G3689" s="390" t="inlineStr">
        <is>
          <t>Chỉ tiêu cơ sở</t>
        </is>
      </c>
      <c r="H3689" s="390" t="inlineStr">
        <is>
          <t>TB</t>
        </is>
      </c>
      <c r="I3689" s="390" t="inlineStr">
        <is>
          <t>Ngày, CTCK</t>
        </is>
      </c>
      <c r="J3689" s="401" t="inlineStr">
        <is>
          <t>SCMS</t>
        </is>
      </c>
      <c r="K3689" s="401" t="n"/>
      <c r="L3689" s="401" t="inlineStr">
        <is>
          <t>X</t>
        </is>
      </c>
      <c r="M3689" s="401" t="n"/>
      <c r="N3689" s="401" t="inlineStr">
        <is>
          <t>Done</t>
        </is>
      </c>
      <c r="O3689" s="401" t="n"/>
      <c r="P3689" s="401" t="n"/>
      <c r="S3689" s="401" t="n"/>
      <c r="U3689" s="401" t="n"/>
      <c r="V3689" s="22" t="n"/>
      <c r="W3689" s="22" t="n"/>
      <c r="X3689" s="22" t="n"/>
      <c r="Y3689" s="38" t="n"/>
      <c r="Z3689" s="22" t="n"/>
      <c r="AA3689" s="22" t="n"/>
      <c r="AB3689" s="22" t="n"/>
      <c r="AC3689" s="22" t="n"/>
      <c r="AD3689" s="22" t="n"/>
      <c r="AE3689" s="22" t="n"/>
    </row>
    <row r="3690" ht="70" customHeight="1" s="380">
      <c r="A3690" s="148" t="n">
        <v>131</v>
      </c>
      <c r="B3690" s="390" t="n"/>
      <c r="C3690" s="390" t="inlineStr">
        <is>
          <t>Báo cáo tỷ lệ an toàn tài chính - Chi nhánh công ty chứng khoán nước ngoài tại Việt Nam &gt;&gt; Bảng tính vốn khả dụng</t>
        </is>
      </c>
      <c r="D3690" s="390" t="inlineStr">
        <is>
          <t xml:space="preserve">Giá trị tài sản bảo đảm cho các nghĩa vụ phải trả có thời hạn còn lại trên 90 ngày
</t>
        </is>
      </c>
      <c r="E3690" s="390" t="inlineStr">
        <is>
          <t xml:space="preserve">Giá trị tài sản bảo đảm cho các nghĩa vụ phải trả có thời hạn còn lại trên 90 ngày
</t>
        </is>
      </c>
      <c r="F3690" s="390" t="inlineStr">
        <is>
          <t>Data Explorer</t>
        </is>
      </c>
      <c r="G3690" s="390" t="inlineStr">
        <is>
          <t>Chỉ tiêu cơ sở</t>
        </is>
      </c>
      <c r="H3690" s="390" t="inlineStr">
        <is>
          <t>TB</t>
        </is>
      </c>
      <c r="I3690" s="390" t="inlineStr">
        <is>
          <t>Ngày, CTCK</t>
        </is>
      </c>
      <c r="J3690" s="401" t="inlineStr">
        <is>
          <t>SCMS</t>
        </is>
      </c>
      <c r="K3690" s="401" t="n"/>
      <c r="L3690" s="401" t="inlineStr">
        <is>
          <t>X</t>
        </is>
      </c>
      <c r="M3690" s="401" t="n"/>
      <c r="N3690" s="401" t="inlineStr">
        <is>
          <t>Done</t>
        </is>
      </c>
      <c r="O3690" s="401" t="n"/>
      <c r="P3690" s="401" t="n"/>
      <c r="S3690" s="401" t="n"/>
      <c r="U3690" s="401" t="n"/>
      <c r="V3690" s="22" t="n"/>
      <c r="W3690" s="22" t="n"/>
      <c r="X3690" s="22" t="n"/>
      <c r="Y3690" s="38" t="n"/>
      <c r="Z3690" s="22" t="n"/>
      <c r="AA3690" s="22" t="n"/>
      <c r="AB3690" s="22" t="n"/>
      <c r="AC3690" s="22" t="n"/>
      <c r="AD3690" s="22" t="n"/>
      <c r="AE3690" s="22" t="n"/>
    </row>
    <row r="3691" ht="70" customHeight="1" s="380">
      <c r="A3691" s="148" t="n">
        <v>131</v>
      </c>
      <c r="B3691" s="390" t="n"/>
      <c r="C3691" s="390" t="inlineStr">
        <is>
          <t>Báo cáo tỷ lệ an toàn tài chính - Chi nhánh công ty chứng khoán nước ngoài tại Việt Nam &gt;&gt; Bảng tính vốn khả dụng</t>
        </is>
      </c>
      <c r="D3691" s="390" t="inlineStr">
        <is>
          <t xml:space="preserve">Tổng
</t>
        </is>
      </c>
      <c r="E3691" s="390" t="inlineStr">
        <is>
          <t xml:space="preserve">Tổng
</t>
        </is>
      </c>
      <c r="F3691" s="390" t="inlineStr">
        <is>
          <t>Data Explorer</t>
        </is>
      </c>
      <c r="G3691" s="390" t="inlineStr">
        <is>
          <t>Chỉ tiêu cơ sở</t>
        </is>
      </c>
      <c r="H3691" s="390" t="inlineStr">
        <is>
          <t>TB</t>
        </is>
      </c>
      <c r="I3691" s="390" t="inlineStr">
        <is>
          <t>Ngày, CTCK</t>
        </is>
      </c>
      <c r="J3691" s="401" t="inlineStr">
        <is>
          <t>SCMS</t>
        </is>
      </c>
      <c r="K3691" s="401" t="n"/>
      <c r="L3691" s="401" t="inlineStr">
        <is>
          <t>X</t>
        </is>
      </c>
      <c r="M3691" s="401" t="n"/>
      <c r="N3691" s="401" t="inlineStr">
        <is>
          <t>Done</t>
        </is>
      </c>
      <c r="O3691" s="401" t="n"/>
      <c r="P3691" s="401" t="n"/>
      <c r="S3691" s="401" t="n"/>
      <c r="U3691" s="401" t="n"/>
      <c r="V3691" s="22" t="n"/>
      <c r="W3691" s="22" t="n"/>
      <c r="X3691" s="22" t="n"/>
      <c r="Y3691" s="38" t="n"/>
      <c r="Z3691" s="22" t="n"/>
      <c r="AA3691" s="22" t="n"/>
      <c r="AB3691" s="22" t="n"/>
      <c r="AC3691" s="22" t="n"/>
      <c r="AD3691" s="22" t="n"/>
      <c r="AE3691" s="22" t="n"/>
    </row>
    <row r="3692" ht="70" customHeight="1" s="380">
      <c r="A3692" s="149" t="n">
        <v>131</v>
      </c>
      <c r="B3692" s="129" t="n"/>
      <c r="C3692" s="129" t="inlineStr">
        <is>
          <t>Báo cáo tỷ lệ an toàn tài chính - Chi nhánh công ty chứng khoán nước ngoài tại Việt Nam &gt;&gt; Bảng tính vốn khả dụng</t>
        </is>
      </c>
      <c r="D3692" s="129" t="inlineStr">
        <is>
          <t xml:space="preserve">VỐN KHẢ DỤNG = 1A-1B-1C-1D
</t>
        </is>
      </c>
      <c r="E3692" s="129" t="inlineStr">
        <is>
          <t xml:space="preserve">VỐN KHẢ DỤNG = 1A-1B-1C-1D
</t>
        </is>
      </c>
      <c r="F3692" s="129" t="inlineStr">
        <is>
          <t>Data Explorer</t>
        </is>
      </c>
      <c r="G3692" s="129" t="inlineStr">
        <is>
          <t>Chỉ tiêu cơ sở</t>
        </is>
      </c>
      <c r="H3692" s="129" t="inlineStr">
        <is>
          <t>TB</t>
        </is>
      </c>
      <c r="I3692" s="129" t="inlineStr">
        <is>
          <t>Ngày, CTCK</t>
        </is>
      </c>
      <c r="J3692" s="85" t="inlineStr">
        <is>
          <t>SCMS</t>
        </is>
      </c>
      <c r="K3692" s="85" t="n"/>
      <c r="L3692" s="85" t="inlineStr">
        <is>
          <t>X</t>
        </is>
      </c>
      <c r="M3692" s="85" t="n"/>
      <c r="N3692" s="85" t="inlineStr">
        <is>
          <t>Done</t>
        </is>
      </c>
      <c r="O3692" s="85" t="n"/>
      <c r="P3692" s="85" t="n"/>
      <c r="Q3692" s="426" t="n"/>
      <c r="R3692" s="426" t="n"/>
      <c r="S3692" s="85" t="n"/>
      <c r="T3692" s="426" t="n"/>
      <c r="U3692" s="85" t="n"/>
      <c r="V3692" s="130" t="n"/>
      <c r="W3692" s="130" t="n"/>
      <c r="X3692" s="130" t="n"/>
      <c r="Y3692" s="97" t="n"/>
      <c r="Z3692" s="130" t="n"/>
      <c r="AA3692" s="130" t="n"/>
      <c r="AB3692" s="130" t="n"/>
      <c r="AC3692" s="130" t="n"/>
      <c r="AD3692" s="130" t="n"/>
      <c r="AE3692" s="130" t="n"/>
    </row>
    <row r="3693" ht="84" customHeight="1" s="380">
      <c r="A3693" s="148" t="n">
        <v>132</v>
      </c>
      <c r="B3693" s="140" t="inlineStr">
        <is>
          <t>Nga</t>
        </is>
      </c>
      <c r="C3693" s="127" t="inlineStr">
        <is>
          <t>Báo cáo tỷ lệ an toàn tài chính - Chi nhánh công ty chứng khoán nước ngoài tại Việt Nam &gt;&gt; Bảng tính giá trị rủi ro (Rủi ro thị trường)</t>
        </is>
      </c>
      <c r="D3693" s="106" t="inlineStr">
        <is>
          <t>Loại báo cáo</t>
        </is>
      </c>
      <c r="E3693" s="107" t="inlineStr">
        <is>
          <t>Loại báo cáo</t>
        </is>
      </c>
      <c r="F3693" s="390" t="inlineStr">
        <is>
          <t>Data Explorer</t>
        </is>
      </c>
      <c r="G3693" s="390" t="inlineStr">
        <is>
          <t>Chiều</t>
        </is>
      </c>
      <c r="H3693" s="390" t="inlineStr">
        <is>
          <t>Dễ</t>
        </is>
      </c>
      <c r="I3693" s="390" t="inlineStr">
        <is>
          <t>Ngày, CTCK</t>
        </is>
      </c>
      <c r="J3693" s="401" t="inlineStr">
        <is>
          <t>SCMS</t>
        </is>
      </c>
      <c r="K3693" s="401" t="inlineStr">
        <is>
          <t>X</t>
        </is>
      </c>
      <c r="L3693" s="401" t="inlineStr">
        <is>
          <t>X</t>
        </is>
      </c>
      <c r="M3693" s="401" t="n"/>
      <c r="N3693" s="401" t="inlineStr">
        <is>
          <t>Done</t>
        </is>
      </c>
      <c r="O3693" s="401" t="n"/>
      <c r="P3693" s="401" t="n"/>
      <c r="Q3693" s="404" t="inlineStr">
        <is>
          <t>SCMS.BM_BAO_CAO
SCMS.BM_BAO_CAO_DINH_KY</t>
        </is>
      </c>
      <c r="R3693" s="404" t="inlineStr">
        <is>
          <t>bm.ID,
bm.MA_BAO_CAO,
bm.LOAI_BAO_CAO,
bm.TEN_BAO_CAO,
bm.SU_DUNG,
bdk.BM_BAO_CAO_ID,
bdk.KY_BAO_CAO,
bdk.SU_DUNG</t>
        </is>
      </c>
      <c r="S3693" s="401" t="n"/>
      <c r="T3693" s="390"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3693" s="401" t="n"/>
      <c r="V3693" s="22" t="n"/>
      <c r="W3693" s="22" t="n"/>
      <c r="X3693" s="22" t="n"/>
      <c r="Y3693" s="13" t="n"/>
      <c r="Z3693" s="22" t="n"/>
      <c r="AA3693" s="22" t="n"/>
      <c r="AB3693" s="22" t="n"/>
      <c r="AC3693" s="22" t="n"/>
      <c r="AD3693" s="22" t="n"/>
      <c r="AE3693" s="22" t="n"/>
    </row>
    <row r="3694" ht="84" customHeight="1" s="380">
      <c r="A3694" s="148" t="n">
        <v>132</v>
      </c>
      <c r="B3694" s="390" t="n"/>
      <c r="C3694" s="390" t="inlineStr">
        <is>
          <t>Báo cáo tỷ lệ an toàn tài chính - Chi nhánh công ty chứng khoán nước ngoài tại Việt Nam &gt;&gt; Bảng tính giá trị rủi ro (Rủi ro thị trường)</t>
        </is>
      </c>
      <c r="D3694" s="106" t="inlineStr">
        <is>
          <t>Kỳ báo cáo</t>
        </is>
      </c>
      <c r="E3694" s="107" t="inlineStr">
        <is>
          <t>Kỳ báo cáo</t>
        </is>
      </c>
      <c r="F3694" s="390" t="inlineStr">
        <is>
          <t>Data Explorer</t>
        </is>
      </c>
      <c r="G3694" s="390" t="inlineStr">
        <is>
          <t>Chiều</t>
        </is>
      </c>
      <c r="H3694" s="390" t="inlineStr">
        <is>
          <t>Dễ</t>
        </is>
      </c>
      <c r="I3694" s="390" t="inlineStr">
        <is>
          <t>Ngày, CTCK</t>
        </is>
      </c>
      <c r="J3694" s="401" t="inlineStr">
        <is>
          <t>SCMS</t>
        </is>
      </c>
      <c r="K3694" s="401" t="inlineStr">
        <is>
          <t>X</t>
        </is>
      </c>
      <c r="L3694" s="401" t="inlineStr">
        <is>
          <t>X</t>
        </is>
      </c>
      <c r="M3694" s="401" t="n"/>
      <c r="N3694" s="401" t="inlineStr">
        <is>
          <t>Done</t>
        </is>
      </c>
      <c r="O3694" s="401" t="n"/>
      <c r="P3694" s="401" t="n"/>
      <c r="S3694" s="401" t="n"/>
      <c r="U3694" s="401" t="n"/>
      <c r="V3694" s="22" t="n"/>
      <c r="W3694" s="22" t="n"/>
      <c r="X3694" s="22" t="n"/>
      <c r="Y3694" s="13" t="n"/>
      <c r="Z3694" s="22" t="n"/>
      <c r="AA3694" s="22" t="n"/>
      <c r="AB3694" s="22" t="n"/>
      <c r="AC3694" s="22" t="n"/>
      <c r="AD3694" s="22" t="n"/>
      <c r="AE3694" s="22" t="n"/>
    </row>
    <row r="3695" ht="84" customHeight="1" s="380">
      <c r="A3695" s="148" t="n">
        <v>132</v>
      </c>
      <c r="B3695" s="390" t="n"/>
      <c r="C3695" s="390" t="inlineStr">
        <is>
          <t>Báo cáo tỷ lệ an toàn tài chính - Chi nhánh công ty chứng khoán nước ngoài tại Việt Nam &gt;&gt; Bảng tính giá trị rủi ro (Rủi ro thị trường)</t>
        </is>
      </c>
      <c r="D3695" s="106" t="inlineStr">
        <is>
          <t>Mã báo cáo</t>
        </is>
      </c>
      <c r="E3695" s="107" t="inlineStr">
        <is>
          <t>Mã báo cáo</t>
        </is>
      </c>
      <c r="F3695" s="390" t="inlineStr">
        <is>
          <t>Data Explorer</t>
        </is>
      </c>
      <c r="G3695" s="390" t="inlineStr">
        <is>
          <t>Chiều</t>
        </is>
      </c>
      <c r="H3695" s="390" t="inlineStr">
        <is>
          <t>Dễ</t>
        </is>
      </c>
      <c r="I3695" s="390" t="inlineStr">
        <is>
          <t>Ngày, CTCK</t>
        </is>
      </c>
      <c r="J3695" s="401" t="inlineStr">
        <is>
          <t>SCMS</t>
        </is>
      </c>
      <c r="K3695" s="401" t="inlineStr">
        <is>
          <t>X</t>
        </is>
      </c>
      <c r="L3695" s="401" t="inlineStr">
        <is>
          <t>X</t>
        </is>
      </c>
      <c r="M3695" s="401" t="n"/>
      <c r="N3695" s="401" t="inlineStr">
        <is>
          <t>Done</t>
        </is>
      </c>
      <c r="O3695" s="401" t="n"/>
      <c r="P3695" s="401" t="n"/>
      <c r="S3695" s="401" t="n"/>
      <c r="U3695" s="401" t="n"/>
      <c r="V3695" s="22" t="n"/>
      <c r="W3695" s="22" t="n"/>
      <c r="X3695" s="22" t="n"/>
      <c r="Y3695" s="13" t="n"/>
      <c r="Z3695" s="22" t="n"/>
      <c r="AA3695" s="22" t="n"/>
      <c r="AB3695" s="22" t="n"/>
      <c r="AC3695" s="22" t="n"/>
      <c r="AD3695" s="22" t="n"/>
      <c r="AE3695" s="22" t="n"/>
    </row>
    <row r="3696" ht="84" customHeight="1" s="380">
      <c r="A3696" s="148" t="n">
        <v>132</v>
      </c>
      <c r="B3696" s="390" t="n"/>
      <c r="C3696" s="390" t="inlineStr">
        <is>
          <t>Báo cáo tỷ lệ an toàn tài chính - Chi nhánh công ty chứng khoán nước ngoài tại Việt Nam &gt;&gt; Bảng tính giá trị rủi ro (Rủi ro thị trường)</t>
        </is>
      </c>
      <c r="D3696" s="106" t="inlineStr">
        <is>
          <t>Tên báo cáo</t>
        </is>
      </c>
      <c r="E3696" s="107" t="inlineStr">
        <is>
          <t>Tên báo cáo</t>
        </is>
      </c>
      <c r="F3696" s="390" t="inlineStr">
        <is>
          <t>Data Explorer</t>
        </is>
      </c>
      <c r="G3696" s="390" t="inlineStr">
        <is>
          <t>Chiều</t>
        </is>
      </c>
      <c r="H3696" s="390" t="inlineStr">
        <is>
          <t>Dễ</t>
        </is>
      </c>
      <c r="I3696" s="390" t="inlineStr">
        <is>
          <t>Ngày, CTCK</t>
        </is>
      </c>
      <c r="J3696" s="401" t="inlineStr">
        <is>
          <t>SCMS</t>
        </is>
      </c>
      <c r="K3696" s="401" t="inlineStr">
        <is>
          <t>X</t>
        </is>
      </c>
      <c r="L3696" s="401" t="inlineStr">
        <is>
          <t>X</t>
        </is>
      </c>
      <c r="M3696" s="401" t="n"/>
      <c r="N3696" s="401" t="inlineStr">
        <is>
          <t>Done</t>
        </is>
      </c>
      <c r="O3696" s="401" t="n"/>
      <c r="P3696" s="401" t="n"/>
      <c r="S3696" s="401" t="n"/>
      <c r="U3696" s="401" t="n"/>
      <c r="V3696" s="22" t="n"/>
      <c r="W3696" s="22" t="n"/>
      <c r="X3696" s="22" t="n"/>
      <c r="Y3696" s="13" t="n"/>
      <c r="Z3696" s="22" t="n"/>
      <c r="AA3696" s="22" t="n"/>
      <c r="AB3696" s="22" t="n"/>
      <c r="AC3696" s="22" t="n"/>
      <c r="AD3696" s="22" t="n"/>
      <c r="AE3696" s="22" t="n"/>
    </row>
    <row r="3697" ht="84" customHeight="1" s="380">
      <c r="A3697" s="148" t="n">
        <v>132</v>
      </c>
      <c r="B3697" s="390" t="n"/>
      <c r="C3697" s="390" t="inlineStr">
        <is>
          <t>Báo cáo tỷ lệ an toàn tài chính - Chi nhánh công ty chứng khoán nước ngoài tại Việt Nam &gt;&gt; Bảng tính giá trị rủi ro (Rủi ro thị trường)</t>
        </is>
      </c>
      <c r="D3697" s="106" t="inlineStr">
        <is>
          <t>Mã sheet</t>
        </is>
      </c>
      <c r="E3697" s="106" t="inlineStr">
        <is>
          <t>Mã sheet</t>
        </is>
      </c>
      <c r="F3697" s="390" t="inlineStr">
        <is>
          <t>Data Explorer</t>
        </is>
      </c>
      <c r="G3697" s="390" t="inlineStr">
        <is>
          <t>Chiều</t>
        </is>
      </c>
      <c r="H3697" s="390" t="inlineStr">
        <is>
          <t>Dễ</t>
        </is>
      </c>
      <c r="I3697" s="390" t="inlineStr">
        <is>
          <t>Ngày, CTCK</t>
        </is>
      </c>
      <c r="J3697" s="401" t="inlineStr">
        <is>
          <t>SCMS</t>
        </is>
      </c>
      <c r="K3697" s="401" t="inlineStr">
        <is>
          <t>X</t>
        </is>
      </c>
      <c r="L3697" s="401" t="inlineStr">
        <is>
          <t>X</t>
        </is>
      </c>
      <c r="M3697" s="401" t="n"/>
      <c r="N3697" s="401" t="inlineStr">
        <is>
          <t>Done</t>
        </is>
      </c>
      <c r="O3697" s="401" t="n"/>
      <c r="P3697" s="401" t="n"/>
      <c r="Q3697" s="401" t="inlineStr">
        <is>
          <t>SCMS.BM_BAO_CAO
SCMS.BM_SHEET</t>
        </is>
      </c>
      <c r="R3697" s="401" t="inlineStr">
        <is>
          <t>bm.ID,
bm.MA_BAO_CAO,
bm.SU_DUNG,
s.BM_BAO_CAO_ID,
s.MA_SHEET,
s.TEN_SHEET,
s.SAP_XEP</t>
        </is>
      </c>
      <c r="S3697" s="401" t="n"/>
      <c r="T3697" s="389" t="inlineStr">
        <is>
          <t>-- Mã sheet / Tên sheet
-- TEN_SHEET: 06H02
SELECT bm.MA_BAO_CAO,
s.MA_SHEET,
s.TEN_SHEET
FROM SCMS.BM_BAO_CAO bm
JOIN SCMS.BM_SHEET s ON s.BM_BAO_CAO_ID = bm.ID
WHERE bm.MA_BAO_CAO LIKE 'BCTLAT_TT102/2025'
AND s.MA_SHEET = '06H02'  -- Check lại
AND bm.SU_DUNG = 1
ORDER BY bm.MA_BAO_CAO, s.SAP_XEP;</t>
        </is>
      </c>
      <c r="U3697" s="401" t="n"/>
      <c r="V3697" s="22" t="n"/>
      <c r="W3697" s="22" t="n"/>
      <c r="X3697" s="22" t="n"/>
      <c r="Y3697" s="13" t="n"/>
      <c r="Z3697" s="22" t="n"/>
      <c r="AA3697" s="22" t="n"/>
      <c r="AB3697" s="22" t="n"/>
      <c r="AC3697" s="22" t="n"/>
      <c r="AD3697" s="22" t="n"/>
      <c r="AE3697" s="22" t="n"/>
    </row>
    <row r="3698" ht="84" customHeight="1" s="380">
      <c r="A3698" s="148" t="n">
        <v>132</v>
      </c>
      <c r="B3698" s="390" t="n"/>
      <c r="C3698" s="390" t="inlineStr">
        <is>
          <t>Báo cáo tỷ lệ an toàn tài chính - Chi nhánh công ty chứng khoán nước ngoài tại Việt Nam &gt;&gt; Bảng tính giá trị rủi ro (Rủi ro thị trường)</t>
        </is>
      </c>
      <c r="D3698" s="106" t="inlineStr">
        <is>
          <t>Tên sheet</t>
        </is>
      </c>
      <c r="E3698" s="106" t="inlineStr">
        <is>
          <t>Tên sheet</t>
        </is>
      </c>
      <c r="F3698" s="390" t="inlineStr">
        <is>
          <t>Data Explorer</t>
        </is>
      </c>
      <c r="G3698" s="390" t="inlineStr">
        <is>
          <t>Chiều</t>
        </is>
      </c>
      <c r="H3698" s="390" t="inlineStr">
        <is>
          <t>Dễ</t>
        </is>
      </c>
      <c r="I3698" s="390" t="inlineStr">
        <is>
          <t>Ngày, CTCK</t>
        </is>
      </c>
      <c r="J3698" s="401" t="inlineStr">
        <is>
          <t>SCMS</t>
        </is>
      </c>
      <c r="K3698" s="401" t="inlineStr">
        <is>
          <t>X</t>
        </is>
      </c>
      <c r="L3698" s="401" t="inlineStr">
        <is>
          <t>X</t>
        </is>
      </c>
      <c r="M3698" s="401" t="n"/>
      <c r="N3698" s="401" t="inlineStr">
        <is>
          <t>Done</t>
        </is>
      </c>
      <c r="O3698" s="401" t="n"/>
      <c r="P3698" s="401" t="n"/>
      <c r="S3698" s="401" t="n"/>
      <c r="U3698" s="401" t="n"/>
      <c r="V3698" s="22" t="n"/>
      <c r="W3698" s="22" t="n"/>
      <c r="X3698" s="22" t="n"/>
      <c r="Y3698" s="13" t="n"/>
      <c r="Z3698" s="22" t="n"/>
      <c r="AA3698" s="22" t="n"/>
      <c r="AB3698" s="22" t="n"/>
      <c r="AC3698" s="22" t="n"/>
      <c r="AD3698" s="22" t="n"/>
      <c r="AE3698" s="22" t="n"/>
    </row>
    <row r="3699" ht="84" customHeight="1" s="380">
      <c r="A3699" s="148" t="n">
        <v>132</v>
      </c>
      <c r="B3699" s="390" t="n"/>
      <c r="C3699" s="390" t="inlineStr">
        <is>
          <t>Báo cáo tỷ lệ an toàn tài chính - Chi nhánh công ty chứng khoán nước ngoài tại Việt Nam &gt;&gt; Bảng tính giá trị rủi ro (Rủi ro thị trường)</t>
        </is>
      </c>
      <c r="D3699" s="106" t="inlineStr">
        <is>
          <t>Mã chỉ tiêu</t>
        </is>
      </c>
      <c r="E3699" s="107" t="inlineStr">
        <is>
          <t>Mã chỉ tiêu</t>
        </is>
      </c>
      <c r="F3699" s="390" t="inlineStr">
        <is>
          <t>Data Explorer</t>
        </is>
      </c>
      <c r="G3699" s="390" t="inlineStr">
        <is>
          <t>Chiều</t>
        </is>
      </c>
      <c r="H3699" s="390" t="inlineStr">
        <is>
          <t>Dễ</t>
        </is>
      </c>
      <c r="I3699" s="390" t="inlineStr">
        <is>
          <t>Ngày, CTCK</t>
        </is>
      </c>
      <c r="J3699" s="401" t="inlineStr">
        <is>
          <t>SCMS</t>
        </is>
      </c>
      <c r="K3699" s="401" t="inlineStr">
        <is>
          <t>X</t>
        </is>
      </c>
      <c r="L3699" s="401" t="inlineStr">
        <is>
          <t>X</t>
        </is>
      </c>
      <c r="M3699" s="401" t="n"/>
      <c r="N3699" s="401" t="inlineStr">
        <is>
          <t>Done</t>
        </is>
      </c>
      <c r="O3699" s="401" t="n"/>
      <c r="P3699" s="401" t="n"/>
      <c r="Q3699" s="401" t="inlineStr">
        <is>
          <t>SCMS.BM_BAO_CAO
SCMS.BM_SHEET
SCMS.BM_BAO_CAO_CT
SCMS.DM_CHI_TIEU</t>
        </is>
      </c>
      <c r="R3699" s="402" t="inlineStr">
        <is>
          <t>dct.ID,
dct.MA_CHI_TIEU,
dct.TEN_CHI_TIEU,
dct.SU_DUNG,
s.BM_BAO_CAO_ID,
s.MA_SHEET,
ct.BM_BAO_CAO_ID,
ct.DM_CHI_TIEU_ID,
ct.SU_DUNG,
bm.ID,
bm.MA_BAO_CAO,
bm.SU_DUNG</t>
        </is>
      </c>
      <c r="S3699" s="401" t="n"/>
      <c r="T3699" s="389" t="inlineStr">
        <is>
          <t>-- Mã chỉ tiêu / Tên chỉ tiêu
SELECT DISTINCT
    dct.MA_CHI_TIEU  AS ma_chi_tieu,
    dct.TEN_CHI_TIEU AS ten_chi_tieu
FROM SCMS.BM_BAO_CAO bm
JOIN SCMS.BM_SHEET s ON s.BM_BAO_CAO_ID = bm.ID
	AND s.MA_SHEET = '06H02'
JOIN SCMS.BM_BAO_CAO_CT ct ON ct.BM_SHEET_ID = s.ID
	AND ct.SU_DUNG = 1
JOIN SCMS.DM_CHI_TIEU dct ON dct.ID = ct.DM_CHI_TIEU_ID
	AND dct.SU_DUNG = 1
WHERE bm.MA_BAO_CAO LIKE 'BCTLAT_TT102/2025'
	AND bm.SU_DUNG = 1
ORDER BY dct.MA_CHI_TIEU;</t>
        </is>
      </c>
      <c r="U3699" s="401" t="n"/>
      <c r="V3699" s="22" t="n"/>
      <c r="W3699" s="22" t="n"/>
      <c r="X3699" s="22" t="n"/>
      <c r="Y3699" s="38" t="n"/>
      <c r="Z3699" s="22" t="n"/>
      <c r="AA3699" s="22" t="n"/>
      <c r="AB3699" s="22" t="n"/>
      <c r="AC3699" s="22" t="n"/>
      <c r="AD3699" s="22" t="n"/>
      <c r="AE3699" s="22" t="n"/>
    </row>
    <row r="3700" ht="84" customHeight="1" s="380">
      <c r="A3700" s="148" t="n">
        <v>132</v>
      </c>
      <c r="B3700" s="390" t="n"/>
      <c r="C3700" s="390" t="inlineStr">
        <is>
          <t>Báo cáo tỷ lệ an toàn tài chính - Chi nhánh công ty chứng khoán nước ngoài tại Việt Nam &gt;&gt; Bảng tính giá trị rủi ro (Rủi ro thị trường)</t>
        </is>
      </c>
      <c r="D3700" s="106" t="inlineStr">
        <is>
          <t>Tên chỉ tiêu</t>
        </is>
      </c>
      <c r="E3700" s="107" t="inlineStr">
        <is>
          <t>Tên chỉ tiêu</t>
        </is>
      </c>
      <c r="F3700" s="390" t="inlineStr">
        <is>
          <t>Data Explorer</t>
        </is>
      </c>
      <c r="G3700" s="390" t="inlineStr">
        <is>
          <t>Chiều</t>
        </is>
      </c>
      <c r="H3700" s="390" t="inlineStr">
        <is>
          <t>Dễ</t>
        </is>
      </c>
      <c r="I3700" s="390" t="inlineStr">
        <is>
          <t>Ngày, CTCK</t>
        </is>
      </c>
      <c r="J3700" s="401" t="inlineStr">
        <is>
          <t>SCMS</t>
        </is>
      </c>
      <c r="K3700" s="401" t="inlineStr">
        <is>
          <t>X</t>
        </is>
      </c>
      <c r="L3700" s="401" t="inlineStr">
        <is>
          <t>X</t>
        </is>
      </c>
      <c r="M3700" s="401" t="n"/>
      <c r="N3700" s="401" t="inlineStr">
        <is>
          <t>Done</t>
        </is>
      </c>
      <c r="O3700" s="401" t="n"/>
      <c r="P3700" s="401" t="n"/>
      <c r="S3700" s="401" t="n"/>
      <c r="U3700" s="401" t="n"/>
      <c r="V3700" s="22" t="n"/>
      <c r="W3700" s="22" t="n"/>
      <c r="X3700" s="22" t="n"/>
      <c r="Y3700" s="13" t="n"/>
      <c r="Z3700" s="22" t="n"/>
      <c r="AA3700" s="22" t="n"/>
      <c r="AB3700" s="22" t="n"/>
      <c r="AC3700" s="22" t="n"/>
      <c r="AD3700" s="22" t="n"/>
      <c r="AE3700" s="22" t="n"/>
    </row>
    <row r="3701" ht="84" customHeight="1" s="380">
      <c r="A3701" s="148" t="n">
        <v>132</v>
      </c>
      <c r="B3701" s="390" t="n"/>
      <c r="C3701" s="390" t="inlineStr">
        <is>
          <t>Báo cáo tỷ lệ an toàn tài chính - Chi nhánh công ty chứng khoán nước ngoài tại Việt Nam &gt;&gt; Bảng tính giá trị rủi ro (Rủi ro thị trường)</t>
        </is>
      </c>
      <c r="D3701" s="390" t="inlineStr">
        <is>
          <t xml:space="preserve">Tiền và các khoản tương đương tiền, công cụ thị trường tiền tệ 
</t>
        </is>
      </c>
      <c r="E3701" s="390" t="inlineStr">
        <is>
          <t xml:space="preserve">Tiền và các khoản tương đương tiền, công cụ thị trường tiền tệ 
</t>
        </is>
      </c>
      <c r="F3701" s="390" t="inlineStr">
        <is>
          <t>Data Explorer</t>
        </is>
      </c>
      <c r="G3701" s="390" t="inlineStr">
        <is>
          <t>Chỉ tiêu cơ sở</t>
        </is>
      </c>
      <c r="H3701" s="390" t="inlineStr">
        <is>
          <t>TB</t>
        </is>
      </c>
      <c r="I3701" s="390" t="inlineStr">
        <is>
          <t>Ngày, CTCK</t>
        </is>
      </c>
      <c r="J3701" s="401" t="inlineStr">
        <is>
          <t>SCMS</t>
        </is>
      </c>
      <c r="K3701" s="401" t="n"/>
      <c r="L3701" s="401" t="inlineStr">
        <is>
          <t>X</t>
        </is>
      </c>
      <c r="M3701" s="401" t="n"/>
      <c r="N3701" s="401" t="inlineStr">
        <is>
          <t>Done</t>
        </is>
      </c>
      <c r="O3701" s="401" t="n"/>
      <c r="P3701" s="401" t="n"/>
      <c r="Q3701" s="431" t="inlineStr">
        <is>
          <t>SCMS.BC_THANH_VIEN
SCMS.BM_BAO_CAO
SCMS.BC_BAO_CAO_GT
SCMS.BM_BAO_CAO_HANG
SCMS.BM_BAO_CAO_COT</t>
        </is>
      </c>
      <c r="R3701" s="431" t="inlineStr">
        <is>
          <t>bsc.TEN_COT,
bsc.BM_SHEET_ID,
bsh.ID,
bsh.MA_HANG,
gt.GIA_TRI,
gt.BC_THANH_VIEN_ID,
gt.BM_SHEET_HANG_ID,
bm.ID,
bm.MA_BAO_CAO,
btv.ID,
btv.BM_BAO_CAO_ID,
btv.TRANG_THAI,
btv.NGAY_SO_LIEU</t>
        </is>
      </c>
      <c r="S3701" s="401" t="n"/>
      <c r="T3701" s="432" t="inlineStr">
        <is>
          <t xml:space="preserve">-- CHỈ TIÊU
SELECT
	-- Hệ số rủi ro
    MAX(CASE WHEN bsc.TEN_COT=N'Hệ số rủi ro' AND bsh.MA_HANG = '1' THEN CAST(gt.GIA_TRI AS VARCHAR2(4000)) END) AS "Tiền và các khoản tương đương tiền, công cụ thị trường tiền tệ",
	MAX(CASE WHEN bsc.TEN_COT=N'Hệ số rủi ro' AND bsh.MA_HANG = '2' THEN CAST(gt.GIA_TRI AS VARCHAR2(4000)) END) AS "Tiền mặt (VND)",
	MAX(CASE WHEN bsc.TEN_COT=N'Hệ số rủi ro' AND bsh.MA_HANG = '3' THEN CAST(gt.GIA_TRI AS VARCHAR2(4000)) END) AS "Các khoản tương đương tiền",
	MAX(CASE WHEN bsc.TEN_COT=N'Hệ số rủi ro' AND bsh.MA_HANG = '4' THEN CAST(gt.GIA_TRI AS VARCHAR2(4000)) END) AS "Giấy tờ có giá, công cụ chuyển nhượng trên thị trường tiền tệ, chứng chỉ tiền gửi",
	MAX(CASE WHEN bsc.TEN_COT=N'Hệ số rủi ro' AND bsh.MA_HANG = '5' THEN CAST(gt.GIA_TRI AS VARCHAR2(4000)) END) AS "Trái phiếu Chính phủ",
	MAX(CASE WHEN bsc.TEN_COT=N'Hệ số rủi ro' AND bsh.MA_HANG = '6' THEN CAST(gt.GIA_TRI AS VARCHAR2(4000)) END) AS "Trái phiếu Chính phủ không trả lãi",
	MAX(CASE WHEN bsc.TEN_COT=N'Hệ số rủi ro' AND bsh.MA_HANG = '7' THEN CAST(gt.GIA_TRI AS VARCHAR2(4000)) END) AS "Trái phiếu Chính phủ (bao gồm công trái và trái phiếu công trình đã phát hành trước đây)",  -- DB cũ: MA_HANG = '8'
	MAX(CASE WHEN bsc.TEN_COT=N'Hệ số rủi ro' AND bsh.MA_HANG = '8' THEN CAST(gt.GIA_TRI AS VARCHAR2(4000)) END) AS "Trái phiếu tổ chức tín dụng có thời gian đáo hạn còn lại dưới 1 năm", -- DB cũ: MA_HANG = '10'
	MAX(CASE WHEN bsc.TEN_COT=N'Hệ số rủi ro' AND bsh.MA_HANG = '9' THEN CAST(gt.GIA_TRI AS VARCHAR2(4000)) END) AS "Trái phiếu tổ chức tín dụng",  -- DB cũ không có
	MAX(CASE WHEN bsc.TEN_COT=N'Hệ số rủi ro' AND bsh.MA_HANG = '10' THEN CAST(gt.GIA_TRI AS VARCHAR2(4000)) END) AS "Trái phiếu tổ chức tín dụng có thời gian đáo hạn còn từ 1 năm đến dưới 3 năm",
	MAX(CASE WHEN bsc.TEN_COT=N'Hệ số rủi ro' AND bsh.MA_HANG = '11' THEN CAST(gt.GIA_TRI AS VARCHAR2(4000)) END) AS "Trái phiếu tổ chức tín dụng có thời gian đáo hạn còn lại từ 3 năm đến dưới 5 năm",
	MAX(CASE WHEN bsc.TEN_COT=N'Hệ số rủi ro' AND bsh.MA_HANG = '12' THEN CAST(gt.GIA_TRI AS VARCHAR2(4000)) END) AS "Trái phiếu tổ chức tín dụng có thời gian đáo hạn còn lại từ 5 năm trở lên",
	MAX(CASE WHEN bsc.TEN_COT=N'Hệ số rủi ro' AND bsh.MA_HANG = '13' THEN CAST(gt.GIA_TRI AS VARCHAR2(4000)) END) AS "Trái phiếu doanh nghiệp",
	MAX(CASE WHEN bsc.TEN_COT=N'Hệ số rủi ro' AND bsh.MA_HANG = '14' THEN CAST(gt.GIA_TRI AS VARCHAR2(4000)) END) AS "Trái phiếu doanh nghiệp niêm yết",
	MAX(CASE WHEN bsc.TEN_COT=N'Hệ số rủi ro' AND bsh.MA_HANG = '15' THEN CAST(gt.GIA_TRI AS VARCHAR2(4000)) END) AS "Trái phiếu niêm yết có thời gian đáo hạn còn lại dưới 1 năm",
	MAX(CASE WHEN bsc.TEN_COT=N'Hệ số rủi ro' AND bsh.MA_HANG = '16' THEN CAST(gt.GIA_TRI AS VARCHAR2(4000)) END) AS "Trái phiếu niêm yết có thời gian đáo hạn còn lại từ 1 năm đến dưới 3 năm",
	MAX(CASE WHEN bsc.TEN_COT=N'Hệ số rủi ro' AND bsh.MA_HANG = '17' THEN CAST(gt.GIA_TRI AS VARCHAR2(4000)) END) AS "Trái phiếu niêm yết có thời gian đáo hạn còn lại từ 3 năm đến dưới 5 năm",
	MAX(CASE WHEN bsc.TEN_COT=N'Hệ số rủi ro' AND bsh.MA_HANG = '18' THEN CAST(gt.GIA_TRI AS VARCHAR2(4000)) END) AS "Trái phiếu niêm yết có thời gian đáo hạn còn lại từ 5 năm trở lên",
	MAX(CASE WHEN bsc.TEN_COT=N'Hệ số rủi ro' AND bsh.MA_HANG = '19' THEN CAST(gt.GIA_TRI AS VARCHAR2(4000)) END) AS "Trái phiếu doanh nghiệp không niêm yết",  -- DB cũ là "chưa niêm yết"
	MAX(CASE WHEN bsc.TEN_COT=N'Hệ số rủi ro' AND bsh.MA_HANG = '20' THEN CAST(gt.GIA_TRI AS VARCHAR2(4000)) END) AS "Trái phiếu không niêm yết do doanh nghiệp niêm yết phát hành có thời gian đáo hạn còn lại dưới 1 năm",
	MAX(CASE WHEN bsc.TEN_COT=N'Hệ số rủi ro' AND bsh.MA_HANG = '21' THEN CAST(gt.GIA_TRI AS VARCHAR2(4000)) END) AS "Trái phiếu không niêm yết do doanh nghiệp niêm yết phát hành có thời gian đáo hạn còn lại từ 1 năm đến dưới 3 năm",
	MAX(CASE WHEN bsc.TEN_COT=N'Hệ số rủi ro' AND bsh.MA_HANG = '22' THEN CAST(gt.GIA_TRI AS VARCHAR2(4000)) END) AS "Trái phiếu không niêm yết do doanh nghiệp niêm yết phát hành có thời gian đáo hạn còn lại từ 3 năm đến dưới 5 năm",
	MAX(CASE WHEN bsc.TEN_COT=N'Hệ số rủi ro' AND bsh.MA_HANG = '23' THEN CAST(gt.GIA_TRI AS VARCHAR2(4000)) END) AS "Trái phiếu không niêm yết do doanh nghiệp niêm yết phát hành có thời gian đáo hạn còn lại từ 5 năm trở lên",
	MAX(CASE WHEN bsc.TEN_COT=N'Hệ số rủi ro' AND bsh.MA_HANG = '24' THEN CAST(gt.GIA_TRI AS VARCHAR2(4000)) END) AS "Trái phiếu không niêm yết do doanh nghiệp khác phát hành có thời gian đáo hạn còn lại dưới 1 năm",
	MAX(CASE WHEN bsc.TEN_COT=N'Hệ số rủi ro' AND bsh.MA_HANG = '25' THEN CAST(gt.GIA_TRI AS VARCHAR2(4000)) END) AS "Trái phiếu không niêm yết do doanh nghiệp khác phát hành có thời gian đáo hạn còn lại từ 1 năm đến dưới 3 năm",
	MAX(CASE WHEN bsc.TEN_COT=N'Hệ số rủi ro' AND bsh.MA_HANG = '26' THEN CAST(gt.GIA_TRI AS VARCHAR2(4000)) END) AS "Trái phiếu không niêm yết do doanh nghiệp khác phát hành có thời gian đáo hạn còn lại từ 3 năm đến dưới 5 năm",
	MAX(CASE WHEN bsc.TEN_COT=N'Hệ số rủi ro' AND bsh.MA_HANG = '27' THEN CAST(gt.GIA_TRI AS VARCHAR2(4000)) END) AS "Trái phiếu không niêm yết do doanh nghiệp khác phát hành có thời gian đáo hạn còn lại từ 5 năm trở lên",
	MAX(CASE WHEN bsc.TEN_COT=N'Hệ số rủi ro' AND bsh.MA_HANG = '28' THEN CAST(gt.GIA_TRI AS VARCHAR2(4000)) END) AS "Liệt kê kết quả xếp hạng tín nhiệm đối với trái phiếu/tổ chức phát hành",
	MAX(CASE WHEN bsc.TEN_COT=N'Hệ số rủi ro' AND bsh.MA_HANG = '29' THEN CAST(gt.GIA_TRI AS VARCHAR2(4000)) END) AS "Cổ phiếu",
	MAX(CASE WHEN bsc.TEN_COT=N'Hệ số rủi ro' AND bsh.MA_HANG = '30' THEN CAST(gt.GIA_TRI AS VARCHAR2(4000)) END) AS "Cổ phiếu phổ thông, cổ phiếu ưu đãi của các tổ chức niêm yết tại Sở giao dịch chứng khoán",
	MAX(CASE WHEN bsc.TEN_COT=N'Hệ số rủi ro' AND bsh.MA_HANG = '31' THEN CAST(gt.GIA_TRI AS VARCHAR2(4000)) END) AS "Cổ phiếu phổ thông, cổ phiếu ưu đãi của các công ty đại chúng chưa niêm yết và đã đăng ký giao dịch qua hệ thống UpCom",
	MAX(CASE WHEN bsc.TEN_COT=N'Hệ số rủi ro' AND bsh.MA_HANG = '32' THEN CAST(gt.GIA_TRI AS VARCHAR2(4000)) END) AS "Cổ phiếu phổ thông, cổ phiếu ưu đãi của các công ty đại chúng đã đăng ký lưu ký, nhưng chưa niêm yết hoặc đăng ký giao dịch; cổ phiếu đang trong đợt phát hành lần đầu (IPO)",
	MAX(CASE WHEN bsc.TEN_COT=N'Hệ số rủi ro' AND bsh.MA_HANG = '33' THEN CAST(gt.GIA_TRI AS VARCHAR2(4000)) END) AS "Chứng chỉ quỹ đầu tư chứng khoán",
	MAX(CASE WHEN bsc.TEN_COT=N'Hệ số rủi ro' AND bsh.MA_HANG = '34' THEN CAST(gt.GIA_TRI AS VARCHAR2(4000)) END) AS "Quỹ đại chúng, công ty đầu tư chứng khoán đại chúng",
	MAX(CASE WHEN bsc.TEN_COT=N'Hệ số rủi ro' AND bsh.MA_HANG = '35' THEN CAST(gt.GIA_TRI AS VARCHAR2(4000)) END) AS "Quỹ thành viên",
	MAX(CASE WHEN bsc.TEN_COT=N'Hệ số rủi ro' AND bsh.MA_HANG = '36' THEN CAST(gt.GIA_TRI AS VARCHAR2(4000)) END) AS "Công ty đầu tư chứng khoán riêng lẻ",
	MAX(CASE WHEN bsc.TEN_COT=N'Hệ số rủi ro' AND bsh.MA_HANG = '37' THEN CAST(gt.GIA_TRI AS VARCHAR2(4000)) END) AS "Chứng khoán bị hạn chế giao dịch",
	MAX(CASE WHEN bsc.TEN_COT=N'Hệ số rủi ro' AND bsh.MA_HANG = '38' THEN CAST(gt.GIA_TRI AS VARCHAR2(4000)) END) AS "Chứng khoán bị cảnh báo",
	MAX(CASE WHEN bsc.TEN_COT=N'Hệ số rủi ro' AND bsh.MA_HANG = '39' THEN CAST(gt.GIA_TRI AS VARCHAR2(4000)) END) AS "Chứng khoán bị kiểm soát",
	MAX(CASE WHEN bsc.TEN_COT=N'Hệ số rủi ro' AND bsh.MA_HANG = '40' THEN CAST(gt.GIA_TRI AS VARCHAR2(4000)) END) AS "Chứng khoán niêm yết bị kiểm soát",
	MAX(CASE WHEN bsc.TEN_COT=N'Hệ số rủi ro' AND bsh.MA_HANG = '41' THEN CAST(gt.GIA_TRI AS VARCHAR2(4000)) END) AS "Chứng khoán bị đình chỉ giao dịch",
	MAX(CASE WHEN bsc.TEN_COT=N'Hệ số rủi ro' AND bsh.MA_HANG = '42' THEN CAST(gt.GIA_TRI AS VARCHAR2(4000)) END) AS "Chứng khoán bị hủy niêm yết, hủy giao dịch",
	MAX(CASE WHEN bsc.TEN_COT=N'Hệ số rủi ro' AND bsh.MA_HANG = '43' THEN CAST(gt.GIA_TRI AS VARCHAR2(4000)) END) AS "Chứng khoán phái sinh",
	MAX(CASE WHEN bsc.TEN_COT=N'Hệ số rủi ro' AND bsh.MA_HANG = '44' THEN CAST(gt.GIA_TRI AS VARCHAR2(4000)) END) AS "Hợp đồng tương lai chỉ số cổ phiếu",
	MAX(CASE WHEN bsc.TEN_COT=N'Hệ số rủi ro' AND bsh.MA_HANG = '45' THEN CAST(gt.GIA_TRI AS VARCHAR2(4000)) END) AS "Cách tính: Giá trị rủi ro, Giá trị thanh toán cuối ngày",
	MAX(CASE WHEN bsc.TEN_COT=N'Hệ số rủi ro' AND bsh.MA_HANG = '46' THEN CAST(gt.GIA_TRI AS VARCHAR2(4000)) END) AS "Hợp đồng tương lai trái phiếu chính phủ",
	MAX(CASE WHEN bsc.TEN_COT=N'Hệ số rủi ro' AND bsh.MA_HANG = '47' THEN CAST(gt.GIA_TRI AS VARCHAR2(4000)) END) AS "Cách tính: Giá trị rủi ro, Giá trị thanh toán cuối ngày",
	MAX(CASE WHEN bsc.TEN_COT=N'Hệ số rủi ro' AND bsh.MA_HANG = '48' THEN CAST(gt.GIA_TRI AS VARCHAR2(4000)) END) AS "Chứng khoán khác",
	MAX(CASE WHEN bsc.TEN_COT=N'Hệ số rủi ro' AND bsh.MA_HANG = '49' THEN CAST(gt.GIA_TRI AS VARCHAR2(4000)) END) AS "Cổ phiếu niêm yết trên các thị trường nước ngoài thuộc chỉ số đạt chuẩn/các chỉ số được liệt kê tại Phụ lục VIII",
	MAX(CASE WHEN bsc.TEN_COT=N'Hệ số rủi ro' AND bsh.MA_HANG = '50' THEN CAST(gt.GIA_TRI AS VARCHAR2(4000)) END) AS "Cổ phiếu niêm yết trên các thị trường nước ngoài không thuộc các chỉ số đạt chuẩn/các chỉ số được liệt kê tại Phụ lục VIII",
	MAX(CASE WHEN bsc.TEN_COT=N'Hệ số rủi ro' AND bsh.MA_HANG = '51' THEN CAST(gt.GIA_TRI AS VARCHAR2(4000)) END) AS "Chứng quyền có bảo đảm niêm yết trên Sở giao dịch chứng khoán Thành phố Hồ Chí Minh",
	MAX(CASE WHEN bsc.TEN_COT=N'Hệ số rủi ro' AND bsh.MA_HANG = '52' THEN CAST(gt.GIA_TRI AS VARCHAR2(4000)) END) AS "Giao dịch chênh lệch giá",
	MAX(CASE WHEN bsc.TEN_COT=N'Hệ số rủi ro' AND bsh.MA_HANG = '53' THEN CAST(gt.GIA_TRI AS VARCHAR2(4000)) END) AS "Cổ phần, phần vốn góp, các loại chứng khoán khác và các tài sản đầu tư khác",
	MAX(CASE WHEN bsc.TEN_COT=N'Hệ số rủi ro' AND bsh.MA_HANG = '54' THEN CAST(gt.GIA_TRI AS VARCHAR2(4000)) END) AS "Chứng quyền có bảo đảm do công ty chứng khoán phát hành",
	MAX(CASE WHEN bsc.TEN_COT=N'Hệ số rủi ro' AND bsh.MA_HANG = '55' THEN CAST(gt.GIA_TRI AS VARCHAR2(4000)) END) AS "Cách tính: Giá trị rủi ro thị trường",
	MAX(CASE WHEN bsc.TEN_COT=N'Hệ số rủi ro' AND bsh.MA_HANG = '56' THEN CAST(gt.GIA_TRI AS VARCHAR2(4000)) END) AS "Chứng khoán hình thành từ hoạt động phòng ngừa rủi ro cho chứng quyền có bảo đảm do công ty chứng khoán đã phát hành",
	MAX(CASE WHEN bsc.TEN_COT=N'Hệ số rủi ro' AND bsh.MA_HANG = '57' THEN CAST(gt.GIA_TRI AS VARCHAR2(4000)) END) AS "Phần chênh lệch dương giữa giá trị chứng khoán cơ sở dùng để phòng ngừa rủi ro và giá trị chứng khoán cơ sở cần thiết để phòng ngừa rủi ro cho chứng quyền có bảo đảm",
	MAX(CASE WHEN bsc.TEN_COT=N'Hệ số rủi ro' AND bsh.MA_HANG = '58' THEN CAST(gt.GIA_TRI AS VARCHAR2(4000)) END) AS "Rủi ro tăng thêm (nếu có)",
	MAX(CASE WHEN bsc.TEN_COT=N'Hệ số rủi ro' AND bsh.MA_HANG = '59' THEN CAST(gt.GIA_TRI AS VARCHAR2(4000)) END) AS "Mã chứng khoán",
	MAX(CASE WHEN bsc.TEN_COT=N'Hệ số rủi ro' AND bsh.MA_HANG = '60' THEN CAST(gt.GIA_TRI AS VARCHAR2(4000)) END) AS "TỔNG GIÁ TRỊ RỦI RO THỊ TRƯỜNG (A= I+II+III+IV+V+VI+VII+VIII+IX)",
    -- Quy mô rủi ro
    MAX(CASE WHEN bsc.TEN_COT=N'Quy mô rủi ro' AND bsh.MA_HANG = '1' THEN CAST(gt.GIA_TRI AS VARCHAR2(4000)) END) AS "Tiền và các khoản tương đương tiền, công cụ thị trường tiền tệ",
	MAX(CASE WHEN bsc.TEN_COT=N'Quy mô rủi ro' AND bsh.MA_HANG = '2' THEN CAST(gt.GIA_TRI AS VARCHAR2(4000)) END) AS "Tiền mặt (VND)",
	MAX(CASE WHEN bsc.TEN_COT=N'Quy mô rủi ro' AND bsh.MA_HANG = '3' THEN CAST(gt.GIA_TRI AS VARCHAR2(4000)) END) AS "Các khoản tương đương tiền",
	MAX(CASE WHEN bsc.TEN_COT=N'Quy mô rủi ro' AND bsh.MA_HANG = '4' THEN CAST(gt.GIA_TRI AS VARCHAR2(4000)) END) AS "Giấy tờ có giá, công cụ chuyển nhượng trên thị trường tiền tệ, chứng chỉ tiền gửi",
	MAX(CASE WHEN bsc.TEN_COT=N'Quy mô rủi ro' AND bsh.MA_HANG = '5' THEN CAST(gt.GIA_TRI AS VARCHAR2(4000)) END) AS "Trái phiếu Chính phủ",
	MAX(CASE WHEN bsc.TEN_COT=N'Quy mô rủi ro' AND bsh.MA_HANG = '6' THEN CAST(gt.GIA_TRI AS VARCHAR2(4000)) END) AS "Trái phiếu Chính phủ không trả lãi",
	MAX(CASE WHEN bsc.TEN_COT=N'Quy mô rủi ro' AND bsh.MA_HANG = '7' THEN CAST(gt.GIA_TRI AS VARCHAR2(4000)) END) AS "Trái phiếu Chính phủ (bao gồm công trái và trái phiếu công trình đã phát hành trước đây)",  -- DB cũ: MA_HANG = '8'
	MAX(CASE WHEN bsc.TEN_COT=N'Quy mô rủi ro' AND bsh.MA_HANG = '8' THEN CAST(gt.GIA_TRI AS VARCHAR2(4000)) END) AS "Trái phiếu tổ chức tín dụng có thời gian đáo hạn còn lại dưới 1 năm", -- DB cũ: MA_HANG = '10'
	MAX(CASE WHEN bsc.TEN_COT=N'Quy mô rủi ro' AND bsh.MA_HANG = '9' THEN CAST(gt.GIA_TRI AS VARCHAR2(4000)) END) AS "Trái phiếu tổ chức tín dụng",  -- DB cũ không có
	MAX(CASE WHEN bsc.TEN_COT=N'Quy mô rủi ro' AND bsh.MA_HANG = '10' THEN CAST(gt.GIA_TRI AS VARCHAR2(4000)) END) AS "Trái phiếu tổ chức tín dụng có thời gian đáo hạn còn từ 1 năm đến dưới 3 năm",
	MAX(CASE WHEN bsc.TEN_COT=N'Quy mô rủi ro' AND bsh.MA_HANG = '11' THEN CAST(gt.GIA_TRI AS VARCHAR2(4000)) END) AS "Trái phiếu tổ chức tín dụng có thời gian đáo hạn còn lại từ 3 năm đến dưới 5 năm",
	MAX(CASE WHEN bsc.TEN_COT=N'Quy mô rủi ro' AND bsh.MA_HANG = '12' THEN CAST(gt.GIA_TRI AS VARCHAR2(4000)) END) AS "Trái phiếu tổ chức tín dụng có thời gian đáo hạn còn lại từ 5 năm trở lên",
	MAX(CASE WHEN bsc.TEN_COT=N'Quy mô rủi ro' AND bsh.MA_HANG = '13' THEN CAST(gt.GIA_TRI AS VARCHAR2(4000)) END) AS "Trái phiếu doanh nghiệp",
	MAX(CASE WHEN bsc.TEN_COT=N'Quy mô rủi ro' AND bsh.MA_HANG = '14' THEN CAST(gt.GIA_TRI AS VARCHAR2(4000)) END) AS "Trái phiếu doanh nghiệp niêm yết",
	MAX(CASE WHEN bsc.TEN_COT=N'Quy mô rủi ro' AND bsh.MA_HANG = '15' THEN CAST(gt.GIA_TRI AS VARCHAR2(4000)) END) AS "Trái phiếu niêm yết có thời gian đáo hạn còn lại dưới 1 năm",
	MAX(CASE WHEN bsc.TEN_COT=N'Quy mô rủi ro' AND bsh.MA_HANG = '16' THEN CAST(gt.GIA_TRI AS VARCHAR2(4000)) END) AS "Trái phiếu niêm yết có thời gian đáo hạn còn lại từ 1 năm đến dưới 3 năm",
	MAX(CASE WHEN bsc.TEN_COT=N'Quy mô rủi ro' AND bsh.MA_HANG = '17' THEN CAST(gt.GIA_TRI AS VARCHAR2(4000)) END) AS "Trái phiếu niêm yết có thời gian đáo hạn còn lại từ 3 năm đến dưới 5 năm",
	MAX(CASE WHEN bsc.TEN_COT=N'Quy mô rủi ro' AND bsh.MA_HANG = '18' THEN CAST(gt.GIA_TRI AS VARCHAR2(4000)) END) AS "Trái phiếu niêm yết có thời gian đáo hạn còn lại từ 5 năm trở lên",
	MAX(CASE WHEN bsc.TEN_COT=N'Quy mô rủi ro' AND bsh.MA_HANG = '19' THEN CAST(gt.GIA_TRI AS VARCHAR2(4000)) END) AS "Trái phiếu doanh nghiệp không niêm yết",  -- DB cũ là "chưa niêm yết"
	MAX(CASE WHEN bsc.TEN_COT=N'Quy mô rủi ro' AND bsh.MA_HANG = '20' THEN CAST(gt.GIA_TRI AS VARCHAR2(4000)) END) AS "Trái phiếu không niêm yết do doanh nghiệp niêm yết phát hành có thời gian đáo hạn còn lại dưới 1 năm",
	MAX(CASE WHEN bsc.TEN_COT=N'Quy mô rủi ro' AND bsh.MA_HANG = '21' THEN CAST(gt.GIA_TRI AS VARCHAR2(4000)) END) AS "Trái phiếu không niêm yết do doanh nghiệp niêm yết phát hành có thời gian đáo hạn còn lại từ 1 năm đến dưới 3 năm",
	MAX(CASE WHEN bsc.TEN_COT=N'Quy mô rủi ro' AND bsh.MA_HANG = '22' THEN CAST(gt.GIA_TRI AS VARCHAR2(4000)) END) AS "Trái phiếu không niêm yết do doanh nghiệp niêm yết phát hành có thời gian đáo hạn còn lại từ 3 năm đến dưới 5 năm",
	MAX(CASE WHEN bsc.TEN_COT=N'Quy mô rủi ro' AND bsh.MA_HANG = '23' THEN CAST(gt.GIA_TRI AS VARCHAR2(4000)) END) AS "Trái phiếu không niêm yết do doanh nghiệp niêm yết phát hành có thời gian đáo hạn còn lại từ 5 năm trở lên",
	MAX(CASE WHEN bsc.TEN_COT=N'Quy mô rủi ro' AND bsh.MA_HANG = '24' THEN CAST(gt.GIA_TRI AS VARCHAR2(4000)) END) AS "Trái phiếu không niêm yết do doanh nghiệp khác phát hành có thời gian đáo hạn còn lại dưới 1 năm",
	MAX(CASE WHEN bsc.TEN_COT=N'Quy mô rủi ro' AND bsh.MA_HANG = '25' THEN CAST(gt.GIA_TRI AS VARCHAR2(4000)) END) AS "Trái phiếu không niêm yết do doanh nghiệp khác phát hành có thời gian đáo hạn còn lại từ 1 năm đến dưới 3 năm",
	MAX(CASE WHEN bsc.TEN_COT=N'Quy mô rủi ro' AND bsh.MA_HANG = '26' THEN CAST(gt.GIA_TRI AS VARCHAR2(4000)) END) AS "Trái phiếu không niêm yết do doanh nghiệp khác phát hành có thời gian đáo hạn còn lại từ 3 năm đến dưới 5 năm",
	MAX(CASE WHEN bsc.TEN_COT=N'Quy mô rủi ro' AND bsh.MA_HANG = '27' THEN CAST(gt.GIA_TRI AS VARCHAR2(4000)) END) AS "Trái phiếu không niêm yết do doanh nghiệp khác phát hành có thời gian đáo hạn còn lại từ 5 năm trở lên",
	MAX(CASE WHEN bsc.TEN_COT=N'Quy mô rủi ro' AND bsh.MA_HANG = '28' THEN CAST(gt.GIA_TRI AS VARCHAR2(4000)) END) AS "Liệt kê kết quả xếp hạng tín nhiệm đối với trái phiếu/tổ chức phát hành",
	MAX(CASE WHEN bsc.TEN_COT=N'Quy mô rủi ro' AND bsh.MA_HANG = '29' THEN CAST(gt.GIA_TRI AS VARCHAR2(4000)) END) AS "Cổ phiếu",
	MAX(CASE WHEN bsc.TEN_COT=N'Quy mô rủi ro' AND bsh.MA_HANG = '30' THEN CAST(gt.GIA_TRI AS VARCHAR2(4000)) END) AS "Cổ phiếu phổ thông, cổ phiếu ưu đãi của các tổ chức niêm yết tại Sở giao dịch chứng khoán",
	MAX(CASE WHEN bsc.TEN_COT=N'Quy mô rủi ro' AND bsh.MA_HANG = '31' THEN CAST(gt.GIA_TRI AS VARCHAR2(4000)) END) AS "Cổ phiếu phổ thông, cổ phiếu ưu đãi của các công ty đại chúng chưa niêm yết và đã đăng ký giao dịch qua hệ thống UpCom",
	MAX(CASE WHEN bsc.TEN_COT=N'Quy mô rủi ro' AND bsh.MA_HANG = '32' THEN CAST(gt.GIA_TRI AS VARCHAR2(4000)) END) AS "Cổ phiếu phổ thông, cổ phiếu ưu đãi của các công ty đại chúng đã đăng ký lưu ký, nhưng chưa niêm yết hoặc đăng ký giao dịch; cổ phiếu đang trong đợt phát hành lần đầu (IPO)",
	MAX(CASE WHEN bsc.TEN_COT=N'Quy mô rủi ro' AND bsh.MA_HANG = '33' THEN CAST(gt.GIA_TRI AS VARCHAR2(4000)) END) AS "Chứng chỉ quỹ đầu tư chứng khoán",
	MAX(CASE WHEN bsc.TEN_COT=N'Quy mô rủi ro' AND bsh.MA_HANG = '34' THEN CAST(gt.GIA_TRI AS VARCHAR2(4000)) END) AS "Quỹ đại chúng, công ty đầu tư chứng khoán đại chúng",
	MAX(CASE WHEN bsc.TEN_COT=N'Quy mô rủi ro' AND bsh.MA_HANG = '35' THEN CAST(gt.GIA_TRI AS VARCHAR2(4000)) END) AS "Quỹ thành viên",
	MAX(CASE WHEN bsc.TEN_COT=N'Quy mô rủi ro' AND bsh.MA_HANG = '36' THEN CAST(gt.GIA_TRI AS VARCHAR2(4000)) END) AS "Công ty đầu tư chứng khoán riêng lẻ",
	MAX(CASE WHEN bsc.TEN_COT=N'Quy mô rủi ro' AND bsh.MA_HANG = '37' THEN CAST(gt.GIA_TRI AS VARCHAR2(4000)) END) AS "Chứng khoán bị hạn chế giao dịch",
	MAX(CASE WHEN bsc.TEN_COT=N'Quy mô rủi ro' AND bsh.MA_HANG = '38' THEN CAST(gt.GIA_TRI AS VARCHAR2(4000)) END) AS "Chứng khoán bị cảnh báo",
	MAX(CASE WHEN bsc.TEN_COT=N'Quy mô rủi ro' AND bsh.MA_HANG = '39' THEN CAST(gt.GIA_TRI AS VARCHAR2(4000)) END) AS "Chứng khoán bị kiểm soát",
	MAX(CASE WHEN bsc.TEN_COT=N'Quy mô rủi ro' AND bsh.MA_HANG = '40' THEN CAST(gt.GIA_TRI AS VARCHAR2(4000)) END) AS "Chứng khoán niêm yết bị kiểm soát",
	MAX(CASE WHEN bsc.TEN_COT=N'Quy mô rủi ro' AND bsh.MA_HANG = '41' THEN CAST(gt.GIA_TRI AS VARCHAR2(4000)) END) AS "Chứng khoán bị đình chỉ giao dịch",
	MAX(CASE WHEN bsc.TEN_COT=N'Quy mô rủi ro' AND bsh.MA_HANG = '42' THEN CAST(gt.GIA_TRI AS VARCHAR2(4000)) END) AS "Chứng khoán bị hủy niêm yết, hủy giao dịch",
	MAX(CASE WHEN bsc.TEN_COT=N'Quy mô rủi ro' AND bsh.MA_HANG = '43' THEN CAST(gt.GIA_TRI AS VARCHAR2(4000)) END) AS "Chứng khoán phái sinh",
	MAX(CASE WHEN bsc.TEN_COT=N'Quy mô rủi ro' AND bsh.MA_HANG = '44' THEN CAST(gt.GIA_TRI AS VARCHAR2(4000)) END) AS "Hợp đồng tương lai chỉ số cổ phiếu",
	MAX(CASE WHEN bsc.TEN_COT=N'Quy mô rủi ro' AND bsh.MA_HANG = '45' THEN CAST(gt.GIA_TRI AS VARCHAR2(4000)) END) AS "Cách tính: Giá trị rủi ro, Giá trị thanh toán cuối ngày",
	MAX(CASE WHEN bsc.TEN_COT=N'Quy mô rủi ro' AND bsh.MA_HANG = '46' THEN CAST(gt.GIA_TRI AS VARCHAR2(4000)) END) AS "Hợp đồng tương lai trái phiếu chính phủ",
	MAX(CASE WHEN bsc.TEN_COT=N'Quy mô rủi ro' AND bsh.MA_HANG = '47' THEN CAST(gt.GIA_TRI AS VARCHAR2(4000)) END) AS "Cách tính: Giá trị rủi ro, Giá trị thanh toán cuối ngày",
	MAX(CASE WHEN bsc.TEN_COT=N'Quy mô rủi ro' AND bsh.MA_HANG = '48' THEN CAST(gt.GIA_TRI AS VARCHAR2(4000)) END) AS "Chứng khoán khác",
	MAX(CASE WHEN bsc.TEN_COT=N'Quy mô rủi ro' AND bsh.MA_HANG = '49' THEN CAST(gt.GIA_TRI AS VARCHAR2(4000)) END) AS "Cổ phiếu niêm yết trên các thị trường nước ngoài thuộc chỉ số đạt chuẩn/các chỉ số được liệt kê tại Phụ lục VIII",
	MAX(CASE WHEN bsc.TEN_COT=N'Quy mô rủi ro' AND bsh.MA_HANG = '50' THEN CAST(gt.GIA_TRI AS VARCHAR2(4000)) END) AS "Cổ phiếu niêm yết trên các thị trường nước ngoài không thuộc các chỉ số đạt chuẩn/các chỉ số được liệt kê tại Phụ lục VIII",
	MAX(CASE WHEN bsc.TEN_COT=N'Quy mô rủi ro' AND bsh.MA_HANG = '51' THEN CAST(gt.GIA_TRI AS VARCHAR2(4000)) END) AS "Chứng quyền có bảo đảm niêm yết trên Sở giao dịch chứng khoán Thành phố Hồ Chí Minh",
	MAX(CASE WHEN bsc.TEN_COT=N'Quy mô rủi ro' AND bsh.MA_HANG = '52' THEN CAST(gt.GIA_TRI AS VARCHAR2(4000)) END) AS "Giao dịch chênh lệch giá",
	MAX(CASE WHEN bsc.TEN_COT=N'Quy mô rủi ro' AND bsh.MA_HANG = '53' THEN CAST(gt.GIA_TRI AS VARCHAR2(4000)) END) AS "Cổ phần, phần vốn góp, các loại chứng khoán khác và các tài sản đầu tư khác",
	MAX(CASE WHEN bsc.TEN_COT=N'Quy mô rủi ro' AND bsh.MA_HANG = '54' THEN CAST(gt.GIA_TRI AS VARCHAR2(4000)) END) AS "Chứng quyền có bảo đảm do công ty chứng khoán phát hành",
	MAX(CASE WHEN bsc.TEN_COT=N'Quy mô rủi ro' AND bsh.MA_HANG = '55' THEN CAST(gt.GIA_TRI AS VARCHAR2(4000)) END) AS "Cách tính: Giá trị rủi ro thị trường",
	MAX(CASE WHEN bsc.TEN_COT=N'Quy mô rủi ro' AND bsh.MA_HANG = '56' THEN CAST(gt.GIA_TRI AS VARCHAR2(4000)) END) AS "Chứng khoán hình thành từ hoạt động phòng ngừa rủi ro cho chứng quyền có bảo đảm do công ty chứng khoán đã phát hành",
	MAX(CASE WHEN bsc.TEN_COT=N'Quy mô rủi ro' AND bsh.MA_HANG = '57' THEN CAST(gt.GIA_TRI AS VARCHAR2(4000)) END) AS "Phần chênh lệch dương giữa giá trị chứng khoán cơ sở dùng để phòng ngừa rủi ro và giá trị chứng khoán cơ sở cần thiết để phòng ngừa rủi ro cho chứng quyền có bảo đảm",
	MAX(CASE WHEN bsc.TEN_COT=N'Quy mô rủi ro' AND bsh.MA_HANG = '58' THEN CAST(gt.GIA_TRI AS VARCHAR2(4000)) END) AS "Rủi ro tăng thêm (nếu có)",
	MAX(CASE WHEN bsc.TEN_COT=N'Quy mô rủi ro' AND bsh.MA_HANG = '59' THEN CAST(gt.GIA_TRI AS VARCHAR2(4000)) END) AS "Mã chứng khoán",
	MAX(CASE WHEN bsc.TEN_COT=N'Quy mô rủi ro' AND bsh.MA_HANG = '60' THEN CAST(gt.GIA_TRI AS VARCHAR2(4000)) END) AS "TỔNG GIÁ TRỊ RỦI RO THỊ TRƯỜNG (A= I+II+III+IV+V+VI+VII+VIII+IX)",
    -- Giá trị rủi ro
	MAX(CASE WHEN bsc.TEN_COT=N'Giá trị rủi ro' AND bsh.MA_HANG = '1' THEN CAST(gt.GIA_TRI AS VARCHAR2(4000)) END) AS "Tiền và các khoản tương đương tiền, công cụ thị trường tiền tệ",
	MAX(CASE WHEN bsc.TEN_COT=N'Giá trị rủi ro' AND bsh.MA_HANG = '2' THEN CAST(gt.GIA_TRI AS VARCHAR2(4000)) END) AS "Tiền mặt (VND)",
	MAX(CASE WHEN bsc.TEN_COT=N'Giá trị rủi ro' AND bsh.MA_HANG = '3' THEN CAST(gt.GIA_TRI AS VARCHAR2(4000)) END) AS "Các khoản tương đương tiền",
	MAX(CASE WHEN bsc.TEN_COT=N'Giá trị rủi ro' AND bsh.MA_HANG = '4' THEN CAST(gt.GIA_TRI AS VARCHAR2(4000)) END) AS "Giấy tờ có giá, công cụ chuyển nhượng trên thị trường tiền tệ, chứng chỉ tiền gửi",
	MAX(CASE WHEN bsc.TEN_COT=N'Giá trị rủi ro' AND bsh.MA_HANG = '5' THEN CAST(gt.GIA_TRI AS VARCHAR2(4000)) END) AS "Trái phiếu Chính phủ",
	MAX(CASE WHEN bsc.TEN_COT=N'Giá trị rủi ro' AND bsh.MA_HANG = '6' THEN CAST(gt.GIA_TRI AS VARCHAR2(4000)) END) AS "Trái phiếu Chính phủ không trả lãi",
	MAX(CASE WHEN bsc.TEN_COT=N'Giá trị rủi ro' AND bsh.MA_HANG = '7' THEN CAST(gt.GIA_TRI AS VARCHAR2(4000)) END) AS "Trái phiếu Chính phủ (bao gồm công trái và trái phiếu công trình đã phát hành trước đây)",  -- DB cũ: MA_HANG = '8'
	MAX(CASE WHEN bsc.TEN_COT=N'Giá trị rủi ro' AND bsh.MA_HANG = '8' THEN CAST(gt.GIA_TRI AS VARCHAR2(4000)) END) AS "Trái phiếu tổ chức tín dụng có thời gian đáo hạn còn lại dưới 1 năm", -- DB cũ: MA_HANG = '10'
	MAX(CASE WHEN bsc.TEN_COT=N'Giá trị rủi ro' AND bsh.MA_HANG = '9' THEN CAST(gt.GIA_TRI AS VARCHAR2(4000)) END) AS "Trái phiếu tổ chức tín dụng",  -- DB cũ không có
	MAX(CASE WHEN bsc.TEN_COT=N'Giá trị rủi ro' AND bsh.MA_HANG = '10' THEN CAST(gt.GIA_TRI AS VARCHAR2(4000)) END) AS "Trái phiếu tổ chức tín dụng có thời gian đáo hạn còn từ 1 năm đến dưới 3 năm",
	MAX(CASE WHEN bsc.TEN_COT=N'Giá trị rủi ro' AND bsh.MA_HANG = '11' THEN CAST(gt.GIA_TRI AS VARCHAR2(4000)) END) AS "Trái phiếu tổ chức tín dụng có thời gian đáo hạn còn lại từ 3 năm đến dưới 5 năm",
	MAX(CASE WHEN bsc.TEN_COT=N'Giá trị rủi ro' AND bsh.MA_HANG = '12' THEN CAST(gt.GIA_TRI AS VARCHAR2(4000)) END) AS "Trái phiếu tổ chức tín dụng có thời gian đáo hạn còn lại từ 5 năm trở lên",
	MAX(CASE WHEN bsc.TEN_COT=N'Giá trị rủi ro' AND bsh.MA_HANG = '13' THEN CAST(gt.GIA_TRI AS VARCHAR2(4000)) END) AS "Trái phiếu doanh nghiệp",
	MAX(CASE WHEN bsc.TEN_COT=N'Giá trị rủi ro' AND bsh.MA_HANG = '14' THEN CAST(gt.GIA_TRI AS VARCHAR2(4000)) END) AS "Trái phiếu doanh nghiệp niêm yết",
	MAX(CASE WHEN bsc.TEN_COT=N'Giá trị rủi ro' AND bsh.MA_HANG = '15' THEN CAST(gt.GIA_TRI AS VARCHAR2(4000)) END) AS "Trái phiếu niêm yết có thời gian đáo hạn còn lại dưới 1 năm",
	MAX(CASE WHEN bsc.TEN_COT=N'Giá trị rủi ro' AND bsh.MA_HANG = '16' THEN CAST(gt.GIA_TRI AS VARCHAR2(4000)) END) AS "Trái phiếu niêm yết có thời gian đáo hạn còn lại từ 1 năm đến dưới 3 năm",
	MAX(CASE WHEN bsc.TEN_COT=N'Giá trị rủi ro' AND bsh.MA_HANG = '17' THEN CAST(gt.GIA_TRI AS VARCHAR2(4000)) END) AS "Trái phiếu niêm yết có thời gian đáo hạn còn lại từ 3 năm đến dưới 5 năm",
	MAX(CASE WHEN bsc.TEN_COT=N'Giá trị rủi ro' AND bsh.MA_HANG = '18' THEN CAST(gt.GIA_TRI AS VARCHAR2(4000)) END) AS "Trái phiếu niêm yết có thời gian đáo hạn còn lại từ 5 năm trở lên",
	MAX(CASE WHEN bsc.TEN_COT=N'Giá trị rủi ro' AND bsh.MA_HANG = '19' THEN CAST(gt.GIA_TRI AS VARCHAR2(4000)) END) AS "Trái phiếu doanh nghiệp không niêm yết",  -- DB cũ là "chưa niêm yết"
	MAX(CASE WHEN bsc.TEN_COT=N'Giá trị rủi ro' AND bsh.MA_HANG = '20' THEN CAST(gt.GIA_TRI AS VARCHAR2(4000)) END) AS "Trái phiếu không niêm yết do doanh nghiệp niêm yết phát hành có thời gian đáo hạn còn lại dưới 1 năm",
	MAX(CASE WHEN bsc.TEN_COT=N'Giá trị rủi ro' AND bsh.MA_HANG = '21' THEN CAST(gt.GIA_TRI AS VARCHAR2(4000)) END) AS "Trái phiếu không niêm yết do doanh nghiệp niêm yết phát hành có thời gian đáo hạn còn lại từ 1 năm đến dưới 3 năm",
	MAX(CASE WHEN bsc.TEN_COT=N'Giá trị rủi ro' AND bsh.MA_HANG = '22' THEN CAST(gt.GIA_TRI AS VARCHAR2(4000)) END) AS "Trái phiếu không niêm yết do doanh nghiệp niêm yết phát hành có thời gian đáo hạn còn lại từ 3 năm đến dưới 5 năm",
	MAX(CASE WHEN bsc.TEN_COT=N'Giá trị rủi ro' AND bsh.MA_HANG = '23' THEN CAST(gt.GIA_TRI AS VARCHAR2(4000)) END) AS "Trái phiếu không niêm yết do doanh nghiệp niêm yết phát hành có thời gian đáo hạn còn lại từ 5 năm trở lên",
	MAX(CASE WHEN bsc.TEN_COT=N'Giá trị rủi ro' AND bsh.MA_HANG = '24' THEN CAST(gt.GIA_TRI AS VARCHAR2(4000)) END) AS "Trái phiếu không niêm yết do doanh nghiệp khác phát hành có thời gian đáo hạn còn lại dưới 1 năm",
	MAX(CASE WHEN bsc.TEN_COT=N'Giá trị rủi ro' AND bsh.MA_HANG = '25' THEN CAST(gt.GIA_TRI AS VARCHAR2(4000)) END) AS "Trái phiếu không niêm yết do doanh nghiệp khác phát hành có thời gian đáo hạn còn lại từ 1 năm đến dưới 3 năm",
	MAX(CASE WHEN bsc.TEN_COT=N'Giá trị rủi ro' AND bsh.MA_HANG = '26' THEN CAST(gt.GIA_TRI AS VARCHAR2(4000)) END) AS "Trái phiếu không niêm yết do doanh nghiệp khác phát hành có thời gian đáo hạn còn lại từ 3 năm đến dưới 5 năm",
	MAX(CASE WHEN bsc.TEN_COT=N'Giá trị rủi ro' AND bsh.MA_HANG = '27' THEN CAST(gt.GIA_TRI AS VARCHAR2(4000)) END) AS "Trái phiếu không niêm yết do doanh nghiệp khác phát hành có thời gian đáo hạn còn lại từ 5 năm trở lên",
	MAX(CASE WHEN bsc.TEN_COT=N'Giá trị rủi ro' AND bsh.MA_HANG = '28' THEN CAST(gt.GIA_TRI AS VARCHAR2(4000)) END) AS "Liệt kê kết quả xếp hạng tín nhiệm đối với trái phiếu/tổ chức phát hành",
	MAX(CASE WHEN bsc.TEN_COT=N'Giá trị rủi ro' AND bsh.MA_HANG = '29' THEN CAST(gt.GIA_TRI AS VARCHAR2(4000)) END) AS "Cổ phiếu",
	MAX(CASE WHEN bsc.TEN_COT=N'Giá trị rủi ro' AND bsh.MA_HANG = '30' THEN CAST(gt.GIA_TRI AS VARCHAR2(4000)) END) AS "Cổ phiếu phổ thông, cổ phiếu ưu đãi của các tổ chức niêm yết tại Sở giao dịch chứng khoán",
	MAX(CASE WHEN bsc.TEN_COT=N'Giá trị rủi ro' AND bsh.MA_HANG = '31' THEN CAST(gt.GIA_TRI AS VARCHAR2(4000)) END) AS "Cổ phiếu phổ thông, cổ phiếu ưu đãi của các công ty đại chúng chưa niêm yết và đã đăng ký giao dịch qua hệ thống UpCom",
	MAX(CASE WHEN bsc.TEN_COT=N'Giá trị rủi ro' AND bsh.MA_HANG = '32' THEN CAST(gt.GIA_TRI AS VARCHAR2(4000)) END) AS "Cổ phiếu phổ thông, cổ phiếu ưu đãi của các công ty đại chúng đã đăng ký lưu ký, nhưng chưa niêm yết hoặc đăng ký giao dịch; cổ phiếu đang trong đợt phát hành lần đầu (IPO)",
	MAX(CASE WHEN bsc.TEN_COT=N'Giá trị rủi ro' AND bsh.MA_HANG = '33' THEN CAST(gt.GIA_TRI AS VARCHAR2(4000)) END) AS "Chứng chỉ quỹ đầu tư chứng khoán",
	MAX(CASE WHEN bsc.TEN_COT=N'Giá trị rủi ro' AND bsh.MA_HANG = '34' THEN CAST(gt.GIA_TRI AS VARCHAR2(4000)) END) AS "Quỹ đại chúng, công ty đầu tư chứng khoán đại chúng",
	MAX(CASE WHEN bsc.TEN_COT=N'Giá trị rủi ro' AND bsh.MA_HANG = '35' THEN CAST(gt.GIA_TRI AS VARCHAR2(4000)) END) AS "Quỹ thành viên",
	MAX(CASE WHEN bsc.TEN_COT=N'Giá trị rủi ro' AND bsh.MA_HANG = '36' THEN CAST(gt.GIA_TRI AS VARCHAR2(4000)) END) AS "Công ty đầu tư chứng khoán riêng lẻ",
	MAX(CASE WHEN bsc.TEN_COT=N'Giá trị rủi ro' AND bsh.MA_HANG = '37' THEN CAST(gt.GIA_TRI AS VARCHAR2(4000)) END) AS "Chứng khoán bị hạn chế giao dịch",
	MAX(CASE WHEN bsc.TEN_COT=N'Giá trị rủi ro' AND bsh.MA_HANG = '38' THEN CAST(gt.GIA_TRI AS VARCHAR2(4000)) END) AS "Chứng khoán bị cảnh báo",
	MAX(CASE WHEN bsc.TEN_COT=N'Giá trị rủi ro' AND bsh.MA_HANG = '39' THEN CAST(gt.GIA_TRI AS VARCHAR2(4000)) END) AS "Chứng khoán bị kiểm soát",
	MAX(CASE WHEN bsc.TEN_COT=N'Giá trị rủi ro' AND bsh.MA_HANG = '40' THEN CAST(gt.GIA_TRI AS VARCHAR2(4000)) END) AS "Chứng khoán niêm yết bị kiểm soát",
	MAX(CASE WHEN bsc.TEN_COT=N'Giá trị rủi ro' AND bsh.MA_HANG = '41' THEN CAST(gt.GIA_TRI AS VARCHAR2(4000)) END) AS "Chứng khoán bị đình chỉ giao dịch",
	MAX(CASE WHEN bsc.TEN_COT=N'Giá trị rủi ro' AND bsh.MA_HANG = '42' THEN CAST(gt.GIA_TRI AS VARCHAR2(4000)) END) AS "Chứng khoán bị hủy niêm yết, hủy giao dịch",
	MAX(CASE WHEN bsc.TEN_COT=N'Giá trị rủi ro' AND bsh.MA_HANG = '43' THEN CAST(gt.GIA_TRI AS VARCHAR2(4000)) END) AS "Chứng khoán phái sinh",
	MAX(CASE WHEN bsc.TEN_COT=N'Giá trị rủi ro' AND bsh.MA_HANG = '44' THEN CAST(gt.GIA_TRI AS VARCHAR2(4000)) END) AS "Hợp đồng tương lai chỉ số cổ phiếu",
	MAX(CASE WHEN bsc.TEN_COT=N'Giá trị rủi ro' AND bsh.MA_HANG = '45' THEN CAST(gt.GIA_TRI AS VARCHAR2(4000)) END) AS "Cách tính: Giá trị rủi ro, Giá trị thanh toán cuối ngày",
	MAX(CASE WHEN bsc.TEN_COT=N'Giá trị rủi ro' AND bsh.MA_HANG = '46' THEN CAST(gt.GIA_TRI AS VARCHAR2(4000)) END) AS "Hợp đồng tương lai trái phiếu chính phủ",
	MAX(CASE WHEN bsc.TEN_COT=N'Giá trị rủi ro' AND bsh.MA_HANG = '47' THEN CAST(gt.GIA_TRI AS VARCHAR2(4000)) END) AS "Cách tính: Giá trị rủi ro, Giá trị thanh toán cuối ngày",
	MAX(CASE WHEN bsc.TEN_COT=N'Giá trị rủi ro' AND bsh.MA_HANG = '48' THEN CAST(gt.GIA_TRI AS VARCHAR2(4000)) END) AS "Chứng khoán khác",
	MAX(CASE WHEN bsc.TEN_COT=N'Giá trị rủi ro' AND bsh.MA_HANG = '49' THEN CAST(gt.GIA_TRI AS VARCHAR2(4000)) END) AS "Cổ phiếu niêm yết trên các thị trường nước ngoài thuộc chỉ số đạt chuẩn/các chỉ số được liệt kê tại Phụ lục VIII",
	MAX(CASE WHEN bsc.TEN_COT=N'Giá trị rủi ro' AND bsh.MA_HANG = '50' THEN CAST(gt.GIA_TRI AS VARCHAR2(4000)) END) AS "Cổ phiếu niêm yết trên các thị trường nước ngoài không thuộc các chỉ số đạt chuẩn/các chỉ số được liệt kê tại Phụ lục VIII",
	MAX(CASE WHEN bsc.TEN_COT=N'Giá trị rủi ro' AND bsh.MA_HANG = '51' THEN CAST(gt.GIA_TRI AS VARCHAR2(4000)) END) AS "Chứng quyền có bảo đảm niêm yết trên Sở giao dịch chứng khoán Thành phố Hồ Chí Minh",
	MAX(CASE WHEN bsc.TEN_COT=N'Giá trị rủi ro' AND bsh.MA_HANG = '52' THEN CAST(gt.GIA_TRI AS VARCHAR2(4000)) END) AS "Giao dịch chênh lệch giá",
	MAX(CASE WHEN bsc.TEN_COT=N'Giá trị rủi ro' AND bsh.MA_HANG = '53' THEN CAST(gt.GIA_TRI AS VARCHAR2(4000)) END) AS "Cổ phần, phần vốn góp, các loại chứng khoán khác và các tài sản đầu tư khác",
	MAX(CASE WHEN bsc.TEN_COT=N'Giá trị rủi ro' AND bsh.MA_HANG = '54' THEN CAST(gt.GIA_TRI AS VARCHAR2(4000)) END) AS "Chứng quyền có bảo đảm do công ty chứng khoán phát hành",
	MAX(CASE WHEN bsc.TEN_COT=N'Giá trị rủi ro' AND bsh.MA_HANG = '55' THEN CAST(gt.GIA_TRI AS VARCHAR2(4000)) END) AS "Cách tính: Giá trị rủi ro thị trường",
	MAX(CASE WHEN bsc.TEN_COT=N'Giá trị rủi ro' AND bsh.MA_HANG = '56' THEN CAST(gt.GIA_TRI AS VARCHAR2(4000)) END) AS "Chứng khoán hình thành từ hoạt động phòng ngừa rủi ro cho chứng quyền có bảo đảm do công ty chứng khoán đã phát hành",
	MAX(CASE WHEN bsc.TEN_COT=N'Giá trị rủi ro' AND bsh.MA_HANG = '57' THEN CAST(gt.GIA_TRI AS VARCHAR2(4000)) END) AS "Phần chênh lệch dương giữa giá trị chứng khoán cơ sở dùng để phòng ngừa rủi ro và giá trị chứng khoán cơ sở cần thiết để phòng ngừa rủi ro cho chứng quyền có bảo đảm",
	MAX(CASE WHEN bsc.TEN_COT=N'Giá trị rủi ro' AND bsh.MA_HANG = '58' THEN CAST(gt.GIA_TRI AS VARCHAR2(4000)) END) AS "Rủi ro tăng thêm (nếu có)",
	MAX(CASE WHEN bsc.TEN_COT=N'Giá trị rủi ro' AND bsh.MA_HANG = '59' </t>
        </is>
      </c>
      <c r="U3701" s="401" t="n"/>
      <c r="V3701" s="22" t="n"/>
      <c r="W3701" s="22" t="n"/>
      <c r="X3701" s="22" t="n"/>
      <c r="Y3701" s="13" t="n"/>
      <c r="Z3701" s="22" t="n"/>
      <c r="AA3701" s="22" t="n"/>
      <c r="AB3701" s="22" t="n"/>
      <c r="AC3701" s="22" t="n"/>
      <c r="AD3701" s="22" t="n"/>
      <c r="AE3701" s="22" t="n"/>
    </row>
    <row r="3702" ht="84" customHeight="1" s="380">
      <c r="A3702" s="148" t="n">
        <v>132</v>
      </c>
      <c r="B3702" s="390" t="n"/>
      <c r="C3702" s="390" t="inlineStr">
        <is>
          <t>Báo cáo tỷ lệ an toàn tài chính - Chi nhánh công ty chứng khoán nước ngoài tại Việt Nam &gt;&gt; Bảng tính giá trị rủi ro (Rủi ro thị trường)</t>
        </is>
      </c>
      <c r="D3702" s="390" t="inlineStr">
        <is>
          <t xml:space="preserve">Tiền mặt (VND) 
</t>
        </is>
      </c>
      <c r="E3702" s="390" t="inlineStr">
        <is>
          <t xml:space="preserve">Tiền mặt (VND) 
</t>
        </is>
      </c>
      <c r="F3702" s="390" t="inlineStr">
        <is>
          <t>Data Explorer</t>
        </is>
      </c>
      <c r="G3702" s="390" t="inlineStr">
        <is>
          <t>Chỉ tiêu cơ sở</t>
        </is>
      </c>
      <c r="H3702" s="390" t="inlineStr">
        <is>
          <t>TB</t>
        </is>
      </c>
      <c r="I3702" s="390" t="inlineStr">
        <is>
          <t>Ngày, CTCK</t>
        </is>
      </c>
      <c r="J3702" s="401" t="inlineStr">
        <is>
          <t>SCMS</t>
        </is>
      </c>
      <c r="K3702" s="401" t="n"/>
      <c r="L3702" s="401" t="inlineStr">
        <is>
          <t>X</t>
        </is>
      </c>
      <c r="M3702" s="401" t="n"/>
      <c r="N3702" s="401" t="inlineStr">
        <is>
          <t>Done</t>
        </is>
      </c>
      <c r="O3702" s="401" t="n"/>
      <c r="P3702" s="401" t="n"/>
      <c r="S3702" s="401" t="n"/>
      <c r="U3702" s="401" t="n"/>
      <c r="V3702" s="22" t="n"/>
      <c r="W3702" s="22" t="n"/>
      <c r="X3702" s="22" t="n"/>
      <c r="Y3702" s="13" t="n"/>
      <c r="Z3702" s="22" t="n"/>
      <c r="AA3702" s="22" t="n"/>
      <c r="AB3702" s="22" t="n"/>
      <c r="AC3702" s="22" t="n"/>
      <c r="AD3702" s="22" t="n"/>
      <c r="AE3702" s="22" t="n"/>
    </row>
    <row r="3703" ht="84" customHeight="1" s="380">
      <c r="A3703" s="148" t="n">
        <v>132</v>
      </c>
      <c r="B3703" s="390" t="n"/>
      <c r="C3703" s="390" t="inlineStr">
        <is>
          <t>Báo cáo tỷ lệ an toàn tài chính - Chi nhánh công ty chứng khoán nước ngoài tại Việt Nam &gt;&gt; Bảng tính giá trị rủi ro (Rủi ro thị trường)</t>
        </is>
      </c>
      <c r="D3703" s="390" t="inlineStr">
        <is>
          <t xml:space="preserve">Các khoản tương đương tiền 
</t>
        </is>
      </c>
      <c r="E3703" s="390" t="inlineStr">
        <is>
          <t xml:space="preserve">Các khoản tương đương tiền 
</t>
        </is>
      </c>
      <c r="F3703" s="390" t="inlineStr">
        <is>
          <t>Data Explorer</t>
        </is>
      </c>
      <c r="G3703" s="390" t="inlineStr">
        <is>
          <t>Chỉ tiêu cơ sở</t>
        </is>
      </c>
      <c r="H3703" s="390" t="inlineStr">
        <is>
          <t>TB</t>
        </is>
      </c>
      <c r="I3703" s="390" t="inlineStr">
        <is>
          <t>Ngày, CTCK</t>
        </is>
      </c>
      <c r="J3703" s="401" t="inlineStr">
        <is>
          <t>SCMS</t>
        </is>
      </c>
      <c r="K3703" s="401" t="n"/>
      <c r="L3703" s="401" t="inlineStr">
        <is>
          <t>X</t>
        </is>
      </c>
      <c r="M3703" s="401" t="n"/>
      <c r="N3703" s="401" t="inlineStr">
        <is>
          <t>Done</t>
        </is>
      </c>
      <c r="O3703" s="401" t="n"/>
      <c r="P3703" s="401" t="n"/>
      <c r="S3703" s="401" t="n"/>
      <c r="U3703" s="401" t="n"/>
      <c r="V3703" s="22" t="n"/>
      <c r="W3703" s="22" t="n"/>
      <c r="X3703" s="22" t="n"/>
      <c r="Y3703" s="13" t="n"/>
      <c r="Z3703" s="22" t="n"/>
      <c r="AA3703" s="22" t="n"/>
      <c r="AB3703" s="22" t="n"/>
      <c r="AC3703" s="22" t="n"/>
      <c r="AD3703" s="22" t="n"/>
      <c r="AE3703" s="22" t="n"/>
    </row>
    <row r="3704" ht="84" customHeight="1" s="380">
      <c r="A3704" s="148" t="n">
        <v>132</v>
      </c>
      <c r="B3704" s="390" t="n"/>
      <c r="C3704" s="390" t="inlineStr">
        <is>
          <t>Báo cáo tỷ lệ an toàn tài chính - Chi nhánh công ty chứng khoán nước ngoài tại Việt Nam &gt;&gt; Bảng tính giá trị rủi ro (Rủi ro thị trường)</t>
        </is>
      </c>
      <c r="D3704" s="390" t="inlineStr">
        <is>
          <t>Giấy tờ có giá, công cụ chuyển nhượng trên thị trường tiền tệ, chứng chỉ tiền gửi</t>
        </is>
      </c>
      <c r="E3704" s="390" t="inlineStr">
        <is>
          <t>Giấy tờ có giá, công cụ chuyển nhượng trên thị trường tiền tệ, chứng chỉ tiền gửi</t>
        </is>
      </c>
      <c r="F3704" s="390" t="inlineStr">
        <is>
          <t>Data Explorer</t>
        </is>
      </c>
      <c r="G3704" s="390" t="inlineStr">
        <is>
          <t>Chỉ tiêu cơ sở</t>
        </is>
      </c>
      <c r="H3704" s="390" t="inlineStr">
        <is>
          <t>TB</t>
        </is>
      </c>
      <c r="I3704" s="390" t="inlineStr">
        <is>
          <t>Ngày, CTCK</t>
        </is>
      </c>
      <c r="J3704" s="401" t="inlineStr">
        <is>
          <t>SCMS</t>
        </is>
      </c>
      <c r="K3704" s="401" t="n"/>
      <c r="L3704" s="401" t="inlineStr">
        <is>
          <t>X</t>
        </is>
      </c>
      <c r="M3704" s="401" t="n"/>
      <c r="N3704" s="401" t="inlineStr">
        <is>
          <t>Done</t>
        </is>
      </c>
      <c r="O3704" s="401" t="n"/>
      <c r="P3704" s="401" t="n"/>
      <c r="S3704" s="401" t="n"/>
      <c r="U3704" s="401" t="n"/>
      <c r="V3704" s="22" t="n"/>
      <c r="W3704" s="22" t="n"/>
      <c r="X3704" s="22" t="n"/>
      <c r="Y3704" s="13" t="n"/>
      <c r="Z3704" s="22" t="n"/>
      <c r="AA3704" s="22" t="n"/>
      <c r="AB3704" s="22" t="n"/>
      <c r="AC3704" s="22" t="n"/>
      <c r="AD3704" s="22" t="n"/>
      <c r="AE3704" s="22" t="n"/>
    </row>
    <row r="3705" ht="84" customHeight="1" s="380">
      <c r="A3705" s="148" t="n">
        <v>132</v>
      </c>
      <c r="B3705" s="390" t="n"/>
      <c r="C3705" s="390" t="inlineStr">
        <is>
          <t>Báo cáo tỷ lệ an toàn tài chính - Chi nhánh công ty chứng khoán nước ngoài tại Việt Nam &gt;&gt; Bảng tính giá trị rủi ro (Rủi ro thị trường)</t>
        </is>
      </c>
      <c r="D3705" s="390" t="inlineStr">
        <is>
          <t xml:space="preserve">Trái phiếu Chính phủ 
</t>
        </is>
      </c>
      <c r="E3705" s="390" t="inlineStr">
        <is>
          <t xml:space="preserve">Trái phiếu Chính phủ 
</t>
        </is>
      </c>
      <c r="F3705" s="390" t="inlineStr">
        <is>
          <t>Data Explorer</t>
        </is>
      </c>
      <c r="G3705" s="390" t="inlineStr">
        <is>
          <t>Chỉ tiêu cơ sở</t>
        </is>
      </c>
      <c r="H3705" s="390" t="inlineStr">
        <is>
          <t>TB</t>
        </is>
      </c>
      <c r="I3705" s="390" t="inlineStr">
        <is>
          <t>Ngày, CTCK</t>
        </is>
      </c>
      <c r="J3705" s="401" t="inlineStr">
        <is>
          <t>SCMS</t>
        </is>
      </c>
      <c r="K3705" s="401" t="n"/>
      <c r="L3705" s="401" t="inlineStr">
        <is>
          <t>X</t>
        </is>
      </c>
      <c r="M3705" s="401" t="n"/>
      <c r="N3705" s="401" t="inlineStr">
        <is>
          <t>Done</t>
        </is>
      </c>
      <c r="O3705" s="401" t="n"/>
      <c r="P3705" s="401" t="n"/>
      <c r="S3705" s="401" t="n"/>
      <c r="U3705" s="401" t="n"/>
      <c r="V3705" s="22" t="n"/>
      <c r="W3705" s="22" t="n"/>
      <c r="X3705" s="22" t="n"/>
      <c r="Y3705" s="13" t="n"/>
      <c r="Z3705" s="22" t="n"/>
      <c r="AA3705" s="22" t="n"/>
      <c r="AB3705" s="22" t="n"/>
      <c r="AC3705" s="22" t="n"/>
      <c r="AD3705" s="22" t="n"/>
      <c r="AE3705" s="22" t="n"/>
    </row>
    <row r="3706" ht="84" customHeight="1" s="380">
      <c r="A3706" s="148" t="n">
        <v>132</v>
      </c>
      <c r="B3706" s="390" t="n"/>
      <c r="C3706" s="390" t="inlineStr">
        <is>
          <t>Báo cáo tỷ lệ an toàn tài chính - Chi nhánh công ty chứng khoán nước ngoài tại Việt Nam &gt;&gt; Bảng tính giá trị rủi ro (Rủi ro thị trường)</t>
        </is>
      </c>
      <c r="D3706" s="390" t="inlineStr">
        <is>
          <t xml:space="preserve">Trái phiếu Chính phủ không trả lãi 
</t>
        </is>
      </c>
      <c r="E3706" s="390" t="inlineStr">
        <is>
          <t xml:space="preserve">Trái phiếu Chính phủ không trả lãi 
</t>
        </is>
      </c>
      <c r="F3706" s="390" t="inlineStr">
        <is>
          <t>Data Explorer</t>
        </is>
      </c>
      <c r="G3706" s="390" t="inlineStr">
        <is>
          <t>Chỉ tiêu cơ sở</t>
        </is>
      </c>
      <c r="H3706" s="390" t="inlineStr">
        <is>
          <t>TB</t>
        </is>
      </c>
      <c r="I3706" s="390" t="inlineStr">
        <is>
          <t>Ngày, CTCK</t>
        </is>
      </c>
      <c r="J3706" s="401" t="inlineStr">
        <is>
          <t>SCMS</t>
        </is>
      </c>
      <c r="K3706" s="401" t="n"/>
      <c r="L3706" s="401" t="inlineStr">
        <is>
          <t>X</t>
        </is>
      </c>
      <c r="M3706" s="401" t="n"/>
      <c r="N3706" s="401" t="inlineStr">
        <is>
          <t>Done</t>
        </is>
      </c>
      <c r="O3706" s="401" t="n"/>
      <c r="P3706" s="401" t="n"/>
      <c r="S3706" s="401" t="n"/>
      <c r="U3706" s="401" t="n"/>
      <c r="V3706" s="22" t="n"/>
      <c r="W3706" s="22" t="n"/>
      <c r="X3706" s="22" t="n"/>
      <c r="Y3706" s="13" t="n"/>
      <c r="Z3706" s="22" t="n"/>
      <c r="AA3706" s="22" t="n"/>
      <c r="AB3706" s="22" t="n"/>
      <c r="AC3706" s="22" t="n"/>
      <c r="AD3706" s="22" t="n"/>
      <c r="AE3706" s="22" t="n"/>
    </row>
    <row r="3707" ht="84" customHeight="1" s="380">
      <c r="A3707" s="148" t="n">
        <v>132</v>
      </c>
      <c r="B3707" s="390" t="n"/>
      <c r="C3707" s="390" t="inlineStr">
        <is>
          <t>Báo cáo tỷ lệ an toàn tài chính - Chi nhánh công ty chứng khoán nước ngoài tại Việt Nam &gt;&gt; Bảng tính giá trị rủi ro (Rủi ro thị trường)</t>
        </is>
      </c>
      <c r="D3707" s="390" t="inlineStr">
        <is>
          <t>Trái phiếu Chính phủ (bao gồm công trái và trái phiếu công trình đã phát hành trước đây)</t>
        </is>
      </c>
      <c r="E3707" s="390" t="inlineStr">
        <is>
          <t>Trái phiếu Chính phủ (bao gồm công trái và trái phiếu công trình đã phát hành trước đây)</t>
        </is>
      </c>
      <c r="F3707" s="390" t="inlineStr">
        <is>
          <t>Data Explorer</t>
        </is>
      </c>
      <c r="G3707" s="390" t="inlineStr">
        <is>
          <t>Chỉ tiêu cơ sở</t>
        </is>
      </c>
      <c r="H3707" s="390" t="inlineStr">
        <is>
          <t>TB</t>
        </is>
      </c>
      <c r="I3707" s="390" t="inlineStr">
        <is>
          <t>Ngày, CTCK</t>
        </is>
      </c>
      <c r="J3707" s="401" t="inlineStr">
        <is>
          <t>SCMS</t>
        </is>
      </c>
      <c r="K3707" s="401" t="n"/>
      <c r="L3707" s="401" t="inlineStr">
        <is>
          <t>X</t>
        </is>
      </c>
      <c r="M3707" s="401" t="n"/>
      <c r="N3707" s="401" t="inlineStr">
        <is>
          <t>Done</t>
        </is>
      </c>
      <c r="O3707" s="401" t="n"/>
      <c r="P3707" s="401" t="n"/>
      <c r="S3707" s="401" t="n"/>
      <c r="U3707" s="401" t="n"/>
      <c r="V3707" s="22" t="n"/>
      <c r="W3707" s="22" t="n"/>
      <c r="X3707" s="22" t="n"/>
      <c r="Y3707" s="13" t="n"/>
      <c r="Z3707" s="22" t="n"/>
      <c r="AA3707" s="22" t="n"/>
      <c r="AB3707" s="22" t="n"/>
      <c r="AC3707" s="22" t="n"/>
      <c r="AD3707" s="22" t="n"/>
      <c r="AE3707" s="22" t="n"/>
    </row>
    <row r="3708" ht="84" customHeight="1" s="380">
      <c r="A3708" s="148" t="n">
        <v>132</v>
      </c>
      <c r="B3708" s="390" t="n"/>
      <c r="C3708" s="390" t="inlineStr">
        <is>
          <t>Báo cáo tỷ lệ an toàn tài chính - Chi nhánh công ty chứng khoán nước ngoài tại Việt Nam &gt;&gt; Bảng tính giá trị rủi ro (Rủi ro thị trường)</t>
        </is>
      </c>
      <c r="D3708" s="390" t="inlineStr">
        <is>
          <t>Trái phiếu tổ chức tín dụng có thời gian đáo hạn còn lại dưới 1 năm</t>
        </is>
      </c>
      <c r="E3708" s="390" t="inlineStr">
        <is>
          <t>Trái phiếu tổ chức tín dụng có thời gian đáo hạn còn lại dưới 1 năm</t>
        </is>
      </c>
      <c r="F3708" s="390" t="inlineStr">
        <is>
          <t>Data Explorer</t>
        </is>
      </c>
      <c r="G3708" s="390" t="inlineStr">
        <is>
          <t>Chỉ tiêu cơ sở</t>
        </is>
      </c>
      <c r="H3708" s="390" t="inlineStr">
        <is>
          <t>TB</t>
        </is>
      </c>
      <c r="I3708" s="390" t="inlineStr">
        <is>
          <t>Ngày, CTCK</t>
        </is>
      </c>
      <c r="J3708" s="401" t="inlineStr">
        <is>
          <t>SCMS</t>
        </is>
      </c>
      <c r="K3708" s="401" t="n"/>
      <c r="L3708" s="401" t="inlineStr">
        <is>
          <t>X</t>
        </is>
      </c>
      <c r="M3708" s="401" t="n"/>
      <c r="N3708" s="401" t="inlineStr">
        <is>
          <t>Done</t>
        </is>
      </c>
      <c r="O3708" s="401" t="n"/>
      <c r="P3708" s="401" t="n"/>
      <c r="S3708" s="401" t="n"/>
      <c r="U3708" s="401" t="n"/>
      <c r="V3708" s="22" t="n"/>
      <c r="W3708" s="22" t="n"/>
      <c r="X3708" s="22" t="n"/>
      <c r="Y3708" s="13" t="n"/>
      <c r="Z3708" s="22" t="n"/>
      <c r="AA3708" s="22" t="n"/>
      <c r="AB3708" s="22" t="n"/>
      <c r="AC3708" s="22" t="n"/>
      <c r="AD3708" s="22" t="n"/>
      <c r="AE3708" s="22" t="n"/>
    </row>
    <row r="3709" ht="84" customHeight="1" s="380">
      <c r="A3709" s="148" t="n">
        <v>132</v>
      </c>
      <c r="B3709" s="390" t="n"/>
      <c r="C3709" s="390" t="inlineStr">
        <is>
          <t>Báo cáo tỷ lệ an toàn tài chính - Chi nhánh công ty chứng khoán nước ngoài tại Việt Nam &gt;&gt; Bảng tính giá trị rủi ro (Rủi ro thị trường)</t>
        </is>
      </c>
      <c r="D3709" s="390" t="inlineStr">
        <is>
          <t>Trái phiếu tổ chức tín dụng</t>
        </is>
      </c>
      <c r="E3709" s="390" t="inlineStr">
        <is>
          <t>Trái phiếu tổ chức tín dụng</t>
        </is>
      </c>
      <c r="F3709" s="390" t="inlineStr">
        <is>
          <t>Data Explorer</t>
        </is>
      </c>
      <c r="G3709" s="390" t="inlineStr">
        <is>
          <t>Chỉ tiêu cơ sở</t>
        </is>
      </c>
      <c r="H3709" s="390" t="inlineStr">
        <is>
          <t>TB</t>
        </is>
      </c>
      <c r="I3709" s="390" t="inlineStr">
        <is>
          <t>Ngày, CTCK</t>
        </is>
      </c>
      <c r="J3709" s="401" t="inlineStr">
        <is>
          <t>SCMS</t>
        </is>
      </c>
      <c r="K3709" s="401" t="n"/>
      <c r="L3709" s="401" t="inlineStr">
        <is>
          <t>X</t>
        </is>
      </c>
      <c r="M3709" s="401" t="n"/>
      <c r="N3709" s="401" t="inlineStr">
        <is>
          <t>Done</t>
        </is>
      </c>
      <c r="O3709" s="401" t="n"/>
      <c r="P3709" s="401" t="n"/>
      <c r="S3709" s="401" t="n"/>
      <c r="U3709" s="401" t="n"/>
      <c r="V3709" s="22" t="n"/>
      <c r="W3709" s="22" t="n"/>
      <c r="X3709" s="22" t="n"/>
      <c r="Y3709" s="13" t="n"/>
      <c r="Z3709" s="22" t="n"/>
      <c r="AA3709" s="22" t="n"/>
      <c r="AB3709" s="22" t="n"/>
      <c r="AC3709" s="22" t="n"/>
      <c r="AD3709" s="22" t="n"/>
      <c r="AE3709" s="22" t="n"/>
    </row>
    <row r="3710" ht="84" customHeight="1" s="380">
      <c r="A3710" s="148" t="n">
        <v>132</v>
      </c>
      <c r="B3710" s="390" t="n"/>
      <c r="C3710" s="390" t="inlineStr">
        <is>
          <t>Báo cáo tỷ lệ an toàn tài chính - Chi nhánh công ty chứng khoán nước ngoài tại Việt Nam &gt;&gt; Bảng tính giá trị rủi ro (Rủi ro thị trường)</t>
        </is>
      </c>
      <c r="D3710" s="390" t="inlineStr">
        <is>
          <t xml:space="preserve">Trái phiếu tổ chức tín dụng có thời gian đáo hạn còn từ 1 năm đến dưới 3 năm
</t>
        </is>
      </c>
      <c r="E3710" s="390" t="inlineStr">
        <is>
          <t xml:space="preserve">Trái phiếu tổ chức tín dụng có thời gian đáo hạn còn từ 1 năm đến dưới 3 năm
</t>
        </is>
      </c>
      <c r="F3710" s="390" t="inlineStr">
        <is>
          <t>Data Explorer</t>
        </is>
      </c>
      <c r="G3710" s="390" t="inlineStr">
        <is>
          <t>Chỉ tiêu cơ sở</t>
        </is>
      </c>
      <c r="H3710" s="390" t="inlineStr">
        <is>
          <t>TB</t>
        </is>
      </c>
      <c r="I3710" s="390" t="inlineStr">
        <is>
          <t>Ngày, CTCK</t>
        </is>
      </c>
      <c r="J3710" s="401" t="inlineStr">
        <is>
          <t>SCMS</t>
        </is>
      </c>
      <c r="K3710" s="401" t="n"/>
      <c r="L3710" s="401" t="inlineStr">
        <is>
          <t>X</t>
        </is>
      </c>
      <c r="M3710" s="401" t="n"/>
      <c r="N3710" s="401" t="inlineStr">
        <is>
          <t>Done</t>
        </is>
      </c>
      <c r="O3710" s="401" t="n"/>
      <c r="P3710" s="401" t="n"/>
      <c r="S3710" s="401" t="n"/>
      <c r="U3710" s="401" t="n"/>
      <c r="V3710" s="22" t="n"/>
      <c r="W3710" s="22" t="n"/>
      <c r="X3710" s="22" t="n"/>
      <c r="Y3710" s="13" t="n"/>
      <c r="Z3710" s="22" t="n"/>
      <c r="AA3710" s="22" t="n"/>
      <c r="AB3710" s="22" t="n"/>
      <c r="AC3710" s="22" t="n"/>
      <c r="AD3710" s="22" t="n"/>
      <c r="AE3710" s="22" t="n"/>
    </row>
    <row r="3711" ht="84" customHeight="1" s="380">
      <c r="A3711" s="148" t="n">
        <v>132</v>
      </c>
      <c r="B3711" s="390" t="n"/>
      <c r="C3711" s="390" t="inlineStr">
        <is>
          <t>Báo cáo tỷ lệ an toàn tài chính - Chi nhánh công ty chứng khoán nước ngoài tại Việt Nam &gt;&gt; Bảng tính giá trị rủi ro (Rủi ro thị trường)</t>
        </is>
      </c>
      <c r="D3711" s="390" t="inlineStr">
        <is>
          <t>Trái phiếu tổ chức tín dụng có thời gian đáo hạn còn lại từ 3 năm đến dưới 5 năm</t>
        </is>
      </c>
      <c r="E3711" s="390" t="inlineStr">
        <is>
          <t>Trái phiếu tổ chức tín dụng có thời gian đáo hạn còn lại từ 3 năm đến dưới 5 năm</t>
        </is>
      </c>
      <c r="F3711" s="390" t="inlineStr">
        <is>
          <t>Data Explorer</t>
        </is>
      </c>
      <c r="G3711" s="390" t="inlineStr">
        <is>
          <t>Chỉ tiêu cơ sở</t>
        </is>
      </c>
      <c r="H3711" s="390" t="inlineStr">
        <is>
          <t>TB</t>
        </is>
      </c>
      <c r="I3711" s="390" t="inlineStr">
        <is>
          <t>Ngày, CTCK</t>
        </is>
      </c>
      <c r="J3711" s="401" t="inlineStr">
        <is>
          <t>SCMS</t>
        </is>
      </c>
      <c r="K3711" s="401" t="n"/>
      <c r="L3711" s="401" t="inlineStr">
        <is>
          <t>X</t>
        </is>
      </c>
      <c r="M3711" s="401" t="n"/>
      <c r="N3711" s="401" t="inlineStr">
        <is>
          <t>Done</t>
        </is>
      </c>
      <c r="O3711" s="401" t="n"/>
      <c r="P3711" s="401" t="n"/>
      <c r="S3711" s="401" t="n"/>
      <c r="U3711" s="401" t="n"/>
      <c r="V3711" s="22" t="n"/>
      <c r="W3711" s="22" t="n"/>
      <c r="X3711" s="22" t="n"/>
      <c r="Y3711" s="13" t="n"/>
      <c r="Z3711" s="22" t="n"/>
      <c r="AA3711" s="22" t="n"/>
      <c r="AB3711" s="22" t="n"/>
      <c r="AC3711" s="22" t="n"/>
      <c r="AD3711" s="22" t="n"/>
      <c r="AE3711" s="22" t="n"/>
    </row>
    <row r="3712" ht="84" customHeight="1" s="380">
      <c r="A3712" s="148" t="n">
        <v>132</v>
      </c>
      <c r="B3712" s="390" t="n"/>
      <c r="C3712" s="390" t="inlineStr">
        <is>
          <t>Báo cáo tỷ lệ an toàn tài chính - Chi nhánh công ty chứng khoán nước ngoài tại Việt Nam &gt;&gt; Bảng tính giá trị rủi ro (Rủi ro thị trường)</t>
        </is>
      </c>
      <c r="D3712" s="390" t="inlineStr">
        <is>
          <t>Trái phiếu tổ chức tín dụng có thời gian đáo hạn còn lại từ 5 năm trở lên</t>
        </is>
      </c>
      <c r="E3712" s="390" t="inlineStr">
        <is>
          <t>Trái phiếu tổ chức tín dụng có thời gian đáo hạn còn lại từ 5 năm trở lên</t>
        </is>
      </c>
      <c r="F3712" s="390" t="inlineStr">
        <is>
          <t>Data Explorer</t>
        </is>
      </c>
      <c r="G3712" s="390" t="inlineStr">
        <is>
          <t>Chỉ tiêu cơ sở</t>
        </is>
      </c>
      <c r="H3712" s="390" t="inlineStr">
        <is>
          <t>TB</t>
        </is>
      </c>
      <c r="I3712" s="390" t="inlineStr">
        <is>
          <t>Ngày, CTCK</t>
        </is>
      </c>
      <c r="J3712" s="401" t="inlineStr">
        <is>
          <t>SCMS</t>
        </is>
      </c>
      <c r="K3712" s="401" t="n"/>
      <c r="L3712" s="401" t="inlineStr">
        <is>
          <t>X</t>
        </is>
      </c>
      <c r="M3712" s="401" t="n"/>
      <c r="N3712" s="401" t="inlineStr">
        <is>
          <t>Done</t>
        </is>
      </c>
      <c r="O3712" s="401" t="n"/>
      <c r="P3712" s="401" t="n"/>
      <c r="S3712" s="401" t="n"/>
      <c r="U3712" s="401" t="n"/>
      <c r="V3712" s="22" t="n"/>
      <c r="W3712" s="22" t="n"/>
      <c r="X3712" s="22" t="n"/>
      <c r="Y3712" s="13" t="n"/>
      <c r="Z3712" s="22" t="n"/>
      <c r="AA3712" s="22" t="n"/>
      <c r="AB3712" s="22" t="n"/>
      <c r="AC3712" s="22" t="n"/>
      <c r="AD3712" s="22" t="n"/>
      <c r="AE3712" s="22" t="n"/>
    </row>
    <row r="3713" ht="84" customHeight="1" s="380">
      <c r="A3713" s="148" t="n">
        <v>132</v>
      </c>
      <c r="B3713" s="390" t="n"/>
      <c r="C3713" s="390" t="inlineStr">
        <is>
          <t>Báo cáo tỷ lệ an toàn tài chính - Chi nhánh công ty chứng khoán nước ngoài tại Việt Nam &gt;&gt; Bảng tính giá trị rủi ro (Rủi ro thị trường)</t>
        </is>
      </c>
      <c r="D3713" s="390" t="inlineStr">
        <is>
          <t xml:space="preserve">Trái phiếu doanh nghiệp 
</t>
        </is>
      </c>
      <c r="E3713" s="390" t="inlineStr">
        <is>
          <t xml:space="preserve">Trái phiếu doanh nghiệp 
</t>
        </is>
      </c>
      <c r="F3713" s="390" t="inlineStr">
        <is>
          <t>Data Explorer</t>
        </is>
      </c>
      <c r="G3713" s="390" t="inlineStr">
        <is>
          <t>Chỉ tiêu cơ sở</t>
        </is>
      </c>
      <c r="H3713" s="390" t="inlineStr">
        <is>
          <t>TB</t>
        </is>
      </c>
      <c r="I3713" s="390" t="inlineStr">
        <is>
          <t>Ngày, CTCK</t>
        </is>
      </c>
      <c r="J3713" s="401" t="inlineStr">
        <is>
          <t>SCMS</t>
        </is>
      </c>
      <c r="K3713" s="401" t="n"/>
      <c r="L3713" s="401" t="inlineStr">
        <is>
          <t>X</t>
        </is>
      </c>
      <c r="M3713" s="401" t="n"/>
      <c r="N3713" s="401" t="inlineStr">
        <is>
          <t>Done</t>
        </is>
      </c>
      <c r="O3713" s="401" t="n"/>
      <c r="P3713" s="401" t="n"/>
      <c r="S3713" s="401" t="n"/>
      <c r="U3713" s="401" t="n"/>
      <c r="V3713" s="22" t="n"/>
      <c r="W3713" s="22" t="n"/>
      <c r="X3713" s="22" t="n"/>
      <c r="Y3713" s="13" t="n"/>
      <c r="Z3713" s="22" t="n"/>
      <c r="AA3713" s="22" t="n"/>
      <c r="AB3713" s="22" t="n"/>
      <c r="AC3713" s="22" t="n"/>
      <c r="AD3713" s="22" t="n"/>
      <c r="AE3713" s="22" t="n"/>
    </row>
    <row r="3714" ht="84" customHeight="1" s="380">
      <c r="A3714" s="148" t="n">
        <v>132</v>
      </c>
      <c r="B3714" s="390" t="n"/>
      <c r="C3714" s="390" t="inlineStr">
        <is>
          <t>Báo cáo tỷ lệ an toàn tài chính - Chi nhánh công ty chứng khoán nước ngoài tại Việt Nam &gt;&gt; Bảng tính giá trị rủi ro (Rủi ro thị trường)</t>
        </is>
      </c>
      <c r="D3714" s="390" t="inlineStr">
        <is>
          <t>Trái phiếu doanh nghiệp niêm yết</t>
        </is>
      </c>
      <c r="E3714" s="390" t="inlineStr">
        <is>
          <t>Trái phiếu doanh nghiệp niêm yết</t>
        </is>
      </c>
      <c r="F3714" s="390" t="inlineStr">
        <is>
          <t>Data Explorer</t>
        </is>
      </c>
      <c r="G3714" s="390" t="inlineStr">
        <is>
          <t>Chỉ tiêu cơ sở</t>
        </is>
      </c>
      <c r="H3714" s="390" t="inlineStr">
        <is>
          <t>TB</t>
        </is>
      </c>
      <c r="I3714" s="390" t="inlineStr">
        <is>
          <t>Ngày, CTCK</t>
        </is>
      </c>
      <c r="J3714" s="401" t="inlineStr">
        <is>
          <t>SCMS</t>
        </is>
      </c>
      <c r="K3714" s="401" t="n"/>
      <c r="L3714" s="401" t="inlineStr">
        <is>
          <t>X</t>
        </is>
      </c>
      <c r="M3714" s="401" t="n"/>
      <c r="N3714" s="401" t="inlineStr">
        <is>
          <t>Done</t>
        </is>
      </c>
      <c r="O3714" s="401" t="n"/>
      <c r="P3714" s="401" t="n"/>
      <c r="S3714" s="401" t="n"/>
      <c r="U3714" s="401" t="n"/>
      <c r="V3714" s="22" t="n"/>
      <c r="W3714" s="22" t="n"/>
      <c r="X3714" s="22" t="n"/>
      <c r="Y3714" s="13" t="n"/>
      <c r="Z3714" s="22" t="n"/>
      <c r="AA3714" s="22" t="n"/>
      <c r="AB3714" s="22" t="n"/>
      <c r="AC3714" s="22" t="n"/>
      <c r="AD3714" s="22" t="n"/>
      <c r="AE3714" s="22" t="n"/>
    </row>
    <row r="3715" ht="84" customHeight="1" s="380">
      <c r="A3715" s="148" t="n">
        <v>132</v>
      </c>
      <c r="B3715" s="390" t="n"/>
      <c r="C3715" s="390" t="inlineStr">
        <is>
          <t>Báo cáo tỷ lệ an toàn tài chính - Chi nhánh công ty chứng khoán nước ngoài tại Việt Nam &gt;&gt; Bảng tính giá trị rủi ro (Rủi ro thị trường)</t>
        </is>
      </c>
      <c r="D3715" s="390" t="inlineStr">
        <is>
          <t>Trái phiếu niêm yết có thời gian đáo hạn còn lại dưới 1 năm</t>
        </is>
      </c>
      <c r="E3715" s="390" t="inlineStr">
        <is>
          <t>Trái phiếu niêm yết có thời gian đáo hạn còn lại dưới 1 năm</t>
        </is>
      </c>
      <c r="F3715" s="390" t="inlineStr">
        <is>
          <t>Data Explorer</t>
        </is>
      </c>
      <c r="G3715" s="390" t="inlineStr">
        <is>
          <t>Chỉ tiêu cơ sở</t>
        </is>
      </c>
      <c r="H3715" s="390" t="inlineStr">
        <is>
          <t>TB</t>
        </is>
      </c>
      <c r="I3715" s="390" t="inlineStr">
        <is>
          <t>Ngày, CTCK</t>
        </is>
      </c>
      <c r="J3715" s="401" t="inlineStr">
        <is>
          <t>SCMS</t>
        </is>
      </c>
      <c r="K3715" s="401" t="n"/>
      <c r="L3715" s="401" t="inlineStr">
        <is>
          <t>X</t>
        </is>
      </c>
      <c r="M3715" s="401" t="n"/>
      <c r="N3715" s="401" t="inlineStr">
        <is>
          <t>Done</t>
        </is>
      </c>
      <c r="O3715" s="401" t="n"/>
      <c r="P3715" s="401" t="n"/>
      <c r="S3715" s="401" t="n"/>
      <c r="U3715" s="401" t="n"/>
      <c r="V3715" s="22" t="n"/>
      <c r="W3715" s="22" t="n"/>
      <c r="X3715" s="22" t="n"/>
      <c r="Y3715" s="13" t="n"/>
      <c r="Z3715" s="22" t="n"/>
      <c r="AA3715" s="22" t="n"/>
      <c r="AB3715" s="22" t="n"/>
      <c r="AC3715" s="22" t="n"/>
      <c r="AD3715" s="22" t="n"/>
      <c r="AE3715" s="22" t="n"/>
    </row>
    <row r="3716" ht="84" customHeight="1" s="380">
      <c r="A3716" s="148" t="n">
        <v>132</v>
      </c>
      <c r="B3716" s="390" t="n"/>
      <c r="C3716" s="390" t="inlineStr">
        <is>
          <t>Báo cáo tỷ lệ an toàn tài chính - Chi nhánh công ty chứng khoán nước ngoài tại Việt Nam &gt;&gt; Bảng tính giá trị rủi ro (Rủi ro thị trường)</t>
        </is>
      </c>
      <c r="D3716" s="390" t="inlineStr">
        <is>
          <t>Trái phiếu niêm yết có thời gian đáo hạn còn lại từ 1 năm đến dưới 3 năm</t>
        </is>
      </c>
      <c r="E3716" s="390" t="inlineStr">
        <is>
          <t>Trái phiếu niêm yết có thời gian đáo hạn còn lại từ 1 năm đến dưới 3 năm</t>
        </is>
      </c>
      <c r="F3716" s="390" t="inlineStr">
        <is>
          <t>Data Explorer</t>
        </is>
      </c>
      <c r="G3716" s="390" t="inlineStr">
        <is>
          <t>Chỉ tiêu cơ sở</t>
        </is>
      </c>
      <c r="H3716" s="390" t="inlineStr">
        <is>
          <t>TB</t>
        </is>
      </c>
      <c r="I3716" s="390" t="inlineStr">
        <is>
          <t>Ngày, CTCK</t>
        </is>
      </c>
      <c r="J3716" s="401" t="inlineStr">
        <is>
          <t>SCMS</t>
        </is>
      </c>
      <c r="K3716" s="401" t="n"/>
      <c r="L3716" s="401" t="inlineStr">
        <is>
          <t>X</t>
        </is>
      </c>
      <c r="M3716" s="401" t="n"/>
      <c r="N3716" s="401" t="inlineStr">
        <is>
          <t>Done</t>
        </is>
      </c>
      <c r="O3716" s="401" t="n"/>
      <c r="P3716" s="401" t="n"/>
      <c r="S3716" s="401" t="n"/>
      <c r="U3716" s="401" t="n"/>
      <c r="V3716" s="22" t="n"/>
      <c r="W3716" s="22" t="n"/>
      <c r="X3716" s="22" t="n"/>
      <c r="Y3716" s="13" t="n"/>
      <c r="Z3716" s="22" t="n"/>
      <c r="AA3716" s="22" t="n"/>
      <c r="AB3716" s="22" t="n"/>
      <c r="AC3716" s="22" t="n"/>
      <c r="AD3716" s="22" t="n"/>
      <c r="AE3716" s="22" t="n"/>
    </row>
    <row r="3717" ht="84" customHeight="1" s="380">
      <c r="A3717" s="148" t="n">
        <v>132</v>
      </c>
      <c r="B3717" s="390" t="n"/>
      <c r="C3717" s="390" t="inlineStr">
        <is>
          <t>Báo cáo tỷ lệ an toàn tài chính - Chi nhánh công ty chứng khoán nước ngoài tại Việt Nam &gt;&gt; Bảng tính giá trị rủi ro (Rủi ro thị trường)</t>
        </is>
      </c>
      <c r="D3717" s="390" t="inlineStr">
        <is>
          <t>Trái phiếu niêm yết có thời gian đáo hạn còn lại từ 3 năm đến dưới 5 năm</t>
        </is>
      </c>
      <c r="E3717" s="390" t="inlineStr">
        <is>
          <t>Trái phiếu niêm yết có thời gian đáo hạn còn lại từ 3 năm đến dưới 5 năm</t>
        </is>
      </c>
      <c r="F3717" s="390" t="inlineStr">
        <is>
          <t>Data Explorer</t>
        </is>
      </c>
      <c r="G3717" s="390" t="inlineStr">
        <is>
          <t>Chỉ tiêu cơ sở</t>
        </is>
      </c>
      <c r="H3717" s="390" t="inlineStr">
        <is>
          <t>TB</t>
        </is>
      </c>
      <c r="I3717" s="390" t="inlineStr">
        <is>
          <t>Ngày, CTCK</t>
        </is>
      </c>
      <c r="J3717" s="401" t="inlineStr">
        <is>
          <t>SCMS</t>
        </is>
      </c>
      <c r="K3717" s="401" t="n"/>
      <c r="L3717" s="401" t="inlineStr">
        <is>
          <t>X</t>
        </is>
      </c>
      <c r="M3717" s="401" t="n"/>
      <c r="N3717" s="401" t="inlineStr">
        <is>
          <t>Done</t>
        </is>
      </c>
      <c r="O3717" s="401" t="n"/>
      <c r="P3717" s="401" t="n"/>
      <c r="S3717" s="401" t="n"/>
      <c r="U3717" s="401" t="n"/>
      <c r="V3717" s="22" t="n"/>
      <c r="W3717" s="22" t="n"/>
      <c r="X3717" s="22" t="n"/>
      <c r="Y3717" s="13" t="n"/>
      <c r="Z3717" s="22" t="n"/>
      <c r="AA3717" s="22" t="n"/>
      <c r="AB3717" s="22" t="n"/>
      <c r="AC3717" s="22" t="n"/>
      <c r="AD3717" s="22" t="n"/>
      <c r="AE3717" s="22" t="n"/>
    </row>
    <row r="3718" ht="84" customHeight="1" s="380">
      <c r="A3718" s="148" t="n">
        <v>132</v>
      </c>
      <c r="B3718" s="390" t="n"/>
      <c r="C3718" s="390" t="inlineStr">
        <is>
          <t>Báo cáo tỷ lệ an toàn tài chính - Chi nhánh công ty chứng khoán nước ngoài tại Việt Nam &gt;&gt; Bảng tính giá trị rủi ro (Rủi ro thị trường)</t>
        </is>
      </c>
      <c r="D3718" s="390" t="inlineStr">
        <is>
          <t>Trái phiếu niêm yết có thời gian đáo hạn còn lại từ 5 năm trở lên</t>
        </is>
      </c>
      <c r="E3718" s="390" t="inlineStr">
        <is>
          <t>Trái phiếu niêm yết có thời gian đáo hạn còn lại từ 5 năm trở lên</t>
        </is>
      </c>
      <c r="F3718" s="390" t="inlineStr">
        <is>
          <t>Data Explorer</t>
        </is>
      </c>
      <c r="G3718" s="390" t="inlineStr">
        <is>
          <t>Chỉ tiêu cơ sở</t>
        </is>
      </c>
      <c r="H3718" s="390" t="inlineStr">
        <is>
          <t>TB</t>
        </is>
      </c>
      <c r="I3718" s="390" t="inlineStr">
        <is>
          <t>Ngày, CTCK</t>
        </is>
      </c>
      <c r="J3718" s="401" t="inlineStr">
        <is>
          <t>SCMS</t>
        </is>
      </c>
      <c r="K3718" s="401" t="n"/>
      <c r="L3718" s="401" t="inlineStr">
        <is>
          <t>X</t>
        </is>
      </c>
      <c r="M3718" s="401" t="n"/>
      <c r="N3718" s="401" t="inlineStr">
        <is>
          <t>Done</t>
        </is>
      </c>
      <c r="O3718" s="401" t="n"/>
      <c r="P3718" s="401" t="n"/>
      <c r="S3718" s="401" t="n"/>
      <c r="U3718" s="401" t="n"/>
      <c r="V3718" s="22" t="n"/>
      <c r="W3718" s="22" t="n"/>
      <c r="X3718" s="22" t="n"/>
      <c r="Y3718" s="13" t="n"/>
      <c r="Z3718" s="22" t="n"/>
      <c r="AA3718" s="22" t="n"/>
      <c r="AB3718" s="22" t="n"/>
      <c r="AC3718" s="22" t="n"/>
      <c r="AD3718" s="22" t="n"/>
      <c r="AE3718" s="22" t="n"/>
    </row>
    <row r="3719" ht="84" customHeight="1" s="380">
      <c r="A3719" s="148" t="n">
        <v>132</v>
      </c>
      <c r="B3719" s="390" t="n"/>
      <c r="C3719" s="390" t="inlineStr">
        <is>
          <t>Báo cáo tỷ lệ an toàn tài chính - Chi nhánh công ty chứng khoán nước ngoài tại Việt Nam &gt;&gt; Bảng tính giá trị rủi ro (Rủi ro thị trường)</t>
        </is>
      </c>
      <c r="D3719" s="390" t="inlineStr">
        <is>
          <t>Trái phiếu doanh nghiệp không niêm yết</t>
        </is>
      </c>
      <c r="E3719" s="390" t="inlineStr">
        <is>
          <t>Trái phiếu doanh nghiệp không niêm yết</t>
        </is>
      </c>
      <c r="F3719" s="390" t="inlineStr">
        <is>
          <t>Data Explorer</t>
        </is>
      </c>
      <c r="G3719" s="390" t="inlineStr">
        <is>
          <t>Chỉ tiêu cơ sở</t>
        </is>
      </c>
      <c r="H3719" s="390" t="inlineStr">
        <is>
          <t>TB</t>
        </is>
      </c>
      <c r="I3719" s="390" t="inlineStr">
        <is>
          <t>Ngày, CTCK</t>
        </is>
      </c>
      <c r="J3719" s="401" t="inlineStr">
        <is>
          <t>SCMS</t>
        </is>
      </c>
      <c r="K3719" s="401" t="n"/>
      <c r="L3719" s="401" t="inlineStr">
        <is>
          <t>X</t>
        </is>
      </c>
      <c r="M3719" s="401" t="n"/>
      <c r="N3719" s="401" t="inlineStr">
        <is>
          <t>Done</t>
        </is>
      </c>
      <c r="O3719" s="401" t="n"/>
      <c r="P3719" s="401" t="n"/>
      <c r="S3719" s="401" t="n"/>
      <c r="U3719" s="401" t="n"/>
      <c r="V3719" s="22" t="n"/>
      <c r="W3719" s="22" t="n"/>
      <c r="X3719" s="22" t="n"/>
      <c r="Y3719" s="13" t="n"/>
      <c r="Z3719" s="22" t="n"/>
      <c r="AA3719" s="22" t="n"/>
      <c r="AB3719" s="22" t="n"/>
      <c r="AC3719" s="22" t="n"/>
      <c r="AD3719" s="22" t="n"/>
      <c r="AE3719" s="22" t="n"/>
    </row>
    <row r="3720" ht="84" customHeight="1" s="380">
      <c r="A3720" s="148" t="n">
        <v>132</v>
      </c>
      <c r="B3720" s="390" t="n"/>
      <c r="C3720" s="390" t="inlineStr">
        <is>
          <t>Báo cáo tỷ lệ an toàn tài chính - Chi nhánh công ty chứng khoán nước ngoài tại Việt Nam &gt;&gt; Bảng tính giá trị rủi ro (Rủi ro thị trường)</t>
        </is>
      </c>
      <c r="D3720" s="390" t="inlineStr">
        <is>
          <t>Trái phiếu không niêm yết do doanh nghiệp niêm yết phát hành có thời gian đáo hạn còn lại dưới 1 năm</t>
        </is>
      </c>
      <c r="E3720" s="390" t="inlineStr">
        <is>
          <t>Trái phiếu không niêm yết do doanh nghiệp niêm yết phát hành có thời gian đáo hạn còn lại dưới 1 năm</t>
        </is>
      </c>
      <c r="F3720" s="390" t="inlineStr">
        <is>
          <t>Data Explorer</t>
        </is>
      </c>
      <c r="G3720" s="390" t="inlineStr">
        <is>
          <t>Chỉ tiêu cơ sở</t>
        </is>
      </c>
      <c r="H3720" s="390" t="inlineStr">
        <is>
          <t>TB</t>
        </is>
      </c>
      <c r="I3720" s="390" t="inlineStr">
        <is>
          <t>Ngày, CTCK</t>
        </is>
      </c>
      <c r="J3720" s="401" t="inlineStr">
        <is>
          <t>SCMS</t>
        </is>
      </c>
      <c r="K3720" s="401" t="n"/>
      <c r="L3720" s="401" t="inlineStr">
        <is>
          <t>X</t>
        </is>
      </c>
      <c r="M3720" s="401" t="n"/>
      <c r="N3720" s="401" t="inlineStr">
        <is>
          <t>Done</t>
        </is>
      </c>
      <c r="O3720" s="401" t="n"/>
      <c r="P3720" s="401" t="n"/>
      <c r="S3720" s="401" t="n"/>
      <c r="U3720" s="401" t="n"/>
      <c r="V3720" s="22" t="n"/>
      <c r="W3720" s="22" t="n"/>
      <c r="X3720" s="22" t="n"/>
      <c r="Y3720" s="13" t="n"/>
      <c r="Z3720" s="22" t="n"/>
      <c r="AA3720" s="22" t="n"/>
      <c r="AB3720" s="22" t="n"/>
      <c r="AC3720" s="22" t="n"/>
      <c r="AD3720" s="22" t="n"/>
      <c r="AE3720" s="22" t="n"/>
    </row>
    <row r="3721" ht="84" customHeight="1" s="380">
      <c r="A3721" s="148" t="n">
        <v>132</v>
      </c>
      <c r="B3721" s="390" t="n"/>
      <c r="C3721" s="390" t="inlineStr">
        <is>
          <t>Báo cáo tỷ lệ an toàn tài chính - Chi nhánh công ty chứng khoán nước ngoài tại Việt Nam &gt;&gt; Bảng tính giá trị rủi ro (Rủi ro thị trường)</t>
        </is>
      </c>
      <c r="D3721" s="390" t="inlineStr">
        <is>
          <t>Trái phiếu không niêm yết do doanh nghiệp niêm yết phát hành có thời gian đáo hạn còn lại từ 1 năm đến dưới 3 năm</t>
        </is>
      </c>
      <c r="E3721" s="390" t="inlineStr">
        <is>
          <t>Trái phiếu không niêm yết do doanh nghiệp niêm yết phát hành có thời gian đáo hạn còn lại từ 1 năm đến dưới 3 năm</t>
        </is>
      </c>
      <c r="F3721" s="390" t="inlineStr">
        <is>
          <t>Data Explorer</t>
        </is>
      </c>
      <c r="G3721" s="390" t="inlineStr">
        <is>
          <t>Chỉ tiêu cơ sở</t>
        </is>
      </c>
      <c r="H3721" s="390" t="inlineStr">
        <is>
          <t>TB</t>
        </is>
      </c>
      <c r="I3721" s="390" t="inlineStr">
        <is>
          <t>Ngày, CTCK</t>
        </is>
      </c>
      <c r="J3721" s="401" t="inlineStr">
        <is>
          <t>SCMS</t>
        </is>
      </c>
      <c r="K3721" s="401" t="n"/>
      <c r="L3721" s="401" t="inlineStr">
        <is>
          <t>X</t>
        </is>
      </c>
      <c r="M3721" s="401" t="n"/>
      <c r="N3721" s="401" t="inlineStr">
        <is>
          <t>Done</t>
        </is>
      </c>
      <c r="O3721" s="401" t="n"/>
      <c r="P3721" s="401" t="n"/>
      <c r="S3721" s="401" t="n"/>
      <c r="U3721" s="401" t="n"/>
      <c r="V3721" s="22" t="n"/>
      <c r="W3721" s="22" t="n"/>
      <c r="X3721" s="22" t="n"/>
      <c r="Y3721" s="13" t="n"/>
      <c r="Z3721" s="22" t="n"/>
      <c r="AA3721" s="22" t="n"/>
      <c r="AB3721" s="22" t="n"/>
      <c r="AC3721" s="22" t="n"/>
      <c r="AD3721" s="22" t="n"/>
      <c r="AE3721" s="22" t="n"/>
    </row>
    <row r="3722" ht="84" customHeight="1" s="380">
      <c r="A3722" s="148" t="n">
        <v>132</v>
      </c>
      <c r="B3722" s="390" t="n"/>
      <c r="C3722" s="390" t="inlineStr">
        <is>
          <t>Báo cáo tỷ lệ an toàn tài chính - Chi nhánh công ty chứng khoán nước ngoài tại Việt Nam &gt;&gt; Bảng tính giá trị rủi ro (Rủi ro thị trường)</t>
        </is>
      </c>
      <c r="D3722" s="390" t="inlineStr">
        <is>
          <t>Trái phiếu không niêm yết do doanh nghiệp niêm yết phát hành có thời gian đáo hạn còn lại từ 3 năm đến dưới 5 năm</t>
        </is>
      </c>
      <c r="E3722" s="390" t="inlineStr">
        <is>
          <t>Trái phiếu không niêm yết do doanh nghiệp niêm yết phát hành có thời gian đáo hạn còn lại từ 3 năm đến dưới 5 năm</t>
        </is>
      </c>
      <c r="F3722" s="390" t="inlineStr">
        <is>
          <t>Data Explorer</t>
        </is>
      </c>
      <c r="G3722" s="390" t="inlineStr">
        <is>
          <t>Chỉ tiêu cơ sở</t>
        </is>
      </c>
      <c r="H3722" s="390" t="inlineStr">
        <is>
          <t>TB</t>
        </is>
      </c>
      <c r="I3722" s="390" t="inlineStr">
        <is>
          <t>Ngày, CTCK</t>
        </is>
      </c>
      <c r="J3722" s="401" t="inlineStr">
        <is>
          <t>SCMS</t>
        </is>
      </c>
      <c r="K3722" s="401" t="n"/>
      <c r="L3722" s="401" t="inlineStr">
        <is>
          <t>X</t>
        </is>
      </c>
      <c r="M3722" s="401" t="n"/>
      <c r="N3722" s="401" t="inlineStr">
        <is>
          <t>Done</t>
        </is>
      </c>
      <c r="O3722" s="401" t="n"/>
      <c r="P3722" s="401" t="n"/>
      <c r="S3722" s="401" t="n"/>
      <c r="U3722" s="401" t="n"/>
      <c r="V3722" s="22" t="n"/>
      <c r="W3722" s="22" t="n"/>
      <c r="X3722" s="22" t="n"/>
      <c r="Y3722" s="13" t="n"/>
      <c r="Z3722" s="22" t="n"/>
      <c r="AA3722" s="22" t="n"/>
      <c r="AB3722" s="22" t="n"/>
      <c r="AC3722" s="22" t="n"/>
      <c r="AD3722" s="22" t="n"/>
      <c r="AE3722" s="22" t="n"/>
    </row>
    <row r="3723" ht="84" customHeight="1" s="380">
      <c r="A3723" s="148" t="n">
        <v>132</v>
      </c>
      <c r="B3723" s="390" t="n"/>
      <c r="C3723" s="390" t="inlineStr">
        <is>
          <t>Báo cáo tỷ lệ an toàn tài chính - Chi nhánh công ty chứng khoán nước ngoài tại Việt Nam &gt;&gt; Bảng tính giá trị rủi ro (Rủi ro thị trường)</t>
        </is>
      </c>
      <c r="D3723" s="390" t="inlineStr">
        <is>
          <t>Trái phiếu không niêm yết do doanh nghiệp niêm yết phát hành có thời gian đáo hạn còn lại từ 5 năm trở lên</t>
        </is>
      </c>
      <c r="E3723" s="390" t="inlineStr">
        <is>
          <t>Trái phiếu không niêm yết do doanh nghiệp niêm yết phát hành có thời gian đáo hạn còn lại từ 5 năm trở lên</t>
        </is>
      </c>
      <c r="F3723" s="390" t="inlineStr">
        <is>
          <t>Data Explorer</t>
        </is>
      </c>
      <c r="G3723" s="390" t="inlineStr">
        <is>
          <t>Chỉ tiêu cơ sở</t>
        </is>
      </c>
      <c r="H3723" s="390" t="inlineStr">
        <is>
          <t>TB</t>
        </is>
      </c>
      <c r="I3723" s="390" t="inlineStr">
        <is>
          <t>Ngày, CTCK</t>
        </is>
      </c>
      <c r="J3723" s="401" t="inlineStr">
        <is>
          <t>SCMS</t>
        </is>
      </c>
      <c r="K3723" s="401" t="n"/>
      <c r="L3723" s="401" t="inlineStr">
        <is>
          <t>X</t>
        </is>
      </c>
      <c r="M3723" s="401" t="n"/>
      <c r="N3723" s="401" t="inlineStr">
        <is>
          <t>Done</t>
        </is>
      </c>
      <c r="O3723" s="401" t="n"/>
      <c r="P3723" s="401" t="n"/>
      <c r="S3723" s="401" t="n"/>
      <c r="U3723" s="401" t="n"/>
      <c r="V3723" s="22" t="n"/>
      <c r="W3723" s="22" t="n"/>
      <c r="X3723" s="22" t="n"/>
      <c r="Y3723" s="13" t="n"/>
      <c r="Z3723" s="22" t="n"/>
      <c r="AA3723" s="22" t="n"/>
      <c r="AB3723" s="22" t="n"/>
      <c r="AC3723" s="22" t="n"/>
      <c r="AD3723" s="22" t="n"/>
      <c r="AE3723" s="22" t="n"/>
    </row>
    <row r="3724" ht="84" customHeight="1" s="380">
      <c r="A3724" s="148" t="n">
        <v>132</v>
      </c>
      <c r="B3724" s="390" t="n"/>
      <c r="C3724" s="390" t="inlineStr">
        <is>
          <t>Báo cáo tỷ lệ an toàn tài chính - Chi nhánh công ty chứng khoán nước ngoài tại Việt Nam &gt;&gt; Bảng tính giá trị rủi ro (Rủi ro thị trường)</t>
        </is>
      </c>
      <c r="D3724" s="390" t="inlineStr">
        <is>
          <t>Trái phiếu không niêm yết do doanh nghiệp khác phát hành có thời gian đáo hạn còn lại dưới 1 năm</t>
        </is>
      </c>
      <c r="E3724" s="390" t="inlineStr">
        <is>
          <t>Trái phiếu không niêm yết do doanh nghiệp khác phát hành có thời gian đáo hạn còn lại dưới 1 năm</t>
        </is>
      </c>
      <c r="F3724" s="390" t="inlineStr">
        <is>
          <t>Data Explorer</t>
        </is>
      </c>
      <c r="G3724" s="390" t="inlineStr">
        <is>
          <t>Chỉ tiêu cơ sở</t>
        </is>
      </c>
      <c r="H3724" s="390" t="inlineStr">
        <is>
          <t>TB</t>
        </is>
      </c>
      <c r="I3724" s="390" t="inlineStr">
        <is>
          <t>Ngày, CTCK</t>
        </is>
      </c>
      <c r="J3724" s="401" t="inlineStr">
        <is>
          <t>SCMS</t>
        </is>
      </c>
      <c r="K3724" s="401" t="n"/>
      <c r="L3724" s="401" t="inlineStr">
        <is>
          <t>X</t>
        </is>
      </c>
      <c r="M3724" s="401" t="n"/>
      <c r="N3724" s="401" t="inlineStr">
        <is>
          <t>Done</t>
        </is>
      </c>
      <c r="O3724" s="401" t="n"/>
      <c r="P3724" s="401" t="n"/>
      <c r="S3724" s="401" t="n"/>
      <c r="U3724" s="401" t="n"/>
      <c r="V3724" s="22" t="n"/>
      <c r="W3724" s="22" t="n"/>
      <c r="X3724" s="22" t="n"/>
      <c r="Y3724" s="13" t="n"/>
      <c r="Z3724" s="22" t="n"/>
      <c r="AA3724" s="22" t="n"/>
      <c r="AB3724" s="22" t="n"/>
      <c r="AC3724" s="22" t="n"/>
      <c r="AD3724" s="22" t="n"/>
      <c r="AE3724" s="22" t="n"/>
    </row>
    <row r="3725" ht="84" customHeight="1" s="380">
      <c r="A3725" s="148" t="n">
        <v>132</v>
      </c>
      <c r="B3725" s="390" t="n"/>
      <c r="C3725" s="390" t="inlineStr">
        <is>
          <t>Báo cáo tỷ lệ an toàn tài chính - Chi nhánh công ty chứng khoán nước ngoài tại Việt Nam &gt;&gt; Bảng tính giá trị rủi ro (Rủi ro thị trường)</t>
        </is>
      </c>
      <c r="D3725" s="390" t="inlineStr">
        <is>
          <t>Trái phiếu không niêm yết do doanh nghiệp khác phát hành có thời gian đáo hạn còn lại từ 1 năm đến dưới 3 năm</t>
        </is>
      </c>
      <c r="E3725" s="390" t="inlineStr">
        <is>
          <t>Trái phiếu không niêm yết do doanh nghiệp khác phát hành có thời gian đáo hạn còn lại từ 1 năm đến dưới 3 năm</t>
        </is>
      </c>
      <c r="F3725" s="390" t="inlineStr">
        <is>
          <t>Data Explorer</t>
        </is>
      </c>
      <c r="G3725" s="390" t="inlineStr">
        <is>
          <t>Chỉ tiêu cơ sở</t>
        </is>
      </c>
      <c r="H3725" s="390" t="inlineStr">
        <is>
          <t>TB</t>
        </is>
      </c>
      <c r="I3725" s="390" t="inlineStr">
        <is>
          <t>Ngày, CTCK</t>
        </is>
      </c>
      <c r="J3725" s="401" t="inlineStr">
        <is>
          <t>SCMS</t>
        </is>
      </c>
      <c r="K3725" s="401" t="n"/>
      <c r="L3725" s="401" t="inlineStr">
        <is>
          <t>X</t>
        </is>
      </c>
      <c r="M3725" s="401" t="n"/>
      <c r="N3725" s="401" t="inlineStr">
        <is>
          <t>Done</t>
        </is>
      </c>
      <c r="O3725" s="401" t="n"/>
      <c r="P3725" s="401" t="n"/>
      <c r="S3725" s="401" t="n"/>
      <c r="U3725" s="401" t="n"/>
      <c r="V3725" s="22" t="n"/>
      <c r="W3725" s="22" t="n"/>
      <c r="X3725" s="22" t="n"/>
      <c r="Y3725" s="13" t="n"/>
      <c r="Z3725" s="22" t="n"/>
      <c r="AA3725" s="22" t="n"/>
      <c r="AB3725" s="22" t="n"/>
      <c r="AC3725" s="22" t="n"/>
      <c r="AD3725" s="22" t="n"/>
      <c r="AE3725" s="22" t="n"/>
    </row>
    <row r="3726" ht="84" customHeight="1" s="380">
      <c r="A3726" s="148" t="n">
        <v>132</v>
      </c>
      <c r="B3726" s="390" t="n"/>
      <c r="C3726" s="390" t="inlineStr">
        <is>
          <t>Báo cáo tỷ lệ an toàn tài chính - Chi nhánh công ty chứng khoán nước ngoài tại Việt Nam &gt;&gt; Bảng tính giá trị rủi ro (Rủi ro thị trường)</t>
        </is>
      </c>
      <c r="D3726" s="390" t="inlineStr">
        <is>
          <t>Trái phiếu không niêm yết do doanh nghiệp khác phát hành có thời gian đáo hạn còn lại từ 3 năm đến dưới 5 năm</t>
        </is>
      </c>
      <c r="E3726" s="390" t="inlineStr">
        <is>
          <t>Trái phiếu không niêm yết do doanh nghiệp khác phát hành có thời gian đáo hạn còn lại từ 3 năm đến dưới 5 năm</t>
        </is>
      </c>
      <c r="F3726" s="390" t="inlineStr">
        <is>
          <t>Data Explorer</t>
        </is>
      </c>
      <c r="G3726" s="390" t="inlineStr">
        <is>
          <t>Chỉ tiêu cơ sở</t>
        </is>
      </c>
      <c r="H3726" s="390" t="inlineStr">
        <is>
          <t>TB</t>
        </is>
      </c>
      <c r="I3726" s="390" t="inlineStr">
        <is>
          <t>Ngày, CTCK</t>
        </is>
      </c>
      <c r="J3726" s="401" t="inlineStr">
        <is>
          <t>SCMS</t>
        </is>
      </c>
      <c r="K3726" s="401" t="n"/>
      <c r="L3726" s="401" t="inlineStr">
        <is>
          <t>X</t>
        </is>
      </c>
      <c r="M3726" s="401" t="n"/>
      <c r="N3726" s="401" t="inlineStr">
        <is>
          <t>Done</t>
        </is>
      </c>
      <c r="O3726" s="401" t="n"/>
      <c r="P3726" s="401" t="n"/>
      <c r="S3726" s="401" t="n"/>
      <c r="U3726" s="401" t="n"/>
      <c r="V3726" s="22" t="n"/>
      <c r="W3726" s="22" t="n"/>
      <c r="X3726" s="22" t="n"/>
      <c r="Y3726" s="13" t="n"/>
      <c r="Z3726" s="22" t="n"/>
      <c r="AA3726" s="22" t="n"/>
      <c r="AB3726" s="22" t="n"/>
      <c r="AC3726" s="22" t="n"/>
      <c r="AD3726" s="22" t="n"/>
      <c r="AE3726" s="22" t="n"/>
    </row>
    <row r="3727" ht="84" customHeight="1" s="380">
      <c r="A3727" s="148" t="n">
        <v>132</v>
      </c>
      <c r="B3727" s="390" t="n"/>
      <c r="C3727" s="390" t="inlineStr">
        <is>
          <t>Báo cáo tỷ lệ an toàn tài chính - Chi nhánh công ty chứng khoán nước ngoài tại Việt Nam &gt;&gt; Bảng tính giá trị rủi ro (Rủi ro thị trường)</t>
        </is>
      </c>
      <c r="D3727" s="390" t="inlineStr">
        <is>
          <t>Trái phiếu không niêm yết do doanh nghiệp khác phát hành có thời gian đáo hạn còn lại từ 5 năm trở lên</t>
        </is>
      </c>
      <c r="E3727" s="390" t="inlineStr">
        <is>
          <t>Trái phiếu không niêm yết do doanh nghiệp khác phát hành có thời gian đáo hạn còn lại từ 5 năm trở lên</t>
        </is>
      </c>
      <c r="F3727" s="390" t="inlineStr">
        <is>
          <t>Data Explorer</t>
        </is>
      </c>
      <c r="G3727" s="390" t="inlineStr">
        <is>
          <t>Chỉ tiêu cơ sở</t>
        </is>
      </c>
      <c r="H3727" s="390" t="inlineStr">
        <is>
          <t>TB</t>
        </is>
      </c>
      <c r="I3727" s="390" t="inlineStr">
        <is>
          <t>Ngày, CTCK</t>
        </is>
      </c>
      <c r="J3727" s="401" t="inlineStr">
        <is>
          <t>SCMS</t>
        </is>
      </c>
      <c r="K3727" s="401" t="n"/>
      <c r="L3727" s="401" t="inlineStr">
        <is>
          <t>X</t>
        </is>
      </c>
      <c r="M3727" s="401" t="n"/>
      <c r="N3727" s="401" t="inlineStr">
        <is>
          <t>Done</t>
        </is>
      </c>
      <c r="O3727" s="401" t="n"/>
      <c r="P3727" s="401" t="n"/>
      <c r="S3727" s="401" t="n"/>
      <c r="U3727" s="401" t="n"/>
      <c r="V3727" s="22" t="n"/>
      <c r="W3727" s="22" t="n"/>
      <c r="X3727" s="22" t="n"/>
      <c r="Y3727" s="13" t="n"/>
      <c r="Z3727" s="22" t="n"/>
      <c r="AA3727" s="22" t="n"/>
      <c r="AB3727" s="22" t="n"/>
      <c r="AC3727" s="22" t="n"/>
      <c r="AD3727" s="22" t="n"/>
      <c r="AE3727" s="22" t="n"/>
    </row>
    <row r="3728" ht="84" customHeight="1" s="380">
      <c r="A3728" s="148" t="n">
        <v>132</v>
      </c>
      <c r="B3728" s="390" t="n"/>
      <c r="C3728" s="390" t="inlineStr">
        <is>
          <t>Báo cáo tỷ lệ an toàn tài chính - Chi nhánh công ty chứng khoán nước ngoài tại Việt Nam &gt;&gt; Bảng tính giá trị rủi ro (Rủi ro thị trường)</t>
        </is>
      </c>
      <c r="D3728" s="390" t="inlineStr">
        <is>
          <t>Liệt kê kết quả xếp hạng tín nhiệm đối với trái phiếu/tổ chức phát hành</t>
        </is>
      </c>
      <c r="E3728" s="390" t="inlineStr">
        <is>
          <t>Liệt kê kết quả xếp hạng tín nhiệm đối với trái phiếu/tổ chức phát hành</t>
        </is>
      </c>
      <c r="F3728" s="390" t="inlineStr">
        <is>
          <t>Data Explorer</t>
        </is>
      </c>
      <c r="G3728" s="390" t="inlineStr">
        <is>
          <t>Chỉ tiêu cơ sở</t>
        </is>
      </c>
      <c r="H3728" s="390" t="inlineStr">
        <is>
          <t>TB</t>
        </is>
      </c>
      <c r="I3728" s="390" t="inlineStr">
        <is>
          <t>Ngày, CTCK</t>
        </is>
      </c>
      <c r="J3728" s="401" t="inlineStr">
        <is>
          <t>SCMS</t>
        </is>
      </c>
      <c r="K3728" s="401" t="n"/>
      <c r="L3728" s="401" t="inlineStr">
        <is>
          <t>X</t>
        </is>
      </c>
      <c r="M3728" s="401" t="n"/>
      <c r="N3728" s="401" t="inlineStr">
        <is>
          <t>Done</t>
        </is>
      </c>
      <c r="O3728" s="401" t="n"/>
      <c r="P3728" s="401" t="n"/>
      <c r="S3728" s="401" t="n"/>
      <c r="U3728" s="401" t="n"/>
      <c r="V3728" s="22" t="n"/>
      <c r="W3728" s="22" t="n"/>
      <c r="X3728" s="22" t="n"/>
      <c r="Y3728" s="13" t="n"/>
      <c r="Z3728" s="22" t="n"/>
      <c r="AA3728" s="22" t="n"/>
      <c r="AB3728" s="22" t="n"/>
      <c r="AC3728" s="22" t="n"/>
      <c r="AD3728" s="22" t="n"/>
      <c r="AE3728" s="22" t="n"/>
    </row>
    <row r="3729" ht="84" customHeight="1" s="380">
      <c r="A3729" s="148" t="n">
        <v>132</v>
      </c>
      <c r="B3729" s="390" t="n"/>
      <c r="C3729" s="390" t="inlineStr">
        <is>
          <t>Báo cáo tỷ lệ an toàn tài chính - Chi nhánh công ty chứng khoán nước ngoài tại Việt Nam &gt;&gt; Bảng tính giá trị rủi ro (Rủi ro thị trường)</t>
        </is>
      </c>
      <c r="D3729" s="390" t="inlineStr">
        <is>
          <t xml:space="preserve">Cổ phiếu </t>
        </is>
      </c>
      <c r="E3729" s="390" t="inlineStr">
        <is>
          <t xml:space="preserve">Cổ phiếu </t>
        </is>
      </c>
      <c r="F3729" s="390" t="inlineStr">
        <is>
          <t>Data Explorer</t>
        </is>
      </c>
      <c r="G3729" s="390" t="inlineStr">
        <is>
          <t>Chỉ tiêu cơ sở</t>
        </is>
      </c>
      <c r="H3729" s="390" t="inlineStr">
        <is>
          <t>TB</t>
        </is>
      </c>
      <c r="I3729" s="390" t="inlineStr">
        <is>
          <t>Ngày, CTCK</t>
        </is>
      </c>
      <c r="J3729" s="401" t="inlineStr">
        <is>
          <t>SCMS</t>
        </is>
      </c>
      <c r="K3729" s="401" t="n"/>
      <c r="L3729" s="401" t="inlineStr">
        <is>
          <t>X</t>
        </is>
      </c>
      <c r="M3729" s="401" t="n"/>
      <c r="N3729" s="401" t="inlineStr">
        <is>
          <t>Done</t>
        </is>
      </c>
      <c r="O3729" s="401" t="n"/>
      <c r="P3729" s="401" t="n"/>
      <c r="S3729" s="401" t="n"/>
      <c r="U3729" s="401" t="n"/>
      <c r="V3729" s="22" t="n"/>
      <c r="W3729" s="22" t="n"/>
      <c r="X3729" s="22" t="n"/>
      <c r="Y3729" s="13" t="n"/>
      <c r="Z3729" s="22" t="n"/>
      <c r="AA3729" s="22" t="n"/>
      <c r="AB3729" s="22" t="n"/>
      <c r="AC3729" s="22" t="n"/>
      <c r="AD3729" s="22" t="n"/>
      <c r="AE3729" s="22" t="n"/>
    </row>
    <row r="3730" ht="84" customHeight="1" s="380">
      <c r="A3730" s="148" t="n">
        <v>132</v>
      </c>
      <c r="B3730" s="390" t="n"/>
      <c r="C3730" s="390" t="inlineStr">
        <is>
          <t>Báo cáo tỷ lệ an toàn tài chính - Chi nhánh công ty chứng khoán nước ngoài tại Việt Nam &gt;&gt; Bảng tính giá trị rủi ro (Rủi ro thị trường)</t>
        </is>
      </c>
      <c r="D3730" s="390" t="inlineStr">
        <is>
          <t xml:space="preserve">Cổ phiếu phổ thông, cổ phiếu ưu đãi của các tổ chức niêm yết tại Sở giao dịch chứng khoán </t>
        </is>
      </c>
      <c r="E3730" s="390" t="inlineStr">
        <is>
          <t xml:space="preserve">Cổ phiếu phổ thông, cổ phiếu ưu đãi của các tổ chức niêm yết tại Sở giao dịch chứng khoán </t>
        </is>
      </c>
      <c r="F3730" s="390" t="inlineStr">
        <is>
          <t>Data Explorer</t>
        </is>
      </c>
      <c r="G3730" s="390" t="inlineStr">
        <is>
          <t>Chỉ tiêu cơ sở</t>
        </is>
      </c>
      <c r="H3730" s="390" t="inlineStr">
        <is>
          <t>TB</t>
        </is>
      </c>
      <c r="I3730" s="390" t="inlineStr">
        <is>
          <t>Ngày, CTCK</t>
        </is>
      </c>
      <c r="J3730" s="401" t="inlineStr">
        <is>
          <t>SCMS</t>
        </is>
      </c>
      <c r="K3730" s="401" t="n"/>
      <c r="L3730" s="401" t="inlineStr">
        <is>
          <t>X</t>
        </is>
      </c>
      <c r="M3730" s="401" t="n"/>
      <c r="N3730" s="401" t="inlineStr">
        <is>
          <t>Done</t>
        </is>
      </c>
      <c r="O3730" s="401" t="n"/>
      <c r="P3730" s="401" t="n"/>
      <c r="S3730" s="401" t="n"/>
      <c r="U3730" s="401" t="n"/>
      <c r="V3730" s="22" t="n"/>
      <c r="W3730" s="22" t="n"/>
      <c r="X3730" s="22" t="n"/>
      <c r="Y3730" s="13" t="n"/>
      <c r="Z3730" s="22" t="n"/>
      <c r="AA3730" s="22" t="n"/>
      <c r="AB3730" s="22" t="n"/>
      <c r="AC3730" s="22" t="n"/>
      <c r="AD3730" s="22" t="n"/>
      <c r="AE3730" s="22" t="n"/>
    </row>
    <row r="3731" ht="84" customHeight="1" s="380">
      <c r="A3731" s="148" t="n">
        <v>132</v>
      </c>
      <c r="B3731" s="390" t="n"/>
      <c r="C3731" s="390" t="inlineStr">
        <is>
          <t>Báo cáo tỷ lệ an toàn tài chính - Chi nhánh công ty chứng khoán nước ngoài tại Việt Nam &gt;&gt; Bảng tính giá trị rủi ro (Rủi ro thị trường)</t>
        </is>
      </c>
      <c r="D3731" s="390" t="inlineStr">
        <is>
          <t>Cổ phiếu phổ thông, cổ phiếu ưu đãi của các công ty đại chúng chưa niêm yết và đã đăng ký giao dịch qua hệ thống UpCom</t>
        </is>
      </c>
      <c r="E3731" s="390" t="inlineStr">
        <is>
          <t>Cổ phiếu phổ thông, cổ phiếu ưu đãi của các công ty đại chúng chưa niêm yết và đã đăng ký giao dịch qua hệ thống UpCom</t>
        </is>
      </c>
      <c r="F3731" s="390" t="inlineStr">
        <is>
          <t>Data Explorer</t>
        </is>
      </c>
      <c r="G3731" s="390" t="inlineStr">
        <is>
          <t>Chỉ tiêu cơ sở</t>
        </is>
      </c>
      <c r="H3731" s="390" t="inlineStr">
        <is>
          <t>TB</t>
        </is>
      </c>
      <c r="I3731" s="390" t="inlineStr">
        <is>
          <t>Ngày, CTCK</t>
        </is>
      </c>
      <c r="J3731" s="401" t="inlineStr">
        <is>
          <t>SCMS</t>
        </is>
      </c>
      <c r="K3731" s="401" t="n"/>
      <c r="L3731" s="401" t="inlineStr">
        <is>
          <t>X</t>
        </is>
      </c>
      <c r="M3731" s="401" t="n"/>
      <c r="N3731" s="401" t="inlineStr">
        <is>
          <t>Done</t>
        </is>
      </c>
      <c r="O3731" s="401" t="n"/>
      <c r="P3731" s="401" t="n"/>
      <c r="S3731" s="401" t="n"/>
      <c r="U3731" s="401" t="n"/>
      <c r="V3731" s="22" t="n"/>
      <c r="W3731" s="22" t="n"/>
      <c r="X3731" s="22" t="n"/>
      <c r="Y3731" s="13" t="n"/>
      <c r="Z3731" s="22" t="n"/>
      <c r="AA3731" s="22" t="n"/>
      <c r="AB3731" s="22" t="n"/>
      <c r="AC3731" s="22" t="n"/>
      <c r="AD3731" s="22" t="n"/>
      <c r="AE3731" s="22" t="n"/>
    </row>
    <row r="3732" ht="112" customHeight="1" s="380">
      <c r="A3732" s="148" t="n">
        <v>132</v>
      </c>
      <c r="B3732" s="390" t="n"/>
      <c r="C3732" s="390" t="inlineStr">
        <is>
          <t>Báo cáo tỷ lệ an toàn tài chính - Chi nhánh công ty chứng khoán nước ngoài tại Việt Nam &gt;&gt; Bảng tính giá trị rủi ro (Rủi ro thị trường)</t>
        </is>
      </c>
      <c r="D3732" s="390" t="inlineStr">
        <is>
          <t xml:space="preserve">Cổ phiếu phổ thông, cổ phiếu ưu đãi của các công ty đại chúng đã đăng ký lưu ký, nhưng chưa niêm yết hoặc đăng ký giao dịch; cổ phiếu đang trong đợt phát hành lần đầu (IPO) </t>
        </is>
      </c>
      <c r="E3732" s="390" t="inlineStr">
        <is>
          <t xml:space="preserve">Cổ phiếu phổ thông, cổ phiếu ưu đãi của các công ty đại chúng đã đăng ký lưu ký, nhưng chưa niêm yết hoặc đăng ký giao dịch; cổ phiếu đang trong đợt phát hành lần đầu (IPO) </t>
        </is>
      </c>
      <c r="F3732" s="390" t="inlineStr">
        <is>
          <t>Data Explorer</t>
        </is>
      </c>
      <c r="G3732" s="390" t="inlineStr">
        <is>
          <t>Chỉ tiêu cơ sở</t>
        </is>
      </c>
      <c r="H3732" s="390" t="inlineStr">
        <is>
          <t>TB</t>
        </is>
      </c>
      <c r="I3732" s="390" t="inlineStr">
        <is>
          <t>Ngày, CTCK</t>
        </is>
      </c>
      <c r="J3732" s="401" t="inlineStr">
        <is>
          <t>SCMS</t>
        </is>
      </c>
      <c r="K3732" s="401" t="n"/>
      <c r="L3732" s="401" t="inlineStr">
        <is>
          <t>X</t>
        </is>
      </c>
      <c r="M3732" s="401" t="n"/>
      <c r="N3732" s="401" t="inlineStr">
        <is>
          <t>Done</t>
        </is>
      </c>
      <c r="O3732" s="401" t="n"/>
      <c r="P3732" s="401" t="n"/>
      <c r="S3732" s="401" t="n"/>
      <c r="U3732" s="401" t="n"/>
      <c r="V3732" s="22" t="n"/>
      <c r="W3732" s="22" t="n"/>
      <c r="X3732" s="22" t="n"/>
      <c r="Y3732" s="13" t="n"/>
      <c r="Z3732" s="22" t="n"/>
      <c r="AA3732" s="22" t="n"/>
      <c r="AB3732" s="22" t="n"/>
      <c r="AC3732" s="22" t="n"/>
      <c r="AD3732" s="22" t="n"/>
      <c r="AE3732" s="22" t="n"/>
    </row>
    <row r="3733" ht="84" customHeight="1" s="380">
      <c r="A3733" s="148" t="n">
        <v>132</v>
      </c>
      <c r="B3733" s="390" t="n"/>
      <c r="C3733" s="390" t="inlineStr">
        <is>
          <t>Báo cáo tỷ lệ an toàn tài chính - Chi nhánh công ty chứng khoán nước ngoài tại Việt Nam &gt;&gt; Bảng tính giá trị rủi ro (Rủi ro thị trường)</t>
        </is>
      </c>
      <c r="D3733" s="390" t="inlineStr">
        <is>
          <t xml:space="preserve">Chứng chỉ quỹ đầu tư chứng khoán 
</t>
        </is>
      </c>
      <c r="E3733" s="390" t="inlineStr">
        <is>
          <t xml:space="preserve">Chứng chỉ quỹ đầu tư chứng khoán 
</t>
        </is>
      </c>
      <c r="F3733" s="390" t="inlineStr">
        <is>
          <t>Data Explorer</t>
        </is>
      </c>
      <c r="G3733" s="390" t="inlineStr">
        <is>
          <t>Chỉ tiêu cơ sở</t>
        </is>
      </c>
      <c r="H3733" s="390" t="inlineStr">
        <is>
          <t>TB</t>
        </is>
      </c>
      <c r="I3733" s="390" t="inlineStr">
        <is>
          <t>Ngày, CTCK</t>
        </is>
      </c>
      <c r="J3733" s="401" t="inlineStr">
        <is>
          <t>SCMS</t>
        </is>
      </c>
      <c r="K3733" s="401" t="n"/>
      <c r="L3733" s="401" t="inlineStr">
        <is>
          <t>X</t>
        </is>
      </c>
      <c r="M3733" s="401" t="n"/>
      <c r="N3733" s="401" t="inlineStr">
        <is>
          <t>Done</t>
        </is>
      </c>
      <c r="O3733" s="401" t="n"/>
      <c r="P3733" s="401" t="n"/>
      <c r="S3733" s="401" t="n"/>
      <c r="U3733" s="401" t="n"/>
      <c r="V3733" s="22" t="n"/>
      <c r="W3733" s="22" t="n"/>
      <c r="X3733" s="22" t="n"/>
      <c r="Y3733" s="13" t="n"/>
      <c r="Z3733" s="22" t="n"/>
      <c r="AA3733" s="22" t="n"/>
      <c r="AB3733" s="22" t="n"/>
      <c r="AC3733" s="22" t="n"/>
      <c r="AD3733" s="22" t="n"/>
      <c r="AE3733" s="22" t="n"/>
    </row>
    <row r="3734" ht="84" customHeight="1" s="380">
      <c r="A3734" s="148" t="n">
        <v>132</v>
      </c>
      <c r="B3734" s="390" t="n"/>
      <c r="C3734" s="390" t="inlineStr">
        <is>
          <t>Báo cáo tỷ lệ an toàn tài chính - Chi nhánh công ty chứng khoán nước ngoài tại Việt Nam &gt;&gt; Bảng tính giá trị rủi ro (Rủi ro thị trường)</t>
        </is>
      </c>
      <c r="D3734" s="390" t="inlineStr">
        <is>
          <t xml:space="preserve">Quỹ đại chúng, công ty đầu tư chứng khoán đại chúng 
</t>
        </is>
      </c>
      <c r="E3734" s="390" t="inlineStr">
        <is>
          <t xml:space="preserve">Quỹ đại chúng, công ty đầu tư chứng khoán đại chúng 
</t>
        </is>
      </c>
      <c r="F3734" s="390" t="inlineStr">
        <is>
          <t>Data Explorer</t>
        </is>
      </c>
      <c r="G3734" s="390" t="inlineStr">
        <is>
          <t>Chỉ tiêu cơ sở</t>
        </is>
      </c>
      <c r="H3734" s="390" t="inlineStr">
        <is>
          <t>TB</t>
        </is>
      </c>
      <c r="I3734" s="390" t="inlineStr">
        <is>
          <t>Ngày, CTCK</t>
        </is>
      </c>
      <c r="J3734" s="401" t="inlineStr">
        <is>
          <t>SCMS</t>
        </is>
      </c>
      <c r="K3734" s="401" t="n"/>
      <c r="L3734" s="401" t="inlineStr">
        <is>
          <t>X</t>
        </is>
      </c>
      <c r="M3734" s="401" t="n"/>
      <c r="N3734" s="401" t="inlineStr">
        <is>
          <t>Done</t>
        </is>
      </c>
      <c r="O3734" s="401" t="n"/>
      <c r="P3734" s="401" t="n"/>
      <c r="S3734" s="401" t="n"/>
      <c r="U3734" s="401" t="n"/>
      <c r="V3734" s="22" t="n"/>
      <c r="W3734" s="22" t="n"/>
      <c r="X3734" s="22" t="n"/>
      <c r="Y3734" s="13" t="n"/>
      <c r="Z3734" s="22" t="n"/>
      <c r="AA3734" s="22" t="n"/>
      <c r="AB3734" s="22" t="n"/>
      <c r="AC3734" s="22" t="n"/>
      <c r="AD3734" s="22" t="n"/>
      <c r="AE3734" s="22" t="n"/>
    </row>
    <row r="3735" ht="84" customHeight="1" s="380">
      <c r="A3735" s="148" t="n">
        <v>132</v>
      </c>
      <c r="B3735" s="390" t="n"/>
      <c r="C3735" s="390" t="inlineStr">
        <is>
          <t>Báo cáo tỷ lệ an toàn tài chính - Chi nhánh công ty chứng khoán nước ngoài tại Việt Nam &gt;&gt; Bảng tính giá trị rủi ro (Rủi ro thị trường)</t>
        </is>
      </c>
      <c r="D3735" s="390" t="inlineStr">
        <is>
          <t>Quỹ thành viên</t>
        </is>
      </c>
      <c r="E3735" s="390" t="inlineStr">
        <is>
          <t>Quỹ thành viên</t>
        </is>
      </c>
      <c r="F3735" s="390" t="inlineStr">
        <is>
          <t>Data Explorer</t>
        </is>
      </c>
      <c r="G3735" s="390" t="inlineStr">
        <is>
          <t>Chỉ tiêu cơ sở</t>
        </is>
      </c>
      <c r="H3735" s="390" t="inlineStr">
        <is>
          <t>TB</t>
        </is>
      </c>
      <c r="I3735" s="390" t="inlineStr">
        <is>
          <t>Ngày, CTCK</t>
        </is>
      </c>
      <c r="J3735" s="401" t="inlineStr">
        <is>
          <t>SCMS</t>
        </is>
      </c>
      <c r="K3735" s="401" t="n"/>
      <c r="L3735" s="401" t="inlineStr">
        <is>
          <t>X</t>
        </is>
      </c>
      <c r="M3735" s="401" t="n"/>
      <c r="N3735" s="401" t="inlineStr">
        <is>
          <t>Done</t>
        </is>
      </c>
      <c r="O3735" s="401" t="n"/>
      <c r="P3735" s="401" t="n"/>
      <c r="S3735" s="401" t="n"/>
      <c r="U3735" s="401" t="n"/>
      <c r="V3735" s="22" t="n"/>
      <c r="W3735" s="22" t="n"/>
      <c r="X3735" s="22" t="n"/>
      <c r="Y3735" s="13" t="n"/>
      <c r="Z3735" s="22" t="n"/>
      <c r="AA3735" s="22" t="n"/>
      <c r="AB3735" s="22" t="n"/>
      <c r="AC3735" s="22" t="n"/>
      <c r="AD3735" s="22" t="n"/>
      <c r="AE3735" s="22" t="n"/>
    </row>
    <row r="3736" ht="84" customHeight="1" s="380">
      <c r="A3736" s="148" t="n">
        <v>132</v>
      </c>
      <c r="B3736" s="390" t="n"/>
      <c r="C3736" s="390" t="inlineStr">
        <is>
          <t>Báo cáo tỷ lệ an toàn tài chính - Chi nhánh công ty chứng khoán nước ngoài tại Việt Nam &gt;&gt; Bảng tính giá trị rủi ro (Rủi ro thị trường)</t>
        </is>
      </c>
      <c r="D3736" s="390" t="inlineStr">
        <is>
          <t>Công ty đầu tư chứng khoán riêng lẻ</t>
        </is>
      </c>
      <c r="E3736" s="390" t="inlineStr">
        <is>
          <t>Công ty đầu tư chứng khoán riêng lẻ</t>
        </is>
      </c>
      <c r="F3736" s="390" t="inlineStr">
        <is>
          <t>Data Explorer</t>
        </is>
      </c>
      <c r="G3736" s="390" t="inlineStr">
        <is>
          <t>Chỉ tiêu cơ sở</t>
        </is>
      </c>
      <c r="H3736" s="390" t="inlineStr">
        <is>
          <t>TB</t>
        </is>
      </c>
      <c r="I3736" s="390" t="inlineStr">
        <is>
          <t>Ngày, CTCK</t>
        </is>
      </c>
      <c r="J3736" s="401" t="inlineStr">
        <is>
          <t>SCMS</t>
        </is>
      </c>
      <c r="K3736" s="401" t="n"/>
      <c r="L3736" s="401" t="inlineStr">
        <is>
          <t>X</t>
        </is>
      </c>
      <c r="M3736" s="401" t="n"/>
      <c r="N3736" s="401" t="inlineStr">
        <is>
          <t>Done</t>
        </is>
      </c>
      <c r="O3736" s="401" t="n"/>
      <c r="P3736" s="401" t="n"/>
      <c r="S3736" s="401" t="n"/>
      <c r="U3736" s="401" t="n"/>
      <c r="V3736" s="22" t="n"/>
      <c r="W3736" s="22" t="n"/>
      <c r="X3736" s="22" t="n"/>
      <c r="Y3736" s="13" t="n"/>
      <c r="Z3736" s="22" t="n"/>
      <c r="AA3736" s="22" t="n"/>
      <c r="AB3736" s="22" t="n"/>
      <c r="AC3736" s="22" t="n"/>
      <c r="AD3736" s="22" t="n"/>
      <c r="AE3736" s="22" t="n"/>
    </row>
    <row r="3737" ht="84" customHeight="1" s="380">
      <c r="A3737" s="148" t="n">
        <v>132</v>
      </c>
      <c r="B3737" s="390" t="n"/>
      <c r="C3737" s="390" t="inlineStr">
        <is>
          <t>Báo cáo tỷ lệ an toàn tài chính - Chi nhánh công ty chứng khoán nước ngoài tại Việt Nam &gt;&gt; Bảng tính giá trị rủi ro (Rủi ro thị trường)</t>
        </is>
      </c>
      <c r="D3737" s="390" t="inlineStr">
        <is>
          <t xml:space="preserve">Chứng khoán bị hạn chế giao dịch 
</t>
        </is>
      </c>
      <c r="E3737" s="390" t="inlineStr">
        <is>
          <t xml:space="preserve">Chứng khoán bị hạn chế giao dịch 
</t>
        </is>
      </c>
      <c r="F3737" s="390" t="inlineStr">
        <is>
          <t>Data Explorer</t>
        </is>
      </c>
      <c r="G3737" s="390" t="inlineStr">
        <is>
          <t>Chỉ tiêu cơ sở</t>
        </is>
      </c>
      <c r="H3737" s="390" t="inlineStr">
        <is>
          <t>TB</t>
        </is>
      </c>
      <c r="I3737" s="390" t="inlineStr">
        <is>
          <t>Ngày, CTCK</t>
        </is>
      </c>
      <c r="J3737" s="401" t="inlineStr">
        <is>
          <t>SCMS</t>
        </is>
      </c>
      <c r="K3737" s="401" t="n"/>
      <c r="L3737" s="401" t="inlineStr">
        <is>
          <t>X</t>
        </is>
      </c>
      <c r="M3737" s="401" t="n"/>
      <c r="N3737" s="401" t="inlineStr">
        <is>
          <t>Done</t>
        </is>
      </c>
      <c r="O3737" s="401" t="n"/>
      <c r="P3737" s="401" t="n"/>
      <c r="S3737" s="401" t="n"/>
      <c r="U3737" s="401" t="n"/>
      <c r="V3737" s="22" t="n"/>
      <c r="W3737" s="22" t="n"/>
      <c r="X3737" s="22" t="n"/>
      <c r="Y3737" s="13" t="n"/>
      <c r="Z3737" s="22" t="n"/>
      <c r="AA3737" s="22" t="n"/>
      <c r="AB3737" s="22" t="n"/>
      <c r="AC3737" s="22" t="n"/>
      <c r="AD3737" s="22" t="n"/>
      <c r="AE3737" s="22" t="n"/>
    </row>
    <row r="3738" ht="84" customHeight="1" s="380">
      <c r="A3738" s="148" t="n">
        <v>132</v>
      </c>
      <c r="B3738" s="390" t="n"/>
      <c r="C3738" s="390" t="inlineStr">
        <is>
          <t>Báo cáo tỷ lệ an toàn tài chính - Chi nhánh công ty chứng khoán nước ngoài tại Việt Nam &gt;&gt; Bảng tính giá trị rủi ro (Rủi ro thị trường)</t>
        </is>
      </c>
      <c r="D3738" s="390" t="inlineStr">
        <is>
          <t>Chứng khoán bị cảnh báo</t>
        </is>
      </c>
      <c r="E3738" s="390" t="inlineStr">
        <is>
          <t>Chứng khoán bị cảnh báo</t>
        </is>
      </c>
      <c r="F3738" s="390" t="inlineStr">
        <is>
          <t>Data Explorer</t>
        </is>
      </c>
      <c r="G3738" s="390" t="inlineStr">
        <is>
          <t>Chỉ tiêu cơ sở</t>
        </is>
      </c>
      <c r="H3738" s="390" t="inlineStr">
        <is>
          <t>TB</t>
        </is>
      </c>
      <c r="I3738" s="390" t="inlineStr">
        <is>
          <t>Ngày, CTCK</t>
        </is>
      </c>
      <c r="J3738" s="401" t="inlineStr">
        <is>
          <t>SCMS</t>
        </is>
      </c>
      <c r="K3738" s="401" t="n"/>
      <c r="L3738" s="401" t="inlineStr">
        <is>
          <t>X</t>
        </is>
      </c>
      <c r="M3738" s="401" t="n"/>
      <c r="N3738" s="401" t="inlineStr">
        <is>
          <t>Done</t>
        </is>
      </c>
      <c r="O3738" s="401" t="n"/>
      <c r="P3738" s="401" t="n"/>
      <c r="S3738" s="401" t="n"/>
      <c r="U3738" s="401" t="n"/>
      <c r="V3738" s="22" t="n"/>
      <c r="W3738" s="22" t="n"/>
      <c r="X3738" s="22" t="n"/>
      <c r="Y3738" s="13" t="n"/>
      <c r="Z3738" s="22" t="n"/>
      <c r="AA3738" s="22" t="n"/>
      <c r="AB3738" s="22" t="n"/>
      <c r="AC3738" s="22" t="n"/>
      <c r="AD3738" s="22" t="n"/>
      <c r="AE3738" s="22" t="n"/>
    </row>
    <row r="3739" ht="84" customHeight="1" s="380">
      <c r="A3739" s="148" t="n">
        <v>132</v>
      </c>
      <c r="B3739" s="390" t="n"/>
      <c r="C3739" s="390" t="inlineStr">
        <is>
          <t>Báo cáo tỷ lệ an toàn tài chính - Chi nhánh công ty chứng khoán nước ngoài tại Việt Nam &gt;&gt; Bảng tính giá trị rủi ro (Rủi ro thị trường)</t>
        </is>
      </c>
      <c r="D3739" s="390" t="inlineStr">
        <is>
          <t>Chứng khoán bị kiểm soát</t>
        </is>
      </c>
      <c r="E3739" s="390" t="inlineStr">
        <is>
          <t>Chứng khoán bị kiểm soát</t>
        </is>
      </c>
      <c r="F3739" s="390" t="inlineStr">
        <is>
          <t>Data Explorer</t>
        </is>
      </c>
      <c r="G3739" s="390" t="inlineStr">
        <is>
          <t>Chỉ tiêu cơ sở</t>
        </is>
      </c>
      <c r="H3739" s="390" t="inlineStr">
        <is>
          <t>TB</t>
        </is>
      </c>
      <c r="I3739" s="390" t="inlineStr">
        <is>
          <t>Ngày, CTCK</t>
        </is>
      </c>
      <c r="J3739" s="401" t="inlineStr">
        <is>
          <t>SCMS</t>
        </is>
      </c>
      <c r="K3739" s="401" t="n"/>
      <c r="L3739" s="401" t="inlineStr">
        <is>
          <t>X</t>
        </is>
      </c>
      <c r="M3739" s="401" t="n"/>
      <c r="N3739" s="401" t="inlineStr">
        <is>
          <t>Done</t>
        </is>
      </c>
      <c r="O3739" s="401" t="n"/>
      <c r="P3739" s="401" t="n"/>
      <c r="S3739" s="401" t="n"/>
      <c r="U3739" s="401" t="n"/>
      <c r="V3739" s="22" t="n"/>
      <c r="W3739" s="22" t="n"/>
      <c r="X3739" s="22" t="n"/>
      <c r="Y3739" s="13" t="n"/>
      <c r="Z3739" s="22" t="n"/>
      <c r="AA3739" s="22" t="n"/>
      <c r="AB3739" s="22" t="n"/>
      <c r="AC3739" s="22" t="n"/>
      <c r="AD3739" s="22" t="n"/>
      <c r="AE3739" s="22" t="n"/>
    </row>
    <row r="3740" ht="84" customHeight="1" s="380">
      <c r="A3740" s="148" t="n">
        <v>132</v>
      </c>
      <c r="B3740" s="390" t="n"/>
      <c r="C3740" s="390" t="inlineStr">
        <is>
          <t>Báo cáo tỷ lệ an toàn tài chính - Chi nhánh công ty chứng khoán nước ngoài tại Việt Nam &gt;&gt; Bảng tính giá trị rủi ro (Rủi ro thị trường)</t>
        </is>
      </c>
      <c r="D3740" s="390" t="inlineStr">
        <is>
          <t>Chứng khoán niêm yết bị kiểm soát</t>
        </is>
      </c>
      <c r="E3740" s="390" t="inlineStr">
        <is>
          <t>Chứng khoán niêm yết bị kiểm soát</t>
        </is>
      </c>
      <c r="F3740" s="390" t="inlineStr">
        <is>
          <t>Data Explorer</t>
        </is>
      </c>
      <c r="G3740" s="390" t="inlineStr">
        <is>
          <t>Chỉ tiêu cơ sở</t>
        </is>
      </c>
      <c r="H3740" s="390" t="inlineStr">
        <is>
          <t>TB</t>
        </is>
      </c>
      <c r="I3740" s="390" t="inlineStr">
        <is>
          <t>Ngày, CTCK</t>
        </is>
      </c>
      <c r="J3740" s="401" t="inlineStr">
        <is>
          <t>SCMS</t>
        </is>
      </c>
      <c r="K3740" s="401" t="n"/>
      <c r="L3740" s="401" t="inlineStr">
        <is>
          <t>X</t>
        </is>
      </c>
      <c r="M3740" s="401" t="n"/>
      <c r="N3740" s="401" t="inlineStr">
        <is>
          <t>Done</t>
        </is>
      </c>
      <c r="O3740" s="401" t="n"/>
      <c r="P3740" s="401" t="n"/>
      <c r="S3740" s="401" t="n"/>
      <c r="U3740" s="401" t="n"/>
      <c r="V3740" s="22" t="n"/>
      <c r="W3740" s="22" t="n"/>
      <c r="X3740" s="22" t="n"/>
      <c r="Y3740" s="13" t="n"/>
      <c r="Z3740" s="22" t="n"/>
      <c r="AA3740" s="22" t="n"/>
      <c r="AB3740" s="22" t="n"/>
      <c r="AC3740" s="22" t="n"/>
      <c r="AD3740" s="22" t="n"/>
      <c r="AE3740" s="22" t="n"/>
    </row>
    <row r="3741" ht="84" customHeight="1" s="380">
      <c r="A3741" s="148" t="n">
        <v>132</v>
      </c>
      <c r="B3741" s="390" t="n"/>
      <c r="C3741" s="390" t="inlineStr">
        <is>
          <t>Báo cáo tỷ lệ an toàn tài chính - Chi nhánh công ty chứng khoán nước ngoài tại Việt Nam &gt;&gt; Bảng tính giá trị rủi ro (Rủi ro thị trường)</t>
        </is>
      </c>
      <c r="D3741" s="390" t="inlineStr">
        <is>
          <t xml:space="preserve">Chứng khoán bị đình chỉ giao dịch 
</t>
        </is>
      </c>
      <c r="E3741" s="390" t="inlineStr">
        <is>
          <t xml:space="preserve">Chứng khoán bị đình chỉ giao dịch 
</t>
        </is>
      </c>
      <c r="F3741" s="390" t="inlineStr">
        <is>
          <t>Data Explorer</t>
        </is>
      </c>
      <c r="G3741" s="390" t="inlineStr">
        <is>
          <t>Chỉ tiêu cơ sở</t>
        </is>
      </c>
      <c r="H3741" s="390" t="inlineStr">
        <is>
          <t>TB</t>
        </is>
      </c>
      <c r="I3741" s="390" t="inlineStr">
        <is>
          <t>Ngày, CTCK</t>
        </is>
      </c>
      <c r="J3741" s="401" t="inlineStr">
        <is>
          <t>SCMS</t>
        </is>
      </c>
      <c r="K3741" s="401" t="n"/>
      <c r="L3741" s="401" t="inlineStr">
        <is>
          <t>X</t>
        </is>
      </c>
      <c r="M3741" s="401" t="n"/>
      <c r="N3741" s="401" t="inlineStr">
        <is>
          <t>Done</t>
        </is>
      </c>
      <c r="O3741" s="401" t="n"/>
      <c r="P3741" s="401" t="n"/>
      <c r="S3741" s="401" t="n"/>
      <c r="U3741" s="401" t="n"/>
      <c r="V3741" s="22" t="n"/>
      <c r="W3741" s="22" t="n"/>
      <c r="X3741" s="22" t="n"/>
      <c r="Y3741" s="13" t="n"/>
      <c r="Z3741" s="22" t="n"/>
      <c r="AA3741" s="22" t="n"/>
      <c r="AB3741" s="22" t="n"/>
      <c r="AC3741" s="22" t="n"/>
      <c r="AD3741" s="22" t="n"/>
      <c r="AE3741" s="22" t="n"/>
    </row>
    <row r="3742" ht="84" customHeight="1" s="380">
      <c r="A3742" s="148" t="n">
        <v>132</v>
      </c>
      <c r="B3742" s="390" t="n"/>
      <c r="C3742" s="390" t="inlineStr">
        <is>
          <t>Báo cáo tỷ lệ an toàn tài chính - Chi nhánh công ty chứng khoán nước ngoài tại Việt Nam &gt;&gt; Bảng tính giá trị rủi ro (Rủi ro thị trường)</t>
        </is>
      </c>
      <c r="D3742" s="390" t="inlineStr">
        <is>
          <t>Chứng khoán bị hủy niêm yết, hủy giao dịch</t>
        </is>
      </c>
      <c r="E3742" s="390" t="inlineStr">
        <is>
          <t>Chứng khoán bị hủy niêm yết, hủy giao dịch</t>
        </is>
      </c>
      <c r="F3742" s="390" t="inlineStr">
        <is>
          <t>Data Explorer</t>
        </is>
      </c>
      <c r="G3742" s="390" t="inlineStr">
        <is>
          <t>Chỉ tiêu cơ sở</t>
        </is>
      </c>
      <c r="H3742" s="390" t="inlineStr">
        <is>
          <t>TB</t>
        </is>
      </c>
      <c r="I3742" s="390" t="inlineStr">
        <is>
          <t>Ngày, CTCK</t>
        </is>
      </c>
      <c r="J3742" s="401" t="inlineStr">
        <is>
          <t>SCMS</t>
        </is>
      </c>
      <c r="K3742" s="401" t="n"/>
      <c r="L3742" s="401" t="inlineStr">
        <is>
          <t>X</t>
        </is>
      </c>
      <c r="M3742" s="401" t="n"/>
      <c r="N3742" s="401" t="inlineStr">
        <is>
          <t>Done</t>
        </is>
      </c>
      <c r="O3742" s="401" t="n"/>
      <c r="P3742" s="401" t="n"/>
      <c r="S3742" s="401" t="n"/>
      <c r="U3742" s="401" t="n"/>
      <c r="V3742" s="22" t="n"/>
      <c r="W3742" s="22" t="n"/>
      <c r="X3742" s="22" t="n"/>
      <c r="Y3742" s="13" t="n"/>
      <c r="Z3742" s="22" t="n"/>
      <c r="AA3742" s="22" t="n"/>
      <c r="AB3742" s="22" t="n"/>
      <c r="AC3742" s="22" t="n"/>
      <c r="AD3742" s="22" t="n"/>
      <c r="AE3742" s="22" t="n"/>
    </row>
    <row r="3743" ht="84" customHeight="1" s="380">
      <c r="A3743" s="148" t="n">
        <v>132</v>
      </c>
      <c r="B3743" s="390" t="n"/>
      <c r="C3743" s="390" t="inlineStr">
        <is>
          <t>Báo cáo tỷ lệ an toàn tài chính - Chi nhánh công ty chứng khoán nước ngoài tại Việt Nam &gt;&gt; Bảng tính giá trị rủi ro (Rủi ro thị trường)</t>
        </is>
      </c>
      <c r="D3743" s="390" t="inlineStr">
        <is>
          <t xml:space="preserve">Chứng khoán phái sinh 
</t>
        </is>
      </c>
      <c r="E3743" s="390" t="inlineStr">
        <is>
          <t xml:space="preserve">Chứng khoán phái sinh 
</t>
        </is>
      </c>
      <c r="F3743" s="390" t="inlineStr">
        <is>
          <t>Data Explorer</t>
        </is>
      </c>
      <c r="G3743" s="390" t="inlineStr">
        <is>
          <t>Chỉ tiêu cơ sở</t>
        </is>
      </c>
      <c r="H3743" s="390" t="inlineStr">
        <is>
          <t>TB</t>
        </is>
      </c>
      <c r="I3743" s="390" t="inlineStr">
        <is>
          <t>Ngày, CTCK</t>
        </is>
      </c>
      <c r="J3743" s="401" t="inlineStr">
        <is>
          <t>SCMS</t>
        </is>
      </c>
      <c r="K3743" s="401" t="n"/>
      <c r="L3743" s="401" t="inlineStr">
        <is>
          <t>X</t>
        </is>
      </c>
      <c r="M3743" s="401" t="n"/>
      <c r="N3743" s="401" t="inlineStr">
        <is>
          <t>Done</t>
        </is>
      </c>
      <c r="O3743" s="401" t="n"/>
      <c r="P3743" s="401" t="n"/>
      <c r="S3743" s="401" t="n"/>
      <c r="U3743" s="401" t="n"/>
      <c r="V3743" s="22" t="n"/>
      <c r="W3743" s="22" t="n"/>
      <c r="X3743" s="22" t="n"/>
      <c r="Y3743" s="13" t="n"/>
      <c r="Z3743" s="22" t="n"/>
      <c r="AA3743" s="22" t="n"/>
      <c r="AB3743" s="22" t="n"/>
      <c r="AC3743" s="22" t="n"/>
      <c r="AD3743" s="22" t="n"/>
      <c r="AE3743" s="22" t="n"/>
    </row>
    <row r="3744" ht="84" customHeight="1" s="380">
      <c r="A3744" s="148" t="n">
        <v>132</v>
      </c>
      <c r="B3744" s="390" t="n"/>
      <c r="C3744" s="390" t="inlineStr">
        <is>
          <t>Báo cáo tỷ lệ an toàn tài chính - Chi nhánh công ty chứng khoán nước ngoài tại Việt Nam &gt;&gt; Bảng tính giá trị rủi ro (Rủi ro thị trường)</t>
        </is>
      </c>
      <c r="D3744" s="390" t="inlineStr">
        <is>
          <t xml:space="preserve">Hợp đồng tương lai chỉ số cổ phiếu
</t>
        </is>
      </c>
      <c r="E3744" s="390" t="inlineStr">
        <is>
          <t xml:space="preserve">Hợp đồng tương lai chỉ số cổ phiếu
</t>
        </is>
      </c>
      <c r="F3744" s="390" t="inlineStr">
        <is>
          <t>Data Explorer</t>
        </is>
      </c>
      <c r="G3744" s="390" t="inlineStr">
        <is>
          <t>Chỉ tiêu cơ sở</t>
        </is>
      </c>
      <c r="H3744" s="390" t="inlineStr">
        <is>
          <t>TB</t>
        </is>
      </c>
      <c r="I3744" s="390" t="inlineStr">
        <is>
          <t>Ngày, CTCK</t>
        </is>
      </c>
      <c r="J3744" s="401" t="inlineStr">
        <is>
          <t>SCMS</t>
        </is>
      </c>
      <c r="K3744" s="401" t="n"/>
      <c r="L3744" s="401" t="inlineStr">
        <is>
          <t>X</t>
        </is>
      </c>
      <c r="M3744" s="401" t="n"/>
      <c r="N3744" s="401" t="inlineStr">
        <is>
          <t>Done</t>
        </is>
      </c>
      <c r="O3744" s="401" t="n"/>
      <c r="P3744" s="401" t="n"/>
      <c r="S3744" s="401" t="n"/>
      <c r="U3744" s="401" t="n"/>
      <c r="V3744" s="22" t="n"/>
      <c r="W3744" s="22" t="n"/>
      <c r="X3744" s="22" t="n"/>
      <c r="Y3744" s="13" t="n"/>
      <c r="Z3744" s="22" t="n"/>
      <c r="AA3744" s="22" t="n"/>
      <c r="AB3744" s="22" t="n"/>
      <c r="AC3744" s="22" t="n"/>
      <c r="AD3744" s="22" t="n"/>
      <c r="AE3744" s="22" t="n"/>
    </row>
    <row r="3745" ht="266" customHeight="1" s="380">
      <c r="A3745" s="148" t="n">
        <v>132</v>
      </c>
      <c r="B3745" s="390" t="n"/>
      <c r="C3745" s="390" t="inlineStr">
        <is>
          <t>Báo cáo tỷ lệ an toàn tài chính - Chi nhánh công ty chứng khoán nước ngoài tại Việt Nam &gt;&gt; Bảng tính giá trị rủi ro (Rủi ro thị trường)</t>
        </is>
      </c>
      <c r="D3745" s="390" t="inlineStr">
        <is>
          <t>Cách tính:
Giá trị rủi ro = Max {((Giá trị thanh toán cuối ngày - giá trị chứng khoán mua vào
để đảm bảo cho nghĩa vụ thanh toán hợp đồng tương lai) x hệ số rủi ro của hợp
đồng tương lai - Giá trị ký quỹ (phần đóng góp vào quỹ bù trừ đối với vị thế mở
của công ty chứng khoán)), 0}.
Giá trị thanh toán cuối ngày = Giá thanh toán cuối ngày x khối lượng mở.</t>
        </is>
      </c>
      <c r="E3745" s="390" t="inlineStr">
        <is>
          <t>Cách tính:
Giá trị rủi ro = Max {((Giá trị thanh toán cuối ngày - giá trị chứng khoán mua vào
để đảm bảo cho nghĩa vụ thanh toán hợp đồng tương lai) x hệ số rủi ro của hợp
đồng tương lai - Giá trị ký quỹ (phần đóng góp vào quỹ bù trừ đối với vị thế mở
của công ty chứng khoán)), 0}.
Giá trị thanh toán cuối ngày = Giá thanh toán cuối ngày x khối lượng mở.</t>
        </is>
      </c>
      <c r="F3745" s="390" t="inlineStr">
        <is>
          <t>Data Explorer</t>
        </is>
      </c>
      <c r="G3745" s="390" t="inlineStr">
        <is>
          <t>Chỉ tiêu cơ sở</t>
        </is>
      </c>
      <c r="H3745" s="390" t="inlineStr">
        <is>
          <t>TB</t>
        </is>
      </c>
      <c r="I3745" s="390" t="inlineStr">
        <is>
          <t>Ngày, CTCK</t>
        </is>
      </c>
      <c r="J3745" s="401" t="inlineStr">
        <is>
          <t>SCMS</t>
        </is>
      </c>
      <c r="K3745" s="401" t="n"/>
      <c r="L3745" s="401" t="inlineStr">
        <is>
          <t>X</t>
        </is>
      </c>
      <c r="M3745" s="401" t="n"/>
      <c r="N3745" s="401" t="inlineStr">
        <is>
          <t>Done</t>
        </is>
      </c>
      <c r="O3745" s="401" t="n"/>
      <c r="P3745" s="401" t="n"/>
      <c r="S3745" s="401" t="n"/>
      <c r="U3745" s="401" t="n"/>
      <c r="V3745" s="22" t="n"/>
      <c r="W3745" s="22" t="n"/>
      <c r="X3745" s="22" t="n"/>
      <c r="Y3745" s="13" t="n"/>
      <c r="Z3745" s="22" t="n"/>
      <c r="AA3745" s="22" t="n"/>
      <c r="AB3745" s="22" t="n"/>
      <c r="AC3745" s="22" t="n"/>
      <c r="AD3745" s="22" t="n"/>
      <c r="AE3745" s="22" t="n"/>
    </row>
    <row r="3746" ht="84" customHeight="1" s="380">
      <c r="A3746" s="148" t="n">
        <v>132</v>
      </c>
      <c r="B3746" s="390" t="n"/>
      <c r="C3746" s="390" t="inlineStr">
        <is>
          <t>Báo cáo tỷ lệ an toàn tài chính - Chi nhánh công ty chứng khoán nước ngoài tại Việt Nam &gt;&gt; Bảng tính giá trị rủi ro (Rủi ro thị trường)</t>
        </is>
      </c>
      <c r="D3746" s="390" t="inlineStr">
        <is>
          <t xml:space="preserve">Hợp đồng tương lai trái phiếu chính phủ
</t>
        </is>
      </c>
      <c r="E3746" s="390" t="inlineStr">
        <is>
          <t xml:space="preserve">Hợp đồng tương lai trái phiếu chính phủ
</t>
        </is>
      </c>
      <c r="F3746" s="390" t="inlineStr">
        <is>
          <t>Data Explorer</t>
        </is>
      </c>
      <c r="G3746" s="390" t="inlineStr">
        <is>
          <t>Chỉ tiêu cơ sở</t>
        </is>
      </c>
      <c r="H3746" s="390" t="inlineStr">
        <is>
          <t>TB</t>
        </is>
      </c>
      <c r="I3746" s="390" t="inlineStr">
        <is>
          <t>Ngày, CTCK</t>
        </is>
      </c>
      <c r="J3746" s="401" t="inlineStr">
        <is>
          <t>SCMS</t>
        </is>
      </c>
      <c r="K3746" s="401" t="n"/>
      <c r="L3746" s="401" t="inlineStr">
        <is>
          <t>X</t>
        </is>
      </c>
      <c r="M3746" s="401" t="n"/>
      <c r="N3746" s="401" t="inlineStr">
        <is>
          <t>Done</t>
        </is>
      </c>
      <c r="O3746" s="401" t="n"/>
      <c r="P3746" s="401" t="n"/>
      <c r="S3746" s="401" t="n"/>
      <c r="U3746" s="401" t="n"/>
      <c r="V3746" s="22" t="n"/>
      <c r="W3746" s="22" t="n"/>
      <c r="X3746" s="22" t="n"/>
      <c r="Y3746" s="13" t="n"/>
      <c r="Z3746" s="22" t="n"/>
      <c r="AA3746" s="22" t="n"/>
      <c r="AB3746" s="22" t="n"/>
      <c r="AC3746" s="22" t="n"/>
      <c r="AD3746" s="22" t="n"/>
      <c r="AE3746" s="22" t="n"/>
    </row>
    <row r="3747" ht="266" customHeight="1" s="380">
      <c r="A3747" s="148" t="n">
        <v>132</v>
      </c>
      <c r="B3747" s="390" t="n"/>
      <c r="C3747" s="390" t="inlineStr">
        <is>
          <t>Báo cáo tỷ lệ an toàn tài chính - Chi nhánh công ty chứng khoán nước ngoài tại Việt Nam &gt;&gt; Bảng tính giá trị rủi ro (Rủi ro thị trường)</t>
        </is>
      </c>
      <c r="D3747" s="390" t="inlineStr">
        <is>
          <t>Cách tính:
Giá trị rủi ro = Max{((Giá trị thanh toán cuối ngày - giá trị chứng khoán mua vào
để đảm bảo cho nghĩa vụ thanh toán hợp đồng tương lai) x hệ số rủi ro của hợp
đồng tương lai - Giá trị ký quỹ (phần đóng góp vào quỹ bù trừ đối với vị thế mở
của công ty chứng khoán)), 0}.
Giá trị thanh toán cuối ngày = Giá thanh toán cuối ngày x khối lượng mở.</t>
        </is>
      </c>
      <c r="E3747" s="390" t="inlineStr">
        <is>
          <t>Cách tính:
Giá trị rủi ro = Max{((Giá trị thanh toán cuối ngày - giá trị chứng khoán mua vào
để đảm bảo cho nghĩa vụ thanh toán hợp đồng tương lai) x hệ số rủi ro của hợp
đồng tương lai - Giá trị ký quỹ (phần đóng góp vào quỹ bù trừ đối với vị thế mở
của công ty chứng khoán)), 0}.
Giá trị thanh toán cuối ngày = Giá thanh toán cuối ngày x khối lượng mở.</t>
        </is>
      </c>
      <c r="F3747" s="390" t="inlineStr">
        <is>
          <t>Data Explorer</t>
        </is>
      </c>
      <c r="G3747" s="390" t="inlineStr">
        <is>
          <t>Chỉ tiêu cơ sở</t>
        </is>
      </c>
      <c r="H3747" s="390" t="inlineStr">
        <is>
          <t>TB</t>
        </is>
      </c>
      <c r="I3747" s="390" t="inlineStr">
        <is>
          <t>Ngày, CTCK</t>
        </is>
      </c>
      <c r="J3747" s="401" t="inlineStr">
        <is>
          <t>SCMS</t>
        </is>
      </c>
      <c r="K3747" s="401" t="n"/>
      <c r="L3747" s="401" t="inlineStr">
        <is>
          <t>X</t>
        </is>
      </c>
      <c r="M3747" s="401" t="n"/>
      <c r="N3747" s="401" t="inlineStr">
        <is>
          <t>Done</t>
        </is>
      </c>
      <c r="O3747" s="401" t="n"/>
      <c r="P3747" s="401" t="n"/>
      <c r="S3747" s="401" t="n"/>
      <c r="U3747" s="401" t="n"/>
      <c r="V3747" s="22" t="n"/>
      <c r="W3747" s="22" t="n"/>
      <c r="X3747" s="22" t="n"/>
      <c r="Y3747" s="13" t="n"/>
      <c r="Z3747" s="22" t="n"/>
      <c r="AA3747" s="22" t="n"/>
      <c r="AB3747" s="22" t="n"/>
      <c r="AC3747" s="22" t="n"/>
      <c r="AD3747" s="22" t="n"/>
      <c r="AE3747" s="22" t="n"/>
    </row>
    <row r="3748" ht="84" customHeight="1" s="380">
      <c r="A3748" s="148" t="n">
        <v>132</v>
      </c>
      <c r="B3748" s="390" t="n"/>
      <c r="C3748" s="390" t="inlineStr">
        <is>
          <t>Báo cáo tỷ lệ an toàn tài chính - Chi nhánh công ty chứng khoán nước ngoài tại Việt Nam &gt;&gt; Bảng tính giá trị rủi ro (Rủi ro thị trường)</t>
        </is>
      </c>
      <c r="D3748" s="390" t="inlineStr">
        <is>
          <t xml:space="preserve">Chứng khoán khác 
</t>
        </is>
      </c>
      <c r="E3748" s="390" t="inlineStr">
        <is>
          <t xml:space="preserve">Chứng khoán khác 
</t>
        </is>
      </c>
      <c r="F3748" s="390" t="inlineStr">
        <is>
          <t>Data Explorer</t>
        </is>
      </c>
      <c r="G3748" s="390" t="inlineStr">
        <is>
          <t>Chỉ tiêu cơ sở</t>
        </is>
      </c>
      <c r="H3748" s="390" t="inlineStr">
        <is>
          <t>TB</t>
        </is>
      </c>
      <c r="I3748" s="390" t="inlineStr">
        <is>
          <t>Ngày, CTCK</t>
        </is>
      </c>
      <c r="J3748" s="401" t="inlineStr">
        <is>
          <t>SCMS</t>
        </is>
      </c>
      <c r="K3748" s="401" t="n"/>
      <c r="L3748" s="401" t="inlineStr">
        <is>
          <t>X</t>
        </is>
      </c>
      <c r="M3748" s="401" t="n"/>
      <c r="N3748" s="401" t="inlineStr">
        <is>
          <t>Done</t>
        </is>
      </c>
      <c r="O3748" s="401" t="n"/>
      <c r="P3748" s="401" t="n"/>
      <c r="S3748" s="401" t="n"/>
      <c r="U3748" s="401" t="n"/>
      <c r="V3748" s="22" t="n"/>
      <c r="W3748" s="22" t="n"/>
      <c r="X3748" s="22" t="n"/>
      <c r="Y3748" s="13" t="n"/>
      <c r="Z3748" s="22" t="n"/>
      <c r="AA3748" s="22" t="n"/>
      <c r="AB3748" s="22" t="n"/>
      <c r="AC3748" s="22" t="n"/>
      <c r="AD3748" s="22" t="n"/>
      <c r="AE3748" s="22" t="n"/>
    </row>
    <row r="3749" ht="84" customHeight="1" s="380">
      <c r="A3749" s="148" t="n">
        <v>132</v>
      </c>
      <c r="B3749" s="390" t="n"/>
      <c r="C3749" s="390" t="inlineStr">
        <is>
          <t>Báo cáo tỷ lệ an toàn tài chính - Chi nhánh công ty chứng khoán nước ngoài tại Việt Nam &gt;&gt; Bảng tính giá trị rủi ro (Rủi ro thị trường)</t>
        </is>
      </c>
      <c r="D3749" s="390" t="inlineStr">
        <is>
          <t>Cổ phiếu niêm yết trên các thị trường nước ngoài thuộc chỉ số đạt chuẩn/các chỉ số được liệt kê tại Phụ lục VIII</t>
        </is>
      </c>
      <c r="E3749" s="390" t="inlineStr">
        <is>
          <t>Cổ phiếu niêm yết trên các thị trường nước ngoài thuộc chỉ số đạt chuẩn/các chỉ số được liệt kê tại Phụ lục VIII</t>
        </is>
      </c>
      <c r="F3749" s="390" t="inlineStr">
        <is>
          <t>Data Explorer</t>
        </is>
      </c>
      <c r="G3749" s="390" t="inlineStr">
        <is>
          <t>Chỉ tiêu cơ sở</t>
        </is>
      </c>
      <c r="H3749" s="390" t="inlineStr">
        <is>
          <t>TB</t>
        </is>
      </c>
      <c r="I3749" s="390" t="inlineStr">
        <is>
          <t>Ngày, CTCK</t>
        </is>
      </c>
      <c r="J3749" s="401" t="inlineStr">
        <is>
          <t>SCMS</t>
        </is>
      </c>
      <c r="K3749" s="401" t="n"/>
      <c r="L3749" s="401" t="inlineStr">
        <is>
          <t>X</t>
        </is>
      </c>
      <c r="M3749" s="401" t="n"/>
      <c r="N3749" s="401" t="inlineStr">
        <is>
          <t>Done</t>
        </is>
      </c>
      <c r="O3749" s="401" t="n"/>
      <c r="P3749" s="401" t="n"/>
      <c r="S3749" s="401" t="n"/>
      <c r="U3749" s="401" t="n"/>
      <c r="V3749" s="22" t="n"/>
      <c r="W3749" s="22" t="n"/>
      <c r="X3749" s="22" t="n"/>
      <c r="Y3749" s="13" t="n"/>
      <c r="Z3749" s="22" t="n"/>
      <c r="AA3749" s="22" t="n"/>
      <c r="AB3749" s="22" t="n"/>
      <c r="AC3749" s="22" t="n"/>
      <c r="AD3749" s="22" t="n"/>
      <c r="AE3749" s="22" t="n"/>
    </row>
    <row r="3750" ht="84" customHeight="1" s="380">
      <c r="A3750" s="148" t="n">
        <v>132</v>
      </c>
      <c r="B3750" s="390" t="n"/>
      <c r="C3750" s="390" t="inlineStr">
        <is>
          <t>Báo cáo tỷ lệ an toàn tài chính - Chi nhánh công ty chứng khoán nước ngoài tại Việt Nam &gt;&gt; Bảng tính giá trị rủi ro (Rủi ro thị trường)</t>
        </is>
      </c>
      <c r="D3750" s="390" t="inlineStr">
        <is>
          <t>Cổ phiếu niêm yết trên các thị trường nước ngoài không thuộc các chỉ số đạt chuẩn/các chỉ số được liệt kê tại Phụ lục VIII</t>
        </is>
      </c>
      <c r="E3750" s="390" t="inlineStr">
        <is>
          <t>Cổ phiếu niêm yết trên các thị trường nước ngoài không thuộc các chỉ số đạt chuẩn/các chỉ số được liệt kê tại Phụ lục VIII</t>
        </is>
      </c>
      <c r="F3750" s="390" t="inlineStr">
        <is>
          <t>Data Explorer</t>
        </is>
      </c>
      <c r="G3750" s="390" t="inlineStr">
        <is>
          <t>Chỉ tiêu cơ sở</t>
        </is>
      </c>
      <c r="H3750" s="390" t="inlineStr">
        <is>
          <t>TB</t>
        </is>
      </c>
      <c r="I3750" s="390" t="inlineStr">
        <is>
          <t>Ngày, CTCK</t>
        </is>
      </c>
      <c r="J3750" s="401" t="inlineStr">
        <is>
          <t>SCMS</t>
        </is>
      </c>
      <c r="K3750" s="401" t="n"/>
      <c r="L3750" s="401" t="inlineStr">
        <is>
          <t>X</t>
        </is>
      </c>
      <c r="M3750" s="401" t="n"/>
      <c r="N3750" s="401" t="inlineStr">
        <is>
          <t>Done</t>
        </is>
      </c>
      <c r="O3750" s="401" t="n"/>
      <c r="P3750" s="401" t="n"/>
      <c r="S3750" s="401" t="n"/>
      <c r="U3750" s="401" t="n"/>
      <c r="V3750" s="22" t="n"/>
      <c r="W3750" s="22" t="n"/>
      <c r="X3750" s="22" t="n"/>
      <c r="Y3750" s="13" t="n"/>
      <c r="Z3750" s="22" t="n"/>
      <c r="AA3750" s="22" t="n"/>
      <c r="AB3750" s="22" t="n"/>
      <c r="AC3750" s="22" t="n"/>
      <c r="AD3750" s="22" t="n"/>
      <c r="AE3750" s="22" t="n"/>
    </row>
    <row r="3751" ht="84" customHeight="1" s="380">
      <c r="A3751" s="148" t="n">
        <v>132</v>
      </c>
      <c r="B3751" s="390" t="n"/>
      <c r="C3751" s="390" t="inlineStr">
        <is>
          <t>Báo cáo tỷ lệ an toàn tài chính - Chi nhánh công ty chứng khoán nước ngoài tại Việt Nam &gt;&gt; Bảng tính giá trị rủi ro (Rủi ro thị trường)</t>
        </is>
      </c>
      <c r="D3751" s="390" t="inlineStr">
        <is>
          <t>Chứng quyền có bảo đảm niêm yết trên Sở giao dịch chứng khoán Thành phố Hồ Chí Minh</t>
        </is>
      </c>
      <c r="E3751" s="390" t="inlineStr">
        <is>
          <t>Chứng quyền có bảo đảm niêm yết trên Sở giao dịch chứng khoán Thành phố Hồ Chí Minh</t>
        </is>
      </c>
      <c r="F3751" s="390" t="inlineStr">
        <is>
          <t>Data Explorer</t>
        </is>
      </c>
      <c r="G3751" s="390" t="inlineStr">
        <is>
          <t>Chỉ tiêu cơ sở</t>
        </is>
      </c>
      <c r="H3751" s="390" t="inlineStr">
        <is>
          <t>TB</t>
        </is>
      </c>
      <c r="I3751" s="390" t="inlineStr">
        <is>
          <t>Ngày, CTCK</t>
        </is>
      </c>
      <c r="J3751" s="401" t="inlineStr">
        <is>
          <t>SCMS</t>
        </is>
      </c>
      <c r="K3751" s="401" t="n"/>
      <c r="L3751" s="401" t="inlineStr">
        <is>
          <t>X</t>
        </is>
      </c>
      <c r="M3751" s="401" t="n"/>
      <c r="N3751" s="401" t="inlineStr">
        <is>
          <t>Done</t>
        </is>
      </c>
      <c r="O3751" s="401" t="n"/>
      <c r="P3751" s="401" t="n"/>
      <c r="S3751" s="401" t="n"/>
      <c r="U3751" s="401" t="n"/>
      <c r="V3751" s="22" t="n"/>
      <c r="W3751" s="22" t="n"/>
      <c r="X3751" s="22" t="n"/>
      <c r="Y3751" s="13" t="n"/>
      <c r="Z3751" s="22" t="n"/>
      <c r="AA3751" s="22" t="n"/>
      <c r="AB3751" s="22" t="n"/>
      <c r="AC3751" s="22" t="n"/>
      <c r="AD3751" s="22" t="n"/>
      <c r="AE3751" s="22" t="n"/>
    </row>
    <row r="3752" ht="84" customHeight="1" s="380">
      <c r="A3752" s="148" t="n">
        <v>132</v>
      </c>
      <c r="B3752" s="390" t="n"/>
      <c r="C3752" s="390" t="inlineStr">
        <is>
          <t>Báo cáo tỷ lệ an toàn tài chính - Chi nhánh công ty chứng khoán nước ngoài tại Việt Nam &gt;&gt; Bảng tính giá trị rủi ro (Rủi ro thị trường)</t>
        </is>
      </c>
      <c r="D3752" s="390" t="inlineStr">
        <is>
          <t>Giao dịch chênh lệch giá</t>
        </is>
      </c>
      <c r="E3752" s="390" t="inlineStr">
        <is>
          <t>Giao dịch chênh lệch giá</t>
        </is>
      </c>
      <c r="F3752" s="390" t="inlineStr">
        <is>
          <t>Data Explorer</t>
        </is>
      </c>
      <c r="G3752" s="390" t="inlineStr">
        <is>
          <t>Chỉ tiêu cơ sở</t>
        </is>
      </c>
      <c r="H3752" s="390" t="inlineStr">
        <is>
          <t>TB</t>
        </is>
      </c>
      <c r="I3752" s="390" t="inlineStr">
        <is>
          <t>Ngày, CTCK</t>
        </is>
      </c>
      <c r="J3752" s="401" t="inlineStr">
        <is>
          <t>SCMS</t>
        </is>
      </c>
      <c r="K3752" s="401" t="n"/>
      <c r="L3752" s="401" t="inlineStr">
        <is>
          <t>X</t>
        </is>
      </c>
      <c r="M3752" s="401" t="n"/>
      <c r="N3752" s="401" t="inlineStr">
        <is>
          <t>Done</t>
        </is>
      </c>
      <c r="O3752" s="401" t="n"/>
      <c r="P3752" s="401" t="n"/>
      <c r="S3752" s="401" t="n"/>
      <c r="U3752" s="401" t="n"/>
      <c r="V3752" s="22" t="n"/>
      <c r="W3752" s="22" t="n"/>
      <c r="X3752" s="22" t="n"/>
      <c r="Y3752" s="13" t="n"/>
      <c r="Z3752" s="22" t="n"/>
      <c r="AA3752" s="22" t="n"/>
      <c r="AB3752" s="22" t="n"/>
      <c r="AC3752" s="22" t="n"/>
      <c r="AD3752" s="22" t="n"/>
      <c r="AE3752" s="22" t="n"/>
    </row>
    <row r="3753" ht="84" customHeight="1" s="380">
      <c r="A3753" s="148" t="n">
        <v>132</v>
      </c>
      <c r="B3753" s="390" t="n"/>
      <c r="C3753" s="390" t="inlineStr">
        <is>
          <t>Báo cáo tỷ lệ an toàn tài chính - Chi nhánh công ty chứng khoán nước ngoài tại Việt Nam &gt;&gt; Bảng tính giá trị rủi ro (Rủi ro thị trường)</t>
        </is>
      </c>
      <c r="D3753" s="390" t="inlineStr">
        <is>
          <t>Cổ phần, phần vốn góp, các loại chứng khoán khác và các tài sản đầu tư khác</t>
        </is>
      </c>
      <c r="E3753" s="390" t="inlineStr">
        <is>
          <t>Cổ phần, phần vốn góp, các loại chứng khoán khác và các tài sản đầu tư khác</t>
        </is>
      </c>
      <c r="F3753" s="390" t="inlineStr">
        <is>
          <t>Data Explorer</t>
        </is>
      </c>
      <c r="G3753" s="390" t="inlineStr">
        <is>
          <t>Chỉ tiêu cơ sở</t>
        </is>
      </c>
      <c r="H3753" s="390" t="inlineStr">
        <is>
          <t>TB</t>
        </is>
      </c>
      <c r="I3753" s="390" t="inlineStr">
        <is>
          <t>Ngày, CTCK</t>
        </is>
      </c>
      <c r="J3753" s="401" t="inlineStr">
        <is>
          <t>SCMS</t>
        </is>
      </c>
      <c r="K3753" s="401" t="n"/>
      <c r="L3753" s="401" t="inlineStr">
        <is>
          <t>X</t>
        </is>
      </c>
      <c r="M3753" s="401" t="n"/>
      <c r="N3753" s="401" t="inlineStr">
        <is>
          <t>Done</t>
        </is>
      </c>
      <c r="O3753" s="401" t="n"/>
      <c r="P3753" s="401" t="n"/>
      <c r="S3753" s="401" t="n"/>
      <c r="U3753" s="401" t="n"/>
      <c r="V3753" s="22" t="n"/>
      <c r="W3753" s="22" t="n"/>
      <c r="X3753" s="22" t="n"/>
      <c r="Y3753" s="13" t="n"/>
      <c r="Z3753" s="22" t="n"/>
      <c r="AA3753" s="22" t="n"/>
      <c r="AB3753" s="22" t="n"/>
      <c r="AC3753" s="22" t="n"/>
      <c r="AD3753" s="22" t="n"/>
      <c r="AE3753" s="22" t="n"/>
    </row>
    <row r="3754" ht="84" customHeight="1" s="380">
      <c r="A3754" s="148" t="n">
        <v>132</v>
      </c>
      <c r="B3754" s="390" t="n"/>
      <c r="C3754" s="390" t="inlineStr">
        <is>
          <t>Báo cáo tỷ lệ an toàn tài chính - Chi nhánh công ty chứng khoán nước ngoài tại Việt Nam &gt;&gt; Bảng tính giá trị rủi ro (Rủi ro thị trường)</t>
        </is>
      </c>
      <c r="D3754" s="390" t="inlineStr">
        <is>
          <t xml:space="preserve">Chứng quyền có bảo đảm do công ty chứng khoán phát hành
</t>
        </is>
      </c>
      <c r="E3754" s="390" t="inlineStr">
        <is>
          <t xml:space="preserve">Chứng quyền có bảo đảm do công ty chứng khoán phát hành
</t>
        </is>
      </c>
      <c r="F3754" s="390" t="inlineStr">
        <is>
          <t>Data Explorer</t>
        </is>
      </c>
      <c r="G3754" s="390" t="inlineStr">
        <is>
          <t>Chỉ tiêu cơ sở</t>
        </is>
      </c>
      <c r="H3754" s="390" t="inlineStr">
        <is>
          <t>TB</t>
        </is>
      </c>
      <c r="I3754" s="390" t="inlineStr">
        <is>
          <t>Ngày, CTCK</t>
        </is>
      </c>
      <c r="J3754" s="401" t="inlineStr">
        <is>
          <t>SCMS</t>
        </is>
      </c>
      <c r="K3754" s="401" t="n"/>
      <c r="L3754" s="401" t="inlineStr">
        <is>
          <t>X</t>
        </is>
      </c>
      <c r="M3754" s="401" t="n"/>
      <c r="N3754" s="401" t="inlineStr">
        <is>
          <t>Done</t>
        </is>
      </c>
      <c r="O3754" s="401" t="n"/>
      <c r="P3754" s="401" t="n"/>
      <c r="S3754" s="401" t="n"/>
      <c r="U3754" s="401" t="n"/>
      <c r="V3754" s="22" t="n"/>
      <c r="W3754" s="22" t="n"/>
      <c r="X3754" s="22" t="n"/>
      <c r="Y3754" s="13" t="n"/>
      <c r="Z3754" s="22" t="n"/>
      <c r="AA3754" s="22" t="n"/>
      <c r="AB3754" s="22" t="n"/>
      <c r="AC3754" s="22" t="n"/>
      <c r="AD3754" s="22" t="n"/>
      <c r="AE3754" s="22" t="n"/>
    </row>
    <row r="3755" ht="84" customHeight="1" s="380">
      <c r="A3755" s="148" t="n">
        <v>132</v>
      </c>
      <c r="B3755" s="390" t="n"/>
      <c r="C3755" s="390" t="inlineStr">
        <is>
          <t>Báo cáo tỷ lệ an toàn tài chính - Chi nhánh công ty chứng khoán nước ngoài tại Việt Nam &gt;&gt; Bảng tính giá trị rủi ro (Rủi ro thị trường)</t>
        </is>
      </c>
      <c r="D3755" s="390" t="inlineStr">
        <is>
          <t>Cách tính:
Giá trị rủi ro thị trường = Max {((P0 X Q0 /k- P1 X Q1) x r -MD), 0}</t>
        </is>
      </c>
      <c r="E3755" s="390" t="inlineStr">
        <is>
          <t>Cách tính:
Giá trị rủi ro thị trường = Max {((P0 X Q0 /k- P1 X Q1) x r -MD), 0}</t>
        </is>
      </c>
      <c r="F3755" s="390" t="inlineStr">
        <is>
          <t>Data Explorer</t>
        </is>
      </c>
      <c r="G3755" s="390" t="inlineStr">
        <is>
          <t>Chỉ tiêu cơ sở</t>
        </is>
      </c>
      <c r="H3755" s="390" t="inlineStr">
        <is>
          <t>TB</t>
        </is>
      </c>
      <c r="I3755" s="390" t="inlineStr">
        <is>
          <t>Ngày, CTCK</t>
        </is>
      </c>
      <c r="J3755" s="401" t="inlineStr">
        <is>
          <t>SCMS</t>
        </is>
      </c>
      <c r="K3755" s="401" t="n"/>
      <c r="L3755" s="401" t="inlineStr">
        <is>
          <t>X</t>
        </is>
      </c>
      <c r="M3755" s="401" t="n"/>
      <c r="N3755" s="401" t="inlineStr">
        <is>
          <t>Done</t>
        </is>
      </c>
      <c r="O3755" s="401" t="n"/>
      <c r="P3755" s="401" t="n"/>
      <c r="S3755" s="401" t="n"/>
      <c r="U3755" s="401" t="n"/>
      <c r="V3755" s="22" t="n"/>
      <c r="W3755" s="22" t="n"/>
      <c r="X3755" s="22" t="n"/>
      <c r="Y3755" s="13" t="n"/>
      <c r="Z3755" s="22" t="n"/>
      <c r="AA3755" s="22" t="n"/>
      <c r="AB3755" s="22" t="n"/>
      <c r="AC3755" s="22" t="n"/>
      <c r="AD3755" s="22" t="n"/>
      <c r="AE3755" s="22" t="n"/>
    </row>
    <row r="3756" ht="84" customHeight="1" s="380">
      <c r="A3756" s="148" t="n">
        <v>132</v>
      </c>
      <c r="B3756" s="390" t="n"/>
      <c r="C3756" s="390" t="inlineStr">
        <is>
          <t>Báo cáo tỷ lệ an toàn tài chính - Chi nhánh công ty chứng khoán nước ngoài tại Việt Nam &gt;&gt; Bảng tính giá trị rủi ro (Rủi ro thị trường)</t>
        </is>
      </c>
      <c r="D3756" s="390" t="inlineStr">
        <is>
          <t>Chứng khoán hình thành từ hoạt động phòng ngừa rủi ro cho chứng quyền có bảo đảm do công ty chứng khoán đã phát hành</t>
        </is>
      </c>
      <c r="E3756" s="390" t="inlineStr">
        <is>
          <t>Chứng khoán hình thành từ hoạt động phòng ngừa rủi ro cho chứng quyền có bảo đảm do công ty chứng khoán đã phát hành</t>
        </is>
      </c>
      <c r="F3756" s="390" t="inlineStr">
        <is>
          <t>Data Explorer</t>
        </is>
      </c>
      <c r="G3756" s="390" t="inlineStr">
        <is>
          <t>Chỉ tiêu cơ sở</t>
        </is>
      </c>
      <c r="H3756" s="390" t="inlineStr">
        <is>
          <t>TB</t>
        </is>
      </c>
      <c r="I3756" s="390" t="inlineStr">
        <is>
          <t>Ngày, CTCK</t>
        </is>
      </c>
      <c r="J3756" s="401" t="inlineStr">
        <is>
          <t>SCMS</t>
        </is>
      </c>
      <c r="K3756" s="401" t="n"/>
      <c r="L3756" s="401" t="inlineStr">
        <is>
          <t>X</t>
        </is>
      </c>
      <c r="M3756" s="401" t="n"/>
      <c r="N3756" s="401" t="inlineStr">
        <is>
          <t>Done</t>
        </is>
      </c>
      <c r="O3756" s="401" t="n"/>
      <c r="P3756" s="401" t="n"/>
      <c r="S3756" s="401" t="n"/>
      <c r="U3756" s="401" t="n"/>
      <c r="V3756" s="22" t="n"/>
      <c r="W3756" s="22" t="n"/>
      <c r="X3756" s="22" t="n"/>
      <c r="Y3756" s="13" t="n"/>
      <c r="Z3756" s="22" t="n"/>
      <c r="AA3756" s="22" t="n"/>
      <c r="AB3756" s="22" t="n"/>
      <c r="AC3756" s="22" t="n"/>
      <c r="AD3756" s="22" t="n"/>
      <c r="AE3756" s="22" t="n"/>
    </row>
    <row r="3757" ht="112" customHeight="1" s="380">
      <c r="A3757" s="148" t="n">
        <v>132</v>
      </c>
      <c r="B3757" s="390" t="n"/>
      <c r="C3757" s="390" t="inlineStr">
        <is>
          <t>Báo cáo tỷ lệ an toàn tài chính - Chi nhánh công ty chứng khoán nước ngoài tại Việt Nam &gt;&gt; Bảng tính giá trị rủi ro (Rủi ro thị trường)</t>
        </is>
      </c>
      <c r="D3757" s="390" t="inlineStr">
        <is>
          <t>Phần chênh lệch dương giữa giá trị chứng khoán cơ sở dùng để phòng ngừa rủi ro và giá trị chứng khoán cơ sở cần thiết để phòng ngừa rủi ro cho chứng quyền có bảo đảm</t>
        </is>
      </c>
      <c r="E3757" s="390" t="inlineStr">
        <is>
          <t>Phần chênh lệch dương giữa giá trị chứng khoán cơ sở dùng để phòng ngừa rủi ro và giá trị chứng khoán cơ sở cần thiết để phòng ngừa rủi ro cho chứng quyền có bảo đảm</t>
        </is>
      </c>
      <c r="F3757" s="390" t="inlineStr">
        <is>
          <t>Data Explorer</t>
        </is>
      </c>
      <c r="G3757" s="390" t="inlineStr">
        <is>
          <t>Chỉ tiêu cơ sở</t>
        </is>
      </c>
      <c r="H3757" s="390" t="inlineStr">
        <is>
          <t>TB</t>
        </is>
      </c>
      <c r="I3757" s="390" t="inlineStr">
        <is>
          <t>Ngày, CTCK</t>
        </is>
      </c>
      <c r="J3757" s="401" t="inlineStr">
        <is>
          <t>SCMS</t>
        </is>
      </c>
      <c r="K3757" s="401" t="n"/>
      <c r="L3757" s="401" t="inlineStr">
        <is>
          <t>X</t>
        </is>
      </c>
      <c r="M3757" s="401" t="n"/>
      <c r="N3757" s="401" t="inlineStr">
        <is>
          <t>Done</t>
        </is>
      </c>
      <c r="O3757" s="401" t="n"/>
      <c r="P3757" s="401" t="n"/>
      <c r="S3757" s="401" t="n"/>
      <c r="U3757" s="401" t="n"/>
      <c r="V3757" s="22" t="n"/>
      <c r="W3757" s="22" t="n"/>
      <c r="X3757" s="22" t="n"/>
      <c r="Y3757" s="13" t="n"/>
      <c r="Z3757" s="22" t="n"/>
      <c r="AA3757" s="22" t="n"/>
      <c r="AB3757" s="22" t="n"/>
      <c r="AC3757" s="22" t="n"/>
      <c r="AD3757" s="22" t="n"/>
      <c r="AE3757" s="22" t="n"/>
    </row>
    <row r="3758" ht="84" customHeight="1" s="380">
      <c r="A3758" s="148" t="n">
        <v>132</v>
      </c>
      <c r="B3758" s="390" t="n"/>
      <c r="C3758" s="390" t="inlineStr">
        <is>
          <t>Báo cáo tỷ lệ an toàn tài chính - Chi nhánh công ty chứng khoán nước ngoài tại Việt Nam &gt;&gt; Bảng tính giá trị rủi ro (Rủi ro thị trường)</t>
        </is>
      </c>
      <c r="D3758" s="390" t="inlineStr">
        <is>
          <t>Rủi ro tăng thêm (nếu có)</t>
        </is>
      </c>
      <c r="E3758" s="390" t="inlineStr">
        <is>
          <t>Rủi ro tăng thêm (nếu có)</t>
        </is>
      </c>
      <c r="F3758" s="390" t="inlineStr">
        <is>
          <t>Data Explorer</t>
        </is>
      </c>
      <c r="G3758" s="390" t="inlineStr">
        <is>
          <t>Chỉ tiêu cơ sở</t>
        </is>
      </c>
      <c r="H3758" s="390" t="inlineStr">
        <is>
          <t>TB</t>
        </is>
      </c>
      <c r="I3758" s="390" t="inlineStr">
        <is>
          <t>Ngày, CTCK</t>
        </is>
      </c>
      <c r="J3758" s="401" t="inlineStr">
        <is>
          <t>SCMS</t>
        </is>
      </c>
      <c r="K3758" s="401" t="n"/>
      <c r="L3758" s="401" t="inlineStr">
        <is>
          <t>X</t>
        </is>
      </c>
      <c r="M3758" s="401" t="n"/>
      <c r="N3758" s="401" t="inlineStr">
        <is>
          <t>Done</t>
        </is>
      </c>
      <c r="O3758" s="401" t="n"/>
      <c r="P3758" s="401" t="n"/>
      <c r="S3758" s="401" t="n"/>
      <c r="U3758" s="401" t="n"/>
      <c r="V3758" s="22" t="n"/>
      <c r="W3758" s="22" t="n"/>
      <c r="X3758" s="22" t="n"/>
      <c r="Y3758" s="13" t="n"/>
      <c r="Z3758" s="22" t="n"/>
      <c r="AA3758" s="22" t="n"/>
      <c r="AB3758" s="22" t="n"/>
      <c r="AC3758" s="22" t="n"/>
      <c r="AD3758" s="22" t="n"/>
      <c r="AE3758" s="22" t="n"/>
    </row>
    <row r="3759" ht="84" customHeight="1" s="380">
      <c r="A3759" s="148" t="n">
        <v>132</v>
      </c>
      <c r="B3759" s="390" t="n"/>
      <c r="C3759" s="390" t="inlineStr">
        <is>
          <t>Báo cáo tỷ lệ an toàn tài chính - Chi nhánh công ty chứng khoán nước ngoài tại Việt Nam &gt;&gt; Bảng tính giá trị rủi ro (Rủi ro thị trường)</t>
        </is>
      </c>
      <c r="D3759" s="390" t="inlineStr">
        <is>
          <t>Mã chứng khoán</t>
        </is>
      </c>
      <c r="E3759" s="390" t="inlineStr">
        <is>
          <t>Mã chứng khoán</t>
        </is>
      </c>
      <c r="F3759" s="390" t="inlineStr">
        <is>
          <t>Data Explorer</t>
        </is>
      </c>
      <c r="G3759" s="390" t="inlineStr">
        <is>
          <t>Chỉ tiêu cơ sở</t>
        </is>
      </c>
      <c r="H3759" s="390" t="inlineStr">
        <is>
          <t>TB</t>
        </is>
      </c>
      <c r="I3759" s="390" t="inlineStr">
        <is>
          <t>Ngày, CTCK</t>
        </is>
      </c>
      <c r="J3759" s="401" t="inlineStr">
        <is>
          <t>SCMS</t>
        </is>
      </c>
      <c r="K3759" s="401" t="n"/>
      <c r="L3759" s="401" t="inlineStr">
        <is>
          <t>X</t>
        </is>
      </c>
      <c r="M3759" s="401" t="n"/>
      <c r="N3759" s="401" t="inlineStr">
        <is>
          <t>Done</t>
        </is>
      </c>
      <c r="O3759" s="401" t="n"/>
      <c r="P3759" s="401" t="n"/>
      <c r="S3759" s="401" t="n"/>
      <c r="U3759" s="401" t="n"/>
      <c r="V3759" s="22" t="n"/>
      <c r="W3759" s="22" t="n"/>
      <c r="X3759" s="22" t="n"/>
      <c r="Y3759" s="13" t="n"/>
      <c r="Z3759" s="22" t="n"/>
      <c r="AA3759" s="22" t="n"/>
      <c r="AB3759" s="22" t="n"/>
      <c r="AC3759" s="22" t="n"/>
      <c r="AD3759" s="22" t="n"/>
      <c r="AE3759" s="22" t="n"/>
    </row>
    <row r="3760" ht="84" customHeight="1" s="380">
      <c r="A3760" s="149" t="n">
        <v>132</v>
      </c>
      <c r="B3760" s="129" t="n"/>
      <c r="C3760" s="129" t="inlineStr">
        <is>
          <t>Báo cáo tỷ lệ an toàn tài chính - Chi nhánh công ty chứng khoán nước ngoài tại Việt Nam &gt;&gt; Bảng tính giá trị rủi ro (Rủi ro thị trường)</t>
        </is>
      </c>
      <c r="D3760" s="129" t="inlineStr">
        <is>
          <t xml:space="preserve">TỔNG GIÁ TRỊ RỦI RO THỊ TRƯỜNG (A= I+II+III+IV+V+VI+VII+VIII+IX)
</t>
        </is>
      </c>
      <c r="E3760" s="129" t="inlineStr">
        <is>
          <t xml:space="preserve">TỔNG GIÁ TRỊ RỦI RO THỊ TRƯỜNG (A= I+II+III+IV+V+VI+VII+VIII+IX)
</t>
        </is>
      </c>
      <c r="F3760" s="129" t="inlineStr">
        <is>
          <t>Data Explorer</t>
        </is>
      </c>
      <c r="G3760" s="129" t="inlineStr">
        <is>
          <t>Chỉ tiêu cơ sở</t>
        </is>
      </c>
      <c r="H3760" s="129" t="inlineStr">
        <is>
          <t>TB</t>
        </is>
      </c>
      <c r="I3760" s="129" t="inlineStr">
        <is>
          <t>Ngày, CTCK</t>
        </is>
      </c>
      <c r="J3760" s="85" t="inlineStr">
        <is>
          <t>SCMS</t>
        </is>
      </c>
      <c r="K3760" s="85" t="n"/>
      <c r="L3760" s="85" t="inlineStr">
        <is>
          <t>X</t>
        </is>
      </c>
      <c r="M3760" s="85" t="n"/>
      <c r="N3760" s="85" t="inlineStr">
        <is>
          <t>Done</t>
        </is>
      </c>
      <c r="O3760" s="85" t="n"/>
      <c r="P3760" s="85" t="n"/>
      <c r="Q3760" s="426" t="n"/>
      <c r="R3760" s="426" t="n"/>
      <c r="S3760" s="85" t="n"/>
      <c r="T3760" s="426" t="n"/>
      <c r="U3760" s="85" t="n"/>
      <c r="V3760" s="130" t="n"/>
      <c r="W3760" s="130" t="n"/>
      <c r="X3760" s="130" t="n"/>
      <c r="Y3760" s="97" t="n"/>
      <c r="Z3760" s="130" t="n"/>
      <c r="AA3760" s="130" t="n"/>
      <c r="AB3760" s="130" t="n"/>
      <c r="AC3760" s="130" t="n"/>
      <c r="AD3760" s="130" t="n"/>
      <c r="AE3760" s="130" t="n"/>
    </row>
    <row r="3761" ht="70" customHeight="1" s="380">
      <c r="A3761" s="148" t="n">
        <v>133</v>
      </c>
      <c r="B3761" s="140" t="inlineStr">
        <is>
          <t>Nga</t>
        </is>
      </c>
      <c r="C3761" s="127" t="inlineStr">
        <is>
          <t>Báo cáo tỷ lệ an toàn tài chính - Chi nhánh công ty chứng khoán nước ngoài tại Việt Nam &gt;&gt; Giá trị rủi ro thanh toán</t>
        </is>
      </c>
      <c r="D3761" s="106" t="inlineStr">
        <is>
          <t>Loại báo cáo</t>
        </is>
      </c>
      <c r="E3761" s="107" t="inlineStr">
        <is>
          <t>Loại báo cáo</t>
        </is>
      </c>
      <c r="F3761" s="390" t="inlineStr">
        <is>
          <t>Data Explorer</t>
        </is>
      </c>
      <c r="G3761" s="390" t="inlineStr">
        <is>
          <t>Chiều</t>
        </is>
      </c>
      <c r="H3761" s="390" t="inlineStr">
        <is>
          <t>Dễ</t>
        </is>
      </c>
      <c r="I3761" s="390" t="inlineStr">
        <is>
          <t>Ngày, CTCK</t>
        </is>
      </c>
      <c r="J3761" s="401" t="inlineStr">
        <is>
          <t>SCMS</t>
        </is>
      </c>
      <c r="K3761" s="401" t="inlineStr">
        <is>
          <t>X</t>
        </is>
      </c>
      <c r="L3761" s="401" t="inlineStr">
        <is>
          <t>X</t>
        </is>
      </c>
      <c r="M3761" s="401" t="n"/>
      <c r="N3761" s="401" t="inlineStr">
        <is>
          <t>Done</t>
        </is>
      </c>
      <c r="O3761" s="401" t="n"/>
      <c r="P3761" s="401" t="n"/>
      <c r="Q3761" s="401" t="n"/>
      <c r="R3761" s="401" t="n"/>
      <c r="S3761" s="401" t="n"/>
      <c r="T3761" s="390"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3761" s="401" t="n"/>
      <c r="V3761" s="22" t="n"/>
      <c r="W3761" s="22" t="n"/>
      <c r="X3761" s="22" t="n"/>
      <c r="Y3761" s="14" t="n"/>
      <c r="Z3761" s="22" t="n"/>
      <c r="AA3761" s="22" t="n"/>
      <c r="AB3761" s="22" t="n"/>
      <c r="AC3761" s="22" t="n"/>
      <c r="AD3761" s="22" t="n"/>
      <c r="AE3761" s="22" t="n"/>
    </row>
    <row r="3762" ht="70" customHeight="1" s="380">
      <c r="A3762" s="148" t="n">
        <v>133</v>
      </c>
      <c r="B3762" s="390" t="n"/>
      <c r="C3762" s="390" t="inlineStr">
        <is>
          <t>Báo cáo tỷ lệ an toàn tài chính - Chi nhánh công ty chứng khoán nước ngoài tại Việt Nam &gt;&gt; Giá trị rủi ro thanh toán</t>
        </is>
      </c>
      <c r="D3762" s="106" t="inlineStr">
        <is>
          <t>Kỳ báo cáo</t>
        </is>
      </c>
      <c r="E3762" s="107" t="inlineStr">
        <is>
          <t>Kỳ báo cáo</t>
        </is>
      </c>
      <c r="F3762" s="390" t="inlineStr">
        <is>
          <t>Data Explorer</t>
        </is>
      </c>
      <c r="G3762" s="390" t="inlineStr">
        <is>
          <t>Chiều</t>
        </is>
      </c>
      <c r="H3762" s="390" t="inlineStr">
        <is>
          <t>Dễ</t>
        </is>
      </c>
      <c r="I3762" s="390" t="inlineStr">
        <is>
          <t>Ngày, CTCK</t>
        </is>
      </c>
      <c r="J3762" s="401" t="inlineStr">
        <is>
          <t>SCMS</t>
        </is>
      </c>
      <c r="K3762" s="401" t="inlineStr">
        <is>
          <t>X</t>
        </is>
      </c>
      <c r="L3762" s="401" t="inlineStr">
        <is>
          <t>X</t>
        </is>
      </c>
      <c r="M3762" s="401" t="n"/>
      <c r="N3762" s="401" t="inlineStr">
        <is>
          <t>Done</t>
        </is>
      </c>
      <c r="O3762" s="401" t="n"/>
      <c r="P3762" s="401" t="n"/>
      <c r="S3762" s="401" t="n"/>
      <c r="U3762" s="401" t="n"/>
      <c r="V3762" s="22" t="n"/>
      <c r="W3762" s="22" t="n"/>
      <c r="X3762" s="22" t="n"/>
      <c r="Y3762" s="13" t="n"/>
      <c r="Z3762" s="22" t="n"/>
      <c r="AA3762" s="22" t="n"/>
      <c r="AB3762" s="22" t="n"/>
      <c r="AC3762" s="22" t="n"/>
      <c r="AD3762" s="22" t="n"/>
      <c r="AE3762" s="22" t="n"/>
    </row>
    <row r="3763" ht="70" customHeight="1" s="380">
      <c r="A3763" s="148" t="n">
        <v>133</v>
      </c>
      <c r="B3763" s="390" t="n"/>
      <c r="C3763" s="390" t="inlineStr">
        <is>
          <t>Báo cáo tỷ lệ an toàn tài chính - Chi nhánh công ty chứng khoán nước ngoài tại Việt Nam &gt;&gt; Giá trị rủi ro thanh toán</t>
        </is>
      </c>
      <c r="D3763" s="106" t="inlineStr">
        <is>
          <t>Mã báo cáo</t>
        </is>
      </c>
      <c r="E3763" s="107" t="inlineStr">
        <is>
          <t>Mã báo cáo</t>
        </is>
      </c>
      <c r="F3763" s="390" t="inlineStr">
        <is>
          <t>Data Explorer</t>
        </is>
      </c>
      <c r="G3763" s="390" t="inlineStr">
        <is>
          <t>Chiều</t>
        </is>
      </c>
      <c r="H3763" s="390" t="inlineStr">
        <is>
          <t>Dễ</t>
        </is>
      </c>
      <c r="I3763" s="390" t="inlineStr">
        <is>
          <t>Ngày, CTCK</t>
        </is>
      </c>
      <c r="J3763" s="401" t="inlineStr">
        <is>
          <t>SCMS</t>
        </is>
      </c>
      <c r="K3763" s="401" t="inlineStr">
        <is>
          <t>X</t>
        </is>
      </c>
      <c r="L3763" s="401" t="inlineStr">
        <is>
          <t>X</t>
        </is>
      </c>
      <c r="M3763" s="401" t="n"/>
      <c r="N3763" s="401" t="inlineStr">
        <is>
          <t>Done</t>
        </is>
      </c>
      <c r="O3763" s="401" t="n"/>
      <c r="P3763" s="401" t="n"/>
      <c r="S3763" s="401" t="n"/>
      <c r="U3763" s="401" t="n"/>
      <c r="V3763" s="22" t="n"/>
      <c r="W3763" s="22" t="n"/>
      <c r="X3763" s="22" t="n"/>
      <c r="Y3763" s="13" t="n"/>
      <c r="Z3763" s="22" t="n"/>
      <c r="AA3763" s="22" t="n"/>
      <c r="AB3763" s="22" t="n"/>
      <c r="AC3763" s="22" t="n"/>
      <c r="AD3763" s="22" t="n"/>
      <c r="AE3763" s="22" t="n"/>
    </row>
    <row r="3764" ht="70" customHeight="1" s="380">
      <c r="A3764" s="148" t="n">
        <v>133</v>
      </c>
      <c r="B3764" s="390" t="n"/>
      <c r="C3764" s="390" t="inlineStr">
        <is>
          <t>Báo cáo tỷ lệ an toàn tài chính - Chi nhánh công ty chứng khoán nước ngoài tại Việt Nam &gt;&gt; Giá trị rủi ro thanh toán</t>
        </is>
      </c>
      <c r="D3764" s="106" t="inlineStr">
        <is>
          <t>Tên báo cáo</t>
        </is>
      </c>
      <c r="E3764" s="107" t="inlineStr">
        <is>
          <t>Tên báo cáo</t>
        </is>
      </c>
      <c r="F3764" s="390" t="inlineStr">
        <is>
          <t>Data Explorer</t>
        </is>
      </c>
      <c r="G3764" s="390" t="inlineStr">
        <is>
          <t>Chiều</t>
        </is>
      </c>
      <c r="H3764" s="390" t="inlineStr">
        <is>
          <t>Dễ</t>
        </is>
      </c>
      <c r="I3764" s="390" t="inlineStr">
        <is>
          <t>Ngày, CTCK</t>
        </is>
      </c>
      <c r="J3764" s="401" t="inlineStr">
        <is>
          <t>SCMS</t>
        </is>
      </c>
      <c r="K3764" s="401" t="inlineStr">
        <is>
          <t>X</t>
        </is>
      </c>
      <c r="L3764" s="401" t="inlineStr">
        <is>
          <t>X</t>
        </is>
      </c>
      <c r="M3764" s="401" t="n"/>
      <c r="N3764" s="401" t="inlineStr">
        <is>
          <t>Done</t>
        </is>
      </c>
      <c r="O3764" s="401" t="n"/>
      <c r="P3764" s="401" t="n"/>
      <c r="S3764" s="401" t="n"/>
      <c r="U3764" s="401" t="n"/>
      <c r="V3764" s="22" t="n"/>
      <c r="W3764" s="22" t="n"/>
      <c r="X3764" s="22" t="n"/>
      <c r="Y3764" s="13" t="n"/>
      <c r="Z3764" s="22" t="n"/>
      <c r="AA3764" s="22" t="n"/>
      <c r="AB3764" s="22" t="n"/>
      <c r="AC3764" s="22" t="n"/>
      <c r="AD3764" s="22" t="n"/>
      <c r="AE3764" s="22" t="n"/>
    </row>
    <row r="3765" ht="70" customHeight="1" s="380">
      <c r="A3765" s="148" t="n">
        <v>133</v>
      </c>
      <c r="B3765" s="390" t="n"/>
      <c r="C3765" s="390" t="inlineStr">
        <is>
          <t>Báo cáo tỷ lệ an toàn tài chính - Chi nhánh công ty chứng khoán nước ngoài tại Việt Nam &gt;&gt; Giá trị rủi ro thanh toán</t>
        </is>
      </c>
      <c r="D3765" s="106" t="inlineStr">
        <is>
          <t>Mã sheet</t>
        </is>
      </c>
      <c r="E3765" s="106" t="inlineStr">
        <is>
          <t>Mã sheet</t>
        </is>
      </c>
      <c r="F3765" s="390" t="inlineStr">
        <is>
          <t>Data Explorer</t>
        </is>
      </c>
      <c r="G3765" s="390" t="inlineStr">
        <is>
          <t>Chiều</t>
        </is>
      </c>
      <c r="H3765" s="390" t="inlineStr">
        <is>
          <t>Dễ</t>
        </is>
      </c>
      <c r="I3765" s="390" t="inlineStr">
        <is>
          <t>Ngày, CTCK</t>
        </is>
      </c>
      <c r="J3765" s="401" t="inlineStr">
        <is>
          <t>SCMS</t>
        </is>
      </c>
      <c r="K3765" s="401" t="inlineStr">
        <is>
          <t>X</t>
        </is>
      </c>
      <c r="L3765" s="401" t="inlineStr">
        <is>
          <t>X</t>
        </is>
      </c>
      <c r="M3765" s="401" t="n"/>
      <c r="N3765" s="401" t="inlineStr">
        <is>
          <t>Done</t>
        </is>
      </c>
      <c r="O3765" s="401" t="n"/>
      <c r="P3765" s="401" t="n"/>
      <c r="Q3765" s="401" t="n"/>
      <c r="R3765" s="401" t="n"/>
      <c r="S3765" s="401" t="n"/>
      <c r="T3765" s="389" t="inlineStr">
        <is>
          <t>-- Mã sheet / Tên sheet
-- TEN_SHEET: 06H03
SELECT bm.MA_BAO_CAO,
s.MA_SHEET,
s.TEN_SHEET
FROM SCMS.BM_BAO_CAO bm
JOIN SCMS.BM_SHEET s ON s.BM_BAO_CAO_ID = bm.ID
WHERE bm.MA_BAO_CAO LIKE 'BCTLAT_TT102/2025'
AND s.MA_SHEET = '06H03'  -- Check lại
AND bm.SU_DUNG = 1
ORDER BY bm.MA_BAO_CAO, s.SAP_XEP;</t>
        </is>
      </c>
      <c r="U3765" s="401" t="n"/>
      <c r="V3765" s="22" t="n"/>
      <c r="W3765" s="22" t="n"/>
      <c r="X3765" s="22" t="n"/>
      <c r="Y3765" s="13" t="n"/>
      <c r="Z3765" s="22" t="n"/>
      <c r="AA3765" s="22" t="n"/>
      <c r="AB3765" s="22" t="n"/>
      <c r="AC3765" s="22" t="n"/>
      <c r="AD3765" s="22" t="n"/>
      <c r="AE3765" s="22" t="n"/>
    </row>
    <row r="3766" ht="70" customHeight="1" s="380">
      <c r="A3766" s="148" t="n">
        <v>133</v>
      </c>
      <c r="B3766" s="390" t="n"/>
      <c r="C3766" s="390" t="inlineStr">
        <is>
          <t>Báo cáo tỷ lệ an toàn tài chính - Chi nhánh công ty chứng khoán nước ngoài tại Việt Nam &gt;&gt; Giá trị rủi ro thanh toán</t>
        </is>
      </c>
      <c r="D3766" s="106" t="inlineStr">
        <is>
          <t>Tên sheet</t>
        </is>
      </c>
      <c r="E3766" s="106" t="inlineStr">
        <is>
          <t>Tên sheet</t>
        </is>
      </c>
      <c r="F3766" s="390" t="inlineStr">
        <is>
          <t>Data Explorer</t>
        </is>
      </c>
      <c r="G3766" s="390" t="inlineStr">
        <is>
          <t>Chiều</t>
        </is>
      </c>
      <c r="H3766" s="390" t="inlineStr">
        <is>
          <t>Dễ</t>
        </is>
      </c>
      <c r="I3766" s="390" t="inlineStr">
        <is>
          <t>Ngày, CTCK</t>
        </is>
      </c>
      <c r="J3766" s="401" t="inlineStr">
        <is>
          <t>SCMS</t>
        </is>
      </c>
      <c r="K3766" s="401" t="inlineStr">
        <is>
          <t>X</t>
        </is>
      </c>
      <c r="L3766" s="401" t="inlineStr">
        <is>
          <t>X</t>
        </is>
      </c>
      <c r="M3766" s="401" t="n"/>
      <c r="N3766" s="401" t="inlineStr">
        <is>
          <t>Done</t>
        </is>
      </c>
      <c r="O3766" s="401" t="n"/>
      <c r="P3766" s="401" t="n"/>
      <c r="S3766" s="401" t="n"/>
      <c r="U3766" s="401" t="n"/>
      <c r="V3766" s="22" t="n"/>
      <c r="W3766" s="22" t="n"/>
      <c r="X3766" s="22" t="n"/>
      <c r="Y3766" s="13" t="n"/>
      <c r="Z3766" s="22" t="n"/>
      <c r="AA3766" s="22" t="n"/>
      <c r="AB3766" s="22" t="n"/>
      <c r="AC3766" s="22" t="n"/>
      <c r="AD3766" s="22" t="n"/>
      <c r="AE3766" s="22" t="n"/>
    </row>
    <row r="3767" ht="70" customHeight="1" s="380">
      <c r="A3767" s="148" t="n">
        <v>133</v>
      </c>
      <c r="B3767" s="390" t="n"/>
      <c r="C3767" s="390" t="inlineStr">
        <is>
          <t>Báo cáo tỷ lệ an toàn tài chính - Chi nhánh công ty chứng khoán nước ngoài tại Việt Nam &gt;&gt; Giá trị rủi ro thanh toán</t>
        </is>
      </c>
      <c r="D3767" s="106" t="inlineStr">
        <is>
          <t>Mã chỉ tiêu</t>
        </is>
      </c>
      <c r="E3767" s="107" t="inlineStr">
        <is>
          <t>Mã chỉ tiêu</t>
        </is>
      </c>
      <c r="F3767" s="390" t="inlineStr">
        <is>
          <t>Data Explorer</t>
        </is>
      </c>
      <c r="G3767" s="390" t="inlineStr">
        <is>
          <t>Chiều</t>
        </is>
      </c>
      <c r="H3767" s="390" t="inlineStr">
        <is>
          <t>Dễ</t>
        </is>
      </c>
      <c r="I3767" s="390" t="inlineStr">
        <is>
          <t>Ngày, CTCK</t>
        </is>
      </c>
      <c r="J3767" s="401" t="inlineStr">
        <is>
          <t>SCMS</t>
        </is>
      </c>
      <c r="K3767" s="401" t="inlineStr">
        <is>
          <t>X</t>
        </is>
      </c>
      <c r="L3767" s="401" t="inlineStr">
        <is>
          <t>X</t>
        </is>
      </c>
      <c r="M3767" s="401" t="n"/>
      <c r="N3767" s="401" t="inlineStr">
        <is>
          <t>Done</t>
        </is>
      </c>
      <c r="O3767" s="401" t="n"/>
      <c r="P3767" s="401" t="n"/>
      <c r="Q3767" s="401" t="n"/>
      <c r="R3767" s="401" t="n"/>
      <c r="S3767" s="401" t="n"/>
      <c r="T3767" s="389" t="inlineStr">
        <is>
          <t>-- Mã chỉ tiêu / Tên chỉ tiêu
SELECT DISTINCT
    dct.MA_CHI_TIEU  AS ma_chi_tieu,
    dct.TEN_CHI_TIEU AS ten_chi_tieu
FROM SCMS.BM_BAO_CAO bm
JOIN SCMS.BM_SHEET s ON s.BM_BAO_CAO_ID = bm.ID
	AND s.MA_SHEET = '06H03'
JOIN SCMS.BM_BAO_CAO_CT ct ON ct.BM_SHEET_ID = s.ID
	AND ct.SU_DUNG = 1
JOIN SCMS.DM_CHI_TIEU dct ON dct.ID = ct.DM_CHI_TIEU_ID
	AND dct.SU_DUNG = 1
WHERE bm.MA_BAO_CAO LIKE 'BCTLAT_TT102/2025'
	AND bm.SU_DUNG = 1
ORDER BY dct.MA_CHI_TIEU;</t>
        </is>
      </c>
      <c r="U3767" s="401" t="n"/>
      <c r="V3767" s="22" t="n"/>
      <c r="W3767" s="22" t="n"/>
      <c r="X3767" s="22" t="n"/>
      <c r="Y3767" s="13" t="n"/>
      <c r="Z3767" s="22" t="n"/>
      <c r="AA3767" s="22" t="n"/>
      <c r="AB3767" s="22" t="n"/>
      <c r="AC3767" s="22" t="n"/>
      <c r="AD3767" s="22" t="n"/>
      <c r="AE3767" s="22" t="n"/>
    </row>
    <row r="3768" ht="70" customHeight="1" s="380">
      <c r="A3768" s="148" t="n">
        <v>133</v>
      </c>
      <c r="B3768" s="390" t="n"/>
      <c r="C3768" s="390" t="inlineStr">
        <is>
          <t>Báo cáo tỷ lệ an toàn tài chính - Chi nhánh công ty chứng khoán nước ngoài tại Việt Nam &gt;&gt; Giá trị rủi ro thanh toán</t>
        </is>
      </c>
      <c r="D3768" s="106" t="inlineStr">
        <is>
          <t>Tên chỉ tiêu</t>
        </is>
      </c>
      <c r="E3768" s="107" t="inlineStr">
        <is>
          <t>Tên chỉ tiêu</t>
        </is>
      </c>
      <c r="F3768" s="390" t="inlineStr">
        <is>
          <t>Data Explorer</t>
        </is>
      </c>
      <c r="G3768" s="390" t="inlineStr">
        <is>
          <t>Chiều</t>
        </is>
      </c>
      <c r="H3768" s="390" t="inlineStr">
        <is>
          <t>Dễ</t>
        </is>
      </c>
      <c r="I3768" s="390" t="inlineStr">
        <is>
          <t>Ngày, CTCK</t>
        </is>
      </c>
      <c r="J3768" s="401" t="inlineStr">
        <is>
          <t>SCMS</t>
        </is>
      </c>
      <c r="K3768" s="401" t="inlineStr">
        <is>
          <t>X</t>
        </is>
      </c>
      <c r="L3768" s="401" t="inlineStr">
        <is>
          <t>X</t>
        </is>
      </c>
      <c r="M3768" s="401" t="n"/>
      <c r="N3768" s="401" t="inlineStr">
        <is>
          <t>Done</t>
        </is>
      </c>
      <c r="O3768" s="401" t="n"/>
      <c r="P3768" s="401" t="n"/>
      <c r="S3768" s="401" t="n"/>
      <c r="U3768" s="401" t="n"/>
      <c r="V3768" s="22" t="n"/>
      <c r="W3768" s="22" t="n"/>
      <c r="X3768" s="22" t="n"/>
      <c r="Y3768" s="13" t="n"/>
      <c r="Z3768" s="22" t="n"/>
      <c r="AA3768" s="22" t="n"/>
      <c r="AB3768" s="22" t="n"/>
      <c r="AC3768" s="22" t="n"/>
      <c r="AD3768" s="22" t="n"/>
      <c r="AE3768" s="22" t="n"/>
    </row>
    <row r="3769" ht="70" customHeight="1" s="380">
      <c r="A3769" s="148" t="n">
        <v>133</v>
      </c>
      <c r="B3769" s="390" t="n"/>
      <c r="C3769" s="390" t="inlineStr">
        <is>
          <t>Báo cáo tỷ lệ an toàn tài chính - Chi nhánh công ty chứng khoán nước ngoài tại Việt Nam &gt;&gt; Giá trị rủi ro thanh toán</t>
        </is>
      </c>
      <c r="D3769" s="16" t="inlineStr">
        <is>
          <t xml:space="preserve">Rủi ro trước thời hạn thanh toán
</t>
        </is>
      </c>
      <c r="E3769" s="16" t="inlineStr">
        <is>
          <t xml:space="preserve">Rủi ro trước thời hạn thanh toán
</t>
        </is>
      </c>
      <c r="F3769" s="390" t="inlineStr">
        <is>
          <t>Data Explorer</t>
        </is>
      </c>
      <c r="G3769" s="390" t="inlineStr">
        <is>
          <t>Chỉ tiêu cơ sở</t>
        </is>
      </c>
      <c r="H3769" s="390" t="inlineStr">
        <is>
          <t>TB</t>
        </is>
      </c>
      <c r="I3769" s="390" t="inlineStr">
        <is>
          <t>Ngày, CTCK</t>
        </is>
      </c>
      <c r="J3769" s="401" t="inlineStr">
        <is>
          <t>SCMS</t>
        </is>
      </c>
      <c r="K3769" s="401" t="n"/>
      <c r="L3769" s="401" t="inlineStr">
        <is>
          <t>X</t>
        </is>
      </c>
      <c r="M3769" s="401" t="n"/>
      <c r="N3769" s="401" t="inlineStr">
        <is>
          <t>Done</t>
        </is>
      </c>
      <c r="O3769" s="401" t="n"/>
      <c r="P3769" s="401" t="n"/>
      <c r="Q3769" s="431" t="inlineStr">
        <is>
          <t>SCMS.BC_THANH_VIEN
SCMS.BM_BAO_CAO
SCMS.BC_BAO_CAO_GT
SCMS.BM_BAO_CAO_HANG
SCMS.BM_BAO_CAO_COT</t>
        </is>
      </c>
      <c r="R3769" s="431" t="inlineStr">
        <is>
          <t>bsc.TEN_COT,
bsc.BM_SHEET_ID,
bsh.ID,
bsh.MA_HANG,
gt.GIA_TRI,
gt.BC_THANH_VIEN_ID,
gt.BM_SHEET_HANG_ID,
bm.ID,
bm.MA_BAO_CAO,
btv.ID,
btv.BM_BAO_CAO_ID,
btv.TRANG_THAI,
btv.NGAY_SO_LIEU</t>
        </is>
      </c>
      <c r="S3769" s="401" t="n"/>
      <c r="T3769" s="432" t="inlineStr">
        <is>
          <t>-- CHỈ TIÊU
SELECT
    -- Giá trị rủi ro
	MAX(CASE WHEN bsc.TEN_COT=N'Giá trị rủi ro' AND bsh.MA_HANG = '1' THEN CAST(gt.GIA_TRI AS VARCHAR2(4000)) END) AS "Rủi ro trước thời hạn thanh toán",
	MAX(CASE WHEN bsc.TEN_COT=N'Giá trị rủi ro' AND bsh.MA_HANG = '2' THEN CAST(gt.GIA_TRI AS VARCHAR2(4000)) END) AS "Rủi ro quá thời hạn thanh toán",
	MAX(CASE WHEN bsc.TEN_COT=N'Giá trị rủi ro' AND bsh.MA_HANG = '4' THEN CAST(gt.GIA_TRI AS VARCHAR2(4000)) END) AS "Rủi ro tăng thêm",
	MAX(CASE WHEN bsc.TEN_COT=N'Giá trị rủi ro' AND bsh.MA_HANG = '5' THEN CAST(gt.GIA_TRI AS VARCHAR2(4000)) END) AS "Tổng giá trị rủi ro thanh toán"
FROM SCMS.BC_THANH_VIEN btv
JOIN SCMS.BM_BAO_CAO bm ON bm.ID = btv.BM_BAO_CAO_ID
JOIN SCMS.BC_BAO_CAO_GT gt ON gt.BC_THANH_VIEN_ID = btv.ID
JOIN SCMS.BM_BAO_CAO_HANG bsh ON bsh.ID = gt.BM_SHEET_HANG_ID
JOIN SCMS.BM_BAO_CAO_COT bsc ON bsc.BM_SHEET_ID = 8374
--                               AND bsc.TEN_COT = gt.TEN_COT
WHERE bm.MA_BAO_CAO LIKE 'BCTLAT_TT102/2025'
  AND btv.TRANG_THAI IN (2, 3)
GROUP BY
    btv.ID, btv.CTCK_THONG_TIN_ID, btv.NGAY_SO_LIEU, btv.TRANG_THAI,
    bm.MA_BAO_CAO
ORDER BY btv.NGAY_SO_LIEU DESC;</t>
        </is>
      </c>
      <c r="U3769" s="401" t="n"/>
      <c r="V3769" s="22" t="n"/>
      <c r="W3769" s="22" t="n"/>
      <c r="X3769" s="22" t="n"/>
      <c r="Y3769" s="14" t="n"/>
      <c r="Z3769" s="22" t="n"/>
      <c r="AA3769" s="22" t="n"/>
      <c r="AB3769" s="22" t="n"/>
      <c r="AC3769" s="22" t="n"/>
      <c r="AD3769" s="22" t="n"/>
      <c r="AE3769" s="22" t="n"/>
    </row>
    <row r="3770" ht="70" customHeight="1" s="380">
      <c r="A3770" s="148" t="n">
        <v>133</v>
      </c>
      <c r="B3770" s="390" t="n"/>
      <c r="C3770" s="390" t="inlineStr">
        <is>
          <t>Báo cáo tỷ lệ an toàn tài chính - Chi nhánh công ty chứng khoán nước ngoài tại Việt Nam &gt;&gt; Giá trị rủi ro thanh toán</t>
        </is>
      </c>
      <c r="D3770" s="16" t="inlineStr">
        <is>
          <t xml:space="preserve">Rủi ro quá thời hạn thanh toán
</t>
        </is>
      </c>
      <c r="E3770" s="16" t="inlineStr">
        <is>
          <t xml:space="preserve">Rủi ro quá thời hạn thanh toán
</t>
        </is>
      </c>
      <c r="F3770" s="390" t="inlineStr">
        <is>
          <t>Data Explorer</t>
        </is>
      </c>
      <c r="G3770" s="390" t="inlineStr">
        <is>
          <t>Chỉ tiêu cơ sở</t>
        </is>
      </c>
      <c r="H3770" s="390" t="inlineStr">
        <is>
          <t>TB</t>
        </is>
      </c>
      <c r="I3770" s="390" t="inlineStr">
        <is>
          <t>Ngày, CTCK</t>
        </is>
      </c>
      <c r="J3770" s="401" t="inlineStr">
        <is>
          <t>SCMS</t>
        </is>
      </c>
      <c r="K3770" s="401" t="n"/>
      <c r="L3770" s="401" t="inlineStr">
        <is>
          <t>X</t>
        </is>
      </c>
      <c r="M3770" s="401" t="n"/>
      <c r="N3770" s="401" t="inlineStr">
        <is>
          <t>Done</t>
        </is>
      </c>
      <c r="O3770" s="401" t="n"/>
      <c r="P3770" s="401" t="n"/>
      <c r="S3770" s="401" t="n"/>
      <c r="U3770" s="401" t="n"/>
      <c r="V3770" s="22" t="n"/>
      <c r="W3770" s="22" t="n"/>
      <c r="X3770" s="22" t="n"/>
      <c r="Y3770" s="14" t="n"/>
      <c r="Z3770" s="22" t="n"/>
      <c r="AA3770" s="22" t="n"/>
      <c r="AB3770" s="22" t="n"/>
      <c r="AC3770" s="22" t="n"/>
      <c r="AD3770" s="22" t="n"/>
      <c r="AE3770" s="22" t="n"/>
    </row>
    <row r="3771" ht="70" customHeight="1" s="380">
      <c r="A3771" s="148" t="n">
        <v>133</v>
      </c>
      <c r="B3771" s="390" t="n"/>
      <c r="C3771" s="390" t="inlineStr">
        <is>
          <t>Báo cáo tỷ lệ an toàn tài chính - Chi nhánh công ty chứng khoán nước ngoài tại Việt Nam &gt;&gt; Giá trị rủi ro thanh toán</t>
        </is>
      </c>
      <c r="D3771" s="16" t="inlineStr">
        <is>
          <t xml:space="preserve">Rủi ro tăng thêm
</t>
        </is>
      </c>
      <c r="E3771" s="16" t="inlineStr">
        <is>
          <t xml:space="preserve">Rủi ro tăng thêm
</t>
        </is>
      </c>
      <c r="F3771" s="390" t="inlineStr">
        <is>
          <t>Data Explorer</t>
        </is>
      </c>
      <c r="G3771" s="390" t="inlineStr">
        <is>
          <t>Chỉ tiêu cơ sở</t>
        </is>
      </c>
      <c r="H3771" s="390" t="inlineStr">
        <is>
          <t>TB</t>
        </is>
      </c>
      <c r="I3771" s="390" t="inlineStr">
        <is>
          <t>Ngày, CTCK</t>
        </is>
      </c>
      <c r="J3771" s="401" t="inlineStr">
        <is>
          <t>SCMS</t>
        </is>
      </c>
      <c r="K3771" s="401" t="n"/>
      <c r="L3771" s="401" t="inlineStr">
        <is>
          <t>X</t>
        </is>
      </c>
      <c r="M3771" s="401" t="n"/>
      <c r="N3771" s="401" t="inlineStr">
        <is>
          <t>Done</t>
        </is>
      </c>
      <c r="O3771" s="401" t="n"/>
      <c r="P3771" s="401" t="n"/>
      <c r="S3771" s="401" t="n"/>
      <c r="U3771" s="401" t="n"/>
      <c r="V3771" s="22" t="n"/>
      <c r="W3771" s="22" t="n"/>
      <c r="X3771" s="22" t="n"/>
      <c r="Y3771" s="14" t="n"/>
      <c r="Z3771" s="22" t="n"/>
      <c r="AA3771" s="22" t="n"/>
      <c r="AB3771" s="22" t="n"/>
      <c r="AC3771" s="22" t="n"/>
      <c r="AD3771" s="22" t="n"/>
      <c r="AE3771" s="22" t="n"/>
    </row>
    <row r="3772" ht="70" customHeight="1" s="380">
      <c r="A3772" s="149" t="n">
        <v>133</v>
      </c>
      <c r="B3772" s="129" t="n"/>
      <c r="C3772" s="129" t="inlineStr">
        <is>
          <t>Báo cáo tỷ lệ an toàn tài chính - Chi nhánh công ty chứng khoán nước ngoài tại Việt Nam &gt;&gt; Giá trị rủi ro thanh toán</t>
        </is>
      </c>
      <c r="D3772" s="131" t="inlineStr">
        <is>
          <t xml:space="preserve">Tổng giá trị rủi ro thanh toán
</t>
        </is>
      </c>
      <c r="E3772" s="131" t="inlineStr">
        <is>
          <t xml:space="preserve">Tổng giá trị rủi ro thanh toán
</t>
        </is>
      </c>
      <c r="F3772" s="129" t="inlineStr">
        <is>
          <t>Data Explorer</t>
        </is>
      </c>
      <c r="G3772" s="129" t="inlineStr">
        <is>
          <t>Chỉ tiêu cơ sở</t>
        </is>
      </c>
      <c r="H3772" s="129" t="inlineStr">
        <is>
          <t>TB</t>
        </is>
      </c>
      <c r="I3772" s="129" t="inlineStr">
        <is>
          <t>Ngày, CTCK</t>
        </is>
      </c>
      <c r="J3772" s="85" t="inlineStr">
        <is>
          <t>SCMS</t>
        </is>
      </c>
      <c r="K3772" s="85" t="n"/>
      <c r="L3772" s="85" t="inlineStr">
        <is>
          <t>X</t>
        </is>
      </c>
      <c r="M3772" s="85" t="n"/>
      <c r="N3772" s="85" t="inlineStr">
        <is>
          <t>Done</t>
        </is>
      </c>
      <c r="O3772" s="85" t="n"/>
      <c r="P3772" s="85" t="n"/>
      <c r="Q3772" s="426" t="n"/>
      <c r="R3772" s="426" t="n"/>
      <c r="S3772" s="85" t="n"/>
      <c r="T3772" s="426" t="n"/>
      <c r="U3772" s="85" t="n"/>
      <c r="V3772" s="130" t="n"/>
      <c r="W3772" s="130" t="n"/>
      <c r="X3772" s="130" t="n"/>
      <c r="Y3772" s="97" t="n"/>
      <c r="Z3772" s="130" t="n"/>
      <c r="AA3772" s="130" t="n"/>
      <c r="AB3772" s="130" t="n"/>
      <c r="AC3772" s="130" t="n"/>
      <c r="AD3772" s="130" t="n"/>
      <c r="AE3772" s="130" t="n"/>
    </row>
    <row r="3773" ht="84" customHeight="1" s="380">
      <c r="A3773" s="148" t="n">
        <v>134</v>
      </c>
      <c r="B3773" s="140" t="inlineStr">
        <is>
          <t>Nga</t>
        </is>
      </c>
      <c r="C3773" s="127" t="inlineStr">
        <is>
          <t xml:space="preserve">Báo cáo tỷ lệ an toàn tài chính - Chi nhánh công ty chứng khoán nước ngoài tại Việt Nam &gt;&gt; Giá trị rủi ro thanh toán (Rủi ro trước thời hạn thanh toán) </t>
        </is>
      </c>
      <c r="D3773" s="106" t="inlineStr">
        <is>
          <t>Loại báo cáo</t>
        </is>
      </c>
      <c r="E3773" s="107" t="inlineStr">
        <is>
          <t>Loại báo cáo</t>
        </is>
      </c>
      <c r="F3773" s="390" t="inlineStr">
        <is>
          <t>Data Explorer</t>
        </is>
      </c>
      <c r="G3773" s="390" t="inlineStr">
        <is>
          <t>Chiều</t>
        </is>
      </c>
      <c r="H3773" s="390" t="inlineStr">
        <is>
          <t>Dễ</t>
        </is>
      </c>
      <c r="I3773" s="390" t="inlineStr">
        <is>
          <t>Ngày, CTCK</t>
        </is>
      </c>
      <c r="J3773" s="401" t="inlineStr">
        <is>
          <t>SCMS</t>
        </is>
      </c>
      <c r="K3773" s="401" t="inlineStr">
        <is>
          <t>X</t>
        </is>
      </c>
      <c r="L3773" s="401" t="inlineStr">
        <is>
          <t>X</t>
        </is>
      </c>
      <c r="M3773" s="401" t="n"/>
      <c r="N3773" s="401" t="inlineStr">
        <is>
          <t>Done</t>
        </is>
      </c>
      <c r="O3773" s="401" t="n"/>
      <c r="P3773" s="401" t="n"/>
      <c r="Q3773" s="404" t="inlineStr">
        <is>
          <t>SCMS.BM_BAO_CAO
SCMS.BM_BAO_CAO_DINH_KY</t>
        </is>
      </c>
      <c r="R3773" s="404" t="inlineStr">
        <is>
          <t>bm.ID,
bm.MA_BAO_CAO,
bm.LOAI_BAO_CAO,
bm.TEN_BAO_CAO,
bm.SU_DUNG,
bdk.BM_BAO_CAO_ID,
bdk.KY_BAO_CAO,
bdk.SU_DUNG</t>
        </is>
      </c>
      <c r="S3773" s="401" t="n"/>
      <c r="T3773" s="390"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3773" s="401" t="n"/>
      <c r="V3773" s="22" t="n"/>
      <c r="W3773" s="22" t="n"/>
      <c r="X3773" s="22" t="n"/>
      <c r="Y3773" s="13" t="n"/>
      <c r="Z3773" s="22" t="n"/>
      <c r="AA3773" s="22" t="n"/>
      <c r="AB3773" s="22" t="n"/>
      <c r="AC3773" s="22" t="n"/>
      <c r="AD3773" s="22" t="n"/>
      <c r="AE3773" s="22" t="n"/>
    </row>
    <row r="3774" ht="84" customHeight="1" s="380">
      <c r="A3774" s="148" t="n">
        <v>134</v>
      </c>
      <c r="B3774" s="390" t="n"/>
      <c r="C3774" s="390" t="inlineStr">
        <is>
          <t xml:space="preserve">Báo cáo tỷ lệ an toàn tài chính - Chi nhánh công ty chứng khoán nước ngoài tại Việt Nam &gt;&gt; Giá trị rủi ro thanh toán (Rủi ro trước thời hạn thanh toán) </t>
        </is>
      </c>
      <c r="D3774" s="106" t="inlineStr">
        <is>
          <t>Kỳ báo cáo</t>
        </is>
      </c>
      <c r="E3774" s="107" t="inlineStr">
        <is>
          <t>Kỳ báo cáo</t>
        </is>
      </c>
      <c r="F3774" s="390" t="inlineStr">
        <is>
          <t>Data Explorer</t>
        </is>
      </c>
      <c r="G3774" s="390" t="inlineStr">
        <is>
          <t>Chiều</t>
        </is>
      </c>
      <c r="H3774" s="390" t="inlineStr">
        <is>
          <t>Dễ</t>
        </is>
      </c>
      <c r="I3774" s="390" t="inlineStr">
        <is>
          <t>Ngày, CTCK</t>
        </is>
      </c>
      <c r="J3774" s="401" t="inlineStr">
        <is>
          <t>SCMS</t>
        </is>
      </c>
      <c r="K3774" s="401" t="inlineStr">
        <is>
          <t>X</t>
        </is>
      </c>
      <c r="L3774" s="401" t="inlineStr">
        <is>
          <t>X</t>
        </is>
      </c>
      <c r="M3774" s="401" t="n"/>
      <c r="N3774" s="401" t="inlineStr">
        <is>
          <t>Done</t>
        </is>
      </c>
      <c r="O3774" s="401" t="n"/>
      <c r="P3774" s="401" t="n"/>
      <c r="S3774" s="401" t="n"/>
      <c r="U3774" s="401" t="n"/>
      <c r="V3774" s="22" t="n"/>
      <c r="W3774" s="22" t="n"/>
      <c r="X3774" s="22" t="n"/>
      <c r="Y3774" s="13" t="n"/>
      <c r="Z3774" s="22" t="n"/>
      <c r="AA3774" s="22" t="n"/>
      <c r="AB3774" s="22" t="n"/>
      <c r="AC3774" s="22" t="n"/>
      <c r="AD3774" s="22" t="n"/>
      <c r="AE3774" s="22" t="n"/>
    </row>
    <row r="3775" ht="84" customHeight="1" s="380">
      <c r="A3775" s="148" t="n">
        <v>134</v>
      </c>
      <c r="B3775" s="390" t="n"/>
      <c r="C3775" s="390" t="inlineStr">
        <is>
          <t xml:space="preserve">Báo cáo tỷ lệ an toàn tài chính - Chi nhánh công ty chứng khoán nước ngoài tại Việt Nam &gt;&gt; Giá trị rủi ro thanh toán (Rủi ro trước thời hạn thanh toán) </t>
        </is>
      </c>
      <c r="D3775" s="106" t="inlineStr">
        <is>
          <t>Mã báo cáo</t>
        </is>
      </c>
      <c r="E3775" s="107" t="inlineStr">
        <is>
          <t>Mã báo cáo</t>
        </is>
      </c>
      <c r="F3775" s="390" t="inlineStr">
        <is>
          <t>Data Explorer</t>
        </is>
      </c>
      <c r="G3775" s="390" t="inlineStr">
        <is>
          <t>Chiều</t>
        </is>
      </c>
      <c r="H3775" s="390" t="inlineStr">
        <is>
          <t>Dễ</t>
        </is>
      </c>
      <c r="I3775" s="390" t="inlineStr">
        <is>
          <t>Ngày, CTCK</t>
        </is>
      </c>
      <c r="J3775" s="401" t="inlineStr">
        <is>
          <t>SCMS</t>
        </is>
      </c>
      <c r="K3775" s="401" t="inlineStr">
        <is>
          <t>X</t>
        </is>
      </c>
      <c r="L3775" s="401" t="inlineStr">
        <is>
          <t>X</t>
        </is>
      </c>
      <c r="M3775" s="401" t="n"/>
      <c r="N3775" s="401" t="inlineStr">
        <is>
          <t>Done</t>
        </is>
      </c>
      <c r="O3775" s="401" t="n"/>
      <c r="P3775" s="401" t="n"/>
      <c r="S3775" s="401" t="n"/>
      <c r="U3775" s="401" t="n"/>
      <c r="V3775" s="22" t="n"/>
      <c r="W3775" s="22" t="n"/>
      <c r="X3775" s="22" t="n"/>
      <c r="Y3775" s="13" t="n"/>
      <c r="Z3775" s="22" t="n"/>
      <c r="AA3775" s="22" t="n"/>
      <c r="AB3775" s="22" t="n"/>
      <c r="AC3775" s="22" t="n"/>
      <c r="AD3775" s="22" t="n"/>
      <c r="AE3775" s="22" t="n"/>
    </row>
    <row r="3776" ht="84" customHeight="1" s="380">
      <c r="A3776" s="148" t="n">
        <v>134</v>
      </c>
      <c r="B3776" s="390" t="n"/>
      <c r="C3776" s="390" t="inlineStr">
        <is>
          <t xml:space="preserve">Báo cáo tỷ lệ an toàn tài chính - Chi nhánh công ty chứng khoán nước ngoài tại Việt Nam &gt;&gt; Giá trị rủi ro thanh toán (Rủi ro trước thời hạn thanh toán) </t>
        </is>
      </c>
      <c r="D3776" s="106" t="inlineStr">
        <is>
          <t>Tên báo cáo</t>
        </is>
      </c>
      <c r="E3776" s="107" t="inlineStr">
        <is>
          <t>Tên báo cáo</t>
        </is>
      </c>
      <c r="F3776" s="390" t="inlineStr">
        <is>
          <t>Data Explorer</t>
        </is>
      </c>
      <c r="G3776" s="390" t="inlineStr">
        <is>
          <t>Chiều</t>
        </is>
      </c>
      <c r="H3776" s="390" t="inlineStr">
        <is>
          <t>Dễ</t>
        </is>
      </c>
      <c r="I3776" s="390" t="inlineStr">
        <is>
          <t>Ngày, CTCK</t>
        </is>
      </c>
      <c r="J3776" s="401" t="inlineStr">
        <is>
          <t>SCMS</t>
        </is>
      </c>
      <c r="K3776" s="401" t="inlineStr">
        <is>
          <t>X</t>
        </is>
      </c>
      <c r="L3776" s="401" t="inlineStr">
        <is>
          <t>X</t>
        </is>
      </c>
      <c r="M3776" s="401" t="n"/>
      <c r="N3776" s="401" t="inlineStr">
        <is>
          <t>Done</t>
        </is>
      </c>
      <c r="O3776" s="401" t="n"/>
      <c r="P3776" s="401" t="n"/>
      <c r="S3776" s="401" t="n"/>
      <c r="U3776" s="401" t="n"/>
      <c r="V3776" s="22" t="n"/>
      <c r="W3776" s="22" t="n"/>
      <c r="X3776" s="22" t="n"/>
      <c r="Y3776" s="13" t="n"/>
      <c r="Z3776" s="22" t="n"/>
      <c r="AA3776" s="22" t="n"/>
      <c r="AB3776" s="22" t="n"/>
      <c r="AC3776" s="22" t="n"/>
      <c r="AD3776" s="22" t="n"/>
      <c r="AE3776" s="22" t="n"/>
    </row>
    <row r="3777" ht="84" customHeight="1" s="380">
      <c r="A3777" s="148" t="n">
        <v>134</v>
      </c>
      <c r="B3777" s="390" t="n"/>
      <c r="C3777" s="390" t="inlineStr">
        <is>
          <t xml:space="preserve">Báo cáo tỷ lệ an toàn tài chính - Chi nhánh công ty chứng khoán nước ngoài tại Việt Nam &gt;&gt; Giá trị rủi ro thanh toán (Rủi ro trước thời hạn thanh toán) </t>
        </is>
      </c>
      <c r="D3777" s="106" t="inlineStr">
        <is>
          <t>Mã sheet</t>
        </is>
      </c>
      <c r="E3777" s="106" t="inlineStr">
        <is>
          <t>Mã sheet</t>
        </is>
      </c>
      <c r="F3777" s="390" t="inlineStr">
        <is>
          <t>Data Explorer</t>
        </is>
      </c>
      <c r="G3777" s="390" t="inlineStr">
        <is>
          <t>Chiều</t>
        </is>
      </c>
      <c r="H3777" s="390" t="inlineStr">
        <is>
          <t>Dễ</t>
        </is>
      </c>
      <c r="I3777" s="390" t="inlineStr">
        <is>
          <t>Ngày, CTCK</t>
        </is>
      </c>
      <c r="J3777" s="401" t="inlineStr">
        <is>
          <t>SCMS</t>
        </is>
      </c>
      <c r="K3777" s="401" t="inlineStr">
        <is>
          <t>X</t>
        </is>
      </c>
      <c r="L3777" s="401" t="inlineStr">
        <is>
          <t>X</t>
        </is>
      </c>
      <c r="M3777" s="401" t="n"/>
      <c r="N3777" s="401" t="inlineStr">
        <is>
          <t>Done</t>
        </is>
      </c>
      <c r="O3777" s="401" t="n"/>
      <c r="P3777" s="401" t="n"/>
      <c r="Q3777" s="401" t="inlineStr">
        <is>
          <t>SCMS.BM_BAO_CAO
SCMS.BM_SHEET</t>
        </is>
      </c>
      <c r="R3777" s="401" t="inlineStr">
        <is>
          <t>bm.ID,
bm.MA_BAO_CAO,
bm.SU_DUNG,
s.BM_BAO_CAO_ID,
s.MA_SHEET,
s.TEN_SHEET,
s.SAP_XEP</t>
        </is>
      </c>
      <c r="S3777" s="401" t="n"/>
      <c r="T3777" s="389" t="inlineStr">
        <is>
          <t>-- Mã sheet / Tên sheet
-- TEN_SHEET: 06H04
SELECT bm.MA_BAO_CAO,
s.MA_SHEET,
s.TEN_SHEET
FROM SCMS.BM_BAO_CAO bm
JOIN SCMS.BM_SHEET s ON s.BM_BAO_CAO_ID = bm.ID
WHERE bm.MA_BAO_CAO LIKE 'BCTLAT_TT102/2025'
AND s.MA_SHEET = '06H04'  -- Check lại
AND bm.SU_DUNG = 1
ORDER BY bm.MA_BAO_CAO, s.SAP_XEP;</t>
        </is>
      </c>
      <c r="U3777" s="401" t="n"/>
      <c r="V3777" s="22" t="n"/>
      <c r="W3777" s="22" t="n"/>
      <c r="X3777" s="22" t="n"/>
      <c r="Y3777" s="13" t="n"/>
      <c r="Z3777" s="22" t="n"/>
      <c r="AA3777" s="22" t="n"/>
      <c r="AB3777" s="22" t="n"/>
      <c r="AC3777" s="22" t="n"/>
      <c r="AD3777" s="22" t="n"/>
      <c r="AE3777" s="22" t="n"/>
    </row>
    <row r="3778" ht="84" customHeight="1" s="380">
      <c r="A3778" s="148" t="n">
        <v>134</v>
      </c>
      <c r="B3778" s="390" t="n"/>
      <c r="C3778" s="390" t="inlineStr">
        <is>
          <t xml:space="preserve">Báo cáo tỷ lệ an toàn tài chính - Chi nhánh công ty chứng khoán nước ngoài tại Việt Nam &gt;&gt; Giá trị rủi ro thanh toán (Rủi ro trước thời hạn thanh toán) </t>
        </is>
      </c>
      <c r="D3778" s="106" t="inlineStr">
        <is>
          <t>Tên sheet</t>
        </is>
      </c>
      <c r="E3778" s="106" t="inlineStr">
        <is>
          <t>Tên sheet</t>
        </is>
      </c>
      <c r="F3778" s="390" t="inlineStr">
        <is>
          <t>Data Explorer</t>
        </is>
      </c>
      <c r="G3778" s="390" t="inlineStr">
        <is>
          <t>Chiều</t>
        </is>
      </c>
      <c r="H3778" s="390" t="inlineStr">
        <is>
          <t>Dễ</t>
        </is>
      </c>
      <c r="I3778" s="390" t="inlineStr">
        <is>
          <t>Ngày, CTCK</t>
        </is>
      </c>
      <c r="J3778" s="401" t="inlineStr">
        <is>
          <t>SCMS</t>
        </is>
      </c>
      <c r="K3778" s="401" t="inlineStr">
        <is>
          <t>X</t>
        </is>
      </c>
      <c r="L3778" s="401" t="inlineStr">
        <is>
          <t>X</t>
        </is>
      </c>
      <c r="M3778" s="401" t="n"/>
      <c r="N3778" s="401" t="inlineStr">
        <is>
          <t>Done</t>
        </is>
      </c>
      <c r="O3778" s="401" t="n"/>
      <c r="P3778" s="401" t="n"/>
      <c r="S3778" s="401" t="n"/>
      <c r="U3778" s="401" t="n"/>
      <c r="V3778" s="22" t="n"/>
      <c r="W3778" s="22" t="n"/>
      <c r="X3778" s="22" t="n"/>
      <c r="Y3778" s="13" t="n"/>
      <c r="Z3778" s="22" t="n"/>
      <c r="AA3778" s="22" t="n"/>
      <c r="AB3778" s="22" t="n"/>
      <c r="AC3778" s="22" t="n"/>
      <c r="AD3778" s="22" t="n"/>
      <c r="AE3778" s="22" t="n"/>
    </row>
    <row r="3779" ht="84" customHeight="1" s="380">
      <c r="A3779" s="148" t="n">
        <v>134</v>
      </c>
      <c r="B3779" s="390" t="n"/>
      <c r="C3779" s="390" t="inlineStr">
        <is>
          <t xml:space="preserve">Báo cáo tỷ lệ an toàn tài chính - Chi nhánh công ty chứng khoán nước ngoài tại Việt Nam &gt;&gt; Giá trị rủi ro thanh toán (Rủi ro trước thời hạn thanh toán) </t>
        </is>
      </c>
      <c r="D3779" s="106" t="inlineStr">
        <is>
          <t>Mã chỉ tiêu</t>
        </is>
      </c>
      <c r="E3779" s="107" t="inlineStr">
        <is>
          <t>Mã chỉ tiêu</t>
        </is>
      </c>
      <c r="F3779" s="390" t="inlineStr">
        <is>
          <t>Data Explorer</t>
        </is>
      </c>
      <c r="G3779" s="390" t="inlineStr">
        <is>
          <t>Chiều</t>
        </is>
      </c>
      <c r="H3779" s="390" t="inlineStr">
        <is>
          <t>Dễ</t>
        </is>
      </c>
      <c r="I3779" s="390" t="inlineStr">
        <is>
          <t>Ngày, CTCK</t>
        </is>
      </c>
      <c r="J3779" s="401" t="inlineStr">
        <is>
          <t>SCMS</t>
        </is>
      </c>
      <c r="K3779" s="401" t="inlineStr">
        <is>
          <t>X</t>
        </is>
      </c>
      <c r="L3779" s="401" t="inlineStr">
        <is>
          <t>X</t>
        </is>
      </c>
      <c r="M3779" s="401" t="n"/>
      <c r="N3779" s="401" t="inlineStr">
        <is>
          <t>Done</t>
        </is>
      </c>
      <c r="O3779" s="401" t="n"/>
      <c r="P3779" s="401" t="n"/>
      <c r="Q3779" s="401" t="inlineStr">
        <is>
          <t>SCMS.BM_BAO_CAO
SCMS.BM_SHEET
SCMS.BM_BAO_CAO_CT
SCMS.DM_CHI_TIEU</t>
        </is>
      </c>
      <c r="R3779" s="401" t="inlineStr">
        <is>
          <t>dct.ID,
dct.MA_CHI_TIEU,
dct.TEN_CHI_TIEU,
dct.SU_DUNG,
s.BM_BAO_CAO_ID,
s.MA_SHEET,
ct.BM_BAO_CAO_ID,
ct.DM_CHI_TIEU_ID,
ct.SU_DUNG,
bm.ID,
bm.MA_BAO_CAO,
bm.SU_DUNG</t>
        </is>
      </c>
      <c r="S3779" s="401" t="n"/>
      <c r="T3779" s="389" t="inlineStr">
        <is>
          <t>-- Mã chỉ tiêu / Tên chỉ tiêu
SELECT DISTINCT
    dct.MA_CHI_TIEU  AS ma_chi_tieu,
    dct.TEN_CHI_TIEU AS ten_chi_tieu
FROM SCMS.BM_BAO_CAO bm
JOIN SCMS.BM_SHEET s ON s.BM_BAO_CAO_ID = bm.ID
	AND s.MA_SHEET = '06H04'
JOIN SCMS.BM_BAO_CAO_CT ct ON ct.BM_SHEET_ID = s.ID
	AND ct.SU_DUNG = 1
JOIN SCMS.DM_CHI_TIEU dct ON dct.ID = ct.DM_CHI_TIEU_ID
	AND dct.SU_DUNG = 1
WHERE bm.MA_BAO_CAO LIKE 'BCTLAT_TT102/2025'
	AND bm.SU_DUNG = 1
ORDER BY dct.MA_CHI_TIEU;</t>
        </is>
      </c>
      <c r="U3779" s="401" t="n"/>
      <c r="V3779" s="22" t="n"/>
      <c r="W3779" s="22" t="n"/>
      <c r="X3779" s="22" t="n"/>
      <c r="Y3779" s="38" t="n"/>
      <c r="Z3779" s="22" t="n"/>
      <c r="AA3779" s="22" t="n"/>
      <c r="AB3779" s="22" t="n"/>
      <c r="AC3779" s="22" t="n"/>
      <c r="AD3779" s="22" t="n"/>
      <c r="AE3779" s="22" t="n"/>
    </row>
    <row r="3780" ht="84" customHeight="1" s="380">
      <c r="A3780" s="148" t="n">
        <v>134</v>
      </c>
      <c r="B3780" s="390" t="n"/>
      <c r="C3780" s="390" t="inlineStr">
        <is>
          <t xml:space="preserve">Báo cáo tỷ lệ an toàn tài chính - Chi nhánh công ty chứng khoán nước ngoài tại Việt Nam &gt;&gt; Giá trị rủi ro thanh toán (Rủi ro trước thời hạn thanh toán) </t>
        </is>
      </c>
      <c r="D3780" s="106" t="inlineStr">
        <is>
          <t>Tên chỉ tiêu</t>
        </is>
      </c>
      <c r="E3780" s="107" t="inlineStr">
        <is>
          <t>Tên chỉ tiêu</t>
        </is>
      </c>
      <c r="F3780" s="390" t="inlineStr">
        <is>
          <t>Data Explorer</t>
        </is>
      </c>
      <c r="G3780" s="390" t="inlineStr">
        <is>
          <t>Chiều</t>
        </is>
      </c>
      <c r="H3780" s="390" t="inlineStr">
        <is>
          <t>Dễ</t>
        </is>
      </c>
      <c r="I3780" s="390" t="inlineStr">
        <is>
          <t>Ngày, CTCK</t>
        </is>
      </c>
      <c r="J3780" s="401" t="inlineStr">
        <is>
          <t>SCMS</t>
        </is>
      </c>
      <c r="K3780" s="401" t="inlineStr">
        <is>
          <t>X</t>
        </is>
      </c>
      <c r="L3780" s="401" t="inlineStr">
        <is>
          <t>X</t>
        </is>
      </c>
      <c r="M3780" s="401" t="n"/>
      <c r="N3780" s="401" t="inlineStr">
        <is>
          <t>Done</t>
        </is>
      </c>
      <c r="O3780" s="401" t="n"/>
      <c r="P3780" s="401" t="n"/>
      <c r="S3780" s="401" t="n"/>
      <c r="U3780" s="401" t="n"/>
      <c r="V3780" s="22" t="n"/>
      <c r="W3780" s="22" t="n"/>
      <c r="X3780" s="22" t="n"/>
      <c r="Y3780" s="13" t="n"/>
      <c r="Z3780" s="22" t="n"/>
      <c r="AA3780" s="22" t="n"/>
      <c r="AB3780" s="22" t="n"/>
      <c r="AC3780" s="22" t="n"/>
      <c r="AD3780" s="22" t="n"/>
      <c r="AE3780" s="22" t="n"/>
    </row>
    <row r="3781" ht="126" customHeight="1" s="380">
      <c r="A3781" s="148" t="n">
        <v>134</v>
      </c>
      <c r="B3781" s="390" t="n"/>
      <c r="C3781" s="390" t="inlineStr">
        <is>
          <t xml:space="preserve">Báo cáo tỷ lệ an toàn tài chính - Chi nhánh công ty chứng khoán nước ngoài tại Việt Nam &gt;&gt; Giá trị rủi ro thanh toán (Rủi ro trước thời hạn thanh toán) </t>
        </is>
      </c>
      <c r="D3781" s="390" t="inlineStr">
        <is>
          <t>Tiền gửi có kỳ hạn, chứng chỉ tiền gửi, các khoản tiền cho vay không có tài sản bảo đảm, các khoản phải thu từ hoạt động kinh doanh chứng khoán và các khoản mục tiềm ẩn rủi ro thanh toán khác</t>
        </is>
      </c>
      <c r="E3781" s="390" t="inlineStr">
        <is>
          <t>Tiền gửi có kỳ hạn, chứng chỉ tiền gửi, các khoản tiền cho vay không có tài sản bảo đảm, các khoản phải thu từ hoạt động kinh doanh chứng khoán và các khoản mục tiềm ẩn rủi ro thanh toán khác</t>
        </is>
      </c>
      <c r="F3781" s="390" t="inlineStr">
        <is>
          <t>Data Explorer</t>
        </is>
      </c>
      <c r="G3781" s="390" t="inlineStr">
        <is>
          <t>Chỉ tiêu cơ sở</t>
        </is>
      </c>
      <c r="H3781" s="390" t="inlineStr">
        <is>
          <t>TB</t>
        </is>
      </c>
      <c r="I3781" s="390" t="inlineStr">
        <is>
          <t>Ngày, CTCK</t>
        </is>
      </c>
      <c r="J3781" s="401" t="inlineStr">
        <is>
          <t>SCMS</t>
        </is>
      </c>
      <c r="K3781" s="401" t="n"/>
      <c r="L3781" s="401" t="inlineStr">
        <is>
          <t>X</t>
        </is>
      </c>
      <c r="M3781" s="401" t="n"/>
      <c r="N3781" s="401" t="inlineStr">
        <is>
          <t>Done</t>
        </is>
      </c>
      <c r="O3781" s="401" t="n"/>
      <c r="P3781" s="401" t="n"/>
      <c r="Q3781" s="431" t="inlineStr">
        <is>
          <t>SCMS.BC_THANH_VIEN
SCMS.BM_BAO_CAO
SCMS.BC_BAO_CAO_GT
SCMS.BM_BAO_CAO_HANG
SCMS.BM_BAO_CAO_COT</t>
        </is>
      </c>
      <c r="R3781" s="431" t="inlineStr">
        <is>
          <t>bsc.TEN_COT,
bsc.BM_SHEET_ID,
bsh.ID,
bsh.MA_HANG,
gt.GIA_TRI,
gt.BC_THANH_VIEN_ID,
gt.BM_SHEET_HANG_ID,
bm.ID,
bm.MA_BAO_CAO,
btv.ID,
btv.BM_BAO_CAO_ID,
btv.TRANG_THAI,
btv.NGAY_SO_LIEU</t>
        </is>
      </c>
      <c r="S3781" s="401" t="n"/>
      <c r="T3781" s="432" t="inlineStr">
        <is>
          <t>-- CHỈ TIÊU
SELECT	
	-- 0%
	MAX(CASE WHEN bsc.TEN_COT=N'0%' AND bsh.MA_HANG = '1' THEN CAST(gt.GIA_TRI AS VARCHAR2(4000)) END) AS "Tiền gửi có kỳ hạn, chứng chỉ tiền gửi, các khoản tiền cho vay không có tài sản bảo đảm",
	MAX(CASE WHEN bsc.TEN_COT=N'0%' AND bsh.MA_HANG = '2' THEN CAST(gt.GIA_TRI AS VARCHAR2(4000)) END) AS "Cho vay tài sản tài chính /Các thỏa thuận kinh tế có cùng bản chất",
	MAX(CASE WHEN bsc.TEN_COT=N'0%' AND bsh.MA_HANG = '3' THEN CAST(gt.GIA_TRI AS VARCHAR2(4000)) END) AS "Vay tài sản tài chính /Các thỏa thuận kinh tế có cùng bản chất",
	MAX(CASE WHEN bsc.TEN_COT=N'0%' AND bsh.MA_HANG = '4' THEN CAST(gt.GIA_TRI AS VARCHAR2(4000)) END) AS "Hợp đồng mua tài sản tài chính có cam kết bán lại /Các thỏa thuận kinh tế có cùng bản chất",
	MAX(CASE WHEN bsc.TEN_COT=N'0%' AND bsh.MA_HANG = '5' THEN CAST(gt.GIA_TRI AS VARCHAR2(4000)) END) AS "Hợp đồng bán tài sản tài chính có cam kết mua lại /Các thỏa thuận kinh tế có cùng bản chất",
	MAX(CASE WHEN bsc.TEN_COT=N'0%' AND bsh.MA_HANG = '6' THEN CAST(gt.GIA_TRI AS VARCHAR2(4000)) END) AS "TỔNG RỦI RO TRƯỚC THỜI HẠN THANH TOÁN",
	-- 0,8%
	MAX(CASE WHEN bsc.TEN_COT=N'0,8%' AND bsh.MA_HANG = '1' THEN CAST(gt.GIA_TRI AS VARCHAR2(4000)) END) AS "Tiền gửi có kỳ hạn, chứng chỉ tiền gửi, các khoản tiền cho vay không có tài sản bảo đảm",
	MAX(CASE WHEN bsc.TEN_COT=N'0,8%' AND bsh.MA_HANG = '2' THEN CAST(gt.GIA_TRI AS VARCHAR2(4000)) END) AS "Cho vay tài sản tài chính /Các thỏa thuận kinh tế có cùng bản chất",
	MAX(CASE WHEN bsc.TEN_COT=N'0,8%' AND bsh.MA_HANG = '3' THEN CAST(gt.GIA_TRI AS VARCHAR2(4000)) END) AS "Vay tài sản tài chính /Các thỏa thuận kinh tế có cùng bản chất",
	MAX(CASE WHEN bsc.TEN_COT=N'0,8%' AND bsh.MA_HANG = '4' THEN CAST(gt.GIA_TRI AS VARCHAR2(4000)) END) AS "Hợp đồng mua tài sản tài chính có cam kết bán lại /Các thỏa thuận kinh tế có cùng bản chất",
	MAX(CASE WHEN bsc.TEN_COT=N'0,8%' AND bsh.MA_HANG = '5' THEN CAST(gt.GIA_TRI AS VARCHAR2(4000)) END) AS "Hợp đồng bán tài sản tài chính có cam kết mua lại /Các thỏa thuận kinh tế có cùng bản chất",
	MAX(CASE WHEN bsc.TEN_COT=N'0,8%' AND bsh.MA_HANG = '6' THEN CAST(gt.GIA_TRI AS VARCHAR2(4000)) END) AS "TỔNG RỦI RO TRƯỚC THỜI HẠN THANH TOÁN",
	-- 3,2%
	MAX(CASE WHEN bsc.TEN_COT=N'3,2%' AND bsh.MA_HANG = '1' THEN CAST(gt.GIA_TRI AS VARCHAR2(4000)) END) AS "Tiền gửi có kỳ hạn, chứng chỉ tiền gửi, các khoản tiền cho vay không có tài sản bảo đảm",
	MAX(CASE WHEN bsc.TEN_COT=N'3,2%' AND bsh.MA_HANG = '2' THEN CAST(gt.GIA_TRI AS VARCHAR2(4000)) END) AS "Cho vay tài sản tài chính /Các thỏa thuận kinh tế có cùng bản chất",
	MAX(CASE WHEN bsc.TEN_COT=N'3,2%' AND bsh.MA_HANG = '3' THEN CAST(gt.GIA_TRI AS VARCHAR2(4000)) END) AS "Vay tài sản tài chính /Các thỏa thuận kinh tế có cùng bản chất",
	MAX(CASE WHEN bsc.TEN_COT=N'3,2%' AND bsh.MA_HANG = '4' THEN CAST(gt.GIA_TRI AS VARCHAR2(4000)) END) AS "Hợp đồng mua tài sản tài chính có cam kết bán lại /Các thỏa thuận kinh tế có cùng bản chất",
	MAX(CASE WHEN bsc.TEN_COT=N'3,2%' AND bsh.MA_HANG = '5' THEN CAST(gt.GIA_TRI AS VARCHAR2(4000)) END) AS "Hợp đồng bán tài sản tài chính có cam kết mua lại /Các thỏa thuận kinh tế có cùng bản chất",
	MAX(CASE WHEN bsc.TEN_COT=N'3,2%' AND bsh.MA_HANG = '6' THEN CAST(gt.GIA_TRI AS VARCHAR2(4000)) END) AS "TỔNG RỦI RO TRƯỚC THỜI HẠN THANH TOÁN",
	-- 4,8%
	MAX(CASE WHEN bsc.TEN_COT=N'4,8%' AND bsh.MA_HANG = '1' THEN CAST(gt.GIA_TRI AS VARCHAR2(4000)) END) AS "Tiền gửi có kỳ hạn, chứng chỉ tiền gửi, các khoản tiền cho vay không có tài sản bảo đảm",
	MAX(CASE WHEN bsc.TEN_COT=N'4,8%' AND bsh.MA_HANG = '2' THEN CAST(gt.GIA_TRI AS VARCHAR2(4000)) END) AS "Cho vay tài sản tài chính /Các thỏa thuận kinh tế có cùng bản chất",
	MAX(CASE WHEN bsc.TEN_COT=N'4,8%' AND bsh.MA_HANG = '3' THEN CAST(gt.GIA_TRI AS VARCHAR2(4000)) END) AS "Vay tài sản tài chính /Các thỏa thuận kinh tế có cùng bản chất",
	MAX(CASE WHEN bsc.TEN_COT=N'4,8%' AND bsh.MA_HANG = '4' THEN CAST(gt.GIA_TRI AS VARCHAR2(4000)) END) AS "Hợp đồng mua tài sản tài chính có cam kết bán lại /Các thỏa thuận kinh tế có cùng bản chất",
	MAX(CASE WHEN bsc.TEN_COT=N'4,8%' AND bsh.MA_HANG = '5' THEN CAST(gt.GIA_TRI AS VARCHAR2(4000)) END) AS "Hợp đồng bán tài sản tài chính có cam kết mua lại /Các thỏa thuận kinh tế có cùng bản chất",
	MAX(CASE WHEN bsc.TEN_COT=N'4,8%' AND bsh.MA_HANG = '6' THEN CAST(gt.GIA_TRI AS VARCHAR2(4000)) END) AS "TỔNG RỦI RO TRƯỚC THỜI HẠN THANH TOÁN",
	-- 6%
	MAX(CASE WHEN bsc.TEN_COT=N'6%' AND bsh.MA_HANG = '1' THEN CAST(gt.GIA_TRI AS VARCHAR2(4000)) END) AS "Tiền gửi có kỳ hạn, chứng chỉ tiền gửi, các khoản tiền cho vay không có tài sản bảo đảm",
	MAX(CASE WHEN bsc.TEN_COT=N'6%' AND bsh.MA_HANG = '2' THEN CAST(gt.GIA_TRI AS VARCHAR2(4000)) END) AS "Cho vay tài sản tài chính /Các thỏa thuận kinh tế có cùng bản chất",
	MAX(CASE WHEN bsc.TEN_COT=N'6%' AND bsh.MA_HANG = '3' THEN CAST(gt.GIA_TRI AS VARCHAR2(4000)) END) AS "Vay tài sản tài chính /Các thỏa thuận kinh tế có cùng bản chất",
	MAX(CASE WHEN bsc.TEN_COT=N'6%' AND bsh.MA_HANG = '4' THEN CAST(gt.GIA_TRI AS VARCHAR2(4000)) END) AS "Hợp đồng mua tài sản tài chính có cam kết bán lại /Các thỏa thuận kinh tế có cùng bản chất",
	MAX(CASE WHEN bsc.TEN_COT=N'6%' AND bsh.MA_HANG = '5' THEN CAST(gt.GIA_TRI AS VARCHAR2(4000)) END) AS "Hợp đồng bán tài sản tài chính có cam kết mua lại /Các thỏa thuận kinh tế có cùng bản chất",
	MAX(CASE WHEN bsc.TEN_COT=N'6%' AND bsh.MA_HANG = '6' THEN CAST(gt.GIA_TRI AS VARCHAR2(4000)) END) AS "TỔNG RỦI RO TRƯỚC THỜI HẠN THANH TOÁN",
	-- 8%
	MAX(CASE WHEN bsc.TEN_COT=N'8%' AND bsh.MA_HANG = '1' THEN CAST(gt.GIA_TRI AS VARCHAR2(4000)) END) AS "Tiền gửi có kỳ hạn, chứng chỉ tiền gửi, các khoản tiền cho vay không có tài sản bảo đảm",
	MAX(CASE WHEN bsc.TEN_COT=N'8%' AND bsh.MA_HANG = '2' THEN CAST(gt.GIA_TRI AS VARCHAR2(4000)) END) AS "Cho vay tài sản tài chính /Các thỏa thuận kinh tế có cùng bản chất",
	MAX(CASE WHEN bsc.TEN_COT=N'8%' AND bsh.MA_HANG = '3' THEN CAST(gt.GIA_TRI AS VARCHAR2(4000)) END) AS "Vay tài sản tài chính /Các thỏa thuận kinh tế có cùng bản chất",
	MAX(CASE WHEN bsc.TEN_COT=N'8%' AND bsh.MA_HANG = '4' THEN CAST(gt.GIA_TRI AS VARCHAR2(4000)) END) AS "Hợp đồng mua tài sản tài chính có cam kết bán lại /Các thỏa thuận kinh tế có cùng bản chất",
	MAX(CASE WHEN bsc.TEN_COT=N'8%' AND bsh.MA_HANG = '5' THEN CAST(gt.GIA_TRI AS VARCHAR2(4000)) END) AS "Hợp đồng bán tài sản tài chính có cam kết mua lại /Các thỏa thuận kinh tế có cùng bản chất",
	MAX(CASE WHEN bsc.TEN_COT=N'8%' AND bsh.MA_HANG = '6' THEN CAST(gt.GIA_TRI AS VARCHAR2(4000)) END) AS "TỔNG RỦI RO TRƯỚC THỜI HẠN THANH TOÁN",
	-- Tổng giá trị rủi ro
	MAX(CASE WHEN bsc.TEN_COT=N'Tổng giá trị rủi ro' AND bsh.MA_HANG = '1' THEN CAST(gt.GIA_TRI AS VARCHAR2(4000)) END) AS "Tiền gửi có kỳ hạn, chứng chỉ tiền gửi, các khoản tiền cho vay không có tài sản bảo đảm",
	MAX(CASE WHEN bsc.TEN_COT=N'Tổng giá trị rủi ro' AND bsh.MA_HANG = '2' THEN CAST(gt.GIA_TRI AS VARCHAR2(4000)) END) AS "Cho vay tài sản tài chính /Các thỏa thuận kinh tế có cùng bản chất",
	MAX(CASE WHEN bsc.TEN_COT=N'Tổng giá trị rủi ro' AND bsh.MA_HANG = '3' THEN CAST(gt.GIA_TRI AS VARCHAR2(4000)) END) AS "Vay tài sản tài chính /Các thỏa thuận kinh tế có cùng bản chất",
	MAX(CASE WHEN bsc.TEN_COT=N'Tổng giá trị rủi ro' AND bsh.MA_HANG = '4' THEN CAST(gt.GIA_TRI AS VARCHAR2(4000)) END) AS "Hợp đồng mua tài sản tài chính có cam kết bán lại /Các thỏa thuận kinh tế có cùng bản chất",
	MAX(CASE WHEN bsc.TEN_COT=N'Tổng giá trị rủi ro' AND bsh.MA_HANG = '5' THEN CAST(gt.GIA_TRI AS VARCHAR2(4000)) END) AS "Hợp đồng bán tài sản tài chính có cam kết mua lại /Các thỏa thuận kinh tế có cùng bản chất",
	MAX(CASE WHEN bsc.TEN_COT=N'Tổng giá trị rủi ro' AND bsh.MA_HANG = '6' THEN CAST(gt.GIA_TRI AS VARCHAR2(4000)) END) AS "TỔNG RỦI RO TRƯỚC THỜI HẠN THANH TOÁN"
FROM SCMS.BC_THANH_VIEN btv
JOIN SCMS.BM_BAO_CAO bm ON bm.ID = btv.BM_BAO_CAO_ID
JOIN SCMS.BC_BAO_CAO_GT gt ON gt.BC_THANH_VIEN_ID = btv.ID
JOIN SCMS.BM_BAO_CAO_HANG bsh ON bsh.ID = gt.BM_SHEET_HANG_ID
JOIN SCMS.BM_BAO_CAO_COT bsc ON bsc.BM_SHEET_ID = 8378
--                               AND bsc.TEN_COT = gt.TEN_COT
WHERE bm.MA_BAO_CAO LIKE 'BCTLAT_TT102/2025'
  AND btv.TRANG_THAI IN (2, 3)
GROUP BY
    btv.ID, btv.CTCK_THONG_TIN_ID, btv.NGAY_SO_LIEU, btv.TRANG_THAI,
    bm.MA_BAO_CAO
ORDER BY btv.NGAY_SO_LIEU DESC;</t>
        </is>
      </c>
      <c r="U3781" s="401" t="n"/>
      <c r="V3781" s="22" t="n"/>
      <c r="W3781" s="22" t="n"/>
      <c r="X3781" s="22" t="n"/>
      <c r="Y3781" s="13" t="n"/>
      <c r="Z3781" s="22" t="n"/>
      <c r="AA3781" s="22" t="n"/>
      <c r="AB3781" s="22" t="n"/>
      <c r="AC3781" s="22" t="n"/>
      <c r="AD3781" s="22" t="n"/>
      <c r="AE3781" s="22" t="n"/>
    </row>
    <row r="3782" ht="84" customHeight="1" s="380">
      <c r="A3782" s="148" t="n">
        <v>134</v>
      </c>
      <c r="B3782" s="390" t="n"/>
      <c r="C3782" s="390" t="inlineStr">
        <is>
          <t xml:space="preserve">Báo cáo tỷ lệ an toàn tài chính - Chi nhánh công ty chứng khoán nước ngoài tại Việt Nam &gt;&gt; Giá trị rủi ro thanh toán (Rủi ro trước thời hạn thanh toán) </t>
        </is>
      </c>
      <c r="D3782" s="390" t="inlineStr">
        <is>
          <t xml:space="preserve">Cho vay tài sản tài chính /Các thỏa thuận kinh tế có cùng bản chất                                                                            
</t>
        </is>
      </c>
      <c r="E3782" s="390" t="inlineStr">
        <is>
          <t xml:space="preserve">Cho vay tài sản tài chính /Các thỏa thuận kinh tế có cùng bản chất                                                                            
</t>
        </is>
      </c>
      <c r="F3782" s="390" t="inlineStr">
        <is>
          <t>Data Explorer</t>
        </is>
      </c>
      <c r="G3782" s="390" t="inlineStr">
        <is>
          <t>Chỉ tiêu cơ sở</t>
        </is>
      </c>
      <c r="H3782" s="390" t="inlineStr">
        <is>
          <t>TB</t>
        </is>
      </c>
      <c r="I3782" s="390" t="inlineStr">
        <is>
          <t>Ngày, CTCK</t>
        </is>
      </c>
      <c r="J3782" s="401" t="inlineStr">
        <is>
          <t>SCMS</t>
        </is>
      </c>
      <c r="K3782" s="401" t="n"/>
      <c r="L3782" s="401" t="inlineStr">
        <is>
          <t>X</t>
        </is>
      </c>
      <c r="M3782" s="401" t="n"/>
      <c r="N3782" s="401" t="inlineStr">
        <is>
          <t>Done</t>
        </is>
      </c>
      <c r="O3782" s="401" t="n"/>
      <c r="P3782" s="401" t="n"/>
      <c r="S3782" s="401" t="n"/>
      <c r="U3782" s="401" t="n"/>
      <c r="V3782" s="22" t="n"/>
      <c r="W3782" s="22" t="n"/>
      <c r="X3782" s="22" t="n"/>
      <c r="Y3782" s="13" t="n"/>
      <c r="Z3782" s="22" t="n"/>
      <c r="AA3782" s="22" t="n"/>
      <c r="AB3782" s="22" t="n"/>
      <c r="AC3782" s="22" t="n"/>
      <c r="AD3782" s="22" t="n"/>
      <c r="AE3782" s="22" t="n"/>
    </row>
    <row r="3783" ht="84" customHeight="1" s="380">
      <c r="A3783" s="148" t="n">
        <v>134</v>
      </c>
      <c r="B3783" s="390" t="n"/>
      <c r="C3783" s="390" t="inlineStr">
        <is>
          <t xml:space="preserve">Báo cáo tỷ lệ an toàn tài chính - Chi nhánh công ty chứng khoán nước ngoài tại Việt Nam &gt;&gt; Giá trị rủi ro thanh toán (Rủi ro trước thời hạn thanh toán) </t>
        </is>
      </c>
      <c r="D3783" s="390" t="inlineStr">
        <is>
          <t xml:space="preserve">Vay tài sản tài chính /Các thỏa thuận kinh tế có cùng bản chất                                                                                             
</t>
        </is>
      </c>
      <c r="E3783" s="390" t="inlineStr">
        <is>
          <t xml:space="preserve">Vay tài sản tài chính /Các thỏa thuận kinh tế có cùng bản chất                                                                                             
</t>
        </is>
      </c>
      <c r="F3783" s="390" t="inlineStr">
        <is>
          <t>Data Explorer</t>
        </is>
      </c>
      <c r="G3783" s="390" t="inlineStr">
        <is>
          <t>Chỉ tiêu cơ sở</t>
        </is>
      </c>
      <c r="H3783" s="390" t="inlineStr">
        <is>
          <t>TB</t>
        </is>
      </c>
      <c r="I3783" s="390" t="inlineStr">
        <is>
          <t>Ngày, CTCK</t>
        </is>
      </c>
      <c r="J3783" s="401" t="inlineStr">
        <is>
          <t>SCMS</t>
        </is>
      </c>
      <c r="K3783" s="401" t="n"/>
      <c r="L3783" s="401" t="inlineStr">
        <is>
          <t>X</t>
        </is>
      </c>
      <c r="M3783" s="401" t="n"/>
      <c r="N3783" s="401" t="inlineStr">
        <is>
          <t>Done</t>
        </is>
      </c>
      <c r="O3783" s="401" t="n"/>
      <c r="P3783" s="401" t="n"/>
      <c r="S3783" s="401" t="n"/>
      <c r="U3783" s="401" t="n"/>
      <c r="V3783" s="22" t="n"/>
      <c r="W3783" s="22" t="n"/>
      <c r="X3783" s="22" t="n"/>
      <c r="Y3783" s="13" t="n"/>
      <c r="Z3783" s="22" t="n"/>
      <c r="AA3783" s="22" t="n"/>
      <c r="AB3783" s="22" t="n"/>
      <c r="AC3783" s="22" t="n"/>
      <c r="AD3783" s="22" t="n"/>
      <c r="AE3783" s="22" t="n"/>
    </row>
    <row r="3784" ht="84" customHeight="1" s="380">
      <c r="A3784" s="148" t="n">
        <v>134</v>
      </c>
      <c r="B3784" s="390" t="n"/>
      <c r="C3784" s="390" t="inlineStr">
        <is>
          <t xml:space="preserve">Báo cáo tỷ lệ an toàn tài chính - Chi nhánh công ty chứng khoán nước ngoài tại Việt Nam &gt;&gt; Giá trị rủi ro thanh toán (Rủi ro trước thời hạn thanh toán) </t>
        </is>
      </c>
      <c r="D3784" s="390" t="inlineStr">
        <is>
          <t xml:space="preserve">Hợp đồng mua tài sản tài chính có cam kết bán lại /Các thỏa thuận kinh tế có cùng bản chất                                                                  
</t>
        </is>
      </c>
      <c r="E3784" s="390" t="inlineStr">
        <is>
          <t xml:space="preserve">Hợp đồng mua tài sản tài chính có cam kết bán lại /Các thỏa thuận kinh tế có cùng bản chất                                                                  
</t>
        </is>
      </c>
      <c r="F3784" s="390" t="inlineStr">
        <is>
          <t>Data Explorer</t>
        </is>
      </c>
      <c r="G3784" s="390" t="inlineStr">
        <is>
          <t>Chỉ tiêu cơ sở</t>
        </is>
      </c>
      <c r="H3784" s="390" t="inlineStr">
        <is>
          <t>TB</t>
        </is>
      </c>
      <c r="I3784" s="390" t="inlineStr">
        <is>
          <t>Ngày, CTCK</t>
        </is>
      </c>
      <c r="J3784" s="401" t="inlineStr">
        <is>
          <t>SCMS</t>
        </is>
      </c>
      <c r="K3784" s="401" t="n"/>
      <c r="L3784" s="401" t="inlineStr">
        <is>
          <t>X</t>
        </is>
      </c>
      <c r="M3784" s="401" t="n"/>
      <c r="N3784" s="401" t="inlineStr">
        <is>
          <t>Done</t>
        </is>
      </c>
      <c r="O3784" s="401" t="n"/>
      <c r="P3784" s="401" t="n"/>
      <c r="S3784" s="401" t="n"/>
      <c r="U3784" s="401" t="n"/>
      <c r="V3784" s="22" t="n"/>
      <c r="W3784" s="22" t="n"/>
      <c r="X3784" s="22" t="n"/>
      <c r="Y3784" s="13" t="n"/>
      <c r="Z3784" s="22" t="n"/>
      <c r="AA3784" s="22" t="n"/>
      <c r="AB3784" s="22" t="n"/>
      <c r="AC3784" s="22" t="n"/>
      <c r="AD3784" s="22" t="n"/>
      <c r="AE3784" s="22" t="n"/>
    </row>
    <row r="3785" ht="84" customHeight="1" s="380">
      <c r="A3785" s="148" t="n">
        <v>134</v>
      </c>
      <c r="B3785" s="390" t="n"/>
      <c r="C3785" s="390" t="inlineStr">
        <is>
          <t xml:space="preserve">Báo cáo tỷ lệ an toàn tài chính - Chi nhánh công ty chứng khoán nước ngoài tại Việt Nam &gt;&gt; Giá trị rủi ro thanh toán (Rủi ro trước thời hạn thanh toán) </t>
        </is>
      </c>
      <c r="D3785" s="390" t="inlineStr">
        <is>
          <t xml:space="preserve">Hợp đồng bán tài sản tài chính có cam kết mua lại /Các thỏa thuận kinh tế có cùng bản chất                                                                 
</t>
        </is>
      </c>
      <c r="E3785" s="390" t="inlineStr">
        <is>
          <t xml:space="preserve">Hợp đồng bán tài sản tài chính có cam kết mua lại /Các thỏa thuận kinh tế có cùng bản chất                                                                 
</t>
        </is>
      </c>
      <c r="F3785" s="390" t="inlineStr">
        <is>
          <t>Data Explorer</t>
        </is>
      </c>
      <c r="G3785" s="390" t="inlineStr">
        <is>
          <t>Chỉ tiêu cơ sở</t>
        </is>
      </c>
      <c r="H3785" s="390" t="inlineStr">
        <is>
          <t>TB</t>
        </is>
      </c>
      <c r="I3785" s="390" t="inlineStr">
        <is>
          <t>Ngày, CTCK</t>
        </is>
      </c>
      <c r="J3785" s="401" t="inlineStr">
        <is>
          <t>SCMS</t>
        </is>
      </c>
      <c r="K3785" s="401" t="n"/>
      <c r="L3785" s="401" t="inlineStr">
        <is>
          <t>X</t>
        </is>
      </c>
      <c r="M3785" s="401" t="n"/>
      <c r="N3785" s="401" t="inlineStr">
        <is>
          <t>Done</t>
        </is>
      </c>
      <c r="O3785" s="401" t="n"/>
      <c r="P3785" s="401" t="n"/>
      <c r="S3785" s="401" t="n"/>
      <c r="U3785" s="401" t="n"/>
      <c r="V3785" s="22" t="n"/>
      <c r="W3785" s="22" t="n"/>
      <c r="X3785" s="22" t="n"/>
      <c r="Y3785" s="38" t="n"/>
      <c r="Z3785" s="22" t="n"/>
      <c r="AA3785" s="22" t="n"/>
      <c r="AB3785" s="22" t="n"/>
      <c r="AC3785" s="22" t="n"/>
      <c r="AD3785" s="22" t="n"/>
      <c r="AE3785" s="22" t="n"/>
    </row>
    <row r="3786" ht="84" customHeight="1" s="380">
      <c r="A3786" s="149" t="n">
        <v>134</v>
      </c>
      <c r="B3786" s="129" t="n"/>
      <c r="C3786" s="129" t="inlineStr">
        <is>
          <t xml:space="preserve">Báo cáo tỷ lệ an toàn tài chính - Chi nhánh công ty chứng khoán nước ngoài tại Việt Nam &gt;&gt; Giá trị rủi ro thanh toán (Rủi ro trước thời hạn thanh toán) </t>
        </is>
      </c>
      <c r="D3786" s="129" t="inlineStr">
        <is>
          <t xml:space="preserve">TỔNG RỦI RO TRƯỚC THỜI HẠN THANH TOÁN
</t>
        </is>
      </c>
      <c r="E3786" s="129" t="inlineStr">
        <is>
          <t xml:space="preserve">TỔNG RỦI RO TRƯỚC THỜI HẠN THANH TOÁN
</t>
        </is>
      </c>
      <c r="F3786" s="129" t="inlineStr">
        <is>
          <t>Data Explorer</t>
        </is>
      </c>
      <c r="G3786" s="129" t="inlineStr">
        <is>
          <t>Chỉ tiêu cơ sở</t>
        </is>
      </c>
      <c r="H3786" s="129" t="inlineStr">
        <is>
          <t>TB</t>
        </is>
      </c>
      <c r="I3786" s="129" t="inlineStr">
        <is>
          <t>Ngày, CTCK</t>
        </is>
      </c>
      <c r="J3786" s="85" t="inlineStr">
        <is>
          <t>SCMS</t>
        </is>
      </c>
      <c r="K3786" s="85" t="n"/>
      <c r="L3786" s="85" t="inlineStr">
        <is>
          <t>X</t>
        </is>
      </c>
      <c r="M3786" s="85" t="n"/>
      <c r="N3786" s="85" t="inlineStr">
        <is>
          <t>Done</t>
        </is>
      </c>
      <c r="O3786" s="85" t="n"/>
      <c r="P3786" s="85" t="n"/>
      <c r="Q3786" s="426" t="n"/>
      <c r="R3786" s="426" t="n"/>
      <c r="S3786" s="85" t="n"/>
      <c r="T3786" s="426" t="n"/>
      <c r="U3786" s="85" t="n"/>
      <c r="V3786" s="130" t="n"/>
      <c r="W3786" s="130" t="n"/>
      <c r="X3786" s="130" t="n"/>
      <c r="Y3786" s="97" t="n"/>
      <c r="Z3786" s="130" t="n"/>
      <c r="AA3786" s="130" t="n"/>
      <c r="AB3786" s="130" t="n"/>
      <c r="AC3786" s="130" t="n"/>
      <c r="AD3786" s="130" t="n"/>
      <c r="AE3786" s="130" t="n"/>
    </row>
    <row r="3787" ht="84" customHeight="1" s="380">
      <c r="A3787" s="148" t="n">
        <v>135</v>
      </c>
      <c r="B3787" s="140" t="inlineStr">
        <is>
          <t>Nga</t>
        </is>
      </c>
      <c r="C3787" s="127" t="inlineStr">
        <is>
          <t xml:space="preserve">Báo cáo tỷ lệ an toàn tài chính - Chi nhánh công ty chứng khoán nước ngoài tại Việt Nam &gt;&gt; Giá trị rủi ro thanh toán (Rủi ro quá thời hạn thanh toán) </t>
        </is>
      </c>
      <c r="D3787" s="106" t="inlineStr">
        <is>
          <t>Loại báo cáo</t>
        </is>
      </c>
      <c r="E3787" s="107" t="inlineStr">
        <is>
          <t>Loại báo cáo</t>
        </is>
      </c>
      <c r="F3787" s="390" t="inlineStr">
        <is>
          <t>Data Explorer</t>
        </is>
      </c>
      <c r="G3787" s="390" t="inlineStr">
        <is>
          <t>Chiều</t>
        </is>
      </c>
      <c r="H3787" s="390" t="inlineStr">
        <is>
          <t>Dễ</t>
        </is>
      </c>
      <c r="I3787" s="390" t="inlineStr">
        <is>
          <t>Ngày, CTCK</t>
        </is>
      </c>
      <c r="J3787" s="401" t="inlineStr">
        <is>
          <t>SCMS</t>
        </is>
      </c>
      <c r="K3787" s="401" t="inlineStr">
        <is>
          <t>X</t>
        </is>
      </c>
      <c r="L3787" s="401" t="inlineStr">
        <is>
          <t>X</t>
        </is>
      </c>
      <c r="M3787" s="401" t="n"/>
      <c r="N3787" s="401" t="inlineStr">
        <is>
          <t>Done</t>
        </is>
      </c>
      <c r="O3787" s="401" t="n"/>
      <c r="P3787" s="401" t="n"/>
      <c r="Q3787" s="404" t="inlineStr">
        <is>
          <t>SCMS.BM_BAO_CAO
SCMS.BM_BAO_CAO_DINH_KY</t>
        </is>
      </c>
      <c r="R3787" s="404" t="inlineStr">
        <is>
          <t>bm.ID,
bm.MA_BAO_CAO,
bm.LOAI_BAO_CAO,
bm.TEN_BAO_CAO,
bm.SU_DUNG,
bdk.BM_BAO_CAO_ID,
bdk.KY_BAO_CAO,
bdk.SU_DUNG</t>
        </is>
      </c>
      <c r="S3787" s="401" t="n"/>
      <c r="T3787" s="390"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3787" s="401" t="n"/>
      <c r="V3787" s="22" t="n"/>
      <c r="W3787" s="22" t="n"/>
      <c r="X3787" s="22" t="n"/>
      <c r="Y3787" s="13" t="n"/>
      <c r="Z3787" s="22" t="n"/>
      <c r="AA3787" s="22" t="n"/>
      <c r="AB3787" s="22" t="n"/>
      <c r="AC3787" s="22" t="n"/>
      <c r="AD3787" s="22" t="n"/>
      <c r="AE3787" s="22" t="n"/>
    </row>
    <row r="3788" ht="84" customHeight="1" s="380">
      <c r="A3788" s="148" t="n">
        <v>135</v>
      </c>
      <c r="B3788" s="390" t="n"/>
      <c r="C3788" s="390" t="inlineStr">
        <is>
          <t xml:space="preserve">Báo cáo tỷ lệ an toàn tài chính - Chi nhánh công ty chứng khoán nước ngoài tại Việt Nam &gt;&gt; Giá trị rủi ro thanh toán (Rủi ro quá thời hạn thanh toán) </t>
        </is>
      </c>
      <c r="D3788" s="106" t="inlineStr">
        <is>
          <t>Kỳ báo cáo</t>
        </is>
      </c>
      <c r="E3788" s="107" t="inlineStr">
        <is>
          <t>Kỳ báo cáo</t>
        </is>
      </c>
      <c r="F3788" s="390" t="inlineStr">
        <is>
          <t>Data Explorer</t>
        </is>
      </c>
      <c r="G3788" s="390" t="inlineStr">
        <is>
          <t>Chiều</t>
        </is>
      </c>
      <c r="H3788" s="390" t="inlineStr">
        <is>
          <t>Dễ</t>
        </is>
      </c>
      <c r="I3788" s="390" t="inlineStr">
        <is>
          <t>Ngày, CTCK</t>
        </is>
      </c>
      <c r="J3788" s="401" t="inlineStr">
        <is>
          <t>SCMS</t>
        </is>
      </c>
      <c r="K3788" s="401" t="inlineStr">
        <is>
          <t>X</t>
        </is>
      </c>
      <c r="L3788" s="401" t="inlineStr">
        <is>
          <t>X</t>
        </is>
      </c>
      <c r="M3788" s="401" t="n"/>
      <c r="N3788" s="401" t="inlineStr">
        <is>
          <t>Done</t>
        </is>
      </c>
      <c r="O3788" s="401" t="n"/>
      <c r="P3788" s="401" t="n"/>
      <c r="S3788" s="401" t="n"/>
      <c r="U3788" s="401" t="n"/>
      <c r="V3788" s="22" t="n"/>
      <c r="W3788" s="22" t="n"/>
      <c r="X3788" s="22" t="n"/>
      <c r="Y3788" s="13" t="n"/>
      <c r="Z3788" s="22" t="n"/>
      <c r="AA3788" s="22" t="n"/>
      <c r="AB3788" s="22" t="n"/>
      <c r="AC3788" s="22" t="n"/>
      <c r="AD3788" s="22" t="n"/>
      <c r="AE3788" s="22" t="n"/>
    </row>
    <row r="3789" ht="84" customHeight="1" s="380">
      <c r="A3789" s="148" t="n">
        <v>135</v>
      </c>
      <c r="B3789" s="390" t="n"/>
      <c r="C3789" s="390" t="inlineStr">
        <is>
          <t xml:space="preserve">Báo cáo tỷ lệ an toàn tài chính - Chi nhánh công ty chứng khoán nước ngoài tại Việt Nam &gt;&gt; Giá trị rủi ro thanh toán (Rủi ro quá thời hạn thanh toán) </t>
        </is>
      </c>
      <c r="D3789" s="106" t="inlineStr">
        <is>
          <t>Mã báo cáo</t>
        </is>
      </c>
      <c r="E3789" s="107" t="inlineStr">
        <is>
          <t>Mã báo cáo</t>
        </is>
      </c>
      <c r="F3789" s="390" t="inlineStr">
        <is>
          <t>Data Explorer</t>
        </is>
      </c>
      <c r="G3789" s="390" t="inlineStr">
        <is>
          <t>Chiều</t>
        </is>
      </c>
      <c r="H3789" s="390" t="inlineStr">
        <is>
          <t>Dễ</t>
        </is>
      </c>
      <c r="I3789" s="390" t="inlineStr">
        <is>
          <t>Ngày, CTCK</t>
        </is>
      </c>
      <c r="J3789" s="401" t="inlineStr">
        <is>
          <t>SCMS</t>
        </is>
      </c>
      <c r="K3789" s="401" t="inlineStr">
        <is>
          <t>X</t>
        </is>
      </c>
      <c r="L3789" s="401" t="inlineStr">
        <is>
          <t>X</t>
        </is>
      </c>
      <c r="M3789" s="401" t="n"/>
      <c r="N3789" s="401" t="inlineStr">
        <is>
          <t>Done</t>
        </is>
      </c>
      <c r="O3789" s="401" t="n"/>
      <c r="P3789" s="401" t="n"/>
      <c r="S3789" s="401" t="n"/>
      <c r="U3789" s="401" t="n"/>
      <c r="V3789" s="22" t="n"/>
      <c r="W3789" s="22" t="n"/>
      <c r="X3789" s="22" t="n"/>
      <c r="Y3789" s="38" t="n"/>
      <c r="Z3789" s="22" t="n"/>
      <c r="AA3789" s="22" t="n"/>
      <c r="AB3789" s="22" t="n"/>
      <c r="AC3789" s="22" t="n"/>
      <c r="AD3789" s="22" t="n"/>
      <c r="AE3789" s="22" t="n"/>
    </row>
    <row r="3790" ht="84" customHeight="1" s="380">
      <c r="A3790" s="148" t="n">
        <v>135</v>
      </c>
      <c r="B3790" s="390" t="n"/>
      <c r="C3790" s="390" t="inlineStr">
        <is>
          <t xml:space="preserve">Báo cáo tỷ lệ an toàn tài chính - Chi nhánh công ty chứng khoán nước ngoài tại Việt Nam &gt;&gt; Giá trị rủi ro thanh toán (Rủi ro quá thời hạn thanh toán) </t>
        </is>
      </c>
      <c r="D3790" s="106" t="inlineStr">
        <is>
          <t>Tên báo cáo</t>
        </is>
      </c>
      <c r="E3790" s="107" t="inlineStr">
        <is>
          <t>Tên báo cáo</t>
        </is>
      </c>
      <c r="F3790" s="390" t="inlineStr">
        <is>
          <t>Data Explorer</t>
        </is>
      </c>
      <c r="G3790" s="390" t="inlineStr">
        <is>
          <t>Chiều</t>
        </is>
      </c>
      <c r="H3790" s="390" t="inlineStr">
        <is>
          <t>Dễ</t>
        </is>
      </c>
      <c r="I3790" s="390" t="inlineStr">
        <is>
          <t>Ngày, CTCK</t>
        </is>
      </c>
      <c r="J3790" s="401" t="inlineStr">
        <is>
          <t>SCMS</t>
        </is>
      </c>
      <c r="K3790" s="401" t="inlineStr">
        <is>
          <t>X</t>
        </is>
      </c>
      <c r="L3790" s="401" t="inlineStr">
        <is>
          <t>X</t>
        </is>
      </c>
      <c r="M3790" s="401" t="n"/>
      <c r="N3790" s="401" t="inlineStr">
        <is>
          <t>Done</t>
        </is>
      </c>
      <c r="O3790" s="401" t="n"/>
      <c r="P3790" s="401" t="n"/>
      <c r="S3790" s="401" t="n"/>
      <c r="U3790" s="401" t="n"/>
      <c r="V3790" s="22" t="n"/>
      <c r="W3790" s="22" t="n"/>
      <c r="X3790" s="22" t="n"/>
      <c r="Y3790" s="13" t="n"/>
      <c r="Z3790" s="22" t="n"/>
      <c r="AA3790" s="22" t="n"/>
      <c r="AB3790" s="22" t="n"/>
      <c r="AC3790" s="22" t="n"/>
      <c r="AD3790" s="22" t="n"/>
      <c r="AE3790" s="22" t="n"/>
    </row>
    <row r="3791" ht="84" customHeight="1" s="380">
      <c r="A3791" s="148" t="n">
        <v>135</v>
      </c>
      <c r="B3791" s="390" t="n"/>
      <c r="C3791" s="390" t="inlineStr">
        <is>
          <t xml:space="preserve">Báo cáo tỷ lệ an toàn tài chính - Chi nhánh công ty chứng khoán nước ngoài tại Việt Nam &gt;&gt; Giá trị rủi ro thanh toán (Rủi ro quá thời hạn thanh toán) </t>
        </is>
      </c>
      <c r="D3791" s="106" t="inlineStr">
        <is>
          <t>Mã sheet</t>
        </is>
      </c>
      <c r="E3791" s="106" t="inlineStr">
        <is>
          <t>Mã sheet</t>
        </is>
      </c>
      <c r="F3791" s="390" t="inlineStr">
        <is>
          <t>Data Explorer</t>
        </is>
      </c>
      <c r="G3791" s="390" t="inlineStr">
        <is>
          <t>Chiều</t>
        </is>
      </c>
      <c r="H3791" s="390" t="inlineStr">
        <is>
          <t>Dễ</t>
        </is>
      </c>
      <c r="I3791" s="390" t="inlineStr">
        <is>
          <t>Ngày, CTCK</t>
        </is>
      </c>
      <c r="J3791" s="401" t="inlineStr">
        <is>
          <t>SCMS</t>
        </is>
      </c>
      <c r="K3791" s="401" t="inlineStr">
        <is>
          <t>X</t>
        </is>
      </c>
      <c r="L3791" s="401" t="inlineStr">
        <is>
          <t>X</t>
        </is>
      </c>
      <c r="M3791" s="401" t="n"/>
      <c r="N3791" s="401" t="inlineStr">
        <is>
          <t>Done</t>
        </is>
      </c>
      <c r="O3791" s="401" t="n"/>
      <c r="P3791" s="401" t="n"/>
      <c r="Q3791" s="401" t="inlineStr">
        <is>
          <t>SCMS.BM_BAO_CAO
SCMS.BM_SHEET</t>
        </is>
      </c>
      <c r="R3791" s="401" t="inlineStr">
        <is>
          <t>bm.ID,
bm.MA_BAO_CAO,
bm.SU_DUNG,
s.BM_BAO_CAO_ID,
s.MA_SHEET,
s.TEN_SHEET,
s.SAP_XEP</t>
        </is>
      </c>
      <c r="S3791" s="401" t="n"/>
      <c r="T3791" s="389" t="inlineStr">
        <is>
          <t>-- Mã sheet / Tên sheet
-- TEN_SHEET: 06H05
SELECT bm.MA_BAO_CAO,
s.MA_SHEET,
s.TEN_SHEET
FROM SCMS.BM_BAO_CAO bm
JOIN SCMS.BM_SHEET s ON s.BM_BAO_CAO_ID = bm.ID
WHERE bm.MA_BAO_CAO LIKE 'BCTLAT_TT102/2025'
AND s.MA_SHEET = '06H05'  -- Check lại
AND bm.SU_DUNG = 1
ORDER BY bm.MA_BAO_CAO, s.SAP_XEP;</t>
        </is>
      </c>
      <c r="U3791" s="401" t="n"/>
      <c r="V3791" s="22" t="n"/>
      <c r="W3791" s="22" t="n"/>
      <c r="X3791" s="22" t="n"/>
      <c r="Y3791" s="13" t="n"/>
      <c r="Z3791" s="22" t="n"/>
      <c r="AA3791" s="22" t="n"/>
      <c r="AB3791" s="22" t="n"/>
      <c r="AC3791" s="22" t="n"/>
      <c r="AD3791" s="22" t="n"/>
      <c r="AE3791" s="22" t="n"/>
    </row>
    <row r="3792" ht="84" customHeight="1" s="380">
      <c r="A3792" s="148" t="n">
        <v>135</v>
      </c>
      <c r="B3792" s="390" t="n"/>
      <c r="C3792" s="390" t="inlineStr">
        <is>
          <t xml:space="preserve">Báo cáo tỷ lệ an toàn tài chính - Chi nhánh công ty chứng khoán nước ngoài tại Việt Nam &gt;&gt; Giá trị rủi ro thanh toán (Rủi ro quá thời hạn thanh toán) </t>
        </is>
      </c>
      <c r="D3792" s="106" t="inlineStr">
        <is>
          <t>Tên sheet</t>
        </is>
      </c>
      <c r="E3792" s="106" t="inlineStr">
        <is>
          <t>Tên sheet</t>
        </is>
      </c>
      <c r="F3792" s="390" t="inlineStr">
        <is>
          <t>Data Explorer</t>
        </is>
      </c>
      <c r="G3792" s="390" t="inlineStr">
        <is>
          <t>Chiều</t>
        </is>
      </c>
      <c r="H3792" s="390" t="inlineStr">
        <is>
          <t>Dễ</t>
        </is>
      </c>
      <c r="I3792" s="390" t="inlineStr">
        <is>
          <t>Ngày, CTCK</t>
        </is>
      </c>
      <c r="J3792" s="401" t="inlineStr">
        <is>
          <t>SCMS</t>
        </is>
      </c>
      <c r="K3792" s="401" t="inlineStr">
        <is>
          <t>X</t>
        </is>
      </c>
      <c r="L3792" s="401" t="inlineStr">
        <is>
          <t>X</t>
        </is>
      </c>
      <c r="M3792" s="401" t="n"/>
      <c r="N3792" s="401" t="inlineStr">
        <is>
          <t>Done</t>
        </is>
      </c>
      <c r="O3792" s="401" t="n"/>
      <c r="P3792" s="401" t="n"/>
      <c r="S3792" s="401" t="n"/>
      <c r="U3792" s="401" t="n"/>
      <c r="V3792" s="22" t="n"/>
      <c r="W3792" s="22" t="n"/>
      <c r="X3792" s="22" t="n"/>
      <c r="Y3792" s="13" t="n"/>
      <c r="Z3792" s="22" t="n"/>
      <c r="AA3792" s="22" t="n"/>
      <c r="AB3792" s="22" t="n"/>
      <c r="AC3792" s="22" t="n"/>
      <c r="AD3792" s="22" t="n"/>
      <c r="AE3792" s="22" t="n"/>
    </row>
    <row r="3793" ht="84" customHeight="1" s="380">
      <c r="A3793" s="148" t="n">
        <v>135</v>
      </c>
      <c r="B3793" s="390" t="n"/>
      <c r="C3793" s="390" t="inlineStr">
        <is>
          <t xml:space="preserve">Báo cáo tỷ lệ an toàn tài chính - Chi nhánh công ty chứng khoán nước ngoài tại Việt Nam &gt;&gt; Giá trị rủi ro thanh toán (Rủi ro quá thời hạn thanh toán) </t>
        </is>
      </c>
      <c r="D3793" s="106" t="inlineStr">
        <is>
          <t>Mã chỉ tiêu</t>
        </is>
      </c>
      <c r="E3793" s="107" t="inlineStr">
        <is>
          <t>Mã chỉ tiêu</t>
        </is>
      </c>
      <c r="F3793" s="390" t="inlineStr">
        <is>
          <t>Data Explorer</t>
        </is>
      </c>
      <c r="G3793" s="390" t="inlineStr">
        <is>
          <t>Chiều</t>
        </is>
      </c>
      <c r="H3793" s="390" t="inlineStr">
        <is>
          <t>Dễ</t>
        </is>
      </c>
      <c r="I3793" s="390" t="inlineStr">
        <is>
          <t>Ngày, CTCK</t>
        </is>
      </c>
      <c r="J3793" s="401" t="inlineStr">
        <is>
          <t>SCMS</t>
        </is>
      </c>
      <c r="K3793" s="401" t="inlineStr">
        <is>
          <t>X</t>
        </is>
      </c>
      <c r="L3793" s="401" t="inlineStr">
        <is>
          <t>X</t>
        </is>
      </c>
      <c r="M3793" s="401" t="n"/>
      <c r="N3793" s="401" t="inlineStr">
        <is>
          <t>Done</t>
        </is>
      </c>
      <c r="O3793" s="401" t="n"/>
      <c r="P3793" s="401" t="n"/>
      <c r="Q3793" s="401" t="inlineStr">
        <is>
          <t>SCMS.BM_BAO_CAO
SCMS.BM_SHEET
SCMS.BM_BAO_CAO_CT
SCMS.DM_CHI_TIEU</t>
        </is>
      </c>
      <c r="R3793" s="401" t="inlineStr">
        <is>
          <t>dct.ID,
dct.MA_CHI_TIEU,
dct.TEN_CHI_TIEU,
dct.SU_DUNG,
s.BM_BAO_CAO_ID,
s.MA_SHEET,
ct.BM_BAO_CAO_ID,
ct.DM_CHI_TIEU_ID,
ct.SU_DUNG,
bm.ID,
bm.MA_BAO_CAO,
bm.SU_DUNG</t>
        </is>
      </c>
      <c r="S3793" s="401" t="n"/>
      <c r="T3793" s="389" t="inlineStr">
        <is>
          <t>-- Mã chỉ tiêu / Tên chỉ tiêu
SELECT DISTINCT
    dct.MA_CHI_TIEU  AS ma_chi_tieu,
    dct.TEN_CHI_TIEU AS ten_chi_tieu
FROM SCMS.BM_BAO_CAO bm
JOIN SCMS.BM_SHEET s ON s.BM_BAO_CAO_ID = bm.ID
	AND s.MA_SHEET = '06H05'
JOIN SCMS.BM_BAO_CAO_CT ct ON ct.BM_SHEET_ID = s.ID
	AND ct.SU_DUNG = 1
JOIN SCMS.DM_CHI_TIEU dct ON dct.ID = ct.DM_CHI_TIEU_ID
	AND dct.SU_DUNG = 1
WHERE bm.MA_BAO_CAO LIKE 'BCTLAT_TT102/2025'
	AND bm.SU_DUNG = 1
ORDER BY dct.MA_CHI_TIEU;</t>
        </is>
      </c>
      <c r="U3793" s="401" t="n"/>
      <c r="V3793" s="22" t="n"/>
      <c r="W3793" s="22" t="n"/>
      <c r="X3793" s="22" t="n"/>
      <c r="Y3793" s="13" t="n"/>
      <c r="Z3793" s="22" t="n"/>
      <c r="AA3793" s="22" t="n"/>
      <c r="AB3793" s="22" t="n"/>
      <c r="AC3793" s="22" t="n"/>
      <c r="AD3793" s="22" t="n"/>
      <c r="AE3793" s="22" t="n"/>
    </row>
    <row r="3794" ht="84" customHeight="1" s="380">
      <c r="A3794" s="148" t="n">
        <v>135</v>
      </c>
      <c r="B3794" s="390" t="n"/>
      <c r="C3794" s="390" t="inlineStr">
        <is>
          <t xml:space="preserve">Báo cáo tỷ lệ an toàn tài chính - Chi nhánh công ty chứng khoán nước ngoài tại Việt Nam &gt;&gt; Giá trị rủi ro thanh toán (Rủi ro quá thời hạn thanh toán) </t>
        </is>
      </c>
      <c r="D3794" s="106" t="inlineStr">
        <is>
          <t>Tên chỉ tiêu</t>
        </is>
      </c>
      <c r="E3794" s="107" t="inlineStr">
        <is>
          <t>Tên chỉ tiêu</t>
        </is>
      </c>
      <c r="F3794" s="390" t="inlineStr">
        <is>
          <t>Data Explorer</t>
        </is>
      </c>
      <c r="G3794" s="390" t="inlineStr">
        <is>
          <t>Chiều</t>
        </is>
      </c>
      <c r="H3794" s="390" t="inlineStr">
        <is>
          <t>Dễ</t>
        </is>
      </c>
      <c r="I3794" s="390" t="inlineStr">
        <is>
          <t>Ngày, CTCK</t>
        </is>
      </c>
      <c r="J3794" s="401" t="inlineStr">
        <is>
          <t>SCMS</t>
        </is>
      </c>
      <c r="K3794" s="401" t="inlineStr">
        <is>
          <t>X</t>
        </is>
      </c>
      <c r="L3794" s="401" t="inlineStr">
        <is>
          <t>X</t>
        </is>
      </c>
      <c r="M3794" s="401" t="n"/>
      <c r="N3794" s="401" t="inlineStr">
        <is>
          <t>Done</t>
        </is>
      </c>
      <c r="O3794" s="401" t="n"/>
      <c r="P3794" s="401" t="n"/>
      <c r="S3794" s="401" t="n"/>
      <c r="U3794" s="401" t="n"/>
      <c r="V3794" s="22" t="n"/>
      <c r="W3794" s="22" t="n"/>
      <c r="X3794" s="22" t="n"/>
      <c r="Y3794" s="13" t="n"/>
      <c r="Z3794" s="22" t="n"/>
      <c r="AA3794" s="22" t="n"/>
      <c r="AB3794" s="22" t="n"/>
      <c r="AC3794" s="22" t="n"/>
      <c r="AD3794" s="22" t="n"/>
      <c r="AE3794" s="22" t="n"/>
    </row>
    <row r="3795" ht="84" customHeight="1" s="380">
      <c r="A3795" s="148" t="n">
        <v>135</v>
      </c>
      <c r="B3795" s="390" t="n"/>
      <c r="C3795" s="390" t="inlineStr">
        <is>
          <t xml:space="preserve">Báo cáo tỷ lệ an toàn tài chính - Chi nhánh công ty chứng khoán nước ngoài tại Việt Nam &gt;&gt; Giá trị rủi ro thanh toán (Rủi ro quá thời hạn thanh toán) </t>
        </is>
      </c>
      <c r="D3795" s="390" t="inlineStr">
        <is>
          <t xml:space="preserve">Từ 0 đến 15 ngày sau thời hạn thanh toán, chuyển giao chứng khoán
</t>
        </is>
      </c>
      <c r="E3795" s="390" t="inlineStr">
        <is>
          <t xml:space="preserve">Từ 0 đến 15 ngày sau thời hạn thanh toán, chuyển giao chứng khoán
</t>
        </is>
      </c>
      <c r="F3795" s="390" t="inlineStr">
        <is>
          <t>Data Explorer</t>
        </is>
      </c>
      <c r="G3795" s="390" t="inlineStr">
        <is>
          <t>Chỉ tiêu cơ sở</t>
        </is>
      </c>
      <c r="H3795" s="390" t="inlineStr">
        <is>
          <t>TB</t>
        </is>
      </c>
      <c r="I3795" s="390" t="inlineStr">
        <is>
          <t>Ngày, CTCK</t>
        </is>
      </c>
      <c r="J3795" s="401" t="inlineStr">
        <is>
          <t>SCMS</t>
        </is>
      </c>
      <c r="K3795" s="401" t="n"/>
      <c r="L3795" s="401" t="inlineStr">
        <is>
          <t>X</t>
        </is>
      </c>
      <c r="M3795" s="401" t="n"/>
      <c r="N3795" s="401" t="inlineStr">
        <is>
          <t>Done</t>
        </is>
      </c>
      <c r="O3795" s="401" t="n"/>
      <c r="P3795" s="401" t="n"/>
      <c r="Q3795" s="431" t="inlineStr">
        <is>
          <t>SCMS.BC_THANH_VIEN
SCMS.BM_BAO_CAO
SCMS.BC_BAO_CAO_GT
SCMS.BM_BAO_CAO_HANG
SCMS.BM_BAO_CAO_COT</t>
        </is>
      </c>
      <c r="R3795" s="431" t="inlineStr">
        <is>
          <t>bsc.TEN_COT,
bsc.BM_SHEET_ID,
bsh.ID,
bsh.MA_HANG,
gt.GIA_TRI,
gt.BC_THANH_VIEN_ID,
gt.BM_SHEET_HANG_ID,
bm.ID,
bm.MA_BAO_CAO,
btv.ID,
btv.BM_BAO_CAO_ID,
btv.TRANG_THAI,
btv.NGAY_SO_LIEU</t>
        </is>
      </c>
      <c r="S3795" s="401" t="n"/>
      <c r="T3795" s="432" t="inlineStr">
        <is>
          <t>-- CHỈ TIÊU
SELECT	
	-- Hệ số rủi ro (%)
	MAX(CASE WHEN bsc.TEN_COT=N'Hệ số rủi ro (%)' AND bsh.MA_HANG = '1' THEN CAST(gt.GIA_TRI AS VARCHAR2(4000)) END) AS "Từ 0 đến 15 ngày sau thời hạn thanh toán, chuyển giao chứng khoán",
	MAX(CASE WHEN bsc.TEN_COT=N'Hệ số rủi ro (%)' AND bsh.MA_HANG = '2' THEN CAST(gt.GIA_TRI AS VARCHAR2(4000)) END) AS "Từ 16 đến 30 ngày sau thời hạn thanh toán, chuyển giao chứng khoán",
	MAX(CASE WHEN bsc.TEN_COT=N'Hệ số rủi ro (%)' AND bsh.MA_HANG = '3' THEN CAST(gt.GIA_TRI AS VARCHAR2(4000)) END) AS "Từ 31 đến 60 ngày sau thời hạn thanh toán, chuyển giao chứng khoán",
	MAX(CASE WHEN bsc.TEN_COT=N'Hệ số rủi ro (%)' AND bsh.MA_HANG = '4' THEN CAST(gt.GIA_TRI AS VARCHAR2(4000)) END) AS "Trên 60 ngày sau thời hạn thanh toán, chuyển giao chứng khoán",
	MAX(CASE WHEN bsc.TEN_COT=N'Hệ số rủi ro (%)' AND bsh.MA_HANG = '5' THEN CAST(gt.GIA_TRI AS VARCHAR2(4000)) END) AS "TỔNG RỦI RO QUÁ THỜI HẠN THANH TOÁN",
	-- Quy mô rủi ro
	MAX(CASE WHEN bsc.TEN_COT=N'Quy mô rủi ro' AND bsh.MA_HANG = '1' THEN CAST(gt.GIA_TRI AS VARCHAR2(4000)) END) AS "Từ 0 đến 15 ngày sau thời hạn thanh toán, chuyển giao chứng khoán",
	MAX(CASE WHEN bsc.TEN_COT=N'Quy mô rủi ro' AND bsh.MA_HANG = '2' THEN CAST(gt.GIA_TRI AS VARCHAR2(4000)) END) AS "Từ 16 đến 30 ngày sau thời hạn thanh toán, chuyển giao chứng khoán",
	MAX(CASE WHEN bsc.TEN_COT=N'Quy mô rủi ro' AND bsh.MA_HANG = '3' THEN CAST(gt.GIA_TRI AS VARCHAR2(4000)) END) AS "Từ 31 đến 60 ngày sau thời hạn thanh toán, chuyển giao chứng khoán",
	MAX(CASE WHEN bsc.TEN_COT=N'Quy mô rủi ro' AND bsh.MA_HANG = '4' THEN CAST(gt.GIA_TRI AS VARCHAR2(4000)) END) AS "Trên 60 ngày sau thời hạn thanh toán, chuyển giao chứng khoán",
	MAX(CASE WHEN bsc.TEN_COT=N'Quy mô rủi ro' AND bsh.MA_HANG = '5' THEN CAST(gt.GIA_TRI AS VARCHAR2(4000)) END) AS "TỔNG RỦI RO QUÁ THỜI HẠN THANH TOÁN",
	-- Giá trị rủi ro
	MAX(CASE WHEN bsc.TEN_COT=N'Giá trị rủi ro' AND bsh.MA_HANG = '1' THEN CAST(gt.GIA_TRI AS VARCHAR2(4000)) END) AS "Từ 0 đến 15 ngày sau thời hạn thanh toán, chuyển giao chứng khoán",
	MAX(CASE WHEN bsc.TEN_COT=N'Giá trị rủi ro' AND bsh.MA_HANG = '2' THEN CAST(gt.GIA_TRI AS VARCHAR2(4000)) END) AS "Từ 16 đến 30 ngày sau thời hạn thanh toán, chuyển giao chứng khoán",
	MAX(CASE WHEN bsc.TEN_COT=N'Giá trị rủi ro' AND bsh.MA_HANG = '3' THEN CAST(gt.GIA_TRI AS VARCHAR2(4000)) END) AS "Từ 31 đến 60 ngày sau thời hạn thanh toán, chuyển giao chứng khoán",
	MAX(CASE WHEN bsc.TEN_COT=N'Giá trị rủi ro' AND bsh.MA_HANG = '4' THEN CAST(gt.GIA_TRI AS VARCHAR2(4000)) END) AS "Trên 60 ngày sau thời hạn thanh toán, chuyển giao chứng khoán",
	MAX(CASE WHEN bsc.TEN_COT=N'Giá trị rủi ro' AND bsh.MA_HANG = '5' THEN CAST(gt.GIA_TRI AS VARCHAR2(4000)) END) AS "TỔNG RỦI RO QUÁ THỜI HẠN THANH TOÁN"
FROM SCMS.BC_THANH_VIEN btv
JOIN SCMS.BM_BAO_CAO bm ON bm.ID = btv.BM_BAO_CAO_ID
JOIN SCMS.BC_BAO_CAO_GT gt ON gt.BC_THANH_VIEN_ID = btv.ID
JOIN SCMS.BM_BAO_CAO_HANG bsh ON bsh.ID = gt.BM_SHEET_HANG_ID
JOIN SCMS.BM_BAO_CAO_COT bsc ON bsc.BM_SHEET_ID = 8379
--                               AND bsc.TEN_COT = gt.TEN_COT
WHERE bm.MA_BAO_CAO LIKE 'BCTLAT_TT102/2025'
  AND btv.TRANG_THAI IN (2, 3)
GROUP BY
    btv.ID, btv.CTCK_THONG_TIN_ID, btv.NGAY_SO_LIEU, btv.TRANG_THAI,
    bm.MA_BAO_CAO
ORDER BY btv.NGAY_SO_LIEU DESC;</t>
        </is>
      </c>
      <c r="U3795" s="401" t="n"/>
      <c r="V3795" s="22" t="n"/>
      <c r="W3795" s="22" t="n"/>
      <c r="X3795" s="22" t="n"/>
      <c r="Y3795" s="13" t="n"/>
      <c r="Z3795" s="22" t="n"/>
      <c r="AA3795" s="22" t="n"/>
      <c r="AB3795" s="22" t="n"/>
      <c r="AC3795" s="22" t="n"/>
      <c r="AD3795" s="22" t="n"/>
      <c r="AE3795" s="22" t="n"/>
    </row>
    <row r="3796" ht="84" customHeight="1" s="380">
      <c r="A3796" s="148" t="n">
        <v>135</v>
      </c>
      <c r="B3796" s="390" t="n"/>
      <c r="C3796" s="390" t="inlineStr">
        <is>
          <t xml:space="preserve">Báo cáo tỷ lệ an toàn tài chính - Chi nhánh công ty chứng khoán nước ngoài tại Việt Nam &gt;&gt; Giá trị rủi ro thanh toán (Rủi ro quá thời hạn thanh toán) </t>
        </is>
      </c>
      <c r="D3796" s="390" t="inlineStr">
        <is>
          <t xml:space="preserve">Từ 16 đến 30 ngày sau thời hạn thanh toán, chuyển giao chứng khoán
</t>
        </is>
      </c>
      <c r="E3796" s="390" t="inlineStr">
        <is>
          <t xml:space="preserve">Từ 16 đến 30 ngày sau thời hạn thanh toán, chuyển giao chứng khoán
</t>
        </is>
      </c>
      <c r="F3796" s="390" t="inlineStr">
        <is>
          <t>Data Explorer</t>
        </is>
      </c>
      <c r="G3796" s="390" t="inlineStr">
        <is>
          <t>Chỉ tiêu cơ sở</t>
        </is>
      </c>
      <c r="H3796" s="390" t="inlineStr">
        <is>
          <t>TB</t>
        </is>
      </c>
      <c r="I3796" s="390" t="inlineStr">
        <is>
          <t>Ngày, CTCK</t>
        </is>
      </c>
      <c r="J3796" s="401" t="inlineStr">
        <is>
          <t>SCMS</t>
        </is>
      </c>
      <c r="K3796" s="401" t="n"/>
      <c r="L3796" s="401" t="inlineStr">
        <is>
          <t>X</t>
        </is>
      </c>
      <c r="M3796" s="401" t="n"/>
      <c r="N3796" s="401" t="inlineStr">
        <is>
          <t>Done</t>
        </is>
      </c>
      <c r="O3796" s="401" t="n"/>
      <c r="P3796" s="401" t="n"/>
      <c r="S3796" s="401" t="n"/>
      <c r="U3796" s="401" t="n"/>
      <c r="V3796" s="22" t="n"/>
      <c r="W3796" s="22" t="n"/>
      <c r="X3796" s="22" t="n"/>
      <c r="Y3796" s="13" t="n"/>
      <c r="Z3796" s="22" t="n"/>
      <c r="AA3796" s="22" t="n"/>
      <c r="AB3796" s="22" t="n"/>
      <c r="AC3796" s="22" t="n"/>
      <c r="AD3796" s="22" t="n"/>
      <c r="AE3796" s="22" t="n"/>
    </row>
    <row r="3797" ht="84" customHeight="1" s="380">
      <c r="A3797" s="148" t="n">
        <v>135</v>
      </c>
      <c r="B3797" s="390" t="n"/>
      <c r="C3797" s="390" t="inlineStr">
        <is>
          <t xml:space="preserve">Báo cáo tỷ lệ an toàn tài chính - Chi nhánh công ty chứng khoán nước ngoài tại Việt Nam &gt;&gt; Giá trị rủi ro thanh toán (Rủi ro quá thời hạn thanh toán) </t>
        </is>
      </c>
      <c r="D3797" s="390" t="inlineStr">
        <is>
          <t xml:space="preserve">Từ 31 đến 60 ngày sau thời hạn thanh toán, chuyển giao chứng khoán
</t>
        </is>
      </c>
      <c r="E3797" s="390" t="inlineStr">
        <is>
          <t xml:space="preserve">Từ 31 đến 60 ngày sau thời hạn thanh toán, chuyển giao chứng khoán
</t>
        </is>
      </c>
      <c r="F3797" s="390" t="inlineStr">
        <is>
          <t>Data Explorer</t>
        </is>
      </c>
      <c r="G3797" s="390" t="inlineStr">
        <is>
          <t>Chỉ tiêu cơ sở</t>
        </is>
      </c>
      <c r="H3797" s="390" t="inlineStr">
        <is>
          <t>TB</t>
        </is>
      </c>
      <c r="I3797" s="390" t="inlineStr">
        <is>
          <t>Ngày, CTCK</t>
        </is>
      </c>
      <c r="J3797" s="401" t="inlineStr">
        <is>
          <t>SCMS</t>
        </is>
      </c>
      <c r="K3797" s="401" t="n"/>
      <c r="L3797" s="401" t="inlineStr">
        <is>
          <t>X</t>
        </is>
      </c>
      <c r="M3797" s="401" t="n"/>
      <c r="N3797" s="401" t="inlineStr">
        <is>
          <t>Done</t>
        </is>
      </c>
      <c r="O3797" s="401" t="n"/>
      <c r="P3797" s="401" t="n"/>
      <c r="S3797" s="401" t="n"/>
      <c r="U3797" s="401" t="n"/>
      <c r="V3797" s="22" t="n"/>
      <c r="W3797" s="22" t="n"/>
      <c r="X3797" s="22" t="n"/>
      <c r="Y3797" s="13" t="n"/>
      <c r="Z3797" s="22" t="n"/>
      <c r="AA3797" s="22" t="n"/>
      <c r="AB3797" s="22" t="n"/>
      <c r="AC3797" s="22" t="n"/>
      <c r="AD3797" s="22" t="n"/>
      <c r="AE3797" s="22" t="n"/>
    </row>
    <row r="3798" ht="84" customHeight="1" s="380">
      <c r="A3798" s="148" t="n">
        <v>135</v>
      </c>
      <c r="B3798" s="390" t="n"/>
      <c r="C3798" s="390" t="inlineStr">
        <is>
          <t xml:space="preserve">Báo cáo tỷ lệ an toàn tài chính - Chi nhánh công ty chứng khoán nước ngoài tại Việt Nam &gt;&gt; Giá trị rủi ro thanh toán (Rủi ro quá thời hạn thanh toán) </t>
        </is>
      </c>
      <c r="D3798" s="390" t="inlineStr">
        <is>
          <t>Trên 60 ngày sau thời hạn thanh toán,
chuyển giao chứng khoán</t>
        </is>
      </c>
      <c r="E3798" s="390" t="inlineStr">
        <is>
          <t>Trên 60 ngày sau thời hạn thanh toán,
chuyển giao chứng khoán</t>
        </is>
      </c>
      <c r="F3798" s="390" t="inlineStr">
        <is>
          <t>Data Explorer</t>
        </is>
      </c>
      <c r="G3798" s="390" t="inlineStr">
        <is>
          <t>Chỉ tiêu cơ sở</t>
        </is>
      </c>
      <c r="H3798" s="390" t="inlineStr">
        <is>
          <t>TB</t>
        </is>
      </c>
      <c r="I3798" s="390" t="inlineStr">
        <is>
          <t>Ngày, CTCK</t>
        </is>
      </c>
      <c r="J3798" s="401" t="inlineStr">
        <is>
          <t>SCMS</t>
        </is>
      </c>
      <c r="K3798" s="401" t="n"/>
      <c r="L3798" s="401" t="inlineStr">
        <is>
          <t>X</t>
        </is>
      </c>
      <c r="M3798" s="401" t="n"/>
      <c r="N3798" s="401" t="inlineStr">
        <is>
          <t>Done</t>
        </is>
      </c>
      <c r="O3798" s="401" t="n"/>
      <c r="P3798" s="401" t="n"/>
      <c r="S3798" s="401" t="n"/>
      <c r="U3798" s="401" t="n"/>
      <c r="V3798" s="22" t="n"/>
      <c r="W3798" s="22" t="n"/>
      <c r="X3798" s="22" t="n"/>
      <c r="Y3798" s="38" t="n"/>
      <c r="Z3798" s="22" t="n"/>
      <c r="AA3798" s="22" t="n"/>
      <c r="AB3798" s="22" t="n"/>
      <c r="AC3798" s="22" t="n"/>
      <c r="AD3798" s="22" t="n"/>
      <c r="AE3798" s="22" t="n"/>
    </row>
    <row r="3799" ht="84" customHeight="1" s="380">
      <c r="A3799" s="149" t="n">
        <v>135</v>
      </c>
      <c r="B3799" s="129" t="n"/>
      <c r="C3799" s="129" t="inlineStr">
        <is>
          <t xml:space="preserve">Báo cáo tỷ lệ an toàn tài chính - Chi nhánh công ty chứng khoán nước ngoài tại Việt Nam &gt;&gt; Giá trị rủi ro thanh toán (Rủi ro quá thời hạn thanh toán) </t>
        </is>
      </c>
      <c r="D3799" s="129" t="inlineStr">
        <is>
          <t>TỔNG RỦI RO QUÁ THỜI HẠN THANH TOÁN</t>
        </is>
      </c>
      <c r="E3799" s="129" t="inlineStr">
        <is>
          <t>TỔNG RỦI RO QUÁ THỜI HẠN THANH TOÁN</t>
        </is>
      </c>
      <c r="F3799" s="129" t="inlineStr">
        <is>
          <t>Data Explorer</t>
        </is>
      </c>
      <c r="G3799" s="129" t="inlineStr">
        <is>
          <t>Chỉ tiêu cơ sở</t>
        </is>
      </c>
      <c r="H3799" s="129" t="inlineStr">
        <is>
          <t>TB</t>
        </is>
      </c>
      <c r="I3799" s="129" t="inlineStr">
        <is>
          <t>Ngày, CTCK</t>
        </is>
      </c>
      <c r="J3799" s="85" t="inlineStr">
        <is>
          <t>SCMS</t>
        </is>
      </c>
      <c r="K3799" s="85" t="n"/>
      <c r="L3799" s="85" t="inlineStr">
        <is>
          <t>X</t>
        </is>
      </c>
      <c r="M3799" s="85" t="n"/>
      <c r="N3799" s="85" t="inlineStr">
        <is>
          <t>Done</t>
        </is>
      </c>
      <c r="O3799" s="85" t="n"/>
      <c r="P3799" s="85" t="n"/>
      <c r="Q3799" s="426" t="n"/>
      <c r="R3799" s="426" t="n"/>
      <c r="S3799" s="85" t="n"/>
      <c r="T3799" s="426" t="n"/>
      <c r="U3799" s="85" t="n"/>
      <c r="V3799" s="130" t="n"/>
      <c r="W3799" s="130" t="n"/>
      <c r="X3799" s="130" t="n"/>
      <c r="Y3799" s="97" t="n"/>
      <c r="Z3799" s="130" t="n"/>
      <c r="AA3799" s="130" t="n"/>
      <c r="AB3799" s="130" t="n"/>
      <c r="AC3799" s="130" t="n"/>
      <c r="AD3799" s="130" t="n"/>
      <c r="AE3799" s="130" t="n"/>
    </row>
    <row r="3800" ht="98" customHeight="1" s="380">
      <c r="A3800" s="148" t="n">
        <v>136</v>
      </c>
      <c r="B3800" s="140" t="inlineStr">
        <is>
          <t>Nga</t>
        </is>
      </c>
      <c r="C3800" s="127" t="inlineStr">
        <is>
          <t>Báo cáo tỷ lệ an toàn tài chính - Chi nhánh công ty chứng khoán nước ngoài tại Việt Nam &gt;&gt; Giá trị rủi ro thanh toán (Rủi ro từ các khoản tạm ứng, hợp đồng, giao dịch khác)</t>
        </is>
      </c>
      <c r="D3800" s="106" t="inlineStr">
        <is>
          <t>Loại báo cáo</t>
        </is>
      </c>
      <c r="E3800" s="107" t="inlineStr">
        <is>
          <t>Loại báo cáo</t>
        </is>
      </c>
      <c r="F3800" s="390" t="inlineStr">
        <is>
          <t>Data Explorer</t>
        </is>
      </c>
      <c r="G3800" s="390" t="inlineStr">
        <is>
          <t>Chiều</t>
        </is>
      </c>
      <c r="H3800" s="390" t="inlineStr">
        <is>
          <t>Dễ</t>
        </is>
      </c>
      <c r="I3800" s="390" t="inlineStr">
        <is>
          <t>Ngày, CTCK</t>
        </is>
      </c>
      <c r="J3800" s="401" t="inlineStr">
        <is>
          <t>SCMS</t>
        </is>
      </c>
      <c r="K3800" s="401" t="inlineStr">
        <is>
          <t>X</t>
        </is>
      </c>
      <c r="L3800" s="401" t="inlineStr">
        <is>
          <t>X</t>
        </is>
      </c>
      <c r="M3800" s="401" t="n"/>
      <c r="N3800" s="401" t="inlineStr">
        <is>
          <t>Done</t>
        </is>
      </c>
      <c r="O3800" s="401" t="n"/>
      <c r="P3800" s="401" t="n"/>
      <c r="Q3800" s="404" t="inlineStr">
        <is>
          <t>SCMS.BM_BAO_CAO
SCMS.BM_BAO_CAO_DINH_KY</t>
        </is>
      </c>
      <c r="R3800" s="404" t="inlineStr">
        <is>
          <t>bm.ID,
bm.MA_BAO_CAO,
bm.LOAI_BAO_CAO,
bm.TEN_BAO_CAO,
bm.SU_DUNG,
bdk.BM_BAO_CAO_ID,
bdk.KY_BAO_CAO,
bdk.SU_DUNG</t>
        </is>
      </c>
      <c r="S3800" s="401" t="n"/>
      <c r="T3800" s="390"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3800" s="401" t="n"/>
      <c r="V3800" s="22" t="n"/>
      <c r="W3800" s="22" t="n"/>
      <c r="X3800" s="22" t="n"/>
      <c r="Y3800" s="13" t="n"/>
      <c r="Z3800" s="22" t="n"/>
      <c r="AA3800" s="22" t="n"/>
      <c r="AB3800" s="22" t="n"/>
      <c r="AC3800" s="22" t="n"/>
      <c r="AD3800" s="22" t="n"/>
      <c r="AE3800" s="22" t="n"/>
    </row>
    <row r="3801" ht="98" customHeight="1" s="380">
      <c r="A3801" s="148" t="n">
        <v>136</v>
      </c>
      <c r="B3801" s="390" t="n"/>
      <c r="C3801" s="390" t="inlineStr">
        <is>
          <t>Báo cáo tỷ lệ an toàn tài chính - Chi nhánh công ty chứng khoán nước ngoài tại Việt Nam &gt;&gt; Giá trị rủi ro thanh toán (Rủi ro từ các khoản tạm ứng, hợp đồng, giao dịch khác)</t>
        </is>
      </c>
      <c r="D3801" s="106" t="inlineStr">
        <is>
          <t>Kỳ báo cáo</t>
        </is>
      </c>
      <c r="E3801" s="107" t="inlineStr">
        <is>
          <t>Kỳ báo cáo</t>
        </is>
      </c>
      <c r="F3801" s="390" t="inlineStr">
        <is>
          <t>Data Explorer</t>
        </is>
      </c>
      <c r="G3801" s="390" t="inlineStr">
        <is>
          <t>Chiều</t>
        </is>
      </c>
      <c r="H3801" s="390" t="inlineStr">
        <is>
          <t>Dễ</t>
        </is>
      </c>
      <c r="I3801" s="390" t="inlineStr">
        <is>
          <t>Ngày, CTCK</t>
        </is>
      </c>
      <c r="J3801" s="401" t="inlineStr">
        <is>
          <t>SCMS</t>
        </is>
      </c>
      <c r="K3801" s="401" t="inlineStr">
        <is>
          <t>X</t>
        </is>
      </c>
      <c r="L3801" s="401" t="inlineStr">
        <is>
          <t>X</t>
        </is>
      </c>
      <c r="M3801" s="401" t="n"/>
      <c r="N3801" s="401" t="inlineStr">
        <is>
          <t>Done</t>
        </is>
      </c>
      <c r="O3801" s="401" t="n"/>
      <c r="P3801" s="401" t="n"/>
      <c r="S3801" s="401" t="n"/>
      <c r="U3801" s="401" t="n"/>
      <c r="V3801" s="22" t="n"/>
      <c r="W3801" s="22" t="n"/>
      <c r="X3801" s="22" t="n"/>
      <c r="Y3801" s="13" t="n"/>
      <c r="Z3801" s="22" t="n"/>
      <c r="AA3801" s="22" t="n"/>
      <c r="AB3801" s="22" t="n"/>
      <c r="AC3801" s="22" t="n"/>
      <c r="AD3801" s="22" t="n"/>
      <c r="AE3801" s="22" t="n"/>
    </row>
    <row r="3802" ht="98" customHeight="1" s="380">
      <c r="A3802" s="148" t="n">
        <v>136</v>
      </c>
      <c r="B3802" s="390" t="n"/>
      <c r="C3802" s="390" t="inlineStr">
        <is>
          <t>Báo cáo tỷ lệ an toàn tài chính - Chi nhánh công ty chứng khoán nước ngoài tại Việt Nam &gt;&gt; Giá trị rủi ro thanh toán (Rủi ro từ các khoản tạm ứng, hợp đồng, giao dịch khác)</t>
        </is>
      </c>
      <c r="D3802" s="106" t="inlineStr">
        <is>
          <t>Mã báo cáo</t>
        </is>
      </c>
      <c r="E3802" s="107" t="inlineStr">
        <is>
          <t>Mã báo cáo</t>
        </is>
      </c>
      <c r="F3802" s="390" t="inlineStr">
        <is>
          <t>Data Explorer</t>
        </is>
      </c>
      <c r="G3802" s="390" t="inlineStr">
        <is>
          <t>Chiều</t>
        </is>
      </c>
      <c r="H3802" s="390" t="inlineStr">
        <is>
          <t>Dễ</t>
        </is>
      </c>
      <c r="I3802" s="390" t="inlineStr">
        <is>
          <t>Ngày, CTCK</t>
        </is>
      </c>
      <c r="J3802" s="401" t="inlineStr">
        <is>
          <t>SCMS</t>
        </is>
      </c>
      <c r="K3802" s="401" t="inlineStr">
        <is>
          <t>X</t>
        </is>
      </c>
      <c r="L3802" s="401" t="inlineStr">
        <is>
          <t>X</t>
        </is>
      </c>
      <c r="M3802" s="401" t="n"/>
      <c r="N3802" s="401" t="inlineStr">
        <is>
          <t>Done</t>
        </is>
      </c>
      <c r="O3802" s="401" t="n"/>
      <c r="P3802" s="401" t="n"/>
      <c r="S3802" s="401" t="n"/>
      <c r="U3802" s="401" t="n"/>
      <c r="V3802" s="22" t="n"/>
      <c r="W3802" s="22" t="n"/>
      <c r="X3802" s="22" t="n"/>
      <c r="Y3802" s="13" t="n"/>
      <c r="Z3802" s="22" t="n"/>
      <c r="AA3802" s="22" t="n"/>
      <c r="AB3802" s="22" t="n"/>
      <c r="AC3802" s="22" t="n"/>
      <c r="AD3802" s="22" t="n"/>
      <c r="AE3802" s="22" t="n"/>
    </row>
    <row r="3803" ht="98" customHeight="1" s="380">
      <c r="A3803" s="148" t="n">
        <v>136</v>
      </c>
      <c r="B3803" s="390" t="n"/>
      <c r="C3803" s="390" t="inlineStr">
        <is>
          <t>Báo cáo tỷ lệ an toàn tài chính - Chi nhánh công ty chứng khoán nước ngoài tại Việt Nam &gt;&gt; Giá trị rủi ro thanh toán (Rủi ro từ các khoản tạm ứng, hợp đồng, giao dịch khác)</t>
        </is>
      </c>
      <c r="D3803" s="106" t="inlineStr">
        <is>
          <t>Tên báo cáo</t>
        </is>
      </c>
      <c r="E3803" s="107" t="inlineStr">
        <is>
          <t>Tên báo cáo</t>
        </is>
      </c>
      <c r="F3803" s="390" t="inlineStr">
        <is>
          <t>Data Explorer</t>
        </is>
      </c>
      <c r="G3803" s="390" t="inlineStr">
        <is>
          <t>Chiều</t>
        </is>
      </c>
      <c r="H3803" s="390" t="inlineStr">
        <is>
          <t>Dễ</t>
        </is>
      </c>
      <c r="I3803" s="390" t="inlineStr">
        <is>
          <t>Ngày, CTCK</t>
        </is>
      </c>
      <c r="J3803" s="401" t="inlineStr">
        <is>
          <t>SCMS</t>
        </is>
      </c>
      <c r="K3803" s="401" t="inlineStr">
        <is>
          <t>X</t>
        </is>
      </c>
      <c r="L3803" s="401" t="inlineStr">
        <is>
          <t>X</t>
        </is>
      </c>
      <c r="M3803" s="401" t="n"/>
      <c r="N3803" s="401" t="inlineStr">
        <is>
          <t>Done</t>
        </is>
      </c>
      <c r="O3803" s="401" t="n"/>
      <c r="P3803" s="401" t="n"/>
      <c r="S3803" s="401" t="n"/>
      <c r="U3803" s="401" t="n"/>
      <c r="V3803" s="22" t="n"/>
      <c r="W3803" s="22" t="n"/>
      <c r="X3803" s="22" t="n"/>
      <c r="Y3803" s="13" t="n"/>
      <c r="Z3803" s="22" t="n"/>
      <c r="AA3803" s="22" t="n"/>
      <c r="AB3803" s="22" t="n"/>
      <c r="AC3803" s="22" t="n"/>
      <c r="AD3803" s="22" t="n"/>
      <c r="AE3803" s="22" t="n"/>
    </row>
    <row r="3804" ht="98" customHeight="1" s="380">
      <c r="A3804" s="148" t="n">
        <v>136</v>
      </c>
      <c r="B3804" s="390" t="n"/>
      <c r="C3804" s="390" t="inlineStr">
        <is>
          <t>Báo cáo tỷ lệ an toàn tài chính - Chi nhánh công ty chứng khoán nước ngoài tại Việt Nam &gt;&gt; Giá trị rủi ro thanh toán (Rủi ro từ các khoản tạm ứng, hợp đồng, giao dịch khác)</t>
        </is>
      </c>
      <c r="D3804" s="106" t="inlineStr">
        <is>
          <t>Mã sheet</t>
        </is>
      </c>
      <c r="E3804" s="106" t="inlineStr">
        <is>
          <t>Mã sheet</t>
        </is>
      </c>
      <c r="F3804" s="390" t="inlineStr">
        <is>
          <t>Data Explorer</t>
        </is>
      </c>
      <c r="G3804" s="390" t="inlineStr">
        <is>
          <t>Chiều</t>
        </is>
      </c>
      <c r="H3804" s="390" t="inlineStr">
        <is>
          <t>Dễ</t>
        </is>
      </c>
      <c r="I3804" s="390" t="inlineStr">
        <is>
          <t>Ngày, CTCK</t>
        </is>
      </c>
      <c r="J3804" s="401" t="inlineStr">
        <is>
          <t>SCMS</t>
        </is>
      </c>
      <c r="K3804" s="401" t="inlineStr">
        <is>
          <t>X</t>
        </is>
      </c>
      <c r="L3804" s="401" t="inlineStr">
        <is>
          <t>X</t>
        </is>
      </c>
      <c r="M3804" s="401" t="n"/>
      <c r="N3804" s="401" t="inlineStr">
        <is>
          <t>Done</t>
        </is>
      </c>
      <c r="O3804" s="401" t="n"/>
      <c r="P3804" s="401" t="n"/>
      <c r="Q3804" s="401" t="inlineStr">
        <is>
          <t>SCMS.BM_BAO_CAO
SCMS.BM_SHEET</t>
        </is>
      </c>
      <c r="R3804" s="401" t="inlineStr">
        <is>
          <t>bm.ID,
bm.MA_BAO_CAO,
bm.SU_DUNG,
s.BM_BAO_CAO_ID,
s.MA_SHEET,
s.TEN_SHEET,
s.SAP_XEP</t>
        </is>
      </c>
      <c r="S3804" s="401" t="n"/>
      <c r="T3804" s="390" t="inlineStr">
        <is>
          <t>-- Mã sheet / Tên sheet
-- TEN_SHEET: 06H09
SELECT bm.MA_BAO_CAO,
s.MA_SHEET,
s.TEN_SHEET
FROM SCMS.BM_BAO_CAO bm
JOIN SCMS.BM_SHEET s ON s.BM_BAO_CAO_ID = bm.ID
WHERE bm.MA_BAO_CAO LIKE 'BCTLAT_TT102/2025'
AND s.MA_SHEET = '06H09'  -- Check lại
AND bm.SU_DUNG = 1
ORDER BY bm.MA_BAO_CAO, s.SAP_XEP;</t>
        </is>
      </c>
      <c r="U3804" s="401" t="n"/>
      <c r="V3804" s="22" t="n"/>
      <c r="W3804" s="22" t="n"/>
      <c r="X3804" s="22" t="n"/>
      <c r="Y3804" s="13" t="n"/>
      <c r="Z3804" s="22" t="n"/>
      <c r="AA3804" s="22" t="n"/>
      <c r="AB3804" s="22" t="n"/>
      <c r="AC3804" s="22" t="n"/>
      <c r="AD3804" s="22" t="n"/>
      <c r="AE3804" s="22" t="n"/>
    </row>
    <row r="3805" ht="98" customHeight="1" s="380">
      <c r="A3805" s="148" t="n">
        <v>136</v>
      </c>
      <c r="B3805" s="390" t="n"/>
      <c r="C3805" s="390" t="inlineStr">
        <is>
          <t>Báo cáo tỷ lệ an toàn tài chính - Chi nhánh công ty chứng khoán nước ngoài tại Việt Nam &gt;&gt; Giá trị rủi ro thanh toán (Rủi ro từ các khoản tạm ứng, hợp đồng, giao dịch khác)</t>
        </is>
      </c>
      <c r="D3805" s="106" t="inlineStr">
        <is>
          <t>Tên sheet</t>
        </is>
      </c>
      <c r="E3805" s="106" t="inlineStr">
        <is>
          <t>Tên sheet</t>
        </is>
      </c>
      <c r="F3805" s="390" t="inlineStr">
        <is>
          <t>Data Explorer</t>
        </is>
      </c>
      <c r="G3805" s="390" t="inlineStr">
        <is>
          <t>Chiều</t>
        </is>
      </c>
      <c r="H3805" s="390" t="inlineStr">
        <is>
          <t>Dễ</t>
        </is>
      </c>
      <c r="I3805" s="390" t="inlineStr">
        <is>
          <t>Ngày, CTCK</t>
        </is>
      </c>
      <c r="J3805" s="401" t="inlineStr">
        <is>
          <t>SCMS</t>
        </is>
      </c>
      <c r="K3805" s="401" t="inlineStr">
        <is>
          <t>X</t>
        </is>
      </c>
      <c r="L3805" s="401" t="inlineStr">
        <is>
          <t>X</t>
        </is>
      </c>
      <c r="M3805" s="401" t="n"/>
      <c r="N3805" s="401" t="inlineStr">
        <is>
          <t>Done</t>
        </is>
      </c>
      <c r="O3805" s="401" t="n"/>
      <c r="P3805" s="401" t="n"/>
      <c r="S3805" s="401" t="n"/>
      <c r="U3805" s="401" t="n"/>
      <c r="V3805" s="22" t="n"/>
      <c r="W3805" s="22" t="n"/>
      <c r="X3805" s="22" t="n"/>
      <c r="Y3805" s="13" t="n"/>
      <c r="Z3805" s="22" t="n"/>
      <c r="AA3805" s="22" t="n"/>
      <c r="AB3805" s="22" t="n"/>
      <c r="AC3805" s="22" t="n"/>
      <c r="AD3805" s="22" t="n"/>
      <c r="AE3805" s="22" t="n"/>
    </row>
    <row r="3806" ht="98" customHeight="1" s="380">
      <c r="A3806" s="148" t="n">
        <v>136</v>
      </c>
      <c r="B3806" s="390" t="n"/>
      <c r="C3806" s="390" t="inlineStr">
        <is>
          <t>Báo cáo tỷ lệ an toàn tài chính - Chi nhánh công ty chứng khoán nước ngoài tại Việt Nam &gt;&gt; Giá trị rủi ro thanh toán (Rủi ro từ các khoản tạm ứng, hợp đồng, giao dịch khác)</t>
        </is>
      </c>
      <c r="D3806" s="106" t="inlineStr">
        <is>
          <t>Mã chỉ tiêu</t>
        </is>
      </c>
      <c r="E3806" s="107" t="inlineStr">
        <is>
          <t>Mã chỉ tiêu</t>
        </is>
      </c>
      <c r="F3806" s="390" t="inlineStr">
        <is>
          <t>Data Explorer</t>
        </is>
      </c>
      <c r="G3806" s="390" t="inlineStr">
        <is>
          <t>Chiều</t>
        </is>
      </c>
      <c r="H3806" s="390" t="inlineStr">
        <is>
          <t>Dễ</t>
        </is>
      </c>
      <c r="I3806" s="390" t="inlineStr">
        <is>
          <t>Ngày, CTCK</t>
        </is>
      </c>
      <c r="J3806" s="401" t="inlineStr">
        <is>
          <t>SCMS</t>
        </is>
      </c>
      <c r="K3806" s="401" t="inlineStr">
        <is>
          <t>X</t>
        </is>
      </c>
      <c r="L3806" s="401" t="inlineStr">
        <is>
          <t>X</t>
        </is>
      </c>
      <c r="M3806" s="401" t="n"/>
      <c r="N3806" s="401" t="inlineStr">
        <is>
          <t>Done</t>
        </is>
      </c>
      <c r="O3806" s="401" t="n"/>
      <c r="P3806" s="401" t="n"/>
      <c r="Q3806" s="401" t="inlineStr">
        <is>
          <t>SCMS.BM_BAO_CAO
SCMS.BM_SHEET
SCMS.BM_BAO_CAO_CT
SCMS.DM_CHI_TIEU</t>
        </is>
      </c>
      <c r="R3806" s="401" t="inlineStr">
        <is>
          <t>dct.ID,
dct.MA_CHI_TIEU,
dct.TEN_CHI_TIEU,
dct.SU_DUNG,
s.BM_BAO_CAO_ID,
s.MA_SHEET,
ct.BM_BAO_CAO_ID,
ct.DM_CHI_TIEU_ID,
ct.SU_DUNG,
bm.ID,
bm.MA_BAO_CAO,
bm.SU_DUNG</t>
        </is>
      </c>
      <c r="S3806" s="401" t="n"/>
      <c r="T3806" s="389" t="inlineStr">
        <is>
          <t>-- Mã chỉ tiêu / Tên chỉ tiêu
SELECT DISTINCT
    dct.MA_CHI_TIEU  AS ma_chi_tieu,
    dct.TEN_CHI_TIEU AS ten_chi_tieu
FROM SCMS.BM_BAO_CAO bm
JOIN SCMS.BM_SHEET s ON s.BM_BAO_CAO_ID = bm.ID
	AND s.MA_SHEET = '06H09'
JOIN SCMS.BM_BAO_CAO_CT ct ON ct.BM_SHEET_ID = s.ID
	AND ct.SU_DUNG = 1
JOIN SCMS.DM_CHI_TIEU dct ON dct.ID = ct.DM_CHI_TIEU_ID
	AND dct.SU_DUNG = 1
WHERE bm.MA_BAO_CAO LIKE 'BCTLAT_TT102/2025'
	AND bm.SU_DUNG = 1
ORDER BY dct.MA_CHI_TIEU;</t>
        </is>
      </c>
      <c r="U3806" s="401" t="n"/>
      <c r="V3806" s="22" t="n"/>
      <c r="W3806" s="22" t="n"/>
      <c r="X3806" s="22" t="n"/>
      <c r="Y3806" s="14" t="n"/>
      <c r="Z3806" s="22" t="n"/>
      <c r="AA3806" s="22" t="n"/>
      <c r="AB3806" s="22" t="n"/>
      <c r="AC3806" s="22" t="n"/>
      <c r="AD3806" s="22" t="n"/>
      <c r="AE3806" s="22" t="n"/>
    </row>
    <row r="3807" ht="98" customHeight="1" s="380">
      <c r="A3807" s="148" t="n">
        <v>136</v>
      </c>
      <c r="B3807" s="390" t="n"/>
      <c r="C3807" s="390" t="inlineStr">
        <is>
          <t>Báo cáo tỷ lệ an toàn tài chính - Chi nhánh công ty chứng khoán nước ngoài tại Việt Nam &gt;&gt; Giá trị rủi ro thanh toán (Rủi ro từ các khoản tạm ứng, hợp đồng, giao dịch khác)</t>
        </is>
      </c>
      <c r="D3807" s="106" t="inlineStr">
        <is>
          <t>Tên chỉ tiêu</t>
        </is>
      </c>
      <c r="E3807" s="107" t="inlineStr">
        <is>
          <t>Tên chỉ tiêu</t>
        </is>
      </c>
      <c r="F3807" s="390" t="inlineStr">
        <is>
          <t>Data Explorer</t>
        </is>
      </c>
      <c r="G3807" s="390" t="inlineStr">
        <is>
          <t>Chiều</t>
        </is>
      </c>
      <c r="H3807" s="390" t="inlineStr">
        <is>
          <t>Dễ</t>
        </is>
      </c>
      <c r="I3807" s="390" t="inlineStr">
        <is>
          <t>Ngày, CTCK</t>
        </is>
      </c>
      <c r="J3807" s="401" t="inlineStr">
        <is>
          <t>SCMS</t>
        </is>
      </c>
      <c r="K3807" s="401" t="inlineStr">
        <is>
          <t>X</t>
        </is>
      </c>
      <c r="L3807" s="401" t="inlineStr">
        <is>
          <t>X</t>
        </is>
      </c>
      <c r="M3807" s="401" t="n"/>
      <c r="N3807" s="401" t="inlineStr">
        <is>
          <t>Done</t>
        </is>
      </c>
      <c r="O3807" s="401" t="n"/>
      <c r="P3807" s="401" t="n"/>
      <c r="S3807" s="401" t="n"/>
      <c r="U3807" s="401" t="n"/>
      <c r="V3807" s="22" t="n"/>
      <c r="W3807" s="22" t="n"/>
      <c r="X3807" s="22" t="n"/>
      <c r="Y3807" s="22" t="n"/>
      <c r="Z3807" s="22" t="n"/>
      <c r="AA3807" s="22" t="n"/>
      <c r="AB3807" s="22" t="n"/>
      <c r="AC3807" s="22" t="n"/>
      <c r="AD3807" s="22" t="n"/>
      <c r="AE3807" s="22" t="n"/>
    </row>
    <row r="3808" ht="224" customHeight="1" s="380">
      <c r="A3808" s="148" t="n">
        <v>136</v>
      </c>
      <c r="B3808" s="390" t="n"/>
      <c r="C3808" s="390" t="inlineStr">
        <is>
          <t>Báo cáo tỷ lệ an toàn tài chính - Chi nhánh công ty chứng khoán nước ngoài tại Việt Nam &gt;&gt; Giá trị rủi ro thanh toán (Rủi ro từ các khoản tạm ứng, hợp đồng, giao dịch khác)</t>
        </is>
      </c>
      <c r="D3808" s="390" t="inlineStr">
        <is>
          <t>Các hợp đồng, giao dịch, các khoản sử dụng vốn ngoài các giao dịch, hợp đồng được ghi nhận ở các điểm a, b, c, d, đ, e, g khoản 1 Điều 10</t>
        </is>
      </c>
      <c r="E3808" s="390" t="inlineStr">
        <is>
          <t>Các hợp đồng, giao dịch, các khoản sử dụng vốn ngoài các giao dịch, hợp đồng được ghi nhận ở các điểm a, b, c, d, đ, e, g khoản 1 Điều 10; các hợp đồng cam kết mua lại, bán lại chứng khoán hoặc các hợp đồng có tính chất tương tự trừ các hợp đồng quy định tại điểm c, d khoản 1 Điều 10; các khoản phải thu từ mua bán nợ với đối tác giao dịch không phải Công ty Quản lý tài sản của các tổ chức tín dụng Việt Nam (VAMC), Công ty trách nhiệm hữu hạn mua bán nợ Việt Nam (DATC)</t>
        </is>
      </c>
      <c r="F3808" s="390" t="inlineStr">
        <is>
          <t>Data Explorer</t>
        </is>
      </c>
      <c r="G3808" s="390" t="inlineStr">
        <is>
          <t>Chỉ tiêu cơ sở</t>
        </is>
      </c>
      <c r="H3808" s="390" t="inlineStr">
        <is>
          <t>TB</t>
        </is>
      </c>
      <c r="I3808" s="390" t="inlineStr">
        <is>
          <t>Ngày, CTCK</t>
        </is>
      </c>
      <c r="J3808" s="401" t="inlineStr">
        <is>
          <t>SCMS</t>
        </is>
      </c>
      <c r="K3808" s="401" t="n"/>
      <c r="L3808" s="401" t="inlineStr">
        <is>
          <t>X</t>
        </is>
      </c>
      <c r="M3808" s="401" t="n"/>
      <c r="N3808" s="401" t="inlineStr">
        <is>
          <t>Done</t>
        </is>
      </c>
      <c r="O3808" s="401" t="n"/>
      <c r="P3808" s="401" t="n"/>
      <c r="Q3808" s="431" t="inlineStr">
        <is>
          <t>SCMS.BC_THANH_VIEN
SCMS.BM_BAO_CAO
SCMS.BC_BAO_CAO_GT
SCMS.BM_BAO_CAO_HANG
SCMS.BM_BAO_CAO_COT</t>
        </is>
      </c>
      <c r="R3808" s="431" t="inlineStr">
        <is>
          <t>bsc.TEN_COT,
bsc.BM_SHEET_ID,
bsh.ID,
bsh.MA_HANG,
gt.GIA_TRI,
gt.BC_THANH_VIEN_ID,
gt.BM_SHEET_HANG_ID,
bm.ID,
bm.MA_BAO_CAO,
btv.ID,
btv.BM_BAO_CAO_ID,
btv.TRANG_THAI,
btv.NGAY_SO_LIEU</t>
        </is>
      </c>
      <c r="S3808" s="401" t="n"/>
      <c r="T3808" s="432" t="inlineStr">
        <is>
          <t>-- CHỈ TIÊU
SELECT	
	-- Hệ số rủi ro (%)
	MAX(CASE WHEN bsc.TEN_COT=N'Hệ số rủi ro (%)' AND bsh.MA_HANG = '1' THEN CAST(gt.GIA_TRI AS VARCHAR2(4000)) END) AS "Các hợp đồng, giao dịch, các khoản sử dụng vốn ngoài các giao dịch, hợp đồng được ghi nhận ở các điểm a, b, c, d, đ, e, g khoản 1 Điều 10",
	MAX(CASE WHEN bsc.TEN_COT=N'Hệ số rủi ro (%)' AND bsh.MA_HANG = '2' THEN CAST(gt.GIA_TRI AS VARCHAR2(4000)) END) AS "Hợp đồng, thỏa thuận đặt cọc mua bất động sản, các thỏa thuận kinh tế có cùng bản chất",
	MAX(CASE WHEN bsc.TEN_COT=N'Hệ số rủi ro (%)' AND bsh.MA_HANG = '3' THEN CAST(gt.GIA_TRI AS VARCHAR2(4000)) END) AS "Các khoản cho vay, phải thu khách hàng khác không thuộc điểm đ, g khoản 1 Điều 10",
	MAX(CASE WHEN bsc.TEN_COT=N'Hệ số rủi ro (%)' AND bsh.MA_HANG = '4' THEN CAST(gt.GIA_TRI AS VARCHAR2(4000)) END) AS "Các hợp đồng, giao dịch khác",
	MAX(CASE WHEN bsc.TEN_COT=N'Hệ số rủi ro (%)' AND bsh.MA_HANG = '5' THEN CAST(gt.GIA_TRI AS VARCHAR2(4000)) END) AS "Khoản tạm ứng",
	MAX(CASE WHEN bsc.TEN_COT=N'Hệ số rủi ro (%)' AND bsh.MA_HANG = '6' THEN CAST(gt.GIA_TRI AS VARCHAR2(4000)) END) AS "Chiếm từ 0% đến 2% vốn chủ sở hữu tại thời điểm tính toán",
	MAX(CASE WHEN bsc.TEN_COT=N'Hệ số rủi ro (%)' AND bsh.MA_HANG = '7' THEN CAST(gt.GIA_TRI AS VARCHAR2(4000)) END) AS "Chiếm trên 2% đến dưới 5% vốn chủ sở hữu tại thời điểm tính toán",
	MAX(CASE WHEN bsc.TEN_COT=N'Hệ số rủi ro (%)' AND bsh.MA_HANG = '8' THEN CAST(gt.GIA_TRI AS VARCHAR2(4000)) END) AS "Chiếm từ 5% trở lên vốn chủ sở hữu tại thời điểm tính toán",
	MAX(CASE WHEN bsc.TEN_COT=N'Hệ số rủi ro (%)' AND bsh.MA_HANG = '10' THEN CAST(gt.GIA_TRI AS VARCHAR2(4000)) END) AS "TỔNG RỦI RO HỢP ĐỒNG, GIAO DỊCH KHÁC",
	-- Quy mô rủi ro
	MAX(CASE WHEN bsc.TEN_COT=N'Quy mô rủi ro' AND bsh.MA_HANG = '1' THEN CAST(gt.GIA_TRI AS VARCHAR2(4000)) END) AS "Các hợp đồng, giao dịch, các khoản sử dụng vốn ngoài các giao dịch, hợp đồng được ghi nhận ở các điểm a, b, c, d, đ, e, g khoản 1 Điều 10",
	MAX(CASE WHEN bsc.TEN_COT=N'Quy mô rủi ro' AND bsh.MA_HANG = '2' THEN CAST(gt.GIA_TRI AS VARCHAR2(4000)) END) AS "Hợp đồng, thỏa thuận đặt cọc mua bất động sản, các thỏa thuận kinh tế có cùng bản chất",
	MAX(CASE WHEN bsc.TEN_COT=N'Quy mô rủi ro' AND bsh.MA_HANG = '3' THEN CAST(gt.GIA_TRI AS VARCHAR2(4000)) END) AS "Các khoản cho vay, phải thu khách hàng khác không thuộc điểm đ, g khoản 1 Điều 10",
	MAX(CASE WHEN bsc.TEN_COT=N'Quy mô rủi ro' AND bsh.MA_HANG = '4' THEN CAST(gt.GIA_TRI AS VARCHAR2(4000)) END) AS "Các hợp đồng, giao dịch khác",
	MAX(CASE WHEN bsc.TEN_COT=N'Quy mô rủi ro' AND bsh.MA_HANG = '5' THEN CAST(gt.GIA_TRI AS VARCHAR2(4000)) END) AS "Khoản tạm ứng",
	MAX(CASE WHEN bsc.TEN_COT=N'Quy mô rủi ro' AND bsh.MA_HANG = '6' THEN CAST(gt.GIA_TRI AS VARCHAR2(4000)) END) AS "Chiếm từ 0% đến 2% vốn chủ sở hữu tại thời điểm tính toán",
	MAX(CASE WHEN bsc.TEN_COT=N'Quy mô rủi ro' AND bsh.MA_HANG = '7' THEN CAST(gt.GIA_TRI AS VARCHAR2(4000)) END) AS "Chiếm trên 2% đến dưới 5% vốn chủ sở hữu tại thời điểm tính toán",
	MAX(CASE WHEN bsc.TEN_COT=N'Quy mô rủi ro' AND bsh.MA_HANG = '8' THEN CAST(gt.GIA_TRI AS VARCHAR2(4000)) END) AS "Chiếm từ 5% trở lên vốn chủ sở hữu tại thời điểm tính toán",
	MAX(CASE WHEN bsc.TEN_COT=N'Quy mô rủi ro' AND bsh.MA_HANG = '10' THEN CAST(gt.GIA_TRI AS VARCHAR2(4000)) END) AS "TỔNG RỦI RO HỢP ĐỒNG, GIAO DỊCH KHÁC",
	-- Giá trị rủi ro
	MAX(CASE WHEN bsc.TEN_COT=N'Giá trị rủi ro' AND bsh.MA_HANG = '1' THEN CAST(gt.GIA_TRI AS VARCHAR2(4000)) END) AS "Các hợp đồng, giao dịch, các khoản sử dụng vốn ngoài các giao dịch, hợp đồng được ghi nhận ở các điểm a, b, c, d, đ, e, g khoản 1 Điều 10",
	MAX(CASE WHEN bsc.TEN_COT=N'Giá trị rủi ro' AND bsh.MA_HANG = '2' THEN CAST(gt.GIA_TRI AS VARCHAR2(4000)) END) AS "Hợp đồng, thỏa thuận đặt cọc mua bất động sản, các thỏa thuận kinh tế có cùng bản chất",
	MAX(CASE WHEN bsc.TEN_COT=N'Giá trị rủi ro' AND bsh.MA_HANG = '3' THEN CAST(gt.GIA_TRI AS VARCHAR2(4000)) END) AS "Các khoản cho vay, phải thu khách hàng khác không thuộc điểm đ, g khoản 1 Điều 10",
	MAX(CASE WHEN bsc.TEN_COT=N'Giá trị rủi ro' AND bsh.MA_HANG = '4' THEN CAST(gt.GIA_TRI AS VARCHAR2(4000)) END) AS "Các hợp đồng, giao dịch khác",
	MAX(CASE WHEN bsc.TEN_COT=N'Giá trị rủi ro' AND bsh.MA_HANG = '5' THEN CAST(gt.GIA_TRI AS VARCHAR2(4000)) END) AS "Khoản tạm ứng",
	MAX(CASE WHEN bsc.TEN_COT=N'Giá trị rủi ro' AND bsh.MA_HANG = '6' THEN CAST(gt.GIA_TRI AS VARCHAR2(4000)) END) AS "Chiếm từ 0% đến 2% vốn chủ sở hữu tại thời điểm tính toán",
	MAX(CASE WHEN bsc.TEN_COT=N'Giá trị rủi ro' AND bsh.MA_HANG = '7' THEN CAST(gt.GIA_TRI AS VARCHAR2(4000)) END) AS "Chiếm trên 2% đến dưới 5% vốn chủ sở hữu tại thời điểm tính toán",
	MAX(CASE WHEN bsc.TEN_COT=N'Giá trị rủi ro' AND bsh.MA_HANG = '8' THEN CAST(gt.GIA_TRI AS VARCHAR2(4000)) END) AS "Chiếm từ 5% trở lên vốn chủ sở hữu tại thời điểm tính toán",
	MAX(CASE WHEN bsc.TEN_COT=N'Giá trị rủi ro' AND bsh.MA_HANG = '10' THEN CAST(gt.GIA_TRI AS VARCHAR2(4000)) END) AS "TỔNG RỦI RO HỢP ĐỒNG, GIAO DỊCH KHÁC"
FROM SCMS.BC_THANH_VIEN btv
JOIN SCMS.BM_BAO_CAO bm ON bm.ID = btv.BM_BAO_CAO_ID
JOIN SCMS.BC_BAO_CAO_GT gt ON gt.BC_THANH_VIEN_ID = btv.ID
JOIN SCMS.BM_BAO_CAO_HANG bsh ON bsh.ID = gt.BM_SHEET_HANG_ID
JOIN SCMS.BM_BAO_CAO_COT bsc ON bsc.BM_SHEET_ID = 8371
--                               AND bsc.TEN_COT = gt.TEN_COT
WHERE bm.MA_BAO_CAO LIKE 'BCTLAT_TT102/2025'
  AND btv.TRANG_THAI IN (2, 3)
GROUP BY
    btv.ID, btv.CTCK_THONG_TIN_ID, btv.NGAY_SO_LIEU, btv.TRANG_THAI,
    bm.MA_BAO_CAO
ORDER BY btv.NGAY_SO_LIEU DESC;</t>
        </is>
      </c>
      <c r="U3808" s="401" t="n"/>
      <c r="V3808" s="22" t="n"/>
      <c r="W3808" s="22" t="n"/>
      <c r="X3808" s="22" t="n"/>
      <c r="Y3808" s="22" t="n"/>
      <c r="Z3808" s="22" t="n"/>
      <c r="AA3808" s="22" t="n"/>
      <c r="AB3808" s="22" t="n"/>
      <c r="AC3808" s="22" t="n"/>
      <c r="AD3808" s="22" t="n"/>
      <c r="AE3808" s="22" t="n"/>
    </row>
    <row r="3809" ht="98" customHeight="1" s="380">
      <c r="A3809" s="148" t="n">
        <v>136</v>
      </c>
      <c r="B3809" s="390" t="n"/>
      <c r="C3809" s="390" t="inlineStr">
        <is>
          <t>Báo cáo tỷ lệ an toàn tài chính - Chi nhánh công ty chứng khoán nước ngoài tại Việt Nam &gt;&gt; Giá trị rủi ro thanh toán (Rủi ro từ các khoản tạm ứng, hợp đồng, giao dịch khác)</t>
        </is>
      </c>
      <c r="D3809" s="390" t="inlineStr">
        <is>
          <t>- Hợp đồng, thỏa thuận đặt cọc mua bất động sản, các thỏa thuận kinh tế có cùng bản chất</t>
        </is>
      </c>
      <c r="E3809" s="390" t="inlineStr">
        <is>
          <t>- Hợp đồng, thỏa thuận đặt cọc mua bất động sản, các thỏa thuận kinh tế có cùng bản chất (chi tiết từng đối tượng)</t>
        </is>
      </c>
      <c r="F3809" s="390" t="inlineStr">
        <is>
          <t>Data Explorer</t>
        </is>
      </c>
      <c r="G3809" s="390" t="inlineStr">
        <is>
          <t>Chỉ tiêu cơ sở</t>
        </is>
      </c>
      <c r="H3809" s="390" t="inlineStr">
        <is>
          <t>TB</t>
        </is>
      </c>
      <c r="I3809" s="390" t="inlineStr">
        <is>
          <t>Ngày, CTCK</t>
        </is>
      </c>
      <c r="J3809" s="401" t="inlineStr">
        <is>
          <t>SCMS</t>
        </is>
      </c>
      <c r="K3809" s="401" t="n"/>
      <c r="L3809" s="401" t="inlineStr">
        <is>
          <t>X</t>
        </is>
      </c>
      <c r="M3809" s="401" t="n"/>
      <c r="N3809" s="401" t="inlineStr">
        <is>
          <t>Done</t>
        </is>
      </c>
      <c r="O3809" s="401" t="n"/>
      <c r="P3809" s="401" t="n"/>
      <c r="S3809" s="401" t="n"/>
      <c r="U3809" s="401" t="n"/>
      <c r="V3809" s="22" t="n"/>
      <c r="W3809" s="22" t="n"/>
      <c r="X3809" s="22" t="n"/>
      <c r="Y3809" s="22" t="n"/>
      <c r="Z3809" s="22" t="n"/>
      <c r="AA3809" s="22" t="n"/>
      <c r="AB3809" s="22" t="n"/>
      <c r="AC3809" s="22" t="n"/>
      <c r="AD3809" s="22" t="n"/>
      <c r="AE3809" s="22" t="n"/>
    </row>
    <row r="3810" ht="98" customHeight="1" s="380">
      <c r="A3810" s="148" t="n">
        <v>136</v>
      </c>
      <c r="B3810" s="390" t="n"/>
      <c r="C3810" s="390" t="inlineStr">
        <is>
          <t>Báo cáo tỷ lệ an toàn tài chính - Chi nhánh công ty chứng khoán nước ngoài tại Việt Nam &gt;&gt; Giá trị rủi ro thanh toán (Rủi ro từ các khoản tạm ứng, hợp đồng, giao dịch khác)</t>
        </is>
      </c>
      <c r="D3810" s="390" t="inlineStr">
        <is>
          <t>- Các khoản cho vay, phải thu khách hàng khác không thuộc điểm đ, g khoản 1 Điều 10</t>
        </is>
      </c>
      <c r="E3810" s="390" t="inlineStr">
        <is>
          <t>- Các khoản cho vay, phải thu khách hàng khác không thuộc điểm đ, g khoản 1 Điều 10 (chi tiết từng đối tượng)</t>
        </is>
      </c>
      <c r="F3810" s="390" t="inlineStr">
        <is>
          <t>Data Explorer</t>
        </is>
      </c>
      <c r="G3810" s="390" t="inlineStr">
        <is>
          <t>Chỉ tiêu cơ sở</t>
        </is>
      </c>
      <c r="H3810" s="390" t="inlineStr">
        <is>
          <t>TB</t>
        </is>
      </c>
      <c r="I3810" s="390" t="inlineStr">
        <is>
          <t>Ngày, CTCK</t>
        </is>
      </c>
      <c r="J3810" s="401" t="inlineStr">
        <is>
          <t>SCMS</t>
        </is>
      </c>
      <c r="K3810" s="401" t="n"/>
      <c r="L3810" s="401" t="inlineStr">
        <is>
          <t>X</t>
        </is>
      </c>
      <c r="M3810" s="401" t="n"/>
      <c r="N3810" s="401" t="inlineStr">
        <is>
          <t>Done</t>
        </is>
      </c>
      <c r="O3810" s="401" t="n"/>
      <c r="P3810" s="401" t="n"/>
      <c r="S3810" s="401" t="n"/>
      <c r="U3810" s="401" t="n"/>
      <c r="V3810" s="22" t="n"/>
      <c r="W3810" s="22" t="n"/>
      <c r="X3810" s="22" t="n"/>
      <c r="Y3810" s="22" t="n"/>
      <c r="Z3810" s="22" t="n"/>
      <c r="AA3810" s="22" t="n"/>
      <c r="AB3810" s="22" t="n"/>
      <c r="AC3810" s="22" t="n"/>
      <c r="AD3810" s="22" t="n"/>
      <c r="AE3810" s="22" t="n"/>
    </row>
    <row r="3811" ht="98" customHeight="1" s="380">
      <c r="A3811" s="148" t="n">
        <v>136</v>
      </c>
      <c r="B3811" s="390" t="n"/>
      <c r="C3811" s="390" t="inlineStr">
        <is>
          <t>Báo cáo tỷ lệ an toàn tài chính - Chi nhánh công ty chứng khoán nước ngoài tại Việt Nam &gt;&gt; Giá trị rủi ro thanh toán (Rủi ro từ các khoản tạm ứng, hợp đồng, giao dịch khác)</t>
        </is>
      </c>
      <c r="D3811" s="390" t="inlineStr">
        <is>
          <t>- Các hợp đồng, giao dịch khác</t>
        </is>
      </c>
      <c r="E3811" s="390" t="inlineStr">
        <is>
          <t>- Các hợp đồng, giao dịch khác (chi tiết từng đối tượng)</t>
        </is>
      </c>
      <c r="F3811" s="390" t="inlineStr">
        <is>
          <t>Data Explorer</t>
        </is>
      </c>
      <c r="G3811" s="390" t="inlineStr">
        <is>
          <t>Chỉ tiêu cơ sở</t>
        </is>
      </c>
      <c r="H3811" s="390" t="inlineStr">
        <is>
          <t>TB</t>
        </is>
      </c>
      <c r="I3811" s="390" t="inlineStr">
        <is>
          <t>Ngày, CTCK</t>
        </is>
      </c>
      <c r="J3811" s="401" t="inlineStr">
        <is>
          <t>SCMS</t>
        </is>
      </c>
      <c r="K3811" s="401" t="n"/>
      <c r="L3811" s="401" t="inlineStr">
        <is>
          <t>X</t>
        </is>
      </c>
      <c r="M3811" s="401" t="n"/>
      <c r="N3811" s="401" t="inlineStr">
        <is>
          <t>Done</t>
        </is>
      </c>
      <c r="O3811" s="401" t="n"/>
      <c r="P3811" s="401" t="n"/>
      <c r="S3811" s="401" t="n"/>
      <c r="U3811" s="401" t="n"/>
      <c r="V3811" s="22" t="n"/>
      <c r="W3811" s="22" t="n"/>
      <c r="X3811" s="22" t="n"/>
      <c r="Y3811" s="22" t="n"/>
      <c r="Z3811" s="22" t="n"/>
      <c r="AA3811" s="22" t="n"/>
      <c r="AB3811" s="22" t="n"/>
      <c r="AC3811" s="22" t="n"/>
      <c r="AD3811" s="22" t="n"/>
      <c r="AE3811" s="22" t="n"/>
    </row>
    <row r="3812" ht="98" customHeight="1" s="380">
      <c r="A3812" s="148" t="n">
        <v>136</v>
      </c>
      <c r="B3812" s="390" t="n"/>
      <c r="C3812" s="390" t="inlineStr">
        <is>
          <t>Báo cáo tỷ lệ an toàn tài chính - Chi nhánh công ty chứng khoán nước ngoài tại Việt Nam &gt;&gt; Giá trị rủi ro thanh toán (Rủi ro từ các khoản tạm ứng, hợp đồng, giao dịch khác)</t>
        </is>
      </c>
      <c r="D3812" s="390" t="inlineStr">
        <is>
          <t>- Khoản tạm ứng</t>
        </is>
      </c>
      <c r="E3812" s="390" t="inlineStr">
        <is>
          <t>- Khoản tạm ứng (chi tiết từng đối tượng)</t>
        </is>
      </c>
      <c r="F3812" s="390" t="inlineStr">
        <is>
          <t>Data Explorer</t>
        </is>
      </c>
      <c r="G3812" s="390" t="inlineStr">
        <is>
          <t>Chỉ tiêu cơ sở</t>
        </is>
      </c>
      <c r="H3812" s="390" t="inlineStr">
        <is>
          <t>TB</t>
        </is>
      </c>
      <c r="I3812" s="390" t="inlineStr">
        <is>
          <t>Ngày, CTCK</t>
        </is>
      </c>
      <c r="J3812" s="401" t="inlineStr">
        <is>
          <t>SCMS</t>
        </is>
      </c>
      <c r="K3812" s="401" t="n"/>
      <c r="L3812" s="401" t="inlineStr">
        <is>
          <t>X</t>
        </is>
      </c>
      <c r="M3812" s="401" t="n"/>
      <c r="N3812" s="401" t="inlineStr">
        <is>
          <t>Done</t>
        </is>
      </c>
      <c r="O3812" s="401" t="n"/>
      <c r="P3812" s="401" t="n"/>
      <c r="S3812" s="401" t="n"/>
      <c r="U3812" s="401" t="n"/>
      <c r="V3812" s="22" t="n"/>
      <c r="W3812" s="22" t="n"/>
      <c r="X3812" s="22" t="n"/>
      <c r="Y3812" s="22" t="n"/>
      <c r="Z3812" s="22" t="n"/>
      <c r="AA3812" s="22" t="n"/>
      <c r="AB3812" s="22" t="n"/>
      <c r="AC3812" s="22" t="n"/>
      <c r="AD3812" s="22" t="n"/>
      <c r="AE3812" s="22" t="n"/>
    </row>
    <row r="3813" ht="98" customHeight="1" s="380">
      <c r="A3813" s="148" t="n">
        <v>136</v>
      </c>
      <c r="B3813" s="390" t="n"/>
      <c r="C3813" s="390" t="inlineStr">
        <is>
          <t>Báo cáo tỷ lệ an toàn tài chính - Chi nhánh công ty chứng khoán nước ngoài tại Việt Nam &gt;&gt; Giá trị rủi ro thanh toán (Rủi ro từ các khoản tạm ứng, hợp đồng, giao dịch khác)</t>
        </is>
      </c>
      <c r="D3813" s="390" t="inlineStr">
        <is>
          <t>Chiếm từ 0% đến 2% vốn chủ sở hữu tại thời điểm tính toán</t>
        </is>
      </c>
      <c r="E3813" s="390" t="inlineStr">
        <is>
          <t>Chiếm từ 0% đến 2% vốn chủ sở hữu tại thời điểm tính toán</t>
        </is>
      </c>
      <c r="F3813" s="390" t="inlineStr">
        <is>
          <t>Data Explorer</t>
        </is>
      </c>
      <c r="G3813" s="390" t="inlineStr">
        <is>
          <t>Chỉ tiêu cơ sở</t>
        </is>
      </c>
      <c r="H3813" s="390" t="inlineStr">
        <is>
          <t>TB</t>
        </is>
      </c>
      <c r="I3813" s="390" t="inlineStr">
        <is>
          <t>Ngày, CTCK</t>
        </is>
      </c>
      <c r="J3813" s="401" t="inlineStr">
        <is>
          <t>SCMS</t>
        </is>
      </c>
      <c r="K3813" s="401" t="n"/>
      <c r="L3813" s="401" t="inlineStr">
        <is>
          <t>X</t>
        </is>
      </c>
      <c r="M3813" s="401" t="n"/>
      <c r="N3813" s="401" t="inlineStr">
        <is>
          <t>Done</t>
        </is>
      </c>
      <c r="O3813" s="401" t="n"/>
      <c r="P3813" s="401" t="n"/>
      <c r="S3813" s="401" t="n"/>
      <c r="U3813" s="401" t="n"/>
      <c r="V3813" s="22" t="n"/>
      <c r="W3813" s="22" t="n"/>
      <c r="X3813" s="22" t="n"/>
      <c r="Y3813" s="22" t="n"/>
      <c r="Z3813" s="22" t="n"/>
      <c r="AA3813" s="22" t="n"/>
      <c r="AB3813" s="22" t="n"/>
      <c r="AC3813" s="22" t="n"/>
      <c r="AD3813" s="22" t="n"/>
      <c r="AE3813" s="22" t="n"/>
    </row>
    <row r="3814" ht="98" customHeight="1" s="380">
      <c r="A3814" s="148" t="n">
        <v>136</v>
      </c>
      <c r="B3814" s="390" t="n"/>
      <c r="C3814" s="390" t="inlineStr">
        <is>
          <t>Báo cáo tỷ lệ an toàn tài chính - Chi nhánh công ty chứng khoán nước ngoài tại Việt Nam &gt;&gt; Giá trị rủi ro thanh toán (Rủi ro từ các khoản tạm ứng, hợp đồng, giao dịch khác)</t>
        </is>
      </c>
      <c r="D3814" s="390" t="inlineStr">
        <is>
          <t>Chiếm trên 2% đến dưới 5% vốn chủ sở hữu tại thời điểm tính toán</t>
        </is>
      </c>
      <c r="E3814" s="390" t="inlineStr">
        <is>
          <t>Chiếm trên 2% đến dưới 5% vốn chủ sở hữu tại thời điểm tính toán</t>
        </is>
      </c>
      <c r="F3814" s="390" t="inlineStr">
        <is>
          <t>Data Explorer</t>
        </is>
      </c>
      <c r="G3814" s="390" t="inlineStr">
        <is>
          <t>Chỉ tiêu cơ sở</t>
        </is>
      </c>
      <c r="H3814" s="390" t="inlineStr">
        <is>
          <t>TB</t>
        </is>
      </c>
      <c r="I3814" s="390" t="inlineStr">
        <is>
          <t>Ngày, CTCK</t>
        </is>
      </c>
      <c r="J3814" s="401" t="inlineStr">
        <is>
          <t>SCMS</t>
        </is>
      </c>
      <c r="K3814" s="401" t="n"/>
      <c r="L3814" s="401" t="inlineStr">
        <is>
          <t>X</t>
        </is>
      </c>
      <c r="M3814" s="401" t="n"/>
      <c r="N3814" s="401" t="inlineStr">
        <is>
          <t>Done</t>
        </is>
      </c>
      <c r="O3814" s="401" t="n"/>
      <c r="P3814" s="401" t="n"/>
      <c r="S3814" s="401" t="n"/>
      <c r="U3814" s="401" t="n"/>
      <c r="V3814" s="22" t="n"/>
      <c r="W3814" s="22" t="n"/>
      <c r="X3814" s="22" t="n"/>
      <c r="Y3814" s="22" t="n"/>
      <c r="Z3814" s="22" t="n"/>
      <c r="AA3814" s="22" t="n"/>
      <c r="AB3814" s="22" t="n"/>
      <c r="AC3814" s="22" t="n"/>
      <c r="AD3814" s="22" t="n"/>
      <c r="AE3814" s="22" t="n"/>
    </row>
    <row r="3815" ht="98" customHeight="1" s="380">
      <c r="A3815" s="148" t="n">
        <v>136</v>
      </c>
      <c r="B3815" s="390" t="n"/>
      <c r="C3815" s="390" t="inlineStr">
        <is>
          <t>Báo cáo tỷ lệ an toàn tài chính - Chi nhánh công ty chứng khoán nước ngoài tại Việt Nam &gt;&gt; Giá trị rủi ro thanh toán (Rủi ro từ các khoản tạm ứng, hợp đồng, giao dịch khác)</t>
        </is>
      </c>
      <c r="D3815" s="390" t="inlineStr">
        <is>
          <t>Chiếm từ 5% trở lên vốn chủ sở hữu tại thời điểm tính toán.</t>
        </is>
      </c>
      <c r="E3815" s="390" t="inlineStr">
        <is>
          <t>Chiếm từ 5% trở lên vốn chủ sở hữu tại thời điểm tính toán.</t>
        </is>
      </c>
      <c r="F3815" s="390" t="inlineStr">
        <is>
          <t>Data Explorer</t>
        </is>
      </c>
      <c r="G3815" s="390" t="inlineStr">
        <is>
          <t>Chỉ tiêu cơ sở</t>
        </is>
      </c>
      <c r="H3815" s="390" t="inlineStr">
        <is>
          <t>TB</t>
        </is>
      </c>
      <c r="I3815" s="390" t="inlineStr">
        <is>
          <t>Ngày, CTCK</t>
        </is>
      </c>
      <c r="J3815" s="401" t="inlineStr">
        <is>
          <t>SCMS</t>
        </is>
      </c>
      <c r="K3815" s="401" t="n"/>
      <c r="L3815" s="401" t="inlineStr">
        <is>
          <t>X</t>
        </is>
      </c>
      <c r="M3815" s="401" t="n"/>
      <c r="N3815" s="401" t="inlineStr">
        <is>
          <t>Done</t>
        </is>
      </c>
      <c r="O3815" s="401" t="n"/>
      <c r="P3815" s="401" t="n"/>
      <c r="S3815" s="401" t="n"/>
      <c r="U3815" s="401" t="n"/>
      <c r="V3815" s="22" t="n"/>
      <c r="W3815" s="22" t="n"/>
      <c r="X3815" s="22" t="n"/>
      <c r="Y3815" s="22" t="n"/>
      <c r="Z3815" s="22" t="n"/>
      <c r="AA3815" s="22" t="n"/>
      <c r="AB3815" s="22" t="n"/>
      <c r="AC3815" s="22" t="n"/>
      <c r="AD3815" s="22" t="n"/>
      <c r="AE3815" s="22" t="n"/>
    </row>
    <row r="3816" ht="98" customHeight="1" s="380">
      <c r="A3816" s="149" t="n">
        <v>136</v>
      </c>
      <c r="B3816" s="129" t="n"/>
      <c r="C3816" s="129" t="inlineStr">
        <is>
          <t>Báo cáo tỷ lệ an toàn tài chính - Chi nhánh công ty chứng khoán nước ngoài tại Việt Nam &gt;&gt; Giá trị rủi ro thanh toán (Rủi ro từ các khoản tạm ứng, hợp đồng, giao dịch khác)</t>
        </is>
      </c>
      <c r="D3816" s="129" t="inlineStr">
        <is>
          <t>TỔNG RỦI RO HỢP ĐỒNG, GIAO DỊCH KHÁC</t>
        </is>
      </c>
      <c r="E3816" s="129" t="inlineStr">
        <is>
          <t>TỔNG RỦI RO HỢP ĐỒNG, GIAO DỊCH KHÁC</t>
        </is>
      </c>
      <c r="F3816" s="129" t="inlineStr">
        <is>
          <t>Data Explorer</t>
        </is>
      </c>
      <c r="G3816" s="129" t="inlineStr">
        <is>
          <t>Chỉ tiêu cơ sở</t>
        </is>
      </c>
      <c r="H3816" s="129" t="inlineStr">
        <is>
          <t>TB</t>
        </is>
      </c>
      <c r="I3816" s="129" t="inlineStr">
        <is>
          <t>Ngày, CTCK</t>
        </is>
      </c>
      <c r="J3816" s="85" t="inlineStr">
        <is>
          <t>SCMS</t>
        </is>
      </c>
      <c r="K3816" s="85" t="n"/>
      <c r="L3816" s="85" t="inlineStr">
        <is>
          <t>X</t>
        </is>
      </c>
      <c r="M3816" s="85" t="n"/>
      <c r="N3816" s="85" t="inlineStr">
        <is>
          <t>Done</t>
        </is>
      </c>
      <c r="O3816" s="85" t="n"/>
      <c r="P3816" s="85" t="n"/>
      <c r="Q3816" s="426" t="n"/>
      <c r="R3816" s="426" t="n"/>
      <c r="S3816" s="85" t="n"/>
      <c r="T3816" s="426" t="n"/>
      <c r="U3816" s="85" t="n"/>
      <c r="V3816" s="130" t="n"/>
      <c r="W3816" s="130" t="n"/>
      <c r="X3816" s="130" t="n"/>
      <c r="Y3816" s="130" t="n"/>
      <c r="Z3816" s="130" t="n"/>
      <c r="AA3816" s="130" t="n"/>
      <c r="AB3816" s="130" t="n"/>
      <c r="AC3816" s="130" t="n"/>
      <c r="AD3816" s="130" t="n"/>
      <c r="AE3816" s="130" t="n"/>
    </row>
    <row r="3817" ht="84" customHeight="1" s="380">
      <c r="A3817" s="148" t="n">
        <v>137</v>
      </c>
      <c r="B3817" s="140" t="inlineStr">
        <is>
          <t>Nga</t>
        </is>
      </c>
      <c r="C3817" s="127" t="inlineStr">
        <is>
          <t>Báo cáo tỷ lệ an toàn tài chính - Chi nhánh công ty chứng khoán nước ngoài tại Việt Nam &gt;&gt; Giá trị rủi ro thanh toán (Rủi ro tăng thêm)</t>
        </is>
      </c>
      <c r="D3817" s="106" t="inlineStr">
        <is>
          <t>Loại báo cáo</t>
        </is>
      </c>
      <c r="E3817" s="107" t="inlineStr">
        <is>
          <t>Loại báo cáo</t>
        </is>
      </c>
      <c r="F3817" s="390" t="inlineStr">
        <is>
          <t>Data Explorer</t>
        </is>
      </c>
      <c r="G3817" s="390" t="inlineStr">
        <is>
          <t>Chiều</t>
        </is>
      </c>
      <c r="H3817" s="390" t="inlineStr">
        <is>
          <t>Dễ</t>
        </is>
      </c>
      <c r="I3817" s="390" t="inlineStr">
        <is>
          <t>Ngày, CTCK</t>
        </is>
      </c>
      <c r="J3817" s="401" t="inlineStr">
        <is>
          <t>SCMS</t>
        </is>
      </c>
      <c r="K3817" s="401" t="inlineStr">
        <is>
          <t>X</t>
        </is>
      </c>
      <c r="L3817" s="401" t="inlineStr">
        <is>
          <t>X</t>
        </is>
      </c>
      <c r="M3817" s="401" t="n"/>
      <c r="N3817" s="401" t="inlineStr">
        <is>
          <t>Done</t>
        </is>
      </c>
      <c r="O3817" s="401" t="n"/>
      <c r="P3817" s="401" t="n"/>
      <c r="Q3817" s="404" t="inlineStr">
        <is>
          <t>SCMS.BM_BAO_CAO
SCMS.BM_BAO_CAO_DINH_KY</t>
        </is>
      </c>
      <c r="R3817" s="404" t="inlineStr">
        <is>
          <t>bm.ID,
bm.MA_BAO_CAO,
bm.LOAI_BAO_CAO,
bm.TEN_BAO_CAO,
bm.SU_DUNG,
bdk.BM_BAO_CAO_ID,
bdk.KY_BAO_CAO,
bdk.SU_DUNG</t>
        </is>
      </c>
      <c r="S3817" s="401" t="n"/>
      <c r="T3817" s="390"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3817" s="401" t="n"/>
      <c r="V3817" s="22" t="n"/>
      <c r="W3817" s="22" t="n"/>
      <c r="X3817" s="22" t="n"/>
      <c r="Y3817" s="22" t="n"/>
      <c r="Z3817" s="22" t="n"/>
      <c r="AA3817" s="22" t="n"/>
      <c r="AB3817" s="22" t="n"/>
      <c r="AC3817" s="22" t="n"/>
      <c r="AD3817" s="22" t="n"/>
      <c r="AE3817" s="22" t="n"/>
    </row>
    <row r="3818" ht="84" customHeight="1" s="380">
      <c r="A3818" s="148" t="n">
        <v>137</v>
      </c>
      <c r="B3818" s="390" t="n"/>
      <c r="C3818" s="390" t="inlineStr">
        <is>
          <t>Báo cáo tỷ lệ an toàn tài chính - Chi nhánh công ty chứng khoán nước ngoài tại Việt Nam &gt;&gt; Giá trị rủi ro thanh toán (Rủi ro tăng thêm)</t>
        </is>
      </c>
      <c r="D3818" s="106" t="inlineStr">
        <is>
          <t>Kỳ báo cáo</t>
        </is>
      </c>
      <c r="E3818" s="107" t="inlineStr">
        <is>
          <t>Kỳ báo cáo</t>
        </is>
      </c>
      <c r="F3818" s="390" t="inlineStr">
        <is>
          <t>Data Explorer</t>
        </is>
      </c>
      <c r="G3818" s="390" t="inlineStr">
        <is>
          <t>Chiều</t>
        </is>
      </c>
      <c r="H3818" s="390" t="inlineStr">
        <is>
          <t>Dễ</t>
        </is>
      </c>
      <c r="I3818" s="390" t="inlineStr">
        <is>
          <t>Ngày, CTCK</t>
        </is>
      </c>
      <c r="J3818" s="401" t="inlineStr">
        <is>
          <t>SCMS</t>
        </is>
      </c>
      <c r="K3818" s="401" t="inlineStr">
        <is>
          <t>X</t>
        </is>
      </c>
      <c r="L3818" s="401" t="inlineStr">
        <is>
          <t>X</t>
        </is>
      </c>
      <c r="M3818" s="401" t="n"/>
      <c r="N3818" s="401" t="inlineStr">
        <is>
          <t>Done</t>
        </is>
      </c>
      <c r="O3818" s="401" t="n"/>
      <c r="P3818" s="401" t="n"/>
      <c r="S3818" s="401" t="n"/>
      <c r="U3818" s="401" t="n"/>
      <c r="V3818" s="22" t="n"/>
      <c r="W3818" s="22" t="n"/>
      <c r="X3818" s="22" t="n"/>
      <c r="Y3818" s="22" t="n"/>
      <c r="Z3818" s="22" t="n"/>
      <c r="AA3818" s="22" t="n"/>
      <c r="AB3818" s="22" t="n"/>
      <c r="AC3818" s="22" t="n"/>
      <c r="AD3818" s="22" t="n"/>
      <c r="AE3818" s="22" t="n"/>
    </row>
    <row r="3819" ht="84" customHeight="1" s="380">
      <c r="A3819" s="148" t="n">
        <v>137</v>
      </c>
      <c r="B3819" s="390" t="n"/>
      <c r="C3819" s="390" t="inlineStr">
        <is>
          <t>Báo cáo tỷ lệ an toàn tài chính - Chi nhánh công ty chứng khoán nước ngoài tại Việt Nam &gt;&gt; Giá trị rủi ro thanh toán (Rủi ro tăng thêm)</t>
        </is>
      </c>
      <c r="D3819" s="106" t="inlineStr">
        <is>
          <t>Mã báo cáo</t>
        </is>
      </c>
      <c r="E3819" s="107" t="inlineStr">
        <is>
          <t>Mã báo cáo</t>
        </is>
      </c>
      <c r="F3819" s="390" t="inlineStr">
        <is>
          <t>Data Explorer</t>
        </is>
      </c>
      <c r="G3819" s="390" t="inlineStr">
        <is>
          <t>Chiều</t>
        </is>
      </c>
      <c r="H3819" s="390" t="inlineStr">
        <is>
          <t>Dễ</t>
        </is>
      </c>
      <c r="I3819" s="390" t="inlineStr">
        <is>
          <t>Ngày, CTCK</t>
        </is>
      </c>
      <c r="J3819" s="401" t="inlineStr">
        <is>
          <t>SCMS</t>
        </is>
      </c>
      <c r="K3819" s="401" t="inlineStr">
        <is>
          <t>X</t>
        </is>
      </c>
      <c r="L3819" s="401" t="inlineStr">
        <is>
          <t>X</t>
        </is>
      </c>
      <c r="M3819" s="401" t="n"/>
      <c r="N3819" s="401" t="inlineStr">
        <is>
          <t>Done</t>
        </is>
      </c>
      <c r="O3819" s="401" t="n"/>
      <c r="P3819" s="401" t="n"/>
      <c r="S3819" s="401" t="n"/>
      <c r="U3819" s="401" t="n"/>
      <c r="V3819" s="22" t="n"/>
      <c r="W3819" s="22" t="n"/>
      <c r="X3819" s="22" t="n"/>
      <c r="Y3819" s="22" t="n"/>
      <c r="Z3819" s="22" t="n"/>
      <c r="AA3819" s="22" t="n"/>
      <c r="AB3819" s="22" t="n"/>
      <c r="AC3819" s="22" t="n"/>
      <c r="AD3819" s="22" t="n"/>
      <c r="AE3819" s="22" t="n"/>
    </row>
    <row r="3820" ht="84" customHeight="1" s="380">
      <c r="A3820" s="148" t="n">
        <v>137</v>
      </c>
      <c r="B3820" s="390" t="n"/>
      <c r="C3820" s="390" t="inlineStr">
        <is>
          <t>Báo cáo tỷ lệ an toàn tài chính - Chi nhánh công ty chứng khoán nước ngoài tại Việt Nam &gt;&gt; Giá trị rủi ro thanh toán (Rủi ro tăng thêm)</t>
        </is>
      </c>
      <c r="D3820" s="106" t="inlineStr">
        <is>
          <t>Tên báo cáo</t>
        </is>
      </c>
      <c r="E3820" s="107" t="inlineStr">
        <is>
          <t>Tên báo cáo</t>
        </is>
      </c>
      <c r="F3820" s="390" t="inlineStr">
        <is>
          <t>Data Explorer</t>
        </is>
      </c>
      <c r="G3820" s="390" t="inlineStr">
        <is>
          <t>Chiều</t>
        </is>
      </c>
      <c r="H3820" s="390" t="inlineStr">
        <is>
          <t>Dễ</t>
        </is>
      </c>
      <c r="I3820" s="390" t="inlineStr">
        <is>
          <t>Ngày, CTCK</t>
        </is>
      </c>
      <c r="J3820" s="401" t="inlineStr">
        <is>
          <t>SCMS</t>
        </is>
      </c>
      <c r="K3820" s="401" t="inlineStr">
        <is>
          <t>X</t>
        </is>
      </c>
      <c r="L3820" s="401" t="inlineStr">
        <is>
          <t>X</t>
        </is>
      </c>
      <c r="M3820" s="401" t="n"/>
      <c r="N3820" s="401" t="inlineStr">
        <is>
          <t>Done</t>
        </is>
      </c>
      <c r="O3820" s="401" t="n"/>
      <c r="P3820" s="401" t="n"/>
      <c r="S3820" s="401" t="n"/>
      <c r="U3820" s="401" t="n"/>
      <c r="V3820" s="22" t="n"/>
      <c r="W3820" s="22" t="n"/>
      <c r="X3820" s="22" t="n"/>
      <c r="Y3820" s="22" t="n"/>
      <c r="Z3820" s="22" t="n"/>
      <c r="AA3820" s="22" t="n"/>
      <c r="AB3820" s="22" t="n"/>
      <c r="AC3820" s="22" t="n"/>
      <c r="AD3820" s="22" t="n"/>
      <c r="AE3820" s="22" t="n"/>
    </row>
    <row r="3821" ht="84" customHeight="1" s="380">
      <c r="A3821" s="148" t="n">
        <v>137</v>
      </c>
      <c r="B3821" s="390" t="n"/>
      <c r="C3821" s="390" t="inlineStr">
        <is>
          <t>Báo cáo tỷ lệ an toàn tài chính - Chi nhánh công ty chứng khoán nước ngoài tại Việt Nam &gt;&gt; Giá trị rủi ro thanh toán (Rủi ro tăng thêm)</t>
        </is>
      </c>
      <c r="D3821" s="106" t="inlineStr">
        <is>
          <t>Mã sheet</t>
        </is>
      </c>
      <c r="E3821" s="106" t="inlineStr">
        <is>
          <t>Mã sheet</t>
        </is>
      </c>
      <c r="F3821" s="390" t="inlineStr">
        <is>
          <t>Data Explorer</t>
        </is>
      </c>
      <c r="G3821" s="390" t="inlineStr">
        <is>
          <t>Chiều</t>
        </is>
      </c>
      <c r="H3821" s="390" t="inlineStr">
        <is>
          <t>Dễ</t>
        </is>
      </c>
      <c r="I3821" s="390" t="inlineStr">
        <is>
          <t>Ngày, CTCK</t>
        </is>
      </c>
      <c r="J3821" s="401" t="inlineStr">
        <is>
          <t>SCMS</t>
        </is>
      </c>
      <c r="K3821" s="401" t="inlineStr">
        <is>
          <t>X</t>
        </is>
      </c>
      <c r="L3821" s="401" t="inlineStr">
        <is>
          <t>X</t>
        </is>
      </c>
      <c r="M3821" s="401" t="n"/>
      <c r="N3821" s="401" t="inlineStr">
        <is>
          <t>Done</t>
        </is>
      </c>
      <c r="O3821" s="401" t="n"/>
      <c r="P3821" s="401" t="n"/>
      <c r="Q3821" s="401" t="inlineStr">
        <is>
          <t>SCMS.BM_BAO_CAO
SCMS.BM_SHEET</t>
        </is>
      </c>
      <c r="R3821" s="401" t="inlineStr">
        <is>
          <t>bm.ID,
bm.MA_BAO_CAO,
bm.SU_DUNG,
s.BM_BAO_CAO_ID,
s.MA_SHEET,
s.TEN_SHEET,
s.SAP_XEP</t>
        </is>
      </c>
      <c r="S3821" s="401" t="n"/>
      <c r="T3821" s="389" t="inlineStr">
        <is>
          <t>-- Mã sheet / Tên sheet
-- TEN_SHEET: 06H06
SELECT bm.MA_BAO_CAO,
s.MA_SHEET,
s.TEN_SHEET
FROM SCMS.BM_BAO_CAO bm
JOIN SCMS.BM_SHEET s ON s.BM_BAO_CAO_ID = bm.ID
WHERE bm.MA_BAO_CAO LIKE 'BCTLAT_TT102/2025'
AND s.MA_SHEET = '06H06'  -- Check lại
AND bm.SU_DUNG = 1
ORDER BY bm.MA_BAO_CAO, s.SAP_XEP;</t>
        </is>
      </c>
      <c r="U3821" s="401" t="n"/>
      <c r="V3821" s="22" t="n"/>
      <c r="W3821" s="22" t="n"/>
      <c r="X3821" s="22" t="n"/>
      <c r="Y3821" s="22" t="n"/>
      <c r="Z3821" s="22" t="n"/>
      <c r="AA3821" s="22" t="n"/>
      <c r="AB3821" s="22" t="n"/>
      <c r="AC3821" s="22" t="n"/>
      <c r="AD3821" s="22" t="n"/>
      <c r="AE3821" s="22" t="n"/>
    </row>
    <row r="3822" ht="84" customHeight="1" s="380">
      <c r="A3822" s="148" t="n">
        <v>137</v>
      </c>
      <c r="B3822" s="390" t="n"/>
      <c r="C3822" s="390" t="inlineStr">
        <is>
          <t>Báo cáo tỷ lệ an toàn tài chính - Chi nhánh công ty chứng khoán nước ngoài tại Việt Nam &gt;&gt; Giá trị rủi ro thanh toán (Rủi ro tăng thêm)</t>
        </is>
      </c>
      <c r="D3822" s="106" t="inlineStr">
        <is>
          <t>Tên sheet</t>
        </is>
      </c>
      <c r="E3822" s="106" t="inlineStr">
        <is>
          <t>Tên sheet</t>
        </is>
      </c>
      <c r="F3822" s="390" t="inlineStr">
        <is>
          <t>Data Explorer</t>
        </is>
      </c>
      <c r="G3822" s="390" t="inlineStr">
        <is>
          <t>Chiều</t>
        </is>
      </c>
      <c r="H3822" s="390" t="inlineStr">
        <is>
          <t>Dễ</t>
        </is>
      </c>
      <c r="I3822" s="390" t="inlineStr">
        <is>
          <t>Ngày, CTCK</t>
        </is>
      </c>
      <c r="J3822" s="401" t="inlineStr">
        <is>
          <t>SCMS</t>
        </is>
      </c>
      <c r="K3822" s="401" t="inlineStr">
        <is>
          <t>X</t>
        </is>
      </c>
      <c r="L3822" s="401" t="inlineStr">
        <is>
          <t>X</t>
        </is>
      </c>
      <c r="M3822" s="401" t="n"/>
      <c r="N3822" s="401" t="inlineStr">
        <is>
          <t>Done</t>
        </is>
      </c>
      <c r="O3822" s="401" t="n"/>
      <c r="P3822" s="401" t="n"/>
      <c r="S3822" s="401" t="n"/>
      <c r="U3822" s="401" t="n"/>
      <c r="V3822" s="22" t="n"/>
      <c r="W3822" s="22" t="n"/>
      <c r="X3822" s="22" t="n"/>
      <c r="Y3822" s="22" t="n"/>
      <c r="Z3822" s="22" t="n"/>
      <c r="AA3822" s="22" t="n"/>
      <c r="AB3822" s="22" t="n"/>
      <c r="AC3822" s="22" t="n"/>
      <c r="AD3822" s="22" t="n"/>
      <c r="AE3822" s="22" t="n"/>
    </row>
    <row r="3823" ht="84" customHeight="1" s="380">
      <c r="A3823" s="148" t="n">
        <v>137</v>
      </c>
      <c r="B3823" s="390" t="n"/>
      <c r="C3823" s="390" t="inlineStr">
        <is>
          <t>Báo cáo tỷ lệ an toàn tài chính - Chi nhánh công ty chứng khoán nước ngoài tại Việt Nam &gt;&gt; Giá trị rủi ro thanh toán (Rủi ro tăng thêm)</t>
        </is>
      </c>
      <c r="D3823" s="106" t="inlineStr">
        <is>
          <t>Mã chỉ tiêu</t>
        </is>
      </c>
      <c r="E3823" s="107" t="inlineStr">
        <is>
          <t>Mã chỉ tiêu</t>
        </is>
      </c>
      <c r="F3823" s="390" t="inlineStr">
        <is>
          <t>Data Explorer</t>
        </is>
      </c>
      <c r="G3823" s="390" t="inlineStr">
        <is>
          <t>Chiều</t>
        </is>
      </c>
      <c r="H3823" s="390" t="inlineStr">
        <is>
          <t>Dễ</t>
        </is>
      </c>
      <c r="I3823" s="390" t="inlineStr">
        <is>
          <t>Ngày, CTCK</t>
        </is>
      </c>
      <c r="J3823" s="401" t="inlineStr">
        <is>
          <t>SCMS</t>
        </is>
      </c>
      <c r="K3823" s="401" t="inlineStr">
        <is>
          <t>X</t>
        </is>
      </c>
      <c r="L3823" s="401" t="inlineStr">
        <is>
          <t>X</t>
        </is>
      </c>
      <c r="M3823" s="401" t="n"/>
      <c r="N3823" s="401" t="inlineStr">
        <is>
          <t>Done</t>
        </is>
      </c>
      <c r="O3823" s="401" t="n"/>
      <c r="P3823" s="401" t="n"/>
      <c r="Q3823" s="401" t="inlineStr">
        <is>
          <t>SCMS.BM_BAO_CAO
SCMS.BM_SHEET
SCMS.BM_BAO_CAO_CT
SCMS.DM_CHI_TIEU</t>
        </is>
      </c>
      <c r="R3823" s="401" t="inlineStr">
        <is>
          <t>dct.ID,
dct.MA_CHI_TIEU,
dct.TEN_CHI_TIEU,
dct.SU_DUNG,
s.BM_BAO_CAO_ID,
s.MA_SHEET,
ct.BM_BAO_CAO_ID,
ct.DM_CHI_TIEU_ID,
ct.SU_DUNG,
bm.ID,
bm.MA_BAO_CAO,
bm.SU_DUNG</t>
        </is>
      </c>
      <c r="S3823" s="401" t="n"/>
      <c r="T3823" s="389" t="inlineStr">
        <is>
          <t>-- Mã chỉ tiêu / Tên chỉ tiêu
SELECT DISTINCT
    dct.MA_CHI_TIEU  AS ma_chi_tieu,
    dct.TEN_CHI_TIEU AS ten_chi_tieu
FROM SCMS.BM_BAO_CAO bm
JOIN SCMS.BM_SHEET s ON s.BM_BAO_CAO_ID = bm.ID
	AND s.MA_SHEET = '06H06'
JOIN SCMS.BM_BAO_CAO_CT ct ON ct.BM_SHEET_ID = s.ID
	AND ct.SU_DUNG = 1
JOIN SCMS.DM_CHI_TIEU dct ON dct.ID = ct.DM_CHI_TIEU_ID
	AND dct.SU_DUNG = 1
WHERE bm.MA_BAO_CAO LIKE 'BCTLAT_TT102/2025'
	AND bm.SU_DUNG = 1
ORDER BY dct.MA_CHI_TIEU;</t>
        </is>
      </c>
      <c r="U3823" s="401" t="n"/>
      <c r="V3823" s="22" t="n"/>
      <c r="W3823" s="22" t="n"/>
      <c r="X3823" s="22" t="n"/>
      <c r="Y3823" s="22" t="n"/>
      <c r="Z3823" s="22" t="n"/>
      <c r="AA3823" s="22" t="n"/>
      <c r="AB3823" s="22" t="n"/>
      <c r="AC3823" s="22" t="n"/>
      <c r="AD3823" s="22" t="n"/>
      <c r="AE3823" s="22" t="n"/>
    </row>
    <row r="3824" ht="84" customHeight="1" s="380">
      <c r="A3824" s="148" t="n">
        <v>137</v>
      </c>
      <c r="B3824" s="390" t="n"/>
      <c r="C3824" s="390" t="inlineStr">
        <is>
          <t>Báo cáo tỷ lệ an toàn tài chính - Chi nhánh công ty chứng khoán nước ngoài tại Việt Nam &gt;&gt; Giá trị rủi ro thanh toán (Rủi ro tăng thêm)</t>
        </is>
      </c>
      <c r="D3824" s="106" t="inlineStr">
        <is>
          <t>Tên chỉ tiêu</t>
        </is>
      </c>
      <c r="E3824" s="107" t="inlineStr">
        <is>
          <t>Tên chỉ tiêu</t>
        </is>
      </c>
      <c r="F3824" s="390" t="inlineStr">
        <is>
          <t>Data Explorer</t>
        </is>
      </c>
      <c r="G3824" s="390" t="inlineStr">
        <is>
          <t>Chiều</t>
        </is>
      </c>
      <c r="H3824" s="390" t="inlineStr">
        <is>
          <t>Dễ</t>
        </is>
      </c>
      <c r="I3824" s="390" t="inlineStr">
        <is>
          <t>Ngày, CTCK</t>
        </is>
      </c>
      <c r="J3824" s="401" t="inlineStr">
        <is>
          <t>SCMS</t>
        </is>
      </c>
      <c r="K3824" s="401" t="inlineStr">
        <is>
          <t>X</t>
        </is>
      </c>
      <c r="L3824" s="401" t="inlineStr">
        <is>
          <t>X</t>
        </is>
      </c>
      <c r="M3824" s="401" t="n"/>
      <c r="N3824" s="401" t="inlineStr">
        <is>
          <t>Done</t>
        </is>
      </c>
      <c r="O3824" s="401" t="n"/>
      <c r="P3824" s="401" t="n"/>
      <c r="S3824" s="401" t="n"/>
      <c r="U3824" s="401" t="n"/>
      <c r="V3824" s="22" t="n"/>
      <c r="W3824" s="22" t="n"/>
      <c r="X3824" s="22" t="n"/>
      <c r="Y3824" s="22" t="n"/>
      <c r="Z3824" s="22" t="n"/>
      <c r="AA3824" s="22" t="n"/>
      <c r="AB3824" s="22" t="n"/>
      <c r="AC3824" s="22" t="n"/>
      <c r="AD3824" s="22" t="n"/>
      <c r="AE3824" s="22" t="n"/>
    </row>
    <row r="3825" ht="84" customHeight="1" s="380">
      <c r="A3825" s="148" t="n">
        <v>137</v>
      </c>
      <c r="B3825" s="390" t="n"/>
      <c r="C3825" s="390" t="inlineStr">
        <is>
          <t>Báo cáo tỷ lệ an toàn tài chính - Chi nhánh công ty chứng khoán nước ngoài tại Việt Nam &gt;&gt; Giá trị rủi ro thanh toán (Rủi ro tăng thêm)</t>
        </is>
      </c>
      <c r="D3825" s="82" t="inlineStr">
        <is>
          <t>Chi tiết tới từng đối tượng</t>
        </is>
      </c>
      <c r="E3825" s="136" t="inlineStr">
        <is>
          <t>Chi tiết tới từng đối tượng</t>
        </is>
      </c>
      <c r="F3825" s="390" t="inlineStr">
        <is>
          <t>Data Explorer</t>
        </is>
      </c>
      <c r="G3825" s="390" t="inlineStr">
        <is>
          <t>Chỉ tiêu cơ sở</t>
        </is>
      </c>
      <c r="H3825" s="390" t="inlineStr">
        <is>
          <t>TB</t>
        </is>
      </c>
      <c r="I3825" s="390" t="inlineStr">
        <is>
          <t>Ngày, CTCK</t>
        </is>
      </c>
      <c r="J3825" s="401" t="inlineStr">
        <is>
          <t>SCMS</t>
        </is>
      </c>
      <c r="K3825" s="401" t="n"/>
      <c r="L3825" s="401" t="inlineStr">
        <is>
          <t>X</t>
        </is>
      </c>
      <c r="M3825" s="401" t="n"/>
      <c r="N3825" s="401" t="inlineStr">
        <is>
          <t>Done</t>
        </is>
      </c>
      <c r="O3825" s="401" t="n"/>
      <c r="P3825" s="401" t="n"/>
      <c r="Q3825" s="431" t="inlineStr">
        <is>
          <t>SCMS.BC_THANH_VIEN
SCMS.BM_BAO_CAO
SCMS.BC_BAO_CAO_GT
SCMS.BM_BAO_CAO_HANG
SCMS.BM_BAO_CAO_COT</t>
        </is>
      </c>
      <c r="R3825" s="431" t="inlineStr">
        <is>
          <t>bsc.TEN_COT,
bsc.BM_SHEET_ID,
bsh.ID,
bsh.MA_HANG,
gt.GIA_TRI,
gt.BC_THANH_VIEN_ID,
gt.BM_SHEET_HANG_ID,
bm.ID,
bm.MA_BAO_CAO,
btv.ID,
btv.BM_BAO_CAO_ID,
btv.TRANG_THAI,
btv.NGAY_SO_LIEU</t>
        </is>
      </c>
      <c r="S3825" s="401" t="n"/>
      <c r="T3825" s="432" t="inlineStr">
        <is>
          <t>-- CHỈ TIÊU
SELECT	
	-- Hệ số rủi ro (%)
	MAX(CASE WHEN bsc.TEN_COT=N'Hệ số rủi ro (%)' AND bsh.MA_HANG = '1' THEN CAST(gt.GIA_TRI AS VARCHAR2(4000)) END) AS "...",
	MAX(CASE WHEN bsc.TEN_COT=N'Hệ số rủi ro (%)' AND bsh.MA_HANG = '2' THEN CAST(gt.GIA_TRI AS VARCHAR2(4000)) END) AS "TỔNG RỦI RO TĂNG THÊM",
	-- Quy mô rủi ro
	MAX(CASE WHEN bsc.TEN_COT=N'Quy mô rủi ro' AND bsh.MA_HANG = '1' THEN CAST(gt.GIA_TRI AS VARCHAR2(4000)) END) AS "...",
	MAX(CASE WHEN bsc.TEN_COT=N'Quy mô rủi ro' AND bsh.MA_HANG = '2' THEN CAST(gt.GIA_TRI AS VARCHAR2(4000)) END) AS "TỔNG RỦI RO TĂNG THÊM",
	-- Giá trị rủi ro
	MAX(CASE WHEN bsc.TEN_COT=N'Giá trị rủi ro' AND bsh.MA_HANG = '1' THEN CAST(gt.GIA_TRI AS VARCHAR2(4000)) END) AS "...",
	MAX(CASE WHEN bsc.TEN_COT=N'Giá trị rủi ro' AND bsh.MA_HANG = '2' THEN CAST(gt.GIA_TRI AS VARCHAR2(4000)) END) AS "TỔNG RỦI RO TĂNG THÊM"
FROM SCMS.BC_THANH_VIEN btv
JOIN SCMS.BM_BAO_CAO bm ON bm.ID = btv.BM_BAO_CAO_ID
JOIN SCMS.BC_BAO_CAO_GT gt ON gt.BC_THANH_VIEN_ID = btv.ID
JOIN SCMS.BM_BAO_CAO_HANG bsh ON bsh.ID = gt.BM_SHEET_HANG_ID
JOIN SCMS.BM_BAO_CAO_COT bsc ON bsc.BM_SHEET_ID = 8376
--                               AND bsc.TEN_COT = gt.TEN_COT
WHERE bm.MA_BAO_CAO LIKE 'BCTLAT_TT102/2025'
  AND btv.TRANG_THAI IN (2, 3)
GROUP BY
    btv.ID, btv.CTCK_THONG_TIN_ID, btv.NGAY_SO_LIEU, btv.TRANG_THAI,
    bm.MA_BAO_CAO
ORDER BY btv.NGAY_SO_LIEU DESC;</t>
        </is>
      </c>
      <c r="U3825" s="82" t="inlineStr">
        <is>
          <t>Đang thống kê chỉ tiêu theo hàng dọc, hàng ngang chưa có giá trị cụ thể</t>
        </is>
      </c>
      <c r="V3825" s="22" t="n"/>
      <c r="W3825" s="22" t="n"/>
      <c r="X3825" s="22" t="n"/>
      <c r="Y3825" s="22" t="n"/>
      <c r="Z3825" s="22" t="n"/>
      <c r="AA3825" s="22" t="n"/>
      <c r="AB3825" s="22" t="n"/>
      <c r="AC3825" s="22" t="n"/>
      <c r="AD3825" s="22" t="n"/>
      <c r="AE3825" s="22" t="n"/>
    </row>
    <row r="3826" ht="84" customHeight="1" s="380">
      <c r="A3826" s="148" t="n">
        <v>137</v>
      </c>
      <c r="B3826" s="390" t="n"/>
      <c r="C3826" s="390" t="inlineStr">
        <is>
          <t>Báo cáo tỷ lệ an toàn tài chính - Chi nhánh công ty chứng khoán nước ngoài tại Việt Nam &gt;&gt; Giá trị rủi ro thanh toán (Rủi ro tăng thêm)</t>
        </is>
      </c>
      <c r="D3826" s="82" t="inlineStr">
        <is>
          <t>Hệ số rủi ro (%)</t>
        </is>
      </c>
      <c r="E3826" s="136" t="inlineStr">
        <is>
          <t>Hệ số rủi ro (%)</t>
        </is>
      </c>
      <c r="F3826" s="390" t="inlineStr">
        <is>
          <t>Data Explorer</t>
        </is>
      </c>
      <c r="G3826" s="390" t="inlineStr">
        <is>
          <t>Chỉ tiêu cơ sở</t>
        </is>
      </c>
      <c r="H3826" s="390" t="inlineStr">
        <is>
          <t>TB</t>
        </is>
      </c>
      <c r="I3826" s="390" t="inlineStr">
        <is>
          <t>Ngày, CTCK</t>
        </is>
      </c>
      <c r="J3826" s="401" t="inlineStr">
        <is>
          <t>SCMS</t>
        </is>
      </c>
      <c r="K3826" s="401" t="n"/>
      <c r="L3826" s="401" t="inlineStr">
        <is>
          <t>X</t>
        </is>
      </c>
      <c r="M3826" s="401" t="n"/>
      <c r="N3826" s="401" t="inlineStr">
        <is>
          <t>Done</t>
        </is>
      </c>
      <c r="O3826" s="401" t="n"/>
      <c r="P3826" s="401" t="n"/>
      <c r="S3826" s="401" t="n"/>
      <c r="U3826" s="401" t="n"/>
      <c r="V3826" s="22" t="n"/>
      <c r="W3826" s="22" t="n"/>
      <c r="X3826" s="22" t="n"/>
      <c r="Y3826" s="22" t="n"/>
      <c r="Z3826" s="22" t="n"/>
      <c r="AA3826" s="22" t="n"/>
      <c r="AB3826" s="22" t="n"/>
      <c r="AC3826" s="22" t="n"/>
      <c r="AD3826" s="22" t="n"/>
      <c r="AE3826" s="22" t="n"/>
    </row>
    <row r="3827" ht="84" customHeight="1" s="380">
      <c r="A3827" s="148" t="n">
        <v>137</v>
      </c>
      <c r="B3827" s="390" t="n"/>
      <c r="C3827" s="390" t="inlineStr">
        <is>
          <t>Báo cáo tỷ lệ an toàn tài chính - Chi nhánh công ty chứng khoán nước ngoài tại Việt Nam &gt;&gt; Giá trị rủi ro thanh toán (Rủi ro tăng thêm)</t>
        </is>
      </c>
      <c r="D3827" s="82" t="inlineStr">
        <is>
          <t>Quy mô rủi ro</t>
        </is>
      </c>
      <c r="E3827" s="136" t="inlineStr">
        <is>
          <t>Quy mô rủi ro</t>
        </is>
      </c>
      <c r="F3827" s="390" t="inlineStr">
        <is>
          <t>Data Explorer</t>
        </is>
      </c>
      <c r="G3827" s="390" t="inlineStr">
        <is>
          <t>Chỉ tiêu cơ sở</t>
        </is>
      </c>
      <c r="H3827" s="390" t="inlineStr">
        <is>
          <t>TB</t>
        </is>
      </c>
      <c r="I3827" s="390" t="inlineStr">
        <is>
          <t>Ngày, CTCK</t>
        </is>
      </c>
      <c r="J3827" s="401" t="inlineStr">
        <is>
          <t>SCMS</t>
        </is>
      </c>
      <c r="K3827" s="401" t="n"/>
      <c r="L3827" s="401" t="inlineStr">
        <is>
          <t>X</t>
        </is>
      </c>
      <c r="M3827" s="401" t="n"/>
      <c r="N3827" s="401" t="inlineStr">
        <is>
          <t>Done</t>
        </is>
      </c>
      <c r="O3827" s="401" t="n"/>
      <c r="P3827" s="401" t="n"/>
      <c r="S3827" s="401" t="n"/>
      <c r="U3827" s="401" t="n"/>
      <c r="V3827" s="22" t="n"/>
      <c r="W3827" s="22" t="n"/>
      <c r="X3827" s="22" t="n"/>
      <c r="Y3827" s="22" t="n"/>
      <c r="Z3827" s="22" t="n"/>
      <c r="AA3827" s="22" t="n"/>
      <c r="AB3827" s="22" t="n"/>
      <c r="AC3827" s="22" t="n"/>
      <c r="AD3827" s="22" t="n"/>
      <c r="AE3827" s="22" t="n"/>
    </row>
    <row r="3828" ht="84" customHeight="1" s="380">
      <c r="A3828" s="149" t="n">
        <v>137</v>
      </c>
      <c r="B3828" s="129" t="n"/>
      <c r="C3828" s="129" t="inlineStr">
        <is>
          <t>Báo cáo tỷ lệ an toàn tài chính - Chi nhánh công ty chứng khoán nước ngoài tại Việt Nam &gt;&gt; Giá trị rủi ro thanh toán (Rủi ro tăng thêm)</t>
        </is>
      </c>
      <c r="D3828" s="137" t="inlineStr">
        <is>
          <t>Giá trị rủi ro</t>
        </is>
      </c>
      <c r="E3828" s="138" t="inlineStr">
        <is>
          <t>Giá trị rủi ro</t>
        </is>
      </c>
      <c r="F3828" s="129" t="inlineStr">
        <is>
          <t>Data Explorer</t>
        </is>
      </c>
      <c r="G3828" s="129" t="inlineStr">
        <is>
          <t>Chỉ tiêu cơ sở</t>
        </is>
      </c>
      <c r="H3828" s="129" t="inlineStr">
        <is>
          <t>TB</t>
        </is>
      </c>
      <c r="I3828" s="129" t="inlineStr">
        <is>
          <t>Ngày, CTCK</t>
        </is>
      </c>
      <c r="J3828" s="85" t="inlineStr">
        <is>
          <t>SCMS</t>
        </is>
      </c>
      <c r="K3828" s="85" t="n"/>
      <c r="L3828" s="85" t="inlineStr">
        <is>
          <t>X</t>
        </is>
      </c>
      <c r="M3828" s="85" t="n"/>
      <c r="N3828" s="85" t="inlineStr">
        <is>
          <t>Done</t>
        </is>
      </c>
      <c r="O3828" s="85" t="n"/>
      <c r="P3828" s="85" t="n"/>
      <c r="Q3828" s="426" t="n"/>
      <c r="R3828" s="426" t="n"/>
      <c r="S3828" s="85" t="n"/>
      <c r="T3828" s="426" t="n"/>
      <c r="U3828" s="85" t="n"/>
      <c r="V3828" s="130" t="n"/>
      <c r="W3828" s="130" t="n"/>
      <c r="X3828" s="130" t="n"/>
      <c r="Y3828" s="130" t="n"/>
      <c r="Z3828" s="130" t="n"/>
      <c r="AA3828" s="130" t="n"/>
      <c r="AB3828" s="130" t="n"/>
      <c r="AC3828" s="130" t="n"/>
      <c r="AD3828" s="130" t="n"/>
      <c r="AE3828" s="130" t="n"/>
    </row>
    <row r="3829" ht="70" customHeight="1" s="380">
      <c r="A3829" s="148" t="n">
        <v>138</v>
      </c>
      <c r="B3829" s="140" t="inlineStr">
        <is>
          <t>Nga</t>
        </is>
      </c>
      <c r="C3829" s="127" t="inlineStr">
        <is>
          <t>Báo cáo tỷ lệ an toàn tài chính - Chi nhánh công ty chứng khoán nước ngoài tại Việt Nam &gt;&gt; Giá trị rủi ro hoạt động</t>
        </is>
      </c>
      <c r="D3829" s="106" t="inlineStr">
        <is>
          <t>Loại báo cáo</t>
        </is>
      </c>
      <c r="E3829" s="107" t="inlineStr">
        <is>
          <t>Loại báo cáo</t>
        </is>
      </c>
      <c r="F3829" s="390" t="inlineStr">
        <is>
          <t>Data Explorer</t>
        </is>
      </c>
      <c r="G3829" s="390" t="inlineStr">
        <is>
          <t>Chiều</t>
        </is>
      </c>
      <c r="H3829" s="390" t="inlineStr">
        <is>
          <t>Dễ</t>
        </is>
      </c>
      <c r="I3829" s="390" t="inlineStr">
        <is>
          <t>Ngày, CTCK</t>
        </is>
      </c>
      <c r="J3829" s="401" t="inlineStr">
        <is>
          <t>SCMS</t>
        </is>
      </c>
      <c r="K3829" s="401" t="inlineStr">
        <is>
          <t>X</t>
        </is>
      </c>
      <c r="L3829" s="401" t="inlineStr">
        <is>
          <t>X</t>
        </is>
      </c>
      <c r="M3829" s="401" t="n"/>
      <c r="N3829" s="401" t="inlineStr">
        <is>
          <t>Done</t>
        </is>
      </c>
      <c r="O3829" s="401" t="n"/>
      <c r="P3829" s="401" t="n"/>
      <c r="Q3829" s="404" t="inlineStr">
        <is>
          <t>SCMS.BM_BAO_CAO
SCMS.BM_BAO_CAO_DINH_KY</t>
        </is>
      </c>
      <c r="R3829" s="404" t="inlineStr">
        <is>
          <t>bm.ID,
bm.MA_BAO_CAO,
bm.LOAI_BAO_CAO,
bm.TEN_BAO_CAO,
bm.SU_DUNG,
bdk.BM_BAO_CAO_ID,
bdk.KY_BAO_CAO,
bdk.SU_DUNG</t>
        </is>
      </c>
      <c r="S3829" s="401" t="n"/>
      <c r="T3829" s="390"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3829" s="401" t="n"/>
      <c r="V3829" s="22" t="n"/>
      <c r="W3829" s="22" t="n"/>
      <c r="X3829" s="22" t="n"/>
      <c r="Y3829" s="22" t="n"/>
      <c r="Z3829" s="22" t="n"/>
      <c r="AA3829" s="22" t="n"/>
      <c r="AB3829" s="22" t="n"/>
      <c r="AC3829" s="22" t="n"/>
      <c r="AD3829" s="22" t="n"/>
      <c r="AE3829" s="22" t="n"/>
    </row>
    <row r="3830" ht="70" customHeight="1" s="380">
      <c r="A3830" s="148" t="n">
        <v>138</v>
      </c>
      <c r="B3830" s="390" t="n"/>
      <c r="C3830" s="390" t="inlineStr">
        <is>
          <t>Báo cáo tỷ lệ an toàn tài chính - Chi nhánh công ty chứng khoán nước ngoài tại Việt Nam &gt;&gt; Giá trị rủi ro hoạt động</t>
        </is>
      </c>
      <c r="D3830" s="106" t="inlineStr">
        <is>
          <t>Kỳ báo cáo</t>
        </is>
      </c>
      <c r="E3830" s="107" t="inlineStr">
        <is>
          <t>Kỳ báo cáo</t>
        </is>
      </c>
      <c r="F3830" s="390" t="inlineStr">
        <is>
          <t>Data Explorer</t>
        </is>
      </c>
      <c r="G3830" s="390" t="inlineStr">
        <is>
          <t>Chiều</t>
        </is>
      </c>
      <c r="H3830" s="390" t="inlineStr">
        <is>
          <t>Dễ</t>
        </is>
      </c>
      <c r="I3830" s="390" t="inlineStr">
        <is>
          <t>Ngày, CTCK</t>
        </is>
      </c>
      <c r="J3830" s="401" t="inlineStr">
        <is>
          <t>SCMS</t>
        </is>
      </c>
      <c r="K3830" s="401" t="inlineStr">
        <is>
          <t>X</t>
        </is>
      </c>
      <c r="L3830" s="401" t="inlineStr">
        <is>
          <t>X</t>
        </is>
      </c>
      <c r="M3830" s="401" t="n"/>
      <c r="N3830" s="401" t="inlineStr">
        <is>
          <t>Done</t>
        </is>
      </c>
      <c r="O3830" s="401" t="n"/>
      <c r="P3830" s="401" t="n"/>
      <c r="S3830" s="401" t="n"/>
      <c r="U3830" s="401" t="n"/>
      <c r="V3830" s="22" t="n"/>
      <c r="W3830" s="22" t="n"/>
      <c r="X3830" s="22" t="n"/>
      <c r="Y3830" s="22" t="n"/>
      <c r="Z3830" s="22" t="n"/>
      <c r="AA3830" s="22" t="n"/>
      <c r="AB3830" s="22" t="n"/>
      <c r="AC3830" s="22" t="n"/>
      <c r="AD3830" s="22" t="n"/>
      <c r="AE3830" s="22" t="n"/>
    </row>
    <row r="3831" ht="70" customHeight="1" s="380">
      <c r="A3831" s="148" t="n">
        <v>138</v>
      </c>
      <c r="B3831" s="390" t="n"/>
      <c r="C3831" s="390" t="inlineStr">
        <is>
          <t>Báo cáo tỷ lệ an toàn tài chính - Chi nhánh công ty chứng khoán nước ngoài tại Việt Nam &gt;&gt; Giá trị rủi ro hoạt động</t>
        </is>
      </c>
      <c r="D3831" s="106" t="inlineStr">
        <is>
          <t>Mã báo cáo</t>
        </is>
      </c>
      <c r="E3831" s="107" t="inlineStr">
        <is>
          <t>Mã báo cáo</t>
        </is>
      </c>
      <c r="F3831" s="390" t="inlineStr">
        <is>
          <t>Data Explorer</t>
        </is>
      </c>
      <c r="G3831" s="390" t="inlineStr">
        <is>
          <t>Chiều</t>
        </is>
      </c>
      <c r="H3831" s="390" t="inlineStr">
        <is>
          <t>Dễ</t>
        </is>
      </c>
      <c r="I3831" s="390" t="inlineStr">
        <is>
          <t>Ngày, CTCK</t>
        </is>
      </c>
      <c r="J3831" s="401" t="inlineStr">
        <is>
          <t>SCMS</t>
        </is>
      </c>
      <c r="K3831" s="401" t="inlineStr">
        <is>
          <t>X</t>
        </is>
      </c>
      <c r="L3831" s="401" t="inlineStr">
        <is>
          <t>X</t>
        </is>
      </c>
      <c r="M3831" s="401" t="n"/>
      <c r="N3831" s="401" t="inlineStr">
        <is>
          <t>Done</t>
        </is>
      </c>
      <c r="O3831" s="401" t="n"/>
      <c r="P3831" s="401" t="n"/>
      <c r="S3831" s="401" t="n"/>
      <c r="U3831" s="401" t="n"/>
      <c r="V3831" s="22" t="n"/>
      <c r="W3831" s="22" t="n"/>
      <c r="X3831" s="22" t="n"/>
      <c r="Y3831" s="22" t="n"/>
      <c r="Z3831" s="22" t="n"/>
      <c r="AA3831" s="22" t="n"/>
      <c r="AB3831" s="22" t="n"/>
      <c r="AC3831" s="22" t="n"/>
      <c r="AD3831" s="22" t="n"/>
      <c r="AE3831" s="22" t="n"/>
    </row>
    <row r="3832" ht="70" customHeight="1" s="380">
      <c r="A3832" s="148" t="n">
        <v>138</v>
      </c>
      <c r="B3832" s="390" t="n"/>
      <c r="C3832" s="390" t="inlineStr">
        <is>
          <t>Báo cáo tỷ lệ an toàn tài chính - Chi nhánh công ty chứng khoán nước ngoài tại Việt Nam &gt;&gt; Giá trị rủi ro hoạt động</t>
        </is>
      </c>
      <c r="D3832" s="106" t="inlineStr">
        <is>
          <t>Tên báo cáo</t>
        </is>
      </c>
      <c r="E3832" s="107" t="inlineStr">
        <is>
          <t>Tên báo cáo</t>
        </is>
      </c>
      <c r="F3832" s="390" t="inlineStr">
        <is>
          <t>Data Explorer</t>
        </is>
      </c>
      <c r="G3832" s="390" t="inlineStr">
        <is>
          <t>Chiều</t>
        </is>
      </c>
      <c r="H3832" s="390" t="inlineStr">
        <is>
          <t>Dễ</t>
        </is>
      </c>
      <c r="I3832" s="390" t="inlineStr">
        <is>
          <t>Ngày, CTCK</t>
        </is>
      </c>
      <c r="J3832" s="401" t="inlineStr">
        <is>
          <t>SCMS</t>
        </is>
      </c>
      <c r="K3832" s="401" t="inlineStr">
        <is>
          <t>X</t>
        </is>
      </c>
      <c r="L3832" s="401" t="inlineStr">
        <is>
          <t>X</t>
        </is>
      </c>
      <c r="M3832" s="401" t="n"/>
      <c r="N3832" s="401" t="inlineStr">
        <is>
          <t>Done</t>
        </is>
      </c>
      <c r="O3832" s="401" t="n"/>
      <c r="P3832" s="401" t="n"/>
      <c r="S3832" s="401" t="n"/>
      <c r="U3832" s="401" t="n"/>
      <c r="V3832" s="22" t="n"/>
      <c r="W3832" s="22" t="n"/>
      <c r="X3832" s="22" t="n"/>
      <c r="Y3832" s="22" t="n"/>
      <c r="Z3832" s="22" t="n"/>
      <c r="AA3832" s="22" t="n"/>
      <c r="AB3832" s="22" t="n"/>
      <c r="AC3832" s="22" t="n"/>
      <c r="AD3832" s="22" t="n"/>
      <c r="AE3832" s="22" t="n"/>
    </row>
    <row r="3833" ht="70" customHeight="1" s="380">
      <c r="A3833" s="148" t="n">
        <v>138</v>
      </c>
      <c r="B3833" s="390" t="n"/>
      <c r="C3833" s="390" t="inlineStr">
        <is>
          <t>Báo cáo tỷ lệ an toàn tài chính - Chi nhánh công ty chứng khoán nước ngoài tại Việt Nam &gt;&gt; Giá trị rủi ro hoạt động</t>
        </is>
      </c>
      <c r="D3833" s="106" t="inlineStr">
        <is>
          <t>Mã sheet</t>
        </is>
      </c>
      <c r="E3833" s="106" t="inlineStr">
        <is>
          <t>Mã sheet</t>
        </is>
      </c>
      <c r="F3833" s="390" t="inlineStr">
        <is>
          <t>Data Explorer</t>
        </is>
      </c>
      <c r="G3833" s="390" t="inlineStr">
        <is>
          <t>Chiều</t>
        </is>
      </c>
      <c r="H3833" s="390" t="inlineStr">
        <is>
          <t>Dễ</t>
        </is>
      </c>
      <c r="I3833" s="390" t="inlineStr">
        <is>
          <t>Ngày, CTCK</t>
        </is>
      </c>
      <c r="J3833" s="401" t="inlineStr">
        <is>
          <t>SCMS</t>
        </is>
      </c>
      <c r="K3833" s="401" t="inlineStr">
        <is>
          <t>X</t>
        </is>
      </c>
      <c r="L3833" s="401" t="inlineStr">
        <is>
          <t>X</t>
        </is>
      </c>
      <c r="M3833" s="401" t="n"/>
      <c r="N3833" s="401" t="inlineStr">
        <is>
          <t>Done</t>
        </is>
      </c>
      <c r="O3833" s="401" t="n"/>
      <c r="P3833" s="401" t="n"/>
      <c r="Q3833" s="401" t="inlineStr">
        <is>
          <t>SCMS.BM_BAO_CAO
SCMS.BM_SHEET</t>
        </is>
      </c>
      <c r="R3833" s="401" t="inlineStr">
        <is>
          <t>bm.ID,
bm.MA_BAO_CAO,
bm.SU_DUNG,
s.BM_BAO_CAO_ID,
s.MA_SHEET,
s.TEN_SHEET,
s.SAP_XEP</t>
        </is>
      </c>
      <c r="S3833" s="401" t="n"/>
      <c r="T3833" s="389" t="inlineStr">
        <is>
          <t>-- Mã sheet / Tên sheet
-- TEN_SHEET: 06H07
SELECT bm.MA_BAO_CAO,
s.MA_SHEET,
s.TEN_SHEET
FROM SCMS.BM_BAO_CAO bm
JOIN SCMS.BM_SHEET s ON s.BM_BAO_CAO_ID = bm.ID
WHERE bm.MA_BAO_CAO LIKE 'BCTLAT_TT102/2025'
AND s.MA_SHEET = '06H07'  -- Check lại
AND bm.SU_DUNG = 1
ORDER BY bm.MA_BAO_CAO, s.SAP_XEP;</t>
        </is>
      </c>
      <c r="U3833" s="401" t="n"/>
      <c r="V3833" s="22" t="n"/>
      <c r="W3833" s="22" t="n"/>
      <c r="X3833" s="22" t="n"/>
      <c r="Y3833" s="22" t="n"/>
      <c r="Z3833" s="22" t="n"/>
      <c r="AA3833" s="22" t="n"/>
      <c r="AB3833" s="22" t="n"/>
      <c r="AC3833" s="22" t="n"/>
      <c r="AD3833" s="22" t="n"/>
      <c r="AE3833" s="22" t="n"/>
    </row>
    <row r="3834" ht="70" customHeight="1" s="380">
      <c r="A3834" s="148" t="n">
        <v>138</v>
      </c>
      <c r="B3834" s="390" t="n"/>
      <c r="C3834" s="390" t="inlineStr">
        <is>
          <t>Báo cáo tỷ lệ an toàn tài chính - Chi nhánh công ty chứng khoán nước ngoài tại Việt Nam &gt;&gt; Giá trị rủi ro hoạt động</t>
        </is>
      </c>
      <c r="D3834" s="106" t="inlineStr">
        <is>
          <t>Tên sheet</t>
        </is>
      </c>
      <c r="E3834" s="106" t="inlineStr">
        <is>
          <t>Tên sheet</t>
        </is>
      </c>
      <c r="F3834" s="390" t="inlineStr">
        <is>
          <t>Data Explorer</t>
        </is>
      </c>
      <c r="G3834" s="390" t="inlineStr">
        <is>
          <t>Chiều</t>
        </is>
      </c>
      <c r="H3834" s="390" t="inlineStr">
        <is>
          <t>Dễ</t>
        </is>
      </c>
      <c r="I3834" s="390" t="inlineStr">
        <is>
          <t>Ngày, CTCK</t>
        </is>
      </c>
      <c r="J3834" s="401" t="inlineStr">
        <is>
          <t>SCMS</t>
        </is>
      </c>
      <c r="K3834" s="401" t="inlineStr">
        <is>
          <t>X</t>
        </is>
      </c>
      <c r="L3834" s="401" t="inlineStr">
        <is>
          <t>X</t>
        </is>
      </c>
      <c r="M3834" s="401" t="n"/>
      <c r="N3834" s="401" t="inlineStr">
        <is>
          <t>Done</t>
        </is>
      </c>
      <c r="O3834" s="401" t="n"/>
      <c r="P3834" s="401" t="n"/>
      <c r="S3834" s="401" t="n"/>
      <c r="U3834" s="401" t="n"/>
      <c r="V3834" s="22" t="n"/>
      <c r="W3834" s="22" t="n"/>
      <c r="X3834" s="22" t="n"/>
      <c r="Y3834" s="22" t="n"/>
      <c r="Z3834" s="22" t="n"/>
      <c r="AA3834" s="22" t="n"/>
      <c r="AB3834" s="22" t="n"/>
      <c r="AC3834" s="22" t="n"/>
      <c r="AD3834" s="22" t="n"/>
      <c r="AE3834" s="22" t="n"/>
    </row>
    <row r="3835" ht="70" customHeight="1" s="380">
      <c r="A3835" s="148" t="n">
        <v>138</v>
      </c>
      <c r="B3835" s="390" t="n"/>
      <c r="C3835" s="390" t="inlineStr">
        <is>
          <t>Báo cáo tỷ lệ an toàn tài chính - Chi nhánh công ty chứng khoán nước ngoài tại Việt Nam &gt;&gt; Giá trị rủi ro hoạt động</t>
        </is>
      </c>
      <c r="D3835" s="106" t="inlineStr">
        <is>
          <t>Mã chỉ tiêu</t>
        </is>
      </c>
      <c r="E3835" s="107" t="inlineStr">
        <is>
          <t>Mã chỉ tiêu</t>
        </is>
      </c>
      <c r="F3835" s="390" t="inlineStr">
        <is>
          <t>Data Explorer</t>
        </is>
      </c>
      <c r="G3835" s="390" t="inlineStr">
        <is>
          <t>Chiều</t>
        </is>
      </c>
      <c r="H3835" s="390" t="inlineStr">
        <is>
          <t>Dễ</t>
        </is>
      </c>
      <c r="I3835" s="390" t="inlineStr">
        <is>
          <t>Ngày, CTCK</t>
        </is>
      </c>
      <c r="J3835" s="401" t="inlineStr">
        <is>
          <t>SCMS</t>
        </is>
      </c>
      <c r="K3835" s="401" t="inlineStr">
        <is>
          <t>X</t>
        </is>
      </c>
      <c r="L3835" s="401" t="inlineStr">
        <is>
          <t>X</t>
        </is>
      </c>
      <c r="M3835" s="401" t="n"/>
      <c r="N3835" s="401" t="inlineStr">
        <is>
          <t>Done</t>
        </is>
      </c>
      <c r="O3835" s="401" t="n"/>
      <c r="P3835" s="401" t="n"/>
      <c r="Q3835" s="401" t="inlineStr">
        <is>
          <t>SCMS.BM_BAO_CAO
SCMS.BM_SHEET
SCMS.BM_BAO_CAO_CT
SCMS.DM_CHI_TIEU</t>
        </is>
      </c>
      <c r="R3835" s="402" t="inlineStr">
        <is>
          <t>dct.ID,
dct.MA_CHI_TIEU,
dct.TEN_CHI_TIEU,
dct.SU_DUNG,
s.BM_BAO_CAO_ID,
s.MA_SHEET,
ct.BM_BAO_CAO_ID,
ct.DM_CHI_TIEU_ID,
ct.SU_DUNG,
bm.ID,
bm.MA_BAO_CAO,
bm.SU_DUNG</t>
        </is>
      </c>
      <c r="S3835" s="401" t="n"/>
      <c r="T3835" s="389" t="inlineStr">
        <is>
          <t>-- Mã chỉ tiêu / Tên chỉ tiêu
SELECT DISTINCT
    dct.MA_CHI_TIEU  AS ma_chi_tieu,
    dct.TEN_CHI_TIEU AS ten_chi_tieu
FROM SCMS.BM_BAO_CAO bm
JOIN SCMS.BM_SHEET s ON s.BM_BAO_CAO_ID = bm.ID
	AND s.MA_SHEET = '06H07'
JOIN SCMS.BM_BAO_CAO_CT ct ON ct.BM_SHEET_ID = s.ID
	AND ct.SU_DUNG = 1
JOIN SCMS.DM_CHI_TIEU dct ON dct.ID = ct.DM_CHI_TIEU_ID
	AND dct.SU_DUNG = 1
WHERE bm.MA_BAO_CAO LIKE 'BCTLAT_TT102/2025'
	AND bm.SU_DUNG = 1
ORDER BY dct.MA_CHI_TIEU;</t>
        </is>
      </c>
      <c r="U3835" s="401" t="n"/>
      <c r="V3835" s="22" t="n"/>
      <c r="W3835" s="22" t="n"/>
      <c r="X3835" s="22" t="n"/>
      <c r="Y3835" s="22" t="n"/>
      <c r="Z3835" s="22" t="n"/>
      <c r="AA3835" s="22" t="n"/>
      <c r="AB3835" s="22" t="n"/>
      <c r="AC3835" s="22" t="n"/>
      <c r="AD3835" s="22" t="n"/>
      <c r="AE3835" s="22" t="n"/>
    </row>
    <row r="3836" ht="70" customHeight="1" s="380">
      <c r="A3836" s="148" t="n">
        <v>138</v>
      </c>
      <c r="B3836" s="390" t="n"/>
      <c r="C3836" s="390" t="inlineStr">
        <is>
          <t>Báo cáo tỷ lệ an toàn tài chính - Chi nhánh công ty chứng khoán nước ngoài tại Việt Nam &gt;&gt; Giá trị rủi ro hoạt động</t>
        </is>
      </c>
      <c r="D3836" s="106" t="inlineStr">
        <is>
          <t>Tên chỉ tiêu</t>
        </is>
      </c>
      <c r="E3836" s="107" t="inlineStr">
        <is>
          <t>Tên chỉ tiêu</t>
        </is>
      </c>
      <c r="F3836" s="390" t="inlineStr">
        <is>
          <t>Data Explorer</t>
        </is>
      </c>
      <c r="G3836" s="390" t="inlineStr">
        <is>
          <t>Chiều</t>
        </is>
      </c>
      <c r="H3836" s="390" t="inlineStr">
        <is>
          <t>Dễ</t>
        </is>
      </c>
      <c r="I3836" s="390" t="inlineStr">
        <is>
          <t>Ngày, CTCK</t>
        </is>
      </c>
      <c r="J3836" s="401" t="inlineStr">
        <is>
          <t>SCMS</t>
        </is>
      </c>
      <c r="K3836" s="401" t="inlineStr">
        <is>
          <t>X</t>
        </is>
      </c>
      <c r="L3836" s="401" t="inlineStr">
        <is>
          <t>X</t>
        </is>
      </c>
      <c r="M3836" s="401" t="n"/>
      <c r="N3836" s="401" t="inlineStr">
        <is>
          <t>Done</t>
        </is>
      </c>
      <c r="O3836" s="401" t="n"/>
      <c r="P3836" s="401" t="n"/>
      <c r="S3836" s="401" t="n"/>
      <c r="U3836" s="401" t="n"/>
      <c r="V3836" s="22" t="n"/>
      <c r="W3836" s="22" t="n"/>
      <c r="X3836" s="22" t="n"/>
      <c r="Y3836" s="22" t="n"/>
      <c r="Z3836" s="22" t="n"/>
      <c r="AA3836" s="22" t="n"/>
      <c r="AB3836" s="22" t="n"/>
      <c r="AC3836" s="22" t="n"/>
      <c r="AD3836" s="22" t="n"/>
      <c r="AE3836" s="22" t="n"/>
    </row>
    <row r="3837" ht="70" customHeight="1" s="380">
      <c r="A3837" s="148" t="n">
        <v>138</v>
      </c>
      <c r="B3837" s="390" t="n"/>
      <c r="C3837" s="390" t="inlineStr">
        <is>
          <t>Báo cáo tỷ lệ an toàn tài chính - Chi nhánh công ty chứng khoán nước ngoài tại Việt Nam &gt;&gt; Giá trị rủi ro hoạt động</t>
        </is>
      </c>
      <c r="D3837" s="390" t="inlineStr">
        <is>
          <t>RỦI RO HOẠT ĐỘNG</t>
        </is>
      </c>
      <c r="E3837" s="390" t="inlineStr">
        <is>
          <t>RỦI RO HOẠT ĐỘNG</t>
        </is>
      </c>
      <c r="F3837" s="390" t="inlineStr">
        <is>
          <t>Data Explorer</t>
        </is>
      </c>
      <c r="G3837" s="390" t="inlineStr">
        <is>
          <t>Chỉ tiêu cơ sở</t>
        </is>
      </c>
      <c r="H3837" s="390" t="inlineStr">
        <is>
          <t>TB</t>
        </is>
      </c>
      <c r="I3837" s="390" t="inlineStr">
        <is>
          <t>Ngày, CTCK</t>
        </is>
      </c>
      <c r="J3837" s="401" t="inlineStr">
        <is>
          <t>SCMS</t>
        </is>
      </c>
      <c r="K3837" s="401" t="n"/>
      <c r="L3837" s="401" t="inlineStr">
        <is>
          <t>X</t>
        </is>
      </c>
      <c r="M3837" s="401" t="n"/>
      <c r="N3837" s="401" t="inlineStr">
        <is>
          <t>Done</t>
        </is>
      </c>
      <c r="O3837" s="401" t="n"/>
      <c r="P3837" s="401" t="n"/>
      <c r="Q3837" s="431" t="inlineStr">
        <is>
          <t>SCMS.BC_THANH_VIEN
SCMS.BM_BAO_CAO
SCMS.BC_BAO_CAO_GT
SCMS.BM_BAO_CAO_HANG
SCMS.BM_BAO_CAO_COT</t>
        </is>
      </c>
      <c r="R3837" s="431" t="inlineStr">
        <is>
          <t>bsc.TEN_COT,
bsc.BM_SHEET_ID,
bsh.ID,
bsh.MA_HANG,
gt.GIA_TRI,
gt.BC_THANH_VIEN_ID,
gt.BM_SHEET_HANG_ID,
bm.ID,
bm.MA_BAO_CAO,
btv.ID,
btv.BM_BAO_CAO_ID,
btv.TRANG_THAI,
btv.NGAY_SO_LIEU</t>
        </is>
      </c>
      <c r="S3837" s="401" t="n"/>
      <c r="T3837" s="432" t="inlineStr">
        <is>
          <t>-- CHỈ TIÊU
SELECT	
	-- Giá trị
	MAX(CASE WHEN bsc.TEN_COT=N'Giá trị' AND bsh.MA_HANG = '1' THEN CAST(gt.GIA_TRI AS VARCHAR2(4000)) END) AS "RỦI RO HOẠT ĐỘNG",
	MAX(CASE WHEN bsc.TEN_COT=N'Giá trị' AND bsh.MA_HANG = '2' THEN CAST(gt.GIA_TRI AS VARCHAR2(4000)) END) AS "Tổng chi phí hoạt động phát sinh trong vòng 12 tháng tính tới tháng xx năm 20xx",
	MAX(CASE WHEN bsc.TEN_COT=N'Giá trị' AND bsh.MA_HANG = '3' THEN CAST(gt.GIA_TRI AS VARCHAR2(4000)) END) AS "Các khoản giảm trừ khỏi tổng chi phí",
	MAX(CASE WHEN bsc.TEN_COT=N'Giá trị' AND bsh.MA_HANG = '4' THEN CAST(gt.GIA_TRI AS VARCHAR2(4000)) END) AS "Chi phí khấu hao",
	MAX(CASE WHEN bsc.TEN_COT=N'Giá trị' AND bsh.MA_HANG = '5' THEN CAST(gt.GIA_TRI AS VARCHAR2(4000)) END) AS "Chi phí/Hoàn nhập dự phòng suy giảm giá trị các tài sản tài chính và tài sản thế chấp",
	MAX(CASE WHEN bsc.TEN_COT=N'Giá trị' AND bsh.MA_HANG = '6' THEN CAST(gt.GIA_TRI AS VARCHAR2(4000)) END) AS "Chi phí/Hoàn nhập dự phòng suy giảm giá trị các tài sản tài chính dài hạn",
	MAX(CASE WHEN bsc.TEN_COT=N'Giá trị' AND bsh.MA_HANG = '7' THEN CAST(gt.GIA_TRI AS VARCHAR2(4000)) END) AS "Chi phí/Hoàn nhập dự phòng suy giảm giá trị các khoản phải thu",
	MAX(CASE WHEN bsc.TEN_COT=N'Giá trị' AND bsh.MA_HANG = '8' THEN CAST(gt.GIA_TRI AS VARCHAR2(4000)) END) AS "Chi phí chênh lệch giảm về đánh giá lại các tài sản tài chính ghi nhận thông qua lãi/lỗ",
	MAX(CASE WHEN bsc.TEN_COT=N'Giá trị' AND bsh.MA_HANG = '9' THEN CAST(gt.GIA_TRI AS VARCHAR2(4000)) END) AS "Chi phí/Hoàn nhập dự phòng suy giảm giá trị tài sản ngắn hạn khác",
	MAX(CASE WHEN bsc.TEN_COT=N'Giá trị' AND bsh.MA_HANG = '10' THEN CAST(gt.GIA_TRI AS VARCHAR2(4000)) END) AS "Chi phí lãi vay",
	MAX(CASE WHEN bsc.TEN_COT=N'Giá trị' AND bsh.MA_HANG = '11' THEN CAST(gt.GIA_TRI AS VARCHAR2(4000)) END) AS "Chi phí chênh lệch do đánh giá lại phải trả chứng quyền đang lưu hành",
	MAX(CASE WHEN bsc.TEN_COT=N'Giá trị' AND bsh.MA_HANG = '12' THEN CAST(gt.GIA_TRI AS VARCHAR2(4000)) END) AS "Chi phí hoặc thu nhập khoản chênh lệch tỷ giá hối đoái chưa thực hiện",
	MAX(CASE WHEN bsc.TEN_COT=N'Giá trị' AND bsh.MA_HANG = '13' THEN CAST(gt.GIA_TRI AS VARCHAR2(4000)) END) AS "Chi phí tài chính và các chi phí không bằng tiền khác trong hoạt động kinh doanh của công ty",
	MAX(CASE WHEN bsc.TEN_COT=N'Giá trị' AND bsh.MA_HANG = '14' THEN CAST(gt.GIA_TRI AS VARCHAR2(4000)) END) AS "Tổng chi phí sau khi giảm trừ (III = I – II)",
	MAX(CASE WHEN bsc.TEN_COT=N'Giá trị' AND bsh.MA_HANG = '15' THEN CAST(gt.GIA_TRI AS VARCHAR2(4000)) END) AS "25% Tổng chi phí sau khi giảm trừ (IV = 25% III)",
	MAX(CASE WHEN bsc.TEN_COT=N'Giá trị' AND bsh.MA_HANG = '16' THEN CAST(gt.GIA_TRI AS VARCHAR2(4000)) END) AS "20% vốn điều lệ tối thiểu cho các nghiệp vụ kinh doanh của công ty chứng khoán",
	MAX(CASE WHEN bsc.TEN_COT=N'Giá trị' AND bsh.MA_HANG = '17' THEN CAST(gt.GIA_TRI AS VARCHAR2(4000)) END) AS "TỔNG GIÁ TRỊ RỦI RO HOẠT ĐỘNG (MAX {IV, V})"
FROM SCMS.BC_THANH_VIEN btv
JOIN SCMS.BM_BAO_CAO bm ON bm.ID = btv.BM_BAO_CAO_ID
JOIN SCMS.BC_BAO_CAO_GT gt ON gt.BC_THANH_VIEN_ID = btv.ID
JOIN SCMS.BM_BAO_CAO_HANG bsh ON bsh.ID = gt.BM_SHEET_HANG_ID
JOIN SCMS.BM_BAO_CAO_COT bsc ON bsc.BM_SHEET_ID = 8380
--                               AND bsc.TEN_COT = gt.TEN_COT
WHERE bm.MA_BAO_CAO LIKE 'BCTLAT_TT102/2025'
  AND btv.TRANG_THAI IN (2, 3)
GROUP BY
    btv.ID, btv.CTCK_THONG_TIN_ID, btv.NGAY_SO_LIEU, btv.TRANG_THAI,
    bm.MA_BAO_CAO
ORDER BY btv.NGAY_SO_LIEU DESC;</t>
        </is>
      </c>
      <c r="U3837" s="401" t="n"/>
      <c r="V3837" s="22" t="n"/>
      <c r="W3837" s="22" t="n"/>
      <c r="X3837" s="22" t="n"/>
      <c r="Y3837" s="22" t="n"/>
      <c r="Z3837" s="22" t="n"/>
      <c r="AA3837" s="22" t="n"/>
      <c r="AB3837" s="22" t="n"/>
      <c r="AC3837" s="22" t="n"/>
      <c r="AD3837" s="22" t="n"/>
      <c r="AE3837" s="22" t="n"/>
    </row>
    <row r="3838" ht="70" customHeight="1" s="380">
      <c r="A3838" s="148" t="n">
        <v>138</v>
      </c>
      <c r="B3838" s="390" t="n"/>
      <c r="C3838" s="390" t="inlineStr">
        <is>
          <t>Báo cáo tỷ lệ an toàn tài chính - Chi nhánh công ty chứng khoán nước ngoài tại Việt Nam &gt;&gt; Giá trị rủi ro hoạt động</t>
        </is>
      </c>
      <c r="D3838" s="390" t="inlineStr">
        <is>
          <t xml:space="preserve">Tổng chi phí hoạt động phát sinh trong vòng 12 tháng tính tới tháng xx năm 20xx
</t>
        </is>
      </c>
      <c r="E3838" s="390" t="inlineStr">
        <is>
          <t xml:space="preserve">Tổng chi phí hoạt động phát sinh trong vòng 12 tháng tính tới tháng xx năm 20xx
</t>
        </is>
      </c>
      <c r="F3838" s="390" t="inlineStr">
        <is>
          <t>Data Explorer</t>
        </is>
      </c>
      <c r="G3838" s="390" t="inlineStr">
        <is>
          <t>Chỉ tiêu cơ sở</t>
        </is>
      </c>
      <c r="H3838" s="390" t="inlineStr">
        <is>
          <t>TB</t>
        </is>
      </c>
      <c r="I3838" s="390" t="inlineStr">
        <is>
          <t>Ngày, CTCK</t>
        </is>
      </c>
      <c r="J3838" s="401" t="inlineStr">
        <is>
          <t>SCMS</t>
        </is>
      </c>
      <c r="K3838" s="401" t="n"/>
      <c r="L3838" s="401" t="inlineStr">
        <is>
          <t>X</t>
        </is>
      </c>
      <c r="M3838" s="401" t="n"/>
      <c r="N3838" s="401" t="inlineStr">
        <is>
          <t>Done</t>
        </is>
      </c>
      <c r="O3838" s="401" t="n"/>
      <c r="P3838" s="401" t="n"/>
      <c r="S3838" s="401" t="n"/>
      <c r="U3838" s="401" t="n"/>
      <c r="V3838" s="22" t="n"/>
      <c r="W3838" s="22" t="n"/>
      <c r="X3838" s="22" t="n"/>
      <c r="Y3838" s="22" t="n"/>
      <c r="Z3838" s="22" t="n"/>
      <c r="AA3838" s="22" t="n"/>
      <c r="AB3838" s="22" t="n"/>
      <c r="AC3838" s="22" t="n"/>
      <c r="AD3838" s="22" t="n"/>
      <c r="AE3838" s="22" t="n"/>
    </row>
    <row r="3839" ht="70" customHeight="1" s="380">
      <c r="A3839" s="148" t="n">
        <v>138</v>
      </c>
      <c r="B3839" s="390" t="n"/>
      <c r="C3839" s="390" t="inlineStr">
        <is>
          <t>Báo cáo tỷ lệ an toàn tài chính - Chi nhánh công ty chứng khoán nước ngoài tại Việt Nam &gt;&gt; Giá trị rủi ro hoạt động</t>
        </is>
      </c>
      <c r="D3839" s="390" t="inlineStr">
        <is>
          <t xml:space="preserve">Các khoản giảm trừ khỏi tổng chi phí
</t>
        </is>
      </c>
      <c r="E3839" s="390" t="inlineStr">
        <is>
          <t xml:space="preserve">Các khoản giảm trừ khỏi tổng chi phí
</t>
        </is>
      </c>
      <c r="F3839" s="390" t="inlineStr">
        <is>
          <t>Data Explorer</t>
        </is>
      </c>
      <c r="G3839" s="390" t="inlineStr">
        <is>
          <t>Chỉ tiêu cơ sở</t>
        </is>
      </c>
      <c r="H3839" s="390" t="inlineStr">
        <is>
          <t>TB</t>
        </is>
      </c>
      <c r="I3839" s="390" t="inlineStr">
        <is>
          <t>Ngày, CTCK</t>
        </is>
      </c>
      <c r="J3839" s="401" t="inlineStr">
        <is>
          <t>SCMS</t>
        </is>
      </c>
      <c r="K3839" s="401" t="n"/>
      <c r="L3839" s="401" t="inlineStr">
        <is>
          <t>X</t>
        </is>
      </c>
      <c r="M3839" s="401" t="n"/>
      <c r="N3839" s="401" t="inlineStr">
        <is>
          <t>Done</t>
        </is>
      </c>
      <c r="O3839" s="401" t="n"/>
      <c r="P3839" s="401" t="n"/>
      <c r="S3839" s="401" t="n"/>
      <c r="U3839" s="401" t="n"/>
      <c r="V3839" s="22" t="n"/>
      <c r="W3839" s="22" t="n"/>
      <c r="X3839" s="22" t="n"/>
      <c r="Y3839" s="22" t="n"/>
      <c r="Z3839" s="22" t="n"/>
      <c r="AA3839" s="22" t="n"/>
      <c r="AB3839" s="22" t="n"/>
      <c r="AC3839" s="22" t="n"/>
      <c r="AD3839" s="22" t="n"/>
      <c r="AE3839" s="22" t="n"/>
    </row>
    <row r="3840" ht="70" customHeight="1" s="380">
      <c r="A3840" s="148" t="n">
        <v>138</v>
      </c>
      <c r="B3840" s="390" t="n"/>
      <c r="C3840" s="390" t="inlineStr">
        <is>
          <t>Báo cáo tỷ lệ an toàn tài chính - Chi nhánh công ty chứng khoán nước ngoài tại Việt Nam &gt;&gt; Giá trị rủi ro hoạt động</t>
        </is>
      </c>
      <c r="D3840" s="390" t="inlineStr">
        <is>
          <t xml:space="preserve">Chi phí khấu hao                                    </t>
        </is>
      </c>
      <c r="E3840" s="390" t="inlineStr">
        <is>
          <t xml:space="preserve">Chi phí khấu hao                                    </t>
        </is>
      </c>
      <c r="F3840" s="390" t="inlineStr">
        <is>
          <t>Data Explorer</t>
        </is>
      </c>
      <c r="G3840" s="390" t="inlineStr">
        <is>
          <t>Chỉ tiêu cơ sở</t>
        </is>
      </c>
      <c r="H3840" s="390" t="inlineStr">
        <is>
          <t>TB</t>
        </is>
      </c>
      <c r="I3840" s="390" t="inlineStr">
        <is>
          <t>Ngày, CTCK</t>
        </is>
      </c>
      <c r="J3840" s="401" t="inlineStr">
        <is>
          <t>SCMS</t>
        </is>
      </c>
      <c r="K3840" s="401" t="n"/>
      <c r="L3840" s="401" t="inlineStr">
        <is>
          <t>X</t>
        </is>
      </c>
      <c r="M3840" s="401" t="n"/>
      <c r="N3840" s="401" t="inlineStr">
        <is>
          <t>Done</t>
        </is>
      </c>
      <c r="O3840" s="401" t="n"/>
      <c r="P3840" s="401" t="n"/>
      <c r="S3840" s="401" t="n"/>
      <c r="U3840" s="401" t="n"/>
      <c r="V3840" s="22" t="n"/>
      <c r="W3840" s="22" t="n"/>
      <c r="X3840" s="22" t="n"/>
      <c r="Y3840" s="22" t="n"/>
      <c r="Z3840" s="22" t="n"/>
      <c r="AA3840" s="22" t="n"/>
      <c r="AB3840" s="22" t="n"/>
      <c r="AC3840" s="22" t="n"/>
      <c r="AD3840" s="22" t="n"/>
      <c r="AE3840" s="22" t="n"/>
    </row>
    <row r="3841" ht="70" customHeight="1" s="380">
      <c r="A3841" s="148" t="n">
        <v>138</v>
      </c>
      <c r="B3841" s="390" t="n"/>
      <c r="C3841" s="390" t="inlineStr">
        <is>
          <t>Báo cáo tỷ lệ an toàn tài chính - Chi nhánh công ty chứng khoán nước ngoài tại Việt Nam &gt;&gt; Giá trị rủi ro hoạt động</t>
        </is>
      </c>
      <c r="D3841" s="390" t="inlineStr">
        <is>
          <t>Chi phí/Hoàn nhập dự phòng suy giảm giá trị các tài sản tài chính và tài sản thế chấp</t>
        </is>
      </c>
      <c r="E3841" s="390" t="inlineStr">
        <is>
          <t>Chi phí/Hoàn nhập dự phòng suy giảm giá trị các tài sản tài chính và tài sản thế chấp</t>
        </is>
      </c>
      <c r="F3841" s="390" t="inlineStr">
        <is>
          <t>Data Explorer</t>
        </is>
      </c>
      <c r="G3841" s="390" t="inlineStr">
        <is>
          <t>Chỉ tiêu cơ sở</t>
        </is>
      </c>
      <c r="H3841" s="390" t="inlineStr">
        <is>
          <t>TB</t>
        </is>
      </c>
      <c r="I3841" s="390" t="inlineStr">
        <is>
          <t>Ngày, CTCK</t>
        </is>
      </c>
      <c r="J3841" s="401" t="inlineStr">
        <is>
          <t>SCMS</t>
        </is>
      </c>
      <c r="K3841" s="401" t="n"/>
      <c r="L3841" s="401" t="inlineStr">
        <is>
          <t>X</t>
        </is>
      </c>
      <c r="M3841" s="401" t="n"/>
      <c r="N3841" s="401" t="inlineStr">
        <is>
          <t>Done</t>
        </is>
      </c>
      <c r="O3841" s="401" t="n"/>
      <c r="P3841" s="401" t="n"/>
      <c r="S3841" s="401" t="n"/>
      <c r="U3841" s="401" t="n"/>
      <c r="V3841" s="22" t="n"/>
      <c r="W3841" s="22" t="n"/>
      <c r="X3841" s="22" t="n"/>
      <c r="Y3841" s="22" t="n"/>
      <c r="Z3841" s="22" t="n"/>
      <c r="AA3841" s="22" t="n"/>
      <c r="AB3841" s="22" t="n"/>
      <c r="AC3841" s="22" t="n"/>
      <c r="AD3841" s="22" t="n"/>
      <c r="AE3841" s="22" t="n"/>
    </row>
    <row r="3842" ht="70" customHeight="1" s="380">
      <c r="A3842" s="148" t="n">
        <v>138</v>
      </c>
      <c r="B3842" s="390" t="n"/>
      <c r="C3842" s="390" t="inlineStr">
        <is>
          <t>Báo cáo tỷ lệ an toàn tài chính - Chi nhánh công ty chứng khoán nước ngoài tại Việt Nam &gt;&gt; Giá trị rủi ro hoạt động</t>
        </is>
      </c>
      <c r="D3842" s="390" t="inlineStr">
        <is>
          <t>Chi phí/Hoàn nhập dự phòng suy giảm giá trị các tài sản tài chính dài hạn</t>
        </is>
      </c>
      <c r="E3842" s="390" t="inlineStr">
        <is>
          <t>Chi phí/Hoàn nhập dự phòng suy giảm giá trị các tài sản tài chính dài hạn</t>
        </is>
      </c>
      <c r="F3842" s="390" t="inlineStr">
        <is>
          <t>Data Explorer</t>
        </is>
      </c>
      <c r="G3842" s="390" t="inlineStr">
        <is>
          <t>Chỉ tiêu cơ sở</t>
        </is>
      </c>
      <c r="H3842" s="390" t="inlineStr">
        <is>
          <t>TB</t>
        </is>
      </c>
      <c r="I3842" s="390" t="inlineStr">
        <is>
          <t>Ngày, CTCK</t>
        </is>
      </c>
      <c r="J3842" s="401" t="inlineStr">
        <is>
          <t>SCMS</t>
        </is>
      </c>
      <c r="K3842" s="401" t="n"/>
      <c r="L3842" s="401" t="inlineStr">
        <is>
          <t>X</t>
        </is>
      </c>
      <c r="M3842" s="401" t="n"/>
      <c r="N3842" s="401" t="inlineStr">
        <is>
          <t>Done</t>
        </is>
      </c>
      <c r="O3842" s="401" t="n"/>
      <c r="P3842" s="401" t="n"/>
      <c r="S3842" s="401" t="n"/>
      <c r="U3842" s="401" t="n"/>
      <c r="V3842" s="22" t="n"/>
      <c r="W3842" s="22" t="n"/>
      <c r="X3842" s="22" t="n"/>
      <c r="Y3842" s="22" t="n"/>
      <c r="Z3842" s="22" t="n"/>
      <c r="AA3842" s="22" t="n"/>
      <c r="AB3842" s="22" t="n"/>
      <c r="AC3842" s="22" t="n"/>
      <c r="AD3842" s="22" t="n"/>
      <c r="AE3842" s="22" t="n"/>
    </row>
    <row r="3843" ht="70" customHeight="1" s="380">
      <c r="A3843" s="148" t="n">
        <v>138</v>
      </c>
      <c r="B3843" s="390" t="n"/>
      <c r="C3843" s="390" t="inlineStr">
        <is>
          <t>Báo cáo tỷ lệ an toàn tài chính - Chi nhánh công ty chứng khoán nước ngoài tại Việt Nam &gt;&gt; Giá trị rủi ro hoạt động</t>
        </is>
      </c>
      <c r="D3843" s="390" t="inlineStr">
        <is>
          <t>Chi phí/Hoàn nhập dự phòng suy giảm giá trị các khoản phải thu</t>
        </is>
      </c>
      <c r="E3843" s="390" t="inlineStr">
        <is>
          <t>Chi phí/Hoàn nhập dự phòng suy giảm giá trị các khoản phải thu</t>
        </is>
      </c>
      <c r="F3843" s="390" t="inlineStr">
        <is>
          <t>Data Explorer</t>
        </is>
      </c>
      <c r="G3843" s="390" t="inlineStr">
        <is>
          <t>Chỉ tiêu cơ sở</t>
        </is>
      </c>
      <c r="H3843" s="390" t="inlineStr">
        <is>
          <t>TB</t>
        </is>
      </c>
      <c r="I3843" s="390" t="inlineStr">
        <is>
          <t>Ngày, CTCK</t>
        </is>
      </c>
      <c r="J3843" s="401" t="inlineStr">
        <is>
          <t>SCMS</t>
        </is>
      </c>
      <c r="K3843" s="401" t="n"/>
      <c r="L3843" s="401" t="inlineStr">
        <is>
          <t>X</t>
        </is>
      </c>
      <c r="M3843" s="401" t="n"/>
      <c r="N3843" s="401" t="inlineStr">
        <is>
          <t>Done</t>
        </is>
      </c>
      <c r="O3843" s="401" t="n"/>
      <c r="P3843" s="401" t="n"/>
      <c r="S3843" s="401" t="n"/>
      <c r="U3843" s="401" t="n"/>
      <c r="V3843" s="22" t="n"/>
      <c r="W3843" s="22" t="n"/>
      <c r="X3843" s="22" t="n"/>
      <c r="Y3843" s="22" t="n"/>
      <c r="Z3843" s="22" t="n"/>
      <c r="AA3843" s="22" t="n"/>
      <c r="AB3843" s="22" t="n"/>
      <c r="AC3843" s="22" t="n"/>
      <c r="AD3843" s="22" t="n"/>
      <c r="AE3843" s="22" t="n"/>
    </row>
    <row r="3844" ht="70" customHeight="1" s="380">
      <c r="A3844" s="148" t="n">
        <v>138</v>
      </c>
      <c r="B3844" s="390" t="n"/>
      <c r="C3844" s="390" t="inlineStr">
        <is>
          <t>Báo cáo tỷ lệ an toàn tài chính - Chi nhánh công ty chứng khoán nước ngoài tại Việt Nam &gt;&gt; Giá trị rủi ro hoạt động</t>
        </is>
      </c>
      <c r="D3844" s="390" t="inlineStr">
        <is>
          <t>Chi phí chênh lệch giảm về đánh giá lại các tài sản tài chính ghi nhận thông qua lãi/lỗ</t>
        </is>
      </c>
      <c r="E3844" s="390" t="inlineStr">
        <is>
          <t>Chi phí chênh lệch giảm về đánh giá lại các tài sản tài chính ghi nhận thông qua lãi/lỗ</t>
        </is>
      </c>
      <c r="F3844" s="390" t="inlineStr">
        <is>
          <t>Data Explorer</t>
        </is>
      </c>
      <c r="G3844" s="390" t="inlineStr">
        <is>
          <t>Chỉ tiêu cơ sở</t>
        </is>
      </c>
      <c r="H3844" s="390" t="inlineStr">
        <is>
          <t>TB</t>
        </is>
      </c>
      <c r="I3844" s="390" t="inlineStr">
        <is>
          <t>Ngày, CTCK</t>
        </is>
      </c>
      <c r="J3844" s="401" t="inlineStr">
        <is>
          <t>SCMS</t>
        </is>
      </c>
      <c r="K3844" s="401" t="n"/>
      <c r="L3844" s="401" t="inlineStr">
        <is>
          <t>X</t>
        </is>
      </c>
      <c r="M3844" s="401" t="n"/>
      <c r="N3844" s="401" t="inlineStr">
        <is>
          <t>Done</t>
        </is>
      </c>
      <c r="O3844" s="401" t="n"/>
      <c r="P3844" s="401" t="n"/>
      <c r="S3844" s="401" t="n"/>
      <c r="U3844" s="401" t="n"/>
      <c r="V3844" s="22" t="n"/>
      <c r="W3844" s="22" t="n"/>
      <c r="X3844" s="22" t="n"/>
      <c r="Y3844" s="22" t="n"/>
      <c r="Z3844" s="22" t="n"/>
      <c r="AA3844" s="22" t="n"/>
      <c r="AB3844" s="22" t="n"/>
      <c r="AC3844" s="22" t="n"/>
      <c r="AD3844" s="22" t="n"/>
      <c r="AE3844" s="22" t="n"/>
    </row>
    <row r="3845" ht="70" customHeight="1" s="380">
      <c r="A3845" s="148" t="n">
        <v>138</v>
      </c>
      <c r="B3845" s="390" t="n"/>
      <c r="C3845" s="390" t="inlineStr">
        <is>
          <t>Báo cáo tỷ lệ an toàn tài chính - Chi nhánh công ty chứng khoán nước ngoài tại Việt Nam &gt;&gt; Giá trị rủi ro hoạt động</t>
        </is>
      </c>
      <c r="D3845" s="390" t="inlineStr">
        <is>
          <t>Chi phí/Hoàn nhập dự phòng suy giảm giá trị tài sản ngắn hạn khác</t>
        </is>
      </c>
      <c r="E3845" s="390" t="inlineStr">
        <is>
          <t>Chi phí/Hoàn nhập dự phòng suy giảm giá trị tài sản ngắn hạn khác</t>
        </is>
      </c>
      <c r="F3845" s="390" t="inlineStr">
        <is>
          <t>Data Explorer</t>
        </is>
      </c>
      <c r="G3845" s="390" t="inlineStr">
        <is>
          <t>Chỉ tiêu cơ sở</t>
        </is>
      </c>
      <c r="H3845" s="390" t="inlineStr">
        <is>
          <t>TB</t>
        </is>
      </c>
      <c r="I3845" s="390" t="inlineStr">
        <is>
          <t>Ngày, CTCK</t>
        </is>
      </c>
      <c r="J3845" s="401" t="inlineStr">
        <is>
          <t>SCMS</t>
        </is>
      </c>
      <c r="K3845" s="401" t="n"/>
      <c r="L3845" s="401" t="inlineStr">
        <is>
          <t>X</t>
        </is>
      </c>
      <c r="M3845" s="401" t="n"/>
      <c r="N3845" s="401" t="inlineStr">
        <is>
          <t>Done</t>
        </is>
      </c>
      <c r="O3845" s="401" t="n"/>
      <c r="P3845" s="401" t="n"/>
      <c r="S3845" s="401" t="n"/>
      <c r="U3845" s="401" t="n"/>
      <c r="V3845" s="22" t="n"/>
      <c r="W3845" s="22" t="n"/>
      <c r="X3845" s="22" t="n"/>
      <c r="Y3845" s="22" t="n"/>
      <c r="Z3845" s="22" t="n"/>
      <c r="AA3845" s="22" t="n"/>
      <c r="AB3845" s="22" t="n"/>
      <c r="AC3845" s="22" t="n"/>
      <c r="AD3845" s="22" t="n"/>
      <c r="AE3845" s="22" t="n"/>
    </row>
    <row r="3846" ht="70" customHeight="1" s="380">
      <c r="A3846" s="148" t="n">
        <v>138</v>
      </c>
      <c r="B3846" s="390" t="n"/>
      <c r="C3846" s="390" t="inlineStr">
        <is>
          <t>Báo cáo tỷ lệ an toàn tài chính - Chi nhánh công ty chứng khoán nước ngoài tại Việt Nam &gt;&gt; Giá trị rủi ro hoạt động</t>
        </is>
      </c>
      <c r="D3846" s="390" t="inlineStr">
        <is>
          <t>Chi phí lãi vay</t>
        </is>
      </c>
      <c r="E3846" s="390" t="inlineStr">
        <is>
          <t>Chi phí lãi vay</t>
        </is>
      </c>
      <c r="F3846" s="390" t="inlineStr">
        <is>
          <t>Data Explorer</t>
        </is>
      </c>
      <c r="G3846" s="390" t="inlineStr">
        <is>
          <t>Chỉ tiêu cơ sở</t>
        </is>
      </c>
      <c r="H3846" s="390" t="inlineStr">
        <is>
          <t>TB</t>
        </is>
      </c>
      <c r="I3846" s="390" t="inlineStr">
        <is>
          <t>Ngày, CTCK</t>
        </is>
      </c>
      <c r="J3846" s="401" t="inlineStr">
        <is>
          <t>SCMS</t>
        </is>
      </c>
      <c r="K3846" s="401" t="n"/>
      <c r="L3846" s="401" t="inlineStr">
        <is>
          <t>X</t>
        </is>
      </c>
      <c r="M3846" s="401" t="n"/>
      <c r="N3846" s="401" t="inlineStr">
        <is>
          <t>Done</t>
        </is>
      </c>
      <c r="O3846" s="401" t="n"/>
      <c r="P3846" s="401" t="n"/>
      <c r="S3846" s="401" t="n"/>
      <c r="U3846" s="401" t="n"/>
      <c r="V3846" s="22" t="n"/>
      <c r="W3846" s="22" t="n"/>
      <c r="X3846" s="22" t="n"/>
      <c r="Y3846" s="22" t="n"/>
      <c r="Z3846" s="22" t="n"/>
      <c r="AA3846" s="22" t="n"/>
      <c r="AB3846" s="22" t="n"/>
      <c r="AC3846" s="22" t="n"/>
      <c r="AD3846" s="22" t="n"/>
      <c r="AE3846" s="22" t="n"/>
    </row>
    <row r="3847" ht="70" customHeight="1" s="380">
      <c r="A3847" s="148" t="n">
        <v>138</v>
      </c>
      <c r="B3847" s="390" t="n"/>
      <c r="C3847" s="390" t="inlineStr">
        <is>
          <t>Báo cáo tỷ lệ an toàn tài chính - Chi nhánh công ty chứng khoán nước ngoài tại Việt Nam &gt;&gt; Giá trị rủi ro hoạt động</t>
        </is>
      </c>
      <c r="D3847" s="390" t="inlineStr">
        <is>
          <t>Chi phí chênh lệch do đánh giá lại phải trả chứng quyền đang lưu hành</t>
        </is>
      </c>
      <c r="E3847" s="390" t="inlineStr">
        <is>
          <t>Chi phí chênh lệch do đánh giá lại phải trả chứng quyền đang lưu hành</t>
        </is>
      </c>
      <c r="F3847" s="390" t="inlineStr">
        <is>
          <t>Data Explorer</t>
        </is>
      </c>
      <c r="G3847" s="390" t="inlineStr">
        <is>
          <t>Chỉ tiêu cơ sở</t>
        </is>
      </c>
      <c r="H3847" s="390" t="inlineStr">
        <is>
          <t>TB</t>
        </is>
      </c>
      <c r="I3847" s="390" t="inlineStr">
        <is>
          <t>Ngày, CTCK</t>
        </is>
      </c>
      <c r="J3847" s="401" t="inlineStr">
        <is>
          <t>SCMS</t>
        </is>
      </c>
      <c r="K3847" s="401" t="n"/>
      <c r="L3847" s="401" t="inlineStr">
        <is>
          <t>X</t>
        </is>
      </c>
      <c r="M3847" s="401" t="n"/>
      <c r="N3847" s="401" t="inlineStr">
        <is>
          <t>Done</t>
        </is>
      </c>
      <c r="O3847" s="401" t="n"/>
      <c r="P3847" s="401" t="n"/>
      <c r="S3847" s="401" t="n"/>
      <c r="U3847" s="401" t="n"/>
      <c r="V3847" s="22" t="n"/>
      <c r="W3847" s="22" t="n"/>
      <c r="X3847" s="22" t="n"/>
      <c r="Y3847" s="22" t="n"/>
      <c r="Z3847" s="22" t="n"/>
      <c r="AA3847" s="22" t="n"/>
      <c r="AB3847" s="22" t="n"/>
      <c r="AC3847" s="22" t="n"/>
      <c r="AD3847" s="22" t="n"/>
      <c r="AE3847" s="22" t="n"/>
    </row>
    <row r="3848" ht="70" customHeight="1" s="380">
      <c r="A3848" s="148" t="n">
        <v>138</v>
      </c>
      <c r="B3848" s="390" t="n"/>
      <c r="C3848" s="390" t="inlineStr">
        <is>
          <t>Báo cáo tỷ lệ an toàn tài chính - Chi nhánh công ty chứng khoán nước ngoài tại Việt Nam &gt;&gt; Giá trị rủi ro hoạt động</t>
        </is>
      </c>
      <c r="D3848" s="390" t="inlineStr">
        <is>
          <t>Chi phí hoặc thu nhập khoản chênh lệch tỷ giá hối đoái chưa thực hiện</t>
        </is>
      </c>
      <c r="E3848" s="390" t="inlineStr">
        <is>
          <t>Chi phí hoặc thu nhập khoản chênh lệch tỷ giá hối đoái chưa thực hiện</t>
        </is>
      </c>
      <c r="F3848" s="390" t="inlineStr">
        <is>
          <t>Data Explorer</t>
        </is>
      </c>
      <c r="G3848" s="390" t="inlineStr">
        <is>
          <t>Chỉ tiêu cơ sở</t>
        </is>
      </c>
      <c r="H3848" s="390" t="inlineStr">
        <is>
          <t>TB</t>
        </is>
      </c>
      <c r="I3848" s="390" t="inlineStr">
        <is>
          <t>Ngày, CTCK</t>
        </is>
      </c>
      <c r="J3848" s="401" t="inlineStr">
        <is>
          <t>SCMS</t>
        </is>
      </c>
      <c r="K3848" s="401" t="n"/>
      <c r="L3848" s="401" t="inlineStr">
        <is>
          <t>X</t>
        </is>
      </c>
      <c r="M3848" s="401" t="n"/>
      <c r="N3848" s="401" t="inlineStr">
        <is>
          <t>Done</t>
        </is>
      </c>
      <c r="O3848" s="401" t="n"/>
      <c r="P3848" s="401" t="n"/>
      <c r="S3848" s="401" t="n"/>
      <c r="U3848" s="401" t="n"/>
      <c r="V3848" s="22" t="n"/>
      <c r="W3848" s="22" t="n"/>
      <c r="X3848" s="22" t="n"/>
      <c r="Y3848" s="22" t="n"/>
      <c r="Z3848" s="22" t="n"/>
      <c r="AA3848" s="22" t="n"/>
      <c r="AB3848" s="22" t="n"/>
      <c r="AC3848" s="22" t="n"/>
      <c r="AD3848" s="22" t="n"/>
      <c r="AE3848" s="22" t="n"/>
    </row>
    <row r="3849" ht="70" customHeight="1" s="380">
      <c r="A3849" s="148" t="n">
        <v>138</v>
      </c>
      <c r="B3849" s="390" t="n"/>
      <c r="C3849" s="390" t="inlineStr">
        <is>
          <t>Báo cáo tỷ lệ an toàn tài chính - Chi nhánh công ty chứng khoán nước ngoài tại Việt Nam &gt;&gt; Giá trị rủi ro hoạt động</t>
        </is>
      </c>
      <c r="D3849" s="390" t="inlineStr">
        <is>
          <t>Chi phí tài chính và các chi phí không bằng tiền khác trong hoạt động kinh doanh của công ty</t>
        </is>
      </c>
      <c r="E3849" s="390" t="inlineStr">
        <is>
          <t>Chi phí tài chính và các chi phí không bằng tiền khác trong hoạt động kinh doanh của công ty</t>
        </is>
      </c>
      <c r="F3849" s="390" t="inlineStr">
        <is>
          <t>Data Explorer</t>
        </is>
      </c>
      <c r="G3849" s="390" t="inlineStr">
        <is>
          <t>Chỉ tiêu cơ sở</t>
        </is>
      </c>
      <c r="H3849" s="390" t="inlineStr">
        <is>
          <t>TB</t>
        </is>
      </c>
      <c r="I3849" s="390" t="inlineStr">
        <is>
          <t>Ngày, CTCK</t>
        </is>
      </c>
      <c r="J3849" s="401" t="inlineStr">
        <is>
          <t>SCMS</t>
        </is>
      </c>
      <c r="K3849" s="401" t="n"/>
      <c r="L3849" s="401" t="inlineStr">
        <is>
          <t>X</t>
        </is>
      </c>
      <c r="M3849" s="401" t="n"/>
      <c r="N3849" s="401" t="inlineStr">
        <is>
          <t>Done</t>
        </is>
      </c>
      <c r="O3849" s="401" t="n"/>
      <c r="P3849" s="401" t="n"/>
      <c r="S3849" s="401" t="n"/>
      <c r="U3849" s="401" t="n"/>
      <c r="V3849" s="22" t="n"/>
      <c r="W3849" s="22" t="n"/>
      <c r="X3849" s="22" t="n"/>
      <c r="Y3849" s="22" t="n"/>
      <c r="Z3849" s="22" t="n"/>
      <c r="AA3849" s="22" t="n"/>
      <c r="AB3849" s="22" t="n"/>
      <c r="AC3849" s="22" t="n"/>
      <c r="AD3849" s="22" t="n"/>
      <c r="AE3849" s="22" t="n"/>
    </row>
    <row r="3850" ht="70" customHeight="1" s="380">
      <c r="A3850" s="148" t="n">
        <v>138</v>
      </c>
      <c r="B3850" s="390" t="n"/>
      <c r="C3850" s="390" t="inlineStr">
        <is>
          <t>Báo cáo tỷ lệ an toàn tài chính - Chi nhánh công ty chứng khoán nước ngoài tại Việt Nam &gt;&gt; Giá trị rủi ro hoạt động</t>
        </is>
      </c>
      <c r="D3850" s="390" t="inlineStr">
        <is>
          <t>Tổng chi phí sau khi giảm trừ (III = I – II)</t>
        </is>
      </c>
      <c r="E3850" s="390" t="inlineStr">
        <is>
          <t>Tổng chi phí sau khi giảm trừ (III = I – II)</t>
        </is>
      </c>
      <c r="F3850" s="390" t="inlineStr">
        <is>
          <t>Data Explorer</t>
        </is>
      </c>
      <c r="G3850" s="390" t="inlineStr">
        <is>
          <t>Chỉ tiêu cơ sở</t>
        </is>
      </c>
      <c r="H3850" s="390" t="inlineStr">
        <is>
          <t>TB</t>
        </is>
      </c>
      <c r="I3850" s="390" t="inlineStr">
        <is>
          <t>Ngày, CTCK</t>
        </is>
      </c>
      <c r="J3850" s="401" t="inlineStr">
        <is>
          <t>SCMS</t>
        </is>
      </c>
      <c r="K3850" s="401" t="n"/>
      <c r="L3850" s="401" t="inlineStr">
        <is>
          <t>X</t>
        </is>
      </c>
      <c r="M3850" s="401" t="n"/>
      <c r="N3850" s="401" t="inlineStr">
        <is>
          <t>Done</t>
        </is>
      </c>
      <c r="O3850" s="401" t="n"/>
      <c r="P3850" s="401" t="n"/>
      <c r="S3850" s="401" t="n"/>
      <c r="U3850" s="401" t="n"/>
      <c r="V3850" s="22" t="n"/>
      <c r="W3850" s="22" t="n"/>
      <c r="X3850" s="22" t="n"/>
      <c r="Y3850" s="22" t="n"/>
      <c r="Z3850" s="22" t="n"/>
      <c r="AA3850" s="22" t="n"/>
      <c r="AB3850" s="22" t="n"/>
      <c r="AC3850" s="22" t="n"/>
      <c r="AD3850" s="22" t="n"/>
      <c r="AE3850" s="22" t="n"/>
    </row>
    <row r="3851" ht="70" customHeight="1" s="380">
      <c r="A3851" s="148" t="n">
        <v>138</v>
      </c>
      <c r="B3851" s="390" t="n"/>
      <c r="C3851" s="390" t="inlineStr">
        <is>
          <t>Báo cáo tỷ lệ an toàn tài chính - Chi nhánh công ty chứng khoán nước ngoài tại Việt Nam &gt;&gt; Giá trị rủi ro hoạt động</t>
        </is>
      </c>
      <c r="D3851" s="390" t="inlineStr">
        <is>
          <t>25% Tổng chi phí sau khi giảm trừ (IV = 25% III)</t>
        </is>
      </c>
      <c r="E3851" s="390" t="inlineStr">
        <is>
          <t>25% Tổng chi phí sau khi giảm trừ (IV = 25% III)</t>
        </is>
      </c>
      <c r="F3851" s="390" t="inlineStr">
        <is>
          <t>Data Explorer</t>
        </is>
      </c>
      <c r="G3851" s="390" t="inlineStr">
        <is>
          <t>Chỉ tiêu cơ sở</t>
        </is>
      </c>
      <c r="H3851" s="390" t="inlineStr">
        <is>
          <t>TB</t>
        </is>
      </c>
      <c r="I3851" s="390" t="inlineStr">
        <is>
          <t>Ngày, CTCK</t>
        </is>
      </c>
      <c r="J3851" s="401" t="inlineStr">
        <is>
          <t>SCMS</t>
        </is>
      </c>
      <c r="K3851" s="401" t="n"/>
      <c r="L3851" s="401" t="inlineStr">
        <is>
          <t>X</t>
        </is>
      </c>
      <c r="M3851" s="401" t="n"/>
      <c r="N3851" s="401" t="inlineStr">
        <is>
          <t>Done</t>
        </is>
      </c>
      <c r="O3851" s="401" t="n"/>
      <c r="P3851" s="401" t="n"/>
      <c r="S3851" s="401" t="n"/>
      <c r="U3851" s="401" t="n"/>
      <c r="V3851" s="22" t="n"/>
      <c r="W3851" s="22" t="n"/>
      <c r="X3851" s="22" t="n"/>
      <c r="Y3851" s="22" t="n"/>
      <c r="Z3851" s="22" t="n"/>
      <c r="AA3851" s="22" t="n"/>
      <c r="AB3851" s="22" t="n"/>
      <c r="AC3851" s="22" t="n"/>
      <c r="AD3851" s="22" t="n"/>
      <c r="AE3851" s="22" t="n"/>
    </row>
    <row r="3852" ht="70" customHeight="1" s="380">
      <c r="A3852" s="148" t="n">
        <v>138</v>
      </c>
      <c r="B3852" s="390" t="n"/>
      <c r="C3852" s="390" t="inlineStr">
        <is>
          <t>Báo cáo tỷ lệ an toàn tài chính - Chi nhánh công ty chứng khoán nước ngoài tại Việt Nam &gt;&gt; Giá trị rủi ro hoạt động</t>
        </is>
      </c>
      <c r="D3852" s="390" t="inlineStr">
        <is>
          <t>20% vốn điều lệ tối thiểu cho các nghiệp vụ kinh doanh của công ty chứng khoán</t>
        </is>
      </c>
      <c r="E3852" s="390" t="inlineStr">
        <is>
          <t>20% vốn điều lệ tối thiểu cho các nghiệp vụ kinh doanh của công ty chứng khoán</t>
        </is>
      </c>
      <c r="F3852" s="390" t="inlineStr">
        <is>
          <t>Data Explorer</t>
        </is>
      </c>
      <c r="G3852" s="390" t="inlineStr">
        <is>
          <t>Chỉ tiêu cơ sở</t>
        </is>
      </c>
      <c r="H3852" s="390" t="inlineStr">
        <is>
          <t>TB</t>
        </is>
      </c>
      <c r="I3852" s="390" t="inlineStr">
        <is>
          <t>Ngày, CTCK</t>
        </is>
      </c>
      <c r="J3852" s="401" t="inlineStr">
        <is>
          <t>SCMS</t>
        </is>
      </c>
      <c r="K3852" s="401" t="n"/>
      <c r="L3852" s="401" t="inlineStr">
        <is>
          <t>X</t>
        </is>
      </c>
      <c r="M3852" s="401" t="n"/>
      <c r="N3852" s="401" t="inlineStr">
        <is>
          <t>Done</t>
        </is>
      </c>
      <c r="O3852" s="401" t="n"/>
      <c r="P3852" s="401" t="n"/>
      <c r="S3852" s="401" t="n"/>
      <c r="U3852" s="401" t="n"/>
      <c r="V3852" s="22" t="n"/>
      <c r="W3852" s="22" t="n"/>
      <c r="X3852" s="22" t="n"/>
      <c r="Y3852" s="22" t="n"/>
      <c r="Z3852" s="22" t="n"/>
      <c r="AA3852" s="22" t="n"/>
      <c r="AB3852" s="22" t="n"/>
      <c r="AC3852" s="22" t="n"/>
      <c r="AD3852" s="22" t="n"/>
      <c r="AE3852" s="22" t="n"/>
    </row>
    <row r="3853" ht="70" customHeight="1" s="380">
      <c r="A3853" s="149" t="n">
        <v>138</v>
      </c>
      <c r="B3853" s="129" t="n"/>
      <c r="C3853" s="129" t="inlineStr">
        <is>
          <t>Báo cáo tỷ lệ an toàn tài chính - Chi nhánh công ty chứng khoán nước ngoài tại Việt Nam &gt;&gt; Giá trị rủi ro hoạt động</t>
        </is>
      </c>
      <c r="D3853" s="129" t="inlineStr">
        <is>
          <t>TỔNG GIÁ TRỊ RỦI RO HOẠT ĐỘNG (MAX {IV, V})</t>
        </is>
      </c>
      <c r="E3853" s="129" t="inlineStr">
        <is>
          <t>TỔNG GIÁ TRỊ RỦI RO HOẠT ĐỘNG (MAX {IV, V})</t>
        </is>
      </c>
      <c r="F3853" s="129" t="inlineStr">
        <is>
          <t>Data Explorer</t>
        </is>
      </c>
      <c r="G3853" s="129" t="inlineStr">
        <is>
          <t>Chỉ tiêu cơ sở</t>
        </is>
      </c>
      <c r="H3853" s="129" t="inlineStr">
        <is>
          <t>TB</t>
        </is>
      </c>
      <c r="I3853" s="129" t="inlineStr">
        <is>
          <t>Ngày, CTCK</t>
        </is>
      </c>
      <c r="J3853" s="85" t="inlineStr">
        <is>
          <t>SCMS</t>
        </is>
      </c>
      <c r="K3853" s="85" t="n"/>
      <c r="L3853" s="85" t="inlineStr">
        <is>
          <t>X</t>
        </is>
      </c>
      <c r="M3853" s="85" t="n"/>
      <c r="N3853" s="85" t="inlineStr">
        <is>
          <t>Done</t>
        </is>
      </c>
      <c r="O3853" s="85" t="n"/>
      <c r="P3853" s="85" t="n"/>
      <c r="Q3853" s="426" t="n"/>
      <c r="R3853" s="426" t="n"/>
      <c r="S3853" s="85" t="n"/>
      <c r="T3853" s="426" t="n"/>
      <c r="U3853" s="85" t="n"/>
      <c r="V3853" s="130" t="n"/>
      <c r="W3853" s="130" t="n"/>
      <c r="X3853" s="130" t="n"/>
      <c r="Y3853" s="130" t="n"/>
      <c r="Z3853" s="130" t="n"/>
      <c r="AA3853" s="130" t="n"/>
      <c r="AB3853" s="130" t="n"/>
      <c r="AC3853" s="130" t="n"/>
      <c r="AD3853" s="130" t="n"/>
      <c r="AE3853" s="130" t="n"/>
    </row>
    <row r="3854" ht="84" customHeight="1" s="380">
      <c r="A3854" s="148" t="n">
        <v>139</v>
      </c>
      <c r="B3854" s="140" t="inlineStr">
        <is>
          <t>Nga</t>
        </is>
      </c>
      <c r="C3854" s="127" t="inlineStr">
        <is>
          <t>Báo cáo tỷ lệ an toàn tài chính - Chi nhánh công ty chứng khoán nước ngoài tại Việt Nam &gt;&gt; Bảng tổng hợp các chỉ tiêu rủi ro và vốn khả dụng</t>
        </is>
      </c>
      <c r="D3854" s="106" t="inlineStr">
        <is>
          <t>Loại báo cáo</t>
        </is>
      </c>
      <c r="E3854" s="107" t="inlineStr">
        <is>
          <t>Loại báo cáo</t>
        </is>
      </c>
      <c r="F3854" s="390" t="inlineStr">
        <is>
          <t>Data Explorer</t>
        </is>
      </c>
      <c r="G3854" s="390" t="inlineStr">
        <is>
          <t>Chiều</t>
        </is>
      </c>
      <c r="H3854" s="390" t="inlineStr">
        <is>
          <t>Dễ</t>
        </is>
      </c>
      <c r="I3854" s="390" t="inlineStr">
        <is>
          <t>Ngày, CTCK</t>
        </is>
      </c>
      <c r="J3854" s="401" t="inlineStr">
        <is>
          <t>SCMS</t>
        </is>
      </c>
      <c r="K3854" s="401" t="inlineStr">
        <is>
          <t>X</t>
        </is>
      </c>
      <c r="L3854" s="401" t="inlineStr">
        <is>
          <t>X</t>
        </is>
      </c>
      <c r="M3854" s="401" t="n"/>
      <c r="N3854" s="401" t="inlineStr">
        <is>
          <t>Done</t>
        </is>
      </c>
      <c r="O3854" s="401" t="n"/>
      <c r="P3854" s="401" t="n"/>
      <c r="Q3854" s="404" t="inlineStr">
        <is>
          <t>SCMS.BM_BAO_CAO
SCMS.BM_BAO_CAO_DINH_KY</t>
        </is>
      </c>
      <c r="R3854" s="404" t="inlineStr">
        <is>
          <t>bm.ID,
bm.MA_BAO_CAO,
bm.LOAI_BAO_CAO,
bm.TEN_BAO_CAO,
bm.SU_DUNG,
bdk.BM_BAO_CAO_ID,
bdk.KY_BAO_CAO,
bdk.SU_DUNG</t>
        </is>
      </c>
      <c r="S3854" s="401" t="n"/>
      <c r="T3854" s="390" t="inlineStr">
        <is>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is>
      </c>
      <c r="U3854" s="401" t="n"/>
      <c r="V3854" s="22" t="n"/>
      <c r="W3854" s="22" t="n"/>
      <c r="X3854" s="22" t="n"/>
      <c r="Y3854" s="22" t="n"/>
      <c r="Z3854" s="22" t="n"/>
      <c r="AA3854" s="22" t="n"/>
      <c r="AB3854" s="22" t="n"/>
      <c r="AC3854" s="22" t="n"/>
      <c r="AD3854" s="22" t="n"/>
      <c r="AE3854" s="22" t="n"/>
    </row>
    <row r="3855" ht="84" customHeight="1" s="380">
      <c r="A3855" s="148" t="n">
        <v>139</v>
      </c>
      <c r="B3855" s="390" t="n"/>
      <c r="C3855" s="390" t="inlineStr">
        <is>
          <t>Báo cáo tỷ lệ an toàn tài chính - Chi nhánh công ty chứng khoán nước ngoài tại Việt Nam &gt;&gt; Bảng tổng hợp các chỉ tiêu rủi ro và vốn khả dụng</t>
        </is>
      </c>
      <c r="D3855" s="106" t="inlineStr">
        <is>
          <t>Kỳ báo cáo</t>
        </is>
      </c>
      <c r="E3855" s="107" t="inlineStr">
        <is>
          <t>Kỳ báo cáo</t>
        </is>
      </c>
      <c r="F3855" s="390" t="inlineStr">
        <is>
          <t>Data Explorer</t>
        </is>
      </c>
      <c r="G3855" s="390" t="inlineStr">
        <is>
          <t>Chiều</t>
        </is>
      </c>
      <c r="H3855" s="390" t="inlineStr">
        <is>
          <t>Dễ</t>
        </is>
      </c>
      <c r="I3855" s="390" t="inlineStr">
        <is>
          <t>Ngày, CTCK</t>
        </is>
      </c>
      <c r="J3855" s="401" t="inlineStr">
        <is>
          <t>SCMS</t>
        </is>
      </c>
      <c r="K3855" s="401" t="inlineStr">
        <is>
          <t>X</t>
        </is>
      </c>
      <c r="L3855" s="401" t="inlineStr">
        <is>
          <t>X</t>
        </is>
      </c>
      <c r="M3855" s="401" t="n"/>
      <c r="N3855" s="401" t="inlineStr">
        <is>
          <t>Done</t>
        </is>
      </c>
      <c r="O3855" s="401" t="n"/>
      <c r="P3855" s="401" t="n"/>
      <c r="S3855" s="401" t="n"/>
      <c r="U3855" s="401" t="n"/>
      <c r="V3855" s="22" t="n"/>
      <c r="W3855" s="22" t="n"/>
      <c r="X3855" s="22" t="n"/>
      <c r="Y3855" s="22" t="n"/>
      <c r="Z3855" s="22" t="n"/>
      <c r="AA3855" s="22" t="n"/>
      <c r="AB3855" s="22" t="n"/>
      <c r="AC3855" s="22" t="n"/>
      <c r="AD3855" s="22" t="n"/>
      <c r="AE3855" s="22" t="n"/>
    </row>
    <row r="3856" ht="84" customHeight="1" s="380">
      <c r="A3856" s="148" t="n">
        <v>139</v>
      </c>
      <c r="B3856" s="390" t="n"/>
      <c r="C3856" s="390" t="inlineStr">
        <is>
          <t>Báo cáo tỷ lệ an toàn tài chính - Chi nhánh công ty chứng khoán nước ngoài tại Việt Nam &gt;&gt; Bảng tổng hợp các chỉ tiêu rủi ro và vốn khả dụng</t>
        </is>
      </c>
      <c r="D3856" s="106" t="inlineStr">
        <is>
          <t>Mã báo cáo</t>
        </is>
      </c>
      <c r="E3856" s="107" t="inlineStr">
        <is>
          <t>Mã báo cáo</t>
        </is>
      </c>
      <c r="F3856" s="390" t="inlineStr">
        <is>
          <t>Data Explorer</t>
        </is>
      </c>
      <c r="G3856" s="390" t="inlineStr">
        <is>
          <t>Chiều</t>
        </is>
      </c>
      <c r="H3856" s="390" t="inlineStr">
        <is>
          <t>Dễ</t>
        </is>
      </c>
      <c r="I3856" s="390" t="inlineStr">
        <is>
          <t>Ngày, CTCK</t>
        </is>
      </c>
      <c r="J3856" s="401" t="inlineStr">
        <is>
          <t>SCMS</t>
        </is>
      </c>
      <c r="K3856" s="401" t="inlineStr">
        <is>
          <t>X</t>
        </is>
      </c>
      <c r="L3856" s="401" t="inlineStr">
        <is>
          <t>X</t>
        </is>
      </c>
      <c r="M3856" s="401" t="n"/>
      <c r="N3856" s="401" t="inlineStr">
        <is>
          <t>Done</t>
        </is>
      </c>
      <c r="O3856" s="401" t="n"/>
      <c r="P3856" s="401" t="n"/>
      <c r="S3856" s="401" t="n"/>
      <c r="U3856" s="401" t="n"/>
      <c r="V3856" s="22" t="n"/>
      <c r="W3856" s="22" t="n"/>
      <c r="X3856" s="22" t="n"/>
      <c r="Y3856" s="22" t="n"/>
      <c r="Z3856" s="22" t="n"/>
      <c r="AA3856" s="22" t="n"/>
      <c r="AB3856" s="22" t="n"/>
      <c r="AC3856" s="22" t="n"/>
      <c r="AD3856" s="22" t="n"/>
      <c r="AE3856" s="22" t="n"/>
    </row>
    <row r="3857" ht="84" customHeight="1" s="380">
      <c r="A3857" s="148" t="n">
        <v>139</v>
      </c>
      <c r="B3857" s="390" t="n"/>
      <c r="C3857" s="390" t="inlineStr">
        <is>
          <t>Báo cáo tỷ lệ an toàn tài chính - Chi nhánh công ty chứng khoán nước ngoài tại Việt Nam &gt;&gt; Bảng tổng hợp các chỉ tiêu rủi ro và vốn khả dụng</t>
        </is>
      </c>
      <c r="D3857" s="106" t="inlineStr">
        <is>
          <t>Tên báo cáo</t>
        </is>
      </c>
      <c r="E3857" s="107" t="inlineStr">
        <is>
          <t>Tên báo cáo</t>
        </is>
      </c>
      <c r="F3857" s="390" t="inlineStr">
        <is>
          <t>Data Explorer</t>
        </is>
      </c>
      <c r="G3857" s="390" t="inlineStr">
        <is>
          <t>Chiều</t>
        </is>
      </c>
      <c r="H3857" s="390" t="inlineStr">
        <is>
          <t>Dễ</t>
        </is>
      </c>
      <c r="I3857" s="390" t="inlineStr">
        <is>
          <t>Ngày, CTCK</t>
        </is>
      </c>
      <c r="J3857" s="401" t="inlineStr">
        <is>
          <t>SCMS</t>
        </is>
      </c>
      <c r="K3857" s="401" t="inlineStr">
        <is>
          <t>X</t>
        </is>
      </c>
      <c r="L3857" s="401" t="inlineStr">
        <is>
          <t>X</t>
        </is>
      </c>
      <c r="M3857" s="401" t="n"/>
      <c r="N3857" s="401" t="inlineStr">
        <is>
          <t>Done</t>
        </is>
      </c>
      <c r="O3857" s="401" t="n"/>
      <c r="P3857" s="401" t="n"/>
      <c r="S3857" s="401" t="n"/>
      <c r="U3857" s="401" t="n"/>
      <c r="V3857" s="22" t="n"/>
      <c r="W3857" s="22" t="n"/>
      <c r="X3857" s="22" t="n"/>
      <c r="Y3857" s="22" t="n"/>
      <c r="Z3857" s="22" t="n"/>
      <c r="AA3857" s="22" t="n"/>
      <c r="AB3857" s="22" t="n"/>
      <c r="AC3857" s="22" t="n"/>
      <c r="AD3857" s="22" t="n"/>
      <c r="AE3857" s="22" t="n"/>
    </row>
    <row r="3858" ht="84" customHeight="1" s="380">
      <c r="A3858" s="148" t="n">
        <v>139</v>
      </c>
      <c r="B3858" s="390" t="n"/>
      <c r="C3858" s="390" t="inlineStr">
        <is>
          <t>Báo cáo tỷ lệ an toàn tài chính - Chi nhánh công ty chứng khoán nước ngoài tại Việt Nam &gt;&gt; Bảng tổng hợp các chỉ tiêu rủi ro và vốn khả dụng</t>
        </is>
      </c>
      <c r="D3858" s="106" t="inlineStr">
        <is>
          <t>Mã sheet</t>
        </is>
      </c>
      <c r="E3858" s="106" t="inlineStr">
        <is>
          <t>Mã sheet</t>
        </is>
      </c>
      <c r="F3858" s="390" t="inlineStr">
        <is>
          <t>Data Explorer</t>
        </is>
      </c>
      <c r="G3858" s="390" t="inlineStr">
        <is>
          <t>Chiều</t>
        </is>
      </c>
      <c r="H3858" s="390" t="inlineStr">
        <is>
          <t>Dễ</t>
        </is>
      </c>
      <c r="I3858" s="390" t="inlineStr">
        <is>
          <t>Ngày, CTCK</t>
        </is>
      </c>
      <c r="J3858" s="401" t="inlineStr">
        <is>
          <t>SCMS</t>
        </is>
      </c>
      <c r="K3858" s="401" t="inlineStr">
        <is>
          <t>X</t>
        </is>
      </c>
      <c r="L3858" s="401" t="inlineStr">
        <is>
          <t>X</t>
        </is>
      </c>
      <c r="M3858" s="401" t="n"/>
      <c r="N3858" s="401" t="inlineStr">
        <is>
          <t>Done</t>
        </is>
      </c>
      <c r="O3858" s="401" t="n"/>
      <c r="P3858" s="401" t="n"/>
      <c r="Q3858" s="401" t="inlineStr">
        <is>
          <t>SCMS.BM_BAO_CAO
SCMS.BM_SHEET</t>
        </is>
      </c>
      <c r="R3858" s="401" t="inlineStr">
        <is>
          <t>bm.ID,
bm.MA_BAO_CAO,
bm.SU_DUNG,
s.BM_BAO_CAO_ID,
s.MA_SHEET,
s.TEN_SHEET,
s.SAP_XEP</t>
        </is>
      </c>
      <c r="S3858" s="401" t="n"/>
      <c r="T3858" s="389" t="inlineStr">
        <is>
          <t>-- Mã sheet / Tên sheet
-- TEN_SHEET: 06H08
SELECT bm.MA_BAO_CAO,
s.MA_SHEET,
s.TEN_SHEET
FROM SCMS.BM_BAO_CAO bm
JOIN SCMS.BM_SHEET s ON s.BM_BAO_CAO_ID = bm.ID
WHERE bm.MA_BAO_CAO LIKE 'BCTLAT_TT102/2025'
AND s.MA_SHEET = '06H08'  -- Check lại
AND bm.SU_DUNG = 1
ORDER BY bm.MA_BAO_CAO, s.SAP_XEP;</t>
        </is>
      </c>
      <c r="U3858" s="401" t="n"/>
      <c r="V3858" s="22" t="n"/>
      <c r="W3858" s="22" t="n"/>
      <c r="X3858" s="22" t="n"/>
      <c r="Y3858" s="22" t="n"/>
      <c r="Z3858" s="22" t="n"/>
      <c r="AA3858" s="22" t="n"/>
      <c r="AB3858" s="22" t="n"/>
      <c r="AC3858" s="22" t="n"/>
      <c r="AD3858" s="22" t="n"/>
      <c r="AE3858" s="22" t="n"/>
    </row>
    <row r="3859" ht="84" customHeight="1" s="380">
      <c r="A3859" s="148" t="n">
        <v>139</v>
      </c>
      <c r="B3859" s="390" t="n"/>
      <c r="C3859" s="390" t="inlineStr">
        <is>
          <t>Báo cáo tỷ lệ an toàn tài chính - Chi nhánh công ty chứng khoán nước ngoài tại Việt Nam &gt;&gt; Bảng tổng hợp các chỉ tiêu rủi ro và vốn khả dụng</t>
        </is>
      </c>
      <c r="D3859" s="106" t="inlineStr">
        <is>
          <t>Tên sheet</t>
        </is>
      </c>
      <c r="E3859" s="106" t="inlineStr">
        <is>
          <t>Tên sheet</t>
        </is>
      </c>
      <c r="F3859" s="390" t="inlineStr">
        <is>
          <t>Data Explorer</t>
        </is>
      </c>
      <c r="G3859" s="390" t="inlineStr">
        <is>
          <t>Chiều</t>
        </is>
      </c>
      <c r="H3859" s="390" t="inlineStr">
        <is>
          <t>Dễ</t>
        </is>
      </c>
      <c r="I3859" s="390" t="inlineStr">
        <is>
          <t>Ngày, CTCK</t>
        </is>
      </c>
      <c r="J3859" s="401" t="inlineStr">
        <is>
          <t>SCMS</t>
        </is>
      </c>
      <c r="K3859" s="401" t="inlineStr">
        <is>
          <t>X</t>
        </is>
      </c>
      <c r="L3859" s="401" t="inlineStr">
        <is>
          <t>X</t>
        </is>
      </c>
      <c r="M3859" s="401" t="n"/>
      <c r="N3859" s="401" t="inlineStr">
        <is>
          <t>Done</t>
        </is>
      </c>
      <c r="O3859" s="401" t="n"/>
      <c r="P3859" s="401" t="n"/>
      <c r="S3859" s="401" t="n"/>
      <c r="U3859" s="401" t="n"/>
      <c r="V3859" s="22" t="n"/>
      <c r="W3859" s="22" t="n"/>
      <c r="X3859" s="22" t="n"/>
      <c r="Y3859" s="22" t="n"/>
      <c r="Z3859" s="22" t="n"/>
      <c r="AA3859" s="22" t="n"/>
      <c r="AB3859" s="22" t="n"/>
      <c r="AC3859" s="22" t="n"/>
      <c r="AD3859" s="22" t="n"/>
      <c r="AE3859" s="22" t="n"/>
    </row>
    <row r="3860" ht="84" customHeight="1" s="380">
      <c r="A3860" s="148" t="n">
        <v>139</v>
      </c>
      <c r="B3860" s="390" t="n"/>
      <c r="C3860" s="390" t="inlineStr">
        <is>
          <t>Báo cáo tỷ lệ an toàn tài chính - Chi nhánh công ty chứng khoán nước ngoài tại Việt Nam &gt;&gt; Bảng tổng hợp các chỉ tiêu rủi ro và vốn khả dụng</t>
        </is>
      </c>
      <c r="D3860" s="106" t="inlineStr">
        <is>
          <t>Mã chỉ tiêu</t>
        </is>
      </c>
      <c r="E3860" s="107" t="inlineStr">
        <is>
          <t>Mã chỉ tiêu</t>
        </is>
      </c>
      <c r="F3860" s="390" t="inlineStr">
        <is>
          <t>Data Explorer</t>
        </is>
      </c>
      <c r="G3860" s="390" t="inlineStr">
        <is>
          <t>Chiều</t>
        </is>
      </c>
      <c r="H3860" s="390" t="inlineStr">
        <is>
          <t>Dễ</t>
        </is>
      </c>
      <c r="I3860" s="390" t="inlineStr">
        <is>
          <t>Ngày, CTCK</t>
        </is>
      </c>
      <c r="J3860" s="401" t="inlineStr">
        <is>
          <t>SCMS</t>
        </is>
      </c>
      <c r="K3860" s="401" t="inlineStr">
        <is>
          <t>X</t>
        </is>
      </c>
      <c r="L3860" s="401" t="inlineStr">
        <is>
          <t>X</t>
        </is>
      </c>
      <c r="M3860" s="401" t="n"/>
      <c r="N3860" s="401" t="inlineStr">
        <is>
          <t>Done</t>
        </is>
      </c>
      <c r="O3860" s="401" t="n"/>
      <c r="P3860" s="401" t="n"/>
      <c r="Q3860" s="401" t="inlineStr">
        <is>
          <t>SCMS.BM_BAO_CAO
SCMS.BM_SHEET
SCMS.BM_BAO_CAO_CT
SCMS.DM_CHI_TIEU</t>
        </is>
      </c>
      <c r="R3860" s="402" t="inlineStr">
        <is>
          <t>dct.ID,
dct.MA_CHI_TIEU,
dct.TEN_CHI_TIEU,
dct.SU_DUNG,
s.BM_BAO_CAO_ID,
s.MA_SHEET,
ct.BM_BAO_CAO_ID,
ct.DM_CHI_TIEU_ID,
ct.SU_DUNG,
bm.ID,
bm.MA_BAO_CAO,
bm.SU_DUNG</t>
        </is>
      </c>
      <c r="S3860" s="401" t="n"/>
      <c r="T3860" s="389" t="inlineStr">
        <is>
          <t>-- Mã chỉ tiêu / Tên chỉ tiêu
SELECT DISTINCT
    dct.MA_CHI_TIEU  AS ma_chi_tieu,
    dct.TEN_CHI_TIEU AS ten_chi_tieu
FROM SCMS.BM_BAO_CAO bm
JOIN SCMS.BM_SHEET s ON s.BM_BAO_CAO_ID = bm.ID
	AND s.MA_SHEET = '06H08'
JOIN SCMS.BM_BAO_CAO_CT ct ON ct.BM_SHEET_ID = s.ID
	AND ct.SU_DUNG = 1
JOIN SCMS.DM_CHI_TIEU dct ON dct.ID = ct.DM_CHI_TIEU_ID
	AND dct.SU_DUNG = 1
WHERE bm.MA_BAO_CAO LIKE 'BCTLAT_TT102/2025'
	AND bm.SU_DUNG = 1
ORDER BY dct.MA_CHI_TIEU;</t>
        </is>
      </c>
      <c r="U3860" s="401" t="n"/>
      <c r="V3860" s="22" t="n"/>
      <c r="W3860" s="22" t="n"/>
      <c r="X3860" s="22" t="n"/>
      <c r="Y3860" s="22" t="n"/>
      <c r="Z3860" s="22" t="n"/>
      <c r="AA3860" s="22" t="n"/>
      <c r="AB3860" s="22" t="n"/>
      <c r="AC3860" s="22" t="n"/>
      <c r="AD3860" s="22" t="n"/>
      <c r="AE3860" s="22" t="n"/>
    </row>
    <row r="3861" ht="84" customHeight="1" s="380">
      <c r="A3861" s="148" t="n">
        <v>139</v>
      </c>
      <c r="B3861" s="390" t="n"/>
      <c r="C3861" s="390" t="inlineStr">
        <is>
          <t>Báo cáo tỷ lệ an toàn tài chính - Chi nhánh công ty chứng khoán nước ngoài tại Việt Nam &gt;&gt; Bảng tổng hợp các chỉ tiêu rủi ro và vốn khả dụng</t>
        </is>
      </c>
      <c r="D3861" s="106" t="inlineStr">
        <is>
          <t>Tên chỉ tiêu</t>
        </is>
      </c>
      <c r="E3861" s="107" t="inlineStr">
        <is>
          <t>Tên chỉ tiêu</t>
        </is>
      </c>
      <c r="F3861" s="390" t="inlineStr">
        <is>
          <t>Data Explorer</t>
        </is>
      </c>
      <c r="G3861" s="390" t="inlineStr">
        <is>
          <t>Chiều</t>
        </is>
      </c>
      <c r="H3861" s="390" t="inlineStr">
        <is>
          <t>Dễ</t>
        </is>
      </c>
      <c r="I3861" s="390" t="inlineStr">
        <is>
          <t>Ngày, CTCK</t>
        </is>
      </c>
      <c r="J3861" s="401" t="inlineStr">
        <is>
          <t>SCMS</t>
        </is>
      </c>
      <c r="K3861" s="401" t="inlineStr">
        <is>
          <t>X</t>
        </is>
      </c>
      <c r="L3861" s="401" t="inlineStr">
        <is>
          <t>X</t>
        </is>
      </c>
      <c r="M3861" s="401" t="n"/>
      <c r="N3861" s="401" t="inlineStr">
        <is>
          <t>Done</t>
        </is>
      </c>
      <c r="O3861" s="401" t="n"/>
      <c r="P3861" s="401" t="n"/>
      <c r="S3861" s="401" t="n"/>
      <c r="U3861" s="401" t="n"/>
      <c r="V3861" s="22" t="n"/>
      <c r="W3861" s="22" t="n"/>
      <c r="X3861" s="22" t="n"/>
      <c r="Y3861" s="22" t="n"/>
      <c r="Z3861" s="22" t="n"/>
      <c r="AA3861" s="22" t="n"/>
      <c r="AB3861" s="22" t="n"/>
      <c r="AC3861" s="22" t="n"/>
      <c r="AD3861" s="22" t="n"/>
      <c r="AE3861" s="22" t="n"/>
    </row>
    <row r="3862" ht="84" customHeight="1" s="380">
      <c r="A3862" s="148" t="n">
        <v>139</v>
      </c>
      <c r="B3862" s="390" t="n"/>
      <c r="C3862" s="390" t="inlineStr">
        <is>
          <t>Báo cáo tỷ lệ an toàn tài chính - Chi nhánh công ty chứng khoán nước ngoài tại Việt Nam &gt;&gt; Bảng tổng hợp các chỉ tiêu rủi ro và vốn khả dụng</t>
        </is>
      </c>
      <c r="D3862" s="390" t="inlineStr">
        <is>
          <t xml:space="preserve">Tổng giá trị rủi ro thị trường
</t>
        </is>
      </c>
      <c r="E3862" s="390" t="inlineStr">
        <is>
          <t xml:space="preserve">Tổng giá trị rủi ro thị trường
</t>
        </is>
      </c>
      <c r="F3862" s="390" t="inlineStr">
        <is>
          <t>Data Explorer</t>
        </is>
      </c>
      <c r="G3862" s="390" t="inlineStr">
        <is>
          <t>Chỉ tiêu cơ sở</t>
        </is>
      </c>
      <c r="H3862" s="390" t="inlineStr">
        <is>
          <t>TB</t>
        </is>
      </c>
      <c r="I3862" s="390" t="inlineStr">
        <is>
          <t>Ngày, CTCK</t>
        </is>
      </c>
      <c r="J3862" s="401" t="inlineStr">
        <is>
          <t>SCMS</t>
        </is>
      </c>
      <c r="K3862" s="401" t="n"/>
      <c r="L3862" s="401" t="inlineStr">
        <is>
          <t>X</t>
        </is>
      </c>
      <c r="M3862" s="401" t="n"/>
      <c r="N3862" s="401" t="inlineStr">
        <is>
          <t>Done</t>
        </is>
      </c>
      <c r="O3862" s="401" t="n"/>
      <c r="P3862" s="401" t="n"/>
      <c r="Q3862" s="431" t="inlineStr">
        <is>
          <t>SCMS.BC_THANH_VIEN
SCMS.BM_BAO_CAO
SCMS.BC_BAO_CAO_GT
SCMS.BM_BAO_CAO_HANG
SCMS.BM_BAO_CAO_COT</t>
        </is>
      </c>
      <c r="R3862" s="431" t="inlineStr">
        <is>
          <t>bsc.TEN_COT,
bsc.BM_SHEET_ID,
bsh.ID,
bsh.MA_HANG,
gt.GIA_TRI,
gt.BC_THANH_VIEN_ID,
gt.BM_SHEET_HANG_ID,
bm.ID,
bm.MA_BAO_CAO,
btv.ID,
btv.BM_BAO_CAO_ID,
btv.TRANG_THAI,
btv.NGAY_SO_LIEU</t>
        </is>
      </c>
      <c r="S3862" s="401" t="n"/>
      <c r="T3862" s="432" t="inlineStr">
        <is>
          <t>-- CHỈ TIÊU
SELECT	
	-- Giá trị rủi ro/ Vốn khả dụng
	MAX(CASE WHEN bsc.TEN_COT=N'Giá trị rủi ro/ Vốn khả dụng' AND bsh.MA_HANG = '1' THEN CAST(gt.GIA_TRI AS VARCHAR2(4000)) END) AS "Tổng giá trị rủi ro thị trường",
	MAX(CASE WHEN bsc.TEN_COT=N'Giá trị rủi ro/ Vốn khả dụng' AND bsh.MA_HANG = '2' THEN CAST(gt.GIA_TRI AS VARCHAR2(4000)) END) AS "Tổng giá trị rủi ro thanh toán",
	MAX(CASE WHEN bsc.TEN_COT=N'Giá trị rủi ro/ Vốn khả dụng' AND bsh.MA_HANG = '3' THEN CAST(gt.GIA_TRI AS VARCHAR2(4000)) END) AS "Tổng giá trị rủi ro hoạt động ",
	MAX(CASE WHEN bsc.TEN_COT=N'Giá trị rủi ro/ Vốn khả dụng' AND bsh.MA_HANG = '4' THEN CAST(gt.GIA_TRI AS VARCHAR2(4000)) END) AS "Tổng giá trị rủi ro (4=1+2+3)",
	MAX(CASE WHEN bsc.TEN_COT=N'Giá trị rủi ro/ Vốn khả dụng' AND bsh.MA_HANG = '5' THEN CAST(gt.GIA_TRI AS VARCHAR2(4000)) END) AS "Vốn khả dụng",
	MAX(CASE WHEN bsc.TEN_COT=N'Giá trị rủi ro/ Vốn khả dụng' AND bsh.MA_HANG = '6' THEN CAST(gt.GIA_TRI AS VARCHAR2(4000)) END) AS "Tỷ lệ Vốn khả dụng (6=5/4)",
	-- Ghi chú
	MAX(CASE WHEN bsc.TEN_COT=N'Ghi chú' AND bsh.MA_HANG = '1' THEN CAST(gt.GIA_TRI AS VARCHAR2(4000)) END) AS "Tổng giá trị rủi ro thị trường",
	MAX(CASE WHEN bsc.TEN_COT=N'Ghi chú' AND bsh.MA_HANG = '2' THEN CAST(gt.GIA_TRI AS VARCHAR2(4000)) END) AS "Tổng giá trị rủi ro thanh toán",
	MAX(CASE WHEN bsc.TEN_COT=N'Ghi chú' AND bsh.MA_HANG = '3' THEN CAST(gt.GIA_TRI AS VARCHAR2(4000)) END) AS "Tổng giá trị rủi ro hoạt động ",
	MAX(CASE WHEN bsc.TEN_COT=N'Ghi chú' AND bsh.MA_HANG = '4' THEN CAST(gt.GIA_TRI AS VARCHAR2(4000)) END) AS "Tổng giá trị rủi ro (4=1+2+3)",
	MAX(CASE WHEN bsc.TEN_COT=N'Ghi chú' AND bsh.MA_HANG = '5' THEN CAST(gt.GIA_TRI AS VARCHAR2(4000)) END) AS "Vốn khả dụng",
	MAX(CASE WHEN bsc.TEN_COT=N'Ghi chú' AND bsh.MA_HANG = '6' THEN CAST(gt.GIA_TRI AS VARCHAR2(4000)) END) AS "Tỷ lệ Vốn khả dụng (6=5/4)"
FROM SCMS.BC_THANH_VIEN btv
JOIN SCMS.BM_BAO_CAO bm ON bm.ID = btv.BM_BAO_CAO_ID
JOIN SCMS.BC_BAO_CAO_GT gt ON gt.BC_THANH_VIEN_ID = btv.ID
JOIN SCMS.BM_BAO_CAO_HANG bsh ON bsh.ID = gt.BM_SHEET_HANG_ID
JOIN SCMS.BM_BAO_CAO_COT bsc ON bsc.BM_SHEET_ID = 8373
--                               AND bsc.TEN_COT = gt.TEN_COT
WHERE bm.MA_BAO_CAO LIKE 'BCTLAT_TT102/2025'
  AND btv.TRANG_THAI IN (2, 3)
GROUP BY
    btv.ID, btv.CTCK_THONG_TIN_ID, btv.NGAY_SO_LIEU, btv.TRANG_THAI,
    bm.MA_BAO_CAO
ORDER BY btv.NGAY_SO_LIEU DESC;</t>
        </is>
      </c>
      <c r="U3862" s="401" t="n"/>
      <c r="V3862" s="22" t="n"/>
      <c r="W3862" s="22" t="n"/>
      <c r="X3862" s="22" t="n"/>
      <c r="Y3862" s="22" t="n"/>
      <c r="Z3862" s="22" t="n"/>
      <c r="AA3862" s="22" t="n"/>
      <c r="AB3862" s="22" t="n"/>
      <c r="AC3862" s="22" t="n"/>
      <c r="AD3862" s="22" t="n"/>
      <c r="AE3862" s="22" t="n"/>
    </row>
    <row r="3863" ht="84" customHeight="1" s="380">
      <c r="A3863" s="148" t="n">
        <v>139</v>
      </c>
      <c r="B3863" s="390" t="n"/>
      <c r="C3863" s="390" t="inlineStr">
        <is>
          <t>Báo cáo tỷ lệ an toàn tài chính - Chi nhánh công ty chứng khoán nước ngoài tại Việt Nam &gt;&gt; Bảng tổng hợp các chỉ tiêu rủi ro và vốn khả dụng</t>
        </is>
      </c>
      <c r="D3863" s="390" t="inlineStr">
        <is>
          <t xml:space="preserve">Tổng giá trị rủi ro thanh toán
</t>
        </is>
      </c>
      <c r="E3863" s="390" t="inlineStr">
        <is>
          <t xml:space="preserve">Tổng giá trị rủi ro thanh toán
</t>
        </is>
      </c>
      <c r="F3863" s="390" t="inlineStr">
        <is>
          <t>Data Explorer</t>
        </is>
      </c>
      <c r="G3863" s="390" t="inlineStr">
        <is>
          <t>Chỉ tiêu cơ sở</t>
        </is>
      </c>
      <c r="H3863" s="390" t="inlineStr">
        <is>
          <t>TB</t>
        </is>
      </c>
      <c r="I3863" s="390" t="inlineStr">
        <is>
          <t>Ngày, CTCK</t>
        </is>
      </c>
      <c r="J3863" s="401" t="inlineStr">
        <is>
          <t>SCMS</t>
        </is>
      </c>
      <c r="K3863" s="401" t="n"/>
      <c r="L3863" s="401" t="inlineStr">
        <is>
          <t>X</t>
        </is>
      </c>
      <c r="M3863" s="401" t="n"/>
      <c r="N3863" s="401" t="inlineStr">
        <is>
          <t>Done</t>
        </is>
      </c>
      <c r="O3863" s="401" t="n"/>
      <c r="P3863" s="401" t="n"/>
      <c r="S3863" s="401" t="n"/>
      <c r="U3863" s="401" t="n"/>
      <c r="V3863" s="22" t="n"/>
      <c r="W3863" s="22" t="n"/>
      <c r="X3863" s="22" t="n"/>
      <c r="Y3863" s="22" t="n"/>
      <c r="Z3863" s="22" t="n"/>
      <c r="AA3863" s="22" t="n"/>
      <c r="AB3863" s="22" t="n"/>
      <c r="AC3863" s="22" t="n"/>
      <c r="AD3863" s="22" t="n"/>
      <c r="AE3863" s="22" t="n"/>
    </row>
    <row r="3864" ht="84" customHeight="1" s="380">
      <c r="A3864" s="148" t="n">
        <v>139</v>
      </c>
      <c r="B3864" s="390" t="n"/>
      <c r="C3864" s="390" t="inlineStr">
        <is>
          <t>Báo cáo tỷ lệ an toàn tài chính - Chi nhánh công ty chứng khoán nước ngoài tại Việt Nam &gt;&gt; Bảng tổng hợp các chỉ tiêu rủi ro và vốn khả dụng</t>
        </is>
      </c>
      <c r="D3864" s="390" t="inlineStr">
        <is>
          <t xml:space="preserve">Tổng giá trị rủi ro hoạt động 
</t>
        </is>
      </c>
      <c r="E3864" s="390" t="inlineStr">
        <is>
          <t xml:space="preserve">Tổng giá trị rủi ro hoạt động 
</t>
        </is>
      </c>
      <c r="F3864" s="390" t="inlineStr">
        <is>
          <t>Data Explorer</t>
        </is>
      </c>
      <c r="G3864" s="390" t="inlineStr">
        <is>
          <t>Chỉ tiêu cơ sở</t>
        </is>
      </c>
      <c r="H3864" s="390" t="inlineStr">
        <is>
          <t>TB</t>
        </is>
      </c>
      <c r="I3864" s="390" t="inlineStr">
        <is>
          <t>Ngày, CTCK</t>
        </is>
      </c>
      <c r="J3864" s="401" t="inlineStr">
        <is>
          <t>SCMS</t>
        </is>
      </c>
      <c r="K3864" s="401" t="n"/>
      <c r="L3864" s="401" t="inlineStr">
        <is>
          <t>X</t>
        </is>
      </c>
      <c r="M3864" s="401" t="n"/>
      <c r="N3864" s="401" t="inlineStr">
        <is>
          <t>Done</t>
        </is>
      </c>
      <c r="O3864" s="401" t="n"/>
      <c r="P3864" s="401" t="n"/>
      <c r="S3864" s="401" t="n"/>
      <c r="U3864" s="401" t="n"/>
      <c r="V3864" s="22" t="n"/>
      <c r="W3864" s="22" t="n"/>
      <c r="X3864" s="22" t="n"/>
      <c r="Y3864" s="22" t="n"/>
      <c r="Z3864" s="22" t="n"/>
      <c r="AA3864" s="22" t="n"/>
      <c r="AB3864" s="22" t="n"/>
      <c r="AC3864" s="22" t="n"/>
      <c r="AD3864" s="22" t="n"/>
      <c r="AE3864" s="22" t="n"/>
    </row>
    <row r="3865" ht="84" customHeight="1" s="380">
      <c r="A3865" s="148" t="n">
        <v>139</v>
      </c>
      <c r="B3865" s="390" t="n"/>
      <c r="C3865" s="390" t="inlineStr">
        <is>
          <t>Báo cáo tỷ lệ an toàn tài chính - Chi nhánh công ty chứng khoán nước ngoài tại Việt Nam &gt;&gt; Bảng tổng hợp các chỉ tiêu rủi ro và vốn khả dụng</t>
        </is>
      </c>
      <c r="D3865" s="390" t="inlineStr">
        <is>
          <t xml:space="preserve">Tổng giá trị rủi ro (4=1+2+3)
</t>
        </is>
      </c>
      <c r="E3865" s="390" t="inlineStr">
        <is>
          <t xml:space="preserve">Tổng giá trị rủi ro (4=1+2+3)
</t>
        </is>
      </c>
      <c r="F3865" s="390" t="inlineStr">
        <is>
          <t>Data Explorer</t>
        </is>
      </c>
      <c r="G3865" s="390" t="inlineStr">
        <is>
          <t>Chỉ tiêu cơ sở</t>
        </is>
      </c>
      <c r="H3865" s="390" t="inlineStr">
        <is>
          <t>TB</t>
        </is>
      </c>
      <c r="I3865" s="390" t="inlineStr">
        <is>
          <t>Ngày, CTCK</t>
        </is>
      </c>
      <c r="J3865" s="401" t="inlineStr">
        <is>
          <t>SCMS</t>
        </is>
      </c>
      <c r="K3865" s="401" t="n"/>
      <c r="L3865" s="401" t="inlineStr">
        <is>
          <t>X</t>
        </is>
      </c>
      <c r="M3865" s="401" t="n"/>
      <c r="N3865" s="401" t="inlineStr">
        <is>
          <t>Done</t>
        </is>
      </c>
      <c r="O3865" s="401" t="n"/>
      <c r="P3865" s="401" t="n"/>
      <c r="S3865" s="401" t="n"/>
      <c r="U3865" s="401" t="n"/>
      <c r="V3865" s="22" t="n"/>
      <c r="W3865" s="22" t="n"/>
      <c r="X3865" s="22" t="n"/>
      <c r="Y3865" s="22" t="n"/>
      <c r="Z3865" s="22" t="n"/>
      <c r="AA3865" s="22" t="n"/>
      <c r="AB3865" s="22" t="n"/>
      <c r="AC3865" s="22" t="n"/>
      <c r="AD3865" s="22" t="n"/>
      <c r="AE3865" s="22" t="n"/>
    </row>
    <row r="3866" ht="84" customHeight="1" s="380">
      <c r="A3866" s="148" t="n">
        <v>139</v>
      </c>
      <c r="B3866" s="390" t="n"/>
      <c r="C3866" s="390" t="inlineStr">
        <is>
          <t>Báo cáo tỷ lệ an toàn tài chính - Chi nhánh công ty chứng khoán nước ngoài tại Việt Nam &gt;&gt; Bảng tổng hợp các chỉ tiêu rủi ro và vốn khả dụng</t>
        </is>
      </c>
      <c r="D3866" s="390" t="inlineStr">
        <is>
          <t xml:space="preserve">Vốn khả dụng
</t>
        </is>
      </c>
      <c r="E3866" s="390" t="inlineStr">
        <is>
          <t xml:space="preserve">Vốn khả dụng
</t>
        </is>
      </c>
      <c r="F3866" s="390" t="inlineStr">
        <is>
          <t>Data Explorer</t>
        </is>
      </c>
      <c r="G3866" s="390" t="inlineStr">
        <is>
          <t>Chỉ tiêu cơ sở</t>
        </is>
      </c>
      <c r="H3866" s="390" t="inlineStr">
        <is>
          <t>TB</t>
        </is>
      </c>
      <c r="I3866" s="390" t="inlineStr">
        <is>
          <t>Ngày, CTCK</t>
        </is>
      </c>
      <c r="J3866" s="401" t="inlineStr">
        <is>
          <t>SCMS</t>
        </is>
      </c>
      <c r="K3866" s="401" t="n"/>
      <c r="L3866" s="401" t="inlineStr">
        <is>
          <t>X</t>
        </is>
      </c>
      <c r="M3866" s="401" t="n"/>
      <c r="N3866" s="401" t="inlineStr">
        <is>
          <t>Done</t>
        </is>
      </c>
      <c r="O3866" s="401" t="n"/>
      <c r="P3866" s="401" t="n"/>
      <c r="S3866" s="401" t="n"/>
      <c r="U3866" s="401" t="n"/>
      <c r="V3866" s="22" t="n"/>
      <c r="W3866" s="22" t="n"/>
      <c r="X3866" s="22" t="n"/>
      <c r="Y3866" s="22" t="n"/>
      <c r="Z3866" s="22" t="n"/>
      <c r="AA3866" s="22" t="n"/>
      <c r="AB3866" s="22" t="n"/>
      <c r="AC3866" s="22" t="n"/>
      <c r="AD3866" s="22" t="n"/>
      <c r="AE3866" s="22" t="n"/>
    </row>
    <row r="3867" ht="84" customHeight="1" s="380">
      <c r="A3867" s="149" t="n">
        <v>139</v>
      </c>
      <c r="B3867" s="129" t="n"/>
      <c r="C3867" s="129" t="inlineStr">
        <is>
          <t>Báo cáo tỷ lệ an toàn tài chính - Chi nhánh công ty chứng khoán nước ngoài tại Việt Nam &gt;&gt; Bảng tổng hợp các chỉ tiêu rủi ro và vốn khả dụng</t>
        </is>
      </c>
      <c r="D3867" s="129" t="inlineStr">
        <is>
          <t xml:space="preserve">Tỷ lệ Vốn khả dụng (6=5/4)
</t>
        </is>
      </c>
      <c r="E3867" s="129" t="inlineStr">
        <is>
          <t xml:space="preserve">Tỷ lệ Vốn khả dụng (6=5/4)
</t>
        </is>
      </c>
      <c r="F3867" s="129" t="inlineStr">
        <is>
          <t>Data Explorer</t>
        </is>
      </c>
      <c r="G3867" s="129" t="inlineStr">
        <is>
          <t>Chỉ tiêu cơ sở</t>
        </is>
      </c>
      <c r="H3867" s="129" t="inlineStr">
        <is>
          <t>TB</t>
        </is>
      </c>
      <c r="I3867" s="129" t="inlineStr">
        <is>
          <t>Ngày, CTCK</t>
        </is>
      </c>
      <c r="J3867" s="85" t="inlineStr">
        <is>
          <t>SCMS</t>
        </is>
      </c>
      <c r="K3867" s="85" t="n"/>
      <c r="L3867" s="85" t="inlineStr">
        <is>
          <t>X</t>
        </is>
      </c>
      <c r="M3867" s="85" t="n"/>
      <c r="N3867" s="85" t="inlineStr">
        <is>
          <t>Done</t>
        </is>
      </c>
      <c r="O3867" s="85" t="n"/>
      <c r="P3867" s="85" t="n"/>
      <c r="Q3867" s="426" t="n"/>
      <c r="R3867" s="426" t="n"/>
      <c r="S3867" s="85" t="n"/>
      <c r="T3867" s="426" t="n"/>
      <c r="U3867" s="85" t="n"/>
      <c r="V3867" s="130" t="n"/>
      <c r="W3867" s="130" t="n"/>
      <c r="X3867" s="130" t="n"/>
      <c r="Y3867" s="130" t="n"/>
      <c r="Z3867" s="130" t="n"/>
      <c r="AA3867" s="130" t="n"/>
      <c r="AB3867" s="130" t="n"/>
      <c r="AC3867" s="130" t="n"/>
      <c r="AD3867" s="130" t="n"/>
      <c r="AE3867" s="130" t="n"/>
    </row>
    <row r="3868" ht="56" customHeight="1" s="380">
      <c r="A3868" s="126" t="n">
        <v>140</v>
      </c>
      <c r="B3868" s="127" t="n"/>
      <c r="C3868" s="127" t="inlineStr">
        <is>
          <t>Báo cáo tình hình hoạt động quý/năm - VPĐD Công ty chứng khoán nước ngoài tại Việt Nam</t>
        </is>
      </c>
      <c r="D3868" s="106" t="inlineStr">
        <is>
          <t>Loại báo cáo</t>
        </is>
      </c>
      <c r="E3868" s="107" t="inlineStr">
        <is>
          <t>Loại báo cáo</t>
        </is>
      </c>
      <c r="F3868" s="390" t="inlineStr">
        <is>
          <t>Data Explorer</t>
        </is>
      </c>
      <c r="G3868" s="390" t="inlineStr">
        <is>
          <t>Chiều</t>
        </is>
      </c>
      <c r="H3868" s="390" t="inlineStr">
        <is>
          <t>Dễ</t>
        </is>
      </c>
      <c r="I3868" s="390" t="inlineStr">
        <is>
          <t>Ngày, CTCK</t>
        </is>
      </c>
      <c r="J3868" s="401" t="inlineStr">
        <is>
          <t>SCMS</t>
        </is>
      </c>
      <c r="K3868" s="401" t="inlineStr">
        <is>
          <t>X</t>
        </is>
      </c>
      <c r="L3868" s="401" t="inlineStr">
        <is>
          <t>X</t>
        </is>
      </c>
      <c r="M3868" s="401" t="n"/>
      <c r="N3868" s="401" t="inlineStr">
        <is>
          <t>Pending</t>
        </is>
      </c>
      <c r="O3868" s="401" t="n"/>
      <c r="P3868" s="22" t="n"/>
      <c r="Q3868" s="105" t="inlineStr">
        <is>
          <t>DB cũ không thấy biểu mẫu báo cáo này</t>
        </is>
      </c>
      <c r="R3868" s="401" t="n"/>
      <c r="S3868" s="22" t="n"/>
      <c r="T3868" s="390" t="n"/>
      <c r="U3868" s="390" t="n"/>
      <c r="V3868" s="22" t="n"/>
      <c r="W3868" s="22" t="n"/>
      <c r="X3868" s="22" t="n"/>
      <c r="Y3868" s="22" t="n"/>
      <c r="Z3868" s="22" t="n"/>
      <c r="AA3868" s="22" t="n"/>
      <c r="AB3868" s="22" t="n"/>
      <c r="AC3868" s="22" t="n"/>
      <c r="AD3868" s="22" t="n"/>
      <c r="AE3868" s="22" t="n"/>
    </row>
    <row r="3869" ht="56" customHeight="1" s="380">
      <c r="A3869" s="126" t="n">
        <v>140</v>
      </c>
      <c r="B3869" s="390" t="n"/>
      <c r="C3869" s="390" t="inlineStr">
        <is>
          <t>Báo cáo tình hình hoạt động quý/năm - VPĐD Công ty chứng khoán nước ngoài tại Việt Nam</t>
        </is>
      </c>
      <c r="D3869" s="106" t="inlineStr">
        <is>
          <t>Kỳ báo cáo</t>
        </is>
      </c>
      <c r="E3869" s="107" t="inlineStr">
        <is>
          <t>Kỳ báo cáo</t>
        </is>
      </c>
      <c r="F3869" s="390" t="inlineStr">
        <is>
          <t>Data Explorer</t>
        </is>
      </c>
      <c r="G3869" s="390" t="inlineStr">
        <is>
          <t>Chiều</t>
        </is>
      </c>
      <c r="H3869" s="390" t="inlineStr">
        <is>
          <t>Dễ</t>
        </is>
      </c>
      <c r="I3869" s="390" t="inlineStr">
        <is>
          <t>Ngày, CTCK</t>
        </is>
      </c>
      <c r="J3869" s="401" t="inlineStr">
        <is>
          <t>SCMS</t>
        </is>
      </c>
      <c r="K3869" s="401" t="inlineStr">
        <is>
          <t>X</t>
        </is>
      </c>
      <c r="L3869" s="401" t="inlineStr">
        <is>
          <t>X</t>
        </is>
      </c>
      <c r="M3869" s="401" t="n"/>
      <c r="N3869" s="401" t="inlineStr">
        <is>
          <t>Pending</t>
        </is>
      </c>
      <c r="O3869" s="401" t="n"/>
      <c r="P3869" s="22" t="n"/>
      <c r="Q3869" s="401" t="n"/>
      <c r="R3869" s="401" t="n"/>
      <c r="S3869" s="22" t="n"/>
      <c r="T3869" s="390" t="n"/>
      <c r="U3869" s="390" t="n"/>
      <c r="V3869" s="22" t="n"/>
      <c r="W3869" s="22" t="n"/>
      <c r="X3869" s="22" t="n"/>
      <c r="Y3869" s="22" t="n"/>
      <c r="Z3869" s="22" t="n"/>
      <c r="AA3869" s="22" t="n"/>
      <c r="AB3869" s="22" t="n"/>
      <c r="AC3869" s="22" t="n"/>
      <c r="AD3869" s="22" t="n"/>
      <c r="AE3869" s="22" t="n"/>
    </row>
    <row r="3870" ht="56" customHeight="1" s="380">
      <c r="A3870" s="126" t="n">
        <v>140</v>
      </c>
      <c r="B3870" s="390" t="n"/>
      <c r="C3870" s="390" t="inlineStr">
        <is>
          <t>Báo cáo tình hình hoạt động quý/năm - VPĐD Công ty chứng khoán nước ngoài tại Việt Nam</t>
        </is>
      </c>
      <c r="D3870" s="106" t="inlineStr">
        <is>
          <t>Mã báo cáo</t>
        </is>
      </c>
      <c r="E3870" s="107" t="inlineStr">
        <is>
          <t>Mã báo cáo</t>
        </is>
      </c>
      <c r="F3870" s="390" t="inlineStr">
        <is>
          <t>Data Explorer</t>
        </is>
      </c>
      <c r="G3870" s="390" t="inlineStr">
        <is>
          <t>Chiều</t>
        </is>
      </c>
      <c r="H3870" s="390" t="inlineStr">
        <is>
          <t>Dễ</t>
        </is>
      </c>
      <c r="I3870" s="390" t="inlineStr">
        <is>
          <t>Ngày, CTCK</t>
        </is>
      </c>
      <c r="J3870" s="401" t="inlineStr">
        <is>
          <t>SCMS</t>
        </is>
      </c>
      <c r="K3870" s="401" t="inlineStr">
        <is>
          <t>X</t>
        </is>
      </c>
      <c r="L3870" s="401" t="inlineStr">
        <is>
          <t>X</t>
        </is>
      </c>
      <c r="M3870" s="401" t="n"/>
      <c r="N3870" s="401" t="inlineStr">
        <is>
          <t>Pending</t>
        </is>
      </c>
      <c r="O3870" s="401" t="n"/>
      <c r="P3870" s="22" t="n"/>
      <c r="Q3870" s="401" t="n"/>
      <c r="R3870" s="401" t="n"/>
      <c r="S3870" s="22" t="n"/>
      <c r="T3870" s="390" t="n"/>
      <c r="U3870" s="390" t="n"/>
      <c r="V3870" s="22" t="n"/>
      <c r="W3870" s="22" t="n"/>
      <c r="X3870" s="22" t="n"/>
      <c r="Y3870" s="22" t="n"/>
      <c r="Z3870" s="22" t="n"/>
      <c r="AA3870" s="22" t="n"/>
      <c r="AB3870" s="22" t="n"/>
      <c r="AC3870" s="22" t="n"/>
      <c r="AD3870" s="22" t="n"/>
      <c r="AE3870" s="22" t="n"/>
    </row>
    <row r="3871" ht="56" customHeight="1" s="380">
      <c r="A3871" s="126" t="n">
        <v>140</v>
      </c>
      <c r="B3871" s="390" t="n"/>
      <c r="C3871" s="390" t="inlineStr">
        <is>
          <t>Báo cáo tình hình hoạt động quý/năm - VPĐD Công ty chứng khoán nước ngoài tại Việt Nam</t>
        </is>
      </c>
      <c r="D3871" s="106" t="inlineStr">
        <is>
          <t>Tên báo cáo</t>
        </is>
      </c>
      <c r="E3871" s="107" t="inlineStr">
        <is>
          <t>Tên báo cáo</t>
        </is>
      </c>
      <c r="F3871" s="390" t="inlineStr">
        <is>
          <t>Data Explorer</t>
        </is>
      </c>
      <c r="G3871" s="390" t="inlineStr">
        <is>
          <t>Chiều</t>
        </is>
      </c>
      <c r="H3871" s="390" t="inlineStr">
        <is>
          <t>Dễ</t>
        </is>
      </c>
      <c r="I3871" s="390" t="inlineStr">
        <is>
          <t>Ngày, CTCK</t>
        </is>
      </c>
      <c r="J3871" s="401" t="inlineStr">
        <is>
          <t>SCMS</t>
        </is>
      </c>
      <c r="K3871" s="401" t="inlineStr">
        <is>
          <t>X</t>
        </is>
      </c>
      <c r="L3871" s="401" t="inlineStr">
        <is>
          <t>X</t>
        </is>
      </c>
      <c r="M3871" s="401" t="n"/>
      <c r="N3871" s="401" t="inlineStr">
        <is>
          <t>Pending</t>
        </is>
      </c>
      <c r="O3871" s="401" t="n"/>
      <c r="P3871" s="22" t="n"/>
      <c r="Q3871" s="401" t="n"/>
      <c r="R3871" s="401" t="n"/>
      <c r="S3871" s="22" t="n"/>
      <c r="T3871" s="390" t="n"/>
      <c r="U3871" s="390" t="n"/>
      <c r="V3871" s="22" t="n"/>
      <c r="W3871" s="22" t="n"/>
      <c r="X3871" s="22" t="n"/>
      <c r="Y3871" s="22" t="n"/>
      <c r="Z3871" s="22" t="n"/>
      <c r="AA3871" s="22" t="n"/>
      <c r="AB3871" s="22" t="n"/>
      <c r="AC3871" s="22" t="n"/>
      <c r="AD3871" s="22" t="n"/>
      <c r="AE3871" s="22" t="n"/>
    </row>
    <row r="3872" ht="56" customHeight="1" s="380">
      <c r="A3872" s="126" t="n">
        <v>140</v>
      </c>
      <c r="B3872" s="390" t="n"/>
      <c r="C3872" s="390" t="inlineStr">
        <is>
          <t>Báo cáo tình hình hoạt động quý/năm - VPĐD Công ty chứng khoán nước ngoài tại Việt Nam</t>
        </is>
      </c>
      <c r="D3872" s="106" t="inlineStr">
        <is>
          <t>Mã chỉ tiêu</t>
        </is>
      </c>
      <c r="E3872" s="107" t="inlineStr">
        <is>
          <t>Mã chỉ tiêu</t>
        </is>
      </c>
      <c r="F3872" s="390" t="inlineStr">
        <is>
          <t>Data Explorer</t>
        </is>
      </c>
      <c r="G3872" s="390" t="inlineStr">
        <is>
          <t>Chiều</t>
        </is>
      </c>
      <c r="H3872" s="390" t="inlineStr">
        <is>
          <t>Dễ</t>
        </is>
      </c>
      <c r="I3872" s="390" t="inlineStr">
        <is>
          <t>Ngày, CTCK</t>
        </is>
      </c>
      <c r="J3872" s="401" t="inlineStr">
        <is>
          <t>SCMS</t>
        </is>
      </c>
      <c r="K3872" s="401" t="inlineStr">
        <is>
          <t>X</t>
        </is>
      </c>
      <c r="L3872" s="401" t="inlineStr">
        <is>
          <t>X</t>
        </is>
      </c>
      <c r="M3872" s="401" t="n"/>
      <c r="N3872" s="401" t="inlineStr">
        <is>
          <t>Pending</t>
        </is>
      </c>
      <c r="O3872" s="401" t="n"/>
      <c r="P3872" s="22" t="n"/>
      <c r="Q3872" s="401" t="n"/>
      <c r="R3872" s="401" t="n"/>
      <c r="S3872" s="22" t="n"/>
      <c r="T3872" s="390" t="n"/>
      <c r="U3872" s="390" t="n"/>
      <c r="V3872" s="22" t="n"/>
      <c r="W3872" s="22" t="n"/>
      <c r="X3872" s="22" t="n"/>
      <c r="Y3872" s="22" t="n"/>
      <c r="Z3872" s="22" t="n"/>
      <c r="AA3872" s="22" t="n"/>
      <c r="AB3872" s="22" t="n"/>
      <c r="AC3872" s="22" t="n"/>
      <c r="AD3872" s="22" t="n"/>
      <c r="AE3872" s="22" t="n"/>
    </row>
    <row r="3873" ht="56" customHeight="1" s="380">
      <c r="A3873" s="126" t="n">
        <v>140</v>
      </c>
      <c r="B3873" s="390" t="n"/>
      <c r="C3873" s="390" t="inlineStr">
        <is>
          <t>Báo cáo tình hình hoạt động quý/năm - VPĐD Công ty chứng khoán nước ngoài tại Việt Nam</t>
        </is>
      </c>
      <c r="D3873" s="106" t="inlineStr">
        <is>
          <t>Tên chỉ tiêu</t>
        </is>
      </c>
      <c r="E3873" s="107" t="inlineStr">
        <is>
          <t>Tên chỉ tiêu</t>
        </is>
      </c>
      <c r="F3873" s="390" t="inlineStr">
        <is>
          <t>Data Explorer</t>
        </is>
      </c>
      <c r="G3873" s="390" t="inlineStr">
        <is>
          <t>Chiều</t>
        </is>
      </c>
      <c r="H3873" s="390" t="inlineStr">
        <is>
          <t>Dễ</t>
        </is>
      </c>
      <c r="I3873" s="390" t="inlineStr">
        <is>
          <t>Ngày, CTCK</t>
        </is>
      </c>
      <c r="J3873" s="401" t="inlineStr">
        <is>
          <t>SCMS</t>
        </is>
      </c>
      <c r="K3873" s="401" t="inlineStr">
        <is>
          <t>X</t>
        </is>
      </c>
      <c r="L3873" s="401" t="inlineStr">
        <is>
          <t>X</t>
        </is>
      </c>
      <c r="M3873" s="401" t="n"/>
      <c r="N3873" s="401" t="inlineStr">
        <is>
          <t>Pending</t>
        </is>
      </c>
      <c r="O3873" s="401" t="n"/>
      <c r="P3873" s="22" t="n"/>
      <c r="Q3873" s="401" t="n"/>
      <c r="R3873" s="401" t="n"/>
      <c r="S3873" s="22" t="n"/>
      <c r="T3873" s="390" t="n"/>
      <c r="U3873" s="390" t="n"/>
      <c r="V3873" s="22" t="n"/>
      <c r="W3873" s="22" t="n"/>
      <c r="X3873" s="22" t="n"/>
      <c r="Y3873" s="22" t="n"/>
      <c r="Z3873" s="22" t="n"/>
      <c r="AA3873" s="22" t="n"/>
      <c r="AB3873" s="22" t="n"/>
      <c r="AC3873" s="22" t="n"/>
      <c r="AD3873" s="22" t="n"/>
      <c r="AE3873" s="22" t="n"/>
    </row>
    <row r="3874" ht="56" customHeight="1" s="380">
      <c r="A3874" s="126" t="n">
        <v>140</v>
      </c>
      <c r="B3874" s="390" t="n"/>
      <c r="C3874" s="390" t="inlineStr">
        <is>
          <t>Báo cáo tình hình hoạt động quý/năm - VPĐD Công ty chứng khoán nước ngoài tại Việt Nam</t>
        </is>
      </c>
      <c r="D3874" s="390" t="inlineStr">
        <is>
          <t>Nhân sự của văn phòng đại diện &gt;&gt; Trưởng văn phòng đại diện &gt;&gt; Họ và tên</t>
        </is>
      </c>
      <c r="E3874" s="390" t="inlineStr">
        <is>
          <t>Nhân sự của văn phòng đại diện &gt;&gt; Trưởng văn phòng đại diện &gt;&gt; Họ và tên</t>
        </is>
      </c>
      <c r="F3874" s="390" t="inlineStr">
        <is>
          <t>Data Explorer</t>
        </is>
      </c>
      <c r="G3874" s="390" t="inlineStr">
        <is>
          <t>Chỉ tiêu cơ sở</t>
        </is>
      </c>
      <c r="H3874" s="390" t="inlineStr">
        <is>
          <t>TB</t>
        </is>
      </c>
      <c r="I3874" s="390" t="inlineStr">
        <is>
          <t>Ngày, CTCK</t>
        </is>
      </c>
      <c r="J3874" s="401" t="inlineStr">
        <is>
          <t>SCMS</t>
        </is>
      </c>
      <c r="K3874" s="401" t="n"/>
      <c r="L3874" s="401" t="inlineStr">
        <is>
          <t>X</t>
        </is>
      </c>
      <c r="M3874" s="401" t="n"/>
      <c r="N3874" s="401" t="inlineStr">
        <is>
          <t>Pending</t>
        </is>
      </c>
      <c r="O3874" s="401" t="n"/>
      <c r="P3874" s="22" t="n"/>
      <c r="Q3874" s="401" t="n"/>
      <c r="R3874" s="401" t="n"/>
      <c r="S3874" s="22" t="n"/>
      <c r="T3874" s="390" t="n"/>
      <c r="U3874" s="390" t="inlineStr">
        <is>
          <t>Không có thông tin</t>
        </is>
      </c>
      <c r="V3874" s="22" t="n"/>
      <c r="W3874" s="22" t="n"/>
      <c r="X3874" s="22" t="n"/>
      <c r="Y3874" s="22" t="n"/>
      <c r="Z3874" s="22" t="n"/>
      <c r="AA3874" s="22" t="n"/>
      <c r="AB3874" s="22" t="n"/>
      <c r="AC3874" s="22" t="n"/>
      <c r="AD3874" s="22" t="n"/>
      <c r="AE3874" s="22" t="n"/>
    </row>
    <row r="3875" ht="56" customHeight="1" s="380">
      <c r="A3875" s="126" t="n">
        <v>140</v>
      </c>
      <c r="B3875" s="390" t="n"/>
      <c r="C3875" s="390" t="inlineStr">
        <is>
          <t>Báo cáo tình hình hoạt động quý/năm - VPĐD Công ty chứng khoán nước ngoài tại Việt Nam</t>
        </is>
      </c>
      <c r="D3875" s="390" t="inlineStr">
        <is>
          <t>Nhân sự của văn phòng đại diện &gt;&gt; Trưởng văn phòng đại diện &gt;&gt; Giới tính</t>
        </is>
      </c>
      <c r="E3875" s="390" t="inlineStr">
        <is>
          <t>Nhân sự của văn phòng đại diện &gt;&gt; Trưởng văn phòng đại diện &gt;&gt; Giới tính</t>
        </is>
      </c>
      <c r="F3875" s="390" t="inlineStr">
        <is>
          <t>Data Explorer</t>
        </is>
      </c>
      <c r="G3875" s="390" t="inlineStr">
        <is>
          <t>Chỉ tiêu cơ sở</t>
        </is>
      </c>
      <c r="H3875" s="390" t="inlineStr">
        <is>
          <t>TB</t>
        </is>
      </c>
      <c r="I3875" s="390" t="inlineStr">
        <is>
          <t>Ngày, CTCK</t>
        </is>
      </c>
      <c r="J3875" s="401" t="inlineStr">
        <is>
          <t>SCMS</t>
        </is>
      </c>
      <c r="K3875" s="401" t="n"/>
      <c r="L3875" s="401" t="inlineStr">
        <is>
          <t>X</t>
        </is>
      </c>
      <c r="M3875" s="401" t="n"/>
      <c r="N3875" s="401" t="inlineStr">
        <is>
          <t>Pending</t>
        </is>
      </c>
      <c r="O3875" s="401" t="n"/>
      <c r="P3875" s="22" t="n"/>
      <c r="Q3875" s="401" t="n"/>
      <c r="R3875" s="401" t="n"/>
      <c r="S3875" s="22" t="n"/>
      <c r="T3875" s="390" t="n"/>
      <c r="U3875" s="390" t="inlineStr">
        <is>
          <t>Không có thông tin</t>
        </is>
      </c>
      <c r="V3875" s="22" t="n"/>
      <c r="W3875" s="22" t="n"/>
      <c r="X3875" s="22" t="n"/>
      <c r="Y3875" s="22" t="n"/>
      <c r="Z3875" s="22" t="n"/>
      <c r="AA3875" s="22" t="n"/>
      <c r="AB3875" s="22" t="n"/>
      <c r="AC3875" s="22" t="n"/>
      <c r="AD3875" s="22" t="n"/>
      <c r="AE3875" s="22" t="n"/>
    </row>
    <row r="3876" ht="56" customHeight="1" s="380">
      <c r="A3876" s="126" t="n">
        <v>140</v>
      </c>
      <c r="B3876" s="390" t="n"/>
      <c r="C3876" s="390" t="inlineStr">
        <is>
          <t>Báo cáo tình hình hoạt động quý/năm - VPĐD Công ty chứng khoán nước ngoài tại Việt Nam</t>
        </is>
      </c>
      <c r="D3876" s="390" t="inlineStr">
        <is>
          <t>Nhân sự của văn phòng đại diện &gt;&gt; Trưởng văn phòng đại diện &gt;&gt; Quốc tịch</t>
        </is>
      </c>
      <c r="E3876" s="390" t="inlineStr">
        <is>
          <t>Nhân sự của văn phòng đại diện &gt;&gt; Trưởng văn phòng đại diện &gt;&gt; Quốc tịch</t>
        </is>
      </c>
      <c r="F3876" s="390" t="inlineStr">
        <is>
          <t>Data Explorer</t>
        </is>
      </c>
      <c r="G3876" s="390" t="inlineStr">
        <is>
          <t>Chỉ tiêu cơ sở</t>
        </is>
      </c>
      <c r="H3876" s="390" t="inlineStr">
        <is>
          <t>TB</t>
        </is>
      </c>
      <c r="I3876" s="390" t="inlineStr">
        <is>
          <t>Ngày, CTCK</t>
        </is>
      </c>
      <c r="J3876" s="401" t="inlineStr">
        <is>
          <t>SCMS</t>
        </is>
      </c>
      <c r="K3876" s="401" t="n"/>
      <c r="L3876" s="401" t="inlineStr">
        <is>
          <t>X</t>
        </is>
      </c>
      <c r="M3876" s="401" t="n"/>
      <c r="N3876" s="401" t="inlineStr">
        <is>
          <t>Pending</t>
        </is>
      </c>
      <c r="O3876" s="401" t="n"/>
      <c r="P3876" s="22" t="n"/>
      <c r="Q3876" s="401" t="n"/>
      <c r="R3876" s="401" t="n"/>
      <c r="S3876" s="22" t="n"/>
      <c r="T3876" s="390" t="n"/>
      <c r="U3876" s="390" t="inlineStr">
        <is>
          <t>Không có thông tin</t>
        </is>
      </c>
      <c r="V3876" s="22" t="n"/>
      <c r="W3876" s="22" t="n"/>
      <c r="X3876" s="22" t="n"/>
      <c r="Y3876" s="22" t="n"/>
      <c r="Z3876" s="22" t="n"/>
      <c r="AA3876" s="22" t="n"/>
      <c r="AB3876" s="22" t="n"/>
      <c r="AC3876" s="22" t="n"/>
      <c r="AD3876" s="22" t="n"/>
      <c r="AE3876" s="22" t="n"/>
    </row>
    <row r="3877" ht="70" customHeight="1" s="380">
      <c r="A3877" s="126" t="n">
        <v>140</v>
      </c>
      <c r="B3877" s="390" t="n"/>
      <c r="C3877" s="390" t="inlineStr">
        <is>
          <t>Báo cáo tình hình hoạt động quý/năm - VPĐD Công ty chứng khoán nước ngoài tại Việt Nam</t>
        </is>
      </c>
      <c r="D3877" s="390" t="inlineStr">
        <is>
          <t>Nhân sự của văn phòng đại diện &gt;&gt; Trưởng văn phòng đại diện &gt;&gt; Số định danh cá nhân/Số hộ chiếu</t>
        </is>
      </c>
      <c r="E3877" s="390" t="inlineStr">
        <is>
          <t>Nhân sự của văn phòng đại diện &gt;&gt; Trưởng văn phòng đại diện &gt;&gt; Số định danh cá nhân/Số hộ chiếu</t>
        </is>
      </c>
      <c r="F3877" s="390" t="inlineStr">
        <is>
          <t>Data Explorer</t>
        </is>
      </c>
      <c r="G3877" s="390" t="inlineStr">
        <is>
          <t>Chỉ tiêu cơ sở</t>
        </is>
      </c>
      <c r="H3877" s="390" t="inlineStr">
        <is>
          <t>TB</t>
        </is>
      </c>
      <c r="I3877" s="390" t="inlineStr">
        <is>
          <t>Ngày, CTCK</t>
        </is>
      </c>
      <c r="J3877" s="401" t="inlineStr">
        <is>
          <t>SCMS</t>
        </is>
      </c>
      <c r="K3877" s="401" t="n"/>
      <c r="L3877" s="401" t="inlineStr">
        <is>
          <t>X</t>
        </is>
      </c>
      <c r="M3877" s="401" t="n"/>
      <c r="N3877" s="401" t="inlineStr">
        <is>
          <t>Pending</t>
        </is>
      </c>
      <c r="O3877" s="401" t="n"/>
      <c r="P3877" s="22" t="n"/>
      <c r="Q3877" s="401" t="n"/>
      <c r="R3877" s="401" t="n"/>
      <c r="S3877" s="22" t="n"/>
      <c r="T3877" s="390" t="n"/>
      <c r="U3877" s="390" t="inlineStr">
        <is>
          <t>Không có thông tin</t>
        </is>
      </c>
      <c r="V3877" s="22" t="n"/>
      <c r="W3877" s="22" t="n"/>
      <c r="X3877" s="22" t="n"/>
      <c r="Y3877" s="22" t="n"/>
      <c r="Z3877" s="22" t="n"/>
      <c r="AA3877" s="22" t="n"/>
      <c r="AB3877" s="22" t="n"/>
      <c r="AC3877" s="22" t="n"/>
      <c r="AD3877" s="22" t="n"/>
      <c r="AE3877" s="22" t="n"/>
    </row>
    <row r="3878" ht="56" customHeight="1" s="380">
      <c r="A3878" s="126" t="n">
        <v>140</v>
      </c>
      <c r="B3878" s="390" t="n"/>
      <c r="C3878" s="390" t="inlineStr">
        <is>
          <t>Báo cáo tình hình hoạt động quý/năm - VPĐD Công ty chứng khoán nước ngoài tại Việt Nam</t>
        </is>
      </c>
      <c r="D3878" s="390" t="inlineStr">
        <is>
          <t>Nhân sự của văn phòng đại diện &gt;&gt; Trưởng văn phòng đại diện &gt;&gt; Ngày cấp</t>
        </is>
      </c>
      <c r="E3878" s="390" t="inlineStr">
        <is>
          <t>Nhân sự của văn phòng đại diện &gt;&gt; Trưởng văn phòng đại diện &gt;&gt; Ngày cấp</t>
        </is>
      </c>
      <c r="F3878" s="390" t="inlineStr">
        <is>
          <t>Data Explorer</t>
        </is>
      </c>
      <c r="G3878" s="390" t="inlineStr">
        <is>
          <t>Chỉ tiêu cơ sở</t>
        </is>
      </c>
      <c r="H3878" s="390" t="inlineStr">
        <is>
          <t>TB</t>
        </is>
      </c>
      <c r="I3878" s="390" t="inlineStr">
        <is>
          <t>Ngày, CTCK</t>
        </is>
      </c>
      <c r="J3878" s="401" t="inlineStr">
        <is>
          <t>SCMS</t>
        </is>
      </c>
      <c r="K3878" s="401" t="n"/>
      <c r="L3878" s="401" t="inlineStr">
        <is>
          <t>X</t>
        </is>
      </c>
      <c r="M3878" s="401" t="n"/>
      <c r="N3878" s="401" t="inlineStr">
        <is>
          <t>Pending</t>
        </is>
      </c>
      <c r="O3878" s="401" t="n"/>
      <c r="P3878" s="22" t="n"/>
      <c r="Q3878" s="401" t="n"/>
      <c r="R3878" s="401" t="n"/>
      <c r="S3878" s="22" t="n"/>
      <c r="T3878" s="390" t="n"/>
      <c r="U3878" s="390" t="inlineStr">
        <is>
          <t>Không có thông tin</t>
        </is>
      </c>
      <c r="V3878" s="22" t="n"/>
      <c r="W3878" s="22" t="n"/>
      <c r="X3878" s="22" t="n"/>
      <c r="Y3878" s="22" t="n"/>
      <c r="Z3878" s="22" t="n"/>
      <c r="AA3878" s="22" t="n"/>
      <c r="AB3878" s="22" t="n"/>
      <c r="AC3878" s="22" t="n"/>
      <c r="AD3878" s="22" t="n"/>
      <c r="AE3878" s="22" t="n"/>
    </row>
    <row r="3879" ht="70" customHeight="1" s="380">
      <c r="A3879" s="126" t="n">
        <v>140</v>
      </c>
      <c r="B3879" s="390" t="n"/>
      <c r="C3879" s="390" t="inlineStr">
        <is>
          <t>Báo cáo tình hình hoạt động quý/năm - VPĐD Công ty chứng khoán nước ngoài tại Việt Nam</t>
        </is>
      </c>
      <c r="D3879" s="390" t="inlineStr">
        <is>
          <t xml:space="preserve">Nhân sự của văn phòng đại diện &gt;&gt; Trưởng văn phòng đại diện &gt;&gt; Nơi đăng ký lưu trú/Nơi đăng ký hộ khẩu thường trú </t>
        </is>
      </c>
      <c r="E3879" s="390" t="inlineStr">
        <is>
          <t xml:space="preserve">Nhân sự của văn phòng đại diện &gt;&gt; Trưởng văn phòng đại diện &gt;&gt; Nơi đăng ký lưu trú/Nơi đăng ký hộ khẩu thường trú </t>
        </is>
      </c>
      <c r="F3879" s="390" t="inlineStr">
        <is>
          <t>Data Explorer</t>
        </is>
      </c>
      <c r="G3879" s="390" t="inlineStr">
        <is>
          <t>Chỉ tiêu cơ sở</t>
        </is>
      </c>
      <c r="H3879" s="390" t="inlineStr">
        <is>
          <t>TB</t>
        </is>
      </c>
      <c r="I3879" s="390" t="inlineStr">
        <is>
          <t>Ngày, CTCK</t>
        </is>
      </c>
      <c r="J3879" s="401" t="inlineStr">
        <is>
          <t>SCMS</t>
        </is>
      </c>
      <c r="K3879" s="401" t="n"/>
      <c r="L3879" s="401" t="inlineStr">
        <is>
          <t>X</t>
        </is>
      </c>
      <c r="M3879" s="401" t="n"/>
      <c r="N3879" s="401" t="inlineStr">
        <is>
          <t>Pending</t>
        </is>
      </c>
      <c r="O3879" s="401" t="n"/>
      <c r="P3879" s="22" t="n"/>
      <c r="Q3879" s="401" t="n"/>
      <c r="R3879" s="401" t="n"/>
      <c r="S3879" s="22" t="n"/>
      <c r="T3879" s="390" t="n"/>
      <c r="U3879" s="390" t="inlineStr">
        <is>
          <t>Không có thông tin</t>
        </is>
      </c>
      <c r="V3879" s="22" t="n"/>
      <c r="W3879" s="22" t="n"/>
      <c r="X3879" s="22" t="n"/>
      <c r="Y3879" s="22" t="n"/>
      <c r="Z3879" s="22" t="n"/>
      <c r="AA3879" s="22" t="n"/>
      <c r="AB3879" s="22" t="n"/>
      <c r="AC3879" s="22" t="n"/>
      <c r="AD3879" s="22" t="n"/>
      <c r="AE3879" s="22" t="n"/>
    </row>
    <row r="3880" ht="70" customHeight="1" s="380">
      <c r="A3880" s="126" t="n">
        <v>140</v>
      </c>
      <c r="B3880" s="390" t="n"/>
      <c r="C3880" s="390" t="inlineStr">
        <is>
          <t>Báo cáo tình hình hoạt động quý/năm - VPĐD Công ty chứng khoán nước ngoài tại Việt Nam</t>
        </is>
      </c>
      <c r="D3880" s="390" t="inlineStr">
        <is>
          <t>Nhân sự của văn phòng đại diện &gt;&gt; Lao động nước ngoài làm việc tại văn phòng đại diện &gt;&gt; Họ và tên</t>
        </is>
      </c>
      <c r="E3880" s="390" t="inlineStr">
        <is>
          <t>Nhân sự của văn phòng đại diện &gt;&gt; Lao động nước ngoài làm việc tại văn phòng đại diện &gt;&gt; Họ và tên</t>
        </is>
      </c>
      <c r="F3880" s="390" t="inlineStr">
        <is>
          <t>Data Explorer</t>
        </is>
      </c>
      <c r="G3880" s="390" t="inlineStr">
        <is>
          <t>Chỉ tiêu cơ sở</t>
        </is>
      </c>
      <c r="H3880" s="390" t="inlineStr">
        <is>
          <t>TB</t>
        </is>
      </c>
      <c r="I3880" s="390" t="inlineStr">
        <is>
          <t>Ngày, CTCK</t>
        </is>
      </c>
      <c r="J3880" s="401" t="inlineStr">
        <is>
          <t>SCMS</t>
        </is>
      </c>
      <c r="K3880" s="401" t="n"/>
      <c r="L3880" s="401" t="inlineStr">
        <is>
          <t>X</t>
        </is>
      </c>
      <c r="M3880" s="401" t="n"/>
      <c r="N3880" s="401" t="inlineStr">
        <is>
          <t>Pending</t>
        </is>
      </c>
      <c r="O3880" s="401" t="n"/>
      <c r="P3880" s="22" t="n"/>
      <c r="Q3880" s="401" t="n"/>
      <c r="R3880" s="401" t="n"/>
      <c r="S3880" s="22" t="n"/>
      <c r="T3880" s="390" t="n"/>
      <c r="U3880" s="390" t="inlineStr">
        <is>
          <t>Không có thông tin</t>
        </is>
      </c>
      <c r="V3880" s="22" t="n"/>
      <c r="W3880" s="22" t="n"/>
      <c r="X3880" s="22" t="n"/>
      <c r="Y3880" s="22" t="n"/>
      <c r="Z3880" s="22" t="n"/>
      <c r="AA3880" s="22" t="n"/>
      <c r="AB3880" s="22" t="n"/>
      <c r="AC3880" s="22" t="n"/>
      <c r="AD3880" s="22" t="n"/>
      <c r="AE3880" s="22" t="n"/>
    </row>
    <row r="3881" ht="70" customHeight="1" s="380">
      <c r="A3881" s="126" t="n">
        <v>140</v>
      </c>
      <c r="B3881" s="390" t="n"/>
      <c r="C3881" s="390" t="inlineStr">
        <is>
          <t>Báo cáo tình hình hoạt động quý/năm - VPĐD Công ty chứng khoán nước ngoài tại Việt Nam</t>
        </is>
      </c>
      <c r="D3881" s="390" t="inlineStr">
        <is>
          <t>Nhân sự của văn phòng đại diện &gt;&gt; Lao động nước ngoài làm việc tại văn phòng đại diện &gt;&gt; Giới tính</t>
        </is>
      </c>
      <c r="E3881" s="390" t="inlineStr">
        <is>
          <t>Nhân sự của văn phòng đại diện &gt;&gt; Lao động nước ngoài làm việc tại văn phòng đại diện &gt;&gt; Giới tính</t>
        </is>
      </c>
      <c r="F3881" s="390" t="inlineStr">
        <is>
          <t>Data Explorer</t>
        </is>
      </c>
      <c r="G3881" s="390" t="inlineStr">
        <is>
          <t>Chỉ tiêu cơ sở</t>
        </is>
      </c>
      <c r="H3881" s="390" t="inlineStr">
        <is>
          <t>TB</t>
        </is>
      </c>
      <c r="I3881" s="390" t="inlineStr">
        <is>
          <t>Ngày, CTCK</t>
        </is>
      </c>
      <c r="J3881" s="401" t="inlineStr">
        <is>
          <t>SCMS</t>
        </is>
      </c>
      <c r="K3881" s="401" t="n"/>
      <c r="L3881" s="401" t="inlineStr">
        <is>
          <t>X</t>
        </is>
      </c>
      <c r="M3881" s="401" t="n"/>
      <c r="N3881" s="401" t="inlineStr">
        <is>
          <t>Pending</t>
        </is>
      </c>
      <c r="O3881" s="401" t="n"/>
      <c r="P3881" s="22" t="n"/>
      <c r="Q3881" s="401" t="n"/>
      <c r="R3881" s="401" t="n"/>
      <c r="S3881" s="22" t="n"/>
      <c r="T3881" s="390" t="n"/>
      <c r="U3881" s="390" t="inlineStr">
        <is>
          <t>Không có thông tin</t>
        </is>
      </c>
      <c r="V3881" s="22" t="n"/>
      <c r="W3881" s="22" t="n"/>
      <c r="X3881" s="22" t="n"/>
      <c r="Y3881" s="22" t="n"/>
      <c r="Z3881" s="22" t="n"/>
      <c r="AA3881" s="22" t="n"/>
      <c r="AB3881" s="22" t="n"/>
      <c r="AC3881" s="22" t="n"/>
      <c r="AD3881" s="22" t="n"/>
      <c r="AE3881" s="22" t="n"/>
    </row>
    <row r="3882" ht="70" customHeight="1" s="380">
      <c r="A3882" s="126" t="n">
        <v>140</v>
      </c>
      <c r="B3882" s="390" t="n"/>
      <c r="C3882" s="390" t="inlineStr">
        <is>
          <t>Báo cáo tình hình hoạt động quý/năm - VPĐD Công ty chứng khoán nước ngoài tại Việt Nam</t>
        </is>
      </c>
      <c r="D3882" s="390" t="inlineStr">
        <is>
          <t>Nhân sự của văn phòng đại diện &gt;&gt; Lao động nước ngoài làm việc tại văn phòng đại diện &gt;&gt; Quốc tịch</t>
        </is>
      </c>
      <c r="E3882" s="390" t="inlineStr">
        <is>
          <t>Nhân sự của văn phòng đại diện &gt;&gt; Lao động nước ngoài làm việc tại văn phòng đại diện &gt;&gt; Quốc tịch</t>
        </is>
      </c>
      <c r="F3882" s="390" t="inlineStr">
        <is>
          <t>Data Explorer</t>
        </is>
      </c>
      <c r="G3882" s="390" t="inlineStr">
        <is>
          <t>Chỉ tiêu cơ sở</t>
        </is>
      </c>
      <c r="H3882" s="390" t="inlineStr">
        <is>
          <t>TB</t>
        </is>
      </c>
      <c r="I3882" s="390" t="inlineStr">
        <is>
          <t>Ngày, CTCK</t>
        </is>
      </c>
      <c r="J3882" s="401" t="inlineStr">
        <is>
          <t>SCMS</t>
        </is>
      </c>
      <c r="K3882" s="401" t="n"/>
      <c r="L3882" s="401" t="inlineStr">
        <is>
          <t>X</t>
        </is>
      </c>
      <c r="M3882" s="401" t="n"/>
      <c r="N3882" s="401" t="inlineStr">
        <is>
          <t>Pending</t>
        </is>
      </c>
      <c r="O3882" s="401" t="n"/>
      <c r="P3882" s="22" t="n"/>
      <c r="Q3882" s="401" t="n"/>
      <c r="R3882" s="401" t="n"/>
      <c r="S3882" s="22" t="n"/>
      <c r="T3882" s="390" t="n"/>
      <c r="U3882" s="390" t="inlineStr">
        <is>
          <t>Không có thông tin</t>
        </is>
      </c>
      <c r="V3882" s="22" t="n"/>
      <c r="W3882" s="22" t="n"/>
      <c r="X3882" s="22" t="n"/>
      <c r="Y3882" s="22" t="n"/>
      <c r="Z3882" s="22" t="n"/>
      <c r="AA3882" s="22" t="n"/>
      <c r="AB3882" s="22" t="n"/>
      <c r="AC3882" s="22" t="n"/>
      <c r="AD3882" s="22" t="n"/>
      <c r="AE3882" s="22" t="n"/>
    </row>
    <row r="3883" ht="70" customHeight="1" s="380">
      <c r="A3883" s="126" t="n">
        <v>140</v>
      </c>
      <c r="B3883" s="390" t="n"/>
      <c r="C3883" s="390" t="inlineStr">
        <is>
          <t>Báo cáo tình hình hoạt động quý/năm - VPĐD Công ty chứng khoán nước ngoài tại Việt Nam</t>
        </is>
      </c>
      <c r="D3883" s="390" t="inlineStr">
        <is>
          <t>Nhân sự của văn phòng đại diện &gt;&gt; Lao động nước ngoài làm việc tại văn phòng đại diện &gt;&gt; Số hộ chiếu</t>
        </is>
      </c>
      <c r="E3883" s="390" t="inlineStr">
        <is>
          <t>Nhân sự của văn phòng đại diện &gt;&gt; Lao động nước ngoài làm việc tại văn phòng đại diện &gt;&gt; Số hộ chiếu</t>
        </is>
      </c>
      <c r="F3883" s="390" t="inlineStr">
        <is>
          <t>Data Explorer</t>
        </is>
      </c>
      <c r="G3883" s="390" t="inlineStr">
        <is>
          <t>Chỉ tiêu cơ sở</t>
        </is>
      </c>
      <c r="H3883" s="390" t="inlineStr">
        <is>
          <t>TB</t>
        </is>
      </c>
      <c r="I3883" s="390" t="inlineStr">
        <is>
          <t>Ngày, CTCK</t>
        </is>
      </c>
      <c r="J3883" s="401" t="inlineStr">
        <is>
          <t>SCMS</t>
        </is>
      </c>
      <c r="K3883" s="401" t="n"/>
      <c r="L3883" s="401" t="inlineStr">
        <is>
          <t>X</t>
        </is>
      </c>
      <c r="M3883" s="401" t="n"/>
      <c r="N3883" s="401" t="inlineStr">
        <is>
          <t>Pending</t>
        </is>
      </c>
      <c r="O3883" s="401" t="n"/>
      <c r="P3883" s="22" t="n"/>
      <c r="Q3883" s="401" t="n"/>
      <c r="R3883" s="401" t="n"/>
      <c r="S3883" s="22" t="n"/>
      <c r="T3883" s="390" t="n"/>
      <c r="U3883" s="390" t="inlineStr">
        <is>
          <t>Không có thông tin</t>
        </is>
      </c>
      <c r="V3883" s="22" t="n"/>
      <c r="W3883" s="22" t="n"/>
      <c r="X3883" s="22" t="n"/>
      <c r="Y3883" s="22" t="n"/>
      <c r="Z3883" s="22" t="n"/>
      <c r="AA3883" s="22" t="n"/>
      <c r="AB3883" s="22" t="n"/>
      <c r="AC3883" s="22" t="n"/>
      <c r="AD3883" s="22" t="n"/>
      <c r="AE3883" s="22" t="n"/>
    </row>
    <row r="3884" ht="70" customHeight="1" s="380">
      <c r="A3884" s="126" t="n">
        <v>140</v>
      </c>
      <c r="B3884" s="390" t="n"/>
      <c r="C3884" s="390" t="inlineStr">
        <is>
          <t>Báo cáo tình hình hoạt động quý/năm - VPĐD Công ty chứng khoán nước ngoài tại Việt Nam</t>
        </is>
      </c>
      <c r="D3884" s="390" t="inlineStr">
        <is>
          <t>Nhân sự của văn phòng đại diện &gt;&gt; Lao động nước ngoài làm việc tại văn phòng đại diện &gt;&gt; Ngày cấp</t>
        </is>
      </c>
      <c r="E3884" s="390" t="inlineStr">
        <is>
          <t>Nhân sự của văn phòng đại diện &gt;&gt; Lao động nước ngoài làm việc tại văn phòng đại diện &gt;&gt; Ngày cấp</t>
        </is>
      </c>
      <c r="F3884" s="390" t="inlineStr">
        <is>
          <t>Data Explorer</t>
        </is>
      </c>
      <c r="G3884" s="390" t="inlineStr">
        <is>
          <t>Chỉ tiêu cơ sở</t>
        </is>
      </c>
      <c r="H3884" s="390" t="inlineStr">
        <is>
          <t>TB</t>
        </is>
      </c>
      <c r="I3884" s="390" t="inlineStr">
        <is>
          <t>Ngày, CTCK</t>
        </is>
      </c>
      <c r="J3884" s="401" t="inlineStr">
        <is>
          <t>SCMS</t>
        </is>
      </c>
      <c r="K3884" s="401" t="n"/>
      <c r="L3884" s="401" t="inlineStr">
        <is>
          <t>X</t>
        </is>
      </c>
      <c r="M3884" s="401" t="n"/>
      <c r="N3884" s="401" t="inlineStr">
        <is>
          <t>Pending</t>
        </is>
      </c>
      <c r="O3884" s="401" t="n"/>
      <c r="P3884" s="22" t="n"/>
      <c r="Q3884" s="401" t="n"/>
      <c r="R3884" s="401" t="n"/>
      <c r="S3884" s="22" t="n"/>
      <c r="T3884" s="390" t="n"/>
      <c r="U3884" s="390" t="inlineStr">
        <is>
          <t>Không có thông tin</t>
        </is>
      </c>
      <c r="V3884" s="22" t="n"/>
      <c r="W3884" s="22" t="n"/>
      <c r="X3884" s="22" t="n"/>
      <c r="Y3884" s="22" t="n"/>
      <c r="Z3884" s="22" t="n"/>
      <c r="AA3884" s="22" t="n"/>
      <c r="AB3884" s="22" t="n"/>
      <c r="AC3884" s="22" t="n"/>
      <c r="AD3884" s="22" t="n"/>
      <c r="AE3884" s="22" t="n"/>
    </row>
    <row r="3885" ht="70" customHeight="1" s="380">
      <c r="A3885" s="126" t="n">
        <v>140</v>
      </c>
      <c r="B3885" s="390" t="n"/>
      <c r="C3885" s="390" t="inlineStr">
        <is>
          <t>Báo cáo tình hình hoạt động quý/năm - VPĐD Công ty chứng khoán nước ngoài tại Việt Nam</t>
        </is>
      </c>
      <c r="D3885" s="390" t="inlineStr">
        <is>
          <t>Nhân sự của văn phòng đại diện &gt;&gt; Lao động nước ngoài làm việc tại văn phòng đại diện &gt;&gt; Nơi cấp</t>
        </is>
      </c>
      <c r="E3885" s="390" t="inlineStr">
        <is>
          <t>Nhân sự của văn phòng đại diện &gt;&gt; Lao động nước ngoài làm việc tại văn phòng đại diện &gt;&gt; Nơi cấp</t>
        </is>
      </c>
      <c r="F3885" s="390" t="inlineStr">
        <is>
          <t>Data Explorer</t>
        </is>
      </c>
      <c r="G3885" s="390" t="inlineStr">
        <is>
          <t>Chỉ tiêu cơ sở</t>
        </is>
      </c>
      <c r="H3885" s="390" t="inlineStr">
        <is>
          <t>TB</t>
        </is>
      </c>
      <c r="I3885" s="390" t="inlineStr">
        <is>
          <t>Ngày, CTCK</t>
        </is>
      </c>
      <c r="J3885" s="401" t="inlineStr">
        <is>
          <t>SCMS</t>
        </is>
      </c>
      <c r="K3885" s="401" t="n"/>
      <c r="L3885" s="401" t="inlineStr">
        <is>
          <t>X</t>
        </is>
      </c>
      <c r="M3885" s="401" t="n"/>
      <c r="N3885" s="401" t="inlineStr">
        <is>
          <t>Pending</t>
        </is>
      </c>
      <c r="O3885" s="401" t="n"/>
      <c r="P3885" s="22" t="n"/>
      <c r="Q3885" s="401" t="n"/>
      <c r="R3885" s="401" t="n"/>
      <c r="S3885" s="22" t="n"/>
      <c r="T3885" s="390" t="n"/>
      <c r="U3885" s="390" t="inlineStr">
        <is>
          <t>Không có thông tin</t>
        </is>
      </c>
      <c r="V3885" s="22" t="n"/>
      <c r="W3885" s="22" t="n"/>
      <c r="X3885" s="22" t="n"/>
      <c r="Y3885" s="22" t="n"/>
      <c r="Z3885" s="22" t="n"/>
      <c r="AA3885" s="22" t="n"/>
      <c r="AB3885" s="22" t="n"/>
      <c r="AC3885" s="22" t="n"/>
      <c r="AD3885" s="22" t="n"/>
      <c r="AE3885" s="22" t="n"/>
    </row>
    <row r="3886" ht="70" customHeight="1" s="380">
      <c r="A3886" s="126" t="n">
        <v>140</v>
      </c>
      <c r="B3886" s="390" t="n"/>
      <c r="C3886" s="390" t="inlineStr">
        <is>
          <t>Báo cáo tình hình hoạt động quý/năm - VPĐD Công ty chứng khoán nước ngoài tại Việt Nam</t>
        </is>
      </c>
      <c r="D3886" s="390" t="inlineStr">
        <is>
          <t>Nhân sự của văn phòng đại diện &gt;&gt; Lao động nước ngoài làm việc tại văn phòng đại diện &gt;&gt; Chức danh</t>
        </is>
      </c>
      <c r="E3886" s="390" t="inlineStr">
        <is>
          <t>Nhân sự của văn phòng đại diện &gt;&gt; Lao động nước ngoài làm việc tại văn phòng đại diện &gt;&gt; Chức danh</t>
        </is>
      </c>
      <c r="F3886" s="390" t="inlineStr">
        <is>
          <t>Data Explorer</t>
        </is>
      </c>
      <c r="G3886" s="390" t="inlineStr">
        <is>
          <t>Chỉ tiêu cơ sở</t>
        </is>
      </c>
      <c r="H3886" s="390" t="inlineStr">
        <is>
          <t>TB</t>
        </is>
      </c>
      <c r="I3886" s="390" t="inlineStr">
        <is>
          <t>Ngày, CTCK</t>
        </is>
      </c>
      <c r="J3886" s="401" t="inlineStr">
        <is>
          <t>SCMS</t>
        </is>
      </c>
      <c r="K3886" s="401" t="n"/>
      <c r="L3886" s="401" t="inlineStr">
        <is>
          <t>X</t>
        </is>
      </c>
      <c r="M3886" s="401" t="n"/>
      <c r="N3886" s="401" t="inlineStr">
        <is>
          <t>Pending</t>
        </is>
      </c>
      <c r="O3886" s="401" t="n"/>
      <c r="P3886" s="22" t="n"/>
      <c r="Q3886" s="401" t="n"/>
      <c r="R3886" s="401" t="n"/>
      <c r="S3886" s="22" t="n"/>
      <c r="T3886" s="390" t="n"/>
      <c r="U3886" s="390" t="inlineStr">
        <is>
          <t>Không có thông tin</t>
        </is>
      </c>
      <c r="V3886" s="22" t="n"/>
      <c r="W3886" s="22" t="n"/>
      <c r="X3886" s="22" t="n"/>
      <c r="Y3886" s="22" t="n"/>
      <c r="Z3886" s="22" t="n"/>
      <c r="AA3886" s="22" t="n"/>
      <c r="AB3886" s="22" t="n"/>
      <c r="AC3886" s="22" t="n"/>
      <c r="AD3886" s="22" t="n"/>
      <c r="AE3886" s="22" t="n"/>
    </row>
    <row r="3887" ht="70" customHeight="1" s="380">
      <c r="A3887" s="126" t="n">
        <v>140</v>
      </c>
      <c r="B3887" s="390" t="n"/>
      <c r="C3887" s="390" t="inlineStr">
        <is>
          <t>Báo cáo tình hình hoạt động quý/năm - VPĐD Công ty chứng khoán nước ngoài tại Việt Nam</t>
        </is>
      </c>
      <c r="D3887" s="390" t="inlineStr">
        <is>
          <t>Nhân sự của văn phòng đại diện &gt;&gt; Lao động Việt Nam làm việc tại văn phòng đại diện &gt;&gt; Họ và tên</t>
        </is>
      </c>
      <c r="E3887" s="390" t="inlineStr">
        <is>
          <t>Nhân sự của văn phòng đại diện &gt;&gt; Lao động Việt Nam làm việc tại văn phòng đại diện &gt;&gt; Họ và tên</t>
        </is>
      </c>
      <c r="F3887" s="390" t="inlineStr">
        <is>
          <t>Data Explorer</t>
        </is>
      </c>
      <c r="G3887" s="390" t="inlineStr">
        <is>
          <t>Chỉ tiêu cơ sở</t>
        </is>
      </c>
      <c r="H3887" s="390" t="inlineStr">
        <is>
          <t>TB</t>
        </is>
      </c>
      <c r="I3887" s="390" t="inlineStr">
        <is>
          <t>Ngày, CTCK</t>
        </is>
      </c>
      <c r="J3887" s="401" t="inlineStr">
        <is>
          <t>SCMS</t>
        </is>
      </c>
      <c r="K3887" s="401" t="n"/>
      <c r="L3887" s="401" t="inlineStr">
        <is>
          <t>X</t>
        </is>
      </c>
      <c r="M3887" s="401" t="n"/>
      <c r="N3887" s="401" t="inlineStr">
        <is>
          <t>Pending</t>
        </is>
      </c>
      <c r="O3887" s="401" t="n"/>
      <c r="P3887" s="22" t="n"/>
      <c r="Q3887" s="401" t="n"/>
      <c r="R3887" s="401" t="n"/>
      <c r="S3887" s="22" t="n"/>
      <c r="T3887" s="390" t="n"/>
      <c r="U3887" s="390" t="inlineStr">
        <is>
          <t>Không có thông tin</t>
        </is>
      </c>
      <c r="V3887" s="22" t="n"/>
      <c r="W3887" s="22" t="n"/>
      <c r="X3887" s="22" t="n"/>
      <c r="Y3887" s="22" t="n"/>
      <c r="Z3887" s="22" t="n"/>
      <c r="AA3887" s="22" t="n"/>
      <c r="AB3887" s="22" t="n"/>
      <c r="AC3887" s="22" t="n"/>
      <c r="AD3887" s="22" t="n"/>
      <c r="AE3887" s="22" t="n"/>
    </row>
    <row r="3888" ht="70" customHeight="1" s="380">
      <c r="A3888" s="126" t="n">
        <v>140</v>
      </c>
      <c r="B3888" s="390" t="n"/>
      <c r="C3888" s="390" t="inlineStr">
        <is>
          <t>Báo cáo tình hình hoạt động quý/năm - VPĐD Công ty chứng khoán nước ngoài tại Việt Nam</t>
        </is>
      </c>
      <c r="D3888" s="390" t="inlineStr">
        <is>
          <t>Nhân sự của văn phòng đại diện &gt;&gt; Lao động Việt Nam làm việc tại văn phòng đại diện &gt;&gt; Giới tính</t>
        </is>
      </c>
      <c r="E3888" s="390" t="inlineStr">
        <is>
          <t>Nhân sự của văn phòng đại diện &gt;&gt; Lao động Việt Nam làm việc tại văn phòng đại diện &gt;&gt; Giới tính</t>
        </is>
      </c>
      <c r="F3888" s="390" t="inlineStr">
        <is>
          <t>Data Explorer</t>
        </is>
      </c>
      <c r="G3888" s="390" t="inlineStr">
        <is>
          <t>Chỉ tiêu cơ sở</t>
        </is>
      </c>
      <c r="H3888" s="390" t="inlineStr">
        <is>
          <t>TB</t>
        </is>
      </c>
      <c r="I3888" s="390" t="inlineStr">
        <is>
          <t>Ngày, CTCK</t>
        </is>
      </c>
      <c r="J3888" s="401" t="inlineStr">
        <is>
          <t>SCMS</t>
        </is>
      </c>
      <c r="K3888" s="401" t="n"/>
      <c r="L3888" s="401" t="inlineStr">
        <is>
          <t>X</t>
        </is>
      </c>
      <c r="M3888" s="401" t="n"/>
      <c r="N3888" s="401" t="inlineStr">
        <is>
          <t>Pending</t>
        </is>
      </c>
      <c r="O3888" s="401" t="n"/>
      <c r="P3888" s="22" t="n"/>
      <c r="Q3888" s="401" t="n"/>
      <c r="R3888" s="401" t="n"/>
      <c r="S3888" s="22" t="n"/>
      <c r="T3888" s="390" t="n"/>
      <c r="U3888" s="390" t="inlineStr">
        <is>
          <t>Không có thông tin</t>
        </is>
      </c>
      <c r="V3888" s="22" t="n"/>
      <c r="W3888" s="22" t="n"/>
      <c r="X3888" s="22" t="n"/>
      <c r="Y3888" s="22" t="n"/>
      <c r="Z3888" s="22" t="n"/>
      <c r="AA3888" s="22" t="n"/>
      <c r="AB3888" s="22" t="n"/>
      <c r="AC3888" s="22" t="n"/>
      <c r="AD3888" s="22" t="n"/>
      <c r="AE3888" s="22" t="n"/>
    </row>
    <row r="3889" ht="70" customHeight="1" s="380">
      <c r="A3889" s="126" t="n">
        <v>140</v>
      </c>
      <c r="B3889" s="390" t="n"/>
      <c r="C3889" s="390" t="inlineStr">
        <is>
          <t>Báo cáo tình hình hoạt động quý/năm - VPĐD Công ty chứng khoán nước ngoài tại Việt Nam</t>
        </is>
      </c>
      <c r="D3889" s="390" t="inlineStr">
        <is>
          <t>Nhân sự của văn phòng đại diện &gt;&gt; Lao động Việt Nam làm việc tại văn phòng đại diện &gt;&gt; Quốc tịch</t>
        </is>
      </c>
      <c r="E3889" s="390" t="inlineStr">
        <is>
          <t>Nhân sự của văn phòng đại diện &gt;&gt; Lao động Việt Nam làm việc tại văn phòng đại diện &gt;&gt; Quốc tịch</t>
        </is>
      </c>
      <c r="F3889" s="390" t="inlineStr">
        <is>
          <t>Data Explorer</t>
        </is>
      </c>
      <c r="G3889" s="390" t="inlineStr">
        <is>
          <t>Chỉ tiêu cơ sở</t>
        </is>
      </c>
      <c r="H3889" s="390" t="inlineStr">
        <is>
          <t>TB</t>
        </is>
      </c>
      <c r="I3889" s="390" t="inlineStr">
        <is>
          <t>Ngày, CTCK</t>
        </is>
      </c>
      <c r="J3889" s="401" t="inlineStr">
        <is>
          <t>SCMS</t>
        </is>
      </c>
      <c r="K3889" s="401" t="n"/>
      <c r="L3889" s="401" t="inlineStr">
        <is>
          <t>X</t>
        </is>
      </c>
      <c r="M3889" s="401" t="n"/>
      <c r="N3889" s="401" t="inlineStr">
        <is>
          <t>Pending</t>
        </is>
      </c>
      <c r="O3889" s="401" t="n"/>
      <c r="P3889" s="22" t="n"/>
      <c r="Q3889" s="401" t="n"/>
      <c r="R3889" s="401" t="n"/>
      <c r="S3889" s="22" t="n"/>
      <c r="T3889" s="390" t="n"/>
      <c r="U3889" s="390" t="inlineStr">
        <is>
          <t>Không có thông tin</t>
        </is>
      </c>
      <c r="V3889" s="22" t="n"/>
      <c r="W3889" s="22" t="n"/>
      <c r="X3889" s="22" t="n"/>
      <c r="Y3889" s="22" t="n"/>
      <c r="Z3889" s="22" t="n"/>
      <c r="AA3889" s="22" t="n"/>
      <c r="AB3889" s="22" t="n"/>
      <c r="AC3889" s="22" t="n"/>
      <c r="AD3889" s="22" t="n"/>
      <c r="AE3889" s="22" t="n"/>
    </row>
    <row r="3890" ht="70" customHeight="1" s="380">
      <c r="A3890" s="126" t="n">
        <v>140</v>
      </c>
      <c r="B3890" s="390" t="n"/>
      <c r="C3890" s="390" t="inlineStr">
        <is>
          <t>Báo cáo tình hình hoạt động quý/năm - VPĐD Công ty chứng khoán nước ngoài tại Việt Nam</t>
        </is>
      </c>
      <c r="D3890" s="390" t="inlineStr">
        <is>
          <t>Nhân sự của văn phòng đại diện &gt;&gt; Lao động Việt Nam làm việc tại văn phòng đại diện &gt;&gt; Số hộ chiếu</t>
        </is>
      </c>
      <c r="E3890" s="390" t="inlineStr">
        <is>
          <t>Nhân sự của văn phòng đại diện &gt;&gt; Lao động Việt Nam làm việc tại văn phòng đại diện &gt;&gt; Số hộ chiếu</t>
        </is>
      </c>
      <c r="F3890" s="390" t="inlineStr">
        <is>
          <t>Data Explorer</t>
        </is>
      </c>
      <c r="G3890" s="390" t="inlineStr">
        <is>
          <t>Chỉ tiêu cơ sở</t>
        </is>
      </c>
      <c r="H3890" s="390" t="inlineStr">
        <is>
          <t>TB</t>
        </is>
      </c>
      <c r="I3890" s="390" t="inlineStr">
        <is>
          <t>Ngày, CTCK</t>
        </is>
      </c>
      <c r="J3890" s="401" t="inlineStr">
        <is>
          <t>SCMS</t>
        </is>
      </c>
      <c r="K3890" s="401" t="n"/>
      <c r="L3890" s="401" t="inlineStr">
        <is>
          <t>X</t>
        </is>
      </c>
      <c r="M3890" s="401" t="n"/>
      <c r="N3890" s="401" t="inlineStr">
        <is>
          <t>Pending</t>
        </is>
      </c>
      <c r="O3890" s="401" t="n"/>
      <c r="P3890" s="22" t="n"/>
      <c r="Q3890" s="401" t="n"/>
      <c r="R3890" s="401" t="n"/>
      <c r="S3890" s="22" t="n"/>
      <c r="T3890" s="390" t="n"/>
      <c r="U3890" s="390" t="inlineStr">
        <is>
          <t>Không có thông tin</t>
        </is>
      </c>
      <c r="V3890" s="22" t="n"/>
      <c r="W3890" s="22" t="n"/>
      <c r="X3890" s="22" t="n"/>
      <c r="Y3890" s="22" t="n"/>
      <c r="Z3890" s="22" t="n"/>
      <c r="AA3890" s="22" t="n"/>
      <c r="AB3890" s="22" t="n"/>
      <c r="AC3890" s="22" t="n"/>
      <c r="AD3890" s="22" t="n"/>
      <c r="AE3890" s="22" t="n"/>
    </row>
    <row r="3891" ht="70" customHeight="1" s="380">
      <c r="A3891" s="126" t="n">
        <v>140</v>
      </c>
      <c r="B3891" s="390" t="n"/>
      <c r="C3891" s="390" t="inlineStr">
        <is>
          <t>Báo cáo tình hình hoạt động quý/năm - VPĐD Công ty chứng khoán nước ngoài tại Việt Nam</t>
        </is>
      </c>
      <c r="D3891" s="390" t="inlineStr">
        <is>
          <t>Nhân sự của văn phòng đại diện &gt;&gt; Lao động Việt Nam làm việc tại văn phòng đại diện &gt;&gt; Ngày cấp</t>
        </is>
      </c>
      <c r="E3891" s="390" t="inlineStr">
        <is>
          <t>Nhân sự của văn phòng đại diện &gt;&gt; Lao động Việt Nam làm việc tại văn phòng đại diện &gt;&gt; Ngày cấp</t>
        </is>
      </c>
      <c r="F3891" s="390" t="inlineStr">
        <is>
          <t>Data Explorer</t>
        </is>
      </c>
      <c r="G3891" s="390" t="inlineStr">
        <is>
          <t>Chỉ tiêu cơ sở</t>
        </is>
      </c>
      <c r="H3891" s="390" t="inlineStr">
        <is>
          <t>TB</t>
        </is>
      </c>
      <c r="I3891" s="390" t="inlineStr">
        <is>
          <t>Ngày, CTCK</t>
        </is>
      </c>
      <c r="J3891" s="401" t="inlineStr">
        <is>
          <t>SCMS</t>
        </is>
      </c>
      <c r="K3891" s="401" t="n"/>
      <c r="L3891" s="401" t="inlineStr">
        <is>
          <t>X</t>
        </is>
      </c>
      <c r="M3891" s="401" t="n"/>
      <c r="N3891" s="401" t="inlineStr">
        <is>
          <t>Pending</t>
        </is>
      </c>
      <c r="O3891" s="401" t="n"/>
      <c r="P3891" s="22" t="n"/>
      <c r="Q3891" s="401" t="n"/>
      <c r="R3891" s="401" t="n"/>
      <c r="S3891" s="22" t="n"/>
      <c r="T3891" s="390" t="n"/>
      <c r="U3891" s="390" t="inlineStr">
        <is>
          <t>Không có thông tin</t>
        </is>
      </c>
      <c r="V3891" s="22" t="n"/>
      <c r="W3891" s="22" t="n"/>
      <c r="X3891" s="22" t="n"/>
      <c r="Y3891" s="22" t="n"/>
      <c r="Z3891" s="22" t="n"/>
      <c r="AA3891" s="22" t="n"/>
      <c r="AB3891" s="22" t="n"/>
      <c r="AC3891" s="22" t="n"/>
      <c r="AD3891" s="22" t="n"/>
      <c r="AE3891" s="22" t="n"/>
    </row>
    <row r="3892" ht="70" customHeight="1" s="380">
      <c r="A3892" s="126" t="n">
        <v>140</v>
      </c>
      <c r="B3892" s="390" t="n"/>
      <c r="C3892" s="390" t="inlineStr">
        <is>
          <t>Báo cáo tình hình hoạt động quý/năm - VPĐD Công ty chứng khoán nước ngoài tại Việt Nam</t>
        </is>
      </c>
      <c r="D3892" s="390" t="inlineStr">
        <is>
          <t>Nhân sự của văn phòng đại diện &gt;&gt; Lao động Việt Nam làm việc tại văn phòng đại diện &gt;&gt; Nơi cấp</t>
        </is>
      </c>
      <c r="E3892" s="390" t="inlineStr">
        <is>
          <t>Nhân sự của văn phòng đại diện &gt;&gt; Lao động Việt Nam làm việc tại văn phòng đại diện &gt;&gt; Nơi cấp</t>
        </is>
      </c>
      <c r="F3892" s="390" t="inlineStr">
        <is>
          <t>Data Explorer</t>
        </is>
      </c>
      <c r="G3892" s="390" t="inlineStr">
        <is>
          <t>Chỉ tiêu cơ sở</t>
        </is>
      </c>
      <c r="H3892" s="390" t="inlineStr">
        <is>
          <t>TB</t>
        </is>
      </c>
      <c r="I3892" s="390" t="inlineStr">
        <is>
          <t>Ngày, CTCK</t>
        </is>
      </c>
      <c r="J3892" s="401" t="inlineStr">
        <is>
          <t>SCMS</t>
        </is>
      </c>
      <c r="K3892" s="401" t="n"/>
      <c r="L3892" s="401" t="inlineStr">
        <is>
          <t>X</t>
        </is>
      </c>
      <c r="M3892" s="401" t="n"/>
      <c r="N3892" s="401" t="inlineStr">
        <is>
          <t>Pending</t>
        </is>
      </c>
      <c r="O3892" s="401" t="n"/>
      <c r="P3892" s="22" t="n"/>
      <c r="Q3892" s="401" t="n"/>
      <c r="R3892" s="401" t="n"/>
      <c r="S3892" s="22" t="n"/>
      <c r="T3892" s="390" t="n"/>
      <c r="U3892" s="390" t="inlineStr">
        <is>
          <t>Không có thông tin</t>
        </is>
      </c>
      <c r="V3892" s="22" t="n"/>
      <c r="W3892" s="22" t="n"/>
      <c r="X3892" s="22" t="n"/>
      <c r="Y3892" s="22" t="n"/>
      <c r="Z3892" s="22" t="n"/>
      <c r="AA3892" s="22" t="n"/>
      <c r="AB3892" s="22" t="n"/>
      <c r="AC3892" s="22" t="n"/>
      <c r="AD3892" s="22" t="n"/>
      <c r="AE3892" s="22" t="n"/>
    </row>
    <row r="3893" ht="70" customHeight="1" s="380">
      <c r="A3893" s="126" t="n">
        <v>140</v>
      </c>
      <c r="B3893" s="390" t="n"/>
      <c r="C3893" s="390" t="inlineStr">
        <is>
          <t>Báo cáo tình hình hoạt động quý/năm - VPĐD Công ty chứng khoán nước ngoài tại Việt Nam</t>
        </is>
      </c>
      <c r="D3893" s="390" t="inlineStr">
        <is>
          <t>Nhân sự của văn phòng đại diện &gt;&gt; Lao động Việt Nam làm việc tại văn phòng đại diện &gt;&gt; Chức danh</t>
        </is>
      </c>
      <c r="E3893" s="390" t="inlineStr">
        <is>
          <t>Nhân sự của văn phòng đại diện &gt;&gt; Lao động Việt Nam làm việc tại văn phòng đại diện &gt;&gt; Chức danh</t>
        </is>
      </c>
      <c r="F3893" s="390" t="inlineStr">
        <is>
          <t>Data Explorer</t>
        </is>
      </c>
      <c r="G3893" s="390" t="inlineStr">
        <is>
          <t>Chỉ tiêu cơ sở</t>
        </is>
      </c>
      <c r="H3893" s="390" t="inlineStr">
        <is>
          <t>TB</t>
        </is>
      </c>
      <c r="I3893" s="390" t="inlineStr">
        <is>
          <t>Ngày, CTCK</t>
        </is>
      </c>
      <c r="J3893" s="401" t="inlineStr">
        <is>
          <t>SCMS</t>
        </is>
      </c>
      <c r="K3893" s="401" t="n"/>
      <c r="L3893" s="401" t="inlineStr">
        <is>
          <t>X</t>
        </is>
      </c>
      <c r="M3893" s="401" t="n"/>
      <c r="N3893" s="401" t="inlineStr">
        <is>
          <t>Pending</t>
        </is>
      </c>
      <c r="O3893" s="401" t="n"/>
      <c r="P3893" s="22" t="n"/>
      <c r="Q3893" s="401" t="n"/>
      <c r="R3893" s="401" t="n"/>
      <c r="S3893" s="22" t="n"/>
      <c r="T3893" s="390" t="n"/>
      <c r="U3893" s="390" t="inlineStr">
        <is>
          <t>Không có thông tin</t>
        </is>
      </c>
      <c r="V3893" s="22" t="n"/>
      <c r="W3893" s="22" t="n"/>
      <c r="X3893" s="22" t="n"/>
      <c r="Y3893" s="22" t="n"/>
      <c r="Z3893" s="22" t="n"/>
      <c r="AA3893" s="22" t="n"/>
      <c r="AB3893" s="22" t="n"/>
      <c r="AC3893" s="22" t="n"/>
      <c r="AD3893" s="22" t="n"/>
      <c r="AE3893" s="22" t="n"/>
    </row>
    <row r="3894" ht="70" customHeight="1" s="380">
      <c r="A3894" s="126" t="n">
        <v>140</v>
      </c>
      <c r="B3894" s="390" t="n"/>
      <c r="C3894" s="390" t="inlineStr">
        <is>
          <t>Báo cáo tình hình hoạt động quý/năm - VPĐD Công ty chứng khoán nước ngoài tại Việt Nam</t>
        </is>
      </c>
      <c r="D3894" s="390" t="inlineStr">
        <is>
          <t>Nhân sự của văn phòng đại diện &gt;&gt; Tình hình thay đổi nhân sự trong kỳ báo cáo &gt;&gt; Thay đổi Trưởng đại diện</t>
        </is>
      </c>
      <c r="E3894" s="390" t="inlineStr">
        <is>
          <t>Nhân sự của văn phòng đại diện &gt;&gt; Tình hình thay đổi nhân sự trong kỳ báo cáo &gt;&gt; Thay đổi Trưởng đại diện</t>
        </is>
      </c>
      <c r="F3894" s="390" t="inlineStr">
        <is>
          <t>Data Explorer</t>
        </is>
      </c>
      <c r="G3894" s="390" t="inlineStr">
        <is>
          <t>Chỉ tiêu cơ sở</t>
        </is>
      </c>
      <c r="H3894" s="390" t="inlineStr">
        <is>
          <t>TB</t>
        </is>
      </c>
      <c r="I3894" s="390" t="inlineStr">
        <is>
          <t>Ngày, CTCK</t>
        </is>
      </c>
      <c r="J3894" s="401" t="inlineStr">
        <is>
          <t>SCMS</t>
        </is>
      </c>
      <c r="K3894" s="401" t="n"/>
      <c r="L3894" s="401" t="inlineStr">
        <is>
          <t>X</t>
        </is>
      </c>
      <c r="M3894" s="401" t="n"/>
      <c r="N3894" s="401" t="inlineStr">
        <is>
          <t>Pending</t>
        </is>
      </c>
      <c r="O3894" s="401" t="n"/>
      <c r="P3894" s="22" t="n"/>
      <c r="Q3894" s="401" t="n"/>
      <c r="R3894" s="401" t="n"/>
      <c r="S3894" s="22" t="n"/>
      <c r="T3894" s="390" t="n"/>
      <c r="U3894" s="390" t="inlineStr">
        <is>
          <t>Không có thông tin</t>
        </is>
      </c>
      <c r="V3894" s="22" t="n"/>
      <c r="W3894" s="22" t="n"/>
      <c r="X3894" s="22" t="n"/>
      <c r="Y3894" s="22" t="n"/>
      <c r="Z3894" s="22" t="n"/>
      <c r="AA3894" s="22" t="n"/>
      <c r="AB3894" s="22" t="n"/>
      <c r="AC3894" s="22" t="n"/>
      <c r="AD3894" s="22" t="n"/>
      <c r="AE3894" s="22" t="n"/>
    </row>
    <row r="3895" ht="98" customHeight="1" s="380">
      <c r="A3895" s="126" t="n">
        <v>140</v>
      </c>
      <c r="B3895" s="390" t="n"/>
      <c r="C3895" s="390" t="inlineStr">
        <is>
          <t>Báo cáo tình hình hoạt động quý/năm - VPĐD Công ty chứng khoán nước ngoài tại Việt Nam</t>
        </is>
      </c>
      <c r="D3895" s="390" t="inlineStr">
        <is>
          <t>Nhân sự của văn phòng đại diện &gt;&gt; Tình hình thay đổi nhân sự trong kỳ báo cáo &gt;&gt; Thay đổi số lao động nước ngoài làm việc tại văn phòng đại diện</t>
        </is>
      </c>
      <c r="E3895" s="390" t="inlineStr">
        <is>
          <t>Nhân sự của văn phòng đại diện &gt;&gt; Tình hình thay đổi nhân sự trong kỳ báo cáo &gt;&gt; Thay đổi số lao động nước ngoài làm việc tại văn phòng đại diện</t>
        </is>
      </c>
      <c r="F3895" s="390" t="inlineStr">
        <is>
          <t>Data Explorer</t>
        </is>
      </c>
      <c r="G3895" s="390" t="inlineStr">
        <is>
          <t>Chỉ tiêu cơ sở</t>
        </is>
      </c>
      <c r="H3895" s="390" t="inlineStr">
        <is>
          <t>TB</t>
        </is>
      </c>
      <c r="I3895" s="390" t="inlineStr">
        <is>
          <t>Ngày, CTCK</t>
        </is>
      </c>
      <c r="J3895" s="401" t="inlineStr">
        <is>
          <t>SCMS</t>
        </is>
      </c>
      <c r="K3895" s="401" t="n"/>
      <c r="L3895" s="401" t="inlineStr">
        <is>
          <t>X</t>
        </is>
      </c>
      <c r="M3895" s="401" t="n"/>
      <c r="N3895" s="401" t="inlineStr">
        <is>
          <t>Pending</t>
        </is>
      </c>
      <c r="O3895" s="401" t="n"/>
      <c r="P3895" s="22" t="n"/>
      <c r="Q3895" s="401" t="n"/>
      <c r="R3895" s="401" t="n"/>
      <c r="S3895" s="22" t="n"/>
      <c r="T3895" s="390" t="n"/>
      <c r="U3895" s="390" t="inlineStr">
        <is>
          <t>Không có thông tin</t>
        </is>
      </c>
      <c r="V3895" s="22" t="n"/>
      <c r="W3895" s="22" t="n"/>
      <c r="X3895" s="22" t="n"/>
      <c r="Y3895" s="22" t="n"/>
      <c r="Z3895" s="22" t="n"/>
      <c r="AA3895" s="22" t="n"/>
      <c r="AB3895" s="22" t="n"/>
      <c r="AC3895" s="22" t="n"/>
      <c r="AD3895" s="22" t="n"/>
      <c r="AE3895" s="22" t="n"/>
    </row>
    <row r="3896" ht="98" customHeight="1" s="380">
      <c r="A3896" s="126" t="n">
        <v>140</v>
      </c>
      <c r="B3896" s="390" t="n"/>
      <c r="C3896" s="390" t="inlineStr">
        <is>
          <t>Báo cáo tình hình hoạt động quý/năm - VPĐD Công ty chứng khoán nước ngoài tại Việt Nam</t>
        </is>
      </c>
      <c r="D3896" s="390" t="inlineStr">
        <is>
          <t>Nhân sự của văn phòng đại diện &gt;&gt; Tình hình thay đổi nhân sự trong kỳ báo cáo &gt;&gt; Thay đổi số lao động Việt Nam làm việc tại văn phòng đại diện</t>
        </is>
      </c>
      <c r="E3896" s="390" t="inlineStr">
        <is>
          <t>Nhân sự của văn phòng đại diện &gt;&gt; Tình hình thay đổi nhân sự trong kỳ báo cáo &gt;&gt; Thay đổi số lao động Việt Nam làm việc tại văn phòng đại diện</t>
        </is>
      </c>
      <c r="F3896" s="390" t="inlineStr">
        <is>
          <t>Data Explorer</t>
        </is>
      </c>
      <c r="G3896" s="390" t="inlineStr">
        <is>
          <t>Chỉ tiêu cơ sở</t>
        </is>
      </c>
      <c r="H3896" s="390" t="inlineStr">
        <is>
          <t>TB</t>
        </is>
      </c>
      <c r="I3896" s="390" t="inlineStr">
        <is>
          <t>Ngày, CTCK</t>
        </is>
      </c>
      <c r="J3896" s="401" t="inlineStr">
        <is>
          <t>SCMS</t>
        </is>
      </c>
      <c r="K3896" s="401" t="n"/>
      <c r="L3896" s="401" t="inlineStr">
        <is>
          <t>X</t>
        </is>
      </c>
      <c r="M3896" s="401" t="n"/>
      <c r="N3896" s="401" t="inlineStr">
        <is>
          <t>Pending</t>
        </is>
      </c>
      <c r="O3896" s="401" t="n"/>
      <c r="P3896" s="22" t="n"/>
      <c r="Q3896" s="401" t="n"/>
      <c r="R3896" s="401" t="n"/>
      <c r="S3896" s="22" t="n"/>
      <c r="T3896" s="390" t="n"/>
      <c r="U3896" s="390" t="inlineStr">
        <is>
          <t>Không có thông tin</t>
        </is>
      </c>
      <c r="V3896" s="22" t="n"/>
      <c r="W3896" s="22" t="n"/>
      <c r="X3896" s="22" t="n"/>
      <c r="Y3896" s="22" t="n"/>
      <c r="Z3896" s="22" t="n"/>
      <c r="AA3896" s="22" t="n"/>
      <c r="AB3896" s="22" t="n"/>
      <c r="AC3896" s="22" t="n"/>
      <c r="AD3896" s="22" t="n"/>
      <c r="AE3896" s="22" t="n"/>
    </row>
    <row r="3897" ht="98" customHeight="1" s="380">
      <c r="A3897" s="126" t="n">
        <v>140</v>
      </c>
      <c r="B3897" s="390" t="n"/>
      <c r="C3897" s="390" t="inlineStr">
        <is>
          <t>Báo cáo tình hình hoạt động quý/năm - VPĐD Công ty chứng khoán nước ngoài tại Việt Nam</t>
        </is>
      </c>
      <c r="D3897" s="390" t="inlineStr">
        <is>
          <t>Nhân sự của văn phòng đại diện &gt;&gt; Tình hình thực hiện chế độ đối với người lao động làm việc tại văn phòng đại diện: lương, thưởng, bảo hiểm, các hoạt động khác</t>
        </is>
      </c>
      <c r="E3897" s="390" t="inlineStr">
        <is>
          <t>Nhân sự của văn phòng đại diện &gt;&gt; Tình hình thực hiện chế độ đối với người lao động làm việc tại văn phòng đại diện: lương, thưởng, bảo hiểm, các hoạt động khác</t>
        </is>
      </c>
      <c r="F3897" s="390" t="inlineStr">
        <is>
          <t>Data Explorer</t>
        </is>
      </c>
      <c r="G3897" s="390" t="inlineStr">
        <is>
          <t>Chỉ tiêu cơ sở</t>
        </is>
      </c>
      <c r="H3897" s="390" t="inlineStr">
        <is>
          <t>TB</t>
        </is>
      </c>
      <c r="I3897" s="390" t="inlineStr">
        <is>
          <t>Ngày, CTCK</t>
        </is>
      </c>
      <c r="J3897" s="401" t="inlineStr">
        <is>
          <t>SCMS</t>
        </is>
      </c>
      <c r="K3897" s="401" t="n"/>
      <c r="L3897" s="401" t="inlineStr">
        <is>
          <t>X</t>
        </is>
      </c>
      <c r="M3897" s="401" t="n"/>
      <c r="N3897" s="401" t="inlineStr">
        <is>
          <t>Pending</t>
        </is>
      </c>
      <c r="O3897" s="401" t="n"/>
      <c r="P3897" s="22" t="n"/>
      <c r="Q3897" s="401" t="n"/>
      <c r="R3897" s="401" t="n"/>
      <c r="S3897" s="22" t="n"/>
      <c r="T3897" s="390" t="n"/>
      <c r="U3897" s="390" t="inlineStr">
        <is>
          <t>Không có thông tin</t>
        </is>
      </c>
      <c r="V3897" s="22" t="n"/>
      <c r="W3897" s="22" t="n"/>
      <c r="X3897" s="22" t="n"/>
      <c r="Y3897" s="22" t="n"/>
      <c r="Z3897" s="22" t="n"/>
      <c r="AA3897" s="22" t="n"/>
      <c r="AB3897" s="22" t="n"/>
      <c r="AC3897" s="22" t="n"/>
      <c r="AD3897" s="22" t="n"/>
      <c r="AE3897" s="22" t="n"/>
    </row>
    <row r="3898" ht="70" customHeight="1" s="380">
      <c r="A3898" s="126" t="n">
        <v>140</v>
      </c>
      <c r="B3898" s="390" t="n"/>
      <c r="C3898" s="390" t="inlineStr">
        <is>
          <t>Báo cáo tình hình hoạt động quý/năm - VPĐD Công ty chứng khoán nước ngoài tại Việt Nam</t>
        </is>
      </c>
      <c r="D3898" s="390" t="inlineStr">
        <is>
          <t>Hoạt động của văn phòng đại diện &gt;&gt; Xúc tiến xây dựng các dự án hợp tác &gt;&gt; Đối tác Việt Nam</t>
        </is>
      </c>
      <c r="E3898" s="390" t="inlineStr">
        <is>
          <t>Hoạt động của văn phòng đại diện &gt;&gt; Xúc tiến xây dựng các dự án hợp tác &gt;&gt; Đối tác Việt Nam</t>
        </is>
      </c>
      <c r="F3898" s="390" t="inlineStr">
        <is>
          <t>Data Explorer</t>
        </is>
      </c>
      <c r="G3898" s="390" t="inlineStr">
        <is>
          <t>Chỉ tiêu cơ sở</t>
        </is>
      </c>
      <c r="H3898" s="390" t="inlineStr">
        <is>
          <t>TB</t>
        </is>
      </c>
      <c r="I3898" s="390" t="inlineStr">
        <is>
          <t>Ngày, CTCK</t>
        </is>
      </c>
      <c r="J3898" s="401" t="inlineStr">
        <is>
          <t>SCMS</t>
        </is>
      </c>
      <c r="K3898" s="401" t="n"/>
      <c r="L3898" s="401" t="inlineStr">
        <is>
          <t>X</t>
        </is>
      </c>
      <c r="M3898" s="401" t="n"/>
      <c r="N3898" s="401" t="inlineStr">
        <is>
          <t>Pending</t>
        </is>
      </c>
      <c r="O3898" s="401" t="n"/>
      <c r="P3898" s="22" t="n"/>
      <c r="Q3898" s="401" t="n"/>
      <c r="R3898" s="401" t="n"/>
      <c r="S3898" s="22" t="n"/>
      <c r="T3898" s="390" t="n"/>
      <c r="U3898" s="390" t="inlineStr">
        <is>
          <t>Không có thông tin</t>
        </is>
      </c>
      <c r="V3898" s="22" t="n"/>
      <c r="W3898" s="22" t="n"/>
      <c r="X3898" s="22" t="n"/>
      <c r="Y3898" s="22" t="n"/>
      <c r="Z3898" s="22" t="n"/>
      <c r="AA3898" s="22" t="n"/>
      <c r="AB3898" s="22" t="n"/>
      <c r="AC3898" s="22" t="n"/>
      <c r="AD3898" s="22" t="n"/>
      <c r="AE3898" s="22" t="n"/>
    </row>
    <row r="3899" ht="70" customHeight="1" s="380">
      <c r="A3899" s="126" t="n">
        <v>140</v>
      </c>
      <c r="B3899" s="390" t="n"/>
      <c r="C3899" s="390" t="inlineStr">
        <is>
          <t>Báo cáo tình hình hoạt động quý/năm - VPĐD Công ty chứng khoán nước ngoài tại Việt Nam</t>
        </is>
      </c>
      <c r="D3899" s="390" t="inlineStr">
        <is>
          <t>Hoạt động của văn phòng đại diện &gt;&gt; Xúc tiến xây dựng các dự án hợp tác &gt;&gt;  Mục tiêu của Dự án</t>
        </is>
      </c>
      <c r="E3899" s="390" t="inlineStr">
        <is>
          <t>Hoạt động của văn phòng đại diện &gt;&gt; Xúc tiến xây dựng các dự án hợp tác &gt;&gt;  Mục tiêu của Dự án</t>
        </is>
      </c>
      <c r="F3899" s="390" t="inlineStr">
        <is>
          <t>Data Explorer</t>
        </is>
      </c>
      <c r="G3899" s="390" t="inlineStr">
        <is>
          <t>Chỉ tiêu cơ sở</t>
        </is>
      </c>
      <c r="H3899" s="390" t="inlineStr">
        <is>
          <t>TB</t>
        </is>
      </c>
      <c r="I3899" s="390" t="inlineStr">
        <is>
          <t>Ngày, CTCK</t>
        </is>
      </c>
      <c r="J3899" s="401" t="inlineStr">
        <is>
          <t>SCMS</t>
        </is>
      </c>
      <c r="K3899" s="401" t="n"/>
      <c r="L3899" s="401" t="inlineStr">
        <is>
          <t>X</t>
        </is>
      </c>
      <c r="M3899" s="401" t="n"/>
      <c r="N3899" s="401" t="inlineStr">
        <is>
          <t>Pending</t>
        </is>
      </c>
      <c r="O3899" s="401" t="n"/>
      <c r="P3899" s="22" t="n"/>
      <c r="Q3899" s="401" t="n"/>
      <c r="R3899" s="401" t="n"/>
      <c r="S3899" s="22" t="n"/>
      <c r="T3899" s="390" t="n"/>
      <c r="U3899" s="390" t="inlineStr">
        <is>
          <t>Không có thông tin</t>
        </is>
      </c>
      <c r="V3899" s="22" t="n"/>
      <c r="W3899" s="22" t="n"/>
      <c r="X3899" s="22" t="n"/>
      <c r="Y3899" s="22" t="n"/>
      <c r="Z3899" s="22" t="n"/>
      <c r="AA3899" s="22" t="n"/>
      <c r="AB3899" s="22" t="n"/>
      <c r="AC3899" s="22" t="n"/>
      <c r="AD3899" s="22" t="n"/>
      <c r="AE3899" s="22" t="n"/>
    </row>
    <row r="3900" ht="56" customHeight="1" s="380">
      <c r="A3900" s="126" t="n">
        <v>140</v>
      </c>
      <c r="B3900" s="390" t="n"/>
      <c r="C3900" s="390" t="inlineStr">
        <is>
          <t>Báo cáo tình hình hoạt động quý/năm - VPĐD Công ty chứng khoán nước ngoài tại Việt Nam</t>
        </is>
      </c>
      <c r="D3900" s="390" t="inlineStr">
        <is>
          <t>Hoạt động của văn phòng đại diện &gt;&gt; Xúc tiến xây dựng các dự án hợp tác &gt;&gt; Giá trị (USD)</t>
        </is>
      </c>
      <c r="E3900" s="390" t="inlineStr">
        <is>
          <t>Hoạt động của văn phòng đại diện &gt;&gt; Xúc tiến xây dựng các dự án hợp tác &gt;&gt; Giá trị (USD)</t>
        </is>
      </c>
      <c r="F3900" s="390" t="inlineStr">
        <is>
          <t>Data Explorer</t>
        </is>
      </c>
      <c r="G3900" s="390" t="inlineStr">
        <is>
          <t>Chỉ tiêu cơ sở</t>
        </is>
      </c>
      <c r="H3900" s="390" t="inlineStr">
        <is>
          <t>TB</t>
        </is>
      </c>
      <c r="I3900" s="390" t="inlineStr">
        <is>
          <t>Ngày, CTCK</t>
        </is>
      </c>
      <c r="J3900" s="401" t="inlineStr">
        <is>
          <t>SCMS</t>
        </is>
      </c>
      <c r="K3900" s="401" t="n"/>
      <c r="L3900" s="401" t="inlineStr">
        <is>
          <t>X</t>
        </is>
      </c>
      <c r="M3900" s="401" t="n"/>
      <c r="N3900" s="401" t="inlineStr">
        <is>
          <t>Pending</t>
        </is>
      </c>
      <c r="O3900" s="401" t="n"/>
      <c r="P3900" s="22" t="n"/>
      <c r="Q3900" s="401" t="n"/>
      <c r="R3900" s="401" t="n"/>
      <c r="S3900" s="22" t="n"/>
      <c r="T3900" s="390" t="n"/>
      <c r="U3900" s="390" t="inlineStr">
        <is>
          <t>Không có thông tin</t>
        </is>
      </c>
      <c r="V3900" s="22" t="n"/>
      <c r="W3900" s="22" t="n"/>
      <c r="X3900" s="22" t="n"/>
      <c r="Y3900" s="22" t="n"/>
      <c r="Z3900" s="22" t="n"/>
      <c r="AA3900" s="22" t="n"/>
      <c r="AB3900" s="22" t="n"/>
      <c r="AC3900" s="22" t="n"/>
      <c r="AD3900" s="22" t="n"/>
      <c r="AE3900" s="22" t="n"/>
    </row>
    <row r="3901" ht="56" customHeight="1" s="380">
      <c r="A3901" s="126" t="n">
        <v>140</v>
      </c>
      <c r="B3901" s="390" t="n"/>
      <c r="C3901" s="390" t="inlineStr">
        <is>
          <t>Báo cáo tình hình hoạt động quý/năm - VPĐD Công ty chứng khoán nước ngoài tại Việt Nam</t>
        </is>
      </c>
      <c r="D3901" s="390" t="inlineStr">
        <is>
          <t>Hoạt động của văn phòng đại diện &gt;&gt; Xúc tiến xây dựng các dự án hợp tác &gt;&gt; Ghi chú</t>
        </is>
      </c>
      <c r="E3901" s="390" t="inlineStr">
        <is>
          <t>Hoạt động của văn phòng đại diện &gt;&gt; Ghi chú</t>
        </is>
      </c>
      <c r="F3901" s="390" t="inlineStr">
        <is>
          <t>Data Explorer</t>
        </is>
      </c>
      <c r="G3901" s="390" t="inlineStr">
        <is>
          <t>Chỉ tiêu cơ sở</t>
        </is>
      </c>
      <c r="H3901" s="390" t="inlineStr">
        <is>
          <t>TB</t>
        </is>
      </c>
      <c r="I3901" s="390" t="inlineStr">
        <is>
          <t>Ngày, CTCK</t>
        </is>
      </c>
      <c r="J3901" s="401" t="inlineStr">
        <is>
          <t>SCMS</t>
        </is>
      </c>
      <c r="K3901" s="401" t="n"/>
      <c r="L3901" s="401" t="inlineStr">
        <is>
          <t>X</t>
        </is>
      </c>
      <c r="M3901" s="401" t="n"/>
      <c r="N3901" s="401" t="inlineStr">
        <is>
          <t>Pending</t>
        </is>
      </c>
      <c r="O3901" s="401" t="n"/>
      <c r="P3901" s="22" t="n"/>
      <c r="Q3901" s="401" t="n"/>
      <c r="R3901" s="401" t="n"/>
      <c r="S3901" s="22" t="n"/>
      <c r="T3901" s="390" t="n"/>
      <c r="U3901" s="390" t="inlineStr">
        <is>
          <t>Không có thông tin</t>
        </is>
      </c>
      <c r="V3901" s="22" t="n"/>
      <c r="W3901" s="22" t="n"/>
      <c r="X3901" s="22" t="n"/>
      <c r="Y3901" s="22" t="n"/>
      <c r="Z3901" s="22" t="n"/>
      <c r="AA3901" s="22" t="n"/>
      <c r="AB3901" s="22" t="n"/>
      <c r="AC3901" s="22" t="n"/>
      <c r="AD3901" s="22" t="n"/>
      <c r="AE3901" s="22" t="n"/>
    </row>
    <row r="3902" ht="56" customHeight="1" s="380">
      <c r="A3902" s="126" t="n">
        <v>140</v>
      </c>
      <c r="B3902" s="390" t="n"/>
      <c r="C3902" s="390" t="inlineStr">
        <is>
          <t>Báo cáo tình hình hoạt động quý/năm - VPĐD Công ty chứng khoán nước ngoài tại Việt Nam</t>
        </is>
      </c>
      <c r="D3902" s="390" t="inlineStr">
        <is>
          <t>Hoạt động của văn phòng đại diện &gt;&gt; Nghiên cứu thị trường &gt;&gt; Đối tác Việt Nam</t>
        </is>
      </c>
      <c r="E3902" s="390" t="inlineStr">
        <is>
          <t>Hoạt động của văn phòng đại diện &gt;&gt; Nghiên cứu thị trường &gt;&gt; Đối tác Việt Nam</t>
        </is>
      </c>
      <c r="F3902" s="390" t="inlineStr">
        <is>
          <t>Data Explorer</t>
        </is>
      </c>
      <c r="G3902" s="390" t="inlineStr">
        <is>
          <t>Chỉ tiêu cơ sở</t>
        </is>
      </c>
      <c r="H3902" s="390" t="inlineStr">
        <is>
          <t>TB</t>
        </is>
      </c>
      <c r="I3902" s="390" t="inlineStr">
        <is>
          <t>Ngày, CTCK</t>
        </is>
      </c>
      <c r="J3902" s="401" t="inlineStr">
        <is>
          <t>SCMS</t>
        </is>
      </c>
      <c r="K3902" s="401" t="n"/>
      <c r="L3902" s="401" t="inlineStr">
        <is>
          <t>X</t>
        </is>
      </c>
      <c r="M3902" s="401" t="n"/>
      <c r="N3902" s="401" t="inlineStr">
        <is>
          <t>Pending</t>
        </is>
      </c>
      <c r="O3902" s="401" t="n"/>
      <c r="P3902" s="22" t="n"/>
      <c r="Q3902" s="401" t="n"/>
      <c r="R3902" s="401" t="n"/>
      <c r="S3902" s="22" t="n"/>
      <c r="T3902" s="390" t="n"/>
      <c r="U3902" s="390" t="inlineStr">
        <is>
          <t>Không có thông tin</t>
        </is>
      </c>
      <c r="V3902" s="22" t="n"/>
      <c r="W3902" s="22" t="n"/>
      <c r="X3902" s="22" t="n"/>
      <c r="Y3902" s="22" t="n"/>
      <c r="Z3902" s="22" t="n"/>
      <c r="AA3902" s="22" t="n"/>
      <c r="AB3902" s="22" t="n"/>
      <c r="AC3902" s="22" t="n"/>
      <c r="AD3902" s="22" t="n"/>
      <c r="AE3902" s="22" t="n"/>
    </row>
    <row r="3903" ht="56" customHeight="1" s="380">
      <c r="A3903" s="126" t="n">
        <v>140</v>
      </c>
      <c r="B3903" s="390" t="n"/>
      <c r="C3903" s="390" t="inlineStr">
        <is>
          <t>Báo cáo tình hình hoạt động quý/năm - VPĐD Công ty chứng khoán nước ngoài tại Việt Nam</t>
        </is>
      </c>
      <c r="D3903" s="390" t="inlineStr">
        <is>
          <t>Hoạt động của văn phòng đại diện &gt;&gt; Nghiên cứu thị trường &gt;&gt;  Mục tiêu của Dự án</t>
        </is>
      </c>
      <c r="E3903" s="390" t="inlineStr">
        <is>
          <t>Hoạt động của văn phòng đại diện &gt;&gt; Nghiên cứu thị trường &gt;&gt;  Mục tiêu của Dự án</t>
        </is>
      </c>
      <c r="F3903" s="390" t="inlineStr">
        <is>
          <t>Data Explorer</t>
        </is>
      </c>
      <c r="G3903" s="390" t="inlineStr">
        <is>
          <t>Chỉ tiêu cơ sở</t>
        </is>
      </c>
      <c r="H3903" s="390" t="inlineStr">
        <is>
          <t>TB</t>
        </is>
      </c>
      <c r="I3903" s="390" t="inlineStr">
        <is>
          <t>Ngày, CTCK</t>
        </is>
      </c>
      <c r="J3903" s="401" t="inlineStr">
        <is>
          <t>SCMS</t>
        </is>
      </c>
      <c r="K3903" s="401" t="n"/>
      <c r="L3903" s="401" t="inlineStr">
        <is>
          <t>X</t>
        </is>
      </c>
      <c r="M3903" s="401" t="n"/>
      <c r="N3903" s="401" t="inlineStr">
        <is>
          <t>Pending</t>
        </is>
      </c>
      <c r="O3903" s="401" t="n"/>
      <c r="P3903" s="22" t="n"/>
      <c r="Q3903" s="401" t="n"/>
      <c r="R3903" s="401" t="n"/>
      <c r="S3903" s="22" t="n"/>
      <c r="T3903" s="390" t="n"/>
      <c r="U3903" s="390" t="inlineStr">
        <is>
          <t>Không có thông tin</t>
        </is>
      </c>
      <c r="V3903" s="22" t="n"/>
      <c r="W3903" s="22" t="n"/>
      <c r="X3903" s="22" t="n"/>
      <c r="Y3903" s="22" t="n"/>
      <c r="Z3903" s="22" t="n"/>
      <c r="AA3903" s="22" t="n"/>
      <c r="AB3903" s="22" t="n"/>
      <c r="AC3903" s="22" t="n"/>
      <c r="AD3903" s="22" t="n"/>
      <c r="AE3903" s="22" t="n"/>
    </row>
    <row r="3904" ht="56" customHeight="1" s="380">
      <c r="A3904" s="126" t="n">
        <v>140</v>
      </c>
      <c r="B3904" s="390" t="n"/>
      <c r="C3904" s="390" t="inlineStr">
        <is>
          <t>Báo cáo tình hình hoạt động quý/năm - VPĐD Công ty chứng khoán nước ngoài tại Việt Nam</t>
        </is>
      </c>
      <c r="D3904" s="390" t="inlineStr">
        <is>
          <t>Hoạt động của văn phòng đại diện &gt;&gt; Nghiên cứu thị trường &gt;&gt; Giá trị (USD)</t>
        </is>
      </c>
      <c r="E3904" s="390" t="inlineStr">
        <is>
          <t>Hoạt động của văn phòng đại diện &gt;&gt; Nghiên cứu thị trường &gt;&gt; Giá trị (USD)</t>
        </is>
      </c>
      <c r="F3904" s="390" t="inlineStr">
        <is>
          <t>Data Explorer</t>
        </is>
      </c>
      <c r="G3904" s="390" t="inlineStr">
        <is>
          <t>Chỉ tiêu cơ sở</t>
        </is>
      </c>
      <c r="H3904" s="390" t="inlineStr">
        <is>
          <t>TB</t>
        </is>
      </c>
      <c r="I3904" s="390" t="inlineStr">
        <is>
          <t>Ngày, CTCK</t>
        </is>
      </c>
      <c r="J3904" s="401" t="inlineStr">
        <is>
          <t>SCMS</t>
        </is>
      </c>
      <c r="K3904" s="401" t="n"/>
      <c r="L3904" s="401" t="inlineStr">
        <is>
          <t>X</t>
        </is>
      </c>
      <c r="M3904" s="401" t="n"/>
      <c r="N3904" s="401" t="inlineStr">
        <is>
          <t>Pending</t>
        </is>
      </c>
      <c r="O3904" s="401" t="n"/>
      <c r="P3904" s="22" t="n"/>
      <c r="Q3904" s="401" t="n"/>
      <c r="R3904" s="401" t="n"/>
      <c r="S3904" s="22" t="n"/>
      <c r="T3904" s="390" t="n"/>
      <c r="U3904" s="390" t="inlineStr">
        <is>
          <t>Không có thông tin</t>
        </is>
      </c>
      <c r="V3904" s="22" t="n"/>
      <c r="W3904" s="22" t="n"/>
      <c r="X3904" s="22" t="n"/>
      <c r="Y3904" s="22" t="n"/>
      <c r="Z3904" s="22" t="n"/>
      <c r="AA3904" s="22" t="n"/>
      <c r="AB3904" s="22" t="n"/>
      <c r="AC3904" s="22" t="n"/>
      <c r="AD3904" s="22" t="n"/>
      <c r="AE3904" s="22" t="n"/>
    </row>
    <row r="3905" ht="56" customHeight="1" s="380">
      <c r="A3905" s="126" t="n">
        <v>140</v>
      </c>
      <c r="B3905" s="390" t="n"/>
      <c r="C3905" s="390" t="inlineStr">
        <is>
          <t>Báo cáo tình hình hoạt động quý/năm - VPĐD Công ty chứng khoán nước ngoài tại Việt Nam</t>
        </is>
      </c>
      <c r="D3905" s="390" t="inlineStr">
        <is>
          <t>Hoạt động của văn phòng đại diện &gt;&gt; Nghiên cứu thị trường &gt;&gt; Ghi chú</t>
        </is>
      </c>
      <c r="E3905" s="390" t="inlineStr">
        <is>
          <t>Hoạt động của văn phòng đại diện &gt;&gt; Nghiên cứu thị trường &gt;&gt; Ghi chú</t>
        </is>
      </c>
      <c r="F3905" s="390" t="inlineStr">
        <is>
          <t>Data Explorer</t>
        </is>
      </c>
      <c r="G3905" s="390" t="inlineStr">
        <is>
          <t>Chỉ tiêu cơ sở</t>
        </is>
      </c>
      <c r="H3905" s="390" t="inlineStr">
        <is>
          <t>TB</t>
        </is>
      </c>
      <c r="I3905" s="390" t="inlineStr">
        <is>
          <t>Ngày, CTCK</t>
        </is>
      </c>
      <c r="J3905" s="401" t="inlineStr">
        <is>
          <t>SCMS</t>
        </is>
      </c>
      <c r="K3905" s="401" t="n"/>
      <c r="L3905" s="401" t="inlineStr">
        <is>
          <t>X</t>
        </is>
      </c>
      <c r="M3905" s="401" t="n"/>
      <c r="N3905" s="401" t="inlineStr">
        <is>
          <t>Pending</t>
        </is>
      </c>
      <c r="O3905" s="401" t="n"/>
      <c r="P3905" s="22" t="n"/>
      <c r="Q3905" s="401" t="n"/>
      <c r="R3905" s="401" t="n"/>
      <c r="S3905" s="22" t="n"/>
      <c r="T3905" s="390" t="n"/>
      <c r="U3905" s="390" t="inlineStr">
        <is>
          <t>Không có thông tin</t>
        </is>
      </c>
      <c r="V3905" s="22" t="n"/>
      <c r="W3905" s="22" t="n"/>
      <c r="X3905" s="22" t="n"/>
      <c r="Y3905" s="22" t="n"/>
      <c r="Z3905" s="22" t="n"/>
      <c r="AA3905" s="22" t="n"/>
      <c r="AB3905" s="22" t="n"/>
      <c r="AC3905" s="22" t="n"/>
      <c r="AD3905" s="22" t="n"/>
      <c r="AE3905" s="22" t="n"/>
    </row>
    <row r="3906" ht="98" customHeight="1" s="380">
      <c r="A3906" s="126" t="n">
        <v>140</v>
      </c>
      <c r="B3906" s="390" t="n"/>
      <c r="C3906" s="390" t="inlineStr">
        <is>
          <t>Báo cáo tình hình hoạt động quý/năm - VPĐD Công ty chứng khoán nước ngoài tại Việt Nam</t>
        </is>
      </c>
      <c r="D3906" s="390" t="inlineStr">
        <is>
          <t>Hoạt động của văn phòng đại diện &gt;&gt; Xúc tiến hợp đồng liên kết cung ứng dịch vụ chứng khoán cho nhà đầu tư nước ngoài &gt;&gt; Đối tác Việt Nam</t>
        </is>
      </c>
      <c r="E3906" s="390" t="inlineStr">
        <is>
          <t>Hoạt động của văn phòng đại diện &gt;&gt; Xúc tiến hợp đồng liên kết cung ứng dịch vụ chứng khoán cho nhà đầu tư nước ngoài &gt;&gt; Đối tác Việt Nam</t>
        </is>
      </c>
      <c r="F3906" s="390" t="inlineStr">
        <is>
          <t>Data Explorer</t>
        </is>
      </c>
      <c r="G3906" s="390" t="inlineStr">
        <is>
          <t>Chỉ tiêu cơ sở</t>
        </is>
      </c>
      <c r="H3906" s="390" t="inlineStr">
        <is>
          <t>TB</t>
        </is>
      </c>
      <c r="I3906" s="390" t="inlineStr">
        <is>
          <t>Ngày, CTCK</t>
        </is>
      </c>
      <c r="J3906" s="401" t="inlineStr">
        <is>
          <t>SCMS</t>
        </is>
      </c>
      <c r="K3906" s="401" t="n"/>
      <c r="L3906" s="401" t="inlineStr">
        <is>
          <t>X</t>
        </is>
      </c>
      <c r="M3906" s="401" t="n"/>
      <c r="N3906" s="401" t="inlineStr">
        <is>
          <t>Pending</t>
        </is>
      </c>
      <c r="O3906" s="401" t="n"/>
      <c r="P3906" s="22" t="n"/>
      <c r="Q3906" s="401" t="n"/>
      <c r="R3906" s="401" t="n"/>
      <c r="S3906" s="22" t="n"/>
      <c r="T3906" s="390" t="n"/>
      <c r="U3906" s="390" t="inlineStr">
        <is>
          <t>Không có thông tin</t>
        </is>
      </c>
      <c r="V3906" s="22" t="n"/>
      <c r="W3906" s="22" t="n"/>
      <c r="X3906" s="22" t="n"/>
      <c r="Y3906" s="22" t="n"/>
      <c r="Z3906" s="22" t="n"/>
      <c r="AA3906" s="22" t="n"/>
      <c r="AB3906" s="22" t="n"/>
      <c r="AC3906" s="22" t="n"/>
      <c r="AD3906" s="22" t="n"/>
      <c r="AE3906" s="22" t="n"/>
    </row>
    <row r="3907" ht="98" customHeight="1" s="380">
      <c r="A3907" s="126" t="n">
        <v>140</v>
      </c>
      <c r="B3907" s="390" t="n"/>
      <c r="C3907" s="390" t="inlineStr">
        <is>
          <t>Báo cáo tình hình hoạt động quý/năm - VPĐD Công ty chứng khoán nước ngoài tại Việt Nam</t>
        </is>
      </c>
      <c r="D3907" s="390" t="inlineStr">
        <is>
          <t>Hoạt động của văn phòng đại diện &gt;&gt; Xúc tiến hợp đồng liên kết cung ứng dịch vụ chứng khoán cho nhà đầu tư nước ngoài &gt;&gt;  Mục tiêu của Dự án</t>
        </is>
      </c>
      <c r="E3907" s="390" t="inlineStr">
        <is>
          <t>Hoạt động của văn phòng đại diện &gt;&gt; Xúc tiến hợp đồng liên kết cung ứng dịch vụ chứng khoán cho nhà đầu tư nước ngoài &gt;&gt;  Mục tiêu của Dự án</t>
        </is>
      </c>
      <c r="F3907" s="390" t="inlineStr">
        <is>
          <t>Data Explorer</t>
        </is>
      </c>
      <c r="G3907" s="390" t="inlineStr">
        <is>
          <t>Chỉ tiêu cơ sở</t>
        </is>
      </c>
      <c r="H3907" s="390" t="inlineStr">
        <is>
          <t>TB</t>
        </is>
      </c>
      <c r="I3907" s="390" t="inlineStr">
        <is>
          <t>Ngày, CTCK</t>
        </is>
      </c>
      <c r="J3907" s="401" t="inlineStr">
        <is>
          <t>SCMS</t>
        </is>
      </c>
      <c r="K3907" s="401" t="n"/>
      <c r="L3907" s="401" t="inlineStr">
        <is>
          <t>X</t>
        </is>
      </c>
      <c r="M3907" s="401" t="n"/>
      <c r="N3907" s="401" t="inlineStr">
        <is>
          <t>Pending</t>
        </is>
      </c>
      <c r="O3907" s="401" t="n"/>
      <c r="P3907" s="22" t="n"/>
      <c r="Q3907" s="401" t="n"/>
      <c r="R3907" s="401" t="n"/>
      <c r="S3907" s="22" t="n"/>
      <c r="T3907" s="390" t="n"/>
      <c r="U3907" s="390" t="inlineStr">
        <is>
          <t>Không có thông tin</t>
        </is>
      </c>
      <c r="V3907" s="22" t="n"/>
      <c r="W3907" s="22" t="n"/>
      <c r="X3907" s="22" t="n"/>
      <c r="Y3907" s="22" t="n"/>
      <c r="Z3907" s="22" t="n"/>
      <c r="AA3907" s="22" t="n"/>
      <c r="AB3907" s="22" t="n"/>
      <c r="AC3907" s="22" t="n"/>
      <c r="AD3907" s="22" t="n"/>
      <c r="AE3907" s="22" t="n"/>
    </row>
    <row r="3908" ht="98" customHeight="1" s="380">
      <c r="A3908" s="126" t="n">
        <v>140</v>
      </c>
      <c r="B3908" s="390" t="n"/>
      <c r="C3908" s="390" t="inlineStr">
        <is>
          <t>Báo cáo tình hình hoạt động quý/năm - VPĐD Công ty chứng khoán nước ngoài tại Việt Nam</t>
        </is>
      </c>
      <c r="D3908" s="390" t="inlineStr">
        <is>
          <t>Hoạt động của văn phòng đại diện &gt;&gt; Xúc tiến hợp đồng liên kết cung ứng dịch vụ chứng khoán cho nhà đầu tư nước ngoài &gt;&gt; Giá trị (USD)</t>
        </is>
      </c>
      <c r="E3908" s="390" t="inlineStr">
        <is>
          <t>Hoạt động của văn phòng đại diện &gt;&gt; Xúc tiến hợp đồng liên kết cung ứng dịch vụ chứng khoán cho nhà đầu tư nước ngoài &gt;&gt; Giá trị (USD)</t>
        </is>
      </c>
      <c r="F3908" s="390" t="inlineStr">
        <is>
          <t>Data Explorer</t>
        </is>
      </c>
      <c r="G3908" s="390" t="inlineStr">
        <is>
          <t>Chỉ tiêu cơ sở</t>
        </is>
      </c>
      <c r="H3908" s="390" t="inlineStr">
        <is>
          <t>TB</t>
        </is>
      </c>
      <c r="I3908" s="390" t="inlineStr">
        <is>
          <t>Ngày, CTCK</t>
        </is>
      </c>
      <c r="J3908" s="401" t="inlineStr">
        <is>
          <t>SCMS</t>
        </is>
      </c>
      <c r="K3908" s="401" t="n"/>
      <c r="L3908" s="401" t="inlineStr">
        <is>
          <t>X</t>
        </is>
      </c>
      <c r="M3908" s="401" t="n"/>
      <c r="N3908" s="401" t="inlineStr">
        <is>
          <t>Pending</t>
        </is>
      </c>
      <c r="O3908" s="401" t="n"/>
      <c r="P3908" s="22" t="n"/>
      <c r="Q3908" s="401" t="n"/>
      <c r="R3908" s="401" t="n"/>
      <c r="S3908" s="22" t="n"/>
      <c r="T3908" s="390" t="n"/>
      <c r="U3908" s="390" t="inlineStr">
        <is>
          <t>Không có thông tin</t>
        </is>
      </c>
      <c r="V3908" s="22" t="n"/>
      <c r="W3908" s="22" t="n"/>
      <c r="X3908" s="22" t="n"/>
      <c r="Y3908" s="22" t="n"/>
      <c r="Z3908" s="22" t="n"/>
      <c r="AA3908" s="22" t="n"/>
      <c r="AB3908" s="22" t="n"/>
      <c r="AC3908" s="22" t="n"/>
      <c r="AD3908" s="22" t="n"/>
      <c r="AE3908" s="22" t="n"/>
    </row>
    <row r="3909" ht="84" customHeight="1" s="380">
      <c r="A3909" s="126" t="n">
        <v>140</v>
      </c>
      <c r="B3909" s="390" t="n"/>
      <c r="C3909" s="390" t="inlineStr">
        <is>
          <t>Báo cáo tình hình hoạt động quý/năm - VPĐD Công ty chứng khoán nước ngoài tại Việt Nam</t>
        </is>
      </c>
      <c r="D3909" s="390" t="inlineStr">
        <is>
          <t>Hoạt động của văn phòng đại diện &gt;&gt; Xúc tiến hợp đồng liên kết cung ứng dịch vụ chứng khoán cho nhà đầu tư nước ngoài &gt;&gt; Ghi chú</t>
        </is>
      </c>
      <c r="E3909" s="390" t="inlineStr">
        <is>
          <t>Hoạt động của văn phòng đại diện &gt;&gt; Xúc tiến hợp đồng liên kết cung ứng dịch vụ chứng khoán cho nhà đầu tư nước ngoài &gt;&gt; Ghi chú</t>
        </is>
      </c>
      <c r="F3909" s="390" t="inlineStr">
        <is>
          <t>Data Explorer</t>
        </is>
      </c>
      <c r="G3909" s="390" t="inlineStr">
        <is>
          <t>Chỉ tiêu cơ sở</t>
        </is>
      </c>
      <c r="H3909" s="390" t="inlineStr">
        <is>
          <t>TB</t>
        </is>
      </c>
      <c r="I3909" s="390" t="inlineStr">
        <is>
          <t>Ngày, CTCK</t>
        </is>
      </c>
      <c r="J3909" s="401" t="inlineStr">
        <is>
          <t>SCMS</t>
        </is>
      </c>
      <c r="K3909" s="401" t="n"/>
      <c r="L3909" s="401" t="inlineStr">
        <is>
          <t>X</t>
        </is>
      </c>
      <c r="M3909" s="401" t="n"/>
      <c r="N3909" s="401" t="inlineStr">
        <is>
          <t>Pending</t>
        </is>
      </c>
      <c r="O3909" s="401" t="n"/>
      <c r="P3909" s="22" t="n"/>
      <c r="Q3909" s="401" t="n"/>
      <c r="R3909" s="401" t="n"/>
      <c r="S3909" s="22" t="n"/>
      <c r="T3909" s="390" t="n"/>
      <c r="U3909" s="390" t="inlineStr">
        <is>
          <t>Không có thông tin</t>
        </is>
      </c>
      <c r="V3909" s="22" t="n"/>
      <c r="W3909" s="22" t="n"/>
      <c r="X3909" s="22" t="n"/>
      <c r="Y3909" s="22" t="n"/>
      <c r="Z3909" s="22" t="n"/>
      <c r="AA3909" s="22" t="n"/>
      <c r="AB3909" s="22" t="n"/>
      <c r="AC3909" s="22" t="n"/>
      <c r="AD3909" s="22" t="n"/>
      <c r="AE3909" s="22" t="n"/>
    </row>
    <row r="3910" ht="98" customHeight="1" s="380">
      <c r="A3910" s="126" t="n">
        <v>140</v>
      </c>
      <c r="B3910" s="390" t="n"/>
      <c r="C3910" s="390" t="inlineStr">
        <is>
          <t>Báo cáo tình hình hoạt động quý/năm - VPĐD Công ty chứng khoán nước ngoài tại Việt Nam</t>
        </is>
      </c>
      <c r="D3910" s="390" t="inlineStr">
        <is>
          <t>Hoạt động của văn phòng đại diện &gt;&gt; Xúc tiến hợp đồng liên kết cung ứng dịch vụ chứng khoán cho nhà đầu tư trong nước &gt;&gt; Đối tác Việt Nam</t>
        </is>
      </c>
      <c r="E3910" s="390" t="inlineStr">
        <is>
          <t>Hoạt động của văn phòng đại diện &gt;&gt; Xúc tiến hợp đồng liên kết cung ứng dịch vụ chứng khoán cho nhà đầu tư trong nước &gt;&gt; Đối tác Việt Nam</t>
        </is>
      </c>
      <c r="F3910" s="390" t="inlineStr">
        <is>
          <t>Data Explorer</t>
        </is>
      </c>
      <c r="G3910" s="390" t="inlineStr">
        <is>
          <t>Chỉ tiêu cơ sở</t>
        </is>
      </c>
      <c r="H3910" s="390" t="inlineStr">
        <is>
          <t>TB</t>
        </is>
      </c>
      <c r="I3910" s="390" t="inlineStr">
        <is>
          <t>Ngày, CTCK</t>
        </is>
      </c>
      <c r="J3910" s="401" t="inlineStr">
        <is>
          <t>SCMS</t>
        </is>
      </c>
      <c r="K3910" s="401" t="n"/>
      <c r="L3910" s="401" t="inlineStr">
        <is>
          <t>X</t>
        </is>
      </c>
      <c r="M3910" s="401" t="n"/>
      <c r="N3910" s="401" t="inlineStr">
        <is>
          <t>Pending</t>
        </is>
      </c>
      <c r="O3910" s="401" t="n"/>
      <c r="P3910" s="22" t="n"/>
      <c r="Q3910" s="401" t="n"/>
      <c r="R3910" s="401" t="n"/>
      <c r="S3910" s="22" t="n"/>
      <c r="T3910" s="390" t="n"/>
      <c r="U3910" s="390" t="inlineStr">
        <is>
          <t>Không có thông tin</t>
        </is>
      </c>
      <c r="V3910" s="22" t="n"/>
      <c r="W3910" s="22" t="n"/>
      <c r="X3910" s="22" t="n"/>
      <c r="Y3910" s="22" t="n"/>
      <c r="Z3910" s="22" t="n"/>
      <c r="AA3910" s="22" t="n"/>
      <c r="AB3910" s="22" t="n"/>
      <c r="AC3910" s="22" t="n"/>
      <c r="AD3910" s="22" t="n"/>
      <c r="AE3910" s="22" t="n"/>
    </row>
    <row r="3911" ht="98" customHeight="1" s="380">
      <c r="A3911" s="126" t="n">
        <v>140</v>
      </c>
      <c r="B3911" s="390" t="n"/>
      <c r="C3911" s="390" t="inlineStr">
        <is>
          <t>Báo cáo tình hình hoạt động quý/năm - VPĐD Công ty chứng khoán nước ngoài tại Việt Nam</t>
        </is>
      </c>
      <c r="D3911" s="390" t="inlineStr">
        <is>
          <t>Hoạt động của văn phòng đại diện &gt;&gt; Xúc tiến hợp đồng liên kết cung ứng dịch vụ chứng khoán cho nhà đầu tư trong nước &gt;&gt;  Mục tiêu của Dự án</t>
        </is>
      </c>
      <c r="E3911" s="390" t="inlineStr">
        <is>
          <t>Hoạt động của văn phòng đại diện &gt;&gt; Xúc tiến hợp đồng liên kết cung ứng dịch vụ chứng khoán cho nhà đầu tư trong nước &gt;&gt;  Mục tiêu của Dự án</t>
        </is>
      </c>
      <c r="F3911" s="390" t="inlineStr">
        <is>
          <t>Data Explorer</t>
        </is>
      </c>
      <c r="G3911" s="390" t="inlineStr">
        <is>
          <t>Chỉ tiêu cơ sở</t>
        </is>
      </c>
      <c r="H3911" s="390" t="inlineStr">
        <is>
          <t>TB</t>
        </is>
      </c>
      <c r="I3911" s="390" t="inlineStr">
        <is>
          <t>Ngày, CTCK</t>
        </is>
      </c>
      <c r="J3911" s="401" t="inlineStr">
        <is>
          <t>SCMS</t>
        </is>
      </c>
      <c r="K3911" s="401" t="n"/>
      <c r="L3911" s="401" t="inlineStr">
        <is>
          <t>X</t>
        </is>
      </c>
      <c r="M3911" s="401" t="n"/>
      <c r="N3911" s="401" t="inlineStr">
        <is>
          <t>Pending</t>
        </is>
      </c>
      <c r="O3911" s="401" t="n"/>
      <c r="P3911" s="22" t="n"/>
      <c r="Q3911" s="401" t="n"/>
      <c r="R3911" s="401" t="n"/>
      <c r="S3911" s="22" t="n"/>
      <c r="T3911" s="390" t="n"/>
      <c r="U3911" s="390" t="inlineStr">
        <is>
          <t>Không có thông tin</t>
        </is>
      </c>
      <c r="V3911" s="22" t="n"/>
      <c r="W3911" s="22" t="n"/>
      <c r="X3911" s="22" t="n"/>
      <c r="Y3911" s="22" t="n"/>
      <c r="Z3911" s="22" t="n"/>
      <c r="AA3911" s="22" t="n"/>
      <c r="AB3911" s="22" t="n"/>
      <c r="AC3911" s="22" t="n"/>
      <c r="AD3911" s="22" t="n"/>
      <c r="AE3911" s="22" t="n"/>
    </row>
    <row r="3912" ht="98" customHeight="1" s="380">
      <c r="A3912" s="126" t="n">
        <v>140</v>
      </c>
      <c r="B3912" s="390" t="n"/>
      <c r="C3912" s="390" t="inlineStr">
        <is>
          <t>Báo cáo tình hình hoạt động quý/năm - VPĐD Công ty chứng khoán nước ngoài tại Việt Nam</t>
        </is>
      </c>
      <c r="D3912" s="390" t="inlineStr">
        <is>
          <t>Hoạt động của văn phòng đại diện &gt;&gt; Xúc tiến hợp đồng liên kết cung ứng dịch vụ chứng khoán cho nhà đầu tư trong nước &gt;&gt; Giá trị (USD)</t>
        </is>
      </c>
      <c r="E3912" s="390" t="inlineStr">
        <is>
          <t>Hoạt động của văn phòng đại diện &gt;&gt; Xúc tiến hợp đồng liên kết cung ứng dịch vụ chứng khoán cho nhà đầu tư trong nước &gt;&gt; Giá trị (USD)</t>
        </is>
      </c>
      <c r="F3912" s="390" t="inlineStr">
        <is>
          <t>Data Explorer</t>
        </is>
      </c>
      <c r="G3912" s="390" t="inlineStr">
        <is>
          <t>Chỉ tiêu cơ sở</t>
        </is>
      </c>
      <c r="H3912" s="390" t="inlineStr">
        <is>
          <t>TB</t>
        </is>
      </c>
      <c r="I3912" s="390" t="inlineStr">
        <is>
          <t>Ngày, CTCK</t>
        </is>
      </c>
      <c r="J3912" s="401" t="inlineStr">
        <is>
          <t>SCMS</t>
        </is>
      </c>
      <c r="K3912" s="401" t="n"/>
      <c r="L3912" s="401" t="inlineStr">
        <is>
          <t>X</t>
        </is>
      </c>
      <c r="M3912" s="401" t="n"/>
      <c r="N3912" s="401" t="inlineStr">
        <is>
          <t>Pending</t>
        </is>
      </c>
      <c r="O3912" s="401" t="n"/>
      <c r="P3912" s="22" t="n"/>
      <c r="Q3912" s="401" t="n"/>
      <c r="R3912" s="401" t="n"/>
      <c r="S3912" s="22" t="n"/>
      <c r="T3912" s="390" t="n"/>
      <c r="U3912" s="390" t="inlineStr">
        <is>
          <t>Không có thông tin</t>
        </is>
      </c>
      <c r="V3912" s="22" t="n"/>
      <c r="W3912" s="22" t="n"/>
      <c r="X3912" s="22" t="n"/>
      <c r="Y3912" s="22" t="n"/>
      <c r="Z3912" s="22" t="n"/>
      <c r="AA3912" s="22" t="n"/>
      <c r="AB3912" s="22" t="n"/>
      <c r="AC3912" s="22" t="n"/>
      <c r="AD3912" s="22" t="n"/>
      <c r="AE3912" s="22" t="n"/>
    </row>
    <row r="3913" ht="84" customHeight="1" s="380">
      <c r="A3913" s="126" t="n">
        <v>140</v>
      </c>
      <c r="B3913" s="390" t="n"/>
      <c r="C3913" s="390" t="inlineStr">
        <is>
          <t>Báo cáo tình hình hoạt động quý/năm - VPĐD Công ty chứng khoán nước ngoài tại Việt Nam</t>
        </is>
      </c>
      <c r="D3913" s="390" t="inlineStr">
        <is>
          <t>Hoạt động của văn phòng đại diện &gt;&gt; Xúc tiến hợp đồng liên kết cung ứng dịch vụ chứng khoán cho nhà đầu tư trong nước &gt;&gt; Ghi chú</t>
        </is>
      </c>
      <c r="E3913" s="390" t="inlineStr">
        <is>
          <t>Hoạt động của văn phòng đại diện &gt;&gt; Xúc tiến hợp đồng liên kết cung ứng dịch vụ chứng khoán cho nhà đầu tư trong nước &gt;&gt; Ghi chú</t>
        </is>
      </c>
      <c r="F3913" s="390" t="inlineStr">
        <is>
          <t>Data Explorer</t>
        </is>
      </c>
      <c r="G3913" s="390" t="inlineStr">
        <is>
          <t>Chỉ tiêu cơ sở</t>
        </is>
      </c>
      <c r="H3913" s="390" t="inlineStr">
        <is>
          <t>TB</t>
        </is>
      </c>
      <c r="I3913" s="390" t="inlineStr">
        <is>
          <t>Ngày, CTCK</t>
        </is>
      </c>
      <c r="J3913" s="401" t="inlineStr">
        <is>
          <t>SCMS</t>
        </is>
      </c>
      <c r="K3913" s="401" t="n"/>
      <c r="L3913" s="401" t="inlineStr">
        <is>
          <t>X</t>
        </is>
      </c>
      <c r="M3913" s="401" t="n"/>
      <c r="N3913" s="401" t="inlineStr">
        <is>
          <t>Pending</t>
        </is>
      </c>
      <c r="O3913" s="401" t="n"/>
      <c r="P3913" s="22" t="n"/>
      <c r="Q3913" s="401" t="n"/>
      <c r="R3913" s="401" t="n"/>
      <c r="S3913" s="22" t="n"/>
      <c r="T3913" s="390" t="n"/>
      <c r="U3913" s="390" t="inlineStr">
        <is>
          <t>Không có thông tin</t>
        </is>
      </c>
      <c r="V3913" s="22" t="n"/>
      <c r="W3913" s="22" t="n"/>
      <c r="X3913" s="22" t="n"/>
      <c r="Y3913" s="22" t="n"/>
      <c r="Z3913" s="22" t="n"/>
      <c r="AA3913" s="22" t="n"/>
      <c r="AB3913" s="22" t="n"/>
      <c r="AC3913" s="22" t="n"/>
      <c r="AD3913" s="22" t="n"/>
      <c r="AE3913" s="22" t="n"/>
    </row>
    <row r="3914" ht="84" customHeight="1" s="380">
      <c r="A3914" s="126" t="n">
        <v>140</v>
      </c>
      <c r="B3914" s="390" t="n"/>
      <c r="C3914" s="390" t="inlineStr">
        <is>
          <t>Báo cáo tình hình hoạt động quý/năm - VPĐD Công ty chứng khoán nước ngoài tại Việt Nam</t>
        </is>
      </c>
      <c r="D3914" s="390" t="inlineStr">
        <is>
          <t>Hoạt động của văn phòng đại diện &gt;&gt; Xúc tiến hợp đồng ký giữa tổ chức nước ngoài và sác tổ chức kinh tế trong nước &gt;&gt; Đối tác Việt Nam</t>
        </is>
      </c>
      <c r="E3914" s="390" t="inlineStr">
        <is>
          <t>Hoạt động của văn phòng đại diện &gt;&gt; Xúc tiến hợp đồng ký giữa tổ chức nước ngoài và sác tổ chức kinh tế trong nước &gt;&gt; Đối tác Việt Nam</t>
        </is>
      </c>
      <c r="F3914" s="390" t="inlineStr">
        <is>
          <t>Data Explorer</t>
        </is>
      </c>
      <c r="G3914" s="390" t="inlineStr">
        <is>
          <t>Chỉ tiêu cơ sở</t>
        </is>
      </c>
      <c r="H3914" s="390" t="inlineStr">
        <is>
          <t>TB</t>
        </is>
      </c>
      <c r="I3914" s="390" t="inlineStr">
        <is>
          <t>Ngày, CTCK</t>
        </is>
      </c>
      <c r="J3914" s="401" t="inlineStr">
        <is>
          <t>SCMS</t>
        </is>
      </c>
      <c r="K3914" s="401" t="n"/>
      <c r="L3914" s="401" t="inlineStr">
        <is>
          <t>X</t>
        </is>
      </c>
      <c r="M3914" s="401" t="n"/>
      <c r="N3914" s="401" t="inlineStr">
        <is>
          <t>Pending</t>
        </is>
      </c>
      <c r="O3914" s="401" t="n"/>
      <c r="P3914" s="22" t="n"/>
      <c r="Q3914" s="401" t="n"/>
      <c r="R3914" s="401" t="n"/>
      <c r="S3914" s="22" t="n"/>
      <c r="T3914" s="390" t="n"/>
      <c r="U3914" s="390" t="inlineStr">
        <is>
          <t>Không có thông tin</t>
        </is>
      </c>
      <c r="V3914" s="22" t="n"/>
      <c r="W3914" s="22" t="n"/>
      <c r="X3914" s="22" t="n"/>
      <c r="Y3914" s="22" t="n"/>
      <c r="Z3914" s="22" t="n"/>
      <c r="AA3914" s="22" t="n"/>
      <c r="AB3914" s="22" t="n"/>
      <c r="AC3914" s="22" t="n"/>
      <c r="AD3914" s="22" t="n"/>
      <c r="AE3914" s="22" t="n"/>
    </row>
    <row r="3915" ht="98" customHeight="1" s="380">
      <c r="A3915" s="126" t="n">
        <v>140</v>
      </c>
      <c r="B3915" s="390" t="n"/>
      <c r="C3915" s="390" t="inlineStr">
        <is>
          <t>Báo cáo tình hình hoạt động quý/năm - VPĐD Công ty chứng khoán nước ngoài tại Việt Nam</t>
        </is>
      </c>
      <c r="D3915" s="390" t="inlineStr">
        <is>
          <t>Hoạt động của văn phòng đại diện &gt;&gt; Xúc tiến hợp đồng ký giữa tổ chức nước ngoài và sác tổ chức kinh tế trong nước &gt;&gt;  Mục tiêu của Dự án</t>
        </is>
      </c>
      <c r="E3915" s="390" t="inlineStr">
        <is>
          <t>Hoạt động của văn phòng đại diện &gt;&gt; Xúc tiến hợp đồng ký giữa tổ chức nước ngoài và sác tổ chức kinh tế trong nước &gt;&gt;  Mục tiêu của Dự án</t>
        </is>
      </c>
      <c r="F3915" s="390" t="inlineStr">
        <is>
          <t>Data Explorer</t>
        </is>
      </c>
      <c r="G3915" s="390" t="inlineStr">
        <is>
          <t>Chỉ tiêu cơ sở</t>
        </is>
      </c>
      <c r="H3915" s="390" t="inlineStr">
        <is>
          <t>TB</t>
        </is>
      </c>
      <c r="I3915" s="390" t="inlineStr">
        <is>
          <t>Ngày, CTCK</t>
        </is>
      </c>
      <c r="J3915" s="401" t="inlineStr">
        <is>
          <t>SCMS</t>
        </is>
      </c>
      <c r="K3915" s="401" t="n"/>
      <c r="L3915" s="401" t="inlineStr">
        <is>
          <t>X</t>
        </is>
      </c>
      <c r="M3915" s="401" t="n"/>
      <c r="N3915" s="401" t="inlineStr">
        <is>
          <t>Pending</t>
        </is>
      </c>
      <c r="O3915" s="401" t="n"/>
      <c r="P3915" s="22" t="n"/>
      <c r="Q3915" s="401" t="n"/>
      <c r="R3915" s="401" t="n"/>
      <c r="S3915" s="22" t="n"/>
      <c r="T3915" s="390" t="n"/>
      <c r="U3915" s="390" t="inlineStr">
        <is>
          <t>Không có thông tin</t>
        </is>
      </c>
      <c r="V3915" s="22" t="n"/>
      <c r="W3915" s="22" t="n"/>
      <c r="X3915" s="22" t="n"/>
      <c r="Y3915" s="22" t="n"/>
      <c r="Z3915" s="22" t="n"/>
      <c r="AA3915" s="22" t="n"/>
      <c r="AB3915" s="22" t="n"/>
      <c r="AC3915" s="22" t="n"/>
      <c r="AD3915" s="22" t="n"/>
      <c r="AE3915" s="22" t="n"/>
    </row>
    <row r="3916" ht="84" customHeight="1" s="380">
      <c r="A3916" s="126" t="n">
        <v>140</v>
      </c>
      <c r="B3916" s="390" t="n"/>
      <c r="C3916" s="390" t="inlineStr">
        <is>
          <t>Báo cáo tình hình hoạt động quý/năm - VPĐD Công ty chứng khoán nước ngoài tại Việt Nam</t>
        </is>
      </c>
      <c r="D3916" s="390" t="inlineStr">
        <is>
          <t>Hoạt động của văn phòng đại diện &gt;&gt; Xúc tiến hợp đồng ký giữa tổ chức nước ngoài và sác tổ chức kinh tế trong nước &gt;&gt; Giá trị (USD)</t>
        </is>
      </c>
      <c r="E3916" s="390" t="inlineStr">
        <is>
          <t>Hoạt động của văn phòng đại diện &gt;&gt; Xúc tiến hợp đồng ký giữa tổ chức nước ngoài và sác tổ chức kinh tế trong nước &gt;&gt; Giá trị (USD)</t>
        </is>
      </c>
      <c r="F3916" s="390" t="inlineStr">
        <is>
          <t>Data Explorer</t>
        </is>
      </c>
      <c r="G3916" s="390" t="inlineStr">
        <is>
          <t>Chỉ tiêu cơ sở</t>
        </is>
      </c>
      <c r="H3916" s="390" t="inlineStr">
        <is>
          <t>TB</t>
        </is>
      </c>
      <c r="I3916" s="390" t="inlineStr">
        <is>
          <t>Ngày, CTCK</t>
        </is>
      </c>
      <c r="J3916" s="401" t="inlineStr">
        <is>
          <t>SCMS</t>
        </is>
      </c>
      <c r="K3916" s="401" t="n"/>
      <c r="L3916" s="401" t="inlineStr">
        <is>
          <t>X</t>
        </is>
      </c>
      <c r="M3916" s="401" t="n"/>
      <c r="N3916" s="401" t="inlineStr">
        <is>
          <t>Pending</t>
        </is>
      </c>
      <c r="O3916" s="401" t="n"/>
      <c r="P3916" s="22" t="n"/>
      <c r="Q3916" s="401" t="n"/>
      <c r="R3916" s="401" t="n"/>
      <c r="S3916" s="22" t="n"/>
      <c r="T3916" s="390" t="n"/>
      <c r="U3916" s="390" t="inlineStr">
        <is>
          <t>Không có thông tin</t>
        </is>
      </c>
      <c r="V3916" s="22" t="n"/>
      <c r="W3916" s="22" t="n"/>
      <c r="X3916" s="22" t="n"/>
      <c r="Y3916" s="22" t="n"/>
      <c r="Z3916" s="22" t="n"/>
      <c r="AA3916" s="22" t="n"/>
      <c r="AB3916" s="22" t="n"/>
      <c r="AC3916" s="22" t="n"/>
      <c r="AD3916" s="22" t="n"/>
      <c r="AE3916" s="22" t="n"/>
    </row>
    <row r="3917" ht="84" customHeight="1" s="380">
      <c r="A3917" s="126" t="n">
        <v>140</v>
      </c>
      <c r="B3917" s="390" t="n"/>
      <c r="C3917" s="390" t="inlineStr">
        <is>
          <t>Báo cáo tình hình hoạt động quý/năm - VPĐD Công ty chứng khoán nước ngoài tại Việt Nam</t>
        </is>
      </c>
      <c r="D3917" s="390" t="inlineStr">
        <is>
          <t>Hoạt động của văn phòng đại diện &gt;&gt; Xúc tiến hợp đồng ký giữa tổ chức nước ngoài và sác tổ chức kinh tế trong nước &gt;&gt; Ghi chú</t>
        </is>
      </c>
      <c r="E3917" s="390" t="inlineStr">
        <is>
          <t>Hoạt động của văn phòng đại diện &gt;&gt; Xúc tiến hợp đồng ký giữa tổ chức nước ngoài và sác tổ chức kinh tế trong nước &gt;&gt; Ghi chú</t>
        </is>
      </c>
      <c r="F3917" s="390" t="inlineStr">
        <is>
          <t>Data Explorer</t>
        </is>
      </c>
      <c r="G3917" s="390" t="inlineStr">
        <is>
          <t>Chỉ tiêu cơ sở</t>
        </is>
      </c>
      <c r="H3917" s="390" t="inlineStr">
        <is>
          <t>TB</t>
        </is>
      </c>
      <c r="I3917" s="390" t="inlineStr">
        <is>
          <t>Ngày, CTCK</t>
        </is>
      </c>
      <c r="J3917" s="401" t="inlineStr">
        <is>
          <t>SCMS</t>
        </is>
      </c>
      <c r="K3917" s="401" t="n"/>
      <c r="L3917" s="401" t="inlineStr">
        <is>
          <t>X</t>
        </is>
      </c>
      <c r="M3917" s="401" t="n"/>
      <c r="N3917" s="401" t="inlineStr">
        <is>
          <t>Pending</t>
        </is>
      </c>
      <c r="O3917" s="401" t="n"/>
      <c r="P3917" s="22" t="n"/>
      <c r="Q3917" s="401" t="n"/>
      <c r="R3917" s="401" t="n"/>
      <c r="S3917" s="22" t="n"/>
      <c r="T3917" s="390" t="n"/>
      <c r="U3917" s="390" t="inlineStr">
        <is>
          <t>Không có thông tin</t>
        </is>
      </c>
      <c r="V3917" s="22" t="n"/>
      <c r="W3917" s="22" t="n"/>
      <c r="X3917" s="22" t="n"/>
      <c r="Y3917" s="22" t="n"/>
      <c r="Z3917" s="22" t="n"/>
      <c r="AA3917" s="22" t="n"/>
      <c r="AB3917" s="22" t="n"/>
      <c r="AC3917" s="22" t="n"/>
      <c r="AD3917" s="22" t="n"/>
      <c r="AE3917" s="22" t="n"/>
    </row>
    <row r="3918" ht="56" customHeight="1" s="380">
      <c r="A3918" s="126" t="n">
        <v>140</v>
      </c>
      <c r="B3918" s="390" t="n"/>
      <c r="C3918" s="390" t="inlineStr">
        <is>
          <t>Báo cáo tình hình hoạt động quý/năm - VPĐD Công ty chứng khoán nước ngoài tại Việt Nam</t>
        </is>
      </c>
      <c r="D3918" s="390" t="inlineStr">
        <is>
          <t>Hoạt động của văn phòng đại diện &gt;&gt; Các hoạt động khác có liên quan &gt;&gt; Đối tác Việt Nam</t>
        </is>
      </c>
      <c r="E3918" s="390" t="inlineStr">
        <is>
          <t>Hoạt động của văn phòng đại diện &gt;&gt; Các hoạt động khác có liên quan &gt;&gt; Đối tác Việt Nam</t>
        </is>
      </c>
      <c r="F3918" s="390" t="inlineStr">
        <is>
          <t>Data Explorer</t>
        </is>
      </c>
      <c r="G3918" s="390" t="inlineStr">
        <is>
          <t>Chỉ tiêu cơ sở</t>
        </is>
      </c>
      <c r="H3918" s="390" t="inlineStr">
        <is>
          <t>TB</t>
        </is>
      </c>
      <c r="I3918" s="390" t="inlineStr">
        <is>
          <t>Ngày, CTCK</t>
        </is>
      </c>
      <c r="J3918" s="401" t="inlineStr">
        <is>
          <t>SCMS</t>
        </is>
      </c>
      <c r="K3918" s="401" t="n"/>
      <c r="L3918" s="401" t="inlineStr">
        <is>
          <t>X</t>
        </is>
      </c>
      <c r="M3918" s="401" t="n"/>
      <c r="N3918" s="401" t="inlineStr">
        <is>
          <t>Pending</t>
        </is>
      </c>
      <c r="O3918" s="401" t="n"/>
      <c r="P3918" s="22" t="n"/>
      <c r="Q3918" s="401" t="n"/>
      <c r="R3918" s="401" t="n"/>
      <c r="S3918" s="22" t="n"/>
      <c r="T3918" s="390" t="n"/>
      <c r="U3918" s="390" t="inlineStr">
        <is>
          <t>Không có thông tin</t>
        </is>
      </c>
      <c r="V3918" s="22" t="n"/>
      <c r="W3918" s="22" t="n"/>
      <c r="X3918" s="22" t="n"/>
      <c r="Y3918" s="22" t="n"/>
      <c r="Z3918" s="22" t="n"/>
      <c r="AA3918" s="22" t="n"/>
      <c r="AB3918" s="22" t="n"/>
      <c r="AC3918" s="22" t="n"/>
      <c r="AD3918" s="22" t="n"/>
      <c r="AE3918" s="22" t="n"/>
    </row>
    <row r="3919" ht="70" customHeight="1" s="380">
      <c r="A3919" s="126" t="n">
        <v>140</v>
      </c>
      <c r="B3919" s="390" t="n"/>
      <c r="C3919" s="390" t="inlineStr">
        <is>
          <t>Báo cáo tình hình hoạt động quý/năm - VPĐD Công ty chứng khoán nước ngoài tại Việt Nam</t>
        </is>
      </c>
      <c r="D3919" s="390" t="inlineStr">
        <is>
          <t>Hoạt động của văn phòng đại diện &gt;&gt; Các hoạt động khác có liên quan &gt;&gt;  Mục tiêu của Dự án</t>
        </is>
      </c>
      <c r="E3919" s="390" t="inlineStr">
        <is>
          <t>Hoạt động của văn phòng đại diện &gt;&gt; Các hoạt động khác có liên quan &gt;&gt;  Mục tiêu của Dự án</t>
        </is>
      </c>
      <c r="F3919" s="390" t="inlineStr">
        <is>
          <t>Data Explorer</t>
        </is>
      </c>
      <c r="G3919" s="390" t="inlineStr">
        <is>
          <t>Chỉ tiêu cơ sở</t>
        </is>
      </c>
      <c r="H3919" s="390" t="inlineStr">
        <is>
          <t>TB</t>
        </is>
      </c>
      <c r="I3919" s="390" t="inlineStr">
        <is>
          <t>Ngày, CTCK</t>
        </is>
      </c>
      <c r="J3919" s="401" t="inlineStr">
        <is>
          <t>SCMS</t>
        </is>
      </c>
      <c r="K3919" s="401" t="n"/>
      <c r="L3919" s="401" t="inlineStr">
        <is>
          <t>X</t>
        </is>
      </c>
      <c r="M3919" s="401" t="n"/>
      <c r="N3919" s="401" t="inlineStr">
        <is>
          <t>Pending</t>
        </is>
      </c>
      <c r="O3919" s="401" t="n"/>
      <c r="P3919" s="22" t="n"/>
      <c r="Q3919" s="401" t="n"/>
      <c r="R3919" s="401" t="n"/>
      <c r="S3919" s="22" t="n"/>
      <c r="T3919" s="390" t="n"/>
      <c r="U3919" s="390" t="inlineStr">
        <is>
          <t>Không có thông tin</t>
        </is>
      </c>
      <c r="V3919" s="22" t="n"/>
      <c r="W3919" s="22" t="n"/>
      <c r="X3919" s="22" t="n"/>
      <c r="Y3919" s="22" t="n"/>
      <c r="Z3919" s="22" t="n"/>
      <c r="AA3919" s="22" t="n"/>
      <c r="AB3919" s="22" t="n"/>
      <c r="AC3919" s="22" t="n"/>
      <c r="AD3919" s="22" t="n"/>
      <c r="AE3919" s="22" t="n"/>
    </row>
    <row r="3920" ht="56" customHeight="1" s="380">
      <c r="A3920" s="126" t="n">
        <v>140</v>
      </c>
      <c r="B3920" s="390" t="n"/>
      <c r="C3920" s="390" t="inlineStr">
        <is>
          <t>Báo cáo tình hình hoạt động quý/năm - VPĐD Công ty chứng khoán nước ngoài tại Việt Nam</t>
        </is>
      </c>
      <c r="D3920" s="390" t="inlineStr">
        <is>
          <t>Hoạt động của văn phòng đại diện &gt;&gt; Các hoạt động khác có liên quan &gt;&gt; Giá trị (USD)</t>
        </is>
      </c>
      <c r="E3920" s="390" t="inlineStr">
        <is>
          <t>Hoạt động của văn phòng đại diện &gt;&gt; Các hoạt động khác có liên quan &gt;&gt; Giá trị (USD)</t>
        </is>
      </c>
      <c r="F3920" s="390" t="inlineStr">
        <is>
          <t>Data Explorer</t>
        </is>
      </c>
      <c r="G3920" s="390" t="inlineStr">
        <is>
          <t>Chỉ tiêu cơ sở</t>
        </is>
      </c>
      <c r="H3920" s="390" t="inlineStr">
        <is>
          <t>TB</t>
        </is>
      </c>
      <c r="I3920" s="390" t="inlineStr">
        <is>
          <t>Ngày, CTCK</t>
        </is>
      </c>
      <c r="J3920" s="401" t="inlineStr">
        <is>
          <t>SCMS</t>
        </is>
      </c>
      <c r="K3920" s="401" t="n"/>
      <c r="L3920" s="401" t="inlineStr">
        <is>
          <t>X</t>
        </is>
      </c>
      <c r="M3920" s="401" t="n"/>
      <c r="N3920" s="401" t="inlineStr">
        <is>
          <t>Pending</t>
        </is>
      </c>
      <c r="O3920" s="401" t="n"/>
      <c r="P3920" s="22" t="n"/>
      <c r="Q3920" s="401" t="n"/>
      <c r="R3920" s="401" t="n"/>
      <c r="S3920" s="22" t="n"/>
      <c r="T3920" s="390" t="n"/>
      <c r="U3920" s="390" t="inlineStr">
        <is>
          <t>Không có thông tin</t>
        </is>
      </c>
      <c r="V3920" s="22" t="n"/>
      <c r="W3920" s="22" t="n"/>
      <c r="X3920" s="22" t="n"/>
      <c r="Y3920" s="22" t="n"/>
      <c r="Z3920" s="22" t="n"/>
      <c r="AA3920" s="22" t="n"/>
      <c r="AB3920" s="22" t="n"/>
      <c r="AC3920" s="22" t="n"/>
      <c r="AD3920" s="22" t="n"/>
      <c r="AE3920" s="22" t="n"/>
    </row>
    <row r="3921" ht="56" customHeight="1" s="380">
      <c r="A3921" s="126" t="n">
        <v>140</v>
      </c>
      <c r="B3921" s="390" t="n"/>
      <c r="C3921" s="390" t="inlineStr">
        <is>
          <t>Báo cáo tình hình hoạt động quý/năm - VPĐD Công ty chứng khoán nước ngoài tại Việt Nam</t>
        </is>
      </c>
      <c r="D3921" s="390" t="inlineStr">
        <is>
          <t>Hoạt động của văn phòng đại diện &gt;&gt; Các hoạt động khác có liên quan &gt;&gt; Ghi chú</t>
        </is>
      </c>
      <c r="E3921" s="390" t="inlineStr">
        <is>
          <t>Hoạt động của văn phòng đại diện &gt;&gt; Các hoạt động khác có liên quan &gt;&gt; Ghi chú</t>
        </is>
      </c>
      <c r="F3921" s="390" t="inlineStr">
        <is>
          <t>Data Explorer</t>
        </is>
      </c>
      <c r="G3921" s="390" t="inlineStr">
        <is>
          <t>Chỉ tiêu cơ sở</t>
        </is>
      </c>
      <c r="H3921" s="390" t="inlineStr">
        <is>
          <t>TB</t>
        </is>
      </c>
      <c r="I3921" s="390" t="inlineStr">
        <is>
          <t>Ngày, CTCK</t>
        </is>
      </c>
      <c r="J3921" s="401" t="inlineStr">
        <is>
          <t>SCMS</t>
        </is>
      </c>
      <c r="K3921" s="401" t="n"/>
      <c r="L3921" s="401" t="inlineStr">
        <is>
          <t>X</t>
        </is>
      </c>
      <c r="M3921" s="401" t="n"/>
      <c r="N3921" s="401" t="inlineStr">
        <is>
          <t>Pending</t>
        </is>
      </c>
      <c r="O3921" s="401" t="n"/>
      <c r="P3921" s="22" t="n"/>
      <c r="Q3921" s="401" t="n"/>
      <c r="R3921" s="401" t="n"/>
      <c r="S3921" s="22" t="n"/>
      <c r="T3921" s="390" t="n"/>
      <c r="U3921" s="390" t="inlineStr">
        <is>
          <t>Không có thông tin</t>
        </is>
      </c>
      <c r="V3921" s="22" t="n"/>
      <c r="W3921" s="22" t="n"/>
      <c r="X3921" s="22" t="n"/>
      <c r="Y3921" s="22" t="n"/>
      <c r="Z3921" s="22" t="n"/>
      <c r="AA3921" s="22" t="n"/>
      <c r="AB3921" s="22" t="n"/>
      <c r="AC3921" s="22" t="n"/>
      <c r="AD3921" s="22" t="n"/>
      <c r="AE3921" s="22" t="n"/>
    </row>
    <row r="3922" ht="70" customHeight="1" s="380">
      <c r="A3922" s="126" t="n">
        <v>140</v>
      </c>
      <c r="B3922" s="390" t="n"/>
      <c r="C3922" s="390" t="inlineStr">
        <is>
          <t>Báo cáo tình hình hoạt động quý/năm - VPĐD Công ty chứng khoán nước ngoài tại Việt Nam</t>
        </is>
      </c>
      <c r="D3922" s="390" t="inlineStr">
        <is>
          <t>Tổng quan chung về tình hình đầu tư của công ty mẹ tại Việt Nam &gt;&gt; Tên Quỹ đầu tư/Dự án tại Việt Nam</t>
        </is>
      </c>
      <c r="E3922" s="390" t="inlineStr">
        <is>
          <t>Tổng quan chung về tình hình đầu tư của công ty mẹ tại Việt Nam &gt;&gt; Tên Quỹ đầu tư/Dự án tại Việt Nam</t>
        </is>
      </c>
      <c r="F3922" s="390" t="inlineStr">
        <is>
          <t>Data Explorer</t>
        </is>
      </c>
      <c r="G3922" s="390" t="inlineStr">
        <is>
          <t>Chỉ tiêu cơ sở</t>
        </is>
      </c>
      <c r="H3922" s="390" t="inlineStr">
        <is>
          <t>TB</t>
        </is>
      </c>
      <c r="I3922" s="390" t="inlineStr">
        <is>
          <t>Ngày, CTCK</t>
        </is>
      </c>
      <c r="J3922" s="401" t="inlineStr">
        <is>
          <t>SCMS</t>
        </is>
      </c>
      <c r="K3922" s="401" t="n"/>
      <c r="L3922" s="401" t="inlineStr">
        <is>
          <t>X</t>
        </is>
      </c>
      <c r="M3922" s="401" t="n"/>
      <c r="N3922" s="401" t="inlineStr">
        <is>
          <t>Pending</t>
        </is>
      </c>
      <c r="O3922" s="401" t="n"/>
      <c r="P3922" s="22" t="n"/>
      <c r="Q3922" s="401" t="n"/>
      <c r="R3922" s="401" t="n"/>
      <c r="S3922" s="22" t="n"/>
      <c r="T3922" s="390" t="n"/>
      <c r="U3922" s="390" t="inlineStr">
        <is>
          <t>Không có thông tin</t>
        </is>
      </c>
      <c r="V3922" s="22" t="n"/>
      <c r="W3922" s="22" t="n"/>
      <c r="X3922" s="22" t="n"/>
      <c r="Y3922" s="22" t="n"/>
      <c r="Z3922" s="22" t="n"/>
      <c r="AA3922" s="22" t="n"/>
      <c r="AB3922" s="22" t="n"/>
      <c r="AC3922" s="22" t="n"/>
      <c r="AD3922" s="22" t="n"/>
      <c r="AE3922" s="22" t="n"/>
    </row>
    <row r="3923" ht="84" customHeight="1" s="380">
      <c r="A3923" s="126" t="n">
        <v>140</v>
      </c>
      <c r="B3923" s="390" t="n"/>
      <c r="C3923" s="390" t="inlineStr">
        <is>
          <t>Báo cáo tình hình hoạt động quý/năm - VPĐD Công ty chứng khoán nước ngoài tại Việt Nam</t>
        </is>
      </c>
      <c r="D3923" s="390" t="inlineStr">
        <is>
          <t>Tổng quan chung về tình hình đầu tư của công ty mẹ tại Việt Nam &gt;&gt; Mã số giao dịch chứng khoán của Quỹ/số giấy phép của dự án</t>
        </is>
      </c>
      <c r="E3923" s="390" t="inlineStr">
        <is>
          <t>Tổng quan chung về tình hình đầu tư của công ty mẹ tại Việt Nam &gt;&gt; Mã số giao dịch chứng khoán của Quỹ/số giấy phép của dự án</t>
        </is>
      </c>
      <c r="F3923" s="390" t="inlineStr">
        <is>
          <t>Data Explorer</t>
        </is>
      </c>
      <c r="G3923" s="390" t="inlineStr">
        <is>
          <t>Chỉ tiêu cơ sở</t>
        </is>
      </c>
      <c r="H3923" s="390" t="inlineStr">
        <is>
          <t>TB</t>
        </is>
      </c>
      <c r="I3923" s="390" t="inlineStr">
        <is>
          <t>Ngày, CTCK</t>
        </is>
      </c>
      <c r="J3923" s="401" t="inlineStr">
        <is>
          <t>SCMS</t>
        </is>
      </c>
      <c r="K3923" s="401" t="n"/>
      <c r="L3923" s="401" t="inlineStr">
        <is>
          <t>X</t>
        </is>
      </c>
      <c r="M3923" s="401" t="n"/>
      <c r="N3923" s="401" t="inlineStr">
        <is>
          <t>Pending</t>
        </is>
      </c>
      <c r="O3923" s="401" t="n"/>
      <c r="P3923" s="22" t="n"/>
      <c r="Q3923" s="401" t="n"/>
      <c r="R3923" s="401" t="n"/>
      <c r="S3923" s="22" t="n"/>
      <c r="T3923" s="390" t="n"/>
      <c r="U3923" s="390" t="inlineStr">
        <is>
          <t>Không có thông tin</t>
        </is>
      </c>
      <c r="V3923" s="22" t="n"/>
      <c r="W3923" s="22" t="n"/>
      <c r="X3923" s="22" t="n"/>
      <c r="Y3923" s="22" t="n"/>
      <c r="Z3923" s="22" t="n"/>
      <c r="AA3923" s="22" t="n"/>
      <c r="AB3923" s="22" t="n"/>
      <c r="AC3923" s="22" t="n"/>
      <c r="AD3923" s="22" t="n"/>
      <c r="AE3923" s="22" t="n"/>
    </row>
    <row r="3924" ht="84" customHeight="1" s="380">
      <c r="A3924" s="126" t="n">
        <v>140</v>
      </c>
      <c r="B3924" s="390" t="n"/>
      <c r="C3924" s="390" t="inlineStr">
        <is>
          <t>Báo cáo tình hình hoạt động quý/năm - VPĐD Công ty chứng khoán nước ngoài tại Việt Nam</t>
        </is>
      </c>
      <c r="D3924" s="390" t="inlineStr">
        <is>
          <t>Tổng quan chung về tình hình đầu tư của công ty mẹ tại Việt Nam &gt;&gt; Tổng giá trị danh mục đầu tư/Tổng giá trị đầu tư tại Việt Nam (USD)</t>
        </is>
      </c>
      <c r="E3924" s="390" t="inlineStr">
        <is>
          <t>Tổng quan chung về tình hình đầu tư của công ty mẹ tại Việt Nam &gt;&gt; Tổng giá trị danh mục đầu tư/Tổng giá trị đầu tư tại Việt Nam (USD)</t>
        </is>
      </c>
      <c r="F3924" s="390" t="inlineStr">
        <is>
          <t>Data Explorer</t>
        </is>
      </c>
      <c r="G3924" s="390" t="inlineStr">
        <is>
          <t>Chỉ tiêu cơ sở</t>
        </is>
      </c>
      <c r="H3924" s="390" t="inlineStr">
        <is>
          <t>TB</t>
        </is>
      </c>
      <c r="I3924" s="390" t="inlineStr">
        <is>
          <t>Ngày, CTCK</t>
        </is>
      </c>
      <c r="J3924" s="401" t="inlineStr">
        <is>
          <t>SCMS</t>
        </is>
      </c>
      <c r="K3924" s="401" t="n"/>
      <c r="L3924" s="401" t="inlineStr">
        <is>
          <t>X</t>
        </is>
      </c>
      <c r="M3924" s="401" t="n"/>
      <c r="N3924" s="401" t="inlineStr">
        <is>
          <t>Pending</t>
        </is>
      </c>
      <c r="O3924" s="401" t="n"/>
      <c r="P3924" s="22" t="n"/>
      <c r="Q3924" s="401" t="n"/>
      <c r="R3924" s="401" t="n"/>
      <c r="S3924" s="22" t="n"/>
      <c r="T3924" s="390" t="n"/>
      <c r="U3924" s="390" t="inlineStr">
        <is>
          <t>Không có thông tin</t>
        </is>
      </c>
      <c r="V3924" s="22" t="n"/>
      <c r="W3924" s="22" t="n"/>
      <c r="X3924" s="22" t="n"/>
      <c r="Y3924" s="22" t="n"/>
      <c r="Z3924" s="22" t="n"/>
      <c r="AA3924" s="22" t="n"/>
      <c r="AB3924" s="22" t="n"/>
      <c r="AC3924" s="22" t="n"/>
      <c r="AD3924" s="22" t="n"/>
      <c r="AE3924" s="22" t="n"/>
    </row>
    <row r="3925" ht="56" customHeight="1" s="380">
      <c r="A3925" s="128" t="n">
        <v>140</v>
      </c>
      <c r="B3925" s="129" t="n"/>
      <c r="C3925" s="129" t="inlineStr">
        <is>
          <t>Báo cáo tình hình hoạt động quý/năm - VPĐD Công ty chứng khoán nước ngoài tại Việt Nam</t>
        </is>
      </c>
      <c r="D3925" s="129" t="inlineStr">
        <is>
          <t>Tổng quan chung về tình hình đầu tư của công ty mẹ tại Việt Nam &gt;&gt; Ghi chú</t>
        </is>
      </c>
      <c r="E3925" s="129" t="inlineStr">
        <is>
          <t>Tổng quan chung về tình hình đầu tư của công ty mẹ tại Việt Nam &gt;&gt; Ghi chú</t>
        </is>
      </c>
      <c r="F3925" s="129" t="inlineStr">
        <is>
          <t>Data Explorer</t>
        </is>
      </c>
      <c r="G3925" s="129" t="inlineStr">
        <is>
          <t>Chỉ tiêu cơ sở</t>
        </is>
      </c>
      <c r="H3925" s="129" t="inlineStr">
        <is>
          <t>TB</t>
        </is>
      </c>
      <c r="I3925" s="129" t="inlineStr">
        <is>
          <t>Ngày, CTCK</t>
        </is>
      </c>
      <c r="J3925" s="85" t="inlineStr">
        <is>
          <t>SCMS</t>
        </is>
      </c>
      <c r="K3925" s="85" t="n"/>
      <c r="L3925" s="85" t="inlineStr">
        <is>
          <t>X</t>
        </is>
      </c>
      <c r="M3925" s="85" t="n"/>
      <c r="N3925" s="85" t="inlineStr">
        <is>
          <t>Pending</t>
        </is>
      </c>
      <c r="O3925" s="85" t="n"/>
      <c r="P3925" s="130" t="n"/>
      <c r="Q3925" s="85" t="n"/>
      <c r="R3925" s="85" t="n"/>
      <c r="S3925" s="130" t="n"/>
      <c r="T3925" s="129" t="n"/>
      <c r="U3925" s="129" t="inlineStr">
        <is>
          <t>Không có thông tin</t>
        </is>
      </c>
      <c r="V3925" s="130" t="n"/>
      <c r="W3925" s="130" t="n"/>
      <c r="X3925" s="130" t="n"/>
      <c r="Y3925" s="130" t="n"/>
      <c r="Z3925" s="130" t="n"/>
      <c r="AA3925" s="130" t="n"/>
      <c r="AB3925" s="130" t="n"/>
      <c r="AC3925" s="130" t="n"/>
      <c r="AD3925" s="130" t="n"/>
      <c r="AE3925" s="130" t="n"/>
    </row>
    <row r="3926" ht="42" customHeight="1" s="380">
      <c r="A3926" s="153" t="n">
        <v>141</v>
      </c>
      <c r="B3926" s="140" t="inlineStr">
        <is>
          <t>Nga</t>
        </is>
      </c>
      <c r="C3926" s="154" t="inlineStr">
        <is>
          <t>Báo cáo về tài sản bảo đảm thanh toán của Ngân hàng lưu ký - X</t>
        </is>
      </c>
      <c r="D3926" s="106" t="inlineStr">
        <is>
          <t>Loại báo cáo</t>
        </is>
      </c>
      <c r="E3926" s="107" t="inlineStr">
        <is>
          <t>Loại báo cáo</t>
        </is>
      </c>
      <c r="F3926" s="16" t="inlineStr">
        <is>
          <t>Data Explorer</t>
        </is>
      </c>
      <c r="G3926" s="16" t="inlineStr">
        <is>
          <t>Chiều</t>
        </is>
      </c>
      <c r="H3926" s="16" t="inlineStr">
        <is>
          <t>Dễ</t>
        </is>
      </c>
      <c r="I3926" s="16" t="inlineStr">
        <is>
          <t>Ngày, CTCK</t>
        </is>
      </c>
      <c r="J3926" s="22" t="inlineStr">
        <is>
          <t>SCMS</t>
        </is>
      </c>
      <c r="K3926" s="22" t="inlineStr">
        <is>
          <t>X</t>
        </is>
      </c>
      <c r="L3926" s="22" t="inlineStr">
        <is>
          <t>X</t>
        </is>
      </c>
      <c r="M3926" s="22" t="n"/>
      <c r="N3926" s="401" t="inlineStr">
        <is>
          <t>Done</t>
        </is>
      </c>
      <c r="O3926" s="401" t="n"/>
      <c r="P3926" s="401" t="n"/>
      <c r="Q3926" s="404" t="inlineStr">
        <is>
          <t>SCMS.BM_BAO_CAO
SCMS.BM_BAO_CAO_DINH_KY</t>
        </is>
      </c>
      <c r="R3926" s="404" t="inlineStr">
        <is>
          <t>bm.ID,
bm.MA_BAO_CAO,
bm.LOAI_BAO_CAO,
bm.TEN_BAO_CAO,
bm.SU_DUNG,
bdk.BM_BAO_CAO_ID,
bdk.KY_BAO_CAO,
bdk.SU_DUNG</t>
        </is>
      </c>
      <c r="S3926" s="401" t="n"/>
      <c r="T3926" s="389" t="inlineStr">
        <is>
          <t>-- Loại BC / Kỳ BC / Mã BC / Tên BC (chiều DWH – dùng chung)
-- MA_BAO_CAO: BCVTSBDTT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 'BCVTSBDTT'
        AND bm.SU_DUNG = 1
ORDER BY bdk.KY_BAO_CAO;</t>
        </is>
      </c>
      <c r="U3926" s="401" t="n"/>
      <c r="V3926" s="22" t="n"/>
      <c r="W3926" s="22" t="n"/>
      <c r="X3926" s="22" t="n"/>
      <c r="Y3926" s="22" t="n"/>
      <c r="Z3926" s="22" t="n"/>
      <c r="AA3926" s="22" t="n"/>
      <c r="AB3926" s="22" t="n"/>
      <c r="AC3926" s="22" t="n"/>
      <c r="AD3926" s="22" t="n"/>
      <c r="AE3926" s="22" t="n"/>
    </row>
    <row r="3927" ht="42" customHeight="1" s="380">
      <c r="A3927" s="153" t="n">
        <v>141</v>
      </c>
      <c r="B3927" s="16" t="n"/>
      <c r="C3927" s="16" t="inlineStr">
        <is>
          <t>Báo cáo về tài sản bảo đảm thanh toán của Ngân hàng lưu ký - X</t>
        </is>
      </c>
      <c r="D3927" s="106" t="inlineStr">
        <is>
          <t>Kỳ báo cáo</t>
        </is>
      </c>
      <c r="E3927" s="107" t="inlineStr">
        <is>
          <t>Kỳ báo cáo</t>
        </is>
      </c>
      <c r="F3927" s="16" t="inlineStr">
        <is>
          <t>Data Explorer</t>
        </is>
      </c>
      <c r="G3927" s="16" t="inlineStr">
        <is>
          <t>Chiều</t>
        </is>
      </c>
      <c r="H3927" s="16" t="inlineStr">
        <is>
          <t>Dễ</t>
        </is>
      </c>
      <c r="I3927" s="16" t="inlineStr">
        <is>
          <t>Ngày, CTCK</t>
        </is>
      </c>
      <c r="J3927" s="22" t="inlineStr">
        <is>
          <t>SCMS</t>
        </is>
      </c>
      <c r="K3927" s="22" t="inlineStr">
        <is>
          <t>X</t>
        </is>
      </c>
      <c r="L3927" s="22" t="inlineStr">
        <is>
          <t>X</t>
        </is>
      </c>
      <c r="M3927" s="22" t="n"/>
      <c r="N3927" s="401" t="inlineStr">
        <is>
          <t>Done</t>
        </is>
      </c>
      <c r="O3927" s="401" t="n"/>
      <c r="P3927" s="401" t="n"/>
      <c r="S3927" s="401" t="n"/>
      <c r="U3927" s="401" t="n"/>
      <c r="V3927" s="22" t="n"/>
      <c r="W3927" s="22" t="n"/>
      <c r="X3927" s="22" t="n"/>
      <c r="Y3927" s="22" t="n"/>
      <c r="Z3927" s="22" t="n"/>
      <c r="AA3927" s="22" t="n"/>
      <c r="AB3927" s="22" t="n"/>
      <c r="AC3927" s="22" t="n"/>
      <c r="AD3927" s="22" t="n"/>
      <c r="AE3927" s="22" t="n"/>
    </row>
    <row r="3928" ht="42" customHeight="1" s="380">
      <c r="A3928" s="153" t="n">
        <v>141</v>
      </c>
      <c r="B3928" s="16" t="n"/>
      <c r="C3928" s="16" t="inlineStr">
        <is>
          <t>Báo cáo về tài sản bảo đảm thanh toán của Ngân hàng lưu ký - X</t>
        </is>
      </c>
      <c r="D3928" s="106" t="inlineStr">
        <is>
          <t>Mã báo cáo</t>
        </is>
      </c>
      <c r="E3928" s="107" t="inlineStr">
        <is>
          <t>Mã báo cáo</t>
        </is>
      </c>
      <c r="F3928" s="16" t="inlineStr">
        <is>
          <t>Data Explorer</t>
        </is>
      </c>
      <c r="G3928" s="16" t="inlineStr">
        <is>
          <t>Chiều</t>
        </is>
      </c>
      <c r="H3928" s="16" t="inlineStr">
        <is>
          <t>Dễ</t>
        </is>
      </c>
      <c r="I3928" s="16" t="inlineStr">
        <is>
          <t>Ngày, CTCK</t>
        </is>
      </c>
      <c r="J3928" s="22" t="inlineStr">
        <is>
          <t>SCMS</t>
        </is>
      </c>
      <c r="K3928" s="22" t="inlineStr">
        <is>
          <t>X</t>
        </is>
      </c>
      <c r="L3928" s="22" t="inlineStr">
        <is>
          <t>X</t>
        </is>
      </c>
      <c r="M3928" s="22" t="n"/>
      <c r="N3928" s="401" t="inlineStr">
        <is>
          <t>Done</t>
        </is>
      </c>
      <c r="O3928" s="401" t="n"/>
      <c r="P3928" s="401" t="n"/>
      <c r="S3928" s="401" t="n"/>
      <c r="U3928" s="401" t="n"/>
      <c r="V3928" s="22" t="n"/>
      <c r="W3928" s="22" t="n"/>
      <c r="X3928" s="22" t="n"/>
      <c r="Y3928" s="22" t="n"/>
      <c r="Z3928" s="22" t="n"/>
      <c r="AA3928" s="22" t="n"/>
      <c r="AB3928" s="22" t="n"/>
      <c r="AC3928" s="22" t="n"/>
      <c r="AD3928" s="22" t="n"/>
      <c r="AE3928" s="22" t="n"/>
    </row>
    <row r="3929" ht="42" customHeight="1" s="380">
      <c r="A3929" s="153" t="n">
        <v>141</v>
      </c>
      <c r="B3929" s="16" t="n"/>
      <c r="C3929" s="16" t="inlineStr">
        <is>
          <t>Báo cáo về tài sản bảo đảm thanh toán của Ngân hàng lưu ký - X</t>
        </is>
      </c>
      <c r="D3929" s="106" t="inlineStr">
        <is>
          <t>Tên báo cáo</t>
        </is>
      </c>
      <c r="E3929" s="107" t="inlineStr">
        <is>
          <t>Tên báo cáo</t>
        </is>
      </c>
      <c r="F3929" s="16" t="inlineStr">
        <is>
          <t>Data Explorer</t>
        </is>
      </c>
      <c r="G3929" s="16" t="inlineStr">
        <is>
          <t>Chiều</t>
        </is>
      </c>
      <c r="H3929" s="16" t="inlineStr">
        <is>
          <t>Dễ</t>
        </is>
      </c>
      <c r="I3929" s="16" t="inlineStr">
        <is>
          <t>Ngày, CTCK</t>
        </is>
      </c>
      <c r="J3929" s="22" t="inlineStr">
        <is>
          <t>SCMS</t>
        </is>
      </c>
      <c r="K3929" s="22" t="inlineStr">
        <is>
          <t>X</t>
        </is>
      </c>
      <c r="L3929" s="22" t="inlineStr">
        <is>
          <t>X</t>
        </is>
      </c>
      <c r="M3929" s="22" t="n"/>
      <c r="N3929" s="401" t="inlineStr">
        <is>
          <t>Done</t>
        </is>
      </c>
      <c r="O3929" s="401" t="n"/>
      <c r="P3929" s="401" t="n"/>
      <c r="S3929" s="401" t="n"/>
      <c r="U3929" s="401" t="n"/>
      <c r="V3929" s="22" t="n"/>
      <c r="W3929" s="22" t="n"/>
      <c r="X3929" s="22" t="n"/>
      <c r="Y3929" s="22" t="n"/>
      <c r="Z3929" s="22" t="n"/>
      <c r="AA3929" s="22" t="n"/>
      <c r="AB3929" s="22" t="n"/>
      <c r="AC3929" s="22" t="n"/>
      <c r="AD3929" s="22" t="n"/>
      <c r="AE3929" s="22" t="n"/>
    </row>
    <row r="3930" ht="42" customHeight="1" s="380">
      <c r="A3930" s="153" t="n">
        <v>141</v>
      </c>
      <c r="B3930" s="16" t="n"/>
      <c r="C3930" s="16" t="inlineStr">
        <is>
          <t>Báo cáo về tài sản bảo đảm thanh toán của Ngân hàng lưu ký - X</t>
        </is>
      </c>
      <c r="D3930" s="106" t="inlineStr">
        <is>
          <t>Mã sheet</t>
        </is>
      </c>
      <c r="E3930" s="106" t="inlineStr">
        <is>
          <t>Mã sheet</t>
        </is>
      </c>
      <c r="F3930" s="16" t="inlineStr">
        <is>
          <t>Data Explorer</t>
        </is>
      </c>
      <c r="G3930" s="16" t="inlineStr">
        <is>
          <t>Chiều</t>
        </is>
      </c>
      <c r="H3930" s="16" t="inlineStr">
        <is>
          <t>Dễ</t>
        </is>
      </c>
      <c r="I3930" s="16" t="inlineStr">
        <is>
          <t>Ngày, CTCK</t>
        </is>
      </c>
      <c r="J3930" s="22" t="inlineStr">
        <is>
          <t>SCMS</t>
        </is>
      </c>
      <c r="K3930" s="22" t="inlineStr">
        <is>
          <t>X</t>
        </is>
      </c>
      <c r="L3930" s="22" t="inlineStr">
        <is>
          <t>X</t>
        </is>
      </c>
      <c r="M3930" s="22" t="n"/>
      <c r="N3930" s="401" t="inlineStr">
        <is>
          <t>Done</t>
        </is>
      </c>
      <c r="O3930" s="401" t="n"/>
      <c r="P3930" s="401" t="n"/>
      <c r="Q3930" s="401" t="inlineStr">
        <is>
          <t>SCMS.BM_BAO_CAO
SCMS.BM_SHEET</t>
        </is>
      </c>
      <c r="R3930" s="401" t="inlineStr">
        <is>
          <t>bm.ID,
bm.MA_BAO_CAO,
bm.SU_DUNG,
s.BM_BAO_CAO_ID,
s.MA_SHEET,
s.TEN_SHEET,
s.SAP_XEP</t>
        </is>
      </c>
      <c r="S3930" s="401" t="n"/>
      <c r="T3930" s="389" t="inlineStr">
        <is>
          <t>-- Mã sheet / Tên sheet
-- MA_SHEET: X
SELECT bm.MA_BAO_CAO,
s.MA_SHEET,
s.TEN_SHEET
FROM SCMS.BM_BAO_CAO bm
JOIN SCMS.BM_SHEET s ON s.BM_BAO_CAO_ID = bm.ID
WHERE bm.MA_BAO_CAO = 'BCVTSBDTT'
AND s.MA_SHEET = 'X'  -- Check lại data chuẩn
AND bm.SU_DUNG = 1
ORDER BY bm.MA_BAO_CAO, s.SAP_XEP;</t>
        </is>
      </c>
      <c r="U3930" s="401" t="n"/>
      <c r="V3930" s="22" t="n"/>
      <c r="W3930" s="22" t="n"/>
      <c r="X3930" s="22" t="n"/>
      <c r="Y3930" s="22" t="n"/>
      <c r="Z3930" s="22" t="n"/>
      <c r="AA3930" s="22" t="n"/>
      <c r="AB3930" s="22" t="n"/>
      <c r="AC3930" s="22" t="n"/>
      <c r="AD3930" s="22" t="n"/>
      <c r="AE3930" s="22" t="n"/>
    </row>
    <row r="3931" ht="42" customHeight="1" s="380">
      <c r="A3931" s="153" t="n">
        <v>141</v>
      </c>
      <c r="B3931" s="16" t="n"/>
      <c r="C3931" s="16" t="inlineStr">
        <is>
          <t>Báo cáo về tài sản bảo đảm thanh toán của Ngân hàng lưu ký - X</t>
        </is>
      </c>
      <c r="D3931" s="106" t="inlineStr">
        <is>
          <t>Tên sheet</t>
        </is>
      </c>
      <c r="E3931" s="106" t="inlineStr">
        <is>
          <t>Tên sheet</t>
        </is>
      </c>
      <c r="F3931" s="16" t="inlineStr">
        <is>
          <t>Data Explorer</t>
        </is>
      </c>
      <c r="G3931" s="16" t="inlineStr">
        <is>
          <t>Chiều</t>
        </is>
      </c>
      <c r="H3931" s="16" t="inlineStr">
        <is>
          <t>Dễ</t>
        </is>
      </c>
      <c r="I3931" s="16" t="inlineStr">
        <is>
          <t>Ngày, CTCK</t>
        </is>
      </c>
      <c r="J3931" s="22" t="inlineStr">
        <is>
          <t>SCMS</t>
        </is>
      </c>
      <c r="K3931" s="22" t="inlineStr">
        <is>
          <t>X</t>
        </is>
      </c>
      <c r="L3931" s="22" t="inlineStr">
        <is>
          <t>X</t>
        </is>
      </c>
      <c r="M3931" s="22" t="n"/>
      <c r="N3931" s="401" t="inlineStr">
        <is>
          <t>Done</t>
        </is>
      </c>
      <c r="O3931" s="401" t="n"/>
      <c r="P3931" s="401" t="n"/>
      <c r="S3931" s="401" t="n"/>
      <c r="U3931" s="401" t="n"/>
      <c r="V3931" s="22" t="n"/>
      <c r="W3931" s="22" t="n"/>
      <c r="X3931" s="22" t="n"/>
      <c r="Y3931" s="22" t="n"/>
      <c r="Z3931" s="22" t="n"/>
      <c r="AA3931" s="22" t="n"/>
      <c r="AB3931" s="22" t="n"/>
      <c r="AC3931" s="22" t="n"/>
      <c r="AD3931" s="22" t="n"/>
      <c r="AE3931" s="22" t="n"/>
    </row>
    <row r="3932" ht="42" customHeight="1" s="380">
      <c r="A3932" s="153" t="n">
        <v>141</v>
      </c>
      <c r="B3932" s="16" t="n"/>
      <c r="C3932" s="16" t="inlineStr">
        <is>
          <t>Báo cáo về tài sản bảo đảm thanh toán của Ngân hàng lưu ký - X</t>
        </is>
      </c>
      <c r="D3932" s="106" t="inlineStr">
        <is>
          <t>Mã chỉ tiêu</t>
        </is>
      </c>
      <c r="E3932" s="107" t="inlineStr">
        <is>
          <t>Mã chỉ tiêu</t>
        </is>
      </c>
      <c r="F3932" s="16" t="inlineStr">
        <is>
          <t>Data Explorer</t>
        </is>
      </c>
      <c r="G3932" s="16" t="inlineStr">
        <is>
          <t>Chiều</t>
        </is>
      </c>
      <c r="H3932" s="16" t="inlineStr">
        <is>
          <t>Dễ</t>
        </is>
      </c>
      <c r="I3932" s="16" t="inlineStr">
        <is>
          <t>Ngày, CTCK</t>
        </is>
      </c>
      <c r="J3932" s="22" t="inlineStr">
        <is>
          <t>SCMS</t>
        </is>
      </c>
      <c r="K3932" s="22" t="inlineStr">
        <is>
          <t>X</t>
        </is>
      </c>
      <c r="L3932" s="22" t="inlineStr">
        <is>
          <t>X</t>
        </is>
      </c>
      <c r="M3932" s="22" t="n"/>
      <c r="N3932" s="401" t="inlineStr">
        <is>
          <t>Done</t>
        </is>
      </c>
      <c r="O3932" s="401" t="n"/>
      <c r="P3932" s="401" t="n"/>
      <c r="Q3932" s="401" t="inlineStr">
        <is>
          <t>SCMS.BM_BAO_CAO
SCMS.BM_SHEET
SCMS.BM_BAO_CAO_CT
SCMS.DM_CHI_TIEU</t>
        </is>
      </c>
      <c r="R3932" s="402" t="inlineStr">
        <is>
          <t>dct.ID,
dct.MA_CHI_TIEU,
dct.TEN_CHI_TIEU,
dct.SU_DUNG,
s.BM_BAO_CAO_ID,
s.MA_SHEET,
ct.BM_BAO_CAO_ID,
ct.DM_CHI_TIEU_ID,
ct.SU_DUNG,
bm.ID,
bm.MA_BAO_CAO,
bm.SU_DUNG</t>
        </is>
      </c>
      <c r="S3932" s="401" t="n"/>
      <c r="T3932" s="389" t="inlineStr">
        <is>
          <t>-- Mã chỉ tiêu / Tên chỉ tiêu
SELECT DISTINCT
    dct.MA_CHI_TIEU  AS ma_chi_tieu,
    dct.TEN_CHI_TIEU AS ten_chi_tieu
FROM SCMS.BM_BAO_CAO bm
JOIN SCMS.BM_SHEET s ON s.BM_BAO_CAO_ID = bm.ID
	AND s.MA_SHEET = 'X'
JOIN SCMS.BM_BAO_CAO_CT ct ON ct.BM_SHEET_ID = s.ID
	AND ct.SU_DUNG = 1
JOIN SCMS.DM_CHI_TIEU dct ON dct.ID = ct.DM_CHI_TIEU_ID
	AND dct.SU_DUNG = 1
WHERE bm.MA_BAO_CAO = 'BCVTSBDTT'
	AND bm.SU_DUNG = 1
ORDER BY dct.MA_CHI_TIEU;</t>
        </is>
      </c>
      <c r="U3932" s="401" t="n"/>
      <c r="V3932" s="22" t="n"/>
      <c r="W3932" s="22" t="n"/>
      <c r="X3932" s="22" t="n"/>
      <c r="Y3932" s="22" t="n"/>
      <c r="Z3932" s="22" t="n"/>
      <c r="AA3932" s="22" t="n"/>
      <c r="AB3932" s="22" t="n"/>
      <c r="AC3932" s="22" t="n"/>
      <c r="AD3932" s="22" t="n"/>
      <c r="AE3932" s="22" t="n"/>
    </row>
    <row r="3933" ht="42" customHeight="1" s="380">
      <c r="A3933" s="153" t="n">
        <v>141</v>
      </c>
      <c r="B3933" s="16" t="n"/>
      <c r="C3933" s="16" t="inlineStr">
        <is>
          <t>Báo cáo về tài sản bảo đảm thanh toán của Ngân hàng lưu ký - X</t>
        </is>
      </c>
      <c r="D3933" s="106" t="inlineStr">
        <is>
          <t>Tên chỉ tiêu</t>
        </is>
      </c>
      <c r="E3933" s="107" t="inlineStr">
        <is>
          <t>Tên chỉ tiêu</t>
        </is>
      </c>
      <c r="F3933" s="16" t="inlineStr">
        <is>
          <t>Data Explorer</t>
        </is>
      </c>
      <c r="G3933" s="16" t="inlineStr">
        <is>
          <t>Chiều</t>
        </is>
      </c>
      <c r="H3933" s="16" t="inlineStr">
        <is>
          <t>Dễ</t>
        </is>
      </c>
      <c r="I3933" s="16" t="inlineStr">
        <is>
          <t>Ngày, CTCK</t>
        </is>
      </c>
      <c r="J3933" s="22" t="inlineStr">
        <is>
          <t>SCMS</t>
        </is>
      </c>
      <c r="K3933" s="22" t="inlineStr">
        <is>
          <t>X</t>
        </is>
      </c>
      <c r="L3933" s="22" t="inlineStr">
        <is>
          <t>X</t>
        </is>
      </c>
      <c r="M3933" s="22" t="n"/>
      <c r="N3933" s="401" t="inlineStr">
        <is>
          <t>Done</t>
        </is>
      </c>
      <c r="O3933" s="401" t="n"/>
      <c r="P3933" s="401" t="n"/>
      <c r="S3933" s="401" t="n"/>
      <c r="U3933" s="401" t="n"/>
      <c r="V3933" s="22" t="n"/>
      <c r="W3933" s="22" t="n"/>
      <c r="X3933" s="22" t="n"/>
      <c r="Y3933" s="22" t="n"/>
      <c r="Z3933" s="22" t="n"/>
      <c r="AA3933" s="22" t="n"/>
      <c r="AB3933" s="22" t="n"/>
      <c r="AC3933" s="22" t="n"/>
      <c r="AD3933" s="22" t="n"/>
      <c r="AE3933" s="22" t="n"/>
    </row>
    <row r="3934" ht="42" customHeight="1" s="380">
      <c r="A3934" s="153" t="n">
        <v>141</v>
      </c>
      <c r="B3934" s="16" t="n"/>
      <c r="C3934" s="16" t="inlineStr">
        <is>
          <t>Báo cáo về tài sản bảo đảm thanh toán của Ngân hàng lưu ký - X</t>
        </is>
      </c>
      <c r="D3934" s="390" t="inlineStr">
        <is>
          <t>Tên CTCK</t>
        </is>
      </c>
      <c r="E3934" s="401" t="inlineStr">
        <is>
          <t>Tên CTCK</t>
        </is>
      </c>
      <c r="F3934" s="16" t="inlineStr">
        <is>
          <t>Data Explorer</t>
        </is>
      </c>
      <c r="G3934" s="16" t="inlineStr">
        <is>
          <t>Chỉ tiêu cơ sở</t>
        </is>
      </c>
      <c r="H3934" s="16" t="inlineStr">
        <is>
          <t>Dễ</t>
        </is>
      </c>
      <c r="I3934" s="16" t="inlineStr">
        <is>
          <t>Ngày, CTCK</t>
        </is>
      </c>
      <c r="J3934" s="22" t="inlineStr">
        <is>
          <t>SCMS</t>
        </is>
      </c>
      <c r="K3934" s="22" t="n"/>
      <c r="L3934" s="22" t="inlineStr">
        <is>
          <t>X</t>
        </is>
      </c>
      <c r="M3934" s="22" t="n"/>
      <c r="N3934" s="401" t="inlineStr">
        <is>
          <t>Done</t>
        </is>
      </c>
      <c r="O3934" s="401" t="n"/>
      <c r="P3934" s="401" t="n"/>
      <c r="Q3934" s="434" t="inlineStr">
        <is>
          <t>SCMS.BC_THANH_VIEN
SCMS.BM_BAO_CAO
SCMS.BC_BAO_CAO_GT
SCMS.CTCK_THONG_TIN
SCMS.CTCK_NHAN_SU_CAO_CAP
SCMS.DM_CHUC_VU</t>
        </is>
      </c>
      <c r="R3934" s="434" t="inlineStr">
        <is>
          <t>c.ID,
c.TEN_VIET_TAT,
c.SAN_NIEM_YET,
c.MA_CHUNG_KHOAN,
c.GIAY_PHEP_KINH_DOANH,
c.NGAY_CAP_GPKD,
btv.ID,
btv.BM_BAO_CAO_ID,
btv.CTCK_THONG_TIN_ID,
btv.NGAY_SO_LIEU,
btv.TRANG_THAI,
g.BC_THANH_VIEN_ID,
g.TEN_COT,
g.GIA_TRI,
g.TEN_SHEET,
bm.ID,
bm.MA_BAO_CAO,
ns.CTCK_THONG_TIN_ID,
ns.HO_TEN,
ns.IS_BANG_TAM,
ns.TRANG_THAI,
ns.CHUC_VU_ID,
cv.ID,
cv.TEN_CHUC_VU</t>
        </is>
      </c>
      <c r="S3934" s="155" t="n"/>
      <c r="T3934" s="435" t="inlineStr">
        <is>
          <t>-- CHỈ TIÊU
SELECT
    ROW_NUMBER() OVER (ORDER BY ngay_bao_cao DESC, ten_ctck) AS stt,
    ten_ctck,
    san_giao_dich,
    ma_ck,
    so_giay_phep,
    ngay_cap_giay_phep,
    nguoi_dai_dien,
    chuc_vu_nguoi_dai_dien,
    "Tên Ngân hàng lưu ký",
    so_giay_phep_ngan_hang_luu_ly,
    ngay_cap_giay_phep_ngan_hang_luu_ly,
    so_giay_chung_nhan_dang_ky_hoat_dong,
    ngay_cap_giay_chung_nhan_dang_ky_hoat_dong,
    "Tên chứng quyền",
    "Tên tổ chức phát hành",
    "Loại tài sản bảo đảm",
    "Giá trị kỳ báo cáo",
    "Giá trị kỳ trước",
    "Thay đổi so với kỳ trước"
FROM (
    SELECT
        c.TEN_VIET_TAT AS ten_ctck,
        c.SAN_NIEM_YET AS san_giao_dich,
        c.MA_CHUNG_KHOAN AS ma_ck,
        c.GIAY_PHEP_KINH_DOANH AS so_giay_phep,
        c.NGAY_CAP_GPKD AS ngay_cap_giay_phep,
        ns.HO_TEN AS nguoi_dai_dien,
        cv.TEN_CHUC_VU AS chuc_vu_nguoi_dai_dien,
        btv.NGAY_SO_LIEU AS ngay_bao_cao,
        MAX(CASE WHEN g.TEN_COT LIKE N'%Tên Ngân hàng lưu ký%' THEN g.GIA_TRI END) AS "Tên Ngân hàng lưu ký",
        MAX(CASE WHEN g.TEN_COT LIKE N'%Số giấy phép hoạt động%' THEN g.GIA_TRI END) AS so_giay_phep_ngan_hang_luu_ly,
        MAX(CASE WHEN g.TEN_COT LIKE N'%Ngày cấp giấy phép hoạt động%' THEN g.GIA_TRI END) AS ngay_cap_giay_phep_ngan_hang_luu_ly,
        MAX(CASE WHEN g.TEN_COT LIKE N'%Số giấy chứng nhận đăng ký hoạt động lưu ký chứng khoán%'THEN g.GIA_TRI END) AS so_giay_chung_nhan_dang_ky_hoat_dong,
        MAX(CASE WHEN g.TEN_COT LIKE N'%Ngày cấp giấy chứng nhận đăng ký hoạt động lưu ký chứng khoán%' THEN g.GIA_TRI END) AS ngay_cap_giay_chung_nhan_dang_ky_hoat_dong,
        MAX(CASE WHEN g.TEN_COT LIKE N'%Tên chứng quyền%' THEN g.GIA_TRI END) AS "Tên chứng quyền",
        MAX(CASE WHEN g.TEN_COT LIKE N'%Tên tổ chức phát hành%' THEN g.GIA_TRI END) AS "Tên tổ chức phát hành",
        MAX(CASE WHEN g.TEN_COT LIKE N'%Loại tài sản bảo đảm%' THEN g.GIA_TRI END) AS "Loại tài sản bảo đảm",
        MAX(CASE WHEN g.TEN_COT LIKE N'%Giá trị kỳ báo cáo%' THEN g.GIA_TRI END) AS "Giá trị kỳ báo cáo",
        MAX(CASE WHEN g.TEN_COT LIKE N'%Giá trị kỳ trước%' THEN g.GIA_TRI END) AS "Giá trị kỳ trước",
        MAX(CASE WHEN g.TEN_COT LIKE N'%Thay đổi so với kỳ trước%' THEN g.GIA_TRI END) AS "Thay đổi so với kỳ trước"
    FROM SCMS.BC_THANH_VIEN  btv
    JOIN SCMS.BM_BAO_CAO bm ON bm.ID = btv.BM_BAO_CAO_ID
    JOIN (
        SELECT
            BC_THANH_VIEN_ID,
            TEN_SHEET,
            TEN_COT,
            CAST(GIA_TRI AS VARCHAR2(4000)) AS GIA_TRI
        FROM SCMS.BC_BAO_CAO_GT
        WHERE TEN_SHEET = N'X'
    ) g ON g.BC_THANH_VIEN_ID = btv.ID
    JOIN SCMS.CTCK_THONG_TIN c ON c.ID = btv.CTCK_THONG_TIN_ID
    LEFT JOIN SCMS.CTCK_NHAN_SU_CAO_CAP ns ON ns.CTCK_THONG_TIN_ID = btv.CTCK_THONG_TIN_ID
         AND ns.IS_BANG_TAM = 1
         AND ns.TRANG_THAI = 1
    LEFT JOIN SCMS.DM_CHUC_VU cv ON cv.ID = ns.CHUC_VU_ID
         AND LOWER(cv.TEN_CHUC_VU) LIKE N'%DDPL%'  -- Xác nhận tên chức vụ của người đại diện pháp luật
    WHERE bm.MA_BAO_CAO  = 'BCVTSBDTT'
      AND btv.TRANG_THAI IN (2, 3)
    GROUP BY
        btv.ID, btv.CTCK_THONG_TIN_ID, btv.NGAY_SO_LIEU, btv.TRANG_THAI,
        bm.MA_BAO_CAO, g.TEN_SHEET,
        c.TEN_VIET_TAT, c.SAN_NIEM_YET, c.MA_CHUNG_KHOAN,
        c.GIAY_PHEP_KINH_DOANH, c.NGAY_CAP_GPKD,
        ns.HO_TEN, cv.TEN_CHUC_VU
)
ORDER BY ngay_bao_cao DESC, ten_ctck;</t>
        </is>
      </c>
      <c r="U3934" s="401" t="n"/>
      <c r="V3934" s="22" t="n"/>
      <c r="W3934" s="22" t="n"/>
      <c r="X3934" s="22" t="n"/>
      <c r="Y3934" s="22" t="n"/>
      <c r="Z3934" s="22" t="n"/>
      <c r="AA3934" s="22" t="n"/>
      <c r="AB3934" s="22" t="n"/>
      <c r="AC3934" s="22" t="n"/>
      <c r="AD3934" s="22" t="n"/>
      <c r="AE3934" s="22" t="n"/>
    </row>
    <row r="3935" ht="42" customHeight="1" s="380">
      <c r="A3935" s="153" t="n">
        <v>141</v>
      </c>
      <c r="B3935" s="16" t="n"/>
      <c r="C3935" s="16" t="inlineStr">
        <is>
          <t>Báo cáo về tài sản bảo đảm thanh toán của Ngân hàng lưu ký - X</t>
        </is>
      </c>
      <c r="D3935" s="390" t="inlineStr">
        <is>
          <t>Sàn giao dịch</t>
        </is>
      </c>
      <c r="E3935" s="401" t="inlineStr">
        <is>
          <t>Sàn giao dịch</t>
        </is>
      </c>
      <c r="F3935" s="16" t="inlineStr">
        <is>
          <t>Data Explorer</t>
        </is>
      </c>
      <c r="G3935" s="16" t="inlineStr">
        <is>
          <t>Chỉ tiêu cơ sở</t>
        </is>
      </c>
      <c r="H3935" s="16" t="inlineStr">
        <is>
          <t>Dễ</t>
        </is>
      </c>
      <c r="I3935" s="16" t="inlineStr">
        <is>
          <t>Ngày, CTCK</t>
        </is>
      </c>
      <c r="J3935" s="22" t="inlineStr">
        <is>
          <t>SCMS</t>
        </is>
      </c>
      <c r="K3935" s="22" t="n"/>
      <c r="L3935" s="22" t="inlineStr">
        <is>
          <t>X</t>
        </is>
      </c>
      <c r="M3935" s="22" t="n"/>
      <c r="N3935" s="401" t="inlineStr">
        <is>
          <t>Done</t>
        </is>
      </c>
      <c r="O3935" s="401" t="n"/>
      <c r="P3935" s="401" t="n"/>
      <c r="S3935" s="155" t="n"/>
      <c r="U3935" s="401" t="n"/>
      <c r="V3935" s="22" t="n"/>
      <c r="W3935" s="22" t="n"/>
      <c r="X3935" s="22" t="n"/>
      <c r="Y3935" s="22" t="n"/>
      <c r="Z3935" s="22" t="n"/>
      <c r="AA3935" s="22" t="n"/>
      <c r="AB3935" s="22" t="n"/>
      <c r="AC3935" s="22" t="n"/>
      <c r="AD3935" s="22" t="n"/>
      <c r="AE3935" s="22" t="n"/>
    </row>
    <row r="3936" ht="42" customHeight="1" s="380">
      <c r="A3936" s="153" t="n">
        <v>141</v>
      </c>
      <c r="B3936" s="16" t="n"/>
      <c r="C3936" s="16" t="inlineStr">
        <is>
          <t>Báo cáo về tài sản bảo đảm thanh toán của Ngân hàng lưu ký - X</t>
        </is>
      </c>
      <c r="D3936" s="390" t="inlineStr">
        <is>
          <t>Mã CK</t>
        </is>
      </c>
      <c r="E3936" s="401" t="inlineStr">
        <is>
          <t>Mã CK</t>
        </is>
      </c>
      <c r="F3936" s="16" t="inlineStr">
        <is>
          <t>Data Explorer</t>
        </is>
      </c>
      <c r="G3936" s="16" t="inlineStr">
        <is>
          <t>Chỉ tiêu cơ sở</t>
        </is>
      </c>
      <c r="H3936" s="16" t="inlineStr">
        <is>
          <t>Dễ</t>
        </is>
      </c>
      <c r="I3936" s="16" t="inlineStr">
        <is>
          <t>Ngày, CTCK</t>
        </is>
      </c>
      <c r="J3936" s="22" t="inlineStr">
        <is>
          <t>SCMS</t>
        </is>
      </c>
      <c r="K3936" s="22" t="n"/>
      <c r="L3936" s="22" t="inlineStr">
        <is>
          <t>X</t>
        </is>
      </c>
      <c r="M3936" s="22" t="n"/>
      <c r="N3936" s="401" t="inlineStr">
        <is>
          <t>Done</t>
        </is>
      </c>
      <c r="O3936" s="401" t="n"/>
      <c r="P3936" s="401" t="n"/>
      <c r="S3936" s="155" t="n"/>
      <c r="U3936" s="401" t="n"/>
      <c r="V3936" s="22" t="n"/>
      <c r="W3936" s="22" t="n"/>
      <c r="X3936" s="22" t="n"/>
      <c r="Y3936" s="22" t="n"/>
      <c r="Z3936" s="22" t="n"/>
      <c r="AA3936" s="22" t="n"/>
      <c r="AB3936" s="22" t="n"/>
      <c r="AC3936" s="22" t="n"/>
      <c r="AD3936" s="22" t="n"/>
      <c r="AE3936" s="22" t="n"/>
    </row>
    <row r="3937" ht="42" customHeight="1" s="380">
      <c r="A3937" s="153" t="n">
        <v>141</v>
      </c>
      <c r="B3937" s="16" t="n"/>
      <c r="C3937" s="16" t="inlineStr">
        <is>
          <t>Báo cáo về tài sản bảo đảm thanh toán của Ngân hàng lưu ký - X</t>
        </is>
      </c>
      <c r="D3937" s="390" t="inlineStr">
        <is>
          <t>Giấy phép Hoạt động của Chủ tịch UBCKNN cấp lần đầu &gt;&gt; Số</t>
        </is>
      </c>
      <c r="E3937" s="390" t="inlineStr">
        <is>
          <t>Giấy phép Hoạt động của Chủ tịch UBCKNN cấp lần đầu &gt;&gt; Số</t>
        </is>
      </c>
      <c r="F3937" s="16" t="inlineStr">
        <is>
          <t>Data Explorer</t>
        </is>
      </c>
      <c r="G3937" s="16" t="inlineStr">
        <is>
          <t>Chỉ tiêu cơ sở</t>
        </is>
      </c>
      <c r="H3937" s="16" t="inlineStr">
        <is>
          <t>Dễ</t>
        </is>
      </c>
      <c r="I3937" s="16" t="inlineStr">
        <is>
          <t>Ngày, CTCK</t>
        </is>
      </c>
      <c r="J3937" s="22" t="inlineStr">
        <is>
          <t>SCMS</t>
        </is>
      </c>
      <c r="K3937" s="22" t="n"/>
      <c r="L3937" s="22" t="inlineStr">
        <is>
          <t>X</t>
        </is>
      </c>
      <c r="M3937" s="22" t="n"/>
      <c r="N3937" s="401" t="inlineStr">
        <is>
          <t>Done</t>
        </is>
      </c>
      <c r="O3937" s="401" t="n"/>
      <c r="P3937" s="401" t="n"/>
      <c r="S3937" s="155" t="n"/>
      <c r="U3937" s="401" t="n"/>
      <c r="V3937" s="22" t="n"/>
      <c r="W3937" s="22" t="n"/>
      <c r="X3937" s="22" t="n"/>
      <c r="Y3937" s="22" t="n"/>
      <c r="Z3937" s="22" t="n"/>
      <c r="AA3937" s="22" t="n"/>
      <c r="AB3937" s="22" t="n"/>
      <c r="AC3937" s="22" t="n"/>
      <c r="AD3937" s="22" t="n"/>
      <c r="AE3937" s="22" t="n"/>
    </row>
    <row r="3938" ht="42" customHeight="1" s="380">
      <c r="A3938" s="153" t="n">
        <v>141</v>
      </c>
      <c r="B3938" s="16" t="n"/>
      <c r="C3938" s="16" t="inlineStr">
        <is>
          <t>Báo cáo về tài sản bảo đảm thanh toán của Ngân hàng lưu ký - X</t>
        </is>
      </c>
      <c r="D3938" s="390" t="inlineStr">
        <is>
          <t>Giấy phép Hoạt động của Chủ tịch UBCKNN cấp lần đầu &gt;&gt; Ngày cấp</t>
        </is>
      </c>
      <c r="E3938" s="390" t="inlineStr">
        <is>
          <t>Giấy phép Hoạt động của Chủ tịch UBCKNN cấp lần đầu &gt;&gt; Ngày cấp</t>
        </is>
      </c>
      <c r="F3938" s="16" t="inlineStr">
        <is>
          <t>Data Explorer</t>
        </is>
      </c>
      <c r="G3938" s="16" t="inlineStr">
        <is>
          <t>Chỉ tiêu cơ sở</t>
        </is>
      </c>
      <c r="H3938" s="16" t="inlineStr">
        <is>
          <t>Dễ</t>
        </is>
      </c>
      <c r="I3938" s="16" t="inlineStr">
        <is>
          <t>Ngày, CTCK</t>
        </is>
      </c>
      <c r="J3938" s="22" t="inlineStr">
        <is>
          <t>SCMS</t>
        </is>
      </c>
      <c r="K3938" s="22" t="n"/>
      <c r="L3938" s="22" t="inlineStr">
        <is>
          <t>X</t>
        </is>
      </c>
      <c r="M3938" s="22" t="n"/>
      <c r="N3938" s="401" t="inlineStr">
        <is>
          <t>Done</t>
        </is>
      </c>
      <c r="O3938" s="401" t="n"/>
      <c r="P3938" s="401" t="n"/>
      <c r="S3938" s="155" t="n"/>
      <c r="U3938" s="401" t="n"/>
      <c r="V3938" s="22" t="n"/>
      <c r="W3938" s="22" t="n"/>
      <c r="X3938" s="22" t="n"/>
      <c r="Y3938" s="22" t="n"/>
      <c r="Z3938" s="22" t="n"/>
      <c r="AA3938" s="22" t="n"/>
      <c r="AB3938" s="22" t="n"/>
      <c r="AC3938" s="22" t="n"/>
      <c r="AD3938" s="22" t="n"/>
      <c r="AE3938" s="22" t="n"/>
    </row>
    <row r="3939" ht="42" customHeight="1" s="380">
      <c r="A3939" s="153" t="n">
        <v>141</v>
      </c>
      <c r="B3939" s="16" t="n"/>
      <c r="C3939" s="16" t="inlineStr">
        <is>
          <t>Báo cáo về tài sản bảo đảm thanh toán của Ngân hàng lưu ký - X</t>
        </is>
      </c>
      <c r="D3939" s="390" t="inlineStr">
        <is>
          <t>Người đại diện theo pháp luật (Đăng ký với UBCKNN)</t>
        </is>
      </c>
      <c r="E3939" s="390" t="inlineStr">
        <is>
          <t>Người đại diện theo pháp luật (Đăng ký với UBCKNN)</t>
        </is>
      </c>
      <c r="F3939" s="16" t="inlineStr">
        <is>
          <t>Data Explorer</t>
        </is>
      </c>
      <c r="G3939" s="16" t="inlineStr">
        <is>
          <t>Chỉ tiêu cơ sở</t>
        </is>
      </c>
      <c r="H3939" s="16" t="inlineStr">
        <is>
          <t>Dễ</t>
        </is>
      </c>
      <c r="I3939" s="16" t="inlineStr">
        <is>
          <t>Ngày, CTCK</t>
        </is>
      </c>
      <c r="J3939" s="22" t="inlineStr">
        <is>
          <t>SCMS</t>
        </is>
      </c>
      <c r="K3939" s="22" t="n"/>
      <c r="L3939" s="22" t="inlineStr">
        <is>
          <t>X</t>
        </is>
      </c>
      <c r="M3939" s="22" t="n"/>
      <c r="N3939" s="401" t="inlineStr">
        <is>
          <t>Done</t>
        </is>
      </c>
      <c r="O3939" s="401" t="n"/>
      <c r="P3939" s="401" t="n"/>
      <c r="S3939" s="155" t="n"/>
      <c r="U3939" s="401" t="n"/>
      <c r="V3939" s="22" t="n"/>
      <c r="W3939" s="22" t="n"/>
      <c r="X3939" s="22" t="n"/>
      <c r="Y3939" s="22" t="n"/>
      <c r="Z3939" s="22" t="n"/>
      <c r="AA3939" s="22" t="n"/>
      <c r="AB3939" s="22" t="n"/>
      <c r="AC3939" s="22" t="n"/>
      <c r="AD3939" s="22" t="n"/>
      <c r="AE3939" s="22" t="n"/>
    </row>
    <row r="3940" ht="42" customHeight="1" s="380">
      <c r="A3940" s="153" t="n">
        <v>141</v>
      </c>
      <c r="B3940" s="16" t="n"/>
      <c r="C3940" s="16" t="inlineStr">
        <is>
          <t>Báo cáo về tài sản bảo đảm thanh toán của Ngân hàng lưu ký - X</t>
        </is>
      </c>
      <c r="D3940" s="390" t="inlineStr">
        <is>
          <t>Chức vụ của Người đại diện theo pháp luật</t>
        </is>
      </c>
      <c r="E3940" s="401" t="inlineStr">
        <is>
          <t>Chức vụ của Người đại diện theo pháp luật</t>
        </is>
      </c>
      <c r="F3940" s="16" t="inlineStr">
        <is>
          <t>Data Explorer</t>
        </is>
      </c>
      <c r="G3940" s="16" t="inlineStr">
        <is>
          <t>Chỉ tiêu cơ sở</t>
        </is>
      </c>
      <c r="H3940" s="16" t="inlineStr">
        <is>
          <t>Dễ</t>
        </is>
      </c>
      <c r="I3940" s="16" t="inlineStr">
        <is>
          <t>Ngày, CTCK</t>
        </is>
      </c>
      <c r="J3940" s="22" t="inlineStr">
        <is>
          <t>SCMS</t>
        </is>
      </c>
      <c r="K3940" s="22" t="n"/>
      <c r="L3940" s="22" t="inlineStr">
        <is>
          <t>X</t>
        </is>
      </c>
      <c r="M3940" s="22" t="n"/>
      <c r="N3940" s="401" t="inlineStr">
        <is>
          <t>Done</t>
        </is>
      </c>
      <c r="O3940" s="401" t="n"/>
      <c r="P3940" s="401" t="n"/>
      <c r="S3940" s="155" t="n"/>
      <c r="U3940" s="401" t="n"/>
      <c r="V3940" s="22" t="n"/>
      <c r="W3940" s="22" t="n"/>
      <c r="X3940" s="22" t="n"/>
      <c r="Y3940" s="22" t="n"/>
      <c r="Z3940" s="22" t="n"/>
      <c r="AA3940" s="22" t="n"/>
      <c r="AB3940" s="22" t="n"/>
      <c r="AC3940" s="22" t="n"/>
      <c r="AD3940" s="22" t="n"/>
      <c r="AE3940" s="22" t="n"/>
    </row>
    <row r="3941" ht="42" customHeight="1" s="380">
      <c r="A3941" s="153" t="n">
        <v>141</v>
      </c>
      <c r="B3941" s="16" t="n"/>
      <c r="C3941" s="16" t="inlineStr">
        <is>
          <t>Báo cáo về tài sản bảo đảm thanh toán của Ngân hàng lưu ký - X</t>
        </is>
      </c>
      <c r="D3941" s="390" t="inlineStr">
        <is>
          <t>Tên Ngân hàng lưu ký</t>
        </is>
      </c>
      <c r="E3941" s="401" t="inlineStr">
        <is>
          <t>Tên Ngân hàng lưu ký</t>
        </is>
      </c>
      <c r="F3941" s="16" t="inlineStr">
        <is>
          <t>Data Explorer</t>
        </is>
      </c>
      <c r="G3941" s="16" t="inlineStr">
        <is>
          <t>Chỉ tiêu cơ sở</t>
        </is>
      </c>
      <c r="H3941" s="16" t="inlineStr">
        <is>
          <t>Dễ</t>
        </is>
      </c>
      <c r="I3941" s="16" t="inlineStr">
        <is>
          <t>Ngày, CTCK</t>
        </is>
      </c>
      <c r="J3941" s="22" t="inlineStr">
        <is>
          <t>SCMS</t>
        </is>
      </c>
      <c r="K3941" s="22" t="n"/>
      <c r="L3941" s="22" t="inlineStr">
        <is>
          <t>X</t>
        </is>
      </c>
      <c r="M3941" s="22" t="n"/>
      <c r="N3941" s="401" t="inlineStr">
        <is>
          <t>Done</t>
        </is>
      </c>
      <c r="O3941" s="401" t="n"/>
      <c r="P3941" s="401" t="n"/>
      <c r="S3941" s="155" t="n"/>
      <c r="U3941" s="82" t="inlineStr">
        <is>
          <t>Xác nhận lại rule với chi Ngân hàng lưu ký</t>
        </is>
      </c>
      <c r="V3941" s="22" t="n"/>
      <c r="W3941" s="22" t="n"/>
      <c r="X3941" s="22" t="n"/>
      <c r="Y3941" s="22" t="n"/>
      <c r="Z3941" s="22" t="n"/>
      <c r="AA3941" s="22" t="n"/>
      <c r="AB3941" s="22" t="n"/>
      <c r="AC3941" s="22" t="n"/>
      <c r="AD3941" s="22" t="n"/>
      <c r="AE3941" s="22" t="n"/>
    </row>
    <row r="3942" ht="42" customHeight="1" s="380">
      <c r="A3942" s="153" t="n">
        <v>141</v>
      </c>
      <c r="B3942" s="16" t="n"/>
      <c r="C3942" s="16" t="inlineStr">
        <is>
          <t>Báo cáo về tài sản bảo đảm thanh toán của Ngân hàng lưu ký - X</t>
        </is>
      </c>
      <c r="D3942" s="390" t="inlineStr">
        <is>
          <t>Giấy phép hoạt động &gt;&gt; Số</t>
        </is>
      </c>
      <c r="E3942" s="401" t="inlineStr">
        <is>
          <t>Giấy phép hoạt động &gt;&gt; Số</t>
        </is>
      </c>
      <c r="F3942" s="16" t="inlineStr">
        <is>
          <t>Data Explorer</t>
        </is>
      </c>
      <c r="G3942" s="16" t="inlineStr">
        <is>
          <t>Chỉ tiêu cơ sở</t>
        </is>
      </c>
      <c r="H3942" s="16" t="inlineStr">
        <is>
          <t>Dễ</t>
        </is>
      </c>
      <c r="I3942" s="16" t="inlineStr">
        <is>
          <t>Ngày, CTCK</t>
        </is>
      </c>
      <c r="J3942" s="22" t="inlineStr">
        <is>
          <t>SCMS</t>
        </is>
      </c>
      <c r="K3942" s="22" t="n"/>
      <c r="L3942" s="22" t="inlineStr">
        <is>
          <t>X</t>
        </is>
      </c>
      <c r="M3942" s="22" t="n"/>
      <c r="N3942" s="401" t="inlineStr">
        <is>
          <t>Done</t>
        </is>
      </c>
      <c r="O3942" s="401" t="n"/>
      <c r="P3942" s="401" t="n"/>
      <c r="S3942" s="155" t="n"/>
      <c r="U3942" s="82" t="inlineStr">
        <is>
          <t>Xác nhận lại rule với chi Ngân hàng lưu ký</t>
        </is>
      </c>
      <c r="V3942" s="22" t="n"/>
      <c r="W3942" s="22" t="n"/>
      <c r="X3942" s="22" t="n"/>
      <c r="Y3942" s="22" t="n"/>
      <c r="Z3942" s="22" t="n"/>
      <c r="AA3942" s="22" t="n"/>
      <c r="AB3942" s="22" t="n"/>
      <c r="AC3942" s="22" t="n"/>
      <c r="AD3942" s="22" t="n"/>
      <c r="AE3942" s="22" t="n"/>
    </row>
    <row r="3943" ht="42" customHeight="1" s="380">
      <c r="A3943" s="153" t="n">
        <v>141</v>
      </c>
      <c r="B3943" s="16" t="n"/>
      <c r="C3943" s="16" t="inlineStr">
        <is>
          <t>Báo cáo về tài sản bảo đảm thanh toán của Ngân hàng lưu ký - X</t>
        </is>
      </c>
      <c r="D3943" s="390" t="inlineStr">
        <is>
          <t>Giấy phép hoạt động &gt;&gt; Ngày cấp</t>
        </is>
      </c>
      <c r="E3943" s="401" t="inlineStr">
        <is>
          <t>Giấy phép hoạt động &gt;&gt; Ngày cấp</t>
        </is>
      </c>
      <c r="F3943" s="16" t="inlineStr">
        <is>
          <t>Data Explorer</t>
        </is>
      </c>
      <c r="G3943" s="16" t="inlineStr">
        <is>
          <t>Chỉ tiêu cơ sở</t>
        </is>
      </c>
      <c r="H3943" s="16" t="inlineStr">
        <is>
          <t>Dễ</t>
        </is>
      </c>
      <c r="I3943" s="16" t="inlineStr">
        <is>
          <t>Ngày, CTCK</t>
        </is>
      </c>
      <c r="J3943" s="22" t="inlineStr">
        <is>
          <t>SCMS</t>
        </is>
      </c>
      <c r="K3943" s="22" t="n"/>
      <c r="L3943" s="22" t="inlineStr">
        <is>
          <t>X</t>
        </is>
      </c>
      <c r="M3943" s="22" t="n"/>
      <c r="N3943" s="401" t="inlineStr">
        <is>
          <t>Done</t>
        </is>
      </c>
      <c r="O3943" s="401" t="n"/>
      <c r="P3943" s="401" t="n"/>
      <c r="S3943" s="155" t="n"/>
      <c r="U3943" s="82" t="inlineStr">
        <is>
          <t>Xác nhận lại rule với chi Ngân hàng lưu ký</t>
        </is>
      </c>
      <c r="V3943" s="22" t="n"/>
      <c r="W3943" s="22" t="n"/>
      <c r="X3943" s="22" t="n"/>
      <c r="Y3943" s="22" t="n"/>
      <c r="Z3943" s="22" t="n"/>
      <c r="AA3943" s="22" t="n"/>
      <c r="AB3943" s="22" t="n"/>
      <c r="AC3943" s="22" t="n"/>
      <c r="AD3943" s="22" t="n"/>
      <c r="AE3943" s="22" t="n"/>
    </row>
    <row r="3944" ht="42" customHeight="1" s="380">
      <c r="A3944" s="153" t="n">
        <v>141</v>
      </c>
      <c r="B3944" s="16" t="n"/>
      <c r="C3944" s="16" t="inlineStr">
        <is>
          <t>Báo cáo về tài sản bảo đảm thanh toán của Ngân hàng lưu ký - X</t>
        </is>
      </c>
      <c r="D3944" s="390" t="inlineStr">
        <is>
          <t>Giấy chứng nhận đăng ký hoạt động lưu ký chứng khoán &gt;&gt; Số</t>
        </is>
      </c>
      <c r="E3944" s="390" t="inlineStr">
        <is>
          <t>Giấy chứng nhận đăng ký hoạt động lưu ký chứng khoán &gt;&gt; Số</t>
        </is>
      </c>
      <c r="F3944" s="16" t="inlineStr">
        <is>
          <t>Data Explorer</t>
        </is>
      </c>
      <c r="G3944" s="16" t="inlineStr">
        <is>
          <t>Chỉ tiêu cơ sở</t>
        </is>
      </c>
      <c r="H3944" s="16" t="inlineStr">
        <is>
          <t>Dễ</t>
        </is>
      </c>
      <c r="I3944" s="16" t="inlineStr">
        <is>
          <t>Ngày, CTCK</t>
        </is>
      </c>
      <c r="J3944" s="22" t="inlineStr">
        <is>
          <t>SCMS</t>
        </is>
      </c>
      <c r="K3944" s="22" t="n"/>
      <c r="L3944" s="22" t="inlineStr">
        <is>
          <t>X</t>
        </is>
      </c>
      <c r="M3944" s="22" t="n"/>
      <c r="N3944" s="401" t="inlineStr">
        <is>
          <t>Done</t>
        </is>
      </c>
      <c r="O3944" s="401" t="n"/>
      <c r="P3944" s="401" t="n"/>
      <c r="S3944" s="155" t="n"/>
      <c r="U3944" s="82" t="inlineStr">
        <is>
          <t>Xác nhận lại rule với chi Ngân hàng lưu ký</t>
        </is>
      </c>
      <c r="V3944" s="22" t="n"/>
      <c r="W3944" s="22" t="n"/>
      <c r="X3944" s="22" t="n"/>
      <c r="Y3944" s="22" t="n"/>
      <c r="Z3944" s="22" t="n"/>
      <c r="AA3944" s="22" t="n"/>
      <c r="AB3944" s="22" t="n"/>
      <c r="AC3944" s="22" t="n"/>
      <c r="AD3944" s="22" t="n"/>
      <c r="AE3944" s="22" t="n"/>
    </row>
    <row r="3945" ht="56" customHeight="1" s="380">
      <c r="A3945" s="153" t="n">
        <v>141</v>
      </c>
      <c r="B3945" s="16" t="n"/>
      <c r="C3945" s="16" t="inlineStr">
        <is>
          <t>Báo cáo về tài sản bảo đảm thanh toán của Ngân hàng lưu ký - X</t>
        </is>
      </c>
      <c r="D3945" s="390" t="inlineStr">
        <is>
          <t>Giấy chứng nhận đăng ký hoạt động lưu ký chứng khoán &gt;&gt; Ngày cấp</t>
        </is>
      </c>
      <c r="E3945" s="390" t="inlineStr">
        <is>
          <t>Giấy chứng nhận đăng ký hoạt động lưu ký chứng khoán &gt;&gt; Ngày cấp</t>
        </is>
      </c>
      <c r="F3945" s="16" t="inlineStr">
        <is>
          <t>Data Explorer</t>
        </is>
      </c>
      <c r="G3945" s="16" t="inlineStr">
        <is>
          <t>Chỉ tiêu cơ sở</t>
        </is>
      </c>
      <c r="H3945" s="16" t="inlineStr">
        <is>
          <t>Dễ</t>
        </is>
      </c>
      <c r="I3945" s="16" t="inlineStr">
        <is>
          <t>Ngày, CTCK</t>
        </is>
      </c>
      <c r="J3945" s="22" t="inlineStr">
        <is>
          <t>SCMS</t>
        </is>
      </c>
      <c r="K3945" s="22" t="n"/>
      <c r="L3945" s="22" t="inlineStr">
        <is>
          <t>X</t>
        </is>
      </c>
      <c r="M3945" s="22" t="n"/>
      <c r="N3945" s="401" t="inlineStr">
        <is>
          <t>Done</t>
        </is>
      </c>
      <c r="O3945" s="401" t="n"/>
      <c r="P3945" s="401" t="n"/>
      <c r="S3945" s="155" t="n"/>
      <c r="U3945" s="82" t="inlineStr">
        <is>
          <t>Xác nhận lại rule với chi Ngân hàng lưu ký</t>
        </is>
      </c>
      <c r="V3945" s="22" t="n"/>
      <c r="W3945" s="22" t="n"/>
      <c r="X3945" s="22" t="n"/>
      <c r="Y3945" s="22" t="n"/>
      <c r="Z3945" s="22" t="n"/>
      <c r="AA3945" s="22" t="n"/>
      <c r="AB3945" s="22" t="n"/>
      <c r="AC3945" s="22" t="n"/>
      <c r="AD3945" s="22" t="n"/>
      <c r="AE3945" s="22" t="n"/>
    </row>
    <row r="3946" ht="42" customHeight="1" s="380">
      <c r="A3946" s="153" t="n">
        <v>141</v>
      </c>
      <c r="B3946" s="16" t="n"/>
      <c r="C3946" s="16" t="inlineStr">
        <is>
          <t>Báo cáo về tài sản bảo đảm thanh toán của Ngân hàng lưu ký - X</t>
        </is>
      </c>
      <c r="D3946" s="390" t="inlineStr">
        <is>
          <t>Tên chứng quyền</t>
        </is>
      </c>
      <c r="E3946" s="401" t="inlineStr">
        <is>
          <t>Tên chứng quyền</t>
        </is>
      </c>
      <c r="F3946" s="16" t="inlineStr">
        <is>
          <t>Data Explorer</t>
        </is>
      </c>
      <c r="G3946" s="16" t="inlineStr">
        <is>
          <t>Chỉ tiêu cơ sở</t>
        </is>
      </c>
      <c r="H3946" s="16" t="inlineStr">
        <is>
          <t>Dễ</t>
        </is>
      </c>
      <c r="I3946" s="16" t="inlineStr">
        <is>
          <t>Ngày, CTCK</t>
        </is>
      </c>
      <c r="J3946" s="22" t="inlineStr">
        <is>
          <t>SCMS</t>
        </is>
      </c>
      <c r="K3946" s="22" t="n"/>
      <c r="L3946" s="22" t="inlineStr">
        <is>
          <t>X</t>
        </is>
      </c>
      <c r="M3946" s="22" t="n"/>
      <c r="N3946" s="401" t="inlineStr">
        <is>
          <t>Done</t>
        </is>
      </c>
      <c r="O3946" s="401" t="n"/>
      <c r="P3946" s="401" t="n"/>
      <c r="S3946" s="155" t="n"/>
      <c r="U3946" s="401" t="n"/>
      <c r="V3946" s="22" t="n"/>
      <c r="W3946" s="22" t="n"/>
      <c r="X3946" s="22" t="n"/>
      <c r="Y3946" s="22" t="n"/>
      <c r="Z3946" s="22" t="n"/>
      <c r="AA3946" s="22" t="n"/>
      <c r="AB3946" s="22" t="n"/>
      <c r="AC3946" s="22" t="n"/>
      <c r="AD3946" s="22" t="n"/>
      <c r="AE3946" s="22" t="n"/>
    </row>
    <row r="3947" ht="42" customHeight="1" s="380">
      <c r="A3947" s="153" t="n">
        <v>141</v>
      </c>
      <c r="B3947" s="16" t="n"/>
      <c r="C3947" s="16" t="inlineStr">
        <is>
          <t>Báo cáo về tài sản bảo đảm thanh toán của Ngân hàng lưu ký - X</t>
        </is>
      </c>
      <c r="D3947" s="390" t="inlineStr">
        <is>
          <t>Tên tổ chức phát hành</t>
        </is>
      </c>
      <c r="E3947" s="401" t="inlineStr">
        <is>
          <t>Tên tổ chức phát hành</t>
        </is>
      </c>
      <c r="F3947" s="16" t="inlineStr">
        <is>
          <t>Data Explorer</t>
        </is>
      </c>
      <c r="G3947" s="16" t="inlineStr">
        <is>
          <t>Chỉ tiêu cơ sở</t>
        </is>
      </c>
      <c r="H3947" s="16" t="inlineStr">
        <is>
          <t>Dễ</t>
        </is>
      </c>
      <c r="I3947" s="16" t="inlineStr">
        <is>
          <t>Ngày, CTCK</t>
        </is>
      </c>
      <c r="J3947" s="22" t="inlineStr">
        <is>
          <t>SCMS</t>
        </is>
      </c>
      <c r="K3947" s="22" t="n"/>
      <c r="L3947" s="22" t="inlineStr">
        <is>
          <t>X</t>
        </is>
      </c>
      <c r="M3947" s="22" t="n"/>
      <c r="N3947" s="401" t="inlineStr">
        <is>
          <t>Done</t>
        </is>
      </c>
      <c r="O3947" s="401" t="n"/>
      <c r="P3947" s="401" t="n"/>
      <c r="S3947" s="155" t="n"/>
      <c r="U3947" s="401" t="n"/>
      <c r="V3947" s="22" t="n"/>
      <c r="W3947" s="22" t="n"/>
      <c r="X3947" s="22" t="n"/>
      <c r="Y3947" s="22" t="n"/>
      <c r="Z3947" s="22" t="n"/>
      <c r="AA3947" s="22" t="n"/>
      <c r="AB3947" s="22" t="n"/>
      <c r="AC3947" s="22" t="n"/>
      <c r="AD3947" s="22" t="n"/>
      <c r="AE3947" s="22" t="n"/>
    </row>
    <row r="3948" ht="56" customHeight="1" s="380">
      <c r="A3948" s="153" t="n">
        <v>141</v>
      </c>
      <c r="B3948" s="16" t="n"/>
      <c r="C3948" s="16" t="inlineStr">
        <is>
          <t>Báo cáo về tài sản bảo đảm thanh toán của Ngân hàng lưu ký - X</t>
        </is>
      </c>
      <c r="D3948" s="390" t="inlineStr">
        <is>
          <t>Loại tài sản bảo đảm (Tiền, Chứng chỉ tiền gửi/Hợp đồng tiền gửi, Bảo lãnh thanh toán)</t>
        </is>
      </c>
      <c r="E3948" s="390" t="inlineStr">
        <is>
          <t>Loại tài sản bảo đảm (Tiền, Chứng chỉ tiền gửi/Hợp đồng tiền gửi, Bảo lãnh thanh toán)</t>
        </is>
      </c>
      <c r="F3948" s="16" t="inlineStr">
        <is>
          <t>Data Explorer</t>
        </is>
      </c>
      <c r="G3948" s="16" t="inlineStr">
        <is>
          <t>Chỉ tiêu cơ sở</t>
        </is>
      </c>
      <c r="H3948" s="16" t="inlineStr">
        <is>
          <t>Dễ</t>
        </is>
      </c>
      <c r="I3948" s="16" t="inlineStr">
        <is>
          <t>Ngày, CTCK</t>
        </is>
      </c>
      <c r="J3948" s="22" t="inlineStr">
        <is>
          <t>SCMS</t>
        </is>
      </c>
      <c r="K3948" s="22" t="n"/>
      <c r="L3948" s="22" t="inlineStr">
        <is>
          <t>X</t>
        </is>
      </c>
      <c r="M3948" s="22" t="n"/>
      <c r="N3948" s="401" t="inlineStr">
        <is>
          <t>Done</t>
        </is>
      </c>
      <c r="O3948" s="401" t="n"/>
      <c r="P3948" s="401" t="n"/>
      <c r="S3948" s="155" t="n"/>
      <c r="U3948" s="401" t="n"/>
      <c r="V3948" s="22" t="n"/>
      <c r="W3948" s="22" t="n"/>
      <c r="X3948" s="22" t="n"/>
      <c r="Y3948" s="22" t="n"/>
      <c r="Z3948" s="22" t="n"/>
      <c r="AA3948" s="22" t="n"/>
      <c r="AB3948" s="22" t="n"/>
      <c r="AC3948" s="22" t="n"/>
      <c r="AD3948" s="22" t="n"/>
      <c r="AE3948" s="22" t="n"/>
    </row>
    <row r="3949" ht="42" customHeight="1" s="380">
      <c r="A3949" s="153" t="n">
        <v>141</v>
      </c>
      <c r="B3949" s="16" t="n"/>
      <c r="C3949" s="16" t="inlineStr">
        <is>
          <t>Báo cáo về tài sản bảo đảm thanh toán của Ngân hàng lưu ký - X</t>
        </is>
      </c>
      <c r="D3949" s="390" t="inlineStr">
        <is>
          <t>Giá trị kỳ báo cáo</t>
        </is>
      </c>
      <c r="E3949" s="401" t="inlineStr">
        <is>
          <t>Giá trị kỳ báo cáo</t>
        </is>
      </c>
      <c r="F3949" s="16" t="inlineStr">
        <is>
          <t>Data Explorer</t>
        </is>
      </c>
      <c r="G3949" s="16" t="inlineStr">
        <is>
          <t>Chỉ tiêu cơ sở</t>
        </is>
      </c>
      <c r="H3949" s="16" t="inlineStr">
        <is>
          <t>TB</t>
        </is>
      </c>
      <c r="I3949" s="16" t="inlineStr">
        <is>
          <t>Ngày, CTCK</t>
        </is>
      </c>
      <c r="J3949" s="22" t="inlineStr">
        <is>
          <t>SCMS</t>
        </is>
      </c>
      <c r="K3949" s="22" t="n"/>
      <c r="L3949" s="22" t="inlineStr">
        <is>
          <t>X</t>
        </is>
      </c>
      <c r="M3949" s="22" t="n"/>
      <c r="N3949" s="401" t="inlineStr">
        <is>
          <t>Done</t>
        </is>
      </c>
      <c r="O3949" s="401" t="n"/>
      <c r="P3949" s="401" t="n"/>
      <c r="S3949" s="155" t="n"/>
      <c r="U3949" s="401" t="n"/>
      <c r="V3949" s="22" t="n"/>
      <c r="W3949" s="22" t="n"/>
      <c r="X3949" s="22" t="n"/>
      <c r="Y3949" s="22" t="n"/>
      <c r="Z3949" s="22" t="n"/>
      <c r="AA3949" s="22" t="n"/>
      <c r="AB3949" s="22" t="n"/>
      <c r="AC3949" s="22" t="n"/>
      <c r="AD3949" s="22" t="n"/>
      <c r="AE3949" s="22" t="n"/>
    </row>
    <row r="3950" ht="42" customHeight="1" s="380">
      <c r="A3950" s="153" t="n">
        <v>141</v>
      </c>
      <c r="B3950" s="16" t="n"/>
      <c r="C3950" s="16" t="inlineStr">
        <is>
          <t>Báo cáo về tài sản bảo đảm thanh toán của Ngân hàng lưu ký - X</t>
        </is>
      </c>
      <c r="D3950" s="390" t="inlineStr">
        <is>
          <t>Giá trị kỳ trước</t>
        </is>
      </c>
      <c r="E3950" s="401" t="inlineStr">
        <is>
          <t>Giá trị kỳ trước</t>
        </is>
      </c>
      <c r="F3950" s="16" t="inlineStr">
        <is>
          <t>Data Explorer</t>
        </is>
      </c>
      <c r="G3950" s="16" t="inlineStr">
        <is>
          <t>Chỉ tiêu cơ sở</t>
        </is>
      </c>
      <c r="H3950" s="16" t="inlineStr">
        <is>
          <t>TB</t>
        </is>
      </c>
      <c r="I3950" s="16" t="inlineStr">
        <is>
          <t>Ngày, CTCK</t>
        </is>
      </c>
      <c r="J3950" s="22" t="inlineStr">
        <is>
          <t>SCMS</t>
        </is>
      </c>
      <c r="K3950" s="22" t="n"/>
      <c r="L3950" s="22" t="inlineStr">
        <is>
          <t>X</t>
        </is>
      </c>
      <c r="M3950" s="22" t="n"/>
      <c r="N3950" s="401" t="inlineStr">
        <is>
          <t>Done</t>
        </is>
      </c>
      <c r="O3950" s="401" t="n"/>
      <c r="P3950" s="401" t="n"/>
      <c r="S3950" s="155" t="n"/>
      <c r="U3950" s="401" t="n"/>
      <c r="V3950" s="22" t="n"/>
      <c r="W3950" s="22" t="n"/>
      <c r="X3950" s="22" t="n"/>
      <c r="Y3950" s="22" t="n"/>
      <c r="Z3950" s="22" t="n"/>
      <c r="AA3950" s="22" t="n"/>
      <c r="AB3950" s="22" t="n"/>
      <c r="AC3950" s="22" t="n"/>
      <c r="AD3950" s="22" t="n"/>
      <c r="AE3950" s="22" t="n"/>
    </row>
    <row r="3951" ht="42" customHeight="1" s="380">
      <c r="A3951" s="156" t="n">
        <v>141</v>
      </c>
      <c r="B3951" s="131" t="n"/>
      <c r="C3951" s="131" t="inlineStr">
        <is>
          <t>Báo cáo về tài sản bảo đảm thanh toán của Ngân hàng lưu ký - X</t>
        </is>
      </c>
      <c r="D3951" s="129" t="inlineStr">
        <is>
          <t>Thay đổi so với kỳ trước</t>
        </is>
      </c>
      <c r="E3951" s="85" t="inlineStr">
        <is>
          <t>Thay đổi so với kỳ trước</t>
        </is>
      </c>
      <c r="F3951" s="131" t="inlineStr">
        <is>
          <t>Data Explorer</t>
        </is>
      </c>
      <c r="G3951" s="131" t="inlineStr">
        <is>
          <t>Chỉ tiêu cơ sở</t>
        </is>
      </c>
      <c r="H3951" s="131" t="inlineStr">
        <is>
          <t>TB</t>
        </is>
      </c>
      <c r="I3951" s="131" t="inlineStr">
        <is>
          <t>Ngày, CTCK</t>
        </is>
      </c>
      <c r="J3951" s="130" t="inlineStr">
        <is>
          <t>SCMS</t>
        </is>
      </c>
      <c r="K3951" s="130" t="n"/>
      <c r="L3951" s="130" t="inlineStr">
        <is>
          <t>X</t>
        </is>
      </c>
      <c r="M3951" s="130" t="n"/>
      <c r="N3951" s="85" t="inlineStr">
        <is>
          <t>Done</t>
        </is>
      </c>
      <c r="O3951" s="85" t="n"/>
      <c r="P3951" s="85" t="n"/>
      <c r="Q3951" s="426" t="n"/>
      <c r="R3951" s="426" t="n"/>
      <c r="S3951" s="157" t="n"/>
      <c r="T3951" s="426" t="n"/>
      <c r="U3951" s="85" t="n"/>
      <c r="V3951" s="130" t="n"/>
      <c r="W3951" s="130" t="n"/>
      <c r="X3951" s="130" t="n"/>
      <c r="Y3951" s="130" t="n"/>
      <c r="Z3951" s="130" t="n"/>
      <c r="AA3951" s="130" t="n"/>
      <c r="AB3951" s="130" t="n"/>
      <c r="AC3951" s="130" t="n"/>
      <c r="AD3951" s="130" t="n"/>
      <c r="AE3951" s="130" t="n"/>
    </row>
    <row r="3952" ht="42" customHeight="1" s="380">
      <c r="A3952" s="153" t="n">
        <v>142</v>
      </c>
      <c r="B3952" s="140" t="inlineStr">
        <is>
          <t>Nga</t>
        </is>
      </c>
      <c r="C3952" s="154" t="inlineStr">
        <is>
          <t>Báo cáo về tài sản bảo đảm thanh toán của Ngân hàng lưu ký - X - Tổng</t>
        </is>
      </c>
      <c r="D3952" s="106" t="inlineStr">
        <is>
          <t>Loại báo cáo</t>
        </is>
      </c>
      <c r="E3952" s="107" t="inlineStr">
        <is>
          <t>Loại báo cáo</t>
        </is>
      </c>
      <c r="F3952" s="16" t="inlineStr">
        <is>
          <t>Data Explorer</t>
        </is>
      </c>
      <c r="G3952" s="16" t="inlineStr">
        <is>
          <t>Chiều</t>
        </is>
      </c>
      <c r="H3952" s="16" t="inlineStr">
        <is>
          <t>Dễ</t>
        </is>
      </c>
      <c r="I3952" s="16" t="inlineStr">
        <is>
          <t>Ngày, CTCK</t>
        </is>
      </c>
      <c r="J3952" s="22" t="inlineStr">
        <is>
          <t>SCMS</t>
        </is>
      </c>
      <c r="K3952" s="22" t="inlineStr">
        <is>
          <t>X</t>
        </is>
      </c>
      <c r="L3952" s="22" t="inlineStr">
        <is>
          <t>X</t>
        </is>
      </c>
      <c r="M3952" s="22" t="n"/>
      <c r="N3952" s="401" t="inlineStr">
        <is>
          <t>Done</t>
        </is>
      </c>
      <c r="O3952" s="401" t="n"/>
      <c r="P3952" s="401" t="n"/>
      <c r="Q3952" s="404" t="inlineStr">
        <is>
          <t>SCMS.BM_BAO_CAO
SCMS.BM_BAO_CAO_DINH_KY</t>
        </is>
      </c>
      <c r="R3952" s="404" t="inlineStr">
        <is>
          <t>bm.ID,
bm.MA_BAO_CAO,
bm.LOAI_BAO_CAO,
bm.TEN_BAO_CAO,
bm.SU_DUNG,
bdk.BM_BAO_CAO_ID,
bdk.KY_BAO_CAO,
bdk.SU_DUNG</t>
        </is>
      </c>
      <c r="S3952" s="401" t="n"/>
      <c r="T3952" s="389" t="inlineStr">
        <is>
          <t>-- Loại BC / Kỳ BC / Mã BC / Tên BC (chiều DWH – dùng chung)
-- MA_BAO_CAO: BCVTSBDTT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 'BCVTSBDTT'
        AND bm.SU_DUNG = 1
ORDER BY bdk.KY_BAO_CAO;</t>
        </is>
      </c>
      <c r="U3952" s="401" t="n"/>
      <c r="V3952" s="22" t="n"/>
      <c r="W3952" s="22" t="n"/>
      <c r="X3952" s="22" t="n"/>
      <c r="Y3952" s="22" t="n"/>
      <c r="Z3952" s="22" t="n"/>
      <c r="AA3952" s="22" t="n"/>
      <c r="AB3952" s="22" t="n"/>
      <c r="AC3952" s="22" t="n"/>
      <c r="AD3952" s="22" t="n"/>
      <c r="AE3952" s="22" t="n"/>
    </row>
    <row r="3953" ht="42" customHeight="1" s="380">
      <c r="A3953" s="153" t="n">
        <v>142</v>
      </c>
      <c r="B3953" s="16" t="n"/>
      <c r="C3953" s="16" t="inlineStr">
        <is>
          <t>Báo cáo về tài sản bảo đảm thanh toán của Ngân hàng lưu ký - X - Tổng</t>
        </is>
      </c>
      <c r="D3953" s="106" t="inlineStr">
        <is>
          <t>Kỳ báo cáo</t>
        </is>
      </c>
      <c r="E3953" s="107" t="inlineStr">
        <is>
          <t>Kỳ báo cáo</t>
        </is>
      </c>
      <c r="F3953" s="16" t="inlineStr">
        <is>
          <t>Data Explorer</t>
        </is>
      </c>
      <c r="G3953" s="16" t="inlineStr">
        <is>
          <t>Chiều</t>
        </is>
      </c>
      <c r="H3953" s="16" t="inlineStr">
        <is>
          <t>Dễ</t>
        </is>
      </c>
      <c r="I3953" s="16" t="inlineStr">
        <is>
          <t>Ngày, CTCK</t>
        </is>
      </c>
      <c r="J3953" s="22" t="inlineStr">
        <is>
          <t>SCMS</t>
        </is>
      </c>
      <c r="K3953" s="22" t="inlineStr">
        <is>
          <t>X</t>
        </is>
      </c>
      <c r="L3953" s="22" t="inlineStr">
        <is>
          <t>X</t>
        </is>
      </c>
      <c r="M3953" s="22" t="n"/>
      <c r="N3953" s="401" t="inlineStr">
        <is>
          <t>Done</t>
        </is>
      </c>
      <c r="O3953" s="401" t="n"/>
      <c r="P3953" s="401" t="n"/>
      <c r="S3953" s="401" t="n"/>
      <c r="U3953" s="401" t="n"/>
      <c r="V3953" s="22" t="n"/>
      <c r="W3953" s="22" t="n"/>
      <c r="X3953" s="22" t="n"/>
      <c r="Y3953" s="22" t="n"/>
      <c r="Z3953" s="22" t="n"/>
      <c r="AA3953" s="22" t="n"/>
      <c r="AB3953" s="22" t="n"/>
      <c r="AC3953" s="22" t="n"/>
      <c r="AD3953" s="22" t="n"/>
      <c r="AE3953" s="22" t="n"/>
    </row>
    <row r="3954" ht="42" customHeight="1" s="380">
      <c r="A3954" s="153" t="n">
        <v>142</v>
      </c>
      <c r="B3954" s="16" t="n"/>
      <c r="C3954" s="16" t="inlineStr">
        <is>
          <t>Báo cáo về tài sản bảo đảm thanh toán của Ngân hàng lưu ký - X - Tổng</t>
        </is>
      </c>
      <c r="D3954" s="106" t="inlineStr">
        <is>
          <t>Mã báo cáo</t>
        </is>
      </c>
      <c r="E3954" s="107" t="inlineStr">
        <is>
          <t>Mã báo cáo</t>
        </is>
      </c>
      <c r="F3954" s="16" t="inlineStr">
        <is>
          <t>Data Explorer</t>
        </is>
      </c>
      <c r="G3954" s="16" t="inlineStr">
        <is>
          <t>Chiều</t>
        </is>
      </c>
      <c r="H3954" s="16" t="inlineStr">
        <is>
          <t>Dễ</t>
        </is>
      </c>
      <c r="I3954" s="16" t="inlineStr">
        <is>
          <t>Ngày, CTCK</t>
        </is>
      </c>
      <c r="J3954" s="22" t="inlineStr">
        <is>
          <t>SCMS</t>
        </is>
      </c>
      <c r="K3954" s="22" t="inlineStr">
        <is>
          <t>X</t>
        </is>
      </c>
      <c r="L3954" s="22" t="inlineStr">
        <is>
          <t>X</t>
        </is>
      </c>
      <c r="M3954" s="22" t="n"/>
      <c r="N3954" s="401" t="inlineStr">
        <is>
          <t>Done</t>
        </is>
      </c>
      <c r="O3954" s="401" t="n"/>
      <c r="P3954" s="401" t="n"/>
      <c r="S3954" s="401" t="n"/>
      <c r="U3954" s="401" t="n"/>
      <c r="V3954" s="22" t="n"/>
      <c r="W3954" s="22" t="n"/>
      <c r="X3954" s="22" t="n"/>
      <c r="Y3954" s="22" t="n"/>
      <c r="Z3954" s="22" t="n"/>
      <c r="AA3954" s="22" t="n"/>
      <c r="AB3954" s="22" t="n"/>
      <c r="AC3954" s="22" t="n"/>
      <c r="AD3954" s="22" t="n"/>
      <c r="AE3954" s="22" t="n"/>
    </row>
    <row r="3955" ht="42" customHeight="1" s="380">
      <c r="A3955" s="153" t="n">
        <v>142</v>
      </c>
      <c r="B3955" s="16" t="n"/>
      <c r="C3955" s="16" t="inlineStr">
        <is>
          <t>Báo cáo về tài sản bảo đảm thanh toán của Ngân hàng lưu ký - X - Tổng</t>
        </is>
      </c>
      <c r="D3955" s="106" t="inlineStr">
        <is>
          <t>Tên báo cáo</t>
        </is>
      </c>
      <c r="E3955" s="107" t="inlineStr">
        <is>
          <t>Tên báo cáo</t>
        </is>
      </c>
      <c r="F3955" s="16" t="inlineStr">
        <is>
          <t>Data Explorer</t>
        </is>
      </c>
      <c r="G3955" s="16" t="inlineStr">
        <is>
          <t>Chiều</t>
        </is>
      </c>
      <c r="H3955" s="16" t="inlineStr">
        <is>
          <t>Dễ</t>
        </is>
      </c>
      <c r="I3955" s="16" t="inlineStr">
        <is>
          <t>Ngày, CTCK</t>
        </is>
      </c>
      <c r="J3955" s="22" t="inlineStr">
        <is>
          <t>SCMS</t>
        </is>
      </c>
      <c r="K3955" s="22" t="inlineStr">
        <is>
          <t>X</t>
        </is>
      </c>
      <c r="L3955" s="22" t="inlineStr">
        <is>
          <t>X</t>
        </is>
      </c>
      <c r="M3955" s="22" t="n"/>
      <c r="N3955" s="401" t="inlineStr">
        <is>
          <t>Done</t>
        </is>
      </c>
      <c r="O3955" s="401" t="n"/>
      <c r="P3955" s="401" t="n"/>
      <c r="S3955" s="401" t="n"/>
      <c r="U3955" s="401" t="n"/>
      <c r="V3955" s="22" t="n"/>
      <c r="W3955" s="22" t="n"/>
      <c r="X3955" s="22" t="n"/>
      <c r="Y3955" s="22" t="n"/>
      <c r="Z3955" s="22" t="n"/>
      <c r="AA3955" s="22" t="n"/>
      <c r="AB3955" s="22" t="n"/>
      <c r="AC3955" s="22" t="n"/>
      <c r="AD3955" s="22" t="n"/>
      <c r="AE3955" s="22" t="n"/>
    </row>
    <row r="3956" ht="42" customHeight="1" s="380">
      <c r="A3956" s="153" t="n">
        <v>142</v>
      </c>
      <c r="B3956" s="16" t="n"/>
      <c r="C3956" s="16" t="inlineStr">
        <is>
          <t>Báo cáo về tài sản bảo đảm thanh toán của Ngân hàng lưu ký - X - Tổng</t>
        </is>
      </c>
      <c r="D3956" s="106" t="inlineStr">
        <is>
          <t>Mã sheet</t>
        </is>
      </c>
      <c r="E3956" s="106" t="inlineStr">
        <is>
          <t>Mã sheet</t>
        </is>
      </c>
      <c r="F3956" s="16" t="inlineStr">
        <is>
          <t>Data Explorer</t>
        </is>
      </c>
      <c r="G3956" s="16" t="inlineStr">
        <is>
          <t>Chiều</t>
        </is>
      </c>
      <c r="H3956" s="16" t="inlineStr">
        <is>
          <t>Dễ</t>
        </is>
      </c>
      <c r="I3956" s="16" t="inlineStr">
        <is>
          <t>Ngày, CTCK</t>
        </is>
      </c>
      <c r="J3956" s="22" t="inlineStr">
        <is>
          <t>SCMS</t>
        </is>
      </c>
      <c r="K3956" s="22" t="inlineStr">
        <is>
          <t>X</t>
        </is>
      </c>
      <c r="L3956" s="22" t="inlineStr">
        <is>
          <t>X</t>
        </is>
      </c>
      <c r="M3956" s="22" t="n"/>
      <c r="N3956" s="401" t="inlineStr">
        <is>
          <t>Done</t>
        </is>
      </c>
      <c r="O3956" s="401" t="n"/>
      <c r="P3956" s="401" t="n"/>
      <c r="Q3956" s="401" t="inlineStr">
        <is>
          <t>SCMS.BM_BAO_CAO
SCMS.BM_SHEET</t>
        </is>
      </c>
      <c r="R3956" s="401" t="inlineStr">
        <is>
          <t>bm.ID,
bm.MA_BAO_CAO,
bm.SU_DUNG,
s.BM_BAO_CAO_ID,
s.MA_SHEET,
s.TEN_SHEET,
s.SAP_XEP</t>
        </is>
      </c>
      <c r="S3956" s="401" t="n"/>
      <c r="T3956" s="389" t="inlineStr">
        <is>
          <t>-- Mã sheet / Tên sheet
-- MA_SHEET: X
SELECT bm.MA_BAO_CAO,
s.MA_SHEET,
s.TEN_SHEET
FROM SCMS.BM_BAO_CAO bm
JOIN SCMS.BM_SHEET s ON s.BM_BAO_CAO_ID = bm.ID
WHERE bm.MA_BAO_CAO = 'BCVTSBDTT'
AND s.MA_SHEET = 'X - Tổng'  -- Check lại data chuẩn
AND bm.SU_DUNG = 1
ORDER BY bm.MA_BAO_CAO, s.SAP_XEP;</t>
        </is>
      </c>
      <c r="U3956" s="401" t="n"/>
      <c r="V3956" s="22" t="n"/>
      <c r="W3956" s="22" t="n"/>
      <c r="X3956" s="22" t="n"/>
      <c r="Y3956" s="22" t="n"/>
      <c r="Z3956" s="22" t="n"/>
      <c r="AA3956" s="22" t="n"/>
      <c r="AB3956" s="22" t="n"/>
      <c r="AC3956" s="22" t="n"/>
      <c r="AD3956" s="22" t="n"/>
      <c r="AE3956" s="22" t="n"/>
    </row>
    <row r="3957" ht="42" customHeight="1" s="380">
      <c r="A3957" s="153" t="n">
        <v>142</v>
      </c>
      <c r="B3957" s="16" t="n"/>
      <c r="C3957" s="16" t="inlineStr">
        <is>
          <t>Báo cáo về tài sản bảo đảm thanh toán của Ngân hàng lưu ký - X - Tổng</t>
        </is>
      </c>
      <c r="D3957" s="106" t="inlineStr">
        <is>
          <t>Tên sheet</t>
        </is>
      </c>
      <c r="E3957" s="106" t="inlineStr">
        <is>
          <t>Tên sheet</t>
        </is>
      </c>
      <c r="F3957" s="16" t="inlineStr">
        <is>
          <t>Data Explorer</t>
        </is>
      </c>
      <c r="G3957" s="16" t="inlineStr">
        <is>
          <t>Chiều</t>
        </is>
      </c>
      <c r="H3957" s="16" t="inlineStr">
        <is>
          <t>Dễ</t>
        </is>
      </c>
      <c r="I3957" s="16" t="inlineStr">
        <is>
          <t>Ngày, CTCK</t>
        </is>
      </c>
      <c r="J3957" s="22" t="inlineStr">
        <is>
          <t>SCMS</t>
        </is>
      </c>
      <c r="K3957" s="22" t="inlineStr">
        <is>
          <t>X</t>
        </is>
      </c>
      <c r="L3957" s="22" t="inlineStr">
        <is>
          <t>X</t>
        </is>
      </c>
      <c r="M3957" s="22" t="n"/>
      <c r="N3957" s="401" t="inlineStr">
        <is>
          <t>Done</t>
        </is>
      </c>
      <c r="O3957" s="401" t="n"/>
      <c r="P3957" s="401" t="n"/>
      <c r="S3957" s="401" t="n"/>
      <c r="U3957" s="401" t="n"/>
      <c r="V3957" s="22" t="n"/>
      <c r="W3957" s="22" t="n"/>
      <c r="X3957" s="22" t="n"/>
      <c r="Y3957" s="22" t="n"/>
      <c r="Z3957" s="22" t="n"/>
      <c r="AA3957" s="22" t="n"/>
      <c r="AB3957" s="22" t="n"/>
      <c r="AC3957" s="22" t="n"/>
      <c r="AD3957" s="22" t="n"/>
      <c r="AE3957" s="22" t="n"/>
    </row>
    <row r="3958" ht="42" customHeight="1" s="380">
      <c r="A3958" s="153" t="n">
        <v>142</v>
      </c>
      <c r="B3958" s="16" t="n"/>
      <c r="C3958" s="16" t="inlineStr">
        <is>
          <t>Báo cáo về tài sản bảo đảm thanh toán của Ngân hàng lưu ký - X - Tổng</t>
        </is>
      </c>
      <c r="D3958" s="106" t="inlineStr">
        <is>
          <t>Mã chỉ tiêu</t>
        </is>
      </c>
      <c r="E3958" s="107" t="inlineStr">
        <is>
          <t>Mã chỉ tiêu</t>
        </is>
      </c>
      <c r="F3958" s="16" t="inlineStr">
        <is>
          <t>Data Explorer</t>
        </is>
      </c>
      <c r="G3958" s="16" t="inlineStr">
        <is>
          <t>Chiều</t>
        </is>
      </c>
      <c r="H3958" s="16" t="inlineStr">
        <is>
          <t>Dễ</t>
        </is>
      </c>
      <c r="I3958" s="16" t="inlineStr">
        <is>
          <t>Ngày, CTCK</t>
        </is>
      </c>
      <c r="J3958" s="22" t="inlineStr">
        <is>
          <t>SCMS</t>
        </is>
      </c>
      <c r="K3958" s="22" t="inlineStr">
        <is>
          <t>X</t>
        </is>
      </c>
      <c r="L3958" s="22" t="inlineStr">
        <is>
          <t>X</t>
        </is>
      </c>
      <c r="M3958" s="22" t="n"/>
      <c r="N3958" s="401" t="inlineStr">
        <is>
          <t>Done</t>
        </is>
      </c>
      <c r="O3958" s="401" t="n"/>
      <c r="P3958" s="401" t="n"/>
      <c r="Q3958" s="401" t="inlineStr">
        <is>
          <t>SCMS.BM_BAO_CAO
SCMS.BM_SHEET
SCMS.BM_BAO_CAO_CT
SCMS.DM_CHI_TIEU</t>
        </is>
      </c>
      <c r="R3958" s="402" t="inlineStr">
        <is>
          <t>dct.ID,
dct.MA_CHI_TIEU,
dct.TEN_CHI_TIEU,
dct.SU_DUNG,
s.BM_BAO_CAO_ID,
s.MA_SHEET,
ct.BM_BAO_CAO_ID,
ct.DM_CHI_TIEU_ID,
ct.SU_DUNG,
bm.ID,
bm.MA_BAO_CAO,
bm.SU_DUNG</t>
        </is>
      </c>
      <c r="S3958" s="401" t="n"/>
      <c r="T3958" s="389" t="inlineStr">
        <is>
          <t>-- Mã chỉ tiêu / Tên chỉ tiêu
SELECT DISTINCT
    dct.MA_CHI_TIEU  AS ma_chi_tieu,
    dct.TEN_CHI_TIEU AS ten_chi_tieu
FROM SCMS.BM_BAO_CAO bm
JOIN SCMS.BM_SHEET s ON s.BM_BAO_CAO_ID = bm.ID
        AND s.MA_SHEET = 'X - Tổng'
JOIN SCMS.BM_BAO_CAO_CT ct ON ct.BM_SHEET_ID = s.ID
        AND ct.SU_DUNG = 1
JOIN SCMS.DM_CHI_TIEU dct ON dct.ID = ct.DM_CHI_TIEU_ID
        AND dct.SU_DUNG = 1
WHERE bm.MA_BAO_CAO = 'BCVTSBDTT'
        AND bm.SU_DUNG = 1
ORDER BY dct.MA_CHI_TIEU;</t>
        </is>
      </c>
      <c r="U3958" s="401" t="n"/>
      <c r="V3958" s="22" t="n"/>
      <c r="W3958" s="22" t="n"/>
      <c r="X3958" s="22" t="n"/>
      <c r="Y3958" s="22" t="n"/>
      <c r="Z3958" s="22" t="n"/>
      <c r="AA3958" s="22" t="n"/>
      <c r="AB3958" s="22" t="n"/>
      <c r="AC3958" s="22" t="n"/>
      <c r="AD3958" s="22" t="n"/>
      <c r="AE3958" s="22" t="n"/>
    </row>
    <row r="3959" ht="42" customHeight="1" s="380">
      <c r="A3959" s="153" t="n">
        <v>142</v>
      </c>
      <c r="B3959" s="16" t="n"/>
      <c r="C3959" s="16" t="inlineStr">
        <is>
          <t>Báo cáo về tài sản bảo đảm thanh toán của Ngân hàng lưu ký - X - Tổng</t>
        </is>
      </c>
      <c r="D3959" s="106" t="inlineStr">
        <is>
          <t>Tên chỉ tiêu</t>
        </is>
      </c>
      <c r="E3959" s="107" t="inlineStr">
        <is>
          <t>Tên chỉ tiêu</t>
        </is>
      </c>
      <c r="F3959" s="16" t="inlineStr">
        <is>
          <t>Data Explorer</t>
        </is>
      </c>
      <c r="G3959" s="16" t="inlineStr">
        <is>
          <t>Chiều</t>
        </is>
      </c>
      <c r="H3959" s="16" t="inlineStr">
        <is>
          <t>Dễ</t>
        </is>
      </c>
      <c r="I3959" s="16" t="inlineStr">
        <is>
          <t>Ngày, CTCK</t>
        </is>
      </c>
      <c r="J3959" s="22" t="inlineStr">
        <is>
          <t>SCMS</t>
        </is>
      </c>
      <c r="K3959" s="22" t="inlineStr">
        <is>
          <t>X</t>
        </is>
      </c>
      <c r="L3959" s="22" t="inlineStr">
        <is>
          <t>X</t>
        </is>
      </c>
      <c r="M3959" s="22" t="n"/>
      <c r="N3959" s="401" t="inlineStr">
        <is>
          <t>Done</t>
        </is>
      </c>
      <c r="O3959" s="401" t="n"/>
      <c r="P3959" s="401" t="n"/>
      <c r="S3959" s="401" t="n"/>
      <c r="U3959" s="401" t="n"/>
      <c r="V3959" s="22" t="n"/>
      <c r="W3959" s="22" t="n"/>
      <c r="X3959" s="22" t="n"/>
      <c r="Y3959" s="22" t="n"/>
      <c r="Z3959" s="22" t="n"/>
      <c r="AA3959" s="22" t="n"/>
      <c r="AB3959" s="22" t="n"/>
      <c r="AC3959" s="22" t="n"/>
      <c r="AD3959" s="22" t="n"/>
      <c r="AE3959" s="22" t="n"/>
    </row>
    <row r="3960" ht="42" customHeight="1" s="380">
      <c r="A3960" s="153" t="n">
        <v>142</v>
      </c>
      <c r="B3960" s="16" t="n"/>
      <c r="C3960" s="16" t="inlineStr">
        <is>
          <t>Báo cáo về tài sản bảo đảm thanh toán của Ngân hàng lưu ký - X - Tổng</t>
        </is>
      </c>
      <c r="D3960" s="390" t="inlineStr">
        <is>
          <t>Tên Ngân hàng lưu ký</t>
        </is>
      </c>
      <c r="E3960" s="401" t="inlineStr">
        <is>
          <t>Tên Ngân hàng lưu ký</t>
        </is>
      </c>
      <c r="F3960" s="16" t="inlineStr">
        <is>
          <t>Data Explorer</t>
        </is>
      </c>
      <c r="G3960" s="16" t="inlineStr">
        <is>
          <t>Chỉ tiêu cơ sở</t>
        </is>
      </c>
      <c r="H3960" s="16" t="inlineStr">
        <is>
          <t>Trùng</t>
        </is>
      </c>
      <c r="I3960" s="16" t="inlineStr">
        <is>
          <t>Ngày, CTCK</t>
        </is>
      </c>
      <c r="J3960" s="22" t="inlineStr">
        <is>
          <t>SCMS</t>
        </is>
      </c>
      <c r="K3960" s="22" t="n"/>
      <c r="L3960" s="22" t="inlineStr">
        <is>
          <t>X</t>
        </is>
      </c>
      <c r="M3960" s="22" t="n"/>
      <c r="N3960" s="401" t="inlineStr">
        <is>
          <t>Done</t>
        </is>
      </c>
      <c r="O3960" s="401" t="n"/>
      <c r="P3960" s="401" t="n"/>
      <c r="Q3960" s="434" t="inlineStr">
        <is>
          <t>SCMS.BC_THANH_VIEN
SCMS.BM_BAO_CAO
SCMS.BC_BAO_CAO_GT</t>
        </is>
      </c>
      <c r="R3960" s="434" t="inlineStr">
        <is>
          <t>btv.ID,
btv.BM_BAO_CAO_ID,
btv.CTCK_THONG_TIN_ID,
btv.NGAY_SO_LIEU,
btv.TRANG_THAI,
g.BC_THANH_VIEN_ID,
g.TEN_COT,
g.GIA_TRI,
g.TEN_SHEET,
bm.ID,
bm.MA_BAO_CAO</t>
        </is>
      </c>
      <c r="S3960" s="155" t="n"/>
      <c r="T3960" s="435" t="inlineStr">
        <is>
          <t>-- CHỈ TIÊU
SELECT
    ROW_NUMBER() OVER (ORDER BY ngay_bao_cao DESC) AS stt,
    "Tên Ngân hàng lưu ký",
    so_giay_phep_ngan_hang_luu_ly,
    ngay_cap_giay_phep_ngan_hang_luu_ly,
    so_giay_chung_nhan_dang_ky_hoat_dong,
    ngay_cap_giay_chung_nhan_dang_ky_hoat_dong,
    "Loại tài sản bảo đảm",
    "Giá trị kỳ báo cáo",
    "Giá trị kỳ trước",
    "Thay đổi so với kỳ trước"
FROM (
    SELECT
        btv.NGAY_SO_LIEU AS ngay_bao_cao,
        MAX(CASE WHEN g.TEN_COT LIKE N'%Tên Ngân hàng lưu ký%' THEN g.GIA_TRI END) AS "Tên Ngân hàng lưu ký",
        MAX(CASE WHEN g.TEN_COT LIKE N'%Số giấy phép hoạt động%' THEN g.GIA_TRI END) AS so_giay_phep_ngan_hang_luu_ly,
        MAX(CASE WHEN g.TEN_COT LIKE N'%Ngày cấp giấy phép hoạt động%' THEN g.GIA_TRI END) AS ngay_cap_giay_phep_ngan_hang_luu_ly,
        MAX(CASE WHEN g.TEN_COT LIKE N'%Số giấy chứng nhận đăng ký hoạt động lưu ký chứng khoán%'THEN g.GIA_TRI END) AS so_giay_chung_nhan_dang_ky_hoat_dong,
        MAX(CASE WHEN g.TEN_COT LIKE N'%Ngày cấp giấy chứng nhận đăng ký hoạt động lưu ký chứng khoán%' THEN g.GIA_TRI END) AS ngay_cap_giay_chung_nhan_dang_ky_hoat_dong,
        MAX(CASE WHEN g.TEN_COT LIKE N'%Loại tài sản bảo đảm%' THEN g.GIA_TRI END) AS "Loại tài sản bảo đảm",
        MAX(CASE WHEN g.TEN_COT LIKE N'%Giá trị kỳ báo cáo%' THEN g.GIA_TRI END) AS "Giá trị kỳ báo cáo",
        MAX(CASE WHEN g.TEN_COT LIKE N'%Giá trị kỳ trước%' THEN g.GIA_TRI END) AS "Giá trị kỳ trước",
        MAX(CASE WHEN g.TEN_COT LIKE N'%Thay đổi so với kỳ trước%' THEN g.GIA_TRI END) AS "Thay đổi so với kỳ trước"
    FROM SCMS.BC_THANH_VIEN  btv
    JOIN SCMS.BM_BAO_CAO bm ON bm.ID = btv.BM_BAO_CAO_ID
    JOIN (
        SELECT
            BC_THANH_VIEN_ID,
            TEN_SHEET,
            TEN_COT,
            CAST(GIA_TRI AS VARCHAR2(4000)) AS GIA_TRI
        FROM SCMS.BC_BAO_CAO_GT
        WHERE TEN_SHEET = N'X - Tổng'
    ) g ON g.BC_THANH_VIEN_ID = btv.ID
    WHERE bm.MA_BAO_CAO  = 'BCVTSBDTT'
      AND btv.TRANG_THAI IN (2, 3)
    GROUP BY
        btv.ID, btv.CTCK_THONG_TIN_ID, btv.NGAY_SO_LIEU, btv.TRANG_THAI,
        bm.MA_BAO_CAO, g.TEN_SHEET
)
ORDER BY ngay_bao_cao DESC;</t>
        </is>
      </c>
      <c r="U3960" s="82" t="inlineStr">
        <is>
          <t>Xác nhận lại rule với chi Ngân hàng lưu ký</t>
        </is>
      </c>
      <c r="V3960" s="22" t="n"/>
      <c r="W3960" s="22" t="n"/>
      <c r="X3960" s="22" t="n"/>
      <c r="Y3960" s="22" t="n"/>
      <c r="Z3960" s="22" t="n"/>
      <c r="AA3960" s="22" t="n"/>
      <c r="AB3960" s="22" t="n"/>
      <c r="AC3960" s="22" t="n"/>
      <c r="AD3960" s="22" t="n"/>
      <c r="AE3960" s="22" t="n"/>
    </row>
    <row r="3961" ht="42" customHeight="1" s="380">
      <c r="A3961" s="153" t="n">
        <v>142</v>
      </c>
      <c r="B3961" s="16" t="n"/>
      <c r="C3961" s="16" t="inlineStr">
        <is>
          <t>Báo cáo về tài sản bảo đảm thanh toán của Ngân hàng lưu ký - X - Tổng</t>
        </is>
      </c>
      <c r="D3961" s="390" t="inlineStr">
        <is>
          <t>Giấy phép hoạt động &gt;&gt; Số</t>
        </is>
      </c>
      <c r="E3961" s="401" t="inlineStr">
        <is>
          <t>Giấy phép hoạt động &gt;&gt; Số</t>
        </is>
      </c>
      <c r="F3961" s="16" t="inlineStr">
        <is>
          <t>Data Explorer</t>
        </is>
      </c>
      <c r="G3961" s="16" t="inlineStr">
        <is>
          <t>Chỉ tiêu cơ sở</t>
        </is>
      </c>
      <c r="H3961" s="16" t="inlineStr">
        <is>
          <t>Trùng</t>
        </is>
      </c>
      <c r="I3961" s="16" t="inlineStr">
        <is>
          <t>Ngày, CTCK</t>
        </is>
      </c>
      <c r="J3961" s="22" t="inlineStr">
        <is>
          <t>SCMS</t>
        </is>
      </c>
      <c r="K3961" s="22" t="n"/>
      <c r="L3961" s="22" t="inlineStr">
        <is>
          <t>X</t>
        </is>
      </c>
      <c r="M3961" s="22" t="n"/>
      <c r="N3961" s="401" t="inlineStr">
        <is>
          <t>Done</t>
        </is>
      </c>
      <c r="O3961" s="401" t="n"/>
      <c r="P3961" s="401" t="n"/>
      <c r="S3961" s="155" t="n"/>
      <c r="U3961" s="82" t="inlineStr">
        <is>
          <t>Xác nhận lại rule với chi Ngân hàng lưu ký</t>
        </is>
      </c>
      <c r="V3961" s="22" t="n"/>
      <c r="W3961" s="22" t="n"/>
      <c r="X3961" s="22" t="n"/>
      <c r="Y3961" s="22" t="n"/>
      <c r="Z3961" s="22" t="n"/>
      <c r="AA3961" s="22" t="n"/>
      <c r="AB3961" s="22" t="n"/>
      <c r="AC3961" s="22" t="n"/>
      <c r="AD3961" s="22" t="n"/>
      <c r="AE3961" s="22" t="n"/>
    </row>
    <row r="3962" ht="42" customHeight="1" s="380">
      <c r="A3962" s="153" t="n">
        <v>142</v>
      </c>
      <c r="B3962" s="16" t="n"/>
      <c r="C3962" s="16" t="inlineStr">
        <is>
          <t>Báo cáo về tài sản bảo đảm thanh toán của Ngân hàng lưu ký - X - Tổng</t>
        </is>
      </c>
      <c r="D3962" s="390" t="inlineStr">
        <is>
          <t>Giấy phép hoạt động &gt;&gt; Ngày cấp</t>
        </is>
      </c>
      <c r="E3962" s="401" t="inlineStr">
        <is>
          <t>Giấy phép hoạt động &gt;&gt; Ngày cấp</t>
        </is>
      </c>
      <c r="F3962" s="16" t="inlineStr">
        <is>
          <t>Data Explorer</t>
        </is>
      </c>
      <c r="G3962" s="16" t="inlineStr">
        <is>
          <t>Chỉ tiêu cơ sở</t>
        </is>
      </c>
      <c r="H3962" s="16" t="inlineStr">
        <is>
          <t>Trùng</t>
        </is>
      </c>
      <c r="I3962" s="16" t="inlineStr">
        <is>
          <t>Ngày, CTCK</t>
        </is>
      </c>
      <c r="J3962" s="22" t="inlineStr">
        <is>
          <t>SCMS</t>
        </is>
      </c>
      <c r="K3962" s="22" t="n"/>
      <c r="L3962" s="22" t="inlineStr">
        <is>
          <t>X</t>
        </is>
      </c>
      <c r="M3962" s="22" t="n"/>
      <c r="N3962" s="401" t="inlineStr">
        <is>
          <t>Done</t>
        </is>
      </c>
      <c r="O3962" s="401" t="n"/>
      <c r="P3962" s="401" t="n"/>
      <c r="S3962" s="155" t="n"/>
      <c r="U3962" s="82" t="inlineStr">
        <is>
          <t>Xác nhận lại rule với chi Ngân hàng lưu ký</t>
        </is>
      </c>
      <c r="V3962" s="22" t="n"/>
      <c r="W3962" s="22" t="n"/>
      <c r="X3962" s="22" t="n"/>
      <c r="Y3962" s="22" t="n"/>
      <c r="Z3962" s="22" t="n"/>
      <c r="AA3962" s="22" t="n"/>
      <c r="AB3962" s="22" t="n"/>
      <c r="AC3962" s="22" t="n"/>
      <c r="AD3962" s="22" t="n"/>
      <c r="AE3962" s="22" t="n"/>
    </row>
    <row r="3963" ht="42" customHeight="1" s="380">
      <c r="A3963" s="153" t="n">
        <v>142</v>
      </c>
      <c r="B3963" s="16" t="n"/>
      <c r="C3963" s="16" t="inlineStr">
        <is>
          <t>Báo cáo về tài sản bảo đảm thanh toán của Ngân hàng lưu ký - X - Tổng</t>
        </is>
      </c>
      <c r="D3963" s="390" t="inlineStr">
        <is>
          <t>Giấy chứng nhận đăng ký hoạt động lưu ký chứng khoán &gt;&gt; Số</t>
        </is>
      </c>
      <c r="E3963" s="390" t="inlineStr">
        <is>
          <t>Giấy chứng nhận đăng ký hoạt động lưu ký chứng khoán &gt;&gt; Số</t>
        </is>
      </c>
      <c r="F3963" s="16" t="inlineStr">
        <is>
          <t>Data Explorer</t>
        </is>
      </c>
      <c r="G3963" s="16" t="inlineStr">
        <is>
          <t>Chỉ tiêu cơ sở</t>
        </is>
      </c>
      <c r="H3963" s="16" t="inlineStr">
        <is>
          <t>Trùng</t>
        </is>
      </c>
      <c r="I3963" s="16" t="inlineStr">
        <is>
          <t>Ngày, CTCK</t>
        </is>
      </c>
      <c r="J3963" s="22" t="inlineStr">
        <is>
          <t>SCMS</t>
        </is>
      </c>
      <c r="K3963" s="22" t="n"/>
      <c r="L3963" s="22" t="inlineStr">
        <is>
          <t>X</t>
        </is>
      </c>
      <c r="M3963" s="22" t="n"/>
      <c r="N3963" s="401" t="inlineStr">
        <is>
          <t>Done</t>
        </is>
      </c>
      <c r="O3963" s="401" t="n"/>
      <c r="P3963" s="401" t="n"/>
      <c r="S3963" s="155" t="n"/>
      <c r="U3963" s="82" t="inlineStr">
        <is>
          <t>Xác nhận lại rule với chi Ngân hàng lưu ký</t>
        </is>
      </c>
      <c r="V3963" s="22" t="n"/>
      <c r="W3963" s="22" t="n"/>
      <c r="X3963" s="22" t="n"/>
      <c r="Y3963" s="22" t="n"/>
      <c r="Z3963" s="22" t="n"/>
      <c r="AA3963" s="22" t="n"/>
      <c r="AB3963" s="22" t="n"/>
      <c r="AC3963" s="22" t="n"/>
      <c r="AD3963" s="22" t="n"/>
      <c r="AE3963" s="22" t="n"/>
    </row>
    <row r="3964" ht="56" customHeight="1" s="380">
      <c r="A3964" s="153" t="n">
        <v>142</v>
      </c>
      <c r="B3964" s="16" t="n"/>
      <c r="C3964" s="16" t="inlineStr">
        <is>
          <t>Báo cáo về tài sản bảo đảm thanh toán của Ngân hàng lưu ký - X - Tổng</t>
        </is>
      </c>
      <c r="D3964" s="390" t="inlineStr">
        <is>
          <t>Giấy chứng nhận đăng ký hoạt động lưu ký chứng khoán &gt;&gt; Ngày cấp</t>
        </is>
      </c>
      <c r="E3964" s="390" t="inlineStr">
        <is>
          <t>Giấy chứng nhận đăng ký hoạt động lưu ký chứng khoán &gt;&gt; Ngày cấp</t>
        </is>
      </c>
      <c r="F3964" s="16" t="inlineStr">
        <is>
          <t>Data Explorer</t>
        </is>
      </c>
      <c r="G3964" s="16" t="inlineStr">
        <is>
          <t>Chỉ tiêu cơ sở</t>
        </is>
      </c>
      <c r="H3964" s="16" t="inlineStr">
        <is>
          <t>Trùng</t>
        </is>
      </c>
      <c r="I3964" s="16" t="inlineStr">
        <is>
          <t>Ngày, CTCK</t>
        </is>
      </c>
      <c r="J3964" s="22" t="inlineStr">
        <is>
          <t>SCMS</t>
        </is>
      </c>
      <c r="K3964" s="22" t="n"/>
      <c r="L3964" s="22" t="inlineStr">
        <is>
          <t>X</t>
        </is>
      </c>
      <c r="M3964" s="22" t="n"/>
      <c r="N3964" s="401" t="inlineStr">
        <is>
          <t>Done</t>
        </is>
      </c>
      <c r="O3964" s="401" t="n"/>
      <c r="P3964" s="401" t="n"/>
      <c r="S3964" s="155" t="n"/>
      <c r="U3964" s="82" t="inlineStr">
        <is>
          <t>Xác nhận lại rule với chi Ngân hàng lưu ký</t>
        </is>
      </c>
      <c r="V3964" s="22" t="n"/>
      <c r="W3964" s="22" t="n"/>
      <c r="X3964" s="22" t="n"/>
      <c r="Y3964" s="22" t="n"/>
      <c r="Z3964" s="22" t="n"/>
      <c r="AA3964" s="22" t="n"/>
      <c r="AB3964" s="22" t="n"/>
      <c r="AC3964" s="22" t="n"/>
      <c r="AD3964" s="22" t="n"/>
      <c r="AE3964" s="22" t="n"/>
    </row>
    <row r="3965" ht="56" customHeight="1" s="380">
      <c r="A3965" s="153" t="n">
        <v>142</v>
      </c>
      <c r="B3965" s="16" t="n"/>
      <c r="C3965" s="16" t="inlineStr">
        <is>
          <t>Báo cáo về tài sản bảo đảm thanh toán của Ngân hàng lưu ký - X - Tổng</t>
        </is>
      </c>
      <c r="D3965" s="390" t="inlineStr">
        <is>
          <t>Loại tài sản bảo đảm (Tiền, Chứng chỉ tiền gửi/Hợp đồng tiền gửi, Bảo lãnh thanh toán)</t>
        </is>
      </c>
      <c r="E3965" s="390" t="inlineStr">
        <is>
          <t>Loại tài sản bảo đảm (Tiền, Chứng chỉ tiền gửi/Hợp đồng tiền gửi, Bảo lãnh thanh toán)</t>
        </is>
      </c>
      <c r="F3965" s="16" t="inlineStr">
        <is>
          <t>Data Explorer</t>
        </is>
      </c>
      <c r="G3965" s="16" t="inlineStr">
        <is>
          <t>Chỉ tiêu cơ sở</t>
        </is>
      </c>
      <c r="H3965" s="16" t="inlineStr">
        <is>
          <t>TB</t>
        </is>
      </c>
      <c r="I3965" s="16" t="inlineStr">
        <is>
          <t>Ngày, CTCK</t>
        </is>
      </c>
      <c r="J3965" s="22" t="inlineStr">
        <is>
          <t>SCMS</t>
        </is>
      </c>
      <c r="K3965" s="22" t="n"/>
      <c r="L3965" s="22" t="inlineStr">
        <is>
          <t>X</t>
        </is>
      </c>
      <c r="M3965" s="22" t="n"/>
      <c r="N3965" s="401" t="inlineStr">
        <is>
          <t>Done</t>
        </is>
      </c>
      <c r="O3965" s="401" t="n"/>
      <c r="P3965" s="401" t="n"/>
      <c r="S3965" s="155" t="n"/>
      <c r="U3965" s="401" t="n"/>
      <c r="V3965" s="22" t="n"/>
      <c r="W3965" s="22" t="n"/>
      <c r="X3965" s="22" t="n"/>
      <c r="Y3965" s="22" t="n"/>
      <c r="Z3965" s="22" t="n"/>
      <c r="AA3965" s="22" t="n"/>
      <c r="AB3965" s="22" t="n"/>
      <c r="AC3965" s="22" t="n"/>
      <c r="AD3965" s="22" t="n"/>
      <c r="AE3965" s="22" t="n"/>
    </row>
    <row r="3966" ht="42" customHeight="1" s="380">
      <c r="A3966" s="153" t="n">
        <v>142</v>
      </c>
      <c r="B3966" s="16" t="n"/>
      <c r="C3966" s="16" t="inlineStr">
        <is>
          <t>Báo cáo về tài sản bảo đảm thanh toán của Ngân hàng lưu ký - X - Tổng</t>
        </is>
      </c>
      <c r="D3966" s="390" t="inlineStr">
        <is>
          <t>Giá trị kỳ báo cáo</t>
        </is>
      </c>
      <c r="E3966" s="401" t="inlineStr">
        <is>
          <t>Giá trị kỳ báo cáo</t>
        </is>
      </c>
      <c r="F3966" s="16" t="inlineStr">
        <is>
          <t>Data Explorer</t>
        </is>
      </c>
      <c r="G3966" s="16" t="inlineStr">
        <is>
          <t>Chỉ tiêu cơ sở</t>
        </is>
      </c>
      <c r="H3966" s="16" t="inlineStr">
        <is>
          <t>TB</t>
        </is>
      </c>
      <c r="I3966" s="16" t="inlineStr">
        <is>
          <t>Ngày, CTCK</t>
        </is>
      </c>
      <c r="J3966" s="22" t="inlineStr">
        <is>
          <t>SCMS</t>
        </is>
      </c>
      <c r="K3966" s="22" t="n"/>
      <c r="L3966" s="22" t="inlineStr">
        <is>
          <t>X</t>
        </is>
      </c>
      <c r="M3966" s="22" t="n"/>
      <c r="N3966" s="401" t="inlineStr">
        <is>
          <t>Done</t>
        </is>
      </c>
      <c r="O3966" s="401" t="n"/>
      <c r="P3966" s="401" t="n"/>
      <c r="S3966" s="155" t="n"/>
      <c r="U3966" s="401" t="n"/>
      <c r="V3966" s="22" t="n"/>
      <c r="W3966" s="22" t="n"/>
      <c r="X3966" s="22" t="n"/>
      <c r="Y3966" s="22" t="n"/>
      <c r="Z3966" s="22" t="n"/>
      <c r="AA3966" s="22" t="n"/>
      <c r="AB3966" s="22" t="n"/>
      <c r="AC3966" s="22" t="n"/>
      <c r="AD3966" s="22" t="n"/>
      <c r="AE3966" s="22" t="n"/>
    </row>
    <row r="3967" ht="42" customHeight="1" s="380">
      <c r="A3967" s="153" t="n">
        <v>142</v>
      </c>
      <c r="B3967" s="16" t="n"/>
      <c r="C3967" s="16" t="inlineStr">
        <is>
          <t>Báo cáo về tài sản bảo đảm thanh toán của Ngân hàng lưu ký - X - Tổng</t>
        </is>
      </c>
      <c r="D3967" s="390" t="inlineStr">
        <is>
          <t>Giá trị kỳ trước</t>
        </is>
      </c>
      <c r="E3967" s="401" t="inlineStr">
        <is>
          <t>Giá trị kỳ trước</t>
        </is>
      </c>
      <c r="F3967" s="16" t="inlineStr">
        <is>
          <t>Data Explorer</t>
        </is>
      </c>
      <c r="G3967" s="16" t="inlineStr">
        <is>
          <t>Chỉ tiêu cơ sở</t>
        </is>
      </c>
      <c r="H3967" s="16" t="inlineStr">
        <is>
          <t>TB</t>
        </is>
      </c>
      <c r="I3967" s="16" t="inlineStr">
        <is>
          <t>Ngày, CTCK</t>
        </is>
      </c>
      <c r="J3967" s="22" t="inlineStr">
        <is>
          <t>SCMS</t>
        </is>
      </c>
      <c r="K3967" s="22" t="n"/>
      <c r="L3967" s="22" t="inlineStr">
        <is>
          <t>X</t>
        </is>
      </c>
      <c r="M3967" s="22" t="n"/>
      <c r="N3967" s="401" t="inlineStr">
        <is>
          <t>Done</t>
        </is>
      </c>
      <c r="O3967" s="401" t="n"/>
      <c r="P3967" s="401" t="n"/>
      <c r="S3967" s="155" t="n"/>
      <c r="U3967" s="401" t="n"/>
      <c r="V3967" s="22" t="n"/>
      <c r="W3967" s="22" t="n"/>
      <c r="X3967" s="22" t="n"/>
      <c r="Y3967" s="22" t="n"/>
      <c r="Z3967" s="22" t="n"/>
      <c r="AA3967" s="22" t="n"/>
      <c r="AB3967" s="22" t="n"/>
      <c r="AC3967" s="22" t="n"/>
      <c r="AD3967" s="22" t="n"/>
      <c r="AE3967" s="22" t="n"/>
    </row>
    <row r="3968" ht="42" customHeight="1" s="380">
      <c r="A3968" s="156" t="n">
        <v>142</v>
      </c>
      <c r="B3968" s="131" t="n"/>
      <c r="C3968" s="131" t="inlineStr">
        <is>
          <t>Báo cáo về tài sản bảo đảm thanh toán của Ngân hàng lưu ký - X - Tổng</t>
        </is>
      </c>
      <c r="D3968" s="129" t="inlineStr">
        <is>
          <t>Thay đổi so với kỳ trước</t>
        </is>
      </c>
      <c r="E3968" s="85" t="inlineStr">
        <is>
          <t>Thay đổi so với kỳ trước</t>
        </is>
      </c>
      <c r="F3968" s="131" t="inlineStr">
        <is>
          <t>Data Explorer</t>
        </is>
      </c>
      <c r="G3968" s="131" t="inlineStr">
        <is>
          <t>Chỉ tiêu cơ sở</t>
        </is>
      </c>
      <c r="H3968" s="131" t="inlineStr">
        <is>
          <t>TB</t>
        </is>
      </c>
      <c r="I3968" s="131" t="inlineStr">
        <is>
          <t>Ngày, CTCK</t>
        </is>
      </c>
      <c r="J3968" s="130" t="inlineStr">
        <is>
          <t>SCMS</t>
        </is>
      </c>
      <c r="K3968" s="130" t="n"/>
      <c r="L3968" s="130" t="inlineStr">
        <is>
          <t>X</t>
        </is>
      </c>
      <c r="M3968" s="130" t="n"/>
      <c r="N3968" s="85" t="inlineStr">
        <is>
          <t>Done</t>
        </is>
      </c>
      <c r="O3968" s="85" t="n"/>
      <c r="P3968" s="85" t="n"/>
      <c r="Q3968" s="426" t="n"/>
      <c r="R3968" s="426" t="n"/>
      <c r="S3968" s="157" t="n"/>
      <c r="T3968" s="426" t="n"/>
      <c r="U3968" s="85" t="n"/>
      <c r="V3968" s="130" t="n"/>
      <c r="W3968" s="130" t="n"/>
      <c r="X3968" s="130" t="n"/>
      <c r="Y3968" s="130" t="n"/>
      <c r="Z3968" s="130" t="n"/>
      <c r="AA3968" s="130" t="n"/>
      <c r="AB3968" s="130" t="n"/>
      <c r="AC3968" s="130" t="n"/>
      <c r="AD3968" s="130" t="n"/>
      <c r="AE3968" s="130" t="n"/>
    </row>
    <row r="3969" ht="56" customHeight="1" s="380">
      <c r="A3969" s="158" t="n">
        <v>143</v>
      </c>
      <c r="B3969" s="159" t="n"/>
      <c r="C3969" s="159" t="inlineStr">
        <is>
          <t>Về việc đáp ứng đủ điều kiện đăng ký hoạt động lưu ký chứng khoán - Ngân hàng lưu ký</t>
        </is>
      </c>
      <c r="D3969" s="109" t="inlineStr">
        <is>
          <t>Loại báo cáo</t>
        </is>
      </c>
      <c r="E3969" s="110" t="inlineStr">
        <is>
          <t>Loại báo cáo</t>
        </is>
      </c>
      <c r="F3969" s="403" t="inlineStr">
        <is>
          <t>Data Explorer</t>
        </is>
      </c>
      <c r="G3969" s="403" t="inlineStr">
        <is>
          <t>Chiều</t>
        </is>
      </c>
      <c r="H3969" s="403" t="inlineStr">
        <is>
          <t>Dễ</t>
        </is>
      </c>
      <c r="I3969" s="403" t="inlineStr">
        <is>
          <t>Ngày, CTCK</t>
        </is>
      </c>
      <c r="J3969" s="404" t="inlineStr">
        <is>
          <t>SCMS</t>
        </is>
      </c>
      <c r="K3969" s="404" t="inlineStr">
        <is>
          <t>X</t>
        </is>
      </c>
      <c r="L3969" s="404" t="inlineStr">
        <is>
          <t>X</t>
        </is>
      </c>
      <c r="M3969" s="404" t="n"/>
      <c r="N3969" s="404" t="inlineStr">
        <is>
          <t>Pending</t>
        </is>
      </c>
      <c r="O3969" s="404" t="n"/>
      <c r="P3969" s="141" t="n"/>
      <c r="Q3969" s="105" t="inlineStr">
        <is>
          <t>DB cũ không thấy biểu mẫu báo cáo này</t>
        </is>
      </c>
      <c r="R3969" s="404" t="n"/>
      <c r="S3969" s="141" t="n"/>
      <c r="T3969" s="403" t="n"/>
      <c r="U3969" s="403" t="n"/>
      <c r="V3969" s="141" t="n"/>
      <c r="W3969" s="141" t="n"/>
      <c r="X3969" s="141" t="n"/>
      <c r="Y3969" s="141" t="n"/>
      <c r="Z3969" s="141" t="n"/>
      <c r="AA3969" s="141" t="n"/>
      <c r="AB3969" s="141" t="n"/>
      <c r="AC3969" s="141" t="n"/>
      <c r="AD3969" s="141" t="n"/>
      <c r="AE3969" s="141" t="n"/>
    </row>
    <row r="3970" ht="56" customHeight="1" s="380">
      <c r="A3970" s="160" t="n">
        <v>143</v>
      </c>
      <c r="B3970" s="390" t="n"/>
      <c r="C3970" s="390" t="inlineStr">
        <is>
          <t>Về việc đáp ứng đủ điều kiện đăng ký hoạt động lưu ký chứng khoán - Ngân hàng lưu ký</t>
        </is>
      </c>
      <c r="D3970" s="106" t="inlineStr">
        <is>
          <t>Kỳ báo cáo</t>
        </is>
      </c>
      <c r="E3970" s="107" t="inlineStr">
        <is>
          <t>Kỳ báo cáo</t>
        </is>
      </c>
      <c r="F3970" s="390" t="inlineStr">
        <is>
          <t>Data Explorer</t>
        </is>
      </c>
      <c r="G3970" s="390" t="inlineStr">
        <is>
          <t>Chiều</t>
        </is>
      </c>
      <c r="H3970" s="390" t="inlineStr">
        <is>
          <t>Dễ</t>
        </is>
      </c>
      <c r="I3970" s="390" t="inlineStr">
        <is>
          <t>Ngày, CTCK</t>
        </is>
      </c>
      <c r="J3970" s="401" t="inlineStr">
        <is>
          <t>SCMS</t>
        </is>
      </c>
      <c r="K3970" s="401" t="inlineStr">
        <is>
          <t>X</t>
        </is>
      </c>
      <c r="L3970" s="401" t="inlineStr">
        <is>
          <t>X</t>
        </is>
      </c>
      <c r="M3970" s="401" t="n"/>
      <c r="N3970" s="401" t="inlineStr">
        <is>
          <t>Pending</t>
        </is>
      </c>
      <c r="O3970" s="401" t="n"/>
      <c r="P3970" s="22" t="n"/>
      <c r="Q3970" s="401" t="n"/>
      <c r="R3970" s="401" t="n"/>
      <c r="S3970" s="22" t="n"/>
      <c r="T3970" s="390" t="n"/>
      <c r="U3970" s="390" t="n"/>
      <c r="V3970" s="22" t="n"/>
      <c r="W3970" s="22" t="n"/>
      <c r="X3970" s="22" t="n"/>
      <c r="Y3970" s="22" t="n"/>
      <c r="Z3970" s="22" t="n"/>
      <c r="AA3970" s="22" t="n"/>
      <c r="AB3970" s="22" t="n"/>
      <c r="AC3970" s="22" t="n"/>
      <c r="AD3970" s="22" t="n"/>
      <c r="AE3970" s="22" t="n"/>
    </row>
    <row r="3971" ht="56" customHeight="1" s="380">
      <c r="A3971" s="160" t="n">
        <v>143</v>
      </c>
      <c r="B3971" s="390" t="n"/>
      <c r="C3971" s="390" t="inlineStr">
        <is>
          <t>Về việc đáp ứng đủ điều kiện đăng ký hoạt động lưu ký chứng khoán - Ngân hàng lưu ký</t>
        </is>
      </c>
      <c r="D3971" s="106" t="inlineStr">
        <is>
          <t>Mã báo cáo</t>
        </is>
      </c>
      <c r="E3971" s="107" t="inlineStr">
        <is>
          <t>Mã báo cáo</t>
        </is>
      </c>
      <c r="F3971" s="390" t="inlineStr">
        <is>
          <t>Data Explorer</t>
        </is>
      </c>
      <c r="G3971" s="390" t="inlineStr">
        <is>
          <t>Chiều</t>
        </is>
      </c>
      <c r="H3971" s="390" t="inlineStr">
        <is>
          <t>Dễ</t>
        </is>
      </c>
      <c r="I3971" s="390" t="inlineStr">
        <is>
          <t>Ngày, CTCK</t>
        </is>
      </c>
      <c r="J3971" s="401" t="inlineStr">
        <is>
          <t>SCMS</t>
        </is>
      </c>
      <c r="K3971" s="401" t="inlineStr">
        <is>
          <t>X</t>
        </is>
      </c>
      <c r="L3971" s="401" t="inlineStr">
        <is>
          <t>X</t>
        </is>
      </c>
      <c r="M3971" s="401" t="n"/>
      <c r="N3971" s="401" t="inlineStr">
        <is>
          <t>Pending</t>
        </is>
      </c>
      <c r="O3971" s="401" t="n"/>
      <c r="P3971" s="22" t="n"/>
      <c r="Q3971" s="401" t="n"/>
      <c r="R3971" s="401" t="n"/>
      <c r="S3971" s="22" t="n"/>
      <c r="T3971" s="390" t="n"/>
      <c r="U3971" s="390" t="n"/>
      <c r="V3971" s="22" t="n"/>
      <c r="W3971" s="22" t="n"/>
      <c r="X3971" s="22" t="n"/>
      <c r="Y3971" s="22" t="n"/>
      <c r="Z3971" s="22" t="n"/>
      <c r="AA3971" s="22" t="n"/>
      <c r="AB3971" s="22" t="n"/>
      <c r="AC3971" s="22" t="n"/>
      <c r="AD3971" s="22" t="n"/>
      <c r="AE3971" s="22" t="n"/>
    </row>
    <row r="3972" ht="56" customHeight="1" s="380">
      <c r="A3972" s="160" t="n">
        <v>143</v>
      </c>
      <c r="B3972" s="390" t="n"/>
      <c r="C3972" s="390" t="inlineStr">
        <is>
          <t>Về việc đáp ứng đủ điều kiện đăng ký hoạt động lưu ký chứng khoán - Ngân hàng lưu ký</t>
        </is>
      </c>
      <c r="D3972" s="106" t="inlineStr">
        <is>
          <t>Tên báo cáo</t>
        </is>
      </c>
      <c r="E3972" s="107" t="inlineStr">
        <is>
          <t>Tên báo cáo</t>
        </is>
      </c>
      <c r="F3972" s="390" t="inlineStr">
        <is>
          <t>Data Explorer</t>
        </is>
      </c>
      <c r="G3972" s="390" t="inlineStr">
        <is>
          <t>Chiều</t>
        </is>
      </c>
      <c r="H3972" s="390" t="inlineStr">
        <is>
          <t>Dễ</t>
        </is>
      </c>
      <c r="I3972" s="390" t="inlineStr">
        <is>
          <t>Ngày, CTCK</t>
        </is>
      </c>
      <c r="J3972" s="401" t="inlineStr">
        <is>
          <t>SCMS</t>
        </is>
      </c>
      <c r="K3972" s="401" t="inlineStr">
        <is>
          <t>X</t>
        </is>
      </c>
      <c r="L3972" s="401" t="inlineStr">
        <is>
          <t>X</t>
        </is>
      </c>
      <c r="M3972" s="401" t="n"/>
      <c r="N3972" s="401" t="inlineStr">
        <is>
          <t>Pending</t>
        </is>
      </c>
      <c r="O3972" s="401" t="n"/>
      <c r="P3972" s="22" t="n"/>
      <c r="Q3972" s="401" t="n"/>
      <c r="R3972" s="401" t="n"/>
      <c r="S3972" s="22" t="n"/>
      <c r="T3972" s="390" t="n"/>
      <c r="U3972" s="390" t="n"/>
      <c r="V3972" s="22" t="n"/>
      <c r="W3972" s="22" t="n"/>
      <c r="X3972" s="22" t="n"/>
      <c r="Y3972" s="22" t="n"/>
      <c r="Z3972" s="22" t="n"/>
      <c r="AA3972" s="22" t="n"/>
      <c r="AB3972" s="22" t="n"/>
      <c r="AC3972" s="22" t="n"/>
      <c r="AD3972" s="22" t="n"/>
      <c r="AE3972" s="22" t="n"/>
    </row>
    <row r="3973" ht="56" customHeight="1" s="380">
      <c r="A3973" s="160" t="n">
        <v>143</v>
      </c>
      <c r="B3973" s="390" t="n"/>
      <c r="C3973" s="390" t="inlineStr">
        <is>
          <t>Về việc đáp ứng đủ điều kiện đăng ký hoạt động lưu ký chứng khoán - Ngân hàng lưu ký</t>
        </is>
      </c>
      <c r="D3973" s="106" t="inlineStr">
        <is>
          <t>Mã chỉ tiêu</t>
        </is>
      </c>
      <c r="E3973" s="107" t="inlineStr">
        <is>
          <t>Mã chỉ tiêu</t>
        </is>
      </c>
      <c r="F3973" s="390" t="inlineStr">
        <is>
          <t>Data Explorer</t>
        </is>
      </c>
      <c r="G3973" s="390" t="inlineStr">
        <is>
          <t>Chiều</t>
        </is>
      </c>
      <c r="H3973" s="390" t="inlineStr">
        <is>
          <t>Dễ</t>
        </is>
      </c>
      <c r="I3973" s="390" t="inlineStr">
        <is>
          <t>Ngày, CTCK</t>
        </is>
      </c>
      <c r="J3973" s="401" t="inlineStr">
        <is>
          <t>SCMS</t>
        </is>
      </c>
      <c r="K3973" s="401" t="inlineStr">
        <is>
          <t>X</t>
        </is>
      </c>
      <c r="L3973" s="401" t="inlineStr">
        <is>
          <t>X</t>
        </is>
      </c>
      <c r="M3973" s="401" t="n"/>
      <c r="N3973" s="401" t="inlineStr">
        <is>
          <t>Pending</t>
        </is>
      </c>
      <c r="O3973" s="401" t="n"/>
      <c r="P3973" s="22" t="n"/>
      <c r="Q3973" s="401" t="n"/>
      <c r="R3973" s="401" t="n"/>
      <c r="S3973" s="22" t="n"/>
      <c r="T3973" s="390" t="n"/>
      <c r="U3973" s="390" t="n"/>
      <c r="V3973" s="22" t="n"/>
      <c r="W3973" s="22" t="n"/>
      <c r="X3973" s="22" t="n"/>
      <c r="Y3973" s="22" t="n"/>
      <c r="Z3973" s="22" t="n"/>
      <c r="AA3973" s="22" t="n"/>
      <c r="AB3973" s="22" t="n"/>
      <c r="AC3973" s="22" t="n"/>
      <c r="AD3973" s="22" t="n"/>
      <c r="AE3973" s="22" t="n"/>
    </row>
    <row r="3974" ht="56" customHeight="1" s="380">
      <c r="A3974" s="160" t="n">
        <v>143</v>
      </c>
      <c r="B3974" s="390" t="n"/>
      <c r="C3974" s="390" t="inlineStr">
        <is>
          <t>Về việc đáp ứng đủ điều kiện đăng ký hoạt động lưu ký chứng khoán - Ngân hàng lưu ký</t>
        </is>
      </c>
      <c r="D3974" s="106" t="inlineStr">
        <is>
          <t>Tên chỉ tiêu</t>
        </is>
      </c>
      <c r="E3974" s="107" t="inlineStr">
        <is>
          <t>Tên chỉ tiêu</t>
        </is>
      </c>
      <c r="F3974" s="390" t="inlineStr">
        <is>
          <t>Data Explorer</t>
        </is>
      </c>
      <c r="G3974" s="390" t="inlineStr">
        <is>
          <t>Chiều</t>
        </is>
      </c>
      <c r="H3974" s="390" t="inlineStr">
        <is>
          <t>Dễ</t>
        </is>
      </c>
      <c r="I3974" s="390" t="inlineStr">
        <is>
          <t>Ngày, CTCK</t>
        </is>
      </c>
      <c r="J3974" s="401" t="inlineStr">
        <is>
          <t>SCMS</t>
        </is>
      </c>
      <c r="K3974" s="401" t="inlineStr">
        <is>
          <t>X</t>
        </is>
      </c>
      <c r="L3974" s="401" t="inlineStr">
        <is>
          <t>X</t>
        </is>
      </c>
      <c r="M3974" s="401" t="n"/>
      <c r="N3974" s="401" t="inlineStr">
        <is>
          <t>Pending</t>
        </is>
      </c>
      <c r="O3974" s="401" t="n"/>
      <c r="P3974" s="22" t="n"/>
      <c r="Q3974" s="401" t="n"/>
      <c r="R3974" s="401" t="n"/>
      <c r="S3974" s="22" t="n"/>
      <c r="T3974" s="390" t="n"/>
      <c r="U3974" s="390" t="n"/>
      <c r="V3974" s="22" t="n"/>
      <c r="W3974" s="22" t="n"/>
      <c r="X3974" s="22" t="n"/>
      <c r="Y3974" s="22" t="n"/>
      <c r="Z3974" s="22" t="n"/>
      <c r="AA3974" s="22" t="n"/>
      <c r="AB3974" s="22" t="n"/>
      <c r="AC3974" s="22" t="n"/>
      <c r="AD3974" s="22" t="n"/>
      <c r="AE3974" s="22" t="n"/>
    </row>
    <row r="3975" ht="70" customHeight="1" s="380">
      <c r="A3975" s="160" t="n">
        <v>143</v>
      </c>
      <c r="B3975" s="390" t="n"/>
      <c r="C3975" s="390" t="inlineStr">
        <is>
          <t>Về việc đáp ứng đủ điều kiện đăng ký hoạt động lưu ký chứng khoán - Ngân hàng lưu ký</t>
        </is>
      </c>
      <c r="D3975" s="390" t="inlineStr">
        <is>
          <t>Có Giấy phép thành lập và hoạt động tại Việt Nam, trong đó có hoạt động lưu ký chứng khoán &gt;&gt; Mô tả chi tiết</t>
        </is>
      </c>
      <c r="E3975" s="390" t="inlineStr">
        <is>
          <t>Có Giấy phép thành lập và hoạt động tại Việt Nam, trong đó có hoạt động lưu ký chứng khoán &gt;&gt; Mô tả chi tiết</t>
        </is>
      </c>
      <c r="F3975" s="390" t="inlineStr">
        <is>
          <t>Data Explorer</t>
        </is>
      </c>
      <c r="G3975" s="390" t="inlineStr">
        <is>
          <t>Chiều</t>
        </is>
      </c>
      <c r="H3975" s="390" t="inlineStr">
        <is>
          <t>Dễ</t>
        </is>
      </c>
      <c r="I3975" s="390" t="inlineStr">
        <is>
          <t>Ngày, CTCK</t>
        </is>
      </c>
      <c r="J3975" s="401" t="inlineStr">
        <is>
          <t>SCMS</t>
        </is>
      </c>
      <c r="K3975" s="401" t="inlineStr">
        <is>
          <t>X</t>
        </is>
      </c>
      <c r="L3975" s="401" t="inlineStr">
        <is>
          <t>X</t>
        </is>
      </c>
      <c r="M3975" s="401" t="n"/>
      <c r="N3975" s="401" t="inlineStr">
        <is>
          <t>Pending</t>
        </is>
      </c>
      <c r="O3975" s="401" t="n"/>
      <c r="P3975" s="22" t="n"/>
      <c r="Q3975" s="401" t="n"/>
      <c r="R3975" s="401" t="n"/>
      <c r="S3975" s="22" t="n"/>
      <c r="T3975" s="390" t="n"/>
      <c r="U3975" s="390" t="inlineStr">
        <is>
          <t>Không có thông tin</t>
        </is>
      </c>
      <c r="V3975" s="22" t="n"/>
      <c r="W3975" s="22" t="n"/>
      <c r="X3975" s="22" t="n"/>
      <c r="Y3975" s="22" t="n"/>
      <c r="Z3975" s="22" t="n"/>
      <c r="AA3975" s="22" t="n"/>
      <c r="AB3975" s="22" t="n"/>
      <c r="AC3975" s="22" t="n"/>
      <c r="AD3975" s="22" t="n"/>
      <c r="AE3975" s="22" t="n"/>
    </row>
    <row r="3976" ht="70" customHeight="1" s="380">
      <c r="A3976" s="160" t="n">
        <v>143</v>
      </c>
      <c r="B3976" s="390" t="n"/>
      <c r="C3976" s="390" t="inlineStr">
        <is>
          <t>Về việc đáp ứng đủ điều kiện đăng ký hoạt động lưu ký chứng khoán - Ngân hàng lưu ký</t>
        </is>
      </c>
      <c r="D3976" s="390" t="inlineStr">
        <is>
          <t>Có Giấy phép thành lập và hoạt động tại Việt Nam, trong đó có hoạt động lưu ký chứng khoán &gt;&gt; Đáp ứng (x)</t>
        </is>
      </c>
      <c r="E3976" s="390" t="inlineStr">
        <is>
          <t>Có Giấy phép thành lập và hoạt động tại Việt Nam, trong đó có hoạt động lưu ký chứng khoán &gt;&gt; Đáp ứng (x)</t>
        </is>
      </c>
      <c r="F3976" s="390" t="inlineStr">
        <is>
          <t>Data Explorer</t>
        </is>
      </c>
      <c r="G3976" s="390" t="inlineStr">
        <is>
          <t>Chiều</t>
        </is>
      </c>
      <c r="H3976" s="390" t="inlineStr">
        <is>
          <t>Dễ</t>
        </is>
      </c>
      <c r="I3976" s="390" t="inlineStr">
        <is>
          <t>Ngày, CTCK</t>
        </is>
      </c>
      <c r="J3976" s="401" t="inlineStr">
        <is>
          <t>SCMS</t>
        </is>
      </c>
      <c r="K3976" s="401" t="inlineStr">
        <is>
          <t>X</t>
        </is>
      </c>
      <c r="L3976" s="401" t="inlineStr">
        <is>
          <t>X</t>
        </is>
      </c>
      <c r="M3976" s="401" t="n"/>
      <c r="N3976" s="401" t="inlineStr">
        <is>
          <t>Pending</t>
        </is>
      </c>
      <c r="O3976" s="401" t="n"/>
      <c r="P3976" s="22" t="n"/>
      <c r="Q3976" s="401" t="n"/>
      <c r="R3976" s="401" t="n"/>
      <c r="S3976" s="22" t="n"/>
      <c r="T3976" s="390" t="n"/>
      <c r="U3976" s="390" t="inlineStr">
        <is>
          <t>Không có thông tin</t>
        </is>
      </c>
      <c r="V3976" s="22" t="n"/>
      <c r="W3976" s="22" t="n"/>
      <c r="X3976" s="22" t="n"/>
      <c r="Y3976" s="22" t="n"/>
      <c r="Z3976" s="22" t="n"/>
      <c r="AA3976" s="22" t="n"/>
      <c r="AB3976" s="22" t="n"/>
      <c r="AC3976" s="22" t="n"/>
      <c r="AD3976" s="22" t="n"/>
      <c r="AE3976" s="22" t="n"/>
    </row>
    <row r="3977" ht="98" customHeight="1" s="380">
      <c r="A3977" s="160" t="n">
        <v>143</v>
      </c>
      <c r="B3977" s="390" t="n"/>
      <c r="C3977" s="390" t="inlineStr">
        <is>
          <t>Về việc đáp ứng đủ điều kiện đăng ký hoạt động lưu ký chứng khoán - Ngân hàng lưu ký</t>
        </is>
      </c>
      <c r="D3977" s="390" t="inlineStr">
        <is>
          <t>Đáp ứng tỷ lệ an toàn vốn tối thiểu theo quy định của pháp luật về ngân hàng, hoạt động kinh doanh có lãi trong năm gần nhất &gt;&gt; Mô tả chi tiết</t>
        </is>
      </c>
      <c r="E3977" s="390" t="inlineStr">
        <is>
          <t>Đáp ứng tỷ lệ an toàn vốn tối thiểu theo quy định của pháp luật về ngân hàng, hoạt động kinh doanh có lãi trong năm gần nhất &gt;&gt; Mô tả chi tiết</t>
        </is>
      </c>
      <c r="F3977" s="390" t="inlineStr">
        <is>
          <t>Data Explorer</t>
        </is>
      </c>
      <c r="G3977" s="390" t="inlineStr">
        <is>
          <t>Chiều</t>
        </is>
      </c>
      <c r="H3977" s="390" t="inlineStr">
        <is>
          <t>Dễ</t>
        </is>
      </c>
      <c r="I3977" s="390" t="inlineStr">
        <is>
          <t>Ngày, CTCK</t>
        </is>
      </c>
      <c r="J3977" s="401" t="inlineStr">
        <is>
          <t>SCMS</t>
        </is>
      </c>
      <c r="K3977" s="401" t="inlineStr">
        <is>
          <t>X</t>
        </is>
      </c>
      <c r="L3977" s="401" t="inlineStr">
        <is>
          <t>X</t>
        </is>
      </c>
      <c r="M3977" s="401" t="n"/>
      <c r="N3977" s="401" t="inlineStr">
        <is>
          <t>Pending</t>
        </is>
      </c>
      <c r="O3977" s="401" t="n"/>
      <c r="P3977" s="22" t="n"/>
      <c r="Q3977" s="401" t="n"/>
      <c r="R3977" s="401" t="n"/>
      <c r="S3977" s="22" t="n"/>
      <c r="T3977" s="390" t="n"/>
      <c r="U3977" s="390" t="inlineStr">
        <is>
          <t>Không có thông tin</t>
        </is>
      </c>
      <c r="V3977" s="22" t="n"/>
      <c r="W3977" s="22" t="n"/>
      <c r="X3977" s="22" t="n"/>
      <c r="Y3977" s="22" t="n"/>
      <c r="Z3977" s="22" t="n"/>
      <c r="AA3977" s="22" t="n"/>
      <c r="AB3977" s="22" t="n"/>
      <c r="AC3977" s="22" t="n"/>
      <c r="AD3977" s="22" t="n"/>
      <c r="AE3977" s="22" t="n"/>
    </row>
    <row r="3978" ht="98" customHeight="1" s="380">
      <c r="A3978" s="160" t="n">
        <v>143</v>
      </c>
      <c r="B3978" s="390" t="n"/>
      <c r="C3978" s="390" t="inlineStr">
        <is>
          <t>Về việc đáp ứng đủ điều kiện đăng ký hoạt động lưu ký chứng khoán - Ngân hàng lưu ký</t>
        </is>
      </c>
      <c r="D3978" s="390" t="inlineStr">
        <is>
          <t>Đáp ứng tỷ lệ an toàn vốn tối thiểu theo quy định của pháp luật về ngân hàng, hoạt động kinh doanh có lãi trong năm gần nhất &gt;&gt; Đáp ứng (x)</t>
        </is>
      </c>
      <c r="E3978" s="390" t="inlineStr">
        <is>
          <t>Đáp ứng tỷ lệ an toàn vốn tối thiểu theo quy định của pháp luật về ngân hàng, hoạt động kinh doanh có lãi trong năm gần nhất &gt;&gt; Đáp ứng (x)</t>
        </is>
      </c>
      <c r="F3978" s="390" t="inlineStr">
        <is>
          <t>Data Explorer</t>
        </is>
      </c>
      <c r="G3978" s="390" t="inlineStr">
        <is>
          <t>Chiều</t>
        </is>
      </c>
      <c r="H3978" s="390" t="inlineStr">
        <is>
          <t>Dễ</t>
        </is>
      </c>
      <c r="I3978" s="390" t="inlineStr">
        <is>
          <t>Ngày, CTCK</t>
        </is>
      </c>
      <c r="J3978" s="401" t="inlineStr">
        <is>
          <t>SCMS</t>
        </is>
      </c>
      <c r="K3978" s="401" t="inlineStr">
        <is>
          <t>X</t>
        </is>
      </c>
      <c r="L3978" s="401" t="inlineStr">
        <is>
          <t>X</t>
        </is>
      </c>
      <c r="M3978" s="401" t="n"/>
      <c r="N3978" s="401" t="inlineStr">
        <is>
          <t>Pending</t>
        </is>
      </c>
      <c r="O3978" s="401" t="n"/>
      <c r="P3978" s="22" t="n"/>
      <c r="Q3978" s="401" t="n"/>
      <c r="R3978" s="401" t="n"/>
      <c r="S3978" s="22" t="n"/>
      <c r="T3978" s="390" t="n"/>
      <c r="U3978" s="390" t="inlineStr">
        <is>
          <t>Không có thông tin</t>
        </is>
      </c>
      <c r="V3978" s="22" t="n"/>
      <c r="W3978" s="22" t="n"/>
      <c r="X3978" s="22" t="n"/>
      <c r="Y3978" s="22" t="n"/>
      <c r="Z3978" s="22" t="n"/>
      <c r="AA3978" s="22" t="n"/>
      <c r="AB3978" s="22" t="n"/>
      <c r="AC3978" s="22" t="n"/>
      <c r="AD3978" s="22" t="n"/>
      <c r="AE3978" s="22" t="n"/>
    </row>
    <row r="3979" ht="70" customHeight="1" s="380">
      <c r="A3979" s="160" t="n">
        <v>143</v>
      </c>
      <c r="B3979" s="390" t="n"/>
      <c r="C3979" s="390" t="inlineStr">
        <is>
          <t>Về việc đáp ứng đủ điều kiện đăng ký hoạt động lưu ký chứng khoán - Ngân hàng lưu ký</t>
        </is>
      </c>
      <c r="D3979" s="390" t="inlineStr">
        <is>
          <t>Đáp ứng điều kiện về cơ sở vật chất, kỹ thuật bảo đảm thực hiện hoạt động lưu ký chứng khoán &gt;&gt; Mô tả chi tiết</t>
        </is>
      </c>
      <c r="E3979" s="390" t="inlineStr">
        <is>
          <t>Đáp ứng điều kiện về cơ sở vật chất, kỹ thuật bảo đảm thực hiện hoạt động lưu ký chứng khoán &gt;&gt; Mô tả chi tiết</t>
        </is>
      </c>
      <c r="F3979" s="390" t="inlineStr">
        <is>
          <t>Data Explorer</t>
        </is>
      </c>
      <c r="G3979" s="390" t="inlineStr">
        <is>
          <t>Chiều</t>
        </is>
      </c>
      <c r="H3979" s="390" t="inlineStr">
        <is>
          <t>Dễ</t>
        </is>
      </c>
      <c r="I3979" s="390" t="inlineStr">
        <is>
          <t>Ngày, CTCK</t>
        </is>
      </c>
      <c r="J3979" s="401" t="inlineStr">
        <is>
          <t>SCMS</t>
        </is>
      </c>
      <c r="K3979" s="401" t="inlineStr">
        <is>
          <t>X</t>
        </is>
      </c>
      <c r="L3979" s="401" t="inlineStr">
        <is>
          <t>X</t>
        </is>
      </c>
      <c r="M3979" s="401" t="n"/>
      <c r="N3979" s="401" t="inlineStr">
        <is>
          <t>Pending</t>
        </is>
      </c>
      <c r="O3979" s="401" t="n"/>
      <c r="P3979" s="22" t="n"/>
      <c r="Q3979" s="401" t="n"/>
      <c r="R3979" s="401" t="n"/>
      <c r="S3979" s="22" t="n"/>
      <c r="T3979" s="390" t="n"/>
      <c r="U3979" s="390" t="inlineStr">
        <is>
          <t>Không có thông tin</t>
        </is>
      </c>
      <c r="V3979" s="22" t="n"/>
      <c r="W3979" s="22" t="n"/>
      <c r="X3979" s="22" t="n"/>
      <c r="Y3979" s="22" t="n"/>
      <c r="Z3979" s="22" t="n"/>
      <c r="AA3979" s="22" t="n"/>
      <c r="AB3979" s="22" t="n"/>
      <c r="AC3979" s="22" t="n"/>
      <c r="AD3979" s="22" t="n"/>
      <c r="AE3979" s="22" t="n"/>
    </row>
    <row r="3980" ht="70" customHeight="1" s="380">
      <c r="A3980" s="161" t="n">
        <v>143</v>
      </c>
      <c r="B3980" s="129" t="n"/>
      <c r="C3980" s="129" t="inlineStr">
        <is>
          <t>Về việc đáp ứng đủ điều kiện đăng ký hoạt động lưu ký chứng khoán - Ngân hàng lưu ký</t>
        </is>
      </c>
      <c r="D3980" s="129" t="inlineStr">
        <is>
          <t>Đáp ứng điều kiện về cơ sở vật chất, kỹ thuật bảo đảm thực hiện hoạt động lưu ký chứng khoán &gt;&gt; Đáp ứng (x)</t>
        </is>
      </c>
      <c r="E3980" s="129" t="inlineStr">
        <is>
          <t>Đáp ứng điều kiện về cơ sở vật chất, kỹ thuật bảo đảm thực hiện hoạt động lưu ký chứng khoán &gt;&gt; Đáp ứng (x)</t>
        </is>
      </c>
      <c r="F3980" s="129" t="inlineStr">
        <is>
          <t>Data Explorer</t>
        </is>
      </c>
      <c r="G3980" s="129" t="inlineStr">
        <is>
          <t>Chiều</t>
        </is>
      </c>
      <c r="H3980" s="129" t="inlineStr">
        <is>
          <t>Dễ</t>
        </is>
      </c>
      <c r="I3980" s="129" t="inlineStr">
        <is>
          <t>Ngày, CTCK</t>
        </is>
      </c>
      <c r="J3980" s="85" t="inlineStr">
        <is>
          <t>SCMS</t>
        </is>
      </c>
      <c r="K3980" s="85" t="inlineStr">
        <is>
          <t>X</t>
        </is>
      </c>
      <c r="L3980" s="85" t="inlineStr">
        <is>
          <t>X</t>
        </is>
      </c>
      <c r="M3980" s="85" t="n"/>
      <c r="N3980" s="85" t="inlineStr">
        <is>
          <t>Pending</t>
        </is>
      </c>
      <c r="O3980" s="85" t="n"/>
      <c r="P3980" s="130" t="n"/>
      <c r="Q3980" s="85" t="n"/>
      <c r="R3980" s="85" t="n"/>
      <c r="S3980" s="130" t="n"/>
      <c r="T3980" s="129" t="n"/>
      <c r="U3980" s="129" t="inlineStr">
        <is>
          <t>Không có thông tin</t>
        </is>
      </c>
      <c r="V3980" s="130" t="n"/>
      <c r="W3980" s="130" t="n"/>
      <c r="X3980" s="130" t="n"/>
      <c r="Y3980" s="130" t="n"/>
      <c r="Z3980" s="130" t="n"/>
      <c r="AA3980" s="130" t="n"/>
      <c r="AB3980" s="130" t="n"/>
      <c r="AC3980" s="130" t="n"/>
      <c r="AD3980" s="130" t="n"/>
      <c r="AE3980" s="130" t="n"/>
    </row>
    <row r="3981" ht="56" customHeight="1" s="380">
      <c r="A3981" s="162" t="n">
        <v>144</v>
      </c>
      <c r="B3981" s="127" t="n"/>
      <c r="C3981" s="127" t="inlineStr">
        <is>
          <t>Về việc đáp ứng đủ điều kiện làm ngân hàng thanh toán năm - Ngân hàng thanh toán</t>
        </is>
      </c>
      <c r="D3981" s="106" t="inlineStr">
        <is>
          <t>Loại báo cáo</t>
        </is>
      </c>
      <c r="E3981" s="107" t="inlineStr">
        <is>
          <t>Loại báo cáo</t>
        </is>
      </c>
      <c r="F3981" s="390" t="inlineStr">
        <is>
          <t>Data Explorer</t>
        </is>
      </c>
      <c r="G3981" s="390" t="inlineStr">
        <is>
          <t>Chiều</t>
        </is>
      </c>
      <c r="H3981" s="390" t="inlineStr">
        <is>
          <t>Dễ</t>
        </is>
      </c>
      <c r="I3981" s="390" t="inlineStr">
        <is>
          <t>Ngày, CTCK</t>
        </is>
      </c>
      <c r="J3981" s="401" t="inlineStr">
        <is>
          <t>SCMS</t>
        </is>
      </c>
      <c r="K3981" s="401" t="inlineStr">
        <is>
          <t>X</t>
        </is>
      </c>
      <c r="L3981" s="401" t="inlineStr">
        <is>
          <t>X</t>
        </is>
      </c>
      <c r="M3981" s="401" t="n"/>
      <c r="N3981" s="401" t="inlineStr">
        <is>
          <t>Pending</t>
        </is>
      </c>
      <c r="O3981" s="401" t="n"/>
      <c r="P3981" s="22" t="n"/>
      <c r="Q3981" s="105" t="inlineStr">
        <is>
          <t>DB cũ không thấy biểu mẫu báo cáo này</t>
        </is>
      </c>
      <c r="R3981" s="401" t="n"/>
      <c r="S3981" s="22" t="n"/>
      <c r="T3981" s="390" t="n"/>
      <c r="U3981" s="390" t="n"/>
      <c r="V3981" s="22" t="n"/>
      <c r="W3981" s="22" t="n"/>
      <c r="X3981" s="22" t="n"/>
      <c r="Y3981" s="22" t="n"/>
      <c r="Z3981" s="22" t="n"/>
      <c r="AA3981" s="22" t="n"/>
      <c r="AB3981" s="22" t="n"/>
      <c r="AC3981" s="22" t="n"/>
      <c r="AD3981" s="22" t="n"/>
      <c r="AE3981" s="22" t="n"/>
    </row>
    <row r="3982" ht="56" customHeight="1" s="380">
      <c r="A3982" s="162" t="n">
        <v>144</v>
      </c>
      <c r="B3982" s="390" t="n"/>
      <c r="C3982" s="390" t="inlineStr">
        <is>
          <t>Về việc đáp ứng đủ điều kiện làm ngân hàng thanh toán năm - Ngân hàng thanh toán</t>
        </is>
      </c>
      <c r="D3982" s="106" t="inlineStr">
        <is>
          <t>Kỳ báo cáo</t>
        </is>
      </c>
      <c r="E3982" s="107" t="inlineStr">
        <is>
          <t>Kỳ báo cáo</t>
        </is>
      </c>
      <c r="F3982" s="390" t="inlineStr">
        <is>
          <t>Data Explorer</t>
        </is>
      </c>
      <c r="G3982" s="390" t="inlineStr">
        <is>
          <t>Chiều</t>
        </is>
      </c>
      <c r="H3982" s="390" t="inlineStr">
        <is>
          <t>Dễ</t>
        </is>
      </c>
      <c r="I3982" s="390" t="inlineStr">
        <is>
          <t>Ngày, CTCK</t>
        </is>
      </c>
      <c r="J3982" s="401" t="inlineStr">
        <is>
          <t>SCMS</t>
        </is>
      </c>
      <c r="K3982" s="401" t="inlineStr">
        <is>
          <t>X</t>
        </is>
      </c>
      <c r="L3982" s="401" t="inlineStr">
        <is>
          <t>X</t>
        </is>
      </c>
      <c r="M3982" s="401" t="n"/>
      <c r="N3982" s="401" t="inlineStr">
        <is>
          <t>Pending</t>
        </is>
      </c>
      <c r="O3982" s="401" t="n"/>
      <c r="P3982" s="22" t="n"/>
      <c r="Q3982" s="401" t="n"/>
      <c r="R3982" s="401" t="n"/>
      <c r="S3982" s="22" t="n"/>
      <c r="T3982" s="390" t="n"/>
      <c r="U3982" s="390" t="n"/>
      <c r="V3982" s="22" t="n"/>
      <c r="W3982" s="22" t="n"/>
      <c r="X3982" s="22" t="n"/>
      <c r="Y3982" s="22" t="n"/>
      <c r="Z3982" s="22" t="n"/>
      <c r="AA3982" s="22" t="n"/>
      <c r="AB3982" s="22" t="n"/>
      <c r="AC3982" s="22" t="n"/>
      <c r="AD3982" s="22" t="n"/>
      <c r="AE3982" s="22" t="n"/>
    </row>
    <row r="3983" ht="56" customHeight="1" s="380">
      <c r="A3983" s="162" t="n">
        <v>144</v>
      </c>
      <c r="B3983" s="390" t="n"/>
      <c r="C3983" s="390" t="inlineStr">
        <is>
          <t>Về việc đáp ứng đủ điều kiện làm ngân hàng thanh toán năm - Ngân hàng thanh toán</t>
        </is>
      </c>
      <c r="D3983" s="106" t="inlineStr">
        <is>
          <t>Mã báo cáo</t>
        </is>
      </c>
      <c r="E3983" s="107" t="inlineStr">
        <is>
          <t>Mã báo cáo</t>
        </is>
      </c>
      <c r="F3983" s="390" t="inlineStr">
        <is>
          <t>Data Explorer</t>
        </is>
      </c>
      <c r="G3983" s="390" t="inlineStr">
        <is>
          <t>Chiều</t>
        </is>
      </c>
      <c r="H3983" s="390" t="inlineStr">
        <is>
          <t>Dễ</t>
        </is>
      </c>
      <c r="I3983" s="390" t="inlineStr">
        <is>
          <t>Ngày, CTCK</t>
        </is>
      </c>
      <c r="J3983" s="401" t="inlineStr">
        <is>
          <t>SCMS</t>
        </is>
      </c>
      <c r="K3983" s="401" t="inlineStr">
        <is>
          <t>X</t>
        </is>
      </c>
      <c r="L3983" s="401" t="inlineStr">
        <is>
          <t>X</t>
        </is>
      </c>
      <c r="M3983" s="401" t="n"/>
      <c r="N3983" s="401" t="inlineStr">
        <is>
          <t>Pending</t>
        </is>
      </c>
      <c r="O3983" s="401" t="n"/>
      <c r="P3983" s="22" t="n"/>
      <c r="Q3983" s="401" t="n"/>
      <c r="R3983" s="401" t="n"/>
      <c r="S3983" s="22" t="n"/>
      <c r="T3983" s="390" t="n"/>
      <c r="U3983" s="390" t="n"/>
      <c r="V3983" s="22" t="n"/>
      <c r="W3983" s="22" t="n"/>
      <c r="X3983" s="22" t="n"/>
      <c r="Y3983" s="22" t="n"/>
      <c r="Z3983" s="22" t="n"/>
      <c r="AA3983" s="22" t="n"/>
      <c r="AB3983" s="22" t="n"/>
      <c r="AC3983" s="22" t="n"/>
      <c r="AD3983" s="22" t="n"/>
      <c r="AE3983" s="22" t="n"/>
    </row>
    <row r="3984" ht="56" customHeight="1" s="380">
      <c r="A3984" s="162" t="n">
        <v>144</v>
      </c>
      <c r="B3984" s="390" t="n"/>
      <c r="C3984" s="390" t="inlineStr">
        <is>
          <t>Về việc đáp ứng đủ điều kiện làm ngân hàng thanh toán năm - Ngân hàng thanh toán</t>
        </is>
      </c>
      <c r="D3984" s="106" t="inlineStr">
        <is>
          <t>Tên báo cáo</t>
        </is>
      </c>
      <c r="E3984" s="107" t="inlineStr">
        <is>
          <t>Tên báo cáo</t>
        </is>
      </c>
      <c r="F3984" s="390" t="inlineStr">
        <is>
          <t>Data Explorer</t>
        </is>
      </c>
      <c r="G3984" s="390" t="inlineStr">
        <is>
          <t>Chiều</t>
        </is>
      </c>
      <c r="H3984" s="390" t="inlineStr">
        <is>
          <t>Dễ</t>
        </is>
      </c>
      <c r="I3984" s="390" t="inlineStr">
        <is>
          <t>Ngày, CTCK</t>
        </is>
      </c>
      <c r="J3984" s="401" t="inlineStr">
        <is>
          <t>SCMS</t>
        </is>
      </c>
      <c r="K3984" s="401" t="inlineStr">
        <is>
          <t>X</t>
        </is>
      </c>
      <c r="L3984" s="401" t="inlineStr">
        <is>
          <t>X</t>
        </is>
      </c>
      <c r="M3984" s="401" t="n"/>
      <c r="N3984" s="401" t="inlineStr">
        <is>
          <t>Pending</t>
        </is>
      </c>
      <c r="O3984" s="401" t="n"/>
      <c r="P3984" s="22" t="n"/>
      <c r="Q3984" s="401" t="n"/>
      <c r="R3984" s="401" t="n"/>
      <c r="S3984" s="22" t="n"/>
      <c r="T3984" s="390" t="n"/>
      <c r="U3984" s="390" t="n"/>
      <c r="V3984" s="22" t="n"/>
      <c r="W3984" s="22" t="n"/>
      <c r="X3984" s="22" t="n"/>
      <c r="Y3984" s="22" t="n"/>
      <c r="Z3984" s="22" t="n"/>
      <c r="AA3984" s="22" t="n"/>
      <c r="AB3984" s="22" t="n"/>
      <c r="AC3984" s="22" t="n"/>
      <c r="AD3984" s="22" t="n"/>
      <c r="AE3984" s="22" t="n"/>
    </row>
    <row r="3985" ht="56" customHeight="1" s="380">
      <c r="A3985" s="162" t="n">
        <v>144</v>
      </c>
      <c r="B3985" s="390" t="n"/>
      <c r="C3985" s="390" t="inlineStr">
        <is>
          <t>Về việc đáp ứng đủ điều kiện làm ngân hàng thanh toán năm - Ngân hàng thanh toán</t>
        </is>
      </c>
      <c r="D3985" s="106" t="inlineStr">
        <is>
          <t>Mã chỉ tiêu</t>
        </is>
      </c>
      <c r="E3985" s="107" t="inlineStr">
        <is>
          <t>Mã chỉ tiêu</t>
        </is>
      </c>
      <c r="F3985" s="390" t="inlineStr">
        <is>
          <t>Data Explorer</t>
        </is>
      </c>
      <c r="G3985" s="390" t="inlineStr">
        <is>
          <t>Chiều</t>
        </is>
      </c>
      <c r="H3985" s="390" t="inlineStr">
        <is>
          <t>Dễ</t>
        </is>
      </c>
      <c r="I3985" s="390" t="inlineStr">
        <is>
          <t>Ngày, CTCK</t>
        </is>
      </c>
      <c r="J3985" s="401" t="inlineStr">
        <is>
          <t>SCMS</t>
        </is>
      </c>
      <c r="K3985" s="401" t="inlineStr">
        <is>
          <t>X</t>
        </is>
      </c>
      <c r="L3985" s="401" t="inlineStr">
        <is>
          <t>X</t>
        </is>
      </c>
      <c r="M3985" s="401" t="n"/>
      <c r="N3985" s="401" t="inlineStr">
        <is>
          <t>Pending</t>
        </is>
      </c>
      <c r="O3985" s="401" t="n"/>
      <c r="P3985" s="22" t="n"/>
      <c r="Q3985" s="401" t="n"/>
      <c r="R3985" s="401" t="n"/>
      <c r="S3985" s="22" t="n"/>
      <c r="T3985" s="390" t="n"/>
      <c r="U3985" s="390" t="n"/>
      <c r="V3985" s="22" t="n"/>
      <c r="W3985" s="22" t="n"/>
      <c r="X3985" s="22" t="n"/>
      <c r="Y3985" s="22" t="n"/>
      <c r="Z3985" s="22" t="n"/>
      <c r="AA3985" s="22" t="n"/>
      <c r="AB3985" s="22" t="n"/>
      <c r="AC3985" s="22" t="n"/>
      <c r="AD3985" s="22" t="n"/>
      <c r="AE3985" s="22" t="n"/>
    </row>
    <row r="3986" ht="56" customHeight="1" s="380">
      <c r="A3986" s="162" t="n">
        <v>144</v>
      </c>
      <c r="B3986" s="390" t="n"/>
      <c r="C3986" s="390" t="inlineStr">
        <is>
          <t>Về việc đáp ứng đủ điều kiện làm ngân hàng thanh toán năm - Ngân hàng thanh toán</t>
        </is>
      </c>
      <c r="D3986" s="106" t="inlineStr">
        <is>
          <t>Tên chỉ tiêu</t>
        </is>
      </c>
      <c r="E3986" s="107" t="inlineStr">
        <is>
          <t>Tên chỉ tiêu</t>
        </is>
      </c>
      <c r="F3986" s="390" t="inlineStr">
        <is>
          <t>Data Explorer</t>
        </is>
      </c>
      <c r="G3986" s="390" t="inlineStr">
        <is>
          <t>Chiều</t>
        </is>
      </c>
      <c r="H3986" s="390" t="inlineStr">
        <is>
          <t>Dễ</t>
        </is>
      </c>
      <c r="I3986" s="390" t="inlineStr">
        <is>
          <t>Ngày, CTCK</t>
        </is>
      </c>
      <c r="J3986" s="401" t="inlineStr">
        <is>
          <t>SCMS</t>
        </is>
      </c>
      <c r="K3986" s="401" t="inlineStr">
        <is>
          <t>X</t>
        </is>
      </c>
      <c r="L3986" s="401" t="inlineStr">
        <is>
          <t>X</t>
        </is>
      </c>
      <c r="M3986" s="401" t="n"/>
      <c r="N3986" s="401" t="inlineStr">
        <is>
          <t>Pending</t>
        </is>
      </c>
      <c r="O3986" s="401" t="n"/>
      <c r="P3986" s="22" t="n"/>
      <c r="Q3986" s="401" t="n"/>
      <c r="R3986" s="401" t="n"/>
      <c r="S3986" s="22" t="n"/>
      <c r="T3986" s="390" t="n"/>
      <c r="U3986" s="390" t="n"/>
      <c r="V3986" s="22" t="n"/>
      <c r="W3986" s="22" t="n"/>
      <c r="X3986" s="22" t="n"/>
      <c r="Y3986" s="22" t="n"/>
      <c r="Z3986" s="22" t="n"/>
      <c r="AA3986" s="22" t="n"/>
      <c r="AB3986" s="22" t="n"/>
      <c r="AC3986" s="22" t="n"/>
      <c r="AD3986" s="22" t="n"/>
      <c r="AE3986" s="22" t="n"/>
    </row>
    <row r="3987" ht="56" customHeight="1" s="380">
      <c r="A3987" s="162" t="n">
        <v>144</v>
      </c>
      <c r="B3987" s="390" t="n"/>
      <c r="C3987" s="390" t="inlineStr">
        <is>
          <t>Về việc đáp ứng đủ điều kiện làm ngân hàng thanh toán năm - Ngân hàng thanh toán</t>
        </is>
      </c>
      <c r="D3987" s="390" t="inlineStr">
        <is>
          <t>Có Giấy phép thành lập và hoạt động tại Việt Nam theo quy định của pháp luật &gt;&gt; Mô tả chi tiết</t>
        </is>
      </c>
      <c r="E3987" s="390" t="inlineStr">
        <is>
          <t>Có Giấy phép thành lập và hoạt động tại Việt Nam theo quy định của pháp luật &gt;&gt; Mô tả chi tiết</t>
        </is>
      </c>
      <c r="F3987" s="390" t="inlineStr">
        <is>
          <t>Data Explorer</t>
        </is>
      </c>
      <c r="G3987" s="390" t="inlineStr">
        <is>
          <t>Chiều</t>
        </is>
      </c>
      <c r="H3987" s="390" t="inlineStr">
        <is>
          <t>Dễ</t>
        </is>
      </c>
      <c r="I3987" s="390" t="inlineStr">
        <is>
          <t>Ngày, CTCK</t>
        </is>
      </c>
      <c r="J3987" s="401" t="inlineStr">
        <is>
          <t>SCMS</t>
        </is>
      </c>
      <c r="K3987" s="401" t="inlineStr">
        <is>
          <t>X</t>
        </is>
      </c>
      <c r="L3987" s="401" t="inlineStr">
        <is>
          <t>X</t>
        </is>
      </c>
      <c r="M3987" s="401" t="n"/>
      <c r="N3987" s="401" t="inlineStr">
        <is>
          <t>Pending</t>
        </is>
      </c>
      <c r="O3987" s="401" t="n"/>
      <c r="P3987" s="22" t="n"/>
      <c r="Q3987" s="401" t="n"/>
      <c r="R3987" s="401" t="n"/>
      <c r="S3987" s="22" t="n"/>
      <c r="T3987" s="390" t="n"/>
      <c r="U3987" s="390" t="inlineStr">
        <is>
          <t>Không có thông tin</t>
        </is>
      </c>
      <c r="V3987" s="22" t="n"/>
      <c r="W3987" s="22" t="n"/>
      <c r="X3987" s="22" t="n"/>
      <c r="Y3987" s="22" t="n"/>
      <c r="Z3987" s="22" t="n"/>
      <c r="AA3987" s="22" t="n"/>
      <c r="AB3987" s="22" t="n"/>
      <c r="AC3987" s="22" t="n"/>
      <c r="AD3987" s="22" t="n"/>
      <c r="AE3987" s="22" t="n"/>
    </row>
    <row r="3988" ht="56" customHeight="1" s="380">
      <c r="A3988" s="162" t="n">
        <v>144</v>
      </c>
      <c r="B3988" s="390" t="n"/>
      <c r="C3988" s="390" t="inlineStr">
        <is>
          <t>Về việc đáp ứng đủ điều kiện làm ngân hàng thanh toán năm - Ngân hàng thanh toán</t>
        </is>
      </c>
      <c r="D3988" s="390" t="inlineStr">
        <is>
          <t>Có Giấy phép thành lập và hoạt động tại Việt Nam theo quy định của pháp luật &gt;&gt; Đáp ứng (x)</t>
        </is>
      </c>
      <c r="E3988" s="390" t="inlineStr">
        <is>
          <t>Có Giấy phép thành lập và hoạt động tại Việt Nam theo quy định của pháp luật &gt;&gt; Đáp ứng (x)</t>
        </is>
      </c>
      <c r="F3988" s="390" t="inlineStr">
        <is>
          <t>Data Explorer</t>
        </is>
      </c>
      <c r="G3988" s="390" t="inlineStr">
        <is>
          <t>Chiều</t>
        </is>
      </c>
      <c r="H3988" s="390" t="inlineStr">
        <is>
          <t>Dễ</t>
        </is>
      </c>
      <c r="I3988" s="390" t="inlineStr">
        <is>
          <t>Ngày, CTCK</t>
        </is>
      </c>
      <c r="J3988" s="401" t="inlineStr">
        <is>
          <t>SCMS</t>
        </is>
      </c>
      <c r="K3988" s="401" t="inlineStr">
        <is>
          <t>X</t>
        </is>
      </c>
      <c r="L3988" s="401" t="inlineStr">
        <is>
          <t>X</t>
        </is>
      </c>
      <c r="M3988" s="401" t="n"/>
      <c r="N3988" s="401" t="inlineStr">
        <is>
          <t>Pending</t>
        </is>
      </c>
      <c r="O3988" s="401" t="n"/>
      <c r="P3988" s="22" t="n"/>
      <c r="Q3988" s="401" t="n"/>
      <c r="R3988" s="401" t="n"/>
      <c r="S3988" s="22" t="n"/>
      <c r="T3988" s="390" t="n"/>
      <c r="U3988" s="390" t="inlineStr">
        <is>
          <t>Không có thông tin</t>
        </is>
      </c>
      <c r="V3988" s="22" t="n"/>
      <c r="W3988" s="22" t="n"/>
      <c r="X3988" s="22" t="n"/>
      <c r="Y3988" s="22" t="n"/>
      <c r="Z3988" s="22" t="n"/>
      <c r="AA3988" s="22" t="n"/>
      <c r="AB3988" s="22" t="n"/>
      <c r="AC3988" s="22" t="n"/>
      <c r="AD3988" s="22" t="n"/>
      <c r="AE3988" s="22" t="n"/>
    </row>
    <row r="3989" ht="56" customHeight="1" s="380">
      <c r="A3989" s="162" t="n">
        <v>144</v>
      </c>
      <c r="B3989" s="390" t="n"/>
      <c r="C3989" s="390" t="inlineStr">
        <is>
          <t>Về việc đáp ứng đủ điều kiện làm ngân hàng thanh toán năm - Ngân hàng thanh toán</t>
        </is>
      </c>
      <c r="D3989" s="390" t="inlineStr">
        <is>
          <t>Có vốn điều lệ trên 10.000 tỷ đồng &gt;&gt; Mô tả chi tiết</t>
        </is>
      </c>
      <c r="E3989" s="390" t="inlineStr">
        <is>
          <t>Có vốn điều lệ trên 10.000 tỷ đồng &gt;&gt; Mô tả chi tiết</t>
        </is>
      </c>
      <c r="F3989" s="390" t="inlineStr">
        <is>
          <t>Data Explorer</t>
        </is>
      </c>
      <c r="G3989" s="390" t="inlineStr">
        <is>
          <t>Chiều</t>
        </is>
      </c>
      <c r="H3989" s="390" t="inlineStr">
        <is>
          <t>Dễ</t>
        </is>
      </c>
      <c r="I3989" s="390" t="inlineStr">
        <is>
          <t>Ngày, CTCK</t>
        </is>
      </c>
      <c r="J3989" s="401" t="inlineStr">
        <is>
          <t>SCMS</t>
        </is>
      </c>
      <c r="K3989" s="401" t="inlineStr">
        <is>
          <t>X</t>
        </is>
      </c>
      <c r="L3989" s="401" t="inlineStr">
        <is>
          <t>X</t>
        </is>
      </c>
      <c r="M3989" s="401" t="n"/>
      <c r="N3989" s="401" t="inlineStr">
        <is>
          <t>Pending</t>
        </is>
      </c>
      <c r="O3989" s="401" t="n"/>
      <c r="P3989" s="22" t="n"/>
      <c r="Q3989" s="401" t="n"/>
      <c r="R3989" s="401" t="n"/>
      <c r="S3989" s="22" t="n"/>
      <c r="T3989" s="390" t="n"/>
      <c r="U3989" s="390" t="inlineStr">
        <is>
          <t>Không có thông tin</t>
        </is>
      </c>
      <c r="V3989" s="22" t="n"/>
      <c r="W3989" s="22" t="n"/>
      <c r="X3989" s="22" t="n"/>
      <c r="Y3989" s="22" t="n"/>
      <c r="Z3989" s="22" t="n"/>
      <c r="AA3989" s="22" t="n"/>
      <c r="AB3989" s="22" t="n"/>
      <c r="AC3989" s="22" t="n"/>
      <c r="AD3989" s="22" t="n"/>
      <c r="AE3989" s="22" t="n"/>
    </row>
    <row r="3990" ht="56" customHeight="1" s="380">
      <c r="A3990" s="162" t="n">
        <v>144</v>
      </c>
      <c r="B3990" s="390" t="n"/>
      <c r="C3990" s="390" t="inlineStr">
        <is>
          <t>Về việc đáp ứng đủ điều kiện làm ngân hàng thanh toán năm - Ngân hàng thanh toán</t>
        </is>
      </c>
      <c r="D3990" s="390" t="inlineStr">
        <is>
          <t>Có vốn điều lệ trên 10.000 tỷ đồng &gt;&gt; Đáp ứng (x)</t>
        </is>
      </c>
      <c r="E3990" s="390" t="inlineStr">
        <is>
          <t>Có vốn điều lệ trên 10.000 tỷ đồng &gt;&gt; Đáp ứng (x)</t>
        </is>
      </c>
      <c r="F3990" s="390" t="inlineStr">
        <is>
          <t>Data Explorer</t>
        </is>
      </c>
      <c r="G3990" s="390" t="inlineStr">
        <is>
          <t>Chiều</t>
        </is>
      </c>
      <c r="H3990" s="390" t="inlineStr">
        <is>
          <t>Dễ</t>
        </is>
      </c>
      <c r="I3990" s="390" t="inlineStr">
        <is>
          <t>Ngày, CTCK</t>
        </is>
      </c>
      <c r="J3990" s="401" t="inlineStr">
        <is>
          <t>SCMS</t>
        </is>
      </c>
      <c r="K3990" s="401" t="inlineStr">
        <is>
          <t>X</t>
        </is>
      </c>
      <c r="L3990" s="401" t="inlineStr">
        <is>
          <t>X</t>
        </is>
      </c>
      <c r="M3990" s="401" t="n"/>
      <c r="N3990" s="401" t="inlineStr">
        <is>
          <t>Pending</t>
        </is>
      </c>
      <c r="O3990" s="401" t="n"/>
      <c r="P3990" s="22" t="n"/>
      <c r="Q3990" s="401" t="n"/>
      <c r="R3990" s="401" t="n"/>
      <c r="S3990" s="22" t="n"/>
      <c r="T3990" s="390" t="n"/>
      <c r="U3990" s="390" t="inlineStr">
        <is>
          <t>Không có thông tin</t>
        </is>
      </c>
      <c r="V3990" s="22" t="n"/>
      <c r="W3990" s="22" t="n"/>
      <c r="X3990" s="22" t="n"/>
      <c r="Y3990" s="22" t="n"/>
      <c r="Z3990" s="22" t="n"/>
      <c r="AA3990" s="22" t="n"/>
      <c r="AB3990" s="22" t="n"/>
      <c r="AC3990" s="22" t="n"/>
      <c r="AD3990" s="22" t="n"/>
      <c r="AE3990" s="22" t="n"/>
    </row>
    <row r="3991" ht="56" customHeight="1" s="380">
      <c r="A3991" s="162" t="n">
        <v>144</v>
      </c>
      <c r="B3991" s="390" t="n"/>
      <c r="C3991" s="390" t="inlineStr">
        <is>
          <t>Về việc đáp ứng đủ điều kiện làm ngân hàng thanh toán năm - Ngân hàng thanh toán</t>
        </is>
      </c>
      <c r="D3991" s="390" t="inlineStr">
        <is>
          <t>Hoạt động kinh doanh có lãi trong 02 năm gần nhất &gt;&gt; Mô tả chi tiết</t>
        </is>
      </c>
      <c r="E3991" s="390" t="inlineStr">
        <is>
          <t>Hoạt động kinh doanh có lãi trong 02 năm gần nhất &gt;&gt; Mô tả chi tiết</t>
        </is>
      </c>
      <c r="F3991" s="390" t="inlineStr">
        <is>
          <t>Data Explorer</t>
        </is>
      </c>
      <c r="G3991" s="390" t="inlineStr">
        <is>
          <t>Chiều</t>
        </is>
      </c>
      <c r="H3991" s="390" t="inlineStr">
        <is>
          <t>Dễ</t>
        </is>
      </c>
      <c r="I3991" s="390" t="inlineStr">
        <is>
          <t>Ngày, CTCK</t>
        </is>
      </c>
      <c r="J3991" s="401" t="inlineStr">
        <is>
          <t>SCMS</t>
        </is>
      </c>
      <c r="K3991" s="401" t="inlineStr">
        <is>
          <t>X</t>
        </is>
      </c>
      <c r="L3991" s="401" t="inlineStr">
        <is>
          <t>X</t>
        </is>
      </c>
      <c r="M3991" s="401" t="n"/>
      <c r="N3991" s="401" t="inlineStr">
        <is>
          <t>Pending</t>
        </is>
      </c>
      <c r="O3991" s="401" t="n"/>
      <c r="P3991" s="22" t="n"/>
      <c r="Q3991" s="401" t="n"/>
      <c r="R3991" s="401" t="n"/>
      <c r="S3991" s="22" t="n"/>
      <c r="T3991" s="390" t="n"/>
      <c r="U3991" s="390" t="inlineStr">
        <is>
          <t>Không có thông tin</t>
        </is>
      </c>
      <c r="V3991" s="22" t="n"/>
      <c r="W3991" s="22" t="n"/>
      <c r="X3991" s="22" t="n"/>
      <c r="Y3991" s="22" t="n"/>
      <c r="Z3991" s="22" t="n"/>
      <c r="AA3991" s="22" t="n"/>
      <c r="AB3991" s="22" t="n"/>
      <c r="AC3991" s="22" t="n"/>
      <c r="AD3991" s="22" t="n"/>
      <c r="AE3991" s="22" t="n"/>
    </row>
    <row r="3992" ht="56" customHeight="1" s="380">
      <c r="A3992" s="162" t="n">
        <v>144</v>
      </c>
      <c r="B3992" s="390" t="n"/>
      <c r="C3992" s="390" t="inlineStr">
        <is>
          <t>Về việc đáp ứng đủ điều kiện làm ngân hàng thanh toán năm - Ngân hàng thanh toán</t>
        </is>
      </c>
      <c r="D3992" s="390" t="inlineStr">
        <is>
          <t>Hoạt động kinh doanh có lãi trong 02 năm gần nhất &gt;&gt; Đáp ứng (x)</t>
        </is>
      </c>
      <c r="E3992" s="390" t="inlineStr">
        <is>
          <t>Hoạt động kinh doanh có lãi trong 02 năm gần nhất &gt;&gt; Đáp ứng (x)</t>
        </is>
      </c>
      <c r="F3992" s="390" t="inlineStr">
        <is>
          <t>Data Explorer</t>
        </is>
      </c>
      <c r="G3992" s="390" t="inlineStr">
        <is>
          <t>Chiều</t>
        </is>
      </c>
      <c r="H3992" s="390" t="inlineStr">
        <is>
          <t>Dễ</t>
        </is>
      </c>
      <c r="I3992" s="390" t="inlineStr">
        <is>
          <t>Ngày, CTCK</t>
        </is>
      </c>
      <c r="J3992" s="401" t="inlineStr">
        <is>
          <t>SCMS</t>
        </is>
      </c>
      <c r="K3992" s="401" t="inlineStr">
        <is>
          <t>X</t>
        </is>
      </c>
      <c r="L3992" s="401" t="inlineStr">
        <is>
          <t>X</t>
        </is>
      </c>
      <c r="M3992" s="401" t="n"/>
      <c r="N3992" s="401" t="inlineStr">
        <is>
          <t>Pending</t>
        </is>
      </c>
      <c r="O3992" s="401" t="n"/>
      <c r="P3992" s="22" t="n"/>
      <c r="Q3992" s="401" t="n"/>
      <c r="R3992" s="401" t="n"/>
      <c r="S3992" s="22" t="n"/>
      <c r="T3992" s="390" t="n"/>
      <c r="U3992" s="390" t="inlineStr">
        <is>
          <t>Không có thông tin</t>
        </is>
      </c>
      <c r="V3992" s="22" t="n"/>
      <c r="W3992" s="22" t="n"/>
      <c r="X3992" s="22" t="n"/>
      <c r="Y3992" s="22" t="n"/>
      <c r="Z3992" s="22" t="n"/>
      <c r="AA3992" s="22" t="n"/>
      <c r="AB3992" s="22" t="n"/>
      <c r="AC3992" s="22" t="n"/>
      <c r="AD3992" s="22" t="n"/>
      <c r="AE3992" s="22" t="n"/>
    </row>
    <row r="3993" ht="56" customHeight="1" s="380">
      <c r="A3993" s="162" t="n">
        <v>144</v>
      </c>
      <c r="B3993" s="390" t="n"/>
      <c r="C3993" s="390" t="inlineStr">
        <is>
          <t>Về việc đáp ứng đủ điều kiện làm ngân hàng thanh toán năm - Ngân hàng thanh toán</t>
        </is>
      </c>
      <c r="D3993" s="390" t="inlineStr">
        <is>
          <t>Đáp ứng tỷ lệ an toàn vốn tối thiểu theo quy định pháp luật về ngân hàng &gt;&gt; Mô tả chi tiết</t>
        </is>
      </c>
      <c r="E3993" s="390" t="inlineStr">
        <is>
          <t>Đáp ứng tỷ lệ an toàn vốn tối thiểu theo quy định pháp luật về ngân hàng &gt;&gt; Mô tả chi tiết</t>
        </is>
      </c>
      <c r="F3993" s="390" t="inlineStr">
        <is>
          <t>Data Explorer</t>
        </is>
      </c>
      <c r="G3993" s="390" t="inlineStr">
        <is>
          <t>Chiều</t>
        </is>
      </c>
      <c r="H3993" s="390" t="inlineStr">
        <is>
          <t>Dễ</t>
        </is>
      </c>
      <c r="I3993" s="390" t="inlineStr">
        <is>
          <t>Ngày, CTCK</t>
        </is>
      </c>
      <c r="J3993" s="401" t="inlineStr">
        <is>
          <t>SCMS</t>
        </is>
      </c>
      <c r="K3993" s="401" t="inlineStr">
        <is>
          <t>X</t>
        </is>
      </c>
      <c r="L3993" s="401" t="inlineStr">
        <is>
          <t>X</t>
        </is>
      </c>
      <c r="M3993" s="401" t="n"/>
      <c r="N3993" s="401" t="inlineStr">
        <is>
          <t>Pending</t>
        </is>
      </c>
      <c r="O3993" s="401" t="n"/>
      <c r="P3993" s="22" t="n"/>
      <c r="Q3993" s="401" t="n"/>
      <c r="R3993" s="401" t="n"/>
      <c r="S3993" s="22" t="n"/>
      <c r="T3993" s="390" t="n"/>
      <c r="U3993" s="390" t="inlineStr">
        <is>
          <t>Không có thông tin</t>
        </is>
      </c>
      <c r="V3993" s="22" t="n"/>
      <c r="W3993" s="22" t="n"/>
      <c r="X3993" s="22" t="n"/>
      <c r="Y3993" s="22" t="n"/>
      <c r="Z3993" s="22" t="n"/>
      <c r="AA3993" s="22" t="n"/>
      <c r="AB3993" s="22" t="n"/>
      <c r="AC3993" s="22" t="n"/>
      <c r="AD3993" s="22" t="n"/>
      <c r="AE3993" s="22" t="n"/>
    </row>
    <row r="3994" ht="56" customHeight="1" s="380">
      <c r="A3994" s="162" t="n">
        <v>144</v>
      </c>
      <c r="B3994" s="390" t="n"/>
      <c r="C3994" s="390" t="inlineStr">
        <is>
          <t>Về việc đáp ứng đủ điều kiện làm ngân hàng thanh toán năm - Ngân hàng thanh toán</t>
        </is>
      </c>
      <c r="D3994" s="390" t="inlineStr">
        <is>
          <t>Đáp ứng tỷ lệ an toàn vốn tối thiểu theo quy định pháp luật về ngân hàng &gt;&gt; Đáp ứng (x)</t>
        </is>
      </c>
      <c r="E3994" s="390" t="inlineStr">
        <is>
          <t>Đáp ứng tỷ lệ an toàn vốn tối thiểu theo quy định pháp luật về ngân hàng &gt;&gt; Đáp ứng (x)</t>
        </is>
      </c>
      <c r="F3994" s="390" t="inlineStr">
        <is>
          <t>Data Explorer</t>
        </is>
      </c>
      <c r="G3994" s="390" t="inlineStr">
        <is>
          <t>Chiều</t>
        </is>
      </c>
      <c r="H3994" s="390" t="inlineStr">
        <is>
          <t>Dễ</t>
        </is>
      </c>
      <c r="I3994" s="390" t="inlineStr">
        <is>
          <t>Ngày, CTCK</t>
        </is>
      </c>
      <c r="J3994" s="401" t="inlineStr">
        <is>
          <t>SCMS</t>
        </is>
      </c>
      <c r="K3994" s="401" t="inlineStr">
        <is>
          <t>X</t>
        </is>
      </c>
      <c r="L3994" s="401" t="inlineStr">
        <is>
          <t>X</t>
        </is>
      </c>
      <c r="M3994" s="401" t="n"/>
      <c r="N3994" s="401" t="inlineStr">
        <is>
          <t>Pending</t>
        </is>
      </c>
      <c r="O3994" s="401" t="n"/>
      <c r="P3994" s="22" t="n"/>
      <c r="Q3994" s="401" t="n"/>
      <c r="R3994" s="401" t="n"/>
      <c r="S3994" s="22" t="n"/>
      <c r="T3994" s="390" t="n"/>
      <c r="U3994" s="390" t="inlineStr">
        <is>
          <t>Không có thông tin</t>
        </is>
      </c>
      <c r="V3994" s="22" t="n"/>
      <c r="W3994" s="22" t="n"/>
      <c r="X3994" s="22" t="n"/>
      <c r="Y3994" s="22" t="n"/>
      <c r="Z3994" s="22" t="n"/>
      <c r="AA3994" s="22" t="n"/>
      <c r="AB3994" s="22" t="n"/>
      <c r="AC3994" s="22" t="n"/>
      <c r="AD3994" s="22" t="n"/>
      <c r="AE3994" s="22" t="n"/>
    </row>
    <row r="3995" ht="112" customHeight="1" s="380">
      <c r="A3995" s="162" t="n">
        <v>144</v>
      </c>
      <c r="B3995" s="390" t="n"/>
      <c r="C3995" s="390" t="inlineStr">
        <is>
          <t>Về việc đáp ứng đủ điều kiện làm ngân hàng thanh toán năm - Ngân hàng thanh toán</t>
        </is>
      </c>
      <c r="D3995" s="390" t="inlineStr">
        <is>
          <t>Có hệ thống cơ sở vật chất, kỹ thuật bảo đảm thực hiện thanh toán giao dịch và kết nối với hệ thống của Tổng công ty lưu ký và bù trừ chứng khoán Việt Nam &gt;&gt; Mô tả chi tiết</t>
        </is>
      </c>
      <c r="E3995" s="390" t="inlineStr">
        <is>
          <t>Có hệ thống cơ sở vật chất, kỹ thuật bảo đảm thực hiện thanh toán giao dịch và kết nối với hệ thống của Tổng công ty lưu ký và bù trừ chứng khoán Việt Nam &gt;&gt; Mô tả chi tiết</t>
        </is>
      </c>
      <c r="F3995" s="390" t="inlineStr">
        <is>
          <t>Data Explorer</t>
        </is>
      </c>
      <c r="G3995" s="390" t="inlineStr">
        <is>
          <t>Chiều</t>
        </is>
      </c>
      <c r="H3995" s="390" t="inlineStr">
        <is>
          <t>Dễ</t>
        </is>
      </c>
      <c r="I3995" s="390" t="inlineStr">
        <is>
          <t>Ngày, CTCK</t>
        </is>
      </c>
      <c r="J3995" s="401" t="inlineStr">
        <is>
          <t>SCMS</t>
        </is>
      </c>
      <c r="K3995" s="401" t="inlineStr">
        <is>
          <t>X</t>
        </is>
      </c>
      <c r="L3995" s="401" t="inlineStr">
        <is>
          <t>X</t>
        </is>
      </c>
      <c r="M3995" s="401" t="n"/>
      <c r="N3995" s="401" t="inlineStr">
        <is>
          <t>Pending</t>
        </is>
      </c>
      <c r="O3995" s="401" t="n"/>
      <c r="P3995" s="22" t="n"/>
      <c r="Q3995" s="401" t="n"/>
      <c r="R3995" s="401" t="n"/>
      <c r="S3995" s="22" t="n"/>
      <c r="T3995" s="390" t="n"/>
      <c r="U3995" s="390" t="inlineStr">
        <is>
          <t>Không có thông tin</t>
        </is>
      </c>
      <c r="V3995" s="22" t="n"/>
      <c r="W3995" s="22" t="n"/>
      <c r="X3995" s="22" t="n"/>
      <c r="Y3995" s="22" t="n"/>
      <c r="Z3995" s="22" t="n"/>
      <c r="AA3995" s="22" t="n"/>
      <c r="AB3995" s="22" t="n"/>
      <c r="AC3995" s="22" t="n"/>
      <c r="AD3995" s="22" t="n"/>
      <c r="AE3995" s="22" t="n"/>
    </row>
    <row r="3996" ht="112" customHeight="1" s="380">
      <c r="A3996" s="162" t="n">
        <v>144</v>
      </c>
      <c r="B3996" s="390" t="n"/>
      <c r="C3996" s="390" t="inlineStr">
        <is>
          <t>Về việc đáp ứng đủ điều kiện làm ngân hàng thanh toán năm - Ngân hàng thanh toán</t>
        </is>
      </c>
      <c r="D3996" s="390" t="inlineStr">
        <is>
          <t>Có hệ thống cơ sở vật chất, kỹ thuật bảo đảm thực hiện thanh toán giao dịch và kết nối với hệ thống của Tổng công ty lưu ký và bù trừ chứng khoán Việt Nam &gt;&gt; Đáp ứng (x)</t>
        </is>
      </c>
      <c r="E3996" s="390" t="inlineStr">
        <is>
          <t>Có hệ thống cơ sở vật chất, kỹ thuật bảo đảm thực hiện thanh toán giao dịch và kết nối với hệ thống của Tổng công ty lưu ký và bù trừ chứng khoán Việt Nam &gt;&gt; Đáp ứng (x)</t>
        </is>
      </c>
      <c r="F3996" s="390" t="inlineStr">
        <is>
          <t>Data Explorer</t>
        </is>
      </c>
      <c r="G3996" s="390" t="inlineStr">
        <is>
          <t>Chiều</t>
        </is>
      </c>
      <c r="H3996" s="390" t="inlineStr">
        <is>
          <t>Dễ</t>
        </is>
      </c>
      <c r="I3996" s="390" t="inlineStr">
        <is>
          <t>Ngày, CTCK</t>
        </is>
      </c>
      <c r="J3996" s="401" t="inlineStr">
        <is>
          <t>SCMS</t>
        </is>
      </c>
      <c r="K3996" s="401" t="inlineStr">
        <is>
          <t>X</t>
        </is>
      </c>
      <c r="L3996" s="401" t="inlineStr">
        <is>
          <t>X</t>
        </is>
      </c>
      <c r="M3996" s="401" t="n"/>
      <c r="N3996" s="401" t="inlineStr">
        <is>
          <t>Pending</t>
        </is>
      </c>
      <c r="O3996" s="401" t="n"/>
      <c r="P3996" s="22" t="n"/>
      <c r="Q3996" s="401" t="n"/>
      <c r="R3996" s="401" t="n"/>
      <c r="S3996" s="22" t="n"/>
      <c r="T3996" s="390" t="n"/>
      <c r="U3996" s="390" t="inlineStr">
        <is>
          <t>Không có thông tin</t>
        </is>
      </c>
      <c r="V3996" s="22" t="n"/>
      <c r="W3996" s="22" t="n"/>
      <c r="X3996" s="22" t="n"/>
      <c r="Y3996" s="22" t="n"/>
      <c r="Z3996" s="22" t="n"/>
      <c r="AA3996" s="22" t="n"/>
      <c r="AB3996" s="22" t="n"/>
      <c r="AC3996" s="22" t="n"/>
      <c r="AD3996" s="22" t="n"/>
      <c r="AE3996" s="22" t="n"/>
    </row>
    <row r="3997" ht="84" customHeight="1" s="380">
      <c r="A3997" s="162" t="n">
        <v>144</v>
      </c>
      <c r="B3997" s="390" t="n"/>
      <c r="C3997" s="390" t="inlineStr">
        <is>
          <t>Về việc đáp ứng đủ điều kiện làm ngân hàng thanh toán năm - Ngân hàng thanh toán</t>
        </is>
      </c>
      <c r="D3997" s="390" t="inlineStr">
        <is>
          <t>Có hệ thống thanh toán, bù trừ kết nối với hệ thống thanh toán, bù trừ của Ngân hàng Nhà nước Việt Nam &gt;&gt; Mô tả chi tiết</t>
        </is>
      </c>
      <c r="E3997" s="390" t="inlineStr">
        <is>
          <t>Có hệ thống thanh toán, bù trừ kết nối với hệ thống thanh toán, bù trừ của Ngân hàng Nhà nước Việt Nam &gt;&gt; Mô tả chi tiết</t>
        </is>
      </c>
      <c r="F3997" s="390" t="inlineStr">
        <is>
          <t>Data Explorer</t>
        </is>
      </c>
      <c r="G3997" s="390" t="inlineStr">
        <is>
          <t>Chiều</t>
        </is>
      </c>
      <c r="H3997" s="390" t="inlineStr">
        <is>
          <t>Dễ</t>
        </is>
      </c>
      <c r="I3997" s="390" t="inlineStr">
        <is>
          <t>Ngày, CTCK</t>
        </is>
      </c>
      <c r="J3997" s="401" t="inlineStr">
        <is>
          <t>SCMS</t>
        </is>
      </c>
      <c r="K3997" s="401" t="inlineStr">
        <is>
          <t>X</t>
        </is>
      </c>
      <c r="L3997" s="401" t="inlineStr">
        <is>
          <t>X</t>
        </is>
      </c>
      <c r="M3997" s="401" t="n"/>
      <c r="N3997" s="401" t="inlineStr">
        <is>
          <t>Pending</t>
        </is>
      </c>
      <c r="O3997" s="401" t="n"/>
      <c r="P3997" s="22" t="n"/>
      <c r="Q3997" s="401" t="n"/>
      <c r="R3997" s="401" t="n"/>
      <c r="S3997" s="22" t="n"/>
      <c r="T3997" s="390" t="n"/>
      <c r="U3997" s="390" t="inlineStr">
        <is>
          <t>Không có thông tin</t>
        </is>
      </c>
      <c r="V3997" s="22" t="n"/>
      <c r="W3997" s="22" t="n"/>
      <c r="X3997" s="22" t="n"/>
      <c r="Y3997" s="22" t="n"/>
      <c r="Z3997" s="22" t="n"/>
      <c r="AA3997" s="22" t="n"/>
      <c r="AB3997" s="22" t="n"/>
      <c r="AC3997" s="22" t="n"/>
      <c r="AD3997" s="22" t="n"/>
      <c r="AE3997" s="22" t="n"/>
    </row>
    <row r="3998" ht="84" customHeight="1" s="380">
      <c r="A3998" s="162" t="n">
        <v>144</v>
      </c>
      <c r="B3998" s="390" t="n"/>
      <c r="C3998" s="390" t="inlineStr">
        <is>
          <t>Về việc đáp ứng đủ điều kiện làm ngân hàng thanh toán năm - Ngân hàng thanh toán</t>
        </is>
      </c>
      <c r="D3998" s="390" t="inlineStr">
        <is>
          <t>Có hệ thống thanh toán, bù trừ kết nối với hệ thống thanh toán, bù trừ của Ngân hàng Nhà nước Việt Nam &gt;&gt; Đáp ứng (x)</t>
        </is>
      </c>
      <c r="E3998" s="390" t="inlineStr">
        <is>
          <t>Có hệ thống thanh toán, bù trừ kết nối với hệ thống thanh toán, bù trừ của Ngân hàng Nhà nước Việt Nam &gt;&gt; Đáp ứng (x)</t>
        </is>
      </c>
      <c r="F3998" s="390" t="inlineStr">
        <is>
          <t>Data Explorer</t>
        </is>
      </c>
      <c r="G3998" s="390" t="inlineStr">
        <is>
          <t>Chiều</t>
        </is>
      </c>
      <c r="H3998" s="390" t="inlineStr">
        <is>
          <t>Dễ</t>
        </is>
      </c>
      <c r="I3998" s="390" t="inlineStr">
        <is>
          <t>Ngày, CTCK</t>
        </is>
      </c>
      <c r="J3998" s="401" t="inlineStr">
        <is>
          <t>SCMS</t>
        </is>
      </c>
      <c r="K3998" s="401" t="inlineStr">
        <is>
          <t>X</t>
        </is>
      </c>
      <c r="L3998" s="401" t="inlineStr">
        <is>
          <t>X</t>
        </is>
      </c>
      <c r="M3998" s="401" t="n"/>
      <c r="N3998" s="401" t="inlineStr">
        <is>
          <t>Pending</t>
        </is>
      </c>
      <c r="O3998" s="401" t="n"/>
      <c r="P3998" s="22" t="n"/>
      <c r="Q3998" s="401" t="n"/>
      <c r="R3998" s="401" t="n"/>
      <c r="S3998" s="22" t="n"/>
      <c r="T3998" s="390" t="n"/>
      <c r="U3998" s="390" t="inlineStr">
        <is>
          <t>Không có thông tin</t>
        </is>
      </c>
      <c r="V3998" s="22" t="n"/>
      <c r="W3998" s="22" t="n"/>
      <c r="X3998" s="22" t="n"/>
      <c r="Y3998" s="22" t="n"/>
      <c r="Z3998" s="22" t="n"/>
      <c r="AA3998" s="22" t="n"/>
      <c r="AB3998" s="22" t="n"/>
      <c r="AC3998" s="22" t="n"/>
      <c r="AD3998" s="22" t="n"/>
      <c r="AE3998" s="22" t="n"/>
    </row>
    <row r="3999" ht="168" customHeight="1" s="380">
      <c r="A3999" s="162" t="n">
        <v>144</v>
      </c>
      <c r="B3999" s="390" t="n"/>
      <c r="C3999" s="390" t="inlineStr">
        <is>
          <t>Về việc đáp ứng đủ điều kiện làm ngân hàng thanh toán năm - Ngân hàng thanh toán</t>
        </is>
      </c>
      <c r="D3999" s="390" t="inlineStr">
        <is>
          <t>Có hệ thống cơ sở vật chất, kỹ thuật để lưu giữ số liệu thông tin thanh toán giao dịch trong thời hạn ít nhất 10 năm và cung cấp được cho Ủy ban Chứng khoán Nhà nước hoặc Tổng công ty lưu ký và bù trừ chứng khoán Việt Nam trong thời hạn 48 giờ khi có yêu cầu &gt;&gt; Mô tả chi tiết</t>
        </is>
      </c>
      <c r="E3999" s="390" t="inlineStr">
        <is>
          <t>Có hệ thống cơ sở vật chất, kỹ thuật để lưu giữ số liệu thông tin thanh toán giao dịch trong thời hạn ít nhất 10 năm và cung cấp được cho Ủy ban Chứng khoán Nhà nước hoặc Tổng công ty lưu ký và bù trừ chứng khoán Việt Nam trong thời hạn 48 giờ khi có yêu cầu &gt;&gt; Mô tả chi tiết</t>
        </is>
      </c>
      <c r="F3999" s="390" t="inlineStr">
        <is>
          <t>Data Explorer</t>
        </is>
      </c>
      <c r="G3999" s="390" t="inlineStr">
        <is>
          <t>Chiều</t>
        </is>
      </c>
      <c r="H3999" s="390" t="inlineStr">
        <is>
          <t>Dễ</t>
        </is>
      </c>
      <c r="I3999" s="390" t="inlineStr">
        <is>
          <t>Ngày, CTCK</t>
        </is>
      </c>
      <c r="J3999" s="401" t="inlineStr">
        <is>
          <t>SCMS</t>
        </is>
      </c>
      <c r="K3999" s="401" t="inlineStr">
        <is>
          <t>X</t>
        </is>
      </c>
      <c r="L3999" s="401" t="inlineStr">
        <is>
          <t>X</t>
        </is>
      </c>
      <c r="M3999" s="401" t="n"/>
      <c r="N3999" s="401" t="inlineStr">
        <is>
          <t>Pending</t>
        </is>
      </c>
      <c r="O3999" s="401" t="n"/>
      <c r="P3999" s="22" t="n"/>
      <c r="Q3999" s="401" t="n"/>
      <c r="R3999" s="401" t="n"/>
      <c r="S3999" s="22" t="n"/>
      <c r="T3999" s="390" t="n"/>
      <c r="U3999" s="390" t="inlineStr">
        <is>
          <t>Không có thông tin</t>
        </is>
      </c>
      <c r="V3999" s="22" t="n"/>
      <c r="W3999" s="22" t="n"/>
      <c r="X3999" s="22" t="n"/>
      <c r="Y3999" s="22" t="n"/>
      <c r="Z3999" s="22" t="n"/>
      <c r="AA3999" s="22" t="n"/>
      <c r="AB3999" s="22" t="n"/>
      <c r="AC3999" s="22" t="n"/>
      <c r="AD3999" s="22" t="n"/>
      <c r="AE3999" s="22" t="n"/>
    </row>
    <row r="4000" ht="168" customHeight="1" s="380">
      <c r="A4000" s="163" t="n">
        <v>144</v>
      </c>
      <c r="B4000" s="129" t="n"/>
      <c r="C4000" s="129" t="inlineStr">
        <is>
          <t>Về việc đáp ứng đủ điều kiện làm ngân hàng thanh toán năm - Ngân hàng thanh toán</t>
        </is>
      </c>
      <c r="D4000" s="129" t="inlineStr">
        <is>
          <t>Có hệ thống cơ sở vật chất, kỹ thuật để lưu giữ số liệu thông tin thanh toán giao dịch trong thời hạn ít nhất 10 năm và cung cấp được cho Ủy ban Chứng khoán Nhà nước hoặc Tổng công ty lưu ký và bù trừ chứng khoán Việt Nam trong thời hạn 48 giờ khi có yêu cầu &gt;&gt; Đáp ứng (x)</t>
        </is>
      </c>
      <c r="E4000" s="129" t="inlineStr">
        <is>
          <t>Có hệ thống cơ sở vật chất, kỹ thuật để lưu giữ số liệu thông tin thanh toán giao dịch trong thời hạn ít nhất 10 năm và cung cấp được cho Ủy ban Chứng khoán Nhà nước hoặc Tổng công ty lưu ký và bù trừ chứng khoán Việt Nam trong thời hạn 48 giờ khi có yêu cầu &gt;&gt; Đáp ứng (x)</t>
        </is>
      </c>
      <c r="F4000" s="129" t="inlineStr">
        <is>
          <t>Data Explorer</t>
        </is>
      </c>
      <c r="G4000" s="129" t="inlineStr">
        <is>
          <t>Chiều</t>
        </is>
      </c>
      <c r="H4000" s="129" t="inlineStr">
        <is>
          <t>Dễ</t>
        </is>
      </c>
      <c r="I4000" s="129" t="inlineStr">
        <is>
          <t>Ngày, CTCK</t>
        </is>
      </c>
      <c r="J4000" s="85" t="inlineStr">
        <is>
          <t>SCMS</t>
        </is>
      </c>
      <c r="K4000" s="85" t="inlineStr">
        <is>
          <t>X</t>
        </is>
      </c>
      <c r="L4000" s="85" t="inlineStr">
        <is>
          <t>X</t>
        </is>
      </c>
      <c r="M4000" s="85" t="n"/>
      <c r="N4000" s="85" t="inlineStr">
        <is>
          <t>Pending</t>
        </is>
      </c>
      <c r="O4000" s="85" t="n"/>
      <c r="P4000" s="130" t="n"/>
      <c r="Q4000" s="85" t="n"/>
      <c r="R4000" s="85" t="n"/>
      <c r="S4000" s="130" t="n"/>
      <c r="T4000" s="129" t="n"/>
      <c r="U4000" s="129" t="inlineStr">
        <is>
          <t>Không có thông tin</t>
        </is>
      </c>
      <c r="V4000" s="130" t="n"/>
      <c r="W4000" s="130" t="n"/>
      <c r="X4000" s="130" t="n"/>
      <c r="Y4000" s="130" t="n"/>
      <c r="Z4000" s="130" t="n"/>
      <c r="AA4000" s="130" t="n"/>
      <c r="AB4000" s="130" t="n"/>
      <c r="AC4000" s="130" t="n"/>
      <c r="AD4000" s="130" t="n"/>
      <c r="AE4000" s="130" t="n"/>
    </row>
    <row r="4001" ht="56" customHeight="1" s="380">
      <c r="A4001" s="164" t="n">
        <v>145</v>
      </c>
      <c r="B4001" s="127" t="n"/>
      <c r="C4001" s="127" t="inlineStr">
        <is>
          <t>Về Hoạt động thanh toán tiền cho các giao dịch chứng khoán - Ngân hàng thanh toán</t>
        </is>
      </c>
      <c r="D4001" s="106" t="inlineStr">
        <is>
          <t>Loại báo cáo</t>
        </is>
      </c>
      <c r="E4001" s="107" t="inlineStr">
        <is>
          <t>Loại báo cáo</t>
        </is>
      </c>
      <c r="F4001" s="390" t="inlineStr">
        <is>
          <t>Data Explorer</t>
        </is>
      </c>
      <c r="G4001" s="390" t="inlineStr">
        <is>
          <t>Chiều</t>
        </is>
      </c>
      <c r="H4001" s="390" t="inlineStr">
        <is>
          <t>Dễ</t>
        </is>
      </c>
      <c r="I4001" s="390" t="inlineStr">
        <is>
          <t>Ngày, CTCK</t>
        </is>
      </c>
      <c r="J4001" s="401" t="inlineStr">
        <is>
          <t>SCMS</t>
        </is>
      </c>
      <c r="K4001" s="401" t="inlineStr">
        <is>
          <t>X</t>
        </is>
      </c>
      <c r="L4001" s="401" t="inlineStr">
        <is>
          <t>X</t>
        </is>
      </c>
      <c r="M4001" s="401" t="n"/>
      <c r="N4001" s="401" t="inlineStr">
        <is>
          <t>Pending</t>
        </is>
      </c>
      <c r="O4001" s="401" t="n"/>
      <c r="P4001" s="22" t="n"/>
      <c r="Q4001" s="105" t="inlineStr">
        <is>
          <t>DB cũ không thấy biểu mẫu báo cáo này</t>
        </is>
      </c>
      <c r="R4001" s="401" t="n"/>
      <c r="S4001" s="22" t="n"/>
      <c r="T4001" s="390" t="n"/>
      <c r="U4001" s="390" t="n"/>
      <c r="V4001" s="22" t="n"/>
      <c r="W4001" s="22" t="n"/>
      <c r="X4001" s="22" t="n"/>
      <c r="Y4001" s="22" t="n"/>
      <c r="Z4001" s="22" t="n"/>
      <c r="AA4001" s="22" t="n"/>
      <c r="AB4001" s="22" t="n"/>
      <c r="AC4001" s="22" t="n"/>
      <c r="AD4001" s="22" t="n"/>
      <c r="AE4001" s="22" t="n"/>
    </row>
    <row r="4002" ht="56" customHeight="1" s="380">
      <c r="A4002" s="164" t="n">
        <v>145</v>
      </c>
      <c r="B4002" s="390" t="n"/>
      <c r="C4002" s="390" t="inlineStr">
        <is>
          <t>Về Hoạt động thanh toán tiền cho các giao dịch chứng khoán - Ngân hàng thanh toán</t>
        </is>
      </c>
      <c r="D4002" s="106" t="inlineStr">
        <is>
          <t>Kỳ báo cáo</t>
        </is>
      </c>
      <c r="E4002" s="107" t="inlineStr">
        <is>
          <t>Kỳ báo cáo</t>
        </is>
      </c>
      <c r="F4002" s="390" t="inlineStr">
        <is>
          <t>Data Explorer</t>
        </is>
      </c>
      <c r="G4002" s="390" t="inlineStr">
        <is>
          <t>Chiều</t>
        </is>
      </c>
      <c r="H4002" s="390" t="inlineStr">
        <is>
          <t>Dễ</t>
        </is>
      </c>
      <c r="I4002" s="390" t="inlineStr">
        <is>
          <t>Ngày, CTCK</t>
        </is>
      </c>
      <c r="J4002" s="401" t="inlineStr">
        <is>
          <t>SCMS</t>
        </is>
      </c>
      <c r="K4002" s="401" t="inlineStr">
        <is>
          <t>X</t>
        </is>
      </c>
      <c r="L4002" s="401" t="inlineStr">
        <is>
          <t>X</t>
        </is>
      </c>
      <c r="M4002" s="401" t="n"/>
      <c r="N4002" s="401" t="inlineStr">
        <is>
          <t>Pending</t>
        </is>
      </c>
      <c r="O4002" s="401" t="n"/>
      <c r="P4002" s="22" t="n"/>
      <c r="Q4002" s="401" t="n"/>
      <c r="R4002" s="401" t="n"/>
      <c r="S4002" s="22" t="n"/>
      <c r="T4002" s="390" t="n"/>
      <c r="U4002" s="390" t="n"/>
      <c r="V4002" s="22" t="n"/>
      <c r="W4002" s="22" t="n"/>
      <c r="X4002" s="22" t="n"/>
      <c r="Y4002" s="22" t="n"/>
      <c r="Z4002" s="22" t="n"/>
      <c r="AA4002" s="22" t="n"/>
      <c r="AB4002" s="22" t="n"/>
      <c r="AC4002" s="22" t="n"/>
      <c r="AD4002" s="22" t="n"/>
      <c r="AE4002" s="22" t="n"/>
    </row>
    <row r="4003" ht="56" customHeight="1" s="380">
      <c r="A4003" s="164" t="n">
        <v>145</v>
      </c>
      <c r="B4003" s="390" t="n"/>
      <c r="C4003" s="390" t="inlineStr">
        <is>
          <t>Về Hoạt động thanh toán tiền cho các giao dịch chứng khoán - Ngân hàng thanh toán</t>
        </is>
      </c>
      <c r="D4003" s="106" t="inlineStr">
        <is>
          <t>Mã báo cáo</t>
        </is>
      </c>
      <c r="E4003" s="107" t="inlineStr">
        <is>
          <t>Mã báo cáo</t>
        </is>
      </c>
      <c r="F4003" s="390" t="inlineStr">
        <is>
          <t>Data Explorer</t>
        </is>
      </c>
      <c r="G4003" s="390" t="inlineStr">
        <is>
          <t>Chiều</t>
        </is>
      </c>
      <c r="H4003" s="390" t="inlineStr">
        <is>
          <t>Dễ</t>
        </is>
      </c>
      <c r="I4003" s="390" t="inlineStr">
        <is>
          <t>Ngày, CTCK</t>
        </is>
      </c>
      <c r="J4003" s="401" t="inlineStr">
        <is>
          <t>SCMS</t>
        </is>
      </c>
      <c r="K4003" s="401" t="inlineStr">
        <is>
          <t>X</t>
        </is>
      </c>
      <c r="L4003" s="401" t="inlineStr">
        <is>
          <t>X</t>
        </is>
      </c>
      <c r="M4003" s="401" t="n"/>
      <c r="N4003" s="401" t="inlineStr">
        <is>
          <t>Pending</t>
        </is>
      </c>
      <c r="O4003" s="401" t="n"/>
      <c r="P4003" s="22" t="n"/>
      <c r="Q4003" s="401" t="n"/>
      <c r="R4003" s="401" t="n"/>
      <c r="S4003" s="22" t="n"/>
      <c r="T4003" s="390" t="n"/>
      <c r="U4003" s="390" t="n"/>
      <c r="V4003" s="22" t="n"/>
      <c r="W4003" s="22" t="n"/>
      <c r="X4003" s="22" t="n"/>
      <c r="Y4003" s="22" t="n"/>
      <c r="Z4003" s="22" t="n"/>
      <c r="AA4003" s="22" t="n"/>
      <c r="AB4003" s="22" t="n"/>
      <c r="AC4003" s="22" t="n"/>
      <c r="AD4003" s="22" t="n"/>
      <c r="AE4003" s="22" t="n"/>
    </row>
    <row r="4004" ht="56" customHeight="1" s="380">
      <c r="A4004" s="164" t="n">
        <v>145</v>
      </c>
      <c r="B4004" s="390" t="n"/>
      <c r="C4004" s="390" t="inlineStr">
        <is>
          <t>Về Hoạt động thanh toán tiền cho các giao dịch chứng khoán - Ngân hàng thanh toán</t>
        </is>
      </c>
      <c r="D4004" s="106" t="inlineStr">
        <is>
          <t>Tên báo cáo</t>
        </is>
      </c>
      <c r="E4004" s="107" t="inlineStr">
        <is>
          <t>Tên báo cáo</t>
        </is>
      </c>
      <c r="F4004" s="390" t="inlineStr">
        <is>
          <t>Data Explorer</t>
        </is>
      </c>
      <c r="G4004" s="390" t="inlineStr">
        <is>
          <t>Chiều</t>
        </is>
      </c>
      <c r="H4004" s="390" t="inlineStr">
        <is>
          <t>Dễ</t>
        </is>
      </c>
      <c r="I4004" s="390" t="inlineStr">
        <is>
          <t>Ngày, CTCK</t>
        </is>
      </c>
      <c r="J4004" s="401" t="inlineStr">
        <is>
          <t>SCMS</t>
        </is>
      </c>
      <c r="K4004" s="401" t="inlineStr">
        <is>
          <t>X</t>
        </is>
      </c>
      <c r="L4004" s="401" t="inlineStr">
        <is>
          <t>X</t>
        </is>
      </c>
      <c r="M4004" s="401" t="n"/>
      <c r="N4004" s="401" t="inlineStr">
        <is>
          <t>Pending</t>
        </is>
      </c>
      <c r="O4004" s="401" t="n"/>
      <c r="P4004" s="22" t="n"/>
      <c r="Q4004" s="401" t="n"/>
      <c r="R4004" s="401" t="n"/>
      <c r="S4004" s="22" t="n"/>
      <c r="T4004" s="390" t="n"/>
      <c r="U4004" s="390" t="n"/>
      <c r="V4004" s="22" t="n"/>
      <c r="W4004" s="22" t="n"/>
      <c r="X4004" s="22" t="n"/>
      <c r="Y4004" s="22" t="n"/>
      <c r="Z4004" s="22" t="n"/>
      <c r="AA4004" s="22" t="n"/>
      <c r="AB4004" s="22" t="n"/>
      <c r="AC4004" s="22" t="n"/>
      <c r="AD4004" s="22" t="n"/>
      <c r="AE4004" s="22" t="n"/>
    </row>
    <row r="4005" ht="56" customHeight="1" s="380">
      <c r="A4005" s="164" t="n">
        <v>145</v>
      </c>
      <c r="B4005" s="390" t="n"/>
      <c r="C4005" s="390" t="inlineStr">
        <is>
          <t>Về Hoạt động thanh toán tiền cho các giao dịch chứng khoán - Ngân hàng thanh toán</t>
        </is>
      </c>
      <c r="D4005" s="106" t="inlineStr">
        <is>
          <t>Mã chỉ tiêu</t>
        </is>
      </c>
      <c r="E4005" s="107" t="inlineStr">
        <is>
          <t>Mã chỉ tiêu</t>
        </is>
      </c>
      <c r="F4005" s="390" t="inlineStr">
        <is>
          <t>Data Explorer</t>
        </is>
      </c>
      <c r="G4005" s="390" t="inlineStr">
        <is>
          <t>Chiều</t>
        </is>
      </c>
      <c r="H4005" s="390" t="inlineStr">
        <is>
          <t>Dễ</t>
        </is>
      </c>
      <c r="I4005" s="390" t="inlineStr">
        <is>
          <t>Ngày, CTCK</t>
        </is>
      </c>
      <c r="J4005" s="401" t="inlineStr">
        <is>
          <t>SCMS</t>
        </is>
      </c>
      <c r="K4005" s="401" t="inlineStr">
        <is>
          <t>X</t>
        </is>
      </c>
      <c r="L4005" s="401" t="inlineStr">
        <is>
          <t>X</t>
        </is>
      </c>
      <c r="M4005" s="401" t="n"/>
      <c r="N4005" s="401" t="inlineStr">
        <is>
          <t>Pending</t>
        </is>
      </c>
      <c r="O4005" s="401" t="n"/>
      <c r="P4005" s="22" t="n"/>
      <c r="Q4005" s="401" t="n"/>
      <c r="R4005" s="401" t="n"/>
      <c r="S4005" s="22" t="n"/>
      <c r="T4005" s="390" t="n"/>
      <c r="U4005" s="390" t="n"/>
      <c r="V4005" s="22" t="n"/>
      <c r="W4005" s="22" t="n"/>
      <c r="X4005" s="22" t="n"/>
      <c r="Y4005" s="22" t="n"/>
      <c r="Z4005" s="22" t="n"/>
      <c r="AA4005" s="22" t="n"/>
      <c r="AB4005" s="22" t="n"/>
      <c r="AC4005" s="22" t="n"/>
      <c r="AD4005" s="22" t="n"/>
      <c r="AE4005" s="22" t="n"/>
    </row>
    <row r="4006" ht="56" customHeight="1" s="380">
      <c r="A4006" s="164" t="n">
        <v>145</v>
      </c>
      <c r="B4006" s="390" t="n"/>
      <c r="C4006" s="390" t="inlineStr">
        <is>
          <t>Về Hoạt động thanh toán tiền cho các giao dịch chứng khoán - Ngân hàng thanh toán</t>
        </is>
      </c>
      <c r="D4006" s="106" t="inlineStr">
        <is>
          <t>Tên chỉ tiêu</t>
        </is>
      </c>
      <c r="E4006" s="107" t="inlineStr">
        <is>
          <t>Tên chỉ tiêu</t>
        </is>
      </c>
      <c r="F4006" s="390" t="inlineStr">
        <is>
          <t>Data Explorer</t>
        </is>
      </c>
      <c r="G4006" s="390" t="inlineStr">
        <is>
          <t>Chiều</t>
        </is>
      </c>
      <c r="H4006" s="390" t="inlineStr">
        <is>
          <t>Dễ</t>
        </is>
      </c>
      <c r="I4006" s="390" t="inlineStr">
        <is>
          <t>Ngày, CTCK</t>
        </is>
      </c>
      <c r="J4006" s="401" t="inlineStr">
        <is>
          <t>SCMS</t>
        </is>
      </c>
      <c r="K4006" s="401" t="inlineStr">
        <is>
          <t>X</t>
        </is>
      </c>
      <c r="L4006" s="401" t="inlineStr">
        <is>
          <t>X</t>
        </is>
      </c>
      <c r="M4006" s="401" t="n"/>
      <c r="N4006" s="401" t="inlineStr">
        <is>
          <t>Pending</t>
        </is>
      </c>
      <c r="O4006" s="401" t="n"/>
      <c r="P4006" s="22" t="n"/>
      <c r="Q4006" s="401" t="n"/>
      <c r="R4006" s="401" t="n"/>
      <c r="S4006" s="22" t="n"/>
      <c r="T4006" s="390" t="n"/>
      <c r="U4006" s="390" t="n"/>
      <c r="V4006" s="22" t="n"/>
      <c r="W4006" s="22" t="n"/>
      <c r="X4006" s="22" t="n"/>
      <c r="Y4006" s="22" t="n"/>
      <c r="Z4006" s="22" t="n"/>
      <c r="AA4006" s="22" t="n"/>
      <c r="AB4006" s="22" t="n"/>
      <c r="AC4006" s="22" t="n"/>
      <c r="AD4006" s="22" t="n"/>
      <c r="AE4006" s="22" t="n"/>
    </row>
    <row r="4007" ht="70" customHeight="1" s="380">
      <c r="A4007" s="164" t="n">
        <v>145</v>
      </c>
      <c r="B4007" s="390" t="n"/>
      <c r="C4007" s="390" t="inlineStr">
        <is>
          <t>Về Hoạt động thanh toán tiền cho các giao dịch chứng khoán - Ngân hàng thanh toán</t>
        </is>
      </c>
      <c r="D4007" s="390" t="inlineStr">
        <is>
          <t>Tiền gửi ký quỹ của các thành viên tham gia thị trường &gt;&gt; Tiền gửi ký quỹ cho hoạt động tự doanh &gt;&gt; Đầu kỳ</t>
        </is>
      </c>
      <c r="E4007" s="390" t="inlineStr">
        <is>
          <t>Tiền gửi ký quỹ của các thành viên tham gia thị trường &gt;&gt; Tiền gửi ký quỹ cho hoạt động tự doanh &gt;&gt; Đầu kỳ</t>
        </is>
      </c>
      <c r="F4007" s="390" t="inlineStr">
        <is>
          <t>Data Explorer</t>
        </is>
      </c>
      <c r="G4007" s="390" t="inlineStr">
        <is>
          <t>Chiều</t>
        </is>
      </c>
      <c r="H4007" s="390" t="inlineStr">
        <is>
          <t>Dễ</t>
        </is>
      </c>
      <c r="I4007" s="390" t="inlineStr">
        <is>
          <t>Ngày, CTCK</t>
        </is>
      </c>
      <c r="J4007" s="401" t="inlineStr">
        <is>
          <t>SCMS</t>
        </is>
      </c>
      <c r="K4007" s="401" t="inlineStr">
        <is>
          <t>X</t>
        </is>
      </c>
      <c r="L4007" s="401" t="inlineStr">
        <is>
          <t>X</t>
        </is>
      </c>
      <c r="M4007" s="401" t="n"/>
      <c r="N4007" s="401" t="inlineStr">
        <is>
          <t>Pending</t>
        </is>
      </c>
      <c r="O4007" s="401" t="n"/>
      <c r="P4007" s="22" t="n"/>
      <c r="Q4007" s="401" t="n"/>
      <c r="R4007" s="401" t="n"/>
      <c r="S4007" s="22" t="n"/>
      <c r="T4007" s="390" t="n"/>
      <c r="U4007" s="390" t="inlineStr">
        <is>
          <t>Không có thông tin</t>
        </is>
      </c>
      <c r="V4007" s="22" t="n"/>
      <c r="W4007" s="22" t="n"/>
      <c r="X4007" s="22" t="n"/>
      <c r="Y4007" s="22" t="n"/>
      <c r="Z4007" s="22" t="n"/>
      <c r="AA4007" s="22" t="n"/>
      <c r="AB4007" s="22" t="n"/>
      <c r="AC4007" s="22" t="n"/>
      <c r="AD4007" s="22" t="n"/>
      <c r="AE4007" s="22" t="n"/>
    </row>
    <row r="4008" ht="70" customHeight="1" s="380">
      <c r="A4008" s="164" t="n">
        <v>145</v>
      </c>
      <c r="B4008" s="390" t="n"/>
      <c r="C4008" s="390" t="inlineStr">
        <is>
          <t>Về Hoạt động thanh toán tiền cho các giao dịch chứng khoán - Ngân hàng thanh toán</t>
        </is>
      </c>
      <c r="D4008" s="390" t="inlineStr">
        <is>
          <t>Tiền gửi ký quỹ của các thành viên tham gia thị trường &gt;&gt; Tiền gửi ký quỹ cho hoạt động tự doanh &gt;&gt; Cuối kỳ</t>
        </is>
      </c>
      <c r="E4008" s="390" t="inlineStr">
        <is>
          <t>Tiền gửi ký quỹ của các thành viên tham gia thị trường &gt;&gt; Tiền gửi ký quỹ cho hoạt động tự doanh &gt;&gt; Cuối kỳ</t>
        </is>
      </c>
      <c r="F4008" s="390" t="inlineStr">
        <is>
          <t>Data Explorer</t>
        </is>
      </c>
      <c r="G4008" s="390" t="inlineStr">
        <is>
          <t>Chiều</t>
        </is>
      </c>
      <c r="H4008" s="390" t="inlineStr">
        <is>
          <t>Dễ</t>
        </is>
      </c>
      <c r="I4008" s="390" t="inlineStr">
        <is>
          <t>Ngày, CTCK</t>
        </is>
      </c>
      <c r="J4008" s="401" t="inlineStr">
        <is>
          <t>SCMS</t>
        </is>
      </c>
      <c r="K4008" s="401" t="inlineStr">
        <is>
          <t>X</t>
        </is>
      </c>
      <c r="L4008" s="401" t="inlineStr">
        <is>
          <t>X</t>
        </is>
      </c>
      <c r="M4008" s="401" t="n"/>
      <c r="N4008" s="401" t="inlineStr">
        <is>
          <t>Pending</t>
        </is>
      </c>
      <c r="O4008" s="401" t="n"/>
      <c r="P4008" s="22" t="n"/>
      <c r="Q4008" s="401" t="n"/>
      <c r="R4008" s="401" t="n"/>
      <c r="S4008" s="22" t="n"/>
      <c r="T4008" s="390" t="n"/>
      <c r="U4008" s="390" t="inlineStr">
        <is>
          <t>Không có thông tin</t>
        </is>
      </c>
      <c r="V4008" s="22" t="n"/>
      <c r="W4008" s="22" t="n"/>
      <c r="X4008" s="22" t="n"/>
      <c r="Y4008" s="22" t="n"/>
      <c r="Z4008" s="22" t="n"/>
      <c r="AA4008" s="22" t="n"/>
      <c r="AB4008" s="22" t="n"/>
      <c r="AC4008" s="22" t="n"/>
      <c r="AD4008" s="22" t="n"/>
      <c r="AE4008" s="22" t="n"/>
    </row>
    <row r="4009" ht="70" customHeight="1" s="380">
      <c r="A4009" s="164" t="n">
        <v>145</v>
      </c>
      <c r="B4009" s="390" t="n"/>
      <c r="C4009" s="390" t="inlineStr">
        <is>
          <t>Về Hoạt động thanh toán tiền cho các giao dịch chứng khoán - Ngân hàng thanh toán</t>
        </is>
      </c>
      <c r="D4009" s="390" t="inlineStr">
        <is>
          <t>Tiền gửi ký quỹ của các thành viên tham gia thị trường &gt;&gt; Tiền gửi ký quỹ cho hoạt động tự doanh &gt;&gt; Tăng/Giảm (%)</t>
        </is>
      </c>
      <c r="E4009" s="390" t="inlineStr">
        <is>
          <t>Tiền gửi ký quỹ của các thành viên tham gia thị trường &gt;&gt; Tiền gửi ký quỹ cho hoạt động tự doanh &gt;&gt; Tăng/Giảm (%)</t>
        </is>
      </c>
      <c r="F4009" s="390" t="inlineStr">
        <is>
          <t>Data Explorer</t>
        </is>
      </c>
      <c r="G4009" s="390" t="inlineStr">
        <is>
          <t>Chiều</t>
        </is>
      </c>
      <c r="H4009" s="390" t="inlineStr">
        <is>
          <t>Dễ</t>
        </is>
      </c>
      <c r="I4009" s="390" t="inlineStr">
        <is>
          <t>Ngày, CTCK</t>
        </is>
      </c>
      <c r="J4009" s="401" t="inlineStr">
        <is>
          <t>SCMS</t>
        </is>
      </c>
      <c r="K4009" s="401" t="inlineStr">
        <is>
          <t>X</t>
        </is>
      </c>
      <c r="L4009" s="401" t="inlineStr">
        <is>
          <t>X</t>
        </is>
      </c>
      <c r="M4009" s="401" t="n"/>
      <c r="N4009" s="401" t="inlineStr">
        <is>
          <t>Pending</t>
        </is>
      </c>
      <c r="O4009" s="401" t="n"/>
      <c r="P4009" s="22" t="n"/>
      <c r="Q4009" s="401" t="n"/>
      <c r="R4009" s="401" t="n"/>
      <c r="S4009" s="22" t="n"/>
      <c r="T4009" s="390" t="n"/>
      <c r="U4009" s="390" t="inlineStr">
        <is>
          <t>Không có thông tin</t>
        </is>
      </c>
      <c r="V4009" s="22" t="n"/>
      <c r="W4009" s="22" t="n"/>
      <c r="X4009" s="22" t="n"/>
      <c r="Y4009" s="22" t="n"/>
      <c r="Z4009" s="22" t="n"/>
      <c r="AA4009" s="22" t="n"/>
      <c r="AB4009" s="22" t="n"/>
      <c r="AC4009" s="22" t="n"/>
      <c r="AD4009" s="22" t="n"/>
      <c r="AE4009" s="22" t="n"/>
    </row>
    <row r="4010" ht="84" customHeight="1" s="380">
      <c r="A4010" s="164" t="n">
        <v>145</v>
      </c>
      <c r="B4010" s="390" t="n"/>
      <c r="C4010" s="390" t="inlineStr">
        <is>
          <t>Về Hoạt động thanh toán tiền cho các giao dịch chứng khoán - Ngân hàng thanh toán</t>
        </is>
      </c>
      <c r="D4010" s="390" t="inlineStr">
        <is>
          <t>Tiền gửi ký quỹ của các thành viên tham gia thị trường &gt;&gt; Tiền gửi ký quỹ cho hoạt động môi giới trong nước &gt;&gt; Đầu kỳ</t>
        </is>
      </c>
      <c r="E4010" s="390" t="inlineStr">
        <is>
          <t>Tiền gửi ký quỹ của các thành viên tham gia thị trường &gt;&gt; Tiền gửi ký quỹ cho hoạt động môi giới trong nước &gt;&gt; Đầu kỳ</t>
        </is>
      </c>
      <c r="F4010" s="390" t="inlineStr">
        <is>
          <t>Data Explorer</t>
        </is>
      </c>
      <c r="G4010" s="390" t="inlineStr">
        <is>
          <t>Chiều</t>
        </is>
      </c>
      <c r="H4010" s="390" t="inlineStr">
        <is>
          <t>Dễ</t>
        </is>
      </c>
      <c r="I4010" s="390" t="inlineStr">
        <is>
          <t>Ngày, CTCK</t>
        </is>
      </c>
      <c r="J4010" s="401" t="inlineStr">
        <is>
          <t>SCMS</t>
        </is>
      </c>
      <c r="K4010" s="401" t="inlineStr">
        <is>
          <t>X</t>
        </is>
      </c>
      <c r="L4010" s="401" t="inlineStr">
        <is>
          <t>X</t>
        </is>
      </c>
      <c r="M4010" s="401" t="n"/>
      <c r="N4010" s="401" t="inlineStr">
        <is>
          <t>Pending</t>
        </is>
      </c>
      <c r="O4010" s="401" t="n"/>
      <c r="P4010" s="22" t="n"/>
      <c r="Q4010" s="401" t="n"/>
      <c r="R4010" s="401" t="n"/>
      <c r="S4010" s="22" t="n"/>
      <c r="T4010" s="390" t="n"/>
      <c r="U4010" s="390" t="inlineStr">
        <is>
          <t>Không có thông tin</t>
        </is>
      </c>
      <c r="V4010" s="22" t="n"/>
      <c r="W4010" s="22" t="n"/>
      <c r="X4010" s="22" t="n"/>
      <c r="Y4010" s="22" t="n"/>
      <c r="Z4010" s="22" t="n"/>
      <c r="AA4010" s="22" t="n"/>
      <c r="AB4010" s="22" t="n"/>
      <c r="AC4010" s="22" t="n"/>
      <c r="AD4010" s="22" t="n"/>
      <c r="AE4010" s="22" t="n"/>
    </row>
    <row r="4011" ht="84" customHeight="1" s="380">
      <c r="A4011" s="164" t="n">
        <v>145</v>
      </c>
      <c r="B4011" s="390" t="n"/>
      <c r="C4011" s="390" t="inlineStr">
        <is>
          <t>Về Hoạt động thanh toán tiền cho các giao dịch chứng khoán - Ngân hàng thanh toán</t>
        </is>
      </c>
      <c r="D4011" s="390" t="inlineStr">
        <is>
          <t>Tiền gửi ký quỹ của các thành viên tham gia thị trường &gt;&gt; Tiền gửi ký quỹ cho hoạt động môi giới trong nước &gt;&gt; Cuối kỳ</t>
        </is>
      </c>
      <c r="E4011" s="390" t="inlineStr">
        <is>
          <t>Tiền gửi ký quỹ của các thành viên tham gia thị trường &gt;&gt; Tiền gửi ký quỹ cho hoạt động môi giới trong nước &gt;&gt; Cuối kỳ</t>
        </is>
      </c>
      <c r="F4011" s="390" t="inlineStr">
        <is>
          <t>Data Explorer</t>
        </is>
      </c>
      <c r="G4011" s="390" t="inlineStr">
        <is>
          <t>Chiều</t>
        </is>
      </c>
      <c r="H4011" s="390" t="inlineStr">
        <is>
          <t>Dễ</t>
        </is>
      </c>
      <c r="I4011" s="390" t="inlineStr">
        <is>
          <t>Ngày, CTCK</t>
        </is>
      </c>
      <c r="J4011" s="401" t="inlineStr">
        <is>
          <t>SCMS</t>
        </is>
      </c>
      <c r="K4011" s="401" t="inlineStr">
        <is>
          <t>X</t>
        </is>
      </c>
      <c r="L4011" s="401" t="inlineStr">
        <is>
          <t>X</t>
        </is>
      </c>
      <c r="M4011" s="401" t="n"/>
      <c r="N4011" s="401" t="inlineStr">
        <is>
          <t>Pending</t>
        </is>
      </c>
      <c r="O4011" s="401" t="n"/>
      <c r="P4011" s="22" t="n"/>
      <c r="Q4011" s="401" t="n"/>
      <c r="R4011" s="401" t="n"/>
      <c r="S4011" s="22" t="n"/>
      <c r="T4011" s="390" t="n"/>
      <c r="U4011" s="390" t="inlineStr">
        <is>
          <t>Không có thông tin</t>
        </is>
      </c>
      <c r="V4011" s="22" t="n"/>
      <c r="W4011" s="22" t="n"/>
      <c r="X4011" s="22" t="n"/>
      <c r="Y4011" s="22" t="n"/>
      <c r="Z4011" s="22" t="n"/>
      <c r="AA4011" s="22" t="n"/>
      <c r="AB4011" s="22" t="n"/>
      <c r="AC4011" s="22" t="n"/>
      <c r="AD4011" s="22" t="n"/>
      <c r="AE4011" s="22" t="n"/>
    </row>
    <row r="4012" ht="84" customHeight="1" s="380">
      <c r="A4012" s="164" t="n">
        <v>145</v>
      </c>
      <c r="B4012" s="390" t="n"/>
      <c r="C4012" s="390" t="inlineStr">
        <is>
          <t>Về Hoạt động thanh toán tiền cho các giao dịch chứng khoán - Ngân hàng thanh toán</t>
        </is>
      </c>
      <c r="D4012" s="390" t="inlineStr">
        <is>
          <t>Tiền gửi ký quỹ của các thành viên tham gia thị trường &gt;&gt; Tiền gửi ký quỹ cho hoạt động môi giới trong nước &gt;&gt; Tăng/Giảm (%)</t>
        </is>
      </c>
      <c r="E4012" s="390" t="inlineStr">
        <is>
          <t>Tiền gửi ký quỹ của các thành viên tham gia thị trường &gt;&gt; Tiền gửi ký quỹ cho hoạt động môi giới trong nước &gt;&gt; Tăng/Giảm (%)</t>
        </is>
      </c>
      <c r="F4012" s="390" t="inlineStr">
        <is>
          <t>Data Explorer</t>
        </is>
      </c>
      <c r="G4012" s="390" t="inlineStr">
        <is>
          <t>Chiều</t>
        </is>
      </c>
      <c r="H4012" s="390" t="inlineStr">
        <is>
          <t>Dễ</t>
        </is>
      </c>
      <c r="I4012" s="390" t="inlineStr">
        <is>
          <t>Ngày, CTCK</t>
        </is>
      </c>
      <c r="J4012" s="401" t="inlineStr">
        <is>
          <t>SCMS</t>
        </is>
      </c>
      <c r="K4012" s="401" t="inlineStr">
        <is>
          <t>X</t>
        </is>
      </c>
      <c r="L4012" s="401" t="inlineStr">
        <is>
          <t>X</t>
        </is>
      </c>
      <c r="M4012" s="401" t="n"/>
      <c r="N4012" s="401" t="inlineStr">
        <is>
          <t>Pending</t>
        </is>
      </c>
      <c r="O4012" s="401" t="n"/>
      <c r="P4012" s="22" t="n"/>
      <c r="Q4012" s="401" t="n"/>
      <c r="R4012" s="401" t="n"/>
      <c r="S4012" s="22" t="n"/>
      <c r="T4012" s="390" t="n"/>
      <c r="U4012" s="390" t="inlineStr">
        <is>
          <t>Không có thông tin</t>
        </is>
      </c>
      <c r="V4012" s="22" t="n"/>
      <c r="W4012" s="22" t="n"/>
      <c r="X4012" s="22" t="n"/>
      <c r="Y4012" s="22" t="n"/>
      <c r="Z4012" s="22" t="n"/>
      <c r="AA4012" s="22" t="n"/>
      <c r="AB4012" s="22" t="n"/>
      <c r="AC4012" s="22" t="n"/>
      <c r="AD4012" s="22" t="n"/>
      <c r="AE4012" s="22" t="n"/>
    </row>
    <row r="4013" ht="84" customHeight="1" s="380">
      <c r="A4013" s="164" t="n">
        <v>145</v>
      </c>
      <c r="B4013" s="390" t="n"/>
      <c r="C4013" s="390" t="inlineStr">
        <is>
          <t>Về Hoạt động thanh toán tiền cho các giao dịch chứng khoán - Ngân hàng thanh toán</t>
        </is>
      </c>
      <c r="D4013" s="390" t="inlineStr">
        <is>
          <t>Tiền gửi ký quỹ của các thành viên tham gia thị trường &gt;&gt; Tiền gửi ký quỹ cho hoạt động môi giới nước ngoài &gt;&gt; Đầu kỳ</t>
        </is>
      </c>
      <c r="E4013" s="390" t="inlineStr">
        <is>
          <t>Tiền gửi ký quỹ của các thành viên tham gia thị trường &gt;&gt; Tiền gửi ký quỹ cho hoạt động môi giới nước ngoài &gt;&gt; Đầu kỳ</t>
        </is>
      </c>
      <c r="F4013" s="390" t="inlineStr">
        <is>
          <t>Data Explorer</t>
        </is>
      </c>
      <c r="G4013" s="390" t="inlineStr">
        <is>
          <t>Chiều</t>
        </is>
      </c>
      <c r="H4013" s="390" t="inlineStr">
        <is>
          <t>Dễ</t>
        </is>
      </c>
      <c r="I4013" s="390" t="inlineStr">
        <is>
          <t>Ngày, CTCK</t>
        </is>
      </c>
      <c r="J4013" s="401" t="inlineStr">
        <is>
          <t>SCMS</t>
        </is>
      </c>
      <c r="K4013" s="401" t="inlineStr">
        <is>
          <t>X</t>
        </is>
      </c>
      <c r="L4013" s="401" t="inlineStr">
        <is>
          <t>X</t>
        </is>
      </c>
      <c r="M4013" s="401" t="n"/>
      <c r="N4013" s="401" t="inlineStr">
        <is>
          <t>Pending</t>
        </is>
      </c>
      <c r="O4013" s="401" t="n"/>
      <c r="P4013" s="22" t="n"/>
      <c r="Q4013" s="401" t="n"/>
      <c r="R4013" s="401" t="n"/>
      <c r="S4013" s="22" t="n"/>
      <c r="T4013" s="390" t="n"/>
      <c r="U4013" s="390" t="inlineStr">
        <is>
          <t>Không có thông tin</t>
        </is>
      </c>
      <c r="V4013" s="22" t="n"/>
      <c r="W4013" s="22" t="n"/>
      <c r="X4013" s="22" t="n"/>
      <c r="Y4013" s="22" t="n"/>
      <c r="Z4013" s="22" t="n"/>
      <c r="AA4013" s="22" t="n"/>
      <c r="AB4013" s="22" t="n"/>
      <c r="AC4013" s="22" t="n"/>
      <c r="AD4013" s="22" t="n"/>
      <c r="AE4013" s="22" t="n"/>
    </row>
    <row r="4014" ht="84" customHeight="1" s="380">
      <c r="A4014" s="164" t="n">
        <v>145</v>
      </c>
      <c r="B4014" s="390" t="n"/>
      <c r="C4014" s="390" t="inlineStr">
        <is>
          <t>Về Hoạt động thanh toán tiền cho các giao dịch chứng khoán - Ngân hàng thanh toán</t>
        </is>
      </c>
      <c r="D4014" s="390" t="inlineStr">
        <is>
          <t>Tiền gửi ký quỹ của các thành viên tham gia thị trường &gt;&gt; Tiền gửi ký quỹ cho hoạt động môi giới nước ngoài &gt;&gt; Cuối kỳ</t>
        </is>
      </c>
      <c r="E4014" s="390" t="inlineStr">
        <is>
          <t>Tiền gửi ký quỹ của các thành viên tham gia thị trường &gt;&gt; Tiền gửi ký quỹ cho hoạt động môi giới nước ngoài &gt;&gt; Cuối kỳ</t>
        </is>
      </c>
      <c r="F4014" s="390" t="inlineStr">
        <is>
          <t>Data Explorer</t>
        </is>
      </c>
      <c r="G4014" s="390" t="inlineStr">
        <is>
          <t>Chiều</t>
        </is>
      </c>
      <c r="H4014" s="390" t="inlineStr">
        <is>
          <t>Dễ</t>
        </is>
      </c>
      <c r="I4014" s="390" t="inlineStr">
        <is>
          <t>Ngày, CTCK</t>
        </is>
      </c>
      <c r="J4014" s="401" t="inlineStr">
        <is>
          <t>SCMS</t>
        </is>
      </c>
      <c r="K4014" s="401" t="inlineStr">
        <is>
          <t>X</t>
        </is>
      </c>
      <c r="L4014" s="401" t="inlineStr">
        <is>
          <t>X</t>
        </is>
      </c>
      <c r="M4014" s="401" t="n"/>
      <c r="N4014" s="401" t="inlineStr">
        <is>
          <t>Pending</t>
        </is>
      </c>
      <c r="O4014" s="401" t="n"/>
      <c r="P4014" s="22" t="n"/>
      <c r="Q4014" s="401" t="n"/>
      <c r="R4014" s="401" t="n"/>
      <c r="S4014" s="22" t="n"/>
      <c r="T4014" s="390" t="n"/>
      <c r="U4014" s="390" t="inlineStr">
        <is>
          <t>Không có thông tin</t>
        </is>
      </c>
      <c r="V4014" s="22" t="n"/>
      <c r="W4014" s="22" t="n"/>
      <c r="X4014" s="22" t="n"/>
      <c r="Y4014" s="22" t="n"/>
      <c r="Z4014" s="22" t="n"/>
      <c r="AA4014" s="22" t="n"/>
      <c r="AB4014" s="22" t="n"/>
      <c r="AC4014" s="22" t="n"/>
      <c r="AD4014" s="22" t="n"/>
      <c r="AE4014" s="22" t="n"/>
    </row>
    <row r="4015" ht="84" customHeight="1" s="380">
      <c r="A4015" s="164" t="n">
        <v>145</v>
      </c>
      <c r="B4015" s="390" t="n"/>
      <c r="C4015" s="390" t="inlineStr">
        <is>
          <t>Về Hoạt động thanh toán tiền cho các giao dịch chứng khoán - Ngân hàng thanh toán</t>
        </is>
      </c>
      <c r="D4015" s="390" t="inlineStr">
        <is>
          <t>Tiền gửi ký quỹ của các thành viên tham gia thị trường &gt;&gt; Tiền gửi ký quỹ cho hoạt động môi giới nước ngoài &gt;&gt; Tăng/Giảm (%)</t>
        </is>
      </c>
      <c r="E4015" s="390" t="inlineStr">
        <is>
          <t>Tiền gửi ký quỹ của các thành viên tham gia thị trường &gt;&gt; Tiền gửi ký quỹ cho hoạt động môi giới nước ngoài &gt;&gt; Tăng/Giảm (%)</t>
        </is>
      </c>
      <c r="F4015" s="390" t="inlineStr">
        <is>
          <t>Data Explorer</t>
        </is>
      </c>
      <c r="G4015" s="390" t="inlineStr">
        <is>
          <t>Chiều</t>
        </is>
      </c>
      <c r="H4015" s="390" t="inlineStr">
        <is>
          <t>Dễ</t>
        </is>
      </c>
      <c r="I4015" s="390" t="inlineStr">
        <is>
          <t>Ngày, CTCK</t>
        </is>
      </c>
      <c r="J4015" s="401" t="inlineStr">
        <is>
          <t>SCMS</t>
        </is>
      </c>
      <c r="K4015" s="401" t="inlineStr">
        <is>
          <t>X</t>
        </is>
      </c>
      <c r="L4015" s="401" t="inlineStr">
        <is>
          <t>X</t>
        </is>
      </c>
      <c r="M4015" s="401" t="n"/>
      <c r="N4015" s="401" t="inlineStr">
        <is>
          <t>Pending</t>
        </is>
      </c>
      <c r="O4015" s="401" t="n"/>
      <c r="P4015" s="22" t="n"/>
      <c r="Q4015" s="401" t="n"/>
      <c r="R4015" s="401" t="n"/>
      <c r="S4015" s="22" t="n"/>
      <c r="T4015" s="390" t="n"/>
      <c r="U4015" s="390" t="inlineStr">
        <is>
          <t>Không có thông tin</t>
        </is>
      </c>
      <c r="V4015" s="22" t="n"/>
      <c r="W4015" s="22" t="n"/>
      <c r="X4015" s="22" t="n"/>
      <c r="Y4015" s="22" t="n"/>
      <c r="Z4015" s="22" t="n"/>
      <c r="AA4015" s="22" t="n"/>
      <c r="AB4015" s="22" t="n"/>
      <c r="AC4015" s="22" t="n"/>
      <c r="AD4015" s="22" t="n"/>
      <c r="AE4015" s="22" t="n"/>
    </row>
    <row r="4016" ht="56" customHeight="1" s="380">
      <c r="A4016" s="164" t="n">
        <v>145</v>
      </c>
      <c r="B4016" s="390" t="n"/>
      <c r="C4016" s="390" t="inlineStr">
        <is>
          <t>Về Hoạt động thanh toán tiền cho các giao dịch chứng khoán - Ngân hàng thanh toán</t>
        </is>
      </c>
      <c r="D4016" s="390" t="inlineStr">
        <is>
          <t>Tiền gửi ký quỹ của các thành viên tham gia thị trường &gt;&gt; Tổng &gt;&gt; Đầu kỳ</t>
        </is>
      </c>
      <c r="E4016" s="390" t="inlineStr">
        <is>
          <t>Tiền gửi ký quỹ của các thành viên tham gia thị trường &gt;&gt; Tổng &gt;&gt; Đầu kỳ</t>
        </is>
      </c>
      <c r="F4016" s="390" t="inlineStr">
        <is>
          <t>Data Explorer</t>
        </is>
      </c>
      <c r="G4016" s="390" t="inlineStr">
        <is>
          <t>Chiều</t>
        </is>
      </c>
      <c r="H4016" s="390" t="inlineStr">
        <is>
          <t>Dễ</t>
        </is>
      </c>
      <c r="I4016" s="390" t="inlineStr">
        <is>
          <t>Ngày, CTCK</t>
        </is>
      </c>
      <c r="J4016" s="401" t="inlineStr">
        <is>
          <t>SCMS</t>
        </is>
      </c>
      <c r="K4016" s="401" t="inlineStr">
        <is>
          <t>X</t>
        </is>
      </c>
      <c r="L4016" s="401" t="inlineStr">
        <is>
          <t>X</t>
        </is>
      </c>
      <c r="M4016" s="401" t="n"/>
      <c r="N4016" s="401" t="inlineStr">
        <is>
          <t>Pending</t>
        </is>
      </c>
      <c r="O4016" s="401" t="n"/>
      <c r="P4016" s="22" t="n"/>
      <c r="Q4016" s="401" t="n"/>
      <c r="R4016" s="401" t="n"/>
      <c r="S4016" s="22" t="n"/>
      <c r="T4016" s="390" t="n"/>
      <c r="U4016" s="390" t="inlineStr">
        <is>
          <t>Không có thông tin</t>
        </is>
      </c>
      <c r="V4016" s="22" t="n"/>
      <c r="W4016" s="22" t="n"/>
      <c r="X4016" s="22" t="n"/>
      <c r="Y4016" s="22" t="n"/>
      <c r="Z4016" s="22" t="n"/>
      <c r="AA4016" s="22" t="n"/>
      <c r="AB4016" s="22" t="n"/>
      <c r="AC4016" s="22" t="n"/>
      <c r="AD4016" s="22" t="n"/>
      <c r="AE4016" s="22" t="n"/>
    </row>
    <row r="4017" ht="56" customHeight="1" s="380">
      <c r="A4017" s="164" t="n">
        <v>145</v>
      </c>
      <c r="B4017" s="390" t="n"/>
      <c r="C4017" s="390" t="inlineStr">
        <is>
          <t>Về Hoạt động thanh toán tiền cho các giao dịch chứng khoán - Ngân hàng thanh toán</t>
        </is>
      </c>
      <c r="D4017" s="390" t="inlineStr">
        <is>
          <t>Tiền gửi ký quỹ của các thành viên tham gia thị trường &gt;&gt; Tổng &gt;&gt; Cuối kỳ</t>
        </is>
      </c>
      <c r="E4017" s="390" t="inlineStr">
        <is>
          <t>Tiền gửi ký quỹ của các thành viên tham gia thị trường &gt;&gt; Tổng &gt;&gt; Cuối kỳ</t>
        </is>
      </c>
      <c r="F4017" s="390" t="inlineStr">
        <is>
          <t>Data Explorer</t>
        </is>
      </c>
      <c r="G4017" s="390" t="inlineStr">
        <is>
          <t>Chiều</t>
        </is>
      </c>
      <c r="H4017" s="390" t="inlineStr">
        <is>
          <t>Dễ</t>
        </is>
      </c>
      <c r="I4017" s="390" t="inlineStr">
        <is>
          <t>Ngày, CTCK</t>
        </is>
      </c>
      <c r="J4017" s="401" t="inlineStr">
        <is>
          <t>SCMS</t>
        </is>
      </c>
      <c r="K4017" s="401" t="inlineStr">
        <is>
          <t>X</t>
        </is>
      </c>
      <c r="L4017" s="401" t="inlineStr">
        <is>
          <t>X</t>
        </is>
      </c>
      <c r="M4017" s="401" t="n"/>
      <c r="N4017" s="401" t="inlineStr">
        <is>
          <t>Pending</t>
        </is>
      </c>
      <c r="O4017" s="401" t="n"/>
      <c r="P4017" s="22" t="n"/>
      <c r="Q4017" s="401" t="n"/>
      <c r="R4017" s="401" t="n"/>
      <c r="S4017" s="22" t="n"/>
      <c r="T4017" s="390" t="n"/>
      <c r="U4017" s="390" t="inlineStr">
        <is>
          <t>Không có thông tin</t>
        </is>
      </c>
      <c r="V4017" s="22" t="n"/>
      <c r="W4017" s="22" t="n"/>
      <c r="X4017" s="22" t="n"/>
      <c r="Y4017" s="22" t="n"/>
      <c r="Z4017" s="22" t="n"/>
      <c r="AA4017" s="22" t="n"/>
      <c r="AB4017" s="22" t="n"/>
      <c r="AC4017" s="22" t="n"/>
      <c r="AD4017" s="22" t="n"/>
      <c r="AE4017" s="22" t="n"/>
    </row>
    <row r="4018" ht="56" customHeight="1" s="380">
      <c r="A4018" s="164" t="n">
        <v>145</v>
      </c>
      <c r="B4018" s="390" t="n"/>
      <c r="C4018" s="390" t="inlineStr">
        <is>
          <t>Về Hoạt động thanh toán tiền cho các giao dịch chứng khoán - Ngân hàng thanh toán</t>
        </is>
      </c>
      <c r="D4018" s="390" t="inlineStr">
        <is>
          <t>Tiền gửi ký quỹ của các thành viên tham gia thị trường &gt;&gt; Tổng &gt;&gt; Tăng/Giảm (%)</t>
        </is>
      </c>
      <c r="E4018" s="390" t="inlineStr">
        <is>
          <t>Tiền gửi ký quỹ của các thành viên tham gia thị trường &gt;&gt; Tổng &gt;&gt; Tăng/Giảm (%)</t>
        </is>
      </c>
      <c r="F4018" s="390" t="inlineStr">
        <is>
          <t>Data Explorer</t>
        </is>
      </c>
      <c r="G4018" s="390" t="inlineStr">
        <is>
          <t>Chiều</t>
        </is>
      </c>
      <c r="H4018" s="390" t="inlineStr">
        <is>
          <t>Dễ</t>
        </is>
      </c>
      <c r="I4018" s="390" t="inlineStr">
        <is>
          <t>Ngày, CTCK</t>
        </is>
      </c>
      <c r="J4018" s="401" t="inlineStr">
        <is>
          <t>SCMS</t>
        </is>
      </c>
      <c r="K4018" s="401" t="inlineStr">
        <is>
          <t>X</t>
        </is>
      </c>
      <c r="L4018" s="401" t="inlineStr">
        <is>
          <t>X</t>
        </is>
      </c>
      <c r="M4018" s="401" t="n"/>
      <c r="N4018" s="401" t="inlineStr">
        <is>
          <t>Pending</t>
        </is>
      </c>
      <c r="O4018" s="401" t="n"/>
      <c r="P4018" s="22" t="n"/>
      <c r="Q4018" s="401" t="n"/>
      <c r="R4018" s="401" t="n"/>
      <c r="S4018" s="22" t="n"/>
      <c r="T4018" s="390" t="n"/>
      <c r="U4018" s="390" t="inlineStr">
        <is>
          <t>Không có thông tin</t>
        </is>
      </c>
      <c r="V4018" s="22" t="n"/>
      <c r="W4018" s="22" t="n"/>
      <c r="X4018" s="22" t="n"/>
      <c r="Y4018" s="22" t="n"/>
      <c r="Z4018" s="22" t="n"/>
      <c r="AA4018" s="22" t="n"/>
      <c r="AB4018" s="22" t="n"/>
      <c r="AC4018" s="22" t="n"/>
      <c r="AD4018" s="22" t="n"/>
      <c r="AE4018" s="22" t="n"/>
    </row>
    <row r="4019" ht="70" customHeight="1" s="380">
      <c r="A4019" s="164" t="n">
        <v>145</v>
      </c>
      <c r="B4019" s="390" t="n"/>
      <c r="C4019" s="390" t="inlineStr">
        <is>
          <t>Về Hoạt động thanh toán tiền cho các giao dịch chứng khoán - Ngân hàng thanh toán</t>
        </is>
      </c>
      <c r="D4019" s="390" t="inlineStr">
        <is>
          <t>Tiền gửi thanh toán của các thành viên tham gia thị trường &gt;&gt; Tiền gửi thanh toán cho hoạt động tự doanh &gt;&gt; Đầu kỳ</t>
        </is>
      </c>
      <c r="E4019" s="390" t="inlineStr">
        <is>
          <t>Tiền gửi thanh toán của các thành viên tham gia thị trường &gt;&gt; Tiền gửi thanh toán cho hoạt động tự doanh &gt;&gt; Đầu kỳ</t>
        </is>
      </c>
      <c r="F4019" s="390" t="inlineStr">
        <is>
          <t>Data Explorer</t>
        </is>
      </c>
      <c r="G4019" s="390" t="inlineStr">
        <is>
          <t>Chiều</t>
        </is>
      </c>
      <c r="H4019" s="390" t="inlineStr">
        <is>
          <t>Dễ</t>
        </is>
      </c>
      <c r="I4019" s="390" t="inlineStr">
        <is>
          <t>Ngày, CTCK</t>
        </is>
      </c>
      <c r="J4019" s="401" t="inlineStr">
        <is>
          <t>SCMS</t>
        </is>
      </c>
      <c r="K4019" s="401" t="inlineStr">
        <is>
          <t>X</t>
        </is>
      </c>
      <c r="L4019" s="401" t="inlineStr">
        <is>
          <t>X</t>
        </is>
      </c>
      <c r="M4019" s="401" t="n"/>
      <c r="N4019" s="401" t="inlineStr">
        <is>
          <t>Pending</t>
        </is>
      </c>
      <c r="O4019" s="401" t="n"/>
      <c r="P4019" s="22" t="n"/>
      <c r="Q4019" s="401" t="n"/>
      <c r="R4019" s="401" t="n"/>
      <c r="S4019" s="22" t="n"/>
      <c r="T4019" s="390" t="n"/>
      <c r="U4019" s="390" t="inlineStr">
        <is>
          <t>Không có thông tin</t>
        </is>
      </c>
      <c r="V4019" s="22" t="n"/>
      <c r="W4019" s="22" t="n"/>
      <c r="X4019" s="22" t="n"/>
      <c r="Y4019" s="22" t="n"/>
      <c r="Z4019" s="22" t="n"/>
      <c r="AA4019" s="22" t="n"/>
      <c r="AB4019" s="22" t="n"/>
      <c r="AC4019" s="22" t="n"/>
      <c r="AD4019" s="22" t="n"/>
      <c r="AE4019" s="22" t="n"/>
    </row>
    <row r="4020" ht="84" customHeight="1" s="380">
      <c r="A4020" s="164" t="n">
        <v>145</v>
      </c>
      <c r="B4020" s="390" t="n"/>
      <c r="C4020" s="390" t="inlineStr">
        <is>
          <t>Về Hoạt động thanh toán tiền cho các giao dịch chứng khoán - Ngân hàng thanh toán</t>
        </is>
      </c>
      <c r="D4020" s="390" t="inlineStr">
        <is>
          <t>Tiền gửi thanh toán của các thành viên tham gia thị trường &gt;&gt; Tiền gửi thanh toán cho hoạt động tự doanh &gt;&gt; Cuối kỳ</t>
        </is>
      </c>
      <c r="E4020" s="390" t="inlineStr">
        <is>
          <t>Tiền gửi thanh toán của các thành viên tham gia thị trường &gt;&gt; Tiền gửi thanh toán cho hoạt động tự doanh &gt;&gt; Cuối kỳ</t>
        </is>
      </c>
      <c r="F4020" s="390" t="inlineStr">
        <is>
          <t>Data Explorer</t>
        </is>
      </c>
      <c r="G4020" s="390" t="inlineStr">
        <is>
          <t>Chiều</t>
        </is>
      </c>
      <c r="H4020" s="390" t="inlineStr">
        <is>
          <t>Dễ</t>
        </is>
      </c>
      <c r="I4020" s="390" t="inlineStr">
        <is>
          <t>Ngày, CTCK</t>
        </is>
      </c>
      <c r="J4020" s="401" t="inlineStr">
        <is>
          <t>SCMS</t>
        </is>
      </c>
      <c r="K4020" s="401" t="inlineStr">
        <is>
          <t>X</t>
        </is>
      </c>
      <c r="L4020" s="401" t="inlineStr">
        <is>
          <t>X</t>
        </is>
      </c>
      <c r="M4020" s="401" t="n"/>
      <c r="N4020" s="401" t="inlineStr">
        <is>
          <t>Pending</t>
        </is>
      </c>
      <c r="O4020" s="401" t="n"/>
      <c r="P4020" s="22" t="n"/>
      <c r="Q4020" s="401" t="n"/>
      <c r="R4020" s="401" t="n"/>
      <c r="S4020" s="22" t="n"/>
      <c r="T4020" s="390" t="n"/>
      <c r="U4020" s="390" t="inlineStr">
        <is>
          <t>Không có thông tin</t>
        </is>
      </c>
      <c r="V4020" s="22" t="n"/>
      <c r="W4020" s="22" t="n"/>
      <c r="X4020" s="22" t="n"/>
      <c r="Y4020" s="22" t="n"/>
      <c r="Z4020" s="22" t="n"/>
      <c r="AA4020" s="22" t="n"/>
      <c r="AB4020" s="22" t="n"/>
      <c r="AC4020" s="22" t="n"/>
      <c r="AD4020" s="22" t="n"/>
      <c r="AE4020" s="22" t="n"/>
    </row>
    <row r="4021" ht="84" customHeight="1" s="380">
      <c r="A4021" s="164" t="n">
        <v>145</v>
      </c>
      <c r="B4021" s="390" t="n"/>
      <c r="C4021" s="390" t="inlineStr">
        <is>
          <t>Về Hoạt động thanh toán tiền cho các giao dịch chứng khoán - Ngân hàng thanh toán</t>
        </is>
      </c>
      <c r="D4021" s="390" t="inlineStr">
        <is>
          <t>Tiền gửi thanh toán của các thành viên tham gia thị trường &gt;&gt; Tiền gửi thanh toán cho hoạt động tự doanh &gt;&gt; Tăng/Giảm (%)</t>
        </is>
      </c>
      <c r="E4021" s="390" t="inlineStr">
        <is>
          <t>Tiền gửi thanh toán của các thành viên tham gia thị trường &gt;&gt; Tiền gửi thanh toán cho hoạt động tự doanh &gt;&gt; Tăng/Giảm (%)</t>
        </is>
      </c>
      <c r="F4021" s="390" t="inlineStr">
        <is>
          <t>Data Explorer</t>
        </is>
      </c>
      <c r="G4021" s="390" t="inlineStr">
        <is>
          <t>Chiều</t>
        </is>
      </c>
      <c r="H4021" s="390" t="inlineStr">
        <is>
          <t>Dễ</t>
        </is>
      </c>
      <c r="I4021" s="390" t="inlineStr">
        <is>
          <t>Ngày, CTCK</t>
        </is>
      </c>
      <c r="J4021" s="401" t="inlineStr">
        <is>
          <t>SCMS</t>
        </is>
      </c>
      <c r="K4021" s="401" t="inlineStr">
        <is>
          <t>X</t>
        </is>
      </c>
      <c r="L4021" s="401" t="inlineStr">
        <is>
          <t>X</t>
        </is>
      </c>
      <c r="M4021" s="401" t="n"/>
      <c r="N4021" s="401" t="inlineStr">
        <is>
          <t>Pending</t>
        </is>
      </c>
      <c r="O4021" s="401" t="n"/>
      <c r="P4021" s="22" t="n"/>
      <c r="Q4021" s="401" t="n"/>
      <c r="R4021" s="401" t="n"/>
      <c r="S4021" s="22" t="n"/>
      <c r="T4021" s="390" t="n"/>
      <c r="U4021" s="390" t="inlineStr">
        <is>
          <t>Không có thông tin</t>
        </is>
      </c>
      <c r="V4021" s="22" t="n"/>
      <c r="W4021" s="22" t="n"/>
      <c r="X4021" s="22" t="n"/>
      <c r="Y4021" s="22" t="n"/>
      <c r="Z4021" s="22" t="n"/>
      <c r="AA4021" s="22" t="n"/>
      <c r="AB4021" s="22" t="n"/>
      <c r="AC4021" s="22" t="n"/>
      <c r="AD4021" s="22" t="n"/>
      <c r="AE4021" s="22" t="n"/>
    </row>
    <row r="4022" ht="84" customHeight="1" s="380">
      <c r="A4022" s="164" t="n">
        <v>145</v>
      </c>
      <c r="B4022" s="390" t="n"/>
      <c r="C4022" s="390" t="inlineStr">
        <is>
          <t>Về Hoạt động thanh toán tiền cho các giao dịch chứng khoán - Ngân hàng thanh toán</t>
        </is>
      </c>
      <c r="D4022" s="390" t="inlineStr">
        <is>
          <t>Tiền gửi thanh toán của các thành viên tham gia thị trường &gt;&gt; Tiền gửi thanh toán cho hoạt động môi giới trong nước &gt;&gt; Đầu kỳ</t>
        </is>
      </c>
      <c r="E4022" s="390" t="inlineStr">
        <is>
          <t>Tiền gửi thanh toán của các thành viên tham gia thị trường &gt;&gt; Tiền gửi thanh toán cho hoạt động môi giới trong nước &gt;&gt; Đầu kỳ</t>
        </is>
      </c>
      <c r="F4022" s="390" t="inlineStr">
        <is>
          <t>Data Explorer</t>
        </is>
      </c>
      <c r="G4022" s="390" t="inlineStr">
        <is>
          <t>Chiều</t>
        </is>
      </c>
      <c r="H4022" s="390" t="inlineStr">
        <is>
          <t>Dễ</t>
        </is>
      </c>
      <c r="I4022" s="390" t="inlineStr">
        <is>
          <t>Ngày, CTCK</t>
        </is>
      </c>
      <c r="J4022" s="401" t="inlineStr">
        <is>
          <t>SCMS</t>
        </is>
      </c>
      <c r="K4022" s="401" t="inlineStr">
        <is>
          <t>X</t>
        </is>
      </c>
      <c r="L4022" s="401" t="inlineStr">
        <is>
          <t>X</t>
        </is>
      </c>
      <c r="M4022" s="401" t="n"/>
      <c r="N4022" s="401" t="inlineStr">
        <is>
          <t>Pending</t>
        </is>
      </c>
      <c r="O4022" s="401" t="n"/>
      <c r="P4022" s="22" t="n"/>
      <c r="Q4022" s="401" t="n"/>
      <c r="R4022" s="401" t="n"/>
      <c r="S4022" s="22" t="n"/>
      <c r="T4022" s="390" t="n"/>
      <c r="U4022" s="390" t="inlineStr">
        <is>
          <t>Không có thông tin</t>
        </is>
      </c>
      <c r="V4022" s="22" t="n"/>
      <c r="W4022" s="22" t="n"/>
      <c r="X4022" s="22" t="n"/>
      <c r="Y4022" s="22" t="n"/>
      <c r="Z4022" s="22" t="n"/>
      <c r="AA4022" s="22" t="n"/>
      <c r="AB4022" s="22" t="n"/>
      <c r="AC4022" s="22" t="n"/>
      <c r="AD4022" s="22" t="n"/>
      <c r="AE4022" s="22" t="n"/>
    </row>
    <row r="4023" ht="84" customHeight="1" s="380">
      <c r="A4023" s="164" t="n">
        <v>145</v>
      </c>
      <c r="B4023" s="390" t="n"/>
      <c r="C4023" s="390" t="inlineStr">
        <is>
          <t>Về Hoạt động thanh toán tiền cho các giao dịch chứng khoán - Ngân hàng thanh toán</t>
        </is>
      </c>
      <c r="D4023" s="390" t="inlineStr">
        <is>
          <t>Tiền gửi thanh toán của các thành viên tham gia thị trường &gt;&gt; Tiền gửi thanh toán cho hoạt động môi giới trong nước &gt;&gt; Cuối kỳ</t>
        </is>
      </c>
      <c r="E4023" s="390" t="inlineStr">
        <is>
          <t>Tiền gửi thanh toán của các thành viên tham gia thị trường &gt;&gt; Tiền gửi thanh toán cho hoạt động môi giới trong nước &gt;&gt; Cuối kỳ</t>
        </is>
      </c>
      <c r="F4023" s="390" t="inlineStr">
        <is>
          <t>Data Explorer</t>
        </is>
      </c>
      <c r="G4023" s="390" t="inlineStr">
        <is>
          <t>Chiều</t>
        </is>
      </c>
      <c r="H4023" s="390" t="inlineStr">
        <is>
          <t>Dễ</t>
        </is>
      </c>
      <c r="I4023" s="390" t="inlineStr">
        <is>
          <t>Ngày, CTCK</t>
        </is>
      </c>
      <c r="J4023" s="401" t="inlineStr">
        <is>
          <t>SCMS</t>
        </is>
      </c>
      <c r="K4023" s="401" t="inlineStr">
        <is>
          <t>X</t>
        </is>
      </c>
      <c r="L4023" s="401" t="inlineStr">
        <is>
          <t>X</t>
        </is>
      </c>
      <c r="M4023" s="401" t="n"/>
      <c r="N4023" s="401" t="inlineStr">
        <is>
          <t>Pending</t>
        </is>
      </c>
      <c r="O4023" s="401" t="n"/>
      <c r="P4023" s="22" t="n"/>
      <c r="Q4023" s="401" t="n"/>
      <c r="R4023" s="401" t="n"/>
      <c r="S4023" s="22" t="n"/>
      <c r="T4023" s="390" t="n"/>
      <c r="U4023" s="390" t="inlineStr">
        <is>
          <t>Không có thông tin</t>
        </is>
      </c>
      <c r="V4023" s="22" t="n"/>
      <c r="W4023" s="22" t="n"/>
      <c r="X4023" s="22" t="n"/>
      <c r="Y4023" s="22" t="n"/>
      <c r="Z4023" s="22" t="n"/>
      <c r="AA4023" s="22" t="n"/>
      <c r="AB4023" s="22" t="n"/>
      <c r="AC4023" s="22" t="n"/>
      <c r="AD4023" s="22" t="n"/>
      <c r="AE4023" s="22" t="n"/>
    </row>
    <row r="4024" ht="84" customHeight="1" s="380">
      <c r="A4024" s="164" t="n">
        <v>145</v>
      </c>
      <c r="B4024" s="390" t="n"/>
      <c r="C4024" s="390" t="inlineStr">
        <is>
          <t>Về Hoạt động thanh toán tiền cho các giao dịch chứng khoán - Ngân hàng thanh toán</t>
        </is>
      </c>
      <c r="D4024" s="390" t="inlineStr">
        <is>
          <t>Tiền gửi thanh toán của các thành viên tham gia thị trường &gt;&gt; Tiền gửi thanh toán cho hoạt động môi giới trong nước &gt;&gt; Tăng/Giảm (%)</t>
        </is>
      </c>
      <c r="E4024" s="390" t="inlineStr">
        <is>
          <t>Tiền gửi thanh toán của các thành viên tham gia thị trường &gt;&gt; Tiền gửi thanh toán cho hoạt động môi giới trong nước &gt;&gt; Tăng/Giảm (%)</t>
        </is>
      </c>
      <c r="F4024" s="390" t="inlineStr">
        <is>
          <t>Data Explorer</t>
        </is>
      </c>
      <c r="G4024" s="390" t="inlineStr">
        <is>
          <t>Chiều</t>
        </is>
      </c>
      <c r="H4024" s="390" t="inlineStr">
        <is>
          <t>Dễ</t>
        </is>
      </c>
      <c r="I4024" s="390" t="inlineStr">
        <is>
          <t>Ngày, CTCK</t>
        </is>
      </c>
      <c r="J4024" s="401" t="inlineStr">
        <is>
          <t>SCMS</t>
        </is>
      </c>
      <c r="K4024" s="401" t="inlineStr">
        <is>
          <t>X</t>
        </is>
      </c>
      <c r="L4024" s="401" t="inlineStr">
        <is>
          <t>X</t>
        </is>
      </c>
      <c r="M4024" s="401" t="n"/>
      <c r="N4024" s="401" t="inlineStr">
        <is>
          <t>Pending</t>
        </is>
      </c>
      <c r="O4024" s="401" t="n"/>
      <c r="P4024" s="22" t="n"/>
      <c r="Q4024" s="401" t="n"/>
      <c r="R4024" s="401" t="n"/>
      <c r="S4024" s="22" t="n"/>
      <c r="T4024" s="390" t="n"/>
      <c r="U4024" s="390" t="inlineStr">
        <is>
          <t>Không có thông tin</t>
        </is>
      </c>
      <c r="V4024" s="22" t="n"/>
      <c r="W4024" s="22" t="n"/>
      <c r="X4024" s="22" t="n"/>
      <c r="Y4024" s="22" t="n"/>
      <c r="Z4024" s="22" t="n"/>
      <c r="AA4024" s="22" t="n"/>
      <c r="AB4024" s="22" t="n"/>
      <c r="AC4024" s="22" t="n"/>
      <c r="AD4024" s="22" t="n"/>
      <c r="AE4024" s="22" t="n"/>
    </row>
    <row r="4025" ht="84" customHeight="1" s="380">
      <c r="A4025" s="164" t="n">
        <v>145</v>
      </c>
      <c r="B4025" s="390" t="n"/>
      <c r="C4025" s="390" t="inlineStr">
        <is>
          <t>Về Hoạt động thanh toán tiền cho các giao dịch chứng khoán - Ngân hàng thanh toán</t>
        </is>
      </c>
      <c r="D4025" s="390" t="inlineStr">
        <is>
          <t>Tiền gửi thanh toán của các thành viên tham gia thị trường &gt;&gt; Tiền gửi thanh toán cho hoạt động môi giới nước ngoài &gt;&gt; Đầu kỳ</t>
        </is>
      </c>
      <c r="E4025" s="390" t="inlineStr">
        <is>
          <t>Tiền gửi thanh toán của các thành viên tham gia thị trường &gt;&gt; Tiền gửi thanh toán cho hoạt động môi giới nước ngoài &gt;&gt; Đầu kỳ</t>
        </is>
      </c>
      <c r="F4025" s="390" t="inlineStr">
        <is>
          <t>Data Explorer</t>
        </is>
      </c>
      <c r="G4025" s="390" t="inlineStr">
        <is>
          <t>Chiều</t>
        </is>
      </c>
      <c r="H4025" s="390" t="inlineStr">
        <is>
          <t>Dễ</t>
        </is>
      </c>
      <c r="I4025" s="390" t="inlineStr">
        <is>
          <t>Ngày, CTCK</t>
        </is>
      </c>
      <c r="J4025" s="401" t="inlineStr">
        <is>
          <t>SCMS</t>
        </is>
      </c>
      <c r="K4025" s="401" t="inlineStr">
        <is>
          <t>X</t>
        </is>
      </c>
      <c r="L4025" s="401" t="inlineStr">
        <is>
          <t>X</t>
        </is>
      </c>
      <c r="M4025" s="401" t="n"/>
      <c r="N4025" s="401" t="inlineStr">
        <is>
          <t>Pending</t>
        </is>
      </c>
      <c r="O4025" s="401" t="n"/>
      <c r="P4025" s="22" t="n"/>
      <c r="Q4025" s="401" t="n"/>
      <c r="R4025" s="401" t="n"/>
      <c r="S4025" s="22" t="n"/>
      <c r="T4025" s="390" t="n"/>
      <c r="U4025" s="390" t="inlineStr">
        <is>
          <t>Không có thông tin</t>
        </is>
      </c>
      <c r="V4025" s="22" t="n"/>
      <c r="W4025" s="22" t="n"/>
      <c r="X4025" s="22" t="n"/>
      <c r="Y4025" s="22" t="n"/>
      <c r="Z4025" s="22" t="n"/>
      <c r="AA4025" s="22" t="n"/>
      <c r="AB4025" s="22" t="n"/>
      <c r="AC4025" s="22" t="n"/>
      <c r="AD4025" s="22" t="n"/>
      <c r="AE4025" s="22" t="n"/>
    </row>
    <row r="4026" ht="84" customHeight="1" s="380">
      <c r="A4026" s="164" t="n">
        <v>145</v>
      </c>
      <c r="B4026" s="390" t="n"/>
      <c r="C4026" s="390" t="inlineStr">
        <is>
          <t>Về Hoạt động thanh toán tiền cho các giao dịch chứng khoán - Ngân hàng thanh toán</t>
        </is>
      </c>
      <c r="D4026" s="390" t="inlineStr">
        <is>
          <t>Tiền gửi thanh toán của các thành viên tham gia thị trường &gt;&gt; Tiền gửi thanh toán cho hoạt động môi giới nước ngoài &gt;&gt; Cuối kỳ</t>
        </is>
      </c>
      <c r="E4026" s="390" t="inlineStr">
        <is>
          <t>Tiền gửi thanh toán của các thành viên tham gia thị trường &gt;&gt; Tiền gửi thanh toán cho hoạt động môi giới nước ngoài &gt;&gt; Cuối kỳ</t>
        </is>
      </c>
      <c r="F4026" s="390" t="inlineStr">
        <is>
          <t>Data Explorer</t>
        </is>
      </c>
      <c r="G4026" s="390" t="inlineStr">
        <is>
          <t>Chiều</t>
        </is>
      </c>
      <c r="H4026" s="390" t="inlineStr">
        <is>
          <t>Dễ</t>
        </is>
      </c>
      <c r="I4026" s="390" t="inlineStr">
        <is>
          <t>Ngày, CTCK</t>
        </is>
      </c>
      <c r="J4026" s="401" t="inlineStr">
        <is>
          <t>SCMS</t>
        </is>
      </c>
      <c r="K4026" s="401" t="inlineStr">
        <is>
          <t>X</t>
        </is>
      </c>
      <c r="L4026" s="401" t="inlineStr">
        <is>
          <t>X</t>
        </is>
      </c>
      <c r="M4026" s="401" t="n"/>
      <c r="N4026" s="401" t="inlineStr">
        <is>
          <t>Pending</t>
        </is>
      </c>
      <c r="O4026" s="401" t="n"/>
      <c r="P4026" s="22" t="n"/>
      <c r="Q4026" s="401" t="n"/>
      <c r="R4026" s="401" t="n"/>
      <c r="S4026" s="22" t="n"/>
      <c r="T4026" s="390" t="n"/>
      <c r="U4026" s="390" t="inlineStr">
        <is>
          <t>Không có thông tin</t>
        </is>
      </c>
      <c r="V4026" s="22" t="n"/>
      <c r="W4026" s="22" t="n"/>
      <c r="X4026" s="22" t="n"/>
      <c r="Y4026" s="22" t="n"/>
      <c r="Z4026" s="22" t="n"/>
      <c r="AA4026" s="22" t="n"/>
      <c r="AB4026" s="22" t="n"/>
      <c r="AC4026" s="22" t="n"/>
      <c r="AD4026" s="22" t="n"/>
      <c r="AE4026" s="22" t="n"/>
    </row>
    <row r="4027" ht="84" customHeight="1" s="380">
      <c r="A4027" s="164" t="n">
        <v>145</v>
      </c>
      <c r="B4027" s="390" t="n"/>
      <c r="C4027" s="390" t="inlineStr">
        <is>
          <t>Về Hoạt động thanh toán tiền cho các giao dịch chứng khoán - Ngân hàng thanh toán</t>
        </is>
      </c>
      <c r="D4027" s="390" t="inlineStr">
        <is>
          <t>Tiền gửi thanh toán của các thành viên tham gia thị trường &gt;&gt; Tiền gửi thanh toán cho hoạt động môi giới nước ngoài &gt;&gt; Tăng/Giảm (%)</t>
        </is>
      </c>
      <c r="E4027" s="390" t="inlineStr">
        <is>
          <t>Tiền gửi thanh toán của các thành viên tham gia thị trường &gt;&gt; Tiền gửi thanh toán cho hoạt động môi giới nước ngoài &gt;&gt; Tăng/Giảm (%)</t>
        </is>
      </c>
      <c r="F4027" s="390" t="inlineStr">
        <is>
          <t>Data Explorer</t>
        </is>
      </c>
      <c r="G4027" s="390" t="inlineStr">
        <is>
          <t>Chiều</t>
        </is>
      </c>
      <c r="H4027" s="390" t="inlineStr">
        <is>
          <t>Dễ</t>
        </is>
      </c>
      <c r="I4027" s="390" t="inlineStr">
        <is>
          <t>Ngày, CTCK</t>
        </is>
      </c>
      <c r="J4027" s="401" t="inlineStr">
        <is>
          <t>SCMS</t>
        </is>
      </c>
      <c r="K4027" s="401" t="inlineStr">
        <is>
          <t>X</t>
        </is>
      </c>
      <c r="L4027" s="401" t="inlineStr">
        <is>
          <t>X</t>
        </is>
      </c>
      <c r="M4027" s="401" t="n"/>
      <c r="N4027" s="401" t="inlineStr">
        <is>
          <t>Pending</t>
        </is>
      </c>
      <c r="O4027" s="401" t="n"/>
      <c r="P4027" s="22" t="n"/>
      <c r="Q4027" s="401" t="n"/>
      <c r="R4027" s="401" t="n"/>
      <c r="S4027" s="22" t="n"/>
      <c r="T4027" s="390" t="n"/>
      <c r="U4027" s="390" t="inlineStr">
        <is>
          <t>Không có thông tin</t>
        </is>
      </c>
      <c r="V4027" s="22" t="n"/>
      <c r="W4027" s="22" t="n"/>
      <c r="X4027" s="22" t="n"/>
      <c r="Y4027" s="22" t="n"/>
      <c r="Z4027" s="22" t="n"/>
      <c r="AA4027" s="22" t="n"/>
      <c r="AB4027" s="22" t="n"/>
      <c r="AC4027" s="22" t="n"/>
      <c r="AD4027" s="22" t="n"/>
      <c r="AE4027" s="22" t="n"/>
    </row>
    <row r="4028" ht="56" customHeight="1" s="380">
      <c r="A4028" s="164" t="n">
        <v>145</v>
      </c>
      <c r="B4028" s="390" t="n"/>
      <c r="C4028" s="390" t="inlineStr">
        <is>
          <t>Về Hoạt động thanh toán tiền cho các giao dịch chứng khoán - Ngân hàng thanh toán</t>
        </is>
      </c>
      <c r="D4028" s="390" t="inlineStr">
        <is>
          <t>Tiền gửi thanh toán của các thành viên tham gia thị trường &gt;&gt; Tổng &gt;&gt; Đầu kỳ</t>
        </is>
      </c>
      <c r="E4028" s="390" t="inlineStr">
        <is>
          <t>Tiền gửi thanh toán của các thành viên tham gia thị trường &gt;&gt; Tổng &gt;&gt; Đầu kỳ</t>
        </is>
      </c>
      <c r="F4028" s="390" t="inlineStr">
        <is>
          <t>Data Explorer</t>
        </is>
      </c>
      <c r="G4028" s="390" t="inlineStr">
        <is>
          <t>Chiều</t>
        </is>
      </c>
      <c r="H4028" s="390" t="inlineStr">
        <is>
          <t>Dễ</t>
        </is>
      </c>
      <c r="I4028" s="390" t="inlineStr">
        <is>
          <t>Ngày, CTCK</t>
        </is>
      </c>
      <c r="J4028" s="401" t="inlineStr">
        <is>
          <t>SCMS</t>
        </is>
      </c>
      <c r="K4028" s="401" t="inlineStr">
        <is>
          <t>X</t>
        </is>
      </c>
      <c r="L4028" s="401" t="inlineStr">
        <is>
          <t>X</t>
        </is>
      </c>
      <c r="M4028" s="401" t="n"/>
      <c r="N4028" s="401" t="inlineStr">
        <is>
          <t>Pending</t>
        </is>
      </c>
      <c r="O4028" s="401" t="n"/>
      <c r="P4028" s="22" t="n"/>
      <c r="Q4028" s="401" t="n"/>
      <c r="R4028" s="401" t="n"/>
      <c r="S4028" s="22" t="n"/>
      <c r="T4028" s="390" t="n"/>
      <c r="U4028" s="390" t="inlineStr">
        <is>
          <t>Không có thông tin</t>
        </is>
      </c>
      <c r="V4028" s="22" t="n"/>
      <c r="W4028" s="22" t="n"/>
      <c r="X4028" s="22" t="n"/>
      <c r="Y4028" s="22" t="n"/>
      <c r="Z4028" s="22" t="n"/>
      <c r="AA4028" s="22" t="n"/>
      <c r="AB4028" s="22" t="n"/>
      <c r="AC4028" s="22" t="n"/>
      <c r="AD4028" s="22" t="n"/>
      <c r="AE4028" s="22" t="n"/>
    </row>
    <row r="4029" ht="56" customHeight="1" s="380">
      <c r="A4029" s="164" t="n">
        <v>145</v>
      </c>
      <c r="B4029" s="390" t="n"/>
      <c r="C4029" s="390" t="inlineStr">
        <is>
          <t>Về Hoạt động thanh toán tiền cho các giao dịch chứng khoán - Ngân hàng thanh toán</t>
        </is>
      </c>
      <c r="D4029" s="390" t="inlineStr">
        <is>
          <t>Tiền gửi thanh toán của các thành viên tham gia thị trường &gt;&gt; Tổng &gt;&gt; Cuối kỳ</t>
        </is>
      </c>
      <c r="E4029" s="390" t="inlineStr">
        <is>
          <t>Tiền gửi thanh toán của các thành viên tham gia thị trường &gt;&gt; Tổng &gt;&gt; Cuối kỳ</t>
        </is>
      </c>
      <c r="F4029" s="390" t="inlineStr">
        <is>
          <t>Data Explorer</t>
        </is>
      </c>
      <c r="G4029" s="390" t="inlineStr">
        <is>
          <t>Chiều</t>
        </is>
      </c>
      <c r="H4029" s="390" t="inlineStr">
        <is>
          <t>Dễ</t>
        </is>
      </c>
      <c r="I4029" s="390" t="inlineStr">
        <is>
          <t>Ngày, CTCK</t>
        </is>
      </c>
      <c r="J4029" s="401" t="inlineStr">
        <is>
          <t>SCMS</t>
        </is>
      </c>
      <c r="K4029" s="401" t="inlineStr">
        <is>
          <t>X</t>
        </is>
      </c>
      <c r="L4029" s="401" t="inlineStr">
        <is>
          <t>X</t>
        </is>
      </c>
      <c r="M4029" s="401" t="n"/>
      <c r="N4029" s="401" t="inlineStr">
        <is>
          <t>Pending</t>
        </is>
      </c>
      <c r="O4029" s="401" t="n"/>
      <c r="P4029" s="22" t="n"/>
      <c r="Q4029" s="401" t="n"/>
      <c r="R4029" s="401" t="n"/>
      <c r="S4029" s="22" t="n"/>
      <c r="T4029" s="390" t="n"/>
      <c r="U4029" s="390" t="inlineStr">
        <is>
          <t>Không có thông tin</t>
        </is>
      </c>
      <c r="V4029" s="22" t="n"/>
      <c r="W4029" s="22" t="n"/>
      <c r="X4029" s="22" t="n"/>
      <c r="Y4029" s="22" t="n"/>
      <c r="Z4029" s="22" t="n"/>
      <c r="AA4029" s="22" t="n"/>
      <c r="AB4029" s="22" t="n"/>
      <c r="AC4029" s="22" t="n"/>
      <c r="AD4029" s="22" t="n"/>
      <c r="AE4029" s="22" t="n"/>
    </row>
    <row r="4030" ht="56" customHeight="1" s="380">
      <c r="A4030" s="164" t="n">
        <v>145</v>
      </c>
      <c r="B4030" s="390" t="n"/>
      <c r="C4030" s="390" t="inlineStr">
        <is>
          <t>Về Hoạt động thanh toán tiền cho các giao dịch chứng khoán - Ngân hàng thanh toán</t>
        </is>
      </c>
      <c r="D4030" s="390" t="inlineStr">
        <is>
          <t>Tiền gửi thanh toán của các thành viên tham gia thị trường &gt;&gt; Tổng &gt;&gt; Tăng/Giảm (%)</t>
        </is>
      </c>
      <c r="E4030" s="390" t="inlineStr">
        <is>
          <t>Tiền gửi thanh toán của các thành viên tham gia thị trường &gt;&gt; Tổng &gt;&gt; Tăng/Giảm (%)</t>
        </is>
      </c>
      <c r="F4030" s="390" t="inlineStr">
        <is>
          <t>Data Explorer</t>
        </is>
      </c>
      <c r="G4030" s="390" t="inlineStr">
        <is>
          <t>Chiều</t>
        </is>
      </c>
      <c r="H4030" s="390" t="inlineStr">
        <is>
          <t>Dễ</t>
        </is>
      </c>
      <c r="I4030" s="390" t="inlineStr">
        <is>
          <t>Ngày, CTCK</t>
        </is>
      </c>
      <c r="J4030" s="401" t="inlineStr">
        <is>
          <t>SCMS</t>
        </is>
      </c>
      <c r="K4030" s="401" t="inlineStr">
        <is>
          <t>X</t>
        </is>
      </c>
      <c r="L4030" s="401" t="inlineStr">
        <is>
          <t>X</t>
        </is>
      </c>
      <c r="M4030" s="401" t="n"/>
      <c r="N4030" s="401" t="inlineStr">
        <is>
          <t>Pending</t>
        </is>
      </c>
      <c r="O4030" s="401" t="n"/>
      <c r="P4030" s="22" t="n"/>
      <c r="Q4030" s="401" t="n"/>
      <c r="R4030" s="401" t="n"/>
      <c r="S4030" s="22" t="n"/>
      <c r="T4030" s="390" t="n"/>
      <c r="U4030" s="390" t="inlineStr">
        <is>
          <t>Không có thông tin</t>
        </is>
      </c>
      <c r="V4030" s="22" t="n"/>
      <c r="W4030" s="22" t="n"/>
      <c r="X4030" s="22" t="n"/>
      <c r="Y4030" s="22" t="n"/>
      <c r="Z4030" s="22" t="n"/>
      <c r="AA4030" s="22" t="n"/>
      <c r="AB4030" s="22" t="n"/>
      <c r="AC4030" s="22" t="n"/>
      <c r="AD4030" s="22" t="n"/>
      <c r="AE4030" s="22" t="n"/>
    </row>
    <row r="4031" ht="70" customHeight="1" s="380">
      <c r="A4031" s="164" t="n">
        <v>145</v>
      </c>
      <c r="B4031" s="390" t="n"/>
      <c r="C4031" s="390" t="inlineStr">
        <is>
          <t>Về Hoạt động thanh toán tiền cho các giao dịch chứng khoán - Ngân hàng thanh toán</t>
        </is>
      </c>
      <c r="D4031" s="390" t="inlineStr">
        <is>
          <t>Số lượng thành viên tham gia thanh toán tiền qua ngân hàng thanh toán &gt;&gt; Công ty chứng khoán &gt;&gt; Đầu kỳ</t>
        </is>
      </c>
      <c r="E4031" s="390" t="inlineStr">
        <is>
          <t>Số lượng thành viên tham gia thanh toán tiền qua ngân hàng thanh toán &gt;&gt; Công ty chứng khoán &gt;&gt; Đầu kỳ</t>
        </is>
      </c>
      <c r="F4031" s="390" t="inlineStr">
        <is>
          <t>Data Explorer</t>
        </is>
      </c>
      <c r="G4031" s="390" t="inlineStr">
        <is>
          <t>Chiều</t>
        </is>
      </c>
      <c r="H4031" s="390" t="inlineStr">
        <is>
          <t>Dễ</t>
        </is>
      </c>
      <c r="I4031" s="390" t="inlineStr">
        <is>
          <t>Ngày, CTCK</t>
        </is>
      </c>
      <c r="J4031" s="401" t="inlineStr">
        <is>
          <t>SCMS</t>
        </is>
      </c>
      <c r="K4031" s="401" t="inlineStr">
        <is>
          <t>X</t>
        </is>
      </c>
      <c r="L4031" s="401" t="inlineStr">
        <is>
          <t>X</t>
        </is>
      </c>
      <c r="M4031" s="401" t="n"/>
      <c r="N4031" s="401" t="inlineStr">
        <is>
          <t>Pending</t>
        </is>
      </c>
      <c r="O4031" s="401" t="n"/>
      <c r="P4031" s="22" t="n"/>
      <c r="Q4031" s="401" t="n"/>
      <c r="R4031" s="401" t="n"/>
      <c r="S4031" s="22" t="n"/>
      <c r="T4031" s="390" t="n"/>
      <c r="U4031" s="390" t="inlineStr">
        <is>
          <t>Không có thông tin</t>
        </is>
      </c>
      <c r="V4031" s="22" t="n"/>
      <c r="W4031" s="22" t="n"/>
      <c r="X4031" s="22" t="n"/>
      <c r="Y4031" s="22" t="n"/>
      <c r="Z4031" s="22" t="n"/>
      <c r="AA4031" s="22" t="n"/>
      <c r="AB4031" s="22" t="n"/>
      <c r="AC4031" s="22" t="n"/>
      <c r="AD4031" s="22" t="n"/>
      <c r="AE4031" s="22" t="n"/>
    </row>
    <row r="4032" ht="70" customHeight="1" s="380">
      <c r="A4032" s="164" t="n">
        <v>145</v>
      </c>
      <c r="B4032" s="390" t="n"/>
      <c r="C4032" s="390" t="inlineStr">
        <is>
          <t>Về Hoạt động thanh toán tiền cho các giao dịch chứng khoán - Ngân hàng thanh toán</t>
        </is>
      </c>
      <c r="D4032" s="390" t="inlineStr">
        <is>
          <t>Số lượng thành viên tham gia thanh toán tiền qua ngân hàng thanh toán &gt;&gt; Công ty chứng khoán &gt;&gt; Cuối kỳ</t>
        </is>
      </c>
      <c r="E4032" s="390" t="inlineStr">
        <is>
          <t>Số lượng thành viên tham gia thanh toán tiền qua ngân hàng thanh toán &gt;&gt; Công ty chứng khoán &gt;&gt; Cuối kỳ</t>
        </is>
      </c>
      <c r="F4032" s="390" t="inlineStr">
        <is>
          <t>Data Explorer</t>
        </is>
      </c>
      <c r="G4032" s="390" t="inlineStr">
        <is>
          <t>Chiều</t>
        </is>
      </c>
      <c r="H4032" s="390" t="inlineStr">
        <is>
          <t>Dễ</t>
        </is>
      </c>
      <c r="I4032" s="390" t="inlineStr">
        <is>
          <t>Ngày, CTCK</t>
        </is>
      </c>
      <c r="J4032" s="401" t="inlineStr">
        <is>
          <t>SCMS</t>
        </is>
      </c>
      <c r="K4032" s="401" t="inlineStr">
        <is>
          <t>X</t>
        </is>
      </c>
      <c r="L4032" s="401" t="inlineStr">
        <is>
          <t>X</t>
        </is>
      </c>
      <c r="M4032" s="401" t="n"/>
      <c r="N4032" s="401" t="inlineStr">
        <is>
          <t>Pending</t>
        </is>
      </c>
      <c r="O4032" s="401" t="n"/>
      <c r="P4032" s="22" t="n"/>
      <c r="Q4032" s="401" t="n"/>
      <c r="R4032" s="401" t="n"/>
      <c r="S4032" s="22" t="n"/>
      <c r="T4032" s="390" t="n"/>
      <c r="U4032" s="390" t="inlineStr">
        <is>
          <t>Không có thông tin</t>
        </is>
      </c>
      <c r="V4032" s="22" t="n"/>
      <c r="W4032" s="22" t="n"/>
      <c r="X4032" s="22" t="n"/>
      <c r="Y4032" s="22" t="n"/>
      <c r="Z4032" s="22" t="n"/>
      <c r="AA4032" s="22" t="n"/>
      <c r="AB4032" s="22" t="n"/>
      <c r="AC4032" s="22" t="n"/>
      <c r="AD4032" s="22" t="n"/>
      <c r="AE4032" s="22" t="n"/>
    </row>
    <row r="4033" ht="70" customHeight="1" s="380">
      <c r="A4033" s="164" t="n">
        <v>145</v>
      </c>
      <c r="B4033" s="390" t="n"/>
      <c r="C4033" s="390" t="inlineStr">
        <is>
          <t>Về Hoạt động thanh toán tiền cho các giao dịch chứng khoán - Ngân hàng thanh toán</t>
        </is>
      </c>
      <c r="D4033" s="390" t="inlineStr">
        <is>
          <t>Số lượng thành viên tham gia thanh toán tiền qua ngân hàng thanh toán &gt;&gt; Công ty chứng khoán &gt;&gt; Tăng/Giảm (%)</t>
        </is>
      </c>
      <c r="E4033" s="390" t="inlineStr">
        <is>
          <t>Số lượng thành viên tham gia thanh toán tiền qua ngân hàng thanh toán &gt;&gt; Công ty chứng khoán &gt;&gt; Tăng/Giảm (%)</t>
        </is>
      </c>
      <c r="F4033" s="390" t="inlineStr">
        <is>
          <t>Data Explorer</t>
        </is>
      </c>
      <c r="G4033" s="390" t="inlineStr">
        <is>
          <t>Chiều</t>
        </is>
      </c>
      <c r="H4033" s="390" t="inlineStr">
        <is>
          <t>Dễ</t>
        </is>
      </c>
      <c r="I4033" s="390" t="inlineStr">
        <is>
          <t>Ngày, CTCK</t>
        </is>
      </c>
      <c r="J4033" s="401" t="inlineStr">
        <is>
          <t>SCMS</t>
        </is>
      </c>
      <c r="K4033" s="401" t="inlineStr">
        <is>
          <t>X</t>
        </is>
      </c>
      <c r="L4033" s="401" t="inlineStr">
        <is>
          <t>X</t>
        </is>
      </c>
      <c r="M4033" s="401" t="n"/>
      <c r="N4033" s="401" t="inlineStr">
        <is>
          <t>Pending</t>
        </is>
      </c>
      <c r="O4033" s="401" t="n"/>
      <c r="P4033" s="22" t="n"/>
      <c r="Q4033" s="401" t="n"/>
      <c r="R4033" s="401" t="n"/>
      <c r="S4033" s="22" t="n"/>
      <c r="T4033" s="390" t="n"/>
      <c r="U4033" s="390" t="inlineStr">
        <is>
          <t>Không có thông tin</t>
        </is>
      </c>
      <c r="V4033" s="22" t="n"/>
      <c r="W4033" s="22" t="n"/>
      <c r="X4033" s="22" t="n"/>
      <c r="Y4033" s="22" t="n"/>
      <c r="Z4033" s="22" t="n"/>
      <c r="AA4033" s="22" t="n"/>
      <c r="AB4033" s="22" t="n"/>
      <c r="AC4033" s="22" t="n"/>
      <c r="AD4033" s="22" t="n"/>
      <c r="AE4033" s="22" t="n"/>
    </row>
    <row r="4034" ht="70" customHeight="1" s="380">
      <c r="A4034" s="164" t="n">
        <v>145</v>
      </c>
      <c r="B4034" s="390" t="n"/>
      <c r="C4034" s="390" t="inlineStr">
        <is>
          <t>Về Hoạt động thanh toán tiền cho các giao dịch chứng khoán - Ngân hàng thanh toán</t>
        </is>
      </c>
      <c r="D4034" s="390" t="inlineStr">
        <is>
          <t>Số lượng thành viên tham gia thanh toán tiền qua ngân hàng thanh toán &gt;&gt; Ngân hàng thương mại &gt;&gt; Đầu kỳ</t>
        </is>
      </c>
      <c r="E4034" s="390" t="inlineStr">
        <is>
          <t>Số lượng thành viên tham gia thanh toán tiền qua ngân hàng thanh toán &gt;&gt; Ngân hàng thương mại &gt;&gt; Đầu kỳ</t>
        </is>
      </c>
      <c r="F4034" s="390" t="inlineStr">
        <is>
          <t>Data Explorer</t>
        </is>
      </c>
      <c r="G4034" s="390" t="inlineStr">
        <is>
          <t>Chiều</t>
        </is>
      </c>
      <c r="H4034" s="390" t="inlineStr">
        <is>
          <t>Dễ</t>
        </is>
      </c>
      <c r="I4034" s="390" t="inlineStr">
        <is>
          <t>Ngày, CTCK</t>
        </is>
      </c>
      <c r="J4034" s="401" t="inlineStr">
        <is>
          <t>SCMS</t>
        </is>
      </c>
      <c r="K4034" s="401" t="inlineStr">
        <is>
          <t>X</t>
        </is>
      </c>
      <c r="L4034" s="401" t="inlineStr">
        <is>
          <t>X</t>
        </is>
      </c>
      <c r="M4034" s="401" t="n"/>
      <c r="N4034" s="401" t="inlineStr">
        <is>
          <t>Pending</t>
        </is>
      </c>
      <c r="O4034" s="401" t="n"/>
      <c r="P4034" s="22" t="n"/>
      <c r="Q4034" s="401" t="n"/>
      <c r="R4034" s="401" t="n"/>
      <c r="S4034" s="22" t="n"/>
      <c r="T4034" s="390" t="n"/>
      <c r="U4034" s="390" t="inlineStr">
        <is>
          <t>Không có thông tin</t>
        </is>
      </c>
      <c r="V4034" s="22" t="n"/>
      <c r="W4034" s="22" t="n"/>
      <c r="X4034" s="22" t="n"/>
      <c r="Y4034" s="22" t="n"/>
      <c r="Z4034" s="22" t="n"/>
      <c r="AA4034" s="22" t="n"/>
      <c r="AB4034" s="22" t="n"/>
      <c r="AC4034" s="22" t="n"/>
      <c r="AD4034" s="22" t="n"/>
      <c r="AE4034" s="22" t="n"/>
    </row>
    <row r="4035" ht="70" customHeight="1" s="380">
      <c r="A4035" s="164" t="n">
        <v>145</v>
      </c>
      <c r="B4035" s="390" t="n"/>
      <c r="C4035" s="390" t="inlineStr">
        <is>
          <t>Về Hoạt động thanh toán tiền cho các giao dịch chứng khoán - Ngân hàng thanh toán</t>
        </is>
      </c>
      <c r="D4035" s="390" t="inlineStr">
        <is>
          <t>Số lượng thành viên tham gia thanh toán tiền qua ngân hàng thanh toán &gt;&gt; Ngân hàng thương mại &gt;&gt; Cuối kỳ</t>
        </is>
      </c>
      <c r="E4035" s="390" t="inlineStr">
        <is>
          <t>Số lượng thành viên tham gia thanh toán tiền qua ngân hàng thanh toán &gt;&gt; Ngân hàng thương mại &gt;&gt; Cuối kỳ</t>
        </is>
      </c>
      <c r="F4035" s="390" t="inlineStr">
        <is>
          <t>Data Explorer</t>
        </is>
      </c>
      <c r="G4035" s="390" t="inlineStr">
        <is>
          <t>Chiều</t>
        </is>
      </c>
      <c r="H4035" s="390" t="inlineStr">
        <is>
          <t>Dễ</t>
        </is>
      </c>
      <c r="I4035" s="390" t="inlineStr">
        <is>
          <t>Ngày, CTCK</t>
        </is>
      </c>
      <c r="J4035" s="401" t="inlineStr">
        <is>
          <t>SCMS</t>
        </is>
      </c>
      <c r="K4035" s="401" t="inlineStr">
        <is>
          <t>X</t>
        </is>
      </c>
      <c r="L4035" s="401" t="inlineStr">
        <is>
          <t>X</t>
        </is>
      </c>
      <c r="M4035" s="401" t="n"/>
      <c r="N4035" s="401" t="inlineStr">
        <is>
          <t>Pending</t>
        </is>
      </c>
      <c r="O4035" s="401" t="n"/>
      <c r="P4035" s="22" t="n"/>
      <c r="Q4035" s="401" t="n"/>
      <c r="R4035" s="401" t="n"/>
      <c r="S4035" s="22" t="n"/>
      <c r="T4035" s="390" t="n"/>
      <c r="U4035" s="390" t="inlineStr">
        <is>
          <t>Không có thông tin</t>
        </is>
      </c>
      <c r="V4035" s="22" t="n"/>
      <c r="W4035" s="22" t="n"/>
      <c r="X4035" s="22" t="n"/>
      <c r="Y4035" s="22" t="n"/>
      <c r="Z4035" s="22" t="n"/>
      <c r="AA4035" s="22" t="n"/>
      <c r="AB4035" s="22" t="n"/>
      <c r="AC4035" s="22" t="n"/>
      <c r="AD4035" s="22" t="n"/>
      <c r="AE4035" s="22" t="n"/>
    </row>
    <row r="4036" ht="84" customHeight="1" s="380">
      <c r="A4036" s="164" t="n">
        <v>145</v>
      </c>
      <c r="B4036" s="390" t="n"/>
      <c r="C4036" s="390" t="inlineStr">
        <is>
          <t>Về Hoạt động thanh toán tiền cho các giao dịch chứng khoán - Ngân hàng thanh toán</t>
        </is>
      </c>
      <c r="D4036" s="390" t="inlineStr">
        <is>
          <t>Số lượng thành viên tham gia thanh toán tiền qua ngân hàng thanh toán &gt;&gt; Ngân hàng thương mại &gt;&gt; Tăng/Giảm (%)</t>
        </is>
      </c>
      <c r="E4036" s="390" t="inlineStr">
        <is>
          <t>Số lượng thành viên tham gia thanh toán tiền qua ngân hàng thanh toán &gt;&gt; Ngân hàng thương mại &gt;&gt; Tăng/Giảm (%)</t>
        </is>
      </c>
      <c r="F4036" s="390" t="inlineStr">
        <is>
          <t>Data Explorer</t>
        </is>
      </c>
      <c r="G4036" s="390" t="inlineStr">
        <is>
          <t>Chiều</t>
        </is>
      </c>
      <c r="H4036" s="390" t="inlineStr">
        <is>
          <t>Dễ</t>
        </is>
      </c>
      <c r="I4036" s="390" t="inlineStr">
        <is>
          <t>Ngày, CTCK</t>
        </is>
      </c>
      <c r="J4036" s="401" t="inlineStr">
        <is>
          <t>SCMS</t>
        </is>
      </c>
      <c r="K4036" s="401" t="inlineStr">
        <is>
          <t>X</t>
        </is>
      </c>
      <c r="L4036" s="401" t="inlineStr">
        <is>
          <t>X</t>
        </is>
      </c>
      <c r="M4036" s="401" t="n"/>
      <c r="N4036" s="401" t="inlineStr">
        <is>
          <t>Pending</t>
        </is>
      </c>
      <c r="O4036" s="401" t="n"/>
      <c r="P4036" s="22" t="n"/>
      <c r="Q4036" s="401" t="n"/>
      <c r="R4036" s="401" t="n"/>
      <c r="S4036" s="22" t="n"/>
      <c r="T4036" s="390" t="n"/>
      <c r="U4036" s="390" t="inlineStr">
        <is>
          <t>Không có thông tin</t>
        </is>
      </c>
      <c r="V4036" s="22" t="n"/>
      <c r="W4036" s="22" t="n"/>
      <c r="X4036" s="22" t="n"/>
      <c r="Y4036" s="22" t="n"/>
      <c r="Z4036" s="22" t="n"/>
      <c r="AA4036" s="22" t="n"/>
      <c r="AB4036" s="22" t="n"/>
      <c r="AC4036" s="22" t="n"/>
      <c r="AD4036" s="22" t="n"/>
      <c r="AE4036" s="22" t="n"/>
    </row>
    <row r="4037" ht="84" customHeight="1" s="380">
      <c r="A4037" s="164" t="n">
        <v>145</v>
      </c>
      <c r="B4037" s="390" t="n"/>
      <c r="C4037" s="390" t="inlineStr">
        <is>
          <t>Về Hoạt động thanh toán tiền cho các giao dịch chứng khoán - Ngân hàng thanh toán</t>
        </is>
      </c>
      <c r="D4037" s="390" t="inlineStr">
        <is>
          <t>Số lượng thành viên tham gia thanh toán tiền qua ngân hàng thanh toán &gt;&gt; Chi nhánh ngân hàng nước ngoài &gt;&gt; Đầu kỳ</t>
        </is>
      </c>
      <c r="E4037" s="390" t="inlineStr">
        <is>
          <t>Số lượng thành viên tham gia thanh toán tiền qua ngân hàng thanh toán &gt;&gt; Chi nhánh ngân hàng nước ngoài &gt;&gt; Đầu kỳ</t>
        </is>
      </c>
      <c r="F4037" s="390" t="inlineStr">
        <is>
          <t>Data Explorer</t>
        </is>
      </c>
      <c r="G4037" s="390" t="inlineStr">
        <is>
          <t>Chiều</t>
        </is>
      </c>
      <c r="H4037" s="390" t="inlineStr">
        <is>
          <t>Dễ</t>
        </is>
      </c>
      <c r="I4037" s="390" t="inlineStr">
        <is>
          <t>Ngày, CTCK</t>
        </is>
      </c>
      <c r="J4037" s="401" t="inlineStr">
        <is>
          <t>SCMS</t>
        </is>
      </c>
      <c r="K4037" s="401" t="inlineStr">
        <is>
          <t>X</t>
        </is>
      </c>
      <c r="L4037" s="401" t="inlineStr">
        <is>
          <t>X</t>
        </is>
      </c>
      <c r="M4037" s="401" t="n"/>
      <c r="N4037" s="401" t="inlineStr">
        <is>
          <t>Pending</t>
        </is>
      </c>
      <c r="O4037" s="401" t="n"/>
      <c r="P4037" s="22" t="n"/>
      <c r="Q4037" s="401" t="n"/>
      <c r="R4037" s="401" t="n"/>
      <c r="S4037" s="22" t="n"/>
      <c r="T4037" s="390" t="n"/>
      <c r="U4037" s="390" t="inlineStr">
        <is>
          <t>Không có thông tin</t>
        </is>
      </c>
      <c r="V4037" s="22" t="n"/>
      <c r="W4037" s="22" t="n"/>
      <c r="X4037" s="22" t="n"/>
      <c r="Y4037" s="22" t="n"/>
      <c r="Z4037" s="22" t="n"/>
      <c r="AA4037" s="22" t="n"/>
      <c r="AB4037" s="22" t="n"/>
      <c r="AC4037" s="22" t="n"/>
      <c r="AD4037" s="22" t="n"/>
      <c r="AE4037" s="22" t="n"/>
    </row>
    <row r="4038" ht="84" customHeight="1" s="380">
      <c r="A4038" s="164" t="n">
        <v>145</v>
      </c>
      <c r="B4038" s="390" t="n"/>
      <c r="C4038" s="390" t="inlineStr">
        <is>
          <t>Về Hoạt động thanh toán tiền cho các giao dịch chứng khoán - Ngân hàng thanh toán</t>
        </is>
      </c>
      <c r="D4038" s="390" t="inlineStr">
        <is>
          <t>Số lượng thành viên tham gia thanh toán tiền qua ngân hàng thanh toán &gt;&gt; Chi nhánh ngân hàng nước ngoài &gt;&gt; Cuối kỳ</t>
        </is>
      </c>
      <c r="E4038" s="390" t="inlineStr">
        <is>
          <t>Số lượng thành viên tham gia thanh toán tiền qua ngân hàng thanh toán &gt;&gt; Chi nhánh ngân hàng nước ngoài &gt;&gt; Cuối kỳ</t>
        </is>
      </c>
      <c r="F4038" s="390" t="inlineStr">
        <is>
          <t>Data Explorer</t>
        </is>
      </c>
      <c r="G4038" s="390" t="inlineStr">
        <is>
          <t>Chiều</t>
        </is>
      </c>
      <c r="H4038" s="390" t="inlineStr">
        <is>
          <t>Dễ</t>
        </is>
      </c>
      <c r="I4038" s="390" t="inlineStr">
        <is>
          <t>Ngày, CTCK</t>
        </is>
      </c>
      <c r="J4038" s="401" t="inlineStr">
        <is>
          <t>SCMS</t>
        </is>
      </c>
      <c r="K4038" s="401" t="inlineStr">
        <is>
          <t>X</t>
        </is>
      </c>
      <c r="L4038" s="401" t="inlineStr">
        <is>
          <t>X</t>
        </is>
      </c>
      <c r="M4038" s="401" t="n"/>
      <c r="N4038" s="401" t="inlineStr">
        <is>
          <t>Pending</t>
        </is>
      </c>
      <c r="O4038" s="401" t="n"/>
      <c r="P4038" s="22" t="n"/>
      <c r="Q4038" s="401" t="n"/>
      <c r="R4038" s="401" t="n"/>
      <c r="S4038" s="22" t="n"/>
      <c r="T4038" s="390" t="n"/>
      <c r="U4038" s="390" t="inlineStr">
        <is>
          <t>Không có thông tin</t>
        </is>
      </c>
      <c r="V4038" s="22" t="n"/>
      <c r="W4038" s="22" t="n"/>
      <c r="X4038" s="22" t="n"/>
      <c r="Y4038" s="22" t="n"/>
      <c r="Z4038" s="22" t="n"/>
      <c r="AA4038" s="22" t="n"/>
      <c r="AB4038" s="22" t="n"/>
      <c r="AC4038" s="22" t="n"/>
      <c r="AD4038" s="22" t="n"/>
      <c r="AE4038" s="22" t="n"/>
    </row>
    <row r="4039" ht="84" customHeight="1" s="380">
      <c r="A4039" s="164" t="n">
        <v>145</v>
      </c>
      <c r="B4039" s="390" t="n"/>
      <c r="C4039" s="390" t="inlineStr">
        <is>
          <t>Về Hoạt động thanh toán tiền cho các giao dịch chứng khoán - Ngân hàng thanh toán</t>
        </is>
      </c>
      <c r="D4039" s="390" t="inlineStr">
        <is>
          <t>Số lượng thành viên tham gia thanh toán tiền qua ngân hàng thanh toán &gt;&gt; Chi nhánh ngân hàng nước ngoài &gt;&gt; Tăng/Giảm (%)</t>
        </is>
      </c>
      <c r="E4039" s="390" t="inlineStr">
        <is>
          <t>Số lượng thành viên tham gia thanh toán tiền qua ngân hàng thanh toán &gt;&gt; Chi nhánh ngân hàng nước ngoài &gt;&gt; Tăng/Giảm (%)</t>
        </is>
      </c>
      <c r="F4039" s="390" t="inlineStr">
        <is>
          <t>Data Explorer</t>
        </is>
      </c>
      <c r="G4039" s="390" t="inlineStr">
        <is>
          <t>Chiều</t>
        </is>
      </c>
      <c r="H4039" s="390" t="inlineStr">
        <is>
          <t>Dễ</t>
        </is>
      </c>
      <c r="I4039" s="390" t="inlineStr">
        <is>
          <t>Ngày, CTCK</t>
        </is>
      </c>
      <c r="J4039" s="401" t="inlineStr">
        <is>
          <t>SCMS</t>
        </is>
      </c>
      <c r="K4039" s="401" t="inlineStr">
        <is>
          <t>X</t>
        </is>
      </c>
      <c r="L4039" s="401" t="inlineStr">
        <is>
          <t>X</t>
        </is>
      </c>
      <c r="M4039" s="401" t="n"/>
      <c r="N4039" s="401" t="inlineStr">
        <is>
          <t>Pending</t>
        </is>
      </c>
      <c r="O4039" s="401" t="n"/>
      <c r="P4039" s="22" t="n"/>
      <c r="Q4039" s="401" t="n"/>
      <c r="R4039" s="401" t="n"/>
      <c r="S4039" s="22" t="n"/>
      <c r="T4039" s="390" t="n"/>
      <c r="U4039" s="390" t="inlineStr">
        <is>
          <t>Không có thông tin</t>
        </is>
      </c>
      <c r="V4039" s="22" t="n"/>
      <c r="W4039" s="22" t="n"/>
      <c r="X4039" s="22" t="n"/>
      <c r="Y4039" s="22" t="n"/>
      <c r="Z4039" s="22" t="n"/>
      <c r="AA4039" s="22" t="n"/>
      <c r="AB4039" s="22" t="n"/>
      <c r="AC4039" s="22" t="n"/>
      <c r="AD4039" s="22" t="n"/>
      <c r="AE4039" s="22" t="n"/>
    </row>
    <row r="4040" ht="56" customHeight="1" s="380">
      <c r="A4040" s="164" t="n">
        <v>145</v>
      </c>
      <c r="B4040" s="390" t="n"/>
      <c r="C4040" s="390" t="inlineStr">
        <is>
          <t>Về Hoạt động thanh toán tiền cho các giao dịch chứng khoán - Ngân hàng thanh toán</t>
        </is>
      </c>
      <c r="D4040" s="390" t="inlineStr">
        <is>
          <t>Số lượng thành viên tham gia thanh toán tiền qua ngân hàng thanh toán &gt;&gt; Tổng &gt;&gt; Đầu kỳ</t>
        </is>
      </c>
      <c r="E4040" s="390" t="inlineStr">
        <is>
          <t>Số lượng thành viên tham gia thanh toán tiền qua ngân hàng thanh toán &gt;&gt; Tổng &gt;&gt; Đầu kỳ</t>
        </is>
      </c>
      <c r="F4040" s="390" t="inlineStr">
        <is>
          <t>Data Explorer</t>
        </is>
      </c>
      <c r="G4040" s="390" t="inlineStr">
        <is>
          <t>Chiều</t>
        </is>
      </c>
      <c r="H4040" s="390" t="inlineStr">
        <is>
          <t>Dễ</t>
        </is>
      </c>
      <c r="I4040" s="390" t="inlineStr">
        <is>
          <t>Ngày, CTCK</t>
        </is>
      </c>
      <c r="J4040" s="401" t="inlineStr">
        <is>
          <t>SCMS</t>
        </is>
      </c>
      <c r="K4040" s="401" t="inlineStr">
        <is>
          <t>X</t>
        </is>
      </c>
      <c r="L4040" s="401" t="inlineStr">
        <is>
          <t>X</t>
        </is>
      </c>
      <c r="M4040" s="401" t="n"/>
      <c r="N4040" s="401" t="inlineStr">
        <is>
          <t>Pending</t>
        </is>
      </c>
      <c r="O4040" s="401" t="n"/>
      <c r="P4040" s="22" t="n"/>
      <c r="Q4040" s="401" t="n"/>
      <c r="R4040" s="401" t="n"/>
      <c r="S4040" s="22" t="n"/>
      <c r="T4040" s="390" t="n"/>
      <c r="U4040" s="390" t="inlineStr">
        <is>
          <t>Không có thông tin</t>
        </is>
      </c>
      <c r="V4040" s="22" t="n"/>
      <c r="W4040" s="22" t="n"/>
      <c r="X4040" s="22" t="n"/>
      <c r="Y4040" s="22" t="n"/>
      <c r="Z4040" s="22" t="n"/>
      <c r="AA4040" s="22" t="n"/>
      <c r="AB4040" s="22" t="n"/>
      <c r="AC4040" s="22" t="n"/>
      <c r="AD4040" s="22" t="n"/>
      <c r="AE4040" s="22" t="n"/>
    </row>
    <row r="4041" ht="56" customHeight="1" s="380">
      <c r="A4041" s="164" t="n">
        <v>145</v>
      </c>
      <c r="B4041" s="390" t="n"/>
      <c r="C4041" s="390" t="inlineStr">
        <is>
          <t>Về Hoạt động thanh toán tiền cho các giao dịch chứng khoán - Ngân hàng thanh toán</t>
        </is>
      </c>
      <c r="D4041" s="390" t="inlineStr">
        <is>
          <t>Số lượng thành viên tham gia thanh toán tiền qua ngân hàng thanh toán &gt;&gt; Tổng &gt;&gt; Cuối kỳ</t>
        </is>
      </c>
      <c r="E4041" s="390" t="inlineStr">
        <is>
          <t>Số lượng thành viên tham gia thanh toán tiền qua ngân hàng thanh toán &gt;&gt; Tổng &gt;&gt; Cuối kỳ</t>
        </is>
      </c>
      <c r="F4041" s="390" t="inlineStr">
        <is>
          <t>Data Explorer</t>
        </is>
      </c>
      <c r="G4041" s="390" t="inlineStr">
        <is>
          <t>Chiều</t>
        </is>
      </c>
      <c r="H4041" s="390" t="inlineStr">
        <is>
          <t>Dễ</t>
        </is>
      </c>
      <c r="I4041" s="390" t="inlineStr">
        <is>
          <t>Ngày, CTCK</t>
        </is>
      </c>
      <c r="J4041" s="401" t="inlineStr">
        <is>
          <t>SCMS</t>
        </is>
      </c>
      <c r="K4041" s="401" t="inlineStr">
        <is>
          <t>X</t>
        </is>
      </c>
      <c r="L4041" s="401" t="inlineStr">
        <is>
          <t>X</t>
        </is>
      </c>
      <c r="M4041" s="401" t="n"/>
      <c r="N4041" s="401" t="inlineStr">
        <is>
          <t>Pending</t>
        </is>
      </c>
      <c r="O4041" s="401" t="n"/>
      <c r="P4041" s="22" t="n"/>
      <c r="Q4041" s="401" t="n"/>
      <c r="R4041" s="401" t="n"/>
      <c r="S4041" s="22" t="n"/>
      <c r="T4041" s="390" t="n"/>
      <c r="U4041" s="390" t="inlineStr">
        <is>
          <t>Không có thông tin</t>
        </is>
      </c>
      <c r="V4041" s="22" t="n"/>
      <c r="W4041" s="22" t="n"/>
      <c r="X4041" s="22" t="n"/>
      <c r="Y4041" s="22" t="n"/>
      <c r="Z4041" s="22" t="n"/>
      <c r="AA4041" s="22" t="n"/>
      <c r="AB4041" s="22" t="n"/>
      <c r="AC4041" s="22" t="n"/>
      <c r="AD4041" s="22" t="n"/>
      <c r="AE4041" s="22" t="n"/>
    </row>
    <row r="4042" ht="70" customHeight="1" s="380">
      <c r="A4042" s="165" t="n">
        <v>145</v>
      </c>
      <c r="B4042" s="129" t="n"/>
      <c r="C4042" s="129" t="inlineStr">
        <is>
          <t>Về Hoạt động thanh toán tiền cho các giao dịch chứng khoán - Ngân hàng thanh toán</t>
        </is>
      </c>
      <c r="D4042" s="129" t="inlineStr">
        <is>
          <t>Số lượng thành viên tham gia thanh toán tiền qua ngân hàng thanh toán &gt;&gt; Tổng &gt;&gt; Tăng/Giảm (%)</t>
        </is>
      </c>
      <c r="E4042" s="129" t="inlineStr">
        <is>
          <t>Số lượng thành viên tham gia thanh toán tiền qua ngân hàng thanh toán &gt;&gt; Tổng &gt;&gt; Tăng/Giảm (%)</t>
        </is>
      </c>
      <c r="F4042" s="129" t="inlineStr">
        <is>
          <t>Data Explorer</t>
        </is>
      </c>
      <c r="G4042" s="129" t="inlineStr">
        <is>
          <t>Chiều</t>
        </is>
      </c>
      <c r="H4042" s="129" t="inlineStr">
        <is>
          <t>Dễ</t>
        </is>
      </c>
      <c r="I4042" s="129" t="inlineStr">
        <is>
          <t>Ngày, CTCK</t>
        </is>
      </c>
      <c r="J4042" s="85" t="inlineStr">
        <is>
          <t>SCMS</t>
        </is>
      </c>
      <c r="K4042" s="85" t="inlineStr">
        <is>
          <t>X</t>
        </is>
      </c>
      <c r="L4042" s="85" t="inlineStr">
        <is>
          <t>X</t>
        </is>
      </c>
      <c r="M4042" s="85" t="n"/>
      <c r="N4042" s="85" t="inlineStr">
        <is>
          <t>Pending</t>
        </is>
      </c>
      <c r="O4042" s="85" t="n"/>
      <c r="P4042" s="130" t="n"/>
      <c r="Q4042" s="85" t="n"/>
      <c r="R4042" s="85" t="n"/>
      <c r="S4042" s="130" t="n"/>
      <c r="T4042" s="129" t="n"/>
      <c r="U4042" s="129" t="inlineStr">
        <is>
          <t>Không có thông tin</t>
        </is>
      </c>
      <c r="V4042" s="130" t="n"/>
      <c r="W4042" s="130" t="n"/>
      <c r="X4042" s="130" t="n"/>
      <c r="Y4042" s="130" t="n"/>
      <c r="Z4042" s="130" t="n"/>
      <c r="AA4042" s="130" t="n"/>
      <c r="AB4042" s="130" t="n"/>
      <c r="AC4042" s="130" t="n"/>
      <c r="AD4042" s="130" t="n"/>
      <c r="AE4042" s="130" t="n"/>
    </row>
    <row r="4043" ht="13" customHeight="1" s="380">
      <c r="A4043" s="166" t="n"/>
      <c r="B4043" s="390" t="n"/>
      <c r="C4043" s="390" t="n"/>
      <c r="D4043" s="82" t="n"/>
      <c r="E4043" s="136" t="n"/>
      <c r="F4043" s="390" t="n"/>
      <c r="G4043" s="390" t="n"/>
      <c r="H4043" s="390" t="n"/>
      <c r="I4043" s="390" t="n"/>
      <c r="J4043" s="401" t="n"/>
      <c r="K4043" s="401" t="n"/>
      <c r="L4043" s="401" t="n"/>
      <c r="M4043" s="401" t="n"/>
      <c r="N4043" s="401" t="n"/>
      <c r="O4043" s="401" t="n"/>
      <c r="P4043" s="22" t="n"/>
      <c r="Q4043" s="401" t="n"/>
      <c r="R4043" s="401" t="n"/>
      <c r="S4043" s="22" t="n"/>
      <c r="T4043" s="390" t="n"/>
      <c r="U4043" s="390" t="n"/>
      <c r="V4043" s="22" t="n"/>
      <c r="W4043" s="22" t="n"/>
      <c r="X4043" s="22" t="n"/>
      <c r="Y4043" s="22" t="n"/>
      <c r="Z4043" s="22" t="n"/>
      <c r="AA4043" s="22" t="n"/>
      <c r="AB4043" s="22" t="n"/>
      <c r="AC4043" s="22" t="n"/>
      <c r="AD4043" s="22" t="n"/>
      <c r="AE4043" s="22" t="n"/>
    </row>
    <row r="4044" ht="13" customHeight="1" s="380">
      <c r="I4044" s="17" t="n"/>
      <c r="R4044" s="393" t="n"/>
      <c r="S4044" s="4" t="n"/>
      <c r="T4044" s="396" t="n"/>
      <c r="U4044" s="396" t="n"/>
    </row>
    <row r="4045" ht="13" customHeight="1" s="380">
      <c r="D4045" s="4" t="inlineStr">
        <is>
          <t>SL tổng</t>
        </is>
      </c>
      <c r="E4045" s="4" t="inlineStr">
        <is>
          <t>Trạng thái chưa mapping</t>
        </is>
      </c>
      <c r="I4045" s="17" t="n"/>
      <c r="Q4045" s="393" t="n"/>
      <c r="R4045" s="393" t="n"/>
      <c r="S4045" s="4" t="n"/>
      <c r="T4045" s="396" t="n"/>
      <c r="U4045" s="396" t="n"/>
    </row>
    <row r="4046" ht="13" customHeight="1" s="380">
      <c r="A4046" s="166" t="n"/>
      <c r="B4046" s="167" t="n"/>
      <c r="C4046" s="167" t="inlineStr">
        <is>
          <t>Dashboard</t>
        </is>
      </c>
      <c r="D4046" s="168">
        <f>COUNTIF('QLKD (Ver01)'!F:F, "Dashboard")</f>
        <v/>
      </c>
      <c r="E4046" s="22">
        <f>COUNTIFS('QLKD (Ver01)'!F:F, "Dashboard",N:N,"")</f>
        <v/>
      </c>
      <c r="F4046" s="16" t="n"/>
      <c r="G4046" s="16" t="n"/>
      <c r="H4046" s="16" t="n"/>
      <c r="I4046" s="16" t="n"/>
      <c r="J4046" s="436" t="inlineStr">
        <is>
          <t>Mapping Dashboard (Lần 2)</t>
        </is>
      </c>
      <c r="K4046" s="437" t="n"/>
      <c r="L4046" s="438" t="n"/>
      <c r="M4046" s="439" t="inlineStr">
        <is>
          <t>Mapping BC / Data Explorer</t>
        </is>
      </c>
      <c r="N4046" s="437" t="n"/>
      <c r="O4046" s="437" t="n"/>
      <c r="P4046" s="438" t="n"/>
      <c r="Q4046" s="401" t="n"/>
      <c r="R4046" s="401" t="n"/>
      <c r="S4046" s="22" t="n"/>
      <c r="T4046" s="390" t="n"/>
      <c r="U4046" s="390" t="n"/>
      <c r="V4046" s="22" t="n"/>
      <c r="W4046" s="22" t="n"/>
      <c r="X4046" s="22" t="n"/>
      <c r="Y4046" s="22" t="n"/>
      <c r="Z4046" s="22" t="n"/>
      <c r="AA4046" s="22" t="n"/>
      <c r="AB4046" s="22" t="n"/>
      <c r="AC4046" s="22" t="n"/>
      <c r="AD4046" s="22" t="n"/>
      <c r="AE4046" s="22" t="n"/>
    </row>
    <row r="4047" ht="28" customHeight="1" s="380">
      <c r="A4047" s="166" t="n"/>
      <c r="B4047" s="167" t="n"/>
      <c r="C4047" s="167" t="inlineStr">
        <is>
          <t>Data Explorer</t>
        </is>
      </c>
      <c r="D4047" s="168">
        <f>COUNTIF('QLKD (Ver01)'!F:F, "Data Explorer")</f>
        <v/>
      </c>
      <c r="E4047" s="22">
        <f>COUNTIFS(F:F, "Data Explorer",N:N,"")</f>
        <v/>
      </c>
      <c r="F4047" s="16" t="n"/>
      <c r="G4047" s="16" t="n"/>
      <c r="H4047" s="16" t="n"/>
      <c r="I4047" s="16" t="n"/>
      <c r="J4047" s="169" t="inlineStr">
        <is>
          <t>Tổng</t>
        </is>
      </c>
      <c r="K4047" s="169" t="inlineStr">
        <is>
          <t>Đã map (SL)</t>
        </is>
      </c>
      <c r="L4047" s="169" t="inlineStr">
        <is>
          <t>Đã map (%)</t>
        </is>
      </c>
      <c r="M4047" s="170" t="inlineStr">
        <is>
          <t>Tổng</t>
        </is>
      </c>
      <c r="N4047" s="170" t="inlineStr">
        <is>
          <t>Đã map (SL)</t>
        </is>
      </c>
      <c r="O4047" s="438" t="n"/>
      <c r="P4047" s="2" t="inlineStr">
        <is>
          <t>Đã map (%)</t>
        </is>
      </c>
      <c r="Q4047" s="401" t="n"/>
      <c r="R4047" s="401" t="n"/>
      <c r="S4047" s="22" t="n"/>
      <c r="T4047" s="390" t="n"/>
      <c r="U4047" s="390" t="n"/>
      <c r="V4047" s="22" t="n"/>
      <c r="W4047" s="22" t="n"/>
      <c r="X4047" s="22" t="n"/>
      <c r="Y4047" s="22" t="n"/>
      <c r="Z4047" s="22" t="n"/>
      <c r="AA4047" s="22" t="n"/>
      <c r="AB4047" s="22" t="n"/>
      <c r="AC4047" s="22" t="n"/>
      <c r="AD4047" s="22" t="n"/>
      <c r="AE4047" s="22" t="n"/>
    </row>
    <row r="4048" ht="13" customHeight="1" s="380">
      <c r="A4048" s="166" t="n"/>
      <c r="B4048" s="167" t="n"/>
      <c r="C4048" s="167" t="inlineStr">
        <is>
          <t>Báo cáo</t>
        </is>
      </c>
      <c r="D4048" s="168">
        <f>COUNTIF('QLKD (Ver01)'!F:F, "Báo cáo")</f>
        <v/>
      </c>
      <c r="E4048" s="22">
        <f>COUNTIFS('QLKD (Ver01)'!F:F, "Báo cáo",N:N,"")</f>
        <v/>
      </c>
      <c r="F4048" s="16" t="n"/>
      <c r="G4048" s="16" t="n"/>
      <c r="H4048" s="16" t="n"/>
      <c r="I4048" s="16" t="n"/>
      <c r="J4048" s="171">
        <f t="array" ref="J4048">COUNTIFS(INDIRECT("'"&amp;$A4046&amp;"'!F:F"), "Dashboard")</f>
        <v/>
      </c>
      <c r="K4048" s="171">
        <f t="array" ref="K4048">COUNTIFS(INDIRECT("'"&amp;$A4046&amp;"'!O:O"), "Done", INDIRECT("'"&amp;$A4046&amp;"'!F:F"), "Dashboard")</f>
        <v/>
      </c>
      <c r="L4048" s="172">
        <f t="array" ref="L4048">IF(COUNTIFS(INDIRECT("'"&amp;$A4046&amp;"'!F:F"), "Dashboard")=0,"",K4048/COUNTIFS(INDIRECT("'"&amp;$A4046&amp;"'!F:F"), "Dashboard")%)</f>
        <v/>
      </c>
      <c r="M4048" s="173">
        <f t="array" ref="M4048">SUMPRODUCT(COUNTIFS(INDIRECT("'"&amp;$A4048&amp;"'!F:F"), {"Báo cáo","Data Explorer"}))</f>
        <v/>
      </c>
      <c r="N4048" s="440">
        <f t="array" ref="N4048">SUMPRODUCT(COUNTIFS(INDIRECT("'"&amp;$A4048&amp;"'!O:O"), "done", INDIRECT("'"&amp;$A4048&amp;"'!F:F"), {"Báo cáo","Data Explorer"}))</f>
        <v/>
      </c>
      <c r="O4048" s="438" t="n"/>
      <c r="P4048" s="174">
        <f t="array" ref="P4048">IFERROR(
SUMPRODUCT(COUNTIFS(INDIRECT("'"&amp;$A4054&amp;"'!O:O"),"done",INDIRECT("'"&amp;$A4054&amp;"'!F:F"),{"Báo cáo","Data Explorer"}))
/
SUMPRODUCT(COUNTIFS(INDIRECT("'"&amp;$A4052&amp;"'!F:F"),{"Báo cáo","Data Explorer"})),
""
)</f>
        <v/>
      </c>
      <c r="Q4048" s="175" t="n"/>
      <c r="R4048" s="401" t="n"/>
      <c r="S4048" s="22" t="n"/>
      <c r="T4048" s="390" t="n"/>
      <c r="U4048" s="390" t="n"/>
      <c r="V4048" s="22" t="n"/>
      <c r="W4048" s="22" t="n"/>
      <c r="X4048" s="22" t="n"/>
      <c r="Y4048" s="22" t="n"/>
      <c r="Z4048" s="22" t="n"/>
      <c r="AA4048" s="22" t="n"/>
      <c r="AB4048" s="22" t="n"/>
      <c r="AC4048" s="22" t="n"/>
      <c r="AD4048" s="22" t="n"/>
      <c r="AE4048" s="22" t="n"/>
    </row>
    <row r="4049" ht="14" customHeight="1" s="380">
      <c r="A4049" s="166" t="n"/>
      <c r="B4049" s="176" t="n"/>
      <c r="C4049" s="176" t="inlineStr">
        <is>
          <t>Tổng số chỉ tiêu:</t>
        </is>
      </c>
      <c r="D4049" s="177">
        <f>COUNTIF('QLKD (Ver01)'!F:F, "Dashboard") + COUNTIF('QLKD (Ver01)'!F:F, "Data Explorer") + COUNTIF('QLKD (Ver01)'!F:F, "Báo cáo")</f>
        <v/>
      </c>
      <c r="E4049" s="22" t="n"/>
      <c r="F4049" s="16" t="n"/>
      <c r="G4049" s="16" t="n"/>
      <c r="H4049" s="16" t="n"/>
      <c r="I4049" s="16" t="n"/>
      <c r="J4049" s="22" t="n"/>
      <c r="K4049" s="22" t="n"/>
      <c r="L4049" s="22" t="n"/>
      <c r="M4049" s="22" t="n"/>
      <c r="N4049" s="401" t="n"/>
      <c r="O4049" s="401" t="n"/>
      <c r="P4049" s="22" t="n"/>
      <c r="Q4049" s="401" t="n"/>
      <c r="R4049" s="401" t="n"/>
      <c r="S4049" s="22" t="n"/>
      <c r="T4049" s="390" t="n"/>
      <c r="U4049" s="390" t="n"/>
      <c r="V4049" s="22" t="n"/>
      <c r="W4049" s="22" t="n"/>
      <c r="X4049" s="22" t="n"/>
      <c r="Y4049" s="22" t="n"/>
      <c r="Z4049" s="22" t="n"/>
      <c r="AA4049" s="22" t="n"/>
      <c r="AB4049" s="22" t="n"/>
      <c r="AC4049" s="22" t="n"/>
      <c r="AD4049" s="22" t="n"/>
      <c r="AE4049" s="22" t="n"/>
    </row>
  </sheetData>
  <autoFilter ref="A1:X4042">
    <filterColumn colId="5" hiddenButton="0" showButton="1">
      <filters>
        <filter val="Data Explorer"/>
        <filter val="Dashboard/báo cáo/Data Explorer"/>
      </filters>
    </filterColumn>
    <filterColumn colId="13" hiddenButton="0" showButton="1">
      <filters>
        <filter val="Done"/>
        <filter val="Trạng thái mapping"/>
      </filters>
    </filterColumn>
  </autoFilter>
  <mergeCells count="943">
    <mergeCell ref="R747:R748"/>
    <mergeCell ref="R2572:R2575"/>
    <mergeCell ref="T2018:T2088"/>
    <mergeCell ref="R1135:R1138"/>
    <mergeCell ref="R749:R750"/>
    <mergeCell ref="T1135:T1138"/>
    <mergeCell ref="T2563:T2571"/>
    <mergeCell ref="R3806:R3807"/>
    <mergeCell ref="T1332:T1333"/>
    <mergeCell ref="T764:T767"/>
    <mergeCell ref="R816:R817"/>
    <mergeCell ref="T3934:T3951"/>
    <mergeCell ref="T2146:T2147"/>
    <mergeCell ref="Q2272:Q2273"/>
    <mergeCell ref="R3699:R3700"/>
    <mergeCell ref="T1743:T1744"/>
    <mergeCell ref="T3952:T3955"/>
    <mergeCell ref="Q1175:Q1176"/>
    <mergeCell ref="Q1803:Q1806"/>
    <mergeCell ref="R1769:R1772"/>
    <mergeCell ref="Q3056:Q3063"/>
    <mergeCell ref="T1410:T1413"/>
    <mergeCell ref="T867:T884"/>
    <mergeCell ref="R3829:R3832"/>
    <mergeCell ref="T2270:T2271"/>
    <mergeCell ref="T1632:T1633"/>
    <mergeCell ref="T3829:T3832"/>
    <mergeCell ref="Q786:Q789"/>
    <mergeCell ref="Q2559:Q2560"/>
    <mergeCell ref="Q1351:Q1354"/>
    <mergeCell ref="Q835:Q838"/>
    <mergeCell ref="Q43:Q45"/>
    <mergeCell ref="T2014:T2015"/>
    <mergeCell ref="Q1773:Q1774"/>
    <mergeCell ref="Q3391:Q3392"/>
    <mergeCell ref="R2095:R2096"/>
    <mergeCell ref="Q2561:Q2562"/>
    <mergeCell ref="Q794:Q809"/>
    <mergeCell ref="R2522:R2523"/>
    <mergeCell ref="T3701:T3760"/>
    <mergeCell ref="T2522:T2523"/>
    <mergeCell ref="R2316:R2317"/>
    <mergeCell ref="Q142:Q148"/>
    <mergeCell ref="R2183:R2186"/>
    <mergeCell ref="R3804:R3805"/>
    <mergeCell ref="Q1257:Q1297"/>
    <mergeCell ref="T2183:T2186"/>
    <mergeCell ref="R1571:R1572"/>
    <mergeCell ref="R1761:R1768"/>
    <mergeCell ref="T1761:T1768"/>
    <mergeCell ref="T3779:T3780"/>
    <mergeCell ref="R35:R37"/>
    <mergeCell ref="Q1298:Q1301"/>
    <mergeCell ref="Q863:Q864"/>
    <mergeCell ref="Q3934:Q3951"/>
    <mergeCell ref="Q1332:Q1333"/>
    <mergeCell ref="Q1232:Q1233"/>
    <mergeCell ref="Q1583:Q1586"/>
    <mergeCell ref="Q1397:Q1398"/>
    <mergeCell ref="R2588:R2589"/>
    <mergeCell ref="T2588:T2589"/>
    <mergeCell ref="Q3837:Q3853"/>
    <mergeCell ref="Q1422:Q1425"/>
    <mergeCell ref="Q2095:Q2096"/>
    <mergeCell ref="T2542:T2545"/>
    <mergeCell ref="T2454:T2455"/>
    <mergeCell ref="Q1632:Q1633"/>
    <mergeCell ref="Q1201:Q1204"/>
    <mergeCell ref="T1960:T1961"/>
    <mergeCell ref="T1791:T1792"/>
    <mergeCell ref="R1416:R1417"/>
    <mergeCell ref="Q1610:Q1625"/>
    <mergeCell ref="R1587:R1588"/>
    <mergeCell ref="Q2351:Q2447"/>
    <mergeCell ref="Q2312:Q2315"/>
    <mergeCell ref="R1823:R1824"/>
    <mergeCell ref="R1209:R1225"/>
    <mergeCell ref="Q3800:Q3803"/>
    <mergeCell ref="Q2522:Q2523"/>
    <mergeCell ref="N4047:O4047"/>
    <mergeCell ref="Q2183:Q2186"/>
    <mergeCell ref="R1589:R1590"/>
    <mergeCell ref="R1712:R1720"/>
    <mergeCell ref="R195:R199"/>
    <mergeCell ref="R3338:R3339"/>
    <mergeCell ref="R3808:R3816"/>
    <mergeCell ref="R1745:R1752"/>
    <mergeCell ref="R1355:R1356"/>
    <mergeCell ref="T1745:T1752"/>
    <mergeCell ref="R1393:R1396"/>
    <mergeCell ref="T790:T791"/>
    <mergeCell ref="R1249:R1252"/>
    <mergeCell ref="R1330:R1331"/>
    <mergeCell ref="T1205:T1206"/>
    <mergeCell ref="T1249:T1252"/>
    <mergeCell ref="R3436:R3510"/>
    <mergeCell ref="R863:R864"/>
    <mergeCell ref="Q2572:Q2575"/>
    <mergeCell ref="Q747:Q748"/>
    <mergeCell ref="R724:R727"/>
    <mergeCell ref="R3557:R3560"/>
    <mergeCell ref="T1177:T1178"/>
    <mergeCell ref="T724:T727"/>
    <mergeCell ref="T1671:T1672"/>
    <mergeCell ref="R2536:R2541"/>
    <mergeCell ref="T2536:T2541"/>
    <mergeCell ref="R2448:R2451"/>
    <mergeCell ref="T2448:T2451"/>
    <mergeCell ref="R1630:R1631"/>
    <mergeCell ref="T1384:T1392"/>
    <mergeCell ref="Q1135:Q1138"/>
    <mergeCell ref="T816:T817"/>
    <mergeCell ref="Q749:Q750"/>
    <mergeCell ref="Q1587:Q1588"/>
    <mergeCell ref="Q1416:Q1417"/>
    <mergeCell ref="Q2320:Q2342"/>
    <mergeCell ref="Q3793:Q3794"/>
    <mergeCell ref="R2351:R2447"/>
    <mergeCell ref="Q2146:Q2147"/>
    <mergeCell ref="T1452:T1453"/>
    <mergeCell ref="Q1255:Q1256"/>
    <mergeCell ref="Q3787:Q3790"/>
    <mergeCell ref="Q3699:Q3700"/>
    <mergeCell ref="Q2563:Q2571"/>
    <mergeCell ref="T3858:T3859"/>
    <mergeCell ref="T3769:T3772"/>
    <mergeCell ref="R1302:R1303"/>
    <mergeCell ref="Q3338:Q3339"/>
    <mergeCell ref="R2548:R2549"/>
    <mergeCell ref="T3697:T3698"/>
    <mergeCell ref="Q790:Q791"/>
    <mergeCell ref="T3068:T3069"/>
    <mergeCell ref="R2559:R2560"/>
    <mergeCell ref="Q3436:Q3510"/>
    <mergeCell ref="R43:R45"/>
    <mergeCell ref="T43:T45"/>
    <mergeCell ref="T1964:T2009"/>
    <mergeCell ref="R1773:R1774"/>
    <mergeCell ref="R1665:R1668"/>
    <mergeCell ref="T1665:T1668"/>
    <mergeCell ref="Q1468:Q1471"/>
    <mergeCell ref="Q1401:Q1409"/>
    <mergeCell ref="T195:T199"/>
    <mergeCell ref="Q3263:Q3333"/>
    <mergeCell ref="R2561:R2562"/>
    <mergeCell ref="R1602:R1605"/>
    <mergeCell ref="Q3393:Q3427"/>
    <mergeCell ref="T865:T866"/>
    <mergeCell ref="T1602:T1605"/>
    <mergeCell ref="T1399:T1400"/>
    <mergeCell ref="T3515:T3516"/>
    <mergeCell ref="Q1326:Q1329"/>
    <mergeCell ref="Q1456:Q1467"/>
    <mergeCell ref="T1793:T1794"/>
    <mergeCell ref="Q3777:Q3778"/>
    <mergeCell ref="R3054:R3055"/>
    <mergeCell ref="Q1825:Q1826"/>
    <mergeCell ref="T3561:T3562"/>
    <mergeCell ref="R1257:R1297"/>
    <mergeCell ref="R3821:R3822"/>
    <mergeCell ref="T1257:T1297"/>
    <mergeCell ref="T3821:T3822"/>
    <mergeCell ref="Q2590:Q2591"/>
    <mergeCell ref="T3517:T3518"/>
    <mergeCell ref="Q1302:Q1303"/>
    <mergeCell ref="T2520:T2521"/>
    <mergeCell ref="R3563:R3564"/>
    <mergeCell ref="T218:T223"/>
    <mergeCell ref="T3563:T3564"/>
    <mergeCell ref="T2093:T2094"/>
    <mergeCell ref="R818:R834"/>
    <mergeCell ref="Q3791:Q3792"/>
    <mergeCell ref="T818:T834"/>
    <mergeCell ref="Q2588:Q2589"/>
    <mergeCell ref="R3926:R3929"/>
    <mergeCell ref="R1795:R1802"/>
    <mergeCell ref="R2550:R2554"/>
    <mergeCell ref="R1654:R1655"/>
    <mergeCell ref="T859:T862"/>
    <mergeCell ref="T1654:T1655"/>
    <mergeCell ref="M4046:P4046"/>
    <mergeCell ref="R2312:R2315"/>
    <mergeCell ref="Q2016:Q2017"/>
    <mergeCell ref="Q772:Q785"/>
    <mergeCell ref="T814:T815"/>
    <mergeCell ref="R165:R169"/>
    <mergeCell ref="T1414:T1415"/>
    <mergeCell ref="Q1589:Q1590"/>
    <mergeCell ref="T2731:T2746"/>
    <mergeCell ref="Q1712:Q1720"/>
    <mergeCell ref="T1334:T1350"/>
    <mergeCell ref="T751:T763"/>
    <mergeCell ref="Q2316:Q2317"/>
    <mergeCell ref="Q1777:Q1786"/>
    <mergeCell ref="Q1745:Q1752"/>
    <mergeCell ref="Q1355:Q1356"/>
    <mergeCell ref="T3205:T3206"/>
    <mergeCell ref="Q818:Q834"/>
    <mergeCell ref="Q2592:Q2608"/>
    <mergeCell ref="Q3511:Q3514"/>
    <mergeCell ref="Q3926:Q3929"/>
    <mergeCell ref="T3428:T3431"/>
    <mergeCell ref="Q2448:Q2451"/>
    <mergeCell ref="Q816:Q817"/>
    <mergeCell ref="T3340:T3341"/>
    <mergeCell ref="T2452:T2453"/>
    <mergeCell ref="Q1630:Q1631"/>
    <mergeCell ref="Q2578:Q2579"/>
    <mergeCell ref="R1648:R1651"/>
    <mergeCell ref="Q1811:Q1818"/>
    <mergeCell ref="R1359:R1375"/>
    <mergeCell ref="R743:R746"/>
    <mergeCell ref="T234:T238"/>
    <mergeCell ref="R3209:R3254"/>
    <mergeCell ref="T743:T746"/>
    <mergeCell ref="R3787:R3790"/>
    <mergeCell ref="R192:R194"/>
    <mergeCell ref="Q3519:Q3556"/>
    <mergeCell ref="R3594:R3595"/>
    <mergeCell ref="Q2018:Q2088"/>
    <mergeCell ref="Q768:Q769"/>
    <mergeCell ref="T192:T194"/>
    <mergeCell ref="Q1775:Q1776"/>
    <mergeCell ref="T3787:T3790"/>
    <mergeCell ref="R3255:R3258"/>
    <mergeCell ref="T1630:T1631"/>
    <mergeCell ref="R1201:R1204"/>
    <mergeCell ref="T2097:T2139"/>
    <mergeCell ref="T1201:T1204"/>
    <mergeCell ref="R2191:R2265"/>
    <mergeCell ref="R3823:R3824"/>
    <mergeCell ref="R3068:R3069"/>
    <mergeCell ref="Q2532:Q2533"/>
    <mergeCell ref="Q893:Q901"/>
    <mergeCell ref="R790:R791"/>
    <mergeCell ref="R1669:R1670"/>
    <mergeCell ref="Q1608:Q1609"/>
    <mergeCell ref="Q2274:Q2311"/>
    <mergeCell ref="Q1304:Q1305"/>
    <mergeCell ref="T3823:T3824"/>
    <mergeCell ref="Q3565:Q3587"/>
    <mergeCell ref="T1669:T1670"/>
    <mergeCell ref="T3795:T3799"/>
    <mergeCell ref="R1177:R1178"/>
    <mergeCell ref="Q1472:Q1473"/>
    <mergeCell ref="R3765:R3766"/>
    <mergeCell ref="R3334:R3337"/>
    <mergeCell ref="Q2148:Q2182"/>
    <mergeCell ref="T2926:T2927"/>
    <mergeCell ref="R3263:R3333"/>
    <mergeCell ref="Q1964:Q2009"/>
    <mergeCell ref="T835:T838"/>
    <mergeCell ref="Q743:Q746"/>
    <mergeCell ref="Q1330:Q1331"/>
    <mergeCell ref="Q3779:Q3780"/>
    <mergeCell ref="R1729:R1736"/>
    <mergeCell ref="R1456:R1467"/>
    <mergeCell ref="Q3054:Q3055"/>
    <mergeCell ref="R885:R888"/>
    <mergeCell ref="T885:T888"/>
    <mergeCell ref="R3519:R3556"/>
    <mergeCell ref="Q3255:Q3258"/>
    <mergeCell ref="R2546:R2547"/>
    <mergeCell ref="R1962:R1963"/>
    <mergeCell ref="Q2191:Q2265"/>
    <mergeCell ref="T2584:T2587"/>
    <mergeCell ref="R3259:R3260"/>
    <mergeCell ref="R1230:R1231"/>
    <mergeCell ref="R1687:R1690"/>
    <mergeCell ref="T2318:T2319"/>
    <mergeCell ref="T1230:T1231"/>
    <mergeCell ref="T1787:T1790"/>
    <mergeCell ref="T1687:T1690"/>
    <mergeCell ref="Q3070:Q3071"/>
    <mergeCell ref="Q2550:Q2554"/>
    <mergeCell ref="T1357:T1358"/>
    <mergeCell ref="Q1654:Q1655"/>
    <mergeCell ref="T1097:T1100"/>
    <mergeCell ref="Q1725:Q1726"/>
    <mergeCell ref="Q859:Q862"/>
    <mergeCell ref="Q35:Q37"/>
    <mergeCell ref="Q3207:Q3208"/>
    <mergeCell ref="Q3773:Q3776"/>
    <mergeCell ref="Q165:Q169"/>
    <mergeCell ref="Q1727:Q1728"/>
    <mergeCell ref="Q885:Q888"/>
    <mergeCell ref="R2456:R2515"/>
    <mergeCell ref="R1351:R1354"/>
    <mergeCell ref="T2349:T2350"/>
    <mergeCell ref="T2089:T2092"/>
    <mergeCell ref="Q2546:Q2547"/>
    <mergeCell ref="T2693:T2711"/>
    <mergeCell ref="Q3385:Q3388"/>
    <mergeCell ref="R2592:R2608"/>
    <mergeCell ref="R3511:R3514"/>
    <mergeCell ref="R3958:R3959"/>
    <mergeCell ref="R1606:R1607"/>
    <mergeCell ref="T1606:T1607"/>
    <mergeCell ref="T3958:T3959"/>
    <mergeCell ref="R2146:R2147"/>
    <mergeCell ref="R2578:R2579"/>
    <mergeCell ref="R1652:R1653"/>
    <mergeCell ref="Q1648:Q1651"/>
    <mergeCell ref="T2578:T2579"/>
    <mergeCell ref="Q1359:Q1375"/>
    <mergeCell ref="T1652:T1653"/>
    <mergeCell ref="R1811:R1818"/>
    <mergeCell ref="R2516:R2519"/>
    <mergeCell ref="T1565:T1568"/>
    <mergeCell ref="T810:T813"/>
    <mergeCell ref="T2516:T2519"/>
    <mergeCell ref="T2572:T2575"/>
    <mergeCell ref="Q2014:Q2015"/>
    <mergeCell ref="T1811:T1818"/>
    <mergeCell ref="R3791:R3792"/>
    <mergeCell ref="T3432:T3433"/>
    <mergeCell ref="T1474:T1475"/>
    <mergeCell ref="T3854:T3857"/>
    <mergeCell ref="Q3594:Q3595"/>
    <mergeCell ref="T1710:T1711"/>
    <mergeCell ref="R2018:R2088"/>
    <mergeCell ref="T3693:T3696"/>
    <mergeCell ref="T3434:T3435"/>
    <mergeCell ref="T1454:T1455"/>
    <mergeCell ref="T3201:T3204"/>
    <mergeCell ref="R893:R901"/>
    <mergeCell ref="T3596:T3692"/>
    <mergeCell ref="Q3761:Q3764"/>
    <mergeCell ref="R764:R767"/>
    <mergeCell ref="R2274:R2311"/>
    <mergeCell ref="R1472:R1473"/>
    <mergeCell ref="Q3958:Q3959"/>
    <mergeCell ref="Q3334:Q3337"/>
    <mergeCell ref="R1964:R2009"/>
    <mergeCell ref="Q1729:Q1736"/>
    <mergeCell ref="R3779:R3780"/>
    <mergeCell ref="T1105:T1108"/>
    <mergeCell ref="T3072:T3088"/>
    <mergeCell ref="Q3808:Q3816"/>
    <mergeCell ref="T1468:T1471"/>
    <mergeCell ref="R1737:R1740"/>
    <mergeCell ref="R1380:R1381"/>
    <mergeCell ref="R1626:R1629"/>
    <mergeCell ref="T1380:T1381"/>
    <mergeCell ref="T1626:T1629"/>
    <mergeCell ref="T1753:T1756"/>
    <mergeCell ref="R3048:R3051"/>
    <mergeCell ref="T839:T840"/>
    <mergeCell ref="T3393:T3427"/>
    <mergeCell ref="T3048:T3051"/>
    <mergeCell ref="T2718:T2730"/>
    <mergeCell ref="Q1962:Q1963"/>
    <mergeCell ref="Q1791:Q1792"/>
    <mergeCell ref="T2617:T2622"/>
    <mergeCell ref="Q2528:Q2531"/>
    <mergeCell ref="R3389:R3390"/>
    <mergeCell ref="R3858:R3859"/>
    <mergeCell ref="T732:T742"/>
    <mergeCell ref="T3389:T3390"/>
    <mergeCell ref="Q3515:Q3516"/>
    <mergeCell ref="Q1606:Q1607"/>
    <mergeCell ref="T841:T842"/>
    <mergeCell ref="Q764:Q767"/>
    <mergeCell ref="Q1793:Q1794"/>
    <mergeCell ref="T3817:T3820"/>
    <mergeCell ref="Q3259:Q3260"/>
    <mergeCell ref="Q3952:Q3955"/>
    <mergeCell ref="Q1428:Q1429"/>
    <mergeCell ref="Q3517:Q3518"/>
    <mergeCell ref="R1775:R1776"/>
    <mergeCell ref="T2524:T2527"/>
    <mergeCell ref="R1725:R1726"/>
    <mergeCell ref="Q2093:Q2094"/>
    <mergeCell ref="R2563:R2571"/>
    <mergeCell ref="T1741:T1742"/>
    <mergeCell ref="R3207:R3208"/>
    <mergeCell ref="R3773:R3776"/>
    <mergeCell ref="T3207:T3208"/>
    <mergeCell ref="R1691:R1692"/>
    <mergeCell ref="R730:R731"/>
    <mergeCell ref="R1727:R1728"/>
    <mergeCell ref="Q1626:Q1629"/>
    <mergeCell ref="Q2456:Q2515"/>
    <mergeCell ref="T730:T731"/>
    <mergeCell ref="R2542:R2545"/>
    <mergeCell ref="T843:T858"/>
    <mergeCell ref="R1721:R1724"/>
    <mergeCell ref="R2454:R2455"/>
    <mergeCell ref="T1721:T1724"/>
    <mergeCell ref="R1693:R1694"/>
    <mergeCell ref="Q1956:Q1959"/>
    <mergeCell ref="T1693:T1694"/>
    <mergeCell ref="R2609:R2612"/>
    <mergeCell ref="R2584:R2587"/>
    <mergeCell ref="T3765:T3766"/>
    <mergeCell ref="T2631:T2633"/>
    <mergeCell ref="T2609:T2612"/>
    <mergeCell ref="R2014:R2015"/>
    <mergeCell ref="Q3701:Q3760"/>
    <mergeCell ref="T3767:T3768"/>
    <mergeCell ref="T2189:T2190"/>
    <mergeCell ref="Q3769:Q3772"/>
    <mergeCell ref="T1418:T1421"/>
    <mergeCell ref="Q1652:Q1653"/>
    <mergeCell ref="T2576:T2577"/>
    <mergeCell ref="Q2516:Q2519"/>
    <mergeCell ref="Q1741:Q1742"/>
    <mergeCell ref="Q3205:Q3206"/>
    <mergeCell ref="T3833:T3834"/>
    <mergeCell ref="Q3592:Q3593"/>
    <mergeCell ref="R1671:R1672"/>
    <mergeCell ref="Q1743:Q1744"/>
    <mergeCell ref="R1634:R1647"/>
    <mergeCell ref="T1827:T1843"/>
    <mergeCell ref="T1634:T1647"/>
    <mergeCell ref="Q2140:Q2143"/>
    <mergeCell ref="Q1795:Q1802"/>
    <mergeCell ref="R3761:R3764"/>
    <mergeCell ref="T1691:T1692"/>
    <mergeCell ref="R1175:R1176"/>
    <mergeCell ref="R1803:R1806"/>
    <mergeCell ref="T3761:T3764"/>
    <mergeCell ref="R2555:R2558"/>
    <mergeCell ref="T1175:T1176"/>
    <mergeCell ref="T2627:T2628"/>
    <mergeCell ref="R3860:R3861"/>
    <mergeCell ref="R2343:R2346"/>
    <mergeCell ref="T2555:T2558"/>
    <mergeCell ref="Q3821:Q3822"/>
    <mergeCell ref="Q867:Q884"/>
    <mergeCell ref="T3860:T3861"/>
    <mergeCell ref="R2144:R2145"/>
    <mergeCell ref="Q1410:Q1413"/>
    <mergeCell ref="R3825:R3828"/>
    <mergeCell ref="T2144:T2145"/>
    <mergeCell ref="T1141:T1142"/>
    <mergeCell ref="Q2270:Q2271"/>
    <mergeCell ref="T3825:T3828"/>
    <mergeCell ref="T1803:T1806"/>
    <mergeCell ref="T3064:T3067"/>
    <mergeCell ref="T2187:T2188"/>
    <mergeCell ref="R891:R892"/>
    <mergeCell ref="Q1807:Q1808"/>
    <mergeCell ref="Q39:Q41"/>
    <mergeCell ref="T3261:T3262"/>
    <mergeCell ref="Q1380:Q1381"/>
    <mergeCell ref="Q1671:Q1672"/>
    <mergeCell ref="Q1809:Q1810"/>
    <mergeCell ref="Q1634:Q1647"/>
    <mergeCell ref="R1791:R1792"/>
    <mergeCell ref="Q3389:Q3390"/>
    <mergeCell ref="Q2010:Q2013"/>
    <mergeCell ref="R3515:R3516"/>
    <mergeCell ref="T2347:T2348"/>
    <mergeCell ref="R859:R862"/>
    <mergeCell ref="T1757:T1758"/>
    <mergeCell ref="R3052:R3053"/>
    <mergeCell ref="R1793:R1794"/>
    <mergeCell ref="T3052:T3053"/>
    <mergeCell ref="Q3209:Q3254"/>
    <mergeCell ref="R3072:R3200"/>
    <mergeCell ref="R1695:R1703"/>
    <mergeCell ref="R3517:R3518"/>
    <mergeCell ref="R2520:R2521"/>
    <mergeCell ref="R1384:R1392"/>
    <mergeCell ref="T1695:T1703"/>
    <mergeCell ref="R1207:R1208"/>
    <mergeCell ref="R3862:R3867"/>
    <mergeCell ref="R2093:R2094"/>
    <mergeCell ref="T3862:T3867"/>
    <mergeCell ref="R39:R41"/>
    <mergeCell ref="T39:T41"/>
    <mergeCell ref="R3693:R3696"/>
    <mergeCell ref="T3781:T3786"/>
    <mergeCell ref="R1468:R1471"/>
    <mergeCell ref="T1226:T1229"/>
    <mergeCell ref="R1401:R1409"/>
    <mergeCell ref="Q730:Q731"/>
    <mergeCell ref="T1673:T1686"/>
    <mergeCell ref="Q2542:Q2545"/>
    <mergeCell ref="Q1787:Q1790"/>
    <mergeCell ref="Q1721:Q1724"/>
    <mergeCell ref="R1753:R1756"/>
    <mergeCell ref="Q2454:Q2455"/>
    <mergeCell ref="Q1230:Q1231"/>
    <mergeCell ref="Q195:Q199"/>
    <mergeCell ref="R2613:R2614"/>
    <mergeCell ref="Q1693:Q1694"/>
    <mergeCell ref="R2617:R2622"/>
    <mergeCell ref="Q1960:Q1961"/>
    <mergeCell ref="T728:T729"/>
    <mergeCell ref="T3835:T3836"/>
    <mergeCell ref="Q3765:Q3766"/>
    <mergeCell ref="T2613:T2614"/>
    <mergeCell ref="T2561:T2562"/>
    <mergeCell ref="T3800:T3803"/>
    <mergeCell ref="T891:T892"/>
    <mergeCell ref="R2148:R2182"/>
    <mergeCell ref="Q2347:Q2348"/>
    <mergeCell ref="T1476:T1564"/>
    <mergeCell ref="T2148:T2182"/>
    <mergeCell ref="R814:R815"/>
    <mergeCell ref="T2640:T2662"/>
    <mergeCell ref="R2615:R2616"/>
    <mergeCell ref="T3960:T3968"/>
    <mergeCell ref="R1414:R1415"/>
    <mergeCell ref="R1334:R1350"/>
    <mergeCell ref="T2590:T2591"/>
    <mergeCell ref="R751:R763"/>
    <mergeCell ref="R3769:R3772"/>
    <mergeCell ref="R1306:R1325"/>
    <mergeCell ref="R1430:R1447"/>
    <mergeCell ref="R3930:R3931"/>
    <mergeCell ref="Q2097:Q2139"/>
    <mergeCell ref="T1306:T1325"/>
    <mergeCell ref="T3930:T3931"/>
    <mergeCell ref="T1737:T1740"/>
    <mergeCell ref="R1573:R1582"/>
    <mergeCell ref="R1741:R1742"/>
    <mergeCell ref="R3205:R3206"/>
    <mergeCell ref="T1573:T1582"/>
    <mergeCell ref="Q1569:Q1570"/>
    <mergeCell ref="R3932:R3933"/>
    <mergeCell ref="R3561:R3562"/>
    <mergeCell ref="Q1177:Q1178"/>
    <mergeCell ref="R3592:R3593"/>
    <mergeCell ref="R2580:R2583"/>
    <mergeCell ref="Q724:Q727"/>
    <mergeCell ref="T3592:T3593"/>
    <mergeCell ref="T3932:T3933"/>
    <mergeCell ref="Q2536:Q2541"/>
    <mergeCell ref="R1743:R1744"/>
    <mergeCell ref="T2272:T2273"/>
    <mergeCell ref="R2452:R2453"/>
    <mergeCell ref="Q1565:Q1568"/>
    <mergeCell ref="T3056:T3063"/>
    <mergeCell ref="R1807:R1808"/>
    <mergeCell ref="T1255:T1256"/>
    <mergeCell ref="Q814:Q815"/>
    <mergeCell ref="T2312:T2315"/>
    <mergeCell ref="T786:T789"/>
    <mergeCell ref="Q2555:Q2558"/>
    <mergeCell ref="T2559:T2560"/>
    <mergeCell ref="J4046:L4046"/>
    <mergeCell ref="Q1334:Q1350"/>
    <mergeCell ref="Q3858:Q3859"/>
    <mergeCell ref="Q2144:Q2145"/>
    <mergeCell ref="R867:R884"/>
    <mergeCell ref="T3588:T3591"/>
    <mergeCell ref="Q1454:Q1455"/>
    <mergeCell ref="Q3201:Q3204"/>
    <mergeCell ref="Q3697:Q3698"/>
    <mergeCell ref="Q3860:Q3861"/>
    <mergeCell ref="R794:R809"/>
    <mergeCell ref="T794:T809"/>
    <mergeCell ref="Q3932:Q3933"/>
    <mergeCell ref="R3795:R3799"/>
    <mergeCell ref="T1591:T1601"/>
    <mergeCell ref="T204:T208"/>
    <mergeCell ref="R2266:R2269"/>
    <mergeCell ref="R3385:R3388"/>
    <mergeCell ref="R1234:R1248"/>
    <mergeCell ref="T1055:T1072"/>
    <mergeCell ref="T3385:T3388"/>
    <mergeCell ref="T2266:T2269"/>
    <mergeCell ref="Q865:Q866"/>
    <mergeCell ref="Q1602:Q1605"/>
    <mergeCell ref="T1729:T1736"/>
    <mergeCell ref="R1171:R1174"/>
    <mergeCell ref="T1382:T1383"/>
    <mergeCell ref="T1171:T1174"/>
    <mergeCell ref="T1298:T1301"/>
    <mergeCell ref="T863:T864"/>
    <mergeCell ref="T2615:T2616"/>
    <mergeCell ref="T1583:T1586"/>
    <mergeCell ref="T1397:T1398"/>
    <mergeCell ref="Q2520:Q2521"/>
    <mergeCell ref="Q1695:Q1703"/>
    <mergeCell ref="Q2349:Q2350"/>
    <mergeCell ref="Q2089:Q2092"/>
    <mergeCell ref="Q1384:Q1392"/>
    <mergeCell ref="T1819:T1822"/>
    <mergeCell ref="T2095:T2096"/>
    <mergeCell ref="T1769:T1772"/>
    <mergeCell ref="Q3563:Q3564"/>
    <mergeCell ref="Q3052:Q3053"/>
    <mergeCell ref="T2629:T2630"/>
    <mergeCell ref="T1089:T1092"/>
    <mergeCell ref="R2318:R2319"/>
    <mergeCell ref="R1787:R1790"/>
    <mergeCell ref="Q229:Q232"/>
    <mergeCell ref="R1410:R1413"/>
    <mergeCell ref="R1357:R1358"/>
    <mergeCell ref="R1960:R1961"/>
    <mergeCell ref="R2270:R2271"/>
    <mergeCell ref="R218:R223"/>
    <mergeCell ref="T889:T890"/>
    <mergeCell ref="T2343:T2346"/>
    <mergeCell ref="N4048:O4048"/>
    <mergeCell ref="R1376:R1379"/>
    <mergeCell ref="T3334:T3337"/>
    <mergeCell ref="T3342:T3384"/>
    <mergeCell ref="R2347:R2348"/>
    <mergeCell ref="T1376:T1379"/>
    <mergeCell ref="T1807:T1808"/>
    <mergeCell ref="R1757:R1758"/>
    <mergeCell ref="Q3829:Q3832"/>
    <mergeCell ref="R2534:R2535"/>
    <mergeCell ref="Q1414:Q1415"/>
    <mergeCell ref="R1827:R1955"/>
    <mergeCell ref="R1326:R1329"/>
    <mergeCell ref="T2534:T2535"/>
    <mergeCell ref="T747:T748"/>
    <mergeCell ref="T1773:T1774"/>
    <mergeCell ref="R1809:R1810"/>
    <mergeCell ref="Q751:Q763"/>
    <mergeCell ref="T1809:T1810"/>
    <mergeCell ref="R2349:R2350"/>
    <mergeCell ref="Q1737:Q1740"/>
    <mergeCell ref="R2089:R2092"/>
    <mergeCell ref="Q1430:Q1447"/>
    <mergeCell ref="R1759:R1760"/>
    <mergeCell ref="R2097:R2139"/>
    <mergeCell ref="Q1306:Q1325"/>
    <mergeCell ref="T1234:T1248"/>
    <mergeCell ref="T3804:T3805"/>
    <mergeCell ref="R2010:R2013"/>
    <mergeCell ref="T1759:T1760"/>
    <mergeCell ref="Q1573:Q1582"/>
    <mergeCell ref="T749:T750"/>
    <mergeCell ref="Q3767:Q3768"/>
    <mergeCell ref="T3806:T3807"/>
    <mergeCell ref="T1209:T1225"/>
    <mergeCell ref="R3793:R3794"/>
    <mergeCell ref="Q3561:Q3562"/>
    <mergeCell ref="T3793:T3794"/>
    <mergeCell ref="Q3428:Q3431"/>
    <mergeCell ref="T3115:T3200"/>
    <mergeCell ref="Q3072:Q3200"/>
    <mergeCell ref="Q3340:Q3341"/>
    <mergeCell ref="Q2452:Q2453"/>
    <mergeCell ref="T3699:T3700"/>
    <mergeCell ref="Q218:Q223"/>
    <mergeCell ref="R1565:R1568"/>
    <mergeCell ref="R810:R813"/>
    <mergeCell ref="R1428:R1429"/>
    <mergeCell ref="Q1376:Q1379"/>
    <mergeCell ref="T1428:T1429"/>
    <mergeCell ref="R3432:R3433"/>
    <mergeCell ref="R772:R785"/>
    <mergeCell ref="R3854:R3857"/>
    <mergeCell ref="Q1827:Q1955"/>
    <mergeCell ref="T1207:T1208"/>
    <mergeCell ref="T772:T785"/>
    <mergeCell ref="T1870:T1955"/>
    <mergeCell ref="T3436:T3510"/>
    <mergeCell ref="R1454:R1455"/>
    <mergeCell ref="R3201:R3204"/>
    <mergeCell ref="T1401:T1409"/>
    <mergeCell ref="R3697:R3698"/>
    <mergeCell ref="R2627:R2628"/>
    <mergeCell ref="Q3823:Q3824"/>
    <mergeCell ref="R3596:R3692"/>
    <mergeCell ref="Q1669:Q1670"/>
    <mergeCell ref="Q3817:Q3820"/>
    <mergeCell ref="T1326:T1329"/>
    <mergeCell ref="T1456:T1467"/>
    <mergeCell ref="Q2266:Q2269"/>
    <mergeCell ref="T3557:T3560"/>
    <mergeCell ref="R3701:R3760"/>
    <mergeCell ref="T3926:T3929"/>
    <mergeCell ref="Q1708:Q1709"/>
    <mergeCell ref="Q2534:Q2535"/>
    <mergeCell ref="Q3781:Q3786"/>
    <mergeCell ref="R3342:R3384"/>
    <mergeCell ref="R768:R769"/>
    <mergeCell ref="R839:R840"/>
    <mergeCell ref="T3017:T3037"/>
    <mergeCell ref="Q1249:Q1252"/>
    <mergeCell ref="T2580:T2583"/>
    <mergeCell ref="Q2584:Q2587"/>
    <mergeCell ref="T1448:T1451"/>
    <mergeCell ref="R732:R742"/>
    <mergeCell ref="T2669:T2686"/>
    <mergeCell ref="T1587:T1588"/>
    <mergeCell ref="T1416:T1417"/>
    <mergeCell ref="R770:R771"/>
    <mergeCell ref="R1452:R1453"/>
    <mergeCell ref="T770:T771"/>
    <mergeCell ref="T893:T901"/>
    <mergeCell ref="R2140:R2143"/>
    <mergeCell ref="T2016:T2017"/>
    <mergeCell ref="T1823:T1824"/>
    <mergeCell ref="R3817:R3820"/>
    <mergeCell ref="Q192:Q194"/>
    <mergeCell ref="T2140:T2143"/>
    <mergeCell ref="R3565:R3587"/>
    <mergeCell ref="Q2318:Q2319"/>
    <mergeCell ref="T2766:T2775"/>
    <mergeCell ref="T3565:T3587"/>
    <mergeCell ref="Q1687:Q1690"/>
    <mergeCell ref="T1093:T1096"/>
    <mergeCell ref="Q1357:Q1358"/>
    <mergeCell ref="T1589:T1590"/>
    <mergeCell ref="T1712:T1720"/>
    <mergeCell ref="Q2343:Q2346"/>
    <mergeCell ref="T3773:T3776"/>
    <mergeCell ref="T3338:T3339"/>
    <mergeCell ref="Q3862:Q3867"/>
    <mergeCell ref="T2316:T2317"/>
    <mergeCell ref="Q3068:Q3069"/>
    <mergeCell ref="T1355:T1356"/>
    <mergeCell ref="T3808:T3816"/>
    <mergeCell ref="T1393:T1396"/>
    <mergeCell ref="T2550:T2554"/>
    <mergeCell ref="T1330:T1331"/>
    <mergeCell ref="Q1226:Q1229"/>
    <mergeCell ref="T2592:T2608"/>
    <mergeCell ref="R843:R858"/>
    <mergeCell ref="T3054:T3055"/>
    <mergeCell ref="R2528:R2531"/>
    <mergeCell ref="Q1448:Q1451"/>
    <mergeCell ref="Q1476:Q1564"/>
    <mergeCell ref="R3767:R3768"/>
    <mergeCell ref="T2010:T2013"/>
    <mergeCell ref="R3428:R3431"/>
    <mergeCell ref="Q1:U1"/>
    <mergeCell ref="Q3825:Q3828"/>
    <mergeCell ref="T768:T769"/>
    <mergeCell ref="R1569:R1570"/>
    <mergeCell ref="R3070:R3071"/>
    <mergeCell ref="T1302:T1303"/>
    <mergeCell ref="R3956:R3957"/>
    <mergeCell ref="T1569:T1570"/>
    <mergeCell ref="Q810:Q813"/>
    <mergeCell ref="T3956:T3957"/>
    <mergeCell ref="T3070:T3071"/>
    <mergeCell ref="T2850:T2910"/>
    <mergeCell ref="T2753:T2765"/>
    <mergeCell ref="Q3261:Q3262"/>
    <mergeCell ref="Q3432:Q3433"/>
    <mergeCell ref="Q1207:Q1208"/>
    <mergeCell ref="Q1474:Q1475"/>
    <mergeCell ref="Q3854:Q3857"/>
    <mergeCell ref="R3833:R3834"/>
    <mergeCell ref="R2532:R2533"/>
    <mergeCell ref="R1304:R1305"/>
    <mergeCell ref="Q1710:Q1711"/>
    <mergeCell ref="R1422:R1425"/>
    <mergeCell ref="T1304:T1305"/>
    <mergeCell ref="T1571:T1572"/>
    <mergeCell ref="T3791:T3792"/>
    <mergeCell ref="T2782:T2810"/>
    <mergeCell ref="T2532:T2533"/>
    <mergeCell ref="Q3693:Q3696"/>
    <mergeCell ref="Q2623:Q2626"/>
    <mergeCell ref="Q3434:Q3435"/>
    <mergeCell ref="Q3795:Q3799"/>
    <mergeCell ref="Q2631:Q2633"/>
    <mergeCell ref="Q3596:Q3692"/>
    <mergeCell ref="R1139:R1140"/>
    <mergeCell ref="R865:R866"/>
    <mergeCell ref="T1139:T1140"/>
    <mergeCell ref="R142:R148"/>
    <mergeCell ref="R1399:R1400"/>
    <mergeCell ref="R1656:R1664"/>
    <mergeCell ref="T2548:T2549"/>
    <mergeCell ref="T1656:T1664"/>
    <mergeCell ref="R2524:R2527"/>
    <mergeCell ref="R3064:R3067"/>
    <mergeCell ref="R2187:R2188"/>
    <mergeCell ref="Q3956:Q3957"/>
    <mergeCell ref="T1359:T1375"/>
    <mergeCell ref="T1426:T1427"/>
    <mergeCell ref="T2917:T2925"/>
    <mergeCell ref="T2191:T2265"/>
    <mergeCell ref="R3261:R3262"/>
    <mergeCell ref="R1232:R1233"/>
    <mergeCell ref="Q1591:Q1601"/>
    <mergeCell ref="R1474:R1475"/>
    <mergeCell ref="T1232:T1233"/>
    <mergeCell ref="R2189:R2190"/>
    <mergeCell ref="Q889:Q890"/>
    <mergeCell ref="R1710:R1711"/>
    <mergeCell ref="Q1753:Q1756"/>
    <mergeCell ref="R3781:R3786"/>
    <mergeCell ref="Q3342:Q3384"/>
    <mergeCell ref="Q839:Q840"/>
    <mergeCell ref="Q3048:Q3051"/>
    <mergeCell ref="Q2613:Q2614"/>
    <mergeCell ref="Q2617:Q2622"/>
    <mergeCell ref="Q1234:Q1248"/>
    <mergeCell ref="T3837:T3853"/>
    <mergeCell ref="Q891:Q892"/>
    <mergeCell ref="T3255:T3258"/>
    <mergeCell ref="Q732:Q742"/>
    <mergeCell ref="T1795:T1802"/>
    <mergeCell ref="T1101:T1104"/>
    <mergeCell ref="T35:T37"/>
    <mergeCell ref="Q1171:Q1174"/>
    <mergeCell ref="Q770:Q771"/>
    <mergeCell ref="Q841:Q842"/>
    <mergeCell ref="T1725:T1726"/>
    <mergeCell ref="Q2615:Q2616"/>
    <mergeCell ref="Q1139:Q1140"/>
    <mergeCell ref="T3089:T3114"/>
    <mergeCell ref="Q2627:Q2628"/>
    <mergeCell ref="T165:T169"/>
    <mergeCell ref="Q2580:Q2583"/>
    <mergeCell ref="Q1253:Q1254"/>
    <mergeCell ref="R1418:R1421"/>
    <mergeCell ref="Q1819:Q1822"/>
    <mergeCell ref="Q2548:Q2549"/>
    <mergeCell ref="R3777:R3778"/>
    <mergeCell ref="Q1656:Q1664"/>
    <mergeCell ref="T3777:T3778"/>
    <mergeCell ref="R2576:R2577"/>
    <mergeCell ref="Q2524:Q2527"/>
    <mergeCell ref="Q1141:Q1142"/>
    <mergeCell ref="Q2187:Q2188"/>
    <mergeCell ref="Q1426:Q1427"/>
    <mergeCell ref="R1608:R1609"/>
    <mergeCell ref="R229:R232"/>
    <mergeCell ref="R1226:R1229"/>
    <mergeCell ref="T1608:T1609"/>
    <mergeCell ref="T229:T232"/>
    <mergeCell ref="T2274:T2311"/>
    <mergeCell ref="R889:R890"/>
    <mergeCell ref="R1673:R1686"/>
    <mergeCell ref="Q843:Q858"/>
    <mergeCell ref="T142:T148"/>
    <mergeCell ref="R1704:R1707"/>
    <mergeCell ref="T1704:T1707"/>
    <mergeCell ref="R3835:R3836"/>
    <mergeCell ref="R728:R729"/>
    <mergeCell ref="R3800:R3803"/>
    <mergeCell ref="R1448:R1451"/>
    <mergeCell ref="T1648:T1651"/>
    <mergeCell ref="T1025:T1046"/>
    <mergeCell ref="R1476:R1564"/>
    <mergeCell ref="R2320:R2342"/>
    <mergeCell ref="T2320:T2342"/>
    <mergeCell ref="Q1757:Q1758"/>
    <mergeCell ref="T3209:T3254"/>
    <mergeCell ref="R3960:R3968"/>
    <mergeCell ref="Q1418:Q1421"/>
    <mergeCell ref="T1430:T1447"/>
    <mergeCell ref="Q1452:Q1453"/>
    <mergeCell ref="Q3804:Q3805"/>
    <mergeCell ref="T3594:T3595"/>
    <mergeCell ref="Q2576:Q2577"/>
    <mergeCell ref="Q3806:Q3807"/>
    <mergeCell ref="Q3833:Q3834"/>
    <mergeCell ref="Q1571:Q1572"/>
    <mergeCell ref="R2272:R2273"/>
    <mergeCell ref="R2623:R2626"/>
    <mergeCell ref="R3434:R3435"/>
    <mergeCell ref="Q3835:Q3836"/>
    <mergeCell ref="T2623:T2626"/>
    <mergeCell ref="R3056:R3063"/>
    <mergeCell ref="Q1665:Q1668"/>
    <mergeCell ref="T3263:T3333"/>
    <mergeCell ref="T210:T216"/>
    <mergeCell ref="R2631:R2633"/>
    <mergeCell ref="R3837:R3853"/>
    <mergeCell ref="Q1691:Q1692"/>
    <mergeCell ref="Q1399:Q1400"/>
    <mergeCell ref="T1109:T1112"/>
    <mergeCell ref="T1727:T1728"/>
    <mergeCell ref="R1825:R1826"/>
    <mergeCell ref="R3588:R3591"/>
    <mergeCell ref="T1825:T1826"/>
    <mergeCell ref="R3391:R3392"/>
    <mergeCell ref="Q1769:Q1772"/>
    <mergeCell ref="T3519:T3556"/>
    <mergeCell ref="T3391:T3392"/>
    <mergeCell ref="Q3064:Q3067"/>
    <mergeCell ref="Q2629:Q2630"/>
    <mergeCell ref="T1775:T1776"/>
    <mergeCell ref="T2546:T2547"/>
    <mergeCell ref="T1844:T1869"/>
    <mergeCell ref="T1962:T1963"/>
    <mergeCell ref="T2528:T2531"/>
    <mergeCell ref="Q1205:Q1206"/>
    <mergeCell ref="R204:R208"/>
    <mergeCell ref="R1591:R1601"/>
    <mergeCell ref="Q2189:Q2190"/>
    <mergeCell ref="Q3557:Q3560"/>
    <mergeCell ref="R3393:R3427"/>
    <mergeCell ref="T3259:T3260"/>
    <mergeCell ref="R3952:R3955"/>
    <mergeCell ref="T1472:T1473"/>
    <mergeCell ref="Q1393:Q1396"/>
    <mergeCell ref="Q1761:Q1768"/>
    <mergeCell ref="R3340:R3341"/>
    <mergeCell ref="R1382:R1383"/>
    <mergeCell ref="R841:R842"/>
    <mergeCell ref="R1298:R1301"/>
    <mergeCell ref="R792:R793"/>
    <mergeCell ref="T792:T793"/>
    <mergeCell ref="R3934:R3951"/>
    <mergeCell ref="R1332:R1333"/>
    <mergeCell ref="R1397:R1398"/>
    <mergeCell ref="R1583:R1586"/>
    <mergeCell ref="R2590:R2591"/>
    <mergeCell ref="R1253:R1254"/>
    <mergeCell ref="R1819:R1822"/>
    <mergeCell ref="T1253:T1254"/>
    <mergeCell ref="Q3588:Q3591"/>
    <mergeCell ref="T2456:T2515"/>
    <mergeCell ref="Q1759:Q1760"/>
    <mergeCell ref="T1351:T1354"/>
    <mergeCell ref="R1141:R1142"/>
    <mergeCell ref="T1422:T1425"/>
    <mergeCell ref="R1777:R1786"/>
    <mergeCell ref="R2016:R2017"/>
    <mergeCell ref="R1632:R1633"/>
    <mergeCell ref="R2629:R2630"/>
    <mergeCell ref="R1956:R1959"/>
    <mergeCell ref="R1426:R1427"/>
    <mergeCell ref="R1255:R1256"/>
    <mergeCell ref="T1956:T1959"/>
    <mergeCell ref="T1777:T1786"/>
    <mergeCell ref="Q1209:Q1225"/>
    <mergeCell ref="R1610:R1625"/>
    <mergeCell ref="Q1823:Q1824"/>
    <mergeCell ref="T1610:T1625"/>
    <mergeCell ref="R1205:R1206"/>
    <mergeCell ref="T2351:T2447"/>
    <mergeCell ref="Q204:Q208"/>
    <mergeCell ref="Q2609:Q2612"/>
    <mergeCell ref="Q1673:Q1686"/>
    <mergeCell ref="Q1704:Q1707"/>
    <mergeCell ref="T3511:T3514"/>
    <mergeCell ref="Q728:Q729"/>
    <mergeCell ref="Q3930:Q3931"/>
    <mergeCell ref="Q1382:Q1383"/>
    <mergeCell ref="Q792:Q793"/>
    <mergeCell ref="R786:R789"/>
    <mergeCell ref="Q3960:Q3968"/>
    <mergeCell ref="R1708:R1709"/>
    <mergeCell ref="R835:R838"/>
    <mergeCell ref="T1708:T1709"/>
  </mergeCells>
  <dataValidations count="5">
    <dataValidation sqref="N4:O4042" showDropDown="0" showInputMessage="0" showErrorMessage="1" allowBlank="1" type="list">
      <formula1>"Done,Doing,Pending"</formula1>
    </dataValidation>
    <dataValidation sqref="Y3:Y257 Y260:Y515 Y518:Y773 Y776:Y1037 Y1040:Y1307 Y1310:Y1583 Y1586:Y1870 Y1873:Y2135 Y2138:Y2563 Y2566:Y2850 Y2853:Y3114 Y3117:Y3378 Y3381:Y3806" showDropDown="0" showInputMessage="0" showErrorMessage="1" allowBlank="1" type="list">
      <formula1>"Done,Chưa có SQL,Vướng vì lí do khác"</formula1>
    </dataValidation>
    <dataValidation sqref="G4:G4042" showDropDown="0" showInputMessage="0" showErrorMessage="1" allowBlank="1" type="list">
      <formula1>"Chiều,Chỉ tiêu cơ sở,Chỉ tiêu phái sinh"</formula1>
    </dataValidation>
    <dataValidation sqref="F4:F4042" showDropDown="0" showInputMessage="0" showErrorMessage="1" allowBlank="1" type="list">
      <formula1>"Dashboard,Báo cáo,Data Explorer"</formula1>
    </dataValidation>
    <dataValidation sqref="H4:H4042" showDropDown="0" showInputMessage="0" showErrorMessage="1" allowBlank="1" type="list">
      <formula1>"Dễ,TB,Khó,Trùng"</formula1>
    </dataValidation>
  </dataValidations>
  <hyperlinks>
    <hyperlink xmlns:r="http://schemas.openxmlformats.org/officeDocument/2006/relationships" ref="T2766" r:id="rId1"/>
  </hyperlinks>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filterMode="1">
    <outlinePr summaryBelow="0" summaryRight="0"/>
    <pageSetUpPr/>
  </sheetPr>
  <dimension ref="A1:AF1895"/>
  <sheetViews>
    <sheetView workbookViewId="0">
      <pane ySplit="2" topLeftCell="A3" activePane="bottomLeft" state="frozen"/>
      <selection pane="bottomLeft" activeCell="B4" sqref="B4"/>
    </sheetView>
  </sheetViews>
  <sheetFormatPr baseColWidth="10" defaultColWidth="12.6640625" defaultRowHeight="15.75" customHeight="1"/>
  <cols>
    <col width="8" customWidth="1" style="380" min="1" max="1"/>
    <col width="14.6640625" customWidth="1" style="380" min="2" max="2"/>
    <col width="18.5" customWidth="1" style="380" min="3" max="3"/>
    <col width="34.6640625" customWidth="1" style="380" min="4" max="4"/>
    <col width="14.5" customWidth="1" style="380" min="5" max="5"/>
    <col width="12.33203125" customWidth="1" style="380" min="6" max="6"/>
    <col width="19" customWidth="1" style="380" min="7" max="7"/>
    <col width="13" customWidth="1" style="380" min="8" max="8"/>
    <col width="16.83203125" customWidth="1" style="380" min="9" max="11"/>
    <col width="23.1640625" customWidth="1" style="380" min="12" max="12"/>
  </cols>
  <sheetData>
    <row r="1" ht="28" customHeight="1" s="380">
      <c r="A1" s="180" t="inlineStr">
        <is>
          <t>STT</t>
        </is>
      </c>
      <c r="B1" s="181" t="inlineStr">
        <is>
          <t>Dashboard/báo cáo</t>
        </is>
      </c>
      <c r="C1" s="182" t="inlineStr">
        <is>
          <t>Tên báo cáo</t>
        </is>
      </c>
      <c r="D1" s="181" t="inlineStr">
        <is>
          <t>Thông tin</t>
        </is>
      </c>
      <c r="E1" s="51" t="inlineStr">
        <is>
          <t>Mô tả</t>
        </is>
      </c>
      <c r="F1" s="50" t="inlineStr">
        <is>
          <t>Nhóm yêu cầu</t>
        </is>
      </c>
      <c r="G1" s="180" t="inlineStr">
        <is>
          <t>Phân loại</t>
        </is>
      </c>
      <c r="H1" s="180" t="inlineStr">
        <is>
          <t>Đánh giá</t>
        </is>
      </c>
      <c r="I1" s="182" t="inlineStr">
        <is>
          <t>Loại sản phầm</t>
        </is>
      </c>
      <c r="J1" s="4" t="n"/>
      <c r="K1" s="4" t="inlineStr">
        <is>
          <t>Cách tính</t>
        </is>
      </c>
      <c r="L1" s="4" t="inlineStr">
        <is>
          <t>Nguồn dữ liệu</t>
        </is>
      </c>
      <c r="M1" s="4" t="inlineStr">
        <is>
          <t>Chú ý</t>
        </is>
      </c>
    </row>
    <row r="2" ht="14" customHeight="1" s="380">
      <c r="A2" s="52" t="n"/>
      <c r="B2" s="52" t="n"/>
      <c r="C2" s="52" t="n"/>
      <c r="D2" s="53" t="inlineStr">
        <is>
          <t>Tên chiều/chỉ tiêu/thuộc tính</t>
        </is>
      </c>
      <c r="E2" s="52" t="n"/>
      <c r="F2" s="52" t="n"/>
      <c r="G2" s="52" t="inlineStr">
        <is>
          <t>Chiều/Chỉ tiêu cơ sở/Chỉ tiêu phái sinh</t>
        </is>
      </c>
      <c r="H2" s="52" t="inlineStr">
        <is>
          <t>Dễ: lấy 1: 1 từ nguồn
TB: có tính toán tổng hợp
Khó: Có logic phức tạp và lấy nhiều mốc thời gian
Trùng: Trong phạm vi ban của mình làm đã có tính thông tin này rồi</t>
        </is>
      </c>
    </row>
    <row r="3" ht="17" customHeight="1" s="380">
      <c r="A3" s="183" t="n"/>
      <c r="B3" s="184" t="n"/>
      <c r="C3" s="418" t="n"/>
      <c r="D3" s="186" t="inlineStr">
        <is>
          <t>Chỉ sổ</t>
        </is>
      </c>
      <c r="E3" s="184" t="n"/>
      <c r="F3" s="184" t="n"/>
      <c r="G3" s="184" t="inlineStr">
        <is>
          <t>Chiều</t>
        </is>
      </c>
      <c r="H3" s="184" t="n"/>
      <c r="I3" s="184" t="n"/>
      <c r="J3" s="184" t="n"/>
      <c r="K3" s="184" t="n"/>
      <c r="L3" s="184" t="n"/>
    </row>
    <row r="4" ht="17" customHeight="1" s="380">
      <c r="A4" s="183" t="n"/>
      <c r="B4" s="184" t="n"/>
      <c r="C4" s="418" t="n"/>
      <c r="D4" s="186" t="inlineStr">
        <is>
          <t>Giá trị chỉ sổ</t>
        </is>
      </c>
      <c r="E4" s="184" t="n"/>
      <c r="F4" s="184" t="n"/>
      <c r="G4" s="184" t="inlineStr">
        <is>
          <t>Chỉ tiêu cơ sở</t>
        </is>
      </c>
      <c r="H4" s="184" t="n"/>
      <c r="I4" s="184" t="n"/>
      <c r="J4" s="184" t="n"/>
      <c r="K4" s="184" t="n"/>
      <c r="L4" s="184" t="n"/>
    </row>
    <row r="5" ht="16" customHeight="1" s="380">
      <c r="A5" s="183" t="n"/>
      <c r="B5" s="184" t="n"/>
      <c r="C5" s="418" t="n"/>
      <c r="D5" s="186" t="n"/>
      <c r="E5" s="184" t="n"/>
      <c r="F5" s="184" t="n"/>
      <c r="G5" s="184" t="n"/>
      <c r="H5" s="184" t="n"/>
      <c r="I5" s="184" t="n"/>
      <c r="J5" s="184" t="n"/>
      <c r="K5" s="184" t="n"/>
      <c r="L5" s="184" t="n"/>
    </row>
    <row r="6" hidden="1" ht="17" customHeight="1" s="380">
      <c r="A6" s="183" t="n">
        <v>1</v>
      </c>
      <c r="B6" s="184" t="inlineStr">
        <is>
          <t>HNX01</t>
        </is>
      </c>
      <c r="C6" s="418" t="inlineStr">
        <is>
          <t xml:space="preserve">     BÁO CÁO VỀ GIAO DỊCH TRÊN THỊ TRƯỜNG CỔ PHIẾU</t>
        </is>
      </c>
      <c r="D6" s="187" t="inlineStr">
        <is>
          <t>Chỉ số HNX - INDEX (cuối ngày)</t>
        </is>
      </c>
      <c r="E6" s="184" t="n"/>
      <c r="F6" s="184" t="inlineStr">
        <is>
          <t>Báo cáo</t>
        </is>
      </c>
      <c r="G6" s="184" t="n"/>
      <c r="H6" s="184" t="inlineStr">
        <is>
          <t>Trùng</t>
        </is>
      </c>
      <c r="I6" s="184" t="n"/>
      <c r="J6" s="184" t="n"/>
      <c r="K6" s="184" t="inlineStr">
        <is>
          <t>Chỉ số chốt phiên cuối ngày</t>
        </is>
      </c>
      <c r="L6" s="184" t="inlineStr">
        <is>
          <t>Dữ liệu giao dịch từ SGDCK</t>
        </is>
      </c>
    </row>
    <row r="7" hidden="1" ht="17" customHeight="1" s="380">
      <c r="B7" s="4" t="inlineStr">
        <is>
          <t>HNX01</t>
        </is>
      </c>
      <c r="D7" s="188" t="inlineStr">
        <is>
          <t>Chỉ số HNX30</t>
        </is>
      </c>
      <c r="E7" s="4" t="n"/>
      <c r="F7" s="184" t="inlineStr">
        <is>
          <t>Báo cáo</t>
        </is>
      </c>
      <c r="H7" s="184" t="inlineStr">
        <is>
          <t>Trùng</t>
        </is>
      </c>
      <c r="I7" s="4" t="n"/>
      <c r="J7" s="4" t="n"/>
      <c r="K7" s="4" t="inlineStr">
        <is>
          <t>Chỉ số chốt phiên cuối ngày</t>
        </is>
      </c>
      <c r="L7" s="4" t="inlineStr">
        <is>
          <t>Dữ liệu giao dịch từ SGDCK</t>
        </is>
      </c>
    </row>
    <row r="8" hidden="1" ht="17" customHeight="1" s="380">
      <c r="B8" s="4" t="inlineStr">
        <is>
          <t>HNX01</t>
        </is>
      </c>
      <c r="D8" s="188" t="inlineStr">
        <is>
          <t>Chỉ số UPCoM Index</t>
        </is>
      </c>
      <c r="E8" s="4" t="n"/>
      <c r="F8" s="184" t="inlineStr">
        <is>
          <t>Báo cáo</t>
        </is>
      </c>
      <c r="H8" s="184" t="inlineStr">
        <is>
          <t>Trùng</t>
        </is>
      </c>
      <c r="I8" s="4" t="n"/>
      <c r="J8" s="4" t="n"/>
      <c r="K8" s="4" t="inlineStr">
        <is>
          <t>Chỉ số chốt phiên cuối ngày</t>
        </is>
      </c>
      <c r="L8" s="4" t="inlineStr">
        <is>
          <t>Dữ liệu giao dịch từ SGDCK</t>
        </is>
      </c>
    </row>
    <row r="9" ht="17" customHeight="1" s="380">
      <c r="B9" s="4" t="n"/>
      <c r="D9" s="188" t="inlineStr">
        <is>
          <t>Loại sản phẩm</t>
        </is>
      </c>
      <c r="E9" s="4" t="n"/>
      <c r="F9" s="184" t="n"/>
      <c r="G9" s="4" t="n"/>
      <c r="H9" s="4" t="n"/>
      <c r="I9" s="4" t="n"/>
      <c r="J9" s="4" t="n"/>
      <c r="K9" s="4" t="n"/>
    </row>
    <row r="10" ht="17" customHeight="1" s="380">
      <c r="B10" s="4" t="n"/>
      <c r="D10" s="188" t="inlineStr">
        <is>
          <t>Giá trị</t>
        </is>
      </c>
      <c r="E10" s="4" t="n"/>
      <c r="F10" s="184" t="n"/>
      <c r="G10" s="4" t="n"/>
      <c r="H10" s="4" t="n"/>
      <c r="I10" s="4" t="n"/>
      <c r="J10" s="4" t="n"/>
      <c r="K10" s="4" t="n"/>
    </row>
    <row r="11" ht="17" customHeight="1" s="380">
      <c r="B11" s="4" t="n"/>
      <c r="D11" s="188" t="inlineStr">
        <is>
          <t>Khối lượng giao dịch</t>
        </is>
      </c>
      <c r="E11" s="4" t="n"/>
      <c r="F11" s="184" t="n"/>
      <c r="G11" s="4" t="n"/>
      <c r="H11" s="4" t="n"/>
      <c r="I11" s="4" t="n"/>
      <c r="J11" s="4" t="n"/>
      <c r="K11" s="4" t="n"/>
    </row>
    <row r="12" hidden="1" ht="34" customHeight="1" s="380">
      <c r="B12" s="4" t="inlineStr">
        <is>
          <t>HNX01</t>
        </is>
      </c>
      <c r="D12" s="188" t="inlineStr">
        <is>
          <t>Giá trị chứng khoán giao dịch toàn thị trường</t>
        </is>
      </c>
      <c r="E12" s="4" t="n"/>
      <c r="F12" s="184" t="inlineStr">
        <is>
          <t>Báo cáo</t>
        </is>
      </c>
      <c r="G12" s="4" t="inlineStr">
        <is>
          <t>Chỉ tiêu phái sinh</t>
        </is>
      </c>
      <c r="H12" s="4" t="inlineStr">
        <is>
          <t>TB</t>
        </is>
      </c>
      <c r="I12" s="4" t="n"/>
      <c r="J12" s="4" t="n"/>
      <c r="K12" s="4" t="inlineStr">
        <is>
          <t>Tổng GTGD toàn thị trường đối với CP niêm yết, CP upcom, trái phiếu DN, chứng chỉ quỹ, chứng chỉ quỹ ETF</t>
        </is>
      </c>
    </row>
    <row r="13" hidden="1" ht="34" customHeight="1" s="380">
      <c r="B13" s="4" t="inlineStr">
        <is>
          <t>HNX01</t>
        </is>
      </c>
      <c r="D13" s="189" t="inlineStr">
        <is>
          <t>Giá trị Cổ phiếu Niêm Yết giao dịch toàn thị trường</t>
        </is>
      </c>
      <c r="E13" s="4" t="n"/>
      <c r="F13" s="184" t="inlineStr">
        <is>
          <t>Báo cáo</t>
        </is>
      </c>
      <c r="G13" s="4" t="inlineStr">
        <is>
          <t>Chỉ tiêu phái sinh</t>
        </is>
      </c>
      <c r="H13" s="4" t="inlineStr">
        <is>
          <t>TB</t>
        </is>
      </c>
      <c r="I13" s="4" t="n"/>
      <c r="J13" s="4" t="n"/>
      <c r="K13" s="4" t="inlineStr">
        <is>
          <t>Σ (Giá giao dịch × KL giao dịch) của cổ phiếu niên yết</t>
        </is>
      </c>
    </row>
    <row r="14" hidden="1" ht="17" customHeight="1" s="380">
      <c r="B14" s="4" t="inlineStr">
        <is>
          <t>HNX01</t>
        </is>
      </c>
      <c r="D14" s="189" t="inlineStr">
        <is>
          <t>Giá giao dịch CP Niêm yết</t>
        </is>
      </c>
      <c r="E14" s="4" t="n"/>
      <c r="F14" s="184" t="inlineStr">
        <is>
          <t>Báo cáo</t>
        </is>
      </c>
      <c r="G14" s="4" t="inlineStr">
        <is>
          <t>Chỉ tiêu cơ sở</t>
        </is>
      </c>
      <c r="H14" s="4" t="inlineStr">
        <is>
          <t>Dễ</t>
        </is>
      </c>
      <c r="I14" s="4" t="n"/>
      <c r="J14" s="4" t="n"/>
      <c r="K14" s="4" t="inlineStr">
        <is>
          <t>Giá GD</t>
        </is>
      </c>
    </row>
    <row r="15" hidden="1" ht="17" customHeight="1" s="380">
      <c r="B15" s="4" t="inlineStr">
        <is>
          <t>HNX01</t>
        </is>
      </c>
      <c r="D15" s="189" t="inlineStr">
        <is>
          <t>Khối lượng giao dịch CP Niêm yết</t>
        </is>
      </c>
      <c r="E15" s="4" t="n"/>
      <c r="F15" s="184" t="inlineStr">
        <is>
          <t>Báo cáo</t>
        </is>
      </c>
      <c r="G15" s="4" t="inlineStr">
        <is>
          <t>Chỉ tiêu phái sinh</t>
        </is>
      </c>
      <c r="H15" s="4" t="inlineStr">
        <is>
          <t>TB</t>
        </is>
      </c>
      <c r="I15" s="4" t="n"/>
      <c r="J15" s="4" t="n"/>
      <c r="K15" s="4" t="inlineStr">
        <is>
          <t>Σ KLGD</t>
        </is>
      </c>
    </row>
    <row r="16" hidden="1" ht="34" customHeight="1" s="380">
      <c r="B16" s="4" t="inlineStr">
        <is>
          <t>HNX01</t>
        </is>
      </c>
      <c r="D16" s="189" t="inlineStr">
        <is>
          <t>Giá trị Cổ phiếu UpCom giao dịch toàn thị trường</t>
        </is>
      </c>
      <c r="E16" s="4" t="n"/>
      <c r="F16" s="184" t="inlineStr">
        <is>
          <t>Báo cáo</t>
        </is>
      </c>
      <c r="G16" s="4" t="inlineStr">
        <is>
          <t>Chỉ tiêu phái sinh</t>
        </is>
      </c>
      <c r="H16" s="4" t="inlineStr">
        <is>
          <t>TB</t>
        </is>
      </c>
      <c r="I16" s="4" t="n"/>
      <c r="J16" s="4" t="n"/>
      <c r="K16" s="4" t="inlineStr">
        <is>
          <t>Σ (Giá giao dịch × KL giao dịch) của cổ phiếu Upcom</t>
        </is>
      </c>
    </row>
    <row r="17" ht="17" customHeight="1" s="380">
      <c r="B17" s="4" t="n"/>
      <c r="D17" s="190" t="inlineStr">
        <is>
          <t>Giá GD</t>
        </is>
      </c>
      <c r="E17" s="4" t="n"/>
      <c r="F17" s="184" t="inlineStr">
        <is>
          <t>Báo cáo</t>
        </is>
      </c>
      <c r="G17" s="4" t="inlineStr">
        <is>
          <t>Chỉ tiêu cơ sở</t>
        </is>
      </c>
      <c r="H17" s="4" t="inlineStr">
        <is>
          <t>Dễ</t>
        </is>
      </c>
      <c r="I17" s="4" t="n"/>
      <c r="J17" s="4" t="n"/>
      <c r="K17" s="4" t="n"/>
    </row>
    <row r="18" hidden="1" ht="17" customHeight="1" s="380">
      <c r="B18" s="4" t="inlineStr">
        <is>
          <t>HNX01</t>
        </is>
      </c>
      <c r="D18" s="189" t="inlineStr">
        <is>
          <t>Giá giao dịch CP UpCom</t>
        </is>
      </c>
      <c r="E18" s="4" t="n"/>
      <c r="F18" s="184" t="inlineStr">
        <is>
          <t>Báo cáo</t>
        </is>
      </c>
      <c r="G18" s="4" t="inlineStr">
        <is>
          <t>Chỉ tiêu cơ sở</t>
        </is>
      </c>
      <c r="H18" s="4" t="inlineStr">
        <is>
          <t>Dễ</t>
        </is>
      </c>
      <c r="I18" s="4" t="n"/>
      <c r="J18" s="4" t="n"/>
      <c r="K18" s="4" t="inlineStr">
        <is>
          <t>Giá</t>
        </is>
      </c>
    </row>
    <row r="19" hidden="1" ht="17" customHeight="1" s="380">
      <c r="B19" s="4" t="inlineStr">
        <is>
          <t>HNX01</t>
        </is>
      </c>
      <c r="D19" s="189" t="inlineStr">
        <is>
          <t>Khối lượng giao dịch CP UpCom</t>
        </is>
      </c>
      <c r="E19" s="4" t="n"/>
      <c r="F19" s="184" t="inlineStr">
        <is>
          <t>Báo cáo</t>
        </is>
      </c>
      <c r="G19" s="4" t="inlineStr">
        <is>
          <t>Chỉ tiêu phái sinh</t>
        </is>
      </c>
      <c r="H19" s="4" t="inlineStr">
        <is>
          <t>TB</t>
        </is>
      </c>
      <c r="I19" s="4" t="n"/>
      <c r="J19" s="4" t="n"/>
      <c r="K19" s="4" t="inlineStr">
        <is>
          <t>Σ KLGD</t>
        </is>
      </c>
    </row>
    <row r="20" ht="17" customHeight="1" s="380">
      <c r="B20" s="4" t="n"/>
      <c r="D20" s="190" t="inlineStr">
        <is>
          <t>KLGD</t>
        </is>
      </c>
      <c r="E20" s="4" t="n"/>
      <c r="F20" s="184" t="inlineStr">
        <is>
          <t>Báo cáo</t>
        </is>
      </c>
      <c r="G20" s="4" t="inlineStr">
        <is>
          <t>Chỉ tiêu cơ sở</t>
        </is>
      </c>
      <c r="H20" s="4" t="inlineStr">
        <is>
          <t>Dễ</t>
        </is>
      </c>
      <c r="I20" s="4" t="n"/>
      <c r="J20" s="4" t="n"/>
      <c r="K20" s="4" t="n"/>
    </row>
    <row r="21" hidden="1" ht="17" customHeight="1" s="380">
      <c r="B21" s="4" t="inlineStr">
        <is>
          <t>HNX01</t>
        </is>
      </c>
      <c r="D21" s="191" t="inlineStr">
        <is>
          <t>Trái phiếu doanh nghiệp</t>
        </is>
      </c>
      <c r="E21" s="4" t="n"/>
      <c r="F21" s="184" t="inlineStr">
        <is>
          <t>Báo cáo</t>
        </is>
      </c>
      <c r="G21" s="4" t="inlineStr">
        <is>
          <t>Chỉ tiêu phái sinh</t>
        </is>
      </c>
      <c r="H21" s="4" t="inlineStr">
        <is>
          <t>TB</t>
        </is>
      </c>
      <c r="I21" s="4" t="inlineStr">
        <is>
          <t>TPDN</t>
        </is>
      </c>
      <c r="J21" s="4" t="n"/>
      <c r="K21" s="4" t="inlineStr">
        <is>
          <t>Σ (Giá giao dịch × KL giao dịch) của TPDN</t>
        </is>
      </c>
    </row>
    <row r="22" hidden="1" ht="17" customHeight="1" s="380">
      <c r="B22" s="4" t="inlineStr">
        <is>
          <t>HNX01</t>
        </is>
      </c>
      <c r="D22" s="189" t="inlineStr">
        <is>
          <t>Giá giao dịch Trái phiếu DN</t>
        </is>
      </c>
      <c r="E22" s="4" t="n"/>
      <c r="F22" s="184" t="inlineStr">
        <is>
          <t>Báo cáo</t>
        </is>
      </c>
      <c r="G22" s="4" t="inlineStr">
        <is>
          <t>Chỉ tiêu cơ sở</t>
        </is>
      </c>
      <c r="H22" s="4" t="inlineStr">
        <is>
          <t>Dễ</t>
        </is>
      </c>
      <c r="I22" s="4" t="inlineStr">
        <is>
          <t>TPDN</t>
        </is>
      </c>
      <c r="J22" s="4" t="n"/>
      <c r="K22" s="4" t="inlineStr">
        <is>
          <t>Giá giao dịch hiện tại hoặc giá đóng cửa</t>
        </is>
      </c>
      <c r="L22" s="4" t="inlineStr">
        <is>
          <t>Dữ liệu sổ lệnh giao dịch từ SGDCK</t>
        </is>
      </c>
    </row>
    <row r="23" hidden="1" ht="17" customHeight="1" s="380">
      <c r="B23" s="4" t="inlineStr">
        <is>
          <t>HNX01</t>
        </is>
      </c>
      <c r="D23" s="189" t="inlineStr">
        <is>
          <t>Khối lượng giao dịch Trái phiếu DN</t>
        </is>
      </c>
      <c r="E23" s="4" t="n"/>
      <c r="F23" s="184" t="inlineStr">
        <is>
          <t>Báo cáo</t>
        </is>
      </c>
      <c r="G23" s="4" t="inlineStr">
        <is>
          <t>Chỉ tiêu phái sinh</t>
        </is>
      </c>
      <c r="H23" s="4" t="inlineStr">
        <is>
          <t>TB</t>
        </is>
      </c>
      <c r="I23" s="4" t="inlineStr">
        <is>
          <t>TPDN</t>
        </is>
      </c>
      <c r="J23" s="4" t="n"/>
      <c r="K23" s="4" t="inlineStr">
        <is>
          <t>Σ KLGD</t>
        </is>
      </c>
      <c r="L23" s="4" t="inlineStr">
        <is>
          <t>Dữ liệu sổ lệnh giao dịch từ SGDCK</t>
        </is>
      </c>
    </row>
    <row r="24" hidden="1" ht="34" customHeight="1" s="380">
      <c r="B24" s="4" t="inlineStr">
        <is>
          <t>HNX01</t>
        </is>
      </c>
      <c r="D24" s="189" t="inlineStr">
        <is>
          <t>Giá trị giao dịch Chứng chỉ quỹ toàn thị trường</t>
        </is>
      </c>
      <c r="E24" s="4" t="n"/>
      <c r="F24" s="184" t="inlineStr">
        <is>
          <t>Báo cáo</t>
        </is>
      </c>
      <c r="G24" s="4" t="inlineStr">
        <is>
          <t>Chỉ tiêu phái sinh</t>
        </is>
      </c>
      <c r="H24" s="4" t="inlineStr">
        <is>
          <t>TB</t>
        </is>
      </c>
      <c r="I24" s="4" t="inlineStr">
        <is>
          <t>CCQ</t>
        </is>
      </c>
      <c r="J24" s="4" t="n"/>
      <c r="K24" s="4" t="inlineStr">
        <is>
          <t>Σ (Giá giao dịch × KL giao dịch) của CCQ</t>
        </is>
      </c>
    </row>
    <row r="25" hidden="1" ht="17" customHeight="1" s="380">
      <c r="B25" s="4" t="inlineStr">
        <is>
          <t>HNX01</t>
        </is>
      </c>
      <c r="D25" s="189" t="inlineStr">
        <is>
          <t>Giá giao dịch Chứng chỉ quỹ</t>
        </is>
      </c>
      <c r="E25" s="4" t="n"/>
      <c r="F25" s="184" t="inlineStr">
        <is>
          <t>Báo cáo</t>
        </is>
      </c>
      <c r="G25" s="4" t="inlineStr">
        <is>
          <t>Chỉ tiêu cơ sở</t>
        </is>
      </c>
      <c r="H25" s="4" t="inlineStr">
        <is>
          <t>Dễ</t>
        </is>
      </c>
      <c r="I25" s="4" t="inlineStr">
        <is>
          <t>CCQ</t>
        </is>
      </c>
      <c r="J25" s="4" t="n"/>
      <c r="K25" s="4" t="inlineStr">
        <is>
          <t>Giá</t>
        </is>
      </c>
    </row>
    <row r="26" hidden="1" ht="17" customHeight="1" s="380">
      <c r="B26" s="4" t="inlineStr">
        <is>
          <t>HNX01</t>
        </is>
      </c>
      <c r="D26" s="189" t="inlineStr">
        <is>
          <t>Khối lượng giao dịch Chứng chỉ quỹ</t>
        </is>
      </c>
      <c r="E26" s="4" t="n"/>
      <c r="F26" s="184" t="inlineStr">
        <is>
          <t>Báo cáo</t>
        </is>
      </c>
      <c r="G26" s="4" t="inlineStr">
        <is>
          <t>Chỉ tiêu phái sinh</t>
        </is>
      </c>
      <c r="H26" s="4" t="inlineStr">
        <is>
          <t>TB</t>
        </is>
      </c>
      <c r="I26" s="4" t="inlineStr">
        <is>
          <t>CCQ</t>
        </is>
      </c>
      <c r="J26" s="4" t="n"/>
      <c r="K26" s="4" t="inlineStr">
        <is>
          <t>Σ KLGD</t>
        </is>
      </c>
    </row>
    <row r="27" hidden="1" ht="34" customHeight="1" s="380">
      <c r="B27" s="4" t="inlineStr">
        <is>
          <t>HNX01</t>
        </is>
      </c>
      <c r="D27" s="189" t="inlineStr">
        <is>
          <t>Giá trị giao dịch Chứng chỉ quỹ (ETF) toàn thị trường</t>
        </is>
      </c>
      <c r="E27" s="4" t="n"/>
      <c r="F27" s="184" t="inlineStr">
        <is>
          <t>Báo cáo</t>
        </is>
      </c>
      <c r="G27" s="4" t="inlineStr">
        <is>
          <t>Chỉ tiêu phái sinh</t>
        </is>
      </c>
      <c r="H27" s="4" t="inlineStr">
        <is>
          <t>TB</t>
        </is>
      </c>
      <c r="I27" s="4" t="inlineStr">
        <is>
          <t>ETF</t>
        </is>
      </c>
      <c r="J27" s="4" t="n"/>
      <c r="K27" s="4" t="inlineStr">
        <is>
          <t>Σ (Giá giao dịch × KL giao dịch) của CCQ ETF</t>
        </is>
      </c>
    </row>
    <row r="28" hidden="1" ht="17" customHeight="1" s="380">
      <c r="B28" s="4" t="inlineStr">
        <is>
          <t>HNX01</t>
        </is>
      </c>
      <c r="D28" s="189" t="inlineStr">
        <is>
          <t>Giá giao dịch Chứng chỉ quỹ (ETF)</t>
        </is>
      </c>
      <c r="E28" s="4" t="n"/>
      <c r="F28" s="184" t="inlineStr">
        <is>
          <t>Báo cáo</t>
        </is>
      </c>
      <c r="G28" s="4" t="inlineStr">
        <is>
          <t>Chỉ tiêu cơ sở</t>
        </is>
      </c>
      <c r="H28" s="4" t="inlineStr">
        <is>
          <t>Dễ</t>
        </is>
      </c>
      <c r="I28" s="4" t="inlineStr">
        <is>
          <t>ETF</t>
        </is>
      </c>
      <c r="J28" s="4" t="n"/>
      <c r="K28" s="4" t="inlineStr">
        <is>
          <t>Giá</t>
        </is>
      </c>
    </row>
    <row r="29" hidden="1" ht="34" customHeight="1" s="380">
      <c r="B29" s="4" t="inlineStr">
        <is>
          <t>HNX01</t>
        </is>
      </c>
      <c r="D29" s="189" t="inlineStr">
        <is>
          <t>Khối lượng giao dịch Chứng chỉ quỹ (ETF)</t>
        </is>
      </c>
      <c r="E29" s="4" t="n"/>
      <c r="F29" s="184" t="inlineStr">
        <is>
          <t>Báo cáo</t>
        </is>
      </c>
      <c r="G29" s="4" t="inlineStr">
        <is>
          <t>Chỉ tiêu phái sinh</t>
        </is>
      </c>
      <c r="H29" s="4" t="inlineStr">
        <is>
          <t>TB</t>
        </is>
      </c>
      <c r="I29" s="4" t="inlineStr">
        <is>
          <t>ETF</t>
        </is>
      </c>
      <c r="J29" s="4" t="n"/>
      <c r="K29" s="4" t="inlineStr">
        <is>
          <t>Σ KLGD</t>
        </is>
      </c>
    </row>
    <row r="30" hidden="1" ht="34" customHeight="1" s="380">
      <c r="B30" s="4" t="inlineStr">
        <is>
          <t>HNX01</t>
        </is>
      </c>
      <c r="D30" s="188" t="inlineStr">
        <is>
          <t>Khối lượng chứng khoán giao dịch toàn thị trường</t>
        </is>
      </c>
      <c r="E30" s="4" t="n"/>
      <c r="F30" s="184" t="inlineStr">
        <is>
          <t>Báo cáo</t>
        </is>
      </c>
      <c r="G30" s="4" t="inlineStr">
        <is>
          <t>Chỉ tiêu phái sinh</t>
        </is>
      </c>
      <c r="H30" s="4" t="inlineStr">
        <is>
          <t>TB</t>
        </is>
      </c>
      <c r="I30" s="192" t="n"/>
      <c r="J30" s="192" t="n"/>
      <c r="K30" s="192" t="inlineStr">
        <is>
          <t>Tổng KL giao dịch</t>
        </is>
      </c>
    </row>
    <row r="31" hidden="1" ht="17" customHeight="1" s="380">
      <c r="B31" s="4" t="inlineStr">
        <is>
          <t>HNX01</t>
        </is>
      </c>
      <c r="D31" s="189" t="inlineStr">
        <is>
          <t>KL giao dịch Cổ phiếu Niêm Yết</t>
        </is>
      </c>
      <c r="E31" s="4" t="n"/>
      <c r="F31" s="184" t="inlineStr">
        <is>
          <t>Báo cáo</t>
        </is>
      </c>
      <c r="G31" s="4" t="inlineStr">
        <is>
          <t>Chỉ tiêu phái sinh</t>
        </is>
      </c>
      <c r="H31" s="4" t="inlineStr">
        <is>
          <t>TB</t>
        </is>
      </c>
      <c r="I31" s="192" t="inlineStr">
        <is>
          <t>CPNY</t>
        </is>
      </c>
      <c r="J31" s="4" t="n"/>
      <c r="K31" s="4" t="inlineStr">
        <is>
          <t xml:space="preserve">Σ KLGD </t>
        </is>
      </c>
    </row>
    <row r="32" hidden="1" ht="17" customHeight="1" s="380">
      <c r="B32" s="4" t="inlineStr">
        <is>
          <t>HNX01</t>
        </is>
      </c>
      <c r="D32" s="189" t="inlineStr">
        <is>
          <t>KL giao dịch Cổ phiếu UpCom</t>
        </is>
      </c>
      <c r="E32" s="4" t="n"/>
      <c r="F32" s="184" t="inlineStr">
        <is>
          <t>Báo cáo</t>
        </is>
      </c>
      <c r="G32" s="4" t="inlineStr">
        <is>
          <t>Chỉ tiêu phái sinh</t>
        </is>
      </c>
      <c r="H32" s="4" t="inlineStr">
        <is>
          <t>TB</t>
        </is>
      </c>
      <c r="I32" s="4" t="inlineStr">
        <is>
          <t>UpCom</t>
        </is>
      </c>
      <c r="J32" s="4" t="n"/>
      <c r="K32" s="4" t="inlineStr">
        <is>
          <t>Σ KLGD</t>
        </is>
      </c>
    </row>
    <row r="33" hidden="1" ht="17" customHeight="1" s="380">
      <c r="B33" s="4" t="inlineStr">
        <is>
          <t>HNX01</t>
        </is>
      </c>
      <c r="D33" s="191" t="inlineStr">
        <is>
          <t>KL giao dịch Trái phiếu doanh nghiệp</t>
        </is>
      </c>
      <c r="E33" s="4" t="n"/>
      <c r="F33" s="184" t="inlineStr">
        <is>
          <t>Báo cáo</t>
        </is>
      </c>
      <c r="G33" s="4" t="inlineStr">
        <is>
          <t>Chỉ tiêu phái sinh</t>
        </is>
      </c>
      <c r="H33" s="4" t="inlineStr">
        <is>
          <t>TB</t>
        </is>
      </c>
      <c r="I33" s="4" t="inlineStr">
        <is>
          <t>TPDN</t>
        </is>
      </c>
      <c r="J33" s="4" t="n"/>
      <c r="K33" s="4" t="inlineStr">
        <is>
          <t>Σ KLGD</t>
        </is>
      </c>
    </row>
    <row r="34" hidden="1" ht="17" customHeight="1" s="380">
      <c r="B34" s="4" t="inlineStr">
        <is>
          <t>HNX01</t>
        </is>
      </c>
      <c r="D34" s="189" t="inlineStr">
        <is>
          <t>KL giao dịch Chứng chỉ quỹ</t>
        </is>
      </c>
      <c r="E34" s="4" t="n"/>
      <c r="F34" s="184" t="inlineStr">
        <is>
          <t>Báo cáo</t>
        </is>
      </c>
      <c r="G34" s="4" t="inlineStr">
        <is>
          <t>Chỉ tiêu phái sinh</t>
        </is>
      </c>
      <c r="H34" s="4" t="inlineStr">
        <is>
          <t>TB</t>
        </is>
      </c>
      <c r="I34" s="4" t="inlineStr">
        <is>
          <t>CCQ</t>
        </is>
      </c>
      <c r="J34" s="4" t="n"/>
      <c r="K34" s="4" t="inlineStr">
        <is>
          <t>Σ KLGD</t>
        </is>
      </c>
    </row>
    <row r="35" hidden="1" ht="17" customHeight="1" s="380">
      <c r="B35" s="4" t="inlineStr">
        <is>
          <t>HNX01</t>
        </is>
      </c>
      <c r="D35" s="189" t="inlineStr">
        <is>
          <t>KL giao dịch Chứng chỉ quỹ (ETF)</t>
        </is>
      </c>
      <c r="E35" s="4" t="n"/>
      <c r="F35" s="184" t="inlineStr">
        <is>
          <t>Báo cáo</t>
        </is>
      </c>
      <c r="G35" s="4" t="inlineStr">
        <is>
          <t>Chỉ tiêu phái sinh</t>
        </is>
      </c>
      <c r="H35" s="4" t="inlineStr">
        <is>
          <t>TB</t>
        </is>
      </c>
      <c r="I35" s="4" t="inlineStr">
        <is>
          <t>ETF</t>
        </is>
      </c>
      <c r="J35" s="4" t="n"/>
      <c r="K35" s="4" t="inlineStr">
        <is>
          <t>Σ KLGD</t>
        </is>
      </c>
    </row>
    <row r="36" hidden="1" ht="34" customHeight="1" s="380">
      <c r="B36" s="4" t="inlineStr">
        <is>
          <t>HNX01</t>
        </is>
      </c>
      <c r="D36" s="188" t="inlineStr">
        <is>
          <t>Tổng giá trị vốn hóa thị trường cổ phiếu</t>
        </is>
      </c>
      <c r="E36" s="4" t="n"/>
      <c r="F36" s="184" t="inlineStr">
        <is>
          <t>Báo cáo</t>
        </is>
      </c>
      <c r="G36" s="4" t="inlineStr">
        <is>
          <t>Chỉ tiêu phái sinh</t>
        </is>
      </c>
      <c r="H36" s="4" t="inlineStr">
        <is>
          <t>TB</t>
        </is>
      </c>
      <c r="I36" s="4" t="n"/>
      <c r="J36" s="4" t="n"/>
      <c r="K36" s="4" t="inlineStr">
        <is>
          <t>Tổng giá trị vốn hóa CP</t>
        </is>
      </c>
    </row>
    <row r="37" hidden="1" ht="34" customHeight="1" s="380">
      <c r="B37" s="4" t="inlineStr">
        <is>
          <t>HNX01</t>
        </is>
      </c>
      <c r="D37" s="189" t="inlineStr">
        <is>
          <t>Niêm yết (theo phân ngành - Ngành cấp 1)</t>
        </is>
      </c>
      <c r="E37" s="4" t="n"/>
      <c r="F37" s="184" t="inlineStr">
        <is>
          <t>Báo cáo</t>
        </is>
      </c>
      <c r="G37" s="4" t="inlineStr">
        <is>
          <t>Chỉ tiêu phái sinh</t>
        </is>
      </c>
      <c r="H37" s="4" t="inlineStr">
        <is>
          <t>TB</t>
        </is>
      </c>
      <c r="I37" s="4" t="inlineStr">
        <is>
          <t>CPNY</t>
        </is>
      </c>
      <c r="J37" s="4" t="n"/>
      <c r="K37" s="4" t="inlineStr">
        <is>
          <t>Tổng của tất cả CP (Lấy theo khối lượng niêm yết * giá cuối ngày)</t>
        </is>
      </c>
    </row>
    <row r="38" hidden="1" ht="17" customHeight="1" s="380">
      <c r="B38" s="4" t="inlineStr">
        <is>
          <t>HNX01</t>
        </is>
      </c>
      <c r="D38" s="189" t="inlineStr">
        <is>
          <t xml:space="preserve">Giá cổ phiếu </t>
        </is>
      </c>
      <c r="E38" s="4" t="n"/>
      <c r="F38" s="184" t="inlineStr">
        <is>
          <t>Báo cáo</t>
        </is>
      </c>
      <c r="G38" s="4" t="inlineStr">
        <is>
          <t>Chỉ tiêu cơ sở</t>
        </is>
      </c>
      <c r="H38" s="4" t="inlineStr">
        <is>
          <t>Dễ</t>
        </is>
      </c>
      <c r="I38" s="4" t="inlineStr">
        <is>
          <t>CPNY</t>
        </is>
      </c>
      <c r="J38" s="4" t="n"/>
      <c r="K38" s="4" t="inlineStr">
        <is>
          <t>Giá giao dịch: Dữ liệu thông tin thị trường từ SGDCK (giá chứng khoán).</t>
        </is>
      </c>
      <c r="L38" s="4" t="inlineStr">
        <is>
          <t>SGDCK</t>
        </is>
      </c>
    </row>
    <row r="39" hidden="1" ht="17" customHeight="1" s="380">
      <c r="B39" s="4" t="inlineStr">
        <is>
          <t>HNX01</t>
        </is>
      </c>
      <c r="D39" s="189" t="inlineStr">
        <is>
          <t>Số cổ phiếu lưu hành</t>
        </is>
      </c>
      <c r="E39" s="4" t="n"/>
      <c r="F39" s="184" t="inlineStr">
        <is>
          <t>Báo cáo</t>
        </is>
      </c>
      <c r="G39" s="4" t="inlineStr">
        <is>
          <t>Chỉ tiêu phái sinh</t>
        </is>
      </c>
      <c r="H39" s="4" t="inlineStr">
        <is>
          <t>Dễ</t>
        </is>
      </c>
      <c r="I39" s="4" t="inlineStr">
        <is>
          <t>CPNY</t>
        </is>
      </c>
      <c r="J39" s="4" t="n"/>
      <c r="K39" s="4" t="inlineStr">
        <is>
          <t>Khối lượng cổ phiếu đang lưu hành: Dữ liệu từ VSDC</t>
        </is>
      </c>
      <c r="L39" s="4" t="inlineStr">
        <is>
          <t>VSDC</t>
        </is>
      </c>
      <c r="M39" s="4" t="inlineStr">
        <is>
          <t>lấy 1:1</t>
        </is>
      </c>
    </row>
    <row r="40" hidden="1" ht="17" customHeight="1" s="380">
      <c r="B40" s="4" t="inlineStr">
        <is>
          <t>HNX01</t>
        </is>
      </c>
      <c r="D40" s="189" t="inlineStr">
        <is>
          <t>UPCoM</t>
        </is>
      </c>
      <c r="E40" s="4" t="n"/>
      <c r="F40" s="184" t="inlineStr">
        <is>
          <t>Báo cáo</t>
        </is>
      </c>
      <c r="G40" s="4" t="inlineStr">
        <is>
          <t>Chỉ tiêu phái sinh</t>
        </is>
      </c>
      <c r="H40" s="4" t="inlineStr">
        <is>
          <t>TB</t>
        </is>
      </c>
      <c r="I40" s="4" t="inlineStr">
        <is>
          <t>UPCoM</t>
        </is>
      </c>
    </row>
    <row r="41" hidden="1" ht="17" customHeight="1" s="380">
      <c r="B41" s="4" t="inlineStr">
        <is>
          <t>HNX01</t>
        </is>
      </c>
      <c r="D41" s="189" t="inlineStr">
        <is>
          <t xml:space="preserve">Giá cổ phiếu </t>
        </is>
      </c>
      <c r="E41" s="4" t="n"/>
      <c r="F41" s="184" t="inlineStr">
        <is>
          <t>Báo cáo</t>
        </is>
      </c>
      <c r="G41" s="4" t="inlineStr">
        <is>
          <t>Chỉ tiêu cơ sở</t>
        </is>
      </c>
      <c r="H41" s="4" t="inlineStr">
        <is>
          <t>Dễ</t>
        </is>
      </c>
      <c r="I41" s="4" t="inlineStr">
        <is>
          <t>UPCoM</t>
        </is>
      </c>
    </row>
    <row r="42" hidden="1" ht="17" customHeight="1" s="380">
      <c r="B42" s="4" t="inlineStr">
        <is>
          <t>HNX01</t>
        </is>
      </c>
      <c r="D42" s="189" t="inlineStr">
        <is>
          <t>Số cổ phiếu lưu hành</t>
        </is>
      </c>
      <c r="E42" s="4" t="n"/>
      <c r="F42" s="184" t="inlineStr">
        <is>
          <t>Báo cáo</t>
        </is>
      </c>
      <c r="G42" s="4" t="inlineStr">
        <is>
          <t>Chỉ tiêu phái sinh</t>
        </is>
      </c>
      <c r="H42" s="4" t="inlineStr">
        <is>
          <t>Dễ</t>
        </is>
      </c>
      <c r="I42" s="4" t="inlineStr">
        <is>
          <t>UPCoM</t>
        </is>
      </c>
    </row>
    <row r="43" hidden="1" ht="17" customHeight="1" s="380">
      <c r="B43" s="4" t="inlineStr">
        <is>
          <t>HNX01</t>
        </is>
      </c>
      <c r="D43" s="188" t="inlineStr">
        <is>
          <t>Giao dịch khớp lệnh</t>
        </is>
      </c>
      <c r="F43" s="184" t="inlineStr">
        <is>
          <t>Báo cáo</t>
        </is>
      </c>
    </row>
    <row r="44" hidden="1" ht="17" customHeight="1" s="380">
      <c r="B44" s="4" t="inlineStr">
        <is>
          <t>HNX01</t>
        </is>
      </c>
      <c r="D44" s="193" t="inlineStr">
        <is>
          <t>Khối lượng giao dịch khớp lệnh</t>
        </is>
      </c>
      <c r="E44" s="4" t="n"/>
      <c r="F44" s="184" t="inlineStr">
        <is>
          <t>Báo cáo</t>
        </is>
      </c>
      <c r="G44" s="4" t="inlineStr">
        <is>
          <t>Chỉ tiêu phái sinh</t>
        </is>
      </c>
      <c r="H44" s="4" t="inlineStr">
        <is>
          <t>TB</t>
        </is>
      </c>
      <c r="I44" s="4" t="n"/>
      <c r="J44" s="4" t="n"/>
      <c r="K44" s="4" t="inlineStr">
        <is>
          <t>∑ khối lượng giao dịch khớp lệnh</t>
        </is>
      </c>
      <c r="L44" s="4" t="inlineStr">
        <is>
          <t>SGDCK</t>
        </is>
      </c>
    </row>
    <row r="45" hidden="1" ht="17" customHeight="1" s="380">
      <c r="B45" s="4" t="inlineStr">
        <is>
          <t>HNX01</t>
        </is>
      </c>
      <c r="D45" s="189" t="inlineStr">
        <is>
          <t>Cổ phiếu Niêm Yết</t>
        </is>
      </c>
      <c r="E45" s="4" t="n"/>
      <c r="F45" s="184" t="inlineStr">
        <is>
          <t>Báo cáo</t>
        </is>
      </c>
      <c r="G45" s="4" t="inlineStr">
        <is>
          <t>Chỉ tiêu phái sinh</t>
        </is>
      </c>
      <c r="H45" s="4" t="inlineStr">
        <is>
          <t>TB</t>
        </is>
      </c>
      <c r="I45" s="4" t="inlineStr">
        <is>
          <t>CPNY</t>
        </is>
      </c>
      <c r="J45" s="4" t="n"/>
      <c r="K45" s="4" t="inlineStr">
        <is>
          <t>∑ khối lượng giao dịch khớp lệnh CP niêm yết</t>
        </is>
      </c>
    </row>
    <row r="46" hidden="1" ht="17" customHeight="1" s="380">
      <c r="B46" s="4" t="inlineStr">
        <is>
          <t>HNX01</t>
        </is>
      </c>
      <c r="D46" s="189" t="inlineStr">
        <is>
          <t>Cổ phiếu UpCom</t>
        </is>
      </c>
      <c r="E46" s="4" t="n"/>
      <c r="F46" s="184" t="inlineStr">
        <is>
          <t>Báo cáo</t>
        </is>
      </c>
      <c r="G46" s="4" t="inlineStr">
        <is>
          <t>Chỉ tiêu phái sinh</t>
        </is>
      </c>
      <c r="H46" s="4" t="inlineStr">
        <is>
          <t>TB</t>
        </is>
      </c>
      <c r="I46" s="4" t="inlineStr">
        <is>
          <t>UPCoM</t>
        </is>
      </c>
      <c r="J46" s="4" t="n"/>
      <c r="K46" s="4" t="inlineStr">
        <is>
          <t>∑ khối lượng giao dịch khớp lệnh CP UpCom</t>
        </is>
      </c>
    </row>
    <row r="47" hidden="1" ht="17" customHeight="1" s="380">
      <c r="B47" s="4" t="inlineStr">
        <is>
          <t>HNX01</t>
        </is>
      </c>
      <c r="D47" s="189" t="inlineStr">
        <is>
          <t>Chứng chỉ quỹ</t>
        </is>
      </c>
      <c r="E47" s="4" t="n"/>
      <c r="F47" s="184" t="inlineStr">
        <is>
          <t>Báo cáo</t>
        </is>
      </c>
      <c r="G47" s="4" t="inlineStr">
        <is>
          <t>Chỉ tiêu phái sinh</t>
        </is>
      </c>
      <c r="H47" s="4" t="inlineStr">
        <is>
          <t>TB</t>
        </is>
      </c>
      <c r="I47" s="4" t="inlineStr">
        <is>
          <t>CCQ</t>
        </is>
      </c>
      <c r="J47" s="4" t="n"/>
      <c r="K47" s="4" t="inlineStr">
        <is>
          <t>∑ khối lượng giao dịch khớp lệnh CCQ</t>
        </is>
      </c>
    </row>
    <row r="48" hidden="1" ht="17" customHeight="1" s="380">
      <c r="B48" s="4" t="inlineStr">
        <is>
          <t>HNX01</t>
        </is>
      </c>
      <c r="D48" s="189" t="inlineStr">
        <is>
          <t>Chứng chỉ quỹ (ETF)</t>
        </is>
      </c>
      <c r="E48" s="4" t="n"/>
      <c r="F48" s="184" t="inlineStr">
        <is>
          <t>Báo cáo</t>
        </is>
      </c>
      <c r="G48" s="4" t="inlineStr">
        <is>
          <t>Chỉ tiêu phái sinh</t>
        </is>
      </c>
      <c r="H48" s="4" t="inlineStr">
        <is>
          <t>TB</t>
        </is>
      </c>
      <c r="I48" s="4" t="inlineStr">
        <is>
          <t>ETF</t>
        </is>
      </c>
      <c r="J48" s="4" t="n"/>
      <c r="K48" s="4" t="inlineStr">
        <is>
          <t>∑ khối lượng giao dịch khớp lệnh CCQ ETF</t>
        </is>
      </c>
    </row>
    <row r="49" hidden="1" ht="17" customHeight="1" s="380">
      <c r="B49" s="4" t="inlineStr">
        <is>
          <t>HNX01</t>
        </is>
      </c>
      <c r="D49" s="193" t="inlineStr">
        <is>
          <t>Giá trị giao dịch khớp lệnh</t>
        </is>
      </c>
      <c r="E49" s="4" t="inlineStr">
        <is>
          <t>Tổng giá trị giao dịch khớp lệnh</t>
        </is>
      </c>
      <c r="F49" s="184" t="inlineStr">
        <is>
          <t>Báo cáo</t>
        </is>
      </c>
      <c r="G49" s="4" t="inlineStr">
        <is>
          <t>Chỉ tiêu phái sinh</t>
        </is>
      </c>
      <c r="H49" s="4" t="inlineStr">
        <is>
          <t>TB</t>
        </is>
      </c>
      <c r="I49" s="4" t="n"/>
      <c r="J49" s="4" t="n"/>
      <c r="K49" s="4" t="inlineStr">
        <is>
          <t>∑ (Khối lượng giao dịch khớp lệnh × Giá giao dịch) toàn TT</t>
        </is>
      </c>
    </row>
    <row r="50" hidden="1" ht="17" customHeight="1" s="380">
      <c r="B50" s="4" t="inlineStr">
        <is>
          <t>HNX01</t>
        </is>
      </c>
      <c r="D50" s="189" t="inlineStr">
        <is>
          <t>Cổ phiếu Niêm Yết</t>
        </is>
      </c>
      <c r="E50" s="4" t="n"/>
      <c r="F50" s="184" t="inlineStr">
        <is>
          <t>Báo cáo</t>
        </is>
      </c>
      <c r="G50" s="4" t="inlineStr">
        <is>
          <t>Chỉ tiêu phái sinh</t>
        </is>
      </c>
      <c r="H50" s="4" t="inlineStr">
        <is>
          <t>TB</t>
        </is>
      </c>
      <c r="I50" s="4" t="inlineStr">
        <is>
          <t>CPNY</t>
        </is>
      </c>
      <c r="J50" s="4" t="n"/>
      <c r="K50" s="4" t="inlineStr">
        <is>
          <t>∑ (Khối lượng giao dịch khớp lệnh × Giá giao dịch) của CP Niêm Yết</t>
        </is>
      </c>
      <c r="L50" s="194" t="inlineStr">
        <is>
          <t>Dữ liệu giao dịch hàng ngày (MDDS), Dữ liệu sổ lệnh giao dịch từ SGDCK</t>
        </is>
      </c>
    </row>
    <row r="51" hidden="1" ht="17" customHeight="1" s="380">
      <c r="B51" s="4" t="inlineStr">
        <is>
          <t>HNX01</t>
        </is>
      </c>
      <c r="D51" s="189" t="inlineStr">
        <is>
          <t>Khối lượng GD khớp lệnh trong kỳ</t>
        </is>
      </c>
      <c r="E51" s="4" t="n"/>
      <c r="F51" s="184" t="inlineStr">
        <is>
          <t>Báo cáo</t>
        </is>
      </c>
      <c r="G51" s="4" t="inlineStr">
        <is>
          <t>Chỉ tiêu phái sinh</t>
        </is>
      </c>
      <c r="H51" s="4" t="inlineStr">
        <is>
          <t>TB</t>
        </is>
      </c>
      <c r="I51" s="4" t="inlineStr">
        <is>
          <t>CPNY</t>
        </is>
      </c>
      <c r="J51" s="4" t="n"/>
      <c r="K51" s="4" t="inlineStr">
        <is>
          <t>Σ KLGD khớp lệnh</t>
        </is>
      </c>
      <c r="L51" s="194" t="inlineStr">
        <is>
          <t>Dữ liệu giao dịch hàng ngày (MDDS), Dữ liệu sổ lệnh giao dịch từ SGDCK</t>
        </is>
      </c>
    </row>
    <row r="52" hidden="1" ht="17" customHeight="1" s="380">
      <c r="B52" s="4" t="inlineStr">
        <is>
          <t>HNX01</t>
        </is>
      </c>
      <c r="D52" s="189" t="inlineStr">
        <is>
          <t>Giá giao dịch khớp lệnh</t>
        </is>
      </c>
      <c r="E52" s="4" t="n"/>
      <c r="F52" s="184" t="inlineStr">
        <is>
          <t>Báo cáo</t>
        </is>
      </c>
      <c r="G52" s="4" t="inlineStr">
        <is>
          <t>Chỉ tiêu cơ sở</t>
        </is>
      </c>
      <c r="H52" s="4" t="inlineStr">
        <is>
          <t>TB</t>
        </is>
      </c>
      <c r="I52" s="4" t="inlineStr">
        <is>
          <t>CPNY</t>
        </is>
      </c>
      <c r="J52" s="4" t="n"/>
      <c r="K52" s="4" t="inlineStr">
        <is>
          <t>Giá giao dịch khớp lệnh</t>
        </is>
      </c>
      <c r="L52" s="194" t="inlineStr">
        <is>
          <t>Dữ liệu giao dịch hàng ngày (MDDS), Dữ liệu sổ lệnh giao dịch từ SGDCK</t>
        </is>
      </c>
    </row>
    <row r="53" hidden="1" ht="17" customHeight="1" s="380">
      <c r="B53" s="4" t="inlineStr">
        <is>
          <t>HNX01</t>
        </is>
      </c>
      <c r="D53" s="189" t="inlineStr">
        <is>
          <t>Cổ phiếu UpCom</t>
        </is>
      </c>
      <c r="F53" s="184" t="inlineStr">
        <is>
          <t>Báo cáo</t>
        </is>
      </c>
      <c r="G53" s="4" t="inlineStr">
        <is>
          <t>Chỉ tiêu phái sinh</t>
        </is>
      </c>
      <c r="H53" s="4" t="inlineStr">
        <is>
          <t>TB</t>
        </is>
      </c>
      <c r="I53" s="4" t="inlineStr">
        <is>
          <t>UPCoM</t>
        </is>
      </c>
    </row>
    <row r="54" hidden="1" ht="17" customHeight="1" s="380">
      <c r="B54" s="4" t="inlineStr">
        <is>
          <t>HNX01</t>
        </is>
      </c>
      <c r="D54" s="189" t="inlineStr">
        <is>
          <t>Khối lượng GD khớp lệnh trong kỳ</t>
        </is>
      </c>
      <c r="E54" s="4" t="n"/>
      <c r="F54" s="184" t="inlineStr">
        <is>
          <t>Báo cáo</t>
        </is>
      </c>
      <c r="G54" s="4" t="inlineStr">
        <is>
          <t>Chỉ tiêu phái sinh</t>
        </is>
      </c>
      <c r="H54" s="4" t="inlineStr">
        <is>
          <t>TB</t>
        </is>
      </c>
      <c r="I54" s="4" t="inlineStr">
        <is>
          <t>UPCoM</t>
        </is>
      </c>
      <c r="L54" s="194" t="inlineStr">
        <is>
          <t>Dữ liệu giao dịch hàng ngày (MDDS), Dữ liệu sổ lệnh giao dịch từ SGDCK</t>
        </is>
      </c>
    </row>
    <row r="55" hidden="1" ht="17" customHeight="1" s="380">
      <c r="B55" s="4" t="inlineStr">
        <is>
          <t>HNX01</t>
        </is>
      </c>
      <c r="D55" s="189" t="inlineStr">
        <is>
          <t>Giá giao dịch khớp lệnh</t>
        </is>
      </c>
      <c r="E55" s="4" t="n"/>
      <c r="F55" s="184" t="inlineStr">
        <is>
          <t>Báo cáo</t>
        </is>
      </c>
      <c r="G55" s="4" t="inlineStr">
        <is>
          <t>Chỉ tiêu cơ sở</t>
        </is>
      </c>
      <c r="H55" s="4" t="inlineStr">
        <is>
          <t>TB</t>
        </is>
      </c>
      <c r="I55" s="4" t="inlineStr">
        <is>
          <t>UPCoM</t>
        </is>
      </c>
      <c r="L55" s="194" t="inlineStr">
        <is>
          <t>Dữ liệu giao dịch hàng ngày (MDDS), Dữ liệu sổ lệnh giao dịch từ SGDCK</t>
        </is>
      </c>
    </row>
    <row r="56" hidden="1" ht="17" customHeight="1" s="380">
      <c r="B56" s="4" t="inlineStr">
        <is>
          <t>HNX01</t>
        </is>
      </c>
      <c r="D56" s="189" t="inlineStr">
        <is>
          <t>Chứng chỉ quỹ</t>
        </is>
      </c>
      <c r="F56" s="184" t="inlineStr">
        <is>
          <t>Báo cáo</t>
        </is>
      </c>
      <c r="G56" s="4" t="inlineStr">
        <is>
          <t>Chỉ tiêu phái sinh</t>
        </is>
      </c>
      <c r="H56" s="4" t="inlineStr">
        <is>
          <t>TB</t>
        </is>
      </c>
      <c r="I56" s="4" t="inlineStr">
        <is>
          <t>CCQ</t>
        </is>
      </c>
    </row>
    <row r="57" hidden="1" ht="17" customHeight="1" s="380">
      <c r="B57" s="4" t="inlineStr">
        <is>
          <t>HNX01</t>
        </is>
      </c>
      <c r="D57" s="189" t="inlineStr">
        <is>
          <t>Khối lượng GD khớp lệnh trong kỳ</t>
        </is>
      </c>
      <c r="E57" s="4" t="n"/>
      <c r="F57" s="184" t="inlineStr">
        <is>
          <t>Báo cáo</t>
        </is>
      </c>
      <c r="G57" s="4" t="inlineStr">
        <is>
          <t>Chỉ tiêu phái sinh</t>
        </is>
      </c>
      <c r="H57" s="4" t="inlineStr">
        <is>
          <t>TB</t>
        </is>
      </c>
      <c r="I57" s="4" t="inlineStr">
        <is>
          <t>CCQ</t>
        </is>
      </c>
      <c r="L57" s="194" t="inlineStr">
        <is>
          <t>Dữ liệu giao dịch hàng ngày (MDDS), Dữ liệu sổ lệnh giao dịch từ SGDCK</t>
        </is>
      </c>
    </row>
    <row r="58" hidden="1" ht="17" customHeight="1" s="380">
      <c r="B58" s="4" t="inlineStr">
        <is>
          <t>HNX01</t>
        </is>
      </c>
      <c r="D58" s="189" t="inlineStr">
        <is>
          <t>Giá giao dịch khớp lệnh</t>
        </is>
      </c>
      <c r="E58" s="4" t="n"/>
      <c r="F58" s="184" t="inlineStr">
        <is>
          <t>Báo cáo</t>
        </is>
      </c>
      <c r="G58" s="4" t="inlineStr">
        <is>
          <t>Chỉ tiêu cơ sở</t>
        </is>
      </c>
      <c r="H58" s="4" t="inlineStr">
        <is>
          <t>TB</t>
        </is>
      </c>
      <c r="I58" s="4" t="inlineStr">
        <is>
          <t>CCQ</t>
        </is>
      </c>
      <c r="L58" s="194" t="inlineStr">
        <is>
          <t>Dữ liệu giao dịch hàng ngày (MDDS), Dữ liệu sổ lệnh giao dịch từ SGDCK</t>
        </is>
      </c>
    </row>
    <row r="59" hidden="1" ht="17" customHeight="1" s="380">
      <c r="B59" s="4" t="inlineStr">
        <is>
          <t>HNX01</t>
        </is>
      </c>
      <c r="D59" s="189" t="inlineStr">
        <is>
          <t>Chứng chỉ quỹ (ETF)</t>
        </is>
      </c>
      <c r="F59" s="184" t="inlineStr">
        <is>
          <t>Báo cáo</t>
        </is>
      </c>
      <c r="G59" s="4" t="inlineStr">
        <is>
          <t>Chỉ tiêu phái sinh</t>
        </is>
      </c>
      <c r="H59" s="4" t="inlineStr">
        <is>
          <t>TB</t>
        </is>
      </c>
      <c r="I59" s="4" t="inlineStr">
        <is>
          <t>ETF</t>
        </is>
      </c>
    </row>
    <row r="60" hidden="1" ht="17" customHeight="1" s="380">
      <c r="B60" s="4" t="inlineStr">
        <is>
          <t>HNX01</t>
        </is>
      </c>
      <c r="D60" s="189" t="inlineStr">
        <is>
          <t>Khối lượng GD khớp lệnh trong kỳ</t>
        </is>
      </c>
      <c r="E60" s="4" t="n"/>
      <c r="F60" s="184" t="inlineStr">
        <is>
          <t>Báo cáo</t>
        </is>
      </c>
      <c r="G60" s="4" t="inlineStr">
        <is>
          <t>Chỉ tiêu phái sinh</t>
        </is>
      </c>
      <c r="H60" s="4" t="inlineStr">
        <is>
          <t>TB</t>
        </is>
      </c>
      <c r="I60" s="4" t="inlineStr">
        <is>
          <t>ETF</t>
        </is>
      </c>
      <c r="L60" s="194" t="inlineStr">
        <is>
          <t>Dữ liệu giao dịch hàng ngày (MDDS), Dữ liệu sổ lệnh giao dịch từ SGDCK</t>
        </is>
      </c>
    </row>
    <row r="61" hidden="1" ht="17" customHeight="1" s="380">
      <c r="B61" s="4" t="inlineStr">
        <is>
          <t>HNX01</t>
        </is>
      </c>
      <c r="D61" s="189" t="inlineStr">
        <is>
          <t>Giá giao dịch khớp lệnh</t>
        </is>
      </c>
      <c r="E61" s="4" t="n"/>
      <c r="F61" s="184" t="inlineStr">
        <is>
          <t>Báo cáo</t>
        </is>
      </c>
      <c r="G61" s="4" t="inlineStr">
        <is>
          <t>Chỉ tiêu cơ sở</t>
        </is>
      </c>
      <c r="H61" s="4" t="inlineStr">
        <is>
          <t>TB</t>
        </is>
      </c>
      <c r="I61" s="4" t="inlineStr">
        <is>
          <t>ETF</t>
        </is>
      </c>
      <c r="L61" s="194" t="inlineStr">
        <is>
          <t>Dữ liệu giao dịch hàng ngày (MDDS), Dữ liệu sổ lệnh giao dịch từ SGDCK</t>
        </is>
      </c>
    </row>
    <row r="62" hidden="1" ht="17" customHeight="1" s="380">
      <c r="B62" s="4" t="inlineStr">
        <is>
          <t>HNX01</t>
        </is>
      </c>
      <c r="D62" s="188" t="inlineStr">
        <is>
          <t>Giao dịch thỏa thuận</t>
        </is>
      </c>
      <c r="F62" s="184" t="inlineStr">
        <is>
          <t>Báo cáo</t>
        </is>
      </c>
    </row>
    <row r="63" hidden="1" ht="17" customHeight="1" s="380">
      <c r="B63" s="4" t="inlineStr">
        <is>
          <t>HNX01</t>
        </is>
      </c>
      <c r="D63" s="193" t="inlineStr">
        <is>
          <t>Khối lượng giao dịch thỏa thuận</t>
        </is>
      </c>
      <c r="F63" s="184" t="inlineStr">
        <is>
          <t>Báo cáo</t>
        </is>
      </c>
      <c r="G63" s="4" t="inlineStr">
        <is>
          <t>Chỉ tiêu phái sinh</t>
        </is>
      </c>
      <c r="H63" s="4" t="inlineStr">
        <is>
          <t>TB</t>
        </is>
      </c>
      <c r="I63" s="4" t="inlineStr">
        <is>
          <t>CPNY</t>
        </is>
      </c>
      <c r="J63" s="4" t="n"/>
      <c r="K63" s="4" t="inlineStr">
        <is>
          <t>∑ khối lượng giao dịch thỏa thuận</t>
        </is>
      </c>
    </row>
    <row r="64" hidden="1" ht="17" customHeight="1" s="380">
      <c r="B64" s="4" t="inlineStr">
        <is>
          <t>HNX01</t>
        </is>
      </c>
      <c r="D64" s="189" t="inlineStr">
        <is>
          <t>Cổ phiếu Niêm Yết</t>
        </is>
      </c>
      <c r="F64" s="184" t="inlineStr">
        <is>
          <t>Báo cáo</t>
        </is>
      </c>
      <c r="G64" s="4" t="inlineStr">
        <is>
          <t>Chỉ tiêu phái sinh</t>
        </is>
      </c>
      <c r="H64" s="4" t="inlineStr">
        <is>
          <t>TB</t>
        </is>
      </c>
      <c r="I64" s="4" t="inlineStr">
        <is>
          <t>UPCoM</t>
        </is>
      </c>
      <c r="J64" s="4" t="n"/>
      <c r="K64" s="4" t="inlineStr">
        <is>
          <t>∑ khối lượng giao dịch thỏa thuận CP niêm yết</t>
        </is>
      </c>
    </row>
    <row r="65" hidden="1" ht="17" customHeight="1" s="380">
      <c r="B65" s="4" t="inlineStr">
        <is>
          <t>HNX01</t>
        </is>
      </c>
      <c r="D65" s="189" t="inlineStr">
        <is>
          <t>Cổ phiếu UpCom</t>
        </is>
      </c>
      <c r="F65" s="184" t="inlineStr">
        <is>
          <t>Báo cáo</t>
        </is>
      </c>
      <c r="G65" s="4" t="inlineStr">
        <is>
          <t>Chỉ tiêu phái sinh</t>
        </is>
      </c>
      <c r="H65" s="4" t="inlineStr">
        <is>
          <t>TB</t>
        </is>
      </c>
      <c r="I65" s="4" t="inlineStr">
        <is>
          <t>TPDN</t>
        </is>
      </c>
      <c r="J65" s="4" t="n"/>
      <c r="K65" s="4" t="inlineStr">
        <is>
          <t>∑ khối lượng giao dịch thỏa thuận CP UpCom</t>
        </is>
      </c>
    </row>
    <row r="66" hidden="1" ht="17" customHeight="1" s="380">
      <c r="B66" s="4" t="inlineStr">
        <is>
          <t>HNX01</t>
        </is>
      </c>
      <c r="D66" s="191" t="inlineStr">
        <is>
          <t>Trái phiếu doanh nghiệp</t>
        </is>
      </c>
      <c r="F66" s="184" t="inlineStr">
        <is>
          <t>Báo cáo</t>
        </is>
      </c>
      <c r="G66" s="4" t="inlineStr">
        <is>
          <t>Chỉ tiêu phái sinh</t>
        </is>
      </c>
      <c r="H66" s="4" t="inlineStr">
        <is>
          <t>TB</t>
        </is>
      </c>
      <c r="I66" s="4" t="inlineStr">
        <is>
          <t>CCQ</t>
        </is>
      </c>
      <c r="K66" s="4">
        <f>"∑ khối lượng giao dịch thỏa thuận "&amp;D66</f>
        <v/>
      </c>
    </row>
    <row r="67" hidden="1" ht="17" customHeight="1" s="380">
      <c r="B67" s="4" t="inlineStr">
        <is>
          <t>HNX01</t>
        </is>
      </c>
      <c r="D67" s="189" t="inlineStr">
        <is>
          <t>Chứng chỉ quỹ</t>
        </is>
      </c>
      <c r="F67" s="184" t="inlineStr">
        <is>
          <t>Báo cáo</t>
        </is>
      </c>
      <c r="G67" s="4" t="inlineStr">
        <is>
          <t>Chỉ tiêu phái sinh</t>
        </is>
      </c>
      <c r="H67" s="4" t="inlineStr">
        <is>
          <t>TB</t>
        </is>
      </c>
      <c r="I67" s="4" t="inlineStr">
        <is>
          <t>ETF</t>
        </is>
      </c>
      <c r="K67" s="4">
        <f>"∑ khối lượng giao dịch thỏa thuận "&amp;D67</f>
        <v/>
      </c>
    </row>
    <row r="68" hidden="1" ht="17" customHeight="1" s="380">
      <c r="B68" s="4" t="inlineStr">
        <is>
          <t>HNX01</t>
        </is>
      </c>
      <c r="D68" s="189" t="inlineStr">
        <is>
          <t>Chứng chỉ quỹ (ETF)</t>
        </is>
      </c>
      <c r="F68" s="184" t="inlineStr">
        <is>
          <t>Báo cáo</t>
        </is>
      </c>
      <c r="G68" s="4" t="inlineStr">
        <is>
          <t>Chỉ tiêu phái sinh</t>
        </is>
      </c>
      <c r="H68" s="4" t="inlineStr">
        <is>
          <t>TB</t>
        </is>
      </c>
      <c r="K68" s="4">
        <f>"∑ khối lượng giao dịch thỏa thuận "&amp;D68</f>
        <v/>
      </c>
    </row>
    <row r="69" hidden="1" ht="17" customHeight="1" s="380">
      <c r="B69" s="4" t="inlineStr">
        <is>
          <t>HNX01</t>
        </is>
      </c>
      <c r="D69" s="193" t="inlineStr">
        <is>
          <t>Giá trị giao dịch thỏa thuận</t>
        </is>
      </c>
      <c r="E69" s="4" t="inlineStr">
        <is>
          <t>Tổng giá trị giao dịch thỏa thuận</t>
        </is>
      </c>
      <c r="F69" s="184" t="inlineStr">
        <is>
          <t>Báo cáo</t>
        </is>
      </c>
      <c r="G69" s="4" t="inlineStr">
        <is>
          <t>Chỉ tiêu phái sinh</t>
        </is>
      </c>
      <c r="H69" s="4" t="inlineStr">
        <is>
          <t>TB</t>
        </is>
      </c>
      <c r="I69" s="195" t="n"/>
      <c r="J69" s="195" t="n"/>
      <c r="K69" s="195" t="inlineStr">
        <is>
          <t>∑ (Khối lượng giao dịch thỏa thuận × Giá giao dịch)</t>
        </is>
      </c>
      <c r="L69" s="4" t="inlineStr">
        <is>
          <t>SGDCK</t>
        </is>
      </c>
    </row>
    <row r="70" hidden="1" ht="17" customHeight="1" s="380">
      <c r="B70" s="4" t="inlineStr">
        <is>
          <t>HNX01</t>
        </is>
      </c>
      <c r="D70" s="189" t="inlineStr">
        <is>
          <t>Cổ phiếu Niêm Yết</t>
        </is>
      </c>
      <c r="F70" s="184" t="inlineStr">
        <is>
          <t>Báo cáo</t>
        </is>
      </c>
      <c r="G70" s="4" t="inlineStr">
        <is>
          <t>Chỉ tiêu phái sinh</t>
        </is>
      </c>
      <c r="H70" s="4" t="inlineStr">
        <is>
          <t>TB</t>
        </is>
      </c>
      <c r="I70" s="4" t="inlineStr">
        <is>
          <t>CPNY</t>
        </is>
      </c>
      <c r="J70" s="4" t="n"/>
      <c r="K70" s="4" t="inlineStr">
        <is>
          <t>∑ (Khối lượng giao dịch thỏa thuận × Giá giao dịch) CP niêm yết</t>
        </is>
      </c>
      <c r="L70" s="4" t="inlineStr">
        <is>
          <t>SGDCK</t>
        </is>
      </c>
    </row>
    <row r="71" hidden="1" ht="17" customHeight="1" s="380">
      <c r="B71" s="4" t="inlineStr">
        <is>
          <t>HNX01</t>
        </is>
      </c>
      <c r="D71" s="189" t="inlineStr">
        <is>
          <t>Khối lượng GD thỏa thuận trong kỳ</t>
        </is>
      </c>
      <c r="F71" s="184" t="inlineStr">
        <is>
          <t>Báo cáo</t>
        </is>
      </c>
      <c r="G71" s="4" t="inlineStr">
        <is>
          <t>Chỉ tiêu phái sinh</t>
        </is>
      </c>
      <c r="H71" s="4" t="inlineStr">
        <is>
          <t>Trùng</t>
        </is>
      </c>
      <c r="I71" s="4" t="inlineStr">
        <is>
          <t>CPNY</t>
        </is>
      </c>
      <c r="J71" s="4" t="n"/>
      <c r="K71" s="4" t="inlineStr">
        <is>
          <t>Σ KLGD thỏa thuận</t>
        </is>
      </c>
      <c r="L71" s="4" t="inlineStr">
        <is>
          <t>SGDCK</t>
        </is>
      </c>
    </row>
    <row r="72" hidden="1" ht="17" customHeight="1" s="380">
      <c r="B72" s="4" t="inlineStr">
        <is>
          <t>HNX01</t>
        </is>
      </c>
      <c r="D72" s="189" t="inlineStr">
        <is>
          <t>Giá giao dịch thỏa thuận</t>
        </is>
      </c>
      <c r="F72" s="184" t="inlineStr">
        <is>
          <t>Báo cáo</t>
        </is>
      </c>
      <c r="G72" s="4" t="inlineStr">
        <is>
          <t>Chỉ tiêu cơ sở</t>
        </is>
      </c>
      <c r="H72" s="4" t="inlineStr">
        <is>
          <t>Dễ</t>
        </is>
      </c>
      <c r="I72" s="4" t="inlineStr">
        <is>
          <t>CPNY</t>
        </is>
      </c>
      <c r="J72" s="4" t="n"/>
      <c r="K72" s="4" t="inlineStr">
        <is>
          <t>Giá thỏa thuân</t>
        </is>
      </c>
      <c r="L72" s="4" t="inlineStr">
        <is>
          <t>SGDCK</t>
        </is>
      </c>
    </row>
    <row r="73" hidden="1" ht="17" customHeight="1" s="380">
      <c r="B73" s="4" t="inlineStr">
        <is>
          <t>HNX01</t>
        </is>
      </c>
      <c r="D73" s="189" t="inlineStr">
        <is>
          <t>Cổ phiếu UpCom</t>
        </is>
      </c>
      <c r="F73" s="184" t="inlineStr">
        <is>
          <t>Báo cáo</t>
        </is>
      </c>
      <c r="G73" s="4" t="inlineStr">
        <is>
          <t>Chỉ tiêu phái sinh</t>
        </is>
      </c>
      <c r="H73" s="4" t="inlineStr">
        <is>
          <t>TB</t>
        </is>
      </c>
      <c r="I73" s="4" t="inlineStr">
        <is>
          <t>UPCoM</t>
        </is>
      </c>
      <c r="L73" s="4" t="inlineStr">
        <is>
          <t>SGDCK</t>
        </is>
      </c>
    </row>
    <row r="74" hidden="1" ht="17" customHeight="1" s="380">
      <c r="B74" s="4" t="inlineStr">
        <is>
          <t>HNX01</t>
        </is>
      </c>
      <c r="D74" s="189" t="inlineStr">
        <is>
          <t>Khối lượng GD thỏa thuận trong kỳ</t>
        </is>
      </c>
      <c r="F74" s="184" t="inlineStr">
        <is>
          <t>Báo cáo</t>
        </is>
      </c>
      <c r="G74" s="4" t="inlineStr">
        <is>
          <t>Chỉ tiêu phái sinh</t>
        </is>
      </c>
      <c r="H74" s="4" t="inlineStr">
        <is>
          <t>Trùng</t>
        </is>
      </c>
      <c r="I74" s="4" t="inlineStr">
        <is>
          <t>UPCoM</t>
        </is>
      </c>
      <c r="L74" s="4" t="inlineStr">
        <is>
          <t>SGDCK</t>
        </is>
      </c>
    </row>
    <row r="75" hidden="1" ht="17" customHeight="1" s="380">
      <c r="B75" s="4" t="inlineStr">
        <is>
          <t>HNX01</t>
        </is>
      </c>
      <c r="D75" s="189" t="inlineStr">
        <is>
          <t>Giá giao dịch thỏa thuận</t>
        </is>
      </c>
      <c r="F75" s="184" t="inlineStr">
        <is>
          <t>Báo cáo</t>
        </is>
      </c>
      <c r="G75" s="4" t="inlineStr">
        <is>
          <t>Chỉ tiêu cơ sở</t>
        </is>
      </c>
      <c r="H75" s="4" t="inlineStr">
        <is>
          <t>Dễ</t>
        </is>
      </c>
      <c r="I75" s="4" t="inlineStr">
        <is>
          <t>UPCoM</t>
        </is>
      </c>
      <c r="L75" s="4" t="inlineStr">
        <is>
          <t>SGDCK</t>
        </is>
      </c>
    </row>
    <row r="76" hidden="1" ht="17" customHeight="1" s="380">
      <c r="B76" s="4" t="inlineStr">
        <is>
          <t>HNX01</t>
        </is>
      </c>
      <c r="D76" s="191" t="inlineStr">
        <is>
          <t>Trái phiếu doanh nghiệp</t>
        </is>
      </c>
      <c r="F76" s="184" t="inlineStr">
        <is>
          <t>Báo cáo</t>
        </is>
      </c>
      <c r="G76" s="4" t="inlineStr">
        <is>
          <t>Chỉ tiêu phái sinh</t>
        </is>
      </c>
      <c r="H76" s="4" t="inlineStr">
        <is>
          <t>TB</t>
        </is>
      </c>
      <c r="I76" s="4" t="inlineStr">
        <is>
          <t>TPDN</t>
        </is>
      </c>
      <c r="L76" s="4" t="inlineStr">
        <is>
          <t>SGDCK</t>
        </is>
      </c>
    </row>
    <row r="77" hidden="1" ht="17" customHeight="1" s="380">
      <c r="B77" s="4" t="inlineStr">
        <is>
          <t>HNX01</t>
        </is>
      </c>
      <c r="D77" s="189" t="inlineStr">
        <is>
          <t>Khối lượng GD thỏa thuận trong kỳ</t>
        </is>
      </c>
      <c r="F77" s="184" t="inlineStr">
        <is>
          <t>Báo cáo</t>
        </is>
      </c>
      <c r="G77" s="4" t="inlineStr">
        <is>
          <t>Chỉ tiêu phái sinh</t>
        </is>
      </c>
      <c r="H77" s="4" t="inlineStr">
        <is>
          <t>Trùng</t>
        </is>
      </c>
      <c r="I77" s="4" t="inlineStr">
        <is>
          <t>TPDN</t>
        </is>
      </c>
      <c r="L77" s="4" t="inlineStr">
        <is>
          <t>SGDCK</t>
        </is>
      </c>
    </row>
    <row r="78" hidden="1" ht="17" customHeight="1" s="380">
      <c r="B78" s="4" t="inlineStr">
        <is>
          <t>HNX01</t>
        </is>
      </c>
      <c r="D78" s="189" t="inlineStr">
        <is>
          <t>Giá giao dịch thỏa thuận</t>
        </is>
      </c>
      <c r="F78" s="184" t="inlineStr">
        <is>
          <t>Báo cáo</t>
        </is>
      </c>
      <c r="G78" s="4" t="inlineStr">
        <is>
          <t>Chỉ tiêu cơ sở</t>
        </is>
      </c>
      <c r="H78" s="4" t="inlineStr">
        <is>
          <t>Dễ</t>
        </is>
      </c>
      <c r="I78" s="4" t="inlineStr">
        <is>
          <t>TPDN</t>
        </is>
      </c>
      <c r="L78" s="4" t="inlineStr">
        <is>
          <t>SGDCK</t>
        </is>
      </c>
    </row>
    <row r="79" hidden="1" ht="17" customHeight="1" s="380">
      <c r="B79" s="4" t="inlineStr">
        <is>
          <t>HNX01</t>
        </is>
      </c>
      <c r="D79" s="189" t="inlineStr">
        <is>
          <t>Chứng chỉ quỹ</t>
        </is>
      </c>
      <c r="F79" s="184" t="inlineStr">
        <is>
          <t>Báo cáo</t>
        </is>
      </c>
      <c r="G79" s="4" t="inlineStr">
        <is>
          <t>Chỉ tiêu phái sinh</t>
        </is>
      </c>
      <c r="H79" s="4" t="inlineStr">
        <is>
          <t>TB</t>
        </is>
      </c>
      <c r="I79" s="4" t="inlineStr">
        <is>
          <t>CCQ</t>
        </is>
      </c>
      <c r="L79" s="4" t="inlineStr">
        <is>
          <t>SGDCK</t>
        </is>
      </c>
    </row>
    <row r="80" hidden="1" ht="17" customHeight="1" s="380">
      <c r="B80" s="4" t="inlineStr">
        <is>
          <t>HNX01</t>
        </is>
      </c>
      <c r="D80" s="189" t="inlineStr">
        <is>
          <t>Khối lượng GD thỏa thuận trong kỳ</t>
        </is>
      </c>
      <c r="F80" s="184" t="inlineStr">
        <is>
          <t>Báo cáo</t>
        </is>
      </c>
      <c r="G80" s="4" t="inlineStr">
        <is>
          <t>Chỉ tiêu phái sinh</t>
        </is>
      </c>
      <c r="H80" s="4" t="inlineStr">
        <is>
          <t>Trùng</t>
        </is>
      </c>
      <c r="I80" s="4" t="inlineStr">
        <is>
          <t>CCQ</t>
        </is>
      </c>
      <c r="L80" s="4" t="inlineStr">
        <is>
          <t>SGDCK</t>
        </is>
      </c>
    </row>
    <row r="81" hidden="1" ht="17" customHeight="1" s="380">
      <c r="B81" s="4" t="inlineStr">
        <is>
          <t>HNX01</t>
        </is>
      </c>
      <c r="D81" s="189" t="inlineStr">
        <is>
          <t>Giá giao dịch thỏa thuận</t>
        </is>
      </c>
      <c r="F81" s="184" t="inlineStr">
        <is>
          <t>Báo cáo</t>
        </is>
      </c>
      <c r="G81" s="4" t="inlineStr">
        <is>
          <t>Chỉ tiêu cơ sở</t>
        </is>
      </c>
      <c r="H81" s="4" t="inlineStr">
        <is>
          <t>Dễ</t>
        </is>
      </c>
      <c r="I81" s="4" t="inlineStr">
        <is>
          <t>CCQ</t>
        </is>
      </c>
      <c r="L81" s="4" t="inlineStr">
        <is>
          <t>SGDCK</t>
        </is>
      </c>
    </row>
    <row r="82" hidden="1" ht="17" customHeight="1" s="380">
      <c r="B82" s="4" t="inlineStr">
        <is>
          <t>HNX01</t>
        </is>
      </c>
      <c r="D82" s="189" t="inlineStr">
        <is>
          <t>Chứng chỉ quỹ (ETF)</t>
        </is>
      </c>
      <c r="F82" s="184" t="inlineStr">
        <is>
          <t>Báo cáo</t>
        </is>
      </c>
      <c r="G82" s="4" t="inlineStr">
        <is>
          <t>Chỉ tiêu phái sinh</t>
        </is>
      </c>
      <c r="H82" s="4" t="inlineStr">
        <is>
          <t>TB</t>
        </is>
      </c>
      <c r="I82" s="4" t="inlineStr">
        <is>
          <t>ETF</t>
        </is>
      </c>
      <c r="L82" s="4" t="inlineStr">
        <is>
          <t>SGDCK</t>
        </is>
      </c>
    </row>
    <row r="83" hidden="1" ht="17" customHeight="1" s="380">
      <c r="B83" s="4" t="inlineStr">
        <is>
          <t>HNX01</t>
        </is>
      </c>
      <c r="D83" s="189" t="inlineStr">
        <is>
          <t>Khối lượng GD thỏa thuận trong kỳ</t>
        </is>
      </c>
      <c r="F83" s="184" t="inlineStr">
        <is>
          <t>Báo cáo</t>
        </is>
      </c>
      <c r="G83" s="4" t="inlineStr">
        <is>
          <t>Chỉ tiêu phái sinh</t>
        </is>
      </c>
      <c r="H83" s="4" t="inlineStr">
        <is>
          <t>Trùng</t>
        </is>
      </c>
      <c r="I83" s="4" t="inlineStr">
        <is>
          <t>ETF</t>
        </is>
      </c>
      <c r="L83" s="4" t="inlineStr">
        <is>
          <t>SGDCK</t>
        </is>
      </c>
    </row>
    <row r="84" hidden="1" ht="17" customHeight="1" s="380">
      <c r="B84" s="4" t="inlineStr">
        <is>
          <t>HNX01</t>
        </is>
      </c>
      <c r="D84" s="189" t="inlineStr">
        <is>
          <t>Giá giao dịch thỏa thuận</t>
        </is>
      </c>
      <c r="F84" s="184" t="inlineStr">
        <is>
          <t>Báo cáo</t>
        </is>
      </c>
      <c r="G84" s="4" t="inlineStr">
        <is>
          <t>Chỉ tiêu cơ sở</t>
        </is>
      </c>
      <c r="H84" s="4" t="inlineStr">
        <is>
          <t>Dễ</t>
        </is>
      </c>
      <c r="I84" s="4" t="inlineStr">
        <is>
          <t>ETF</t>
        </is>
      </c>
      <c r="L84" s="4" t="inlineStr">
        <is>
          <t>SGDCK</t>
        </is>
      </c>
    </row>
    <row r="85" hidden="1" ht="17" customHeight="1" s="380">
      <c r="B85" s="4" t="inlineStr">
        <is>
          <t>HNX01</t>
        </is>
      </c>
      <c r="D85" s="188" t="inlineStr">
        <is>
          <t>Giao dịch cổ phiếu quỹ</t>
        </is>
      </c>
      <c r="E85" s="4" t="inlineStr">
        <is>
          <t>Giao dịch cổ phiếu quỹ (Treasury Stock) là hoạt động công ty cổ phần đại chúng mua lại chính cổ phiếu đã phát hành của mình từ thị trường bằng nguồn vốn hợp pháp. Cổ phiếu này sau khi mua lại không có quyền biểu quyết, không nhận cổ tức và không được tính vào số cổ phiếu đang lưu hành</t>
        </is>
      </c>
      <c r="F85" s="184" t="inlineStr">
        <is>
          <t>Báo cáo</t>
        </is>
      </c>
      <c r="L85" s="4" t="inlineStr">
        <is>
          <t>SGDCK, IDS</t>
        </is>
      </c>
    </row>
    <row r="86" hidden="1" ht="17" customHeight="1" s="380">
      <c r="B86" s="4" t="inlineStr">
        <is>
          <t>HNX01</t>
        </is>
      </c>
      <c r="D86" s="189" t="inlineStr">
        <is>
          <t>Khối lượng giao dịch CP quỹ</t>
        </is>
      </c>
      <c r="F86" s="184" t="inlineStr">
        <is>
          <t>Báo cáo</t>
        </is>
      </c>
      <c r="G86" s="4" t="inlineStr">
        <is>
          <t>Chỉ tiêu phái sinh</t>
        </is>
      </c>
      <c r="H86" s="4" t="inlineStr">
        <is>
          <t>TB</t>
        </is>
      </c>
      <c r="I86" s="4" t="inlineStr">
        <is>
          <t>CP Quỹ</t>
        </is>
      </c>
      <c r="J86" s="4" t="n"/>
      <c r="K86" s="4" t="inlineStr">
        <is>
          <t>Σ KLGD CP quỹ</t>
        </is>
      </c>
      <c r="L86" s="4" t="inlineStr">
        <is>
          <t>SGDCK, IDS</t>
        </is>
      </c>
    </row>
    <row r="87" hidden="1" ht="17" customHeight="1" s="380">
      <c r="B87" s="4" t="inlineStr">
        <is>
          <t>HNX01</t>
        </is>
      </c>
      <c r="D87" s="189" t="inlineStr">
        <is>
          <t>Giá trị giao dịch CP quỹ</t>
        </is>
      </c>
      <c r="F87" s="184" t="inlineStr">
        <is>
          <t>Báo cáo</t>
        </is>
      </c>
      <c r="G87" s="4" t="inlineStr">
        <is>
          <t>Chỉ tiêu phái sinh</t>
        </is>
      </c>
      <c r="H87" s="4" t="inlineStr">
        <is>
          <t>TB</t>
        </is>
      </c>
      <c r="I87" s="4" t="inlineStr">
        <is>
          <t>CP Quỹ</t>
        </is>
      </c>
      <c r="J87" s="195" t="n"/>
      <c r="K87" s="195" t="inlineStr">
        <is>
          <t>∑ (Khối lượng giao dịch CP quỹ × Giá giao dịch)</t>
        </is>
      </c>
      <c r="L87" s="4" t="inlineStr">
        <is>
          <t>SGDCK, IDS</t>
        </is>
      </c>
    </row>
    <row r="88" hidden="1" ht="17" customHeight="1" s="380">
      <c r="B88" s="4" t="inlineStr">
        <is>
          <t>HNX01</t>
        </is>
      </c>
      <c r="D88" s="189" t="inlineStr">
        <is>
          <t>KLGD</t>
        </is>
      </c>
      <c r="F88" s="184" t="inlineStr">
        <is>
          <t>Báo cáo</t>
        </is>
      </c>
      <c r="G88" s="4" t="inlineStr">
        <is>
          <t>Chỉ tiêu phái sinh</t>
        </is>
      </c>
      <c r="H88" s="4" t="inlineStr">
        <is>
          <t>TB</t>
        </is>
      </c>
      <c r="I88" s="4" t="inlineStr">
        <is>
          <t>CP Quỹ</t>
        </is>
      </c>
      <c r="L88" s="4" t="inlineStr">
        <is>
          <t>SGDCK, IDS</t>
        </is>
      </c>
    </row>
    <row r="89" hidden="1" ht="17" customHeight="1" s="380">
      <c r="B89" s="4" t="inlineStr">
        <is>
          <t>HNX01</t>
        </is>
      </c>
      <c r="D89" s="189" t="inlineStr">
        <is>
          <t>Giá giao dịch</t>
        </is>
      </c>
      <c r="F89" s="184" t="inlineStr">
        <is>
          <t>Báo cáo</t>
        </is>
      </c>
      <c r="G89" s="4" t="inlineStr">
        <is>
          <t>Chỉ tiêu cơ sở</t>
        </is>
      </c>
      <c r="H89" s="4" t="inlineStr">
        <is>
          <t>TB</t>
        </is>
      </c>
      <c r="I89" s="4" t="inlineStr">
        <is>
          <t>CP Quỹ</t>
        </is>
      </c>
      <c r="L89" s="4" t="inlineStr">
        <is>
          <t>SGDCK, IDS</t>
        </is>
      </c>
    </row>
    <row r="90" hidden="1" ht="34" customHeight="1" s="380">
      <c r="B90" s="4" t="inlineStr">
        <is>
          <t>HNX01</t>
        </is>
      </c>
      <c r="D90" s="188" t="inlineStr">
        <is>
          <t>10. Giao dịch Nhà đầu tư nước ngoài (GDNĐTNN)</t>
        </is>
      </c>
      <c r="F90" s="184" t="inlineStr">
        <is>
          <t>Báo cáo</t>
        </is>
      </c>
    </row>
    <row r="91" hidden="1" ht="17" customHeight="1" s="380">
      <c r="B91" s="4" t="inlineStr">
        <is>
          <t>HNX01</t>
        </is>
      </c>
      <c r="D91" s="188" t="inlineStr">
        <is>
          <t>a. Giao dịch khớp lệnh (GDNĐTNN)</t>
        </is>
      </c>
      <c r="F91" s="184" t="inlineStr">
        <is>
          <t>Báo cáo</t>
        </is>
      </c>
    </row>
    <row r="92" hidden="1" ht="17" customHeight="1" s="380">
      <c r="B92" s="4" t="inlineStr">
        <is>
          <t>HNX01</t>
        </is>
      </c>
      <c r="D92" s="188" t="inlineStr">
        <is>
          <t>GDNĐTNN cổ phiếu niêm yết</t>
        </is>
      </c>
      <c r="E92" s="4" t="inlineStr">
        <is>
          <t>GD khớp lệnh</t>
        </is>
      </c>
      <c r="F92" s="184" t="inlineStr">
        <is>
          <t>Báo cáo</t>
        </is>
      </c>
    </row>
    <row r="93" hidden="1" ht="17" customHeight="1" s="380">
      <c r="B93" s="4" t="inlineStr">
        <is>
          <t>HNX01</t>
        </is>
      </c>
      <c r="D93" s="189" t="inlineStr">
        <is>
          <t>Khối lượng giao dịch cổ phiếu niêm yết</t>
        </is>
      </c>
      <c r="E93" s="4" t="inlineStr">
        <is>
          <t>GD khớp lệnh</t>
        </is>
      </c>
      <c r="F93" s="184" t="inlineStr">
        <is>
          <t>Báo cáo</t>
        </is>
      </c>
      <c r="G93" s="4" t="inlineStr">
        <is>
          <t>Chỉ tiêu phái sinh</t>
        </is>
      </c>
      <c r="H93" s="4" t="inlineStr">
        <is>
          <t>TB</t>
        </is>
      </c>
      <c r="L93" s="4" t="inlineStr">
        <is>
          <t>SGDCK</t>
        </is>
      </c>
    </row>
    <row r="94" hidden="1" ht="17" customHeight="1" s="380">
      <c r="B94" s="4" t="inlineStr">
        <is>
          <t>HNX01</t>
        </is>
      </c>
      <c r="D94" s="196" t="inlineStr">
        <is>
          <t xml:space="preserve"> + Khối lượng mua</t>
        </is>
      </c>
      <c r="E94" s="4" t="inlineStr">
        <is>
          <t>Khối lượng NĐTNN mua CPNY</t>
        </is>
      </c>
      <c r="F94" s="184" t="inlineStr">
        <is>
          <t>Báo cáo</t>
        </is>
      </c>
      <c r="G94" s="4" t="inlineStr">
        <is>
          <t>Chỉ tiêu phái sinh</t>
        </is>
      </c>
      <c r="H94" s="4" t="inlineStr">
        <is>
          <t>TB</t>
        </is>
      </c>
      <c r="I94" s="4" t="n"/>
      <c r="J94" s="4" t="n"/>
      <c r="K94" s="4" t="inlineStr">
        <is>
          <t>Σ KL mua của NĐTNN</t>
        </is>
      </c>
      <c r="L94" s="4" t="inlineStr">
        <is>
          <t>SGDCK</t>
        </is>
      </c>
    </row>
    <row r="95" hidden="1" ht="17" customHeight="1" s="380">
      <c r="B95" s="4" t="inlineStr">
        <is>
          <t>HNX01</t>
        </is>
      </c>
      <c r="D95" s="196" t="inlineStr">
        <is>
          <t xml:space="preserve"> + Khối lượng bán</t>
        </is>
      </c>
      <c r="E95" s="4" t="inlineStr">
        <is>
          <t>Khối lượng NĐTNN bán CPNY</t>
        </is>
      </c>
      <c r="F95" s="184" t="inlineStr">
        <is>
          <t>Báo cáo</t>
        </is>
      </c>
      <c r="G95" s="4" t="inlineStr">
        <is>
          <t>Chỉ tiêu phái sinh</t>
        </is>
      </c>
      <c r="H95" s="4" t="inlineStr">
        <is>
          <t>TB</t>
        </is>
      </c>
      <c r="I95" s="4" t="n"/>
      <c r="J95" s="4" t="n"/>
      <c r="K95" s="4" t="inlineStr">
        <is>
          <t>Σ KL bán của NĐTNN</t>
        </is>
      </c>
      <c r="L95" s="4" t="inlineStr">
        <is>
          <t>SGDCK</t>
        </is>
      </c>
    </row>
    <row r="96" hidden="1" ht="17" customHeight="1" s="380">
      <c r="B96" s="4" t="inlineStr">
        <is>
          <t>HNX01</t>
        </is>
      </c>
      <c r="D96" s="189" t="inlineStr">
        <is>
          <t>Giá trị giao dịch cổ phiếu niêm yết</t>
        </is>
      </c>
      <c r="F96" s="184" t="inlineStr">
        <is>
          <t>Báo cáo</t>
        </is>
      </c>
    </row>
    <row r="97" hidden="1" ht="17" customHeight="1" s="380">
      <c r="B97" s="4" t="inlineStr">
        <is>
          <t>HNX01</t>
        </is>
      </c>
      <c r="D97" s="196" t="inlineStr">
        <is>
          <t xml:space="preserve"> + Giá trị mua</t>
        </is>
      </c>
      <c r="F97" s="184" t="inlineStr">
        <is>
          <t>Báo cáo</t>
        </is>
      </c>
      <c r="G97" s="4" t="inlineStr">
        <is>
          <t>Chỉ tiêu phái sinh</t>
        </is>
      </c>
      <c r="H97" s="4" t="inlineStr">
        <is>
          <t>Dễ</t>
        </is>
      </c>
    </row>
    <row r="98" hidden="1" ht="17" customHeight="1" s="380">
      <c r="B98" s="4" t="inlineStr">
        <is>
          <t>HNX01</t>
        </is>
      </c>
      <c r="D98" s="197" t="inlineStr">
        <is>
          <t>KL mua</t>
        </is>
      </c>
      <c r="E98" s="198" t="inlineStr">
        <is>
          <t>Khối lượng GD khớp lệnh trong kỳ</t>
        </is>
      </c>
      <c r="F98" s="184" t="inlineStr">
        <is>
          <t>Báo cáo</t>
        </is>
      </c>
      <c r="G98" s="4" t="inlineStr">
        <is>
          <t>Chỉ tiêu phái sinh</t>
        </is>
      </c>
      <c r="H98" s="4" t="inlineStr">
        <is>
          <t>Trùng</t>
        </is>
      </c>
    </row>
    <row r="99" hidden="1" ht="17" customHeight="1" s="380">
      <c r="B99" s="4" t="inlineStr">
        <is>
          <t>HNX01</t>
        </is>
      </c>
      <c r="D99" s="197" t="inlineStr">
        <is>
          <t>Giá mua</t>
        </is>
      </c>
      <c r="E99" s="198" t="inlineStr">
        <is>
          <t>Giá giao dịch khớp lệnh</t>
        </is>
      </c>
      <c r="F99" s="184" t="inlineStr">
        <is>
          <t>Báo cáo</t>
        </is>
      </c>
      <c r="G99" s="4" t="inlineStr">
        <is>
          <t>Chỉ tiêu cơ sở</t>
        </is>
      </c>
      <c r="H99" s="4" t="inlineStr">
        <is>
          <t>Dễ</t>
        </is>
      </c>
    </row>
    <row r="100" hidden="1" ht="17" customHeight="1" s="380">
      <c r="B100" s="4" t="inlineStr">
        <is>
          <t>HNX01</t>
        </is>
      </c>
      <c r="D100" s="196" t="inlineStr">
        <is>
          <t xml:space="preserve"> + Giá trị bán</t>
        </is>
      </c>
      <c r="F100" s="184" t="inlineStr">
        <is>
          <t>Báo cáo</t>
        </is>
      </c>
      <c r="G100" s="4" t="inlineStr">
        <is>
          <t>Chỉ tiêu phái sinh</t>
        </is>
      </c>
      <c r="H100" s="4" t="inlineStr">
        <is>
          <t>Trùng</t>
        </is>
      </c>
    </row>
    <row r="101" hidden="1" ht="17" customHeight="1" s="380">
      <c r="B101" s="4" t="inlineStr">
        <is>
          <t>HNX01</t>
        </is>
      </c>
      <c r="D101" s="197" t="inlineStr">
        <is>
          <t>KL bán</t>
        </is>
      </c>
      <c r="F101" s="184" t="inlineStr">
        <is>
          <t>Báo cáo</t>
        </is>
      </c>
      <c r="G101" s="4" t="inlineStr">
        <is>
          <t>Chỉ tiêu phái sinh</t>
        </is>
      </c>
      <c r="H101" s="4" t="inlineStr">
        <is>
          <t>TB</t>
        </is>
      </c>
    </row>
    <row r="102" hidden="1" ht="17" customHeight="1" s="380">
      <c r="B102" s="4" t="inlineStr">
        <is>
          <t>HNX01</t>
        </is>
      </c>
      <c r="D102" s="197" t="inlineStr">
        <is>
          <t>Giá bán</t>
        </is>
      </c>
      <c r="F102" s="184" t="inlineStr">
        <is>
          <t>Báo cáo</t>
        </is>
      </c>
      <c r="G102" s="4" t="inlineStr">
        <is>
          <t>Chỉ tiêu cơ sở</t>
        </is>
      </c>
      <c r="H102" s="4" t="inlineStr">
        <is>
          <t>Dễ</t>
        </is>
      </c>
    </row>
    <row r="103" hidden="1" ht="17" customHeight="1" s="380">
      <c r="B103" s="4" t="inlineStr">
        <is>
          <t>HNX01</t>
        </is>
      </c>
      <c r="D103" s="188" t="inlineStr">
        <is>
          <t>GDNĐTNN chứng chỉ quỹ</t>
        </is>
      </c>
      <c r="F103" s="184" t="inlineStr">
        <is>
          <t>Báo cáo</t>
        </is>
      </c>
    </row>
    <row r="104" hidden="1" ht="17" customHeight="1" s="380">
      <c r="B104" s="4" t="inlineStr">
        <is>
          <t>HNX01</t>
        </is>
      </c>
      <c r="D104" s="189" t="inlineStr">
        <is>
          <t>Khối lượng giao dịch Chứng chỉ quỹ</t>
        </is>
      </c>
      <c r="F104" s="184" t="inlineStr">
        <is>
          <t>Báo cáo</t>
        </is>
      </c>
    </row>
    <row r="105" hidden="1" ht="17" customHeight="1" s="380">
      <c r="B105" s="4" t="inlineStr">
        <is>
          <t>HNX01</t>
        </is>
      </c>
      <c r="D105" s="196" t="inlineStr">
        <is>
          <t xml:space="preserve"> + Khối lượng mua</t>
        </is>
      </c>
      <c r="F105" s="184" t="inlineStr">
        <is>
          <t>Báo cáo</t>
        </is>
      </c>
      <c r="G105" s="4" t="inlineStr">
        <is>
          <t>Chỉ tiêu phái sinh</t>
        </is>
      </c>
      <c r="H105" s="4" t="inlineStr">
        <is>
          <t>TB</t>
        </is>
      </c>
      <c r="I105" s="4" t="n"/>
      <c r="J105" s="4" t="n"/>
      <c r="K105" s="4" t="inlineStr">
        <is>
          <t>Σ KL mua CCQ của NĐTNN</t>
        </is>
      </c>
    </row>
    <row r="106" hidden="1" ht="17" customHeight="1" s="380">
      <c r="B106" s="4" t="inlineStr">
        <is>
          <t>HNX01</t>
        </is>
      </c>
      <c r="D106" s="196" t="inlineStr">
        <is>
          <t xml:space="preserve"> + Khối lượng bán</t>
        </is>
      </c>
      <c r="F106" s="184" t="inlineStr">
        <is>
          <t>Báo cáo</t>
        </is>
      </c>
      <c r="G106" s="4" t="inlineStr">
        <is>
          <t>Chỉ tiêu phái sinh</t>
        </is>
      </c>
      <c r="H106" s="4" t="inlineStr">
        <is>
          <t>TB</t>
        </is>
      </c>
      <c r="I106" s="4" t="n"/>
      <c r="J106" s="4" t="n"/>
      <c r="K106" s="4" t="inlineStr">
        <is>
          <t>Σ KL bán CCQ của NĐTNN</t>
        </is>
      </c>
    </row>
    <row r="107" hidden="1" ht="17" customHeight="1" s="380">
      <c r="B107" s="4" t="inlineStr">
        <is>
          <t>HNX01</t>
        </is>
      </c>
      <c r="D107" s="189" t="inlineStr">
        <is>
          <t>Giá trị giao dịch chứng chỉ quỹ</t>
        </is>
      </c>
      <c r="F107" s="184" t="inlineStr">
        <is>
          <t>Báo cáo</t>
        </is>
      </c>
    </row>
    <row r="108" hidden="1" ht="17" customHeight="1" s="380">
      <c r="B108" s="4" t="inlineStr">
        <is>
          <t>HNX01</t>
        </is>
      </c>
      <c r="D108" s="196" t="inlineStr">
        <is>
          <t xml:space="preserve"> + Giá trị mua</t>
        </is>
      </c>
      <c r="F108" s="184" t="inlineStr">
        <is>
          <t>Báo cáo</t>
        </is>
      </c>
      <c r="G108" s="4" t="inlineStr">
        <is>
          <t>Chỉ tiêu phái sinh</t>
        </is>
      </c>
      <c r="H108" s="4" t="inlineStr">
        <is>
          <t>Dễ</t>
        </is>
      </c>
    </row>
    <row r="109" hidden="1" ht="17" customHeight="1" s="380">
      <c r="B109" s="4" t="inlineStr">
        <is>
          <t>HNX01</t>
        </is>
      </c>
      <c r="D109" s="197" t="inlineStr">
        <is>
          <t>KL mua</t>
        </is>
      </c>
      <c r="F109" s="184" t="inlineStr">
        <is>
          <t>Báo cáo</t>
        </is>
      </c>
      <c r="G109" s="4" t="inlineStr">
        <is>
          <t>Chỉ tiêu phái sinh</t>
        </is>
      </c>
      <c r="H109" s="4" t="inlineStr">
        <is>
          <t>Trùng</t>
        </is>
      </c>
    </row>
    <row r="110" hidden="1" ht="17" customHeight="1" s="380">
      <c r="B110" s="4" t="inlineStr">
        <is>
          <t>HNX01</t>
        </is>
      </c>
      <c r="D110" s="197" t="inlineStr">
        <is>
          <t>Giá mua</t>
        </is>
      </c>
      <c r="F110" s="184" t="inlineStr">
        <is>
          <t>Báo cáo</t>
        </is>
      </c>
      <c r="G110" s="4" t="inlineStr">
        <is>
          <t>Chỉ tiêu cơ sở</t>
        </is>
      </c>
      <c r="H110" s="4" t="inlineStr">
        <is>
          <t>Dễ</t>
        </is>
      </c>
    </row>
    <row r="111" hidden="1" ht="17" customHeight="1" s="380">
      <c r="B111" s="4" t="inlineStr">
        <is>
          <t>HNX01</t>
        </is>
      </c>
      <c r="D111" s="196" t="inlineStr">
        <is>
          <t xml:space="preserve"> + Giá trị bán</t>
        </is>
      </c>
      <c r="F111" s="184" t="inlineStr">
        <is>
          <t>Báo cáo</t>
        </is>
      </c>
      <c r="G111" s="4" t="inlineStr">
        <is>
          <t>Chỉ tiêu phái sinh</t>
        </is>
      </c>
      <c r="H111" s="4" t="inlineStr">
        <is>
          <t>Dễ</t>
        </is>
      </c>
    </row>
    <row r="112" hidden="1" ht="17" customHeight="1" s="380">
      <c r="B112" s="4" t="inlineStr">
        <is>
          <t>HNX01</t>
        </is>
      </c>
      <c r="D112" s="197" t="inlineStr">
        <is>
          <t>Khối lượng</t>
        </is>
      </c>
      <c r="F112" s="184" t="inlineStr">
        <is>
          <t>Báo cáo</t>
        </is>
      </c>
      <c r="G112" s="4" t="inlineStr">
        <is>
          <t>Chỉ tiêu phái sinh</t>
        </is>
      </c>
      <c r="H112" s="4" t="inlineStr">
        <is>
          <t>Trùng</t>
        </is>
      </c>
    </row>
    <row r="113" hidden="1" ht="17" customHeight="1" s="380">
      <c r="B113" s="4" t="inlineStr">
        <is>
          <t>HNX01</t>
        </is>
      </c>
      <c r="D113" s="197" t="inlineStr">
        <is>
          <t xml:space="preserve">Giá </t>
        </is>
      </c>
      <c r="F113" s="184" t="inlineStr">
        <is>
          <t>Báo cáo</t>
        </is>
      </c>
      <c r="G113" s="4" t="inlineStr">
        <is>
          <t>Chỉ tiêu cơ sở</t>
        </is>
      </c>
      <c r="H113" s="4" t="inlineStr">
        <is>
          <t>Dễ</t>
        </is>
      </c>
    </row>
    <row r="114" hidden="1" ht="17" customHeight="1" s="380">
      <c r="B114" s="4" t="inlineStr">
        <is>
          <t>HNX01</t>
        </is>
      </c>
      <c r="D114" s="188" t="inlineStr">
        <is>
          <t>GDNĐTNN ETF</t>
        </is>
      </c>
      <c r="F114" s="184" t="inlineStr">
        <is>
          <t>Báo cáo</t>
        </is>
      </c>
    </row>
    <row r="115" hidden="1" ht="17" customHeight="1" s="380">
      <c r="B115" s="4" t="inlineStr">
        <is>
          <t>HNX01</t>
        </is>
      </c>
      <c r="D115" s="189" t="inlineStr">
        <is>
          <t>Khối lượng giao dịch ETF</t>
        </is>
      </c>
      <c r="F115" s="184" t="inlineStr">
        <is>
          <t>Báo cáo</t>
        </is>
      </c>
    </row>
    <row r="116" hidden="1" ht="17" customHeight="1" s="380">
      <c r="B116" s="4" t="inlineStr">
        <is>
          <t>HNX01</t>
        </is>
      </c>
      <c r="D116" s="196" t="inlineStr">
        <is>
          <t xml:space="preserve"> + Khối lượng mua</t>
        </is>
      </c>
      <c r="F116" s="184" t="inlineStr">
        <is>
          <t>Báo cáo</t>
        </is>
      </c>
      <c r="G116" s="4" t="inlineStr">
        <is>
          <t>Chỉ tiêu phái sinh</t>
        </is>
      </c>
      <c r="H116" s="4" t="inlineStr">
        <is>
          <t>TB</t>
        </is>
      </c>
      <c r="I116" s="4" t="n"/>
      <c r="J116" s="4" t="n"/>
      <c r="K116" s="4" t="inlineStr">
        <is>
          <t>Σ KL mua ETF của NĐTNN</t>
        </is>
      </c>
    </row>
    <row r="117" hidden="1" ht="17" customHeight="1" s="380">
      <c r="B117" s="4" t="inlineStr">
        <is>
          <t>HNX01</t>
        </is>
      </c>
      <c r="D117" s="196" t="inlineStr">
        <is>
          <t xml:space="preserve"> + Khối lượng bán</t>
        </is>
      </c>
      <c r="F117" s="184" t="inlineStr">
        <is>
          <t>Báo cáo</t>
        </is>
      </c>
      <c r="G117" s="4" t="inlineStr">
        <is>
          <t>Chỉ tiêu phái sinh</t>
        </is>
      </c>
      <c r="H117" s="4" t="inlineStr">
        <is>
          <t>TB</t>
        </is>
      </c>
      <c r="I117" s="4" t="n"/>
      <c r="J117" s="4" t="n"/>
      <c r="K117" s="4" t="inlineStr">
        <is>
          <t>Σ KL bán ETF của NĐTNN</t>
        </is>
      </c>
    </row>
    <row r="118" hidden="1" ht="17" customHeight="1" s="380">
      <c r="B118" s="4" t="inlineStr">
        <is>
          <t>HNX01</t>
        </is>
      </c>
      <c r="D118" s="189" t="inlineStr">
        <is>
          <t>Giá trị giao dịch ETF</t>
        </is>
      </c>
      <c r="F118" s="184" t="inlineStr">
        <is>
          <t>Báo cáo</t>
        </is>
      </c>
    </row>
    <row r="119" hidden="1" ht="17" customHeight="1" s="380">
      <c r="B119" s="4" t="inlineStr">
        <is>
          <t>HNX01</t>
        </is>
      </c>
      <c r="D119" s="196" t="inlineStr">
        <is>
          <t xml:space="preserve"> + Giá trị mua</t>
        </is>
      </c>
      <c r="F119" s="184" t="inlineStr">
        <is>
          <t>Báo cáo</t>
        </is>
      </c>
      <c r="G119" s="4" t="inlineStr">
        <is>
          <t>Chỉ tiêu phái sinh</t>
        </is>
      </c>
      <c r="H119" s="4" t="inlineStr">
        <is>
          <t>Dễ</t>
        </is>
      </c>
    </row>
    <row r="120" hidden="1" ht="17" customHeight="1" s="380">
      <c r="B120" s="4" t="inlineStr">
        <is>
          <t>HNX01</t>
        </is>
      </c>
      <c r="D120" s="197" t="inlineStr">
        <is>
          <t>Khối lượng</t>
        </is>
      </c>
      <c r="F120" s="184" t="inlineStr">
        <is>
          <t>Báo cáo</t>
        </is>
      </c>
      <c r="G120" s="4" t="inlineStr">
        <is>
          <t>Chỉ tiêu phái sinh</t>
        </is>
      </c>
      <c r="H120" s="4" t="inlineStr">
        <is>
          <t>Trùng</t>
        </is>
      </c>
    </row>
    <row r="121" hidden="1" ht="17" customHeight="1" s="380">
      <c r="B121" s="4" t="inlineStr">
        <is>
          <t>HNX01</t>
        </is>
      </c>
      <c r="D121" s="197" t="inlineStr">
        <is>
          <t xml:space="preserve">Giá </t>
        </is>
      </c>
      <c r="F121" s="184" t="inlineStr">
        <is>
          <t>Báo cáo</t>
        </is>
      </c>
      <c r="G121" s="4" t="inlineStr">
        <is>
          <t>Chỉ tiêu cơ sở</t>
        </is>
      </c>
      <c r="H121" s="4" t="inlineStr">
        <is>
          <t>Dễ</t>
        </is>
      </c>
    </row>
    <row r="122" hidden="1" ht="17" customHeight="1" s="380">
      <c r="B122" s="4" t="inlineStr">
        <is>
          <t>HNX01</t>
        </is>
      </c>
      <c r="D122" s="196" t="inlineStr">
        <is>
          <t xml:space="preserve"> + Giá trị bán</t>
        </is>
      </c>
      <c r="F122" s="184" t="inlineStr">
        <is>
          <t>Báo cáo</t>
        </is>
      </c>
      <c r="G122" s="4" t="inlineStr">
        <is>
          <t>Chỉ tiêu phái sinh</t>
        </is>
      </c>
      <c r="H122" s="4" t="inlineStr">
        <is>
          <t>Dễ</t>
        </is>
      </c>
    </row>
    <row r="123" hidden="1" ht="17" customHeight="1" s="380">
      <c r="B123" s="4" t="inlineStr">
        <is>
          <t>HNX01</t>
        </is>
      </c>
      <c r="D123" s="197" t="inlineStr">
        <is>
          <t>Khối lượng</t>
        </is>
      </c>
      <c r="F123" s="184" t="inlineStr">
        <is>
          <t>Báo cáo</t>
        </is>
      </c>
      <c r="G123" s="4" t="inlineStr">
        <is>
          <t>Chỉ tiêu phái sinh</t>
        </is>
      </c>
      <c r="H123" s="4" t="inlineStr">
        <is>
          <t>Trùng</t>
        </is>
      </c>
    </row>
    <row r="124" hidden="1" ht="17" customHeight="1" s="380">
      <c r="B124" s="4" t="inlineStr">
        <is>
          <t>HNX01</t>
        </is>
      </c>
      <c r="D124" s="197" t="inlineStr">
        <is>
          <t xml:space="preserve">Giá </t>
        </is>
      </c>
      <c r="F124" s="184" t="inlineStr">
        <is>
          <t>Báo cáo</t>
        </is>
      </c>
      <c r="G124" s="4" t="inlineStr">
        <is>
          <t>Chỉ tiêu cơ sở</t>
        </is>
      </c>
      <c r="H124" s="4" t="inlineStr">
        <is>
          <t>Dễ</t>
        </is>
      </c>
    </row>
    <row r="125" hidden="1" ht="15" customHeight="1" s="380">
      <c r="B125" s="4" t="inlineStr">
        <is>
          <t>HNX01</t>
        </is>
      </c>
      <c r="D125" s="199" t="inlineStr">
        <is>
          <t>Giao dịch thỏa thuận (GDNĐTNN)</t>
        </is>
      </c>
      <c r="E125" s="4" t="inlineStr">
        <is>
          <t>Giao dịch thỏa thuận</t>
        </is>
      </c>
      <c r="F125" s="184" t="inlineStr">
        <is>
          <t>Báo cáo</t>
        </is>
      </c>
    </row>
    <row r="126" hidden="1" ht="17" customHeight="1" s="380">
      <c r="B126" s="4" t="inlineStr">
        <is>
          <t>HNX01</t>
        </is>
      </c>
      <c r="D126" s="188" t="inlineStr">
        <is>
          <t>GDNĐTNN cổ phiếu niêm yết</t>
        </is>
      </c>
      <c r="F126" s="184" t="inlineStr">
        <is>
          <t>Báo cáo</t>
        </is>
      </c>
    </row>
    <row r="127" hidden="1" ht="17" customHeight="1" s="380">
      <c r="B127" s="4" t="inlineStr">
        <is>
          <t>HNX01</t>
        </is>
      </c>
      <c r="D127" s="189" t="inlineStr">
        <is>
          <t>Khối lượng giao dịch cổ phiếu niêm yết</t>
        </is>
      </c>
      <c r="F127" s="184" t="inlineStr">
        <is>
          <t>Báo cáo</t>
        </is>
      </c>
    </row>
    <row r="128" hidden="1" ht="17" customHeight="1" s="380">
      <c r="B128" s="4" t="inlineStr">
        <is>
          <t>HNX01</t>
        </is>
      </c>
      <c r="D128" s="196" t="inlineStr">
        <is>
          <t xml:space="preserve"> + Khối lượng mua</t>
        </is>
      </c>
      <c r="F128" s="184" t="inlineStr">
        <is>
          <t>Báo cáo</t>
        </is>
      </c>
      <c r="G128" s="4" t="inlineStr">
        <is>
          <t>Chỉ tiêu phái sinh</t>
        </is>
      </c>
      <c r="H128" s="4" t="inlineStr">
        <is>
          <t>TB</t>
        </is>
      </c>
      <c r="I128" s="4" t="n"/>
      <c r="J128" s="4" t="n"/>
      <c r="K128" s="4" t="inlineStr">
        <is>
          <t>Σ KL mua CPNY của NĐTNN</t>
        </is>
      </c>
    </row>
    <row r="129" hidden="1" ht="17" customHeight="1" s="380">
      <c r="B129" s="4" t="inlineStr">
        <is>
          <t>HNX01</t>
        </is>
      </c>
      <c r="D129" s="196" t="inlineStr">
        <is>
          <t xml:space="preserve"> + Khối lượng bán</t>
        </is>
      </c>
      <c r="F129" s="184" t="inlineStr">
        <is>
          <t>Báo cáo</t>
        </is>
      </c>
      <c r="G129" s="4" t="inlineStr">
        <is>
          <t>Chỉ tiêu phái sinh</t>
        </is>
      </c>
      <c r="H129" s="4" t="inlineStr">
        <is>
          <t>TB</t>
        </is>
      </c>
      <c r="I129" s="4" t="n"/>
      <c r="J129" s="4" t="n"/>
      <c r="K129" s="4" t="inlineStr">
        <is>
          <t>Σ KL bán CPNY của NĐTNN</t>
        </is>
      </c>
    </row>
    <row r="130" hidden="1" ht="17" customHeight="1" s="380">
      <c r="B130" s="4" t="inlineStr">
        <is>
          <t>HNX01</t>
        </is>
      </c>
      <c r="D130" s="189" t="inlineStr">
        <is>
          <t>Giá trị giao dịch cổ phiếu niêm yết</t>
        </is>
      </c>
      <c r="F130" s="184" t="inlineStr">
        <is>
          <t>Báo cáo</t>
        </is>
      </c>
    </row>
    <row r="131" hidden="1" ht="17" customHeight="1" s="380">
      <c r="B131" s="4" t="inlineStr">
        <is>
          <t>HNX01</t>
        </is>
      </c>
      <c r="D131" s="196" t="inlineStr">
        <is>
          <t xml:space="preserve"> + Giá trị mua</t>
        </is>
      </c>
      <c r="F131" s="184" t="inlineStr">
        <is>
          <t>Báo cáo</t>
        </is>
      </c>
      <c r="G131" s="4" t="inlineStr">
        <is>
          <t>Chỉ tiêu phái sinh</t>
        </is>
      </c>
      <c r="H131" s="4" t="inlineStr">
        <is>
          <t>Dễ</t>
        </is>
      </c>
    </row>
    <row r="132" hidden="1" ht="17" customHeight="1" s="380">
      <c r="B132" s="4" t="inlineStr">
        <is>
          <t>HNX01</t>
        </is>
      </c>
      <c r="D132" s="197" t="inlineStr">
        <is>
          <t>Khối lượng</t>
        </is>
      </c>
      <c r="F132" s="184" t="inlineStr">
        <is>
          <t>Báo cáo</t>
        </is>
      </c>
      <c r="G132" s="4" t="inlineStr">
        <is>
          <t>Chỉ tiêu phái sinh</t>
        </is>
      </c>
      <c r="H132" s="4" t="inlineStr">
        <is>
          <t>Trùng</t>
        </is>
      </c>
    </row>
    <row r="133" hidden="1" ht="17" customHeight="1" s="380">
      <c r="B133" s="4" t="inlineStr">
        <is>
          <t>HNX01</t>
        </is>
      </c>
      <c r="D133" s="197" t="inlineStr">
        <is>
          <t xml:space="preserve">Giá </t>
        </is>
      </c>
      <c r="F133" s="184" t="inlineStr">
        <is>
          <t>Báo cáo</t>
        </is>
      </c>
      <c r="G133" s="4" t="inlineStr">
        <is>
          <t>Chỉ tiêu cơ sở</t>
        </is>
      </c>
      <c r="H133" s="4" t="inlineStr">
        <is>
          <t>Dễ</t>
        </is>
      </c>
    </row>
    <row r="134" hidden="1" ht="17" customHeight="1" s="380">
      <c r="B134" s="4" t="inlineStr">
        <is>
          <t>HNX01</t>
        </is>
      </c>
      <c r="D134" s="196" t="inlineStr">
        <is>
          <t xml:space="preserve"> + Giá trị bán</t>
        </is>
      </c>
      <c r="F134" s="184" t="inlineStr">
        <is>
          <t>Báo cáo</t>
        </is>
      </c>
      <c r="G134" s="4" t="inlineStr">
        <is>
          <t>Chỉ tiêu phái sinh</t>
        </is>
      </c>
      <c r="H134" s="4" t="inlineStr">
        <is>
          <t>Dễ</t>
        </is>
      </c>
    </row>
    <row r="135" hidden="1" ht="17" customHeight="1" s="380">
      <c r="B135" s="4" t="inlineStr">
        <is>
          <t>HNX01</t>
        </is>
      </c>
      <c r="D135" s="197" t="inlineStr">
        <is>
          <t>Khối lượng</t>
        </is>
      </c>
      <c r="F135" s="184" t="inlineStr">
        <is>
          <t>Báo cáo</t>
        </is>
      </c>
      <c r="G135" s="4" t="inlineStr">
        <is>
          <t>Chỉ tiêu phái sinh</t>
        </is>
      </c>
      <c r="H135" s="4" t="inlineStr">
        <is>
          <t>Trùng</t>
        </is>
      </c>
    </row>
    <row r="136" hidden="1" ht="17" customHeight="1" s="380">
      <c r="B136" s="4" t="inlineStr">
        <is>
          <t>HNX01</t>
        </is>
      </c>
      <c r="D136" s="197" t="inlineStr">
        <is>
          <t xml:space="preserve">Giá </t>
        </is>
      </c>
      <c r="F136" s="184" t="inlineStr">
        <is>
          <t>Báo cáo</t>
        </is>
      </c>
      <c r="G136" s="4" t="inlineStr">
        <is>
          <t>Chỉ tiêu cơ sở</t>
        </is>
      </c>
      <c r="H136" s="4" t="inlineStr">
        <is>
          <t>Dễ</t>
        </is>
      </c>
    </row>
    <row r="137" hidden="1" ht="17" customHeight="1" s="380">
      <c r="B137" s="4" t="inlineStr">
        <is>
          <t>HNX01</t>
        </is>
      </c>
      <c r="D137" s="200" t="inlineStr">
        <is>
          <t>GDNĐTNN trái phiếu doanh nghiệp</t>
        </is>
      </c>
      <c r="F137" s="184" t="inlineStr">
        <is>
          <t>Báo cáo</t>
        </is>
      </c>
    </row>
    <row r="138" hidden="1" ht="34" customHeight="1" s="380">
      <c r="B138" s="4" t="inlineStr">
        <is>
          <t>HNX01</t>
        </is>
      </c>
      <c r="D138" s="191" t="inlineStr">
        <is>
          <t>Khối lượng giao dịch trái phiếu doanh nghiệp</t>
        </is>
      </c>
      <c r="F138" s="184" t="inlineStr">
        <is>
          <t>Báo cáo</t>
        </is>
      </c>
    </row>
    <row r="139" hidden="1" ht="17" customHeight="1" s="380">
      <c r="B139" s="4" t="inlineStr">
        <is>
          <t>HNX01</t>
        </is>
      </c>
      <c r="D139" s="196" t="inlineStr">
        <is>
          <t xml:space="preserve"> + Khối lượng mua</t>
        </is>
      </c>
      <c r="F139" s="184" t="inlineStr">
        <is>
          <t>Báo cáo</t>
        </is>
      </c>
      <c r="G139" s="4" t="inlineStr">
        <is>
          <t>Chỉ tiêu phái sinh</t>
        </is>
      </c>
      <c r="H139" s="4" t="inlineStr">
        <is>
          <t>TB</t>
        </is>
      </c>
      <c r="I139" s="4" t="n"/>
      <c r="J139" s="4" t="n"/>
      <c r="K139" s="4" t="inlineStr">
        <is>
          <t>Σ KL mua TPDN của NĐTNN</t>
        </is>
      </c>
    </row>
    <row r="140" hidden="1" ht="17" customHeight="1" s="380">
      <c r="B140" s="4" t="inlineStr">
        <is>
          <t>HNX01</t>
        </is>
      </c>
      <c r="D140" s="196" t="inlineStr">
        <is>
          <t xml:space="preserve"> + Khối lượng bán</t>
        </is>
      </c>
      <c r="F140" s="184" t="inlineStr">
        <is>
          <t>Báo cáo</t>
        </is>
      </c>
      <c r="G140" s="4" t="inlineStr">
        <is>
          <t>Chỉ tiêu phái sinh</t>
        </is>
      </c>
      <c r="H140" s="4" t="inlineStr">
        <is>
          <t>TB</t>
        </is>
      </c>
      <c r="I140" s="4" t="n"/>
      <c r="J140" s="4" t="n"/>
      <c r="K140" s="4" t="inlineStr">
        <is>
          <t>Σ KL bán TPDN của NĐTNN</t>
        </is>
      </c>
    </row>
    <row r="141" hidden="1" ht="17" customHeight="1" s="380">
      <c r="B141" s="4" t="inlineStr">
        <is>
          <t>HNX01</t>
        </is>
      </c>
      <c r="D141" s="191" t="inlineStr">
        <is>
          <t>Giá trị giao dịch trái phiếu doanh nghiệp</t>
        </is>
      </c>
      <c r="F141" s="184" t="inlineStr">
        <is>
          <t>Báo cáo</t>
        </is>
      </c>
    </row>
    <row r="142" hidden="1" ht="17" customHeight="1" s="380">
      <c r="B142" s="4" t="inlineStr">
        <is>
          <t>HNX01</t>
        </is>
      </c>
      <c r="D142" s="196" t="inlineStr">
        <is>
          <t xml:space="preserve"> + Giá trị mua</t>
        </is>
      </c>
      <c r="F142" s="184" t="inlineStr">
        <is>
          <t>Báo cáo</t>
        </is>
      </c>
      <c r="G142" s="4" t="inlineStr">
        <is>
          <t>Chỉ tiêu phái sinh</t>
        </is>
      </c>
      <c r="H142" s="4" t="inlineStr">
        <is>
          <t>Dễ</t>
        </is>
      </c>
    </row>
    <row r="143" hidden="1" ht="17" customHeight="1" s="380">
      <c r="B143" s="4" t="inlineStr">
        <is>
          <t>HNX01</t>
        </is>
      </c>
      <c r="D143" s="197" t="inlineStr">
        <is>
          <t>Khối lượng</t>
        </is>
      </c>
      <c r="F143" s="184" t="inlineStr">
        <is>
          <t>Báo cáo</t>
        </is>
      </c>
      <c r="G143" s="4" t="inlineStr">
        <is>
          <t>Chỉ tiêu phái sinh</t>
        </is>
      </c>
      <c r="H143" s="4" t="inlineStr">
        <is>
          <t>Trùng</t>
        </is>
      </c>
    </row>
    <row r="144" hidden="1" ht="17" customHeight="1" s="380">
      <c r="B144" s="4" t="inlineStr">
        <is>
          <t>HNX01</t>
        </is>
      </c>
      <c r="D144" s="197" t="inlineStr">
        <is>
          <t xml:space="preserve">Giá </t>
        </is>
      </c>
      <c r="F144" s="184" t="inlineStr">
        <is>
          <t>Báo cáo</t>
        </is>
      </c>
      <c r="G144" s="4" t="inlineStr">
        <is>
          <t>Chỉ tiêu cơ sở</t>
        </is>
      </c>
      <c r="H144" s="4" t="inlineStr">
        <is>
          <t>Dễ</t>
        </is>
      </c>
    </row>
    <row r="145" hidden="1" ht="17" customHeight="1" s="380">
      <c r="B145" s="4" t="inlineStr">
        <is>
          <t>HNX01</t>
        </is>
      </c>
      <c r="D145" s="196" t="inlineStr">
        <is>
          <t xml:space="preserve"> + Giá trị bán</t>
        </is>
      </c>
      <c r="F145" s="184" t="inlineStr">
        <is>
          <t>Báo cáo</t>
        </is>
      </c>
      <c r="G145" s="4" t="inlineStr">
        <is>
          <t>Chỉ tiêu phái sinh</t>
        </is>
      </c>
      <c r="H145" s="4" t="inlineStr">
        <is>
          <t>Dễ</t>
        </is>
      </c>
    </row>
    <row r="146" hidden="1" ht="17" customHeight="1" s="380">
      <c r="B146" s="4" t="inlineStr">
        <is>
          <t>HNX01</t>
        </is>
      </c>
      <c r="D146" s="197" t="inlineStr">
        <is>
          <t>Khối lượng</t>
        </is>
      </c>
      <c r="F146" s="184" t="inlineStr">
        <is>
          <t>Báo cáo</t>
        </is>
      </c>
      <c r="G146" s="4" t="inlineStr">
        <is>
          <t>Chỉ tiêu phái sinh</t>
        </is>
      </c>
      <c r="H146" s="4" t="inlineStr">
        <is>
          <t>Trùng</t>
        </is>
      </c>
    </row>
    <row r="147" hidden="1" ht="17" customHeight="1" s="380">
      <c r="B147" s="4" t="inlineStr">
        <is>
          <t>HNX01</t>
        </is>
      </c>
      <c r="D147" s="197" t="inlineStr">
        <is>
          <t xml:space="preserve">Giá </t>
        </is>
      </c>
      <c r="F147" s="184" t="inlineStr">
        <is>
          <t>Báo cáo</t>
        </is>
      </c>
      <c r="G147" s="4" t="inlineStr">
        <is>
          <t>Chỉ tiêu cơ sở</t>
        </is>
      </c>
      <c r="H147" s="4" t="inlineStr">
        <is>
          <t>Dễ</t>
        </is>
      </c>
    </row>
    <row r="148" hidden="1" ht="17" customHeight="1" s="380">
      <c r="B148" s="4" t="inlineStr">
        <is>
          <t>HNX01</t>
        </is>
      </c>
      <c r="D148" s="188" t="inlineStr">
        <is>
          <t>GDNĐTNN chứng chỉ quỹ</t>
        </is>
      </c>
      <c r="F148" s="184" t="inlineStr">
        <is>
          <t>Báo cáo</t>
        </is>
      </c>
    </row>
    <row r="149" hidden="1" ht="17" customHeight="1" s="380">
      <c r="B149" s="4" t="inlineStr">
        <is>
          <t>HNX01</t>
        </is>
      </c>
      <c r="D149" s="189" t="inlineStr">
        <is>
          <t>Khối lượng giao dịch Chứng chỉ quỹ</t>
        </is>
      </c>
      <c r="F149" s="184" t="inlineStr">
        <is>
          <t>Báo cáo</t>
        </is>
      </c>
    </row>
    <row r="150" hidden="1" ht="17" customHeight="1" s="380">
      <c r="B150" s="4" t="inlineStr">
        <is>
          <t>HNX01</t>
        </is>
      </c>
      <c r="D150" s="196" t="inlineStr">
        <is>
          <t xml:space="preserve"> + Khối lượng mua</t>
        </is>
      </c>
      <c r="F150" s="184" t="inlineStr">
        <is>
          <t>Báo cáo</t>
        </is>
      </c>
      <c r="G150" s="4" t="inlineStr">
        <is>
          <t>Chỉ tiêu phái sinh</t>
        </is>
      </c>
      <c r="H150" s="4" t="inlineStr">
        <is>
          <t>TB</t>
        </is>
      </c>
    </row>
    <row r="151" hidden="1" ht="17" customHeight="1" s="380">
      <c r="B151" s="4" t="inlineStr">
        <is>
          <t>HNX01</t>
        </is>
      </c>
      <c r="D151" s="196" t="inlineStr">
        <is>
          <t xml:space="preserve"> + Khối lượng bán</t>
        </is>
      </c>
      <c r="F151" s="184" t="inlineStr">
        <is>
          <t>Báo cáo</t>
        </is>
      </c>
      <c r="G151" s="4" t="inlineStr">
        <is>
          <t>Chỉ tiêu phái sinh</t>
        </is>
      </c>
      <c r="H151" s="4" t="inlineStr">
        <is>
          <t>TB</t>
        </is>
      </c>
    </row>
    <row r="152" hidden="1" ht="17" customHeight="1" s="380">
      <c r="B152" s="4" t="inlineStr">
        <is>
          <t>HNX01</t>
        </is>
      </c>
      <c r="D152" s="189" t="inlineStr">
        <is>
          <t>Giá trị giao dịch chứng chỉ quỹ</t>
        </is>
      </c>
      <c r="F152" s="184" t="inlineStr">
        <is>
          <t>Báo cáo</t>
        </is>
      </c>
    </row>
    <row r="153" hidden="1" ht="17" customHeight="1" s="380">
      <c r="B153" s="4" t="inlineStr">
        <is>
          <t>HNX01</t>
        </is>
      </c>
      <c r="D153" s="196" t="inlineStr">
        <is>
          <t xml:space="preserve"> + Giá trị mua</t>
        </is>
      </c>
      <c r="F153" s="184" t="inlineStr">
        <is>
          <t>Báo cáo</t>
        </is>
      </c>
      <c r="G153" s="4" t="inlineStr">
        <is>
          <t>Chỉ tiêu phái sinh</t>
        </is>
      </c>
      <c r="H153" s="4" t="inlineStr">
        <is>
          <t>Dễ</t>
        </is>
      </c>
    </row>
    <row r="154" hidden="1" ht="17" customHeight="1" s="380">
      <c r="B154" s="4" t="inlineStr">
        <is>
          <t>HNX01</t>
        </is>
      </c>
      <c r="D154" s="197" t="inlineStr">
        <is>
          <t>Khối lượng</t>
        </is>
      </c>
      <c r="F154" s="184" t="inlineStr">
        <is>
          <t>Báo cáo</t>
        </is>
      </c>
      <c r="G154" s="4" t="inlineStr">
        <is>
          <t>Chỉ tiêu phái sinh</t>
        </is>
      </c>
      <c r="H154" s="4" t="inlineStr">
        <is>
          <t>Trùng</t>
        </is>
      </c>
    </row>
    <row r="155" hidden="1" ht="17" customHeight="1" s="380">
      <c r="B155" s="4" t="inlineStr">
        <is>
          <t>HNX01</t>
        </is>
      </c>
      <c r="D155" s="197" t="inlineStr">
        <is>
          <t xml:space="preserve">Giá </t>
        </is>
      </c>
      <c r="F155" s="184" t="inlineStr">
        <is>
          <t>Báo cáo</t>
        </is>
      </c>
      <c r="G155" s="4" t="inlineStr">
        <is>
          <t>Chỉ tiêu cơ sở</t>
        </is>
      </c>
      <c r="H155" s="4" t="inlineStr">
        <is>
          <t>Dễ</t>
        </is>
      </c>
    </row>
    <row r="156" hidden="1" ht="17" customHeight="1" s="380">
      <c r="B156" s="4" t="inlineStr">
        <is>
          <t>HNX01</t>
        </is>
      </c>
      <c r="D156" s="196" t="inlineStr">
        <is>
          <t xml:space="preserve"> + Giá trị bán</t>
        </is>
      </c>
      <c r="F156" s="184" t="inlineStr">
        <is>
          <t>Báo cáo</t>
        </is>
      </c>
      <c r="G156" s="4" t="inlineStr">
        <is>
          <t>Chỉ tiêu phái sinh</t>
        </is>
      </c>
      <c r="H156" s="4" t="inlineStr">
        <is>
          <t>Dễ</t>
        </is>
      </c>
    </row>
    <row r="157" hidden="1" ht="17" customHeight="1" s="380">
      <c r="B157" s="4" t="inlineStr">
        <is>
          <t>HNX01</t>
        </is>
      </c>
      <c r="D157" s="197" t="inlineStr">
        <is>
          <t>Khối lượng</t>
        </is>
      </c>
      <c r="F157" s="184" t="inlineStr">
        <is>
          <t>Báo cáo</t>
        </is>
      </c>
      <c r="G157" s="4" t="inlineStr">
        <is>
          <t>Chỉ tiêu phái sinh</t>
        </is>
      </c>
      <c r="H157" s="4" t="inlineStr">
        <is>
          <t>Trùng</t>
        </is>
      </c>
    </row>
    <row r="158" hidden="1" ht="17" customHeight="1" s="380">
      <c r="B158" s="4" t="inlineStr">
        <is>
          <t>HNX01</t>
        </is>
      </c>
      <c r="D158" s="197" t="inlineStr">
        <is>
          <t xml:space="preserve">Giá </t>
        </is>
      </c>
      <c r="F158" s="184" t="inlineStr">
        <is>
          <t>Báo cáo</t>
        </is>
      </c>
      <c r="G158" s="4" t="inlineStr">
        <is>
          <t>Chỉ tiêu cơ sở</t>
        </is>
      </c>
      <c r="H158" s="4" t="inlineStr">
        <is>
          <t>Dễ</t>
        </is>
      </c>
    </row>
    <row r="159" hidden="1" ht="17" customHeight="1" s="380">
      <c r="B159" s="4" t="inlineStr">
        <is>
          <t>HNX01</t>
        </is>
      </c>
      <c r="D159" s="188" t="inlineStr">
        <is>
          <t>GDNĐTNN ETF</t>
        </is>
      </c>
      <c r="F159" s="184" t="inlineStr">
        <is>
          <t>Báo cáo</t>
        </is>
      </c>
    </row>
    <row r="160" hidden="1" ht="17" customHeight="1" s="380">
      <c r="B160" s="4" t="inlineStr">
        <is>
          <t>HNX01</t>
        </is>
      </c>
      <c r="D160" s="189" t="inlineStr">
        <is>
          <t>Khối lượng giao dịch ETF</t>
        </is>
      </c>
      <c r="F160" s="184" t="inlineStr">
        <is>
          <t>Báo cáo</t>
        </is>
      </c>
    </row>
    <row r="161" hidden="1" ht="17" customHeight="1" s="380">
      <c r="B161" s="4" t="inlineStr">
        <is>
          <t>HNX01</t>
        </is>
      </c>
      <c r="D161" s="196" t="inlineStr">
        <is>
          <t xml:space="preserve"> + Khối lượng mua</t>
        </is>
      </c>
      <c r="F161" s="184" t="inlineStr">
        <is>
          <t>Báo cáo</t>
        </is>
      </c>
      <c r="G161" s="4" t="inlineStr">
        <is>
          <t>Chỉ tiêu phái sinh</t>
        </is>
      </c>
      <c r="H161" s="4" t="inlineStr">
        <is>
          <t>TB</t>
        </is>
      </c>
    </row>
    <row r="162" hidden="1" ht="17" customHeight="1" s="380">
      <c r="B162" s="4" t="inlineStr">
        <is>
          <t>HNX01</t>
        </is>
      </c>
      <c r="D162" s="196" t="inlineStr">
        <is>
          <t xml:space="preserve"> + Khối lượng bán</t>
        </is>
      </c>
      <c r="F162" s="184" t="inlineStr">
        <is>
          <t>Báo cáo</t>
        </is>
      </c>
      <c r="G162" s="4" t="inlineStr">
        <is>
          <t>Chỉ tiêu phái sinh</t>
        </is>
      </c>
      <c r="H162" s="4" t="inlineStr">
        <is>
          <t>TB</t>
        </is>
      </c>
    </row>
    <row r="163" hidden="1" ht="17" customHeight="1" s="380">
      <c r="B163" s="4" t="inlineStr">
        <is>
          <t>HNX01</t>
        </is>
      </c>
      <c r="D163" s="189" t="inlineStr">
        <is>
          <t>Giá trị giao dịch ETF</t>
        </is>
      </c>
      <c r="F163" s="184" t="inlineStr">
        <is>
          <t>Báo cáo</t>
        </is>
      </c>
    </row>
    <row r="164" hidden="1" ht="17" customHeight="1" s="380">
      <c r="B164" s="4" t="inlineStr">
        <is>
          <t>HNX01</t>
        </is>
      </c>
      <c r="D164" s="196" t="inlineStr">
        <is>
          <t xml:space="preserve"> + Giá trị mua</t>
        </is>
      </c>
      <c r="F164" s="184" t="inlineStr">
        <is>
          <t>Báo cáo</t>
        </is>
      </c>
      <c r="G164" s="4" t="inlineStr">
        <is>
          <t>Chỉ tiêu phái sinh</t>
        </is>
      </c>
      <c r="H164" s="4" t="inlineStr">
        <is>
          <t>Dễ</t>
        </is>
      </c>
    </row>
    <row r="165" hidden="1" ht="17" customHeight="1" s="380">
      <c r="B165" s="4" t="inlineStr">
        <is>
          <t>HNX01</t>
        </is>
      </c>
      <c r="D165" s="197" t="inlineStr">
        <is>
          <t>Khối lượng</t>
        </is>
      </c>
      <c r="F165" s="184" t="inlineStr">
        <is>
          <t>Báo cáo</t>
        </is>
      </c>
      <c r="G165" s="4" t="inlineStr">
        <is>
          <t>Chỉ tiêu phái sinh</t>
        </is>
      </c>
      <c r="H165" s="4" t="inlineStr">
        <is>
          <t>Trùng</t>
        </is>
      </c>
    </row>
    <row r="166" hidden="1" ht="17" customHeight="1" s="380">
      <c r="B166" s="4" t="inlineStr">
        <is>
          <t>HNX01</t>
        </is>
      </c>
      <c r="D166" s="197" t="inlineStr">
        <is>
          <t xml:space="preserve">Giá </t>
        </is>
      </c>
      <c r="F166" s="184" t="inlineStr">
        <is>
          <t>Báo cáo</t>
        </is>
      </c>
      <c r="G166" s="4" t="inlineStr">
        <is>
          <t>Chỉ tiêu cơ sở</t>
        </is>
      </c>
      <c r="H166" s="4" t="inlineStr">
        <is>
          <t>Dễ</t>
        </is>
      </c>
    </row>
    <row r="167" hidden="1" ht="17" customHeight="1" s="380">
      <c r="B167" s="4" t="inlineStr">
        <is>
          <t>HNX01</t>
        </is>
      </c>
      <c r="D167" s="196" t="inlineStr">
        <is>
          <t xml:space="preserve"> + Giá trị bán</t>
        </is>
      </c>
      <c r="F167" s="184" t="inlineStr">
        <is>
          <t>Báo cáo</t>
        </is>
      </c>
      <c r="G167" s="4" t="inlineStr">
        <is>
          <t>Chỉ tiêu phái sinh</t>
        </is>
      </c>
      <c r="H167" s="4" t="inlineStr">
        <is>
          <t>Dễ</t>
        </is>
      </c>
    </row>
    <row r="168" hidden="1" ht="17" customHeight="1" s="380">
      <c r="B168" s="4" t="inlineStr">
        <is>
          <t>HNX01</t>
        </is>
      </c>
      <c r="D168" s="197" t="inlineStr">
        <is>
          <t>Khối lượng</t>
        </is>
      </c>
      <c r="F168" s="184" t="inlineStr">
        <is>
          <t>Báo cáo</t>
        </is>
      </c>
      <c r="G168" s="4" t="inlineStr">
        <is>
          <t>Chỉ tiêu phái sinh</t>
        </is>
      </c>
      <c r="H168" s="4" t="inlineStr">
        <is>
          <t>Trùng</t>
        </is>
      </c>
    </row>
    <row r="169" hidden="1" ht="17" customHeight="1" s="380">
      <c r="B169" s="4" t="inlineStr">
        <is>
          <t>HNX01</t>
        </is>
      </c>
      <c r="D169" s="197" t="inlineStr">
        <is>
          <t xml:space="preserve">Giá </t>
        </is>
      </c>
      <c r="F169" s="184" t="inlineStr">
        <is>
          <t>Báo cáo</t>
        </is>
      </c>
      <c r="G169" s="4" t="inlineStr">
        <is>
          <t>Chỉ tiêu cơ sở</t>
        </is>
      </c>
      <c r="H169" s="4" t="inlineStr">
        <is>
          <t>Dễ</t>
        </is>
      </c>
    </row>
    <row r="170" hidden="1" ht="34" customHeight="1" s="380">
      <c r="B170" s="4" t="inlineStr">
        <is>
          <t>HNX01</t>
        </is>
      </c>
      <c r="D170" s="188" t="inlineStr">
        <is>
          <t>GDNĐTNN cổ phiếu đăng ký giao dịch (Upcom)</t>
        </is>
      </c>
      <c r="F170" s="184" t="inlineStr">
        <is>
          <t>Báo cáo</t>
        </is>
      </c>
    </row>
    <row r="171" hidden="1" ht="34" customHeight="1" s="380">
      <c r="B171" s="4" t="inlineStr">
        <is>
          <t>HNX01</t>
        </is>
      </c>
      <c r="D171" s="189" t="inlineStr">
        <is>
          <t>Khối lượng giao dịch cổ phiếu đăng ký giao dịch (Upcom)</t>
        </is>
      </c>
      <c r="F171" s="184" t="inlineStr">
        <is>
          <t>Báo cáo</t>
        </is>
      </c>
    </row>
    <row r="172" hidden="1" ht="17" customHeight="1" s="380">
      <c r="B172" s="4" t="inlineStr">
        <is>
          <t>HNX01</t>
        </is>
      </c>
      <c r="D172" s="196" t="inlineStr">
        <is>
          <t xml:space="preserve"> + Khối lượng mua</t>
        </is>
      </c>
      <c r="F172" s="184" t="inlineStr">
        <is>
          <t>Báo cáo</t>
        </is>
      </c>
      <c r="G172" s="4" t="inlineStr">
        <is>
          <t>Chỉ tiêu phái sinh</t>
        </is>
      </c>
      <c r="H172" s="4" t="inlineStr">
        <is>
          <t>TB</t>
        </is>
      </c>
    </row>
    <row r="173" hidden="1" ht="17" customHeight="1" s="380">
      <c r="B173" s="4" t="inlineStr">
        <is>
          <t>HNX01</t>
        </is>
      </c>
      <c r="D173" s="196" t="inlineStr">
        <is>
          <t xml:space="preserve"> + Khối lượng bán</t>
        </is>
      </c>
      <c r="F173" s="184" t="inlineStr">
        <is>
          <t>Báo cáo</t>
        </is>
      </c>
      <c r="G173" s="4" t="inlineStr">
        <is>
          <t>Chỉ tiêu phái sinh</t>
        </is>
      </c>
      <c r="H173" s="4" t="inlineStr">
        <is>
          <t>TB</t>
        </is>
      </c>
    </row>
    <row r="174" hidden="1" ht="34" customHeight="1" s="380">
      <c r="B174" s="4" t="inlineStr">
        <is>
          <t>HNX01</t>
        </is>
      </c>
      <c r="D174" s="189" t="inlineStr">
        <is>
          <t>Giá trị giao dịch cổ phiếu đăng ký giao dịch (Upcom)</t>
        </is>
      </c>
      <c r="F174" s="184" t="inlineStr">
        <is>
          <t>Báo cáo</t>
        </is>
      </c>
    </row>
    <row r="175" hidden="1" ht="17" customHeight="1" s="380">
      <c r="B175" s="4" t="inlineStr">
        <is>
          <t>HNX01</t>
        </is>
      </c>
      <c r="D175" s="196" t="inlineStr">
        <is>
          <t xml:space="preserve"> + Giá trị mua</t>
        </is>
      </c>
      <c r="F175" s="184" t="inlineStr">
        <is>
          <t>Báo cáo</t>
        </is>
      </c>
      <c r="G175" s="4" t="inlineStr">
        <is>
          <t>Chỉ tiêu phái sinh</t>
        </is>
      </c>
      <c r="H175" s="4" t="inlineStr">
        <is>
          <t>Dễ</t>
        </is>
      </c>
    </row>
    <row r="176" hidden="1" ht="17" customHeight="1" s="380">
      <c r="B176" s="4" t="inlineStr">
        <is>
          <t>HNX01</t>
        </is>
      </c>
      <c r="D176" s="197" t="inlineStr">
        <is>
          <t>Khối lượng</t>
        </is>
      </c>
      <c r="F176" s="184" t="inlineStr">
        <is>
          <t>Báo cáo</t>
        </is>
      </c>
      <c r="G176" s="4" t="inlineStr">
        <is>
          <t>Chỉ tiêu phái sinh</t>
        </is>
      </c>
      <c r="H176" s="4" t="inlineStr">
        <is>
          <t>Trùng</t>
        </is>
      </c>
    </row>
    <row r="177" hidden="1" ht="17" customHeight="1" s="380">
      <c r="B177" s="4" t="inlineStr">
        <is>
          <t>HNX01</t>
        </is>
      </c>
      <c r="D177" s="197" t="inlineStr">
        <is>
          <t xml:space="preserve">Giá </t>
        </is>
      </c>
      <c r="F177" s="184" t="inlineStr">
        <is>
          <t>Báo cáo</t>
        </is>
      </c>
      <c r="G177" s="4" t="inlineStr">
        <is>
          <t>Chỉ tiêu cơ sở</t>
        </is>
      </c>
      <c r="H177" s="4" t="inlineStr">
        <is>
          <t>Dễ</t>
        </is>
      </c>
    </row>
    <row r="178" hidden="1" ht="17" customHeight="1" s="380">
      <c r="B178" s="4" t="inlineStr">
        <is>
          <t>HNX01</t>
        </is>
      </c>
      <c r="D178" s="196" t="inlineStr">
        <is>
          <t xml:space="preserve"> + Giá trị bán</t>
        </is>
      </c>
      <c r="F178" s="184" t="inlineStr">
        <is>
          <t>Báo cáo</t>
        </is>
      </c>
      <c r="G178" s="4" t="inlineStr">
        <is>
          <t>Chỉ tiêu phái sinh</t>
        </is>
      </c>
      <c r="H178" s="4" t="inlineStr">
        <is>
          <t>Dễ</t>
        </is>
      </c>
    </row>
    <row r="179" hidden="1" ht="17" customHeight="1" s="380">
      <c r="B179" s="4" t="inlineStr">
        <is>
          <t>HNX01</t>
        </is>
      </c>
      <c r="D179" s="197" t="inlineStr">
        <is>
          <t>Khối lượng</t>
        </is>
      </c>
      <c r="F179" s="184" t="inlineStr">
        <is>
          <t>Báo cáo</t>
        </is>
      </c>
      <c r="G179" s="4" t="inlineStr">
        <is>
          <t>Chỉ tiêu phái sinh</t>
        </is>
      </c>
      <c r="H179" s="4" t="inlineStr">
        <is>
          <t>Trùng</t>
        </is>
      </c>
    </row>
    <row r="180" hidden="1" ht="17" customHeight="1" s="380">
      <c r="B180" s="4" t="inlineStr">
        <is>
          <t>HNX01</t>
        </is>
      </c>
      <c r="D180" s="197" t="inlineStr">
        <is>
          <t xml:space="preserve">Giá </t>
        </is>
      </c>
      <c r="F180" s="184" t="inlineStr">
        <is>
          <t>Báo cáo</t>
        </is>
      </c>
      <c r="G180" s="4" t="inlineStr">
        <is>
          <t>Chỉ tiêu cơ sở</t>
        </is>
      </c>
      <c r="H180" s="4" t="inlineStr">
        <is>
          <t>Dễ</t>
        </is>
      </c>
    </row>
    <row r="181" hidden="1" ht="15.75" customHeight="1" s="380">
      <c r="A181" s="184" t="n"/>
      <c r="B181" s="201" t="inlineStr">
        <is>
          <t>HNX02</t>
        </is>
      </c>
      <c r="C181" s="184" t="n"/>
      <c r="D181" s="202" t="inlineStr">
        <is>
          <t>Chỉ tiêu (Loại CK)</t>
        </is>
      </c>
      <c r="E181" s="184" t="n"/>
      <c r="F181" s="4" t="inlineStr">
        <is>
          <t>Báo cáo</t>
        </is>
      </c>
      <c r="G181" s="184" t="inlineStr">
        <is>
          <t>Chiều</t>
        </is>
      </c>
      <c r="H181" s="184" t="n"/>
      <c r="I181" s="184" t="n"/>
      <c r="J181" s="184" t="n"/>
      <c r="K181" s="184" t="n"/>
      <c r="L181" s="184" t="n"/>
      <c r="M181" s="184" t="n"/>
    </row>
    <row r="182" hidden="1" ht="15.75" customHeight="1" s="380">
      <c r="B182" s="4" t="inlineStr">
        <is>
          <t>HNX02</t>
        </is>
      </c>
      <c r="C182" s="4" t="n"/>
      <c r="D182" s="17" t="inlineStr">
        <is>
          <t>Thống kê trong kỳ Giao dịch của nhà đầu tư trong nước KL giao dịch (trái phiếu) Mua</t>
        </is>
      </c>
      <c r="F182" s="4" t="inlineStr">
        <is>
          <t>Báo cáo</t>
        </is>
      </c>
      <c r="G182" s="22" t="inlineStr">
        <is>
          <t>Chỉ tiêu phái sinh</t>
        </is>
      </c>
      <c r="H182" s="4" t="inlineStr">
        <is>
          <t>TB</t>
        </is>
      </c>
    </row>
    <row r="183" hidden="1" ht="15.75" customHeight="1" s="380">
      <c r="B183" s="4" t="inlineStr">
        <is>
          <t>HNX02</t>
        </is>
      </c>
      <c r="C183" s="4" t="n"/>
      <c r="D183" s="17" t="inlineStr">
        <is>
          <t>Thống kê trong kỳ Giao dịch của nhà đầu tư trong nước KL giao dịch (trái phiếu) Bán</t>
        </is>
      </c>
      <c r="F183" s="4" t="inlineStr">
        <is>
          <t>Báo cáo</t>
        </is>
      </c>
      <c r="G183" s="22" t="inlineStr">
        <is>
          <t>Chỉ tiêu phái sinh</t>
        </is>
      </c>
      <c r="H183" s="4" t="inlineStr">
        <is>
          <t>TB</t>
        </is>
      </c>
    </row>
    <row r="184" hidden="1" ht="15.75" customHeight="1" s="380">
      <c r="B184" s="4" t="inlineStr">
        <is>
          <t>HNX02</t>
        </is>
      </c>
      <c r="C184" s="4" t="n"/>
      <c r="D184" s="17" t="inlineStr">
        <is>
          <t>Thống kê trong kỳ Giao dịch của nhà đầu tư trong nước  Mua</t>
        </is>
      </c>
      <c r="F184" s="4" t="inlineStr">
        <is>
          <t>Báo cáo</t>
        </is>
      </c>
      <c r="G184" s="22" t="inlineStr">
        <is>
          <t>Chỉ tiêu phái sinh</t>
        </is>
      </c>
      <c r="H184" s="4" t="inlineStr">
        <is>
          <t>TB</t>
        </is>
      </c>
    </row>
    <row r="185" hidden="1" ht="15.75" customHeight="1" s="380">
      <c r="B185" s="4" t="inlineStr">
        <is>
          <t>HNX02</t>
        </is>
      </c>
      <c r="C185" s="4" t="n"/>
      <c r="D185" s="17" t="inlineStr">
        <is>
          <t>Thống kê trong kỳ Giao dịch của nhà đầu tư trong nước  Bán</t>
        </is>
      </c>
      <c r="F185" s="4" t="inlineStr">
        <is>
          <t>Báo cáo</t>
        </is>
      </c>
      <c r="G185" s="22" t="inlineStr">
        <is>
          <t>Chỉ tiêu phái sinh</t>
        </is>
      </c>
      <c r="H185" s="4" t="inlineStr">
        <is>
          <t>TB</t>
        </is>
      </c>
    </row>
    <row r="186" hidden="1" ht="15.75" customHeight="1" s="380">
      <c r="B186" s="4" t="inlineStr">
        <is>
          <t>HNX02</t>
        </is>
      </c>
      <c r="C186" s="4" t="n"/>
      <c r="D186" s="17" t="inlineStr">
        <is>
          <t>Thống kê trong kỳ Giao dịch của nhà đầu tư nước ngoài KL giao dịch (trái phiếu) Mua</t>
        </is>
      </c>
      <c r="F186" s="4" t="inlineStr">
        <is>
          <t>Báo cáo</t>
        </is>
      </c>
      <c r="G186" s="22" t="inlineStr">
        <is>
          <t>Chỉ tiêu phái sinh</t>
        </is>
      </c>
      <c r="H186" s="4" t="inlineStr">
        <is>
          <t>TB</t>
        </is>
      </c>
    </row>
    <row r="187" hidden="1" ht="15.75" customHeight="1" s="380">
      <c r="B187" s="4" t="inlineStr">
        <is>
          <t>HNX02</t>
        </is>
      </c>
      <c r="C187" s="4" t="n"/>
      <c r="D187" s="17" t="inlineStr">
        <is>
          <t>Thống kê trong kỳ Giao dịch của nhà đầu tư nước ngoài KL giao dịch (trái phiếu) Bán</t>
        </is>
      </c>
      <c r="F187" s="4" t="inlineStr">
        <is>
          <t>Báo cáo</t>
        </is>
      </c>
      <c r="G187" s="22" t="inlineStr">
        <is>
          <t>Chỉ tiêu phái sinh</t>
        </is>
      </c>
      <c r="H187" s="4" t="inlineStr">
        <is>
          <t>TB</t>
        </is>
      </c>
    </row>
    <row r="188" hidden="1" ht="15.75" customHeight="1" s="380">
      <c r="B188" s="4" t="inlineStr">
        <is>
          <t>HNX02</t>
        </is>
      </c>
      <c r="C188" s="4" t="n"/>
      <c r="D188" s="17" t="inlineStr">
        <is>
          <t>Thống kê trong kỳ Giao dịch của nhà đầu tư nước ngoài Giá trị giao dịch (VND) Mua</t>
        </is>
      </c>
      <c r="F188" s="4" t="inlineStr">
        <is>
          <t>Báo cáo</t>
        </is>
      </c>
      <c r="G188" s="22" t="inlineStr">
        <is>
          <t>Chỉ tiêu phái sinh</t>
        </is>
      </c>
      <c r="H188" s="4" t="inlineStr">
        <is>
          <t>TB</t>
        </is>
      </c>
    </row>
    <row r="189" hidden="1" ht="15.75" customHeight="1" s="380">
      <c r="B189" s="4" t="inlineStr">
        <is>
          <t>HNX02</t>
        </is>
      </c>
      <c r="C189" s="4" t="n"/>
      <c r="D189" s="17" t="inlineStr">
        <is>
          <t>Thống kê trong kỳ Giao dịch của nhà đầu tư nước ngoài Giá trị giao dịch (VND) Bán</t>
        </is>
      </c>
      <c r="F189" s="4" t="inlineStr">
        <is>
          <t>Báo cáo</t>
        </is>
      </c>
      <c r="G189" s="22" t="inlineStr">
        <is>
          <t>Chỉ tiêu phái sinh</t>
        </is>
      </c>
      <c r="H189" s="4" t="inlineStr">
        <is>
          <t>TB</t>
        </is>
      </c>
    </row>
    <row r="190" hidden="1" ht="15.75" customHeight="1" s="380">
      <c r="B190" s="4" t="inlineStr">
        <is>
          <t>HNX02</t>
        </is>
      </c>
      <c r="C190" s="4" t="n"/>
      <c r="D190" s="17" t="inlineStr">
        <is>
          <t>Thống kê từ đầu năm Giao dịch của nhà đầu tư trong nước KL giao dịch (trái phiếu) Mua</t>
        </is>
      </c>
      <c r="F190" s="4" t="inlineStr">
        <is>
          <t>Báo cáo</t>
        </is>
      </c>
      <c r="G190" s="22" t="inlineStr">
        <is>
          <t>Chỉ tiêu phái sinh</t>
        </is>
      </c>
      <c r="H190" s="4" t="inlineStr">
        <is>
          <t>TB</t>
        </is>
      </c>
    </row>
    <row r="191" hidden="1" ht="15.75" customHeight="1" s="380">
      <c r="B191" s="4" t="inlineStr">
        <is>
          <t>HNX02</t>
        </is>
      </c>
      <c r="C191" s="4" t="n"/>
      <c r="D191" s="17" t="inlineStr">
        <is>
          <t>Thống kê từ đầu năm Giao dịch của nhà đầu tư trong nước KL giao dịch (trái phiếu) Bán</t>
        </is>
      </c>
      <c r="F191" s="4" t="inlineStr">
        <is>
          <t>Báo cáo</t>
        </is>
      </c>
      <c r="G191" s="22" t="inlineStr">
        <is>
          <t>Chỉ tiêu phái sinh</t>
        </is>
      </c>
      <c r="H191" s="4" t="inlineStr">
        <is>
          <t>TB</t>
        </is>
      </c>
    </row>
    <row r="192" hidden="1" ht="15.75" customHeight="1" s="380">
      <c r="B192" s="4" t="inlineStr">
        <is>
          <t>HNX02</t>
        </is>
      </c>
      <c r="C192" s="4" t="n"/>
      <c r="D192" s="17" t="inlineStr">
        <is>
          <t>Thống kê từ đầu năm Giao dịch của nhà đầu tư trong nước Giá trị giao dịch (VND) Mua</t>
        </is>
      </c>
      <c r="F192" s="4" t="inlineStr">
        <is>
          <t>Báo cáo</t>
        </is>
      </c>
      <c r="G192" s="22" t="inlineStr">
        <is>
          <t>Chỉ tiêu phái sinh</t>
        </is>
      </c>
      <c r="H192" s="4" t="inlineStr">
        <is>
          <t>TB</t>
        </is>
      </c>
    </row>
    <row r="193" hidden="1" ht="15.75" customHeight="1" s="380">
      <c r="B193" s="4" t="inlineStr">
        <is>
          <t>HNX02</t>
        </is>
      </c>
      <c r="C193" s="4" t="n"/>
      <c r="D193" s="17" t="inlineStr">
        <is>
          <t>Thống kê từ đầu năm Giao dịch của nhà đầu tư trong nước Giá trị giao dịch (VND) Bán</t>
        </is>
      </c>
      <c r="F193" s="4" t="inlineStr">
        <is>
          <t>Báo cáo</t>
        </is>
      </c>
      <c r="G193" s="22" t="inlineStr">
        <is>
          <t>Chỉ tiêu phái sinh</t>
        </is>
      </c>
      <c r="H193" s="4" t="inlineStr">
        <is>
          <t>TB</t>
        </is>
      </c>
    </row>
    <row r="194" hidden="1" ht="15.75" customHeight="1" s="380">
      <c r="B194" s="4" t="inlineStr">
        <is>
          <t>HNX02</t>
        </is>
      </c>
      <c r="C194" s="4" t="n"/>
      <c r="D194" s="17" t="inlineStr">
        <is>
          <t>Thống kê từ đầu năm Giao dịch của nhà đầu tư nước ngoài KL giao dịch (trái phiếu) Mua</t>
        </is>
      </c>
      <c r="F194" s="4" t="inlineStr">
        <is>
          <t>Báo cáo</t>
        </is>
      </c>
      <c r="G194" s="22" t="inlineStr">
        <is>
          <t>Chỉ tiêu phái sinh</t>
        </is>
      </c>
      <c r="H194" s="4" t="inlineStr">
        <is>
          <t>TB</t>
        </is>
      </c>
    </row>
    <row r="195" hidden="1" ht="15.75" customHeight="1" s="380">
      <c r="B195" s="4" t="inlineStr">
        <is>
          <t>HNX02</t>
        </is>
      </c>
      <c r="C195" s="4" t="n"/>
      <c r="D195" s="17" t="inlineStr">
        <is>
          <t>Thống kê từ đầu năm Giao dịch của nhà đầu tư nước ngoài KL giao dịch (trái phiếu) Bán</t>
        </is>
      </c>
      <c r="F195" s="4" t="inlineStr">
        <is>
          <t>Báo cáo</t>
        </is>
      </c>
      <c r="G195" s="22" t="inlineStr">
        <is>
          <t>Chỉ tiêu phái sinh</t>
        </is>
      </c>
      <c r="H195" s="4" t="inlineStr">
        <is>
          <t>TB</t>
        </is>
      </c>
    </row>
    <row r="196" hidden="1" ht="15.75" customHeight="1" s="380">
      <c r="B196" s="4" t="inlineStr">
        <is>
          <t>HNX02</t>
        </is>
      </c>
      <c r="C196" s="4" t="n"/>
      <c r="D196" s="17" t="inlineStr">
        <is>
          <t>Thống kê từ đầu năm Giao dịch của nhà đầu tư nước ngoài Giá trị giao dịch (VND) Mua</t>
        </is>
      </c>
      <c r="F196" s="4" t="inlineStr">
        <is>
          <t>Báo cáo</t>
        </is>
      </c>
      <c r="G196" s="22" t="inlineStr">
        <is>
          <t>Chỉ tiêu phái sinh</t>
        </is>
      </c>
      <c r="H196" s="4" t="inlineStr">
        <is>
          <t>TB</t>
        </is>
      </c>
    </row>
    <row r="197" hidden="1" ht="15.75" customHeight="1" s="380">
      <c r="B197" s="4" t="inlineStr">
        <is>
          <t>HNX02</t>
        </is>
      </c>
      <c r="C197" s="4" t="n"/>
      <c r="D197" s="17" t="inlineStr">
        <is>
          <t>Thống kê từ đầu năm Giao dịch của nhà đầu tư nước ngoài Giá trị giao dịch (VND) Bán</t>
        </is>
      </c>
      <c r="F197" s="4" t="inlineStr">
        <is>
          <t>Báo cáo</t>
        </is>
      </c>
      <c r="G197" s="22" t="inlineStr">
        <is>
          <t>Chỉ tiêu phái sinh</t>
        </is>
      </c>
      <c r="H197" s="4" t="inlineStr">
        <is>
          <t>TB</t>
        </is>
      </c>
    </row>
    <row r="198" hidden="1" ht="17" customHeight="1" s="380">
      <c r="A198" s="203" t="n">
        <v>3</v>
      </c>
      <c r="B198" s="204" t="inlineStr">
        <is>
          <t>TK-HNX03</t>
        </is>
      </c>
      <c r="C198" s="441" t="inlineStr">
        <is>
          <t>BÁO CÁO VỀ GIAO DỊCH TRÊN THỊ TRƯỜNG CHỨNG KHOÁN PHÁI SINH</t>
        </is>
      </c>
      <c r="D198" s="205" t="inlineStr">
        <is>
          <t>Số lượng mã CKPS đang giao dịch</t>
        </is>
      </c>
      <c r="E198" s="206" t="inlineStr">
        <is>
          <t>CK phái sinh</t>
        </is>
      </c>
      <c r="F198" s="184" t="inlineStr">
        <is>
          <t>Báo cáo</t>
        </is>
      </c>
      <c r="G198" s="206" t="inlineStr">
        <is>
          <t>Chỉ tiêu phái sinh</t>
        </is>
      </c>
      <c r="H198" s="206" t="inlineStr">
        <is>
          <t>TB</t>
        </is>
      </c>
      <c r="I198" s="4" t="inlineStr">
        <is>
          <t>CKPS</t>
        </is>
      </c>
      <c r="J198" s="206" t="n"/>
      <c r="K198" s="206" t="n"/>
      <c r="L198" s="206" t="n"/>
    </row>
    <row r="199" hidden="1" ht="51" customHeight="1" s="380">
      <c r="B199" s="207" t="inlineStr">
        <is>
          <t>TK-HNX03</t>
        </is>
      </c>
      <c r="C199" s="442" t="n"/>
      <c r="D199" s="188" t="inlineStr">
        <is>
          <t>Khối lượng chứng khoán Phái sinh giao dịch toàn thị trường (số lượng hợp đồng)</t>
        </is>
      </c>
      <c r="E199" s="4" t="inlineStr">
        <is>
          <t>CK phái sinh</t>
        </is>
      </c>
      <c r="F199" s="184" t="inlineStr">
        <is>
          <t>Báo cáo</t>
        </is>
      </c>
      <c r="G199" s="4" t="inlineStr">
        <is>
          <t>Chỉ tiêu phái sinh</t>
        </is>
      </c>
      <c r="H199" s="4" t="inlineStr">
        <is>
          <t>TB</t>
        </is>
      </c>
      <c r="I199" s="4" t="inlineStr">
        <is>
          <t>CKPS</t>
        </is>
      </c>
    </row>
    <row r="200" hidden="1" ht="34" customHeight="1" s="380">
      <c r="B200" s="207" t="inlineStr">
        <is>
          <t>TK-HNX03</t>
        </is>
      </c>
      <c r="C200" s="442" t="n"/>
      <c r="D200" s="208" t="inlineStr">
        <is>
          <t>Trong đó: Khối lượng giao dịch của mã CKPS có tháng đáo hạn gần nhất</t>
        </is>
      </c>
      <c r="E200" s="4" t="inlineStr">
        <is>
          <t>CK phái sinh</t>
        </is>
      </c>
      <c r="F200" s="184" t="inlineStr">
        <is>
          <t>Báo cáo</t>
        </is>
      </c>
      <c r="G200" s="4" t="inlineStr">
        <is>
          <t>Chỉ tiêu phái sinh</t>
        </is>
      </c>
      <c r="H200" s="4" t="inlineStr">
        <is>
          <t>TB</t>
        </is>
      </c>
      <c r="I200" s="4" t="inlineStr">
        <is>
          <t>CKPS</t>
        </is>
      </c>
    </row>
    <row r="201" hidden="1" ht="51" customHeight="1" s="380">
      <c r="B201" s="207" t="inlineStr">
        <is>
          <t>TK-HNX03</t>
        </is>
      </c>
      <c r="C201" s="442" t="n"/>
      <c r="D201" s="188" t="inlineStr">
        <is>
          <t>Giá trị chứng khoán Phái sinh giao dịch toàn thị trường (theo quy mô danh nghĩa hợp đồng)</t>
        </is>
      </c>
      <c r="E201" s="4" t="inlineStr">
        <is>
          <t>CK phái sinh</t>
        </is>
      </c>
      <c r="F201" s="184" t="inlineStr">
        <is>
          <t>Báo cáo</t>
        </is>
      </c>
      <c r="G201" s="4" t="inlineStr">
        <is>
          <t>Chỉ tiêu phái sinh</t>
        </is>
      </c>
      <c r="H201" s="4" t="inlineStr">
        <is>
          <t>TB</t>
        </is>
      </c>
      <c r="I201" s="4" t="inlineStr">
        <is>
          <t>CKPS</t>
        </is>
      </c>
    </row>
    <row r="202" hidden="1" ht="34" customHeight="1" s="380">
      <c r="B202" s="207" t="inlineStr">
        <is>
          <t>TK-HNX03</t>
        </is>
      </c>
      <c r="C202" s="442" t="n"/>
      <c r="D202" s="208" t="inlineStr">
        <is>
          <t>Trong đó: Giá trị giao dịch của mã CKPS có tháng đáo hạn gần nhất</t>
        </is>
      </c>
      <c r="E202" s="4" t="inlineStr">
        <is>
          <t>CK phái sinh</t>
        </is>
      </c>
      <c r="F202" s="184" t="inlineStr">
        <is>
          <t>Báo cáo</t>
        </is>
      </c>
      <c r="G202" s="4" t="inlineStr">
        <is>
          <t>Chỉ tiêu phái sinh</t>
        </is>
      </c>
      <c r="H202" s="4" t="inlineStr">
        <is>
          <t>TB</t>
        </is>
      </c>
      <c r="I202" s="4" t="inlineStr">
        <is>
          <t>CKPS</t>
        </is>
      </c>
    </row>
    <row r="203" hidden="1" ht="34" customHeight="1" s="380">
      <c r="B203" s="207" t="inlineStr">
        <is>
          <t>TK-HNX03</t>
        </is>
      </c>
      <c r="C203" s="442" t="n"/>
      <c r="D203" s="188" t="inlineStr">
        <is>
          <t>Khối lượng hợp đồng đang lưu hành (OI)</t>
        </is>
      </c>
      <c r="E203" s="4" t="inlineStr">
        <is>
          <t>CK phái sinh</t>
        </is>
      </c>
      <c r="F203" s="184" t="inlineStr">
        <is>
          <t>Báo cáo</t>
        </is>
      </c>
      <c r="G203" s="4" t="inlineStr">
        <is>
          <t>Chỉ tiêu phái sinh</t>
        </is>
      </c>
      <c r="H203" s="4" t="inlineStr">
        <is>
          <t>TB</t>
        </is>
      </c>
      <c r="I203" s="4" t="inlineStr">
        <is>
          <t>CKPS</t>
        </is>
      </c>
    </row>
    <row r="204" hidden="1" ht="17" customHeight="1" s="380">
      <c r="B204" s="207" t="inlineStr">
        <is>
          <t>TK-HNX03</t>
        </is>
      </c>
      <c r="C204" s="442" t="n"/>
      <c r="D204" s="188" t="inlineStr">
        <is>
          <t>Giao dịch Nhà đầu tư nước ngoài</t>
        </is>
      </c>
      <c r="E204" s="4" t="inlineStr">
        <is>
          <t>CK phái sinh</t>
        </is>
      </c>
      <c r="F204" s="184" t="inlineStr">
        <is>
          <t>Báo cáo</t>
        </is>
      </c>
      <c r="G204" s="4" t="inlineStr">
        <is>
          <t>Chỉ tiêu phái sinh</t>
        </is>
      </c>
      <c r="H204" s="4" t="inlineStr">
        <is>
          <t>TB</t>
        </is>
      </c>
      <c r="I204" s="4" t="inlineStr">
        <is>
          <t>CKPS</t>
        </is>
      </c>
    </row>
    <row r="205" hidden="1" ht="34" customHeight="1" s="380">
      <c r="B205" s="207" t="inlineStr">
        <is>
          <t>TK-HNX03</t>
        </is>
      </c>
      <c r="C205" s="442" t="n"/>
      <c r="D205" s="189" t="inlineStr">
        <is>
          <t>Khối lượng giao dịch chứng khoán phái sinh</t>
        </is>
      </c>
      <c r="E205" s="4" t="inlineStr">
        <is>
          <t>CK phái sinh</t>
        </is>
      </c>
      <c r="F205" s="184" t="inlineStr">
        <is>
          <t>Báo cáo</t>
        </is>
      </c>
      <c r="G205" s="4" t="inlineStr">
        <is>
          <t>Chỉ tiêu phái sinh</t>
        </is>
      </c>
      <c r="H205" s="4" t="inlineStr">
        <is>
          <t>Dễ</t>
        </is>
      </c>
      <c r="I205" s="4" t="inlineStr">
        <is>
          <t>CKPS</t>
        </is>
      </c>
    </row>
    <row r="206" hidden="1" ht="17" customHeight="1" s="380">
      <c r="B206" s="207" t="inlineStr">
        <is>
          <t>TK-HNX03</t>
        </is>
      </c>
      <c r="C206" s="442" t="n"/>
      <c r="D206" s="189" t="inlineStr">
        <is>
          <t>Khối lượng mua</t>
        </is>
      </c>
      <c r="E206" s="4" t="inlineStr">
        <is>
          <t>CK phái sinh</t>
        </is>
      </c>
      <c r="F206" s="184" t="inlineStr">
        <is>
          <t>Báo cáo</t>
        </is>
      </c>
      <c r="G206" s="4" t="inlineStr">
        <is>
          <t>Chỉ tiêu phái sinh</t>
        </is>
      </c>
      <c r="H206" s="4" t="inlineStr">
        <is>
          <t>TB</t>
        </is>
      </c>
      <c r="I206" s="4" t="inlineStr">
        <is>
          <t>CKPS</t>
        </is>
      </c>
    </row>
    <row r="207" hidden="1" ht="17" customHeight="1" s="380">
      <c r="B207" s="207" t="inlineStr">
        <is>
          <t>TK-HNX03</t>
        </is>
      </c>
      <c r="C207" s="442" t="n"/>
      <c r="D207" s="189" t="inlineStr">
        <is>
          <t>Khối lượng bán</t>
        </is>
      </c>
      <c r="E207" s="4" t="inlineStr">
        <is>
          <t>CK phái sinh</t>
        </is>
      </c>
      <c r="F207" s="184" t="inlineStr">
        <is>
          <t>Báo cáo</t>
        </is>
      </c>
      <c r="G207" s="4" t="inlineStr">
        <is>
          <t>Chỉ tiêu phái sinh</t>
        </is>
      </c>
      <c r="H207" s="4" t="inlineStr">
        <is>
          <t>TB</t>
        </is>
      </c>
      <c r="I207" s="4" t="inlineStr">
        <is>
          <t>CKPS</t>
        </is>
      </c>
    </row>
    <row r="208" hidden="1" ht="17" customHeight="1" s="380">
      <c r="B208" s="207" t="inlineStr">
        <is>
          <t>TK-HNX03</t>
        </is>
      </c>
      <c r="C208" s="442" t="n"/>
      <c r="D208" s="189" t="inlineStr">
        <is>
          <t>Giá trị giao dịch chứng khoán phái sinh</t>
        </is>
      </c>
      <c r="E208" s="4" t="inlineStr">
        <is>
          <t>CK phái sinh</t>
        </is>
      </c>
      <c r="F208" s="184" t="inlineStr">
        <is>
          <t>Báo cáo</t>
        </is>
      </c>
      <c r="G208" s="4" t="inlineStr">
        <is>
          <t>Chỉ tiêu phái sinh</t>
        </is>
      </c>
      <c r="H208" s="4" t="inlineStr">
        <is>
          <t>Dễ</t>
        </is>
      </c>
      <c r="I208" s="4" t="inlineStr">
        <is>
          <t>CKPS</t>
        </is>
      </c>
    </row>
    <row r="209" hidden="1" ht="17" customHeight="1" s="380">
      <c r="B209" s="207" t="inlineStr">
        <is>
          <t>TK-HNX03</t>
        </is>
      </c>
      <c r="C209" s="442" t="n"/>
      <c r="D209" s="209" t="inlineStr">
        <is>
          <t xml:space="preserve">Giá trị mua </t>
        </is>
      </c>
      <c r="F209" s="184" t="inlineStr">
        <is>
          <t>Báo cáo</t>
        </is>
      </c>
      <c r="G209" s="4" t="inlineStr">
        <is>
          <t>Chỉ tiêu phái sinh</t>
        </is>
      </c>
      <c r="H209" s="4" t="inlineStr">
        <is>
          <t>Dễ</t>
        </is>
      </c>
      <c r="I209" s="4" t="inlineStr">
        <is>
          <t>CKPS</t>
        </is>
      </c>
    </row>
    <row r="210" hidden="1" ht="17" customHeight="1" s="380">
      <c r="B210" s="207" t="inlineStr">
        <is>
          <t>TK-HNX03</t>
        </is>
      </c>
      <c r="C210" s="442" t="n"/>
      <c r="D210" s="210" t="inlineStr">
        <is>
          <t>Khối lượng</t>
        </is>
      </c>
      <c r="E210" s="27" t="n"/>
      <c r="F210" s="27" t="inlineStr">
        <is>
          <t>Báo cáo</t>
        </is>
      </c>
      <c r="G210" s="27" t="inlineStr">
        <is>
          <t>Chỉ tiêu phái sinh</t>
        </is>
      </c>
      <c r="H210" s="27" t="inlineStr">
        <is>
          <t>Thừa có phải không?</t>
        </is>
      </c>
      <c r="I210" s="4" t="inlineStr">
        <is>
          <t>CKPS</t>
        </is>
      </c>
    </row>
    <row r="211" hidden="1" ht="17" customHeight="1" s="380">
      <c r="B211" s="207" t="inlineStr">
        <is>
          <t>TK-HNX03</t>
        </is>
      </c>
      <c r="C211" s="442" t="n"/>
      <c r="D211" s="210" t="inlineStr">
        <is>
          <t>Giá</t>
        </is>
      </c>
      <c r="E211" s="27" t="n"/>
      <c r="F211" s="27" t="inlineStr">
        <is>
          <t>Báo cáo</t>
        </is>
      </c>
      <c r="G211" s="27" t="inlineStr">
        <is>
          <t>Chỉ tiêu cơ sở</t>
        </is>
      </c>
      <c r="H211" s="27" t="inlineStr">
        <is>
          <t>Thừa có phải không?</t>
        </is>
      </c>
      <c r="I211" s="4" t="inlineStr">
        <is>
          <t>CKPS</t>
        </is>
      </c>
    </row>
    <row r="212" hidden="1" ht="17" customHeight="1" s="380">
      <c r="B212" s="207" t="inlineStr">
        <is>
          <t>TK-HNX03</t>
        </is>
      </c>
      <c r="C212" s="442" t="n"/>
      <c r="D212" s="209" t="inlineStr">
        <is>
          <t xml:space="preserve">Giá trị bán </t>
        </is>
      </c>
      <c r="F212" s="184" t="inlineStr">
        <is>
          <t>Báo cáo</t>
        </is>
      </c>
      <c r="G212" s="4" t="inlineStr">
        <is>
          <t>Chỉ tiêu phái sinh</t>
        </is>
      </c>
      <c r="H212" s="4" t="inlineStr">
        <is>
          <t>Dễ</t>
        </is>
      </c>
      <c r="I212" s="4" t="inlineStr">
        <is>
          <t>CKPS</t>
        </is>
      </c>
    </row>
    <row r="213" hidden="1" ht="17" customHeight="1" s="380">
      <c r="B213" s="207" t="inlineStr">
        <is>
          <t>TK-HNX03</t>
        </is>
      </c>
      <c r="C213" s="442" t="n"/>
      <c r="D213" s="210" t="inlineStr">
        <is>
          <t>Khối lượng</t>
        </is>
      </c>
      <c r="E213" s="27" t="n"/>
      <c r="F213" s="27" t="inlineStr">
        <is>
          <t>Báo cáo</t>
        </is>
      </c>
      <c r="G213" s="27" t="inlineStr">
        <is>
          <t>Chỉ tiêu phái sinh</t>
        </is>
      </c>
      <c r="H213" s="27" t="inlineStr">
        <is>
          <t>Thừa có phải không?</t>
        </is>
      </c>
      <c r="I213" s="4" t="inlineStr">
        <is>
          <t>CKPS</t>
        </is>
      </c>
    </row>
    <row r="214" hidden="1" ht="17" customHeight="1" s="380">
      <c r="B214" s="207" t="inlineStr">
        <is>
          <t>TK-HNX03</t>
        </is>
      </c>
      <c r="C214" s="443" t="n"/>
      <c r="D214" s="210" t="inlineStr">
        <is>
          <t>Giá</t>
        </is>
      </c>
      <c r="E214" s="27" t="n"/>
      <c r="F214" s="27" t="inlineStr">
        <is>
          <t>Báo cáo</t>
        </is>
      </c>
      <c r="G214" s="27" t="inlineStr">
        <is>
          <t>Chỉ tiêu cơ sở</t>
        </is>
      </c>
      <c r="H214" s="27" t="inlineStr">
        <is>
          <t>Thừa có phải không?</t>
        </is>
      </c>
      <c r="I214" s="4" t="inlineStr">
        <is>
          <t>CKPS</t>
        </is>
      </c>
    </row>
    <row r="215" hidden="1" ht="14" customHeight="1" s="380">
      <c r="A215" s="184" t="n"/>
      <c r="B215" s="184" t="inlineStr">
        <is>
          <t>HNX04 (PS)</t>
        </is>
      </c>
      <c r="C215" s="184" t="n"/>
      <c r="D215" s="202" t="inlineStr">
        <is>
          <t>Chỉ tiêu - Loại CK</t>
        </is>
      </c>
      <c r="E215" s="184" t="n"/>
      <c r="F215" s="4" t="inlineStr">
        <is>
          <t>Báo cáo</t>
        </is>
      </c>
      <c r="G215" s="184" t="inlineStr">
        <is>
          <t>Chiều</t>
        </is>
      </c>
      <c r="H215" s="184" t="n"/>
      <c r="I215" s="184" t="n"/>
      <c r="J215" s="184" t="n"/>
      <c r="K215" s="184" t="n"/>
      <c r="L215" s="184" t="n"/>
      <c r="M215" s="184" t="n"/>
    </row>
    <row r="216" hidden="1" ht="14" customHeight="1" s="380">
      <c r="B216" s="4" t="inlineStr">
        <is>
          <t>HNX04 (PS)</t>
        </is>
      </c>
      <c r="C216" s="211" t="n"/>
      <c r="D216" s="212" t="inlineStr">
        <is>
          <t>Giá trị Trong kỳ- phát sinh</t>
        </is>
      </c>
      <c r="F216" s="4" t="inlineStr">
        <is>
          <t>Báo cáo</t>
        </is>
      </c>
      <c r="G216" s="22" t="inlineStr">
        <is>
          <t>Chỉ tiêu phái sinh</t>
        </is>
      </c>
      <c r="H216" s="4" t="inlineStr">
        <is>
          <t>TB</t>
        </is>
      </c>
    </row>
    <row r="217" hidden="1" ht="36" customHeight="1" s="380">
      <c r="B217" s="4" t="inlineStr">
        <is>
          <t>HNX04 (PS)</t>
        </is>
      </c>
      <c r="C217" s="213" t="n"/>
      <c r="D217" s="214" t="inlineStr">
        <is>
          <t>Giá trị giao dịch bình quân 1 phiên (VND)</t>
        </is>
      </c>
      <c r="F217" s="4" t="inlineStr">
        <is>
          <t>Báo cáo</t>
        </is>
      </c>
      <c r="G217" s="22" t="inlineStr">
        <is>
          <t>Chỉ tiêu phái sinh</t>
        </is>
      </c>
      <c r="H217" s="4" t="inlineStr">
        <is>
          <t>TB</t>
        </is>
      </c>
    </row>
    <row r="218" hidden="1" ht="18" customHeight="1" s="380">
      <c r="B218" s="4" t="inlineStr">
        <is>
          <t>HNX04 (PS)</t>
        </is>
      </c>
      <c r="C218" s="213" t="n"/>
      <c r="D218" s="215" t="inlineStr">
        <is>
          <t>Cổ phiếu niêm yết</t>
        </is>
      </c>
      <c r="F218" s="4" t="inlineStr">
        <is>
          <t>Báo cáo</t>
        </is>
      </c>
      <c r="G218" s="22" t="inlineStr">
        <is>
          <t>Chỉ tiêu phái sinh</t>
        </is>
      </c>
      <c r="H218" s="4" t="inlineStr">
        <is>
          <t>TB</t>
        </is>
      </c>
      <c r="I218" s="4" t="inlineStr">
        <is>
          <t>CPNY</t>
        </is>
      </c>
    </row>
    <row r="219" hidden="1" ht="18" customHeight="1" s="380">
      <c r="B219" s="4" t="inlineStr">
        <is>
          <t>HNX04 (PS)</t>
        </is>
      </c>
      <c r="C219" s="213" t="n"/>
      <c r="D219" s="215" t="inlineStr">
        <is>
          <t>Cổ phiếu đăng ký giao dịch</t>
        </is>
      </c>
      <c r="F219" s="4" t="inlineStr">
        <is>
          <t>Báo cáo</t>
        </is>
      </c>
      <c r="G219" s="22" t="inlineStr">
        <is>
          <t>Chỉ tiêu phái sinh</t>
        </is>
      </c>
      <c r="H219" s="4" t="inlineStr">
        <is>
          <t>TB</t>
        </is>
      </c>
      <c r="I219" s="55" t="inlineStr">
        <is>
          <t>CP đăng ký GD</t>
        </is>
      </c>
    </row>
    <row r="220" hidden="1" ht="18" customHeight="1" s="380">
      <c r="B220" s="4" t="inlineStr">
        <is>
          <t>HNX04 (PS)</t>
        </is>
      </c>
      <c r="C220" s="213" t="n"/>
      <c r="D220" s="215" t="inlineStr">
        <is>
          <t>Trái phiếu Chính phủ</t>
        </is>
      </c>
      <c r="F220" s="4" t="inlineStr">
        <is>
          <t>Báo cáo</t>
        </is>
      </c>
      <c r="G220" s="22" t="inlineStr">
        <is>
          <t>Chỉ tiêu phái sinh</t>
        </is>
      </c>
      <c r="H220" s="4" t="inlineStr">
        <is>
          <t>TB</t>
        </is>
      </c>
      <c r="I220" s="4" t="inlineStr">
        <is>
          <t>TPCP</t>
        </is>
      </c>
    </row>
    <row r="221" hidden="1" ht="18" customHeight="1" s="380">
      <c r="B221" s="4" t="inlineStr">
        <is>
          <t>HNX04 (PS)</t>
        </is>
      </c>
      <c r="C221" s="213" t="n"/>
      <c r="D221" s="215" t="inlineStr">
        <is>
          <t>Tín phiếu kho bạc</t>
        </is>
      </c>
      <c r="F221" s="4" t="inlineStr">
        <is>
          <t>Báo cáo</t>
        </is>
      </c>
      <c r="G221" s="22" t="inlineStr">
        <is>
          <t>Chỉ tiêu phái sinh</t>
        </is>
      </c>
      <c r="H221" s="4" t="inlineStr">
        <is>
          <t>TB</t>
        </is>
      </c>
      <c r="I221" s="213" t="inlineStr">
        <is>
          <t>Tín phiếu kho bạc</t>
        </is>
      </c>
    </row>
    <row r="222" hidden="1" ht="54" customHeight="1" s="380">
      <c r="B222" s="4" t="inlineStr">
        <is>
          <t>HNX04 (PS)</t>
        </is>
      </c>
      <c r="C222" s="213" t="n"/>
      <c r="D222" s="214" t="inlineStr">
        <is>
          <t>Tỷ trọng giá trị niêm yết bình quân phiên trên giá trị niêm yết (%)</t>
        </is>
      </c>
      <c r="F222" s="4" t="inlineStr">
        <is>
          <t>Báo cáo</t>
        </is>
      </c>
      <c r="G222" s="22" t="inlineStr">
        <is>
          <t>Chỉ tiêu phái sinh</t>
        </is>
      </c>
      <c r="H222" s="4" t="inlineStr">
        <is>
          <t>TB</t>
        </is>
      </c>
    </row>
    <row r="223" hidden="1" ht="18" customHeight="1" s="380">
      <c r="B223" s="4" t="inlineStr">
        <is>
          <t>HNX04 (PS)</t>
        </is>
      </c>
      <c r="C223" s="213" t="n"/>
      <c r="D223" s="215" t="inlineStr">
        <is>
          <t>Cổ phiếu niêm yết</t>
        </is>
      </c>
      <c r="F223" s="4" t="inlineStr">
        <is>
          <t>Báo cáo</t>
        </is>
      </c>
      <c r="G223" s="22" t="inlineStr">
        <is>
          <t>Chỉ tiêu phái sinh</t>
        </is>
      </c>
      <c r="H223" s="4" t="inlineStr">
        <is>
          <t>TB</t>
        </is>
      </c>
      <c r="I223" s="4" t="inlineStr">
        <is>
          <t>CPNY</t>
        </is>
      </c>
    </row>
    <row r="224" hidden="1" ht="18" customHeight="1" s="380">
      <c r="B224" s="4" t="inlineStr">
        <is>
          <t>HNX04 (PS)</t>
        </is>
      </c>
      <c r="C224" s="213" t="n"/>
      <c r="D224" s="215" t="inlineStr">
        <is>
          <t>Cổ phiếu đăng ký giao dịch</t>
        </is>
      </c>
      <c r="F224" s="4" t="inlineStr">
        <is>
          <t>Báo cáo</t>
        </is>
      </c>
      <c r="G224" s="22" t="inlineStr">
        <is>
          <t>Chỉ tiêu phái sinh</t>
        </is>
      </c>
      <c r="H224" s="4" t="inlineStr">
        <is>
          <t>TB</t>
        </is>
      </c>
      <c r="I224" s="55" t="inlineStr">
        <is>
          <t>CP đăng ký GD</t>
        </is>
      </c>
    </row>
    <row r="225" hidden="1" ht="18" customHeight="1" s="380">
      <c r="B225" s="4" t="inlineStr">
        <is>
          <t>HNX04 (PS)</t>
        </is>
      </c>
      <c r="C225" s="213" t="n"/>
      <c r="D225" s="215" t="inlineStr">
        <is>
          <t>Trái phiếu Chính phủ</t>
        </is>
      </c>
      <c r="F225" s="4" t="inlineStr">
        <is>
          <t>Báo cáo</t>
        </is>
      </c>
      <c r="G225" s="22" t="inlineStr">
        <is>
          <t>Chỉ tiêu phái sinh</t>
        </is>
      </c>
      <c r="H225" s="4" t="inlineStr">
        <is>
          <t>TB</t>
        </is>
      </c>
      <c r="I225" s="4" t="inlineStr">
        <is>
          <t>TPCP</t>
        </is>
      </c>
    </row>
    <row r="226" hidden="1" ht="18" customHeight="1" s="380">
      <c r="B226" s="4" t="inlineStr">
        <is>
          <t>HNX04 (PS)</t>
        </is>
      </c>
      <c r="C226" s="213" t="n"/>
      <c r="D226" s="215" t="inlineStr">
        <is>
          <t>Tín phiếu kho bạc</t>
        </is>
      </c>
      <c r="F226" s="4" t="inlineStr">
        <is>
          <t>Báo cáo</t>
        </is>
      </c>
      <c r="G226" s="22" t="inlineStr">
        <is>
          <t>Chỉ tiêu phái sinh</t>
        </is>
      </c>
      <c r="H226" s="4" t="inlineStr">
        <is>
          <t>TB</t>
        </is>
      </c>
      <c r="I226" s="213" t="inlineStr">
        <is>
          <t>Tín phiếu kho bạc</t>
        </is>
      </c>
    </row>
    <row r="227" hidden="1" ht="32" customHeight="1" s="380">
      <c r="B227" s="4" t="inlineStr">
        <is>
          <t>HNX04 (PS)</t>
        </is>
      </c>
      <c r="C227" s="216" t="n"/>
      <c r="D227" s="217" t="inlineStr">
        <is>
          <t>Khối lượng chứng khoán niêm yết và đăng ký giao dịch (chứng khoán)</t>
        </is>
      </c>
      <c r="F227" s="4" t="inlineStr">
        <is>
          <t>Báo cáo</t>
        </is>
      </c>
      <c r="G227" s="22" t="inlineStr">
        <is>
          <t>Chỉ tiêu phái sinh</t>
        </is>
      </c>
      <c r="H227" s="4" t="inlineStr">
        <is>
          <t>TB</t>
        </is>
      </c>
    </row>
    <row r="228" hidden="1" ht="16" customHeight="1" s="380">
      <c r="B228" s="4" t="inlineStr">
        <is>
          <t>HNX04 (PS)</t>
        </is>
      </c>
      <c r="C228" s="216" t="n"/>
      <c r="D228" s="218" t="inlineStr">
        <is>
          <t>Cổ phiếu niêm yết</t>
        </is>
      </c>
      <c r="F228" s="4" t="inlineStr">
        <is>
          <t>Báo cáo</t>
        </is>
      </c>
      <c r="G228" s="22" t="inlineStr">
        <is>
          <t>Chỉ tiêu phái sinh</t>
        </is>
      </c>
      <c r="H228" s="4" t="inlineStr">
        <is>
          <t>TB</t>
        </is>
      </c>
      <c r="I228" s="4" t="inlineStr">
        <is>
          <t>CPNY</t>
        </is>
      </c>
    </row>
    <row r="229" hidden="1" ht="16" customHeight="1" s="380">
      <c r="B229" s="4" t="inlineStr">
        <is>
          <t>HNX04 (PS)</t>
        </is>
      </c>
      <c r="C229" s="216" t="n"/>
      <c r="D229" s="218" t="inlineStr">
        <is>
          <t>Cổ phiếu đăng ký giao dịch</t>
        </is>
      </c>
      <c r="F229" s="4" t="inlineStr">
        <is>
          <t>Báo cáo</t>
        </is>
      </c>
      <c r="G229" s="22" t="inlineStr">
        <is>
          <t>Chỉ tiêu phái sinh</t>
        </is>
      </c>
      <c r="H229" s="4" t="inlineStr">
        <is>
          <t>TB</t>
        </is>
      </c>
      <c r="I229" s="55" t="inlineStr">
        <is>
          <t>CP đăng ký GD</t>
        </is>
      </c>
    </row>
    <row r="230" hidden="1" ht="16" customHeight="1" s="380">
      <c r="B230" s="4" t="inlineStr">
        <is>
          <t>HNX04 (PS)</t>
        </is>
      </c>
      <c r="C230" s="216" t="n"/>
      <c r="D230" s="218" t="inlineStr">
        <is>
          <t>Trái phiếu chính phủ</t>
        </is>
      </c>
      <c r="F230" s="4" t="inlineStr">
        <is>
          <t>Báo cáo</t>
        </is>
      </c>
      <c r="G230" s="22" t="inlineStr">
        <is>
          <t>Chỉ tiêu phái sinh</t>
        </is>
      </c>
      <c r="H230" s="4" t="inlineStr">
        <is>
          <t>TB</t>
        </is>
      </c>
      <c r="I230" s="4" t="inlineStr">
        <is>
          <t>TPCP</t>
        </is>
      </c>
    </row>
    <row r="231" hidden="1" ht="16" customHeight="1" s="380">
      <c r="B231" s="4" t="inlineStr">
        <is>
          <t>HNX04 (PS)</t>
        </is>
      </c>
      <c r="C231" s="216" t="n"/>
      <c r="D231" s="218" t="inlineStr">
        <is>
          <t>Trái phiếu chính quyền địa phương</t>
        </is>
      </c>
      <c r="F231" s="4" t="inlineStr">
        <is>
          <t>Báo cáo</t>
        </is>
      </c>
      <c r="G231" s="22" t="inlineStr">
        <is>
          <t>Chỉ tiêu phái sinh</t>
        </is>
      </c>
      <c r="H231" s="4" t="inlineStr">
        <is>
          <t>TB</t>
        </is>
      </c>
      <c r="I231" s="55" t="inlineStr">
        <is>
          <t>TP Chính quyền ĐP</t>
        </is>
      </c>
    </row>
    <row r="232" hidden="1" ht="16" customHeight="1" s="380">
      <c r="B232" s="4" t="inlineStr">
        <is>
          <t>HNX04 (PS)</t>
        </is>
      </c>
      <c r="C232" s="216" t="n"/>
      <c r="D232" s="218" t="inlineStr">
        <is>
          <t>Trái phiếu chính phủ bảo lãnh</t>
        </is>
      </c>
      <c r="F232" s="4" t="inlineStr">
        <is>
          <t>Báo cáo</t>
        </is>
      </c>
      <c r="G232" s="22" t="inlineStr">
        <is>
          <t>Chỉ tiêu phái sinh</t>
        </is>
      </c>
      <c r="H232" s="4" t="inlineStr">
        <is>
          <t>TB</t>
        </is>
      </c>
      <c r="I232" s="55" t="inlineStr">
        <is>
          <t>TPCP bảo lãnh</t>
        </is>
      </c>
    </row>
    <row r="233" hidden="1" ht="16" customHeight="1" s="380">
      <c r="B233" s="4" t="inlineStr">
        <is>
          <t>HNX04 (PS)</t>
        </is>
      </c>
      <c r="C233" s="216" t="n"/>
      <c r="D233" s="218" t="inlineStr">
        <is>
          <t>Trái phiếu doanh nghiệp</t>
        </is>
      </c>
      <c r="F233" s="4" t="inlineStr">
        <is>
          <t>Báo cáo</t>
        </is>
      </c>
      <c r="G233" s="22" t="inlineStr">
        <is>
          <t>Chỉ tiêu phái sinh</t>
        </is>
      </c>
      <c r="H233" s="4" t="inlineStr">
        <is>
          <t>TB</t>
        </is>
      </c>
      <c r="I233" s="4" t="inlineStr">
        <is>
          <t>TPDN</t>
        </is>
      </c>
    </row>
    <row r="234" hidden="1" ht="16" customHeight="1" s="380">
      <c r="B234" s="4" t="inlineStr">
        <is>
          <t>HNX04 (PS)</t>
        </is>
      </c>
      <c r="C234" s="216" t="n"/>
      <c r="D234" s="218" t="inlineStr">
        <is>
          <t>Tín phiếu kho bạc</t>
        </is>
      </c>
      <c r="F234" s="4" t="inlineStr">
        <is>
          <t>Báo cáo</t>
        </is>
      </c>
      <c r="G234" s="22" t="inlineStr">
        <is>
          <t>Chỉ tiêu phái sinh</t>
        </is>
      </c>
      <c r="H234" s="4" t="inlineStr">
        <is>
          <t>TB</t>
        </is>
      </c>
      <c r="I234" s="55" t="inlineStr">
        <is>
          <t>Tín phiếu kho bạc</t>
        </is>
      </c>
    </row>
    <row r="235" hidden="1" ht="16" customHeight="1" s="380">
      <c r="B235" s="4" t="inlineStr">
        <is>
          <t>HNX04 (PS)</t>
        </is>
      </c>
      <c r="C235" s="216" t="n"/>
      <c r="D235" s="218" t="inlineStr">
        <is>
          <t>Chứng chỉ quỹ (ETF)</t>
        </is>
      </c>
      <c r="F235" s="4" t="inlineStr">
        <is>
          <t>Báo cáo</t>
        </is>
      </c>
      <c r="G235" s="22" t="inlineStr">
        <is>
          <t>Chỉ tiêu phái sinh</t>
        </is>
      </c>
      <c r="H235" s="4" t="inlineStr">
        <is>
          <t>TB</t>
        </is>
      </c>
      <c r="I235" s="4" t="inlineStr">
        <is>
          <t>ETF</t>
        </is>
      </c>
    </row>
    <row r="236" hidden="1" ht="32" customHeight="1" s="380">
      <c r="B236" s="4" t="inlineStr">
        <is>
          <t>HNX04 (PS)</t>
        </is>
      </c>
      <c r="C236" s="216" t="n"/>
      <c r="D236" s="217" t="inlineStr">
        <is>
          <t>Giá trị chứng khoán niêm yết và đăng ký giao dịch (VND)</t>
        </is>
      </c>
      <c r="F236" s="4" t="inlineStr">
        <is>
          <t>Báo cáo</t>
        </is>
      </c>
      <c r="G236" s="22" t="inlineStr">
        <is>
          <t>Chỉ tiêu phái sinh</t>
        </is>
      </c>
      <c r="H236" s="4" t="inlineStr">
        <is>
          <t>TB</t>
        </is>
      </c>
    </row>
    <row r="237" hidden="1" ht="16" customHeight="1" s="380">
      <c r="B237" s="4" t="inlineStr">
        <is>
          <t>HNX04 (PS)</t>
        </is>
      </c>
      <c r="C237" s="216" t="n"/>
      <c r="D237" s="218" t="inlineStr">
        <is>
          <t>Cổ phiếu niêm yết</t>
        </is>
      </c>
      <c r="F237" s="4" t="inlineStr">
        <is>
          <t>Báo cáo</t>
        </is>
      </c>
      <c r="G237" s="22" t="inlineStr">
        <is>
          <t>Chỉ tiêu phái sinh</t>
        </is>
      </c>
      <c r="H237" s="4" t="inlineStr">
        <is>
          <t>TB</t>
        </is>
      </c>
      <c r="I237" s="4" t="inlineStr">
        <is>
          <t>CPNY</t>
        </is>
      </c>
    </row>
    <row r="238" hidden="1" ht="16" customHeight="1" s="380">
      <c r="B238" s="4" t="inlineStr">
        <is>
          <t>HNX04 (PS)</t>
        </is>
      </c>
      <c r="C238" s="216" t="n"/>
      <c r="D238" s="218" t="inlineStr">
        <is>
          <t>Cổ phiếu đăng ký giao dịch</t>
        </is>
      </c>
      <c r="F238" s="4" t="inlineStr">
        <is>
          <t>Báo cáo</t>
        </is>
      </c>
      <c r="G238" s="22" t="inlineStr">
        <is>
          <t>Chỉ tiêu phái sinh</t>
        </is>
      </c>
      <c r="H238" s="4" t="inlineStr">
        <is>
          <t>TB</t>
        </is>
      </c>
      <c r="I238" s="55" t="inlineStr">
        <is>
          <t>CP đăng ký GD</t>
        </is>
      </c>
    </row>
    <row r="239" hidden="1" ht="16" customHeight="1" s="380">
      <c r="B239" s="4" t="inlineStr">
        <is>
          <t>HNX04 (PS)</t>
        </is>
      </c>
      <c r="C239" s="216" t="n"/>
      <c r="D239" s="218" t="inlineStr">
        <is>
          <t>Trái phiếu chính phủ</t>
        </is>
      </c>
      <c r="F239" s="4" t="inlineStr">
        <is>
          <t>Báo cáo</t>
        </is>
      </c>
      <c r="G239" s="22" t="inlineStr">
        <is>
          <t>Chỉ tiêu phái sinh</t>
        </is>
      </c>
      <c r="H239" s="4" t="inlineStr">
        <is>
          <t>TB</t>
        </is>
      </c>
      <c r="I239" s="4" t="inlineStr">
        <is>
          <t>TPCP</t>
        </is>
      </c>
    </row>
    <row r="240" hidden="1" ht="16" customHeight="1" s="380">
      <c r="B240" s="4" t="inlineStr">
        <is>
          <t>HNX04 (PS)</t>
        </is>
      </c>
      <c r="C240" s="216" t="n"/>
      <c r="D240" s="218" t="inlineStr">
        <is>
          <t>Trái phiếu chính quyền địa phương</t>
        </is>
      </c>
      <c r="F240" s="4" t="inlineStr">
        <is>
          <t>Báo cáo</t>
        </is>
      </c>
      <c r="G240" s="22" t="inlineStr">
        <is>
          <t>Chỉ tiêu phái sinh</t>
        </is>
      </c>
      <c r="H240" s="4" t="inlineStr">
        <is>
          <t>TB</t>
        </is>
      </c>
      <c r="I240" s="55" t="inlineStr">
        <is>
          <t>TP Chính quyền ĐP</t>
        </is>
      </c>
    </row>
    <row r="241" hidden="1" ht="16" customHeight="1" s="380">
      <c r="B241" s="4" t="inlineStr">
        <is>
          <t>HNX04 (PS)</t>
        </is>
      </c>
      <c r="C241" s="216" t="n"/>
      <c r="D241" s="218" t="inlineStr">
        <is>
          <t>Trái phiếu chính phủ bảo lãnh</t>
        </is>
      </c>
      <c r="F241" s="4" t="inlineStr">
        <is>
          <t>Báo cáo</t>
        </is>
      </c>
      <c r="G241" s="22" t="inlineStr">
        <is>
          <t>Chỉ tiêu phái sinh</t>
        </is>
      </c>
      <c r="H241" s="4" t="inlineStr">
        <is>
          <t>TB</t>
        </is>
      </c>
      <c r="I241" s="55" t="inlineStr">
        <is>
          <t>TPCP bảo lãnh</t>
        </is>
      </c>
    </row>
    <row r="242" hidden="1" ht="16" customHeight="1" s="380">
      <c r="B242" s="4" t="inlineStr">
        <is>
          <t>HNX04 (PS)</t>
        </is>
      </c>
      <c r="C242" s="216" t="n"/>
      <c r="D242" s="218" t="inlineStr">
        <is>
          <t>Trái phiếu doanh nghiệp</t>
        </is>
      </c>
      <c r="F242" s="4" t="inlineStr">
        <is>
          <t>Báo cáo</t>
        </is>
      </c>
      <c r="G242" s="22" t="inlineStr">
        <is>
          <t>Chỉ tiêu phái sinh</t>
        </is>
      </c>
      <c r="H242" s="4" t="inlineStr">
        <is>
          <t>TB</t>
        </is>
      </c>
      <c r="I242" s="4" t="inlineStr">
        <is>
          <t>TPDN</t>
        </is>
      </c>
    </row>
    <row r="243" hidden="1" ht="16" customHeight="1" s="380">
      <c r="B243" s="4" t="inlineStr">
        <is>
          <t>HNX04 (PS)</t>
        </is>
      </c>
      <c r="C243" s="216" t="n"/>
      <c r="D243" s="218" t="inlineStr">
        <is>
          <t>Tín phiếu kho bạc</t>
        </is>
      </c>
      <c r="F243" s="4" t="inlineStr">
        <is>
          <t>Báo cáo</t>
        </is>
      </c>
      <c r="G243" s="22" t="inlineStr">
        <is>
          <t>Chỉ tiêu phái sinh</t>
        </is>
      </c>
      <c r="H243" s="4" t="inlineStr">
        <is>
          <t>TB</t>
        </is>
      </c>
      <c r="I243" s="55" t="inlineStr">
        <is>
          <t>Tín phiếu kho bạc</t>
        </is>
      </c>
    </row>
    <row r="244" hidden="1" ht="16" customHeight="1" s="380">
      <c r="B244" s="4" t="inlineStr">
        <is>
          <t>HNX04 (PS)</t>
        </is>
      </c>
      <c r="C244" s="216" t="n"/>
      <c r="D244" s="218" t="inlineStr">
        <is>
          <t>Chứng chỉ quỹ (ETF)</t>
        </is>
      </c>
      <c r="F244" s="4" t="inlineStr">
        <is>
          <t>Báo cáo</t>
        </is>
      </c>
      <c r="G244" s="22" t="inlineStr">
        <is>
          <t>Chỉ tiêu phái sinh</t>
        </is>
      </c>
      <c r="H244" s="4" t="inlineStr">
        <is>
          <t>TB</t>
        </is>
      </c>
      <c r="I244" s="4" t="inlineStr">
        <is>
          <t>ETF</t>
        </is>
      </c>
    </row>
    <row r="245" hidden="1" ht="36" customHeight="1" s="380">
      <c r="B245" s="4" t="inlineStr">
        <is>
          <t>HNX04 (PS)</t>
        </is>
      </c>
      <c r="C245" s="213" t="n"/>
      <c r="D245" s="214" t="inlineStr">
        <is>
          <t>Giá trị giao dịch bình quân 1 phiên (VND)</t>
        </is>
      </c>
      <c r="F245" s="4" t="inlineStr">
        <is>
          <t>Báo cáo</t>
        </is>
      </c>
      <c r="G245" s="22" t="inlineStr">
        <is>
          <t>Chỉ tiêu phái sinh</t>
        </is>
      </c>
      <c r="H245" s="4" t="inlineStr">
        <is>
          <t>TB</t>
        </is>
      </c>
    </row>
    <row r="246" hidden="1" ht="18" customHeight="1" s="380">
      <c r="B246" s="4" t="inlineStr">
        <is>
          <t>HNX04 (PS)</t>
        </is>
      </c>
      <c r="C246" s="213" t="n"/>
      <c r="D246" s="215" t="inlineStr">
        <is>
          <t>Cổ phiếu niêm yết</t>
        </is>
      </c>
      <c r="F246" s="4" t="inlineStr">
        <is>
          <t>Báo cáo</t>
        </is>
      </c>
      <c r="G246" s="22" t="inlineStr">
        <is>
          <t>Chỉ tiêu phái sinh</t>
        </is>
      </c>
      <c r="H246" s="4" t="inlineStr">
        <is>
          <t>TB</t>
        </is>
      </c>
      <c r="I246" s="4" t="inlineStr">
        <is>
          <t>CPNY</t>
        </is>
      </c>
    </row>
    <row r="247" hidden="1" ht="18" customHeight="1" s="380">
      <c r="B247" s="4" t="inlineStr">
        <is>
          <t>HNX04 (PS)</t>
        </is>
      </c>
      <c r="C247" s="213" t="n"/>
      <c r="D247" s="215" t="inlineStr">
        <is>
          <t>Cổ phiếu đăng ký giao dịch</t>
        </is>
      </c>
      <c r="F247" s="4" t="inlineStr">
        <is>
          <t>Báo cáo</t>
        </is>
      </c>
      <c r="G247" s="22" t="inlineStr">
        <is>
          <t>Chỉ tiêu phái sinh</t>
        </is>
      </c>
      <c r="H247" s="4" t="inlineStr">
        <is>
          <t>TB</t>
        </is>
      </c>
      <c r="I247" s="55" t="inlineStr">
        <is>
          <t>CP đăng ký GD</t>
        </is>
      </c>
    </row>
    <row r="248" hidden="1" ht="18" customHeight="1" s="380">
      <c r="B248" s="4" t="inlineStr">
        <is>
          <t>HNX04 (PS)</t>
        </is>
      </c>
      <c r="C248" s="213" t="n"/>
      <c r="D248" s="215" t="inlineStr">
        <is>
          <t>Trái phiếu Chính phủ</t>
        </is>
      </c>
      <c r="F248" s="4" t="inlineStr">
        <is>
          <t>Báo cáo</t>
        </is>
      </c>
      <c r="G248" s="22" t="inlineStr">
        <is>
          <t>Chỉ tiêu phái sinh</t>
        </is>
      </c>
      <c r="H248" s="4" t="inlineStr">
        <is>
          <t>TB</t>
        </is>
      </c>
      <c r="I248" s="4" t="inlineStr">
        <is>
          <t>TPCP</t>
        </is>
      </c>
    </row>
    <row r="249" hidden="1" ht="18" customHeight="1" s="380">
      <c r="B249" s="4" t="inlineStr">
        <is>
          <t>HNX04 (PS)</t>
        </is>
      </c>
      <c r="C249" s="213" t="n"/>
      <c r="D249" s="215" t="inlineStr">
        <is>
          <t>Tín phiếu kho bạc</t>
        </is>
      </c>
      <c r="F249" s="4" t="inlineStr">
        <is>
          <t>Báo cáo</t>
        </is>
      </c>
      <c r="G249" s="22" t="inlineStr">
        <is>
          <t>Chỉ tiêu phái sinh</t>
        </is>
      </c>
      <c r="H249" s="4" t="inlineStr">
        <is>
          <t>TB</t>
        </is>
      </c>
      <c r="I249" s="213" t="inlineStr">
        <is>
          <t>Tín phiếu kho bạc</t>
        </is>
      </c>
    </row>
    <row r="250" hidden="1" ht="54" customHeight="1" s="380">
      <c r="B250" s="4" t="inlineStr">
        <is>
          <t>HNX04 (PS)</t>
        </is>
      </c>
      <c r="C250" s="213" t="n"/>
      <c r="D250" s="214" t="inlineStr">
        <is>
          <t>Tỷ trọng giá trị niêm yết bình quân phiên trên giá trị niêm yết (%)</t>
        </is>
      </c>
      <c r="F250" s="4" t="inlineStr">
        <is>
          <t>Báo cáo</t>
        </is>
      </c>
      <c r="G250" s="22" t="inlineStr">
        <is>
          <t>Chỉ tiêu phái sinh</t>
        </is>
      </c>
      <c r="H250" s="4" t="inlineStr">
        <is>
          <t>TB</t>
        </is>
      </c>
    </row>
    <row r="251" hidden="1" ht="18" customHeight="1" s="380">
      <c r="B251" s="4" t="inlineStr">
        <is>
          <t>HNX04 (PS)</t>
        </is>
      </c>
      <c r="C251" s="213" t="n"/>
      <c r="D251" s="215" t="inlineStr">
        <is>
          <t>Cổ phiếu niêm yết</t>
        </is>
      </c>
      <c r="F251" s="4" t="inlineStr">
        <is>
          <t>Báo cáo</t>
        </is>
      </c>
      <c r="G251" s="22" t="inlineStr">
        <is>
          <t>Chỉ tiêu phái sinh</t>
        </is>
      </c>
      <c r="H251" s="4" t="inlineStr">
        <is>
          <t>TB</t>
        </is>
      </c>
      <c r="I251" s="4" t="inlineStr">
        <is>
          <t>CPNY</t>
        </is>
      </c>
    </row>
    <row r="252" hidden="1" ht="18" customHeight="1" s="380">
      <c r="B252" s="4" t="inlineStr">
        <is>
          <t>HNX04 (PS)</t>
        </is>
      </c>
      <c r="C252" s="213" t="n"/>
      <c r="D252" s="215" t="inlineStr">
        <is>
          <t>Cổ phiếu đăng ký giao dịch</t>
        </is>
      </c>
      <c r="F252" s="4" t="inlineStr">
        <is>
          <t>Báo cáo</t>
        </is>
      </c>
      <c r="G252" s="22" t="inlineStr">
        <is>
          <t>Chỉ tiêu phái sinh</t>
        </is>
      </c>
      <c r="H252" s="4" t="inlineStr">
        <is>
          <t>TB</t>
        </is>
      </c>
      <c r="I252" s="55" t="inlineStr">
        <is>
          <t>CP đăng ký GD</t>
        </is>
      </c>
    </row>
    <row r="253" hidden="1" ht="18" customHeight="1" s="380">
      <c r="B253" s="4" t="inlineStr">
        <is>
          <t>HNX04 (PS)</t>
        </is>
      </c>
      <c r="C253" s="213" t="n"/>
      <c r="D253" s="215" t="inlineStr">
        <is>
          <t>Trái phiếu Chính phủ</t>
        </is>
      </c>
      <c r="F253" s="4" t="inlineStr">
        <is>
          <t>Báo cáo</t>
        </is>
      </c>
      <c r="G253" s="22" t="inlineStr">
        <is>
          <t>Chỉ tiêu phái sinh</t>
        </is>
      </c>
      <c r="H253" s="4" t="inlineStr">
        <is>
          <t>TB</t>
        </is>
      </c>
      <c r="I253" s="4" t="inlineStr">
        <is>
          <t>TPCP</t>
        </is>
      </c>
    </row>
    <row r="254" hidden="1" ht="18" customHeight="1" s="380">
      <c r="B254" s="4" t="inlineStr">
        <is>
          <t>HNX04 (PS)</t>
        </is>
      </c>
      <c r="C254" s="213" t="n"/>
      <c r="D254" s="215" t="inlineStr">
        <is>
          <t>Tín phiếu kho bạc</t>
        </is>
      </c>
      <c r="F254" s="4" t="inlineStr">
        <is>
          <t>Báo cáo</t>
        </is>
      </c>
      <c r="G254" s="22" t="inlineStr">
        <is>
          <t>Chỉ tiêu phái sinh</t>
        </is>
      </c>
      <c r="H254" s="4" t="inlineStr">
        <is>
          <t>TB</t>
        </is>
      </c>
      <c r="I254" s="213" t="inlineStr">
        <is>
          <t>Tín phiếu kho bạc</t>
        </is>
      </c>
    </row>
    <row r="255" hidden="1" ht="14" customHeight="1" s="380">
      <c r="B255" s="211" t="inlineStr">
        <is>
          <t>HNX04 (PS)</t>
        </is>
      </c>
      <c r="C255" s="211" t="n"/>
      <c r="D255" s="212" t="inlineStr">
        <is>
          <t>Trong kỳ-Tăng/giảm so với kỳ trước (%)</t>
        </is>
      </c>
      <c r="F255" s="4" t="inlineStr">
        <is>
          <t>Báo cáo</t>
        </is>
      </c>
      <c r="G255" s="22" t="inlineStr">
        <is>
          <t>Chiều</t>
        </is>
      </c>
    </row>
    <row r="256" hidden="1" ht="36" customHeight="1" s="380">
      <c r="B256" s="4" t="inlineStr">
        <is>
          <t>HNX04 (PS)</t>
        </is>
      </c>
      <c r="C256" s="213" t="n"/>
      <c r="D256" s="214" t="inlineStr">
        <is>
          <t>Giá trị giao dịch bình quân 1 phiên (VND)</t>
        </is>
      </c>
      <c r="F256" s="4" t="inlineStr">
        <is>
          <t>Báo cáo</t>
        </is>
      </c>
      <c r="G256" s="22" t="inlineStr">
        <is>
          <t>Chỉ tiêu phái sinh</t>
        </is>
      </c>
      <c r="H256" s="4" t="inlineStr">
        <is>
          <t>TB</t>
        </is>
      </c>
    </row>
    <row r="257" hidden="1" ht="18" customHeight="1" s="380">
      <c r="B257" s="4" t="inlineStr">
        <is>
          <t>HNX04 (PS)</t>
        </is>
      </c>
      <c r="C257" s="213" t="n"/>
      <c r="D257" s="215" t="inlineStr">
        <is>
          <t>Cổ phiếu niêm yết</t>
        </is>
      </c>
      <c r="F257" s="4" t="inlineStr">
        <is>
          <t>Báo cáo</t>
        </is>
      </c>
      <c r="G257" s="22" t="inlineStr">
        <is>
          <t>Chỉ tiêu phái sinh</t>
        </is>
      </c>
      <c r="H257" s="4" t="inlineStr">
        <is>
          <t>TB</t>
        </is>
      </c>
      <c r="I257" s="4" t="inlineStr">
        <is>
          <t>CPNY</t>
        </is>
      </c>
    </row>
    <row r="258" hidden="1" ht="18" customHeight="1" s="380">
      <c r="B258" s="4" t="inlineStr">
        <is>
          <t>HNX04 (PS)</t>
        </is>
      </c>
      <c r="C258" s="213" t="n"/>
      <c r="D258" s="215" t="inlineStr">
        <is>
          <t>Cổ phiếu đăng ký giao dịch</t>
        </is>
      </c>
      <c r="F258" s="4" t="inlineStr">
        <is>
          <t>Báo cáo</t>
        </is>
      </c>
      <c r="G258" s="22" t="inlineStr">
        <is>
          <t>Chỉ tiêu phái sinh</t>
        </is>
      </c>
      <c r="H258" s="4" t="inlineStr">
        <is>
          <t>TB</t>
        </is>
      </c>
      <c r="I258" s="55" t="inlineStr">
        <is>
          <t>CP đăng ký GD</t>
        </is>
      </c>
    </row>
    <row r="259" hidden="1" ht="18" customHeight="1" s="380">
      <c r="B259" s="4" t="inlineStr">
        <is>
          <t>HNX04 (PS)</t>
        </is>
      </c>
      <c r="C259" s="213" t="n"/>
      <c r="D259" s="215" t="inlineStr">
        <is>
          <t>Trái phiếu Chính phủ</t>
        </is>
      </c>
      <c r="F259" s="4" t="inlineStr">
        <is>
          <t>Báo cáo</t>
        </is>
      </c>
      <c r="G259" s="22" t="inlineStr">
        <is>
          <t>Chỉ tiêu phái sinh</t>
        </is>
      </c>
      <c r="H259" s="4" t="inlineStr">
        <is>
          <t>TB</t>
        </is>
      </c>
      <c r="I259" s="4" t="inlineStr">
        <is>
          <t>TPCP</t>
        </is>
      </c>
    </row>
    <row r="260" hidden="1" ht="18" customHeight="1" s="380">
      <c r="B260" s="4" t="inlineStr">
        <is>
          <t>HNX04 (PS)</t>
        </is>
      </c>
      <c r="C260" s="213" t="n"/>
      <c r="D260" s="215" t="inlineStr">
        <is>
          <t>Tín phiếu kho bạc</t>
        </is>
      </c>
      <c r="F260" s="4" t="inlineStr">
        <is>
          <t>Báo cáo</t>
        </is>
      </c>
      <c r="G260" s="22" t="inlineStr">
        <is>
          <t>Chỉ tiêu phái sinh</t>
        </is>
      </c>
      <c r="H260" s="4" t="inlineStr">
        <is>
          <t>TB</t>
        </is>
      </c>
      <c r="I260" s="213" t="inlineStr">
        <is>
          <t>Tín phiếu kho bạc</t>
        </is>
      </c>
    </row>
    <row r="261" hidden="1" ht="54" customHeight="1" s="380">
      <c r="B261" s="4" t="inlineStr">
        <is>
          <t>HNX04 (PS)</t>
        </is>
      </c>
      <c r="C261" s="213" t="n"/>
      <c r="D261" s="214" t="inlineStr">
        <is>
          <t>Tỷ trọng giá trị niêm yết bình quân phiên trên giá trị niêm yết (%)</t>
        </is>
      </c>
      <c r="F261" s="4" t="inlineStr">
        <is>
          <t>Báo cáo</t>
        </is>
      </c>
      <c r="G261" s="22" t="inlineStr">
        <is>
          <t>Chỉ tiêu phái sinh</t>
        </is>
      </c>
      <c r="H261" s="4" t="inlineStr">
        <is>
          <t>TB</t>
        </is>
      </c>
      <c r="I261" s="55" t="n"/>
    </row>
    <row r="262" hidden="1" ht="18" customHeight="1" s="380">
      <c r="B262" s="4" t="inlineStr">
        <is>
          <t>HNX04 (PS)</t>
        </is>
      </c>
      <c r="C262" s="213" t="n"/>
      <c r="D262" s="215" t="inlineStr">
        <is>
          <t>Cổ phiếu niêm yết</t>
        </is>
      </c>
      <c r="F262" s="4" t="inlineStr">
        <is>
          <t>Báo cáo</t>
        </is>
      </c>
      <c r="G262" s="22" t="inlineStr">
        <is>
          <t>Chỉ tiêu phái sinh</t>
        </is>
      </c>
      <c r="H262" s="4" t="inlineStr">
        <is>
          <t>TB</t>
        </is>
      </c>
      <c r="I262" s="4" t="inlineStr">
        <is>
          <t>CPNY</t>
        </is>
      </c>
    </row>
    <row r="263" hidden="1" ht="18" customHeight="1" s="380">
      <c r="B263" s="4" t="inlineStr">
        <is>
          <t>HNX04 (PS)</t>
        </is>
      </c>
      <c r="C263" s="213" t="n"/>
      <c r="D263" s="215" t="inlineStr">
        <is>
          <t>Cổ phiếu đăng ký giao dịch</t>
        </is>
      </c>
      <c r="F263" s="4" t="inlineStr">
        <is>
          <t>Báo cáo</t>
        </is>
      </c>
      <c r="G263" s="22" t="inlineStr">
        <is>
          <t>Chỉ tiêu phái sinh</t>
        </is>
      </c>
      <c r="H263" s="4" t="inlineStr">
        <is>
          <t>TB</t>
        </is>
      </c>
      <c r="I263" s="55" t="inlineStr">
        <is>
          <t>CP đăng ký GD</t>
        </is>
      </c>
    </row>
    <row r="264" hidden="1" ht="18" customHeight="1" s="380">
      <c r="B264" s="4" t="inlineStr">
        <is>
          <t>HNX04 (PS)</t>
        </is>
      </c>
      <c r="C264" s="213" t="n"/>
      <c r="D264" s="215" t="inlineStr">
        <is>
          <t>Trái phiếu Chính phủ</t>
        </is>
      </c>
      <c r="F264" s="4" t="inlineStr">
        <is>
          <t>Báo cáo</t>
        </is>
      </c>
      <c r="G264" s="22" t="inlineStr">
        <is>
          <t>Chỉ tiêu phái sinh</t>
        </is>
      </c>
      <c r="H264" s="4" t="inlineStr">
        <is>
          <t>TB</t>
        </is>
      </c>
      <c r="I264" s="4" t="inlineStr">
        <is>
          <t>TPCP</t>
        </is>
      </c>
    </row>
    <row r="265" hidden="1" ht="18" customHeight="1" s="380">
      <c r="B265" s="4" t="inlineStr">
        <is>
          <t>HNX04 (PS)</t>
        </is>
      </c>
      <c r="C265" s="213" t="n"/>
      <c r="D265" s="215" t="inlineStr">
        <is>
          <t>Tín phiếu kho bạc</t>
        </is>
      </c>
      <c r="F265" s="4" t="inlineStr">
        <is>
          <t>Báo cáo</t>
        </is>
      </c>
      <c r="G265" s="22" t="inlineStr">
        <is>
          <t>Chỉ tiêu phái sinh</t>
        </is>
      </c>
      <c r="H265" s="4" t="inlineStr">
        <is>
          <t>TB</t>
        </is>
      </c>
      <c r="I265" s="213" t="inlineStr">
        <is>
          <t>Tín phiếu kho bạc</t>
        </is>
      </c>
    </row>
    <row r="266" hidden="1" ht="32" customHeight="1" s="380">
      <c r="B266" s="4" t="inlineStr">
        <is>
          <t>HNX04 (PS)</t>
        </is>
      </c>
      <c r="C266" s="216" t="n"/>
      <c r="D266" s="217" t="inlineStr">
        <is>
          <t>Khối lượng chứng khoán niêm yết và đăng ký giao dịch (chứng khoán)</t>
        </is>
      </c>
      <c r="F266" s="4" t="inlineStr">
        <is>
          <t>Báo cáo</t>
        </is>
      </c>
      <c r="G266" s="22" t="inlineStr">
        <is>
          <t>Chỉ tiêu phái sinh</t>
        </is>
      </c>
      <c r="H266" s="4" t="inlineStr">
        <is>
          <t>TB</t>
        </is>
      </c>
    </row>
    <row r="267" hidden="1" ht="16" customHeight="1" s="380">
      <c r="B267" s="4" t="inlineStr">
        <is>
          <t>HNX04 (PS)</t>
        </is>
      </c>
      <c r="C267" s="216" t="n"/>
      <c r="D267" s="218" t="inlineStr">
        <is>
          <t>Cổ phiếu niêm yết</t>
        </is>
      </c>
      <c r="F267" s="4" t="inlineStr">
        <is>
          <t>Báo cáo</t>
        </is>
      </c>
      <c r="G267" s="22" t="inlineStr">
        <is>
          <t>Chỉ tiêu phái sinh</t>
        </is>
      </c>
      <c r="H267" s="4" t="inlineStr">
        <is>
          <t>TB</t>
        </is>
      </c>
      <c r="I267" s="4" t="inlineStr">
        <is>
          <t>CPNY</t>
        </is>
      </c>
    </row>
    <row r="268" hidden="1" ht="16" customHeight="1" s="380">
      <c r="B268" s="4" t="inlineStr">
        <is>
          <t>HNX04 (PS)</t>
        </is>
      </c>
      <c r="C268" s="216" t="n"/>
      <c r="D268" s="218" t="inlineStr">
        <is>
          <t>Cổ phiếu đăng ký giao dịch</t>
        </is>
      </c>
      <c r="F268" s="4" t="inlineStr">
        <is>
          <t>Báo cáo</t>
        </is>
      </c>
      <c r="G268" s="22" t="inlineStr">
        <is>
          <t>Chỉ tiêu phái sinh</t>
        </is>
      </c>
      <c r="H268" s="4" t="inlineStr">
        <is>
          <t>TB</t>
        </is>
      </c>
      <c r="I268" s="55" t="inlineStr">
        <is>
          <t>CP đăng ký GD</t>
        </is>
      </c>
    </row>
    <row r="269" hidden="1" ht="16" customHeight="1" s="380">
      <c r="B269" s="4" t="inlineStr">
        <is>
          <t>HNX04 (PS)</t>
        </is>
      </c>
      <c r="C269" s="216" t="n"/>
      <c r="D269" s="218" t="inlineStr">
        <is>
          <t>Trái phiếu chính phủ</t>
        </is>
      </c>
      <c r="F269" s="4" t="inlineStr">
        <is>
          <t>Báo cáo</t>
        </is>
      </c>
      <c r="G269" s="22" t="inlineStr">
        <is>
          <t>Chỉ tiêu phái sinh</t>
        </is>
      </c>
      <c r="H269" s="4" t="inlineStr">
        <is>
          <t>TB</t>
        </is>
      </c>
      <c r="I269" s="4" t="inlineStr">
        <is>
          <t>TPCP</t>
        </is>
      </c>
    </row>
    <row r="270" hidden="1" ht="16" customHeight="1" s="380">
      <c r="B270" s="4" t="inlineStr">
        <is>
          <t>HNX04 (PS)</t>
        </is>
      </c>
      <c r="C270" s="216" t="n"/>
      <c r="D270" s="218" t="inlineStr">
        <is>
          <t>Trái phiếu chính quyền địa phương</t>
        </is>
      </c>
      <c r="F270" s="4" t="inlineStr">
        <is>
          <t>Báo cáo</t>
        </is>
      </c>
      <c r="G270" s="22" t="inlineStr">
        <is>
          <t>Chỉ tiêu phái sinh</t>
        </is>
      </c>
      <c r="H270" s="4" t="inlineStr">
        <is>
          <t>TB</t>
        </is>
      </c>
      <c r="I270" s="55" t="inlineStr">
        <is>
          <t>TP Chính quyền ĐP</t>
        </is>
      </c>
    </row>
    <row r="271" hidden="1" ht="16" customHeight="1" s="380">
      <c r="B271" s="4" t="inlineStr">
        <is>
          <t>HNX04 (PS)</t>
        </is>
      </c>
      <c r="C271" s="216" t="n"/>
      <c r="D271" s="218" t="inlineStr">
        <is>
          <t>Trái phiếu chính phủ bảo lãnh</t>
        </is>
      </c>
      <c r="F271" s="4" t="inlineStr">
        <is>
          <t>Báo cáo</t>
        </is>
      </c>
      <c r="G271" s="22" t="inlineStr">
        <is>
          <t>Chỉ tiêu phái sinh</t>
        </is>
      </c>
      <c r="H271" s="4" t="inlineStr">
        <is>
          <t>TB</t>
        </is>
      </c>
      <c r="I271" s="55" t="inlineStr">
        <is>
          <t>TPCP bảo lãnh</t>
        </is>
      </c>
    </row>
    <row r="272" hidden="1" ht="16" customHeight="1" s="380">
      <c r="B272" s="4" t="inlineStr">
        <is>
          <t>HNX04 (PS)</t>
        </is>
      </c>
      <c r="C272" s="216" t="n"/>
      <c r="D272" s="218" t="inlineStr">
        <is>
          <t>Trái phiếu doanh nghiệp</t>
        </is>
      </c>
      <c r="F272" s="4" t="inlineStr">
        <is>
          <t>Báo cáo</t>
        </is>
      </c>
      <c r="G272" s="22" t="inlineStr">
        <is>
          <t>Chỉ tiêu phái sinh</t>
        </is>
      </c>
      <c r="H272" s="4" t="inlineStr">
        <is>
          <t>TB</t>
        </is>
      </c>
      <c r="I272" s="4" t="inlineStr">
        <is>
          <t>TPDN</t>
        </is>
      </c>
    </row>
    <row r="273" hidden="1" ht="16" customHeight="1" s="380">
      <c r="B273" s="4" t="inlineStr">
        <is>
          <t>HNX04 (PS)</t>
        </is>
      </c>
      <c r="C273" s="216" t="n"/>
      <c r="D273" s="218" t="inlineStr">
        <is>
          <t>Tín phiếu kho bạc</t>
        </is>
      </c>
      <c r="F273" s="4" t="inlineStr">
        <is>
          <t>Báo cáo</t>
        </is>
      </c>
      <c r="G273" s="22" t="inlineStr">
        <is>
          <t>Chỉ tiêu phái sinh</t>
        </is>
      </c>
      <c r="H273" s="4" t="inlineStr">
        <is>
          <t>TB</t>
        </is>
      </c>
      <c r="I273" s="55" t="inlineStr">
        <is>
          <t>Tín phiếu kho bạc</t>
        </is>
      </c>
    </row>
    <row r="274" hidden="1" ht="16" customHeight="1" s="380">
      <c r="B274" s="4" t="inlineStr">
        <is>
          <t>HNX04 (PS)</t>
        </is>
      </c>
      <c r="C274" s="216" t="n"/>
      <c r="D274" s="218" t="inlineStr">
        <is>
          <t>Chứng chỉ quỹ (ETF)</t>
        </is>
      </c>
      <c r="F274" s="4" t="inlineStr">
        <is>
          <t>Báo cáo</t>
        </is>
      </c>
      <c r="G274" s="22" t="inlineStr">
        <is>
          <t>Chỉ tiêu phái sinh</t>
        </is>
      </c>
      <c r="H274" s="4" t="inlineStr">
        <is>
          <t>TB</t>
        </is>
      </c>
      <c r="I274" s="4" t="inlineStr">
        <is>
          <t>ETF</t>
        </is>
      </c>
    </row>
    <row r="275" hidden="1" ht="32" customHeight="1" s="380">
      <c r="B275" s="4" t="inlineStr">
        <is>
          <t>HNX04 (PS)</t>
        </is>
      </c>
      <c r="C275" s="216" t="n"/>
      <c r="D275" s="217" t="inlineStr">
        <is>
          <t>Giá trị chứng khoán niêm yết và đăng ký giao dịch (VND)</t>
        </is>
      </c>
      <c r="F275" s="4" t="inlineStr">
        <is>
          <t>Báo cáo</t>
        </is>
      </c>
      <c r="G275" s="22" t="inlineStr">
        <is>
          <t>Chỉ tiêu phái sinh</t>
        </is>
      </c>
      <c r="H275" s="4" t="inlineStr">
        <is>
          <t>TB</t>
        </is>
      </c>
    </row>
    <row r="276" hidden="1" ht="16" customHeight="1" s="380">
      <c r="B276" s="4" t="inlineStr">
        <is>
          <t>HNX04 (PS)</t>
        </is>
      </c>
      <c r="C276" s="216" t="n"/>
      <c r="D276" s="218" t="inlineStr">
        <is>
          <t>Cổ phiếu niêm yết</t>
        </is>
      </c>
      <c r="F276" s="4" t="inlineStr">
        <is>
          <t>Báo cáo</t>
        </is>
      </c>
      <c r="G276" s="22" t="inlineStr">
        <is>
          <t>Chỉ tiêu phái sinh</t>
        </is>
      </c>
      <c r="H276" s="4" t="inlineStr">
        <is>
          <t>TB</t>
        </is>
      </c>
      <c r="I276" s="4" t="inlineStr">
        <is>
          <t>CPNY</t>
        </is>
      </c>
    </row>
    <row r="277" hidden="1" ht="16" customHeight="1" s="380">
      <c r="B277" s="4" t="inlineStr">
        <is>
          <t>HNX04 (PS)</t>
        </is>
      </c>
      <c r="C277" s="216" t="n"/>
      <c r="D277" s="218" t="inlineStr">
        <is>
          <t>Cổ phiếu đăng ký giao dịch</t>
        </is>
      </c>
      <c r="F277" s="4" t="inlineStr">
        <is>
          <t>Báo cáo</t>
        </is>
      </c>
      <c r="G277" s="22" t="inlineStr">
        <is>
          <t>Chỉ tiêu phái sinh</t>
        </is>
      </c>
      <c r="H277" s="4" t="inlineStr">
        <is>
          <t>TB</t>
        </is>
      </c>
      <c r="I277" s="55" t="inlineStr">
        <is>
          <t>CP đăng ký GD</t>
        </is>
      </c>
    </row>
    <row r="278" hidden="1" ht="16" customHeight="1" s="380">
      <c r="B278" s="4" t="inlineStr">
        <is>
          <t>HNX04 (PS)</t>
        </is>
      </c>
      <c r="C278" s="216" t="n"/>
      <c r="D278" s="218" t="inlineStr">
        <is>
          <t>Trái phiếu chính phủ</t>
        </is>
      </c>
      <c r="F278" s="4" t="inlineStr">
        <is>
          <t>Báo cáo</t>
        </is>
      </c>
      <c r="G278" s="22" t="inlineStr">
        <is>
          <t>Chỉ tiêu phái sinh</t>
        </is>
      </c>
      <c r="H278" s="4" t="inlineStr">
        <is>
          <t>TB</t>
        </is>
      </c>
      <c r="I278" s="4" t="inlineStr">
        <is>
          <t>TPCP</t>
        </is>
      </c>
    </row>
    <row r="279" hidden="1" ht="16" customHeight="1" s="380">
      <c r="B279" s="4" t="inlineStr">
        <is>
          <t>HNX04 (PS)</t>
        </is>
      </c>
      <c r="C279" s="216" t="n"/>
      <c r="D279" s="218" t="inlineStr">
        <is>
          <t>Trái phiếu chính quyền địa phương</t>
        </is>
      </c>
      <c r="F279" s="4" t="inlineStr">
        <is>
          <t>Báo cáo</t>
        </is>
      </c>
      <c r="G279" s="22" t="inlineStr">
        <is>
          <t>Chỉ tiêu phái sinh</t>
        </is>
      </c>
      <c r="H279" s="4" t="inlineStr">
        <is>
          <t>TB</t>
        </is>
      </c>
      <c r="I279" s="55" t="inlineStr">
        <is>
          <t>TP Chính quyền ĐP</t>
        </is>
      </c>
    </row>
    <row r="280" hidden="1" ht="16" customHeight="1" s="380">
      <c r="B280" s="4" t="inlineStr">
        <is>
          <t>HNX04 (PS)</t>
        </is>
      </c>
      <c r="C280" s="216" t="n"/>
      <c r="D280" s="218" t="inlineStr">
        <is>
          <t>Trái phiếu chính phủ bảo lãnh</t>
        </is>
      </c>
      <c r="F280" s="4" t="inlineStr">
        <is>
          <t>Báo cáo</t>
        </is>
      </c>
      <c r="G280" s="22" t="inlineStr">
        <is>
          <t>Chỉ tiêu phái sinh</t>
        </is>
      </c>
      <c r="H280" s="4" t="inlineStr">
        <is>
          <t>TB</t>
        </is>
      </c>
      <c r="I280" s="55" t="inlineStr">
        <is>
          <t>TPCP bảo lãnh</t>
        </is>
      </c>
    </row>
    <row r="281" hidden="1" ht="16" customHeight="1" s="380">
      <c r="B281" s="4" t="inlineStr">
        <is>
          <t>HNX04 (PS)</t>
        </is>
      </c>
      <c r="C281" s="216" t="n"/>
      <c r="D281" s="218" t="inlineStr">
        <is>
          <t>Trái phiếu doanh nghiệp</t>
        </is>
      </c>
      <c r="F281" s="4" t="inlineStr">
        <is>
          <t>Báo cáo</t>
        </is>
      </c>
      <c r="G281" s="22" t="inlineStr">
        <is>
          <t>Chỉ tiêu phái sinh</t>
        </is>
      </c>
      <c r="H281" s="4" t="inlineStr">
        <is>
          <t>TB</t>
        </is>
      </c>
      <c r="I281" s="4" t="inlineStr">
        <is>
          <t>TPDN</t>
        </is>
      </c>
    </row>
    <row r="282" hidden="1" ht="16" customHeight="1" s="380">
      <c r="B282" s="4" t="inlineStr">
        <is>
          <t>HNX04 (PS)</t>
        </is>
      </c>
      <c r="C282" s="216" t="n"/>
      <c r="D282" s="218" t="inlineStr">
        <is>
          <t>Tín phiếu kho bạc</t>
        </is>
      </c>
      <c r="F282" s="4" t="inlineStr">
        <is>
          <t>Báo cáo</t>
        </is>
      </c>
      <c r="G282" s="22" t="inlineStr">
        <is>
          <t>Chỉ tiêu phái sinh</t>
        </is>
      </c>
      <c r="H282" s="4" t="inlineStr">
        <is>
          <t>TB</t>
        </is>
      </c>
      <c r="I282" s="55" t="inlineStr">
        <is>
          <t>Tín phiếu kho bạc</t>
        </is>
      </c>
    </row>
    <row r="283" hidden="1" ht="16" customHeight="1" s="380">
      <c r="B283" s="4" t="inlineStr">
        <is>
          <t>HNX04 (PS)</t>
        </is>
      </c>
      <c r="C283" s="216" t="n"/>
      <c r="D283" s="218" t="inlineStr">
        <is>
          <t>Chứng chỉ quỹ (ETF)</t>
        </is>
      </c>
      <c r="F283" s="4" t="inlineStr">
        <is>
          <t>Báo cáo</t>
        </is>
      </c>
      <c r="G283" s="22" t="inlineStr">
        <is>
          <t>Chỉ tiêu phái sinh</t>
        </is>
      </c>
      <c r="H283" s="4" t="inlineStr">
        <is>
          <t>TB</t>
        </is>
      </c>
      <c r="I283" s="4" t="inlineStr">
        <is>
          <t>ETF</t>
        </is>
      </c>
    </row>
    <row r="284" hidden="1" ht="36" customHeight="1" s="380">
      <c r="B284" s="4" t="inlineStr">
        <is>
          <t>HNX04 (PS)</t>
        </is>
      </c>
      <c r="C284" s="213" t="n"/>
      <c r="D284" s="214" t="inlineStr">
        <is>
          <t>Giá trị giao dịch bình quân 1 phiên (VND)</t>
        </is>
      </c>
      <c r="F284" s="4" t="inlineStr">
        <is>
          <t>Báo cáo</t>
        </is>
      </c>
      <c r="G284" s="22" t="inlineStr">
        <is>
          <t>Chỉ tiêu phái sinh</t>
        </is>
      </c>
      <c r="H284" s="4" t="inlineStr">
        <is>
          <t>TB</t>
        </is>
      </c>
    </row>
    <row r="285" hidden="1" ht="18" customHeight="1" s="380">
      <c r="B285" s="4" t="inlineStr">
        <is>
          <t>HNX04 (PS)</t>
        </is>
      </c>
      <c r="C285" s="213" t="n"/>
      <c r="D285" s="215" t="inlineStr">
        <is>
          <t>Cổ phiếu niêm yết</t>
        </is>
      </c>
      <c r="F285" s="4" t="inlineStr">
        <is>
          <t>Báo cáo</t>
        </is>
      </c>
      <c r="G285" s="22" t="inlineStr">
        <is>
          <t>Chỉ tiêu phái sinh</t>
        </is>
      </c>
      <c r="H285" s="4" t="inlineStr">
        <is>
          <t>TB</t>
        </is>
      </c>
      <c r="I285" s="4" t="inlineStr">
        <is>
          <t>CPNY</t>
        </is>
      </c>
    </row>
    <row r="286" hidden="1" ht="18" customHeight="1" s="380">
      <c r="B286" s="4" t="inlineStr">
        <is>
          <t>HNX04 (PS)</t>
        </is>
      </c>
      <c r="C286" s="213" t="n"/>
      <c r="D286" s="215" t="inlineStr">
        <is>
          <t>Cổ phiếu đăng ký giao dịch</t>
        </is>
      </c>
      <c r="F286" s="4" t="inlineStr">
        <is>
          <t>Báo cáo</t>
        </is>
      </c>
      <c r="G286" s="22" t="inlineStr">
        <is>
          <t>Chỉ tiêu phái sinh</t>
        </is>
      </c>
      <c r="H286" s="4" t="inlineStr">
        <is>
          <t>TB</t>
        </is>
      </c>
      <c r="I286" s="55" t="inlineStr">
        <is>
          <t>CP đăng ký GD</t>
        </is>
      </c>
    </row>
    <row r="287" hidden="1" ht="18" customHeight="1" s="380">
      <c r="B287" s="4" t="inlineStr">
        <is>
          <t>HNX04 (PS)</t>
        </is>
      </c>
      <c r="C287" s="213" t="n"/>
      <c r="D287" s="215" t="inlineStr">
        <is>
          <t>Trái phiếu Chính phủ</t>
        </is>
      </c>
      <c r="F287" s="4" t="inlineStr">
        <is>
          <t>Báo cáo</t>
        </is>
      </c>
      <c r="G287" s="22" t="inlineStr">
        <is>
          <t>Chỉ tiêu phái sinh</t>
        </is>
      </c>
      <c r="H287" s="4" t="inlineStr">
        <is>
          <t>TB</t>
        </is>
      </c>
      <c r="I287" s="4" t="inlineStr">
        <is>
          <t>TPCP</t>
        </is>
      </c>
    </row>
    <row r="288" hidden="1" ht="18" customHeight="1" s="380">
      <c r="B288" s="4" t="inlineStr">
        <is>
          <t>HNX04 (PS)</t>
        </is>
      </c>
      <c r="C288" s="213" t="n"/>
      <c r="D288" s="215" t="inlineStr">
        <is>
          <t>Tín phiếu kho bạc</t>
        </is>
      </c>
      <c r="F288" s="4" t="inlineStr">
        <is>
          <t>Báo cáo</t>
        </is>
      </c>
      <c r="G288" s="22" t="inlineStr">
        <is>
          <t>Chỉ tiêu phái sinh</t>
        </is>
      </c>
      <c r="H288" s="4" t="inlineStr">
        <is>
          <t>TB</t>
        </is>
      </c>
      <c r="I288" s="213" t="inlineStr">
        <is>
          <t>Tín phiếu kho bạc</t>
        </is>
      </c>
    </row>
    <row r="289" hidden="1" ht="54" customHeight="1" s="380">
      <c r="B289" s="4" t="inlineStr">
        <is>
          <t>HNX04 (PS)</t>
        </is>
      </c>
      <c r="C289" s="213" t="n"/>
      <c r="D289" s="214" t="inlineStr">
        <is>
          <t>Tỷ trọng giá trị niêm yết bình quân phiên trên giá trị niêm yết (%)</t>
        </is>
      </c>
      <c r="F289" s="4" t="inlineStr">
        <is>
          <t>Báo cáo</t>
        </is>
      </c>
      <c r="G289" s="22" t="inlineStr">
        <is>
          <t>Chỉ tiêu phái sinh</t>
        </is>
      </c>
      <c r="H289" s="4" t="inlineStr">
        <is>
          <t>TB</t>
        </is>
      </c>
    </row>
    <row r="290" hidden="1" ht="18" customHeight="1" s="380">
      <c r="B290" s="4" t="inlineStr">
        <is>
          <t>HNX04 (PS)</t>
        </is>
      </c>
      <c r="C290" s="213" t="n"/>
      <c r="D290" s="215" t="inlineStr">
        <is>
          <t>Cổ phiếu niêm yết</t>
        </is>
      </c>
      <c r="F290" s="4" t="inlineStr">
        <is>
          <t>Báo cáo</t>
        </is>
      </c>
      <c r="G290" s="22" t="inlineStr">
        <is>
          <t>Chỉ tiêu phái sinh</t>
        </is>
      </c>
      <c r="H290" s="4" t="inlineStr">
        <is>
          <t>TB</t>
        </is>
      </c>
      <c r="I290" s="4" t="inlineStr">
        <is>
          <t>CPNY</t>
        </is>
      </c>
    </row>
    <row r="291" hidden="1" ht="18" customHeight="1" s="380">
      <c r="B291" s="4" t="inlineStr">
        <is>
          <t>HNX04 (PS)</t>
        </is>
      </c>
      <c r="C291" s="213" t="n"/>
      <c r="D291" s="215" t="inlineStr">
        <is>
          <t>Cổ phiếu đăng ký giao dịch</t>
        </is>
      </c>
      <c r="F291" s="4" t="inlineStr">
        <is>
          <t>Báo cáo</t>
        </is>
      </c>
      <c r="G291" s="22" t="inlineStr">
        <is>
          <t>Chỉ tiêu phái sinh</t>
        </is>
      </c>
      <c r="H291" s="4" t="inlineStr">
        <is>
          <t>TB</t>
        </is>
      </c>
      <c r="I291" s="55" t="inlineStr">
        <is>
          <t>CP đăng ký GD</t>
        </is>
      </c>
    </row>
    <row r="292" hidden="1" ht="18" customHeight="1" s="380">
      <c r="B292" s="4" t="inlineStr">
        <is>
          <t>HNX04 (PS)</t>
        </is>
      </c>
      <c r="C292" s="213" t="n"/>
      <c r="D292" s="215" t="inlineStr">
        <is>
          <t>Trái phiếu Chính phủ</t>
        </is>
      </c>
      <c r="F292" s="4" t="inlineStr">
        <is>
          <t>Báo cáo</t>
        </is>
      </c>
      <c r="G292" s="22" t="inlineStr">
        <is>
          <t>Chỉ tiêu phái sinh</t>
        </is>
      </c>
      <c r="H292" s="4" t="inlineStr">
        <is>
          <t>TB</t>
        </is>
      </c>
      <c r="I292" s="4" t="inlineStr">
        <is>
          <t>TPCP</t>
        </is>
      </c>
    </row>
    <row r="293" hidden="1" ht="18" customHeight="1" s="380">
      <c r="B293" s="4" t="inlineStr">
        <is>
          <t>HNX04 (PS)</t>
        </is>
      </c>
      <c r="C293" s="213" t="n"/>
      <c r="D293" s="215" t="inlineStr">
        <is>
          <t>Tín phiếu kho bạc</t>
        </is>
      </c>
      <c r="F293" s="4" t="inlineStr">
        <is>
          <t>Báo cáo</t>
        </is>
      </c>
      <c r="G293" s="22" t="inlineStr">
        <is>
          <t>Chỉ tiêu phái sinh</t>
        </is>
      </c>
      <c r="H293" s="4" t="inlineStr">
        <is>
          <t>TB</t>
        </is>
      </c>
      <c r="I293" s="213" t="inlineStr">
        <is>
          <t>Tín phiếu kho bạc</t>
        </is>
      </c>
    </row>
    <row r="294" ht="17" customHeight="1" s="380">
      <c r="A294" s="184" t="n"/>
      <c r="B294" s="184" t="inlineStr">
        <is>
          <t>HNX04 (LK)</t>
        </is>
      </c>
      <c r="C294" s="219" t="n"/>
      <c r="D294" s="220" t="inlineStr">
        <is>
          <t>Chỉ tiêu</t>
        </is>
      </c>
      <c r="E294" s="184" t="n"/>
      <c r="F294" s="4" t="inlineStr">
        <is>
          <t>Báo cáo</t>
        </is>
      </c>
      <c r="G294" s="184" t="inlineStr">
        <is>
          <t>Chiều</t>
        </is>
      </c>
      <c r="H294" s="184" t="n"/>
      <c r="I294" s="184" t="n"/>
      <c r="J294" s="184" t="n"/>
      <c r="K294" s="184" t="n"/>
      <c r="L294" s="184" t="n"/>
      <c r="M294" s="184" t="n"/>
    </row>
    <row r="295" ht="17" customHeight="1" s="380">
      <c r="B295" s="4" t="inlineStr">
        <is>
          <t>HNX04 (LK)</t>
        </is>
      </c>
      <c r="C295" s="221" t="n"/>
      <c r="D295" s="222" t="inlineStr">
        <is>
          <t>Trong kỳ - Phát sinh</t>
        </is>
      </c>
      <c r="F295" s="4" t="inlineStr">
        <is>
          <t>Báo cáo</t>
        </is>
      </c>
      <c r="G295" s="22" t="inlineStr">
        <is>
          <t>Chiều</t>
        </is>
      </c>
    </row>
    <row r="296" ht="16" customHeight="1" s="380">
      <c r="A296" s="55" t="n"/>
      <c r="B296" s="4" t="inlineStr">
        <is>
          <t>HNX04 (LK)</t>
        </is>
      </c>
      <c r="C296" s="216" t="n"/>
      <c r="D296" s="218" t="inlineStr">
        <is>
          <t>GTGD (VND)</t>
        </is>
      </c>
      <c r="E296" s="55" t="n"/>
      <c r="F296" s="4" t="inlineStr">
        <is>
          <t>Báo cáo</t>
        </is>
      </c>
      <c r="G296" s="22" t="inlineStr">
        <is>
          <t>Chỉ tiêu phái sinh</t>
        </is>
      </c>
      <c r="H296" s="4" t="inlineStr">
        <is>
          <t>TB</t>
        </is>
      </c>
      <c r="I296" s="55" t="n"/>
      <c r="J296" s="55" t="n"/>
      <c r="K296" s="55" t="n"/>
      <c r="L296" s="55" t="n"/>
      <c r="M296" s="55" t="n"/>
      <c r="N296" s="55" t="n"/>
      <c r="O296" s="55" t="n"/>
      <c r="P296" s="55" t="n"/>
      <c r="Q296" s="55" t="n"/>
      <c r="R296" s="55" t="n"/>
      <c r="S296" s="55" t="n"/>
      <c r="T296" s="55" t="n"/>
      <c r="U296" s="55" t="n"/>
      <c r="V296" s="55" t="n"/>
      <c r="W296" s="55" t="n"/>
      <c r="X296" s="55" t="n"/>
      <c r="Y296" s="55" t="n"/>
      <c r="Z296" s="55" t="n"/>
      <c r="AA296" s="55" t="n"/>
      <c r="AB296" s="55" t="n"/>
      <c r="AC296" s="55" t="n"/>
      <c r="AD296" s="55" t="n"/>
      <c r="AE296" s="55" t="n"/>
      <c r="AF296" s="55" t="n"/>
    </row>
    <row r="297" ht="16" customHeight="1" s="380">
      <c r="A297" s="55" t="n"/>
      <c r="B297" s="4" t="inlineStr">
        <is>
          <t>HNX04 (LK)</t>
        </is>
      </c>
      <c r="C297" s="216" t="n"/>
      <c r="D297" s="218" t="inlineStr">
        <is>
          <t>Trái phiếu chính phủ</t>
        </is>
      </c>
      <c r="E297" s="55" t="n"/>
      <c r="F297" s="4" t="inlineStr">
        <is>
          <t>Báo cáo</t>
        </is>
      </c>
      <c r="G297" s="22" t="inlineStr">
        <is>
          <t>Chỉ tiêu phái sinh</t>
        </is>
      </c>
      <c r="H297" s="4" t="inlineStr">
        <is>
          <t>TB</t>
        </is>
      </c>
      <c r="I297" s="55" t="inlineStr">
        <is>
          <t>TPCP</t>
        </is>
      </c>
      <c r="J297" s="55" t="n"/>
      <c r="K297" s="55" t="n"/>
      <c r="L297" s="55" t="n"/>
      <c r="M297" s="55" t="n"/>
      <c r="N297" s="55" t="n"/>
      <c r="O297" s="55" t="n"/>
      <c r="P297" s="55" t="n"/>
      <c r="Q297" s="55" t="n"/>
      <c r="R297" s="55" t="n"/>
      <c r="S297" s="55" t="n"/>
      <c r="T297" s="55" t="n"/>
      <c r="U297" s="55" t="n"/>
      <c r="V297" s="55" t="n"/>
      <c r="W297" s="55" t="n"/>
      <c r="X297" s="55" t="n"/>
      <c r="Y297" s="55" t="n"/>
      <c r="Z297" s="55" t="n"/>
      <c r="AA297" s="55" t="n"/>
      <c r="AB297" s="55" t="n"/>
      <c r="AC297" s="55" t="n"/>
      <c r="AD297" s="55" t="n"/>
      <c r="AE297" s="55" t="n"/>
      <c r="AF297" s="55" t="n"/>
    </row>
    <row r="298" ht="16" customHeight="1" s="380">
      <c r="A298" s="55" t="n"/>
      <c r="B298" s="4" t="inlineStr">
        <is>
          <t>HNX04 (LK)</t>
        </is>
      </c>
      <c r="C298" s="216" t="n"/>
      <c r="D298" s="218" t="inlineStr">
        <is>
          <t>Trái phiếu chính quyền địa phương</t>
        </is>
      </c>
      <c r="E298" s="55" t="n"/>
      <c r="F298" s="4" t="inlineStr">
        <is>
          <t>Báo cáo</t>
        </is>
      </c>
      <c r="G298" s="22" t="inlineStr">
        <is>
          <t>Chỉ tiêu phái sinh</t>
        </is>
      </c>
      <c r="H298" s="4" t="inlineStr">
        <is>
          <t>TB</t>
        </is>
      </c>
      <c r="I298" s="55" t="inlineStr">
        <is>
          <t>TP Chính quyền ĐP</t>
        </is>
      </c>
      <c r="J298" s="55" t="n"/>
      <c r="K298" s="55" t="n"/>
      <c r="L298" s="55" t="n"/>
      <c r="M298" s="55" t="n"/>
      <c r="N298" s="55" t="n"/>
      <c r="O298" s="55" t="n"/>
      <c r="P298" s="55" t="n"/>
      <c r="Q298" s="55" t="n"/>
      <c r="R298" s="55" t="n"/>
      <c r="S298" s="55" t="n"/>
      <c r="T298" s="55" t="n"/>
      <c r="U298" s="55" t="n"/>
      <c r="V298" s="55" t="n"/>
      <c r="W298" s="55" t="n"/>
      <c r="X298" s="55" t="n"/>
      <c r="Y298" s="55" t="n"/>
      <c r="Z298" s="55" t="n"/>
      <c r="AA298" s="55" t="n"/>
      <c r="AB298" s="55" t="n"/>
      <c r="AC298" s="55" t="n"/>
      <c r="AD298" s="55" t="n"/>
      <c r="AE298" s="55" t="n"/>
      <c r="AF298" s="55" t="n"/>
    </row>
    <row r="299" ht="16" customHeight="1" s="380">
      <c r="A299" s="55" t="n"/>
      <c r="B299" s="4" t="inlineStr">
        <is>
          <t>HNX04 (LK)</t>
        </is>
      </c>
      <c r="C299" s="216" t="n"/>
      <c r="D299" s="218" t="inlineStr">
        <is>
          <t>Trái phiếu chính phủ bảo lãnh</t>
        </is>
      </c>
      <c r="E299" s="55" t="n"/>
      <c r="F299" s="4" t="inlineStr">
        <is>
          <t>Báo cáo</t>
        </is>
      </c>
      <c r="G299" s="22" t="inlineStr">
        <is>
          <t>Chỉ tiêu phái sinh</t>
        </is>
      </c>
      <c r="H299" s="4" t="inlineStr">
        <is>
          <t>TB</t>
        </is>
      </c>
      <c r="I299" s="55" t="inlineStr">
        <is>
          <t>TPCP bảo lãnh</t>
        </is>
      </c>
      <c r="J299" s="55" t="n"/>
      <c r="K299" s="55" t="n"/>
      <c r="L299" s="55" t="n"/>
      <c r="M299" s="55" t="n"/>
      <c r="N299" s="55" t="n"/>
      <c r="O299" s="55" t="n"/>
      <c r="P299" s="55" t="n"/>
      <c r="Q299" s="55" t="n"/>
      <c r="R299" s="55" t="n"/>
      <c r="S299" s="55" t="n"/>
      <c r="T299" s="55" t="n"/>
      <c r="U299" s="55" t="n"/>
      <c r="V299" s="55" t="n"/>
      <c r="W299" s="55" t="n"/>
      <c r="X299" s="55" t="n"/>
      <c r="Y299" s="55" t="n"/>
      <c r="Z299" s="55" t="n"/>
      <c r="AA299" s="55" t="n"/>
      <c r="AB299" s="55" t="n"/>
      <c r="AC299" s="55" t="n"/>
      <c r="AD299" s="55" t="n"/>
      <c r="AE299" s="55" t="n"/>
      <c r="AF299" s="55" t="n"/>
    </row>
    <row r="300" ht="16" customHeight="1" s="380">
      <c r="A300" s="55" t="n"/>
      <c r="B300" s="4" t="inlineStr">
        <is>
          <t>HNX04 (LK)</t>
        </is>
      </c>
      <c r="C300" s="216" t="n"/>
      <c r="D300" s="218" t="inlineStr">
        <is>
          <t>Tín phiếu kho bạc</t>
        </is>
      </c>
      <c r="E300" s="55" t="n"/>
      <c r="F300" s="4" t="inlineStr">
        <is>
          <t>Báo cáo</t>
        </is>
      </c>
      <c r="G300" s="22" t="inlineStr">
        <is>
          <t>Chỉ tiêu phái sinh</t>
        </is>
      </c>
      <c r="H300" s="4" t="inlineStr">
        <is>
          <t>TB</t>
        </is>
      </c>
      <c r="I300" s="55" t="inlineStr">
        <is>
          <t>Tín phiếu kho bạc</t>
        </is>
      </c>
      <c r="J300" s="55" t="n"/>
      <c r="K300" s="55" t="n"/>
      <c r="L300" s="55" t="n"/>
      <c r="M300" s="55" t="n"/>
      <c r="N300" s="55" t="n"/>
      <c r="O300" s="55" t="n"/>
      <c r="P300" s="55" t="n"/>
      <c r="Q300" s="55" t="n"/>
      <c r="R300" s="55" t="n"/>
      <c r="S300" s="55" t="n"/>
      <c r="T300" s="55" t="n"/>
      <c r="U300" s="55" t="n"/>
      <c r="V300" s="55" t="n"/>
      <c r="W300" s="55" t="n"/>
      <c r="X300" s="55" t="n"/>
      <c r="Y300" s="55" t="n"/>
      <c r="Z300" s="55" t="n"/>
      <c r="AA300" s="55" t="n"/>
      <c r="AB300" s="55" t="n"/>
      <c r="AC300" s="55" t="n"/>
      <c r="AD300" s="55" t="n"/>
      <c r="AE300" s="55" t="n"/>
      <c r="AF300" s="55" t="n"/>
    </row>
    <row r="301" ht="16" customHeight="1" s="380">
      <c r="A301" s="55" t="n"/>
      <c r="B301" s="4" t="inlineStr">
        <is>
          <t>HNX04 (LK)</t>
        </is>
      </c>
      <c r="C301" s="216" t="n"/>
      <c r="D301" s="218" t="inlineStr">
        <is>
          <t>KLGD (trái phiếu)</t>
        </is>
      </c>
      <c r="E301" s="55" t="n"/>
      <c r="F301" s="4" t="inlineStr">
        <is>
          <t>Báo cáo</t>
        </is>
      </c>
      <c r="G301" s="22" t="inlineStr">
        <is>
          <t>Chỉ tiêu phái sinh</t>
        </is>
      </c>
      <c r="H301" s="4" t="inlineStr">
        <is>
          <t>TB</t>
        </is>
      </c>
      <c r="I301" s="55" t="n"/>
      <c r="J301" s="55" t="n"/>
      <c r="K301" s="55" t="n"/>
      <c r="L301" s="55" t="n"/>
      <c r="M301" s="55" t="n"/>
      <c r="N301" s="55" t="n"/>
      <c r="O301" s="55" t="n"/>
      <c r="P301" s="55" t="n"/>
      <c r="Q301" s="55" t="n"/>
      <c r="R301" s="55" t="n"/>
      <c r="S301" s="55" t="n"/>
      <c r="T301" s="55" t="n"/>
      <c r="U301" s="55" t="n"/>
      <c r="V301" s="55" t="n"/>
      <c r="W301" s="55" t="n"/>
      <c r="X301" s="55" t="n"/>
      <c r="Y301" s="55" t="n"/>
      <c r="Z301" s="55" t="n"/>
      <c r="AA301" s="55" t="n"/>
      <c r="AB301" s="55" t="n"/>
      <c r="AC301" s="55" t="n"/>
      <c r="AD301" s="55" t="n"/>
      <c r="AE301" s="55" t="n"/>
      <c r="AF301" s="55" t="n"/>
    </row>
    <row r="302" ht="16" customHeight="1" s="380">
      <c r="A302" s="55" t="n"/>
      <c r="B302" s="4" t="inlineStr">
        <is>
          <t>HNX04 (LK)</t>
        </is>
      </c>
      <c r="C302" s="216" t="n"/>
      <c r="D302" s="218" t="inlineStr">
        <is>
          <t>Trái phiếu chính phủ</t>
        </is>
      </c>
      <c r="E302" s="55" t="n"/>
      <c r="F302" s="4" t="inlineStr">
        <is>
          <t>Báo cáo</t>
        </is>
      </c>
      <c r="G302" s="22" t="inlineStr">
        <is>
          <t>Chỉ tiêu phái sinh</t>
        </is>
      </c>
      <c r="H302" s="4" t="inlineStr">
        <is>
          <t>TB</t>
        </is>
      </c>
      <c r="I302" s="55" t="inlineStr">
        <is>
          <t>TPCP</t>
        </is>
      </c>
      <c r="J302" s="55" t="n"/>
      <c r="K302" s="55" t="n"/>
      <c r="L302" s="55" t="n"/>
      <c r="M302" s="55" t="n"/>
      <c r="N302" s="55" t="n"/>
      <c r="O302" s="55" t="n"/>
      <c r="P302" s="55" t="n"/>
      <c r="Q302" s="55" t="n"/>
      <c r="R302" s="55" t="n"/>
      <c r="S302" s="55" t="n"/>
      <c r="T302" s="55" t="n"/>
      <c r="U302" s="55" t="n"/>
      <c r="V302" s="55" t="n"/>
      <c r="W302" s="55" t="n"/>
      <c r="X302" s="55" t="n"/>
      <c r="Y302" s="55" t="n"/>
      <c r="Z302" s="55" t="n"/>
      <c r="AA302" s="55" t="n"/>
      <c r="AB302" s="55" t="n"/>
      <c r="AC302" s="55" t="n"/>
      <c r="AD302" s="55" t="n"/>
      <c r="AE302" s="55" t="n"/>
      <c r="AF302" s="55" t="n"/>
    </row>
    <row r="303" ht="16" customHeight="1" s="380">
      <c r="A303" s="55" t="n"/>
      <c r="B303" s="4" t="inlineStr">
        <is>
          <t>HNX04 (LK)</t>
        </is>
      </c>
      <c r="C303" s="216" t="n"/>
      <c r="D303" s="218" t="inlineStr">
        <is>
          <t>Trái phiếu chính quyền địa phương</t>
        </is>
      </c>
      <c r="E303" s="55" t="n"/>
      <c r="F303" s="4" t="inlineStr">
        <is>
          <t>Báo cáo</t>
        </is>
      </c>
      <c r="G303" s="22" t="inlineStr">
        <is>
          <t>Chỉ tiêu phái sinh</t>
        </is>
      </c>
      <c r="H303" s="4" t="inlineStr">
        <is>
          <t>TB</t>
        </is>
      </c>
      <c r="I303" s="55" t="inlineStr">
        <is>
          <t>TP Chính quyền ĐP</t>
        </is>
      </c>
      <c r="J303" s="55" t="n"/>
      <c r="K303" s="55" t="n"/>
      <c r="L303" s="55" t="n"/>
      <c r="M303" s="55" t="n"/>
      <c r="N303" s="55" t="n"/>
      <c r="O303" s="55" t="n"/>
      <c r="P303" s="55" t="n"/>
      <c r="Q303" s="55" t="n"/>
      <c r="R303" s="55" t="n"/>
      <c r="S303" s="55" t="n"/>
      <c r="T303" s="55" t="n"/>
      <c r="U303" s="55" t="n"/>
      <c r="V303" s="55" t="n"/>
      <c r="W303" s="55" t="n"/>
      <c r="X303" s="55" t="n"/>
      <c r="Y303" s="55" t="n"/>
      <c r="Z303" s="55" t="n"/>
      <c r="AA303" s="55" t="n"/>
      <c r="AB303" s="55" t="n"/>
      <c r="AC303" s="55" t="n"/>
      <c r="AD303" s="55" t="n"/>
      <c r="AE303" s="55" t="n"/>
      <c r="AF303" s="55" t="n"/>
    </row>
    <row r="304" ht="16" customHeight="1" s="380">
      <c r="A304" s="55" t="n"/>
      <c r="B304" s="4" t="inlineStr">
        <is>
          <t>HNX04 (LK)</t>
        </is>
      </c>
      <c r="C304" s="216" t="n"/>
      <c r="D304" s="218" t="inlineStr">
        <is>
          <t>Trái phiếu chính phủ bảo lãnh</t>
        </is>
      </c>
      <c r="E304" s="55" t="n"/>
      <c r="F304" s="4" t="inlineStr">
        <is>
          <t>Báo cáo</t>
        </is>
      </c>
      <c r="G304" s="22" t="inlineStr">
        <is>
          <t>Chỉ tiêu phái sinh</t>
        </is>
      </c>
      <c r="H304" s="4" t="inlineStr">
        <is>
          <t>TB</t>
        </is>
      </c>
      <c r="I304" s="55" t="inlineStr">
        <is>
          <t>TPCP bảo lãnh</t>
        </is>
      </c>
      <c r="J304" s="55" t="n"/>
      <c r="K304" s="55" t="n"/>
      <c r="L304" s="55" t="n"/>
      <c r="M304" s="55" t="n"/>
      <c r="N304" s="55" t="n"/>
      <c r="O304" s="55" t="n"/>
      <c r="P304" s="55" t="n"/>
      <c r="Q304" s="55" t="n"/>
      <c r="R304" s="55" t="n"/>
      <c r="S304" s="55" t="n"/>
      <c r="T304" s="55" t="n"/>
      <c r="U304" s="55" t="n"/>
      <c r="V304" s="55" t="n"/>
      <c r="W304" s="55" t="n"/>
      <c r="X304" s="55" t="n"/>
      <c r="Y304" s="55" t="n"/>
      <c r="Z304" s="55" t="n"/>
      <c r="AA304" s="55" t="n"/>
      <c r="AB304" s="55" t="n"/>
      <c r="AC304" s="55" t="n"/>
      <c r="AD304" s="55" t="n"/>
      <c r="AE304" s="55" t="n"/>
      <c r="AF304" s="55" t="n"/>
    </row>
    <row r="305" ht="16" customHeight="1" s="380">
      <c r="A305" s="55" t="n"/>
      <c r="B305" s="4" t="inlineStr">
        <is>
          <t>HNX04 (LK)</t>
        </is>
      </c>
      <c r="C305" s="216" t="n"/>
      <c r="D305" s="218" t="inlineStr">
        <is>
          <t>Tín phiếu kho bạc</t>
        </is>
      </c>
      <c r="E305" s="55" t="n"/>
      <c r="F305" s="4" t="inlineStr">
        <is>
          <t>Báo cáo</t>
        </is>
      </c>
      <c r="G305" s="22" t="inlineStr">
        <is>
          <t>Chỉ tiêu phái sinh</t>
        </is>
      </c>
      <c r="H305" s="4" t="inlineStr">
        <is>
          <t>TB</t>
        </is>
      </c>
      <c r="I305" s="55" t="inlineStr">
        <is>
          <t>Tín phiếu kho bạc</t>
        </is>
      </c>
      <c r="J305" s="55" t="n"/>
      <c r="K305" s="55" t="n"/>
      <c r="L305" s="55" t="n"/>
      <c r="M305" s="55" t="n"/>
      <c r="N305" s="55" t="n"/>
      <c r="O305" s="55" t="n"/>
      <c r="P305" s="55" t="n"/>
      <c r="Q305" s="55" t="n"/>
      <c r="R305" s="55" t="n"/>
      <c r="S305" s="55" t="n"/>
      <c r="T305" s="55" t="n"/>
      <c r="U305" s="55" t="n"/>
      <c r="V305" s="55" t="n"/>
      <c r="W305" s="55" t="n"/>
      <c r="X305" s="55" t="n"/>
      <c r="Y305" s="55" t="n"/>
      <c r="Z305" s="55" t="n"/>
      <c r="AA305" s="55" t="n"/>
      <c r="AB305" s="55" t="n"/>
      <c r="AC305" s="55" t="n"/>
      <c r="AD305" s="55" t="n"/>
      <c r="AE305" s="55" t="n"/>
      <c r="AF305" s="55" t="n"/>
    </row>
    <row r="306" ht="16" customHeight="1" s="380">
      <c r="A306" s="55" t="n"/>
      <c r="B306" s="4" t="inlineStr">
        <is>
          <t>HNX04 (LK)</t>
        </is>
      </c>
      <c r="C306" s="216" t="n"/>
      <c r="D306" s="218" t="inlineStr">
        <is>
          <t>Giá trị chứng khoán giao dịch (VND)</t>
        </is>
      </c>
      <c r="E306" s="55" t="n"/>
      <c r="F306" s="4" t="inlineStr">
        <is>
          <t>Báo cáo</t>
        </is>
      </c>
      <c r="G306" s="22" t="inlineStr">
        <is>
          <t>Chỉ tiêu phái sinh</t>
        </is>
      </c>
      <c r="H306" s="4" t="inlineStr">
        <is>
          <t>TB</t>
        </is>
      </c>
      <c r="I306" s="55" t="n"/>
      <c r="J306" s="55" t="n"/>
      <c r="K306" s="55" t="n"/>
      <c r="L306" s="55" t="n"/>
      <c r="M306" s="55" t="n"/>
      <c r="N306" s="55" t="n"/>
      <c r="O306" s="55" t="n"/>
      <c r="P306" s="55" t="n"/>
      <c r="Q306" s="55" t="n"/>
      <c r="R306" s="55" t="n"/>
      <c r="S306" s="55" t="n"/>
      <c r="T306" s="55" t="n"/>
      <c r="U306" s="55" t="n"/>
      <c r="V306" s="55" t="n"/>
      <c r="W306" s="55" t="n"/>
      <c r="X306" s="55" t="n"/>
      <c r="Y306" s="55" t="n"/>
      <c r="Z306" s="55" t="n"/>
      <c r="AA306" s="55" t="n"/>
      <c r="AB306" s="55" t="n"/>
      <c r="AC306" s="55" t="n"/>
      <c r="AD306" s="55" t="n"/>
      <c r="AE306" s="55" t="n"/>
      <c r="AF306" s="55" t="n"/>
    </row>
    <row r="307" ht="16" customHeight="1" s="380">
      <c r="A307" s="55" t="n"/>
      <c r="B307" s="4" t="inlineStr">
        <is>
          <t>HNX04 (LK)</t>
        </is>
      </c>
      <c r="C307" s="216" t="n"/>
      <c r="D307" s="218" t="inlineStr">
        <is>
          <t>Cổ phiếu niêm yết</t>
        </is>
      </c>
      <c r="E307" s="55" t="n"/>
      <c r="F307" s="4" t="inlineStr">
        <is>
          <t>Báo cáo</t>
        </is>
      </c>
      <c r="G307" s="22" t="inlineStr">
        <is>
          <t>Chỉ tiêu phái sinh</t>
        </is>
      </c>
      <c r="H307" s="4" t="inlineStr">
        <is>
          <t>TB</t>
        </is>
      </c>
      <c r="I307" s="55" t="inlineStr">
        <is>
          <t>CPNY</t>
        </is>
      </c>
      <c r="J307" s="55" t="n"/>
      <c r="K307" s="55" t="n"/>
      <c r="L307" s="55" t="n"/>
      <c r="M307" s="55" t="n"/>
      <c r="N307" s="55" t="n"/>
      <c r="O307" s="55" t="n"/>
      <c r="P307" s="55" t="n"/>
      <c r="Q307" s="55" t="n"/>
      <c r="R307" s="55" t="n"/>
      <c r="S307" s="55" t="n"/>
      <c r="T307" s="55" t="n"/>
      <c r="U307" s="55" t="n"/>
      <c r="V307" s="55" t="n"/>
      <c r="W307" s="55" t="n"/>
      <c r="X307" s="55" t="n"/>
      <c r="Y307" s="55" t="n"/>
      <c r="Z307" s="55" t="n"/>
      <c r="AA307" s="55" t="n"/>
      <c r="AB307" s="55" t="n"/>
      <c r="AC307" s="55" t="n"/>
      <c r="AD307" s="55" t="n"/>
      <c r="AE307" s="55" t="n"/>
      <c r="AF307" s="55" t="n"/>
    </row>
    <row r="308" ht="16" customHeight="1" s="380">
      <c r="A308" s="55" t="n"/>
      <c r="B308" s="4" t="inlineStr">
        <is>
          <t>HNX04 (LK)</t>
        </is>
      </c>
      <c r="C308" s="216" t="n"/>
      <c r="D308" s="218" t="inlineStr">
        <is>
          <t>Cổ phiếu đăng ký giao dịch</t>
        </is>
      </c>
      <c r="E308" s="55" t="n"/>
      <c r="F308" s="4" t="inlineStr">
        <is>
          <t>Báo cáo</t>
        </is>
      </c>
      <c r="G308" s="22" t="inlineStr">
        <is>
          <t>Chỉ tiêu phái sinh</t>
        </is>
      </c>
      <c r="H308" s="4" t="inlineStr">
        <is>
          <t>TB</t>
        </is>
      </c>
      <c r="I308" s="55" t="inlineStr">
        <is>
          <t>CP đăng ký GD</t>
        </is>
      </c>
      <c r="J308" s="55" t="n"/>
      <c r="K308" s="55" t="n"/>
      <c r="L308" s="55" t="n"/>
      <c r="M308" s="55" t="n"/>
      <c r="N308" s="55" t="n"/>
      <c r="O308" s="55" t="n"/>
      <c r="P308" s="55" t="n"/>
      <c r="Q308" s="55" t="n"/>
      <c r="R308" s="55" t="n"/>
      <c r="S308" s="55" t="n"/>
      <c r="T308" s="55" t="n"/>
      <c r="U308" s="55" t="n"/>
      <c r="V308" s="55" t="n"/>
      <c r="W308" s="55" t="n"/>
      <c r="X308" s="55" t="n"/>
      <c r="Y308" s="55" t="n"/>
      <c r="Z308" s="55" t="n"/>
      <c r="AA308" s="55" t="n"/>
      <c r="AB308" s="55" t="n"/>
      <c r="AC308" s="55" t="n"/>
      <c r="AD308" s="55" t="n"/>
      <c r="AE308" s="55" t="n"/>
      <c r="AF308" s="55" t="n"/>
    </row>
    <row r="309" ht="16" customHeight="1" s="380">
      <c r="A309" s="55" t="n"/>
      <c r="B309" s="4" t="inlineStr">
        <is>
          <t>HNX04 (LK)</t>
        </is>
      </c>
      <c r="C309" s="216" t="n"/>
      <c r="D309" s="218" t="inlineStr">
        <is>
          <t>Trái phiếu chính phủ</t>
        </is>
      </c>
      <c r="E309" s="55" t="n"/>
      <c r="F309" s="4" t="inlineStr">
        <is>
          <t>Báo cáo</t>
        </is>
      </c>
      <c r="G309" s="22" t="inlineStr">
        <is>
          <t>Chỉ tiêu phái sinh</t>
        </is>
      </c>
      <c r="H309" s="4" t="inlineStr">
        <is>
          <t>TB</t>
        </is>
      </c>
      <c r="I309" s="55" t="inlineStr">
        <is>
          <t>TPCP</t>
        </is>
      </c>
      <c r="J309" s="55" t="n"/>
      <c r="K309" s="55" t="n"/>
      <c r="L309" s="55" t="n"/>
      <c r="M309" s="55" t="n"/>
      <c r="N309" s="55" t="n"/>
      <c r="O309" s="55" t="n"/>
      <c r="P309" s="55" t="n"/>
      <c r="Q309" s="55" t="n"/>
      <c r="R309" s="55" t="n"/>
      <c r="S309" s="55" t="n"/>
      <c r="T309" s="55" t="n"/>
      <c r="U309" s="55" t="n"/>
      <c r="V309" s="55" t="n"/>
      <c r="W309" s="55" t="n"/>
      <c r="X309" s="55" t="n"/>
      <c r="Y309" s="55" t="n"/>
      <c r="Z309" s="55" t="n"/>
      <c r="AA309" s="55" t="n"/>
      <c r="AB309" s="55" t="n"/>
      <c r="AC309" s="55" t="n"/>
      <c r="AD309" s="55" t="n"/>
      <c r="AE309" s="55" t="n"/>
      <c r="AF309" s="55" t="n"/>
    </row>
    <row r="310" ht="16" customHeight="1" s="380">
      <c r="A310" s="55" t="n"/>
      <c r="B310" s="4" t="inlineStr">
        <is>
          <t>HNX04 (LK)</t>
        </is>
      </c>
      <c r="C310" s="216" t="n"/>
      <c r="D310" s="218" t="inlineStr">
        <is>
          <t>Trái phiếu chính quyền địa phương</t>
        </is>
      </c>
      <c r="E310" s="55" t="n"/>
      <c r="F310" s="4" t="inlineStr">
        <is>
          <t>Báo cáo</t>
        </is>
      </c>
      <c r="G310" s="22" t="inlineStr">
        <is>
          <t>Chỉ tiêu phái sinh</t>
        </is>
      </c>
      <c r="H310" s="4" t="inlineStr">
        <is>
          <t>TB</t>
        </is>
      </c>
      <c r="I310" s="55" t="inlineStr">
        <is>
          <t>TP Chính quyền ĐP</t>
        </is>
      </c>
      <c r="J310" s="55" t="n"/>
      <c r="K310" s="55" t="n"/>
      <c r="L310" s="55" t="n"/>
      <c r="M310" s="55" t="n"/>
      <c r="N310" s="55" t="n"/>
      <c r="O310" s="55" t="n"/>
      <c r="P310" s="55" t="n"/>
      <c r="Q310" s="55" t="n"/>
      <c r="R310" s="55" t="n"/>
      <c r="S310" s="55" t="n"/>
      <c r="T310" s="55" t="n"/>
      <c r="U310" s="55" t="n"/>
      <c r="V310" s="55" t="n"/>
      <c r="W310" s="55" t="n"/>
      <c r="X310" s="55" t="n"/>
      <c r="Y310" s="55" t="n"/>
      <c r="Z310" s="55" t="n"/>
      <c r="AA310" s="55" t="n"/>
      <c r="AB310" s="55" t="n"/>
      <c r="AC310" s="55" t="n"/>
      <c r="AD310" s="55" t="n"/>
      <c r="AE310" s="55" t="n"/>
      <c r="AF310" s="55" t="n"/>
    </row>
    <row r="311" ht="16" customHeight="1" s="380">
      <c r="A311" s="55" t="n"/>
      <c r="B311" s="4" t="inlineStr">
        <is>
          <t>HNX04 (LK)</t>
        </is>
      </c>
      <c r="C311" s="216" t="n"/>
      <c r="D311" s="218" t="inlineStr">
        <is>
          <t>Trái phiếu chính phủ bảo lãnh</t>
        </is>
      </c>
      <c r="E311" s="55" t="n"/>
      <c r="F311" s="4" t="inlineStr">
        <is>
          <t>Báo cáo</t>
        </is>
      </c>
      <c r="G311" s="22" t="inlineStr">
        <is>
          <t>Chỉ tiêu phái sinh</t>
        </is>
      </c>
      <c r="H311" s="4" t="inlineStr">
        <is>
          <t>TB</t>
        </is>
      </c>
      <c r="I311" s="55" t="inlineStr">
        <is>
          <t>TPCP bảo lãnh</t>
        </is>
      </c>
      <c r="J311" s="55" t="n"/>
      <c r="K311" s="55" t="n"/>
      <c r="L311" s="55" t="n"/>
      <c r="M311" s="55" t="n"/>
      <c r="N311" s="55" t="n"/>
      <c r="O311" s="55" t="n"/>
      <c r="P311" s="55" t="n"/>
      <c r="Q311" s="55" t="n"/>
      <c r="R311" s="55" t="n"/>
      <c r="S311" s="55" t="n"/>
      <c r="T311" s="55" t="n"/>
      <c r="U311" s="55" t="n"/>
      <c r="V311" s="55" t="n"/>
      <c r="W311" s="55" t="n"/>
      <c r="X311" s="55" t="n"/>
      <c r="Y311" s="55" t="n"/>
      <c r="Z311" s="55" t="n"/>
      <c r="AA311" s="55" t="n"/>
      <c r="AB311" s="55" t="n"/>
      <c r="AC311" s="55" t="n"/>
      <c r="AD311" s="55" t="n"/>
      <c r="AE311" s="55" t="n"/>
      <c r="AF311" s="55" t="n"/>
    </row>
    <row r="312" ht="16" customHeight="1" s="380">
      <c r="A312" s="55" t="n"/>
      <c r="B312" s="4" t="inlineStr">
        <is>
          <t>HNX04 (LK)</t>
        </is>
      </c>
      <c r="C312" s="216" t="n"/>
      <c r="D312" s="218" t="inlineStr">
        <is>
          <t>Trái phiếu doanh nghiệp</t>
        </is>
      </c>
      <c r="E312" s="55" t="n"/>
      <c r="F312" s="4" t="inlineStr">
        <is>
          <t>Báo cáo</t>
        </is>
      </c>
      <c r="G312" s="22" t="inlineStr">
        <is>
          <t>Chỉ tiêu phái sinh</t>
        </is>
      </c>
      <c r="H312" s="4" t="inlineStr">
        <is>
          <t>TB</t>
        </is>
      </c>
      <c r="I312" s="55" t="inlineStr">
        <is>
          <t>TPDN</t>
        </is>
      </c>
      <c r="J312" s="55" t="n"/>
      <c r="K312" s="55" t="n"/>
      <c r="L312" s="55" t="n"/>
      <c r="M312" s="55" t="n"/>
      <c r="N312" s="55" t="n"/>
      <c r="O312" s="55" t="n"/>
      <c r="P312" s="55" t="n"/>
      <c r="Q312" s="55" t="n"/>
      <c r="R312" s="55" t="n"/>
      <c r="S312" s="55" t="n"/>
      <c r="T312" s="55" t="n"/>
      <c r="U312" s="55" t="n"/>
      <c r="V312" s="55" t="n"/>
      <c r="W312" s="55" t="n"/>
      <c r="X312" s="55" t="n"/>
      <c r="Y312" s="55" t="n"/>
      <c r="Z312" s="55" t="n"/>
      <c r="AA312" s="55" t="n"/>
      <c r="AB312" s="55" t="n"/>
      <c r="AC312" s="55" t="n"/>
      <c r="AD312" s="55" t="n"/>
      <c r="AE312" s="55" t="n"/>
      <c r="AF312" s="55" t="n"/>
    </row>
    <row r="313" ht="16" customHeight="1" s="380">
      <c r="A313" s="55" t="n"/>
      <c r="B313" s="4" t="inlineStr">
        <is>
          <t>HNX04 (LK)</t>
        </is>
      </c>
      <c r="C313" s="216" t="n"/>
      <c r="D313" s="218" t="inlineStr">
        <is>
          <t>Tín phiếu kho bạc</t>
        </is>
      </c>
      <c r="E313" s="55" t="n"/>
      <c r="F313" s="4" t="inlineStr">
        <is>
          <t>Báo cáo</t>
        </is>
      </c>
      <c r="G313" s="22" t="inlineStr">
        <is>
          <t>Chỉ tiêu phái sinh</t>
        </is>
      </c>
      <c r="H313" s="4" t="inlineStr">
        <is>
          <t>TB</t>
        </is>
      </c>
      <c r="I313" s="55" t="inlineStr">
        <is>
          <t>Tín phiếu kho bạc</t>
        </is>
      </c>
      <c r="J313" s="55" t="n"/>
      <c r="K313" s="55" t="n"/>
      <c r="L313" s="55" t="n"/>
      <c r="M313" s="55" t="n"/>
      <c r="N313" s="55" t="n"/>
      <c r="O313" s="55" t="n"/>
      <c r="P313" s="55" t="n"/>
      <c r="Q313" s="55" t="n"/>
      <c r="R313" s="55" t="n"/>
      <c r="S313" s="55" t="n"/>
      <c r="T313" s="55" t="n"/>
      <c r="U313" s="55" t="n"/>
      <c r="V313" s="55" t="n"/>
      <c r="W313" s="55" t="n"/>
      <c r="X313" s="55" t="n"/>
      <c r="Y313" s="55" t="n"/>
      <c r="Z313" s="55" t="n"/>
      <c r="AA313" s="55" t="n"/>
      <c r="AB313" s="55" t="n"/>
      <c r="AC313" s="55" t="n"/>
      <c r="AD313" s="55" t="n"/>
      <c r="AE313" s="55" t="n"/>
      <c r="AF313" s="55" t="n"/>
    </row>
    <row r="314" ht="16" customHeight="1" s="380">
      <c r="A314" s="55" t="n"/>
      <c r="B314" s="4" t="inlineStr">
        <is>
          <t>HNX04 (LK)</t>
        </is>
      </c>
      <c r="C314" s="216" t="n"/>
      <c r="D314" s="218" t="inlineStr">
        <is>
          <t>Chứng chỉ quỹ (ETF)</t>
        </is>
      </c>
      <c r="E314" s="55" t="n"/>
      <c r="F314" s="4" t="inlineStr">
        <is>
          <t>Báo cáo</t>
        </is>
      </c>
      <c r="G314" s="22" t="inlineStr">
        <is>
          <t>Chỉ tiêu phái sinh</t>
        </is>
      </c>
      <c r="H314" s="4" t="inlineStr">
        <is>
          <t>TB</t>
        </is>
      </c>
      <c r="I314" s="55" t="inlineStr">
        <is>
          <t>ETF</t>
        </is>
      </c>
      <c r="J314" s="55" t="n"/>
      <c r="K314" s="55" t="n"/>
      <c r="L314" s="55" t="n"/>
      <c r="M314" s="55" t="n"/>
      <c r="N314" s="55" t="n"/>
      <c r="O314" s="55" t="n"/>
      <c r="P314" s="55" t="n"/>
      <c r="Q314" s="55" t="n"/>
      <c r="R314" s="55" t="n"/>
      <c r="S314" s="55" t="n"/>
      <c r="T314" s="55" t="n"/>
      <c r="U314" s="55" t="n"/>
      <c r="V314" s="55" t="n"/>
      <c r="W314" s="55" t="n"/>
      <c r="X314" s="55" t="n"/>
      <c r="Y314" s="55" t="n"/>
      <c r="Z314" s="55" t="n"/>
      <c r="AA314" s="55" t="n"/>
      <c r="AB314" s="55" t="n"/>
      <c r="AC314" s="55" t="n"/>
      <c r="AD314" s="55" t="n"/>
      <c r="AE314" s="55" t="n"/>
      <c r="AF314" s="55" t="n"/>
    </row>
    <row r="315" ht="32" customHeight="1" s="380">
      <c r="A315" s="55" t="n"/>
      <c r="B315" s="4" t="inlineStr">
        <is>
          <t>HNX04 (LK)</t>
        </is>
      </c>
      <c r="C315" s="216" t="n"/>
      <c r="D315" s="218" t="inlineStr">
        <is>
          <t>Khối lượng chứng khoán giao dịch (chứng khoán)</t>
        </is>
      </c>
      <c r="E315" s="55" t="n"/>
      <c r="F315" s="4" t="inlineStr">
        <is>
          <t>Báo cáo</t>
        </is>
      </c>
      <c r="G315" s="22" t="inlineStr">
        <is>
          <t>Chỉ tiêu phái sinh</t>
        </is>
      </c>
      <c r="H315" s="4" t="inlineStr">
        <is>
          <t>TB</t>
        </is>
      </c>
      <c r="I315" s="55" t="n"/>
      <c r="J315" s="55" t="n"/>
      <c r="K315" s="55" t="n"/>
      <c r="L315" s="55" t="n"/>
      <c r="M315" s="55" t="n"/>
      <c r="N315" s="55" t="n"/>
      <c r="O315" s="55" t="n"/>
      <c r="P315" s="55" t="n"/>
      <c r="Q315" s="55" t="n"/>
      <c r="R315" s="55" t="n"/>
      <c r="S315" s="55" t="n"/>
      <c r="T315" s="55" t="n"/>
      <c r="U315" s="55" t="n"/>
      <c r="V315" s="55" t="n"/>
      <c r="W315" s="55" t="n"/>
      <c r="X315" s="55" t="n"/>
      <c r="Y315" s="55" t="n"/>
      <c r="Z315" s="55" t="n"/>
      <c r="AA315" s="55" t="n"/>
      <c r="AB315" s="55" t="n"/>
      <c r="AC315" s="55" t="n"/>
      <c r="AD315" s="55" t="n"/>
      <c r="AE315" s="55" t="n"/>
      <c r="AF315" s="55" t="n"/>
    </row>
    <row r="316" ht="16" customHeight="1" s="380">
      <c r="A316" s="55" t="n"/>
      <c r="B316" s="4" t="inlineStr">
        <is>
          <t>HNX04 (LK)</t>
        </is>
      </c>
      <c r="C316" s="216" t="n"/>
      <c r="D316" s="218" t="inlineStr">
        <is>
          <t>Cổ phiếu niêm yết</t>
        </is>
      </c>
      <c r="E316" s="55" t="n"/>
      <c r="F316" s="4" t="inlineStr">
        <is>
          <t>Báo cáo</t>
        </is>
      </c>
      <c r="G316" s="22" t="inlineStr">
        <is>
          <t>Chỉ tiêu phái sinh</t>
        </is>
      </c>
      <c r="H316" s="4" t="inlineStr">
        <is>
          <t>TB</t>
        </is>
      </c>
      <c r="I316" s="55" t="inlineStr">
        <is>
          <t>CPNY</t>
        </is>
      </c>
      <c r="J316" s="55" t="n"/>
      <c r="K316" s="55" t="n"/>
      <c r="L316" s="55" t="n"/>
      <c r="M316" s="55" t="n"/>
      <c r="N316" s="55" t="n"/>
      <c r="O316" s="55" t="n"/>
      <c r="P316" s="55" t="n"/>
      <c r="Q316" s="55" t="n"/>
      <c r="R316" s="55" t="n"/>
      <c r="S316" s="55" t="n"/>
      <c r="T316" s="55" t="n"/>
      <c r="U316" s="55" t="n"/>
      <c r="V316" s="55" t="n"/>
      <c r="W316" s="55" t="n"/>
      <c r="X316" s="55" t="n"/>
      <c r="Y316" s="55" t="n"/>
      <c r="Z316" s="55" t="n"/>
      <c r="AA316" s="55" t="n"/>
      <c r="AB316" s="55" t="n"/>
      <c r="AC316" s="55" t="n"/>
      <c r="AD316" s="55" t="n"/>
      <c r="AE316" s="55" t="n"/>
      <c r="AF316" s="55" t="n"/>
    </row>
    <row r="317" ht="16" customHeight="1" s="380">
      <c r="A317" s="55" t="n"/>
      <c r="B317" s="4" t="inlineStr">
        <is>
          <t>HNX04 (LK)</t>
        </is>
      </c>
      <c r="C317" s="216" t="n"/>
      <c r="D317" s="218" t="inlineStr">
        <is>
          <t>Cổ phiếu đăng ký giao dịch</t>
        </is>
      </c>
      <c r="E317" s="55" t="n"/>
      <c r="F317" s="4" t="inlineStr">
        <is>
          <t>Báo cáo</t>
        </is>
      </c>
      <c r="G317" s="22" t="inlineStr">
        <is>
          <t>Chỉ tiêu phái sinh</t>
        </is>
      </c>
      <c r="H317" s="4" t="inlineStr">
        <is>
          <t>TB</t>
        </is>
      </c>
      <c r="I317" s="55" t="inlineStr">
        <is>
          <t>CP đăng ký GD</t>
        </is>
      </c>
      <c r="J317" s="55" t="n"/>
      <c r="K317" s="55" t="n"/>
      <c r="L317" s="55" t="n"/>
      <c r="M317" s="55" t="n"/>
      <c r="N317" s="55" t="n"/>
      <c r="O317" s="55" t="n"/>
      <c r="P317" s="55" t="n"/>
      <c r="Q317" s="55" t="n"/>
      <c r="R317" s="55" t="n"/>
      <c r="S317" s="55" t="n"/>
      <c r="T317" s="55" t="n"/>
      <c r="U317" s="55" t="n"/>
      <c r="V317" s="55" t="n"/>
      <c r="W317" s="55" t="n"/>
      <c r="X317" s="55" t="n"/>
      <c r="Y317" s="55" t="n"/>
      <c r="Z317" s="55" t="n"/>
      <c r="AA317" s="55" t="n"/>
      <c r="AB317" s="55" t="n"/>
      <c r="AC317" s="55" t="n"/>
      <c r="AD317" s="55" t="n"/>
      <c r="AE317" s="55" t="n"/>
      <c r="AF317" s="55" t="n"/>
    </row>
    <row r="318" ht="16" customHeight="1" s="380">
      <c r="A318" s="55" t="n"/>
      <c r="B318" s="4" t="inlineStr">
        <is>
          <t>HNX04 (LK)</t>
        </is>
      </c>
      <c r="C318" s="216" t="n"/>
      <c r="D318" s="218" t="inlineStr">
        <is>
          <t>Trái phiếu chính phủ</t>
        </is>
      </c>
      <c r="E318" s="55" t="n"/>
      <c r="F318" s="4" t="inlineStr">
        <is>
          <t>Báo cáo</t>
        </is>
      </c>
      <c r="G318" s="22" t="inlineStr">
        <is>
          <t>Chỉ tiêu phái sinh</t>
        </is>
      </c>
      <c r="H318" s="4" t="inlineStr">
        <is>
          <t>TB</t>
        </is>
      </c>
      <c r="I318" s="55" t="inlineStr">
        <is>
          <t>TPCP</t>
        </is>
      </c>
      <c r="J318" s="55" t="n"/>
      <c r="K318" s="55" t="n"/>
      <c r="L318" s="55" t="n"/>
      <c r="M318" s="55" t="n"/>
      <c r="N318" s="55" t="n"/>
      <c r="O318" s="55" t="n"/>
      <c r="P318" s="55" t="n"/>
      <c r="Q318" s="55" t="n"/>
      <c r="R318" s="55" t="n"/>
      <c r="S318" s="55" t="n"/>
      <c r="T318" s="55" t="n"/>
      <c r="U318" s="55" t="n"/>
      <c r="V318" s="55" t="n"/>
      <c r="W318" s="55" t="n"/>
      <c r="X318" s="55" t="n"/>
      <c r="Y318" s="55" t="n"/>
      <c r="Z318" s="55" t="n"/>
      <c r="AA318" s="55" t="n"/>
      <c r="AB318" s="55" t="n"/>
      <c r="AC318" s="55" t="n"/>
      <c r="AD318" s="55" t="n"/>
      <c r="AE318" s="55" t="n"/>
      <c r="AF318" s="55" t="n"/>
    </row>
    <row r="319" ht="16" customHeight="1" s="380">
      <c r="A319" s="55" t="n"/>
      <c r="B319" s="4" t="inlineStr">
        <is>
          <t>HNX04 (LK)</t>
        </is>
      </c>
      <c r="C319" s="216" t="n"/>
      <c r="D319" s="218" t="inlineStr">
        <is>
          <t>Trái phiếu chính quyền địa phương</t>
        </is>
      </c>
      <c r="E319" s="55" t="n"/>
      <c r="F319" s="4" t="inlineStr">
        <is>
          <t>Báo cáo</t>
        </is>
      </c>
      <c r="G319" s="22" t="inlineStr">
        <is>
          <t>Chỉ tiêu phái sinh</t>
        </is>
      </c>
      <c r="H319" s="4" t="inlineStr">
        <is>
          <t>TB</t>
        </is>
      </c>
      <c r="I319" s="55" t="inlineStr">
        <is>
          <t>TP Chính quyền ĐP</t>
        </is>
      </c>
      <c r="J319" s="55" t="n"/>
      <c r="K319" s="55" t="n"/>
      <c r="L319" s="55" t="n"/>
      <c r="M319" s="55" t="n"/>
      <c r="N319" s="55" t="n"/>
      <c r="O319" s="55" t="n"/>
      <c r="P319" s="55" t="n"/>
      <c r="Q319" s="55" t="n"/>
      <c r="R319" s="55" t="n"/>
      <c r="S319" s="55" t="n"/>
      <c r="T319" s="55" t="n"/>
      <c r="U319" s="55" t="n"/>
      <c r="V319" s="55" t="n"/>
      <c r="W319" s="55" t="n"/>
      <c r="X319" s="55" t="n"/>
      <c r="Y319" s="55" t="n"/>
      <c r="Z319" s="55" t="n"/>
      <c r="AA319" s="55" t="n"/>
      <c r="AB319" s="55" t="n"/>
      <c r="AC319" s="55" t="n"/>
      <c r="AD319" s="55" t="n"/>
      <c r="AE319" s="55" t="n"/>
      <c r="AF319" s="55" t="n"/>
    </row>
    <row r="320" ht="16" customHeight="1" s="380">
      <c r="A320" s="55" t="n"/>
      <c r="B320" s="4" t="inlineStr">
        <is>
          <t>HNX04 (LK)</t>
        </is>
      </c>
      <c r="C320" s="216" t="n"/>
      <c r="D320" s="218" t="inlineStr">
        <is>
          <t>Trái phiếu chính phủ bảo lãnh</t>
        </is>
      </c>
      <c r="E320" s="55" t="n"/>
      <c r="F320" s="4" t="inlineStr">
        <is>
          <t>Báo cáo</t>
        </is>
      </c>
      <c r="G320" s="22" t="inlineStr">
        <is>
          <t>Chỉ tiêu phái sinh</t>
        </is>
      </c>
      <c r="H320" s="4" t="inlineStr">
        <is>
          <t>TB</t>
        </is>
      </c>
      <c r="I320" s="55" t="inlineStr">
        <is>
          <t>TPCP bảo lãnh</t>
        </is>
      </c>
      <c r="J320" s="55" t="n"/>
      <c r="K320" s="55" t="n"/>
      <c r="L320" s="55" t="n"/>
      <c r="M320" s="55" t="n"/>
      <c r="N320" s="55" t="n"/>
      <c r="O320" s="55" t="n"/>
      <c r="P320" s="55" t="n"/>
      <c r="Q320" s="55" t="n"/>
      <c r="R320" s="55" t="n"/>
      <c r="S320" s="55" t="n"/>
      <c r="T320" s="55" t="n"/>
      <c r="U320" s="55" t="n"/>
      <c r="V320" s="55" t="n"/>
      <c r="W320" s="55" t="n"/>
      <c r="X320" s="55" t="n"/>
      <c r="Y320" s="55" t="n"/>
      <c r="Z320" s="55" t="n"/>
      <c r="AA320" s="55" t="n"/>
      <c r="AB320" s="55" t="n"/>
      <c r="AC320" s="55" t="n"/>
      <c r="AD320" s="55" t="n"/>
      <c r="AE320" s="55" t="n"/>
      <c r="AF320" s="55" t="n"/>
    </row>
    <row r="321" ht="16" customHeight="1" s="380">
      <c r="A321" s="55" t="n"/>
      <c r="B321" s="4" t="inlineStr">
        <is>
          <t>HNX04 (LK)</t>
        </is>
      </c>
      <c r="C321" s="216" t="n"/>
      <c r="D321" s="218" t="inlineStr">
        <is>
          <t>Trái phiếu doanh nghiệp</t>
        </is>
      </c>
      <c r="E321" s="55" t="n"/>
      <c r="F321" s="4" t="inlineStr">
        <is>
          <t>Báo cáo</t>
        </is>
      </c>
      <c r="G321" s="22" t="inlineStr">
        <is>
          <t>Chỉ tiêu phái sinh</t>
        </is>
      </c>
      <c r="H321" s="4" t="inlineStr">
        <is>
          <t>TB</t>
        </is>
      </c>
      <c r="I321" s="55" t="inlineStr">
        <is>
          <t>TPDN</t>
        </is>
      </c>
      <c r="J321" s="55" t="n"/>
      <c r="K321" s="55" t="n"/>
      <c r="L321" s="55" t="n"/>
      <c r="M321" s="55" t="n"/>
      <c r="N321" s="55" t="n"/>
      <c r="O321" s="55" t="n"/>
      <c r="P321" s="55" t="n"/>
      <c r="Q321" s="55" t="n"/>
      <c r="R321" s="55" t="n"/>
      <c r="S321" s="55" t="n"/>
      <c r="T321" s="55" t="n"/>
      <c r="U321" s="55" t="n"/>
      <c r="V321" s="55" t="n"/>
      <c r="W321" s="55" t="n"/>
      <c r="X321" s="55" t="n"/>
      <c r="Y321" s="55" t="n"/>
      <c r="Z321" s="55" t="n"/>
      <c r="AA321" s="55" t="n"/>
      <c r="AB321" s="55" t="n"/>
      <c r="AC321" s="55" t="n"/>
      <c r="AD321" s="55" t="n"/>
      <c r="AE321" s="55" t="n"/>
      <c r="AF321" s="55" t="n"/>
    </row>
    <row r="322" ht="16" customHeight="1" s="380">
      <c r="A322" s="55" t="n"/>
      <c r="B322" s="4" t="inlineStr">
        <is>
          <t>HNX04 (LK)</t>
        </is>
      </c>
      <c r="C322" s="216" t="n"/>
      <c r="D322" s="218" t="inlineStr">
        <is>
          <t>Tín phiếu kho bạc</t>
        </is>
      </c>
      <c r="E322" s="55" t="n"/>
      <c r="F322" s="4" t="inlineStr">
        <is>
          <t>Báo cáo</t>
        </is>
      </c>
      <c r="G322" s="22" t="inlineStr">
        <is>
          <t>Chỉ tiêu phái sinh</t>
        </is>
      </c>
      <c r="H322" s="4" t="inlineStr">
        <is>
          <t>TB</t>
        </is>
      </c>
      <c r="I322" s="55" t="inlineStr">
        <is>
          <t>Tín phiếu kho bạc</t>
        </is>
      </c>
      <c r="J322" s="55" t="n"/>
      <c r="K322" s="55" t="n"/>
      <c r="L322" s="55" t="n"/>
      <c r="M322" s="55" t="n"/>
      <c r="N322" s="55" t="n"/>
      <c r="O322" s="55" t="n"/>
      <c r="P322" s="55" t="n"/>
      <c r="Q322" s="55" t="n"/>
      <c r="R322" s="55" t="n"/>
      <c r="S322" s="55" t="n"/>
      <c r="T322" s="55" t="n"/>
      <c r="U322" s="55" t="n"/>
      <c r="V322" s="55" t="n"/>
      <c r="W322" s="55" t="n"/>
      <c r="X322" s="55" t="n"/>
      <c r="Y322" s="55" t="n"/>
      <c r="Z322" s="55" t="n"/>
      <c r="AA322" s="55" t="n"/>
      <c r="AB322" s="55" t="n"/>
      <c r="AC322" s="55" t="n"/>
      <c r="AD322" s="55" t="n"/>
      <c r="AE322" s="55" t="n"/>
      <c r="AF322" s="55" t="n"/>
    </row>
    <row r="323" ht="16" customHeight="1" s="380">
      <c r="A323" s="55" t="n"/>
      <c r="B323" s="4" t="inlineStr">
        <is>
          <t>HNX04 (LK)</t>
        </is>
      </c>
      <c r="C323" s="216" t="n"/>
      <c r="D323" s="218" t="inlineStr">
        <is>
          <t>Chứng chỉ quỹ (ETF)</t>
        </is>
      </c>
      <c r="E323" s="55" t="n"/>
      <c r="F323" s="4" t="inlineStr">
        <is>
          <t>Báo cáo</t>
        </is>
      </c>
      <c r="G323" s="22" t="inlineStr">
        <is>
          <t>Chỉ tiêu phái sinh</t>
        </is>
      </c>
      <c r="H323" s="4" t="inlineStr">
        <is>
          <t>TB</t>
        </is>
      </c>
      <c r="I323" s="55" t="inlineStr">
        <is>
          <t>ETF</t>
        </is>
      </c>
      <c r="J323" s="55" t="n"/>
      <c r="K323" s="55" t="n"/>
      <c r="L323" s="55" t="n"/>
      <c r="M323" s="55" t="n"/>
      <c r="N323" s="55" t="n"/>
      <c r="O323" s="55" t="n"/>
      <c r="P323" s="55" t="n"/>
      <c r="Q323" s="55" t="n"/>
      <c r="R323" s="55" t="n"/>
      <c r="S323" s="55" t="n"/>
      <c r="T323" s="55" t="n"/>
      <c r="U323" s="55" t="n"/>
      <c r="V323" s="55" t="n"/>
      <c r="W323" s="55" t="n"/>
      <c r="X323" s="55" t="n"/>
      <c r="Y323" s="55" t="n"/>
      <c r="Z323" s="55" t="n"/>
      <c r="AA323" s="55" t="n"/>
      <c r="AB323" s="55" t="n"/>
      <c r="AC323" s="55" t="n"/>
      <c r="AD323" s="55" t="n"/>
      <c r="AE323" s="55" t="n"/>
      <c r="AF323" s="55" t="n"/>
    </row>
    <row r="324" ht="32" customHeight="1" s="380">
      <c r="A324" s="55" t="n"/>
      <c r="B324" s="4" t="inlineStr">
        <is>
          <t>HNX04 (LK)</t>
        </is>
      </c>
      <c r="C324" s="216" t="n"/>
      <c r="D324" s="218" t="inlineStr">
        <is>
          <t>Chứng khoán niêm yết mới (mã chứng khoán)</t>
        </is>
      </c>
      <c r="E324" s="55" t="n"/>
      <c r="F324" s="4" t="inlineStr">
        <is>
          <t>Báo cáo</t>
        </is>
      </c>
      <c r="G324" s="22" t="inlineStr">
        <is>
          <t>Chỉ tiêu phái sinh</t>
        </is>
      </c>
      <c r="H324" s="4" t="inlineStr">
        <is>
          <t>TB</t>
        </is>
      </c>
      <c r="I324" s="55" t="n"/>
      <c r="J324" s="55" t="n"/>
      <c r="K324" s="55" t="n"/>
      <c r="L324" s="55" t="n"/>
      <c r="M324" s="55" t="n"/>
      <c r="N324" s="55" t="n"/>
      <c r="O324" s="55" t="n"/>
      <c r="P324" s="55" t="n"/>
      <c r="Q324" s="55" t="n"/>
      <c r="R324" s="55" t="n"/>
      <c r="S324" s="55" t="n"/>
      <c r="T324" s="55" t="n"/>
      <c r="U324" s="55" t="n"/>
      <c r="V324" s="55" t="n"/>
      <c r="W324" s="55" t="n"/>
      <c r="X324" s="55" t="n"/>
      <c r="Y324" s="55" t="n"/>
      <c r="Z324" s="55" t="n"/>
      <c r="AA324" s="55" t="n"/>
      <c r="AB324" s="55" t="n"/>
      <c r="AC324" s="55" t="n"/>
      <c r="AD324" s="55" t="n"/>
      <c r="AE324" s="55" t="n"/>
      <c r="AF324" s="55" t="n"/>
    </row>
    <row r="325" ht="16" customHeight="1" s="380">
      <c r="A325" s="55" t="n"/>
      <c r="B325" s="4" t="inlineStr">
        <is>
          <t>HNX04 (LK)</t>
        </is>
      </c>
      <c r="C325" s="216" t="n"/>
      <c r="D325" s="218" t="inlineStr">
        <is>
          <t>Cổ phiếu niêm yết</t>
        </is>
      </c>
      <c r="E325" s="55" t="n"/>
      <c r="F325" s="4" t="inlineStr">
        <is>
          <t>Báo cáo</t>
        </is>
      </c>
      <c r="G325" s="22" t="inlineStr">
        <is>
          <t>Chỉ tiêu phái sinh</t>
        </is>
      </c>
      <c r="H325" s="4" t="inlineStr">
        <is>
          <t>TB</t>
        </is>
      </c>
      <c r="I325" s="55" t="inlineStr">
        <is>
          <t>CPNY</t>
        </is>
      </c>
      <c r="J325" s="55" t="n"/>
      <c r="K325" s="55" t="n"/>
      <c r="L325" s="55" t="n"/>
      <c r="M325" s="55" t="n"/>
      <c r="N325" s="55" t="n"/>
      <c r="O325" s="55" t="n"/>
      <c r="P325" s="55" t="n"/>
      <c r="Q325" s="55" t="n"/>
      <c r="R325" s="55" t="n"/>
      <c r="S325" s="55" t="n"/>
      <c r="T325" s="55" t="n"/>
      <c r="U325" s="55" t="n"/>
      <c r="V325" s="55" t="n"/>
      <c r="W325" s="55" t="n"/>
      <c r="X325" s="55" t="n"/>
      <c r="Y325" s="55" t="n"/>
      <c r="Z325" s="55" t="n"/>
      <c r="AA325" s="55" t="n"/>
      <c r="AB325" s="55" t="n"/>
      <c r="AC325" s="55" t="n"/>
      <c r="AD325" s="55" t="n"/>
      <c r="AE325" s="55" t="n"/>
      <c r="AF325" s="55" t="n"/>
    </row>
    <row r="326" ht="16" customHeight="1" s="380">
      <c r="A326" s="55" t="n"/>
      <c r="B326" s="4" t="inlineStr">
        <is>
          <t>HNX04 (LK)</t>
        </is>
      </c>
      <c r="C326" s="216" t="n"/>
      <c r="D326" s="218" t="inlineStr">
        <is>
          <t>Cổ phiếu đăng ký giao dịch</t>
        </is>
      </c>
      <c r="E326" s="55" t="n"/>
      <c r="F326" s="4" t="inlineStr">
        <is>
          <t>Báo cáo</t>
        </is>
      </c>
      <c r="G326" s="22" t="inlineStr">
        <is>
          <t>Chỉ tiêu phái sinh</t>
        </is>
      </c>
      <c r="H326" s="4" t="inlineStr">
        <is>
          <t>TB</t>
        </is>
      </c>
      <c r="I326" s="55" t="inlineStr">
        <is>
          <t>CP đăng ký GD</t>
        </is>
      </c>
      <c r="J326" s="55" t="n"/>
      <c r="K326" s="55" t="n"/>
      <c r="L326" s="55" t="n"/>
      <c r="M326" s="55" t="n"/>
      <c r="N326" s="55" t="n"/>
      <c r="O326" s="55" t="n"/>
      <c r="P326" s="55" t="n"/>
      <c r="Q326" s="55" t="n"/>
      <c r="R326" s="55" t="n"/>
      <c r="S326" s="55" t="n"/>
      <c r="T326" s="55" t="n"/>
      <c r="U326" s="55" t="n"/>
      <c r="V326" s="55" t="n"/>
      <c r="W326" s="55" t="n"/>
      <c r="X326" s="55" t="n"/>
      <c r="Y326" s="55" t="n"/>
      <c r="Z326" s="55" t="n"/>
      <c r="AA326" s="55" t="n"/>
      <c r="AB326" s="55" t="n"/>
      <c r="AC326" s="55" t="n"/>
      <c r="AD326" s="55" t="n"/>
      <c r="AE326" s="55" t="n"/>
      <c r="AF326" s="55" t="n"/>
    </row>
    <row r="327" ht="16" customHeight="1" s="380">
      <c r="A327" s="55" t="n"/>
      <c r="B327" s="4" t="inlineStr">
        <is>
          <t>HNX04 (LK)</t>
        </is>
      </c>
      <c r="C327" s="216" t="n"/>
      <c r="D327" s="218" t="inlineStr">
        <is>
          <t>Trái phiếu chính phủ</t>
        </is>
      </c>
      <c r="E327" s="55" t="n"/>
      <c r="F327" s="4" t="inlineStr">
        <is>
          <t>Báo cáo</t>
        </is>
      </c>
      <c r="G327" s="22" t="inlineStr">
        <is>
          <t>Chỉ tiêu phái sinh</t>
        </is>
      </c>
      <c r="H327" s="4" t="inlineStr">
        <is>
          <t>TB</t>
        </is>
      </c>
      <c r="I327" s="55" t="inlineStr">
        <is>
          <t>TPCP</t>
        </is>
      </c>
      <c r="J327" s="55" t="n"/>
      <c r="K327" s="55" t="n"/>
      <c r="L327" s="55" t="n"/>
      <c r="M327" s="55" t="n"/>
      <c r="N327" s="55" t="n"/>
      <c r="O327" s="55" t="n"/>
      <c r="P327" s="55" t="n"/>
      <c r="Q327" s="55" t="n"/>
      <c r="R327" s="55" t="n"/>
      <c r="S327" s="55" t="n"/>
      <c r="T327" s="55" t="n"/>
      <c r="U327" s="55" t="n"/>
      <c r="V327" s="55" t="n"/>
      <c r="W327" s="55" t="n"/>
      <c r="X327" s="55" t="n"/>
      <c r="Y327" s="55" t="n"/>
      <c r="Z327" s="55" t="n"/>
      <c r="AA327" s="55" t="n"/>
      <c r="AB327" s="55" t="n"/>
      <c r="AC327" s="55" t="n"/>
      <c r="AD327" s="55" t="n"/>
      <c r="AE327" s="55" t="n"/>
      <c r="AF327" s="55" t="n"/>
    </row>
    <row r="328" ht="16" customHeight="1" s="380">
      <c r="A328" s="55" t="n"/>
      <c r="B328" s="4" t="inlineStr">
        <is>
          <t>HNX04 (LK)</t>
        </is>
      </c>
      <c r="C328" s="216" t="n"/>
      <c r="D328" s="218" t="inlineStr">
        <is>
          <t>Trái phiếu chính quyền địa phương</t>
        </is>
      </c>
      <c r="E328" s="55" t="n"/>
      <c r="F328" s="4" t="inlineStr">
        <is>
          <t>Báo cáo</t>
        </is>
      </c>
      <c r="G328" s="22" t="inlineStr">
        <is>
          <t>Chỉ tiêu phái sinh</t>
        </is>
      </c>
      <c r="H328" s="4" t="inlineStr">
        <is>
          <t>TB</t>
        </is>
      </c>
      <c r="I328" s="55" t="inlineStr">
        <is>
          <t>TP Chính quyền ĐP</t>
        </is>
      </c>
      <c r="J328" s="55" t="n"/>
      <c r="K328" s="55" t="n"/>
      <c r="L328" s="55" t="n"/>
      <c r="M328" s="55" t="n"/>
      <c r="N328" s="55" t="n"/>
      <c r="O328" s="55" t="n"/>
      <c r="P328" s="55" t="n"/>
      <c r="Q328" s="55" t="n"/>
      <c r="R328" s="55" t="n"/>
      <c r="S328" s="55" t="n"/>
      <c r="T328" s="55" t="n"/>
      <c r="U328" s="55" t="n"/>
      <c r="V328" s="55" t="n"/>
      <c r="W328" s="55" t="n"/>
      <c r="X328" s="55" t="n"/>
      <c r="Y328" s="55" t="n"/>
      <c r="Z328" s="55" t="n"/>
      <c r="AA328" s="55" t="n"/>
      <c r="AB328" s="55" t="n"/>
      <c r="AC328" s="55" t="n"/>
      <c r="AD328" s="55" t="n"/>
      <c r="AE328" s="55" t="n"/>
      <c r="AF328" s="55" t="n"/>
    </row>
    <row r="329" ht="16" customHeight="1" s="380">
      <c r="A329" s="55" t="n"/>
      <c r="B329" s="4" t="inlineStr">
        <is>
          <t>HNX04 (LK)</t>
        </is>
      </c>
      <c r="C329" s="216" t="n"/>
      <c r="D329" s="218" t="inlineStr">
        <is>
          <t>Trái phiếu chính phủ bảo lãnh</t>
        </is>
      </c>
      <c r="E329" s="55" t="n"/>
      <c r="F329" s="4" t="inlineStr">
        <is>
          <t>Báo cáo</t>
        </is>
      </c>
      <c r="G329" s="22" t="inlineStr">
        <is>
          <t>Chỉ tiêu phái sinh</t>
        </is>
      </c>
      <c r="H329" s="4" t="inlineStr">
        <is>
          <t>TB</t>
        </is>
      </c>
      <c r="I329" s="55" t="inlineStr">
        <is>
          <t>TPCP bảo lãnh</t>
        </is>
      </c>
      <c r="J329" s="55" t="n"/>
      <c r="K329" s="55" t="n"/>
      <c r="L329" s="55" t="n"/>
      <c r="M329" s="55" t="n"/>
      <c r="N329" s="55" t="n"/>
      <c r="O329" s="55" t="n"/>
      <c r="P329" s="55" t="n"/>
      <c r="Q329" s="55" t="n"/>
      <c r="R329" s="55" t="n"/>
      <c r="S329" s="55" t="n"/>
      <c r="T329" s="55" t="n"/>
      <c r="U329" s="55" t="n"/>
      <c r="V329" s="55" t="n"/>
      <c r="W329" s="55" t="n"/>
      <c r="X329" s="55" t="n"/>
      <c r="Y329" s="55" t="n"/>
      <c r="Z329" s="55" t="n"/>
      <c r="AA329" s="55" t="n"/>
      <c r="AB329" s="55" t="n"/>
      <c r="AC329" s="55" t="n"/>
      <c r="AD329" s="55" t="n"/>
      <c r="AE329" s="55" t="n"/>
      <c r="AF329" s="55" t="n"/>
    </row>
    <row r="330" ht="16" customHeight="1" s="380">
      <c r="A330" s="55" t="n"/>
      <c r="B330" s="4" t="inlineStr">
        <is>
          <t>HNX04 (LK)</t>
        </is>
      </c>
      <c r="C330" s="216" t="n"/>
      <c r="D330" s="218" t="inlineStr">
        <is>
          <t>Trái phiếu doanh nghiệp</t>
        </is>
      </c>
      <c r="E330" s="55" t="n"/>
      <c r="F330" s="4" t="inlineStr">
        <is>
          <t>Báo cáo</t>
        </is>
      </c>
      <c r="G330" s="22" t="inlineStr">
        <is>
          <t>Chỉ tiêu phái sinh</t>
        </is>
      </c>
      <c r="H330" s="4" t="inlineStr">
        <is>
          <t>TB</t>
        </is>
      </c>
      <c r="I330" s="55" t="inlineStr">
        <is>
          <t>TPDN</t>
        </is>
      </c>
      <c r="J330" s="55" t="n"/>
      <c r="K330" s="55" t="n"/>
      <c r="L330" s="55" t="n"/>
      <c r="M330" s="55" t="n"/>
      <c r="N330" s="55" t="n"/>
      <c r="O330" s="55" t="n"/>
      <c r="P330" s="55" t="n"/>
      <c r="Q330" s="55" t="n"/>
      <c r="R330" s="55" t="n"/>
      <c r="S330" s="55" t="n"/>
      <c r="T330" s="55" t="n"/>
      <c r="U330" s="55" t="n"/>
      <c r="V330" s="55" t="n"/>
      <c r="W330" s="55" t="n"/>
      <c r="X330" s="55" t="n"/>
      <c r="Y330" s="55" t="n"/>
      <c r="Z330" s="55" t="n"/>
      <c r="AA330" s="55" t="n"/>
      <c r="AB330" s="55" t="n"/>
      <c r="AC330" s="55" t="n"/>
      <c r="AD330" s="55" t="n"/>
      <c r="AE330" s="55" t="n"/>
      <c r="AF330" s="55" t="n"/>
    </row>
    <row r="331" ht="16" customHeight="1" s="380">
      <c r="A331" s="55" t="n"/>
      <c r="B331" s="4" t="inlineStr">
        <is>
          <t>HNX04 (LK)</t>
        </is>
      </c>
      <c r="C331" s="216" t="n"/>
      <c r="D331" s="218" t="inlineStr">
        <is>
          <t>Tín phiếu kho bạc</t>
        </is>
      </c>
      <c r="E331" s="55" t="n"/>
      <c r="F331" s="4" t="inlineStr">
        <is>
          <t>Báo cáo</t>
        </is>
      </c>
      <c r="G331" s="22" t="inlineStr">
        <is>
          <t>Chỉ tiêu phái sinh</t>
        </is>
      </c>
      <c r="H331" s="4" t="inlineStr">
        <is>
          <t>TB</t>
        </is>
      </c>
      <c r="I331" s="55" t="inlineStr">
        <is>
          <t>Tín phiếu kho bạc</t>
        </is>
      </c>
      <c r="J331" s="55" t="n"/>
      <c r="K331" s="55" t="n"/>
      <c r="L331" s="55" t="n"/>
      <c r="M331" s="55" t="n"/>
      <c r="N331" s="55" t="n"/>
      <c r="O331" s="55" t="n"/>
      <c r="P331" s="55" t="n"/>
      <c r="Q331" s="55" t="n"/>
      <c r="R331" s="55" t="n"/>
      <c r="S331" s="55" t="n"/>
      <c r="T331" s="55" t="n"/>
      <c r="U331" s="55" t="n"/>
      <c r="V331" s="55" t="n"/>
      <c r="W331" s="55" t="n"/>
      <c r="X331" s="55" t="n"/>
      <c r="Y331" s="55" t="n"/>
      <c r="Z331" s="55" t="n"/>
      <c r="AA331" s="55" t="n"/>
      <c r="AB331" s="55" t="n"/>
      <c r="AC331" s="55" t="n"/>
      <c r="AD331" s="55" t="n"/>
      <c r="AE331" s="55" t="n"/>
      <c r="AF331" s="55" t="n"/>
    </row>
    <row r="332" ht="16" customHeight="1" s="380">
      <c r="A332" s="55" t="n"/>
      <c r="B332" s="4" t="inlineStr">
        <is>
          <t>HNX04 (LK)</t>
        </is>
      </c>
      <c r="C332" s="216" t="n"/>
      <c r="D332" s="218" t="inlineStr">
        <is>
          <t>Chứng chỉ quỹ (ETF)</t>
        </is>
      </c>
      <c r="E332" s="55" t="n"/>
      <c r="F332" s="4" t="inlineStr">
        <is>
          <t>Báo cáo</t>
        </is>
      </c>
      <c r="G332" s="22" t="inlineStr">
        <is>
          <t>Chỉ tiêu phái sinh</t>
        </is>
      </c>
      <c r="H332" s="4" t="inlineStr">
        <is>
          <t>TB</t>
        </is>
      </c>
      <c r="I332" s="55" t="inlineStr">
        <is>
          <t>ETF</t>
        </is>
      </c>
      <c r="J332" s="55" t="n"/>
      <c r="K332" s="55" t="n"/>
      <c r="L332" s="55" t="n"/>
      <c r="M332" s="55" t="n"/>
      <c r="N332" s="55" t="n"/>
      <c r="O332" s="55" t="n"/>
      <c r="P332" s="55" t="n"/>
      <c r="Q332" s="55" t="n"/>
      <c r="R332" s="55" t="n"/>
      <c r="S332" s="55" t="n"/>
      <c r="T332" s="55" t="n"/>
      <c r="U332" s="55" t="n"/>
      <c r="V332" s="55" t="n"/>
      <c r="W332" s="55" t="n"/>
      <c r="X332" s="55" t="n"/>
      <c r="Y332" s="55" t="n"/>
      <c r="Z332" s="55" t="n"/>
      <c r="AA332" s="55" t="n"/>
      <c r="AB332" s="55" t="n"/>
      <c r="AC332" s="55" t="n"/>
      <c r="AD332" s="55" t="n"/>
      <c r="AE332" s="55" t="n"/>
      <c r="AF332" s="55" t="n"/>
    </row>
    <row r="333" ht="32" customHeight="1" s="380">
      <c r="A333" s="55" t="n"/>
      <c r="B333" s="4" t="inlineStr">
        <is>
          <t>HNX04 (LK)</t>
        </is>
      </c>
      <c r="C333" s="216" t="n"/>
      <c r="D333" s="218" t="inlineStr">
        <is>
          <t>Chứng khoán hủy niêm yết (mã chứng khoán)</t>
        </is>
      </c>
      <c r="E333" s="55" t="n"/>
      <c r="F333" s="4" t="inlineStr">
        <is>
          <t>Báo cáo</t>
        </is>
      </c>
      <c r="G333" s="22" t="inlineStr">
        <is>
          <t>Chỉ tiêu phái sinh</t>
        </is>
      </c>
      <c r="H333" s="4" t="inlineStr">
        <is>
          <t>TB</t>
        </is>
      </c>
      <c r="I333" s="55" t="n"/>
      <c r="J333" s="55" t="n"/>
      <c r="K333" s="55" t="n"/>
      <c r="L333" s="55" t="n"/>
      <c r="M333" s="55" t="n"/>
      <c r="N333" s="55" t="n"/>
      <c r="O333" s="55" t="n"/>
      <c r="P333" s="55" t="n"/>
      <c r="Q333" s="55" t="n"/>
      <c r="R333" s="55" t="n"/>
      <c r="S333" s="55" t="n"/>
      <c r="T333" s="55" t="n"/>
      <c r="U333" s="55" t="n"/>
      <c r="V333" s="55" t="n"/>
      <c r="W333" s="55" t="n"/>
      <c r="X333" s="55" t="n"/>
      <c r="Y333" s="55" t="n"/>
      <c r="Z333" s="55" t="n"/>
      <c r="AA333" s="55" t="n"/>
      <c r="AB333" s="55" t="n"/>
      <c r="AC333" s="55" t="n"/>
      <c r="AD333" s="55" t="n"/>
      <c r="AE333" s="55" t="n"/>
      <c r="AF333" s="55" t="n"/>
    </row>
    <row r="334" ht="16" customHeight="1" s="380">
      <c r="A334" s="55" t="n"/>
      <c r="B334" s="4" t="inlineStr">
        <is>
          <t>HNX04 (LK)</t>
        </is>
      </c>
      <c r="C334" s="216" t="n"/>
      <c r="D334" s="218" t="inlineStr">
        <is>
          <t>Cổ phiếu niêm yết</t>
        </is>
      </c>
      <c r="E334" s="55" t="n"/>
      <c r="F334" s="4" t="inlineStr">
        <is>
          <t>Báo cáo</t>
        </is>
      </c>
      <c r="G334" s="22" t="inlineStr">
        <is>
          <t>Chỉ tiêu phái sinh</t>
        </is>
      </c>
      <c r="H334" s="4" t="inlineStr">
        <is>
          <t>TB</t>
        </is>
      </c>
      <c r="I334" s="55" t="inlineStr">
        <is>
          <t>CPNY</t>
        </is>
      </c>
      <c r="J334" s="55" t="n"/>
      <c r="K334" s="55" t="n"/>
      <c r="L334" s="55" t="n"/>
      <c r="M334" s="55" t="n"/>
      <c r="N334" s="55" t="n"/>
      <c r="O334" s="55" t="n"/>
      <c r="P334" s="55" t="n"/>
      <c r="Q334" s="55" t="n"/>
      <c r="R334" s="55" t="n"/>
      <c r="S334" s="55" t="n"/>
      <c r="T334" s="55" t="n"/>
      <c r="U334" s="55" t="n"/>
      <c r="V334" s="55" t="n"/>
      <c r="W334" s="55" t="n"/>
      <c r="X334" s="55" t="n"/>
      <c r="Y334" s="55" t="n"/>
      <c r="Z334" s="55" t="n"/>
      <c r="AA334" s="55" t="n"/>
      <c r="AB334" s="55" t="n"/>
      <c r="AC334" s="55" t="n"/>
      <c r="AD334" s="55" t="n"/>
      <c r="AE334" s="55" t="n"/>
      <c r="AF334" s="55" t="n"/>
    </row>
    <row r="335" ht="16" customHeight="1" s="380">
      <c r="A335" s="55" t="n"/>
      <c r="B335" s="4" t="inlineStr">
        <is>
          <t>HNX04 (LK)</t>
        </is>
      </c>
      <c r="C335" s="216" t="n"/>
      <c r="D335" s="218" t="inlineStr">
        <is>
          <t>Cổ phiếu đăng ký giao dịch</t>
        </is>
      </c>
      <c r="E335" s="55" t="n"/>
      <c r="F335" s="4" t="inlineStr">
        <is>
          <t>Báo cáo</t>
        </is>
      </c>
      <c r="G335" s="22" t="inlineStr">
        <is>
          <t>Chỉ tiêu phái sinh</t>
        </is>
      </c>
      <c r="H335" s="4" t="inlineStr">
        <is>
          <t>TB</t>
        </is>
      </c>
      <c r="I335" s="55" t="inlineStr">
        <is>
          <t>CP đăng ký GD</t>
        </is>
      </c>
      <c r="J335" s="55" t="n"/>
      <c r="K335" s="55" t="n"/>
      <c r="L335" s="55" t="n"/>
      <c r="M335" s="55" t="n"/>
      <c r="N335" s="55" t="n"/>
      <c r="O335" s="55" t="n"/>
      <c r="P335" s="55" t="n"/>
      <c r="Q335" s="55" t="n"/>
      <c r="R335" s="55" t="n"/>
      <c r="S335" s="55" t="n"/>
      <c r="T335" s="55" t="n"/>
      <c r="U335" s="55" t="n"/>
      <c r="V335" s="55" t="n"/>
      <c r="W335" s="55" t="n"/>
      <c r="X335" s="55" t="n"/>
      <c r="Y335" s="55" t="n"/>
      <c r="Z335" s="55" t="n"/>
      <c r="AA335" s="55" t="n"/>
      <c r="AB335" s="55" t="n"/>
      <c r="AC335" s="55" t="n"/>
      <c r="AD335" s="55" t="n"/>
      <c r="AE335" s="55" t="n"/>
      <c r="AF335" s="55" t="n"/>
    </row>
    <row r="336" ht="16" customHeight="1" s="380">
      <c r="A336" s="55" t="n"/>
      <c r="B336" s="4" t="inlineStr">
        <is>
          <t>HNX04 (LK)</t>
        </is>
      </c>
      <c r="C336" s="216" t="n"/>
      <c r="D336" s="218" t="inlineStr">
        <is>
          <t>Trái phiếu chính phủ</t>
        </is>
      </c>
      <c r="E336" s="55" t="n"/>
      <c r="F336" s="4" t="inlineStr">
        <is>
          <t>Báo cáo</t>
        </is>
      </c>
      <c r="G336" s="22" t="inlineStr">
        <is>
          <t>Chỉ tiêu phái sinh</t>
        </is>
      </c>
      <c r="H336" s="4" t="inlineStr">
        <is>
          <t>TB</t>
        </is>
      </c>
      <c r="I336" s="55" t="inlineStr">
        <is>
          <t>TPCP</t>
        </is>
      </c>
      <c r="J336" s="55" t="n"/>
      <c r="K336" s="55" t="n"/>
      <c r="L336" s="55" t="n"/>
      <c r="M336" s="55" t="n"/>
      <c r="N336" s="55" t="n"/>
      <c r="O336" s="55" t="n"/>
      <c r="P336" s="55" t="n"/>
      <c r="Q336" s="55" t="n"/>
      <c r="R336" s="55" t="n"/>
      <c r="S336" s="55" t="n"/>
      <c r="T336" s="55" t="n"/>
      <c r="U336" s="55" t="n"/>
      <c r="V336" s="55" t="n"/>
      <c r="W336" s="55" t="n"/>
      <c r="X336" s="55" t="n"/>
      <c r="Y336" s="55" t="n"/>
      <c r="Z336" s="55" t="n"/>
      <c r="AA336" s="55" t="n"/>
      <c r="AB336" s="55" t="n"/>
      <c r="AC336" s="55" t="n"/>
      <c r="AD336" s="55" t="n"/>
      <c r="AE336" s="55" t="n"/>
      <c r="AF336" s="55" t="n"/>
    </row>
    <row r="337" ht="16" customHeight="1" s="380">
      <c r="A337" s="55" t="n"/>
      <c r="B337" s="4" t="inlineStr">
        <is>
          <t>HNX04 (LK)</t>
        </is>
      </c>
      <c r="C337" s="216" t="n"/>
      <c r="D337" s="218" t="inlineStr">
        <is>
          <t>Trái phiếu chính quyền địa phương</t>
        </is>
      </c>
      <c r="E337" s="55" t="n"/>
      <c r="F337" s="4" t="inlineStr">
        <is>
          <t>Báo cáo</t>
        </is>
      </c>
      <c r="G337" s="22" t="inlineStr">
        <is>
          <t>Chỉ tiêu phái sinh</t>
        </is>
      </c>
      <c r="H337" s="4" t="inlineStr">
        <is>
          <t>TB</t>
        </is>
      </c>
      <c r="I337" s="55" t="inlineStr">
        <is>
          <t>TP Chính quyền ĐP</t>
        </is>
      </c>
      <c r="J337" s="55" t="n"/>
      <c r="K337" s="55" t="n"/>
      <c r="L337" s="55" t="n"/>
      <c r="M337" s="55" t="n"/>
      <c r="N337" s="55" t="n"/>
      <c r="O337" s="55" t="n"/>
      <c r="P337" s="55" t="n"/>
      <c r="Q337" s="55" t="n"/>
      <c r="R337" s="55" t="n"/>
      <c r="S337" s="55" t="n"/>
      <c r="T337" s="55" t="n"/>
      <c r="U337" s="55" t="n"/>
      <c r="V337" s="55" t="n"/>
      <c r="W337" s="55" t="n"/>
      <c r="X337" s="55" t="n"/>
      <c r="Y337" s="55" t="n"/>
      <c r="Z337" s="55" t="n"/>
      <c r="AA337" s="55" t="n"/>
      <c r="AB337" s="55" t="n"/>
      <c r="AC337" s="55" t="n"/>
      <c r="AD337" s="55" t="n"/>
      <c r="AE337" s="55" t="n"/>
      <c r="AF337" s="55" t="n"/>
    </row>
    <row r="338" ht="16" customHeight="1" s="380">
      <c r="A338" s="55" t="n"/>
      <c r="B338" s="4" t="inlineStr">
        <is>
          <t>HNX04 (LK)</t>
        </is>
      </c>
      <c r="C338" s="216" t="n"/>
      <c r="D338" s="218" t="inlineStr">
        <is>
          <t>Trái phiếu chính phủ bảo lãnh</t>
        </is>
      </c>
      <c r="E338" s="55" t="n"/>
      <c r="F338" s="4" t="inlineStr">
        <is>
          <t>Báo cáo</t>
        </is>
      </c>
      <c r="G338" s="22" t="inlineStr">
        <is>
          <t>Chỉ tiêu phái sinh</t>
        </is>
      </c>
      <c r="H338" s="4" t="inlineStr">
        <is>
          <t>TB</t>
        </is>
      </c>
      <c r="I338" s="55" t="inlineStr">
        <is>
          <t>TPCP bảo lãnh</t>
        </is>
      </c>
      <c r="J338" s="55" t="n"/>
      <c r="K338" s="55" t="n"/>
      <c r="L338" s="55" t="n"/>
      <c r="M338" s="55" t="n"/>
      <c r="N338" s="55" t="n"/>
      <c r="O338" s="55" t="n"/>
      <c r="P338" s="55" t="n"/>
      <c r="Q338" s="55" t="n"/>
      <c r="R338" s="55" t="n"/>
      <c r="S338" s="55" t="n"/>
      <c r="T338" s="55" t="n"/>
      <c r="U338" s="55" t="n"/>
      <c r="V338" s="55" t="n"/>
      <c r="W338" s="55" t="n"/>
      <c r="X338" s="55" t="n"/>
      <c r="Y338" s="55" t="n"/>
      <c r="Z338" s="55" t="n"/>
      <c r="AA338" s="55" t="n"/>
      <c r="AB338" s="55" t="n"/>
      <c r="AC338" s="55" t="n"/>
      <c r="AD338" s="55" t="n"/>
      <c r="AE338" s="55" t="n"/>
      <c r="AF338" s="55" t="n"/>
    </row>
    <row r="339" ht="16" customHeight="1" s="380">
      <c r="A339" s="55" t="n"/>
      <c r="B339" s="4" t="inlineStr">
        <is>
          <t>HNX04 (LK)</t>
        </is>
      </c>
      <c r="C339" s="216" t="n"/>
      <c r="D339" s="218" t="inlineStr">
        <is>
          <t>Trái phiếu doanh nghiệp</t>
        </is>
      </c>
      <c r="E339" s="55" t="n"/>
      <c r="F339" s="4" t="inlineStr">
        <is>
          <t>Báo cáo</t>
        </is>
      </c>
      <c r="G339" s="22" t="inlineStr">
        <is>
          <t>Chỉ tiêu phái sinh</t>
        </is>
      </c>
      <c r="H339" s="4" t="inlineStr">
        <is>
          <t>TB</t>
        </is>
      </c>
      <c r="I339" s="55" t="inlineStr">
        <is>
          <t>TPDN</t>
        </is>
      </c>
      <c r="J339" s="55" t="n"/>
      <c r="K339" s="55" t="n"/>
      <c r="L339" s="55" t="n"/>
      <c r="M339" s="55" t="n"/>
      <c r="N339" s="55" t="n"/>
      <c r="O339" s="55" t="n"/>
      <c r="P339" s="55" t="n"/>
      <c r="Q339" s="55" t="n"/>
      <c r="R339" s="55" t="n"/>
      <c r="S339" s="55" t="n"/>
      <c r="T339" s="55" t="n"/>
      <c r="U339" s="55" t="n"/>
      <c r="V339" s="55" t="n"/>
      <c r="W339" s="55" t="n"/>
      <c r="X339" s="55" t="n"/>
      <c r="Y339" s="55" t="n"/>
      <c r="Z339" s="55" t="n"/>
      <c r="AA339" s="55" t="n"/>
      <c r="AB339" s="55" t="n"/>
      <c r="AC339" s="55" t="n"/>
      <c r="AD339" s="55" t="n"/>
      <c r="AE339" s="55" t="n"/>
      <c r="AF339" s="55" t="n"/>
    </row>
    <row r="340" ht="16" customHeight="1" s="380">
      <c r="A340" s="55" t="n"/>
      <c r="B340" s="4" t="inlineStr">
        <is>
          <t>HNX04 (LK)</t>
        </is>
      </c>
      <c r="C340" s="216" t="n"/>
      <c r="D340" s="218" t="inlineStr">
        <is>
          <t>Tín phiếu kho bạc</t>
        </is>
      </c>
      <c r="E340" s="55" t="n"/>
      <c r="F340" s="4" t="inlineStr">
        <is>
          <t>Báo cáo</t>
        </is>
      </c>
      <c r="G340" s="22" t="inlineStr">
        <is>
          <t>Chỉ tiêu phái sinh</t>
        </is>
      </c>
      <c r="H340" s="4" t="inlineStr">
        <is>
          <t>TB</t>
        </is>
      </c>
      <c r="I340" s="55" t="inlineStr">
        <is>
          <t>Tín phiếu kho bạc</t>
        </is>
      </c>
      <c r="J340" s="55" t="n"/>
      <c r="K340" s="55" t="n"/>
      <c r="L340" s="55" t="n"/>
      <c r="M340" s="55" t="n"/>
      <c r="N340" s="55" t="n"/>
      <c r="O340" s="55" t="n"/>
      <c r="P340" s="55" t="n"/>
      <c r="Q340" s="55" t="n"/>
      <c r="R340" s="55" t="n"/>
      <c r="S340" s="55" t="n"/>
      <c r="T340" s="55" t="n"/>
      <c r="U340" s="55" t="n"/>
      <c r="V340" s="55" t="n"/>
      <c r="W340" s="55" t="n"/>
      <c r="X340" s="55" t="n"/>
      <c r="Y340" s="55" t="n"/>
      <c r="Z340" s="55" t="n"/>
      <c r="AA340" s="55" t="n"/>
      <c r="AB340" s="55" t="n"/>
      <c r="AC340" s="55" t="n"/>
      <c r="AD340" s="55" t="n"/>
      <c r="AE340" s="55" t="n"/>
      <c r="AF340" s="55" t="n"/>
    </row>
    <row r="341" ht="16" customHeight="1" s="380">
      <c r="A341" s="55" t="n"/>
      <c r="B341" s="4" t="inlineStr">
        <is>
          <t>HNX04 (LK)</t>
        </is>
      </c>
      <c r="C341" s="216" t="n"/>
      <c r="D341" s="218" t="inlineStr">
        <is>
          <t>Chứng chỉ quỹ (ETF)</t>
        </is>
      </c>
      <c r="E341" s="55" t="n"/>
      <c r="F341" s="4" t="inlineStr">
        <is>
          <t>Báo cáo</t>
        </is>
      </c>
      <c r="G341" s="22" t="inlineStr">
        <is>
          <t>Chỉ tiêu phái sinh</t>
        </is>
      </c>
      <c r="H341" s="4" t="inlineStr">
        <is>
          <t>TB</t>
        </is>
      </c>
      <c r="I341" s="55" t="inlineStr">
        <is>
          <t>ETF</t>
        </is>
      </c>
      <c r="J341" s="55" t="n"/>
      <c r="K341" s="55" t="n"/>
      <c r="L341" s="55" t="n"/>
      <c r="M341" s="55" t="n"/>
      <c r="N341" s="55" t="n"/>
      <c r="O341" s="55" t="n"/>
      <c r="P341" s="55" t="n"/>
      <c r="Q341" s="55" t="n"/>
      <c r="R341" s="55" t="n"/>
      <c r="S341" s="55" t="n"/>
      <c r="T341" s="55" t="n"/>
      <c r="U341" s="55" t="n"/>
      <c r="V341" s="55" t="n"/>
      <c r="W341" s="55" t="n"/>
      <c r="X341" s="55" t="n"/>
      <c r="Y341" s="55" t="n"/>
      <c r="Z341" s="55" t="n"/>
      <c r="AA341" s="55" t="n"/>
      <c r="AB341" s="55" t="n"/>
      <c r="AC341" s="55" t="n"/>
      <c r="AD341" s="55" t="n"/>
      <c r="AE341" s="55" t="n"/>
      <c r="AF341" s="55" t="n"/>
    </row>
    <row r="342" ht="32" customHeight="1" s="380">
      <c r="A342" s="55" t="n"/>
      <c r="B342" s="4" t="inlineStr">
        <is>
          <t>HNX04 (LK)</t>
        </is>
      </c>
      <c r="C342" s="216" t="n"/>
      <c r="D342" s="218" t="inlineStr">
        <is>
          <t>Chứng khoán niêm yết đến thời điểm hiện tại (mã chứng khoán)</t>
        </is>
      </c>
      <c r="E342" s="55" t="n"/>
      <c r="F342" s="4" t="inlineStr">
        <is>
          <t>Báo cáo</t>
        </is>
      </c>
      <c r="G342" s="22" t="inlineStr">
        <is>
          <t>Chỉ tiêu phái sinh</t>
        </is>
      </c>
      <c r="H342" s="4" t="inlineStr">
        <is>
          <t>TB</t>
        </is>
      </c>
      <c r="I342" s="55" t="n"/>
      <c r="J342" s="55" t="n"/>
      <c r="K342" s="55" t="n"/>
      <c r="L342" s="55" t="n"/>
      <c r="M342" s="55" t="n"/>
      <c r="N342" s="55" t="n"/>
      <c r="O342" s="55" t="n"/>
      <c r="P342" s="55" t="n"/>
      <c r="Q342" s="55" t="n"/>
      <c r="R342" s="55" t="n"/>
      <c r="S342" s="55" t="n"/>
      <c r="T342" s="55" t="n"/>
      <c r="U342" s="55" t="n"/>
      <c r="V342" s="55" t="n"/>
      <c r="W342" s="55" t="n"/>
      <c r="X342" s="55" t="n"/>
      <c r="Y342" s="55" t="n"/>
      <c r="Z342" s="55" t="n"/>
      <c r="AA342" s="55" t="n"/>
      <c r="AB342" s="55" t="n"/>
      <c r="AC342" s="55" t="n"/>
      <c r="AD342" s="55" t="n"/>
      <c r="AE342" s="55" t="n"/>
      <c r="AF342" s="55" t="n"/>
    </row>
    <row r="343" ht="16" customHeight="1" s="380">
      <c r="A343" s="55" t="n"/>
      <c r="B343" s="4" t="inlineStr">
        <is>
          <t>HNX04 (LK)</t>
        </is>
      </c>
      <c r="C343" s="216" t="n"/>
      <c r="D343" s="218" t="inlineStr">
        <is>
          <t>Cổ phiếu niêm yết</t>
        </is>
      </c>
      <c r="E343" s="55" t="n"/>
      <c r="F343" s="4" t="inlineStr">
        <is>
          <t>Báo cáo</t>
        </is>
      </c>
      <c r="G343" s="22" t="inlineStr">
        <is>
          <t>Chỉ tiêu phái sinh</t>
        </is>
      </c>
      <c r="H343" s="4" t="inlineStr">
        <is>
          <t>TB</t>
        </is>
      </c>
      <c r="I343" s="55" t="inlineStr">
        <is>
          <t>CPNY</t>
        </is>
      </c>
      <c r="J343" s="55" t="n"/>
      <c r="K343" s="55" t="n"/>
      <c r="L343" s="55" t="n"/>
      <c r="M343" s="55" t="n"/>
      <c r="N343" s="55" t="n"/>
      <c r="O343" s="55" t="n"/>
      <c r="P343" s="55" t="n"/>
      <c r="Q343" s="55" t="n"/>
      <c r="R343" s="55" t="n"/>
      <c r="S343" s="55" t="n"/>
      <c r="T343" s="55" t="n"/>
      <c r="U343" s="55" t="n"/>
      <c r="V343" s="55" t="n"/>
      <c r="W343" s="55" t="n"/>
      <c r="X343" s="55" t="n"/>
      <c r="Y343" s="55" t="n"/>
      <c r="Z343" s="55" t="n"/>
      <c r="AA343" s="55" t="n"/>
      <c r="AB343" s="55" t="n"/>
      <c r="AC343" s="55" t="n"/>
      <c r="AD343" s="55" t="n"/>
      <c r="AE343" s="55" t="n"/>
      <c r="AF343" s="55" t="n"/>
    </row>
    <row r="344" ht="16" customHeight="1" s="380">
      <c r="A344" s="55" t="n"/>
      <c r="B344" s="4" t="inlineStr">
        <is>
          <t>HNX04 (LK)</t>
        </is>
      </c>
      <c r="C344" s="216" t="n"/>
      <c r="D344" s="218" t="inlineStr">
        <is>
          <t>Cổ phiếu đăng ký giao dịch</t>
        </is>
      </c>
      <c r="E344" s="55" t="n"/>
      <c r="F344" s="4" t="inlineStr">
        <is>
          <t>Báo cáo</t>
        </is>
      </c>
      <c r="G344" s="22" t="inlineStr">
        <is>
          <t>Chỉ tiêu phái sinh</t>
        </is>
      </c>
      <c r="H344" s="4" t="inlineStr">
        <is>
          <t>TB</t>
        </is>
      </c>
      <c r="I344" s="55" t="inlineStr">
        <is>
          <t>CP đăng ký GD</t>
        </is>
      </c>
      <c r="J344" s="55" t="n"/>
      <c r="K344" s="55" t="n"/>
      <c r="L344" s="55" t="n"/>
      <c r="M344" s="55" t="n"/>
      <c r="N344" s="55" t="n"/>
      <c r="O344" s="55" t="n"/>
      <c r="P344" s="55" t="n"/>
      <c r="Q344" s="55" t="n"/>
      <c r="R344" s="55" t="n"/>
      <c r="S344" s="55" t="n"/>
      <c r="T344" s="55" t="n"/>
      <c r="U344" s="55" t="n"/>
      <c r="V344" s="55" t="n"/>
      <c r="W344" s="55" t="n"/>
      <c r="X344" s="55" t="n"/>
      <c r="Y344" s="55" t="n"/>
      <c r="Z344" s="55" t="n"/>
      <c r="AA344" s="55" t="n"/>
      <c r="AB344" s="55" t="n"/>
      <c r="AC344" s="55" t="n"/>
      <c r="AD344" s="55" t="n"/>
      <c r="AE344" s="55" t="n"/>
      <c r="AF344" s="55" t="n"/>
    </row>
    <row r="345" ht="16" customHeight="1" s="380">
      <c r="A345" s="55" t="n"/>
      <c r="B345" s="4" t="inlineStr">
        <is>
          <t>HNX04 (LK)</t>
        </is>
      </c>
      <c r="C345" s="216" t="n"/>
      <c r="D345" s="218" t="inlineStr">
        <is>
          <t>Trái phiếu chính phủ</t>
        </is>
      </c>
      <c r="E345" s="55" t="n"/>
      <c r="F345" s="4" t="inlineStr">
        <is>
          <t>Báo cáo</t>
        </is>
      </c>
      <c r="G345" s="22" t="inlineStr">
        <is>
          <t>Chỉ tiêu phái sinh</t>
        </is>
      </c>
      <c r="H345" s="4" t="inlineStr">
        <is>
          <t>TB</t>
        </is>
      </c>
      <c r="I345" s="55" t="inlineStr">
        <is>
          <t>TPCP</t>
        </is>
      </c>
      <c r="J345" s="55" t="n"/>
      <c r="K345" s="55" t="n"/>
      <c r="L345" s="55" t="n"/>
      <c r="M345" s="55" t="n"/>
      <c r="N345" s="55" t="n"/>
      <c r="O345" s="55" t="n"/>
      <c r="P345" s="55" t="n"/>
      <c r="Q345" s="55" t="n"/>
      <c r="R345" s="55" t="n"/>
      <c r="S345" s="55" t="n"/>
      <c r="T345" s="55" t="n"/>
      <c r="U345" s="55" t="n"/>
      <c r="V345" s="55" t="n"/>
      <c r="W345" s="55" t="n"/>
      <c r="X345" s="55" t="n"/>
      <c r="Y345" s="55" t="n"/>
      <c r="Z345" s="55" t="n"/>
      <c r="AA345" s="55" t="n"/>
      <c r="AB345" s="55" t="n"/>
      <c r="AC345" s="55" t="n"/>
      <c r="AD345" s="55" t="n"/>
      <c r="AE345" s="55" t="n"/>
      <c r="AF345" s="55" t="n"/>
    </row>
    <row r="346" ht="16" customHeight="1" s="380">
      <c r="A346" s="55" t="n"/>
      <c r="B346" s="4" t="inlineStr">
        <is>
          <t>HNX04 (LK)</t>
        </is>
      </c>
      <c r="C346" s="216" t="n"/>
      <c r="D346" s="218" t="inlineStr">
        <is>
          <t>Trái phiếu chính quyền địa phương</t>
        </is>
      </c>
      <c r="E346" s="55" t="n"/>
      <c r="F346" s="4" t="inlineStr">
        <is>
          <t>Báo cáo</t>
        </is>
      </c>
      <c r="G346" s="22" t="inlineStr">
        <is>
          <t>Chỉ tiêu phái sinh</t>
        </is>
      </c>
      <c r="H346" s="4" t="inlineStr">
        <is>
          <t>TB</t>
        </is>
      </c>
      <c r="I346" s="55" t="inlineStr">
        <is>
          <t>TP Chính quyền ĐP</t>
        </is>
      </c>
      <c r="J346" s="55" t="n"/>
      <c r="K346" s="55" t="n"/>
      <c r="L346" s="55" t="n"/>
      <c r="M346" s="55" t="n"/>
      <c r="N346" s="55" t="n"/>
      <c r="O346" s="55" t="n"/>
      <c r="P346" s="55" t="n"/>
      <c r="Q346" s="55" t="n"/>
      <c r="R346" s="55" t="n"/>
      <c r="S346" s="55" t="n"/>
      <c r="T346" s="55" t="n"/>
      <c r="U346" s="55" t="n"/>
      <c r="V346" s="55" t="n"/>
      <c r="W346" s="55" t="n"/>
      <c r="X346" s="55" t="n"/>
      <c r="Y346" s="55" t="n"/>
      <c r="Z346" s="55" t="n"/>
      <c r="AA346" s="55" t="n"/>
      <c r="AB346" s="55" t="n"/>
      <c r="AC346" s="55" t="n"/>
      <c r="AD346" s="55" t="n"/>
      <c r="AE346" s="55" t="n"/>
      <c r="AF346" s="55" t="n"/>
    </row>
    <row r="347" ht="16" customHeight="1" s="380">
      <c r="A347" s="55" t="n"/>
      <c r="B347" s="4" t="inlineStr">
        <is>
          <t>HNX04 (LK)</t>
        </is>
      </c>
      <c r="C347" s="216" t="n"/>
      <c r="D347" s="218" t="inlineStr">
        <is>
          <t>Trái phiếu chính phủ bảo lãnh</t>
        </is>
      </c>
      <c r="E347" s="55" t="n"/>
      <c r="F347" s="4" t="inlineStr">
        <is>
          <t>Báo cáo</t>
        </is>
      </c>
      <c r="G347" s="22" t="inlineStr">
        <is>
          <t>Chỉ tiêu phái sinh</t>
        </is>
      </c>
      <c r="H347" s="4" t="inlineStr">
        <is>
          <t>TB</t>
        </is>
      </c>
      <c r="I347" s="55" t="inlineStr">
        <is>
          <t>TPCP bảo lãnh</t>
        </is>
      </c>
      <c r="J347" s="55" t="n"/>
      <c r="K347" s="55" t="n"/>
      <c r="L347" s="55" t="n"/>
      <c r="M347" s="55" t="n"/>
      <c r="N347" s="55" t="n"/>
      <c r="O347" s="55" t="n"/>
      <c r="P347" s="55" t="n"/>
      <c r="Q347" s="55" t="n"/>
      <c r="R347" s="55" t="n"/>
      <c r="S347" s="55" t="n"/>
      <c r="T347" s="55" t="n"/>
      <c r="U347" s="55" t="n"/>
      <c r="V347" s="55" t="n"/>
      <c r="W347" s="55" t="n"/>
      <c r="X347" s="55" t="n"/>
      <c r="Y347" s="55" t="n"/>
      <c r="Z347" s="55" t="n"/>
      <c r="AA347" s="55" t="n"/>
      <c r="AB347" s="55" t="n"/>
      <c r="AC347" s="55" t="n"/>
      <c r="AD347" s="55" t="n"/>
      <c r="AE347" s="55" t="n"/>
      <c r="AF347" s="55" t="n"/>
    </row>
    <row r="348" ht="16" customHeight="1" s="380">
      <c r="A348" s="55" t="n"/>
      <c r="B348" s="4" t="inlineStr">
        <is>
          <t>HNX04 (LK)</t>
        </is>
      </c>
      <c r="C348" s="216" t="n"/>
      <c r="D348" s="218" t="inlineStr">
        <is>
          <t>Trái phiếu doanh nghiệp</t>
        </is>
      </c>
      <c r="E348" s="55" t="n"/>
      <c r="F348" s="4" t="inlineStr">
        <is>
          <t>Báo cáo</t>
        </is>
      </c>
      <c r="G348" s="22" t="inlineStr">
        <is>
          <t>Chỉ tiêu phái sinh</t>
        </is>
      </c>
      <c r="H348" s="4" t="inlineStr">
        <is>
          <t>TB</t>
        </is>
      </c>
      <c r="I348" s="55" t="inlineStr">
        <is>
          <t>TPDN</t>
        </is>
      </c>
      <c r="J348" s="55" t="n"/>
      <c r="K348" s="55" t="n"/>
      <c r="L348" s="55" t="n"/>
      <c r="M348" s="55" t="n"/>
      <c r="N348" s="55" t="n"/>
      <c r="O348" s="55" t="n"/>
      <c r="P348" s="55" t="n"/>
      <c r="Q348" s="55" t="n"/>
      <c r="R348" s="55" t="n"/>
      <c r="S348" s="55" t="n"/>
      <c r="T348" s="55" t="n"/>
      <c r="U348" s="55" t="n"/>
      <c r="V348" s="55" t="n"/>
      <c r="W348" s="55" t="n"/>
      <c r="X348" s="55" t="n"/>
      <c r="Y348" s="55" t="n"/>
      <c r="Z348" s="55" t="n"/>
      <c r="AA348" s="55" t="n"/>
      <c r="AB348" s="55" t="n"/>
      <c r="AC348" s="55" t="n"/>
      <c r="AD348" s="55" t="n"/>
      <c r="AE348" s="55" t="n"/>
      <c r="AF348" s="55" t="n"/>
    </row>
    <row r="349" ht="16" customHeight="1" s="380">
      <c r="A349" s="55" t="n"/>
      <c r="B349" s="4" t="inlineStr">
        <is>
          <t>HNX04 (LK)</t>
        </is>
      </c>
      <c r="C349" s="216" t="n"/>
      <c r="D349" s="218" t="inlineStr">
        <is>
          <t>Tín phiếu kho bạc</t>
        </is>
      </c>
      <c r="E349" s="55" t="n"/>
      <c r="F349" s="4" t="inlineStr">
        <is>
          <t>Báo cáo</t>
        </is>
      </c>
      <c r="G349" s="22" t="inlineStr">
        <is>
          <t>Chỉ tiêu phái sinh</t>
        </is>
      </c>
      <c r="H349" s="4" t="inlineStr">
        <is>
          <t>TB</t>
        </is>
      </c>
      <c r="I349" s="55" t="inlineStr">
        <is>
          <t>Tín phiếu kho bạc</t>
        </is>
      </c>
      <c r="J349" s="55" t="n"/>
      <c r="K349" s="55" t="n"/>
      <c r="L349" s="55" t="n"/>
      <c r="M349" s="55" t="n"/>
      <c r="N349" s="55" t="n"/>
      <c r="O349" s="55" t="n"/>
      <c r="P349" s="55" t="n"/>
      <c r="Q349" s="55" t="n"/>
      <c r="R349" s="55" t="n"/>
      <c r="S349" s="55" t="n"/>
      <c r="T349" s="55" t="n"/>
      <c r="U349" s="55" t="n"/>
      <c r="V349" s="55" t="n"/>
      <c r="W349" s="55" t="n"/>
      <c r="X349" s="55" t="n"/>
      <c r="Y349" s="55" t="n"/>
      <c r="Z349" s="55" t="n"/>
      <c r="AA349" s="55" t="n"/>
      <c r="AB349" s="55" t="n"/>
      <c r="AC349" s="55" t="n"/>
      <c r="AD349" s="55" t="n"/>
      <c r="AE349" s="55" t="n"/>
      <c r="AF349" s="55" t="n"/>
    </row>
    <row r="350" ht="16" customHeight="1" s="380">
      <c r="A350" s="55" t="n"/>
      <c r="B350" s="4" t="inlineStr">
        <is>
          <t>HNX04 (LK)</t>
        </is>
      </c>
      <c r="C350" s="216" t="n"/>
      <c r="D350" s="218" t="inlineStr">
        <is>
          <t>Chứng chỉ quỹ (ETF)</t>
        </is>
      </c>
      <c r="E350" s="55" t="n"/>
      <c r="F350" s="4" t="inlineStr">
        <is>
          <t>Báo cáo</t>
        </is>
      </c>
      <c r="G350" s="22" t="inlineStr">
        <is>
          <t>Chỉ tiêu phái sinh</t>
        </is>
      </c>
      <c r="H350" s="4" t="inlineStr">
        <is>
          <t>TB</t>
        </is>
      </c>
      <c r="I350" s="55" t="inlineStr">
        <is>
          <t>ETF</t>
        </is>
      </c>
      <c r="J350" s="55" t="n"/>
      <c r="K350" s="55" t="n"/>
      <c r="L350" s="55" t="n"/>
      <c r="M350" s="55" t="n"/>
      <c r="N350" s="55" t="n"/>
      <c r="O350" s="55" t="n"/>
      <c r="P350" s="55" t="n"/>
      <c r="Q350" s="55" t="n"/>
      <c r="R350" s="55" t="n"/>
      <c r="S350" s="55" t="n"/>
      <c r="T350" s="55" t="n"/>
      <c r="U350" s="55" t="n"/>
      <c r="V350" s="55" t="n"/>
      <c r="W350" s="55" t="n"/>
      <c r="X350" s="55" t="n"/>
      <c r="Y350" s="55" t="n"/>
      <c r="Z350" s="55" t="n"/>
      <c r="AA350" s="55" t="n"/>
      <c r="AB350" s="55" t="n"/>
      <c r="AC350" s="55" t="n"/>
      <c r="AD350" s="55" t="n"/>
      <c r="AE350" s="55" t="n"/>
      <c r="AF350" s="55" t="n"/>
    </row>
    <row r="351" ht="16" customHeight="1" s="380">
      <c r="A351" s="55" t="n"/>
      <c r="B351" s="4" t="inlineStr">
        <is>
          <t>HNX04 (LK)</t>
        </is>
      </c>
      <c r="C351" s="216" t="n"/>
      <c r="D351" s="218" t="inlineStr">
        <is>
          <t>Số phiên thực hiện giao dịch</t>
        </is>
      </c>
      <c r="E351" s="55" t="n"/>
      <c r="F351" s="4" t="inlineStr">
        <is>
          <t>Báo cáo</t>
        </is>
      </c>
      <c r="G351" s="22" t="inlineStr">
        <is>
          <t>Chỉ tiêu phái sinh</t>
        </is>
      </c>
      <c r="H351" s="4" t="inlineStr">
        <is>
          <t>TB</t>
        </is>
      </c>
      <c r="I351" s="55" t="n"/>
      <c r="J351" s="55" t="n"/>
      <c r="K351" s="55" t="n"/>
      <c r="L351" s="55" t="n"/>
      <c r="M351" s="55" t="n"/>
      <c r="N351" s="55" t="n"/>
      <c r="O351" s="55" t="n"/>
      <c r="P351" s="55" t="n"/>
      <c r="Q351" s="55" t="n"/>
      <c r="R351" s="55" t="n"/>
      <c r="S351" s="55" t="n"/>
      <c r="T351" s="55" t="n"/>
      <c r="U351" s="55" t="n"/>
      <c r="V351" s="55" t="n"/>
      <c r="W351" s="55" t="n"/>
      <c r="X351" s="55" t="n"/>
      <c r="Y351" s="55" t="n"/>
      <c r="Z351" s="55" t="n"/>
      <c r="AA351" s="55" t="n"/>
      <c r="AB351" s="55" t="n"/>
      <c r="AC351" s="55" t="n"/>
      <c r="AD351" s="55" t="n"/>
      <c r="AE351" s="55" t="n"/>
      <c r="AF351" s="55" t="n"/>
    </row>
    <row r="352" ht="16" customHeight="1" s="380">
      <c r="A352" s="55" t="n"/>
      <c r="B352" s="4" t="inlineStr">
        <is>
          <t>HNX04 (LK)</t>
        </is>
      </c>
      <c r="C352" s="216" t="n"/>
      <c r="D352" s="218" t="inlineStr">
        <is>
          <t>Cổ phiếu niêm yết</t>
        </is>
      </c>
      <c r="E352" s="55" t="n"/>
      <c r="F352" s="4" t="inlineStr">
        <is>
          <t>Báo cáo</t>
        </is>
      </c>
      <c r="G352" s="22" t="inlineStr">
        <is>
          <t>Chỉ tiêu phái sinh</t>
        </is>
      </c>
      <c r="H352" s="4" t="inlineStr">
        <is>
          <t>TB</t>
        </is>
      </c>
      <c r="I352" s="55" t="inlineStr">
        <is>
          <t>CPNY</t>
        </is>
      </c>
      <c r="J352" s="55" t="n"/>
      <c r="K352" s="55" t="n"/>
      <c r="L352" s="55" t="n"/>
      <c r="M352" s="55" t="n"/>
      <c r="N352" s="55" t="n"/>
      <c r="O352" s="55" t="n"/>
      <c r="P352" s="55" t="n"/>
      <c r="Q352" s="55" t="n"/>
      <c r="R352" s="55" t="n"/>
      <c r="S352" s="55" t="n"/>
      <c r="T352" s="55" t="n"/>
      <c r="U352" s="55" t="n"/>
      <c r="V352" s="55" t="n"/>
      <c r="W352" s="55" t="n"/>
      <c r="X352" s="55" t="n"/>
      <c r="Y352" s="55" t="n"/>
      <c r="Z352" s="55" t="n"/>
      <c r="AA352" s="55" t="n"/>
      <c r="AB352" s="55" t="n"/>
      <c r="AC352" s="55" t="n"/>
      <c r="AD352" s="55" t="n"/>
      <c r="AE352" s="55" t="n"/>
      <c r="AF352" s="55" t="n"/>
    </row>
    <row r="353" ht="16" customHeight="1" s="380">
      <c r="A353" s="55" t="n"/>
      <c r="B353" s="4" t="inlineStr">
        <is>
          <t>HNX04 (LK)</t>
        </is>
      </c>
      <c r="C353" s="216" t="n"/>
      <c r="D353" s="218" t="inlineStr">
        <is>
          <t>Cổ phiếu đăng ký giao dịch</t>
        </is>
      </c>
      <c r="E353" s="55" t="n"/>
      <c r="F353" s="4" t="inlineStr">
        <is>
          <t>Báo cáo</t>
        </is>
      </c>
      <c r="G353" s="22" t="inlineStr">
        <is>
          <t>Chỉ tiêu phái sinh</t>
        </is>
      </c>
      <c r="H353" s="4" t="inlineStr">
        <is>
          <t>TB</t>
        </is>
      </c>
      <c r="I353" s="55" t="inlineStr">
        <is>
          <t>CP đăng ký GD</t>
        </is>
      </c>
      <c r="J353" s="55" t="n"/>
      <c r="K353" s="55" t="n"/>
      <c r="L353" s="55" t="n"/>
      <c r="M353" s="55" t="n"/>
      <c r="N353" s="55" t="n"/>
      <c r="O353" s="55" t="n"/>
      <c r="P353" s="55" t="n"/>
      <c r="Q353" s="55" t="n"/>
      <c r="R353" s="55" t="n"/>
      <c r="S353" s="55" t="n"/>
      <c r="T353" s="55" t="n"/>
      <c r="U353" s="55" t="n"/>
      <c r="V353" s="55" t="n"/>
      <c r="W353" s="55" t="n"/>
      <c r="X353" s="55" t="n"/>
      <c r="Y353" s="55" t="n"/>
      <c r="Z353" s="55" t="n"/>
      <c r="AA353" s="55" t="n"/>
      <c r="AB353" s="55" t="n"/>
      <c r="AC353" s="55" t="n"/>
      <c r="AD353" s="55" t="n"/>
      <c r="AE353" s="55" t="n"/>
      <c r="AF353" s="55" t="n"/>
    </row>
    <row r="354" ht="16" customHeight="1" s="380">
      <c r="A354" s="55" t="n"/>
      <c r="B354" s="4" t="inlineStr">
        <is>
          <t>HNX04 (LK)</t>
        </is>
      </c>
      <c r="C354" s="216" t="n"/>
      <c r="D354" s="218" t="inlineStr">
        <is>
          <t>Trái phiếu Chính phủ</t>
        </is>
      </c>
      <c r="E354" s="55" t="n"/>
      <c r="F354" s="4" t="inlineStr">
        <is>
          <t>Báo cáo</t>
        </is>
      </c>
      <c r="G354" s="22" t="inlineStr">
        <is>
          <t>Chỉ tiêu phái sinh</t>
        </is>
      </c>
      <c r="H354" s="4" t="inlineStr">
        <is>
          <t>TB</t>
        </is>
      </c>
      <c r="I354" s="55" t="inlineStr">
        <is>
          <t>TPCP</t>
        </is>
      </c>
      <c r="J354" s="55" t="n"/>
      <c r="K354" s="55" t="n"/>
      <c r="L354" s="55" t="n"/>
      <c r="M354" s="55" t="n"/>
      <c r="N354" s="55" t="n"/>
      <c r="O354" s="55" t="n"/>
      <c r="P354" s="55" t="n"/>
      <c r="Q354" s="55" t="n"/>
      <c r="R354" s="55" t="n"/>
      <c r="S354" s="55" t="n"/>
      <c r="T354" s="55" t="n"/>
      <c r="U354" s="55" t="n"/>
      <c r="V354" s="55" t="n"/>
      <c r="W354" s="55" t="n"/>
      <c r="X354" s="55" t="n"/>
      <c r="Y354" s="55" t="n"/>
      <c r="Z354" s="55" t="n"/>
      <c r="AA354" s="55" t="n"/>
      <c r="AB354" s="55" t="n"/>
      <c r="AC354" s="55" t="n"/>
      <c r="AD354" s="55" t="n"/>
      <c r="AE354" s="55" t="n"/>
      <c r="AF354" s="55" t="n"/>
    </row>
    <row r="355" ht="16" customHeight="1" s="380">
      <c r="A355" s="55" t="n"/>
      <c r="B355" s="4" t="inlineStr">
        <is>
          <t>HNX04 (LK)</t>
        </is>
      </c>
      <c r="C355" s="216" t="n"/>
      <c r="D355" s="218" t="inlineStr">
        <is>
          <t>Tín phiếu kho bạc</t>
        </is>
      </c>
      <c r="E355" s="55" t="n"/>
      <c r="F355" s="4" t="inlineStr">
        <is>
          <t>Báo cáo</t>
        </is>
      </c>
      <c r="G355" s="22" t="inlineStr">
        <is>
          <t>Chỉ tiêu phái sinh</t>
        </is>
      </c>
      <c r="H355" s="4" t="inlineStr">
        <is>
          <t>TB</t>
        </is>
      </c>
      <c r="I355" s="55" t="inlineStr">
        <is>
          <t>Tín phiếu kho bạc</t>
        </is>
      </c>
      <c r="J355" s="55" t="n"/>
      <c r="K355" s="55" t="n"/>
      <c r="L355" s="55" t="n"/>
      <c r="M355" s="55" t="n"/>
      <c r="N355" s="55" t="n"/>
      <c r="O355" s="55" t="n"/>
      <c r="P355" s="55" t="n"/>
      <c r="Q355" s="55" t="n"/>
      <c r="R355" s="55" t="n"/>
      <c r="S355" s="55" t="n"/>
      <c r="T355" s="55" t="n"/>
      <c r="U355" s="55" t="n"/>
      <c r="V355" s="55" t="n"/>
      <c r="W355" s="55" t="n"/>
      <c r="X355" s="55" t="n"/>
      <c r="Y355" s="55" t="n"/>
      <c r="Z355" s="55" t="n"/>
      <c r="AA355" s="55" t="n"/>
      <c r="AB355" s="55" t="n"/>
      <c r="AC355" s="55" t="n"/>
      <c r="AD355" s="55" t="n"/>
      <c r="AE355" s="55" t="n"/>
      <c r="AF355" s="55" t="n"/>
    </row>
    <row r="356" ht="16.5" customHeight="1" s="380">
      <c r="A356" s="55" t="n"/>
      <c r="B356" s="4" t="inlineStr">
        <is>
          <t>HNX04 (LK)</t>
        </is>
      </c>
      <c r="C356" s="221" t="n"/>
      <c r="D356" s="222" t="inlineStr">
        <is>
          <t>Trong kỳ - Tăng/giảm so với kỳ trước (%)</t>
        </is>
      </c>
      <c r="E356" s="55" t="n"/>
      <c r="F356" s="4" t="inlineStr">
        <is>
          <t>Báo cáo</t>
        </is>
      </c>
      <c r="G356" s="55" t="inlineStr">
        <is>
          <t>Chiều</t>
        </is>
      </c>
      <c r="H356" s="55" t="n"/>
      <c r="I356" s="55" t="n"/>
      <c r="J356" s="55" t="n"/>
      <c r="K356" s="55" t="n"/>
      <c r="L356" s="55" t="n"/>
      <c r="M356" s="55" t="n"/>
      <c r="N356" s="55" t="n"/>
      <c r="O356" s="55" t="n"/>
      <c r="P356" s="55" t="n"/>
      <c r="Q356" s="55" t="n"/>
      <c r="R356" s="55" t="n"/>
      <c r="S356" s="55" t="n"/>
      <c r="T356" s="55" t="n"/>
      <c r="U356" s="55" t="n"/>
      <c r="V356" s="55" t="n"/>
      <c r="W356" s="55" t="n"/>
      <c r="X356" s="55" t="n"/>
      <c r="Y356" s="55" t="n"/>
      <c r="Z356" s="55" t="n"/>
      <c r="AA356" s="55" t="n"/>
      <c r="AB356" s="55" t="n"/>
      <c r="AC356" s="55" t="n"/>
      <c r="AD356" s="55" t="n"/>
      <c r="AE356" s="55" t="n"/>
      <c r="AF356" s="55" t="n"/>
    </row>
    <row r="357" ht="16.5" customHeight="1" s="380">
      <c r="A357" s="55" t="n"/>
      <c r="B357" s="4" t="inlineStr">
        <is>
          <t>HNX04 (LK)</t>
        </is>
      </c>
      <c r="C357" s="216" t="n"/>
      <c r="D357" s="218" t="inlineStr">
        <is>
          <t>GTGD (VND)</t>
        </is>
      </c>
      <c r="E357" s="55" t="n"/>
      <c r="F357" s="4" t="inlineStr">
        <is>
          <t>Báo cáo</t>
        </is>
      </c>
      <c r="G357" s="22" t="inlineStr">
        <is>
          <t>Chỉ tiêu phái sinh</t>
        </is>
      </c>
      <c r="H357" s="4" t="inlineStr">
        <is>
          <t>TB</t>
        </is>
      </c>
      <c r="I357" s="55" t="n"/>
      <c r="J357" s="55" t="n"/>
      <c r="K357" s="55" t="n"/>
      <c r="L357" s="55" t="n"/>
      <c r="M357" s="55" t="n"/>
      <c r="N357" s="55" t="n"/>
      <c r="O357" s="55" t="n"/>
      <c r="P357" s="55" t="n"/>
      <c r="Q357" s="55" t="n"/>
      <c r="R357" s="55" t="n"/>
      <c r="S357" s="55" t="n"/>
      <c r="T357" s="55" t="n"/>
      <c r="U357" s="55" t="n"/>
      <c r="V357" s="55" t="n"/>
      <c r="W357" s="55" t="n"/>
      <c r="X357" s="55" t="n"/>
      <c r="Y357" s="55" t="n"/>
      <c r="Z357" s="55" t="n"/>
      <c r="AA357" s="55" t="n"/>
      <c r="AB357" s="55" t="n"/>
      <c r="AC357" s="55" t="n"/>
      <c r="AD357" s="55" t="n"/>
      <c r="AE357" s="55" t="n"/>
      <c r="AF357" s="55" t="n"/>
    </row>
    <row r="358" ht="16.5" customHeight="1" s="380">
      <c r="A358" s="55" t="n"/>
      <c r="B358" s="4" t="inlineStr">
        <is>
          <t>HNX04 (LK)</t>
        </is>
      </c>
      <c r="C358" s="216" t="n"/>
      <c r="D358" s="218" t="inlineStr">
        <is>
          <t>Trái phiếu chính phủ</t>
        </is>
      </c>
      <c r="E358" s="55" t="n"/>
      <c r="F358" s="4" t="inlineStr">
        <is>
          <t>Báo cáo</t>
        </is>
      </c>
      <c r="G358" s="22" t="inlineStr">
        <is>
          <t>Chỉ tiêu phái sinh</t>
        </is>
      </c>
      <c r="H358" s="4" t="inlineStr">
        <is>
          <t>TB</t>
        </is>
      </c>
      <c r="I358" s="55" t="inlineStr">
        <is>
          <t>TPCP</t>
        </is>
      </c>
      <c r="J358" s="55" t="n"/>
      <c r="K358" s="55" t="n"/>
      <c r="L358" s="55" t="n"/>
      <c r="M358" s="55" t="n"/>
      <c r="N358" s="55" t="n"/>
      <c r="O358" s="55" t="n"/>
      <c r="P358" s="55" t="n"/>
      <c r="Q358" s="55" t="n"/>
      <c r="R358" s="55" t="n"/>
      <c r="S358" s="55" t="n"/>
      <c r="T358" s="55" t="n"/>
      <c r="U358" s="55" t="n"/>
      <c r="V358" s="55" t="n"/>
      <c r="W358" s="55" t="n"/>
      <c r="X358" s="55" t="n"/>
      <c r="Y358" s="55" t="n"/>
      <c r="Z358" s="55" t="n"/>
      <c r="AA358" s="55" t="n"/>
      <c r="AB358" s="55" t="n"/>
      <c r="AC358" s="55" t="n"/>
      <c r="AD358" s="55" t="n"/>
      <c r="AE358" s="55" t="n"/>
      <c r="AF358" s="55" t="n"/>
    </row>
    <row r="359" ht="16.5" customHeight="1" s="380">
      <c r="A359" s="55" t="n"/>
      <c r="B359" s="4" t="inlineStr">
        <is>
          <t>HNX04 (LK)</t>
        </is>
      </c>
      <c r="C359" s="216" t="n"/>
      <c r="D359" s="218" t="inlineStr">
        <is>
          <t>Trái phiếu chính quyền địa phương</t>
        </is>
      </c>
      <c r="E359" s="55" t="n"/>
      <c r="F359" s="4" t="inlineStr">
        <is>
          <t>Báo cáo</t>
        </is>
      </c>
      <c r="G359" s="22" t="inlineStr">
        <is>
          <t>Chỉ tiêu phái sinh</t>
        </is>
      </c>
      <c r="H359" s="4" t="inlineStr">
        <is>
          <t>TB</t>
        </is>
      </c>
      <c r="I359" s="55" t="inlineStr">
        <is>
          <t>TP Chính quyền ĐP</t>
        </is>
      </c>
      <c r="J359" s="55" t="n"/>
      <c r="K359" s="55" t="n"/>
      <c r="L359" s="55" t="n"/>
      <c r="M359" s="55" t="n"/>
      <c r="N359" s="55" t="n"/>
      <c r="O359" s="55" t="n"/>
      <c r="P359" s="55" t="n"/>
      <c r="Q359" s="55" t="n"/>
      <c r="R359" s="55" t="n"/>
      <c r="S359" s="55" t="n"/>
      <c r="T359" s="55" t="n"/>
      <c r="U359" s="55" t="n"/>
      <c r="V359" s="55" t="n"/>
      <c r="W359" s="55" t="n"/>
      <c r="X359" s="55" t="n"/>
      <c r="Y359" s="55" t="n"/>
      <c r="Z359" s="55" t="n"/>
      <c r="AA359" s="55" t="n"/>
      <c r="AB359" s="55" t="n"/>
      <c r="AC359" s="55" t="n"/>
      <c r="AD359" s="55" t="n"/>
      <c r="AE359" s="55" t="n"/>
      <c r="AF359" s="55" t="n"/>
    </row>
    <row r="360" ht="16.5" customHeight="1" s="380">
      <c r="A360" s="55" t="n"/>
      <c r="B360" s="4" t="inlineStr">
        <is>
          <t>HNX04 (LK)</t>
        </is>
      </c>
      <c r="C360" s="216" t="n"/>
      <c r="D360" s="218" t="inlineStr">
        <is>
          <t>Trái phiếu chính phủ bảo lãnh</t>
        </is>
      </c>
      <c r="E360" s="55" t="n"/>
      <c r="F360" s="4" t="inlineStr">
        <is>
          <t>Báo cáo</t>
        </is>
      </c>
      <c r="G360" s="22" t="inlineStr">
        <is>
          <t>Chỉ tiêu phái sinh</t>
        </is>
      </c>
      <c r="H360" s="4" t="inlineStr">
        <is>
          <t>TB</t>
        </is>
      </c>
      <c r="I360" s="55" t="inlineStr">
        <is>
          <t>TPCP bảo lãnh</t>
        </is>
      </c>
      <c r="J360" s="55" t="n"/>
      <c r="K360" s="55" t="n"/>
      <c r="L360" s="55" t="n"/>
      <c r="M360" s="55" t="n"/>
      <c r="N360" s="55" t="n"/>
      <c r="O360" s="55" t="n"/>
      <c r="P360" s="55" t="n"/>
      <c r="Q360" s="55" t="n"/>
      <c r="R360" s="55" t="n"/>
      <c r="S360" s="55" t="n"/>
      <c r="T360" s="55" t="n"/>
      <c r="U360" s="55" t="n"/>
      <c r="V360" s="55" t="n"/>
      <c r="W360" s="55" t="n"/>
      <c r="X360" s="55" t="n"/>
      <c r="Y360" s="55" t="n"/>
      <c r="Z360" s="55" t="n"/>
      <c r="AA360" s="55" t="n"/>
      <c r="AB360" s="55" t="n"/>
      <c r="AC360" s="55" t="n"/>
      <c r="AD360" s="55" t="n"/>
      <c r="AE360" s="55" t="n"/>
      <c r="AF360" s="55" t="n"/>
    </row>
    <row r="361" ht="16.5" customHeight="1" s="380">
      <c r="A361" s="55" t="n"/>
      <c r="B361" s="4" t="inlineStr">
        <is>
          <t>HNX04 (LK)</t>
        </is>
      </c>
      <c r="C361" s="216" t="n"/>
      <c r="D361" s="218" t="inlineStr">
        <is>
          <t>Tín phiếu kho bạc</t>
        </is>
      </c>
      <c r="E361" s="55" t="n"/>
      <c r="F361" s="4" t="inlineStr">
        <is>
          <t>Báo cáo</t>
        </is>
      </c>
      <c r="G361" s="22" t="inlineStr">
        <is>
          <t>Chỉ tiêu phái sinh</t>
        </is>
      </c>
      <c r="H361" s="4" t="inlineStr">
        <is>
          <t>TB</t>
        </is>
      </c>
      <c r="I361" s="55" t="inlineStr">
        <is>
          <t>Tín phiếu kho bạc</t>
        </is>
      </c>
      <c r="J361" s="55" t="n"/>
      <c r="K361" s="55" t="n"/>
      <c r="L361" s="55" t="n"/>
      <c r="M361" s="55" t="n"/>
      <c r="N361" s="55" t="n"/>
      <c r="O361" s="55" t="n"/>
      <c r="P361" s="55" t="n"/>
      <c r="Q361" s="55" t="n"/>
      <c r="R361" s="55" t="n"/>
      <c r="S361" s="55" t="n"/>
      <c r="T361" s="55" t="n"/>
      <c r="U361" s="55" t="n"/>
      <c r="V361" s="55" t="n"/>
      <c r="W361" s="55" t="n"/>
      <c r="X361" s="55" t="n"/>
      <c r="Y361" s="55" t="n"/>
      <c r="Z361" s="55" t="n"/>
      <c r="AA361" s="55" t="n"/>
      <c r="AB361" s="55" t="n"/>
      <c r="AC361" s="55" t="n"/>
      <c r="AD361" s="55" t="n"/>
      <c r="AE361" s="55" t="n"/>
      <c r="AF361" s="55" t="n"/>
    </row>
    <row r="362" ht="16.5" customHeight="1" s="380">
      <c r="A362" s="55" t="n"/>
      <c r="B362" s="4" t="inlineStr">
        <is>
          <t>HNX04 (LK)</t>
        </is>
      </c>
      <c r="C362" s="216" t="n"/>
      <c r="D362" s="218" t="inlineStr">
        <is>
          <t>KLGD (trái phiếu)</t>
        </is>
      </c>
      <c r="E362" s="55" t="n"/>
      <c r="F362" s="4" t="inlineStr">
        <is>
          <t>Báo cáo</t>
        </is>
      </c>
      <c r="G362" s="22" t="inlineStr">
        <is>
          <t>Chỉ tiêu phái sinh</t>
        </is>
      </c>
      <c r="H362" s="4" t="inlineStr">
        <is>
          <t>TB</t>
        </is>
      </c>
      <c r="I362" s="55" t="n"/>
      <c r="J362" s="55" t="n"/>
      <c r="K362" s="55" t="n"/>
      <c r="L362" s="55" t="n"/>
      <c r="M362" s="55" t="n"/>
      <c r="N362" s="55" t="n"/>
      <c r="O362" s="55" t="n"/>
      <c r="P362" s="55" t="n"/>
      <c r="Q362" s="55" t="n"/>
      <c r="R362" s="55" t="n"/>
      <c r="S362" s="55" t="n"/>
      <c r="T362" s="55" t="n"/>
      <c r="U362" s="55" t="n"/>
      <c r="V362" s="55" t="n"/>
      <c r="W362" s="55" t="n"/>
      <c r="X362" s="55" t="n"/>
      <c r="Y362" s="55" t="n"/>
      <c r="Z362" s="55" t="n"/>
      <c r="AA362" s="55" t="n"/>
      <c r="AB362" s="55" t="n"/>
      <c r="AC362" s="55" t="n"/>
      <c r="AD362" s="55" t="n"/>
      <c r="AE362" s="55" t="n"/>
      <c r="AF362" s="55" t="n"/>
    </row>
    <row r="363" ht="16.5" customHeight="1" s="380">
      <c r="A363" s="55" t="n"/>
      <c r="B363" s="4" t="inlineStr">
        <is>
          <t>HNX04 (LK)</t>
        </is>
      </c>
      <c r="C363" s="216" t="n"/>
      <c r="D363" s="218" t="inlineStr">
        <is>
          <t>Trái phiếu chính phủ</t>
        </is>
      </c>
      <c r="E363" s="55" t="n"/>
      <c r="F363" s="4" t="inlineStr">
        <is>
          <t>Báo cáo</t>
        </is>
      </c>
      <c r="G363" s="22" t="inlineStr">
        <is>
          <t>Chỉ tiêu phái sinh</t>
        </is>
      </c>
      <c r="H363" s="4" t="inlineStr">
        <is>
          <t>TB</t>
        </is>
      </c>
      <c r="I363" s="55" t="inlineStr">
        <is>
          <t>TPCP</t>
        </is>
      </c>
      <c r="J363" s="55" t="n"/>
      <c r="K363" s="55" t="n"/>
      <c r="L363" s="55" t="n"/>
      <c r="M363" s="55" t="n"/>
      <c r="N363" s="55" t="n"/>
      <c r="O363" s="55" t="n"/>
      <c r="P363" s="55" t="n"/>
      <c r="Q363" s="55" t="n"/>
      <c r="R363" s="55" t="n"/>
      <c r="S363" s="55" t="n"/>
      <c r="T363" s="55" t="n"/>
      <c r="U363" s="55" t="n"/>
      <c r="V363" s="55" t="n"/>
      <c r="W363" s="55" t="n"/>
      <c r="X363" s="55" t="n"/>
      <c r="Y363" s="55" t="n"/>
      <c r="Z363" s="55" t="n"/>
      <c r="AA363" s="55" t="n"/>
      <c r="AB363" s="55" t="n"/>
      <c r="AC363" s="55" t="n"/>
      <c r="AD363" s="55" t="n"/>
      <c r="AE363" s="55" t="n"/>
      <c r="AF363" s="55" t="n"/>
    </row>
    <row r="364" ht="16.5" customHeight="1" s="380">
      <c r="A364" s="55" t="n"/>
      <c r="B364" s="4" t="inlineStr">
        <is>
          <t>HNX04 (LK)</t>
        </is>
      </c>
      <c r="C364" s="216" t="n"/>
      <c r="D364" s="218" t="inlineStr">
        <is>
          <t>Trái phiếu chính quyền địa phương</t>
        </is>
      </c>
      <c r="E364" s="55" t="n"/>
      <c r="F364" s="4" t="inlineStr">
        <is>
          <t>Báo cáo</t>
        </is>
      </c>
      <c r="G364" s="22" t="inlineStr">
        <is>
          <t>Chỉ tiêu phái sinh</t>
        </is>
      </c>
      <c r="H364" s="4" t="inlineStr">
        <is>
          <t>TB</t>
        </is>
      </c>
      <c r="I364" s="55" t="inlineStr">
        <is>
          <t>TP Chính quyền ĐP</t>
        </is>
      </c>
      <c r="J364" s="55" t="n"/>
      <c r="K364" s="55" t="n"/>
      <c r="L364" s="55" t="n"/>
      <c r="M364" s="55" t="n"/>
      <c r="N364" s="55" t="n"/>
      <c r="O364" s="55" t="n"/>
      <c r="P364" s="55" t="n"/>
      <c r="Q364" s="55" t="n"/>
      <c r="R364" s="55" t="n"/>
      <c r="S364" s="55" t="n"/>
      <c r="T364" s="55" t="n"/>
      <c r="U364" s="55" t="n"/>
      <c r="V364" s="55" t="n"/>
      <c r="W364" s="55" t="n"/>
      <c r="X364" s="55" t="n"/>
      <c r="Y364" s="55" t="n"/>
      <c r="Z364" s="55" t="n"/>
      <c r="AA364" s="55" t="n"/>
      <c r="AB364" s="55" t="n"/>
      <c r="AC364" s="55" t="n"/>
      <c r="AD364" s="55" t="n"/>
      <c r="AE364" s="55" t="n"/>
      <c r="AF364" s="55" t="n"/>
    </row>
    <row r="365" ht="16.5" customHeight="1" s="380">
      <c r="A365" s="55" t="n"/>
      <c r="B365" s="4" t="inlineStr">
        <is>
          <t>HNX04 (LK)</t>
        </is>
      </c>
      <c r="C365" s="216" t="n"/>
      <c r="D365" s="218" t="inlineStr">
        <is>
          <t>Trái phiếu chính phủ bảo lãnh</t>
        </is>
      </c>
      <c r="E365" s="55" t="n"/>
      <c r="F365" s="4" t="inlineStr">
        <is>
          <t>Báo cáo</t>
        </is>
      </c>
      <c r="G365" s="22" t="inlineStr">
        <is>
          <t>Chỉ tiêu phái sinh</t>
        </is>
      </c>
      <c r="H365" s="4" t="inlineStr">
        <is>
          <t>TB</t>
        </is>
      </c>
      <c r="I365" s="55" t="inlineStr">
        <is>
          <t>TPCP bảo lãnh</t>
        </is>
      </c>
      <c r="J365" s="55" t="n"/>
      <c r="K365" s="55" t="n"/>
      <c r="L365" s="55" t="n"/>
      <c r="M365" s="55" t="n"/>
      <c r="N365" s="55" t="n"/>
      <c r="O365" s="55" t="n"/>
      <c r="P365" s="55" t="n"/>
      <c r="Q365" s="55" t="n"/>
      <c r="R365" s="55" t="n"/>
      <c r="S365" s="55" t="n"/>
      <c r="T365" s="55" t="n"/>
      <c r="U365" s="55" t="n"/>
      <c r="V365" s="55" t="n"/>
      <c r="W365" s="55" t="n"/>
      <c r="X365" s="55" t="n"/>
      <c r="Y365" s="55" t="n"/>
      <c r="Z365" s="55" t="n"/>
      <c r="AA365" s="55" t="n"/>
      <c r="AB365" s="55" t="n"/>
      <c r="AC365" s="55" t="n"/>
      <c r="AD365" s="55" t="n"/>
      <c r="AE365" s="55" t="n"/>
      <c r="AF365" s="55" t="n"/>
    </row>
    <row r="366" ht="16.5" customHeight="1" s="380">
      <c r="A366" s="55" t="n"/>
      <c r="B366" s="4" t="inlineStr">
        <is>
          <t>HNX04 (LK)</t>
        </is>
      </c>
      <c r="C366" s="216" t="n"/>
      <c r="D366" s="218" t="inlineStr">
        <is>
          <t>Tín phiếu kho bạc</t>
        </is>
      </c>
      <c r="E366" s="55" t="n"/>
      <c r="F366" s="4" t="inlineStr">
        <is>
          <t>Báo cáo</t>
        </is>
      </c>
      <c r="G366" s="22" t="inlineStr">
        <is>
          <t>Chỉ tiêu phái sinh</t>
        </is>
      </c>
      <c r="H366" s="4" t="inlineStr">
        <is>
          <t>TB</t>
        </is>
      </c>
      <c r="I366" s="55" t="inlineStr">
        <is>
          <t>Tín phiếu kho bạc</t>
        </is>
      </c>
      <c r="J366" s="55" t="n"/>
      <c r="K366" s="55" t="n"/>
      <c r="L366" s="55" t="n"/>
      <c r="M366" s="55" t="n"/>
      <c r="N366" s="55" t="n"/>
      <c r="O366" s="55" t="n"/>
      <c r="P366" s="55" t="n"/>
      <c r="Q366" s="55" t="n"/>
      <c r="R366" s="55" t="n"/>
      <c r="S366" s="55" t="n"/>
      <c r="T366" s="55" t="n"/>
      <c r="U366" s="55" t="n"/>
      <c r="V366" s="55" t="n"/>
      <c r="W366" s="55" t="n"/>
      <c r="X366" s="55" t="n"/>
      <c r="Y366" s="55" t="n"/>
      <c r="Z366" s="55" t="n"/>
      <c r="AA366" s="55" t="n"/>
      <c r="AB366" s="55" t="n"/>
      <c r="AC366" s="55" t="n"/>
      <c r="AD366" s="55" t="n"/>
      <c r="AE366" s="55" t="n"/>
      <c r="AF366" s="55" t="n"/>
    </row>
    <row r="367" ht="16.5" customHeight="1" s="380">
      <c r="A367" s="55" t="n"/>
      <c r="B367" s="4" t="inlineStr">
        <is>
          <t>HNX04 (LK)</t>
        </is>
      </c>
      <c r="C367" s="216" t="n"/>
      <c r="D367" s="218" t="inlineStr">
        <is>
          <t>Giá trị chứng khoán giao dịch (VND)</t>
        </is>
      </c>
      <c r="E367" s="55" t="n"/>
      <c r="F367" s="4" t="inlineStr">
        <is>
          <t>Báo cáo</t>
        </is>
      </c>
      <c r="G367" s="22" t="inlineStr">
        <is>
          <t>Chỉ tiêu phái sinh</t>
        </is>
      </c>
      <c r="H367" s="4" t="inlineStr">
        <is>
          <t>TB</t>
        </is>
      </c>
      <c r="I367" s="55" t="n"/>
      <c r="J367" s="55" t="n"/>
      <c r="K367" s="55" t="n"/>
      <c r="L367" s="55" t="n"/>
      <c r="M367" s="55" t="n"/>
      <c r="N367" s="55" t="n"/>
      <c r="O367" s="55" t="n"/>
      <c r="P367" s="55" t="n"/>
      <c r="Q367" s="55" t="n"/>
      <c r="R367" s="55" t="n"/>
      <c r="S367" s="55" t="n"/>
      <c r="T367" s="55" t="n"/>
      <c r="U367" s="55" t="n"/>
      <c r="V367" s="55" t="n"/>
      <c r="W367" s="55" t="n"/>
      <c r="X367" s="55" t="n"/>
      <c r="Y367" s="55" t="n"/>
      <c r="Z367" s="55" t="n"/>
      <c r="AA367" s="55" t="n"/>
      <c r="AB367" s="55" t="n"/>
      <c r="AC367" s="55" t="n"/>
      <c r="AD367" s="55" t="n"/>
      <c r="AE367" s="55" t="n"/>
      <c r="AF367" s="55" t="n"/>
    </row>
    <row r="368" ht="16.5" customHeight="1" s="380">
      <c r="A368" s="55" t="n"/>
      <c r="B368" s="4" t="inlineStr">
        <is>
          <t>HNX04 (LK)</t>
        </is>
      </c>
      <c r="C368" s="216" t="n"/>
      <c r="D368" s="218" t="inlineStr">
        <is>
          <t>Cổ phiếu niêm yết</t>
        </is>
      </c>
      <c r="E368" s="55" t="n"/>
      <c r="F368" s="4" t="inlineStr">
        <is>
          <t>Báo cáo</t>
        </is>
      </c>
      <c r="G368" s="22" t="inlineStr">
        <is>
          <t>Chỉ tiêu phái sinh</t>
        </is>
      </c>
      <c r="H368" s="4" t="inlineStr">
        <is>
          <t>TB</t>
        </is>
      </c>
      <c r="I368" s="55" t="inlineStr">
        <is>
          <t>CPNY</t>
        </is>
      </c>
      <c r="J368" s="55" t="n"/>
      <c r="K368" s="55" t="n"/>
      <c r="L368" s="55" t="n"/>
      <c r="M368" s="55" t="n"/>
      <c r="N368" s="55" t="n"/>
      <c r="O368" s="55" t="n"/>
      <c r="P368" s="55" t="n"/>
      <c r="Q368" s="55" t="n"/>
      <c r="R368" s="55" t="n"/>
      <c r="S368" s="55" t="n"/>
      <c r="T368" s="55" t="n"/>
      <c r="U368" s="55" t="n"/>
      <c r="V368" s="55" t="n"/>
      <c r="W368" s="55" t="n"/>
      <c r="X368" s="55" t="n"/>
      <c r="Y368" s="55" t="n"/>
      <c r="Z368" s="55" t="n"/>
      <c r="AA368" s="55" t="n"/>
      <c r="AB368" s="55" t="n"/>
      <c r="AC368" s="55" t="n"/>
      <c r="AD368" s="55" t="n"/>
      <c r="AE368" s="55" t="n"/>
      <c r="AF368" s="55" t="n"/>
    </row>
    <row r="369" ht="16.5" customHeight="1" s="380">
      <c r="A369" s="55" t="n"/>
      <c r="B369" s="4" t="inlineStr">
        <is>
          <t>HNX04 (LK)</t>
        </is>
      </c>
      <c r="C369" s="216" t="n"/>
      <c r="D369" s="218" t="inlineStr">
        <is>
          <t>Cổ phiếu đăng ký giao dịch</t>
        </is>
      </c>
      <c r="E369" s="55" t="n"/>
      <c r="F369" s="4" t="inlineStr">
        <is>
          <t>Báo cáo</t>
        </is>
      </c>
      <c r="G369" s="22" t="inlineStr">
        <is>
          <t>Chỉ tiêu phái sinh</t>
        </is>
      </c>
      <c r="H369" s="4" t="inlineStr">
        <is>
          <t>TB</t>
        </is>
      </c>
      <c r="I369" s="55" t="inlineStr">
        <is>
          <t>CP đăng ký GD</t>
        </is>
      </c>
      <c r="J369" s="55" t="n"/>
      <c r="K369" s="55" t="n"/>
      <c r="L369" s="55" t="n"/>
      <c r="M369" s="55" t="n"/>
      <c r="N369" s="55" t="n"/>
      <c r="O369" s="55" t="n"/>
      <c r="P369" s="55" t="n"/>
      <c r="Q369" s="55" t="n"/>
      <c r="R369" s="55" t="n"/>
      <c r="S369" s="55" t="n"/>
      <c r="T369" s="55" t="n"/>
      <c r="U369" s="55" t="n"/>
      <c r="V369" s="55" t="n"/>
      <c r="W369" s="55" t="n"/>
      <c r="X369" s="55" t="n"/>
      <c r="Y369" s="55" t="n"/>
      <c r="Z369" s="55" t="n"/>
      <c r="AA369" s="55" t="n"/>
      <c r="AB369" s="55" t="n"/>
      <c r="AC369" s="55" t="n"/>
      <c r="AD369" s="55" t="n"/>
      <c r="AE369" s="55" t="n"/>
      <c r="AF369" s="55" t="n"/>
    </row>
    <row r="370" ht="16.5" customHeight="1" s="380">
      <c r="A370" s="55" t="n"/>
      <c r="B370" s="4" t="inlineStr">
        <is>
          <t>HNX04 (LK)</t>
        </is>
      </c>
      <c r="C370" s="216" t="n"/>
      <c r="D370" s="218" t="inlineStr">
        <is>
          <t>Trái phiếu chính phủ</t>
        </is>
      </c>
      <c r="E370" s="55" t="n"/>
      <c r="F370" s="4" t="inlineStr">
        <is>
          <t>Báo cáo</t>
        </is>
      </c>
      <c r="G370" s="22" t="inlineStr">
        <is>
          <t>Chỉ tiêu phái sinh</t>
        </is>
      </c>
      <c r="H370" s="4" t="inlineStr">
        <is>
          <t>TB</t>
        </is>
      </c>
      <c r="I370" s="55" t="inlineStr">
        <is>
          <t>TPCP</t>
        </is>
      </c>
      <c r="J370" s="55" t="n"/>
      <c r="K370" s="55" t="n"/>
      <c r="L370" s="55" t="n"/>
      <c r="M370" s="55" t="n"/>
      <c r="N370" s="55" t="n"/>
      <c r="O370" s="55" t="n"/>
      <c r="P370" s="55" t="n"/>
      <c r="Q370" s="55" t="n"/>
      <c r="R370" s="55" t="n"/>
      <c r="S370" s="55" t="n"/>
      <c r="T370" s="55" t="n"/>
      <c r="U370" s="55" t="n"/>
      <c r="V370" s="55" t="n"/>
      <c r="W370" s="55" t="n"/>
      <c r="X370" s="55" t="n"/>
      <c r="Y370" s="55" t="n"/>
      <c r="Z370" s="55" t="n"/>
      <c r="AA370" s="55" t="n"/>
      <c r="AB370" s="55" t="n"/>
      <c r="AC370" s="55" t="n"/>
      <c r="AD370" s="55" t="n"/>
      <c r="AE370" s="55" t="n"/>
      <c r="AF370" s="55" t="n"/>
    </row>
    <row r="371" ht="16.5" customHeight="1" s="380">
      <c r="A371" s="55" t="n"/>
      <c r="B371" s="4" t="inlineStr">
        <is>
          <t>HNX04 (LK)</t>
        </is>
      </c>
      <c r="C371" s="216" t="n"/>
      <c r="D371" s="218" t="inlineStr">
        <is>
          <t>Trái phiếu chính quyền địa phương</t>
        </is>
      </c>
      <c r="E371" s="55" t="n"/>
      <c r="F371" s="4" t="inlineStr">
        <is>
          <t>Báo cáo</t>
        </is>
      </c>
      <c r="G371" s="22" t="inlineStr">
        <is>
          <t>Chỉ tiêu phái sinh</t>
        </is>
      </c>
      <c r="H371" s="4" t="inlineStr">
        <is>
          <t>TB</t>
        </is>
      </c>
      <c r="I371" s="55" t="inlineStr">
        <is>
          <t>TP Chính quyền ĐP</t>
        </is>
      </c>
      <c r="J371" s="55" t="n"/>
      <c r="K371" s="55" t="n"/>
      <c r="L371" s="55" t="n"/>
      <c r="M371" s="55" t="n"/>
      <c r="N371" s="55" t="n"/>
      <c r="O371" s="55" t="n"/>
      <c r="P371" s="55" t="n"/>
      <c r="Q371" s="55" t="n"/>
      <c r="R371" s="55" t="n"/>
      <c r="S371" s="55" t="n"/>
      <c r="T371" s="55" t="n"/>
      <c r="U371" s="55" t="n"/>
      <c r="V371" s="55" t="n"/>
      <c r="W371" s="55" t="n"/>
      <c r="X371" s="55" t="n"/>
      <c r="Y371" s="55" t="n"/>
      <c r="Z371" s="55" t="n"/>
      <c r="AA371" s="55" t="n"/>
      <c r="AB371" s="55" t="n"/>
      <c r="AC371" s="55" t="n"/>
      <c r="AD371" s="55" t="n"/>
      <c r="AE371" s="55" t="n"/>
      <c r="AF371" s="55" t="n"/>
    </row>
    <row r="372" ht="16.5" customHeight="1" s="380">
      <c r="A372" s="55" t="n"/>
      <c r="B372" s="4" t="inlineStr">
        <is>
          <t>HNX04 (LK)</t>
        </is>
      </c>
      <c r="C372" s="216" t="n"/>
      <c r="D372" s="223" t="inlineStr">
        <is>
          <t>Trái phiếu chính phủ bảo lãnh</t>
        </is>
      </c>
      <c r="E372" s="55" t="n"/>
      <c r="F372" s="4" t="inlineStr">
        <is>
          <t>Báo cáo</t>
        </is>
      </c>
      <c r="G372" s="22" t="inlineStr">
        <is>
          <t>Chỉ tiêu phái sinh</t>
        </is>
      </c>
      <c r="H372" s="4" t="inlineStr">
        <is>
          <t>TB</t>
        </is>
      </c>
      <c r="I372" s="55" t="inlineStr">
        <is>
          <t>TPCP bảo lãnh</t>
        </is>
      </c>
      <c r="J372" s="55" t="n"/>
      <c r="K372" s="55" t="n"/>
      <c r="L372" s="55" t="n"/>
      <c r="M372" s="55" t="n"/>
      <c r="N372" s="55" t="n"/>
      <c r="O372" s="55" t="n"/>
      <c r="P372" s="55" t="n"/>
      <c r="Q372" s="55" t="n"/>
      <c r="R372" s="55" t="n"/>
      <c r="S372" s="55" t="n"/>
      <c r="T372" s="55" t="n"/>
      <c r="U372" s="55" t="n"/>
      <c r="V372" s="55" t="n"/>
      <c r="W372" s="55" t="n"/>
      <c r="X372" s="55" t="n"/>
      <c r="Y372" s="55" t="n"/>
      <c r="Z372" s="55" t="n"/>
      <c r="AA372" s="55" t="n"/>
      <c r="AB372" s="55" t="n"/>
      <c r="AC372" s="55" t="n"/>
      <c r="AD372" s="55" t="n"/>
      <c r="AE372" s="55" t="n"/>
      <c r="AF372" s="55" t="n"/>
    </row>
    <row r="373" ht="16.5" customHeight="1" s="380">
      <c r="A373" s="55" t="n"/>
      <c r="B373" s="4" t="inlineStr">
        <is>
          <t>HNX04 (LK)</t>
        </is>
      </c>
      <c r="C373" s="216" t="n"/>
      <c r="D373" s="218" t="inlineStr">
        <is>
          <t>Trái phiếu doanh nghiệp</t>
        </is>
      </c>
      <c r="E373" s="55" t="n"/>
      <c r="F373" s="4" t="inlineStr">
        <is>
          <t>Báo cáo</t>
        </is>
      </c>
      <c r="G373" s="22" t="inlineStr">
        <is>
          <t>Chỉ tiêu phái sinh</t>
        </is>
      </c>
      <c r="H373" s="4" t="inlineStr">
        <is>
          <t>TB</t>
        </is>
      </c>
      <c r="I373" s="55" t="inlineStr">
        <is>
          <t>TPDN</t>
        </is>
      </c>
      <c r="J373" s="55" t="n"/>
      <c r="K373" s="55" t="n"/>
      <c r="L373" s="55" t="n"/>
      <c r="M373" s="55" t="n"/>
      <c r="N373" s="55" t="n"/>
      <c r="O373" s="55" t="n"/>
      <c r="P373" s="55" t="n"/>
      <c r="Q373" s="55" t="n"/>
      <c r="R373" s="55" t="n"/>
      <c r="S373" s="55" t="n"/>
      <c r="T373" s="55" t="n"/>
      <c r="U373" s="55" t="n"/>
      <c r="V373" s="55" t="n"/>
      <c r="W373" s="55" t="n"/>
      <c r="X373" s="55" t="n"/>
      <c r="Y373" s="55" t="n"/>
      <c r="Z373" s="55" t="n"/>
      <c r="AA373" s="55" t="n"/>
      <c r="AB373" s="55" t="n"/>
      <c r="AC373" s="55" t="n"/>
      <c r="AD373" s="55" t="n"/>
      <c r="AE373" s="55" t="n"/>
      <c r="AF373" s="55" t="n"/>
    </row>
    <row r="374" ht="16.5" customHeight="1" s="380">
      <c r="A374" s="55" t="n"/>
      <c r="B374" s="4" t="inlineStr">
        <is>
          <t>HNX04 (LK)</t>
        </is>
      </c>
      <c r="C374" s="216" t="n"/>
      <c r="D374" s="218" t="inlineStr">
        <is>
          <t>Tín phiếu kho bạc</t>
        </is>
      </c>
      <c r="E374" s="55" t="n"/>
      <c r="F374" s="4" t="inlineStr">
        <is>
          <t>Báo cáo</t>
        </is>
      </c>
      <c r="G374" s="22" t="inlineStr">
        <is>
          <t>Chỉ tiêu phái sinh</t>
        </is>
      </c>
      <c r="H374" s="4" t="inlineStr">
        <is>
          <t>TB</t>
        </is>
      </c>
      <c r="I374" s="55" t="inlineStr">
        <is>
          <t>Tín phiếu kho bạc</t>
        </is>
      </c>
      <c r="J374" s="55" t="n"/>
      <c r="K374" s="55" t="n"/>
      <c r="L374" s="55" t="n"/>
      <c r="M374" s="55" t="n"/>
      <c r="N374" s="55" t="n"/>
      <c r="O374" s="55" t="n"/>
      <c r="P374" s="55" t="n"/>
      <c r="Q374" s="55" t="n"/>
      <c r="R374" s="55" t="n"/>
      <c r="S374" s="55" t="n"/>
      <c r="T374" s="55" t="n"/>
      <c r="U374" s="55" t="n"/>
      <c r="V374" s="55" t="n"/>
      <c r="W374" s="55" t="n"/>
      <c r="X374" s="55" t="n"/>
      <c r="Y374" s="55" t="n"/>
      <c r="Z374" s="55" t="n"/>
      <c r="AA374" s="55" t="n"/>
      <c r="AB374" s="55" t="n"/>
      <c r="AC374" s="55" t="n"/>
      <c r="AD374" s="55" t="n"/>
      <c r="AE374" s="55" t="n"/>
      <c r="AF374" s="55" t="n"/>
    </row>
    <row r="375" ht="16.5" customHeight="1" s="380">
      <c r="A375" s="55" t="n"/>
      <c r="B375" s="4" t="inlineStr">
        <is>
          <t>HNX04 (LK)</t>
        </is>
      </c>
      <c r="C375" s="216" t="n"/>
      <c r="D375" s="218" t="inlineStr">
        <is>
          <t>Chứng chỉ quỹ (ETF)</t>
        </is>
      </c>
      <c r="E375" s="55" t="n"/>
      <c r="F375" s="4" t="inlineStr">
        <is>
          <t>Báo cáo</t>
        </is>
      </c>
      <c r="G375" s="22" t="inlineStr">
        <is>
          <t>Chỉ tiêu phái sinh</t>
        </is>
      </c>
      <c r="H375" s="4" t="inlineStr">
        <is>
          <t>TB</t>
        </is>
      </c>
      <c r="I375" s="55" t="inlineStr">
        <is>
          <t>ETF</t>
        </is>
      </c>
      <c r="J375" s="55" t="n"/>
      <c r="K375" s="55" t="n"/>
      <c r="L375" s="55" t="n"/>
      <c r="M375" s="55" t="n"/>
      <c r="N375" s="55" t="n"/>
      <c r="O375" s="55" t="n"/>
      <c r="P375" s="55" t="n"/>
      <c r="Q375" s="55" t="n"/>
      <c r="R375" s="55" t="n"/>
      <c r="S375" s="55" t="n"/>
      <c r="T375" s="55" t="n"/>
      <c r="U375" s="55" t="n"/>
      <c r="V375" s="55" t="n"/>
      <c r="W375" s="55" t="n"/>
      <c r="X375" s="55" t="n"/>
      <c r="Y375" s="55" t="n"/>
      <c r="Z375" s="55" t="n"/>
      <c r="AA375" s="55" t="n"/>
      <c r="AB375" s="55" t="n"/>
      <c r="AC375" s="55" t="n"/>
      <c r="AD375" s="55" t="n"/>
      <c r="AE375" s="55" t="n"/>
      <c r="AF375" s="55" t="n"/>
    </row>
    <row r="376" ht="16.5" customHeight="1" s="380">
      <c r="A376" s="55" t="n"/>
      <c r="B376" s="4" t="inlineStr">
        <is>
          <t>HNX04 (LK)</t>
        </is>
      </c>
      <c r="C376" s="216" t="n"/>
      <c r="D376" s="218" t="inlineStr">
        <is>
          <t>Khối lượng chứng khoán giao dịch (chứng khoán)</t>
        </is>
      </c>
      <c r="E376" s="55" t="n"/>
      <c r="F376" s="4" t="inlineStr">
        <is>
          <t>Báo cáo</t>
        </is>
      </c>
      <c r="G376" s="22" t="inlineStr">
        <is>
          <t>Chỉ tiêu phái sinh</t>
        </is>
      </c>
      <c r="H376" s="4" t="inlineStr">
        <is>
          <t>TB</t>
        </is>
      </c>
      <c r="I376" s="55" t="n"/>
      <c r="J376" s="55" t="n"/>
      <c r="K376" s="55" t="n"/>
      <c r="L376" s="55" t="n"/>
      <c r="M376" s="55" t="n"/>
      <c r="N376" s="55" t="n"/>
      <c r="O376" s="55" t="n"/>
      <c r="P376" s="55" t="n"/>
      <c r="Q376" s="55" t="n"/>
      <c r="R376" s="55" t="n"/>
      <c r="S376" s="55" t="n"/>
      <c r="T376" s="55" t="n"/>
      <c r="U376" s="55" t="n"/>
      <c r="V376" s="55" t="n"/>
      <c r="W376" s="55" t="n"/>
      <c r="X376" s="55" t="n"/>
      <c r="Y376" s="55" t="n"/>
      <c r="Z376" s="55" t="n"/>
      <c r="AA376" s="55" t="n"/>
      <c r="AB376" s="55" t="n"/>
      <c r="AC376" s="55" t="n"/>
      <c r="AD376" s="55" t="n"/>
      <c r="AE376" s="55" t="n"/>
      <c r="AF376" s="55" t="n"/>
    </row>
    <row r="377" ht="16.5" customHeight="1" s="380">
      <c r="A377" s="55" t="n"/>
      <c r="B377" s="4" t="inlineStr">
        <is>
          <t>HNX04 (LK)</t>
        </is>
      </c>
      <c r="C377" s="216" t="n"/>
      <c r="D377" s="218" t="inlineStr">
        <is>
          <t>Cổ phiếu niêm yết</t>
        </is>
      </c>
      <c r="E377" s="55" t="n"/>
      <c r="F377" s="4" t="inlineStr">
        <is>
          <t>Báo cáo</t>
        </is>
      </c>
      <c r="G377" s="22" t="inlineStr">
        <is>
          <t>Chỉ tiêu phái sinh</t>
        </is>
      </c>
      <c r="H377" s="4" t="inlineStr">
        <is>
          <t>TB</t>
        </is>
      </c>
      <c r="I377" s="55" t="inlineStr">
        <is>
          <t>CPNY</t>
        </is>
      </c>
      <c r="J377" s="55" t="n"/>
      <c r="K377" s="55" t="n"/>
      <c r="L377" s="55" t="n"/>
      <c r="M377" s="55" t="n"/>
      <c r="N377" s="55" t="n"/>
      <c r="O377" s="55" t="n"/>
      <c r="P377" s="55" t="n"/>
      <c r="Q377" s="55" t="n"/>
      <c r="R377" s="55" t="n"/>
      <c r="S377" s="55" t="n"/>
      <c r="T377" s="55" t="n"/>
      <c r="U377" s="55" t="n"/>
      <c r="V377" s="55" t="n"/>
      <c r="W377" s="55" t="n"/>
      <c r="X377" s="55" t="n"/>
      <c r="Y377" s="55" t="n"/>
      <c r="Z377" s="55" t="n"/>
      <c r="AA377" s="55" t="n"/>
      <c r="AB377" s="55" t="n"/>
      <c r="AC377" s="55" t="n"/>
      <c r="AD377" s="55" t="n"/>
      <c r="AE377" s="55" t="n"/>
      <c r="AF377" s="55" t="n"/>
    </row>
    <row r="378" ht="16.5" customHeight="1" s="380">
      <c r="A378" s="55" t="n"/>
      <c r="B378" s="4" t="inlineStr">
        <is>
          <t>HNX04 (LK)</t>
        </is>
      </c>
      <c r="C378" s="216" t="n"/>
      <c r="D378" s="218" t="inlineStr">
        <is>
          <t>Cổ phiếu đăng ký giao dịch</t>
        </is>
      </c>
      <c r="E378" s="55" t="n"/>
      <c r="F378" s="4" t="inlineStr">
        <is>
          <t>Báo cáo</t>
        </is>
      </c>
      <c r="G378" s="22" t="inlineStr">
        <is>
          <t>Chỉ tiêu phái sinh</t>
        </is>
      </c>
      <c r="H378" s="4" t="inlineStr">
        <is>
          <t>TB</t>
        </is>
      </c>
      <c r="I378" s="55" t="inlineStr">
        <is>
          <t>CP đăng ký GD</t>
        </is>
      </c>
      <c r="J378" s="55" t="n"/>
      <c r="K378" s="55" t="n"/>
      <c r="L378" s="55" t="n"/>
      <c r="M378" s="55" t="n"/>
      <c r="N378" s="55" t="n"/>
      <c r="O378" s="55" t="n"/>
      <c r="P378" s="55" t="n"/>
      <c r="Q378" s="55" t="n"/>
      <c r="R378" s="55" t="n"/>
      <c r="S378" s="55" t="n"/>
      <c r="T378" s="55" t="n"/>
      <c r="U378" s="55" t="n"/>
      <c r="V378" s="55" t="n"/>
      <c r="W378" s="55" t="n"/>
      <c r="X378" s="55" t="n"/>
      <c r="Y378" s="55" t="n"/>
      <c r="Z378" s="55" t="n"/>
      <c r="AA378" s="55" t="n"/>
      <c r="AB378" s="55" t="n"/>
      <c r="AC378" s="55" t="n"/>
      <c r="AD378" s="55" t="n"/>
      <c r="AE378" s="55" t="n"/>
      <c r="AF378" s="55" t="n"/>
    </row>
    <row r="379" ht="16.5" customHeight="1" s="380">
      <c r="A379" s="55" t="n"/>
      <c r="B379" s="4" t="inlineStr">
        <is>
          <t>HNX04 (LK)</t>
        </is>
      </c>
      <c r="C379" s="216" t="n"/>
      <c r="D379" s="218" t="inlineStr">
        <is>
          <t>Trái phiếu chính phủ</t>
        </is>
      </c>
      <c r="E379" s="55" t="n"/>
      <c r="F379" s="4" t="inlineStr">
        <is>
          <t>Báo cáo</t>
        </is>
      </c>
      <c r="G379" s="22" t="inlineStr">
        <is>
          <t>Chỉ tiêu phái sinh</t>
        </is>
      </c>
      <c r="H379" s="4" t="inlineStr">
        <is>
          <t>TB</t>
        </is>
      </c>
      <c r="I379" s="55" t="inlineStr">
        <is>
          <t>TPCP</t>
        </is>
      </c>
      <c r="J379" s="55" t="n"/>
      <c r="K379" s="55" t="n"/>
      <c r="L379" s="55" t="n"/>
      <c r="M379" s="55" t="n"/>
      <c r="N379" s="55" t="n"/>
      <c r="O379" s="55" t="n"/>
      <c r="P379" s="55" t="n"/>
      <c r="Q379" s="55" t="n"/>
      <c r="R379" s="55" t="n"/>
      <c r="S379" s="55" t="n"/>
      <c r="T379" s="55" t="n"/>
      <c r="U379" s="55" t="n"/>
      <c r="V379" s="55" t="n"/>
      <c r="W379" s="55" t="n"/>
      <c r="X379" s="55" t="n"/>
      <c r="Y379" s="55" t="n"/>
      <c r="Z379" s="55" t="n"/>
      <c r="AA379" s="55" t="n"/>
      <c r="AB379" s="55" t="n"/>
      <c r="AC379" s="55" t="n"/>
      <c r="AD379" s="55" t="n"/>
      <c r="AE379" s="55" t="n"/>
      <c r="AF379" s="55" t="n"/>
    </row>
    <row r="380" ht="16.5" customHeight="1" s="380">
      <c r="A380" s="55" t="n"/>
      <c r="B380" s="4" t="inlineStr">
        <is>
          <t>HNX04 (LK)</t>
        </is>
      </c>
      <c r="C380" s="216" t="n"/>
      <c r="D380" s="218" t="inlineStr">
        <is>
          <t>Trái phiếu chính quyền địa phương</t>
        </is>
      </c>
      <c r="E380" s="55" t="n"/>
      <c r="F380" s="4" t="inlineStr">
        <is>
          <t>Báo cáo</t>
        </is>
      </c>
      <c r="G380" s="22" t="inlineStr">
        <is>
          <t>Chỉ tiêu phái sinh</t>
        </is>
      </c>
      <c r="H380" s="4" t="inlineStr">
        <is>
          <t>TB</t>
        </is>
      </c>
      <c r="I380" s="55" t="inlineStr">
        <is>
          <t>TP Chính quyền ĐP</t>
        </is>
      </c>
      <c r="J380" s="55" t="n"/>
      <c r="K380" s="55" t="n"/>
      <c r="L380" s="55" t="n"/>
      <c r="M380" s="55" t="n"/>
      <c r="N380" s="55" t="n"/>
      <c r="O380" s="55" t="n"/>
      <c r="P380" s="55" t="n"/>
      <c r="Q380" s="55" t="n"/>
      <c r="R380" s="55" t="n"/>
      <c r="S380" s="55" t="n"/>
      <c r="T380" s="55" t="n"/>
      <c r="U380" s="55" t="n"/>
      <c r="V380" s="55" t="n"/>
      <c r="W380" s="55" t="n"/>
      <c r="X380" s="55" t="n"/>
      <c r="Y380" s="55" t="n"/>
      <c r="Z380" s="55" t="n"/>
      <c r="AA380" s="55" t="n"/>
      <c r="AB380" s="55" t="n"/>
      <c r="AC380" s="55" t="n"/>
      <c r="AD380" s="55" t="n"/>
      <c r="AE380" s="55" t="n"/>
      <c r="AF380" s="55" t="n"/>
    </row>
    <row r="381" ht="16.5" customHeight="1" s="380">
      <c r="A381" s="55" t="n"/>
      <c r="B381" s="4" t="inlineStr">
        <is>
          <t>HNX04 (LK)</t>
        </is>
      </c>
      <c r="C381" s="216" t="n"/>
      <c r="D381" s="218" t="inlineStr">
        <is>
          <t>Trái phiếu chính phủ bảo lãnh</t>
        </is>
      </c>
      <c r="E381" s="55" t="n"/>
      <c r="F381" s="4" t="inlineStr">
        <is>
          <t>Báo cáo</t>
        </is>
      </c>
      <c r="G381" s="22" t="inlineStr">
        <is>
          <t>Chỉ tiêu phái sinh</t>
        </is>
      </c>
      <c r="H381" s="4" t="inlineStr">
        <is>
          <t>TB</t>
        </is>
      </c>
      <c r="I381" s="55" t="inlineStr">
        <is>
          <t>TPCP bảo lãnh</t>
        </is>
      </c>
      <c r="J381" s="55" t="n"/>
      <c r="K381" s="55" t="n"/>
      <c r="L381" s="55" t="n"/>
      <c r="M381" s="55" t="n"/>
      <c r="N381" s="55" t="n"/>
      <c r="O381" s="55" t="n"/>
      <c r="P381" s="55" t="n"/>
      <c r="Q381" s="55" t="n"/>
      <c r="R381" s="55" t="n"/>
      <c r="S381" s="55" t="n"/>
      <c r="T381" s="55" t="n"/>
      <c r="U381" s="55" t="n"/>
      <c r="V381" s="55" t="n"/>
      <c r="W381" s="55" t="n"/>
      <c r="X381" s="55" t="n"/>
      <c r="Y381" s="55" t="n"/>
      <c r="Z381" s="55" t="n"/>
      <c r="AA381" s="55" t="n"/>
      <c r="AB381" s="55" t="n"/>
      <c r="AC381" s="55" t="n"/>
      <c r="AD381" s="55" t="n"/>
      <c r="AE381" s="55" t="n"/>
      <c r="AF381" s="55" t="n"/>
    </row>
    <row r="382" ht="16.5" customHeight="1" s="380">
      <c r="A382" s="55" t="n"/>
      <c r="B382" s="4" t="inlineStr">
        <is>
          <t>HNX04 (LK)</t>
        </is>
      </c>
      <c r="C382" s="216" t="n"/>
      <c r="D382" s="218" t="inlineStr">
        <is>
          <t>Trái phiếu doanh nghiệp</t>
        </is>
      </c>
      <c r="E382" s="55" t="n"/>
      <c r="F382" s="4" t="inlineStr">
        <is>
          <t>Báo cáo</t>
        </is>
      </c>
      <c r="G382" s="22" t="inlineStr">
        <is>
          <t>Chỉ tiêu phái sinh</t>
        </is>
      </c>
      <c r="H382" s="4" t="inlineStr">
        <is>
          <t>TB</t>
        </is>
      </c>
      <c r="I382" s="55" t="inlineStr">
        <is>
          <t>TPDN</t>
        </is>
      </c>
      <c r="J382" s="55" t="n"/>
      <c r="K382" s="55" t="n"/>
      <c r="L382" s="55" t="n"/>
      <c r="M382" s="55" t="n"/>
      <c r="N382" s="55" t="n"/>
      <c r="O382" s="55" t="n"/>
      <c r="P382" s="55" t="n"/>
      <c r="Q382" s="55" t="n"/>
      <c r="R382" s="55" t="n"/>
      <c r="S382" s="55" t="n"/>
      <c r="T382" s="55" t="n"/>
      <c r="U382" s="55" t="n"/>
      <c r="V382" s="55" t="n"/>
      <c r="W382" s="55" t="n"/>
      <c r="X382" s="55" t="n"/>
      <c r="Y382" s="55" t="n"/>
      <c r="Z382" s="55" t="n"/>
      <c r="AA382" s="55" t="n"/>
      <c r="AB382" s="55" t="n"/>
      <c r="AC382" s="55" t="n"/>
      <c r="AD382" s="55" t="n"/>
      <c r="AE382" s="55" t="n"/>
      <c r="AF382" s="55" t="n"/>
    </row>
    <row r="383" ht="16.5" customHeight="1" s="380">
      <c r="A383" s="55" t="n"/>
      <c r="B383" s="4" t="inlineStr">
        <is>
          <t>HNX04 (LK)</t>
        </is>
      </c>
      <c r="C383" s="216" t="n"/>
      <c r="D383" s="218" t="inlineStr">
        <is>
          <t>Tín phiếu kho bạc</t>
        </is>
      </c>
      <c r="E383" s="55" t="n"/>
      <c r="F383" s="4" t="inlineStr">
        <is>
          <t>Báo cáo</t>
        </is>
      </c>
      <c r="G383" s="22" t="inlineStr">
        <is>
          <t>Chỉ tiêu phái sinh</t>
        </is>
      </c>
      <c r="H383" s="4" t="inlineStr">
        <is>
          <t>TB</t>
        </is>
      </c>
      <c r="I383" s="55" t="inlineStr">
        <is>
          <t>Tín phiếu kho bạc</t>
        </is>
      </c>
      <c r="J383" s="55" t="n"/>
      <c r="K383" s="55" t="n"/>
      <c r="L383" s="55" t="n"/>
      <c r="M383" s="55" t="n"/>
      <c r="N383" s="55" t="n"/>
      <c r="O383" s="55" t="n"/>
      <c r="P383" s="55" t="n"/>
      <c r="Q383" s="55" t="n"/>
      <c r="R383" s="55" t="n"/>
      <c r="S383" s="55" t="n"/>
      <c r="T383" s="55" t="n"/>
      <c r="U383" s="55" t="n"/>
      <c r="V383" s="55" t="n"/>
      <c r="W383" s="55" t="n"/>
      <c r="X383" s="55" t="n"/>
      <c r="Y383" s="55" t="n"/>
      <c r="Z383" s="55" t="n"/>
      <c r="AA383" s="55" t="n"/>
      <c r="AB383" s="55" t="n"/>
      <c r="AC383" s="55" t="n"/>
      <c r="AD383" s="55" t="n"/>
      <c r="AE383" s="55" t="n"/>
      <c r="AF383" s="55" t="n"/>
    </row>
    <row r="384" ht="16.5" customHeight="1" s="380">
      <c r="A384" s="55" t="n"/>
      <c r="B384" s="4" t="inlineStr">
        <is>
          <t>HNX04 (LK)</t>
        </is>
      </c>
      <c r="C384" s="216" t="n"/>
      <c r="D384" s="218" t="inlineStr">
        <is>
          <t>Chứng chỉ quỹ (ETF)</t>
        </is>
      </c>
      <c r="E384" s="55" t="n"/>
      <c r="F384" s="4" t="inlineStr">
        <is>
          <t>Báo cáo</t>
        </is>
      </c>
      <c r="G384" s="22" t="inlineStr">
        <is>
          <t>Chỉ tiêu phái sinh</t>
        </is>
      </c>
      <c r="H384" s="4" t="inlineStr">
        <is>
          <t>TB</t>
        </is>
      </c>
      <c r="I384" s="55" t="inlineStr">
        <is>
          <t>ETF</t>
        </is>
      </c>
      <c r="J384" s="55" t="n"/>
      <c r="K384" s="55" t="n"/>
      <c r="L384" s="55" t="n"/>
      <c r="M384" s="55" t="n"/>
      <c r="N384" s="55" t="n"/>
      <c r="O384" s="55" t="n"/>
      <c r="P384" s="55" t="n"/>
      <c r="Q384" s="55" t="n"/>
      <c r="R384" s="55" t="n"/>
      <c r="S384" s="55" t="n"/>
      <c r="T384" s="55" t="n"/>
      <c r="U384" s="55" t="n"/>
      <c r="V384" s="55" t="n"/>
      <c r="W384" s="55" t="n"/>
      <c r="X384" s="55" t="n"/>
      <c r="Y384" s="55" t="n"/>
      <c r="Z384" s="55" t="n"/>
      <c r="AA384" s="55" t="n"/>
      <c r="AB384" s="55" t="n"/>
      <c r="AC384" s="55" t="n"/>
      <c r="AD384" s="55" t="n"/>
      <c r="AE384" s="55" t="n"/>
      <c r="AF384" s="55" t="n"/>
    </row>
    <row r="385" ht="16.5" customHeight="1" s="380">
      <c r="A385" s="55" t="n"/>
      <c r="B385" s="4" t="inlineStr">
        <is>
          <t>HNX04 (LK)</t>
        </is>
      </c>
      <c r="C385" s="216" t="n"/>
      <c r="D385" s="218" t="inlineStr">
        <is>
          <t>Chứng khoán niêm yết mới (mã chứng khoán)</t>
        </is>
      </c>
      <c r="E385" s="55" t="n"/>
      <c r="F385" s="4" t="inlineStr">
        <is>
          <t>Báo cáo</t>
        </is>
      </c>
      <c r="G385" s="22" t="inlineStr">
        <is>
          <t>Chỉ tiêu phái sinh</t>
        </is>
      </c>
      <c r="H385" s="4" t="inlineStr">
        <is>
          <t>TB</t>
        </is>
      </c>
      <c r="I385" s="55" t="n"/>
      <c r="J385" s="55" t="n"/>
      <c r="K385" s="55" t="n"/>
      <c r="L385" s="55" t="n"/>
      <c r="M385" s="55" t="n"/>
      <c r="N385" s="55" t="n"/>
      <c r="O385" s="55" t="n"/>
      <c r="P385" s="55" t="n"/>
      <c r="Q385" s="55" t="n"/>
      <c r="R385" s="55" t="n"/>
      <c r="S385" s="55" t="n"/>
      <c r="T385" s="55" t="n"/>
      <c r="U385" s="55" t="n"/>
      <c r="V385" s="55" t="n"/>
      <c r="W385" s="55" t="n"/>
      <c r="X385" s="55" t="n"/>
      <c r="Y385" s="55" t="n"/>
      <c r="Z385" s="55" t="n"/>
      <c r="AA385" s="55" t="n"/>
      <c r="AB385" s="55" t="n"/>
      <c r="AC385" s="55" t="n"/>
      <c r="AD385" s="55" t="n"/>
      <c r="AE385" s="55" t="n"/>
      <c r="AF385" s="55" t="n"/>
    </row>
    <row r="386" ht="16.5" customHeight="1" s="380">
      <c r="A386" s="55" t="n"/>
      <c r="B386" s="4" t="inlineStr">
        <is>
          <t>HNX04 (LK)</t>
        </is>
      </c>
      <c r="C386" s="216" t="n"/>
      <c r="D386" s="218" t="inlineStr">
        <is>
          <t>Cổ phiếu niêm yết</t>
        </is>
      </c>
      <c r="E386" s="55" t="n"/>
      <c r="F386" s="4" t="inlineStr">
        <is>
          <t>Báo cáo</t>
        </is>
      </c>
      <c r="G386" s="22" t="inlineStr">
        <is>
          <t>Chỉ tiêu phái sinh</t>
        </is>
      </c>
      <c r="H386" s="4" t="inlineStr">
        <is>
          <t>TB</t>
        </is>
      </c>
      <c r="I386" s="55" t="inlineStr">
        <is>
          <t>CPNY</t>
        </is>
      </c>
      <c r="J386" s="55" t="n"/>
      <c r="K386" s="55" t="n"/>
      <c r="L386" s="55" t="n"/>
      <c r="M386" s="55" t="n"/>
      <c r="N386" s="55" t="n"/>
      <c r="O386" s="55" t="n"/>
      <c r="P386" s="55" t="n"/>
      <c r="Q386" s="55" t="n"/>
      <c r="R386" s="55" t="n"/>
      <c r="S386" s="55" t="n"/>
      <c r="T386" s="55" t="n"/>
      <c r="U386" s="55" t="n"/>
      <c r="V386" s="55" t="n"/>
      <c r="W386" s="55" t="n"/>
      <c r="X386" s="55" t="n"/>
      <c r="Y386" s="55" t="n"/>
      <c r="Z386" s="55" t="n"/>
      <c r="AA386" s="55" t="n"/>
      <c r="AB386" s="55" t="n"/>
      <c r="AC386" s="55" t="n"/>
      <c r="AD386" s="55" t="n"/>
      <c r="AE386" s="55" t="n"/>
      <c r="AF386" s="55" t="n"/>
    </row>
    <row r="387" ht="16.5" customHeight="1" s="380">
      <c r="A387" s="55" t="n"/>
      <c r="B387" s="4" t="inlineStr">
        <is>
          <t>HNX04 (LK)</t>
        </is>
      </c>
      <c r="C387" s="216" t="n"/>
      <c r="D387" s="218" t="inlineStr">
        <is>
          <t>Cổ phiếu đăng ký giao dịch</t>
        </is>
      </c>
      <c r="E387" s="55" t="n"/>
      <c r="F387" s="4" t="inlineStr">
        <is>
          <t>Báo cáo</t>
        </is>
      </c>
      <c r="G387" s="22" t="inlineStr">
        <is>
          <t>Chỉ tiêu phái sinh</t>
        </is>
      </c>
      <c r="H387" s="4" t="inlineStr">
        <is>
          <t>TB</t>
        </is>
      </c>
      <c r="I387" s="55" t="inlineStr">
        <is>
          <t>CP đăng ký GD</t>
        </is>
      </c>
      <c r="J387" s="55" t="n"/>
      <c r="K387" s="55" t="n"/>
      <c r="L387" s="55" t="n"/>
      <c r="M387" s="55" t="n"/>
      <c r="N387" s="55" t="n"/>
      <c r="O387" s="55" t="n"/>
      <c r="P387" s="55" t="n"/>
      <c r="Q387" s="55" t="n"/>
      <c r="R387" s="55" t="n"/>
      <c r="S387" s="55" t="n"/>
      <c r="T387" s="55" t="n"/>
      <c r="U387" s="55" t="n"/>
      <c r="V387" s="55" t="n"/>
      <c r="W387" s="55" t="n"/>
      <c r="X387" s="55" t="n"/>
      <c r="Y387" s="55" t="n"/>
      <c r="Z387" s="55" t="n"/>
      <c r="AA387" s="55" t="n"/>
      <c r="AB387" s="55" t="n"/>
      <c r="AC387" s="55" t="n"/>
      <c r="AD387" s="55" t="n"/>
      <c r="AE387" s="55" t="n"/>
      <c r="AF387" s="55" t="n"/>
    </row>
    <row r="388" ht="16.5" customHeight="1" s="380">
      <c r="A388" s="55" t="n"/>
      <c r="B388" s="4" t="inlineStr">
        <is>
          <t>HNX04 (LK)</t>
        </is>
      </c>
      <c r="C388" s="216" t="n"/>
      <c r="D388" s="218" t="inlineStr">
        <is>
          <t>Trái phiếu chính phủ</t>
        </is>
      </c>
      <c r="E388" s="55" t="n"/>
      <c r="F388" s="4" t="inlineStr">
        <is>
          <t>Báo cáo</t>
        </is>
      </c>
      <c r="G388" s="22" t="inlineStr">
        <is>
          <t>Chỉ tiêu phái sinh</t>
        </is>
      </c>
      <c r="H388" s="4" t="inlineStr">
        <is>
          <t>TB</t>
        </is>
      </c>
      <c r="I388" s="55" t="inlineStr">
        <is>
          <t>TPCP</t>
        </is>
      </c>
      <c r="J388" s="55" t="n"/>
      <c r="K388" s="55" t="n"/>
      <c r="L388" s="55" t="n"/>
      <c r="M388" s="55" t="n"/>
      <c r="N388" s="55" t="n"/>
      <c r="O388" s="55" t="n"/>
      <c r="P388" s="55" t="n"/>
      <c r="Q388" s="55" t="n"/>
      <c r="R388" s="55" t="n"/>
      <c r="S388" s="55" t="n"/>
      <c r="T388" s="55" t="n"/>
      <c r="U388" s="55" t="n"/>
      <c r="V388" s="55" t="n"/>
      <c r="W388" s="55" t="n"/>
      <c r="X388" s="55" t="n"/>
      <c r="Y388" s="55" t="n"/>
      <c r="Z388" s="55" t="n"/>
      <c r="AA388" s="55" t="n"/>
      <c r="AB388" s="55" t="n"/>
      <c r="AC388" s="55" t="n"/>
      <c r="AD388" s="55" t="n"/>
      <c r="AE388" s="55" t="n"/>
      <c r="AF388" s="55" t="n"/>
    </row>
    <row r="389" ht="16.5" customHeight="1" s="380">
      <c r="A389" s="55" t="n"/>
      <c r="B389" s="4" t="inlineStr">
        <is>
          <t>HNX04 (LK)</t>
        </is>
      </c>
      <c r="C389" s="216" t="n"/>
      <c r="D389" s="218" t="inlineStr">
        <is>
          <t>Trái phiếu chính quyền địa phương</t>
        </is>
      </c>
      <c r="E389" s="55" t="n"/>
      <c r="F389" s="4" t="inlineStr">
        <is>
          <t>Báo cáo</t>
        </is>
      </c>
      <c r="G389" s="22" t="inlineStr">
        <is>
          <t>Chỉ tiêu phái sinh</t>
        </is>
      </c>
      <c r="H389" s="4" t="inlineStr">
        <is>
          <t>TB</t>
        </is>
      </c>
      <c r="I389" s="55" t="inlineStr">
        <is>
          <t>TP Chính quyền ĐP</t>
        </is>
      </c>
      <c r="J389" s="55" t="n"/>
      <c r="K389" s="55" t="n"/>
      <c r="L389" s="55" t="n"/>
      <c r="M389" s="55" t="n"/>
      <c r="N389" s="55" t="n"/>
      <c r="O389" s="55" t="n"/>
      <c r="P389" s="55" t="n"/>
      <c r="Q389" s="55" t="n"/>
      <c r="R389" s="55" t="n"/>
      <c r="S389" s="55" t="n"/>
      <c r="T389" s="55" t="n"/>
      <c r="U389" s="55" t="n"/>
      <c r="V389" s="55" t="n"/>
      <c r="W389" s="55" t="n"/>
      <c r="X389" s="55" t="n"/>
      <c r="Y389" s="55" t="n"/>
      <c r="Z389" s="55" t="n"/>
      <c r="AA389" s="55" t="n"/>
      <c r="AB389" s="55" t="n"/>
      <c r="AC389" s="55" t="n"/>
      <c r="AD389" s="55" t="n"/>
      <c r="AE389" s="55" t="n"/>
      <c r="AF389" s="55" t="n"/>
    </row>
    <row r="390" ht="16.5" customHeight="1" s="380">
      <c r="A390" s="55" t="n"/>
      <c r="B390" s="4" t="inlineStr">
        <is>
          <t>HNX04 (LK)</t>
        </is>
      </c>
      <c r="C390" s="216" t="n"/>
      <c r="D390" s="218" t="inlineStr">
        <is>
          <t>Trái phiếu chính phủ bảo lãnh</t>
        </is>
      </c>
      <c r="E390" s="55" t="n"/>
      <c r="F390" s="4" t="inlineStr">
        <is>
          <t>Báo cáo</t>
        </is>
      </c>
      <c r="G390" s="22" t="inlineStr">
        <is>
          <t>Chỉ tiêu phái sinh</t>
        </is>
      </c>
      <c r="H390" s="4" t="inlineStr">
        <is>
          <t>TB</t>
        </is>
      </c>
      <c r="I390" s="55" t="inlineStr">
        <is>
          <t>TPCP bảo lãnh</t>
        </is>
      </c>
      <c r="J390" s="55" t="n"/>
      <c r="K390" s="55" t="n"/>
      <c r="L390" s="55" t="n"/>
      <c r="M390" s="55" t="n"/>
      <c r="N390" s="55" t="n"/>
      <c r="O390" s="55" t="n"/>
      <c r="P390" s="55" t="n"/>
      <c r="Q390" s="55" t="n"/>
      <c r="R390" s="55" t="n"/>
      <c r="S390" s="55" t="n"/>
      <c r="T390" s="55" t="n"/>
      <c r="U390" s="55" t="n"/>
      <c r="V390" s="55" t="n"/>
      <c r="W390" s="55" t="n"/>
      <c r="X390" s="55" t="n"/>
      <c r="Y390" s="55" t="n"/>
      <c r="Z390" s="55" t="n"/>
      <c r="AA390" s="55" t="n"/>
      <c r="AB390" s="55" t="n"/>
      <c r="AC390" s="55" t="n"/>
      <c r="AD390" s="55" t="n"/>
      <c r="AE390" s="55" t="n"/>
      <c r="AF390" s="55" t="n"/>
    </row>
    <row r="391" ht="16.5" customHeight="1" s="380">
      <c r="A391" s="55" t="n"/>
      <c r="B391" s="4" t="inlineStr">
        <is>
          <t>HNX04 (LK)</t>
        </is>
      </c>
      <c r="C391" s="216" t="n"/>
      <c r="D391" s="218" t="inlineStr">
        <is>
          <t>Trái phiếu doanh nghiệp</t>
        </is>
      </c>
      <c r="E391" s="55" t="n"/>
      <c r="F391" s="4" t="inlineStr">
        <is>
          <t>Báo cáo</t>
        </is>
      </c>
      <c r="G391" s="22" t="inlineStr">
        <is>
          <t>Chỉ tiêu phái sinh</t>
        </is>
      </c>
      <c r="H391" s="4" t="inlineStr">
        <is>
          <t>TB</t>
        </is>
      </c>
      <c r="I391" s="55" t="inlineStr">
        <is>
          <t>TPDN</t>
        </is>
      </c>
      <c r="J391" s="55" t="n"/>
      <c r="K391" s="55" t="n"/>
      <c r="L391" s="55" t="n"/>
      <c r="M391" s="55" t="n"/>
      <c r="N391" s="55" t="n"/>
      <c r="O391" s="55" t="n"/>
      <c r="P391" s="55" t="n"/>
      <c r="Q391" s="55" t="n"/>
      <c r="R391" s="55" t="n"/>
      <c r="S391" s="55" t="n"/>
      <c r="T391" s="55" t="n"/>
      <c r="U391" s="55" t="n"/>
      <c r="V391" s="55" t="n"/>
      <c r="W391" s="55" t="n"/>
      <c r="X391" s="55" t="n"/>
      <c r="Y391" s="55" t="n"/>
      <c r="Z391" s="55" t="n"/>
      <c r="AA391" s="55" t="n"/>
      <c r="AB391" s="55" t="n"/>
      <c r="AC391" s="55" t="n"/>
      <c r="AD391" s="55" t="n"/>
      <c r="AE391" s="55" t="n"/>
      <c r="AF391" s="55" t="n"/>
    </row>
    <row r="392" ht="16.5" customHeight="1" s="380">
      <c r="A392" s="55" t="n"/>
      <c r="B392" s="4" t="inlineStr">
        <is>
          <t>HNX04 (LK)</t>
        </is>
      </c>
      <c r="C392" s="216" t="n"/>
      <c r="D392" s="218" t="inlineStr">
        <is>
          <t>Tín phiếu kho bạc</t>
        </is>
      </c>
      <c r="E392" s="55" t="n"/>
      <c r="F392" s="4" t="inlineStr">
        <is>
          <t>Báo cáo</t>
        </is>
      </c>
      <c r="G392" s="22" t="inlineStr">
        <is>
          <t>Chỉ tiêu phái sinh</t>
        </is>
      </c>
      <c r="H392" s="4" t="inlineStr">
        <is>
          <t>TB</t>
        </is>
      </c>
      <c r="I392" s="55" t="inlineStr">
        <is>
          <t>Tín phiếu kho bạc</t>
        </is>
      </c>
      <c r="J392" s="55" t="n"/>
      <c r="K392" s="55" t="n"/>
      <c r="L392" s="55" t="n"/>
      <c r="M392" s="55" t="n"/>
      <c r="N392" s="55" t="n"/>
      <c r="O392" s="55" t="n"/>
      <c r="P392" s="55" t="n"/>
      <c r="Q392" s="55" t="n"/>
      <c r="R392" s="55" t="n"/>
      <c r="S392" s="55" t="n"/>
      <c r="T392" s="55" t="n"/>
      <c r="U392" s="55" t="n"/>
      <c r="V392" s="55" t="n"/>
      <c r="W392" s="55" t="n"/>
      <c r="X392" s="55" t="n"/>
      <c r="Y392" s="55" t="n"/>
      <c r="Z392" s="55" t="n"/>
      <c r="AA392" s="55" t="n"/>
      <c r="AB392" s="55" t="n"/>
      <c r="AC392" s="55" t="n"/>
      <c r="AD392" s="55" t="n"/>
      <c r="AE392" s="55" t="n"/>
      <c r="AF392" s="55" t="n"/>
    </row>
    <row r="393" ht="16.5" customHeight="1" s="380">
      <c r="A393" s="55" t="n"/>
      <c r="B393" s="4" t="inlineStr">
        <is>
          <t>HNX04 (LK)</t>
        </is>
      </c>
      <c r="C393" s="216" t="n"/>
      <c r="D393" s="223" t="inlineStr">
        <is>
          <t>Chứng chỉ quỹ (ETF)</t>
        </is>
      </c>
      <c r="E393" s="55" t="n"/>
      <c r="F393" s="4" t="inlineStr">
        <is>
          <t>Báo cáo</t>
        </is>
      </c>
      <c r="G393" s="22" t="inlineStr">
        <is>
          <t>Chỉ tiêu phái sinh</t>
        </is>
      </c>
      <c r="H393" s="4" t="inlineStr">
        <is>
          <t>TB</t>
        </is>
      </c>
      <c r="I393" s="55" t="inlineStr">
        <is>
          <t>ETF</t>
        </is>
      </c>
      <c r="J393" s="55" t="n"/>
      <c r="K393" s="55" t="n"/>
      <c r="L393" s="55" t="n"/>
      <c r="M393" s="55" t="n"/>
      <c r="N393" s="55" t="n"/>
      <c r="O393" s="55" t="n"/>
      <c r="P393" s="55" t="n"/>
      <c r="Q393" s="55" t="n"/>
      <c r="R393" s="55" t="n"/>
      <c r="S393" s="55" t="n"/>
      <c r="T393" s="55" t="n"/>
      <c r="U393" s="55" t="n"/>
      <c r="V393" s="55" t="n"/>
      <c r="W393" s="55" t="n"/>
      <c r="X393" s="55" t="n"/>
      <c r="Y393" s="55" t="n"/>
      <c r="Z393" s="55" t="n"/>
      <c r="AA393" s="55" t="n"/>
      <c r="AB393" s="55" t="n"/>
      <c r="AC393" s="55" t="n"/>
      <c r="AD393" s="55" t="n"/>
      <c r="AE393" s="55" t="n"/>
      <c r="AF393" s="55" t="n"/>
    </row>
    <row r="394" ht="16.5" customHeight="1" s="380">
      <c r="A394" s="55" t="n"/>
      <c r="B394" s="4" t="inlineStr">
        <is>
          <t>HNX04 (LK)</t>
        </is>
      </c>
      <c r="C394" s="216" t="n"/>
      <c r="D394" s="218" t="inlineStr">
        <is>
          <t>Chứng khoán hủy niêm yết (mã chứng khoán)</t>
        </is>
      </c>
      <c r="E394" s="55" t="n"/>
      <c r="F394" s="4" t="inlineStr">
        <is>
          <t>Báo cáo</t>
        </is>
      </c>
      <c r="G394" s="22" t="inlineStr">
        <is>
          <t>Chỉ tiêu phái sinh</t>
        </is>
      </c>
      <c r="H394" s="4" t="inlineStr">
        <is>
          <t>TB</t>
        </is>
      </c>
      <c r="I394" s="55" t="n"/>
      <c r="J394" s="55" t="n"/>
      <c r="K394" s="55" t="n"/>
      <c r="L394" s="55" t="n"/>
      <c r="M394" s="55" t="n"/>
      <c r="N394" s="55" t="n"/>
      <c r="O394" s="55" t="n"/>
      <c r="P394" s="55" t="n"/>
      <c r="Q394" s="55" t="n"/>
      <c r="R394" s="55" t="n"/>
      <c r="S394" s="55" t="n"/>
      <c r="T394" s="55" t="n"/>
      <c r="U394" s="55" t="n"/>
      <c r="V394" s="55" t="n"/>
      <c r="W394" s="55" t="n"/>
      <c r="X394" s="55" t="n"/>
      <c r="Y394" s="55" t="n"/>
      <c r="Z394" s="55" t="n"/>
      <c r="AA394" s="55" t="n"/>
      <c r="AB394" s="55" t="n"/>
      <c r="AC394" s="55" t="n"/>
      <c r="AD394" s="55" t="n"/>
      <c r="AE394" s="55" t="n"/>
      <c r="AF394" s="55" t="n"/>
    </row>
    <row r="395" ht="16.5" customHeight="1" s="380">
      <c r="A395" s="55" t="n"/>
      <c r="B395" s="4" t="inlineStr">
        <is>
          <t>HNX04 (LK)</t>
        </is>
      </c>
      <c r="C395" s="216" t="n"/>
      <c r="D395" s="218" t="inlineStr">
        <is>
          <t>Cổ phiếu niêm yết</t>
        </is>
      </c>
      <c r="E395" s="55" t="n"/>
      <c r="F395" s="4" t="inlineStr">
        <is>
          <t>Báo cáo</t>
        </is>
      </c>
      <c r="G395" s="22" t="inlineStr">
        <is>
          <t>Chỉ tiêu phái sinh</t>
        </is>
      </c>
      <c r="H395" s="4" t="inlineStr">
        <is>
          <t>TB</t>
        </is>
      </c>
      <c r="I395" s="55" t="inlineStr">
        <is>
          <t>CPNY</t>
        </is>
      </c>
      <c r="J395" s="55" t="n"/>
      <c r="K395" s="55" t="n"/>
      <c r="L395" s="55" t="n"/>
      <c r="M395" s="55" t="n"/>
      <c r="N395" s="55" t="n"/>
      <c r="O395" s="55" t="n"/>
      <c r="P395" s="55" t="n"/>
      <c r="Q395" s="55" t="n"/>
      <c r="R395" s="55" t="n"/>
      <c r="S395" s="55" t="n"/>
      <c r="T395" s="55" t="n"/>
      <c r="U395" s="55" t="n"/>
      <c r="V395" s="55" t="n"/>
      <c r="W395" s="55" t="n"/>
      <c r="X395" s="55" t="n"/>
      <c r="Y395" s="55" t="n"/>
      <c r="Z395" s="55" t="n"/>
      <c r="AA395" s="55" t="n"/>
      <c r="AB395" s="55" t="n"/>
      <c r="AC395" s="55" t="n"/>
      <c r="AD395" s="55" t="n"/>
      <c r="AE395" s="55" t="n"/>
      <c r="AF395" s="55" t="n"/>
    </row>
    <row r="396" ht="16.5" customHeight="1" s="380">
      <c r="A396" s="55" t="n"/>
      <c r="B396" s="4" t="inlineStr">
        <is>
          <t>HNX04 (LK)</t>
        </is>
      </c>
      <c r="C396" s="216" t="n"/>
      <c r="D396" s="218" t="inlineStr">
        <is>
          <t>Cổ phiếu đăng ký giao dịch</t>
        </is>
      </c>
      <c r="E396" s="55" t="n"/>
      <c r="F396" s="4" t="inlineStr">
        <is>
          <t>Báo cáo</t>
        </is>
      </c>
      <c r="G396" s="22" t="inlineStr">
        <is>
          <t>Chỉ tiêu phái sinh</t>
        </is>
      </c>
      <c r="H396" s="4" t="inlineStr">
        <is>
          <t>TB</t>
        </is>
      </c>
      <c r="I396" s="55" t="inlineStr">
        <is>
          <t>CP đăng ký GD</t>
        </is>
      </c>
      <c r="J396" s="55" t="n"/>
      <c r="K396" s="55" t="n"/>
      <c r="L396" s="55" t="n"/>
      <c r="M396" s="55" t="n"/>
      <c r="N396" s="55" t="n"/>
      <c r="O396" s="55" t="n"/>
      <c r="P396" s="55" t="n"/>
      <c r="Q396" s="55" t="n"/>
      <c r="R396" s="55" t="n"/>
      <c r="S396" s="55" t="n"/>
      <c r="T396" s="55" t="n"/>
      <c r="U396" s="55" t="n"/>
      <c r="V396" s="55" t="n"/>
      <c r="W396" s="55" t="n"/>
      <c r="X396" s="55" t="n"/>
      <c r="Y396" s="55" t="n"/>
      <c r="Z396" s="55" t="n"/>
      <c r="AA396" s="55" t="n"/>
      <c r="AB396" s="55" t="n"/>
      <c r="AC396" s="55" t="n"/>
      <c r="AD396" s="55" t="n"/>
      <c r="AE396" s="55" t="n"/>
      <c r="AF396" s="55" t="n"/>
    </row>
    <row r="397" ht="16.5" customHeight="1" s="380">
      <c r="A397" s="55" t="n"/>
      <c r="B397" s="4" t="inlineStr">
        <is>
          <t>HNX04 (LK)</t>
        </is>
      </c>
      <c r="C397" s="216" t="n"/>
      <c r="D397" s="218" t="inlineStr">
        <is>
          <t>Trái phiếu chính phủ</t>
        </is>
      </c>
      <c r="E397" s="55" t="n"/>
      <c r="F397" s="4" t="inlineStr">
        <is>
          <t>Báo cáo</t>
        </is>
      </c>
      <c r="G397" s="22" t="inlineStr">
        <is>
          <t>Chỉ tiêu phái sinh</t>
        </is>
      </c>
      <c r="H397" s="4" t="inlineStr">
        <is>
          <t>TB</t>
        </is>
      </c>
      <c r="I397" s="55" t="inlineStr">
        <is>
          <t>TPCP</t>
        </is>
      </c>
      <c r="J397" s="55" t="n"/>
      <c r="K397" s="55" t="n"/>
      <c r="L397" s="55" t="n"/>
      <c r="M397" s="55" t="n"/>
      <c r="N397" s="55" t="n"/>
      <c r="O397" s="55" t="n"/>
      <c r="P397" s="55" t="n"/>
      <c r="Q397" s="55" t="n"/>
      <c r="R397" s="55" t="n"/>
      <c r="S397" s="55" t="n"/>
      <c r="T397" s="55" t="n"/>
      <c r="U397" s="55" t="n"/>
      <c r="V397" s="55" t="n"/>
      <c r="W397" s="55" t="n"/>
      <c r="X397" s="55" t="n"/>
      <c r="Y397" s="55" t="n"/>
      <c r="Z397" s="55" t="n"/>
      <c r="AA397" s="55" t="n"/>
      <c r="AB397" s="55" t="n"/>
      <c r="AC397" s="55" t="n"/>
      <c r="AD397" s="55" t="n"/>
      <c r="AE397" s="55" t="n"/>
      <c r="AF397" s="55" t="n"/>
    </row>
    <row r="398" ht="16.5" customHeight="1" s="380">
      <c r="A398" s="55" t="n"/>
      <c r="B398" s="4" t="inlineStr">
        <is>
          <t>HNX04 (LK)</t>
        </is>
      </c>
      <c r="C398" s="216" t="n"/>
      <c r="D398" s="218" t="inlineStr">
        <is>
          <t>Trái phiếu chính quyền địa phương</t>
        </is>
      </c>
      <c r="E398" s="55" t="n"/>
      <c r="F398" s="4" t="inlineStr">
        <is>
          <t>Báo cáo</t>
        </is>
      </c>
      <c r="G398" s="22" t="inlineStr">
        <is>
          <t>Chỉ tiêu phái sinh</t>
        </is>
      </c>
      <c r="H398" s="4" t="inlineStr">
        <is>
          <t>TB</t>
        </is>
      </c>
      <c r="I398" s="55" t="inlineStr">
        <is>
          <t>TP Chính quyền ĐP</t>
        </is>
      </c>
      <c r="J398" s="55" t="n"/>
      <c r="K398" s="55" t="n"/>
      <c r="L398" s="55" t="n"/>
      <c r="M398" s="55" t="n"/>
      <c r="N398" s="55" t="n"/>
      <c r="O398" s="55" t="n"/>
      <c r="P398" s="55" t="n"/>
      <c r="Q398" s="55" t="n"/>
      <c r="R398" s="55" t="n"/>
      <c r="S398" s="55" t="n"/>
      <c r="T398" s="55" t="n"/>
      <c r="U398" s="55" t="n"/>
      <c r="V398" s="55" t="n"/>
      <c r="W398" s="55" t="n"/>
      <c r="X398" s="55" t="n"/>
      <c r="Y398" s="55" t="n"/>
      <c r="Z398" s="55" t="n"/>
      <c r="AA398" s="55" t="n"/>
      <c r="AB398" s="55" t="n"/>
      <c r="AC398" s="55" t="n"/>
      <c r="AD398" s="55" t="n"/>
      <c r="AE398" s="55" t="n"/>
      <c r="AF398" s="55" t="n"/>
    </row>
    <row r="399" ht="16.5" customHeight="1" s="380">
      <c r="A399" s="55" t="n"/>
      <c r="B399" s="4" t="inlineStr">
        <is>
          <t>HNX04 (LK)</t>
        </is>
      </c>
      <c r="C399" s="216" t="n"/>
      <c r="D399" s="218" t="inlineStr">
        <is>
          <t>Trái phiếu chính phủ bảo lãnh</t>
        </is>
      </c>
      <c r="E399" s="55" t="n"/>
      <c r="F399" s="4" t="inlineStr">
        <is>
          <t>Báo cáo</t>
        </is>
      </c>
      <c r="G399" s="22" t="inlineStr">
        <is>
          <t>Chỉ tiêu phái sinh</t>
        </is>
      </c>
      <c r="H399" s="4" t="inlineStr">
        <is>
          <t>TB</t>
        </is>
      </c>
      <c r="I399" s="55" t="inlineStr">
        <is>
          <t>TPCP bảo lãnh</t>
        </is>
      </c>
      <c r="J399" s="55" t="n"/>
      <c r="K399" s="55" t="n"/>
      <c r="L399" s="55" t="n"/>
      <c r="M399" s="55" t="n"/>
      <c r="N399" s="55" t="n"/>
      <c r="O399" s="55" t="n"/>
      <c r="P399" s="55" t="n"/>
      <c r="Q399" s="55" t="n"/>
      <c r="R399" s="55" t="n"/>
      <c r="S399" s="55" t="n"/>
      <c r="T399" s="55" t="n"/>
      <c r="U399" s="55" t="n"/>
      <c r="V399" s="55" t="n"/>
      <c r="W399" s="55" t="n"/>
      <c r="X399" s="55" t="n"/>
      <c r="Y399" s="55" t="n"/>
      <c r="Z399" s="55" t="n"/>
      <c r="AA399" s="55" t="n"/>
      <c r="AB399" s="55" t="n"/>
      <c r="AC399" s="55" t="n"/>
      <c r="AD399" s="55" t="n"/>
      <c r="AE399" s="55" t="n"/>
      <c r="AF399" s="55" t="n"/>
    </row>
    <row r="400" ht="16.5" customHeight="1" s="380">
      <c r="A400" s="55" t="n"/>
      <c r="B400" s="4" t="inlineStr">
        <is>
          <t>HNX04 (LK)</t>
        </is>
      </c>
      <c r="C400" s="216" t="n"/>
      <c r="D400" s="218" t="inlineStr">
        <is>
          <t>Trái phiếu doanh nghiệp</t>
        </is>
      </c>
      <c r="E400" s="55" t="n"/>
      <c r="F400" s="4" t="inlineStr">
        <is>
          <t>Báo cáo</t>
        </is>
      </c>
      <c r="G400" s="22" t="inlineStr">
        <is>
          <t>Chỉ tiêu phái sinh</t>
        </is>
      </c>
      <c r="H400" s="4" t="inlineStr">
        <is>
          <t>TB</t>
        </is>
      </c>
      <c r="I400" s="55" t="inlineStr">
        <is>
          <t>TPDN</t>
        </is>
      </c>
      <c r="J400" s="55" t="n"/>
      <c r="K400" s="55" t="n"/>
      <c r="L400" s="55" t="n"/>
      <c r="M400" s="55" t="n"/>
      <c r="N400" s="55" t="n"/>
      <c r="O400" s="55" t="n"/>
      <c r="P400" s="55" t="n"/>
      <c r="Q400" s="55" t="n"/>
      <c r="R400" s="55" t="n"/>
      <c r="S400" s="55" t="n"/>
      <c r="T400" s="55" t="n"/>
      <c r="U400" s="55" t="n"/>
      <c r="V400" s="55" t="n"/>
      <c r="W400" s="55" t="n"/>
      <c r="X400" s="55" t="n"/>
      <c r="Y400" s="55" t="n"/>
      <c r="Z400" s="55" t="n"/>
      <c r="AA400" s="55" t="n"/>
      <c r="AB400" s="55" t="n"/>
      <c r="AC400" s="55" t="n"/>
      <c r="AD400" s="55" t="n"/>
      <c r="AE400" s="55" t="n"/>
      <c r="AF400" s="55" t="n"/>
    </row>
    <row r="401" ht="16.5" customHeight="1" s="380">
      <c r="A401" s="55" t="n"/>
      <c r="B401" s="4" t="inlineStr">
        <is>
          <t>HNX04 (LK)</t>
        </is>
      </c>
      <c r="C401" s="216" t="n"/>
      <c r="D401" s="218" t="inlineStr">
        <is>
          <t>Tín phiếu kho bạc</t>
        </is>
      </c>
      <c r="E401" s="55" t="n"/>
      <c r="F401" s="4" t="inlineStr">
        <is>
          <t>Báo cáo</t>
        </is>
      </c>
      <c r="G401" s="22" t="inlineStr">
        <is>
          <t>Chỉ tiêu phái sinh</t>
        </is>
      </c>
      <c r="H401" s="4" t="inlineStr">
        <is>
          <t>TB</t>
        </is>
      </c>
      <c r="I401" s="55" t="inlineStr">
        <is>
          <t>Tín phiếu kho bạc</t>
        </is>
      </c>
      <c r="J401" s="55" t="n"/>
      <c r="K401" s="55" t="n"/>
      <c r="L401" s="55" t="n"/>
      <c r="M401" s="55" t="n"/>
      <c r="N401" s="55" t="n"/>
      <c r="O401" s="55" t="n"/>
      <c r="P401" s="55" t="n"/>
      <c r="Q401" s="55" t="n"/>
      <c r="R401" s="55" t="n"/>
      <c r="S401" s="55" t="n"/>
      <c r="T401" s="55" t="n"/>
      <c r="U401" s="55" t="n"/>
      <c r="V401" s="55" t="n"/>
      <c r="W401" s="55" t="n"/>
      <c r="X401" s="55" t="n"/>
      <c r="Y401" s="55" t="n"/>
      <c r="Z401" s="55" t="n"/>
      <c r="AA401" s="55" t="n"/>
      <c r="AB401" s="55" t="n"/>
      <c r="AC401" s="55" t="n"/>
      <c r="AD401" s="55" t="n"/>
      <c r="AE401" s="55" t="n"/>
      <c r="AF401" s="55" t="n"/>
    </row>
    <row r="402" ht="16.5" customHeight="1" s="380">
      <c r="A402" s="55" t="n"/>
      <c r="B402" s="4" t="inlineStr">
        <is>
          <t>HNX04 (LK)</t>
        </is>
      </c>
      <c r="C402" s="216" t="n"/>
      <c r="D402" s="223" t="inlineStr">
        <is>
          <t>Chứng chỉ quỹ (ETF)</t>
        </is>
      </c>
      <c r="E402" s="55" t="n"/>
      <c r="F402" s="4" t="inlineStr">
        <is>
          <t>Báo cáo</t>
        </is>
      </c>
      <c r="G402" s="22" t="inlineStr">
        <is>
          <t>Chỉ tiêu phái sinh</t>
        </is>
      </c>
      <c r="H402" s="4" t="inlineStr">
        <is>
          <t>TB</t>
        </is>
      </c>
      <c r="I402" s="55" t="inlineStr">
        <is>
          <t>ETF</t>
        </is>
      </c>
      <c r="J402" s="55" t="n"/>
      <c r="K402" s="55" t="n"/>
      <c r="L402" s="55" t="n"/>
      <c r="M402" s="55" t="n"/>
      <c r="N402" s="55" t="n"/>
      <c r="O402" s="55" t="n"/>
      <c r="P402" s="55" t="n"/>
      <c r="Q402" s="55" t="n"/>
      <c r="R402" s="55" t="n"/>
      <c r="S402" s="55" t="n"/>
      <c r="T402" s="55" t="n"/>
      <c r="U402" s="55" t="n"/>
      <c r="V402" s="55" t="n"/>
      <c r="W402" s="55" t="n"/>
      <c r="X402" s="55" t="n"/>
      <c r="Y402" s="55" t="n"/>
      <c r="Z402" s="55" t="n"/>
      <c r="AA402" s="55" t="n"/>
      <c r="AB402" s="55" t="n"/>
      <c r="AC402" s="55" t="n"/>
      <c r="AD402" s="55" t="n"/>
      <c r="AE402" s="55" t="n"/>
      <c r="AF402" s="55" t="n"/>
    </row>
    <row r="403" ht="16.5" customHeight="1" s="380">
      <c r="A403" s="55" t="n"/>
      <c r="B403" s="4" t="inlineStr">
        <is>
          <t>HNX04 (LK)</t>
        </is>
      </c>
      <c r="C403" s="216" t="n"/>
      <c r="D403" s="218" t="inlineStr">
        <is>
          <t>Chứng khoán niêm yết đến thời điểm hiện tại (mã chứng khoán)</t>
        </is>
      </c>
      <c r="E403" s="55" t="n"/>
      <c r="F403" s="4" t="inlineStr">
        <is>
          <t>Báo cáo</t>
        </is>
      </c>
      <c r="G403" s="22" t="inlineStr">
        <is>
          <t>Chỉ tiêu phái sinh</t>
        </is>
      </c>
      <c r="H403" s="4" t="inlineStr">
        <is>
          <t>TB</t>
        </is>
      </c>
      <c r="I403" s="55" t="n"/>
      <c r="J403" s="55" t="n"/>
      <c r="K403" s="55" t="n"/>
      <c r="L403" s="55" t="n"/>
      <c r="M403" s="55" t="n"/>
      <c r="N403" s="55" t="n"/>
      <c r="O403" s="55" t="n"/>
      <c r="P403" s="55" t="n"/>
      <c r="Q403" s="55" t="n"/>
      <c r="R403" s="55" t="n"/>
      <c r="S403" s="55" t="n"/>
      <c r="T403" s="55" t="n"/>
      <c r="U403" s="55" t="n"/>
      <c r="V403" s="55" t="n"/>
      <c r="W403" s="55" t="n"/>
      <c r="X403" s="55" t="n"/>
      <c r="Y403" s="55" t="n"/>
      <c r="Z403" s="55" t="n"/>
      <c r="AA403" s="55" t="n"/>
      <c r="AB403" s="55" t="n"/>
      <c r="AC403" s="55" t="n"/>
      <c r="AD403" s="55" t="n"/>
      <c r="AE403" s="55" t="n"/>
      <c r="AF403" s="55" t="n"/>
    </row>
    <row r="404" ht="16.5" customHeight="1" s="380">
      <c r="A404" s="55" t="n"/>
      <c r="B404" s="4" t="inlineStr">
        <is>
          <t>HNX04 (LK)</t>
        </is>
      </c>
      <c r="C404" s="216" t="n"/>
      <c r="D404" s="218" t="inlineStr">
        <is>
          <t>Cổ phiếu niêm yết</t>
        </is>
      </c>
      <c r="E404" s="55" t="n"/>
      <c r="F404" s="4" t="inlineStr">
        <is>
          <t>Báo cáo</t>
        </is>
      </c>
      <c r="G404" s="22" t="inlineStr">
        <is>
          <t>Chỉ tiêu phái sinh</t>
        </is>
      </c>
      <c r="H404" s="4" t="inlineStr">
        <is>
          <t>TB</t>
        </is>
      </c>
      <c r="I404" s="55" t="inlineStr">
        <is>
          <t>CPNY</t>
        </is>
      </c>
      <c r="J404" s="55" t="n"/>
      <c r="K404" s="55" t="n"/>
      <c r="L404" s="55" t="n"/>
      <c r="M404" s="55" t="n"/>
      <c r="N404" s="55" t="n"/>
      <c r="O404" s="55" t="n"/>
      <c r="P404" s="55" t="n"/>
      <c r="Q404" s="55" t="n"/>
      <c r="R404" s="55" t="n"/>
      <c r="S404" s="55" t="n"/>
      <c r="T404" s="55" t="n"/>
      <c r="U404" s="55" t="n"/>
      <c r="V404" s="55" t="n"/>
      <c r="W404" s="55" t="n"/>
      <c r="X404" s="55" t="n"/>
      <c r="Y404" s="55" t="n"/>
      <c r="Z404" s="55" t="n"/>
      <c r="AA404" s="55" t="n"/>
      <c r="AB404" s="55" t="n"/>
      <c r="AC404" s="55" t="n"/>
      <c r="AD404" s="55" t="n"/>
      <c r="AE404" s="55" t="n"/>
      <c r="AF404" s="55" t="n"/>
    </row>
    <row r="405" ht="16.5" customHeight="1" s="380">
      <c r="A405" s="55" t="n"/>
      <c r="B405" s="4" t="inlineStr">
        <is>
          <t>HNX04 (LK)</t>
        </is>
      </c>
      <c r="C405" s="216" t="n"/>
      <c r="D405" s="218" t="inlineStr">
        <is>
          <t>Cổ phiếu đăng ký giao dịch</t>
        </is>
      </c>
      <c r="E405" s="55" t="n"/>
      <c r="F405" s="4" t="inlineStr">
        <is>
          <t>Báo cáo</t>
        </is>
      </c>
      <c r="G405" s="22" t="inlineStr">
        <is>
          <t>Chỉ tiêu phái sinh</t>
        </is>
      </c>
      <c r="H405" s="4" t="inlineStr">
        <is>
          <t>TB</t>
        </is>
      </c>
      <c r="I405" s="55" t="inlineStr">
        <is>
          <t>CP đăng ký GD</t>
        </is>
      </c>
      <c r="J405" s="55" t="n"/>
      <c r="K405" s="55" t="n"/>
      <c r="L405" s="55" t="n"/>
      <c r="M405" s="55" t="n"/>
      <c r="N405" s="55" t="n"/>
      <c r="O405" s="55" t="n"/>
      <c r="P405" s="55" t="n"/>
      <c r="Q405" s="55" t="n"/>
      <c r="R405" s="55" t="n"/>
      <c r="S405" s="55" t="n"/>
      <c r="T405" s="55" t="n"/>
      <c r="U405" s="55" t="n"/>
      <c r="V405" s="55" t="n"/>
      <c r="W405" s="55" t="n"/>
      <c r="X405" s="55" t="n"/>
      <c r="Y405" s="55" t="n"/>
      <c r="Z405" s="55" t="n"/>
      <c r="AA405" s="55" t="n"/>
      <c r="AB405" s="55" t="n"/>
      <c r="AC405" s="55" t="n"/>
      <c r="AD405" s="55" t="n"/>
      <c r="AE405" s="55" t="n"/>
      <c r="AF405" s="55" t="n"/>
    </row>
    <row r="406" ht="16.5" customHeight="1" s="380">
      <c r="A406" s="55" t="n"/>
      <c r="B406" s="4" t="inlineStr">
        <is>
          <t>HNX04 (LK)</t>
        </is>
      </c>
      <c r="C406" s="216" t="n"/>
      <c r="D406" s="218" t="inlineStr">
        <is>
          <t>Trái phiếu chính phủ</t>
        </is>
      </c>
      <c r="E406" s="55" t="n"/>
      <c r="F406" s="4" t="inlineStr">
        <is>
          <t>Báo cáo</t>
        </is>
      </c>
      <c r="G406" s="22" t="inlineStr">
        <is>
          <t>Chỉ tiêu phái sinh</t>
        </is>
      </c>
      <c r="H406" s="4" t="inlineStr">
        <is>
          <t>TB</t>
        </is>
      </c>
      <c r="I406" s="55" t="inlineStr">
        <is>
          <t>TPCP</t>
        </is>
      </c>
      <c r="J406" s="55" t="n"/>
      <c r="K406" s="55" t="n"/>
      <c r="L406" s="55" t="n"/>
      <c r="M406" s="55" t="n"/>
      <c r="N406" s="55" t="n"/>
      <c r="O406" s="55" t="n"/>
      <c r="P406" s="55" t="n"/>
      <c r="Q406" s="55" t="n"/>
      <c r="R406" s="55" t="n"/>
      <c r="S406" s="55" t="n"/>
      <c r="T406" s="55" t="n"/>
      <c r="U406" s="55" t="n"/>
      <c r="V406" s="55" t="n"/>
      <c r="W406" s="55" t="n"/>
      <c r="X406" s="55" t="n"/>
      <c r="Y406" s="55" t="n"/>
      <c r="Z406" s="55" t="n"/>
      <c r="AA406" s="55" t="n"/>
      <c r="AB406" s="55" t="n"/>
      <c r="AC406" s="55" t="n"/>
      <c r="AD406" s="55" t="n"/>
      <c r="AE406" s="55" t="n"/>
      <c r="AF406" s="55" t="n"/>
    </row>
    <row r="407" ht="16.5" customHeight="1" s="380">
      <c r="A407" s="55" t="n"/>
      <c r="B407" s="4" t="inlineStr">
        <is>
          <t>HNX04 (LK)</t>
        </is>
      </c>
      <c r="C407" s="216" t="n"/>
      <c r="D407" s="218" t="inlineStr">
        <is>
          <t>Trái phiếu chính quyền địa phương</t>
        </is>
      </c>
      <c r="E407" s="55" t="n"/>
      <c r="F407" s="4" t="inlineStr">
        <is>
          <t>Báo cáo</t>
        </is>
      </c>
      <c r="G407" s="22" t="inlineStr">
        <is>
          <t>Chỉ tiêu phái sinh</t>
        </is>
      </c>
      <c r="H407" s="4" t="inlineStr">
        <is>
          <t>TB</t>
        </is>
      </c>
      <c r="I407" s="55" t="inlineStr">
        <is>
          <t>TP Chính quyền ĐP</t>
        </is>
      </c>
      <c r="J407" s="55" t="n"/>
      <c r="K407" s="55" t="n"/>
      <c r="L407" s="55" t="n"/>
      <c r="M407" s="55" t="n"/>
      <c r="N407" s="55" t="n"/>
      <c r="O407" s="55" t="n"/>
      <c r="P407" s="55" t="n"/>
      <c r="Q407" s="55" t="n"/>
      <c r="R407" s="55" t="n"/>
      <c r="S407" s="55" t="n"/>
      <c r="T407" s="55" t="n"/>
      <c r="U407" s="55" t="n"/>
      <c r="V407" s="55" t="n"/>
      <c r="W407" s="55" t="n"/>
      <c r="X407" s="55" t="n"/>
      <c r="Y407" s="55" t="n"/>
      <c r="Z407" s="55" t="n"/>
      <c r="AA407" s="55" t="n"/>
      <c r="AB407" s="55" t="n"/>
      <c r="AC407" s="55" t="n"/>
      <c r="AD407" s="55" t="n"/>
      <c r="AE407" s="55" t="n"/>
      <c r="AF407" s="55" t="n"/>
    </row>
    <row r="408" ht="16.5" customHeight="1" s="380">
      <c r="A408" s="55" t="n"/>
      <c r="B408" s="4" t="inlineStr">
        <is>
          <t>HNX04 (LK)</t>
        </is>
      </c>
      <c r="C408" s="216" t="n"/>
      <c r="D408" s="218" t="inlineStr">
        <is>
          <t>Trái phiếu chính phủ bảo lãnh</t>
        </is>
      </c>
      <c r="E408" s="55" t="n"/>
      <c r="F408" s="4" t="inlineStr">
        <is>
          <t>Báo cáo</t>
        </is>
      </c>
      <c r="G408" s="22" t="inlineStr">
        <is>
          <t>Chỉ tiêu phái sinh</t>
        </is>
      </c>
      <c r="H408" s="4" t="inlineStr">
        <is>
          <t>TB</t>
        </is>
      </c>
      <c r="I408" s="55" t="inlineStr">
        <is>
          <t>TPCP bảo lãnh</t>
        </is>
      </c>
      <c r="J408" s="55" t="n"/>
      <c r="K408" s="55" t="n"/>
      <c r="L408" s="55" t="n"/>
      <c r="M408" s="55" t="n"/>
      <c r="N408" s="55" t="n"/>
      <c r="O408" s="55" t="n"/>
      <c r="P408" s="55" t="n"/>
      <c r="Q408" s="55" t="n"/>
      <c r="R408" s="55" t="n"/>
      <c r="S408" s="55" t="n"/>
      <c r="T408" s="55" t="n"/>
      <c r="U408" s="55" t="n"/>
      <c r="V408" s="55" t="n"/>
      <c r="W408" s="55" t="n"/>
      <c r="X408" s="55" t="n"/>
      <c r="Y408" s="55" t="n"/>
      <c r="Z408" s="55" t="n"/>
      <c r="AA408" s="55" t="n"/>
      <c r="AB408" s="55" t="n"/>
      <c r="AC408" s="55" t="n"/>
      <c r="AD408" s="55" t="n"/>
      <c r="AE408" s="55" t="n"/>
      <c r="AF408" s="55" t="n"/>
    </row>
    <row r="409" ht="16.5" customHeight="1" s="380">
      <c r="A409" s="55" t="n"/>
      <c r="B409" s="4" t="inlineStr">
        <is>
          <t>HNX04 (LK)</t>
        </is>
      </c>
      <c r="C409" s="216" t="n"/>
      <c r="D409" s="218" t="inlineStr">
        <is>
          <t>Trái phiếu doanh nghiệp</t>
        </is>
      </c>
      <c r="E409" s="55" t="n"/>
      <c r="F409" s="4" t="inlineStr">
        <is>
          <t>Báo cáo</t>
        </is>
      </c>
      <c r="G409" s="22" t="inlineStr">
        <is>
          <t>Chỉ tiêu phái sinh</t>
        </is>
      </c>
      <c r="H409" s="4" t="inlineStr">
        <is>
          <t>TB</t>
        </is>
      </c>
      <c r="I409" s="55" t="inlineStr">
        <is>
          <t>TPDN</t>
        </is>
      </c>
      <c r="J409" s="55" t="n"/>
      <c r="K409" s="55" t="n"/>
      <c r="L409" s="55" t="n"/>
      <c r="M409" s="55" t="n"/>
      <c r="N409" s="55" t="n"/>
      <c r="O409" s="55" t="n"/>
      <c r="P409" s="55" t="n"/>
      <c r="Q409" s="55" t="n"/>
      <c r="R409" s="55" t="n"/>
      <c r="S409" s="55" t="n"/>
      <c r="T409" s="55" t="n"/>
      <c r="U409" s="55" t="n"/>
      <c r="V409" s="55" t="n"/>
      <c r="W409" s="55" t="n"/>
      <c r="X409" s="55" t="n"/>
      <c r="Y409" s="55" t="n"/>
      <c r="Z409" s="55" t="n"/>
      <c r="AA409" s="55" t="n"/>
      <c r="AB409" s="55" t="n"/>
      <c r="AC409" s="55" t="n"/>
      <c r="AD409" s="55" t="n"/>
      <c r="AE409" s="55" t="n"/>
      <c r="AF409" s="55" t="n"/>
    </row>
    <row r="410" ht="16.5" customHeight="1" s="380">
      <c r="A410" s="55" t="n"/>
      <c r="B410" s="4" t="inlineStr">
        <is>
          <t>HNX04 (LK)</t>
        </is>
      </c>
      <c r="C410" s="216" t="n"/>
      <c r="D410" s="218" t="inlineStr">
        <is>
          <t>Tín phiếu kho bạc</t>
        </is>
      </c>
      <c r="E410" s="55" t="n"/>
      <c r="F410" s="4" t="inlineStr">
        <is>
          <t>Báo cáo</t>
        </is>
      </c>
      <c r="G410" s="22" t="inlineStr">
        <is>
          <t>Chỉ tiêu phái sinh</t>
        </is>
      </c>
      <c r="H410" s="4" t="inlineStr">
        <is>
          <t>TB</t>
        </is>
      </c>
      <c r="I410" s="55" t="inlineStr">
        <is>
          <t>Tín phiếu kho bạc</t>
        </is>
      </c>
      <c r="J410" s="55" t="n"/>
      <c r="K410" s="55" t="n"/>
      <c r="L410" s="55" t="n"/>
      <c r="M410" s="55" t="n"/>
      <c r="N410" s="55" t="n"/>
      <c r="O410" s="55" t="n"/>
      <c r="P410" s="55" t="n"/>
      <c r="Q410" s="55" t="n"/>
      <c r="R410" s="55" t="n"/>
      <c r="S410" s="55" t="n"/>
      <c r="T410" s="55" t="n"/>
      <c r="U410" s="55" t="n"/>
      <c r="V410" s="55" t="n"/>
      <c r="W410" s="55" t="n"/>
      <c r="X410" s="55" t="n"/>
      <c r="Y410" s="55" t="n"/>
      <c r="Z410" s="55" t="n"/>
      <c r="AA410" s="55" t="n"/>
      <c r="AB410" s="55" t="n"/>
      <c r="AC410" s="55" t="n"/>
      <c r="AD410" s="55" t="n"/>
      <c r="AE410" s="55" t="n"/>
      <c r="AF410" s="55" t="n"/>
    </row>
    <row r="411" ht="16.5" customHeight="1" s="380">
      <c r="A411" s="55" t="n"/>
      <c r="B411" s="4" t="inlineStr">
        <is>
          <t>HNX04 (LK)</t>
        </is>
      </c>
      <c r="C411" s="216" t="n"/>
      <c r="D411" s="218" t="inlineStr">
        <is>
          <t>Chứng chỉ quỹ (ETF)</t>
        </is>
      </c>
      <c r="E411" s="55" t="n"/>
      <c r="F411" s="4" t="inlineStr">
        <is>
          <t>Báo cáo</t>
        </is>
      </c>
      <c r="G411" s="22" t="inlineStr">
        <is>
          <t>Chỉ tiêu phái sinh</t>
        </is>
      </c>
      <c r="H411" s="4" t="inlineStr">
        <is>
          <t>TB</t>
        </is>
      </c>
      <c r="I411" s="55" t="inlineStr">
        <is>
          <t>ETF</t>
        </is>
      </c>
      <c r="J411" s="55" t="n"/>
      <c r="K411" s="55" t="n"/>
      <c r="L411" s="55" t="n"/>
      <c r="M411" s="55" t="n"/>
      <c r="N411" s="55" t="n"/>
      <c r="O411" s="55" t="n"/>
      <c r="P411" s="55" t="n"/>
      <c r="Q411" s="55" t="n"/>
      <c r="R411" s="55" t="n"/>
      <c r="S411" s="55" t="n"/>
      <c r="T411" s="55" t="n"/>
      <c r="U411" s="55" t="n"/>
      <c r="V411" s="55" t="n"/>
      <c r="W411" s="55" t="n"/>
      <c r="X411" s="55" t="n"/>
      <c r="Y411" s="55" t="n"/>
      <c r="Z411" s="55" t="n"/>
      <c r="AA411" s="55" t="n"/>
      <c r="AB411" s="55" t="n"/>
      <c r="AC411" s="55" t="n"/>
      <c r="AD411" s="55" t="n"/>
      <c r="AE411" s="55" t="n"/>
      <c r="AF411" s="55" t="n"/>
    </row>
    <row r="412" ht="16.5" customHeight="1" s="380">
      <c r="A412" s="55" t="n"/>
      <c r="B412" s="4" t="inlineStr">
        <is>
          <t>HNX04 (LK)</t>
        </is>
      </c>
      <c r="C412" s="216" t="n"/>
      <c r="D412" s="218" t="inlineStr">
        <is>
          <t>Số phiên thực hiện giao dịch</t>
        </is>
      </c>
      <c r="E412" s="55" t="n"/>
      <c r="F412" s="4" t="inlineStr">
        <is>
          <t>Báo cáo</t>
        </is>
      </c>
      <c r="G412" s="22" t="inlineStr">
        <is>
          <t>Chỉ tiêu phái sinh</t>
        </is>
      </c>
      <c r="H412" s="4" t="inlineStr">
        <is>
          <t>TB</t>
        </is>
      </c>
      <c r="I412" s="55" t="n"/>
      <c r="J412" s="55" t="n"/>
      <c r="K412" s="55" t="n"/>
      <c r="L412" s="55" t="n"/>
      <c r="M412" s="55" t="n"/>
      <c r="N412" s="55" t="n"/>
      <c r="O412" s="55" t="n"/>
      <c r="P412" s="55" t="n"/>
      <c r="Q412" s="55" t="n"/>
      <c r="R412" s="55" t="n"/>
      <c r="S412" s="55" t="n"/>
      <c r="T412" s="55" t="n"/>
      <c r="U412" s="55" t="n"/>
      <c r="V412" s="55" t="n"/>
      <c r="W412" s="55" t="n"/>
      <c r="X412" s="55" t="n"/>
      <c r="Y412" s="55" t="n"/>
      <c r="Z412" s="55" t="n"/>
      <c r="AA412" s="55" t="n"/>
      <c r="AB412" s="55" t="n"/>
      <c r="AC412" s="55" t="n"/>
      <c r="AD412" s="55" t="n"/>
      <c r="AE412" s="55" t="n"/>
      <c r="AF412" s="55" t="n"/>
    </row>
    <row r="413" ht="16.5" customHeight="1" s="380">
      <c r="A413" s="55" t="n"/>
      <c r="B413" s="4" t="inlineStr">
        <is>
          <t>HNX04 (LK)</t>
        </is>
      </c>
      <c r="C413" s="216" t="n"/>
      <c r="D413" s="218" t="inlineStr">
        <is>
          <t>Cổ phiếu niêm yết</t>
        </is>
      </c>
      <c r="E413" s="55" t="n"/>
      <c r="F413" s="4" t="inlineStr">
        <is>
          <t>Báo cáo</t>
        </is>
      </c>
      <c r="G413" s="22" t="inlineStr">
        <is>
          <t>Chỉ tiêu phái sinh</t>
        </is>
      </c>
      <c r="H413" s="4" t="inlineStr">
        <is>
          <t>TB</t>
        </is>
      </c>
      <c r="I413" s="55" t="inlineStr">
        <is>
          <t>CPNY</t>
        </is>
      </c>
      <c r="J413" s="55" t="n"/>
      <c r="K413" s="55" t="n"/>
      <c r="L413" s="55" t="n"/>
      <c r="M413" s="55" t="n"/>
      <c r="N413" s="55" t="n"/>
      <c r="O413" s="55" t="n"/>
      <c r="P413" s="55" t="n"/>
      <c r="Q413" s="55" t="n"/>
      <c r="R413" s="55" t="n"/>
      <c r="S413" s="55" t="n"/>
      <c r="T413" s="55" t="n"/>
      <c r="U413" s="55" t="n"/>
      <c r="V413" s="55" t="n"/>
      <c r="W413" s="55" t="n"/>
      <c r="X413" s="55" t="n"/>
      <c r="Y413" s="55" t="n"/>
      <c r="Z413" s="55" t="n"/>
      <c r="AA413" s="55" t="n"/>
      <c r="AB413" s="55" t="n"/>
      <c r="AC413" s="55" t="n"/>
      <c r="AD413" s="55" t="n"/>
      <c r="AE413" s="55" t="n"/>
      <c r="AF413" s="55" t="n"/>
    </row>
    <row r="414" ht="16.5" customHeight="1" s="380">
      <c r="A414" s="55" t="n"/>
      <c r="B414" s="4" t="inlineStr">
        <is>
          <t>HNX04 (LK)</t>
        </is>
      </c>
      <c r="C414" s="216" t="n"/>
      <c r="D414" s="218" t="inlineStr">
        <is>
          <t>Cổ phiếu đăng ký giao dịch</t>
        </is>
      </c>
      <c r="E414" s="55" t="n"/>
      <c r="F414" s="4" t="inlineStr">
        <is>
          <t>Báo cáo</t>
        </is>
      </c>
      <c r="G414" s="22" t="inlineStr">
        <is>
          <t>Chỉ tiêu phái sinh</t>
        </is>
      </c>
      <c r="H414" s="4" t="inlineStr">
        <is>
          <t>TB</t>
        </is>
      </c>
      <c r="I414" s="55" t="inlineStr">
        <is>
          <t>CP đăng ký GD</t>
        </is>
      </c>
      <c r="J414" s="55" t="n"/>
      <c r="K414" s="55" t="n"/>
      <c r="L414" s="55" t="n"/>
      <c r="M414" s="55" t="n"/>
      <c r="N414" s="55" t="n"/>
      <c r="O414" s="55" t="n"/>
      <c r="P414" s="55" t="n"/>
      <c r="Q414" s="55" t="n"/>
      <c r="R414" s="55" t="n"/>
      <c r="S414" s="55" t="n"/>
      <c r="T414" s="55" t="n"/>
      <c r="U414" s="55" t="n"/>
      <c r="V414" s="55" t="n"/>
      <c r="W414" s="55" t="n"/>
      <c r="X414" s="55" t="n"/>
      <c r="Y414" s="55" t="n"/>
      <c r="Z414" s="55" t="n"/>
      <c r="AA414" s="55" t="n"/>
      <c r="AB414" s="55" t="n"/>
      <c r="AC414" s="55" t="n"/>
      <c r="AD414" s="55" t="n"/>
      <c r="AE414" s="55" t="n"/>
      <c r="AF414" s="55" t="n"/>
    </row>
    <row r="415" ht="16.5" customHeight="1" s="380">
      <c r="A415" s="55" t="n"/>
      <c r="B415" s="4" t="inlineStr">
        <is>
          <t>HNX04 (LK)</t>
        </is>
      </c>
      <c r="C415" s="216" t="n"/>
      <c r="D415" s="218" t="inlineStr">
        <is>
          <t>Trái phiếu Chính phủ</t>
        </is>
      </c>
      <c r="E415" s="55" t="n"/>
      <c r="F415" s="4" t="inlineStr">
        <is>
          <t>Báo cáo</t>
        </is>
      </c>
      <c r="G415" s="22" t="inlineStr">
        <is>
          <t>Chỉ tiêu phái sinh</t>
        </is>
      </c>
      <c r="H415" s="4" t="inlineStr">
        <is>
          <t>TB</t>
        </is>
      </c>
      <c r="I415" s="55" t="inlineStr">
        <is>
          <t>TPCP</t>
        </is>
      </c>
      <c r="J415" s="55" t="n"/>
      <c r="K415" s="55" t="n"/>
      <c r="L415" s="55" t="n"/>
      <c r="M415" s="55" t="n"/>
      <c r="N415" s="55" t="n"/>
      <c r="O415" s="55" t="n"/>
      <c r="P415" s="55" t="n"/>
      <c r="Q415" s="55" t="n"/>
      <c r="R415" s="55" t="n"/>
      <c r="S415" s="55" t="n"/>
      <c r="T415" s="55" t="n"/>
      <c r="U415" s="55" t="n"/>
      <c r="V415" s="55" t="n"/>
      <c r="W415" s="55" t="n"/>
      <c r="X415" s="55" t="n"/>
      <c r="Y415" s="55" t="n"/>
      <c r="Z415" s="55" t="n"/>
      <c r="AA415" s="55" t="n"/>
      <c r="AB415" s="55" t="n"/>
      <c r="AC415" s="55" t="n"/>
      <c r="AD415" s="55" t="n"/>
      <c r="AE415" s="55" t="n"/>
      <c r="AF415" s="55" t="n"/>
    </row>
    <row r="416" ht="16.5" customHeight="1" s="380">
      <c r="A416" s="55" t="n"/>
      <c r="B416" s="4" t="inlineStr">
        <is>
          <t>HNX04 (LK)</t>
        </is>
      </c>
      <c r="C416" s="216" t="n"/>
      <c r="D416" s="218" t="inlineStr">
        <is>
          <t>Tín phiếu kho bạc</t>
        </is>
      </c>
      <c r="E416" s="55" t="n"/>
      <c r="F416" s="4" t="inlineStr">
        <is>
          <t>Báo cáo</t>
        </is>
      </c>
      <c r="G416" s="22" t="inlineStr">
        <is>
          <t>Chỉ tiêu phái sinh</t>
        </is>
      </c>
      <c r="H416" s="4" t="inlineStr">
        <is>
          <t>TB</t>
        </is>
      </c>
      <c r="I416" s="55" t="inlineStr">
        <is>
          <t>Tín phiếu kho bạc</t>
        </is>
      </c>
      <c r="J416" s="55" t="n"/>
      <c r="K416" s="55" t="n"/>
      <c r="L416" s="55" t="n"/>
      <c r="M416" s="55" t="n"/>
      <c r="N416" s="55" t="n"/>
      <c r="O416" s="55" t="n"/>
      <c r="P416" s="55" t="n"/>
      <c r="Q416" s="55" t="n"/>
      <c r="R416" s="55" t="n"/>
      <c r="S416" s="55" t="n"/>
      <c r="T416" s="55" t="n"/>
      <c r="U416" s="55" t="n"/>
      <c r="V416" s="55" t="n"/>
      <c r="W416" s="55" t="n"/>
      <c r="X416" s="55" t="n"/>
      <c r="Y416" s="55" t="n"/>
      <c r="Z416" s="55" t="n"/>
      <c r="AA416" s="55" t="n"/>
      <c r="AB416" s="55" t="n"/>
      <c r="AC416" s="55" t="n"/>
      <c r="AD416" s="55" t="n"/>
      <c r="AE416" s="55" t="n"/>
      <c r="AF416" s="55" t="n"/>
    </row>
    <row r="417" ht="16.5" customHeight="1" s="380">
      <c r="A417" s="55" t="n"/>
      <c r="B417" s="4" t="inlineStr">
        <is>
          <t>HNX04 (LK)</t>
        </is>
      </c>
      <c r="C417" s="221" t="n"/>
      <c r="D417" s="222" t="inlineStr">
        <is>
          <t>Cộng dồn đến cuối kỳ - Phát sinh</t>
        </is>
      </c>
      <c r="E417" s="55" t="n"/>
      <c r="F417" s="4" t="inlineStr">
        <is>
          <t>Báo cáo</t>
        </is>
      </c>
      <c r="G417" s="55" t="inlineStr">
        <is>
          <t>Chiều</t>
        </is>
      </c>
      <c r="H417" s="55" t="n"/>
      <c r="I417" s="55" t="n"/>
      <c r="J417" s="55" t="n"/>
      <c r="K417" s="55" t="n"/>
      <c r="L417" s="55" t="n"/>
      <c r="M417" s="55" t="n"/>
      <c r="N417" s="55" t="n"/>
      <c r="O417" s="55" t="n"/>
      <c r="P417" s="55" t="n"/>
      <c r="Q417" s="55" t="n"/>
      <c r="R417" s="55" t="n"/>
      <c r="S417" s="55" t="n"/>
      <c r="T417" s="55" t="n"/>
      <c r="U417" s="55" t="n"/>
      <c r="V417" s="55" t="n"/>
      <c r="W417" s="55" t="n"/>
      <c r="X417" s="55" t="n"/>
      <c r="Y417" s="55" t="n"/>
      <c r="Z417" s="55" t="n"/>
      <c r="AA417" s="55" t="n"/>
      <c r="AB417" s="55" t="n"/>
      <c r="AC417" s="55" t="n"/>
      <c r="AD417" s="55" t="n"/>
      <c r="AE417" s="55" t="n"/>
      <c r="AF417" s="55" t="n"/>
    </row>
    <row r="418" ht="16.5" customHeight="1" s="380">
      <c r="A418" s="55" t="n"/>
      <c r="B418" s="4" t="inlineStr">
        <is>
          <t>HNX04 (LK)</t>
        </is>
      </c>
      <c r="C418" s="216" t="n"/>
      <c r="D418" s="218" t="inlineStr">
        <is>
          <t>GTGD (VND)</t>
        </is>
      </c>
      <c r="E418" s="55" t="n"/>
      <c r="F418" s="4" t="inlineStr">
        <is>
          <t>Báo cáo</t>
        </is>
      </c>
      <c r="G418" s="22" t="inlineStr">
        <is>
          <t>Chỉ tiêu phái sinh</t>
        </is>
      </c>
      <c r="H418" s="4" t="inlineStr">
        <is>
          <t>TB</t>
        </is>
      </c>
      <c r="I418" s="55" t="n"/>
      <c r="J418" s="55" t="n"/>
      <c r="K418" s="55" t="n"/>
      <c r="L418" s="55" t="n"/>
      <c r="M418" s="55" t="n"/>
      <c r="N418" s="55" t="n"/>
      <c r="O418" s="55" t="n"/>
      <c r="P418" s="55" t="n"/>
      <c r="Q418" s="55" t="n"/>
      <c r="R418" s="55" t="n"/>
      <c r="S418" s="55" t="n"/>
      <c r="T418" s="55" t="n"/>
      <c r="U418" s="55" t="n"/>
      <c r="V418" s="55" t="n"/>
      <c r="W418" s="55" t="n"/>
      <c r="X418" s="55" t="n"/>
      <c r="Y418" s="55" t="n"/>
      <c r="Z418" s="55" t="n"/>
      <c r="AA418" s="55" t="n"/>
      <c r="AB418" s="55" t="n"/>
      <c r="AC418" s="55" t="n"/>
      <c r="AD418" s="55" t="n"/>
      <c r="AE418" s="55" t="n"/>
      <c r="AF418" s="55" t="n"/>
    </row>
    <row r="419" ht="16.5" customHeight="1" s="380">
      <c r="A419" s="55" t="n"/>
      <c r="B419" s="4" t="inlineStr">
        <is>
          <t>HNX04 (LK)</t>
        </is>
      </c>
      <c r="C419" s="216" t="n"/>
      <c r="D419" s="218" t="inlineStr">
        <is>
          <t>Trái phiếu chính phủ</t>
        </is>
      </c>
      <c r="E419" s="55" t="n"/>
      <c r="F419" s="4" t="inlineStr">
        <is>
          <t>Báo cáo</t>
        </is>
      </c>
      <c r="G419" s="22" t="inlineStr">
        <is>
          <t>Chỉ tiêu phái sinh</t>
        </is>
      </c>
      <c r="H419" s="4" t="inlineStr">
        <is>
          <t>TB</t>
        </is>
      </c>
      <c r="I419" s="55" t="inlineStr">
        <is>
          <t>TPCP</t>
        </is>
      </c>
      <c r="J419" s="55" t="n"/>
      <c r="K419" s="55" t="n"/>
      <c r="L419" s="55" t="n"/>
      <c r="M419" s="55" t="n"/>
      <c r="N419" s="55" t="n"/>
      <c r="O419" s="55" t="n"/>
      <c r="P419" s="55" t="n"/>
      <c r="Q419" s="55" t="n"/>
      <c r="R419" s="55" t="n"/>
      <c r="S419" s="55" t="n"/>
      <c r="T419" s="55" t="n"/>
      <c r="U419" s="55" t="n"/>
      <c r="V419" s="55" t="n"/>
      <c r="W419" s="55" t="n"/>
      <c r="X419" s="55" t="n"/>
      <c r="Y419" s="55" t="n"/>
      <c r="Z419" s="55" t="n"/>
      <c r="AA419" s="55" t="n"/>
      <c r="AB419" s="55" t="n"/>
      <c r="AC419" s="55" t="n"/>
      <c r="AD419" s="55" t="n"/>
      <c r="AE419" s="55" t="n"/>
      <c r="AF419" s="55" t="n"/>
    </row>
    <row r="420" ht="16.5" customHeight="1" s="380">
      <c r="A420" s="55" t="n"/>
      <c r="B420" s="4" t="inlineStr">
        <is>
          <t>HNX04 (LK)</t>
        </is>
      </c>
      <c r="C420" s="216" t="n"/>
      <c r="D420" s="218" t="inlineStr">
        <is>
          <t>Trái phiếu chính quyền địa phương</t>
        </is>
      </c>
      <c r="E420" s="55" t="n"/>
      <c r="F420" s="4" t="inlineStr">
        <is>
          <t>Báo cáo</t>
        </is>
      </c>
      <c r="G420" s="22" t="inlineStr">
        <is>
          <t>Chỉ tiêu phái sinh</t>
        </is>
      </c>
      <c r="H420" s="4" t="inlineStr">
        <is>
          <t>TB</t>
        </is>
      </c>
      <c r="I420" s="55" t="inlineStr">
        <is>
          <t>TP Chính quyền ĐP</t>
        </is>
      </c>
      <c r="J420" s="55" t="n"/>
      <c r="K420" s="55" t="n"/>
      <c r="L420" s="55" t="n"/>
      <c r="M420" s="55" t="n"/>
      <c r="N420" s="55" t="n"/>
      <c r="O420" s="55" t="n"/>
      <c r="P420" s="55" t="n"/>
      <c r="Q420" s="55" t="n"/>
      <c r="R420" s="55" t="n"/>
      <c r="S420" s="55" t="n"/>
      <c r="T420" s="55" t="n"/>
      <c r="U420" s="55" t="n"/>
      <c r="V420" s="55" t="n"/>
      <c r="W420" s="55" t="n"/>
      <c r="X420" s="55" t="n"/>
      <c r="Y420" s="55" t="n"/>
      <c r="Z420" s="55" t="n"/>
      <c r="AA420" s="55" t="n"/>
      <c r="AB420" s="55" t="n"/>
      <c r="AC420" s="55" t="n"/>
      <c r="AD420" s="55" t="n"/>
      <c r="AE420" s="55" t="n"/>
      <c r="AF420" s="55" t="n"/>
    </row>
    <row r="421" ht="16.5" customHeight="1" s="380">
      <c r="A421" s="55" t="n"/>
      <c r="B421" s="4" t="inlineStr">
        <is>
          <t>HNX04 (LK)</t>
        </is>
      </c>
      <c r="C421" s="216" t="n"/>
      <c r="D421" s="218" t="inlineStr">
        <is>
          <t>Trái phiếu chính phủ bảo lãnh</t>
        </is>
      </c>
      <c r="E421" s="55" t="n"/>
      <c r="F421" s="4" t="inlineStr">
        <is>
          <t>Báo cáo</t>
        </is>
      </c>
      <c r="G421" s="22" t="inlineStr">
        <is>
          <t>Chỉ tiêu phái sinh</t>
        </is>
      </c>
      <c r="H421" s="4" t="inlineStr">
        <is>
          <t>TB</t>
        </is>
      </c>
      <c r="I421" s="55" t="inlineStr">
        <is>
          <t>TPCP bảo lãnh</t>
        </is>
      </c>
      <c r="J421" s="55" t="n"/>
      <c r="K421" s="55" t="n"/>
      <c r="L421" s="55" t="n"/>
      <c r="M421" s="55" t="n"/>
      <c r="N421" s="55" t="n"/>
      <c r="O421" s="55" t="n"/>
      <c r="P421" s="55" t="n"/>
      <c r="Q421" s="55" t="n"/>
      <c r="R421" s="55" t="n"/>
      <c r="S421" s="55" t="n"/>
      <c r="T421" s="55" t="n"/>
      <c r="U421" s="55" t="n"/>
      <c r="V421" s="55" t="n"/>
      <c r="W421" s="55" t="n"/>
      <c r="X421" s="55" t="n"/>
      <c r="Y421" s="55" t="n"/>
      <c r="Z421" s="55" t="n"/>
      <c r="AA421" s="55" t="n"/>
      <c r="AB421" s="55" t="n"/>
      <c r="AC421" s="55" t="n"/>
      <c r="AD421" s="55" t="n"/>
      <c r="AE421" s="55" t="n"/>
      <c r="AF421" s="55" t="n"/>
    </row>
    <row r="422" ht="16.5" customHeight="1" s="380">
      <c r="A422" s="55" t="n"/>
      <c r="B422" s="4" t="inlineStr">
        <is>
          <t>HNX04 (LK)</t>
        </is>
      </c>
      <c r="C422" s="216" t="n"/>
      <c r="D422" s="218" t="inlineStr">
        <is>
          <t>Tín phiếu kho bạc</t>
        </is>
      </c>
      <c r="E422" s="55" t="n"/>
      <c r="F422" s="4" t="inlineStr">
        <is>
          <t>Báo cáo</t>
        </is>
      </c>
      <c r="G422" s="22" t="inlineStr">
        <is>
          <t>Chỉ tiêu phái sinh</t>
        </is>
      </c>
      <c r="H422" s="4" t="inlineStr">
        <is>
          <t>TB</t>
        </is>
      </c>
      <c r="I422" s="55" t="inlineStr">
        <is>
          <t>Tín phiếu kho bạc</t>
        </is>
      </c>
      <c r="J422" s="55" t="n"/>
      <c r="K422" s="55" t="n"/>
      <c r="L422" s="55" t="n"/>
      <c r="M422" s="55" t="n"/>
      <c r="N422" s="55" t="n"/>
      <c r="O422" s="55" t="n"/>
      <c r="P422" s="55" t="n"/>
      <c r="Q422" s="55" t="n"/>
      <c r="R422" s="55" t="n"/>
      <c r="S422" s="55" t="n"/>
      <c r="T422" s="55" t="n"/>
      <c r="U422" s="55" t="n"/>
      <c r="V422" s="55" t="n"/>
      <c r="W422" s="55" t="n"/>
      <c r="X422" s="55" t="n"/>
      <c r="Y422" s="55" t="n"/>
      <c r="Z422" s="55" t="n"/>
      <c r="AA422" s="55" t="n"/>
      <c r="AB422" s="55" t="n"/>
      <c r="AC422" s="55" t="n"/>
      <c r="AD422" s="55" t="n"/>
      <c r="AE422" s="55" t="n"/>
      <c r="AF422" s="55" t="n"/>
    </row>
    <row r="423" ht="16.5" customHeight="1" s="380">
      <c r="A423" s="55" t="n"/>
      <c r="B423" s="4" t="inlineStr">
        <is>
          <t>HNX04 (LK)</t>
        </is>
      </c>
      <c r="C423" s="216" t="n"/>
      <c r="D423" s="218" t="inlineStr">
        <is>
          <t>KLGD (trái phiếu)</t>
        </is>
      </c>
      <c r="E423" s="55" t="n"/>
      <c r="F423" s="4" t="inlineStr">
        <is>
          <t>Báo cáo</t>
        </is>
      </c>
      <c r="G423" s="22" t="inlineStr">
        <is>
          <t>Chỉ tiêu phái sinh</t>
        </is>
      </c>
      <c r="H423" s="4" t="inlineStr">
        <is>
          <t>TB</t>
        </is>
      </c>
      <c r="I423" s="55" t="n"/>
      <c r="J423" s="55" t="n"/>
      <c r="K423" s="55" t="n"/>
      <c r="L423" s="55" t="n"/>
      <c r="M423" s="55" t="n"/>
      <c r="N423" s="55" t="n"/>
      <c r="O423" s="55" t="n"/>
      <c r="P423" s="55" t="n"/>
      <c r="Q423" s="55" t="n"/>
      <c r="R423" s="55" t="n"/>
      <c r="S423" s="55" t="n"/>
      <c r="T423" s="55" t="n"/>
      <c r="U423" s="55" t="n"/>
      <c r="V423" s="55" t="n"/>
      <c r="W423" s="55" t="n"/>
      <c r="X423" s="55" t="n"/>
      <c r="Y423" s="55" t="n"/>
      <c r="Z423" s="55" t="n"/>
      <c r="AA423" s="55" t="n"/>
      <c r="AB423" s="55" t="n"/>
      <c r="AC423" s="55" t="n"/>
      <c r="AD423" s="55" t="n"/>
      <c r="AE423" s="55" t="n"/>
      <c r="AF423" s="55" t="n"/>
    </row>
    <row r="424" ht="16.5" customHeight="1" s="380">
      <c r="A424" s="55" t="n"/>
      <c r="B424" s="4" t="inlineStr">
        <is>
          <t>HNX04 (LK)</t>
        </is>
      </c>
      <c r="C424" s="216" t="n"/>
      <c r="D424" s="218" t="inlineStr">
        <is>
          <t>Trái phiếu chính phủ</t>
        </is>
      </c>
      <c r="E424" s="55" t="n"/>
      <c r="F424" s="4" t="inlineStr">
        <is>
          <t>Báo cáo</t>
        </is>
      </c>
      <c r="G424" s="22" t="inlineStr">
        <is>
          <t>Chỉ tiêu phái sinh</t>
        </is>
      </c>
      <c r="H424" s="4" t="inlineStr">
        <is>
          <t>TB</t>
        </is>
      </c>
      <c r="I424" s="55" t="inlineStr">
        <is>
          <t>TPCP</t>
        </is>
      </c>
      <c r="J424" s="55" t="n"/>
      <c r="K424" s="55" t="n"/>
      <c r="L424" s="55" t="n"/>
      <c r="M424" s="55" t="n"/>
      <c r="N424" s="55" t="n"/>
      <c r="O424" s="55" t="n"/>
      <c r="P424" s="55" t="n"/>
      <c r="Q424" s="55" t="n"/>
      <c r="R424" s="55" t="n"/>
      <c r="S424" s="55" t="n"/>
      <c r="T424" s="55" t="n"/>
      <c r="U424" s="55" t="n"/>
      <c r="V424" s="55" t="n"/>
      <c r="W424" s="55" t="n"/>
      <c r="X424" s="55" t="n"/>
      <c r="Y424" s="55" t="n"/>
      <c r="Z424" s="55" t="n"/>
      <c r="AA424" s="55" t="n"/>
      <c r="AB424" s="55" t="n"/>
      <c r="AC424" s="55" t="n"/>
      <c r="AD424" s="55" t="n"/>
      <c r="AE424" s="55" t="n"/>
      <c r="AF424" s="55" t="n"/>
    </row>
    <row r="425" ht="16.5" customHeight="1" s="380">
      <c r="A425" s="55" t="n"/>
      <c r="B425" s="4" t="inlineStr">
        <is>
          <t>HNX04 (LK)</t>
        </is>
      </c>
      <c r="C425" s="216" t="n"/>
      <c r="D425" s="218" t="inlineStr">
        <is>
          <t>Trái phiếu chính quyền địa phương</t>
        </is>
      </c>
      <c r="E425" s="55" t="n"/>
      <c r="F425" s="4" t="inlineStr">
        <is>
          <t>Báo cáo</t>
        </is>
      </c>
      <c r="G425" s="22" t="inlineStr">
        <is>
          <t>Chỉ tiêu phái sinh</t>
        </is>
      </c>
      <c r="H425" s="4" t="inlineStr">
        <is>
          <t>TB</t>
        </is>
      </c>
      <c r="I425" s="55" t="inlineStr">
        <is>
          <t>TP Chính quyền ĐP</t>
        </is>
      </c>
      <c r="J425" s="55" t="n"/>
      <c r="K425" s="55" t="n"/>
      <c r="L425" s="55" t="n"/>
      <c r="M425" s="55" t="n"/>
      <c r="N425" s="55" t="n"/>
      <c r="O425" s="55" t="n"/>
      <c r="P425" s="55" t="n"/>
      <c r="Q425" s="55" t="n"/>
      <c r="R425" s="55" t="n"/>
      <c r="S425" s="55" t="n"/>
      <c r="T425" s="55" t="n"/>
      <c r="U425" s="55" t="n"/>
      <c r="V425" s="55" t="n"/>
      <c r="W425" s="55" t="n"/>
      <c r="X425" s="55" t="n"/>
      <c r="Y425" s="55" t="n"/>
      <c r="Z425" s="55" t="n"/>
      <c r="AA425" s="55" t="n"/>
      <c r="AB425" s="55" t="n"/>
      <c r="AC425" s="55" t="n"/>
      <c r="AD425" s="55" t="n"/>
      <c r="AE425" s="55" t="n"/>
      <c r="AF425" s="55" t="n"/>
    </row>
    <row r="426" ht="16.5" customHeight="1" s="380">
      <c r="A426" s="55" t="n"/>
      <c r="B426" s="4" t="inlineStr">
        <is>
          <t>HNX04 (LK)</t>
        </is>
      </c>
      <c r="C426" s="216" t="n"/>
      <c r="D426" s="218" t="inlineStr">
        <is>
          <t>Trái phiếu chính phủ bảo lãnh</t>
        </is>
      </c>
      <c r="E426" s="55" t="n"/>
      <c r="F426" s="4" t="inlineStr">
        <is>
          <t>Báo cáo</t>
        </is>
      </c>
      <c r="G426" s="22" t="inlineStr">
        <is>
          <t>Chỉ tiêu phái sinh</t>
        </is>
      </c>
      <c r="H426" s="4" t="inlineStr">
        <is>
          <t>TB</t>
        </is>
      </c>
      <c r="I426" s="55" t="inlineStr">
        <is>
          <t>TPCP bảo lãnh</t>
        </is>
      </c>
      <c r="J426" s="55" t="n"/>
      <c r="K426" s="55" t="n"/>
      <c r="L426" s="55" t="n"/>
      <c r="M426" s="55" t="n"/>
      <c r="N426" s="55" t="n"/>
      <c r="O426" s="55" t="n"/>
      <c r="P426" s="55" t="n"/>
      <c r="Q426" s="55" t="n"/>
      <c r="R426" s="55" t="n"/>
      <c r="S426" s="55" t="n"/>
      <c r="T426" s="55" t="n"/>
      <c r="U426" s="55" t="n"/>
      <c r="V426" s="55" t="n"/>
      <c r="W426" s="55" t="n"/>
      <c r="X426" s="55" t="n"/>
      <c r="Y426" s="55" t="n"/>
      <c r="Z426" s="55" t="n"/>
      <c r="AA426" s="55" t="n"/>
      <c r="AB426" s="55" t="n"/>
      <c r="AC426" s="55" t="n"/>
      <c r="AD426" s="55" t="n"/>
      <c r="AE426" s="55" t="n"/>
      <c r="AF426" s="55" t="n"/>
    </row>
    <row r="427" ht="16.5" customHeight="1" s="380">
      <c r="A427" s="55" t="n"/>
      <c r="B427" s="4" t="inlineStr">
        <is>
          <t>HNX04 (LK)</t>
        </is>
      </c>
      <c r="C427" s="216" t="n"/>
      <c r="D427" s="218" t="inlineStr">
        <is>
          <t>Tín phiếu kho bạc</t>
        </is>
      </c>
      <c r="E427" s="55" t="n"/>
      <c r="F427" s="4" t="inlineStr">
        <is>
          <t>Báo cáo</t>
        </is>
      </c>
      <c r="G427" s="22" t="inlineStr">
        <is>
          <t>Chỉ tiêu phái sinh</t>
        </is>
      </c>
      <c r="H427" s="4" t="inlineStr">
        <is>
          <t>TB</t>
        </is>
      </c>
      <c r="I427" s="55" t="inlineStr">
        <is>
          <t>Tín phiếu kho bạc</t>
        </is>
      </c>
      <c r="J427" s="55" t="n"/>
      <c r="K427" s="55" t="n"/>
      <c r="L427" s="55" t="n"/>
      <c r="M427" s="55" t="n"/>
      <c r="N427" s="55" t="n"/>
      <c r="O427" s="55" t="n"/>
      <c r="P427" s="55" t="n"/>
      <c r="Q427" s="55" t="n"/>
      <c r="R427" s="55" t="n"/>
      <c r="S427" s="55" t="n"/>
      <c r="T427" s="55" t="n"/>
      <c r="U427" s="55" t="n"/>
      <c r="V427" s="55" t="n"/>
      <c r="W427" s="55" t="n"/>
      <c r="X427" s="55" t="n"/>
      <c r="Y427" s="55" t="n"/>
      <c r="Z427" s="55" t="n"/>
      <c r="AA427" s="55" t="n"/>
      <c r="AB427" s="55" t="n"/>
      <c r="AC427" s="55" t="n"/>
      <c r="AD427" s="55" t="n"/>
      <c r="AE427" s="55" t="n"/>
      <c r="AF427" s="55" t="n"/>
    </row>
    <row r="428" ht="16.5" customHeight="1" s="380">
      <c r="A428" s="55" t="n"/>
      <c r="B428" s="4" t="inlineStr">
        <is>
          <t>HNX04 (LK)</t>
        </is>
      </c>
      <c r="C428" s="216" t="n"/>
      <c r="D428" s="218" t="inlineStr">
        <is>
          <t>Giá trị chứng khoán giao dịch (VND)</t>
        </is>
      </c>
      <c r="E428" s="55" t="n"/>
      <c r="F428" s="4" t="inlineStr">
        <is>
          <t>Báo cáo</t>
        </is>
      </c>
      <c r="G428" s="22" t="inlineStr">
        <is>
          <t>Chỉ tiêu phái sinh</t>
        </is>
      </c>
      <c r="H428" s="4" t="inlineStr">
        <is>
          <t>TB</t>
        </is>
      </c>
      <c r="I428" s="55" t="n"/>
      <c r="J428" s="55" t="n"/>
      <c r="K428" s="55" t="n"/>
      <c r="L428" s="55" t="n"/>
      <c r="M428" s="55" t="n"/>
      <c r="N428" s="55" t="n"/>
      <c r="O428" s="55" t="n"/>
      <c r="P428" s="55" t="n"/>
      <c r="Q428" s="55" t="n"/>
      <c r="R428" s="55" t="n"/>
      <c r="S428" s="55" t="n"/>
      <c r="T428" s="55" t="n"/>
      <c r="U428" s="55" t="n"/>
      <c r="V428" s="55" t="n"/>
      <c r="W428" s="55" t="n"/>
      <c r="X428" s="55" t="n"/>
      <c r="Y428" s="55" t="n"/>
      <c r="Z428" s="55" t="n"/>
      <c r="AA428" s="55" t="n"/>
      <c r="AB428" s="55" t="n"/>
      <c r="AC428" s="55" t="n"/>
      <c r="AD428" s="55" t="n"/>
      <c r="AE428" s="55" t="n"/>
      <c r="AF428" s="55" t="n"/>
    </row>
    <row r="429" ht="16.5" customHeight="1" s="380">
      <c r="A429" s="55" t="n"/>
      <c r="B429" s="4" t="inlineStr">
        <is>
          <t>HNX04 (LK)</t>
        </is>
      </c>
      <c r="C429" s="216" t="n"/>
      <c r="D429" s="218" t="inlineStr">
        <is>
          <t>Cổ phiếu niêm yết</t>
        </is>
      </c>
      <c r="E429" s="55" t="n"/>
      <c r="F429" s="4" t="inlineStr">
        <is>
          <t>Báo cáo</t>
        </is>
      </c>
      <c r="G429" s="22" t="inlineStr">
        <is>
          <t>Chỉ tiêu phái sinh</t>
        </is>
      </c>
      <c r="H429" s="4" t="inlineStr">
        <is>
          <t>TB</t>
        </is>
      </c>
      <c r="I429" s="55" t="inlineStr">
        <is>
          <t>CPNY</t>
        </is>
      </c>
      <c r="J429" s="55" t="n"/>
      <c r="K429" s="55" t="n"/>
      <c r="L429" s="55" t="n"/>
      <c r="M429" s="55" t="n"/>
      <c r="N429" s="55" t="n"/>
      <c r="O429" s="55" t="n"/>
      <c r="P429" s="55" t="n"/>
      <c r="Q429" s="55" t="n"/>
      <c r="R429" s="55" t="n"/>
      <c r="S429" s="55" t="n"/>
      <c r="T429" s="55" t="n"/>
      <c r="U429" s="55" t="n"/>
      <c r="V429" s="55" t="n"/>
      <c r="W429" s="55" t="n"/>
      <c r="X429" s="55" t="n"/>
      <c r="Y429" s="55" t="n"/>
      <c r="Z429" s="55" t="n"/>
      <c r="AA429" s="55" t="n"/>
      <c r="AB429" s="55" t="n"/>
      <c r="AC429" s="55" t="n"/>
      <c r="AD429" s="55" t="n"/>
      <c r="AE429" s="55" t="n"/>
      <c r="AF429" s="55" t="n"/>
    </row>
    <row r="430" ht="16.5" customHeight="1" s="380">
      <c r="A430" s="55" t="n"/>
      <c r="B430" s="4" t="inlineStr">
        <is>
          <t>HNX04 (LK)</t>
        </is>
      </c>
      <c r="C430" s="216" t="n"/>
      <c r="D430" s="218" t="inlineStr">
        <is>
          <t>Cổ phiếu đăng ký giao dịch</t>
        </is>
      </c>
      <c r="E430" s="55" t="n"/>
      <c r="F430" s="4" t="inlineStr">
        <is>
          <t>Báo cáo</t>
        </is>
      </c>
      <c r="G430" s="22" t="inlineStr">
        <is>
          <t>Chỉ tiêu phái sinh</t>
        </is>
      </c>
      <c r="H430" s="4" t="inlineStr">
        <is>
          <t>TB</t>
        </is>
      </c>
      <c r="I430" s="55" t="inlineStr">
        <is>
          <t>CP đăng ký GD</t>
        </is>
      </c>
      <c r="J430" s="55" t="n"/>
      <c r="K430" s="55" t="n"/>
      <c r="L430" s="55" t="n"/>
      <c r="M430" s="55" t="n"/>
      <c r="N430" s="55" t="n"/>
      <c r="O430" s="55" t="n"/>
      <c r="P430" s="55" t="n"/>
      <c r="Q430" s="55" t="n"/>
      <c r="R430" s="55" t="n"/>
      <c r="S430" s="55" t="n"/>
      <c r="T430" s="55" t="n"/>
      <c r="U430" s="55" t="n"/>
      <c r="V430" s="55" t="n"/>
      <c r="W430" s="55" t="n"/>
      <c r="X430" s="55" t="n"/>
      <c r="Y430" s="55" t="n"/>
      <c r="Z430" s="55" t="n"/>
      <c r="AA430" s="55" t="n"/>
      <c r="AB430" s="55" t="n"/>
      <c r="AC430" s="55" t="n"/>
      <c r="AD430" s="55" t="n"/>
      <c r="AE430" s="55" t="n"/>
      <c r="AF430" s="55" t="n"/>
    </row>
    <row r="431" ht="16.5" customHeight="1" s="380">
      <c r="A431" s="55" t="n"/>
      <c r="B431" s="4" t="inlineStr">
        <is>
          <t>HNX04 (LK)</t>
        </is>
      </c>
      <c r="C431" s="216" t="n"/>
      <c r="D431" s="218" t="inlineStr">
        <is>
          <t>Trái phiếu chính phủ</t>
        </is>
      </c>
      <c r="E431" s="55" t="n"/>
      <c r="F431" s="4" t="inlineStr">
        <is>
          <t>Báo cáo</t>
        </is>
      </c>
      <c r="G431" s="22" t="inlineStr">
        <is>
          <t>Chỉ tiêu phái sinh</t>
        </is>
      </c>
      <c r="H431" s="4" t="inlineStr">
        <is>
          <t>TB</t>
        </is>
      </c>
      <c r="I431" s="55" t="inlineStr">
        <is>
          <t>TPCP</t>
        </is>
      </c>
      <c r="J431" s="55" t="n"/>
      <c r="K431" s="55" t="n"/>
      <c r="L431" s="55" t="n"/>
      <c r="M431" s="55" t="n"/>
      <c r="N431" s="55" t="n"/>
      <c r="O431" s="55" t="n"/>
      <c r="P431" s="55" t="n"/>
      <c r="Q431" s="55" t="n"/>
      <c r="R431" s="55" t="n"/>
      <c r="S431" s="55" t="n"/>
      <c r="T431" s="55" t="n"/>
      <c r="U431" s="55" t="n"/>
      <c r="V431" s="55" t="n"/>
      <c r="W431" s="55" t="n"/>
      <c r="X431" s="55" t="n"/>
      <c r="Y431" s="55" t="n"/>
      <c r="Z431" s="55" t="n"/>
      <c r="AA431" s="55" t="n"/>
      <c r="AB431" s="55" t="n"/>
      <c r="AC431" s="55" t="n"/>
      <c r="AD431" s="55" t="n"/>
      <c r="AE431" s="55" t="n"/>
      <c r="AF431" s="55" t="n"/>
    </row>
    <row r="432" ht="16.5" customHeight="1" s="380">
      <c r="A432" s="55" t="n"/>
      <c r="B432" s="4" t="inlineStr">
        <is>
          <t>HNX04 (LK)</t>
        </is>
      </c>
      <c r="C432" s="216" t="n"/>
      <c r="D432" s="218" t="inlineStr">
        <is>
          <t>Trái phiếu chính quyền địa phương</t>
        </is>
      </c>
      <c r="E432" s="55" t="n"/>
      <c r="F432" s="4" t="inlineStr">
        <is>
          <t>Báo cáo</t>
        </is>
      </c>
      <c r="G432" s="22" t="inlineStr">
        <is>
          <t>Chỉ tiêu phái sinh</t>
        </is>
      </c>
      <c r="H432" s="4" t="inlineStr">
        <is>
          <t>TB</t>
        </is>
      </c>
      <c r="I432" s="55" t="inlineStr">
        <is>
          <t>TP Chính quyền ĐP</t>
        </is>
      </c>
      <c r="J432" s="55" t="n"/>
      <c r="K432" s="55" t="n"/>
      <c r="L432" s="55" t="n"/>
      <c r="M432" s="55" t="n"/>
      <c r="N432" s="55" t="n"/>
      <c r="O432" s="55" t="n"/>
      <c r="P432" s="55" t="n"/>
      <c r="Q432" s="55" t="n"/>
      <c r="R432" s="55" t="n"/>
      <c r="S432" s="55" t="n"/>
      <c r="T432" s="55" t="n"/>
      <c r="U432" s="55" t="n"/>
      <c r="V432" s="55" t="n"/>
      <c r="W432" s="55" t="n"/>
      <c r="X432" s="55" t="n"/>
      <c r="Y432" s="55" t="n"/>
      <c r="Z432" s="55" t="n"/>
      <c r="AA432" s="55" t="n"/>
      <c r="AB432" s="55" t="n"/>
      <c r="AC432" s="55" t="n"/>
      <c r="AD432" s="55" t="n"/>
      <c r="AE432" s="55" t="n"/>
      <c r="AF432" s="55" t="n"/>
    </row>
    <row r="433" ht="16.5" customHeight="1" s="380">
      <c r="A433" s="55" t="n"/>
      <c r="B433" s="4" t="inlineStr">
        <is>
          <t>HNX04 (LK)</t>
        </is>
      </c>
      <c r="C433" s="216" t="n"/>
      <c r="D433" s="218" t="inlineStr">
        <is>
          <t>Trái phiếu chính phủ bảo lãnh</t>
        </is>
      </c>
      <c r="E433" s="55" t="n"/>
      <c r="F433" s="4" t="inlineStr">
        <is>
          <t>Báo cáo</t>
        </is>
      </c>
      <c r="G433" s="22" t="inlineStr">
        <is>
          <t>Chỉ tiêu phái sinh</t>
        </is>
      </c>
      <c r="H433" s="4" t="inlineStr">
        <is>
          <t>TB</t>
        </is>
      </c>
      <c r="I433" s="55" t="inlineStr">
        <is>
          <t>TPCP bảo lãnh</t>
        </is>
      </c>
      <c r="J433" s="55" t="n"/>
      <c r="K433" s="55" t="n"/>
      <c r="L433" s="55" t="n"/>
      <c r="M433" s="55" t="n"/>
      <c r="N433" s="55" t="n"/>
      <c r="O433" s="55" t="n"/>
      <c r="P433" s="55" t="n"/>
      <c r="Q433" s="55" t="n"/>
      <c r="R433" s="55" t="n"/>
      <c r="S433" s="55" t="n"/>
      <c r="T433" s="55" t="n"/>
      <c r="U433" s="55" t="n"/>
      <c r="V433" s="55" t="n"/>
      <c r="W433" s="55" t="n"/>
      <c r="X433" s="55" t="n"/>
      <c r="Y433" s="55" t="n"/>
      <c r="Z433" s="55" t="n"/>
      <c r="AA433" s="55" t="n"/>
      <c r="AB433" s="55" t="n"/>
      <c r="AC433" s="55" t="n"/>
      <c r="AD433" s="55" t="n"/>
      <c r="AE433" s="55" t="n"/>
      <c r="AF433" s="55" t="n"/>
    </row>
    <row r="434" ht="16.5" customHeight="1" s="380">
      <c r="A434" s="55" t="n"/>
      <c r="B434" s="4" t="inlineStr">
        <is>
          <t>HNX04 (LK)</t>
        </is>
      </c>
      <c r="C434" s="216" t="n"/>
      <c r="D434" s="218" t="inlineStr">
        <is>
          <t>Trái phiếu doanh nghiệp</t>
        </is>
      </c>
      <c r="E434" s="55" t="n"/>
      <c r="F434" s="4" t="inlineStr">
        <is>
          <t>Báo cáo</t>
        </is>
      </c>
      <c r="G434" s="22" t="inlineStr">
        <is>
          <t>Chỉ tiêu phái sinh</t>
        </is>
      </c>
      <c r="H434" s="4" t="inlineStr">
        <is>
          <t>TB</t>
        </is>
      </c>
      <c r="I434" s="55" t="inlineStr">
        <is>
          <t>TPDN</t>
        </is>
      </c>
      <c r="J434" s="55" t="n"/>
      <c r="K434" s="55" t="n"/>
      <c r="L434" s="55" t="n"/>
      <c r="M434" s="55" t="n"/>
      <c r="N434" s="55" t="n"/>
      <c r="O434" s="55" t="n"/>
      <c r="P434" s="55" t="n"/>
      <c r="Q434" s="55" t="n"/>
      <c r="R434" s="55" t="n"/>
      <c r="S434" s="55" t="n"/>
      <c r="T434" s="55" t="n"/>
      <c r="U434" s="55" t="n"/>
      <c r="V434" s="55" t="n"/>
      <c r="W434" s="55" t="n"/>
      <c r="X434" s="55" t="n"/>
      <c r="Y434" s="55" t="n"/>
      <c r="Z434" s="55" t="n"/>
      <c r="AA434" s="55" t="n"/>
      <c r="AB434" s="55" t="n"/>
      <c r="AC434" s="55" t="n"/>
      <c r="AD434" s="55" t="n"/>
      <c r="AE434" s="55" t="n"/>
      <c r="AF434" s="55" t="n"/>
    </row>
    <row r="435" ht="16.5" customHeight="1" s="380">
      <c r="A435" s="55" t="n"/>
      <c r="B435" s="4" t="inlineStr">
        <is>
          <t>HNX04 (LK)</t>
        </is>
      </c>
      <c r="C435" s="216" t="n"/>
      <c r="D435" s="218" t="inlineStr">
        <is>
          <t>Tín phiếu kho bạc</t>
        </is>
      </c>
      <c r="E435" s="55" t="n"/>
      <c r="F435" s="4" t="inlineStr">
        <is>
          <t>Báo cáo</t>
        </is>
      </c>
      <c r="G435" s="22" t="inlineStr">
        <is>
          <t>Chỉ tiêu phái sinh</t>
        </is>
      </c>
      <c r="H435" s="4" t="inlineStr">
        <is>
          <t>TB</t>
        </is>
      </c>
      <c r="I435" s="55" t="inlineStr">
        <is>
          <t>Tín phiếu kho bạc</t>
        </is>
      </c>
      <c r="J435" s="55" t="n"/>
      <c r="K435" s="55" t="n"/>
      <c r="L435" s="55" t="n"/>
      <c r="M435" s="55" t="n"/>
      <c r="N435" s="55" t="n"/>
      <c r="O435" s="55" t="n"/>
      <c r="P435" s="55" t="n"/>
      <c r="Q435" s="55" t="n"/>
      <c r="R435" s="55" t="n"/>
      <c r="S435" s="55" t="n"/>
      <c r="T435" s="55" t="n"/>
      <c r="U435" s="55" t="n"/>
      <c r="V435" s="55" t="n"/>
      <c r="W435" s="55" t="n"/>
      <c r="X435" s="55" t="n"/>
      <c r="Y435" s="55" t="n"/>
      <c r="Z435" s="55" t="n"/>
      <c r="AA435" s="55" t="n"/>
      <c r="AB435" s="55" t="n"/>
      <c r="AC435" s="55" t="n"/>
      <c r="AD435" s="55" t="n"/>
      <c r="AE435" s="55" t="n"/>
      <c r="AF435" s="55" t="n"/>
    </row>
    <row r="436" ht="16.5" customHeight="1" s="380">
      <c r="A436" s="55" t="n"/>
      <c r="B436" s="4" t="inlineStr">
        <is>
          <t>HNX04 (LK)</t>
        </is>
      </c>
      <c r="C436" s="216" t="n"/>
      <c r="D436" s="218" t="inlineStr">
        <is>
          <t>Chứng chỉ quỹ (ETF)</t>
        </is>
      </c>
      <c r="E436" s="55" t="n"/>
      <c r="F436" s="4" t="inlineStr">
        <is>
          <t>Báo cáo</t>
        </is>
      </c>
      <c r="G436" s="22" t="inlineStr">
        <is>
          <t>Chỉ tiêu phái sinh</t>
        </is>
      </c>
      <c r="H436" s="4" t="inlineStr">
        <is>
          <t>TB</t>
        </is>
      </c>
      <c r="I436" s="55" t="inlineStr">
        <is>
          <t>ETF</t>
        </is>
      </c>
      <c r="J436" s="55" t="n"/>
      <c r="K436" s="55" t="n"/>
      <c r="L436" s="55" t="n"/>
      <c r="M436" s="55" t="n"/>
      <c r="N436" s="55" t="n"/>
      <c r="O436" s="55" t="n"/>
      <c r="P436" s="55" t="n"/>
      <c r="Q436" s="55" t="n"/>
      <c r="R436" s="55" t="n"/>
      <c r="S436" s="55" t="n"/>
      <c r="T436" s="55" t="n"/>
      <c r="U436" s="55" t="n"/>
      <c r="V436" s="55" t="n"/>
      <c r="W436" s="55" t="n"/>
      <c r="X436" s="55" t="n"/>
      <c r="Y436" s="55" t="n"/>
      <c r="Z436" s="55" t="n"/>
      <c r="AA436" s="55" t="n"/>
      <c r="AB436" s="55" t="n"/>
      <c r="AC436" s="55" t="n"/>
      <c r="AD436" s="55" t="n"/>
      <c r="AE436" s="55" t="n"/>
      <c r="AF436" s="55" t="n"/>
    </row>
    <row r="437" ht="16.5" customHeight="1" s="380">
      <c r="A437" s="55" t="n"/>
      <c r="B437" s="4" t="inlineStr">
        <is>
          <t>HNX04 (LK)</t>
        </is>
      </c>
      <c r="C437" s="216" t="n"/>
      <c r="D437" s="218" t="inlineStr">
        <is>
          <t>Khối lượng chứng khoán giao dịch (chứng khoán)</t>
        </is>
      </c>
      <c r="E437" s="55" t="n"/>
      <c r="F437" s="4" t="inlineStr">
        <is>
          <t>Báo cáo</t>
        </is>
      </c>
      <c r="G437" s="22" t="inlineStr">
        <is>
          <t>Chỉ tiêu phái sinh</t>
        </is>
      </c>
      <c r="H437" s="4" t="inlineStr">
        <is>
          <t>TB</t>
        </is>
      </c>
      <c r="I437" s="55" t="n"/>
      <c r="J437" s="55" t="n"/>
      <c r="K437" s="55" t="n"/>
      <c r="L437" s="55" t="n"/>
      <c r="M437" s="55" t="n"/>
      <c r="N437" s="55" t="n"/>
      <c r="O437" s="55" t="n"/>
      <c r="P437" s="55" t="n"/>
      <c r="Q437" s="55" t="n"/>
      <c r="R437" s="55" t="n"/>
      <c r="S437" s="55" t="n"/>
      <c r="T437" s="55" t="n"/>
      <c r="U437" s="55" t="n"/>
      <c r="V437" s="55" t="n"/>
      <c r="W437" s="55" t="n"/>
      <c r="X437" s="55" t="n"/>
      <c r="Y437" s="55" t="n"/>
      <c r="Z437" s="55" t="n"/>
      <c r="AA437" s="55" t="n"/>
      <c r="AB437" s="55" t="n"/>
      <c r="AC437" s="55" t="n"/>
      <c r="AD437" s="55" t="n"/>
      <c r="AE437" s="55" t="n"/>
      <c r="AF437" s="55" t="n"/>
    </row>
    <row r="438" ht="16.5" customHeight="1" s="380">
      <c r="A438" s="55" t="n"/>
      <c r="B438" s="4" t="inlineStr">
        <is>
          <t>HNX04 (LK)</t>
        </is>
      </c>
      <c r="C438" s="216" t="n"/>
      <c r="D438" s="218" t="inlineStr">
        <is>
          <t>Cổ phiếu niêm yết</t>
        </is>
      </c>
      <c r="E438" s="55" t="n"/>
      <c r="F438" s="4" t="inlineStr">
        <is>
          <t>Báo cáo</t>
        </is>
      </c>
      <c r="G438" s="22" t="inlineStr">
        <is>
          <t>Chỉ tiêu phái sinh</t>
        </is>
      </c>
      <c r="H438" s="4" t="inlineStr">
        <is>
          <t>TB</t>
        </is>
      </c>
      <c r="I438" s="55" t="inlineStr">
        <is>
          <t>CPNY</t>
        </is>
      </c>
      <c r="J438" s="55" t="n"/>
      <c r="K438" s="55" t="n"/>
      <c r="L438" s="55" t="n"/>
      <c r="M438" s="55" t="n"/>
      <c r="N438" s="55" t="n"/>
      <c r="O438" s="55" t="n"/>
      <c r="P438" s="55" t="n"/>
      <c r="Q438" s="55" t="n"/>
      <c r="R438" s="55" t="n"/>
      <c r="S438" s="55" t="n"/>
      <c r="T438" s="55" t="n"/>
      <c r="U438" s="55" t="n"/>
      <c r="V438" s="55" t="n"/>
      <c r="W438" s="55" t="n"/>
      <c r="X438" s="55" t="n"/>
      <c r="Y438" s="55" t="n"/>
      <c r="Z438" s="55" t="n"/>
      <c r="AA438" s="55" t="n"/>
      <c r="AB438" s="55" t="n"/>
      <c r="AC438" s="55" t="n"/>
      <c r="AD438" s="55" t="n"/>
      <c r="AE438" s="55" t="n"/>
      <c r="AF438" s="55" t="n"/>
    </row>
    <row r="439" ht="16.5" customHeight="1" s="380">
      <c r="A439" s="55" t="n"/>
      <c r="B439" s="4" t="inlineStr">
        <is>
          <t>HNX04 (LK)</t>
        </is>
      </c>
      <c r="C439" s="216" t="n"/>
      <c r="D439" s="218" t="inlineStr">
        <is>
          <t>Cổ phiếu đăng ký giao dịch</t>
        </is>
      </c>
      <c r="E439" s="55" t="n"/>
      <c r="F439" s="4" t="inlineStr">
        <is>
          <t>Báo cáo</t>
        </is>
      </c>
      <c r="G439" s="22" t="inlineStr">
        <is>
          <t>Chỉ tiêu phái sinh</t>
        </is>
      </c>
      <c r="H439" s="4" t="inlineStr">
        <is>
          <t>TB</t>
        </is>
      </c>
      <c r="I439" s="55" t="inlineStr">
        <is>
          <t>CP đăng ký GD</t>
        </is>
      </c>
      <c r="J439" s="55" t="n"/>
      <c r="K439" s="55" t="n"/>
      <c r="L439" s="55" t="n"/>
      <c r="M439" s="55" t="n"/>
      <c r="N439" s="55" t="n"/>
      <c r="O439" s="55" t="n"/>
      <c r="P439" s="55" t="n"/>
      <c r="Q439" s="55" t="n"/>
      <c r="R439" s="55" t="n"/>
      <c r="S439" s="55" t="n"/>
      <c r="T439" s="55" t="n"/>
      <c r="U439" s="55" t="n"/>
      <c r="V439" s="55" t="n"/>
      <c r="W439" s="55" t="n"/>
      <c r="X439" s="55" t="n"/>
      <c r="Y439" s="55" t="n"/>
      <c r="Z439" s="55" t="n"/>
      <c r="AA439" s="55" t="n"/>
      <c r="AB439" s="55" t="n"/>
      <c r="AC439" s="55" t="n"/>
      <c r="AD439" s="55" t="n"/>
      <c r="AE439" s="55" t="n"/>
      <c r="AF439" s="55" t="n"/>
    </row>
    <row r="440" ht="16.5" customHeight="1" s="380">
      <c r="A440" s="55" t="n"/>
      <c r="B440" s="4" t="inlineStr">
        <is>
          <t>HNX04 (LK)</t>
        </is>
      </c>
      <c r="C440" s="216" t="n"/>
      <c r="D440" s="218" t="inlineStr">
        <is>
          <t>Trái phiếu chính phủ</t>
        </is>
      </c>
      <c r="E440" s="55" t="n"/>
      <c r="F440" s="4" t="inlineStr">
        <is>
          <t>Báo cáo</t>
        </is>
      </c>
      <c r="G440" s="22" t="inlineStr">
        <is>
          <t>Chỉ tiêu phái sinh</t>
        </is>
      </c>
      <c r="H440" s="4" t="inlineStr">
        <is>
          <t>TB</t>
        </is>
      </c>
      <c r="I440" s="55" t="inlineStr">
        <is>
          <t>TPCP</t>
        </is>
      </c>
      <c r="J440" s="55" t="n"/>
      <c r="K440" s="55" t="n"/>
      <c r="L440" s="55" t="n"/>
      <c r="M440" s="55" t="n"/>
      <c r="N440" s="55" t="n"/>
      <c r="O440" s="55" t="n"/>
      <c r="P440" s="55" t="n"/>
      <c r="Q440" s="55" t="n"/>
      <c r="R440" s="55" t="n"/>
      <c r="S440" s="55" t="n"/>
      <c r="T440" s="55" t="n"/>
      <c r="U440" s="55" t="n"/>
      <c r="V440" s="55" t="n"/>
      <c r="W440" s="55" t="n"/>
      <c r="X440" s="55" t="n"/>
      <c r="Y440" s="55" t="n"/>
      <c r="Z440" s="55" t="n"/>
      <c r="AA440" s="55" t="n"/>
      <c r="AB440" s="55" t="n"/>
      <c r="AC440" s="55" t="n"/>
      <c r="AD440" s="55" t="n"/>
      <c r="AE440" s="55" t="n"/>
      <c r="AF440" s="55" t="n"/>
    </row>
    <row r="441" ht="16.5" customHeight="1" s="380">
      <c r="A441" s="55" t="n"/>
      <c r="B441" s="4" t="inlineStr">
        <is>
          <t>HNX04 (LK)</t>
        </is>
      </c>
      <c r="C441" s="216" t="n"/>
      <c r="D441" s="218" t="inlineStr">
        <is>
          <t>Trái phiếu chính quyền địa phương</t>
        </is>
      </c>
      <c r="E441" s="55" t="n"/>
      <c r="F441" s="4" t="inlineStr">
        <is>
          <t>Báo cáo</t>
        </is>
      </c>
      <c r="G441" s="22" t="inlineStr">
        <is>
          <t>Chỉ tiêu phái sinh</t>
        </is>
      </c>
      <c r="H441" s="4" t="inlineStr">
        <is>
          <t>TB</t>
        </is>
      </c>
      <c r="I441" s="55" t="inlineStr">
        <is>
          <t>TP Chính quyền ĐP</t>
        </is>
      </c>
      <c r="J441" s="55" t="n"/>
      <c r="K441" s="55" t="n"/>
      <c r="L441" s="55" t="n"/>
      <c r="M441" s="55" t="n"/>
      <c r="N441" s="55" t="n"/>
      <c r="O441" s="55" t="n"/>
      <c r="P441" s="55" t="n"/>
      <c r="Q441" s="55" t="n"/>
      <c r="R441" s="55" t="n"/>
      <c r="S441" s="55" t="n"/>
      <c r="T441" s="55" t="n"/>
      <c r="U441" s="55" t="n"/>
      <c r="V441" s="55" t="n"/>
      <c r="W441" s="55" t="n"/>
      <c r="X441" s="55" t="n"/>
      <c r="Y441" s="55" t="n"/>
      <c r="Z441" s="55" t="n"/>
      <c r="AA441" s="55" t="n"/>
      <c r="AB441" s="55" t="n"/>
      <c r="AC441" s="55" t="n"/>
      <c r="AD441" s="55" t="n"/>
      <c r="AE441" s="55" t="n"/>
      <c r="AF441" s="55" t="n"/>
    </row>
    <row r="442" ht="16.5" customHeight="1" s="380">
      <c r="A442" s="55" t="n"/>
      <c r="B442" s="4" t="inlineStr">
        <is>
          <t>HNX04 (LK)</t>
        </is>
      </c>
      <c r="C442" s="216" t="n"/>
      <c r="D442" s="218" t="inlineStr">
        <is>
          <t>Trái phiếu chính phủ bảo lãnh</t>
        </is>
      </c>
      <c r="E442" s="55" t="n"/>
      <c r="F442" s="4" t="inlineStr">
        <is>
          <t>Báo cáo</t>
        </is>
      </c>
      <c r="G442" s="22" t="inlineStr">
        <is>
          <t>Chỉ tiêu phái sinh</t>
        </is>
      </c>
      <c r="H442" s="4" t="inlineStr">
        <is>
          <t>TB</t>
        </is>
      </c>
      <c r="I442" s="55" t="inlineStr">
        <is>
          <t>TPCP bảo lãnh</t>
        </is>
      </c>
      <c r="J442" s="55" t="n"/>
      <c r="K442" s="55" t="n"/>
      <c r="L442" s="55" t="n"/>
      <c r="M442" s="55" t="n"/>
      <c r="N442" s="55" t="n"/>
      <c r="O442" s="55" t="n"/>
      <c r="P442" s="55" t="n"/>
      <c r="Q442" s="55" t="n"/>
      <c r="R442" s="55" t="n"/>
      <c r="S442" s="55" t="n"/>
      <c r="T442" s="55" t="n"/>
      <c r="U442" s="55" t="n"/>
      <c r="V442" s="55" t="n"/>
      <c r="W442" s="55" t="n"/>
      <c r="X442" s="55" t="n"/>
      <c r="Y442" s="55" t="n"/>
      <c r="Z442" s="55" t="n"/>
      <c r="AA442" s="55" t="n"/>
      <c r="AB442" s="55" t="n"/>
      <c r="AC442" s="55" t="n"/>
      <c r="AD442" s="55" t="n"/>
      <c r="AE442" s="55" t="n"/>
      <c r="AF442" s="55" t="n"/>
    </row>
    <row r="443" ht="16.5" customHeight="1" s="380">
      <c r="A443" s="55" t="n"/>
      <c r="B443" s="4" t="inlineStr">
        <is>
          <t>HNX04 (LK)</t>
        </is>
      </c>
      <c r="C443" s="216" t="n"/>
      <c r="D443" s="218" t="inlineStr">
        <is>
          <t>Trái phiếu doanh nghiệp</t>
        </is>
      </c>
      <c r="E443" s="55" t="n"/>
      <c r="F443" s="4" t="inlineStr">
        <is>
          <t>Báo cáo</t>
        </is>
      </c>
      <c r="G443" s="22" t="inlineStr">
        <is>
          <t>Chỉ tiêu phái sinh</t>
        </is>
      </c>
      <c r="H443" s="4" t="inlineStr">
        <is>
          <t>TB</t>
        </is>
      </c>
      <c r="I443" s="55" t="inlineStr">
        <is>
          <t>TPDN</t>
        </is>
      </c>
      <c r="J443" s="55" t="n"/>
      <c r="K443" s="55" t="n"/>
      <c r="L443" s="55" t="n"/>
      <c r="M443" s="55" t="n"/>
      <c r="N443" s="55" t="n"/>
      <c r="O443" s="55" t="n"/>
      <c r="P443" s="55" t="n"/>
      <c r="Q443" s="55" t="n"/>
      <c r="R443" s="55" t="n"/>
      <c r="S443" s="55" t="n"/>
      <c r="T443" s="55" t="n"/>
      <c r="U443" s="55" t="n"/>
      <c r="V443" s="55" t="n"/>
      <c r="W443" s="55" t="n"/>
      <c r="X443" s="55" t="n"/>
      <c r="Y443" s="55" t="n"/>
      <c r="Z443" s="55" t="n"/>
      <c r="AA443" s="55" t="n"/>
      <c r="AB443" s="55" t="n"/>
      <c r="AC443" s="55" t="n"/>
      <c r="AD443" s="55" t="n"/>
      <c r="AE443" s="55" t="n"/>
      <c r="AF443" s="55" t="n"/>
    </row>
    <row r="444" ht="16.5" customHeight="1" s="380">
      <c r="A444" s="55" t="n"/>
      <c r="B444" s="4" t="inlineStr">
        <is>
          <t>HNX04 (LK)</t>
        </is>
      </c>
      <c r="C444" s="216" t="n"/>
      <c r="D444" s="218" t="inlineStr">
        <is>
          <t>Tín phiếu kho bạc</t>
        </is>
      </c>
      <c r="E444" s="55" t="n"/>
      <c r="F444" s="4" t="inlineStr">
        <is>
          <t>Báo cáo</t>
        </is>
      </c>
      <c r="G444" s="22" t="inlineStr">
        <is>
          <t>Chỉ tiêu phái sinh</t>
        </is>
      </c>
      <c r="H444" s="4" t="inlineStr">
        <is>
          <t>TB</t>
        </is>
      </c>
      <c r="I444" s="55" t="inlineStr">
        <is>
          <t>Tín phiếu kho bạc</t>
        </is>
      </c>
      <c r="J444" s="55" t="n"/>
      <c r="K444" s="55" t="n"/>
      <c r="L444" s="55" t="n"/>
      <c r="M444" s="55" t="n"/>
      <c r="N444" s="55" t="n"/>
      <c r="O444" s="55" t="n"/>
      <c r="P444" s="55" t="n"/>
      <c r="Q444" s="55" t="n"/>
      <c r="R444" s="55" t="n"/>
      <c r="S444" s="55" t="n"/>
      <c r="T444" s="55" t="n"/>
      <c r="U444" s="55" t="n"/>
      <c r="V444" s="55" t="n"/>
      <c r="W444" s="55" t="n"/>
      <c r="X444" s="55" t="n"/>
      <c r="Y444" s="55" t="n"/>
      <c r="Z444" s="55" t="n"/>
      <c r="AA444" s="55" t="n"/>
      <c r="AB444" s="55" t="n"/>
      <c r="AC444" s="55" t="n"/>
      <c r="AD444" s="55" t="n"/>
      <c r="AE444" s="55" t="n"/>
      <c r="AF444" s="55" t="n"/>
    </row>
    <row r="445" ht="16.5" customHeight="1" s="380">
      <c r="A445" s="55" t="n"/>
      <c r="B445" s="4" t="inlineStr">
        <is>
          <t>HNX04 (LK)</t>
        </is>
      </c>
      <c r="C445" s="216" t="n"/>
      <c r="D445" s="218" t="inlineStr">
        <is>
          <t>Chứng chỉ quỹ (ETF)</t>
        </is>
      </c>
      <c r="E445" s="55" t="n"/>
      <c r="F445" s="4" t="inlineStr">
        <is>
          <t>Báo cáo</t>
        </is>
      </c>
      <c r="G445" s="22" t="inlineStr">
        <is>
          <t>Chỉ tiêu phái sinh</t>
        </is>
      </c>
      <c r="H445" s="4" t="inlineStr">
        <is>
          <t>TB</t>
        </is>
      </c>
      <c r="I445" s="55" t="inlineStr">
        <is>
          <t>ETF</t>
        </is>
      </c>
      <c r="J445" s="55" t="n"/>
      <c r="K445" s="55" t="n"/>
      <c r="L445" s="55" t="n"/>
      <c r="M445" s="55" t="n"/>
      <c r="N445" s="55" t="n"/>
      <c r="O445" s="55" t="n"/>
      <c r="P445" s="55" t="n"/>
      <c r="Q445" s="55" t="n"/>
      <c r="R445" s="55" t="n"/>
      <c r="S445" s="55" t="n"/>
      <c r="T445" s="55" t="n"/>
      <c r="U445" s="55" t="n"/>
      <c r="V445" s="55" t="n"/>
      <c r="W445" s="55" t="n"/>
      <c r="X445" s="55" t="n"/>
      <c r="Y445" s="55" t="n"/>
      <c r="Z445" s="55" t="n"/>
      <c r="AA445" s="55" t="n"/>
      <c r="AB445" s="55" t="n"/>
      <c r="AC445" s="55" t="n"/>
      <c r="AD445" s="55" t="n"/>
      <c r="AE445" s="55" t="n"/>
      <c r="AF445" s="55" t="n"/>
    </row>
    <row r="446" ht="16.5" customHeight="1" s="380">
      <c r="A446" s="55" t="n"/>
      <c r="B446" s="4" t="inlineStr">
        <is>
          <t>HNX04 (LK)</t>
        </is>
      </c>
      <c r="C446" s="216" t="n"/>
      <c r="D446" s="218" t="inlineStr">
        <is>
          <t>Chứng khoán niêm yết mới (mã chứng khoán)</t>
        </is>
      </c>
      <c r="E446" s="55" t="n"/>
      <c r="F446" s="4" t="inlineStr">
        <is>
          <t>Báo cáo</t>
        </is>
      </c>
      <c r="G446" s="22" t="inlineStr">
        <is>
          <t>Chỉ tiêu phái sinh</t>
        </is>
      </c>
      <c r="H446" s="4" t="inlineStr">
        <is>
          <t>TB</t>
        </is>
      </c>
      <c r="I446" s="55" t="n"/>
      <c r="J446" s="55" t="n"/>
      <c r="K446" s="55" t="n"/>
      <c r="L446" s="55" t="n"/>
      <c r="M446" s="55" t="n"/>
      <c r="N446" s="55" t="n"/>
      <c r="O446" s="55" t="n"/>
      <c r="P446" s="55" t="n"/>
      <c r="Q446" s="55" t="n"/>
      <c r="R446" s="55" t="n"/>
      <c r="S446" s="55" t="n"/>
      <c r="T446" s="55" t="n"/>
      <c r="U446" s="55" t="n"/>
      <c r="V446" s="55" t="n"/>
      <c r="W446" s="55" t="n"/>
      <c r="X446" s="55" t="n"/>
      <c r="Y446" s="55" t="n"/>
      <c r="Z446" s="55" t="n"/>
      <c r="AA446" s="55" t="n"/>
      <c r="AB446" s="55" t="n"/>
      <c r="AC446" s="55" t="n"/>
      <c r="AD446" s="55" t="n"/>
      <c r="AE446" s="55" t="n"/>
      <c r="AF446" s="55" t="n"/>
    </row>
    <row r="447" ht="16.5" customHeight="1" s="380">
      <c r="A447" s="55" t="n"/>
      <c r="B447" s="4" t="inlineStr">
        <is>
          <t>HNX04 (LK)</t>
        </is>
      </c>
      <c r="C447" s="216" t="n"/>
      <c r="D447" s="218" t="inlineStr">
        <is>
          <t>Cổ phiếu niêm yết</t>
        </is>
      </c>
      <c r="E447" s="55" t="n"/>
      <c r="F447" s="4" t="inlineStr">
        <is>
          <t>Báo cáo</t>
        </is>
      </c>
      <c r="G447" s="22" t="inlineStr">
        <is>
          <t>Chỉ tiêu phái sinh</t>
        </is>
      </c>
      <c r="H447" s="4" t="inlineStr">
        <is>
          <t>TB</t>
        </is>
      </c>
      <c r="I447" s="55" t="inlineStr">
        <is>
          <t>CPNY</t>
        </is>
      </c>
      <c r="J447" s="55" t="n"/>
      <c r="K447" s="55" t="n"/>
      <c r="L447" s="55" t="n"/>
      <c r="M447" s="55" t="n"/>
      <c r="N447" s="55" t="n"/>
      <c r="O447" s="55" t="n"/>
      <c r="P447" s="55" t="n"/>
      <c r="Q447" s="55" t="n"/>
      <c r="R447" s="55" t="n"/>
      <c r="S447" s="55" t="n"/>
      <c r="T447" s="55" t="n"/>
      <c r="U447" s="55" t="n"/>
      <c r="V447" s="55" t="n"/>
      <c r="W447" s="55" t="n"/>
      <c r="X447" s="55" t="n"/>
      <c r="Y447" s="55" t="n"/>
      <c r="Z447" s="55" t="n"/>
      <c r="AA447" s="55" t="n"/>
      <c r="AB447" s="55" t="n"/>
      <c r="AC447" s="55" t="n"/>
      <c r="AD447" s="55" t="n"/>
      <c r="AE447" s="55" t="n"/>
      <c r="AF447" s="55" t="n"/>
    </row>
    <row r="448" ht="16.5" customHeight="1" s="380">
      <c r="A448" s="55" t="n"/>
      <c r="B448" s="4" t="inlineStr">
        <is>
          <t>HNX04 (LK)</t>
        </is>
      </c>
      <c r="C448" s="216" t="n"/>
      <c r="D448" s="218" t="inlineStr">
        <is>
          <t>Cổ phiếu đăng ký giao dịch</t>
        </is>
      </c>
      <c r="E448" s="55" t="n"/>
      <c r="F448" s="4" t="inlineStr">
        <is>
          <t>Báo cáo</t>
        </is>
      </c>
      <c r="G448" s="22" t="inlineStr">
        <is>
          <t>Chỉ tiêu phái sinh</t>
        </is>
      </c>
      <c r="H448" s="4" t="inlineStr">
        <is>
          <t>TB</t>
        </is>
      </c>
      <c r="I448" s="55" t="inlineStr">
        <is>
          <t>CP đăng ký GD</t>
        </is>
      </c>
      <c r="J448" s="55" t="n"/>
      <c r="K448" s="55" t="n"/>
      <c r="L448" s="55" t="n"/>
      <c r="M448" s="55" t="n"/>
      <c r="N448" s="55" t="n"/>
      <c r="O448" s="55" t="n"/>
      <c r="P448" s="55" t="n"/>
      <c r="Q448" s="55" t="n"/>
      <c r="R448" s="55" t="n"/>
      <c r="S448" s="55" t="n"/>
      <c r="T448" s="55" t="n"/>
      <c r="U448" s="55" t="n"/>
      <c r="V448" s="55" t="n"/>
      <c r="W448" s="55" t="n"/>
      <c r="X448" s="55" t="n"/>
      <c r="Y448" s="55" t="n"/>
      <c r="Z448" s="55" t="n"/>
      <c r="AA448" s="55" t="n"/>
      <c r="AB448" s="55" t="n"/>
      <c r="AC448" s="55" t="n"/>
      <c r="AD448" s="55" t="n"/>
      <c r="AE448" s="55" t="n"/>
      <c r="AF448" s="55" t="n"/>
    </row>
    <row r="449" ht="16.5" customHeight="1" s="380">
      <c r="A449" s="55" t="n"/>
      <c r="B449" s="4" t="inlineStr">
        <is>
          <t>HNX04 (LK)</t>
        </is>
      </c>
      <c r="C449" s="216" t="n"/>
      <c r="D449" s="218" t="inlineStr">
        <is>
          <t>Trái phiếu chính phủ</t>
        </is>
      </c>
      <c r="E449" s="55" t="n"/>
      <c r="F449" s="4" t="inlineStr">
        <is>
          <t>Báo cáo</t>
        </is>
      </c>
      <c r="G449" s="22" t="inlineStr">
        <is>
          <t>Chỉ tiêu phái sinh</t>
        </is>
      </c>
      <c r="H449" s="4" t="inlineStr">
        <is>
          <t>TB</t>
        </is>
      </c>
      <c r="I449" s="55" t="inlineStr">
        <is>
          <t>TPCP</t>
        </is>
      </c>
      <c r="J449" s="55" t="n"/>
      <c r="K449" s="55" t="n"/>
      <c r="L449" s="55" t="n"/>
      <c r="M449" s="55" t="n"/>
      <c r="N449" s="55" t="n"/>
      <c r="O449" s="55" t="n"/>
      <c r="P449" s="55" t="n"/>
      <c r="Q449" s="55" t="n"/>
      <c r="R449" s="55" t="n"/>
      <c r="S449" s="55" t="n"/>
      <c r="T449" s="55" t="n"/>
      <c r="U449" s="55" t="n"/>
      <c r="V449" s="55" t="n"/>
      <c r="W449" s="55" t="n"/>
      <c r="X449" s="55" t="n"/>
      <c r="Y449" s="55" t="n"/>
      <c r="Z449" s="55" t="n"/>
      <c r="AA449" s="55" t="n"/>
      <c r="AB449" s="55" t="n"/>
      <c r="AC449" s="55" t="n"/>
      <c r="AD449" s="55" t="n"/>
      <c r="AE449" s="55" t="n"/>
      <c r="AF449" s="55" t="n"/>
    </row>
    <row r="450" ht="16.5" customHeight="1" s="380">
      <c r="A450" s="55" t="n"/>
      <c r="B450" s="4" t="inlineStr">
        <is>
          <t>HNX04 (LK)</t>
        </is>
      </c>
      <c r="C450" s="216" t="n"/>
      <c r="D450" s="218" t="inlineStr">
        <is>
          <t>Trái phiếu chính quyền địa phương</t>
        </is>
      </c>
      <c r="E450" s="55" t="n"/>
      <c r="F450" s="4" t="inlineStr">
        <is>
          <t>Báo cáo</t>
        </is>
      </c>
      <c r="G450" s="22" t="inlineStr">
        <is>
          <t>Chỉ tiêu phái sinh</t>
        </is>
      </c>
      <c r="H450" s="4" t="inlineStr">
        <is>
          <t>TB</t>
        </is>
      </c>
      <c r="I450" s="55" t="inlineStr">
        <is>
          <t>TP Chính quyền ĐP</t>
        </is>
      </c>
      <c r="J450" s="55" t="n"/>
      <c r="K450" s="55" t="n"/>
      <c r="L450" s="55" t="n"/>
      <c r="M450" s="55" t="n"/>
      <c r="N450" s="55" t="n"/>
      <c r="O450" s="55" t="n"/>
      <c r="P450" s="55" t="n"/>
      <c r="Q450" s="55" t="n"/>
      <c r="R450" s="55" t="n"/>
      <c r="S450" s="55" t="n"/>
      <c r="T450" s="55" t="n"/>
      <c r="U450" s="55" t="n"/>
      <c r="V450" s="55" t="n"/>
      <c r="W450" s="55" t="n"/>
      <c r="X450" s="55" t="n"/>
      <c r="Y450" s="55" t="n"/>
      <c r="Z450" s="55" t="n"/>
      <c r="AA450" s="55" t="n"/>
      <c r="AB450" s="55" t="n"/>
      <c r="AC450" s="55" t="n"/>
      <c r="AD450" s="55" t="n"/>
      <c r="AE450" s="55" t="n"/>
      <c r="AF450" s="55" t="n"/>
    </row>
    <row r="451" ht="16.5" customHeight="1" s="380">
      <c r="A451" s="55" t="n"/>
      <c r="B451" s="4" t="inlineStr">
        <is>
          <t>HNX04 (LK)</t>
        </is>
      </c>
      <c r="C451" s="216" t="n"/>
      <c r="D451" s="218" t="inlineStr">
        <is>
          <t>Trái phiếu chính phủ bảo lãnh</t>
        </is>
      </c>
      <c r="E451" s="55" t="n"/>
      <c r="F451" s="4" t="inlineStr">
        <is>
          <t>Báo cáo</t>
        </is>
      </c>
      <c r="G451" s="22" t="inlineStr">
        <is>
          <t>Chỉ tiêu phái sinh</t>
        </is>
      </c>
      <c r="H451" s="4" t="inlineStr">
        <is>
          <t>TB</t>
        </is>
      </c>
      <c r="I451" s="55" t="inlineStr">
        <is>
          <t>TPCP bảo lãnh</t>
        </is>
      </c>
      <c r="J451" s="55" t="n"/>
      <c r="K451" s="55" t="n"/>
      <c r="L451" s="55" t="n"/>
      <c r="M451" s="55" t="n"/>
      <c r="N451" s="55" t="n"/>
      <c r="O451" s="55" t="n"/>
      <c r="P451" s="55" t="n"/>
      <c r="Q451" s="55" t="n"/>
      <c r="R451" s="55" t="n"/>
      <c r="S451" s="55" t="n"/>
      <c r="T451" s="55" t="n"/>
      <c r="U451" s="55" t="n"/>
      <c r="V451" s="55" t="n"/>
      <c r="W451" s="55" t="n"/>
      <c r="X451" s="55" t="n"/>
      <c r="Y451" s="55" t="n"/>
      <c r="Z451" s="55" t="n"/>
      <c r="AA451" s="55" t="n"/>
      <c r="AB451" s="55" t="n"/>
      <c r="AC451" s="55" t="n"/>
      <c r="AD451" s="55" t="n"/>
      <c r="AE451" s="55" t="n"/>
      <c r="AF451" s="55" t="n"/>
    </row>
    <row r="452" ht="16.5" customHeight="1" s="380">
      <c r="A452" s="55" t="n"/>
      <c r="B452" s="4" t="inlineStr">
        <is>
          <t>HNX04 (LK)</t>
        </is>
      </c>
      <c r="C452" s="216" t="n"/>
      <c r="D452" s="218" t="inlineStr">
        <is>
          <t>Trái phiếu doanh nghiệp</t>
        </is>
      </c>
      <c r="E452" s="55" t="n"/>
      <c r="F452" s="4" t="inlineStr">
        <is>
          <t>Báo cáo</t>
        </is>
      </c>
      <c r="G452" s="22" t="inlineStr">
        <is>
          <t>Chỉ tiêu phái sinh</t>
        </is>
      </c>
      <c r="H452" s="4" t="inlineStr">
        <is>
          <t>TB</t>
        </is>
      </c>
      <c r="I452" s="55" t="inlineStr">
        <is>
          <t>TPDN</t>
        </is>
      </c>
      <c r="J452" s="55" t="n"/>
      <c r="K452" s="55" t="n"/>
      <c r="L452" s="55" t="n"/>
      <c r="M452" s="55" t="n"/>
      <c r="N452" s="55" t="n"/>
      <c r="O452" s="55" t="n"/>
      <c r="P452" s="55" t="n"/>
      <c r="Q452" s="55" t="n"/>
      <c r="R452" s="55" t="n"/>
      <c r="S452" s="55" t="n"/>
      <c r="T452" s="55" t="n"/>
      <c r="U452" s="55" t="n"/>
      <c r="V452" s="55" t="n"/>
      <c r="W452" s="55" t="n"/>
      <c r="X452" s="55" t="n"/>
      <c r="Y452" s="55" t="n"/>
      <c r="Z452" s="55" t="n"/>
      <c r="AA452" s="55" t="n"/>
      <c r="AB452" s="55" t="n"/>
      <c r="AC452" s="55" t="n"/>
      <c r="AD452" s="55" t="n"/>
      <c r="AE452" s="55" t="n"/>
      <c r="AF452" s="55" t="n"/>
    </row>
    <row r="453" ht="16.5" customHeight="1" s="380">
      <c r="A453" s="55" t="n"/>
      <c r="B453" s="4" t="inlineStr">
        <is>
          <t>HNX04 (LK)</t>
        </is>
      </c>
      <c r="C453" s="216" t="n"/>
      <c r="D453" s="218" t="inlineStr">
        <is>
          <t>Tín phiếu kho bạc</t>
        </is>
      </c>
      <c r="E453" s="55" t="n"/>
      <c r="F453" s="4" t="inlineStr">
        <is>
          <t>Báo cáo</t>
        </is>
      </c>
      <c r="G453" s="22" t="inlineStr">
        <is>
          <t>Chỉ tiêu phái sinh</t>
        </is>
      </c>
      <c r="H453" s="4" t="inlineStr">
        <is>
          <t>TB</t>
        </is>
      </c>
      <c r="I453" s="55" t="inlineStr">
        <is>
          <t>Tín phiếu kho bạc</t>
        </is>
      </c>
      <c r="J453" s="55" t="n"/>
      <c r="K453" s="55" t="n"/>
      <c r="L453" s="55" t="n"/>
      <c r="M453" s="55" t="n"/>
      <c r="N453" s="55" t="n"/>
      <c r="O453" s="55" t="n"/>
      <c r="P453" s="55" t="n"/>
      <c r="Q453" s="55" t="n"/>
      <c r="R453" s="55" t="n"/>
      <c r="S453" s="55" t="n"/>
      <c r="T453" s="55" t="n"/>
      <c r="U453" s="55" t="n"/>
      <c r="V453" s="55" t="n"/>
      <c r="W453" s="55" t="n"/>
      <c r="X453" s="55" t="n"/>
      <c r="Y453" s="55" t="n"/>
      <c r="Z453" s="55" t="n"/>
      <c r="AA453" s="55" t="n"/>
      <c r="AB453" s="55" t="n"/>
      <c r="AC453" s="55" t="n"/>
      <c r="AD453" s="55" t="n"/>
      <c r="AE453" s="55" t="n"/>
      <c r="AF453" s="55" t="n"/>
    </row>
    <row r="454" ht="16.5" customHeight="1" s="380">
      <c r="A454" s="55" t="n"/>
      <c r="B454" s="4" t="inlineStr">
        <is>
          <t>HNX04 (LK)</t>
        </is>
      </c>
      <c r="C454" s="216" t="n"/>
      <c r="D454" s="218" t="inlineStr">
        <is>
          <t>Chứng chỉ quỹ (ETF)</t>
        </is>
      </c>
      <c r="E454" s="55" t="n"/>
      <c r="F454" s="4" t="inlineStr">
        <is>
          <t>Báo cáo</t>
        </is>
      </c>
      <c r="G454" s="22" t="inlineStr">
        <is>
          <t>Chỉ tiêu phái sinh</t>
        </is>
      </c>
      <c r="H454" s="4" t="inlineStr">
        <is>
          <t>TB</t>
        </is>
      </c>
      <c r="I454" s="55" t="inlineStr">
        <is>
          <t>ETF</t>
        </is>
      </c>
      <c r="J454" s="55" t="n"/>
      <c r="K454" s="55" t="n"/>
      <c r="L454" s="55" t="n"/>
      <c r="M454" s="55" t="n"/>
      <c r="N454" s="55" t="n"/>
      <c r="O454" s="55" t="n"/>
      <c r="P454" s="55" t="n"/>
      <c r="Q454" s="55" t="n"/>
      <c r="R454" s="55" t="n"/>
      <c r="S454" s="55" t="n"/>
      <c r="T454" s="55" t="n"/>
      <c r="U454" s="55" t="n"/>
      <c r="V454" s="55" t="n"/>
      <c r="W454" s="55" t="n"/>
      <c r="X454" s="55" t="n"/>
      <c r="Y454" s="55" t="n"/>
      <c r="Z454" s="55" t="n"/>
      <c r="AA454" s="55" t="n"/>
      <c r="AB454" s="55" t="n"/>
      <c r="AC454" s="55" t="n"/>
      <c r="AD454" s="55" t="n"/>
      <c r="AE454" s="55" t="n"/>
      <c r="AF454" s="55" t="n"/>
    </row>
    <row r="455" ht="16.5" customHeight="1" s="380">
      <c r="A455" s="55" t="n"/>
      <c r="B455" s="4" t="inlineStr">
        <is>
          <t>HNX04 (LK)</t>
        </is>
      </c>
      <c r="C455" s="216" t="n"/>
      <c r="D455" s="218" t="inlineStr">
        <is>
          <t>Chứng khoán hủy niêm yết (mã chứng khoán)</t>
        </is>
      </c>
      <c r="E455" s="55" t="n"/>
      <c r="F455" s="4" t="inlineStr">
        <is>
          <t>Báo cáo</t>
        </is>
      </c>
      <c r="G455" s="22" t="inlineStr">
        <is>
          <t>Chỉ tiêu phái sinh</t>
        </is>
      </c>
      <c r="H455" s="4" t="inlineStr">
        <is>
          <t>TB</t>
        </is>
      </c>
      <c r="I455" s="55" t="n"/>
      <c r="J455" s="55" t="n"/>
      <c r="K455" s="55" t="n"/>
      <c r="L455" s="55" t="n"/>
      <c r="M455" s="55" t="n"/>
      <c r="N455" s="55" t="n"/>
      <c r="O455" s="55" t="n"/>
      <c r="P455" s="55" t="n"/>
      <c r="Q455" s="55" t="n"/>
      <c r="R455" s="55" t="n"/>
      <c r="S455" s="55" t="n"/>
      <c r="T455" s="55" t="n"/>
      <c r="U455" s="55" t="n"/>
      <c r="V455" s="55" t="n"/>
      <c r="W455" s="55" t="n"/>
      <c r="X455" s="55" t="n"/>
      <c r="Y455" s="55" t="n"/>
      <c r="Z455" s="55" t="n"/>
      <c r="AA455" s="55" t="n"/>
      <c r="AB455" s="55" t="n"/>
      <c r="AC455" s="55" t="n"/>
      <c r="AD455" s="55" t="n"/>
      <c r="AE455" s="55" t="n"/>
      <c r="AF455" s="55" t="n"/>
    </row>
    <row r="456" ht="16.5" customHeight="1" s="380">
      <c r="A456" s="55" t="n"/>
      <c r="B456" s="4" t="inlineStr">
        <is>
          <t>HNX04 (LK)</t>
        </is>
      </c>
      <c r="C456" s="216" t="n"/>
      <c r="D456" s="218" t="inlineStr">
        <is>
          <t>Cổ phiếu niêm yết</t>
        </is>
      </c>
      <c r="E456" s="55" t="n"/>
      <c r="F456" s="4" t="inlineStr">
        <is>
          <t>Báo cáo</t>
        </is>
      </c>
      <c r="G456" s="22" t="inlineStr">
        <is>
          <t>Chỉ tiêu phái sinh</t>
        </is>
      </c>
      <c r="H456" s="4" t="inlineStr">
        <is>
          <t>TB</t>
        </is>
      </c>
      <c r="I456" s="55" t="inlineStr">
        <is>
          <t>CPNY</t>
        </is>
      </c>
      <c r="J456" s="55" t="n"/>
      <c r="K456" s="55" t="n"/>
      <c r="L456" s="55" t="n"/>
      <c r="M456" s="55" t="n"/>
      <c r="N456" s="55" t="n"/>
      <c r="O456" s="55" t="n"/>
      <c r="P456" s="55" t="n"/>
      <c r="Q456" s="55" t="n"/>
      <c r="R456" s="55" t="n"/>
      <c r="S456" s="55" t="n"/>
      <c r="T456" s="55" t="n"/>
      <c r="U456" s="55" t="n"/>
      <c r="V456" s="55" t="n"/>
      <c r="W456" s="55" t="n"/>
      <c r="X456" s="55" t="n"/>
      <c r="Y456" s="55" t="n"/>
      <c r="Z456" s="55" t="n"/>
      <c r="AA456" s="55" t="n"/>
      <c r="AB456" s="55" t="n"/>
      <c r="AC456" s="55" t="n"/>
      <c r="AD456" s="55" t="n"/>
      <c r="AE456" s="55" t="n"/>
      <c r="AF456" s="55" t="n"/>
    </row>
    <row r="457" ht="16.5" customHeight="1" s="380">
      <c r="A457" s="55" t="n"/>
      <c r="B457" s="4" t="inlineStr">
        <is>
          <t>HNX04 (LK)</t>
        </is>
      </c>
      <c r="C457" s="216" t="n"/>
      <c r="D457" s="218" t="inlineStr">
        <is>
          <t>Cổ phiếu đăng ký giao dịch</t>
        </is>
      </c>
      <c r="E457" s="55" t="n"/>
      <c r="F457" s="4" t="inlineStr">
        <is>
          <t>Báo cáo</t>
        </is>
      </c>
      <c r="G457" s="22" t="inlineStr">
        <is>
          <t>Chỉ tiêu phái sinh</t>
        </is>
      </c>
      <c r="H457" s="4" t="inlineStr">
        <is>
          <t>TB</t>
        </is>
      </c>
      <c r="I457" s="55" t="inlineStr">
        <is>
          <t>CP đăng ký GD</t>
        </is>
      </c>
      <c r="J457" s="55" t="n"/>
      <c r="K457" s="55" t="n"/>
      <c r="L457" s="55" t="n"/>
      <c r="M457" s="55" t="n"/>
      <c r="N457" s="55" t="n"/>
      <c r="O457" s="55" t="n"/>
      <c r="P457" s="55" t="n"/>
      <c r="Q457" s="55" t="n"/>
      <c r="R457" s="55" t="n"/>
      <c r="S457" s="55" t="n"/>
      <c r="T457" s="55" t="n"/>
      <c r="U457" s="55" t="n"/>
      <c r="V457" s="55" t="n"/>
      <c r="W457" s="55" t="n"/>
      <c r="X457" s="55" t="n"/>
      <c r="Y457" s="55" t="n"/>
      <c r="Z457" s="55" t="n"/>
      <c r="AA457" s="55" t="n"/>
      <c r="AB457" s="55" t="n"/>
      <c r="AC457" s="55" t="n"/>
      <c r="AD457" s="55" t="n"/>
      <c r="AE457" s="55" t="n"/>
      <c r="AF457" s="55" t="n"/>
    </row>
    <row r="458" ht="16.5" customHeight="1" s="380">
      <c r="A458" s="55" t="n"/>
      <c r="B458" s="4" t="inlineStr">
        <is>
          <t>HNX04 (LK)</t>
        </is>
      </c>
      <c r="C458" s="216" t="n"/>
      <c r="D458" s="218" t="inlineStr">
        <is>
          <t>Trái phiếu chính phủ</t>
        </is>
      </c>
      <c r="E458" s="55" t="n"/>
      <c r="F458" s="4" t="inlineStr">
        <is>
          <t>Báo cáo</t>
        </is>
      </c>
      <c r="G458" s="22" t="inlineStr">
        <is>
          <t>Chỉ tiêu phái sinh</t>
        </is>
      </c>
      <c r="H458" s="4" t="inlineStr">
        <is>
          <t>TB</t>
        </is>
      </c>
      <c r="I458" s="55" t="inlineStr">
        <is>
          <t>TPCP</t>
        </is>
      </c>
      <c r="J458" s="55" t="n"/>
      <c r="K458" s="55" t="n"/>
      <c r="L458" s="55" t="n"/>
      <c r="M458" s="55" t="n"/>
      <c r="N458" s="55" t="n"/>
      <c r="O458" s="55" t="n"/>
      <c r="P458" s="55" t="n"/>
      <c r="Q458" s="55" t="n"/>
      <c r="R458" s="55" t="n"/>
      <c r="S458" s="55" t="n"/>
      <c r="T458" s="55" t="n"/>
      <c r="U458" s="55" t="n"/>
      <c r="V458" s="55" t="n"/>
      <c r="W458" s="55" t="n"/>
      <c r="X458" s="55" t="n"/>
      <c r="Y458" s="55" t="n"/>
      <c r="Z458" s="55" t="n"/>
      <c r="AA458" s="55" t="n"/>
      <c r="AB458" s="55" t="n"/>
      <c r="AC458" s="55" t="n"/>
      <c r="AD458" s="55" t="n"/>
      <c r="AE458" s="55" t="n"/>
      <c r="AF458" s="55" t="n"/>
    </row>
    <row r="459" ht="16.5" customHeight="1" s="380">
      <c r="A459" s="55" t="n"/>
      <c r="B459" s="4" t="inlineStr">
        <is>
          <t>HNX04 (LK)</t>
        </is>
      </c>
      <c r="C459" s="216" t="n"/>
      <c r="D459" s="218" t="inlineStr">
        <is>
          <t>Trái phiếu chính quyền địa phương</t>
        </is>
      </c>
      <c r="E459" s="55" t="n"/>
      <c r="F459" s="4" t="inlineStr">
        <is>
          <t>Báo cáo</t>
        </is>
      </c>
      <c r="G459" s="22" t="inlineStr">
        <is>
          <t>Chỉ tiêu phái sinh</t>
        </is>
      </c>
      <c r="H459" s="4" t="inlineStr">
        <is>
          <t>TB</t>
        </is>
      </c>
      <c r="I459" s="55" t="inlineStr">
        <is>
          <t>TP Chính quyền ĐP</t>
        </is>
      </c>
      <c r="J459" s="55" t="n"/>
      <c r="K459" s="55" t="n"/>
      <c r="L459" s="55" t="n"/>
      <c r="M459" s="55" t="n"/>
      <c r="N459" s="55" t="n"/>
      <c r="O459" s="55" t="n"/>
      <c r="P459" s="55" t="n"/>
      <c r="Q459" s="55" t="n"/>
      <c r="R459" s="55" t="n"/>
      <c r="S459" s="55" t="n"/>
      <c r="T459" s="55" t="n"/>
      <c r="U459" s="55" t="n"/>
      <c r="V459" s="55" t="n"/>
      <c r="W459" s="55" t="n"/>
      <c r="X459" s="55" t="n"/>
      <c r="Y459" s="55" t="n"/>
      <c r="Z459" s="55" t="n"/>
      <c r="AA459" s="55" t="n"/>
      <c r="AB459" s="55" t="n"/>
      <c r="AC459" s="55" t="n"/>
      <c r="AD459" s="55" t="n"/>
      <c r="AE459" s="55" t="n"/>
      <c r="AF459" s="55" t="n"/>
    </row>
    <row r="460" ht="16.5" customHeight="1" s="380">
      <c r="A460" s="55" t="n"/>
      <c r="B460" s="4" t="inlineStr">
        <is>
          <t>HNX04 (LK)</t>
        </is>
      </c>
      <c r="C460" s="216" t="n"/>
      <c r="D460" s="218" t="inlineStr">
        <is>
          <t>Trái phiếu chính phủ bảo lãnh</t>
        </is>
      </c>
      <c r="E460" s="55" t="n"/>
      <c r="F460" s="4" t="inlineStr">
        <is>
          <t>Báo cáo</t>
        </is>
      </c>
      <c r="G460" s="22" t="inlineStr">
        <is>
          <t>Chỉ tiêu phái sinh</t>
        </is>
      </c>
      <c r="H460" s="4" t="inlineStr">
        <is>
          <t>TB</t>
        </is>
      </c>
      <c r="I460" s="55" t="inlineStr">
        <is>
          <t>TPCP bảo lãnh</t>
        </is>
      </c>
      <c r="J460" s="55" t="n"/>
      <c r="K460" s="55" t="n"/>
      <c r="L460" s="55" t="n"/>
      <c r="M460" s="55" t="n"/>
      <c r="N460" s="55" t="n"/>
      <c r="O460" s="55" t="n"/>
      <c r="P460" s="55" t="n"/>
      <c r="Q460" s="55" t="n"/>
      <c r="R460" s="55" t="n"/>
      <c r="S460" s="55" t="n"/>
      <c r="T460" s="55" t="n"/>
      <c r="U460" s="55" t="n"/>
      <c r="V460" s="55" t="n"/>
      <c r="W460" s="55" t="n"/>
      <c r="X460" s="55" t="n"/>
      <c r="Y460" s="55" t="n"/>
      <c r="Z460" s="55" t="n"/>
      <c r="AA460" s="55" t="n"/>
      <c r="AB460" s="55" t="n"/>
      <c r="AC460" s="55" t="n"/>
      <c r="AD460" s="55" t="n"/>
      <c r="AE460" s="55" t="n"/>
      <c r="AF460" s="55" t="n"/>
    </row>
    <row r="461" ht="16.5" customHeight="1" s="380">
      <c r="A461" s="55" t="n"/>
      <c r="B461" s="4" t="inlineStr">
        <is>
          <t>HNX04 (LK)</t>
        </is>
      </c>
      <c r="C461" s="216" t="n"/>
      <c r="D461" s="218" t="inlineStr">
        <is>
          <t>Trái phiếu doanh nghiệp</t>
        </is>
      </c>
      <c r="E461" s="55" t="n"/>
      <c r="F461" s="4" t="inlineStr">
        <is>
          <t>Báo cáo</t>
        </is>
      </c>
      <c r="G461" s="22" t="inlineStr">
        <is>
          <t>Chỉ tiêu phái sinh</t>
        </is>
      </c>
      <c r="H461" s="4" t="inlineStr">
        <is>
          <t>TB</t>
        </is>
      </c>
      <c r="I461" s="55" t="inlineStr">
        <is>
          <t>TPDN</t>
        </is>
      </c>
      <c r="J461" s="55" t="n"/>
      <c r="K461" s="55" t="n"/>
      <c r="L461" s="55" t="n"/>
      <c r="M461" s="55" t="n"/>
      <c r="N461" s="55" t="n"/>
      <c r="O461" s="55" t="n"/>
      <c r="P461" s="55" t="n"/>
      <c r="Q461" s="55" t="n"/>
      <c r="R461" s="55" t="n"/>
      <c r="S461" s="55" t="n"/>
      <c r="T461" s="55" t="n"/>
      <c r="U461" s="55" t="n"/>
      <c r="V461" s="55" t="n"/>
      <c r="W461" s="55" t="n"/>
      <c r="X461" s="55" t="n"/>
      <c r="Y461" s="55" t="n"/>
      <c r="Z461" s="55" t="n"/>
      <c r="AA461" s="55" t="n"/>
      <c r="AB461" s="55" t="n"/>
      <c r="AC461" s="55" t="n"/>
      <c r="AD461" s="55" t="n"/>
      <c r="AE461" s="55" t="n"/>
      <c r="AF461" s="55" t="n"/>
    </row>
    <row r="462" ht="16.5" customHeight="1" s="380">
      <c r="A462" s="55" t="n"/>
      <c r="B462" s="4" t="inlineStr">
        <is>
          <t>HNX04 (LK)</t>
        </is>
      </c>
      <c r="C462" s="216" t="n"/>
      <c r="D462" s="218" t="inlineStr">
        <is>
          <t>Tín phiếu kho bạc</t>
        </is>
      </c>
      <c r="E462" s="55" t="n"/>
      <c r="F462" s="4" t="inlineStr">
        <is>
          <t>Báo cáo</t>
        </is>
      </c>
      <c r="G462" s="22" t="inlineStr">
        <is>
          <t>Chỉ tiêu phái sinh</t>
        </is>
      </c>
      <c r="H462" s="4" t="inlineStr">
        <is>
          <t>TB</t>
        </is>
      </c>
      <c r="I462" s="55" t="inlineStr">
        <is>
          <t>Tín phiếu kho bạc</t>
        </is>
      </c>
      <c r="J462" s="55" t="n"/>
      <c r="K462" s="55" t="n"/>
      <c r="L462" s="55" t="n"/>
      <c r="M462" s="55" t="n"/>
      <c r="N462" s="55" t="n"/>
      <c r="O462" s="55" t="n"/>
      <c r="P462" s="55" t="n"/>
      <c r="Q462" s="55" t="n"/>
      <c r="R462" s="55" t="n"/>
      <c r="S462" s="55" t="n"/>
      <c r="T462" s="55" t="n"/>
      <c r="U462" s="55" t="n"/>
      <c r="V462" s="55" t="n"/>
      <c r="W462" s="55" t="n"/>
      <c r="X462" s="55" t="n"/>
      <c r="Y462" s="55" t="n"/>
      <c r="Z462" s="55" t="n"/>
      <c r="AA462" s="55" t="n"/>
      <c r="AB462" s="55" t="n"/>
      <c r="AC462" s="55" t="n"/>
      <c r="AD462" s="55" t="n"/>
      <c r="AE462" s="55" t="n"/>
      <c r="AF462" s="55" t="n"/>
    </row>
    <row r="463" ht="16.5" customHeight="1" s="380">
      <c r="A463" s="55" t="n"/>
      <c r="B463" s="4" t="inlineStr">
        <is>
          <t>HNX04 (LK)</t>
        </is>
      </c>
      <c r="C463" s="216" t="n"/>
      <c r="D463" s="218" t="inlineStr">
        <is>
          <t>Chứng chỉ quỹ (ETF)</t>
        </is>
      </c>
      <c r="E463" s="55" t="n"/>
      <c r="F463" s="4" t="inlineStr">
        <is>
          <t>Báo cáo</t>
        </is>
      </c>
      <c r="G463" s="22" t="inlineStr">
        <is>
          <t>Chỉ tiêu phái sinh</t>
        </is>
      </c>
      <c r="H463" s="4" t="inlineStr">
        <is>
          <t>TB</t>
        </is>
      </c>
      <c r="I463" s="55" t="inlineStr">
        <is>
          <t>ETF</t>
        </is>
      </c>
      <c r="J463" s="55" t="n"/>
      <c r="K463" s="55" t="n"/>
      <c r="L463" s="55" t="n"/>
      <c r="M463" s="55" t="n"/>
      <c r="N463" s="55" t="n"/>
      <c r="O463" s="55" t="n"/>
      <c r="P463" s="55" t="n"/>
      <c r="Q463" s="55" t="n"/>
      <c r="R463" s="55" t="n"/>
      <c r="S463" s="55" t="n"/>
      <c r="T463" s="55" t="n"/>
      <c r="U463" s="55" t="n"/>
      <c r="V463" s="55" t="n"/>
      <c r="W463" s="55" t="n"/>
      <c r="X463" s="55" t="n"/>
      <c r="Y463" s="55" t="n"/>
      <c r="Z463" s="55" t="n"/>
      <c r="AA463" s="55" t="n"/>
      <c r="AB463" s="55" t="n"/>
      <c r="AC463" s="55" t="n"/>
      <c r="AD463" s="55" t="n"/>
      <c r="AE463" s="55" t="n"/>
      <c r="AF463" s="55" t="n"/>
    </row>
    <row r="464" ht="16.5" customHeight="1" s="380">
      <c r="A464" s="55" t="n"/>
      <c r="B464" s="4" t="inlineStr">
        <is>
          <t>HNX04 (LK)</t>
        </is>
      </c>
      <c r="C464" s="216" t="n"/>
      <c r="D464" s="218" t="inlineStr">
        <is>
          <t>Chứng khoán niêm yết đến thời điểm hiện tại (mã chứng khoán)</t>
        </is>
      </c>
      <c r="E464" s="55" t="n"/>
      <c r="F464" s="4" t="inlineStr">
        <is>
          <t>Báo cáo</t>
        </is>
      </c>
      <c r="G464" s="22" t="inlineStr">
        <is>
          <t>Chỉ tiêu phái sinh</t>
        </is>
      </c>
      <c r="H464" s="4" t="inlineStr">
        <is>
          <t>TB</t>
        </is>
      </c>
      <c r="I464" s="55" t="n"/>
      <c r="J464" s="55" t="n"/>
      <c r="K464" s="55" t="n"/>
      <c r="L464" s="55" t="n"/>
      <c r="M464" s="55" t="n"/>
      <c r="N464" s="55" t="n"/>
      <c r="O464" s="55" t="n"/>
      <c r="P464" s="55" t="n"/>
      <c r="Q464" s="55" t="n"/>
      <c r="R464" s="55" t="n"/>
      <c r="S464" s="55" t="n"/>
      <c r="T464" s="55" t="n"/>
      <c r="U464" s="55" t="n"/>
      <c r="V464" s="55" t="n"/>
      <c r="W464" s="55" t="n"/>
      <c r="X464" s="55" t="n"/>
      <c r="Y464" s="55" t="n"/>
      <c r="Z464" s="55" t="n"/>
      <c r="AA464" s="55" t="n"/>
      <c r="AB464" s="55" t="n"/>
      <c r="AC464" s="55" t="n"/>
      <c r="AD464" s="55" t="n"/>
      <c r="AE464" s="55" t="n"/>
      <c r="AF464" s="55" t="n"/>
    </row>
    <row r="465" ht="16.5" customHeight="1" s="380">
      <c r="A465" s="55" t="n"/>
      <c r="B465" s="4" t="inlineStr">
        <is>
          <t>HNX04 (LK)</t>
        </is>
      </c>
      <c r="C465" s="216" t="n"/>
      <c r="D465" s="218" t="inlineStr">
        <is>
          <t>Cổ phiếu niêm yết</t>
        </is>
      </c>
      <c r="E465" s="55" t="n"/>
      <c r="F465" s="4" t="inlineStr">
        <is>
          <t>Báo cáo</t>
        </is>
      </c>
      <c r="G465" s="22" t="inlineStr">
        <is>
          <t>Chỉ tiêu phái sinh</t>
        </is>
      </c>
      <c r="H465" s="4" t="inlineStr">
        <is>
          <t>TB</t>
        </is>
      </c>
      <c r="I465" s="55" t="inlineStr">
        <is>
          <t>CPNY</t>
        </is>
      </c>
      <c r="J465" s="55" t="n"/>
      <c r="K465" s="55" t="n"/>
      <c r="L465" s="55" t="n"/>
      <c r="M465" s="55" t="n"/>
      <c r="N465" s="55" t="n"/>
      <c r="O465" s="55" t="n"/>
      <c r="P465" s="55" t="n"/>
      <c r="Q465" s="55" t="n"/>
      <c r="R465" s="55" t="n"/>
      <c r="S465" s="55" t="n"/>
      <c r="T465" s="55" t="n"/>
      <c r="U465" s="55" t="n"/>
      <c r="V465" s="55" t="n"/>
      <c r="W465" s="55" t="n"/>
      <c r="X465" s="55" t="n"/>
      <c r="Y465" s="55" t="n"/>
      <c r="Z465" s="55" t="n"/>
      <c r="AA465" s="55" t="n"/>
      <c r="AB465" s="55" t="n"/>
      <c r="AC465" s="55" t="n"/>
      <c r="AD465" s="55" t="n"/>
      <c r="AE465" s="55" t="n"/>
      <c r="AF465" s="55" t="n"/>
    </row>
    <row r="466" ht="16.5" customHeight="1" s="380">
      <c r="A466" s="55" t="n"/>
      <c r="B466" s="4" t="inlineStr">
        <is>
          <t>HNX04 (LK)</t>
        </is>
      </c>
      <c r="C466" s="216" t="n"/>
      <c r="D466" s="218" t="inlineStr">
        <is>
          <t>Cổ phiếu đăng ký giao dịch</t>
        </is>
      </c>
      <c r="E466" s="55" t="n"/>
      <c r="F466" s="4" t="inlineStr">
        <is>
          <t>Báo cáo</t>
        </is>
      </c>
      <c r="G466" s="22" t="inlineStr">
        <is>
          <t>Chỉ tiêu phái sinh</t>
        </is>
      </c>
      <c r="H466" s="4" t="inlineStr">
        <is>
          <t>TB</t>
        </is>
      </c>
      <c r="I466" s="55" t="inlineStr">
        <is>
          <t>CP đăng ký GD</t>
        </is>
      </c>
      <c r="J466" s="55" t="n"/>
      <c r="K466" s="55" t="n"/>
      <c r="L466" s="55" t="n"/>
      <c r="M466" s="55" t="n"/>
      <c r="N466" s="55" t="n"/>
      <c r="O466" s="55" t="n"/>
      <c r="P466" s="55" t="n"/>
      <c r="Q466" s="55" t="n"/>
      <c r="R466" s="55" t="n"/>
      <c r="S466" s="55" t="n"/>
      <c r="T466" s="55" t="n"/>
      <c r="U466" s="55" t="n"/>
      <c r="V466" s="55" t="n"/>
      <c r="W466" s="55" t="n"/>
      <c r="X466" s="55" t="n"/>
      <c r="Y466" s="55" t="n"/>
      <c r="Z466" s="55" t="n"/>
      <c r="AA466" s="55" t="n"/>
      <c r="AB466" s="55" t="n"/>
      <c r="AC466" s="55" t="n"/>
      <c r="AD466" s="55" t="n"/>
      <c r="AE466" s="55" t="n"/>
      <c r="AF466" s="55" t="n"/>
    </row>
    <row r="467" ht="16.5" customHeight="1" s="380">
      <c r="A467" s="55" t="n"/>
      <c r="B467" s="4" t="inlineStr">
        <is>
          <t>HNX04 (LK)</t>
        </is>
      </c>
      <c r="C467" s="216" t="n"/>
      <c r="D467" s="218" t="inlineStr">
        <is>
          <t>Trái phiếu chính phủ</t>
        </is>
      </c>
      <c r="E467" s="55" t="n"/>
      <c r="F467" s="4" t="inlineStr">
        <is>
          <t>Báo cáo</t>
        </is>
      </c>
      <c r="G467" s="22" t="inlineStr">
        <is>
          <t>Chỉ tiêu phái sinh</t>
        </is>
      </c>
      <c r="H467" s="4" t="inlineStr">
        <is>
          <t>TB</t>
        </is>
      </c>
      <c r="I467" s="55" t="inlineStr">
        <is>
          <t>TPCP</t>
        </is>
      </c>
      <c r="J467" s="55" t="n"/>
      <c r="K467" s="55" t="n"/>
      <c r="L467" s="55" t="n"/>
      <c r="M467" s="55" t="n"/>
      <c r="N467" s="55" t="n"/>
      <c r="O467" s="55" t="n"/>
      <c r="P467" s="55" t="n"/>
      <c r="Q467" s="55" t="n"/>
      <c r="R467" s="55" t="n"/>
      <c r="S467" s="55" t="n"/>
      <c r="T467" s="55" t="n"/>
      <c r="U467" s="55" t="n"/>
      <c r="V467" s="55" t="n"/>
      <c r="W467" s="55" t="n"/>
      <c r="X467" s="55" t="n"/>
      <c r="Y467" s="55" t="n"/>
      <c r="Z467" s="55" t="n"/>
      <c r="AA467" s="55" t="n"/>
      <c r="AB467" s="55" t="n"/>
      <c r="AC467" s="55" t="n"/>
      <c r="AD467" s="55" t="n"/>
      <c r="AE467" s="55" t="n"/>
      <c r="AF467" s="55" t="n"/>
    </row>
    <row r="468" ht="16.5" customHeight="1" s="380">
      <c r="A468" s="55" t="n"/>
      <c r="B468" s="4" t="inlineStr">
        <is>
          <t>HNX04 (LK)</t>
        </is>
      </c>
      <c r="C468" s="216" t="n"/>
      <c r="D468" s="218" t="inlineStr">
        <is>
          <t>Trái phiếu chính quyền địa phương</t>
        </is>
      </c>
      <c r="E468" s="55" t="n"/>
      <c r="F468" s="4" t="inlineStr">
        <is>
          <t>Báo cáo</t>
        </is>
      </c>
      <c r="G468" s="22" t="inlineStr">
        <is>
          <t>Chỉ tiêu phái sinh</t>
        </is>
      </c>
      <c r="H468" s="4" t="inlineStr">
        <is>
          <t>TB</t>
        </is>
      </c>
      <c r="I468" s="55" t="inlineStr">
        <is>
          <t>TP Chính quyền ĐP</t>
        </is>
      </c>
      <c r="J468" s="55" t="n"/>
      <c r="K468" s="55" t="n"/>
      <c r="L468" s="55" t="n"/>
      <c r="M468" s="55" t="n"/>
      <c r="N468" s="55" t="n"/>
      <c r="O468" s="55" t="n"/>
      <c r="P468" s="55" t="n"/>
      <c r="Q468" s="55" t="n"/>
      <c r="R468" s="55" t="n"/>
      <c r="S468" s="55" t="n"/>
      <c r="T468" s="55" t="n"/>
      <c r="U468" s="55" t="n"/>
      <c r="V468" s="55" t="n"/>
      <c r="W468" s="55" t="n"/>
      <c r="X468" s="55" t="n"/>
      <c r="Y468" s="55" t="n"/>
      <c r="Z468" s="55" t="n"/>
      <c r="AA468" s="55" t="n"/>
      <c r="AB468" s="55" t="n"/>
      <c r="AC468" s="55" t="n"/>
      <c r="AD468" s="55" t="n"/>
      <c r="AE468" s="55" t="n"/>
      <c r="AF468" s="55" t="n"/>
    </row>
    <row r="469" ht="16.5" customHeight="1" s="380">
      <c r="A469" s="55" t="n"/>
      <c r="B469" s="4" t="inlineStr">
        <is>
          <t>HNX04 (LK)</t>
        </is>
      </c>
      <c r="C469" s="216" t="n"/>
      <c r="D469" s="218" t="inlineStr">
        <is>
          <t>Trái phiếu chính phủ bảo lãnh</t>
        </is>
      </c>
      <c r="E469" s="55" t="n"/>
      <c r="F469" s="4" t="inlineStr">
        <is>
          <t>Báo cáo</t>
        </is>
      </c>
      <c r="G469" s="22" t="inlineStr">
        <is>
          <t>Chỉ tiêu phái sinh</t>
        </is>
      </c>
      <c r="H469" s="4" t="inlineStr">
        <is>
          <t>TB</t>
        </is>
      </c>
      <c r="I469" s="55" t="inlineStr">
        <is>
          <t>TPCP bảo lãnh</t>
        </is>
      </c>
      <c r="J469" s="55" t="n"/>
      <c r="K469" s="55" t="n"/>
      <c r="L469" s="55" t="n"/>
      <c r="M469" s="55" t="n"/>
      <c r="N469" s="55" t="n"/>
      <c r="O469" s="55" t="n"/>
      <c r="P469" s="55" t="n"/>
      <c r="Q469" s="55" t="n"/>
      <c r="R469" s="55" t="n"/>
      <c r="S469" s="55" t="n"/>
      <c r="T469" s="55" t="n"/>
      <c r="U469" s="55" t="n"/>
      <c r="V469" s="55" t="n"/>
      <c r="W469" s="55" t="n"/>
      <c r="X469" s="55" t="n"/>
      <c r="Y469" s="55" t="n"/>
      <c r="Z469" s="55" t="n"/>
      <c r="AA469" s="55" t="n"/>
      <c r="AB469" s="55" t="n"/>
      <c r="AC469" s="55" t="n"/>
      <c r="AD469" s="55" t="n"/>
      <c r="AE469" s="55" t="n"/>
      <c r="AF469" s="55" t="n"/>
    </row>
    <row r="470" ht="16.5" customHeight="1" s="380">
      <c r="A470" s="55" t="n"/>
      <c r="B470" s="4" t="inlineStr">
        <is>
          <t>HNX04 (LK)</t>
        </is>
      </c>
      <c r="C470" s="216" t="n"/>
      <c r="D470" s="218" t="inlineStr">
        <is>
          <t>Trái phiếu doanh nghiệp</t>
        </is>
      </c>
      <c r="E470" s="55" t="n"/>
      <c r="F470" s="4" t="inlineStr">
        <is>
          <t>Báo cáo</t>
        </is>
      </c>
      <c r="G470" s="22" t="inlineStr">
        <is>
          <t>Chỉ tiêu phái sinh</t>
        </is>
      </c>
      <c r="H470" s="4" t="inlineStr">
        <is>
          <t>TB</t>
        </is>
      </c>
      <c r="I470" s="55" t="inlineStr">
        <is>
          <t>TPDN</t>
        </is>
      </c>
      <c r="J470" s="55" t="n"/>
      <c r="K470" s="55" t="n"/>
      <c r="L470" s="55" t="n"/>
      <c r="M470" s="55" t="n"/>
      <c r="N470" s="55" t="n"/>
      <c r="O470" s="55" t="n"/>
      <c r="P470" s="55" t="n"/>
      <c r="Q470" s="55" t="n"/>
      <c r="R470" s="55" t="n"/>
      <c r="S470" s="55" t="n"/>
      <c r="T470" s="55" t="n"/>
      <c r="U470" s="55" t="n"/>
      <c r="V470" s="55" t="n"/>
      <c r="W470" s="55" t="n"/>
      <c r="X470" s="55" t="n"/>
      <c r="Y470" s="55" t="n"/>
      <c r="Z470" s="55" t="n"/>
      <c r="AA470" s="55" t="n"/>
      <c r="AB470" s="55" t="n"/>
      <c r="AC470" s="55" t="n"/>
      <c r="AD470" s="55" t="n"/>
      <c r="AE470" s="55" t="n"/>
      <c r="AF470" s="55" t="n"/>
    </row>
    <row r="471" ht="16.5" customHeight="1" s="380">
      <c r="A471" s="55" t="n"/>
      <c r="B471" s="4" t="inlineStr">
        <is>
          <t>HNX04 (LK)</t>
        </is>
      </c>
      <c r="C471" s="216" t="n"/>
      <c r="D471" s="218" t="inlineStr">
        <is>
          <t>Tín phiếu kho bạc</t>
        </is>
      </c>
      <c r="E471" s="55" t="n"/>
      <c r="F471" s="4" t="inlineStr">
        <is>
          <t>Báo cáo</t>
        </is>
      </c>
      <c r="G471" s="22" t="inlineStr">
        <is>
          <t>Chỉ tiêu phái sinh</t>
        </is>
      </c>
      <c r="H471" s="4" t="inlineStr">
        <is>
          <t>TB</t>
        </is>
      </c>
      <c r="I471" s="55" t="inlineStr">
        <is>
          <t>Tín phiếu kho bạc</t>
        </is>
      </c>
      <c r="J471" s="55" t="n"/>
      <c r="K471" s="55" t="n"/>
      <c r="L471" s="55" t="n"/>
      <c r="M471" s="55" t="n"/>
      <c r="N471" s="55" t="n"/>
      <c r="O471" s="55" t="n"/>
      <c r="P471" s="55" t="n"/>
      <c r="Q471" s="55" t="n"/>
      <c r="R471" s="55" t="n"/>
      <c r="S471" s="55" t="n"/>
      <c r="T471" s="55" t="n"/>
      <c r="U471" s="55" t="n"/>
      <c r="V471" s="55" t="n"/>
      <c r="W471" s="55" t="n"/>
      <c r="X471" s="55" t="n"/>
      <c r="Y471" s="55" t="n"/>
      <c r="Z471" s="55" t="n"/>
      <c r="AA471" s="55" t="n"/>
      <c r="AB471" s="55" t="n"/>
      <c r="AC471" s="55" t="n"/>
      <c r="AD471" s="55" t="n"/>
      <c r="AE471" s="55" t="n"/>
      <c r="AF471" s="55" t="n"/>
    </row>
    <row r="472" ht="16.5" customHeight="1" s="380">
      <c r="A472" s="55" t="n"/>
      <c r="B472" s="4" t="inlineStr">
        <is>
          <t>HNX04 (LK)</t>
        </is>
      </c>
      <c r="C472" s="216" t="n"/>
      <c r="D472" s="218" t="inlineStr">
        <is>
          <t>Chứng chỉ quỹ (ETF)</t>
        </is>
      </c>
      <c r="E472" s="55" t="n"/>
      <c r="F472" s="4" t="inlineStr">
        <is>
          <t>Báo cáo</t>
        </is>
      </c>
      <c r="G472" s="22" t="inlineStr">
        <is>
          <t>Chỉ tiêu phái sinh</t>
        </is>
      </c>
      <c r="H472" s="4" t="inlineStr">
        <is>
          <t>TB</t>
        </is>
      </c>
      <c r="I472" s="55" t="inlineStr">
        <is>
          <t>ETF</t>
        </is>
      </c>
      <c r="J472" s="55" t="n"/>
      <c r="K472" s="55" t="n"/>
      <c r="L472" s="55" t="n"/>
      <c r="M472" s="55" t="n"/>
      <c r="N472" s="55" t="n"/>
      <c r="O472" s="55" t="n"/>
      <c r="P472" s="55" t="n"/>
      <c r="Q472" s="55" t="n"/>
      <c r="R472" s="55" t="n"/>
      <c r="S472" s="55" t="n"/>
      <c r="T472" s="55" t="n"/>
      <c r="U472" s="55" t="n"/>
      <c r="V472" s="55" t="n"/>
      <c r="W472" s="55" t="n"/>
      <c r="X472" s="55" t="n"/>
      <c r="Y472" s="55" t="n"/>
      <c r="Z472" s="55" t="n"/>
      <c r="AA472" s="55" t="n"/>
      <c r="AB472" s="55" t="n"/>
      <c r="AC472" s="55" t="n"/>
      <c r="AD472" s="55" t="n"/>
      <c r="AE472" s="55" t="n"/>
      <c r="AF472" s="55" t="n"/>
    </row>
    <row r="473" ht="16.5" customHeight="1" s="380">
      <c r="A473" s="55" t="n"/>
      <c r="B473" s="4" t="inlineStr">
        <is>
          <t>HNX04 (LK)</t>
        </is>
      </c>
      <c r="C473" s="216" t="n"/>
      <c r="D473" s="218" t="inlineStr">
        <is>
          <t>Số phiên thực hiện giao dịch</t>
        </is>
      </c>
      <c r="E473" s="55" t="n"/>
      <c r="F473" s="4" t="inlineStr">
        <is>
          <t>Báo cáo</t>
        </is>
      </c>
      <c r="G473" s="22" t="inlineStr">
        <is>
          <t>Chỉ tiêu phái sinh</t>
        </is>
      </c>
      <c r="H473" s="4" t="inlineStr">
        <is>
          <t>TB</t>
        </is>
      </c>
      <c r="I473" s="55" t="n"/>
      <c r="J473" s="55" t="n"/>
      <c r="K473" s="55" t="n"/>
      <c r="L473" s="55" t="n"/>
      <c r="M473" s="55" t="n"/>
      <c r="N473" s="55" t="n"/>
      <c r="O473" s="55" t="n"/>
      <c r="P473" s="55" t="n"/>
      <c r="Q473" s="55" t="n"/>
      <c r="R473" s="55" t="n"/>
      <c r="S473" s="55" t="n"/>
      <c r="T473" s="55" t="n"/>
      <c r="U473" s="55" t="n"/>
      <c r="V473" s="55" t="n"/>
      <c r="W473" s="55" t="n"/>
      <c r="X473" s="55" t="n"/>
      <c r="Y473" s="55" t="n"/>
      <c r="Z473" s="55" t="n"/>
      <c r="AA473" s="55" t="n"/>
      <c r="AB473" s="55" t="n"/>
      <c r="AC473" s="55" t="n"/>
      <c r="AD473" s="55" t="n"/>
      <c r="AE473" s="55" t="n"/>
      <c r="AF473" s="55" t="n"/>
    </row>
    <row r="474" ht="16.5" customHeight="1" s="380">
      <c r="A474" s="55" t="n"/>
      <c r="B474" s="4" t="inlineStr">
        <is>
          <t>HNX04 (LK)</t>
        </is>
      </c>
      <c r="C474" s="216" t="n"/>
      <c r="D474" s="218" t="inlineStr">
        <is>
          <t>Cổ phiếu niêm yết</t>
        </is>
      </c>
      <c r="E474" s="55" t="n"/>
      <c r="F474" s="4" t="inlineStr">
        <is>
          <t>Báo cáo</t>
        </is>
      </c>
      <c r="G474" s="22" t="inlineStr">
        <is>
          <t>Chỉ tiêu phái sinh</t>
        </is>
      </c>
      <c r="H474" s="4" t="inlineStr">
        <is>
          <t>TB</t>
        </is>
      </c>
      <c r="I474" s="55" t="inlineStr">
        <is>
          <t>CPNY</t>
        </is>
      </c>
      <c r="J474" s="55" t="n"/>
      <c r="K474" s="55" t="n"/>
      <c r="L474" s="55" t="n"/>
      <c r="M474" s="55" t="n"/>
      <c r="N474" s="55" t="n"/>
      <c r="O474" s="55" t="n"/>
      <c r="P474" s="55" t="n"/>
      <c r="Q474" s="55" t="n"/>
      <c r="R474" s="55" t="n"/>
      <c r="S474" s="55" t="n"/>
      <c r="T474" s="55" t="n"/>
      <c r="U474" s="55" t="n"/>
      <c r="V474" s="55" t="n"/>
      <c r="W474" s="55" t="n"/>
      <c r="X474" s="55" t="n"/>
      <c r="Y474" s="55" t="n"/>
      <c r="Z474" s="55" t="n"/>
      <c r="AA474" s="55" t="n"/>
      <c r="AB474" s="55" t="n"/>
      <c r="AC474" s="55" t="n"/>
      <c r="AD474" s="55" t="n"/>
      <c r="AE474" s="55" t="n"/>
      <c r="AF474" s="55" t="n"/>
    </row>
    <row r="475" ht="16.5" customHeight="1" s="380">
      <c r="A475" s="55" t="n"/>
      <c r="B475" s="4" t="inlineStr">
        <is>
          <t>HNX04 (LK)</t>
        </is>
      </c>
      <c r="C475" s="216" t="n"/>
      <c r="D475" s="218" t="inlineStr">
        <is>
          <t>Cổ phiếu đăng ký giao dịch</t>
        </is>
      </c>
      <c r="E475" s="55" t="n"/>
      <c r="F475" s="4" t="inlineStr">
        <is>
          <t>Báo cáo</t>
        </is>
      </c>
      <c r="G475" s="22" t="inlineStr">
        <is>
          <t>Chỉ tiêu phái sinh</t>
        </is>
      </c>
      <c r="H475" s="4" t="inlineStr">
        <is>
          <t>TB</t>
        </is>
      </c>
      <c r="I475" s="55" t="inlineStr">
        <is>
          <t>CP đăng ký GD</t>
        </is>
      </c>
      <c r="J475" s="55" t="n"/>
      <c r="K475" s="55" t="n"/>
      <c r="L475" s="55" t="n"/>
      <c r="M475" s="55" t="n"/>
      <c r="N475" s="55" t="n"/>
      <c r="O475" s="55" t="n"/>
      <c r="P475" s="55" t="n"/>
      <c r="Q475" s="55" t="n"/>
      <c r="R475" s="55" t="n"/>
      <c r="S475" s="55" t="n"/>
      <c r="T475" s="55" t="n"/>
      <c r="U475" s="55" t="n"/>
      <c r="V475" s="55" t="n"/>
      <c r="W475" s="55" t="n"/>
      <c r="X475" s="55" t="n"/>
      <c r="Y475" s="55" t="n"/>
      <c r="Z475" s="55" t="n"/>
      <c r="AA475" s="55" t="n"/>
      <c r="AB475" s="55" t="n"/>
      <c r="AC475" s="55" t="n"/>
      <c r="AD475" s="55" t="n"/>
      <c r="AE475" s="55" t="n"/>
      <c r="AF475" s="55" t="n"/>
    </row>
    <row r="476" ht="16.5" customHeight="1" s="380">
      <c r="A476" s="55" t="n"/>
      <c r="B476" s="4" t="inlineStr">
        <is>
          <t>HNX04 (LK)</t>
        </is>
      </c>
      <c r="C476" s="216" t="n"/>
      <c r="D476" s="218" t="inlineStr">
        <is>
          <t>Trái phiếu Chính phủ</t>
        </is>
      </c>
      <c r="E476" s="55" t="n"/>
      <c r="F476" s="4" t="inlineStr">
        <is>
          <t>Báo cáo</t>
        </is>
      </c>
      <c r="G476" s="22" t="inlineStr">
        <is>
          <t>Chỉ tiêu phái sinh</t>
        </is>
      </c>
      <c r="H476" s="4" t="inlineStr">
        <is>
          <t>TB</t>
        </is>
      </c>
      <c r="I476" s="55" t="inlineStr">
        <is>
          <t>TPCP</t>
        </is>
      </c>
      <c r="J476" s="55" t="n"/>
      <c r="K476" s="55" t="n"/>
      <c r="L476" s="55" t="n"/>
      <c r="M476" s="55" t="n"/>
      <c r="N476" s="55" t="n"/>
      <c r="O476" s="55" t="n"/>
      <c r="P476" s="55" t="n"/>
      <c r="Q476" s="55" t="n"/>
      <c r="R476" s="55" t="n"/>
      <c r="S476" s="55" t="n"/>
      <c r="T476" s="55" t="n"/>
      <c r="U476" s="55" t="n"/>
      <c r="V476" s="55" t="n"/>
      <c r="W476" s="55" t="n"/>
      <c r="X476" s="55" t="n"/>
      <c r="Y476" s="55" t="n"/>
      <c r="Z476" s="55" t="n"/>
      <c r="AA476" s="55" t="n"/>
      <c r="AB476" s="55" t="n"/>
      <c r="AC476" s="55" t="n"/>
      <c r="AD476" s="55" t="n"/>
      <c r="AE476" s="55" t="n"/>
      <c r="AF476" s="55" t="n"/>
    </row>
    <row r="477" ht="16.5" customHeight="1" s="380">
      <c r="A477" s="55" t="n"/>
      <c r="B477" s="4" t="inlineStr">
        <is>
          <t>HNX04 (LK)</t>
        </is>
      </c>
      <c r="C477" s="216" t="n"/>
      <c r="D477" s="218" t="inlineStr">
        <is>
          <t>Tín phiếu kho bạc</t>
        </is>
      </c>
      <c r="E477" s="55" t="n"/>
      <c r="F477" s="4" t="inlineStr">
        <is>
          <t>Báo cáo</t>
        </is>
      </c>
      <c r="G477" s="22" t="inlineStr">
        <is>
          <t>Chỉ tiêu phái sinh</t>
        </is>
      </c>
      <c r="H477" s="4" t="inlineStr">
        <is>
          <t>TB</t>
        </is>
      </c>
      <c r="I477" s="55" t="inlineStr">
        <is>
          <t>Tín phiếu kho bạc</t>
        </is>
      </c>
      <c r="J477" s="55" t="n"/>
      <c r="K477" s="55" t="n"/>
      <c r="L477" s="55" t="n"/>
      <c r="M477" s="55" t="n"/>
      <c r="N477" s="55" t="n"/>
      <c r="O477" s="55" t="n"/>
      <c r="P477" s="55" t="n"/>
      <c r="Q477" s="55" t="n"/>
      <c r="R477" s="55" t="n"/>
      <c r="S477" s="55" t="n"/>
      <c r="T477" s="55" t="n"/>
      <c r="U477" s="55" t="n"/>
      <c r="V477" s="55" t="n"/>
      <c r="W477" s="55" t="n"/>
      <c r="X477" s="55" t="n"/>
      <c r="Y477" s="55" t="n"/>
      <c r="Z477" s="55" t="n"/>
      <c r="AA477" s="55" t="n"/>
      <c r="AB477" s="55" t="n"/>
      <c r="AC477" s="55" t="n"/>
      <c r="AD477" s="55" t="n"/>
      <c r="AE477" s="55" t="n"/>
      <c r="AF477" s="55" t="n"/>
    </row>
    <row r="478" ht="34" customHeight="1" s="380">
      <c r="B478" s="4" t="inlineStr">
        <is>
          <t>HNX04 (LK)</t>
        </is>
      </c>
      <c r="C478" s="221" t="n"/>
      <c r="D478" s="222" t="inlineStr">
        <is>
          <t>Cộng dồn đến cuối kỳ - Tăng/giảm so với cùng kỳ (%)</t>
        </is>
      </c>
      <c r="F478" s="4" t="inlineStr">
        <is>
          <t>Báo cáo</t>
        </is>
      </c>
      <c r="G478" s="4" t="inlineStr">
        <is>
          <t>Chiều</t>
        </is>
      </c>
    </row>
    <row r="479" ht="16" customHeight="1" s="380">
      <c r="B479" s="4" t="inlineStr">
        <is>
          <t>HNX04 (LK)</t>
        </is>
      </c>
      <c r="C479" s="216" t="n"/>
      <c r="D479" s="218" t="inlineStr">
        <is>
          <t>GTGD (VND)</t>
        </is>
      </c>
      <c r="F479" s="4" t="inlineStr">
        <is>
          <t>Báo cáo</t>
        </is>
      </c>
      <c r="G479" s="22" t="inlineStr">
        <is>
          <t>Chỉ tiêu phái sinh</t>
        </is>
      </c>
      <c r="H479" s="4" t="inlineStr">
        <is>
          <t>TB</t>
        </is>
      </c>
    </row>
    <row r="480" ht="16" customHeight="1" s="380">
      <c r="B480" s="4" t="inlineStr">
        <is>
          <t>HNX04 (LK)</t>
        </is>
      </c>
      <c r="C480" s="216" t="n"/>
      <c r="D480" s="218" t="inlineStr">
        <is>
          <t>Trái phiếu chính phủ</t>
        </is>
      </c>
      <c r="F480" s="4" t="inlineStr">
        <is>
          <t>Báo cáo</t>
        </is>
      </c>
      <c r="G480" s="22" t="inlineStr">
        <is>
          <t>Chỉ tiêu phái sinh</t>
        </is>
      </c>
      <c r="H480" s="4" t="inlineStr">
        <is>
          <t>TB</t>
        </is>
      </c>
      <c r="I480" s="55" t="inlineStr">
        <is>
          <t>TPCP</t>
        </is>
      </c>
    </row>
    <row r="481" ht="16" customHeight="1" s="380">
      <c r="B481" s="4" t="inlineStr">
        <is>
          <t>HNX04 (LK)</t>
        </is>
      </c>
      <c r="C481" s="216" t="n"/>
      <c r="D481" s="218" t="inlineStr">
        <is>
          <t>Trái phiếu chính quyền địa phương</t>
        </is>
      </c>
      <c r="F481" s="4" t="inlineStr">
        <is>
          <t>Báo cáo</t>
        </is>
      </c>
      <c r="G481" s="22" t="inlineStr">
        <is>
          <t>Chỉ tiêu phái sinh</t>
        </is>
      </c>
      <c r="H481" s="4" t="inlineStr">
        <is>
          <t>TB</t>
        </is>
      </c>
      <c r="I481" s="55" t="inlineStr">
        <is>
          <t>TP Chính quyền ĐP</t>
        </is>
      </c>
    </row>
    <row r="482" ht="16" customHeight="1" s="380">
      <c r="B482" s="4" t="inlineStr">
        <is>
          <t>HNX04 (LK)</t>
        </is>
      </c>
      <c r="C482" s="216" t="n"/>
      <c r="D482" s="218" t="inlineStr">
        <is>
          <t>Trái phiếu chính phủ bảo lãnh</t>
        </is>
      </c>
      <c r="F482" s="4" t="inlineStr">
        <is>
          <t>Báo cáo</t>
        </is>
      </c>
      <c r="G482" s="22" t="inlineStr">
        <is>
          <t>Chỉ tiêu phái sinh</t>
        </is>
      </c>
      <c r="H482" s="4" t="inlineStr">
        <is>
          <t>TB</t>
        </is>
      </c>
      <c r="I482" s="55" t="inlineStr">
        <is>
          <t>TPCP bảo lãnh</t>
        </is>
      </c>
    </row>
    <row r="483" ht="16" customHeight="1" s="380">
      <c r="B483" s="4" t="inlineStr">
        <is>
          <t>HNX04 (LK)</t>
        </is>
      </c>
      <c r="C483" s="216" t="n"/>
      <c r="D483" s="218" t="inlineStr">
        <is>
          <t>Tín phiếu kho bạc</t>
        </is>
      </c>
      <c r="F483" s="4" t="inlineStr">
        <is>
          <t>Báo cáo</t>
        </is>
      </c>
      <c r="G483" s="22" t="inlineStr">
        <is>
          <t>Chỉ tiêu phái sinh</t>
        </is>
      </c>
      <c r="H483" s="4" t="inlineStr">
        <is>
          <t>TB</t>
        </is>
      </c>
      <c r="I483" s="55" t="inlineStr">
        <is>
          <t>Tín phiếu kho bạc</t>
        </is>
      </c>
    </row>
    <row r="484" ht="16" customHeight="1" s="380">
      <c r="B484" s="4" t="inlineStr">
        <is>
          <t>HNX04 (LK)</t>
        </is>
      </c>
      <c r="C484" s="216" t="n"/>
      <c r="D484" s="218" t="inlineStr">
        <is>
          <t>KLGD (trái phiếu)</t>
        </is>
      </c>
      <c r="F484" s="4" t="inlineStr">
        <is>
          <t>Báo cáo</t>
        </is>
      </c>
      <c r="G484" s="22" t="inlineStr">
        <is>
          <t>Chỉ tiêu phái sinh</t>
        </is>
      </c>
      <c r="H484" s="4" t="inlineStr">
        <is>
          <t>TB</t>
        </is>
      </c>
      <c r="I484" s="55" t="n"/>
    </row>
    <row r="485" ht="16" customHeight="1" s="380">
      <c r="B485" s="4" t="inlineStr">
        <is>
          <t>HNX04 (LK)</t>
        </is>
      </c>
      <c r="C485" s="216" t="n"/>
      <c r="D485" s="218" t="inlineStr">
        <is>
          <t>Trái phiếu chính phủ</t>
        </is>
      </c>
      <c r="F485" s="4" t="inlineStr">
        <is>
          <t>Báo cáo</t>
        </is>
      </c>
      <c r="G485" s="22" t="inlineStr">
        <is>
          <t>Chỉ tiêu phái sinh</t>
        </is>
      </c>
      <c r="H485" s="4" t="inlineStr">
        <is>
          <t>TB</t>
        </is>
      </c>
      <c r="I485" s="55" t="inlineStr">
        <is>
          <t>TPCP</t>
        </is>
      </c>
    </row>
    <row r="486" ht="16" customHeight="1" s="380">
      <c r="B486" s="4" t="inlineStr">
        <is>
          <t>HNX04 (LK)</t>
        </is>
      </c>
      <c r="C486" s="216" t="n"/>
      <c r="D486" s="218" t="inlineStr">
        <is>
          <t>Trái phiếu chính quyền địa phương</t>
        </is>
      </c>
      <c r="F486" s="4" t="inlineStr">
        <is>
          <t>Báo cáo</t>
        </is>
      </c>
      <c r="G486" s="22" t="inlineStr">
        <is>
          <t>Chỉ tiêu phái sinh</t>
        </is>
      </c>
      <c r="H486" s="4" t="inlineStr">
        <is>
          <t>TB</t>
        </is>
      </c>
      <c r="I486" s="55" t="inlineStr">
        <is>
          <t>TP Chính quyền ĐP</t>
        </is>
      </c>
    </row>
    <row r="487" ht="16" customHeight="1" s="380">
      <c r="B487" s="4" t="inlineStr">
        <is>
          <t>HNX04 (LK)</t>
        </is>
      </c>
      <c r="C487" s="216" t="n"/>
      <c r="D487" s="218" t="inlineStr">
        <is>
          <t>Trái phiếu chính phủ bảo lãnh</t>
        </is>
      </c>
      <c r="F487" s="4" t="inlineStr">
        <is>
          <t>Báo cáo</t>
        </is>
      </c>
      <c r="G487" s="22" t="inlineStr">
        <is>
          <t>Chỉ tiêu phái sinh</t>
        </is>
      </c>
      <c r="H487" s="4" t="inlineStr">
        <is>
          <t>TB</t>
        </is>
      </c>
      <c r="I487" s="55" t="inlineStr">
        <is>
          <t>TPCP bảo lãnh</t>
        </is>
      </c>
    </row>
    <row r="488" ht="16" customHeight="1" s="380">
      <c r="B488" s="4" t="inlineStr">
        <is>
          <t>HNX04 (LK)</t>
        </is>
      </c>
      <c r="C488" s="216" t="n"/>
      <c r="D488" s="218" t="inlineStr">
        <is>
          <t>Tín phiếu kho bạc</t>
        </is>
      </c>
      <c r="F488" s="4" t="inlineStr">
        <is>
          <t>Báo cáo</t>
        </is>
      </c>
      <c r="G488" s="22" t="inlineStr">
        <is>
          <t>Chỉ tiêu phái sinh</t>
        </is>
      </c>
      <c r="H488" s="4" t="inlineStr">
        <is>
          <t>TB</t>
        </is>
      </c>
      <c r="I488" s="55" t="inlineStr">
        <is>
          <t>Tín phiếu kho bạc</t>
        </is>
      </c>
    </row>
    <row r="489" ht="16" customHeight="1" s="380">
      <c r="B489" s="4" t="inlineStr">
        <is>
          <t>HNX04 (LK)</t>
        </is>
      </c>
      <c r="C489" s="216" t="n"/>
      <c r="D489" s="218" t="inlineStr">
        <is>
          <t>Giá trị chứng khoán giao dịch (VND)</t>
        </is>
      </c>
      <c r="F489" s="4" t="inlineStr">
        <is>
          <t>Báo cáo</t>
        </is>
      </c>
      <c r="G489" s="22" t="inlineStr">
        <is>
          <t>Chỉ tiêu phái sinh</t>
        </is>
      </c>
      <c r="H489" s="4" t="inlineStr">
        <is>
          <t>TB</t>
        </is>
      </c>
      <c r="I489" s="55" t="n"/>
    </row>
    <row r="490" ht="16" customHeight="1" s="380">
      <c r="B490" s="4" t="inlineStr">
        <is>
          <t>HNX04 (LK)</t>
        </is>
      </c>
      <c r="C490" s="216" t="n"/>
      <c r="D490" s="218" t="inlineStr">
        <is>
          <t>Cổ phiếu niêm yết</t>
        </is>
      </c>
      <c r="F490" s="4" t="inlineStr">
        <is>
          <t>Báo cáo</t>
        </is>
      </c>
      <c r="G490" s="22" t="inlineStr">
        <is>
          <t>Chỉ tiêu phái sinh</t>
        </is>
      </c>
      <c r="H490" s="4" t="inlineStr">
        <is>
          <t>TB</t>
        </is>
      </c>
      <c r="I490" s="55" t="inlineStr">
        <is>
          <t>CPNY</t>
        </is>
      </c>
    </row>
    <row r="491" ht="16" customHeight="1" s="380">
      <c r="B491" s="4" t="inlineStr">
        <is>
          <t>HNX04 (LK)</t>
        </is>
      </c>
      <c r="C491" s="216" t="n"/>
      <c r="D491" s="218" t="inlineStr">
        <is>
          <t>Cổ phiếu đăng ký giao dịch</t>
        </is>
      </c>
      <c r="F491" s="4" t="inlineStr">
        <is>
          <t>Báo cáo</t>
        </is>
      </c>
      <c r="G491" s="22" t="inlineStr">
        <is>
          <t>Chỉ tiêu phái sinh</t>
        </is>
      </c>
      <c r="H491" s="4" t="inlineStr">
        <is>
          <t>TB</t>
        </is>
      </c>
      <c r="I491" s="55" t="inlineStr">
        <is>
          <t>CP đăng ký GD</t>
        </is>
      </c>
    </row>
    <row r="492" ht="16" customHeight="1" s="380">
      <c r="B492" s="4" t="inlineStr">
        <is>
          <t>HNX04 (LK)</t>
        </is>
      </c>
      <c r="C492" s="216" t="n"/>
      <c r="D492" s="218" t="inlineStr">
        <is>
          <t>Trái phiếu chính phủ</t>
        </is>
      </c>
      <c r="F492" s="4" t="inlineStr">
        <is>
          <t>Báo cáo</t>
        </is>
      </c>
      <c r="G492" s="22" t="inlineStr">
        <is>
          <t>Chỉ tiêu phái sinh</t>
        </is>
      </c>
      <c r="H492" s="4" t="inlineStr">
        <is>
          <t>TB</t>
        </is>
      </c>
      <c r="I492" s="55" t="inlineStr">
        <is>
          <t>TPCP</t>
        </is>
      </c>
    </row>
    <row r="493" ht="16" customHeight="1" s="380">
      <c r="B493" s="4" t="inlineStr">
        <is>
          <t>HNX04 (LK)</t>
        </is>
      </c>
      <c r="C493" s="216" t="n"/>
      <c r="D493" s="218" t="inlineStr">
        <is>
          <t>Trái phiếu chính quyền địa phương</t>
        </is>
      </c>
      <c r="F493" s="4" t="inlineStr">
        <is>
          <t>Báo cáo</t>
        </is>
      </c>
      <c r="G493" s="22" t="inlineStr">
        <is>
          <t>Chỉ tiêu phái sinh</t>
        </is>
      </c>
      <c r="H493" s="4" t="inlineStr">
        <is>
          <t>TB</t>
        </is>
      </c>
      <c r="I493" s="55" t="inlineStr">
        <is>
          <t>TP Chính quyền ĐP</t>
        </is>
      </c>
    </row>
    <row r="494" ht="16" customHeight="1" s="380">
      <c r="B494" s="4" t="inlineStr">
        <is>
          <t>HNX04 (LK)</t>
        </is>
      </c>
      <c r="C494" s="216" t="n"/>
      <c r="D494" s="218" t="inlineStr">
        <is>
          <t>Trái phiếu chính phủ bảo lãnh</t>
        </is>
      </c>
      <c r="F494" s="4" t="inlineStr">
        <is>
          <t>Báo cáo</t>
        </is>
      </c>
      <c r="G494" s="22" t="inlineStr">
        <is>
          <t>Chỉ tiêu phái sinh</t>
        </is>
      </c>
      <c r="H494" s="4" t="inlineStr">
        <is>
          <t>TB</t>
        </is>
      </c>
      <c r="I494" s="55" t="inlineStr">
        <is>
          <t>TPCP bảo lãnh</t>
        </is>
      </c>
    </row>
    <row r="495" ht="16" customHeight="1" s="380">
      <c r="B495" s="4" t="inlineStr">
        <is>
          <t>HNX04 (LK)</t>
        </is>
      </c>
      <c r="C495" s="216" t="n"/>
      <c r="D495" s="218" t="inlineStr">
        <is>
          <t>Trái phiếu doanh nghiệp</t>
        </is>
      </c>
      <c r="F495" s="4" t="inlineStr">
        <is>
          <t>Báo cáo</t>
        </is>
      </c>
      <c r="G495" s="22" t="inlineStr">
        <is>
          <t>Chỉ tiêu phái sinh</t>
        </is>
      </c>
      <c r="H495" s="4" t="inlineStr">
        <is>
          <t>TB</t>
        </is>
      </c>
      <c r="I495" s="55" t="inlineStr">
        <is>
          <t>TPDN</t>
        </is>
      </c>
    </row>
    <row r="496" ht="16" customHeight="1" s="380">
      <c r="B496" s="4" t="inlineStr">
        <is>
          <t>HNX04 (LK)</t>
        </is>
      </c>
      <c r="C496" s="216" t="n"/>
      <c r="D496" s="218" t="inlineStr">
        <is>
          <t>Tín phiếu kho bạc</t>
        </is>
      </c>
      <c r="F496" s="4" t="inlineStr">
        <is>
          <t>Báo cáo</t>
        </is>
      </c>
      <c r="G496" s="22" t="inlineStr">
        <is>
          <t>Chỉ tiêu phái sinh</t>
        </is>
      </c>
      <c r="H496" s="4" t="inlineStr">
        <is>
          <t>TB</t>
        </is>
      </c>
      <c r="I496" s="55" t="inlineStr">
        <is>
          <t>Tín phiếu kho bạc</t>
        </is>
      </c>
    </row>
    <row r="497" ht="16" customHeight="1" s="380">
      <c r="B497" s="4" t="inlineStr">
        <is>
          <t>HNX04 (LK)</t>
        </is>
      </c>
      <c r="C497" s="216" t="n"/>
      <c r="D497" s="218" t="inlineStr">
        <is>
          <t>Chứng chỉ quỹ (ETF)</t>
        </is>
      </c>
      <c r="F497" s="4" t="inlineStr">
        <is>
          <t>Báo cáo</t>
        </is>
      </c>
      <c r="G497" s="22" t="inlineStr">
        <is>
          <t>Chỉ tiêu phái sinh</t>
        </is>
      </c>
      <c r="H497" s="4" t="inlineStr">
        <is>
          <t>TB</t>
        </is>
      </c>
      <c r="I497" s="55" t="inlineStr">
        <is>
          <t>ETF</t>
        </is>
      </c>
    </row>
    <row r="498" ht="32" customHeight="1" s="380">
      <c r="B498" s="4" t="inlineStr">
        <is>
          <t>HNX04 (LK)</t>
        </is>
      </c>
      <c r="C498" s="216" t="n"/>
      <c r="D498" s="218" t="inlineStr">
        <is>
          <t>Khối lượng chứng khoán giao dịch (chứng khoán)</t>
        </is>
      </c>
      <c r="F498" s="4" t="inlineStr">
        <is>
          <t>Báo cáo</t>
        </is>
      </c>
      <c r="G498" s="22" t="inlineStr">
        <is>
          <t>Chỉ tiêu phái sinh</t>
        </is>
      </c>
      <c r="H498" s="4" t="inlineStr">
        <is>
          <t>TB</t>
        </is>
      </c>
      <c r="I498" s="55" t="n"/>
    </row>
    <row r="499" ht="16" customHeight="1" s="380">
      <c r="B499" s="4" t="inlineStr">
        <is>
          <t>HNX04 (LK)</t>
        </is>
      </c>
      <c r="C499" s="216" t="n"/>
      <c r="D499" s="218" t="inlineStr">
        <is>
          <t>Cổ phiếu niêm yết</t>
        </is>
      </c>
      <c r="F499" s="4" t="inlineStr">
        <is>
          <t>Báo cáo</t>
        </is>
      </c>
      <c r="G499" s="22" t="inlineStr">
        <is>
          <t>Chỉ tiêu phái sinh</t>
        </is>
      </c>
      <c r="H499" s="4" t="inlineStr">
        <is>
          <t>TB</t>
        </is>
      </c>
      <c r="I499" s="55" t="inlineStr">
        <is>
          <t>CPNY</t>
        </is>
      </c>
    </row>
    <row r="500" ht="16" customHeight="1" s="380">
      <c r="B500" s="4" t="inlineStr">
        <is>
          <t>HNX04 (LK)</t>
        </is>
      </c>
      <c r="C500" s="216" t="n"/>
      <c r="D500" s="218" t="inlineStr">
        <is>
          <t>Cổ phiếu đăng ký giao dịch</t>
        </is>
      </c>
      <c r="F500" s="4" t="inlineStr">
        <is>
          <t>Báo cáo</t>
        </is>
      </c>
      <c r="G500" s="22" t="inlineStr">
        <is>
          <t>Chỉ tiêu phái sinh</t>
        </is>
      </c>
      <c r="H500" s="4" t="inlineStr">
        <is>
          <t>TB</t>
        </is>
      </c>
      <c r="I500" s="55" t="inlineStr">
        <is>
          <t>CP đăng ký GD</t>
        </is>
      </c>
    </row>
    <row r="501" ht="16" customHeight="1" s="380">
      <c r="B501" s="4" t="inlineStr">
        <is>
          <t>HNX04 (LK)</t>
        </is>
      </c>
      <c r="C501" s="216" t="n"/>
      <c r="D501" s="218" t="inlineStr">
        <is>
          <t>Trái phiếu chính phủ</t>
        </is>
      </c>
      <c r="F501" s="4" t="inlineStr">
        <is>
          <t>Báo cáo</t>
        </is>
      </c>
      <c r="G501" s="22" t="inlineStr">
        <is>
          <t>Chỉ tiêu phái sinh</t>
        </is>
      </c>
      <c r="H501" s="4" t="inlineStr">
        <is>
          <t>TB</t>
        </is>
      </c>
      <c r="I501" s="55" t="inlineStr">
        <is>
          <t>TPCP</t>
        </is>
      </c>
    </row>
    <row r="502" ht="16" customHeight="1" s="380">
      <c r="B502" s="4" t="inlineStr">
        <is>
          <t>HNX04 (LK)</t>
        </is>
      </c>
      <c r="C502" s="216" t="n"/>
      <c r="D502" s="218" t="inlineStr">
        <is>
          <t>Trái phiếu chính quyền địa phương</t>
        </is>
      </c>
      <c r="F502" s="4" t="inlineStr">
        <is>
          <t>Báo cáo</t>
        </is>
      </c>
      <c r="G502" s="22" t="inlineStr">
        <is>
          <t>Chỉ tiêu phái sinh</t>
        </is>
      </c>
      <c r="H502" s="4" t="inlineStr">
        <is>
          <t>TB</t>
        </is>
      </c>
      <c r="I502" s="55" t="inlineStr">
        <is>
          <t>TP Chính quyền ĐP</t>
        </is>
      </c>
    </row>
    <row r="503" ht="16" customHeight="1" s="380">
      <c r="B503" s="4" t="inlineStr">
        <is>
          <t>HNX04 (LK)</t>
        </is>
      </c>
      <c r="C503" s="216" t="n"/>
      <c r="D503" s="218" t="inlineStr">
        <is>
          <t>Trái phiếu chính phủ bảo lãnh</t>
        </is>
      </c>
      <c r="F503" s="4" t="inlineStr">
        <is>
          <t>Báo cáo</t>
        </is>
      </c>
      <c r="G503" s="22" t="inlineStr">
        <is>
          <t>Chỉ tiêu phái sinh</t>
        </is>
      </c>
      <c r="H503" s="4" t="inlineStr">
        <is>
          <t>TB</t>
        </is>
      </c>
      <c r="I503" s="55" t="inlineStr">
        <is>
          <t>TPCP bảo lãnh</t>
        </is>
      </c>
    </row>
    <row r="504" ht="16" customHeight="1" s="380">
      <c r="B504" s="4" t="inlineStr">
        <is>
          <t>HNX04 (LK)</t>
        </is>
      </c>
      <c r="C504" s="216" t="n"/>
      <c r="D504" s="218" t="inlineStr">
        <is>
          <t>Trái phiếu doanh nghiệp</t>
        </is>
      </c>
      <c r="F504" s="4" t="inlineStr">
        <is>
          <t>Báo cáo</t>
        </is>
      </c>
      <c r="G504" s="22" t="inlineStr">
        <is>
          <t>Chỉ tiêu phái sinh</t>
        </is>
      </c>
      <c r="H504" s="4" t="inlineStr">
        <is>
          <t>TB</t>
        </is>
      </c>
      <c r="I504" s="55" t="inlineStr">
        <is>
          <t>TPDN</t>
        </is>
      </c>
    </row>
    <row r="505" ht="16" customHeight="1" s="380">
      <c r="B505" s="4" t="inlineStr">
        <is>
          <t>HNX04 (LK)</t>
        </is>
      </c>
      <c r="C505" s="216" t="n"/>
      <c r="D505" s="218" t="inlineStr">
        <is>
          <t>Tín phiếu kho bạc</t>
        </is>
      </c>
      <c r="F505" s="4" t="inlineStr">
        <is>
          <t>Báo cáo</t>
        </is>
      </c>
      <c r="G505" s="22" t="inlineStr">
        <is>
          <t>Chỉ tiêu phái sinh</t>
        </is>
      </c>
      <c r="H505" s="4" t="inlineStr">
        <is>
          <t>TB</t>
        </is>
      </c>
      <c r="I505" s="55" t="inlineStr">
        <is>
          <t>Tín phiếu kho bạc</t>
        </is>
      </c>
    </row>
    <row r="506" ht="16" customHeight="1" s="380">
      <c r="B506" s="4" t="inlineStr">
        <is>
          <t>HNX04 (LK)</t>
        </is>
      </c>
      <c r="C506" s="216" t="n"/>
      <c r="D506" s="218" t="inlineStr">
        <is>
          <t>Chứng chỉ quỹ (ETF)</t>
        </is>
      </c>
      <c r="F506" s="4" t="inlineStr">
        <is>
          <t>Báo cáo</t>
        </is>
      </c>
      <c r="G506" s="22" t="inlineStr">
        <is>
          <t>Chỉ tiêu phái sinh</t>
        </is>
      </c>
      <c r="H506" s="4" t="inlineStr">
        <is>
          <t>TB</t>
        </is>
      </c>
      <c r="I506" s="55" t="inlineStr">
        <is>
          <t>ETF</t>
        </is>
      </c>
    </row>
    <row r="507" ht="32" customHeight="1" s="380">
      <c r="B507" s="4" t="inlineStr">
        <is>
          <t>HNX04 (LK)</t>
        </is>
      </c>
      <c r="C507" s="216" t="n"/>
      <c r="D507" s="218" t="inlineStr">
        <is>
          <t>Chứng khoán niêm yết mới (mã chứng khoán)</t>
        </is>
      </c>
      <c r="F507" s="4" t="inlineStr">
        <is>
          <t>Báo cáo</t>
        </is>
      </c>
      <c r="G507" s="22" t="inlineStr">
        <is>
          <t>Chỉ tiêu phái sinh</t>
        </is>
      </c>
      <c r="H507" s="4" t="inlineStr">
        <is>
          <t>TB</t>
        </is>
      </c>
      <c r="I507" s="55" t="n"/>
    </row>
    <row r="508" ht="16" customHeight="1" s="380">
      <c r="B508" s="4" t="inlineStr">
        <is>
          <t>HNX04 (LK)</t>
        </is>
      </c>
      <c r="C508" s="216" t="n"/>
      <c r="D508" s="218" t="inlineStr">
        <is>
          <t>Cổ phiếu niêm yết</t>
        </is>
      </c>
      <c r="F508" s="4" t="inlineStr">
        <is>
          <t>Báo cáo</t>
        </is>
      </c>
      <c r="G508" s="22" t="inlineStr">
        <is>
          <t>Chỉ tiêu phái sinh</t>
        </is>
      </c>
      <c r="H508" s="4" t="inlineStr">
        <is>
          <t>TB</t>
        </is>
      </c>
      <c r="I508" s="55" t="inlineStr">
        <is>
          <t>CPNY</t>
        </is>
      </c>
    </row>
    <row r="509" ht="16" customHeight="1" s="380">
      <c r="B509" s="4" t="inlineStr">
        <is>
          <t>HNX04 (LK)</t>
        </is>
      </c>
      <c r="C509" s="216" t="n"/>
      <c r="D509" s="218" t="inlineStr">
        <is>
          <t>Cổ phiếu đăng ký giao dịch</t>
        </is>
      </c>
      <c r="F509" s="4" t="inlineStr">
        <is>
          <t>Báo cáo</t>
        </is>
      </c>
      <c r="G509" s="22" t="inlineStr">
        <is>
          <t>Chỉ tiêu phái sinh</t>
        </is>
      </c>
      <c r="H509" s="4" t="inlineStr">
        <is>
          <t>TB</t>
        </is>
      </c>
      <c r="I509" s="55" t="inlineStr">
        <is>
          <t>CP đăng ký GD</t>
        </is>
      </c>
    </row>
    <row r="510" ht="16" customHeight="1" s="380">
      <c r="B510" s="4" t="inlineStr">
        <is>
          <t>HNX04 (LK)</t>
        </is>
      </c>
      <c r="C510" s="216" t="n"/>
      <c r="D510" s="218" t="inlineStr">
        <is>
          <t>Trái phiếu chính phủ</t>
        </is>
      </c>
      <c r="F510" s="4" t="inlineStr">
        <is>
          <t>Báo cáo</t>
        </is>
      </c>
      <c r="G510" s="22" t="inlineStr">
        <is>
          <t>Chỉ tiêu phái sinh</t>
        </is>
      </c>
      <c r="H510" s="4" t="inlineStr">
        <is>
          <t>TB</t>
        </is>
      </c>
      <c r="I510" s="55" t="inlineStr">
        <is>
          <t>TPCP</t>
        </is>
      </c>
    </row>
    <row r="511" ht="16" customHeight="1" s="380">
      <c r="B511" s="4" t="inlineStr">
        <is>
          <t>HNX04 (LK)</t>
        </is>
      </c>
      <c r="C511" s="216" t="n"/>
      <c r="D511" s="218" t="inlineStr">
        <is>
          <t>Trái phiếu chính quyền địa phương</t>
        </is>
      </c>
      <c r="F511" s="4" t="inlineStr">
        <is>
          <t>Báo cáo</t>
        </is>
      </c>
      <c r="G511" s="22" t="inlineStr">
        <is>
          <t>Chỉ tiêu phái sinh</t>
        </is>
      </c>
      <c r="H511" s="4" t="inlineStr">
        <is>
          <t>TB</t>
        </is>
      </c>
      <c r="I511" s="55" t="inlineStr">
        <is>
          <t>TP Chính quyền ĐP</t>
        </is>
      </c>
    </row>
    <row r="512" ht="16" customHeight="1" s="380">
      <c r="B512" s="4" t="inlineStr">
        <is>
          <t>HNX04 (LK)</t>
        </is>
      </c>
      <c r="C512" s="216" t="n"/>
      <c r="D512" s="218" t="inlineStr">
        <is>
          <t>Trái phiếu chính phủ bảo lãnh</t>
        </is>
      </c>
      <c r="F512" s="4" t="inlineStr">
        <is>
          <t>Báo cáo</t>
        </is>
      </c>
      <c r="G512" s="22" t="inlineStr">
        <is>
          <t>Chỉ tiêu phái sinh</t>
        </is>
      </c>
      <c r="H512" s="4" t="inlineStr">
        <is>
          <t>TB</t>
        </is>
      </c>
      <c r="I512" s="55" t="inlineStr">
        <is>
          <t>TPCP bảo lãnh</t>
        </is>
      </c>
    </row>
    <row r="513" ht="16" customHeight="1" s="380">
      <c r="B513" s="4" t="inlineStr">
        <is>
          <t>HNX04 (LK)</t>
        </is>
      </c>
      <c r="C513" s="216" t="n"/>
      <c r="D513" s="218" t="inlineStr">
        <is>
          <t>Trái phiếu doanh nghiệp</t>
        </is>
      </c>
      <c r="F513" s="4" t="inlineStr">
        <is>
          <t>Báo cáo</t>
        </is>
      </c>
      <c r="G513" s="22" t="inlineStr">
        <is>
          <t>Chỉ tiêu phái sinh</t>
        </is>
      </c>
      <c r="H513" s="4" t="inlineStr">
        <is>
          <t>TB</t>
        </is>
      </c>
      <c r="I513" s="55" t="inlineStr">
        <is>
          <t>TPDN</t>
        </is>
      </c>
    </row>
    <row r="514" ht="16" customHeight="1" s="380">
      <c r="B514" s="4" t="inlineStr">
        <is>
          <t>HNX04 (LK)</t>
        </is>
      </c>
      <c r="C514" s="216" t="n"/>
      <c r="D514" s="218" t="inlineStr">
        <is>
          <t>Tín phiếu kho bạc</t>
        </is>
      </c>
      <c r="F514" s="4" t="inlineStr">
        <is>
          <t>Báo cáo</t>
        </is>
      </c>
      <c r="G514" s="22" t="inlineStr">
        <is>
          <t>Chỉ tiêu phái sinh</t>
        </is>
      </c>
      <c r="H514" s="4" t="inlineStr">
        <is>
          <t>TB</t>
        </is>
      </c>
      <c r="I514" s="55" t="inlineStr">
        <is>
          <t>Tín phiếu kho bạc</t>
        </is>
      </c>
    </row>
    <row r="515" ht="16" customHeight="1" s="380">
      <c r="B515" s="4" t="inlineStr">
        <is>
          <t>HNX04 (LK)</t>
        </is>
      </c>
      <c r="C515" s="216" t="n"/>
      <c r="D515" s="218" t="inlineStr">
        <is>
          <t>Chứng chỉ quỹ (ETF)</t>
        </is>
      </c>
      <c r="F515" s="4" t="inlineStr">
        <is>
          <t>Báo cáo</t>
        </is>
      </c>
      <c r="G515" s="22" t="inlineStr">
        <is>
          <t>Chỉ tiêu phái sinh</t>
        </is>
      </c>
      <c r="H515" s="4" t="inlineStr">
        <is>
          <t>TB</t>
        </is>
      </c>
      <c r="I515" s="55" t="inlineStr">
        <is>
          <t>ETF</t>
        </is>
      </c>
    </row>
    <row r="516" ht="32" customHeight="1" s="380">
      <c r="B516" s="4" t="inlineStr">
        <is>
          <t>HNX04 (LK)</t>
        </is>
      </c>
      <c r="C516" s="216" t="n"/>
      <c r="D516" s="218" t="inlineStr">
        <is>
          <t>Chứng khoán hủy niêm yết (mã chứng khoán)</t>
        </is>
      </c>
      <c r="F516" s="4" t="inlineStr">
        <is>
          <t>Báo cáo</t>
        </is>
      </c>
      <c r="G516" s="22" t="inlineStr">
        <is>
          <t>Chỉ tiêu phái sinh</t>
        </is>
      </c>
      <c r="H516" s="4" t="inlineStr">
        <is>
          <t>TB</t>
        </is>
      </c>
      <c r="I516" s="55" t="n"/>
    </row>
    <row r="517" ht="16" customHeight="1" s="380">
      <c r="B517" s="4" t="inlineStr">
        <is>
          <t>HNX04 (LK)</t>
        </is>
      </c>
      <c r="C517" s="216" t="n"/>
      <c r="D517" s="218" t="inlineStr">
        <is>
          <t>Cổ phiếu niêm yết</t>
        </is>
      </c>
      <c r="F517" s="4" t="inlineStr">
        <is>
          <t>Báo cáo</t>
        </is>
      </c>
      <c r="G517" s="22" t="inlineStr">
        <is>
          <t>Chỉ tiêu phái sinh</t>
        </is>
      </c>
      <c r="H517" s="4" t="inlineStr">
        <is>
          <t>TB</t>
        </is>
      </c>
      <c r="I517" s="55" t="inlineStr">
        <is>
          <t>CPNY</t>
        </is>
      </c>
    </row>
    <row r="518" ht="16" customHeight="1" s="380">
      <c r="B518" s="4" t="inlineStr">
        <is>
          <t>HNX04 (LK)</t>
        </is>
      </c>
      <c r="C518" s="216" t="n"/>
      <c r="D518" s="218" t="inlineStr">
        <is>
          <t>Cổ phiếu đăng ký giao dịch</t>
        </is>
      </c>
      <c r="F518" s="4" t="inlineStr">
        <is>
          <t>Báo cáo</t>
        </is>
      </c>
      <c r="G518" s="22" t="inlineStr">
        <is>
          <t>Chỉ tiêu phái sinh</t>
        </is>
      </c>
      <c r="H518" s="4" t="inlineStr">
        <is>
          <t>TB</t>
        </is>
      </c>
      <c r="I518" s="55" t="inlineStr">
        <is>
          <t>CP đăng ký GD</t>
        </is>
      </c>
    </row>
    <row r="519" ht="16" customHeight="1" s="380">
      <c r="B519" s="4" t="inlineStr">
        <is>
          <t>HNX04 (LK)</t>
        </is>
      </c>
      <c r="C519" s="216" t="n"/>
      <c r="D519" s="218" t="inlineStr">
        <is>
          <t>Trái phiếu chính phủ</t>
        </is>
      </c>
      <c r="F519" s="4" t="inlineStr">
        <is>
          <t>Báo cáo</t>
        </is>
      </c>
      <c r="G519" s="22" t="inlineStr">
        <is>
          <t>Chỉ tiêu phái sinh</t>
        </is>
      </c>
      <c r="H519" s="4" t="inlineStr">
        <is>
          <t>TB</t>
        </is>
      </c>
      <c r="I519" s="55" t="inlineStr">
        <is>
          <t>TPCP</t>
        </is>
      </c>
    </row>
    <row r="520" ht="16" customHeight="1" s="380">
      <c r="B520" s="4" t="inlineStr">
        <is>
          <t>HNX04 (LK)</t>
        </is>
      </c>
      <c r="C520" s="216" t="n"/>
      <c r="D520" s="218" t="inlineStr">
        <is>
          <t>Trái phiếu chính quyền địa phương</t>
        </is>
      </c>
      <c r="F520" s="4" t="inlineStr">
        <is>
          <t>Báo cáo</t>
        </is>
      </c>
      <c r="G520" s="22" t="inlineStr">
        <is>
          <t>Chỉ tiêu phái sinh</t>
        </is>
      </c>
      <c r="H520" s="4" t="inlineStr">
        <is>
          <t>TB</t>
        </is>
      </c>
      <c r="I520" s="55" t="inlineStr">
        <is>
          <t>TP Chính quyền ĐP</t>
        </is>
      </c>
    </row>
    <row r="521" ht="16" customHeight="1" s="380">
      <c r="B521" s="4" t="inlineStr">
        <is>
          <t>HNX04 (LK)</t>
        </is>
      </c>
      <c r="C521" s="216" t="n"/>
      <c r="D521" s="218" t="inlineStr">
        <is>
          <t>Trái phiếu chính phủ bảo lãnh</t>
        </is>
      </c>
      <c r="F521" s="4" t="inlineStr">
        <is>
          <t>Báo cáo</t>
        </is>
      </c>
      <c r="G521" s="22" t="inlineStr">
        <is>
          <t>Chỉ tiêu phái sinh</t>
        </is>
      </c>
      <c r="H521" s="4" t="inlineStr">
        <is>
          <t>TB</t>
        </is>
      </c>
      <c r="I521" s="55" t="inlineStr">
        <is>
          <t>TPCP bảo lãnh</t>
        </is>
      </c>
    </row>
    <row r="522" ht="16" customHeight="1" s="380">
      <c r="B522" s="4" t="inlineStr">
        <is>
          <t>HNX04 (LK)</t>
        </is>
      </c>
      <c r="C522" s="216" t="n"/>
      <c r="D522" s="218" t="inlineStr">
        <is>
          <t>Trái phiếu doanh nghiệp</t>
        </is>
      </c>
      <c r="F522" s="4" t="inlineStr">
        <is>
          <t>Báo cáo</t>
        </is>
      </c>
      <c r="G522" s="22" t="inlineStr">
        <is>
          <t>Chỉ tiêu phái sinh</t>
        </is>
      </c>
      <c r="H522" s="4" t="inlineStr">
        <is>
          <t>TB</t>
        </is>
      </c>
      <c r="I522" s="55" t="inlineStr">
        <is>
          <t>TPDN</t>
        </is>
      </c>
    </row>
    <row r="523" ht="16" customHeight="1" s="380">
      <c r="B523" s="4" t="inlineStr">
        <is>
          <t>HNX04 (LK)</t>
        </is>
      </c>
      <c r="C523" s="216" t="n"/>
      <c r="D523" s="218" t="inlineStr">
        <is>
          <t>Tín phiếu kho bạc</t>
        </is>
      </c>
      <c r="F523" s="4" t="inlineStr">
        <is>
          <t>Báo cáo</t>
        </is>
      </c>
      <c r="G523" s="22" t="inlineStr">
        <is>
          <t>Chỉ tiêu phái sinh</t>
        </is>
      </c>
      <c r="H523" s="4" t="inlineStr">
        <is>
          <t>TB</t>
        </is>
      </c>
      <c r="I523" s="55" t="inlineStr">
        <is>
          <t>Tín phiếu kho bạc</t>
        </is>
      </c>
    </row>
    <row r="524" ht="16" customHeight="1" s="380">
      <c r="B524" s="4" t="inlineStr">
        <is>
          <t>HNX04 (LK)</t>
        </is>
      </c>
      <c r="C524" s="216" t="n"/>
      <c r="D524" s="218" t="inlineStr">
        <is>
          <t>Chứng chỉ quỹ (ETF)</t>
        </is>
      </c>
      <c r="F524" s="4" t="inlineStr">
        <is>
          <t>Báo cáo</t>
        </is>
      </c>
      <c r="G524" s="22" t="inlineStr">
        <is>
          <t>Chỉ tiêu phái sinh</t>
        </is>
      </c>
      <c r="H524" s="4" t="inlineStr">
        <is>
          <t>TB</t>
        </is>
      </c>
      <c r="I524" s="55" t="inlineStr">
        <is>
          <t>ETF</t>
        </is>
      </c>
    </row>
    <row r="525" ht="32" customHeight="1" s="380">
      <c r="B525" s="4" t="inlineStr">
        <is>
          <t>HNX04 (LK)</t>
        </is>
      </c>
      <c r="C525" s="216" t="n"/>
      <c r="D525" s="218" t="inlineStr">
        <is>
          <t>Chứng khoán niêm yết đến thời điểm hiện tại (mã chứng khoán)</t>
        </is>
      </c>
      <c r="F525" s="4" t="inlineStr">
        <is>
          <t>Báo cáo</t>
        </is>
      </c>
      <c r="G525" s="22" t="inlineStr">
        <is>
          <t>Chỉ tiêu phái sinh</t>
        </is>
      </c>
      <c r="H525" s="4" t="inlineStr">
        <is>
          <t>TB</t>
        </is>
      </c>
      <c r="I525" s="55" t="n"/>
    </row>
    <row r="526" ht="16" customHeight="1" s="380">
      <c r="B526" s="4" t="inlineStr">
        <is>
          <t>HNX04 (LK)</t>
        </is>
      </c>
      <c r="C526" s="216" t="n"/>
      <c r="D526" s="218" t="inlineStr">
        <is>
          <t>Cổ phiếu niêm yết</t>
        </is>
      </c>
      <c r="F526" s="4" t="inlineStr">
        <is>
          <t>Báo cáo</t>
        </is>
      </c>
      <c r="G526" s="22" t="inlineStr">
        <is>
          <t>Chỉ tiêu phái sinh</t>
        </is>
      </c>
      <c r="H526" s="4" t="inlineStr">
        <is>
          <t>TB</t>
        </is>
      </c>
      <c r="I526" s="55" t="inlineStr">
        <is>
          <t>CPNY</t>
        </is>
      </c>
    </row>
    <row r="527" ht="16" customHeight="1" s="380">
      <c r="B527" s="4" t="inlineStr">
        <is>
          <t>HNX04 (LK)</t>
        </is>
      </c>
      <c r="C527" s="216" t="n"/>
      <c r="D527" s="218" t="inlineStr">
        <is>
          <t>Cổ phiếu đăng ký giao dịch</t>
        </is>
      </c>
      <c r="F527" s="4" t="inlineStr">
        <is>
          <t>Báo cáo</t>
        </is>
      </c>
      <c r="G527" s="22" t="inlineStr">
        <is>
          <t>Chỉ tiêu phái sinh</t>
        </is>
      </c>
      <c r="H527" s="4" t="inlineStr">
        <is>
          <t>TB</t>
        </is>
      </c>
      <c r="I527" s="55" t="inlineStr">
        <is>
          <t>CP đăng ký GD</t>
        </is>
      </c>
    </row>
    <row r="528" ht="16" customHeight="1" s="380">
      <c r="B528" s="4" t="inlineStr">
        <is>
          <t>HNX04 (LK)</t>
        </is>
      </c>
      <c r="C528" s="216" t="n"/>
      <c r="D528" s="218" t="inlineStr">
        <is>
          <t>Trái phiếu chính phủ</t>
        </is>
      </c>
      <c r="F528" s="4" t="inlineStr">
        <is>
          <t>Báo cáo</t>
        </is>
      </c>
      <c r="G528" s="22" t="inlineStr">
        <is>
          <t>Chỉ tiêu phái sinh</t>
        </is>
      </c>
      <c r="H528" s="4" t="inlineStr">
        <is>
          <t>TB</t>
        </is>
      </c>
      <c r="I528" s="55" t="inlineStr">
        <is>
          <t>TPCP</t>
        </is>
      </c>
    </row>
    <row r="529" ht="16" customHeight="1" s="380">
      <c r="B529" s="4" t="inlineStr">
        <is>
          <t>HNX04 (LK)</t>
        </is>
      </c>
      <c r="C529" s="216" t="n"/>
      <c r="D529" s="218" t="inlineStr">
        <is>
          <t>Trái phiếu chính quyền địa phương</t>
        </is>
      </c>
      <c r="F529" s="4" t="inlineStr">
        <is>
          <t>Báo cáo</t>
        </is>
      </c>
      <c r="G529" s="22" t="inlineStr">
        <is>
          <t>Chỉ tiêu phái sinh</t>
        </is>
      </c>
      <c r="H529" s="4" t="inlineStr">
        <is>
          <t>TB</t>
        </is>
      </c>
      <c r="I529" s="55" t="inlineStr">
        <is>
          <t>TP Chính quyền ĐP</t>
        </is>
      </c>
    </row>
    <row r="530" ht="16" customHeight="1" s="380">
      <c r="B530" s="4" t="inlineStr">
        <is>
          <t>HNX04 (LK)</t>
        </is>
      </c>
      <c r="C530" s="216" t="n"/>
      <c r="D530" s="218" t="inlineStr">
        <is>
          <t>Trái phiếu chính phủ bảo lãnh</t>
        </is>
      </c>
      <c r="F530" s="4" t="inlineStr">
        <is>
          <t>Báo cáo</t>
        </is>
      </c>
      <c r="G530" s="22" t="inlineStr">
        <is>
          <t>Chỉ tiêu phái sinh</t>
        </is>
      </c>
      <c r="H530" s="4" t="inlineStr">
        <is>
          <t>TB</t>
        </is>
      </c>
      <c r="I530" s="55" t="inlineStr">
        <is>
          <t>TPCP bảo lãnh</t>
        </is>
      </c>
    </row>
    <row r="531" ht="16" customHeight="1" s="380">
      <c r="B531" s="4" t="inlineStr">
        <is>
          <t>HNX04 (LK)</t>
        </is>
      </c>
      <c r="C531" s="216" t="n"/>
      <c r="D531" s="218" t="inlineStr">
        <is>
          <t>Trái phiếu doanh nghiệp</t>
        </is>
      </c>
      <c r="F531" s="4" t="inlineStr">
        <is>
          <t>Báo cáo</t>
        </is>
      </c>
      <c r="G531" s="22" t="inlineStr">
        <is>
          <t>Chỉ tiêu phái sinh</t>
        </is>
      </c>
      <c r="H531" s="4" t="inlineStr">
        <is>
          <t>TB</t>
        </is>
      </c>
      <c r="I531" s="55" t="inlineStr">
        <is>
          <t>TPDN</t>
        </is>
      </c>
    </row>
    <row r="532" ht="16" customHeight="1" s="380">
      <c r="B532" s="4" t="inlineStr">
        <is>
          <t>HNX04 (LK)</t>
        </is>
      </c>
      <c r="C532" s="216" t="n"/>
      <c r="D532" s="218" t="inlineStr">
        <is>
          <t>Tín phiếu kho bạc</t>
        </is>
      </c>
      <c r="F532" s="4" t="inlineStr">
        <is>
          <t>Báo cáo</t>
        </is>
      </c>
      <c r="G532" s="22" t="inlineStr">
        <is>
          <t>Chỉ tiêu phái sinh</t>
        </is>
      </c>
      <c r="H532" s="4" t="inlineStr">
        <is>
          <t>TB</t>
        </is>
      </c>
      <c r="I532" s="55" t="inlineStr">
        <is>
          <t>Tín phiếu kho bạc</t>
        </is>
      </c>
    </row>
    <row r="533" ht="16" customHeight="1" s="380">
      <c r="B533" s="4" t="inlineStr">
        <is>
          <t>HNX04 (LK)</t>
        </is>
      </c>
      <c r="C533" s="216" t="n"/>
      <c r="D533" s="218" t="inlineStr">
        <is>
          <t>Chứng chỉ quỹ (ETF)</t>
        </is>
      </c>
      <c r="F533" s="4" t="inlineStr">
        <is>
          <t>Báo cáo</t>
        </is>
      </c>
      <c r="G533" s="22" t="inlineStr">
        <is>
          <t>Chỉ tiêu phái sinh</t>
        </is>
      </c>
      <c r="H533" s="4" t="inlineStr">
        <is>
          <t>TB</t>
        </is>
      </c>
      <c r="I533" s="55" t="inlineStr">
        <is>
          <t>ETF</t>
        </is>
      </c>
    </row>
    <row r="534" ht="16" customHeight="1" s="380">
      <c r="B534" s="4" t="inlineStr">
        <is>
          <t>HNX04 (LK)</t>
        </is>
      </c>
      <c r="C534" s="216" t="n"/>
      <c r="D534" s="218" t="inlineStr">
        <is>
          <t>Số phiên thực hiện giao dịch</t>
        </is>
      </c>
      <c r="F534" s="4" t="inlineStr">
        <is>
          <t>Báo cáo</t>
        </is>
      </c>
      <c r="G534" s="22" t="inlineStr">
        <is>
          <t>Chỉ tiêu phái sinh</t>
        </is>
      </c>
      <c r="H534" s="4" t="inlineStr">
        <is>
          <t>TB</t>
        </is>
      </c>
      <c r="I534" s="55" t="n"/>
    </row>
    <row r="535" ht="16" customHeight="1" s="380">
      <c r="B535" s="4" t="inlineStr">
        <is>
          <t>HNX04 (LK)</t>
        </is>
      </c>
      <c r="C535" s="216" t="n"/>
      <c r="D535" s="218" t="inlineStr">
        <is>
          <t>Cổ phiếu niêm yết</t>
        </is>
      </c>
      <c r="F535" s="4" t="inlineStr">
        <is>
          <t>Báo cáo</t>
        </is>
      </c>
      <c r="G535" s="22" t="inlineStr">
        <is>
          <t>Chỉ tiêu phái sinh</t>
        </is>
      </c>
      <c r="H535" s="4" t="inlineStr">
        <is>
          <t>TB</t>
        </is>
      </c>
      <c r="I535" s="55" t="inlineStr">
        <is>
          <t>CPNY</t>
        </is>
      </c>
    </row>
    <row r="536" ht="16" customHeight="1" s="380">
      <c r="B536" s="4" t="inlineStr">
        <is>
          <t>HNX04 (LK)</t>
        </is>
      </c>
      <c r="C536" s="216" t="n"/>
      <c r="D536" s="218" t="inlineStr">
        <is>
          <t>Cổ phiếu đăng ký giao dịch</t>
        </is>
      </c>
      <c r="F536" s="4" t="inlineStr">
        <is>
          <t>Báo cáo</t>
        </is>
      </c>
      <c r="G536" s="22" t="inlineStr">
        <is>
          <t>Chỉ tiêu phái sinh</t>
        </is>
      </c>
      <c r="H536" s="4" t="inlineStr">
        <is>
          <t>TB</t>
        </is>
      </c>
      <c r="I536" s="55" t="inlineStr">
        <is>
          <t>CP đăng ký GD</t>
        </is>
      </c>
    </row>
    <row r="537" ht="16" customHeight="1" s="380">
      <c r="B537" s="4" t="inlineStr">
        <is>
          <t>HNX04 (LK)</t>
        </is>
      </c>
      <c r="C537" s="216" t="n"/>
      <c r="D537" s="218" t="inlineStr">
        <is>
          <t>Trái phiếu Chính phủ</t>
        </is>
      </c>
      <c r="F537" s="4" t="inlineStr">
        <is>
          <t>Báo cáo</t>
        </is>
      </c>
      <c r="G537" s="22" t="inlineStr">
        <is>
          <t>Chỉ tiêu phái sinh</t>
        </is>
      </c>
      <c r="H537" s="4" t="inlineStr">
        <is>
          <t>TB</t>
        </is>
      </c>
      <c r="I537" s="55" t="inlineStr">
        <is>
          <t>TPCP</t>
        </is>
      </c>
    </row>
    <row r="538" ht="16" customHeight="1" s="380">
      <c r="B538" s="4" t="inlineStr">
        <is>
          <t>HNX04 (LK)</t>
        </is>
      </c>
      <c r="C538" s="216" t="n"/>
      <c r="D538" s="218" t="inlineStr">
        <is>
          <t>Tín phiếu kho bạc</t>
        </is>
      </c>
      <c r="F538" s="4" t="inlineStr">
        <is>
          <t>Báo cáo</t>
        </is>
      </c>
      <c r="G538" s="22" t="inlineStr">
        <is>
          <t>Chỉ tiêu phái sinh</t>
        </is>
      </c>
      <c r="H538" s="4" t="inlineStr">
        <is>
          <t>TB</t>
        </is>
      </c>
      <c r="I538" s="55" t="inlineStr">
        <is>
          <t>Tín phiếu kho bạc</t>
        </is>
      </c>
    </row>
    <row r="539" hidden="1" ht="16" customHeight="1" s="380">
      <c r="A539" s="27" t="n"/>
      <c r="B539" s="27" t="inlineStr">
        <is>
          <t>HNX06</t>
        </is>
      </c>
      <c r="C539" s="224" t="n"/>
      <c r="D539" s="225" t="n"/>
      <c r="E539" s="27" t="n"/>
      <c r="F539" s="27" t="n"/>
      <c r="G539" s="26" t="n"/>
      <c r="H539" s="27" t="n"/>
      <c r="I539" s="27" t="n"/>
      <c r="J539" s="27" t="n"/>
      <c r="K539" s="27" t="n"/>
      <c r="L539" s="184" t="n"/>
      <c r="M539" s="184" t="n"/>
    </row>
    <row r="540" ht="16" customHeight="1" s="380">
      <c r="A540" s="24" t="n"/>
      <c r="B540" s="24" t="n"/>
      <c r="C540" s="226" t="n"/>
      <c r="D540" s="227" t="n"/>
      <c r="E540" s="24" t="n"/>
      <c r="F540" s="24" t="n"/>
      <c r="G540" s="23" t="n"/>
      <c r="H540" s="24" t="n"/>
      <c r="I540" s="24" t="n"/>
      <c r="J540" s="24" t="n"/>
      <c r="K540" s="24" t="n"/>
      <c r="L540" s="24" t="n"/>
      <c r="M540" s="24" t="n"/>
      <c r="N540" s="24" t="n"/>
      <c r="O540" s="24" t="n"/>
      <c r="P540" s="24" t="n"/>
      <c r="Q540" s="24" t="n"/>
      <c r="R540" s="24" t="n"/>
      <c r="S540" s="24" t="n"/>
      <c r="T540" s="24" t="n"/>
      <c r="U540" s="24" t="n"/>
      <c r="V540" s="24" t="n"/>
      <c r="W540" s="24" t="n"/>
      <c r="X540" s="24" t="n"/>
      <c r="Y540" s="24" t="n"/>
      <c r="Z540" s="24" t="n"/>
      <c r="AA540" s="24" t="n"/>
      <c r="AB540" s="24" t="n"/>
      <c r="AC540" s="24" t="n"/>
      <c r="AD540" s="24" t="n"/>
      <c r="AE540" s="24" t="n"/>
      <c r="AF540" s="24" t="n"/>
    </row>
    <row r="541" ht="16" customHeight="1" s="380">
      <c r="A541" s="24" t="n"/>
      <c r="B541" s="24" t="n"/>
      <c r="C541" s="226" t="n"/>
      <c r="D541" s="227" t="n"/>
      <c r="E541" s="24" t="n"/>
      <c r="F541" s="24" t="n"/>
      <c r="G541" s="23" t="n"/>
      <c r="H541" s="24" t="n"/>
      <c r="I541" s="24" t="n"/>
      <c r="J541" s="24" t="n"/>
      <c r="K541" s="24" t="n"/>
      <c r="L541" s="24" t="n"/>
      <c r="M541" s="24" t="n"/>
      <c r="N541" s="24" t="n"/>
      <c r="O541" s="24" t="n"/>
      <c r="P541" s="24" t="n"/>
      <c r="Q541" s="24" t="n"/>
      <c r="R541" s="24" t="n"/>
      <c r="S541" s="24" t="n"/>
      <c r="T541" s="24" t="n"/>
      <c r="U541" s="24" t="n"/>
      <c r="V541" s="24" t="n"/>
      <c r="W541" s="24" t="n"/>
      <c r="X541" s="24" t="n"/>
      <c r="Y541" s="24" t="n"/>
      <c r="Z541" s="24" t="n"/>
      <c r="AA541" s="24" t="n"/>
      <c r="AB541" s="24" t="n"/>
      <c r="AC541" s="24" t="n"/>
      <c r="AD541" s="24" t="n"/>
      <c r="AE541" s="24" t="n"/>
      <c r="AF541" s="24" t="n"/>
    </row>
    <row r="542" ht="16" customHeight="1" s="380">
      <c r="A542" s="24" t="n"/>
      <c r="B542" s="24" t="n"/>
      <c r="C542" s="226" t="n"/>
      <c r="D542" s="227" t="n"/>
      <c r="E542" s="24" t="n"/>
      <c r="F542" s="24" t="n"/>
      <c r="G542" s="23" t="n"/>
      <c r="H542" s="24" t="n"/>
      <c r="I542" s="24" t="n"/>
      <c r="J542" s="24" t="n"/>
      <c r="K542" s="24" t="n"/>
      <c r="L542" s="24" t="n"/>
      <c r="M542" s="24" t="n"/>
      <c r="N542" s="24" t="n"/>
      <c r="O542" s="24" t="n"/>
      <c r="P542" s="24" t="n"/>
      <c r="Q542" s="24" t="n"/>
      <c r="R542" s="24" t="n"/>
      <c r="S542" s="24" t="n"/>
      <c r="T542" s="24" t="n"/>
      <c r="U542" s="24" t="n"/>
      <c r="V542" s="24" t="n"/>
      <c r="W542" s="24" t="n"/>
      <c r="X542" s="24" t="n"/>
      <c r="Y542" s="24" t="n"/>
      <c r="Z542" s="24" t="n"/>
      <c r="AA542" s="24" t="n"/>
      <c r="AB542" s="24" t="n"/>
      <c r="AC542" s="24" t="n"/>
      <c r="AD542" s="24" t="n"/>
      <c r="AE542" s="24" t="n"/>
      <c r="AF542" s="24" t="n"/>
    </row>
    <row r="543" ht="16" customHeight="1" s="380">
      <c r="A543" s="24" t="n"/>
      <c r="B543" s="24" t="n"/>
      <c r="C543" s="226" t="n"/>
      <c r="D543" s="227" t="n"/>
      <c r="E543" s="24" t="n"/>
      <c r="F543" s="24" t="n"/>
      <c r="G543" s="23" t="n"/>
      <c r="H543" s="24" t="n"/>
      <c r="I543" s="24" t="n"/>
      <c r="J543" s="24" t="n"/>
      <c r="K543" s="24" t="n"/>
      <c r="L543" s="24" t="n"/>
      <c r="M543" s="24" t="n"/>
      <c r="N543" s="24" t="n"/>
      <c r="O543" s="24" t="n"/>
      <c r="P543" s="24" t="n"/>
      <c r="Q543" s="24" t="n"/>
      <c r="R543" s="24" t="n"/>
      <c r="S543" s="24" t="n"/>
      <c r="T543" s="24" t="n"/>
      <c r="U543" s="24" t="n"/>
      <c r="V543" s="24" t="n"/>
      <c r="W543" s="24" t="n"/>
      <c r="X543" s="24" t="n"/>
      <c r="Y543" s="24" t="n"/>
      <c r="Z543" s="24" t="n"/>
      <c r="AA543" s="24" t="n"/>
      <c r="AB543" s="24" t="n"/>
      <c r="AC543" s="24" t="n"/>
      <c r="AD543" s="24" t="n"/>
      <c r="AE543" s="24" t="n"/>
      <c r="AF543" s="24" t="n"/>
    </row>
    <row r="544" ht="16" customHeight="1" s="380">
      <c r="A544" s="24" t="n"/>
      <c r="B544" s="24" t="n"/>
      <c r="C544" s="226" t="n"/>
      <c r="D544" s="227" t="n"/>
      <c r="E544" s="24" t="n"/>
      <c r="F544" s="24" t="n"/>
      <c r="G544" s="23" t="n"/>
      <c r="H544" s="24" t="n"/>
      <c r="I544" s="24" t="n"/>
      <c r="J544" s="24" t="n"/>
      <c r="K544" s="24" t="n"/>
      <c r="L544" s="24" t="n"/>
      <c r="M544" s="24" t="n"/>
      <c r="N544" s="24" t="n"/>
      <c r="O544" s="24" t="n"/>
      <c r="P544" s="24" t="n"/>
      <c r="Q544" s="24" t="n"/>
      <c r="R544" s="24" t="n"/>
      <c r="S544" s="24" t="n"/>
      <c r="T544" s="24" t="n"/>
      <c r="U544" s="24" t="n"/>
      <c r="V544" s="24" t="n"/>
      <c r="W544" s="24" t="n"/>
      <c r="X544" s="24" t="n"/>
      <c r="Y544" s="24" t="n"/>
      <c r="Z544" s="24" t="n"/>
      <c r="AA544" s="24" t="n"/>
      <c r="AB544" s="24" t="n"/>
      <c r="AC544" s="24" t="n"/>
      <c r="AD544" s="24" t="n"/>
      <c r="AE544" s="24" t="n"/>
      <c r="AF544" s="24" t="n"/>
    </row>
    <row r="545" ht="16" customHeight="1" s="380">
      <c r="A545" s="24" t="n"/>
      <c r="B545" s="24" t="n"/>
      <c r="C545" s="226" t="n"/>
      <c r="D545" s="227" t="n"/>
      <c r="E545" s="24" t="n"/>
      <c r="F545" s="24" t="n"/>
      <c r="G545" s="23" t="n"/>
      <c r="H545" s="24" t="n"/>
      <c r="I545" s="24" t="n"/>
      <c r="J545" s="24" t="n"/>
      <c r="K545" s="24" t="n"/>
      <c r="L545" s="24" t="n"/>
      <c r="M545" s="24" t="n"/>
      <c r="N545" s="24" t="n"/>
      <c r="O545" s="24" t="n"/>
      <c r="P545" s="24" t="n"/>
      <c r="Q545" s="24" t="n"/>
      <c r="R545" s="24" t="n"/>
      <c r="S545" s="24" t="n"/>
      <c r="T545" s="24" t="n"/>
      <c r="U545" s="24" t="n"/>
      <c r="V545" s="24" t="n"/>
      <c r="W545" s="24" t="n"/>
      <c r="X545" s="24" t="n"/>
      <c r="Y545" s="24" t="n"/>
      <c r="Z545" s="24" t="n"/>
      <c r="AA545" s="24" t="n"/>
      <c r="AB545" s="24" t="n"/>
      <c r="AC545" s="24" t="n"/>
      <c r="AD545" s="24" t="n"/>
      <c r="AE545" s="24" t="n"/>
      <c r="AF545" s="24" t="n"/>
    </row>
    <row r="546" ht="16" customHeight="1" s="380">
      <c r="A546" s="24" t="n"/>
      <c r="B546" s="24" t="n"/>
      <c r="C546" s="226" t="n"/>
      <c r="D546" s="227" t="n"/>
      <c r="E546" s="24" t="n"/>
      <c r="F546" s="24" t="n"/>
      <c r="G546" s="23" t="n"/>
      <c r="H546" s="24" t="n"/>
      <c r="I546" s="24" t="n"/>
      <c r="J546" s="24" t="n"/>
      <c r="K546" s="24" t="n"/>
      <c r="L546" s="24" t="n"/>
      <c r="M546" s="24" t="n"/>
      <c r="N546" s="24" t="n"/>
      <c r="O546" s="24" t="n"/>
      <c r="P546" s="24" t="n"/>
      <c r="Q546" s="24" t="n"/>
      <c r="R546" s="24" t="n"/>
      <c r="S546" s="24" t="n"/>
      <c r="T546" s="24" t="n"/>
      <c r="U546" s="24" t="n"/>
      <c r="V546" s="24" t="n"/>
      <c r="W546" s="24" t="n"/>
      <c r="X546" s="24" t="n"/>
      <c r="Y546" s="24" t="n"/>
      <c r="Z546" s="24" t="n"/>
      <c r="AA546" s="24" t="n"/>
      <c r="AB546" s="24" t="n"/>
      <c r="AC546" s="24" t="n"/>
      <c r="AD546" s="24" t="n"/>
      <c r="AE546" s="24" t="n"/>
      <c r="AF546" s="24" t="n"/>
    </row>
    <row r="547" ht="16" customHeight="1" s="380">
      <c r="A547" s="24" t="n"/>
      <c r="B547" s="24" t="n"/>
      <c r="C547" s="226" t="n"/>
      <c r="D547" s="227" t="n"/>
      <c r="E547" s="24" t="n"/>
      <c r="F547" s="24" t="n"/>
      <c r="G547" s="23" t="n"/>
      <c r="H547" s="24" t="n"/>
      <c r="I547" s="24" t="n"/>
      <c r="J547" s="24" t="n"/>
      <c r="K547" s="24" t="n"/>
      <c r="L547" s="24" t="n"/>
      <c r="M547" s="24" t="n"/>
      <c r="N547" s="24" t="n"/>
      <c r="O547" s="24" t="n"/>
      <c r="P547" s="24" t="n"/>
      <c r="Q547" s="24" t="n"/>
      <c r="R547" s="24" t="n"/>
      <c r="S547" s="24" t="n"/>
      <c r="T547" s="24" t="n"/>
      <c r="U547" s="24" t="n"/>
      <c r="V547" s="24" t="n"/>
      <c r="W547" s="24" t="n"/>
      <c r="X547" s="24" t="n"/>
      <c r="Y547" s="24" t="n"/>
      <c r="Z547" s="24" t="n"/>
      <c r="AA547" s="24" t="n"/>
      <c r="AB547" s="24" t="n"/>
      <c r="AC547" s="24" t="n"/>
      <c r="AD547" s="24" t="n"/>
      <c r="AE547" s="24" t="n"/>
      <c r="AF547" s="24" t="n"/>
    </row>
    <row r="548" ht="16" customHeight="1" s="380">
      <c r="A548" s="24" t="n"/>
      <c r="B548" s="24" t="n"/>
      <c r="C548" s="226" t="n"/>
      <c r="D548" s="227" t="n"/>
      <c r="E548" s="24" t="n"/>
      <c r="F548" s="24" t="n"/>
      <c r="G548" s="23" t="n"/>
      <c r="H548" s="24" t="n"/>
      <c r="I548" s="24" t="n"/>
      <c r="J548" s="24" t="n"/>
      <c r="K548" s="24" t="n"/>
      <c r="L548" s="24" t="n"/>
      <c r="M548" s="24" t="n"/>
      <c r="N548" s="24" t="n"/>
      <c r="O548" s="24" t="n"/>
      <c r="P548" s="24" t="n"/>
      <c r="Q548" s="24" t="n"/>
      <c r="R548" s="24" t="n"/>
      <c r="S548" s="24" t="n"/>
      <c r="T548" s="24" t="n"/>
      <c r="U548" s="24" t="n"/>
      <c r="V548" s="24" t="n"/>
      <c r="W548" s="24" t="n"/>
      <c r="X548" s="24" t="n"/>
      <c r="Y548" s="24" t="n"/>
      <c r="Z548" s="24" t="n"/>
      <c r="AA548" s="24" t="n"/>
      <c r="AB548" s="24" t="n"/>
      <c r="AC548" s="24" t="n"/>
      <c r="AD548" s="24" t="n"/>
      <c r="AE548" s="24" t="n"/>
      <c r="AF548" s="24" t="n"/>
    </row>
    <row r="549" ht="16" customHeight="1" s="380">
      <c r="A549" s="24" t="n"/>
      <c r="B549" s="24" t="n"/>
      <c r="C549" s="226" t="n"/>
      <c r="D549" s="227" t="n"/>
      <c r="E549" s="24" t="n"/>
      <c r="F549" s="24" t="n"/>
      <c r="G549" s="23" t="n"/>
      <c r="H549" s="24" t="n"/>
      <c r="I549" s="24" t="n"/>
      <c r="J549" s="24" t="n"/>
      <c r="K549" s="24" t="n"/>
      <c r="L549" s="24" t="n"/>
      <c r="M549" s="24" t="n"/>
      <c r="N549" s="24" t="n"/>
      <c r="O549" s="24" t="n"/>
      <c r="P549" s="24" t="n"/>
      <c r="Q549" s="24" t="n"/>
      <c r="R549" s="24" t="n"/>
      <c r="S549" s="24" t="n"/>
      <c r="T549" s="24" t="n"/>
      <c r="U549" s="24" t="n"/>
      <c r="V549" s="24" t="n"/>
      <c r="W549" s="24" t="n"/>
      <c r="X549" s="24" t="n"/>
      <c r="Y549" s="24" t="n"/>
      <c r="Z549" s="24" t="n"/>
      <c r="AA549" s="24" t="n"/>
      <c r="AB549" s="24" t="n"/>
      <c r="AC549" s="24" t="n"/>
      <c r="AD549" s="24" t="n"/>
      <c r="AE549" s="24" t="n"/>
      <c r="AF549" s="24" t="n"/>
    </row>
    <row r="550" ht="16" customHeight="1" s="380">
      <c r="A550" s="24" t="n"/>
      <c r="B550" s="24" t="n"/>
      <c r="C550" s="226" t="n"/>
      <c r="D550" s="227" t="n"/>
      <c r="E550" s="24" t="n"/>
      <c r="F550" s="24" t="n"/>
      <c r="G550" s="23" t="n"/>
      <c r="H550" s="24" t="n"/>
      <c r="I550" s="24" t="n"/>
      <c r="J550" s="24" t="n"/>
      <c r="K550" s="24" t="n"/>
      <c r="L550" s="24" t="n"/>
      <c r="M550" s="24" t="n"/>
      <c r="N550" s="24" t="n"/>
      <c r="O550" s="24" t="n"/>
      <c r="P550" s="24" t="n"/>
      <c r="Q550" s="24" t="n"/>
      <c r="R550" s="24" t="n"/>
      <c r="S550" s="24" t="n"/>
      <c r="T550" s="24" t="n"/>
      <c r="U550" s="24" t="n"/>
      <c r="V550" s="24" t="n"/>
      <c r="W550" s="24" t="n"/>
      <c r="X550" s="24" t="n"/>
      <c r="Y550" s="24" t="n"/>
      <c r="Z550" s="24" t="n"/>
      <c r="AA550" s="24" t="n"/>
      <c r="AB550" s="24" t="n"/>
      <c r="AC550" s="24" t="n"/>
      <c r="AD550" s="24" t="n"/>
      <c r="AE550" s="24" t="n"/>
      <c r="AF550" s="24" t="n"/>
    </row>
    <row r="551" hidden="1" ht="17" customHeight="1" s="380">
      <c r="A551" s="183" t="n">
        <v>4</v>
      </c>
      <c r="B551" s="228" t="inlineStr">
        <is>
          <t>TK-HNX07</t>
        </is>
      </c>
      <c r="C551" s="444" t="inlineStr">
        <is>
          <t xml:space="preserve">     BÁO CÁO VỀ GIAO DỊCH TRÊN THỊ TRƯỜNG TPDN NIÊM YẾT</t>
        </is>
      </c>
      <c r="D551" s="229" t="inlineStr">
        <is>
          <t>Khối lượng giao dịch</t>
        </is>
      </c>
      <c r="E551" s="184" t="inlineStr">
        <is>
          <t>TPDN</t>
        </is>
      </c>
      <c r="F551" s="184" t="inlineStr">
        <is>
          <t>Báo cáo</t>
        </is>
      </c>
      <c r="G551" s="184" t="n"/>
      <c r="H551" s="184" t="n"/>
      <c r="I551" s="184" t="inlineStr">
        <is>
          <t>TPDN</t>
        </is>
      </c>
      <c r="J551" s="184" t="n"/>
      <c r="K551" s="184" t="n"/>
      <c r="L551" s="184" t="n"/>
    </row>
    <row r="552" hidden="1" ht="17" customHeight="1" s="380">
      <c r="B552" s="230" t="inlineStr">
        <is>
          <t>TK-HNX07</t>
        </is>
      </c>
      <c r="C552" s="442" t="n"/>
      <c r="D552" s="231" t="inlineStr">
        <is>
          <t>Khớp lệnh</t>
        </is>
      </c>
      <c r="F552" s="184" t="inlineStr">
        <is>
          <t>Báo cáo</t>
        </is>
      </c>
      <c r="G552" s="4" t="inlineStr">
        <is>
          <t>Chỉ tiêu phái sinh</t>
        </is>
      </c>
      <c r="H552" s="4" t="inlineStr">
        <is>
          <t>TB</t>
        </is>
      </c>
      <c r="I552" s="184" t="inlineStr">
        <is>
          <t>TPDN</t>
        </is>
      </c>
    </row>
    <row r="553" hidden="1" ht="17" customHeight="1" s="380">
      <c r="B553" s="230" t="inlineStr">
        <is>
          <t>TK-HNX07</t>
        </is>
      </c>
      <c r="C553" s="442" t="n"/>
      <c r="D553" s="231" t="inlineStr">
        <is>
          <t>Thỏa thuận</t>
        </is>
      </c>
      <c r="F553" s="184" t="inlineStr">
        <is>
          <t>Báo cáo</t>
        </is>
      </c>
      <c r="G553" s="4" t="inlineStr">
        <is>
          <t>Chỉ tiêu phái sinh</t>
        </is>
      </c>
      <c r="H553" s="4" t="inlineStr">
        <is>
          <t>TB</t>
        </is>
      </c>
      <c r="I553" s="184" t="inlineStr">
        <is>
          <t>TPDN</t>
        </is>
      </c>
    </row>
    <row r="554" hidden="1" ht="17" customHeight="1" s="380">
      <c r="B554" s="230" t="inlineStr">
        <is>
          <t>TK-HNX07</t>
        </is>
      </c>
      <c r="C554" s="442" t="n"/>
      <c r="D554" s="232" t="inlineStr">
        <is>
          <t>Giá trị  giao dịch</t>
        </is>
      </c>
      <c r="F554" s="184" t="inlineStr">
        <is>
          <t>Báo cáo</t>
        </is>
      </c>
      <c r="I554" s="184" t="inlineStr">
        <is>
          <t>TPDN</t>
        </is>
      </c>
    </row>
    <row r="555" hidden="1" ht="17" customHeight="1" s="380">
      <c r="B555" s="230" t="inlineStr">
        <is>
          <t>TK-HNX07</t>
        </is>
      </c>
      <c r="C555" s="442" t="n"/>
      <c r="D555" s="231" t="inlineStr">
        <is>
          <t>Khớp lệnh</t>
        </is>
      </c>
      <c r="F555" s="184" t="inlineStr">
        <is>
          <t>Báo cáo</t>
        </is>
      </c>
      <c r="I555" s="184" t="inlineStr">
        <is>
          <t>TPDN</t>
        </is>
      </c>
    </row>
    <row r="556" hidden="1" ht="17" customHeight="1" s="380">
      <c r="B556" s="230" t="inlineStr">
        <is>
          <t>TK-HNX07</t>
        </is>
      </c>
      <c r="C556" s="442" t="n"/>
      <c r="D556" s="233" t="inlineStr">
        <is>
          <t>Khối lượng</t>
        </is>
      </c>
      <c r="F556" s="184" t="inlineStr">
        <is>
          <t>Báo cáo</t>
        </is>
      </c>
      <c r="G556" s="4" t="inlineStr">
        <is>
          <t>Chỉ tiêu phái sinh</t>
        </is>
      </c>
      <c r="H556" s="4" t="inlineStr">
        <is>
          <t>Trùng</t>
        </is>
      </c>
      <c r="I556" s="184" t="inlineStr">
        <is>
          <t>TPDN</t>
        </is>
      </c>
    </row>
    <row r="557" hidden="1" ht="17" customHeight="1" s="380">
      <c r="B557" s="230" t="inlineStr">
        <is>
          <t>TK-HNX07</t>
        </is>
      </c>
      <c r="C557" s="442" t="n"/>
      <c r="D557" s="233" t="inlineStr">
        <is>
          <t>Giá</t>
        </is>
      </c>
      <c r="F557" s="184" t="inlineStr">
        <is>
          <t>Báo cáo</t>
        </is>
      </c>
      <c r="G557" s="4" t="inlineStr">
        <is>
          <t>Chỉ tiêu cơ sở</t>
        </is>
      </c>
      <c r="H557" s="4" t="inlineStr">
        <is>
          <t>Dễ</t>
        </is>
      </c>
      <c r="I557" s="184" t="inlineStr">
        <is>
          <t>TPDN</t>
        </is>
      </c>
    </row>
    <row r="558" hidden="1" ht="17" customHeight="1" s="380">
      <c r="B558" s="230" t="inlineStr">
        <is>
          <t>TK-HNX07</t>
        </is>
      </c>
      <c r="C558" s="442" t="n"/>
      <c r="D558" s="231" t="inlineStr">
        <is>
          <t>Thỏa thuận</t>
        </is>
      </c>
      <c r="F558" s="184" t="inlineStr">
        <is>
          <t>Báo cáo</t>
        </is>
      </c>
      <c r="I558" s="184" t="inlineStr">
        <is>
          <t>TPDN</t>
        </is>
      </c>
    </row>
    <row r="559" hidden="1" ht="17" customHeight="1" s="380">
      <c r="B559" s="230" t="inlineStr">
        <is>
          <t>TK-HNX07</t>
        </is>
      </c>
      <c r="C559" s="442" t="n"/>
      <c r="D559" s="233" t="inlineStr">
        <is>
          <t>Khối lượng</t>
        </is>
      </c>
      <c r="F559" s="184" t="inlineStr">
        <is>
          <t>Báo cáo</t>
        </is>
      </c>
      <c r="G559" s="4" t="inlineStr">
        <is>
          <t>Chỉ tiêu phái sinh</t>
        </is>
      </c>
      <c r="H559" s="4" t="inlineStr">
        <is>
          <t>Trùng</t>
        </is>
      </c>
      <c r="I559" s="184" t="inlineStr">
        <is>
          <t>TPDN</t>
        </is>
      </c>
    </row>
    <row r="560" hidden="1" ht="17" customHeight="1" s="380">
      <c r="B560" s="230" t="inlineStr">
        <is>
          <t>TK-HNX07</t>
        </is>
      </c>
      <c r="C560" s="442" t="n"/>
      <c r="D560" s="233" t="inlineStr">
        <is>
          <t>Giá</t>
        </is>
      </c>
      <c r="F560" s="184" t="inlineStr">
        <is>
          <t>Báo cáo</t>
        </is>
      </c>
      <c r="G560" s="4" t="inlineStr">
        <is>
          <t>Chỉ tiêu cơ sở</t>
        </is>
      </c>
      <c r="H560" s="4" t="inlineStr">
        <is>
          <t>Dễ</t>
        </is>
      </c>
      <c r="I560" s="184" t="inlineStr">
        <is>
          <t>TPDN</t>
        </is>
      </c>
    </row>
    <row r="561" hidden="1" ht="34" customHeight="1" s="380">
      <c r="B561" s="230" t="inlineStr">
        <is>
          <t>TK-HNX07</t>
        </is>
      </c>
      <c r="C561" s="442" t="n"/>
      <c r="D561" s="232" t="inlineStr">
        <is>
          <t>Giao dịch Nhà đầu tư nước ngoài (GDNĐTNN)</t>
        </is>
      </c>
      <c r="F561" s="184" t="inlineStr">
        <is>
          <t>Báo cáo</t>
        </is>
      </c>
      <c r="I561" s="184" t="inlineStr">
        <is>
          <t>TPDN</t>
        </is>
      </c>
    </row>
    <row r="562" hidden="1" ht="17" customHeight="1" s="380">
      <c r="B562" s="230" t="inlineStr">
        <is>
          <t>TK-HNX07</t>
        </is>
      </c>
      <c r="C562" s="442" t="n"/>
      <c r="D562" s="232" t="inlineStr">
        <is>
          <t xml:space="preserve">Giao dịch khớp lệnh </t>
        </is>
      </c>
      <c r="F562" s="184" t="inlineStr">
        <is>
          <t>Báo cáo</t>
        </is>
      </c>
      <c r="I562" s="184" t="inlineStr">
        <is>
          <t>TPDN</t>
        </is>
      </c>
    </row>
    <row r="563" hidden="1" ht="17" customHeight="1" s="380">
      <c r="B563" s="230" t="inlineStr">
        <is>
          <t>TK-HNX07</t>
        </is>
      </c>
      <c r="C563" s="442" t="n"/>
      <c r="D563" s="234" t="inlineStr">
        <is>
          <t>Khối lượng giao dịch</t>
        </is>
      </c>
      <c r="F563" s="184" t="inlineStr">
        <is>
          <t>Báo cáo</t>
        </is>
      </c>
      <c r="I563" s="184" t="inlineStr">
        <is>
          <t>TPDN</t>
        </is>
      </c>
    </row>
    <row r="564" hidden="1" ht="17" customHeight="1" s="380">
      <c r="B564" s="230" t="inlineStr">
        <is>
          <t>TK-HNX07</t>
        </is>
      </c>
      <c r="C564" s="442" t="n"/>
      <c r="D564" s="234" t="inlineStr">
        <is>
          <t xml:space="preserve">Khối lượng mua </t>
        </is>
      </c>
      <c r="F564" s="184" t="inlineStr">
        <is>
          <t>Báo cáo</t>
        </is>
      </c>
      <c r="G564" s="4" t="inlineStr">
        <is>
          <t>Chỉ tiêu phái sinh</t>
        </is>
      </c>
      <c r="H564" s="4" t="inlineStr">
        <is>
          <t>TB</t>
        </is>
      </c>
      <c r="I564" s="184" t="inlineStr">
        <is>
          <t>TPDN</t>
        </is>
      </c>
    </row>
    <row r="565" hidden="1" ht="17" customHeight="1" s="380">
      <c r="B565" s="230" t="inlineStr">
        <is>
          <t>TK-HNX07</t>
        </is>
      </c>
      <c r="C565" s="442" t="n"/>
      <c r="D565" s="234" t="inlineStr">
        <is>
          <t xml:space="preserve">Khối lượng bán </t>
        </is>
      </c>
      <c r="F565" s="184" t="inlineStr">
        <is>
          <t>Báo cáo</t>
        </is>
      </c>
      <c r="G565" s="4" t="inlineStr">
        <is>
          <t>Chỉ tiêu phái sinh</t>
        </is>
      </c>
      <c r="H565" s="4" t="inlineStr">
        <is>
          <t>TB</t>
        </is>
      </c>
      <c r="I565" s="184" t="inlineStr">
        <is>
          <t>TPDN</t>
        </is>
      </c>
    </row>
    <row r="566" hidden="1" ht="17" customHeight="1" s="380">
      <c r="B566" s="230" t="inlineStr">
        <is>
          <t>TK-HNX07</t>
        </is>
      </c>
      <c r="C566" s="442" t="n"/>
      <c r="D566" s="234" t="inlineStr">
        <is>
          <t xml:space="preserve">Giá trị giao dịch </t>
        </is>
      </c>
      <c r="F566" s="184" t="inlineStr">
        <is>
          <t>Báo cáo</t>
        </is>
      </c>
      <c r="I566" s="184" t="inlineStr">
        <is>
          <t>TPDN</t>
        </is>
      </c>
    </row>
    <row r="567" hidden="1" ht="17" customHeight="1" s="380">
      <c r="B567" s="230" t="inlineStr">
        <is>
          <t>TK-HNX07</t>
        </is>
      </c>
      <c r="C567" s="442" t="n"/>
      <c r="D567" s="234" t="inlineStr">
        <is>
          <t xml:space="preserve">Giá trị mua </t>
        </is>
      </c>
      <c r="F567" s="184" t="inlineStr">
        <is>
          <t>Báo cáo</t>
        </is>
      </c>
      <c r="I567" s="184" t="inlineStr">
        <is>
          <t>TPDN</t>
        </is>
      </c>
    </row>
    <row r="568" hidden="1" ht="17" customHeight="1" s="380">
      <c r="B568" s="230" t="inlineStr">
        <is>
          <t>TK-HNX07</t>
        </is>
      </c>
      <c r="C568" s="442" t="n"/>
      <c r="D568" s="233" t="inlineStr">
        <is>
          <t>Khối lượng</t>
        </is>
      </c>
      <c r="F568" s="184" t="inlineStr">
        <is>
          <t>Báo cáo</t>
        </is>
      </c>
      <c r="G568" s="4" t="inlineStr">
        <is>
          <t>Chỉ tiêu phái sinh</t>
        </is>
      </c>
      <c r="H568" s="4" t="inlineStr">
        <is>
          <t>Trùng</t>
        </is>
      </c>
      <c r="I568" s="184" t="inlineStr">
        <is>
          <t>TPDN</t>
        </is>
      </c>
    </row>
    <row r="569" hidden="1" ht="17" customHeight="1" s="380">
      <c r="B569" s="230" t="inlineStr">
        <is>
          <t>TK-HNX07</t>
        </is>
      </c>
      <c r="C569" s="442" t="n"/>
      <c r="D569" s="233" t="inlineStr">
        <is>
          <t>Giá</t>
        </is>
      </c>
      <c r="F569" s="184" t="inlineStr">
        <is>
          <t>Báo cáo</t>
        </is>
      </c>
      <c r="G569" s="4" t="inlineStr">
        <is>
          <t>Chỉ tiêu cơ sở</t>
        </is>
      </c>
      <c r="H569" s="4" t="inlineStr">
        <is>
          <t>Dễ</t>
        </is>
      </c>
      <c r="I569" s="184" t="inlineStr">
        <is>
          <t>TPDN</t>
        </is>
      </c>
    </row>
    <row r="570" hidden="1" ht="17" customHeight="1" s="380">
      <c r="B570" s="230" t="inlineStr">
        <is>
          <t>TK-HNX07</t>
        </is>
      </c>
      <c r="C570" s="442" t="n"/>
      <c r="D570" s="234" t="inlineStr">
        <is>
          <t xml:space="preserve">Giá trị bán </t>
        </is>
      </c>
      <c r="F570" s="184" t="inlineStr">
        <is>
          <t>Báo cáo</t>
        </is>
      </c>
      <c r="I570" s="184" t="inlineStr">
        <is>
          <t>TPDN</t>
        </is>
      </c>
    </row>
    <row r="571" hidden="1" ht="17" customHeight="1" s="380">
      <c r="B571" s="230" t="inlineStr">
        <is>
          <t>TK-HNX07</t>
        </is>
      </c>
      <c r="C571" s="442" t="n"/>
      <c r="D571" s="233" t="inlineStr">
        <is>
          <t>Khối lượng</t>
        </is>
      </c>
      <c r="F571" s="184" t="inlineStr">
        <is>
          <t>Báo cáo</t>
        </is>
      </c>
      <c r="G571" s="4" t="inlineStr">
        <is>
          <t>Chỉ tiêu phái sinh</t>
        </is>
      </c>
      <c r="H571" s="4" t="inlineStr">
        <is>
          <t>Trùng</t>
        </is>
      </c>
      <c r="I571" s="184" t="inlineStr">
        <is>
          <t>TPDN</t>
        </is>
      </c>
    </row>
    <row r="572" hidden="1" ht="17" customHeight="1" s="380">
      <c r="B572" s="230" t="inlineStr">
        <is>
          <t>TK-HNX07</t>
        </is>
      </c>
      <c r="C572" s="442" t="n"/>
      <c r="D572" s="233" t="inlineStr">
        <is>
          <t>Giá</t>
        </is>
      </c>
      <c r="F572" s="184" t="inlineStr">
        <is>
          <t>Báo cáo</t>
        </is>
      </c>
      <c r="G572" s="4" t="inlineStr">
        <is>
          <t>Chỉ tiêu cơ sở</t>
        </is>
      </c>
      <c r="H572" s="4" t="inlineStr">
        <is>
          <t>Dễ</t>
        </is>
      </c>
      <c r="I572" s="184" t="inlineStr">
        <is>
          <t>TPDN</t>
        </is>
      </c>
    </row>
    <row r="573" hidden="1" ht="15" customHeight="1" s="380">
      <c r="B573" s="230" t="inlineStr">
        <is>
          <t>TK-HNX07</t>
        </is>
      </c>
      <c r="C573" s="442" t="n"/>
      <c r="D573" s="235" t="inlineStr">
        <is>
          <t xml:space="preserve">Giao dịch thỏa thuận </t>
        </is>
      </c>
      <c r="F573" s="184" t="inlineStr">
        <is>
          <t>Báo cáo</t>
        </is>
      </c>
      <c r="I573" s="184" t="inlineStr">
        <is>
          <t>TPDN</t>
        </is>
      </c>
    </row>
    <row r="574" hidden="1" ht="17" customHeight="1" s="380">
      <c r="B574" s="230" t="inlineStr">
        <is>
          <t>TK-HNX07</t>
        </is>
      </c>
      <c r="C574" s="442" t="n"/>
      <c r="D574" s="234" t="inlineStr">
        <is>
          <t xml:space="preserve">Khối lượng giao dịch </t>
        </is>
      </c>
      <c r="F574" s="184" t="inlineStr">
        <is>
          <t>Báo cáo</t>
        </is>
      </c>
      <c r="I574" s="184" t="inlineStr">
        <is>
          <t>TPDN</t>
        </is>
      </c>
    </row>
    <row r="575" hidden="1" ht="17" customHeight="1" s="380">
      <c r="B575" s="230" t="inlineStr">
        <is>
          <t>TK-HNX07</t>
        </is>
      </c>
      <c r="C575" s="442" t="n"/>
      <c r="D575" s="234" t="inlineStr">
        <is>
          <t xml:space="preserve">Khối lượng mua </t>
        </is>
      </c>
      <c r="F575" s="184" t="inlineStr">
        <is>
          <t>Báo cáo</t>
        </is>
      </c>
      <c r="G575" s="4" t="inlineStr">
        <is>
          <t>Chỉ tiêu phái sinh</t>
        </is>
      </c>
      <c r="H575" s="4" t="inlineStr">
        <is>
          <t>TB</t>
        </is>
      </c>
      <c r="I575" s="184" t="inlineStr">
        <is>
          <t>TPDN</t>
        </is>
      </c>
    </row>
    <row r="576" hidden="1" ht="17" customHeight="1" s="380">
      <c r="B576" s="230" t="inlineStr">
        <is>
          <t>TK-HNX07</t>
        </is>
      </c>
      <c r="C576" s="442" t="n"/>
      <c r="D576" s="234" t="inlineStr">
        <is>
          <t xml:space="preserve">Khối lượng bán </t>
        </is>
      </c>
      <c r="F576" s="184" t="inlineStr">
        <is>
          <t>Báo cáo</t>
        </is>
      </c>
      <c r="G576" s="4" t="inlineStr">
        <is>
          <t>Chỉ tiêu phái sinh</t>
        </is>
      </c>
      <c r="H576" s="4" t="inlineStr">
        <is>
          <t>TB</t>
        </is>
      </c>
      <c r="I576" s="184" t="inlineStr">
        <is>
          <t>TPDN</t>
        </is>
      </c>
    </row>
    <row r="577" hidden="1" ht="17" customHeight="1" s="380">
      <c r="B577" s="230" t="inlineStr">
        <is>
          <t>TK-HNX07</t>
        </is>
      </c>
      <c r="C577" s="442" t="n"/>
      <c r="D577" s="234" t="inlineStr">
        <is>
          <t xml:space="preserve">Giá trị giao dịch </t>
        </is>
      </c>
      <c r="F577" s="184" t="inlineStr">
        <is>
          <t>Báo cáo</t>
        </is>
      </c>
      <c r="I577" s="184" t="inlineStr">
        <is>
          <t>TPDN</t>
        </is>
      </c>
    </row>
    <row r="578" hidden="1" ht="17" customHeight="1" s="380">
      <c r="B578" s="230" t="inlineStr">
        <is>
          <t>TK-HNX07</t>
        </is>
      </c>
      <c r="C578" s="442" t="n"/>
      <c r="D578" s="234" t="inlineStr">
        <is>
          <t xml:space="preserve">Giá trị mua </t>
        </is>
      </c>
      <c r="F578" s="184" t="inlineStr">
        <is>
          <t>Báo cáo</t>
        </is>
      </c>
      <c r="G578" s="4" t="inlineStr">
        <is>
          <t>Chỉ tiêu phái sinh</t>
        </is>
      </c>
      <c r="H578" s="4" t="inlineStr">
        <is>
          <t>TB</t>
        </is>
      </c>
      <c r="I578" s="184" t="inlineStr">
        <is>
          <t>TPDN</t>
        </is>
      </c>
    </row>
    <row r="579" hidden="1" ht="17" customHeight="1" s="380">
      <c r="B579" s="230" t="inlineStr">
        <is>
          <t>TK-HNX07</t>
        </is>
      </c>
      <c r="C579" s="442" t="n"/>
      <c r="D579" s="233" t="inlineStr">
        <is>
          <t>Khối lượng</t>
        </is>
      </c>
      <c r="F579" s="184" t="inlineStr">
        <is>
          <t>Báo cáo</t>
        </is>
      </c>
      <c r="G579" s="4" t="inlineStr">
        <is>
          <t>Chỉ tiêu phái sinh</t>
        </is>
      </c>
      <c r="H579" s="4" t="inlineStr">
        <is>
          <t>Trùng</t>
        </is>
      </c>
      <c r="I579" s="184" t="inlineStr">
        <is>
          <t>TPDN</t>
        </is>
      </c>
    </row>
    <row r="580" hidden="1" ht="17" customHeight="1" s="380">
      <c r="B580" s="230" t="inlineStr">
        <is>
          <t>TK-HNX07</t>
        </is>
      </c>
      <c r="C580" s="442" t="n"/>
      <c r="D580" s="233" t="inlineStr">
        <is>
          <t>Giá</t>
        </is>
      </c>
      <c r="F580" s="184" t="inlineStr">
        <is>
          <t>Báo cáo</t>
        </is>
      </c>
      <c r="G580" s="4" t="inlineStr">
        <is>
          <t>Chỉ tiêu cơ sở</t>
        </is>
      </c>
      <c r="H580" s="4" t="inlineStr">
        <is>
          <t>Dễ</t>
        </is>
      </c>
      <c r="I580" s="184" t="inlineStr">
        <is>
          <t>TPDN</t>
        </is>
      </c>
    </row>
    <row r="581" hidden="1" ht="17" customHeight="1" s="380">
      <c r="B581" s="230" t="inlineStr">
        <is>
          <t>TK-HNX07</t>
        </is>
      </c>
      <c r="C581" s="442" t="n"/>
      <c r="D581" s="234" t="inlineStr">
        <is>
          <t xml:space="preserve">Giá trị bán </t>
        </is>
      </c>
      <c r="F581" s="184" t="inlineStr">
        <is>
          <t>Báo cáo</t>
        </is>
      </c>
      <c r="G581" s="4" t="inlineStr">
        <is>
          <t>Chỉ tiêu phái sinh</t>
        </is>
      </c>
      <c r="H581" s="4" t="inlineStr">
        <is>
          <t>TB</t>
        </is>
      </c>
      <c r="I581" s="184" t="inlineStr">
        <is>
          <t>TPDN</t>
        </is>
      </c>
    </row>
    <row r="582" hidden="1" ht="17" customHeight="1" s="380">
      <c r="B582" s="230" t="inlineStr">
        <is>
          <t>TK-HNX07</t>
        </is>
      </c>
      <c r="C582" s="442" t="n"/>
      <c r="D582" s="233" t="inlineStr">
        <is>
          <t>Khối lượng</t>
        </is>
      </c>
      <c r="F582" s="184" t="inlineStr">
        <is>
          <t>Báo cáo</t>
        </is>
      </c>
      <c r="G582" s="4" t="inlineStr">
        <is>
          <t>Chỉ tiêu phái sinh</t>
        </is>
      </c>
      <c r="H582" s="4" t="inlineStr">
        <is>
          <t>Trùng</t>
        </is>
      </c>
      <c r="I582" s="184" t="inlineStr">
        <is>
          <t>TPDN</t>
        </is>
      </c>
    </row>
    <row r="583" hidden="1" ht="17" customHeight="1" s="380">
      <c r="B583" s="230" t="inlineStr">
        <is>
          <t>TK-HNX07</t>
        </is>
      </c>
      <c r="C583" s="443" t="n"/>
      <c r="D583" s="233" t="inlineStr">
        <is>
          <t>Giá</t>
        </is>
      </c>
      <c r="F583" s="184" t="inlineStr">
        <is>
          <t>Báo cáo</t>
        </is>
      </c>
      <c r="G583" s="4" t="inlineStr">
        <is>
          <t>Chỉ tiêu cơ sở</t>
        </is>
      </c>
      <c r="H583" s="4" t="inlineStr">
        <is>
          <t>Dễ</t>
        </is>
      </c>
      <c r="I583" s="184" t="inlineStr">
        <is>
          <t>TPDN</t>
        </is>
      </c>
    </row>
    <row r="584" hidden="1" ht="16" customHeight="1" s="380">
      <c r="A584" s="27" t="n"/>
      <c r="B584" s="27" t="inlineStr">
        <is>
          <t>HNX08</t>
        </is>
      </c>
      <c r="C584" s="224" t="n"/>
      <c r="D584" s="225" t="n"/>
      <c r="E584" s="27" t="n"/>
      <c r="F584" s="27" t="n"/>
      <c r="G584" s="26" t="n"/>
      <c r="H584" s="27" t="n"/>
      <c r="I584" s="27" t="n"/>
      <c r="J584" s="27" t="n"/>
      <c r="K584" s="27" t="n"/>
      <c r="L584" s="184" t="n"/>
      <c r="M584" s="184" t="n"/>
    </row>
    <row r="585" ht="16" customHeight="1" s="380">
      <c r="A585" s="24" t="n"/>
      <c r="B585" s="24" t="n"/>
      <c r="C585" s="226" t="n"/>
      <c r="D585" s="227" t="n"/>
      <c r="E585" s="24" t="n"/>
      <c r="F585" s="24" t="n"/>
      <c r="G585" s="23" t="n"/>
      <c r="H585" s="24" t="n"/>
      <c r="I585" s="24" t="n"/>
      <c r="J585" s="24" t="n"/>
      <c r="K585" s="24" t="n"/>
      <c r="L585" s="24" t="n"/>
      <c r="M585" s="24" t="n"/>
      <c r="N585" s="24" t="n"/>
      <c r="O585" s="24" t="n"/>
      <c r="P585" s="24" t="n"/>
      <c r="Q585" s="24" t="n"/>
      <c r="R585" s="24" t="n"/>
      <c r="S585" s="24" t="n"/>
      <c r="T585" s="24" t="n"/>
      <c r="U585" s="24" t="n"/>
      <c r="V585" s="24" t="n"/>
      <c r="W585" s="24" t="n"/>
      <c r="X585" s="24" t="n"/>
      <c r="Y585" s="24" t="n"/>
      <c r="Z585" s="24" t="n"/>
      <c r="AA585" s="24" t="n"/>
      <c r="AB585" s="24" t="n"/>
      <c r="AC585" s="24" t="n"/>
      <c r="AD585" s="24" t="n"/>
      <c r="AE585" s="24" t="n"/>
      <c r="AF585" s="24" t="n"/>
    </row>
    <row r="586" ht="16" customHeight="1" s="380">
      <c r="A586" s="24" t="n"/>
      <c r="B586" s="24" t="n"/>
      <c r="C586" s="226" t="n"/>
      <c r="D586" s="227" t="n"/>
      <c r="E586" s="24" t="n"/>
      <c r="F586" s="24" t="n"/>
      <c r="G586" s="23" t="n"/>
      <c r="H586" s="24" t="n"/>
      <c r="I586" s="24" t="n"/>
      <c r="J586" s="24" t="n"/>
      <c r="K586" s="24" t="n"/>
      <c r="L586" s="24" t="n"/>
      <c r="M586" s="24" t="n"/>
      <c r="N586" s="24" t="n"/>
      <c r="O586" s="24" t="n"/>
      <c r="P586" s="24" t="n"/>
      <c r="Q586" s="24" t="n"/>
      <c r="R586" s="24" t="n"/>
      <c r="S586" s="24" t="n"/>
      <c r="T586" s="24" t="n"/>
      <c r="U586" s="24" t="n"/>
      <c r="V586" s="24" t="n"/>
      <c r="W586" s="24" t="n"/>
      <c r="X586" s="24" t="n"/>
      <c r="Y586" s="24" t="n"/>
      <c r="Z586" s="24" t="n"/>
      <c r="AA586" s="24" t="n"/>
      <c r="AB586" s="24" t="n"/>
      <c r="AC586" s="24" t="n"/>
      <c r="AD586" s="24" t="n"/>
      <c r="AE586" s="24" t="n"/>
      <c r="AF586" s="24" t="n"/>
    </row>
    <row r="587" ht="16" customHeight="1" s="380">
      <c r="A587" s="24" t="n"/>
      <c r="B587" s="24" t="n"/>
      <c r="C587" s="226" t="n"/>
      <c r="D587" s="227" t="n"/>
      <c r="E587" s="24" t="n"/>
      <c r="F587" s="24" t="n"/>
      <c r="G587" s="23" t="n"/>
      <c r="H587" s="24" t="n"/>
      <c r="I587" s="24" t="n"/>
      <c r="J587" s="24" t="n"/>
      <c r="K587" s="24" t="n"/>
      <c r="L587" s="24" t="n"/>
      <c r="M587" s="24" t="n"/>
      <c r="N587" s="24" t="n"/>
      <c r="O587" s="24" t="n"/>
      <c r="P587" s="24" t="n"/>
      <c r="Q587" s="24" t="n"/>
      <c r="R587" s="24" t="n"/>
      <c r="S587" s="24" t="n"/>
      <c r="T587" s="24" t="n"/>
      <c r="U587" s="24" t="n"/>
      <c r="V587" s="24" t="n"/>
      <c r="W587" s="24" t="n"/>
      <c r="X587" s="24" t="n"/>
      <c r="Y587" s="24" t="n"/>
      <c r="Z587" s="24" t="n"/>
      <c r="AA587" s="24" t="n"/>
      <c r="AB587" s="24" t="n"/>
      <c r="AC587" s="24" t="n"/>
      <c r="AD587" s="24" t="n"/>
      <c r="AE587" s="24" t="n"/>
      <c r="AF587" s="24" t="n"/>
    </row>
    <row r="588" ht="16" customHeight="1" s="380">
      <c r="A588" s="24" t="n"/>
      <c r="B588" s="24" t="n"/>
      <c r="C588" s="226" t="n"/>
      <c r="D588" s="227" t="n"/>
      <c r="E588" s="24" t="n"/>
      <c r="F588" s="24" t="n"/>
      <c r="G588" s="23" t="n"/>
      <c r="H588" s="24" t="n"/>
      <c r="I588" s="24" t="n"/>
      <c r="J588" s="24" t="n"/>
      <c r="K588" s="24" t="n"/>
      <c r="L588" s="24" t="n"/>
      <c r="M588" s="24" t="n"/>
      <c r="N588" s="24" t="n"/>
      <c r="O588" s="24" t="n"/>
      <c r="P588" s="24" t="n"/>
      <c r="Q588" s="24" t="n"/>
      <c r="R588" s="24" t="n"/>
      <c r="S588" s="24" t="n"/>
      <c r="T588" s="24" t="n"/>
      <c r="U588" s="24" t="n"/>
      <c r="V588" s="24" t="n"/>
      <c r="W588" s="24" t="n"/>
      <c r="X588" s="24" t="n"/>
      <c r="Y588" s="24" t="n"/>
      <c r="Z588" s="24" t="n"/>
      <c r="AA588" s="24" t="n"/>
      <c r="AB588" s="24" t="n"/>
      <c r="AC588" s="24" t="n"/>
      <c r="AD588" s="24" t="n"/>
      <c r="AE588" s="24" t="n"/>
      <c r="AF588" s="24" t="n"/>
    </row>
    <row r="589" ht="16" customHeight="1" s="380">
      <c r="A589" s="24" t="n"/>
      <c r="B589" s="24" t="n"/>
      <c r="C589" s="226" t="n"/>
      <c r="D589" s="227" t="n"/>
      <c r="E589" s="24" t="n"/>
      <c r="F589" s="24" t="n"/>
      <c r="G589" s="23" t="n"/>
      <c r="H589" s="24" t="n"/>
      <c r="I589" s="24" t="n"/>
      <c r="J589" s="24" t="n"/>
      <c r="K589" s="24" t="n"/>
      <c r="L589" s="24" t="n"/>
      <c r="M589" s="24" t="n"/>
      <c r="N589" s="24" t="n"/>
      <c r="O589" s="24" t="n"/>
      <c r="P589" s="24" t="n"/>
      <c r="Q589" s="24" t="n"/>
      <c r="R589" s="24" t="n"/>
      <c r="S589" s="24" t="n"/>
      <c r="T589" s="24" t="n"/>
      <c r="U589" s="24" t="n"/>
      <c r="V589" s="24" t="n"/>
      <c r="W589" s="24" t="n"/>
      <c r="X589" s="24" t="n"/>
      <c r="Y589" s="24" t="n"/>
      <c r="Z589" s="24" t="n"/>
      <c r="AA589" s="24" t="n"/>
      <c r="AB589" s="24" t="n"/>
      <c r="AC589" s="24" t="n"/>
      <c r="AD589" s="24" t="n"/>
      <c r="AE589" s="24" t="n"/>
      <c r="AF589" s="24" t="n"/>
    </row>
    <row r="590" ht="16" customHeight="1" s="380">
      <c r="A590" s="24" t="n"/>
      <c r="B590" s="24" t="n"/>
      <c r="C590" s="226" t="n"/>
      <c r="D590" s="227" t="n"/>
      <c r="E590" s="24" t="n"/>
      <c r="F590" s="24" t="n"/>
      <c r="G590" s="23" t="n"/>
      <c r="H590" s="24" t="n"/>
      <c r="I590" s="24" t="n"/>
      <c r="J590" s="24" t="n"/>
      <c r="K590" s="24" t="n"/>
      <c r="L590" s="24" t="n"/>
      <c r="M590" s="24" t="n"/>
      <c r="N590" s="24" t="n"/>
      <c r="O590" s="24" t="n"/>
      <c r="P590" s="24" t="n"/>
      <c r="Q590" s="24" t="n"/>
      <c r="R590" s="24" t="n"/>
      <c r="S590" s="24" t="n"/>
      <c r="T590" s="24" t="n"/>
      <c r="U590" s="24" t="n"/>
      <c r="V590" s="24" t="n"/>
      <c r="W590" s="24" t="n"/>
      <c r="X590" s="24" t="n"/>
      <c r="Y590" s="24" t="n"/>
      <c r="Z590" s="24" t="n"/>
      <c r="AA590" s="24" t="n"/>
      <c r="AB590" s="24" t="n"/>
      <c r="AC590" s="24" t="n"/>
      <c r="AD590" s="24" t="n"/>
      <c r="AE590" s="24" t="n"/>
      <c r="AF590" s="24" t="n"/>
    </row>
    <row r="591" ht="16" customHeight="1" s="380">
      <c r="A591" s="24" t="n"/>
      <c r="B591" s="24" t="n"/>
      <c r="C591" s="226" t="n"/>
      <c r="D591" s="227" t="n"/>
      <c r="E591" s="24" t="n"/>
      <c r="F591" s="24" t="n"/>
      <c r="G591" s="23" t="n"/>
      <c r="H591" s="24" t="n"/>
      <c r="I591" s="24" t="n"/>
      <c r="J591" s="24" t="n"/>
      <c r="K591" s="24" t="n"/>
      <c r="L591" s="24" t="n"/>
      <c r="M591" s="24" t="n"/>
      <c r="N591" s="24" t="n"/>
      <c r="O591" s="24" t="n"/>
      <c r="P591" s="24" t="n"/>
      <c r="Q591" s="24" t="n"/>
      <c r="R591" s="24" t="n"/>
      <c r="S591" s="24" t="n"/>
      <c r="T591" s="24" t="n"/>
      <c r="U591" s="24" t="n"/>
      <c r="V591" s="24" t="n"/>
      <c r="W591" s="24" t="n"/>
      <c r="X591" s="24" t="n"/>
      <c r="Y591" s="24" t="n"/>
      <c r="Z591" s="24" t="n"/>
      <c r="AA591" s="24" t="n"/>
      <c r="AB591" s="24" t="n"/>
      <c r="AC591" s="24" t="n"/>
      <c r="AD591" s="24" t="n"/>
      <c r="AE591" s="24" t="n"/>
      <c r="AF591" s="24" t="n"/>
    </row>
    <row r="592" ht="16" customHeight="1" s="380">
      <c r="A592" s="24" t="n"/>
      <c r="B592" s="24" t="n"/>
      <c r="C592" s="226" t="n"/>
      <c r="D592" s="227" t="n"/>
      <c r="E592" s="24" t="n"/>
      <c r="F592" s="24" t="n"/>
      <c r="G592" s="23" t="n"/>
      <c r="H592" s="24" t="n"/>
      <c r="I592" s="24" t="n"/>
      <c r="J592" s="24" t="n"/>
      <c r="K592" s="24" t="n"/>
      <c r="L592" s="24" t="n"/>
      <c r="M592" s="24" t="n"/>
      <c r="N592" s="24" t="n"/>
      <c r="O592" s="24" t="n"/>
      <c r="P592" s="24" t="n"/>
      <c r="Q592" s="24" t="n"/>
      <c r="R592" s="24" t="n"/>
      <c r="S592" s="24" t="n"/>
      <c r="T592" s="24" t="n"/>
      <c r="U592" s="24" t="n"/>
      <c r="V592" s="24" t="n"/>
      <c r="W592" s="24" t="n"/>
      <c r="X592" s="24" t="n"/>
      <c r="Y592" s="24" t="n"/>
      <c r="Z592" s="24" t="n"/>
      <c r="AA592" s="24" t="n"/>
      <c r="AB592" s="24" t="n"/>
      <c r="AC592" s="24" t="n"/>
      <c r="AD592" s="24" t="n"/>
      <c r="AE592" s="24" t="n"/>
      <c r="AF592" s="24" t="n"/>
    </row>
    <row r="593" ht="16" customHeight="1" s="380">
      <c r="A593" s="24" t="n"/>
      <c r="B593" s="24" t="n"/>
      <c r="C593" s="226" t="n"/>
      <c r="D593" s="227" t="n"/>
      <c r="E593" s="24" t="n"/>
      <c r="F593" s="24" t="n"/>
      <c r="G593" s="23" t="n"/>
      <c r="H593" s="24" t="n"/>
      <c r="I593" s="24" t="n"/>
      <c r="J593" s="24" t="n"/>
      <c r="K593" s="24" t="n"/>
      <c r="L593" s="24" t="n"/>
      <c r="M593" s="24" t="n"/>
      <c r="N593" s="24" t="n"/>
      <c r="O593" s="24" t="n"/>
      <c r="P593" s="24" t="n"/>
      <c r="Q593" s="24" t="n"/>
      <c r="R593" s="24" t="n"/>
      <c r="S593" s="24" t="n"/>
      <c r="T593" s="24" t="n"/>
      <c r="U593" s="24" t="n"/>
      <c r="V593" s="24" t="n"/>
      <c r="W593" s="24" t="n"/>
      <c r="X593" s="24" t="n"/>
      <c r="Y593" s="24" t="n"/>
      <c r="Z593" s="24" t="n"/>
      <c r="AA593" s="24" t="n"/>
      <c r="AB593" s="24" t="n"/>
      <c r="AC593" s="24" t="n"/>
      <c r="AD593" s="24" t="n"/>
      <c r="AE593" s="24" t="n"/>
      <c r="AF593" s="24" t="n"/>
    </row>
    <row r="594" ht="16" customHeight="1" s="380">
      <c r="A594" s="24" t="n"/>
      <c r="B594" s="24" t="n"/>
      <c r="C594" s="226" t="n"/>
      <c r="D594" s="227" t="n"/>
      <c r="E594" s="24" t="n"/>
      <c r="F594" s="24" t="n"/>
      <c r="G594" s="23" t="n"/>
      <c r="H594" s="24" t="n"/>
      <c r="I594" s="24" t="n"/>
      <c r="J594" s="24" t="n"/>
      <c r="K594" s="24" t="n"/>
      <c r="L594" s="24" t="n"/>
      <c r="M594" s="24" t="n"/>
      <c r="N594" s="24" t="n"/>
      <c r="O594" s="24" t="n"/>
      <c r="P594" s="24" t="n"/>
      <c r="Q594" s="24" t="n"/>
      <c r="R594" s="24" t="n"/>
      <c r="S594" s="24" t="n"/>
      <c r="T594" s="24" t="n"/>
      <c r="U594" s="24" t="n"/>
      <c r="V594" s="24" t="n"/>
      <c r="W594" s="24" t="n"/>
      <c r="X594" s="24" t="n"/>
      <c r="Y594" s="24" t="n"/>
      <c r="Z594" s="24" t="n"/>
      <c r="AA594" s="24" t="n"/>
      <c r="AB594" s="24" t="n"/>
      <c r="AC594" s="24" t="n"/>
      <c r="AD594" s="24" t="n"/>
      <c r="AE594" s="24" t="n"/>
      <c r="AF594" s="24" t="n"/>
    </row>
    <row r="595" ht="16" customHeight="1" s="380">
      <c r="A595" s="24" t="n"/>
      <c r="B595" s="24" t="n"/>
      <c r="C595" s="226" t="n"/>
      <c r="D595" s="227" t="n"/>
      <c r="E595" s="24" t="n"/>
      <c r="F595" s="24" t="n"/>
      <c r="G595" s="23" t="n"/>
      <c r="H595" s="24" t="n"/>
      <c r="I595" s="24" t="n"/>
      <c r="J595" s="24" t="n"/>
      <c r="K595" s="24" t="n"/>
      <c r="L595" s="24" t="n"/>
      <c r="M595" s="24" t="n"/>
      <c r="N595" s="24" t="n"/>
      <c r="O595" s="24" t="n"/>
      <c r="P595" s="24" t="n"/>
      <c r="Q595" s="24" t="n"/>
      <c r="R595" s="24" t="n"/>
      <c r="S595" s="24" t="n"/>
      <c r="T595" s="24" t="n"/>
      <c r="U595" s="24" t="n"/>
      <c r="V595" s="24" t="n"/>
      <c r="W595" s="24" t="n"/>
      <c r="X595" s="24" t="n"/>
      <c r="Y595" s="24" t="n"/>
      <c r="Z595" s="24" t="n"/>
      <c r="AA595" s="24" t="n"/>
      <c r="AB595" s="24" t="n"/>
      <c r="AC595" s="24" t="n"/>
      <c r="AD595" s="24" t="n"/>
      <c r="AE595" s="24" t="n"/>
      <c r="AF595" s="24" t="n"/>
    </row>
    <row r="596" ht="16" customHeight="1" s="380">
      <c r="A596" s="24" t="n"/>
      <c r="B596" s="24" t="n"/>
      <c r="C596" s="226" t="n"/>
      <c r="D596" s="227" t="n"/>
      <c r="E596" s="24" t="n"/>
      <c r="F596" s="24" t="n"/>
      <c r="G596" s="23" t="n"/>
      <c r="H596" s="24" t="n"/>
      <c r="I596" s="24" t="n"/>
      <c r="J596" s="24" t="n"/>
      <c r="K596" s="24" t="n"/>
      <c r="L596" s="24" t="n"/>
      <c r="M596" s="24" t="n"/>
      <c r="N596" s="24" t="n"/>
      <c r="O596" s="24" t="n"/>
      <c r="P596" s="24" t="n"/>
      <c r="Q596" s="24" t="n"/>
      <c r="R596" s="24" t="n"/>
      <c r="S596" s="24" t="n"/>
      <c r="T596" s="24" t="n"/>
      <c r="U596" s="24" t="n"/>
      <c r="V596" s="24" t="n"/>
      <c r="W596" s="24" t="n"/>
      <c r="X596" s="24" t="n"/>
      <c r="Y596" s="24" t="n"/>
      <c r="Z596" s="24" t="n"/>
      <c r="AA596" s="24" t="n"/>
      <c r="AB596" s="24" t="n"/>
      <c r="AC596" s="24" t="n"/>
      <c r="AD596" s="24" t="n"/>
      <c r="AE596" s="24" t="n"/>
      <c r="AF596" s="24" t="n"/>
    </row>
    <row r="597" ht="16" customHeight="1" s="380">
      <c r="A597" s="24" t="n"/>
      <c r="B597" s="24" t="n"/>
      <c r="C597" s="226" t="n"/>
      <c r="D597" s="227" t="n"/>
      <c r="E597" s="24" t="n"/>
      <c r="F597" s="24" t="n"/>
      <c r="G597" s="23" t="n"/>
      <c r="H597" s="24" t="n"/>
      <c r="I597" s="24" t="n"/>
      <c r="J597" s="24" t="n"/>
      <c r="K597" s="24" t="n"/>
      <c r="L597" s="24" t="n"/>
      <c r="M597" s="24" t="n"/>
      <c r="N597" s="24" t="n"/>
      <c r="O597" s="24" t="n"/>
      <c r="P597" s="24" t="n"/>
      <c r="Q597" s="24" t="n"/>
      <c r="R597" s="24" t="n"/>
      <c r="S597" s="24" t="n"/>
      <c r="T597" s="24" t="n"/>
      <c r="U597" s="24" t="n"/>
      <c r="V597" s="24" t="n"/>
      <c r="W597" s="24" t="n"/>
      <c r="X597" s="24" t="n"/>
      <c r="Y597" s="24" t="n"/>
      <c r="Z597" s="24" t="n"/>
      <c r="AA597" s="24" t="n"/>
      <c r="AB597" s="24" t="n"/>
      <c r="AC597" s="24" t="n"/>
      <c r="AD597" s="24" t="n"/>
      <c r="AE597" s="24" t="n"/>
      <c r="AF597" s="24" t="n"/>
    </row>
    <row r="598" ht="16" customHeight="1" s="380">
      <c r="A598" s="24" t="n"/>
      <c r="B598" s="24" t="n"/>
      <c r="C598" s="226" t="n"/>
      <c r="D598" s="227" t="n"/>
      <c r="E598" s="24" t="n"/>
      <c r="F598" s="24" t="n"/>
      <c r="G598" s="23" t="n"/>
      <c r="H598" s="24" t="n"/>
      <c r="I598" s="24" t="n"/>
      <c r="J598" s="24" t="n"/>
      <c r="K598" s="24" t="n"/>
      <c r="L598" s="24" t="n"/>
      <c r="M598" s="24" t="n"/>
      <c r="N598" s="24" t="n"/>
      <c r="O598" s="24" t="n"/>
      <c r="P598" s="24" t="n"/>
      <c r="Q598" s="24" t="n"/>
      <c r="R598" s="24" t="n"/>
      <c r="S598" s="24" t="n"/>
      <c r="T598" s="24" t="n"/>
      <c r="U598" s="24" t="n"/>
      <c r="V598" s="24" t="n"/>
      <c r="W598" s="24" t="n"/>
      <c r="X598" s="24" t="n"/>
      <c r="Y598" s="24" t="n"/>
      <c r="Z598" s="24" t="n"/>
      <c r="AA598" s="24" t="n"/>
      <c r="AB598" s="24" t="n"/>
      <c r="AC598" s="24" t="n"/>
      <c r="AD598" s="24" t="n"/>
      <c r="AE598" s="24" t="n"/>
      <c r="AF598" s="24" t="n"/>
    </row>
    <row r="599" ht="16" customHeight="1" s="380">
      <c r="A599" s="24" t="n"/>
      <c r="B599" s="24" t="n"/>
      <c r="C599" s="226" t="n"/>
      <c r="D599" s="227" t="n"/>
      <c r="E599" s="24" t="n"/>
      <c r="F599" s="24" t="n"/>
      <c r="G599" s="23" t="n"/>
      <c r="H599" s="24" t="n"/>
      <c r="I599" s="24" t="n"/>
      <c r="J599" s="24" t="n"/>
      <c r="K599" s="24" t="n"/>
      <c r="L599" s="24" t="n"/>
      <c r="M599" s="24" t="n"/>
      <c r="N599" s="24" t="n"/>
      <c r="O599" s="24" t="n"/>
      <c r="P599" s="24" t="n"/>
      <c r="Q599" s="24" t="n"/>
      <c r="R599" s="24" t="n"/>
      <c r="S599" s="24" t="n"/>
      <c r="T599" s="24" t="n"/>
      <c r="U599" s="24" t="n"/>
      <c r="V599" s="24" t="n"/>
      <c r="W599" s="24" t="n"/>
      <c r="X599" s="24" t="n"/>
      <c r="Y599" s="24" t="n"/>
      <c r="Z599" s="24" t="n"/>
      <c r="AA599" s="24" t="n"/>
      <c r="AB599" s="24" t="n"/>
      <c r="AC599" s="24" t="n"/>
      <c r="AD599" s="24" t="n"/>
      <c r="AE599" s="24" t="n"/>
      <c r="AF599" s="24" t="n"/>
    </row>
    <row r="600" ht="16" customHeight="1" s="380">
      <c r="A600" s="24" t="n"/>
      <c r="B600" s="24" t="n"/>
      <c r="C600" s="226" t="n"/>
      <c r="D600" s="227" t="n"/>
      <c r="E600" s="24" t="n"/>
      <c r="F600" s="24" t="n"/>
      <c r="G600" s="23" t="n"/>
      <c r="H600" s="24" t="n"/>
      <c r="I600" s="24" t="n"/>
      <c r="J600" s="24" t="n"/>
      <c r="K600" s="24" t="n"/>
      <c r="L600" s="24" t="n"/>
      <c r="M600" s="24" t="n"/>
      <c r="N600" s="24" t="n"/>
      <c r="O600" s="24" t="n"/>
      <c r="P600" s="24" t="n"/>
      <c r="Q600" s="24" t="n"/>
      <c r="R600" s="24" t="n"/>
      <c r="S600" s="24" t="n"/>
      <c r="T600" s="24" t="n"/>
      <c r="U600" s="24" t="n"/>
      <c r="V600" s="24" t="n"/>
      <c r="W600" s="24" t="n"/>
      <c r="X600" s="24" t="n"/>
      <c r="Y600" s="24" t="n"/>
      <c r="Z600" s="24" t="n"/>
      <c r="AA600" s="24" t="n"/>
      <c r="AB600" s="24" t="n"/>
      <c r="AC600" s="24" t="n"/>
      <c r="AD600" s="24" t="n"/>
      <c r="AE600" s="24" t="n"/>
      <c r="AF600" s="24" t="n"/>
    </row>
    <row r="601" hidden="1" ht="17" customHeight="1" s="380">
      <c r="A601" s="184" t="n"/>
      <c r="B601" s="184" t="inlineStr">
        <is>
          <t>HNX10</t>
        </is>
      </c>
      <c r="C601" s="236" t="n"/>
      <c r="D601" s="237" t="inlineStr">
        <is>
          <t>Đăng ký giao dịch thời điểm cuối tháng</t>
        </is>
      </c>
      <c r="E601" s="184" t="inlineStr">
        <is>
          <t>TPDN RL theo tháng</t>
        </is>
      </c>
      <c r="F601" s="184" t="inlineStr">
        <is>
          <t>Báo cáo</t>
        </is>
      </c>
      <c r="G601" s="238" t="inlineStr">
        <is>
          <t>Chỉ tiêu phái sinh</t>
        </is>
      </c>
      <c r="H601" s="184" t="inlineStr">
        <is>
          <t>TB</t>
        </is>
      </c>
      <c r="I601" s="184" t="n"/>
      <c r="J601" s="184" t="n"/>
      <c r="K601" s="184" t="n"/>
      <c r="L601" s="184" t="n"/>
      <c r="M601" s="184" t="n"/>
    </row>
    <row r="602" hidden="1" ht="17" customHeight="1" s="380">
      <c r="B602" s="184" t="inlineStr">
        <is>
          <t>HNX10</t>
        </is>
      </c>
      <c r="C602" s="239" t="n"/>
      <c r="D602" s="239" t="inlineStr">
        <is>
          <t>Số mã TPDN đăng ký giao dịch</t>
        </is>
      </c>
      <c r="F602" s="4" t="inlineStr">
        <is>
          <t>Báo cáo</t>
        </is>
      </c>
      <c r="G602" s="22" t="inlineStr">
        <is>
          <t>Chỉ tiêu phái sinh</t>
        </is>
      </c>
      <c r="H602" s="4" t="inlineStr">
        <is>
          <t>TB</t>
        </is>
      </c>
      <c r="I602" s="4" t="n"/>
      <c r="J602" s="4" t="n"/>
      <c r="K602" s="4" t="inlineStr">
        <is>
          <t>Đếm mã TPDN RL đăng ký GD trên toàn thị trường cuối mỗi tháng</t>
        </is>
      </c>
    </row>
    <row r="603" hidden="1" ht="17" customHeight="1" s="380">
      <c r="B603" s="184" t="inlineStr">
        <is>
          <t>HNX10</t>
        </is>
      </c>
      <c r="C603" s="239" t="n"/>
      <c r="D603" s="239" t="inlineStr">
        <is>
          <t>Giá trị TPDN đăng ký giao dịch</t>
        </is>
      </c>
      <c r="F603" s="4" t="inlineStr">
        <is>
          <t>Báo cáo</t>
        </is>
      </c>
      <c r="G603" s="22" t="inlineStr">
        <is>
          <t>Chỉ tiêu phái sinh</t>
        </is>
      </c>
      <c r="H603" s="4" t="inlineStr">
        <is>
          <t>TB</t>
        </is>
      </c>
      <c r="I603" s="4" t="n"/>
      <c r="J603" s="4" t="n"/>
      <c r="K603" s="4" t="inlineStr">
        <is>
          <t>Tính tổng Giá trị GD TPDN riêng lẻ toàn thị trường</t>
        </is>
      </c>
    </row>
    <row r="604" hidden="1" ht="16" customHeight="1" s="380">
      <c r="B604" s="184" t="inlineStr">
        <is>
          <t>HNX10</t>
        </is>
      </c>
      <c r="C604" s="218" t="n"/>
      <c r="D604" s="218" t="inlineStr">
        <is>
          <t>Kỳ hạn còn lại dưới 1 năm</t>
        </is>
      </c>
      <c r="F604" s="4" t="inlineStr">
        <is>
          <t>Báo cáo</t>
        </is>
      </c>
      <c r="G604" s="22" t="inlineStr">
        <is>
          <t>Chỉ tiêu phái sinh</t>
        </is>
      </c>
      <c r="H604" s="4" t="inlineStr">
        <is>
          <t>TB</t>
        </is>
      </c>
    </row>
    <row r="605" hidden="1" ht="16" customHeight="1" s="380">
      <c r="B605" s="184" t="inlineStr">
        <is>
          <t>HNX10</t>
        </is>
      </c>
      <c r="C605" s="218" t="n"/>
      <c r="D605" s="218" t="inlineStr">
        <is>
          <t>Kỳ hạn còn lại trên 1 năm</t>
        </is>
      </c>
      <c r="F605" s="4" t="inlineStr">
        <is>
          <t>Báo cáo</t>
        </is>
      </c>
      <c r="G605" s="22" t="inlineStr">
        <is>
          <t>Chỉ tiêu phái sinh</t>
        </is>
      </c>
      <c r="H605" s="4" t="inlineStr">
        <is>
          <t>TB</t>
        </is>
      </c>
    </row>
    <row r="606" hidden="1" ht="17" customHeight="1" s="380">
      <c r="B606" s="184" t="inlineStr">
        <is>
          <t>HNX10</t>
        </is>
      </c>
      <c r="C606" s="240" t="n"/>
      <c r="D606" s="240" t="inlineStr">
        <is>
          <t>Đăng ký giao dịch mới trong tháng</t>
        </is>
      </c>
      <c r="F606" s="4" t="inlineStr">
        <is>
          <t>Báo cáo</t>
        </is>
      </c>
      <c r="G606" s="22" t="inlineStr">
        <is>
          <t>Chỉ tiêu phái sinh</t>
        </is>
      </c>
      <c r="H606" s="4" t="inlineStr">
        <is>
          <t>TB</t>
        </is>
      </c>
      <c r="I606" s="4" t="n"/>
      <c r="J606" s="4" t="n"/>
      <c r="K606" s="4" t="inlineStr">
        <is>
          <t>Tính tổng số đăng ký mới toàn thị trường theo tháng</t>
        </is>
      </c>
    </row>
    <row r="607" hidden="1" ht="17" customHeight="1" s="380">
      <c r="B607" s="184" t="inlineStr">
        <is>
          <t>HNX10</t>
        </is>
      </c>
      <c r="C607" s="241" t="n"/>
      <c r="D607" s="241" t="inlineStr">
        <is>
          <t>Số mã TPDN đăng ký giao dịch mới</t>
        </is>
      </c>
      <c r="F607" s="4" t="inlineStr">
        <is>
          <t>Báo cáo</t>
        </is>
      </c>
      <c r="G607" s="22" t="inlineStr">
        <is>
          <t>Chỉ tiêu phái sinh</t>
        </is>
      </c>
      <c r="H607" s="4" t="inlineStr">
        <is>
          <t>TB</t>
        </is>
      </c>
    </row>
    <row r="608" hidden="1" ht="17" customHeight="1" s="380">
      <c r="B608" s="184" t="inlineStr">
        <is>
          <t>HNX10</t>
        </is>
      </c>
      <c r="C608" s="239" t="n"/>
      <c r="D608" s="239" t="inlineStr">
        <is>
          <t>Giá trị TPDN đăng ký giao dịch mới</t>
        </is>
      </c>
      <c r="F608" s="4" t="inlineStr">
        <is>
          <t>Báo cáo</t>
        </is>
      </c>
      <c r="G608" s="22" t="inlineStr">
        <is>
          <t>Chỉ tiêu phái sinh</t>
        </is>
      </c>
      <c r="H608" s="4" t="inlineStr">
        <is>
          <t>TB</t>
        </is>
      </c>
    </row>
    <row r="609" hidden="1" ht="17" customHeight="1" s="380">
      <c r="B609" s="184" t="inlineStr">
        <is>
          <t>HNX10</t>
        </is>
      </c>
      <c r="C609" s="240" t="n"/>
      <c r="D609" s="240" t="inlineStr">
        <is>
          <t>Hủy đăng ký giao dịch trong tháng</t>
        </is>
      </c>
      <c r="F609" s="4" t="inlineStr">
        <is>
          <t>Báo cáo</t>
        </is>
      </c>
      <c r="G609" s="22" t="inlineStr">
        <is>
          <t>Chỉ tiêu phái sinh</t>
        </is>
      </c>
      <c r="H609" s="4" t="inlineStr">
        <is>
          <t>TB</t>
        </is>
      </c>
      <c r="I609" s="4" t="n"/>
      <c r="J609" s="4" t="n"/>
      <c r="K609" s="4" t="inlineStr">
        <is>
          <t>Tính tổng mã TPDN RL hủy trên toàn thị trường theo tháng</t>
        </is>
      </c>
    </row>
    <row r="610" hidden="1" ht="17" customHeight="1" s="380">
      <c r="B610" s="184" t="inlineStr">
        <is>
          <t>HNX10</t>
        </is>
      </c>
      <c r="C610" s="241" t="n"/>
      <c r="D610" s="241" t="inlineStr">
        <is>
          <t>Số mã TPDN hủy đăng ký giao dịch</t>
        </is>
      </c>
      <c r="F610" s="4" t="inlineStr">
        <is>
          <t>Báo cáo</t>
        </is>
      </c>
      <c r="G610" s="22" t="inlineStr">
        <is>
          <t>Chỉ tiêu phái sinh</t>
        </is>
      </c>
      <c r="H610" s="4" t="inlineStr">
        <is>
          <t>TB</t>
        </is>
      </c>
    </row>
    <row r="611" hidden="1" ht="17" customHeight="1" s="380">
      <c r="B611" s="184" t="inlineStr">
        <is>
          <t>HNX10</t>
        </is>
      </c>
      <c r="C611" s="241" t="n"/>
      <c r="D611" s="241" t="inlineStr">
        <is>
          <t>Giá trị TPDN hủy đăng ký giao dịch</t>
        </is>
      </c>
      <c r="F611" s="4" t="inlineStr">
        <is>
          <t>Báo cáo</t>
        </is>
      </c>
      <c r="G611" s="22" t="inlineStr">
        <is>
          <t>Chỉ tiêu phái sinh</t>
        </is>
      </c>
      <c r="H611" s="4" t="inlineStr">
        <is>
          <t>TB</t>
        </is>
      </c>
    </row>
    <row r="612" hidden="1" ht="34" customHeight="1" s="380">
      <c r="B612" s="184" t="inlineStr">
        <is>
          <t>HNX10</t>
        </is>
      </c>
      <c r="C612" s="242" t="n"/>
      <c r="D612" s="242" t="inlineStr">
        <is>
          <t>Giá trị TPDN đăng ký giao dịch điều chỉnh tăng</t>
        </is>
      </c>
      <c r="F612" s="4" t="inlineStr">
        <is>
          <t>Báo cáo</t>
        </is>
      </c>
      <c r="G612" s="22" t="inlineStr">
        <is>
          <t>Chỉ tiêu phái sinh</t>
        </is>
      </c>
      <c r="H612" s="4" t="inlineStr">
        <is>
          <t>Dễ</t>
        </is>
      </c>
      <c r="I612" s="4" t="n"/>
      <c r="J612" s="4" t="n"/>
      <c r="K612" s="4" t="inlineStr">
        <is>
          <t>Tính tổng mã TPDN RL điều chỉnh tăng trên toàn thị trường theo tháng</t>
        </is>
      </c>
    </row>
    <row r="613" hidden="1" ht="34" customHeight="1" s="380">
      <c r="B613" s="184" t="inlineStr">
        <is>
          <t>HNX10</t>
        </is>
      </c>
      <c r="C613" s="243" t="n"/>
      <c r="D613" s="243" t="inlineStr">
        <is>
          <t xml:space="preserve">Giá trị TPDN RL (mỗi mã CK/ DNRL) điều chỉnh tăng </t>
        </is>
      </c>
      <c r="F613" s="4" t="inlineStr">
        <is>
          <t>Báo cáo</t>
        </is>
      </c>
      <c r="G613" s="22" t="inlineStr">
        <is>
          <t>Chỉ tiêu phái sinh</t>
        </is>
      </c>
      <c r="H613" s="4" t="inlineStr">
        <is>
          <t>TB</t>
        </is>
      </c>
      <c r="I613" s="4" t="n"/>
      <c r="J613" s="4" t="n"/>
      <c r="K613" s="4" t="n"/>
    </row>
    <row r="614" hidden="1" ht="34" customHeight="1" s="380">
      <c r="B614" s="184" t="inlineStr">
        <is>
          <t>HNX10</t>
        </is>
      </c>
      <c r="C614" s="242" t="n"/>
      <c r="D614" s="242" t="inlineStr">
        <is>
          <t>Giá trị TPDN đăng ký giao dịch điều chỉnh giảm</t>
        </is>
      </c>
      <c r="F614" s="4" t="inlineStr">
        <is>
          <t>Báo cáo</t>
        </is>
      </c>
      <c r="G614" s="22" t="inlineStr">
        <is>
          <t>Chỉ tiêu phái sinh</t>
        </is>
      </c>
      <c r="H614" s="4" t="inlineStr">
        <is>
          <t>Dễ</t>
        </is>
      </c>
      <c r="I614" s="4" t="n"/>
      <c r="J614" s="4" t="n"/>
      <c r="K614" s="4" t="inlineStr">
        <is>
          <t>Tính tổng mã TPDN RL điều chỉnh giảm trên toàn thị trường theo tháng</t>
        </is>
      </c>
    </row>
    <row r="615" hidden="1" ht="34" customHeight="1" s="380">
      <c r="B615" s="184" t="inlineStr">
        <is>
          <t>HNX10</t>
        </is>
      </c>
      <c r="C615" s="243" t="n"/>
      <c r="D615" s="243" t="inlineStr">
        <is>
          <t>Giá trị TPDN RL (mỗi mã CK/DNRL) điều chỉnh giảm</t>
        </is>
      </c>
      <c r="F615" s="4" t="inlineStr">
        <is>
          <t>Báo cáo</t>
        </is>
      </c>
      <c r="G615" s="22" t="inlineStr">
        <is>
          <t>Chỉ tiêu phái sinh</t>
        </is>
      </c>
      <c r="H615" s="4" t="inlineStr">
        <is>
          <t>TB</t>
        </is>
      </c>
      <c r="I615" s="4" t="n"/>
      <c r="J615" s="4" t="n"/>
      <c r="K615" s="4" t="n"/>
    </row>
    <row r="616" hidden="1" ht="17" customHeight="1" s="380">
      <c r="B616" s="184" t="inlineStr">
        <is>
          <t>HNX10</t>
        </is>
      </c>
      <c r="C616" s="241" t="n"/>
      <c r="D616" s="241" t="inlineStr">
        <is>
          <t>Giá trị TPDN giao dịch trong tháng</t>
        </is>
      </c>
      <c r="F616" s="4" t="inlineStr">
        <is>
          <t>Báo cáo</t>
        </is>
      </c>
      <c r="G616" s="22" t="inlineStr">
        <is>
          <t>Chỉ tiêu phái sinh</t>
        </is>
      </c>
      <c r="H616" s="4" t="inlineStr">
        <is>
          <t>TB</t>
        </is>
      </c>
      <c r="I616" s="4" t="n"/>
      <c r="J616" s="4" t="n"/>
      <c r="K616" s="4" t="inlineStr">
        <is>
          <t>Tổng giá trị TPDN RL đã giao dịch trong tháng</t>
        </is>
      </c>
    </row>
    <row r="617" hidden="1" ht="30" customHeight="1" s="380">
      <c r="A617" s="184" t="n"/>
      <c r="B617" s="184" t="inlineStr">
        <is>
          <t>HNX11</t>
        </is>
      </c>
      <c r="C617" s="244" t="n"/>
      <c r="D617" s="245" t="inlineStr">
        <is>
          <t>Tên Doanh nghiệp phát hành TPDN RL trong nước</t>
        </is>
      </c>
      <c r="E617" s="184" t="n"/>
      <c r="F617" s="184" t="inlineStr">
        <is>
          <t>Báo cáo</t>
        </is>
      </c>
      <c r="G617" s="184" t="inlineStr">
        <is>
          <t>Chỉ tiêu cơ sở</t>
        </is>
      </c>
      <c r="H617" s="184" t="inlineStr">
        <is>
          <t>Dễ</t>
        </is>
      </c>
      <c r="I617" s="184" t="n"/>
      <c r="J617" s="184" t="n"/>
      <c r="K617" s="184" t="n"/>
      <c r="L617" s="184" t="n"/>
      <c r="M617" s="184" t="inlineStr">
        <is>
          <t>BC chi tiết phát hành TPDN  thị trường trong nước</t>
        </is>
      </c>
    </row>
    <row r="618" hidden="1" ht="16" customHeight="1" s="380">
      <c r="B618" s="4" t="inlineStr">
        <is>
          <t>HNX11</t>
        </is>
      </c>
      <c r="C618" s="216" t="n"/>
      <c r="D618" s="218" t="inlineStr">
        <is>
          <t>Loại hình doanh nghiệp</t>
        </is>
      </c>
      <c r="F618" s="4" t="inlineStr">
        <is>
          <t>Báo cáo</t>
        </is>
      </c>
      <c r="G618" s="4" t="inlineStr">
        <is>
          <t>Chỉ tiêu cơ sở</t>
        </is>
      </c>
      <c r="H618" s="4" t="inlineStr">
        <is>
          <t>Dễ</t>
        </is>
      </c>
    </row>
    <row r="619" hidden="1" ht="16" customHeight="1" s="380">
      <c r="B619" s="4" t="inlineStr">
        <is>
          <t>HNX11</t>
        </is>
      </c>
      <c r="C619" s="216" t="n"/>
      <c r="D619" s="218" t="inlineStr">
        <is>
          <t>Lĩnh vực hoạt động</t>
        </is>
      </c>
      <c r="F619" s="4" t="inlineStr">
        <is>
          <t>Báo cáo</t>
        </is>
      </c>
      <c r="G619" s="4" t="inlineStr">
        <is>
          <t>Chỉ tiêu cơ sở</t>
        </is>
      </c>
      <c r="H619" s="4" t="inlineStr">
        <is>
          <t>Dễ</t>
        </is>
      </c>
    </row>
    <row r="620" hidden="1" ht="16" customHeight="1" s="380">
      <c r="B620" s="4" t="inlineStr">
        <is>
          <t>HNX11</t>
        </is>
      </c>
      <c r="C620" s="216" t="n"/>
      <c r="D620" s="218" t="inlineStr">
        <is>
          <t>Mã trái phiếu</t>
        </is>
      </c>
      <c r="F620" s="4" t="inlineStr">
        <is>
          <t>Báo cáo</t>
        </is>
      </c>
      <c r="G620" s="4" t="inlineStr">
        <is>
          <t>Chỉ tiêu cơ sở</t>
        </is>
      </c>
      <c r="H620" s="4" t="inlineStr">
        <is>
          <t>Dễ</t>
        </is>
      </c>
    </row>
    <row r="621" hidden="1" ht="16" customHeight="1" s="380">
      <c r="B621" s="4" t="inlineStr">
        <is>
          <t>HNX11</t>
        </is>
      </c>
      <c r="C621" s="216" t="n"/>
      <c r="D621" s="218" t="inlineStr">
        <is>
          <t>Giá trị phát hành</t>
        </is>
      </c>
      <c r="F621" s="4" t="inlineStr">
        <is>
          <t>Báo cáo</t>
        </is>
      </c>
      <c r="G621" s="4" t="inlineStr">
        <is>
          <t>Chỉ tiêu cơ sở</t>
        </is>
      </c>
      <c r="H621" s="4" t="inlineStr">
        <is>
          <t>Dễ</t>
        </is>
      </c>
    </row>
    <row r="622" hidden="1" ht="15" customHeight="1" s="380">
      <c r="B622" s="4" t="inlineStr">
        <is>
          <t>HNX11</t>
        </is>
      </c>
      <c r="C622" s="246" t="n"/>
      <c r="D622" s="223" t="inlineStr">
        <is>
          <t>Đơn vị kỳ hạn phát hành</t>
        </is>
      </c>
      <c r="F622" s="4" t="inlineStr">
        <is>
          <t>Báo cáo</t>
        </is>
      </c>
      <c r="G622" s="4" t="inlineStr">
        <is>
          <t>Chỉ tiêu cơ sở</t>
        </is>
      </c>
      <c r="H622" s="4" t="inlineStr">
        <is>
          <t>Dễ</t>
        </is>
      </c>
    </row>
    <row r="623" hidden="1" ht="15" customHeight="1" s="380">
      <c r="B623" s="4" t="inlineStr">
        <is>
          <t>HNX11</t>
        </is>
      </c>
      <c r="C623" s="246" t="n"/>
      <c r="D623" s="223" t="inlineStr">
        <is>
          <t>Kỳ hạn phát hành</t>
        </is>
      </c>
      <c r="F623" s="4" t="inlineStr">
        <is>
          <t>Báo cáo</t>
        </is>
      </c>
      <c r="G623" s="4" t="inlineStr">
        <is>
          <t>Chỉ tiêu cơ sở</t>
        </is>
      </c>
      <c r="H623" s="4" t="inlineStr">
        <is>
          <t>Dễ</t>
        </is>
      </c>
    </row>
    <row r="624" hidden="1" ht="15" customHeight="1" s="380">
      <c r="B624" s="4" t="inlineStr">
        <is>
          <t>HNX11</t>
        </is>
      </c>
      <c r="C624" s="246" t="n"/>
      <c r="D624" s="223" t="inlineStr">
        <is>
          <t>Loại lãi suất phát hành</t>
        </is>
      </c>
      <c r="F624" s="4" t="inlineStr">
        <is>
          <t>Báo cáo</t>
        </is>
      </c>
      <c r="G624" s="4" t="inlineStr">
        <is>
          <t>Chỉ tiêu cơ sở</t>
        </is>
      </c>
      <c r="H624" s="4" t="inlineStr">
        <is>
          <t>TB</t>
        </is>
      </c>
    </row>
    <row r="625" hidden="1" ht="16" customHeight="1" s="380">
      <c r="B625" s="4" t="inlineStr">
        <is>
          <t>HNX11</t>
        </is>
      </c>
      <c r="C625" s="216" t="n"/>
      <c r="D625" s="218" t="inlineStr">
        <is>
          <t>Lãi suất thực tế</t>
        </is>
      </c>
      <c r="F625" s="4" t="inlineStr">
        <is>
          <t>Báo cáo</t>
        </is>
      </c>
      <c r="G625" s="4" t="inlineStr">
        <is>
          <t>Chỉ tiêu cơ sở</t>
        </is>
      </c>
      <c r="H625" s="4" t="inlineStr">
        <is>
          <t>TB</t>
        </is>
      </c>
    </row>
    <row r="626" hidden="1" ht="16" customHeight="1" s="380">
      <c r="B626" s="4" t="inlineStr">
        <is>
          <t>HNX11</t>
        </is>
      </c>
      <c r="C626" s="216" t="n"/>
      <c r="D626" s="218" t="inlineStr">
        <is>
          <t>Ngày phát hành</t>
        </is>
      </c>
      <c r="F626" s="4" t="inlineStr">
        <is>
          <t>Báo cáo</t>
        </is>
      </c>
      <c r="G626" s="4" t="inlineStr">
        <is>
          <t>Chỉ tiêu cơ sở</t>
        </is>
      </c>
      <c r="H626" s="4" t="inlineStr">
        <is>
          <t>Dễ</t>
        </is>
      </c>
    </row>
    <row r="627" hidden="1" ht="16" customHeight="1" s="380">
      <c r="B627" s="4" t="inlineStr">
        <is>
          <t>HNX11</t>
        </is>
      </c>
      <c r="C627" s="216" t="n"/>
      <c r="D627" s="218" t="inlineStr">
        <is>
          <t>Ngày đáo hạn</t>
        </is>
      </c>
      <c r="F627" s="4" t="inlineStr">
        <is>
          <t>Báo cáo</t>
        </is>
      </c>
      <c r="G627" s="4" t="inlineStr">
        <is>
          <t>Chỉ tiêu cơ sở</t>
        </is>
      </c>
      <c r="H627" s="4" t="inlineStr">
        <is>
          <t>Dễ</t>
        </is>
      </c>
    </row>
    <row r="628" hidden="1" ht="16" customHeight="1" s="380">
      <c r="B628" s="4" t="inlineStr">
        <is>
          <t>HNX11</t>
        </is>
      </c>
      <c r="C628" s="216" t="n"/>
      <c r="D628" s="218" t="inlineStr">
        <is>
          <t>Thanh toán lãi</t>
        </is>
      </c>
      <c r="F628" s="4" t="inlineStr">
        <is>
          <t>Báo cáo</t>
        </is>
      </c>
      <c r="G628" s="4" t="inlineStr">
        <is>
          <t>Chỉ tiêu cơ sở</t>
        </is>
      </c>
      <c r="H628" s="4" t="inlineStr">
        <is>
          <t>TB</t>
        </is>
      </c>
    </row>
    <row r="629" hidden="1" ht="16" customHeight="1" s="380">
      <c r="B629" s="4" t="inlineStr">
        <is>
          <t>HNX11</t>
        </is>
      </c>
      <c r="C629" s="216" t="n"/>
      <c r="D629" s="218" t="inlineStr">
        <is>
          <t>Trái phiếu chuyển đổi</t>
        </is>
      </c>
      <c r="F629" s="4" t="inlineStr">
        <is>
          <t>Báo cáo</t>
        </is>
      </c>
      <c r="G629" s="22" t="inlineStr">
        <is>
          <t>Chỉ tiêu phái sinh</t>
        </is>
      </c>
      <c r="H629" s="4" t="inlineStr">
        <is>
          <t>TB</t>
        </is>
      </c>
    </row>
    <row r="630" hidden="1" ht="16" customHeight="1" s="380">
      <c r="B630" s="4" t="inlineStr">
        <is>
          <t>HNX11</t>
        </is>
      </c>
      <c r="C630" s="216" t="n"/>
      <c r="D630" s="218" t="inlineStr">
        <is>
          <t>Trái phiếu kèm chứng quyền</t>
        </is>
      </c>
      <c r="F630" s="4" t="inlineStr">
        <is>
          <t>Báo cáo</t>
        </is>
      </c>
      <c r="G630" s="22" t="inlineStr">
        <is>
          <t>Chỉ tiêu phái sinh</t>
        </is>
      </c>
      <c r="H630" s="4" t="inlineStr">
        <is>
          <t>TB</t>
        </is>
      </c>
    </row>
    <row r="631" hidden="1" ht="16" customHeight="1" s="380">
      <c r="B631" s="4" t="inlineStr">
        <is>
          <t>HNX11</t>
        </is>
      </c>
      <c r="C631" s="216" t="n"/>
      <c r="D631" s="218" t="inlineStr">
        <is>
          <t>Trái phiếu có bảo đảm</t>
        </is>
      </c>
      <c r="F631" s="4" t="inlineStr">
        <is>
          <t>Báo cáo</t>
        </is>
      </c>
      <c r="G631" s="22" t="inlineStr">
        <is>
          <t>Chỉ tiêu phái sinh</t>
        </is>
      </c>
      <c r="H631" s="4" t="inlineStr">
        <is>
          <t>TB</t>
        </is>
      </c>
    </row>
    <row r="632" hidden="1" ht="28" customHeight="1" s="380">
      <c r="A632" s="184" t="n"/>
      <c r="B632" s="184" t="inlineStr">
        <is>
          <t>HNX12</t>
        </is>
      </c>
      <c r="C632" s="184" t="n"/>
      <c r="D632" s="202" t="inlineStr">
        <is>
          <t>Tên Doanh nghiệp phát hành TPDN ra TT quốc tế</t>
        </is>
      </c>
      <c r="E632" s="184" t="n"/>
      <c r="F632" s="184" t="inlineStr">
        <is>
          <t>Báo cáo</t>
        </is>
      </c>
      <c r="G632" s="4" t="inlineStr">
        <is>
          <t>Chỉ tiêu cơ sở</t>
        </is>
      </c>
      <c r="H632" s="184" t="inlineStr">
        <is>
          <t>Dễ</t>
        </is>
      </c>
      <c r="I632" s="184" t="n"/>
      <c r="J632" s="184" t="n"/>
      <c r="K632" s="184" t="n"/>
      <c r="L632" s="184" t="n"/>
      <c r="M632" s="184" t="inlineStr">
        <is>
          <t>BC chi tiết phát hành TPDN ra thị trường Quốc tế</t>
        </is>
      </c>
    </row>
    <row r="633" hidden="1" ht="14" customHeight="1" s="380">
      <c r="B633" s="4" t="inlineStr">
        <is>
          <t>HNX12</t>
        </is>
      </c>
      <c r="C633" s="4" t="n"/>
      <c r="D633" s="17" t="inlineStr">
        <is>
          <t>Loại hình doanh nghiệp</t>
        </is>
      </c>
      <c r="F633" s="4" t="inlineStr">
        <is>
          <t>Báo cáo</t>
        </is>
      </c>
      <c r="G633" s="4" t="inlineStr">
        <is>
          <t>Chỉ tiêu cơ sở</t>
        </is>
      </c>
      <c r="H633" s="4" t="inlineStr">
        <is>
          <t>Dễ</t>
        </is>
      </c>
    </row>
    <row r="634" hidden="1" ht="14" customHeight="1" s="380">
      <c r="B634" s="4" t="inlineStr">
        <is>
          <t>HNX12</t>
        </is>
      </c>
      <c r="C634" s="4" t="n"/>
      <c r="D634" s="17" t="inlineStr">
        <is>
          <t>Lĩnh vực hoạt động</t>
        </is>
      </c>
      <c r="F634" s="4" t="inlineStr">
        <is>
          <t>Báo cáo</t>
        </is>
      </c>
      <c r="G634" s="4" t="inlineStr">
        <is>
          <t>Chỉ tiêu cơ sở</t>
        </is>
      </c>
      <c r="H634" s="4" t="inlineStr">
        <is>
          <t>Dễ</t>
        </is>
      </c>
    </row>
    <row r="635" hidden="1" ht="14" customHeight="1" s="380">
      <c r="B635" s="4" t="inlineStr">
        <is>
          <t>HNX12</t>
        </is>
      </c>
      <c r="C635" s="4" t="n"/>
      <c r="D635" s="17" t="inlineStr">
        <is>
          <t>Mã trái phiếu</t>
        </is>
      </c>
      <c r="F635" s="4" t="inlineStr">
        <is>
          <t>Báo cáo</t>
        </is>
      </c>
      <c r="G635" s="4" t="inlineStr">
        <is>
          <t>Chỉ tiêu cơ sở</t>
        </is>
      </c>
      <c r="H635" s="4" t="inlineStr">
        <is>
          <t>Dễ</t>
        </is>
      </c>
    </row>
    <row r="636" hidden="1" ht="14" customHeight="1" s="380">
      <c r="B636" s="4" t="inlineStr">
        <is>
          <t>HNX12</t>
        </is>
      </c>
      <c r="C636" s="4" t="n"/>
      <c r="D636" s="17" t="inlineStr">
        <is>
          <t>Thị trường phát hành</t>
        </is>
      </c>
      <c r="F636" s="4" t="inlineStr">
        <is>
          <t>Báo cáo</t>
        </is>
      </c>
      <c r="G636" s="4" t="inlineStr">
        <is>
          <t>Chỉ tiêu cơ sở</t>
        </is>
      </c>
      <c r="H636" s="4" t="inlineStr">
        <is>
          <t>Dễ</t>
        </is>
      </c>
    </row>
    <row r="637" hidden="1" ht="14" customHeight="1" s="380">
      <c r="B637" s="4" t="inlineStr">
        <is>
          <t>HNX12</t>
        </is>
      </c>
      <c r="C637" s="4" t="n"/>
      <c r="D637" s="17" t="inlineStr">
        <is>
          <t>Đồng tiền phát hành</t>
        </is>
      </c>
      <c r="F637" s="4" t="inlineStr">
        <is>
          <t>Báo cáo</t>
        </is>
      </c>
      <c r="G637" s="4" t="inlineStr">
        <is>
          <t>Chỉ tiêu cơ sở</t>
        </is>
      </c>
      <c r="H637" s="4" t="inlineStr">
        <is>
          <t>Dễ</t>
        </is>
      </c>
    </row>
    <row r="638" hidden="1" ht="14" customHeight="1" s="380">
      <c r="B638" s="4" t="inlineStr">
        <is>
          <t>HNX12</t>
        </is>
      </c>
      <c r="C638" s="4" t="n"/>
      <c r="D638" s="17" t="inlineStr">
        <is>
          <t>Khối lượng phát hành</t>
        </is>
      </c>
      <c r="F638" s="4" t="inlineStr">
        <is>
          <t>Báo cáo</t>
        </is>
      </c>
      <c r="G638" s="22" t="inlineStr">
        <is>
          <t>Chỉ tiêu phái sinh</t>
        </is>
      </c>
      <c r="H638" s="4" t="inlineStr">
        <is>
          <t>TB</t>
        </is>
      </c>
    </row>
    <row r="639" hidden="1" ht="14" customHeight="1" s="380">
      <c r="B639" s="4" t="inlineStr">
        <is>
          <t>HNX12</t>
        </is>
      </c>
      <c r="C639" s="4" t="n"/>
      <c r="D639" s="17" t="inlineStr">
        <is>
          <t>Đơn vị kỳ hạn</t>
        </is>
      </c>
      <c r="F639" s="4" t="inlineStr">
        <is>
          <t>Báo cáo</t>
        </is>
      </c>
      <c r="G639" s="4" t="inlineStr">
        <is>
          <t>Chỉ tiêu cơ sở</t>
        </is>
      </c>
      <c r="H639" s="4" t="inlineStr">
        <is>
          <t>Dễ</t>
        </is>
      </c>
    </row>
    <row r="640" hidden="1" ht="14" customHeight="1" s="380">
      <c r="B640" s="4" t="inlineStr">
        <is>
          <t>HNX12</t>
        </is>
      </c>
      <c r="C640" s="4" t="n"/>
      <c r="D640" s="17" t="inlineStr">
        <is>
          <t>Kỳ hạn</t>
        </is>
      </c>
      <c r="F640" s="4" t="inlineStr">
        <is>
          <t>Báo cáo</t>
        </is>
      </c>
      <c r="G640" s="4" t="inlineStr">
        <is>
          <t>Chỉ tiêu cơ sở</t>
        </is>
      </c>
      <c r="H640" s="4" t="inlineStr">
        <is>
          <t>Dễ</t>
        </is>
      </c>
    </row>
    <row r="641" hidden="1" ht="14" customHeight="1" s="380">
      <c r="B641" s="4" t="inlineStr">
        <is>
          <t>HNX12</t>
        </is>
      </c>
      <c r="C641" s="4" t="n"/>
      <c r="D641" s="17" t="inlineStr">
        <is>
          <t>Loại lãi suất</t>
        </is>
      </c>
      <c r="F641" s="4" t="inlineStr">
        <is>
          <t>Báo cáo</t>
        </is>
      </c>
      <c r="G641" s="4" t="inlineStr">
        <is>
          <t>Chỉ tiêu cơ sở</t>
        </is>
      </c>
      <c r="H641" s="4" t="inlineStr">
        <is>
          <t>Dễ</t>
        </is>
      </c>
    </row>
    <row r="642" hidden="1" ht="14" customHeight="1" s="380">
      <c r="B642" s="4" t="inlineStr">
        <is>
          <t>HNX12</t>
        </is>
      </c>
      <c r="C642" s="4" t="n"/>
      <c r="D642" s="17" t="inlineStr">
        <is>
          <t>Lãi suất thực tế</t>
        </is>
      </c>
      <c r="F642" s="4" t="inlineStr">
        <is>
          <t>Báo cáo</t>
        </is>
      </c>
      <c r="G642" s="4" t="inlineStr">
        <is>
          <t>Chỉ tiêu cơ sở</t>
        </is>
      </c>
      <c r="H642" s="4" t="inlineStr">
        <is>
          <t>Dễ</t>
        </is>
      </c>
    </row>
    <row r="643" hidden="1" ht="14" customHeight="1" s="380">
      <c r="B643" s="4" t="inlineStr">
        <is>
          <t>HNX12</t>
        </is>
      </c>
      <c r="C643" s="4" t="n"/>
      <c r="D643" s="17" t="inlineStr">
        <is>
          <t>Ngày phát hành</t>
        </is>
      </c>
      <c r="F643" s="4" t="inlineStr">
        <is>
          <t>Báo cáo</t>
        </is>
      </c>
      <c r="G643" s="4" t="inlineStr">
        <is>
          <t>Chỉ tiêu cơ sở</t>
        </is>
      </c>
      <c r="H643" s="4" t="inlineStr">
        <is>
          <t>Dễ</t>
        </is>
      </c>
    </row>
    <row r="644" hidden="1" ht="14" customHeight="1" s="380">
      <c r="B644" s="4" t="inlineStr">
        <is>
          <t>HNX12</t>
        </is>
      </c>
      <c r="C644" s="4" t="n"/>
      <c r="D644" s="17" t="inlineStr">
        <is>
          <t>Ngày đáo hạn</t>
        </is>
      </c>
      <c r="F644" s="4" t="inlineStr">
        <is>
          <t>Báo cáo</t>
        </is>
      </c>
      <c r="G644" s="4" t="inlineStr">
        <is>
          <t>Chỉ tiêu cơ sở</t>
        </is>
      </c>
      <c r="H644" s="4" t="inlineStr">
        <is>
          <t>Dễ</t>
        </is>
      </c>
    </row>
    <row r="645" hidden="1" ht="14" customHeight="1" s="380">
      <c r="B645" s="4" t="inlineStr">
        <is>
          <t>HNX12</t>
        </is>
      </c>
      <c r="C645" s="4" t="n"/>
      <c r="D645" s="17" t="inlineStr">
        <is>
          <t>Thanh toán lãi</t>
        </is>
      </c>
      <c r="F645" s="4" t="inlineStr">
        <is>
          <t>Báo cáo</t>
        </is>
      </c>
      <c r="G645" s="4" t="inlineStr">
        <is>
          <t>Chỉ tiêu cơ sở</t>
        </is>
      </c>
      <c r="H645" s="4" t="inlineStr">
        <is>
          <t>Dễ</t>
        </is>
      </c>
    </row>
    <row r="646" hidden="1" ht="14" customHeight="1" s="380">
      <c r="B646" s="4" t="inlineStr">
        <is>
          <t>HNX12</t>
        </is>
      </c>
      <c r="C646" s="4" t="n"/>
      <c r="D646" s="17" t="inlineStr">
        <is>
          <t>Trái phiếu chuyển đổi</t>
        </is>
      </c>
      <c r="F646" s="4" t="inlineStr">
        <is>
          <t>Báo cáo</t>
        </is>
      </c>
      <c r="G646" s="22" t="inlineStr">
        <is>
          <t>Chỉ tiêu phái sinh</t>
        </is>
      </c>
      <c r="H646" s="4" t="inlineStr">
        <is>
          <t>TB</t>
        </is>
      </c>
    </row>
    <row r="647" hidden="1" ht="14" customHeight="1" s="380">
      <c r="B647" s="4" t="inlineStr">
        <is>
          <t>HNX12</t>
        </is>
      </c>
      <c r="C647" s="4" t="n"/>
      <c r="D647" s="17" t="inlineStr">
        <is>
          <t>Trái phiếu kèm chứng quyền</t>
        </is>
      </c>
      <c r="F647" s="4" t="inlineStr">
        <is>
          <t>Báo cáo</t>
        </is>
      </c>
      <c r="G647" s="22" t="inlineStr">
        <is>
          <t>Chỉ tiêu phái sinh</t>
        </is>
      </c>
      <c r="H647" s="4" t="inlineStr">
        <is>
          <t>TB</t>
        </is>
      </c>
    </row>
    <row r="648" hidden="1" ht="14" customHeight="1" s="380">
      <c r="B648" s="4" t="inlineStr">
        <is>
          <t>HNX12</t>
        </is>
      </c>
      <c r="C648" s="4" t="n"/>
      <c r="D648" s="17" t="inlineStr">
        <is>
          <t>Trái phiếu có bảo đảm</t>
        </is>
      </c>
      <c r="F648" s="4" t="inlineStr">
        <is>
          <t>Báo cáo</t>
        </is>
      </c>
      <c r="G648" s="22" t="inlineStr">
        <is>
          <t>Chỉ tiêu phái sinh</t>
        </is>
      </c>
      <c r="H648" s="4" t="inlineStr">
        <is>
          <t>TB</t>
        </is>
      </c>
    </row>
    <row r="649" ht="13" customHeight="1" s="380">
      <c r="D649" s="17" t="n"/>
    </row>
    <row r="650" ht="13" customHeight="1" s="380">
      <c r="D650" s="17" t="n"/>
    </row>
    <row r="651" ht="13" customHeight="1" s="380">
      <c r="D651" s="17" t="n"/>
    </row>
    <row r="652" ht="13" customHeight="1" s="380">
      <c r="D652" s="17" t="n"/>
    </row>
    <row r="653" ht="13" customHeight="1" s="380">
      <c r="D653" s="17" t="n"/>
    </row>
    <row r="654" ht="13" customHeight="1" s="380">
      <c r="D654" s="17" t="n"/>
    </row>
    <row r="655" ht="13" customHeight="1" s="380">
      <c r="D655" s="17" t="n"/>
    </row>
    <row r="656" ht="13" customHeight="1" s="380">
      <c r="D656" s="17" t="n"/>
    </row>
    <row r="657" ht="13" customHeight="1" s="380">
      <c r="D657" s="17" t="n"/>
    </row>
    <row r="658" ht="13" customHeight="1" s="380">
      <c r="D658" s="17" t="n"/>
    </row>
    <row r="659" ht="13" customHeight="1" s="380">
      <c r="D659" s="17" t="n"/>
    </row>
    <row r="660" ht="13" customHeight="1" s="380">
      <c r="D660" s="17" t="n"/>
    </row>
    <row r="661" ht="13" customHeight="1" s="380">
      <c r="D661" s="17" t="n"/>
    </row>
    <row r="662" ht="13" customHeight="1" s="380">
      <c r="D662" s="17" t="n"/>
    </row>
    <row r="663" ht="13" customHeight="1" s="380">
      <c r="D663" s="17" t="n"/>
    </row>
    <row r="664" ht="13" customHeight="1" s="380">
      <c r="D664" s="17" t="n"/>
    </row>
    <row r="665" ht="13" customHeight="1" s="380">
      <c r="D665" s="17" t="n"/>
    </row>
    <row r="666" ht="13" customHeight="1" s="380">
      <c r="D666" s="17" t="n"/>
    </row>
    <row r="667" ht="13" customHeight="1" s="380">
      <c r="D667" s="17" t="n"/>
    </row>
    <row r="668" ht="13" customHeight="1" s="380">
      <c r="D668" s="17" t="n"/>
    </row>
    <row r="669" ht="13" customHeight="1" s="380">
      <c r="D669" s="17" t="n"/>
    </row>
    <row r="670" ht="13" customHeight="1" s="380">
      <c r="D670" s="17" t="n"/>
    </row>
    <row r="671" ht="13" customHeight="1" s="380">
      <c r="D671" s="17" t="n"/>
    </row>
    <row r="672" ht="13" customHeight="1" s="380">
      <c r="D672" s="17" t="n"/>
    </row>
    <row r="673" ht="13" customHeight="1" s="380">
      <c r="D673" s="17" t="n"/>
    </row>
    <row r="674" ht="13" customHeight="1" s="380">
      <c r="D674" s="17" t="n"/>
    </row>
    <row r="675" ht="13" customHeight="1" s="380">
      <c r="D675" s="17" t="n"/>
    </row>
    <row r="676" ht="13" customHeight="1" s="380">
      <c r="D676" s="17" t="n"/>
    </row>
    <row r="677" ht="13" customHeight="1" s="380">
      <c r="D677" s="17" t="n"/>
    </row>
    <row r="678" ht="13" customHeight="1" s="380">
      <c r="D678" s="17" t="n"/>
    </row>
    <row r="679" ht="13" customHeight="1" s="380">
      <c r="D679" s="17" t="n"/>
    </row>
    <row r="680" ht="13" customHeight="1" s="380">
      <c r="D680" s="17" t="n"/>
    </row>
    <row r="681" ht="13" customHeight="1" s="380">
      <c r="D681" s="17" t="n"/>
    </row>
    <row r="682" ht="16" customHeight="1" s="380">
      <c r="A682" s="203" t="n"/>
      <c r="B682" s="206" t="n"/>
      <c r="C682" s="422" t="n"/>
      <c r="D682" s="248" t="n"/>
      <c r="E682" s="206" t="n"/>
      <c r="F682" s="184" t="n"/>
      <c r="G682" s="206" t="n"/>
      <c r="H682" s="206" t="n"/>
      <c r="I682" s="206" t="n"/>
      <c r="J682" s="206" t="n"/>
      <c r="K682" s="206" t="n"/>
      <c r="L682" s="206" t="n"/>
    </row>
    <row r="683" ht="16" customHeight="1" s="380">
      <c r="A683" s="203" t="n"/>
      <c r="B683" s="206" t="n"/>
      <c r="C683" s="422" t="n"/>
      <c r="D683" s="248" t="n"/>
      <c r="E683" s="206" t="n"/>
      <c r="F683" s="184" t="n"/>
      <c r="G683" s="206" t="n"/>
      <c r="H683" s="206" t="n"/>
      <c r="I683" s="206" t="n"/>
      <c r="J683" s="206" t="n"/>
      <c r="K683" s="206" t="n"/>
      <c r="L683" s="206" t="n"/>
    </row>
    <row r="684" ht="17" customHeight="1" s="380">
      <c r="A684" s="203" t="n">
        <v>2</v>
      </c>
      <c r="B684" s="206" t="inlineStr">
        <is>
          <t>TK-HSX01</t>
        </is>
      </c>
      <c r="C684" s="422" t="inlineStr">
        <is>
          <t>BÁO CÁO VỀ GIAO DỊCH TRÊN THỊ TRƯỜNG CHỨNG KHOÁN</t>
        </is>
      </c>
      <c r="D684" s="249" t="inlineStr">
        <is>
          <t xml:space="preserve">   Chỉ số VN - INDEX (cuối ngày)</t>
        </is>
      </c>
      <c r="E684" s="206" t="n"/>
      <c r="F684" s="184" t="inlineStr">
        <is>
          <t>Báo cáo</t>
        </is>
      </c>
      <c r="G684" s="206" t="inlineStr">
        <is>
          <t>Chỉ tiêu cơ sở</t>
        </is>
      </c>
      <c r="H684" s="206" t="inlineStr">
        <is>
          <t>Dễ</t>
        </is>
      </c>
      <c r="I684" s="206" t="n"/>
      <c r="J684" s="206" t="n"/>
      <c r="K684" s="206" t="n"/>
      <c r="L684" s="206" t="n"/>
    </row>
    <row r="685" ht="17" customHeight="1" s="380">
      <c r="B685" s="4" t="inlineStr">
        <is>
          <t>TK-HSX01</t>
        </is>
      </c>
      <c r="D685" s="232" t="inlineStr">
        <is>
          <t xml:space="preserve">   Chỉ số VN30</t>
        </is>
      </c>
      <c r="F685" s="184" t="inlineStr">
        <is>
          <t>Báo cáo</t>
        </is>
      </c>
      <c r="G685" s="4" t="inlineStr">
        <is>
          <t>Chỉ tiêu cơ sở</t>
        </is>
      </c>
      <c r="H685" s="4" t="inlineStr">
        <is>
          <t>Dễ</t>
        </is>
      </c>
    </row>
    <row r="686" ht="17" customHeight="1" s="380">
      <c r="B686" s="4" t="inlineStr">
        <is>
          <t>TK-HSX01</t>
        </is>
      </c>
      <c r="D686" s="232" t="inlineStr">
        <is>
          <t xml:space="preserve">   Chỉ số VNX AllShare</t>
        </is>
      </c>
      <c r="F686" s="184" t="inlineStr">
        <is>
          <t>Báo cáo</t>
        </is>
      </c>
      <c r="G686" s="4" t="inlineStr">
        <is>
          <t>Chỉ tiêu cơ sở</t>
        </is>
      </c>
      <c r="H686" s="4" t="inlineStr">
        <is>
          <t>Dễ</t>
        </is>
      </c>
    </row>
    <row r="687" ht="34" customHeight="1" s="380">
      <c r="B687" s="4" t="inlineStr">
        <is>
          <t>TK-HSX01</t>
        </is>
      </c>
      <c r="D687" s="232" t="inlineStr">
        <is>
          <t xml:space="preserve">   Giá trị chứng khoán giao dịch toàn thị trường</t>
        </is>
      </c>
      <c r="F687" s="184" t="inlineStr">
        <is>
          <t>Báo cáo</t>
        </is>
      </c>
      <c r="G687" s="4" t="inlineStr">
        <is>
          <t>Chỉ tiêu phái sinh</t>
        </is>
      </c>
      <c r="H687" s="4" t="inlineStr">
        <is>
          <t>TB</t>
        </is>
      </c>
    </row>
    <row r="688" ht="17" customHeight="1" s="380">
      <c r="B688" s="4" t="inlineStr">
        <is>
          <t>TK-HSX01</t>
        </is>
      </c>
      <c r="D688" s="231" t="inlineStr">
        <is>
          <t>Cổ phiếu</t>
        </is>
      </c>
      <c r="F688" s="184" t="inlineStr">
        <is>
          <t>Báo cáo</t>
        </is>
      </c>
      <c r="G688" s="4" t="inlineStr">
        <is>
          <t>Chỉ tiêu phái sinh</t>
        </is>
      </c>
      <c r="H688" s="4" t="inlineStr">
        <is>
          <t>TB</t>
        </is>
      </c>
    </row>
    <row r="689" ht="17" customHeight="1" s="380">
      <c r="B689" s="4" t="inlineStr">
        <is>
          <t>TK-HSX01</t>
        </is>
      </c>
      <c r="D689" s="231" t="inlineStr">
        <is>
          <t>Trái phiếu</t>
        </is>
      </c>
      <c r="F689" s="184" t="inlineStr">
        <is>
          <t>Báo cáo</t>
        </is>
      </c>
      <c r="G689" s="4" t="inlineStr">
        <is>
          <t>Chỉ tiêu phái sinh</t>
        </is>
      </c>
      <c r="H689" s="4" t="inlineStr">
        <is>
          <t>TB</t>
        </is>
      </c>
    </row>
    <row r="690" ht="17" customHeight="1" s="380">
      <c r="B690" s="4" t="inlineStr">
        <is>
          <t>TK-HSX01</t>
        </is>
      </c>
      <c r="D690" s="231" t="inlineStr">
        <is>
          <t>Chứng chỉ quỹ</t>
        </is>
      </c>
      <c r="F690" s="184" t="inlineStr">
        <is>
          <t>Báo cáo</t>
        </is>
      </c>
      <c r="G690" s="4" t="inlineStr">
        <is>
          <t>Chỉ tiêu phái sinh</t>
        </is>
      </c>
      <c r="H690" s="4" t="inlineStr">
        <is>
          <t>TB</t>
        </is>
      </c>
    </row>
    <row r="691" ht="17" customHeight="1" s="380">
      <c r="B691" s="4" t="inlineStr">
        <is>
          <t>TK-HSX01</t>
        </is>
      </c>
      <c r="D691" s="231" t="inlineStr">
        <is>
          <t>ETF</t>
        </is>
      </c>
      <c r="F691" s="184" t="inlineStr">
        <is>
          <t>Báo cáo</t>
        </is>
      </c>
      <c r="G691" s="4" t="inlineStr">
        <is>
          <t>Chỉ tiêu phái sinh</t>
        </is>
      </c>
      <c r="H691" s="4" t="inlineStr">
        <is>
          <t>TB</t>
        </is>
      </c>
    </row>
    <row r="692" ht="17" customHeight="1" s="380">
      <c r="B692" s="4" t="inlineStr">
        <is>
          <t>TK-HSX01</t>
        </is>
      </c>
      <c r="D692" s="231" t="inlineStr">
        <is>
          <t>Chứng quyền có bảo đảm (CW)</t>
        </is>
      </c>
      <c r="F692" s="184" t="inlineStr">
        <is>
          <t>Báo cáo</t>
        </is>
      </c>
      <c r="G692" s="4" t="inlineStr">
        <is>
          <t>Chỉ tiêu phái sinh</t>
        </is>
      </c>
      <c r="H692" s="4" t="inlineStr">
        <is>
          <t>TB</t>
        </is>
      </c>
    </row>
    <row r="693" ht="34" customHeight="1" s="380">
      <c r="B693" s="4" t="inlineStr">
        <is>
          <t>TK-HSX01</t>
        </is>
      </c>
      <c r="D693" s="232" t="inlineStr">
        <is>
          <t>Khối lượng chứng khoán giao dịch toàn thị trường</t>
        </is>
      </c>
      <c r="F693" s="184" t="inlineStr">
        <is>
          <t>Báo cáo</t>
        </is>
      </c>
      <c r="G693" s="4" t="inlineStr">
        <is>
          <t>Chỉ tiêu phái sinh</t>
        </is>
      </c>
      <c r="H693" s="4" t="inlineStr">
        <is>
          <t>TB</t>
        </is>
      </c>
    </row>
    <row r="694" ht="17" customHeight="1" s="380">
      <c r="B694" s="4" t="inlineStr">
        <is>
          <t>TK-HSX01</t>
        </is>
      </c>
      <c r="D694" s="231" t="inlineStr">
        <is>
          <t>Cổ phiếu</t>
        </is>
      </c>
      <c r="F694" s="184" t="inlineStr">
        <is>
          <t>Báo cáo</t>
        </is>
      </c>
      <c r="G694" s="4" t="inlineStr">
        <is>
          <t>Chỉ tiêu phái sinh</t>
        </is>
      </c>
      <c r="H694" s="4" t="inlineStr">
        <is>
          <t>TB</t>
        </is>
      </c>
    </row>
    <row r="695" ht="17" customHeight="1" s="380">
      <c r="B695" s="4" t="inlineStr">
        <is>
          <t>TK-HSX01</t>
        </is>
      </c>
      <c r="D695" s="231" t="inlineStr">
        <is>
          <t>Trái phiếu</t>
        </is>
      </c>
      <c r="F695" s="184" t="inlineStr">
        <is>
          <t>Báo cáo</t>
        </is>
      </c>
      <c r="G695" s="4" t="inlineStr">
        <is>
          <t>Chỉ tiêu phái sinh</t>
        </is>
      </c>
      <c r="H695" s="4" t="inlineStr">
        <is>
          <t>TB</t>
        </is>
      </c>
    </row>
    <row r="696" ht="17" customHeight="1" s="380">
      <c r="B696" s="4" t="inlineStr">
        <is>
          <t>TK-HSX01</t>
        </is>
      </c>
      <c r="D696" s="231" t="inlineStr">
        <is>
          <t>Chứng chỉ quỹ</t>
        </is>
      </c>
      <c r="F696" s="184" t="inlineStr">
        <is>
          <t>Báo cáo</t>
        </is>
      </c>
      <c r="G696" s="4" t="inlineStr">
        <is>
          <t>Chỉ tiêu phái sinh</t>
        </is>
      </c>
      <c r="H696" s="4" t="inlineStr">
        <is>
          <t>TB</t>
        </is>
      </c>
    </row>
    <row r="697" ht="17" customHeight="1" s="380">
      <c r="B697" s="4" t="inlineStr">
        <is>
          <t>TK-HSX01</t>
        </is>
      </c>
      <c r="D697" s="231" t="inlineStr">
        <is>
          <t>ETF</t>
        </is>
      </c>
      <c r="F697" s="184" t="inlineStr">
        <is>
          <t>Báo cáo</t>
        </is>
      </c>
      <c r="G697" s="4" t="inlineStr">
        <is>
          <t>Chỉ tiêu phái sinh</t>
        </is>
      </c>
      <c r="H697" s="4" t="inlineStr">
        <is>
          <t>TB</t>
        </is>
      </c>
    </row>
    <row r="698" ht="17" customHeight="1" s="380">
      <c r="B698" s="4" t="inlineStr">
        <is>
          <t>TK-HSX01</t>
        </is>
      </c>
      <c r="D698" s="231" t="inlineStr">
        <is>
          <t>CW</t>
        </is>
      </c>
      <c r="F698" s="184" t="inlineStr">
        <is>
          <t>Báo cáo</t>
        </is>
      </c>
      <c r="G698" s="4" t="inlineStr">
        <is>
          <t>Chỉ tiêu phái sinh</t>
        </is>
      </c>
      <c r="H698" s="4" t="inlineStr">
        <is>
          <t>TB</t>
        </is>
      </c>
    </row>
    <row r="699" ht="34" customHeight="1" s="380">
      <c r="B699" s="4" t="inlineStr">
        <is>
          <t>TK-HSX01</t>
        </is>
      </c>
      <c r="D699" s="232" t="inlineStr">
        <is>
          <t xml:space="preserve">Tổng giá trị vốn hóa thị trường cổ phiếu </t>
        </is>
      </c>
      <c r="E699" s="4" t="inlineStr">
        <is>
          <t>Giá trị vốn hóa CP</t>
        </is>
      </c>
      <c r="F699" s="184" t="inlineStr">
        <is>
          <t>Báo cáo</t>
        </is>
      </c>
    </row>
    <row r="700" ht="17" customHeight="1" s="380">
      <c r="B700" s="4" t="inlineStr">
        <is>
          <t>TK-HSX01</t>
        </is>
      </c>
      <c r="D700" s="250" t="inlineStr">
        <is>
          <t xml:space="preserve"> Cổ phiếu niêm yết</t>
        </is>
      </c>
      <c r="F700" s="184" t="inlineStr">
        <is>
          <t>Báo cáo</t>
        </is>
      </c>
      <c r="G700" s="4" t="inlineStr">
        <is>
          <t>Chỉ tiêu phái sinh</t>
        </is>
      </c>
      <c r="H700" s="4" t="inlineStr">
        <is>
          <t>TB</t>
        </is>
      </c>
    </row>
    <row r="701" ht="17" customHeight="1" s="380">
      <c r="B701" s="4" t="inlineStr">
        <is>
          <t>TK-HSX01</t>
        </is>
      </c>
      <c r="D701" s="197" t="inlineStr">
        <is>
          <t xml:space="preserve">Giá cổ phiếu </t>
        </is>
      </c>
      <c r="E701" s="4" t="n"/>
      <c r="F701" s="184" t="inlineStr">
        <is>
          <t>Báo cáo</t>
        </is>
      </c>
      <c r="G701" s="4" t="inlineStr">
        <is>
          <t>Chỉ tiêu cơ sở</t>
        </is>
      </c>
      <c r="H701" s="4" t="inlineStr">
        <is>
          <t>Dễ</t>
        </is>
      </c>
    </row>
    <row r="702" ht="17" customHeight="1" s="380">
      <c r="B702" s="4" t="inlineStr">
        <is>
          <t>TK-HSX01</t>
        </is>
      </c>
      <c r="D702" s="197" t="inlineStr">
        <is>
          <t>Số cổ phiếu lưu hành</t>
        </is>
      </c>
      <c r="E702" s="4" t="n"/>
      <c r="F702" s="184" t="inlineStr">
        <is>
          <t>Báo cáo</t>
        </is>
      </c>
      <c r="G702" s="4" t="inlineStr">
        <is>
          <t>Chỉ tiêu phái sinh</t>
        </is>
      </c>
      <c r="H702" s="4" t="inlineStr">
        <is>
          <t>TB</t>
        </is>
      </c>
    </row>
    <row r="703" ht="34" customHeight="1" s="380">
      <c r="B703" s="4" t="inlineStr">
        <is>
          <t>TK-HSX01</t>
        </is>
      </c>
      <c r="D703" s="250" t="inlineStr">
        <is>
          <t>Vốn hóa thị trường theo phân ngành (theo chuẩn phân ngành GICS)</t>
        </is>
      </c>
      <c r="E703" s="4" t="inlineStr">
        <is>
          <t>Vốn hóa theo ngành</t>
        </is>
      </c>
      <c r="F703" s="184" t="inlineStr">
        <is>
          <t>Báo cáo</t>
        </is>
      </c>
    </row>
    <row r="704" ht="17" customHeight="1" s="380">
      <c r="B704" s="4" t="inlineStr">
        <is>
          <t>TK-HSX01</t>
        </is>
      </c>
      <c r="D704" s="251" t="inlineStr">
        <is>
          <t>Năng lượng</t>
        </is>
      </c>
      <c r="F704" s="184" t="inlineStr">
        <is>
          <t>Báo cáo</t>
        </is>
      </c>
      <c r="G704" s="4" t="inlineStr">
        <is>
          <t>Chiều</t>
        </is>
      </c>
      <c r="H704" s="4" t="inlineStr">
        <is>
          <t>TB</t>
        </is>
      </c>
    </row>
    <row r="705" ht="17" customHeight="1" s="380">
      <c r="B705" s="4" t="inlineStr">
        <is>
          <t>TK-HSX01</t>
        </is>
      </c>
      <c r="D705" s="251" t="inlineStr">
        <is>
          <t>Nguyên vật liệu</t>
        </is>
      </c>
      <c r="F705" s="184" t="inlineStr">
        <is>
          <t>Báo cáo</t>
        </is>
      </c>
      <c r="G705" s="4" t="inlineStr">
        <is>
          <t>Chiều</t>
        </is>
      </c>
      <c r="H705" s="4" t="inlineStr">
        <is>
          <t>TB</t>
        </is>
      </c>
    </row>
    <row r="706" ht="17" customHeight="1" s="380">
      <c r="B706" s="4" t="inlineStr">
        <is>
          <t>TK-HSX01</t>
        </is>
      </c>
      <c r="D706" s="251" t="inlineStr">
        <is>
          <t>Công nghiệp</t>
        </is>
      </c>
      <c r="F706" s="184" t="inlineStr">
        <is>
          <t>Báo cáo</t>
        </is>
      </c>
      <c r="G706" s="4" t="inlineStr">
        <is>
          <t>Chiều</t>
        </is>
      </c>
      <c r="H706" s="4" t="inlineStr">
        <is>
          <t>TB</t>
        </is>
      </c>
    </row>
    <row r="707" ht="17" customHeight="1" s="380">
      <c r="B707" s="4" t="inlineStr">
        <is>
          <t>TK-HSX01</t>
        </is>
      </c>
      <c r="D707" s="251" t="inlineStr">
        <is>
          <t>Hàng tiêu dùng không thiết yếu</t>
        </is>
      </c>
      <c r="F707" s="184" t="inlineStr">
        <is>
          <t>Báo cáo</t>
        </is>
      </c>
      <c r="G707" s="4" t="inlineStr">
        <is>
          <t>Chiều</t>
        </is>
      </c>
      <c r="H707" s="4" t="inlineStr">
        <is>
          <t>TB</t>
        </is>
      </c>
    </row>
    <row r="708" ht="17" customHeight="1" s="380">
      <c r="B708" s="4" t="inlineStr">
        <is>
          <t>TK-HSX01</t>
        </is>
      </c>
      <c r="D708" s="251" t="inlineStr">
        <is>
          <t>Hàng tiêu dùng thiết yếu</t>
        </is>
      </c>
      <c r="F708" s="184" t="inlineStr">
        <is>
          <t>Báo cáo</t>
        </is>
      </c>
      <c r="G708" s="4" t="inlineStr">
        <is>
          <t>Chiều</t>
        </is>
      </c>
      <c r="H708" s="4" t="inlineStr">
        <is>
          <t>TB</t>
        </is>
      </c>
    </row>
    <row r="709" ht="17" customHeight="1" s="380">
      <c r="B709" s="4" t="inlineStr">
        <is>
          <t>TK-HSX01</t>
        </is>
      </c>
      <c r="D709" s="251" t="inlineStr">
        <is>
          <t>Chăm sóc sức khỏe</t>
        </is>
      </c>
      <c r="F709" s="184" t="inlineStr">
        <is>
          <t>Báo cáo</t>
        </is>
      </c>
      <c r="G709" s="4" t="inlineStr">
        <is>
          <t>Chiều</t>
        </is>
      </c>
      <c r="H709" s="4" t="inlineStr">
        <is>
          <t>TB</t>
        </is>
      </c>
    </row>
    <row r="710" ht="17" customHeight="1" s="380">
      <c r="B710" s="4" t="inlineStr">
        <is>
          <t>TK-HSX01</t>
        </is>
      </c>
      <c r="D710" s="251" t="inlineStr">
        <is>
          <t>Tài chính</t>
        </is>
      </c>
      <c r="F710" s="184" t="inlineStr">
        <is>
          <t>Báo cáo</t>
        </is>
      </c>
      <c r="G710" s="4" t="inlineStr">
        <is>
          <t>Chiều</t>
        </is>
      </c>
      <c r="H710" s="4" t="inlineStr">
        <is>
          <t>TB</t>
        </is>
      </c>
    </row>
    <row r="711" ht="17" customHeight="1" s="380">
      <c r="B711" s="4" t="inlineStr">
        <is>
          <t>TK-HSX01</t>
        </is>
      </c>
      <c r="D711" s="251" t="inlineStr">
        <is>
          <t>Công nghệ thông tin</t>
        </is>
      </c>
      <c r="F711" s="184" t="inlineStr">
        <is>
          <t>Báo cáo</t>
        </is>
      </c>
      <c r="G711" s="4" t="inlineStr">
        <is>
          <t>Chiều</t>
        </is>
      </c>
      <c r="H711" s="4" t="inlineStr">
        <is>
          <t>TB</t>
        </is>
      </c>
    </row>
    <row r="712" ht="17" customHeight="1" s="380">
      <c r="B712" s="4" t="inlineStr">
        <is>
          <t>TK-HSX01</t>
        </is>
      </c>
      <c r="D712" s="251" t="inlineStr">
        <is>
          <t>Dịch vụ viễn thông</t>
        </is>
      </c>
      <c r="F712" s="184" t="inlineStr">
        <is>
          <t>Báo cáo</t>
        </is>
      </c>
      <c r="G712" s="4" t="inlineStr">
        <is>
          <t>Chiều</t>
        </is>
      </c>
      <c r="H712" s="4" t="inlineStr">
        <is>
          <t>TB</t>
        </is>
      </c>
    </row>
    <row r="713" ht="17" customHeight="1" s="380">
      <c r="B713" s="4" t="inlineStr">
        <is>
          <t>TK-HSX01</t>
        </is>
      </c>
      <c r="D713" s="251" t="inlineStr">
        <is>
          <t>Dịch vụ tiện ích</t>
        </is>
      </c>
      <c r="F713" s="184" t="inlineStr">
        <is>
          <t>Báo cáo</t>
        </is>
      </c>
      <c r="G713" s="4" t="inlineStr">
        <is>
          <t>Chiều</t>
        </is>
      </c>
      <c r="H713" s="4" t="inlineStr">
        <is>
          <t>TB</t>
        </is>
      </c>
    </row>
    <row r="714" ht="17" customHeight="1" s="380">
      <c r="B714" s="4" t="inlineStr">
        <is>
          <t>TK-HSX01</t>
        </is>
      </c>
      <c r="D714" s="232" t="inlineStr">
        <is>
          <t xml:space="preserve">   Giao dịch khớp lệnh</t>
        </is>
      </c>
      <c r="F714" s="184" t="inlineStr">
        <is>
          <t>Báo cáo</t>
        </is>
      </c>
    </row>
    <row r="715" ht="17" customHeight="1" s="380">
      <c r="B715" s="4" t="inlineStr">
        <is>
          <t>TK-HSX01</t>
        </is>
      </c>
      <c r="D715" s="250" t="inlineStr">
        <is>
          <t xml:space="preserve">   Khối lượng giao dịch</t>
        </is>
      </c>
      <c r="F715" s="184" t="inlineStr">
        <is>
          <t>Báo cáo</t>
        </is>
      </c>
      <c r="G715" s="4" t="inlineStr">
        <is>
          <t>Chỉ tiêu phái sinh</t>
        </is>
      </c>
      <c r="H715" s="4" t="inlineStr">
        <is>
          <t>TB</t>
        </is>
      </c>
    </row>
    <row r="716" ht="17" customHeight="1" s="380">
      <c r="B716" s="4" t="inlineStr">
        <is>
          <t>TK-HSX01</t>
        </is>
      </c>
      <c r="D716" s="231" t="inlineStr">
        <is>
          <t>Cổ phiếu</t>
        </is>
      </c>
      <c r="E716" s="4" t="inlineStr">
        <is>
          <t>GD khớp lệnh</t>
        </is>
      </c>
      <c r="F716" s="184" t="inlineStr">
        <is>
          <t>Báo cáo</t>
        </is>
      </c>
      <c r="G716" s="4" t="inlineStr">
        <is>
          <t>Chỉ tiêu phái sinh</t>
        </is>
      </c>
      <c r="H716" s="4" t="inlineStr">
        <is>
          <t>TB</t>
        </is>
      </c>
    </row>
    <row r="717" ht="17" customHeight="1" s="380">
      <c r="B717" s="4" t="inlineStr">
        <is>
          <t>TK-HSX01</t>
        </is>
      </c>
      <c r="D717" s="231" t="inlineStr">
        <is>
          <t>Trái phiếu</t>
        </is>
      </c>
      <c r="F717" s="184" t="inlineStr">
        <is>
          <t>Báo cáo</t>
        </is>
      </c>
      <c r="G717" s="4" t="inlineStr">
        <is>
          <t>Chỉ tiêu phái sinh</t>
        </is>
      </c>
      <c r="H717" s="4" t="inlineStr">
        <is>
          <t>TB</t>
        </is>
      </c>
    </row>
    <row r="718" ht="17" customHeight="1" s="380">
      <c r="B718" s="4" t="inlineStr">
        <is>
          <t>TK-HSX01</t>
        </is>
      </c>
      <c r="D718" s="231" t="inlineStr">
        <is>
          <t>Chứng chỉ quỹ đầu tư</t>
        </is>
      </c>
      <c r="F718" s="184" t="inlineStr">
        <is>
          <t>Báo cáo</t>
        </is>
      </c>
      <c r="G718" s="4" t="inlineStr">
        <is>
          <t>Chỉ tiêu phái sinh</t>
        </is>
      </c>
      <c r="H718" s="4" t="inlineStr">
        <is>
          <t>TB</t>
        </is>
      </c>
    </row>
    <row r="719" ht="17" customHeight="1" s="380">
      <c r="B719" s="4" t="inlineStr">
        <is>
          <t>TK-HSX01</t>
        </is>
      </c>
      <c r="D719" s="231" t="inlineStr">
        <is>
          <t>ETF</t>
        </is>
      </c>
      <c r="F719" s="184" t="inlineStr">
        <is>
          <t>Báo cáo</t>
        </is>
      </c>
      <c r="G719" s="4" t="inlineStr">
        <is>
          <t>Chỉ tiêu phái sinh</t>
        </is>
      </c>
      <c r="H719" s="4" t="inlineStr">
        <is>
          <t>TB</t>
        </is>
      </c>
    </row>
    <row r="720" ht="17" customHeight="1" s="380">
      <c r="B720" s="4" t="inlineStr">
        <is>
          <t>TK-HSX01</t>
        </is>
      </c>
      <c r="D720" s="231" t="inlineStr">
        <is>
          <t>CW</t>
        </is>
      </c>
      <c r="F720" s="184" t="inlineStr">
        <is>
          <t>Báo cáo</t>
        </is>
      </c>
      <c r="G720" s="4" t="inlineStr">
        <is>
          <t>Chỉ tiêu phái sinh</t>
        </is>
      </c>
      <c r="H720" s="4" t="inlineStr">
        <is>
          <t>TB</t>
        </is>
      </c>
    </row>
    <row r="721" ht="17" customHeight="1" s="380">
      <c r="B721" s="4" t="inlineStr">
        <is>
          <t>TK-HSX01</t>
        </is>
      </c>
      <c r="D721" s="250" t="inlineStr">
        <is>
          <t xml:space="preserve">   Giá trị giao dịch </t>
        </is>
      </c>
      <c r="F721" s="184" t="inlineStr">
        <is>
          <t>Báo cáo</t>
        </is>
      </c>
    </row>
    <row r="722" ht="17" customHeight="1" s="380">
      <c r="B722" s="4" t="inlineStr">
        <is>
          <t>TK-HSX01</t>
        </is>
      </c>
      <c r="D722" s="231" t="inlineStr">
        <is>
          <t>Cổ phiếu</t>
        </is>
      </c>
      <c r="F722" s="184" t="inlineStr">
        <is>
          <t>Báo cáo</t>
        </is>
      </c>
      <c r="G722" s="4" t="inlineStr">
        <is>
          <t>Chỉ tiêu phái sinh</t>
        </is>
      </c>
      <c r="H722" s="4" t="inlineStr">
        <is>
          <t>TB</t>
        </is>
      </c>
    </row>
    <row r="723" ht="17" customHeight="1" s="380">
      <c r="B723" s="4" t="inlineStr">
        <is>
          <t>TK-HSX01</t>
        </is>
      </c>
      <c r="D723" s="252" t="inlineStr">
        <is>
          <t>Khối lượng</t>
        </is>
      </c>
      <c r="F723" s="184" t="inlineStr">
        <is>
          <t>Báo cáo</t>
        </is>
      </c>
      <c r="G723" s="4" t="inlineStr">
        <is>
          <t>Chỉ tiêu phái sinh</t>
        </is>
      </c>
      <c r="H723" s="4" t="inlineStr">
        <is>
          <t>Trùng</t>
        </is>
      </c>
    </row>
    <row r="724" ht="17" customHeight="1" s="380">
      <c r="B724" s="4" t="inlineStr">
        <is>
          <t>TK-HSX01</t>
        </is>
      </c>
      <c r="D724" s="252" t="inlineStr">
        <is>
          <t>Giá</t>
        </is>
      </c>
      <c r="F724" s="184" t="inlineStr">
        <is>
          <t>Báo cáo</t>
        </is>
      </c>
      <c r="G724" s="4" t="inlineStr">
        <is>
          <t>Chỉ tiêu cơ sở</t>
        </is>
      </c>
      <c r="H724" s="4" t="inlineStr">
        <is>
          <t>Dễ</t>
        </is>
      </c>
    </row>
    <row r="725" ht="17" customHeight="1" s="380">
      <c r="B725" s="4" t="inlineStr">
        <is>
          <t>TK-HSX01</t>
        </is>
      </c>
      <c r="D725" s="231" t="inlineStr">
        <is>
          <t>Trái phiếu</t>
        </is>
      </c>
      <c r="F725" s="184" t="inlineStr">
        <is>
          <t>Báo cáo</t>
        </is>
      </c>
      <c r="G725" s="4" t="inlineStr">
        <is>
          <t>Chỉ tiêu phái sinh</t>
        </is>
      </c>
      <c r="H725" s="4" t="inlineStr">
        <is>
          <t>TB</t>
        </is>
      </c>
    </row>
    <row r="726" ht="17" customHeight="1" s="380">
      <c r="B726" s="4" t="inlineStr">
        <is>
          <t>TK-HSX01</t>
        </is>
      </c>
      <c r="D726" s="252" t="inlineStr">
        <is>
          <t>Khối lượng</t>
        </is>
      </c>
      <c r="F726" s="184" t="inlineStr">
        <is>
          <t>Báo cáo</t>
        </is>
      </c>
      <c r="G726" s="4" t="inlineStr">
        <is>
          <t>Chỉ tiêu phái sinh</t>
        </is>
      </c>
      <c r="H726" s="4" t="inlineStr">
        <is>
          <t>Trùng</t>
        </is>
      </c>
    </row>
    <row r="727" ht="17" customHeight="1" s="380">
      <c r="B727" s="4" t="inlineStr">
        <is>
          <t>TK-HSX01</t>
        </is>
      </c>
      <c r="D727" s="252" t="inlineStr">
        <is>
          <t>Giá</t>
        </is>
      </c>
      <c r="F727" s="184" t="inlineStr">
        <is>
          <t>Báo cáo</t>
        </is>
      </c>
      <c r="G727" s="4" t="inlineStr">
        <is>
          <t>Chỉ tiêu cơ sở</t>
        </is>
      </c>
      <c r="H727" s="4" t="inlineStr">
        <is>
          <t>Dễ</t>
        </is>
      </c>
    </row>
    <row r="728" ht="17" customHeight="1" s="380">
      <c r="B728" s="4" t="inlineStr">
        <is>
          <t>TK-HSX01</t>
        </is>
      </c>
      <c r="D728" s="231" t="inlineStr">
        <is>
          <t>Chứng chỉ quỹ đầu tư</t>
        </is>
      </c>
      <c r="F728" s="184" t="inlineStr">
        <is>
          <t>Báo cáo</t>
        </is>
      </c>
      <c r="G728" s="4" t="inlineStr">
        <is>
          <t>Chỉ tiêu phái sinh</t>
        </is>
      </c>
      <c r="H728" s="4" t="inlineStr">
        <is>
          <t>TB</t>
        </is>
      </c>
    </row>
    <row r="729" ht="17" customHeight="1" s="380">
      <c r="B729" s="4" t="inlineStr">
        <is>
          <t>TK-HSX01</t>
        </is>
      </c>
      <c r="D729" s="252" t="inlineStr">
        <is>
          <t>Khối lượng</t>
        </is>
      </c>
      <c r="F729" s="184" t="inlineStr">
        <is>
          <t>Báo cáo</t>
        </is>
      </c>
      <c r="G729" s="4" t="inlineStr">
        <is>
          <t>Chỉ tiêu phái sinh</t>
        </is>
      </c>
      <c r="H729" s="4" t="inlineStr">
        <is>
          <t>Dễ</t>
        </is>
      </c>
    </row>
    <row r="730" ht="17" customHeight="1" s="380">
      <c r="B730" s="4" t="inlineStr">
        <is>
          <t>TK-HSX01</t>
        </is>
      </c>
      <c r="D730" s="252" t="inlineStr">
        <is>
          <t>Giá</t>
        </is>
      </c>
      <c r="F730" s="184" t="inlineStr">
        <is>
          <t>Báo cáo</t>
        </is>
      </c>
      <c r="G730" s="4" t="inlineStr">
        <is>
          <t>Chỉ tiêu cơ sở</t>
        </is>
      </c>
      <c r="H730" s="4" t="inlineStr">
        <is>
          <t>Dễ</t>
        </is>
      </c>
    </row>
    <row r="731" ht="17" customHeight="1" s="380">
      <c r="B731" s="4" t="inlineStr">
        <is>
          <t>TK-HSX01</t>
        </is>
      </c>
      <c r="D731" s="231" t="inlineStr">
        <is>
          <t>ETF</t>
        </is>
      </c>
      <c r="F731" s="184" t="inlineStr">
        <is>
          <t>Báo cáo</t>
        </is>
      </c>
      <c r="G731" s="4" t="inlineStr">
        <is>
          <t>Chỉ tiêu phái sinh</t>
        </is>
      </c>
      <c r="H731" s="4" t="inlineStr">
        <is>
          <t>TB</t>
        </is>
      </c>
    </row>
    <row r="732" ht="17" customHeight="1" s="380">
      <c r="B732" s="4" t="inlineStr">
        <is>
          <t>TK-HSX01</t>
        </is>
      </c>
      <c r="D732" s="252" t="inlineStr">
        <is>
          <t>Khối lượng</t>
        </is>
      </c>
      <c r="F732" s="184" t="inlineStr">
        <is>
          <t>Báo cáo</t>
        </is>
      </c>
      <c r="G732" s="4" t="inlineStr">
        <is>
          <t>Chỉ tiêu phái sinh</t>
        </is>
      </c>
      <c r="H732" s="4" t="inlineStr">
        <is>
          <t>Trùng</t>
        </is>
      </c>
    </row>
    <row r="733" ht="17" customHeight="1" s="380">
      <c r="B733" s="4" t="inlineStr">
        <is>
          <t>TK-HSX01</t>
        </is>
      </c>
      <c r="D733" s="252" t="inlineStr">
        <is>
          <t>Giá</t>
        </is>
      </c>
      <c r="F733" s="184" t="inlineStr">
        <is>
          <t>Báo cáo</t>
        </is>
      </c>
      <c r="G733" s="4" t="inlineStr">
        <is>
          <t>Chỉ tiêu cơ sở</t>
        </is>
      </c>
      <c r="H733" s="4" t="inlineStr">
        <is>
          <t>Dễ</t>
        </is>
      </c>
    </row>
    <row r="734" ht="17" customHeight="1" s="380">
      <c r="B734" s="4" t="inlineStr">
        <is>
          <t>TK-HSX01</t>
        </is>
      </c>
      <c r="D734" s="231" t="inlineStr">
        <is>
          <t>CW</t>
        </is>
      </c>
      <c r="F734" s="184" t="inlineStr">
        <is>
          <t>Báo cáo</t>
        </is>
      </c>
      <c r="G734" s="4" t="inlineStr">
        <is>
          <t>Chỉ tiêu phái sinh</t>
        </is>
      </c>
      <c r="H734" s="4" t="inlineStr">
        <is>
          <t>TB</t>
        </is>
      </c>
    </row>
    <row r="735" ht="17" customHeight="1" s="380">
      <c r="B735" s="4" t="inlineStr">
        <is>
          <t>TK-HSX01</t>
        </is>
      </c>
      <c r="D735" s="252" t="inlineStr">
        <is>
          <t>Khối lượng</t>
        </is>
      </c>
      <c r="F735" s="184" t="inlineStr">
        <is>
          <t>Báo cáo</t>
        </is>
      </c>
      <c r="G735" s="4" t="inlineStr">
        <is>
          <t>Chỉ tiêu phái sinh</t>
        </is>
      </c>
      <c r="H735" s="4" t="inlineStr">
        <is>
          <t>Trùng</t>
        </is>
      </c>
    </row>
    <row r="736" ht="17" customHeight="1" s="380">
      <c r="B736" s="4" t="inlineStr">
        <is>
          <t>TK-HSX01</t>
        </is>
      </c>
      <c r="D736" s="252" t="inlineStr">
        <is>
          <t>Giá</t>
        </is>
      </c>
      <c r="F736" s="184" t="inlineStr">
        <is>
          <t>Báo cáo</t>
        </is>
      </c>
      <c r="G736" s="4" t="inlineStr">
        <is>
          <t>Chỉ tiêu cơ sở</t>
        </is>
      </c>
      <c r="H736" s="4" t="inlineStr">
        <is>
          <t>Dễ</t>
        </is>
      </c>
    </row>
    <row r="737" ht="17" customHeight="1" s="380">
      <c r="B737" s="4" t="inlineStr">
        <is>
          <t>TK-HSX01</t>
        </is>
      </c>
      <c r="D737" s="232" t="inlineStr">
        <is>
          <t xml:space="preserve">   Giao dịch thỏa thuận</t>
        </is>
      </c>
      <c r="F737" s="184" t="inlineStr">
        <is>
          <t>Báo cáo</t>
        </is>
      </c>
    </row>
    <row r="738" ht="17" customHeight="1" s="380">
      <c r="B738" s="4" t="inlineStr">
        <is>
          <t>TK-HSX01</t>
        </is>
      </c>
      <c r="D738" s="250" t="inlineStr">
        <is>
          <t xml:space="preserve">   Khối lượng giao dịch</t>
        </is>
      </c>
      <c r="F738" s="184" t="inlineStr">
        <is>
          <t>Báo cáo</t>
        </is>
      </c>
    </row>
    <row r="739" ht="17" customHeight="1" s="380">
      <c r="B739" s="4" t="inlineStr">
        <is>
          <t>TK-HSX01</t>
        </is>
      </c>
      <c r="D739" s="231" t="inlineStr">
        <is>
          <t>Cổ phiếu</t>
        </is>
      </c>
      <c r="F739" s="184" t="inlineStr">
        <is>
          <t>Báo cáo</t>
        </is>
      </c>
      <c r="G739" s="4" t="inlineStr">
        <is>
          <t>Chỉ tiêu phái sinh</t>
        </is>
      </c>
      <c r="H739" s="4" t="inlineStr">
        <is>
          <t>TB</t>
        </is>
      </c>
    </row>
    <row r="740" ht="17" customHeight="1" s="380">
      <c r="B740" s="4" t="inlineStr">
        <is>
          <t>TK-HSX01</t>
        </is>
      </c>
      <c r="D740" s="231" t="inlineStr">
        <is>
          <t>Trái phiếu</t>
        </is>
      </c>
      <c r="F740" s="184" t="inlineStr">
        <is>
          <t>Báo cáo</t>
        </is>
      </c>
      <c r="G740" s="4" t="inlineStr">
        <is>
          <t>Chỉ tiêu phái sinh</t>
        </is>
      </c>
      <c r="H740" s="4" t="inlineStr">
        <is>
          <t>TB</t>
        </is>
      </c>
    </row>
    <row r="741" ht="17" customHeight="1" s="380">
      <c r="B741" s="4" t="inlineStr">
        <is>
          <t>TK-HSX01</t>
        </is>
      </c>
      <c r="D741" s="231" t="inlineStr">
        <is>
          <t>Chứng chỉ quỹ đầu tư</t>
        </is>
      </c>
      <c r="F741" s="184" t="inlineStr">
        <is>
          <t>Báo cáo</t>
        </is>
      </c>
      <c r="G741" s="4" t="inlineStr">
        <is>
          <t>Chỉ tiêu phái sinh</t>
        </is>
      </c>
      <c r="H741" s="4" t="inlineStr">
        <is>
          <t>TB</t>
        </is>
      </c>
    </row>
    <row r="742" ht="17" customHeight="1" s="380">
      <c r="B742" s="4" t="inlineStr">
        <is>
          <t>TK-HSX01</t>
        </is>
      </c>
      <c r="D742" s="231" t="inlineStr">
        <is>
          <t>ETF</t>
        </is>
      </c>
      <c r="F742" s="184" t="inlineStr">
        <is>
          <t>Báo cáo</t>
        </is>
      </c>
      <c r="G742" s="4" t="inlineStr">
        <is>
          <t>Chỉ tiêu phái sinh</t>
        </is>
      </c>
      <c r="H742" s="4" t="inlineStr">
        <is>
          <t>TB</t>
        </is>
      </c>
    </row>
    <row r="743" ht="17" customHeight="1" s="380">
      <c r="B743" s="4" t="inlineStr">
        <is>
          <t>TK-HSX01</t>
        </is>
      </c>
      <c r="D743" s="231" t="inlineStr">
        <is>
          <t>CW</t>
        </is>
      </c>
      <c r="F743" s="184" t="inlineStr">
        <is>
          <t>Báo cáo</t>
        </is>
      </c>
      <c r="G743" s="4" t="inlineStr">
        <is>
          <t>Chỉ tiêu phái sinh</t>
        </is>
      </c>
      <c r="H743" s="4" t="inlineStr">
        <is>
          <t>TB</t>
        </is>
      </c>
    </row>
    <row r="744" ht="17" customHeight="1" s="380">
      <c r="B744" s="4" t="inlineStr">
        <is>
          <t>TK-HSX01</t>
        </is>
      </c>
      <c r="D744" s="250" t="inlineStr">
        <is>
          <t xml:space="preserve">   Giá trị giao dịch</t>
        </is>
      </c>
      <c r="F744" s="184" t="inlineStr">
        <is>
          <t>Báo cáo</t>
        </is>
      </c>
    </row>
    <row r="745" ht="17" customHeight="1" s="380">
      <c r="B745" s="4" t="inlineStr">
        <is>
          <t>TK-HSX01</t>
        </is>
      </c>
      <c r="D745" s="231" t="inlineStr">
        <is>
          <t>Cổ phiếu</t>
        </is>
      </c>
      <c r="F745" s="184" t="inlineStr">
        <is>
          <t>Báo cáo</t>
        </is>
      </c>
      <c r="G745" s="4" t="inlineStr">
        <is>
          <t>Chỉ tiêu phái sinh</t>
        </is>
      </c>
      <c r="H745" s="4" t="inlineStr">
        <is>
          <t>TB</t>
        </is>
      </c>
    </row>
    <row r="746" ht="17" customHeight="1" s="380">
      <c r="B746" s="4" t="inlineStr">
        <is>
          <t>TK-HSX01</t>
        </is>
      </c>
      <c r="D746" s="252" t="inlineStr">
        <is>
          <t>Khối lượng</t>
        </is>
      </c>
      <c r="F746" s="184" t="inlineStr">
        <is>
          <t>Báo cáo</t>
        </is>
      </c>
      <c r="G746" s="4" t="inlineStr">
        <is>
          <t>Chỉ tiêu phái sinh</t>
        </is>
      </c>
      <c r="H746" s="4" t="inlineStr">
        <is>
          <t>Trùng</t>
        </is>
      </c>
    </row>
    <row r="747" ht="17" customHeight="1" s="380">
      <c r="B747" s="4" t="inlineStr">
        <is>
          <t>TK-HSX01</t>
        </is>
      </c>
      <c r="D747" s="252" t="inlineStr">
        <is>
          <t>Giá</t>
        </is>
      </c>
      <c r="F747" s="184" t="inlineStr">
        <is>
          <t>Báo cáo</t>
        </is>
      </c>
      <c r="G747" s="4" t="inlineStr">
        <is>
          <t>Chỉ tiêu cơ sở</t>
        </is>
      </c>
      <c r="H747" s="4" t="inlineStr">
        <is>
          <t>Dễ</t>
        </is>
      </c>
    </row>
    <row r="748" ht="17" customHeight="1" s="380">
      <c r="B748" s="4" t="inlineStr">
        <is>
          <t>TK-HSX01</t>
        </is>
      </c>
      <c r="D748" s="231" t="inlineStr">
        <is>
          <t>Trái phiếu</t>
        </is>
      </c>
      <c r="F748" s="184" t="inlineStr">
        <is>
          <t>Báo cáo</t>
        </is>
      </c>
      <c r="G748" s="4" t="inlineStr">
        <is>
          <t>Chỉ tiêu phái sinh</t>
        </is>
      </c>
      <c r="H748" s="4" t="inlineStr">
        <is>
          <t>TB</t>
        </is>
      </c>
    </row>
    <row r="749" ht="17" customHeight="1" s="380">
      <c r="B749" s="4" t="inlineStr">
        <is>
          <t>TK-HSX01</t>
        </is>
      </c>
      <c r="D749" s="252" t="inlineStr">
        <is>
          <t>Khối lượng</t>
        </is>
      </c>
      <c r="F749" s="184" t="inlineStr">
        <is>
          <t>Báo cáo</t>
        </is>
      </c>
      <c r="G749" s="4" t="inlineStr">
        <is>
          <t>Chỉ tiêu phái sinh</t>
        </is>
      </c>
      <c r="H749" s="4" t="inlineStr">
        <is>
          <t>Trùng</t>
        </is>
      </c>
    </row>
    <row r="750" ht="17" customHeight="1" s="380">
      <c r="B750" s="4" t="inlineStr">
        <is>
          <t>TK-HSX01</t>
        </is>
      </c>
      <c r="D750" s="252" t="inlineStr">
        <is>
          <t>Giá</t>
        </is>
      </c>
      <c r="F750" s="184" t="inlineStr">
        <is>
          <t>Báo cáo</t>
        </is>
      </c>
      <c r="G750" s="4" t="inlineStr">
        <is>
          <t>Chỉ tiêu cơ sở</t>
        </is>
      </c>
      <c r="H750" s="4" t="inlineStr">
        <is>
          <t>Dễ</t>
        </is>
      </c>
    </row>
    <row r="751" ht="17" customHeight="1" s="380">
      <c r="B751" s="4" t="inlineStr">
        <is>
          <t>TK-HSX01</t>
        </is>
      </c>
      <c r="D751" s="231" t="inlineStr">
        <is>
          <t>Chứng chỉ quỹ đầu tư</t>
        </is>
      </c>
      <c r="F751" s="184" t="inlineStr">
        <is>
          <t>Báo cáo</t>
        </is>
      </c>
      <c r="G751" s="4" t="inlineStr">
        <is>
          <t>Chỉ tiêu phái sinh</t>
        </is>
      </c>
      <c r="H751" s="4" t="inlineStr">
        <is>
          <t>TB</t>
        </is>
      </c>
    </row>
    <row r="752" ht="17" customHeight="1" s="380">
      <c r="B752" s="4" t="inlineStr">
        <is>
          <t>TK-HSX01</t>
        </is>
      </c>
      <c r="D752" s="252" t="inlineStr">
        <is>
          <t>Khối lượng</t>
        </is>
      </c>
      <c r="F752" s="184" t="inlineStr">
        <is>
          <t>Báo cáo</t>
        </is>
      </c>
      <c r="G752" s="4" t="inlineStr">
        <is>
          <t>Chỉ tiêu phái sinh</t>
        </is>
      </c>
      <c r="H752" s="4" t="inlineStr">
        <is>
          <t>Dễ</t>
        </is>
      </c>
    </row>
    <row r="753" ht="17" customHeight="1" s="380">
      <c r="B753" s="4" t="inlineStr">
        <is>
          <t>TK-HSX01</t>
        </is>
      </c>
      <c r="D753" s="252" t="inlineStr">
        <is>
          <t>Giá</t>
        </is>
      </c>
      <c r="F753" s="184" t="inlineStr">
        <is>
          <t>Báo cáo</t>
        </is>
      </c>
      <c r="G753" s="4" t="inlineStr">
        <is>
          <t>Chỉ tiêu cơ sở</t>
        </is>
      </c>
      <c r="H753" s="4" t="inlineStr">
        <is>
          <t>Dễ</t>
        </is>
      </c>
    </row>
    <row r="754" ht="17" customHeight="1" s="380">
      <c r="B754" s="4" t="inlineStr">
        <is>
          <t>TK-HSX01</t>
        </is>
      </c>
      <c r="D754" s="231" t="inlineStr">
        <is>
          <t>ETF</t>
        </is>
      </c>
      <c r="F754" s="184" t="inlineStr">
        <is>
          <t>Báo cáo</t>
        </is>
      </c>
      <c r="G754" s="4" t="inlineStr">
        <is>
          <t>Chỉ tiêu phái sinh</t>
        </is>
      </c>
      <c r="H754" s="4" t="inlineStr">
        <is>
          <t>TB</t>
        </is>
      </c>
    </row>
    <row r="755" ht="17" customHeight="1" s="380">
      <c r="B755" s="4" t="inlineStr">
        <is>
          <t>TK-HSX01</t>
        </is>
      </c>
      <c r="D755" s="252" t="inlineStr">
        <is>
          <t>Khối lượng</t>
        </is>
      </c>
      <c r="F755" s="184" t="inlineStr">
        <is>
          <t>Báo cáo</t>
        </is>
      </c>
      <c r="G755" s="4" t="inlineStr">
        <is>
          <t>Chỉ tiêu phái sinh</t>
        </is>
      </c>
      <c r="H755" s="4" t="inlineStr">
        <is>
          <t>Trùng</t>
        </is>
      </c>
    </row>
    <row r="756" ht="17" customHeight="1" s="380">
      <c r="B756" s="4" t="inlineStr">
        <is>
          <t>TK-HSX01</t>
        </is>
      </c>
      <c r="D756" s="252" t="inlineStr">
        <is>
          <t>Giá</t>
        </is>
      </c>
      <c r="F756" s="184" t="inlineStr">
        <is>
          <t>Báo cáo</t>
        </is>
      </c>
      <c r="G756" s="4" t="inlineStr">
        <is>
          <t>Chỉ tiêu cơ sở</t>
        </is>
      </c>
      <c r="H756" s="4" t="inlineStr">
        <is>
          <t>Dễ</t>
        </is>
      </c>
    </row>
    <row r="757" ht="17" customHeight="1" s="380">
      <c r="B757" s="4" t="inlineStr">
        <is>
          <t>TK-HSX01</t>
        </is>
      </c>
      <c r="D757" s="231" t="inlineStr">
        <is>
          <t>CW</t>
        </is>
      </c>
      <c r="F757" s="184" t="inlineStr">
        <is>
          <t>Báo cáo</t>
        </is>
      </c>
      <c r="G757" s="4" t="inlineStr">
        <is>
          <t>Chỉ tiêu phái sinh</t>
        </is>
      </c>
      <c r="H757" s="4" t="inlineStr">
        <is>
          <t>TB</t>
        </is>
      </c>
    </row>
    <row r="758" ht="17" customHeight="1" s="380">
      <c r="B758" s="4" t="inlineStr">
        <is>
          <t>TK-HSX01</t>
        </is>
      </c>
      <c r="D758" s="252" t="inlineStr">
        <is>
          <t>Khối lượng</t>
        </is>
      </c>
      <c r="F758" s="184" t="inlineStr">
        <is>
          <t>Báo cáo</t>
        </is>
      </c>
      <c r="G758" s="4" t="inlineStr">
        <is>
          <t>Chỉ tiêu phái sinh</t>
        </is>
      </c>
      <c r="H758" s="4" t="inlineStr">
        <is>
          <t>Trùng</t>
        </is>
      </c>
    </row>
    <row r="759" ht="17" customHeight="1" s="380">
      <c r="B759" s="4" t="inlineStr">
        <is>
          <t>TK-HSX01</t>
        </is>
      </c>
      <c r="D759" s="252" t="inlineStr">
        <is>
          <t>Giá</t>
        </is>
      </c>
      <c r="F759" s="184" t="inlineStr">
        <is>
          <t>Báo cáo</t>
        </is>
      </c>
      <c r="G759" s="4" t="inlineStr">
        <is>
          <t>Chỉ tiêu cơ sở</t>
        </is>
      </c>
      <c r="H759" s="4" t="inlineStr">
        <is>
          <t>Dễ</t>
        </is>
      </c>
    </row>
    <row r="760" ht="17" customHeight="1" s="380">
      <c r="B760" s="4" t="inlineStr">
        <is>
          <t>TK-HSX01</t>
        </is>
      </c>
      <c r="D760" s="232" t="inlineStr">
        <is>
          <t xml:space="preserve">   Giao dịch cổ phiếu quỹ</t>
        </is>
      </c>
      <c r="F760" s="184" t="inlineStr">
        <is>
          <t>Báo cáo</t>
        </is>
      </c>
    </row>
    <row r="761" ht="17" customHeight="1" s="380">
      <c r="B761" s="4" t="inlineStr">
        <is>
          <t>TK-HSX01</t>
        </is>
      </c>
      <c r="D761" s="189" t="inlineStr">
        <is>
          <t>Khối lượng giao dịch CP quỹ</t>
        </is>
      </c>
      <c r="F761" s="184" t="inlineStr">
        <is>
          <t>Báo cáo</t>
        </is>
      </c>
      <c r="G761" s="4" t="inlineStr">
        <is>
          <t>Chỉ tiêu phái sinh</t>
        </is>
      </c>
      <c r="H761" s="4" t="inlineStr">
        <is>
          <t>TB</t>
        </is>
      </c>
    </row>
    <row r="762" ht="17" customHeight="1" s="380">
      <c r="B762" s="4" t="inlineStr">
        <is>
          <t>TK-HSX01</t>
        </is>
      </c>
      <c r="D762" s="189" t="inlineStr">
        <is>
          <t>Giá trị giao dịch CP quỹ</t>
        </is>
      </c>
      <c r="F762" s="184" t="inlineStr">
        <is>
          <t>Báo cáo</t>
        </is>
      </c>
      <c r="G762" s="4" t="inlineStr">
        <is>
          <t>Chỉ tiêu phái sinh</t>
        </is>
      </c>
      <c r="H762" s="4" t="inlineStr">
        <is>
          <t>TB</t>
        </is>
      </c>
    </row>
    <row r="763" ht="17" customHeight="1" s="380">
      <c r="B763" s="4" t="inlineStr">
        <is>
          <t>TK-HSX01</t>
        </is>
      </c>
      <c r="D763" s="197" t="inlineStr">
        <is>
          <t>KLGD</t>
        </is>
      </c>
      <c r="F763" s="184" t="inlineStr">
        <is>
          <t>Báo cáo</t>
        </is>
      </c>
      <c r="G763" s="4" t="inlineStr">
        <is>
          <t>Chỉ tiêu phái sinh</t>
        </is>
      </c>
      <c r="H763" s="4" t="inlineStr">
        <is>
          <t>TB</t>
        </is>
      </c>
    </row>
    <row r="764" ht="17" customHeight="1" s="380">
      <c r="B764" s="4" t="inlineStr">
        <is>
          <t>TK-HSX01</t>
        </is>
      </c>
      <c r="D764" s="197" t="inlineStr">
        <is>
          <t>Giá giao dịch</t>
        </is>
      </c>
      <c r="F764" s="184" t="inlineStr">
        <is>
          <t>Báo cáo</t>
        </is>
      </c>
      <c r="G764" s="4" t="inlineStr">
        <is>
          <t>Chỉ tiêu cơ sở</t>
        </is>
      </c>
      <c r="H764" s="4" t="inlineStr">
        <is>
          <t>TB</t>
        </is>
      </c>
    </row>
    <row r="765" ht="17" customHeight="1" s="380">
      <c r="B765" s="4" t="inlineStr">
        <is>
          <t>TK-HSX01</t>
        </is>
      </c>
      <c r="D765" s="253" t="inlineStr">
        <is>
          <t>Giao dịch Nhà đầu tư nước ngoài</t>
        </is>
      </c>
      <c r="F765" s="184" t="inlineStr">
        <is>
          <t>Báo cáo</t>
        </is>
      </c>
    </row>
    <row r="766" ht="17" customHeight="1" s="380">
      <c r="B766" s="4" t="inlineStr">
        <is>
          <t>TK-HSX01</t>
        </is>
      </c>
      <c r="D766" s="232" t="inlineStr">
        <is>
          <t>Giao dịch khớp lệnh (GDNĐTNN)</t>
        </is>
      </c>
      <c r="E766" s="4" t="inlineStr">
        <is>
          <t>GD Khớp lệnh NĐTNN</t>
        </is>
      </c>
      <c r="F766" s="184" t="inlineStr">
        <is>
          <t>Báo cáo</t>
        </is>
      </c>
    </row>
    <row r="767" ht="17" customHeight="1" s="380">
      <c r="B767" s="4" t="inlineStr">
        <is>
          <t>TK-HSX01</t>
        </is>
      </c>
      <c r="D767" s="254" t="inlineStr">
        <is>
          <t>GDNĐTNN cổ phiếu niêm yết</t>
        </is>
      </c>
      <c r="F767" s="184" t="inlineStr">
        <is>
          <t>Báo cáo</t>
        </is>
      </c>
    </row>
    <row r="768" ht="17" customHeight="1" s="380">
      <c r="B768" s="4" t="inlineStr">
        <is>
          <t>TK-HSX01</t>
        </is>
      </c>
      <c r="D768" s="209" t="inlineStr">
        <is>
          <t>Khối lượng giao dịch cố phiếu niêm yết</t>
        </is>
      </c>
      <c r="F768" s="184" t="inlineStr">
        <is>
          <t>Báo cáo</t>
        </is>
      </c>
      <c r="G768" s="4" t="inlineStr">
        <is>
          <t>Chỉ tiêu phái sinh</t>
        </is>
      </c>
      <c r="H768" s="4" t="inlineStr">
        <is>
          <t>TB</t>
        </is>
      </c>
    </row>
    <row r="769" ht="17" customHeight="1" s="380">
      <c r="B769" s="4" t="inlineStr">
        <is>
          <t>TK-HSX01</t>
        </is>
      </c>
      <c r="D769" s="209" t="inlineStr">
        <is>
          <t xml:space="preserve">Khối lượng mua </t>
        </is>
      </c>
      <c r="F769" s="184" t="inlineStr">
        <is>
          <t>Báo cáo</t>
        </is>
      </c>
      <c r="G769" s="4" t="inlineStr">
        <is>
          <t>Chỉ tiêu phái sinh</t>
        </is>
      </c>
      <c r="H769" s="4" t="inlineStr">
        <is>
          <t>TB</t>
        </is>
      </c>
    </row>
    <row r="770" ht="17" customHeight="1" s="380">
      <c r="B770" s="4" t="inlineStr">
        <is>
          <t>TK-HSX01</t>
        </is>
      </c>
      <c r="D770" s="209" t="inlineStr">
        <is>
          <t xml:space="preserve">Khối lượng bán </t>
        </is>
      </c>
      <c r="F770" s="184" t="inlineStr">
        <is>
          <t>Báo cáo</t>
        </is>
      </c>
      <c r="G770" s="4" t="inlineStr">
        <is>
          <t>Chỉ tiêu phái sinh</t>
        </is>
      </c>
      <c r="H770" s="4" t="inlineStr">
        <is>
          <t>TB</t>
        </is>
      </c>
    </row>
    <row r="771" ht="34" customHeight="1" s="380">
      <c r="B771" s="4" t="inlineStr">
        <is>
          <t>TK-HSX01</t>
        </is>
      </c>
      <c r="D771" s="209" t="inlineStr">
        <is>
          <t>Giá trị giao dịch cổ phiếu niêm yết (VND)</t>
        </is>
      </c>
      <c r="F771" s="184" t="inlineStr">
        <is>
          <t>Báo cáo</t>
        </is>
      </c>
      <c r="G771" s="4" t="inlineStr">
        <is>
          <t>Chỉ tiêu phái sinh</t>
        </is>
      </c>
      <c r="H771" s="4" t="inlineStr">
        <is>
          <t>TB</t>
        </is>
      </c>
    </row>
    <row r="772" ht="17" customHeight="1" s="380">
      <c r="B772" s="4" t="inlineStr">
        <is>
          <t>TK-HSX01</t>
        </is>
      </c>
      <c r="D772" s="209" t="inlineStr">
        <is>
          <t xml:space="preserve">Giá trị mua </t>
        </is>
      </c>
      <c r="F772" s="184" t="inlineStr">
        <is>
          <t>Báo cáo</t>
        </is>
      </c>
      <c r="G772" s="4" t="inlineStr">
        <is>
          <t>Chỉ tiêu phái sinh</t>
        </is>
      </c>
      <c r="H772" s="4" t="inlineStr">
        <is>
          <t>Dễ</t>
        </is>
      </c>
    </row>
    <row r="773" ht="17" customHeight="1" s="380">
      <c r="B773" s="4" t="inlineStr">
        <is>
          <t>TK-HSX01</t>
        </is>
      </c>
      <c r="D773" s="233" t="inlineStr">
        <is>
          <t>Khối lượng</t>
        </is>
      </c>
      <c r="F773" s="184" t="inlineStr">
        <is>
          <t>Báo cáo</t>
        </is>
      </c>
      <c r="G773" s="4" t="inlineStr">
        <is>
          <t>Chỉ tiêu phái sinh</t>
        </is>
      </c>
      <c r="H773" s="4" t="inlineStr">
        <is>
          <t>Trùng</t>
        </is>
      </c>
    </row>
    <row r="774" ht="17" customHeight="1" s="380">
      <c r="B774" s="4" t="inlineStr">
        <is>
          <t>TK-HSX01</t>
        </is>
      </c>
      <c r="D774" s="233" t="inlineStr">
        <is>
          <t>Giá</t>
        </is>
      </c>
      <c r="F774" s="184" t="inlineStr">
        <is>
          <t>Báo cáo</t>
        </is>
      </c>
      <c r="G774" s="4" t="inlineStr">
        <is>
          <t>Chỉ tiêu cơ sở</t>
        </is>
      </c>
      <c r="H774" s="4" t="inlineStr">
        <is>
          <t>Dễ</t>
        </is>
      </c>
    </row>
    <row r="775" ht="17" customHeight="1" s="380">
      <c r="B775" s="4" t="inlineStr">
        <is>
          <t>TK-HSX01</t>
        </is>
      </c>
      <c r="D775" s="209" t="inlineStr">
        <is>
          <t xml:space="preserve">Giá trị bán </t>
        </is>
      </c>
      <c r="F775" s="184" t="inlineStr">
        <is>
          <t>Báo cáo</t>
        </is>
      </c>
      <c r="G775" s="4" t="inlineStr">
        <is>
          <t>Chỉ tiêu phái sinh</t>
        </is>
      </c>
      <c r="H775" s="4" t="inlineStr">
        <is>
          <t>Dễ</t>
        </is>
      </c>
    </row>
    <row r="776" ht="17" customHeight="1" s="380">
      <c r="B776" s="4" t="inlineStr">
        <is>
          <t>TK-HSX01</t>
        </is>
      </c>
      <c r="D776" s="233" t="inlineStr">
        <is>
          <t>Khối lượng</t>
        </is>
      </c>
      <c r="F776" s="184" t="inlineStr">
        <is>
          <t>Báo cáo</t>
        </is>
      </c>
      <c r="G776" s="4" t="inlineStr">
        <is>
          <t>Chỉ tiêu phái sinh</t>
        </is>
      </c>
      <c r="H776" s="4" t="inlineStr">
        <is>
          <t>Trùng</t>
        </is>
      </c>
    </row>
    <row r="777" ht="17" customHeight="1" s="380">
      <c r="B777" s="4" t="inlineStr">
        <is>
          <t>TK-HSX01</t>
        </is>
      </c>
      <c r="D777" s="233" t="inlineStr">
        <is>
          <t>Giá</t>
        </is>
      </c>
      <c r="F777" s="184" t="inlineStr">
        <is>
          <t>Báo cáo</t>
        </is>
      </c>
      <c r="G777" s="4" t="inlineStr">
        <is>
          <t>Chỉ tiêu cơ sở</t>
        </is>
      </c>
      <c r="H777" s="4" t="inlineStr">
        <is>
          <t>Dễ</t>
        </is>
      </c>
    </row>
    <row r="778" ht="17" customHeight="1" s="380">
      <c r="B778" s="4" t="inlineStr">
        <is>
          <t>TK-HSX01</t>
        </is>
      </c>
      <c r="D778" s="255" t="inlineStr">
        <is>
          <t>GDNĐTNN chứng chỉ quỹ</t>
        </is>
      </c>
      <c r="F778" s="184" t="inlineStr">
        <is>
          <t>Báo cáo</t>
        </is>
      </c>
    </row>
    <row r="779" ht="17" customHeight="1" s="380">
      <c r="B779" s="4" t="inlineStr">
        <is>
          <t>TK-HSX01</t>
        </is>
      </c>
      <c r="D779" s="209" t="inlineStr">
        <is>
          <t>Khối lượng giao dịch Chứng chỉ quỹ</t>
        </is>
      </c>
      <c r="F779" s="184" t="inlineStr">
        <is>
          <t>Báo cáo</t>
        </is>
      </c>
      <c r="G779" s="4" t="inlineStr">
        <is>
          <t>Chỉ tiêu phái sinh</t>
        </is>
      </c>
      <c r="H779" s="4" t="inlineStr">
        <is>
          <t>TB</t>
        </is>
      </c>
    </row>
    <row r="780" ht="17" customHeight="1" s="380">
      <c r="B780" s="4" t="inlineStr">
        <is>
          <t>TK-HSX01</t>
        </is>
      </c>
      <c r="D780" s="209" t="inlineStr">
        <is>
          <t xml:space="preserve">Khối lượng mua </t>
        </is>
      </c>
      <c r="F780" s="184" t="inlineStr">
        <is>
          <t>Báo cáo</t>
        </is>
      </c>
      <c r="G780" s="4" t="inlineStr">
        <is>
          <t>Chỉ tiêu phái sinh</t>
        </is>
      </c>
      <c r="H780" s="4" t="inlineStr">
        <is>
          <t>TB</t>
        </is>
      </c>
    </row>
    <row r="781" ht="17" customHeight="1" s="380">
      <c r="B781" s="4" t="inlineStr">
        <is>
          <t>TK-HSX01</t>
        </is>
      </c>
      <c r="D781" s="209" t="inlineStr">
        <is>
          <t xml:space="preserve">Khối lượng bán </t>
        </is>
      </c>
      <c r="F781" s="184" t="inlineStr">
        <is>
          <t>Báo cáo</t>
        </is>
      </c>
      <c r="G781" s="4" t="inlineStr">
        <is>
          <t>Chỉ tiêu phái sinh</t>
        </is>
      </c>
      <c r="H781" s="4" t="inlineStr">
        <is>
          <t>TB</t>
        </is>
      </c>
    </row>
    <row r="782" ht="17" customHeight="1" s="380">
      <c r="B782" s="4" t="inlineStr">
        <is>
          <t>TK-HSX01</t>
        </is>
      </c>
      <c r="D782" s="209" t="inlineStr">
        <is>
          <t>Giá trị giao dịch chứng chỉ quỹ  (VND)</t>
        </is>
      </c>
      <c r="F782" s="184" t="inlineStr">
        <is>
          <t>Báo cáo</t>
        </is>
      </c>
    </row>
    <row r="783" ht="17" customHeight="1" s="380">
      <c r="B783" s="4" t="inlineStr">
        <is>
          <t>TK-HSX01</t>
        </is>
      </c>
      <c r="D783" s="209" t="inlineStr">
        <is>
          <t xml:space="preserve">Giá trị mua </t>
        </is>
      </c>
      <c r="F783" s="184" t="inlineStr">
        <is>
          <t>Báo cáo</t>
        </is>
      </c>
      <c r="G783" s="4" t="inlineStr">
        <is>
          <t>Chỉ tiêu phái sinh</t>
        </is>
      </c>
      <c r="H783" s="4" t="inlineStr">
        <is>
          <t>Dễ</t>
        </is>
      </c>
    </row>
    <row r="784" ht="17" customHeight="1" s="380">
      <c r="B784" s="4" t="inlineStr">
        <is>
          <t>TK-HSX01</t>
        </is>
      </c>
      <c r="D784" s="233" t="inlineStr">
        <is>
          <t>Khối lượng</t>
        </is>
      </c>
      <c r="F784" s="184" t="inlineStr">
        <is>
          <t>Báo cáo</t>
        </is>
      </c>
      <c r="G784" s="4" t="inlineStr">
        <is>
          <t>Chỉ tiêu phái sinh</t>
        </is>
      </c>
      <c r="H784" s="4" t="inlineStr">
        <is>
          <t>Trùng</t>
        </is>
      </c>
    </row>
    <row r="785" ht="17" customHeight="1" s="380">
      <c r="B785" s="4" t="inlineStr">
        <is>
          <t>TK-HSX01</t>
        </is>
      </c>
      <c r="D785" s="233" t="inlineStr">
        <is>
          <t>Giá</t>
        </is>
      </c>
      <c r="F785" s="184" t="inlineStr">
        <is>
          <t>Báo cáo</t>
        </is>
      </c>
      <c r="G785" s="4" t="inlineStr">
        <is>
          <t>Chỉ tiêu cơ sở</t>
        </is>
      </c>
      <c r="H785" s="4" t="inlineStr">
        <is>
          <t>Dễ</t>
        </is>
      </c>
    </row>
    <row r="786" ht="17" customHeight="1" s="380">
      <c r="B786" s="4" t="inlineStr">
        <is>
          <t>TK-HSX01</t>
        </is>
      </c>
      <c r="D786" s="209" t="inlineStr">
        <is>
          <t xml:space="preserve">Giá trị bán </t>
        </is>
      </c>
      <c r="F786" s="184" t="inlineStr">
        <is>
          <t>Báo cáo</t>
        </is>
      </c>
      <c r="G786" s="4" t="inlineStr">
        <is>
          <t>Chỉ tiêu phái sinh</t>
        </is>
      </c>
      <c r="H786" s="4" t="inlineStr">
        <is>
          <t>Dễ</t>
        </is>
      </c>
    </row>
    <row r="787" ht="17" customHeight="1" s="380">
      <c r="B787" s="4" t="inlineStr">
        <is>
          <t>TK-HSX01</t>
        </is>
      </c>
      <c r="D787" s="233" t="inlineStr">
        <is>
          <t>Khối lượng</t>
        </is>
      </c>
      <c r="F787" s="184" t="inlineStr">
        <is>
          <t>Báo cáo</t>
        </is>
      </c>
      <c r="G787" s="4" t="inlineStr">
        <is>
          <t>Chỉ tiêu phái sinh</t>
        </is>
      </c>
      <c r="H787" s="4" t="inlineStr">
        <is>
          <t>Trùng</t>
        </is>
      </c>
    </row>
    <row r="788" ht="17" customHeight="1" s="380">
      <c r="B788" s="4" t="inlineStr">
        <is>
          <t>TK-HSX01</t>
        </is>
      </c>
      <c r="D788" s="233" t="inlineStr">
        <is>
          <t>Giá</t>
        </is>
      </c>
      <c r="F788" s="184" t="inlineStr">
        <is>
          <t>Báo cáo</t>
        </is>
      </c>
      <c r="G788" s="4" t="inlineStr">
        <is>
          <t>Chỉ tiêu cơ sở</t>
        </is>
      </c>
      <c r="H788" s="4" t="inlineStr">
        <is>
          <t>Dễ</t>
        </is>
      </c>
    </row>
    <row r="789" ht="17" customHeight="1" s="380">
      <c r="B789" s="4" t="inlineStr">
        <is>
          <t>TK-HSX01</t>
        </is>
      </c>
      <c r="D789" s="255" t="inlineStr">
        <is>
          <t>GDNĐTNN ETF</t>
        </is>
      </c>
      <c r="F789" s="184" t="inlineStr">
        <is>
          <t>Báo cáo</t>
        </is>
      </c>
    </row>
    <row r="790" ht="17" customHeight="1" s="380">
      <c r="B790" s="4" t="inlineStr">
        <is>
          <t>TK-HSX01</t>
        </is>
      </c>
      <c r="D790" s="209" t="inlineStr">
        <is>
          <t>Khối lượng giao dịch ETF</t>
        </is>
      </c>
      <c r="F790" s="184" t="inlineStr">
        <is>
          <t>Báo cáo</t>
        </is>
      </c>
      <c r="G790" s="4" t="inlineStr">
        <is>
          <t>Chỉ tiêu phái sinh</t>
        </is>
      </c>
      <c r="H790" s="4" t="inlineStr">
        <is>
          <t>TB</t>
        </is>
      </c>
    </row>
    <row r="791" ht="17" customHeight="1" s="380">
      <c r="B791" s="4" t="inlineStr">
        <is>
          <t>TK-HSX01</t>
        </is>
      </c>
      <c r="D791" s="209" t="inlineStr">
        <is>
          <t xml:space="preserve">Khối lượng mua </t>
        </is>
      </c>
      <c r="F791" s="184" t="inlineStr">
        <is>
          <t>Báo cáo</t>
        </is>
      </c>
      <c r="G791" s="4" t="inlineStr">
        <is>
          <t>Chỉ tiêu phái sinh</t>
        </is>
      </c>
      <c r="H791" s="4" t="inlineStr">
        <is>
          <t>TB</t>
        </is>
      </c>
    </row>
    <row r="792" ht="17" customHeight="1" s="380">
      <c r="B792" s="4" t="inlineStr">
        <is>
          <t>TK-HSX01</t>
        </is>
      </c>
      <c r="D792" s="209" t="inlineStr">
        <is>
          <t xml:space="preserve">Khối lượng bán </t>
        </is>
      </c>
      <c r="F792" s="184" t="inlineStr">
        <is>
          <t>Báo cáo</t>
        </is>
      </c>
      <c r="G792" s="4" t="inlineStr">
        <is>
          <t>Chỉ tiêu phái sinh</t>
        </is>
      </c>
      <c r="H792" s="4" t="inlineStr">
        <is>
          <t>TB</t>
        </is>
      </c>
    </row>
    <row r="793" ht="17" customHeight="1" s="380">
      <c r="B793" s="4" t="inlineStr">
        <is>
          <t>TK-HSX01</t>
        </is>
      </c>
      <c r="D793" s="209" t="inlineStr">
        <is>
          <t>Giá trị giao dịch ETF  (VND)</t>
        </is>
      </c>
      <c r="F793" s="184" t="inlineStr">
        <is>
          <t>Báo cáo</t>
        </is>
      </c>
    </row>
    <row r="794" ht="17" customHeight="1" s="380">
      <c r="B794" s="4" t="inlineStr">
        <is>
          <t>TK-HSX01</t>
        </is>
      </c>
      <c r="D794" s="209" t="inlineStr">
        <is>
          <t xml:space="preserve">Giá trị mua </t>
        </is>
      </c>
      <c r="F794" s="184" t="inlineStr">
        <is>
          <t>Báo cáo</t>
        </is>
      </c>
      <c r="G794" s="4" t="inlineStr">
        <is>
          <t>Chỉ tiêu phái sinh</t>
        </is>
      </c>
      <c r="H794" s="4" t="inlineStr">
        <is>
          <t>Dễ</t>
        </is>
      </c>
    </row>
    <row r="795" ht="17" customHeight="1" s="380">
      <c r="B795" s="4" t="inlineStr">
        <is>
          <t>TK-HSX01</t>
        </is>
      </c>
      <c r="D795" s="233" t="inlineStr">
        <is>
          <t>Khối lượng</t>
        </is>
      </c>
      <c r="F795" s="184" t="inlineStr">
        <is>
          <t>Báo cáo</t>
        </is>
      </c>
      <c r="G795" s="4" t="inlineStr">
        <is>
          <t>Chỉ tiêu phái sinh</t>
        </is>
      </c>
      <c r="H795" s="4" t="inlineStr">
        <is>
          <t>Trùng</t>
        </is>
      </c>
    </row>
    <row r="796" ht="17" customHeight="1" s="380">
      <c r="B796" s="4" t="inlineStr">
        <is>
          <t>TK-HSX01</t>
        </is>
      </c>
      <c r="D796" s="233" t="inlineStr">
        <is>
          <t>Giá</t>
        </is>
      </c>
      <c r="F796" s="184" t="inlineStr">
        <is>
          <t>Báo cáo</t>
        </is>
      </c>
      <c r="G796" s="4" t="inlineStr">
        <is>
          <t>Chỉ tiêu cơ sở</t>
        </is>
      </c>
      <c r="H796" s="4" t="inlineStr">
        <is>
          <t>Dễ</t>
        </is>
      </c>
    </row>
    <row r="797" ht="17" customHeight="1" s="380">
      <c r="B797" s="4" t="inlineStr">
        <is>
          <t>TK-HSX01</t>
        </is>
      </c>
      <c r="D797" s="209" t="inlineStr">
        <is>
          <t xml:space="preserve">Giá trị bán </t>
        </is>
      </c>
      <c r="F797" s="184" t="inlineStr">
        <is>
          <t>Báo cáo</t>
        </is>
      </c>
      <c r="G797" s="4" t="inlineStr">
        <is>
          <t>Chỉ tiêu phái sinh</t>
        </is>
      </c>
      <c r="H797" s="4" t="inlineStr">
        <is>
          <t>Dễ</t>
        </is>
      </c>
    </row>
    <row r="798" ht="17" customHeight="1" s="380">
      <c r="B798" s="4" t="inlineStr">
        <is>
          <t>TK-HSX01</t>
        </is>
      </c>
      <c r="D798" s="233" t="inlineStr">
        <is>
          <t>Khối lượng</t>
        </is>
      </c>
      <c r="F798" s="184" t="inlineStr">
        <is>
          <t>Báo cáo</t>
        </is>
      </c>
      <c r="G798" s="4" t="inlineStr">
        <is>
          <t>Chỉ tiêu phái sinh</t>
        </is>
      </c>
      <c r="H798" s="4" t="inlineStr">
        <is>
          <t>Trùng</t>
        </is>
      </c>
    </row>
    <row r="799" ht="17" customHeight="1" s="380">
      <c r="B799" s="4" t="inlineStr">
        <is>
          <t>TK-HSX01</t>
        </is>
      </c>
      <c r="D799" s="233" t="inlineStr">
        <is>
          <t>Giá</t>
        </is>
      </c>
      <c r="F799" s="184" t="inlineStr">
        <is>
          <t>Báo cáo</t>
        </is>
      </c>
      <c r="G799" s="4" t="inlineStr">
        <is>
          <t>Chỉ tiêu cơ sở</t>
        </is>
      </c>
      <c r="H799" s="4" t="inlineStr">
        <is>
          <t>Dễ</t>
        </is>
      </c>
    </row>
    <row r="800" ht="17" customHeight="1" s="380">
      <c r="B800" s="4" t="inlineStr">
        <is>
          <t>TK-HSX01</t>
        </is>
      </c>
      <c r="D800" s="256" t="inlineStr">
        <is>
          <t>GDNĐTNN CW</t>
        </is>
      </c>
      <c r="F800" s="184" t="inlineStr">
        <is>
          <t>Báo cáo</t>
        </is>
      </c>
    </row>
    <row r="801" ht="17" customHeight="1" s="380">
      <c r="B801" s="4" t="inlineStr">
        <is>
          <t>TK-HSX01</t>
        </is>
      </c>
      <c r="D801" s="234" t="inlineStr">
        <is>
          <t>Khối lượng giao dịch CW</t>
        </is>
      </c>
      <c r="F801" s="184" t="inlineStr">
        <is>
          <t>Báo cáo</t>
        </is>
      </c>
      <c r="G801" s="4" t="inlineStr">
        <is>
          <t>Chỉ tiêu phái sinh</t>
        </is>
      </c>
      <c r="H801" s="4" t="inlineStr">
        <is>
          <t>TB</t>
        </is>
      </c>
    </row>
    <row r="802" ht="17" customHeight="1" s="380">
      <c r="B802" s="4" t="inlineStr">
        <is>
          <t>TK-HSX01</t>
        </is>
      </c>
      <c r="D802" s="234" t="inlineStr">
        <is>
          <t xml:space="preserve">Khối lượng mua </t>
        </is>
      </c>
      <c r="F802" s="184" t="inlineStr">
        <is>
          <t>Báo cáo</t>
        </is>
      </c>
      <c r="G802" s="4" t="inlineStr">
        <is>
          <t>Chỉ tiêu phái sinh</t>
        </is>
      </c>
      <c r="H802" s="4" t="inlineStr">
        <is>
          <t>TB</t>
        </is>
      </c>
    </row>
    <row r="803" ht="17" customHeight="1" s="380">
      <c r="B803" s="4" t="inlineStr">
        <is>
          <t>TK-HSX01</t>
        </is>
      </c>
      <c r="D803" s="234" t="inlineStr">
        <is>
          <t xml:space="preserve">Khối lượng bán </t>
        </is>
      </c>
      <c r="F803" s="184" t="inlineStr">
        <is>
          <t>Báo cáo</t>
        </is>
      </c>
      <c r="G803" s="4" t="inlineStr">
        <is>
          <t>Chỉ tiêu phái sinh</t>
        </is>
      </c>
      <c r="H803" s="4" t="inlineStr">
        <is>
          <t>TB</t>
        </is>
      </c>
    </row>
    <row r="804" ht="17" customHeight="1" s="380">
      <c r="B804" s="4" t="inlineStr">
        <is>
          <t>TK-HSX01</t>
        </is>
      </c>
      <c r="D804" s="234" t="inlineStr">
        <is>
          <t>Giá trị giao dịch CW (VND)</t>
        </is>
      </c>
      <c r="F804" s="184" t="inlineStr">
        <is>
          <t>Báo cáo</t>
        </is>
      </c>
    </row>
    <row r="805" ht="17" customHeight="1" s="380">
      <c r="B805" s="4" t="inlineStr">
        <is>
          <t>TK-HSX01</t>
        </is>
      </c>
      <c r="D805" s="209" t="inlineStr">
        <is>
          <t xml:space="preserve">Giá trị mua </t>
        </is>
      </c>
      <c r="F805" s="184" t="inlineStr">
        <is>
          <t>Báo cáo</t>
        </is>
      </c>
      <c r="G805" s="4" t="inlineStr">
        <is>
          <t>Chỉ tiêu phái sinh</t>
        </is>
      </c>
      <c r="H805" s="4" t="inlineStr">
        <is>
          <t>Dễ</t>
        </is>
      </c>
    </row>
    <row r="806" ht="17" customHeight="1" s="380">
      <c r="B806" s="4" t="inlineStr">
        <is>
          <t>TK-HSX01</t>
        </is>
      </c>
      <c r="D806" s="233" t="inlineStr">
        <is>
          <t>Khối lượng</t>
        </is>
      </c>
      <c r="F806" s="184" t="inlineStr">
        <is>
          <t>Báo cáo</t>
        </is>
      </c>
      <c r="G806" s="4" t="inlineStr">
        <is>
          <t>Chỉ tiêu phái sinh</t>
        </is>
      </c>
      <c r="H806" s="4" t="inlineStr">
        <is>
          <t>Trùng</t>
        </is>
      </c>
    </row>
    <row r="807" ht="17" customHeight="1" s="380">
      <c r="B807" s="4" t="inlineStr">
        <is>
          <t>TK-HSX01</t>
        </is>
      </c>
      <c r="D807" s="233" t="inlineStr">
        <is>
          <t>Giá</t>
        </is>
      </c>
      <c r="F807" s="184" t="inlineStr">
        <is>
          <t>Báo cáo</t>
        </is>
      </c>
      <c r="G807" s="4" t="inlineStr">
        <is>
          <t>Chỉ tiêu cơ sở</t>
        </is>
      </c>
      <c r="H807" s="4" t="inlineStr">
        <is>
          <t>Dễ</t>
        </is>
      </c>
    </row>
    <row r="808" ht="17" customHeight="1" s="380">
      <c r="B808" s="4" t="inlineStr">
        <is>
          <t>TK-HSX01</t>
        </is>
      </c>
      <c r="D808" s="209" t="inlineStr">
        <is>
          <t xml:space="preserve">Giá trị bán </t>
        </is>
      </c>
      <c r="F808" s="184" t="inlineStr">
        <is>
          <t>Báo cáo</t>
        </is>
      </c>
      <c r="G808" s="4" t="inlineStr">
        <is>
          <t>Chỉ tiêu phái sinh</t>
        </is>
      </c>
      <c r="H808" s="4" t="inlineStr">
        <is>
          <t>Dễ</t>
        </is>
      </c>
    </row>
    <row r="809" ht="17" customHeight="1" s="380">
      <c r="B809" s="4" t="inlineStr">
        <is>
          <t>TK-HSX01</t>
        </is>
      </c>
      <c r="D809" s="233" t="inlineStr">
        <is>
          <t>Khối lượng</t>
        </is>
      </c>
      <c r="F809" s="184" t="inlineStr">
        <is>
          <t>Báo cáo</t>
        </is>
      </c>
      <c r="G809" s="4" t="inlineStr">
        <is>
          <t>Chỉ tiêu phái sinh</t>
        </is>
      </c>
      <c r="H809" s="4" t="inlineStr">
        <is>
          <t>Trùng</t>
        </is>
      </c>
    </row>
    <row r="810" ht="17" customHeight="1" s="380">
      <c r="B810" s="4" t="inlineStr">
        <is>
          <t>TK-HSX01</t>
        </is>
      </c>
      <c r="D810" s="233" t="inlineStr">
        <is>
          <t>Giá</t>
        </is>
      </c>
      <c r="F810" s="184" t="inlineStr">
        <is>
          <t>Báo cáo</t>
        </is>
      </c>
      <c r="G810" s="4" t="inlineStr">
        <is>
          <t>Chỉ tiêu cơ sở</t>
        </is>
      </c>
      <c r="H810" s="4" t="inlineStr">
        <is>
          <t>Dễ</t>
        </is>
      </c>
    </row>
    <row r="811" ht="17" customHeight="1" s="380">
      <c r="B811" s="4" t="inlineStr">
        <is>
          <t>TK-HSX01</t>
        </is>
      </c>
      <c r="D811" s="257" t="inlineStr">
        <is>
          <t>Giao dịch thỏa thuận (GDNĐTNN)</t>
        </is>
      </c>
      <c r="F811" s="184" t="inlineStr">
        <is>
          <t>Báo cáo</t>
        </is>
      </c>
    </row>
    <row r="812" ht="17" customHeight="1" s="380">
      <c r="B812" s="4" t="inlineStr">
        <is>
          <t>TK-HSX01</t>
        </is>
      </c>
      <c r="D812" s="254" t="inlineStr">
        <is>
          <t>GDNĐTNN cổ phiếu niêm yết</t>
        </is>
      </c>
      <c r="F812" s="184" t="inlineStr">
        <is>
          <t>Báo cáo</t>
        </is>
      </c>
    </row>
    <row r="813" ht="17" customHeight="1" s="380">
      <c r="B813" s="4" t="inlineStr">
        <is>
          <t>TK-HSX01</t>
        </is>
      </c>
      <c r="D813" s="209" t="inlineStr">
        <is>
          <t>Khối lượng giao dịch cố phiếu niêm yết</t>
        </is>
      </c>
      <c r="F813" s="184" t="inlineStr">
        <is>
          <t>Báo cáo</t>
        </is>
      </c>
    </row>
    <row r="814" ht="17" customHeight="1" s="380">
      <c r="B814" s="4" t="inlineStr">
        <is>
          <t>TK-HSX01</t>
        </is>
      </c>
      <c r="D814" s="209" t="inlineStr">
        <is>
          <t xml:space="preserve">Khối lượng mua </t>
        </is>
      </c>
      <c r="F814" s="184" t="inlineStr">
        <is>
          <t>Báo cáo</t>
        </is>
      </c>
      <c r="G814" s="4" t="inlineStr">
        <is>
          <t>Chỉ tiêu phái sinh</t>
        </is>
      </c>
      <c r="H814" s="4" t="inlineStr">
        <is>
          <t>TB</t>
        </is>
      </c>
    </row>
    <row r="815" ht="17" customHeight="1" s="380">
      <c r="B815" s="4" t="inlineStr">
        <is>
          <t>TK-HSX01</t>
        </is>
      </c>
      <c r="D815" s="209" t="inlineStr">
        <is>
          <t xml:space="preserve">Khối lượng bán </t>
        </is>
      </c>
      <c r="F815" s="184" t="inlineStr">
        <is>
          <t>Báo cáo</t>
        </is>
      </c>
      <c r="G815" s="4" t="inlineStr">
        <is>
          <t>Chỉ tiêu phái sinh</t>
        </is>
      </c>
      <c r="H815" s="4" t="inlineStr">
        <is>
          <t>TB</t>
        </is>
      </c>
    </row>
    <row r="816" ht="17" customHeight="1" s="380">
      <c r="B816" s="4" t="inlineStr">
        <is>
          <t>TK-HSX01</t>
        </is>
      </c>
      <c r="D816" s="209" t="inlineStr">
        <is>
          <t xml:space="preserve">Giá trị giao dịch cổ phiếu niêm yết </t>
        </is>
      </c>
      <c r="F816" s="184" t="inlineStr">
        <is>
          <t>Báo cáo</t>
        </is>
      </c>
      <c r="G816" s="4" t="inlineStr">
        <is>
          <t>Chỉ tiêu phái sinh</t>
        </is>
      </c>
      <c r="H816" s="4" t="inlineStr">
        <is>
          <t>TB</t>
        </is>
      </c>
    </row>
    <row r="817" ht="17" customHeight="1" s="380">
      <c r="B817" s="4" t="inlineStr">
        <is>
          <t>TK-HSX01</t>
        </is>
      </c>
      <c r="D817" s="209" t="inlineStr">
        <is>
          <t xml:space="preserve">Giá trị mua </t>
        </is>
      </c>
      <c r="F817" s="184" t="inlineStr">
        <is>
          <t>Báo cáo</t>
        </is>
      </c>
      <c r="G817" s="4" t="inlineStr">
        <is>
          <t>Chỉ tiêu phái sinh</t>
        </is>
      </c>
      <c r="H817" s="4" t="inlineStr">
        <is>
          <t>Dễ</t>
        </is>
      </c>
    </row>
    <row r="818" ht="17" customHeight="1" s="380">
      <c r="B818" s="4" t="inlineStr">
        <is>
          <t>TK-HSX01</t>
        </is>
      </c>
      <c r="D818" s="233" t="inlineStr">
        <is>
          <t>Khối lượng</t>
        </is>
      </c>
      <c r="F818" s="184" t="inlineStr">
        <is>
          <t>Báo cáo</t>
        </is>
      </c>
      <c r="G818" s="4" t="inlineStr">
        <is>
          <t>Chỉ tiêu phái sinh</t>
        </is>
      </c>
      <c r="H818" s="4" t="inlineStr">
        <is>
          <t>Trùng</t>
        </is>
      </c>
    </row>
    <row r="819" ht="17" customHeight="1" s="380">
      <c r="B819" s="4" t="inlineStr">
        <is>
          <t>TK-HSX01</t>
        </is>
      </c>
      <c r="D819" s="233" t="inlineStr">
        <is>
          <t>Giá</t>
        </is>
      </c>
      <c r="F819" s="184" t="inlineStr">
        <is>
          <t>Báo cáo</t>
        </is>
      </c>
      <c r="G819" s="4" t="inlineStr">
        <is>
          <t>Chỉ tiêu cơ sở</t>
        </is>
      </c>
      <c r="H819" s="4" t="inlineStr">
        <is>
          <t>Dễ</t>
        </is>
      </c>
    </row>
    <row r="820" ht="17" customHeight="1" s="380">
      <c r="B820" s="4" t="inlineStr">
        <is>
          <t>TK-HSX01</t>
        </is>
      </c>
      <c r="D820" s="209" t="inlineStr">
        <is>
          <t xml:space="preserve">Giá trị bán </t>
        </is>
      </c>
      <c r="F820" s="184" t="inlineStr">
        <is>
          <t>Báo cáo</t>
        </is>
      </c>
      <c r="G820" s="4" t="inlineStr">
        <is>
          <t>Chỉ tiêu phái sinh</t>
        </is>
      </c>
      <c r="H820" s="4" t="inlineStr">
        <is>
          <t>Dễ</t>
        </is>
      </c>
    </row>
    <row r="821" ht="17" customHeight="1" s="380">
      <c r="B821" s="4" t="inlineStr">
        <is>
          <t>TK-HSX01</t>
        </is>
      </c>
      <c r="D821" s="233" t="inlineStr">
        <is>
          <t>Khối lượng</t>
        </is>
      </c>
      <c r="F821" s="184" t="inlineStr">
        <is>
          <t>Báo cáo</t>
        </is>
      </c>
      <c r="G821" s="4" t="inlineStr">
        <is>
          <t>Chỉ tiêu phái sinh</t>
        </is>
      </c>
      <c r="H821" s="4" t="inlineStr">
        <is>
          <t>Trùng</t>
        </is>
      </c>
    </row>
    <row r="822" ht="17" customHeight="1" s="380">
      <c r="B822" s="4" t="inlineStr">
        <is>
          <t>TK-HSX01</t>
        </is>
      </c>
      <c r="D822" s="233" t="inlineStr">
        <is>
          <t>Giá</t>
        </is>
      </c>
      <c r="F822" s="184" t="inlineStr">
        <is>
          <t>Báo cáo</t>
        </is>
      </c>
      <c r="G822" s="4" t="inlineStr">
        <is>
          <t>Chỉ tiêu cơ sở</t>
        </is>
      </c>
      <c r="H822" s="4" t="inlineStr">
        <is>
          <t>Dễ</t>
        </is>
      </c>
    </row>
    <row r="823" ht="17" customHeight="1" s="380">
      <c r="B823" s="4" t="inlineStr">
        <is>
          <t>TK-HSX01</t>
        </is>
      </c>
      <c r="D823" s="255" t="inlineStr">
        <is>
          <t>GDNĐTNN chứng chỉ quỹ</t>
        </is>
      </c>
      <c r="F823" s="184" t="inlineStr">
        <is>
          <t>Báo cáo</t>
        </is>
      </c>
    </row>
    <row r="824" ht="17" customHeight="1" s="380">
      <c r="B824" s="4" t="inlineStr">
        <is>
          <t>TK-HSX01</t>
        </is>
      </c>
      <c r="D824" s="209" t="inlineStr">
        <is>
          <t>Khối lượng giao dịch Chứng chỉ quỹ</t>
        </is>
      </c>
      <c r="F824" s="184" t="inlineStr">
        <is>
          <t>Báo cáo</t>
        </is>
      </c>
    </row>
    <row r="825" ht="17" customHeight="1" s="380">
      <c r="B825" s="4" t="inlineStr">
        <is>
          <t>TK-HSX01</t>
        </is>
      </c>
      <c r="D825" s="209" t="inlineStr">
        <is>
          <t xml:space="preserve">Khối lượng mua </t>
        </is>
      </c>
      <c r="F825" s="184" t="inlineStr">
        <is>
          <t>Báo cáo</t>
        </is>
      </c>
      <c r="G825" s="4" t="inlineStr">
        <is>
          <t>Chỉ tiêu phái sinh</t>
        </is>
      </c>
      <c r="H825" s="4" t="inlineStr">
        <is>
          <t>TB</t>
        </is>
      </c>
    </row>
    <row r="826" ht="17" customHeight="1" s="380">
      <c r="B826" s="4" t="inlineStr">
        <is>
          <t>TK-HSX01</t>
        </is>
      </c>
      <c r="D826" s="209" t="inlineStr">
        <is>
          <t xml:space="preserve">Khối lượng bán </t>
        </is>
      </c>
      <c r="F826" s="184" t="inlineStr">
        <is>
          <t>Báo cáo</t>
        </is>
      </c>
      <c r="G826" s="4" t="inlineStr">
        <is>
          <t>Chỉ tiêu phái sinh</t>
        </is>
      </c>
      <c r="H826" s="4" t="inlineStr">
        <is>
          <t>TB</t>
        </is>
      </c>
    </row>
    <row r="827" ht="17" customHeight="1" s="380">
      <c r="B827" s="4" t="inlineStr">
        <is>
          <t>TK-HSX01</t>
        </is>
      </c>
      <c r="D827" s="209" t="inlineStr">
        <is>
          <t xml:space="preserve">Giá trị giao dịch chứng chỉ quỹ </t>
        </is>
      </c>
      <c r="F827" s="184" t="inlineStr">
        <is>
          <t>Báo cáo</t>
        </is>
      </c>
      <c r="G827" s="4" t="inlineStr">
        <is>
          <t>Chỉ tiêu phái sinh</t>
        </is>
      </c>
      <c r="H827" s="4" t="inlineStr">
        <is>
          <t>TB</t>
        </is>
      </c>
    </row>
    <row r="828" ht="17" customHeight="1" s="380">
      <c r="B828" s="4" t="inlineStr">
        <is>
          <t>TK-HSX01</t>
        </is>
      </c>
      <c r="D828" s="209" t="inlineStr">
        <is>
          <t xml:space="preserve">Giá trị mua </t>
        </is>
      </c>
      <c r="F828" s="184" t="inlineStr">
        <is>
          <t>Báo cáo</t>
        </is>
      </c>
      <c r="G828" s="4" t="inlineStr">
        <is>
          <t>Chỉ tiêu phái sinh</t>
        </is>
      </c>
      <c r="H828" s="4" t="inlineStr">
        <is>
          <t>Dễ</t>
        </is>
      </c>
    </row>
    <row r="829" ht="17" customHeight="1" s="380">
      <c r="B829" s="4" t="inlineStr">
        <is>
          <t>TK-HSX01</t>
        </is>
      </c>
      <c r="D829" s="233" t="inlineStr">
        <is>
          <t>Khối lượng</t>
        </is>
      </c>
      <c r="F829" s="184" t="inlineStr">
        <is>
          <t>Báo cáo</t>
        </is>
      </c>
      <c r="G829" s="4" t="inlineStr">
        <is>
          <t>Chỉ tiêu phái sinh</t>
        </is>
      </c>
      <c r="H829" s="4" t="inlineStr">
        <is>
          <t>Trùng</t>
        </is>
      </c>
    </row>
    <row r="830" ht="17" customHeight="1" s="380">
      <c r="B830" s="4" t="inlineStr">
        <is>
          <t>TK-HSX01</t>
        </is>
      </c>
      <c r="D830" s="233" t="inlineStr">
        <is>
          <t>Giá</t>
        </is>
      </c>
      <c r="F830" s="184" t="inlineStr">
        <is>
          <t>Báo cáo</t>
        </is>
      </c>
      <c r="G830" s="4" t="inlineStr">
        <is>
          <t>Chỉ tiêu cơ sở</t>
        </is>
      </c>
      <c r="H830" s="4" t="inlineStr">
        <is>
          <t>Dễ</t>
        </is>
      </c>
    </row>
    <row r="831" ht="17" customHeight="1" s="380">
      <c r="B831" s="4" t="inlineStr">
        <is>
          <t>TK-HSX01</t>
        </is>
      </c>
      <c r="D831" s="209" t="inlineStr">
        <is>
          <t xml:space="preserve">Giá trị bán </t>
        </is>
      </c>
      <c r="F831" s="184" t="inlineStr">
        <is>
          <t>Báo cáo</t>
        </is>
      </c>
      <c r="G831" s="4" t="inlineStr">
        <is>
          <t>Chỉ tiêu phái sinh</t>
        </is>
      </c>
      <c r="H831" s="4" t="inlineStr">
        <is>
          <t>Dễ</t>
        </is>
      </c>
    </row>
    <row r="832" ht="17" customHeight="1" s="380">
      <c r="B832" s="4" t="inlineStr">
        <is>
          <t>TK-HSX01</t>
        </is>
      </c>
      <c r="D832" s="233" t="inlineStr">
        <is>
          <t>Khối lượng</t>
        </is>
      </c>
      <c r="F832" s="184" t="inlineStr">
        <is>
          <t>Báo cáo</t>
        </is>
      </c>
      <c r="G832" s="4" t="inlineStr">
        <is>
          <t>Chỉ tiêu phái sinh</t>
        </is>
      </c>
      <c r="H832" s="4" t="inlineStr">
        <is>
          <t>Trùng</t>
        </is>
      </c>
    </row>
    <row r="833" ht="17" customHeight="1" s="380">
      <c r="B833" s="4" t="inlineStr">
        <is>
          <t>TK-HSX01</t>
        </is>
      </c>
      <c r="D833" s="233" t="inlineStr">
        <is>
          <t>Giá</t>
        </is>
      </c>
      <c r="F833" s="184" t="inlineStr">
        <is>
          <t>Báo cáo</t>
        </is>
      </c>
      <c r="G833" s="4" t="inlineStr">
        <is>
          <t>Chỉ tiêu cơ sở</t>
        </is>
      </c>
      <c r="H833" s="4" t="inlineStr">
        <is>
          <t>Dễ</t>
        </is>
      </c>
    </row>
    <row r="834" ht="17" customHeight="1" s="380">
      <c r="B834" s="4" t="inlineStr">
        <is>
          <t>TK-HSX01</t>
        </is>
      </c>
      <c r="D834" s="255" t="inlineStr">
        <is>
          <t>GDNĐTNN ETF</t>
        </is>
      </c>
      <c r="F834" s="184" t="inlineStr">
        <is>
          <t>Báo cáo</t>
        </is>
      </c>
    </row>
    <row r="835" ht="17" customHeight="1" s="380">
      <c r="B835" s="4" t="inlineStr">
        <is>
          <t>TK-HSX01</t>
        </is>
      </c>
      <c r="D835" s="209" t="inlineStr">
        <is>
          <t>Khối lượng giao dịch ETF</t>
        </is>
      </c>
      <c r="F835" s="184" t="inlineStr">
        <is>
          <t>Báo cáo</t>
        </is>
      </c>
    </row>
    <row r="836" ht="17" customHeight="1" s="380">
      <c r="B836" s="4" t="inlineStr">
        <is>
          <t>TK-HSX01</t>
        </is>
      </c>
      <c r="D836" s="209" t="inlineStr">
        <is>
          <t xml:space="preserve">Khối lượng mua </t>
        </is>
      </c>
      <c r="F836" s="184" t="inlineStr">
        <is>
          <t>Báo cáo</t>
        </is>
      </c>
      <c r="G836" s="4" t="inlineStr">
        <is>
          <t>Chỉ tiêu phái sinh</t>
        </is>
      </c>
      <c r="H836" s="4" t="inlineStr">
        <is>
          <t>TB</t>
        </is>
      </c>
    </row>
    <row r="837" ht="17" customHeight="1" s="380">
      <c r="B837" s="4" t="inlineStr">
        <is>
          <t>TK-HSX01</t>
        </is>
      </c>
      <c r="D837" s="209" t="inlineStr">
        <is>
          <t xml:space="preserve">Khối lượng bán </t>
        </is>
      </c>
      <c r="F837" s="184" t="inlineStr">
        <is>
          <t>Báo cáo</t>
        </is>
      </c>
      <c r="G837" s="4" t="inlineStr">
        <is>
          <t>Chỉ tiêu phái sinh</t>
        </is>
      </c>
      <c r="H837" s="4" t="inlineStr">
        <is>
          <t>TB</t>
        </is>
      </c>
    </row>
    <row r="838" ht="17" customHeight="1" s="380">
      <c r="B838" s="4" t="inlineStr">
        <is>
          <t>TK-HSX01</t>
        </is>
      </c>
      <c r="D838" s="209" t="inlineStr">
        <is>
          <t xml:space="preserve">Giá trị giao dịch ETF </t>
        </is>
      </c>
      <c r="F838" s="184" t="inlineStr">
        <is>
          <t>Báo cáo</t>
        </is>
      </c>
      <c r="G838" s="4" t="inlineStr">
        <is>
          <t>Chỉ tiêu phái sinh</t>
        </is>
      </c>
      <c r="H838" s="4" t="inlineStr">
        <is>
          <t>TB</t>
        </is>
      </c>
    </row>
    <row r="839" ht="17" customHeight="1" s="380">
      <c r="B839" s="4" t="inlineStr">
        <is>
          <t>TK-HSX01</t>
        </is>
      </c>
      <c r="D839" s="209" t="inlineStr">
        <is>
          <t xml:space="preserve">Giá trị mua </t>
        </is>
      </c>
      <c r="F839" s="184" t="inlineStr">
        <is>
          <t>Báo cáo</t>
        </is>
      </c>
      <c r="G839" s="4" t="inlineStr">
        <is>
          <t>Chỉ tiêu phái sinh</t>
        </is>
      </c>
      <c r="H839" s="4" t="inlineStr">
        <is>
          <t>Dễ</t>
        </is>
      </c>
    </row>
    <row r="840" ht="17" customHeight="1" s="380">
      <c r="B840" s="4" t="inlineStr">
        <is>
          <t>TK-HSX01</t>
        </is>
      </c>
      <c r="D840" s="233" t="inlineStr">
        <is>
          <t>Khối lượng</t>
        </is>
      </c>
      <c r="F840" s="184" t="inlineStr">
        <is>
          <t>Báo cáo</t>
        </is>
      </c>
      <c r="G840" s="4" t="inlineStr">
        <is>
          <t>Chỉ tiêu phái sinh</t>
        </is>
      </c>
      <c r="H840" s="4" t="inlineStr">
        <is>
          <t>Trùng</t>
        </is>
      </c>
    </row>
    <row r="841" ht="17" customHeight="1" s="380">
      <c r="B841" s="4" t="inlineStr">
        <is>
          <t>TK-HSX01</t>
        </is>
      </c>
      <c r="D841" s="233" t="inlineStr">
        <is>
          <t>Giá</t>
        </is>
      </c>
      <c r="F841" s="184" t="inlineStr">
        <is>
          <t>Báo cáo</t>
        </is>
      </c>
      <c r="G841" s="4" t="inlineStr">
        <is>
          <t>Chỉ tiêu cơ sở</t>
        </is>
      </c>
      <c r="H841" s="4" t="inlineStr">
        <is>
          <t>Dễ</t>
        </is>
      </c>
    </row>
    <row r="842" ht="17" customHeight="1" s="380">
      <c r="B842" s="4" t="inlineStr">
        <is>
          <t>TK-HSX01</t>
        </is>
      </c>
      <c r="D842" s="209" t="inlineStr">
        <is>
          <t xml:space="preserve">Giá trị bán </t>
        </is>
      </c>
      <c r="F842" s="184" t="inlineStr">
        <is>
          <t>Báo cáo</t>
        </is>
      </c>
      <c r="G842" s="4" t="inlineStr">
        <is>
          <t>Chỉ tiêu phái sinh</t>
        </is>
      </c>
      <c r="H842" s="4" t="inlineStr">
        <is>
          <t>Dễ</t>
        </is>
      </c>
    </row>
    <row r="843" ht="17" customHeight="1" s="380">
      <c r="B843" s="4" t="inlineStr">
        <is>
          <t>TK-HSX01</t>
        </is>
      </c>
      <c r="D843" s="233" t="inlineStr">
        <is>
          <t>Khối lượng</t>
        </is>
      </c>
      <c r="F843" s="184" t="inlineStr">
        <is>
          <t>Báo cáo</t>
        </is>
      </c>
      <c r="G843" s="4" t="inlineStr">
        <is>
          <t>Chỉ tiêu phái sinh</t>
        </is>
      </c>
      <c r="H843" s="4" t="inlineStr">
        <is>
          <t>Trùng</t>
        </is>
      </c>
    </row>
    <row r="844" ht="17" customHeight="1" s="380">
      <c r="B844" s="4" t="inlineStr">
        <is>
          <t>TK-HSX01</t>
        </is>
      </c>
      <c r="D844" s="233" t="inlineStr">
        <is>
          <t>Giá</t>
        </is>
      </c>
      <c r="F844" s="184" t="inlineStr">
        <is>
          <t>Báo cáo</t>
        </is>
      </c>
      <c r="G844" s="4" t="inlineStr">
        <is>
          <t>Chỉ tiêu cơ sở</t>
        </is>
      </c>
      <c r="H844" s="4" t="inlineStr">
        <is>
          <t>Dễ</t>
        </is>
      </c>
    </row>
    <row r="845" ht="17" customHeight="1" s="380">
      <c r="B845" s="4" t="inlineStr">
        <is>
          <t>TK-HSX01</t>
        </is>
      </c>
      <c r="D845" s="256" t="inlineStr">
        <is>
          <t>GDNĐTNN CW</t>
        </is>
      </c>
      <c r="F845" s="184" t="inlineStr">
        <is>
          <t>Báo cáo</t>
        </is>
      </c>
    </row>
    <row r="846" ht="17" customHeight="1" s="380">
      <c r="B846" s="4" t="inlineStr">
        <is>
          <t>TK-HSX01</t>
        </is>
      </c>
      <c r="D846" s="234" t="inlineStr">
        <is>
          <t>Khối lượng giao dịch CW</t>
        </is>
      </c>
      <c r="F846" s="184" t="inlineStr">
        <is>
          <t>Báo cáo</t>
        </is>
      </c>
    </row>
    <row r="847" ht="17" customHeight="1" s="380">
      <c r="B847" s="4" t="inlineStr">
        <is>
          <t>TK-HSX01</t>
        </is>
      </c>
      <c r="D847" s="234" t="inlineStr">
        <is>
          <t xml:space="preserve">Khối lượng mua </t>
        </is>
      </c>
      <c r="F847" s="184" t="inlineStr">
        <is>
          <t>Báo cáo</t>
        </is>
      </c>
      <c r="G847" s="4" t="inlineStr">
        <is>
          <t>Chỉ tiêu phái sinh</t>
        </is>
      </c>
      <c r="H847" s="4" t="inlineStr">
        <is>
          <t>TB</t>
        </is>
      </c>
    </row>
    <row r="848" ht="17" customHeight="1" s="380">
      <c r="B848" s="4" t="inlineStr">
        <is>
          <t>TK-HSX01</t>
        </is>
      </c>
      <c r="D848" s="234" t="inlineStr">
        <is>
          <t xml:space="preserve">Khối lượng bán </t>
        </is>
      </c>
      <c r="F848" s="184" t="inlineStr">
        <is>
          <t>Báo cáo</t>
        </is>
      </c>
      <c r="G848" s="4" t="inlineStr">
        <is>
          <t>Chỉ tiêu phái sinh</t>
        </is>
      </c>
      <c r="H848" s="4" t="inlineStr">
        <is>
          <t>TB</t>
        </is>
      </c>
    </row>
    <row r="849" ht="17" customHeight="1" s="380">
      <c r="B849" s="4" t="inlineStr">
        <is>
          <t>TK-HSX01</t>
        </is>
      </c>
      <c r="D849" s="234" t="inlineStr">
        <is>
          <t>Giá trị giao dịch CW</t>
        </is>
      </c>
      <c r="F849" s="184" t="inlineStr">
        <is>
          <t>Báo cáo</t>
        </is>
      </c>
      <c r="G849" s="4" t="inlineStr">
        <is>
          <t>Chỉ tiêu phái sinh</t>
        </is>
      </c>
      <c r="H849" s="4" t="inlineStr">
        <is>
          <t>TB</t>
        </is>
      </c>
    </row>
    <row r="850" ht="17" customHeight="1" s="380">
      <c r="B850" s="4" t="inlineStr">
        <is>
          <t>TK-HSX01</t>
        </is>
      </c>
      <c r="D850" s="209" t="inlineStr">
        <is>
          <t xml:space="preserve">Giá trị mua </t>
        </is>
      </c>
      <c r="F850" s="184" t="inlineStr">
        <is>
          <t>Báo cáo</t>
        </is>
      </c>
      <c r="G850" s="4" t="inlineStr">
        <is>
          <t>Chỉ tiêu phái sinh</t>
        </is>
      </c>
      <c r="H850" s="4" t="inlineStr">
        <is>
          <t>Dễ</t>
        </is>
      </c>
    </row>
    <row r="851" ht="17" customHeight="1" s="380">
      <c r="B851" s="4" t="inlineStr">
        <is>
          <t>TK-HSX01</t>
        </is>
      </c>
      <c r="D851" s="233" t="inlineStr">
        <is>
          <t>Khối lượng</t>
        </is>
      </c>
      <c r="F851" s="184" t="inlineStr">
        <is>
          <t>Báo cáo</t>
        </is>
      </c>
      <c r="G851" s="4" t="inlineStr">
        <is>
          <t>Chỉ tiêu phái sinh</t>
        </is>
      </c>
      <c r="H851" s="4" t="inlineStr">
        <is>
          <t>Trùng</t>
        </is>
      </c>
    </row>
    <row r="852" ht="17" customHeight="1" s="380">
      <c r="B852" s="4" t="inlineStr">
        <is>
          <t>TK-HSX01</t>
        </is>
      </c>
      <c r="D852" s="233" t="inlineStr">
        <is>
          <t>Giá</t>
        </is>
      </c>
      <c r="F852" s="184" t="inlineStr">
        <is>
          <t>Báo cáo</t>
        </is>
      </c>
      <c r="G852" s="4" t="inlineStr">
        <is>
          <t>Chỉ tiêu cơ sở</t>
        </is>
      </c>
      <c r="H852" s="4" t="inlineStr">
        <is>
          <t>Dễ</t>
        </is>
      </c>
    </row>
    <row r="853" ht="17" customHeight="1" s="380">
      <c r="B853" s="4" t="inlineStr">
        <is>
          <t>TK-HSX01</t>
        </is>
      </c>
      <c r="D853" s="209" t="inlineStr">
        <is>
          <t xml:space="preserve">Giá trị bán </t>
        </is>
      </c>
      <c r="F853" s="184" t="inlineStr">
        <is>
          <t>Báo cáo</t>
        </is>
      </c>
      <c r="G853" s="4" t="inlineStr">
        <is>
          <t>Chỉ tiêu phái sinh</t>
        </is>
      </c>
      <c r="H853" s="4" t="inlineStr">
        <is>
          <t>Dễ</t>
        </is>
      </c>
    </row>
    <row r="854" ht="17" customHeight="1" s="380">
      <c r="B854" s="4" t="inlineStr">
        <is>
          <t>TK-HSX01</t>
        </is>
      </c>
      <c r="D854" s="233" t="inlineStr">
        <is>
          <t>Khối lượng</t>
        </is>
      </c>
      <c r="F854" s="184" t="inlineStr">
        <is>
          <t>Báo cáo</t>
        </is>
      </c>
      <c r="G854" s="4" t="inlineStr">
        <is>
          <t>Chỉ tiêu phái sinh</t>
        </is>
      </c>
      <c r="H854" s="4" t="inlineStr">
        <is>
          <t>Trùng</t>
        </is>
      </c>
    </row>
    <row r="855" ht="17" customHeight="1" s="380">
      <c r="B855" s="4" t="inlineStr">
        <is>
          <t>TK-HSX01</t>
        </is>
      </c>
      <c r="D855" s="233" t="inlineStr">
        <is>
          <t>Giá</t>
        </is>
      </c>
      <c r="F855" s="184" t="inlineStr">
        <is>
          <t>Báo cáo</t>
        </is>
      </c>
      <c r="G855" s="4" t="inlineStr">
        <is>
          <t>Chỉ tiêu cơ sở</t>
        </is>
      </c>
      <c r="H855" s="4" t="inlineStr">
        <is>
          <t>Dễ</t>
        </is>
      </c>
    </row>
    <row r="856" ht="17" customHeight="1" s="380">
      <c r="B856" s="4" t="inlineStr">
        <is>
          <t>TK-HSX01</t>
        </is>
      </c>
      <c r="D856" s="258" t="inlineStr">
        <is>
          <t>GDNĐTNN trái phiếu</t>
        </is>
      </c>
      <c r="F856" s="184" t="inlineStr">
        <is>
          <t>Báo cáo</t>
        </is>
      </c>
    </row>
    <row r="857" ht="17" customHeight="1" s="380">
      <c r="B857" s="4" t="inlineStr">
        <is>
          <t>TK-HSX01</t>
        </is>
      </c>
      <c r="D857" s="209" t="inlineStr">
        <is>
          <t xml:space="preserve">Khối lượng giao dịch trái phiếu </t>
        </is>
      </c>
      <c r="F857" s="184" t="inlineStr">
        <is>
          <t>Báo cáo</t>
        </is>
      </c>
    </row>
    <row r="858" ht="17" customHeight="1" s="380">
      <c r="B858" s="4" t="inlineStr">
        <is>
          <t>TK-HSX01</t>
        </is>
      </c>
      <c r="D858" s="209" t="inlineStr">
        <is>
          <t xml:space="preserve">Khối lượng mua </t>
        </is>
      </c>
      <c r="F858" s="184" t="inlineStr">
        <is>
          <t>Báo cáo</t>
        </is>
      </c>
      <c r="G858" s="4" t="inlineStr">
        <is>
          <t>Chỉ tiêu phái sinh</t>
        </is>
      </c>
      <c r="H858" s="4" t="inlineStr">
        <is>
          <t>TB</t>
        </is>
      </c>
    </row>
    <row r="859" ht="17" customHeight="1" s="380">
      <c r="B859" s="4" t="inlineStr">
        <is>
          <t>TK-HSX01</t>
        </is>
      </c>
      <c r="D859" s="209" t="inlineStr">
        <is>
          <t xml:space="preserve">Khối lượng bán </t>
        </is>
      </c>
      <c r="F859" s="184" t="inlineStr">
        <is>
          <t>Báo cáo</t>
        </is>
      </c>
      <c r="G859" s="4" t="inlineStr">
        <is>
          <t>Chỉ tiêu phái sinh</t>
        </is>
      </c>
      <c r="H859" s="4" t="inlineStr">
        <is>
          <t>TB</t>
        </is>
      </c>
    </row>
    <row r="860" ht="17" customHeight="1" s="380">
      <c r="B860" s="4" t="inlineStr">
        <is>
          <t>TK-HSX01</t>
        </is>
      </c>
      <c r="D860" s="209" t="inlineStr">
        <is>
          <t>Giá trị giao dịch trái phiếu</t>
        </is>
      </c>
      <c r="F860" s="184" t="inlineStr">
        <is>
          <t>Báo cáo</t>
        </is>
      </c>
      <c r="G860" s="4" t="inlineStr">
        <is>
          <t>Chỉ tiêu phái sinh</t>
        </is>
      </c>
      <c r="H860" s="4" t="inlineStr">
        <is>
          <t>TB</t>
        </is>
      </c>
    </row>
    <row r="861" ht="17" customHeight="1" s="380">
      <c r="B861" s="4" t="inlineStr">
        <is>
          <t>TK-HSX01</t>
        </is>
      </c>
      <c r="D861" s="209" t="inlineStr">
        <is>
          <t xml:space="preserve">Giá trị mua </t>
        </is>
      </c>
      <c r="F861" s="184" t="inlineStr">
        <is>
          <t>Báo cáo</t>
        </is>
      </c>
      <c r="G861" s="4" t="inlineStr">
        <is>
          <t>Chỉ tiêu phái sinh</t>
        </is>
      </c>
      <c r="H861" s="4" t="inlineStr">
        <is>
          <t>Dễ</t>
        </is>
      </c>
    </row>
    <row r="862" ht="17" customHeight="1" s="380">
      <c r="B862" s="4" t="inlineStr">
        <is>
          <t>TK-HSX01</t>
        </is>
      </c>
      <c r="D862" s="233" t="inlineStr">
        <is>
          <t>Khối lượng</t>
        </is>
      </c>
      <c r="F862" s="184" t="inlineStr">
        <is>
          <t>Báo cáo</t>
        </is>
      </c>
      <c r="G862" s="4" t="inlineStr">
        <is>
          <t>Chỉ tiêu phái sinh</t>
        </is>
      </c>
      <c r="H862" s="4" t="inlineStr">
        <is>
          <t>Trùng</t>
        </is>
      </c>
    </row>
    <row r="863" ht="17" customHeight="1" s="380">
      <c r="B863" s="4" t="inlineStr">
        <is>
          <t>TK-HSX01</t>
        </is>
      </c>
      <c r="D863" s="233" t="inlineStr">
        <is>
          <t>Giá</t>
        </is>
      </c>
      <c r="F863" s="184" t="inlineStr">
        <is>
          <t>Báo cáo</t>
        </is>
      </c>
      <c r="G863" s="4" t="inlineStr">
        <is>
          <t>Chỉ tiêu cơ sở</t>
        </is>
      </c>
      <c r="H863" s="4" t="inlineStr">
        <is>
          <t>Dễ</t>
        </is>
      </c>
    </row>
    <row r="864" ht="17" customHeight="1" s="380">
      <c r="B864" s="4" t="inlineStr">
        <is>
          <t>TK-HSX01</t>
        </is>
      </c>
      <c r="D864" s="209" t="inlineStr">
        <is>
          <t xml:space="preserve">Giá trị bán </t>
        </is>
      </c>
      <c r="F864" s="184" t="inlineStr">
        <is>
          <t>Báo cáo</t>
        </is>
      </c>
      <c r="G864" s="4" t="inlineStr">
        <is>
          <t>Chỉ tiêu phái sinh</t>
        </is>
      </c>
      <c r="H864" s="4" t="inlineStr">
        <is>
          <t>Dễ</t>
        </is>
      </c>
    </row>
    <row r="865" ht="17" customHeight="1" s="380">
      <c r="B865" s="4" t="inlineStr">
        <is>
          <t>TK-HSX01</t>
        </is>
      </c>
      <c r="D865" s="233" t="inlineStr">
        <is>
          <t>Khối lượng</t>
        </is>
      </c>
      <c r="F865" s="184" t="inlineStr">
        <is>
          <t>Báo cáo</t>
        </is>
      </c>
      <c r="G865" s="4" t="inlineStr">
        <is>
          <t>Chỉ tiêu phái sinh</t>
        </is>
      </c>
      <c r="H865" s="4" t="inlineStr">
        <is>
          <t>Trùng</t>
        </is>
      </c>
    </row>
    <row r="866" ht="17" customHeight="1" s="380">
      <c r="B866" s="4" t="inlineStr">
        <is>
          <t>TK-HSX01</t>
        </is>
      </c>
      <c r="D866" s="233" t="inlineStr">
        <is>
          <t>Giá</t>
        </is>
      </c>
      <c r="F866" s="184" t="inlineStr">
        <is>
          <t>Báo cáo</t>
        </is>
      </c>
      <c r="G866" s="4" t="inlineStr">
        <is>
          <t>Chỉ tiêu cơ sở</t>
        </is>
      </c>
      <c r="H866" s="4" t="inlineStr">
        <is>
          <t>Dễ</t>
        </is>
      </c>
    </row>
    <row r="867" ht="17" customHeight="1" s="380">
      <c r="A867" s="183" t="n">
        <v>5</v>
      </c>
      <c r="B867" s="207" t="inlineStr">
        <is>
          <t>TK-HSX04</t>
        </is>
      </c>
      <c r="C867" s="444" t="inlineStr">
        <is>
          <t>BÁO CÁO VỀ GIAO DỊCH TỰ DOANH</t>
        </is>
      </c>
      <c r="D867" s="229" t="inlineStr">
        <is>
          <t>GD tự doanh cổ phiếu niêm yết</t>
        </is>
      </c>
      <c r="E867" s="184" t="inlineStr">
        <is>
          <t>GD tự doanh</t>
        </is>
      </c>
      <c r="F867" s="184" t="inlineStr">
        <is>
          <t>Báo cáo</t>
        </is>
      </c>
      <c r="G867" s="184" t="n"/>
      <c r="H867" s="184" t="n"/>
      <c r="I867" s="184" t="inlineStr">
        <is>
          <t>CPNY</t>
        </is>
      </c>
      <c r="J867" s="184" t="n"/>
      <c r="K867" s="184" t="n"/>
      <c r="L867" s="184" t="n"/>
    </row>
    <row r="868" ht="17" customHeight="1" s="380">
      <c r="B868" s="207" t="inlineStr">
        <is>
          <t>TK-HSX04</t>
        </is>
      </c>
      <c r="C868" s="442" t="n"/>
      <c r="D868" s="209" t="inlineStr">
        <is>
          <t>Khối lượng giao dịch cố phiếu niêm yết</t>
        </is>
      </c>
      <c r="F868" s="184" t="inlineStr">
        <is>
          <t>Báo cáo</t>
        </is>
      </c>
      <c r="I868" s="184" t="inlineStr">
        <is>
          <t>CPNY</t>
        </is>
      </c>
    </row>
    <row r="869" ht="17" customHeight="1" s="380">
      <c r="B869" s="207" t="inlineStr">
        <is>
          <t>TK-HSX04</t>
        </is>
      </c>
      <c r="C869" s="442" t="n"/>
      <c r="D869" s="209" t="inlineStr">
        <is>
          <t xml:space="preserve">Khối lượng mua </t>
        </is>
      </c>
      <c r="F869" s="184" t="inlineStr">
        <is>
          <t>Báo cáo</t>
        </is>
      </c>
      <c r="G869" s="4" t="inlineStr">
        <is>
          <t>Chỉ tiêu phái sinh</t>
        </is>
      </c>
      <c r="H869" s="4" t="inlineStr">
        <is>
          <t>TB</t>
        </is>
      </c>
      <c r="I869" s="184" t="inlineStr">
        <is>
          <t>CPNY</t>
        </is>
      </c>
    </row>
    <row r="870" ht="17" customHeight="1" s="380">
      <c r="B870" s="207" t="inlineStr">
        <is>
          <t>TK-HSX04</t>
        </is>
      </c>
      <c r="C870" s="442" t="n"/>
      <c r="D870" s="209" t="inlineStr">
        <is>
          <t xml:space="preserve">Khối lượng bán </t>
        </is>
      </c>
      <c r="F870" s="184" t="inlineStr">
        <is>
          <t>Báo cáo</t>
        </is>
      </c>
      <c r="G870" s="4" t="inlineStr">
        <is>
          <t>Chỉ tiêu phái sinh</t>
        </is>
      </c>
      <c r="H870" s="4" t="inlineStr">
        <is>
          <t>TB</t>
        </is>
      </c>
      <c r="I870" s="184" t="inlineStr">
        <is>
          <t>CPNY</t>
        </is>
      </c>
    </row>
    <row r="871" ht="34" customHeight="1" s="380">
      <c r="B871" s="207" t="inlineStr">
        <is>
          <t>TK-HSX04</t>
        </is>
      </c>
      <c r="C871" s="442" t="n"/>
      <c r="D871" s="209" t="inlineStr">
        <is>
          <t>Giá trị giao dịch cổ phiếu niêm yết (VND)</t>
        </is>
      </c>
      <c r="F871" s="184" t="inlineStr">
        <is>
          <t>Báo cáo</t>
        </is>
      </c>
      <c r="I871" s="184" t="inlineStr">
        <is>
          <t>CPNY</t>
        </is>
      </c>
    </row>
    <row r="872" ht="17" customHeight="1" s="380">
      <c r="B872" s="207" t="inlineStr">
        <is>
          <t>TK-HSX04</t>
        </is>
      </c>
      <c r="C872" s="442" t="n"/>
      <c r="D872" s="209" t="inlineStr">
        <is>
          <t xml:space="preserve">Giá trị mua </t>
        </is>
      </c>
      <c r="F872" s="184" t="inlineStr">
        <is>
          <t>Báo cáo</t>
        </is>
      </c>
      <c r="G872" s="4" t="inlineStr">
        <is>
          <t>Chỉ tiêu phái sinh</t>
        </is>
      </c>
      <c r="H872" s="4" t="inlineStr">
        <is>
          <t>TB</t>
        </is>
      </c>
      <c r="I872" s="184" t="inlineStr">
        <is>
          <t>CPNY</t>
        </is>
      </c>
    </row>
    <row r="873" ht="17" customHeight="1" s="380">
      <c r="B873" s="207" t="inlineStr">
        <is>
          <t>TK-HSX04</t>
        </is>
      </c>
      <c r="C873" s="442" t="n"/>
      <c r="D873" s="233" t="inlineStr">
        <is>
          <t>Khối lượng</t>
        </is>
      </c>
      <c r="F873" s="184" t="inlineStr">
        <is>
          <t>Báo cáo</t>
        </is>
      </c>
      <c r="G873" s="4" t="inlineStr">
        <is>
          <t>Chỉ tiêu phái sinh</t>
        </is>
      </c>
      <c r="H873" s="4" t="inlineStr">
        <is>
          <t>Trùng</t>
        </is>
      </c>
      <c r="I873" s="184" t="inlineStr">
        <is>
          <t>CPNY</t>
        </is>
      </c>
    </row>
    <row r="874" ht="17" customHeight="1" s="380">
      <c r="B874" s="207" t="inlineStr">
        <is>
          <t>TK-HSX04</t>
        </is>
      </c>
      <c r="C874" s="442" t="n"/>
      <c r="D874" s="233" t="inlineStr">
        <is>
          <t>Giá</t>
        </is>
      </c>
      <c r="F874" s="184" t="inlineStr">
        <is>
          <t>Báo cáo</t>
        </is>
      </c>
      <c r="G874" s="4" t="inlineStr">
        <is>
          <t>Chỉ tiêu cơ sở</t>
        </is>
      </c>
      <c r="H874" s="4" t="inlineStr">
        <is>
          <t>Dễ</t>
        </is>
      </c>
      <c r="I874" s="184" t="inlineStr">
        <is>
          <t>CPNY</t>
        </is>
      </c>
    </row>
    <row r="875" ht="17" customHeight="1" s="380">
      <c r="B875" s="207" t="inlineStr">
        <is>
          <t>TK-HSX04</t>
        </is>
      </c>
      <c r="C875" s="442" t="n"/>
      <c r="D875" s="209" t="inlineStr">
        <is>
          <t xml:space="preserve">Giá trị bán </t>
        </is>
      </c>
      <c r="F875" s="184" t="inlineStr">
        <is>
          <t>Báo cáo</t>
        </is>
      </c>
      <c r="G875" s="4" t="inlineStr">
        <is>
          <t>Chỉ tiêu phái sinh</t>
        </is>
      </c>
      <c r="H875" s="4" t="inlineStr">
        <is>
          <t>TB</t>
        </is>
      </c>
      <c r="I875" s="184" t="inlineStr">
        <is>
          <t>CPNY</t>
        </is>
      </c>
    </row>
    <row r="876" ht="17" customHeight="1" s="380">
      <c r="B876" s="207" t="inlineStr">
        <is>
          <t>TK-HSX04</t>
        </is>
      </c>
      <c r="C876" s="442" t="n"/>
      <c r="D876" s="233" t="inlineStr">
        <is>
          <t>Khối lượng</t>
        </is>
      </c>
      <c r="F876" s="184" t="inlineStr">
        <is>
          <t>Báo cáo</t>
        </is>
      </c>
      <c r="G876" s="4" t="inlineStr">
        <is>
          <t>Chỉ tiêu phái sinh</t>
        </is>
      </c>
      <c r="H876" s="4" t="inlineStr">
        <is>
          <t>Trùng</t>
        </is>
      </c>
      <c r="I876" s="184" t="inlineStr">
        <is>
          <t>CPNY</t>
        </is>
      </c>
    </row>
    <row r="877" ht="17" customHeight="1" s="380">
      <c r="B877" s="207" t="inlineStr">
        <is>
          <t>TK-HSX04</t>
        </is>
      </c>
      <c r="C877" s="442" t="n"/>
      <c r="D877" s="233" t="inlineStr">
        <is>
          <t>Giá</t>
        </is>
      </c>
      <c r="F877" s="184" t="inlineStr">
        <is>
          <t>Báo cáo</t>
        </is>
      </c>
      <c r="G877" s="4" t="inlineStr">
        <is>
          <t>Chỉ tiêu cơ sở</t>
        </is>
      </c>
      <c r="H877" s="4" t="inlineStr">
        <is>
          <t>Dễ</t>
        </is>
      </c>
      <c r="I877" s="184" t="inlineStr">
        <is>
          <t>CPNY</t>
        </is>
      </c>
    </row>
    <row r="878" ht="17" customHeight="1" s="380">
      <c r="B878" s="207" t="inlineStr">
        <is>
          <t>TK-HSX04</t>
        </is>
      </c>
      <c r="C878" s="442" t="n"/>
      <c r="D878" s="258" t="inlineStr">
        <is>
          <t>GD tự doanh chứng chỉ quỹ</t>
        </is>
      </c>
      <c r="F878" s="184" t="inlineStr">
        <is>
          <t>Báo cáo</t>
        </is>
      </c>
      <c r="I878" s="4" t="inlineStr">
        <is>
          <t>CCQ</t>
        </is>
      </c>
    </row>
    <row r="879" ht="17" customHeight="1" s="380">
      <c r="B879" s="207" t="inlineStr">
        <is>
          <t>TK-HSX04</t>
        </is>
      </c>
      <c r="C879" s="442" t="n"/>
      <c r="D879" s="209" t="inlineStr">
        <is>
          <t>Khối lượng giao dịch chứng chỉ quỹ</t>
        </is>
      </c>
      <c r="F879" s="184" t="inlineStr">
        <is>
          <t>Báo cáo</t>
        </is>
      </c>
      <c r="I879" s="4" t="inlineStr">
        <is>
          <t>CCQ</t>
        </is>
      </c>
    </row>
    <row r="880" ht="17" customHeight="1" s="380">
      <c r="B880" s="207" t="inlineStr">
        <is>
          <t>TK-HSX04</t>
        </is>
      </c>
      <c r="C880" s="442" t="n"/>
      <c r="D880" s="209" t="inlineStr">
        <is>
          <t xml:space="preserve">Khối lượng mua </t>
        </is>
      </c>
      <c r="F880" s="184" t="inlineStr">
        <is>
          <t>Báo cáo</t>
        </is>
      </c>
      <c r="G880" s="4" t="inlineStr">
        <is>
          <t>Chỉ tiêu phái sinh</t>
        </is>
      </c>
      <c r="H880" s="4" t="inlineStr">
        <is>
          <t>TB</t>
        </is>
      </c>
      <c r="I880" s="4" t="inlineStr">
        <is>
          <t>CCQ</t>
        </is>
      </c>
    </row>
    <row r="881" ht="17" customHeight="1" s="380">
      <c r="B881" s="207" t="inlineStr">
        <is>
          <t>TK-HSX04</t>
        </is>
      </c>
      <c r="C881" s="442" t="n"/>
      <c r="D881" s="209" t="inlineStr">
        <is>
          <t xml:space="preserve">Khối lượng bán </t>
        </is>
      </c>
      <c r="F881" s="184" t="inlineStr">
        <is>
          <t>Báo cáo</t>
        </is>
      </c>
      <c r="G881" s="4" t="inlineStr">
        <is>
          <t>Chỉ tiêu phái sinh</t>
        </is>
      </c>
      <c r="H881" s="4" t="inlineStr">
        <is>
          <t>TB</t>
        </is>
      </c>
      <c r="I881" s="4" t="inlineStr">
        <is>
          <t>CCQ</t>
        </is>
      </c>
    </row>
    <row r="882" ht="17" customHeight="1" s="380">
      <c r="B882" s="207" t="inlineStr">
        <is>
          <t>TK-HSX04</t>
        </is>
      </c>
      <c r="C882" s="442" t="n"/>
      <c r="D882" s="209" t="inlineStr">
        <is>
          <t>Giá trị giao dịch chứng chỉ quỹ (VND)</t>
        </is>
      </c>
      <c r="F882" s="184" t="inlineStr">
        <is>
          <t>Báo cáo</t>
        </is>
      </c>
      <c r="I882" s="4" t="inlineStr">
        <is>
          <t>CCQ</t>
        </is>
      </c>
    </row>
    <row r="883" ht="17" customHeight="1" s="380">
      <c r="B883" s="207" t="inlineStr">
        <is>
          <t>TK-HSX04</t>
        </is>
      </c>
      <c r="C883" s="442" t="n"/>
      <c r="D883" s="209" t="inlineStr">
        <is>
          <t xml:space="preserve">Giá trị mua </t>
        </is>
      </c>
      <c r="F883" s="184" t="inlineStr">
        <is>
          <t>Báo cáo</t>
        </is>
      </c>
      <c r="G883" s="4" t="inlineStr">
        <is>
          <t>Chỉ tiêu phái sinh</t>
        </is>
      </c>
      <c r="H883" s="4" t="inlineStr">
        <is>
          <t>TB</t>
        </is>
      </c>
      <c r="I883" s="4" t="inlineStr">
        <is>
          <t>CCQ</t>
        </is>
      </c>
    </row>
    <row r="884" ht="17" customHeight="1" s="380">
      <c r="B884" s="207" t="inlineStr">
        <is>
          <t>TK-HSX04</t>
        </is>
      </c>
      <c r="C884" s="442" t="n"/>
      <c r="D884" s="233" t="inlineStr">
        <is>
          <t>Khối lượng</t>
        </is>
      </c>
      <c r="F884" s="184" t="inlineStr">
        <is>
          <t>Báo cáo</t>
        </is>
      </c>
      <c r="G884" s="4" t="inlineStr">
        <is>
          <t>Chỉ tiêu phái sinh</t>
        </is>
      </c>
      <c r="H884" s="4" t="inlineStr">
        <is>
          <t>Trùng</t>
        </is>
      </c>
      <c r="I884" s="4" t="inlineStr">
        <is>
          <t>CCQ</t>
        </is>
      </c>
    </row>
    <row r="885" ht="17" customHeight="1" s="380">
      <c r="B885" s="207" t="inlineStr">
        <is>
          <t>TK-HSX04</t>
        </is>
      </c>
      <c r="C885" s="442" t="n"/>
      <c r="D885" s="233" t="inlineStr">
        <is>
          <t>Giá</t>
        </is>
      </c>
      <c r="F885" s="184" t="inlineStr">
        <is>
          <t>Báo cáo</t>
        </is>
      </c>
      <c r="G885" s="4" t="inlineStr">
        <is>
          <t>Chỉ tiêu cơ sở</t>
        </is>
      </c>
      <c r="H885" s="4" t="inlineStr">
        <is>
          <t>Dễ</t>
        </is>
      </c>
      <c r="I885" s="4" t="inlineStr">
        <is>
          <t>CCQ</t>
        </is>
      </c>
    </row>
    <row r="886" ht="17" customHeight="1" s="380">
      <c r="B886" s="207" t="inlineStr">
        <is>
          <t>TK-HSX04</t>
        </is>
      </c>
      <c r="C886" s="442" t="n"/>
      <c r="D886" s="209" t="inlineStr">
        <is>
          <t xml:space="preserve">Giá trị bán </t>
        </is>
      </c>
      <c r="F886" s="184" t="inlineStr">
        <is>
          <t>Báo cáo</t>
        </is>
      </c>
      <c r="G886" s="4" t="inlineStr">
        <is>
          <t>Chỉ tiêu phái sinh</t>
        </is>
      </c>
      <c r="H886" s="4" t="inlineStr">
        <is>
          <t>TB</t>
        </is>
      </c>
      <c r="I886" s="4" t="inlineStr">
        <is>
          <t>CCQ</t>
        </is>
      </c>
    </row>
    <row r="887" ht="17" customHeight="1" s="380">
      <c r="B887" s="207" t="inlineStr">
        <is>
          <t>TK-HSX04</t>
        </is>
      </c>
      <c r="C887" s="442" t="n"/>
      <c r="D887" s="233" t="inlineStr">
        <is>
          <t>Khối lượng</t>
        </is>
      </c>
      <c r="F887" s="184" t="inlineStr">
        <is>
          <t>Báo cáo</t>
        </is>
      </c>
      <c r="G887" s="4" t="inlineStr">
        <is>
          <t>Chỉ tiêu phái sinh</t>
        </is>
      </c>
      <c r="H887" s="4" t="inlineStr">
        <is>
          <t>Trùng</t>
        </is>
      </c>
      <c r="I887" s="4" t="inlineStr">
        <is>
          <t>CCQ</t>
        </is>
      </c>
    </row>
    <row r="888" ht="17" customHeight="1" s="380">
      <c r="B888" s="207" t="inlineStr">
        <is>
          <t>TK-HSX04</t>
        </is>
      </c>
      <c r="C888" s="442" t="n"/>
      <c r="D888" s="233" t="inlineStr">
        <is>
          <t>Giá</t>
        </is>
      </c>
      <c r="F888" s="184" t="inlineStr">
        <is>
          <t>Báo cáo</t>
        </is>
      </c>
      <c r="G888" s="4" t="inlineStr">
        <is>
          <t>Chỉ tiêu cơ sở</t>
        </is>
      </c>
      <c r="H888" s="4" t="inlineStr">
        <is>
          <t>Dễ</t>
        </is>
      </c>
      <c r="I888" s="4" t="inlineStr">
        <is>
          <t>CCQ</t>
        </is>
      </c>
    </row>
    <row r="889" ht="17" customHeight="1" s="380">
      <c r="B889" s="207" t="inlineStr">
        <is>
          <t>TK-HSX04</t>
        </is>
      </c>
      <c r="C889" s="442" t="n"/>
      <c r="D889" s="258" t="inlineStr">
        <is>
          <t>GD tự doanh ETF</t>
        </is>
      </c>
      <c r="F889" s="184" t="inlineStr">
        <is>
          <t>Báo cáo</t>
        </is>
      </c>
      <c r="I889" s="4" t="inlineStr">
        <is>
          <t>ETF</t>
        </is>
      </c>
    </row>
    <row r="890" ht="17" customHeight="1" s="380">
      <c r="B890" s="207" t="inlineStr">
        <is>
          <t>TK-HSX04</t>
        </is>
      </c>
      <c r="C890" s="442" t="n"/>
      <c r="D890" s="209" t="inlineStr">
        <is>
          <t>Khối lượng giao dịch ETF</t>
        </is>
      </c>
      <c r="F890" s="184" t="inlineStr">
        <is>
          <t>Báo cáo</t>
        </is>
      </c>
      <c r="I890" s="4" t="inlineStr">
        <is>
          <t>ETF</t>
        </is>
      </c>
    </row>
    <row r="891" ht="17" customHeight="1" s="380">
      <c r="B891" s="207" t="inlineStr">
        <is>
          <t>TK-HSX04</t>
        </is>
      </c>
      <c r="C891" s="442" t="n"/>
      <c r="D891" s="209" t="inlineStr">
        <is>
          <t xml:space="preserve">Khối lượng mua </t>
        </is>
      </c>
      <c r="F891" s="184" t="inlineStr">
        <is>
          <t>Báo cáo</t>
        </is>
      </c>
      <c r="G891" s="4" t="inlineStr">
        <is>
          <t>Chỉ tiêu phái sinh</t>
        </is>
      </c>
      <c r="H891" s="4" t="inlineStr">
        <is>
          <t>TB</t>
        </is>
      </c>
      <c r="I891" s="4" t="inlineStr">
        <is>
          <t>ETF</t>
        </is>
      </c>
    </row>
    <row r="892" ht="17" customHeight="1" s="380">
      <c r="B892" s="207" t="inlineStr">
        <is>
          <t>TK-HSX04</t>
        </is>
      </c>
      <c r="C892" s="442" t="n"/>
      <c r="D892" s="209" t="inlineStr">
        <is>
          <t xml:space="preserve">Khối lượng bán </t>
        </is>
      </c>
      <c r="F892" s="184" t="inlineStr">
        <is>
          <t>Báo cáo</t>
        </is>
      </c>
      <c r="G892" s="4" t="inlineStr">
        <is>
          <t>Chỉ tiêu phái sinh</t>
        </is>
      </c>
      <c r="H892" s="4" t="inlineStr">
        <is>
          <t>TB</t>
        </is>
      </c>
      <c r="I892" s="4" t="inlineStr">
        <is>
          <t>ETF</t>
        </is>
      </c>
    </row>
    <row r="893" ht="17" customHeight="1" s="380">
      <c r="B893" s="207" t="inlineStr">
        <is>
          <t>TK-HSX04</t>
        </is>
      </c>
      <c r="C893" s="442" t="n"/>
      <c r="D893" s="209" t="inlineStr">
        <is>
          <t>Giá trị giao dịch ETF (VND)</t>
        </is>
      </c>
      <c r="F893" s="184" t="inlineStr">
        <is>
          <t>Báo cáo</t>
        </is>
      </c>
      <c r="I893" s="4" t="inlineStr">
        <is>
          <t>ETF</t>
        </is>
      </c>
    </row>
    <row r="894" ht="17" customHeight="1" s="380">
      <c r="B894" s="207" t="inlineStr">
        <is>
          <t>TK-HSX04</t>
        </is>
      </c>
      <c r="C894" s="442" t="n"/>
      <c r="D894" s="209" t="inlineStr">
        <is>
          <t xml:space="preserve">Giá trị mua </t>
        </is>
      </c>
      <c r="F894" s="184" t="inlineStr">
        <is>
          <t>Báo cáo</t>
        </is>
      </c>
      <c r="G894" s="4" t="inlineStr">
        <is>
          <t>Chỉ tiêu phái sinh</t>
        </is>
      </c>
      <c r="H894" s="4" t="inlineStr">
        <is>
          <t>TB</t>
        </is>
      </c>
      <c r="I894" s="4" t="inlineStr">
        <is>
          <t>ETF</t>
        </is>
      </c>
    </row>
    <row r="895" ht="17" customHeight="1" s="380">
      <c r="B895" s="207" t="inlineStr">
        <is>
          <t>TK-HSX04</t>
        </is>
      </c>
      <c r="C895" s="442" t="n"/>
      <c r="D895" s="233" t="inlineStr">
        <is>
          <t>Khối lượng</t>
        </is>
      </c>
      <c r="F895" s="184" t="inlineStr">
        <is>
          <t>Báo cáo</t>
        </is>
      </c>
      <c r="G895" s="4" t="inlineStr">
        <is>
          <t>Chỉ tiêu phái sinh</t>
        </is>
      </c>
      <c r="H895" s="4" t="inlineStr">
        <is>
          <t>Trùng</t>
        </is>
      </c>
      <c r="I895" s="4" t="inlineStr">
        <is>
          <t>ETF</t>
        </is>
      </c>
    </row>
    <row r="896" ht="17" customHeight="1" s="380">
      <c r="B896" s="207" t="inlineStr">
        <is>
          <t>TK-HSX04</t>
        </is>
      </c>
      <c r="C896" s="442" t="n"/>
      <c r="D896" s="233" t="inlineStr">
        <is>
          <t>Giá</t>
        </is>
      </c>
      <c r="F896" s="184" t="inlineStr">
        <is>
          <t>Báo cáo</t>
        </is>
      </c>
      <c r="G896" s="4" t="inlineStr">
        <is>
          <t>Chỉ tiêu cơ sở</t>
        </is>
      </c>
      <c r="H896" s="4" t="inlineStr">
        <is>
          <t>Dễ</t>
        </is>
      </c>
      <c r="I896" s="4" t="inlineStr">
        <is>
          <t>ETF</t>
        </is>
      </c>
    </row>
    <row r="897" ht="17" customHeight="1" s="380">
      <c r="B897" s="207" t="inlineStr">
        <is>
          <t>TK-HSX04</t>
        </is>
      </c>
      <c r="C897" s="442" t="n"/>
      <c r="D897" s="209" t="inlineStr">
        <is>
          <t xml:space="preserve">Giá trị bán </t>
        </is>
      </c>
      <c r="F897" s="184" t="inlineStr">
        <is>
          <t>Báo cáo</t>
        </is>
      </c>
      <c r="G897" s="4" t="inlineStr">
        <is>
          <t>Chỉ tiêu phái sinh</t>
        </is>
      </c>
      <c r="H897" s="4" t="inlineStr">
        <is>
          <t>TB</t>
        </is>
      </c>
      <c r="I897" s="4" t="inlineStr">
        <is>
          <t>ETF</t>
        </is>
      </c>
    </row>
    <row r="898" ht="17" customHeight="1" s="380">
      <c r="B898" s="207" t="inlineStr">
        <is>
          <t>TK-HSX04</t>
        </is>
      </c>
      <c r="C898" s="442" t="n"/>
      <c r="D898" s="233" t="inlineStr">
        <is>
          <t>Khối lượng</t>
        </is>
      </c>
      <c r="F898" s="184" t="inlineStr">
        <is>
          <t>Báo cáo</t>
        </is>
      </c>
      <c r="G898" s="4" t="inlineStr">
        <is>
          <t>Chỉ tiêu phái sinh</t>
        </is>
      </c>
      <c r="H898" s="4" t="inlineStr">
        <is>
          <t>Trùng</t>
        </is>
      </c>
      <c r="I898" s="4" t="inlineStr">
        <is>
          <t>ETF</t>
        </is>
      </c>
    </row>
    <row r="899" ht="17" customHeight="1" s="380">
      <c r="B899" s="207" t="inlineStr">
        <is>
          <t>TK-HSX04</t>
        </is>
      </c>
      <c r="C899" s="442" t="n"/>
      <c r="D899" s="233" t="inlineStr">
        <is>
          <t>Giá</t>
        </is>
      </c>
      <c r="F899" s="184" t="inlineStr">
        <is>
          <t>Báo cáo</t>
        </is>
      </c>
      <c r="G899" s="4" t="inlineStr">
        <is>
          <t>Chỉ tiêu cơ sở</t>
        </is>
      </c>
      <c r="H899" s="4" t="inlineStr">
        <is>
          <t>Dễ</t>
        </is>
      </c>
      <c r="I899" s="4" t="inlineStr">
        <is>
          <t>ETF</t>
        </is>
      </c>
    </row>
    <row r="900" ht="17" customHeight="1" s="380">
      <c r="B900" s="207" t="inlineStr">
        <is>
          <t>TK-HSX04</t>
        </is>
      </c>
      <c r="C900" s="442" t="n"/>
      <c r="D900" s="259" t="inlineStr">
        <is>
          <t>GD tự doanh CW</t>
        </is>
      </c>
      <c r="F900" s="184" t="inlineStr">
        <is>
          <t>Báo cáo</t>
        </is>
      </c>
      <c r="I900" s="4" t="inlineStr">
        <is>
          <t>CW</t>
        </is>
      </c>
    </row>
    <row r="901" ht="17" customHeight="1" s="380">
      <c r="B901" s="207" t="inlineStr">
        <is>
          <t>TK-HSX04</t>
        </is>
      </c>
      <c r="C901" s="442" t="n"/>
      <c r="D901" s="234" t="inlineStr">
        <is>
          <t>Khối lượng giao dịch CW</t>
        </is>
      </c>
      <c r="F901" s="184" t="inlineStr">
        <is>
          <t>Báo cáo</t>
        </is>
      </c>
      <c r="I901" s="4" t="inlineStr">
        <is>
          <t>CW</t>
        </is>
      </c>
    </row>
    <row r="902" ht="17" customHeight="1" s="380">
      <c r="B902" s="207" t="inlineStr">
        <is>
          <t>TK-HSX04</t>
        </is>
      </c>
      <c r="C902" s="442" t="n"/>
      <c r="D902" s="234" t="inlineStr">
        <is>
          <t xml:space="preserve">Khối lượng mua </t>
        </is>
      </c>
      <c r="F902" s="184" t="inlineStr">
        <is>
          <t>Báo cáo</t>
        </is>
      </c>
      <c r="G902" s="4" t="inlineStr">
        <is>
          <t>Chỉ tiêu phái sinh</t>
        </is>
      </c>
      <c r="H902" s="4" t="inlineStr">
        <is>
          <t>TB</t>
        </is>
      </c>
      <c r="I902" s="4" t="inlineStr">
        <is>
          <t>CW</t>
        </is>
      </c>
    </row>
    <row r="903" ht="17" customHeight="1" s="380">
      <c r="B903" s="207" t="inlineStr">
        <is>
          <t>TK-HSX04</t>
        </is>
      </c>
      <c r="C903" s="442" t="n"/>
      <c r="D903" s="234" t="inlineStr">
        <is>
          <t xml:space="preserve">Khối lượng bán </t>
        </is>
      </c>
      <c r="F903" s="184" t="inlineStr">
        <is>
          <t>Báo cáo</t>
        </is>
      </c>
      <c r="G903" s="4" t="inlineStr">
        <is>
          <t>Chỉ tiêu phái sinh</t>
        </is>
      </c>
      <c r="H903" s="4" t="inlineStr">
        <is>
          <t>TB</t>
        </is>
      </c>
      <c r="I903" s="4" t="inlineStr">
        <is>
          <t>CW</t>
        </is>
      </c>
    </row>
    <row r="904" ht="17" customHeight="1" s="380">
      <c r="B904" s="207" t="inlineStr">
        <is>
          <t>TK-HSX04</t>
        </is>
      </c>
      <c r="C904" s="442" t="n"/>
      <c r="D904" s="234" t="inlineStr">
        <is>
          <t>Giá trị giao dịch CW</t>
        </is>
      </c>
      <c r="F904" s="184" t="inlineStr">
        <is>
          <t>Báo cáo</t>
        </is>
      </c>
      <c r="I904" s="4" t="inlineStr">
        <is>
          <t>CW</t>
        </is>
      </c>
    </row>
    <row r="905" ht="17" customHeight="1" s="380">
      <c r="B905" s="207" t="inlineStr">
        <is>
          <t>TK-HSX04</t>
        </is>
      </c>
      <c r="C905" s="442" t="n"/>
      <c r="D905" s="209" t="inlineStr">
        <is>
          <t xml:space="preserve">Giá trị mua </t>
        </is>
      </c>
      <c r="F905" s="184" t="inlineStr">
        <is>
          <t>Báo cáo</t>
        </is>
      </c>
      <c r="G905" s="4" t="inlineStr">
        <is>
          <t>Chỉ tiêu phái sinh</t>
        </is>
      </c>
      <c r="H905" s="4" t="inlineStr">
        <is>
          <t>TB</t>
        </is>
      </c>
      <c r="I905" s="4" t="inlineStr">
        <is>
          <t>CW</t>
        </is>
      </c>
    </row>
    <row r="906" ht="17" customHeight="1" s="380">
      <c r="B906" s="207" t="inlineStr">
        <is>
          <t>TK-HSX04</t>
        </is>
      </c>
      <c r="C906" s="442" t="n"/>
      <c r="D906" s="233" t="inlineStr">
        <is>
          <t>Khối lượng</t>
        </is>
      </c>
      <c r="F906" s="184" t="inlineStr">
        <is>
          <t>Báo cáo</t>
        </is>
      </c>
      <c r="G906" s="4" t="inlineStr">
        <is>
          <t>Chỉ tiêu phái sinh</t>
        </is>
      </c>
      <c r="H906" s="4" t="inlineStr">
        <is>
          <t>Trùng</t>
        </is>
      </c>
      <c r="I906" s="4" t="inlineStr">
        <is>
          <t>CW</t>
        </is>
      </c>
    </row>
    <row r="907" ht="17" customHeight="1" s="380">
      <c r="B907" s="207" t="inlineStr">
        <is>
          <t>TK-HSX04</t>
        </is>
      </c>
      <c r="C907" s="442" t="n"/>
      <c r="D907" s="233" t="inlineStr">
        <is>
          <t>Giá</t>
        </is>
      </c>
      <c r="F907" s="184" t="inlineStr">
        <is>
          <t>Báo cáo</t>
        </is>
      </c>
      <c r="G907" s="4" t="inlineStr">
        <is>
          <t>Chỉ tiêu cơ sở</t>
        </is>
      </c>
      <c r="H907" s="4" t="inlineStr">
        <is>
          <t>Dễ</t>
        </is>
      </c>
      <c r="I907" s="4" t="inlineStr">
        <is>
          <t>CW</t>
        </is>
      </c>
    </row>
    <row r="908" ht="17" customHeight="1" s="380">
      <c r="B908" s="207" t="inlineStr">
        <is>
          <t>TK-HSX04</t>
        </is>
      </c>
      <c r="C908" s="442" t="n"/>
      <c r="D908" s="209" t="inlineStr">
        <is>
          <t xml:space="preserve">Giá trị bán </t>
        </is>
      </c>
      <c r="F908" s="184" t="inlineStr">
        <is>
          <t>Báo cáo</t>
        </is>
      </c>
      <c r="G908" s="4" t="inlineStr">
        <is>
          <t>Chỉ tiêu phái sinh</t>
        </is>
      </c>
      <c r="H908" s="4" t="inlineStr">
        <is>
          <t>TB</t>
        </is>
      </c>
      <c r="I908" s="4" t="inlineStr">
        <is>
          <t>CW</t>
        </is>
      </c>
    </row>
    <row r="909" ht="17" customHeight="1" s="380">
      <c r="B909" s="207" t="inlineStr">
        <is>
          <t>TK-HSX04</t>
        </is>
      </c>
      <c r="C909" s="442" t="n"/>
      <c r="D909" s="233" t="inlineStr">
        <is>
          <t>Khối lượng</t>
        </is>
      </c>
      <c r="F909" s="184" t="inlineStr">
        <is>
          <t>Báo cáo</t>
        </is>
      </c>
      <c r="G909" s="4" t="inlineStr">
        <is>
          <t>Chỉ tiêu phái sinh</t>
        </is>
      </c>
      <c r="H909" s="4" t="inlineStr">
        <is>
          <t>Trùng</t>
        </is>
      </c>
      <c r="I909" s="4" t="inlineStr">
        <is>
          <t>CW</t>
        </is>
      </c>
    </row>
    <row r="910" ht="17" customHeight="1" s="380">
      <c r="B910" s="207" t="inlineStr">
        <is>
          <t>TK-HSX04</t>
        </is>
      </c>
      <c r="C910" s="443" t="n"/>
      <c r="D910" s="233" t="inlineStr">
        <is>
          <t>Giá</t>
        </is>
      </c>
      <c r="F910" s="184" t="inlineStr">
        <is>
          <t>Báo cáo</t>
        </is>
      </c>
      <c r="G910" s="4" t="inlineStr">
        <is>
          <t>Chỉ tiêu cơ sở</t>
        </is>
      </c>
      <c r="H910" s="4" t="inlineStr">
        <is>
          <t>Dễ</t>
        </is>
      </c>
      <c r="I910" s="4" t="inlineStr">
        <is>
          <t>CW</t>
        </is>
      </c>
    </row>
    <row r="911" ht="15" customHeight="1" s="380">
      <c r="A911" s="183" t="n">
        <v>6</v>
      </c>
      <c r="B911" s="228" t="inlineStr">
        <is>
          <t>TK-04.BTC</t>
        </is>
      </c>
      <c r="C911" s="260" t="n"/>
      <c r="D911" s="261" t="inlineStr">
        <is>
          <t>I. Vốn hóa thị trường chứng khoán</t>
        </is>
      </c>
      <c r="E911" s="184" t="inlineStr">
        <is>
          <t>Giá trị vốn hóa TTCK</t>
        </is>
      </c>
      <c r="F911" s="184" t="inlineStr">
        <is>
          <t>Báo cáo</t>
        </is>
      </c>
      <c r="G911" s="184" t="inlineStr">
        <is>
          <t>Chỉ tiêu phái sinh</t>
        </is>
      </c>
      <c r="H911" s="184" t="inlineStr">
        <is>
          <t>Dễ</t>
        </is>
      </c>
      <c r="I911" s="184" t="n"/>
      <c r="J911" s="184" t="n"/>
      <c r="K911" s="184" t="n"/>
      <c r="L911" s="184" t="n"/>
      <c r="M911" s="184" t="n"/>
    </row>
    <row r="912" ht="15" customHeight="1" s="380">
      <c r="B912" s="207" t="inlineStr">
        <is>
          <t>TK-04.BTC</t>
        </is>
      </c>
      <c r="C912" s="262" t="n"/>
      <c r="D912" s="263" t="inlineStr">
        <is>
          <t>Trong đó: Vốn hóa thị trường cổ phiếu</t>
        </is>
      </c>
      <c r="E912" s="4" t="inlineStr">
        <is>
          <t>Giá trị vốn hóa CP</t>
        </is>
      </c>
      <c r="F912" s="184" t="inlineStr">
        <is>
          <t>Báo cáo</t>
        </is>
      </c>
      <c r="G912" s="4" t="inlineStr">
        <is>
          <t>Chỉ tiêu phái sinh</t>
        </is>
      </c>
      <c r="H912" s="4" t="inlineStr">
        <is>
          <t>Dễ</t>
        </is>
      </c>
      <c r="M912" s="4" t="inlineStr">
        <is>
          <t>Trùng CT báo cáo khác</t>
        </is>
      </c>
    </row>
    <row r="913" ht="17" customHeight="1" s="380">
      <c r="B913" s="207" t="inlineStr">
        <is>
          <t>TK-04.BTC</t>
        </is>
      </c>
      <c r="C913" s="264" t="n"/>
      <c r="D913" s="197" t="inlineStr">
        <is>
          <t xml:space="preserve">Giá cổ phiếu </t>
        </is>
      </c>
      <c r="E913" s="4" t="n"/>
      <c r="F913" s="184" t="inlineStr">
        <is>
          <t>Báo cáo</t>
        </is>
      </c>
      <c r="G913" s="4" t="inlineStr">
        <is>
          <t>Chỉ tiêu cơ sở</t>
        </is>
      </c>
      <c r="H913" s="4" t="inlineStr">
        <is>
          <t>Trùng</t>
        </is>
      </c>
    </row>
    <row r="914" ht="17" customHeight="1" s="380">
      <c r="B914" s="207" t="inlineStr">
        <is>
          <t>TK-04.BTC</t>
        </is>
      </c>
      <c r="C914" s="264" t="n"/>
      <c r="D914" s="197" t="inlineStr">
        <is>
          <t>Số cổ phiếu lưu hành</t>
        </is>
      </c>
      <c r="E914" s="4" t="n"/>
      <c r="F914" s="184" t="inlineStr">
        <is>
          <t>Báo cáo</t>
        </is>
      </c>
      <c r="G914" s="4" t="inlineStr">
        <is>
          <t>Chỉ tiêu phái sinh</t>
        </is>
      </c>
      <c r="H914" s="4" t="inlineStr">
        <is>
          <t>Trùng</t>
        </is>
      </c>
    </row>
    <row r="915" ht="15" customHeight="1" s="380">
      <c r="B915" s="207" t="inlineStr">
        <is>
          <t>TK-04.BTC</t>
        </is>
      </c>
      <c r="C915" s="262" t="n"/>
      <c r="D915" s="263" t="inlineStr">
        <is>
          <t>Giá trị trái phiếu niêm yết</t>
        </is>
      </c>
      <c r="E915" s="4" t="inlineStr">
        <is>
          <t>Giá trị vốn hóa TPNY</t>
        </is>
      </c>
      <c r="F915" s="184" t="inlineStr">
        <is>
          <t>Báo cáo</t>
        </is>
      </c>
      <c r="G915" s="4" t="inlineStr">
        <is>
          <t>Chỉ tiêu phái sinh</t>
        </is>
      </c>
      <c r="H915" s="4" t="inlineStr">
        <is>
          <t>TB</t>
        </is>
      </c>
    </row>
    <row r="916" ht="17" customHeight="1" s="380">
      <c r="B916" s="207" t="inlineStr">
        <is>
          <t>TK-04.BTC</t>
        </is>
      </c>
      <c r="C916" s="264" t="n"/>
      <c r="D916" s="197" t="inlineStr">
        <is>
          <t>Giá trái phiếu niêm yết</t>
        </is>
      </c>
      <c r="E916" s="4" t="n"/>
      <c r="F916" s="184" t="inlineStr">
        <is>
          <t>Báo cáo</t>
        </is>
      </c>
      <c r="G916" s="4" t="inlineStr">
        <is>
          <t>Chỉ tiêu cơ sở</t>
        </is>
      </c>
      <c r="H916" s="4" t="inlineStr">
        <is>
          <t>Dễ</t>
        </is>
      </c>
      <c r="M916" s="4" t="n"/>
    </row>
    <row r="917" ht="17" customHeight="1" s="380">
      <c r="B917" s="207" t="inlineStr">
        <is>
          <t>TK-04.BTC</t>
        </is>
      </c>
      <c r="C917" s="264" t="n"/>
      <c r="D917" s="197" t="inlineStr">
        <is>
          <t>Số TP niêm yết lưu hành</t>
        </is>
      </c>
      <c r="E917" s="4" t="n"/>
      <c r="F917" s="184" t="inlineStr">
        <is>
          <t>Báo cáo</t>
        </is>
      </c>
      <c r="G917" s="4" t="inlineStr">
        <is>
          <t>Chỉ tiêu phái sinh</t>
        </is>
      </c>
      <c r="H917" s="4" t="inlineStr">
        <is>
          <t>TB</t>
        </is>
      </c>
      <c r="M917" s="4" t="n"/>
    </row>
    <row r="918" ht="15" customHeight="1" s="380">
      <c r="B918" s="207" t="inlineStr">
        <is>
          <t>TK-04.BTC</t>
        </is>
      </c>
      <c r="C918" s="265" t="n"/>
      <c r="D918" s="266" t="inlineStr">
        <is>
          <t>II. Số lượng tài khoản nhà đầu tư</t>
        </is>
      </c>
      <c r="F918" s="184" t="inlineStr">
        <is>
          <t>Báo cáo</t>
        </is>
      </c>
      <c r="G918" s="4" t="inlineStr">
        <is>
          <t>Chỉ tiêu phái sinh</t>
        </is>
      </c>
      <c r="H918" s="4" t="inlineStr">
        <is>
          <t>Khó</t>
        </is>
      </c>
      <c r="M918" s="4" t="inlineStr">
        <is>
          <t>Chưa phân tích phạm vi lấy DL, trạng thái tài khoản</t>
        </is>
      </c>
    </row>
    <row r="919" ht="30" customHeight="1" s="380">
      <c r="B919" s="207" t="inlineStr">
        <is>
          <t>TK-04.BTC</t>
        </is>
      </c>
      <c r="C919" s="267" t="n"/>
      <c r="D919" s="268" t="inlineStr">
        <is>
          <t>III. Khối lượng và giá trị chứng khoán giao dịch</t>
        </is>
      </c>
      <c r="F919" s="184" t="inlineStr">
        <is>
          <t>Báo cáo</t>
        </is>
      </c>
    </row>
    <row r="920" ht="18" customHeight="1" s="380">
      <c r="B920" s="207" t="inlineStr">
        <is>
          <t>TK-04.BTC</t>
        </is>
      </c>
      <c r="C920" s="269" t="n"/>
      <c r="D920" s="270" t="inlineStr">
        <is>
          <t xml:space="preserve"> '- Khối lượng cổ phiếu giao dịch</t>
        </is>
      </c>
      <c r="E920" s="4" t="inlineStr">
        <is>
          <t>KL giao dịch CP</t>
        </is>
      </c>
      <c r="F920" s="184" t="inlineStr">
        <is>
          <t>Báo cáo</t>
        </is>
      </c>
      <c r="G920" s="4" t="inlineStr">
        <is>
          <t>Chỉ tiêu phái sinh</t>
        </is>
      </c>
      <c r="H920" s="4" t="inlineStr">
        <is>
          <t>TB</t>
        </is>
      </c>
    </row>
    <row r="921" ht="15" customHeight="1" s="380">
      <c r="B921" s="207" t="inlineStr">
        <is>
          <t>TK-04.BTC</t>
        </is>
      </c>
      <c r="C921" s="271" t="n"/>
      <c r="D921" s="272" t="inlineStr">
        <is>
          <t>- Giá trị cổ phiếu giao dịch</t>
        </is>
      </c>
      <c r="E921" s="4" t="inlineStr">
        <is>
          <t>GT giao dịch CP =Σ (KL giao dịch * Giá CP giao dịch theo ngày)</t>
        </is>
      </c>
      <c r="F921" s="184" t="inlineStr">
        <is>
          <t>Báo cáo</t>
        </is>
      </c>
      <c r="G921" s="4" t="inlineStr">
        <is>
          <t>Chỉ tiêu phái sinh</t>
        </is>
      </c>
      <c r="H921" s="4" t="inlineStr">
        <is>
          <t>TB</t>
        </is>
      </c>
    </row>
    <row r="922" ht="15" customHeight="1" s="380">
      <c r="B922" s="207" t="inlineStr">
        <is>
          <t>TK-04.BTC</t>
        </is>
      </c>
      <c r="C922" s="273" t="n"/>
      <c r="D922" s="274" t="inlineStr">
        <is>
          <t>Giá giao dịch</t>
        </is>
      </c>
      <c r="F922" s="184" t="inlineStr">
        <is>
          <t>Báo cáo</t>
        </is>
      </c>
      <c r="G922" s="4" t="inlineStr">
        <is>
          <t>Chỉ tiêu cơ sở</t>
        </is>
      </c>
      <c r="H922" s="4" t="inlineStr">
        <is>
          <t>Dễ</t>
        </is>
      </c>
    </row>
    <row r="923" ht="15" customHeight="1" s="380">
      <c r="B923" s="207" t="inlineStr">
        <is>
          <t>TK-04.BTC</t>
        </is>
      </c>
      <c r="C923" s="271" t="n"/>
      <c r="D923" s="272" t="inlineStr">
        <is>
          <t>- Khối lượng trái phiếu giao dịch</t>
        </is>
      </c>
      <c r="E923" s="4" t="inlineStr">
        <is>
          <t>KL giao dịch TP</t>
        </is>
      </c>
      <c r="F923" s="184" t="inlineStr">
        <is>
          <t>Báo cáo</t>
        </is>
      </c>
      <c r="G923" s="4" t="inlineStr">
        <is>
          <t>Chỉ tiêu phái sinh</t>
        </is>
      </c>
      <c r="H923" s="4" t="inlineStr">
        <is>
          <t>TB</t>
        </is>
      </c>
    </row>
    <row r="924" ht="15" customHeight="1" s="380">
      <c r="B924" s="207" t="inlineStr">
        <is>
          <t>TK-04.BTC</t>
        </is>
      </c>
      <c r="C924" s="271" t="n"/>
      <c r="D924" s="272" t="inlineStr">
        <is>
          <t>- Giá trị trái phiếu giao dịch</t>
        </is>
      </c>
      <c r="E924" s="4" t="inlineStr">
        <is>
          <t>GT giao dịch TP =Σ (KL giao dịch * Giá CP giao dịch theo ngày)</t>
        </is>
      </c>
      <c r="F924" s="184" t="inlineStr">
        <is>
          <t>Báo cáo</t>
        </is>
      </c>
      <c r="G924" s="4" t="inlineStr">
        <is>
          <t>Chỉ tiêu phái sinh</t>
        </is>
      </c>
      <c r="H924" s="4" t="inlineStr">
        <is>
          <t>TB</t>
        </is>
      </c>
    </row>
    <row r="925" ht="15" customHeight="1" s="380">
      <c r="B925" s="207" t="inlineStr">
        <is>
          <t>TK-04.BTC</t>
        </is>
      </c>
      <c r="C925" s="273" t="n"/>
      <c r="D925" s="274" t="inlineStr">
        <is>
          <t>Giá giao dịch</t>
        </is>
      </c>
      <c r="F925" s="184" t="inlineStr">
        <is>
          <t>Báo cáo</t>
        </is>
      </c>
      <c r="G925" s="4" t="inlineStr">
        <is>
          <t>Chỉ tiêu cơ sở</t>
        </is>
      </c>
      <c r="H925" s="4" t="inlineStr">
        <is>
          <t>Dễ</t>
        </is>
      </c>
    </row>
    <row r="926" ht="15" customHeight="1" s="380">
      <c r="B926" s="207" t="inlineStr">
        <is>
          <t>TK-04.BTC</t>
        </is>
      </c>
      <c r="C926" s="271" t="n"/>
      <c r="D926" s="272" t="inlineStr">
        <is>
          <t>- Khối lượng chứng chỉ quỹ giao dịch</t>
        </is>
      </c>
      <c r="E926" s="4" t="inlineStr">
        <is>
          <t>KL giao dịch CCQ</t>
        </is>
      </c>
      <c r="F926" s="184" t="inlineStr">
        <is>
          <t>Báo cáo</t>
        </is>
      </c>
      <c r="G926" s="4" t="inlineStr">
        <is>
          <t>Chỉ tiêu phái sinh</t>
        </is>
      </c>
      <c r="H926" s="4" t="inlineStr">
        <is>
          <t>TB</t>
        </is>
      </c>
    </row>
    <row r="927" ht="15" customHeight="1" s="380">
      <c r="B927" s="207" t="inlineStr">
        <is>
          <t>TK-04.BTC</t>
        </is>
      </c>
      <c r="C927" s="271" t="n"/>
      <c r="D927" s="272" t="inlineStr">
        <is>
          <t>- Giá trị chứng chỉ quỹ giao dịch</t>
        </is>
      </c>
      <c r="E927" s="4" t="inlineStr">
        <is>
          <t>GT giao dịch TP =Σ (KL giao dịch * Giá CP giao dịch theo ngày)</t>
        </is>
      </c>
      <c r="F927" s="184" t="inlineStr">
        <is>
          <t>Báo cáo</t>
        </is>
      </c>
      <c r="G927" s="4" t="inlineStr">
        <is>
          <t>Chỉ tiêu phái sinh</t>
        </is>
      </c>
      <c r="H927" s="4" t="inlineStr">
        <is>
          <t>TB</t>
        </is>
      </c>
    </row>
    <row r="928" ht="15" customHeight="1" s="380">
      <c r="B928" s="207" t="inlineStr">
        <is>
          <t>TK-04.BTC</t>
        </is>
      </c>
      <c r="C928" s="273" t="n"/>
      <c r="D928" s="274" t="inlineStr">
        <is>
          <t>Giá giao dịch</t>
        </is>
      </c>
      <c r="F928" s="184" t="inlineStr">
        <is>
          <t>Báo cáo</t>
        </is>
      </c>
      <c r="G928" s="4" t="inlineStr">
        <is>
          <t>Chỉ tiêu cơ sở</t>
        </is>
      </c>
      <c r="H928" s="4" t="inlineStr">
        <is>
          <t>Dễ</t>
        </is>
      </c>
    </row>
    <row r="929" ht="30" customHeight="1" s="380">
      <c r="B929" s="207" t="inlineStr">
        <is>
          <t>TK-04.BTC</t>
        </is>
      </c>
      <c r="C929" s="275" t="n"/>
      <c r="D929" s="276" t="inlineStr">
        <is>
          <t>IV. Khối lượng và giá trị chứng khoán niêm yết và đăng ký giao dịch</t>
        </is>
      </c>
      <c r="F929" s="184" t="inlineStr">
        <is>
          <t>Báo cáo</t>
        </is>
      </c>
    </row>
    <row r="930" ht="15" customHeight="1" s="380">
      <c r="B930" s="207" t="inlineStr">
        <is>
          <t>TK-04.BTC</t>
        </is>
      </c>
      <c r="C930" s="271" t="n"/>
      <c r="D930" s="272" t="inlineStr">
        <is>
          <t>- KL cổ phiếu niêm yết/ĐKGD</t>
        </is>
      </c>
      <c r="F930" s="184" t="inlineStr">
        <is>
          <t>Báo cáo</t>
        </is>
      </c>
    </row>
    <row r="931" ht="15" customHeight="1" s="380">
      <c r="B931" s="207" t="inlineStr">
        <is>
          <t>TK-04.BTC</t>
        </is>
      </c>
      <c r="C931" s="273" t="n"/>
      <c r="D931" s="274" t="inlineStr">
        <is>
          <t>KL cổ phiếu NY</t>
        </is>
      </c>
      <c r="F931" s="184" t="inlineStr">
        <is>
          <t>Báo cáo</t>
        </is>
      </c>
      <c r="G931" s="4" t="inlineStr">
        <is>
          <t>Chỉ tiêu phái sinh</t>
        </is>
      </c>
      <c r="H931" s="4" t="inlineStr">
        <is>
          <t>TB</t>
        </is>
      </c>
      <c r="I931" s="4" t="n"/>
      <c r="J931" s="4" t="n"/>
      <c r="K931" s="4" t="inlineStr">
        <is>
          <t>Σ KL cổ phiếu niêm yết</t>
        </is>
      </c>
    </row>
    <row r="932" ht="15" customHeight="1" s="380">
      <c r="B932" s="207" t="inlineStr">
        <is>
          <t>TK-04.BTC</t>
        </is>
      </c>
      <c r="C932" s="273" t="n"/>
      <c r="D932" s="274" t="inlineStr">
        <is>
          <t>KL cổ phiếu ĐKGD</t>
        </is>
      </c>
      <c r="F932" s="184" t="inlineStr">
        <is>
          <t>Báo cáo</t>
        </is>
      </c>
      <c r="G932" s="4" t="inlineStr">
        <is>
          <t>Chỉ tiêu phái sinh</t>
        </is>
      </c>
      <c r="H932" s="4" t="inlineStr">
        <is>
          <t>TB</t>
        </is>
      </c>
      <c r="I932" s="4" t="n"/>
      <c r="J932" s="4" t="n"/>
      <c r="K932" s="4" t="inlineStr">
        <is>
          <t>Σ KL cổ phiếu ĐKGD</t>
        </is>
      </c>
    </row>
    <row r="933" ht="15" customHeight="1" s="380">
      <c r="B933" s="207" t="inlineStr">
        <is>
          <t>TK-04.BTC</t>
        </is>
      </c>
      <c r="C933" s="271" t="n"/>
      <c r="D933" s="272" t="inlineStr">
        <is>
          <t>- Giá trị cổ phiếu niêm yết/ĐKGD</t>
        </is>
      </c>
      <c r="F933" s="184" t="inlineStr">
        <is>
          <t>Báo cáo</t>
        </is>
      </c>
      <c r="G933" s="4" t="inlineStr">
        <is>
          <t>Chỉ tiêu phái sinh</t>
        </is>
      </c>
      <c r="H933" s="4" t="inlineStr">
        <is>
          <t>TB</t>
        </is>
      </c>
      <c r="I933" s="4" t="n"/>
      <c r="J933" s="4" t="n"/>
      <c r="K933" s="4" t="inlineStr">
        <is>
          <t>Σ (Σ KL * Giá )</t>
        </is>
      </c>
    </row>
    <row r="934" ht="15" customHeight="1" s="380">
      <c r="B934" s="207" t="inlineStr">
        <is>
          <t>TK-04.BTC</t>
        </is>
      </c>
      <c r="C934" s="273" t="n"/>
      <c r="D934" s="274" t="inlineStr">
        <is>
          <t>Giá niêm yết</t>
        </is>
      </c>
      <c r="F934" s="184" t="inlineStr">
        <is>
          <t>Báo cáo</t>
        </is>
      </c>
      <c r="G934" s="4" t="inlineStr">
        <is>
          <t>Chỉ tiêu cơ sở</t>
        </is>
      </c>
      <c r="H934" s="4" t="inlineStr">
        <is>
          <t>Dễ</t>
        </is>
      </c>
    </row>
    <row r="935" ht="15" customHeight="1" s="380">
      <c r="B935" s="207" t="inlineStr">
        <is>
          <t>TK-04.BTC</t>
        </is>
      </c>
      <c r="C935" s="271" t="n"/>
      <c r="D935" s="272" t="inlineStr">
        <is>
          <t>- KL trái phiếu niêm yết</t>
        </is>
      </c>
      <c r="F935" s="184" t="inlineStr">
        <is>
          <t>Báo cáo</t>
        </is>
      </c>
      <c r="G935" s="4" t="inlineStr">
        <is>
          <t>Chỉ tiêu phái sinh</t>
        </is>
      </c>
      <c r="H935" s="4" t="inlineStr">
        <is>
          <t>TB</t>
        </is>
      </c>
      <c r="I935" s="4" t="n"/>
      <c r="J935" s="4" t="n"/>
      <c r="K935" s="4" t="inlineStr">
        <is>
          <t>Σ KL trái phiếu</t>
        </is>
      </c>
    </row>
    <row r="936" ht="15" customHeight="1" s="380">
      <c r="B936" s="207" t="inlineStr">
        <is>
          <t>TK-04.BTC</t>
        </is>
      </c>
      <c r="C936" s="271" t="n"/>
      <c r="D936" s="272" t="inlineStr">
        <is>
          <t>- Giá trị trái phiếu niêm yết</t>
        </is>
      </c>
      <c r="F936" s="184" t="inlineStr">
        <is>
          <t>Báo cáo</t>
        </is>
      </c>
      <c r="G936" s="4" t="inlineStr">
        <is>
          <t>Chỉ tiêu phái sinh</t>
        </is>
      </c>
      <c r="H936" s="4" t="inlineStr">
        <is>
          <t>TB</t>
        </is>
      </c>
      <c r="I936" s="4" t="n"/>
      <c r="J936" s="4" t="n"/>
      <c r="K936" s="4" t="inlineStr">
        <is>
          <t>Σ (Σ KLGD * Giá )</t>
        </is>
      </c>
    </row>
    <row r="937" ht="15" customHeight="1" s="380">
      <c r="B937" s="207" t="inlineStr">
        <is>
          <t>TK-04.BTC</t>
        </is>
      </c>
      <c r="C937" s="273" t="n"/>
      <c r="D937" s="274" t="inlineStr">
        <is>
          <t>Giá giao dịch</t>
        </is>
      </c>
      <c r="F937" s="184" t="inlineStr">
        <is>
          <t>Báo cáo</t>
        </is>
      </c>
      <c r="G937" s="4" t="inlineStr">
        <is>
          <t>Chỉ tiêu cơ sở</t>
        </is>
      </c>
      <c r="H937" s="4" t="inlineStr">
        <is>
          <t>Dễ</t>
        </is>
      </c>
    </row>
    <row r="938" ht="15" customHeight="1" s="380">
      <c r="B938" s="207" t="inlineStr">
        <is>
          <t>TK-04.BTC</t>
        </is>
      </c>
      <c r="C938" s="271" t="n"/>
      <c r="D938" s="272" t="inlineStr">
        <is>
          <t>- KL chứng chỉ quỹ niêm yết</t>
        </is>
      </c>
      <c r="F938" s="184" t="inlineStr">
        <is>
          <t>Báo cáo</t>
        </is>
      </c>
      <c r="G938" s="4" t="inlineStr">
        <is>
          <t>Chỉ tiêu phái sinh</t>
        </is>
      </c>
      <c r="H938" s="4" t="inlineStr">
        <is>
          <t>TB</t>
        </is>
      </c>
      <c r="I938" s="4" t="n"/>
      <c r="J938" s="4" t="n"/>
      <c r="K938" s="4" t="inlineStr">
        <is>
          <t>Σ KL CCQ</t>
        </is>
      </c>
    </row>
    <row r="939" ht="15" customHeight="1" s="380">
      <c r="B939" s="207" t="inlineStr">
        <is>
          <t>TK-04.BTC</t>
        </is>
      </c>
      <c r="C939" s="271" t="n"/>
      <c r="D939" s="272" t="inlineStr">
        <is>
          <t>- Giá trị chứng chỉ quỹ niêm yết</t>
        </is>
      </c>
      <c r="F939" s="184" t="inlineStr">
        <is>
          <t>Báo cáo</t>
        </is>
      </c>
      <c r="G939" s="4" t="inlineStr">
        <is>
          <t>Chỉ tiêu phái sinh</t>
        </is>
      </c>
      <c r="H939" s="4" t="inlineStr">
        <is>
          <t>TB</t>
        </is>
      </c>
      <c r="I939" s="4" t="n"/>
      <c r="J939" s="4" t="n"/>
      <c r="K939" s="4" t="inlineStr">
        <is>
          <t>Σ (Σ KLGD * Giá )</t>
        </is>
      </c>
    </row>
    <row r="940" ht="15" customHeight="1" s="380">
      <c r="B940" s="207" t="inlineStr">
        <is>
          <t>TK-04.BTC</t>
        </is>
      </c>
      <c r="C940" s="273" t="n"/>
      <c r="D940" s="274" t="inlineStr">
        <is>
          <t>Giá giao dịch</t>
        </is>
      </c>
      <c r="F940" s="184" t="inlineStr">
        <is>
          <t>Báo cáo</t>
        </is>
      </c>
      <c r="G940" s="4" t="inlineStr">
        <is>
          <t>Chỉ tiêu cơ sở</t>
        </is>
      </c>
      <c r="H940" s="4" t="inlineStr">
        <is>
          <t>Dễ</t>
        </is>
      </c>
    </row>
    <row r="941" ht="30" customHeight="1" s="380">
      <c r="B941" s="207" t="inlineStr">
        <is>
          <t>TK-04.BTC</t>
        </is>
      </c>
      <c r="C941" s="275" t="n"/>
      <c r="D941" s="276" t="inlineStr">
        <is>
          <t>V. Số loại chứng khoán niêm yết và đăng ký giao dịch</t>
        </is>
      </c>
      <c r="E941" s="4" t="inlineStr">
        <is>
          <t>CK Niêm Yết và Đăng ký GD</t>
        </is>
      </c>
      <c r="F941" s="184" t="inlineStr">
        <is>
          <t>Báo cáo</t>
        </is>
      </c>
    </row>
    <row r="942" ht="15" customHeight="1" s="380">
      <c r="B942" s="207" t="inlineStr">
        <is>
          <t>TK-04.BTC</t>
        </is>
      </c>
      <c r="C942" s="271" t="n"/>
      <c r="D942" s="272" t="inlineStr">
        <is>
          <t>- Cổ phiếu</t>
        </is>
      </c>
      <c r="F942" s="184" t="inlineStr">
        <is>
          <t>Báo cáo</t>
        </is>
      </c>
      <c r="G942" s="4" t="inlineStr">
        <is>
          <t>Chỉ tiêu phái sinh</t>
        </is>
      </c>
      <c r="H942" s="4" t="inlineStr">
        <is>
          <t>TB</t>
        </is>
      </c>
      <c r="I942" s="4" t="n"/>
      <c r="J942" s="4" t="n"/>
      <c r="K942" s="4" t="inlineStr">
        <is>
          <t>Count số lượng CP</t>
        </is>
      </c>
    </row>
    <row r="943" ht="15" customHeight="1" s="380">
      <c r="B943" s="207" t="inlineStr">
        <is>
          <t>TK-04.BTC</t>
        </is>
      </c>
      <c r="C943" s="273" t="n"/>
      <c r="D943" s="274" t="inlineStr">
        <is>
          <t>số lượng CP niêm yết</t>
        </is>
      </c>
      <c r="F943" s="184" t="inlineStr">
        <is>
          <t>Báo cáo</t>
        </is>
      </c>
      <c r="G943" s="4" t="inlineStr">
        <is>
          <t>Chỉ tiêu cơ sở</t>
        </is>
      </c>
      <c r="H943" s="4" t="inlineStr">
        <is>
          <t>Dễ</t>
        </is>
      </c>
      <c r="I943" s="4" t="n"/>
      <c r="J943" s="4" t="n"/>
      <c r="K943" s="4" t="n"/>
    </row>
    <row r="944" ht="15" customHeight="1" s="380">
      <c r="B944" s="207" t="inlineStr">
        <is>
          <t>TK-04.BTC</t>
        </is>
      </c>
      <c r="C944" s="273" t="n"/>
      <c r="D944" s="274" t="inlineStr">
        <is>
          <t>Số lượng Cp đăng ký GD</t>
        </is>
      </c>
      <c r="F944" s="184" t="inlineStr">
        <is>
          <t>Báo cáo</t>
        </is>
      </c>
      <c r="G944" s="4" t="inlineStr">
        <is>
          <t>Chỉ tiêu cơ sở</t>
        </is>
      </c>
      <c r="H944" s="4" t="inlineStr">
        <is>
          <t>Dễ</t>
        </is>
      </c>
      <c r="I944" s="4" t="n"/>
      <c r="J944" s="4" t="n"/>
      <c r="K944" s="4" t="n"/>
    </row>
    <row r="945" ht="15" customHeight="1" s="380">
      <c r="B945" s="207" t="inlineStr">
        <is>
          <t>TK-04.BTC</t>
        </is>
      </c>
      <c r="C945" s="271" t="n"/>
      <c r="D945" s="272" t="inlineStr">
        <is>
          <t>- Trái phiếu</t>
        </is>
      </c>
      <c r="F945" s="184" t="inlineStr">
        <is>
          <t>Báo cáo</t>
        </is>
      </c>
      <c r="G945" s="4" t="inlineStr">
        <is>
          <t>Chỉ tiêu phái sinh</t>
        </is>
      </c>
      <c r="H945" s="4" t="inlineStr">
        <is>
          <t>TB</t>
        </is>
      </c>
      <c r="I945" s="4" t="n"/>
      <c r="J945" s="4" t="n"/>
      <c r="K945" s="4" t="inlineStr">
        <is>
          <t>Count số lượng TP</t>
        </is>
      </c>
    </row>
    <row r="946" ht="15" customHeight="1" s="380">
      <c r="B946" s="207" t="inlineStr">
        <is>
          <t>TK-04.BTC</t>
        </is>
      </c>
      <c r="C946" s="273" t="n"/>
      <c r="D946" s="274" t="inlineStr">
        <is>
          <t>số lượng niêm yết</t>
        </is>
      </c>
      <c r="F946" s="184" t="inlineStr">
        <is>
          <t>Báo cáo</t>
        </is>
      </c>
      <c r="G946" s="4" t="inlineStr">
        <is>
          <t>Chỉ tiêu cơ sở</t>
        </is>
      </c>
      <c r="H946" s="4" t="inlineStr">
        <is>
          <t>Dễ</t>
        </is>
      </c>
      <c r="I946" s="4" t="n"/>
      <c r="J946" s="4" t="n"/>
      <c r="K946" s="4" t="n"/>
    </row>
    <row r="947" ht="15" customHeight="1" s="380">
      <c r="B947" s="207" t="inlineStr">
        <is>
          <t>TK-04.BTC</t>
        </is>
      </c>
      <c r="C947" s="273" t="n"/>
      <c r="D947" s="274" t="inlineStr">
        <is>
          <t>Số lượng đăng ký GD</t>
        </is>
      </c>
      <c r="F947" s="184" t="inlineStr">
        <is>
          <t>Báo cáo</t>
        </is>
      </c>
      <c r="G947" s="4" t="inlineStr">
        <is>
          <t>Chỉ tiêu cơ sở</t>
        </is>
      </c>
      <c r="H947" s="4" t="inlineStr">
        <is>
          <t>Dễ</t>
        </is>
      </c>
      <c r="I947" s="4" t="n"/>
      <c r="J947" s="4" t="n"/>
      <c r="K947" s="4" t="n"/>
    </row>
    <row r="948" ht="15" customHeight="1" s="380">
      <c r="B948" s="207" t="inlineStr">
        <is>
          <t>TK-04.BTC</t>
        </is>
      </c>
      <c r="C948" s="271" t="n"/>
      <c r="D948" s="272" t="inlineStr">
        <is>
          <t>- Chứng chỉ quỹ</t>
        </is>
      </c>
      <c r="F948" s="184" t="inlineStr">
        <is>
          <t>Báo cáo</t>
        </is>
      </c>
      <c r="G948" s="4" t="inlineStr">
        <is>
          <t>Chỉ tiêu phái sinh</t>
        </is>
      </c>
      <c r="H948" s="4" t="inlineStr">
        <is>
          <t>TB</t>
        </is>
      </c>
      <c r="I948" s="4" t="n"/>
      <c r="J948" s="4" t="n"/>
      <c r="K948" s="4" t="inlineStr">
        <is>
          <t>Count số lượng CCQ</t>
        </is>
      </c>
    </row>
    <row r="949" ht="15" customHeight="1" s="380">
      <c r="B949" s="207" t="inlineStr">
        <is>
          <t>TK-04.BTC</t>
        </is>
      </c>
      <c r="C949" s="273" t="n"/>
      <c r="D949" s="274" t="inlineStr">
        <is>
          <t>số lượng niêm yết</t>
        </is>
      </c>
      <c r="F949" s="184" t="inlineStr">
        <is>
          <t>Báo cáo</t>
        </is>
      </c>
      <c r="G949" s="4" t="inlineStr">
        <is>
          <t>Chỉ tiêu cơ sở</t>
        </is>
      </c>
      <c r="H949" s="4" t="inlineStr">
        <is>
          <t>Dễ</t>
        </is>
      </c>
    </row>
    <row r="950" ht="15" customHeight="1" s="380">
      <c r="B950" s="207" t="inlineStr">
        <is>
          <t>TK-04.BTC</t>
        </is>
      </c>
      <c r="C950" s="273" t="n"/>
      <c r="D950" s="274" t="inlineStr">
        <is>
          <t>Số lượng đăng ký GD</t>
        </is>
      </c>
      <c r="F950" s="184" t="inlineStr">
        <is>
          <t>Báo cáo</t>
        </is>
      </c>
      <c r="G950" s="4" t="inlineStr">
        <is>
          <t>Chỉ tiêu cơ sở</t>
        </is>
      </c>
      <c r="H950" s="4" t="inlineStr">
        <is>
          <t>Dễ</t>
        </is>
      </c>
    </row>
    <row r="951" ht="30" customHeight="1" s="380">
      <c r="B951" s="207" t="inlineStr">
        <is>
          <t>TK-04.BTC</t>
        </is>
      </c>
      <c r="C951" s="275" t="n"/>
      <c r="D951" s="276" t="inlineStr">
        <is>
          <t>VI. Thị trường chứng khoán phái sinh và các sản phẩm khác</t>
        </is>
      </c>
      <c r="E951" s="4" t="inlineStr">
        <is>
          <t>CK phái sinh</t>
        </is>
      </c>
      <c r="F951" s="184" t="inlineStr">
        <is>
          <t>Báo cáo</t>
        </is>
      </c>
    </row>
    <row r="952" ht="15" customHeight="1" s="380">
      <c r="B952" s="207" t="inlineStr">
        <is>
          <t>TK-04.BTC</t>
        </is>
      </c>
      <c r="C952" s="271" t="n"/>
      <c r="D952" s="272" t="inlineStr">
        <is>
          <t>- Quy mô giao dịch</t>
        </is>
      </c>
      <c r="F952" s="184" t="inlineStr">
        <is>
          <t>Báo cáo</t>
        </is>
      </c>
    </row>
    <row r="953" ht="15" customHeight="1" s="380">
      <c r="B953" s="207" t="inlineStr">
        <is>
          <t>TK-04.BTC</t>
        </is>
      </c>
      <c r="C953" s="273" t="n"/>
      <c r="D953" s="274" t="inlineStr">
        <is>
          <t>Khối lượng GD</t>
        </is>
      </c>
      <c r="E953" s="4" t="n"/>
      <c r="F953" s="184" t="inlineStr">
        <is>
          <t>Báo cáo</t>
        </is>
      </c>
      <c r="G953" s="4" t="inlineStr">
        <is>
          <t>Chỉ tiêu phái sinh</t>
        </is>
      </c>
      <c r="H953" s="4" t="inlineStr">
        <is>
          <t>TB</t>
        </is>
      </c>
      <c r="I953" s="4" t="n"/>
      <c r="J953" s="4" t="n"/>
      <c r="K953" s="4" t="inlineStr">
        <is>
          <t>Khối lượng GD = Tổng số hợp đồng phái sinh được mua bán trong kỳ.
Ví dụ: 200.000 hợp đồng tương lai VN30/ngày</t>
        </is>
      </c>
    </row>
    <row r="954" ht="15" customHeight="1" s="380">
      <c r="B954" s="207" t="inlineStr">
        <is>
          <t>TK-04.BTC</t>
        </is>
      </c>
      <c r="C954" s="273" t="n"/>
      <c r="D954" s="274" t="inlineStr">
        <is>
          <t>Giá trị GD</t>
        </is>
      </c>
      <c r="E954" s="4" t="n"/>
      <c r="F954" s="184" t="inlineStr">
        <is>
          <t>Báo cáo</t>
        </is>
      </c>
      <c r="G954" s="4" t="inlineStr">
        <is>
          <t>Chỉ tiêu phái sinh</t>
        </is>
      </c>
      <c r="H954" s="4" t="inlineStr">
        <is>
          <t>TB</t>
        </is>
      </c>
      <c r="I954" s="4" t="n"/>
      <c r="J954" s="4" t="n"/>
      <c r="K954" s="4" t="inlineStr">
        <is>
          <t>Giá trị GD = KL hợp đồng * giá hợp đồng * hệ số nhân</t>
        </is>
      </c>
    </row>
    <row r="955" ht="15" customHeight="1" s="380">
      <c r="B955" s="207" t="inlineStr">
        <is>
          <t>TK-04.BTC</t>
        </is>
      </c>
      <c r="C955" s="273" t="n"/>
      <c r="D955" s="274" t="inlineStr">
        <is>
          <t>Khối lượng hợp đồng</t>
        </is>
      </c>
      <c r="E955" s="4" t="n"/>
      <c r="F955" s="184" t="inlineStr">
        <is>
          <t>Báo cáo</t>
        </is>
      </c>
      <c r="G955" s="4" t="inlineStr">
        <is>
          <t>Chỉ tiêu phái sinh</t>
        </is>
      </c>
      <c r="H955" s="4" t="inlineStr">
        <is>
          <t>Trùng</t>
        </is>
      </c>
      <c r="I955" s="277" t="n"/>
      <c r="J955" s="277" t="n"/>
      <c r="K955" s="271" t="inlineStr">
        <is>
          <t>Khối lượng hợp đồng = Tổng số hợp đồng</t>
        </is>
      </c>
    </row>
    <row r="956" ht="15" customHeight="1" s="380">
      <c r="B956" s="207" t="inlineStr">
        <is>
          <t>TK-04.BTC</t>
        </is>
      </c>
      <c r="C956" s="273" t="n"/>
      <c r="D956" s="274" t="inlineStr">
        <is>
          <t>Giá hợp đồng</t>
        </is>
      </c>
      <c r="E956" s="4" t="n"/>
      <c r="F956" s="184" t="inlineStr">
        <is>
          <t>Báo cáo</t>
        </is>
      </c>
      <c r="G956" s="4" t="inlineStr">
        <is>
          <t>Chỉ tiêu cơ sở</t>
        </is>
      </c>
      <c r="H956" s="4" t="inlineStr">
        <is>
          <t>Dễ</t>
        </is>
      </c>
      <c r="I956" s="4" t="n"/>
      <c r="J956" s="4" t="n"/>
      <c r="K956" s="4" t="n"/>
    </row>
    <row r="957" ht="15" customHeight="1" s="380">
      <c r="B957" s="207" t="inlineStr">
        <is>
          <t>TK-04.BTC</t>
        </is>
      </c>
      <c r="C957" s="273" t="n"/>
      <c r="D957" s="274" t="inlineStr">
        <is>
          <t>Hệ số nhân</t>
        </is>
      </c>
      <c r="E957" s="4" t="n"/>
      <c r="F957" s="184" t="inlineStr">
        <is>
          <t>Báo cáo</t>
        </is>
      </c>
      <c r="G957" s="4" t="inlineStr">
        <is>
          <t>Chỉ tiêu cơ sở</t>
        </is>
      </c>
      <c r="H957" s="4" t="inlineStr">
        <is>
          <t>Dễ</t>
        </is>
      </c>
      <c r="I957" s="4" t="n"/>
      <c r="J957" s="4" t="n"/>
      <c r="K957" s="4" t="n"/>
    </row>
    <row r="958" ht="15" customHeight="1" s="380">
      <c r="B958" s="207" t="inlineStr">
        <is>
          <t>TK-04.BTC</t>
        </is>
      </c>
      <c r="C958" s="271" t="n"/>
      <c r="D958" s="272" t="inlineStr">
        <is>
          <t>- Khối lượng mở OI</t>
        </is>
      </c>
      <c r="E958" s="4" t="inlineStr">
        <is>
          <t>Tổng số hợp đồng đang còn hiệu lực trên thị trường chưa tất toán</t>
        </is>
      </c>
      <c r="F958" s="184" t="inlineStr">
        <is>
          <t>Báo cáo</t>
        </is>
      </c>
      <c r="G958" s="4" t="inlineStr">
        <is>
          <t>Chỉ tiêu phái sinh</t>
        </is>
      </c>
      <c r="H958" s="4" t="inlineStr">
        <is>
          <t>TB</t>
        </is>
      </c>
      <c r="I958" s="4" t="n"/>
      <c r="J958" s="4" t="n"/>
      <c r="K958" s="4" t="inlineStr">
        <is>
          <t>Σ Số lượng Hợp đồng chưa tất toán</t>
        </is>
      </c>
    </row>
    <row r="959" ht="15" customHeight="1" s="380">
      <c r="B959" s="207" t="inlineStr">
        <is>
          <t>TK-04.BTC</t>
        </is>
      </c>
      <c r="C959" s="273" t="n"/>
      <c r="D959" s="274" t="inlineStr">
        <is>
          <t>Hợp đồng chưa tất toán</t>
        </is>
      </c>
      <c r="F959" s="184" t="inlineStr">
        <is>
          <t>Báo cáo</t>
        </is>
      </c>
      <c r="G959" s="4" t="inlineStr">
        <is>
          <t>Chỉ tiêu cơ sở</t>
        </is>
      </c>
      <c r="H959" s="4" t="inlineStr">
        <is>
          <t>TB</t>
        </is>
      </c>
      <c r="I959" s="4" t="n"/>
      <c r="J959" s="4" t="n"/>
      <c r="K959" s="4" t="inlineStr">
        <is>
          <t>Lọc trạng thái hợp đông</t>
        </is>
      </c>
      <c r="L959" s="4" t="inlineStr">
        <is>
          <t>Chưa biết nguồn</t>
        </is>
      </c>
    </row>
    <row r="960" ht="15" customHeight="1" s="380">
      <c r="B960" s="207" t="inlineStr">
        <is>
          <t>TK-04.BTC</t>
        </is>
      </c>
      <c r="C960" s="271" t="n"/>
      <c r="D960" s="272" t="inlineStr">
        <is>
          <t>- Số lượng tài khoản giao dịch phái sinh</t>
        </is>
      </c>
      <c r="F960" s="184" t="inlineStr">
        <is>
          <t>Báo cáo</t>
        </is>
      </c>
      <c r="G960" s="4" t="inlineStr">
        <is>
          <t>Chỉ tiêu phái sinh</t>
        </is>
      </c>
      <c r="H960" s="4" t="inlineStr">
        <is>
          <t>TB</t>
        </is>
      </c>
      <c r="I960" s="4" t="n"/>
      <c r="J960" s="4" t="n"/>
      <c r="K960" s="4" t="inlineStr">
        <is>
          <t>Σ số tài khoản giao dịch CK phái sinh</t>
        </is>
      </c>
    </row>
    <row r="961" ht="15" customHeight="1" s="380">
      <c r="B961" s="207" t="inlineStr">
        <is>
          <t>TK-04.BTC</t>
        </is>
      </c>
      <c r="C961" s="275" t="n"/>
      <c r="D961" s="276" t="inlineStr">
        <is>
          <t>VII. Số phiên thực hiện giao dịch</t>
        </is>
      </c>
      <c r="F961" s="184" t="inlineStr">
        <is>
          <t>Báo cáo</t>
        </is>
      </c>
      <c r="G961" s="4" t="inlineStr">
        <is>
          <t>Chỉ tiêu phái sinh</t>
        </is>
      </c>
      <c r="H961" s="4" t="inlineStr">
        <is>
          <t>TB</t>
        </is>
      </c>
    </row>
    <row r="962" ht="15" customHeight="1" s="380">
      <c r="B962" s="207" t="inlineStr">
        <is>
          <t>TK-04.BTC</t>
        </is>
      </c>
      <c r="C962" s="278" t="n"/>
      <c r="D962" s="279" t="inlineStr">
        <is>
          <t>Phiên giao dịch trong ngày</t>
        </is>
      </c>
      <c r="F962" s="184" t="n"/>
      <c r="G962" s="4" t="inlineStr">
        <is>
          <t>Chỉ tiêu cơ sở</t>
        </is>
      </c>
      <c r="H962" s="4" t="inlineStr">
        <is>
          <t>Dễ</t>
        </is>
      </c>
    </row>
    <row r="963" ht="30" customHeight="1" s="380">
      <c r="B963" s="207" t="inlineStr">
        <is>
          <t>TK-04.BTC</t>
        </is>
      </c>
      <c r="C963" s="280" t="n"/>
      <c r="D963" s="281" t="inlineStr">
        <is>
          <t>VIII. Giao dịch của nhà đầu tư nước ngoài</t>
        </is>
      </c>
      <c r="F963" s="184" t="inlineStr">
        <is>
          <t>Báo cáo</t>
        </is>
      </c>
    </row>
    <row r="964" ht="30" customHeight="1" s="380">
      <c r="B964" s="207" t="inlineStr">
        <is>
          <t>TK-04.BTC</t>
        </is>
      </c>
      <c r="C964" s="282" t="n"/>
      <c r="D964" s="283" t="inlineStr">
        <is>
          <t xml:space="preserve"> - Khối lượng chứng khoán nhà đầu tư nước ngoài đang nắm giữ </t>
        </is>
      </c>
      <c r="F964" s="184" t="inlineStr">
        <is>
          <t>Báo cáo</t>
        </is>
      </c>
      <c r="G964" s="4" t="inlineStr">
        <is>
          <t>Chỉ tiêu phái sinh</t>
        </is>
      </c>
      <c r="H964" s="4" t="inlineStr">
        <is>
          <t>Dễ</t>
        </is>
      </c>
    </row>
    <row r="965" ht="15" customHeight="1" s="380">
      <c r="B965" s="207" t="inlineStr">
        <is>
          <t>TK-04.BTC</t>
        </is>
      </c>
      <c r="C965" s="284" t="n"/>
      <c r="D965" s="285" t="inlineStr">
        <is>
          <t>+ Cổ phiếu</t>
        </is>
      </c>
      <c r="F965" s="184" t="inlineStr">
        <is>
          <t>Báo cáo</t>
        </is>
      </c>
      <c r="G965" s="4" t="inlineStr">
        <is>
          <t>Chỉ tiêu phái sinh</t>
        </is>
      </c>
      <c r="H965" s="4" t="inlineStr">
        <is>
          <t>TB</t>
        </is>
      </c>
    </row>
    <row r="966" ht="15" customHeight="1" s="380">
      <c r="B966" s="207" t="inlineStr">
        <is>
          <t>TK-04.BTC</t>
        </is>
      </c>
      <c r="C966" s="284" t="n"/>
      <c r="D966" s="285" t="inlineStr">
        <is>
          <t>+ Trái phiếu</t>
        </is>
      </c>
      <c r="F966" s="184" t="inlineStr">
        <is>
          <t>Báo cáo</t>
        </is>
      </c>
      <c r="G966" s="4" t="inlineStr">
        <is>
          <t>Chỉ tiêu phái sinh</t>
        </is>
      </c>
      <c r="H966" s="4" t="inlineStr">
        <is>
          <t>TB</t>
        </is>
      </c>
    </row>
    <row r="967" ht="15" customHeight="1" s="380">
      <c r="B967" s="207" t="inlineStr">
        <is>
          <t>TK-04.BTC</t>
        </is>
      </c>
      <c r="C967" s="284" t="n"/>
      <c r="D967" s="285" t="inlineStr">
        <is>
          <t>+ Chứng khoán khác</t>
        </is>
      </c>
      <c r="F967" s="184" t="inlineStr">
        <is>
          <t>Báo cáo</t>
        </is>
      </c>
      <c r="G967" s="4" t="inlineStr">
        <is>
          <t>Chỉ tiêu phái sinh</t>
        </is>
      </c>
      <c r="H967" s="4" t="inlineStr">
        <is>
          <t>TB</t>
        </is>
      </c>
    </row>
    <row r="968" ht="30" customHeight="1" s="380">
      <c r="B968" s="207" t="inlineStr">
        <is>
          <t>TK-04.BTC</t>
        </is>
      </c>
      <c r="C968" s="282" t="n"/>
      <c r="D968" s="283" t="inlineStr">
        <is>
          <t xml:space="preserve"> - Giá trị chứng khoán nhà đầu tư nước ngoài đang nắm giữ </t>
        </is>
      </c>
      <c r="F968" s="184" t="inlineStr">
        <is>
          <t>Báo cáo</t>
        </is>
      </c>
      <c r="G968" s="4" t="inlineStr">
        <is>
          <t>Chỉ tiêu phái sinh</t>
        </is>
      </c>
      <c r="H968" s="4" t="inlineStr">
        <is>
          <t>TB</t>
        </is>
      </c>
    </row>
    <row r="969" ht="15" customHeight="1" s="380">
      <c r="B969" s="207" t="inlineStr">
        <is>
          <t>TK-04.BTC</t>
        </is>
      </c>
      <c r="C969" s="284" t="n"/>
      <c r="D969" s="285" t="inlineStr">
        <is>
          <t>+ Cổ phiếu</t>
        </is>
      </c>
      <c r="F969" s="184" t="inlineStr">
        <is>
          <t>Báo cáo</t>
        </is>
      </c>
      <c r="G969" s="4" t="inlineStr">
        <is>
          <t>Chỉ tiêu phái sinh</t>
        </is>
      </c>
      <c r="H969" s="4" t="inlineStr">
        <is>
          <t>TB</t>
        </is>
      </c>
    </row>
    <row r="970" ht="15" customHeight="1" s="380">
      <c r="B970" s="207" t="inlineStr">
        <is>
          <t>TK-04.BTC</t>
        </is>
      </c>
      <c r="C970" s="286" t="n"/>
      <c r="D970" s="287" t="inlineStr">
        <is>
          <t>Khối lượng</t>
        </is>
      </c>
      <c r="F970" s="184" t="inlineStr">
        <is>
          <t>Báo cáo</t>
        </is>
      </c>
      <c r="G970" s="4" t="inlineStr">
        <is>
          <t>Chỉ tiêu cơ sở</t>
        </is>
      </c>
      <c r="H970" s="4" t="inlineStr">
        <is>
          <t>Dễ</t>
        </is>
      </c>
    </row>
    <row r="971" ht="15" customHeight="1" s="380">
      <c r="B971" s="207" t="inlineStr">
        <is>
          <t>TK-04.BTC</t>
        </is>
      </c>
      <c r="C971" s="286" t="n"/>
      <c r="D971" s="287" t="inlineStr">
        <is>
          <t>Giá</t>
        </is>
      </c>
      <c r="F971" s="184" t="inlineStr">
        <is>
          <t>Báo cáo</t>
        </is>
      </c>
      <c r="G971" s="4" t="inlineStr">
        <is>
          <t>Chỉ tiêu cơ sở</t>
        </is>
      </c>
      <c r="H971" s="4" t="inlineStr">
        <is>
          <t>Dễ</t>
        </is>
      </c>
    </row>
    <row r="972" ht="15" customHeight="1" s="380">
      <c r="B972" s="207" t="inlineStr">
        <is>
          <t>TK-04.BTC</t>
        </is>
      </c>
      <c r="C972" s="284" t="n"/>
      <c r="D972" s="285" t="inlineStr">
        <is>
          <t>+ Trái phiếu</t>
        </is>
      </c>
      <c r="F972" s="184" t="inlineStr">
        <is>
          <t>Báo cáo</t>
        </is>
      </c>
      <c r="G972" s="22" t="inlineStr">
        <is>
          <t>Chỉ tiêu phái sinh</t>
        </is>
      </c>
      <c r="H972" s="22" t="inlineStr">
        <is>
          <t>TB</t>
        </is>
      </c>
    </row>
    <row r="973" ht="15" customHeight="1" s="380">
      <c r="B973" s="207" t="inlineStr">
        <is>
          <t>TK-04.BTC</t>
        </is>
      </c>
      <c r="C973" s="286" t="n"/>
      <c r="D973" s="287" t="inlineStr">
        <is>
          <t>Khối lượng</t>
        </is>
      </c>
      <c r="F973" s="184" t="inlineStr">
        <is>
          <t>Báo cáo</t>
        </is>
      </c>
      <c r="G973" s="4" t="inlineStr">
        <is>
          <t>Chỉ tiêu cơ sở</t>
        </is>
      </c>
      <c r="H973" s="4" t="inlineStr">
        <is>
          <t>Dễ</t>
        </is>
      </c>
    </row>
    <row r="974" ht="15" customHeight="1" s="380">
      <c r="B974" s="207" t="inlineStr">
        <is>
          <t>TK-04.BTC</t>
        </is>
      </c>
      <c r="C974" s="286" t="n"/>
      <c r="D974" s="287" t="inlineStr">
        <is>
          <t>Giá</t>
        </is>
      </c>
      <c r="F974" s="184" t="inlineStr">
        <is>
          <t>Báo cáo</t>
        </is>
      </c>
      <c r="G974" s="4" t="inlineStr">
        <is>
          <t>Chỉ tiêu cơ sở</t>
        </is>
      </c>
      <c r="H974" s="4" t="inlineStr">
        <is>
          <t>Dễ</t>
        </is>
      </c>
    </row>
    <row r="975" ht="15" customHeight="1" s="380">
      <c r="B975" s="207" t="inlineStr">
        <is>
          <t>TK-04.BTC</t>
        </is>
      </c>
      <c r="C975" s="284" t="n"/>
      <c r="D975" s="285" t="inlineStr">
        <is>
          <t>+ Chứng khoán khác</t>
        </is>
      </c>
      <c r="F975" s="184" t="inlineStr">
        <is>
          <t>Báo cáo</t>
        </is>
      </c>
      <c r="G975" s="22" t="inlineStr">
        <is>
          <t>Chỉ tiêu phái sinh</t>
        </is>
      </c>
      <c r="H975" s="22" t="inlineStr">
        <is>
          <t>TB</t>
        </is>
      </c>
    </row>
    <row r="976" ht="15" customHeight="1" s="380">
      <c r="B976" s="207" t="inlineStr">
        <is>
          <t>TK-04.BTC</t>
        </is>
      </c>
      <c r="C976" s="286" t="n"/>
      <c r="D976" s="287" t="inlineStr">
        <is>
          <t>Khối lượng</t>
        </is>
      </c>
      <c r="F976" s="184" t="inlineStr">
        <is>
          <t>Báo cáo</t>
        </is>
      </c>
      <c r="G976" s="4" t="inlineStr">
        <is>
          <t>Chỉ tiêu cơ sở</t>
        </is>
      </c>
      <c r="H976" s="4" t="inlineStr">
        <is>
          <t>Dễ</t>
        </is>
      </c>
    </row>
    <row r="977" ht="15" customHeight="1" s="380">
      <c r="B977" s="207" t="inlineStr">
        <is>
          <t>TK-04.BTC</t>
        </is>
      </c>
      <c r="C977" s="286" t="n"/>
      <c r="D977" s="287" t="inlineStr">
        <is>
          <t>Giá</t>
        </is>
      </c>
      <c r="F977" s="184" t="inlineStr">
        <is>
          <t>Báo cáo</t>
        </is>
      </c>
      <c r="G977" s="4" t="inlineStr">
        <is>
          <t>Chỉ tiêu cơ sở</t>
        </is>
      </c>
      <c r="H977" s="4" t="inlineStr">
        <is>
          <t>Dễ</t>
        </is>
      </c>
    </row>
    <row r="978" ht="45" customHeight="1" s="380">
      <c r="B978" s="207" t="inlineStr">
        <is>
          <t>TK-04.BTC</t>
        </is>
      </c>
      <c r="C978" s="288" t="n"/>
      <c r="D978" s="289" t="inlineStr">
        <is>
          <t>IX. Hoạt động cổ phần hóa và thoái vốn (số liệu chỉ tính doanh nghiệp đấu giá qua các Sở giao dịch Chứng khoán)</t>
        </is>
      </c>
      <c r="F978" s="184" t="inlineStr">
        <is>
          <t>Báo cáo</t>
        </is>
      </c>
    </row>
    <row r="979" ht="15" customHeight="1" s="380">
      <c r="B979" s="207" t="inlineStr">
        <is>
          <t>TK-04.BTC</t>
        </is>
      </c>
      <c r="C979" s="284" t="n"/>
      <c r="D979" s="290" t="inlineStr">
        <is>
          <t>- Số lượng DN được cổ phần hóa</t>
        </is>
      </c>
      <c r="F979" s="184" t="inlineStr">
        <is>
          <t>Báo cáo</t>
        </is>
      </c>
      <c r="G979" s="22" t="inlineStr">
        <is>
          <t>Chỉ tiêu phái sinh</t>
        </is>
      </c>
      <c r="H979" s="22" t="inlineStr">
        <is>
          <t>TB</t>
        </is>
      </c>
      <c r="I979" s="4" t="n"/>
      <c r="J979" s="4" t="n"/>
      <c r="K979" s="4" t="inlineStr">
        <is>
          <t>Đếm số DN</t>
        </is>
      </c>
    </row>
    <row r="980" ht="15" customHeight="1" s="380">
      <c r="B980" s="207" t="inlineStr">
        <is>
          <t>TK-04.BTC</t>
        </is>
      </c>
      <c r="C980" s="284" t="n"/>
      <c r="D980" s="290" t="inlineStr">
        <is>
          <t>- Khối lượng cổ phiếu được cổ phần hóa</t>
        </is>
      </c>
      <c r="F980" s="184" t="inlineStr">
        <is>
          <t>Báo cáo</t>
        </is>
      </c>
      <c r="G980" s="22" t="inlineStr">
        <is>
          <t>Chỉ tiêu phái sinh</t>
        </is>
      </c>
      <c r="H980" s="22" t="inlineStr">
        <is>
          <t>TB</t>
        </is>
      </c>
      <c r="I980" s="4" t="n"/>
      <c r="J980" s="4" t="n"/>
      <c r="K980" s="4" t="inlineStr">
        <is>
          <t>Tính tổng KL</t>
        </is>
      </c>
    </row>
    <row r="981" ht="60" customHeight="1" s="380">
      <c r="B981" s="207" t="inlineStr">
        <is>
          <t>TK-04.BTC</t>
        </is>
      </c>
      <c r="C981" s="265" t="n"/>
      <c r="D981" s="266" t="inlineStr">
        <is>
          <t>X. Tổng mức huy động vốn trên thị trường chứng khoán (bao gồm cả phát hành trái phiếu riêng lẻ, đấu thầu trái phiếu Chính phủ) (*)</t>
        </is>
      </c>
      <c r="E981" s="4" t="inlineStr">
        <is>
          <t>KL bán CK thành công theo các loại hình huy động làm tăng vốn</t>
        </is>
      </c>
      <c r="F981" s="184" t="inlineStr">
        <is>
          <t>Báo cáo</t>
        </is>
      </c>
    </row>
    <row r="982" ht="30" customHeight="1" s="380">
      <c r="B982" s="207" t="inlineStr">
        <is>
          <t>TK-04.BTC</t>
        </is>
      </c>
      <c r="C982" s="291" t="n"/>
      <c r="D982" s="292" t="inlineStr">
        <is>
          <t>Phát hành cổ phiếu (Tăng vốn chủ sở hữu)</t>
        </is>
      </c>
      <c r="F982" s="184" t="inlineStr">
        <is>
          <t>Báo cáo</t>
        </is>
      </c>
    </row>
    <row r="983" ht="15" customHeight="1" s="380">
      <c r="B983" s="207" t="inlineStr">
        <is>
          <t>TK-04.BTC</t>
        </is>
      </c>
      <c r="C983" s="286" t="n"/>
      <c r="D983" s="287" t="inlineStr">
        <is>
          <t>Chào bán ra công chúng (IPO/SEO)</t>
        </is>
      </c>
      <c r="F983" s="184" t="inlineStr">
        <is>
          <t>Báo cáo</t>
        </is>
      </c>
      <c r="G983" s="22" t="inlineStr">
        <is>
          <t>Chỉ tiêu phái sinh</t>
        </is>
      </c>
      <c r="H983" s="22" t="inlineStr">
        <is>
          <t>TB</t>
        </is>
      </c>
    </row>
    <row r="984" ht="15" customHeight="1" s="380">
      <c r="B984" s="207" t="inlineStr">
        <is>
          <t>TK-04.BTC</t>
        </is>
      </c>
      <c r="C984" s="286" t="n"/>
      <c r="D984" s="287" t="inlineStr">
        <is>
          <t>Phát hành riêng lẻ</t>
        </is>
      </c>
      <c r="F984" s="184" t="inlineStr">
        <is>
          <t>Báo cáo</t>
        </is>
      </c>
      <c r="G984" s="22" t="inlineStr">
        <is>
          <t>Chỉ tiêu phái sinh</t>
        </is>
      </c>
      <c r="H984" s="22" t="inlineStr">
        <is>
          <t>TB</t>
        </is>
      </c>
    </row>
    <row r="985" ht="15" customHeight="1" s="380">
      <c r="B985" s="207" t="inlineStr">
        <is>
          <t>TK-04.BTC</t>
        </is>
      </c>
      <c r="C985" s="286" t="n"/>
      <c r="D985" s="287" t="inlineStr">
        <is>
          <t>Chào bán cho cổ đông hiện hữu</t>
        </is>
      </c>
      <c r="F985" s="184" t="inlineStr">
        <is>
          <t>Báo cáo</t>
        </is>
      </c>
      <c r="G985" s="22" t="inlineStr">
        <is>
          <t>Chỉ tiêu phái sinh</t>
        </is>
      </c>
      <c r="H985" s="22" t="inlineStr">
        <is>
          <t>TB</t>
        </is>
      </c>
    </row>
    <row r="986" ht="30" customHeight="1" s="380">
      <c r="B986" s="207" t="inlineStr">
        <is>
          <t>TK-04.BTC</t>
        </is>
      </c>
      <c r="C986" s="286" t="n"/>
      <c r="D986" s="287" t="inlineStr">
        <is>
          <t>Phát hành cổ phiếu thưởng/cổ tức bằng cổ phiếu</t>
        </is>
      </c>
      <c r="F986" s="184" t="inlineStr">
        <is>
          <t>Báo cáo</t>
        </is>
      </c>
      <c r="G986" s="22" t="inlineStr">
        <is>
          <t>Chỉ tiêu phái sinh</t>
        </is>
      </c>
      <c r="H986" s="22" t="inlineStr">
        <is>
          <t>TB</t>
        </is>
      </c>
    </row>
    <row r="987" ht="32" customHeight="1" s="380">
      <c r="B987" s="207" t="inlineStr">
        <is>
          <t>TK-04.BTC</t>
        </is>
      </c>
      <c r="C987" s="291" t="n"/>
      <c r="D987" s="293" t="inlineStr">
        <is>
          <t>Phát hành trái phiếu (Tăng vốn nợ/vay)</t>
        </is>
      </c>
      <c r="F987" s="184" t="inlineStr">
        <is>
          <t>Báo cáo</t>
        </is>
      </c>
    </row>
    <row r="988" ht="15" customHeight="1" s="380">
      <c r="B988" s="207" t="inlineStr">
        <is>
          <t>TK-04.BTC</t>
        </is>
      </c>
      <c r="C988" s="286" t="n"/>
      <c r="D988" s="287" t="inlineStr">
        <is>
          <t>Trái phiếu thông thường</t>
        </is>
      </c>
      <c r="F988" s="184" t="inlineStr">
        <is>
          <t>Báo cáo</t>
        </is>
      </c>
      <c r="G988" s="22" t="inlineStr">
        <is>
          <t>Chỉ tiêu phái sinh</t>
        </is>
      </c>
      <c r="H988" s="22" t="inlineStr">
        <is>
          <t>TB</t>
        </is>
      </c>
    </row>
    <row r="989" ht="15" customHeight="1" s="380">
      <c r="B989" s="207" t="inlineStr">
        <is>
          <t>TK-04.BTC</t>
        </is>
      </c>
      <c r="C989" s="286" t="n"/>
      <c r="D989" s="287" t="inlineStr">
        <is>
          <t>Trái phiếu chuyển đổi</t>
        </is>
      </c>
      <c r="F989" s="184" t="inlineStr">
        <is>
          <t>Báo cáo</t>
        </is>
      </c>
      <c r="G989" s="22" t="inlineStr">
        <is>
          <t>Chỉ tiêu phái sinh</t>
        </is>
      </c>
      <c r="H989" s="22" t="inlineStr">
        <is>
          <t>TB</t>
        </is>
      </c>
    </row>
    <row r="990" ht="63" customHeight="1" s="380">
      <c r="B990" s="207" t="inlineStr">
        <is>
          <t>TK-04.BTC</t>
        </is>
      </c>
      <c r="C990" s="265" t="n"/>
      <c r="D990" s="266" t="inlineStr">
        <is>
          <t>XI. Tổng doanh thu các công ty chứng khoán</t>
        </is>
      </c>
      <c r="F990" s="184" t="inlineStr">
        <is>
          <t>Báo cáo</t>
        </is>
      </c>
      <c r="G990" s="22" t="inlineStr">
        <is>
          <t>Chỉ tiêu phái sinh</t>
        </is>
      </c>
      <c r="H990" s="22" t="inlineStr">
        <is>
          <t>TB</t>
        </is>
      </c>
      <c r="I990" s="4" t="n"/>
      <c r="J990" s="4" t="n"/>
      <c r="K990" s="4" t="inlineStr">
        <is>
          <t>Tổng doanh thu CTCK=1∑n​Doanh thu của CTCKi​</t>
        </is>
      </c>
      <c r="L990" s="4" t="inlineStr">
        <is>
          <t>DL từ nguồn BCTC</t>
        </is>
      </c>
    </row>
    <row r="991" ht="15" customHeight="1" s="380">
      <c r="B991" s="207" t="inlineStr">
        <is>
          <t>TK-04.BTC</t>
        </is>
      </c>
      <c r="C991" s="286" t="n"/>
      <c r="D991" s="287" t="inlineStr">
        <is>
          <t>Doanh thu của từng CT CK</t>
        </is>
      </c>
      <c r="F991" s="184" t="n"/>
      <c r="G991" s="22" t="inlineStr">
        <is>
          <t>Chỉ tiêu phái sinh</t>
        </is>
      </c>
      <c r="H991" s="22" t="inlineStr">
        <is>
          <t>TB</t>
        </is>
      </c>
      <c r="I991" s="4" t="n"/>
      <c r="J991" s="4" t="n"/>
      <c r="K991" s="4" t="inlineStr">
        <is>
          <t>Doanh thu môi giới chứng khoán, 
Doanh thu cho vay ký quỹ (Margin), 
Doanh thu tự doanh (Proprietary Trading), 
Doanh thu tư vấn và bảo lãnh phát hành, 
Doanh thu lưu ký và dịch vụ chứng khoán</t>
        </is>
      </c>
      <c r="L991" s="4" t="n"/>
    </row>
    <row r="992" ht="15" customHeight="1" s="380">
      <c r="B992" s="207" t="inlineStr">
        <is>
          <t>TK-04.BTC</t>
        </is>
      </c>
      <c r="C992" s="286" t="n"/>
      <c r="D992" s="287" t="inlineStr">
        <is>
          <t>Danh mục CTCK</t>
        </is>
      </c>
      <c r="F992" s="184" t="n"/>
      <c r="G992" s="22" t="inlineStr">
        <is>
          <t>Chiều</t>
        </is>
      </c>
      <c r="H992" s="22" t="n"/>
      <c r="I992" s="4" t="n"/>
      <c r="J992" s="4" t="n"/>
      <c r="K992" s="4" t="n"/>
      <c r="L992" s="4" t="n"/>
    </row>
    <row r="993" ht="30" customHeight="1" s="380">
      <c r="B993" s="207" t="inlineStr">
        <is>
          <t>TK-04.BTC</t>
        </is>
      </c>
      <c r="C993" s="265" t="n"/>
      <c r="D993" s="266" t="inlineStr">
        <is>
          <t>XII. Tổng doanh thu các công ty quản lý quỹ</t>
        </is>
      </c>
      <c r="F993" s="184" t="inlineStr">
        <is>
          <t>Báo cáo</t>
        </is>
      </c>
      <c r="G993" s="22" t="inlineStr">
        <is>
          <t>Chỉ tiêu phái sinh</t>
        </is>
      </c>
      <c r="H993" s="22" t="inlineStr">
        <is>
          <t>TB</t>
        </is>
      </c>
      <c r="I993" s="4" t="n"/>
      <c r="J993" s="4" t="n"/>
      <c r="K993" s="4" t="inlineStr">
        <is>
          <t>Tổng doanh thu CTQLQ=∑Doanh thu của từng coˆng ty quản lyˊ​ quy˜​</t>
        </is>
      </c>
      <c r="L993" s="4" t="inlineStr">
        <is>
          <t>DL từ nguồn BCTC</t>
        </is>
      </c>
    </row>
    <row r="994" ht="15" customHeight="1" s="380">
      <c r="B994" s="207" t="inlineStr">
        <is>
          <t>TK-04.BTC</t>
        </is>
      </c>
      <c r="C994" s="286" t="n"/>
      <c r="D994" s="287" t="inlineStr">
        <is>
          <t>Doanh thu của từng CT QLQ</t>
        </is>
      </c>
      <c r="F994" s="184" t="n"/>
      <c r="G994" s="4" t="inlineStr">
        <is>
          <t>Chỉ tiêu cơ sở</t>
        </is>
      </c>
      <c r="H994" s="4" t="inlineStr">
        <is>
          <t>TB</t>
        </is>
      </c>
      <c r="I994" s="4" t="n"/>
      <c r="J994" s="4" t="n"/>
      <c r="K994" s="4" t="inlineStr">
        <is>
          <t>Phí quản lý quỹ (Fund Management Fee)
Phí quản lý danh mục đầu tư
Phí thưởng hiệu quả đầu tư (Performance Fee)
Phí tư vấn đầu tư
Doanh thu tài chính khác</t>
        </is>
      </c>
      <c r="L994" s="4" t="inlineStr">
        <is>
          <t>BCTC/Báo cáo kết quả hoạt động kinh doanh của các CT QLQ</t>
        </is>
      </c>
    </row>
    <row r="995" ht="15" customHeight="1" s="380">
      <c r="B995" s="207" t="inlineStr">
        <is>
          <t>TK-04.BTC</t>
        </is>
      </c>
      <c r="C995" s="286" t="n"/>
      <c r="D995" s="287" t="inlineStr">
        <is>
          <t>Danh mục CT QLQ</t>
        </is>
      </c>
      <c r="F995" s="184" t="inlineStr">
        <is>
          <t>Báo cáo</t>
        </is>
      </c>
      <c r="G995" s="22" t="inlineStr">
        <is>
          <t>Chiều</t>
        </is>
      </c>
      <c r="H995" s="22" t="n"/>
    </row>
    <row r="996" ht="15" customHeight="1" s="380">
      <c r="A996" s="183" t="n">
        <v>8</v>
      </c>
      <c r="B996" s="184" t="inlineStr">
        <is>
          <t>TK_NienGiam</t>
        </is>
      </c>
      <c r="C996" s="294" t="n"/>
      <c r="D996" s="295" t="inlineStr">
        <is>
          <t>Chỉ số VN-Index/ VN-Index</t>
        </is>
      </c>
      <c r="E996" s="184" t="n"/>
      <c r="F996" s="184" t="inlineStr">
        <is>
          <t>Báo cáo</t>
        </is>
      </c>
      <c r="G996" s="184" t="inlineStr">
        <is>
          <t>Chỉ tiêu cơ sở</t>
        </is>
      </c>
      <c r="H996" s="184" t="inlineStr">
        <is>
          <t>Trùng</t>
        </is>
      </c>
      <c r="I996" s="184" t="n"/>
      <c r="J996" s="184" t="n"/>
      <c r="K996" s="184" t="n"/>
      <c r="L996" s="184" t="n"/>
      <c r="M996" s="184" t="n"/>
    </row>
    <row r="997" ht="15" customHeight="1" s="380">
      <c r="B997" s="4" t="inlineStr">
        <is>
          <t>TK_NienGiam</t>
        </is>
      </c>
      <c r="C997" s="296" t="n"/>
      <c r="D997" s="297" t="inlineStr">
        <is>
          <t>Chỉ số HNX-Index/ HNX-Index</t>
        </is>
      </c>
      <c r="F997" s="4" t="inlineStr">
        <is>
          <t>Báo cáo</t>
        </is>
      </c>
      <c r="G997" s="4" t="inlineStr">
        <is>
          <t>Chỉ tiêu cơ sở</t>
        </is>
      </c>
      <c r="H997" s="4" t="inlineStr">
        <is>
          <t>Trùng</t>
        </is>
      </c>
    </row>
    <row r="998" ht="30" customHeight="1" s="380">
      <c r="B998" s="4" t="inlineStr">
        <is>
          <t>TK_NienGiam</t>
        </is>
      </c>
      <c r="C998" s="296" t="n"/>
      <c r="D998" s="297" t="inlineStr">
        <is>
          <t>Tổng giá trị vốn hoá thị trường
 Total market capitalization</t>
        </is>
      </c>
      <c r="E998" s="4" t="inlineStr">
        <is>
          <t>Vốn hóa thị trường</t>
        </is>
      </c>
      <c r="F998" s="4" t="inlineStr">
        <is>
          <t>Báo cáo</t>
        </is>
      </c>
      <c r="G998" s="22" t="inlineStr">
        <is>
          <t>Chỉ tiêu phái sinh</t>
        </is>
      </c>
      <c r="H998" s="4" t="inlineStr">
        <is>
          <t>Dễ</t>
        </is>
      </c>
    </row>
    <row r="999" ht="30" customHeight="1" s="380">
      <c r="B999" s="4" t="inlineStr">
        <is>
          <t>TK_NienGiam</t>
        </is>
      </c>
      <c r="C999" s="298" t="n"/>
      <c r="D999" s="270" t="inlineStr">
        <is>
          <t>- SGDCK HCM - HCM STOCK EXCHANGE</t>
        </is>
      </c>
      <c r="F999" s="4" t="inlineStr">
        <is>
          <t>Báo cáo</t>
        </is>
      </c>
      <c r="G999" s="22" t="inlineStr">
        <is>
          <t>Chỉ tiêu phái sinh</t>
        </is>
      </c>
      <c r="H999" s="4" t="inlineStr">
        <is>
          <t>TB</t>
        </is>
      </c>
    </row>
    <row r="1000" ht="30" customHeight="1" s="380">
      <c r="B1000" s="4" t="inlineStr">
        <is>
          <t>TK_NienGiam</t>
        </is>
      </c>
      <c r="C1000" s="298" t="n"/>
      <c r="D1000" s="270" t="inlineStr">
        <is>
          <t>- SGDCK HN - HANOI STOCK EXCHANGE</t>
        </is>
      </c>
      <c r="F1000" s="4" t="inlineStr">
        <is>
          <t>Báo cáo</t>
        </is>
      </c>
      <c r="G1000" s="22" t="inlineStr">
        <is>
          <t>Chỉ tiêu phái sinh</t>
        </is>
      </c>
      <c r="H1000" s="4" t="inlineStr">
        <is>
          <t>TB</t>
        </is>
      </c>
    </row>
    <row r="1001" ht="30" customHeight="1" s="380">
      <c r="B1001" s="4" t="inlineStr">
        <is>
          <t>TK_NienGiam</t>
        </is>
      </c>
      <c r="C1001" s="299" t="n"/>
      <c r="D1001" s="300" t="inlineStr">
        <is>
          <t>- Thị trường đăng ký giao dịch- UPCoM market</t>
        </is>
      </c>
      <c r="F1001" s="4" t="inlineStr">
        <is>
          <t>Báo cáo</t>
        </is>
      </c>
      <c r="G1001" s="22" t="inlineStr">
        <is>
          <t>Chỉ tiêu phái sinh</t>
        </is>
      </c>
      <c r="H1001" s="4" t="inlineStr">
        <is>
          <t>TB</t>
        </is>
      </c>
    </row>
    <row r="1002" ht="30" customHeight="1" s="380">
      <c r="B1002" s="4" t="inlineStr">
        <is>
          <t>TK_NienGiam</t>
        </is>
      </c>
      <c r="C1002" s="296" t="n"/>
      <c r="D1002" s="297" t="inlineStr">
        <is>
          <t>Giá trị chứng khoán giao dịch
 Value of security trading</t>
        </is>
      </c>
      <c r="F1002" s="4" t="inlineStr">
        <is>
          <t>Báo cáo</t>
        </is>
      </c>
      <c r="G1002" s="22" t="inlineStr">
        <is>
          <t>Chỉ tiêu phái sinh</t>
        </is>
      </c>
      <c r="H1002" s="4" t="inlineStr">
        <is>
          <t>TB</t>
        </is>
      </c>
    </row>
    <row r="1003" ht="30" customHeight="1" s="380">
      <c r="B1003" s="4" t="inlineStr">
        <is>
          <t>TK_NienGiam</t>
        </is>
      </c>
      <c r="C1003" s="296" t="n"/>
      <c r="D1003" s="297" t="inlineStr">
        <is>
          <t>Giá trị cổ phiếu giao dịch
 Value of share trading</t>
        </is>
      </c>
      <c r="F1003" s="4" t="inlineStr">
        <is>
          <t>Báo cáo</t>
        </is>
      </c>
      <c r="G1003" s="22" t="inlineStr">
        <is>
          <t>Chỉ tiêu phái sinh</t>
        </is>
      </c>
      <c r="H1003" s="4" t="inlineStr">
        <is>
          <t>TB</t>
        </is>
      </c>
    </row>
    <row r="1004" ht="30" customHeight="1" s="380">
      <c r="B1004" s="4" t="inlineStr">
        <is>
          <t>TK_NienGiam</t>
        </is>
      </c>
      <c r="C1004" s="298" t="n"/>
      <c r="D1004" s="270" t="inlineStr">
        <is>
          <t>- SGDCK HCM - HCM STOCK EXCHANGE</t>
        </is>
      </c>
      <c r="F1004" s="4" t="inlineStr">
        <is>
          <t>Báo cáo</t>
        </is>
      </c>
      <c r="G1004" s="22" t="inlineStr">
        <is>
          <t>Chỉ tiêu phái sinh</t>
        </is>
      </c>
      <c r="H1004" s="4" t="inlineStr">
        <is>
          <t>TB</t>
        </is>
      </c>
    </row>
    <row r="1005" ht="30" customHeight="1" s="380">
      <c r="B1005" s="4" t="inlineStr">
        <is>
          <t>TK_NienGiam</t>
        </is>
      </c>
      <c r="C1005" s="298" t="n"/>
      <c r="D1005" s="270" t="inlineStr">
        <is>
          <t>- SGDCK HN - HANOI STOCK EXCHANGE</t>
        </is>
      </c>
      <c r="F1005" s="4" t="inlineStr">
        <is>
          <t>Báo cáo</t>
        </is>
      </c>
      <c r="G1005" s="22" t="inlineStr">
        <is>
          <t>Chỉ tiêu phái sinh</t>
        </is>
      </c>
      <c r="H1005" s="4" t="inlineStr">
        <is>
          <t>TB</t>
        </is>
      </c>
    </row>
    <row r="1006" ht="15" customHeight="1" s="380">
      <c r="B1006" s="4" t="inlineStr">
        <is>
          <t>TK_NienGiam</t>
        </is>
      </c>
      <c r="C1006" s="299" t="n"/>
      <c r="D1006" s="300" t="inlineStr">
        <is>
          <t>- Thị trường đăng ký giao dịch- UPCoM</t>
        </is>
      </c>
      <c r="F1006" s="4" t="inlineStr">
        <is>
          <t>Báo cáo</t>
        </is>
      </c>
      <c r="G1006" s="22" t="inlineStr">
        <is>
          <t>Chỉ tiêu phái sinh</t>
        </is>
      </c>
      <c r="H1006" s="4" t="inlineStr">
        <is>
          <t>TB</t>
        </is>
      </c>
    </row>
    <row r="1007" ht="30" customHeight="1" s="380">
      <c r="B1007" s="4" t="inlineStr">
        <is>
          <t>TK_NienGiam</t>
        </is>
      </c>
      <c r="C1007" s="296" t="n"/>
      <c r="D1007" s="297" t="inlineStr">
        <is>
          <t>Giá trị trái phiếu giao dịch
 Value of bond trading</t>
        </is>
      </c>
      <c r="F1007" s="4" t="inlineStr">
        <is>
          <t>Báo cáo</t>
        </is>
      </c>
      <c r="G1007" s="22" t="inlineStr">
        <is>
          <t>Chỉ tiêu phái sinh</t>
        </is>
      </c>
      <c r="H1007" s="4" t="inlineStr">
        <is>
          <t>TB</t>
        </is>
      </c>
    </row>
    <row r="1008" ht="30" customHeight="1" s="380">
      <c r="B1008" s="4" t="inlineStr">
        <is>
          <t>TK_NienGiam</t>
        </is>
      </c>
      <c r="C1008" s="298" t="n"/>
      <c r="D1008" s="270" t="inlineStr">
        <is>
          <t>- SGDCK HCM - HCM STOCK EXCHANGE</t>
        </is>
      </c>
      <c r="F1008" s="4" t="inlineStr">
        <is>
          <t>Báo cáo</t>
        </is>
      </c>
      <c r="G1008" s="22" t="inlineStr">
        <is>
          <t>Chỉ tiêu phái sinh</t>
        </is>
      </c>
      <c r="H1008" s="4" t="inlineStr">
        <is>
          <t>TB</t>
        </is>
      </c>
    </row>
    <row r="1009" ht="30" customHeight="1" s="380">
      <c r="B1009" s="4" t="inlineStr">
        <is>
          <t>TK_NienGiam</t>
        </is>
      </c>
      <c r="C1009" s="299" t="n"/>
      <c r="D1009" s="300" t="inlineStr">
        <is>
          <t>- SGDCK Hà Nội - HN STOCK EXCHANGE</t>
        </is>
      </c>
      <c r="F1009" s="4" t="inlineStr">
        <is>
          <t>Báo cáo</t>
        </is>
      </c>
      <c r="G1009" s="22" t="inlineStr">
        <is>
          <t>Chỉ tiêu phái sinh</t>
        </is>
      </c>
      <c r="H1009" s="4" t="inlineStr">
        <is>
          <t>TB</t>
        </is>
      </c>
    </row>
    <row r="1010" ht="15" customHeight="1" s="380">
      <c r="B1010" s="4" t="inlineStr">
        <is>
          <t>TK_NienGiam</t>
        </is>
      </c>
      <c r="C1010" s="299" t="n"/>
      <c r="D1010" s="301" t="inlineStr">
        <is>
          <t>+ Cổ phiếu</t>
        </is>
      </c>
      <c r="E1010" s="4" t="inlineStr">
        <is>
          <t>CP</t>
        </is>
      </c>
      <c r="F1010" s="4" t="inlineStr">
        <is>
          <t>Báo cáo</t>
        </is>
      </c>
      <c r="G1010" s="22" t="inlineStr">
        <is>
          <t>Chỉ tiêu phái sinh</t>
        </is>
      </c>
      <c r="H1010" s="4" t="inlineStr">
        <is>
          <t>TB</t>
        </is>
      </c>
    </row>
    <row r="1011" ht="15" customHeight="1" s="380">
      <c r="B1011" s="4" t="inlineStr">
        <is>
          <t>TK_NienGiam</t>
        </is>
      </c>
      <c r="C1011" s="277" t="n"/>
      <c r="D1011" s="285" t="inlineStr">
        <is>
          <t>+ Trái phiếu DN NY</t>
        </is>
      </c>
      <c r="E1011" s="4" t="inlineStr">
        <is>
          <t>TPDN niêm yết</t>
        </is>
      </c>
      <c r="F1011" s="4" t="inlineStr">
        <is>
          <t>Báo cáo</t>
        </is>
      </c>
      <c r="G1011" s="22" t="inlineStr">
        <is>
          <t>Chỉ tiêu phái sinh</t>
        </is>
      </c>
      <c r="H1011" s="4" t="inlineStr">
        <is>
          <t>TB</t>
        </is>
      </c>
    </row>
    <row r="1012" ht="15" customHeight="1" s="380">
      <c r="B1012" s="4" t="inlineStr">
        <is>
          <t>TK_NienGiam</t>
        </is>
      </c>
      <c r="C1012" s="277" t="n"/>
      <c r="D1012" s="285" t="inlineStr">
        <is>
          <t>+ Trái phiếu DN riêng lẻ</t>
        </is>
      </c>
      <c r="E1012" s="4" t="inlineStr">
        <is>
          <t>TPDN riêng lẻ</t>
        </is>
      </c>
      <c r="F1012" s="4" t="inlineStr">
        <is>
          <t>Báo cáo</t>
        </is>
      </c>
      <c r="G1012" s="22" t="inlineStr">
        <is>
          <t>Chỉ tiêu phái sinh</t>
        </is>
      </c>
      <c r="H1012" s="4" t="inlineStr">
        <is>
          <t>TB</t>
        </is>
      </c>
    </row>
    <row r="1013" ht="30" customHeight="1" s="380">
      <c r="B1013" s="4" t="inlineStr">
        <is>
          <t>TK_NienGiam</t>
        </is>
      </c>
      <c r="C1013" s="296" t="n"/>
      <c r="D1013" s="297" t="inlineStr">
        <is>
          <t>Giá trị chứng chỉ quỹ giao dịch
 Value of fund certificate trading</t>
        </is>
      </c>
      <c r="F1013" s="4" t="inlineStr">
        <is>
          <t>Báo cáo</t>
        </is>
      </c>
      <c r="G1013" s="22" t="inlineStr">
        <is>
          <t>Chỉ tiêu phái sinh</t>
        </is>
      </c>
      <c r="H1013" s="4" t="inlineStr">
        <is>
          <t>TB</t>
        </is>
      </c>
    </row>
    <row r="1014" ht="30" customHeight="1" s="380">
      <c r="B1014" s="4" t="inlineStr">
        <is>
          <t>TK_NienGiam</t>
        </is>
      </c>
      <c r="C1014" s="298" t="n"/>
      <c r="D1014" s="270" t="inlineStr">
        <is>
          <t>- SGDCK HCM - HCM STOCK EXCHANGE</t>
        </is>
      </c>
      <c r="F1014" s="4" t="inlineStr">
        <is>
          <t>Báo cáo</t>
        </is>
      </c>
      <c r="G1014" s="22" t="inlineStr">
        <is>
          <t>Chỉ tiêu phái sinh</t>
        </is>
      </c>
      <c r="H1014" s="4" t="inlineStr">
        <is>
          <t>TB</t>
        </is>
      </c>
    </row>
    <row r="1015" ht="30" customHeight="1" s="380">
      <c r="B1015" s="4" t="inlineStr">
        <is>
          <t>TK_NienGiam</t>
        </is>
      </c>
      <c r="C1015" s="298" t="n"/>
      <c r="D1015" s="270" t="inlineStr">
        <is>
          <t>- SGDCK HN - HANOI STOCK EXCHANGE</t>
        </is>
      </c>
      <c r="F1015" s="4" t="inlineStr">
        <is>
          <t>Báo cáo</t>
        </is>
      </c>
      <c r="G1015" s="22" t="inlineStr">
        <is>
          <t>Chỉ tiêu phái sinh</t>
        </is>
      </c>
      <c r="H1015" s="4" t="inlineStr">
        <is>
          <t>TB</t>
        </is>
      </c>
    </row>
    <row r="1016" ht="30" customHeight="1" s="380">
      <c r="B1016" s="4" t="inlineStr">
        <is>
          <t>TK_NienGiam</t>
        </is>
      </c>
      <c r="C1016" s="296" t="n"/>
      <c r="D1016" s="297" t="inlineStr">
        <is>
          <t>Khối lượng chứng khoán giao dịch 
 Volume of securitiy trading</t>
        </is>
      </c>
      <c r="F1016" s="4" t="inlineStr">
        <is>
          <t>Báo cáo</t>
        </is>
      </c>
      <c r="G1016" s="22" t="inlineStr">
        <is>
          <t>Chỉ tiêu phái sinh</t>
        </is>
      </c>
      <c r="H1016" s="4" t="inlineStr">
        <is>
          <t>TB</t>
        </is>
      </c>
    </row>
    <row r="1017" ht="30" customHeight="1" s="380">
      <c r="B1017" s="4" t="inlineStr">
        <is>
          <t>TK_NienGiam</t>
        </is>
      </c>
      <c r="C1017" s="296" t="n"/>
      <c r="D1017" s="297" t="inlineStr">
        <is>
          <t>Khối lượng cổ phiếu giao dịch
 Volume of share trading</t>
        </is>
      </c>
      <c r="F1017" s="4" t="inlineStr">
        <is>
          <t>Báo cáo</t>
        </is>
      </c>
      <c r="G1017" s="22" t="inlineStr">
        <is>
          <t>Chỉ tiêu phái sinh</t>
        </is>
      </c>
      <c r="H1017" s="4" t="inlineStr">
        <is>
          <t>TB</t>
        </is>
      </c>
    </row>
    <row r="1018" ht="30" customHeight="1" s="380">
      <c r="B1018" s="4" t="inlineStr">
        <is>
          <t>TK_NienGiam</t>
        </is>
      </c>
      <c r="C1018" s="298" t="n"/>
      <c r="D1018" s="270" t="inlineStr">
        <is>
          <t>- SGDCK HCM - HCM STOCK EXCHANGE</t>
        </is>
      </c>
      <c r="F1018" s="4" t="inlineStr">
        <is>
          <t>Báo cáo</t>
        </is>
      </c>
      <c r="G1018" s="22" t="inlineStr">
        <is>
          <t>Chỉ tiêu phái sinh</t>
        </is>
      </c>
      <c r="H1018" s="4" t="inlineStr">
        <is>
          <t>TB</t>
        </is>
      </c>
    </row>
    <row r="1019" ht="30" customHeight="1" s="380">
      <c r="B1019" s="4" t="inlineStr">
        <is>
          <t>TK_NienGiam</t>
        </is>
      </c>
      <c r="C1019" s="298" t="n"/>
      <c r="D1019" s="270" t="inlineStr">
        <is>
          <t>- SGDCK HN - HANOI STOCK EXCHANGE</t>
        </is>
      </c>
      <c r="F1019" s="4" t="inlineStr">
        <is>
          <t>Báo cáo</t>
        </is>
      </c>
      <c r="G1019" s="22" t="inlineStr">
        <is>
          <t>Chỉ tiêu phái sinh</t>
        </is>
      </c>
      <c r="H1019" s="4" t="inlineStr">
        <is>
          <t>TB</t>
        </is>
      </c>
    </row>
    <row r="1020" ht="15" customHeight="1" s="380">
      <c r="B1020" s="4" t="inlineStr">
        <is>
          <t>TK_NienGiam</t>
        </is>
      </c>
      <c r="C1020" s="299" t="n"/>
      <c r="D1020" s="300" t="inlineStr">
        <is>
          <t>- Thị trường đăng ký giao dịch- UPCoM</t>
        </is>
      </c>
      <c r="F1020" s="4" t="inlineStr">
        <is>
          <t>Báo cáo</t>
        </is>
      </c>
      <c r="G1020" s="22" t="inlineStr">
        <is>
          <t>Chỉ tiêu phái sinh</t>
        </is>
      </c>
      <c r="H1020" s="4" t="inlineStr">
        <is>
          <t>TB</t>
        </is>
      </c>
    </row>
    <row r="1021" ht="30" customHeight="1" s="380">
      <c r="B1021" s="4" t="inlineStr">
        <is>
          <t>TK_NienGiam</t>
        </is>
      </c>
      <c r="C1021" s="296" t="n"/>
      <c r="D1021" s="297" t="inlineStr">
        <is>
          <t>Khối lượng trái phiếu giao dịch
 Volume of bond trading</t>
        </is>
      </c>
      <c r="F1021" s="4" t="inlineStr">
        <is>
          <t>Báo cáo</t>
        </is>
      </c>
      <c r="G1021" s="22" t="inlineStr">
        <is>
          <t>Chỉ tiêu phái sinh</t>
        </is>
      </c>
      <c r="H1021" s="4" t="inlineStr">
        <is>
          <t>TB</t>
        </is>
      </c>
    </row>
    <row r="1022" ht="30" customHeight="1" s="380">
      <c r="B1022" s="4" t="inlineStr">
        <is>
          <t>TK_NienGiam</t>
        </is>
      </c>
      <c r="C1022" s="298" t="n"/>
      <c r="D1022" s="270" t="inlineStr">
        <is>
          <t>- SGDCK HCM - HCM STOCK EXCHANGE</t>
        </is>
      </c>
      <c r="F1022" s="4" t="inlineStr">
        <is>
          <t>Báo cáo</t>
        </is>
      </c>
      <c r="G1022" s="22" t="inlineStr">
        <is>
          <t>Chỉ tiêu phái sinh</t>
        </is>
      </c>
      <c r="H1022" s="4" t="inlineStr">
        <is>
          <t>TB</t>
        </is>
      </c>
    </row>
    <row r="1023" ht="30" customHeight="1" s="380">
      <c r="B1023" s="4" t="inlineStr">
        <is>
          <t>TK_NienGiam</t>
        </is>
      </c>
      <c r="C1023" s="298" t="n"/>
      <c r="D1023" s="270" t="inlineStr">
        <is>
          <t>- SGDCK HN - HANOI STOCK EXCHANGE</t>
        </is>
      </c>
      <c r="F1023" s="4" t="inlineStr">
        <is>
          <t>Báo cáo</t>
        </is>
      </c>
      <c r="G1023" s="22" t="inlineStr">
        <is>
          <t>Chỉ tiêu phái sinh</t>
        </is>
      </c>
      <c r="H1023" s="4" t="inlineStr">
        <is>
          <t>TB</t>
        </is>
      </c>
    </row>
    <row r="1024" ht="15" customHeight="1" s="380">
      <c r="B1024" s="4" t="inlineStr">
        <is>
          <t>TK_NienGiam</t>
        </is>
      </c>
      <c r="C1024" s="299" t="n"/>
      <c r="D1024" s="301" t="inlineStr">
        <is>
          <t>+ Cổ phiếu</t>
        </is>
      </c>
      <c r="F1024" s="4" t="inlineStr">
        <is>
          <t>Báo cáo</t>
        </is>
      </c>
      <c r="G1024" s="22" t="inlineStr">
        <is>
          <t>Chỉ tiêu phái sinh</t>
        </is>
      </c>
      <c r="H1024" s="4" t="inlineStr">
        <is>
          <t>TB</t>
        </is>
      </c>
    </row>
    <row r="1025" ht="15" customHeight="1" s="380">
      <c r="B1025" s="4" t="inlineStr">
        <is>
          <t>TK_NienGiam</t>
        </is>
      </c>
      <c r="C1025" s="277" t="n"/>
      <c r="D1025" s="285" t="inlineStr">
        <is>
          <t>+ Trái phiếu DN NY</t>
        </is>
      </c>
      <c r="F1025" s="4" t="inlineStr">
        <is>
          <t>Báo cáo</t>
        </is>
      </c>
      <c r="G1025" s="22" t="inlineStr">
        <is>
          <t>Chỉ tiêu phái sinh</t>
        </is>
      </c>
      <c r="H1025" s="4" t="inlineStr">
        <is>
          <t>TB</t>
        </is>
      </c>
    </row>
    <row r="1026" ht="15" customHeight="1" s="380">
      <c r="B1026" s="4" t="inlineStr">
        <is>
          <t>TK_NienGiam</t>
        </is>
      </c>
      <c r="C1026" s="277" t="n"/>
      <c r="D1026" s="285" t="inlineStr">
        <is>
          <t>+ Trái phiếu DN riêng lẻ</t>
        </is>
      </c>
      <c r="F1026" s="4" t="inlineStr">
        <is>
          <t>Báo cáo</t>
        </is>
      </c>
      <c r="G1026" s="22" t="inlineStr">
        <is>
          <t>Chỉ tiêu phái sinh</t>
        </is>
      </c>
      <c r="H1026" s="4" t="inlineStr">
        <is>
          <t>TB</t>
        </is>
      </c>
    </row>
    <row r="1027" ht="30" customHeight="1" s="380">
      <c r="B1027" s="4" t="inlineStr">
        <is>
          <t>TK_NienGiam</t>
        </is>
      </c>
      <c r="C1027" s="296" t="n"/>
      <c r="D1027" s="297" t="inlineStr">
        <is>
          <t>Khối lượng chứng chỉ quỹ giao dịch
 Volume of fund certificate trading</t>
        </is>
      </c>
      <c r="F1027" s="4" t="inlineStr">
        <is>
          <t>Báo cáo</t>
        </is>
      </c>
      <c r="G1027" s="22" t="inlineStr">
        <is>
          <t>Chỉ tiêu phái sinh</t>
        </is>
      </c>
      <c r="H1027" s="4" t="inlineStr">
        <is>
          <t>TB</t>
        </is>
      </c>
    </row>
    <row r="1028" ht="30" customHeight="1" s="380">
      <c r="B1028" s="4" t="inlineStr">
        <is>
          <t>TK_NienGiam</t>
        </is>
      </c>
      <c r="C1028" s="298" t="n"/>
      <c r="D1028" s="270" t="inlineStr">
        <is>
          <t>- SGDCK HCM - HCM STOCK EXCHANGE</t>
        </is>
      </c>
      <c r="F1028" s="4" t="inlineStr">
        <is>
          <t>Báo cáo</t>
        </is>
      </c>
      <c r="G1028" s="22" t="inlineStr">
        <is>
          <t>Chỉ tiêu phái sinh</t>
        </is>
      </c>
      <c r="H1028" s="4" t="inlineStr">
        <is>
          <t>TB</t>
        </is>
      </c>
    </row>
    <row r="1029" ht="30" customHeight="1" s="380">
      <c r="B1029" s="4" t="inlineStr">
        <is>
          <t>TK_NienGiam</t>
        </is>
      </c>
      <c r="C1029" s="298" t="n"/>
      <c r="D1029" s="270" t="inlineStr">
        <is>
          <t>- SGDCK HN - HANOI STOCK EXCHANGE</t>
        </is>
      </c>
      <c r="F1029" s="4" t="inlineStr">
        <is>
          <t>Báo cáo</t>
        </is>
      </c>
      <c r="G1029" s="22" t="inlineStr">
        <is>
          <t>Chỉ tiêu phái sinh</t>
        </is>
      </c>
      <c r="H1029" s="4" t="inlineStr">
        <is>
          <t>TB</t>
        </is>
      </c>
    </row>
    <row r="1030" ht="30" customHeight="1" s="380">
      <c r="B1030" s="4" t="inlineStr">
        <is>
          <t>TK_NienGiam</t>
        </is>
      </c>
      <c r="C1030" s="296" t="n"/>
      <c r="D1030" s="297" t="inlineStr">
        <is>
          <t>Khối lượng chứng khoán niêm yết 
 Volume of listed securities</t>
        </is>
      </c>
      <c r="F1030" s="4" t="inlineStr">
        <is>
          <t>Báo cáo</t>
        </is>
      </c>
      <c r="G1030" s="22" t="inlineStr">
        <is>
          <t>Chỉ tiêu phái sinh</t>
        </is>
      </c>
      <c r="H1030" s="4" t="inlineStr">
        <is>
          <t>TB</t>
        </is>
      </c>
    </row>
    <row r="1031" ht="30" customHeight="1" s="380">
      <c r="B1031" s="4" t="inlineStr">
        <is>
          <t>TK_NienGiam</t>
        </is>
      </c>
      <c r="C1031" s="296" t="n"/>
      <c r="D1031" s="297" t="inlineStr">
        <is>
          <t>Khối lượng cổ phiếu niêm yết
 Volume of listed shares</t>
        </is>
      </c>
      <c r="F1031" s="4" t="inlineStr">
        <is>
          <t>Báo cáo</t>
        </is>
      </c>
      <c r="G1031" s="22" t="inlineStr">
        <is>
          <t>Chỉ tiêu phái sinh</t>
        </is>
      </c>
      <c r="H1031" s="4" t="inlineStr">
        <is>
          <t>TB</t>
        </is>
      </c>
    </row>
    <row r="1032" ht="30" customHeight="1" s="380">
      <c r="B1032" s="4" t="inlineStr">
        <is>
          <t>TK_NienGiam</t>
        </is>
      </c>
      <c r="C1032" s="298" t="n"/>
      <c r="D1032" s="270" t="inlineStr">
        <is>
          <t>- SGDCK HCM - HCM STOCK EXCHANGE</t>
        </is>
      </c>
      <c r="F1032" s="4" t="inlineStr">
        <is>
          <t>Báo cáo</t>
        </is>
      </c>
      <c r="G1032" s="22" t="inlineStr">
        <is>
          <t>Chỉ tiêu phái sinh</t>
        </is>
      </c>
      <c r="H1032" s="4" t="inlineStr">
        <is>
          <t>TB</t>
        </is>
      </c>
    </row>
    <row r="1033" ht="30" customHeight="1" s="380">
      <c r="B1033" s="4" t="inlineStr">
        <is>
          <t>TK_NienGiam</t>
        </is>
      </c>
      <c r="C1033" s="298" t="n"/>
      <c r="D1033" s="270" t="inlineStr">
        <is>
          <t>- SGDCK HN - HANOI STOCK EXCHANGE</t>
        </is>
      </c>
      <c r="F1033" s="4" t="inlineStr">
        <is>
          <t>Báo cáo</t>
        </is>
      </c>
      <c r="G1033" s="22" t="inlineStr">
        <is>
          <t>Chỉ tiêu phái sinh</t>
        </is>
      </c>
      <c r="H1033" s="4" t="inlineStr">
        <is>
          <t>TB</t>
        </is>
      </c>
    </row>
    <row r="1034" ht="45" customHeight="1" s="380">
      <c r="B1034" s="4" t="inlineStr">
        <is>
          <t>TK_NienGiam</t>
        </is>
      </c>
      <c r="C1034" s="296" t="n"/>
      <c r="D1034" s="297" t="inlineStr">
        <is>
          <t>Khối lượng trái phiếu niêm yết/đăng ký giao dịch
 Volume of listed bonds</t>
        </is>
      </c>
      <c r="F1034" s="4" t="inlineStr">
        <is>
          <t>Báo cáo</t>
        </is>
      </c>
      <c r="G1034" s="22" t="inlineStr">
        <is>
          <t>Chỉ tiêu phái sinh</t>
        </is>
      </c>
      <c r="H1034" s="4" t="inlineStr">
        <is>
          <t>TB</t>
        </is>
      </c>
    </row>
    <row r="1035" ht="30" customHeight="1" s="380">
      <c r="B1035" s="4" t="inlineStr">
        <is>
          <t>TK_NienGiam</t>
        </is>
      </c>
      <c r="C1035" s="298" t="n"/>
      <c r="D1035" s="270" t="inlineStr">
        <is>
          <t>- SGDCK HCM - HCM STOCK EXCHANGE</t>
        </is>
      </c>
      <c r="F1035" s="4" t="inlineStr">
        <is>
          <t>Báo cáo</t>
        </is>
      </c>
      <c r="G1035" s="22" t="inlineStr">
        <is>
          <t>Chỉ tiêu phái sinh</t>
        </is>
      </c>
      <c r="H1035" s="4" t="inlineStr">
        <is>
          <t>TB</t>
        </is>
      </c>
    </row>
    <row r="1036" ht="30" customHeight="1" s="380">
      <c r="B1036" s="4" t="inlineStr">
        <is>
          <t>TK_NienGiam</t>
        </is>
      </c>
      <c r="C1036" s="298" t="n"/>
      <c r="D1036" s="270" t="inlineStr">
        <is>
          <t>- SGDCK HN - HANOI STOCK EXCHANGE</t>
        </is>
      </c>
      <c r="F1036" s="4" t="inlineStr">
        <is>
          <t>Báo cáo</t>
        </is>
      </c>
      <c r="G1036" s="22" t="inlineStr">
        <is>
          <t>Chỉ tiêu phái sinh</t>
        </is>
      </c>
      <c r="H1036" s="4" t="inlineStr">
        <is>
          <t>TB</t>
        </is>
      </c>
    </row>
    <row r="1037" ht="15" customHeight="1" s="380">
      <c r="B1037" s="4" t="inlineStr">
        <is>
          <t>TK_NienGiam</t>
        </is>
      </c>
      <c r="C1037" s="299" t="n"/>
      <c r="D1037" s="301" t="inlineStr">
        <is>
          <t>+ Cổ phiếu</t>
        </is>
      </c>
      <c r="F1037" s="4" t="inlineStr">
        <is>
          <t>Báo cáo</t>
        </is>
      </c>
      <c r="G1037" s="22" t="inlineStr">
        <is>
          <t>Chỉ tiêu phái sinh</t>
        </is>
      </c>
      <c r="H1037" s="4" t="inlineStr">
        <is>
          <t>TB</t>
        </is>
      </c>
    </row>
    <row r="1038" ht="15" customHeight="1" s="380">
      <c r="B1038" s="4" t="inlineStr">
        <is>
          <t>TK_NienGiam</t>
        </is>
      </c>
      <c r="C1038" s="277" t="n"/>
      <c r="D1038" s="285" t="inlineStr">
        <is>
          <t>+ Trái phiếu DN NY</t>
        </is>
      </c>
      <c r="F1038" s="4" t="inlineStr">
        <is>
          <t>Báo cáo</t>
        </is>
      </c>
      <c r="G1038" s="22" t="inlineStr">
        <is>
          <t>Chỉ tiêu phái sinh</t>
        </is>
      </c>
      <c r="H1038" s="4" t="inlineStr">
        <is>
          <t>TB</t>
        </is>
      </c>
    </row>
    <row r="1039" ht="15" customHeight="1" s="380">
      <c r="B1039" s="4" t="inlineStr">
        <is>
          <t>TK_NienGiam</t>
        </is>
      </c>
      <c r="C1039" s="277" t="n"/>
      <c r="D1039" s="285" t="inlineStr">
        <is>
          <t>+ Trái phiếu DN riêng lẻ</t>
        </is>
      </c>
      <c r="F1039" s="4" t="inlineStr">
        <is>
          <t>Báo cáo</t>
        </is>
      </c>
      <c r="G1039" s="22" t="inlineStr">
        <is>
          <t>Chỉ tiêu phái sinh</t>
        </is>
      </c>
      <c r="H1039" s="4" t="inlineStr">
        <is>
          <t>TB</t>
        </is>
      </c>
    </row>
    <row r="1040" ht="30" customHeight="1" s="380">
      <c r="B1040" s="4" t="inlineStr">
        <is>
          <t>TK_NienGiam</t>
        </is>
      </c>
      <c r="C1040" s="296" t="n"/>
      <c r="D1040" s="297" t="inlineStr">
        <is>
          <t>Khối lượng chứng chỉ quỹ niêm yết
 Volume of listed fund certificates</t>
        </is>
      </c>
      <c r="F1040" s="4" t="inlineStr">
        <is>
          <t>Báo cáo</t>
        </is>
      </c>
      <c r="G1040" s="22" t="inlineStr">
        <is>
          <t>Chỉ tiêu phái sinh</t>
        </is>
      </c>
      <c r="H1040" s="4" t="inlineStr">
        <is>
          <t>TB</t>
        </is>
      </c>
    </row>
    <row r="1041" ht="30" customHeight="1" s="380">
      <c r="B1041" s="4" t="inlineStr">
        <is>
          <t>TK_NienGiam</t>
        </is>
      </c>
      <c r="C1041" s="298" t="n"/>
      <c r="D1041" s="270" t="inlineStr">
        <is>
          <t>- SGDCK HCM - HCM STOCK EXCHANGE</t>
        </is>
      </c>
      <c r="F1041" s="4" t="inlineStr">
        <is>
          <t>Báo cáo</t>
        </is>
      </c>
      <c r="G1041" s="22" t="inlineStr">
        <is>
          <t>Chỉ tiêu phái sinh</t>
        </is>
      </c>
      <c r="H1041" s="4" t="inlineStr">
        <is>
          <t>TB</t>
        </is>
      </c>
    </row>
    <row r="1042" ht="30" customHeight="1" s="380">
      <c r="B1042" s="4" t="inlineStr">
        <is>
          <t>TK_NienGiam</t>
        </is>
      </c>
      <c r="C1042" s="298" t="n"/>
      <c r="D1042" s="270" t="inlineStr">
        <is>
          <t>- SGDCK HN - HANOI STOCK EXCHANGE</t>
        </is>
      </c>
      <c r="F1042" s="4" t="inlineStr">
        <is>
          <t>Báo cáo</t>
        </is>
      </c>
      <c r="G1042" s="22" t="inlineStr">
        <is>
          <t>Chỉ tiêu phái sinh</t>
        </is>
      </c>
      <c r="H1042" s="4" t="inlineStr">
        <is>
          <t>TB</t>
        </is>
      </c>
    </row>
    <row r="1043" ht="30" customHeight="1" s="380">
      <c r="B1043" s="4" t="inlineStr">
        <is>
          <t>TK_NienGiam</t>
        </is>
      </c>
      <c r="C1043" s="296" t="n"/>
      <c r="D1043" s="297" t="inlineStr">
        <is>
          <t>Giá trị chứng khoán niêm yết
 Value of listed securities</t>
        </is>
      </c>
      <c r="F1043" s="4" t="inlineStr">
        <is>
          <t>Báo cáo</t>
        </is>
      </c>
      <c r="G1043" s="22" t="inlineStr">
        <is>
          <t>Chỉ tiêu phái sinh</t>
        </is>
      </c>
      <c r="H1043" s="4" t="inlineStr">
        <is>
          <t>TB</t>
        </is>
      </c>
    </row>
    <row r="1044" ht="30" customHeight="1" s="380">
      <c r="B1044" s="4" t="inlineStr">
        <is>
          <t>TK_NienGiam</t>
        </is>
      </c>
      <c r="C1044" s="296" t="n"/>
      <c r="D1044" s="297" t="inlineStr">
        <is>
          <t>Giá trị cổ phiếu niêm yết
 Value of listed shares</t>
        </is>
      </c>
      <c r="F1044" s="4" t="inlineStr">
        <is>
          <t>Báo cáo</t>
        </is>
      </c>
      <c r="G1044" s="22" t="inlineStr">
        <is>
          <t>Chỉ tiêu phái sinh</t>
        </is>
      </c>
      <c r="H1044" s="4" t="inlineStr">
        <is>
          <t>TB</t>
        </is>
      </c>
    </row>
    <row r="1045" ht="30" customHeight="1" s="380">
      <c r="B1045" s="4" t="inlineStr">
        <is>
          <t>TK_NienGiam</t>
        </is>
      </c>
      <c r="C1045" s="298" t="n"/>
      <c r="D1045" s="270" t="inlineStr">
        <is>
          <t>- SGDCK HCM - HCM STOCK EXCHANGE</t>
        </is>
      </c>
      <c r="F1045" s="4" t="inlineStr">
        <is>
          <t>Báo cáo</t>
        </is>
      </c>
      <c r="G1045" s="22" t="inlineStr">
        <is>
          <t>Chỉ tiêu phái sinh</t>
        </is>
      </c>
      <c r="H1045" s="4" t="inlineStr">
        <is>
          <t>TB</t>
        </is>
      </c>
    </row>
    <row r="1046" ht="30" customHeight="1" s="380">
      <c r="B1046" s="4" t="inlineStr">
        <is>
          <t>TK_NienGiam</t>
        </is>
      </c>
      <c r="C1046" s="298" t="n"/>
      <c r="D1046" s="270" t="inlineStr">
        <is>
          <t>- SGDCK HN - HANOI STOCK EXCHANGE</t>
        </is>
      </c>
      <c r="F1046" s="4" t="inlineStr">
        <is>
          <t>Báo cáo</t>
        </is>
      </c>
      <c r="G1046" s="22" t="inlineStr">
        <is>
          <t>Chỉ tiêu phái sinh</t>
        </is>
      </c>
      <c r="H1046" s="4" t="inlineStr">
        <is>
          <t>TB</t>
        </is>
      </c>
    </row>
    <row r="1047" ht="45" customHeight="1" s="380">
      <c r="B1047" s="4" t="inlineStr">
        <is>
          <t>TK_NienGiam</t>
        </is>
      </c>
      <c r="C1047" s="296" t="n"/>
      <c r="D1047" s="297" t="inlineStr">
        <is>
          <t>Giá trị trái phiếu niêm yết, đăng ký giao dịch
 Value of listed bonds</t>
        </is>
      </c>
      <c r="F1047" s="4" t="inlineStr">
        <is>
          <t>Báo cáo</t>
        </is>
      </c>
      <c r="G1047" s="22" t="inlineStr">
        <is>
          <t>Chỉ tiêu phái sinh</t>
        </is>
      </c>
      <c r="H1047" s="4" t="inlineStr">
        <is>
          <t>TB</t>
        </is>
      </c>
    </row>
    <row r="1048" ht="30" customHeight="1" s="380">
      <c r="B1048" s="4" t="inlineStr">
        <is>
          <t>TK_NienGiam</t>
        </is>
      </c>
      <c r="C1048" s="298" t="n"/>
      <c r="D1048" s="270" t="inlineStr">
        <is>
          <t>- SGDCK HCM - HCM STOCK EXCHANGE</t>
        </is>
      </c>
      <c r="F1048" s="4" t="inlineStr">
        <is>
          <t>Báo cáo</t>
        </is>
      </c>
      <c r="G1048" s="22" t="inlineStr">
        <is>
          <t>Chỉ tiêu phái sinh</t>
        </is>
      </c>
      <c r="H1048" s="4" t="inlineStr">
        <is>
          <t>TB</t>
        </is>
      </c>
    </row>
    <row r="1049" ht="30" customHeight="1" s="380">
      <c r="B1049" s="4" t="inlineStr">
        <is>
          <t>TK_NienGiam</t>
        </is>
      </c>
      <c r="C1049" s="298" t="n"/>
      <c r="D1049" s="270" t="inlineStr">
        <is>
          <t>- SGDCK HN - HANOI STOCK EXCHANGE</t>
        </is>
      </c>
      <c r="F1049" s="4" t="inlineStr">
        <is>
          <t>Báo cáo</t>
        </is>
      </c>
      <c r="G1049" s="22" t="inlineStr">
        <is>
          <t>Chỉ tiêu phái sinh</t>
        </is>
      </c>
      <c r="H1049" s="4" t="inlineStr">
        <is>
          <t>TB</t>
        </is>
      </c>
    </row>
    <row r="1050" ht="15" customHeight="1" s="380">
      <c r="B1050" s="4" t="inlineStr">
        <is>
          <t>TK_NienGiam</t>
        </is>
      </c>
      <c r="C1050" s="299" t="n"/>
      <c r="D1050" s="301" t="inlineStr">
        <is>
          <t>+ Cổ phiếu</t>
        </is>
      </c>
      <c r="F1050" s="4" t="inlineStr">
        <is>
          <t>Báo cáo</t>
        </is>
      </c>
      <c r="G1050" s="22" t="inlineStr">
        <is>
          <t>Chỉ tiêu phái sinh</t>
        </is>
      </c>
      <c r="H1050" s="4" t="inlineStr">
        <is>
          <t>TB</t>
        </is>
      </c>
    </row>
    <row r="1051" ht="15" customHeight="1" s="380">
      <c r="B1051" s="4" t="inlineStr">
        <is>
          <t>TK_NienGiam</t>
        </is>
      </c>
      <c r="C1051" s="277" t="n"/>
      <c r="D1051" s="285" t="inlineStr">
        <is>
          <t>+ Trái phiếu DN NY</t>
        </is>
      </c>
      <c r="F1051" s="4" t="inlineStr">
        <is>
          <t>Báo cáo</t>
        </is>
      </c>
      <c r="G1051" s="22" t="inlineStr">
        <is>
          <t>Chỉ tiêu phái sinh</t>
        </is>
      </c>
      <c r="H1051" s="4" t="inlineStr">
        <is>
          <t>TB</t>
        </is>
      </c>
    </row>
    <row r="1052" ht="15" customHeight="1" s="380">
      <c r="B1052" s="4" t="inlineStr">
        <is>
          <t>TK_NienGiam</t>
        </is>
      </c>
      <c r="C1052" s="277" t="n"/>
      <c r="D1052" s="285" t="inlineStr">
        <is>
          <t>+ Trái phiếu DN riêng lẻ</t>
        </is>
      </c>
      <c r="F1052" s="4" t="inlineStr">
        <is>
          <t>Báo cáo</t>
        </is>
      </c>
      <c r="G1052" s="22" t="inlineStr">
        <is>
          <t>Chỉ tiêu phái sinh</t>
        </is>
      </c>
      <c r="H1052" s="4" t="inlineStr">
        <is>
          <t>TB</t>
        </is>
      </c>
    </row>
    <row r="1053" ht="30" customHeight="1" s="380">
      <c r="B1053" s="4" t="inlineStr">
        <is>
          <t>TK_NienGiam</t>
        </is>
      </c>
      <c r="C1053" s="296" t="n"/>
      <c r="D1053" s="297" t="inlineStr">
        <is>
          <t>Giá trị chứng chỉ quỹ niêm yết
 Value of listed fund certificates</t>
        </is>
      </c>
      <c r="F1053" s="4" t="inlineStr">
        <is>
          <t>Báo cáo</t>
        </is>
      </c>
      <c r="G1053" s="22" t="inlineStr">
        <is>
          <t>Chỉ tiêu phái sinh</t>
        </is>
      </c>
      <c r="H1053" s="4" t="inlineStr">
        <is>
          <t>TB</t>
        </is>
      </c>
    </row>
    <row r="1054" ht="30" customHeight="1" s="380">
      <c r="B1054" s="4" t="inlineStr">
        <is>
          <t>TK_NienGiam</t>
        </is>
      </c>
      <c r="C1054" s="298" t="n"/>
      <c r="D1054" s="270" t="inlineStr">
        <is>
          <t>- SGDCK HCM - HCM STOCK EXCHANGE</t>
        </is>
      </c>
      <c r="F1054" s="4" t="inlineStr">
        <is>
          <t>Báo cáo</t>
        </is>
      </c>
      <c r="G1054" s="22" t="inlineStr">
        <is>
          <t>Chỉ tiêu phái sinh</t>
        </is>
      </c>
      <c r="H1054" s="4" t="inlineStr">
        <is>
          <t>TB</t>
        </is>
      </c>
    </row>
    <row r="1055" ht="30" customHeight="1" s="380">
      <c r="B1055" s="4" t="inlineStr">
        <is>
          <t>TK_NienGiam</t>
        </is>
      </c>
      <c r="C1055" s="298" t="n"/>
      <c r="D1055" s="270" t="inlineStr">
        <is>
          <t>- SGDCK HN - HANOI STOCK EXCHANGE</t>
        </is>
      </c>
      <c r="F1055" s="4" t="inlineStr">
        <is>
          <t>Báo cáo</t>
        </is>
      </c>
      <c r="G1055" s="22" t="inlineStr">
        <is>
          <t>Chỉ tiêu phái sinh</t>
        </is>
      </c>
      <c r="H1055" s="4" t="inlineStr">
        <is>
          <t>TB</t>
        </is>
      </c>
    </row>
    <row r="1056" ht="30" customHeight="1" s="380">
      <c r="B1056" s="4" t="inlineStr">
        <is>
          <t>TK_NienGiam</t>
        </is>
      </c>
      <c r="C1056" s="302" t="n"/>
      <c r="D1056" s="276" t="inlineStr">
        <is>
          <t>Khối lượng cổ phiếu đăng ký giao dịch
 Vollume of registered shares</t>
        </is>
      </c>
      <c r="F1056" s="4" t="inlineStr">
        <is>
          <t>Báo cáo</t>
        </is>
      </c>
      <c r="G1056" s="22" t="inlineStr">
        <is>
          <t>Chỉ tiêu phái sinh</t>
        </is>
      </c>
      <c r="H1056" s="4" t="inlineStr">
        <is>
          <t>TB</t>
        </is>
      </c>
    </row>
    <row r="1057" ht="30" customHeight="1" s="380">
      <c r="B1057" s="4" t="inlineStr">
        <is>
          <t>TK_NienGiam</t>
        </is>
      </c>
      <c r="C1057" s="302" t="n"/>
      <c r="D1057" s="276" t="inlineStr">
        <is>
          <t>Giá trị cổ phiếu đăng ký giao dịch
 Vallue of registered shares</t>
        </is>
      </c>
      <c r="F1057" s="4" t="inlineStr">
        <is>
          <t>Báo cáo</t>
        </is>
      </c>
      <c r="G1057" s="22" t="inlineStr">
        <is>
          <t>Chỉ tiêu phái sinh</t>
        </is>
      </c>
      <c r="H1057" s="4" t="inlineStr">
        <is>
          <t>TB</t>
        </is>
      </c>
    </row>
    <row r="1058" ht="30" customHeight="1" s="380">
      <c r="B1058" s="4" t="inlineStr">
        <is>
          <t>TK_NienGiam</t>
        </is>
      </c>
      <c r="C1058" s="296" t="n"/>
      <c r="D1058" s="297" t="inlineStr">
        <is>
          <t>Tổng số loại chứng khoán niêm yết
 Total number of listed securities</t>
        </is>
      </c>
      <c r="F1058" s="4" t="inlineStr">
        <is>
          <t>Báo cáo</t>
        </is>
      </c>
      <c r="G1058" s="22" t="inlineStr">
        <is>
          <t>Chỉ tiêu phái sinh</t>
        </is>
      </c>
      <c r="H1058" s="4" t="inlineStr">
        <is>
          <t>TB</t>
        </is>
      </c>
    </row>
    <row r="1059" ht="30" customHeight="1" s="380">
      <c r="B1059" s="4" t="inlineStr">
        <is>
          <t>TK_NienGiam</t>
        </is>
      </c>
      <c r="C1059" s="298" t="n"/>
      <c r="D1059" s="270" t="inlineStr">
        <is>
          <t>- SGDCK HCM - HCM STOCK EXCHANGE</t>
        </is>
      </c>
      <c r="F1059" s="4" t="inlineStr">
        <is>
          <t>Báo cáo</t>
        </is>
      </c>
      <c r="G1059" s="22" t="inlineStr">
        <is>
          <t>Chỉ tiêu phái sinh</t>
        </is>
      </c>
      <c r="H1059" s="4" t="inlineStr">
        <is>
          <t>TB</t>
        </is>
      </c>
    </row>
    <row r="1060" ht="30" customHeight="1" s="380">
      <c r="B1060" s="4" t="inlineStr">
        <is>
          <t>TK_NienGiam</t>
        </is>
      </c>
      <c r="C1060" s="298" t="n"/>
      <c r="D1060" s="270" t="inlineStr">
        <is>
          <t>- SGDCK HN - HANOI STOCK EXCHANGE</t>
        </is>
      </c>
      <c r="F1060" s="4" t="inlineStr">
        <is>
          <t>Báo cáo</t>
        </is>
      </c>
      <c r="G1060" s="22" t="inlineStr">
        <is>
          <t>Chỉ tiêu phái sinh</t>
        </is>
      </c>
      <c r="H1060" s="4" t="inlineStr">
        <is>
          <t>TB</t>
        </is>
      </c>
    </row>
    <row r="1061" ht="30" customHeight="1" s="380">
      <c r="B1061" s="4" t="inlineStr">
        <is>
          <t>TK_NienGiam</t>
        </is>
      </c>
      <c r="C1061" s="296" t="n"/>
      <c r="D1061" s="297" t="inlineStr">
        <is>
          <t>Trái phiếu niêm yết/đăng ký giao dịch
 Number of listed bonds</t>
        </is>
      </c>
      <c r="F1061" s="4" t="inlineStr">
        <is>
          <t>Báo cáo</t>
        </is>
      </c>
      <c r="G1061" s="22" t="inlineStr">
        <is>
          <t>Chỉ tiêu phái sinh</t>
        </is>
      </c>
      <c r="H1061" s="4" t="inlineStr">
        <is>
          <t>TB</t>
        </is>
      </c>
    </row>
    <row r="1062" ht="30" customHeight="1" s="380">
      <c r="B1062" s="4" t="inlineStr">
        <is>
          <t>TK_NienGiam</t>
        </is>
      </c>
      <c r="C1062" s="298" t="n"/>
      <c r="D1062" s="270" t="inlineStr">
        <is>
          <t>Trái phiếu Chính phủ
 Government bonds</t>
        </is>
      </c>
      <c r="F1062" s="4" t="inlineStr">
        <is>
          <t>Báo cáo</t>
        </is>
      </c>
      <c r="G1062" s="22" t="inlineStr">
        <is>
          <t>Chỉ tiêu phái sinh</t>
        </is>
      </c>
      <c r="H1062" s="4" t="inlineStr">
        <is>
          <t>TB</t>
        </is>
      </c>
    </row>
    <row r="1063" ht="30" customHeight="1" s="380">
      <c r="B1063" s="4" t="inlineStr">
        <is>
          <t>TK_NienGiam</t>
        </is>
      </c>
      <c r="C1063" s="298" t="n"/>
      <c r="D1063" s="270" t="inlineStr">
        <is>
          <t>- SGDCK HCM - HCM STOCK EXCHANGE</t>
        </is>
      </c>
      <c r="F1063" s="4" t="inlineStr">
        <is>
          <t>Báo cáo</t>
        </is>
      </c>
      <c r="G1063" s="22" t="inlineStr">
        <is>
          <t>Chỉ tiêu phái sinh</t>
        </is>
      </c>
      <c r="H1063" s="4" t="inlineStr">
        <is>
          <t>TB</t>
        </is>
      </c>
    </row>
    <row r="1064" ht="30" customHeight="1" s="380">
      <c r="B1064" s="4" t="inlineStr">
        <is>
          <t>TK_NienGiam</t>
        </is>
      </c>
      <c r="C1064" s="298" t="n"/>
      <c r="D1064" s="270" t="inlineStr">
        <is>
          <t>- SGDCK HN - HANOI STOCK EXCHANGE</t>
        </is>
      </c>
      <c r="F1064" s="4" t="inlineStr">
        <is>
          <t>Báo cáo</t>
        </is>
      </c>
      <c r="G1064" s="22" t="inlineStr">
        <is>
          <t>Chỉ tiêu phái sinh</t>
        </is>
      </c>
      <c r="H1064" s="4" t="inlineStr">
        <is>
          <t>TB</t>
        </is>
      </c>
    </row>
    <row r="1065" ht="30" customHeight="1" s="380">
      <c r="B1065" s="4" t="inlineStr">
        <is>
          <t>TK_NienGiam</t>
        </is>
      </c>
      <c r="C1065" s="298" t="n"/>
      <c r="D1065" s="270" t="inlineStr">
        <is>
          <t>Trái phiếu Doanh nghiệp
 Corporate bonds</t>
        </is>
      </c>
      <c r="F1065" s="4" t="inlineStr">
        <is>
          <t>Báo cáo</t>
        </is>
      </c>
      <c r="G1065" s="22" t="inlineStr">
        <is>
          <t>Chỉ tiêu phái sinh</t>
        </is>
      </c>
      <c r="H1065" s="4" t="inlineStr">
        <is>
          <t>TB</t>
        </is>
      </c>
    </row>
    <row r="1066" ht="30" customHeight="1" s="380">
      <c r="B1066" s="4" t="inlineStr">
        <is>
          <t>TK_NienGiam</t>
        </is>
      </c>
      <c r="C1066" s="298" t="n"/>
      <c r="D1066" s="270" t="inlineStr">
        <is>
          <t>- SGDCK HCM - HCM STOCK EXCHANGE</t>
        </is>
      </c>
      <c r="F1066" s="4" t="inlineStr">
        <is>
          <t>Báo cáo</t>
        </is>
      </c>
      <c r="G1066" s="22" t="inlineStr">
        <is>
          <t>Chỉ tiêu phái sinh</t>
        </is>
      </c>
      <c r="H1066" s="4" t="inlineStr">
        <is>
          <t>TB</t>
        </is>
      </c>
    </row>
    <row r="1067" ht="30" customHeight="1" s="380">
      <c r="B1067" s="4" t="inlineStr">
        <is>
          <t>TK_NienGiam</t>
        </is>
      </c>
      <c r="C1067" s="298" t="n"/>
      <c r="D1067" s="270" t="inlineStr">
        <is>
          <t>- SGDCK HN - HANOI STOCK EXCHANGE</t>
        </is>
      </c>
      <c r="F1067" s="4" t="inlineStr">
        <is>
          <t>Báo cáo</t>
        </is>
      </c>
      <c r="G1067" s="22" t="inlineStr">
        <is>
          <t>Chỉ tiêu phái sinh</t>
        </is>
      </c>
      <c r="H1067" s="4" t="inlineStr">
        <is>
          <t>TB</t>
        </is>
      </c>
    </row>
    <row r="1068" ht="30" customHeight="1" s="380">
      <c r="B1068" s="4" t="inlineStr">
        <is>
          <t>TK_NienGiam</t>
        </is>
      </c>
      <c r="C1068" s="298" t="n"/>
      <c r="D1068" s="270" t="inlineStr">
        <is>
          <t>Trái phiếu chính quyền địa phương
 Municipal bonds</t>
        </is>
      </c>
      <c r="F1068" s="4" t="inlineStr">
        <is>
          <t>Báo cáo</t>
        </is>
      </c>
      <c r="G1068" s="22" t="inlineStr">
        <is>
          <t>Chỉ tiêu phái sinh</t>
        </is>
      </c>
      <c r="H1068" s="4" t="inlineStr">
        <is>
          <t>TB</t>
        </is>
      </c>
    </row>
    <row r="1069" ht="30" customHeight="1" s="380">
      <c r="B1069" s="4" t="inlineStr">
        <is>
          <t>TK_NienGiam</t>
        </is>
      </c>
      <c r="C1069" s="298" t="n"/>
      <c r="D1069" s="270" t="inlineStr">
        <is>
          <t>- SGDCK HCM - HCM STOCK EXCHANGE</t>
        </is>
      </c>
      <c r="F1069" s="4" t="inlineStr">
        <is>
          <t>Báo cáo</t>
        </is>
      </c>
      <c r="G1069" s="22" t="inlineStr">
        <is>
          <t>Chỉ tiêu phái sinh</t>
        </is>
      </c>
      <c r="H1069" s="4" t="inlineStr">
        <is>
          <t>TB</t>
        </is>
      </c>
    </row>
    <row r="1070" ht="30" customHeight="1" s="380">
      <c r="B1070" s="4" t="inlineStr">
        <is>
          <t>TK_NienGiam</t>
        </is>
      </c>
      <c r="C1070" s="298" t="n"/>
      <c r="D1070" s="270" t="inlineStr">
        <is>
          <t>- SGDCK HN - HANOI STOCK EXCHANGE</t>
        </is>
      </c>
      <c r="F1070" s="4" t="inlineStr">
        <is>
          <t>Báo cáo</t>
        </is>
      </c>
      <c r="G1070" s="22" t="inlineStr">
        <is>
          <t>Chỉ tiêu phái sinh</t>
        </is>
      </c>
      <c r="H1070" s="4" t="inlineStr">
        <is>
          <t>TB</t>
        </is>
      </c>
    </row>
    <row r="1071" ht="15" customHeight="1" s="380">
      <c r="B1071" s="4" t="inlineStr">
        <is>
          <t>TK_NienGiam</t>
        </is>
      </c>
      <c r="C1071" s="298" t="n"/>
      <c r="D1071" s="270" t="inlineStr">
        <is>
          <t>Trái phiếu doanh nghiệp riêng lẻ</t>
        </is>
      </c>
      <c r="F1071" s="4" t="inlineStr">
        <is>
          <t>Báo cáo</t>
        </is>
      </c>
      <c r="G1071" s="22" t="inlineStr">
        <is>
          <t>Chỉ tiêu phái sinh</t>
        </is>
      </c>
      <c r="H1071" s="4" t="inlineStr">
        <is>
          <t>TB</t>
        </is>
      </c>
    </row>
    <row r="1072" ht="30" customHeight="1" s="380">
      <c r="B1072" s="4" t="inlineStr">
        <is>
          <t>TK_NienGiam</t>
        </is>
      </c>
      <c r="C1072" s="296" t="n"/>
      <c r="D1072" s="297" t="inlineStr">
        <is>
          <t>Cổ phiếu niêm yết
 Number of listed shares</t>
        </is>
      </c>
      <c r="F1072" s="4" t="inlineStr">
        <is>
          <t>Báo cáo</t>
        </is>
      </c>
      <c r="G1072" s="22" t="inlineStr">
        <is>
          <t>Chỉ tiêu phái sinh</t>
        </is>
      </c>
      <c r="H1072" s="4" t="inlineStr">
        <is>
          <t>TB</t>
        </is>
      </c>
    </row>
    <row r="1073" ht="30" customHeight="1" s="380">
      <c r="B1073" s="4" t="inlineStr">
        <is>
          <t>TK_NienGiam</t>
        </is>
      </c>
      <c r="C1073" s="298" t="n"/>
      <c r="D1073" s="270" t="inlineStr">
        <is>
          <t>- SGDCK HCM - HCM STOCK EXCHANGE</t>
        </is>
      </c>
      <c r="F1073" s="4" t="inlineStr">
        <is>
          <t>Báo cáo</t>
        </is>
      </c>
      <c r="G1073" s="22" t="inlineStr">
        <is>
          <t>Chỉ tiêu phái sinh</t>
        </is>
      </c>
      <c r="H1073" s="4" t="inlineStr">
        <is>
          <t>TB</t>
        </is>
      </c>
    </row>
    <row r="1074" ht="30" customHeight="1" s="380">
      <c r="B1074" s="4" t="inlineStr">
        <is>
          <t>TK_NienGiam</t>
        </is>
      </c>
      <c r="C1074" s="298" t="n"/>
      <c r="D1074" s="270" t="inlineStr">
        <is>
          <t>- SGDCK HN - HANOI STOCK EXCHANGE</t>
        </is>
      </c>
      <c r="F1074" s="4" t="inlineStr">
        <is>
          <t>Báo cáo</t>
        </is>
      </c>
      <c r="G1074" s="22" t="inlineStr">
        <is>
          <t>Chỉ tiêu phái sinh</t>
        </is>
      </c>
      <c r="H1074" s="4" t="inlineStr">
        <is>
          <t>TB</t>
        </is>
      </c>
    </row>
    <row r="1075" ht="30" customHeight="1" s="380">
      <c r="B1075" s="4" t="inlineStr">
        <is>
          <t>TK_NienGiam</t>
        </is>
      </c>
      <c r="C1075" s="296" t="n"/>
      <c r="D1075" s="297" t="inlineStr">
        <is>
          <t>Chứng chỉ quỹ niêm yết
 Number of listed fund certificates</t>
        </is>
      </c>
      <c r="F1075" s="4" t="inlineStr">
        <is>
          <t>Báo cáo</t>
        </is>
      </c>
      <c r="G1075" s="22" t="inlineStr">
        <is>
          <t>Chỉ tiêu phái sinh</t>
        </is>
      </c>
      <c r="H1075" s="4" t="inlineStr">
        <is>
          <t>TB</t>
        </is>
      </c>
    </row>
    <row r="1076" ht="30" customHeight="1" s="380">
      <c r="B1076" s="4" t="inlineStr">
        <is>
          <t>TK_NienGiam</t>
        </is>
      </c>
      <c r="C1076" s="298" t="n"/>
      <c r="D1076" s="270" t="inlineStr">
        <is>
          <t>- SGDCK HCM - HCM STOCK EXCHANGE</t>
        </is>
      </c>
      <c r="F1076" s="4" t="inlineStr">
        <is>
          <t>Báo cáo</t>
        </is>
      </c>
      <c r="G1076" s="22" t="inlineStr">
        <is>
          <t>Chỉ tiêu phái sinh</t>
        </is>
      </c>
      <c r="H1076" s="4" t="inlineStr">
        <is>
          <t>TB</t>
        </is>
      </c>
    </row>
    <row r="1077" ht="30" customHeight="1" s="380">
      <c r="B1077" s="4" t="inlineStr">
        <is>
          <t>TK_NienGiam</t>
        </is>
      </c>
      <c r="C1077" s="298" t="n"/>
      <c r="D1077" s="270" t="inlineStr">
        <is>
          <t>- SGDCK HN - HANOI STOCK EXCHANGE</t>
        </is>
      </c>
      <c r="F1077" s="4" t="inlineStr">
        <is>
          <t>Báo cáo</t>
        </is>
      </c>
      <c r="G1077" s="22" t="inlineStr">
        <is>
          <t>Chỉ tiêu phái sinh</t>
        </is>
      </c>
      <c r="H1077" s="4" t="inlineStr">
        <is>
          <t>TB</t>
        </is>
      </c>
    </row>
    <row r="1078" ht="30" customHeight="1" s="380">
      <c r="B1078" s="4" t="inlineStr">
        <is>
          <t>TK_NienGiam</t>
        </is>
      </c>
      <c r="C1078" s="296" t="n"/>
      <c r="D1078" s="297" t="inlineStr">
        <is>
          <t>Số phiên thực hiện giao dịch
 Number of trading sessions</t>
        </is>
      </c>
      <c r="F1078" s="4" t="inlineStr">
        <is>
          <t>Báo cáo</t>
        </is>
      </c>
      <c r="G1078" s="22" t="inlineStr">
        <is>
          <t>Chỉ tiêu phái sinh</t>
        </is>
      </c>
      <c r="H1078" s="4" t="inlineStr">
        <is>
          <t>TB</t>
        </is>
      </c>
    </row>
    <row r="1079" ht="30" customHeight="1" s="380">
      <c r="B1079" s="4" t="inlineStr">
        <is>
          <t>TK_NienGiam</t>
        </is>
      </c>
      <c r="C1079" s="298" t="n"/>
      <c r="D1079" s="270" t="inlineStr">
        <is>
          <t>- SGDCK HCM - HCM STOCK EXCHANGE</t>
        </is>
      </c>
      <c r="F1079" s="4" t="inlineStr">
        <is>
          <t>Báo cáo</t>
        </is>
      </c>
      <c r="G1079" s="22" t="inlineStr">
        <is>
          <t>Chỉ tiêu phái sinh</t>
        </is>
      </c>
      <c r="H1079" s="4" t="inlineStr">
        <is>
          <t>TB</t>
        </is>
      </c>
    </row>
    <row r="1080" ht="30" customHeight="1" s="380">
      <c r="B1080" s="4" t="inlineStr">
        <is>
          <t>TK_NienGiam</t>
        </is>
      </c>
      <c r="C1080" s="298" t="n"/>
      <c r="D1080" s="270" t="inlineStr">
        <is>
          <t>- SGDCK HN - HANOI STOCK EXCHANGE</t>
        </is>
      </c>
      <c r="F1080" s="4" t="inlineStr">
        <is>
          <t>Báo cáo</t>
        </is>
      </c>
      <c r="G1080" s="22" t="inlineStr">
        <is>
          <t>Chỉ tiêu phái sinh</t>
        </is>
      </c>
      <c r="H1080" s="4" t="inlineStr">
        <is>
          <t>TB</t>
        </is>
      </c>
    </row>
    <row r="1081" ht="30" customHeight="1" s="380">
      <c r="B1081" s="4" t="inlineStr">
        <is>
          <t>TK_NienGiam</t>
        </is>
      </c>
      <c r="C1081" s="296" t="n"/>
      <c r="D1081" s="297" t="inlineStr">
        <is>
          <t>Số lượng công ty niêm yết chứng khoán
 Number of listed companies</t>
        </is>
      </c>
      <c r="F1081" s="4" t="inlineStr">
        <is>
          <t>Báo cáo</t>
        </is>
      </c>
      <c r="G1081" s="22" t="inlineStr">
        <is>
          <t>Chỉ tiêu phái sinh</t>
        </is>
      </c>
      <c r="H1081" s="4" t="inlineStr">
        <is>
          <t>TB</t>
        </is>
      </c>
    </row>
    <row r="1082" ht="30" customHeight="1" s="380">
      <c r="B1082" s="4" t="inlineStr">
        <is>
          <t>TK_NienGiam</t>
        </is>
      </c>
      <c r="C1082" s="298" t="n"/>
      <c r="D1082" s="270" t="inlineStr">
        <is>
          <t>- SGDCK HCM - HCM STOCK EXCHANGE</t>
        </is>
      </c>
      <c r="F1082" s="4" t="inlineStr">
        <is>
          <t>Báo cáo</t>
        </is>
      </c>
      <c r="G1082" s="22" t="inlineStr">
        <is>
          <t>Chỉ tiêu phái sinh</t>
        </is>
      </c>
      <c r="H1082" s="4" t="inlineStr">
        <is>
          <t>TB</t>
        </is>
      </c>
    </row>
    <row r="1083" ht="30" customHeight="1" s="380">
      <c r="B1083" s="4" t="inlineStr">
        <is>
          <t>TK_NienGiam</t>
        </is>
      </c>
      <c r="C1083" s="298" t="n"/>
      <c r="D1083" s="270" t="inlineStr">
        <is>
          <t>- SGDCK HN - HANOI STOCK EXCHANGE</t>
        </is>
      </c>
      <c r="F1083" s="4" t="inlineStr">
        <is>
          <t>Báo cáo</t>
        </is>
      </c>
      <c r="G1083" s="22" t="inlineStr">
        <is>
          <t>Chỉ tiêu phái sinh</t>
        </is>
      </c>
      <c r="H1083" s="4" t="inlineStr">
        <is>
          <t>TB</t>
        </is>
      </c>
    </row>
    <row r="1084" ht="30" customHeight="1" s="380">
      <c r="B1084" s="4" t="inlineStr">
        <is>
          <t>TK_NienGiam</t>
        </is>
      </c>
      <c r="C1084" s="296" t="n"/>
      <c r="D1084" s="297" t="inlineStr">
        <is>
          <t>Số lượng công ty đăng ký giao dịch
 Number of unlisted puplic companies</t>
        </is>
      </c>
      <c r="F1084" s="4" t="inlineStr">
        <is>
          <t>Báo cáo</t>
        </is>
      </c>
      <c r="G1084" s="22" t="inlineStr">
        <is>
          <t>Chỉ tiêu phái sinh</t>
        </is>
      </c>
      <c r="H1084" s="4" t="inlineStr">
        <is>
          <t>TB</t>
        </is>
      </c>
    </row>
    <row r="1085" ht="45" customHeight="1" s="380">
      <c r="B1085" s="4" t="inlineStr">
        <is>
          <t>TK_NienGiam</t>
        </is>
      </c>
      <c r="C1085" s="296" t="n"/>
      <c r="D1085" s="303" t="inlineStr">
        <is>
          <t>Số lượng công ty chứng khoán được cấp phép
 Number of licensed securities companies</t>
        </is>
      </c>
      <c r="F1085" s="4" t="inlineStr">
        <is>
          <t>Báo cáo</t>
        </is>
      </c>
      <c r="G1085" s="22" t="inlineStr">
        <is>
          <t>Chỉ tiêu phái sinh</t>
        </is>
      </c>
      <c r="H1085" s="4" t="inlineStr">
        <is>
          <t>TB</t>
        </is>
      </c>
    </row>
    <row r="1086" ht="15" customHeight="1" s="380">
      <c r="B1086" s="4" t="inlineStr">
        <is>
          <t>TK_NienGiam</t>
        </is>
      </c>
      <c r="C1086" s="296" t="n"/>
      <c r="D1086" s="304" t="inlineStr">
        <is>
          <t>Số lượng công ty quản lý quỹ</t>
        </is>
      </c>
      <c r="F1086" s="4" t="inlineStr">
        <is>
          <t>Báo cáo</t>
        </is>
      </c>
      <c r="G1086" s="22" t="inlineStr">
        <is>
          <t>Chỉ tiêu phái sinh</t>
        </is>
      </c>
      <c r="H1086" s="4" t="inlineStr">
        <is>
          <t>TB</t>
        </is>
      </c>
    </row>
    <row r="1087" ht="15" customHeight="1" s="380">
      <c r="B1087" s="4" t="inlineStr">
        <is>
          <t>TK_NienGiam</t>
        </is>
      </c>
      <c r="C1087" s="296" t="n"/>
      <c r="D1087" s="304" t="inlineStr">
        <is>
          <t>Giá trị chào bán chứng khoán</t>
        </is>
      </c>
      <c r="F1087" s="4" t="inlineStr">
        <is>
          <t>Báo cáo</t>
        </is>
      </c>
      <c r="G1087" s="22" t="inlineStr">
        <is>
          <t>Chỉ tiêu phái sinh</t>
        </is>
      </c>
      <c r="H1087" s="4" t="inlineStr">
        <is>
          <t>TB</t>
        </is>
      </c>
    </row>
    <row r="1088" ht="15" customHeight="1" s="380">
      <c r="B1088" s="4" t="inlineStr">
        <is>
          <t>TK_NienGiam</t>
        </is>
      </c>
      <c r="C1088" s="298" t="n"/>
      <c r="D1088" s="283" t="inlineStr">
        <is>
          <t>Chào bán cổ phiếu</t>
        </is>
      </c>
      <c r="F1088" s="4" t="inlineStr">
        <is>
          <t>Báo cáo</t>
        </is>
      </c>
      <c r="G1088" s="22" t="inlineStr">
        <is>
          <t>Chỉ tiêu phái sinh</t>
        </is>
      </c>
      <c r="H1088" s="4" t="inlineStr">
        <is>
          <t>TB</t>
        </is>
      </c>
    </row>
    <row r="1089" ht="30" customHeight="1" s="380">
      <c r="B1089" s="4" t="inlineStr">
        <is>
          <t>TK_NienGiam</t>
        </is>
      </c>
      <c r="C1089" s="298" t="n"/>
      <c r="D1089" s="283" t="inlineStr">
        <is>
          <t>Cháo bán trái phiếu doanh nghiệp ra công chúng</t>
        </is>
      </c>
      <c r="F1089" s="4" t="inlineStr">
        <is>
          <t>Báo cáo</t>
        </is>
      </c>
      <c r="G1089" s="22" t="inlineStr">
        <is>
          <t>Chỉ tiêu phái sinh</t>
        </is>
      </c>
      <c r="H1089" s="4" t="inlineStr">
        <is>
          <t>TB</t>
        </is>
      </c>
    </row>
    <row r="1090" ht="30" customHeight="1" s="380">
      <c r="B1090" s="4" t="inlineStr">
        <is>
          <t>TK_NienGiam</t>
        </is>
      </c>
      <c r="C1090" s="298" t="n"/>
      <c r="D1090" s="283" t="inlineStr">
        <is>
          <t>Chào bán trái phiếu doanh nghiệp riêng lẻ trong nước</t>
        </is>
      </c>
      <c r="F1090" s="4" t="inlineStr">
        <is>
          <t>Báo cáo</t>
        </is>
      </c>
      <c r="G1090" s="22" t="inlineStr">
        <is>
          <t>Chỉ tiêu phái sinh</t>
        </is>
      </c>
      <c r="H1090" s="4" t="inlineStr">
        <is>
          <t>TB</t>
        </is>
      </c>
    </row>
    <row r="1091" ht="30" customHeight="1" s="380">
      <c r="B1091" s="4" t="inlineStr">
        <is>
          <t>TK_NienGiam</t>
        </is>
      </c>
      <c r="C1091" s="298" t="n"/>
      <c r="D1091" s="283" t="inlineStr">
        <is>
          <t>Chào bán trái phiếu doanh nghiệp ra quốc tế</t>
        </is>
      </c>
      <c r="F1091" s="4" t="inlineStr">
        <is>
          <t>Báo cáo</t>
        </is>
      </c>
      <c r="G1091" s="22" t="inlineStr">
        <is>
          <t>Chỉ tiêu phái sinh</t>
        </is>
      </c>
      <c r="H1091" s="4" t="inlineStr">
        <is>
          <t>TB</t>
        </is>
      </c>
    </row>
    <row r="1092" ht="15" customHeight="1" s="380">
      <c r="B1092" s="4" t="inlineStr">
        <is>
          <t>TK_NienGiam</t>
        </is>
      </c>
      <c r="C1092" s="298" t="n"/>
      <c r="D1092" s="283" t="inlineStr">
        <is>
          <t>Đấu thầu trái phiếu Chính phủ</t>
        </is>
      </c>
      <c r="F1092" s="4" t="inlineStr">
        <is>
          <t>Báo cáo</t>
        </is>
      </c>
      <c r="G1092" s="22" t="inlineStr">
        <is>
          <t>Chỉ tiêu phái sinh</t>
        </is>
      </c>
      <c r="H1092" s="4" t="inlineStr">
        <is>
          <t>TB</t>
        </is>
      </c>
    </row>
    <row r="1093" ht="15" customHeight="1" s="380">
      <c r="B1093" s="4" t="inlineStr">
        <is>
          <t>TK_NienGiam</t>
        </is>
      </c>
      <c r="C1093" s="298" t="n"/>
      <c r="D1093" s="283" t="inlineStr">
        <is>
          <t>IPO đấu giá cổ phần hóa</t>
        </is>
      </c>
      <c r="F1093" s="4" t="inlineStr">
        <is>
          <t>Báo cáo</t>
        </is>
      </c>
      <c r="G1093" s="22" t="inlineStr">
        <is>
          <t>Chỉ tiêu phái sinh</t>
        </is>
      </c>
      <c r="H1093" s="4" t="inlineStr">
        <is>
          <t>TB</t>
        </is>
      </c>
    </row>
    <row r="1094" ht="15" customHeight="1" s="380">
      <c r="B1094" s="4" t="inlineStr">
        <is>
          <t>TK_NienGiam</t>
        </is>
      </c>
      <c r="C1094" s="298" t="n"/>
      <c r="D1094" s="283" t="inlineStr">
        <is>
          <t>Thoái vốn qua đâu giá</t>
        </is>
      </c>
      <c r="F1094" s="4" t="inlineStr">
        <is>
          <t>Báo cáo</t>
        </is>
      </c>
      <c r="G1094" s="22" t="inlineStr">
        <is>
          <t>Chỉ tiêu phái sinh</t>
        </is>
      </c>
      <c r="H1094" s="4" t="inlineStr">
        <is>
          <t>TB</t>
        </is>
      </c>
    </row>
    <row r="1095" ht="15" customHeight="1" s="380">
      <c r="B1095" s="4" t="inlineStr">
        <is>
          <t>TK_NienGiam</t>
        </is>
      </c>
      <c r="C1095" s="298" t="n"/>
      <c r="D1095" s="283" t="inlineStr">
        <is>
          <t>Chào bán chứng chỉ quỹ</t>
        </is>
      </c>
      <c r="F1095" s="4" t="inlineStr">
        <is>
          <t>Báo cáo</t>
        </is>
      </c>
      <c r="G1095" s="22" t="inlineStr">
        <is>
          <t>Chỉ tiêu phái sinh</t>
        </is>
      </c>
      <c r="H1095" s="4" t="inlineStr">
        <is>
          <t>TB</t>
        </is>
      </c>
    </row>
    <row r="1096" ht="17" customHeight="1" s="380">
      <c r="A1096" s="184" t="n"/>
      <c r="B1096" s="184" t="inlineStr">
        <is>
          <t>BM030a_MSS</t>
        </is>
      </c>
      <c r="C1096" s="423" t="inlineStr">
        <is>
          <t>Thống kê giao dịch toàn thị trường cổ phiếu</t>
        </is>
      </c>
      <c r="D1096" s="305" t="inlineStr">
        <is>
          <t>Ngày GD</t>
        </is>
      </c>
      <c r="E1096" s="184" t="n"/>
      <c r="F1096" s="4" t="inlineStr">
        <is>
          <t>Báo cáo</t>
        </is>
      </c>
      <c r="G1096" s="184" t="inlineStr">
        <is>
          <t>Chiều</t>
        </is>
      </c>
      <c r="H1096" s="184" t="inlineStr">
        <is>
          <t>Dễ</t>
        </is>
      </c>
      <c r="I1096" s="184" t="n"/>
      <c r="J1096" s="184" t="n"/>
      <c r="K1096" s="184" t="n"/>
      <c r="L1096" s="184" t="n"/>
      <c r="M1096" s="184" t="n"/>
    </row>
    <row r="1097" ht="34" customHeight="1" s="380">
      <c r="B1097" s="4" t="inlineStr">
        <is>
          <t>BM030a_MSS</t>
        </is>
      </c>
      <c r="D1097" s="189" t="inlineStr">
        <is>
          <t>Loại Chỉ số HNXIndex, VNIndex, HNX 30, VN30</t>
        </is>
      </c>
      <c r="F1097" s="4" t="inlineStr">
        <is>
          <t>Báo cáo</t>
        </is>
      </c>
      <c r="G1097" s="4" t="inlineStr">
        <is>
          <t>Chiều</t>
        </is>
      </c>
      <c r="H1097" s="4" t="inlineStr">
        <is>
          <t>Dễ</t>
        </is>
      </c>
    </row>
    <row r="1098" ht="17" customHeight="1" s="380">
      <c r="B1098" s="4" t="inlineStr">
        <is>
          <t>BM030a_MSS</t>
        </is>
      </c>
      <c r="D1098" s="189" t="inlineStr">
        <is>
          <t>Giá trị chỉ số CP toàn thị trường</t>
        </is>
      </c>
      <c r="F1098" s="4" t="inlineStr">
        <is>
          <t>Báo cáo</t>
        </is>
      </c>
      <c r="G1098" s="22" t="inlineStr">
        <is>
          <t>Chỉ tiêu phái sinh</t>
        </is>
      </c>
      <c r="H1098" s="27" t="inlineStr">
        <is>
          <t>Trùng</t>
        </is>
      </c>
    </row>
    <row r="1099" ht="17" customHeight="1" s="380">
      <c r="B1099" s="4" t="inlineStr">
        <is>
          <t>BM030a_MSS</t>
        </is>
      </c>
      <c r="D1099" s="189" t="inlineStr">
        <is>
          <t>Tổng giá trị giao dịch CP toàn thị trường</t>
        </is>
      </c>
      <c r="F1099" s="4" t="inlineStr">
        <is>
          <t>Báo cáo</t>
        </is>
      </c>
      <c r="G1099" s="22" t="inlineStr">
        <is>
          <t>Chỉ tiêu phái sinh</t>
        </is>
      </c>
      <c r="H1099" s="27" t="inlineStr">
        <is>
          <t>Trùng</t>
        </is>
      </c>
    </row>
    <row r="1100" ht="17" customHeight="1" s="380">
      <c r="B1100" s="4" t="inlineStr">
        <is>
          <t>BM030a_MSS</t>
        </is>
      </c>
      <c r="D1100" s="189" t="inlineStr">
        <is>
          <t>Tổng KLGD CP toàn thị trường</t>
        </is>
      </c>
      <c r="F1100" s="4" t="inlineStr">
        <is>
          <t>Báo cáo</t>
        </is>
      </c>
      <c r="G1100" s="22" t="inlineStr">
        <is>
          <t>Chỉ tiêu phái sinh</t>
        </is>
      </c>
      <c r="H1100" s="27" t="inlineStr">
        <is>
          <t>Trùng</t>
        </is>
      </c>
    </row>
    <row r="1101" ht="17" customHeight="1" s="380">
      <c r="B1101" s="4" t="inlineStr">
        <is>
          <t>BM030a_MSS</t>
        </is>
      </c>
      <c r="D1101" s="189" t="inlineStr">
        <is>
          <t>KLGD khớp lệnh CP toàn thị trường</t>
        </is>
      </c>
      <c r="F1101" s="4" t="inlineStr">
        <is>
          <t>Báo cáo</t>
        </is>
      </c>
      <c r="G1101" s="22" t="inlineStr">
        <is>
          <t>Chỉ tiêu phái sinh</t>
        </is>
      </c>
      <c r="H1101" s="27" t="inlineStr">
        <is>
          <t>Trùng</t>
        </is>
      </c>
    </row>
    <row r="1102" ht="17" customHeight="1" s="380">
      <c r="B1102" s="4" t="inlineStr">
        <is>
          <t>BM030a_MSS</t>
        </is>
      </c>
      <c r="D1102" s="189" t="inlineStr">
        <is>
          <t>GTGD khớp lệnh CP toàn thị trường</t>
        </is>
      </c>
      <c r="F1102" s="4" t="inlineStr">
        <is>
          <t>Báo cáo</t>
        </is>
      </c>
      <c r="G1102" s="22" t="inlineStr">
        <is>
          <t>Chỉ tiêu phái sinh</t>
        </is>
      </c>
      <c r="H1102" s="27" t="inlineStr">
        <is>
          <t>Trùng</t>
        </is>
      </c>
    </row>
    <row r="1103" ht="17" customHeight="1" s="380">
      <c r="B1103" s="4" t="inlineStr">
        <is>
          <t>BM030a_MSS</t>
        </is>
      </c>
      <c r="D1103" s="189" t="inlineStr">
        <is>
          <t>KLGD thỏa thuận CP toàn thị trường</t>
        </is>
      </c>
      <c r="F1103" s="4" t="inlineStr">
        <is>
          <t>Báo cáo</t>
        </is>
      </c>
      <c r="G1103" s="22" t="inlineStr">
        <is>
          <t>Chỉ tiêu phái sinh</t>
        </is>
      </c>
      <c r="H1103" s="27" t="inlineStr">
        <is>
          <t>Trùng</t>
        </is>
      </c>
    </row>
    <row r="1104" ht="17" customHeight="1" s="380">
      <c r="B1104" s="4" t="inlineStr">
        <is>
          <t>BM030a_MSS</t>
        </is>
      </c>
      <c r="D1104" s="189" t="inlineStr">
        <is>
          <t>GTGD thỏa thuận CP toàn thị trường</t>
        </is>
      </c>
      <c r="F1104" s="4" t="inlineStr">
        <is>
          <t>Báo cáo</t>
        </is>
      </c>
      <c r="G1104" s="22" t="inlineStr">
        <is>
          <t>Chỉ tiêu phái sinh</t>
        </is>
      </c>
      <c r="H1104" s="27" t="inlineStr">
        <is>
          <t>Trùng</t>
        </is>
      </c>
    </row>
    <row r="1105" ht="17" customHeight="1" s="380">
      <c r="B1105" s="4" t="inlineStr">
        <is>
          <t>BM030a_MSS</t>
        </is>
      </c>
      <c r="D1105" s="189" t="inlineStr">
        <is>
          <t>KLGD lô lẻ CP toàn thị trường</t>
        </is>
      </c>
      <c r="F1105" s="4" t="inlineStr">
        <is>
          <t>Báo cáo</t>
        </is>
      </c>
      <c r="G1105" s="22" t="inlineStr">
        <is>
          <t>Chỉ tiêu phái sinh</t>
        </is>
      </c>
      <c r="H1105" s="27" t="inlineStr">
        <is>
          <t>TB</t>
        </is>
      </c>
    </row>
    <row r="1106" ht="17" customHeight="1" s="380">
      <c r="B1106" s="4" t="inlineStr">
        <is>
          <t>BM030a_MSS</t>
        </is>
      </c>
      <c r="D1106" s="189" t="inlineStr">
        <is>
          <t>GTGD Lô lẻ CP toàn thị trường</t>
        </is>
      </c>
      <c r="F1106" s="4" t="inlineStr">
        <is>
          <t>Báo cáo</t>
        </is>
      </c>
      <c r="G1106" s="22" t="inlineStr">
        <is>
          <t>Chỉ tiêu phái sinh</t>
        </is>
      </c>
      <c r="H1106" s="27" t="inlineStr">
        <is>
          <t>TB</t>
        </is>
      </c>
    </row>
    <row r="1107" ht="15" customHeight="1" s="380">
      <c r="A1107" s="184" t="n"/>
      <c r="B1107" s="184" t="inlineStr">
        <is>
          <t>BM030b_MSS</t>
        </is>
      </c>
      <c r="C1107" s="424" t="inlineStr">
        <is>
          <t xml:space="preserve">Thống kê giao dịch toàn thị trường trái phiếu Chính phủ </t>
        </is>
      </c>
      <c r="D1107" s="306" t="inlineStr">
        <is>
          <t>Thời gian</t>
        </is>
      </c>
      <c r="E1107" s="184" t="n"/>
      <c r="F1107" s="4" t="inlineStr">
        <is>
          <t>Báo cáo</t>
        </is>
      </c>
      <c r="G1107" s="184" t="inlineStr">
        <is>
          <t>Chiều</t>
        </is>
      </c>
      <c r="H1107" s="184" t="inlineStr">
        <is>
          <t>Dễ</t>
        </is>
      </c>
      <c r="I1107" s="184" t="inlineStr">
        <is>
          <t>TPCP</t>
        </is>
      </c>
      <c r="J1107" s="184" t="n"/>
      <c r="K1107" s="184" t="n"/>
      <c r="L1107" s="184" t="n"/>
      <c r="M1107" s="184" t="n"/>
    </row>
    <row r="1108" ht="15" customHeight="1" s="380">
      <c r="B1108" s="4" t="inlineStr">
        <is>
          <t>BM030b_MSS</t>
        </is>
      </c>
      <c r="D1108" s="307" t="inlineStr">
        <is>
          <t>Khối lượng TPCP Giao dịch thông thường</t>
        </is>
      </c>
      <c r="F1108" s="4" t="inlineStr">
        <is>
          <t>Báo cáo</t>
        </is>
      </c>
      <c r="G1108" s="22" t="inlineStr">
        <is>
          <t>Chỉ tiêu phái sinh</t>
        </is>
      </c>
      <c r="H1108" s="4" t="inlineStr">
        <is>
          <t>TB</t>
        </is>
      </c>
      <c r="I1108" s="184" t="inlineStr">
        <is>
          <t>TPCP</t>
        </is>
      </c>
    </row>
    <row r="1109" ht="15" customHeight="1" s="380">
      <c r="B1109" s="4" t="inlineStr">
        <is>
          <t>BM030b_MSS</t>
        </is>
      </c>
      <c r="D1109" s="307" t="inlineStr">
        <is>
          <t>Khối lượng TPCP Mua bán lại lần 1</t>
        </is>
      </c>
      <c r="F1109" s="4" t="inlineStr">
        <is>
          <t>Báo cáo</t>
        </is>
      </c>
      <c r="G1109" s="22" t="inlineStr">
        <is>
          <t>Chỉ tiêu phái sinh</t>
        </is>
      </c>
      <c r="H1109" s="4" t="inlineStr">
        <is>
          <t>TB</t>
        </is>
      </c>
      <c r="I1109" s="184" t="inlineStr">
        <is>
          <t>TPCP</t>
        </is>
      </c>
    </row>
    <row r="1110" ht="15" customHeight="1" s="380">
      <c r="B1110" s="4" t="inlineStr">
        <is>
          <t>BM030b_MSS</t>
        </is>
      </c>
      <c r="D1110" s="307" t="inlineStr">
        <is>
          <t>Khối lượng TPCP Mua bán lại lần 2</t>
        </is>
      </c>
      <c r="F1110" s="4" t="inlineStr">
        <is>
          <t>Báo cáo</t>
        </is>
      </c>
      <c r="G1110" s="22" t="inlineStr">
        <is>
          <t>Chỉ tiêu phái sinh</t>
        </is>
      </c>
      <c r="H1110" s="4" t="inlineStr">
        <is>
          <t>TB</t>
        </is>
      </c>
      <c r="I1110" s="184" t="inlineStr">
        <is>
          <t>TPCP</t>
        </is>
      </c>
    </row>
    <row r="1111" ht="15" customHeight="1" s="380">
      <c r="B1111" s="4" t="inlineStr">
        <is>
          <t>BM030b_MSS</t>
        </is>
      </c>
      <c r="D1111" s="307" t="inlineStr">
        <is>
          <t>Giá trị TPCP Giao dịch thông thường</t>
        </is>
      </c>
      <c r="F1111" s="4" t="inlineStr">
        <is>
          <t>Báo cáo</t>
        </is>
      </c>
      <c r="G1111" s="22" t="inlineStr">
        <is>
          <t>Chỉ tiêu phái sinh</t>
        </is>
      </c>
      <c r="H1111" s="4" t="inlineStr">
        <is>
          <t>TB</t>
        </is>
      </c>
      <c r="I1111" s="184" t="inlineStr">
        <is>
          <t>TPCP</t>
        </is>
      </c>
    </row>
    <row r="1112" ht="15" customHeight="1" s="380">
      <c r="B1112" s="4" t="n"/>
      <c r="D1112" s="308" t="inlineStr">
        <is>
          <t>KLGD TPCP</t>
        </is>
      </c>
      <c r="F1112" s="4" t="inlineStr">
        <is>
          <t>Báo cáo</t>
        </is>
      </c>
      <c r="G1112" s="22" t="inlineStr">
        <is>
          <t>Chỉ tiêu phái sinh</t>
        </is>
      </c>
      <c r="H1112" s="4" t="inlineStr">
        <is>
          <t>TB</t>
        </is>
      </c>
      <c r="I1112" s="184" t="inlineStr">
        <is>
          <t>TPCP</t>
        </is>
      </c>
    </row>
    <row r="1113" ht="15" customHeight="1" s="380">
      <c r="B1113" s="4" t="n"/>
      <c r="D1113" s="308" t="inlineStr">
        <is>
          <t>Giá giao dịch</t>
        </is>
      </c>
      <c r="F1113" s="4" t="inlineStr">
        <is>
          <t>Báo cáo</t>
        </is>
      </c>
      <c r="G1113" s="55" t="inlineStr">
        <is>
          <t>Chỉ tiêu cơ sở</t>
        </is>
      </c>
      <c r="H1113" s="4" t="inlineStr">
        <is>
          <t>Dễ</t>
        </is>
      </c>
      <c r="I1113" s="184" t="inlineStr">
        <is>
          <t>TPCP</t>
        </is>
      </c>
    </row>
    <row r="1114" ht="15" customHeight="1" s="380">
      <c r="B1114" s="4" t="inlineStr">
        <is>
          <t>BM030b_MSS</t>
        </is>
      </c>
      <c r="D1114" s="307" t="inlineStr">
        <is>
          <t>Giá trị TPCP Mua bán lại lần 1</t>
        </is>
      </c>
      <c r="F1114" s="4" t="inlineStr">
        <is>
          <t>Báo cáo</t>
        </is>
      </c>
      <c r="G1114" s="22" t="inlineStr">
        <is>
          <t>Chỉ tiêu phái sinh</t>
        </is>
      </c>
      <c r="H1114" s="4" t="inlineStr">
        <is>
          <t>TB</t>
        </is>
      </c>
      <c r="I1114" s="184" t="inlineStr">
        <is>
          <t>TPCP</t>
        </is>
      </c>
    </row>
    <row r="1115" ht="15" customHeight="1" s="380">
      <c r="B1115" s="4" t="inlineStr">
        <is>
          <t>BM030b_MSS</t>
        </is>
      </c>
      <c r="D1115" s="307" t="inlineStr">
        <is>
          <t>Giá trị TPCP Mua bán lại lần 2</t>
        </is>
      </c>
      <c r="F1115" s="4" t="inlineStr">
        <is>
          <t>Báo cáo</t>
        </is>
      </c>
      <c r="G1115" s="22" t="inlineStr">
        <is>
          <t>Chỉ tiêu phái sinh</t>
        </is>
      </c>
      <c r="H1115" s="4" t="inlineStr">
        <is>
          <t>TB</t>
        </is>
      </c>
      <c r="I1115" s="184" t="inlineStr">
        <is>
          <t>TPCP</t>
        </is>
      </c>
    </row>
    <row r="1116" ht="15" customHeight="1" s="380">
      <c r="B1116" s="4" t="inlineStr">
        <is>
          <t>BM030b_MSS</t>
        </is>
      </c>
      <c r="D1116" s="307" t="inlineStr">
        <is>
          <t>Tổng KLGD TPCP</t>
        </is>
      </c>
      <c r="F1116" s="4" t="inlineStr">
        <is>
          <t>Báo cáo</t>
        </is>
      </c>
      <c r="G1116" s="22" t="inlineStr">
        <is>
          <t>Chỉ tiêu phái sinh</t>
        </is>
      </c>
      <c r="H1116" s="4" t="inlineStr">
        <is>
          <t>TB</t>
        </is>
      </c>
      <c r="I1116" s="184" t="inlineStr">
        <is>
          <t>TPCP</t>
        </is>
      </c>
      <c r="J1116" s="4" t="n"/>
      <c r="K1116" s="4" t="inlineStr">
        <is>
          <t>Tổng KLGD toàn thị trường</t>
        </is>
      </c>
    </row>
    <row r="1117" ht="15" customHeight="1" s="380">
      <c r="B1117" s="4" t="inlineStr">
        <is>
          <t>BM030b_MSS</t>
        </is>
      </c>
      <c r="D1117" s="308" t="inlineStr">
        <is>
          <t>Khối lượng GD TPCP</t>
        </is>
      </c>
      <c r="F1117" s="4" t="inlineStr">
        <is>
          <t>Báo cáo</t>
        </is>
      </c>
      <c r="G1117" s="22" t="inlineStr">
        <is>
          <t>Chỉ tiêu phái sinh</t>
        </is>
      </c>
      <c r="H1117" s="4" t="inlineStr">
        <is>
          <t>TB</t>
        </is>
      </c>
      <c r="I1117" s="184" t="inlineStr">
        <is>
          <t>TPCP</t>
        </is>
      </c>
    </row>
    <row r="1118" ht="15" customHeight="1" s="380">
      <c r="B1118" s="4" t="inlineStr">
        <is>
          <t>BM030b_MSS</t>
        </is>
      </c>
      <c r="D1118" s="307" t="inlineStr">
        <is>
          <t>Tổng KLGD TPCP Bảo lãnh</t>
        </is>
      </c>
      <c r="F1118" s="4" t="inlineStr">
        <is>
          <t>Báo cáo</t>
        </is>
      </c>
      <c r="G1118" s="22" t="inlineStr">
        <is>
          <t>Chỉ tiêu phái sinh</t>
        </is>
      </c>
      <c r="H1118" s="4" t="inlineStr">
        <is>
          <t>TB</t>
        </is>
      </c>
      <c r="I1118" s="184" t="inlineStr">
        <is>
          <t>TPCP</t>
        </is>
      </c>
    </row>
    <row r="1119" ht="15" customHeight="1" s="380">
      <c r="B1119" s="4" t="inlineStr">
        <is>
          <t>BM030b_MSS</t>
        </is>
      </c>
      <c r="D1119" s="307" t="inlineStr">
        <is>
          <t>Tổng KLGD TP chính quyền địa phương</t>
        </is>
      </c>
      <c r="F1119" s="4" t="inlineStr">
        <is>
          <t>Báo cáo</t>
        </is>
      </c>
      <c r="G1119" s="22" t="inlineStr">
        <is>
          <t>Chỉ tiêu phái sinh</t>
        </is>
      </c>
      <c r="H1119" s="4" t="inlineStr">
        <is>
          <t>TB</t>
        </is>
      </c>
      <c r="I1119" s="184" t="inlineStr">
        <is>
          <t>TPCP</t>
        </is>
      </c>
    </row>
    <row r="1120" ht="15" customHeight="1" s="380">
      <c r="B1120" s="4" t="inlineStr">
        <is>
          <t>BM030b_MSS</t>
        </is>
      </c>
      <c r="D1120" s="307" t="inlineStr">
        <is>
          <t>Tổng GTGD TPCP</t>
        </is>
      </c>
      <c r="F1120" s="4" t="inlineStr">
        <is>
          <t>Báo cáo</t>
        </is>
      </c>
      <c r="G1120" s="22" t="inlineStr">
        <is>
          <t>Chỉ tiêu phái sinh</t>
        </is>
      </c>
      <c r="H1120" s="4" t="inlineStr">
        <is>
          <t>TB</t>
        </is>
      </c>
      <c r="I1120" s="184" t="inlineStr">
        <is>
          <t>TPCP</t>
        </is>
      </c>
    </row>
    <row r="1121" ht="15" customHeight="1" s="380">
      <c r="B1121" s="4" t="inlineStr">
        <is>
          <t>BM030b_MSS</t>
        </is>
      </c>
      <c r="D1121" s="307" t="inlineStr">
        <is>
          <t>Tổng GTGD TPCP Bảo lãnh</t>
        </is>
      </c>
      <c r="F1121" s="4" t="inlineStr">
        <is>
          <t>Báo cáo</t>
        </is>
      </c>
      <c r="G1121" s="22" t="inlineStr">
        <is>
          <t>Chỉ tiêu phái sinh</t>
        </is>
      </c>
      <c r="H1121" s="4" t="inlineStr">
        <is>
          <t>TB</t>
        </is>
      </c>
      <c r="I1121" s="184" t="inlineStr">
        <is>
          <t>TPCP</t>
        </is>
      </c>
      <c r="J1121" s="309" t="n"/>
      <c r="K1121" s="309" t="inlineStr">
        <is>
          <t>Tổng GTGD TPCP Bảo lãnh toàn thị trường</t>
        </is>
      </c>
    </row>
    <row r="1122" ht="15" customHeight="1" s="380">
      <c r="B1122" s="4" t="inlineStr">
        <is>
          <t>BM030b_MSS</t>
        </is>
      </c>
      <c r="D1122" s="308" t="inlineStr">
        <is>
          <t>KLGD TPCP bảo lãnh</t>
        </is>
      </c>
      <c r="F1122" s="4" t="inlineStr">
        <is>
          <t>Báo cáo</t>
        </is>
      </c>
      <c r="G1122" s="22" t="inlineStr">
        <is>
          <t>Chỉ tiêu phái sinh</t>
        </is>
      </c>
      <c r="H1122" s="4" t="inlineStr">
        <is>
          <t>TB</t>
        </is>
      </c>
      <c r="I1122" s="184" t="inlineStr">
        <is>
          <t>TPCP</t>
        </is>
      </c>
    </row>
    <row r="1123" ht="15" customHeight="1" s="380">
      <c r="B1123" s="4" t="inlineStr">
        <is>
          <t>BM030b_MSS</t>
        </is>
      </c>
      <c r="D1123" s="308" t="inlineStr">
        <is>
          <t>Giá giao dịch</t>
        </is>
      </c>
      <c r="F1123" s="4" t="inlineStr">
        <is>
          <t>Báo cáo</t>
        </is>
      </c>
      <c r="G1123" s="55" t="inlineStr">
        <is>
          <t>Chỉ tiêu cơ sở</t>
        </is>
      </c>
      <c r="H1123" s="4" t="inlineStr">
        <is>
          <t>Dễ</t>
        </is>
      </c>
      <c r="I1123" s="184" t="inlineStr">
        <is>
          <t>TPCP</t>
        </is>
      </c>
    </row>
    <row r="1124" ht="15" customHeight="1" s="380">
      <c r="B1124" s="4" t="inlineStr">
        <is>
          <t>BM030b_MSS</t>
        </is>
      </c>
      <c r="D1124" s="307" t="inlineStr">
        <is>
          <t>Tổng GTGD TP chính quyền địa phương</t>
        </is>
      </c>
      <c r="F1124" s="4" t="inlineStr">
        <is>
          <t>Báo cáo</t>
        </is>
      </c>
      <c r="G1124" s="22" t="inlineStr">
        <is>
          <t>Chỉ tiêu phái sinh</t>
        </is>
      </c>
      <c r="H1124" s="4" t="inlineStr">
        <is>
          <t>TB</t>
        </is>
      </c>
      <c r="I1124" s="184" t="inlineStr">
        <is>
          <t>TPCP</t>
        </is>
      </c>
      <c r="J1124" s="309" t="n"/>
      <c r="K1124" s="309" t="inlineStr">
        <is>
          <t>Tổng GTGD TP chính quyền địa phương toàn thị trường</t>
        </is>
      </c>
    </row>
    <row r="1125" ht="15" customHeight="1" s="380">
      <c r="B1125" s="4" t="inlineStr">
        <is>
          <t>BM030b_MSS</t>
        </is>
      </c>
      <c r="D1125" s="308" t="inlineStr">
        <is>
          <t>KLGD TPCP Chính quyền địa phương</t>
        </is>
      </c>
      <c r="F1125" s="4" t="inlineStr">
        <is>
          <t>Báo cáo</t>
        </is>
      </c>
      <c r="G1125" s="22" t="inlineStr">
        <is>
          <t>Chỉ tiêu phái sinh</t>
        </is>
      </c>
      <c r="H1125" s="4" t="inlineStr">
        <is>
          <t>TB</t>
        </is>
      </c>
      <c r="I1125" s="184" t="inlineStr">
        <is>
          <t>TPCP</t>
        </is>
      </c>
    </row>
    <row r="1126" ht="15" customHeight="1" s="380">
      <c r="B1126" s="4" t="inlineStr">
        <is>
          <t>BM030b_MSS</t>
        </is>
      </c>
      <c r="D1126" s="308" t="inlineStr">
        <is>
          <t>Giá giao dịch</t>
        </is>
      </c>
      <c r="F1126" s="4" t="inlineStr">
        <is>
          <t>Báo cáo</t>
        </is>
      </c>
      <c r="G1126" s="55" t="inlineStr">
        <is>
          <t>Chỉ tiêu cơ sở</t>
        </is>
      </c>
      <c r="H1126" s="4" t="inlineStr">
        <is>
          <t>Dễ</t>
        </is>
      </c>
      <c r="I1126" s="184" t="inlineStr">
        <is>
          <t>TPCP</t>
        </is>
      </c>
    </row>
    <row r="1127" ht="15" customHeight="1" s="380">
      <c r="A1127" s="206" t="n"/>
      <c r="B1127" s="206" t="inlineStr">
        <is>
          <t>BM030c_MSS</t>
        </is>
      </c>
      <c r="C1127" s="413" t="inlineStr">
        <is>
          <t>Thống kê giao dịch toàn thị trường trái phiếu doanh nghiệp niêm yết</t>
        </is>
      </c>
      <c r="D1127" s="310" t="inlineStr">
        <is>
          <t>Thời gian</t>
        </is>
      </c>
      <c r="E1127" s="206" t="n"/>
      <c r="F1127" s="4" t="inlineStr">
        <is>
          <t>Báo cáo</t>
        </is>
      </c>
      <c r="G1127" s="206" t="inlineStr">
        <is>
          <t>Chiều</t>
        </is>
      </c>
      <c r="H1127" s="206" t="n"/>
      <c r="I1127" s="206" t="inlineStr">
        <is>
          <t>TPDN Niêm yết</t>
        </is>
      </c>
      <c r="J1127" s="206" t="n"/>
      <c r="K1127" s="206" t="n"/>
      <c r="L1127" s="206" t="n"/>
      <c r="M1127" s="206" t="n"/>
    </row>
    <row r="1128" ht="15" customHeight="1" s="380">
      <c r="B1128" s="4" t="inlineStr">
        <is>
          <t>BM030c_MSS</t>
        </is>
      </c>
      <c r="D1128" s="307" t="inlineStr">
        <is>
          <t>Khối lượng GD TPDN NY Thỏa thuận</t>
        </is>
      </c>
      <c r="F1128" s="4" t="inlineStr">
        <is>
          <t>Báo cáo</t>
        </is>
      </c>
      <c r="G1128" s="22" t="inlineStr">
        <is>
          <t>Chỉ tiêu phái sinh</t>
        </is>
      </c>
      <c r="H1128" s="4" t="inlineStr">
        <is>
          <t>TB</t>
        </is>
      </c>
      <c r="I1128" s="206" t="inlineStr">
        <is>
          <t>TPDN Niêm yết</t>
        </is>
      </c>
    </row>
    <row r="1129" ht="15" customHeight="1" s="380">
      <c r="B1129" s="4" t="inlineStr">
        <is>
          <t>BM030c_MSS</t>
        </is>
      </c>
      <c r="D1129" s="307" t="inlineStr">
        <is>
          <t>Khối lượng GD TPDN NY Khớp lệnh</t>
        </is>
      </c>
      <c r="F1129" s="4" t="inlineStr">
        <is>
          <t>Báo cáo</t>
        </is>
      </c>
      <c r="G1129" s="22" t="inlineStr">
        <is>
          <t>Chỉ tiêu phái sinh</t>
        </is>
      </c>
      <c r="H1129" s="4" t="inlineStr">
        <is>
          <t>TB</t>
        </is>
      </c>
      <c r="I1129" s="206" t="inlineStr">
        <is>
          <t>TPDN Niêm yết</t>
        </is>
      </c>
    </row>
    <row r="1130" ht="15" customHeight="1" s="380">
      <c r="B1130" s="4" t="inlineStr">
        <is>
          <t>BM030c_MSS</t>
        </is>
      </c>
      <c r="D1130" s="307" t="inlineStr">
        <is>
          <t>Giá trị GD TPDN NY Thỏa thuận</t>
        </is>
      </c>
      <c r="F1130" s="4" t="inlineStr">
        <is>
          <t>Báo cáo</t>
        </is>
      </c>
      <c r="G1130" s="22" t="inlineStr">
        <is>
          <t>Chỉ tiêu phái sinh</t>
        </is>
      </c>
      <c r="H1130" s="4" t="inlineStr">
        <is>
          <t>TB</t>
        </is>
      </c>
      <c r="I1130" s="206" t="inlineStr">
        <is>
          <t>TPDN Niêm yết</t>
        </is>
      </c>
    </row>
    <row r="1131" ht="15" customHeight="1" s="380">
      <c r="B1131" s="4" t="inlineStr">
        <is>
          <t>BM030c_MSS</t>
        </is>
      </c>
      <c r="D1131" s="308" t="inlineStr">
        <is>
          <t>Khối lượng GD TPDN NY thỏa thuận</t>
        </is>
      </c>
      <c r="F1131" s="4" t="inlineStr">
        <is>
          <t>Báo cáo</t>
        </is>
      </c>
      <c r="G1131" s="22" t="inlineStr">
        <is>
          <t>Chỉ tiêu phái sinh</t>
        </is>
      </c>
      <c r="H1131" s="4" t="inlineStr">
        <is>
          <t>TB</t>
        </is>
      </c>
      <c r="I1131" s="206" t="inlineStr">
        <is>
          <t>TPDN Niêm yết</t>
        </is>
      </c>
    </row>
    <row r="1132" ht="15" customHeight="1" s="380">
      <c r="B1132" s="4" t="inlineStr">
        <is>
          <t>BM030c_MSS</t>
        </is>
      </c>
      <c r="D1132" s="308" t="inlineStr">
        <is>
          <t>Giá giao dịch TPDN NY thỏa thuận</t>
        </is>
      </c>
      <c r="F1132" s="4" t="inlineStr">
        <is>
          <t>Báo cáo</t>
        </is>
      </c>
      <c r="G1132" s="22" t="inlineStr">
        <is>
          <t>Chỉ tiêu phái sinh</t>
        </is>
      </c>
      <c r="H1132" s="4" t="inlineStr">
        <is>
          <t>TB</t>
        </is>
      </c>
      <c r="I1132" s="206" t="inlineStr">
        <is>
          <t>TPDN Niêm yết</t>
        </is>
      </c>
    </row>
    <row r="1133" ht="15" customHeight="1" s="380">
      <c r="B1133" s="4" t="inlineStr">
        <is>
          <t>BM030c_MSS</t>
        </is>
      </c>
      <c r="D1133" s="307" t="inlineStr">
        <is>
          <t>Giá trị GD TPDN NY Khớp lệnh</t>
        </is>
      </c>
      <c r="F1133" s="4" t="inlineStr">
        <is>
          <t>Báo cáo</t>
        </is>
      </c>
      <c r="G1133" s="22" t="inlineStr">
        <is>
          <t>Chỉ tiêu phái sinh</t>
        </is>
      </c>
      <c r="H1133" s="4" t="inlineStr">
        <is>
          <t>TB</t>
        </is>
      </c>
      <c r="I1133" s="206" t="inlineStr">
        <is>
          <t>TPDN Niêm yết</t>
        </is>
      </c>
    </row>
    <row r="1134" ht="15" customHeight="1" s="380">
      <c r="B1134" s="4" t="inlineStr">
        <is>
          <t>BM030c_MSS</t>
        </is>
      </c>
      <c r="D1134" s="308" t="inlineStr">
        <is>
          <t>Khối lượng GD TPDN NY khớp lệnh</t>
        </is>
      </c>
      <c r="F1134" s="4" t="inlineStr">
        <is>
          <t>Báo cáo</t>
        </is>
      </c>
      <c r="G1134" s="22" t="inlineStr">
        <is>
          <t>Chỉ tiêu phái sinh</t>
        </is>
      </c>
      <c r="H1134" s="4" t="inlineStr">
        <is>
          <t>TB</t>
        </is>
      </c>
      <c r="I1134" s="206" t="inlineStr">
        <is>
          <t>TPDN Niêm yết</t>
        </is>
      </c>
    </row>
    <row r="1135" ht="15" customHeight="1" s="380">
      <c r="B1135" s="4" t="inlineStr">
        <is>
          <t>BM030c_MSS</t>
        </is>
      </c>
      <c r="D1135" s="308" t="inlineStr">
        <is>
          <t>Giá giao dịch TPDN NY khớp lệnh</t>
        </is>
      </c>
      <c r="F1135" s="4" t="inlineStr">
        <is>
          <t>Báo cáo</t>
        </is>
      </c>
      <c r="G1135" s="22" t="inlineStr">
        <is>
          <t>Chỉ tiêu phái sinh</t>
        </is>
      </c>
      <c r="H1135" s="4" t="inlineStr">
        <is>
          <t>TB</t>
        </is>
      </c>
      <c r="I1135" s="206" t="inlineStr">
        <is>
          <t>TPDN Niêm yết</t>
        </is>
      </c>
    </row>
    <row r="1136" ht="15" customHeight="1" s="380">
      <c r="B1136" s="4" t="inlineStr">
        <is>
          <t>BM030c_MSS</t>
        </is>
      </c>
      <c r="D1136" s="307" t="inlineStr">
        <is>
          <t>Tổng KLGD GD TPDN NY</t>
        </is>
      </c>
      <c r="F1136" s="4" t="inlineStr">
        <is>
          <t>Báo cáo</t>
        </is>
      </c>
      <c r="G1136" s="22" t="inlineStr">
        <is>
          <t>Chỉ tiêu phái sinh</t>
        </is>
      </c>
      <c r="H1136" s="4" t="inlineStr">
        <is>
          <t>TB</t>
        </is>
      </c>
      <c r="I1136" s="206" t="inlineStr">
        <is>
          <t>TPDN Niêm yết</t>
        </is>
      </c>
    </row>
    <row r="1137" ht="15" customHeight="1" s="380">
      <c r="B1137" s="4" t="inlineStr">
        <is>
          <t>BM030c_MSS</t>
        </is>
      </c>
      <c r="D1137" s="307" t="inlineStr">
        <is>
          <t>Tổng GTGD GD TPDN NY</t>
        </is>
      </c>
      <c r="F1137" s="4" t="inlineStr">
        <is>
          <t>Báo cáo</t>
        </is>
      </c>
      <c r="G1137" s="22" t="inlineStr">
        <is>
          <t>Chỉ tiêu phái sinh</t>
        </is>
      </c>
      <c r="H1137" s="4" t="inlineStr">
        <is>
          <t>TB</t>
        </is>
      </c>
      <c r="I1137" s="206" t="inlineStr">
        <is>
          <t>TPDN Niêm yết</t>
        </is>
      </c>
    </row>
    <row r="1138" ht="15" customHeight="1" s="380">
      <c r="A1138" s="206" t="n"/>
      <c r="B1138" s="206" t="inlineStr">
        <is>
          <t>BM030d_MSS</t>
        </is>
      </c>
      <c r="C1138" s="414" t="inlineStr">
        <is>
          <t>Thống kê giao dịch thị trường trái phiếu doanh nghiệp riêng lẻ</t>
        </is>
      </c>
      <c r="D1138" s="310" t="inlineStr">
        <is>
          <t>Thời gian</t>
        </is>
      </c>
      <c r="E1138" s="206" t="n"/>
      <c r="F1138" s="4" t="inlineStr">
        <is>
          <t>Báo cáo</t>
        </is>
      </c>
      <c r="G1138" s="206" t="inlineStr">
        <is>
          <t>Chiều</t>
        </is>
      </c>
      <c r="H1138" s="206" t="n"/>
      <c r="I1138" s="206" t="inlineStr">
        <is>
          <t>TPDN riêng lẻ</t>
        </is>
      </c>
      <c r="J1138" s="206" t="n"/>
      <c r="K1138" s="206" t="n"/>
      <c r="L1138" s="206" t="n"/>
      <c r="M1138" s="206" t="n"/>
    </row>
    <row r="1139" ht="15" customHeight="1" s="380">
      <c r="B1139" s="4" t="inlineStr">
        <is>
          <t>BM030d_MSS</t>
        </is>
      </c>
      <c r="D1139" s="307" t="inlineStr">
        <is>
          <t>Giá trị TPDNRL</t>
        </is>
      </c>
      <c r="F1139" s="4" t="inlineStr">
        <is>
          <t>Báo cáo</t>
        </is>
      </c>
      <c r="G1139" s="22" t="inlineStr">
        <is>
          <t>Chỉ tiêu phái sinh</t>
        </is>
      </c>
      <c r="H1139" s="4" t="inlineStr">
        <is>
          <t>TB</t>
        </is>
      </c>
      <c r="I1139" s="206" t="inlineStr">
        <is>
          <t>TPDN riêng lẻ</t>
        </is>
      </c>
    </row>
    <row r="1140" ht="15" customHeight="1" s="380">
      <c r="B1140" s="4" t="inlineStr">
        <is>
          <t>BM030d_MSS</t>
        </is>
      </c>
      <c r="D1140" s="307" t="inlineStr">
        <is>
          <t>GD NĐTNN Mua</t>
        </is>
      </c>
      <c r="F1140" s="4" t="inlineStr">
        <is>
          <t>Báo cáo</t>
        </is>
      </c>
      <c r="G1140" s="22" t="inlineStr">
        <is>
          <t>Chỉ tiêu phái sinh</t>
        </is>
      </c>
      <c r="H1140" s="4" t="inlineStr">
        <is>
          <t>TB</t>
        </is>
      </c>
      <c r="I1140" s="206" t="inlineStr">
        <is>
          <t>TPDN riêng lẻ</t>
        </is>
      </c>
    </row>
    <row r="1141" ht="15" customHeight="1" s="380">
      <c r="B1141" s="4" t="inlineStr">
        <is>
          <t>BM030d_MSS</t>
        </is>
      </c>
      <c r="D1141" s="307" t="inlineStr">
        <is>
          <t>GD NĐTNN Bán</t>
        </is>
      </c>
      <c r="F1141" s="4" t="inlineStr">
        <is>
          <t>Báo cáo</t>
        </is>
      </c>
      <c r="G1141" s="22" t="inlineStr">
        <is>
          <t>Chỉ tiêu phái sinh</t>
        </is>
      </c>
      <c r="H1141" s="4" t="inlineStr">
        <is>
          <t>TB</t>
        </is>
      </c>
      <c r="I1141" s="206" t="inlineStr">
        <is>
          <t>TPDN riêng lẻ</t>
        </is>
      </c>
    </row>
    <row r="1142" ht="15" customHeight="1" s="380">
      <c r="B1142" s="4" t="inlineStr">
        <is>
          <t>BM030d_MSS</t>
        </is>
      </c>
      <c r="D1142" s="307" t="inlineStr">
        <is>
          <t>GD tự doanh Mua</t>
        </is>
      </c>
      <c r="F1142" s="4" t="inlineStr">
        <is>
          <t>Báo cáo</t>
        </is>
      </c>
      <c r="G1142" s="22" t="inlineStr">
        <is>
          <t>Chỉ tiêu phái sinh</t>
        </is>
      </c>
      <c r="H1142" s="4" t="inlineStr">
        <is>
          <t>TB</t>
        </is>
      </c>
      <c r="I1142" s="206" t="inlineStr">
        <is>
          <t>TPDN riêng lẻ</t>
        </is>
      </c>
    </row>
    <row r="1143" ht="15" customHeight="1" s="380">
      <c r="B1143" s="4" t="inlineStr">
        <is>
          <t>BM030d_MSS</t>
        </is>
      </c>
      <c r="D1143" s="307" t="inlineStr">
        <is>
          <t>GD tự doanh Bán</t>
        </is>
      </c>
      <c r="F1143" s="4" t="inlineStr">
        <is>
          <t>Báo cáo</t>
        </is>
      </c>
      <c r="G1143" s="22" t="inlineStr">
        <is>
          <t>Chỉ tiêu phái sinh</t>
        </is>
      </c>
      <c r="H1143" s="4" t="inlineStr">
        <is>
          <t>TB</t>
        </is>
      </c>
      <c r="I1143" s="206" t="inlineStr">
        <is>
          <t>TPDN riêng lẻ</t>
        </is>
      </c>
    </row>
    <row r="1144" ht="15" customHeight="1" s="380">
      <c r="A1144" s="206" t="n"/>
      <c r="B1144" s="206" t="inlineStr">
        <is>
          <t>BM030e_MSS</t>
        </is>
      </c>
      <c r="C1144" s="415" t="inlineStr">
        <is>
          <t xml:space="preserve">    Thống kê giao dịch thị trường chứng chỉ quỹ, ETF và CW</t>
        </is>
      </c>
      <c r="D1144" s="311" t="inlineStr">
        <is>
          <t>Thời gian</t>
        </is>
      </c>
      <c r="E1144" s="206" t="n"/>
      <c r="F1144" s="4" t="inlineStr">
        <is>
          <t>Báo cáo</t>
        </is>
      </c>
      <c r="G1144" s="206" t="inlineStr">
        <is>
          <t>Chiều</t>
        </is>
      </c>
      <c r="H1144" s="206" t="n"/>
      <c r="I1144" s="206" t="n"/>
      <c r="J1144" s="206" t="n"/>
      <c r="K1144" s="206" t="n"/>
      <c r="L1144" s="206" t="n"/>
      <c r="M1144" s="206" t="n"/>
    </row>
    <row r="1145" ht="15" customHeight="1" s="380">
      <c r="B1145" s="4" t="inlineStr">
        <is>
          <t>BM030e_MSS</t>
        </is>
      </c>
      <c r="D1145" s="312" t="inlineStr">
        <is>
          <t>Khối lượng giao dịch toàn thị trường CCQ</t>
        </is>
      </c>
      <c r="F1145" s="4" t="inlineStr">
        <is>
          <t>Báo cáo</t>
        </is>
      </c>
      <c r="G1145" s="22" t="inlineStr">
        <is>
          <t>Chỉ tiêu phái sinh</t>
        </is>
      </c>
      <c r="H1145" s="4" t="inlineStr">
        <is>
          <t>TB</t>
        </is>
      </c>
      <c r="I1145" s="4" t="inlineStr">
        <is>
          <t>CCQ</t>
        </is>
      </c>
    </row>
    <row r="1146" ht="15" customHeight="1" s="380">
      <c r="B1146" s="4" t="inlineStr">
        <is>
          <t>BM030e_MSS</t>
        </is>
      </c>
      <c r="D1146" s="312" t="inlineStr">
        <is>
          <t>Khối lượng giao dịch toàn thị trường ETF</t>
        </is>
      </c>
      <c r="F1146" s="4" t="inlineStr">
        <is>
          <t>Báo cáo</t>
        </is>
      </c>
      <c r="G1146" s="22" t="inlineStr">
        <is>
          <t>Chỉ tiêu phái sinh</t>
        </is>
      </c>
      <c r="H1146" s="4" t="inlineStr">
        <is>
          <t>TB</t>
        </is>
      </c>
      <c r="I1146" s="4" t="inlineStr">
        <is>
          <t>ETF</t>
        </is>
      </c>
    </row>
    <row r="1147" ht="15" customHeight="1" s="380">
      <c r="B1147" s="4" t="inlineStr">
        <is>
          <t>BM030e_MSS</t>
        </is>
      </c>
      <c r="D1147" s="312" t="inlineStr">
        <is>
          <t>Khối lượng giao dịch toàn thị trường CW</t>
        </is>
      </c>
      <c r="F1147" s="4" t="inlineStr">
        <is>
          <t>Báo cáo</t>
        </is>
      </c>
      <c r="G1147" s="22" t="inlineStr">
        <is>
          <t>Chỉ tiêu phái sinh</t>
        </is>
      </c>
      <c r="H1147" s="4" t="inlineStr">
        <is>
          <t>TB</t>
        </is>
      </c>
      <c r="I1147" s="4" t="inlineStr">
        <is>
          <t>CW</t>
        </is>
      </c>
    </row>
    <row r="1148" ht="15" customHeight="1" s="380">
      <c r="B1148" s="4" t="inlineStr">
        <is>
          <t>BM030e_MSS</t>
        </is>
      </c>
      <c r="D1148" s="312" t="inlineStr">
        <is>
          <t>Giá trị giao dịch toàn thị trường CCQ</t>
        </is>
      </c>
      <c r="F1148" s="4" t="inlineStr">
        <is>
          <t>Báo cáo</t>
        </is>
      </c>
      <c r="G1148" s="22" t="inlineStr">
        <is>
          <t>Chỉ tiêu phái sinh</t>
        </is>
      </c>
      <c r="H1148" s="4" t="inlineStr">
        <is>
          <t>Dễ</t>
        </is>
      </c>
      <c r="I1148" s="4" t="inlineStr">
        <is>
          <t>CCQ</t>
        </is>
      </c>
    </row>
    <row r="1149" ht="15" customHeight="1" s="380">
      <c r="B1149" s="4" t="inlineStr">
        <is>
          <t>BM030e_MSS</t>
        </is>
      </c>
      <c r="D1149" s="313" t="inlineStr">
        <is>
          <t>KLGD CCQ</t>
        </is>
      </c>
      <c r="F1149" s="4" t="inlineStr">
        <is>
          <t>Báo cáo</t>
        </is>
      </c>
      <c r="G1149" s="22" t="inlineStr">
        <is>
          <t>Chỉ tiêu phái sinh</t>
        </is>
      </c>
      <c r="H1149" s="4" t="inlineStr">
        <is>
          <t>TB</t>
        </is>
      </c>
      <c r="I1149" s="4" t="inlineStr">
        <is>
          <t>CCQ</t>
        </is>
      </c>
    </row>
    <row r="1150" ht="15" customHeight="1" s="380">
      <c r="B1150" s="4" t="inlineStr">
        <is>
          <t>BM030e_MSS</t>
        </is>
      </c>
      <c r="D1150" s="313" t="inlineStr">
        <is>
          <t>Giá GD CCQ</t>
        </is>
      </c>
      <c r="F1150" s="4" t="inlineStr">
        <is>
          <t>Báo cáo</t>
        </is>
      </c>
      <c r="G1150" s="22" t="inlineStr">
        <is>
          <t>Chỉ tiêu phái sinh</t>
        </is>
      </c>
      <c r="H1150" s="4" t="inlineStr">
        <is>
          <t>TB</t>
        </is>
      </c>
      <c r="I1150" s="4" t="inlineStr">
        <is>
          <t>CCQ</t>
        </is>
      </c>
    </row>
    <row r="1151" ht="15" customHeight="1" s="380">
      <c r="B1151" s="4" t="inlineStr">
        <is>
          <t>BM030e_MSS</t>
        </is>
      </c>
      <c r="D1151" s="314" t="inlineStr">
        <is>
          <t>Giá trị giao dịch toàn thị trường ETF</t>
        </is>
      </c>
      <c r="F1151" s="4" t="inlineStr">
        <is>
          <t>Báo cáo</t>
        </is>
      </c>
      <c r="G1151" s="22" t="inlineStr">
        <is>
          <t>Chỉ tiêu phái sinh</t>
        </is>
      </c>
      <c r="H1151" s="4" t="inlineStr">
        <is>
          <t>Dễ</t>
        </is>
      </c>
      <c r="I1151" s="4" t="inlineStr">
        <is>
          <t>ETF</t>
        </is>
      </c>
    </row>
    <row r="1152" ht="15" customHeight="1" s="380">
      <c r="B1152" s="4" t="inlineStr">
        <is>
          <t>BM030e_MSS</t>
        </is>
      </c>
      <c r="D1152" s="315" t="inlineStr">
        <is>
          <t>KLGD CCQ</t>
        </is>
      </c>
      <c r="F1152" s="4" t="inlineStr">
        <is>
          <t>Báo cáo</t>
        </is>
      </c>
      <c r="G1152" s="22" t="inlineStr">
        <is>
          <t>Chỉ tiêu phái sinh</t>
        </is>
      </c>
      <c r="H1152" s="4" t="inlineStr">
        <is>
          <t>TB</t>
        </is>
      </c>
      <c r="I1152" s="4" t="inlineStr">
        <is>
          <t>ETF</t>
        </is>
      </c>
    </row>
    <row r="1153" ht="15" customHeight="1" s="380">
      <c r="B1153" s="4" t="inlineStr">
        <is>
          <t>BM030e_MSS</t>
        </is>
      </c>
      <c r="D1153" s="315" t="inlineStr">
        <is>
          <t>Giá GD CCQ</t>
        </is>
      </c>
      <c r="F1153" s="4" t="inlineStr">
        <is>
          <t>Báo cáo</t>
        </is>
      </c>
      <c r="G1153" s="22" t="inlineStr">
        <is>
          <t>Chỉ tiêu phái sinh</t>
        </is>
      </c>
      <c r="H1153" s="4" t="inlineStr">
        <is>
          <t>TB</t>
        </is>
      </c>
      <c r="I1153" s="4" t="inlineStr">
        <is>
          <t>ETF</t>
        </is>
      </c>
    </row>
    <row r="1154" ht="15" customHeight="1" s="380">
      <c r="B1154" s="4" t="inlineStr">
        <is>
          <t>BM030e_MSS</t>
        </is>
      </c>
      <c r="D1154" s="314" t="inlineStr">
        <is>
          <t>Giá trị giao dịch toàn thị trường CW</t>
        </is>
      </c>
      <c r="F1154" s="4" t="inlineStr">
        <is>
          <t>Báo cáo</t>
        </is>
      </c>
      <c r="G1154" s="22" t="inlineStr">
        <is>
          <t>Chỉ tiêu phái sinh</t>
        </is>
      </c>
      <c r="H1154" s="4" t="inlineStr">
        <is>
          <t>Dễ</t>
        </is>
      </c>
      <c r="I1154" s="4" t="inlineStr">
        <is>
          <t>CW</t>
        </is>
      </c>
    </row>
    <row r="1155" ht="15" customHeight="1" s="380">
      <c r="B1155" s="4" t="inlineStr">
        <is>
          <t>BM030e_MSS</t>
        </is>
      </c>
      <c r="D1155" s="315" t="inlineStr">
        <is>
          <t>KLGD CCQ</t>
        </is>
      </c>
      <c r="F1155" s="4" t="inlineStr">
        <is>
          <t>Báo cáo</t>
        </is>
      </c>
      <c r="G1155" s="22" t="inlineStr">
        <is>
          <t>Chỉ tiêu phái sinh</t>
        </is>
      </c>
      <c r="H1155" s="4" t="inlineStr">
        <is>
          <t>TB</t>
        </is>
      </c>
      <c r="I1155" s="4" t="inlineStr">
        <is>
          <t>CW</t>
        </is>
      </c>
    </row>
    <row r="1156" ht="15" customHeight="1" s="380">
      <c r="B1156" s="4" t="inlineStr">
        <is>
          <t>BM030e_MSS</t>
        </is>
      </c>
      <c r="D1156" s="315" t="inlineStr">
        <is>
          <t>Giá GD CCQ</t>
        </is>
      </c>
      <c r="F1156" s="4" t="inlineStr">
        <is>
          <t>Báo cáo</t>
        </is>
      </c>
      <c r="G1156" s="22" t="inlineStr">
        <is>
          <t>Chỉ tiêu phái sinh</t>
        </is>
      </c>
      <c r="H1156" s="4" t="inlineStr">
        <is>
          <t>TB</t>
        </is>
      </c>
      <c r="I1156" s="4" t="inlineStr">
        <is>
          <t>CW</t>
        </is>
      </c>
    </row>
    <row r="1157" ht="15" customHeight="1" s="380">
      <c r="B1157" s="4" t="inlineStr">
        <is>
          <t>BM030e_MSS</t>
        </is>
      </c>
      <c r="D1157" s="312" t="inlineStr">
        <is>
          <t>Khối lượng giao dịch khớp lệnh CCQ</t>
        </is>
      </c>
      <c r="F1157" s="4" t="inlineStr">
        <is>
          <t>Báo cáo</t>
        </is>
      </c>
      <c r="G1157" s="22" t="inlineStr">
        <is>
          <t>Chỉ tiêu phái sinh</t>
        </is>
      </c>
      <c r="H1157" s="4" t="inlineStr">
        <is>
          <t>TB</t>
        </is>
      </c>
      <c r="I1157" s="4" t="inlineStr">
        <is>
          <t>CCQ</t>
        </is>
      </c>
    </row>
    <row r="1158" ht="15" customHeight="1" s="380">
      <c r="B1158" s="4" t="inlineStr">
        <is>
          <t>BM030e_MSS</t>
        </is>
      </c>
      <c r="D1158" s="312" t="inlineStr">
        <is>
          <t>Khối lượng giao dịch khớp lệnh ETF</t>
        </is>
      </c>
      <c r="F1158" s="4" t="inlineStr">
        <is>
          <t>Báo cáo</t>
        </is>
      </c>
      <c r="G1158" s="22" t="inlineStr">
        <is>
          <t>Chỉ tiêu phái sinh</t>
        </is>
      </c>
      <c r="H1158" s="4" t="inlineStr">
        <is>
          <t>TB</t>
        </is>
      </c>
      <c r="I1158" s="4" t="inlineStr">
        <is>
          <t>ETF</t>
        </is>
      </c>
    </row>
    <row r="1159" ht="15" customHeight="1" s="380">
      <c r="B1159" s="4" t="inlineStr">
        <is>
          <t>BM030e_MSS</t>
        </is>
      </c>
      <c r="D1159" s="312" t="inlineStr">
        <is>
          <t>Khối lượng giao dịch khớp lệnh CW</t>
        </is>
      </c>
      <c r="F1159" s="4" t="inlineStr">
        <is>
          <t>Báo cáo</t>
        </is>
      </c>
      <c r="G1159" s="22" t="inlineStr">
        <is>
          <t>Chỉ tiêu phái sinh</t>
        </is>
      </c>
      <c r="H1159" s="4" t="inlineStr">
        <is>
          <t>TB</t>
        </is>
      </c>
      <c r="I1159" s="4" t="inlineStr">
        <is>
          <t>CW</t>
        </is>
      </c>
    </row>
    <row r="1160" ht="15" customHeight="1" s="380">
      <c r="B1160" s="4" t="inlineStr">
        <is>
          <t>BM030e_MSS</t>
        </is>
      </c>
      <c r="D1160" s="312" t="inlineStr">
        <is>
          <t>Giá trị giao dịch khớp lệnh CCQ</t>
        </is>
      </c>
      <c r="F1160" s="4" t="inlineStr">
        <is>
          <t>Báo cáo</t>
        </is>
      </c>
      <c r="G1160" s="22" t="inlineStr">
        <is>
          <t>Chỉ tiêu phái sinh</t>
        </is>
      </c>
      <c r="H1160" s="4" t="inlineStr">
        <is>
          <t>Dễ</t>
        </is>
      </c>
      <c r="I1160" s="4" t="inlineStr">
        <is>
          <t>CCQ</t>
        </is>
      </c>
    </row>
    <row r="1161" ht="15" customHeight="1" s="380">
      <c r="B1161" s="4" t="inlineStr">
        <is>
          <t>BM030e_MSS</t>
        </is>
      </c>
      <c r="D1161" s="313" t="inlineStr">
        <is>
          <t>KLGD CCQ</t>
        </is>
      </c>
      <c r="F1161" s="4" t="inlineStr">
        <is>
          <t>Báo cáo</t>
        </is>
      </c>
      <c r="G1161" s="22" t="inlineStr">
        <is>
          <t>Chỉ tiêu phái sinh</t>
        </is>
      </c>
      <c r="H1161" s="4" t="inlineStr">
        <is>
          <t>TB</t>
        </is>
      </c>
      <c r="I1161" s="4" t="inlineStr">
        <is>
          <t>CCQ</t>
        </is>
      </c>
    </row>
    <row r="1162" ht="15" customHeight="1" s="380">
      <c r="B1162" s="4" t="inlineStr">
        <is>
          <t>BM030e_MSS</t>
        </is>
      </c>
      <c r="D1162" s="313" t="inlineStr">
        <is>
          <t>Giá GD CCQ</t>
        </is>
      </c>
      <c r="F1162" s="4" t="inlineStr">
        <is>
          <t>Báo cáo</t>
        </is>
      </c>
      <c r="G1162" s="22" t="inlineStr">
        <is>
          <t>Chỉ tiêu phái sinh</t>
        </is>
      </c>
      <c r="H1162" s="4" t="inlineStr">
        <is>
          <t>TB</t>
        </is>
      </c>
      <c r="I1162" s="4" t="inlineStr">
        <is>
          <t>CCQ</t>
        </is>
      </c>
    </row>
    <row r="1163" ht="15" customHeight="1" s="380">
      <c r="B1163" s="4" t="inlineStr">
        <is>
          <t>BM030e_MSS</t>
        </is>
      </c>
      <c r="D1163" s="316" t="inlineStr">
        <is>
          <t>Giá trị giao dịch khớp lệnh ETF</t>
        </is>
      </c>
      <c r="F1163" s="4" t="inlineStr">
        <is>
          <t>Báo cáo</t>
        </is>
      </c>
      <c r="G1163" s="22" t="inlineStr">
        <is>
          <t>Chỉ tiêu phái sinh</t>
        </is>
      </c>
      <c r="H1163" s="4" t="inlineStr">
        <is>
          <t>Dễ</t>
        </is>
      </c>
      <c r="I1163" s="4" t="inlineStr">
        <is>
          <t>ETF</t>
        </is>
      </c>
    </row>
    <row r="1164" ht="15" customHeight="1" s="380">
      <c r="B1164" s="4" t="inlineStr">
        <is>
          <t>BM030e_MSS</t>
        </is>
      </c>
      <c r="D1164" s="317" t="inlineStr">
        <is>
          <t>KLGD CCQ</t>
        </is>
      </c>
      <c r="F1164" s="4" t="inlineStr">
        <is>
          <t>Báo cáo</t>
        </is>
      </c>
      <c r="G1164" s="22" t="inlineStr">
        <is>
          <t>Chỉ tiêu phái sinh</t>
        </is>
      </c>
      <c r="H1164" s="4" t="inlineStr">
        <is>
          <t>TB</t>
        </is>
      </c>
      <c r="I1164" s="4" t="inlineStr">
        <is>
          <t>ETF</t>
        </is>
      </c>
    </row>
    <row r="1165" ht="15" customHeight="1" s="380">
      <c r="B1165" s="4" t="inlineStr">
        <is>
          <t>BM030e_MSS</t>
        </is>
      </c>
      <c r="D1165" s="317" t="inlineStr">
        <is>
          <t>Giá GD CCQ</t>
        </is>
      </c>
      <c r="F1165" s="4" t="inlineStr">
        <is>
          <t>Báo cáo</t>
        </is>
      </c>
      <c r="G1165" s="22" t="inlineStr">
        <is>
          <t>Chỉ tiêu phái sinh</t>
        </is>
      </c>
      <c r="H1165" s="4" t="inlineStr">
        <is>
          <t>TB</t>
        </is>
      </c>
      <c r="I1165" s="4" t="inlineStr">
        <is>
          <t>ETF</t>
        </is>
      </c>
    </row>
    <row r="1166" ht="15" customHeight="1" s="380">
      <c r="B1166" s="4" t="inlineStr">
        <is>
          <t>BM030e_MSS</t>
        </is>
      </c>
      <c r="D1166" s="316" t="inlineStr">
        <is>
          <t>Giá trị giao dịch khớp lệnh CW</t>
        </is>
      </c>
      <c r="F1166" s="4" t="inlineStr">
        <is>
          <t>Báo cáo</t>
        </is>
      </c>
      <c r="G1166" s="22" t="inlineStr">
        <is>
          <t>Chỉ tiêu phái sinh</t>
        </is>
      </c>
      <c r="H1166" s="4" t="inlineStr">
        <is>
          <t>Dễ</t>
        </is>
      </c>
      <c r="I1166" s="4" t="inlineStr">
        <is>
          <t>CW</t>
        </is>
      </c>
    </row>
    <row r="1167" ht="15" customHeight="1" s="380">
      <c r="B1167" s="4" t="inlineStr">
        <is>
          <t>BM030e_MSS</t>
        </is>
      </c>
      <c r="D1167" s="317" t="inlineStr">
        <is>
          <t>KLGD CCQ</t>
        </is>
      </c>
      <c r="F1167" s="4" t="inlineStr">
        <is>
          <t>Báo cáo</t>
        </is>
      </c>
      <c r="G1167" s="22" t="inlineStr">
        <is>
          <t>Chỉ tiêu phái sinh</t>
        </is>
      </c>
      <c r="H1167" s="4" t="inlineStr">
        <is>
          <t>TB</t>
        </is>
      </c>
      <c r="I1167" s="4" t="inlineStr">
        <is>
          <t>CW</t>
        </is>
      </c>
    </row>
    <row r="1168" ht="15" customHeight="1" s="380">
      <c r="B1168" s="4" t="inlineStr">
        <is>
          <t>BM030e_MSS</t>
        </is>
      </c>
      <c r="D1168" s="317" t="inlineStr">
        <is>
          <t>Giá GD CCQ</t>
        </is>
      </c>
      <c r="F1168" s="4" t="inlineStr">
        <is>
          <t>Báo cáo</t>
        </is>
      </c>
      <c r="G1168" s="22" t="inlineStr">
        <is>
          <t>Chỉ tiêu phái sinh</t>
        </is>
      </c>
      <c r="H1168" s="4" t="inlineStr">
        <is>
          <t>TB</t>
        </is>
      </c>
      <c r="I1168" s="4" t="inlineStr">
        <is>
          <t>CW</t>
        </is>
      </c>
    </row>
    <row r="1169" ht="15" customHeight="1" s="380">
      <c r="A1169" s="184" t="n"/>
      <c r="B1169" s="184" t="inlineStr">
        <is>
          <t>BM031a_MSS</t>
        </is>
      </c>
      <c r="C1169" s="416" t="inlineStr">
        <is>
          <t>Bảng dữ liệu giao dịch NĐTNN/tự doanh thị trường cổ phiếu</t>
        </is>
      </c>
      <c r="D1169" s="306" t="inlineStr">
        <is>
          <t>Thời gian</t>
        </is>
      </c>
      <c r="E1169" s="184" t="n"/>
      <c r="F1169" s="4" t="inlineStr">
        <is>
          <t>Báo cáo</t>
        </is>
      </c>
      <c r="G1169" s="184" t="inlineStr">
        <is>
          <t>Chiều</t>
        </is>
      </c>
      <c r="H1169" s="184" t="n"/>
      <c r="I1169" s="184" t="n"/>
      <c r="J1169" s="184" t="n"/>
      <c r="K1169" s="184" t="n"/>
      <c r="L1169" s="184" t="n"/>
      <c r="M1169" s="184" t="n"/>
    </row>
    <row r="1170" ht="30" customHeight="1" s="380">
      <c r="B1170" s="4" t="inlineStr">
        <is>
          <t>BM031a_MSS</t>
        </is>
      </c>
      <c r="D1170" s="307" t="inlineStr">
        <is>
          <t>Loại chỉ số (VNIndex, HNXIndex, HNX30, VN30)</t>
        </is>
      </c>
      <c r="F1170" s="4" t="inlineStr">
        <is>
          <t>Báo cáo</t>
        </is>
      </c>
      <c r="G1170" s="22" t="inlineStr">
        <is>
          <t>Chiều</t>
        </is>
      </c>
      <c r="H1170" s="4" t="inlineStr">
        <is>
          <t>Dễ</t>
        </is>
      </c>
      <c r="I1170" s="4" t="inlineStr">
        <is>
          <t>NDTNN</t>
        </is>
      </c>
    </row>
    <row r="1171" ht="15" customHeight="1" s="380">
      <c r="B1171" s="4" t="inlineStr">
        <is>
          <t>BM031a_MSS</t>
        </is>
      </c>
      <c r="D1171" s="307" t="inlineStr">
        <is>
          <t>NĐTNN Tổng KL mua</t>
        </is>
      </c>
      <c r="F1171" s="4" t="inlineStr">
        <is>
          <t>Báo cáo</t>
        </is>
      </c>
      <c r="G1171" s="22" t="inlineStr">
        <is>
          <t>Chỉ tiêu phái sinh</t>
        </is>
      </c>
      <c r="H1171" s="4" t="inlineStr">
        <is>
          <t>Trùng</t>
        </is>
      </c>
      <c r="I1171" s="4" t="inlineStr">
        <is>
          <t>NDTNN</t>
        </is>
      </c>
    </row>
    <row r="1172" ht="15" customHeight="1" s="380">
      <c r="B1172" s="4" t="inlineStr">
        <is>
          <t>BM031a_MSS</t>
        </is>
      </c>
      <c r="D1172" s="307" t="inlineStr">
        <is>
          <t>NĐTNN Tổng KL bán</t>
        </is>
      </c>
      <c r="F1172" s="4" t="inlineStr">
        <is>
          <t>Báo cáo</t>
        </is>
      </c>
      <c r="G1172" s="22" t="inlineStr">
        <is>
          <t>Chỉ tiêu phái sinh</t>
        </is>
      </c>
      <c r="H1172" s="4" t="inlineStr">
        <is>
          <t>Trùng</t>
        </is>
      </c>
      <c r="I1172" s="4" t="inlineStr">
        <is>
          <t>NDTNN</t>
        </is>
      </c>
    </row>
    <row r="1173" ht="15" customHeight="1" s="380">
      <c r="B1173" s="4" t="inlineStr">
        <is>
          <t>BM031a_MSS</t>
        </is>
      </c>
      <c r="D1173" s="307" t="inlineStr">
        <is>
          <t>NĐTNN Tổng GT mua</t>
        </is>
      </c>
      <c r="F1173" s="4" t="inlineStr">
        <is>
          <t>Báo cáo</t>
        </is>
      </c>
      <c r="G1173" s="22" t="inlineStr">
        <is>
          <t>Chỉ tiêu phái sinh</t>
        </is>
      </c>
      <c r="H1173" s="4" t="inlineStr">
        <is>
          <t>Trùng</t>
        </is>
      </c>
      <c r="I1173" s="4" t="inlineStr">
        <is>
          <t>NDTNN</t>
        </is>
      </c>
    </row>
    <row r="1174" ht="15" customHeight="1" s="380">
      <c r="B1174" s="4" t="inlineStr">
        <is>
          <t>BM031a_MSS</t>
        </is>
      </c>
      <c r="D1174" s="307" t="inlineStr">
        <is>
          <t>NĐTNN Tổng GT bán</t>
        </is>
      </c>
      <c r="F1174" s="4" t="inlineStr">
        <is>
          <t>Báo cáo</t>
        </is>
      </c>
      <c r="G1174" s="22" t="inlineStr">
        <is>
          <t>Chỉ tiêu phái sinh</t>
        </is>
      </c>
      <c r="H1174" s="4" t="inlineStr">
        <is>
          <t>Trùng</t>
        </is>
      </c>
      <c r="I1174" s="4" t="inlineStr">
        <is>
          <t>NDTNN</t>
        </is>
      </c>
    </row>
    <row r="1175" ht="15" customHeight="1" s="380">
      <c r="B1175" s="4" t="inlineStr">
        <is>
          <t>BM031a_MSS</t>
        </is>
      </c>
      <c r="D1175" s="307" t="inlineStr">
        <is>
          <t>NĐTNN KL mua thỏa thuận</t>
        </is>
      </c>
      <c r="F1175" s="4" t="inlineStr">
        <is>
          <t>Báo cáo</t>
        </is>
      </c>
      <c r="G1175" s="22" t="inlineStr">
        <is>
          <t>Chỉ tiêu phái sinh</t>
        </is>
      </c>
      <c r="H1175" s="4" t="inlineStr">
        <is>
          <t>Trùng</t>
        </is>
      </c>
      <c r="I1175" s="4" t="inlineStr">
        <is>
          <t>NDTNN</t>
        </is>
      </c>
    </row>
    <row r="1176" ht="15" customHeight="1" s="380">
      <c r="B1176" s="4" t="inlineStr">
        <is>
          <t>BM031a_MSS</t>
        </is>
      </c>
      <c r="D1176" s="307" t="inlineStr">
        <is>
          <t>NĐTNN KL bán thỏa thuận</t>
        </is>
      </c>
      <c r="F1176" s="4" t="inlineStr">
        <is>
          <t>Báo cáo</t>
        </is>
      </c>
      <c r="G1176" s="22" t="inlineStr">
        <is>
          <t>Chỉ tiêu phái sinh</t>
        </is>
      </c>
      <c r="H1176" s="4" t="inlineStr">
        <is>
          <t>Trùng</t>
        </is>
      </c>
      <c r="I1176" s="4" t="inlineStr">
        <is>
          <t>NDTNN</t>
        </is>
      </c>
    </row>
    <row r="1177" ht="15" customHeight="1" s="380">
      <c r="B1177" s="4" t="inlineStr">
        <is>
          <t>BM031a_MSS</t>
        </is>
      </c>
      <c r="D1177" s="307" t="inlineStr">
        <is>
          <t>NĐTNN GT mua thỏa thuận</t>
        </is>
      </c>
      <c r="F1177" s="4" t="inlineStr">
        <is>
          <t>Báo cáo</t>
        </is>
      </c>
      <c r="G1177" s="22" t="inlineStr">
        <is>
          <t>Chỉ tiêu phái sinh</t>
        </is>
      </c>
      <c r="H1177" s="4" t="inlineStr">
        <is>
          <t>Trùng</t>
        </is>
      </c>
      <c r="I1177" s="4" t="inlineStr">
        <is>
          <t>NDTNN</t>
        </is>
      </c>
    </row>
    <row r="1178" ht="15" customHeight="1" s="380">
      <c r="B1178" s="4" t="n"/>
      <c r="D1178" s="308" t="inlineStr">
        <is>
          <t>KL mua</t>
        </is>
      </c>
      <c r="F1178" s="4" t="inlineStr">
        <is>
          <t>Báo cáo</t>
        </is>
      </c>
      <c r="G1178" s="22" t="inlineStr">
        <is>
          <t>Chỉ tiêu phái sinh</t>
        </is>
      </c>
      <c r="H1178" s="4" t="inlineStr">
        <is>
          <t>Trùng</t>
        </is>
      </c>
      <c r="I1178" s="4" t="inlineStr">
        <is>
          <t>NDTNN</t>
        </is>
      </c>
    </row>
    <row r="1179" ht="15" customHeight="1" s="380">
      <c r="B1179" s="4" t="n"/>
      <c r="D1179" s="308" t="inlineStr">
        <is>
          <t>Giá mua</t>
        </is>
      </c>
      <c r="F1179" s="4" t="inlineStr">
        <is>
          <t>Báo cáo</t>
        </is>
      </c>
      <c r="G1179" s="22" t="inlineStr">
        <is>
          <t>Chỉ tiêu phái sinh</t>
        </is>
      </c>
      <c r="H1179" s="4" t="inlineStr">
        <is>
          <t>Trùng</t>
        </is>
      </c>
      <c r="I1179" s="4" t="inlineStr">
        <is>
          <t>NDTNN</t>
        </is>
      </c>
    </row>
    <row r="1180" ht="15" customHeight="1" s="380">
      <c r="B1180" s="4" t="inlineStr">
        <is>
          <t>BM031a_MSS</t>
        </is>
      </c>
      <c r="D1180" s="307" t="inlineStr">
        <is>
          <t>NĐTNN GT bán thỏa thuận</t>
        </is>
      </c>
      <c r="F1180" s="4" t="inlineStr">
        <is>
          <t>Báo cáo</t>
        </is>
      </c>
      <c r="G1180" s="22" t="inlineStr">
        <is>
          <t>Chỉ tiêu phái sinh</t>
        </is>
      </c>
      <c r="H1180" s="4" t="inlineStr">
        <is>
          <t>Trùng</t>
        </is>
      </c>
      <c r="I1180" s="4" t="inlineStr">
        <is>
          <t>NDTNN</t>
        </is>
      </c>
    </row>
    <row r="1181" ht="15" customHeight="1" s="380">
      <c r="B1181" s="4" t="n"/>
      <c r="D1181" s="308" t="inlineStr">
        <is>
          <t>KL mua</t>
        </is>
      </c>
      <c r="F1181" s="4" t="inlineStr">
        <is>
          <t>Báo cáo</t>
        </is>
      </c>
      <c r="G1181" s="22" t="inlineStr">
        <is>
          <t>Chỉ tiêu phái sinh</t>
        </is>
      </c>
      <c r="H1181" s="4" t="inlineStr">
        <is>
          <t>Trùng</t>
        </is>
      </c>
      <c r="I1181" s="4" t="inlineStr">
        <is>
          <t>NDTNN</t>
        </is>
      </c>
    </row>
    <row r="1182" ht="15" customHeight="1" s="380">
      <c r="B1182" s="4" t="n"/>
      <c r="D1182" s="308" t="inlineStr">
        <is>
          <t>Giá mua</t>
        </is>
      </c>
      <c r="F1182" s="4" t="inlineStr">
        <is>
          <t>Báo cáo</t>
        </is>
      </c>
      <c r="G1182" s="22" t="inlineStr">
        <is>
          <t>Chỉ tiêu phái sinh</t>
        </is>
      </c>
      <c r="H1182" s="4" t="inlineStr">
        <is>
          <t>Trùng</t>
        </is>
      </c>
      <c r="I1182" s="4" t="inlineStr">
        <is>
          <t>NDTNN</t>
        </is>
      </c>
    </row>
    <row r="1183" ht="15" customHeight="1" s="380">
      <c r="B1183" s="4" t="inlineStr">
        <is>
          <t>BM031a_MSS</t>
        </is>
      </c>
      <c r="D1183" s="307" t="inlineStr">
        <is>
          <t>NĐTNN KL mua khớp lệnh</t>
        </is>
      </c>
      <c r="F1183" s="4" t="inlineStr">
        <is>
          <t>Báo cáo</t>
        </is>
      </c>
      <c r="G1183" s="22" t="inlineStr">
        <is>
          <t>Chỉ tiêu phái sinh</t>
        </is>
      </c>
      <c r="H1183" s="4" t="inlineStr">
        <is>
          <t>Trùng</t>
        </is>
      </c>
      <c r="I1183" s="4" t="inlineStr">
        <is>
          <t>NDTNN</t>
        </is>
      </c>
    </row>
    <row r="1184" ht="15" customHeight="1" s="380">
      <c r="B1184" s="4" t="inlineStr">
        <is>
          <t>BM031a_MSS</t>
        </is>
      </c>
      <c r="D1184" s="307" t="inlineStr">
        <is>
          <t>NĐTNN KL bán khớp lệnh</t>
        </is>
      </c>
      <c r="F1184" s="4" t="inlineStr">
        <is>
          <t>Báo cáo</t>
        </is>
      </c>
      <c r="G1184" s="22" t="inlineStr">
        <is>
          <t>Chỉ tiêu phái sinh</t>
        </is>
      </c>
      <c r="H1184" s="4" t="inlineStr">
        <is>
          <t>Trùng</t>
        </is>
      </c>
      <c r="I1184" s="4" t="inlineStr">
        <is>
          <t>NDTNN</t>
        </is>
      </c>
    </row>
    <row r="1185" ht="15" customHeight="1" s="380">
      <c r="B1185" s="4" t="inlineStr">
        <is>
          <t>BM031a_MSS</t>
        </is>
      </c>
      <c r="D1185" s="307" t="inlineStr">
        <is>
          <t>NĐTNN GT mua khớp lệnh</t>
        </is>
      </c>
      <c r="F1185" s="4" t="inlineStr">
        <is>
          <t>Báo cáo</t>
        </is>
      </c>
      <c r="G1185" s="22" t="inlineStr">
        <is>
          <t>Chỉ tiêu phái sinh</t>
        </is>
      </c>
      <c r="H1185" s="4" t="inlineStr">
        <is>
          <t>Trùng</t>
        </is>
      </c>
      <c r="I1185" s="4" t="inlineStr">
        <is>
          <t>NDTNN</t>
        </is>
      </c>
    </row>
    <row r="1186" ht="15" customHeight="1" s="380">
      <c r="B1186" s="4" t="n"/>
      <c r="D1186" s="308" t="inlineStr">
        <is>
          <t>KL mua</t>
        </is>
      </c>
      <c r="F1186" s="4" t="inlineStr">
        <is>
          <t>Báo cáo</t>
        </is>
      </c>
      <c r="G1186" s="22" t="inlineStr">
        <is>
          <t>Chỉ tiêu phái sinh</t>
        </is>
      </c>
      <c r="H1186" s="4" t="inlineStr">
        <is>
          <t>Trùng</t>
        </is>
      </c>
      <c r="I1186" s="4" t="inlineStr">
        <is>
          <t>NDTNN</t>
        </is>
      </c>
    </row>
    <row r="1187" ht="15" customHeight="1" s="380">
      <c r="B1187" s="4" t="n"/>
      <c r="D1187" s="308" t="inlineStr">
        <is>
          <t>Giá mua</t>
        </is>
      </c>
      <c r="F1187" s="4" t="inlineStr">
        <is>
          <t>Báo cáo</t>
        </is>
      </c>
      <c r="G1187" s="22" t="inlineStr">
        <is>
          <t>Chỉ tiêu phái sinh</t>
        </is>
      </c>
      <c r="H1187" s="4" t="inlineStr">
        <is>
          <t>Trùng</t>
        </is>
      </c>
      <c r="I1187" s="4" t="inlineStr">
        <is>
          <t>NDTNN</t>
        </is>
      </c>
    </row>
    <row r="1188" ht="15" customHeight="1" s="380">
      <c r="B1188" s="4" t="inlineStr">
        <is>
          <t>BM031a_MSS</t>
        </is>
      </c>
      <c r="D1188" s="307" t="inlineStr">
        <is>
          <t>NĐTNN GT bán khớp lệnh</t>
        </is>
      </c>
      <c r="F1188" s="4" t="inlineStr">
        <is>
          <t>Báo cáo</t>
        </is>
      </c>
      <c r="G1188" s="22" t="inlineStr">
        <is>
          <t>Chỉ tiêu phái sinh</t>
        </is>
      </c>
      <c r="H1188" s="4" t="inlineStr">
        <is>
          <t>Trùng</t>
        </is>
      </c>
      <c r="I1188" s="4" t="inlineStr">
        <is>
          <t>NDTNN</t>
        </is>
      </c>
    </row>
    <row r="1189" ht="15" customHeight="1" s="380">
      <c r="B1189" s="4" t="n"/>
      <c r="D1189" s="308" t="inlineStr">
        <is>
          <t>KL mua</t>
        </is>
      </c>
      <c r="F1189" s="4" t="inlineStr">
        <is>
          <t>Báo cáo</t>
        </is>
      </c>
      <c r="G1189" s="22" t="inlineStr">
        <is>
          <t>Chỉ tiêu phái sinh</t>
        </is>
      </c>
      <c r="H1189" s="4" t="inlineStr">
        <is>
          <t>Trùng</t>
        </is>
      </c>
      <c r="I1189" s="4" t="inlineStr">
        <is>
          <t>NDTNN</t>
        </is>
      </c>
    </row>
    <row r="1190" ht="15" customHeight="1" s="380">
      <c r="B1190" s="4" t="n"/>
      <c r="D1190" s="308" t="inlineStr">
        <is>
          <t>Giá mua</t>
        </is>
      </c>
      <c r="F1190" s="4" t="inlineStr">
        <is>
          <t>Báo cáo</t>
        </is>
      </c>
      <c r="G1190" s="22" t="inlineStr">
        <is>
          <t>Chỉ tiêu phái sinh</t>
        </is>
      </c>
      <c r="H1190" s="4" t="inlineStr">
        <is>
          <t>Trùng</t>
        </is>
      </c>
      <c r="I1190" s="4" t="inlineStr">
        <is>
          <t>NDTNN</t>
        </is>
      </c>
    </row>
    <row r="1191" ht="15" customHeight="1" s="380">
      <c r="B1191" s="4" t="inlineStr">
        <is>
          <t>BM031a_MSS</t>
        </is>
      </c>
      <c r="D1191" s="307" t="inlineStr">
        <is>
          <t>Giao dịch khối tự doanh Tổng KL mua</t>
        </is>
      </c>
      <c r="F1191" s="4" t="inlineStr">
        <is>
          <t>Báo cáo</t>
        </is>
      </c>
      <c r="G1191" s="22" t="inlineStr">
        <is>
          <t>Chỉ tiêu phái sinh</t>
        </is>
      </c>
      <c r="H1191" s="4" t="inlineStr">
        <is>
          <t>Trùng</t>
        </is>
      </c>
      <c r="I1191" s="4" t="inlineStr">
        <is>
          <t>NDTNN</t>
        </is>
      </c>
    </row>
    <row r="1192" ht="15" customHeight="1" s="380">
      <c r="B1192" s="4" t="inlineStr">
        <is>
          <t>BM031a_MSS</t>
        </is>
      </c>
      <c r="D1192" s="307" t="inlineStr">
        <is>
          <t>Giao dịch khối tự doanh Tổng KL bán</t>
        </is>
      </c>
      <c r="F1192" s="4" t="inlineStr">
        <is>
          <t>Báo cáo</t>
        </is>
      </c>
      <c r="G1192" s="22" t="inlineStr">
        <is>
          <t>Chỉ tiêu phái sinh</t>
        </is>
      </c>
      <c r="H1192" s="4" t="inlineStr">
        <is>
          <t>Trùng</t>
        </is>
      </c>
      <c r="I1192" s="4" t="inlineStr">
        <is>
          <t>NDTNN</t>
        </is>
      </c>
    </row>
    <row r="1193" ht="15" customHeight="1" s="380">
      <c r="B1193" s="4" t="inlineStr">
        <is>
          <t>BM031a_MSS</t>
        </is>
      </c>
      <c r="D1193" s="307" t="inlineStr">
        <is>
          <t>Giao dịch khối tự doanh Tổng GT mua</t>
        </is>
      </c>
      <c r="F1193" s="4" t="inlineStr">
        <is>
          <t>Báo cáo</t>
        </is>
      </c>
      <c r="G1193" s="22" t="inlineStr">
        <is>
          <t>Chỉ tiêu phái sinh</t>
        </is>
      </c>
      <c r="H1193" s="4" t="inlineStr">
        <is>
          <t>Trùng</t>
        </is>
      </c>
      <c r="I1193" s="4" t="inlineStr">
        <is>
          <t>NDTNN</t>
        </is>
      </c>
    </row>
    <row r="1194" ht="15" customHeight="1" s="380">
      <c r="B1194" s="4" t="inlineStr">
        <is>
          <t>BM031a_MSS</t>
        </is>
      </c>
      <c r="D1194" s="307" t="inlineStr">
        <is>
          <t>Giao dịch khối tự doanh Tổng GT bán</t>
        </is>
      </c>
      <c r="F1194" s="4" t="inlineStr">
        <is>
          <t>Báo cáo</t>
        </is>
      </c>
      <c r="G1194" s="22" t="inlineStr">
        <is>
          <t>Chỉ tiêu phái sinh</t>
        </is>
      </c>
      <c r="H1194" s="4" t="inlineStr">
        <is>
          <t>Trùng</t>
        </is>
      </c>
      <c r="I1194" s="4" t="inlineStr">
        <is>
          <t>NDTNN</t>
        </is>
      </c>
    </row>
    <row r="1195" ht="30" customHeight="1" s="380">
      <c r="B1195" s="4" t="inlineStr">
        <is>
          <t>BM031a_MSS</t>
        </is>
      </c>
      <c r="D1195" s="307" t="inlineStr">
        <is>
          <t>Giao dịch khối tự doanh KL mua thỏa thuận</t>
        </is>
      </c>
      <c r="F1195" s="4" t="inlineStr">
        <is>
          <t>Báo cáo</t>
        </is>
      </c>
      <c r="G1195" s="22" t="inlineStr">
        <is>
          <t>Chỉ tiêu phái sinh</t>
        </is>
      </c>
      <c r="H1195" s="4" t="inlineStr">
        <is>
          <t>Trùng</t>
        </is>
      </c>
      <c r="I1195" s="4" t="inlineStr">
        <is>
          <t>NDTNN</t>
        </is>
      </c>
    </row>
    <row r="1196" ht="30" customHeight="1" s="380">
      <c r="B1196" s="4" t="inlineStr">
        <is>
          <t>BM031a_MSS</t>
        </is>
      </c>
      <c r="D1196" s="307" t="inlineStr">
        <is>
          <t>Giao dịch khối tự doanh KL bán thỏa thuận</t>
        </is>
      </c>
      <c r="F1196" s="4" t="inlineStr">
        <is>
          <t>Báo cáo</t>
        </is>
      </c>
      <c r="G1196" s="22" t="inlineStr">
        <is>
          <t>Chỉ tiêu phái sinh</t>
        </is>
      </c>
      <c r="H1196" s="4" t="inlineStr">
        <is>
          <t>Trùng</t>
        </is>
      </c>
      <c r="I1196" s="4" t="inlineStr">
        <is>
          <t>NDTNN</t>
        </is>
      </c>
    </row>
    <row r="1197" ht="30" customHeight="1" s="380">
      <c r="B1197" s="4" t="inlineStr">
        <is>
          <t>BM031a_MSS</t>
        </is>
      </c>
      <c r="D1197" s="307" t="inlineStr">
        <is>
          <t>Giao dịch khối tự doanh GT mua thỏa thuận</t>
        </is>
      </c>
      <c r="F1197" s="4" t="inlineStr">
        <is>
          <t>Báo cáo</t>
        </is>
      </c>
      <c r="G1197" s="22" t="inlineStr">
        <is>
          <t>Chỉ tiêu phái sinh</t>
        </is>
      </c>
      <c r="H1197" s="4" t="inlineStr">
        <is>
          <t>Trùng</t>
        </is>
      </c>
      <c r="I1197" s="4" t="inlineStr">
        <is>
          <t>NDTNN</t>
        </is>
      </c>
    </row>
    <row r="1198" ht="15" customHeight="1" s="380">
      <c r="B1198" s="4" t="n"/>
      <c r="D1198" s="308" t="inlineStr">
        <is>
          <t>KL mua</t>
        </is>
      </c>
      <c r="F1198" s="4" t="inlineStr">
        <is>
          <t>Báo cáo</t>
        </is>
      </c>
      <c r="G1198" s="22" t="inlineStr">
        <is>
          <t>Chỉ tiêu phái sinh</t>
        </is>
      </c>
      <c r="H1198" s="4" t="inlineStr">
        <is>
          <t>Trùng</t>
        </is>
      </c>
      <c r="I1198" s="4" t="inlineStr">
        <is>
          <t>NDTNN</t>
        </is>
      </c>
    </row>
    <row r="1199" ht="15" customHeight="1" s="380">
      <c r="B1199" s="4" t="n"/>
      <c r="D1199" s="308" t="inlineStr">
        <is>
          <t>Giá mua</t>
        </is>
      </c>
      <c r="F1199" s="4" t="inlineStr">
        <is>
          <t>Báo cáo</t>
        </is>
      </c>
      <c r="G1199" s="22" t="inlineStr">
        <is>
          <t>Chỉ tiêu phái sinh</t>
        </is>
      </c>
      <c r="H1199" s="4" t="inlineStr">
        <is>
          <t>Trùng</t>
        </is>
      </c>
      <c r="I1199" s="4" t="inlineStr">
        <is>
          <t>NDTNN</t>
        </is>
      </c>
    </row>
    <row r="1200" ht="30" customHeight="1" s="380">
      <c r="B1200" s="4" t="inlineStr">
        <is>
          <t>BM031a_MSS</t>
        </is>
      </c>
      <c r="D1200" s="307" t="inlineStr">
        <is>
          <t>Giao dịch khối tự doanh GT bán thỏa thuận</t>
        </is>
      </c>
      <c r="F1200" s="4" t="inlineStr">
        <is>
          <t>Báo cáo</t>
        </is>
      </c>
      <c r="G1200" s="22" t="inlineStr">
        <is>
          <t>Chỉ tiêu phái sinh</t>
        </is>
      </c>
      <c r="H1200" s="4" t="inlineStr">
        <is>
          <t>Trùng</t>
        </is>
      </c>
      <c r="I1200" s="4" t="inlineStr">
        <is>
          <t>NDTNN</t>
        </is>
      </c>
    </row>
    <row r="1201" ht="15" customHeight="1" s="380">
      <c r="B1201" s="4" t="n"/>
      <c r="D1201" s="308" t="inlineStr">
        <is>
          <t>KL mua</t>
        </is>
      </c>
      <c r="F1201" s="4" t="inlineStr">
        <is>
          <t>Báo cáo</t>
        </is>
      </c>
      <c r="G1201" s="22" t="inlineStr">
        <is>
          <t>Chỉ tiêu phái sinh</t>
        </is>
      </c>
      <c r="H1201" s="4" t="inlineStr">
        <is>
          <t>Trùng</t>
        </is>
      </c>
      <c r="I1201" s="4" t="inlineStr">
        <is>
          <t>NDTNN</t>
        </is>
      </c>
    </row>
    <row r="1202" ht="15" customHeight="1" s="380">
      <c r="B1202" s="4" t="n"/>
      <c r="D1202" s="308" t="inlineStr">
        <is>
          <t>Giá mua</t>
        </is>
      </c>
      <c r="F1202" s="4" t="inlineStr">
        <is>
          <t>Báo cáo</t>
        </is>
      </c>
      <c r="G1202" s="22" t="inlineStr">
        <is>
          <t>Chỉ tiêu phái sinh</t>
        </is>
      </c>
      <c r="H1202" s="4" t="inlineStr">
        <is>
          <t>Trùng</t>
        </is>
      </c>
      <c r="I1202" s="4" t="inlineStr">
        <is>
          <t>NDTNN</t>
        </is>
      </c>
    </row>
    <row r="1203" ht="30" customHeight="1" s="380">
      <c r="B1203" s="4" t="inlineStr">
        <is>
          <t>BM031a_MSS</t>
        </is>
      </c>
      <c r="D1203" s="307" t="inlineStr">
        <is>
          <t>Giao dịch khối tự doanh KL mua khớp lệnh</t>
        </is>
      </c>
      <c r="F1203" s="4" t="inlineStr">
        <is>
          <t>Báo cáo</t>
        </is>
      </c>
      <c r="G1203" s="22" t="inlineStr">
        <is>
          <t>Chỉ tiêu phái sinh</t>
        </is>
      </c>
      <c r="H1203" s="4" t="inlineStr">
        <is>
          <t>Trùng</t>
        </is>
      </c>
      <c r="I1203" s="4" t="inlineStr">
        <is>
          <t>NDTNN</t>
        </is>
      </c>
    </row>
    <row r="1204" ht="30" customHeight="1" s="380">
      <c r="B1204" s="4" t="inlineStr">
        <is>
          <t>BM031a_MSS</t>
        </is>
      </c>
      <c r="D1204" s="307" t="inlineStr">
        <is>
          <t>Giao dịch khối tự doanh KL bán khớp lệnh</t>
        </is>
      </c>
      <c r="F1204" s="4" t="inlineStr">
        <is>
          <t>Báo cáo</t>
        </is>
      </c>
      <c r="G1204" s="22" t="inlineStr">
        <is>
          <t>Chỉ tiêu phái sinh</t>
        </is>
      </c>
      <c r="H1204" s="4" t="inlineStr">
        <is>
          <t>Trùng</t>
        </is>
      </c>
      <c r="I1204" s="4" t="inlineStr">
        <is>
          <t>NDTNN</t>
        </is>
      </c>
    </row>
    <row r="1205" ht="30" customHeight="1" s="380">
      <c r="B1205" s="4" t="inlineStr">
        <is>
          <t>BM031a_MSS</t>
        </is>
      </c>
      <c r="D1205" s="307" t="inlineStr">
        <is>
          <t>Giao dịch khối tự doanh GT mua khớp lệnh</t>
        </is>
      </c>
      <c r="F1205" s="4" t="inlineStr">
        <is>
          <t>Báo cáo</t>
        </is>
      </c>
      <c r="G1205" s="22" t="inlineStr">
        <is>
          <t>Chỉ tiêu phái sinh</t>
        </is>
      </c>
      <c r="H1205" s="4" t="inlineStr">
        <is>
          <t>Trùng</t>
        </is>
      </c>
      <c r="I1205" s="4" t="inlineStr">
        <is>
          <t>NDTNN</t>
        </is>
      </c>
    </row>
    <row r="1206" ht="15" customHeight="1" s="380">
      <c r="B1206" s="4" t="inlineStr">
        <is>
          <t>BM031a_MSS</t>
        </is>
      </c>
      <c r="D1206" s="308" t="inlineStr">
        <is>
          <t>KL mua</t>
        </is>
      </c>
      <c r="F1206" s="4" t="inlineStr">
        <is>
          <t>Báo cáo</t>
        </is>
      </c>
      <c r="G1206" s="22" t="inlineStr">
        <is>
          <t>Chỉ tiêu phái sinh</t>
        </is>
      </c>
      <c r="H1206" s="4" t="inlineStr">
        <is>
          <t>Trùng</t>
        </is>
      </c>
      <c r="I1206" s="4" t="inlineStr">
        <is>
          <t>NDTNN</t>
        </is>
      </c>
    </row>
    <row r="1207" ht="15" customHeight="1" s="380">
      <c r="B1207" s="4" t="inlineStr">
        <is>
          <t>BM031a_MSS</t>
        </is>
      </c>
      <c r="D1207" s="308" t="inlineStr">
        <is>
          <t>Giá mua</t>
        </is>
      </c>
      <c r="F1207" s="4" t="inlineStr">
        <is>
          <t>Báo cáo</t>
        </is>
      </c>
      <c r="G1207" s="22" t="inlineStr">
        <is>
          <t>Chỉ tiêu phái sinh</t>
        </is>
      </c>
      <c r="H1207" s="4" t="inlineStr">
        <is>
          <t>Trùng</t>
        </is>
      </c>
      <c r="I1207" s="4" t="inlineStr">
        <is>
          <t>NDTNN</t>
        </is>
      </c>
    </row>
    <row r="1208" ht="30" customHeight="1" s="380">
      <c r="B1208" s="4" t="inlineStr">
        <is>
          <t>BM031a_MSS</t>
        </is>
      </c>
      <c r="D1208" s="307" t="inlineStr">
        <is>
          <t>Giao dịch khối tự doanh GT bán khớp lệnh</t>
        </is>
      </c>
      <c r="F1208" s="4" t="inlineStr">
        <is>
          <t>Báo cáo</t>
        </is>
      </c>
      <c r="G1208" s="22" t="inlineStr">
        <is>
          <t>Chỉ tiêu phái sinh</t>
        </is>
      </c>
      <c r="H1208" s="4" t="inlineStr">
        <is>
          <t>Trùng</t>
        </is>
      </c>
      <c r="I1208" s="4" t="inlineStr">
        <is>
          <t>NDTNN</t>
        </is>
      </c>
    </row>
    <row r="1209" ht="15" customHeight="1" s="380">
      <c r="B1209" s="4" t="inlineStr">
        <is>
          <t>BM031a_MSS</t>
        </is>
      </c>
      <c r="D1209" s="308" t="inlineStr">
        <is>
          <t>KL mua</t>
        </is>
      </c>
      <c r="F1209" s="4" t="inlineStr">
        <is>
          <t>Báo cáo</t>
        </is>
      </c>
      <c r="G1209" s="22" t="inlineStr">
        <is>
          <t>Chỉ tiêu phái sinh</t>
        </is>
      </c>
      <c r="H1209" s="4" t="inlineStr">
        <is>
          <t>Trùng</t>
        </is>
      </c>
      <c r="I1209" s="4" t="inlineStr">
        <is>
          <t>NDTNN</t>
        </is>
      </c>
    </row>
    <row r="1210" ht="15" customHeight="1" s="380">
      <c r="B1210" s="4" t="inlineStr">
        <is>
          <t>BM031a_MSS</t>
        </is>
      </c>
      <c r="D1210" s="308" t="inlineStr">
        <is>
          <t>Giá mua</t>
        </is>
      </c>
      <c r="F1210" s="4" t="inlineStr">
        <is>
          <t>Báo cáo</t>
        </is>
      </c>
      <c r="G1210" s="22" t="inlineStr">
        <is>
          <t>Chỉ tiêu phái sinh</t>
        </is>
      </c>
      <c r="H1210" s="4" t="inlineStr">
        <is>
          <t>Trùng</t>
        </is>
      </c>
      <c r="I1210" s="4" t="inlineStr">
        <is>
          <t>NDTNN</t>
        </is>
      </c>
    </row>
    <row r="1211" ht="15" customHeight="1" s="380">
      <c r="A1211" s="184" t="n"/>
      <c r="B1211" s="184" t="inlineStr">
        <is>
          <t>BM031b_MSS</t>
        </is>
      </c>
      <c r="C1211" s="318" t="n"/>
      <c r="D1211" s="306" t="inlineStr">
        <is>
          <t>Thời gian</t>
        </is>
      </c>
      <c r="E1211" s="184" t="n"/>
      <c r="F1211" s="4" t="inlineStr">
        <is>
          <t>Báo cáo</t>
        </is>
      </c>
      <c r="G1211" s="184" t="inlineStr">
        <is>
          <t>Chiều</t>
        </is>
      </c>
      <c r="H1211" s="184" t="n"/>
      <c r="I1211" s="184" t="n"/>
      <c r="J1211" s="184" t="n"/>
      <c r="K1211" s="184" t="n"/>
      <c r="L1211" s="184" t="n"/>
      <c r="M1211" s="184" t="n"/>
    </row>
    <row r="1212" ht="15" customHeight="1" s="380">
      <c r="B1212" s="4" t="inlineStr">
        <is>
          <t>BM031b_MSS</t>
        </is>
      </c>
      <c r="C1212" s="319" t="n"/>
      <c r="D1212" s="307" t="inlineStr">
        <is>
          <t>NĐTNN GD thông thường KL mua</t>
        </is>
      </c>
      <c r="F1212" s="4" t="inlineStr">
        <is>
          <t>Báo cáo</t>
        </is>
      </c>
      <c r="G1212" s="22" t="inlineStr">
        <is>
          <t>Chỉ tiêu phái sinh</t>
        </is>
      </c>
      <c r="H1212" s="4" t="inlineStr">
        <is>
          <t>TB</t>
        </is>
      </c>
    </row>
    <row r="1213" ht="15" customHeight="1" s="380">
      <c r="B1213" s="4" t="inlineStr">
        <is>
          <t>BM031b_MSS</t>
        </is>
      </c>
      <c r="C1213" s="319" t="n"/>
      <c r="D1213" s="307" t="inlineStr">
        <is>
          <t>NĐTNN GD thông thường KL bán</t>
        </is>
      </c>
      <c r="F1213" s="4" t="inlineStr">
        <is>
          <t>Báo cáo</t>
        </is>
      </c>
      <c r="G1213" s="22" t="inlineStr">
        <is>
          <t>Chỉ tiêu phái sinh</t>
        </is>
      </c>
      <c r="H1213" s="4" t="inlineStr">
        <is>
          <t>TB</t>
        </is>
      </c>
    </row>
    <row r="1214" ht="15" customHeight="1" s="380">
      <c r="B1214" s="4" t="inlineStr">
        <is>
          <t>BM031b_MSS</t>
        </is>
      </c>
      <c r="C1214" s="319" t="n"/>
      <c r="D1214" s="307" t="inlineStr">
        <is>
          <t>NĐTNN GD thông thường GT mua</t>
        </is>
      </c>
      <c r="F1214" s="4" t="inlineStr">
        <is>
          <t>Báo cáo</t>
        </is>
      </c>
      <c r="G1214" s="22" t="inlineStr">
        <is>
          <t>Chỉ tiêu phái sinh</t>
        </is>
      </c>
      <c r="H1214" s="4" t="inlineStr">
        <is>
          <t>TB</t>
        </is>
      </c>
    </row>
    <row r="1215" ht="15" customHeight="1" s="380">
      <c r="B1215" s="4" t="inlineStr">
        <is>
          <t>BM031b_MSS</t>
        </is>
      </c>
      <c r="C1215" s="319" t="n"/>
      <c r="D1215" s="307" t="inlineStr">
        <is>
          <t>NĐTNN GD thông thường GT bán</t>
        </is>
      </c>
      <c r="F1215" s="4" t="inlineStr">
        <is>
          <t>Báo cáo</t>
        </is>
      </c>
      <c r="G1215" s="22" t="inlineStr">
        <is>
          <t>Chỉ tiêu phái sinh</t>
        </is>
      </c>
      <c r="H1215" s="4" t="inlineStr">
        <is>
          <t>TB</t>
        </is>
      </c>
    </row>
    <row r="1216" ht="15" customHeight="1" s="380">
      <c r="B1216" s="4" t="inlineStr">
        <is>
          <t>BM031b_MSS</t>
        </is>
      </c>
      <c r="C1216" s="319" t="n"/>
      <c r="D1216" s="307" t="inlineStr">
        <is>
          <t>NĐTNN GD mua bán lại lần 1 KL mua</t>
        </is>
      </c>
      <c r="F1216" s="4" t="inlineStr">
        <is>
          <t>Báo cáo</t>
        </is>
      </c>
      <c r="G1216" s="22" t="inlineStr">
        <is>
          <t>Chỉ tiêu phái sinh</t>
        </is>
      </c>
      <c r="H1216" s="4" t="inlineStr">
        <is>
          <t>TB</t>
        </is>
      </c>
    </row>
    <row r="1217" ht="15" customHeight="1" s="380">
      <c r="B1217" s="4" t="inlineStr">
        <is>
          <t>BM031b_MSS</t>
        </is>
      </c>
      <c r="C1217" s="319" t="n"/>
      <c r="D1217" s="307" t="inlineStr">
        <is>
          <t>NĐTNN GD mua bán lại lần 1 KL bán</t>
        </is>
      </c>
      <c r="F1217" s="4" t="inlineStr">
        <is>
          <t>Báo cáo</t>
        </is>
      </c>
      <c r="G1217" s="22" t="inlineStr">
        <is>
          <t>Chỉ tiêu phái sinh</t>
        </is>
      </c>
      <c r="H1217" s="4" t="inlineStr">
        <is>
          <t>TB</t>
        </is>
      </c>
    </row>
    <row r="1218" ht="15" customHeight="1" s="380">
      <c r="B1218" s="4" t="inlineStr">
        <is>
          <t>BM031b_MSS</t>
        </is>
      </c>
      <c r="C1218" s="319" t="n"/>
      <c r="D1218" s="307" t="inlineStr">
        <is>
          <t>NĐTNN GD mua bán lại lần 1 GT mua</t>
        </is>
      </c>
      <c r="F1218" s="4" t="inlineStr">
        <is>
          <t>Báo cáo</t>
        </is>
      </c>
      <c r="G1218" s="22" t="inlineStr">
        <is>
          <t>Chỉ tiêu phái sinh</t>
        </is>
      </c>
      <c r="H1218" s="4" t="inlineStr">
        <is>
          <t>TB</t>
        </is>
      </c>
    </row>
    <row r="1219" ht="15" customHeight="1" s="380">
      <c r="B1219" s="4" t="inlineStr">
        <is>
          <t>BM031b_MSS</t>
        </is>
      </c>
      <c r="C1219" s="319" t="n"/>
      <c r="D1219" s="307" t="inlineStr">
        <is>
          <t>NĐTNN GD mua bán lại lần 1 GT bán</t>
        </is>
      </c>
      <c r="F1219" s="4" t="inlineStr">
        <is>
          <t>Báo cáo</t>
        </is>
      </c>
      <c r="G1219" s="22" t="inlineStr">
        <is>
          <t>Chỉ tiêu phái sinh</t>
        </is>
      </c>
      <c r="H1219" s="4" t="inlineStr">
        <is>
          <t>TB</t>
        </is>
      </c>
    </row>
    <row r="1220" ht="15" customHeight="1" s="380">
      <c r="B1220" s="4" t="inlineStr">
        <is>
          <t>BM031b_MSS</t>
        </is>
      </c>
      <c r="C1220" s="319" t="n"/>
      <c r="D1220" s="307" t="inlineStr">
        <is>
          <t>NĐTNN GD mua bán lại lần 2 KL mua</t>
        </is>
      </c>
      <c r="F1220" s="4" t="inlineStr">
        <is>
          <t>Báo cáo</t>
        </is>
      </c>
      <c r="G1220" s="22" t="inlineStr">
        <is>
          <t>Chỉ tiêu phái sinh</t>
        </is>
      </c>
      <c r="H1220" s="4" t="inlineStr">
        <is>
          <t>TB</t>
        </is>
      </c>
    </row>
    <row r="1221" ht="15" customHeight="1" s="380">
      <c r="B1221" s="4" t="inlineStr">
        <is>
          <t>BM031b_MSS</t>
        </is>
      </c>
      <c r="C1221" s="319" t="n"/>
      <c r="D1221" s="307" t="inlineStr">
        <is>
          <t>NĐTNN GD mua bán lại lần 2 KL bán</t>
        </is>
      </c>
      <c r="F1221" s="4" t="inlineStr">
        <is>
          <t>Báo cáo</t>
        </is>
      </c>
      <c r="G1221" s="22" t="inlineStr">
        <is>
          <t>Chỉ tiêu phái sinh</t>
        </is>
      </c>
      <c r="H1221" s="4" t="inlineStr">
        <is>
          <t>TB</t>
        </is>
      </c>
    </row>
    <row r="1222" ht="15" customHeight="1" s="380">
      <c r="B1222" s="4" t="inlineStr">
        <is>
          <t>BM031b_MSS</t>
        </is>
      </c>
      <c r="C1222" s="319" t="n"/>
      <c r="D1222" s="307" t="inlineStr">
        <is>
          <t>NĐTNN GD mua bán lại lần 2 GT mua</t>
        </is>
      </c>
      <c r="F1222" s="4" t="inlineStr">
        <is>
          <t>Báo cáo</t>
        </is>
      </c>
      <c r="G1222" s="22" t="inlineStr">
        <is>
          <t>Chỉ tiêu phái sinh</t>
        </is>
      </c>
      <c r="H1222" s="4" t="inlineStr">
        <is>
          <t>TB</t>
        </is>
      </c>
    </row>
    <row r="1223" ht="15" customHeight="1" s="380">
      <c r="B1223" s="4" t="inlineStr">
        <is>
          <t>BM031b_MSS</t>
        </is>
      </c>
      <c r="C1223" s="319" t="n"/>
      <c r="D1223" s="307" t="inlineStr">
        <is>
          <t>NĐTNN GD mua bán lại lần 2 GT bán</t>
        </is>
      </c>
      <c r="F1223" s="4" t="inlineStr">
        <is>
          <t>Báo cáo</t>
        </is>
      </c>
      <c r="G1223" s="22" t="inlineStr">
        <is>
          <t>Chỉ tiêu phái sinh</t>
        </is>
      </c>
      <c r="H1223" s="4" t="inlineStr">
        <is>
          <t>TB</t>
        </is>
      </c>
    </row>
    <row r="1224" ht="30" customHeight="1" s="380">
      <c r="B1224" s="4" t="inlineStr">
        <is>
          <t>BM031b_MSS</t>
        </is>
      </c>
      <c r="C1224" s="319" t="n"/>
      <c r="D1224" s="307" t="inlineStr">
        <is>
          <t>Giao dịch khối tự doanh GD thông thường KL mua</t>
        </is>
      </c>
      <c r="F1224" s="4" t="inlineStr">
        <is>
          <t>Báo cáo</t>
        </is>
      </c>
      <c r="G1224" s="22" t="inlineStr">
        <is>
          <t>Chỉ tiêu phái sinh</t>
        </is>
      </c>
      <c r="H1224" s="4" t="inlineStr">
        <is>
          <t>TB</t>
        </is>
      </c>
    </row>
    <row r="1225" ht="30" customHeight="1" s="380">
      <c r="B1225" s="4" t="inlineStr">
        <is>
          <t>BM031b_MSS</t>
        </is>
      </c>
      <c r="C1225" s="319" t="n"/>
      <c r="D1225" s="307" t="inlineStr">
        <is>
          <t>Giao dịch khối tự doanh GD thông thường KL bán</t>
        </is>
      </c>
      <c r="F1225" s="4" t="inlineStr">
        <is>
          <t>Báo cáo</t>
        </is>
      </c>
      <c r="G1225" s="22" t="inlineStr">
        <is>
          <t>Chỉ tiêu phái sinh</t>
        </is>
      </c>
      <c r="H1225" s="4" t="inlineStr">
        <is>
          <t>TB</t>
        </is>
      </c>
    </row>
    <row r="1226" ht="30" customHeight="1" s="380">
      <c r="B1226" s="4" t="inlineStr">
        <is>
          <t>BM031b_MSS</t>
        </is>
      </c>
      <c r="C1226" s="319" t="n"/>
      <c r="D1226" s="307" t="inlineStr">
        <is>
          <t>Giao dịch khối tự doanh GD thông thường GT mua</t>
        </is>
      </c>
      <c r="F1226" s="4" t="inlineStr">
        <is>
          <t>Báo cáo</t>
        </is>
      </c>
      <c r="G1226" s="22" t="inlineStr">
        <is>
          <t>Chỉ tiêu phái sinh</t>
        </is>
      </c>
      <c r="H1226" s="4" t="inlineStr">
        <is>
          <t>TB</t>
        </is>
      </c>
    </row>
    <row r="1227" ht="30" customHeight="1" s="380">
      <c r="B1227" s="4" t="inlineStr">
        <is>
          <t>BM031b_MSS</t>
        </is>
      </c>
      <c r="C1227" s="319" t="n"/>
      <c r="D1227" s="307" t="inlineStr">
        <is>
          <t>Giao dịch khối tự doanh GD thông thường GT bán</t>
        </is>
      </c>
      <c r="F1227" s="4" t="inlineStr">
        <is>
          <t>Báo cáo</t>
        </is>
      </c>
      <c r="G1227" s="22" t="inlineStr">
        <is>
          <t>Chỉ tiêu phái sinh</t>
        </is>
      </c>
      <c r="H1227" s="4" t="inlineStr">
        <is>
          <t>TB</t>
        </is>
      </c>
    </row>
    <row r="1228" ht="15" customHeight="1" s="380">
      <c r="B1228" s="4" t="inlineStr">
        <is>
          <t>BM031b_MSS</t>
        </is>
      </c>
      <c r="C1228" s="319" t="n"/>
      <c r="D1228" s="307" t="inlineStr">
        <is>
          <t>GD mua bán lại lần 1 KL mua</t>
        </is>
      </c>
      <c r="F1228" s="4" t="inlineStr">
        <is>
          <t>Báo cáo</t>
        </is>
      </c>
      <c r="G1228" s="22" t="inlineStr">
        <is>
          <t>Chỉ tiêu phái sinh</t>
        </is>
      </c>
      <c r="H1228" s="4" t="inlineStr">
        <is>
          <t>TB</t>
        </is>
      </c>
    </row>
    <row r="1229" ht="15" customHeight="1" s="380">
      <c r="B1229" s="4" t="inlineStr">
        <is>
          <t>BM031b_MSS</t>
        </is>
      </c>
      <c r="C1229" s="319" t="n"/>
      <c r="D1229" s="307" t="inlineStr">
        <is>
          <t>GD mua bán lại lần 1 KL bán</t>
        </is>
      </c>
      <c r="F1229" s="4" t="inlineStr">
        <is>
          <t>Báo cáo</t>
        </is>
      </c>
      <c r="G1229" s="22" t="inlineStr">
        <is>
          <t>Chỉ tiêu phái sinh</t>
        </is>
      </c>
      <c r="H1229" s="4" t="inlineStr">
        <is>
          <t>TB</t>
        </is>
      </c>
    </row>
    <row r="1230" ht="15" customHeight="1" s="380">
      <c r="B1230" s="4" t="inlineStr">
        <is>
          <t>BM031b_MSS</t>
        </is>
      </c>
      <c r="C1230" s="319" t="n"/>
      <c r="D1230" s="307" t="inlineStr">
        <is>
          <t>GD mua bán lại lần 1 GT mua</t>
        </is>
      </c>
      <c r="F1230" s="4" t="inlineStr">
        <is>
          <t>Báo cáo</t>
        </is>
      </c>
      <c r="G1230" s="22" t="inlineStr">
        <is>
          <t>Chỉ tiêu phái sinh</t>
        </is>
      </c>
      <c r="H1230" s="4" t="inlineStr">
        <is>
          <t>TB</t>
        </is>
      </c>
    </row>
    <row r="1231" ht="15" customHeight="1" s="380">
      <c r="B1231" s="4" t="inlineStr">
        <is>
          <t>BM031b_MSS</t>
        </is>
      </c>
      <c r="C1231" s="319" t="n"/>
      <c r="D1231" s="307" t="inlineStr">
        <is>
          <t>GD mua bán lại lần 1 GT bán</t>
        </is>
      </c>
      <c r="F1231" s="4" t="inlineStr">
        <is>
          <t>Báo cáo</t>
        </is>
      </c>
      <c r="G1231" s="22" t="inlineStr">
        <is>
          <t>Chỉ tiêu phái sinh</t>
        </is>
      </c>
      <c r="H1231" s="4" t="inlineStr">
        <is>
          <t>TB</t>
        </is>
      </c>
    </row>
    <row r="1232" ht="15" customHeight="1" s="380">
      <c r="B1232" s="4" t="inlineStr">
        <is>
          <t>BM031b_MSS</t>
        </is>
      </c>
      <c r="C1232" s="319" t="n"/>
      <c r="D1232" s="307" t="inlineStr">
        <is>
          <t>GD mua bán lại lần 2 KL mua</t>
        </is>
      </c>
      <c r="F1232" s="4" t="inlineStr">
        <is>
          <t>Báo cáo</t>
        </is>
      </c>
      <c r="G1232" s="22" t="inlineStr">
        <is>
          <t>Chỉ tiêu phái sinh</t>
        </is>
      </c>
      <c r="H1232" s="4" t="inlineStr">
        <is>
          <t>TB</t>
        </is>
      </c>
    </row>
    <row r="1233" ht="15" customHeight="1" s="380">
      <c r="B1233" s="4" t="inlineStr">
        <is>
          <t>BM031b_MSS</t>
        </is>
      </c>
      <c r="C1233" s="319" t="n"/>
      <c r="D1233" s="307" t="inlineStr">
        <is>
          <t>GD mua bán lại lần 2 KL bán</t>
        </is>
      </c>
      <c r="F1233" s="4" t="inlineStr">
        <is>
          <t>Báo cáo</t>
        </is>
      </c>
      <c r="G1233" s="22" t="inlineStr">
        <is>
          <t>Chỉ tiêu phái sinh</t>
        </is>
      </c>
      <c r="H1233" s="4" t="inlineStr">
        <is>
          <t>TB</t>
        </is>
      </c>
    </row>
    <row r="1234" ht="15" customHeight="1" s="380">
      <c r="B1234" s="4" t="inlineStr">
        <is>
          <t>BM031b_MSS</t>
        </is>
      </c>
      <c r="C1234" s="319" t="n"/>
      <c r="D1234" s="307" t="inlineStr">
        <is>
          <t>GD mua bán lại lần 2 GT mua</t>
        </is>
      </c>
      <c r="F1234" s="4" t="inlineStr">
        <is>
          <t>Báo cáo</t>
        </is>
      </c>
      <c r="G1234" s="22" t="inlineStr">
        <is>
          <t>Chỉ tiêu phái sinh</t>
        </is>
      </c>
      <c r="H1234" s="4" t="inlineStr">
        <is>
          <t>TB</t>
        </is>
      </c>
    </row>
    <row r="1235" ht="15" customHeight="1" s="380">
      <c r="B1235" s="4" t="inlineStr">
        <is>
          <t>BM031b_MSS</t>
        </is>
      </c>
      <c r="C1235" s="319" t="n"/>
      <c r="D1235" s="307" t="inlineStr">
        <is>
          <t>GD mua bán lại lần 2 GT bán</t>
        </is>
      </c>
      <c r="F1235" s="4" t="inlineStr">
        <is>
          <t>Báo cáo</t>
        </is>
      </c>
      <c r="G1235" s="22" t="inlineStr">
        <is>
          <t>Chỉ tiêu phái sinh</t>
        </is>
      </c>
      <c r="H1235" s="4" t="inlineStr">
        <is>
          <t>TB</t>
        </is>
      </c>
    </row>
    <row r="1236" ht="16" customHeight="1" s="380">
      <c r="A1236" s="184" t="n"/>
      <c r="B1236" s="184" t="inlineStr">
        <is>
          <t>BM031C_MSS</t>
        </is>
      </c>
      <c r="C1236" s="320" t="n"/>
      <c r="D1236" s="321" t="inlineStr">
        <is>
          <t>Thời gian</t>
        </is>
      </c>
      <c r="E1236" s="184" t="n"/>
      <c r="F1236" s="4" t="inlineStr">
        <is>
          <t>Báo cáo</t>
        </is>
      </c>
      <c r="G1236" s="184" t="inlineStr">
        <is>
          <t>Chiều</t>
        </is>
      </c>
      <c r="H1236" s="184" t="n"/>
      <c r="I1236" s="184" t="n"/>
      <c r="J1236" s="184" t="n"/>
      <c r="K1236" s="184" t="n"/>
      <c r="L1236" s="184" t="n"/>
      <c r="M1236" s="184" t="n"/>
    </row>
    <row r="1237" ht="16" customHeight="1" s="380">
      <c r="B1237" s="4" t="inlineStr">
        <is>
          <t>BM031C_MSS</t>
        </is>
      </c>
      <c r="C1237" s="216" t="n"/>
      <c r="D1237" s="218" t="inlineStr">
        <is>
          <t>GD NĐTNN KL mua</t>
        </is>
      </c>
      <c r="F1237" s="4" t="inlineStr">
        <is>
          <t>Báo cáo</t>
        </is>
      </c>
      <c r="G1237" s="22" t="inlineStr">
        <is>
          <t>Chỉ tiêu phái sinh</t>
        </is>
      </c>
      <c r="H1237" s="4" t="inlineStr">
        <is>
          <t>TB</t>
        </is>
      </c>
    </row>
    <row r="1238" ht="16" customHeight="1" s="380">
      <c r="B1238" s="4" t="inlineStr">
        <is>
          <t>BM031C_MSS</t>
        </is>
      </c>
      <c r="C1238" s="216" t="n"/>
      <c r="D1238" s="218" t="inlineStr">
        <is>
          <t>GD NĐTNN KL bán</t>
        </is>
      </c>
      <c r="F1238" s="4" t="inlineStr">
        <is>
          <t>Báo cáo</t>
        </is>
      </c>
      <c r="G1238" s="22" t="inlineStr">
        <is>
          <t>Chỉ tiêu phái sinh</t>
        </is>
      </c>
      <c r="H1238" s="4" t="inlineStr">
        <is>
          <t>TB</t>
        </is>
      </c>
    </row>
    <row r="1239" ht="16" customHeight="1" s="380">
      <c r="B1239" s="4" t="inlineStr">
        <is>
          <t>BM031C_MSS</t>
        </is>
      </c>
      <c r="C1239" s="216" t="n"/>
      <c r="D1239" s="218" t="inlineStr">
        <is>
          <t>GD NĐTNN GT mua</t>
        </is>
      </c>
      <c r="F1239" s="4" t="inlineStr">
        <is>
          <t>Báo cáo</t>
        </is>
      </c>
      <c r="G1239" s="22" t="inlineStr">
        <is>
          <t>Chỉ tiêu phái sinh</t>
        </is>
      </c>
      <c r="H1239" s="4" t="inlineStr">
        <is>
          <t>TB</t>
        </is>
      </c>
    </row>
    <row r="1240" ht="16" customHeight="1" s="380">
      <c r="B1240" s="4" t="inlineStr">
        <is>
          <t>BM031C_MSS</t>
        </is>
      </c>
      <c r="C1240" s="216" t="n"/>
      <c r="D1240" s="218" t="inlineStr">
        <is>
          <t>GD NĐTNN GT bán</t>
        </is>
      </c>
      <c r="F1240" s="4" t="inlineStr">
        <is>
          <t>Báo cáo</t>
        </is>
      </c>
      <c r="G1240" s="22" t="inlineStr">
        <is>
          <t>Chỉ tiêu phái sinh</t>
        </is>
      </c>
      <c r="H1240" s="4" t="inlineStr">
        <is>
          <t>TB</t>
        </is>
      </c>
    </row>
    <row r="1241" ht="16" customHeight="1" s="380">
      <c r="B1241" s="4" t="inlineStr">
        <is>
          <t>BM031C_MSS</t>
        </is>
      </c>
      <c r="C1241" s="216" t="n"/>
      <c r="D1241" s="218" t="inlineStr">
        <is>
          <t>GD tự doanh KL mua</t>
        </is>
      </c>
      <c r="F1241" s="4" t="inlineStr">
        <is>
          <t>Báo cáo</t>
        </is>
      </c>
      <c r="G1241" s="22" t="inlineStr">
        <is>
          <t>Chỉ tiêu phái sinh</t>
        </is>
      </c>
      <c r="H1241" s="4" t="inlineStr">
        <is>
          <t>TB</t>
        </is>
      </c>
    </row>
    <row r="1242" ht="16" customHeight="1" s="380">
      <c r="B1242" s="4" t="inlineStr">
        <is>
          <t>BM031C_MSS</t>
        </is>
      </c>
      <c r="C1242" s="216" t="n"/>
      <c r="D1242" s="218" t="inlineStr">
        <is>
          <t>GD tự doanh KL bán</t>
        </is>
      </c>
      <c r="F1242" s="4" t="inlineStr">
        <is>
          <t>Báo cáo</t>
        </is>
      </c>
      <c r="G1242" s="22" t="inlineStr">
        <is>
          <t>Chỉ tiêu phái sinh</t>
        </is>
      </c>
      <c r="H1242" s="4" t="inlineStr">
        <is>
          <t>TB</t>
        </is>
      </c>
    </row>
    <row r="1243" ht="16" customHeight="1" s="380">
      <c r="B1243" s="4" t="inlineStr">
        <is>
          <t>BM031C_MSS</t>
        </is>
      </c>
      <c r="C1243" s="216" t="n"/>
      <c r="D1243" s="218" t="inlineStr">
        <is>
          <t>GD tự doanh GT mua</t>
        </is>
      </c>
      <c r="F1243" s="4" t="inlineStr">
        <is>
          <t>Báo cáo</t>
        </is>
      </c>
      <c r="G1243" s="22" t="inlineStr">
        <is>
          <t>Chỉ tiêu phái sinh</t>
        </is>
      </c>
      <c r="H1243" s="4" t="inlineStr">
        <is>
          <t>TB</t>
        </is>
      </c>
    </row>
    <row r="1244" ht="16" customHeight="1" s="380">
      <c r="B1244" s="4" t="inlineStr">
        <is>
          <t>BM031C_MSS</t>
        </is>
      </c>
      <c r="C1244" s="216" t="n"/>
      <c r="D1244" s="218" t="inlineStr">
        <is>
          <t>GD tự doanh GT bán</t>
        </is>
      </c>
      <c r="F1244" s="4" t="inlineStr">
        <is>
          <t>Báo cáo</t>
        </is>
      </c>
      <c r="G1244" s="22" t="inlineStr">
        <is>
          <t>Chỉ tiêu phái sinh</t>
        </is>
      </c>
      <c r="H1244" s="4" t="inlineStr">
        <is>
          <t>TB</t>
        </is>
      </c>
    </row>
    <row r="1245" ht="14" customHeight="1" s="380">
      <c r="A1245" s="184" t="n"/>
      <c r="B1245" s="184" t="inlineStr">
        <is>
          <t>BM031C_MSS</t>
        </is>
      </c>
      <c r="C1245" s="184" t="n"/>
      <c r="D1245" s="202" t="inlineStr">
        <is>
          <t>Thời gian</t>
        </is>
      </c>
      <c r="E1245" s="184" t="n"/>
      <c r="F1245" s="4" t="inlineStr">
        <is>
          <t>Báo cáo</t>
        </is>
      </c>
      <c r="G1245" s="184" t="inlineStr">
        <is>
          <t>Chiều</t>
        </is>
      </c>
      <c r="H1245" s="184" t="n"/>
      <c r="I1245" s="184" t="n"/>
      <c r="J1245" s="184" t="n"/>
      <c r="K1245" s="184" t="n"/>
      <c r="L1245" s="184" t="n"/>
      <c r="M1245" s="184" t="n"/>
    </row>
    <row r="1246" ht="14" customHeight="1" s="380">
      <c r="B1246" s="4" t="inlineStr">
        <is>
          <t>BM031d_MSS</t>
        </is>
      </c>
      <c r="C1246" s="4" t="n"/>
      <c r="D1246" s="17" t="inlineStr">
        <is>
          <t xml:space="preserve">GDNĐTNN </t>
        </is>
      </c>
      <c r="F1246" s="4" t="inlineStr">
        <is>
          <t>Báo cáo</t>
        </is>
      </c>
      <c r="G1246" s="4" t="inlineStr">
        <is>
          <t>Chiều</t>
        </is>
      </c>
    </row>
    <row r="1247" ht="14" customHeight="1" s="380">
      <c r="B1247" s="4" t="inlineStr">
        <is>
          <t>BM031d_MSS</t>
        </is>
      </c>
      <c r="C1247" s="4" t="n"/>
      <c r="D1247" s="17" t="inlineStr">
        <is>
          <t>GDNĐTNN CCQ KL mua Khớp lệnh</t>
        </is>
      </c>
      <c r="F1247" s="4" t="inlineStr">
        <is>
          <t>Báo cáo</t>
        </is>
      </c>
      <c r="G1247" s="22" t="inlineStr">
        <is>
          <t>Chỉ tiêu phái sinh</t>
        </is>
      </c>
      <c r="H1247" s="4" t="inlineStr">
        <is>
          <t>TB</t>
        </is>
      </c>
    </row>
    <row r="1248" ht="14" customHeight="1" s="380">
      <c r="B1248" s="4" t="inlineStr">
        <is>
          <t>BM031d_MSS</t>
        </is>
      </c>
      <c r="C1248" s="4" t="n"/>
      <c r="D1248" s="17" t="inlineStr">
        <is>
          <t>GDNĐTNN CCQ KL bán KL</t>
        </is>
      </c>
      <c r="F1248" s="4" t="inlineStr">
        <is>
          <t>Báo cáo</t>
        </is>
      </c>
      <c r="G1248" s="22" t="inlineStr">
        <is>
          <t>Chỉ tiêu phái sinh</t>
        </is>
      </c>
      <c r="H1248" s="4" t="inlineStr">
        <is>
          <t>TB</t>
        </is>
      </c>
    </row>
    <row r="1249" ht="14" customHeight="1" s="380">
      <c r="B1249" s="4" t="inlineStr">
        <is>
          <t>BM031d_MSS</t>
        </is>
      </c>
      <c r="C1249" s="4" t="n"/>
      <c r="D1249" s="17" t="inlineStr">
        <is>
          <t>GDNĐTNN CCQ GT mua KL</t>
        </is>
      </c>
      <c r="F1249" s="4" t="inlineStr">
        <is>
          <t>Báo cáo</t>
        </is>
      </c>
      <c r="G1249" s="22" t="inlineStr">
        <is>
          <t>Chỉ tiêu phái sinh</t>
        </is>
      </c>
      <c r="H1249" s="4" t="inlineStr">
        <is>
          <t>TB</t>
        </is>
      </c>
    </row>
    <row r="1250" ht="14" customHeight="1" s="380">
      <c r="B1250" s="4" t="inlineStr">
        <is>
          <t>BM031d_MSS</t>
        </is>
      </c>
      <c r="C1250" s="4" t="n"/>
      <c r="D1250" s="17" t="inlineStr">
        <is>
          <t>GDNĐTNN CCQ GT bán KL</t>
        </is>
      </c>
      <c r="F1250" s="4" t="inlineStr">
        <is>
          <t>Báo cáo</t>
        </is>
      </c>
      <c r="G1250" s="22" t="inlineStr">
        <is>
          <t>Chỉ tiêu phái sinh</t>
        </is>
      </c>
      <c r="H1250" s="4" t="inlineStr">
        <is>
          <t>TB</t>
        </is>
      </c>
    </row>
    <row r="1251" ht="14" customHeight="1" s="380">
      <c r="B1251" s="4" t="inlineStr">
        <is>
          <t>BM031d_MSS</t>
        </is>
      </c>
      <c r="C1251" s="4" t="n"/>
      <c r="D1251" s="17" t="inlineStr">
        <is>
          <t>GDNĐTNN CCQ KL mua TT (thỏa thuận)</t>
        </is>
      </c>
      <c r="F1251" s="4" t="inlineStr">
        <is>
          <t>Báo cáo</t>
        </is>
      </c>
      <c r="G1251" s="22" t="inlineStr">
        <is>
          <t>Chỉ tiêu phái sinh</t>
        </is>
      </c>
      <c r="H1251" s="4" t="inlineStr">
        <is>
          <t>TB</t>
        </is>
      </c>
    </row>
    <row r="1252" ht="14" customHeight="1" s="380">
      <c r="B1252" s="4" t="inlineStr">
        <is>
          <t>BM031d_MSS</t>
        </is>
      </c>
      <c r="C1252" s="4" t="n"/>
      <c r="D1252" s="17" t="inlineStr">
        <is>
          <t>GDNĐTNN CCQ KL bán TT</t>
        </is>
      </c>
      <c r="F1252" s="4" t="inlineStr">
        <is>
          <t>Báo cáo</t>
        </is>
      </c>
      <c r="G1252" s="22" t="inlineStr">
        <is>
          <t>Chỉ tiêu phái sinh</t>
        </is>
      </c>
      <c r="H1252" s="4" t="inlineStr">
        <is>
          <t>TB</t>
        </is>
      </c>
    </row>
    <row r="1253" ht="14" customHeight="1" s="380">
      <c r="B1253" s="4" t="inlineStr">
        <is>
          <t>BM031d_MSS</t>
        </is>
      </c>
      <c r="C1253" s="4" t="n"/>
      <c r="D1253" s="17" t="inlineStr">
        <is>
          <t>GDNĐTNN CCQ GT mua TT</t>
        </is>
      </c>
      <c r="F1253" s="4" t="inlineStr">
        <is>
          <t>Báo cáo</t>
        </is>
      </c>
      <c r="G1253" s="22" t="inlineStr">
        <is>
          <t>Chỉ tiêu phái sinh</t>
        </is>
      </c>
      <c r="H1253" s="4" t="inlineStr">
        <is>
          <t>TB</t>
        </is>
      </c>
    </row>
    <row r="1254" ht="14" customHeight="1" s="380">
      <c r="B1254" s="4" t="inlineStr">
        <is>
          <t>BM031d_MSS</t>
        </is>
      </c>
      <c r="C1254" s="4" t="n"/>
      <c r="D1254" s="17" t="inlineStr">
        <is>
          <t>GDNĐTNN CCQ GT bán TT</t>
        </is>
      </c>
      <c r="F1254" s="4" t="inlineStr">
        <is>
          <t>Báo cáo</t>
        </is>
      </c>
      <c r="G1254" s="22" t="inlineStr">
        <is>
          <t>Chỉ tiêu phái sinh</t>
        </is>
      </c>
      <c r="H1254" s="4" t="inlineStr">
        <is>
          <t>TB</t>
        </is>
      </c>
    </row>
    <row r="1255" ht="14" customHeight="1" s="380">
      <c r="B1255" s="4" t="inlineStr">
        <is>
          <t>BM031d_MSS</t>
        </is>
      </c>
      <c r="C1255" s="4" t="n"/>
      <c r="D1255" s="17" t="inlineStr">
        <is>
          <t>GDNĐTNN ETF KL mua Khớp lệnh</t>
        </is>
      </c>
      <c r="F1255" s="4" t="inlineStr">
        <is>
          <t>Báo cáo</t>
        </is>
      </c>
      <c r="G1255" s="22" t="inlineStr">
        <is>
          <t>Chỉ tiêu phái sinh</t>
        </is>
      </c>
      <c r="H1255" s="4" t="inlineStr">
        <is>
          <t>TB</t>
        </is>
      </c>
    </row>
    <row r="1256" ht="14" customHeight="1" s="380">
      <c r="B1256" s="4" t="inlineStr">
        <is>
          <t>BM031d_MSS</t>
        </is>
      </c>
      <c r="C1256" s="4" t="n"/>
      <c r="D1256" s="17" t="inlineStr">
        <is>
          <t>GDNĐTNN ETF KL bán KL</t>
        </is>
      </c>
      <c r="F1256" s="4" t="inlineStr">
        <is>
          <t>Báo cáo</t>
        </is>
      </c>
      <c r="G1256" s="22" t="inlineStr">
        <is>
          <t>Chỉ tiêu phái sinh</t>
        </is>
      </c>
      <c r="H1256" s="4" t="inlineStr">
        <is>
          <t>TB</t>
        </is>
      </c>
    </row>
    <row r="1257" ht="14" customHeight="1" s="380">
      <c r="B1257" s="4" t="inlineStr">
        <is>
          <t>BM031d_MSS</t>
        </is>
      </c>
      <c r="C1257" s="4" t="n"/>
      <c r="D1257" s="17" t="inlineStr">
        <is>
          <t>GDNĐTNN ETF GT mua KL</t>
        </is>
      </c>
      <c r="F1257" s="4" t="inlineStr">
        <is>
          <t>Báo cáo</t>
        </is>
      </c>
      <c r="G1257" s="22" t="inlineStr">
        <is>
          <t>Chỉ tiêu phái sinh</t>
        </is>
      </c>
      <c r="H1257" s="4" t="inlineStr">
        <is>
          <t>TB</t>
        </is>
      </c>
    </row>
    <row r="1258" ht="14" customHeight="1" s="380">
      <c r="B1258" s="4" t="inlineStr">
        <is>
          <t>BM031d_MSS</t>
        </is>
      </c>
      <c r="C1258" s="4" t="n"/>
      <c r="D1258" s="17" t="inlineStr">
        <is>
          <t>GDNĐTNN ETF GT bán KL</t>
        </is>
      </c>
      <c r="F1258" s="4" t="inlineStr">
        <is>
          <t>Báo cáo</t>
        </is>
      </c>
      <c r="G1258" s="22" t="inlineStr">
        <is>
          <t>Chỉ tiêu phái sinh</t>
        </is>
      </c>
      <c r="H1258" s="4" t="inlineStr">
        <is>
          <t>TB</t>
        </is>
      </c>
    </row>
    <row r="1259" ht="14" customHeight="1" s="380">
      <c r="B1259" s="4" t="inlineStr">
        <is>
          <t>BM031d_MSS</t>
        </is>
      </c>
      <c r="C1259" s="4" t="n"/>
      <c r="D1259" s="17" t="inlineStr">
        <is>
          <t>GDNĐTNN ETF KL mua TT (thỏa thuận)</t>
        </is>
      </c>
      <c r="F1259" s="4" t="inlineStr">
        <is>
          <t>Báo cáo</t>
        </is>
      </c>
      <c r="G1259" s="22" t="inlineStr">
        <is>
          <t>Chỉ tiêu phái sinh</t>
        </is>
      </c>
      <c r="H1259" s="4" t="inlineStr">
        <is>
          <t>TB</t>
        </is>
      </c>
    </row>
    <row r="1260" ht="14" customHeight="1" s="380">
      <c r="B1260" s="4" t="inlineStr">
        <is>
          <t>BM031d_MSS</t>
        </is>
      </c>
      <c r="C1260" s="4" t="n"/>
      <c r="D1260" s="17" t="inlineStr">
        <is>
          <t>GDNĐTNN ETF KL bán TT</t>
        </is>
      </c>
      <c r="F1260" s="4" t="inlineStr">
        <is>
          <t>Báo cáo</t>
        </is>
      </c>
      <c r="G1260" s="22" t="inlineStr">
        <is>
          <t>Chỉ tiêu phái sinh</t>
        </is>
      </c>
      <c r="H1260" s="4" t="inlineStr">
        <is>
          <t>TB</t>
        </is>
      </c>
    </row>
    <row r="1261" ht="14" customHeight="1" s="380">
      <c r="B1261" s="4" t="inlineStr">
        <is>
          <t>BM031d_MSS</t>
        </is>
      </c>
      <c r="C1261" s="4" t="n"/>
      <c r="D1261" s="17" t="inlineStr">
        <is>
          <t>GDNĐTNN ETF GT mua TT</t>
        </is>
      </c>
      <c r="F1261" s="4" t="inlineStr">
        <is>
          <t>Báo cáo</t>
        </is>
      </c>
      <c r="G1261" s="22" t="inlineStr">
        <is>
          <t>Chỉ tiêu phái sinh</t>
        </is>
      </c>
      <c r="H1261" s="4" t="inlineStr">
        <is>
          <t>TB</t>
        </is>
      </c>
    </row>
    <row r="1262" ht="14" customHeight="1" s="380">
      <c r="B1262" s="4" t="inlineStr">
        <is>
          <t>BM031d_MSS</t>
        </is>
      </c>
      <c r="C1262" s="4" t="n"/>
      <c r="D1262" s="17" t="inlineStr">
        <is>
          <t>GDNĐTNN ETF GT bán TT</t>
        </is>
      </c>
      <c r="F1262" s="4" t="inlineStr">
        <is>
          <t>Báo cáo</t>
        </is>
      </c>
      <c r="G1262" s="22" t="inlineStr">
        <is>
          <t>Chỉ tiêu phái sinh</t>
        </is>
      </c>
      <c r="H1262" s="4" t="inlineStr">
        <is>
          <t>TB</t>
        </is>
      </c>
    </row>
    <row r="1263" ht="14" customHeight="1" s="380">
      <c r="B1263" s="4" t="inlineStr">
        <is>
          <t>BM031d_MSS</t>
        </is>
      </c>
      <c r="C1263" s="4" t="n"/>
      <c r="D1263" s="17" t="inlineStr">
        <is>
          <t>GDNĐTNN CW KL mua Khớp lệnh</t>
        </is>
      </c>
      <c r="F1263" s="4" t="inlineStr">
        <is>
          <t>Báo cáo</t>
        </is>
      </c>
      <c r="G1263" s="22" t="inlineStr">
        <is>
          <t>Chỉ tiêu phái sinh</t>
        </is>
      </c>
      <c r="H1263" s="4" t="inlineStr">
        <is>
          <t>TB</t>
        </is>
      </c>
    </row>
    <row r="1264" ht="14" customHeight="1" s="380">
      <c r="B1264" s="4" t="inlineStr">
        <is>
          <t>BM031d_MSS</t>
        </is>
      </c>
      <c r="C1264" s="4" t="n"/>
      <c r="D1264" s="17" t="inlineStr">
        <is>
          <t>GDNĐTNN CW KL bán KL</t>
        </is>
      </c>
      <c r="F1264" s="4" t="inlineStr">
        <is>
          <t>Báo cáo</t>
        </is>
      </c>
      <c r="G1264" s="22" t="inlineStr">
        <is>
          <t>Chỉ tiêu phái sinh</t>
        </is>
      </c>
      <c r="H1264" s="4" t="inlineStr">
        <is>
          <t>TB</t>
        </is>
      </c>
    </row>
    <row r="1265" ht="14" customHeight="1" s="380">
      <c r="B1265" s="4" t="inlineStr">
        <is>
          <t>BM031d_MSS</t>
        </is>
      </c>
      <c r="C1265" s="4" t="n"/>
      <c r="D1265" s="17" t="inlineStr">
        <is>
          <t>GDNĐTNN CW GT mua KL</t>
        </is>
      </c>
      <c r="F1265" s="4" t="inlineStr">
        <is>
          <t>Báo cáo</t>
        </is>
      </c>
      <c r="G1265" s="22" t="inlineStr">
        <is>
          <t>Chỉ tiêu phái sinh</t>
        </is>
      </c>
      <c r="H1265" s="4" t="inlineStr">
        <is>
          <t>TB</t>
        </is>
      </c>
    </row>
    <row r="1266" ht="14" customHeight="1" s="380">
      <c r="B1266" s="4" t="inlineStr">
        <is>
          <t>BM031d_MSS</t>
        </is>
      </c>
      <c r="C1266" s="4" t="n"/>
      <c r="D1266" s="17" t="inlineStr">
        <is>
          <t>GDNĐTNN CW GT bán KL</t>
        </is>
      </c>
      <c r="F1266" s="4" t="inlineStr">
        <is>
          <t>Báo cáo</t>
        </is>
      </c>
      <c r="G1266" s="22" t="inlineStr">
        <is>
          <t>Chỉ tiêu phái sinh</t>
        </is>
      </c>
      <c r="H1266" s="4" t="inlineStr">
        <is>
          <t>TB</t>
        </is>
      </c>
    </row>
    <row r="1267" ht="14" customHeight="1" s="380">
      <c r="B1267" s="4" t="inlineStr">
        <is>
          <t>BM031d_MSS</t>
        </is>
      </c>
      <c r="C1267" s="4" t="n"/>
      <c r="D1267" s="17" t="inlineStr">
        <is>
          <t>GDNĐTNN CW KL mua TT (thỏa thuận)</t>
        </is>
      </c>
      <c r="F1267" s="4" t="inlineStr">
        <is>
          <t>Báo cáo</t>
        </is>
      </c>
      <c r="G1267" s="22" t="inlineStr">
        <is>
          <t>Chỉ tiêu phái sinh</t>
        </is>
      </c>
      <c r="H1267" s="4" t="inlineStr">
        <is>
          <t>TB</t>
        </is>
      </c>
    </row>
    <row r="1268" ht="14" customHeight="1" s="380">
      <c r="B1268" s="4" t="inlineStr">
        <is>
          <t>BM031d_MSS</t>
        </is>
      </c>
      <c r="C1268" s="4" t="n"/>
      <c r="D1268" s="17" t="inlineStr">
        <is>
          <t>GDNĐTNN CW KL bán TT</t>
        </is>
      </c>
      <c r="F1268" s="4" t="inlineStr">
        <is>
          <t>Báo cáo</t>
        </is>
      </c>
      <c r="G1268" s="22" t="inlineStr">
        <is>
          <t>Chỉ tiêu phái sinh</t>
        </is>
      </c>
      <c r="H1268" s="4" t="inlineStr">
        <is>
          <t>TB</t>
        </is>
      </c>
    </row>
    <row r="1269" ht="14" customHeight="1" s="380">
      <c r="B1269" s="4" t="inlineStr">
        <is>
          <t>BM031d_MSS</t>
        </is>
      </c>
      <c r="C1269" s="4" t="n"/>
      <c r="D1269" s="17" t="inlineStr">
        <is>
          <t>GDNĐTNN CW GT mua TT</t>
        </is>
      </c>
      <c r="F1269" s="4" t="inlineStr">
        <is>
          <t>Báo cáo</t>
        </is>
      </c>
      <c r="G1269" s="22" t="inlineStr">
        <is>
          <t>Chỉ tiêu phái sinh</t>
        </is>
      </c>
      <c r="H1269" s="4" t="inlineStr">
        <is>
          <t>TB</t>
        </is>
      </c>
    </row>
    <row r="1270" ht="14" customHeight="1" s="380">
      <c r="B1270" s="4" t="inlineStr">
        <is>
          <t>BM031d_MSS</t>
        </is>
      </c>
      <c r="C1270" s="4" t="n"/>
      <c r="D1270" s="17" t="inlineStr">
        <is>
          <t>GDNĐTNN CW GT bán TT</t>
        </is>
      </c>
      <c r="F1270" s="4" t="inlineStr">
        <is>
          <t>Báo cáo</t>
        </is>
      </c>
      <c r="G1270" s="22" t="inlineStr">
        <is>
          <t>Chỉ tiêu phái sinh</t>
        </is>
      </c>
      <c r="H1270" s="4" t="inlineStr">
        <is>
          <t>TB</t>
        </is>
      </c>
    </row>
    <row r="1271" ht="14" customHeight="1" s="380">
      <c r="B1271" s="4" t="inlineStr">
        <is>
          <t>BM031d_MSS</t>
        </is>
      </c>
      <c r="C1271" s="4" t="n"/>
      <c r="D1271" s="17" t="inlineStr">
        <is>
          <t>GD tự doanh CCQ KL mua</t>
        </is>
      </c>
      <c r="F1271" s="4" t="inlineStr">
        <is>
          <t>Báo cáo</t>
        </is>
      </c>
      <c r="G1271" s="22" t="inlineStr">
        <is>
          <t>Chỉ tiêu phái sinh</t>
        </is>
      </c>
      <c r="H1271" s="4" t="inlineStr">
        <is>
          <t>TB</t>
        </is>
      </c>
    </row>
    <row r="1272" ht="14" customHeight="1" s="380">
      <c r="B1272" s="4" t="inlineStr">
        <is>
          <t>BM031d_MSS</t>
        </is>
      </c>
      <c r="C1272" s="4" t="n"/>
      <c r="D1272" s="17" t="inlineStr">
        <is>
          <t>GD tự doanh CCQ KL bán</t>
        </is>
      </c>
      <c r="F1272" s="4" t="inlineStr">
        <is>
          <t>Báo cáo</t>
        </is>
      </c>
      <c r="G1272" s="22" t="inlineStr">
        <is>
          <t>Chỉ tiêu phái sinh</t>
        </is>
      </c>
      <c r="H1272" s="4" t="inlineStr">
        <is>
          <t>TB</t>
        </is>
      </c>
    </row>
    <row r="1273" ht="14" customHeight="1" s="380">
      <c r="B1273" s="4" t="inlineStr">
        <is>
          <t>BM031d_MSS</t>
        </is>
      </c>
      <c r="C1273" s="4" t="n"/>
      <c r="D1273" s="17" t="inlineStr">
        <is>
          <t>GD tự doanh CCQ GT mua</t>
        </is>
      </c>
      <c r="F1273" s="4" t="inlineStr">
        <is>
          <t>Báo cáo</t>
        </is>
      </c>
      <c r="G1273" s="22" t="inlineStr">
        <is>
          <t>Chỉ tiêu phái sinh</t>
        </is>
      </c>
      <c r="H1273" s="4" t="inlineStr">
        <is>
          <t>TB</t>
        </is>
      </c>
    </row>
    <row r="1274" ht="14" customHeight="1" s="380">
      <c r="B1274" s="4" t="inlineStr">
        <is>
          <t>BM031d_MSS</t>
        </is>
      </c>
      <c r="C1274" s="4" t="n"/>
      <c r="D1274" s="17" t="inlineStr">
        <is>
          <t>GD tự doanh CCQ GT bán</t>
        </is>
      </c>
      <c r="F1274" s="4" t="inlineStr">
        <is>
          <t>Báo cáo</t>
        </is>
      </c>
      <c r="G1274" s="22" t="inlineStr">
        <is>
          <t>Chỉ tiêu phái sinh</t>
        </is>
      </c>
      <c r="H1274" s="4" t="inlineStr">
        <is>
          <t>TB</t>
        </is>
      </c>
    </row>
    <row r="1275" ht="14" customHeight="1" s="380">
      <c r="B1275" s="4" t="inlineStr">
        <is>
          <t>BM031d_MSS</t>
        </is>
      </c>
      <c r="C1275" s="4" t="n"/>
      <c r="D1275" s="17" t="inlineStr">
        <is>
          <t>GD tự doanh ETF KL mua</t>
        </is>
      </c>
      <c r="F1275" s="4" t="inlineStr">
        <is>
          <t>Báo cáo</t>
        </is>
      </c>
      <c r="G1275" s="22" t="inlineStr">
        <is>
          <t>Chỉ tiêu phái sinh</t>
        </is>
      </c>
      <c r="H1275" s="4" t="inlineStr">
        <is>
          <t>TB</t>
        </is>
      </c>
    </row>
    <row r="1276" ht="14" customHeight="1" s="380">
      <c r="B1276" s="4" t="inlineStr">
        <is>
          <t>BM031d_MSS</t>
        </is>
      </c>
      <c r="C1276" s="4" t="n"/>
      <c r="D1276" s="17" t="inlineStr">
        <is>
          <t>GD tự doanh ETF KL bán</t>
        </is>
      </c>
      <c r="F1276" s="4" t="inlineStr">
        <is>
          <t>Báo cáo</t>
        </is>
      </c>
      <c r="G1276" s="22" t="inlineStr">
        <is>
          <t>Chỉ tiêu phái sinh</t>
        </is>
      </c>
      <c r="H1276" s="4" t="inlineStr">
        <is>
          <t>TB</t>
        </is>
      </c>
    </row>
    <row r="1277" ht="14" customHeight="1" s="380">
      <c r="B1277" s="4" t="inlineStr">
        <is>
          <t>BM031d_MSS</t>
        </is>
      </c>
      <c r="C1277" s="4" t="n"/>
      <c r="D1277" s="17" t="inlineStr">
        <is>
          <t>GD tự doanh ETF GT mua</t>
        </is>
      </c>
      <c r="F1277" s="4" t="inlineStr">
        <is>
          <t>Báo cáo</t>
        </is>
      </c>
      <c r="G1277" s="22" t="inlineStr">
        <is>
          <t>Chỉ tiêu phái sinh</t>
        </is>
      </c>
      <c r="H1277" s="4" t="inlineStr">
        <is>
          <t>TB</t>
        </is>
      </c>
    </row>
    <row r="1278" ht="14" customHeight="1" s="380">
      <c r="B1278" s="4" t="inlineStr">
        <is>
          <t>BM031d_MSS</t>
        </is>
      </c>
      <c r="C1278" s="4" t="n"/>
      <c r="D1278" s="17" t="inlineStr">
        <is>
          <t>GD tự doanh ETF GT bán</t>
        </is>
      </c>
      <c r="F1278" s="4" t="inlineStr">
        <is>
          <t>Báo cáo</t>
        </is>
      </c>
      <c r="G1278" s="22" t="inlineStr">
        <is>
          <t>Chỉ tiêu phái sinh</t>
        </is>
      </c>
      <c r="H1278" s="4" t="inlineStr">
        <is>
          <t>TB</t>
        </is>
      </c>
    </row>
    <row r="1279" ht="14" customHeight="1" s="380">
      <c r="B1279" s="4" t="inlineStr">
        <is>
          <t>BM031d_MSS</t>
        </is>
      </c>
      <c r="C1279" s="4" t="n"/>
      <c r="D1279" s="17" t="inlineStr">
        <is>
          <t>GD tự doanh CW KL mua</t>
        </is>
      </c>
      <c r="F1279" s="4" t="inlineStr">
        <is>
          <t>Báo cáo</t>
        </is>
      </c>
      <c r="G1279" s="22" t="inlineStr">
        <is>
          <t>Chỉ tiêu phái sinh</t>
        </is>
      </c>
      <c r="H1279" s="4" t="inlineStr">
        <is>
          <t>TB</t>
        </is>
      </c>
    </row>
    <row r="1280" ht="14" customHeight="1" s="380">
      <c r="B1280" s="4" t="inlineStr">
        <is>
          <t>BM031d_MSS</t>
        </is>
      </c>
      <c r="C1280" s="4" t="n"/>
      <c r="D1280" s="17" t="inlineStr">
        <is>
          <t>GD tự doanh CW KL bán</t>
        </is>
      </c>
      <c r="F1280" s="4" t="inlineStr">
        <is>
          <t>Báo cáo</t>
        </is>
      </c>
      <c r="G1280" s="22" t="inlineStr">
        <is>
          <t>Chỉ tiêu phái sinh</t>
        </is>
      </c>
      <c r="H1280" s="4" t="inlineStr">
        <is>
          <t>TB</t>
        </is>
      </c>
    </row>
    <row r="1281" ht="14" customHeight="1" s="380">
      <c r="B1281" s="4" t="inlineStr">
        <is>
          <t>BM031d_MSS</t>
        </is>
      </c>
      <c r="C1281" s="4" t="n"/>
      <c r="D1281" s="17" t="inlineStr">
        <is>
          <t>GD tự doanh CW GT mua</t>
        </is>
      </c>
      <c r="F1281" s="4" t="inlineStr">
        <is>
          <t>Báo cáo</t>
        </is>
      </c>
      <c r="G1281" s="22" t="inlineStr">
        <is>
          <t>Chỉ tiêu phái sinh</t>
        </is>
      </c>
      <c r="H1281" s="4" t="inlineStr">
        <is>
          <t>TB</t>
        </is>
      </c>
    </row>
    <row r="1282" ht="14" customHeight="1" s="380">
      <c r="B1282" s="4" t="inlineStr">
        <is>
          <t>BM031d_MSS</t>
        </is>
      </c>
      <c r="C1282" s="4" t="n"/>
      <c r="D1282" s="17" t="inlineStr">
        <is>
          <t>GD tự doanh CW GT bán</t>
        </is>
      </c>
      <c r="F1282" s="4" t="inlineStr">
        <is>
          <t>Báo cáo</t>
        </is>
      </c>
      <c r="G1282" s="22" t="inlineStr">
        <is>
          <t>Chỉ tiêu phái sinh</t>
        </is>
      </c>
      <c r="H1282" s="4" t="inlineStr">
        <is>
          <t>TB</t>
        </is>
      </c>
    </row>
    <row r="1283" ht="14" customHeight="1" s="380">
      <c r="A1283" s="184" t="n"/>
      <c r="B1283" s="184" t="inlineStr">
        <is>
          <t>BM031f_MSS</t>
        </is>
      </c>
      <c r="C1283" s="417" t="inlineStr">
        <is>
          <t>Thống kê giao dịch thị trường chứng khoán phái sinh</t>
        </is>
      </c>
      <c r="D1283" s="202" t="inlineStr">
        <is>
          <t>Thời gian</t>
        </is>
      </c>
      <c r="E1283" s="184" t="n"/>
      <c r="F1283" s="4" t="inlineStr">
        <is>
          <t>Báo cáo</t>
        </is>
      </c>
      <c r="G1283" s="184" t="inlineStr">
        <is>
          <t>Chiều</t>
        </is>
      </c>
      <c r="H1283" s="184" t="n"/>
      <c r="I1283" s="184" t="inlineStr">
        <is>
          <t>CKPS</t>
        </is>
      </c>
      <c r="J1283" s="184" t="n"/>
      <c r="K1283" s="184" t="n"/>
      <c r="L1283" s="184" t="n"/>
      <c r="M1283" s="184" t="n"/>
    </row>
    <row r="1284" ht="14" customHeight="1" s="380">
      <c r="B1284" s="4" t="inlineStr">
        <is>
          <t>BM031f_MSS</t>
        </is>
      </c>
      <c r="D1284" s="17" t="inlineStr">
        <is>
          <t>SL mã GD TTCK phái sinh</t>
        </is>
      </c>
      <c r="F1284" s="4" t="inlineStr">
        <is>
          <t>Báo cáo</t>
        </is>
      </c>
      <c r="G1284" s="22" t="inlineStr">
        <is>
          <t>Chỉ tiêu phái sinh</t>
        </is>
      </c>
      <c r="H1284" s="4" t="inlineStr">
        <is>
          <t>TB</t>
        </is>
      </c>
      <c r="I1284" s="184" t="inlineStr">
        <is>
          <t>CKPS</t>
        </is>
      </c>
    </row>
    <row r="1285" ht="14" customHeight="1" s="380">
      <c r="B1285" s="4" t="inlineStr">
        <is>
          <t>BM031f_MSS</t>
        </is>
      </c>
      <c r="D1285" s="17" t="inlineStr">
        <is>
          <t>KLGD TTCK phái sinh</t>
        </is>
      </c>
      <c r="F1285" s="4" t="inlineStr">
        <is>
          <t>Báo cáo</t>
        </is>
      </c>
      <c r="G1285" s="22" t="inlineStr">
        <is>
          <t>Chỉ tiêu phái sinh</t>
        </is>
      </c>
      <c r="H1285" s="4" t="inlineStr">
        <is>
          <t>TB</t>
        </is>
      </c>
      <c r="I1285" s="184" t="inlineStr">
        <is>
          <t>CKPS</t>
        </is>
      </c>
    </row>
    <row r="1286" ht="14" customHeight="1" s="380">
      <c r="B1286" s="4" t="inlineStr">
        <is>
          <t>BM031f_MSS</t>
        </is>
      </c>
      <c r="D1286" s="17" t="inlineStr">
        <is>
          <t>GTGD TTCK phái sinh</t>
        </is>
      </c>
      <c r="F1286" s="4" t="inlineStr">
        <is>
          <t>Báo cáo</t>
        </is>
      </c>
      <c r="G1286" s="22" t="inlineStr">
        <is>
          <t>Chỉ tiêu phái sinh</t>
        </is>
      </c>
      <c r="H1286" s="4" t="inlineStr">
        <is>
          <t>TB</t>
        </is>
      </c>
      <c r="I1286" s="184" t="inlineStr">
        <is>
          <t>CKPS</t>
        </is>
      </c>
    </row>
    <row r="1287" ht="28" customHeight="1" s="380">
      <c r="B1287" s="4" t="inlineStr">
        <is>
          <t>BM031f_MSS</t>
        </is>
      </c>
      <c r="D1287" s="17" t="inlineStr">
        <is>
          <t>KL hợp đồng đang lưu hành TTCK phái sinh</t>
        </is>
      </c>
      <c r="F1287" s="4" t="inlineStr">
        <is>
          <t>Báo cáo</t>
        </is>
      </c>
      <c r="G1287" s="22" t="inlineStr">
        <is>
          <t>Chỉ tiêu phái sinh</t>
        </is>
      </c>
      <c r="H1287" s="4" t="inlineStr">
        <is>
          <t>TB</t>
        </is>
      </c>
      <c r="I1287" s="184" t="inlineStr">
        <is>
          <t>CKPS</t>
        </is>
      </c>
    </row>
    <row r="1288" ht="14" customHeight="1" s="380">
      <c r="B1288" s="4" t="inlineStr">
        <is>
          <t>BM031f_MSS</t>
        </is>
      </c>
      <c r="D1288" s="322" t="inlineStr">
        <is>
          <t>GDNĐTNN KL mua TTCK phái sinh</t>
        </is>
      </c>
      <c r="F1288" s="4" t="inlineStr">
        <is>
          <t>Báo cáo</t>
        </is>
      </c>
      <c r="G1288" s="22" t="inlineStr">
        <is>
          <t>Chỉ tiêu phái sinh</t>
        </is>
      </c>
      <c r="H1288" s="4" t="inlineStr">
        <is>
          <t>TB</t>
        </is>
      </c>
      <c r="I1288" s="184" t="inlineStr">
        <is>
          <t>CKPS</t>
        </is>
      </c>
    </row>
    <row r="1289" ht="14" customHeight="1" s="380">
      <c r="B1289" s="4" t="inlineStr">
        <is>
          <t>BM031f_MSS</t>
        </is>
      </c>
      <c r="D1289" s="322" t="inlineStr">
        <is>
          <t>GDNĐTNN KL bán TTCK phái sinh</t>
        </is>
      </c>
      <c r="F1289" s="4" t="inlineStr">
        <is>
          <t>Báo cáo</t>
        </is>
      </c>
      <c r="G1289" s="22" t="inlineStr">
        <is>
          <t>Chỉ tiêu phái sinh</t>
        </is>
      </c>
      <c r="H1289" s="4" t="inlineStr">
        <is>
          <t>TB</t>
        </is>
      </c>
      <c r="I1289" s="184" t="inlineStr">
        <is>
          <t>CKPS</t>
        </is>
      </c>
    </row>
    <row r="1290" ht="14" customHeight="1" s="380">
      <c r="B1290" s="4" t="inlineStr">
        <is>
          <t>BM031f_MSS</t>
        </is>
      </c>
      <c r="D1290" s="322" t="inlineStr">
        <is>
          <t>GDNĐTNN GT mua TTCK phái sinh</t>
        </is>
      </c>
      <c r="F1290" s="4" t="inlineStr">
        <is>
          <t>Báo cáo</t>
        </is>
      </c>
      <c r="G1290" s="22" t="inlineStr">
        <is>
          <t>Chỉ tiêu phái sinh</t>
        </is>
      </c>
      <c r="H1290" s="4" t="inlineStr">
        <is>
          <t>TB</t>
        </is>
      </c>
      <c r="I1290" s="184" t="inlineStr">
        <is>
          <t>CKPS</t>
        </is>
      </c>
    </row>
    <row r="1291" ht="14" customHeight="1" s="380">
      <c r="B1291" s="4" t="inlineStr">
        <is>
          <t>BM031f_MSS</t>
        </is>
      </c>
      <c r="D1291" s="322" t="inlineStr">
        <is>
          <t>GDNĐTNN GT bán TTCK phái sinh</t>
        </is>
      </c>
      <c r="F1291" s="4" t="inlineStr">
        <is>
          <t>Báo cáo</t>
        </is>
      </c>
      <c r="G1291" s="22" t="inlineStr">
        <is>
          <t>Chỉ tiêu phái sinh</t>
        </is>
      </c>
      <c r="H1291" s="4" t="inlineStr">
        <is>
          <t>TB</t>
        </is>
      </c>
      <c r="I1291" s="184" t="inlineStr">
        <is>
          <t>CKPS</t>
        </is>
      </c>
    </row>
    <row r="1292" ht="28" customHeight="1" s="380">
      <c r="B1292" s="4" t="inlineStr">
        <is>
          <t>BM031f_MSS</t>
        </is>
      </c>
      <c r="D1292" s="322" t="inlineStr">
        <is>
          <t>Giao dịch khối tự doanh KL mua TTCK phái sinh</t>
        </is>
      </c>
      <c r="F1292" s="4" t="inlineStr">
        <is>
          <t>Báo cáo</t>
        </is>
      </c>
      <c r="G1292" s="22" t="inlineStr">
        <is>
          <t>Chỉ tiêu phái sinh</t>
        </is>
      </c>
      <c r="H1292" s="4" t="inlineStr">
        <is>
          <t>TB</t>
        </is>
      </c>
      <c r="I1292" s="184" t="inlineStr">
        <is>
          <t>CKPS</t>
        </is>
      </c>
    </row>
    <row r="1293" ht="28" customHeight="1" s="380">
      <c r="B1293" s="4" t="inlineStr">
        <is>
          <t>BM031f_MSS</t>
        </is>
      </c>
      <c r="D1293" s="322" t="inlineStr">
        <is>
          <t>Giao dịch khối tự doanh KL bán TTCK phái sinh</t>
        </is>
      </c>
      <c r="F1293" s="4" t="inlineStr">
        <is>
          <t>Báo cáo</t>
        </is>
      </c>
      <c r="G1293" s="22" t="inlineStr">
        <is>
          <t>Chỉ tiêu phái sinh</t>
        </is>
      </c>
      <c r="H1293" s="4" t="inlineStr">
        <is>
          <t>TB</t>
        </is>
      </c>
      <c r="I1293" s="184" t="inlineStr">
        <is>
          <t>CKPS</t>
        </is>
      </c>
    </row>
    <row r="1294" ht="28" customHeight="1" s="380">
      <c r="B1294" s="4" t="inlineStr">
        <is>
          <t>BM031f_MSS</t>
        </is>
      </c>
      <c r="D1294" s="322" t="inlineStr">
        <is>
          <t>Giao dịch khối tự doanh GT mua TTCK phái sinh</t>
        </is>
      </c>
      <c r="F1294" s="4" t="inlineStr">
        <is>
          <t>Báo cáo</t>
        </is>
      </c>
      <c r="G1294" s="22" t="inlineStr">
        <is>
          <t>Chỉ tiêu phái sinh</t>
        </is>
      </c>
      <c r="H1294" s="4" t="inlineStr">
        <is>
          <t>TB</t>
        </is>
      </c>
      <c r="I1294" s="184" t="inlineStr">
        <is>
          <t>CKPS</t>
        </is>
      </c>
    </row>
    <row r="1295" ht="28" customHeight="1" s="380">
      <c r="B1295" s="4" t="inlineStr">
        <is>
          <t>BM031f_MSS</t>
        </is>
      </c>
      <c r="D1295" s="322" t="inlineStr">
        <is>
          <t>Giao dịch khối tự doanh GT bán TTCK phái sinh</t>
        </is>
      </c>
      <c r="F1295" s="4" t="inlineStr">
        <is>
          <t>Báo cáo</t>
        </is>
      </c>
      <c r="G1295" s="22" t="inlineStr">
        <is>
          <t>Chỉ tiêu phái sinh</t>
        </is>
      </c>
      <c r="H1295" s="4" t="inlineStr">
        <is>
          <t>TB</t>
        </is>
      </c>
      <c r="I1295" s="184" t="inlineStr">
        <is>
          <t>CKPS</t>
        </is>
      </c>
    </row>
    <row r="1296" ht="13" customHeight="1" s="380">
      <c r="D1296" s="17" t="n"/>
    </row>
    <row r="1297" ht="13" customHeight="1" s="380">
      <c r="D1297" s="17" t="n"/>
    </row>
    <row r="1298" ht="13" customHeight="1" s="380">
      <c r="D1298" s="17" t="n"/>
    </row>
    <row r="1299" ht="13" customHeight="1" s="380">
      <c r="D1299" s="17" t="n"/>
    </row>
    <row r="1300" ht="13" customHeight="1" s="380">
      <c r="D1300" s="17" t="n"/>
    </row>
    <row r="1301" ht="13" customHeight="1" s="380">
      <c r="D1301" s="17" t="n"/>
    </row>
    <row r="1302" ht="13" customHeight="1" s="380">
      <c r="D1302" s="17" t="n"/>
    </row>
    <row r="1303" ht="13" customHeight="1" s="380">
      <c r="D1303" s="17" t="n"/>
    </row>
    <row r="1304" ht="13" customHeight="1" s="380">
      <c r="D1304" s="17" t="n"/>
    </row>
    <row r="1305" ht="13" customHeight="1" s="380">
      <c r="D1305" s="17" t="n"/>
    </row>
    <row r="1306" ht="13" customHeight="1" s="380">
      <c r="D1306" s="17" t="n"/>
    </row>
    <row r="1307" ht="13" customHeight="1" s="380">
      <c r="D1307" s="17" t="n"/>
    </row>
    <row r="1308" ht="13" customHeight="1" s="380">
      <c r="D1308" s="17" t="n"/>
    </row>
    <row r="1309" ht="13" customHeight="1" s="380">
      <c r="D1309" s="17" t="n"/>
    </row>
    <row r="1310" ht="13" customHeight="1" s="380">
      <c r="D1310" s="17" t="n"/>
    </row>
    <row r="1311" ht="13" customHeight="1" s="380">
      <c r="D1311" s="17" t="n"/>
    </row>
    <row r="1312" ht="13" customHeight="1" s="380">
      <c r="D1312" s="17" t="n"/>
    </row>
    <row r="1313" ht="13" customHeight="1" s="380">
      <c r="D1313" s="17" t="n"/>
    </row>
    <row r="1314" ht="13" customHeight="1" s="380">
      <c r="D1314" s="17" t="n"/>
    </row>
    <row r="1315" ht="13" customHeight="1" s="380">
      <c r="D1315" s="17" t="n"/>
    </row>
    <row r="1316" ht="13" customHeight="1" s="380">
      <c r="D1316" s="17" t="n"/>
    </row>
    <row r="1317" ht="13" customHeight="1" s="380">
      <c r="D1317" s="17" t="n"/>
    </row>
    <row r="1318" ht="13" customHeight="1" s="380">
      <c r="D1318" s="17" t="n"/>
    </row>
    <row r="1319" ht="13" customHeight="1" s="380">
      <c r="D1319" s="17" t="n"/>
    </row>
    <row r="1320" ht="13" customHeight="1" s="380">
      <c r="D1320" s="17" t="n"/>
    </row>
    <row r="1321" ht="13" customHeight="1" s="380">
      <c r="D1321" s="17" t="n"/>
    </row>
    <row r="1322" ht="13" customHeight="1" s="380">
      <c r="D1322" s="17" t="n"/>
    </row>
    <row r="1323" ht="13" customHeight="1" s="380">
      <c r="D1323" s="17" t="n"/>
    </row>
    <row r="1324" ht="13" customHeight="1" s="380">
      <c r="D1324" s="17" t="n"/>
    </row>
    <row r="1325" ht="13" customHeight="1" s="380">
      <c r="D1325" s="17" t="n"/>
    </row>
    <row r="1326" ht="13" customHeight="1" s="380">
      <c r="D1326" s="17" t="n"/>
    </row>
    <row r="1327" ht="13" customHeight="1" s="380">
      <c r="D1327" s="17" t="n"/>
    </row>
    <row r="1328" ht="14" customHeight="1" s="380">
      <c r="A1328" s="206" t="n"/>
      <c r="B1328" s="323" t="inlineStr">
        <is>
          <t>HSX02</t>
        </is>
      </c>
      <c r="C1328" s="324" t="n"/>
      <c r="D1328" s="325" t="inlineStr">
        <is>
          <t>Số phát sinh trong kỳ</t>
        </is>
      </c>
      <c r="E1328" s="206" t="n"/>
      <c r="F1328" s="206" t="inlineStr">
        <is>
          <t>Báo cáo</t>
        </is>
      </c>
      <c r="G1328" s="206" t="inlineStr">
        <is>
          <t>Chiều</t>
        </is>
      </c>
      <c r="H1328" s="206" t="n"/>
      <c r="I1328" s="206" t="n"/>
      <c r="J1328" s="206" t="n"/>
      <c r="K1328" s="206" t="n"/>
    </row>
    <row r="1329" ht="16" customHeight="1" s="380">
      <c r="B1329" s="4" t="inlineStr">
        <is>
          <t>HSX02</t>
        </is>
      </c>
      <c r="C1329" s="326" t="n"/>
      <c r="D1329" s="327" t="inlineStr">
        <is>
          <t>Chỉ số VN-Index</t>
        </is>
      </c>
      <c r="F1329" s="4" t="inlineStr">
        <is>
          <t>Báo cáo</t>
        </is>
      </c>
      <c r="G1329" s="4" t="inlineStr">
        <is>
          <t>Chỉ tiêu cơ sở</t>
        </is>
      </c>
      <c r="H1329" s="4" t="inlineStr">
        <is>
          <t>Dễ</t>
        </is>
      </c>
    </row>
    <row r="1330" ht="16" customHeight="1" s="380">
      <c r="B1330" s="4" t="inlineStr">
        <is>
          <t>HSX02</t>
        </is>
      </c>
      <c r="C1330" s="326" t="n"/>
      <c r="D1330" s="327" t="inlineStr">
        <is>
          <t>Giá trị chứng khoán giao dịch</t>
        </is>
      </c>
      <c r="F1330" s="4" t="inlineStr">
        <is>
          <t>Báo cáo</t>
        </is>
      </c>
      <c r="G1330" s="22" t="inlineStr">
        <is>
          <t>Chỉ tiêu phái sinh</t>
        </is>
      </c>
      <c r="H1330" s="4" t="inlineStr">
        <is>
          <t>TB</t>
        </is>
      </c>
    </row>
    <row r="1331" ht="16" customHeight="1" s="380">
      <c r="B1331" s="4" t="inlineStr">
        <is>
          <t>HSX02</t>
        </is>
      </c>
      <c r="C1331" s="328" t="n"/>
      <c r="D1331" s="329" t="inlineStr">
        <is>
          <t>Cổ phiếu niêm yết</t>
        </is>
      </c>
      <c r="F1331" s="4" t="inlineStr">
        <is>
          <t>Báo cáo</t>
        </is>
      </c>
      <c r="G1331" s="22" t="inlineStr">
        <is>
          <t>Chỉ tiêu phái sinh</t>
        </is>
      </c>
      <c r="H1331" s="4" t="inlineStr">
        <is>
          <t>TB</t>
        </is>
      </c>
    </row>
    <row r="1332" ht="16" customHeight="1" s="380">
      <c r="B1332" s="4" t="inlineStr">
        <is>
          <t>HSX02</t>
        </is>
      </c>
      <c r="C1332" s="328" t="n"/>
      <c r="D1332" s="329" t="inlineStr">
        <is>
          <t>Trái phiếu chính quyền địa phương</t>
        </is>
      </c>
      <c r="F1332" s="4" t="inlineStr">
        <is>
          <t>Báo cáo</t>
        </is>
      </c>
      <c r="G1332" s="22" t="inlineStr">
        <is>
          <t>Chỉ tiêu phái sinh</t>
        </is>
      </c>
      <c r="H1332" s="4" t="inlineStr">
        <is>
          <t>TB</t>
        </is>
      </c>
    </row>
    <row r="1333" ht="16" customHeight="1" s="380">
      <c r="B1333" s="4" t="inlineStr">
        <is>
          <t>HSX02</t>
        </is>
      </c>
      <c r="C1333" s="328" t="n"/>
      <c r="D1333" s="329" t="inlineStr">
        <is>
          <t>Trái phiếu doanh nghiệp</t>
        </is>
      </c>
      <c r="F1333" s="4" t="inlineStr">
        <is>
          <t>Báo cáo</t>
        </is>
      </c>
      <c r="G1333" s="22" t="inlineStr">
        <is>
          <t>Chỉ tiêu phái sinh</t>
        </is>
      </c>
      <c r="H1333" s="4" t="inlineStr">
        <is>
          <t>TB</t>
        </is>
      </c>
    </row>
    <row r="1334" ht="16" customHeight="1" s="380">
      <c r="B1334" s="4" t="inlineStr">
        <is>
          <t>HSX02</t>
        </is>
      </c>
      <c r="C1334" s="328" t="n"/>
      <c r="D1334" s="329" t="inlineStr">
        <is>
          <t>Chứng chỉ quỹ</t>
        </is>
      </c>
      <c r="F1334" s="4" t="inlineStr">
        <is>
          <t>Báo cáo</t>
        </is>
      </c>
      <c r="G1334" s="22" t="inlineStr">
        <is>
          <t>Chỉ tiêu phái sinh</t>
        </is>
      </c>
      <c r="H1334" s="4" t="inlineStr">
        <is>
          <t>TB</t>
        </is>
      </c>
    </row>
    <row r="1335" ht="16" customHeight="1" s="380">
      <c r="B1335" s="4" t="inlineStr">
        <is>
          <t>HSX02</t>
        </is>
      </c>
      <c r="C1335" s="328" t="n"/>
      <c r="D1335" s="329" t="inlineStr">
        <is>
          <t>ETF</t>
        </is>
      </c>
      <c r="F1335" s="4" t="inlineStr">
        <is>
          <t>Báo cáo</t>
        </is>
      </c>
      <c r="G1335" s="22" t="inlineStr">
        <is>
          <t>Chỉ tiêu phái sinh</t>
        </is>
      </c>
      <c r="H1335" s="4" t="inlineStr">
        <is>
          <t>TB</t>
        </is>
      </c>
    </row>
    <row r="1336" ht="16" customHeight="1" s="380">
      <c r="B1336" s="4" t="inlineStr">
        <is>
          <t>HSX02</t>
        </is>
      </c>
      <c r="C1336" s="328" t="n"/>
      <c r="D1336" s="329" t="inlineStr">
        <is>
          <t>Chứng quyền có bảo đảm (CW)</t>
        </is>
      </c>
      <c r="F1336" s="4" t="inlineStr">
        <is>
          <t>Báo cáo</t>
        </is>
      </c>
      <c r="G1336" s="22" t="inlineStr">
        <is>
          <t>Chỉ tiêu phái sinh</t>
        </is>
      </c>
      <c r="H1336" s="4" t="inlineStr">
        <is>
          <t>TB</t>
        </is>
      </c>
    </row>
    <row r="1337" ht="16" customHeight="1" s="380">
      <c r="B1337" s="4" t="inlineStr">
        <is>
          <t>HSX02</t>
        </is>
      </c>
      <c r="C1337" s="326" t="n"/>
      <c r="D1337" s="327" t="inlineStr">
        <is>
          <t>Khối lượng chứng khoán giao dịch</t>
        </is>
      </c>
      <c r="F1337" s="4" t="inlineStr">
        <is>
          <t>Báo cáo</t>
        </is>
      </c>
      <c r="G1337" s="22" t="inlineStr">
        <is>
          <t>Chỉ tiêu phái sinh</t>
        </is>
      </c>
      <c r="H1337" s="4" t="inlineStr">
        <is>
          <t>TB</t>
        </is>
      </c>
    </row>
    <row r="1338" ht="16" customHeight="1" s="380">
      <c r="B1338" s="4" t="inlineStr">
        <is>
          <t>HSX02</t>
        </is>
      </c>
      <c r="C1338" s="328" t="n"/>
      <c r="D1338" s="329" t="inlineStr">
        <is>
          <t>Cổ phiếu niêm yết</t>
        </is>
      </c>
      <c r="F1338" s="4" t="inlineStr">
        <is>
          <t>Báo cáo</t>
        </is>
      </c>
      <c r="G1338" s="22" t="inlineStr">
        <is>
          <t>Chỉ tiêu phái sinh</t>
        </is>
      </c>
      <c r="H1338" s="4" t="inlineStr">
        <is>
          <t>TB</t>
        </is>
      </c>
    </row>
    <row r="1339" ht="16" customHeight="1" s="380">
      <c r="B1339" s="4" t="inlineStr">
        <is>
          <t>HSX02</t>
        </is>
      </c>
      <c r="C1339" s="328" t="n"/>
      <c r="D1339" s="329" t="inlineStr">
        <is>
          <t>Trái phiếu chính quyền địa phương</t>
        </is>
      </c>
      <c r="F1339" s="4" t="inlineStr">
        <is>
          <t>Báo cáo</t>
        </is>
      </c>
      <c r="G1339" s="22" t="inlineStr">
        <is>
          <t>Chỉ tiêu phái sinh</t>
        </is>
      </c>
      <c r="H1339" s="4" t="inlineStr">
        <is>
          <t>TB</t>
        </is>
      </c>
    </row>
    <row r="1340" ht="16" customHeight="1" s="380">
      <c r="B1340" s="4" t="inlineStr">
        <is>
          <t>HSX02</t>
        </is>
      </c>
      <c r="C1340" s="328" t="n"/>
      <c r="D1340" s="329" t="inlineStr">
        <is>
          <t>Trái phiếu doanh nghiệp</t>
        </is>
      </c>
      <c r="F1340" s="4" t="inlineStr">
        <is>
          <t>Báo cáo</t>
        </is>
      </c>
      <c r="G1340" s="22" t="inlineStr">
        <is>
          <t>Chỉ tiêu phái sinh</t>
        </is>
      </c>
      <c r="H1340" s="4" t="inlineStr">
        <is>
          <t>TB</t>
        </is>
      </c>
    </row>
    <row r="1341" ht="16" customHeight="1" s="380">
      <c r="B1341" s="4" t="inlineStr">
        <is>
          <t>HSX02</t>
        </is>
      </c>
      <c r="C1341" s="328" t="n"/>
      <c r="D1341" s="329" t="inlineStr">
        <is>
          <t>Chứng chỉ quỹ</t>
        </is>
      </c>
      <c r="F1341" s="4" t="inlineStr">
        <is>
          <t>Báo cáo</t>
        </is>
      </c>
      <c r="G1341" s="22" t="inlineStr">
        <is>
          <t>Chỉ tiêu phái sinh</t>
        </is>
      </c>
      <c r="H1341" s="4" t="inlineStr">
        <is>
          <t>TB</t>
        </is>
      </c>
    </row>
    <row r="1342" ht="16" customHeight="1" s="380">
      <c r="B1342" s="4" t="inlineStr">
        <is>
          <t>HSX02</t>
        </is>
      </c>
      <c r="C1342" s="328" t="n"/>
      <c r="D1342" s="329" t="inlineStr">
        <is>
          <t>ETF</t>
        </is>
      </c>
      <c r="F1342" s="4" t="inlineStr">
        <is>
          <t>Báo cáo</t>
        </is>
      </c>
      <c r="G1342" s="22" t="inlineStr">
        <is>
          <t>Chỉ tiêu phái sinh</t>
        </is>
      </c>
      <c r="H1342" s="4" t="inlineStr">
        <is>
          <t>TB</t>
        </is>
      </c>
    </row>
    <row r="1343" ht="16" customHeight="1" s="380">
      <c r="B1343" s="4" t="inlineStr">
        <is>
          <t>HSX02</t>
        </is>
      </c>
      <c r="C1343" s="328" t="n"/>
      <c r="D1343" s="329" t="inlineStr">
        <is>
          <t>CW</t>
        </is>
      </c>
      <c r="F1343" s="4" t="inlineStr">
        <is>
          <t>Báo cáo</t>
        </is>
      </c>
      <c r="G1343" s="22" t="inlineStr">
        <is>
          <t>Chỉ tiêu phái sinh</t>
        </is>
      </c>
      <c r="H1343" s="4" t="inlineStr">
        <is>
          <t>TB</t>
        </is>
      </c>
    </row>
    <row r="1344" ht="16" customHeight="1" s="380">
      <c r="B1344" s="4" t="inlineStr">
        <is>
          <t>HSX02</t>
        </is>
      </c>
      <c r="C1344" s="326" t="n"/>
      <c r="D1344" s="327" t="inlineStr">
        <is>
          <t>Khối lượng chứng khoán niêm yết</t>
        </is>
      </c>
      <c r="F1344" s="4" t="inlineStr">
        <is>
          <t>Báo cáo</t>
        </is>
      </c>
      <c r="G1344" s="22" t="inlineStr">
        <is>
          <t>Chỉ tiêu phái sinh</t>
        </is>
      </c>
      <c r="H1344" s="4" t="inlineStr">
        <is>
          <t>TB</t>
        </is>
      </c>
    </row>
    <row r="1345" ht="16" customHeight="1" s="380">
      <c r="B1345" s="4" t="inlineStr">
        <is>
          <t>HSX02</t>
        </is>
      </c>
      <c r="C1345" s="328" t="n"/>
      <c r="D1345" s="329" t="inlineStr">
        <is>
          <t>Cổ phiếu niêm yết</t>
        </is>
      </c>
      <c r="F1345" s="4" t="inlineStr">
        <is>
          <t>Báo cáo</t>
        </is>
      </c>
      <c r="G1345" s="22" t="inlineStr">
        <is>
          <t>Chỉ tiêu phái sinh</t>
        </is>
      </c>
      <c r="H1345" s="4" t="inlineStr">
        <is>
          <t>TB</t>
        </is>
      </c>
    </row>
    <row r="1346" ht="16" customHeight="1" s="380">
      <c r="B1346" s="4" t="inlineStr">
        <is>
          <t>HSX02</t>
        </is>
      </c>
      <c r="C1346" s="328" t="n"/>
      <c r="D1346" s="329" t="inlineStr">
        <is>
          <t>Trái phiếu chính quyền địa phương</t>
        </is>
      </c>
      <c r="F1346" s="4" t="inlineStr">
        <is>
          <t>Báo cáo</t>
        </is>
      </c>
      <c r="G1346" s="22" t="inlineStr">
        <is>
          <t>Chỉ tiêu phái sinh</t>
        </is>
      </c>
      <c r="H1346" s="4" t="inlineStr">
        <is>
          <t>TB</t>
        </is>
      </c>
    </row>
    <row r="1347" ht="16" customHeight="1" s="380">
      <c r="B1347" s="4" t="inlineStr">
        <is>
          <t>HSX02</t>
        </is>
      </c>
      <c r="C1347" s="328" t="n"/>
      <c r="D1347" s="329" t="inlineStr">
        <is>
          <t>Trái phiếu doanh nghiệp</t>
        </is>
      </c>
      <c r="F1347" s="4" t="inlineStr">
        <is>
          <t>Báo cáo</t>
        </is>
      </c>
      <c r="G1347" s="22" t="inlineStr">
        <is>
          <t>Chỉ tiêu phái sinh</t>
        </is>
      </c>
      <c r="H1347" s="4" t="inlineStr">
        <is>
          <t>TB</t>
        </is>
      </c>
    </row>
    <row r="1348" ht="16" customHeight="1" s="380">
      <c r="B1348" s="4" t="inlineStr">
        <is>
          <t>HSX02</t>
        </is>
      </c>
      <c r="C1348" s="328" t="n"/>
      <c r="D1348" s="329" t="inlineStr">
        <is>
          <t>Chứng chỉ quỹ</t>
        </is>
      </c>
      <c r="F1348" s="4" t="inlineStr">
        <is>
          <t>Báo cáo</t>
        </is>
      </c>
      <c r="G1348" s="22" t="inlineStr">
        <is>
          <t>Chỉ tiêu phái sinh</t>
        </is>
      </c>
      <c r="H1348" s="4" t="inlineStr">
        <is>
          <t>TB</t>
        </is>
      </c>
    </row>
    <row r="1349" ht="16" customHeight="1" s="380">
      <c r="B1349" s="4" t="inlineStr">
        <is>
          <t>HSX02</t>
        </is>
      </c>
      <c r="C1349" s="328" t="n"/>
      <c r="D1349" s="329" t="inlineStr">
        <is>
          <t>ETF</t>
        </is>
      </c>
      <c r="F1349" s="4" t="inlineStr">
        <is>
          <t>Báo cáo</t>
        </is>
      </c>
      <c r="G1349" s="22" t="inlineStr">
        <is>
          <t>Chỉ tiêu phái sinh</t>
        </is>
      </c>
      <c r="H1349" s="4" t="inlineStr">
        <is>
          <t>TB</t>
        </is>
      </c>
    </row>
    <row r="1350" ht="16" customHeight="1" s="380">
      <c r="B1350" s="4" t="inlineStr">
        <is>
          <t>HSX02</t>
        </is>
      </c>
      <c r="C1350" s="328" t="n"/>
      <c r="D1350" s="329" t="inlineStr">
        <is>
          <t>CW</t>
        </is>
      </c>
      <c r="F1350" s="4" t="inlineStr">
        <is>
          <t>Báo cáo</t>
        </is>
      </c>
      <c r="G1350" s="22" t="inlineStr">
        <is>
          <t>Chỉ tiêu phái sinh</t>
        </is>
      </c>
      <c r="H1350" s="4" t="inlineStr">
        <is>
          <t>TB</t>
        </is>
      </c>
    </row>
    <row r="1351" ht="16" customHeight="1" s="380">
      <c r="B1351" s="4" t="inlineStr">
        <is>
          <t>HSX02</t>
        </is>
      </c>
      <c r="C1351" s="326" t="n"/>
      <c r="D1351" s="327" t="inlineStr">
        <is>
          <t>Giá trị chứng khoán niêm yết</t>
        </is>
      </c>
      <c r="F1351" s="4" t="inlineStr">
        <is>
          <t>Báo cáo</t>
        </is>
      </c>
      <c r="G1351" s="22" t="inlineStr">
        <is>
          <t>Chỉ tiêu phái sinh</t>
        </is>
      </c>
      <c r="H1351" s="4" t="inlineStr">
        <is>
          <t>TB</t>
        </is>
      </c>
    </row>
    <row r="1352" ht="16" customHeight="1" s="380">
      <c r="B1352" s="4" t="inlineStr">
        <is>
          <t>HSX02</t>
        </is>
      </c>
      <c r="C1352" s="328" t="n"/>
      <c r="D1352" s="329" t="inlineStr">
        <is>
          <t>Cổ phiếu niêm yết</t>
        </is>
      </c>
      <c r="F1352" s="4" t="inlineStr">
        <is>
          <t>Báo cáo</t>
        </is>
      </c>
      <c r="G1352" s="22" t="inlineStr">
        <is>
          <t>Chỉ tiêu phái sinh</t>
        </is>
      </c>
      <c r="H1352" s="4" t="inlineStr">
        <is>
          <t>TB</t>
        </is>
      </c>
    </row>
    <row r="1353" ht="16" customHeight="1" s="380">
      <c r="B1353" s="4" t="inlineStr">
        <is>
          <t>HSX02</t>
        </is>
      </c>
      <c r="C1353" s="328" t="n"/>
      <c r="D1353" s="329" t="inlineStr">
        <is>
          <t>Trái phiếu chính quyền địa phương</t>
        </is>
      </c>
      <c r="F1353" s="4" t="inlineStr">
        <is>
          <t>Báo cáo</t>
        </is>
      </c>
      <c r="G1353" s="22" t="inlineStr">
        <is>
          <t>Chỉ tiêu phái sinh</t>
        </is>
      </c>
      <c r="H1353" s="4" t="inlineStr">
        <is>
          <t>TB</t>
        </is>
      </c>
    </row>
    <row r="1354" ht="16" customHeight="1" s="380">
      <c r="B1354" s="4" t="inlineStr">
        <is>
          <t>HSX02</t>
        </is>
      </c>
      <c r="C1354" s="328" t="n"/>
      <c r="D1354" s="329" t="inlineStr">
        <is>
          <t>Trái phiếu doanh nghiệp</t>
        </is>
      </c>
      <c r="F1354" s="4" t="inlineStr">
        <is>
          <t>Báo cáo</t>
        </is>
      </c>
      <c r="G1354" s="22" t="inlineStr">
        <is>
          <t>Chỉ tiêu phái sinh</t>
        </is>
      </c>
      <c r="H1354" s="4" t="inlineStr">
        <is>
          <t>TB</t>
        </is>
      </c>
    </row>
    <row r="1355" ht="16" customHeight="1" s="380">
      <c r="B1355" s="4" t="inlineStr">
        <is>
          <t>HSX02</t>
        </is>
      </c>
      <c r="C1355" s="328" t="n"/>
      <c r="D1355" s="329" t="inlineStr">
        <is>
          <t>Chứng chỉ quỹ</t>
        </is>
      </c>
      <c r="F1355" s="4" t="inlineStr">
        <is>
          <t>Báo cáo</t>
        </is>
      </c>
      <c r="G1355" s="22" t="inlineStr">
        <is>
          <t>Chỉ tiêu phái sinh</t>
        </is>
      </c>
      <c r="H1355" s="4" t="inlineStr">
        <is>
          <t>TB</t>
        </is>
      </c>
    </row>
    <row r="1356" ht="16" customHeight="1" s="380">
      <c r="B1356" s="4" t="inlineStr">
        <is>
          <t>HSX02</t>
        </is>
      </c>
      <c r="C1356" s="328" t="n"/>
      <c r="D1356" s="329" t="inlineStr">
        <is>
          <t>ETF</t>
        </is>
      </c>
      <c r="F1356" s="4" t="inlineStr">
        <is>
          <t>Báo cáo</t>
        </is>
      </c>
      <c r="G1356" s="22" t="inlineStr">
        <is>
          <t>Chỉ tiêu phái sinh</t>
        </is>
      </c>
      <c r="H1356" s="4" t="inlineStr">
        <is>
          <t>TB</t>
        </is>
      </c>
    </row>
    <row r="1357" ht="16" customHeight="1" s="380">
      <c r="B1357" s="4" t="inlineStr">
        <is>
          <t>HSX02</t>
        </is>
      </c>
      <c r="C1357" s="328" t="n"/>
      <c r="D1357" s="329" t="inlineStr">
        <is>
          <t>CW</t>
        </is>
      </c>
      <c r="F1357" s="4" t="inlineStr">
        <is>
          <t>Báo cáo</t>
        </is>
      </c>
      <c r="G1357" s="22" t="inlineStr">
        <is>
          <t>Chỉ tiêu phái sinh</t>
        </is>
      </c>
      <c r="H1357" s="4" t="inlineStr">
        <is>
          <t>TB</t>
        </is>
      </c>
    </row>
    <row r="1358" ht="17" customHeight="1" s="380">
      <c r="B1358" s="4" t="inlineStr">
        <is>
          <t>HSX02</t>
        </is>
      </c>
      <c r="C1358" s="330" t="n"/>
      <c r="D1358" s="331" t="inlineStr">
        <is>
          <t>Vốn hóa thị trường cổ phiếu</t>
        </is>
      </c>
      <c r="F1358" s="4" t="inlineStr">
        <is>
          <t>Báo cáo</t>
        </is>
      </c>
      <c r="G1358" s="22" t="inlineStr">
        <is>
          <t>Chỉ tiêu phái sinh</t>
        </is>
      </c>
      <c r="H1358" s="4" t="inlineStr">
        <is>
          <t>TB</t>
        </is>
      </c>
    </row>
    <row r="1359" ht="34" customHeight="1" s="380">
      <c r="B1359" s="4" t="inlineStr">
        <is>
          <t>HSX02</t>
        </is>
      </c>
      <c r="C1359" s="330" t="n"/>
      <c r="D1359" s="331" t="inlineStr">
        <is>
          <t>Khối lượng chứng khoán niêm yết mới</t>
        </is>
      </c>
      <c r="F1359" s="4" t="inlineStr">
        <is>
          <t>Báo cáo</t>
        </is>
      </c>
      <c r="G1359" s="22" t="inlineStr">
        <is>
          <t>Chỉ tiêu phái sinh</t>
        </is>
      </c>
      <c r="H1359" s="4" t="inlineStr">
        <is>
          <t>TB</t>
        </is>
      </c>
    </row>
    <row r="1360" ht="16" customHeight="1" s="380">
      <c r="B1360" s="4" t="inlineStr">
        <is>
          <t>HSX02</t>
        </is>
      </c>
      <c r="C1360" s="328" t="n"/>
      <c r="D1360" s="329" t="inlineStr">
        <is>
          <t>Cổ phiếu niêm yết</t>
        </is>
      </c>
      <c r="F1360" s="4" t="inlineStr">
        <is>
          <t>Báo cáo</t>
        </is>
      </c>
      <c r="G1360" s="22" t="inlineStr">
        <is>
          <t>Chỉ tiêu phái sinh</t>
        </is>
      </c>
      <c r="H1360" s="4" t="inlineStr">
        <is>
          <t>TB</t>
        </is>
      </c>
    </row>
    <row r="1361" ht="16" customHeight="1" s="380">
      <c r="B1361" s="4" t="inlineStr">
        <is>
          <t>HSX02</t>
        </is>
      </c>
      <c r="C1361" s="328" t="n"/>
      <c r="D1361" s="329" t="inlineStr">
        <is>
          <t>Trái phiếu chính quyền địa phương</t>
        </is>
      </c>
      <c r="F1361" s="4" t="inlineStr">
        <is>
          <t>Báo cáo</t>
        </is>
      </c>
      <c r="G1361" s="22" t="inlineStr">
        <is>
          <t>Chỉ tiêu phái sinh</t>
        </is>
      </c>
      <c r="H1361" s="4" t="inlineStr">
        <is>
          <t>TB</t>
        </is>
      </c>
    </row>
    <row r="1362" ht="16" customHeight="1" s="380">
      <c r="B1362" s="4" t="inlineStr">
        <is>
          <t>HSX02</t>
        </is>
      </c>
      <c r="C1362" s="328" t="n"/>
      <c r="D1362" s="329" t="inlineStr">
        <is>
          <t>Trái phiếu doanh nghiệp</t>
        </is>
      </c>
      <c r="F1362" s="4" t="inlineStr">
        <is>
          <t>Báo cáo</t>
        </is>
      </c>
      <c r="G1362" s="22" t="inlineStr">
        <is>
          <t>Chỉ tiêu phái sinh</t>
        </is>
      </c>
      <c r="H1362" s="4" t="inlineStr">
        <is>
          <t>TB</t>
        </is>
      </c>
    </row>
    <row r="1363" ht="16" customHeight="1" s="380">
      <c r="B1363" s="4" t="inlineStr">
        <is>
          <t>HSX02</t>
        </is>
      </c>
      <c r="C1363" s="328" t="n"/>
      <c r="D1363" s="329" t="inlineStr">
        <is>
          <t>Chứng chỉ quỹ</t>
        </is>
      </c>
      <c r="F1363" s="4" t="inlineStr">
        <is>
          <t>Báo cáo</t>
        </is>
      </c>
      <c r="G1363" s="22" t="inlineStr">
        <is>
          <t>Chỉ tiêu phái sinh</t>
        </is>
      </c>
      <c r="H1363" s="4" t="inlineStr">
        <is>
          <t>TB</t>
        </is>
      </c>
    </row>
    <row r="1364" ht="16" customHeight="1" s="380">
      <c r="B1364" s="4" t="inlineStr">
        <is>
          <t>HSX02</t>
        </is>
      </c>
      <c r="C1364" s="328" t="n"/>
      <c r="D1364" s="329" t="inlineStr">
        <is>
          <t>ETF</t>
        </is>
      </c>
      <c r="F1364" s="4" t="inlineStr">
        <is>
          <t>Báo cáo</t>
        </is>
      </c>
      <c r="G1364" s="22" t="inlineStr">
        <is>
          <t>Chỉ tiêu phái sinh</t>
        </is>
      </c>
      <c r="H1364" s="4" t="inlineStr">
        <is>
          <t>TB</t>
        </is>
      </c>
    </row>
    <row r="1365" ht="16" customHeight="1" s="380">
      <c r="B1365" s="4" t="inlineStr">
        <is>
          <t>HSX02</t>
        </is>
      </c>
      <c r="C1365" s="328" t="n"/>
      <c r="D1365" s="329" t="inlineStr">
        <is>
          <t>CW</t>
        </is>
      </c>
      <c r="F1365" s="4" t="inlineStr">
        <is>
          <t>Báo cáo</t>
        </is>
      </c>
      <c r="G1365" s="22" t="inlineStr">
        <is>
          <t>Chỉ tiêu phái sinh</t>
        </is>
      </c>
      <c r="H1365" s="4" t="inlineStr">
        <is>
          <t>TB</t>
        </is>
      </c>
    </row>
    <row r="1366" ht="17" customHeight="1" s="380">
      <c r="B1366" s="4" t="inlineStr">
        <is>
          <t>HSX02</t>
        </is>
      </c>
      <c r="C1366" s="330" t="n"/>
      <c r="D1366" s="331" t="inlineStr">
        <is>
          <t>Giá trị chứng khoán niêm yết mới</t>
        </is>
      </c>
      <c r="F1366" s="4" t="inlineStr">
        <is>
          <t>Báo cáo</t>
        </is>
      </c>
      <c r="G1366" s="22" t="inlineStr">
        <is>
          <t>Chỉ tiêu phái sinh</t>
        </is>
      </c>
      <c r="H1366" s="4" t="inlineStr">
        <is>
          <t>TB</t>
        </is>
      </c>
    </row>
    <row r="1367" ht="16" customHeight="1" s="380">
      <c r="B1367" s="4" t="inlineStr">
        <is>
          <t>HSX02</t>
        </is>
      </c>
      <c r="C1367" s="328" t="n"/>
      <c r="D1367" s="329" t="inlineStr">
        <is>
          <t>Cổ phiếu niêm yết</t>
        </is>
      </c>
      <c r="F1367" s="4" t="inlineStr">
        <is>
          <t>Báo cáo</t>
        </is>
      </c>
      <c r="G1367" s="22" t="inlineStr">
        <is>
          <t>Chỉ tiêu phái sinh</t>
        </is>
      </c>
      <c r="H1367" s="4" t="inlineStr">
        <is>
          <t>TB</t>
        </is>
      </c>
    </row>
    <row r="1368" ht="16" customHeight="1" s="380">
      <c r="B1368" s="4" t="inlineStr">
        <is>
          <t>HSX02</t>
        </is>
      </c>
      <c r="C1368" s="328" t="n"/>
      <c r="D1368" s="329" t="inlineStr">
        <is>
          <t>Trái phiếu chính quyền địa phương</t>
        </is>
      </c>
      <c r="F1368" s="4" t="inlineStr">
        <is>
          <t>Báo cáo</t>
        </is>
      </c>
      <c r="G1368" s="22" t="inlineStr">
        <is>
          <t>Chỉ tiêu phái sinh</t>
        </is>
      </c>
      <c r="H1368" s="4" t="inlineStr">
        <is>
          <t>TB</t>
        </is>
      </c>
    </row>
    <row r="1369" ht="16" customHeight="1" s="380">
      <c r="B1369" s="4" t="inlineStr">
        <is>
          <t>HSX02</t>
        </is>
      </c>
      <c r="C1369" s="328" t="n"/>
      <c r="D1369" s="329" t="inlineStr">
        <is>
          <t>Trái phiếu doanh nghiệp</t>
        </is>
      </c>
      <c r="F1369" s="4" t="inlineStr">
        <is>
          <t>Báo cáo</t>
        </is>
      </c>
      <c r="G1369" s="22" t="inlineStr">
        <is>
          <t>Chỉ tiêu phái sinh</t>
        </is>
      </c>
      <c r="H1369" s="4" t="inlineStr">
        <is>
          <t>TB</t>
        </is>
      </c>
    </row>
    <row r="1370" ht="16" customHeight="1" s="380">
      <c r="B1370" s="4" t="inlineStr">
        <is>
          <t>HSX02</t>
        </is>
      </c>
      <c r="C1370" s="328" t="n"/>
      <c r="D1370" s="329" t="inlineStr">
        <is>
          <t>Chứng chỉ quỹ</t>
        </is>
      </c>
      <c r="F1370" s="4" t="inlineStr">
        <is>
          <t>Báo cáo</t>
        </is>
      </c>
      <c r="G1370" s="22" t="inlineStr">
        <is>
          <t>Chỉ tiêu phái sinh</t>
        </is>
      </c>
      <c r="H1370" s="4" t="inlineStr">
        <is>
          <t>TB</t>
        </is>
      </c>
    </row>
    <row r="1371" ht="16" customHeight="1" s="380">
      <c r="B1371" s="4" t="inlineStr">
        <is>
          <t>HSX02</t>
        </is>
      </c>
      <c r="C1371" s="328" t="n"/>
      <c r="D1371" s="329" t="inlineStr">
        <is>
          <t>ETF</t>
        </is>
      </c>
      <c r="F1371" s="4" t="inlineStr">
        <is>
          <t>Báo cáo</t>
        </is>
      </c>
      <c r="G1371" s="22" t="inlineStr">
        <is>
          <t>Chỉ tiêu phái sinh</t>
        </is>
      </c>
      <c r="H1371" s="4" t="inlineStr">
        <is>
          <t>TB</t>
        </is>
      </c>
    </row>
    <row r="1372" ht="16" customHeight="1" s="380">
      <c r="B1372" s="4" t="inlineStr">
        <is>
          <t>HSX02</t>
        </is>
      </c>
      <c r="C1372" s="328" t="n"/>
      <c r="D1372" s="329" t="inlineStr">
        <is>
          <t>CW</t>
        </is>
      </c>
      <c r="F1372" s="4" t="inlineStr">
        <is>
          <t>Báo cáo</t>
        </is>
      </c>
      <c r="G1372" s="22" t="inlineStr">
        <is>
          <t>Chỉ tiêu phái sinh</t>
        </is>
      </c>
      <c r="H1372" s="4" t="inlineStr">
        <is>
          <t>TB</t>
        </is>
      </c>
    </row>
    <row r="1373" ht="34" customHeight="1" s="380">
      <c r="B1373" s="4" t="inlineStr">
        <is>
          <t>HSX02</t>
        </is>
      </c>
      <c r="C1373" s="330" t="n"/>
      <c r="D1373" s="331" t="inlineStr">
        <is>
          <t>Khối lượng chứng khoán niêm yết bổ sung</t>
        </is>
      </c>
      <c r="F1373" s="4" t="inlineStr">
        <is>
          <t>Báo cáo</t>
        </is>
      </c>
      <c r="G1373" s="22" t="inlineStr">
        <is>
          <t>Chỉ tiêu phái sinh</t>
        </is>
      </c>
      <c r="H1373" s="4" t="inlineStr">
        <is>
          <t>TB</t>
        </is>
      </c>
    </row>
    <row r="1374" ht="16" customHeight="1" s="380">
      <c r="B1374" s="4" t="inlineStr">
        <is>
          <t>HSX02</t>
        </is>
      </c>
      <c r="C1374" s="328" t="n"/>
      <c r="D1374" s="329" t="inlineStr">
        <is>
          <t>Cổ phiếu niêm yết</t>
        </is>
      </c>
      <c r="F1374" s="4" t="inlineStr">
        <is>
          <t>Báo cáo</t>
        </is>
      </c>
      <c r="G1374" s="22" t="inlineStr">
        <is>
          <t>Chỉ tiêu phái sinh</t>
        </is>
      </c>
      <c r="H1374" s="4" t="inlineStr">
        <is>
          <t>TB</t>
        </is>
      </c>
    </row>
    <row r="1375" ht="16" customHeight="1" s="380">
      <c r="B1375" s="4" t="inlineStr">
        <is>
          <t>HSX02</t>
        </is>
      </c>
      <c r="C1375" s="328" t="n"/>
      <c r="D1375" s="329" t="inlineStr">
        <is>
          <t>Trái phiếu chính quyền địa phương</t>
        </is>
      </c>
      <c r="F1375" s="4" t="inlineStr">
        <is>
          <t>Báo cáo</t>
        </is>
      </c>
      <c r="G1375" s="22" t="inlineStr">
        <is>
          <t>Chỉ tiêu phái sinh</t>
        </is>
      </c>
      <c r="H1375" s="4" t="inlineStr">
        <is>
          <t>TB</t>
        </is>
      </c>
    </row>
    <row r="1376" ht="16" customHeight="1" s="380">
      <c r="B1376" s="4" t="inlineStr">
        <is>
          <t>HSX02</t>
        </is>
      </c>
      <c r="C1376" s="328" t="n"/>
      <c r="D1376" s="329" t="inlineStr">
        <is>
          <t>Trái phiếu doanh nghiệp</t>
        </is>
      </c>
      <c r="F1376" s="4" t="inlineStr">
        <is>
          <t>Báo cáo</t>
        </is>
      </c>
      <c r="G1376" s="22" t="inlineStr">
        <is>
          <t>Chỉ tiêu phái sinh</t>
        </is>
      </c>
      <c r="H1376" s="4" t="inlineStr">
        <is>
          <t>TB</t>
        </is>
      </c>
    </row>
    <row r="1377" ht="16" customHeight="1" s="380">
      <c r="B1377" s="4" t="inlineStr">
        <is>
          <t>HSX02</t>
        </is>
      </c>
      <c r="C1377" s="328" t="n"/>
      <c r="D1377" s="329" t="inlineStr">
        <is>
          <t>Chứng chỉ quỹ</t>
        </is>
      </c>
      <c r="F1377" s="4" t="inlineStr">
        <is>
          <t>Báo cáo</t>
        </is>
      </c>
      <c r="G1377" s="22" t="inlineStr">
        <is>
          <t>Chỉ tiêu phái sinh</t>
        </is>
      </c>
      <c r="H1377" s="4" t="inlineStr">
        <is>
          <t>TB</t>
        </is>
      </c>
    </row>
    <row r="1378" ht="16" customHeight="1" s="380">
      <c r="B1378" s="4" t="inlineStr">
        <is>
          <t>HSX02</t>
        </is>
      </c>
      <c r="C1378" s="328" t="n"/>
      <c r="D1378" s="329" t="inlineStr">
        <is>
          <t>ETF</t>
        </is>
      </c>
      <c r="F1378" s="4" t="inlineStr">
        <is>
          <t>Báo cáo</t>
        </is>
      </c>
      <c r="G1378" s="22" t="inlineStr">
        <is>
          <t>Chỉ tiêu phái sinh</t>
        </is>
      </c>
      <c r="H1378" s="4" t="inlineStr">
        <is>
          <t>TB</t>
        </is>
      </c>
    </row>
    <row r="1379" ht="16" customHeight="1" s="380">
      <c r="B1379" s="4" t="inlineStr">
        <is>
          <t>HSX02</t>
        </is>
      </c>
      <c r="C1379" s="328" t="n"/>
      <c r="D1379" s="329" t="inlineStr">
        <is>
          <t>CW</t>
        </is>
      </c>
      <c r="F1379" s="4" t="inlineStr">
        <is>
          <t>Báo cáo</t>
        </is>
      </c>
      <c r="G1379" s="22" t="inlineStr">
        <is>
          <t>Chỉ tiêu phái sinh</t>
        </is>
      </c>
      <c r="H1379" s="4" t="inlineStr">
        <is>
          <t>TB</t>
        </is>
      </c>
    </row>
    <row r="1380" ht="17" customHeight="1" s="380">
      <c r="B1380" s="4" t="inlineStr">
        <is>
          <t>HSX02</t>
        </is>
      </c>
      <c r="C1380" s="330" t="n"/>
      <c r="D1380" s="331" t="inlineStr">
        <is>
          <t>Giá trị chứng khoán niêm yết bổ sung</t>
        </is>
      </c>
      <c r="F1380" s="4" t="inlineStr">
        <is>
          <t>Báo cáo</t>
        </is>
      </c>
      <c r="G1380" s="22" t="inlineStr">
        <is>
          <t>Chỉ tiêu phái sinh</t>
        </is>
      </c>
      <c r="H1380" s="4" t="inlineStr">
        <is>
          <t>TB</t>
        </is>
      </c>
    </row>
    <row r="1381" ht="16" customHeight="1" s="380">
      <c r="B1381" s="4" t="inlineStr">
        <is>
          <t>HSX02</t>
        </is>
      </c>
      <c r="C1381" s="328" t="n"/>
      <c r="D1381" s="329" t="inlineStr">
        <is>
          <t>Cổ phiếu niêm yết</t>
        </is>
      </c>
      <c r="F1381" s="4" t="inlineStr">
        <is>
          <t>Báo cáo</t>
        </is>
      </c>
      <c r="G1381" s="22" t="inlineStr">
        <is>
          <t>Chỉ tiêu phái sinh</t>
        </is>
      </c>
      <c r="H1381" s="4" t="inlineStr">
        <is>
          <t>TB</t>
        </is>
      </c>
    </row>
    <row r="1382" ht="16" customHeight="1" s="380">
      <c r="B1382" s="4" t="inlineStr">
        <is>
          <t>HSX02</t>
        </is>
      </c>
      <c r="C1382" s="328" t="n"/>
      <c r="D1382" s="329" t="inlineStr">
        <is>
          <t>Trái phiếu chính quyền địa phương</t>
        </is>
      </c>
      <c r="F1382" s="4" t="inlineStr">
        <is>
          <t>Báo cáo</t>
        </is>
      </c>
      <c r="G1382" s="22" t="inlineStr">
        <is>
          <t>Chỉ tiêu phái sinh</t>
        </is>
      </c>
      <c r="H1382" s="4" t="inlineStr">
        <is>
          <t>TB</t>
        </is>
      </c>
    </row>
    <row r="1383" ht="16" customHeight="1" s="380">
      <c r="B1383" s="4" t="inlineStr">
        <is>
          <t>HSX02</t>
        </is>
      </c>
      <c r="C1383" s="328" t="n"/>
      <c r="D1383" s="329" t="inlineStr">
        <is>
          <t>Trái phiếu doanh nghiệp</t>
        </is>
      </c>
      <c r="F1383" s="4" t="inlineStr">
        <is>
          <t>Báo cáo</t>
        </is>
      </c>
      <c r="G1383" s="22" t="inlineStr">
        <is>
          <t>Chỉ tiêu phái sinh</t>
        </is>
      </c>
      <c r="H1383" s="4" t="inlineStr">
        <is>
          <t>TB</t>
        </is>
      </c>
    </row>
    <row r="1384" ht="16" customHeight="1" s="380">
      <c r="B1384" s="4" t="inlineStr">
        <is>
          <t>HSX02</t>
        </is>
      </c>
      <c r="C1384" s="328" t="n"/>
      <c r="D1384" s="329" t="inlineStr">
        <is>
          <t>Chứng chỉ quỹ</t>
        </is>
      </c>
      <c r="F1384" s="4" t="inlineStr">
        <is>
          <t>Báo cáo</t>
        </is>
      </c>
      <c r="G1384" s="22" t="inlineStr">
        <is>
          <t>Chỉ tiêu phái sinh</t>
        </is>
      </c>
      <c r="H1384" s="4" t="inlineStr">
        <is>
          <t>TB</t>
        </is>
      </c>
    </row>
    <row r="1385" ht="16" customHeight="1" s="380">
      <c r="B1385" s="4" t="inlineStr">
        <is>
          <t>HSX02</t>
        </is>
      </c>
      <c r="C1385" s="328" t="n"/>
      <c r="D1385" s="329" t="inlineStr">
        <is>
          <t>ETF</t>
        </is>
      </c>
      <c r="F1385" s="4" t="inlineStr">
        <is>
          <t>Báo cáo</t>
        </is>
      </c>
      <c r="G1385" s="22" t="inlineStr">
        <is>
          <t>Chỉ tiêu phái sinh</t>
        </is>
      </c>
      <c r="H1385" s="4" t="inlineStr">
        <is>
          <t>TB</t>
        </is>
      </c>
    </row>
    <row r="1386" ht="16" customHeight="1" s="380">
      <c r="B1386" s="4" t="inlineStr">
        <is>
          <t>HSX02</t>
        </is>
      </c>
      <c r="C1386" s="328" t="n"/>
      <c r="D1386" s="329" t="inlineStr">
        <is>
          <t>CW</t>
        </is>
      </c>
      <c r="F1386" s="4" t="inlineStr">
        <is>
          <t>Báo cáo</t>
        </is>
      </c>
      <c r="G1386" s="22" t="inlineStr">
        <is>
          <t>Chỉ tiêu phái sinh</t>
        </is>
      </c>
      <c r="H1386" s="4" t="inlineStr">
        <is>
          <t>TB</t>
        </is>
      </c>
    </row>
    <row r="1387" ht="34" customHeight="1" s="380">
      <c r="B1387" s="4" t="inlineStr">
        <is>
          <t>HSX02</t>
        </is>
      </c>
      <c r="C1387" s="330" t="n"/>
      <c r="D1387" s="331" t="inlineStr">
        <is>
          <t>Khối lượng chứng khoán hủy niêm yết, đáo hạn</t>
        </is>
      </c>
      <c r="F1387" s="4" t="inlineStr">
        <is>
          <t>Báo cáo</t>
        </is>
      </c>
      <c r="G1387" s="22" t="inlineStr">
        <is>
          <t>Chỉ tiêu phái sinh</t>
        </is>
      </c>
      <c r="H1387" s="4" t="inlineStr">
        <is>
          <t>TB</t>
        </is>
      </c>
    </row>
    <row r="1388" ht="16" customHeight="1" s="380">
      <c r="B1388" s="4" t="inlineStr">
        <is>
          <t>HSX02</t>
        </is>
      </c>
      <c r="C1388" s="328" t="n"/>
      <c r="D1388" s="329" t="inlineStr">
        <is>
          <t>Cổ phiếu niêm yết</t>
        </is>
      </c>
      <c r="F1388" s="4" t="inlineStr">
        <is>
          <t>Báo cáo</t>
        </is>
      </c>
      <c r="G1388" s="22" t="inlineStr">
        <is>
          <t>Chỉ tiêu phái sinh</t>
        </is>
      </c>
      <c r="H1388" s="4" t="inlineStr">
        <is>
          <t>TB</t>
        </is>
      </c>
    </row>
    <row r="1389" ht="16" customHeight="1" s="380">
      <c r="B1389" s="4" t="inlineStr">
        <is>
          <t>HSX02</t>
        </is>
      </c>
      <c r="C1389" s="328" t="n"/>
      <c r="D1389" s="329" t="inlineStr">
        <is>
          <t>Trái phiếu chính quyền địa phương</t>
        </is>
      </c>
      <c r="F1389" s="4" t="inlineStr">
        <is>
          <t>Báo cáo</t>
        </is>
      </c>
      <c r="G1389" s="22" t="inlineStr">
        <is>
          <t>Chỉ tiêu phái sinh</t>
        </is>
      </c>
      <c r="H1389" s="4" t="inlineStr">
        <is>
          <t>TB</t>
        </is>
      </c>
    </row>
    <row r="1390" ht="16" customHeight="1" s="380">
      <c r="B1390" s="4" t="inlineStr">
        <is>
          <t>HSX02</t>
        </is>
      </c>
      <c r="C1390" s="328" t="n"/>
      <c r="D1390" s="329" t="inlineStr">
        <is>
          <t>Trái phiếu doanh nghiệp</t>
        </is>
      </c>
      <c r="F1390" s="4" t="inlineStr">
        <is>
          <t>Báo cáo</t>
        </is>
      </c>
      <c r="G1390" s="22" t="inlineStr">
        <is>
          <t>Chỉ tiêu phái sinh</t>
        </is>
      </c>
      <c r="H1390" s="4" t="inlineStr">
        <is>
          <t>TB</t>
        </is>
      </c>
    </row>
    <row r="1391" ht="16" customHeight="1" s="380">
      <c r="B1391" s="4" t="inlineStr">
        <is>
          <t>HSX02</t>
        </is>
      </c>
      <c r="C1391" s="328" t="n"/>
      <c r="D1391" s="329" t="inlineStr">
        <is>
          <t>Chứng chỉ quỹ</t>
        </is>
      </c>
      <c r="F1391" s="4" t="inlineStr">
        <is>
          <t>Báo cáo</t>
        </is>
      </c>
      <c r="G1391" s="22" t="inlineStr">
        <is>
          <t>Chỉ tiêu phái sinh</t>
        </is>
      </c>
      <c r="H1391" s="4" t="inlineStr">
        <is>
          <t>TB</t>
        </is>
      </c>
    </row>
    <row r="1392" ht="16" customHeight="1" s="380">
      <c r="B1392" s="4" t="inlineStr">
        <is>
          <t>HSX02</t>
        </is>
      </c>
      <c r="C1392" s="328" t="n"/>
      <c r="D1392" s="329" t="inlineStr">
        <is>
          <t>ETF</t>
        </is>
      </c>
      <c r="F1392" s="4" t="inlineStr">
        <is>
          <t>Báo cáo</t>
        </is>
      </c>
      <c r="G1392" s="22" t="inlineStr">
        <is>
          <t>Chỉ tiêu phái sinh</t>
        </is>
      </c>
      <c r="H1392" s="4" t="inlineStr">
        <is>
          <t>TB</t>
        </is>
      </c>
    </row>
    <row r="1393" ht="16" customHeight="1" s="380">
      <c r="B1393" s="4" t="inlineStr">
        <is>
          <t>HSX02</t>
        </is>
      </c>
      <c r="C1393" s="328" t="n"/>
      <c r="D1393" s="329" t="inlineStr">
        <is>
          <t>CW</t>
        </is>
      </c>
      <c r="F1393" s="4" t="inlineStr">
        <is>
          <t>Báo cáo</t>
        </is>
      </c>
      <c r="G1393" s="22" t="inlineStr">
        <is>
          <t>Chỉ tiêu phái sinh</t>
        </is>
      </c>
      <c r="H1393" s="4" t="inlineStr">
        <is>
          <t>TB</t>
        </is>
      </c>
    </row>
    <row r="1394" ht="34" customHeight="1" s="380">
      <c r="B1394" s="4" t="inlineStr">
        <is>
          <t>HSX02</t>
        </is>
      </c>
      <c r="C1394" s="330" t="n"/>
      <c r="D1394" s="331" t="inlineStr">
        <is>
          <t>Giá trị chứng khoán hủy niêm yết, đáo hạn</t>
        </is>
      </c>
      <c r="F1394" s="4" t="inlineStr">
        <is>
          <t>Báo cáo</t>
        </is>
      </c>
      <c r="G1394" s="22" t="inlineStr">
        <is>
          <t>Chỉ tiêu phái sinh</t>
        </is>
      </c>
      <c r="H1394" s="4" t="inlineStr">
        <is>
          <t>TB</t>
        </is>
      </c>
    </row>
    <row r="1395" ht="16" customHeight="1" s="380">
      <c r="B1395" s="4" t="inlineStr">
        <is>
          <t>HSX02</t>
        </is>
      </c>
      <c r="C1395" s="328" t="n"/>
      <c r="D1395" s="329" t="inlineStr">
        <is>
          <t>Cổ phiếu niêm yết</t>
        </is>
      </c>
      <c r="F1395" s="4" t="inlineStr">
        <is>
          <t>Báo cáo</t>
        </is>
      </c>
      <c r="G1395" s="22" t="inlineStr">
        <is>
          <t>Chỉ tiêu phái sinh</t>
        </is>
      </c>
      <c r="H1395" s="4" t="inlineStr">
        <is>
          <t>TB</t>
        </is>
      </c>
    </row>
    <row r="1396" ht="16" customHeight="1" s="380">
      <c r="B1396" s="4" t="inlineStr">
        <is>
          <t>HSX02</t>
        </is>
      </c>
      <c r="C1396" s="328" t="n"/>
      <c r="D1396" s="329" t="inlineStr">
        <is>
          <t>Trái phiếu chính quyền địa phương</t>
        </is>
      </c>
      <c r="F1396" s="4" t="inlineStr">
        <is>
          <t>Báo cáo</t>
        </is>
      </c>
      <c r="G1396" s="22" t="inlineStr">
        <is>
          <t>Chỉ tiêu phái sinh</t>
        </is>
      </c>
      <c r="H1396" s="4" t="inlineStr">
        <is>
          <t>TB</t>
        </is>
      </c>
    </row>
    <row r="1397" ht="16" customHeight="1" s="380">
      <c r="B1397" s="4" t="inlineStr">
        <is>
          <t>HSX02</t>
        </is>
      </c>
      <c r="C1397" s="328" t="n"/>
      <c r="D1397" s="329" t="inlineStr">
        <is>
          <t>Trái phiếu doanh nghiệp</t>
        </is>
      </c>
      <c r="F1397" s="4" t="inlineStr">
        <is>
          <t>Báo cáo</t>
        </is>
      </c>
      <c r="G1397" s="22" t="inlineStr">
        <is>
          <t>Chỉ tiêu phái sinh</t>
        </is>
      </c>
      <c r="H1397" s="4" t="inlineStr">
        <is>
          <t>TB</t>
        </is>
      </c>
    </row>
    <row r="1398" ht="16" customHeight="1" s="380">
      <c r="B1398" s="4" t="inlineStr">
        <is>
          <t>HSX02</t>
        </is>
      </c>
      <c r="C1398" s="328" t="n"/>
      <c r="D1398" s="329" t="inlineStr">
        <is>
          <t>Chứng chỉ quỹ</t>
        </is>
      </c>
      <c r="F1398" s="4" t="inlineStr">
        <is>
          <t>Báo cáo</t>
        </is>
      </c>
      <c r="G1398" s="22" t="inlineStr">
        <is>
          <t>Chỉ tiêu phái sinh</t>
        </is>
      </c>
      <c r="H1398" s="4" t="inlineStr">
        <is>
          <t>TB</t>
        </is>
      </c>
    </row>
    <row r="1399" ht="16" customHeight="1" s="380">
      <c r="B1399" s="4" t="inlineStr">
        <is>
          <t>HSX02</t>
        </is>
      </c>
      <c r="C1399" s="328" t="n"/>
      <c r="D1399" s="329" t="inlineStr">
        <is>
          <t>ETF</t>
        </is>
      </c>
      <c r="F1399" s="4" t="inlineStr">
        <is>
          <t>Báo cáo</t>
        </is>
      </c>
      <c r="G1399" s="22" t="inlineStr">
        <is>
          <t>Chỉ tiêu phái sinh</t>
        </is>
      </c>
      <c r="H1399" s="4" t="inlineStr">
        <is>
          <t>TB</t>
        </is>
      </c>
    </row>
    <row r="1400" ht="16" customHeight="1" s="380">
      <c r="B1400" s="4" t="inlineStr">
        <is>
          <t>HSX02</t>
        </is>
      </c>
      <c r="C1400" s="328" t="n"/>
      <c r="D1400" s="329" t="inlineStr">
        <is>
          <t>CW</t>
        </is>
      </c>
      <c r="F1400" s="4" t="inlineStr">
        <is>
          <t>Báo cáo</t>
        </is>
      </c>
      <c r="G1400" s="22" t="inlineStr">
        <is>
          <t>Chỉ tiêu phái sinh</t>
        </is>
      </c>
      <c r="H1400" s="4" t="inlineStr">
        <is>
          <t>TB</t>
        </is>
      </c>
    </row>
    <row r="1401" ht="34" customHeight="1" s="380">
      <c r="B1401" s="4" t="inlineStr">
        <is>
          <t>HSX02</t>
        </is>
      </c>
      <c r="C1401" s="330" t="n"/>
      <c r="D1401" s="331" t="inlineStr">
        <is>
          <t>Số mã chứng khoán niêm yết tại thời điểm cuối tháng</t>
        </is>
      </c>
      <c r="F1401" s="4" t="inlineStr">
        <is>
          <t>Báo cáo</t>
        </is>
      </c>
      <c r="G1401" s="22" t="inlineStr">
        <is>
          <t>Chỉ tiêu phái sinh</t>
        </is>
      </c>
      <c r="H1401" s="4" t="inlineStr">
        <is>
          <t>TB</t>
        </is>
      </c>
    </row>
    <row r="1402" ht="16" customHeight="1" s="380">
      <c r="B1402" s="4" t="inlineStr">
        <is>
          <t>HSX02</t>
        </is>
      </c>
      <c r="C1402" s="328" t="n"/>
      <c r="D1402" s="329" t="inlineStr">
        <is>
          <t>Cổ phiếu niêm yết</t>
        </is>
      </c>
      <c r="F1402" s="4" t="inlineStr">
        <is>
          <t>Báo cáo</t>
        </is>
      </c>
      <c r="G1402" s="22" t="inlineStr">
        <is>
          <t>Chỉ tiêu phái sinh</t>
        </is>
      </c>
      <c r="H1402" s="4" t="inlineStr">
        <is>
          <t>TB</t>
        </is>
      </c>
    </row>
    <row r="1403" ht="16" customHeight="1" s="380">
      <c r="B1403" s="4" t="inlineStr">
        <is>
          <t>HSX02</t>
        </is>
      </c>
      <c r="C1403" s="328" t="n"/>
      <c r="D1403" s="329" t="inlineStr">
        <is>
          <t>Trái phiếu chính quyền địa phương</t>
        </is>
      </c>
      <c r="F1403" s="4" t="inlineStr">
        <is>
          <t>Báo cáo</t>
        </is>
      </c>
      <c r="G1403" s="22" t="inlineStr">
        <is>
          <t>Chỉ tiêu phái sinh</t>
        </is>
      </c>
      <c r="H1403" s="4" t="inlineStr">
        <is>
          <t>TB</t>
        </is>
      </c>
    </row>
    <row r="1404" ht="16" customHeight="1" s="380">
      <c r="B1404" s="4" t="inlineStr">
        <is>
          <t>HSX02</t>
        </is>
      </c>
      <c r="C1404" s="328" t="n"/>
      <c r="D1404" s="329" t="inlineStr">
        <is>
          <t>Trái phiếu doanh nghiệp</t>
        </is>
      </c>
      <c r="F1404" s="4" t="inlineStr">
        <is>
          <t>Báo cáo</t>
        </is>
      </c>
      <c r="G1404" s="22" t="inlineStr">
        <is>
          <t>Chỉ tiêu phái sinh</t>
        </is>
      </c>
      <c r="H1404" s="4" t="inlineStr">
        <is>
          <t>TB</t>
        </is>
      </c>
    </row>
    <row r="1405" ht="16" customHeight="1" s="380">
      <c r="B1405" s="4" t="inlineStr">
        <is>
          <t>HSX02</t>
        </is>
      </c>
      <c r="C1405" s="328" t="n"/>
      <c r="D1405" s="329" t="inlineStr">
        <is>
          <t>Chứng chỉ quỹ</t>
        </is>
      </c>
      <c r="F1405" s="4" t="inlineStr">
        <is>
          <t>Báo cáo</t>
        </is>
      </c>
      <c r="G1405" s="22" t="inlineStr">
        <is>
          <t>Chỉ tiêu phái sinh</t>
        </is>
      </c>
      <c r="H1405" s="4" t="inlineStr">
        <is>
          <t>TB</t>
        </is>
      </c>
    </row>
    <row r="1406" ht="16" customHeight="1" s="380">
      <c r="B1406" s="4" t="inlineStr">
        <is>
          <t>HSX02</t>
        </is>
      </c>
      <c r="C1406" s="328" t="n"/>
      <c r="D1406" s="329" t="inlineStr">
        <is>
          <t>ETF</t>
        </is>
      </c>
      <c r="F1406" s="4" t="inlineStr">
        <is>
          <t>Báo cáo</t>
        </is>
      </c>
      <c r="G1406" s="22" t="inlineStr">
        <is>
          <t>Chỉ tiêu phái sinh</t>
        </is>
      </c>
      <c r="H1406" s="4" t="inlineStr">
        <is>
          <t>TB</t>
        </is>
      </c>
    </row>
    <row r="1407" ht="16" customHeight="1" s="380">
      <c r="B1407" s="4" t="inlineStr">
        <is>
          <t>HSX02</t>
        </is>
      </c>
      <c r="C1407" s="328" t="n"/>
      <c r="D1407" s="329" t="inlineStr">
        <is>
          <t>CW</t>
        </is>
      </c>
      <c r="F1407" s="4" t="inlineStr">
        <is>
          <t>Báo cáo</t>
        </is>
      </c>
      <c r="G1407" s="22" t="inlineStr">
        <is>
          <t>Chỉ tiêu phái sinh</t>
        </is>
      </c>
      <c r="H1407" s="4" t="inlineStr">
        <is>
          <t>TB</t>
        </is>
      </c>
    </row>
    <row r="1408" ht="16" customHeight="1" s="380">
      <c r="B1408" s="4" t="inlineStr">
        <is>
          <t>HSX02</t>
        </is>
      </c>
      <c r="C1408" s="326" t="n"/>
      <c r="D1408" s="327" t="inlineStr">
        <is>
          <t>Số mã chứng khoán niêm yết mới trong tháng</t>
        </is>
      </c>
      <c r="F1408" s="4" t="inlineStr">
        <is>
          <t>Báo cáo</t>
        </is>
      </c>
      <c r="G1408" s="22" t="inlineStr">
        <is>
          <t>Chỉ tiêu phái sinh</t>
        </is>
      </c>
      <c r="H1408" s="4" t="inlineStr">
        <is>
          <t>TB</t>
        </is>
      </c>
    </row>
    <row r="1409" ht="16" customHeight="1" s="380">
      <c r="B1409" s="4" t="inlineStr">
        <is>
          <t>HSX02</t>
        </is>
      </c>
      <c r="C1409" s="328" t="n"/>
      <c r="D1409" s="329" t="inlineStr">
        <is>
          <t>Cổ phiếu niêm yết</t>
        </is>
      </c>
      <c r="F1409" s="4" t="inlineStr">
        <is>
          <t>Báo cáo</t>
        </is>
      </c>
      <c r="G1409" s="22" t="inlineStr">
        <is>
          <t>Chỉ tiêu phái sinh</t>
        </is>
      </c>
      <c r="H1409" s="4" t="inlineStr">
        <is>
          <t>TB</t>
        </is>
      </c>
    </row>
    <row r="1410" ht="16" customHeight="1" s="380">
      <c r="B1410" s="4" t="inlineStr">
        <is>
          <t>HSX02</t>
        </is>
      </c>
      <c r="C1410" s="328" t="n"/>
      <c r="D1410" s="329" t="inlineStr">
        <is>
          <t>Trái phiếu chính quyền địa phương</t>
        </is>
      </c>
      <c r="F1410" s="4" t="inlineStr">
        <is>
          <t>Báo cáo</t>
        </is>
      </c>
      <c r="G1410" s="22" t="inlineStr">
        <is>
          <t>Chỉ tiêu phái sinh</t>
        </is>
      </c>
      <c r="H1410" s="4" t="inlineStr">
        <is>
          <t>TB</t>
        </is>
      </c>
    </row>
    <row r="1411" ht="16" customHeight="1" s="380">
      <c r="B1411" s="4" t="inlineStr">
        <is>
          <t>HSX02</t>
        </is>
      </c>
      <c r="C1411" s="328" t="n"/>
      <c r="D1411" s="329" t="inlineStr">
        <is>
          <t>Trái phiếu doanh nghiệp</t>
        </is>
      </c>
      <c r="F1411" s="4" t="inlineStr">
        <is>
          <t>Báo cáo</t>
        </is>
      </c>
      <c r="G1411" s="22" t="inlineStr">
        <is>
          <t>Chỉ tiêu phái sinh</t>
        </is>
      </c>
      <c r="H1411" s="4" t="inlineStr">
        <is>
          <t>TB</t>
        </is>
      </c>
    </row>
    <row r="1412" ht="16" customHeight="1" s="380">
      <c r="B1412" s="4" t="inlineStr">
        <is>
          <t>HSX02</t>
        </is>
      </c>
      <c r="C1412" s="328" t="n"/>
      <c r="D1412" s="329" t="inlineStr">
        <is>
          <t>Chứng chỉ quỹ</t>
        </is>
      </c>
      <c r="F1412" s="4" t="inlineStr">
        <is>
          <t>Báo cáo</t>
        </is>
      </c>
      <c r="G1412" s="22" t="inlineStr">
        <is>
          <t>Chỉ tiêu phái sinh</t>
        </is>
      </c>
      <c r="H1412" s="4" t="inlineStr">
        <is>
          <t>TB</t>
        </is>
      </c>
    </row>
    <row r="1413" ht="16" customHeight="1" s="380">
      <c r="B1413" s="4" t="inlineStr">
        <is>
          <t>HSX02</t>
        </is>
      </c>
      <c r="C1413" s="328" t="n"/>
      <c r="D1413" s="329" t="inlineStr">
        <is>
          <t>ETF</t>
        </is>
      </c>
      <c r="F1413" s="4" t="inlineStr">
        <is>
          <t>Báo cáo</t>
        </is>
      </c>
      <c r="G1413" s="22" t="inlineStr">
        <is>
          <t>Chỉ tiêu phái sinh</t>
        </is>
      </c>
      <c r="H1413" s="4" t="inlineStr">
        <is>
          <t>TB</t>
        </is>
      </c>
    </row>
    <row r="1414" ht="16" customHeight="1" s="380">
      <c r="B1414" s="4" t="inlineStr">
        <is>
          <t>HSX02</t>
        </is>
      </c>
      <c r="C1414" s="328" t="n"/>
      <c r="D1414" s="329" t="inlineStr">
        <is>
          <t>CW</t>
        </is>
      </c>
      <c r="F1414" s="4" t="inlineStr">
        <is>
          <t>Báo cáo</t>
        </is>
      </c>
      <c r="G1414" s="22" t="inlineStr">
        <is>
          <t>Chỉ tiêu phái sinh</t>
        </is>
      </c>
      <c r="H1414" s="4" t="inlineStr">
        <is>
          <t>TB</t>
        </is>
      </c>
    </row>
    <row r="1415" ht="32" customHeight="1" s="380">
      <c r="B1415" s="4" t="inlineStr">
        <is>
          <t>HSX02</t>
        </is>
      </c>
      <c r="C1415" s="326" t="n"/>
      <c r="D1415" s="327" t="inlineStr">
        <is>
          <t>Số mã chứng khoán hủy niêm yết, đáo hạn trong tháng</t>
        </is>
      </c>
      <c r="F1415" s="4" t="inlineStr">
        <is>
          <t>Báo cáo</t>
        </is>
      </c>
      <c r="G1415" s="22" t="inlineStr">
        <is>
          <t>Chỉ tiêu phái sinh</t>
        </is>
      </c>
      <c r="H1415" s="4" t="inlineStr">
        <is>
          <t>TB</t>
        </is>
      </c>
    </row>
    <row r="1416" ht="16" customHeight="1" s="380">
      <c r="B1416" s="4" t="inlineStr">
        <is>
          <t>HSX02</t>
        </is>
      </c>
      <c r="C1416" s="328" t="n"/>
      <c r="D1416" s="329" t="inlineStr">
        <is>
          <t>Cổ phiếu niêm yết</t>
        </is>
      </c>
      <c r="F1416" s="4" t="inlineStr">
        <is>
          <t>Báo cáo</t>
        </is>
      </c>
      <c r="G1416" s="22" t="inlineStr">
        <is>
          <t>Chỉ tiêu phái sinh</t>
        </is>
      </c>
      <c r="H1416" s="4" t="inlineStr">
        <is>
          <t>TB</t>
        </is>
      </c>
    </row>
    <row r="1417" ht="16" customHeight="1" s="380">
      <c r="B1417" s="4" t="inlineStr">
        <is>
          <t>HSX02</t>
        </is>
      </c>
      <c r="C1417" s="328" t="n"/>
      <c r="D1417" s="329" t="inlineStr">
        <is>
          <t>Trái phiếu chính quyền địa phương</t>
        </is>
      </c>
      <c r="F1417" s="4" t="inlineStr">
        <is>
          <t>Báo cáo</t>
        </is>
      </c>
      <c r="G1417" s="22" t="inlineStr">
        <is>
          <t>Chỉ tiêu phái sinh</t>
        </is>
      </c>
      <c r="H1417" s="4" t="inlineStr">
        <is>
          <t>TB</t>
        </is>
      </c>
    </row>
    <row r="1418" ht="16" customHeight="1" s="380">
      <c r="B1418" s="4" t="inlineStr">
        <is>
          <t>HSX02</t>
        </is>
      </c>
      <c r="C1418" s="328" t="n"/>
      <c r="D1418" s="329" t="inlineStr">
        <is>
          <t>Trái phiếu doanh nghiệp</t>
        </is>
      </c>
      <c r="F1418" s="4" t="inlineStr">
        <is>
          <t>Báo cáo</t>
        </is>
      </c>
      <c r="G1418" s="22" t="inlineStr">
        <is>
          <t>Chỉ tiêu phái sinh</t>
        </is>
      </c>
      <c r="H1418" s="4" t="inlineStr">
        <is>
          <t>TB</t>
        </is>
      </c>
    </row>
    <row r="1419" ht="16" customHeight="1" s="380">
      <c r="B1419" s="4" t="inlineStr">
        <is>
          <t>HSX02</t>
        </is>
      </c>
      <c r="C1419" s="328" t="n"/>
      <c r="D1419" s="329" t="inlineStr">
        <is>
          <t>Chứng chỉ quỹ</t>
        </is>
      </c>
      <c r="F1419" s="4" t="inlineStr">
        <is>
          <t>Báo cáo</t>
        </is>
      </c>
      <c r="G1419" s="22" t="inlineStr">
        <is>
          <t>Chỉ tiêu phái sinh</t>
        </is>
      </c>
      <c r="H1419" s="4" t="inlineStr">
        <is>
          <t>TB</t>
        </is>
      </c>
    </row>
    <row r="1420" ht="16" customHeight="1" s="380">
      <c r="B1420" s="4" t="inlineStr">
        <is>
          <t>HSX02</t>
        </is>
      </c>
      <c r="C1420" s="328" t="n"/>
      <c r="D1420" s="329" t="inlineStr">
        <is>
          <t>ETF</t>
        </is>
      </c>
      <c r="F1420" s="4" t="inlineStr">
        <is>
          <t>Báo cáo</t>
        </is>
      </c>
      <c r="G1420" s="22" t="inlineStr">
        <is>
          <t>Chỉ tiêu phái sinh</t>
        </is>
      </c>
      <c r="H1420" s="4" t="inlineStr">
        <is>
          <t>TB</t>
        </is>
      </c>
    </row>
    <row r="1421" ht="16" customHeight="1" s="380">
      <c r="B1421" s="4" t="inlineStr">
        <is>
          <t>HSX02</t>
        </is>
      </c>
      <c r="C1421" s="328" t="n"/>
      <c r="D1421" s="329" t="inlineStr">
        <is>
          <t>CW</t>
        </is>
      </c>
      <c r="F1421" s="4" t="inlineStr">
        <is>
          <t>Báo cáo</t>
        </is>
      </c>
      <c r="G1421" s="22" t="inlineStr">
        <is>
          <t>Chỉ tiêu phái sinh</t>
        </is>
      </c>
      <c r="H1421" s="4" t="inlineStr">
        <is>
          <t>TB</t>
        </is>
      </c>
    </row>
    <row r="1422" ht="16" customHeight="1" s="380">
      <c r="B1422" s="4" t="inlineStr">
        <is>
          <t>HSX02</t>
        </is>
      </c>
      <c r="C1422" s="326" t="n"/>
      <c r="D1422" s="327" t="inlineStr">
        <is>
          <t>Số phiên thực hiện giao dịch</t>
        </is>
      </c>
      <c r="F1422" s="4" t="inlineStr">
        <is>
          <t>Báo cáo</t>
        </is>
      </c>
      <c r="G1422" s="22" t="inlineStr">
        <is>
          <t>Chỉ tiêu phái sinh</t>
        </is>
      </c>
      <c r="H1422" s="4" t="inlineStr">
        <is>
          <t>TB</t>
        </is>
      </c>
    </row>
    <row r="1423" ht="16" customHeight="1" s="380">
      <c r="B1423" s="4" t="inlineStr">
        <is>
          <t>HSX02</t>
        </is>
      </c>
      <c r="C1423" s="326" t="n"/>
      <c r="D1423" s="327" t="inlineStr">
        <is>
          <t>SGDCK TP.HCM</t>
        </is>
      </c>
      <c r="F1423" s="4" t="inlineStr">
        <is>
          <t>Báo cáo</t>
        </is>
      </c>
      <c r="G1423" s="22" t="inlineStr">
        <is>
          <t>Chỉ tiêu phái sinh</t>
        </is>
      </c>
      <c r="H1423" s="4" t="inlineStr">
        <is>
          <t>TB</t>
        </is>
      </c>
    </row>
    <row r="1424" ht="17" customHeight="1" s="380">
      <c r="B1424" s="4" t="inlineStr">
        <is>
          <t>HSX02</t>
        </is>
      </c>
      <c r="C1424" s="330" t="n"/>
      <c r="D1424" s="331" t="inlineStr">
        <is>
          <t>Giao dịch Nhà đầu tư nước ngoài</t>
        </is>
      </c>
      <c r="F1424" s="4" t="inlineStr">
        <is>
          <t>Báo cáo</t>
        </is>
      </c>
      <c r="G1424" s="22" t="inlineStr">
        <is>
          <t>Chỉ tiêu phái sinh</t>
        </is>
      </c>
      <c r="H1424" s="4" t="inlineStr">
        <is>
          <t>TB</t>
        </is>
      </c>
    </row>
    <row r="1425" ht="17" customHeight="1" s="380">
      <c r="B1425" s="4" t="inlineStr">
        <is>
          <t>HSX02</t>
        </is>
      </c>
      <c r="C1425" s="332" t="n"/>
      <c r="D1425" s="333" t="inlineStr">
        <is>
          <t>GDNĐTNN cổ phiếu niêm yết</t>
        </is>
      </c>
      <c r="F1425" s="4" t="inlineStr">
        <is>
          <t>Báo cáo</t>
        </is>
      </c>
      <c r="G1425" s="22" t="inlineStr">
        <is>
          <t>Chỉ tiêu phái sinh</t>
        </is>
      </c>
      <c r="H1425" s="4" t="inlineStr">
        <is>
          <t>TB</t>
        </is>
      </c>
    </row>
    <row r="1426" ht="17" customHeight="1" s="380">
      <c r="B1426" s="4" t="inlineStr">
        <is>
          <t>HSX02</t>
        </is>
      </c>
      <c r="C1426" s="334" t="n"/>
      <c r="D1426" s="335" t="inlineStr">
        <is>
          <t>Khối lượng giao dịch cổ phiếu niêm yết</t>
        </is>
      </c>
      <c r="F1426" s="4" t="inlineStr">
        <is>
          <t>Báo cáo</t>
        </is>
      </c>
      <c r="G1426" s="22" t="inlineStr">
        <is>
          <t>Chỉ tiêu phái sinh</t>
        </is>
      </c>
      <c r="H1426" s="4" t="inlineStr">
        <is>
          <t>TB</t>
        </is>
      </c>
    </row>
    <row r="1427" ht="17" customHeight="1" s="380">
      <c r="B1427" s="4" t="inlineStr">
        <is>
          <t>HSX02</t>
        </is>
      </c>
      <c r="C1427" s="334" t="n"/>
      <c r="D1427" s="335" t="inlineStr">
        <is>
          <t>Khối lượng giao dịch mua</t>
        </is>
      </c>
      <c r="F1427" s="4" t="inlineStr">
        <is>
          <t>Báo cáo</t>
        </is>
      </c>
      <c r="G1427" s="22" t="inlineStr">
        <is>
          <t>Chỉ tiêu phái sinh</t>
        </is>
      </c>
      <c r="H1427" s="4" t="inlineStr">
        <is>
          <t>TB</t>
        </is>
      </c>
    </row>
    <row r="1428" ht="17" customHeight="1" s="380">
      <c r="B1428" s="4" t="inlineStr">
        <is>
          <t>HSX02</t>
        </is>
      </c>
      <c r="C1428" s="334" t="n"/>
      <c r="D1428" s="335" t="inlineStr">
        <is>
          <t>Khối lượng giao dịch bán</t>
        </is>
      </c>
      <c r="F1428" s="4" t="inlineStr">
        <is>
          <t>Báo cáo</t>
        </is>
      </c>
      <c r="G1428" s="22" t="inlineStr">
        <is>
          <t>Chỉ tiêu phái sinh</t>
        </is>
      </c>
      <c r="H1428" s="4" t="inlineStr">
        <is>
          <t>TB</t>
        </is>
      </c>
    </row>
    <row r="1429" ht="17" customHeight="1" s="380">
      <c r="B1429" s="4" t="inlineStr">
        <is>
          <t>HSX02</t>
        </is>
      </c>
      <c r="C1429" s="334" t="n"/>
      <c r="D1429" s="335" t="inlineStr">
        <is>
          <t>Khối lượng mua/bán ròng</t>
        </is>
      </c>
      <c r="F1429" s="4" t="inlineStr">
        <is>
          <t>Báo cáo</t>
        </is>
      </c>
      <c r="G1429" s="22" t="inlineStr">
        <is>
          <t>Chỉ tiêu phái sinh</t>
        </is>
      </c>
      <c r="H1429" s="4" t="inlineStr">
        <is>
          <t>TB</t>
        </is>
      </c>
    </row>
    <row r="1430" ht="17" customHeight="1" s="380">
      <c r="B1430" s="4" t="inlineStr">
        <is>
          <t>HSX02</t>
        </is>
      </c>
      <c r="C1430" s="334" t="n"/>
      <c r="D1430" s="335" t="inlineStr">
        <is>
          <t>Giá trị giao dịch cổ phiếu niêm yết</t>
        </is>
      </c>
      <c r="F1430" s="4" t="inlineStr">
        <is>
          <t>Báo cáo</t>
        </is>
      </c>
      <c r="G1430" s="22" t="inlineStr">
        <is>
          <t>Chỉ tiêu phái sinh</t>
        </is>
      </c>
      <c r="H1430" s="4" t="inlineStr">
        <is>
          <t>TB</t>
        </is>
      </c>
    </row>
    <row r="1431" ht="17" customHeight="1" s="380">
      <c r="B1431" s="4" t="inlineStr">
        <is>
          <t>HSX02</t>
        </is>
      </c>
      <c r="C1431" s="334" t="n"/>
      <c r="D1431" s="335" t="inlineStr">
        <is>
          <t>Giá trị giao dịch mua</t>
        </is>
      </c>
      <c r="F1431" s="4" t="inlineStr">
        <is>
          <t>Báo cáo</t>
        </is>
      </c>
      <c r="G1431" s="22" t="inlineStr">
        <is>
          <t>Chỉ tiêu phái sinh</t>
        </is>
      </c>
      <c r="H1431" s="4" t="inlineStr">
        <is>
          <t>TB</t>
        </is>
      </c>
    </row>
    <row r="1432" ht="17" customHeight="1" s="380">
      <c r="B1432" s="4" t="inlineStr">
        <is>
          <t>HSX02</t>
        </is>
      </c>
      <c r="C1432" s="334" t="n"/>
      <c r="D1432" s="335" t="inlineStr">
        <is>
          <t>Giá trị giao dịch bán</t>
        </is>
      </c>
      <c r="F1432" s="4" t="inlineStr">
        <is>
          <t>Báo cáo</t>
        </is>
      </c>
      <c r="G1432" s="22" t="inlineStr">
        <is>
          <t>Chỉ tiêu phái sinh</t>
        </is>
      </c>
      <c r="H1432" s="4" t="inlineStr">
        <is>
          <t>TB</t>
        </is>
      </c>
    </row>
    <row r="1433" ht="17" customHeight="1" s="380">
      <c r="B1433" s="4" t="inlineStr">
        <is>
          <t>HSX02</t>
        </is>
      </c>
      <c r="C1433" s="334" t="n"/>
      <c r="D1433" s="335" t="inlineStr">
        <is>
          <t>Giá trị mua/bán ròng</t>
        </is>
      </c>
      <c r="F1433" s="4" t="inlineStr">
        <is>
          <t>Báo cáo</t>
        </is>
      </c>
      <c r="G1433" s="22" t="inlineStr">
        <is>
          <t>Chỉ tiêu phái sinh</t>
        </is>
      </c>
      <c r="H1433" s="4" t="inlineStr">
        <is>
          <t>TB</t>
        </is>
      </c>
    </row>
    <row r="1434" ht="17" customHeight="1" s="380">
      <c r="B1434" s="4" t="inlineStr">
        <is>
          <t>HSX02</t>
        </is>
      </c>
      <c r="C1434" s="332" t="n"/>
      <c r="D1434" s="333" t="inlineStr">
        <is>
          <t>GDNĐTNN chứng chỉ quỹ</t>
        </is>
      </c>
      <c r="F1434" s="4" t="inlineStr">
        <is>
          <t>Báo cáo</t>
        </is>
      </c>
      <c r="G1434" s="22" t="inlineStr">
        <is>
          <t>Chỉ tiêu phái sinh</t>
        </is>
      </c>
      <c r="H1434" s="4" t="inlineStr">
        <is>
          <t>TB</t>
        </is>
      </c>
    </row>
    <row r="1435" ht="17" customHeight="1" s="380">
      <c r="B1435" s="4" t="inlineStr">
        <is>
          <t>HSX02</t>
        </is>
      </c>
      <c r="C1435" s="334" t="n"/>
      <c r="D1435" s="335" t="inlineStr">
        <is>
          <t>Khối lượng giao dịch chứng chỉ quỹ</t>
        </is>
      </c>
      <c r="F1435" s="4" t="inlineStr">
        <is>
          <t>Báo cáo</t>
        </is>
      </c>
      <c r="G1435" s="22" t="inlineStr">
        <is>
          <t>Chỉ tiêu phái sinh</t>
        </is>
      </c>
      <c r="H1435" s="4" t="inlineStr">
        <is>
          <t>TB</t>
        </is>
      </c>
    </row>
    <row r="1436" ht="17" customHeight="1" s="380">
      <c r="B1436" s="4" t="inlineStr">
        <is>
          <t>HSX02</t>
        </is>
      </c>
      <c r="C1436" s="334" t="n"/>
      <c r="D1436" s="335" t="inlineStr">
        <is>
          <t>Khối lượng giao dịch mua</t>
        </is>
      </c>
      <c r="F1436" s="4" t="inlineStr">
        <is>
          <t>Báo cáo</t>
        </is>
      </c>
      <c r="G1436" s="22" t="inlineStr">
        <is>
          <t>Chỉ tiêu phái sinh</t>
        </is>
      </c>
      <c r="H1436" s="4" t="inlineStr">
        <is>
          <t>TB</t>
        </is>
      </c>
    </row>
    <row r="1437" ht="17" customHeight="1" s="380">
      <c r="B1437" s="4" t="inlineStr">
        <is>
          <t>HSX02</t>
        </is>
      </c>
      <c r="C1437" s="334" t="n"/>
      <c r="D1437" s="335" t="inlineStr">
        <is>
          <t>Khối lượng giao dịch bán</t>
        </is>
      </c>
      <c r="F1437" s="4" t="inlineStr">
        <is>
          <t>Báo cáo</t>
        </is>
      </c>
      <c r="G1437" s="22" t="inlineStr">
        <is>
          <t>Chỉ tiêu phái sinh</t>
        </is>
      </c>
      <c r="H1437" s="4" t="inlineStr">
        <is>
          <t>TB</t>
        </is>
      </c>
    </row>
    <row r="1438" ht="17" customHeight="1" s="380">
      <c r="B1438" s="4" t="inlineStr">
        <is>
          <t>HSX02</t>
        </is>
      </c>
      <c r="C1438" s="334" t="n"/>
      <c r="D1438" s="335" t="inlineStr">
        <is>
          <t>Khối lượng mua/bán ròng</t>
        </is>
      </c>
      <c r="F1438" s="4" t="inlineStr">
        <is>
          <t>Báo cáo</t>
        </is>
      </c>
      <c r="G1438" s="22" t="inlineStr">
        <is>
          <t>Chỉ tiêu phái sinh</t>
        </is>
      </c>
      <c r="H1438" s="4" t="inlineStr">
        <is>
          <t>TB</t>
        </is>
      </c>
    </row>
    <row r="1439" ht="17" customHeight="1" s="380">
      <c r="B1439" s="4" t="inlineStr">
        <is>
          <t>HSX02</t>
        </is>
      </c>
      <c r="C1439" s="334" t="n"/>
      <c r="D1439" s="335" t="inlineStr">
        <is>
          <t>Giá trị giao dịch chứng chỉ quỹ</t>
        </is>
      </c>
      <c r="F1439" s="4" t="inlineStr">
        <is>
          <t>Báo cáo</t>
        </is>
      </c>
      <c r="G1439" s="22" t="inlineStr">
        <is>
          <t>Chỉ tiêu phái sinh</t>
        </is>
      </c>
      <c r="H1439" s="4" t="inlineStr">
        <is>
          <t>TB</t>
        </is>
      </c>
    </row>
    <row r="1440" ht="17" customHeight="1" s="380">
      <c r="B1440" s="4" t="inlineStr">
        <is>
          <t>HSX02</t>
        </is>
      </c>
      <c r="C1440" s="334" t="n"/>
      <c r="D1440" s="335" t="inlineStr">
        <is>
          <t>Giá trị giao dịch mua</t>
        </is>
      </c>
      <c r="F1440" s="4" t="inlineStr">
        <is>
          <t>Báo cáo</t>
        </is>
      </c>
      <c r="G1440" s="22" t="inlineStr">
        <is>
          <t>Chỉ tiêu phái sinh</t>
        </is>
      </c>
      <c r="H1440" s="4" t="inlineStr">
        <is>
          <t>TB</t>
        </is>
      </c>
    </row>
    <row r="1441" ht="17" customHeight="1" s="380">
      <c r="B1441" s="4" t="inlineStr">
        <is>
          <t>HSX02</t>
        </is>
      </c>
      <c r="C1441" s="334" t="n"/>
      <c r="D1441" s="335" t="inlineStr">
        <is>
          <t>Giá trị giao dịch bán</t>
        </is>
      </c>
      <c r="F1441" s="4" t="inlineStr">
        <is>
          <t>Báo cáo</t>
        </is>
      </c>
      <c r="G1441" s="22" t="inlineStr">
        <is>
          <t>Chỉ tiêu phái sinh</t>
        </is>
      </c>
      <c r="H1441" s="4" t="inlineStr">
        <is>
          <t>TB</t>
        </is>
      </c>
    </row>
    <row r="1442" ht="17" customHeight="1" s="380">
      <c r="B1442" s="4" t="inlineStr">
        <is>
          <t>HSX02</t>
        </is>
      </c>
      <c r="C1442" s="334" t="n"/>
      <c r="D1442" s="335" t="inlineStr">
        <is>
          <t>Giá trị mua/bán ròng</t>
        </is>
      </c>
      <c r="F1442" s="4" t="inlineStr">
        <is>
          <t>Báo cáo</t>
        </is>
      </c>
      <c r="G1442" s="22" t="inlineStr">
        <is>
          <t>Chỉ tiêu phái sinh</t>
        </is>
      </c>
      <c r="H1442" s="4" t="inlineStr">
        <is>
          <t>TB</t>
        </is>
      </c>
    </row>
    <row r="1443" ht="17" customHeight="1" s="380">
      <c r="B1443" s="4" t="inlineStr">
        <is>
          <t>HSX02</t>
        </is>
      </c>
      <c r="C1443" s="332" t="n"/>
      <c r="D1443" s="333" t="inlineStr">
        <is>
          <t>GDNĐTNN ETF</t>
        </is>
      </c>
      <c r="F1443" s="4" t="inlineStr">
        <is>
          <t>Báo cáo</t>
        </is>
      </c>
      <c r="G1443" s="22" t="inlineStr">
        <is>
          <t>Chỉ tiêu phái sinh</t>
        </is>
      </c>
      <c r="H1443" s="4" t="inlineStr">
        <is>
          <t>TB</t>
        </is>
      </c>
    </row>
    <row r="1444" ht="17" customHeight="1" s="380">
      <c r="B1444" s="4" t="inlineStr">
        <is>
          <t>HSX02</t>
        </is>
      </c>
      <c r="C1444" s="334" t="n"/>
      <c r="D1444" s="335" t="inlineStr">
        <is>
          <t>Khối lượng giao dịch ETF</t>
        </is>
      </c>
      <c r="F1444" s="4" t="inlineStr">
        <is>
          <t>Báo cáo</t>
        </is>
      </c>
      <c r="G1444" s="22" t="inlineStr">
        <is>
          <t>Chỉ tiêu phái sinh</t>
        </is>
      </c>
      <c r="H1444" s="4" t="inlineStr">
        <is>
          <t>TB</t>
        </is>
      </c>
    </row>
    <row r="1445" ht="17" customHeight="1" s="380">
      <c r="B1445" s="4" t="inlineStr">
        <is>
          <t>HSX02</t>
        </is>
      </c>
      <c r="C1445" s="334" t="n"/>
      <c r="D1445" s="335" t="inlineStr">
        <is>
          <t>Khối lượng giao dịch mua</t>
        </is>
      </c>
      <c r="F1445" s="4" t="inlineStr">
        <is>
          <t>Báo cáo</t>
        </is>
      </c>
      <c r="G1445" s="22" t="inlineStr">
        <is>
          <t>Chỉ tiêu phái sinh</t>
        </is>
      </c>
      <c r="H1445" s="4" t="inlineStr">
        <is>
          <t>TB</t>
        </is>
      </c>
    </row>
    <row r="1446" ht="17" customHeight="1" s="380">
      <c r="B1446" s="4" t="inlineStr">
        <is>
          <t>HSX02</t>
        </is>
      </c>
      <c r="C1446" s="334" t="n"/>
      <c r="D1446" s="335" t="inlineStr">
        <is>
          <t>Khối lượng giao dịch bán</t>
        </is>
      </c>
      <c r="F1446" s="4" t="inlineStr">
        <is>
          <t>Báo cáo</t>
        </is>
      </c>
      <c r="G1446" s="22" t="inlineStr">
        <is>
          <t>Chỉ tiêu phái sinh</t>
        </is>
      </c>
      <c r="H1446" s="4" t="inlineStr">
        <is>
          <t>TB</t>
        </is>
      </c>
    </row>
    <row r="1447" ht="17" customHeight="1" s="380">
      <c r="B1447" s="4" t="inlineStr">
        <is>
          <t>HSX02</t>
        </is>
      </c>
      <c r="C1447" s="334" t="n"/>
      <c r="D1447" s="335" t="inlineStr">
        <is>
          <t>Khối lượng mua/bán ròng</t>
        </is>
      </c>
      <c r="F1447" s="4" t="inlineStr">
        <is>
          <t>Báo cáo</t>
        </is>
      </c>
      <c r="G1447" s="22" t="inlineStr">
        <is>
          <t>Chỉ tiêu phái sinh</t>
        </is>
      </c>
      <c r="H1447" s="4" t="inlineStr">
        <is>
          <t>TB</t>
        </is>
      </c>
    </row>
    <row r="1448" ht="17" customHeight="1" s="380">
      <c r="B1448" s="4" t="inlineStr">
        <is>
          <t>HSX02</t>
        </is>
      </c>
      <c r="C1448" s="334" t="n"/>
      <c r="D1448" s="335" t="inlineStr">
        <is>
          <t>Giá trị giao dịch ETF</t>
        </is>
      </c>
      <c r="F1448" s="4" t="inlineStr">
        <is>
          <t>Báo cáo</t>
        </is>
      </c>
      <c r="G1448" s="22" t="inlineStr">
        <is>
          <t>Chỉ tiêu phái sinh</t>
        </is>
      </c>
      <c r="H1448" s="4" t="inlineStr">
        <is>
          <t>TB</t>
        </is>
      </c>
    </row>
    <row r="1449" ht="17" customHeight="1" s="380">
      <c r="B1449" s="4" t="inlineStr">
        <is>
          <t>HSX02</t>
        </is>
      </c>
      <c r="C1449" s="334" t="n"/>
      <c r="D1449" s="335" t="inlineStr">
        <is>
          <t>Giá trị giao dịch mua</t>
        </is>
      </c>
      <c r="F1449" s="4" t="inlineStr">
        <is>
          <t>Báo cáo</t>
        </is>
      </c>
      <c r="G1449" s="22" t="inlineStr">
        <is>
          <t>Chỉ tiêu phái sinh</t>
        </is>
      </c>
      <c r="H1449" s="4" t="inlineStr">
        <is>
          <t>TB</t>
        </is>
      </c>
    </row>
    <row r="1450" ht="17" customHeight="1" s="380">
      <c r="B1450" s="4" t="inlineStr">
        <is>
          <t>HSX02</t>
        </is>
      </c>
      <c r="C1450" s="334" t="n"/>
      <c r="D1450" s="335" t="inlineStr">
        <is>
          <t>Giá trị giao dịch bán</t>
        </is>
      </c>
      <c r="F1450" s="4" t="inlineStr">
        <is>
          <t>Báo cáo</t>
        </is>
      </c>
      <c r="G1450" s="22" t="inlineStr">
        <is>
          <t>Chỉ tiêu phái sinh</t>
        </is>
      </c>
      <c r="H1450" s="4" t="inlineStr">
        <is>
          <t>TB</t>
        </is>
      </c>
    </row>
    <row r="1451" ht="17" customHeight="1" s="380">
      <c r="B1451" s="4" t="inlineStr">
        <is>
          <t>HSX02</t>
        </is>
      </c>
      <c r="C1451" s="334" t="n"/>
      <c r="D1451" s="335" t="inlineStr">
        <is>
          <t>Giá trị mua/bán ròng</t>
        </is>
      </c>
      <c r="F1451" s="4" t="inlineStr">
        <is>
          <t>Báo cáo</t>
        </is>
      </c>
      <c r="G1451" s="22" t="inlineStr">
        <is>
          <t>Chỉ tiêu phái sinh</t>
        </is>
      </c>
      <c r="H1451" s="4" t="inlineStr">
        <is>
          <t>TB</t>
        </is>
      </c>
    </row>
    <row r="1452" ht="17" customHeight="1" s="380">
      <c r="B1452" s="4" t="inlineStr">
        <is>
          <t>HSX02</t>
        </is>
      </c>
      <c r="C1452" s="330" t="n"/>
      <c r="D1452" s="331" t="inlineStr">
        <is>
          <t>GDNĐTNN trái phiếu</t>
        </is>
      </c>
      <c r="F1452" s="4" t="inlineStr">
        <is>
          <t>Báo cáo</t>
        </is>
      </c>
      <c r="G1452" s="22" t="inlineStr">
        <is>
          <t>Chỉ tiêu phái sinh</t>
        </is>
      </c>
      <c r="H1452" s="4" t="inlineStr">
        <is>
          <t>TB</t>
        </is>
      </c>
    </row>
    <row r="1453" ht="17" customHeight="1" s="380">
      <c r="B1453" s="4" t="inlineStr">
        <is>
          <t>HSX02</t>
        </is>
      </c>
      <c r="C1453" s="334" t="n"/>
      <c r="D1453" s="335" t="inlineStr">
        <is>
          <t>Khối lượng giao dịch trái phiếu</t>
        </is>
      </c>
      <c r="F1453" s="4" t="inlineStr">
        <is>
          <t>Báo cáo</t>
        </is>
      </c>
      <c r="G1453" s="22" t="inlineStr">
        <is>
          <t>Chỉ tiêu phái sinh</t>
        </is>
      </c>
      <c r="H1453" s="4" t="inlineStr">
        <is>
          <t>TB</t>
        </is>
      </c>
    </row>
    <row r="1454" ht="17" customHeight="1" s="380">
      <c r="B1454" s="4" t="inlineStr">
        <is>
          <t>HSX02</t>
        </is>
      </c>
      <c r="C1454" s="334" t="n"/>
      <c r="D1454" s="335" t="inlineStr">
        <is>
          <t>Khối lượng giao dịch mua</t>
        </is>
      </c>
      <c r="F1454" s="4" t="inlineStr">
        <is>
          <t>Báo cáo</t>
        </is>
      </c>
      <c r="G1454" s="22" t="inlineStr">
        <is>
          <t>Chỉ tiêu phái sinh</t>
        </is>
      </c>
      <c r="H1454" s="4" t="inlineStr">
        <is>
          <t>TB</t>
        </is>
      </c>
    </row>
    <row r="1455" ht="17" customHeight="1" s="380">
      <c r="B1455" s="4" t="inlineStr">
        <is>
          <t>HSX02</t>
        </is>
      </c>
      <c r="C1455" s="334" t="n"/>
      <c r="D1455" s="335" t="inlineStr">
        <is>
          <t>Khối lượng giao dịch bán</t>
        </is>
      </c>
      <c r="F1455" s="4" t="inlineStr">
        <is>
          <t>Báo cáo</t>
        </is>
      </c>
      <c r="G1455" s="22" t="inlineStr">
        <is>
          <t>Chỉ tiêu phái sinh</t>
        </is>
      </c>
      <c r="H1455" s="4" t="inlineStr">
        <is>
          <t>TB</t>
        </is>
      </c>
    </row>
    <row r="1456" ht="17" customHeight="1" s="380">
      <c r="B1456" s="4" t="inlineStr">
        <is>
          <t>HSX02</t>
        </is>
      </c>
      <c r="C1456" s="334" t="n"/>
      <c r="D1456" s="335" t="inlineStr">
        <is>
          <t>Khối lượng mua/bán ròng</t>
        </is>
      </c>
      <c r="F1456" s="4" t="inlineStr">
        <is>
          <t>Báo cáo</t>
        </is>
      </c>
      <c r="G1456" s="22" t="inlineStr">
        <is>
          <t>Chỉ tiêu phái sinh</t>
        </is>
      </c>
      <c r="H1456" s="4" t="inlineStr">
        <is>
          <t>TB</t>
        </is>
      </c>
    </row>
    <row r="1457" ht="17" customHeight="1" s="380">
      <c r="B1457" s="4" t="inlineStr">
        <is>
          <t>HSX02</t>
        </is>
      </c>
      <c r="C1457" s="334" t="n"/>
      <c r="D1457" s="335" t="inlineStr">
        <is>
          <t>Giá trị giao dịch trái phiếu</t>
        </is>
      </c>
      <c r="F1457" s="4" t="inlineStr">
        <is>
          <t>Báo cáo</t>
        </is>
      </c>
      <c r="G1457" s="22" t="inlineStr">
        <is>
          <t>Chỉ tiêu phái sinh</t>
        </is>
      </c>
      <c r="H1457" s="4" t="inlineStr">
        <is>
          <t>TB</t>
        </is>
      </c>
    </row>
    <row r="1458" ht="17" customHeight="1" s="380">
      <c r="B1458" s="4" t="inlineStr">
        <is>
          <t>HSX02</t>
        </is>
      </c>
      <c r="C1458" s="334" t="n"/>
      <c r="D1458" s="335" t="inlineStr">
        <is>
          <t>Giá trị giao dịch mua</t>
        </is>
      </c>
      <c r="F1458" s="4" t="inlineStr">
        <is>
          <t>Báo cáo</t>
        </is>
      </c>
      <c r="G1458" s="22" t="inlineStr">
        <is>
          <t>Chỉ tiêu phái sinh</t>
        </is>
      </c>
      <c r="H1458" s="4" t="inlineStr">
        <is>
          <t>TB</t>
        </is>
      </c>
    </row>
    <row r="1459" ht="17" customHeight="1" s="380">
      <c r="B1459" s="4" t="inlineStr">
        <is>
          <t>HSX02</t>
        </is>
      </c>
      <c r="C1459" s="334" t="n"/>
      <c r="D1459" s="335" t="inlineStr">
        <is>
          <t>Giá trị giao dịch bán</t>
        </is>
      </c>
      <c r="F1459" s="4" t="inlineStr">
        <is>
          <t>Báo cáo</t>
        </is>
      </c>
      <c r="G1459" s="22" t="inlineStr">
        <is>
          <t>Chỉ tiêu phái sinh</t>
        </is>
      </c>
      <c r="H1459" s="4" t="inlineStr">
        <is>
          <t>TB</t>
        </is>
      </c>
    </row>
    <row r="1460" ht="17" customHeight="1" s="380">
      <c r="B1460" s="4" t="inlineStr">
        <is>
          <t>HSX02</t>
        </is>
      </c>
      <c r="C1460" s="334" t="n"/>
      <c r="D1460" s="335" t="inlineStr">
        <is>
          <t>Giá trị mua/bán ròng</t>
        </is>
      </c>
      <c r="F1460" s="4" t="inlineStr">
        <is>
          <t>Báo cáo</t>
        </is>
      </c>
      <c r="G1460" s="22" t="inlineStr">
        <is>
          <t>Chỉ tiêu phái sinh</t>
        </is>
      </c>
      <c r="H1460" s="4" t="inlineStr">
        <is>
          <t>TB</t>
        </is>
      </c>
    </row>
    <row r="1461" ht="17" customHeight="1" s="380">
      <c r="B1461" s="4" t="inlineStr">
        <is>
          <t>HSX02</t>
        </is>
      </c>
      <c r="C1461" s="330" t="n"/>
      <c r="D1461" s="331" t="inlineStr">
        <is>
          <t>GDNĐTNN CW</t>
        </is>
      </c>
      <c r="F1461" s="4" t="inlineStr">
        <is>
          <t>Báo cáo</t>
        </is>
      </c>
      <c r="G1461" s="22" t="inlineStr">
        <is>
          <t>Chỉ tiêu phái sinh</t>
        </is>
      </c>
      <c r="H1461" s="4" t="inlineStr">
        <is>
          <t>TB</t>
        </is>
      </c>
    </row>
    <row r="1462" ht="17" customHeight="1" s="380">
      <c r="B1462" s="4" t="inlineStr">
        <is>
          <t>HSX02</t>
        </is>
      </c>
      <c r="C1462" s="334" t="n"/>
      <c r="D1462" s="335" t="inlineStr">
        <is>
          <t>Khối lượng giao dịch CW</t>
        </is>
      </c>
      <c r="F1462" s="4" t="inlineStr">
        <is>
          <t>Báo cáo</t>
        </is>
      </c>
      <c r="G1462" s="22" t="inlineStr">
        <is>
          <t>Chỉ tiêu phái sinh</t>
        </is>
      </c>
      <c r="H1462" s="4" t="inlineStr">
        <is>
          <t>TB</t>
        </is>
      </c>
    </row>
    <row r="1463" ht="17" customHeight="1" s="380">
      <c r="B1463" s="4" t="inlineStr">
        <is>
          <t>HSX02</t>
        </is>
      </c>
      <c r="C1463" s="334" t="n"/>
      <c r="D1463" s="335" t="inlineStr">
        <is>
          <t>Khối lượng giao dịch mua</t>
        </is>
      </c>
      <c r="F1463" s="4" t="inlineStr">
        <is>
          <t>Báo cáo</t>
        </is>
      </c>
      <c r="G1463" s="22" t="inlineStr">
        <is>
          <t>Chỉ tiêu phái sinh</t>
        </is>
      </c>
      <c r="H1463" s="4" t="inlineStr">
        <is>
          <t>TB</t>
        </is>
      </c>
    </row>
    <row r="1464" ht="17" customHeight="1" s="380">
      <c r="B1464" s="4" t="inlineStr">
        <is>
          <t>HSX02</t>
        </is>
      </c>
      <c r="C1464" s="334" t="n"/>
      <c r="D1464" s="335" t="inlineStr">
        <is>
          <t>Khối lượng giao dịch bán</t>
        </is>
      </c>
      <c r="F1464" s="4" t="inlineStr">
        <is>
          <t>Báo cáo</t>
        </is>
      </c>
      <c r="G1464" s="22" t="inlineStr">
        <is>
          <t>Chỉ tiêu phái sinh</t>
        </is>
      </c>
      <c r="H1464" s="4" t="inlineStr">
        <is>
          <t>TB</t>
        </is>
      </c>
    </row>
    <row r="1465" ht="17" customHeight="1" s="380">
      <c r="B1465" s="4" t="inlineStr">
        <is>
          <t>HSX02</t>
        </is>
      </c>
      <c r="C1465" s="334" t="n"/>
      <c r="D1465" s="335" t="inlineStr">
        <is>
          <t>Khối lượng mua/bán ròng</t>
        </is>
      </c>
      <c r="F1465" s="4" t="inlineStr">
        <is>
          <t>Báo cáo</t>
        </is>
      </c>
      <c r="G1465" s="22" t="inlineStr">
        <is>
          <t>Chỉ tiêu phái sinh</t>
        </is>
      </c>
      <c r="H1465" s="4" t="inlineStr">
        <is>
          <t>TB</t>
        </is>
      </c>
    </row>
    <row r="1466" ht="17" customHeight="1" s="380">
      <c r="B1466" s="4" t="inlineStr">
        <is>
          <t>HSX02</t>
        </is>
      </c>
      <c r="C1466" s="334" t="n"/>
      <c r="D1466" s="335" t="inlineStr">
        <is>
          <t>Giá trị giao dịch CW</t>
        </is>
      </c>
      <c r="F1466" s="4" t="inlineStr">
        <is>
          <t>Báo cáo</t>
        </is>
      </c>
      <c r="G1466" s="22" t="inlineStr">
        <is>
          <t>Chỉ tiêu phái sinh</t>
        </is>
      </c>
      <c r="H1466" s="4" t="inlineStr">
        <is>
          <t>TB</t>
        </is>
      </c>
    </row>
    <row r="1467" ht="17" customHeight="1" s="380">
      <c r="B1467" s="4" t="inlineStr">
        <is>
          <t>HSX02</t>
        </is>
      </c>
      <c r="C1467" s="334" t="n"/>
      <c r="D1467" s="335" t="inlineStr">
        <is>
          <t>Giá trị giao dịch mua</t>
        </is>
      </c>
      <c r="F1467" s="4" t="inlineStr">
        <is>
          <t>Báo cáo</t>
        </is>
      </c>
      <c r="G1467" s="22" t="inlineStr">
        <is>
          <t>Chỉ tiêu phái sinh</t>
        </is>
      </c>
      <c r="H1467" s="4" t="inlineStr">
        <is>
          <t>TB</t>
        </is>
      </c>
    </row>
    <row r="1468" ht="17" customHeight="1" s="380">
      <c r="B1468" s="4" t="inlineStr">
        <is>
          <t>HSX02</t>
        </is>
      </c>
      <c r="C1468" s="334" t="n"/>
      <c r="D1468" s="335" t="inlineStr">
        <is>
          <t>Giá trị giao dịch bán</t>
        </is>
      </c>
      <c r="F1468" s="4" t="inlineStr">
        <is>
          <t>Báo cáo</t>
        </is>
      </c>
      <c r="G1468" s="22" t="inlineStr">
        <is>
          <t>Chỉ tiêu phái sinh</t>
        </is>
      </c>
      <c r="H1468" s="4" t="inlineStr">
        <is>
          <t>TB</t>
        </is>
      </c>
    </row>
    <row r="1469" ht="17" customHeight="1" s="380">
      <c r="B1469" s="4" t="inlineStr">
        <is>
          <t>HSX02</t>
        </is>
      </c>
      <c r="C1469" s="334" t="n"/>
      <c r="D1469" s="335" t="inlineStr">
        <is>
          <t>Giá trị mua/bán ròng</t>
        </is>
      </c>
      <c r="F1469" s="4" t="inlineStr">
        <is>
          <t>Báo cáo</t>
        </is>
      </c>
      <c r="G1469" s="22" t="inlineStr">
        <is>
          <t>Chỉ tiêu phái sinh</t>
        </is>
      </c>
      <c r="H1469" s="4" t="inlineStr">
        <is>
          <t>TB</t>
        </is>
      </c>
    </row>
    <row r="1470" ht="14" customHeight="1" s="380">
      <c r="B1470" s="4" t="inlineStr">
        <is>
          <t>HSX02</t>
        </is>
      </c>
      <c r="C1470" s="211" t="n"/>
      <c r="D1470" s="212" t="inlineStr">
        <is>
          <t>Số phát sinh cùng kỳ năm trước</t>
        </is>
      </c>
      <c r="F1470" s="4" t="inlineStr">
        <is>
          <t>Báo cáo</t>
        </is>
      </c>
      <c r="G1470" s="4" t="inlineStr">
        <is>
          <t>Chiều</t>
        </is>
      </c>
    </row>
    <row r="1471" ht="16" customHeight="1" s="380">
      <c r="B1471" s="4" t="inlineStr">
        <is>
          <t>HSX02</t>
        </is>
      </c>
      <c r="C1471" s="326" t="n"/>
      <c r="D1471" s="327" t="inlineStr">
        <is>
          <t>Chỉ số VN-Index</t>
        </is>
      </c>
      <c r="F1471" s="4" t="inlineStr">
        <is>
          <t>Báo cáo</t>
        </is>
      </c>
      <c r="G1471" s="4" t="inlineStr">
        <is>
          <t>Chỉ tiêu cơ sở</t>
        </is>
      </c>
      <c r="H1471" s="4" t="inlineStr">
        <is>
          <t>Dễ</t>
        </is>
      </c>
    </row>
    <row r="1472" ht="16" customHeight="1" s="380">
      <c r="B1472" s="4" t="inlineStr">
        <is>
          <t>HSX02</t>
        </is>
      </c>
      <c r="C1472" s="326" t="n"/>
      <c r="D1472" s="327" t="inlineStr">
        <is>
          <t>Giá trị chứng khoán giao dịch</t>
        </is>
      </c>
      <c r="F1472" s="4" t="inlineStr">
        <is>
          <t>Báo cáo</t>
        </is>
      </c>
      <c r="G1472" s="22" t="inlineStr">
        <is>
          <t>Chỉ tiêu phái sinh</t>
        </is>
      </c>
      <c r="H1472" s="4" t="inlineStr">
        <is>
          <t>TB</t>
        </is>
      </c>
    </row>
    <row r="1473" ht="16" customHeight="1" s="380">
      <c r="B1473" s="4" t="inlineStr">
        <is>
          <t>HSX02</t>
        </is>
      </c>
      <c r="C1473" s="328" t="n"/>
      <c r="D1473" s="329" t="inlineStr">
        <is>
          <t>Cổ phiếu niêm yết</t>
        </is>
      </c>
      <c r="F1473" s="4" t="inlineStr">
        <is>
          <t>Báo cáo</t>
        </is>
      </c>
      <c r="G1473" s="22" t="inlineStr">
        <is>
          <t>Chỉ tiêu phái sinh</t>
        </is>
      </c>
      <c r="H1473" s="4" t="inlineStr">
        <is>
          <t>TB</t>
        </is>
      </c>
    </row>
    <row r="1474" ht="16" customHeight="1" s="380">
      <c r="B1474" s="4" t="inlineStr">
        <is>
          <t>HSX02</t>
        </is>
      </c>
      <c r="C1474" s="328" t="n"/>
      <c r="D1474" s="329" t="inlineStr">
        <is>
          <t>Trái phiếu chính quyền địa phương</t>
        </is>
      </c>
      <c r="F1474" s="4" t="inlineStr">
        <is>
          <t>Báo cáo</t>
        </is>
      </c>
      <c r="G1474" s="22" t="inlineStr">
        <is>
          <t>Chỉ tiêu phái sinh</t>
        </is>
      </c>
      <c r="H1474" s="4" t="inlineStr">
        <is>
          <t>TB</t>
        </is>
      </c>
    </row>
    <row r="1475" ht="16" customHeight="1" s="380">
      <c r="B1475" s="4" t="inlineStr">
        <is>
          <t>HSX02</t>
        </is>
      </c>
      <c r="C1475" s="328" t="n"/>
      <c r="D1475" s="329" t="inlineStr">
        <is>
          <t>Trái phiếu doanh nghiệp</t>
        </is>
      </c>
      <c r="F1475" s="4" t="inlineStr">
        <is>
          <t>Báo cáo</t>
        </is>
      </c>
      <c r="G1475" s="22" t="inlineStr">
        <is>
          <t>Chỉ tiêu phái sinh</t>
        </is>
      </c>
      <c r="H1475" s="4" t="inlineStr">
        <is>
          <t>TB</t>
        </is>
      </c>
    </row>
    <row r="1476" ht="16" customHeight="1" s="380">
      <c r="B1476" s="4" t="inlineStr">
        <is>
          <t>HSX02</t>
        </is>
      </c>
      <c r="C1476" s="328" t="n"/>
      <c r="D1476" s="329" t="inlineStr">
        <is>
          <t>Chứng chỉ quỹ</t>
        </is>
      </c>
      <c r="F1476" s="4" t="inlineStr">
        <is>
          <t>Báo cáo</t>
        </is>
      </c>
      <c r="G1476" s="22" t="inlineStr">
        <is>
          <t>Chỉ tiêu phái sinh</t>
        </is>
      </c>
      <c r="H1476" s="4" t="inlineStr">
        <is>
          <t>TB</t>
        </is>
      </c>
    </row>
    <row r="1477" ht="16" customHeight="1" s="380">
      <c r="B1477" s="4" t="inlineStr">
        <is>
          <t>HSX02</t>
        </is>
      </c>
      <c r="C1477" s="328" t="n"/>
      <c r="D1477" s="329" t="inlineStr">
        <is>
          <t>ETF</t>
        </is>
      </c>
      <c r="F1477" s="4" t="inlineStr">
        <is>
          <t>Báo cáo</t>
        </is>
      </c>
      <c r="G1477" s="22" t="inlineStr">
        <is>
          <t>Chỉ tiêu phái sinh</t>
        </is>
      </c>
      <c r="H1477" s="4" t="inlineStr">
        <is>
          <t>TB</t>
        </is>
      </c>
    </row>
    <row r="1478" ht="16" customHeight="1" s="380">
      <c r="B1478" s="4" t="inlineStr">
        <is>
          <t>HSX02</t>
        </is>
      </c>
      <c r="C1478" s="328" t="n"/>
      <c r="D1478" s="329" t="inlineStr">
        <is>
          <t>Chứng quyền có bảo đảm (CW)</t>
        </is>
      </c>
      <c r="F1478" s="4" t="inlineStr">
        <is>
          <t>Báo cáo</t>
        </is>
      </c>
      <c r="G1478" s="22" t="inlineStr">
        <is>
          <t>Chỉ tiêu phái sinh</t>
        </is>
      </c>
      <c r="H1478" s="4" t="inlineStr">
        <is>
          <t>TB</t>
        </is>
      </c>
    </row>
    <row r="1479" ht="16" customHeight="1" s="380">
      <c r="B1479" s="4" t="inlineStr">
        <is>
          <t>HSX02</t>
        </is>
      </c>
      <c r="C1479" s="326" t="n"/>
      <c r="D1479" s="327" t="inlineStr">
        <is>
          <t>Khối lượng chứng khoán giao dịch</t>
        </is>
      </c>
      <c r="F1479" s="4" t="inlineStr">
        <is>
          <t>Báo cáo</t>
        </is>
      </c>
      <c r="G1479" s="22" t="inlineStr">
        <is>
          <t>Chỉ tiêu phái sinh</t>
        </is>
      </c>
      <c r="H1479" s="4" t="inlineStr">
        <is>
          <t>TB</t>
        </is>
      </c>
    </row>
    <row r="1480" ht="16" customHeight="1" s="380">
      <c r="B1480" s="4" t="inlineStr">
        <is>
          <t>HSX02</t>
        </is>
      </c>
      <c r="C1480" s="328" t="n"/>
      <c r="D1480" s="329" t="inlineStr">
        <is>
          <t>Cổ phiếu niêm yết</t>
        </is>
      </c>
      <c r="F1480" s="4" t="inlineStr">
        <is>
          <t>Báo cáo</t>
        </is>
      </c>
      <c r="G1480" s="22" t="inlineStr">
        <is>
          <t>Chỉ tiêu phái sinh</t>
        </is>
      </c>
      <c r="H1480" s="4" t="inlineStr">
        <is>
          <t>TB</t>
        </is>
      </c>
    </row>
    <row r="1481" ht="16" customHeight="1" s="380">
      <c r="B1481" s="4" t="inlineStr">
        <is>
          <t>HSX02</t>
        </is>
      </c>
      <c r="C1481" s="328" t="n"/>
      <c r="D1481" s="329" t="inlineStr">
        <is>
          <t>Trái phiếu chính quyền địa phương</t>
        </is>
      </c>
      <c r="F1481" s="4" t="inlineStr">
        <is>
          <t>Báo cáo</t>
        </is>
      </c>
      <c r="G1481" s="22" t="inlineStr">
        <is>
          <t>Chỉ tiêu phái sinh</t>
        </is>
      </c>
      <c r="H1481" s="4" t="inlineStr">
        <is>
          <t>TB</t>
        </is>
      </c>
    </row>
    <row r="1482" ht="16" customHeight="1" s="380">
      <c r="B1482" s="4" t="inlineStr">
        <is>
          <t>HSX02</t>
        </is>
      </c>
      <c r="C1482" s="328" t="n"/>
      <c r="D1482" s="329" t="inlineStr">
        <is>
          <t>Trái phiếu doanh nghiệp</t>
        </is>
      </c>
      <c r="F1482" s="4" t="inlineStr">
        <is>
          <t>Báo cáo</t>
        </is>
      </c>
      <c r="G1482" s="22" t="inlineStr">
        <is>
          <t>Chỉ tiêu phái sinh</t>
        </is>
      </c>
      <c r="H1482" s="4" t="inlineStr">
        <is>
          <t>TB</t>
        </is>
      </c>
    </row>
    <row r="1483" ht="16" customHeight="1" s="380">
      <c r="B1483" s="4" t="inlineStr">
        <is>
          <t>HSX02</t>
        </is>
      </c>
      <c r="C1483" s="328" t="n"/>
      <c r="D1483" s="329" t="inlineStr">
        <is>
          <t>Chứng chỉ quỹ</t>
        </is>
      </c>
      <c r="F1483" s="4" t="inlineStr">
        <is>
          <t>Báo cáo</t>
        </is>
      </c>
      <c r="G1483" s="22" t="inlineStr">
        <is>
          <t>Chỉ tiêu phái sinh</t>
        </is>
      </c>
      <c r="H1483" s="4" t="inlineStr">
        <is>
          <t>TB</t>
        </is>
      </c>
    </row>
    <row r="1484" ht="16" customHeight="1" s="380">
      <c r="B1484" s="4" t="inlineStr">
        <is>
          <t>HSX02</t>
        </is>
      </c>
      <c r="C1484" s="328" t="n"/>
      <c r="D1484" s="329" t="inlineStr">
        <is>
          <t>ETF</t>
        </is>
      </c>
      <c r="F1484" s="4" t="inlineStr">
        <is>
          <t>Báo cáo</t>
        </is>
      </c>
      <c r="G1484" s="22" t="inlineStr">
        <is>
          <t>Chỉ tiêu phái sinh</t>
        </is>
      </c>
      <c r="H1484" s="4" t="inlineStr">
        <is>
          <t>TB</t>
        </is>
      </c>
    </row>
    <row r="1485" ht="16" customHeight="1" s="380">
      <c r="B1485" s="4" t="inlineStr">
        <is>
          <t>HSX02</t>
        </is>
      </c>
      <c r="C1485" s="328" t="n"/>
      <c r="D1485" s="329" t="inlineStr">
        <is>
          <t>CW</t>
        </is>
      </c>
      <c r="F1485" s="4" t="inlineStr">
        <is>
          <t>Báo cáo</t>
        </is>
      </c>
      <c r="G1485" s="22" t="inlineStr">
        <is>
          <t>Chỉ tiêu phái sinh</t>
        </is>
      </c>
      <c r="H1485" s="4" t="inlineStr">
        <is>
          <t>TB</t>
        </is>
      </c>
    </row>
    <row r="1486" ht="16" customHeight="1" s="380">
      <c r="B1486" s="4" t="inlineStr">
        <is>
          <t>HSX02</t>
        </is>
      </c>
      <c r="C1486" s="326" t="n"/>
      <c r="D1486" s="327" t="inlineStr">
        <is>
          <t>Khối lượng chứng khoán niêm yết</t>
        </is>
      </c>
      <c r="F1486" s="4" t="inlineStr">
        <is>
          <t>Báo cáo</t>
        </is>
      </c>
      <c r="G1486" s="22" t="inlineStr">
        <is>
          <t>Chỉ tiêu phái sinh</t>
        </is>
      </c>
      <c r="H1486" s="4" t="inlineStr">
        <is>
          <t>TB</t>
        </is>
      </c>
    </row>
    <row r="1487" ht="16" customHeight="1" s="380">
      <c r="B1487" s="4" t="inlineStr">
        <is>
          <t>HSX02</t>
        </is>
      </c>
      <c r="C1487" s="328" t="n"/>
      <c r="D1487" s="329" t="inlineStr">
        <is>
          <t>Cổ phiếu niêm yết</t>
        </is>
      </c>
      <c r="F1487" s="4" t="inlineStr">
        <is>
          <t>Báo cáo</t>
        </is>
      </c>
      <c r="G1487" s="22" t="inlineStr">
        <is>
          <t>Chỉ tiêu phái sinh</t>
        </is>
      </c>
      <c r="H1487" s="4" t="inlineStr">
        <is>
          <t>TB</t>
        </is>
      </c>
    </row>
    <row r="1488" ht="16" customHeight="1" s="380">
      <c r="B1488" s="4" t="inlineStr">
        <is>
          <t>HSX02</t>
        </is>
      </c>
      <c r="C1488" s="328" t="n"/>
      <c r="D1488" s="329" t="inlineStr">
        <is>
          <t>Trái phiếu chính quyền địa phương</t>
        </is>
      </c>
      <c r="F1488" s="4" t="inlineStr">
        <is>
          <t>Báo cáo</t>
        </is>
      </c>
      <c r="G1488" s="22" t="inlineStr">
        <is>
          <t>Chỉ tiêu phái sinh</t>
        </is>
      </c>
      <c r="H1488" s="4" t="inlineStr">
        <is>
          <t>TB</t>
        </is>
      </c>
    </row>
    <row r="1489" ht="16" customHeight="1" s="380">
      <c r="B1489" s="4" t="inlineStr">
        <is>
          <t>HSX02</t>
        </is>
      </c>
      <c r="C1489" s="328" t="n"/>
      <c r="D1489" s="329" t="inlineStr">
        <is>
          <t>Trái phiếu doanh nghiệp</t>
        </is>
      </c>
      <c r="F1489" s="4" t="inlineStr">
        <is>
          <t>Báo cáo</t>
        </is>
      </c>
      <c r="G1489" s="22" t="inlineStr">
        <is>
          <t>Chỉ tiêu phái sinh</t>
        </is>
      </c>
      <c r="H1489" s="4" t="inlineStr">
        <is>
          <t>TB</t>
        </is>
      </c>
    </row>
    <row r="1490" ht="16" customHeight="1" s="380">
      <c r="B1490" s="4" t="inlineStr">
        <is>
          <t>HSX02</t>
        </is>
      </c>
      <c r="C1490" s="328" t="n"/>
      <c r="D1490" s="329" t="inlineStr">
        <is>
          <t>Chứng chỉ quỹ</t>
        </is>
      </c>
      <c r="F1490" s="4" t="inlineStr">
        <is>
          <t>Báo cáo</t>
        </is>
      </c>
      <c r="G1490" s="22" t="inlineStr">
        <is>
          <t>Chỉ tiêu phái sinh</t>
        </is>
      </c>
      <c r="H1490" s="4" t="inlineStr">
        <is>
          <t>TB</t>
        </is>
      </c>
    </row>
    <row r="1491" ht="16" customHeight="1" s="380">
      <c r="B1491" s="4" t="inlineStr">
        <is>
          <t>HSX02</t>
        </is>
      </c>
      <c r="C1491" s="328" t="n"/>
      <c r="D1491" s="329" t="inlineStr">
        <is>
          <t>ETF</t>
        </is>
      </c>
      <c r="F1491" s="4" t="inlineStr">
        <is>
          <t>Báo cáo</t>
        </is>
      </c>
      <c r="G1491" s="22" t="inlineStr">
        <is>
          <t>Chỉ tiêu phái sinh</t>
        </is>
      </c>
      <c r="H1491" s="4" t="inlineStr">
        <is>
          <t>TB</t>
        </is>
      </c>
    </row>
    <row r="1492" ht="16" customHeight="1" s="380">
      <c r="B1492" s="4" t="inlineStr">
        <is>
          <t>HSX02</t>
        </is>
      </c>
      <c r="C1492" s="328" t="n"/>
      <c r="D1492" s="329" t="inlineStr">
        <is>
          <t>CW</t>
        </is>
      </c>
      <c r="F1492" s="4" t="inlineStr">
        <is>
          <t>Báo cáo</t>
        </is>
      </c>
      <c r="G1492" s="22" t="inlineStr">
        <is>
          <t>Chỉ tiêu phái sinh</t>
        </is>
      </c>
      <c r="H1492" s="4" t="inlineStr">
        <is>
          <t>TB</t>
        </is>
      </c>
    </row>
    <row r="1493" ht="16" customHeight="1" s="380">
      <c r="B1493" s="4" t="inlineStr">
        <is>
          <t>HSX02</t>
        </is>
      </c>
      <c r="C1493" s="326" t="n"/>
      <c r="D1493" s="327" t="inlineStr">
        <is>
          <t>Giá trị chứng khoán niêm yết</t>
        </is>
      </c>
      <c r="F1493" s="4" t="inlineStr">
        <is>
          <t>Báo cáo</t>
        </is>
      </c>
      <c r="G1493" s="22" t="inlineStr">
        <is>
          <t>Chỉ tiêu phái sinh</t>
        </is>
      </c>
      <c r="H1493" s="4" t="inlineStr">
        <is>
          <t>TB</t>
        </is>
      </c>
    </row>
    <row r="1494" ht="16" customHeight="1" s="380">
      <c r="B1494" s="4" t="inlineStr">
        <is>
          <t>HSX02</t>
        </is>
      </c>
      <c r="C1494" s="328" t="n"/>
      <c r="D1494" s="329" t="inlineStr">
        <is>
          <t>Cổ phiếu niêm yết</t>
        </is>
      </c>
      <c r="F1494" s="4" t="inlineStr">
        <is>
          <t>Báo cáo</t>
        </is>
      </c>
      <c r="G1494" s="22" t="inlineStr">
        <is>
          <t>Chỉ tiêu phái sinh</t>
        </is>
      </c>
      <c r="H1494" s="4" t="inlineStr">
        <is>
          <t>TB</t>
        </is>
      </c>
    </row>
    <row r="1495" ht="16" customHeight="1" s="380">
      <c r="B1495" s="4" t="inlineStr">
        <is>
          <t>HSX02</t>
        </is>
      </c>
      <c r="C1495" s="328" t="n"/>
      <c r="D1495" s="329" t="inlineStr">
        <is>
          <t>Trái phiếu chính quyền địa phương</t>
        </is>
      </c>
      <c r="F1495" s="4" t="inlineStr">
        <is>
          <t>Báo cáo</t>
        </is>
      </c>
      <c r="G1495" s="22" t="inlineStr">
        <is>
          <t>Chỉ tiêu phái sinh</t>
        </is>
      </c>
      <c r="H1495" s="4" t="inlineStr">
        <is>
          <t>TB</t>
        </is>
      </c>
    </row>
    <row r="1496" ht="16" customHeight="1" s="380">
      <c r="B1496" s="4" t="inlineStr">
        <is>
          <t>HSX02</t>
        </is>
      </c>
      <c r="C1496" s="328" t="n"/>
      <c r="D1496" s="329" t="inlineStr">
        <is>
          <t>Trái phiếu doanh nghiệp</t>
        </is>
      </c>
      <c r="F1496" s="4" t="inlineStr">
        <is>
          <t>Báo cáo</t>
        </is>
      </c>
      <c r="G1496" s="22" t="inlineStr">
        <is>
          <t>Chỉ tiêu phái sinh</t>
        </is>
      </c>
      <c r="H1496" s="4" t="inlineStr">
        <is>
          <t>TB</t>
        </is>
      </c>
    </row>
    <row r="1497" ht="16" customHeight="1" s="380">
      <c r="B1497" s="4" t="inlineStr">
        <is>
          <t>HSX02</t>
        </is>
      </c>
      <c r="C1497" s="328" t="n"/>
      <c r="D1497" s="329" t="inlineStr">
        <is>
          <t>Chứng chỉ quỹ</t>
        </is>
      </c>
      <c r="F1497" s="4" t="inlineStr">
        <is>
          <t>Báo cáo</t>
        </is>
      </c>
      <c r="G1497" s="22" t="inlineStr">
        <is>
          <t>Chỉ tiêu phái sinh</t>
        </is>
      </c>
      <c r="H1497" s="4" t="inlineStr">
        <is>
          <t>TB</t>
        </is>
      </c>
    </row>
    <row r="1498" ht="16" customHeight="1" s="380">
      <c r="B1498" s="4" t="inlineStr">
        <is>
          <t>HSX02</t>
        </is>
      </c>
      <c r="C1498" s="328" t="n"/>
      <c r="D1498" s="329" t="inlineStr">
        <is>
          <t>ETF</t>
        </is>
      </c>
      <c r="F1498" s="4" t="inlineStr">
        <is>
          <t>Báo cáo</t>
        </is>
      </c>
      <c r="G1498" s="22" t="inlineStr">
        <is>
          <t>Chỉ tiêu phái sinh</t>
        </is>
      </c>
      <c r="H1498" s="4" t="inlineStr">
        <is>
          <t>TB</t>
        </is>
      </c>
    </row>
    <row r="1499" ht="16" customHeight="1" s="380">
      <c r="B1499" s="4" t="inlineStr">
        <is>
          <t>HSX02</t>
        </is>
      </c>
      <c r="C1499" s="328" t="n"/>
      <c r="D1499" s="329" t="inlineStr">
        <is>
          <t>CW</t>
        </is>
      </c>
      <c r="F1499" s="4" t="inlineStr">
        <is>
          <t>Báo cáo</t>
        </is>
      </c>
      <c r="G1499" s="22" t="inlineStr">
        <is>
          <t>Chỉ tiêu phái sinh</t>
        </is>
      </c>
      <c r="H1499" s="4" t="inlineStr">
        <is>
          <t>TB</t>
        </is>
      </c>
    </row>
    <row r="1500" ht="17" customHeight="1" s="380">
      <c r="B1500" s="4" t="inlineStr">
        <is>
          <t>HSX02</t>
        </is>
      </c>
      <c r="C1500" s="330" t="n"/>
      <c r="D1500" s="331" t="inlineStr">
        <is>
          <t>Vốn hóa thị trường cổ phiếu</t>
        </is>
      </c>
      <c r="F1500" s="4" t="inlineStr">
        <is>
          <t>Báo cáo</t>
        </is>
      </c>
      <c r="G1500" s="22" t="inlineStr">
        <is>
          <t>Chỉ tiêu phái sinh</t>
        </is>
      </c>
      <c r="H1500" s="4" t="inlineStr">
        <is>
          <t>TB</t>
        </is>
      </c>
    </row>
    <row r="1501" ht="34" customHeight="1" s="380">
      <c r="B1501" s="4" t="inlineStr">
        <is>
          <t>HSX02</t>
        </is>
      </c>
      <c r="C1501" s="330" t="n"/>
      <c r="D1501" s="331" t="inlineStr">
        <is>
          <t>Khối lượng chứng khoán niêm yết mới</t>
        </is>
      </c>
      <c r="F1501" s="4" t="inlineStr">
        <is>
          <t>Báo cáo</t>
        </is>
      </c>
      <c r="G1501" s="22" t="inlineStr">
        <is>
          <t>Chỉ tiêu phái sinh</t>
        </is>
      </c>
      <c r="H1501" s="4" t="inlineStr">
        <is>
          <t>TB</t>
        </is>
      </c>
    </row>
    <row r="1502" ht="16" customHeight="1" s="380">
      <c r="B1502" s="4" t="inlineStr">
        <is>
          <t>HSX02</t>
        </is>
      </c>
      <c r="C1502" s="328" t="n"/>
      <c r="D1502" s="329" t="inlineStr">
        <is>
          <t>Cổ phiếu niêm yết</t>
        </is>
      </c>
      <c r="F1502" s="4" t="inlineStr">
        <is>
          <t>Báo cáo</t>
        </is>
      </c>
      <c r="G1502" s="22" t="inlineStr">
        <is>
          <t>Chỉ tiêu phái sinh</t>
        </is>
      </c>
      <c r="H1502" s="4" t="inlineStr">
        <is>
          <t>TB</t>
        </is>
      </c>
    </row>
    <row r="1503" ht="16" customHeight="1" s="380">
      <c r="B1503" s="4" t="inlineStr">
        <is>
          <t>HSX02</t>
        </is>
      </c>
      <c r="C1503" s="328" t="n"/>
      <c r="D1503" s="329" t="inlineStr">
        <is>
          <t>Trái phiếu chính quyền địa phương</t>
        </is>
      </c>
      <c r="F1503" s="4" t="inlineStr">
        <is>
          <t>Báo cáo</t>
        </is>
      </c>
      <c r="G1503" s="22" t="inlineStr">
        <is>
          <t>Chỉ tiêu phái sinh</t>
        </is>
      </c>
      <c r="H1503" s="4" t="inlineStr">
        <is>
          <t>TB</t>
        </is>
      </c>
    </row>
    <row r="1504" ht="16" customHeight="1" s="380">
      <c r="B1504" s="4" t="inlineStr">
        <is>
          <t>HSX02</t>
        </is>
      </c>
      <c r="C1504" s="328" t="n"/>
      <c r="D1504" s="329" t="inlineStr">
        <is>
          <t>Trái phiếu doanh nghiệp</t>
        </is>
      </c>
      <c r="F1504" s="4" t="inlineStr">
        <is>
          <t>Báo cáo</t>
        </is>
      </c>
      <c r="G1504" s="22" t="inlineStr">
        <is>
          <t>Chỉ tiêu phái sinh</t>
        </is>
      </c>
      <c r="H1504" s="4" t="inlineStr">
        <is>
          <t>TB</t>
        </is>
      </c>
    </row>
    <row r="1505" ht="16" customHeight="1" s="380">
      <c r="B1505" s="4" t="inlineStr">
        <is>
          <t>HSX02</t>
        </is>
      </c>
      <c r="C1505" s="328" t="n"/>
      <c r="D1505" s="329" t="inlineStr">
        <is>
          <t>Chứng chỉ quỹ</t>
        </is>
      </c>
      <c r="F1505" s="4" t="inlineStr">
        <is>
          <t>Báo cáo</t>
        </is>
      </c>
      <c r="G1505" s="22" t="inlineStr">
        <is>
          <t>Chỉ tiêu phái sinh</t>
        </is>
      </c>
      <c r="H1505" s="4" t="inlineStr">
        <is>
          <t>TB</t>
        </is>
      </c>
    </row>
    <row r="1506" ht="16" customHeight="1" s="380">
      <c r="B1506" s="4" t="inlineStr">
        <is>
          <t>HSX02</t>
        </is>
      </c>
      <c r="C1506" s="328" t="n"/>
      <c r="D1506" s="329" t="inlineStr">
        <is>
          <t>ETF</t>
        </is>
      </c>
      <c r="F1506" s="4" t="inlineStr">
        <is>
          <t>Báo cáo</t>
        </is>
      </c>
      <c r="G1506" s="22" t="inlineStr">
        <is>
          <t>Chỉ tiêu phái sinh</t>
        </is>
      </c>
      <c r="H1506" s="4" t="inlineStr">
        <is>
          <t>TB</t>
        </is>
      </c>
    </row>
    <row r="1507" ht="16" customHeight="1" s="380">
      <c r="B1507" s="4" t="inlineStr">
        <is>
          <t>HSX02</t>
        </is>
      </c>
      <c r="C1507" s="328" t="n"/>
      <c r="D1507" s="329" t="inlineStr">
        <is>
          <t>CW</t>
        </is>
      </c>
      <c r="F1507" s="4" t="inlineStr">
        <is>
          <t>Báo cáo</t>
        </is>
      </c>
      <c r="G1507" s="22" t="inlineStr">
        <is>
          <t>Chỉ tiêu phái sinh</t>
        </is>
      </c>
      <c r="H1507" s="4" t="inlineStr">
        <is>
          <t>TB</t>
        </is>
      </c>
    </row>
    <row r="1508" ht="17" customHeight="1" s="380">
      <c r="B1508" s="4" t="inlineStr">
        <is>
          <t>HSX02</t>
        </is>
      </c>
      <c r="C1508" s="330" t="n"/>
      <c r="D1508" s="331" t="inlineStr">
        <is>
          <t>Giá trị chứng khoán niêm yết mới</t>
        </is>
      </c>
      <c r="F1508" s="4" t="inlineStr">
        <is>
          <t>Báo cáo</t>
        </is>
      </c>
      <c r="G1508" s="22" t="inlineStr">
        <is>
          <t>Chỉ tiêu phái sinh</t>
        </is>
      </c>
      <c r="H1508" s="4" t="inlineStr">
        <is>
          <t>TB</t>
        </is>
      </c>
    </row>
    <row r="1509" ht="16" customHeight="1" s="380">
      <c r="B1509" s="4" t="inlineStr">
        <is>
          <t>HSX02</t>
        </is>
      </c>
      <c r="C1509" s="328" t="n"/>
      <c r="D1509" s="329" t="inlineStr">
        <is>
          <t>Cổ phiếu niêm yết</t>
        </is>
      </c>
      <c r="F1509" s="4" t="inlineStr">
        <is>
          <t>Báo cáo</t>
        </is>
      </c>
      <c r="G1509" s="22" t="inlineStr">
        <is>
          <t>Chỉ tiêu phái sinh</t>
        </is>
      </c>
      <c r="H1509" s="4" t="inlineStr">
        <is>
          <t>TB</t>
        </is>
      </c>
    </row>
    <row r="1510" ht="16" customHeight="1" s="380">
      <c r="B1510" s="4" t="inlineStr">
        <is>
          <t>HSX02</t>
        </is>
      </c>
      <c r="C1510" s="328" t="n"/>
      <c r="D1510" s="329" t="inlineStr">
        <is>
          <t>Trái phiếu chính quyền địa phương</t>
        </is>
      </c>
      <c r="F1510" s="4" t="inlineStr">
        <is>
          <t>Báo cáo</t>
        </is>
      </c>
      <c r="G1510" s="22" t="inlineStr">
        <is>
          <t>Chỉ tiêu phái sinh</t>
        </is>
      </c>
      <c r="H1510" s="4" t="inlineStr">
        <is>
          <t>TB</t>
        </is>
      </c>
    </row>
    <row r="1511" ht="16" customHeight="1" s="380">
      <c r="B1511" s="4" t="inlineStr">
        <is>
          <t>HSX02</t>
        </is>
      </c>
      <c r="C1511" s="328" t="n"/>
      <c r="D1511" s="329" t="inlineStr">
        <is>
          <t>Trái phiếu doanh nghiệp</t>
        </is>
      </c>
      <c r="F1511" s="4" t="inlineStr">
        <is>
          <t>Báo cáo</t>
        </is>
      </c>
      <c r="G1511" s="22" t="inlineStr">
        <is>
          <t>Chỉ tiêu phái sinh</t>
        </is>
      </c>
      <c r="H1511" s="4" t="inlineStr">
        <is>
          <t>TB</t>
        </is>
      </c>
    </row>
    <row r="1512" ht="16" customHeight="1" s="380">
      <c r="B1512" s="4" t="inlineStr">
        <is>
          <t>HSX02</t>
        </is>
      </c>
      <c r="C1512" s="328" t="n"/>
      <c r="D1512" s="329" t="inlineStr">
        <is>
          <t>Chứng chỉ quỹ</t>
        </is>
      </c>
      <c r="F1512" s="4" t="inlineStr">
        <is>
          <t>Báo cáo</t>
        </is>
      </c>
      <c r="G1512" s="22" t="inlineStr">
        <is>
          <t>Chỉ tiêu phái sinh</t>
        </is>
      </c>
      <c r="H1512" s="4" t="inlineStr">
        <is>
          <t>TB</t>
        </is>
      </c>
    </row>
    <row r="1513" ht="16" customHeight="1" s="380">
      <c r="B1513" s="4" t="inlineStr">
        <is>
          <t>HSX02</t>
        </is>
      </c>
      <c r="C1513" s="328" t="n"/>
      <c r="D1513" s="329" t="inlineStr">
        <is>
          <t>ETF</t>
        </is>
      </c>
      <c r="F1513" s="4" t="inlineStr">
        <is>
          <t>Báo cáo</t>
        </is>
      </c>
      <c r="G1513" s="22" t="inlineStr">
        <is>
          <t>Chỉ tiêu phái sinh</t>
        </is>
      </c>
      <c r="H1513" s="4" t="inlineStr">
        <is>
          <t>TB</t>
        </is>
      </c>
    </row>
    <row r="1514" ht="16" customHeight="1" s="380">
      <c r="B1514" s="4" t="inlineStr">
        <is>
          <t>HSX02</t>
        </is>
      </c>
      <c r="C1514" s="328" t="n"/>
      <c r="D1514" s="329" t="inlineStr">
        <is>
          <t>CW</t>
        </is>
      </c>
      <c r="F1514" s="4" t="inlineStr">
        <is>
          <t>Báo cáo</t>
        </is>
      </c>
      <c r="G1514" s="22" t="inlineStr">
        <is>
          <t>Chỉ tiêu phái sinh</t>
        </is>
      </c>
      <c r="H1514" s="4" t="inlineStr">
        <is>
          <t>TB</t>
        </is>
      </c>
    </row>
    <row r="1515" ht="34" customHeight="1" s="380">
      <c r="B1515" s="4" t="inlineStr">
        <is>
          <t>HSX02</t>
        </is>
      </c>
      <c r="C1515" s="330" t="n"/>
      <c r="D1515" s="331" t="inlineStr">
        <is>
          <t>Khối lượng chứng khoán niêm yết bổ sung</t>
        </is>
      </c>
      <c r="F1515" s="4" t="inlineStr">
        <is>
          <t>Báo cáo</t>
        </is>
      </c>
      <c r="G1515" s="22" t="inlineStr">
        <is>
          <t>Chỉ tiêu phái sinh</t>
        </is>
      </c>
      <c r="H1515" s="4" t="inlineStr">
        <is>
          <t>TB</t>
        </is>
      </c>
    </row>
    <row r="1516" ht="16" customHeight="1" s="380">
      <c r="B1516" s="4" t="inlineStr">
        <is>
          <t>HSX02</t>
        </is>
      </c>
      <c r="C1516" s="328" t="n"/>
      <c r="D1516" s="329" t="inlineStr">
        <is>
          <t>Cổ phiếu niêm yết</t>
        </is>
      </c>
      <c r="F1516" s="4" t="inlineStr">
        <is>
          <t>Báo cáo</t>
        </is>
      </c>
      <c r="G1516" s="22" t="inlineStr">
        <is>
          <t>Chỉ tiêu phái sinh</t>
        </is>
      </c>
      <c r="H1516" s="4" t="inlineStr">
        <is>
          <t>TB</t>
        </is>
      </c>
    </row>
    <row r="1517" ht="16" customHeight="1" s="380">
      <c r="B1517" s="4" t="inlineStr">
        <is>
          <t>HSX02</t>
        </is>
      </c>
      <c r="C1517" s="328" t="n"/>
      <c r="D1517" s="329" t="inlineStr">
        <is>
          <t>Trái phiếu chính quyền địa phương</t>
        </is>
      </c>
      <c r="F1517" s="4" t="inlineStr">
        <is>
          <t>Báo cáo</t>
        </is>
      </c>
      <c r="G1517" s="22" t="inlineStr">
        <is>
          <t>Chỉ tiêu phái sinh</t>
        </is>
      </c>
      <c r="H1517" s="4" t="inlineStr">
        <is>
          <t>TB</t>
        </is>
      </c>
    </row>
    <row r="1518" ht="16" customHeight="1" s="380">
      <c r="B1518" s="4" t="inlineStr">
        <is>
          <t>HSX02</t>
        </is>
      </c>
      <c r="C1518" s="328" t="n"/>
      <c r="D1518" s="329" t="inlineStr">
        <is>
          <t>Trái phiếu doanh nghiệp</t>
        </is>
      </c>
      <c r="F1518" s="4" t="inlineStr">
        <is>
          <t>Báo cáo</t>
        </is>
      </c>
      <c r="G1518" s="22" t="inlineStr">
        <is>
          <t>Chỉ tiêu phái sinh</t>
        </is>
      </c>
      <c r="H1518" s="4" t="inlineStr">
        <is>
          <t>TB</t>
        </is>
      </c>
    </row>
    <row r="1519" ht="16" customHeight="1" s="380">
      <c r="B1519" s="4" t="inlineStr">
        <is>
          <t>HSX02</t>
        </is>
      </c>
      <c r="C1519" s="328" t="n"/>
      <c r="D1519" s="329" t="inlineStr">
        <is>
          <t>Chứng chỉ quỹ</t>
        </is>
      </c>
      <c r="F1519" s="4" t="inlineStr">
        <is>
          <t>Báo cáo</t>
        </is>
      </c>
      <c r="G1519" s="22" t="inlineStr">
        <is>
          <t>Chỉ tiêu phái sinh</t>
        </is>
      </c>
      <c r="H1519" s="4" t="inlineStr">
        <is>
          <t>TB</t>
        </is>
      </c>
    </row>
    <row r="1520" ht="16" customHeight="1" s="380">
      <c r="B1520" s="4" t="inlineStr">
        <is>
          <t>HSX02</t>
        </is>
      </c>
      <c r="C1520" s="328" t="n"/>
      <c r="D1520" s="329" t="inlineStr">
        <is>
          <t>ETF</t>
        </is>
      </c>
      <c r="F1520" s="4" t="inlineStr">
        <is>
          <t>Báo cáo</t>
        </is>
      </c>
      <c r="G1520" s="22" t="inlineStr">
        <is>
          <t>Chỉ tiêu phái sinh</t>
        </is>
      </c>
      <c r="H1520" s="4" t="inlineStr">
        <is>
          <t>TB</t>
        </is>
      </c>
    </row>
    <row r="1521" ht="16" customHeight="1" s="380">
      <c r="B1521" s="4" t="inlineStr">
        <is>
          <t>HSX02</t>
        </is>
      </c>
      <c r="C1521" s="328" t="n"/>
      <c r="D1521" s="329" t="inlineStr">
        <is>
          <t>CW</t>
        </is>
      </c>
      <c r="F1521" s="4" t="inlineStr">
        <is>
          <t>Báo cáo</t>
        </is>
      </c>
      <c r="G1521" s="22" t="inlineStr">
        <is>
          <t>Chỉ tiêu phái sinh</t>
        </is>
      </c>
      <c r="H1521" s="4" t="inlineStr">
        <is>
          <t>TB</t>
        </is>
      </c>
    </row>
    <row r="1522" ht="17" customHeight="1" s="380">
      <c r="B1522" s="4" t="inlineStr">
        <is>
          <t>HSX02</t>
        </is>
      </c>
      <c r="C1522" s="330" t="n"/>
      <c r="D1522" s="331" t="inlineStr">
        <is>
          <t>Giá trị chứng khoán niêm yết bổ sung</t>
        </is>
      </c>
      <c r="F1522" s="4" t="inlineStr">
        <is>
          <t>Báo cáo</t>
        </is>
      </c>
      <c r="G1522" s="22" t="inlineStr">
        <is>
          <t>Chỉ tiêu phái sinh</t>
        </is>
      </c>
      <c r="H1522" s="4" t="inlineStr">
        <is>
          <t>TB</t>
        </is>
      </c>
    </row>
    <row r="1523" ht="16" customHeight="1" s="380">
      <c r="B1523" s="4" t="inlineStr">
        <is>
          <t>HSX02</t>
        </is>
      </c>
      <c r="C1523" s="328" t="n"/>
      <c r="D1523" s="329" t="inlineStr">
        <is>
          <t>Cổ phiếu niêm yết</t>
        </is>
      </c>
      <c r="F1523" s="4" t="inlineStr">
        <is>
          <t>Báo cáo</t>
        </is>
      </c>
      <c r="G1523" s="22" t="inlineStr">
        <is>
          <t>Chỉ tiêu phái sinh</t>
        </is>
      </c>
      <c r="H1523" s="4" t="inlineStr">
        <is>
          <t>TB</t>
        </is>
      </c>
    </row>
    <row r="1524" ht="16" customHeight="1" s="380">
      <c r="B1524" s="4" t="inlineStr">
        <is>
          <t>HSX02</t>
        </is>
      </c>
      <c r="C1524" s="328" t="n"/>
      <c r="D1524" s="329" t="inlineStr">
        <is>
          <t>Trái phiếu chính quyền địa phương</t>
        </is>
      </c>
      <c r="F1524" s="4" t="inlineStr">
        <is>
          <t>Báo cáo</t>
        </is>
      </c>
      <c r="G1524" s="22" t="inlineStr">
        <is>
          <t>Chỉ tiêu phái sinh</t>
        </is>
      </c>
      <c r="H1524" s="4" t="inlineStr">
        <is>
          <t>TB</t>
        </is>
      </c>
    </row>
    <row r="1525" ht="16" customHeight="1" s="380">
      <c r="B1525" s="4" t="inlineStr">
        <is>
          <t>HSX02</t>
        </is>
      </c>
      <c r="C1525" s="328" t="n"/>
      <c r="D1525" s="329" t="inlineStr">
        <is>
          <t>Trái phiếu doanh nghiệp</t>
        </is>
      </c>
      <c r="F1525" s="4" t="inlineStr">
        <is>
          <t>Báo cáo</t>
        </is>
      </c>
      <c r="G1525" s="22" t="inlineStr">
        <is>
          <t>Chỉ tiêu phái sinh</t>
        </is>
      </c>
      <c r="H1525" s="4" t="inlineStr">
        <is>
          <t>TB</t>
        </is>
      </c>
    </row>
    <row r="1526" ht="16" customHeight="1" s="380">
      <c r="B1526" s="4" t="inlineStr">
        <is>
          <t>HSX02</t>
        </is>
      </c>
      <c r="C1526" s="328" t="n"/>
      <c r="D1526" s="329" t="inlineStr">
        <is>
          <t>Chứng chỉ quỹ</t>
        </is>
      </c>
      <c r="F1526" s="4" t="inlineStr">
        <is>
          <t>Báo cáo</t>
        </is>
      </c>
      <c r="G1526" s="22" t="inlineStr">
        <is>
          <t>Chỉ tiêu phái sinh</t>
        </is>
      </c>
      <c r="H1526" s="4" t="inlineStr">
        <is>
          <t>TB</t>
        </is>
      </c>
    </row>
    <row r="1527" ht="16" customHeight="1" s="380">
      <c r="B1527" s="4" t="inlineStr">
        <is>
          <t>HSX02</t>
        </is>
      </c>
      <c r="C1527" s="328" t="n"/>
      <c r="D1527" s="329" t="inlineStr">
        <is>
          <t>ETF</t>
        </is>
      </c>
      <c r="F1527" s="4" t="inlineStr">
        <is>
          <t>Báo cáo</t>
        </is>
      </c>
      <c r="G1527" s="22" t="inlineStr">
        <is>
          <t>Chỉ tiêu phái sinh</t>
        </is>
      </c>
      <c r="H1527" s="4" t="inlineStr">
        <is>
          <t>TB</t>
        </is>
      </c>
    </row>
    <row r="1528" ht="16" customHeight="1" s="380">
      <c r="B1528" s="4" t="inlineStr">
        <is>
          <t>HSX02</t>
        </is>
      </c>
      <c r="C1528" s="328" t="n"/>
      <c r="D1528" s="329" t="inlineStr">
        <is>
          <t>CW</t>
        </is>
      </c>
      <c r="F1528" s="4" t="inlineStr">
        <is>
          <t>Báo cáo</t>
        </is>
      </c>
      <c r="G1528" s="22" t="inlineStr">
        <is>
          <t>Chỉ tiêu phái sinh</t>
        </is>
      </c>
      <c r="H1528" s="4" t="inlineStr">
        <is>
          <t>TB</t>
        </is>
      </c>
    </row>
    <row r="1529" ht="34" customHeight="1" s="380">
      <c r="B1529" s="4" t="inlineStr">
        <is>
          <t>HSX02</t>
        </is>
      </c>
      <c r="C1529" s="330" t="n"/>
      <c r="D1529" s="331" t="inlineStr">
        <is>
          <t>Khối lượng chứng khoán hủy niêm yết, đáo hạn</t>
        </is>
      </c>
      <c r="F1529" s="4" t="inlineStr">
        <is>
          <t>Báo cáo</t>
        </is>
      </c>
      <c r="G1529" s="22" t="inlineStr">
        <is>
          <t>Chỉ tiêu phái sinh</t>
        </is>
      </c>
      <c r="H1529" s="4" t="inlineStr">
        <is>
          <t>TB</t>
        </is>
      </c>
    </row>
    <row r="1530" ht="16" customHeight="1" s="380">
      <c r="B1530" s="4" t="inlineStr">
        <is>
          <t>HSX02</t>
        </is>
      </c>
      <c r="C1530" s="328" t="n"/>
      <c r="D1530" s="329" t="inlineStr">
        <is>
          <t>Cổ phiếu niêm yết</t>
        </is>
      </c>
      <c r="F1530" s="4" t="inlineStr">
        <is>
          <t>Báo cáo</t>
        </is>
      </c>
      <c r="G1530" s="22" t="inlineStr">
        <is>
          <t>Chỉ tiêu phái sinh</t>
        </is>
      </c>
      <c r="H1530" s="4" t="inlineStr">
        <is>
          <t>TB</t>
        </is>
      </c>
    </row>
    <row r="1531" ht="16" customHeight="1" s="380">
      <c r="B1531" s="4" t="inlineStr">
        <is>
          <t>HSX02</t>
        </is>
      </c>
      <c r="C1531" s="328" t="n"/>
      <c r="D1531" s="329" t="inlineStr">
        <is>
          <t>Trái phiếu chính quyền địa phương</t>
        </is>
      </c>
      <c r="F1531" s="4" t="inlineStr">
        <is>
          <t>Báo cáo</t>
        </is>
      </c>
      <c r="G1531" s="22" t="inlineStr">
        <is>
          <t>Chỉ tiêu phái sinh</t>
        </is>
      </c>
      <c r="H1531" s="4" t="inlineStr">
        <is>
          <t>TB</t>
        </is>
      </c>
    </row>
    <row r="1532" ht="16" customHeight="1" s="380">
      <c r="B1532" s="4" t="inlineStr">
        <is>
          <t>HSX02</t>
        </is>
      </c>
      <c r="C1532" s="328" t="n"/>
      <c r="D1532" s="329" t="inlineStr">
        <is>
          <t>Trái phiếu doanh nghiệp</t>
        </is>
      </c>
      <c r="F1532" s="4" t="inlineStr">
        <is>
          <t>Báo cáo</t>
        </is>
      </c>
      <c r="G1532" s="22" t="inlineStr">
        <is>
          <t>Chỉ tiêu phái sinh</t>
        </is>
      </c>
      <c r="H1532" s="4" t="inlineStr">
        <is>
          <t>TB</t>
        </is>
      </c>
    </row>
    <row r="1533" ht="16" customHeight="1" s="380">
      <c r="B1533" s="4" t="inlineStr">
        <is>
          <t>HSX02</t>
        </is>
      </c>
      <c r="C1533" s="328" t="n"/>
      <c r="D1533" s="329" t="inlineStr">
        <is>
          <t>Chứng chỉ quỹ</t>
        </is>
      </c>
      <c r="F1533" s="4" t="inlineStr">
        <is>
          <t>Báo cáo</t>
        </is>
      </c>
      <c r="G1533" s="22" t="inlineStr">
        <is>
          <t>Chỉ tiêu phái sinh</t>
        </is>
      </c>
      <c r="H1533" s="4" t="inlineStr">
        <is>
          <t>TB</t>
        </is>
      </c>
    </row>
    <row r="1534" ht="16" customHeight="1" s="380">
      <c r="B1534" s="4" t="inlineStr">
        <is>
          <t>HSX02</t>
        </is>
      </c>
      <c r="C1534" s="328" t="n"/>
      <c r="D1534" s="329" t="inlineStr">
        <is>
          <t>ETF</t>
        </is>
      </c>
      <c r="F1534" s="4" t="inlineStr">
        <is>
          <t>Báo cáo</t>
        </is>
      </c>
      <c r="G1534" s="22" t="inlineStr">
        <is>
          <t>Chỉ tiêu phái sinh</t>
        </is>
      </c>
      <c r="H1534" s="4" t="inlineStr">
        <is>
          <t>TB</t>
        </is>
      </c>
    </row>
    <row r="1535" ht="16" customHeight="1" s="380">
      <c r="B1535" s="4" t="inlineStr">
        <is>
          <t>HSX02</t>
        </is>
      </c>
      <c r="C1535" s="328" t="n"/>
      <c r="D1535" s="329" t="inlineStr">
        <is>
          <t>CW</t>
        </is>
      </c>
      <c r="F1535" s="4" t="inlineStr">
        <is>
          <t>Báo cáo</t>
        </is>
      </c>
      <c r="G1535" s="22" t="inlineStr">
        <is>
          <t>Chỉ tiêu phái sinh</t>
        </is>
      </c>
      <c r="H1535" s="4" t="inlineStr">
        <is>
          <t>TB</t>
        </is>
      </c>
    </row>
    <row r="1536" ht="34" customHeight="1" s="380">
      <c r="B1536" s="4" t="inlineStr">
        <is>
          <t>HSX02</t>
        </is>
      </c>
      <c r="C1536" s="330" t="n"/>
      <c r="D1536" s="331" t="inlineStr">
        <is>
          <t>Giá trị chứng khoán hủy niêm yết, đáo hạn</t>
        </is>
      </c>
      <c r="F1536" s="4" t="inlineStr">
        <is>
          <t>Báo cáo</t>
        </is>
      </c>
      <c r="G1536" s="22" t="inlineStr">
        <is>
          <t>Chỉ tiêu phái sinh</t>
        </is>
      </c>
      <c r="H1536" s="4" t="inlineStr">
        <is>
          <t>TB</t>
        </is>
      </c>
    </row>
    <row r="1537" ht="16" customHeight="1" s="380">
      <c r="B1537" s="4" t="inlineStr">
        <is>
          <t>HSX02</t>
        </is>
      </c>
      <c r="C1537" s="328" t="n"/>
      <c r="D1537" s="329" t="inlineStr">
        <is>
          <t>Cổ phiếu niêm yết</t>
        </is>
      </c>
      <c r="F1537" s="4" t="inlineStr">
        <is>
          <t>Báo cáo</t>
        </is>
      </c>
      <c r="G1537" s="22" t="inlineStr">
        <is>
          <t>Chỉ tiêu phái sinh</t>
        </is>
      </c>
      <c r="H1537" s="4" t="inlineStr">
        <is>
          <t>TB</t>
        </is>
      </c>
    </row>
    <row r="1538" ht="16" customHeight="1" s="380">
      <c r="B1538" s="4" t="inlineStr">
        <is>
          <t>HSX02</t>
        </is>
      </c>
      <c r="C1538" s="328" t="n"/>
      <c r="D1538" s="329" t="inlineStr">
        <is>
          <t>Trái phiếu chính quyền địa phương</t>
        </is>
      </c>
      <c r="F1538" s="4" t="inlineStr">
        <is>
          <t>Báo cáo</t>
        </is>
      </c>
      <c r="G1538" s="22" t="inlineStr">
        <is>
          <t>Chỉ tiêu phái sinh</t>
        </is>
      </c>
      <c r="H1538" s="4" t="inlineStr">
        <is>
          <t>TB</t>
        </is>
      </c>
    </row>
    <row r="1539" ht="16" customHeight="1" s="380">
      <c r="B1539" s="4" t="inlineStr">
        <is>
          <t>HSX02</t>
        </is>
      </c>
      <c r="C1539" s="328" t="n"/>
      <c r="D1539" s="329" t="inlineStr">
        <is>
          <t>Trái phiếu doanh nghiệp</t>
        </is>
      </c>
      <c r="F1539" s="4" t="inlineStr">
        <is>
          <t>Báo cáo</t>
        </is>
      </c>
      <c r="G1539" s="22" t="inlineStr">
        <is>
          <t>Chỉ tiêu phái sinh</t>
        </is>
      </c>
      <c r="H1539" s="4" t="inlineStr">
        <is>
          <t>TB</t>
        </is>
      </c>
    </row>
    <row r="1540" ht="16" customHeight="1" s="380">
      <c r="B1540" s="4" t="inlineStr">
        <is>
          <t>HSX02</t>
        </is>
      </c>
      <c r="C1540" s="328" t="n"/>
      <c r="D1540" s="329" t="inlineStr">
        <is>
          <t>Chứng chỉ quỹ</t>
        </is>
      </c>
      <c r="F1540" s="4" t="inlineStr">
        <is>
          <t>Báo cáo</t>
        </is>
      </c>
      <c r="G1540" s="22" t="inlineStr">
        <is>
          <t>Chỉ tiêu phái sinh</t>
        </is>
      </c>
      <c r="H1540" s="4" t="inlineStr">
        <is>
          <t>TB</t>
        </is>
      </c>
    </row>
    <row r="1541" ht="16" customHeight="1" s="380">
      <c r="B1541" s="4" t="inlineStr">
        <is>
          <t>HSX02</t>
        </is>
      </c>
      <c r="C1541" s="328" t="n"/>
      <c r="D1541" s="329" t="inlineStr">
        <is>
          <t>ETF</t>
        </is>
      </c>
      <c r="F1541" s="4" t="inlineStr">
        <is>
          <t>Báo cáo</t>
        </is>
      </c>
      <c r="G1541" s="22" t="inlineStr">
        <is>
          <t>Chỉ tiêu phái sinh</t>
        </is>
      </c>
      <c r="H1541" s="4" t="inlineStr">
        <is>
          <t>TB</t>
        </is>
      </c>
    </row>
    <row r="1542" ht="16" customHeight="1" s="380">
      <c r="B1542" s="4" t="inlineStr">
        <is>
          <t>HSX02</t>
        </is>
      </c>
      <c r="C1542" s="328" t="n"/>
      <c r="D1542" s="329" t="inlineStr">
        <is>
          <t>CW</t>
        </is>
      </c>
      <c r="F1542" s="4" t="inlineStr">
        <is>
          <t>Báo cáo</t>
        </is>
      </c>
      <c r="G1542" s="22" t="inlineStr">
        <is>
          <t>Chỉ tiêu phái sinh</t>
        </is>
      </c>
      <c r="H1542" s="4" t="inlineStr">
        <is>
          <t>TB</t>
        </is>
      </c>
    </row>
    <row r="1543" ht="34" customHeight="1" s="380">
      <c r="B1543" s="4" t="inlineStr">
        <is>
          <t>HSX02</t>
        </is>
      </c>
      <c r="C1543" s="330" t="n"/>
      <c r="D1543" s="331" t="inlineStr">
        <is>
          <t>Số mã chứng khoán niêm yết tại thời điểm cuối tháng</t>
        </is>
      </c>
      <c r="F1543" s="4" t="inlineStr">
        <is>
          <t>Báo cáo</t>
        </is>
      </c>
      <c r="G1543" s="22" t="inlineStr">
        <is>
          <t>Chỉ tiêu phái sinh</t>
        </is>
      </c>
      <c r="H1543" s="4" t="inlineStr">
        <is>
          <t>TB</t>
        </is>
      </c>
    </row>
    <row r="1544" ht="16" customHeight="1" s="380">
      <c r="B1544" s="4" t="inlineStr">
        <is>
          <t>HSX02</t>
        </is>
      </c>
      <c r="C1544" s="328" t="n"/>
      <c r="D1544" s="329" t="inlineStr">
        <is>
          <t>Cổ phiếu niêm yết</t>
        </is>
      </c>
      <c r="F1544" s="4" t="inlineStr">
        <is>
          <t>Báo cáo</t>
        </is>
      </c>
      <c r="G1544" s="22" t="inlineStr">
        <is>
          <t>Chỉ tiêu phái sinh</t>
        </is>
      </c>
      <c r="H1544" s="4" t="inlineStr">
        <is>
          <t>TB</t>
        </is>
      </c>
    </row>
    <row r="1545" ht="16" customHeight="1" s="380">
      <c r="B1545" s="4" t="inlineStr">
        <is>
          <t>HSX02</t>
        </is>
      </c>
      <c r="C1545" s="328" t="n"/>
      <c r="D1545" s="329" t="inlineStr">
        <is>
          <t>Trái phiếu chính quyền địa phương</t>
        </is>
      </c>
      <c r="F1545" s="4" t="inlineStr">
        <is>
          <t>Báo cáo</t>
        </is>
      </c>
      <c r="G1545" s="22" t="inlineStr">
        <is>
          <t>Chỉ tiêu phái sinh</t>
        </is>
      </c>
      <c r="H1545" s="4" t="inlineStr">
        <is>
          <t>TB</t>
        </is>
      </c>
    </row>
    <row r="1546" ht="16" customHeight="1" s="380">
      <c r="B1546" s="4" t="inlineStr">
        <is>
          <t>HSX02</t>
        </is>
      </c>
      <c r="C1546" s="328" t="n"/>
      <c r="D1546" s="329" t="inlineStr">
        <is>
          <t>Trái phiếu doanh nghiệp</t>
        </is>
      </c>
      <c r="F1546" s="4" t="inlineStr">
        <is>
          <t>Báo cáo</t>
        </is>
      </c>
      <c r="G1546" s="22" t="inlineStr">
        <is>
          <t>Chỉ tiêu phái sinh</t>
        </is>
      </c>
      <c r="H1546" s="4" t="inlineStr">
        <is>
          <t>TB</t>
        </is>
      </c>
    </row>
    <row r="1547" ht="16" customHeight="1" s="380">
      <c r="B1547" s="4" t="inlineStr">
        <is>
          <t>HSX02</t>
        </is>
      </c>
      <c r="C1547" s="328" t="n"/>
      <c r="D1547" s="329" t="inlineStr">
        <is>
          <t>Chứng chỉ quỹ</t>
        </is>
      </c>
      <c r="F1547" s="4" t="inlineStr">
        <is>
          <t>Báo cáo</t>
        </is>
      </c>
      <c r="G1547" s="22" t="inlineStr">
        <is>
          <t>Chỉ tiêu phái sinh</t>
        </is>
      </c>
      <c r="H1547" s="4" t="inlineStr">
        <is>
          <t>TB</t>
        </is>
      </c>
    </row>
    <row r="1548" ht="16" customHeight="1" s="380">
      <c r="B1548" s="4" t="inlineStr">
        <is>
          <t>HSX02</t>
        </is>
      </c>
      <c r="C1548" s="328" t="n"/>
      <c r="D1548" s="329" t="inlineStr">
        <is>
          <t>ETF</t>
        </is>
      </c>
      <c r="F1548" s="4" t="inlineStr">
        <is>
          <t>Báo cáo</t>
        </is>
      </c>
      <c r="G1548" s="22" t="inlineStr">
        <is>
          <t>Chỉ tiêu phái sinh</t>
        </is>
      </c>
      <c r="H1548" s="4" t="inlineStr">
        <is>
          <t>TB</t>
        </is>
      </c>
    </row>
    <row r="1549" ht="16" customHeight="1" s="380">
      <c r="B1549" s="4" t="inlineStr">
        <is>
          <t>HSX02</t>
        </is>
      </c>
      <c r="C1549" s="328" t="n"/>
      <c r="D1549" s="329" t="inlineStr">
        <is>
          <t>CW</t>
        </is>
      </c>
      <c r="F1549" s="4" t="inlineStr">
        <is>
          <t>Báo cáo</t>
        </is>
      </c>
      <c r="G1549" s="22" t="inlineStr">
        <is>
          <t>Chỉ tiêu phái sinh</t>
        </is>
      </c>
      <c r="H1549" s="4" t="inlineStr">
        <is>
          <t>TB</t>
        </is>
      </c>
    </row>
    <row r="1550" ht="16" customHeight="1" s="380">
      <c r="B1550" s="4" t="inlineStr">
        <is>
          <t>HSX02</t>
        </is>
      </c>
      <c r="C1550" s="326" t="n"/>
      <c r="D1550" s="327" t="inlineStr">
        <is>
          <t>Số mã chứng khoán niêm yết mới trong tháng</t>
        </is>
      </c>
      <c r="F1550" s="4" t="inlineStr">
        <is>
          <t>Báo cáo</t>
        </is>
      </c>
      <c r="G1550" s="22" t="inlineStr">
        <is>
          <t>Chỉ tiêu phái sinh</t>
        </is>
      </c>
      <c r="H1550" s="4" t="inlineStr">
        <is>
          <t>TB</t>
        </is>
      </c>
    </row>
    <row r="1551" ht="16" customHeight="1" s="380">
      <c r="B1551" s="4" t="inlineStr">
        <is>
          <t>HSX02</t>
        </is>
      </c>
      <c r="C1551" s="328" t="n"/>
      <c r="D1551" s="329" t="inlineStr">
        <is>
          <t>Cổ phiếu niêm yết</t>
        </is>
      </c>
      <c r="F1551" s="4" t="inlineStr">
        <is>
          <t>Báo cáo</t>
        </is>
      </c>
      <c r="G1551" s="22" t="inlineStr">
        <is>
          <t>Chỉ tiêu phái sinh</t>
        </is>
      </c>
      <c r="H1551" s="4" t="inlineStr">
        <is>
          <t>TB</t>
        </is>
      </c>
    </row>
    <row r="1552" ht="16" customHeight="1" s="380">
      <c r="B1552" s="4" t="inlineStr">
        <is>
          <t>HSX02</t>
        </is>
      </c>
      <c r="C1552" s="328" t="n"/>
      <c r="D1552" s="329" t="inlineStr">
        <is>
          <t>Trái phiếu chính quyền địa phương</t>
        </is>
      </c>
      <c r="F1552" s="4" t="inlineStr">
        <is>
          <t>Báo cáo</t>
        </is>
      </c>
      <c r="G1552" s="22" t="inlineStr">
        <is>
          <t>Chỉ tiêu phái sinh</t>
        </is>
      </c>
      <c r="H1552" s="4" t="inlineStr">
        <is>
          <t>TB</t>
        </is>
      </c>
    </row>
    <row r="1553" ht="16" customHeight="1" s="380">
      <c r="B1553" s="4" t="inlineStr">
        <is>
          <t>HSX02</t>
        </is>
      </c>
      <c r="C1553" s="328" t="n"/>
      <c r="D1553" s="329" t="inlineStr">
        <is>
          <t>Trái phiếu doanh nghiệp</t>
        </is>
      </c>
      <c r="F1553" s="4" t="inlineStr">
        <is>
          <t>Báo cáo</t>
        </is>
      </c>
      <c r="G1553" s="22" t="inlineStr">
        <is>
          <t>Chỉ tiêu phái sinh</t>
        </is>
      </c>
      <c r="H1553" s="4" t="inlineStr">
        <is>
          <t>TB</t>
        </is>
      </c>
    </row>
    <row r="1554" ht="16" customHeight="1" s="380">
      <c r="B1554" s="4" t="inlineStr">
        <is>
          <t>HSX02</t>
        </is>
      </c>
      <c r="C1554" s="328" t="n"/>
      <c r="D1554" s="329" t="inlineStr">
        <is>
          <t>Chứng chỉ quỹ</t>
        </is>
      </c>
      <c r="F1554" s="4" t="inlineStr">
        <is>
          <t>Báo cáo</t>
        </is>
      </c>
      <c r="G1554" s="22" t="inlineStr">
        <is>
          <t>Chỉ tiêu phái sinh</t>
        </is>
      </c>
      <c r="H1554" s="4" t="inlineStr">
        <is>
          <t>TB</t>
        </is>
      </c>
    </row>
    <row r="1555" ht="16" customHeight="1" s="380">
      <c r="B1555" s="4" t="inlineStr">
        <is>
          <t>HSX02</t>
        </is>
      </c>
      <c r="C1555" s="328" t="n"/>
      <c r="D1555" s="329" t="inlineStr">
        <is>
          <t>ETF</t>
        </is>
      </c>
      <c r="F1555" s="4" t="inlineStr">
        <is>
          <t>Báo cáo</t>
        </is>
      </c>
      <c r="G1555" s="22" t="inlineStr">
        <is>
          <t>Chỉ tiêu phái sinh</t>
        </is>
      </c>
      <c r="H1555" s="4" t="inlineStr">
        <is>
          <t>TB</t>
        </is>
      </c>
    </row>
    <row r="1556" ht="16" customHeight="1" s="380">
      <c r="B1556" s="4" t="inlineStr">
        <is>
          <t>HSX02</t>
        </is>
      </c>
      <c r="C1556" s="328" t="n"/>
      <c r="D1556" s="329" t="inlineStr">
        <is>
          <t>CW</t>
        </is>
      </c>
      <c r="F1556" s="4" t="inlineStr">
        <is>
          <t>Báo cáo</t>
        </is>
      </c>
      <c r="G1556" s="22" t="inlineStr">
        <is>
          <t>Chỉ tiêu phái sinh</t>
        </is>
      </c>
      <c r="H1556" s="4" t="inlineStr">
        <is>
          <t>TB</t>
        </is>
      </c>
    </row>
    <row r="1557" ht="32" customHeight="1" s="380">
      <c r="B1557" s="4" t="inlineStr">
        <is>
          <t>HSX02</t>
        </is>
      </c>
      <c r="C1557" s="326" t="n"/>
      <c r="D1557" s="327" t="inlineStr">
        <is>
          <t>Số mã chứng khoán hủy niêm yết, đáo hạn trong tháng</t>
        </is>
      </c>
      <c r="F1557" s="4" t="inlineStr">
        <is>
          <t>Báo cáo</t>
        </is>
      </c>
      <c r="G1557" s="22" t="inlineStr">
        <is>
          <t>Chỉ tiêu phái sinh</t>
        </is>
      </c>
      <c r="H1557" s="4" t="inlineStr">
        <is>
          <t>TB</t>
        </is>
      </c>
    </row>
    <row r="1558" ht="16" customHeight="1" s="380">
      <c r="B1558" s="4" t="inlineStr">
        <is>
          <t>HSX02</t>
        </is>
      </c>
      <c r="C1558" s="328" t="n"/>
      <c r="D1558" s="329" t="inlineStr">
        <is>
          <t>Cổ phiếu niêm yết</t>
        </is>
      </c>
      <c r="F1558" s="4" t="inlineStr">
        <is>
          <t>Báo cáo</t>
        </is>
      </c>
      <c r="G1558" s="22" t="inlineStr">
        <is>
          <t>Chỉ tiêu phái sinh</t>
        </is>
      </c>
      <c r="H1558" s="4" t="inlineStr">
        <is>
          <t>TB</t>
        </is>
      </c>
    </row>
    <row r="1559" ht="16" customHeight="1" s="380">
      <c r="B1559" s="4" t="inlineStr">
        <is>
          <t>HSX02</t>
        </is>
      </c>
      <c r="C1559" s="328" t="n"/>
      <c r="D1559" s="329" t="inlineStr">
        <is>
          <t>Trái phiếu chính quyền địa phương</t>
        </is>
      </c>
      <c r="F1559" s="4" t="inlineStr">
        <is>
          <t>Báo cáo</t>
        </is>
      </c>
      <c r="G1559" s="22" t="inlineStr">
        <is>
          <t>Chỉ tiêu phái sinh</t>
        </is>
      </c>
      <c r="H1559" s="4" t="inlineStr">
        <is>
          <t>TB</t>
        </is>
      </c>
    </row>
    <row r="1560" ht="16" customHeight="1" s="380">
      <c r="B1560" s="4" t="inlineStr">
        <is>
          <t>HSX02</t>
        </is>
      </c>
      <c r="C1560" s="328" t="n"/>
      <c r="D1560" s="329" t="inlineStr">
        <is>
          <t>Trái phiếu doanh nghiệp</t>
        </is>
      </c>
      <c r="F1560" s="4" t="inlineStr">
        <is>
          <t>Báo cáo</t>
        </is>
      </c>
      <c r="G1560" s="22" t="inlineStr">
        <is>
          <t>Chỉ tiêu phái sinh</t>
        </is>
      </c>
      <c r="H1560" s="4" t="inlineStr">
        <is>
          <t>TB</t>
        </is>
      </c>
    </row>
    <row r="1561" ht="16" customHeight="1" s="380">
      <c r="B1561" s="4" t="inlineStr">
        <is>
          <t>HSX02</t>
        </is>
      </c>
      <c r="C1561" s="328" t="n"/>
      <c r="D1561" s="329" t="inlineStr">
        <is>
          <t>Chứng chỉ quỹ</t>
        </is>
      </c>
      <c r="F1561" s="4" t="inlineStr">
        <is>
          <t>Báo cáo</t>
        </is>
      </c>
      <c r="G1561" s="22" t="inlineStr">
        <is>
          <t>Chỉ tiêu phái sinh</t>
        </is>
      </c>
      <c r="H1561" s="4" t="inlineStr">
        <is>
          <t>TB</t>
        </is>
      </c>
    </row>
    <row r="1562" ht="16" customHeight="1" s="380">
      <c r="B1562" s="4" t="inlineStr">
        <is>
          <t>HSX02</t>
        </is>
      </c>
      <c r="C1562" s="328" t="n"/>
      <c r="D1562" s="329" t="inlineStr">
        <is>
          <t>ETF</t>
        </is>
      </c>
      <c r="F1562" s="4" t="inlineStr">
        <is>
          <t>Báo cáo</t>
        </is>
      </c>
      <c r="G1562" s="22" t="inlineStr">
        <is>
          <t>Chỉ tiêu phái sinh</t>
        </is>
      </c>
      <c r="H1562" s="4" t="inlineStr">
        <is>
          <t>TB</t>
        </is>
      </c>
    </row>
    <row r="1563" ht="16" customHeight="1" s="380">
      <c r="B1563" s="4" t="inlineStr">
        <is>
          <t>HSX02</t>
        </is>
      </c>
      <c r="C1563" s="328" t="n"/>
      <c r="D1563" s="329" t="inlineStr">
        <is>
          <t>CW</t>
        </is>
      </c>
      <c r="F1563" s="4" t="inlineStr">
        <is>
          <t>Báo cáo</t>
        </is>
      </c>
      <c r="G1563" s="22" t="inlineStr">
        <is>
          <t>Chỉ tiêu phái sinh</t>
        </is>
      </c>
      <c r="H1563" s="4" t="inlineStr">
        <is>
          <t>TB</t>
        </is>
      </c>
    </row>
    <row r="1564" ht="16" customHeight="1" s="380">
      <c r="B1564" s="4" t="inlineStr">
        <is>
          <t>HSX02</t>
        </is>
      </c>
      <c r="C1564" s="326" t="n"/>
      <c r="D1564" s="327" t="inlineStr">
        <is>
          <t>Số phiên thực hiện giao dịch</t>
        </is>
      </c>
      <c r="F1564" s="4" t="inlineStr">
        <is>
          <t>Báo cáo</t>
        </is>
      </c>
      <c r="G1564" s="22" t="inlineStr">
        <is>
          <t>Chỉ tiêu phái sinh</t>
        </is>
      </c>
      <c r="H1564" s="4" t="inlineStr">
        <is>
          <t>TB</t>
        </is>
      </c>
    </row>
    <row r="1565" ht="16" customHeight="1" s="380">
      <c r="B1565" s="4" t="inlineStr">
        <is>
          <t>HSX02</t>
        </is>
      </c>
      <c r="C1565" s="326" t="n"/>
      <c r="D1565" s="327" t="inlineStr">
        <is>
          <t>SGDCK TP.HCM</t>
        </is>
      </c>
      <c r="F1565" s="4" t="inlineStr">
        <is>
          <t>Báo cáo</t>
        </is>
      </c>
      <c r="G1565" s="22" t="inlineStr">
        <is>
          <t>Chỉ tiêu phái sinh</t>
        </is>
      </c>
      <c r="H1565" s="4" t="inlineStr">
        <is>
          <t>TB</t>
        </is>
      </c>
    </row>
    <row r="1566" ht="17" customHeight="1" s="380">
      <c r="B1566" s="4" t="inlineStr">
        <is>
          <t>HSX02</t>
        </is>
      </c>
      <c r="C1566" s="330" t="n"/>
      <c r="D1566" s="331" t="inlineStr">
        <is>
          <t>Giao dịch Nhà đầu tư nước ngoài</t>
        </is>
      </c>
      <c r="F1566" s="4" t="inlineStr">
        <is>
          <t>Báo cáo</t>
        </is>
      </c>
      <c r="G1566" s="22" t="inlineStr">
        <is>
          <t>Chỉ tiêu phái sinh</t>
        </is>
      </c>
      <c r="H1566" s="4" t="inlineStr">
        <is>
          <t>TB</t>
        </is>
      </c>
    </row>
    <row r="1567" ht="17" customHeight="1" s="380">
      <c r="B1567" s="4" t="inlineStr">
        <is>
          <t>HSX02</t>
        </is>
      </c>
      <c r="C1567" s="332" t="n"/>
      <c r="D1567" s="333" t="inlineStr">
        <is>
          <t>GDNĐTNN cổ phiếu niêm yết</t>
        </is>
      </c>
      <c r="F1567" s="4" t="inlineStr">
        <is>
          <t>Báo cáo</t>
        </is>
      </c>
      <c r="G1567" s="22" t="inlineStr">
        <is>
          <t>Chỉ tiêu phái sinh</t>
        </is>
      </c>
      <c r="H1567" s="4" t="inlineStr">
        <is>
          <t>TB</t>
        </is>
      </c>
    </row>
    <row r="1568" ht="17" customHeight="1" s="380">
      <c r="B1568" s="4" t="inlineStr">
        <is>
          <t>HSX02</t>
        </is>
      </c>
      <c r="C1568" s="334" t="n"/>
      <c r="D1568" s="335" t="inlineStr">
        <is>
          <t>Khối lượng giao dịch cổ phiếu niêm yết</t>
        </is>
      </c>
      <c r="F1568" s="4" t="inlineStr">
        <is>
          <t>Báo cáo</t>
        </is>
      </c>
      <c r="G1568" s="22" t="inlineStr">
        <is>
          <t>Chỉ tiêu phái sinh</t>
        </is>
      </c>
      <c r="H1568" s="4" t="inlineStr">
        <is>
          <t>TB</t>
        </is>
      </c>
    </row>
    <row r="1569" ht="17" customHeight="1" s="380">
      <c r="B1569" s="4" t="inlineStr">
        <is>
          <t>HSX02</t>
        </is>
      </c>
      <c r="C1569" s="334" t="n"/>
      <c r="D1569" s="335" t="inlineStr">
        <is>
          <t>Khối lượng giao dịch mua</t>
        </is>
      </c>
      <c r="F1569" s="4" t="inlineStr">
        <is>
          <t>Báo cáo</t>
        </is>
      </c>
      <c r="G1569" s="22" t="inlineStr">
        <is>
          <t>Chỉ tiêu phái sinh</t>
        </is>
      </c>
      <c r="H1569" s="4" t="inlineStr">
        <is>
          <t>TB</t>
        </is>
      </c>
    </row>
    <row r="1570" ht="17" customHeight="1" s="380">
      <c r="B1570" s="4" t="inlineStr">
        <is>
          <t>HSX02</t>
        </is>
      </c>
      <c r="C1570" s="334" t="n"/>
      <c r="D1570" s="335" t="inlineStr">
        <is>
          <t>Khối lượng giao dịch bán</t>
        </is>
      </c>
      <c r="F1570" s="4" t="inlineStr">
        <is>
          <t>Báo cáo</t>
        </is>
      </c>
      <c r="G1570" s="22" t="inlineStr">
        <is>
          <t>Chỉ tiêu phái sinh</t>
        </is>
      </c>
      <c r="H1570" s="4" t="inlineStr">
        <is>
          <t>TB</t>
        </is>
      </c>
    </row>
    <row r="1571" ht="17" customHeight="1" s="380">
      <c r="B1571" s="4" t="inlineStr">
        <is>
          <t>HSX02</t>
        </is>
      </c>
      <c r="C1571" s="334" t="n"/>
      <c r="D1571" s="335" t="inlineStr">
        <is>
          <t>Khối lượng mua/bán ròng</t>
        </is>
      </c>
      <c r="F1571" s="4" t="inlineStr">
        <is>
          <t>Báo cáo</t>
        </is>
      </c>
      <c r="G1571" s="22" t="inlineStr">
        <is>
          <t>Chỉ tiêu phái sinh</t>
        </is>
      </c>
      <c r="H1571" s="4" t="inlineStr">
        <is>
          <t>TB</t>
        </is>
      </c>
    </row>
    <row r="1572" ht="17" customHeight="1" s="380">
      <c r="B1572" s="4" t="inlineStr">
        <is>
          <t>HSX02</t>
        </is>
      </c>
      <c r="C1572" s="334" t="n"/>
      <c r="D1572" s="335" t="inlineStr">
        <is>
          <t>Giá trị giao dịch cổ phiếu niêm yết</t>
        </is>
      </c>
      <c r="F1572" s="4" t="inlineStr">
        <is>
          <t>Báo cáo</t>
        </is>
      </c>
      <c r="G1572" s="22" t="inlineStr">
        <is>
          <t>Chỉ tiêu phái sinh</t>
        </is>
      </c>
      <c r="H1572" s="4" t="inlineStr">
        <is>
          <t>TB</t>
        </is>
      </c>
    </row>
    <row r="1573" ht="17" customHeight="1" s="380">
      <c r="B1573" s="4" t="inlineStr">
        <is>
          <t>HSX02</t>
        </is>
      </c>
      <c r="C1573" s="334" t="n"/>
      <c r="D1573" s="335" t="inlineStr">
        <is>
          <t>Giá trị giao dịch mua</t>
        </is>
      </c>
      <c r="F1573" s="4" t="inlineStr">
        <is>
          <t>Báo cáo</t>
        </is>
      </c>
      <c r="G1573" s="22" t="inlineStr">
        <is>
          <t>Chỉ tiêu phái sinh</t>
        </is>
      </c>
      <c r="H1573" s="4" t="inlineStr">
        <is>
          <t>TB</t>
        </is>
      </c>
    </row>
    <row r="1574" ht="17" customHeight="1" s="380">
      <c r="B1574" s="4" t="inlineStr">
        <is>
          <t>HSX02</t>
        </is>
      </c>
      <c r="C1574" s="334" t="n"/>
      <c r="D1574" s="335" t="inlineStr">
        <is>
          <t>Giá trị giao dịch bán</t>
        </is>
      </c>
      <c r="F1574" s="4" t="inlineStr">
        <is>
          <t>Báo cáo</t>
        </is>
      </c>
      <c r="G1574" s="22" t="inlineStr">
        <is>
          <t>Chỉ tiêu phái sinh</t>
        </is>
      </c>
      <c r="H1574" s="4" t="inlineStr">
        <is>
          <t>TB</t>
        </is>
      </c>
    </row>
    <row r="1575" ht="17" customHeight="1" s="380">
      <c r="B1575" s="4" t="inlineStr">
        <is>
          <t>HSX02</t>
        </is>
      </c>
      <c r="C1575" s="334" t="n"/>
      <c r="D1575" s="335" t="inlineStr">
        <is>
          <t>Giá trị mua/bán ròng</t>
        </is>
      </c>
      <c r="F1575" s="4" t="inlineStr">
        <is>
          <t>Báo cáo</t>
        </is>
      </c>
      <c r="G1575" s="22" t="inlineStr">
        <is>
          <t>Chỉ tiêu phái sinh</t>
        </is>
      </c>
      <c r="H1575" s="4" t="inlineStr">
        <is>
          <t>TB</t>
        </is>
      </c>
    </row>
    <row r="1576" ht="17" customHeight="1" s="380">
      <c r="B1576" s="4" t="inlineStr">
        <is>
          <t>HSX02</t>
        </is>
      </c>
      <c r="C1576" s="332" t="n"/>
      <c r="D1576" s="333" t="inlineStr">
        <is>
          <t>GDNĐTNN chứng chỉ quỹ</t>
        </is>
      </c>
      <c r="F1576" s="4" t="inlineStr">
        <is>
          <t>Báo cáo</t>
        </is>
      </c>
      <c r="G1576" s="22" t="inlineStr">
        <is>
          <t>Chỉ tiêu phái sinh</t>
        </is>
      </c>
      <c r="H1576" s="4" t="inlineStr">
        <is>
          <t>TB</t>
        </is>
      </c>
    </row>
    <row r="1577" ht="17" customHeight="1" s="380">
      <c r="B1577" s="4" t="inlineStr">
        <is>
          <t>HSX02</t>
        </is>
      </c>
      <c r="C1577" s="334" t="n"/>
      <c r="D1577" s="335" t="inlineStr">
        <is>
          <t>Khối lượng giao dịch chứng chỉ quỹ</t>
        </is>
      </c>
      <c r="F1577" s="4" t="inlineStr">
        <is>
          <t>Báo cáo</t>
        </is>
      </c>
      <c r="G1577" s="22" t="inlineStr">
        <is>
          <t>Chỉ tiêu phái sinh</t>
        </is>
      </c>
      <c r="H1577" s="4" t="inlineStr">
        <is>
          <t>TB</t>
        </is>
      </c>
    </row>
    <row r="1578" ht="17" customHeight="1" s="380">
      <c r="B1578" s="4" t="inlineStr">
        <is>
          <t>HSX02</t>
        </is>
      </c>
      <c r="C1578" s="334" t="n"/>
      <c r="D1578" s="335" t="inlineStr">
        <is>
          <t>Khối lượng giao dịch mua</t>
        </is>
      </c>
      <c r="F1578" s="4" t="inlineStr">
        <is>
          <t>Báo cáo</t>
        </is>
      </c>
      <c r="G1578" s="22" t="inlineStr">
        <is>
          <t>Chỉ tiêu phái sinh</t>
        </is>
      </c>
      <c r="H1578" s="4" t="inlineStr">
        <is>
          <t>TB</t>
        </is>
      </c>
    </row>
    <row r="1579" ht="17" customHeight="1" s="380">
      <c r="B1579" s="4" t="inlineStr">
        <is>
          <t>HSX02</t>
        </is>
      </c>
      <c r="C1579" s="334" t="n"/>
      <c r="D1579" s="335" t="inlineStr">
        <is>
          <t>Khối lượng giao dịch bán</t>
        </is>
      </c>
      <c r="F1579" s="4" t="inlineStr">
        <is>
          <t>Báo cáo</t>
        </is>
      </c>
      <c r="G1579" s="22" t="inlineStr">
        <is>
          <t>Chỉ tiêu phái sinh</t>
        </is>
      </c>
      <c r="H1579" s="4" t="inlineStr">
        <is>
          <t>TB</t>
        </is>
      </c>
    </row>
    <row r="1580" ht="17" customHeight="1" s="380">
      <c r="B1580" s="4" t="inlineStr">
        <is>
          <t>HSX02</t>
        </is>
      </c>
      <c r="C1580" s="334" t="n"/>
      <c r="D1580" s="335" t="inlineStr">
        <is>
          <t>Khối lượng mua/bán ròng</t>
        </is>
      </c>
      <c r="F1580" s="4" t="inlineStr">
        <is>
          <t>Báo cáo</t>
        </is>
      </c>
      <c r="G1580" s="22" t="inlineStr">
        <is>
          <t>Chỉ tiêu phái sinh</t>
        </is>
      </c>
      <c r="H1580" s="4" t="inlineStr">
        <is>
          <t>TB</t>
        </is>
      </c>
    </row>
    <row r="1581" ht="17" customHeight="1" s="380">
      <c r="B1581" s="4" t="inlineStr">
        <is>
          <t>HSX02</t>
        </is>
      </c>
      <c r="C1581" s="334" t="n"/>
      <c r="D1581" s="335" t="inlineStr">
        <is>
          <t>Giá trị giao dịch chứng chỉ quỹ</t>
        </is>
      </c>
      <c r="F1581" s="4" t="inlineStr">
        <is>
          <t>Báo cáo</t>
        </is>
      </c>
      <c r="G1581" s="22" t="inlineStr">
        <is>
          <t>Chỉ tiêu phái sinh</t>
        </is>
      </c>
      <c r="H1581" s="4" t="inlineStr">
        <is>
          <t>TB</t>
        </is>
      </c>
    </row>
    <row r="1582" ht="17" customHeight="1" s="380">
      <c r="B1582" s="4" t="inlineStr">
        <is>
          <t>HSX02</t>
        </is>
      </c>
      <c r="C1582" s="334" t="n"/>
      <c r="D1582" s="335" t="inlineStr">
        <is>
          <t>Giá trị giao dịch mua</t>
        </is>
      </c>
      <c r="F1582" s="4" t="inlineStr">
        <is>
          <t>Báo cáo</t>
        </is>
      </c>
      <c r="G1582" s="22" t="inlineStr">
        <is>
          <t>Chỉ tiêu phái sinh</t>
        </is>
      </c>
      <c r="H1582" s="4" t="inlineStr">
        <is>
          <t>TB</t>
        </is>
      </c>
    </row>
    <row r="1583" ht="17" customHeight="1" s="380">
      <c r="B1583" s="4" t="inlineStr">
        <is>
          <t>HSX02</t>
        </is>
      </c>
      <c r="C1583" s="334" t="n"/>
      <c r="D1583" s="335" t="inlineStr">
        <is>
          <t>Giá trị giao dịch bán</t>
        </is>
      </c>
      <c r="F1583" s="4" t="inlineStr">
        <is>
          <t>Báo cáo</t>
        </is>
      </c>
      <c r="G1583" s="22" t="inlineStr">
        <is>
          <t>Chỉ tiêu phái sinh</t>
        </is>
      </c>
      <c r="H1583" s="4" t="inlineStr">
        <is>
          <t>TB</t>
        </is>
      </c>
    </row>
    <row r="1584" ht="17" customHeight="1" s="380">
      <c r="B1584" s="4" t="inlineStr">
        <is>
          <t>HSX02</t>
        </is>
      </c>
      <c r="C1584" s="334" t="n"/>
      <c r="D1584" s="335" t="inlineStr">
        <is>
          <t>Giá trị mua/bán ròng</t>
        </is>
      </c>
      <c r="F1584" s="4" t="inlineStr">
        <is>
          <t>Báo cáo</t>
        </is>
      </c>
      <c r="G1584" s="22" t="inlineStr">
        <is>
          <t>Chỉ tiêu phái sinh</t>
        </is>
      </c>
      <c r="H1584" s="4" t="inlineStr">
        <is>
          <t>TB</t>
        </is>
      </c>
    </row>
    <row r="1585" ht="17" customHeight="1" s="380">
      <c r="B1585" s="4" t="inlineStr">
        <is>
          <t>HSX02</t>
        </is>
      </c>
      <c r="C1585" s="332" t="n"/>
      <c r="D1585" s="333" t="inlineStr">
        <is>
          <t>GDNĐTNN ETF</t>
        </is>
      </c>
      <c r="F1585" s="4" t="inlineStr">
        <is>
          <t>Báo cáo</t>
        </is>
      </c>
      <c r="G1585" s="22" t="inlineStr">
        <is>
          <t>Chỉ tiêu phái sinh</t>
        </is>
      </c>
      <c r="H1585" s="4" t="inlineStr">
        <is>
          <t>TB</t>
        </is>
      </c>
    </row>
    <row r="1586" ht="17" customHeight="1" s="380">
      <c r="B1586" s="4" t="inlineStr">
        <is>
          <t>HSX02</t>
        </is>
      </c>
      <c r="C1586" s="334" t="n"/>
      <c r="D1586" s="335" t="inlineStr">
        <is>
          <t>Khối lượng giao dịch ETF</t>
        </is>
      </c>
      <c r="F1586" s="4" t="inlineStr">
        <is>
          <t>Báo cáo</t>
        </is>
      </c>
      <c r="G1586" s="22" t="inlineStr">
        <is>
          <t>Chỉ tiêu phái sinh</t>
        </is>
      </c>
      <c r="H1586" s="4" t="inlineStr">
        <is>
          <t>TB</t>
        </is>
      </c>
    </row>
    <row r="1587" ht="17" customHeight="1" s="380">
      <c r="B1587" s="4" t="inlineStr">
        <is>
          <t>HSX02</t>
        </is>
      </c>
      <c r="C1587" s="334" t="n"/>
      <c r="D1587" s="335" t="inlineStr">
        <is>
          <t>Khối lượng giao dịch mua</t>
        </is>
      </c>
      <c r="F1587" s="4" t="inlineStr">
        <is>
          <t>Báo cáo</t>
        </is>
      </c>
      <c r="G1587" s="22" t="inlineStr">
        <is>
          <t>Chỉ tiêu phái sinh</t>
        </is>
      </c>
      <c r="H1587" s="4" t="inlineStr">
        <is>
          <t>TB</t>
        </is>
      </c>
    </row>
    <row r="1588" ht="17" customHeight="1" s="380">
      <c r="B1588" s="4" t="inlineStr">
        <is>
          <t>HSX02</t>
        </is>
      </c>
      <c r="C1588" s="334" t="n"/>
      <c r="D1588" s="335" t="inlineStr">
        <is>
          <t>Khối lượng giao dịch bán</t>
        </is>
      </c>
      <c r="F1588" s="4" t="inlineStr">
        <is>
          <t>Báo cáo</t>
        </is>
      </c>
      <c r="G1588" s="22" t="inlineStr">
        <is>
          <t>Chỉ tiêu phái sinh</t>
        </is>
      </c>
      <c r="H1588" s="4" t="inlineStr">
        <is>
          <t>TB</t>
        </is>
      </c>
    </row>
    <row r="1589" ht="17" customHeight="1" s="380">
      <c r="B1589" s="4" t="inlineStr">
        <is>
          <t>HSX02</t>
        </is>
      </c>
      <c r="C1589" s="334" t="n"/>
      <c r="D1589" s="335" t="inlineStr">
        <is>
          <t>Khối lượng mua/bán ròng</t>
        </is>
      </c>
      <c r="F1589" s="4" t="inlineStr">
        <is>
          <t>Báo cáo</t>
        </is>
      </c>
      <c r="G1589" s="22" t="inlineStr">
        <is>
          <t>Chỉ tiêu phái sinh</t>
        </is>
      </c>
      <c r="H1589" s="4" t="inlineStr">
        <is>
          <t>TB</t>
        </is>
      </c>
    </row>
    <row r="1590" ht="17" customHeight="1" s="380">
      <c r="B1590" s="4" t="inlineStr">
        <is>
          <t>HSX02</t>
        </is>
      </c>
      <c r="C1590" s="334" t="n"/>
      <c r="D1590" s="335" t="inlineStr">
        <is>
          <t>Giá trị giao dịch ETF</t>
        </is>
      </c>
      <c r="F1590" s="4" t="inlineStr">
        <is>
          <t>Báo cáo</t>
        </is>
      </c>
      <c r="G1590" s="22" t="inlineStr">
        <is>
          <t>Chỉ tiêu phái sinh</t>
        </is>
      </c>
      <c r="H1590" s="4" t="inlineStr">
        <is>
          <t>TB</t>
        </is>
      </c>
    </row>
    <row r="1591" ht="17" customHeight="1" s="380">
      <c r="B1591" s="4" t="inlineStr">
        <is>
          <t>HSX02</t>
        </is>
      </c>
      <c r="C1591" s="334" t="n"/>
      <c r="D1591" s="335" t="inlineStr">
        <is>
          <t>Giá trị giao dịch mua</t>
        </is>
      </c>
      <c r="F1591" s="4" t="inlineStr">
        <is>
          <t>Báo cáo</t>
        </is>
      </c>
      <c r="G1591" s="22" t="inlineStr">
        <is>
          <t>Chỉ tiêu phái sinh</t>
        </is>
      </c>
      <c r="H1591" s="4" t="inlineStr">
        <is>
          <t>TB</t>
        </is>
      </c>
    </row>
    <row r="1592" ht="17" customHeight="1" s="380">
      <c r="B1592" s="4" t="inlineStr">
        <is>
          <t>HSX02</t>
        </is>
      </c>
      <c r="C1592" s="334" t="n"/>
      <c r="D1592" s="335" t="inlineStr">
        <is>
          <t>Giá trị giao dịch bán</t>
        </is>
      </c>
      <c r="F1592" s="4" t="inlineStr">
        <is>
          <t>Báo cáo</t>
        </is>
      </c>
      <c r="G1592" s="22" t="inlineStr">
        <is>
          <t>Chỉ tiêu phái sinh</t>
        </is>
      </c>
      <c r="H1592" s="4" t="inlineStr">
        <is>
          <t>TB</t>
        </is>
      </c>
    </row>
    <row r="1593" ht="17" customHeight="1" s="380">
      <c r="B1593" s="4" t="inlineStr">
        <is>
          <t>HSX02</t>
        </is>
      </c>
      <c r="C1593" s="334" t="n"/>
      <c r="D1593" s="335" t="inlineStr">
        <is>
          <t>Giá trị mua/bán ròng</t>
        </is>
      </c>
      <c r="F1593" s="4" t="inlineStr">
        <is>
          <t>Báo cáo</t>
        </is>
      </c>
      <c r="G1593" s="22" t="inlineStr">
        <is>
          <t>Chỉ tiêu phái sinh</t>
        </is>
      </c>
      <c r="H1593" s="4" t="inlineStr">
        <is>
          <t>TB</t>
        </is>
      </c>
    </row>
    <row r="1594" ht="17" customHeight="1" s="380">
      <c r="B1594" s="4" t="inlineStr">
        <is>
          <t>HSX02</t>
        </is>
      </c>
      <c r="C1594" s="330" t="n"/>
      <c r="D1594" s="331" t="inlineStr">
        <is>
          <t>GDNĐTNN trái phiếu</t>
        </is>
      </c>
      <c r="F1594" s="4" t="inlineStr">
        <is>
          <t>Báo cáo</t>
        </is>
      </c>
      <c r="G1594" s="22" t="inlineStr">
        <is>
          <t>Chỉ tiêu phái sinh</t>
        </is>
      </c>
      <c r="H1594" s="4" t="inlineStr">
        <is>
          <t>TB</t>
        </is>
      </c>
    </row>
    <row r="1595" ht="17" customHeight="1" s="380">
      <c r="B1595" s="4" t="inlineStr">
        <is>
          <t>HSX02</t>
        </is>
      </c>
      <c r="C1595" s="334" t="n"/>
      <c r="D1595" s="335" t="inlineStr">
        <is>
          <t>Khối lượng giao dịch trái phiếu</t>
        </is>
      </c>
      <c r="F1595" s="4" t="inlineStr">
        <is>
          <t>Báo cáo</t>
        </is>
      </c>
      <c r="G1595" s="22" t="inlineStr">
        <is>
          <t>Chỉ tiêu phái sinh</t>
        </is>
      </c>
      <c r="H1595" s="4" t="inlineStr">
        <is>
          <t>TB</t>
        </is>
      </c>
    </row>
    <row r="1596" ht="17" customHeight="1" s="380">
      <c r="B1596" s="4" t="inlineStr">
        <is>
          <t>HSX02</t>
        </is>
      </c>
      <c r="C1596" s="334" t="n"/>
      <c r="D1596" s="335" t="inlineStr">
        <is>
          <t>Khối lượng giao dịch mua</t>
        </is>
      </c>
      <c r="F1596" s="4" t="inlineStr">
        <is>
          <t>Báo cáo</t>
        </is>
      </c>
      <c r="G1596" s="22" t="inlineStr">
        <is>
          <t>Chỉ tiêu phái sinh</t>
        </is>
      </c>
      <c r="H1596" s="4" t="inlineStr">
        <is>
          <t>TB</t>
        </is>
      </c>
    </row>
    <row r="1597" ht="17" customHeight="1" s="380">
      <c r="B1597" s="4" t="inlineStr">
        <is>
          <t>HSX02</t>
        </is>
      </c>
      <c r="C1597" s="334" t="n"/>
      <c r="D1597" s="335" t="inlineStr">
        <is>
          <t>Khối lượng giao dịch bán</t>
        </is>
      </c>
      <c r="F1597" s="4" t="inlineStr">
        <is>
          <t>Báo cáo</t>
        </is>
      </c>
      <c r="G1597" s="22" t="inlineStr">
        <is>
          <t>Chỉ tiêu phái sinh</t>
        </is>
      </c>
      <c r="H1597" s="4" t="inlineStr">
        <is>
          <t>TB</t>
        </is>
      </c>
    </row>
    <row r="1598" ht="17" customHeight="1" s="380">
      <c r="B1598" s="4" t="inlineStr">
        <is>
          <t>HSX02</t>
        </is>
      </c>
      <c r="C1598" s="334" t="n"/>
      <c r="D1598" s="335" t="inlineStr">
        <is>
          <t>Khối lượng mua/bán ròng</t>
        </is>
      </c>
      <c r="F1598" s="4" t="inlineStr">
        <is>
          <t>Báo cáo</t>
        </is>
      </c>
      <c r="G1598" s="22" t="inlineStr">
        <is>
          <t>Chỉ tiêu phái sinh</t>
        </is>
      </c>
      <c r="H1598" s="4" t="inlineStr">
        <is>
          <t>TB</t>
        </is>
      </c>
    </row>
    <row r="1599" ht="17" customHeight="1" s="380">
      <c r="B1599" s="4" t="inlineStr">
        <is>
          <t>HSX02</t>
        </is>
      </c>
      <c r="C1599" s="334" t="n"/>
      <c r="D1599" s="335" t="inlineStr">
        <is>
          <t>Giá trị giao dịch trái phiếu</t>
        </is>
      </c>
      <c r="F1599" s="4" t="inlineStr">
        <is>
          <t>Báo cáo</t>
        </is>
      </c>
      <c r="G1599" s="22" t="inlineStr">
        <is>
          <t>Chỉ tiêu phái sinh</t>
        </is>
      </c>
      <c r="H1599" s="4" t="inlineStr">
        <is>
          <t>TB</t>
        </is>
      </c>
    </row>
    <row r="1600" ht="17" customHeight="1" s="380">
      <c r="B1600" s="4" t="inlineStr">
        <is>
          <t>HSX02</t>
        </is>
      </c>
      <c r="C1600" s="334" t="n"/>
      <c r="D1600" s="335" t="inlineStr">
        <is>
          <t>Giá trị giao dịch mua</t>
        </is>
      </c>
      <c r="F1600" s="4" t="inlineStr">
        <is>
          <t>Báo cáo</t>
        </is>
      </c>
      <c r="G1600" s="22" t="inlineStr">
        <is>
          <t>Chỉ tiêu phái sinh</t>
        </is>
      </c>
      <c r="H1600" s="4" t="inlineStr">
        <is>
          <t>TB</t>
        </is>
      </c>
    </row>
    <row r="1601" ht="17" customHeight="1" s="380">
      <c r="B1601" s="4" t="inlineStr">
        <is>
          <t>HSX02</t>
        </is>
      </c>
      <c r="C1601" s="334" t="n"/>
      <c r="D1601" s="335" t="inlineStr">
        <is>
          <t>Giá trị giao dịch bán</t>
        </is>
      </c>
      <c r="F1601" s="4" t="inlineStr">
        <is>
          <t>Báo cáo</t>
        </is>
      </c>
      <c r="G1601" s="22" t="inlineStr">
        <is>
          <t>Chỉ tiêu phái sinh</t>
        </is>
      </c>
      <c r="H1601" s="4" t="inlineStr">
        <is>
          <t>TB</t>
        </is>
      </c>
    </row>
    <row r="1602" ht="17" customHeight="1" s="380">
      <c r="B1602" s="4" t="inlineStr">
        <is>
          <t>HSX02</t>
        </is>
      </c>
      <c r="C1602" s="334" t="n"/>
      <c r="D1602" s="335" t="inlineStr">
        <is>
          <t>Giá trị mua/bán ròng</t>
        </is>
      </c>
      <c r="F1602" s="4" t="inlineStr">
        <is>
          <t>Báo cáo</t>
        </is>
      </c>
      <c r="G1602" s="22" t="inlineStr">
        <is>
          <t>Chỉ tiêu phái sinh</t>
        </is>
      </c>
      <c r="H1602" s="4" t="inlineStr">
        <is>
          <t>TB</t>
        </is>
      </c>
    </row>
    <row r="1603" ht="17" customHeight="1" s="380">
      <c r="B1603" s="4" t="inlineStr">
        <is>
          <t>HSX02</t>
        </is>
      </c>
      <c r="C1603" s="330" t="n"/>
      <c r="D1603" s="331" t="inlineStr">
        <is>
          <t>GDNĐTNN CW</t>
        </is>
      </c>
      <c r="F1603" s="4" t="inlineStr">
        <is>
          <t>Báo cáo</t>
        </is>
      </c>
      <c r="G1603" s="22" t="inlineStr">
        <is>
          <t>Chỉ tiêu phái sinh</t>
        </is>
      </c>
      <c r="H1603" s="4" t="inlineStr">
        <is>
          <t>TB</t>
        </is>
      </c>
    </row>
    <row r="1604" ht="17" customHeight="1" s="380">
      <c r="B1604" s="4" t="inlineStr">
        <is>
          <t>HSX02</t>
        </is>
      </c>
      <c r="C1604" s="334" t="n"/>
      <c r="D1604" s="335" t="inlineStr">
        <is>
          <t>Khối lượng giao dịch CW</t>
        </is>
      </c>
      <c r="F1604" s="4" t="inlineStr">
        <is>
          <t>Báo cáo</t>
        </is>
      </c>
      <c r="G1604" s="22" t="inlineStr">
        <is>
          <t>Chỉ tiêu phái sinh</t>
        </is>
      </c>
      <c r="H1604" s="4" t="inlineStr">
        <is>
          <t>TB</t>
        </is>
      </c>
    </row>
    <row r="1605" ht="17" customHeight="1" s="380">
      <c r="B1605" s="4" t="inlineStr">
        <is>
          <t>HSX02</t>
        </is>
      </c>
      <c r="C1605" s="334" t="n"/>
      <c r="D1605" s="335" t="inlineStr">
        <is>
          <t>Khối lượng giao dịch mua</t>
        </is>
      </c>
      <c r="F1605" s="4" t="inlineStr">
        <is>
          <t>Báo cáo</t>
        </is>
      </c>
      <c r="G1605" s="22" t="inlineStr">
        <is>
          <t>Chỉ tiêu phái sinh</t>
        </is>
      </c>
      <c r="H1605" s="4" t="inlineStr">
        <is>
          <t>TB</t>
        </is>
      </c>
    </row>
    <row r="1606" ht="17" customHeight="1" s="380">
      <c r="B1606" s="4" t="inlineStr">
        <is>
          <t>HSX02</t>
        </is>
      </c>
      <c r="C1606" s="334" t="n"/>
      <c r="D1606" s="335" t="inlineStr">
        <is>
          <t>Khối lượng giao dịch bán</t>
        </is>
      </c>
      <c r="F1606" s="4" t="inlineStr">
        <is>
          <t>Báo cáo</t>
        </is>
      </c>
      <c r="G1606" s="22" t="inlineStr">
        <is>
          <t>Chỉ tiêu phái sinh</t>
        </is>
      </c>
      <c r="H1606" s="4" t="inlineStr">
        <is>
          <t>TB</t>
        </is>
      </c>
    </row>
    <row r="1607" ht="17" customHeight="1" s="380">
      <c r="B1607" s="4" t="inlineStr">
        <is>
          <t>HSX02</t>
        </is>
      </c>
      <c r="C1607" s="334" t="n"/>
      <c r="D1607" s="335" t="inlineStr">
        <is>
          <t>Khối lượng mua/bán ròng</t>
        </is>
      </c>
      <c r="F1607" s="4" t="inlineStr">
        <is>
          <t>Báo cáo</t>
        </is>
      </c>
      <c r="G1607" s="22" t="inlineStr">
        <is>
          <t>Chỉ tiêu phái sinh</t>
        </is>
      </c>
      <c r="H1607" s="4" t="inlineStr">
        <is>
          <t>TB</t>
        </is>
      </c>
    </row>
    <row r="1608" ht="17" customHeight="1" s="380">
      <c r="B1608" s="4" t="inlineStr">
        <is>
          <t>HSX02</t>
        </is>
      </c>
      <c r="C1608" s="334" t="n"/>
      <c r="D1608" s="335" t="inlineStr">
        <is>
          <t>Giá trị giao dịch CW</t>
        </is>
      </c>
      <c r="F1608" s="4" t="inlineStr">
        <is>
          <t>Báo cáo</t>
        </is>
      </c>
      <c r="G1608" s="22" t="inlineStr">
        <is>
          <t>Chỉ tiêu phái sinh</t>
        </is>
      </c>
      <c r="H1608" s="4" t="inlineStr">
        <is>
          <t>TB</t>
        </is>
      </c>
    </row>
    <row r="1609" ht="17" customHeight="1" s="380">
      <c r="B1609" s="4" t="inlineStr">
        <is>
          <t>HSX02</t>
        </is>
      </c>
      <c r="C1609" s="334" t="n"/>
      <c r="D1609" s="335" t="inlineStr">
        <is>
          <t>Giá trị giao dịch mua</t>
        </is>
      </c>
      <c r="F1609" s="4" t="inlineStr">
        <is>
          <t>Báo cáo</t>
        </is>
      </c>
      <c r="G1609" s="22" t="inlineStr">
        <is>
          <t>Chỉ tiêu phái sinh</t>
        </is>
      </c>
      <c r="H1609" s="4" t="inlineStr">
        <is>
          <t>TB</t>
        </is>
      </c>
    </row>
    <row r="1610" ht="17" customHeight="1" s="380">
      <c r="B1610" s="4" t="inlineStr">
        <is>
          <t>HSX02</t>
        </is>
      </c>
      <c r="C1610" s="334" t="n"/>
      <c r="D1610" s="335" t="inlineStr">
        <is>
          <t>Giá trị giao dịch bán</t>
        </is>
      </c>
      <c r="F1610" s="4" t="inlineStr">
        <is>
          <t>Báo cáo</t>
        </is>
      </c>
      <c r="G1610" s="22" t="inlineStr">
        <is>
          <t>Chỉ tiêu phái sinh</t>
        </is>
      </c>
      <c r="H1610" s="4" t="inlineStr">
        <is>
          <t>TB</t>
        </is>
      </c>
    </row>
    <row r="1611" ht="17" customHeight="1" s="380">
      <c r="B1611" s="4" t="inlineStr">
        <is>
          <t>HSX02</t>
        </is>
      </c>
      <c r="C1611" s="334" t="n"/>
      <c r="D1611" s="335" t="inlineStr">
        <is>
          <t>Giá trị mua/bán ròng</t>
        </is>
      </c>
      <c r="F1611" s="4" t="inlineStr">
        <is>
          <t>Báo cáo</t>
        </is>
      </c>
      <c r="G1611" s="22" t="inlineStr">
        <is>
          <t>Chỉ tiêu phái sinh</t>
        </is>
      </c>
      <c r="H1611" s="4" t="inlineStr">
        <is>
          <t>TB</t>
        </is>
      </c>
    </row>
    <row r="1612" ht="14" customHeight="1" s="380">
      <c r="B1612" s="4" t="inlineStr">
        <is>
          <t>HSX02</t>
        </is>
      </c>
      <c r="C1612" s="211" t="n"/>
      <c r="D1612" s="212" t="inlineStr">
        <is>
          <t>Số phát sinh lũy lế đến cuối kỳ báo cáo</t>
        </is>
      </c>
      <c r="E1612" s="4" t="inlineStr">
        <is>
          <t>Số lũy kế cuối kỳ báo cáo năm nay</t>
        </is>
      </c>
      <c r="F1612" s="4" t="inlineStr">
        <is>
          <t>Báo cáo</t>
        </is>
      </c>
      <c r="G1612" s="4" t="inlineStr">
        <is>
          <t>Chiều</t>
        </is>
      </c>
    </row>
    <row r="1613" ht="16" customHeight="1" s="380">
      <c r="B1613" s="4" t="inlineStr">
        <is>
          <t>HSX02</t>
        </is>
      </c>
      <c r="C1613" s="326" t="n"/>
      <c r="D1613" s="327" t="inlineStr">
        <is>
          <t>Chỉ số VN-Index</t>
        </is>
      </c>
      <c r="F1613" s="4" t="inlineStr">
        <is>
          <t>Báo cáo</t>
        </is>
      </c>
      <c r="G1613" s="4" t="inlineStr">
        <is>
          <t>Chỉ tiêu cơ sở</t>
        </is>
      </c>
      <c r="H1613" s="4" t="inlineStr">
        <is>
          <t>Dễ</t>
        </is>
      </c>
    </row>
    <row r="1614" ht="16" customHeight="1" s="380">
      <c r="B1614" s="4" t="inlineStr">
        <is>
          <t>HSX02</t>
        </is>
      </c>
      <c r="C1614" s="326" t="n"/>
      <c r="D1614" s="327" t="inlineStr">
        <is>
          <t>Giá trị chứng khoán giao dịch</t>
        </is>
      </c>
      <c r="F1614" s="4" t="inlineStr">
        <is>
          <t>Báo cáo</t>
        </is>
      </c>
      <c r="G1614" s="22" t="inlineStr">
        <is>
          <t>Chỉ tiêu phái sinh</t>
        </is>
      </c>
      <c r="H1614" s="4" t="inlineStr">
        <is>
          <t>TB</t>
        </is>
      </c>
    </row>
    <row r="1615" ht="16" customHeight="1" s="380">
      <c r="B1615" s="4" t="inlineStr">
        <is>
          <t>HSX02</t>
        </is>
      </c>
      <c r="C1615" s="328" t="n"/>
      <c r="D1615" s="329" t="inlineStr">
        <is>
          <t>Cổ phiếu niêm yết</t>
        </is>
      </c>
      <c r="F1615" s="4" t="inlineStr">
        <is>
          <t>Báo cáo</t>
        </is>
      </c>
      <c r="G1615" s="22" t="inlineStr">
        <is>
          <t>Chỉ tiêu phái sinh</t>
        </is>
      </c>
      <c r="H1615" s="4" t="inlineStr">
        <is>
          <t>TB</t>
        </is>
      </c>
    </row>
    <row r="1616" ht="16" customHeight="1" s="380">
      <c r="B1616" s="4" t="inlineStr">
        <is>
          <t>HSX02</t>
        </is>
      </c>
      <c r="C1616" s="328" t="n"/>
      <c r="D1616" s="329" t="inlineStr">
        <is>
          <t>Trái phiếu chính quyền địa phương</t>
        </is>
      </c>
      <c r="F1616" s="4" t="inlineStr">
        <is>
          <t>Báo cáo</t>
        </is>
      </c>
      <c r="G1616" s="22" t="inlineStr">
        <is>
          <t>Chỉ tiêu phái sinh</t>
        </is>
      </c>
      <c r="H1616" s="4" t="inlineStr">
        <is>
          <t>TB</t>
        </is>
      </c>
    </row>
    <row r="1617" ht="16" customHeight="1" s="380">
      <c r="B1617" s="4" t="inlineStr">
        <is>
          <t>HSX02</t>
        </is>
      </c>
      <c r="C1617" s="328" t="n"/>
      <c r="D1617" s="329" t="inlineStr">
        <is>
          <t>Trái phiếu doanh nghiệp</t>
        </is>
      </c>
      <c r="F1617" s="4" t="inlineStr">
        <is>
          <t>Báo cáo</t>
        </is>
      </c>
      <c r="G1617" s="22" t="inlineStr">
        <is>
          <t>Chỉ tiêu phái sinh</t>
        </is>
      </c>
      <c r="H1617" s="4" t="inlineStr">
        <is>
          <t>TB</t>
        </is>
      </c>
    </row>
    <row r="1618" ht="16" customHeight="1" s="380">
      <c r="B1618" s="4" t="inlineStr">
        <is>
          <t>HSX02</t>
        </is>
      </c>
      <c r="C1618" s="328" t="n"/>
      <c r="D1618" s="329" t="inlineStr">
        <is>
          <t>Chứng chỉ quỹ</t>
        </is>
      </c>
      <c r="F1618" s="4" t="inlineStr">
        <is>
          <t>Báo cáo</t>
        </is>
      </c>
      <c r="G1618" s="22" t="inlineStr">
        <is>
          <t>Chỉ tiêu phái sinh</t>
        </is>
      </c>
      <c r="H1618" s="4" t="inlineStr">
        <is>
          <t>TB</t>
        </is>
      </c>
    </row>
    <row r="1619" ht="16" customHeight="1" s="380">
      <c r="B1619" s="4" t="inlineStr">
        <is>
          <t>HSX02</t>
        </is>
      </c>
      <c r="C1619" s="328" t="n"/>
      <c r="D1619" s="329" t="inlineStr">
        <is>
          <t>ETF</t>
        </is>
      </c>
      <c r="F1619" s="4" t="inlineStr">
        <is>
          <t>Báo cáo</t>
        </is>
      </c>
      <c r="G1619" s="22" t="inlineStr">
        <is>
          <t>Chỉ tiêu phái sinh</t>
        </is>
      </c>
      <c r="H1619" s="4" t="inlineStr">
        <is>
          <t>TB</t>
        </is>
      </c>
    </row>
    <row r="1620" ht="16" customHeight="1" s="380">
      <c r="B1620" s="4" t="inlineStr">
        <is>
          <t>HSX02</t>
        </is>
      </c>
      <c r="C1620" s="328" t="n"/>
      <c r="D1620" s="329" t="inlineStr">
        <is>
          <t>Chứng quyền có bảo đảm (CW)</t>
        </is>
      </c>
      <c r="F1620" s="4" t="inlineStr">
        <is>
          <t>Báo cáo</t>
        </is>
      </c>
      <c r="G1620" s="22" t="inlineStr">
        <is>
          <t>Chỉ tiêu phái sinh</t>
        </is>
      </c>
      <c r="H1620" s="4" t="inlineStr">
        <is>
          <t>TB</t>
        </is>
      </c>
    </row>
    <row r="1621" ht="16" customHeight="1" s="380">
      <c r="B1621" s="4" t="inlineStr">
        <is>
          <t>HSX02</t>
        </is>
      </c>
      <c r="C1621" s="326" t="n"/>
      <c r="D1621" s="327" t="inlineStr">
        <is>
          <t>Khối lượng chứng khoán giao dịch</t>
        </is>
      </c>
      <c r="F1621" s="4" t="inlineStr">
        <is>
          <t>Báo cáo</t>
        </is>
      </c>
      <c r="G1621" s="22" t="inlineStr">
        <is>
          <t>Chỉ tiêu phái sinh</t>
        </is>
      </c>
      <c r="H1621" s="4" t="inlineStr">
        <is>
          <t>TB</t>
        </is>
      </c>
    </row>
    <row r="1622" ht="16" customHeight="1" s="380">
      <c r="B1622" s="4" t="inlineStr">
        <is>
          <t>HSX02</t>
        </is>
      </c>
      <c r="C1622" s="328" t="n"/>
      <c r="D1622" s="329" t="inlineStr">
        <is>
          <t>Cổ phiếu niêm yết</t>
        </is>
      </c>
      <c r="F1622" s="4" t="inlineStr">
        <is>
          <t>Báo cáo</t>
        </is>
      </c>
      <c r="G1622" s="22" t="inlineStr">
        <is>
          <t>Chỉ tiêu phái sinh</t>
        </is>
      </c>
      <c r="H1622" s="4" t="inlineStr">
        <is>
          <t>TB</t>
        </is>
      </c>
    </row>
    <row r="1623" ht="16" customHeight="1" s="380">
      <c r="B1623" s="4" t="inlineStr">
        <is>
          <t>HSX02</t>
        </is>
      </c>
      <c r="C1623" s="328" t="n"/>
      <c r="D1623" s="329" t="inlineStr">
        <is>
          <t>Trái phiếu chính quyền địa phương</t>
        </is>
      </c>
      <c r="F1623" s="4" t="inlineStr">
        <is>
          <t>Báo cáo</t>
        </is>
      </c>
      <c r="G1623" s="22" t="inlineStr">
        <is>
          <t>Chỉ tiêu phái sinh</t>
        </is>
      </c>
      <c r="H1623" s="4" t="inlineStr">
        <is>
          <t>TB</t>
        </is>
      </c>
    </row>
    <row r="1624" ht="16" customHeight="1" s="380">
      <c r="B1624" s="4" t="inlineStr">
        <is>
          <t>HSX02</t>
        </is>
      </c>
      <c r="C1624" s="328" t="n"/>
      <c r="D1624" s="329" t="inlineStr">
        <is>
          <t>Trái phiếu doanh nghiệp</t>
        </is>
      </c>
      <c r="F1624" s="4" t="inlineStr">
        <is>
          <t>Báo cáo</t>
        </is>
      </c>
      <c r="G1624" s="22" t="inlineStr">
        <is>
          <t>Chỉ tiêu phái sinh</t>
        </is>
      </c>
      <c r="H1624" s="4" t="inlineStr">
        <is>
          <t>TB</t>
        </is>
      </c>
    </row>
    <row r="1625" ht="16" customHeight="1" s="380">
      <c r="B1625" s="4" t="inlineStr">
        <is>
          <t>HSX02</t>
        </is>
      </c>
      <c r="C1625" s="328" t="n"/>
      <c r="D1625" s="329" t="inlineStr">
        <is>
          <t>Chứng chỉ quỹ</t>
        </is>
      </c>
      <c r="F1625" s="4" t="inlineStr">
        <is>
          <t>Báo cáo</t>
        </is>
      </c>
      <c r="G1625" s="22" t="inlineStr">
        <is>
          <t>Chỉ tiêu phái sinh</t>
        </is>
      </c>
      <c r="H1625" s="4" t="inlineStr">
        <is>
          <t>TB</t>
        </is>
      </c>
    </row>
    <row r="1626" ht="16" customHeight="1" s="380">
      <c r="B1626" s="4" t="inlineStr">
        <is>
          <t>HSX02</t>
        </is>
      </c>
      <c r="C1626" s="328" t="n"/>
      <c r="D1626" s="329" t="inlineStr">
        <is>
          <t>ETF</t>
        </is>
      </c>
      <c r="F1626" s="4" t="inlineStr">
        <is>
          <t>Báo cáo</t>
        </is>
      </c>
      <c r="G1626" s="22" t="inlineStr">
        <is>
          <t>Chỉ tiêu phái sinh</t>
        </is>
      </c>
      <c r="H1626" s="4" t="inlineStr">
        <is>
          <t>TB</t>
        </is>
      </c>
    </row>
    <row r="1627" ht="16" customHeight="1" s="380">
      <c r="B1627" s="4" t="inlineStr">
        <is>
          <t>HSX02</t>
        </is>
      </c>
      <c r="C1627" s="328" t="n"/>
      <c r="D1627" s="329" t="inlineStr">
        <is>
          <t>CW</t>
        </is>
      </c>
      <c r="F1627" s="4" t="inlineStr">
        <is>
          <t>Báo cáo</t>
        </is>
      </c>
      <c r="G1627" s="22" t="inlineStr">
        <is>
          <t>Chỉ tiêu phái sinh</t>
        </is>
      </c>
      <c r="H1627" s="4" t="inlineStr">
        <is>
          <t>TB</t>
        </is>
      </c>
    </row>
    <row r="1628" ht="16" customHeight="1" s="380">
      <c r="B1628" s="4" t="inlineStr">
        <is>
          <t>HSX02</t>
        </is>
      </c>
      <c r="C1628" s="326" t="n"/>
      <c r="D1628" s="327" t="inlineStr">
        <is>
          <t>Khối lượng chứng khoán niêm yết</t>
        </is>
      </c>
      <c r="F1628" s="4" t="inlineStr">
        <is>
          <t>Báo cáo</t>
        </is>
      </c>
      <c r="G1628" s="22" t="inlineStr">
        <is>
          <t>Chỉ tiêu phái sinh</t>
        </is>
      </c>
      <c r="H1628" s="4" t="inlineStr">
        <is>
          <t>TB</t>
        </is>
      </c>
    </row>
    <row r="1629" ht="16" customHeight="1" s="380">
      <c r="B1629" s="4" t="inlineStr">
        <is>
          <t>HSX02</t>
        </is>
      </c>
      <c r="C1629" s="328" t="n"/>
      <c r="D1629" s="329" t="inlineStr">
        <is>
          <t>Cổ phiếu niêm yết</t>
        </is>
      </c>
      <c r="F1629" s="4" t="inlineStr">
        <is>
          <t>Báo cáo</t>
        </is>
      </c>
      <c r="G1629" s="22" t="inlineStr">
        <is>
          <t>Chỉ tiêu phái sinh</t>
        </is>
      </c>
      <c r="H1629" s="4" t="inlineStr">
        <is>
          <t>TB</t>
        </is>
      </c>
    </row>
    <row r="1630" ht="16" customHeight="1" s="380">
      <c r="B1630" s="4" t="inlineStr">
        <is>
          <t>HSX02</t>
        </is>
      </c>
      <c r="C1630" s="328" t="n"/>
      <c r="D1630" s="329" t="inlineStr">
        <is>
          <t>Trái phiếu chính quyền địa phương</t>
        </is>
      </c>
      <c r="F1630" s="4" t="inlineStr">
        <is>
          <t>Báo cáo</t>
        </is>
      </c>
      <c r="G1630" s="22" t="inlineStr">
        <is>
          <t>Chỉ tiêu phái sinh</t>
        </is>
      </c>
      <c r="H1630" s="4" t="inlineStr">
        <is>
          <t>TB</t>
        </is>
      </c>
    </row>
    <row r="1631" ht="16" customHeight="1" s="380">
      <c r="B1631" s="4" t="inlineStr">
        <is>
          <t>HSX02</t>
        </is>
      </c>
      <c r="C1631" s="328" t="n"/>
      <c r="D1631" s="329" t="inlineStr">
        <is>
          <t>Trái phiếu doanh nghiệp</t>
        </is>
      </c>
      <c r="F1631" s="4" t="inlineStr">
        <is>
          <t>Báo cáo</t>
        </is>
      </c>
      <c r="G1631" s="22" t="inlineStr">
        <is>
          <t>Chỉ tiêu phái sinh</t>
        </is>
      </c>
      <c r="H1631" s="4" t="inlineStr">
        <is>
          <t>TB</t>
        </is>
      </c>
    </row>
    <row r="1632" ht="16" customHeight="1" s="380">
      <c r="B1632" s="4" t="inlineStr">
        <is>
          <t>HSX02</t>
        </is>
      </c>
      <c r="C1632" s="328" t="n"/>
      <c r="D1632" s="329" t="inlineStr">
        <is>
          <t>Chứng chỉ quỹ</t>
        </is>
      </c>
      <c r="F1632" s="4" t="inlineStr">
        <is>
          <t>Báo cáo</t>
        </is>
      </c>
      <c r="G1632" s="22" t="inlineStr">
        <is>
          <t>Chỉ tiêu phái sinh</t>
        </is>
      </c>
      <c r="H1632" s="4" t="inlineStr">
        <is>
          <t>TB</t>
        </is>
      </c>
    </row>
    <row r="1633" ht="16" customHeight="1" s="380">
      <c r="B1633" s="4" t="inlineStr">
        <is>
          <t>HSX02</t>
        </is>
      </c>
      <c r="C1633" s="328" t="n"/>
      <c r="D1633" s="329" t="inlineStr">
        <is>
          <t>ETF</t>
        </is>
      </c>
      <c r="F1633" s="4" t="inlineStr">
        <is>
          <t>Báo cáo</t>
        </is>
      </c>
      <c r="G1633" s="22" t="inlineStr">
        <is>
          <t>Chỉ tiêu phái sinh</t>
        </is>
      </c>
      <c r="H1633" s="4" t="inlineStr">
        <is>
          <t>TB</t>
        </is>
      </c>
    </row>
    <row r="1634" ht="16" customHeight="1" s="380">
      <c r="B1634" s="4" t="inlineStr">
        <is>
          <t>HSX02</t>
        </is>
      </c>
      <c r="C1634" s="328" t="n"/>
      <c r="D1634" s="329" t="inlineStr">
        <is>
          <t>CW</t>
        </is>
      </c>
      <c r="F1634" s="4" t="inlineStr">
        <is>
          <t>Báo cáo</t>
        </is>
      </c>
      <c r="G1634" s="22" t="inlineStr">
        <is>
          <t>Chỉ tiêu phái sinh</t>
        </is>
      </c>
      <c r="H1634" s="4" t="inlineStr">
        <is>
          <t>TB</t>
        </is>
      </c>
    </row>
    <row r="1635" ht="16" customHeight="1" s="380">
      <c r="B1635" s="4" t="inlineStr">
        <is>
          <t>HSX02</t>
        </is>
      </c>
      <c r="C1635" s="326" t="n"/>
      <c r="D1635" s="327" t="inlineStr">
        <is>
          <t>Giá trị chứng khoán niêm yết</t>
        </is>
      </c>
      <c r="F1635" s="4" t="inlineStr">
        <is>
          <t>Báo cáo</t>
        </is>
      </c>
      <c r="G1635" s="22" t="inlineStr">
        <is>
          <t>Chỉ tiêu phái sinh</t>
        </is>
      </c>
      <c r="H1635" s="4" t="inlineStr">
        <is>
          <t>TB</t>
        </is>
      </c>
    </row>
    <row r="1636" ht="16" customHeight="1" s="380">
      <c r="B1636" s="4" t="inlineStr">
        <is>
          <t>HSX02</t>
        </is>
      </c>
      <c r="C1636" s="328" t="n"/>
      <c r="D1636" s="329" t="inlineStr">
        <is>
          <t>Cổ phiếu niêm yết</t>
        </is>
      </c>
      <c r="F1636" s="4" t="inlineStr">
        <is>
          <t>Báo cáo</t>
        </is>
      </c>
      <c r="G1636" s="22" t="inlineStr">
        <is>
          <t>Chỉ tiêu phái sinh</t>
        </is>
      </c>
      <c r="H1636" s="4" t="inlineStr">
        <is>
          <t>TB</t>
        </is>
      </c>
    </row>
    <row r="1637" ht="16" customHeight="1" s="380">
      <c r="B1637" s="4" t="inlineStr">
        <is>
          <t>HSX02</t>
        </is>
      </c>
      <c r="C1637" s="328" t="n"/>
      <c r="D1637" s="329" t="inlineStr">
        <is>
          <t>Trái phiếu chính quyền địa phương</t>
        </is>
      </c>
      <c r="F1637" s="4" t="inlineStr">
        <is>
          <t>Báo cáo</t>
        </is>
      </c>
      <c r="G1637" s="22" t="inlineStr">
        <is>
          <t>Chỉ tiêu phái sinh</t>
        </is>
      </c>
      <c r="H1637" s="4" t="inlineStr">
        <is>
          <t>TB</t>
        </is>
      </c>
    </row>
    <row r="1638" ht="16" customHeight="1" s="380">
      <c r="B1638" s="4" t="inlineStr">
        <is>
          <t>HSX02</t>
        </is>
      </c>
      <c r="C1638" s="328" t="n"/>
      <c r="D1638" s="329" t="inlineStr">
        <is>
          <t>Trái phiếu doanh nghiệp</t>
        </is>
      </c>
      <c r="F1638" s="4" t="inlineStr">
        <is>
          <t>Báo cáo</t>
        </is>
      </c>
      <c r="G1638" s="22" t="inlineStr">
        <is>
          <t>Chỉ tiêu phái sinh</t>
        </is>
      </c>
      <c r="H1638" s="4" t="inlineStr">
        <is>
          <t>TB</t>
        </is>
      </c>
    </row>
    <row r="1639" ht="16" customHeight="1" s="380">
      <c r="B1639" s="4" t="inlineStr">
        <is>
          <t>HSX02</t>
        </is>
      </c>
      <c r="C1639" s="328" t="n"/>
      <c r="D1639" s="329" t="inlineStr">
        <is>
          <t>Chứng chỉ quỹ</t>
        </is>
      </c>
      <c r="F1639" s="4" t="inlineStr">
        <is>
          <t>Báo cáo</t>
        </is>
      </c>
      <c r="G1639" s="22" t="inlineStr">
        <is>
          <t>Chỉ tiêu phái sinh</t>
        </is>
      </c>
      <c r="H1639" s="4" t="inlineStr">
        <is>
          <t>TB</t>
        </is>
      </c>
    </row>
    <row r="1640" ht="16" customHeight="1" s="380">
      <c r="B1640" s="4" t="inlineStr">
        <is>
          <t>HSX02</t>
        </is>
      </c>
      <c r="C1640" s="328" t="n"/>
      <c r="D1640" s="329" t="inlineStr">
        <is>
          <t>ETF</t>
        </is>
      </c>
      <c r="F1640" s="4" t="inlineStr">
        <is>
          <t>Báo cáo</t>
        </is>
      </c>
      <c r="G1640" s="22" t="inlineStr">
        <is>
          <t>Chỉ tiêu phái sinh</t>
        </is>
      </c>
      <c r="H1640" s="4" t="inlineStr">
        <is>
          <t>TB</t>
        </is>
      </c>
    </row>
    <row r="1641" ht="16" customHeight="1" s="380">
      <c r="B1641" s="4" t="inlineStr">
        <is>
          <t>HSX02</t>
        </is>
      </c>
      <c r="C1641" s="328" t="n"/>
      <c r="D1641" s="329" t="inlineStr">
        <is>
          <t>CW</t>
        </is>
      </c>
      <c r="F1641" s="4" t="inlineStr">
        <is>
          <t>Báo cáo</t>
        </is>
      </c>
      <c r="G1641" s="22" t="inlineStr">
        <is>
          <t>Chỉ tiêu phái sinh</t>
        </is>
      </c>
      <c r="H1641" s="4" t="inlineStr">
        <is>
          <t>TB</t>
        </is>
      </c>
    </row>
    <row r="1642" ht="17" customHeight="1" s="380">
      <c r="B1642" s="4" t="inlineStr">
        <is>
          <t>HSX02</t>
        </is>
      </c>
      <c r="C1642" s="330" t="n"/>
      <c r="D1642" s="331" t="inlineStr">
        <is>
          <t>Vốn hóa thị trường cổ phiếu</t>
        </is>
      </c>
      <c r="F1642" s="4" t="inlineStr">
        <is>
          <t>Báo cáo</t>
        </is>
      </c>
      <c r="G1642" s="22" t="inlineStr">
        <is>
          <t>Chỉ tiêu phái sinh</t>
        </is>
      </c>
      <c r="H1642" s="4" t="inlineStr">
        <is>
          <t>TB</t>
        </is>
      </c>
    </row>
    <row r="1643" ht="34" customHeight="1" s="380">
      <c r="B1643" s="4" t="inlineStr">
        <is>
          <t>HSX02</t>
        </is>
      </c>
      <c r="C1643" s="330" t="n"/>
      <c r="D1643" s="331" t="inlineStr">
        <is>
          <t>Khối lượng chứng khoán niêm yết mới</t>
        </is>
      </c>
      <c r="F1643" s="4" t="inlineStr">
        <is>
          <t>Báo cáo</t>
        </is>
      </c>
      <c r="G1643" s="22" t="inlineStr">
        <is>
          <t>Chỉ tiêu phái sinh</t>
        </is>
      </c>
      <c r="H1643" s="4" t="inlineStr">
        <is>
          <t>TB</t>
        </is>
      </c>
    </row>
    <row r="1644" ht="16" customHeight="1" s="380">
      <c r="B1644" s="4" t="inlineStr">
        <is>
          <t>HSX02</t>
        </is>
      </c>
      <c r="C1644" s="328" t="n"/>
      <c r="D1644" s="329" t="inlineStr">
        <is>
          <t>Cổ phiếu niêm yết</t>
        </is>
      </c>
      <c r="F1644" s="4" t="inlineStr">
        <is>
          <t>Báo cáo</t>
        </is>
      </c>
      <c r="G1644" s="22" t="inlineStr">
        <is>
          <t>Chỉ tiêu phái sinh</t>
        </is>
      </c>
      <c r="H1644" s="4" t="inlineStr">
        <is>
          <t>TB</t>
        </is>
      </c>
    </row>
    <row r="1645" ht="16" customHeight="1" s="380">
      <c r="B1645" s="4" t="inlineStr">
        <is>
          <t>HSX02</t>
        </is>
      </c>
      <c r="C1645" s="328" t="n"/>
      <c r="D1645" s="329" t="inlineStr">
        <is>
          <t>Trái phiếu chính quyền địa phương</t>
        </is>
      </c>
      <c r="F1645" s="4" t="inlineStr">
        <is>
          <t>Báo cáo</t>
        </is>
      </c>
      <c r="G1645" s="22" t="inlineStr">
        <is>
          <t>Chỉ tiêu phái sinh</t>
        </is>
      </c>
      <c r="H1645" s="4" t="inlineStr">
        <is>
          <t>TB</t>
        </is>
      </c>
    </row>
    <row r="1646" ht="16" customHeight="1" s="380">
      <c r="B1646" s="4" t="inlineStr">
        <is>
          <t>HSX02</t>
        </is>
      </c>
      <c r="C1646" s="328" t="n"/>
      <c r="D1646" s="329" t="inlineStr">
        <is>
          <t>Trái phiếu doanh nghiệp</t>
        </is>
      </c>
      <c r="F1646" s="4" t="inlineStr">
        <is>
          <t>Báo cáo</t>
        </is>
      </c>
      <c r="G1646" s="22" t="inlineStr">
        <is>
          <t>Chỉ tiêu phái sinh</t>
        </is>
      </c>
      <c r="H1646" s="4" t="inlineStr">
        <is>
          <t>TB</t>
        </is>
      </c>
    </row>
    <row r="1647" ht="16" customHeight="1" s="380">
      <c r="B1647" s="4" t="inlineStr">
        <is>
          <t>HSX02</t>
        </is>
      </c>
      <c r="C1647" s="328" t="n"/>
      <c r="D1647" s="329" t="inlineStr">
        <is>
          <t>Chứng chỉ quỹ</t>
        </is>
      </c>
      <c r="F1647" s="4" t="inlineStr">
        <is>
          <t>Báo cáo</t>
        </is>
      </c>
      <c r="G1647" s="22" t="inlineStr">
        <is>
          <t>Chỉ tiêu phái sinh</t>
        </is>
      </c>
      <c r="H1647" s="4" t="inlineStr">
        <is>
          <t>TB</t>
        </is>
      </c>
    </row>
    <row r="1648" ht="16" customHeight="1" s="380">
      <c r="B1648" s="4" t="inlineStr">
        <is>
          <t>HSX02</t>
        </is>
      </c>
      <c r="C1648" s="328" t="n"/>
      <c r="D1648" s="329" t="inlineStr">
        <is>
          <t>ETF</t>
        </is>
      </c>
      <c r="F1648" s="4" t="inlineStr">
        <is>
          <t>Báo cáo</t>
        </is>
      </c>
      <c r="G1648" s="22" t="inlineStr">
        <is>
          <t>Chỉ tiêu phái sinh</t>
        </is>
      </c>
      <c r="H1648" s="4" t="inlineStr">
        <is>
          <t>TB</t>
        </is>
      </c>
    </row>
    <row r="1649" ht="16" customHeight="1" s="380">
      <c r="B1649" s="4" t="inlineStr">
        <is>
          <t>HSX02</t>
        </is>
      </c>
      <c r="C1649" s="328" t="n"/>
      <c r="D1649" s="329" t="inlineStr">
        <is>
          <t>CW</t>
        </is>
      </c>
      <c r="F1649" s="4" t="inlineStr">
        <is>
          <t>Báo cáo</t>
        </is>
      </c>
      <c r="G1649" s="22" t="inlineStr">
        <is>
          <t>Chỉ tiêu phái sinh</t>
        </is>
      </c>
      <c r="H1649" s="4" t="inlineStr">
        <is>
          <t>TB</t>
        </is>
      </c>
    </row>
    <row r="1650" ht="17" customHeight="1" s="380">
      <c r="B1650" s="4" t="inlineStr">
        <is>
          <t>HSX02</t>
        </is>
      </c>
      <c r="C1650" s="330" t="n"/>
      <c r="D1650" s="331" t="inlineStr">
        <is>
          <t>Giá trị chứng khoán niêm yết mới</t>
        </is>
      </c>
      <c r="F1650" s="4" t="inlineStr">
        <is>
          <t>Báo cáo</t>
        </is>
      </c>
      <c r="G1650" s="22" t="inlineStr">
        <is>
          <t>Chỉ tiêu phái sinh</t>
        </is>
      </c>
      <c r="H1650" s="4" t="inlineStr">
        <is>
          <t>TB</t>
        </is>
      </c>
    </row>
    <row r="1651" ht="16" customHeight="1" s="380">
      <c r="B1651" s="4" t="inlineStr">
        <is>
          <t>HSX02</t>
        </is>
      </c>
      <c r="C1651" s="328" t="n"/>
      <c r="D1651" s="329" t="inlineStr">
        <is>
          <t>Cổ phiếu niêm yết</t>
        </is>
      </c>
      <c r="F1651" s="4" t="inlineStr">
        <is>
          <t>Báo cáo</t>
        </is>
      </c>
      <c r="G1651" s="22" t="inlineStr">
        <is>
          <t>Chỉ tiêu phái sinh</t>
        </is>
      </c>
      <c r="H1651" s="4" t="inlineStr">
        <is>
          <t>TB</t>
        </is>
      </c>
    </row>
    <row r="1652" ht="16" customHeight="1" s="380">
      <c r="B1652" s="4" t="inlineStr">
        <is>
          <t>HSX02</t>
        </is>
      </c>
      <c r="C1652" s="328" t="n"/>
      <c r="D1652" s="329" t="inlineStr">
        <is>
          <t>Trái phiếu chính quyền địa phương</t>
        </is>
      </c>
      <c r="F1652" s="4" t="inlineStr">
        <is>
          <t>Báo cáo</t>
        </is>
      </c>
      <c r="G1652" s="22" t="inlineStr">
        <is>
          <t>Chỉ tiêu phái sinh</t>
        </is>
      </c>
      <c r="H1652" s="4" t="inlineStr">
        <is>
          <t>TB</t>
        </is>
      </c>
    </row>
    <row r="1653" ht="16" customHeight="1" s="380">
      <c r="B1653" s="4" t="inlineStr">
        <is>
          <t>HSX02</t>
        </is>
      </c>
      <c r="C1653" s="328" t="n"/>
      <c r="D1653" s="329" t="inlineStr">
        <is>
          <t>Trái phiếu doanh nghiệp</t>
        </is>
      </c>
      <c r="F1653" s="4" t="inlineStr">
        <is>
          <t>Báo cáo</t>
        </is>
      </c>
      <c r="G1653" s="22" t="inlineStr">
        <is>
          <t>Chỉ tiêu phái sinh</t>
        </is>
      </c>
      <c r="H1653" s="4" t="inlineStr">
        <is>
          <t>TB</t>
        </is>
      </c>
    </row>
    <row r="1654" ht="16" customHeight="1" s="380">
      <c r="B1654" s="4" t="inlineStr">
        <is>
          <t>HSX02</t>
        </is>
      </c>
      <c r="C1654" s="328" t="n"/>
      <c r="D1654" s="329" t="inlineStr">
        <is>
          <t>Chứng chỉ quỹ</t>
        </is>
      </c>
      <c r="F1654" s="4" t="inlineStr">
        <is>
          <t>Báo cáo</t>
        </is>
      </c>
      <c r="G1654" s="22" t="inlineStr">
        <is>
          <t>Chỉ tiêu phái sinh</t>
        </is>
      </c>
      <c r="H1654" s="4" t="inlineStr">
        <is>
          <t>TB</t>
        </is>
      </c>
    </row>
    <row r="1655" ht="16" customHeight="1" s="380">
      <c r="B1655" s="4" t="inlineStr">
        <is>
          <t>HSX02</t>
        </is>
      </c>
      <c r="C1655" s="328" t="n"/>
      <c r="D1655" s="329" t="inlineStr">
        <is>
          <t>ETF</t>
        </is>
      </c>
      <c r="F1655" s="4" t="inlineStr">
        <is>
          <t>Báo cáo</t>
        </is>
      </c>
      <c r="G1655" s="22" t="inlineStr">
        <is>
          <t>Chỉ tiêu phái sinh</t>
        </is>
      </c>
      <c r="H1655" s="4" t="inlineStr">
        <is>
          <t>TB</t>
        </is>
      </c>
    </row>
    <row r="1656" ht="16" customHeight="1" s="380">
      <c r="B1656" s="4" t="inlineStr">
        <is>
          <t>HSX02</t>
        </is>
      </c>
      <c r="C1656" s="328" t="n"/>
      <c r="D1656" s="329" t="inlineStr">
        <is>
          <t>CW</t>
        </is>
      </c>
      <c r="F1656" s="4" t="inlineStr">
        <is>
          <t>Báo cáo</t>
        </is>
      </c>
      <c r="G1656" s="22" t="inlineStr">
        <is>
          <t>Chỉ tiêu phái sinh</t>
        </is>
      </c>
      <c r="H1656" s="4" t="inlineStr">
        <is>
          <t>TB</t>
        </is>
      </c>
    </row>
    <row r="1657" ht="34" customHeight="1" s="380">
      <c r="B1657" s="4" t="inlineStr">
        <is>
          <t>HSX02</t>
        </is>
      </c>
      <c r="C1657" s="330" t="n"/>
      <c r="D1657" s="331" t="inlineStr">
        <is>
          <t>Khối lượng chứng khoán niêm yết bổ sung</t>
        </is>
      </c>
      <c r="F1657" s="4" t="inlineStr">
        <is>
          <t>Báo cáo</t>
        </is>
      </c>
      <c r="G1657" s="22" t="inlineStr">
        <is>
          <t>Chỉ tiêu phái sinh</t>
        </is>
      </c>
      <c r="H1657" s="4" t="inlineStr">
        <is>
          <t>TB</t>
        </is>
      </c>
    </row>
    <row r="1658" ht="16" customHeight="1" s="380">
      <c r="B1658" s="4" t="inlineStr">
        <is>
          <t>HSX02</t>
        </is>
      </c>
      <c r="C1658" s="328" t="n"/>
      <c r="D1658" s="329" t="inlineStr">
        <is>
          <t>Cổ phiếu niêm yết</t>
        </is>
      </c>
      <c r="F1658" s="4" t="inlineStr">
        <is>
          <t>Báo cáo</t>
        </is>
      </c>
      <c r="G1658" s="22" t="inlineStr">
        <is>
          <t>Chỉ tiêu phái sinh</t>
        </is>
      </c>
      <c r="H1658" s="4" t="inlineStr">
        <is>
          <t>TB</t>
        </is>
      </c>
    </row>
    <row r="1659" ht="16" customHeight="1" s="380">
      <c r="B1659" s="4" t="inlineStr">
        <is>
          <t>HSX02</t>
        </is>
      </c>
      <c r="C1659" s="328" t="n"/>
      <c r="D1659" s="329" t="inlineStr">
        <is>
          <t>Trái phiếu chính quyền địa phương</t>
        </is>
      </c>
      <c r="F1659" s="4" t="inlineStr">
        <is>
          <t>Báo cáo</t>
        </is>
      </c>
      <c r="G1659" s="22" t="inlineStr">
        <is>
          <t>Chỉ tiêu phái sinh</t>
        </is>
      </c>
      <c r="H1659" s="4" t="inlineStr">
        <is>
          <t>TB</t>
        </is>
      </c>
    </row>
    <row r="1660" ht="16" customHeight="1" s="380">
      <c r="B1660" s="4" t="inlineStr">
        <is>
          <t>HSX02</t>
        </is>
      </c>
      <c r="C1660" s="328" t="n"/>
      <c r="D1660" s="329" t="inlineStr">
        <is>
          <t>Trái phiếu doanh nghiệp</t>
        </is>
      </c>
      <c r="F1660" s="4" t="inlineStr">
        <is>
          <t>Báo cáo</t>
        </is>
      </c>
      <c r="G1660" s="22" t="inlineStr">
        <is>
          <t>Chỉ tiêu phái sinh</t>
        </is>
      </c>
      <c r="H1660" s="4" t="inlineStr">
        <is>
          <t>TB</t>
        </is>
      </c>
    </row>
    <row r="1661" ht="16" customHeight="1" s="380">
      <c r="B1661" s="4" t="inlineStr">
        <is>
          <t>HSX02</t>
        </is>
      </c>
      <c r="C1661" s="328" t="n"/>
      <c r="D1661" s="329" t="inlineStr">
        <is>
          <t>Chứng chỉ quỹ</t>
        </is>
      </c>
      <c r="F1661" s="4" t="inlineStr">
        <is>
          <t>Báo cáo</t>
        </is>
      </c>
      <c r="G1661" s="22" t="inlineStr">
        <is>
          <t>Chỉ tiêu phái sinh</t>
        </is>
      </c>
      <c r="H1661" s="4" t="inlineStr">
        <is>
          <t>TB</t>
        </is>
      </c>
    </row>
    <row r="1662" ht="16" customHeight="1" s="380">
      <c r="B1662" s="4" t="inlineStr">
        <is>
          <t>HSX02</t>
        </is>
      </c>
      <c r="C1662" s="328" t="n"/>
      <c r="D1662" s="329" t="inlineStr">
        <is>
          <t>ETF</t>
        </is>
      </c>
      <c r="F1662" s="4" t="inlineStr">
        <is>
          <t>Báo cáo</t>
        </is>
      </c>
      <c r="G1662" s="22" t="inlineStr">
        <is>
          <t>Chỉ tiêu phái sinh</t>
        </is>
      </c>
      <c r="H1662" s="4" t="inlineStr">
        <is>
          <t>TB</t>
        </is>
      </c>
    </row>
    <row r="1663" ht="16" customHeight="1" s="380">
      <c r="B1663" s="4" t="inlineStr">
        <is>
          <t>HSX02</t>
        </is>
      </c>
      <c r="C1663" s="328" t="n"/>
      <c r="D1663" s="329" t="inlineStr">
        <is>
          <t>CW</t>
        </is>
      </c>
      <c r="F1663" s="4" t="inlineStr">
        <is>
          <t>Báo cáo</t>
        </is>
      </c>
      <c r="G1663" s="22" t="inlineStr">
        <is>
          <t>Chỉ tiêu phái sinh</t>
        </is>
      </c>
      <c r="H1663" s="4" t="inlineStr">
        <is>
          <t>TB</t>
        </is>
      </c>
    </row>
    <row r="1664" ht="17" customHeight="1" s="380">
      <c r="B1664" s="4" t="inlineStr">
        <is>
          <t>HSX02</t>
        </is>
      </c>
      <c r="C1664" s="330" t="n"/>
      <c r="D1664" s="331" t="inlineStr">
        <is>
          <t>Giá trị chứng khoán niêm yết bổ sung</t>
        </is>
      </c>
      <c r="F1664" s="4" t="inlineStr">
        <is>
          <t>Báo cáo</t>
        </is>
      </c>
      <c r="G1664" s="22" t="inlineStr">
        <is>
          <t>Chỉ tiêu phái sinh</t>
        </is>
      </c>
      <c r="H1664" s="4" t="inlineStr">
        <is>
          <t>TB</t>
        </is>
      </c>
    </row>
    <row r="1665" ht="16" customHeight="1" s="380">
      <c r="B1665" s="4" t="inlineStr">
        <is>
          <t>HSX02</t>
        </is>
      </c>
      <c r="C1665" s="328" t="n"/>
      <c r="D1665" s="329" t="inlineStr">
        <is>
          <t>Cổ phiếu niêm yết</t>
        </is>
      </c>
      <c r="F1665" s="4" t="inlineStr">
        <is>
          <t>Báo cáo</t>
        </is>
      </c>
      <c r="G1665" s="22" t="inlineStr">
        <is>
          <t>Chỉ tiêu phái sinh</t>
        </is>
      </c>
      <c r="H1665" s="4" t="inlineStr">
        <is>
          <t>TB</t>
        </is>
      </c>
    </row>
    <row r="1666" ht="16" customHeight="1" s="380">
      <c r="B1666" s="4" t="inlineStr">
        <is>
          <t>HSX02</t>
        </is>
      </c>
      <c r="C1666" s="328" t="n"/>
      <c r="D1666" s="329" t="inlineStr">
        <is>
          <t>Trái phiếu chính quyền địa phương</t>
        </is>
      </c>
      <c r="F1666" s="4" t="inlineStr">
        <is>
          <t>Báo cáo</t>
        </is>
      </c>
      <c r="G1666" s="22" t="inlineStr">
        <is>
          <t>Chỉ tiêu phái sinh</t>
        </is>
      </c>
      <c r="H1666" s="4" t="inlineStr">
        <is>
          <t>TB</t>
        </is>
      </c>
    </row>
    <row r="1667" ht="16" customHeight="1" s="380">
      <c r="B1667" s="4" t="inlineStr">
        <is>
          <t>HSX02</t>
        </is>
      </c>
      <c r="C1667" s="328" t="n"/>
      <c r="D1667" s="329" t="inlineStr">
        <is>
          <t>Trái phiếu doanh nghiệp</t>
        </is>
      </c>
      <c r="F1667" s="4" t="inlineStr">
        <is>
          <t>Báo cáo</t>
        </is>
      </c>
      <c r="G1667" s="22" t="inlineStr">
        <is>
          <t>Chỉ tiêu phái sinh</t>
        </is>
      </c>
      <c r="H1667" s="4" t="inlineStr">
        <is>
          <t>TB</t>
        </is>
      </c>
    </row>
    <row r="1668" ht="16" customHeight="1" s="380">
      <c r="B1668" s="4" t="inlineStr">
        <is>
          <t>HSX02</t>
        </is>
      </c>
      <c r="C1668" s="328" t="n"/>
      <c r="D1668" s="329" t="inlineStr">
        <is>
          <t>Chứng chỉ quỹ</t>
        </is>
      </c>
      <c r="F1668" s="4" t="inlineStr">
        <is>
          <t>Báo cáo</t>
        </is>
      </c>
      <c r="G1668" s="22" t="inlineStr">
        <is>
          <t>Chỉ tiêu phái sinh</t>
        </is>
      </c>
      <c r="H1668" s="4" t="inlineStr">
        <is>
          <t>TB</t>
        </is>
      </c>
    </row>
    <row r="1669" ht="16" customHeight="1" s="380">
      <c r="B1669" s="4" t="inlineStr">
        <is>
          <t>HSX02</t>
        </is>
      </c>
      <c r="C1669" s="328" t="n"/>
      <c r="D1669" s="329" t="inlineStr">
        <is>
          <t>ETF</t>
        </is>
      </c>
      <c r="F1669" s="4" t="inlineStr">
        <is>
          <t>Báo cáo</t>
        </is>
      </c>
      <c r="G1669" s="22" t="inlineStr">
        <is>
          <t>Chỉ tiêu phái sinh</t>
        </is>
      </c>
      <c r="H1669" s="4" t="inlineStr">
        <is>
          <t>TB</t>
        </is>
      </c>
    </row>
    <row r="1670" ht="16" customHeight="1" s="380">
      <c r="B1670" s="4" t="inlineStr">
        <is>
          <t>HSX02</t>
        </is>
      </c>
      <c r="C1670" s="328" t="n"/>
      <c r="D1670" s="329" t="inlineStr">
        <is>
          <t>CW</t>
        </is>
      </c>
      <c r="F1670" s="4" t="inlineStr">
        <is>
          <t>Báo cáo</t>
        </is>
      </c>
      <c r="G1670" s="22" t="inlineStr">
        <is>
          <t>Chỉ tiêu phái sinh</t>
        </is>
      </c>
      <c r="H1670" s="4" t="inlineStr">
        <is>
          <t>TB</t>
        </is>
      </c>
    </row>
    <row r="1671" ht="34" customHeight="1" s="380">
      <c r="B1671" s="4" t="inlineStr">
        <is>
          <t>HSX02</t>
        </is>
      </c>
      <c r="C1671" s="330" t="n"/>
      <c r="D1671" s="331" t="inlineStr">
        <is>
          <t>Khối lượng chứng khoán hủy niêm yết, đáo hạn</t>
        </is>
      </c>
      <c r="F1671" s="4" t="inlineStr">
        <is>
          <t>Báo cáo</t>
        </is>
      </c>
      <c r="G1671" s="22" t="inlineStr">
        <is>
          <t>Chỉ tiêu phái sinh</t>
        </is>
      </c>
      <c r="H1671" s="4" t="inlineStr">
        <is>
          <t>TB</t>
        </is>
      </c>
    </row>
    <row r="1672" ht="16" customHeight="1" s="380">
      <c r="B1672" s="4" t="inlineStr">
        <is>
          <t>HSX02</t>
        </is>
      </c>
      <c r="C1672" s="328" t="n"/>
      <c r="D1672" s="329" t="inlineStr">
        <is>
          <t>Cổ phiếu niêm yết</t>
        </is>
      </c>
      <c r="F1672" s="4" t="inlineStr">
        <is>
          <t>Báo cáo</t>
        </is>
      </c>
      <c r="G1672" s="22" t="inlineStr">
        <is>
          <t>Chỉ tiêu phái sinh</t>
        </is>
      </c>
      <c r="H1672" s="4" t="inlineStr">
        <is>
          <t>TB</t>
        </is>
      </c>
    </row>
    <row r="1673" ht="16" customHeight="1" s="380">
      <c r="B1673" s="4" t="inlineStr">
        <is>
          <t>HSX02</t>
        </is>
      </c>
      <c r="C1673" s="328" t="n"/>
      <c r="D1673" s="329" t="inlineStr">
        <is>
          <t>Trái phiếu chính quyền địa phương</t>
        </is>
      </c>
      <c r="F1673" s="4" t="inlineStr">
        <is>
          <t>Báo cáo</t>
        </is>
      </c>
      <c r="G1673" s="22" t="inlineStr">
        <is>
          <t>Chỉ tiêu phái sinh</t>
        </is>
      </c>
      <c r="H1673" s="4" t="inlineStr">
        <is>
          <t>TB</t>
        </is>
      </c>
    </row>
    <row r="1674" ht="16" customHeight="1" s="380">
      <c r="B1674" s="4" t="inlineStr">
        <is>
          <t>HSX02</t>
        </is>
      </c>
      <c r="C1674" s="328" t="n"/>
      <c r="D1674" s="329" t="inlineStr">
        <is>
          <t>Trái phiếu doanh nghiệp</t>
        </is>
      </c>
      <c r="F1674" s="4" t="inlineStr">
        <is>
          <t>Báo cáo</t>
        </is>
      </c>
      <c r="G1674" s="22" t="inlineStr">
        <is>
          <t>Chỉ tiêu phái sinh</t>
        </is>
      </c>
      <c r="H1674" s="4" t="inlineStr">
        <is>
          <t>TB</t>
        </is>
      </c>
    </row>
    <row r="1675" ht="16" customHeight="1" s="380">
      <c r="B1675" s="4" t="inlineStr">
        <is>
          <t>HSX02</t>
        </is>
      </c>
      <c r="C1675" s="328" t="n"/>
      <c r="D1675" s="329" t="inlineStr">
        <is>
          <t>Chứng chỉ quỹ</t>
        </is>
      </c>
      <c r="F1675" s="4" t="inlineStr">
        <is>
          <t>Báo cáo</t>
        </is>
      </c>
      <c r="G1675" s="22" t="inlineStr">
        <is>
          <t>Chỉ tiêu phái sinh</t>
        </is>
      </c>
      <c r="H1675" s="4" t="inlineStr">
        <is>
          <t>TB</t>
        </is>
      </c>
    </row>
    <row r="1676" ht="16" customHeight="1" s="380">
      <c r="B1676" s="4" t="inlineStr">
        <is>
          <t>HSX02</t>
        </is>
      </c>
      <c r="C1676" s="328" t="n"/>
      <c r="D1676" s="329" t="inlineStr">
        <is>
          <t>ETF</t>
        </is>
      </c>
      <c r="F1676" s="4" t="inlineStr">
        <is>
          <t>Báo cáo</t>
        </is>
      </c>
      <c r="G1676" s="22" t="inlineStr">
        <is>
          <t>Chỉ tiêu phái sinh</t>
        </is>
      </c>
      <c r="H1676" s="4" t="inlineStr">
        <is>
          <t>TB</t>
        </is>
      </c>
    </row>
    <row r="1677" ht="16" customHeight="1" s="380">
      <c r="B1677" s="4" t="inlineStr">
        <is>
          <t>HSX02</t>
        </is>
      </c>
      <c r="C1677" s="328" t="n"/>
      <c r="D1677" s="329" t="inlineStr">
        <is>
          <t>CW</t>
        </is>
      </c>
      <c r="F1677" s="4" t="inlineStr">
        <is>
          <t>Báo cáo</t>
        </is>
      </c>
      <c r="G1677" s="22" t="inlineStr">
        <is>
          <t>Chỉ tiêu phái sinh</t>
        </is>
      </c>
      <c r="H1677" s="4" t="inlineStr">
        <is>
          <t>TB</t>
        </is>
      </c>
    </row>
    <row r="1678" ht="34" customHeight="1" s="380">
      <c r="B1678" s="4" t="inlineStr">
        <is>
          <t>HSX02</t>
        </is>
      </c>
      <c r="C1678" s="330" t="n"/>
      <c r="D1678" s="331" t="inlineStr">
        <is>
          <t>Giá trị chứng khoán hủy niêm yết, đáo hạn</t>
        </is>
      </c>
      <c r="F1678" s="4" t="inlineStr">
        <is>
          <t>Báo cáo</t>
        </is>
      </c>
      <c r="G1678" s="22" t="inlineStr">
        <is>
          <t>Chỉ tiêu phái sinh</t>
        </is>
      </c>
      <c r="H1678" s="4" t="inlineStr">
        <is>
          <t>TB</t>
        </is>
      </c>
    </row>
    <row r="1679" ht="16" customHeight="1" s="380">
      <c r="B1679" s="4" t="inlineStr">
        <is>
          <t>HSX02</t>
        </is>
      </c>
      <c r="C1679" s="328" t="n"/>
      <c r="D1679" s="329" t="inlineStr">
        <is>
          <t>Cổ phiếu niêm yết</t>
        </is>
      </c>
      <c r="F1679" s="4" t="inlineStr">
        <is>
          <t>Báo cáo</t>
        </is>
      </c>
      <c r="G1679" s="22" t="inlineStr">
        <is>
          <t>Chỉ tiêu phái sinh</t>
        </is>
      </c>
      <c r="H1679" s="4" t="inlineStr">
        <is>
          <t>TB</t>
        </is>
      </c>
    </row>
    <row r="1680" ht="16" customHeight="1" s="380">
      <c r="B1680" s="4" t="inlineStr">
        <is>
          <t>HSX02</t>
        </is>
      </c>
      <c r="C1680" s="328" t="n"/>
      <c r="D1680" s="329" t="inlineStr">
        <is>
          <t>Trái phiếu chính quyền địa phương</t>
        </is>
      </c>
      <c r="F1680" s="4" t="inlineStr">
        <is>
          <t>Báo cáo</t>
        </is>
      </c>
      <c r="G1680" s="22" t="inlineStr">
        <is>
          <t>Chỉ tiêu phái sinh</t>
        </is>
      </c>
      <c r="H1680" s="4" t="inlineStr">
        <is>
          <t>TB</t>
        </is>
      </c>
    </row>
    <row r="1681" ht="16" customHeight="1" s="380">
      <c r="B1681" s="4" t="inlineStr">
        <is>
          <t>HSX02</t>
        </is>
      </c>
      <c r="C1681" s="328" t="n"/>
      <c r="D1681" s="329" t="inlineStr">
        <is>
          <t>Trái phiếu doanh nghiệp</t>
        </is>
      </c>
      <c r="F1681" s="4" t="inlineStr">
        <is>
          <t>Báo cáo</t>
        </is>
      </c>
      <c r="G1681" s="22" t="inlineStr">
        <is>
          <t>Chỉ tiêu phái sinh</t>
        </is>
      </c>
      <c r="H1681" s="4" t="inlineStr">
        <is>
          <t>TB</t>
        </is>
      </c>
    </row>
    <row r="1682" ht="16" customHeight="1" s="380">
      <c r="B1682" s="4" t="inlineStr">
        <is>
          <t>HSX02</t>
        </is>
      </c>
      <c r="C1682" s="328" t="n"/>
      <c r="D1682" s="329" t="inlineStr">
        <is>
          <t>Chứng chỉ quỹ</t>
        </is>
      </c>
      <c r="F1682" s="4" t="inlineStr">
        <is>
          <t>Báo cáo</t>
        </is>
      </c>
      <c r="G1682" s="22" t="inlineStr">
        <is>
          <t>Chỉ tiêu phái sinh</t>
        </is>
      </c>
      <c r="H1682" s="4" t="inlineStr">
        <is>
          <t>TB</t>
        </is>
      </c>
    </row>
    <row r="1683" ht="16" customHeight="1" s="380">
      <c r="B1683" s="4" t="inlineStr">
        <is>
          <t>HSX02</t>
        </is>
      </c>
      <c r="C1683" s="328" t="n"/>
      <c r="D1683" s="329" t="inlineStr">
        <is>
          <t>ETF</t>
        </is>
      </c>
      <c r="F1683" s="4" t="inlineStr">
        <is>
          <t>Báo cáo</t>
        </is>
      </c>
      <c r="G1683" s="22" t="inlineStr">
        <is>
          <t>Chỉ tiêu phái sinh</t>
        </is>
      </c>
      <c r="H1683" s="4" t="inlineStr">
        <is>
          <t>TB</t>
        </is>
      </c>
    </row>
    <row r="1684" ht="16" customHeight="1" s="380">
      <c r="B1684" s="4" t="inlineStr">
        <is>
          <t>HSX02</t>
        </is>
      </c>
      <c r="C1684" s="328" t="n"/>
      <c r="D1684" s="329" t="inlineStr">
        <is>
          <t>CW</t>
        </is>
      </c>
      <c r="F1684" s="4" t="inlineStr">
        <is>
          <t>Báo cáo</t>
        </is>
      </c>
      <c r="G1684" s="22" t="inlineStr">
        <is>
          <t>Chỉ tiêu phái sinh</t>
        </is>
      </c>
      <c r="H1684" s="4" t="inlineStr">
        <is>
          <t>TB</t>
        </is>
      </c>
    </row>
    <row r="1685" ht="34" customHeight="1" s="380">
      <c r="B1685" s="4" t="inlineStr">
        <is>
          <t>HSX02</t>
        </is>
      </c>
      <c r="C1685" s="330" t="n"/>
      <c r="D1685" s="331" t="inlineStr">
        <is>
          <t>Số mã chứng khoán niêm yết tại thời điểm cuối tháng</t>
        </is>
      </c>
      <c r="F1685" s="4" t="inlineStr">
        <is>
          <t>Báo cáo</t>
        </is>
      </c>
      <c r="G1685" s="22" t="inlineStr">
        <is>
          <t>Chỉ tiêu phái sinh</t>
        </is>
      </c>
      <c r="H1685" s="4" t="inlineStr">
        <is>
          <t>TB</t>
        </is>
      </c>
    </row>
    <row r="1686" ht="16" customHeight="1" s="380">
      <c r="B1686" s="4" t="inlineStr">
        <is>
          <t>HSX02</t>
        </is>
      </c>
      <c r="C1686" s="328" t="n"/>
      <c r="D1686" s="329" t="inlineStr">
        <is>
          <t>Cổ phiếu niêm yết</t>
        </is>
      </c>
      <c r="F1686" s="4" t="inlineStr">
        <is>
          <t>Báo cáo</t>
        </is>
      </c>
      <c r="G1686" s="22" t="inlineStr">
        <is>
          <t>Chỉ tiêu phái sinh</t>
        </is>
      </c>
      <c r="H1686" s="4" t="inlineStr">
        <is>
          <t>TB</t>
        </is>
      </c>
    </row>
    <row r="1687" ht="16" customHeight="1" s="380">
      <c r="B1687" s="4" t="inlineStr">
        <is>
          <t>HSX02</t>
        </is>
      </c>
      <c r="C1687" s="328" t="n"/>
      <c r="D1687" s="329" t="inlineStr">
        <is>
          <t>Trái phiếu chính quyền địa phương</t>
        </is>
      </c>
      <c r="F1687" s="4" t="inlineStr">
        <is>
          <t>Báo cáo</t>
        </is>
      </c>
      <c r="G1687" s="22" t="inlineStr">
        <is>
          <t>Chỉ tiêu phái sinh</t>
        </is>
      </c>
      <c r="H1687" s="4" t="inlineStr">
        <is>
          <t>TB</t>
        </is>
      </c>
    </row>
    <row r="1688" ht="16" customHeight="1" s="380">
      <c r="B1688" s="4" t="inlineStr">
        <is>
          <t>HSX02</t>
        </is>
      </c>
      <c r="C1688" s="328" t="n"/>
      <c r="D1688" s="329" t="inlineStr">
        <is>
          <t>Trái phiếu doanh nghiệp</t>
        </is>
      </c>
      <c r="F1688" s="4" t="inlineStr">
        <is>
          <t>Báo cáo</t>
        </is>
      </c>
      <c r="G1688" s="22" t="inlineStr">
        <is>
          <t>Chỉ tiêu phái sinh</t>
        </is>
      </c>
      <c r="H1688" s="4" t="inlineStr">
        <is>
          <t>TB</t>
        </is>
      </c>
    </row>
    <row r="1689" ht="16" customHeight="1" s="380">
      <c r="B1689" s="4" t="inlineStr">
        <is>
          <t>HSX02</t>
        </is>
      </c>
      <c r="C1689" s="328" t="n"/>
      <c r="D1689" s="329" t="inlineStr">
        <is>
          <t>Chứng chỉ quỹ</t>
        </is>
      </c>
      <c r="F1689" s="4" t="inlineStr">
        <is>
          <t>Báo cáo</t>
        </is>
      </c>
      <c r="G1689" s="22" t="inlineStr">
        <is>
          <t>Chỉ tiêu phái sinh</t>
        </is>
      </c>
      <c r="H1689" s="4" t="inlineStr">
        <is>
          <t>TB</t>
        </is>
      </c>
    </row>
    <row r="1690" ht="16" customHeight="1" s="380">
      <c r="B1690" s="4" t="inlineStr">
        <is>
          <t>HSX02</t>
        </is>
      </c>
      <c r="C1690" s="328" t="n"/>
      <c r="D1690" s="329" t="inlineStr">
        <is>
          <t>ETF</t>
        </is>
      </c>
      <c r="F1690" s="4" t="inlineStr">
        <is>
          <t>Báo cáo</t>
        </is>
      </c>
      <c r="G1690" s="22" t="inlineStr">
        <is>
          <t>Chỉ tiêu phái sinh</t>
        </is>
      </c>
      <c r="H1690" s="4" t="inlineStr">
        <is>
          <t>TB</t>
        </is>
      </c>
    </row>
    <row r="1691" ht="16" customHeight="1" s="380">
      <c r="B1691" s="4" t="inlineStr">
        <is>
          <t>HSX02</t>
        </is>
      </c>
      <c r="C1691" s="328" t="n"/>
      <c r="D1691" s="329" t="inlineStr">
        <is>
          <t>CW</t>
        </is>
      </c>
      <c r="F1691" s="4" t="inlineStr">
        <is>
          <t>Báo cáo</t>
        </is>
      </c>
      <c r="G1691" s="22" t="inlineStr">
        <is>
          <t>Chỉ tiêu phái sinh</t>
        </is>
      </c>
      <c r="H1691" s="4" t="inlineStr">
        <is>
          <t>TB</t>
        </is>
      </c>
    </row>
    <row r="1692" ht="16" customHeight="1" s="380">
      <c r="B1692" s="4" t="inlineStr">
        <is>
          <t>HSX02</t>
        </is>
      </c>
      <c r="C1692" s="326" t="n"/>
      <c r="D1692" s="327" t="inlineStr">
        <is>
          <t>Số mã chứng khoán niêm yết mới trong tháng</t>
        </is>
      </c>
      <c r="F1692" s="4" t="inlineStr">
        <is>
          <t>Báo cáo</t>
        </is>
      </c>
      <c r="G1692" s="22" t="inlineStr">
        <is>
          <t>Chỉ tiêu phái sinh</t>
        </is>
      </c>
      <c r="H1692" s="4" t="inlineStr">
        <is>
          <t>TB</t>
        </is>
      </c>
    </row>
    <row r="1693" ht="16" customHeight="1" s="380">
      <c r="B1693" s="4" t="inlineStr">
        <is>
          <t>HSX02</t>
        </is>
      </c>
      <c r="C1693" s="328" t="n"/>
      <c r="D1693" s="329" t="inlineStr">
        <is>
          <t>Cổ phiếu niêm yết</t>
        </is>
      </c>
      <c r="F1693" s="4" t="inlineStr">
        <is>
          <t>Báo cáo</t>
        </is>
      </c>
      <c r="G1693" s="22" t="inlineStr">
        <is>
          <t>Chỉ tiêu phái sinh</t>
        </is>
      </c>
      <c r="H1693" s="4" t="inlineStr">
        <is>
          <t>TB</t>
        </is>
      </c>
    </row>
    <row r="1694" ht="16" customHeight="1" s="380">
      <c r="B1694" s="4" t="inlineStr">
        <is>
          <t>HSX02</t>
        </is>
      </c>
      <c r="C1694" s="328" t="n"/>
      <c r="D1694" s="329" t="inlineStr">
        <is>
          <t>Trái phiếu chính quyền địa phương</t>
        </is>
      </c>
      <c r="F1694" s="4" t="inlineStr">
        <is>
          <t>Báo cáo</t>
        </is>
      </c>
      <c r="G1694" s="22" t="inlineStr">
        <is>
          <t>Chỉ tiêu phái sinh</t>
        </is>
      </c>
      <c r="H1694" s="4" t="inlineStr">
        <is>
          <t>TB</t>
        </is>
      </c>
    </row>
    <row r="1695" ht="16" customHeight="1" s="380">
      <c r="B1695" s="4" t="inlineStr">
        <is>
          <t>HSX02</t>
        </is>
      </c>
      <c r="C1695" s="328" t="n"/>
      <c r="D1695" s="329" t="inlineStr">
        <is>
          <t>Trái phiếu doanh nghiệp</t>
        </is>
      </c>
      <c r="F1695" s="4" t="inlineStr">
        <is>
          <t>Báo cáo</t>
        </is>
      </c>
      <c r="G1695" s="22" t="inlineStr">
        <is>
          <t>Chỉ tiêu phái sinh</t>
        </is>
      </c>
      <c r="H1695" s="4" t="inlineStr">
        <is>
          <t>TB</t>
        </is>
      </c>
    </row>
    <row r="1696" ht="16" customHeight="1" s="380">
      <c r="B1696" s="4" t="inlineStr">
        <is>
          <t>HSX02</t>
        </is>
      </c>
      <c r="C1696" s="328" t="n"/>
      <c r="D1696" s="329" t="inlineStr">
        <is>
          <t>Chứng chỉ quỹ</t>
        </is>
      </c>
      <c r="F1696" s="4" t="inlineStr">
        <is>
          <t>Báo cáo</t>
        </is>
      </c>
      <c r="G1696" s="22" t="inlineStr">
        <is>
          <t>Chỉ tiêu phái sinh</t>
        </is>
      </c>
      <c r="H1696" s="4" t="inlineStr">
        <is>
          <t>TB</t>
        </is>
      </c>
    </row>
    <row r="1697" ht="16" customHeight="1" s="380">
      <c r="B1697" s="4" t="inlineStr">
        <is>
          <t>HSX02</t>
        </is>
      </c>
      <c r="C1697" s="328" t="n"/>
      <c r="D1697" s="329" t="inlineStr">
        <is>
          <t>ETF</t>
        </is>
      </c>
      <c r="F1697" s="4" t="inlineStr">
        <is>
          <t>Báo cáo</t>
        </is>
      </c>
      <c r="G1697" s="22" t="inlineStr">
        <is>
          <t>Chỉ tiêu phái sinh</t>
        </is>
      </c>
      <c r="H1697" s="4" t="inlineStr">
        <is>
          <t>TB</t>
        </is>
      </c>
    </row>
    <row r="1698" ht="16" customHeight="1" s="380">
      <c r="B1698" s="4" t="inlineStr">
        <is>
          <t>HSX02</t>
        </is>
      </c>
      <c r="C1698" s="328" t="n"/>
      <c r="D1698" s="329" t="inlineStr">
        <is>
          <t>CW</t>
        </is>
      </c>
      <c r="F1698" s="4" t="inlineStr">
        <is>
          <t>Báo cáo</t>
        </is>
      </c>
      <c r="G1698" s="22" t="inlineStr">
        <is>
          <t>Chỉ tiêu phái sinh</t>
        </is>
      </c>
      <c r="H1698" s="4" t="inlineStr">
        <is>
          <t>TB</t>
        </is>
      </c>
    </row>
    <row r="1699" ht="32" customHeight="1" s="380">
      <c r="B1699" s="4" t="inlineStr">
        <is>
          <t>HSX02</t>
        </is>
      </c>
      <c r="C1699" s="326" t="n"/>
      <c r="D1699" s="327" t="inlineStr">
        <is>
          <t>Số mã chứng khoán hủy niêm yết, đáo hạn trong tháng</t>
        </is>
      </c>
      <c r="F1699" s="4" t="inlineStr">
        <is>
          <t>Báo cáo</t>
        </is>
      </c>
      <c r="G1699" s="22" t="inlineStr">
        <is>
          <t>Chỉ tiêu phái sinh</t>
        </is>
      </c>
      <c r="H1699" s="4" t="inlineStr">
        <is>
          <t>TB</t>
        </is>
      </c>
    </row>
    <row r="1700" ht="16" customHeight="1" s="380">
      <c r="B1700" s="4" t="inlineStr">
        <is>
          <t>HSX02</t>
        </is>
      </c>
      <c r="C1700" s="328" t="n"/>
      <c r="D1700" s="329" t="inlineStr">
        <is>
          <t>Cổ phiếu niêm yết</t>
        </is>
      </c>
      <c r="F1700" s="4" t="inlineStr">
        <is>
          <t>Báo cáo</t>
        </is>
      </c>
      <c r="G1700" s="22" t="inlineStr">
        <is>
          <t>Chỉ tiêu phái sinh</t>
        </is>
      </c>
      <c r="H1700" s="4" t="inlineStr">
        <is>
          <t>TB</t>
        </is>
      </c>
    </row>
    <row r="1701" ht="16" customHeight="1" s="380">
      <c r="B1701" s="4" t="inlineStr">
        <is>
          <t>HSX02</t>
        </is>
      </c>
      <c r="C1701" s="328" t="n"/>
      <c r="D1701" s="329" t="inlineStr">
        <is>
          <t>Trái phiếu chính quyền địa phương</t>
        </is>
      </c>
      <c r="F1701" s="4" t="inlineStr">
        <is>
          <t>Báo cáo</t>
        </is>
      </c>
      <c r="G1701" s="22" t="inlineStr">
        <is>
          <t>Chỉ tiêu phái sinh</t>
        </is>
      </c>
      <c r="H1701" s="4" t="inlineStr">
        <is>
          <t>TB</t>
        </is>
      </c>
    </row>
    <row r="1702" ht="16" customHeight="1" s="380">
      <c r="B1702" s="4" t="inlineStr">
        <is>
          <t>HSX02</t>
        </is>
      </c>
      <c r="C1702" s="328" t="n"/>
      <c r="D1702" s="329" t="inlineStr">
        <is>
          <t>Trái phiếu doanh nghiệp</t>
        </is>
      </c>
      <c r="F1702" s="4" t="inlineStr">
        <is>
          <t>Báo cáo</t>
        </is>
      </c>
      <c r="G1702" s="22" t="inlineStr">
        <is>
          <t>Chỉ tiêu phái sinh</t>
        </is>
      </c>
      <c r="H1702" s="4" t="inlineStr">
        <is>
          <t>TB</t>
        </is>
      </c>
    </row>
    <row r="1703" ht="16" customHeight="1" s="380">
      <c r="B1703" s="4" t="inlineStr">
        <is>
          <t>HSX02</t>
        </is>
      </c>
      <c r="C1703" s="328" t="n"/>
      <c r="D1703" s="329" t="inlineStr">
        <is>
          <t>Chứng chỉ quỹ</t>
        </is>
      </c>
      <c r="F1703" s="4" t="inlineStr">
        <is>
          <t>Báo cáo</t>
        </is>
      </c>
      <c r="G1703" s="22" t="inlineStr">
        <is>
          <t>Chỉ tiêu phái sinh</t>
        </is>
      </c>
      <c r="H1703" s="4" t="inlineStr">
        <is>
          <t>TB</t>
        </is>
      </c>
    </row>
    <row r="1704" ht="16" customHeight="1" s="380">
      <c r="B1704" s="4" t="inlineStr">
        <is>
          <t>HSX02</t>
        </is>
      </c>
      <c r="C1704" s="328" t="n"/>
      <c r="D1704" s="329" t="inlineStr">
        <is>
          <t>ETF</t>
        </is>
      </c>
      <c r="F1704" s="4" t="inlineStr">
        <is>
          <t>Báo cáo</t>
        </is>
      </c>
      <c r="G1704" s="22" t="inlineStr">
        <is>
          <t>Chỉ tiêu phái sinh</t>
        </is>
      </c>
      <c r="H1704" s="4" t="inlineStr">
        <is>
          <t>TB</t>
        </is>
      </c>
    </row>
    <row r="1705" ht="16" customHeight="1" s="380">
      <c r="B1705" s="4" t="inlineStr">
        <is>
          <t>HSX02</t>
        </is>
      </c>
      <c r="C1705" s="328" t="n"/>
      <c r="D1705" s="329" t="inlineStr">
        <is>
          <t>CW</t>
        </is>
      </c>
      <c r="F1705" s="4" t="inlineStr">
        <is>
          <t>Báo cáo</t>
        </is>
      </c>
      <c r="G1705" s="22" t="inlineStr">
        <is>
          <t>Chỉ tiêu phái sinh</t>
        </is>
      </c>
      <c r="H1705" s="4" t="inlineStr">
        <is>
          <t>TB</t>
        </is>
      </c>
    </row>
    <row r="1706" ht="16" customHeight="1" s="380">
      <c r="B1706" s="4" t="inlineStr">
        <is>
          <t>HSX02</t>
        </is>
      </c>
      <c r="C1706" s="326" t="n"/>
      <c r="D1706" s="327" t="inlineStr">
        <is>
          <t>Số phiên thực hiện giao dịch</t>
        </is>
      </c>
      <c r="F1706" s="4" t="inlineStr">
        <is>
          <t>Báo cáo</t>
        </is>
      </c>
      <c r="G1706" s="22" t="inlineStr">
        <is>
          <t>Chỉ tiêu phái sinh</t>
        </is>
      </c>
      <c r="H1706" s="4" t="inlineStr">
        <is>
          <t>TB</t>
        </is>
      </c>
    </row>
    <row r="1707" ht="16" customHeight="1" s="380">
      <c r="B1707" s="4" t="inlineStr">
        <is>
          <t>HSX02</t>
        </is>
      </c>
      <c r="C1707" s="326" t="n"/>
      <c r="D1707" s="327" t="inlineStr">
        <is>
          <t>SGDCK TP.HCM</t>
        </is>
      </c>
      <c r="F1707" s="4" t="inlineStr">
        <is>
          <t>Báo cáo</t>
        </is>
      </c>
      <c r="G1707" s="22" t="inlineStr">
        <is>
          <t>Chỉ tiêu phái sinh</t>
        </is>
      </c>
      <c r="H1707" s="4" t="inlineStr">
        <is>
          <t>TB</t>
        </is>
      </c>
    </row>
    <row r="1708" ht="17" customHeight="1" s="380">
      <c r="B1708" s="4" t="inlineStr">
        <is>
          <t>HSX02</t>
        </is>
      </c>
      <c r="C1708" s="330" t="n"/>
      <c r="D1708" s="331" t="inlineStr">
        <is>
          <t>Giao dịch Nhà đầu tư nước ngoài</t>
        </is>
      </c>
      <c r="F1708" s="4" t="inlineStr">
        <is>
          <t>Báo cáo</t>
        </is>
      </c>
      <c r="G1708" s="22" t="inlineStr">
        <is>
          <t>Chỉ tiêu phái sinh</t>
        </is>
      </c>
      <c r="H1708" s="4" t="inlineStr">
        <is>
          <t>TB</t>
        </is>
      </c>
    </row>
    <row r="1709" ht="17" customHeight="1" s="380">
      <c r="B1709" s="4" t="inlineStr">
        <is>
          <t>HSX02</t>
        </is>
      </c>
      <c r="C1709" s="332" t="n"/>
      <c r="D1709" s="333" t="inlineStr">
        <is>
          <t>GDNĐTNN cổ phiếu niêm yết</t>
        </is>
      </c>
      <c r="F1709" s="4" t="inlineStr">
        <is>
          <t>Báo cáo</t>
        </is>
      </c>
      <c r="G1709" s="22" t="inlineStr">
        <is>
          <t>Chỉ tiêu phái sinh</t>
        </is>
      </c>
      <c r="H1709" s="4" t="inlineStr">
        <is>
          <t>TB</t>
        </is>
      </c>
    </row>
    <row r="1710" ht="17" customHeight="1" s="380">
      <c r="B1710" s="4" t="inlineStr">
        <is>
          <t>HSX02</t>
        </is>
      </c>
      <c r="C1710" s="334" t="n"/>
      <c r="D1710" s="335" t="inlineStr">
        <is>
          <t>Khối lượng giao dịch cổ phiếu niêm yết</t>
        </is>
      </c>
      <c r="F1710" s="4" t="inlineStr">
        <is>
          <t>Báo cáo</t>
        </is>
      </c>
      <c r="G1710" s="22" t="inlineStr">
        <is>
          <t>Chỉ tiêu phái sinh</t>
        </is>
      </c>
      <c r="H1710" s="4" t="inlineStr">
        <is>
          <t>TB</t>
        </is>
      </c>
    </row>
    <row r="1711" ht="17" customHeight="1" s="380">
      <c r="B1711" s="4" t="inlineStr">
        <is>
          <t>HSX02</t>
        </is>
      </c>
      <c r="C1711" s="334" t="n"/>
      <c r="D1711" s="335" t="inlineStr">
        <is>
          <t>Khối lượng giao dịch mua</t>
        </is>
      </c>
      <c r="F1711" s="4" t="inlineStr">
        <is>
          <t>Báo cáo</t>
        </is>
      </c>
      <c r="G1711" s="22" t="inlineStr">
        <is>
          <t>Chỉ tiêu phái sinh</t>
        </is>
      </c>
      <c r="H1711" s="4" t="inlineStr">
        <is>
          <t>TB</t>
        </is>
      </c>
    </row>
    <row r="1712" ht="17" customHeight="1" s="380">
      <c r="B1712" s="4" t="inlineStr">
        <is>
          <t>HSX02</t>
        </is>
      </c>
      <c r="C1712" s="334" t="n"/>
      <c r="D1712" s="335" t="inlineStr">
        <is>
          <t>Khối lượng giao dịch bán</t>
        </is>
      </c>
      <c r="F1712" s="4" t="inlineStr">
        <is>
          <t>Báo cáo</t>
        </is>
      </c>
      <c r="G1712" s="22" t="inlineStr">
        <is>
          <t>Chỉ tiêu phái sinh</t>
        </is>
      </c>
      <c r="H1712" s="4" t="inlineStr">
        <is>
          <t>TB</t>
        </is>
      </c>
    </row>
    <row r="1713" ht="17" customHeight="1" s="380">
      <c r="B1713" s="4" t="inlineStr">
        <is>
          <t>HSX02</t>
        </is>
      </c>
      <c r="C1713" s="334" t="n"/>
      <c r="D1713" s="335" t="inlineStr">
        <is>
          <t>Khối lượng mua/bán ròng</t>
        </is>
      </c>
      <c r="F1713" s="4" t="inlineStr">
        <is>
          <t>Báo cáo</t>
        </is>
      </c>
      <c r="G1713" s="22" t="inlineStr">
        <is>
          <t>Chỉ tiêu phái sinh</t>
        </is>
      </c>
      <c r="H1713" s="4" t="inlineStr">
        <is>
          <t>TB</t>
        </is>
      </c>
    </row>
    <row r="1714" ht="17" customHeight="1" s="380">
      <c r="B1714" s="4" t="inlineStr">
        <is>
          <t>HSX02</t>
        </is>
      </c>
      <c r="C1714" s="334" t="n"/>
      <c r="D1714" s="335" t="inlineStr">
        <is>
          <t>Giá trị giao dịch cổ phiếu niêm yết</t>
        </is>
      </c>
      <c r="F1714" s="4" t="inlineStr">
        <is>
          <t>Báo cáo</t>
        </is>
      </c>
      <c r="G1714" s="22" t="inlineStr">
        <is>
          <t>Chỉ tiêu phái sinh</t>
        </is>
      </c>
      <c r="H1714" s="4" t="inlineStr">
        <is>
          <t>TB</t>
        </is>
      </c>
    </row>
    <row r="1715" ht="17" customHeight="1" s="380">
      <c r="B1715" s="4" t="inlineStr">
        <is>
          <t>HSX02</t>
        </is>
      </c>
      <c r="C1715" s="334" t="n"/>
      <c r="D1715" s="335" t="inlineStr">
        <is>
          <t>Giá trị giao dịch mua</t>
        </is>
      </c>
      <c r="F1715" s="4" t="inlineStr">
        <is>
          <t>Báo cáo</t>
        </is>
      </c>
      <c r="G1715" s="22" t="inlineStr">
        <is>
          <t>Chỉ tiêu phái sinh</t>
        </is>
      </c>
      <c r="H1715" s="4" t="inlineStr">
        <is>
          <t>TB</t>
        </is>
      </c>
    </row>
    <row r="1716" ht="17" customHeight="1" s="380">
      <c r="B1716" s="4" t="inlineStr">
        <is>
          <t>HSX02</t>
        </is>
      </c>
      <c r="C1716" s="334" t="n"/>
      <c r="D1716" s="335" t="inlineStr">
        <is>
          <t>Giá trị giao dịch bán</t>
        </is>
      </c>
      <c r="F1716" s="4" t="inlineStr">
        <is>
          <t>Báo cáo</t>
        </is>
      </c>
      <c r="G1716" s="22" t="inlineStr">
        <is>
          <t>Chỉ tiêu phái sinh</t>
        </is>
      </c>
      <c r="H1716" s="4" t="inlineStr">
        <is>
          <t>TB</t>
        </is>
      </c>
    </row>
    <row r="1717" ht="17" customHeight="1" s="380">
      <c r="B1717" s="4" t="inlineStr">
        <is>
          <t>HSX02</t>
        </is>
      </c>
      <c r="C1717" s="334" t="n"/>
      <c r="D1717" s="335" t="inlineStr">
        <is>
          <t>Giá trị mua/bán ròng</t>
        </is>
      </c>
      <c r="F1717" s="4" t="inlineStr">
        <is>
          <t>Báo cáo</t>
        </is>
      </c>
      <c r="G1717" s="22" t="inlineStr">
        <is>
          <t>Chỉ tiêu phái sinh</t>
        </is>
      </c>
      <c r="H1717" s="4" t="inlineStr">
        <is>
          <t>TB</t>
        </is>
      </c>
    </row>
    <row r="1718" ht="17" customHeight="1" s="380">
      <c r="B1718" s="4" t="inlineStr">
        <is>
          <t>HSX02</t>
        </is>
      </c>
      <c r="C1718" s="332" t="n"/>
      <c r="D1718" s="333" t="inlineStr">
        <is>
          <t>GDNĐTNN chứng chỉ quỹ</t>
        </is>
      </c>
      <c r="F1718" s="4" t="inlineStr">
        <is>
          <t>Báo cáo</t>
        </is>
      </c>
      <c r="G1718" s="22" t="inlineStr">
        <is>
          <t>Chỉ tiêu phái sinh</t>
        </is>
      </c>
      <c r="H1718" s="4" t="inlineStr">
        <is>
          <t>TB</t>
        </is>
      </c>
    </row>
    <row r="1719" ht="17" customHeight="1" s="380">
      <c r="B1719" s="4" t="inlineStr">
        <is>
          <t>HSX02</t>
        </is>
      </c>
      <c r="C1719" s="334" t="n"/>
      <c r="D1719" s="335" t="inlineStr">
        <is>
          <t>Khối lượng giao dịch chứng chỉ quỹ</t>
        </is>
      </c>
      <c r="F1719" s="4" t="inlineStr">
        <is>
          <t>Báo cáo</t>
        </is>
      </c>
      <c r="G1719" s="22" t="inlineStr">
        <is>
          <t>Chỉ tiêu phái sinh</t>
        </is>
      </c>
      <c r="H1719" s="4" t="inlineStr">
        <is>
          <t>TB</t>
        </is>
      </c>
    </row>
    <row r="1720" ht="17" customHeight="1" s="380">
      <c r="B1720" s="4" t="inlineStr">
        <is>
          <t>HSX02</t>
        </is>
      </c>
      <c r="C1720" s="334" t="n"/>
      <c r="D1720" s="335" t="inlineStr">
        <is>
          <t>Khối lượng giao dịch mua</t>
        </is>
      </c>
      <c r="F1720" s="4" t="inlineStr">
        <is>
          <t>Báo cáo</t>
        </is>
      </c>
      <c r="G1720" s="22" t="inlineStr">
        <is>
          <t>Chỉ tiêu phái sinh</t>
        </is>
      </c>
      <c r="H1720" s="4" t="inlineStr">
        <is>
          <t>TB</t>
        </is>
      </c>
    </row>
    <row r="1721" ht="17" customHeight="1" s="380">
      <c r="B1721" s="4" t="inlineStr">
        <is>
          <t>HSX02</t>
        </is>
      </c>
      <c r="C1721" s="334" t="n"/>
      <c r="D1721" s="335" t="inlineStr">
        <is>
          <t>Khối lượng giao dịch bán</t>
        </is>
      </c>
      <c r="F1721" s="4" t="inlineStr">
        <is>
          <t>Báo cáo</t>
        </is>
      </c>
      <c r="G1721" s="22" t="inlineStr">
        <is>
          <t>Chỉ tiêu phái sinh</t>
        </is>
      </c>
      <c r="H1721" s="4" t="inlineStr">
        <is>
          <t>TB</t>
        </is>
      </c>
    </row>
    <row r="1722" ht="17" customHeight="1" s="380">
      <c r="B1722" s="4" t="inlineStr">
        <is>
          <t>HSX02</t>
        </is>
      </c>
      <c r="C1722" s="334" t="n"/>
      <c r="D1722" s="335" t="inlineStr">
        <is>
          <t>Khối lượng mua/bán ròng</t>
        </is>
      </c>
      <c r="F1722" s="4" t="inlineStr">
        <is>
          <t>Báo cáo</t>
        </is>
      </c>
      <c r="G1722" s="22" t="inlineStr">
        <is>
          <t>Chỉ tiêu phái sinh</t>
        </is>
      </c>
      <c r="H1722" s="4" t="inlineStr">
        <is>
          <t>TB</t>
        </is>
      </c>
    </row>
    <row r="1723" ht="17" customHeight="1" s="380">
      <c r="B1723" s="4" t="inlineStr">
        <is>
          <t>HSX02</t>
        </is>
      </c>
      <c r="C1723" s="334" t="n"/>
      <c r="D1723" s="335" t="inlineStr">
        <is>
          <t>Giá trị giao dịch chứng chỉ quỹ</t>
        </is>
      </c>
      <c r="F1723" s="4" t="inlineStr">
        <is>
          <t>Báo cáo</t>
        </is>
      </c>
      <c r="G1723" s="22" t="inlineStr">
        <is>
          <t>Chỉ tiêu phái sinh</t>
        </is>
      </c>
      <c r="H1723" s="4" t="inlineStr">
        <is>
          <t>TB</t>
        </is>
      </c>
    </row>
    <row r="1724" ht="17" customHeight="1" s="380">
      <c r="B1724" s="4" t="inlineStr">
        <is>
          <t>HSX02</t>
        </is>
      </c>
      <c r="C1724" s="334" t="n"/>
      <c r="D1724" s="335" t="inlineStr">
        <is>
          <t>Giá trị giao dịch mua</t>
        </is>
      </c>
      <c r="F1724" s="4" t="inlineStr">
        <is>
          <t>Báo cáo</t>
        </is>
      </c>
      <c r="G1724" s="22" t="inlineStr">
        <is>
          <t>Chỉ tiêu phái sinh</t>
        </is>
      </c>
      <c r="H1724" s="4" t="inlineStr">
        <is>
          <t>TB</t>
        </is>
      </c>
    </row>
    <row r="1725" ht="17" customHeight="1" s="380">
      <c r="B1725" s="4" t="inlineStr">
        <is>
          <t>HSX02</t>
        </is>
      </c>
      <c r="C1725" s="334" t="n"/>
      <c r="D1725" s="335" t="inlineStr">
        <is>
          <t>Giá trị giao dịch bán</t>
        </is>
      </c>
      <c r="F1725" s="4" t="inlineStr">
        <is>
          <t>Báo cáo</t>
        </is>
      </c>
      <c r="G1725" s="22" t="inlineStr">
        <is>
          <t>Chỉ tiêu phái sinh</t>
        </is>
      </c>
      <c r="H1725" s="4" t="inlineStr">
        <is>
          <t>TB</t>
        </is>
      </c>
    </row>
    <row r="1726" ht="17" customHeight="1" s="380">
      <c r="B1726" s="4" t="inlineStr">
        <is>
          <t>HSX02</t>
        </is>
      </c>
      <c r="C1726" s="334" t="n"/>
      <c r="D1726" s="335" t="inlineStr">
        <is>
          <t>Giá trị mua/bán ròng</t>
        </is>
      </c>
      <c r="F1726" s="4" t="inlineStr">
        <is>
          <t>Báo cáo</t>
        </is>
      </c>
      <c r="G1726" s="22" t="inlineStr">
        <is>
          <t>Chỉ tiêu phái sinh</t>
        </is>
      </c>
      <c r="H1726" s="4" t="inlineStr">
        <is>
          <t>TB</t>
        </is>
      </c>
    </row>
    <row r="1727" ht="17" customHeight="1" s="380">
      <c r="B1727" s="4" t="inlineStr">
        <is>
          <t>HSX02</t>
        </is>
      </c>
      <c r="C1727" s="332" t="n"/>
      <c r="D1727" s="333" t="inlineStr">
        <is>
          <t>GDNĐTNN ETF</t>
        </is>
      </c>
      <c r="F1727" s="4" t="inlineStr">
        <is>
          <t>Báo cáo</t>
        </is>
      </c>
      <c r="G1727" s="22" t="inlineStr">
        <is>
          <t>Chỉ tiêu phái sinh</t>
        </is>
      </c>
      <c r="H1727" s="4" t="inlineStr">
        <is>
          <t>TB</t>
        </is>
      </c>
    </row>
    <row r="1728" ht="17" customHeight="1" s="380">
      <c r="B1728" s="4" t="inlineStr">
        <is>
          <t>HSX02</t>
        </is>
      </c>
      <c r="C1728" s="334" t="n"/>
      <c r="D1728" s="335" t="inlineStr">
        <is>
          <t>Khối lượng giao dịch ETF</t>
        </is>
      </c>
      <c r="F1728" s="4" t="inlineStr">
        <is>
          <t>Báo cáo</t>
        </is>
      </c>
      <c r="G1728" s="22" t="inlineStr">
        <is>
          <t>Chỉ tiêu phái sinh</t>
        </is>
      </c>
      <c r="H1728" s="4" t="inlineStr">
        <is>
          <t>TB</t>
        </is>
      </c>
    </row>
    <row r="1729" ht="17" customHeight="1" s="380">
      <c r="B1729" s="4" t="inlineStr">
        <is>
          <t>HSX02</t>
        </is>
      </c>
      <c r="C1729" s="334" t="n"/>
      <c r="D1729" s="335" t="inlineStr">
        <is>
          <t>Khối lượng giao dịch mua</t>
        </is>
      </c>
      <c r="F1729" s="4" t="inlineStr">
        <is>
          <t>Báo cáo</t>
        </is>
      </c>
      <c r="G1729" s="22" t="inlineStr">
        <is>
          <t>Chỉ tiêu phái sinh</t>
        </is>
      </c>
      <c r="H1729" s="4" t="inlineStr">
        <is>
          <t>TB</t>
        </is>
      </c>
    </row>
    <row r="1730" ht="17" customHeight="1" s="380">
      <c r="B1730" s="4" t="inlineStr">
        <is>
          <t>HSX02</t>
        </is>
      </c>
      <c r="C1730" s="334" t="n"/>
      <c r="D1730" s="335" t="inlineStr">
        <is>
          <t>Khối lượng giao dịch bán</t>
        </is>
      </c>
      <c r="F1730" s="4" t="inlineStr">
        <is>
          <t>Báo cáo</t>
        </is>
      </c>
      <c r="G1730" s="22" t="inlineStr">
        <is>
          <t>Chỉ tiêu phái sinh</t>
        </is>
      </c>
      <c r="H1730" s="4" t="inlineStr">
        <is>
          <t>TB</t>
        </is>
      </c>
    </row>
    <row r="1731" ht="17" customHeight="1" s="380">
      <c r="B1731" s="4" t="inlineStr">
        <is>
          <t>HSX02</t>
        </is>
      </c>
      <c r="C1731" s="334" t="n"/>
      <c r="D1731" s="335" t="inlineStr">
        <is>
          <t>Khối lượng mua/bán ròng</t>
        </is>
      </c>
      <c r="F1731" s="4" t="inlineStr">
        <is>
          <t>Báo cáo</t>
        </is>
      </c>
      <c r="G1731" s="22" t="inlineStr">
        <is>
          <t>Chỉ tiêu phái sinh</t>
        </is>
      </c>
      <c r="H1731" s="4" t="inlineStr">
        <is>
          <t>TB</t>
        </is>
      </c>
    </row>
    <row r="1732" ht="17" customHeight="1" s="380">
      <c r="B1732" s="4" t="inlineStr">
        <is>
          <t>HSX02</t>
        </is>
      </c>
      <c r="C1732" s="334" t="n"/>
      <c r="D1732" s="335" t="inlineStr">
        <is>
          <t>Giá trị giao dịch ETF</t>
        </is>
      </c>
      <c r="F1732" s="4" t="inlineStr">
        <is>
          <t>Báo cáo</t>
        </is>
      </c>
      <c r="G1732" s="22" t="inlineStr">
        <is>
          <t>Chỉ tiêu phái sinh</t>
        </is>
      </c>
      <c r="H1732" s="4" t="inlineStr">
        <is>
          <t>TB</t>
        </is>
      </c>
    </row>
    <row r="1733" ht="17" customHeight="1" s="380">
      <c r="B1733" s="4" t="inlineStr">
        <is>
          <t>HSX02</t>
        </is>
      </c>
      <c r="C1733" s="334" t="n"/>
      <c r="D1733" s="335" t="inlineStr">
        <is>
          <t>Giá trị giao dịch mua</t>
        </is>
      </c>
      <c r="F1733" s="4" t="inlineStr">
        <is>
          <t>Báo cáo</t>
        </is>
      </c>
      <c r="G1733" s="22" t="inlineStr">
        <is>
          <t>Chỉ tiêu phái sinh</t>
        </is>
      </c>
      <c r="H1733" s="4" t="inlineStr">
        <is>
          <t>TB</t>
        </is>
      </c>
    </row>
    <row r="1734" ht="17" customHeight="1" s="380">
      <c r="B1734" s="4" t="inlineStr">
        <is>
          <t>HSX02</t>
        </is>
      </c>
      <c r="C1734" s="334" t="n"/>
      <c r="D1734" s="335" t="inlineStr">
        <is>
          <t>Giá trị giao dịch bán</t>
        </is>
      </c>
      <c r="F1734" s="4" t="inlineStr">
        <is>
          <t>Báo cáo</t>
        </is>
      </c>
      <c r="G1734" s="22" t="inlineStr">
        <is>
          <t>Chỉ tiêu phái sinh</t>
        </is>
      </c>
      <c r="H1734" s="4" t="inlineStr">
        <is>
          <t>TB</t>
        </is>
      </c>
    </row>
    <row r="1735" ht="17" customHeight="1" s="380">
      <c r="B1735" s="4" t="inlineStr">
        <is>
          <t>HSX02</t>
        </is>
      </c>
      <c r="C1735" s="334" t="n"/>
      <c r="D1735" s="335" t="inlineStr">
        <is>
          <t>Giá trị mua/bán ròng</t>
        </is>
      </c>
      <c r="F1735" s="4" t="inlineStr">
        <is>
          <t>Báo cáo</t>
        </is>
      </c>
      <c r="G1735" s="22" t="inlineStr">
        <is>
          <t>Chỉ tiêu phái sinh</t>
        </is>
      </c>
      <c r="H1735" s="4" t="inlineStr">
        <is>
          <t>TB</t>
        </is>
      </c>
    </row>
    <row r="1736" ht="17" customHeight="1" s="380">
      <c r="B1736" s="4" t="inlineStr">
        <is>
          <t>HSX02</t>
        </is>
      </c>
      <c r="C1736" s="330" t="n"/>
      <c r="D1736" s="331" t="inlineStr">
        <is>
          <t>GDNĐTNN trái phiếu</t>
        </is>
      </c>
      <c r="F1736" s="4" t="inlineStr">
        <is>
          <t>Báo cáo</t>
        </is>
      </c>
      <c r="G1736" s="22" t="inlineStr">
        <is>
          <t>Chỉ tiêu phái sinh</t>
        </is>
      </c>
      <c r="H1736" s="4" t="inlineStr">
        <is>
          <t>TB</t>
        </is>
      </c>
    </row>
    <row r="1737" ht="17" customHeight="1" s="380">
      <c r="B1737" s="4" t="inlineStr">
        <is>
          <t>HSX02</t>
        </is>
      </c>
      <c r="C1737" s="334" t="n"/>
      <c r="D1737" s="335" t="inlineStr">
        <is>
          <t>Khối lượng giao dịch trái phiếu</t>
        </is>
      </c>
      <c r="F1737" s="4" t="inlineStr">
        <is>
          <t>Báo cáo</t>
        </is>
      </c>
      <c r="G1737" s="22" t="inlineStr">
        <is>
          <t>Chỉ tiêu phái sinh</t>
        </is>
      </c>
      <c r="H1737" s="4" t="inlineStr">
        <is>
          <t>TB</t>
        </is>
      </c>
    </row>
    <row r="1738" ht="17" customHeight="1" s="380">
      <c r="B1738" s="4" t="inlineStr">
        <is>
          <t>HSX02</t>
        </is>
      </c>
      <c r="C1738" s="334" t="n"/>
      <c r="D1738" s="335" t="inlineStr">
        <is>
          <t>Khối lượng giao dịch mua</t>
        </is>
      </c>
      <c r="F1738" s="4" t="inlineStr">
        <is>
          <t>Báo cáo</t>
        </is>
      </c>
      <c r="G1738" s="22" t="inlineStr">
        <is>
          <t>Chỉ tiêu phái sinh</t>
        </is>
      </c>
      <c r="H1738" s="4" t="inlineStr">
        <is>
          <t>TB</t>
        </is>
      </c>
    </row>
    <row r="1739" ht="17" customHeight="1" s="380">
      <c r="B1739" s="4" t="inlineStr">
        <is>
          <t>HSX02</t>
        </is>
      </c>
      <c r="C1739" s="334" t="n"/>
      <c r="D1739" s="335" t="inlineStr">
        <is>
          <t>Khối lượng giao dịch bán</t>
        </is>
      </c>
      <c r="F1739" s="4" t="inlineStr">
        <is>
          <t>Báo cáo</t>
        </is>
      </c>
      <c r="G1739" s="22" t="inlineStr">
        <is>
          <t>Chỉ tiêu phái sinh</t>
        </is>
      </c>
      <c r="H1739" s="4" t="inlineStr">
        <is>
          <t>TB</t>
        </is>
      </c>
    </row>
    <row r="1740" ht="17" customHeight="1" s="380">
      <c r="B1740" s="4" t="inlineStr">
        <is>
          <t>HSX02</t>
        </is>
      </c>
      <c r="C1740" s="334" t="n"/>
      <c r="D1740" s="335" t="inlineStr">
        <is>
          <t>Khối lượng mua/bán ròng</t>
        </is>
      </c>
      <c r="F1740" s="4" t="inlineStr">
        <is>
          <t>Báo cáo</t>
        </is>
      </c>
      <c r="G1740" s="22" t="inlineStr">
        <is>
          <t>Chỉ tiêu phái sinh</t>
        </is>
      </c>
      <c r="H1740" s="4" t="inlineStr">
        <is>
          <t>TB</t>
        </is>
      </c>
    </row>
    <row r="1741" ht="17" customHeight="1" s="380">
      <c r="B1741" s="4" t="inlineStr">
        <is>
          <t>HSX02</t>
        </is>
      </c>
      <c r="C1741" s="334" t="n"/>
      <c r="D1741" s="335" t="inlineStr">
        <is>
          <t>Giá trị giao dịch trái phiếu</t>
        </is>
      </c>
      <c r="F1741" s="4" t="inlineStr">
        <is>
          <t>Báo cáo</t>
        </is>
      </c>
      <c r="G1741" s="22" t="inlineStr">
        <is>
          <t>Chỉ tiêu phái sinh</t>
        </is>
      </c>
      <c r="H1741" s="4" t="inlineStr">
        <is>
          <t>TB</t>
        </is>
      </c>
    </row>
    <row r="1742" ht="17" customHeight="1" s="380">
      <c r="B1742" s="4" t="inlineStr">
        <is>
          <t>HSX02</t>
        </is>
      </c>
      <c r="C1742" s="334" t="n"/>
      <c r="D1742" s="335" t="inlineStr">
        <is>
          <t>Giá trị giao dịch mua</t>
        </is>
      </c>
      <c r="F1742" s="4" t="inlineStr">
        <is>
          <t>Báo cáo</t>
        </is>
      </c>
      <c r="G1742" s="22" t="inlineStr">
        <is>
          <t>Chỉ tiêu phái sinh</t>
        </is>
      </c>
      <c r="H1742" s="4" t="inlineStr">
        <is>
          <t>TB</t>
        </is>
      </c>
    </row>
    <row r="1743" ht="17" customHeight="1" s="380">
      <c r="B1743" s="4" t="inlineStr">
        <is>
          <t>HSX02</t>
        </is>
      </c>
      <c r="C1743" s="334" t="n"/>
      <c r="D1743" s="335" t="inlineStr">
        <is>
          <t>Giá trị giao dịch bán</t>
        </is>
      </c>
      <c r="F1743" s="4" t="inlineStr">
        <is>
          <t>Báo cáo</t>
        </is>
      </c>
      <c r="G1743" s="22" t="inlineStr">
        <is>
          <t>Chỉ tiêu phái sinh</t>
        </is>
      </c>
      <c r="H1743" s="4" t="inlineStr">
        <is>
          <t>TB</t>
        </is>
      </c>
    </row>
    <row r="1744" ht="17" customHeight="1" s="380">
      <c r="B1744" s="4" t="inlineStr">
        <is>
          <t>HSX02</t>
        </is>
      </c>
      <c r="C1744" s="334" t="n"/>
      <c r="D1744" s="335" t="inlineStr">
        <is>
          <t>Giá trị mua/bán ròng</t>
        </is>
      </c>
      <c r="F1744" s="4" t="inlineStr">
        <is>
          <t>Báo cáo</t>
        </is>
      </c>
      <c r="G1744" s="22" t="inlineStr">
        <is>
          <t>Chỉ tiêu phái sinh</t>
        </is>
      </c>
      <c r="H1744" s="4" t="inlineStr">
        <is>
          <t>TB</t>
        </is>
      </c>
    </row>
    <row r="1745" ht="17" customHeight="1" s="380">
      <c r="B1745" s="4" t="inlineStr">
        <is>
          <t>HSX02</t>
        </is>
      </c>
      <c r="C1745" s="330" t="n"/>
      <c r="D1745" s="331" t="inlineStr">
        <is>
          <t>GDNĐTNN CW</t>
        </is>
      </c>
      <c r="F1745" s="4" t="inlineStr">
        <is>
          <t>Báo cáo</t>
        </is>
      </c>
      <c r="G1745" s="22" t="inlineStr">
        <is>
          <t>Chỉ tiêu phái sinh</t>
        </is>
      </c>
      <c r="H1745" s="4" t="inlineStr">
        <is>
          <t>TB</t>
        </is>
      </c>
    </row>
    <row r="1746" ht="17" customHeight="1" s="380">
      <c r="B1746" s="4" t="inlineStr">
        <is>
          <t>HSX02</t>
        </is>
      </c>
      <c r="C1746" s="334" t="n"/>
      <c r="D1746" s="335" t="inlineStr">
        <is>
          <t>Khối lượng giao dịch CW</t>
        </is>
      </c>
      <c r="F1746" s="4" t="inlineStr">
        <is>
          <t>Báo cáo</t>
        </is>
      </c>
      <c r="G1746" s="22" t="inlineStr">
        <is>
          <t>Chỉ tiêu phái sinh</t>
        </is>
      </c>
      <c r="H1746" s="4" t="inlineStr">
        <is>
          <t>TB</t>
        </is>
      </c>
    </row>
    <row r="1747" ht="17" customHeight="1" s="380">
      <c r="B1747" s="4" t="inlineStr">
        <is>
          <t>HSX02</t>
        </is>
      </c>
      <c r="C1747" s="334" t="n"/>
      <c r="D1747" s="335" t="inlineStr">
        <is>
          <t>Khối lượng giao dịch mua</t>
        </is>
      </c>
      <c r="F1747" s="4" t="inlineStr">
        <is>
          <t>Báo cáo</t>
        </is>
      </c>
      <c r="G1747" s="22" t="inlineStr">
        <is>
          <t>Chỉ tiêu phái sinh</t>
        </is>
      </c>
      <c r="H1747" s="4" t="inlineStr">
        <is>
          <t>TB</t>
        </is>
      </c>
    </row>
    <row r="1748" ht="17" customHeight="1" s="380">
      <c r="B1748" s="4" t="inlineStr">
        <is>
          <t>HSX02</t>
        </is>
      </c>
      <c r="C1748" s="334" t="n"/>
      <c r="D1748" s="335" t="inlineStr">
        <is>
          <t>Khối lượng giao dịch bán</t>
        </is>
      </c>
      <c r="F1748" s="4" t="inlineStr">
        <is>
          <t>Báo cáo</t>
        </is>
      </c>
      <c r="G1748" s="22" t="inlineStr">
        <is>
          <t>Chỉ tiêu phái sinh</t>
        </is>
      </c>
      <c r="H1748" s="4" t="inlineStr">
        <is>
          <t>TB</t>
        </is>
      </c>
    </row>
    <row r="1749" ht="17" customHeight="1" s="380">
      <c r="B1749" s="4" t="inlineStr">
        <is>
          <t>HSX02</t>
        </is>
      </c>
      <c r="C1749" s="334" t="n"/>
      <c r="D1749" s="335" t="inlineStr">
        <is>
          <t>Khối lượng mua/bán ròng</t>
        </is>
      </c>
      <c r="F1749" s="4" t="inlineStr">
        <is>
          <t>Báo cáo</t>
        </is>
      </c>
      <c r="G1749" s="22" t="inlineStr">
        <is>
          <t>Chỉ tiêu phái sinh</t>
        </is>
      </c>
      <c r="H1749" s="4" t="inlineStr">
        <is>
          <t>TB</t>
        </is>
      </c>
    </row>
    <row r="1750" ht="17" customHeight="1" s="380">
      <c r="B1750" s="4" t="inlineStr">
        <is>
          <t>HSX02</t>
        </is>
      </c>
      <c r="C1750" s="334" t="n"/>
      <c r="D1750" s="335" t="inlineStr">
        <is>
          <t>Giá trị giao dịch CW</t>
        </is>
      </c>
      <c r="F1750" s="4" t="inlineStr">
        <is>
          <t>Báo cáo</t>
        </is>
      </c>
      <c r="G1750" s="22" t="inlineStr">
        <is>
          <t>Chỉ tiêu phái sinh</t>
        </is>
      </c>
      <c r="H1750" s="4" t="inlineStr">
        <is>
          <t>TB</t>
        </is>
      </c>
    </row>
    <row r="1751" ht="17" customHeight="1" s="380">
      <c r="B1751" s="4" t="inlineStr">
        <is>
          <t>HSX02</t>
        </is>
      </c>
      <c r="C1751" s="334" t="n"/>
      <c r="D1751" s="335" t="inlineStr">
        <is>
          <t>Giá trị giao dịch mua</t>
        </is>
      </c>
      <c r="F1751" s="4" t="inlineStr">
        <is>
          <t>Báo cáo</t>
        </is>
      </c>
      <c r="G1751" s="22" t="inlineStr">
        <is>
          <t>Chỉ tiêu phái sinh</t>
        </is>
      </c>
      <c r="H1751" s="4" t="inlineStr">
        <is>
          <t>TB</t>
        </is>
      </c>
    </row>
    <row r="1752" ht="17" customHeight="1" s="380">
      <c r="B1752" s="4" t="inlineStr">
        <is>
          <t>HSX02</t>
        </is>
      </c>
      <c r="C1752" s="334" t="n"/>
      <c r="D1752" s="335" t="inlineStr">
        <is>
          <t>Giá trị giao dịch bán</t>
        </is>
      </c>
      <c r="F1752" s="4" t="inlineStr">
        <is>
          <t>Báo cáo</t>
        </is>
      </c>
      <c r="G1752" s="22" t="inlineStr">
        <is>
          <t>Chỉ tiêu phái sinh</t>
        </is>
      </c>
      <c r="H1752" s="4" t="inlineStr">
        <is>
          <t>TB</t>
        </is>
      </c>
    </row>
    <row r="1753" ht="17" customHeight="1" s="380">
      <c r="B1753" s="4" t="inlineStr">
        <is>
          <t>HSX02</t>
        </is>
      </c>
      <c r="C1753" s="334" t="n"/>
      <c r="D1753" s="335" t="inlineStr">
        <is>
          <t>Giá trị mua/bán ròng</t>
        </is>
      </c>
      <c r="F1753" s="4" t="inlineStr">
        <is>
          <t>Báo cáo</t>
        </is>
      </c>
      <c r="G1753" s="22" t="inlineStr">
        <is>
          <t>Chỉ tiêu phái sinh</t>
        </is>
      </c>
      <c r="H1753" s="4" t="inlineStr">
        <is>
          <t>TB</t>
        </is>
      </c>
    </row>
    <row r="1754" ht="28" customHeight="1" s="380">
      <c r="B1754" s="4" t="inlineStr">
        <is>
          <t>HSX02</t>
        </is>
      </c>
      <c r="C1754" s="211" t="n"/>
      <c r="D1754" s="212" t="inlineStr">
        <is>
          <t>Số phát sinh lũy kế cuối kỳ BC của năm trước</t>
        </is>
      </c>
      <c r="E1754" s="4" t="inlineStr">
        <is>
          <t>Số lũy kế cuối kỳ BC của năm trước</t>
        </is>
      </c>
      <c r="F1754" s="4" t="inlineStr">
        <is>
          <t>Báo cáo</t>
        </is>
      </c>
      <c r="G1754" s="4" t="inlineStr">
        <is>
          <t>Chiều</t>
        </is>
      </c>
    </row>
    <row r="1755" ht="16" customHeight="1" s="380">
      <c r="B1755" s="4" t="inlineStr">
        <is>
          <t>HSX02</t>
        </is>
      </c>
      <c r="C1755" s="326" t="n"/>
      <c r="D1755" s="327" t="inlineStr">
        <is>
          <t>Chỉ số VN-Index</t>
        </is>
      </c>
      <c r="F1755" s="4" t="inlineStr">
        <is>
          <t>Báo cáo</t>
        </is>
      </c>
      <c r="G1755" s="4" t="inlineStr">
        <is>
          <t>Chỉ tiêu cơ sở</t>
        </is>
      </c>
      <c r="H1755" s="4" t="inlineStr">
        <is>
          <t>Dễ</t>
        </is>
      </c>
    </row>
    <row r="1756" ht="16" customHeight="1" s="380">
      <c r="B1756" s="4" t="inlineStr">
        <is>
          <t>HSX02</t>
        </is>
      </c>
      <c r="C1756" s="326" t="n"/>
      <c r="D1756" s="327" t="inlineStr">
        <is>
          <t>Giá trị chứng khoán giao dịch</t>
        </is>
      </c>
      <c r="F1756" s="4" t="inlineStr">
        <is>
          <t>Báo cáo</t>
        </is>
      </c>
      <c r="G1756" s="22" t="inlineStr">
        <is>
          <t>Chỉ tiêu phái sinh</t>
        </is>
      </c>
      <c r="H1756" s="4" t="inlineStr">
        <is>
          <t>TB</t>
        </is>
      </c>
    </row>
    <row r="1757" ht="16" customHeight="1" s="380">
      <c r="B1757" s="4" t="inlineStr">
        <is>
          <t>HSX02</t>
        </is>
      </c>
      <c r="C1757" s="328" t="n"/>
      <c r="D1757" s="329" t="inlineStr">
        <is>
          <t>Cổ phiếu niêm yết</t>
        </is>
      </c>
      <c r="F1757" s="4" t="inlineStr">
        <is>
          <t>Báo cáo</t>
        </is>
      </c>
      <c r="G1757" s="22" t="inlineStr">
        <is>
          <t>Chỉ tiêu phái sinh</t>
        </is>
      </c>
      <c r="H1757" s="4" t="inlineStr">
        <is>
          <t>TB</t>
        </is>
      </c>
    </row>
    <row r="1758" ht="16" customHeight="1" s="380">
      <c r="B1758" s="4" t="inlineStr">
        <is>
          <t>HSX02</t>
        </is>
      </c>
      <c r="C1758" s="328" t="n"/>
      <c r="D1758" s="329" t="inlineStr">
        <is>
          <t>Trái phiếu chính quyền địa phương</t>
        </is>
      </c>
      <c r="F1758" s="4" t="inlineStr">
        <is>
          <t>Báo cáo</t>
        </is>
      </c>
      <c r="G1758" s="22" t="inlineStr">
        <is>
          <t>Chỉ tiêu phái sinh</t>
        </is>
      </c>
      <c r="H1758" s="4" t="inlineStr">
        <is>
          <t>TB</t>
        </is>
      </c>
    </row>
    <row r="1759" ht="16" customHeight="1" s="380">
      <c r="B1759" s="4" t="inlineStr">
        <is>
          <t>HSX02</t>
        </is>
      </c>
      <c r="C1759" s="328" t="n"/>
      <c r="D1759" s="329" t="inlineStr">
        <is>
          <t>Trái phiếu doanh nghiệp</t>
        </is>
      </c>
      <c r="F1759" s="4" t="inlineStr">
        <is>
          <t>Báo cáo</t>
        </is>
      </c>
      <c r="G1759" s="22" t="inlineStr">
        <is>
          <t>Chỉ tiêu phái sinh</t>
        </is>
      </c>
      <c r="H1759" s="4" t="inlineStr">
        <is>
          <t>TB</t>
        </is>
      </c>
    </row>
    <row r="1760" ht="16" customHeight="1" s="380">
      <c r="B1760" s="4" t="inlineStr">
        <is>
          <t>HSX02</t>
        </is>
      </c>
      <c r="C1760" s="328" t="n"/>
      <c r="D1760" s="329" t="inlineStr">
        <is>
          <t>Chứng chỉ quỹ</t>
        </is>
      </c>
      <c r="F1760" s="4" t="inlineStr">
        <is>
          <t>Báo cáo</t>
        </is>
      </c>
      <c r="G1760" s="22" t="inlineStr">
        <is>
          <t>Chỉ tiêu phái sinh</t>
        </is>
      </c>
      <c r="H1760" s="4" t="inlineStr">
        <is>
          <t>TB</t>
        </is>
      </c>
    </row>
    <row r="1761" ht="16" customHeight="1" s="380">
      <c r="B1761" s="4" t="inlineStr">
        <is>
          <t>HSX02</t>
        </is>
      </c>
      <c r="C1761" s="328" t="n"/>
      <c r="D1761" s="329" t="inlineStr">
        <is>
          <t>ETF</t>
        </is>
      </c>
      <c r="F1761" s="4" t="inlineStr">
        <is>
          <t>Báo cáo</t>
        </is>
      </c>
      <c r="G1761" s="22" t="inlineStr">
        <is>
          <t>Chỉ tiêu phái sinh</t>
        </is>
      </c>
      <c r="H1761" s="4" t="inlineStr">
        <is>
          <t>TB</t>
        </is>
      </c>
    </row>
    <row r="1762" ht="16" customHeight="1" s="380">
      <c r="B1762" s="4" t="inlineStr">
        <is>
          <t>HSX02</t>
        </is>
      </c>
      <c r="C1762" s="328" t="n"/>
      <c r="D1762" s="329" t="inlineStr">
        <is>
          <t>Chứng quyền có bảo đảm (CW)</t>
        </is>
      </c>
      <c r="F1762" s="4" t="inlineStr">
        <is>
          <t>Báo cáo</t>
        </is>
      </c>
      <c r="G1762" s="22" t="inlineStr">
        <is>
          <t>Chỉ tiêu phái sinh</t>
        </is>
      </c>
      <c r="H1762" s="4" t="inlineStr">
        <is>
          <t>TB</t>
        </is>
      </c>
    </row>
    <row r="1763" ht="16" customHeight="1" s="380">
      <c r="B1763" s="4" t="inlineStr">
        <is>
          <t>HSX02</t>
        </is>
      </c>
      <c r="C1763" s="326" t="n"/>
      <c r="D1763" s="327" t="inlineStr">
        <is>
          <t>Khối lượng chứng khoán giao dịch</t>
        </is>
      </c>
      <c r="F1763" s="4" t="inlineStr">
        <is>
          <t>Báo cáo</t>
        </is>
      </c>
      <c r="G1763" s="22" t="inlineStr">
        <is>
          <t>Chỉ tiêu phái sinh</t>
        </is>
      </c>
      <c r="H1763" s="4" t="inlineStr">
        <is>
          <t>TB</t>
        </is>
      </c>
    </row>
    <row r="1764" ht="16" customHeight="1" s="380">
      <c r="B1764" s="4" t="inlineStr">
        <is>
          <t>HSX02</t>
        </is>
      </c>
      <c r="C1764" s="328" t="n"/>
      <c r="D1764" s="329" t="inlineStr">
        <is>
          <t>Cổ phiếu niêm yết</t>
        </is>
      </c>
      <c r="F1764" s="4" t="inlineStr">
        <is>
          <t>Báo cáo</t>
        </is>
      </c>
      <c r="G1764" s="22" t="inlineStr">
        <is>
          <t>Chỉ tiêu phái sinh</t>
        </is>
      </c>
      <c r="H1764" s="4" t="inlineStr">
        <is>
          <t>TB</t>
        </is>
      </c>
    </row>
    <row r="1765" ht="16" customHeight="1" s="380">
      <c r="B1765" s="4" t="inlineStr">
        <is>
          <t>HSX02</t>
        </is>
      </c>
      <c r="C1765" s="328" t="n"/>
      <c r="D1765" s="329" t="inlineStr">
        <is>
          <t>Trái phiếu chính quyền địa phương</t>
        </is>
      </c>
      <c r="F1765" s="4" t="inlineStr">
        <is>
          <t>Báo cáo</t>
        </is>
      </c>
      <c r="G1765" s="22" t="inlineStr">
        <is>
          <t>Chỉ tiêu phái sinh</t>
        </is>
      </c>
      <c r="H1765" s="4" t="inlineStr">
        <is>
          <t>TB</t>
        </is>
      </c>
    </row>
    <row r="1766" ht="16" customHeight="1" s="380">
      <c r="B1766" s="4" t="inlineStr">
        <is>
          <t>HSX02</t>
        </is>
      </c>
      <c r="C1766" s="328" t="n"/>
      <c r="D1766" s="329" t="inlineStr">
        <is>
          <t>Trái phiếu doanh nghiệp</t>
        </is>
      </c>
      <c r="F1766" s="4" t="inlineStr">
        <is>
          <t>Báo cáo</t>
        </is>
      </c>
      <c r="G1766" s="22" t="inlineStr">
        <is>
          <t>Chỉ tiêu phái sinh</t>
        </is>
      </c>
      <c r="H1766" s="4" t="inlineStr">
        <is>
          <t>TB</t>
        </is>
      </c>
    </row>
    <row r="1767" ht="16" customHeight="1" s="380">
      <c r="B1767" s="4" t="inlineStr">
        <is>
          <t>HSX02</t>
        </is>
      </c>
      <c r="C1767" s="328" t="n"/>
      <c r="D1767" s="329" t="inlineStr">
        <is>
          <t>Chứng chỉ quỹ</t>
        </is>
      </c>
      <c r="F1767" s="4" t="inlineStr">
        <is>
          <t>Báo cáo</t>
        </is>
      </c>
      <c r="G1767" s="22" t="inlineStr">
        <is>
          <t>Chỉ tiêu phái sinh</t>
        </is>
      </c>
      <c r="H1767" s="4" t="inlineStr">
        <is>
          <t>TB</t>
        </is>
      </c>
    </row>
    <row r="1768" ht="16" customHeight="1" s="380">
      <c r="B1768" s="4" t="inlineStr">
        <is>
          <t>HSX02</t>
        </is>
      </c>
      <c r="C1768" s="328" t="n"/>
      <c r="D1768" s="329" t="inlineStr">
        <is>
          <t>ETF</t>
        </is>
      </c>
      <c r="F1768" s="4" t="inlineStr">
        <is>
          <t>Báo cáo</t>
        </is>
      </c>
      <c r="G1768" s="22" t="inlineStr">
        <is>
          <t>Chỉ tiêu phái sinh</t>
        </is>
      </c>
      <c r="H1768" s="4" t="inlineStr">
        <is>
          <t>TB</t>
        </is>
      </c>
    </row>
    <row r="1769" ht="16" customHeight="1" s="380">
      <c r="B1769" s="4" t="inlineStr">
        <is>
          <t>HSX02</t>
        </is>
      </c>
      <c r="C1769" s="328" t="n"/>
      <c r="D1769" s="329" t="inlineStr">
        <is>
          <t>CW</t>
        </is>
      </c>
      <c r="F1769" s="4" t="inlineStr">
        <is>
          <t>Báo cáo</t>
        </is>
      </c>
      <c r="G1769" s="22" t="inlineStr">
        <is>
          <t>Chỉ tiêu phái sinh</t>
        </is>
      </c>
      <c r="H1769" s="4" t="inlineStr">
        <is>
          <t>TB</t>
        </is>
      </c>
    </row>
    <row r="1770" ht="16" customHeight="1" s="380">
      <c r="B1770" s="4" t="inlineStr">
        <is>
          <t>HSX02</t>
        </is>
      </c>
      <c r="C1770" s="326" t="n"/>
      <c r="D1770" s="327" t="inlineStr">
        <is>
          <t>Khối lượng chứng khoán niêm yết</t>
        </is>
      </c>
      <c r="F1770" s="4" t="inlineStr">
        <is>
          <t>Báo cáo</t>
        </is>
      </c>
      <c r="G1770" s="22" t="inlineStr">
        <is>
          <t>Chỉ tiêu phái sinh</t>
        </is>
      </c>
      <c r="H1770" s="4" t="inlineStr">
        <is>
          <t>TB</t>
        </is>
      </c>
    </row>
    <row r="1771" ht="16" customHeight="1" s="380">
      <c r="B1771" s="4" t="inlineStr">
        <is>
          <t>HSX02</t>
        </is>
      </c>
      <c r="C1771" s="328" t="n"/>
      <c r="D1771" s="329" t="inlineStr">
        <is>
          <t>Cổ phiếu niêm yết</t>
        </is>
      </c>
      <c r="F1771" s="4" t="inlineStr">
        <is>
          <t>Báo cáo</t>
        </is>
      </c>
      <c r="G1771" s="22" t="inlineStr">
        <is>
          <t>Chỉ tiêu phái sinh</t>
        </is>
      </c>
      <c r="H1771" s="4" t="inlineStr">
        <is>
          <t>TB</t>
        </is>
      </c>
    </row>
    <row r="1772" ht="16" customHeight="1" s="380">
      <c r="B1772" s="4" t="inlineStr">
        <is>
          <t>HSX02</t>
        </is>
      </c>
      <c r="C1772" s="328" t="n"/>
      <c r="D1772" s="329" t="inlineStr">
        <is>
          <t>Trái phiếu chính quyền địa phương</t>
        </is>
      </c>
      <c r="F1772" s="4" t="inlineStr">
        <is>
          <t>Báo cáo</t>
        </is>
      </c>
      <c r="G1772" s="22" t="inlineStr">
        <is>
          <t>Chỉ tiêu phái sinh</t>
        </is>
      </c>
      <c r="H1772" s="4" t="inlineStr">
        <is>
          <t>TB</t>
        </is>
      </c>
    </row>
    <row r="1773" ht="16" customHeight="1" s="380">
      <c r="B1773" s="4" t="inlineStr">
        <is>
          <t>HSX02</t>
        </is>
      </c>
      <c r="C1773" s="328" t="n"/>
      <c r="D1773" s="329" t="inlineStr">
        <is>
          <t>Trái phiếu doanh nghiệp</t>
        </is>
      </c>
      <c r="F1773" s="4" t="inlineStr">
        <is>
          <t>Báo cáo</t>
        </is>
      </c>
      <c r="G1773" s="22" t="inlineStr">
        <is>
          <t>Chỉ tiêu phái sinh</t>
        </is>
      </c>
      <c r="H1773" s="4" t="inlineStr">
        <is>
          <t>TB</t>
        </is>
      </c>
    </row>
    <row r="1774" ht="16" customHeight="1" s="380">
      <c r="B1774" s="4" t="inlineStr">
        <is>
          <t>HSX02</t>
        </is>
      </c>
      <c r="C1774" s="328" t="n"/>
      <c r="D1774" s="329" t="inlineStr">
        <is>
          <t>Chứng chỉ quỹ</t>
        </is>
      </c>
      <c r="F1774" s="4" t="inlineStr">
        <is>
          <t>Báo cáo</t>
        </is>
      </c>
      <c r="G1774" s="22" t="inlineStr">
        <is>
          <t>Chỉ tiêu phái sinh</t>
        </is>
      </c>
      <c r="H1774" s="4" t="inlineStr">
        <is>
          <t>TB</t>
        </is>
      </c>
    </row>
    <row r="1775" ht="16" customHeight="1" s="380">
      <c r="B1775" s="4" t="inlineStr">
        <is>
          <t>HSX02</t>
        </is>
      </c>
      <c r="C1775" s="328" t="n"/>
      <c r="D1775" s="329" t="inlineStr">
        <is>
          <t>ETF</t>
        </is>
      </c>
      <c r="F1775" s="4" t="inlineStr">
        <is>
          <t>Báo cáo</t>
        </is>
      </c>
      <c r="G1775" s="22" t="inlineStr">
        <is>
          <t>Chỉ tiêu phái sinh</t>
        </is>
      </c>
      <c r="H1775" s="4" t="inlineStr">
        <is>
          <t>TB</t>
        </is>
      </c>
    </row>
    <row r="1776" ht="16" customHeight="1" s="380">
      <c r="B1776" s="4" t="inlineStr">
        <is>
          <t>HSX02</t>
        </is>
      </c>
      <c r="C1776" s="328" t="n"/>
      <c r="D1776" s="329" t="inlineStr">
        <is>
          <t>CW</t>
        </is>
      </c>
      <c r="F1776" s="4" t="inlineStr">
        <is>
          <t>Báo cáo</t>
        </is>
      </c>
      <c r="G1776" s="22" t="inlineStr">
        <is>
          <t>Chỉ tiêu phái sinh</t>
        </is>
      </c>
      <c r="H1776" s="4" t="inlineStr">
        <is>
          <t>TB</t>
        </is>
      </c>
    </row>
    <row r="1777" ht="16" customHeight="1" s="380">
      <c r="B1777" s="4" t="inlineStr">
        <is>
          <t>HSX02</t>
        </is>
      </c>
      <c r="C1777" s="326" t="n"/>
      <c r="D1777" s="327" t="inlineStr">
        <is>
          <t>Giá trị chứng khoán niêm yết</t>
        </is>
      </c>
      <c r="F1777" s="4" t="inlineStr">
        <is>
          <t>Báo cáo</t>
        </is>
      </c>
      <c r="G1777" s="22" t="inlineStr">
        <is>
          <t>Chỉ tiêu phái sinh</t>
        </is>
      </c>
      <c r="H1777" s="4" t="inlineStr">
        <is>
          <t>TB</t>
        </is>
      </c>
    </row>
    <row r="1778" ht="16" customHeight="1" s="380">
      <c r="B1778" s="4" t="inlineStr">
        <is>
          <t>HSX02</t>
        </is>
      </c>
      <c r="C1778" s="328" t="n"/>
      <c r="D1778" s="329" t="inlineStr">
        <is>
          <t>Cổ phiếu niêm yết</t>
        </is>
      </c>
      <c r="F1778" s="4" t="inlineStr">
        <is>
          <t>Báo cáo</t>
        </is>
      </c>
      <c r="G1778" s="22" t="inlineStr">
        <is>
          <t>Chỉ tiêu phái sinh</t>
        </is>
      </c>
      <c r="H1778" s="4" t="inlineStr">
        <is>
          <t>TB</t>
        </is>
      </c>
    </row>
    <row r="1779" ht="16" customHeight="1" s="380">
      <c r="B1779" s="4" t="inlineStr">
        <is>
          <t>HSX02</t>
        </is>
      </c>
      <c r="C1779" s="328" t="n"/>
      <c r="D1779" s="329" t="inlineStr">
        <is>
          <t>Trái phiếu chính quyền địa phương</t>
        </is>
      </c>
      <c r="F1779" s="4" t="inlineStr">
        <is>
          <t>Báo cáo</t>
        </is>
      </c>
      <c r="G1779" s="22" t="inlineStr">
        <is>
          <t>Chỉ tiêu phái sinh</t>
        </is>
      </c>
      <c r="H1779" s="4" t="inlineStr">
        <is>
          <t>TB</t>
        </is>
      </c>
    </row>
    <row r="1780" ht="16" customHeight="1" s="380">
      <c r="B1780" s="4" t="inlineStr">
        <is>
          <t>HSX02</t>
        </is>
      </c>
      <c r="C1780" s="328" t="n"/>
      <c r="D1780" s="329" t="inlineStr">
        <is>
          <t>Trái phiếu doanh nghiệp</t>
        </is>
      </c>
      <c r="F1780" s="4" t="inlineStr">
        <is>
          <t>Báo cáo</t>
        </is>
      </c>
      <c r="G1780" s="22" t="inlineStr">
        <is>
          <t>Chỉ tiêu phái sinh</t>
        </is>
      </c>
      <c r="H1780" s="4" t="inlineStr">
        <is>
          <t>TB</t>
        </is>
      </c>
    </row>
    <row r="1781" ht="16" customHeight="1" s="380">
      <c r="B1781" s="4" t="inlineStr">
        <is>
          <t>HSX02</t>
        </is>
      </c>
      <c r="C1781" s="328" t="n"/>
      <c r="D1781" s="329" t="inlineStr">
        <is>
          <t>Chứng chỉ quỹ</t>
        </is>
      </c>
      <c r="F1781" s="4" t="inlineStr">
        <is>
          <t>Báo cáo</t>
        </is>
      </c>
      <c r="G1781" s="22" t="inlineStr">
        <is>
          <t>Chỉ tiêu phái sinh</t>
        </is>
      </c>
      <c r="H1781" s="4" t="inlineStr">
        <is>
          <t>TB</t>
        </is>
      </c>
    </row>
    <row r="1782" ht="16" customHeight="1" s="380">
      <c r="B1782" s="4" t="inlineStr">
        <is>
          <t>HSX02</t>
        </is>
      </c>
      <c r="C1782" s="328" t="n"/>
      <c r="D1782" s="329" t="inlineStr">
        <is>
          <t>ETF</t>
        </is>
      </c>
      <c r="F1782" s="4" t="inlineStr">
        <is>
          <t>Báo cáo</t>
        </is>
      </c>
      <c r="G1782" s="22" t="inlineStr">
        <is>
          <t>Chỉ tiêu phái sinh</t>
        </is>
      </c>
      <c r="H1782" s="4" t="inlineStr">
        <is>
          <t>TB</t>
        </is>
      </c>
    </row>
    <row r="1783" ht="16" customHeight="1" s="380">
      <c r="B1783" s="4" t="inlineStr">
        <is>
          <t>HSX02</t>
        </is>
      </c>
      <c r="C1783" s="328" t="n"/>
      <c r="D1783" s="329" t="inlineStr">
        <is>
          <t>CW</t>
        </is>
      </c>
      <c r="F1783" s="4" t="inlineStr">
        <is>
          <t>Báo cáo</t>
        </is>
      </c>
      <c r="G1783" s="22" t="inlineStr">
        <is>
          <t>Chỉ tiêu phái sinh</t>
        </is>
      </c>
      <c r="H1783" s="4" t="inlineStr">
        <is>
          <t>TB</t>
        </is>
      </c>
    </row>
    <row r="1784" ht="17" customHeight="1" s="380">
      <c r="B1784" s="4" t="inlineStr">
        <is>
          <t>HSX02</t>
        </is>
      </c>
      <c r="C1784" s="330" t="n"/>
      <c r="D1784" s="331" t="inlineStr">
        <is>
          <t>Vốn hóa thị trường cổ phiếu</t>
        </is>
      </c>
      <c r="F1784" s="4" t="inlineStr">
        <is>
          <t>Báo cáo</t>
        </is>
      </c>
      <c r="G1784" s="22" t="inlineStr">
        <is>
          <t>Chỉ tiêu phái sinh</t>
        </is>
      </c>
      <c r="H1784" s="4" t="inlineStr">
        <is>
          <t>TB</t>
        </is>
      </c>
    </row>
    <row r="1785" ht="34" customHeight="1" s="380">
      <c r="B1785" s="4" t="inlineStr">
        <is>
          <t>HSX02</t>
        </is>
      </c>
      <c r="C1785" s="330" t="n"/>
      <c r="D1785" s="331" t="inlineStr">
        <is>
          <t>Khối lượng chứng khoán niêm yết mới</t>
        </is>
      </c>
      <c r="F1785" s="4" t="inlineStr">
        <is>
          <t>Báo cáo</t>
        </is>
      </c>
      <c r="G1785" s="22" t="inlineStr">
        <is>
          <t>Chỉ tiêu phái sinh</t>
        </is>
      </c>
      <c r="H1785" s="4" t="inlineStr">
        <is>
          <t>TB</t>
        </is>
      </c>
    </row>
    <row r="1786" ht="16" customHeight="1" s="380">
      <c r="B1786" s="4" t="inlineStr">
        <is>
          <t>HSX02</t>
        </is>
      </c>
      <c r="C1786" s="328" t="n"/>
      <c r="D1786" s="329" t="inlineStr">
        <is>
          <t>Cổ phiếu niêm yết</t>
        </is>
      </c>
      <c r="F1786" s="4" t="inlineStr">
        <is>
          <t>Báo cáo</t>
        </is>
      </c>
      <c r="G1786" s="22" t="inlineStr">
        <is>
          <t>Chỉ tiêu phái sinh</t>
        </is>
      </c>
      <c r="H1786" s="4" t="inlineStr">
        <is>
          <t>TB</t>
        </is>
      </c>
    </row>
    <row r="1787" ht="16" customHeight="1" s="380">
      <c r="B1787" s="4" t="inlineStr">
        <is>
          <t>HSX02</t>
        </is>
      </c>
      <c r="C1787" s="328" t="n"/>
      <c r="D1787" s="329" t="inlineStr">
        <is>
          <t>Trái phiếu chính quyền địa phương</t>
        </is>
      </c>
      <c r="F1787" s="4" t="inlineStr">
        <is>
          <t>Báo cáo</t>
        </is>
      </c>
      <c r="G1787" s="22" t="inlineStr">
        <is>
          <t>Chỉ tiêu phái sinh</t>
        </is>
      </c>
      <c r="H1787" s="4" t="inlineStr">
        <is>
          <t>TB</t>
        </is>
      </c>
    </row>
    <row r="1788" ht="16" customHeight="1" s="380">
      <c r="B1788" s="4" t="inlineStr">
        <is>
          <t>HSX02</t>
        </is>
      </c>
      <c r="C1788" s="328" t="n"/>
      <c r="D1788" s="329" t="inlineStr">
        <is>
          <t>Trái phiếu doanh nghiệp</t>
        </is>
      </c>
      <c r="F1788" s="4" t="inlineStr">
        <is>
          <t>Báo cáo</t>
        </is>
      </c>
      <c r="G1788" s="22" t="inlineStr">
        <is>
          <t>Chỉ tiêu phái sinh</t>
        </is>
      </c>
      <c r="H1788" s="4" t="inlineStr">
        <is>
          <t>TB</t>
        </is>
      </c>
    </row>
    <row r="1789" ht="16" customHeight="1" s="380">
      <c r="B1789" s="4" t="inlineStr">
        <is>
          <t>HSX02</t>
        </is>
      </c>
      <c r="C1789" s="328" t="n"/>
      <c r="D1789" s="329" t="inlineStr">
        <is>
          <t>Chứng chỉ quỹ</t>
        </is>
      </c>
      <c r="F1789" s="4" t="inlineStr">
        <is>
          <t>Báo cáo</t>
        </is>
      </c>
      <c r="G1789" s="22" t="inlineStr">
        <is>
          <t>Chỉ tiêu phái sinh</t>
        </is>
      </c>
      <c r="H1789" s="4" t="inlineStr">
        <is>
          <t>TB</t>
        </is>
      </c>
    </row>
    <row r="1790" ht="16" customHeight="1" s="380">
      <c r="B1790" s="4" t="inlineStr">
        <is>
          <t>HSX02</t>
        </is>
      </c>
      <c r="C1790" s="328" t="n"/>
      <c r="D1790" s="329" t="inlineStr">
        <is>
          <t>ETF</t>
        </is>
      </c>
      <c r="F1790" s="4" t="inlineStr">
        <is>
          <t>Báo cáo</t>
        </is>
      </c>
      <c r="G1790" s="22" t="inlineStr">
        <is>
          <t>Chỉ tiêu phái sinh</t>
        </is>
      </c>
      <c r="H1790" s="4" t="inlineStr">
        <is>
          <t>TB</t>
        </is>
      </c>
    </row>
    <row r="1791" ht="16" customHeight="1" s="380">
      <c r="B1791" s="4" t="inlineStr">
        <is>
          <t>HSX02</t>
        </is>
      </c>
      <c r="C1791" s="328" t="n"/>
      <c r="D1791" s="329" t="inlineStr">
        <is>
          <t>CW</t>
        </is>
      </c>
      <c r="F1791" s="4" t="inlineStr">
        <is>
          <t>Báo cáo</t>
        </is>
      </c>
      <c r="G1791" s="22" t="inlineStr">
        <is>
          <t>Chỉ tiêu phái sinh</t>
        </is>
      </c>
      <c r="H1791" s="4" t="inlineStr">
        <is>
          <t>TB</t>
        </is>
      </c>
    </row>
    <row r="1792" ht="17" customHeight="1" s="380">
      <c r="B1792" s="4" t="inlineStr">
        <is>
          <t>HSX02</t>
        </is>
      </c>
      <c r="C1792" s="330" t="n"/>
      <c r="D1792" s="331" t="inlineStr">
        <is>
          <t>Giá trị chứng khoán niêm yết mới</t>
        </is>
      </c>
      <c r="F1792" s="4" t="inlineStr">
        <is>
          <t>Báo cáo</t>
        </is>
      </c>
      <c r="G1792" s="22" t="inlineStr">
        <is>
          <t>Chỉ tiêu phái sinh</t>
        </is>
      </c>
      <c r="H1792" s="4" t="inlineStr">
        <is>
          <t>TB</t>
        </is>
      </c>
    </row>
    <row r="1793" ht="16" customHeight="1" s="380">
      <c r="B1793" s="4" t="inlineStr">
        <is>
          <t>HSX02</t>
        </is>
      </c>
      <c r="C1793" s="328" t="n"/>
      <c r="D1793" s="329" t="inlineStr">
        <is>
          <t>Cổ phiếu niêm yết</t>
        </is>
      </c>
      <c r="F1793" s="4" t="inlineStr">
        <is>
          <t>Báo cáo</t>
        </is>
      </c>
      <c r="G1793" s="22" t="inlineStr">
        <is>
          <t>Chỉ tiêu phái sinh</t>
        </is>
      </c>
      <c r="H1793" s="4" t="inlineStr">
        <is>
          <t>TB</t>
        </is>
      </c>
    </row>
    <row r="1794" ht="16" customHeight="1" s="380">
      <c r="B1794" s="4" t="inlineStr">
        <is>
          <t>HSX02</t>
        </is>
      </c>
      <c r="C1794" s="328" t="n"/>
      <c r="D1794" s="329" t="inlineStr">
        <is>
          <t>Trái phiếu chính quyền địa phương</t>
        </is>
      </c>
      <c r="F1794" s="4" t="inlineStr">
        <is>
          <t>Báo cáo</t>
        </is>
      </c>
      <c r="G1794" s="22" t="inlineStr">
        <is>
          <t>Chỉ tiêu phái sinh</t>
        </is>
      </c>
      <c r="H1794" s="4" t="inlineStr">
        <is>
          <t>TB</t>
        </is>
      </c>
    </row>
    <row r="1795" ht="16" customHeight="1" s="380">
      <c r="B1795" s="4" t="inlineStr">
        <is>
          <t>HSX02</t>
        </is>
      </c>
      <c r="C1795" s="328" t="n"/>
      <c r="D1795" s="329" t="inlineStr">
        <is>
          <t>Trái phiếu doanh nghiệp</t>
        </is>
      </c>
      <c r="F1795" s="4" t="inlineStr">
        <is>
          <t>Báo cáo</t>
        </is>
      </c>
      <c r="G1795" s="22" t="inlineStr">
        <is>
          <t>Chỉ tiêu phái sinh</t>
        </is>
      </c>
      <c r="H1795" s="4" t="inlineStr">
        <is>
          <t>TB</t>
        </is>
      </c>
    </row>
    <row r="1796" ht="16" customHeight="1" s="380">
      <c r="B1796" s="4" t="inlineStr">
        <is>
          <t>HSX02</t>
        </is>
      </c>
      <c r="C1796" s="328" t="n"/>
      <c r="D1796" s="329" t="inlineStr">
        <is>
          <t>Chứng chỉ quỹ</t>
        </is>
      </c>
      <c r="F1796" s="4" t="inlineStr">
        <is>
          <t>Báo cáo</t>
        </is>
      </c>
      <c r="G1796" s="22" t="inlineStr">
        <is>
          <t>Chỉ tiêu phái sinh</t>
        </is>
      </c>
      <c r="H1796" s="4" t="inlineStr">
        <is>
          <t>TB</t>
        </is>
      </c>
    </row>
    <row r="1797" ht="16" customHeight="1" s="380">
      <c r="B1797" s="4" t="inlineStr">
        <is>
          <t>HSX02</t>
        </is>
      </c>
      <c r="C1797" s="328" t="n"/>
      <c r="D1797" s="329" t="inlineStr">
        <is>
          <t>ETF</t>
        </is>
      </c>
      <c r="F1797" s="4" t="inlineStr">
        <is>
          <t>Báo cáo</t>
        </is>
      </c>
      <c r="G1797" s="22" t="inlineStr">
        <is>
          <t>Chỉ tiêu phái sinh</t>
        </is>
      </c>
      <c r="H1797" s="4" t="inlineStr">
        <is>
          <t>TB</t>
        </is>
      </c>
    </row>
    <row r="1798" ht="16" customHeight="1" s="380">
      <c r="B1798" s="4" t="inlineStr">
        <is>
          <t>HSX02</t>
        </is>
      </c>
      <c r="C1798" s="328" t="n"/>
      <c r="D1798" s="329" t="inlineStr">
        <is>
          <t>CW</t>
        </is>
      </c>
      <c r="F1798" s="4" t="inlineStr">
        <is>
          <t>Báo cáo</t>
        </is>
      </c>
      <c r="G1798" s="22" t="inlineStr">
        <is>
          <t>Chỉ tiêu phái sinh</t>
        </is>
      </c>
      <c r="H1798" s="4" t="inlineStr">
        <is>
          <t>TB</t>
        </is>
      </c>
    </row>
    <row r="1799" ht="34" customHeight="1" s="380">
      <c r="B1799" s="4" t="inlineStr">
        <is>
          <t>HSX02</t>
        </is>
      </c>
      <c r="C1799" s="330" t="n"/>
      <c r="D1799" s="331" t="inlineStr">
        <is>
          <t>Khối lượng chứng khoán niêm yết bổ sung</t>
        </is>
      </c>
      <c r="F1799" s="4" t="inlineStr">
        <is>
          <t>Báo cáo</t>
        </is>
      </c>
      <c r="G1799" s="22" t="inlineStr">
        <is>
          <t>Chỉ tiêu phái sinh</t>
        </is>
      </c>
      <c r="H1799" s="4" t="inlineStr">
        <is>
          <t>TB</t>
        </is>
      </c>
    </row>
    <row r="1800" ht="16" customHeight="1" s="380">
      <c r="B1800" s="4" t="inlineStr">
        <is>
          <t>HSX02</t>
        </is>
      </c>
      <c r="C1800" s="328" t="n"/>
      <c r="D1800" s="329" t="inlineStr">
        <is>
          <t>Cổ phiếu niêm yết</t>
        </is>
      </c>
      <c r="F1800" s="4" t="inlineStr">
        <is>
          <t>Báo cáo</t>
        </is>
      </c>
      <c r="G1800" s="22" t="inlineStr">
        <is>
          <t>Chỉ tiêu phái sinh</t>
        </is>
      </c>
      <c r="H1800" s="4" t="inlineStr">
        <is>
          <t>TB</t>
        </is>
      </c>
    </row>
    <row r="1801" ht="16" customHeight="1" s="380">
      <c r="B1801" s="4" t="inlineStr">
        <is>
          <t>HSX02</t>
        </is>
      </c>
      <c r="C1801" s="328" t="n"/>
      <c r="D1801" s="329" t="inlineStr">
        <is>
          <t>Trái phiếu chính quyền địa phương</t>
        </is>
      </c>
      <c r="F1801" s="4" t="inlineStr">
        <is>
          <t>Báo cáo</t>
        </is>
      </c>
      <c r="G1801" s="22" t="inlineStr">
        <is>
          <t>Chỉ tiêu phái sinh</t>
        </is>
      </c>
      <c r="H1801" s="4" t="inlineStr">
        <is>
          <t>TB</t>
        </is>
      </c>
    </row>
    <row r="1802" ht="16" customHeight="1" s="380">
      <c r="B1802" s="4" t="inlineStr">
        <is>
          <t>HSX02</t>
        </is>
      </c>
      <c r="C1802" s="328" t="n"/>
      <c r="D1802" s="329" t="inlineStr">
        <is>
          <t>Trái phiếu doanh nghiệp</t>
        </is>
      </c>
      <c r="F1802" s="4" t="inlineStr">
        <is>
          <t>Báo cáo</t>
        </is>
      </c>
      <c r="G1802" s="22" t="inlineStr">
        <is>
          <t>Chỉ tiêu phái sinh</t>
        </is>
      </c>
      <c r="H1802" s="4" t="inlineStr">
        <is>
          <t>TB</t>
        </is>
      </c>
    </row>
    <row r="1803" ht="16" customHeight="1" s="380">
      <c r="B1803" s="4" t="inlineStr">
        <is>
          <t>HSX02</t>
        </is>
      </c>
      <c r="C1803" s="328" t="n"/>
      <c r="D1803" s="329" t="inlineStr">
        <is>
          <t>Chứng chỉ quỹ</t>
        </is>
      </c>
      <c r="F1803" s="4" t="inlineStr">
        <is>
          <t>Báo cáo</t>
        </is>
      </c>
      <c r="G1803" s="22" t="inlineStr">
        <is>
          <t>Chỉ tiêu phái sinh</t>
        </is>
      </c>
      <c r="H1803" s="4" t="inlineStr">
        <is>
          <t>TB</t>
        </is>
      </c>
    </row>
    <row r="1804" ht="16" customHeight="1" s="380">
      <c r="B1804" s="4" t="inlineStr">
        <is>
          <t>HSX02</t>
        </is>
      </c>
      <c r="C1804" s="328" t="n"/>
      <c r="D1804" s="329" t="inlineStr">
        <is>
          <t>ETF</t>
        </is>
      </c>
      <c r="F1804" s="4" t="inlineStr">
        <is>
          <t>Báo cáo</t>
        </is>
      </c>
      <c r="G1804" s="22" t="inlineStr">
        <is>
          <t>Chỉ tiêu phái sinh</t>
        </is>
      </c>
      <c r="H1804" s="4" t="inlineStr">
        <is>
          <t>TB</t>
        </is>
      </c>
    </row>
    <row r="1805" ht="16" customHeight="1" s="380">
      <c r="B1805" s="4" t="inlineStr">
        <is>
          <t>HSX02</t>
        </is>
      </c>
      <c r="C1805" s="328" t="n"/>
      <c r="D1805" s="329" t="inlineStr">
        <is>
          <t>CW</t>
        </is>
      </c>
      <c r="F1805" s="4" t="inlineStr">
        <is>
          <t>Báo cáo</t>
        </is>
      </c>
      <c r="G1805" s="22" t="inlineStr">
        <is>
          <t>Chỉ tiêu phái sinh</t>
        </is>
      </c>
      <c r="H1805" s="4" t="inlineStr">
        <is>
          <t>TB</t>
        </is>
      </c>
    </row>
    <row r="1806" ht="17" customHeight="1" s="380">
      <c r="B1806" s="4" t="inlineStr">
        <is>
          <t>HSX02</t>
        </is>
      </c>
      <c r="C1806" s="330" t="n"/>
      <c r="D1806" s="331" t="inlineStr">
        <is>
          <t>Giá trị chứng khoán niêm yết bổ sung</t>
        </is>
      </c>
      <c r="F1806" s="4" t="inlineStr">
        <is>
          <t>Báo cáo</t>
        </is>
      </c>
      <c r="G1806" s="22" t="inlineStr">
        <is>
          <t>Chỉ tiêu phái sinh</t>
        </is>
      </c>
      <c r="H1806" s="4" t="inlineStr">
        <is>
          <t>TB</t>
        </is>
      </c>
    </row>
    <row r="1807" ht="16" customHeight="1" s="380">
      <c r="B1807" s="4" t="inlineStr">
        <is>
          <t>HSX02</t>
        </is>
      </c>
      <c r="C1807" s="328" t="n"/>
      <c r="D1807" s="329" t="inlineStr">
        <is>
          <t>Cổ phiếu niêm yết</t>
        </is>
      </c>
      <c r="F1807" s="4" t="inlineStr">
        <is>
          <t>Báo cáo</t>
        </is>
      </c>
      <c r="G1807" s="22" t="inlineStr">
        <is>
          <t>Chỉ tiêu phái sinh</t>
        </is>
      </c>
      <c r="H1807" s="4" t="inlineStr">
        <is>
          <t>TB</t>
        </is>
      </c>
    </row>
    <row r="1808" ht="16" customHeight="1" s="380">
      <c r="B1808" s="4" t="inlineStr">
        <is>
          <t>HSX02</t>
        </is>
      </c>
      <c r="C1808" s="328" t="n"/>
      <c r="D1808" s="329" t="inlineStr">
        <is>
          <t>Trái phiếu chính quyền địa phương</t>
        </is>
      </c>
      <c r="F1808" s="4" t="inlineStr">
        <is>
          <t>Báo cáo</t>
        </is>
      </c>
      <c r="G1808" s="22" t="inlineStr">
        <is>
          <t>Chỉ tiêu phái sinh</t>
        </is>
      </c>
      <c r="H1808" s="4" t="inlineStr">
        <is>
          <t>TB</t>
        </is>
      </c>
    </row>
    <row r="1809" ht="16" customHeight="1" s="380">
      <c r="B1809" s="4" t="inlineStr">
        <is>
          <t>HSX02</t>
        </is>
      </c>
      <c r="C1809" s="328" t="n"/>
      <c r="D1809" s="329" t="inlineStr">
        <is>
          <t>Trái phiếu doanh nghiệp</t>
        </is>
      </c>
      <c r="F1809" s="4" t="inlineStr">
        <is>
          <t>Báo cáo</t>
        </is>
      </c>
      <c r="G1809" s="22" t="inlineStr">
        <is>
          <t>Chỉ tiêu phái sinh</t>
        </is>
      </c>
      <c r="H1809" s="4" t="inlineStr">
        <is>
          <t>TB</t>
        </is>
      </c>
    </row>
    <row r="1810" ht="16" customHeight="1" s="380">
      <c r="B1810" s="4" t="inlineStr">
        <is>
          <t>HSX02</t>
        </is>
      </c>
      <c r="C1810" s="328" t="n"/>
      <c r="D1810" s="329" t="inlineStr">
        <is>
          <t>Chứng chỉ quỹ</t>
        </is>
      </c>
      <c r="F1810" s="4" t="inlineStr">
        <is>
          <t>Báo cáo</t>
        </is>
      </c>
      <c r="G1810" s="22" t="inlineStr">
        <is>
          <t>Chỉ tiêu phái sinh</t>
        </is>
      </c>
      <c r="H1810" s="4" t="inlineStr">
        <is>
          <t>TB</t>
        </is>
      </c>
    </row>
    <row r="1811" ht="16" customHeight="1" s="380">
      <c r="B1811" s="4" t="inlineStr">
        <is>
          <t>HSX02</t>
        </is>
      </c>
      <c r="C1811" s="328" t="n"/>
      <c r="D1811" s="329" t="inlineStr">
        <is>
          <t>ETF</t>
        </is>
      </c>
      <c r="F1811" s="4" t="inlineStr">
        <is>
          <t>Báo cáo</t>
        </is>
      </c>
      <c r="G1811" s="22" t="inlineStr">
        <is>
          <t>Chỉ tiêu phái sinh</t>
        </is>
      </c>
      <c r="H1811" s="4" t="inlineStr">
        <is>
          <t>TB</t>
        </is>
      </c>
    </row>
    <row r="1812" ht="16" customHeight="1" s="380">
      <c r="B1812" s="4" t="inlineStr">
        <is>
          <t>HSX02</t>
        </is>
      </c>
      <c r="C1812" s="328" t="n"/>
      <c r="D1812" s="329" t="inlineStr">
        <is>
          <t>CW</t>
        </is>
      </c>
      <c r="F1812" s="4" t="inlineStr">
        <is>
          <t>Báo cáo</t>
        </is>
      </c>
      <c r="G1812" s="22" t="inlineStr">
        <is>
          <t>Chỉ tiêu phái sinh</t>
        </is>
      </c>
      <c r="H1812" s="4" t="inlineStr">
        <is>
          <t>TB</t>
        </is>
      </c>
    </row>
    <row r="1813" ht="34" customHeight="1" s="380">
      <c r="B1813" s="4" t="inlineStr">
        <is>
          <t>HSX02</t>
        </is>
      </c>
      <c r="C1813" s="330" t="n"/>
      <c r="D1813" s="331" t="inlineStr">
        <is>
          <t>Khối lượng chứng khoán hủy niêm yết, đáo hạn</t>
        </is>
      </c>
      <c r="F1813" s="4" t="inlineStr">
        <is>
          <t>Báo cáo</t>
        </is>
      </c>
      <c r="G1813" s="22" t="inlineStr">
        <is>
          <t>Chỉ tiêu phái sinh</t>
        </is>
      </c>
      <c r="H1813" s="4" t="inlineStr">
        <is>
          <t>TB</t>
        </is>
      </c>
    </row>
    <row r="1814" ht="16" customHeight="1" s="380">
      <c r="B1814" s="4" t="inlineStr">
        <is>
          <t>HSX02</t>
        </is>
      </c>
      <c r="C1814" s="328" t="n"/>
      <c r="D1814" s="329" t="inlineStr">
        <is>
          <t>Cổ phiếu niêm yết</t>
        </is>
      </c>
      <c r="F1814" s="4" t="inlineStr">
        <is>
          <t>Báo cáo</t>
        </is>
      </c>
      <c r="G1814" s="22" t="inlineStr">
        <is>
          <t>Chỉ tiêu phái sinh</t>
        </is>
      </c>
      <c r="H1814" s="4" t="inlineStr">
        <is>
          <t>TB</t>
        </is>
      </c>
    </row>
    <row r="1815" ht="16" customHeight="1" s="380">
      <c r="B1815" s="4" t="inlineStr">
        <is>
          <t>HSX02</t>
        </is>
      </c>
      <c r="C1815" s="328" t="n"/>
      <c r="D1815" s="329" t="inlineStr">
        <is>
          <t>Trái phiếu chính quyền địa phương</t>
        </is>
      </c>
      <c r="F1815" s="4" t="inlineStr">
        <is>
          <t>Báo cáo</t>
        </is>
      </c>
      <c r="G1815" s="22" t="inlineStr">
        <is>
          <t>Chỉ tiêu phái sinh</t>
        </is>
      </c>
      <c r="H1815" s="4" t="inlineStr">
        <is>
          <t>TB</t>
        </is>
      </c>
    </row>
    <row r="1816" ht="16" customHeight="1" s="380">
      <c r="B1816" s="4" t="inlineStr">
        <is>
          <t>HSX02</t>
        </is>
      </c>
      <c r="C1816" s="328" t="n"/>
      <c r="D1816" s="329" t="inlineStr">
        <is>
          <t>Trái phiếu doanh nghiệp</t>
        </is>
      </c>
      <c r="F1816" s="4" t="inlineStr">
        <is>
          <t>Báo cáo</t>
        </is>
      </c>
      <c r="G1816" s="22" t="inlineStr">
        <is>
          <t>Chỉ tiêu phái sinh</t>
        </is>
      </c>
      <c r="H1816" s="4" t="inlineStr">
        <is>
          <t>TB</t>
        </is>
      </c>
    </row>
    <row r="1817" ht="16" customHeight="1" s="380">
      <c r="B1817" s="4" t="inlineStr">
        <is>
          <t>HSX02</t>
        </is>
      </c>
      <c r="C1817" s="328" t="n"/>
      <c r="D1817" s="329" t="inlineStr">
        <is>
          <t>Chứng chỉ quỹ</t>
        </is>
      </c>
      <c r="F1817" s="4" t="inlineStr">
        <is>
          <t>Báo cáo</t>
        </is>
      </c>
      <c r="G1817" s="22" t="inlineStr">
        <is>
          <t>Chỉ tiêu phái sinh</t>
        </is>
      </c>
      <c r="H1817" s="4" t="inlineStr">
        <is>
          <t>TB</t>
        </is>
      </c>
    </row>
    <row r="1818" ht="16" customHeight="1" s="380">
      <c r="B1818" s="4" t="inlineStr">
        <is>
          <t>HSX02</t>
        </is>
      </c>
      <c r="C1818" s="328" t="n"/>
      <c r="D1818" s="329" t="inlineStr">
        <is>
          <t>ETF</t>
        </is>
      </c>
      <c r="F1818" s="4" t="inlineStr">
        <is>
          <t>Báo cáo</t>
        </is>
      </c>
      <c r="G1818" s="22" t="inlineStr">
        <is>
          <t>Chỉ tiêu phái sinh</t>
        </is>
      </c>
      <c r="H1818" s="4" t="inlineStr">
        <is>
          <t>TB</t>
        </is>
      </c>
    </row>
    <row r="1819" ht="16" customHeight="1" s="380">
      <c r="B1819" s="4" t="inlineStr">
        <is>
          <t>HSX02</t>
        </is>
      </c>
      <c r="C1819" s="328" t="n"/>
      <c r="D1819" s="329" t="inlineStr">
        <is>
          <t>CW</t>
        </is>
      </c>
      <c r="F1819" s="4" t="inlineStr">
        <is>
          <t>Báo cáo</t>
        </is>
      </c>
      <c r="G1819" s="22" t="inlineStr">
        <is>
          <t>Chỉ tiêu phái sinh</t>
        </is>
      </c>
      <c r="H1819" s="4" t="inlineStr">
        <is>
          <t>TB</t>
        </is>
      </c>
    </row>
    <row r="1820" ht="34" customHeight="1" s="380">
      <c r="B1820" s="4" t="inlineStr">
        <is>
          <t>HSX02</t>
        </is>
      </c>
      <c r="C1820" s="330" t="n"/>
      <c r="D1820" s="331" t="inlineStr">
        <is>
          <t>Giá trị chứng khoán hủy niêm yết, đáo hạn</t>
        </is>
      </c>
      <c r="F1820" s="4" t="inlineStr">
        <is>
          <t>Báo cáo</t>
        </is>
      </c>
      <c r="G1820" s="22" t="inlineStr">
        <is>
          <t>Chỉ tiêu phái sinh</t>
        </is>
      </c>
      <c r="H1820" s="4" t="inlineStr">
        <is>
          <t>TB</t>
        </is>
      </c>
    </row>
    <row r="1821" ht="16" customHeight="1" s="380">
      <c r="B1821" s="4" t="inlineStr">
        <is>
          <t>HSX02</t>
        </is>
      </c>
      <c r="C1821" s="328" t="n"/>
      <c r="D1821" s="329" t="inlineStr">
        <is>
          <t>Cổ phiếu niêm yết</t>
        </is>
      </c>
      <c r="F1821" s="4" t="inlineStr">
        <is>
          <t>Báo cáo</t>
        </is>
      </c>
      <c r="G1821" s="22" t="inlineStr">
        <is>
          <t>Chỉ tiêu phái sinh</t>
        </is>
      </c>
      <c r="H1821" s="4" t="inlineStr">
        <is>
          <t>TB</t>
        </is>
      </c>
    </row>
    <row r="1822" ht="16" customHeight="1" s="380">
      <c r="B1822" s="4" t="inlineStr">
        <is>
          <t>HSX02</t>
        </is>
      </c>
      <c r="C1822" s="328" t="n"/>
      <c r="D1822" s="329" t="inlineStr">
        <is>
          <t>Trái phiếu chính quyền địa phương</t>
        </is>
      </c>
      <c r="F1822" s="4" t="inlineStr">
        <is>
          <t>Báo cáo</t>
        </is>
      </c>
      <c r="G1822" s="22" t="inlineStr">
        <is>
          <t>Chỉ tiêu phái sinh</t>
        </is>
      </c>
      <c r="H1822" s="4" t="inlineStr">
        <is>
          <t>TB</t>
        </is>
      </c>
    </row>
    <row r="1823" ht="16" customHeight="1" s="380">
      <c r="B1823" s="4" t="inlineStr">
        <is>
          <t>HSX02</t>
        </is>
      </c>
      <c r="C1823" s="328" t="n"/>
      <c r="D1823" s="329" t="inlineStr">
        <is>
          <t>Trái phiếu doanh nghiệp</t>
        </is>
      </c>
      <c r="F1823" s="4" t="inlineStr">
        <is>
          <t>Báo cáo</t>
        </is>
      </c>
      <c r="G1823" s="22" t="inlineStr">
        <is>
          <t>Chỉ tiêu phái sinh</t>
        </is>
      </c>
      <c r="H1823" s="4" t="inlineStr">
        <is>
          <t>TB</t>
        </is>
      </c>
    </row>
    <row r="1824" ht="16" customHeight="1" s="380">
      <c r="B1824" s="4" t="inlineStr">
        <is>
          <t>HSX02</t>
        </is>
      </c>
      <c r="C1824" s="328" t="n"/>
      <c r="D1824" s="329" t="inlineStr">
        <is>
          <t>Chứng chỉ quỹ</t>
        </is>
      </c>
      <c r="F1824" s="4" t="inlineStr">
        <is>
          <t>Báo cáo</t>
        </is>
      </c>
      <c r="G1824" s="22" t="inlineStr">
        <is>
          <t>Chỉ tiêu phái sinh</t>
        </is>
      </c>
      <c r="H1824" s="4" t="inlineStr">
        <is>
          <t>TB</t>
        </is>
      </c>
    </row>
    <row r="1825" ht="16" customHeight="1" s="380">
      <c r="B1825" s="4" t="inlineStr">
        <is>
          <t>HSX02</t>
        </is>
      </c>
      <c r="C1825" s="328" t="n"/>
      <c r="D1825" s="329" t="inlineStr">
        <is>
          <t>ETF</t>
        </is>
      </c>
      <c r="F1825" s="4" t="inlineStr">
        <is>
          <t>Báo cáo</t>
        </is>
      </c>
      <c r="G1825" s="22" t="inlineStr">
        <is>
          <t>Chỉ tiêu phái sinh</t>
        </is>
      </c>
      <c r="H1825" s="4" t="inlineStr">
        <is>
          <t>TB</t>
        </is>
      </c>
    </row>
    <row r="1826" ht="16" customHeight="1" s="380">
      <c r="B1826" s="4" t="inlineStr">
        <is>
          <t>HSX02</t>
        </is>
      </c>
      <c r="C1826" s="328" t="n"/>
      <c r="D1826" s="329" t="inlineStr">
        <is>
          <t>CW</t>
        </is>
      </c>
      <c r="F1826" s="4" t="inlineStr">
        <is>
          <t>Báo cáo</t>
        </is>
      </c>
      <c r="G1826" s="22" t="inlineStr">
        <is>
          <t>Chỉ tiêu phái sinh</t>
        </is>
      </c>
      <c r="H1826" s="4" t="inlineStr">
        <is>
          <t>TB</t>
        </is>
      </c>
    </row>
    <row r="1827" ht="34" customHeight="1" s="380">
      <c r="B1827" s="4" t="inlineStr">
        <is>
          <t>HSX02</t>
        </is>
      </c>
      <c r="C1827" s="330" t="n"/>
      <c r="D1827" s="331" t="inlineStr">
        <is>
          <t>Số mã chứng khoán niêm yết tại thời điểm cuối tháng</t>
        </is>
      </c>
      <c r="F1827" s="4" t="inlineStr">
        <is>
          <t>Báo cáo</t>
        </is>
      </c>
      <c r="G1827" s="22" t="inlineStr">
        <is>
          <t>Chỉ tiêu phái sinh</t>
        </is>
      </c>
      <c r="H1827" s="4" t="inlineStr">
        <is>
          <t>TB</t>
        </is>
      </c>
    </row>
    <row r="1828" ht="16" customHeight="1" s="380">
      <c r="B1828" s="4" t="inlineStr">
        <is>
          <t>HSX02</t>
        </is>
      </c>
      <c r="C1828" s="328" t="n"/>
      <c r="D1828" s="329" t="inlineStr">
        <is>
          <t>Cổ phiếu niêm yết</t>
        </is>
      </c>
      <c r="F1828" s="4" t="inlineStr">
        <is>
          <t>Báo cáo</t>
        </is>
      </c>
      <c r="G1828" s="22" t="inlineStr">
        <is>
          <t>Chỉ tiêu phái sinh</t>
        </is>
      </c>
      <c r="H1828" s="4" t="inlineStr">
        <is>
          <t>TB</t>
        </is>
      </c>
    </row>
    <row r="1829" ht="16" customHeight="1" s="380">
      <c r="B1829" s="4" t="inlineStr">
        <is>
          <t>HSX02</t>
        </is>
      </c>
      <c r="C1829" s="328" t="n"/>
      <c r="D1829" s="329" t="inlineStr">
        <is>
          <t>Trái phiếu chính quyền địa phương</t>
        </is>
      </c>
      <c r="F1829" s="4" t="inlineStr">
        <is>
          <t>Báo cáo</t>
        </is>
      </c>
      <c r="G1829" s="22" t="inlineStr">
        <is>
          <t>Chỉ tiêu phái sinh</t>
        </is>
      </c>
      <c r="H1829" s="4" t="inlineStr">
        <is>
          <t>TB</t>
        </is>
      </c>
    </row>
    <row r="1830" ht="16" customHeight="1" s="380">
      <c r="B1830" s="4" t="inlineStr">
        <is>
          <t>HSX02</t>
        </is>
      </c>
      <c r="C1830" s="328" t="n"/>
      <c r="D1830" s="329" t="inlineStr">
        <is>
          <t>Trái phiếu doanh nghiệp</t>
        </is>
      </c>
      <c r="F1830" s="4" t="inlineStr">
        <is>
          <t>Báo cáo</t>
        </is>
      </c>
      <c r="G1830" s="22" t="inlineStr">
        <is>
          <t>Chỉ tiêu phái sinh</t>
        </is>
      </c>
      <c r="H1830" s="4" t="inlineStr">
        <is>
          <t>TB</t>
        </is>
      </c>
    </row>
    <row r="1831" ht="16" customHeight="1" s="380">
      <c r="B1831" s="4" t="inlineStr">
        <is>
          <t>HSX02</t>
        </is>
      </c>
      <c r="C1831" s="328" t="n"/>
      <c r="D1831" s="329" t="inlineStr">
        <is>
          <t>Chứng chỉ quỹ</t>
        </is>
      </c>
      <c r="F1831" s="4" t="inlineStr">
        <is>
          <t>Báo cáo</t>
        </is>
      </c>
      <c r="G1831" s="22" t="inlineStr">
        <is>
          <t>Chỉ tiêu phái sinh</t>
        </is>
      </c>
      <c r="H1831" s="4" t="inlineStr">
        <is>
          <t>TB</t>
        </is>
      </c>
    </row>
    <row r="1832" ht="16" customHeight="1" s="380">
      <c r="B1832" s="4" t="inlineStr">
        <is>
          <t>HSX02</t>
        </is>
      </c>
      <c r="C1832" s="328" t="n"/>
      <c r="D1832" s="329" t="inlineStr">
        <is>
          <t>ETF</t>
        </is>
      </c>
      <c r="F1832" s="4" t="inlineStr">
        <is>
          <t>Báo cáo</t>
        </is>
      </c>
      <c r="G1832" s="22" t="inlineStr">
        <is>
          <t>Chỉ tiêu phái sinh</t>
        </is>
      </c>
      <c r="H1832" s="4" t="inlineStr">
        <is>
          <t>TB</t>
        </is>
      </c>
    </row>
    <row r="1833" ht="16" customHeight="1" s="380">
      <c r="B1833" s="4" t="inlineStr">
        <is>
          <t>HSX02</t>
        </is>
      </c>
      <c r="C1833" s="328" t="n"/>
      <c r="D1833" s="329" t="inlineStr">
        <is>
          <t>CW</t>
        </is>
      </c>
      <c r="F1833" s="4" t="inlineStr">
        <is>
          <t>Báo cáo</t>
        </is>
      </c>
      <c r="G1833" s="22" t="inlineStr">
        <is>
          <t>Chỉ tiêu phái sinh</t>
        </is>
      </c>
      <c r="H1833" s="4" t="inlineStr">
        <is>
          <t>TB</t>
        </is>
      </c>
    </row>
    <row r="1834" ht="16" customHeight="1" s="380">
      <c r="B1834" s="4" t="inlineStr">
        <is>
          <t>HSX02</t>
        </is>
      </c>
      <c r="C1834" s="326" t="n"/>
      <c r="D1834" s="327" t="inlineStr">
        <is>
          <t>Số mã chứng khoán niêm yết mới trong tháng</t>
        </is>
      </c>
      <c r="F1834" s="4" t="inlineStr">
        <is>
          <t>Báo cáo</t>
        </is>
      </c>
      <c r="G1834" s="22" t="inlineStr">
        <is>
          <t>Chỉ tiêu phái sinh</t>
        </is>
      </c>
      <c r="H1834" s="4" t="inlineStr">
        <is>
          <t>TB</t>
        </is>
      </c>
    </row>
    <row r="1835" ht="16" customHeight="1" s="380">
      <c r="B1835" s="4" t="inlineStr">
        <is>
          <t>HSX02</t>
        </is>
      </c>
      <c r="C1835" s="328" t="n"/>
      <c r="D1835" s="329" t="inlineStr">
        <is>
          <t>Cổ phiếu niêm yết</t>
        </is>
      </c>
      <c r="F1835" s="4" t="inlineStr">
        <is>
          <t>Báo cáo</t>
        </is>
      </c>
      <c r="G1835" s="22" t="inlineStr">
        <is>
          <t>Chỉ tiêu phái sinh</t>
        </is>
      </c>
      <c r="H1835" s="4" t="inlineStr">
        <is>
          <t>TB</t>
        </is>
      </c>
    </row>
    <row r="1836" ht="16" customHeight="1" s="380">
      <c r="B1836" s="4" t="inlineStr">
        <is>
          <t>HSX02</t>
        </is>
      </c>
      <c r="C1836" s="328" t="n"/>
      <c r="D1836" s="329" t="inlineStr">
        <is>
          <t>Trái phiếu chính quyền địa phương</t>
        </is>
      </c>
      <c r="F1836" s="4" t="inlineStr">
        <is>
          <t>Báo cáo</t>
        </is>
      </c>
      <c r="G1836" s="22" t="inlineStr">
        <is>
          <t>Chỉ tiêu phái sinh</t>
        </is>
      </c>
      <c r="H1836" s="4" t="inlineStr">
        <is>
          <t>TB</t>
        </is>
      </c>
    </row>
    <row r="1837" ht="16" customHeight="1" s="380">
      <c r="B1837" s="4" t="inlineStr">
        <is>
          <t>HSX02</t>
        </is>
      </c>
      <c r="C1837" s="328" t="n"/>
      <c r="D1837" s="329" t="inlineStr">
        <is>
          <t>Trái phiếu doanh nghiệp</t>
        </is>
      </c>
      <c r="F1837" s="4" t="inlineStr">
        <is>
          <t>Báo cáo</t>
        </is>
      </c>
      <c r="G1837" s="22" t="inlineStr">
        <is>
          <t>Chỉ tiêu phái sinh</t>
        </is>
      </c>
      <c r="H1837" s="4" t="inlineStr">
        <is>
          <t>TB</t>
        </is>
      </c>
    </row>
    <row r="1838" ht="16" customHeight="1" s="380">
      <c r="B1838" s="4" t="inlineStr">
        <is>
          <t>HSX02</t>
        </is>
      </c>
      <c r="C1838" s="328" t="n"/>
      <c r="D1838" s="329" t="inlineStr">
        <is>
          <t>Chứng chỉ quỹ</t>
        </is>
      </c>
      <c r="F1838" s="4" t="inlineStr">
        <is>
          <t>Báo cáo</t>
        </is>
      </c>
      <c r="G1838" s="22" t="inlineStr">
        <is>
          <t>Chỉ tiêu phái sinh</t>
        </is>
      </c>
      <c r="H1838" s="4" t="inlineStr">
        <is>
          <t>TB</t>
        </is>
      </c>
    </row>
    <row r="1839" ht="16" customHeight="1" s="380">
      <c r="B1839" s="4" t="inlineStr">
        <is>
          <t>HSX02</t>
        </is>
      </c>
      <c r="C1839" s="328" t="n"/>
      <c r="D1839" s="329" t="inlineStr">
        <is>
          <t>ETF</t>
        </is>
      </c>
      <c r="F1839" s="4" t="inlineStr">
        <is>
          <t>Báo cáo</t>
        </is>
      </c>
      <c r="G1839" s="22" t="inlineStr">
        <is>
          <t>Chỉ tiêu phái sinh</t>
        </is>
      </c>
      <c r="H1839" s="4" t="inlineStr">
        <is>
          <t>TB</t>
        </is>
      </c>
    </row>
    <row r="1840" ht="16" customHeight="1" s="380">
      <c r="B1840" s="4" t="inlineStr">
        <is>
          <t>HSX02</t>
        </is>
      </c>
      <c r="C1840" s="328" t="n"/>
      <c r="D1840" s="329" t="inlineStr">
        <is>
          <t>CW</t>
        </is>
      </c>
      <c r="F1840" s="4" t="inlineStr">
        <is>
          <t>Báo cáo</t>
        </is>
      </c>
      <c r="G1840" s="22" t="inlineStr">
        <is>
          <t>Chỉ tiêu phái sinh</t>
        </is>
      </c>
      <c r="H1840" s="4" t="inlineStr">
        <is>
          <t>TB</t>
        </is>
      </c>
    </row>
    <row r="1841" ht="32" customHeight="1" s="380">
      <c r="B1841" s="4" t="inlineStr">
        <is>
          <t>HSX02</t>
        </is>
      </c>
      <c r="C1841" s="326" t="n"/>
      <c r="D1841" s="327" t="inlineStr">
        <is>
          <t>Số mã chứng khoán hủy niêm yết, đáo hạn trong tháng</t>
        </is>
      </c>
      <c r="F1841" s="4" t="inlineStr">
        <is>
          <t>Báo cáo</t>
        </is>
      </c>
      <c r="G1841" s="22" t="inlineStr">
        <is>
          <t>Chỉ tiêu phái sinh</t>
        </is>
      </c>
      <c r="H1841" s="4" t="inlineStr">
        <is>
          <t>TB</t>
        </is>
      </c>
    </row>
    <row r="1842" ht="16" customHeight="1" s="380">
      <c r="B1842" s="4" t="inlineStr">
        <is>
          <t>HSX02</t>
        </is>
      </c>
      <c r="C1842" s="328" t="n"/>
      <c r="D1842" s="329" t="inlineStr">
        <is>
          <t>Cổ phiếu niêm yết</t>
        </is>
      </c>
      <c r="F1842" s="4" t="inlineStr">
        <is>
          <t>Báo cáo</t>
        </is>
      </c>
      <c r="G1842" s="22" t="inlineStr">
        <is>
          <t>Chỉ tiêu phái sinh</t>
        </is>
      </c>
      <c r="H1842" s="4" t="inlineStr">
        <is>
          <t>TB</t>
        </is>
      </c>
    </row>
    <row r="1843" ht="16" customHeight="1" s="380">
      <c r="B1843" s="4" t="inlineStr">
        <is>
          <t>HSX02</t>
        </is>
      </c>
      <c r="C1843" s="328" t="n"/>
      <c r="D1843" s="329" t="inlineStr">
        <is>
          <t>Trái phiếu chính quyền địa phương</t>
        </is>
      </c>
      <c r="F1843" s="4" t="inlineStr">
        <is>
          <t>Báo cáo</t>
        </is>
      </c>
      <c r="G1843" s="22" t="inlineStr">
        <is>
          <t>Chỉ tiêu phái sinh</t>
        </is>
      </c>
      <c r="H1843" s="4" t="inlineStr">
        <is>
          <t>TB</t>
        </is>
      </c>
    </row>
    <row r="1844" ht="16" customHeight="1" s="380">
      <c r="B1844" s="4" t="inlineStr">
        <is>
          <t>HSX02</t>
        </is>
      </c>
      <c r="C1844" s="328" t="n"/>
      <c r="D1844" s="329" t="inlineStr">
        <is>
          <t>Trái phiếu doanh nghiệp</t>
        </is>
      </c>
      <c r="F1844" s="4" t="inlineStr">
        <is>
          <t>Báo cáo</t>
        </is>
      </c>
      <c r="G1844" s="22" t="inlineStr">
        <is>
          <t>Chỉ tiêu phái sinh</t>
        </is>
      </c>
      <c r="H1844" s="4" t="inlineStr">
        <is>
          <t>TB</t>
        </is>
      </c>
    </row>
    <row r="1845" ht="16" customHeight="1" s="380">
      <c r="B1845" s="4" t="inlineStr">
        <is>
          <t>HSX02</t>
        </is>
      </c>
      <c r="C1845" s="328" t="n"/>
      <c r="D1845" s="329" t="inlineStr">
        <is>
          <t>Chứng chỉ quỹ</t>
        </is>
      </c>
      <c r="F1845" s="4" t="inlineStr">
        <is>
          <t>Báo cáo</t>
        </is>
      </c>
      <c r="G1845" s="22" t="inlineStr">
        <is>
          <t>Chỉ tiêu phái sinh</t>
        </is>
      </c>
      <c r="H1845" s="4" t="inlineStr">
        <is>
          <t>TB</t>
        </is>
      </c>
    </row>
    <row r="1846" ht="16" customHeight="1" s="380">
      <c r="B1846" s="4" t="inlineStr">
        <is>
          <t>HSX02</t>
        </is>
      </c>
      <c r="C1846" s="328" t="n"/>
      <c r="D1846" s="329" t="inlineStr">
        <is>
          <t>ETF</t>
        </is>
      </c>
      <c r="F1846" s="4" t="inlineStr">
        <is>
          <t>Báo cáo</t>
        </is>
      </c>
      <c r="G1846" s="22" t="inlineStr">
        <is>
          <t>Chỉ tiêu phái sinh</t>
        </is>
      </c>
      <c r="H1846" s="4" t="inlineStr">
        <is>
          <t>TB</t>
        </is>
      </c>
    </row>
    <row r="1847" ht="16" customHeight="1" s="380">
      <c r="B1847" s="4" t="inlineStr">
        <is>
          <t>HSX02</t>
        </is>
      </c>
      <c r="C1847" s="328" t="n"/>
      <c r="D1847" s="329" t="inlineStr">
        <is>
          <t>CW</t>
        </is>
      </c>
      <c r="F1847" s="4" t="inlineStr">
        <is>
          <t>Báo cáo</t>
        </is>
      </c>
      <c r="G1847" s="22" t="inlineStr">
        <is>
          <t>Chỉ tiêu phái sinh</t>
        </is>
      </c>
      <c r="H1847" s="4" t="inlineStr">
        <is>
          <t>TB</t>
        </is>
      </c>
    </row>
    <row r="1848" ht="16" customHeight="1" s="380">
      <c r="B1848" s="4" t="inlineStr">
        <is>
          <t>HSX02</t>
        </is>
      </c>
      <c r="C1848" s="326" t="n"/>
      <c r="D1848" s="327" t="inlineStr">
        <is>
          <t>Số phiên thực hiện giao dịch</t>
        </is>
      </c>
      <c r="F1848" s="4" t="inlineStr">
        <is>
          <t>Báo cáo</t>
        </is>
      </c>
      <c r="G1848" s="22" t="inlineStr">
        <is>
          <t>Chỉ tiêu phái sinh</t>
        </is>
      </c>
      <c r="H1848" s="4" t="inlineStr">
        <is>
          <t>TB</t>
        </is>
      </c>
    </row>
    <row r="1849" ht="16" customHeight="1" s="380">
      <c r="B1849" s="4" t="inlineStr">
        <is>
          <t>HSX02</t>
        </is>
      </c>
      <c r="C1849" s="326" t="n"/>
      <c r="D1849" s="327" t="inlineStr">
        <is>
          <t>SGDCK TP.HCM</t>
        </is>
      </c>
      <c r="F1849" s="4" t="inlineStr">
        <is>
          <t>Báo cáo</t>
        </is>
      </c>
      <c r="G1849" s="22" t="inlineStr">
        <is>
          <t>Chỉ tiêu phái sinh</t>
        </is>
      </c>
      <c r="H1849" s="4" t="inlineStr">
        <is>
          <t>TB</t>
        </is>
      </c>
    </row>
    <row r="1850" ht="17" customHeight="1" s="380">
      <c r="B1850" s="4" t="inlineStr">
        <is>
          <t>HSX02</t>
        </is>
      </c>
      <c r="C1850" s="330" t="n"/>
      <c r="D1850" s="331" t="inlineStr">
        <is>
          <t>Giao dịch Nhà đầu tư nước ngoài</t>
        </is>
      </c>
      <c r="F1850" s="4" t="inlineStr">
        <is>
          <t>Báo cáo</t>
        </is>
      </c>
      <c r="G1850" s="22" t="inlineStr">
        <is>
          <t>Chỉ tiêu phái sinh</t>
        </is>
      </c>
      <c r="H1850" s="4" t="inlineStr">
        <is>
          <t>TB</t>
        </is>
      </c>
    </row>
    <row r="1851" ht="17" customHeight="1" s="380">
      <c r="B1851" s="4" t="inlineStr">
        <is>
          <t>HSX02</t>
        </is>
      </c>
      <c r="C1851" s="332" t="n"/>
      <c r="D1851" s="333" t="inlineStr">
        <is>
          <t>GDNĐTNN cổ phiếu niêm yết</t>
        </is>
      </c>
      <c r="F1851" s="4" t="inlineStr">
        <is>
          <t>Báo cáo</t>
        </is>
      </c>
      <c r="G1851" s="22" t="inlineStr">
        <is>
          <t>Chỉ tiêu phái sinh</t>
        </is>
      </c>
      <c r="H1851" s="4" t="inlineStr">
        <is>
          <t>TB</t>
        </is>
      </c>
    </row>
    <row r="1852" ht="17" customHeight="1" s="380">
      <c r="B1852" s="4" t="inlineStr">
        <is>
          <t>HSX02</t>
        </is>
      </c>
      <c r="C1852" s="334" t="n"/>
      <c r="D1852" s="335" t="inlineStr">
        <is>
          <t>Khối lượng giao dịch cổ phiếu niêm yết</t>
        </is>
      </c>
      <c r="F1852" s="4" t="inlineStr">
        <is>
          <t>Báo cáo</t>
        </is>
      </c>
      <c r="G1852" s="22" t="inlineStr">
        <is>
          <t>Chỉ tiêu phái sinh</t>
        </is>
      </c>
      <c r="H1852" s="4" t="inlineStr">
        <is>
          <t>TB</t>
        </is>
      </c>
    </row>
    <row r="1853" ht="17" customHeight="1" s="380">
      <c r="B1853" s="4" t="inlineStr">
        <is>
          <t>HSX02</t>
        </is>
      </c>
      <c r="C1853" s="334" t="n"/>
      <c r="D1853" s="335" t="inlineStr">
        <is>
          <t>Khối lượng giao dịch mua</t>
        </is>
      </c>
      <c r="F1853" s="4" t="inlineStr">
        <is>
          <t>Báo cáo</t>
        </is>
      </c>
      <c r="G1853" s="22" t="inlineStr">
        <is>
          <t>Chỉ tiêu phái sinh</t>
        </is>
      </c>
      <c r="H1853" s="4" t="inlineStr">
        <is>
          <t>TB</t>
        </is>
      </c>
    </row>
    <row r="1854" ht="17" customHeight="1" s="380">
      <c r="B1854" s="4" t="inlineStr">
        <is>
          <t>HSX02</t>
        </is>
      </c>
      <c r="C1854" s="334" t="n"/>
      <c r="D1854" s="335" t="inlineStr">
        <is>
          <t>Khối lượng giao dịch bán</t>
        </is>
      </c>
      <c r="F1854" s="4" t="inlineStr">
        <is>
          <t>Báo cáo</t>
        </is>
      </c>
      <c r="G1854" s="22" t="inlineStr">
        <is>
          <t>Chỉ tiêu phái sinh</t>
        </is>
      </c>
      <c r="H1854" s="4" t="inlineStr">
        <is>
          <t>TB</t>
        </is>
      </c>
    </row>
    <row r="1855" ht="17" customHeight="1" s="380">
      <c r="B1855" s="4" t="inlineStr">
        <is>
          <t>HSX02</t>
        </is>
      </c>
      <c r="C1855" s="334" t="n"/>
      <c r="D1855" s="335" t="inlineStr">
        <is>
          <t>Khối lượng mua/bán ròng</t>
        </is>
      </c>
      <c r="F1855" s="4" t="inlineStr">
        <is>
          <t>Báo cáo</t>
        </is>
      </c>
      <c r="G1855" s="22" t="inlineStr">
        <is>
          <t>Chỉ tiêu phái sinh</t>
        </is>
      </c>
      <c r="H1855" s="4" t="inlineStr">
        <is>
          <t>TB</t>
        </is>
      </c>
    </row>
    <row r="1856" ht="17" customHeight="1" s="380">
      <c r="B1856" s="4" t="inlineStr">
        <is>
          <t>HSX02</t>
        </is>
      </c>
      <c r="C1856" s="334" t="n"/>
      <c r="D1856" s="335" t="inlineStr">
        <is>
          <t>Giá trị giao dịch cổ phiếu niêm yết</t>
        </is>
      </c>
      <c r="F1856" s="4" t="inlineStr">
        <is>
          <t>Báo cáo</t>
        </is>
      </c>
      <c r="G1856" s="22" t="inlineStr">
        <is>
          <t>Chỉ tiêu phái sinh</t>
        </is>
      </c>
      <c r="H1856" s="4" t="inlineStr">
        <is>
          <t>TB</t>
        </is>
      </c>
    </row>
    <row r="1857" ht="17" customHeight="1" s="380">
      <c r="B1857" s="4" t="inlineStr">
        <is>
          <t>HSX02</t>
        </is>
      </c>
      <c r="C1857" s="334" t="n"/>
      <c r="D1857" s="335" t="inlineStr">
        <is>
          <t>Giá trị giao dịch mua</t>
        </is>
      </c>
      <c r="F1857" s="4" t="inlineStr">
        <is>
          <t>Báo cáo</t>
        </is>
      </c>
      <c r="G1857" s="22" t="inlineStr">
        <is>
          <t>Chỉ tiêu phái sinh</t>
        </is>
      </c>
      <c r="H1857" s="4" t="inlineStr">
        <is>
          <t>TB</t>
        </is>
      </c>
    </row>
    <row r="1858" ht="17" customHeight="1" s="380">
      <c r="B1858" s="4" t="inlineStr">
        <is>
          <t>HSX02</t>
        </is>
      </c>
      <c r="C1858" s="334" t="n"/>
      <c r="D1858" s="335" t="inlineStr">
        <is>
          <t>Giá trị giao dịch bán</t>
        </is>
      </c>
      <c r="F1858" s="4" t="inlineStr">
        <is>
          <t>Báo cáo</t>
        </is>
      </c>
      <c r="G1858" s="22" t="inlineStr">
        <is>
          <t>Chỉ tiêu phái sinh</t>
        </is>
      </c>
      <c r="H1858" s="4" t="inlineStr">
        <is>
          <t>TB</t>
        </is>
      </c>
    </row>
    <row r="1859" ht="17" customHeight="1" s="380">
      <c r="B1859" s="4" t="inlineStr">
        <is>
          <t>HSX02</t>
        </is>
      </c>
      <c r="C1859" s="334" t="n"/>
      <c r="D1859" s="335" t="inlineStr">
        <is>
          <t>Giá trị mua/bán ròng</t>
        </is>
      </c>
      <c r="F1859" s="4" t="inlineStr">
        <is>
          <t>Báo cáo</t>
        </is>
      </c>
      <c r="G1859" s="22" t="inlineStr">
        <is>
          <t>Chỉ tiêu phái sinh</t>
        </is>
      </c>
      <c r="H1859" s="4" t="inlineStr">
        <is>
          <t>TB</t>
        </is>
      </c>
    </row>
    <row r="1860" ht="17" customHeight="1" s="380">
      <c r="B1860" s="4" t="inlineStr">
        <is>
          <t>HSX02</t>
        </is>
      </c>
      <c r="C1860" s="332" t="n"/>
      <c r="D1860" s="333" t="inlineStr">
        <is>
          <t>GDNĐTNN chứng chỉ quỹ</t>
        </is>
      </c>
      <c r="F1860" s="4" t="inlineStr">
        <is>
          <t>Báo cáo</t>
        </is>
      </c>
      <c r="G1860" s="22" t="inlineStr">
        <is>
          <t>Chỉ tiêu phái sinh</t>
        </is>
      </c>
      <c r="H1860" s="4" t="inlineStr">
        <is>
          <t>TB</t>
        </is>
      </c>
    </row>
    <row r="1861" ht="17" customHeight="1" s="380">
      <c r="B1861" s="4" t="inlineStr">
        <is>
          <t>HSX02</t>
        </is>
      </c>
      <c r="C1861" s="334" t="n"/>
      <c r="D1861" s="335" t="inlineStr">
        <is>
          <t>Khối lượng giao dịch chứng chỉ quỹ</t>
        </is>
      </c>
      <c r="F1861" s="4" t="inlineStr">
        <is>
          <t>Báo cáo</t>
        </is>
      </c>
      <c r="G1861" s="22" t="inlineStr">
        <is>
          <t>Chỉ tiêu phái sinh</t>
        </is>
      </c>
      <c r="H1861" s="4" t="inlineStr">
        <is>
          <t>TB</t>
        </is>
      </c>
    </row>
    <row r="1862" ht="17" customHeight="1" s="380">
      <c r="B1862" s="4" t="inlineStr">
        <is>
          <t>HSX02</t>
        </is>
      </c>
      <c r="C1862" s="334" t="n"/>
      <c r="D1862" s="335" t="inlineStr">
        <is>
          <t>Khối lượng giao dịch mua</t>
        </is>
      </c>
      <c r="F1862" s="4" t="inlineStr">
        <is>
          <t>Báo cáo</t>
        </is>
      </c>
      <c r="G1862" s="22" t="inlineStr">
        <is>
          <t>Chỉ tiêu phái sinh</t>
        </is>
      </c>
      <c r="H1862" s="4" t="inlineStr">
        <is>
          <t>TB</t>
        </is>
      </c>
    </row>
    <row r="1863" ht="17" customHeight="1" s="380">
      <c r="B1863" s="4" t="inlineStr">
        <is>
          <t>HSX02</t>
        </is>
      </c>
      <c r="C1863" s="334" t="n"/>
      <c r="D1863" s="335" t="inlineStr">
        <is>
          <t>Khối lượng giao dịch bán</t>
        </is>
      </c>
      <c r="F1863" s="4" t="inlineStr">
        <is>
          <t>Báo cáo</t>
        </is>
      </c>
      <c r="G1863" s="22" t="inlineStr">
        <is>
          <t>Chỉ tiêu phái sinh</t>
        </is>
      </c>
      <c r="H1863" s="4" t="inlineStr">
        <is>
          <t>TB</t>
        </is>
      </c>
    </row>
    <row r="1864" ht="17" customHeight="1" s="380">
      <c r="B1864" s="4" t="inlineStr">
        <is>
          <t>HSX02</t>
        </is>
      </c>
      <c r="C1864" s="334" t="n"/>
      <c r="D1864" s="335" t="inlineStr">
        <is>
          <t>Khối lượng mua/bán ròng</t>
        </is>
      </c>
      <c r="F1864" s="4" t="inlineStr">
        <is>
          <t>Báo cáo</t>
        </is>
      </c>
      <c r="G1864" s="22" t="inlineStr">
        <is>
          <t>Chỉ tiêu phái sinh</t>
        </is>
      </c>
      <c r="H1864" s="4" t="inlineStr">
        <is>
          <t>TB</t>
        </is>
      </c>
    </row>
    <row r="1865" ht="17" customHeight="1" s="380">
      <c r="B1865" s="4" t="inlineStr">
        <is>
          <t>HSX02</t>
        </is>
      </c>
      <c r="C1865" s="334" t="n"/>
      <c r="D1865" s="335" t="inlineStr">
        <is>
          <t>Giá trị giao dịch chứng chỉ quỹ</t>
        </is>
      </c>
      <c r="F1865" s="4" t="inlineStr">
        <is>
          <t>Báo cáo</t>
        </is>
      </c>
      <c r="G1865" s="22" t="inlineStr">
        <is>
          <t>Chỉ tiêu phái sinh</t>
        </is>
      </c>
      <c r="H1865" s="4" t="inlineStr">
        <is>
          <t>TB</t>
        </is>
      </c>
    </row>
    <row r="1866" ht="17" customHeight="1" s="380">
      <c r="B1866" s="4" t="inlineStr">
        <is>
          <t>HSX02</t>
        </is>
      </c>
      <c r="C1866" s="334" t="n"/>
      <c r="D1866" s="335" t="inlineStr">
        <is>
          <t>Giá trị giao dịch mua</t>
        </is>
      </c>
      <c r="F1866" s="4" t="inlineStr">
        <is>
          <t>Báo cáo</t>
        </is>
      </c>
      <c r="G1866" s="22" t="inlineStr">
        <is>
          <t>Chỉ tiêu phái sinh</t>
        </is>
      </c>
      <c r="H1866" s="4" t="inlineStr">
        <is>
          <t>TB</t>
        </is>
      </c>
    </row>
    <row r="1867" ht="17" customHeight="1" s="380">
      <c r="B1867" s="4" t="inlineStr">
        <is>
          <t>HSX02</t>
        </is>
      </c>
      <c r="C1867" s="334" t="n"/>
      <c r="D1867" s="335" t="inlineStr">
        <is>
          <t>Giá trị giao dịch bán</t>
        </is>
      </c>
      <c r="F1867" s="4" t="inlineStr">
        <is>
          <t>Báo cáo</t>
        </is>
      </c>
      <c r="G1867" s="22" t="inlineStr">
        <is>
          <t>Chỉ tiêu phái sinh</t>
        </is>
      </c>
      <c r="H1867" s="4" t="inlineStr">
        <is>
          <t>TB</t>
        </is>
      </c>
    </row>
    <row r="1868" ht="17" customHeight="1" s="380">
      <c r="B1868" s="4" t="inlineStr">
        <is>
          <t>HSX02</t>
        </is>
      </c>
      <c r="C1868" s="334" t="n"/>
      <c r="D1868" s="335" t="inlineStr">
        <is>
          <t>Giá trị mua/bán ròng</t>
        </is>
      </c>
      <c r="F1868" s="4" t="inlineStr">
        <is>
          <t>Báo cáo</t>
        </is>
      </c>
      <c r="G1868" s="22" t="inlineStr">
        <is>
          <t>Chỉ tiêu phái sinh</t>
        </is>
      </c>
      <c r="H1868" s="4" t="inlineStr">
        <is>
          <t>TB</t>
        </is>
      </c>
    </row>
    <row r="1869" ht="17" customHeight="1" s="380">
      <c r="B1869" s="4" t="inlineStr">
        <is>
          <t>HSX02</t>
        </is>
      </c>
      <c r="C1869" s="332" t="n"/>
      <c r="D1869" s="333" t="inlineStr">
        <is>
          <t>GDNĐTNN ETF</t>
        </is>
      </c>
      <c r="F1869" s="4" t="inlineStr">
        <is>
          <t>Báo cáo</t>
        </is>
      </c>
      <c r="G1869" s="22" t="inlineStr">
        <is>
          <t>Chỉ tiêu phái sinh</t>
        </is>
      </c>
      <c r="H1869" s="4" t="inlineStr">
        <is>
          <t>TB</t>
        </is>
      </c>
    </row>
    <row r="1870" ht="17" customHeight="1" s="380">
      <c r="B1870" s="4" t="inlineStr">
        <is>
          <t>HSX02</t>
        </is>
      </c>
      <c r="C1870" s="334" t="n"/>
      <c r="D1870" s="335" t="inlineStr">
        <is>
          <t>Khối lượng giao dịch ETF</t>
        </is>
      </c>
      <c r="F1870" s="4" t="inlineStr">
        <is>
          <t>Báo cáo</t>
        </is>
      </c>
      <c r="G1870" s="22" t="inlineStr">
        <is>
          <t>Chỉ tiêu phái sinh</t>
        </is>
      </c>
      <c r="H1870" s="4" t="inlineStr">
        <is>
          <t>TB</t>
        </is>
      </c>
    </row>
    <row r="1871" ht="17" customHeight="1" s="380">
      <c r="B1871" s="4" t="inlineStr">
        <is>
          <t>HSX02</t>
        </is>
      </c>
      <c r="C1871" s="334" t="n"/>
      <c r="D1871" s="335" t="inlineStr">
        <is>
          <t>Khối lượng giao dịch mua</t>
        </is>
      </c>
      <c r="F1871" s="4" t="inlineStr">
        <is>
          <t>Báo cáo</t>
        </is>
      </c>
      <c r="G1871" s="22" t="inlineStr">
        <is>
          <t>Chỉ tiêu phái sinh</t>
        </is>
      </c>
      <c r="H1871" s="4" t="inlineStr">
        <is>
          <t>TB</t>
        </is>
      </c>
    </row>
    <row r="1872" ht="17" customHeight="1" s="380">
      <c r="B1872" s="4" t="inlineStr">
        <is>
          <t>HSX02</t>
        </is>
      </c>
      <c r="C1872" s="334" t="n"/>
      <c r="D1872" s="335" t="inlineStr">
        <is>
          <t>Khối lượng giao dịch bán</t>
        </is>
      </c>
      <c r="F1872" s="4" t="inlineStr">
        <is>
          <t>Báo cáo</t>
        </is>
      </c>
      <c r="G1872" s="22" t="inlineStr">
        <is>
          <t>Chỉ tiêu phái sinh</t>
        </is>
      </c>
      <c r="H1872" s="4" t="inlineStr">
        <is>
          <t>TB</t>
        </is>
      </c>
    </row>
    <row r="1873" ht="17" customHeight="1" s="380">
      <c r="B1873" s="4" t="inlineStr">
        <is>
          <t>HSX02</t>
        </is>
      </c>
      <c r="C1873" s="334" t="n"/>
      <c r="D1873" s="335" t="inlineStr">
        <is>
          <t>Khối lượng mua/bán ròng</t>
        </is>
      </c>
      <c r="F1873" s="4" t="inlineStr">
        <is>
          <t>Báo cáo</t>
        </is>
      </c>
      <c r="G1873" s="22" t="inlineStr">
        <is>
          <t>Chỉ tiêu phái sinh</t>
        </is>
      </c>
      <c r="H1873" s="4" t="inlineStr">
        <is>
          <t>TB</t>
        </is>
      </c>
    </row>
    <row r="1874" ht="17" customHeight="1" s="380">
      <c r="B1874" s="4" t="inlineStr">
        <is>
          <t>HSX02</t>
        </is>
      </c>
      <c r="C1874" s="334" t="n"/>
      <c r="D1874" s="335" t="inlineStr">
        <is>
          <t>Giá trị giao dịch ETF</t>
        </is>
      </c>
      <c r="F1874" s="4" t="inlineStr">
        <is>
          <t>Báo cáo</t>
        </is>
      </c>
      <c r="G1874" s="22" t="inlineStr">
        <is>
          <t>Chỉ tiêu phái sinh</t>
        </is>
      </c>
      <c r="H1874" s="4" t="inlineStr">
        <is>
          <t>TB</t>
        </is>
      </c>
    </row>
    <row r="1875" ht="17" customHeight="1" s="380">
      <c r="B1875" s="4" t="inlineStr">
        <is>
          <t>HSX02</t>
        </is>
      </c>
      <c r="C1875" s="334" t="n"/>
      <c r="D1875" s="335" t="inlineStr">
        <is>
          <t>Giá trị giao dịch mua</t>
        </is>
      </c>
      <c r="F1875" s="4" t="inlineStr">
        <is>
          <t>Báo cáo</t>
        </is>
      </c>
      <c r="G1875" s="22" t="inlineStr">
        <is>
          <t>Chỉ tiêu phái sinh</t>
        </is>
      </c>
      <c r="H1875" s="4" t="inlineStr">
        <is>
          <t>TB</t>
        </is>
      </c>
    </row>
    <row r="1876" ht="17" customHeight="1" s="380">
      <c r="B1876" s="4" t="inlineStr">
        <is>
          <t>HSX02</t>
        </is>
      </c>
      <c r="C1876" s="334" t="n"/>
      <c r="D1876" s="335" t="inlineStr">
        <is>
          <t>Giá trị giao dịch bán</t>
        </is>
      </c>
      <c r="F1876" s="4" t="inlineStr">
        <is>
          <t>Báo cáo</t>
        </is>
      </c>
      <c r="G1876" s="22" t="inlineStr">
        <is>
          <t>Chỉ tiêu phái sinh</t>
        </is>
      </c>
      <c r="H1876" s="4" t="inlineStr">
        <is>
          <t>TB</t>
        </is>
      </c>
    </row>
    <row r="1877" ht="17" customHeight="1" s="380">
      <c r="B1877" s="4" t="inlineStr">
        <is>
          <t>HSX02</t>
        </is>
      </c>
      <c r="C1877" s="334" t="n"/>
      <c r="D1877" s="335" t="inlineStr">
        <is>
          <t>Giá trị mua/bán ròng</t>
        </is>
      </c>
      <c r="F1877" s="4" t="inlineStr">
        <is>
          <t>Báo cáo</t>
        </is>
      </c>
      <c r="G1877" s="22" t="inlineStr">
        <is>
          <t>Chỉ tiêu phái sinh</t>
        </is>
      </c>
      <c r="H1877" s="4" t="inlineStr">
        <is>
          <t>TB</t>
        </is>
      </c>
    </row>
    <row r="1878" ht="17" customHeight="1" s="380">
      <c r="B1878" s="4" t="inlineStr">
        <is>
          <t>HSX02</t>
        </is>
      </c>
      <c r="C1878" s="330" t="n"/>
      <c r="D1878" s="331" t="inlineStr">
        <is>
          <t>GDNĐTNN trái phiếu</t>
        </is>
      </c>
      <c r="F1878" s="4" t="inlineStr">
        <is>
          <t>Báo cáo</t>
        </is>
      </c>
      <c r="G1878" s="22" t="inlineStr">
        <is>
          <t>Chỉ tiêu phái sinh</t>
        </is>
      </c>
      <c r="H1878" s="4" t="inlineStr">
        <is>
          <t>TB</t>
        </is>
      </c>
    </row>
    <row r="1879" ht="17" customHeight="1" s="380">
      <c r="B1879" s="4" t="inlineStr">
        <is>
          <t>HSX02</t>
        </is>
      </c>
      <c r="C1879" s="334" t="n"/>
      <c r="D1879" s="335" t="inlineStr">
        <is>
          <t>Khối lượng giao dịch trái phiếu</t>
        </is>
      </c>
      <c r="F1879" s="4" t="inlineStr">
        <is>
          <t>Báo cáo</t>
        </is>
      </c>
      <c r="G1879" s="22" t="inlineStr">
        <is>
          <t>Chỉ tiêu phái sinh</t>
        </is>
      </c>
      <c r="H1879" s="4" t="inlineStr">
        <is>
          <t>TB</t>
        </is>
      </c>
    </row>
    <row r="1880" ht="17" customHeight="1" s="380">
      <c r="B1880" s="4" t="inlineStr">
        <is>
          <t>HSX02</t>
        </is>
      </c>
      <c r="C1880" s="334" t="n"/>
      <c r="D1880" s="335" t="inlineStr">
        <is>
          <t>Khối lượng giao dịch mua</t>
        </is>
      </c>
      <c r="F1880" s="4" t="inlineStr">
        <is>
          <t>Báo cáo</t>
        </is>
      </c>
      <c r="G1880" s="22" t="inlineStr">
        <is>
          <t>Chỉ tiêu phái sinh</t>
        </is>
      </c>
      <c r="H1880" s="4" t="inlineStr">
        <is>
          <t>TB</t>
        </is>
      </c>
    </row>
    <row r="1881" ht="17" customHeight="1" s="380">
      <c r="B1881" s="4" t="inlineStr">
        <is>
          <t>HSX02</t>
        </is>
      </c>
      <c r="C1881" s="334" t="n"/>
      <c r="D1881" s="335" t="inlineStr">
        <is>
          <t>Khối lượng giao dịch bán</t>
        </is>
      </c>
      <c r="F1881" s="4" t="inlineStr">
        <is>
          <t>Báo cáo</t>
        </is>
      </c>
      <c r="G1881" s="22" t="inlineStr">
        <is>
          <t>Chỉ tiêu phái sinh</t>
        </is>
      </c>
      <c r="H1881" s="4" t="inlineStr">
        <is>
          <t>TB</t>
        </is>
      </c>
    </row>
    <row r="1882" ht="17" customHeight="1" s="380">
      <c r="B1882" s="4" t="inlineStr">
        <is>
          <t>HSX02</t>
        </is>
      </c>
      <c r="C1882" s="334" t="n"/>
      <c r="D1882" s="335" t="inlineStr">
        <is>
          <t>Khối lượng mua/bán ròng</t>
        </is>
      </c>
      <c r="F1882" s="4" t="inlineStr">
        <is>
          <t>Báo cáo</t>
        </is>
      </c>
      <c r="G1882" s="22" t="inlineStr">
        <is>
          <t>Chỉ tiêu phái sinh</t>
        </is>
      </c>
      <c r="H1882" s="4" t="inlineStr">
        <is>
          <t>TB</t>
        </is>
      </c>
    </row>
    <row r="1883" ht="17" customHeight="1" s="380">
      <c r="B1883" s="4" t="inlineStr">
        <is>
          <t>HSX02</t>
        </is>
      </c>
      <c r="C1883" s="334" t="n"/>
      <c r="D1883" s="335" t="inlineStr">
        <is>
          <t>Giá trị giao dịch trái phiếu</t>
        </is>
      </c>
      <c r="F1883" s="4" t="inlineStr">
        <is>
          <t>Báo cáo</t>
        </is>
      </c>
      <c r="G1883" s="22" t="inlineStr">
        <is>
          <t>Chỉ tiêu phái sinh</t>
        </is>
      </c>
      <c r="H1883" s="4" t="inlineStr">
        <is>
          <t>TB</t>
        </is>
      </c>
    </row>
    <row r="1884" ht="17" customHeight="1" s="380">
      <c r="B1884" s="4" t="inlineStr">
        <is>
          <t>HSX02</t>
        </is>
      </c>
      <c r="C1884" s="334" t="n"/>
      <c r="D1884" s="335" t="inlineStr">
        <is>
          <t>Giá trị giao dịch mua</t>
        </is>
      </c>
      <c r="F1884" s="4" t="inlineStr">
        <is>
          <t>Báo cáo</t>
        </is>
      </c>
      <c r="G1884" s="22" t="inlineStr">
        <is>
          <t>Chỉ tiêu phái sinh</t>
        </is>
      </c>
      <c r="H1884" s="4" t="inlineStr">
        <is>
          <t>TB</t>
        </is>
      </c>
    </row>
    <row r="1885" ht="17" customHeight="1" s="380">
      <c r="B1885" s="4" t="inlineStr">
        <is>
          <t>HSX02</t>
        </is>
      </c>
      <c r="C1885" s="334" t="n"/>
      <c r="D1885" s="335" t="inlineStr">
        <is>
          <t>Giá trị giao dịch bán</t>
        </is>
      </c>
      <c r="F1885" s="4" t="inlineStr">
        <is>
          <t>Báo cáo</t>
        </is>
      </c>
      <c r="G1885" s="22" t="inlineStr">
        <is>
          <t>Chỉ tiêu phái sinh</t>
        </is>
      </c>
      <c r="H1885" s="4" t="inlineStr">
        <is>
          <t>TB</t>
        </is>
      </c>
    </row>
    <row r="1886" ht="17" customHeight="1" s="380">
      <c r="B1886" s="4" t="inlineStr">
        <is>
          <t>HSX02</t>
        </is>
      </c>
      <c r="C1886" s="334" t="n"/>
      <c r="D1886" s="335" t="inlineStr">
        <is>
          <t>Giá trị mua/bán ròng</t>
        </is>
      </c>
      <c r="F1886" s="4" t="inlineStr">
        <is>
          <t>Báo cáo</t>
        </is>
      </c>
      <c r="G1886" s="22" t="inlineStr">
        <is>
          <t>Chỉ tiêu phái sinh</t>
        </is>
      </c>
      <c r="H1886" s="4" t="inlineStr">
        <is>
          <t>TB</t>
        </is>
      </c>
    </row>
    <row r="1887" ht="17" customHeight="1" s="380">
      <c r="B1887" s="4" t="inlineStr">
        <is>
          <t>HSX02</t>
        </is>
      </c>
      <c r="C1887" s="330" t="n"/>
      <c r="D1887" s="331" t="inlineStr">
        <is>
          <t>GDNĐTNN CW</t>
        </is>
      </c>
      <c r="F1887" s="4" t="inlineStr">
        <is>
          <t>Báo cáo</t>
        </is>
      </c>
      <c r="G1887" s="22" t="inlineStr">
        <is>
          <t>Chỉ tiêu phái sinh</t>
        </is>
      </c>
      <c r="H1887" s="4" t="inlineStr">
        <is>
          <t>TB</t>
        </is>
      </c>
    </row>
    <row r="1888" ht="17" customHeight="1" s="380">
      <c r="B1888" s="4" t="inlineStr">
        <is>
          <t>HSX02</t>
        </is>
      </c>
      <c r="C1888" s="334" t="n"/>
      <c r="D1888" s="335" t="inlineStr">
        <is>
          <t>Khối lượng giao dịch CW</t>
        </is>
      </c>
      <c r="F1888" s="4" t="inlineStr">
        <is>
          <t>Báo cáo</t>
        </is>
      </c>
      <c r="G1888" s="22" t="inlineStr">
        <is>
          <t>Chỉ tiêu phái sinh</t>
        </is>
      </c>
      <c r="H1888" s="4" t="inlineStr">
        <is>
          <t>TB</t>
        </is>
      </c>
    </row>
    <row r="1889" ht="17" customHeight="1" s="380">
      <c r="B1889" s="4" t="inlineStr">
        <is>
          <t>HSX02</t>
        </is>
      </c>
      <c r="C1889" s="334" t="n"/>
      <c r="D1889" s="335" t="inlineStr">
        <is>
          <t>Khối lượng giao dịch mua</t>
        </is>
      </c>
      <c r="F1889" s="4" t="inlineStr">
        <is>
          <t>Báo cáo</t>
        </is>
      </c>
      <c r="G1889" s="22" t="inlineStr">
        <is>
          <t>Chỉ tiêu phái sinh</t>
        </is>
      </c>
      <c r="H1889" s="4" t="inlineStr">
        <is>
          <t>TB</t>
        </is>
      </c>
    </row>
    <row r="1890" ht="17" customHeight="1" s="380">
      <c r="B1890" s="4" t="inlineStr">
        <is>
          <t>HSX02</t>
        </is>
      </c>
      <c r="C1890" s="334" t="n"/>
      <c r="D1890" s="335" t="inlineStr">
        <is>
          <t>Khối lượng giao dịch bán</t>
        </is>
      </c>
      <c r="F1890" s="4" t="inlineStr">
        <is>
          <t>Báo cáo</t>
        </is>
      </c>
      <c r="G1890" s="22" t="inlineStr">
        <is>
          <t>Chỉ tiêu phái sinh</t>
        </is>
      </c>
      <c r="H1890" s="4" t="inlineStr">
        <is>
          <t>TB</t>
        </is>
      </c>
    </row>
    <row r="1891" ht="17" customHeight="1" s="380">
      <c r="B1891" s="4" t="inlineStr">
        <is>
          <t>HSX02</t>
        </is>
      </c>
      <c r="C1891" s="334" t="n"/>
      <c r="D1891" s="335" t="inlineStr">
        <is>
          <t>Khối lượng mua/bán ròng</t>
        </is>
      </c>
      <c r="F1891" s="4" t="inlineStr">
        <is>
          <t>Báo cáo</t>
        </is>
      </c>
      <c r="G1891" s="22" t="inlineStr">
        <is>
          <t>Chỉ tiêu phái sinh</t>
        </is>
      </c>
      <c r="H1891" s="4" t="inlineStr">
        <is>
          <t>TB</t>
        </is>
      </c>
    </row>
    <row r="1892" ht="17" customHeight="1" s="380">
      <c r="B1892" s="4" t="inlineStr">
        <is>
          <t>HSX02</t>
        </is>
      </c>
      <c r="C1892" s="334" t="n"/>
      <c r="D1892" s="335" t="inlineStr">
        <is>
          <t>Giá trị giao dịch CW</t>
        </is>
      </c>
      <c r="F1892" s="4" t="inlineStr">
        <is>
          <t>Báo cáo</t>
        </is>
      </c>
      <c r="G1892" s="22" t="inlineStr">
        <is>
          <t>Chỉ tiêu phái sinh</t>
        </is>
      </c>
      <c r="H1892" s="4" t="inlineStr">
        <is>
          <t>TB</t>
        </is>
      </c>
    </row>
    <row r="1893" ht="17" customHeight="1" s="380">
      <c r="B1893" s="4" t="inlineStr">
        <is>
          <t>HSX02</t>
        </is>
      </c>
      <c r="C1893" s="334" t="n"/>
      <c r="D1893" s="335" t="inlineStr">
        <is>
          <t>Giá trị giao dịch mua</t>
        </is>
      </c>
      <c r="F1893" s="4" t="inlineStr">
        <is>
          <t>Báo cáo</t>
        </is>
      </c>
      <c r="G1893" s="22" t="inlineStr">
        <is>
          <t>Chỉ tiêu phái sinh</t>
        </is>
      </c>
      <c r="H1893" s="4" t="inlineStr">
        <is>
          <t>TB</t>
        </is>
      </c>
    </row>
    <row r="1894" ht="17" customHeight="1" s="380">
      <c r="B1894" s="4" t="inlineStr">
        <is>
          <t>HSX02</t>
        </is>
      </c>
      <c r="C1894" s="334" t="n"/>
      <c r="D1894" s="335" t="inlineStr">
        <is>
          <t>Giá trị giao dịch bán</t>
        </is>
      </c>
      <c r="F1894" s="4" t="inlineStr">
        <is>
          <t>Báo cáo</t>
        </is>
      </c>
      <c r="G1894" s="22" t="inlineStr">
        <is>
          <t>Chỉ tiêu phái sinh</t>
        </is>
      </c>
      <c r="H1894" s="4" t="inlineStr">
        <is>
          <t>TB</t>
        </is>
      </c>
    </row>
    <row r="1895" ht="17" customHeight="1" s="380">
      <c r="B1895" s="4" t="inlineStr">
        <is>
          <t>HSX02</t>
        </is>
      </c>
      <c r="C1895" s="334" t="n"/>
      <c r="D1895" s="335" t="inlineStr">
        <is>
          <t>Giá trị mua/bán ròng</t>
        </is>
      </c>
      <c r="F1895" s="4" t="inlineStr">
        <is>
          <t>Báo cáo</t>
        </is>
      </c>
      <c r="G1895" s="22" t="inlineStr">
        <is>
          <t>Chỉ tiêu phái sinh</t>
        </is>
      </c>
      <c r="H1895" s="4" t="inlineStr">
        <is>
          <t>TB</t>
        </is>
      </c>
    </row>
  </sheetData>
  <autoFilter ref="A1:M1895">
    <filterColumn colId="1" hiddenButton="0" showButton="1">
      <filters blank="1">
        <filter val="BM030a_MSS"/>
        <filter val="BM030b_MSS"/>
        <filter val="BM030c_MSS"/>
        <filter val="BM030d_MSS"/>
        <filter val="BM030e_MSS"/>
        <filter val="BM031a_MSS"/>
        <filter val="BM031b_MSS"/>
        <filter val="BM031C_MSS"/>
        <filter val="BM031d_MSS"/>
        <filter val="BM031f_MSS"/>
        <filter val="HNX04 (LK)"/>
        <filter val="HSX02"/>
        <filter val="TK_NienGiam"/>
        <filter val="TK-04.BTC"/>
        <filter val="TK-HSX01"/>
        <filter val="TK-HSX04"/>
      </filters>
    </filterColumn>
  </autoFilter>
  <mergeCells count="12">
    <mergeCell ref="C684:C866"/>
    <mergeCell ref="C1107:C1126"/>
    <mergeCell ref="C1096:C1106"/>
    <mergeCell ref="C1127:C1137"/>
    <mergeCell ref="C1283:C1295"/>
    <mergeCell ref="C867:C910"/>
    <mergeCell ref="C1144:C1168"/>
    <mergeCell ref="C1138:C1143"/>
    <mergeCell ref="C551:C583"/>
    <mergeCell ref="C198:C214"/>
    <mergeCell ref="C1169:C1210"/>
    <mergeCell ref="C6:C180"/>
  </mergeCells>
  <hyperlinks>
    <hyperlink xmlns:r="http://schemas.openxmlformats.org/officeDocument/2006/relationships" ref="D987" r:id="rId1"/>
  </hyperlinks>
  <pageMargins left="0.7" right="0.7" top="0.75" bottom="0.75" header="0.3" footer="0.3"/>
</worksheet>
</file>

<file path=xl/worksheets/sheet5.xml><?xml version="1.0" encoding="utf-8"?>
<worksheet xmlns="http://schemas.openxmlformats.org/spreadsheetml/2006/main">
  <sheetPr>
    <outlinePr summaryBelow="0" summaryRight="0"/>
    <pageSetUpPr/>
  </sheetPr>
  <dimension ref="A1:AE1857"/>
  <sheetViews>
    <sheetView workbookViewId="0">
      <pane ySplit="2" topLeftCell="A3" activePane="bottomLeft" state="frozen"/>
      <selection pane="bottomLeft" activeCell="B4" sqref="B4"/>
    </sheetView>
  </sheetViews>
  <sheetFormatPr baseColWidth="10" defaultColWidth="12.6640625" defaultRowHeight="15.75" customHeight="1"/>
  <cols>
    <col width="8" customWidth="1" style="380" min="1" max="1"/>
    <col width="14.6640625" customWidth="1" style="380" min="2" max="2"/>
    <col width="18.5" customWidth="1" style="380" min="3" max="3"/>
    <col width="49" customWidth="1" style="380" min="4" max="4"/>
    <col width="14.5" customWidth="1" style="380" min="5" max="5"/>
    <col width="12.33203125" customWidth="1" style="380" min="6" max="6"/>
    <col width="19" customWidth="1" style="380" min="7" max="7"/>
    <col width="13" customWidth="1" style="380" min="8" max="8"/>
    <col width="16.83203125" customWidth="1" style="380" min="9" max="10"/>
  </cols>
  <sheetData>
    <row r="1" ht="28" customHeight="1" s="380">
      <c r="A1" s="180" t="inlineStr">
        <is>
          <t>STT</t>
        </is>
      </c>
      <c r="B1" s="181" t="inlineStr">
        <is>
          <t>Dashboard/báo cáo</t>
        </is>
      </c>
      <c r="C1" s="182" t="inlineStr">
        <is>
          <t>Tên báo cáo</t>
        </is>
      </c>
      <c r="D1" s="180" t="inlineStr">
        <is>
          <t>Thông tin</t>
        </is>
      </c>
      <c r="E1" s="51" t="inlineStr">
        <is>
          <t>Mô tả</t>
        </is>
      </c>
      <c r="F1" s="50" t="inlineStr">
        <is>
          <t>Nhóm yêu cầu</t>
        </is>
      </c>
      <c r="G1" s="180" t="inlineStr">
        <is>
          <t>Phân loại</t>
        </is>
      </c>
      <c r="H1" s="180" t="inlineStr">
        <is>
          <t>Đánh giá</t>
        </is>
      </c>
      <c r="I1" s="182" t="inlineStr">
        <is>
          <t>Loại sản phầm</t>
        </is>
      </c>
      <c r="J1" s="4" t="inlineStr">
        <is>
          <t>Cách tính</t>
        </is>
      </c>
      <c r="K1" s="4" t="inlineStr">
        <is>
          <t>Nguồn dữ liệu</t>
        </is>
      </c>
      <c r="L1" s="4" t="inlineStr">
        <is>
          <t>Chú ý</t>
        </is>
      </c>
    </row>
    <row r="2" ht="13" customHeight="1" s="380">
      <c r="A2" s="52" t="n"/>
      <c r="B2" s="52" t="n"/>
      <c r="C2" s="52" t="n"/>
      <c r="D2" s="52" t="inlineStr">
        <is>
          <t>Tên chiều/chỉ tiêu/thuộc tính</t>
        </is>
      </c>
      <c r="E2" s="52" t="n"/>
      <c r="F2" s="52" t="n"/>
      <c r="G2" s="52" t="inlineStr">
        <is>
          <t>Chiều/Chỉ tiêu cơ sở/Chỉ tiêu phái sinh</t>
        </is>
      </c>
      <c r="H2" s="52" t="inlineStr">
        <is>
          <t>Dễ: lấy 1: 1 từ nguồn
TB: có tính toán tổng hợp
Khó: Có logic phức tạp và lấy nhiều mốc thời gian
Trùng: Trong phạm vi ban của mình làm đã có tính thông tin này rồi</t>
        </is>
      </c>
    </row>
    <row r="3" ht="16" customHeight="1" s="380">
      <c r="A3" s="183" t="n">
        <v>1</v>
      </c>
      <c r="B3" s="184" t="inlineStr">
        <is>
          <t>HNX01</t>
        </is>
      </c>
      <c r="C3" s="418" t="inlineStr">
        <is>
          <t xml:space="preserve">     BÁO CÁO VỀ GIAO DỊCH TRÊN THỊ TRƯỜNG CỔ PHIẾU</t>
        </is>
      </c>
      <c r="D3" s="336" t="inlineStr">
        <is>
          <t>Chỉ số HNX - INDEX (cuối ngày)</t>
        </is>
      </c>
      <c r="E3" s="184" t="n"/>
      <c r="F3" s="184" t="inlineStr">
        <is>
          <t>Báo cáo</t>
        </is>
      </c>
      <c r="G3" s="184" t="inlineStr">
        <is>
          <t>Chỉ tiêu cơ sở</t>
        </is>
      </c>
      <c r="H3" s="184" t="inlineStr">
        <is>
          <t>Dễ</t>
        </is>
      </c>
      <c r="I3" s="184" t="n"/>
      <c r="J3" s="184" t="inlineStr">
        <is>
          <t>Chỉ số chốt phiên cuối ngày</t>
        </is>
      </c>
      <c r="K3" s="184" t="inlineStr">
        <is>
          <t>Dữ liệu giao dịch từ SGDCK</t>
        </is>
      </c>
    </row>
    <row r="4" ht="16" customHeight="1" s="380">
      <c r="B4" s="4" t="inlineStr">
        <is>
          <t>HNX01</t>
        </is>
      </c>
      <c r="D4" s="337" t="inlineStr">
        <is>
          <t>Chỉ số HNX30</t>
        </is>
      </c>
      <c r="E4" s="4" t="n"/>
      <c r="F4" s="184" t="inlineStr">
        <is>
          <t>Báo cáo</t>
        </is>
      </c>
      <c r="G4" s="4" t="inlineStr">
        <is>
          <t>Chỉ tiêu cơ sở</t>
        </is>
      </c>
      <c r="H4" s="4" t="inlineStr">
        <is>
          <t>Dễ</t>
        </is>
      </c>
      <c r="I4" s="4" t="n"/>
      <c r="J4" s="4" t="inlineStr">
        <is>
          <t>Chỉ số chốt phiên cuối ngày</t>
        </is>
      </c>
      <c r="K4" s="4" t="inlineStr">
        <is>
          <t>Dữ liệu giao dịch từ SGDCK</t>
        </is>
      </c>
    </row>
    <row r="5" ht="16" customHeight="1" s="380">
      <c r="B5" s="4" t="inlineStr">
        <is>
          <t>HNX01</t>
        </is>
      </c>
      <c r="D5" s="337" t="inlineStr">
        <is>
          <t>Chỉ số UPCoM Index</t>
        </is>
      </c>
      <c r="E5" s="4" t="n"/>
      <c r="F5" s="184" t="inlineStr">
        <is>
          <t>Báo cáo</t>
        </is>
      </c>
      <c r="G5" s="4" t="inlineStr">
        <is>
          <t>Chỉ tiêu cơ sở</t>
        </is>
      </c>
      <c r="H5" s="4" t="inlineStr">
        <is>
          <t>Dễ</t>
        </is>
      </c>
      <c r="I5" s="4" t="n"/>
      <c r="J5" s="4" t="inlineStr">
        <is>
          <t>Chỉ số chốt phiên cuối ngày</t>
        </is>
      </c>
      <c r="K5" s="4" t="inlineStr">
        <is>
          <t>Dữ liệu giao dịch từ SGDCK</t>
        </is>
      </c>
    </row>
    <row r="6" ht="16" customHeight="1" s="380">
      <c r="B6" s="4" t="inlineStr">
        <is>
          <t>HNX01</t>
        </is>
      </c>
      <c r="D6" s="337" t="inlineStr">
        <is>
          <t>Giá trị chứng khoán giao dịch toàn thị trường</t>
        </is>
      </c>
      <c r="E6" s="4" t="n"/>
      <c r="F6" s="184" t="inlineStr">
        <is>
          <t>Báo cáo</t>
        </is>
      </c>
      <c r="G6" s="4" t="inlineStr">
        <is>
          <t>Chỉ tiêu phái sinh</t>
        </is>
      </c>
      <c r="H6" s="4" t="inlineStr">
        <is>
          <t>TB</t>
        </is>
      </c>
      <c r="I6" s="4" t="n"/>
      <c r="J6" s="4" t="inlineStr">
        <is>
          <t>Tổng GTGD toàn thị trường đối với CP niêm yết, CP upcom, trái phiếu DN, chứng chỉ quỹ, chứng chỉ quỹ ETF</t>
        </is>
      </c>
    </row>
    <row r="7" ht="16" customHeight="1" s="380">
      <c r="B7" s="4" t="inlineStr">
        <is>
          <t>HNX01</t>
        </is>
      </c>
      <c r="D7" s="198" t="inlineStr">
        <is>
          <t>Giá trị Cổ phiếu Niêm Yết giao dịch toàn thị trường</t>
        </is>
      </c>
      <c r="E7" s="4" t="n"/>
      <c r="F7" s="184" t="inlineStr">
        <is>
          <t>Báo cáo</t>
        </is>
      </c>
      <c r="G7" s="4" t="inlineStr">
        <is>
          <t>Chỉ tiêu phái sinh</t>
        </is>
      </c>
      <c r="H7" s="4" t="inlineStr">
        <is>
          <t>TB</t>
        </is>
      </c>
      <c r="I7" s="4" t="n"/>
      <c r="J7" s="4" t="inlineStr">
        <is>
          <t>Σ (Giá giao dịch × KL giao dịch) của cổ phiếu niên yết</t>
        </is>
      </c>
    </row>
    <row r="8" ht="16" customHeight="1" s="380">
      <c r="B8" s="4" t="inlineStr">
        <is>
          <t>HNX01</t>
        </is>
      </c>
      <c r="D8" s="198" t="inlineStr">
        <is>
          <t>Giá giao dịch CP Niêm yết</t>
        </is>
      </c>
      <c r="E8" s="4" t="n"/>
      <c r="F8" s="184" t="inlineStr">
        <is>
          <t>Báo cáo</t>
        </is>
      </c>
      <c r="G8" s="4" t="inlineStr">
        <is>
          <t>Chỉ tiêu cơ sở</t>
        </is>
      </c>
      <c r="H8" s="4" t="inlineStr">
        <is>
          <t>Dễ</t>
        </is>
      </c>
      <c r="I8" s="4" t="n"/>
      <c r="J8" s="4" t="inlineStr">
        <is>
          <t>Giá GD</t>
        </is>
      </c>
    </row>
    <row r="9" ht="16" customHeight="1" s="380">
      <c r="B9" s="4" t="inlineStr">
        <is>
          <t>HNX01</t>
        </is>
      </c>
      <c r="D9" s="198" t="inlineStr">
        <is>
          <t>Khối lượng giao dịch CP Niêm yết</t>
        </is>
      </c>
      <c r="E9" s="4" t="n"/>
      <c r="F9" s="184" t="inlineStr">
        <is>
          <t>Báo cáo</t>
        </is>
      </c>
      <c r="G9" s="4" t="inlineStr">
        <is>
          <t>Chỉ tiêu phái sinh</t>
        </is>
      </c>
      <c r="H9" s="4" t="inlineStr">
        <is>
          <t>TB</t>
        </is>
      </c>
      <c r="I9" s="4" t="n"/>
      <c r="J9" s="4" t="inlineStr">
        <is>
          <t>Σ KLGD</t>
        </is>
      </c>
    </row>
    <row r="10" ht="16" customHeight="1" s="380">
      <c r="B10" s="4" t="n"/>
      <c r="D10" s="338" t="inlineStr">
        <is>
          <t>KLGD</t>
        </is>
      </c>
      <c r="E10" s="4" t="n"/>
      <c r="F10" s="184" t="inlineStr">
        <is>
          <t>Báo cáo</t>
        </is>
      </c>
      <c r="G10" s="4" t="inlineStr">
        <is>
          <t>Chỉ tiêu cơ sở</t>
        </is>
      </c>
      <c r="H10" s="4" t="inlineStr">
        <is>
          <t>Dễ</t>
        </is>
      </c>
      <c r="I10" s="4" t="n"/>
      <c r="J10" s="4" t="n"/>
    </row>
    <row r="11" ht="16" customHeight="1" s="380">
      <c r="B11" s="4" t="inlineStr">
        <is>
          <t>HNX01</t>
        </is>
      </c>
      <c r="D11" s="198" t="inlineStr">
        <is>
          <t>Giá trị Cổ phiếu UpCom giao dịch toàn thị trường</t>
        </is>
      </c>
      <c r="E11" s="4" t="n"/>
      <c r="F11" s="184" t="inlineStr">
        <is>
          <t>Báo cáo</t>
        </is>
      </c>
      <c r="G11" s="4" t="inlineStr">
        <is>
          <t>Chỉ tiêu phái sinh</t>
        </is>
      </c>
      <c r="H11" s="4" t="inlineStr">
        <is>
          <t>TB</t>
        </is>
      </c>
      <c r="I11" s="4" t="n"/>
      <c r="J11" s="4" t="inlineStr">
        <is>
          <t>Σ (Giá giao dịch × KL giao dịch) của cổ phiếu Upcom</t>
        </is>
      </c>
    </row>
    <row r="12" ht="16" customHeight="1" s="380">
      <c r="B12" s="4" t="n"/>
      <c r="D12" s="338" t="inlineStr">
        <is>
          <t>Giá GD</t>
        </is>
      </c>
      <c r="E12" s="4" t="n"/>
      <c r="F12" s="184" t="inlineStr">
        <is>
          <t>Báo cáo</t>
        </is>
      </c>
      <c r="G12" s="4" t="inlineStr">
        <is>
          <t>Chỉ tiêu cơ sở</t>
        </is>
      </c>
      <c r="H12" s="4" t="inlineStr">
        <is>
          <t>Dễ</t>
        </is>
      </c>
      <c r="I12" s="4" t="n"/>
      <c r="J12" s="4" t="n"/>
    </row>
    <row r="13" ht="16" customHeight="1" s="380">
      <c r="B13" s="4" t="inlineStr">
        <is>
          <t>HNX01</t>
        </is>
      </c>
      <c r="D13" s="198" t="inlineStr">
        <is>
          <t>Giá giao dịch CP UpCom</t>
        </is>
      </c>
      <c r="E13" s="4" t="n"/>
      <c r="F13" s="184" t="inlineStr">
        <is>
          <t>Báo cáo</t>
        </is>
      </c>
      <c r="G13" s="4" t="inlineStr">
        <is>
          <t>Chỉ tiêu cơ sở</t>
        </is>
      </c>
      <c r="H13" s="4" t="inlineStr">
        <is>
          <t>Dễ</t>
        </is>
      </c>
      <c r="I13" s="4" t="n"/>
      <c r="J13" s="4" t="inlineStr">
        <is>
          <t>Giá</t>
        </is>
      </c>
    </row>
    <row r="14" ht="16" customHeight="1" s="380">
      <c r="B14" s="4" t="inlineStr">
        <is>
          <t>HNX01</t>
        </is>
      </c>
      <c r="D14" s="198" t="inlineStr">
        <is>
          <t>Khối lượng giao dịch CP UpCom</t>
        </is>
      </c>
      <c r="E14" s="4" t="n"/>
      <c r="F14" s="184" t="inlineStr">
        <is>
          <t>Báo cáo</t>
        </is>
      </c>
      <c r="G14" s="4" t="inlineStr">
        <is>
          <t>Chỉ tiêu phái sinh</t>
        </is>
      </c>
      <c r="H14" s="4" t="inlineStr">
        <is>
          <t>TB</t>
        </is>
      </c>
      <c r="I14" s="4" t="n"/>
      <c r="J14" s="4" t="inlineStr">
        <is>
          <t>Σ KLGD</t>
        </is>
      </c>
    </row>
    <row r="15" ht="16" customHeight="1" s="380">
      <c r="B15" s="4" t="n"/>
      <c r="D15" s="338" t="inlineStr">
        <is>
          <t>KLGD</t>
        </is>
      </c>
      <c r="E15" s="4" t="n"/>
      <c r="F15" s="184" t="inlineStr">
        <is>
          <t>Báo cáo</t>
        </is>
      </c>
      <c r="G15" s="4" t="inlineStr">
        <is>
          <t>Chỉ tiêu cơ sở</t>
        </is>
      </c>
      <c r="H15" s="4" t="inlineStr">
        <is>
          <t>Dễ</t>
        </is>
      </c>
      <c r="I15" s="4" t="n"/>
      <c r="J15" s="4" t="n"/>
    </row>
    <row r="16" ht="16" customHeight="1" s="380">
      <c r="B16" s="4" t="inlineStr">
        <is>
          <t>HNX01</t>
        </is>
      </c>
      <c r="D16" s="339" t="inlineStr">
        <is>
          <t>Trái phiếu doanh nghiệp</t>
        </is>
      </c>
      <c r="E16" s="4" t="n"/>
      <c r="F16" s="184" t="inlineStr">
        <is>
          <t>Báo cáo</t>
        </is>
      </c>
      <c r="G16" s="4" t="inlineStr">
        <is>
          <t>Chỉ tiêu phái sinh</t>
        </is>
      </c>
      <c r="H16" s="4" t="inlineStr">
        <is>
          <t>TB</t>
        </is>
      </c>
      <c r="I16" s="4" t="n"/>
      <c r="J16" s="4" t="inlineStr">
        <is>
          <t>Σ (Giá giao dịch × KL giao dịch) của TPDN</t>
        </is>
      </c>
    </row>
    <row r="17" ht="16" customHeight="1" s="380">
      <c r="B17" s="4" t="inlineStr">
        <is>
          <t>HNX01</t>
        </is>
      </c>
      <c r="D17" s="198" t="inlineStr">
        <is>
          <t>Giá giao dịch Trái phiếu DN</t>
        </is>
      </c>
      <c r="E17" s="4" t="n"/>
      <c r="F17" s="184" t="inlineStr">
        <is>
          <t>Báo cáo</t>
        </is>
      </c>
      <c r="G17" s="4" t="inlineStr">
        <is>
          <t>Chỉ tiêu cơ sở</t>
        </is>
      </c>
      <c r="H17" s="4" t="inlineStr">
        <is>
          <t>Dễ</t>
        </is>
      </c>
      <c r="I17" s="4" t="n"/>
      <c r="J17" s="4" t="inlineStr">
        <is>
          <t>Giá giao dịch hiện tại hoặc giá đóng cửa</t>
        </is>
      </c>
      <c r="K17" s="4" t="inlineStr">
        <is>
          <t>Dữ liệu sổ lệnh giao dịch từ SGDCK</t>
        </is>
      </c>
    </row>
    <row r="18" ht="16" customHeight="1" s="380">
      <c r="B18" s="4" t="inlineStr">
        <is>
          <t>HNX01</t>
        </is>
      </c>
      <c r="D18" s="198" t="inlineStr">
        <is>
          <t>Khối lượng giao dịch Trái phiếu DN</t>
        </is>
      </c>
      <c r="E18" s="4" t="n"/>
      <c r="F18" s="184" t="inlineStr">
        <is>
          <t>Báo cáo</t>
        </is>
      </c>
      <c r="G18" s="4" t="inlineStr">
        <is>
          <t>Chỉ tiêu phái sinh</t>
        </is>
      </c>
      <c r="H18" s="4" t="inlineStr">
        <is>
          <t>TB</t>
        </is>
      </c>
      <c r="I18" s="4" t="n"/>
      <c r="J18" s="4" t="inlineStr">
        <is>
          <t>Σ KLGD</t>
        </is>
      </c>
      <c r="K18" s="4" t="inlineStr">
        <is>
          <t>Dữ liệu sổ lệnh giao dịch từ SGDCK</t>
        </is>
      </c>
    </row>
    <row r="19" ht="16" customHeight="1" s="380">
      <c r="B19" s="4" t="inlineStr">
        <is>
          <t>HNX01</t>
        </is>
      </c>
      <c r="D19" s="198" t="inlineStr">
        <is>
          <t>Giá trị giao dịch Chứng chỉ quỹ toàn thị trường</t>
        </is>
      </c>
      <c r="E19" s="4" t="n"/>
      <c r="F19" s="184" t="inlineStr">
        <is>
          <t>Báo cáo</t>
        </is>
      </c>
      <c r="G19" s="4" t="inlineStr">
        <is>
          <t>Chỉ tiêu phái sinh</t>
        </is>
      </c>
      <c r="H19" s="4" t="inlineStr">
        <is>
          <t>TB</t>
        </is>
      </c>
      <c r="I19" s="4" t="n"/>
      <c r="J19" s="4" t="inlineStr">
        <is>
          <t>Σ (Giá giao dịch × KL giao dịch) của CCQ</t>
        </is>
      </c>
    </row>
    <row r="20" ht="16" customHeight="1" s="380">
      <c r="B20" s="4" t="inlineStr">
        <is>
          <t>HNX01</t>
        </is>
      </c>
      <c r="D20" s="198" t="inlineStr">
        <is>
          <t>Giá giao dịch Chứng chỉ quỹ</t>
        </is>
      </c>
      <c r="E20" s="4" t="n"/>
      <c r="F20" s="184" t="inlineStr">
        <is>
          <t>Báo cáo</t>
        </is>
      </c>
      <c r="G20" s="4" t="inlineStr">
        <is>
          <t>Chỉ tiêu cơ sở</t>
        </is>
      </c>
      <c r="H20" s="4" t="inlineStr">
        <is>
          <t>Dễ</t>
        </is>
      </c>
      <c r="I20" s="4" t="n"/>
      <c r="J20" s="4" t="inlineStr">
        <is>
          <t>Giá</t>
        </is>
      </c>
    </row>
    <row r="21" ht="16" customHeight="1" s="380">
      <c r="B21" s="4" t="inlineStr">
        <is>
          <t>HNX01</t>
        </is>
      </c>
      <c r="D21" s="198" t="inlineStr">
        <is>
          <t>Khối lượng giao dịch Chứng chỉ quỹ</t>
        </is>
      </c>
      <c r="E21" s="4" t="n"/>
      <c r="F21" s="184" t="inlineStr">
        <is>
          <t>Báo cáo</t>
        </is>
      </c>
      <c r="G21" s="4" t="inlineStr">
        <is>
          <t>Chỉ tiêu phái sinh</t>
        </is>
      </c>
      <c r="H21" s="4" t="inlineStr">
        <is>
          <t>TB</t>
        </is>
      </c>
      <c r="I21" s="4" t="n"/>
      <c r="J21" s="4" t="inlineStr">
        <is>
          <t>Σ KLGD</t>
        </is>
      </c>
    </row>
    <row r="22" ht="16" customHeight="1" s="380">
      <c r="B22" s="4" t="inlineStr">
        <is>
          <t>HNX01</t>
        </is>
      </c>
      <c r="D22" s="198" t="inlineStr">
        <is>
          <t>Giá trị giao dịch Chứng chỉ quỹ (ETF) toàn thị trường</t>
        </is>
      </c>
      <c r="E22" s="4" t="n"/>
      <c r="F22" s="184" t="inlineStr">
        <is>
          <t>Báo cáo</t>
        </is>
      </c>
      <c r="G22" s="4" t="inlineStr">
        <is>
          <t>Chỉ tiêu phái sinh</t>
        </is>
      </c>
      <c r="H22" s="4" t="inlineStr">
        <is>
          <t>TB</t>
        </is>
      </c>
      <c r="I22" s="4" t="n"/>
      <c r="J22" s="4" t="inlineStr">
        <is>
          <t>Σ (Giá giao dịch × KL giao dịch) của CCQ ETF</t>
        </is>
      </c>
    </row>
    <row r="23" ht="16" customHeight="1" s="380">
      <c r="B23" s="4" t="inlineStr">
        <is>
          <t>HNX01</t>
        </is>
      </c>
      <c r="D23" s="198" t="inlineStr">
        <is>
          <t>Giá giao dịch Chứng chỉ quỹ (ETF)</t>
        </is>
      </c>
      <c r="E23" s="4" t="n"/>
      <c r="F23" s="184" t="inlineStr">
        <is>
          <t>Báo cáo</t>
        </is>
      </c>
      <c r="G23" s="4" t="inlineStr">
        <is>
          <t>Chỉ tiêu cơ sở</t>
        </is>
      </c>
      <c r="H23" s="4" t="inlineStr">
        <is>
          <t>Dễ</t>
        </is>
      </c>
      <c r="I23" s="4" t="n"/>
      <c r="J23" s="4" t="inlineStr">
        <is>
          <t>Giá</t>
        </is>
      </c>
    </row>
    <row r="24" ht="16" customHeight="1" s="380">
      <c r="B24" s="4" t="inlineStr">
        <is>
          <t>HNX01</t>
        </is>
      </c>
      <c r="D24" s="198" t="inlineStr">
        <is>
          <t>Khối lượng giao dịch Chứng chỉ quỹ (ETF)</t>
        </is>
      </c>
      <c r="E24" s="4" t="n"/>
      <c r="F24" s="184" t="inlineStr">
        <is>
          <t>Báo cáo</t>
        </is>
      </c>
      <c r="G24" s="4" t="inlineStr">
        <is>
          <t>Chỉ tiêu phái sinh</t>
        </is>
      </c>
      <c r="H24" s="4" t="inlineStr">
        <is>
          <t>TB</t>
        </is>
      </c>
      <c r="I24" s="4" t="n"/>
      <c r="J24" s="4" t="inlineStr">
        <is>
          <t>Σ KLGD</t>
        </is>
      </c>
    </row>
    <row r="25" ht="17" customHeight="1" s="380">
      <c r="B25" s="4" t="inlineStr">
        <is>
          <t>HNX01</t>
        </is>
      </c>
      <c r="D25" s="337" t="inlineStr">
        <is>
          <t>Khối lượng chứng khoán giao dịch toàn thị trường</t>
        </is>
      </c>
      <c r="E25" s="4" t="n"/>
      <c r="F25" s="184" t="inlineStr">
        <is>
          <t>Báo cáo</t>
        </is>
      </c>
      <c r="G25" s="4" t="inlineStr">
        <is>
          <t>Chỉ tiêu phái sinh</t>
        </is>
      </c>
      <c r="H25" s="4" t="inlineStr">
        <is>
          <t>TB</t>
        </is>
      </c>
      <c r="I25" s="192" t="n"/>
      <c r="J25" s="192" t="inlineStr">
        <is>
          <t>Tổng KL giao dịch</t>
        </is>
      </c>
    </row>
    <row r="26" ht="16" customHeight="1" s="380">
      <c r="B26" s="4" t="inlineStr">
        <is>
          <t>HNX01</t>
        </is>
      </c>
      <c r="D26" s="198" t="inlineStr">
        <is>
          <t>KL giao dịch Cổ phiếu Niêm Yết</t>
        </is>
      </c>
      <c r="E26" s="4" t="n"/>
      <c r="F26" s="184" t="inlineStr">
        <is>
          <t>Báo cáo</t>
        </is>
      </c>
      <c r="G26" s="4" t="inlineStr">
        <is>
          <t>Chỉ tiêu phái sinh</t>
        </is>
      </c>
      <c r="H26" s="4" t="inlineStr">
        <is>
          <t>TB</t>
        </is>
      </c>
      <c r="I26" s="4" t="n"/>
      <c r="J26" s="4" t="inlineStr">
        <is>
          <t xml:space="preserve">Σ KLGD </t>
        </is>
      </c>
    </row>
    <row r="27" ht="16" customHeight="1" s="380">
      <c r="B27" s="4" t="inlineStr">
        <is>
          <t>HNX01</t>
        </is>
      </c>
      <c r="D27" s="198" t="inlineStr">
        <is>
          <t>KL giao dịch Cổ phiếu UpCom</t>
        </is>
      </c>
      <c r="E27" s="4" t="n"/>
      <c r="F27" s="184" t="inlineStr">
        <is>
          <t>Báo cáo</t>
        </is>
      </c>
      <c r="G27" s="4" t="inlineStr">
        <is>
          <t>Chỉ tiêu phái sinh</t>
        </is>
      </c>
      <c r="H27" s="4" t="inlineStr">
        <is>
          <t>TB</t>
        </is>
      </c>
      <c r="I27" s="4" t="n"/>
      <c r="J27" s="4" t="inlineStr">
        <is>
          <t>Σ KLGD</t>
        </is>
      </c>
    </row>
    <row r="28" ht="16" customHeight="1" s="380">
      <c r="B28" s="4" t="inlineStr">
        <is>
          <t>HNX01</t>
        </is>
      </c>
      <c r="D28" s="339" t="inlineStr">
        <is>
          <t>KL giao dịch Trái phiếu doanh nghiệp</t>
        </is>
      </c>
      <c r="E28" s="4" t="n"/>
      <c r="F28" s="184" t="inlineStr">
        <is>
          <t>Báo cáo</t>
        </is>
      </c>
      <c r="G28" s="4" t="inlineStr">
        <is>
          <t>Chỉ tiêu phái sinh</t>
        </is>
      </c>
      <c r="H28" s="4" t="inlineStr">
        <is>
          <t>TB</t>
        </is>
      </c>
      <c r="I28" s="4" t="n"/>
      <c r="J28" s="4" t="inlineStr">
        <is>
          <t>Σ KLGD</t>
        </is>
      </c>
    </row>
    <row r="29" ht="16" customHeight="1" s="380">
      <c r="B29" s="4" t="inlineStr">
        <is>
          <t>HNX01</t>
        </is>
      </c>
      <c r="D29" s="198" t="inlineStr">
        <is>
          <t>KL giao dịch Chứng chỉ quỹ</t>
        </is>
      </c>
      <c r="E29" s="4" t="n"/>
      <c r="F29" s="184" t="inlineStr">
        <is>
          <t>Báo cáo</t>
        </is>
      </c>
      <c r="G29" s="4" t="inlineStr">
        <is>
          <t>Chỉ tiêu phái sinh</t>
        </is>
      </c>
      <c r="H29" s="4" t="inlineStr">
        <is>
          <t>TB</t>
        </is>
      </c>
      <c r="I29" s="4" t="n"/>
      <c r="J29" s="4" t="inlineStr">
        <is>
          <t>Σ KLGD</t>
        </is>
      </c>
    </row>
    <row r="30" ht="16" customHeight="1" s="380">
      <c r="B30" s="4" t="inlineStr">
        <is>
          <t>HNX01</t>
        </is>
      </c>
      <c r="D30" s="198" t="inlineStr">
        <is>
          <t>KL giao dịch Chứng chỉ quỹ (ETF)</t>
        </is>
      </c>
      <c r="E30" s="4" t="n"/>
      <c r="F30" s="184" t="inlineStr">
        <is>
          <t>Báo cáo</t>
        </is>
      </c>
      <c r="G30" s="4" t="inlineStr">
        <is>
          <t>Chỉ tiêu phái sinh</t>
        </is>
      </c>
      <c r="H30" s="4" t="inlineStr">
        <is>
          <t>TB</t>
        </is>
      </c>
      <c r="I30" s="4" t="n"/>
      <c r="J30" s="4" t="inlineStr">
        <is>
          <t>Σ KLGD</t>
        </is>
      </c>
    </row>
    <row r="31" ht="16" customHeight="1" s="380">
      <c r="B31" s="4" t="inlineStr">
        <is>
          <t>HNX01</t>
        </is>
      </c>
      <c r="D31" s="337" t="inlineStr">
        <is>
          <t>Tổng giá trị vốn hóa thị trường cổ phiếu</t>
        </is>
      </c>
      <c r="E31" s="4" t="n"/>
      <c r="F31" s="184" t="inlineStr">
        <is>
          <t>Báo cáo</t>
        </is>
      </c>
      <c r="G31" s="4" t="inlineStr">
        <is>
          <t>Chỉ tiêu phái sinh</t>
        </is>
      </c>
      <c r="H31" s="4" t="inlineStr">
        <is>
          <t>TB</t>
        </is>
      </c>
      <c r="I31" s="4" t="n"/>
      <c r="J31" s="4" t="inlineStr">
        <is>
          <t>Tổng giá trị vốn hóa CP</t>
        </is>
      </c>
    </row>
    <row r="32" ht="16" customHeight="1" s="380">
      <c r="B32" s="4" t="inlineStr">
        <is>
          <t>HNX01</t>
        </is>
      </c>
      <c r="D32" s="198" t="inlineStr">
        <is>
          <t>Niêm yết (theo phân ngành - Ngành cấp 1)</t>
        </is>
      </c>
      <c r="E32" s="4" t="n"/>
      <c r="F32" s="184" t="inlineStr">
        <is>
          <t>Báo cáo</t>
        </is>
      </c>
      <c r="G32" s="4" t="inlineStr">
        <is>
          <t>Chỉ tiêu phái sinh</t>
        </is>
      </c>
      <c r="H32" s="4" t="inlineStr">
        <is>
          <t>TB</t>
        </is>
      </c>
      <c r="I32" s="4" t="n"/>
      <c r="J32" s="4" t="inlineStr">
        <is>
          <t>Tổng của tất cả CP (Lấy theo khối lượng niêm yết * giá cuối ngày)</t>
        </is>
      </c>
    </row>
    <row r="33" ht="16" customHeight="1" s="380">
      <c r="B33" s="4" t="inlineStr">
        <is>
          <t>HNX01</t>
        </is>
      </c>
      <c r="D33" s="198" t="inlineStr">
        <is>
          <t xml:space="preserve">Giá cổ phiếu </t>
        </is>
      </c>
      <c r="E33" s="4" t="n"/>
      <c r="F33" s="184" t="inlineStr">
        <is>
          <t>Báo cáo</t>
        </is>
      </c>
      <c r="G33" s="4" t="inlineStr">
        <is>
          <t>Chỉ tiêu cơ sở</t>
        </is>
      </c>
      <c r="H33" s="4" t="inlineStr">
        <is>
          <t>Dễ</t>
        </is>
      </c>
      <c r="I33" s="4" t="n"/>
      <c r="J33" s="4" t="inlineStr">
        <is>
          <t>Giá giao dịch: Dữ liệu thông tin thị trường từ SGDCK (giá chứng khoán).</t>
        </is>
      </c>
      <c r="K33" s="4" t="inlineStr">
        <is>
          <t>SGDCK</t>
        </is>
      </c>
    </row>
    <row r="34" ht="16" customHeight="1" s="380">
      <c r="B34" s="4" t="inlineStr">
        <is>
          <t>HNX01</t>
        </is>
      </c>
      <c r="D34" s="198" t="inlineStr">
        <is>
          <t>Số cổ phiếu lưu hành</t>
        </is>
      </c>
      <c r="E34" s="4" t="n"/>
      <c r="F34" s="184" t="inlineStr">
        <is>
          <t>Báo cáo</t>
        </is>
      </c>
      <c r="G34" s="4" t="inlineStr">
        <is>
          <t>Chỉ tiêu phái sinh</t>
        </is>
      </c>
      <c r="H34" s="4" t="inlineStr">
        <is>
          <t>Dễ</t>
        </is>
      </c>
      <c r="I34" s="4" t="n"/>
      <c r="J34" s="4" t="inlineStr">
        <is>
          <t>Khối lượng cổ phiếu đang lưu hành: Dữ liệu từ VSDC</t>
        </is>
      </c>
      <c r="K34" s="4" t="inlineStr">
        <is>
          <t>VSDC</t>
        </is>
      </c>
      <c r="L34" s="4" t="inlineStr">
        <is>
          <t>lấy 1:1</t>
        </is>
      </c>
    </row>
    <row r="35" ht="16" customHeight="1" s="380">
      <c r="B35" s="4" t="inlineStr">
        <is>
          <t>HNX01</t>
        </is>
      </c>
      <c r="D35" s="198" t="inlineStr">
        <is>
          <t>UPCoM</t>
        </is>
      </c>
      <c r="E35" s="4" t="n"/>
      <c r="F35" s="184" t="inlineStr">
        <is>
          <t>Báo cáo</t>
        </is>
      </c>
      <c r="G35" s="4" t="inlineStr">
        <is>
          <t>Chỉ tiêu phái sinh</t>
        </is>
      </c>
      <c r="H35" s="4" t="inlineStr">
        <is>
          <t>TB</t>
        </is>
      </c>
    </row>
    <row r="36" ht="16" customHeight="1" s="380">
      <c r="B36" s="4" t="inlineStr">
        <is>
          <t>HNX01</t>
        </is>
      </c>
      <c r="D36" s="198" t="inlineStr">
        <is>
          <t xml:space="preserve">Giá cổ phiếu </t>
        </is>
      </c>
      <c r="E36" s="4" t="n"/>
      <c r="F36" s="184" t="inlineStr">
        <is>
          <t>Báo cáo</t>
        </is>
      </c>
      <c r="G36" s="4" t="inlineStr">
        <is>
          <t>Chỉ tiêu cơ sở</t>
        </is>
      </c>
      <c r="H36" s="4" t="inlineStr">
        <is>
          <t>Dễ</t>
        </is>
      </c>
    </row>
    <row r="37" ht="16" customHeight="1" s="380">
      <c r="B37" s="4" t="inlineStr">
        <is>
          <t>HNX01</t>
        </is>
      </c>
      <c r="D37" s="198" t="inlineStr">
        <is>
          <t>Số cổ phiếu lưu hành</t>
        </is>
      </c>
      <c r="E37" s="4" t="n"/>
      <c r="F37" s="184" t="inlineStr">
        <is>
          <t>Báo cáo</t>
        </is>
      </c>
      <c r="G37" s="4" t="inlineStr">
        <is>
          <t>Chỉ tiêu phái sinh</t>
        </is>
      </c>
      <c r="H37" s="4" t="inlineStr">
        <is>
          <t>Dễ</t>
        </is>
      </c>
    </row>
    <row r="38" ht="16" customHeight="1" s="380">
      <c r="B38" s="4" t="inlineStr">
        <is>
          <t>HNX01</t>
        </is>
      </c>
      <c r="D38" s="337" t="inlineStr">
        <is>
          <t>Giao dịch khớp lệnh</t>
        </is>
      </c>
      <c r="F38" s="184" t="inlineStr">
        <is>
          <t>Báo cáo</t>
        </is>
      </c>
    </row>
    <row r="39" ht="16" customHeight="1" s="380">
      <c r="B39" s="4" t="inlineStr">
        <is>
          <t>HNX01</t>
        </is>
      </c>
      <c r="D39" s="340" t="inlineStr">
        <is>
          <t>Khối lượng giao dịch khớp lệnh</t>
        </is>
      </c>
      <c r="E39" s="4" t="n"/>
      <c r="F39" s="184" t="inlineStr">
        <is>
          <t>Báo cáo</t>
        </is>
      </c>
      <c r="G39" s="4" t="inlineStr">
        <is>
          <t>Chỉ tiêu phái sinh</t>
        </is>
      </c>
      <c r="H39" s="4" t="inlineStr">
        <is>
          <t>TB</t>
        </is>
      </c>
      <c r="I39" s="4" t="n"/>
      <c r="J39" s="4" t="inlineStr">
        <is>
          <t>∑ khối lượng giao dịch khớp lệnh</t>
        </is>
      </c>
      <c r="K39" s="4" t="inlineStr">
        <is>
          <t>SGDCK</t>
        </is>
      </c>
    </row>
    <row r="40" ht="16" customHeight="1" s="380">
      <c r="B40" s="4" t="inlineStr">
        <is>
          <t>HNX01</t>
        </is>
      </c>
      <c r="D40" s="198" t="inlineStr">
        <is>
          <t>Cổ phiếu Niêm Yết</t>
        </is>
      </c>
      <c r="E40" s="4" t="n"/>
      <c r="F40" s="184" t="inlineStr">
        <is>
          <t>Báo cáo</t>
        </is>
      </c>
      <c r="G40" s="4" t="inlineStr">
        <is>
          <t>Chỉ tiêu phái sinh</t>
        </is>
      </c>
      <c r="H40" s="4" t="inlineStr">
        <is>
          <t>TB</t>
        </is>
      </c>
      <c r="I40" s="4" t="n"/>
      <c r="J40" s="4" t="inlineStr">
        <is>
          <t>∑ khối lượng giao dịch khớp lệnh CP niêm yết</t>
        </is>
      </c>
    </row>
    <row r="41" ht="16" customHeight="1" s="380">
      <c r="B41" s="4" t="inlineStr">
        <is>
          <t>HNX01</t>
        </is>
      </c>
      <c r="D41" s="198" t="inlineStr">
        <is>
          <t>Cổ phiếu UpCom</t>
        </is>
      </c>
      <c r="E41" s="4" t="n"/>
      <c r="F41" s="184" t="inlineStr">
        <is>
          <t>Báo cáo</t>
        </is>
      </c>
      <c r="G41" s="4" t="inlineStr">
        <is>
          <t>Chỉ tiêu phái sinh</t>
        </is>
      </c>
      <c r="H41" s="4" t="inlineStr">
        <is>
          <t>TB</t>
        </is>
      </c>
      <c r="I41" s="4" t="n"/>
      <c r="J41" s="4" t="inlineStr">
        <is>
          <t>∑ khối lượng giao dịch khớp lệnh CP UpCom</t>
        </is>
      </c>
    </row>
    <row r="42" ht="16" customHeight="1" s="380">
      <c r="B42" s="4" t="inlineStr">
        <is>
          <t>HNX01</t>
        </is>
      </c>
      <c r="D42" s="198" t="inlineStr">
        <is>
          <t>Chứng chỉ quỹ</t>
        </is>
      </c>
      <c r="E42" s="4" t="n"/>
      <c r="F42" s="184" t="inlineStr">
        <is>
          <t>Báo cáo</t>
        </is>
      </c>
      <c r="G42" s="4" t="inlineStr">
        <is>
          <t>Chỉ tiêu phái sinh</t>
        </is>
      </c>
      <c r="H42" s="4" t="inlineStr">
        <is>
          <t>TB</t>
        </is>
      </c>
      <c r="I42" s="4" t="n"/>
      <c r="J42" s="4" t="inlineStr">
        <is>
          <t>∑ khối lượng giao dịch khớp lệnh CCQ</t>
        </is>
      </c>
    </row>
    <row r="43" ht="16" customHeight="1" s="380">
      <c r="B43" s="4" t="inlineStr">
        <is>
          <t>HNX01</t>
        </is>
      </c>
      <c r="D43" s="198" t="inlineStr">
        <is>
          <t>Chứng chỉ quỹ (ETF)</t>
        </is>
      </c>
      <c r="E43" s="4" t="n"/>
      <c r="F43" s="184" t="inlineStr">
        <is>
          <t>Báo cáo</t>
        </is>
      </c>
      <c r="G43" s="4" t="inlineStr">
        <is>
          <t>Chỉ tiêu phái sinh</t>
        </is>
      </c>
      <c r="H43" s="4" t="inlineStr">
        <is>
          <t>TB</t>
        </is>
      </c>
      <c r="I43" s="4" t="n"/>
      <c r="J43" s="4" t="inlineStr">
        <is>
          <t>∑ khối lượng giao dịch khớp lệnh CCQ ETF</t>
        </is>
      </c>
    </row>
    <row r="44" ht="16" customHeight="1" s="380">
      <c r="B44" s="4" t="inlineStr">
        <is>
          <t>HNX01</t>
        </is>
      </c>
      <c r="D44" s="340" t="inlineStr">
        <is>
          <t>Giá trị giao dịch khớp lệnh</t>
        </is>
      </c>
      <c r="E44" s="4" t="inlineStr">
        <is>
          <t>Tổng giá trị giao dịch khớp lệnh</t>
        </is>
      </c>
      <c r="F44" s="184" t="inlineStr">
        <is>
          <t>Báo cáo</t>
        </is>
      </c>
      <c r="G44" s="4" t="inlineStr">
        <is>
          <t>Chỉ tiêu phái sinh</t>
        </is>
      </c>
      <c r="H44" s="4" t="inlineStr">
        <is>
          <t>TB</t>
        </is>
      </c>
      <c r="I44" s="4" t="n"/>
      <c r="J44" s="4" t="inlineStr">
        <is>
          <t>∑ (Khối lượng giao dịch khớp lệnh × Giá giao dịch) toàn TT</t>
        </is>
      </c>
    </row>
    <row r="45" ht="17" customHeight="1" s="380">
      <c r="B45" s="4" t="inlineStr">
        <is>
          <t>HNX01</t>
        </is>
      </c>
      <c r="D45" s="198" t="inlineStr">
        <is>
          <t>Cổ phiếu Niêm Yết</t>
        </is>
      </c>
      <c r="E45" s="4" t="n"/>
      <c r="F45" s="184" t="inlineStr">
        <is>
          <t>Báo cáo</t>
        </is>
      </c>
      <c r="G45" s="4" t="inlineStr">
        <is>
          <t>Chỉ tiêu phái sinh</t>
        </is>
      </c>
      <c r="H45" s="4" t="inlineStr">
        <is>
          <t>TB</t>
        </is>
      </c>
      <c r="I45" s="4" t="n"/>
      <c r="J45" s="4" t="inlineStr">
        <is>
          <t>∑ (Khối lượng giao dịch khớp lệnh × Giá giao dịch) của CP Niêm Yết</t>
        </is>
      </c>
      <c r="K45" s="194" t="inlineStr">
        <is>
          <t>Dữ liệu giao dịch hàng ngày (MDDS), Dữ liệu sổ lệnh giao dịch từ SGDCK</t>
        </is>
      </c>
    </row>
    <row r="46" ht="17" customHeight="1" s="380">
      <c r="B46" s="4" t="inlineStr">
        <is>
          <t>HNX01</t>
        </is>
      </c>
      <c r="D46" s="198" t="inlineStr">
        <is>
          <t>Khối lượng GD khớp lệnh trong kỳ</t>
        </is>
      </c>
      <c r="E46" s="4" t="n"/>
      <c r="F46" s="184" t="inlineStr">
        <is>
          <t>Báo cáo</t>
        </is>
      </c>
      <c r="G46" s="4" t="inlineStr">
        <is>
          <t>Chỉ tiêu phái sinh</t>
        </is>
      </c>
      <c r="H46" s="4" t="inlineStr">
        <is>
          <t>TB</t>
        </is>
      </c>
      <c r="I46" s="4" t="n"/>
      <c r="J46" s="4" t="inlineStr">
        <is>
          <t>Σ KLGD khớp lệnh</t>
        </is>
      </c>
      <c r="K46" s="194" t="inlineStr">
        <is>
          <t>Dữ liệu giao dịch hàng ngày (MDDS), Dữ liệu sổ lệnh giao dịch từ SGDCK</t>
        </is>
      </c>
    </row>
    <row r="47" ht="17" customHeight="1" s="380">
      <c r="B47" s="4" t="inlineStr">
        <is>
          <t>HNX01</t>
        </is>
      </c>
      <c r="D47" s="198" t="inlineStr">
        <is>
          <t>Giá giao dịch khớp lệnh</t>
        </is>
      </c>
      <c r="E47" s="4" t="n"/>
      <c r="F47" s="184" t="inlineStr">
        <is>
          <t>Báo cáo</t>
        </is>
      </c>
      <c r="G47" s="4" t="inlineStr">
        <is>
          <t>Chỉ tiêu cơ sở</t>
        </is>
      </c>
      <c r="H47" s="4" t="inlineStr">
        <is>
          <t>TB</t>
        </is>
      </c>
      <c r="I47" s="4" t="n"/>
      <c r="J47" s="4" t="inlineStr">
        <is>
          <t>Giá giao dịch khớp lệnh</t>
        </is>
      </c>
      <c r="K47" s="194" t="inlineStr">
        <is>
          <t>Dữ liệu giao dịch hàng ngày (MDDS), Dữ liệu sổ lệnh giao dịch từ SGDCK</t>
        </is>
      </c>
    </row>
    <row r="48" ht="16" customHeight="1" s="380">
      <c r="B48" s="4" t="inlineStr">
        <is>
          <t>HNX01</t>
        </is>
      </c>
      <c r="D48" s="198" t="inlineStr">
        <is>
          <t>Cổ phiếu UpCom</t>
        </is>
      </c>
      <c r="F48" s="184" t="inlineStr">
        <is>
          <t>Báo cáo</t>
        </is>
      </c>
      <c r="G48" s="4" t="inlineStr">
        <is>
          <t>Chỉ tiêu phái sinh</t>
        </is>
      </c>
      <c r="H48" s="4" t="inlineStr">
        <is>
          <t>TB</t>
        </is>
      </c>
    </row>
    <row r="49" ht="17" customHeight="1" s="380">
      <c r="B49" s="4" t="inlineStr">
        <is>
          <t>HNX01</t>
        </is>
      </c>
      <c r="D49" s="198" t="inlineStr">
        <is>
          <t>Khối lượng GD khớp lệnh trong kỳ</t>
        </is>
      </c>
      <c r="E49" s="4" t="n"/>
      <c r="F49" s="184" t="inlineStr">
        <is>
          <t>Báo cáo</t>
        </is>
      </c>
      <c r="G49" s="4" t="inlineStr">
        <is>
          <t>Chỉ tiêu phái sinh</t>
        </is>
      </c>
      <c r="H49" s="4" t="inlineStr">
        <is>
          <t>TB</t>
        </is>
      </c>
      <c r="K49" s="194" t="inlineStr">
        <is>
          <t>Dữ liệu giao dịch hàng ngày (MDDS), Dữ liệu sổ lệnh giao dịch từ SGDCK</t>
        </is>
      </c>
    </row>
    <row r="50" ht="17" customHeight="1" s="380">
      <c r="B50" s="4" t="inlineStr">
        <is>
          <t>HNX01</t>
        </is>
      </c>
      <c r="D50" s="198" t="inlineStr">
        <is>
          <t>Giá giao dịch khớp lệnh</t>
        </is>
      </c>
      <c r="E50" s="4" t="n"/>
      <c r="F50" s="184" t="inlineStr">
        <is>
          <t>Báo cáo</t>
        </is>
      </c>
      <c r="G50" s="4" t="inlineStr">
        <is>
          <t>Chỉ tiêu cơ sở</t>
        </is>
      </c>
      <c r="H50" s="4" t="inlineStr">
        <is>
          <t>TB</t>
        </is>
      </c>
      <c r="K50" s="194" t="inlineStr">
        <is>
          <t>Dữ liệu giao dịch hàng ngày (MDDS), Dữ liệu sổ lệnh giao dịch từ SGDCK</t>
        </is>
      </c>
    </row>
    <row r="51" ht="16" customHeight="1" s="380">
      <c r="B51" s="4" t="inlineStr">
        <is>
          <t>HNX01</t>
        </is>
      </c>
      <c r="D51" s="198" t="inlineStr">
        <is>
          <t>Chứng chỉ quỹ</t>
        </is>
      </c>
      <c r="F51" s="184" t="inlineStr">
        <is>
          <t>Báo cáo</t>
        </is>
      </c>
      <c r="G51" s="211" t="inlineStr">
        <is>
          <t>Chỉ tiêu phái sinh</t>
        </is>
      </c>
      <c r="H51" s="211" t="inlineStr">
        <is>
          <t>TB</t>
        </is>
      </c>
    </row>
    <row r="52" ht="17" customHeight="1" s="380">
      <c r="B52" s="4" t="inlineStr">
        <is>
          <t>HNX01</t>
        </is>
      </c>
      <c r="D52" s="198" t="inlineStr">
        <is>
          <t>Khối lượng GD khớp lệnh trong kỳ</t>
        </is>
      </c>
      <c r="E52" s="4" t="n"/>
      <c r="F52" s="184" t="inlineStr">
        <is>
          <t>Báo cáo</t>
        </is>
      </c>
      <c r="G52" s="4" t="inlineStr">
        <is>
          <t>Chỉ tiêu phái sinh</t>
        </is>
      </c>
      <c r="H52" s="4" t="inlineStr">
        <is>
          <t>TB</t>
        </is>
      </c>
      <c r="K52" s="194" t="inlineStr">
        <is>
          <t>Dữ liệu giao dịch hàng ngày (MDDS), Dữ liệu sổ lệnh giao dịch từ SGDCK</t>
        </is>
      </c>
    </row>
    <row r="53" ht="17" customHeight="1" s="380">
      <c r="B53" s="4" t="inlineStr">
        <is>
          <t>HNX01</t>
        </is>
      </c>
      <c r="D53" s="198" t="inlineStr">
        <is>
          <t>Giá giao dịch khớp lệnh</t>
        </is>
      </c>
      <c r="E53" s="4" t="n"/>
      <c r="F53" s="184" t="inlineStr">
        <is>
          <t>Báo cáo</t>
        </is>
      </c>
      <c r="G53" s="4" t="inlineStr">
        <is>
          <t>Chỉ tiêu cơ sở</t>
        </is>
      </c>
      <c r="H53" s="4" t="inlineStr">
        <is>
          <t>TB</t>
        </is>
      </c>
      <c r="K53" s="194" t="inlineStr">
        <is>
          <t>Dữ liệu giao dịch hàng ngày (MDDS), Dữ liệu sổ lệnh giao dịch từ SGDCK</t>
        </is>
      </c>
    </row>
    <row r="54" ht="16" customHeight="1" s="380">
      <c r="B54" s="4" t="inlineStr">
        <is>
          <t>HNX01</t>
        </is>
      </c>
      <c r="D54" s="198" t="inlineStr">
        <is>
          <t>Chứng chỉ quỹ (ETF)</t>
        </is>
      </c>
      <c r="F54" s="184" t="inlineStr">
        <is>
          <t>Báo cáo</t>
        </is>
      </c>
      <c r="G54" s="4" t="inlineStr">
        <is>
          <t>Chỉ tiêu phái sinh</t>
        </is>
      </c>
      <c r="H54" s="4" t="inlineStr">
        <is>
          <t>TB</t>
        </is>
      </c>
    </row>
    <row r="55" ht="17" customHeight="1" s="380">
      <c r="B55" s="4" t="inlineStr">
        <is>
          <t>HNX01</t>
        </is>
      </c>
      <c r="D55" s="198" t="inlineStr">
        <is>
          <t>Khối lượng GD khớp lệnh trong kỳ</t>
        </is>
      </c>
      <c r="E55" s="4" t="n"/>
      <c r="F55" s="184" t="inlineStr">
        <is>
          <t>Báo cáo</t>
        </is>
      </c>
      <c r="G55" s="4" t="inlineStr">
        <is>
          <t>Chỉ tiêu phái sinh</t>
        </is>
      </c>
      <c r="H55" s="4" t="inlineStr">
        <is>
          <t>TB</t>
        </is>
      </c>
      <c r="K55" s="194" t="inlineStr">
        <is>
          <t>Dữ liệu giao dịch hàng ngày (MDDS), Dữ liệu sổ lệnh giao dịch từ SGDCK</t>
        </is>
      </c>
    </row>
    <row r="56" ht="17" customHeight="1" s="380">
      <c r="B56" s="4" t="inlineStr">
        <is>
          <t>HNX01</t>
        </is>
      </c>
      <c r="D56" s="198" t="inlineStr">
        <is>
          <t>Giá giao dịch khớp lệnh</t>
        </is>
      </c>
      <c r="E56" s="4" t="n"/>
      <c r="F56" s="184" t="inlineStr">
        <is>
          <t>Báo cáo</t>
        </is>
      </c>
      <c r="G56" s="4" t="inlineStr">
        <is>
          <t>Chỉ tiêu cơ sở</t>
        </is>
      </c>
      <c r="H56" s="4" t="inlineStr">
        <is>
          <t>TB</t>
        </is>
      </c>
      <c r="K56" s="194" t="inlineStr">
        <is>
          <t>Dữ liệu giao dịch hàng ngày (MDDS), Dữ liệu sổ lệnh giao dịch từ SGDCK</t>
        </is>
      </c>
    </row>
    <row r="57" ht="16" customHeight="1" s="380">
      <c r="B57" s="4" t="inlineStr">
        <is>
          <t>HNX01</t>
        </is>
      </c>
      <c r="D57" s="337" t="inlineStr">
        <is>
          <t>Giao dịch thỏa thuận</t>
        </is>
      </c>
      <c r="F57" s="184" t="inlineStr">
        <is>
          <t>Báo cáo</t>
        </is>
      </c>
    </row>
    <row r="58" ht="16" customHeight="1" s="380">
      <c r="B58" s="4" t="inlineStr">
        <is>
          <t>HNX01</t>
        </is>
      </c>
      <c r="D58" s="340" t="inlineStr">
        <is>
          <t>Khối lượng giao dịch thỏa thuận</t>
        </is>
      </c>
      <c r="F58" s="184" t="inlineStr">
        <is>
          <t>Báo cáo</t>
        </is>
      </c>
      <c r="G58" s="211" t="inlineStr">
        <is>
          <t>Chỉ tiêu phái sinh</t>
        </is>
      </c>
      <c r="H58" s="211" t="inlineStr">
        <is>
          <t>TB</t>
        </is>
      </c>
      <c r="I58" s="4" t="n"/>
      <c r="J58" s="4" t="inlineStr">
        <is>
          <t>∑ khối lượng giao dịch thỏa thuận</t>
        </is>
      </c>
    </row>
    <row r="59" ht="16" customHeight="1" s="380">
      <c r="B59" s="4" t="inlineStr">
        <is>
          <t>HNX01</t>
        </is>
      </c>
      <c r="D59" s="198" t="inlineStr">
        <is>
          <t>Cổ phiếu Niêm Yết</t>
        </is>
      </c>
      <c r="F59" s="184" t="inlineStr">
        <is>
          <t>Báo cáo</t>
        </is>
      </c>
      <c r="G59" s="4" t="inlineStr">
        <is>
          <t>Chỉ tiêu phái sinh</t>
        </is>
      </c>
      <c r="H59" s="4" t="inlineStr">
        <is>
          <t>TB</t>
        </is>
      </c>
      <c r="I59" s="4" t="n"/>
      <c r="J59" s="4" t="inlineStr">
        <is>
          <t>∑ khối lượng giao dịch thỏa thuận CP niêm yết</t>
        </is>
      </c>
    </row>
    <row r="60" ht="16" customHeight="1" s="380">
      <c r="B60" s="4" t="inlineStr">
        <is>
          <t>HNX01</t>
        </is>
      </c>
      <c r="D60" s="198" t="inlineStr">
        <is>
          <t>Cổ phiếu UpCom</t>
        </is>
      </c>
      <c r="F60" s="184" t="inlineStr">
        <is>
          <t>Báo cáo</t>
        </is>
      </c>
      <c r="G60" s="4" t="inlineStr">
        <is>
          <t>Chỉ tiêu phái sinh</t>
        </is>
      </c>
      <c r="H60" s="4" t="inlineStr">
        <is>
          <t>TB</t>
        </is>
      </c>
      <c r="I60" s="4" t="n"/>
      <c r="J60" s="4" t="inlineStr">
        <is>
          <t>∑ khối lượng giao dịch thỏa thuận CP UpCom</t>
        </is>
      </c>
    </row>
    <row r="61" ht="16" customHeight="1" s="380">
      <c r="B61" s="4" t="inlineStr">
        <is>
          <t>HNX01</t>
        </is>
      </c>
      <c r="D61" s="339" t="inlineStr">
        <is>
          <t>Trái phiếu doanh nghiệp</t>
        </is>
      </c>
      <c r="F61" s="184" t="inlineStr">
        <is>
          <t>Báo cáo</t>
        </is>
      </c>
      <c r="G61" s="4" t="inlineStr">
        <is>
          <t>Chỉ tiêu phái sinh</t>
        </is>
      </c>
      <c r="H61" s="4" t="inlineStr">
        <is>
          <t>TB</t>
        </is>
      </c>
      <c r="J61" s="4">
        <f>"∑ khối lượng giao dịch thỏa thuận "&amp;D61</f>
        <v/>
      </c>
    </row>
    <row r="62" ht="16" customHeight="1" s="380">
      <c r="B62" s="4" t="inlineStr">
        <is>
          <t>HNX01</t>
        </is>
      </c>
      <c r="D62" s="198" t="inlineStr">
        <is>
          <t>Chứng chỉ quỹ</t>
        </is>
      </c>
      <c r="F62" s="184" t="inlineStr">
        <is>
          <t>Báo cáo</t>
        </is>
      </c>
      <c r="G62" s="4" t="inlineStr">
        <is>
          <t>Chỉ tiêu phái sinh</t>
        </is>
      </c>
      <c r="H62" s="4" t="inlineStr">
        <is>
          <t>TB</t>
        </is>
      </c>
      <c r="J62" s="4">
        <f>"∑ khối lượng giao dịch thỏa thuận "&amp;D62</f>
        <v/>
      </c>
    </row>
    <row r="63" ht="16" customHeight="1" s="380">
      <c r="B63" s="4" t="inlineStr">
        <is>
          <t>HNX01</t>
        </is>
      </c>
      <c r="D63" s="198" t="inlineStr">
        <is>
          <t>Chứng chỉ quỹ (ETF)</t>
        </is>
      </c>
      <c r="F63" s="184" t="inlineStr">
        <is>
          <t>Báo cáo</t>
        </is>
      </c>
      <c r="G63" s="4" t="inlineStr">
        <is>
          <t>Chỉ tiêu phái sinh</t>
        </is>
      </c>
      <c r="H63" s="4" t="inlineStr">
        <is>
          <t>TB</t>
        </is>
      </c>
      <c r="J63" s="4">
        <f>"∑ khối lượng giao dịch thỏa thuận "&amp;D63</f>
        <v/>
      </c>
    </row>
    <row r="64" ht="17" customHeight="1" s="380">
      <c r="B64" s="4" t="inlineStr">
        <is>
          <t>HNX01</t>
        </is>
      </c>
      <c r="D64" s="340" t="inlineStr">
        <is>
          <t>Giá trị giao dịch thỏa thuận</t>
        </is>
      </c>
      <c r="E64" s="4" t="inlineStr">
        <is>
          <t>Tổng giá trị giao dịch thỏa thuận</t>
        </is>
      </c>
      <c r="F64" s="184" t="inlineStr">
        <is>
          <t>Báo cáo</t>
        </is>
      </c>
      <c r="G64" s="4" t="inlineStr">
        <is>
          <t>Chỉ tiêu phái sinh</t>
        </is>
      </c>
      <c r="H64" s="4" t="inlineStr">
        <is>
          <t>TB</t>
        </is>
      </c>
      <c r="I64" s="195" t="n"/>
      <c r="J64" s="195" t="inlineStr">
        <is>
          <t>∑ (Khối lượng giao dịch thỏa thuận × Giá giao dịch)</t>
        </is>
      </c>
      <c r="K64" s="4" t="inlineStr">
        <is>
          <t>SGDCK</t>
        </is>
      </c>
    </row>
    <row r="65" ht="16" customHeight="1" s="380">
      <c r="B65" s="4" t="inlineStr">
        <is>
          <t>HNX01</t>
        </is>
      </c>
      <c r="D65" s="198" t="inlineStr">
        <is>
          <t>Cổ phiếu Niêm Yết</t>
        </is>
      </c>
      <c r="F65" s="184" t="inlineStr">
        <is>
          <t>Báo cáo</t>
        </is>
      </c>
      <c r="G65" s="4" t="inlineStr">
        <is>
          <t>Chỉ tiêu phái sinh</t>
        </is>
      </c>
      <c r="H65" s="4" t="inlineStr">
        <is>
          <t>TB</t>
        </is>
      </c>
      <c r="I65" s="4" t="n"/>
      <c r="J65" s="4" t="inlineStr">
        <is>
          <t>∑ (Khối lượng giao dịch thỏa thuận × Giá giao dịch) CP niêm yết</t>
        </is>
      </c>
      <c r="K65" s="4" t="inlineStr">
        <is>
          <t>SGDCK</t>
        </is>
      </c>
    </row>
    <row r="66" ht="16" customHeight="1" s="380">
      <c r="B66" s="4" t="inlineStr">
        <is>
          <t>HNX01</t>
        </is>
      </c>
      <c r="D66" s="198" t="inlineStr">
        <is>
          <t>Khối lượng GD thỏa thuận trong kỳ</t>
        </is>
      </c>
      <c r="F66" s="184" t="inlineStr">
        <is>
          <t>Báo cáo</t>
        </is>
      </c>
      <c r="G66" s="4" t="inlineStr">
        <is>
          <t>Chỉ tiêu phái sinh</t>
        </is>
      </c>
      <c r="H66" s="4" t="inlineStr">
        <is>
          <t>Trùng</t>
        </is>
      </c>
      <c r="I66" s="4" t="n"/>
      <c r="J66" s="4" t="inlineStr">
        <is>
          <t>Σ KLGD thỏa thuận</t>
        </is>
      </c>
      <c r="K66" s="4" t="inlineStr">
        <is>
          <t>SGDCK</t>
        </is>
      </c>
    </row>
    <row r="67" ht="16" customHeight="1" s="380">
      <c r="B67" s="4" t="inlineStr">
        <is>
          <t>HNX01</t>
        </is>
      </c>
      <c r="D67" s="198" t="inlineStr">
        <is>
          <t>Giá giao dịch thỏa thuận</t>
        </is>
      </c>
      <c r="F67" s="184" t="inlineStr">
        <is>
          <t>Báo cáo</t>
        </is>
      </c>
      <c r="G67" s="4" t="inlineStr">
        <is>
          <t>Chỉ tiêu cơ sở</t>
        </is>
      </c>
      <c r="H67" s="4" t="inlineStr">
        <is>
          <t>Dễ</t>
        </is>
      </c>
      <c r="I67" s="4" t="n"/>
      <c r="J67" s="4" t="inlineStr">
        <is>
          <t>Giá thỏa thuân</t>
        </is>
      </c>
      <c r="K67" s="4" t="inlineStr">
        <is>
          <t>SGDCK</t>
        </is>
      </c>
    </row>
    <row r="68" ht="16" customHeight="1" s="380">
      <c r="B68" s="4" t="inlineStr">
        <is>
          <t>HNX01</t>
        </is>
      </c>
      <c r="D68" s="198" t="inlineStr">
        <is>
          <t>Cổ phiếu UpCom</t>
        </is>
      </c>
      <c r="F68" s="184" t="inlineStr">
        <is>
          <t>Báo cáo</t>
        </is>
      </c>
      <c r="G68" s="4" t="inlineStr">
        <is>
          <t>Chỉ tiêu phái sinh</t>
        </is>
      </c>
      <c r="H68" s="4" t="inlineStr">
        <is>
          <t>TB</t>
        </is>
      </c>
      <c r="K68" s="4" t="inlineStr">
        <is>
          <t>SGDCK</t>
        </is>
      </c>
    </row>
    <row r="69" ht="16" customHeight="1" s="380">
      <c r="B69" s="4" t="inlineStr">
        <is>
          <t>HNX01</t>
        </is>
      </c>
      <c r="D69" s="198" t="inlineStr">
        <is>
          <t>Khối lượng GD thỏa thuận trong kỳ</t>
        </is>
      </c>
      <c r="F69" s="184" t="inlineStr">
        <is>
          <t>Báo cáo</t>
        </is>
      </c>
      <c r="G69" s="4" t="inlineStr">
        <is>
          <t>Chỉ tiêu phái sinh</t>
        </is>
      </c>
      <c r="H69" s="4" t="inlineStr">
        <is>
          <t>Trùng</t>
        </is>
      </c>
      <c r="K69" s="4" t="inlineStr">
        <is>
          <t>SGDCK</t>
        </is>
      </c>
    </row>
    <row r="70" ht="16" customHeight="1" s="380">
      <c r="B70" s="4" t="inlineStr">
        <is>
          <t>HNX01</t>
        </is>
      </c>
      <c r="D70" s="198" t="inlineStr">
        <is>
          <t>Giá giao dịch thỏa thuận</t>
        </is>
      </c>
      <c r="F70" s="184" t="inlineStr">
        <is>
          <t>Báo cáo</t>
        </is>
      </c>
      <c r="G70" s="4" t="inlineStr">
        <is>
          <t>Chỉ tiêu cơ sở</t>
        </is>
      </c>
      <c r="H70" s="4" t="inlineStr">
        <is>
          <t>Dễ</t>
        </is>
      </c>
      <c r="K70" s="4" t="inlineStr">
        <is>
          <t>SGDCK</t>
        </is>
      </c>
    </row>
    <row r="71" ht="16" customHeight="1" s="380">
      <c r="B71" s="4" t="inlineStr">
        <is>
          <t>HNX01</t>
        </is>
      </c>
      <c r="D71" s="339" t="inlineStr">
        <is>
          <t>Trái phiếu doanh nghiệp</t>
        </is>
      </c>
      <c r="F71" s="184" t="inlineStr">
        <is>
          <t>Báo cáo</t>
        </is>
      </c>
      <c r="G71" s="4" t="inlineStr">
        <is>
          <t>Chỉ tiêu phái sinh</t>
        </is>
      </c>
      <c r="H71" s="4" t="inlineStr">
        <is>
          <t>TB</t>
        </is>
      </c>
      <c r="K71" s="4" t="inlineStr">
        <is>
          <t>SGDCK</t>
        </is>
      </c>
    </row>
    <row r="72" ht="16" customHeight="1" s="380">
      <c r="B72" s="4" t="inlineStr">
        <is>
          <t>HNX01</t>
        </is>
      </c>
      <c r="D72" s="198" t="inlineStr">
        <is>
          <t>Khối lượng GD thỏa thuận trong kỳ</t>
        </is>
      </c>
      <c r="F72" s="184" t="inlineStr">
        <is>
          <t>Báo cáo</t>
        </is>
      </c>
      <c r="G72" s="4" t="inlineStr">
        <is>
          <t>Chỉ tiêu phái sinh</t>
        </is>
      </c>
      <c r="H72" s="4" t="inlineStr">
        <is>
          <t>Trùng</t>
        </is>
      </c>
      <c r="K72" s="4" t="inlineStr">
        <is>
          <t>SGDCK</t>
        </is>
      </c>
    </row>
    <row r="73" ht="16" customHeight="1" s="380">
      <c r="B73" s="4" t="inlineStr">
        <is>
          <t>HNX01</t>
        </is>
      </c>
      <c r="D73" s="198" t="inlineStr">
        <is>
          <t>Giá giao dịch thỏa thuận</t>
        </is>
      </c>
      <c r="F73" s="184" t="inlineStr">
        <is>
          <t>Báo cáo</t>
        </is>
      </c>
      <c r="G73" s="4" t="inlineStr">
        <is>
          <t>Chỉ tiêu cơ sở</t>
        </is>
      </c>
      <c r="H73" s="4" t="inlineStr">
        <is>
          <t>Dễ</t>
        </is>
      </c>
      <c r="K73" s="4" t="inlineStr">
        <is>
          <t>SGDCK</t>
        </is>
      </c>
    </row>
    <row r="74" ht="16" customHeight="1" s="380">
      <c r="B74" s="4" t="inlineStr">
        <is>
          <t>HNX01</t>
        </is>
      </c>
      <c r="D74" s="198" t="inlineStr">
        <is>
          <t>Chứng chỉ quỹ</t>
        </is>
      </c>
      <c r="F74" s="184" t="inlineStr">
        <is>
          <t>Báo cáo</t>
        </is>
      </c>
      <c r="G74" s="4" t="inlineStr">
        <is>
          <t>Chỉ tiêu phái sinh</t>
        </is>
      </c>
      <c r="H74" s="4" t="inlineStr">
        <is>
          <t>TB</t>
        </is>
      </c>
      <c r="K74" s="4" t="inlineStr">
        <is>
          <t>SGDCK</t>
        </is>
      </c>
    </row>
    <row r="75" ht="16" customHeight="1" s="380">
      <c r="B75" s="4" t="inlineStr">
        <is>
          <t>HNX01</t>
        </is>
      </c>
      <c r="D75" s="198" t="inlineStr">
        <is>
          <t>Khối lượng GD thỏa thuận trong kỳ</t>
        </is>
      </c>
      <c r="F75" s="184" t="inlineStr">
        <is>
          <t>Báo cáo</t>
        </is>
      </c>
      <c r="G75" s="4" t="inlineStr">
        <is>
          <t>Chỉ tiêu phái sinh</t>
        </is>
      </c>
      <c r="H75" s="4" t="inlineStr">
        <is>
          <t>Trùng</t>
        </is>
      </c>
      <c r="K75" s="4" t="inlineStr">
        <is>
          <t>SGDCK</t>
        </is>
      </c>
    </row>
    <row r="76" ht="16" customHeight="1" s="380">
      <c r="B76" s="4" t="inlineStr">
        <is>
          <t>HNX01</t>
        </is>
      </c>
      <c r="D76" s="198" t="inlineStr">
        <is>
          <t>Giá giao dịch thỏa thuận</t>
        </is>
      </c>
      <c r="F76" s="184" t="inlineStr">
        <is>
          <t>Báo cáo</t>
        </is>
      </c>
      <c r="G76" s="4" t="inlineStr">
        <is>
          <t>Chỉ tiêu cơ sở</t>
        </is>
      </c>
      <c r="H76" s="4" t="inlineStr">
        <is>
          <t>Dễ</t>
        </is>
      </c>
      <c r="K76" s="4" t="inlineStr">
        <is>
          <t>SGDCK</t>
        </is>
      </c>
    </row>
    <row r="77" ht="16" customHeight="1" s="380">
      <c r="B77" s="4" t="inlineStr">
        <is>
          <t>HNX01</t>
        </is>
      </c>
      <c r="D77" s="198" t="inlineStr">
        <is>
          <t>Chứng chỉ quỹ (ETF)</t>
        </is>
      </c>
      <c r="F77" s="184" t="inlineStr">
        <is>
          <t>Báo cáo</t>
        </is>
      </c>
      <c r="G77" s="4" t="inlineStr">
        <is>
          <t>Chỉ tiêu phái sinh</t>
        </is>
      </c>
      <c r="H77" s="4" t="inlineStr">
        <is>
          <t>TB</t>
        </is>
      </c>
      <c r="K77" s="4" t="inlineStr">
        <is>
          <t>SGDCK</t>
        </is>
      </c>
    </row>
    <row r="78" ht="16" customHeight="1" s="380">
      <c r="B78" s="4" t="inlineStr">
        <is>
          <t>HNX01</t>
        </is>
      </c>
      <c r="D78" s="198" t="inlineStr">
        <is>
          <t>Khối lượng GD thỏa thuận trong kỳ</t>
        </is>
      </c>
      <c r="F78" s="184" t="inlineStr">
        <is>
          <t>Báo cáo</t>
        </is>
      </c>
      <c r="G78" s="4" t="inlineStr">
        <is>
          <t>Chỉ tiêu phái sinh</t>
        </is>
      </c>
      <c r="H78" s="4" t="inlineStr">
        <is>
          <t>Trùng</t>
        </is>
      </c>
      <c r="K78" s="4" t="inlineStr">
        <is>
          <t>SGDCK</t>
        </is>
      </c>
    </row>
    <row r="79" ht="16" customHeight="1" s="380">
      <c r="B79" s="4" t="inlineStr">
        <is>
          <t>HNX01</t>
        </is>
      </c>
      <c r="D79" s="198" t="inlineStr">
        <is>
          <t>Giá giao dịch thỏa thuận</t>
        </is>
      </c>
      <c r="F79" s="184" t="inlineStr">
        <is>
          <t>Báo cáo</t>
        </is>
      </c>
      <c r="G79" s="4" t="inlineStr">
        <is>
          <t>Chỉ tiêu cơ sở</t>
        </is>
      </c>
      <c r="H79" s="4" t="inlineStr">
        <is>
          <t>Dễ</t>
        </is>
      </c>
      <c r="K79" s="4" t="inlineStr">
        <is>
          <t>SGDCK</t>
        </is>
      </c>
    </row>
    <row r="80" ht="16" customHeight="1" s="380">
      <c r="B80" s="4" t="inlineStr">
        <is>
          <t>HNX01</t>
        </is>
      </c>
      <c r="D80" s="337" t="inlineStr">
        <is>
          <t>Giao dịch cổ phiếu quỹ</t>
        </is>
      </c>
      <c r="E80" s="4" t="inlineStr">
        <is>
          <t>Giao dịch cổ phiếu quỹ (Treasury Stock) là hoạt động công ty cổ phần đại chúng mua lại chính cổ phiếu đã phát hành của mình từ thị trường bằng nguồn vốn hợp pháp. Cổ phiếu này sau khi mua lại không có quyền biểu quyết, không nhận cổ tức và không được tính vào số cổ phiếu đang lưu hành</t>
        </is>
      </c>
      <c r="F80" s="184" t="inlineStr">
        <is>
          <t>Báo cáo</t>
        </is>
      </c>
      <c r="K80" s="4" t="inlineStr">
        <is>
          <t>SGDCK, IDS</t>
        </is>
      </c>
    </row>
    <row r="81" ht="16" customHeight="1" s="380">
      <c r="B81" s="4" t="inlineStr">
        <is>
          <t>HNX01</t>
        </is>
      </c>
      <c r="D81" s="198" t="inlineStr">
        <is>
          <t>Khối lượng giao dịch CP quỹ</t>
        </is>
      </c>
      <c r="F81" s="184" t="inlineStr">
        <is>
          <t>Báo cáo</t>
        </is>
      </c>
      <c r="G81" s="4" t="inlineStr">
        <is>
          <t>Chỉ tiêu phái sinh</t>
        </is>
      </c>
      <c r="H81" s="4" t="inlineStr">
        <is>
          <t>TB</t>
        </is>
      </c>
      <c r="I81" s="4" t="n"/>
      <c r="J81" s="4" t="inlineStr">
        <is>
          <t>Σ KLGD CP quỹ</t>
        </is>
      </c>
      <c r="K81" s="4" t="inlineStr">
        <is>
          <t>SGDCK, IDS</t>
        </is>
      </c>
    </row>
    <row r="82" ht="17" customHeight="1" s="380">
      <c r="B82" s="4" t="inlineStr">
        <is>
          <t>HNX01</t>
        </is>
      </c>
      <c r="D82" s="198" t="inlineStr">
        <is>
          <t>Giá trị giao dịch CP quỹ</t>
        </is>
      </c>
      <c r="F82" s="184" t="inlineStr">
        <is>
          <t>Báo cáo</t>
        </is>
      </c>
      <c r="G82" s="4" t="inlineStr">
        <is>
          <t>Chỉ tiêu phái sinh</t>
        </is>
      </c>
      <c r="H82" s="4" t="inlineStr">
        <is>
          <t>TB</t>
        </is>
      </c>
      <c r="I82" s="195" t="n"/>
      <c r="J82" s="195" t="inlineStr">
        <is>
          <t>∑ (Khối lượng giao dịch CP quỹ × Giá giao dịch)</t>
        </is>
      </c>
      <c r="K82" s="4" t="inlineStr">
        <is>
          <t>SGDCK, IDS</t>
        </is>
      </c>
    </row>
    <row r="83" ht="16" customHeight="1" s="380">
      <c r="B83" s="4" t="inlineStr">
        <is>
          <t>HNX01</t>
        </is>
      </c>
      <c r="D83" s="198" t="inlineStr">
        <is>
          <t>KLGD</t>
        </is>
      </c>
      <c r="F83" s="184" t="inlineStr">
        <is>
          <t>Báo cáo</t>
        </is>
      </c>
      <c r="G83" s="4" t="inlineStr">
        <is>
          <t>Chỉ tiêu phái sinh</t>
        </is>
      </c>
      <c r="H83" s="4" t="inlineStr">
        <is>
          <t>TB</t>
        </is>
      </c>
      <c r="K83" s="4" t="inlineStr">
        <is>
          <t>SGDCK, IDS</t>
        </is>
      </c>
    </row>
    <row r="84" ht="16" customHeight="1" s="380">
      <c r="B84" s="4" t="inlineStr">
        <is>
          <t>HNX01</t>
        </is>
      </c>
      <c r="D84" s="198" t="inlineStr">
        <is>
          <t>Giá giao dịch</t>
        </is>
      </c>
      <c r="F84" s="184" t="inlineStr">
        <is>
          <t>Báo cáo</t>
        </is>
      </c>
      <c r="G84" s="4" t="inlineStr">
        <is>
          <t>Chỉ tiêu cơ sở</t>
        </is>
      </c>
      <c r="H84" s="4" t="inlineStr">
        <is>
          <t>TB</t>
        </is>
      </c>
      <c r="K84" s="4" t="inlineStr">
        <is>
          <t>SGDCK, IDS</t>
        </is>
      </c>
    </row>
    <row r="85" ht="16" customHeight="1" s="380">
      <c r="B85" s="4" t="inlineStr">
        <is>
          <t>HNX01</t>
        </is>
      </c>
      <c r="D85" s="337" t="inlineStr">
        <is>
          <t>10. Giao dịch Nhà đầu tư nước ngoài (GDNĐTNN)</t>
        </is>
      </c>
      <c r="F85" s="184" t="inlineStr">
        <is>
          <t>Báo cáo</t>
        </is>
      </c>
    </row>
    <row r="86" ht="16" customHeight="1" s="380">
      <c r="B86" s="4" t="inlineStr">
        <is>
          <t>HNX01</t>
        </is>
      </c>
      <c r="D86" s="337" t="inlineStr">
        <is>
          <t>a. Giao dịch khớp lệnh (GDNĐTNN)</t>
        </is>
      </c>
      <c r="F86" s="184" t="inlineStr">
        <is>
          <t>Báo cáo</t>
        </is>
      </c>
    </row>
    <row r="87" ht="16" customHeight="1" s="380">
      <c r="B87" s="4" t="inlineStr">
        <is>
          <t>HNX01</t>
        </is>
      </c>
      <c r="D87" s="337" t="inlineStr">
        <is>
          <t>GDNĐTNN cổ phiếu niêm yết</t>
        </is>
      </c>
      <c r="E87" s="4" t="inlineStr">
        <is>
          <t>GD khớp lệnh</t>
        </is>
      </c>
      <c r="F87" s="184" t="inlineStr">
        <is>
          <t>Báo cáo</t>
        </is>
      </c>
    </row>
    <row r="88" ht="16" customHeight="1" s="380">
      <c r="B88" s="4" t="inlineStr">
        <is>
          <t>HNX01</t>
        </is>
      </c>
      <c r="D88" s="198" t="inlineStr">
        <is>
          <t>Khối lượng giao dịch cổ phiếu niêm yết</t>
        </is>
      </c>
      <c r="E88" s="4" t="inlineStr">
        <is>
          <t>GD khớp lệnh</t>
        </is>
      </c>
      <c r="F88" s="184" t="inlineStr">
        <is>
          <t>Báo cáo</t>
        </is>
      </c>
      <c r="G88" s="4" t="inlineStr">
        <is>
          <t>Chỉ tiêu phái sinh</t>
        </is>
      </c>
      <c r="H88" s="4" t="inlineStr">
        <is>
          <t>TB</t>
        </is>
      </c>
      <c r="K88" s="4" t="inlineStr">
        <is>
          <t>SGDCK</t>
        </is>
      </c>
    </row>
    <row r="89" ht="16" customHeight="1" s="380">
      <c r="B89" s="4" t="inlineStr">
        <is>
          <t>HNX01</t>
        </is>
      </c>
      <c r="D89" s="341" t="inlineStr">
        <is>
          <t xml:space="preserve"> + Khối lượng mua</t>
        </is>
      </c>
      <c r="E89" s="4" t="inlineStr">
        <is>
          <t>Khối lượng NĐTNN mua CPNY</t>
        </is>
      </c>
      <c r="F89" s="184" t="inlineStr">
        <is>
          <t>Báo cáo</t>
        </is>
      </c>
      <c r="G89" s="4" t="inlineStr">
        <is>
          <t>Chỉ tiêu phái sinh</t>
        </is>
      </c>
      <c r="H89" s="4" t="inlineStr">
        <is>
          <t>TB</t>
        </is>
      </c>
      <c r="I89" s="4" t="n"/>
      <c r="J89" s="4" t="inlineStr">
        <is>
          <t>Σ KL mua của NĐTNN</t>
        </is>
      </c>
      <c r="K89" s="4" t="inlineStr">
        <is>
          <t>SGDCK</t>
        </is>
      </c>
    </row>
    <row r="90" ht="16" customHeight="1" s="380">
      <c r="B90" s="4" t="inlineStr">
        <is>
          <t>HNX01</t>
        </is>
      </c>
      <c r="D90" s="341" t="inlineStr">
        <is>
          <t xml:space="preserve"> + Khối lượng bán</t>
        </is>
      </c>
      <c r="E90" s="4" t="inlineStr">
        <is>
          <t>Khối lượng NĐTNN bán CPNY</t>
        </is>
      </c>
      <c r="F90" s="184" t="inlineStr">
        <is>
          <t>Báo cáo</t>
        </is>
      </c>
      <c r="G90" s="4" t="inlineStr">
        <is>
          <t>Chỉ tiêu phái sinh</t>
        </is>
      </c>
      <c r="H90" s="4" t="inlineStr">
        <is>
          <t>TB</t>
        </is>
      </c>
      <c r="I90" s="4" t="n"/>
      <c r="J90" s="4" t="inlineStr">
        <is>
          <t>Σ KL bán của NĐTNN</t>
        </is>
      </c>
      <c r="K90" s="4" t="inlineStr">
        <is>
          <t>SGDCK</t>
        </is>
      </c>
    </row>
    <row r="91" ht="16" customHeight="1" s="380">
      <c r="B91" s="4" t="inlineStr">
        <is>
          <t>HNX01</t>
        </is>
      </c>
      <c r="D91" s="198" t="inlineStr">
        <is>
          <t>Giá trị giao dịch cổ phiếu niêm yết</t>
        </is>
      </c>
      <c r="F91" s="184" t="inlineStr">
        <is>
          <t>Báo cáo</t>
        </is>
      </c>
    </row>
    <row r="92" ht="16" customHeight="1" s="380">
      <c r="B92" s="4" t="inlineStr">
        <is>
          <t>HNX01</t>
        </is>
      </c>
      <c r="D92" s="341" t="inlineStr">
        <is>
          <t xml:space="preserve"> + Giá trị mua</t>
        </is>
      </c>
      <c r="F92" s="184" t="inlineStr">
        <is>
          <t>Báo cáo</t>
        </is>
      </c>
      <c r="G92" s="4" t="inlineStr">
        <is>
          <t>Chỉ tiêu phái sinh</t>
        </is>
      </c>
      <c r="H92" s="4" t="inlineStr">
        <is>
          <t>Dễ</t>
        </is>
      </c>
    </row>
    <row r="93" ht="16" customHeight="1" s="380">
      <c r="B93" s="4" t="inlineStr">
        <is>
          <t>HNX01</t>
        </is>
      </c>
      <c r="D93" s="264" t="inlineStr">
        <is>
          <t>KL mua</t>
        </is>
      </c>
      <c r="E93" s="198" t="inlineStr">
        <is>
          <t>Khối lượng GD khớp lệnh trong kỳ</t>
        </is>
      </c>
      <c r="F93" s="184" t="inlineStr">
        <is>
          <t>Báo cáo</t>
        </is>
      </c>
      <c r="G93" s="4" t="inlineStr">
        <is>
          <t>Chỉ tiêu phái sinh</t>
        </is>
      </c>
      <c r="H93" s="4" t="inlineStr">
        <is>
          <t>Trùng</t>
        </is>
      </c>
    </row>
    <row r="94" ht="16" customHeight="1" s="380">
      <c r="B94" s="4" t="inlineStr">
        <is>
          <t>HNX01</t>
        </is>
      </c>
      <c r="D94" s="264" t="inlineStr">
        <is>
          <t>Giá mua</t>
        </is>
      </c>
      <c r="E94" s="198" t="inlineStr">
        <is>
          <t>Giá giao dịch khớp lệnh</t>
        </is>
      </c>
      <c r="F94" s="184" t="inlineStr">
        <is>
          <t>Báo cáo</t>
        </is>
      </c>
      <c r="G94" s="4" t="inlineStr">
        <is>
          <t>Chỉ tiêu cơ sở</t>
        </is>
      </c>
      <c r="H94" s="4" t="inlineStr">
        <is>
          <t>Dễ</t>
        </is>
      </c>
    </row>
    <row r="95" ht="16" customHeight="1" s="380">
      <c r="B95" s="4" t="inlineStr">
        <is>
          <t>HNX01</t>
        </is>
      </c>
      <c r="D95" s="341" t="inlineStr">
        <is>
          <t xml:space="preserve"> + Giá trị bán</t>
        </is>
      </c>
      <c r="F95" s="184" t="inlineStr">
        <is>
          <t>Báo cáo</t>
        </is>
      </c>
      <c r="G95" s="4" t="inlineStr">
        <is>
          <t>Chỉ tiêu phái sinh</t>
        </is>
      </c>
      <c r="H95" s="4" t="inlineStr">
        <is>
          <t>Trùng</t>
        </is>
      </c>
    </row>
    <row r="96" ht="16" customHeight="1" s="380">
      <c r="B96" s="4" t="inlineStr">
        <is>
          <t>HNX01</t>
        </is>
      </c>
      <c r="D96" s="264" t="inlineStr">
        <is>
          <t>KL bán</t>
        </is>
      </c>
      <c r="F96" s="184" t="inlineStr">
        <is>
          <t>Báo cáo</t>
        </is>
      </c>
      <c r="G96" s="4" t="inlineStr">
        <is>
          <t>Chỉ tiêu phái sinh</t>
        </is>
      </c>
      <c r="H96" s="4" t="inlineStr">
        <is>
          <t>TB</t>
        </is>
      </c>
    </row>
    <row r="97" ht="16" customHeight="1" s="380">
      <c r="B97" s="4" t="inlineStr">
        <is>
          <t>HNX01</t>
        </is>
      </c>
      <c r="D97" s="264" t="inlineStr">
        <is>
          <t>Giá bán</t>
        </is>
      </c>
      <c r="F97" s="184" t="inlineStr">
        <is>
          <t>Báo cáo</t>
        </is>
      </c>
      <c r="G97" s="4" t="inlineStr">
        <is>
          <t>Chỉ tiêu cơ sở</t>
        </is>
      </c>
      <c r="H97" s="4" t="inlineStr">
        <is>
          <t>Dễ</t>
        </is>
      </c>
    </row>
    <row r="98" ht="16" customHeight="1" s="380">
      <c r="B98" s="4" t="inlineStr">
        <is>
          <t>HNX01</t>
        </is>
      </c>
      <c r="D98" s="337" t="inlineStr">
        <is>
          <t>GDNĐTNN chứng chỉ quỹ</t>
        </is>
      </c>
      <c r="F98" s="184" t="inlineStr">
        <is>
          <t>Báo cáo</t>
        </is>
      </c>
    </row>
    <row r="99" ht="16" customHeight="1" s="380">
      <c r="B99" s="4" t="inlineStr">
        <is>
          <t>HNX01</t>
        </is>
      </c>
      <c r="D99" s="198" t="inlineStr">
        <is>
          <t>Khối lượng giao dịch Chứng chỉ quỹ</t>
        </is>
      </c>
      <c r="F99" s="184" t="inlineStr">
        <is>
          <t>Báo cáo</t>
        </is>
      </c>
    </row>
    <row r="100" ht="16" customHeight="1" s="380">
      <c r="B100" s="4" t="inlineStr">
        <is>
          <t>HNX01</t>
        </is>
      </c>
      <c r="D100" s="341" t="inlineStr">
        <is>
          <t xml:space="preserve"> + Khối lượng mua</t>
        </is>
      </c>
      <c r="F100" s="184" t="inlineStr">
        <is>
          <t>Báo cáo</t>
        </is>
      </c>
      <c r="G100" s="4" t="inlineStr">
        <is>
          <t>Chỉ tiêu phái sinh</t>
        </is>
      </c>
      <c r="H100" s="4" t="inlineStr">
        <is>
          <t>TB</t>
        </is>
      </c>
      <c r="I100" s="4" t="n"/>
      <c r="J100" s="4" t="inlineStr">
        <is>
          <t>Σ KL mua CCQ của NĐTNN</t>
        </is>
      </c>
    </row>
    <row r="101" ht="16" customHeight="1" s="380">
      <c r="B101" s="4" t="inlineStr">
        <is>
          <t>HNX01</t>
        </is>
      </c>
      <c r="D101" s="341" t="inlineStr">
        <is>
          <t xml:space="preserve"> + Khối lượng bán</t>
        </is>
      </c>
      <c r="F101" s="184" t="inlineStr">
        <is>
          <t>Báo cáo</t>
        </is>
      </c>
      <c r="G101" s="4" t="inlineStr">
        <is>
          <t>Chỉ tiêu phái sinh</t>
        </is>
      </c>
      <c r="H101" s="4" t="inlineStr">
        <is>
          <t>TB</t>
        </is>
      </c>
      <c r="I101" s="4" t="n"/>
      <c r="J101" s="4" t="inlineStr">
        <is>
          <t>Σ KL bán CCQ của NĐTNN</t>
        </is>
      </c>
    </row>
    <row r="102" ht="16" customHeight="1" s="380">
      <c r="B102" s="4" t="inlineStr">
        <is>
          <t>HNX01</t>
        </is>
      </c>
      <c r="D102" s="198" t="inlineStr">
        <is>
          <t>Giá trị giao dịch chứng chỉ quỹ</t>
        </is>
      </c>
      <c r="F102" s="184" t="inlineStr">
        <is>
          <t>Báo cáo</t>
        </is>
      </c>
    </row>
    <row r="103" ht="16" customHeight="1" s="380">
      <c r="B103" s="4" t="inlineStr">
        <is>
          <t>HNX01</t>
        </is>
      </c>
      <c r="D103" s="341" t="inlineStr">
        <is>
          <t xml:space="preserve"> + Giá trị mua</t>
        </is>
      </c>
      <c r="F103" s="184" t="inlineStr">
        <is>
          <t>Báo cáo</t>
        </is>
      </c>
      <c r="G103" s="4" t="inlineStr">
        <is>
          <t>Chỉ tiêu phái sinh</t>
        </is>
      </c>
      <c r="H103" s="4" t="inlineStr">
        <is>
          <t>Dễ</t>
        </is>
      </c>
    </row>
    <row r="104" ht="16" customHeight="1" s="380">
      <c r="B104" s="4" t="inlineStr">
        <is>
          <t>HNX01</t>
        </is>
      </c>
      <c r="D104" s="264" t="inlineStr">
        <is>
          <t>KL mua</t>
        </is>
      </c>
      <c r="F104" s="184" t="inlineStr">
        <is>
          <t>Báo cáo</t>
        </is>
      </c>
      <c r="G104" s="4" t="inlineStr">
        <is>
          <t>Chỉ tiêu phái sinh</t>
        </is>
      </c>
      <c r="H104" s="4" t="inlineStr">
        <is>
          <t>Trùng</t>
        </is>
      </c>
    </row>
    <row r="105" ht="16" customHeight="1" s="380">
      <c r="B105" s="4" t="inlineStr">
        <is>
          <t>HNX01</t>
        </is>
      </c>
      <c r="D105" s="264" t="inlineStr">
        <is>
          <t>Giá mua</t>
        </is>
      </c>
      <c r="F105" s="184" t="inlineStr">
        <is>
          <t>Báo cáo</t>
        </is>
      </c>
      <c r="G105" s="4" t="inlineStr">
        <is>
          <t>Chỉ tiêu cơ sở</t>
        </is>
      </c>
      <c r="H105" s="4" t="inlineStr">
        <is>
          <t>Dễ</t>
        </is>
      </c>
    </row>
    <row r="106" ht="16" customHeight="1" s="380">
      <c r="B106" s="4" t="inlineStr">
        <is>
          <t>HNX01</t>
        </is>
      </c>
      <c r="D106" s="341" t="inlineStr">
        <is>
          <t xml:space="preserve"> + Giá trị bán</t>
        </is>
      </c>
      <c r="F106" s="184" t="inlineStr">
        <is>
          <t>Báo cáo</t>
        </is>
      </c>
      <c r="G106" s="4" t="inlineStr">
        <is>
          <t>Chỉ tiêu phái sinh</t>
        </is>
      </c>
      <c r="H106" s="4" t="inlineStr">
        <is>
          <t>Dễ</t>
        </is>
      </c>
    </row>
    <row r="107" ht="16" customHeight="1" s="380">
      <c r="B107" s="4" t="inlineStr">
        <is>
          <t>HNX01</t>
        </is>
      </c>
      <c r="D107" s="264" t="inlineStr">
        <is>
          <t>Khối lượng</t>
        </is>
      </c>
      <c r="F107" s="184" t="inlineStr">
        <is>
          <t>Báo cáo</t>
        </is>
      </c>
      <c r="G107" s="4" t="inlineStr">
        <is>
          <t>Chỉ tiêu phái sinh</t>
        </is>
      </c>
      <c r="H107" s="4" t="inlineStr">
        <is>
          <t>Trùng</t>
        </is>
      </c>
    </row>
    <row r="108" ht="16" customHeight="1" s="380">
      <c r="B108" s="4" t="inlineStr">
        <is>
          <t>HNX01</t>
        </is>
      </c>
      <c r="D108" s="264" t="inlineStr">
        <is>
          <t xml:space="preserve">Giá </t>
        </is>
      </c>
      <c r="F108" s="184" t="inlineStr">
        <is>
          <t>Báo cáo</t>
        </is>
      </c>
      <c r="G108" s="4" t="inlineStr">
        <is>
          <t>Chỉ tiêu cơ sở</t>
        </is>
      </c>
      <c r="H108" s="4" t="inlineStr">
        <is>
          <t>Dễ</t>
        </is>
      </c>
    </row>
    <row r="109" ht="16" customHeight="1" s="380">
      <c r="B109" s="4" t="inlineStr">
        <is>
          <t>HNX01</t>
        </is>
      </c>
      <c r="D109" s="337" t="inlineStr">
        <is>
          <t>GDNĐTNN ETF</t>
        </is>
      </c>
      <c r="F109" s="184" t="inlineStr">
        <is>
          <t>Báo cáo</t>
        </is>
      </c>
    </row>
    <row r="110" ht="16" customHeight="1" s="380">
      <c r="B110" s="4" t="inlineStr">
        <is>
          <t>HNX01</t>
        </is>
      </c>
      <c r="D110" s="198" t="inlineStr">
        <is>
          <t>Khối lượng giao dịch ETF</t>
        </is>
      </c>
      <c r="F110" s="184" t="inlineStr">
        <is>
          <t>Báo cáo</t>
        </is>
      </c>
    </row>
    <row r="111" ht="16" customHeight="1" s="380">
      <c r="B111" s="4" t="inlineStr">
        <is>
          <t>HNX01</t>
        </is>
      </c>
      <c r="D111" s="341" t="inlineStr">
        <is>
          <t xml:space="preserve"> + Khối lượng mua</t>
        </is>
      </c>
      <c r="F111" s="184" t="inlineStr">
        <is>
          <t>Báo cáo</t>
        </is>
      </c>
      <c r="G111" s="4" t="inlineStr">
        <is>
          <t>Chỉ tiêu phái sinh</t>
        </is>
      </c>
      <c r="H111" s="4" t="inlineStr">
        <is>
          <t>TB</t>
        </is>
      </c>
      <c r="I111" s="4" t="n"/>
      <c r="J111" s="4" t="inlineStr">
        <is>
          <t>Σ KL mua ETF của NĐTNN</t>
        </is>
      </c>
    </row>
    <row r="112" ht="16" customHeight="1" s="380">
      <c r="B112" s="4" t="inlineStr">
        <is>
          <t>HNX01</t>
        </is>
      </c>
      <c r="D112" s="341" t="inlineStr">
        <is>
          <t xml:space="preserve"> + Khối lượng bán</t>
        </is>
      </c>
      <c r="F112" s="184" t="inlineStr">
        <is>
          <t>Báo cáo</t>
        </is>
      </c>
      <c r="G112" s="4" t="inlineStr">
        <is>
          <t>Chỉ tiêu phái sinh</t>
        </is>
      </c>
      <c r="H112" s="4" t="inlineStr">
        <is>
          <t>TB</t>
        </is>
      </c>
      <c r="I112" s="4" t="n"/>
      <c r="J112" s="4" t="inlineStr">
        <is>
          <t>Σ KL bán ETF của NĐTNN</t>
        </is>
      </c>
    </row>
    <row r="113" ht="16" customHeight="1" s="380">
      <c r="B113" s="4" t="inlineStr">
        <is>
          <t>HNX01</t>
        </is>
      </c>
      <c r="D113" s="198" t="inlineStr">
        <is>
          <t>Giá trị giao dịch ETF</t>
        </is>
      </c>
      <c r="F113" s="184" t="inlineStr">
        <is>
          <t>Báo cáo</t>
        </is>
      </c>
    </row>
    <row r="114" ht="16" customHeight="1" s="380">
      <c r="B114" s="4" t="inlineStr">
        <is>
          <t>HNX01</t>
        </is>
      </c>
      <c r="D114" s="341" t="inlineStr">
        <is>
          <t xml:space="preserve"> + Giá trị mua</t>
        </is>
      </c>
      <c r="F114" s="184" t="inlineStr">
        <is>
          <t>Báo cáo</t>
        </is>
      </c>
      <c r="G114" s="4" t="inlineStr">
        <is>
          <t>Chỉ tiêu phái sinh</t>
        </is>
      </c>
      <c r="H114" s="4" t="inlineStr">
        <is>
          <t>Dễ</t>
        </is>
      </c>
    </row>
    <row r="115" ht="16" customHeight="1" s="380">
      <c r="B115" s="4" t="inlineStr">
        <is>
          <t>HNX01</t>
        </is>
      </c>
      <c r="D115" s="264" t="inlineStr">
        <is>
          <t>Khối lượng</t>
        </is>
      </c>
      <c r="F115" s="184" t="inlineStr">
        <is>
          <t>Báo cáo</t>
        </is>
      </c>
      <c r="G115" s="4" t="inlineStr">
        <is>
          <t>Chỉ tiêu phái sinh</t>
        </is>
      </c>
      <c r="H115" s="4" t="inlineStr">
        <is>
          <t>Trùng</t>
        </is>
      </c>
    </row>
    <row r="116" ht="16" customHeight="1" s="380">
      <c r="B116" s="4" t="inlineStr">
        <is>
          <t>HNX01</t>
        </is>
      </c>
      <c r="D116" s="264" t="inlineStr">
        <is>
          <t xml:space="preserve">Giá </t>
        </is>
      </c>
      <c r="F116" s="184" t="inlineStr">
        <is>
          <t>Báo cáo</t>
        </is>
      </c>
      <c r="G116" s="4" t="inlineStr">
        <is>
          <t>Chỉ tiêu cơ sở</t>
        </is>
      </c>
      <c r="H116" s="4" t="inlineStr">
        <is>
          <t>Dễ</t>
        </is>
      </c>
    </row>
    <row r="117" ht="16" customHeight="1" s="380">
      <c r="B117" s="4" t="inlineStr">
        <is>
          <t>HNX01</t>
        </is>
      </c>
      <c r="D117" s="341" t="inlineStr">
        <is>
          <t xml:space="preserve"> + Giá trị bán</t>
        </is>
      </c>
      <c r="F117" s="184" t="inlineStr">
        <is>
          <t>Báo cáo</t>
        </is>
      </c>
      <c r="G117" s="4" t="inlineStr">
        <is>
          <t>Chỉ tiêu phái sinh</t>
        </is>
      </c>
      <c r="H117" s="4" t="inlineStr">
        <is>
          <t>Dễ</t>
        </is>
      </c>
    </row>
    <row r="118" ht="16" customHeight="1" s="380">
      <c r="B118" s="4" t="inlineStr">
        <is>
          <t>HNX01</t>
        </is>
      </c>
      <c r="D118" s="264" t="inlineStr">
        <is>
          <t>Khối lượng</t>
        </is>
      </c>
      <c r="F118" s="184" t="inlineStr">
        <is>
          <t>Báo cáo</t>
        </is>
      </c>
      <c r="G118" s="4" t="inlineStr">
        <is>
          <t>Chỉ tiêu phái sinh</t>
        </is>
      </c>
      <c r="H118" s="4" t="inlineStr">
        <is>
          <t>Trùng</t>
        </is>
      </c>
    </row>
    <row r="119" ht="16" customHeight="1" s="380">
      <c r="B119" s="4" t="inlineStr">
        <is>
          <t>HNX01</t>
        </is>
      </c>
      <c r="D119" s="264" t="inlineStr">
        <is>
          <t xml:space="preserve">Giá </t>
        </is>
      </c>
      <c r="F119" s="184" t="inlineStr">
        <is>
          <t>Báo cáo</t>
        </is>
      </c>
      <c r="G119" s="4" t="inlineStr">
        <is>
          <t>Chỉ tiêu cơ sở</t>
        </is>
      </c>
      <c r="H119" s="4" t="inlineStr">
        <is>
          <t>Dễ</t>
        </is>
      </c>
    </row>
    <row r="120" ht="14" customHeight="1" s="380">
      <c r="B120" s="4" t="inlineStr">
        <is>
          <t>HNX01</t>
        </is>
      </c>
      <c r="D120" s="302" t="inlineStr">
        <is>
          <t>Giao dịch thỏa thuận (GDNĐTNN)</t>
        </is>
      </c>
      <c r="E120" s="4" t="inlineStr">
        <is>
          <t>Giao dịch thỏa thuận</t>
        </is>
      </c>
      <c r="F120" s="184" t="inlineStr">
        <is>
          <t>Báo cáo</t>
        </is>
      </c>
    </row>
    <row r="121" ht="16" customHeight="1" s="380">
      <c r="B121" s="4" t="inlineStr">
        <is>
          <t>HNX01</t>
        </is>
      </c>
      <c r="D121" s="337" t="inlineStr">
        <is>
          <t>GDNĐTNN cổ phiếu niêm yết</t>
        </is>
      </c>
      <c r="F121" s="184" t="inlineStr">
        <is>
          <t>Báo cáo</t>
        </is>
      </c>
    </row>
    <row r="122" ht="16" customHeight="1" s="380">
      <c r="B122" s="4" t="inlineStr">
        <is>
          <t>HNX01</t>
        </is>
      </c>
      <c r="D122" s="198" t="inlineStr">
        <is>
          <t>Khối lượng giao dịch cổ phiếu niêm yết</t>
        </is>
      </c>
      <c r="F122" s="184" t="inlineStr">
        <is>
          <t>Báo cáo</t>
        </is>
      </c>
    </row>
    <row r="123" ht="16" customHeight="1" s="380">
      <c r="B123" s="4" t="inlineStr">
        <is>
          <t>HNX01</t>
        </is>
      </c>
      <c r="D123" s="341" t="inlineStr">
        <is>
          <t xml:space="preserve"> + Khối lượng mua</t>
        </is>
      </c>
      <c r="F123" s="184" t="inlineStr">
        <is>
          <t>Báo cáo</t>
        </is>
      </c>
      <c r="G123" s="4" t="inlineStr">
        <is>
          <t>Chỉ tiêu phái sinh</t>
        </is>
      </c>
      <c r="H123" s="4" t="inlineStr">
        <is>
          <t>TB</t>
        </is>
      </c>
      <c r="I123" s="4" t="n"/>
      <c r="J123" s="4" t="inlineStr">
        <is>
          <t>Σ KL mua CPNY của NĐTNN</t>
        </is>
      </c>
    </row>
    <row r="124" ht="16" customHeight="1" s="380">
      <c r="B124" s="4" t="inlineStr">
        <is>
          <t>HNX01</t>
        </is>
      </c>
      <c r="D124" s="341" t="inlineStr">
        <is>
          <t xml:space="preserve"> + Khối lượng bán</t>
        </is>
      </c>
      <c r="F124" s="184" t="inlineStr">
        <is>
          <t>Báo cáo</t>
        </is>
      </c>
      <c r="G124" s="4" t="inlineStr">
        <is>
          <t>Chỉ tiêu phái sinh</t>
        </is>
      </c>
      <c r="H124" s="4" t="inlineStr">
        <is>
          <t>TB</t>
        </is>
      </c>
      <c r="I124" s="4" t="n"/>
      <c r="J124" s="4" t="inlineStr">
        <is>
          <t>Σ KL bán CPNY của NĐTNN</t>
        </is>
      </c>
    </row>
    <row r="125" ht="16" customHeight="1" s="380">
      <c r="B125" s="4" t="inlineStr">
        <is>
          <t>HNX01</t>
        </is>
      </c>
      <c r="D125" s="198" t="inlineStr">
        <is>
          <t>Giá trị giao dịch cổ phiếu niêm yết</t>
        </is>
      </c>
      <c r="F125" s="184" t="inlineStr">
        <is>
          <t>Báo cáo</t>
        </is>
      </c>
    </row>
    <row r="126" ht="16" customHeight="1" s="380">
      <c r="B126" s="4" t="inlineStr">
        <is>
          <t>HNX01</t>
        </is>
      </c>
      <c r="D126" s="341" t="inlineStr">
        <is>
          <t xml:space="preserve"> + Giá trị mua</t>
        </is>
      </c>
      <c r="F126" s="184" t="inlineStr">
        <is>
          <t>Báo cáo</t>
        </is>
      </c>
      <c r="G126" s="4" t="inlineStr">
        <is>
          <t>Chỉ tiêu phái sinh</t>
        </is>
      </c>
      <c r="H126" s="4" t="inlineStr">
        <is>
          <t>Dễ</t>
        </is>
      </c>
    </row>
    <row r="127" ht="16" customHeight="1" s="380">
      <c r="B127" s="4" t="inlineStr">
        <is>
          <t>HNX01</t>
        </is>
      </c>
      <c r="D127" s="264" t="inlineStr">
        <is>
          <t>Khối lượng</t>
        </is>
      </c>
      <c r="F127" s="184" t="inlineStr">
        <is>
          <t>Báo cáo</t>
        </is>
      </c>
      <c r="G127" s="4" t="inlineStr">
        <is>
          <t>Chỉ tiêu phái sinh</t>
        </is>
      </c>
      <c r="H127" s="4" t="inlineStr">
        <is>
          <t>Trùng</t>
        </is>
      </c>
    </row>
    <row r="128" ht="16" customHeight="1" s="380">
      <c r="B128" s="4" t="inlineStr">
        <is>
          <t>HNX01</t>
        </is>
      </c>
      <c r="D128" s="264" t="inlineStr">
        <is>
          <t xml:space="preserve">Giá </t>
        </is>
      </c>
      <c r="F128" s="184" t="inlineStr">
        <is>
          <t>Báo cáo</t>
        </is>
      </c>
      <c r="G128" s="4" t="inlineStr">
        <is>
          <t>Chỉ tiêu cơ sở</t>
        </is>
      </c>
      <c r="H128" s="4" t="inlineStr">
        <is>
          <t>Dễ</t>
        </is>
      </c>
    </row>
    <row r="129" ht="16" customHeight="1" s="380">
      <c r="B129" s="4" t="inlineStr">
        <is>
          <t>HNX01</t>
        </is>
      </c>
      <c r="D129" s="341" t="inlineStr">
        <is>
          <t xml:space="preserve"> + Giá trị bán</t>
        </is>
      </c>
      <c r="F129" s="184" t="inlineStr">
        <is>
          <t>Báo cáo</t>
        </is>
      </c>
      <c r="G129" s="4" t="inlineStr">
        <is>
          <t>Chỉ tiêu phái sinh</t>
        </is>
      </c>
      <c r="H129" s="4" t="inlineStr">
        <is>
          <t>Dễ</t>
        </is>
      </c>
    </row>
    <row r="130" ht="16" customHeight="1" s="380">
      <c r="B130" s="4" t="inlineStr">
        <is>
          <t>HNX01</t>
        </is>
      </c>
      <c r="D130" s="264" t="inlineStr">
        <is>
          <t>Khối lượng</t>
        </is>
      </c>
      <c r="F130" s="184" t="inlineStr">
        <is>
          <t>Báo cáo</t>
        </is>
      </c>
      <c r="G130" s="4" t="inlineStr">
        <is>
          <t>Chỉ tiêu phái sinh</t>
        </is>
      </c>
      <c r="H130" s="4" t="inlineStr">
        <is>
          <t>Trùng</t>
        </is>
      </c>
    </row>
    <row r="131" ht="16" customHeight="1" s="380">
      <c r="B131" s="4" t="inlineStr">
        <is>
          <t>HNX01</t>
        </is>
      </c>
      <c r="D131" s="264" t="inlineStr">
        <is>
          <t xml:space="preserve">Giá </t>
        </is>
      </c>
      <c r="F131" s="184" t="inlineStr">
        <is>
          <t>Báo cáo</t>
        </is>
      </c>
      <c r="G131" s="4" t="inlineStr">
        <is>
          <t>Chỉ tiêu cơ sở</t>
        </is>
      </c>
      <c r="H131" s="4" t="inlineStr">
        <is>
          <t>Dễ</t>
        </is>
      </c>
    </row>
    <row r="132" ht="16" customHeight="1" s="380">
      <c r="B132" s="4" t="inlineStr">
        <is>
          <t>HNX01</t>
        </is>
      </c>
      <c r="D132" s="342" t="inlineStr">
        <is>
          <t>GDNĐTNN trái phiếu doanh nghiệp</t>
        </is>
      </c>
      <c r="F132" s="184" t="inlineStr">
        <is>
          <t>Báo cáo</t>
        </is>
      </c>
    </row>
    <row r="133" ht="16" customHeight="1" s="380">
      <c r="B133" s="4" t="inlineStr">
        <is>
          <t>HNX01</t>
        </is>
      </c>
      <c r="D133" s="339" t="inlineStr">
        <is>
          <t>Khối lượng giao dịch trái phiếu doanh nghiệp</t>
        </is>
      </c>
      <c r="F133" s="184" t="inlineStr">
        <is>
          <t>Báo cáo</t>
        </is>
      </c>
    </row>
    <row r="134" ht="16" customHeight="1" s="380">
      <c r="B134" s="4" t="inlineStr">
        <is>
          <t>HNX01</t>
        </is>
      </c>
      <c r="D134" s="341" t="inlineStr">
        <is>
          <t xml:space="preserve"> + Khối lượng mua</t>
        </is>
      </c>
      <c r="F134" s="184" t="inlineStr">
        <is>
          <t>Báo cáo</t>
        </is>
      </c>
      <c r="G134" s="4" t="inlineStr">
        <is>
          <t>Chỉ tiêu phái sinh</t>
        </is>
      </c>
      <c r="H134" s="4" t="inlineStr">
        <is>
          <t>TB</t>
        </is>
      </c>
      <c r="I134" s="4" t="n"/>
      <c r="J134" s="4" t="inlineStr">
        <is>
          <t>Σ KL mua TPDN của NĐTNN</t>
        </is>
      </c>
    </row>
    <row r="135" ht="16" customHeight="1" s="380">
      <c r="B135" s="4" t="inlineStr">
        <is>
          <t>HNX01</t>
        </is>
      </c>
      <c r="D135" s="341" t="inlineStr">
        <is>
          <t xml:space="preserve"> + Khối lượng bán</t>
        </is>
      </c>
      <c r="F135" s="184" t="inlineStr">
        <is>
          <t>Báo cáo</t>
        </is>
      </c>
      <c r="G135" s="4" t="inlineStr">
        <is>
          <t>Chỉ tiêu phái sinh</t>
        </is>
      </c>
      <c r="H135" s="4" t="inlineStr">
        <is>
          <t>TB</t>
        </is>
      </c>
      <c r="I135" s="4" t="n"/>
      <c r="J135" s="4" t="inlineStr">
        <is>
          <t>Σ KL bán TPDN của NĐTNN</t>
        </is>
      </c>
    </row>
    <row r="136" ht="16" customHeight="1" s="380">
      <c r="B136" s="4" t="inlineStr">
        <is>
          <t>HNX01</t>
        </is>
      </c>
      <c r="D136" s="339" t="inlineStr">
        <is>
          <t>Giá trị giao dịch trái phiếu doanh nghiệp</t>
        </is>
      </c>
      <c r="F136" s="184" t="inlineStr">
        <is>
          <t>Báo cáo</t>
        </is>
      </c>
    </row>
    <row r="137" ht="16" customHeight="1" s="380">
      <c r="B137" s="4" t="inlineStr">
        <is>
          <t>HNX01</t>
        </is>
      </c>
      <c r="D137" s="341" t="inlineStr">
        <is>
          <t xml:space="preserve"> + Giá trị mua</t>
        </is>
      </c>
      <c r="F137" s="184" t="inlineStr">
        <is>
          <t>Báo cáo</t>
        </is>
      </c>
      <c r="G137" s="4" t="inlineStr">
        <is>
          <t>Chỉ tiêu phái sinh</t>
        </is>
      </c>
      <c r="H137" s="4" t="inlineStr">
        <is>
          <t>Dễ</t>
        </is>
      </c>
    </row>
    <row r="138" ht="16" customHeight="1" s="380">
      <c r="B138" s="4" t="inlineStr">
        <is>
          <t>HNX01</t>
        </is>
      </c>
      <c r="D138" s="264" t="inlineStr">
        <is>
          <t>Khối lượng</t>
        </is>
      </c>
      <c r="F138" s="184" t="inlineStr">
        <is>
          <t>Báo cáo</t>
        </is>
      </c>
      <c r="G138" s="4" t="inlineStr">
        <is>
          <t>Chỉ tiêu phái sinh</t>
        </is>
      </c>
      <c r="H138" s="4" t="inlineStr">
        <is>
          <t>Trùng</t>
        </is>
      </c>
    </row>
    <row r="139" ht="16" customHeight="1" s="380">
      <c r="B139" s="4" t="inlineStr">
        <is>
          <t>HNX01</t>
        </is>
      </c>
      <c r="D139" s="264" t="inlineStr">
        <is>
          <t xml:space="preserve">Giá </t>
        </is>
      </c>
      <c r="F139" s="184" t="inlineStr">
        <is>
          <t>Báo cáo</t>
        </is>
      </c>
      <c r="G139" s="4" t="inlineStr">
        <is>
          <t>Chỉ tiêu cơ sở</t>
        </is>
      </c>
      <c r="H139" s="4" t="inlineStr">
        <is>
          <t>Dễ</t>
        </is>
      </c>
    </row>
    <row r="140" ht="16" customHeight="1" s="380">
      <c r="B140" s="4" t="inlineStr">
        <is>
          <t>HNX01</t>
        </is>
      </c>
      <c r="D140" s="341" t="inlineStr">
        <is>
          <t xml:space="preserve"> + Giá trị bán</t>
        </is>
      </c>
      <c r="F140" s="184" t="inlineStr">
        <is>
          <t>Báo cáo</t>
        </is>
      </c>
      <c r="G140" s="4" t="inlineStr">
        <is>
          <t>Chỉ tiêu phái sinh</t>
        </is>
      </c>
      <c r="H140" s="4" t="inlineStr">
        <is>
          <t>Dễ</t>
        </is>
      </c>
    </row>
    <row r="141" ht="16" customHeight="1" s="380">
      <c r="B141" s="4" t="inlineStr">
        <is>
          <t>HNX01</t>
        </is>
      </c>
      <c r="D141" s="264" t="inlineStr">
        <is>
          <t>Khối lượng</t>
        </is>
      </c>
      <c r="F141" s="184" t="inlineStr">
        <is>
          <t>Báo cáo</t>
        </is>
      </c>
      <c r="G141" s="4" t="inlineStr">
        <is>
          <t>Chỉ tiêu phái sinh</t>
        </is>
      </c>
      <c r="H141" s="4" t="inlineStr">
        <is>
          <t>Trùng</t>
        </is>
      </c>
    </row>
    <row r="142" ht="16" customHeight="1" s="380">
      <c r="B142" s="4" t="inlineStr">
        <is>
          <t>HNX01</t>
        </is>
      </c>
      <c r="D142" s="264" t="inlineStr">
        <is>
          <t xml:space="preserve">Giá </t>
        </is>
      </c>
      <c r="F142" s="184" t="inlineStr">
        <is>
          <t>Báo cáo</t>
        </is>
      </c>
      <c r="G142" s="4" t="inlineStr">
        <is>
          <t>Chỉ tiêu cơ sở</t>
        </is>
      </c>
      <c r="H142" s="4" t="inlineStr">
        <is>
          <t>Dễ</t>
        </is>
      </c>
    </row>
    <row r="143" ht="16" customHeight="1" s="380">
      <c r="B143" s="4" t="inlineStr">
        <is>
          <t>HNX01</t>
        </is>
      </c>
      <c r="D143" s="337" t="inlineStr">
        <is>
          <t>GDNĐTNN chứng chỉ quỹ</t>
        </is>
      </c>
      <c r="F143" s="184" t="inlineStr">
        <is>
          <t>Báo cáo</t>
        </is>
      </c>
    </row>
    <row r="144" ht="16" customHeight="1" s="380">
      <c r="B144" s="4" t="inlineStr">
        <is>
          <t>HNX01</t>
        </is>
      </c>
      <c r="D144" s="198" t="inlineStr">
        <is>
          <t>Khối lượng giao dịch Chứng chỉ quỹ</t>
        </is>
      </c>
      <c r="F144" s="184" t="inlineStr">
        <is>
          <t>Báo cáo</t>
        </is>
      </c>
    </row>
    <row r="145" ht="16" customHeight="1" s="380">
      <c r="B145" s="4" t="inlineStr">
        <is>
          <t>HNX01</t>
        </is>
      </c>
      <c r="D145" s="341" t="inlineStr">
        <is>
          <t xml:space="preserve"> + Khối lượng mua</t>
        </is>
      </c>
      <c r="F145" s="184" t="inlineStr">
        <is>
          <t>Báo cáo</t>
        </is>
      </c>
      <c r="G145" s="4" t="inlineStr">
        <is>
          <t>Chỉ tiêu phái sinh</t>
        </is>
      </c>
      <c r="H145" s="4" t="inlineStr">
        <is>
          <t>TB</t>
        </is>
      </c>
    </row>
    <row r="146" ht="16" customHeight="1" s="380">
      <c r="B146" s="4" t="inlineStr">
        <is>
          <t>HNX01</t>
        </is>
      </c>
      <c r="D146" s="341" t="inlineStr">
        <is>
          <t xml:space="preserve"> + Khối lượng bán</t>
        </is>
      </c>
      <c r="F146" s="184" t="inlineStr">
        <is>
          <t>Báo cáo</t>
        </is>
      </c>
      <c r="G146" s="4" t="inlineStr">
        <is>
          <t>Chỉ tiêu phái sinh</t>
        </is>
      </c>
      <c r="H146" s="4" t="inlineStr">
        <is>
          <t>TB</t>
        </is>
      </c>
    </row>
    <row r="147" ht="16" customHeight="1" s="380">
      <c r="B147" s="4" t="inlineStr">
        <is>
          <t>HNX01</t>
        </is>
      </c>
      <c r="D147" s="198" t="inlineStr">
        <is>
          <t>Giá trị giao dịch chứng chỉ quỹ</t>
        </is>
      </c>
      <c r="F147" s="184" t="inlineStr">
        <is>
          <t>Báo cáo</t>
        </is>
      </c>
    </row>
    <row r="148" ht="16" customHeight="1" s="380">
      <c r="B148" s="4" t="inlineStr">
        <is>
          <t>HNX01</t>
        </is>
      </c>
      <c r="D148" s="341" t="inlineStr">
        <is>
          <t xml:space="preserve"> + Giá trị mua</t>
        </is>
      </c>
      <c r="F148" s="184" t="inlineStr">
        <is>
          <t>Báo cáo</t>
        </is>
      </c>
      <c r="G148" s="4" t="inlineStr">
        <is>
          <t>Chỉ tiêu phái sinh</t>
        </is>
      </c>
      <c r="H148" s="4" t="inlineStr">
        <is>
          <t>Dễ</t>
        </is>
      </c>
    </row>
    <row r="149" ht="16" customHeight="1" s="380">
      <c r="B149" s="4" t="inlineStr">
        <is>
          <t>HNX01</t>
        </is>
      </c>
      <c r="D149" s="264" t="inlineStr">
        <is>
          <t>Khối lượng</t>
        </is>
      </c>
      <c r="F149" s="184" t="inlineStr">
        <is>
          <t>Báo cáo</t>
        </is>
      </c>
      <c r="G149" s="4" t="inlineStr">
        <is>
          <t>Chỉ tiêu phái sinh</t>
        </is>
      </c>
      <c r="H149" s="4" t="inlineStr">
        <is>
          <t>Trùng</t>
        </is>
      </c>
    </row>
    <row r="150" ht="16" customHeight="1" s="380">
      <c r="B150" s="4" t="inlineStr">
        <is>
          <t>HNX01</t>
        </is>
      </c>
      <c r="D150" s="264" t="inlineStr">
        <is>
          <t xml:space="preserve">Giá </t>
        </is>
      </c>
      <c r="F150" s="184" t="inlineStr">
        <is>
          <t>Báo cáo</t>
        </is>
      </c>
      <c r="G150" s="4" t="inlineStr">
        <is>
          <t>Chỉ tiêu cơ sở</t>
        </is>
      </c>
      <c r="H150" s="4" t="inlineStr">
        <is>
          <t>Dễ</t>
        </is>
      </c>
    </row>
    <row r="151" ht="16" customHeight="1" s="380">
      <c r="B151" s="4" t="inlineStr">
        <is>
          <t>HNX01</t>
        </is>
      </c>
      <c r="D151" s="341" t="inlineStr">
        <is>
          <t xml:space="preserve"> + Giá trị bán</t>
        </is>
      </c>
      <c r="F151" s="184" t="inlineStr">
        <is>
          <t>Báo cáo</t>
        </is>
      </c>
      <c r="G151" s="4" t="inlineStr">
        <is>
          <t>Chỉ tiêu phái sinh</t>
        </is>
      </c>
      <c r="H151" s="4" t="inlineStr">
        <is>
          <t>Dễ</t>
        </is>
      </c>
    </row>
    <row r="152" ht="16" customHeight="1" s="380">
      <c r="B152" s="4" t="inlineStr">
        <is>
          <t>HNX01</t>
        </is>
      </c>
      <c r="D152" s="264" t="inlineStr">
        <is>
          <t>Khối lượng</t>
        </is>
      </c>
      <c r="F152" s="184" t="inlineStr">
        <is>
          <t>Báo cáo</t>
        </is>
      </c>
      <c r="G152" s="4" t="inlineStr">
        <is>
          <t>Chỉ tiêu phái sinh</t>
        </is>
      </c>
      <c r="H152" s="4" t="inlineStr">
        <is>
          <t>Trùng</t>
        </is>
      </c>
    </row>
    <row r="153" ht="16" customHeight="1" s="380">
      <c r="B153" s="4" t="inlineStr">
        <is>
          <t>HNX01</t>
        </is>
      </c>
      <c r="D153" s="264" t="inlineStr">
        <is>
          <t xml:space="preserve">Giá </t>
        </is>
      </c>
      <c r="F153" s="184" t="inlineStr">
        <is>
          <t>Báo cáo</t>
        </is>
      </c>
      <c r="G153" s="4" t="inlineStr">
        <is>
          <t>Chỉ tiêu cơ sở</t>
        </is>
      </c>
      <c r="H153" s="4" t="inlineStr">
        <is>
          <t>Dễ</t>
        </is>
      </c>
    </row>
    <row r="154" ht="16" customHeight="1" s="380">
      <c r="B154" s="4" t="inlineStr">
        <is>
          <t>HNX01</t>
        </is>
      </c>
      <c r="D154" s="337" t="inlineStr">
        <is>
          <t>GDNĐTNN ETF</t>
        </is>
      </c>
      <c r="F154" s="184" t="inlineStr">
        <is>
          <t>Báo cáo</t>
        </is>
      </c>
    </row>
    <row r="155" ht="16" customHeight="1" s="380">
      <c r="B155" s="4" t="inlineStr">
        <is>
          <t>HNX01</t>
        </is>
      </c>
      <c r="D155" s="198" t="inlineStr">
        <is>
          <t>Khối lượng giao dịch ETF</t>
        </is>
      </c>
      <c r="F155" s="184" t="inlineStr">
        <is>
          <t>Báo cáo</t>
        </is>
      </c>
    </row>
    <row r="156" ht="16" customHeight="1" s="380">
      <c r="B156" s="4" t="inlineStr">
        <is>
          <t>HNX01</t>
        </is>
      </c>
      <c r="D156" s="341" t="inlineStr">
        <is>
          <t xml:space="preserve"> + Khối lượng mua</t>
        </is>
      </c>
      <c r="F156" s="184" t="inlineStr">
        <is>
          <t>Báo cáo</t>
        </is>
      </c>
      <c r="G156" s="4" t="inlineStr">
        <is>
          <t>Chỉ tiêu phái sinh</t>
        </is>
      </c>
      <c r="H156" s="4" t="inlineStr">
        <is>
          <t>TB</t>
        </is>
      </c>
    </row>
    <row r="157" ht="16" customHeight="1" s="380">
      <c r="B157" s="4" t="inlineStr">
        <is>
          <t>HNX01</t>
        </is>
      </c>
      <c r="D157" s="341" t="inlineStr">
        <is>
          <t xml:space="preserve"> + Khối lượng bán</t>
        </is>
      </c>
      <c r="F157" s="184" t="inlineStr">
        <is>
          <t>Báo cáo</t>
        </is>
      </c>
      <c r="G157" s="4" t="inlineStr">
        <is>
          <t>Chỉ tiêu phái sinh</t>
        </is>
      </c>
      <c r="H157" s="4" t="inlineStr">
        <is>
          <t>TB</t>
        </is>
      </c>
    </row>
    <row r="158" ht="16" customHeight="1" s="380">
      <c r="B158" s="4" t="inlineStr">
        <is>
          <t>HNX01</t>
        </is>
      </c>
      <c r="D158" s="198" t="inlineStr">
        <is>
          <t>Giá trị giao dịch ETF</t>
        </is>
      </c>
      <c r="F158" s="184" t="inlineStr">
        <is>
          <t>Báo cáo</t>
        </is>
      </c>
    </row>
    <row r="159" ht="16" customHeight="1" s="380">
      <c r="B159" s="4" t="inlineStr">
        <is>
          <t>HNX01</t>
        </is>
      </c>
      <c r="D159" s="341" t="inlineStr">
        <is>
          <t xml:space="preserve"> + Giá trị mua</t>
        </is>
      </c>
      <c r="F159" s="184" t="inlineStr">
        <is>
          <t>Báo cáo</t>
        </is>
      </c>
      <c r="G159" s="4" t="inlineStr">
        <is>
          <t>Chỉ tiêu phái sinh</t>
        </is>
      </c>
      <c r="H159" s="4" t="inlineStr">
        <is>
          <t>Dễ</t>
        </is>
      </c>
    </row>
    <row r="160" ht="16" customHeight="1" s="380">
      <c r="B160" s="4" t="inlineStr">
        <is>
          <t>HNX01</t>
        </is>
      </c>
      <c r="D160" s="264" t="inlineStr">
        <is>
          <t>Khối lượng</t>
        </is>
      </c>
      <c r="F160" s="184" t="inlineStr">
        <is>
          <t>Báo cáo</t>
        </is>
      </c>
      <c r="G160" s="4" t="inlineStr">
        <is>
          <t>Chỉ tiêu phái sinh</t>
        </is>
      </c>
      <c r="H160" s="4" t="inlineStr">
        <is>
          <t>Trùng</t>
        </is>
      </c>
    </row>
    <row r="161" ht="16" customHeight="1" s="380">
      <c r="B161" s="4" t="inlineStr">
        <is>
          <t>HNX01</t>
        </is>
      </c>
      <c r="D161" s="264" t="inlineStr">
        <is>
          <t xml:space="preserve">Giá </t>
        </is>
      </c>
      <c r="F161" s="184" t="inlineStr">
        <is>
          <t>Báo cáo</t>
        </is>
      </c>
      <c r="G161" s="4" t="inlineStr">
        <is>
          <t>Chỉ tiêu cơ sở</t>
        </is>
      </c>
      <c r="H161" s="4" t="inlineStr">
        <is>
          <t>Dễ</t>
        </is>
      </c>
    </row>
    <row r="162" ht="16" customHeight="1" s="380">
      <c r="B162" s="4" t="inlineStr">
        <is>
          <t>HNX01</t>
        </is>
      </c>
      <c r="D162" s="341" t="inlineStr">
        <is>
          <t xml:space="preserve"> + Giá trị bán</t>
        </is>
      </c>
      <c r="F162" s="184" t="inlineStr">
        <is>
          <t>Báo cáo</t>
        </is>
      </c>
      <c r="G162" s="4" t="inlineStr">
        <is>
          <t>Chỉ tiêu phái sinh</t>
        </is>
      </c>
      <c r="H162" s="4" t="inlineStr">
        <is>
          <t>Dễ</t>
        </is>
      </c>
    </row>
    <row r="163" ht="16" customHeight="1" s="380">
      <c r="B163" s="4" t="inlineStr">
        <is>
          <t>HNX01</t>
        </is>
      </c>
      <c r="D163" s="264" t="inlineStr">
        <is>
          <t>Khối lượng</t>
        </is>
      </c>
      <c r="F163" s="184" t="inlineStr">
        <is>
          <t>Báo cáo</t>
        </is>
      </c>
      <c r="G163" s="4" t="inlineStr">
        <is>
          <t>Chỉ tiêu phái sinh</t>
        </is>
      </c>
      <c r="H163" s="4" t="inlineStr">
        <is>
          <t>Trùng</t>
        </is>
      </c>
    </row>
    <row r="164" ht="16" customHeight="1" s="380">
      <c r="B164" s="4" t="inlineStr">
        <is>
          <t>HNX01</t>
        </is>
      </c>
      <c r="D164" s="264" t="inlineStr">
        <is>
          <t xml:space="preserve">Giá </t>
        </is>
      </c>
      <c r="F164" s="184" t="inlineStr">
        <is>
          <t>Báo cáo</t>
        </is>
      </c>
      <c r="G164" s="4" t="inlineStr">
        <is>
          <t>Chỉ tiêu cơ sở</t>
        </is>
      </c>
      <c r="H164" s="4" t="inlineStr">
        <is>
          <t>Dễ</t>
        </is>
      </c>
    </row>
    <row r="165" ht="16" customHeight="1" s="380">
      <c r="B165" s="4" t="inlineStr">
        <is>
          <t>HNX01</t>
        </is>
      </c>
      <c r="D165" s="337" t="inlineStr">
        <is>
          <t>GDNĐTNN cổ phiếu đăng ký giao dịch (Upcom)</t>
        </is>
      </c>
      <c r="F165" s="184" t="inlineStr">
        <is>
          <t>Báo cáo</t>
        </is>
      </c>
    </row>
    <row r="166" ht="16" customHeight="1" s="380">
      <c r="B166" s="4" t="inlineStr">
        <is>
          <t>HNX01</t>
        </is>
      </c>
      <c r="D166" s="198" t="inlineStr">
        <is>
          <t>Khối lượng giao dịch cổ phiếu đăng ký giao dịch (Upcom)</t>
        </is>
      </c>
      <c r="F166" s="184" t="inlineStr">
        <is>
          <t>Báo cáo</t>
        </is>
      </c>
    </row>
    <row r="167" ht="16" customHeight="1" s="380">
      <c r="B167" s="4" t="inlineStr">
        <is>
          <t>HNX01</t>
        </is>
      </c>
      <c r="D167" s="341" t="inlineStr">
        <is>
          <t xml:space="preserve"> + Khối lượng mua</t>
        </is>
      </c>
      <c r="F167" s="184" t="inlineStr">
        <is>
          <t>Báo cáo</t>
        </is>
      </c>
      <c r="G167" s="4" t="inlineStr">
        <is>
          <t>Chỉ tiêu phái sinh</t>
        </is>
      </c>
      <c r="H167" s="4" t="inlineStr">
        <is>
          <t>TB</t>
        </is>
      </c>
    </row>
    <row r="168" ht="16" customHeight="1" s="380">
      <c r="B168" s="4" t="inlineStr">
        <is>
          <t>HNX01</t>
        </is>
      </c>
      <c r="D168" s="341" t="inlineStr">
        <is>
          <t xml:space="preserve"> + Khối lượng bán</t>
        </is>
      </c>
      <c r="F168" s="184" t="inlineStr">
        <is>
          <t>Báo cáo</t>
        </is>
      </c>
      <c r="G168" s="4" t="inlineStr">
        <is>
          <t>Chỉ tiêu phái sinh</t>
        </is>
      </c>
      <c r="H168" s="4" t="inlineStr">
        <is>
          <t>TB</t>
        </is>
      </c>
    </row>
    <row r="169" ht="16" customHeight="1" s="380">
      <c r="B169" s="4" t="inlineStr">
        <is>
          <t>HNX01</t>
        </is>
      </c>
      <c r="D169" s="198" t="inlineStr">
        <is>
          <t>Giá trị giao dịch cổ phiếu đăng ký giao dịch (Upcom)</t>
        </is>
      </c>
      <c r="F169" s="184" t="inlineStr">
        <is>
          <t>Báo cáo</t>
        </is>
      </c>
    </row>
    <row r="170" ht="16" customHeight="1" s="380">
      <c r="B170" s="4" t="inlineStr">
        <is>
          <t>HNX01</t>
        </is>
      </c>
      <c r="D170" s="341" t="inlineStr">
        <is>
          <t xml:space="preserve"> + Giá trị mua</t>
        </is>
      </c>
      <c r="F170" s="184" t="inlineStr">
        <is>
          <t>Báo cáo</t>
        </is>
      </c>
      <c r="G170" s="4" t="inlineStr">
        <is>
          <t>Chỉ tiêu phái sinh</t>
        </is>
      </c>
      <c r="H170" s="4" t="inlineStr">
        <is>
          <t>Dễ</t>
        </is>
      </c>
    </row>
    <row r="171" ht="16" customHeight="1" s="380">
      <c r="B171" s="4" t="inlineStr">
        <is>
          <t>HNX01</t>
        </is>
      </c>
      <c r="D171" s="264" t="inlineStr">
        <is>
          <t>Khối lượng</t>
        </is>
      </c>
      <c r="F171" s="184" t="inlineStr">
        <is>
          <t>Báo cáo</t>
        </is>
      </c>
      <c r="G171" s="4" t="inlineStr">
        <is>
          <t>Chỉ tiêu phái sinh</t>
        </is>
      </c>
      <c r="H171" s="4" t="inlineStr">
        <is>
          <t>Trùng</t>
        </is>
      </c>
    </row>
    <row r="172" ht="16" customHeight="1" s="380">
      <c r="B172" s="4" t="inlineStr">
        <is>
          <t>HNX01</t>
        </is>
      </c>
      <c r="D172" s="264" t="inlineStr">
        <is>
          <t xml:space="preserve">Giá </t>
        </is>
      </c>
      <c r="F172" s="184" t="inlineStr">
        <is>
          <t>Báo cáo</t>
        </is>
      </c>
      <c r="G172" s="4" t="inlineStr">
        <is>
          <t>Chỉ tiêu cơ sở</t>
        </is>
      </c>
      <c r="H172" s="4" t="inlineStr">
        <is>
          <t>Dễ</t>
        </is>
      </c>
    </row>
    <row r="173" ht="16" customHeight="1" s="380">
      <c r="B173" s="4" t="inlineStr">
        <is>
          <t>HNX01</t>
        </is>
      </c>
      <c r="D173" s="341" t="inlineStr">
        <is>
          <t xml:space="preserve"> + Giá trị bán</t>
        </is>
      </c>
      <c r="F173" s="184" t="inlineStr">
        <is>
          <t>Báo cáo</t>
        </is>
      </c>
      <c r="G173" s="4" t="inlineStr">
        <is>
          <t>Chỉ tiêu phái sinh</t>
        </is>
      </c>
      <c r="H173" s="4" t="inlineStr">
        <is>
          <t>Dễ</t>
        </is>
      </c>
    </row>
    <row r="174" ht="16" customHeight="1" s="380">
      <c r="B174" s="4" t="inlineStr">
        <is>
          <t>HNX01</t>
        </is>
      </c>
      <c r="D174" s="264" t="inlineStr">
        <is>
          <t>Khối lượng</t>
        </is>
      </c>
      <c r="F174" s="184" t="inlineStr">
        <is>
          <t>Báo cáo</t>
        </is>
      </c>
      <c r="G174" s="4" t="inlineStr">
        <is>
          <t>Chỉ tiêu phái sinh</t>
        </is>
      </c>
      <c r="H174" s="4" t="inlineStr">
        <is>
          <t>Trùng</t>
        </is>
      </c>
    </row>
    <row r="175" ht="16" customHeight="1" s="380">
      <c r="B175" s="4" t="inlineStr">
        <is>
          <t>HNX01</t>
        </is>
      </c>
      <c r="D175" s="264" t="inlineStr">
        <is>
          <t xml:space="preserve">Giá </t>
        </is>
      </c>
      <c r="F175" s="184" t="inlineStr">
        <is>
          <t>Báo cáo</t>
        </is>
      </c>
      <c r="G175" s="4" t="inlineStr">
        <is>
          <t>Chỉ tiêu cơ sở</t>
        </is>
      </c>
      <c r="H175" s="4" t="inlineStr">
        <is>
          <t>Dễ</t>
        </is>
      </c>
    </row>
    <row r="176" ht="17" customHeight="1" s="380">
      <c r="A176" s="203" t="n">
        <v>2</v>
      </c>
      <c r="B176" s="206" t="inlineStr">
        <is>
          <t>TK-HSX01</t>
        </is>
      </c>
      <c r="C176" s="422" t="inlineStr">
        <is>
          <t>BÁO CÁO VỀ GIAO DỊCH TRÊN THỊ TRƯỜNG CHỨNG KHOÁN</t>
        </is>
      </c>
      <c r="D176" s="249" t="inlineStr">
        <is>
          <t xml:space="preserve">   Chỉ số VN - INDEX (cuối ngày)</t>
        </is>
      </c>
      <c r="E176" s="206" t="n"/>
      <c r="F176" s="184" t="inlineStr">
        <is>
          <t>Báo cáo</t>
        </is>
      </c>
      <c r="G176" s="206" t="inlineStr">
        <is>
          <t>Chỉ tiêu cơ sở</t>
        </is>
      </c>
      <c r="H176" s="206" t="inlineStr">
        <is>
          <t>Dễ</t>
        </is>
      </c>
      <c r="I176" s="206" t="n"/>
      <c r="J176" s="206" t="n"/>
      <c r="K176" s="206" t="n"/>
    </row>
    <row r="177" ht="17" customHeight="1" s="380">
      <c r="B177" s="4" t="inlineStr">
        <is>
          <t>TK-HSX01</t>
        </is>
      </c>
      <c r="D177" s="232" t="inlineStr">
        <is>
          <t xml:space="preserve">   Chỉ số VN30</t>
        </is>
      </c>
      <c r="F177" s="184" t="inlineStr">
        <is>
          <t>Báo cáo</t>
        </is>
      </c>
      <c r="G177" s="4" t="inlineStr">
        <is>
          <t>Chỉ tiêu cơ sở</t>
        </is>
      </c>
      <c r="H177" s="4" t="inlineStr">
        <is>
          <t>Dễ</t>
        </is>
      </c>
    </row>
    <row r="178" ht="17" customHeight="1" s="380">
      <c r="B178" s="4" t="inlineStr">
        <is>
          <t>TK-HSX01</t>
        </is>
      </c>
      <c r="D178" s="232" t="inlineStr">
        <is>
          <t xml:space="preserve">   Chỉ số VNX AllShare</t>
        </is>
      </c>
      <c r="F178" s="184" t="inlineStr">
        <is>
          <t>Báo cáo</t>
        </is>
      </c>
      <c r="G178" s="4" t="inlineStr">
        <is>
          <t>Chỉ tiêu cơ sở</t>
        </is>
      </c>
      <c r="H178" s="4" t="inlineStr">
        <is>
          <t>Dễ</t>
        </is>
      </c>
    </row>
    <row r="179" ht="17" customHeight="1" s="380">
      <c r="B179" s="4" t="inlineStr">
        <is>
          <t>TK-HSX01</t>
        </is>
      </c>
      <c r="D179" s="232" t="inlineStr">
        <is>
          <t xml:space="preserve">   Giá trị chứng khoán giao dịch toàn thị trường</t>
        </is>
      </c>
      <c r="F179" s="184" t="inlineStr">
        <is>
          <t>Báo cáo</t>
        </is>
      </c>
      <c r="G179" s="4" t="inlineStr">
        <is>
          <t>Chỉ tiêu phái sinh</t>
        </is>
      </c>
      <c r="H179" s="4" t="inlineStr">
        <is>
          <t>TB</t>
        </is>
      </c>
    </row>
    <row r="180" ht="17" customHeight="1" s="380">
      <c r="B180" s="4" t="inlineStr">
        <is>
          <t>TK-HSX01</t>
        </is>
      </c>
      <c r="D180" s="231" t="inlineStr">
        <is>
          <t>Cổ phiếu</t>
        </is>
      </c>
      <c r="F180" s="184" t="inlineStr">
        <is>
          <t>Báo cáo</t>
        </is>
      </c>
      <c r="G180" s="4" t="inlineStr">
        <is>
          <t>Chỉ tiêu phái sinh</t>
        </is>
      </c>
      <c r="H180" s="4" t="inlineStr">
        <is>
          <t>TB</t>
        </is>
      </c>
    </row>
    <row r="181" ht="17" customHeight="1" s="380">
      <c r="B181" s="4" t="inlineStr">
        <is>
          <t>TK-HSX01</t>
        </is>
      </c>
      <c r="D181" s="231" t="inlineStr">
        <is>
          <t>Trái phiếu</t>
        </is>
      </c>
      <c r="F181" s="184" t="inlineStr">
        <is>
          <t>Báo cáo</t>
        </is>
      </c>
      <c r="G181" s="4" t="inlineStr">
        <is>
          <t>Chỉ tiêu phái sinh</t>
        </is>
      </c>
      <c r="H181" s="4" t="inlineStr">
        <is>
          <t>TB</t>
        </is>
      </c>
    </row>
    <row r="182" ht="17" customHeight="1" s="380">
      <c r="B182" s="4" t="inlineStr">
        <is>
          <t>TK-HSX01</t>
        </is>
      </c>
      <c r="D182" s="231" t="inlineStr">
        <is>
          <t>Chứng chỉ quỹ</t>
        </is>
      </c>
      <c r="F182" s="184" t="inlineStr">
        <is>
          <t>Báo cáo</t>
        </is>
      </c>
      <c r="G182" s="4" t="inlineStr">
        <is>
          <t>Chỉ tiêu phái sinh</t>
        </is>
      </c>
      <c r="H182" s="4" t="inlineStr">
        <is>
          <t>TB</t>
        </is>
      </c>
    </row>
    <row r="183" ht="17" customHeight="1" s="380">
      <c r="B183" s="4" t="inlineStr">
        <is>
          <t>TK-HSX01</t>
        </is>
      </c>
      <c r="D183" s="231" t="inlineStr">
        <is>
          <t>ETF</t>
        </is>
      </c>
      <c r="F183" s="184" t="inlineStr">
        <is>
          <t>Báo cáo</t>
        </is>
      </c>
      <c r="G183" s="4" t="inlineStr">
        <is>
          <t>Chỉ tiêu phái sinh</t>
        </is>
      </c>
      <c r="H183" s="4" t="inlineStr">
        <is>
          <t>TB</t>
        </is>
      </c>
    </row>
    <row r="184" ht="17" customHeight="1" s="380">
      <c r="B184" s="4" t="inlineStr">
        <is>
          <t>TK-HSX01</t>
        </is>
      </c>
      <c r="D184" s="231" t="inlineStr">
        <is>
          <t>Chứng quyền có bảo đảm (CW)</t>
        </is>
      </c>
      <c r="F184" s="184" t="inlineStr">
        <is>
          <t>Báo cáo</t>
        </is>
      </c>
      <c r="G184" s="4" t="inlineStr">
        <is>
          <t>Chỉ tiêu phái sinh</t>
        </is>
      </c>
      <c r="H184" s="4" t="inlineStr">
        <is>
          <t>TB</t>
        </is>
      </c>
    </row>
    <row r="185" ht="17" customHeight="1" s="380">
      <c r="B185" s="4" t="inlineStr">
        <is>
          <t>TK-HSX01</t>
        </is>
      </c>
      <c r="D185" s="232" t="inlineStr">
        <is>
          <t>Khối lượng chứng khoán giao dịch toàn thị trường</t>
        </is>
      </c>
      <c r="F185" s="184" t="inlineStr">
        <is>
          <t>Báo cáo</t>
        </is>
      </c>
      <c r="G185" s="4" t="inlineStr">
        <is>
          <t>Chỉ tiêu phái sinh</t>
        </is>
      </c>
      <c r="H185" s="4" t="inlineStr">
        <is>
          <t>TB</t>
        </is>
      </c>
    </row>
    <row r="186" ht="17" customHeight="1" s="380">
      <c r="B186" s="4" t="inlineStr">
        <is>
          <t>TK-HSX01</t>
        </is>
      </c>
      <c r="D186" s="231" t="inlineStr">
        <is>
          <t>Cổ phiếu</t>
        </is>
      </c>
      <c r="F186" s="184" t="inlineStr">
        <is>
          <t>Báo cáo</t>
        </is>
      </c>
      <c r="G186" s="4" t="inlineStr">
        <is>
          <t>Chỉ tiêu phái sinh</t>
        </is>
      </c>
      <c r="H186" s="4" t="inlineStr">
        <is>
          <t>TB</t>
        </is>
      </c>
    </row>
    <row r="187" ht="17" customHeight="1" s="380">
      <c r="B187" s="4" t="inlineStr">
        <is>
          <t>TK-HSX01</t>
        </is>
      </c>
      <c r="D187" s="231" t="inlineStr">
        <is>
          <t>Trái phiếu</t>
        </is>
      </c>
      <c r="F187" s="184" t="inlineStr">
        <is>
          <t>Báo cáo</t>
        </is>
      </c>
      <c r="G187" s="4" t="inlineStr">
        <is>
          <t>Chỉ tiêu phái sinh</t>
        </is>
      </c>
      <c r="H187" s="4" t="inlineStr">
        <is>
          <t>TB</t>
        </is>
      </c>
    </row>
    <row r="188" ht="17" customHeight="1" s="380">
      <c r="B188" s="4" t="inlineStr">
        <is>
          <t>TK-HSX01</t>
        </is>
      </c>
      <c r="D188" s="231" t="inlineStr">
        <is>
          <t>Chứng chỉ quỹ</t>
        </is>
      </c>
      <c r="F188" s="184" t="inlineStr">
        <is>
          <t>Báo cáo</t>
        </is>
      </c>
      <c r="G188" s="4" t="inlineStr">
        <is>
          <t>Chỉ tiêu phái sinh</t>
        </is>
      </c>
      <c r="H188" s="4" t="inlineStr">
        <is>
          <t>TB</t>
        </is>
      </c>
    </row>
    <row r="189" ht="17" customHeight="1" s="380">
      <c r="B189" s="4" t="inlineStr">
        <is>
          <t>TK-HSX01</t>
        </is>
      </c>
      <c r="D189" s="231" t="inlineStr">
        <is>
          <t>ETF</t>
        </is>
      </c>
      <c r="F189" s="184" t="inlineStr">
        <is>
          <t>Báo cáo</t>
        </is>
      </c>
      <c r="G189" s="4" t="inlineStr">
        <is>
          <t>Chỉ tiêu phái sinh</t>
        </is>
      </c>
      <c r="H189" s="4" t="inlineStr">
        <is>
          <t>TB</t>
        </is>
      </c>
    </row>
    <row r="190" ht="17" customHeight="1" s="380">
      <c r="B190" s="4" t="inlineStr">
        <is>
          <t>TK-HSX01</t>
        </is>
      </c>
      <c r="D190" s="231" t="inlineStr">
        <is>
          <t>CW</t>
        </is>
      </c>
      <c r="F190" s="184" t="inlineStr">
        <is>
          <t>Báo cáo</t>
        </is>
      </c>
      <c r="G190" s="4" t="inlineStr">
        <is>
          <t>Chỉ tiêu phái sinh</t>
        </is>
      </c>
      <c r="H190" s="4" t="inlineStr">
        <is>
          <t>TB</t>
        </is>
      </c>
    </row>
    <row r="191" ht="17" customHeight="1" s="380">
      <c r="B191" s="4" t="inlineStr">
        <is>
          <t>TK-HSX01</t>
        </is>
      </c>
      <c r="D191" s="232" t="inlineStr">
        <is>
          <t xml:space="preserve">Tổng giá trị vốn hóa thị trường cổ phiếu </t>
        </is>
      </c>
      <c r="E191" s="4" t="inlineStr">
        <is>
          <t>Giá trị vốn hóa CP</t>
        </is>
      </c>
      <c r="F191" s="184" t="inlineStr">
        <is>
          <t>Báo cáo</t>
        </is>
      </c>
    </row>
    <row r="192" ht="17" customHeight="1" s="380">
      <c r="B192" s="4" t="inlineStr">
        <is>
          <t>TK-HSX01</t>
        </is>
      </c>
      <c r="D192" s="250" t="inlineStr">
        <is>
          <t xml:space="preserve"> Cổ phiếu niêm yết</t>
        </is>
      </c>
      <c r="F192" s="184" t="inlineStr">
        <is>
          <t>Báo cáo</t>
        </is>
      </c>
      <c r="G192" s="4" t="inlineStr">
        <is>
          <t>Chỉ tiêu phái sinh</t>
        </is>
      </c>
      <c r="H192" s="4" t="inlineStr">
        <is>
          <t>TB</t>
        </is>
      </c>
    </row>
    <row r="193" ht="16" customHeight="1" s="380">
      <c r="B193" s="4" t="inlineStr">
        <is>
          <t>TK-HSX01</t>
        </is>
      </c>
      <c r="D193" s="264" t="inlineStr">
        <is>
          <t xml:space="preserve">Giá cổ phiếu </t>
        </is>
      </c>
      <c r="E193" s="4" t="n"/>
      <c r="F193" s="184" t="inlineStr">
        <is>
          <t>Báo cáo</t>
        </is>
      </c>
      <c r="G193" s="4" t="inlineStr">
        <is>
          <t>Chỉ tiêu cơ sở</t>
        </is>
      </c>
      <c r="H193" s="4" t="inlineStr">
        <is>
          <t>Dễ</t>
        </is>
      </c>
    </row>
    <row r="194" ht="16" customHeight="1" s="380">
      <c r="B194" s="4" t="inlineStr">
        <is>
          <t>TK-HSX01</t>
        </is>
      </c>
      <c r="D194" s="264" t="inlineStr">
        <is>
          <t>Số cổ phiếu lưu hành</t>
        </is>
      </c>
      <c r="E194" s="4" t="n"/>
      <c r="F194" s="184" t="inlineStr">
        <is>
          <t>Báo cáo</t>
        </is>
      </c>
      <c r="G194" s="4" t="inlineStr">
        <is>
          <t>Chỉ tiêu phái sinh</t>
        </is>
      </c>
      <c r="H194" s="4" t="inlineStr">
        <is>
          <t>TB</t>
        </is>
      </c>
    </row>
    <row r="195" ht="34" customHeight="1" s="380">
      <c r="B195" s="4" t="inlineStr">
        <is>
          <t>TK-HSX01</t>
        </is>
      </c>
      <c r="D195" s="250" t="inlineStr">
        <is>
          <t>Vốn hóa thị trường theo phân ngành (theo chuẩn phân ngành GICS)</t>
        </is>
      </c>
      <c r="E195" s="4" t="inlineStr">
        <is>
          <t>Vốn hóa theo ngành</t>
        </is>
      </c>
      <c r="F195" s="184" t="inlineStr">
        <is>
          <t>Báo cáo</t>
        </is>
      </c>
    </row>
    <row r="196" ht="17" customHeight="1" s="380">
      <c r="B196" s="4" t="inlineStr">
        <is>
          <t>TK-HSX01</t>
        </is>
      </c>
      <c r="D196" s="251" t="inlineStr">
        <is>
          <t>Năng lượng</t>
        </is>
      </c>
      <c r="F196" s="184" t="inlineStr">
        <is>
          <t>Báo cáo</t>
        </is>
      </c>
      <c r="G196" s="4" t="inlineStr">
        <is>
          <t>Chiều</t>
        </is>
      </c>
      <c r="H196" s="4" t="inlineStr">
        <is>
          <t>TB</t>
        </is>
      </c>
    </row>
    <row r="197" ht="17" customHeight="1" s="380">
      <c r="B197" s="4" t="inlineStr">
        <is>
          <t>TK-HSX01</t>
        </is>
      </c>
      <c r="D197" s="251" t="inlineStr">
        <is>
          <t>Nguyên vật liệu</t>
        </is>
      </c>
      <c r="F197" s="184" t="inlineStr">
        <is>
          <t>Báo cáo</t>
        </is>
      </c>
      <c r="G197" s="4" t="inlineStr">
        <is>
          <t>Chiều</t>
        </is>
      </c>
      <c r="H197" s="4" t="inlineStr">
        <is>
          <t>TB</t>
        </is>
      </c>
    </row>
    <row r="198" ht="17" customHeight="1" s="380">
      <c r="B198" s="4" t="inlineStr">
        <is>
          <t>TK-HSX01</t>
        </is>
      </c>
      <c r="D198" s="251" t="inlineStr">
        <is>
          <t>Công nghiệp</t>
        </is>
      </c>
      <c r="F198" s="184" t="inlineStr">
        <is>
          <t>Báo cáo</t>
        </is>
      </c>
      <c r="G198" s="4" t="inlineStr">
        <is>
          <t>Chiều</t>
        </is>
      </c>
      <c r="H198" s="4" t="inlineStr">
        <is>
          <t>TB</t>
        </is>
      </c>
    </row>
    <row r="199" ht="17" customHeight="1" s="380">
      <c r="B199" s="4" t="inlineStr">
        <is>
          <t>TK-HSX01</t>
        </is>
      </c>
      <c r="D199" s="251" t="inlineStr">
        <is>
          <t>Hàng tiêu dùng không thiết yếu</t>
        </is>
      </c>
      <c r="F199" s="184" t="inlineStr">
        <is>
          <t>Báo cáo</t>
        </is>
      </c>
      <c r="G199" s="4" t="inlineStr">
        <is>
          <t>Chiều</t>
        </is>
      </c>
      <c r="H199" s="4" t="inlineStr">
        <is>
          <t>TB</t>
        </is>
      </c>
    </row>
    <row r="200" ht="17" customHeight="1" s="380">
      <c r="B200" s="4" t="inlineStr">
        <is>
          <t>TK-HSX01</t>
        </is>
      </c>
      <c r="D200" s="251" t="inlineStr">
        <is>
          <t>Hàng tiêu dùng thiết yếu</t>
        </is>
      </c>
      <c r="F200" s="184" t="inlineStr">
        <is>
          <t>Báo cáo</t>
        </is>
      </c>
      <c r="G200" s="4" t="inlineStr">
        <is>
          <t>Chiều</t>
        </is>
      </c>
      <c r="H200" s="4" t="inlineStr">
        <is>
          <t>TB</t>
        </is>
      </c>
    </row>
    <row r="201" ht="17" customHeight="1" s="380">
      <c r="B201" s="4" t="inlineStr">
        <is>
          <t>TK-HSX01</t>
        </is>
      </c>
      <c r="D201" s="251" t="inlineStr">
        <is>
          <t>Chăm sóc sức khỏe</t>
        </is>
      </c>
      <c r="F201" s="184" t="inlineStr">
        <is>
          <t>Báo cáo</t>
        </is>
      </c>
      <c r="G201" s="4" t="inlineStr">
        <is>
          <t>Chiều</t>
        </is>
      </c>
      <c r="H201" s="4" t="inlineStr">
        <is>
          <t>TB</t>
        </is>
      </c>
    </row>
    <row r="202" ht="17" customHeight="1" s="380">
      <c r="B202" s="4" t="inlineStr">
        <is>
          <t>TK-HSX01</t>
        </is>
      </c>
      <c r="D202" s="251" t="inlineStr">
        <is>
          <t>Tài chính</t>
        </is>
      </c>
      <c r="F202" s="184" t="inlineStr">
        <is>
          <t>Báo cáo</t>
        </is>
      </c>
      <c r="G202" s="4" t="inlineStr">
        <is>
          <t>Chiều</t>
        </is>
      </c>
      <c r="H202" s="4" t="inlineStr">
        <is>
          <t>TB</t>
        </is>
      </c>
    </row>
    <row r="203" ht="17" customHeight="1" s="380">
      <c r="B203" s="4" t="inlineStr">
        <is>
          <t>TK-HSX01</t>
        </is>
      </c>
      <c r="D203" s="251" t="inlineStr">
        <is>
          <t>Công nghệ thông tin</t>
        </is>
      </c>
      <c r="F203" s="184" t="inlineStr">
        <is>
          <t>Báo cáo</t>
        </is>
      </c>
      <c r="G203" s="4" t="inlineStr">
        <is>
          <t>Chiều</t>
        </is>
      </c>
      <c r="H203" s="4" t="inlineStr">
        <is>
          <t>TB</t>
        </is>
      </c>
    </row>
    <row r="204" ht="17" customHeight="1" s="380">
      <c r="B204" s="4" t="inlineStr">
        <is>
          <t>TK-HSX01</t>
        </is>
      </c>
      <c r="D204" s="251" t="inlineStr">
        <is>
          <t>Dịch vụ viễn thông</t>
        </is>
      </c>
      <c r="F204" s="184" t="inlineStr">
        <is>
          <t>Báo cáo</t>
        </is>
      </c>
      <c r="G204" s="4" t="inlineStr">
        <is>
          <t>Chiều</t>
        </is>
      </c>
      <c r="H204" s="4" t="inlineStr">
        <is>
          <t>TB</t>
        </is>
      </c>
    </row>
    <row r="205" ht="17" customHeight="1" s="380">
      <c r="B205" s="4" t="inlineStr">
        <is>
          <t>TK-HSX01</t>
        </is>
      </c>
      <c r="D205" s="251" t="inlineStr">
        <is>
          <t>Dịch vụ tiện ích</t>
        </is>
      </c>
      <c r="F205" s="184" t="inlineStr">
        <is>
          <t>Báo cáo</t>
        </is>
      </c>
      <c r="G205" s="4" t="inlineStr">
        <is>
          <t>Chiều</t>
        </is>
      </c>
      <c r="H205" s="4" t="inlineStr">
        <is>
          <t>TB</t>
        </is>
      </c>
    </row>
    <row r="206" ht="17" customHeight="1" s="380">
      <c r="B206" s="4" t="inlineStr">
        <is>
          <t>TK-HSX01</t>
        </is>
      </c>
      <c r="D206" s="232" t="inlineStr">
        <is>
          <t xml:space="preserve">   Giao dịch khớp lệnh</t>
        </is>
      </c>
      <c r="F206" s="184" t="inlineStr">
        <is>
          <t>Báo cáo</t>
        </is>
      </c>
    </row>
    <row r="207" ht="17" customHeight="1" s="380">
      <c r="B207" s="4" t="inlineStr">
        <is>
          <t>TK-HSX01</t>
        </is>
      </c>
      <c r="D207" s="250" t="inlineStr">
        <is>
          <t xml:space="preserve">   Khối lượng giao dịch</t>
        </is>
      </c>
      <c r="F207" s="184" t="inlineStr">
        <is>
          <t>Báo cáo</t>
        </is>
      </c>
      <c r="G207" s="4" t="inlineStr">
        <is>
          <t>Chỉ tiêu phái sinh</t>
        </is>
      </c>
      <c r="H207" s="4" t="inlineStr">
        <is>
          <t>TB</t>
        </is>
      </c>
    </row>
    <row r="208" ht="17" customHeight="1" s="380">
      <c r="B208" s="4" t="inlineStr">
        <is>
          <t>TK-HSX01</t>
        </is>
      </c>
      <c r="D208" s="231" t="inlineStr">
        <is>
          <t>Cổ phiếu</t>
        </is>
      </c>
      <c r="E208" s="4" t="inlineStr">
        <is>
          <t>GD khớp lệnh</t>
        </is>
      </c>
      <c r="F208" s="184" t="inlineStr">
        <is>
          <t>Báo cáo</t>
        </is>
      </c>
      <c r="G208" s="4" t="inlineStr">
        <is>
          <t>Chỉ tiêu phái sinh</t>
        </is>
      </c>
      <c r="H208" s="4" t="inlineStr">
        <is>
          <t>TB</t>
        </is>
      </c>
    </row>
    <row r="209" ht="17" customHeight="1" s="380">
      <c r="B209" s="4" t="inlineStr">
        <is>
          <t>TK-HSX01</t>
        </is>
      </c>
      <c r="D209" s="231" t="inlineStr">
        <is>
          <t>Trái phiếu</t>
        </is>
      </c>
      <c r="F209" s="184" t="inlineStr">
        <is>
          <t>Báo cáo</t>
        </is>
      </c>
      <c r="G209" s="4" t="inlineStr">
        <is>
          <t>Chỉ tiêu phái sinh</t>
        </is>
      </c>
      <c r="H209" s="4" t="inlineStr">
        <is>
          <t>TB</t>
        </is>
      </c>
    </row>
    <row r="210" ht="17" customHeight="1" s="380">
      <c r="B210" s="4" t="inlineStr">
        <is>
          <t>TK-HSX01</t>
        </is>
      </c>
      <c r="D210" s="231" t="inlineStr">
        <is>
          <t>Chứng chỉ quỹ đầu tư</t>
        </is>
      </c>
      <c r="F210" s="184" t="inlineStr">
        <is>
          <t>Báo cáo</t>
        </is>
      </c>
      <c r="G210" s="4" t="inlineStr">
        <is>
          <t>Chỉ tiêu phái sinh</t>
        </is>
      </c>
      <c r="H210" s="4" t="inlineStr">
        <is>
          <t>TB</t>
        </is>
      </c>
    </row>
    <row r="211" ht="17" customHeight="1" s="380">
      <c r="B211" s="4" t="inlineStr">
        <is>
          <t>TK-HSX01</t>
        </is>
      </c>
      <c r="D211" s="231" t="inlineStr">
        <is>
          <t>ETF</t>
        </is>
      </c>
      <c r="F211" s="184" t="inlineStr">
        <is>
          <t>Báo cáo</t>
        </is>
      </c>
      <c r="G211" s="4" t="inlineStr">
        <is>
          <t>Chỉ tiêu phái sinh</t>
        </is>
      </c>
      <c r="H211" s="4" t="inlineStr">
        <is>
          <t>TB</t>
        </is>
      </c>
    </row>
    <row r="212" ht="17" customHeight="1" s="380">
      <c r="B212" s="4" t="inlineStr">
        <is>
          <t>TK-HSX01</t>
        </is>
      </c>
      <c r="D212" s="231" t="inlineStr">
        <is>
          <t>CW</t>
        </is>
      </c>
      <c r="F212" s="184" t="inlineStr">
        <is>
          <t>Báo cáo</t>
        </is>
      </c>
      <c r="G212" s="4" t="inlineStr">
        <is>
          <t>Chỉ tiêu phái sinh</t>
        </is>
      </c>
      <c r="H212" s="4" t="inlineStr">
        <is>
          <t>TB</t>
        </is>
      </c>
    </row>
    <row r="213" ht="17" customHeight="1" s="380">
      <c r="B213" s="4" t="inlineStr">
        <is>
          <t>TK-HSX01</t>
        </is>
      </c>
      <c r="D213" s="250" t="inlineStr">
        <is>
          <t xml:space="preserve">   Giá trị giao dịch </t>
        </is>
      </c>
      <c r="F213" s="184" t="inlineStr">
        <is>
          <t>Báo cáo</t>
        </is>
      </c>
    </row>
    <row r="214" ht="17" customHeight="1" s="380">
      <c r="B214" s="4" t="inlineStr">
        <is>
          <t>TK-HSX01</t>
        </is>
      </c>
      <c r="D214" s="231" t="inlineStr">
        <is>
          <t>Cổ phiếu</t>
        </is>
      </c>
      <c r="F214" s="184" t="inlineStr">
        <is>
          <t>Báo cáo</t>
        </is>
      </c>
      <c r="G214" s="4" t="inlineStr">
        <is>
          <t>Chỉ tiêu phái sinh</t>
        </is>
      </c>
      <c r="H214" s="4" t="inlineStr">
        <is>
          <t>TB</t>
        </is>
      </c>
    </row>
    <row r="215" ht="17" customHeight="1" s="380">
      <c r="B215" s="4" t="inlineStr">
        <is>
          <t>TK-HSX01</t>
        </is>
      </c>
      <c r="D215" s="252" t="inlineStr">
        <is>
          <t>Khối lượng</t>
        </is>
      </c>
      <c r="F215" s="184" t="inlineStr">
        <is>
          <t>Báo cáo</t>
        </is>
      </c>
      <c r="G215" s="4" t="inlineStr">
        <is>
          <t>Chỉ tiêu phái sinh</t>
        </is>
      </c>
      <c r="H215" s="4" t="inlineStr">
        <is>
          <t>Trùng</t>
        </is>
      </c>
    </row>
    <row r="216" ht="17" customHeight="1" s="380">
      <c r="B216" s="4" t="inlineStr">
        <is>
          <t>TK-HSX01</t>
        </is>
      </c>
      <c r="D216" s="252" t="inlineStr">
        <is>
          <t>Giá</t>
        </is>
      </c>
      <c r="F216" s="184" t="inlineStr">
        <is>
          <t>Báo cáo</t>
        </is>
      </c>
      <c r="G216" s="4" t="inlineStr">
        <is>
          <t>Chỉ tiêu cơ sở</t>
        </is>
      </c>
      <c r="H216" s="4" t="inlineStr">
        <is>
          <t>Dễ</t>
        </is>
      </c>
    </row>
    <row r="217" ht="17" customHeight="1" s="380">
      <c r="B217" s="4" t="inlineStr">
        <is>
          <t>TK-HSX01</t>
        </is>
      </c>
      <c r="D217" s="231" t="inlineStr">
        <is>
          <t>Trái phiếu</t>
        </is>
      </c>
      <c r="F217" s="184" t="inlineStr">
        <is>
          <t>Báo cáo</t>
        </is>
      </c>
      <c r="G217" s="4" t="inlineStr">
        <is>
          <t>Chỉ tiêu phái sinh</t>
        </is>
      </c>
      <c r="H217" s="4" t="inlineStr">
        <is>
          <t>TB</t>
        </is>
      </c>
    </row>
    <row r="218" ht="17" customHeight="1" s="380">
      <c r="B218" s="4" t="inlineStr">
        <is>
          <t>TK-HSX01</t>
        </is>
      </c>
      <c r="D218" s="252" t="inlineStr">
        <is>
          <t>Khối lượng</t>
        </is>
      </c>
      <c r="F218" s="184" t="inlineStr">
        <is>
          <t>Báo cáo</t>
        </is>
      </c>
      <c r="G218" s="4" t="inlineStr">
        <is>
          <t>Chỉ tiêu phái sinh</t>
        </is>
      </c>
      <c r="H218" s="4" t="inlineStr">
        <is>
          <t>Trùng</t>
        </is>
      </c>
    </row>
    <row r="219" ht="17" customHeight="1" s="380">
      <c r="B219" s="4" t="inlineStr">
        <is>
          <t>TK-HSX01</t>
        </is>
      </c>
      <c r="D219" s="252" t="inlineStr">
        <is>
          <t>Giá</t>
        </is>
      </c>
      <c r="F219" s="184" t="inlineStr">
        <is>
          <t>Báo cáo</t>
        </is>
      </c>
      <c r="G219" s="4" t="inlineStr">
        <is>
          <t>Chỉ tiêu cơ sở</t>
        </is>
      </c>
      <c r="H219" s="4" t="inlineStr">
        <is>
          <t>Dễ</t>
        </is>
      </c>
    </row>
    <row r="220" ht="17" customHeight="1" s="380">
      <c r="B220" s="4" t="inlineStr">
        <is>
          <t>TK-HSX01</t>
        </is>
      </c>
      <c r="D220" s="231" t="inlineStr">
        <is>
          <t>Chứng chỉ quỹ đầu tư</t>
        </is>
      </c>
      <c r="F220" s="184" t="inlineStr">
        <is>
          <t>Báo cáo</t>
        </is>
      </c>
      <c r="G220" s="4" t="inlineStr">
        <is>
          <t>Chỉ tiêu phái sinh</t>
        </is>
      </c>
      <c r="H220" s="4" t="inlineStr">
        <is>
          <t>TB</t>
        </is>
      </c>
    </row>
    <row r="221" ht="17" customHeight="1" s="380">
      <c r="B221" s="4" t="inlineStr">
        <is>
          <t>TK-HSX01</t>
        </is>
      </c>
      <c r="D221" s="252" t="inlineStr">
        <is>
          <t>Khối lượng</t>
        </is>
      </c>
      <c r="F221" s="184" t="inlineStr">
        <is>
          <t>Báo cáo</t>
        </is>
      </c>
      <c r="G221" s="4" t="inlineStr">
        <is>
          <t>Chỉ tiêu phái sinh</t>
        </is>
      </c>
      <c r="H221" s="4" t="inlineStr">
        <is>
          <t>Dễ</t>
        </is>
      </c>
    </row>
    <row r="222" ht="17" customHeight="1" s="380">
      <c r="B222" s="4" t="inlineStr">
        <is>
          <t>TK-HSX01</t>
        </is>
      </c>
      <c r="D222" s="252" t="inlineStr">
        <is>
          <t>Giá</t>
        </is>
      </c>
      <c r="F222" s="184" t="inlineStr">
        <is>
          <t>Báo cáo</t>
        </is>
      </c>
      <c r="G222" s="4" t="inlineStr">
        <is>
          <t>Chỉ tiêu cơ sở</t>
        </is>
      </c>
      <c r="H222" s="4" t="inlineStr">
        <is>
          <t>Dễ</t>
        </is>
      </c>
    </row>
    <row r="223" ht="17" customHeight="1" s="380">
      <c r="B223" s="4" t="inlineStr">
        <is>
          <t>TK-HSX01</t>
        </is>
      </c>
      <c r="D223" s="231" t="inlineStr">
        <is>
          <t>ETF</t>
        </is>
      </c>
      <c r="F223" s="184" t="inlineStr">
        <is>
          <t>Báo cáo</t>
        </is>
      </c>
      <c r="G223" s="4" t="inlineStr">
        <is>
          <t>Chỉ tiêu phái sinh</t>
        </is>
      </c>
      <c r="H223" s="4" t="inlineStr">
        <is>
          <t>TB</t>
        </is>
      </c>
    </row>
    <row r="224" ht="17" customHeight="1" s="380">
      <c r="B224" s="4" t="inlineStr">
        <is>
          <t>TK-HSX01</t>
        </is>
      </c>
      <c r="D224" s="252" t="inlineStr">
        <is>
          <t>Khối lượng</t>
        </is>
      </c>
      <c r="F224" s="184" t="inlineStr">
        <is>
          <t>Báo cáo</t>
        </is>
      </c>
      <c r="G224" s="4" t="inlineStr">
        <is>
          <t>Chỉ tiêu phái sinh</t>
        </is>
      </c>
      <c r="H224" s="4" t="inlineStr">
        <is>
          <t>Trùng</t>
        </is>
      </c>
    </row>
    <row r="225" ht="17" customHeight="1" s="380">
      <c r="B225" s="4" t="inlineStr">
        <is>
          <t>TK-HSX01</t>
        </is>
      </c>
      <c r="D225" s="252" t="inlineStr">
        <is>
          <t>Giá</t>
        </is>
      </c>
      <c r="F225" s="184" t="inlineStr">
        <is>
          <t>Báo cáo</t>
        </is>
      </c>
      <c r="G225" s="4" t="inlineStr">
        <is>
          <t>Chỉ tiêu cơ sở</t>
        </is>
      </c>
      <c r="H225" s="4" t="inlineStr">
        <is>
          <t>Dễ</t>
        </is>
      </c>
    </row>
    <row r="226" ht="17" customHeight="1" s="380">
      <c r="B226" s="4" t="inlineStr">
        <is>
          <t>TK-HSX01</t>
        </is>
      </c>
      <c r="D226" s="231" t="inlineStr">
        <is>
          <t>CW</t>
        </is>
      </c>
      <c r="F226" s="184" t="inlineStr">
        <is>
          <t>Báo cáo</t>
        </is>
      </c>
      <c r="G226" s="4" t="inlineStr">
        <is>
          <t>Chỉ tiêu phái sinh</t>
        </is>
      </c>
      <c r="H226" s="4" t="inlineStr">
        <is>
          <t>TB</t>
        </is>
      </c>
    </row>
    <row r="227" ht="17" customHeight="1" s="380">
      <c r="B227" s="4" t="inlineStr">
        <is>
          <t>TK-HSX01</t>
        </is>
      </c>
      <c r="D227" s="252" t="inlineStr">
        <is>
          <t>Khối lượng</t>
        </is>
      </c>
      <c r="F227" s="184" t="inlineStr">
        <is>
          <t>Báo cáo</t>
        </is>
      </c>
      <c r="G227" s="4" t="inlineStr">
        <is>
          <t>Chỉ tiêu phái sinh</t>
        </is>
      </c>
      <c r="H227" s="4" t="inlineStr">
        <is>
          <t>Trùng</t>
        </is>
      </c>
    </row>
    <row r="228" ht="17" customHeight="1" s="380">
      <c r="B228" s="4" t="inlineStr">
        <is>
          <t>TK-HSX01</t>
        </is>
      </c>
      <c r="D228" s="252" t="inlineStr">
        <is>
          <t>Giá</t>
        </is>
      </c>
      <c r="F228" s="184" t="inlineStr">
        <is>
          <t>Báo cáo</t>
        </is>
      </c>
      <c r="G228" s="4" t="inlineStr">
        <is>
          <t>Chỉ tiêu cơ sở</t>
        </is>
      </c>
      <c r="H228" s="4" t="inlineStr">
        <is>
          <t>Dễ</t>
        </is>
      </c>
    </row>
    <row r="229" ht="17" customHeight="1" s="380">
      <c r="B229" s="4" t="inlineStr">
        <is>
          <t>TK-HSX01</t>
        </is>
      </c>
      <c r="D229" s="232" t="inlineStr">
        <is>
          <t xml:space="preserve">   Giao dịch thỏa thuận</t>
        </is>
      </c>
      <c r="F229" s="184" t="inlineStr">
        <is>
          <t>Báo cáo</t>
        </is>
      </c>
    </row>
    <row r="230" ht="17" customHeight="1" s="380">
      <c r="B230" s="4" t="inlineStr">
        <is>
          <t>TK-HSX01</t>
        </is>
      </c>
      <c r="D230" s="250" t="inlineStr">
        <is>
          <t xml:space="preserve">   Khối lượng giao dịch</t>
        </is>
      </c>
      <c r="F230" s="184" t="inlineStr">
        <is>
          <t>Báo cáo</t>
        </is>
      </c>
    </row>
    <row r="231" ht="17" customHeight="1" s="380">
      <c r="B231" s="4" t="inlineStr">
        <is>
          <t>TK-HSX01</t>
        </is>
      </c>
      <c r="D231" s="231" t="inlineStr">
        <is>
          <t>Cổ phiếu</t>
        </is>
      </c>
      <c r="F231" s="184" t="inlineStr">
        <is>
          <t>Báo cáo</t>
        </is>
      </c>
      <c r="G231" s="4" t="inlineStr">
        <is>
          <t>Chỉ tiêu phái sinh</t>
        </is>
      </c>
      <c r="H231" s="4" t="inlineStr">
        <is>
          <t>TB</t>
        </is>
      </c>
    </row>
    <row r="232" ht="17" customHeight="1" s="380">
      <c r="B232" s="4" t="inlineStr">
        <is>
          <t>TK-HSX01</t>
        </is>
      </c>
      <c r="D232" s="231" t="inlineStr">
        <is>
          <t>Trái phiếu</t>
        </is>
      </c>
      <c r="F232" s="184" t="inlineStr">
        <is>
          <t>Báo cáo</t>
        </is>
      </c>
      <c r="G232" s="4" t="inlineStr">
        <is>
          <t>Chỉ tiêu phái sinh</t>
        </is>
      </c>
      <c r="H232" s="4" t="inlineStr">
        <is>
          <t>TB</t>
        </is>
      </c>
    </row>
    <row r="233" ht="17" customHeight="1" s="380">
      <c r="B233" s="4" t="inlineStr">
        <is>
          <t>TK-HSX01</t>
        </is>
      </c>
      <c r="D233" s="231" t="inlineStr">
        <is>
          <t>Chứng chỉ quỹ đầu tư</t>
        </is>
      </c>
      <c r="F233" s="184" t="inlineStr">
        <is>
          <t>Báo cáo</t>
        </is>
      </c>
      <c r="G233" s="4" t="inlineStr">
        <is>
          <t>Chỉ tiêu phái sinh</t>
        </is>
      </c>
      <c r="H233" s="4" t="inlineStr">
        <is>
          <t>TB</t>
        </is>
      </c>
    </row>
    <row r="234" ht="17" customHeight="1" s="380">
      <c r="B234" s="4" t="inlineStr">
        <is>
          <t>TK-HSX01</t>
        </is>
      </c>
      <c r="D234" s="231" t="inlineStr">
        <is>
          <t>ETF</t>
        </is>
      </c>
      <c r="F234" s="184" t="inlineStr">
        <is>
          <t>Báo cáo</t>
        </is>
      </c>
      <c r="G234" s="4" t="inlineStr">
        <is>
          <t>Chỉ tiêu phái sinh</t>
        </is>
      </c>
      <c r="H234" s="4" t="inlineStr">
        <is>
          <t>TB</t>
        </is>
      </c>
    </row>
    <row r="235" ht="17" customHeight="1" s="380">
      <c r="B235" s="4" t="inlineStr">
        <is>
          <t>TK-HSX01</t>
        </is>
      </c>
      <c r="D235" s="231" t="inlineStr">
        <is>
          <t>CW</t>
        </is>
      </c>
      <c r="F235" s="184" t="inlineStr">
        <is>
          <t>Báo cáo</t>
        </is>
      </c>
      <c r="G235" s="4" t="inlineStr">
        <is>
          <t>Chỉ tiêu phái sinh</t>
        </is>
      </c>
      <c r="H235" s="4" t="inlineStr">
        <is>
          <t>TB</t>
        </is>
      </c>
    </row>
    <row r="236" ht="17" customHeight="1" s="380">
      <c r="B236" s="4" t="inlineStr">
        <is>
          <t>TK-HSX01</t>
        </is>
      </c>
      <c r="D236" s="250" t="inlineStr">
        <is>
          <t xml:space="preserve">   Giá trị giao dịch</t>
        </is>
      </c>
      <c r="F236" s="184" t="inlineStr">
        <is>
          <t>Báo cáo</t>
        </is>
      </c>
    </row>
    <row r="237" ht="17" customHeight="1" s="380">
      <c r="B237" s="4" t="inlineStr">
        <is>
          <t>TK-HSX01</t>
        </is>
      </c>
      <c r="D237" s="231" t="inlineStr">
        <is>
          <t>Cổ phiếu</t>
        </is>
      </c>
      <c r="F237" s="184" t="inlineStr">
        <is>
          <t>Báo cáo</t>
        </is>
      </c>
      <c r="G237" s="4" t="inlineStr">
        <is>
          <t>Chỉ tiêu phái sinh</t>
        </is>
      </c>
      <c r="H237" s="4" t="inlineStr">
        <is>
          <t>TB</t>
        </is>
      </c>
    </row>
    <row r="238" ht="17" customHeight="1" s="380">
      <c r="B238" s="4" t="inlineStr">
        <is>
          <t>TK-HSX01</t>
        </is>
      </c>
      <c r="D238" s="252" t="inlineStr">
        <is>
          <t>Khối lượng</t>
        </is>
      </c>
      <c r="F238" s="184" t="inlineStr">
        <is>
          <t>Báo cáo</t>
        </is>
      </c>
      <c r="G238" s="4" t="inlineStr">
        <is>
          <t>Chỉ tiêu phái sinh</t>
        </is>
      </c>
      <c r="H238" s="4" t="inlineStr">
        <is>
          <t>Trùng</t>
        </is>
      </c>
    </row>
    <row r="239" ht="17" customHeight="1" s="380">
      <c r="B239" s="4" t="inlineStr">
        <is>
          <t>TK-HSX01</t>
        </is>
      </c>
      <c r="D239" s="252" t="inlineStr">
        <is>
          <t>Giá</t>
        </is>
      </c>
      <c r="F239" s="184" t="inlineStr">
        <is>
          <t>Báo cáo</t>
        </is>
      </c>
      <c r="G239" s="4" t="inlineStr">
        <is>
          <t>Chỉ tiêu cơ sở</t>
        </is>
      </c>
      <c r="H239" s="4" t="inlineStr">
        <is>
          <t>Dễ</t>
        </is>
      </c>
    </row>
    <row r="240" ht="17" customHeight="1" s="380">
      <c r="B240" s="4" t="inlineStr">
        <is>
          <t>TK-HSX01</t>
        </is>
      </c>
      <c r="D240" s="231" t="inlineStr">
        <is>
          <t>Trái phiếu</t>
        </is>
      </c>
      <c r="F240" s="184" t="inlineStr">
        <is>
          <t>Báo cáo</t>
        </is>
      </c>
      <c r="G240" s="4" t="inlineStr">
        <is>
          <t>Chỉ tiêu phái sinh</t>
        </is>
      </c>
      <c r="H240" s="4" t="inlineStr">
        <is>
          <t>TB</t>
        </is>
      </c>
    </row>
    <row r="241" ht="17" customHeight="1" s="380">
      <c r="B241" s="4" t="inlineStr">
        <is>
          <t>TK-HSX01</t>
        </is>
      </c>
      <c r="D241" s="252" t="inlineStr">
        <is>
          <t>Khối lượng</t>
        </is>
      </c>
      <c r="F241" s="184" t="inlineStr">
        <is>
          <t>Báo cáo</t>
        </is>
      </c>
      <c r="G241" s="4" t="inlineStr">
        <is>
          <t>Chỉ tiêu phái sinh</t>
        </is>
      </c>
      <c r="H241" s="4" t="inlineStr">
        <is>
          <t>Trùng</t>
        </is>
      </c>
    </row>
    <row r="242" ht="17" customHeight="1" s="380">
      <c r="B242" s="4" t="inlineStr">
        <is>
          <t>TK-HSX01</t>
        </is>
      </c>
      <c r="D242" s="252" t="inlineStr">
        <is>
          <t>Giá</t>
        </is>
      </c>
      <c r="F242" s="184" t="inlineStr">
        <is>
          <t>Báo cáo</t>
        </is>
      </c>
      <c r="G242" s="4" t="inlineStr">
        <is>
          <t>Chỉ tiêu cơ sở</t>
        </is>
      </c>
      <c r="H242" s="4" t="inlineStr">
        <is>
          <t>Dễ</t>
        </is>
      </c>
    </row>
    <row r="243" ht="17" customHeight="1" s="380">
      <c r="B243" s="4" t="inlineStr">
        <is>
          <t>TK-HSX01</t>
        </is>
      </c>
      <c r="D243" s="231" t="inlineStr">
        <is>
          <t>Chứng chỉ quỹ đầu tư</t>
        </is>
      </c>
      <c r="F243" s="184" t="inlineStr">
        <is>
          <t>Báo cáo</t>
        </is>
      </c>
      <c r="G243" s="4" t="inlineStr">
        <is>
          <t>Chỉ tiêu phái sinh</t>
        </is>
      </c>
      <c r="H243" s="4" t="inlineStr">
        <is>
          <t>TB</t>
        </is>
      </c>
    </row>
    <row r="244" ht="17" customHeight="1" s="380">
      <c r="B244" s="4" t="inlineStr">
        <is>
          <t>TK-HSX01</t>
        </is>
      </c>
      <c r="D244" s="252" t="inlineStr">
        <is>
          <t>Khối lượng</t>
        </is>
      </c>
      <c r="F244" s="184" t="inlineStr">
        <is>
          <t>Báo cáo</t>
        </is>
      </c>
      <c r="G244" s="4" t="inlineStr">
        <is>
          <t>Chỉ tiêu phái sinh</t>
        </is>
      </c>
      <c r="H244" s="4" t="inlineStr">
        <is>
          <t>Dễ</t>
        </is>
      </c>
    </row>
    <row r="245" ht="17" customHeight="1" s="380">
      <c r="B245" s="4" t="inlineStr">
        <is>
          <t>TK-HSX01</t>
        </is>
      </c>
      <c r="D245" s="252" t="inlineStr">
        <is>
          <t>Giá</t>
        </is>
      </c>
      <c r="F245" s="184" t="inlineStr">
        <is>
          <t>Báo cáo</t>
        </is>
      </c>
      <c r="G245" s="4" t="inlineStr">
        <is>
          <t>Chỉ tiêu cơ sở</t>
        </is>
      </c>
      <c r="H245" s="4" t="inlineStr">
        <is>
          <t>Dễ</t>
        </is>
      </c>
    </row>
    <row r="246" ht="17" customHeight="1" s="380">
      <c r="B246" s="4" t="inlineStr">
        <is>
          <t>TK-HSX01</t>
        </is>
      </c>
      <c r="D246" s="231" t="inlineStr">
        <is>
          <t>ETF</t>
        </is>
      </c>
      <c r="F246" s="184" t="inlineStr">
        <is>
          <t>Báo cáo</t>
        </is>
      </c>
      <c r="G246" s="4" t="inlineStr">
        <is>
          <t>Chỉ tiêu phái sinh</t>
        </is>
      </c>
      <c r="H246" s="4" t="inlineStr">
        <is>
          <t>TB</t>
        </is>
      </c>
    </row>
    <row r="247" ht="17" customHeight="1" s="380">
      <c r="B247" s="4" t="inlineStr">
        <is>
          <t>TK-HSX01</t>
        </is>
      </c>
      <c r="D247" s="252" t="inlineStr">
        <is>
          <t>Khối lượng</t>
        </is>
      </c>
      <c r="F247" s="184" t="inlineStr">
        <is>
          <t>Báo cáo</t>
        </is>
      </c>
      <c r="G247" s="4" t="inlineStr">
        <is>
          <t>Chỉ tiêu phái sinh</t>
        </is>
      </c>
      <c r="H247" s="4" t="inlineStr">
        <is>
          <t>Trùng</t>
        </is>
      </c>
    </row>
    <row r="248" ht="17" customHeight="1" s="380">
      <c r="B248" s="4" t="inlineStr">
        <is>
          <t>TK-HSX01</t>
        </is>
      </c>
      <c r="D248" s="252" t="inlineStr">
        <is>
          <t>Giá</t>
        </is>
      </c>
      <c r="F248" s="184" t="inlineStr">
        <is>
          <t>Báo cáo</t>
        </is>
      </c>
      <c r="G248" s="4" t="inlineStr">
        <is>
          <t>Chỉ tiêu cơ sở</t>
        </is>
      </c>
      <c r="H248" s="4" t="inlineStr">
        <is>
          <t>Dễ</t>
        </is>
      </c>
    </row>
    <row r="249" ht="17" customHeight="1" s="380">
      <c r="B249" s="4" t="inlineStr">
        <is>
          <t>TK-HSX01</t>
        </is>
      </c>
      <c r="D249" s="231" t="inlineStr">
        <is>
          <t>CW</t>
        </is>
      </c>
      <c r="F249" s="184" t="inlineStr">
        <is>
          <t>Báo cáo</t>
        </is>
      </c>
      <c r="G249" s="4" t="inlineStr">
        <is>
          <t>Chỉ tiêu phái sinh</t>
        </is>
      </c>
      <c r="H249" s="4" t="inlineStr">
        <is>
          <t>TB</t>
        </is>
      </c>
    </row>
    <row r="250" ht="17" customHeight="1" s="380">
      <c r="B250" s="4" t="inlineStr">
        <is>
          <t>TK-HSX01</t>
        </is>
      </c>
      <c r="D250" s="252" t="inlineStr">
        <is>
          <t>Khối lượng</t>
        </is>
      </c>
      <c r="F250" s="184" t="inlineStr">
        <is>
          <t>Báo cáo</t>
        </is>
      </c>
      <c r="G250" s="4" t="inlineStr">
        <is>
          <t>Chỉ tiêu phái sinh</t>
        </is>
      </c>
      <c r="H250" s="4" t="inlineStr">
        <is>
          <t>Trùng</t>
        </is>
      </c>
    </row>
    <row r="251" ht="17" customHeight="1" s="380">
      <c r="B251" s="4" t="inlineStr">
        <is>
          <t>TK-HSX01</t>
        </is>
      </c>
      <c r="D251" s="252" t="inlineStr">
        <is>
          <t>Giá</t>
        </is>
      </c>
      <c r="F251" s="184" t="inlineStr">
        <is>
          <t>Báo cáo</t>
        </is>
      </c>
      <c r="G251" s="4" t="inlineStr">
        <is>
          <t>Chỉ tiêu cơ sở</t>
        </is>
      </c>
      <c r="H251" s="4" t="inlineStr">
        <is>
          <t>Dễ</t>
        </is>
      </c>
    </row>
    <row r="252" ht="17" customHeight="1" s="380">
      <c r="B252" s="4" t="inlineStr">
        <is>
          <t>TK-HSX01</t>
        </is>
      </c>
      <c r="D252" s="232" t="inlineStr">
        <is>
          <t xml:space="preserve">   Giao dịch cổ phiếu quỹ</t>
        </is>
      </c>
      <c r="F252" s="184" t="inlineStr">
        <is>
          <t>Báo cáo</t>
        </is>
      </c>
    </row>
    <row r="253" ht="16" customHeight="1" s="380">
      <c r="B253" s="4" t="inlineStr">
        <is>
          <t>TK-HSX01</t>
        </is>
      </c>
      <c r="D253" s="198" t="inlineStr">
        <is>
          <t>Khối lượng giao dịch CP quỹ</t>
        </is>
      </c>
      <c r="F253" s="184" t="inlineStr">
        <is>
          <t>Báo cáo</t>
        </is>
      </c>
      <c r="G253" s="4" t="inlineStr">
        <is>
          <t>Chỉ tiêu phái sinh</t>
        </is>
      </c>
      <c r="H253" s="4" t="inlineStr">
        <is>
          <t>TB</t>
        </is>
      </c>
    </row>
    <row r="254" ht="16" customHeight="1" s="380">
      <c r="B254" s="4" t="inlineStr">
        <is>
          <t>TK-HSX01</t>
        </is>
      </c>
      <c r="D254" s="198" t="inlineStr">
        <is>
          <t>Giá trị giao dịch CP quỹ</t>
        </is>
      </c>
      <c r="F254" s="184" t="inlineStr">
        <is>
          <t>Báo cáo</t>
        </is>
      </c>
      <c r="G254" s="4" t="inlineStr">
        <is>
          <t>Chỉ tiêu phái sinh</t>
        </is>
      </c>
      <c r="H254" s="4" t="inlineStr">
        <is>
          <t>TB</t>
        </is>
      </c>
    </row>
    <row r="255" ht="16" customHeight="1" s="380">
      <c r="B255" s="4" t="inlineStr">
        <is>
          <t>TK-HSX01</t>
        </is>
      </c>
      <c r="D255" s="264" t="inlineStr">
        <is>
          <t>KLGD</t>
        </is>
      </c>
      <c r="F255" s="184" t="inlineStr">
        <is>
          <t>Báo cáo</t>
        </is>
      </c>
      <c r="G255" s="4" t="inlineStr">
        <is>
          <t>Chỉ tiêu phái sinh</t>
        </is>
      </c>
      <c r="H255" s="4" t="inlineStr">
        <is>
          <t>TB</t>
        </is>
      </c>
    </row>
    <row r="256" ht="16" customHeight="1" s="380">
      <c r="B256" s="4" t="inlineStr">
        <is>
          <t>TK-HSX01</t>
        </is>
      </c>
      <c r="D256" s="264" t="inlineStr">
        <is>
          <t>Giá giao dịch</t>
        </is>
      </c>
      <c r="F256" s="184" t="inlineStr">
        <is>
          <t>Báo cáo</t>
        </is>
      </c>
      <c r="G256" s="4" t="inlineStr">
        <is>
          <t>Chỉ tiêu cơ sở</t>
        </is>
      </c>
      <c r="H256" s="4" t="inlineStr">
        <is>
          <t>TB</t>
        </is>
      </c>
    </row>
    <row r="257" ht="17" customHeight="1" s="380">
      <c r="B257" s="4" t="inlineStr">
        <is>
          <t>TK-HSX01</t>
        </is>
      </c>
      <c r="D257" s="253" t="inlineStr">
        <is>
          <t>Giao dịch Nhà đầu tư nước ngoài</t>
        </is>
      </c>
      <c r="F257" s="184" t="inlineStr">
        <is>
          <t>Báo cáo</t>
        </is>
      </c>
    </row>
    <row r="258" ht="17" customHeight="1" s="380">
      <c r="B258" s="4" t="inlineStr">
        <is>
          <t>TK-HSX01</t>
        </is>
      </c>
      <c r="D258" s="232" t="inlineStr">
        <is>
          <t>Giao dịch khớp lệnh (GDNĐTNN)</t>
        </is>
      </c>
      <c r="E258" s="4" t="inlineStr">
        <is>
          <t>GD Khớp lệnh NĐTNN</t>
        </is>
      </c>
      <c r="F258" s="184" t="inlineStr">
        <is>
          <t>Báo cáo</t>
        </is>
      </c>
    </row>
    <row r="259" ht="17" customHeight="1" s="380">
      <c r="B259" s="4" t="inlineStr">
        <is>
          <t>TK-HSX01</t>
        </is>
      </c>
      <c r="D259" s="254" t="inlineStr">
        <is>
          <t>GDNĐTNN cổ phiếu niêm yết</t>
        </is>
      </c>
      <c r="F259" s="184" t="inlineStr">
        <is>
          <t>Báo cáo</t>
        </is>
      </c>
    </row>
    <row r="260" ht="17" customHeight="1" s="380">
      <c r="B260" s="4" t="inlineStr">
        <is>
          <t>TK-HSX01</t>
        </is>
      </c>
      <c r="D260" s="209" t="inlineStr">
        <is>
          <t>Khối lượng giao dịch cố phiếu niêm yết</t>
        </is>
      </c>
      <c r="F260" s="184" t="inlineStr">
        <is>
          <t>Báo cáo</t>
        </is>
      </c>
      <c r="G260" s="4" t="inlineStr">
        <is>
          <t>Chỉ tiêu phái sinh</t>
        </is>
      </c>
      <c r="H260" s="4" t="inlineStr">
        <is>
          <t>TB</t>
        </is>
      </c>
    </row>
    <row r="261" ht="17" customHeight="1" s="380">
      <c r="B261" s="4" t="inlineStr">
        <is>
          <t>TK-HSX01</t>
        </is>
      </c>
      <c r="D261" s="209" t="inlineStr">
        <is>
          <t xml:space="preserve">Khối lượng mua </t>
        </is>
      </c>
      <c r="F261" s="184" t="inlineStr">
        <is>
          <t>Báo cáo</t>
        </is>
      </c>
      <c r="G261" s="4" t="inlineStr">
        <is>
          <t>Chỉ tiêu phái sinh</t>
        </is>
      </c>
      <c r="H261" s="4" t="inlineStr">
        <is>
          <t>TB</t>
        </is>
      </c>
    </row>
    <row r="262" ht="17" customHeight="1" s="380">
      <c r="B262" s="4" t="inlineStr">
        <is>
          <t>TK-HSX01</t>
        </is>
      </c>
      <c r="D262" s="209" t="inlineStr">
        <is>
          <t xml:space="preserve">Khối lượng bán </t>
        </is>
      </c>
      <c r="F262" s="184" t="inlineStr">
        <is>
          <t>Báo cáo</t>
        </is>
      </c>
      <c r="G262" s="4" t="inlineStr">
        <is>
          <t>Chỉ tiêu phái sinh</t>
        </is>
      </c>
      <c r="H262" s="4" t="inlineStr">
        <is>
          <t>TB</t>
        </is>
      </c>
    </row>
    <row r="263" ht="17" customHeight="1" s="380">
      <c r="B263" s="4" t="inlineStr">
        <is>
          <t>TK-HSX01</t>
        </is>
      </c>
      <c r="D263" s="209" t="inlineStr">
        <is>
          <t>Giá trị giao dịch cổ phiếu niêm yết (VND)</t>
        </is>
      </c>
      <c r="F263" s="184" t="inlineStr">
        <is>
          <t>Báo cáo</t>
        </is>
      </c>
      <c r="G263" s="4" t="inlineStr">
        <is>
          <t>Chỉ tiêu phái sinh</t>
        </is>
      </c>
      <c r="H263" s="4" t="inlineStr">
        <is>
          <t>TB</t>
        </is>
      </c>
    </row>
    <row r="264" ht="17" customHeight="1" s="380">
      <c r="B264" s="4" t="inlineStr">
        <is>
          <t>TK-HSX01</t>
        </is>
      </c>
      <c r="D264" s="209" t="inlineStr">
        <is>
          <t xml:space="preserve">Giá trị mua </t>
        </is>
      </c>
      <c r="F264" s="184" t="inlineStr">
        <is>
          <t>Báo cáo</t>
        </is>
      </c>
      <c r="G264" s="4" t="inlineStr">
        <is>
          <t>Chỉ tiêu phái sinh</t>
        </is>
      </c>
      <c r="H264" s="4" t="inlineStr">
        <is>
          <t>Dễ</t>
        </is>
      </c>
    </row>
    <row r="265" ht="17" customHeight="1" s="380">
      <c r="B265" s="4" t="inlineStr">
        <is>
          <t>TK-HSX01</t>
        </is>
      </c>
      <c r="D265" s="233" t="inlineStr">
        <is>
          <t>Khối lượng</t>
        </is>
      </c>
      <c r="F265" s="184" t="inlineStr">
        <is>
          <t>Báo cáo</t>
        </is>
      </c>
      <c r="G265" s="4" t="inlineStr">
        <is>
          <t>Chỉ tiêu phái sinh</t>
        </is>
      </c>
      <c r="H265" s="4" t="inlineStr">
        <is>
          <t>Trùng</t>
        </is>
      </c>
    </row>
    <row r="266" ht="17" customHeight="1" s="380">
      <c r="B266" s="4" t="inlineStr">
        <is>
          <t>TK-HSX01</t>
        </is>
      </c>
      <c r="D266" s="233" t="inlineStr">
        <is>
          <t>Giá</t>
        </is>
      </c>
      <c r="F266" s="184" t="inlineStr">
        <is>
          <t>Báo cáo</t>
        </is>
      </c>
      <c r="G266" s="4" t="inlineStr">
        <is>
          <t>Chỉ tiêu cơ sở</t>
        </is>
      </c>
      <c r="H266" s="4" t="inlineStr">
        <is>
          <t>Dễ</t>
        </is>
      </c>
    </row>
    <row r="267" ht="17" customHeight="1" s="380">
      <c r="B267" s="4" t="inlineStr">
        <is>
          <t>TK-HSX01</t>
        </is>
      </c>
      <c r="D267" s="209" t="inlineStr">
        <is>
          <t xml:space="preserve">Giá trị bán </t>
        </is>
      </c>
      <c r="F267" s="184" t="inlineStr">
        <is>
          <t>Báo cáo</t>
        </is>
      </c>
      <c r="G267" s="4" t="inlineStr">
        <is>
          <t>Chỉ tiêu phái sinh</t>
        </is>
      </c>
      <c r="H267" s="4" t="inlineStr">
        <is>
          <t>Dễ</t>
        </is>
      </c>
    </row>
    <row r="268" ht="17" customHeight="1" s="380">
      <c r="B268" s="4" t="inlineStr">
        <is>
          <t>TK-HSX01</t>
        </is>
      </c>
      <c r="D268" s="233" t="inlineStr">
        <is>
          <t>Khối lượng</t>
        </is>
      </c>
      <c r="F268" s="184" t="inlineStr">
        <is>
          <t>Báo cáo</t>
        </is>
      </c>
      <c r="G268" s="4" t="inlineStr">
        <is>
          <t>Chỉ tiêu phái sinh</t>
        </is>
      </c>
      <c r="H268" s="4" t="inlineStr">
        <is>
          <t>Trùng</t>
        </is>
      </c>
    </row>
    <row r="269" ht="17" customHeight="1" s="380">
      <c r="B269" s="4" t="inlineStr">
        <is>
          <t>TK-HSX01</t>
        </is>
      </c>
      <c r="D269" s="233" t="inlineStr">
        <is>
          <t>Giá</t>
        </is>
      </c>
      <c r="F269" s="184" t="inlineStr">
        <is>
          <t>Báo cáo</t>
        </is>
      </c>
      <c r="G269" s="4" t="inlineStr">
        <is>
          <t>Chỉ tiêu cơ sở</t>
        </is>
      </c>
      <c r="H269" s="4" t="inlineStr">
        <is>
          <t>Dễ</t>
        </is>
      </c>
    </row>
    <row r="270" ht="17" customHeight="1" s="380">
      <c r="B270" s="4" t="inlineStr">
        <is>
          <t>TK-HSX01</t>
        </is>
      </c>
      <c r="D270" s="255" t="inlineStr">
        <is>
          <t>GDNĐTNN chứng chỉ quỹ</t>
        </is>
      </c>
      <c r="F270" s="184" t="inlineStr">
        <is>
          <t>Báo cáo</t>
        </is>
      </c>
    </row>
    <row r="271" ht="17" customHeight="1" s="380">
      <c r="B271" s="4" t="inlineStr">
        <is>
          <t>TK-HSX01</t>
        </is>
      </c>
      <c r="D271" s="209" t="inlineStr">
        <is>
          <t>Khối lượng giao dịch Chứng chỉ quỹ</t>
        </is>
      </c>
      <c r="F271" s="184" t="inlineStr">
        <is>
          <t>Báo cáo</t>
        </is>
      </c>
      <c r="G271" s="4" t="inlineStr">
        <is>
          <t>Chỉ tiêu phái sinh</t>
        </is>
      </c>
      <c r="H271" s="4" t="inlineStr">
        <is>
          <t>TB</t>
        </is>
      </c>
    </row>
    <row r="272" ht="17" customHeight="1" s="380">
      <c r="B272" s="4" t="inlineStr">
        <is>
          <t>TK-HSX01</t>
        </is>
      </c>
      <c r="D272" s="209" t="inlineStr">
        <is>
          <t xml:space="preserve">Khối lượng mua </t>
        </is>
      </c>
      <c r="F272" s="184" t="inlineStr">
        <is>
          <t>Báo cáo</t>
        </is>
      </c>
      <c r="G272" s="4" t="inlineStr">
        <is>
          <t>Chỉ tiêu phái sinh</t>
        </is>
      </c>
      <c r="H272" s="4" t="inlineStr">
        <is>
          <t>TB</t>
        </is>
      </c>
    </row>
    <row r="273" ht="17" customHeight="1" s="380">
      <c r="B273" s="4" t="inlineStr">
        <is>
          <t>TK-HSX01</t>
        </is>
      </c>
      <c r="D273" s="209" t="inlineStr">
        <is>
          <t xml:space="preserve">Khối lượng bán </t>
        </is>
      </c>
      <c r="F273" s="184" t="inlineStr">
        <is>
          <t>Báo cáo</t>
        </is>
      </c>
      <c r="G273" s="4" t="inlineStr">
        <is>
          <t>Chỉ tiêu phái sinh</t>
        </is>
      </c>
      <c r="H273" s="4" t="inlineStr">
        <is>
          <t>TB</t>
        </is>
      </c>
    </row>
    <row r="274" ht="17" customHeight="1" s="380">
      <c r="B274" s="4" t="inlineStr">
        <is>
          <t>TK-HSX01</t>
        </is>
      </c>
      <c r="D274" s="209" t="inlineStr">
        <is>
          <t>Giá trị giao dịch chứng chỉ quỹ  (VND)</t>
        </is>
      </c>
      <c r="F274" s="184" t="inlineStr">
        <is>
          <t>Báo cáo</t>
        </is>
      </c>
    </row>
    <row r="275" ht="17" customHeight="1" s="380">
      <c r="B275" s="4" t="inlineStr">
        <is>
          <t>TK-HSX01</t>
        </is>
      </c>
      <c r="D275" s="209" t="inlineStr">
        <is>
          <t xml:space="preserve">Giá trị mua </t>
        </is>
      </c>
      <c r="F275" s="184" t="inlineStr">
        <is>
          <t>Báo cáo</t>
        </is>
      </c>
      <c r="G275" s="4" t="inlineStr">
        <is>
          <t>Chỉ tiêu phái sinh</t>
        </is>
      </c>
      <c r="H275" s="4" t="inlineStr">
        <is>
          <t>Dễ</t>
        </is>
      </c>
    </row>
    <row r="276" ht="17" customHeight="1" s="380">
      <c r="B276" s="4" t="inlineStr">
        <is>
          <t>TK-HSX01</t>
        </is>
      </c>
      <c r="D276" s="233" t="inlineStr">
        <is>
          <t>Khối lượng</t>
        </is>
      </c>
      <c r="F276" s="184" t="inlineStr">
        <is>
          <t>Báo cáo</t>
        </is>
      </c>
      <c r="G276" s="4" t="inlineStr">
        <is>
          <t>Chỉ tiêu phái sinh</t>
        </is>
      </c>
      <c r="H276" s="4" t="inlineStr">
        <is>
          <t>Trùng</t>
        </is>
      </c>
    </row>
    <row r="277" ht="17" customHeight="1" s="380">
      <c r="B277" s="4" t="inlineStr">
        <is>
          <t>TK-HSX01</t>
        </is>
      </c>
      <c r="D277" s="233" t="inlineStr">
        <is>
          <t>Giá</t>
        </is>
      </c>
      <c r="F277" s="184" t="inlineStr">
        <is>
          <t>Báo cáo</t>
        </is>
      </c>
      <c r="G277" s="4" t="inlineStr">
        <is>
          <t>Chỉ tiêu cơ sở</t>
        </is>
      </c>
      <c r="H277" s="4" t="inlineStr">
        <is>
          <t>Dễ</t>
        </is>
      </c>
    </row>
    <row r="278" ht="17" customHeight="1" s="380">
      <c r="B278" s="4" t="inlineStr">
        <is>
          <t>TK-HSX01</t>
        </is>
      </c>
      <c r="D278" s="209" t="inlineStr">
        <is>
          <t xml:space="preserve">Giá trị bán </t>
        </is>
      </c>
      <c r="F278" s="184" t="inlineStr">
        <is>
          <t>Báo cáo</t>
        </is>
      </c>
      <c r="G278" s="4" t="inlineStr">
        <is>
          <t>Chỉ tiêu phái sinh</t>
        </is>
      </c>
      <c r="H278" s="4" t="inlineStr">
        <is>
          <t>Dễ</t>
        </is>
      </c>
    </row>
    <row r="279" ht="17" customHeight="1" s="380">
      <c r="B279" s="4" t="inlineStr">
        <is>
          <t>TK-HSX01</t>
        </is>
      </c>
      <c r="D279" s="233" t="inlineStr">
        <is>
          <t>Khối lượng</t>
        </is>
      </c>
      <c r="F279" s="184" t="inlineStr">
        <is>
          <t>Báo cáo</t>
        </is>
      </c>
      <c r="G279" s="4" t="inlineStr">
        <is>
          <t>Chỉ tiêu phái sinh</t>
        </is>
      </c>
      <c r="H279" s="4" t="inlineStr">
        <is>
          <t>Trùng</t>
        </is>
      </c>
    </row>
    <row r="280" ht="17" customHeight="1" s="380">
      <c r="B280" s="4" t="inlineStr">
        <is>
          <t>TK-HSX01</t>
        </is>
      </c>
      <c r="D280" s="233" t="inlineStr">
        <is>
          <t>Giá</t>
        </is>
      </c>
      <c r="F280" s="184" t="inlineStr">
        <is>
          <t>Báo cáo</t>
        </is>
      </c>
      <c r="G280" s="4" t="inlineStr">
        <is>
          <t>Chỉ tiêu cơ sở</t>
        </is>
      </c>
      <c r="H280" s="4" t="inlineStr">
        <is>
          <t>Dễ</t>
        </is>
      </c>
    </row>
    <row r="281" ht="17" customHeight="1" s="380">
      <c r="B281" s="4" t="inlineStr">
        <is>
          <t>TK-HSX01</t>
        </is>
      </c>
      <c r="D281" s="255" t="inlineStr">
        <is>
          <t>GDNĐTNN ETF</t>
        </is>
      </c>
      <c r="F281" s="184" t="inlineStr">
        <is>
          <t>Báo cáo</t>
        </is>
      </c>
    </row>
    <row r="282" ht="17" customHeight="1" s="380">
      <c r="B282" s="4" t="inlineStr">
        <is>
          <t>TK-HSX01</t>
        </is>
      </c>
      <c r="D282" s="209" t="inlineStr">
        <is>
          <t>Khối lượng giao dịch ETF</t>
        </is>
      </c>
      <c r="F282" s="184" t="inlineStr">
        <is>
          <t>Báo cáo</t>
        </is>
      </c>
      <c r="G282" s="4" t="inlineStr">
        <is>
          <t>Chỉ tiêu phái sinh</t>
        </is>
      </c>
      <c r="H282" s="4" t="inlineStr">
        <is>
          <t>TB</t>
        </is>
      </c>
    </row>
    <row r="283" ht="17" customHeight="1" s="380">
      <c r="B283" s="4" t="inlineStr">
        <is>
          <t>TK-HSX01</t>
        </is>
      </c>
      <c r="D283" s="209" t="inlineStr">
        <is>
          <t xml:space="preserve">Khối lượng mua </t>
        </is>
      </c>
      <c r="F283" s="184" t="inlineStr">
        <is>
          <t>Báo cáo</t>
        </is>
      </c>
      <c r="G283" s="4" t="inlineStr">
        <is>
          <t>Chỉ tiêu phái sinh</t>
        </is>
      </c>
      <c r="H283" s="4" t="inlineStr">
        <is>
          <t>TB</t>
        </is>
      </c>
    </row>
    <row r="284" ht="17" customHeight="1" s="380">
      <c r="B284" s="4" t="inlineStr">
        <is>
          <t>TK-HSX01</t>
        </is>
      </c>
      <c r="D284" s="209" t="inlineStr">
        <is>
          <t xml:space="preserve">Khối lượng bán </t>
        </is>
      </c>
      <c r="F284" s="184" t="inlineStr">
        <is>
          <t>Báo cáo</t>
        </is>
      </c>
      <c r="G284" s="4" t="inlineStr">
        <is>
          <t>Chỉ tiêu phái sinh</t>
        </is>
      </c>
      <c r="H284" s="4" t="inlineStr">
        <is>
          <t>TB</t>
        </is>
      </c>
    </row>
    <row r="285" ht="17" customHeight="1" s="380">
      <c r="B285" s="4" t="inlineStr">
        <is>
          <t>TK-HSX01</t>
        </is>
      </c>
      <c r="D285" s="209" t="inlineStr">
        <is>
          <t>Giá trị giao dịch ETF  (VND)</t>
        </is>
      </c>
      <c r="F285" s="184" t="inlineStr">
        <is>
          <t>Báo cáo</t>
        </is>
      </c>
    </row>
    <row r="286" ht="17" customHeight="1" s="380">
      <c r="B286" s="4" t="inlineStr">
        <is>
          <t>TK-HSX01</t>
        </is>
      </c>
      <c r="D286" s="209" t="inlineStr">
        <is>
          <t xml:space="preserve">Giá trị mua </t>
        </is>
      </c>
      <c r="F286" s="184" t="inlineStr">
        <is>
          <t>Báo cáo</t>
        </is>
      </c>
      <c r="G286" s="4" t="inlineStr">
        <is>
          <t>Chỉ tiêu phái sinh</t>
        </is>
      </c>
      <c r="H286" s="4" t="inlineStr">
        <is>
          <t>Dễ</t>
        </is>
      </c>
    </row>
    <row r="287" ht="17" customHeight="1" s="380">
      <c r="B287" s="4" t="inlineStr">
        <is>
          <t>TK-HSX01</t>
        </is>
      </c>
      <c r="D287" s="233" t="inlineStr">
        <is>
          <t>Khối lượng</t>
        </is>
      </c>
      <c r="F287" s="184" t="inlineStr">
        <is>
          <t>Báo cáo</t>
        </is>
      </c>
      <c r="G287" s="4" t="inlineStr">
        <is>
          <t>Chỉ tiêu phái sinh</t>
        </is>
      </c>
      <c r="H287" s="4" t="inlineStr">
        <is>
          <t>Trùng</t>
        </is>
      </c>
    </row>
    <row r="288" ht="17" customHeight="1" s="380">
      <c r="B288" s="4" t="inlineStr">
        <is>
          <t>TK-HSX01</t>
        </is>
      </c>
      <c r="D288" s="233" t="inlineStr">
        <is>
          <t>Giá</t>
        </is>
      </c>
      <c r="F288" s="184" t="inlineStr">
        <is>
          <t>Báo cáo</t>
        </is>
      </c>
      <c r="G288" s="4" t="inlineStr">
        <is>
          <t>Chỉ tiêu cơ sở</t>
        </is>
      </c>
      <c r="H288" s="4" t="inlineStr">
        <is>
          <t>Dễ</t>
        </is>
      </c>
    </row>
    <row r="289" ht="17" customHeight="1" s="380">
      <c r="B289" s="4" t="inlineStr">
        <is>
          <t>TK-HSX01</t>
        </is>
      </c>
      <c r="D289" s="209" t="inlineStr">
        <is>
          <t xml:space="preserve">Giá trị bán </t>
        </is>
      </c>
      <c r="F289" s="184" t="inlineStr">
        <is>
          <t>Báo cáo</t>
        </is>
      </c>
      <c r="G289" s="4" t="inlineStr">
        <is>
          <t>Chỉ tiêu phái sinh</t>
        </is>
      </c>
      <c r="H289" s="4" t="inlineStr">
        <is>
          <t>Dễ</t>
        </is>
      </c>
    </row>
    <row r="290" ht="17" customHeight="1" s="380">
      <c r="B290" s="4" t="inlineStr">
        <is>
          <t>TK-HSX01</t>
        </is>
      </c>
      <c r="D290" s="233" t="inlineStr">
        <is>
          <t>Khối lượng</t>
        </is>
      </c>
      <c r="F290" s="184" t="inlineStr">
        <is>
          <t>Báo cáo</t>
        </is>
      </c>
      <c r="G290" s="4" t="inlineStr">
        <is>
          <t>Chỉ tiêu phái sinh</t>
        </is>
      </c>
      <c r="H290" s="4" t="inlineStr">
        <is>
          <t>Trùng</t>
        </is>
      </c>
    </row>
    <row r="291" ht="17" customHeight="1" s="380">
      <c r="B291" s="4" t="inlineStr">
        <is>
          <t>TK-HSX01</t>
        </is>
      </c>
      <c r="D291" s="233" t="inlineStr">
        <is>
          <t>Giá</t>
        </is>
      </c>
      <c r="F291" s="184" t="inlineStr">
        <is>
          <t>Báo cáo</t>
        </is>
      </c>
      <c r="G291" s="4" t="inlineStr">
        <is>
          <t>Chỉ tiêu cơ sở</t>
        </is>
      </c>
      <c r="H291" s="4" t="inlineStr">
        <is>
          <t>Dễ</t>
        </is>
      </c>
    </row>
    <row r="292" ht="16" customHeight="1" s="380">
      <c r="B292" s="4" t="inlineStr">
        <is>
          <t>TK-HSX01</t>
        </is>
      </c>
      <c r="D292" s="343" t="inlineStr">
        <is>
          <t>GDNĐTNN CW</t>
        </is>
      </c>
      <c r="F292" s="184" t="inlineStr">
        <is>
          <t>Báo cáo</t>
        </is>
      </c>
    </row>
    <row r="293" ht="17" customHeight="1" s="380">
      <c r="B293" s="4" t="inlineStr">
        <is>
          <t>TK-HSX01</t>
        </is>
      </c>
      <c r="D293" s="234" t="inlineStr">
        <is>
          <t>Khối lượng giao dịch CW</t>
        </is>
      </c>
      <c r="F293" s="184" t="inlineStr">
        <is>
          <t>Báo cáo</t>
        </is>
      </c>
      <c r="G293" s="4" t="inlineStr">
        <is>
          <t>Chỉ tiêu phái sinh</t>
        </is>
      </c>
      <c r="H293" s="4" t="inlineStr">
        <is>
          <t>TB</t>
        </is>
      </c>
    </row>
    <row r="294" ht="17" customHeight="1" s="380">
      <c r="B294" s="4" t="inlineStr">
        <is>
          <t>TK-HSX01</t>
        </is>
      </c>
      <c r="D294" s="234" t="inlineStr">
        <is>
          <t xml:space="preserve">Khối lượng mua </t>
        </is>
      </c>
      <c r="F294" s="184" t="inlineStr">
        <is>
          <t>Báo cáo</t>
        </is>
      </c>
      <c r="G294" s="4" t="inlineStr">
        <is>
          <t>Chỉ tiêu phái sinh</t>
        </is>
      </c>
      <c r="H294" s="4" t="inlineStr">
        <is>
          <t>TB</t>
        </is>
      </c>
    </row>
    <row r="295" ht="17" customHeight="1" s="380">
      <c r="B295" s="4" t="inlineStr">
        <is>
          <t>TK-HSX01</t>
        </is>
      </c>
      <c r="D295" s="234" t="inlineStr">
        <is>
          <t xml:space="preserve">Khối lượng bán </t>
        </is>
      </c>
      <c r="F295" s="184" t="inlineStr">
        <is>
          <t>Báo cáo</t>
        </is>
      </c>
      <c r="G295" s="4" t="inlineStr">
        <is>
          <t>Chỉ tiêu phái sinh</t>
        </is>
      </c>
      <c r="H295" s="4" t="inlineStr">
        <is>
          <t>TB</t>
        </is>
      </c>
    </row>
    <row r="296" ht="17" customHeight="1" s="380">
      <c r="B296" s="4" t="inlineStr">
        <is>
          <t>TK-HSX01</t>
        </is>
      </c>
      <c r="D296" s="234" t="inlineStr">
        <is>
          <t>Giá trị giao dịch CW (VND)</t>
        </is>
      </c>
      <c r="F296" s="184" t="inlineStr">
        <is>
          <t>Báo cáo</t>
        </is>
      </c>
    </row>
    <row r="297" ht="17" customHeight="1" s="380">
      <c r="B297" s="4" t="inlineStr">
        <is>
          <t>TK-HSX01</t>
        </is>
      </c>
      <c r="D297" s="209" t="inlineStr">
        <is>
          <t xml:space="preserve">Giá trị mua </t>
        </is>
      </c>
      <c r="F297" s="184" t="inlineStr">
        <is>
          <t>Báo cáo</t>
        </is>
      </c>
      <c r="G297" s="4" t="inlineStr">
        <is>
          <t>Chỉ tiêu phái sinh</t>
        </is>
      </c>
      <c r="H297" s="4" t="inlineStr">
        <is>
          <t>Dễ</t>
        </is>
      </c>
    </row>
    <row r="298" ht="17" customHeight="1" s="380">
      <c r="B298" s="4" t="inlineStr">
        <is>
          <t>TK-HSX01</t>
        </is>
      </c>
      <c r="D298" s="233" t="inlineStr">
        <is>
          <t>Khối lượng</t>
        </is>
      </c>
      <c r="F298" s="184" t="inlineStr">
        <is>
          <t>Báo cáo</t>
        </is>
      </c>
      <c r="G298" s="4" t="inlineStr">
        <is>
          <t>Chỉ tiêu phái sinh</t>
        </is>
      </c>
      <c r="H298" s="4" t="inlineStr">
        <is>
          <t>Trùng</t>
        </is>
      </c>
    </row>
    <row r="299" ht="17" customHeight="1" s="380">
      <c r="B299" s="4" t="inlineStr">
        <is>
          <t>TK-HSX01</t>
        </is>
      </c>
      <c r="D299" s="233" t="inlineStr">
        <is>
          <t>Giá</t>
        </is>
      </c>
      <c r="F299" s="184" t="inlineStr">
        <is>
          <t>Báo cáo</t>
        </is>
      </c>
      <c r="G299" s="4" t="inlineStr">
        <is>
          <t>Chỉ tiêu cơ sở</t>
        </is>
      </c>
      <c r="H299" s="4" t="inlineStr">
        <is>
          <t>Dễ</t>
        </is>
      </c>
    </row>
    <row r="300" ht="17" customHeight="1" s="380">
      <c r="B300" s="4" t="inlineStr">
        <is>
          <t>TK-HSX01</t>
        </is>
      </c>
      <c r="D300" s="209" t="inlineStr">
        <is>
          <t xml:space="preserve">Giá trị bán </t>
        </is>
      </c>
      <c r="F300" s="184" t="inlineStr">
        <is>
          <t>Báo cáo</t>
        </is>
      </c>
      <c r="G300" s="4" t="inlineStr">
        <is>
          <t>Chỉ tiêu phái sinh</t>
        </is>
      </c>
      <c r="H300" s="4" t="inlineStr">
        <is>
          <t>Dễ</t>
        </is>
      </c>
    </row>
    <row r="301" ht="17" customHeight="1" s="380">
      <c r="B301" s="4" t="inlineStr">
        <is>
          <t>TK-HSX01</t>
        </is>
      </c>
      <c r="D301" s="233" t="inlineStr">
        <is>
          <t>Khối lượng</t>
        </is>
      </c>
      <c r="F301" s="184" t="inlineStr">
        <is>
          <t>Báo cáo</t>
        </is>
      </c>
      <c r="G301" s="4" t="inlineStr">
        <is>
          <t>Chỉ tiêu phái sinh</t>
        </is>
      </c>
      <c r="H301" s="4" t="inlineStr">
        <is>
          <t>Trùng</t>
        </is>
      </c>
    </row>
    <row r="302" ht="17" customHeight="1" s="380">
      <c r="B302" s="4" t="inlineStr">
        <is>
          <t>TK-HSX01</t>
        </is>
      </c>
      <c r="D302" s="233" t="inlineStr">
        <is>
          <t>Giá</t>
        </is>
      </c>
      <c r="F302" s="184" t="inlineStr">
        <is>
          <t>Báo cáo</t>
        </is>
      </c>
      <c r="G302" s="4" t="inlineStr">
        <is>
          <t>Chỉ tiêu cơ sở</t>
        </is>
      </c>
      <c r="H302" s="4" t="inlineStr">
        <is>
          <t>Dễ</t>
        </is>
      </c>
    </row>
    <row r="303" ht="16" customHeight="1" s="380">
      <c r="B303" s="4" t="inlineStr">
        <is>
          <t>TK-HSX01</t>
        </is>
      </c>
      <c r="D303" s="344" t="inlineStr">
        <is>
          <t>Giao dịch thỏa thuận (GDNĐTNN)</t>
        </is>
      </c>
      <c r="F303" s="184" t="inlineStr">
        <is>
          <t>Báo cáo</t>
        </is>
      </c>
    </row>
    <row r="304" ht="17" customHeight="1" s="380">
      <c r="B304" s="4" t="inlineStr">
        <is>
          <t>TK-HSX01</t>
        </is>
      </c>
      <c r="D304" s="254" t="inlineStr">
        <is>
          <t>GDNĐTNN cổ phiếu niêm yết</t>
        </is>
      </c>
      <c r="F304" s="184" t="inlineStr">
        <is>
          <t>Báo cáo</t>
        </is>
      </c>
    </row>
    <row r="305" ht="17" customHeight="1" s="380">
      <c r="B305" s="4" t="inlineStr">
        <is>
          <t>TK-HSX01</t>
        </is>
      </c>
      <c r="D305" s="209" t="inlineStr">
        <is>
          <t>Khối lượng giao dịch cố phiếu niêm yết</t>
        </is>
      </c>
      <c r="F305" s="184" t="inlineStr">
        <is>
          <t>Báo cáo</t>
        </is>
      </c>
    </row>
    <row r="306" ht="17" customHeight="1" s="380">
      <c r="B306" s="4" t="inlineStr">
        <is>
          <t>TK-HSX01</t>
        </is>
      </c>
      <c r="D306" s="209" t="inlineStr">
        <is>
          <t xml:space="preserve">Khối lượng mua </t>
        </is>
      </c>
      <c r="F306" s="184" t="inlineStr">
        <is>
          <t>Báo cáo</t>
        </is>
      </c>
      <c r="G306" s="4" t="inlineStr">
        <is>
          <t>Chỉ tiêu phái sinh</t>
        </is>
      </c>
      <c r="H306" s="4" t="inlineStr">
        <is>
          <t>TB</t>
        </is>
      </c>
    </row>
    <row r="307" ht="17" customHeight="1" s="380">
      <c r="B307" s="4" t="inlineStr">
        <is>
          <t>TK-HSX01</t>
        </is>
      </c>
      <c r="D307" s="209" t="inlineStr">
        <is>
          <t xml:space="preserve">Khối lượng bán </t>
        </is>
      </c>
      <c r="F307" s="184" t="inlineStr">
        <is>
          <t>Báo cáo</t>
        </is>
      </c>
      <c r="G307" s="4" t="inlineStr">
        <is>
          <t>Chỉ tiêu phái sinh</t>
        </is>
      </c>
      <c r="H307" s="4" t="inlineStr">
        <is>
          <t>TB</t>
        </is>
      </c>
    </row>
    <row r="308" ht="17" customHeight="1" s="380">
      <c r="B308" s="4" t="inlineStr">
        <is>
          <t>TK-HSX01</t>
        </is>
      </c>
      <c r="D308" s="209" t="inlineStr">
        <is>
          <t xml:space="preserve">Giá trị giao dịch cổ phiếu niêm yết </t>
        </is>
      </c>
      <c r="F308" s="184" t="inlineStr">
        <is>
          <t>Báo cáo</t>
        </is>
      </c>
      <c r="G308" s="4" t="inlineStr">
        <is>
          <t>Chỉ tiêu phái sinh</t>
        </is>
      </c>
      <c r="H308" s="4" t="inlineStr">
        <is>
          <t>TB</t>
        </is>
      </c>
    </row>
    <row r="309" ht="17" customHeight="1" s="380">
      <c r="B309" s="4" t="inlineStr">
        <is>
          <t>TK-HSX01</t>
        </is>
      </c>
      <c r="D309" s="209" t="inlineStr">
        <is>
          <t xml:space="preserve">Giá trị mua </t>
        </is>
      </c>
      <c r="F309" s="184" t="inlineStr">
        <is>
          <t>Báo cáo</t>
        </is>
      </c>
      <c r="G309" s="4" t="inlineStr">
        <is>
          <t>Chỉ tiêu phái sinh</t>
        </is>
      </c>
      <c r="H309" s="4" t="inlineStr">
        <is>
          <t>Dễ</t>
        </is>
      </c>
    </row>
    <row r="310" ht="17" customHeight="1" s="380">
      <c r="B310" s="4" t="inlineStr">
        <is>
          <t>TK-HSX01</t>
        </is>
      </c>
      <c r="D310" s="233" t="inlineStr">
        <is>
          <t>Khối lượng</t>
        </is>
      </c>
      <c r="F310" s="184" t="inlineStr">
        <is>
          <t>Báo cáo</t>
        </is>
      </c>
      <c r="G310" s="4" t="inlineStr">
        <is>
          <t>Chỉ tiêu phái sinh</t>
        </is>
      </c>
      <c r="H310" s="4" t="inlineStr">
        <is>
          <t>Trùng</t>
        </is>
      </c>
    </row>
    <row r="311" ht="17" customHeight="1" s="380">
      <c r="B311" s="4" t="inlineStr">
        <is>
          <t>TK-HSX01</t>
        </is>
      </c>
      <c r="D311" s="233" t="inlineStr">
        <is>
          <t>Giá</t>
        </is>
      </c>
      <c r="F311" s="184" t="inlineStr">
        <is>
          <t>Báo cáo</t>
        </is>
      </c>
      <c r="G311" s="4" t="inlineStr">
        <is>
          <t>Chỉ tiêu cơ sở</t>
        </is>
      </c>
      <c r="H311" s="4" t="inlineStr">
        <is>
          <t>Dễ</t>
        </is>
      </c>
    </row>
    <row r="312" ht="17" customHeight="1" s="380">
      <c r="B312" s="4" t="inlineStr">
        <is>
          <t>TK-HSX01</t>
        </is>
      </c>
      <c r="D312" s="209" t="inlineStr">
        <is>
          <t xml:space="preserve">Giá trị bán </t>
        </is>
      </c>
      <c r="F312" s="184" t="inlineStr">
        <is>
          <t>Báo cáo</t>
        </is>
      </c>
      <c r="G312" s="4" t="inlineStr">
        <is>
          <t>Chỉ tiêu phái sinh</t>
        </is>
      </c>
      <c r="H312" s="4" t="inlineStr">
        <is>
          <t>Dễ</t>
        </is>
      </c>
    </row>
    <row r="313" ht="17" customHeight="1" s="380">
      <c r="B313" s="4" t="inlineStr">
        <is>
          <t>TK-HSX01</t>
        </is>
      </c>
      <c r="D313" s="233" t="inlineStr">
        <is>
          <t>Khối lượng</t>
        </is>
      </c>
      <c r="F313" s="184" t="inlineStr">
        <is>
          <t>Báo cáo</t>
        </is>
      </c>
      <c r="G313" s="4" t="inlineStr">
        <is>
          <t>Chỉ tiêu phái sinh</t>
        </is>
      </c>
      <c r="H313" s="4" t="inlineStr">
        <is>
          <t>Trùng</t>
        </is>
      </c>
    </row>
    <row r="314" ht="17" customHeight="1" s="380">
      <c r="B314" s="4" t="inlineStr">
        <is>
          <t>TK-HSX01</t>
        </is>
      </c>
      <c r="D314" s="233" t="inlineStr">
        <is>
          <t>Giá</t>
        </is>
      </c>
      <c r="F314" s="184" t="inlineStr">
        <is>
          <t>Báo cáo</t>
        </is>
      </c>
      <c r="G314" s="4" t="inlineStr">
        <is>
          <t>Chỉ tiêu cơ sở</t>
        </is>
      </c>
      <c r="H314" s="4" t="inlineStr">
        <is>
          <t>Dễ</t>
        </is>
      </c>
    </row>
    <row r="315" ht="17" customHeight="1" s="380">
      <c r="B315" s="4" t="inlineStr">
        <is>
          <t>TK-HSX01</t>
        </is>
      </c>
      <c r="D315" s="255" t="inlineStr">
        <is>
          <t>GDNĐTNN chứng chỉ quỹ</t>
        </is>
      </c>
      <c r="F315" s="184" t="inlineStr">
        <is>
          <t>Báo cáo</t>
        </is>
      </c>
    </row>
    <row r="316" ht="17" customHeight="1" s="380">
      <c r="B316" s="4" t="inlineStr">
        <is>
          <t>TK-HSX01</t>
        </is>
      </c>
      <c r="D316" s="209" t="inlineStr">
        <is>
          <t>Khối lượng giao dịch Chứng chỉ quỹ</t>
        </is>
      </c>
      <c r="F316" s="184" t="inlineStr">
        <is>
          <t>Báo cáo</t>
        </is>
      </c>
    </row>
    <row r="317" ht="17" customHeight="1" s="380">
      <c r="B317" s="4" t="inlineStr">
        <is>
          <t>TK-HSX01</t>
        </is>
      </c>
      <c r="D317" s="209" t="inlineStr">
        <is>
          <t xml:space="preserve">Khối lượng mua </t>
        </is>
      </c>
      <c r="F317" s="184" t="inlineStr">
        <is>
          <t>Báo cáo</t>
        </is>
      </c>
      <c r="G317" s="4" t="inlineStr">
        <is>
          <t>Chỉ tiêu phái sinh</t>
        </is>
      </c>
      <c r="H317" s="4" t="inlineStr">
        <is>
          <t>TB</t>
        </is>
      </c>
    </row>
    <row r="318" ht="17" customHeight="1" s="380">
      <c r="B318" s="4" t="inlineStr">
        <is>
          <t>TK-HSX01</t>
        </is>
      </c>
      <c r="D318" s="209" t="inlineStr">
        <is>
          <t xml:space="preserve">Khối lượng bán </t>
        </is>
      </c>
      <c r="F318" s="184" t="inlineStr">
        <is>
          <t>Báo cáo</t>
        </is>
      </c>
      <c r="G318" s="4" t="inlineStr">
        <is>
          <t>Chỉ tiêu phái sinh</t>
        </is>
      </c>
      <c r="H318" s="4" t="inlineStr">
        <is>
          <t>TB</t>
        </is>
      </c>
    </row>
    <row r="319" ht="17" customHeight="1" s="380">
      <c r="B319" s="4" t="inlineStr">
        <is>
          <t>TK-HSX01</t>
        </is>
      </c>
      <c r="D319" s="209" t="inlineStr">
        <is>
          <t xml:space="preserve">Giá trị giao dịch chứng chỉ quỹ </t>
        </is>
      </c>
      <c r="F319" s="184" t="inlineStr">
        <is>
          <t>Báo cáo</t>
        </is>
      </c>
      <c r="G319" s="4" t="inlineStr">
        <is>
          <t>Chỉ tiêu phái sinh</t>
        </is>
      </c>
      <c r="H319" s="4" t="inlineStr">
        <is>
          <t>TB</t>
        </is>
      </c>
    </row>
    <row r="320" ht="17" customHeight="1" s="380">
      <c r="B320" s="4" t="inlineStr">
        <is>
          <t>TK-HSX01</t>
        </is>
      </c>
      <c r="D320" s="209" t="inlineStr">
        <is>
          <t xml:space="preserve">Giá trị mua </t>
        </is>
      </c>
      <c r="F320" s="184" t="inlineStr">
        <is>
          <t>Báo cáo</t>
        </is>
      </c>
      <c r="G320" s="4" t="inlineStr">
        <is>
          <t>Chỉ tiêu phái sinh</t>
        </is>
      </c>
      <c r="H320" s="4" t="inlineStr">
        <is>
          <t>Dễ</t>
        </is>
      </c>
    </row>
    <row r="321" ht="17" customHeight="1" s="380">
      <c r="B321" s="4" t="inlineStr">
        <is>
          <t>TK-HSX01</t>
        </is>
      </c>
      <c r="D321" s="233" t="inlineStr">
        <is>
          <t>Khối lượng</t>
        </is>
      </c>
      <c r="F321" s="184" t="inlineStr">
        <is>
          <t>Báo cáo</t>
        </is>
      </c>
      <c r="G321" s="4" t="inlineStr">
        <is>
          <t>Chỉ tiêu phái sinh</t>
        </is>
      </c>
      <c r="H321" s="4" t="inlineStr">
        <is>
          <t>Trùng</t>
        </is>
      </c>
    </row>
    <row r="322" ht="17" customHeight="1" s="380">
      <c r="B322" s="4" t="inlineStr">
        <is>
          <t>TK-HSX01</t>
        </is>
      </c>
      <c r="D322" s="233" t="inlineStr">
        <is>
          <t>Giá</t>
        </is>
      </c>
      <c r="F322" s="184" t="inlineStr">
        <is>
          <t>Báo cáo</t>
        </is>
      </c>
      <c r="G322" s="4" t="inlineStr">
        <is>
          <t>Chỉ tiêu cơ sở</t>
        </is>
      </c>
      <c r="H322" s="4" t="inlineStr">
        <is>
          <t>Dễ</t>
        </is>
      </c>
    </row>
    <row r="323" ht="17" customHeight="1" s="380">
      <c r="B323" s="4" t="inlineStr">
        <is>
          <t>TK-HSX01</t>
        </is>
      </c>
      <c r="D323" s="209" t="inlineStr">
        <is>
          <t xml:space="preserve">Giá trị bán </t>
        </is>
      </c>
      <c r="F323" s="184" t="inlineStr">
        <is>
          <t>Báo cáo</t>
        </is>
      </c>
      <c r="G323" s="4" t="inlineStr">
        <is>
          <t>Chỉ tiêu phái sinh</t>
        </is>
      </c>
      <c r="H323" s="4" t="inlineStr">
        <is>
          <t>Dễ</t>
        </is>
      </c>
    </row>
    <row r="324" ht="17" customHeight="1" s="380">
      <c r="B324" s="4" t="inlineStr">
        <is>
          <t>TK-HSX01</t>
        </is>
      </c>
      <c r="D324" s="233" t="inlineStr">
        <is>
          <t>Khối lượng</t>
        </is>
      </c>
      <c r="F324" s="184" t="inlineStr">
        <is>
          <t>Báo cáo</t>
        </is>
      </c>
      <c r="G324" s="4" t="inlineStr">
        <is>
          <t>Chỉ tiêu phái sinh</t>
        </is>
      </c>
      <c r="H324" s="4" t="inlineStr">
        <is>
          <t>Trùng</t>
        </is>
      </c>
    </row>
    <row r="325" ht="17" customHeight="1" s="380">
      <c r="B325" s="4" t="inlineStr">
        <is>
          <t>TK-HSX01</t>
        </is>
      </c>
      <c r="D325" s="233" t="inlineStr">
        <is>
          <t>Giá</t>
        </is>
      </c>
      <c r="F325" s="184" t="inlineStr">
        <is>
          <t>Báo cáo</t>
        </is>
      </c>
      <c r="G325" s="4" t="inlineStr">
        <is>
          <t>Chỉ tiêu cơ sở</t>
        </is>
      </c>
      <c r="H325" s="4" t="inlineStr">
        <is>
          <t>Dễ</t>
        </is>
      </c>
    </row>
    <row r="326" ht="17" customHeight="1" s="380">
      <c r="B326" s="4" t="inlineStr">
        <is>
          <t>TK-HSX01</t>
        </is>
      </c>
      <c r="D326" s="255" t="inlineStr">
        <is>
          <t>GDNĐTNN ETF</t>
        </is>
      </c>
      <c r="F326" s="184" t="inlineStr">
        <is>
          <t>Báo cáo</t>
        </is>
      </c>
    </row>
    <row r="327" ht="17" customHeight="1" s="380">
      <c r="B327" s="4" t="inlineStr">
        <is>
          <t>TK-HSX01</t>
        </is>
      </c>
      <c r="D327" s="209" t="inlineStr">
        <is>
          <t>Khối lượng giao dịch ETF</t>
        </is>
      </c>
      <c r="F327" s="184" t="inlineStr">
        <is>
          <t>Báo cáo</t>
        </is>
      </c>
    </row>
    <row r="328" ht="17" customHeight="1" s="380">
      <c r="B328" s="4" t="inlineStr">
        <is>
          <t>TK-HSX01</t>
        </is>
      </c>
      <c r="D328" s="209" t="inlineStr">
        <is>
          <t xml:space="preserve">Khối lượng mua </t>
        </is>
      </c>
      <c r="F328" s="184" t="inlineStr">
        <is>
          <t>Báo cáo</t>
        </is>
      </c>
      <c r="G328" s="4" t="inlineStr">
        <is>
          <t>Chỉ tiêu phái sinh</t>
        </is>
      </c>
      <c r="H328" s="4" t="inlineStr">
        <is>
          <t>TB</t>
        </is>
      </c>
    </row>
    <row r="329" ht="17" customHeight="1" s="380">
      <c r="B329" s="4" t="inlineStr">
        <is>
          <t>TK-HSX01</t>
        </is>
      </c>
      <c r="D329" s="209" t="inlineStr">
        <is>
          <t xml:space="preserve">Khối lượng bán </t>
        </is>
      </c>
      <c r="F329" s="184" t="inlineStr">
        <is>
          <t>Báo cáo</t>
        </is>
      </c>
      <c r="G329" s="4" t="inlineStr">
        <is>
          <t>Chỉ tiêu phái sinh</t>
        </is>
      </c>
      <c r="H329" s="4" t="inlineStr">
        <is>
          <t>TB</t>
        </is>
      </c>
    </row>
    <row r="330" ht="17" customHeight="1" s="380">
      <c r="B330" s="4" t="inlineStr">
        <is>
          <t>TK-HSX01</t>
        </is>
      </c>
      <c r="D330" s="209" t="inlineStr">
        <is>
          <t xml:space="preserve">Giá trị giao dịch ETF </t>
        </is>
      </c>
      <c r="F330" s="184" t="inlineStr">
        <is>
          <t>Báo cáo</t>
        </is>
      </c>
      <c r="G330" s="4" t="inlineStr">
        <is>
          <t>Chỉ tiêu phái sinh</t>
        </is>
      </c>
      <c r="H330" s="4" t="inlineStr">
        <is>
          <t>TB</t>
        </is>
      </c>
    </row>
    <row r="331" ht="17" customHeight="1" s="380">
      <c r="B331" s="4" t="inlineStr">
        <is>
          <t>TK-HSX01</t>
        </is>
      </c>
      <c r="D331" s="209" t="inlineStr">
        <is>
          <t xml:space="preserve">Giá trị mua </t>
        </is>
      </c>
      <c r="F331" s="184" t="inlineStr">
        <is>
          <t>Báo cáo</t>
        </is>
      </c>
      <c r="G331" s="4" t="inlineStr">
        <is>
          <t>Chỉ tiêu phái sinh</t>
        </is>
      </c>
      <c r="H331" s="4" t="inlineStr">
        <is>
          <t>Dễ</t>
        </is>
      </c>
    </row>
    <row r="332" ht="17" customHeight="1" s="380">
      <c r="B332" s="4" t="inlineStr">
        <is>
          <t>TK-HSX01</t>
        </is>
      </c>
      <c r="D332" s="233" t="inlineStr">
        <is>
          <t>Khối lượng</t>
        </is>
      </c>
      <c r="F332" s="184" t="inlineStr">
        <is>
          <t>Báo cáo</t>
        </is>
      </c>
      <c r="G332" s="4" t="inlineStr">
        <is>
          <t>Chỉ tiêu phái sinh</t>
        </is>
      </c>
      <c r="H332" s="4" t="inlineStr">
        <is>
          <t>Trùng</t>
        </is>
      </c>
    </row>
    <row r="333" ht="17" customHeight="1" s="380">
      <c r="B333" s="4" t="inlineStr">
        <is>
          <t>TK-HSX01</t>
        </is>
      </c>
      <c r="D333" s="233" t="inlineStr">
        <is>
          <t>Giá</t>
        </is>
      </c>
      <c r="F333" s="184" t="inlineStr">
        <is>
          <t>Báo cáo</t>
        </is>
      </c>
      <c r="G333" s="4" t="inlineStr">
        <is>
          <t>Chỉ tiêu cơ sở</t>
        </is>
      </c>
      <c r="H333" s="4" t="inlineStr">
        <is>
          <t>Dễ</t>
        </is>
      </c>
    </row>
    <row r="334" ht="17" customHeight="1" s="380">
      <c r="B334" s="4" t="inlineStr">
        <is>
          <t>TK-HSX01</t>
        </is>
      </c>
      <c r="D334" s="209" t="inlineStr">
        <is>
          <t xml:space="preserve">Giá trị bán </t>
        </is>
      </c>
      <c r="F334" s="184" t="inlineStr">
        <is>
          <t>Báo cáo</t>
        </is>
      </c>
      <c r="G334" s="4" t="inlineStr">
        <is>
          <t>Chỉ tiêu phái sinh</t>
        </is>
      </c>
      <c r="H334" s="4" t="inlineStr">
        <is>
          <t>Dễ</t>
        </is>
      </c>
    </row>
    <row r="335" ht="17" customHeight="1" s="380">
      <c r="B335" s="4" t="inlineStr">
        <is>
          <t>TK-HSX01</t>
        </is>
      </c>
      <c r="D335" s="233" t="inlineStr">
        <is>
          <t>Khối lượng</t>
        </is>
      </c>
      <c r="F335" s="184" t="inlineStr">
        <is>
          <t>Báo cáo</t>
        </is>
      </c>
      <c r="G335" s="4" t="inlineStr">
        <is>
          <t>Chỉ tiêu phái sinh</t>
        </is>
      </c>
      <c r="H335" s="4" t="inlineStr">
        <is>
          <t>Trùng</t>
        </is>
      </c>
    </row>
    <row r="336" ht="17" customHeight="1" s="380">
      <c r="B336" s="4" t="inlineStr">
        <is>
          <t>TK-HSX01</t>
        </is>
      </c>
      <c r="D336" s="233" t="inlineStr">
        <is>
          <t>Giá</t>
        </is>
      </c>
      <c r="F336" s="184" t="inlineStr">
        <is>
          <t>Báo cáo</t>
        </is>
      </c>
      <c r="G336" s="4" t="inlineStr">
        <is>
          <t>Chỉ tiêu cơ sở</t>
        </is>
      </c>
      <c r="H336" s="4" t="inlineStr">
        <is>
          <t>Dễ</t>
        </is>
      </c>
    </row>
    <row r="337" ht="16" customHeight="1" s="380">
      <c r="B337" s="4" t="inlineStr">
        <is>
          <t>TK-HSX01</t>
        </is>
      </c>
      <c r="D337" s="343" t="inlineStr">
        <is>
          <t>GDNĐTNN CW</t>
        </is>
      </c>
      <c r="F337" s="184" t="inlineStr">
        <is>
          <t>Báo cáo</t>
        </is>
      </c>
    </row>
    <row r="338" ht="17" customHeight="1" s="380">
      <c r="B338" s="4" t="inlineStr">
        <is>
          <t>TK-HSX01</t>
        </is>
      </c>
      <c r="D338" s="234" t="inlineStr">
        <is>
          <t>Khối lượng giao dịch CW</t>
        </is>
      </c>
      <c r="F338" s="184" t="inlineStr">
        <is>
          <t>Báo cáo</t>
        </is>
      </c>
    </row>
    <row r="339" ht="17" customHeight="1" s="380">
      <c r="B339" s="4" t="inlineStr">
        <is>
          <t>TK-HSX01</t>
        </is>
      </c>
      <c r="D339" s="234" t="inlineStr">
        <is>
          <t xml:space="preserve">Khối lượng mua </t>
        </is>
      </c>
      <c r="F339" s="184" t="inlineStr">
        <is>
          <t>Báo cáo</t>
        </is>
      </c>
      <c r="G339" s="4" t="inlineStr">
        <is>
          <t>Chỉ tiêu phái sinh</t>
        </is>
      </c>
      <c r="H339" s="4" t="inlineStr">
        <is>
          <t>TB</t>
        </is>
      </c>
    </row>
    <row r="340" ht="17" customHeight="1" s="380">
      <c r="B340" s="4" t="inlineStr">
        <is>
          <t>TK-HSX01</t>
        </is>
      </c>
      <c r="D340" s="234" t="inlineStr">
        <is>
          <t xml:space="preserve">Khối lượng bán </t>
        </is>
      </c>
      <c r="F340" s="184" t="inlineStr">
        <is>
          <t>Báo cáo</t>
        </is>
      </c>
      <c r="G340" s="4" t="inlineStr">
        <is>
          <t>Chỉ tiêu phái sinh</t>
        </is>
      </c>
      <c r="H340" s="4" t="inlineStr">
        <is>
          <t>TB</t>
        </is>
      </c>
    </row>
    <row r="341" ht="17" customHeight="1" s="380">
      <c r="B341" s="4" t="inlineStr">
        <is>
          <t>TK-HSX01</t>
        </is>
      </c>
      <c r="D341" s="234" t="inlineStr">
        <is>
          <t>Giá trị giao dịch CW</t>
        </is>
      </c>
      <c r="F341" s="184" t="inlineStr">
        <is>
          <t>Báo cáo</t>
        </is>
      </c>
      <c r="G341" s="4" t="inlineStr">
        <is>
          <t>Chỉ tiêu phái sinh</t>
        </is>
      </c>
      <c r="H341" s="4" t="inlineStr">
        <is>
          <t>TB</t>
        </is>
      </c>
    </row>
    <row r="342" ht="17" customHeight="1" s="380">
      <c r="B342" s="4" t="inlineStr">
        <is>
          <t>TK-HSX01</t>
        </is>
      </c>
      <c r="D342" s="209" t="inlineStr">
        <is>
          <t xml:space="preserve">Giá trị mua </t>
        </is>
      </c>
      <c r="F342" s="184" t="inlineStr">
        <is>
          <t>Báo cáo</t>
        </is>
      </c>
      <c r="G342" s="4" t="inlineStr">
        <is>
          <t>Chỉ tiêu phái sinh</t>
        </is>
      </c>
      <c r="H342" s="4" t="inlineStr">
        <is>
          <t>Dễ</t>
        </is>
      </c>
    </row>
    <row r="343" ht="17" customHeight="1" s="380">
      <c r="B343" s="4" t="inlineStr">
        <is>
          <t>TK-HSX01</t>
        </is>
      </c>
      <c r="D343" s="233" t="inlineStr">
        <is>
          <t>Khối lượng</t>
        </is>
      </c>
      <c r="F343" s="184" t="inlineStr">
        <is>
          <t>Báo cáo</t>
        </is>
      </c>
      <c r="G343" s="4" t="inlineStr">
        <is>
          <t>Chỉ tiêu phái sinh</t>
        </is>
      </c>
      <c r="H343" s="4" t="inlineStr">
        <is>
          <t>Trùng</t>
        </is>
      </c>
    </row>
    <row r="344" ht="17" customHeight="1" s="380">
      <c r="B344" s="4" t="inlineStr">
        <is>
          <t>TK-HSX01</t>
        </is>
      </c>
      <c r="D344" s="233" t="inlineStr">
        <is>
          <t>Giá</t>
        </is>
      </c>
      <c r="F344" s="184" t="inlineStr">
        <is>
          <t>Báo cáo</t>
        </is>
      </c>
      <c r="G344" s="4" t="inlineStr">
        <is>
          <t>Chỉ tiêu cơ sở</t>
        </is>
      </c>
      <c r="H344" s="4" t="inlineStr">
        <is>
          <t>Dễ</t>
        </is>
      </c>
    </row>
    <row r="345" ht="17" customHeight="1" s="380">
      <c r="B345" s="4" t="inlineStr">
        <is>
          <t>TK-HSX01</t>
        </is>
      </c>
      <c r="D345" s="209" t="inlineStr">
        <is>
          <t xml:space="preserve">Giá trị bán </t>
        </is>
      </c>
      <c r="F345" s="184" t="inlineStr">
        <is>
          <t>Báo cáo</t>
        </is>
      </c>
      <c r="G345" s="4" t="inlineStr">
        <is>
          <t>Chỉ tiêu phái sinh</t>
        </is>
      </c>
      <c r="H345" s="4" t="inlineStr">
        <is>
          <t>Dễ</t>
        </is>
      </c>
    </row>
    <row r="346" ht="17" customHeight="1" s="380">
      <c r="B346" s="4" t="inlineStr">
        <is>
          <t>TK-HSX01</t>
        </is>
      </c>
      <c r="D346" s="233" t="inlineStr">
        <is>
          <t>Khối lượng</t>
        </is>
      </c>
      <c r="F346" s="184" t="inlineStr">
        <is>
          <t>Báo cáo</t>
        </is>
      </c>
      <c r="G346" s="4" t="inlineStr">
        <is>
          <t>Chỉ tiêu phái sinh</t>
        </is>
      </c>
      <c r="H346" s="4" t="inlineStr">
        <is>
          <t>Trùng</t>
        </is>
      </c>
    </row>
    <row r="347" ht="17" customHeight="1" s="380">
      <c r="B347" s="4" t="inlineStr">
        <is>
          <t>TK-HSX01</t>
        </is>
      </c>
      <c r="D347" s="233" t="inlineStr">
        <is>
          <t>Giá</t>
        </is>
      </c>
      <c r="F347" s="184" t="inlineStr">
        <is>
          <t>Báo cáo</t>
        </is>
      </c>
      <c r="G347" s="4" t="inlineStr">
        <is>
          <t>Chỉ tiêu cơ sở</t>
        </is>
      </c>
      <c r="H347" s="4" t="inlineStr">
        <is>
          <t>Dễ</t>
        </is>
      </c>
    </row>
    <row r="348" ht="16" customHeight="1" s="380">
      <c r="B348" s="4" t="inlineStr">
        <is>
          <t>TK-HSX01</t>
        </is>
      </c>
      <c r="D348" s="345" t="inlineStr">
        <is>
          <t>GDNĐTNN trái phiếu</t>
        </is>
      </c>
      <c r="F348" s="184" t="inlineStr">
        <is>
          <t>Báo cáo</t>
        </is>
      </c>
    </row>
    <row r="349" ht="17" customHeight="1" s="380">
      <c r="B349" s="4" t="inlineStr">
        <is>
          <t>TK-HSX01</t>
        </is>
      </c>
      <c r="D349" s="209" t="inlineStr">
        <is>
          <t xml:space="preserve">Khối lượng giao dịch trái phiếu </t>
        </is>
      </c>
      <c r="F349" s="184" t="inlineStr">
        <is>
          <t>Báo cáo</t>
        </is>
      </c>
    </row>
    <row r="350" ht="17" customHeight="1" s="380">
      <c r="B350" s="4" t="inlineStr">
        <is>
          <t>TK-HSX01</t>
        </is>
      </c>
      <c r="D350" s="209" t="inlineStr">
        <is>
          <t xml:space="preserve">Khối lượng mua </t>
        </is>
      </c>
      <c r="F350" s="184" t="inlineStr">
        <is>
          <t>Báo cáo</t>
        </is>
      </c>
      <c r="G350" s="4" t="inlineStr">
        <is>
          <t>Chỉ tiêu phái sinh</t>
        </is>
      </c>
      <c r="H350" s="4" t="inlineStr">
        <is>
          <t>TB</t>
        </is>
      </c>
    </row>
    <row r="351" ht="17" customHeight="1" s="380">
      <c r="B351" s="4" t="inlineStr">
        <is>
          <t>TK-HSX01</t>
        </is>
      </c>
      <c r="D351" s="209" t="inlineStr">
        <is>
          <t xml:space="preserve">Khối lượng bán </t>
        </is>
      </c>
      <c r="F351" s="184" t="inlineStr">
        <is>
          <t>Báo cáo</t>
        </is>
      </c>
      <c r="G351" s="4" t="inlineStr">
        <is>
          <t>Chỉ tiêu phái sinh</t>
        </is>
      </c>
      <c r="H351" s="4" t="inlineStr">
        <is>
          <t>TB</t>
        </is>
      </c>
    </row>
    <row r="352" ht="17" customHeight="1" s="380">
      <c r="B352" s="4" t="inlineStr">
        <is>
          <t>TK-HSX01</t>
        </is>
      </c>
      <c r="D352" s="209" t="inlineStr">
        <is>
          <t>Giá trị giao dịch trái phiếu</t>
        </is>
      </c>
      <c r="F352" s="184" t="inlineStr">
        <is>
          <t>Báo cáo</t>
        </is>
      </c>
      <c r="G352" s="4" t="inlineStr">
        <is>
          <t>Chỉ tiêu phái sinh</t>
        </is>
      </c>
      <c r="H352" s="4" t="inlineStr">
        <is>
          <t>TB</t>
        </is>
      </c>
    </row>
    <row r="353" ht="17" customHeight="1" s="380">
      <c r="B353" s="4" t="inlineStr">
        <is>
          <t>TK-HSX01</t>
        </is>
      </c>
      <c r="D353" s="209" t="inlineStr">
        <is>
          <t xml:space="preserve">Giá trị mua </t>
        </is>
      </c>
      <c r="F353" s="184" t="inlineStr">
        <is>
          <t>Báo cáo</t>
        </is>
      </c>
      <c r="G353" s="4" t="inlineStr">
        <is>
          <t>Chỉ tiêu phái sinh</t>
        </is>
      </c>
      <c r="H353" s="4" t="inlineStr">
        <is>
          <t>Dễ</t>
        </is>
      </c>
    </row>
    <row r="354" ht="17" customHeight="1" s="380">
      <c r="B354" s="4" t="inlineStr">
        <is>
          <t>TK-HSX01</t>
        </is>
      </c>
      <c r="D354" s="233" t="inlineStr">
        <is>
          <t>Khối lượng</t>
        </is>
      </c>
      <c r="F354" s="184" t="inlineStr">
        <is>
          <t>Báo cáo</t>
        </is>
      </c>
      <c r="G354" s="4" t="inlineStr">
        <is>
          <t>Chỉ tiêu phái sinh</t>
        </is>
      </c>
      <c r="H354" s="4" t="inlineStr">
        <is>
          <t>Trùng</t>
        </is>
      </c>
    </row>
    <row r="355" ht="17" customHeight="1" s="380">
      <c r="B355" s="4" t="inlineStr">
        <is>
          <t>TK-HSX01</t>
        </is>
      </c>
      <c r="D355" s="233" t="inlineStr">
        <is>
          <t>Giá</t>
        </is>
      </c>
      <c r="F355" s="184" t="inlineStr">
        <is>
          <t>Báo cáo</t>
        </is>
      </c>
      <c r="G355" s="4" t="inlineStr">
        <is>
          <t>Chỉ tiêu cơ sở</t>
        </is>
      </c>
      <c r="H355" s="4" t="inlineStr">
        <is>
          <t>Dễ</t>
        </is>
      </c>
    </row>
    <row r="356" ht="17" customHeight="1" s="380">
      <c r="B356" s="4" t="inlineStr">
        <is>
          <t>TK-HSX01</t>
        </is>
      </c>
      <c r="D356" s="209" t="inlineStr">
        <is>
          <t xml:space="preserve">Giá trị bán </t>
        </is>
      </c>
      <c r="F356" s="184" t="inlineStr">
        <is>
          <t>Báo cáo</t>
        </is>
      </c>
      <c r="G356" s="4" t="inlineStr">
        <is>
          <t>Chỉ tiêu phái sinh</t>
        </is>
      </c>
      <c r="H356" s="4" t="inlineStr">
        <is>
          <t>Dễ</t>
        </is>
      </c>
    </row>
    <row r="357" ht="17" customHeight="1" s="380">
      <c r="B357" s="4" t="inlineStr">
        <is>
          <t>TK-HSX01</t>
        </is>
      </c>
      <c r="D357" s="233" t="inlineStr">
        <is>
          <t>Khối lượng</t>
        </is>
      </c>
      <c r="F357" s="184" t="inlineStr">
        <is>
          <t>Báo cáo</t>
        </is>
      </c>
      <c r="G357" s="4" t="inlineStr">
        <is>
          <t>Chỉ tiêu phái sinh</t>
        </is>
      </c>
      <c r="H357" s="4" t="inlineStr">
        <is>
          <t>Trùng</t>
        </is>
      </c>
    </row>
    <row r="358" ht="17" customHeight="1" s="380">
      <c r="B358" s="4" t="inlineStr">
        <is>
          <t>TK-HSX01</t>
        </is>
      </c>
      <c r="D358" s="233" t="inlineStr">
        <is>
          <t>Giá</t>
        </is>
      </c>
      <c r="F358" s="184" t="inlineStr">
        <is>
          <t>Báo cáo</t>
        </is>
      </c>
      <c r="G358" s="4" t="inlineStr">
        <is>
          <t>Chỉ tiêu cơ sở</t>
        </is>
      </c>
      <c r="H358" s="4" t="inlineStr">
        <is>
          <t>Dễ</t>
        </is>
      </c>
    </row>
    <row r="359" ht="16" customHeight="1" s="380">
      <c r="A359" s="203" t="n">
        <v>3</v>
      </c>
      <c r="B359" s="204" t="inlineStr">
        <is>
          <t>TK-HNX03</t>
        </is>
      </c>
      <c r="C359" s="441" t="inlineStr">
        <is>
          <t>BÁO CÁO VỀ GIAO DỊCH TRÊN THỊ TRƯỜNG CHỨNG KHOÁN PHÁI SINH</t>
        </is>
      </c>
      <c r="D359" s="346" t="inlineStr">
        <is>
          <t>Số lượng mã CKPS đang giao dịch</t>
        </is>
      </c>
      <c r="E359" s="206" t="inlineStr">
        <is>
          <t>CK phái sinh</t>
        </is>
      </c>
      <c r="F359" s="184" t="inlineStr">
        <is>
          <t>Báo cáo</t>
        </is>
      </c>
      <c r="G359" s="206" t="inlineStr">
        <is>
          <t>Chỉ tiêu phái sinh</t>
        </is>
      </c>
      <c r="H359" s="206" t="inlineStr">
        <is>
          <t>TB</t>
        </is>
      </c>
      <c r="I359" s="4" t="inlineStr">
        <is>
          <t>CKPS</t>
        </is>
      </c>
      <c r="J359" s="206" t="n"/>
      <c r="K359" s="206" t="n"/>
    </row>
    <row r="360" ht="16" customHeight="1" s="380">
      <c r="B360" s="207" t="inlineStr">
        <is>
          <t>TK-HNX03</t>
        </is>
      </c>
      <c r="C360" s="442" t="n"/>
      <c r="D360" s="337" t="inlineStr">
        <is>
          <t>Khối lượng chứng khoán Phái sinh giao dịch toàn thị trường (số lượng hợp đồng)</t>
        </is>
      </c>
      <c r="E360" s="4" t="inlineStr">
        <is>
          <t>CK phái sinh</t>
        </is>
      </c>
      <c r="F360" s="184" t="inlineStr">
        <is>
          <t>Báo cáo</t>
        </is>
      </c>
      <c r="G360" s="4" t="inlineStr">
        <is>
          <t>Chỉ tiêu phái sinh</t>
        </is>
      </c>
      <c r="H360" s="4" t="inlineStr">
        <is>
          <t>TB</t>
        </is>
      </c>
      <c r="I360" s="4" t="inlineStr">
        <is>
          <t>CKPS</t>
        </is>
      </c>
    </row>
    <row r="361" ht="16" customHeight="1" s="380">
      <c r="B361" s="207" t="inlineStr">
        <is>
          <t>TK-HNX03</t>
        </is>
      </c>
      <c r="C361" s="442" t="n"/>
      <c r="D361" s="347" t="inlineStr">
        <is>
          <t>Trong đó: Khối lượng giao dịch của mã CKPS có tháng đáo hạn gần nhất</t>
        </is>
      </c>
      <c r="E361" s="4" t="inlineStr">
        <is>
          <t>CK phái sinh</t>
        </is>
      </c>
      <c r="F361" s="184" t="inlineStr">
        <is>
          <t>Báo cáo</t>
        </is>
      </c>
      <c r="G361" s="4" t="inlineStr">
        <is>
          <t>Chỉ tiêu phái sinh</t>
        </is>
      </c>
      <c r="H361" s="4" t="inlineStr">
        <is>
          <t>TB</t>
        </is>
      </c>
      <c r="I361" s="4" t="inlineStr">
        <is>
          <t>CKPS</t>
        </is>
      </c>
    </row>
    <row r="362" ht="16" customHeight="1" s="380">
      <c r="B362" s="207" t="inlineStr">
        <is>
          <t>TK-HNX03</t>
        </is>
      </c>
      <c r="C362" s="442" t="n"/>
      <c r="D362" s="337" t="inlineStr">
        <is>
          <t>Giá trị chứng khoán Phái sinh giao dịch toàn thị trường (theo quy mô danh nghĩa hợp đồng)</t>
        </is>
      </c>
      <c r="E362" s="4" t="inlineStr">
        <is>
          <t>CK phái sinh</t>
        </is>
      </c>
      <c r="F362" s="184" t="inlineStr">
        <is>
          <t>Báo cáo</t>
        </is>
      </c>
      <c r="G362" s="4" t="inlineStr">
        <is>
          <t>Chỉ tiêu phái sinh</t>
        </is>
      </c>
      <c r="H362" s="4" t="inlineStr">
        <is>
          <t>TB</t>
        </is>
      </c>
      <c r="I362" s="4" t="inlineStr">
        <is>
          <t>CKPS</t>
        </is>
      </c>
    </row>
    <row r="363" ht="16" customHeight="1" s="380">
      <c r="B363" s="207" t="inlineStr">
        <is>
          <t>TK-HNX03</t>
        </is>
      </c>
      <c r="C363" s="442" t="n"/>
      <c r="D363" s="347" t="inlineStr">
        <is>
          <t>Trong đó: Giá trị giao dịch của mã CKPS có tháng đáo hạn gần nhất</t>
        </is>
      </c>
      <c r="E363" s="4" t="inlineStr">
        <is>
          <t>CK phái sinh</t>
        </is>
      </c>
      <c r="F363" s="184" t="inlineStr">
        <is>
          <t>Báo cáo</t>
        </is>
      </c>
      <c r="G363" s="4" t="inlineStr">
        <is>
          <t>Chỉ tiêu phái sinh</t>
        </is>
      </c>
      <c r="H363" s="4" t="inlineStr">
        <is>
          <t>TB</t>
        </is>
      </c>
      <c r="I363" s="4" t="inlineStr">
        <is>
          <t>CKPS</t>
        </is>
      </c>
    </row>
    <row r="364" ht="16" customHeight="1" s="380">
      <c r="B364" s="207" t="inlineStr">
        <is>
          <t>TK-HNX03</t>
        </is>
      </c>
      <c r="C364" s="442" t="n"/>
      <c r="D364" s="337" t="inlineStr">
        <is>
          <t>Khối lượng hợp đồng đang lưu hành (OI)</t>
        </is>
      </c>
      <c r="E364" s="4" t="inlineStr">
        <is>
          <t>CK phái sinh</t>
        </is>
      </c>
      <c r="F364" s="184" t="inlineStr">
        <is>
          <t>Báo cáo</t>
        </is>
      </c>
      <c r="G364" s="4" t="inlineStr">
        <is>
          <t>Chỉ tiêu phái sinh</t>
        </is>
      </c>
      <c r="H364" s="4" t="inlineStr">
        <is>
          <t>TB</t>
        </is>
      </c>
      <c r="I364" s="4" t="inlineStr">
        <is>
          <t>CKPS</t>
        </is>
      </c>
    </row>
    <row r="365" ht="16" customHeight="1" s="380">
      <c r="B365" s="207" t="inlineStr">
        <is>
          <t>TK-HNX03</t>
        </is>
      </c>
      <c r="C365" s="442" t="n"/>
      <c r="D365" s="337" t="inlineStr">
        <is>
          <t>Giao dịch Nhà đầu tư nước ngoài</t>
        </is>
      </c>
      <c r="E365" s="4" t="inlineStr">
        <is>
          <t>CK phái sinh</t>
        </is>
      </c>
      <c r="F365" s="184" t="inlineStr">
        <is>
          <t>Báo cáo</t>
        </is>
      </c>
      <c r="G365" s="4" t="inlineStr">
        <is>
          <t>Chỉ tiêu phái sinh</t>
        </is>
      </c>
      <c r="H365" s="4" t="inlineStr">
        <is>
          <t>TB</t>
        </is>
      </c>
      <c r="I365" s="4" t="inlineStr">
        <is>
          <t>CKPS</t>
        </is>
      </c>
    </row>
    <row r="366" ht="16" customHeight="1" s="380">
      <c r="B366" s="207" t="inlineStr">
        <is>
          <t>TK-HNX03</t>
        </is>
      </c>
      <c r="C366" s="442" t="n"/>
      <c r="D366" s="198" t="inlineStr">
        <is>
          <t>Khối lượng giao dịch chứng khoán phái sinh</t>
        </is>
      </c>
      <c r="E366" s="4" t="inlineStr">
        <is>
          <t>CK phái sinh</t>
        </is>
      </c>
      <c r="F366" s="184" t="inlineStr">
        <is>
          <t>Báo cáo</t>
        </is>
      </c>
      <c r="G366" s="4" t="inlineStr">
        <is>
          <t>Chỉ tiêu phái sinh</t>
        </is>
      </c>
      <c r="H366" s="4" t="inlineStr">
        <is>
          <t>Dễ</t>
        </is>
      </c>
      <c r="I366" s="4" t="inlineStr">
        <is>
          <t>CKPS</t>
        </is>
      </c>
    </row>
    <row r="367" ht="16" customHeight="1" s="380">
      <c r="B367" s="207" t="inlineStr">
        <is>
          <t>TK-HNX03</t>
        </is>
      </c>
      <c r="C367" s="442" t="n"/>
      <c r="D367" s="198" t="inlineStr">
        <is>
          <t>Khối lượng mua</t>
        </is>
      </c>
      <c r="E367" s="4" t="inlineStr">
        <is>
          <t>CK phái sinh</t>
        </is>
      </c>
      <c r="F367" s="184" t="inlineStr">
        <is>
          <t>Báo cáo</t>
        </is>
      </c>
      <c r="G367" s="4" t="inlineStr">
        <is>
          <t>Chỉ tiêu phái sinh</t>
        </is>
      </c>
      <c r="H367" s="4" t="inlineStr">
        <is>
          <t>TB</t>
        </is>
      </c>
      <c r="I367" s="4" t="inlineStr">
        <is>
          <t>CKPS</t>
        </is>
      </c>
    </row>
    <row r="368" ht="16" customHeight="1" s="380">
      <c r="B368" s="207" t="inlineStr">
        <is>
          <t>TK-HNX03</t>
        </is>
      </c>
      <c r="C368" s="442" t="n"/>
      <c r="D368" s="198" t="inlineStr">
        <is>
          <t>Khối lượng bán</t>
        </is>
      </c>
      <c r="E368" s="4" t="inlineStr">
        <is>
          <t>CK phái sinh</t>
        </is>
      </c>
      <c r="F368" s="184" t="inlineStr">
        <is>
          <t>Báo cáo</t>
        </is>
      </c>
      <c r="G368" s="4" t="inlineStr">
        <is>
          <t>Chỉ tiêu phái sinh</t>
        </is>
      </c>
      <c r="H368" s="4" t="inlineStr">
        <is>
          <t>TB</t>
        </is>
      </c>
      <c r="I368" s="4" t="inlineStr">
        <is>
          <t>CKPS</t>
        </is>
      </c>
    </row>
    <row r="369" ht="16" customHeight="1" s="380">
      <c r="B369" s="207" t="inlineStr">
        <is>
          <t>TK-HNX03</t>
        </is>
      </c>
      <c r="C369" s="442" t="n"/>
      <c r="D369" s="198" t="inlineStr">
        <is>
          <t>Giá trị giao dịch chứng khoán phái sinh</t>
        </is>
      </c>
      <c r="E369" s="4" t="inlineStr">
        <is>
          <t>CK phái sinh</t>
        </is>
      </c>
      <c r="F369" s="184" t="inlineStr">
        <is>
          <t>Báo cáo</t>
        </is>
      </c>
      <c r="G369" s="4" t="inlineStr">
        <is>
          <t>Chỉ tiêu phái sinh</t>
        </is>
      </c>
      <c r="H369" s="4" t="inlineStr">
        <is>
          <t>Dễ</t>
        </is>
      </c>
      <c r="I369" s="4" t="inlineStr">
        <is>
          <t>CKPS</t>
        </is>
      </c>
    </row>
    <row r="370" ht="17" customHeight="1" s="380">
      <c r="B370" s="207" t="inlineStr">
        <is>
          <t>TK-HNX03</t>
        </is>
      </c>
      <c r="C370" s="442" t="n"/>
      <c r="D370" s="209" t="inlineStr">
        <is>
          <t xml:space="preserve">Giá trị mua </t>
        </is>
      </c>
      <c r="F370" s="184" t="inlineStr">
        <is>
          <t>Báo cáo</t>
        </is>
      </c>
      <c r="G370" s="4" t="inlineStr">
        <is>
          <t>Chỉ tiêu phái sinh</t>
        </is>
      </c>
      <c r="H370" s="4" t="inlineStr">
        <is>
          <t>Dễ</t>
        </is>
      </c>
      <c r="I370" s="4" t="inlineStr">
        <is>
          <t>CKPS</t>
        </is>
      </c>
    </row>
    <row r="371" ht="17" customHeight="1" s="380">
      <c r="B371" s="207" t="inlineStr">
        <is>
          <t>TK-HNX03</t>
        </is>
      </c>
      <c r="C371" s="442" t="n"/>
      <c r="D371" s="210" t="inlineStr">
        <is>
          <t>Khối lượng</t>
        </is>
      </c>
      <c r="E371" s="27" t="n"/>
      <c r="F371" s="27" t="inlineStr">
        <is>
          <t>Báo cáo</t>
        </is>
      </c>
      <c r="G371" s="27" t="inlineStr">
        <is>
          <t>Chỉ tiêu phái sinh</t>
        </is>
      </c>
      <c r="H371" s="27" t="inlineStr">
        <is>
          <t>Thừa có phải không?</t>
        </is>
      </c>
      <c r="I371" s="4" t="inlineStr">
        <is>
          <t>CKPS</t>
        </is>
      </c>
    </row>
    <row r="372" ht="17" customHeight="1" s="380">
      <c r="B372" s="207" t="inlineStr">
        <is>
          <t>TK-HNX03</t>
        </is>
      </c>
      <c r="C372" s="442" t="n"/>
      <c r="D372" s="210" t="inlineStr">
        <is>
          <t>Giá</t>
        </is>
      </c>
      <c r="E372" s="27" t="n"/>
      <c r="F372" s="27" t="inlineStr">
        <is>
          <t>Báo cáo</t>
        </is>
      </c>
      <c r="G372" s="27" t="inlineStr">
        <is>
          <t>Chỉ tiêu cơ sở</t>
        </is>
      </c>
      <c r="H372" s="27" t="inlineStr">
        <is>
          <t>Thừa có phải không?</t>
        </is>
      </c>
      <c r="I372" s="4" t="inlineStr">
        <is>
          <t>CKPS</t>
        </is>
      </c>
    </row>
    <row r="373" ht="17" customHeight="1" s="380">
      <c r="B373" s="207" t="inlineStr">
        <is>
          <t>TK-HNX03</t>
        </is>
      </c>
      <c r="C373" s="442" t="n"/>
      <c r="D373" s="209" t="inlineStr">
        <is>
          <t xml:space="preserve">Giá trị bán </t>
        </is>
      </c>
      <c r="F373" s="184" t="inlineStr">
        <is>
          <t>Báo cáo</t>
        </is>
      </c>
      <c r="G373" s="4" t="inlineStr">
        <is>
          <t>Chỉ tiêu phái sinh</t>
        </is>
      </c>
      <c r="H373" s="4" t="inlineStr">
        <is>
          <t>Dễ</t>
        </is>
      </c>
      <c r="I373" s="4" t="inlineStr">
        <is>
          <t>CKPS</t>
        </is>
      </c>
    </row>
    <row r="374" ht="17" customHeight="1" s="380">
      <c r="B374" s="207" t="inlineStr">
        <is>
          <t>TK-HNX03</t>
        </is>
      </c>
      <c r="C374" s="442" t="n"/>
      <c r="D374" s="210" t="inlineStr">
        <is>
          <t>Khối lượng</t>
        </is>
      </c>
      <c r="E374" s="27" t="n"/>
      <c r="F374" s="27" t="inlineStr">
        <is>
          <t>Báo cáo</t>
        </is>
      </c>
      <c r="G374" s="27" t="inlineStr">
        <is>
          <t>Chỉ tiêu phái sinh</t>
        </is>
      </c>
      <c r="H374" s="27" t="inlineStr">
        <is>
          <t>Thừa có phải không?</t>
        </is>
      </c>
      <c r="I374" s="4" t="inlineStr">
        <is>
          <t>CKPS</t>
        </is>
      </c>
    </row>
    <row r="375" ht="17" customHeight="1" s="380">
      <c r="B375" s="207" t="inlineStr">
        <is>
          <t>TK-HNX03</t>
        </is>
      </c>
      <c r="C375" s="443" t="n"/>
      <c r="D375" s="210" t="inlineStr">
        <is>
          <t>Giá</t>
        </is>
      </c>
      <c r="E375" s="27" t="n"/>
      <c r="F375" s="27" t="inlineStr">
        <is>
          <t>Báo cáo</t>
        </is>
      </c>
      <c r="G375" s="27" t="inlineStr">
        <is>
          <t>Chỉ tiêu cơ sở</t>
        </is>
      </c>
      <c r="H375" s="27" t="inlineStr">
        <is>
          <t>Thừa có phải không?</t>
        </is>
      </c>
      <c r="I375" s="4" t="inlineStr">
        <is>
          <t>CKPS</t>
        </is>
      </c>
    </row>
    <row r="376" ht="17" customHeight="1" s="380">
      <c r="A376" s="183" t="n">
        <v>4</v>
      </c>
      <c r="B376" s="228" t="inlineStr">
        <is>
          <t>TK-HNX07</t>
        </is>
      </c>
      <c r="C376" s="444" t="inlineStr">
        <is>
          <t xml:space="preserve">     BÁO CÁO VỀ GIAO DỊCH TRÊN THỊ TRƯỜNG TPDN NIÊM YẾT</t>
        </is>
      </c>
      <c r="D376" s="229" t="inlineStr">
        <is>
          <t>Khối lượng giao dịch</t>
        </is>
      </c>
      <c r="E376" s="184" t="inlineStr">
        <is>
          <t>TPDN</t>
        </is>
      </c>
      <c r="F376" s="184" t="inlineStr">
        <is>
          <t>Báo cáo</t>
        </is>
      </c>
      <c r="G376" s="184" t="n"/>
      <c r="H376" s="184" t="n"/>
      <c r="I376" s="184" t="inlineStr">
        <is>
          <t>TPDN</t>
        </is>
      </c>
      <c r="J376" s="184" t="n"/>
      <c r="K376" s="184" t="n"/>
    </row>
    <row r="377" ht="17" customHeight="1" s="380">
      <c r="B377" s="230" t="inlineStr">
        <is>
          <t>TK-HNX07</t>
        </is>
      </c>
      <c r="C377" s="442" t="n"/>
      <c r="D377" s="231" t="inlineStr">
        <is>
          <t>Khớp lệnh</t>
        </is>
      </c>
      <c r="F377" s="184" t="inlineStr">
        <is>
          <t>Báo cáo</t>
        </is>
      </c>
      <c r="G377" s="4" t="inlineStr">
        <is>
          <t>Chỉ tiêu phái sinh</t>
        </is>
      </c>
      <c r="H377" s="4" t="inlineStr">
        <is>
          <t>TB</t>
        </is>
      </c>
      <c r="I377" s="184" t="inlineStr">
        <is>
          <t>TPDN</t>
        </is>
      </c>
    </row>
    <row r="378" ht="17" customHeight="1" s="380">
      <c r="B378" s="230" t="inlineStr">
        <is>
          <t>TK-HNX07</t>
        </is>
      </c>
      <c r="C378" s="442" t="n"/>
      <c r="D378" s="231" t="inlineStr">
        <is>
          <t>Thỏa thuận</t>
        </is>
      </c>
      <c r="F378" s="184" t="inlineStr">
        <is>
          <t>Báo cáo</t>
        </is>
      </c>
      <c r="G378" s="4" t="inlineStr">
        <is>
          <t>Chỉ tiêu phái sinh</t>
        </is>
      </c>
      <c r="H378" s="4" t="inlineStr">
        <is>
          <t>TB</t>
        </is>
      </c>
      <c r="I378" s="184" t="inlineStr">
        <is>
          <t>TPDN</t>
        </is>
      </c>
    </row>
    <row r="379" ht="17" customHeight="1" s="380">
      <c r="B379" s="230" t="inlineStr">
        <is>
          <t>TK-HNX07</t>
        </is>
      </c>
      <c r="C379" s="442" t="n"/>
      <c r="D379" s="232" t="inlineStr">
        <is>
          <t>Giá trị  giao dịch</t>
        </is>
      </c>
      <c r="F379" s="184" t="inlineStr">
        <is>
          <t>Báo cáo</t>
        </is>
      </c>
      <c r="I379" s="184" t="inlineStr">
        <is>
          <t>TPDN</t>
        </is>
      </c>
    </row>
    <row r="380" ht="17" customHeight="1" s="380">
      <c r="B380" s="230" t="inlineStr">
        <is>
          <t>TK-HNX07</t>
        </is>
      </c>
      <c r="C380" s="442" t="n"/>
      <c r="D380" s="231" t="inlineStr">
        <is>
          <t>Khớp lệnh</t>
        </is>
      </c>
      <c r="F380" s="184" t="inlineStr">
        <is>
          <t>Báo cáo</t>
        </is>
      </c>
      <c r="I380" s="184" t="inlineStr">
        <is>
          <t>TPDN</t>
        </is>
      </c>
    </row>
    <row r="381" ht="17" customHeight="1" s="380">
      <c r="B381" s="230" t="inlineStr">
        <is>
          <t>TK-HNX07</t>
        </is>
      </c>
      <c r="C381" s="442" t="n"/>
      <c r="D381" s="233" t="inlineStr">
        <is>
          <t>Khối lượng</t>
        </is>
      </c>
      <c r="F381" s="184" t="inlineStr">
        <is>
          <t>Báo cáo</t>
        </is>
      </c>
      <c r="G381" s="4" t="inlineStr">
        <is>
          <t>Chỉ tiêu phái sinh</t>
        </is>
      </c>
      <c r="H381" s="4" t="inlineStr">
        <is>
          <t>Trùng</t>
        </is>
      </c>
      <c r="I381" s="184" t="inlineStr">
        <is>
          <t>TPDN</t>
        </is>
      </c>
    </row>
    <row r="382" ht="17" customHeight="1" s="380">
      <c r="B382" s="230" t="inlineStr">
        <is>
          <t>TK-HNX07</t>
        </is>
      </c>
      <c r="C382" s="442" t="n"/>
      <c r="D382" s="233" t="inlineStr">
        <is>
          <t>Giá</t>
        </is>
      </c>
      <c r="F382" s="184" t="inlineStr">
        <is>
          <t>Báo cáo</t>
        </is>
      </c>
      <c r="G382" s="4" t="inlineStr">
        <is>
          <t>Chỉ tiêu cơ sở</t>
        </is>
      </c>
      <c r="H382" s="4" t="inlineStr">
        <is>
          <t>Dễ</t>
        </is>
      </c>
      <c r="I382" s="184" t="inlineStr">
        <is>
          <t>TPDN</t>
        </is>
      </c>
    </row>
    <row r="383" ht="17" customHeight="1" s="380">
      <c r="B383" s="230" t="inlineStr">
        <is>
          <t>TK-HNX07</t>
        </is>
      </c>
      <c r="C383" s="442" t="n"/>
      <c r="D383" s="231" t="inlineStr">
        <is>
          <t>Thỏa thuận</t>
        </is>
      </c>
      <c r="F383" s="184" t="inlineStr">
        <is>
          <t>Báo cáo</t>
        </is>
      </c>
      <c r="I383" s="184" t="inlineStr">
        <is>
          <t>TPDN</t>
        </is>
      </c>
    </row>
    <row r="384" ht="17" customHeight="1" s="380">
      <c r="B384" s="230" t="inlineStr">
        <is>
          <t>TK-HNX07</t>
        </is>
      </c>
      <c r="C384" s="442" t="n"/>
      <c r="D384" s="233" t="inlineStr">
        <is>
          <t>Khối lượng</t>
        </is>
      </c>
      <c r="F384" s="184" t="inlineStr">
        <is>
          <t>Báo cáo</t>
        </is>
      </c>
      <c r="G384" s="4" t="inlineStr">
        <is>
          <t>Chỉ tiêu phái sinh</t>
        </is>
      </c>
      <c r="H384" s="4" t="inlineStr">
        <is>
          <t>Trùng</t>
        </is>
      </c>
      <c r="I384" s="184" t="inlineStr">
        <is>
          <t>TPDN</t>
        </is>
      </c>
    </row>
    <row r="385" ht="17" customHeight="1" s="380">
      <c r="B385" s="230" t="inlineStr">
        <is>
          <t>TK-HNX07</t>
        </is>
      </c>
      <c r="C385" s="442" t="n"/>
      <c r="D385" s="233" t="inlineStr">
        <is>
          <t>Giá</t>
        </is>
      </c>
      <c r="F385" s="184" t="inlineStr">
        <is>
          <t>Báo cáo</t>
        </is>
      </c>
      <c r="G385" s="4" t="inlineStr">
        <is>
          <t>Chỉ tiêu cơ sở</t>
        </is>
      </c>
      <c r="H385" s="4" t="inlineStr">
        <is>
          <t>Dễ</t>
        </is>
      </c>
      <c r="I385" s="184" t="inlineStr">
        <is>
          <t>TPDN</t>
        </is>
      </c>
    </row>
    <row r="386" ht="17" customHeight="1" s="380">
      <c r="B386" s="230" t="inlineStr">
        <is>
          <t>TK-HNX07</t>
        </is>
      </c>
      <c r="C386" s="442" t="n"/>
      <c r="D386" s="232" t="inlineStr">
        <is>
          <t>Giao dịch Nhà đầu tư nước ngoài (GDNĐTNN)</t>
        </is>
      </c>
      <c r="F386" s="184" t="inlineStr">
        <is>
          <t>Báo cáo</t>
        </is>
      </c>
      <c r="I386" s="184" t="inlineStr">
        <is>
          <t>TPDN</t>
        </is>
      </c>
    </row>
    <row r="387" ht="17" customHeight="1" s="380">
      <c r="B387" s="230" t="inlineStr">
        <is>
          <t>TK-HNX07</t>
        </is>
      </c>
      <c r="C387" s="442" t="n"/>
      <c r="D387" s="232" t="inlineStr">
        <is>
          <t xml:space="preserve">Giao dịch khớp lệnh </t>
        </is>
      </c>
      <c r="F387" s="184" t="inlineStr">
        <is>
          <t>Báo cáo</t>
        </is>
      </c>
      <c r="I387" s="184" t="inlineStr">
        <is>
          <t>TPDN</t>
        </is>
      </c>
    </row>
    <row r="388" ht="17" customHeight="1" s="380">
      <c r="B388" s="230" t="inlineStr">
        <is>
          <t>TK-HNX07</t>
        </is>
      </c>
      <c r="C388" s="442" t="n"/>
      <c r="D388" s="234" t="inlineStr">
        <is>
          <t>Khối lượng giao dịch</t>
        </is>
      </c>
      <c r="F388" s="184" t="inlineStr">
        <is>
          <t>Báo cáo</t>
        </is>
      </c>
      <c r="I388" s="184" t="inlineStr">
        <is>
          <t>TPDN</t>
        </is>
      </c>
    </row>
    <row r="389" ht="17" customHeight="1" s="380">
      <c r="B389" s="230" t="inlineStr">
        <is>
          <t>TK-HNX07</t>
        </is>
      </c>
      <c r="C389" s="442" t="n"/>
      <c r="D389" s="234" t="inlineStr">
        <is>
          <t xml:space="preserve">Khối lượng mua </t>
        </is>
      </c>
      <c r="F389" s="184" t="inlineStr">
        <is>
          <t>Báo cáo</t>
        </is>
      </c>
      <c r="G389" s="4" t="inlineStr">
        <is>
          <t>Chỉ tiêu phái sinh</t>
        </is>
      </c>
      <c r="H389" s="4" t="inlineStr">
        <is>
          <t>TB</t>
        </is>
      </c>
      <c r="I389" s="184" t="inlineStr">
        <is>
          <t>TPDN</t>
        </is>
      </c>
    </row>
    <row r="390" ht="17" customHeight="1" s="380">
      <c r="B390" s="230" t="inlineStr">
        <is>
          <t>TK-HNX07</t>
        </is>
      </c>
      <c r="C390" s="442" t="n"/>
      <c r="D390" s="234" t="inlineStr">
        <is>
          <t xml:space="preserve">Khối lượng bán </t>
        </is>
      </c>
      <c r="F390" s="184" t="inlineStr">
        <is>
          <t>Báo cáo</t>
        </is>
      </c>
      <c r="G390" s="4" t="inlineStr">
        <is>
          <t>Chỉ tiêu phái sinh</t>
        </is>
      </c>
      <c r="H390" s="4" t="inlineStr">
        <is>
          <t>TB</t>
        </is>
      </c>
      <c r="I390" s="184" t="inlineStr">
        <is>
          <t>TPDN</t>
        </is>
      </c>
    </row>
    <row r="391" ht="17" customHeight="1" s="380">
      <c r="B391" s="230" t="inlineStr">
        <is>
          <t>TK-HNX07</t>
        </is>
      </c>
      <c r="C391" s="442" t="n"/>
      <c r="D391" s="234" t="inlineStr">
        <is>
          <t xml:space="preserve">Giá trị giao dịch </t>
        </is>
      </c>
      <c r="F391" s="184" t="inlineStr">
        <is>
          <t>Báo cáo</t>
        </is>
      </c>
      <c r="I391" s="184" t="inlineStr">
        <is>
          <t>TPDN</t>
        </is>
      </c>
    </row>
    <row r="392" ht="17" customHeight="1" s="380">
      <c r="B392" s="230" t="inlineStr">
        <is>
          <t>TK-HNX07</t>
        </is>
      </c>
      <c r="C392" s="442" t="n"/>
      <c r="D392" s="234" t="inlineStr">
        <is>
          <t xml:space="preserve">Giá trị mua </t>
        </is>
      </c>
      <c r="F392" s="184" t="inlineStr">
        <is>
          <t>Báo cáo</t>
        </is>
      </c>
      <c r="I392" s="184" t="inlineStr">
        <is>
          <t>TPDN</t>
        </is>
      </c>
    </row>
    <row r="393" ht="17" customHeight="1" s="380">
      <c r="B393" s="230" t="inlineStr">
        <is>
          <t>TK-HNX07</t>
        </is>
      </c>
      <c r="C393" s="442" t="n"/>
      <c r="D393" s="233" t="inlineStr">
        <is>
          <t>Khối lượng</t>
        </is>
      </c>
      <c r="F393" s="184" t="inlineStr">
        <is>
          <t>Báo cáo</t>
        </is>
      </c>
      <c r="G393" s="4" t="inlineStr">
        <is>
          <t>Chỉ tiêu phái sinh</t>
        </is>
      </c>
      <c r="H393" s="4" t="inlineStr">
        <is>
          <t>Trùng</t>
        </is>
      </c>
      <c r="I393" s="184" t="inlineStr">
        <is>
          <t>TPDN</t>
        </is>
      </c>
    </row>
    <row r="394" ht="17" customHeight="1" s="380">
      <c r="B394" s="230" t="inlineStr">
        <is>
          <t>TK-HNX07</t>
        </is>
      </c>
      <c r="C394" s="442" t="n"/>
      <c r="D394" s="233" t="inlineStr">
        <is>
          <t>Giá</t>
        </is>
      </c>
      <c r="F394" s="184" t="inlineStr">
        <is>
          <t>Báo cáo</t>
        </is>
      </c>
      <c r="G394" s="4" t="inlineStr">
        <is>
          <t>Chỉ tiêu cơ sở</t>
        </is>
      </c>
      <c r="H394" s="4" t="inlineStr">
        <is>
          <t>Dễ</t>
        </is>
      </c>
      <c r="I394" s="184" t="inlineStr">
        <is>
          <t>TPDN</t>
        </is>
      </c>
    </row>
    <row r="395" ht="17" customHeight="1" s="380">
      <c r="B395" s="230" t="inlineStr">
        <is>
          <t>TK-HNX07</t>
        </is>
      </c>
      <c r="C395" s="442" t="n"/>
      <c r="D395" s="234" t="inlineStr">
        <is>
          <t xml:space="preserve">Giá trị bán </t>
        </is>
      </c>
      <c r="F395" s="184" t="inlineStr">
        <is>
          <t>Báo cáo</t>
        </is>
      </c>
      <c r="I395" s="184" t="inlineStr">
        <is>
          <t>TPDN</t>
        </is>
      </c>
    </row>
    <row r="396" ht="17" customHeight="1" s="380">
      <c r="B396" s="230" t="inlineStr">
        <is>
          <t>TK-HNX07</t>
        </is>
      </c>
      <c r="C396" s="442" t="n"/>
      <c r="D396" s="233" t="inlineStr">
        <is>
          <t>Khối lượng</t>
        </is>
      </c>
      <c r="F396" s="184" t="inlineStr">
        <is>
          <t>Báo cáo</t>
        </is>
      </c>
      <c r="G396" s="4" t="inlineStr">
        <is>
          <t>Chỉ tiêu phái sinh</t>
        </is>
      </c>
      <c r="H396" s="4" t="inlineStr">
        <is>
          <t>Trùng</t>
        </is>
      </c>
      <c r="I396" s="184" t="inlineStr">
        <is>
          <t>TPDN</t>
        </is>
      </c>
    </row>
    <row r="397" ht="17" customHeight="1" s="380">
      <c r="B397" s="230" t="inlineStr">
        <is>
          <t>TK-HNX07</t>
        </is>
      </c>
      <c r="C397" s="442" t="n"/>
      <c r="D397" s="233" t="inlineStr">
        <is>
          <t>Giá</t>
        </is>
      </c>
      <c r="F397" s="184" t="inlineStr">
        <is>
          <t>Báo cáo</t>
        </is>
      </c>
      <c r="G397" s="4" t="inlineStr">
        <is>
          <t>Chỉ tiêu cơ sở</t>
        </is>
      </c>
      <c r="H397" s="4" t="inlineStr">
        <is>
          <t>Dễ</t>
        </is>
      </c>
      <c r="I397" s="184" t="inlineStr">
        <is>
          <t>TPDN</t>
        </is>
      </c>
    </row>
    <row r="398" ht="14" customHeight="1" s="380">
      <c r="B398" s="230" t="inlineStr">
        <is>
          <t>TK-HNX07</t>
        </is>
      </c>
      <c r="C398" s="442" t="n"/>
      <c r="D398" s="348" t="inlineStr">
        <is>
          <t xml:space="preserve">Giao dịch thỏa thuận </t>
        </is>
      </c>
      <c r="F398" s="184" t="inlineStr">
        <is>
          <t>Báo cáo</t>
        </is>
      </c>
      <c r="I398" s="184" t="inlineStr">
        <is>
          <t>TPDN</t>
        </is>
      </c>
    </row>
    <row r="399" ht="17" customHeight="1" s="380">
      <c r="B399" s="230" t="inlineStr">
        <is>
          <t>TK-HNX07</t>
        </is>
      </c>
      <c r="C399" s="442" t="n"/>
      <c r="D399" s="234" t="inlineStr">
        <is>
          <t xml:space="preserve">Khối lượng giao dịch </t>
        </is>
      </c>
      <c r="F399" s="184" t="inlineStr">
        <is>
          <t>Báo cáo</t>
        </is>
      </c>
      <c r="I399" s="184" t="inlineStr">
        <is>
          <t>TPDN</t>
        </is>
      </c>
    </row>
    <row r="400" ht="17" customHeight="1" s="380">
      <c r="B400" s="230" t="inlineStr">
        <is>
          <t>TK-HNX07</t>
        </is>
      </c>
      <c r="C400" s="442" t="n"/>
      <c r="D400" s="234" t="inlineStr">
        <is>
          <t xml:space="preserve">Khối lượng mua </t>
        </is>
      </c>
      <c r="F400" s="184" t="inlineStr">
        <is>
          <t>Báo cáo</t>
        </is>
      </c>
      <c r="G400" s="4" t="inlineStr">
        <is>
          <t>Chỉ tiêu phái sinh</t>
        </is>
      </c>
      <c r="H400" s="4" t="inlineStr">
        <is>
          <t>TB</t>
        </is>
      </c>
      <c r="I400" s="184" t="inlineStr">
        <is>
          <t>TPDN</t>
        </is>
      </c>
    </row>
    <row r="401" ht="17" customHeight="1" s="380">
      <c r="B401" s="230" t="inlineStr">
        <is>
          <t>TK-HNX07</t>
        </is>
      </c>
      <c r="C401" s="442" t="n"/>
      <c r="D401" s="234" t="inlineStr">
        <is>
          <t xml:space="preserve">Khối lượng bán </t>
        </is>
      </c>
      <c r="F401" s="184" t="inlineStr">
        <is>
          <t>Báo cáo</t>
        </is>
      </c>
      <c r="G401" s="4" t="inlineStr">
        <is>
          <t>Chỉ tiêu phái sinh</t>
        </is>
      </c>
      <c r="H401" s="4" t="inlineStr">
        <is>
          <t>TB</t>
        </is>
      </c>
      <c r="I401" s="184" t="inlineStr">
        <is>
          <t>TPDN</t>
        </is>
      </c>
    </row>
    <row r="402" ht="17" customHeight="1" s="380">
      <c r="B402" s="230" t="inlineStr">
        <is>
          <t>TK-HNX07</t>
        </is>
      </c>
      <c r="C402" s="442" t="n"/>
      <c r="D402" s="234" t="inlineStr">
        <is>
          <t xml:space="preserve">Giá trị giao dịch </t>
        </is>
      </c>
      <c r="F402" s="184" t="inlineStr">
        <is>
          <t>Báo cáo</t>
        </is>
      </c>
      <c r="I402" s="184" t="inlineStr">
        <is>
          <t>TPDN</t>
        </is>
      </c>
    </row>
    <row r="403" ht="17" customHeight="1" s="380">
      <c r="B403" s="230" t="inlineStr">
        <is>
          <t>TK-HNX07</t>
        </is>
      </c>
      <c r="C403" s="442" t="n"/>
      <c r="D403" s="234" t="inlineStr">
        <is>
          <t xml:space="preserve">Giá trị mua </t>
        </is>
      </c>
      <c r="F403" s="184" t="inlineStr">
        <is>
          <t>Báo cáo</t>
        </is>
      </c>
      <c r="G403" s="4" t="inlineStr">
        <is>
          <t>Chỉ tiêu phái sinh</t>
        </is>
      </c>
      <c r="H403" s="4" t="inlineStr">
        <is>
          <t>TB</t>
        </is>
      </c>
      <c r="I403" s="184" t="inlineStr">
        <is>
          <t>TPDN</t>
        </is>
      </c>
    </row>
    <row r="404" ht="17" customHeight="1" s="380">
      <c r="B404" s="230" t="inlineStr">
        <is>
          <t>TK-HNX07</t>
        </is>
      </c>
      <c r="C404" s="442" t="n"/>
      <c r="D404" s="233" t="inlineStr">
        <is>
          <t>Khối lượng</t>
        </is>
      </c>
      <c r="F404" s="184" t="inlineStr">
        <is>
          <t>Báo cáo</t>
        </is>
      </c>
      <c r="G404" s="4" t="inlineStr">
        <is>
          <t>Chỉ tiêu phái sinh</t>
        </is>
      </c>
      <c r="H404" s="4" t="inlineStr">
        <is>
          <t>Trùng</t>
        </is>
      </c>
      <c r="I404" s="184" t="inlineStr">
        <is>
          <t>TPDN</t>
        </is>
      </c>
    </row>
    <row r="405" ht="17" customHeight="1" s="380">
      <c r="B405" s="230" t="inlineStr">
        <is>
          <t>TK-HNX07</t>
        </is>
      </c>
      <c r="C405" s="442" t="n"/>
      <c r="D405" s="233" t="inlineStr">
        <is>
          <t>Giá</t>
        </is>
      </c>
      <c r="F405" s="184" t="inlineStr">
        <is>
          <t>Báo cáo</t>
        </is>
      </c>
      <c r="G405" s="4" t="inlineStr">
        <is>
          <t>Chỉ tiêu cơ sở</t>
        </is>
      </c>
      <c r="H405" s="4" t="inlineStr">
        <is>
          <t>Dễ</t>
        </is>
      </c>
      <c r="I405" s="184" t="inlineStr">
        <is>
          <t>TPDN</t>
        </is>
      </c>
    </row>
    <row r="406" ht="17" customHeight="1" s="380">
      <c r="B406" s="230" t="inlineStr">
        <is>
          <t>TK-HNX07</t>
        </is>
      </c>
      <c r="C406" s="442" t="n"/>
      <c r="D406" s="234" t="inlineStr">
        <is>
          <t xml:space="preserve">Giá trị bán </t>
        </is>
      </c>
      <c r="F406" s="184" t="inlineStr">
        <is>
          <t>Báo cáo</t>
        </is>
      </c>
      <c r="G406" s="4" t="inlineStr">
        <is>
          <t>Chỉ tiêu phái sinh</t>
        </is>
      </c>
      <c r="H406" s="4" t="inlineStr">
        <is>
          <t>TB</t>
        </is>
      </c>
      <c r="I406" s="184" t="inlineStr">
        <is>
          <t>TPDN</t>
        </is>
      </c>
    </row>
    <row r="407" ht="17" customHeight="1" s="380">
      <c r="B407" s="230" t="inlineStr">
        <is>
          <t>TK-HNX07</t>
        </is>
      </c>
      <c r="C407" s="442" t="n"/>
      <c r="D407" s="233" t="inlineStr">
        <is>
          <t>Khối lượng</t>
        </is>
      </c>
      <c r="F407" s="184" t="inlineStr">
        <is>
          <t>Báo cáo</t>
        </is>
      </c>
      <c r="G407" s="4" t="inlineStr">
        <is>
          <t>Chỉ tiêu phái sinh</t>
        </is>
      </c>
      <c r="H407" s="4" t="inlineStr">
        <is>
          <t>Trùng</t>
        </is>
      </c>
      <c r="I407" s="184" t="inlineStr">
        <is>
          <t>TPDN</t>
        </is>
      </c>
    </row>
    <row r="408" ht="17" customHeight="1" s="380">
      <c r="B408" s="230" t="inlineStr">
        <is>
          <t>TK-HNX07</t>
        </is>
      </c>
      <c r="C408" s="443" t="n"/>
      <c r="D408" s="233" t="inlineStr">
        <is>
          <t>Giá</t>
        </is>
      </c>
      <c r="F408" s="184" t="inlineStr">
        <is>
          <t>Báo cáo</t>
        </is>
      </c>
      <c r="G408" s="4" t="inlineStr">
        <is>
          <t>Chỉ tiêu cơ sở</t>
        </is>
      </c>
      <c r="H408" s="4" t="inlineStr">
        <is>
          <t>Dễ</t>
        </is>
      </c>
      <c r="I408" s="184" t="inlineStr">
        <is>
          <t>TPDN</t>
        </is>
      </c>
    </row>
    <row r="409" ht="17" customHeight="1" s="380">
      <c r="A409" s="183" t="n">
        <v>5</v>
      </c>
      <c r="B409" s="207" t="inlineStr">
        <is>
          <t>TK-HSX04</t>
        </is>
      </c>
      <c r="C409" s="444" t="inlineStr">
        <is>
          <t>BÁO CÁO VỀ GIAO DỊCH TỰ DOANH</t>
        </is>
      </c>
      <c r="D409" s="229" t="inlineStr">
        <is>
          <t>GD tự doanh cổ phiếu niêm yết</t>
        </is>
      </c>
      <c r="E409" s="184" t="inlineStr">
        <is>
          <t>GD tự doanh</t>
        </is>
      </c>
      <c r="F409" s="184" t="inlineStr">
        <is>
          <t>Báo cáo</t>
        </is>
      </c>
      <c r="G409" s="184" t="n"/>
      <c r="H409" s="184" t="n"/>
      <c r="I409" s="184" t="inlineStr">
        <is>
          <t>CPNY</t>
        </is>
      </c>
      <c r="J409" s="184" t="n"/>
      <c r="K409" s="184" t="n"/>
    </row>
    <row r="410" ht="17" customHeight="1" s="380">
      <c r="B410" s="207" t="inlineStr">
        <is>
          <t>TK-HSX04</t>
        </is>
      </c>
      <c r="C410" s="442" t="n"/>
      <c r="D410" s="209" t="inlineStr">
        <is>
          <t>Khối lượng giao dịch cố phiếu niêm yết</t>
        </is>
      </c>
      <c r="F410" s="184" t="inlineStr">
        <is>
          <t>Báo cáo</t>
        </is>
      </c>
      <c r="I410" s="184" t="inlineStr">
        <is>
          <t>CPNY</t>
        </is>
      </c>
    </row>
    <row r="411" ht="17" customHeight="1" s="380">
      <c r="B411" s="207" t="inlineStr">
        <is>
          <t>TK-HSX04</t>
        </is>
      </c>
      <c r="C411" s="442" t="n"/>
      <c r="D411" s="209" t="inlineStr">
        <is>
          <t xml:space="preserve">Khối lượng mua </t>
        </is>
      </c>
      <c r="F411" s="184" t="inlineStr">
        <is>
          <t>Báo cáo</t>
        </is>
      </c>
      <c r="G411" s="4" t="inlineStr">
        <is>
          <t>Chỉ tiêu phái sinh</t>
        </is>
      </c>
      <c r="H411" s="4" t="inlineStr">
        <is>
          <t>TB</t>
        </is>
      </c>
      <c r="I411" s="184" t="inlineStr">
        <is>
          <t>CPNY</t>
        </is>
      </c>
    </row>
    <row r="412" ht="17" customHeight="1" s="380">
      <c r="B412" s="207" t="inlineStr">
        <is>
          <t>TK-HSX04</t>
        </is>
      </c>
      <c r="C412" s="442" t="n"/>
      <c r="D412" s="209" t="inlineStr">
        <is>
          <t xml:space="preserve">Khối lượng bán </t>
        </is>
      </c>
      <c r="F412" s="184" t="inlineStr">
        <is>
          <t>Báo cáo</t>
        </is>
      </c>
      <c r="G412" s="4" t="inlineStr">
        <is>
          <t>Chỉ tiêu phái sinh</t>
        </is>
      </c>
      <c r="H412" s="4" t="inlineStr">
        <is>
          <t>TB</t>
        </is>
      </c>
      <c r="I412" s="184" t="inlineStr">
        <is>
          <t>CPNY</t>
        </is>
      </c>
    </row>
    <row r="413" ht="17" customHeight="1" s="380">
      <c r="B413" s="207" t="inlineStr">
        <is>
          <t>TK-HSX04</t>
        </is>
      </c>
      <c r="C413" s="442" t="n"/>
      <c r="D413" s="209" t="inlineStr">
        <is>
          <t>Giá trị giao dịch cổ phiếu niêm yết (VND)</t>
        </is>
      </c>
      <c r="F413" s="184" t="inlineStr">
        <is>
          <t>Báo cáo</t>
        </is>
      </c>
      <c r="I413" s="184" t="inlineStr">
        <is>
          <t>CPNY</t>
        </is>
      </c>
    </row>
    <row r="414" ht="17" customHeight="1" s="380">
      <c r="B414" s="207" t="inlineStr">
        <is>
          <t>TK-HSX04</t>
        </is>
      </c>
      <c r="C414" s="442" t="n"/>
      <c r="D414" s="209" t="inlineStr">
        <is>
          <t xml:space="preserve">Giá trị mua </t>
        </is>
      </c>
      <c r="F414" s="184" t="inlineStr">
        <is>
          <t>Báo cáo</t>
        </is>
      </c>
      <c r="G414" s="4" t="inlineStr">
        <is>
          <t>Chỉ tiêu phái sinh</t>
        </is>
      </c>
      <c r="H414" s="4" t="inlineStr">
        <is>
          <t>TB</t>
        </is>
      </c>
      <c r="I414" s="184" t="inlineStr">
        <is>
          <t>CPNY</t>
        </is>
      </c>
    </row>
    <row r="415" ht="17" customHeight="1" s="380">
      <c r="B415" s="207" t="inlineStr">
        <is>
          <t>TK-HSX04</t>
        </is>
      </c>
      <c r="C415" s="442" t="n"/>
      <c r="D415" s="233" t="inlineStr">
        <is>
          <t>Khối lượng</t>
        </is>
      </c>
      <c r="F415" s="184" t="inlineStr">
        <is>
          <t>Báo cáo</t>
        </is>
      </c>
      <c r="G415" s="4" t="inlineStr">
        <is>
          <t>Chỉ tiêu phái sinh</t>
        </is>
      </c>
      <c r="H415" s="4" t="inlineStr">
        <is>
          <t>Trùng</t>
        </is>
      </c>
      <c r="I415" s="184" t="inlineStr">
        <is>
          <t>CPNY</t>
        </is>
      </c>
    </row>
    <row r="416" ht="17" customHeight="1" s="380">
      <c r="B416" s="207" t="inlineStr">
        <is>
          <t>TK-HSX04</t>
        </is>
      </c>
      <c r="C416" s="442" t="n"/>
      <c r="D416" s="233" t="inlineStr">
        <is>
          <t>Giá</t>
        </is>
      </c>
      <c r="F416" s="184" t="inlineStr">
        <is>
          <t>Báo cáo</t>
        </is>
      </c>
      <c r="G416" s="4" t="inlineStr">
        <is>
          <t>Chỉ tiêu cơ sở</t>
        </is>
      </c>
      <c r="H416" s="4" t="inlineStr">
        <is>
          <t>Dễ</t>
        </is>
      </c>
      <c r="I416" s="184" t="inlineStr">
        <is>
          <t>CPNY</t>
        </is>
      </c>
    </row>
    <row r="417" ht="17" customHeight="1" s="380">
      <c r="B417" s="207" t="inlineStr">
        <is>
          <t>TK-HSX04</t>
        </is>
      </c>
      <c r="C417" s="442" t="n"/>
      <c r="D417" s="209" t="inlineStr">
        <is>
          <t xml:space="preserve">Giá trị bán </t>
        </is>
      </c>
      <c r="F417" s="184" t="inlineStr">
        <is>
          <t>Báo cáo</t>
        </is>
      </c>
      <c r="G417" s="4" t="inlineStr">
        <is>
          <t>Chỉ tiêu phái sinh</t>
        </is>
      </c>
      <c r="H417" s="4" t="inlineStr">
        <is>
          <t>TB</t>
        </is>
      </c>
      <c r="I417" s="184" t="inlineStr">
        <is>
          <t>CPNY</t>
        </is>
      </c>
    </row>
    <row r="418" ht="17" customHeight="1" s="380">
      <c r="B418" s="207" t="inlineStr">
        <is>
          <t>TK-HSX04</t>
        </is>
      </c>
      <c r="C418" s="442" t="n"/>
      <c r="D418" s="233" t="inlineStr">
        <is>
          <t>Khối lượng</t>
        </is>
      </c>
      <c r="F418" s="184" t="inlineStr">
        <is>
          <t>Báo cáo</t>
        </is>
      </c>
      <c r="G418" s="4" t="inlineStr">
        <is>
          <t>Chỉ tiêu phái sinh</t>
        </is>
      </c>
      <c r="H418" s="4" t="inlineStr">
        <is>
          <t>Trùng</t>
        </is>
      </c>
      <c r="I418" s="184" t="inlineStr">
        <is>
          <t>CPNY</t>
        </is>
      </c>
    </row>
    <row r="419" ht="17" customHeight="1" s="380">
      <c r="B419" s="207" t="inlineStr">
        <is>
          <t>TK-HSX04</t>
        </is>
      </c>
      <c r="C419" s="442" t="n"/>
      <c r="D419" s="233" t="inlineStr">
        <is>
          <t>Giá</t>
        </is>
      </c>
      <c r="F419" s="184" t="inlineStr">
        <is>
          <t>Báo cáo</t>
        </is>
      </c>
      <c r="G419" s="4" t="inlineStr">
        <is>
          <t>Chỉ tiêu cơ sở</t>
        </is>
      </c>
      <c r="H419" s="4" t="inlineStr">
        <is>
          <t>Dễ</t>
        </is>
      </c>
      <c r="I419" s="184" t="inlineStr">
        <is>
          <t>CPNY</t>
        </is>
      </c>
    </row>
    <row r="420" ht="17" customHeight="1" s="380">
      <c r="B420" s="207" t="inlineStr">
        <is>
          <t>TK-HSX04</t>
        </is>
      </c>
      <c r="C420" s="442" t="n"/>
      <c r="D420" s="258" t="inlineStr">
        <is>
          <t>GD tự doanh chứng chỉ quỹ</t>
        </is>
      </c>
      <c r="F420" s="184" t="inlineStr">
        <is>
          <t>Báo cáo</t>
        </is>
      </c>
      <c r="I420" s="4" t="inlineStr">
        <is>
          <t>CCQ</t>
        </is>
      </c>
    </row>
    <row r="421" ht="17" customHeight="1" s="380">
      <c r="B421" s="207" t="inlineStr">
        <is>
          <t>TK-HSX04</t>
        </is>
      </c>
      <c r="C421" s="442" t="n"/>
      <c r="D421" s="209" t="inlineStr">
        <is>
          <t>Khối lượng giao dịch chứng chỉ quỹ</t>
        </is>
      </c>
      <c r="F421" s="184" t="inlineStr">
        <is>
          <t>Báo cáo</t>
        </is>
      </c>
      <c r="I421" s="4" t="inlineStr">
        <is>
          <t>CCQ</t>
        </is>
      </c>
    </row>
    <row r="422" ht="17" customHeight="1" s="380">
      <c r="B422" s="207" t="inlineStr">
        <is>
          <t>TK-HSX04</t>
        </is>
      </c>
      <c r="C422" s="442" t="n"/>
      <c r="D422" s="209" t="inlineStr">
        <is>
          <t xml:space="preserve">Khối lượng mua </t>
        </is>
      </c>
      <c r="F422" s="184" t="inlineStr">
        <is>
          <t>Báo cáo</t>
        </is>
      </c>
      <c r="G422" s="4" t="inlineStr">
        <is>
          <t>Chỉ tiêu phái sinh</t>
        </is>
      </c>
      <c r="H422" s="4" t="inlineStr">
        <is>
          <t>TB</t>
        </is>
      </c>
      <c r="I422" s="4" t="inlineStr">
        <is>
          <t>CCQ</t>
        </is>
      </c>
    </row>
    <row r="423" ht="17" customHeight="1" s="380">
      <c r="B423" s="207" t="inlineStr">
        <is>
          <t>TK-HSX04</t>
        </is>
      </c>
      <c r="C423" s="442" t="n"/>
      <c r="D423" s="209" t="inlineStr">
        <is>
          <t xml:space="preserve">Khối lượng bán </t>
        </is>
      </c>
      <c r="F423" s="184" t="inlineStr">
        <is>
          <t>Báo cáo</t>
        </is>
      </c>
      <c r="G423" s="4" t="inlineStr">
        <is>
          <t>Chỉ tiêu phái sinh</t>
        </is>
      </c>
      <c r="H423" s="4" t="inlineStr">
        <is>
          <t>TB</t>
        </is>
      </c>
      <c r="I423" s="4" t="inlineStr">
        <is>
          <t>CCQ</t>
        </is>
      </c>
    </row>
    <row r="424" ht="17" customHeight="1" s="380">
      <c r="B424" s="207" t="inlineStr">
        <is>
          <t>TK-HSX04</t>
        </is>
      </c>
      <c r="C424" s="442" t="n"/>
      <c r="D424" s="209" t="inlineStr">
        <is>
          <t>Giá trị giao dịch chứng chỉ quỹ (VND)</t>
        </is>
      </c>
      <c r="F424" s="184" t="inlineStr">
        <is>
          <t>Báo cáo</t>
        </is>
      </c>
      <c r="I424" s="4" t="inlineStr">
        <is>
          <t>CCQ</t>
        </is>
      </c>
    </row>
    <row r="425" ht="17" customHeight="1" s="380">
      <c r="B425" s="207" t="inlineStr">
        <is>
          <t>TK-HSX04</t>
        </is>
      </c>
      <c r="C425" s="442" t="n"/>
      <c r="D425" s="209" t="inlineStr">
        <is>
          <t xml:space="preserve">Giá trị mua </t>
        </is>
      </c>
      <c r="F425" s="184" t="inlineStr">
        <is>
          <t>Báo cáo</t>
        </is>
      </c>
      <c r="G425" s="4" t="inlineStr">
        <is>
          <t>Chỉ tiêu phái sinh</t>
        </is>
      </c>
      <c r="H425" s="4" t="inlineStr">
        <is>
          <t>TB</t>
        </is>
      </c>
      <c r="I425" s="4" t="inlineStr">
        <is>
          <t>CCQ</t>
        </is>
      </c>
    </row>
    <row r="426" ht="17" customHeight="1" s="380">
      <c r="B426" s="207" t="inlineStr">
        <is>
          <t>TK-HSX04</t>
        </is>
      </c>
      <c r="C426" s="442" t="n"/>
      <c r="D426" s="233" t="inlineStr">
        <is>
          <t>Khối lượng</t>
        </is>
      </c>
      <c r="F426" s="184" t="inlineStr">
        <is>
          <t>Báo cáo</t>
        </is>
      </c>
      <c r="G426" s="4" t="inlineStr">
        <is>
          <t>Chỉ tiêu phái sinh</t>
        </is>
      </c>
      <c r="H426" s="4" t="inlineStr">
        <is>
          <t>Trùng</t>
        </is>
      </c>
      <c r="I426" s="4" t="inlineStr">
        <is>
          <t>CCQ</t>
        </is>
      </c>
    </row>
    <row r="427" ht="17" customHeight="1" s="380">
      <c r="B427" s="207" t="inlineStr">
        <is>
          <t>TK-HSX04</t>
        </is>
      </c>
      <c r="C427" s="442" t="n"/>
      <c r="D427" s="233" t="inlineStr">
        <is>
          <t>Giá</t>
        </is>
      </c>
      <c r="F427" s="184" t="inlineStr">
        <is>
          <t>Báo cáo</t>
        </is>
      </c>
      <c r="G427" s="4" t="inlineStr">
        <is>
          <t>Chỉ tiêu cơ sở</t>
        </is>
      </c>
      <c r="H427" s="4" t="inlineStr">
        <is>
          <t>Dễ</t>
        </is>
      </c>
      <c r="I427" s="4" t="inlineStr">
        <is>
          <t>CCQ</t>
        </is>
      </c>
    </row>
    <row r="428" ht="17" customHeight="1" s="380">
      <c r="B428" s="207" t="inlineStr">
        <is>
          <t>TK-HSX04</t>
        </is>
      </c>
      <c r="C428" s="442" t="n"/>
      <c r="D428" s="209" t="inlineStr">
        <is>
          <t xml:space="preserve">Giá trị bán </t>
        </is>
      </c>
      <c r="F428" s="184" t="inlineStr">
        <is>
          <t>Báo cáo</t>
        </is>
      </c>
      <c r="G428" s="4" t="inlineStr">
        <is>
          <t>Chỉ tiêu phái sinh</t>
        </is>
      </c>
      <c r="H428" s="4" t="inlineStr">
        <is>
          <t>TB</t>
        </is>
      </c>
      <c r="I428" s="4" t="inlineStr">
        <is>
          <t>CCQ</t>
        </is>
      </c>
    </row>
    <row r="429" ht="17" customHeight="1" s="380">
      <c r="B429" s="207" t="inlineStr">
        <is>
          <t>TK-HSX04</t>
        </is>
      </c>
      <c r="C429" s="442" t="n"/>
      <c r="D429" s="233" t="inlineStr">
        <is>
          <t>Khối lượng</t>
        </is>
      </c>
      <c r="F429" s="184" t="inlineStr">
        <is>
          <t>Báo cáo</t>
        </is>
      </c>
      <c r="G429" s="4" t="inlineStr">
        <is>
          <t>Chỉ tiêu phái sinh</t>
        </is>
      </c>
      <c r="H429" s="4" t="inlineStr">
        <is>
          <t>Trùng</t>
        </is>
      </c>
      <c r="I429" s="4" t="inlineStr">
        <is>
          <t>CCQ</t>
        </is>
      </c>
    </row>
    <row r="430" ht="17" customHeight="1" s="380">
      <c r="B430" s="207" t="inlineStr">
        <is>
          <t>TK-HSX04</t>
        </is>
      </c>
      <c r="C430" s="442" t="n"/>
      <c r="D430" s="233" t="inlineStr">
        <is>
          <t>Giá</t>
        </is>
      </c>
      <c r="F430" s="184" t="inlineStr">
        <is>
          <t>Báo cáo</t>
        </is>
      </c>
      <c r="G430" s="4" t="inlineStr">
        <is>
          <t>Chỉ tiêu cơ sở</t>
        </is>
      </c>
      <c r="H430" s="4" t="inlineStr">
        <is>
          <t>Dễ</t>
        </is>
      </c>
      <c r="I430" s="4" t="inlineStr">
        <is>
          <t>CCQ</t>
        </is>
      </c>
    </row>
    <row r="431" ht="17" customHeight="1" s="380">
      <c r="B431" s="207" t="inlineStr">
        <is>
          <t>TK-HSX04</t>
        </is>
      </c>
      <c r="C431" s="442" t="n"/>
      <c r="D431" s="258" t="inlineStr">
        <is>
          <t>GD tự doanh ETF</t>
        </is>
      </c>
      <c r="F431" s="184" t="inlineStr">
        <is>
          <t>Báo cáo</t>
        </is>
      </c>
      <c r="I431" s="4" t="inlineStr">
        <is>
          <t>ETF</t>
        </is>
      </c>
    </row>
    <row r="432" ht="17" customHeight="1" s="380">
      <c r="B432" s="207" t="inlineStr">
        <is>
          <t>TK-HSX04</t>
        </is>
      </c>
      <c r="C432" s="442" t="n"/>
      <c r="D432" s="209" t="inlineStr">
        <is>
          <t>Khối lượng giao dịch ETF</t>
        </is>
      </c>
      <c r="F432" s="184" t="inlineStr">
        <is>
          <t>Báo cáo</t>
        </is>
      </c>
      <c r="I432" s="4" t="inlineStr">
        <is>
          <t>ETF</t>
        </is>
      </c>
    </row>
    <row r="433" ht="17" customHeight="1" s="380">
      <c r="B433" s="207" t="inlineStr">
        <is>
          <t>TK-HSX04</t>
        </is>
      </c>
      <c r="C433" s="442" t="n"/>
      <c r="D433" s="209" t="inlineStr">
        <is>
          <t xml:space="preserve">Khối lượng mua </t>
        </is>
      </c>
      <c r="F433" s="184" t="inlineStr">
        <is>
          <t>Báo cáo</t>
        </is>
      </c>
      <c r="G433" s="4" t="inlineStr">
        <is>
          <t>Chỉ tiêu phái sinh</t>
        </is>
      </c>
      <c r="H433" s="4" t="inlineStr">
        <is>
          <t>TB</t>
        </is>
      </c>
      <c r="I433" s="4" t="inlineStr">
        <is>
          <t>ETF</t>
        </is>
      </c>
    </row>
    <row r="434" ht="17" customHeight="1" s="380">
      <c r="B434" s="207" t="inlineStr">
        <is>
          <t>TK-HSX04</t>
        </is>
      </c>
      <c r="C434" s="442" t="n"/>
      <c r="D434" s="209" t="inlineStr">
        <is>
          <t xml:space="preserve">Khối lượng bán </t>
        </is>
      </c>
      <c r="F434" s="184" t="inlineStr">
        <is>
          <t>Báo cáo</t>
        </is>
      </c>
      <c r="G434" s="4" t="inlineStr">
        <is>
          <t>Chỉ tiêu phái sinh</t>
        </is>
      </c>
      <c r="H434" s="4" t="inlineStr">
        <is>
          <t>TB</t>
        </is>
      </c>
      <c r="I434" s="4" t="inlineStr">
        <is>
          <t>ETF</t>
        </is>
      </c>
    </row>
    <row r="435" ht="17" customHeight="1" s="380">
      <c r="B435" s="207" t="inlineStr">
        <is>
          <t>TK-HSX04</t>
        </is>
      </c>
      <c r="C435" s="442" t="n"/>
      <c r="D435" s="209" t="inlineStr">
        <is>
          <t>Giá trị giao dịch ETF (VND)</t>
        </is>
      </c>
      <c r="F435" s="184" t="inlineStr">
        <is>
          <t>Báo cáo</t>
        </is>
      </c>
      <c r="I435" s="4" t="inlineStr">
        <is>
          <t>ETF</t>
        </is>
      </c>
    </row>
    <row r="436" ht="17" customHeight="1" s="380">
      <c r="B436" s="207" t="inlineStr">
        <is>
          <t>TK-HSX04</t>
        </is>
      </c>
      <c r="C436" s="442" t="n"/>
      <c r="D436" s="209" t="inlineStr">
        <is>
          <t xml:space="preserve">Giá trị mua </t>
        </is>
      </c>
      <c r="F436" s="184" t="inlineStr">
        <is>
          <t>Báo cáo</t>
        </is>
      </c>
      <c r="G436" s="4" t="inlineStr">
        <is>
          <t>Chỉ tiêu phái sinh</t>
        </is>
      </c>
      <c r="H436" s="4" t="inlineStr">
        <is>
          <t>TB</t>
        </is>
      </c>
      <c r="I436" s="4" t="inlineStr">
        <is>
          <t>ETF</t>
        </is>
      </c>
    </row>
    <row r="437" ht="17" customHeight="1" s="380">
      <c r="B437" s="207" t="inlineStr">
        <is>
          <t>TK-HSX04</t>
        </is>
      </c>
      <c r="C437" s="442" t="n"/>
      <c r="D437" s="233" t="inlineStr">
        <is>
          <t>Khối lượng</t>
        </is>
      </c>
      <c r="F437" s="184" t="inlineStr">
        <is>
          <t>Báo cáo</t>
        </is>
      </c>
      <c r="G437" s="4" t="inlineStr">
        <is>
          <t>Chỉ tiêu phái sinh</t>
        </is>
      </c>
      <c r="H437" s="4" t="inlineStr">
        <is>
          <t>Trùng</t>
        </is>
      </c>
      <c r="I437" s="4" t="inlineStr">
        <is>
          <t>ETF</t>
        </is>
      </c>
    </row>
    <row r="438" ht="17" customHeight="1" s="380">
      <c r="B438" s="207" t="inlineStr">
        <is>
          <t>TK-HSX04</t>
        </is>
      </c>
      <c r="C438" s="442" t="n"/>
      <c r="D438" s="233" t="inlineStr">
        <is>
          <t>Giá</t>
        </is>
      </c>
      <c r="F438" s="184" t="inlineStr">
        <is>
          <t>Báo cáo</t>
        </is>
      </c>
      <c r="G438" s="4" t="inlineStr">
        <is>
          <t>Chỉ tiêu cơ sở</t>
        </is>
      </c>
      <c r="H438" s="4" t="inlineStr">
        <is>
          <t>Dễ</t>
        </is>
      </c>
      <c r="I438" s="4" t="inlineStr">
        <is>
          <t>ETF</t>
        </is>
      </c>
    </row>
    <row r="439" ht="17" customHeight="1" s="380">
      <c r="B439" s="207" t="inlineStr">
        <is>
          <t>TK-HSX04</t>
        </is>
      </c>
      <c r="C439" s="442" t="n"/>
      <c r="D439" s="209" t="inlineStr">
        <is>
          <t xml:space="preserve">Giá trị bán </t>
        </is>
      </c>
      <c r="F439" s="184" t="inlineStr">
        <is>
          <t>Báo cáo</t>
        </is>
      </c>
      <c r="G439" s="4" t="inlineStr">
        <is>
          <t>Chỉ tiêu phái sinh</t>
        </is>
      </c>
      <c r="H439" s="4" t="inlineStr">
        <is>
          <t>TB</t>
        </is>
      </c>
      <c r="I439" s="4" t="inlineStr">
        <is>
          <t>ETF</t>
        </is>
      </c>
    </row>
    <row r="440" ht="17" customHeight="1" s="380">
      <c r="B440" s="207" t="inlineStr">
        <is>
          <t>TK-HSX04</t>
        </is>
      </c>
      <c r="C440" s="442" t="n"/>
      <c r="D440" s="233" t="inlineStr">
        <is>
          <t>Khối lượng</t>
        </is>
      </c>
      <c r="F440" s="184" t="inlineStr">
        <is>
          <t>Báo cáo</t>
        </is>
      </c>
      <c r="G440" s="4" t="inlineStr">
        <is>
          <t>Chỉ tiêu phái sinh</t>
        </is>
      </c>
      <c r="H440" s="4" t="inlineStr">
        <is>
          <t>Trùng</t>
        </is>
      </c>
      <c r="I440" s="4" t="inlineStr">
        <is>
          <t>ETF</t>
        </is>
      </c>
    </row>
    <row r="441" ht="17" customHeight="1" s="380">
      <c r="B441" s="207" t="inlineStr">
        <is>
          <t>TK-HSX04</t>
        </is>
      </c>
      <c r="C441" s="442" t="n"/>
      <c r="D441" s="233" t="inlineStr">
        <is>
          <t>Giá</t>
        </is>
      </c>
      <c r="F441" s="184" t="inlineStr">
        <is>
          <t>Báo cáo</t>
        </is>
      </c>
      <c r="G441" s="4" t="inlineStr">
        <is>
          <t>Chỉ tiêu cơ sở</t>
        </is>
      </c>
      <c r="H441" s="4" t="inlineStr">
        <is>
          <t>Dễ</t>
        </is>
      </c>
      <c r="I441" s="4" t="inlineStr">
        <is>
          <t>ETF</t>
        </is>
      </c>
    </row>
    <row r="442" ht="16" customHeight="1" s="380">
      <c r="B442" s="207" t="inlineStr">
        <is>
          <t>TK-HSX04</t>
        </is>
      </c>
      <c r="C442" s="442" t="n"/>
      <c r="D442" s="349" t="inlineStr">
        <is>
          <t>GD tự doanh CW</t>
        </is>
      </c>
      <c r="F442" s="184" t="inlineStr">
        <is>
          <t>Báo cáo</t>
        </is>
      </c>
      <c r="I442" s="4" t="inlineStr">
        <is>
          <t>CW</t>
        </is>
      </c>
    </row>
    <row r="443" ht="17" customHeight="1" s="380">
      <c r="B443" s="207" t="inlineStr">
        <is>
          <t>TK-HSX04</t>
        </is>
      </c>
      <c r="C443" s="442" t="n"/>
      <c r="D443" s="234" t="inlineStr">
        <is>
          <t>Khối lượng giao dịch CW</t>
        </is>
      </c>
      <c r="F443" s="184" t="inlineStr">
        <is>
          <t>Báo cáo</t>
        </is>
      </c>
      <c r="I443" s="4" t="inlineStr">
        <is>
          <t>CW</t>
        </is>
      </c>
    </row>
    <row r="444" ht="17" customHeight="1" s="380">
      <c r="B444" s="207" t="inlineStr">
        <is>
          <t>TK-HSX04</t>
        </is>
      </c>
      <c r="C444" s="442" t="n"/>
      <c r="D444" s="234" t="inlineStr">
        <is>
          <t xml:space="preserve">Khối lượng mua </t>
        </is>
      </c>
      <c r="F444" s="184" t="inlineStr">
        <is>
          <t>Báo cáo</t>
        </is>
      </c>
      <c r="G444" s="4" t="inlineStr">
        <is>
          <t>Chỉ tiêu phái sinh</t>
        </is>
      </c>
      <c r="H444" s="4" t="inlineStr">
        <is>
          <t>TB</t>
        </is>
      </c>
      <c r="I444" s="4" t="inlineStr">
        <is>
          <t>CW</t>
        </is>
      </c>
    </row>
    <row r="445" ht="17" customHeight="1" s="380">
      <c r="B445" s="207" t="inlineStr">
        <is>
          <t>TK-HSX04</t>
        </is>
      </c>
      <c r="C445" s="442" t="n"/>
      <c r="D445" s="234" t="inlineStr">
        <is>
          <t xml:space="preserve">Khối lượng bán </t>
        </is>
      </c>
      <c r="F445" s="184" t="inlineStr">
        <is>
          <t>Báo cáo</t>
        </is>
      </c>
      <c r="G445" s="4" t="inlineStr">
        <is>
          <t>Chỉ tiêu phái sinh</t>
        </is>
      </c>
      <c r="H445" s="4" t="inlineStr">
        <is>
          <t>TB</t>
        </is>
      </c>
      <c r="I445" s="4" t="inlineStr">
        <is>
          <t>CW</t>
        </is>
      </c>
    </row>
    <row r="446" ht="17" customHeight="1" s="380">
      <c r="B446" s="207" t="inlineStr">
        <is>
          <t>TK-HSX04</t>
        </is>
      </c>
      <c r="C446" s="442" t="n"/>
      <c r="D446" s="234" t="inlineStr">
        <is>
          <t>Giá trị giao dịch CW</t>
        </is>
      </c>
      <c r="F446" s="184" t="inlineStr">
        <is>
          <t>Báo cáo</t>
        </is>
      </c>
      <c r="I446" s="4" t="inlineStr">
        <is>
          <t>CW</t>
        </is>
      </c>
    </row>
    <row r="447" ht="17" customHeight="1" s="380">
      <c r="B447" s="207" t="inlineStr">
        <is>
          <t>TK-HSX04</t>
        </is>
      </c>
      <c r="C447" s="442" t="n"/>
      <c r="D447" s="209" t="inlineStr">
        <is>
          <t xml:space="preserve">Giá trị mua </t>
        </is>
      </c>
      <c r="F447" s="184" t="inlineStr">
        <is>
          <t>Báo cáo</t>
        </is>
      </c>
      <c r="G447" s="4" t="inlineStr">
        <is>
          <t>Chỉ tiêu phái sinh</t>
        </is>
      </c>
      <c r="H447" s="4" t="inlineStr">
        <is>
          <t>TB</t>
        </is>
      </c>
      <c r="I447" s="4" t="inlineStr">
        <is>
          <t>CW</t>
        </is>
      </c>
    </row>
    <row r="448" ht="17" customHeight="1" s="380">
      <c r="B448" s="207" t="inlineStr">
        <is>
          <t>TK-HSX04</t>
        </is>
      </c>
      <c r="C448" s="442" t="n"/>
      <c r="D448" s="233" t="inlineStr">
        <is>
          <t>Khối lượng</t>
        </is>
      </c>
      <c r="F448" s="184" t="inlineStr">
        <is>
          <t>Báo cáo</t>
        </is>
      </c>
      <c r="G448" s="4" t="inlineStr">
        <is>
          <t>Chỉ tiêu phái sinh</t>
        </is>
      </c>
      <c r="H448" s="4" t="inlineStr">
        <is>
          <t>Trùng</t>
        </is>
      </c>
      <c r="I448" s="4" t="inlineStr">
        <is>
          <t>CW</t>
        </is>
      </c>
    </row>
    <row r="449" ht="17" customHeight="1" s="380">
      <c r="B449" s="207" t="inlineStr">
        <is>
          <t>TK-HSX04</t>
        </is>
      </c>
      <c r="C449" s="442" t="n"/>
      <c r="D449" s="233" t="inlineStr">
        <is>
          <t>Giá</t>
        </is>
      </c>
      <c r="F449" s="184" t="inlineStr">
        <is>
          <t>Báo cáo</t>
        </is>
      </c>
      <c r="G449" s="4" t="inlineStr">
        <is>
          <t>Chỉ tiêu cơ sở</t>
        </is>
      </c>
      <c r="H449" s="4" t="inlineStr">
        <is>
          <t>Dễ</t>
        </is>
      </c>
      <c r="I449" s="4" t="inlineStr">
        <is>
          <t>CW</t>
        </is>
      </c>
    </row>
    <row r="450" ht="17" customHeight="1" s="380">
      <c r="B450" s="207" t="inlineStr">
        <is>
          <t>TK-HSX04</t>
        </is>
      </c>
      <c r="C450" s="442" t="n"/>
      <c r="D450" s="209" t="inlineStr">
        <is>
          <t xml:space="preserve">Giá trị bán </t>
        </is>
      </c>
      <c r="F450" s="184" t="inlineStr">
        <is>
          <t>Báo cáo</t>
        </is>
      </c>
      <c r="G450" s="4" t="inlineStr">
        <is>
          <t>Chỉ tiêu phái sinh</t>
        </is>
      </c>
      <c r="H450" s="4" t="inlineStr">
        <is>
          <t>TB</t>
        </is>
      </c>
      <c r="I450" s="4" t="inlineStr">
        <is>
          <t>CW</t>
        </is>
      </c>
    </row>
    <row r="451" ht="17" customHeight="1" s="380">
      <c r="B451" s="207" t="inlineStr">
        <is>
          <t>TK-HSX04</t>
        </is>
      </c>
      <c r="C451" s="442" t="n"/>
      <c r="D451" s="233" t="inlineStr">
        <is>
          <t>Khối lượng</t>
        </is>
      </c>
      <c r="F451" s="184" t="inlineStr">
        <is>
          <t>Báo cáo</t>
        </is>
      </c>
      <c r="G451" s="4" t="inlineStr">
        <is>
          <t>Chỉ tiêu phái sinh</t>
        </is>
      </c>
      <c r="H451" s="4" t="inlineStr">
        <is>
          <t>Trùng</t>
        </is>
      </c>
      <c r="I451" s="4" t="inlineStr">
        <is>
          <t>CW</t>
        </is>
      </c>
    </row>
    <row r="452" ht="17" customHeight="1" s="380">
      <c r="B452" s="207" t="inlineStr">
        <is>
          <t>TK-HSX04</t>
        </is>
      </c>
      <c r="C452" s="443" t="n"/>
      <c r="D452" s="233" t="inlineStr">
        <is>
          <t>Giá</t>
        </is>
      </c>
      <c r="F452" s="184" t="inlineStr">
        <is>
          <t>Báo cáo</t>
        </is>
      </c>
      <c r="G452" s="4" t="inlineStr">
        <is>
          <t>Chỉ tiêu cơ sở</t>
        </is>
      </c>
      <c r="H452" s="4" t="inlineStr">
        <is>
          <t>Dễ</t>
        </is>
      </c>
      <c r="I452" s="4" t="inlineStr">
        <is>
          <t>CW</t>
        </is>
      </c>
    </row>
    <row r="453" ht="14" customHeight="1" s="380">
      <c r="A453" s="183" t="n">
        <v>6</v>
      </c>
      <c r="B453" s="228" t="inlineStr">
        <is>
          <t>TK-04.BTC</t>
        </is>
      </c>
      <c r="C453" s="260" t="n"/>
      <c r="D453" s="260" t="inlineStr">
        <is>
          <t>I. Vốn hóa thị trường chứng khoán</t>
        </is>
      </c>
      <c r="E453" s="184" t="inlineStr">
        <is>
          <t>Giá trị vốn hóa TTCK</t>
        </is>
      </c>
      <c r="F453" s="184" t="inlineStr">
        <is>
          <t>Báo cáo</t>
        </is>
      </c>
      <c r="G453" s="184" t="inlineStr">
        <is>
          <t>Chỉ tiêu phái sinh</t>
        </is>
      </c>
      <c r="H453" s="184" t="inlineStr">
        <is>
          <t>Dễ</t>
        </is>
      </c>
      <c r="I453" s="184" t="n"/>
      <c r="J453" s="184" t="n"/>
      <c r="K453" s="184" t="n"/>
      <c r="L453" s="184" t="n"/>
    </row>
    <row r="454" ht="14" customHeight="1" s="380">
      <c r="B454" s="207" t="inlineStr">
        <is>
          <t>TK-04.BTC</t>
        </is>
      </c>
      <c r="C454" s="262" t="n"/>
      <c r="D454" s="262" t="inlineStr">
        <is>
          <t>Trong đó: Vốn hóa thị trường cổ phiếu</t>
        </is>
      </c>
      <c r="E454" s="4" t="inlineStr">
        <is>
          <t>Giá trị vốn hóa CP</t>
        </is>
      </c>
      <c r="F454" s="184" t="inlineStr">
        <is>
          <t>Báo cáo</t>
        </is>
      </c>
      <c r="G454" s="4" t="inlineStr">
        <is>
          <t>Chỉ tiêu phái sinh</t>
        </is>
      </c>
      <c r="H454" s="4" t="inlineStr">
        <is>
          <t>Dễ</t>
        </is>
      </c>
      <c r="L454" s="4" t="inlineStr">
        <is>
          <t>Trùng CT báo cáo khác</t>
        </is>
      </c>
    </row>
    <row r="455" ht="16" customHeight="1" s="380">
      <c r="B455" s="207" t="inlineStr">
        <is>
          <t>TK-04.BTC</t>
        </is>
      </c>
      <c r="C455" s="264" t="n"/>
      <c r="D455" s="264" t="inlineStr">
        <is>
          <t xml:space="preserve">Giá cổ phiếu </t>
        </is>
      </c>
      <c r="E455" s="4" t="n"/>
      <c r="F455" s="184" t="inlineStr">
        <is>
          <t>Báo cáo</t>
        </is>
      </c>
      <c r="G455" s="4" t="inlineStr">
        <is>
          <t>Chỉ tiêu cơ sở</t>
        </is>
      </c>
      <c r="H455" s="4" t="inlineStr">
        <is>
          <t>Trùng</t>
        </is>
      </c>
    </row>
    <row r="456" ht="16" customHeight="1" s="380">
      <c r="B456" s="207" t="inlineStr">
        <is>
          <t>TK-04.BTC</t>
        </is>
      </c>
      <c r="C456" s="264" t="n"/>
      <c r="D456" s="264" t="inlineStr">
        <is>
          <t>Số cổ phiếu lưu hành</t>
        </is>
      </c>
      <c r="E456" s="4" t="n"/>
      <c r="F456" s="184" t="inlineStr">
        <is>
          <t>Báo cáo</t>
        </is>
      </c>
      <c r="G456" s="4" t="inlineStr">
        <is>
          <t>Chỉ tiêu phái sinh</t>
        </is>
      </c>
      <c r="H456" s="4" t="inlineStr">
        <is>
          <t>Trùng</t>
        </is>
      </c>
    </row>
    <row r="457" ht="14" customHeight="1" s="380">
      <c r="B457" s="207" t="inlineStr">
        <is>
          <t>TK-04.BTC</t>
        </is>
      </c>
      <c r="C457" s="262" t="n"/>
      <c r="D457" s="262" t="inlineStr">
        <is>
          <t>Giá trị trái phiếu niêm yết</t>
        </is>
      </c>
      <c r="E457" s="4" t="inlineStr">
        <is>
          <t>Giá trị vốn hóa TPNY</t>
        </is>
      </c>
      <c r="F457" s="184" t="inlineStr">
        <is>
          <t>Báo cáo</t>
        </is>
      </c>
      <c r="G457" s="4" t="inlineStr">
        <is>
          <t>Chỉ tiêu phái sinh</t>
        </is>
      </c>
      <c r="H457" s="4" t="inlineStr">
        <is>
          <t>TB</t>
        </is>
      </c>
    </row>
    <row r="458" ht="16" customHeight="1" s="380">
      <c r="B458" s="207" t="inlineStr">
        <is>
          <t>TK-04.BTC</t>
        </is>
      </c>
      <c r="C458" s="264" t="n"/>
      <c r="D458" s="264" t="inlineStr">
        <is>
          <t>Giá trái phiếu niêm yết</t>
        </is>
      </c>
      <c r="E458" s="4" t="n"/>
      <c r="F458" s="184" t="inlineStr">
        <is>
          <t>Báo cáo</t>
        </is>
      </c>
      <c r="G458" s="4" t="inlineStr">
        <is>
          <t>Chỉ tiêu cơ sở</t>
        </is>
      </c>
      <c r="H458" s="4" t="inlineStr">
        <is>
          <t>Dễ</t>
        </is>
      </c>
      <c r="L458" s="4" t="n"/>
    </row>
    <row r="459" ht="16" customHeight="1" s="380">
      <c r="B459" s="207" t="inlineStr">
        <is>
          <t>TK-04.BTC</t>
        </is>
      </c>
      <c r="C459" s="264" t="n"/>
      <c r="D459" s="264" t="inlineStr">
        <is>
          <t>Số TP niêm yết lưu hành</t>
        </is>
      </c>
      <c r="E459" s="4" t="n"/>
      <c r="F459" s="184" t="inlineStr">
        <is>
          <t>Báo cáo</t>
        </is>
      </c>
      <c r="G459" s="4" t="inlineStr">
        <is>
          <t>Chỉ tiêu phái sinh</t>
        </is>
      </c>
      <c r="H459" s="4" t="inlineStr">
        <is>
          <t>TB</t>
        </is>
      </c>
      <c r="L459" s="4" t="n"/>
    </row>
    <row r="460" ht="14" customHeight="1" s="380">
      <c r="B460" s="207" t="inlineStr">
        <is>
          <t>TK-04.BTC</t>
        </is>
      </c>
      <c r="C460" s="265" t="n"/>
      <c r="D460" s="265" t="inlineStr">
        <is>
          <t>II. Số lượng tài khoản nhà đầu tư</t>
        </is>
      </c>
      <c r="F460" s="184" t="inlineStr">
        <is>
          <t>Báo cáo</t>
        </is>
      </c>
      <c r="G460" s="4" t="inlineStr">
        <is>
          <t>Chỉ tiêu phái sinh</t>
        </is>
      </c>
      <c r="H460" s="4" t="inlineStr">
        <is>
          <t>Khó</t>
        </is>
      </c>
      <c r="L460" s="4" t="inlineStr">
        <is>
          <t>Chưa phân tích phạm vi lấy DL, trạng thái tài khoản</t>
        </is>
      </c>
    </row>
    <row r="461" ht="14" customHeight="1" s="380">
      <c r="B461" s="207" t="inlineStr">
        <is>
          <t>TK-04.BTC</t>
        </is>
      </c>
      <c r="C461" s="267" t="n"/>
      <c r="D461" s="267" t="inlineStr">
        <is>
          <t>III. Khối lượng và giá trị chứng khoán giao dịch</t>
        </is>
      </c>
      <c r="F461" s="184" t="inlineStr">
        <is>
          <t>Báo cáo</t>
        </is>
      </c>
    </row>
    <row r="462" ht="18" customHeight="1" s="380">
      <c r="B462" s="207" t="inlineStr">
        <is>
          <t>TK-04.BTC</t>
        </is>
      </c>
      <c r="C462" s="269" t="n"/>
      <c r="D462" s="269" t="inlineStr">
        <is>
          <t xml:space="preserve"> '- Khối lượng cổ phiếu giao dịch</t>
        </is>
      </c>
      <c r="E462" s="4" t="inlineStr">
        <is>
          <t>KL giao dịch CP</t>
        </is>
      </c>
      <c r="F462" s="184" t="inlineStr">
        <is>
          <t>Báo cáo</t>
        </is>
      </c>
      <c r="G462" s="4" t="inlineStr">
        <is>
          <t>Chỉ tiêu phái sinh</t>
        </is>
      </c>
      <c r="H462" s="4" t="inlineStr">
        <is>
          <t>TB</t>
        </is>
      </c>
    </row>
    <row r="463" ht="14" customHeight="1" s="380">
      <c r="B463" s="207" t="inlineStr">
        <is>
          <t>TK-04.BTC</t>
        </is>
      </c>
      <c r="C463" s="271" t="n"/>
      <c r="D463" s="271" t="inlineStr">
        <is>
          <t>- Giá trị cổ phiếu giao dịch</t>
        </is>
      </c>
      <c r="E463" s="4" t="inlineStr">
        <is>
          <t>GT giao dịch CP =Σ (KL giao dịch * Giá CP giao dịch theo ngày)</t>
        </is>
      </c>
      <c r="F463" s="184" t="inlineStr">
        <is>
          <t>Báo cáo</t>
        </is>
      </c>
      <c r="G463" s="4" t="inlineStr">
        <is>
          <t>Chỉ tiêu phái sinh</t>
        </is>
      </c>
      <c r="H463" s="4" t="inlineStr">
        <is>
          <t>TB</t>
        </is>
      </c>
    </row>
    <row r="464" ht="14" customHeight="1" s="380">
      <c r="B464" s="207" t="inlineStr">
        <is>
          <t>TK-04.BTC</t>
        </is>
      </c>
      <c r="C464" s="273" t="n"/>
      <c r="D464" s="273" t="inlineStr">
        <is>
          <t>Giá giao dịch</t>
        </is>
      </c>
      <c r="F464" s="184" t="inlineStr">
        <is>
          <t>Báo cáo</t>
        </is>
      </c>
      <c r="G464" s="4" t="inlineStr">
        <is>
          <t>Chỉ tiêu cơ sở</t>
        </is>
      </c>
      <c r="H464" s="4" t="inlineStr">
        <is>
          <t>Dễ</t>
        </is>
      </c>
    </row>
    <row r="465" ht="14" customHeight="1" s="380">
      <c r="B465" s="207" t="inlineStr">
        <is>
          <t>TK-04.BTC</t>
        </is>
      </c>
      <c r="C465" s="271" t="n"/>
      <c r="D465" s="271" t="inlineStr">
        <is>
          <t>- Khối lượng trái phiếu giao dịch</t>
        </is>
      </c>
      <c r="E465" s="4" t="inlineStr">
        <is>
          <t>KL giao dịch TP</t>
        </is>
      </c>
      <c r="F465" s="184" t="inlineStr">
        <is>
          <t>Báo cáo</t>
        </is>
      </c>
      <c r="G465" s="4" t="inlineStr">
        <is>
          <t>Chỉ tiêu phái sinh</t>
        </is>
      </c>
      <c r="H465" s="4" t="inlineStr">
        <is>
          <t>TB</t>
        </is>
      </c>
    </row>
    <row r="466" ht="14" customHeight="1" s="380">
      <c r="B466" s="207" t="inlineStr">
        <is>
          <t>TK-04.BTC</t>
        </is>
      </c>
      <c r="C466" s="271" t="n"/>
      <c r="D466" s="271" t="inlineStr">
        <is>
          <t>- Giá trị trái phiếu giao dịch</t>
        </is>
      </c>
      <c r="E466" s="4" t="inlineStr">
        <is>
          <t>GT giao dịch TP =Σ (KL giao dịch * Giá CP giao dịch theo ngày)</t>
        </is>
      </c>
      <c r="F466" s="184" t="inlineStr">
        <is>
          <t>Báo cáo</t>
        </is>
      </c>
      <c r="G466" s="4" t="inlineStr">
        <is>
          <t>Chỉ tiêu phái sinh</t>
        </is>
      </c>
      <c r="H466" s="4" t="inlineStr">
        <is>
          <t>TB</t>
        </is>
      </c>
    </row>
    <row r="467" ht="14" customHeight="1" s="380">
      <c r="B467" s="207" t="inlineStr">
        <is>
          <t>TK-04.BTC</t>
        </is>
      </c>
      <c r="C467" s="273" t="n"/>
      <c r="D467" s="273" t="inlineStr">
        <is>
          <t>Giá giao dịch</t>
        </is>
      </c>
      <c r="F467" s="184" t="inlineStr">
        <is>
          <t>Báo cáo</t>
        </is>
      </c>
      <c r="G467" s="4" t="inlineStr">
        <is>
          <t>Chỉ tiêu cơ sở</t>
        </is>
      </c>
      <c r="H467" s="4" t="inlineStr">
        <is>
          <t>Dễ</t>
        </is>
      </c>
    </row>
    <row r="468" ht="14" customHeight="1" s="380">
      <c r="B468" s="207" t="inlineStr">
        <is>
          <t>TK-04.BTC</t>
        </is>
      </c>
      <c r="C468" s="271" t="n"/>
      <c r="D468" s="271" t="inlineStr">
        <is>
          <t>- Khối lượng chứng chỉ quỹ giao dịch</t>
        </is>
      </c>
      <c r="E468" s="4" t="inlineStr">
        <is>
          <t>KL giao dịch CCQ</t>
        </is>
      </c>
      <c r="F468" s="184" t="inlineStr">
        <is>
          <t>Báo cáo</t>
        </is>
      </c>
      <c r="G468" s="4" t="inlineStr">
        <is>
          <t>Chỉ tiêu phái sinh</t>
        </is>
      </c>
      <c r="H468" s="4" t="inlineStr">
        <is>
          <t>TB</t>
        </is>
      </c>
    </row>
    <row r="469" ht="14" customHeight="1" s="380">
      <c r="B469" s="207" t="inlineStr">
        <is>
          <t>TK-04.BTC</t>
        </is>
      </c>
      <c r="C469" s="271" t="n"/>
      <c r="D469" s="271" t="inlineStr">
        <is>
          <t>- Giá trị chứng chỉ quỹ giao dịch</t>
        </is>
      </c>
      <c r="E469" s="4" t="inlineStr">
        <is>
          <t>GT giao dịch TP =Σ (KL giao dịch * Giá CP giao dịch theo ngày)</t>
        </is>
      </c>
      <c r="F469" s="184" t="inlineStr">
        <is>
          <t>Báo cáo</t>
        </is>
      </c>
      <c r="G469" s="4" t="inlineStr">
        <is>
          <t>Chỉ tiêu phái sinh</t>
        </is>
      </c>
      <c r="H469" s="4" t="inlineStr">
        <is>
          <t>TB</t>
        </is>
      </c>
    </row>
    <row r="470" ht="14" customHeight="1" s="380">
      <c r="B470" s="207" t="inlineStr">
        <is>
          <t>TK-04.BTC</t>
        </is>
      </c>
      <c r="C470" s="273" t="n"/>
      <c r="D470" s="273" t="inlineStr">
        <is>
          <t>Giá giao dịch</t>
        </is>
      </c>
      <c r="F470" s="184" t="inlineStr">
        <is>
          <t>Báo cáo</t>
        </is>
      </c>
      <c r="G470" s="4" t="inlineStr">
        <is>
          <t>Chỉ tiêu cơ sở</t>
        </is>
      </c>
      <c r="H470" s="4" t="inlineStr">
        <is>
          <t>Dễ</t>
        </is>
      </c>
    </row>
    <row r="471" ht="14" customHeight="1" s="380">
      <c r="B471" s="207" t="inlineStr">
        <is>
          <t>TK-04.BTC</t>
        </is>
      </c>
      <c r="C471" s="275" t="n"/>
      <c r="D471" s="275" t="inlineStr">
        <is>
          <t>IV. Khối lượng và giá trị chứng khoán niêm yết và đăng ký giao dịch</t>
        </is>
      </c>
      <c r="F471" s="184" t="inlineStr">
        <is>
          <t>Báo cáo</t>
        </is>
      </c>
    </row>
    <row r="472" ht="14" customHeight="1" s="380">
      <c r="B472" s="207" t="inlineStr">
        <is>
          <t>TK-04.BTC</t>
        </is>
      </c>
      <c r="C472" s="271" t="n"/>
      <c r="D472" s="271" t="inlineStr">
        <is>
          <t>- KL cổ phiếu niêm yết/ĐKGD</t>
        </is>
      </c>
      <c r="F472" s="184" t="inlineStr">
        <is>
          <t>Báo cáo</t>
        </is>
      </c>
    </row>
    <row r="473" ht="14" customHeight="1" s="380">
      <c r="B473" s="207" t="inlineStr">
        <is>
          <t>TK-04.BTC</t>
        </is>
      </c>
      <c r="C473" s="273" t="n"/>
      <c r="D473" s="273" t="inlineStr">
        <is>
          <t>KL cổ phiếu NY</t>
        </is>
      </c>
      <c r="F473" s="184" t="inlineStr">
        <is>
          <t>Báo cáo</t>
        </is>
      </c>
      <c r="G473" s="4" t="inlineStr">
        <is>
          <t>Chỉ tiêu phái sinh</t>
        </is>
      </c>
      <c r="H473" s="4" t="inlineStr">
        <is>
          <t>TB</t>
        </is>
      </c>
      <c r="I473" s="4" t="n"/>
      <c r="J473" s="4" t="inlineStr">
        <is>
          <t>Σ KL cổ phiếu niêm yết</t>
        </is>
      </c>
    </row>
    <row r="474" ht="14" customHeight="1" s="380">
      <c r="B474" s="207" t="inlineStr">
        <is>
          <t>TK-04.BTC</t>
        </is>
      </c>
      <c r="C474" s="273" t="n"/>
      <c r="D474" s="273" t="inlineStr">
        <is>
          <t>KL cổ phiếu ĐKGD</t>
        </is>
      </c>
      <c r="F474" s="184" t="inlineStr">
        <is>
          <t>Báo cáo</t>
        </is>
      </c>
      <c r="G474" s="4" t="inlineStr">
        <is>
          <t>Chỉ tiêu phái sinh</t>
        </is>
      </c>
      <c r="H474" s="4" t="inlineStr">
        <is>
          <t>TB</t>
        </is>
      </c>
      <c r="I474" s="4" t="n"/>
      <c r="J474" s="4" t="inlineStr">
        <is>
          <t>Σ KL cổ phiếu ĐKGD</t>
        </is>
      </c>
    </row>
    <row r="475" ht="14" customHeight="1" s="380">
      <c r="B475" s="207" t="inlineStr">
        <is>
          <t>TK-04.BTC</t>
        </is>
      </c>
      <c r="C475" s="271" t="n"/>
      <c r="D475" s="271" t="inlineStr">
        <is>
          <t>- Giá trị cổ phiếu niêm yết/ĐKGD</t>
        </is>
      </c>
      <c r="F475" s="184" t="inlineStr">
        <is>
          <t>Báo cáo</t>
        </is>
      </c>
      <c r="G475" s="4" t="inlineStr">
        <is>
          <t>Chỉ tiêu phái sinh</t>
        </is>
      </c>
      <c r="H475" s="4" t="inlineStr">
        <is>
          <t>TB</t>
        </is>
      </c>
      <c r="I475" s="4" t="n"/>
      <c r="J475" s="4" t="inlineStr">
        <is>
          <t>Σ (Σ KL * Giá )</t>
        </is>
      </c>
    </row>
    <row r="476" ht="14" customHeight="1" s="380">
      <c r="B476" s="207" t="inlineStr">
        <is>
          <t>TK-04.BTC</t>
        </is>
      </c>
      <c r="C476" s="273" t="n"/>
      <c r="D476" s="273" t="inlineStr">
        <is>
          <t>Giá niêm yết</t>
        </is>
      </c>
      <c r="F476" s="184" t="inlineStr">
        <is>
          <t>Báo cáo</t>
        </is>
      </c>
      <c r="G476" s="4" t="inlineStr">
        <is>
          <t>Chỉ tiêu cơ sở</t>
        </is>
      </c>
      <c r="H476" s="4" t="inlineStr">
        <is>
          <t>Dễ</t>
        </is>
      </c>
    </row>
    <row r="477" ht="14" customHeight="1" s="380">
      <c r="B477" s="207" t="inlineStr">
        <is>
          <t>TK-04.BTC</t>
        </is>
      </c>
      <c r="C477" s="271" t="n"/>
      <c r="D477" s="271" t="inlineStr">
        <is>
          <t>- KL trái phiếu niêm yết</t>
        </is>
      </c>
      <c r="F477" s="184" t="inlineStr">
        <is>
          <t>Báo cáo</t>
        </is>
      </c>
      <c r="G477" s="4" t="inlineStr">
        <is>
          <t>Chỉ tiêu phái sinh</t>
        </is>
      </c>
      <c r="H477" s="4" t="inlineStr">
        <is>
          <t>TB</t>
        </is>
      </c>
      <c r="I477" s="4" t="n"/>
      <c r="J477" s="4" t="inlineStr">
        <is>
          <t>Σ KL trái phiếu</t>
        </is>
      </c>
    </row>
    <row r="478" ht="14" customHeight="1" s="380">
      <c r="B478" s="207" t="inlineStr">
        <is>
          <t>TK-04.BTC</t>
        </is>
      </c>
      <c r="C478" s="271" t="n"/>
      <c r="D478" s="271" t="inlineStr">
        <is>
          <t>- Giá trị trái phiếu niêm yết</t>
        </is>
      </c>
      <c r="F478" s="184" t="inlineStr">
        <is>
          <t>Báo cáo</t>
        </is>
      </c>
      <c r="G478" s="4" t="inlineStr">
        <is>
          <t>Chỉ tiêu phái sinh</t>
        </is>
      </c>
      <c r="H478" s="4" t="inlineStr">
        <is>
          <t>TB</t>
        </is>
      </c>
      <c r="I478" s="4" t="n"/>
      <c r="J478" s="4" t="inlineStr">
        <is>
          <t>Σ (Σ KLGD * Giá )</t>
        </is>
      </c>
    </row>
    <row r="479" ht="14" customHeight="1" s="380">
      <c r="B479" s="207" t="inlineStr">
        <is>
          <t>TK-04.BTC</t>
        </is>
      </c>
      <c r="C479" s="273" t="n"/>
      <c r="D479" s="273" t="inlineStr">
        <is>
          <t>Giá giao dịch</t>
        </is>
      </c>
      <c r="F479" s="184" t="inlineStr">
        <is>
          <t>Báo cáo</t>
        </is>
      </c>
      <c r="G479" s="4" t="inlineStr">
        <is>
          <t>Chỉ tiêu cơ sở</t>
        </is>
      </c>
      <c r="H479" s="4" t="inlineStr">
        <is>
          <t>Dễ</t>
        </is>
      </c>
    </row>
    <row r="480" ht="14" customHeight="1" s="380">
      <c r="B480" s="207" t="inlineStr">
        <is>
          <t>TK-04.BTC</t>
        </is>
      </c>
      <c r="C480" s="271" t="n"/>
      <c r="D480" s="271" t="inlineStr">
        <is>
          <t>- KL chứng chỉ quỹ niêm yết</t>
        </is>
      </c>
      <c r="F480" s="184" t="inlineStr">
        <is>
          <t>Báo cáo</t>
        </is>
      </c>
      <c r="G480" s="4" t="inlineStr">
        <is>
          <t>Chỉ tiêu phái sinh</t>
        </is>
      </c>
      <c r="H480" s="4" t="inlineStr">
        <is>
          <t>TB</t>
        </is>
      </c>
      <c r="I480" s="4" t="n"/>
      <c r="J480" s="4" t="inlineStr">
        <is>
          <t>Σ KL CCQ</t>
        </is>
      </c>
    </row>
    <row r="481" ht="14" customHeight="1" s="380">
      <c r="B481" s="207" t="inlineStr">
        <is>
          <t>TK-04.BTC</t>
        </is>
      </c>
      <c r="C481" s="271" t="n"/>
      <c r="D481" s="271" t="inlineStr">
        <is>
          <t>- Giá trị chứng chỉ quỹ niêm yết</t>
        </is>
      </c>
      <c r="F481" s="184" t="inlineStr">
        <is>
          <t>Báo cáo</t>
        </is>
      </c>
      <c r="G481" s="4" t="inlineStr">
        <is>
          <t>Chỉ tiêu phái sinh</t>
        </is>
      </c>
      <c r="H481" s="4" t="inlineStr">
        <is>
          <t>TB</t>
        </is>
      </c>
      <c r="I481" s="4" t="n"/>
      <c r="J481" s="4" t="inlineStr">
        <is>
          <t>Σ (Σ KLGD * Giá )</t>
        </is>
      </c>
    </row>
    <row r="482" ht="14" customHeight="1" s="380">
      <c r="B482" s="207" t="inlineStr">
        <is>
          <t>TK-04.BTC</t>
        </is>
      </c>
      <c r="C482" s="273" t="n"/>
      <c r="D482" s="273" t="inlineStr">
        <is>
          <t>Giá giao dịch</t>
        </is>
      </c>
      <c r="F482" s="184" t="inlineStr">
        <is>
          <t>Báo cáo</t>
        </is>
      </c>
      <c r="G482" s="4" t="inlineStr">
        <is>
          <t>Chỉ tiêu cơ sở</t>
        </is>
      </c>
      <c r="H482" s="4" t="inlineStr">
        <is>
          <t>Dễ</t>
        </is>
      </c>
    </row>
    <row r="483" ht="14" customHeight="1" s="380">
      <c r="B483" s="207" t="inlineStr">
        <is>
          <t>TK-04.BTC</t>
        </is>
      </c>
      <c r="C483" s="275" t="n"/>
      <c r="D483" s="275" t="inlineStr">
        <is>
          <t>V. Số loại chứng khoán niêm yết và đăng ký giao dịch</t>
        </is>
      </c>
      <c r="E483" s="4" t="inlineStr">
        <is>
          <t>CK Niêm Yết và Đăng ký GD</t>
        </is>
      </c>
      <c r="F483" s="184" t="inlineStr">
        <is>
          <t>Báo cáo</t>
        </is>
      </c>
    </row>
    <row r="484" ht="14" customHeight="1" s="380">
      <c r="B484" s="207" t="inlineStr">
        <is>
          <t>TK-04.BTC</t>
        </is>
      </c>
      <c r="C484" s="271" t="n"/>
      <c r="D484" s="271" t="inlineStr">
        <is>
          <t>- Cổ phiếu</t>
        </is>
      </c>
      <c r="F484" s="184" t="inlineStr">
        <is>
          <t>Báo cáo</t>
        </is>
      </c>
      <c r="G484" s="4" t="inlineStr">
        <is>
          <t>Chỉ tiêu phái sinh</t>
        </is>
      </c>
      <c r="H484" s="4" t="inlineStr">
        <is>
          <t>TB</t>
        </is>
      </c>
      <c r="I484" s="4" t="n"/>
      <c r="J484" s="4" t="inlineStr">
        <is>
          <t>Count số lượng CP</t>
        </is>
      </c>
    </row>
    <row r="485" ht="14" customHeight="1" s="380">
      <c r="B485" s="207" t="inlineStr">
        <is>
          <t>TK-04.BTC</t>
        </is>
      </c>
      <c r="C485" s="273" t="n"/>
      <c r="D485" s="273" t="inlineStr">
        <is>
          <t>số lượng CP niêm yết</t>
        </is>
      </c>
      <c r="F485" s="184" t="inlineStr">
        <is>
          <t>Báo cáo</t>
        </is>
      </c>
      <c r="G485" s="4" t="inlineStr">
        <is>
          <t>Chỉ tiêu cơ sở</t>
        </is>
      </c>
      <c r="H485" s="4" t="inlineStr">
        <is>
          <t>Dễ</t>
        </is>
      </c>
      <c r="I485" s="4" t="n"/>
      <c r="J485" s="4" t="n"/>
    </row>
    <row r="486" ht="14" customHeight="1" s="380">
      <c r="B486" s="207" t="inlineStr">
        <is>
          <t>TK-04.BTC</t>
        </is>
      </c>
      <c r="C486" s="273" t="n"/>
      <c r="D486" s="273" t="inlineStr">
        <is>
          <t>Số lượng Cp đăng ký GD</t>
        </is>
      </c>
      <c r="F486" s="184" t="inlineStr">
        <is>
          <t>Báo cáo</t>
        </is>
      </c>
      <c r="G486" s="4" t="inlineStr">
        <is>
          <t>Chỉ tiêu cơ sở</t>
        </is>
      </c>
      <c r="H486" s="4" t="inlineStr">
        <is>
          <t>Dễ</t>
        </is>
      </c>
      <c r="I486" s="4" t="n"/>
      <c r="J486" s="4" t="n"/>
    </row>
    <row r="487" ht="14" customHeight="1" s="380">
      <c r="B487" s="207" t="inlineStr">
        <is>
          <t>TK-04.BTC</t>
        </is>
      </c>
      <c r="C487" s="271" t="n"/>
      <c r="D487" s="271" t="inlineStr">
        <is>
          <t>- Trái phiếu</t>
        </is>
      </c>
      <c r="F487" s="184" t="inlineStr">
        <is>
          <t>Báo cáo</t>
        </is>
      </c>
      <c r="G487" s="4" t="inlineStr">
        <is>
          <t>Chỉ tiêu phái sinh</t>
        </is>
      </c>
      <c r="H487" s="4" t="inlineStr">
        <is>
          <t>TB</t>
        </is>
      </c>
      <c r="I487" s="4" t="n"/>
      <c r="J487" s="4" t="inlineStr">
        <is>
          <t>Count số lượng TP</t>
        </is>
      </c>
    </row>
    <row r="488" ht="14" customHeight="1" s="380">
      <c r="B488" s="207" t="inlineStr">
        <is>
          <t>TK-04.BTC</t>
        </is>
      </c>
      <c r="C488" s="273" t="n"/>
      <c r="D488" s="273" t="inlineStr">
        <is>
          <t>số lượng niêm yết</t>
        </is>
      </c>
      <c r="F488" s="184" t="inlineStr">
        <is>
          <t>Báo cáo</t>
        </is>
      </c>
      <c r="G488" s="4" t="inlineStr">
        <is>
          <t>Chỉ tiêu cơ sở</t>
        </is>
      </c>
      <c r="H488" s="4" t="inlineStr">
        <is>
          <t>Dễ</t>
        </is>
      </c>
      <c r="I488" s="4" t="n"/>
      <c r="J488" s="4" t="n"/>
    </row>
    <row r="489" ht="14" customHeight="1" s="380">
      <c r="B489" s="207" t="inlineStr">
        <is>
          <t>TK-04.BTC</t>
        </is>
      </c>
      <c r="C489" s="273" t="n"/>
      <c r="D489" s="273" t="inlineStr">
        <is>
          <t>Số lượng đăng ký GD</t>
        </is>
      </c>
      <c r="F489" s="184" t="inlineStr">
        <is>
          <t>Báo cáo</t>
        </is>
      </c>
      <c r="G489" s="4" t="inlineStr">
        <is>
          <t>Chỉ tiêu cơ sở</t>
        </is>
      </c>
      <c r="H489" s="4" t="inlineStr">
        <is>
          <t>Dễ</t>
        </is>
      </c>
      <c r="I489" s="4" t="n"/>
      <c r="J489" s="4" t="n"/>
    </row>
    <row r="490" ht="14" customHeight="1" s="380">
      <c r="B490" s="207" t="inlineStr">
        <is>
          <t>TK-04.BTC</t>
        </is>
      </c>
      <c r="C490" s="271" t="n"/>
      <c r="D490" s="271" t="inlineStr">
        <is>
          <t>- Chứng chỉ quỹ</t>
        </is>
      </c>
      <c r="F490" s="184" t="inlineStr">
        <is>
          <t>Báo cáo</t>
        </is>
      </c>
      <c r="G490" s="4" t="inlineStr">
        <is>
          <t>Chỉ tiêu phái sinh</t>
        </is>
      </c>
      <c r="H490" s="4" t="inlineStr">
        <is>
          <t>TB</t>
        </is>
      </c>
      <c r="I490" s="4" t="n"/>
      <c r="J490" s="4" t="inlineStr">
        <is>
          <t>Count số lượng CCQ</t>
        </is>
      </c>
    </row>
    <row r="491" ht="14" customHeight="1" s="380">
      <c r="B491" s="207" t="inlineStr">
        <is>
          <t>TK-04.BTC</t>
        </is>
      </c>
      <c r="C491" s="273" t="n"/>
      <c r="D491" s="273" t="inlineStr">
        <is>
          <t>số lượng niêm yết</t>
        </is>
      </c>
      <c r="F491" s="184" t="inlineStr">
        <is>
          <t>Báo cáo</t>
        </is>
      </c>
      <c r="G491" s="4" t="inlineStr">
        <is>
          <t>Chỉ tiêu cơ sở</t>
        </is>
      </c>
      <c r="H491" s="4" t="inlineStr">
        <is>
          <t>Dễ</t>
        </is>
      </c>
    </row>
    <row r="492" ht="14" customHeight="1" s="380">
      <c r="B492" s="207" t="inlineStr">
        <is>
          <t>TK-04.BTC</t>
        </is>
      </c>
      <c r="C492" s="273" t="n"/>
      <c r="D492" s="273" t="inlineStr">
        <is>
          <t>Số lượng đăng ký GD</t>
        </is>
      </c>
      <c r="F492" s="184" t="inlineStr">
        <is>
          <t>Báo cáo</t>
        </is>
      </c>
      <c r="G492" s="4" t="inlineStr">
        <is>
          <t>Chỉ tiêu cơ sở</t>
        </is>
      </c>
      <c r="H492" s="4" t="inlineStr">
        <is>
          <t>Dễ</t>
        </is>
      </c>
    </row>
    <row r="493" ht="14" customHeight="1" s="380">
      <c r="B493" s="207" t="inlineStr">
        <is>
          <t>TK-04.BTC</t>
        </is>
      </c>
      <c r="C493" s="275" t="n"/>
      <c r="D493" s="275" t="inlineStr">
        <is>
          <t>VI. Thị trường chứng khoán phái sinh và các sản phẩm khác</t>
        </is>
      </c>
      <c r="E493" s="4" t="inlineStr">
        <is>
          <t>CK phái sinh</t>
        </is>
      </c>
      <c r="F493" s="184" t="inlineStr">
        <is>
          <t>Báo cáo</t>
        </is>
      </c>
    </row>
    <row r="494" ht="14" customHeight="1" s="380">
      <c r="B494" s="207" t="inlineStr">
        <is>
          <t>TK-04.BTC</t>
        </is>
      </c>
      <c r="C494" s="271" t="n"/>
      <c r="D494" s="271" t="inlineStr">
        <is>
          <t>- Quy mô giao dịch</t>
        </is>
      </c>
      <c r="F494" s="184" t="inlineStr">
        <is>
          <t>Báo cáo</t>
        </is>
      </c>
    </row>
    <row r="495" ht="14" customHeight="1" s="380">
      <c r="B495" s="207" t="inlineStr">
        <is>
          <t>TK-04.BTC</t>
        </is>
      </c>
      <c r="C495" s="273" t="n"/>
      <c r="D495" s="273" t="inlineStr">
        <is>
          <t>Khối lượng GD</t>
        </is>
      </c>
      <c r="E495" s="4" t="n"/>
      <c r="F495" s="184" t="inlineStr">
        <is>
          <t>Báo cáo</t>
        </is>
      </c>
      <c r="G495" s="4" t="inlineStr">
        <is>
          <t>Chỉ tiêu phái sinh</t>
        </is>
      </c>
      <c r="H495" s="4" t="inlineStr">
        <is>
          <t>TB</t>
        </is>
      </c>
      <c r="I495" s="4" t="n"/>
      <c r="J495" s="4" t="inlineStr">
        <is>
          <t>Khối lượng GD = Tổng số hợp đồng phái sinh được mua bán trong kỳ.
Ví dụ: 200.000 hợp đồng tương lai VN30/ngày</t>
        </is>
      </c>
    </row>
    <row r="496" ht="14" customHeight="1" s="380">
      <c r="B496" s="207" t="inlineStr">
        <is>
          <t>TK-04.BTC</t>
        </is>
      </c>
      <c r="C496" s="273" t="n"/>
      <c r="D496" s="273" t="inlineStr">
        <is>
          <t>Giá trị GD</t>
        </is>
      </c>
      <c r="E496" s="4" t="n"/>
      <c r="F496" s="184" t="inlineStr">
        <is>
          <t>Báo cáo</t>
        </is>
      </c>
      <c r="G496" s="4" t="inlineStr">
        <is>
          <t>Chỉ tiêu phái sinh</t>
        </is>
      </c>
      <c r="H496" s="4" t="inlineStr">
        <is>
          <t>TB</t>
        </is>
      </c>
      <c r="I496" s="4" t="n"/>
      <c r="J496" s="4" t="inlineStr">
        <is>
          <t>Giá trị GD = KL hợp đồng * giá hợp đồng * hệ số nhân</t>
        </is>
      </c>
    </row>
    <row r="497" ht="14" customHeight="1" s="380">
      <c r="B497" s="207" t="inlineStr">
        <is>
          <t>TK-04.BTC</t>
        </is>
      </c>
      <c r="C497" s="273" t="n"/>
      <c r="D497" s="273" t="inlineStr">
        <is>
          <t>Khối lượng hợp đồng</t>
        </is>
      </c>
      <c r="E497" s="4" t="n"/>
      <c r="F497" s="184" t="inlineStr">
        <is>
          <t>Báo cáo</t>
        </is>
      </c>
      <c r="G497" s="4" t="inlineStr">
        <is>
          <t>Chỉ tiêu phái sinh</t>
        </is>
      </c>
      <c r="H497" s="4" t="inlineStr">
        <is>
          <t>Trùng</t>
        </is>
      </c>
      <c r="I497" s="277" t="n"/>
      <c r="J497" s="271" t="inlineStr">
        <is>
          <t>Khối lượng hợp đồng = Tổng số hợp đồng</t>
        </is>
      </c>
    </row>
    <row r="498" ht="14" customHeight="1" s="380">
      <c r="B498" s="207" t="inlineStr">
        <is>
          <t>TK-04.BTC</t>
        </is>
      </c>
      <c r="C498" s="273" t="n"/>
      <c r="D498" s="273" t="inlineStr">
        <is>
          <t>Giá hợp đồng</t>
        </is>
      </c>
      <c r="E498" s="4" t="n"/>
      <c r="F498" s="184" t="inlineStr">
        <is>
          <t>Báo cáo</t>
        </is>
      </c>
      <c r="G498" s="4" t="inlineStr">
        <is>
          <t>Chỉ tiêu cơ sở</t>
        </is>
      </c>
      <c r="H498" s="4" t="inlineStr">
        <is>
          <t>Dễ</t>
        </is>
      </c>
      <c r="I498" s="4" t="n"/>
      <c r="J498" s="4" t="n"/>
    </row>
    <row r="499" ht="14" customHeight="1" s="380">
      <c r="B499" s="207" t="inlineStr">
        <is>
          <t>TK-04.BTC</t>
        </is>
      </c>
      <c r="C499" s="273" t="n"/>
      <c r="D499" s="273" t="inlineStr">
        <is>
          <t>Hệ số nhân</t>
        </is>
      </c>
      <c r="E499" s="4" t="n"/>
      <c r="F499" s="184" t="inlineStr">
        <is>
          <t>Báo cáo</t>
        </is>
      </c>
      <c r="G499" s="4" t="inlineStr">
        <is>
          <t>Chỉ tiêu cơ sở</t>
        </is>
      </c>
      <c r="H499" s="4" t="inlineStr">
        <is>
          <t>Dễ</t>
        </is>
      </c>
      <c r="I499" s="4" t="n"/>
      <c r="J499" s="4" t="n"/>
    </row>
    <row r="500" ht="14" customHeight="1" s="380">
      <c r="B500" s="207" t="inlineStr">
        <is>
          <t>TK-04.BTC</t>
        </is>
      </c>
      <c r="C500" s="271" t="n"/>
      <c r="D500" s="271" t="inlineStr">
        <is>
          <t>- Khối lượng mở OI</t>
        </is>
      </c>
      <c r="E500" s="4" t="inlineStr">
        <is>
          <t>Tổng số hợp đồng đang còn hiệu lực trên thị trường chưa tất toán</t>
        </is>
      </c>
      <c r="F500" s="184" t="inlineStr">
        <is>
          <t>Báo cáo</t>
        </is>
      </c>
      <c r="G500" s="4" t="inlineStr">
        <is>
          <t>Chỉ tiêu phái sinh</t>
        </is>
      </c>
      <c r="H500" s="4" t="inlineStr">
        <is>
          <t>TB</t>
        </is>
      </c>
      <c r="I500" s="4" t="n"/>
      <c r="J500" s="4" t="inlineStr">
        <is>
          <t>Σ Số lượng Hợp đồng chưa tất toán</t>
        </is>
      </c>
    </row>
    <row r="501" ht="14" customHeight="1" s="380">
      <c r="B501" s="207" t="inlineStr">
        <is>
          <t>TK-04.BTC</t>
        </is>
      </c>
      <c r="C501" s="273" t="n"/>
      <c r="D501" s="273" t="inlineStr">
        <is>
          <t>Hợp đồng chưa tất toán</t>
        </is>
      </c>
      <c r="F501" s="184" t="inlineStr">
        <is>
          <t>Báo cáo</t>
        </is>
      </c>
      <c r="G501" s="4" t="inlineStr">
        <is>
          <t>Chỉ tiêu cơ sở</t>
        </is>
      </c>
      <c r="H501" s="4" t="inlineStr">
        <is>
          <t>TB</t>
        </is>
      </c>
      <c r="I501" s="4" t="n"/>
      <c r="J501" s="4" t="inlineStr">
        <is>
          <t>Lọc trạng thái hợp đông</t>
        </is>
      </c>
      <c r="K501" s="4" t="inlineStr">
        <is>
          <t>Chưa biết nguồn</t>
        </is>
      </c>
    </row>
    <row r="502" ht="14" customHeight="1" s="380">
      <c r="B502" s="207" t="inlineStr">
        <is>
          <t>TK-04.BTC</t>
        </is>
      </c>
      <c r="C502" s="271" t="n"/>
      <c r="D502" s="271" t="inlineStr">
        <is>
          <t>- Số lượng tài khoản giao dịch phái sinh</t>
        </is>
      </c>
      <c r="F502" s="184" t="inlineStr">
        <is>
          <t>Báo cáo</t>
        </is>
      </c>
      <c r="G502" s="4" t="inlineStr">
        <is>
          <t>Chỉ tiêu phái sinh</t>
        </is>
      </c>
      <c r="H502" s="4" t="inlineStr">
        <is>
          <t>TB</t>
        </is>
      </c>
      <c r="I502" s="4" t="n"/>
      <c r="J502" s="4" t="inlineStr">
        <is>
          <t>Σ số tài khoản giao dịch CK phái sinh</t>
        </is>
      </c>
    </row>
    <row r="503" ht="14" customHeight="1" s="380">
      <c r="B503" s="207" t="inlineStr">
        <is>
          <t>TK-04.BTC</t>
        </is>
      </c>
      <c r="C503" s="275" t="n"/>
      <c r="D503" s="275" t="inlineStr">
        <is>
          <t>VII. Số phiên thực hiện giao dịch</t>
        </is>
      </c>
      <c r="F503" s="184" t="inlineStr">
        <is>
          <t>Báo cáo</t>
        </is>
      </c>
      <c r="G503" s="4" t="inlineStr">
        <is>
          <t>Chỉ tiêu phái sinh</t>
        </is>
      </c>
      <c r="H503" s="4" t="inlineStr">
        <is>
          <t>TB</t>
        </is>
      </c>
    </row>
    <row r="504" ht="14" customHeight="1" s="380">
      <c r="B504" s="207" t="inlineStr">
        <is>
          <t>TK-04.BTC</t>
        </is>
      </c>
      <c r="C504" s="278" t="n"/>
      <c r="D504" s="278" t="inlineStr">
        <is>
          <t>Phiên giao dịch trong ngày</t>
        </is>
      </c>
      <c r="F504" s="184" t="n"/>
      <c r="G504" s="4" t="inlineStr">
        <is>
          <t>Chỉ tiêu cơ sở</t>
        </is>
      </c>
      <c r="H504" s="4" t="inlineStr">
        <is>
          <t>Dễ</t>
        </is>
      </c>
    </row>
    <row r="505" ht="14" customHeight="1" s="380">
      <c r="B505" s="207" t="inlineStr">
        <is>
          <t>TK-04.BTC</t>
        </is>
      </c>
      <c r="C505" s="280" t="n"/>
      <c r="D505" s="280" t="inlineStr">
        <is>
          <t>VIII. Giao dịch của nhà đầu tư nước ngoài</t>
        </is>
      </c>
      <c r="F505" s="184" t="inlineStr">
        <is>
          <t>Báo cáo</t>
        </is>
      </c>
    </row>
    <row r="506" ht="14" customHeight="1" s="380">
      <c r="B506" s="207" t="inlineStr">
        <is>
          <t>TK-04.BTC</t>
        </is>
      </c>
      <c r="C506" s="282" t="n"/>
      <c r="D506" s="282" t="inlineStr">
        <is>
          <t xml:space="preserve"> - Khối lượng chứng khoán nhà đầu tư nước ngoài đang nắm giữ </t>
        </is>
      </c>
      <c r="F506" s="184" t="inlineStr">
        <is>
          <t>Báo cáo</t>
        </is>
      </c>
      <c r="G506" s="4" t="inlineStr">
        <is>
          <t>Chỉ tiêu phái sinh</t>
        </is>
      </c>
      <c r="H506" s="4" t="inlineStr">
        <is>
          <t>Dễ</t>
        </is>
      </c>
    </row>
    <row r="507" ht="14" customHeight="1" s="380">
      <c r="B507" s="207" t="inlineStr">
        <is>
          <t>TK-04.BTC</t>
        </is>
      </c>
      <c r="C507" s="284" t="n"/>
      <c r="D507" s="350" t="inlineStr">
        <is>
          <t>+ Cổ phiếu</t>
        </is>
      </c>
      <c r="F507" s="184" t="inlineStr">
        <is>
          <t>Báo cáo</t>
        </is>
      </c>
      <c r="G507" s="4" t="inlineStr">
        <is>
          <t>Chỉ tiêu phái sinh</t>
        </is>
      </c>
      <c r="H507" s="4" t="inlineStr">
        <is>
          <t>TB</t>
        </is>
      </c>
    </row>
    <row r="508" ht="14" customHeight="1" s="380">
      <c r="B508" s="207" t="inlineStr">
        <is>
          <t>TK-04.BTC</t>
        </is>
      </c>
      <c r="C508" s="284" t="n"/>
      <c r="D508" s="350" t="inlineStr">
        <is>
          <t>+ Trái phiếu</t>
        </is>
      </c>
      <c r="F508" s="184" t="inlineStr">
        <is>
          <t>Báo cáo</t>
        </is>
      </c>
      <c r="G508" s="4" t="inlineStr">
        <is>
          <t>Chỉ tiêu phái sinh</t>
        </is>
      </c>
      <c r="H508" s="4" t="inlineStr">
        <is>
          <t>TB</t>
        </is>
      </c>
    </row>
    <row r="509" ht="14" customHeight="1" s="380">
      <c r="B509" s="207" t="inlineStr">
        <is>
          <t>TK-04.BTC</t>
        </is>
      </c>
      <c r="C509" s="284" t="n"/>
      <c r="D509" s="350" t="inlineStr">
        <is>
          <t>+ Chứng khoán khác</t>
        </is>
      </c>
      <c r="F509" s="184" t="inlineStr">
        <is>
          <t>Báo cáo</t>
        </is>
      </c>
      <c r="G509" s="4" t="inlineStr">
        <is>
          <t>Chỉ tiêu phái sinh</t>
        </is>
      </c>
      <c r="H509" s="4" t="inlineStr">
        <is>
          <t>TB</t>
        </is>
      </c>
    </row>
    <row r="510" ht="14" customHeight="1" s="380">
      <c r="B510" s="207" t="inlineStr">
        <is>
          <t>TK-04.BTC</t>
        </is>
      </c>
      <c r="C510" s="282" t="n"/>
      <c r="D510" s="282" t="inlineStr">
        <is>
          <t xml:space="preserve"> - Giá trị chứng khoán nhà đầu tư nước ngoài đang nắm giữ </t>
        </is>
      </c>
      <c r="F510" s="184" t="inlineStr">
        <is>
          <t>Báo cáo</t>
        </is>
      </c>
      <c r="G510" s="4" t="inlineStr">
        <is>
          <t>Chỉ tiêu phái sinh</t>
        </is>
      </c>
      <c r="H510" s="4" t="inlineStr">
        <is>
          <t>TB</t>
        </is>
      </c>
    </row>
    <row r="511" ht="14" customHeight="1" s="380">
      <c r="B511" s="207" t="inlineStr">
        <is>
          <t>TK-04.BTC</t>
        </is>
      </c>
      <c r="C511" s="284" t="n"/>
      <c r="D511" s="350" t="inlineStr">
        <is>
          <t>+ Cổ phiếu</t>
        </is>
      </c>
      <c r="F511" s="184" t="inlineStr">
        <is>
          <t>Báo cáo</t>
        </is>
      </c>
      <c r="G511" s="4" t="inlineStr">
        <is>
          <t>Chỉ tiêu phái sinh</t>
        </is>
      </c>
      <c r="H511" s="4" t="inlineStr">
        <is>
          <t>TB</t>
        </is>
      </c>
    </row>
    <row r="512" ht="14" customHeight="1" s="380">
      <c r="B512" s="207" t="inlineStr">
        <is>
          <t>TK-04.BTC</t>
        </is>
      </c>
      <c r="C512" s="286" t="n"/>
      <c r="D512" s="286" t="inlineStr">
        <is>
          <t>Khối lượng</t>
        </is>
      </c>
      <c r="F512" s="184" t="inlineStr">
        <is>
          <t>Báo cáo</t>
        </is>
      </c>
      <c r="G512" s="4" t="inlineStr">
        <is>
          <t>Chỉ tiêu cơ sở</t>
        </is>
      </c>
      <c r="H512" s="4" t="inlineStr">
        <is>
          <t>Dễ</t>
        </is>
      </c>
    </row>
    <row r="513" ht="14" customHeight="1" s="380">
      <c r="B513" s="207" t="inlineStr">
        <is>
          <t>TK-04.BTC</t>
        </is>
      </c>
      <c r="C513" s="286" t="n"/>
      <c r="D513" s="286" t="inlineStr">
        <is>
          <t>Giá</t>
        </is>
      </c>
      <c r="F513" s="184" t="inlineStr">
        <is>
          <t>Báo cáo</t>
        </is>
      </c>
      <c r="G513" s="4" t="inlineStr">
        <is>
          <t>Chỉ tiêu cơ sở</t>
        </is>
      </c>
      <c r="H513" s="4" t="inlineStr">
        <is>
          <t>Dễ</t>
        </is>
      </c>
    </row>
    <row r="514" ht="14" customHeight="1" s="380">
      <c r="B514" s="207" t="inlineStr">
        <is>
          <t>TK-04.BTC</t>
        </is>
      </c>
      <c r="C514" s="284" t="n"/>
      <c r="D514" s="350" t="inlineStr">
        <is>
          <t>+ Trái phiếu</t>
        </is>
      </c>
      <c r="F514" s="184" t="inlineStr">
        <is>
          <t>Báo cáo</t>
        </is>
      </c>
      <c r="G514" s="22" t="inlineStr">
        <is>
          <t>Chỉ tiêu phái sinh</t>
        </is>
      </c>
      <c r="H514" s="22" t="inlineStr">
        <is>
          <t>TB</t>
        </is>
      </c>
    </row>
    <row r="515" ht="14" customHeight="1" s="380">
      <c r="B515" s="207" t="inlineStr">
        <is>
          <t>TK-04.BTC</t>
        </is>
      </c>
      <c r="C515" s="286" t="n"/>
      <c r="D515" s="286" t="inlineStr">
        <is>
          <t>Khối lượng</t>
        </is>
      </c>
      <c r="F515" s="184" t="inlineStr">
        <is>
          <t>Báo cáo</t>
        </is>
      </c>
      <c r="G515" s="4" t="inlineStr">
        <is>
          <t>Chỉ tiêu cơ sở</t>
        </is>
      </c>
      <c r="H515" s="4" t="inlineStr">
        <is>
          <t>Dễ</t>
        </is>
      </c>
    </row>
    <row r="516" ht="14" customHeight="1" s="380">
      <c r="B516" s="207" t="inlineStr">
        <is>
          <t>TK-04.BTC</t>
        </is>
      </c>
      <c r="C516" s="286" t="n"/>
      <c r="D516" s="286" t="inlineStr">
        <is>
          <t>Giá</t>
        </is>
      </c>
      <c r="F516" s="184" t="inlineStr">
        <is>
          <t>Báo cáo</t>
        </is>
      </c>
      <c r="G516" s="4" t="inlineStr">
        <is>
          <t>Chỉ tiêu cơ sở</t>
        </is>
      </c>
      <c r="H516" s="4" t="inlineStr">
        <is>
          <t>Dễ</t>
        </is>
      </c>
    </row>
    <row r="517" ht="14" customHeight="1" s="380">
      <c r="B517" s="207" t="inlineStr">
        <is>
          <t>TK-04.BTC</t>
        </is>
      </c>
      <c r="C517" s="284" t="n"/>
      <c r="D517" s="350" t="inlineStr">
        <is>
          <t>+ Chứng khoán khác</t>
        </is>
      </c>
      <c r="F517" s="184" t="inlineStr">
        <is>
          <t>Báo cáo</t>
        </is>
      </c>
      <c r="G517" s="22" t="inlineStr">
        <is>
          <t>Chỉ tiêu phái sinh</t>
        </is>
      </c>
      <c r="H517" s="22" t="inlineStr">
        <is>
          <t>TB</t>
        </is>
      </c>
    </row>
    <row r="518" ht="14" customHeight="1" s="380">
      <c r="B518" s="207" t="inlineStr">
        <is>
          <t>TK-04.BTC</t>
        </is>
      </c>
      <c r="C518" s="286" t="n"/>
      <c r="D518" s="286" t="inlineStr">
        <is>
          <t>Khối lượng</t>
        </is>
      </c>
      <c r="F518" s="184" t="inlineStr">
        <is>
          <t>Báo cáo</t>
        </is>
      </c>
      <c r="G518" s="4" t="inlineStr">
        <is>
          <t>Chỉ tiêu cơ sở</t>
        </is>
      </c>
      <c r="H518" s="4" t="inlineStr">
        <is>
          <t>Dễ</t>
        </is>
      </c>
    </row>
    <row r="519" ht="14" customHeight="1" s="380">
      <c r="B519" s="207" t="inlineStr">
        <is>
          <t>TK-04.BTC</t>
        </is>
      </c>
      <c r="C519" s="286" t="n"/>
      <c r="D519" s="286" t="inlineStr">
        <is>
          <t>Giá</t>
        </is>
      </c>
      <c r="F519" s="184" t="inlineStr">
        <is>
          <t>Báo cáo</t>
        </is>
      </c>
      <c r="G519" s="4" t="inlineStr">
        <is>
          <t>Chỉ tiêu cơ sở</t>
        </is>
      </c>
      <c r="H519" s="4" t="inlineStr">
        <is>
          <t>Dễ</t>
        </is>
      </c>
    </row>
    <row r="520" ht="14" customHeight="1" s="380">
      <c r="B520" s="207" t="inlineStr">
        <is>
          <t>TK-04.BTC</t>
        </is>
      </c>
      <c r="C520" s="288" t="n"/>
      <c r="D520" s="288" t="inlineStr">
        <is>
          <t>IX. Hoạt động cổ phần hóa và thoái vốn (số liệu chỉ tính doanh nghiệp đấu giá qua các Sở giao dịch Chứng khoán)</t>
        </is>
      </c>
      <c r="F520" s="184" t="inlineStr">
        <is>
          <t>Báo cáo</t>
        </is>
      </c>
    </row>
    <row r="521" ht="14" customHeight="1" s="380">
      <c r="B521" s="207" t="inlineStr">
        <is>
          <t>TK-04.BTC</t>
        </is>
      </c>
      <c r="C521" s="284" t="n"/>
      <c r="D521" s="284" t="inlineStr">
        <is>
          <t>- Số lượng DN được cổ phần hóa</t>
        </is>
      </c>
      <c r="F521" s="184" t="inlineStr">
        <is>
          <t>Báo cáo</t>
        </is>
      </c>
      <c r="G521" s="22" t="inlineStr">
        <is>
          <t>Chỉ tiêu phái sinh</t>
        </is>
      </c>
      <c r="H521" s="22" t="inlineStr">
        <is>
          <t>TB</t>
        </is>
      </c>
      <c r="I521" s="4" t="n"/>
      <c r="J521" s="4" t="inlineStr">
        <is>
          <t>Đếm số DN</t>
        </is>
      </c>
    </row>
    <row r="522" ht="14" customHeight="1" s="380">
      <c r="B522" s="207" t="inlineStr">
        <is>
          <t>TK-04.BTC</t>
        </is>
      </c>
      <c r="C522" s="284" t="n"/>
      <c r="D522" s="284" t="inlineStr">
        <is>
          <t>- Khối lượng cổ phiếu được cổ phần hóa</t>
        </is>
      </c>
      <c r="F522" s="184" t="inlineStr">
        <is>
          <t>Báo cáo</t>
        </is>
      </c>
      <c r="G522" s="22" t="inlineStr">
        <is>
          <t>Chỉ tiêu phái sinh</t>
        </is>
      </c>
      <c r="H522" s="22" t="inlineStr">
        <is>
          <t>TB</t>
        </is>
      </c>
      <c r="I522" s="4" t="n"/>
      <c r="J522" s="4" t="inlineStr">
        <is>
          <t>Tính tổng KL</t>
        </is>
      </c>
    </row>
    <row r="523" ht="14" customHeight="1" s="380">
      <c r="B523" s="207" t="inlineStr">
        <is>
          <t>TK-04.BTC</t>
        </is>
      </c>
      <c r="C523" s="265" t="n"/>
      <c r="D523" s="265" t="inlineStr">
        <is>
          <t>X. Tổng mức huy động vốn trên thị trường chứng khoán (bao gồm cả phát hành trái phiếu riêng lẻ, đấu thầu trái phiếu Chính phủ) (*)</t>
        </is>
      </c>
      <c r="E523" s="4" t="inlineStr">
        <is>
          <t>KL bán CK thành công theo các loại hình huy động làm tăng vốn</t>
        </is>
      </c>
      <c r="F523" s="184" t="inlineStr">
        <is>
          <t>Báo cáo</t>
        </is>
      </c>
    </row>
    <row r="524" ht="14" customHeight="1" s="380">
      <c r="B524" s="207" t="inlineStr">
        <is>
          <t>TK-04.BTC</t>
        </is>
      </c>
      <c r="C524" s="291" t="n"/>
      <c r="D524" s="291" t="inlineStr">
        <is>
          <t>Phát hành cổ phiếu (Tăng vốn chủ sở hữu)</t>
        </is>
      </c>
      <c r="F524" s="184" t="inlineStr">
        <is>
          <t>Báo cáo</t>
        </is>
      </c>
    </row>
    <row r="525" ht="14" customHeight="1" s="380">
      <c r="B525" s="207" t="inlineStr">
        <is>
          <t>TK-04.BTC</t>
        </is>
      </c>
      <c r="C525" s="286" t="n"/>
      <c r="D525" s="286" t="inlineStr">
        <is>
          <t>Chào bán ra công chúng (IPO/SEO)</t>
        </is>
      </c>
      <c r="F525" s="184" t="inlineStr">
        <is>
          <t>Báo cáo</t>
        </is>
      </c>
      <c r="G525" s="22" t="inlineStr">
        <is>
          <t>Chỉ tiêu phái sinh</t>
        </is>
      </c>
      <c r="H525" s="22" t="inlineStr">
        <is>
          <t>TB</t>
        </is>
      </c>
    </row>
    <row r="526" ht="14" customHeight="1" s="380">
      <c r="B526" s="207" t="inlineStr">
        <is>
          <t>TK-04.BTC</t>
        </is>
      </c>
      <c r="C526" s="286" t="n"/>
      <c r="D526" s="286" t="inlineStr">
        <is>
          <t>Phát hành riêng lẻ</t>
        </is>
      </c>
      <c r="F526" s="184" t="inlineStr">
        <is>
          <t>Báo cáo</t>
        </is>
      </c>
      <c r="G526" s="22" t="inlineStr">
        <is>
          <t>Chỉ tiêu phái sinh</t>
        </is>
      </c>
      <c r="H526" s="22" t="inlineStr">
        <is>
          <t>TB</t>
        </is>
      </c>
    </row>
    <row r="527" ht="14" customHeight="1" s="380">
      <c r="B527" s="207" t="inlineStr">
        <is>
          <t>TK-04.BTC</t>
        </is>
      </c>
      <c r="C527" s="286" t="n"/>
      <c r="D527" s="286" t="inlineStr">
        <is>
          <t>Chào bán cho cổ đông hiện hữu</t>
        </is>
      </c>
      <c r="F527" s="184" t="inlineStr">
        <is>
          <t>Báo cáo</t>
        </is>
      </c>
      <c r="G527" s="22" t="inlineStr">
        <is>
          <t>Chỉ tiêu phái sinh</t>
        </is>
      </c>
      <c r="H527" s="22" t="inlineStr">
        <is>
          <t>TB</t>
        </is>
      </c>
    </row>
    <row r="528" ht="14" customHeight="1" s="380">
      <c r="B528" s="207" t="inlineStr">
        <is>
          <t>TK-04.BTC</t>
        </is>
      </c>
      <c r="C528" s="286" t="n"/>
      <c r="D528" s="286" t="inlineStr">
        <is>
          <t>Phát hành cổ phiếu thưởng/cổ tức bằng cổ phiếu</t>
        </is>
      </c>
      <c r="F528" s="184" t="inlineStr">
        <is>
          <t>Báo cáo</t>
        </is>
      </c>
      <c r="G528" s="22" t="inlineStr">
        <is>
          <t>Chỉ tiêu phái sinh</t>
        </is>
      </c>
      <c r="H528" s="22" t="inlineStr">
        <is>
          <t>TB</t>
        </is>
      </c>
    </row>
    <row r="529" ht="16" customHeight="1" s="380">
      <c r="B529" s="207" t="inlineStr">
        <is>
          <t>TK-04.BTC</t>
        </is>
      </c>
      <c r="C529" s="291" t="n"/>
      <c r="D529" s="351" t="inlineStr">
        <is>
          <t>Phát hành trái phiếu (Tăng vốn nợ/vay)</t>
        </is>
      </c>
      <c r="F529" s="184" t="inlineStr">
        <is>
          <t>Báo cáo</t>
        </is>
      </c>
    </row>
    <row r="530" ht="14" customHeight="1" s="380">
      <c r="B530" s="207" t="inlineStr">
        <is>
          <t>TK-04.BTC</t>
        </is>
      </c>
      <c r="C530" s="286" t="n"/>
      <c r="D530" s="286" t="inlineStr">
        <is>
          <t>Trái phiếu thông thường</t>
        </is>
      </c>
      <c r="F530" s="184" t="inlineStr">
        <is>
          <t>Báo cáo</t>
        </is>
      </c>
      <c r="G530" s="22" t="inlineStr">
        <is>
          <t>Chỉ tiêu phái sinh</t>
        </is>
      </c>
      <c r="H530" s="22" t="inlineStr">
        <is>
          <t>TB</t>
        </is>
      </c>
    </row>
    <row r="531" ht="14" customHeight="1" s="380">
      <c r="B531" s="207" t="inlineStr">
        <is>
          <t>TK-04.BTC</t>
        </is>
      </c>
      <c r="C531" s="286" t="n"/>
      <c r="D531" s="286" t="inlineStr">
        <is>
          <t>Trái phiếu chuyển đổi</t>
        </is>
      </c>
      <c r="F531" s="184" t="inlineStr">
        <is>
          <t>Báo cáo</t>
        </is>
      </c>
      <c r="G531" s="22" t="inlineStr">
        <is>
          <t>Chỉ tiêu phái sinh</t>
        </is>
      </c>
      <c r="H531" s="22" t="inlineStr">
        <is>
          <t>TB</t>
        </is>
      </c>
    </row>
    <row r="532" ht="63" customHeight="1" s="380">
      <c r="B532" s="207" t="inlineStr">
        <is>
          <t>TK-04.BTC</t>
        </is>
      </c>
      <c r="C532" s="265" t="n"/>
      <c r="D532" s="265" t="inlineStr">
        <is>
          <t>XI. Tổng doanh thu các công ty chứng khoán</t>
        </is>
      </c>
      <c r="F532" s="184" t="inlineStr">
        <is>
          <t>Báo cáo</t>
        </is>
      </c>
      <c r="G532" s="22" t="inlineStr">
        <is>
          <t>Chỉ tiêu phái sinh</t>
        </is>
      </c>
      <c r="H532" s="22" t="inlineStr">
        <is>
          <t>TB</t>
        </is>
      </c>
      <c r="I532" s="4" t="n"/>
      <c r="J532" s="4" t="inlineStr">
        <is>
          <t>Tổng doanh thu CTCK=1∑n​Doanh thu của CTCKi​</t>
        </is>
      </c>
      <c r="K532" s="4" t="inlineStr">
        <is>
          <t>DL từ nguồn BCTC</t>
        </is>
      </c>
    </row>
    <row r="533" ht="14" customHeight="1" s="380">
      <c r="B533" s="207" t="inlineStr">
        <is>
          <t>TK-04.BTC</t>
        </is>
      </c>
      <c r="C533" s="286" t="n"/>
      <c r="D533" s="286" t="inlineStr">
        <is>
          <t>Doanh thu của từng CT CK</t>
        </is>
      </c>
      <c r="F533" s="184" t="n"/>
      <c r="G533" s="22" t="inlineStr">
        <is>
          <t>Chỉ tiêu phái sinh</t>
        </is>
      </c>
      <c r="H533" s="22" t="inlineStr">
        <is>
          <t>TB</t>
        </is>
      </c>
      <c r="I533" s="4" t="n"/>
      <c r="J533" s="4" t="inlineStr">
        <is>
          <t>Doanh thu môi giới chứng khoán, 
Doanh thu cho vay ký quỹ (Margin), 
Doanh thu tự doanh (Proprietary Trading), 
Doanh thu tư vấn và bảo lãnh phát hành, 
Doanh thu lưu ký và dịch vụ chứng khoán</t>
        </is>
      </c>
      <c r="K533" s="4" t="n"/>
    </row>
    <row r="534" ht="14" customHeight="1" s="380">
      <c r="B534" s="207" t="inlineStr">
        <is>
          <t>TK-04.BTC</t>
        </is>
      </c>
      <c r="C534" s="286" t="n"/>
      <c r="D534" s="286" t="inlineStr">
        <is>
          <t>Danh mục CTCK</t>
        </is>
      </c>
      <c r="F534" s="184" t="n"/>
      <c r="G534" s="22" t="inlineStr">
        <is>
          <t>Chiều</t>
        </is>
      </c>
      <c r="H534" s="22" t="n"/>
      <c r="I534" s="4" t="n"/>
      <c r="J534" s="4" t="n"/>
      <c r="K534" s="4" t="n"/>
    </row>
    <row r="535" ht="14" customHeight="1" s="380">
      <c r="B535" s="207" t="inlineStr">
        <is>
          <t>TK-04.BTC</t>
        </is>
      </c>
      <c r="C535" s="265" t="n"/>
      <c r="D535" s="265" t="inlineStr">
        <is>
          <t>XII. Tổng doanh thu các công ty quản lý quỹ</t>
        </is>
      </c>
      <c r="F535" s="184" t="inlineStr">
        <is>
          <t>Báo cáo</t>
        </is>
      </c>
      <c r="G535" s="22" t="inlineStr">
        <is>
          <t>Chỉ tiêu phái sinh</t>
        </is>
      </c>
      <c r="H535" s="22" t="inlineStr">
        <is>
          <t>TB</t>
        </is>
      </c>
      <c r="I535" s="4" t="n"/>
      <c r="J535" s="4" t="inlineStr">
        <is>
          <t>Tổng doanh thu CTQLQ=∑Doanh thu của từng coˆng ty quản lyˊ​ quy˜​</t>
        </is>
      </c>
      <c r="K535" s="4" t="inlineStr">
        <is>
          <t>DL từ nguồn BCTC</t>
        </is>
      </c>
    </row>
    <row r="536" ht="14" customHeight="1" s="380">
      <c r="B536" s="207" t="inlineStr">
        <is>
          <t>TK-04.BTC</t>
        </is>
      </c>
      <c r="C536" s="286" t="n"/>
      <c r="D536" s="286" t="inlineStr">
        <is>
          <t>Doanh thu của từng CT QLQ</t>
        </is>
      </c>
      <c r="F536" s="184" t="n"/>
      <c r="G536" s="4" t="inlineStr">
        <is>
          <t>Chỉ tiêu cơ sở</t>
        </is>
      </c>
      <c r="H536" s="4" t="inlineStr">
        <is>
          <t>TB</t>
        </is>
      </c>
      <c r="I536" s="4" t="n"/>
      <c r="J536" s="4" t="inlineStr">
        <is>
          <t>Phí quản lý quỹ (Fund Management Fee)
Phí quản lý danh mục đầu tư
Phí thưởng hiệu quả đầu tư (Performance Fee)
Phí tư vấn đầu tư
Doanh thu tài chính khác</t>
        </is>
      </c>
      <c r="K536" s="4" t="inlineStr">
        <is>
          <t>BCTC/Báo cáo kết quả hoạt động kinh doanh của các CT QLQ</t>
        </is>
      </c>
    </row>
    <row r="537" ht="14" customHeight="1" s="380">
      <c r="B537" s="207" t="inlineStr">
        <is>
          <t>TK-04.BTC</t>
        </is>
      </c>
      <c r="C537" s="286" t="n"/>
      <c r="D537" s="286" t="inlineStr">
        <is>
          <t>Danh mục CT QLQ</t>
        </is>
      </c>
      <c r="F537" s="184" t="inlineStr">
        <is>
          <t>Báo cáo</t>
        </is>
      </c>
      <c r="G537" s="22" t="inlineStr">
        <is>
          <t>Chiều</t>
        </is>
      </c>
      <c r="H537" s="22" t="n"/>
    </row>
    <row r="538" ht="14" customHeight="1" s="380">
      <c r="A538" s="183" t="n">
        <v>8</v>
      </c>
      <c r="B538" s="184" t="inlineStr">
        <is>
          <t>TK_NienGiam</t>
        </is>
      </c>
      <c r="C538" s="294" t="n"/>
      <c r="D538" s="352" t="inlineStr">
        <is>
          <t>Chỉ số VN-Index/ VN-Index</t>
        </is>
      </c>
      <c r="E538" s="184" t="n"/>
      <c r="F538" s="184" t="inlineStr">
        <is>
          <t>Báo cáo</t>
        </is>
      </c>
      <c r="G538" s="184" t="inlineStr">
        <is>
          <t>Chỉ tiêu cơ sở</t>
        </is>
      </c>
      <c r="H538" s="184" t="inlineStr">
        <is>
          <t>Trùng</t>
        </is>
      </c>
      <c r="I538" s="184" t="n"/>
      <c r="J538" s="184" t="n"/>
      <c r="K538" s="184" t="n"/>
      <c r="L538" s="184" t="n"/>
    </row>
    <row r="539" ht="14" customHeight="1" s="380">
      <c r="B539" s="4" t="inlineStr">
        <is>
          <t>TK_NienGiam</t>
        </is>
      </c>
      <c r="C539" s="296" t="n"/>
      <c r="D539" s="353" t="inlineStr">
        <is>
          <t>Chỉ số HNX-Index/ HNX-Index</t>
        </is>
      </c>
      <c r="F539" s="4" t="inlineStr">
        <is>
          <t>Báo cáo</t>
        </is>
      </c>
      <c r="G539" s="4" t="inlineStr">
        <is>
          <t>Chỉ tiêu cơ sở</t>
        </is>
      </c>
      <c r="H539" s="4" t="inlineStr">
        <is>
          <t>Trùng</t>
        </is>
      </c>
    </row>
    <row r="540" ht="14" customHeight="1" s="380">
      <c r="B540" s="4" t="inlineStr">
        <is>
          <t>TK_NienGiam</t>
        </is>
      </c>
      <c r="C540" s="296" t="n"/>
      <c r="D540" s="353" t="inlineStr">
        <is>
          <t>Tổng giá trị vốn hoá thị trường
 Total market capitalization</t>
        </is>
      </c>
      <c r="E540" s="4" t="inlineStr">
        <is>
          <t>Vốn hóa thị trường</t>
        </is>
      </c>
      <c r="F540" s="4" t="inlineStr">
        <is>
          <t>Báo cáo</t>
        </is>
      </c>
      <c r="G540" s="22" t="inlineStr">
        <is>
          <t>Chỉ tiêu phái sinh</t>
        </is>
      </c>
      <c r="H540" s="4" t="inlineStr">
        <is>
          <t>Dễ</t>
        </is>
      </c>
    </row>
    <row r="541" ht="14" customHeight="1" s="380">
      <c r="B541" s="4" t="inlineStr">
        <is>
          <t>TK_NienGiam</t>
        </is>
      </c>
      <c r="C541" s="298" t="n"/>
      <c r="D541" s="269" t="inlineStr">
        <is>
          <t>- SGDCK HCM - HCM STOCK EXCHANGE</t>
        </is>
      </c>
      <c r="F541" s="4" t="inlineStr">
        <is>
          <t>Báo cáo</t>
        </is>
      </c>
      <c r="G541" s="22" t="inlineStr">
        <is>
          <t>Chỉ tiêu phái sinh</t>
        </is>
      </c>
      <c r="H541" s="4" t="inlineStr">
        <is>
          <t>TB</t>
        </is>
      </c>
    </row>
    <row r="542" ht="14" customHeight="1" s="380">
      <c r="B542" s="4" t="inlineStr">
        <is>
          <t>TK_NienGiam</t>
        </is>
      </c>
      <c r="C542" s="298" t="n"/>
      <c r="D542" s="269" t="inlineStr">
        <is>
          <t>- SGDCK HN - HANOI STOCK EXCHANGE</t>
        </is>
      </c>
      <c r="F542" s="4" t="inlineStr">
        <is>
          <t>Báo cáo</t>
        </is>
      </c>
      <c r="G542" s="22" t="inlineStr">
        <is>
          <t>Chỉ tiêu phái sinh</t>
        </is>
      </c>
      <c r="H542" s="4" t="inlineStr">
        <is>
          <t>TB</t>
        </is>
      </c>
    </row>
    <row r="543" ht="14" customHeight="1" s="380">
      <c r="B543" s="4" t="inlineStr">
        <is>
          <t>TK_NienGiam</t>
        </is>
      </c>
      <c r="C543" s="299" t="n"/>
      <c r="D543" s="354" t="inlineStr">
        <is>
          <t>- Thị trường đăng ký giao dịch- UPCoM market</t>
        </is>
      </c>
      <c r="F543" s="4" t="inlineStr">
        <is>
          <t>Báo cáo</t>
        </is>
      </c>
      <c r="G543" s="22" t="inlineStr">
        <is>
          <t>Chỉ tiêu phái sinh</t>
        </is>
      </c>
      <c r="H543" s="4" t="inlineStr">
        <is>
          <t>TB</t>
        </is>
      </c>
    </row>
    <row r="544" ht="14" customHeight="1" s="380">
      <c r="B544" s="4" t="inlineStr">
        <is>
          <t>TK_NienGiam</t>
        </is>
      </c>
      <c r="C544" s="296" t="n"/>
      <c r="D544" s="353" t="inlineStr">
        <is>
          <t>Giá trị chứng khoán giao dịch
 Value of security trading</t>
        </is>
      </c>
      <c r="F544" s="4" t="inlineStr">
        <is>
          <t>Báo cáo</t>
        </is>
      </c>
      <c r="G544" s="22" t="inlineStr">
        <is>
          <t>Chỉ tiêu phái sinh</t>
        </is>
      </c>
      <c r="H544" s="4" t="inlineStr">
        <is>
          <t>TB</t>
        </is>
      </c>
    </row>
    <row r="545" ht="14" customHeight="1" s="380">
      <c r="B545" s="4" t="inlineStr">
        <is>
          <t>TK_NienGiam</t>
        </is>
      </c>
      <c r="C545" s="296" t="n"/>
      <c r="D545" s="353" t="inlineStr">
        <is>
          <t>Giá trị cổ phiếu giao dịch
 Value of share trading</t>
        </is>
      </c>
      <c r="F545" s="4" t="inlineStr">
        <is>
          <t>Báo cáo</t>
        </is>
      </c>
      <c r="G545" s="22" t="inlineStr">
        <is>
          <t>Chỉ tiêu phái sinh</t>
        </is>
      </c>
      <c r="H545" s="4" t="inlineStr">
        <is>
          <t>TB</t>
        </is>
      </c>
    </row>
    <row r="546" ht="14" customHeight="1" s="380">
      <c r="B546" s="4" t="inlineStr">
        <is>
          <t>TK_NienGiam</t>
        </is>
      </c>
      <c r="C546" s="298" t="n"/>
      <c r="D546" s="269" t="inlineStr">
        <is>
          <t>- SGDCK HCM - HCM STOCK EXCHANGE</t>
        </is>
      </c>
      <c r="F546" s="4" t="inlineStr">
        <is>
          <t>Báo cáo</t>
        </is>
      </c>
      <c r="G546" s="22" t="inlineStr">
        <is>
          <t>Chỉ tiêu phái sinh</t>
        </is>
      </c>
      <c r="H546" s="4" t="inlineStr">
        <is>
          <t>TB</t>
        </is>
      </c>
    </row>
    <row r="547" ht="14" customHeight="1" s="380">
      <c r="B547" s="4" t="inlineStr">
        <is>
          <t>TK_NienGiam</t>
        </is>
      </c>
      <c r="C547" s="298" t="n"/>
      <c r="D547" s="269" t="inlineStr">
        <is>
          <t>- SGDCK HN - HANOI STOCK EXCHANGE</t>
        </is>
      </c>
      <c r="F547" s="4" t="inlineStr">
        <is>
          <t>Báo cáo</t>
        </is>
      </c>
      <c r="G547" s="22" t="inlineStr">
        <is>
          <t>Chỉ tiêu phái sinh</t>
        </is>
      </c>
      <c r="H547" s="4" t="inlineStr">
        <is>
          <t>TB</t>
        </is>
      </c>
    </row>
    <row r="548" ht="14" customHeight="1" s="380">
      <c r="B548" s="4" t="inlineStr">
        <is>
          <t>TK_NienGiam</t>
        </is>
      </c>
      <c r="C548" s="299" t="n"/>
      <c r="D548" s="354" t="inlineStr">
        <is>
          <t>- Thị trường đăng ký giao dịch- UPCoM</t>
        </is>
      </c>
      <c r="F548" s="4" t="inlineStr">
        <is>
          <t>Báo cáo</t>
        </is>
      </c>
      <c r="G548" s="22" t="inlineStr">
        <is>
          <t>Chỉ tiêu phái sinh</t>
        </is>
      </c>
      <c r="H548" s="4" t="inlineStr">
        <is>
          <t>TB</t>
        </is>
      </c>
    </row>
    <row r="549" ht="14" customHeight="1" s="380">
      <c r="B549" s="4" t="inlineStr">
        <is>
          <t>TK_NienGiam</t>
        </is>
      </c>
      <c r="C549" s="296" t="n"/>
      <c r="D549" s="353" t="inlineStr">
        <is>
          <t>Giá trị trái phiếu giao dịch
 Value of bond trading</t>
        </is>
      </c>
      <c r="F549" s="4" t="inlineStr">
        <is>
          <t>Báo cáo</t>
        </is>
      </c>
      <c r="G549" s="22" t="inlineStr">
        <is>
          <t>Chỉ tiêu phái sinh</t>
        </is>
      </c>
      <c r="H549" s="4" t="inlineStr">
        <is>
          <t>TB</t>
        </is>
      </c>
    </row>
    <row r="550" ht="14" customHeight="1" s="380">
      <c r="B550" s="4" t="inlineStr">
        <is>
          <t>TK_NienGiam</t>
        </is>
      </c>
      <c r="C550" s="298" t="n"/>
      <c r="D550" s="269" t="inlineStr">
        <is>
          <t>- SGDCK HCM - HCM STOCK EXCHANGE</t>
        </is>
      </c>
      <c r="F550" s="4" t="inlineStr">
        <is>
          <t>Báo cáo</t>
        </is>
      </c>
      <c r="G550" s="22" t="inlineStr">
        <is>
          <t>Chỉ tiêu phái sinh</t>
        </is>
      </c>
      <c r="H550" s="4" t="inlineStr">
        <is>
          <t>TB</t>
        </is>
      </c>
    </row>
    <row r="551" ht="14" customHeight="1" s="380">
      <c r="B551" s="4" t="inlineStr">
        <is>
          <t>TK_NienGiam</t>
        </is>
      </c>
      <c r="C551" s="299" t="n"/>
      <c r="D551" s="354" t="inlineStr">
        <is>
          <t>- SGDCK Hà Nội - HN STOCK EXCHANGE</t>
        </is>
      </c>
      <c r="F551" s="4" t="inlineStr">
        <is>
          <t>Báo cáo</t>
        </is>
      </c>
      <c r="G551" s="22" t="inlineStr">
        <is>
          <t>Chỉ tiêu phái sinh</t>
        </is>
      </c>
      <c r="H551" s="4" t="inlineStr">
        <is>
          <t>TB</t>
        </is>
      </c>
    </row>
    <row r="552" ht="14" customHeight="1" s="380">
      <c r="B552" s="4" t="inlineStr">
        <is>
          <t>TK_NienGiam</t>
        </is>
      </c>
      <c r="C552" s="299" t="n"/>
      <c r="D552" s="355" t="inlineStr">
        <is>
          <t>+ Cổ phiếu</t>
        </is>
      </c>
      <c r="E552" s="4" t="inlineStr">
        <is>
          <t>CP</t>
        </is>
      </c>
      <c r="F552" s="4" t="inlineStr">
        <is>
          <t>Báo cáo</t>
        </is>
      </c>
      <c r="G552" s="22" t="inlineStr">
        <is>
          <t>Chỉ tiêu phái sinh</t>
        </is>
      </c>
      <c r="H552" s="4" t="inlineStr">
        <is>
          <t>TB</t>
        </is>
      </c>
    </row>
    <row r="553" ht="14" customHeight="1" s="380">
      <c r="B553" s="4" t="inlineStr">
        <is>
          <t>TK_NienGiam</t>
        </is>
      </c>
      <c r="C553" s="277" t="n"/>
      <c r="D553" s="350" t="inlineStr">
        <is>
          <t>+ Trái phiếu DN NY</t>
        </is>
      </c>
      <c r="E553" s="4" t="inlineStr">
        <is>
          <t>TPDN niêm yết</t>
        </is>
      </c>
      <c r="F553" s="4" t="inlineStr">
        <is>
          <t>Báo cáo</t>
        </is>
      </c>
      <c r="G553" s="22" t="inlineStr">
        <is>
          <t>Chỉ tiêu phái sinh</t>
        </is>
      </c>
      <c r="H553" s="4" t="inlineStr">
        <is>
          <t>TB</t>
        </is>
      </c>
    </row>
    <row r="554" ht="14" customHeight="1" s="380">
      <c r="B554" s="4" t="inlineStr">
        <is>
          <t>TK_NienGiam</t>
        </is>
      </c>
      <c r="C554" s="277" t="n"/>
      <c r="D554" s="350" t="inlineStr">
        <is>
          <t>+ Trái phiếu DN riêng lẻ</t>
        </is>
      </c>
      <c r="E554" s="4" t="inlineStr">
        <is>
          <t>TPDN riêng lẻ</t>
        </is>
      </c>
      <c r="F554" s="4" t="inlineStr">
        <is>
          <t>Báo cáo</t>
        </is>
      </c>
      <c r="G554" s="22" t="inlineStr">
        <is>
          <t>Chỉ tiêu phái sinh</t>
        </is>
      </c>
      <c r="H554" s="4" t="inlineStr">
        <is>
          <t>TB</t>
        </is>
      </c>
    </row>
    <row r="555" ht="14" customHeight="1" s="380">
      <c r="B555" s="4" t="inlineStr">
        <is>
          <t>TK_NienGiam</t>
        </is>
      </c>
      <c r="C555" s="296" t="n"/>
      <c r="D555" s="353" t="inlineStr">
        <is>
          <t>Giá trị chứng chỉ quỹ giao dịch
 Value of fund certificate trading</t>
        </is>
      </c>
      <c r="F555" s="4" t="inlineStr">
        <is>
          <t>Báo cáo</t>
        </is>
      </c>
      <c r="G555" s="22" t="inlineStr">
        <is>
          <t>Chỉ tiêu phái sinh</t>
        </is>
      </c>
      <c r="H555" s="4" t="inlineStr">
        <is>
          <t>TB</t>
        </is>
      </c>
    </row>
    <row r="556" ht="14" customHeight="1" s="380">
      <c r="B556" s="4" t="inlineStr">
        <is>
          <t>TK_NienGiam</t>
        </is>
      </c>
      <c r="C556" s="298" t="n"/>
      <c r="D556" s="269" t="inlineStr">
        <is>
          <t>- SGDCK HCM - HCM STOCK EXCHANGE</t>
        </is>
      </c>
      <c r="F556" s="4" t="inlineStr">
        <is>
          <t>Báo cáo</t>
        </is>
      </c>
      <c r="G556" s="22" t="inlineStr">
        <is>
          <t>Chỉ tiêu phái sinh</t>
        </is>
      </c>
      <c r="H556" s="4" t="inlineStr">
        <is>
          <t>TB</t>
        </is>
      </c>
    </row>
    <row r="557" ht="14" customHeight="1" s="380">
      <c r="B557" s="4" t="inlineStr">
        <is>
          <t>TK_NienGiam</t>
        </is>
      </c>
      <c r="C557" s="298" t="n"/>
      <c r="D557" s="269" t="inlineStr">
        <is>
          <t>- SGDCK HN - HANOI STOCK EXCHANGE</t>
        </is>
      </c>
      <c r="F557" s="4" t="inlineStr">
        <is>
          <t>Báo cáo</t>
        </is>
      </c>
      <c r="G557" s="22" t="inlineStr">
        <is>
          <t>Chỉ tiêu phái sinh</t>
        </is>
      </c>
      <c r="H557" s="4" t="inlineStr">
        <is>
          <t>TB</t>
        </is>
      </c>
    </row>
    <row r="558" ht="14" customHeight="1" s="380">
      <c r="B558" s="4" t="inlineStr">
        <is>
          <t>TK_NienGiam</t>
        </is>
      </c>
      <c r="C558" s="296" t="n"/>
      <c r="D558" s="353" t="inlineStr">
        <is>
          <t>Khối lượng chứng khoán giao dịch 
 Volume of securitiy trading</t>
        </is>
      </c>
      <c r="F558" s="4" t="inlineStr">
        <is>
          <t>Báo cáo</t>
        </is>
      </c>
      <c r="G558" s="22" t="inlineStr">
        <is>
          <t>Chỉ tiêu phái sinh</t>
        </is>
      </c>
      <c r="H558" s="4" t="inlineStr">
        <is>
          <t>TB</t>
        </is>
      </c>
    </row>
    <row r="559" ht="14" customHeight="1" s="380">
      <c r="B559" s="4" t="inlineStr">
        <is>
          <t>TK_NienGiam</t>
        </is>
      </c>
      <c r="C559" s="296" t="n"/>
      <c r="D559" s="353" t="inlineStr">
        <is>
          <t>Khối lượng cổ phiếu giao dịch
 Volume of share trading</t>
        </is>
      </c>
      <c r="F559" s="4" t="inlineStr">
        <is>
          <t>Báo cáo</t>
        </is>
      </c>
      <c r="G559" s="22" t="inlineStr">
        <is>
          <t>Chỉ tiêu phái sinh</t>
        </is>
      </c>
      <c r="H559" s="4" t="inlineStr">
        <is>
          <t>TB</t>
        </is>
      </c>
    </row>
    <row r="560" ht="14" customHeight="1" s="380">
      <c r="B560" s="4" t="inlineStr">
        <is>
          <t>TK_NienGiam</t>
        </is>
      </c>
      <c r="C560" s="298" t="n"/>
      <c r="D560" s="269" t="inlineStr">
        <is>
          <t>- SGDCK HCM - HCM STOCK EXCHANGE</t>
        </is>
      </c>
      <c r="F560" s="4" t="inlineStr">
        <is>
          <t>Báo cáo</t>
        </is>
      </c>
      <c r="G560" s="22" t="inlineStr">
        <is>
          <t>Chỉ tiêu phái sinh</t>
        </is>
      </c>
      <c r="H560" s="4" t="inlineStr">
        <is>
          <t>TB</t>
        </is>
      </c>
    </row>
    <row r="561" ht="14" customHeight="1" s="380">
      <c r="B561" s="4" t="inlineStr">
        <is>
          <t>TK_NienGiam</t>
        </is>
      </c>
      <c r="C561" s="298" t="n"/>
      <c r="D561" s="269" t="inlineStr">
        <is>
          <t>- SGDCK HN - HANOI STOCK EXCHANGE</t>
        </is>
      </c>
      <c r="F561" s="4" t="inlineStr">
        <is>
          <t>Báo cáo</t>
        </is>
      </c>
      <c r="G561" s="22" t="inlineStr">
        <is>
          <t>Chỉ tiêu phái sinh</t>
        </is>
      </c>
      <c r="H561" s="4" t="inlineStr">
        <is>
          <t>TB</t>
        </is>
      </c>
    </row>
    <row r="562" ht="14" customHeight="1" s="380">
      <c r="B562" s="4" t="inlineStr">
        <is>
          <t>TK_NienGiam</t>
        </is>
      </c>
      <c r="C562" s="299" t="n"/>
      <c r="D562" s="354" t="inlineStr">
        <is>
          <t>- Thị trường đăng ký giao dịch- UPCoM</t>
        </is>
      </c>
      <c r="F562" s="4" t="inlineStr">
        <is>
          <t>Báo cáo</t>
        </is>
      </c>
      <c r="G562" s="22" t="inlineStr">
        <is>
          <t>Chỉ tiêu phái sinh</t>
        </is>
      </c>
      <c r="H562" s="4" t="inlineStr">
        <is>
          <t>TB</t>
        </is>
      </c>
    </row>
    <row r="563" ht="14" customHeight="1" s="380">
      <c r="B563" s="4" t="inlineStr">
        <is>
          <t>TK_NienGiam</t>
        </is>
      </c>
      <c r="C563" s="296" t="n"/>
      <c r="D563" s="353" t="inlineStr">
        <is>
          <t>Khối lượng trái phiếu giao dịch
 Volume of bond trading</t>
        </is>
      </c>
      <c r="F563" s="4" t="inlineStr">
        <is>
          <t>Báo cáo</t>
        </is>
      </c>
      <c r="G563" s="22" t="inlineStr">
        <is>
          <t>Chỉ tiêu phái sinh</t>
        </is>
      </c>
      <c r="H563" s="4" t="inlineStr">
        <is>
          <t>TB</t>
        </is>
      </c>
    </row>
    <row r="564" ht="14" customHeight="1" s="380">
      <c r="B564" s="4" t="inlineStr">
        <is>
          <t>TK_NienGiam</t>
        </is>
      </c>
      <c r="C564" s="298" t="n"/>
      <c r="D564" s="269" t="inlineStr">
        <is>
          <t>- SGDCK HCM - HCM STOCK EXCHANGE</t>
        </is>
      </c>
      <c r="F564" s="4" t="inlineStr">
        <is>
          <t>Báo cáo</t>
        </is>
      </c>
      <c r="G564" s="22" t="inlineStr">
        <is>
          <t>Chỉ tiêu phái sinh</t>
        </is>
      </c>
      <c r="H564" s="4" t="inlineStr">
        <is>
          <t>TB</t>
        </is>
      </c>
    </row>
    <row r="565" ht="14" customHeight="1" s="380">
      <c r="B565" s="4" t="inlineStr">
        <is>
          <t>TK_NienGiam</t>
        </is>
      </c>
      <c r="C565" s="298" t="n"/>
      <c r="D565" s="269" t="inlineStr">
        <is>
          <t>- SGDCK HN - HANOI STOCK EXCHANGE</t>
        </is>
      </c>
      <c r="F565" s="4" t="inlineStr">
        <is>
          <t>Báo cáo</t>
        </is>
      </c>
      <c r="G565" s="22" t="inlineStr">
        <is>
          <t>Chỉ tiêu phái sinh</t>
        </is>
      </c>
      <c r="H565" s="4" t="inlineStr">
        <is>
          <t>TB</t>
        </is>
      </c>
    </row>
    <row r="566" ht="14" customHeight="1" s="380">
      <c r="B566" s="4" t="inlineStr">
        <is>
          <t>TK_NienGiam</t>
        </is>
      </c>
      <c r="C566" s="299" t="n"/>
      <c r="D566" s="355" t="inlineStr">
        <is>
          <t>+ Cổ phiếu</t>
        </is>
      </c>
      <c r="F566" s="4" t="inlineStr">
        <is>
          <t>Báo cáo</t>
        </is>
      </c>
      <c r="G566" s="22" t="inlineStr">
        <is>
          <t>Chỉ tiêu phái sinh</t>
        </is>
      </c>
      <c r="H566" s="4" t="inlineStr">
        <is>
          <t>TB</t>
        </is>
      </c>
    </row>
    <row r="567" ht="14" customHeight="1" s="380">
      <c r="B567" s="4" t="inlineStr">
        <is>
          <t>TK_NienGiam</t>
        </is>
      </c>
      <c r="C567" s="277" t="n"/>
      <c r="D567" s="350" t="inlineStr">
        <is>
          <t>+ Trái phiếu DN NY</t>
        </is>
      </c>
      <c r="F567" s="4" t="inlineStr">
        <is>
          <t>Báo cáo</t>
        </is>
      </c>
      <c r="G567" s="22" t="inlineStr">
        <is>
          <t>Chỉ tiêu phái sinh</t>
        </is>
      </c>
      <c r="H567" s="4" t="inlineStr">
        <is>
          <t>TB</t>
        </is>
      </c>
    </row>
    <row r="568" ht="14" customHeight="1" s="380">
      <c r="B568" s="4" t="inlineStr">
        <is>
          <t>TK_NienGiam</t>
        </is>
      </c>
      <c r="C568" s="277" t="n"/>
      <c r="D568" s="350" t="inlineStr">
        <is>
          <t>+ Trái phiếu DN riêng lẻ</t>
        </is>
      </c>
      <c r="F568" s="4" t="inlineStr">
        <is>
          <t>Báo cáo</t>
        </is>
      </c>
      <c r="G568" s="22" t="inlineStr">
        <is>
          <t>Chỉ tiêu phái sinh</t>
        </is>
      </c>
      <c r="H568" s="4" t="inlineStr">
        <is>
          <t>TB</t>
        </is>
      </c>
    </row>
    <row r="569" ht="14" customHeight="1" s="380">
      <c r="B569" s="4" t="inlineStr">
        <is>
          <t>TK_NienGiam</t>
        </is>
      </c>
      <c r="C569" s="296" t="n"/>
      <c r="D569" s="353" t="inlineStr">
        <is>
          <t>Khối lượng chứng chỉ quỹ giao dịch
 Volume of fund certificate trading</t>
        </is>
      </c>
      <c r="F569" s="4" t="inlineStr">
        <is>
          <t>Báo cáo</t>
        </is>
      </c>
      <c r="G569" s="22" t="inlineStr">
        <is>
          <t>Chỉ tiêu phái sinh</t>
        </is>
      </c>
      <c r="H569" s="4" t="inlineStr">
        <is>
          <t>TB</t>
        </is>
      </c>
    </row>
    <row r="570" ht="14" customHeight="1" s="380">
      <c r="B570" s="4" t="inlineStr">
        <is>
          <t>TK_NienGiam</t>
        </is>
      </c>
      <c r="C570" s="298" t="n"/>
      <c r="D570" s="269" t="inlineStr">
        <is>
          <t>- SGDCK HCM - HCM STOCK EXCHANGE</t>
        </is>
      </c>
      <c r="F570" s="4" t="inlineStr">
        <is>
          <t>Báo cáo</t>
        </is>
      </c>
      <c r="G570" s="22" t="inlineStr">
        <is>
          <t>Chỉ tiêu phái sinh</t>
        </is>
      </c>
      <c r="H570" s="4" t="inlineStr">
        <is>
          <t>TB</t>
        </is>
      </c>
    </row>
    <row r="571" ht="14" customHeight="1" s="380">
      <c r="B571" s="4" t="inlineStr">
        <is>
          <t>TK_NienGiam</t>
        </is>
      </c>
      <c r="C571" s="298" t="n"/>
      <c r="D571" s="269" t="inlineStr">
        <is>
          <t>- SGDCK HN - HANOI STOCK EXCHANGE</t>
        </is>
      </c>
      <c r="F571" s="4" t="inlineStr">
        <is>
          <t>Báo cáo</t>
        </is>
      </c>
      <c r="G571" s="22" t="inlineStr">
        <is>
          <t>Chỉ tiêu phái sinh</t>
        </is>
      </c>
      <c r="H571" s="4" t="inlineStr">
        <is>
          <t>TB</t>
        </is>
      </c>
    </row>
    <row r="572" ht="14" customHeight="1" s="380">
      <c r="B572" s="4" t="inlineStr">
        <is>
          <t>TK_NienGiam</t>
        </is>
      </c>
      <c r="C572" s="296" t="n"/>
      <c r="D572" s="353" t="inlineStr">
        <is>
          <t>Khối lượng chứng khoán niêm yết 
 Volume of listed securities</t>
        </is>
      </c>
      <c r="F572" s="4" t="inlineStr">
        <is>
          <t>Báo cáo</t>
        </is>
      </c>
      <c r="G572" s="22" t="inlineStr">
        <is>
          <t>Chỉ tiêu phái sinh</t>
        </is>
      </c>
      <c r="H572" s="4" t="inlineStr">
        <is>
          <t>TB</t>
        </is>
      </c>
    </row>
    <row r="573" ht="14" customHeight="1" s="380">
      <c r="B573" s="4" t="inlineStr">
        <is>
          <t>TK_NienGiam</t>
        </is>
      </c>
      <c r="C573" s="296" t="n"/>
      <c r="D573" s="353" t="inlineStr">
        <is>
          <t>Khối lượng cổ phiếu niêm yết
 Volume of listed shares</t>
        </is>
      </c>
      <c r="F573" s="4" t="inlineStr">
        <is>
          <t>Báo cáo</t>
        </is>
      </c>
      <c r="G573" s="22" t="inlineStr">
        <is>
          <t>Chỉ tiêu phái sinh</t>
        </is>
      </c>
      <c r="H573" s="4" t="inlineStr">
        <is>
          <t>TB</t>
        </is>
      </c>
    </row>
    <row r="574" ht="14" customHeight="1" s="380">
      <c r="B574" s="4" t="inlineStr">
        <is>
          <t>TK_NienGiam</t>
        </is>
      </c>
      <c r="C574" s="298" t="n"/>
      <c r="D574" s="269" t="inlineStr">
        <is>
          <t>- SGDCK HCM - HCM STOCK EXCHANGE</t>
        </is>
      </c>
      <c r="F574" s="4" t="inlineStr">
        <is>
          <t>Báo cáo</t>
        </is>
      </c>
      <c r="G574" s="22" t="inlineStr">
        <is>
          <t>Chỉ tiêu phái sinh</t>
        </is>
      </c>
      <c r="H574" s="4" t="inlineStr">
        <is>
          <t>TB</t>
        </is>
      </c>
    </row>
    <row r="575" ht="14" customHeight="1" s="380">
      <c r="B575" s="4" t="inlineStr">
        <is>
          <t>TK_NienGiam</t>
        </is>
      </c>
      <c r="C575" s="298" t="n"/>
      <c r="D575" s="269" t="inlineStr">
        <is>
          <t>- SGDCK HN - HANOI STOCK EXCHANGE</t>
        </is>
      </c>
      <c r="F575" s="4" t="inlineStr">
        <is>
          <t>Báo cáo</t>
        </is>
      </c>
      <c r="G575" s="22" t="inlineStr">
        <is>
          <t>Chỉ tiêu phái sinh</t>
        </is>
      </c>
      <c r="H575" s="4" t="inlineStr">
        <is>
          <t>TB</t>
        </is>
      </c>
    </row>
    <row r="576" ht="14" customHeight="1" s="380">
      <c r="B576" s="4" t="inlineStr">
        <is>
          <t>TK_NienGiam</t>
        </is>
      </c>
      <c r="C576" s="296" t="n"/>
      <c r="D576" s="353" t="inlineStr">
        <is>
          <t>Khối lượng trái phiếu niêm yết/đăng ký giao dịch
 Volume of listed bonds</t>
        </is>
      </c>
      <c r="F576" s="4" t="inlineStr">
        <is>
          <t>Báo cáo</t>
        </is>
      </c>
      <c r="G576" s="22" t="inlineStr">
        <is>
          <t>Chỉ tiêu phái sinh</t>
        </is>
      </c>
      <c r="H576" s="4" t="inlineStr">
        <is>
          <t>TB</t>
        </is>
      </c>
    </row>
    <row r="577" ht="14" customHeight="1" s="380">
      <c r="B577" s="4" t="inlineStr">
        <is>
          <t>TK_NienGiam</t>
        </is>
      </c>
      <c r="C577" s="298" t="n"/>
      <c r="D577" s="269" t="inlineStr">
        <is>
          <t>- SGDCK HCM - HCM STOCK EXCHANGE</t>
        </is>
      </c>
      <c r="F577" s="4" t="inlineStr">
        <is>
          <t>Báo cáo</t>
        </is>
      </c>
      <c r="G577" s="22" t="inlineStr">
        <is>
          <t>Chỉ tiêu phái sinh</t>
        </is>
      </c>
      <c r="H577" s="4" t="inlineStr">
        <is>
          <t>TB</t>
        </is>
      </c>
    </row>
    <row r="578" ht="14" customHeight="1" s="380">
      <c r="B578" s="4" t="inlineStr">
        <is>
          <t>TK_NienGiam</t>
        </is>
      </c>
      <c r="C578" s="298" t="n"/>
      <c r="D578" s="269" t="inlineStr">
        <is>
          <t>- SGDCK HN - HANOI STOCK EXCHANGE</t>
        </is>
      </c>
      <c r="F578" s="4" t="inlineStr">
        <is>
          <t>Báo cáo</t>
        </is>
      </c>
      <c r="G578" s="22" t="inlineStr">
        <is>
          <t>Chỉ tiêu phái sinh</t>
        </is>
      </c>
      <c r="H578" s="4" t="inlineStr">
        <is>
          <t>TB</t>
        </is>
      </c>
    </row>
    <row r="579" ht="14" customHeight="1" s="380">
      <c r="B579" s="4" t="inlineStr">
        <is>
          <t>TK_NienGiam</t>
        </is>
      </c>
      <c r="C579" s="299" t="n"/>
      <c r="D579" s="355" t="inlineStr">
        <is>
          <t>+ Cổ phiếu</t>
        </is>
      </c>
      <c r="F579" s="4" t="inlineStr">
        <is>
          <t>Báo cáo</t>
        </is>
      </c>
      <c r="G579" s="22" t="inlineStr">
        <is>
          <t>Chỉ tiêu phái sinh</t>
        </is>
      </c>
      <c r="H579" s="4" t="inlineStr">
        <is>
          <t>TB</t>
        </is>
      </c>
    </row>
    <row r="580" ht="14" customHeight="1" s="380">
      <c r="B580" s="4" t="inlineStr">
        <is>
          <t>TK_NienGiam</t>
        </is>
      </c>
      <c r="C580" s="277" t="n"/>
      <c r="D580" s="350" t="inlineStr">
        <is>
          <t>+ Trái phiếu DN NY</t>
        </is>
      </c>
      <c r="F580" s="4" t="inlineStr">
        <is>
          <t>Báo cáo</t>
        </is>
      </c>
      <c r="G580" s="22" t="inlineStr">
        <is>
          <t>Chỉ tiêu phái sinh</t>
        </is>
      </c>
      <c r="H580" s="4" t="inlineStr">
        <is>
          <t>TB</t>
        </is>
      </c>
    </row>
    <row r="581" ht="14" customHeight="1" s="380">
      <c r="B581" s="4" t="inlineStr">
        <is>
          <t>TK_NienGiam</t>
        </is>
      </c>
      <c r="C581" s="277" t="n"/>
      <c r="D581" s="350" t="inlineStr">
        <is>
          <t>+ Trái phiếu DN riêng lẻ</t>
        </is>
      </c>
      <c r="F581" s="4" t="inlineStr">
        <is>
          <t>Báo cáo</t>
        </is>
      </c>
      <c r="G581" s="22" t="inlineStr">
        <is>
          <t>Chỉ tiêu phái sinh</t>
        </is>
      </c>
      <c r="H581" s="4" t="inlineStr">
        <is>
          <t>TB</t>
        </is>
      </c>
    </row>
    <row r="582" ht="14" customHeight="1" s="380">
      <c r="B582" s="4" t="inlineStr">
        <is>
          <t>TK_NienGiam</t>
        </is>
      </c>
      <c r="C582" s="296" t="n"/>
      <c r="D582" s="353" t="inlineStr">
        <is>
          <t>Khối lượng chứng chỉ quỹ niêm yết
 Volume of listed fund certificates</t>
        </is>
      </c>
      <c r="F582" s="4" t="inlineStr">
        <is>
          <t>Báo cáo</t>
        </is>
      </c>
      <c r="G582" s="22" t="inlineStr">
        <is>
          <t>Chỉ tiêu phái sinh</t>
        </is>
      </c>
      <c r="H582" s="4" t="inlineStr">
        <is>
          <t>TB</t>
        </is>
      </c>
    </row>
    <row r="583" ht="14" customHeight="1" s="380">
      <c r="B583" s="4" t="inlineStr">
        <is>
          <t>TK_NienGiam</t>
        </is>
      </c>
      <c r="C583" s="298" t="n"/>
      <c r="D583" s="269" t="inlineStr">
        <is>
          <t>- SGDCK HCM - HCM STOCK EXCHANGE</t>
        </is>
      </c>
      <c r="F583" s="4" t="inlineStr">
        <is>
          <t>Báo cáo</t>
        </is>
      </c>
      <c r="G583" s="22" t="inlineStr">
        <is>
          <t>Chỉ tiêu phái sinh</t>
        </is>
      </c>
      <c r="H583" s="4" t="inlineStr">
        <is>
          <t>TB</t>
        </is>
      </c>
    </row>
    <row r="584" ht="14" customHeight="1" s="380">
      <c r="B584" s="4" t="inlineStr">
        <is>
          <t>TK_NienGiam</t>
        </is>
      </c>
      <c r="C584" s="298" t="n"/>
      <c r="D584" s="269" t="inlineStr">
        <is>
          <t>- SGDCK HN - HANOI STOCK EXCHANGE</t>
        </is>
      </c>
      <c r="F584" s="4" t="inlineStr">
        <is>
          <t>Báo cáo</t>
        </is>
      </c>
      <c r="G584" s="22" t="inlineStr">
        <is>
          <t>Chỉ tiêu phái sinh</t>
        </is>
      </c>
      <c r="H584" s="4" t="inlineStr">
        <is>
          <t>TB</t>
        </is>
      </c>
    </row>
    <row r="585" ht="14" customHeight="1" s="380">
      <c r="B585" s="4" t="inlineStr">
        <is>
          <t>TK_NienGiam</t>
        </is>
      </c>
      <c r="C585" s="296" t="n"/>
      <c r="D585" s="353" t="inlineStr">
        <is>
          <t>Giá trị chứng khoán niêm yết
 Value of listed securities</t>
        </is>
      </c>
      <c r="F585" s="4" t="inlineStr">
        <is>
          <t>Báo cáo</t>
        </is>
      </c>
      <c r="G585" s="22" t="inlineStr">
        <is>
          <t>Chỉ tiêu phái sinh</t>
        </is>
      </c>
      <c r="H585" s="4" t="inlineStr">
        <is>
          <t>TB</t>
        </is>
      </c>
    </row>
    <row r="586" ht="14" customHeight="1" s="380">
      <c r="B586" s="4" t="inlineStr">
        <is>
          <t>TK_NienGiam</t>
        </is>
      </c>
      <c r="C586" s="296" t="n"/>
      <c r="D586" s="353" t="inlineStr">
        <is>
          <t>Giá trị cổ phiếu niêm yết
 Value of listed shares</t>
        </is>
      </c>
      <c r="F586" s="4" t="inlineStr">
        <is>
          <t>Báo cáo</t>
        </is>
      </c>
      <c r="G586" s="22" t="inlineStr">
        <is>
          <t>Chỉ tiêu phái sinh</t>
        </is>
      </c>
      <c r="H586" s="4" t="inlineStr">
        <is>
          <t>TB</t>
        </is>
      </c>
    </row>
    <row r="587" ht="14" customHeight="1" s="380">
      <c r="B587" s="4" t="inlineStr">
        <is>
          <t>TK_NienGiam</t>
        </is>
      </c>
      <c r="C587" s="298" t="n"/>
      <c r="D587" s="269" t="inlineStr">
        <is>
          <t>- SGDCK HCM - HCM STOCK EXCHANGE</t>
        </is>
      </c>
      <c r="F587" s="4" t="inlineStr">
        <is>
          <t>Báo cáo</t>
        </is>
      </c>
      <c r="G587" s="22" t="inlineStr">
        <is>
          <t>Chỉ tiêu phái sinh</t>
        </is>
      </c>
      <c r="H587" s="4" t="inlineStr">
        <is>
          <t>TB</t>
        </is>
      </c>
    </row>
    <row r="588" ht="14" customHeight="1" s="380">
      <c r="B588" s="4" t="inlineStr">
        <is>
          <t>TK_NienGiam</t>
        </is>
      </c>
      <c r="C588" s="298" t="n"/>
      <c r="D588" s="269" t="inlineStr">
        <is>
          <t>- SGDCK HN - HANOI STOCK EXCHANGE</t>
        </is>
      </c>
      <c r="F588" s="4" t="inlineStr">
        <is>
          <t>Báo cáo</t>
        </is>
      </c>
      <c r="G588" s="22" t="inlineStr">
        <is>
          <t>Chỉ tiêu phái sinh</t>
        </is>
      </c>
      <c r="H588" s="4" t="inlineStr">
        <is>
          <t>TB</t>
        </is>
      </c>
    </row>
    <row r="589" ht="14" customHeight="1" s="380">
      <c r="B589" s="4" t="inlineStr">
        <is>
          <t>TK_NienGiam</t>
        </is>
      </c>
      <c r="C589" s="296" t="n"/>
      <c r="D589" s="353" t="inlineStr">
        <is>
          <t>Giá trị trái phiếu niêm yết, đăng ký giao dịch
 Value of listed bonds</t>
        </is>
      </c>
      <c r="F589" s="4" t="inlineStr">
        <is>
          <t>Báo cáo</t>
        </is>
      </c>
      <c r="G589" s="22" t="inlineStr">
        <is>
          <t>Chỉ tiêu phái sinh</t>
        </is>
      </c>
      <c r="H589" s="4" t="inlineStr">
        <is>
          <t>TB</t>
        </is>
      </c>
    </row>
    <row r="590" ht="14" customHeight="1" s="380">
      <c r="B590" s="4" t="inlineStr">
        <is>
          <t>TK_NienGiam</t>
        </is>
      </c>
      <c r="C590" s="298" t="n"/>
      <c r="D590" s="269" t="inlineStr">
        <is>
          <t>- SGDCK HCM - HCM STOCK EXCHANGE</t>
        </is>
      </c>
      <c r="F590" s="4" t="inlineStr">
        <is>
          <t>Báo cáo</t>
        </is>
      </c>
      <c r="G590" s="22" t="inlineStr">
        <is>
          <t>Chỉ tiêu phái sinh</t>
        </is>
      </c>
      <c r="H590" s="4" t="inlineStr">
        <is>
          <t>TB</t>
        </is>
      </c>
    </row>
    <row r="591" ht="14" customHeight="1" s="380">
      <c r="B591" s="4" t="inlineStr">
        <is>
          <t>TK_NienGiam</t>
        </is>
      </c>
      <c r="C591" s="298" t="n"/>
      <c r="D591" s="269" t="inlineStr">
        <is>
          <t>- SGDCK HN - HANOI STOCK EXCHANGE</t>
        </is>
      </c>
      <c r="F591" s="4" t="inlineStr">
        <is>
          <t>Báo cáo</t>
        </is>
      </c>
      <c r="G591" s="22" t="inlineStr">
        <is>
          <t>Chỉ tiêu phái sinh</t>
        </is>
      </c>
      <c r="H591" s="4" t="inlineStr">
        <is>
          <t>TB</t>
        </is>
      </c>
    </row>
    <row r="592" ht="14" customHeight="1" s="380">
      <c r="B592" s="4" t="inlineStr">
        <is>
          <t>TK_NienGiam</t>
        </is>
      </c>
      <c r="C592" s="299" t="n"/>
      <c r="D592" s="355" t="inlineStr">
        <is>
          <t>+ Cổ phiếu</t>
        </is>
      </c>
      <c r="F592" s="4" t="inlineStr">
        <is>
          <t>Báo cáo</t>
        </is>
      </c>
      <c r="G592" s="22" t="inlineStr">
        <is>
          <t>Chỉ tiêu phái sinh</t>
        </is>
      </c>
      <c r="H592" s="4" t="inlineStr">
        <is>
          <t>TB</t>
        </is>
      </c>
    </row>
    <row r="593" ht="14" customHeight="1" s="380">
      <c r="B593" s="4" t="inlineStr">
        <is>
          <t>TK_NienGiam</t>
        </is>
      </c>
      <c r="C593" s="277" t="n"/>
      <c r="D593" s="350" t="inlineStr">
        <is>
          <t>+ Trái phiếu DN NY</t>
        </is>
      </c>
      <c r="F593" s="4" t="inlineStr">
        <is>
          <t>Báo cáo</t>
        </is>
      </c>
      <c r="G593" s="22" t="inlineStr">
        <is>
          <t>Chỉ tiêu phái sinh</t>
        </is>
      </c>
      <c r="H593" s="4" t="inlineStr">
        <is>
          <t>TB</t>
        </is>
      </c>
    </row>
    <row r="594" ht="14" customHeight="1" s="380">
      <c r="B594" s="4" t="inlineStr">
        <is>
          <t>TK_NienGiam</t>
        </is>
      </c>
      <c r="C594" s="277" t="n"/>
      <c r="D594" s="350" t="inlineStr">
        <is>
          <t>+ Trái phiếu DN riêng lẻ</t>
        </is>
      </c>
      <c r="F594" s="4" t="inlineStr">
        <is>
          <t>Báo cáo</t>
        </is>
      </c>
      <c r="G594" s="22" t="inlineStr">
        <is>
          <t>Chỉ tiêu phái sinh</t>
        </is>
      </c>
      <c r="H594" s="4" t="inlineStr">
        <is>
          <t>TB</t>
        </is>
      </c>
    </row>
    <row r="595" ht="14" customHeight="1" s="380">
      <c r="B595" s="4" t="inlineStr">
        <is>
          <t>TK_NienGiam</t>
        </is>
      </c>
      <c r="C595" s="296" t="n"/>
      <c r="D595" s="353" t="inlineStr">
        <is>
          <t>Giá trị chứng chỉ quỹ niêm yết
 Value of listed fund certificates</t>
        </is>
      </c>
      <c r="F595" s="4" t="inlineStr">
        <is>
          <t>Báo cáo</t>
        </is>
      </c>
      <c r="G595" s="22" t="inlineStr">
        <is>
          <t>Chỉ tiêu phái sinh</t>
        </is>
      </c>
      <c r="H595" s="4" t="inlineStr">
        <is>
          <t>TB</t>
        </is>
      </c>
    </row>
    <row r="596" ht="14" customHeight="1" s="380">
      <c r="B596" s="4" t="inlineStr">
        <is>
          <t>TK_NienGiam</t>
        </is>
      </c>
      <c r="C596" s="298" t="n"/>
      <c r="D596" s="269" t="inlineStr">
        <is>
          <t>- SGDCK HCM - HCM STOCK EXCHANGE</t>
        </is>
      </c>
      <c r="F596" s="4" t="inlineStr">
        <is>
          <t>Báo cáo</t>
        </is>
      </c>
      <c r="G596" s="22" t="inlineStr">
        <is>
          <t>Chỉ tiêu phái sinh</t>
        </is>
      </c>
      <c r="H596" s="4" t="inlineStr">
        <is>
          <t>TB</t>
        </is>
      </c>
    </row>
    <row r="597" ht="14" customHeight="1" s="380">
      <c r="B597" s="4" t="inlineStr">
        <is>
          <t>TK_NienGiam</t>
        </is>
      </c>
      <c r="C597" s="298" t="n"/>
      <c r="D597" s="269" t="inlineStr">
        <is>
          <t>- SGDCK HN - HANOI STOCK EXCHANGE</t>
        </is>
      </c>
      <c r="F597" s="4" t="inlineStr">
        <is>
          <t>Báo cáo</t>
        </is>
      </c>
      <c r="G597" s="22" t="inlineStr">
        <is>
          <t>Chỉ tiêu phái sinh</t>
        </is>
      </c>
      <c r="H597" s="4" t="inlineStr">
        <is>
          <t>TB</t>
        </is>
      </c>
    </row>
    <row r="598" ht="14" customHeight="1" s="380">
      <c r="B598" s="4" t="inlineStr">
        <is>
          <t>TK_NienGiam</t>
        </is>
      </c>
      <c r="C598" s="302" t="n"/>
      <c r="D598" s="275" t="inlineStr">
        <is>
          <t>Khối lượng cổ phiếu đăng ký giao dịch
 Vollume of registered shares</t>
        </is>
      </c>
      <c r="F598" s="4" t="inlineStr">
        <is>
          <t>Báo cáo</t>
        </is>
      </c>
      <c r="G598" s="22" t="inlineStr">
        <is>
          <t>Chỉ tiêu phái sinh</t>
        </is>
      </c>
      <c r="H598" s="4" t="inlineStr">
        <is>
          <t>TB</t>
        </is>
      </c>
    </row>
    <row r="599" ht="14" customHeight="1" s="380">
      <c r="B599" s="4" t="inlineStr">
        <is>
          <t>TK_NienGiam</t>
        </is>
      </c>
      <c r="C599" s="302" t="n"/>
      <c r="D599" s="275" t="inlineStr">
        <is>
          <t>Giá trị cổ phiếu đăng ký giao dịch
 Vallue of registered shares</t>
        </is>
      </c>
      <c r="F599" s="4" t="inlineStr">
        <is>
          <t>Báo cáo</t>
        </is>
      </c>
      <c r="G599" s="22" t="inlineStr">
        <is>
          <t>Chỉ tiêu phái sinh</t>
        </is>
      </c>
      <c r="H599" s="4" t="inlineStr">
        <is>
          <t>TB</t>
        </is>
      </c>
    </row>
    <row r="600" ht="14" customHeight="1" s="380">
      <c r="B600" s="4" t="inlineStr">
        <is>
          <t>TK_NienGiam</t>
        </is>
      </c>
      <c r="C600" s="296" t="n"/>
      <c r="D600" s="353" t="inlineStr">
        <is>
          <t>Tổng số loại chứng khoán niêm yết
 Total number of listed securities</t>
        </is>
      </c>
      <c r="F600" s="4" t="inlineStr">
        <is>
          <t>Báo cáo</t>
        </is>
      </c>
      <c r="G600" s="22" t="inlineStr">
        <is>
          <t>Chỉ tiêu phái sinh</t>
        </is>
      </c>
      <c r="H600" s="4" t="inlineStr">
        <is>
          <t>TB</t>
        </is>
      </c>
    </row>
    <row r="601" ht="14" customHeight="1" s="380">
      <c r="B601" s="4" t="inlineStr">
        <is>
          <t>TK_NienGiam</t>
        </is>
      </c>
      <c r="C601" s="298" t="n"/>
      <c r="D601" s="269" t="inlineStr">
        <is>
          <t>- SGDCK HCM - HCM STOCK EXCHANGE</t>
        </is>
      </c>
      <c r="F601" s="4" t="inlineStr">
        <is>
          <t>Báo cáo</t>
        </is>
      </c>
      <c r="G601" s="22" t="inlineStr">
        <is>
          <t>Chỉ tiêu phái sinh</t>
        </is>
      </c>
      <c r="H601" s="4" t="inlineStr">
        <is>
          <t>TB</t>
        </is>
      </c>
    </row>
    <row r="602" ht="14" customHeight="1" s="380">
      <c r="B602" s="4" t="inlineStr">
        <is>
          <t>TK_NienGiam</t>
        </is>
      </c>
      <c r="C602" s="298" t="n"/>
      <c r="D602" s="269" t="inlineStr">
        <is>
          <t>- SGDCK HN - HANOI STOCK EXCHANGE</t>
        </is>
      </c>
      <c r="F602" s="4" t="inlineStr">
        <is>
          <t>Báo cáo</t>
        </is>
      </c>
      <c r="G602" s="22" t="inlineStr">
        <is>
          <t>Chỉ tiêu phái sinh</t>
        </is>
      </c>
      <c r="H602" s="4" t="inlineStr">
        <is>
          <t>TB</t>
        </is>
      </c>
    </row>
    <row r="603" ht="14" customHeight="1" s="380">
      <c r="B603" s="4" t="inlineStr">
        <is>
          <t>TK_NienGiam</t>
        </is>
      </c>
      <c r="C603" s="296" t="n"/>
      <c r="D603" s="353" t="inlineStr">
        <is>
          <t>Trái phiếu niêm yết/đăng ký giao dịch
 Number of listed bonds</t>
        </is>
      </c>
      <c r="F603" s="4" t="inlineStr">
        <is>
          <t>Báo cáo</t>
        </is>
      </c>
      <c r="G603" s="22" t="inlineStr">
        <is>
          <t>Chỉ tiêu phái sinh</t>
        </is>
      </c>
      <c r="H603" s="4" t="inlineStr">
        <is>
          <t>TB</t>
        </is>
      </c>
    </row>
    <row r="604" ht="14" customHeight="1" s="380">
      <c r="B604" s="4" t="inlineStr">
        <is>
          <t>TK_NienGiam</t>
        </is>
      </c>
      <c r="C604" s="298" t="n"/>
      <c r="D604" s="269" t="inlineStr">
        <is>
          <t>Trái phiếu Chính phủ
 Government bonds</t>
        </is>
      </c>
      <c r="F604" s="4" t="inlineStr">
        <is>
          <t>Báo cáo</t>
        </is>
      </c>
      <c r="G604" s="22" t="inlineStr">
        <is>
          <t>Chỉ tiêu phái sinh</t>
        </is>
      </c>
      <c r="H604" s="4" t="inlineStr">
        <is>
          <t>TB</t>
        </is>
      </c>
    </row>
    <row r="605" ht="14" customHeight="1" s="380">
      <c r="B605" s="4" t="inlineStr">
        <is>
          <t>TK_NienGiam</t>
        </is>
      </c>
      <c r="C605" s="298" t="n"/>
      <c r="D605" s="269" t="inlineStr">
        <is>
          <t>- SGDCK HCM - HCM STOCK EXCHANGE</t>
        </is>
      </c>
      <c r="F605" s="4" t="inlineStr">
        <is>
          <t>Báo cáo</t>
        </is>
      </c>
      <c r="G605" s="22" t="inlineStr">
        <is>
          <t>Chỉ tiêu phái sinh</t>
        </is>
      </c>
      <c r="H605" s="4" t="inlineStr">
        <is>
          <t>TB</t>
        </is>
      </c>
    </row>
    <row r="606" ht="14" customHeight="1" s="380">
      <c r="B606" s="4" t="inlineStr">
        <is>
          <t>TK_NienGiam</t>
        </is>
      </c>
      <c r="C606" s="298" t="n"/>
      <c r="D606" s="269" t="inlineStr">
        <is>
          <t>- SGDCK HN - HANOI STOCK EXCHANGE</t>
        </is>
      </c>
      <c r="F606" s="4" t="inlineStr">
        <is>
          <t>Báo cáo</t>
        </is>
      </c>
      <c r="G606" s="22" t="inlineStr">
        <is>
          <t>Chỉ tiêu phái sinh</t>
        </is>
      </c>
      <c r="H606" s="4" t="inlineStr">
        <is>
          <t>TB</t>
        </is>
      </c>
    </row>
    <row r="607" ht="14" customHeight="1" s="380">
      <c r="B607" s="4" t="inlineStr">
        <is>
          <t>TK_NienGiam</t>
        </is>
      </c>
      <c r="C607" s="298" t="n"/>
      <c r="D607" s="269" t="inlineStr">
        <is>
          <t>Trái phiếu Doanh nghiệp
 Corporate bonds</t>
        </is>
      </c>
      <c r="F607" s="4" t="inlineStr">
        <is>
          <t>Báo cáo</t>
        </is>
      </c>
      <c r="G607" s="22" t="inlineStr">
        <is>
          <t>Chỉ tiêu phái sinh</t>
        </is>
      </c>
      <c r="H607" s="4" t="inlineStr">
        <is>
          <t>TB</t>
        </is>
      </c>
    </row>
    <row r="608" ht="14" customHeight="1" s="380">
      <c r="B608" s="4" t="inlineStr">
        <is>
          <t>TK_NienGiam</t>
        </is>
      </c>
      <c r="C608" s="298" t="n"/>
      <c r="D608" s="269" t="inlineStr">
        <is>
          <t>- SGDCK HCM - HCM STOCK EXCHANGE</t>
        </is>
      </c>
      <c r="F608" s="4" t="inlineStr">
        <is>
          <t>Báo cáo</t>
        </is>
      </c>
      <c r="G608" s="22" t="inlineStr">
        <is>
          <t>Chỉ tiêu phái sinh</t>
        </is>
      </c>
      <c r="H608" s="4" t="inlineStr">
        <is>
          <t>TB</t>
        </is>
      </c>
    </row>
    <row r="609" ht="14" customHeight="1" s="380">
      <c r="B609" s="4" t="inlineStr">
        <is>
          <t>TK_NienGiam</t>
        </is>
      </c>
      <c r="C609" s="298" t="n"/>
      <c r="D609" s="269" t="inlineStr">
        <is>
          <t>- SGDCK HN - HANOI STOCK EXCHANGE</t>
        </is>
      </c>
      <c r="F609" s="4" t="inlineStr">
        <is>
          <t>Báo cáo</t>
        </is>
      </c>
      <c r="G609" s="22" t="inlineStr">
        <is>
          <t>Chỉ tiêu phái sinh</t>
        </is>
      </c>
      <c r="H609" s="4" t="inlineStr">
        <is>
          <t>TB</t>
        </is>
      </c>
    </row>
    <row r="610" ht="14" customHeight="1" s="380">
      <c r="B610" s="4" t="inlineStr">
        <is>
          <t>TK_NienGiam</t>
        </is>
      </c>
      <c r="C610" s="298" t="n"/>
      <c r="D610" s="269" t="inlineStr">
        <is>
          <t>Trái phiếu chính quyền địa phương
 Municipal bonds</t>
        </is>
      </c>
      <c r="F610" s="4" t="inlineStr">
        <is>
          <t>Báo cáo</t>
        </is>
      </c>
      <c r="G610" s="22" t="inlineStr">
        <is>
          <t>Chỉ tiêu phái sinh</t>
        </is>
      </c>
      <c r="H610" s="4" t="inlineStr">
        <is>
          <t>TB</t>
        </is>
      </c>
    </row>
    <row r="611" ht="14" customHeight="1" s="380">
      <c r="B611" s="4" t="inlineStr">
        <is>
          <t>TK_NienGiam</t>
        </is>
      </c>
      <c r="C611" s="298" t="n"/>
      <c r="D611" s="269" t="inlineStr">
        <is>
          <t>- SGDCK HCM - HCM STOCK EXCHANGE</t>
        </is>
      </c>
      <c r="F611" s="4" t="inlineStr">
        <is>
          <t>Báo cáo</t>
        </is>
      </c>
      <c r="G611" s="22" t="inlineStr">
        <is>
          <t>Chỉ tiêu phái sinh</t>
        </is>
      </c>
      <c r="H611" s="4" t="inlineStr">
        <is>
          <t>TB</t>
        </is>
      </c>
    </row>
    <row r="612" ht="14" customHeight="1" s="380">
      <c r="B612" s="4" t="inlineStr">
        <is>
          <t>TK_NienGiam</t>
        </is>
      </c>
      <c r="C612" s="298" t="n"/>
      <c r="D612" s="269" t="inlineStr">
        <is>
          <t>- SGDCK HN - HANOI STOCK EXCHANGE</t>
        </is>
      </c>
      <c r="F612" s="4" t="inlineStr">
        <is>
          <t>Báo cáo</t>
        </is>
      </c>
      <c r="G612" s="22" t="inlineStr">
        <is>
          <t>Chỉ tiêu phái sinh</t>
        </is>
      </c>
      <c r="H612" s="4" t="inlineStr">
        <is>
          <t>TB</t>
        </is>
      </c>
    </row>
    <row r="613" ht="14" customHeight="1" s="380">
      <c r="B613" s="4" t="inlineStr">
        <is>
          <t>TK_NienGiam</t>
        </is>
      </c>
      <c r="C613" s="298" t="n"/>
      <c r="D613" s="269" t="inlineStr">
        <is>
          <t>Trái phiếu doanh nghiệp riêng lẻ</t>
        </is>
      </c>
      <c r="F613" s="4" t="inlineStr">
        <is>
          <t>Báo cáo</t>
        </is>
      </c>
      <c r="G613" s="22" t="inlineStr">
        <is>
          <t>Chỉ tiêu phái sinh</t>
        </is>
      </c>
      <c r="H613" s="4" t="inlineStr">
        <is>
          <t>TB</t>
        </is>
      </c>
    </row>
    <row r="614" ht="14" customHeight="1" s="380">
      <c r="B614" s="4" t="inlineStr">
        <is>
          <t>TK_NienGiam</t>
        </is>
      </c>
      <c r="C614" s="296" t="n"/>
      <c r="D614" s="353" t="inlineStr">
        <is>
          <t>Cổ phiếu niêm yết
 Number of listed shares</t>
        </is>
      </c>
      <c r="F614" s="4" t="inlineStr">
        <is>
          <t>Báo cáo</t>
        </is>
      </c>
      <c r="G614" s="22" t="inlineStr">
        <is>
          <t>Chỉ tiêu phái sinh</t>
        </is>
      </c>
      <c r="H614" s="4" t="inlineStr">
        <is>
          <t>TB</t>
        </is>
      </c>
    </row>
    <row r="615" ht="14" customHeight="1" s="380">
      <c r="B615" s="4" t="inlineStr">
        <is>
          <t>TK_NienGiam</t>
        </is>
      </c>
      <c r="C615" s="298" t="n"/>
      <c r="D615" s="269" t="inlineStr">
        <is>
          <t>- SGDCK HCM - HCM STOCK EXCHANGE</t>
        </is>
      </c>
      <c r="F615" s="4" t="inlineStr">
        <is>
          <t>Báo cáo</t>
        </is>
      </c>
      <c r="G615" s="22" t="inlineStr">
        <is>
          <t>Chỉ tiêu phái sinh</t>
        </is>
      </c>
      <c r="H615" s="4" t="inlineStr">
        <is>
          <t>TB</t>
        </is>
      </c>
    </row>
    <row r="616" ht="14" customHeight="1" s="380">
      <c r="B616" s="4" t="inlineStr">
        <is>
          <t>TK_NienGiam</t>
        </is>
      </c>
      <c r="C616" s="298" t="n"/>
      <c r="D616" s="269" t="inlineStr">
        <is>
          <t>- SGDCK HN - HANOI STOCK EXCHANGE</t>
        </is>
      </c>
      <c r="F616" s="4" t="inlineStr">
        <is>
          <t>Báo cáo</t>
        </is>
      </c>
      <c r="G616" s="22" t="inlineStr">
        <is>
          <t>Chỉ tiêu phái sinh</t>
        </is>
      </c>
      <c r="H616" s="4" t="inlineStr">
        <is>
          <t>TB</t>
        </is>
      </c>
    </row>
    <row r="617" ht="14" customHeight="1" s="380">
      <c r="B617" s="4" t="inlineStr">
        <is>
          <t>TK_NienGiam</t>
        </is>
      </c>
      <c r="C617" s="296" t="n"/>
      <c r="D617" s="353" t="inlineStr">
        <is>
          <t>Chứng chỉ quỹ niêm yết
 Number of listed fund certificates</t>
        </is>
      </c>
      <c r="F617" s="4" t="inlineStr">
        <is>
          <t>Báo cáo</t>
        </is>
      </c>
      <c r="G617" s="22" t="inlineStr">
        <is>
          <t>Chỉ tiêu phái sinh</t>
        </is>
      </c>
      <c r="H617" s="4" t="inlineStr">
        <is>
          <t>TB</t>
        </is>
      </c>
    </row>
    <row r="618" ht="14" customHeight="1" s="380">
      <c r="B618" s="4" t="inlineStr">
        <is>
          <t>TK_NienGiam</t>
        </is>
      </c>
      <c r="C618" s="298" t="n"/>
      <c r="D618" s="269" t="inlineStr">
        <is>
          <t>- SGDCK HCM - HCM STOCK EXCHANGE</t>
        </is>
      </c>
      <c r="F618" s="4" t="inlineStr">
        <is>
          <t>Báo cáo</t>
        </is>
      </c>
      <c r="G618" s="22" t="inlineStr">
        <is>
          <t>Chỉ tiêu phái sinh</t>
        </is>
      </c>
      <c r="H618" s="4" t="inlineStr">
        <is>
          <t>TB</t>
        </is>
      </c>
    </row>
    <row r="619" ht="14" customHeight="1" s="380">
      <c r="B619" s="4" t="inlineStr">
        <is>
          <t>TK_NienGiam</t>
        </is>
      </c>
      <c r="C619" s="298" t="n"/>
      <c r="D619" s="269" t="inlineStr">
        <is>
          <t>- SGDCK HN - HANOI STOCK EXCHANGE</t>
        </is>
      </c>
      <c r="F619" s="4" t="inlineStr">
        <is>
          <t>Báo cáo</t>
        </is>
      </c>
      <c r="G619" s="22" t="inlineStr">
        <is>
          <t>Chỉ tiêu phái sinh</t>
        </is>
      </c>
      <c r="H619" s="4" t="inlineStr">
        <is>
          <t>TB</t>
        </is>
      </c>
    </row>
    <row r="620" ht="14" customHeight="1" s="380">
      <c r="B620" s="4" t="inlineStr">
        <is>
          <t>TK_NienGiam</t>
        </is>
      </c>
      <c r="C620" s="296" t="n"/>
      <c r="D620" s="353" t="inlineStr">
        <is>
          <t>Số phiên thực hiện giao dịch
 Number of trading sessions</t>
        </is>
      </c>
      <c r="F620" s="4" t="inlineStr">
        <is>
          <t>Báo cáo</t>
        </is>
      </c>
      <c r="G620" s="22" t="inlineStr">
        <is>
          <t>Chỉ tiêu phái sinh</t>
        </is>
      </c>
      <c r="H620" s="4" t="inlineStr">
        <is>
          <t>TB</t>
        </is>
      </c>
    </row>
    <row r="621" ht="14" customHeight="1" s="380">
      <c r="B621" s="4" t="inlineStr">
        <is>
          <t>TK_NienGiam</t>
        </is>
      </c>
      <c r="C621" s="298" t="n"/>
      <c r="D621" s="269" t="inlineStr">
        <is>
          <t>- SGDCK HCM - HCM STOCK EXCHANGE</t>
        </is>
      </c>
      <c r="F621" s="4" t="inlineStr">
        <is>
          <t>Báo cáo</t>
        </is>
      </c>
      <c r="G621" s="22" t="inlineStr">
        <is>
          <t>Chỉ tiêu phái sinh</t>
        </is>
      </c>
      <c r="H621" s="4" t="inlineStr">
        <is>
          <t>TB</t>
        </is>
      </c>
    </row>
    <row r="622" ht="14" customHeight="1" s="380">
      <c r="B622" s="4" t="inlineStr">
        <is>
          <t>TK_NienGiam</t>
        </is>
      </c>
      <c r="C622" s="298" t="n"/>
      <c r="D622" s="269" t="inlineStr">
        <is>
          <t>- SGDCK HN - HANOI STOCK EXCHANGE</t>
        </is>
      </c>
      <c r="F622" s="4" t="inlineStr">
        <is>
          <t>Báo cáo</t>
        </is>
      </c>
      <c r="G622" s="22" t="inlineStr">
        <is>
          <t>Chỉ tiêu phái sinh</t>
        </is>
      </c>
      <c r="H622" s="4" t="inlineStr">
        <is>
          <t>TB</t>
        </is>
      </c>
    </row>
    <row r="623" ht="14" customHeight="1" s="380">
      <c r="B623" s="4" t="inlineStr">
        <is>
          <t>TK_NienGiam</t>
        </is>
      </c>
      <c r="C623" s="296" t="n"/>
      <c r="D623" s="353" t="inlineStr">
        <is>
          <t>Số lượng công ty niêm yết chứng khoán
 Number of listed companies</t>
        </is>
      </c>
      <c r="F623" s="4" t="inlineStr">
        <is>
          <t>Báo cáo</t>
        </is>
      </c>
      <c r="G623" s="22" t="inlineStr">
        <is>
          <t>Chỉ tiêu phái sinh</t>
        </is>
      </c>
      <c r="H623" s="4" t="inlineStr">
        <is>
          <t>TB</t>
        </is>
      </c>
    </row>
    <row r="624" ht="14" customHeight="1" s="380">
      <c r="B624" s="4" t="inlineStr">
        <is>
          <t>TK_NienGiam</t>
        </is>
      </c>
      <c r="C624" s="298" t="n"/>
      <c r="D624" s="269" t="inlineStr">
        <is>
          <t>- SGDCK HCM - HCM STOCK EXCHANGE</t>
        </is>
      </c>
      <c r="F624" s="4" t="inlineStr">
        <is>
          <t>Báo cáo</t>
        </is>
      </c>
      <c r="G624" s="22" t="inlineStr">
        <is>
          <t>Chỉ tiêu phái sinh</t>
        </is>
      </c>
      <c r="H624" s="4" t="inlineStr">
        <is>
          <t>TB</t>
        </is>
      </c>
    </row>
    <row r="625" ht="14" customHeight="1" s="380">
      <c r="B625" s="4" t="inlineStr">
        <is>
          <t>TK_NienGiam</t>
        </is>
      </c>
      <c r="C625" s="298" t="n"/>
      <c r="D625" s="269" t="inlineStr">
        <is>
          <t>- SGDCK HN - HANOI STOCK EXCHANGE</t>
        </is>
      </c>
      <c r="F625" s="4" t="inlineStr">
        <is>
          <t>Báo cáo</t>
        </is>
      </c>
      <c r="G625" s="22" t="inlineStr">
        <is>
          <t>Chỉ tiêu phái sinh</t>
        </is>
      </c>
      <c r="H625" s="4" t="inlineStr">
        <is>
          <t>TB</t>
        </is>
      </c>
    </row>
    <row r="626" ht="14" customHeight="1" s="380">
      <c r="B626" s="4" t="inlineStr">
        <is>
          <t>TK_NienGiam</t>
        </is>
      </c>
      <c r="C626" s="296" t="n"/>
      <c r="D626" s="353" t="inlineStr">
        <is>
          <t>Số lượng công ty đăng ký giao dịch
 Number of unlisted puplic companies</t>
        </is>
      </c>
      <c r="F626" s="4" t="inlineStr">
        <is>
          <t>Báo cáo</t>
        </is>
      </c>
      <c r="G626" s="22" t="inlineStr">
        <is>
          <t>Chỉ tiêu phái sinh</t>
        </is>
      </c>
      <c r="H626" s="4" t="inlineStr">
        <is>
          <t>TB</t>
        </is>
      </c>
    </row>
    <row r="627" ht="14" customHeight="1" s="380">
      <c r="B627" s="4" t="inlineStr">
        <is>
          <t>TK_NienGiam</t>
        </is>
      </c>
      <c r="C627" s="296" t="n"/>
      <c r="D627" s="356" t="inlineStr">
        <is>
          <t>Số lượng công ty chứng khoán được cấp phép
 Number of licensed securities companies</t>
        </is>
      </c>
      <c r="F627" s="4" t="inlineStr">
        <is>
          <t>Báo cáo</t>
        </is>
      </c>
      <c r="G627" s="22" t="inlineStr">
        <is>
          <t>Chỉ tiêu phái sinh</t>
        </is>
      </c>
      <c r="H627" s="4" t="inlineStr">
        <is>
          <t>TB</t>
        </is>
      </c>
    </row>
    <row r="628" ht="14" customHeight="1" s="380">
      <c r="B628" s="4" t="inlineStr">
        <is>
          <t>TK_NienGiam</t>
        </is>
      </c>
      <c r="C628" s="296" t="n"/>
      <c r="D628" s="357" t="inlineStr">
        <is>
          <t>Số lượng công ty quản lý quỹ</t>
        </is>
      </c>
      <c r="F628" s="4" t="inlineStr">
        <is>
          <t>Báo cáo</t>
        </is>
      </c>
      <c r="G628" s="22" t="inlineStr">
        <is>
          <t>Chỉ tiêu phái sinh</t>
        </is>
      </c>
      <c r="H628" s="4" t="inlineStr">
        <is>
          <t>TB</t>
        </is>
      </c>
    </row>
    <row r="629" ht="14" customHeight="1" s="380">
      <c r="B629" s="4" t="inlineStr">
        <is>
          <t>TK_NienGiam</t>
        </is>
      </c>
      <c r="C629" s="296" t="n"/>
      <c r="D629" s="357" t="inlineStr">
        <is>
          <t>Giá trị chào bán chứng khoán</t>
        </is>
      </c>
      <c r="F629" s="4" t="inlineStr">
        <is>
          <t>Báo cáo</t>
        </is>
      </c>
      <c r="G629" s="22" t="inlineStr">
        <is>
          <t>Chỉ tiêu phái sinh</t>
        </is>
      </c>
      <c r="H629" s="4" t="inlineStr">
        <is>
          <t>TB</t>
        </is>
      </c>
    </row>
    <row r="630" ht="14" customHeight="1" s="380">
      <c r="B630" s="4" t="inlineStr">
        <is>
          <t>TK_NienGiam</t>
        </is>
      </c>
      <c r="C630" s="298" t="n"/>
      <c r="D630" s="282" t="inlineStr">
        <is>
          <t>Chào bán cổ phiếu</t>
        </is>
      </c>
      <c r="F630" s="4" t="inlineStr">
        <is>
          <t>Báo cáo</t>
        </is>
      </c>
      <c r="G630" s="22" t="inlineStr">
        <is>
          <t>Chỉ tiêu phái sinh</t>
        </is>
      </c>
      <c r="H630" s="4" t="inlineStr">
        <is>
          <t>TB</t>
        </is>
      </c>
    </row>
    <row r="631" ht="14" customHeight="1" s="380">
      <c r="B631" s="4" t="inlineStr">
        <is>
          <t>TK_NienGiam</t>
        </is>
      </c>
      <c r="C631" s="298" t="n"/>
      <c r="D631" s="282" t="inlineStr">
        <is>
          <t>Cháo bán trái phiếu doanh nghiệp ra công chúng</t>
        </is>
      </c>
      <c r="F631" s="4" t="inlineStr">
        <is>
          <t>Báo cáo</t>
        </is>
      </c>
      <c r="G631" s="22" t="inlineStr">
        <is>
          <t>Chỉ tiêu phái sinh</t>
        </is>
      </c>
      <c r="H631" s="4" t="inlineStr">
        <is>
          <t>TB</t>
        </is>
      </c>
    </row>
    <row r="632" ht="14" customHeight="1" s="380">
      <c r="B632" s="4" t="inlineStr">
        <is>
          <t>TK_NienGiam</t>
        </is>
      </c>
      <c r="C632" s="298" t="n"/>
      <c r="D632" s="282" t="inlineStr">
        <is>
          <t>Chào bán trái phiếu doanh nghiệp riêng lẻ trong nước</t>
        </is>
      </c>
      <c r="F632" s="4" t="inlineStr">
        <is>
          <t>Báo cáo</t>
        </is>
      </c>
      <c r="G632" s="22" t="inlineStr">
        <is>
          <t>Chỉ tiêu phái sinh</t>
        </is>
      </c>
      <c r="H632" s="4" t="inlineStr">
        <is>
          <t>TB</t>
        </is>
      </c>
    </row>
    <row r="633" ht="14" customHeight="1" s="380">
      <c r="B633" s="4" t="inlineStr">
        <is>
          <t>TK_NienGiam</t>
        </is>
      </c>
      <c r="C633" s="298" t="n"/>
      <c r="D633" s="282" t="inlineStr">
        <is>
          <t>Chào bán trái phiếu doanh nghiệp ra quốc tế</t>
        </is>
      </c>
      <c r="F633" s="4" t="inlineStr">
        <is>
          <t>Báo cáo</t>
        </is>
      </c>
      <c r="G633" s="22" t="inlineStr">
        <is>
          <t>Chỉ tiêu phái sinh</t>
        </is>
      </c>
      <c r="H633" s="4" t="inlineStr">
        <is>
          <t>TB</t>
        </is>
      </c>
    </row>
    <row r="634" ht="14" customHeight="1" s="380">
      <c r="B634" s="4" t="inlineStr">
        <is>
          <t>TK_NienGiam</t>
        </is>
      </c>
      <c r="C634" s="298" t="n"/>
      <c r="D634" s="282" t="inlineStr">
        <is>
          <t>Đấu thầu trái phiếu Chính phủ</t>
        </is>
      </c>
      <c r="F634" s="4" t="inlineStr">
        <is>
          <t>Báo cáo</t>
        </is>
      </c>
      <c r="G634" s="22" t="inlineStr">
        <is>
          <t>Chỉ tiêu phái sinh</t>
        </is>
      </c>
      <c r="H634" s="4" t="inlineStr">
        <is>
          <t>TB</t>
        </is>
      </c>
    </row>
    <row r="635" ht="14" customHeight="1" s="380">
      <c r="B635" s="4" t="inlineStr">
        <is>
          <t>TK_NienGiam</t>
        </is>
      </c>
      <c r="C635" s="298" t="n"/>
      <c r="D635" s="282" t="inlineStr">
        <is>
          <t>IPO đấu giá cổ phần hóa</t>
        </is>
      </c>
      <c r="F635" s="4" t="inlineStr">
        <is>
          <t>Báo cáo</t>
        </is>
      </c>
      <c r="G635" s="22" t="inlineStr">
        <is>
          <t>Chỉ tiêu phái sinh</t>
        </is>
      </c>
      <c r="H635" s="4" t="inlineStr">
        <is>
          <t>TB</t>
        </is>
      </c>
    </row>
    <row r="636" ht="14" customHeight="1" s="380">
      <c r="B636" s="4" t="inlineStr">
        <is>
          <t>TK_NienGiam</t>
        </is>
      </c>
      <c r="C636" s="298" t="n"/>
      <c r="D636" s="282" t="inlineStr">
        <is>
          <t>Thoái vốn qua đâu giá</t>
        </is>
      </c>
      <c r="F636" s="4" t="inlineStr">
        <is>
          <t>Báo cáo</t>
        </is>
      </c>
      <c r="G636" s="22" t="inlineStr">
        <is>
          <t>Chỉ tiêu phái sinh</t>
        </is>
      </c>
      <c r="H636" s="4" t="inlineStr">
        <is>
          <t>TB</t>
        </is>
      </c>
    </row>
    <row r="637" ht="14" customHeight="1" s="380">
      <c r="B637" s="4" t="inlineStr">
        <is>
          <t>TK_NienGiam</t>
        </is>
      </c>
      <c r="C637" s="298" t="n"/>
      <c r="D637" s="282" t="inlineStr">
        <is>
          <t>Chào bán chứng chỉ quỹ</t>
        </is>
      </c>
      <c r="F637" s="4" t="inlineStr">
        <is>
          <t>Báo cáo</t>
        </is>
      </c>
      <c r="G637" s="22" t="inlineStr">
        <is>
          <t>Chỉ tiêu phái sinh</t>
        </is>
      </c>
      <c r="H637" s="4" t="inlineStr">
        <is>
          <t>TB</t>
        </is>
      </c>
    </row>
    <row r="638" ht="16" customHeight="1" s="380">
      <c r="A638" s="184" t="n"/>
      <c r="B638" s="184" t="inlineStr">
        <is>
          <t>BM030a_MSS</t>
        </is>
      </c>
      <c r="C638" s="423" t="inlineStr">
        <is>
          <t>Thống kê giao dịch toàn thị trường cổ phiếu</t>
        </is>
      </c>
      <c r="D638" s="358" t="inlineStr">
        <is>
          <t>Ngày GD</t>
        </is>
      </c>
      <c r="E638" s="184" t="n"/>
      <c r="F638" s="4" t="inlineStr">
        <is>
          <t>Báo cáo</t>
        </is>
      </c>
      <c r="G638" s="184" t="inlineStr">
        <is>
          <t>Chiều</t>
        </is>
      </c>
      <c r="H638" s="184" t="inlineStr">
        <is>
          <t>Dễ</t>
        </is>
      </c>
      <c r="I638" s="184" t="n"/>
      <c r="J638" s="184" t="n"/>
      <c r="K638" s="184" t="n"/>
      <c r="L638" s="184" t="n"/>
    </row>
    <row r="639" ht="16" customHeight="1" s="380">
      <c r="B639" s="4" t="inlineStr">
        <is>
          <t>BM030a_MSS</t>
        </is>
      </c>
      <c r="D639" s="198" t="inlineStr">
        <is>
          <t>Loại Chỉ số HNXIndex, VNIndex, HNX 30, VN30</t>
        </is>
      </c>
      <c r="F639" s="4" t="inlineStr">
        <is>
          <t>Báo cáo</t>
        </is>
      </c>
      <c r="G639" s="4" t="inlineStr">
        <is>
          <t>Chiều</t>
        </is>
      </c>
      <c r="H639" s="4" t="inlineStr">
        <is>
          <t>Dễ</t>
        </is>
      </c>
    </row>
    <row r="640" ht="16" customHeight="1" s="380">
      <c r="B640" s="4" t="inlineStr">
        <is>
          <t>BM030a_MSS</t>
        </is>
      </c>
      <c r="D640" s="198" t="inlineStr">
        <is>
          <t>Giá trị chỉ số CP toàn thị trường</t>
        </is>
      </c>
      <c r="F640" s="4" t="inlineStr">
        <is>
          <t>Báo cáo</t>
        </is>
      </c>
      <c r="G640" s="22" t="inlineStr">
        <is>
          <t>Chỉ tiêu phái sinh</t>
        </is>
      </c>
      <c r="H640" s="27" t="inlineStr">
        <is>
          <t>Trùng</t>
        </is>
      </c>
    </row>
    <row r="641" ht="16" customHeight="1" s="380">
      <c r="B641" s="4" t="inlineStr">
        <is>
          <t>BM030a_MSS</t>
        </is>
      </c>
      <c r="D641" s="198" t="inlineStr">
        <is>
          <t>Tổng giá trị giao dịch CP toàn thị trường</t>
        </is>
      </c>
      <c r="F641" s="4" t="inlineStr">
        <is>
          <t>Báo cáo</t>
        </is>
      </c>
      <c r="G641" s="22" t="inlineStr">
        <is>
          <t>Chỉ tiêu phái sinh</t>
        </is>
      </c>
      <c r="H641" s="27" t="inlineStr">
        <is>
          <t>Trùng</t>
        </is>
      </c>
    </row>
    <row r="642" ht="16" customHeight="1" s="380">
      <c r="B642" s="4" t="inlineStr">
        <is>
          <t>BM030a_MSS</t>
        </is>
      </c>
      <c r="D642" s="198" t="inlineStr">
        <is>
          <t>Tổng KLGD CP toàn thị trường</t>
        </is>
      </c>
      <c r="F642" s="4" t="inlineStr">
        <is>
          <t>Báo cáo</t>
        </is>
      </c>
      <c r="G642" s="22" t="inlineStr">
        <is>
          <t>Chỉ tiêu phái sinh</t>
        </is>
      </c>
      <c r="H642" s="27" t="inlineStr">
        <is>
          <t>Trùng</t>
        </is>
      </c>
    </row>
    <row r="643" ht="16" customHeight="1" s="380">
      <c r="B643" s="4" t="inlineStr">
        <is>
          <t>BM030a_MSS</t>
        </is>
      </c>
      <c r="D643" s="198" t="inlineStr">
        <is>
          <t>KLGD khớp lệnh CP toàn thị trường</t>
        </is>
      </c>
      <c r="F643" s="4" t="inlineStr">
        <is>
          <t>Báo cáo</t>
        </is>
      </c>
      <c r="G643" s="22" t="inlineStr">
        <is>
          <t>Chỉ tiêu phái sinh</t>
        </is>
      </c>
      <c r="H643" s="27" t="inlineStr">
        <is>
          <t>Trùng</t>
        </is>
      </c>
    </row>
    <row r="644" ht="16" customHeight="1" s="380">
      <c r="B644" s="4" t="inlineStr">
        <is>
          <t>BM030a_MSS</t>
        </is>
      </c>
      <c r="D644" s="198" t="inlineStr">
        <is>
          <t>GTGD khớp lệnh CP toàn thị trường</t>
        </is>
      </c>
      <c r="F644" s="4" t="inlineStr">
        <is>
          <t>Báo cáo</t>
        </is>
      </c>
      <c r="G644" s="22" t="inlineStr">
        <is>
          <t>Chỉ tiêu phái sinh</t>
        </is>
      </c>
      <c r="H644" s="27" t="inlineStr">
        <is>
          <t>Trùng</t>
        </is>
      </c>
    </row>
    <row r="645" ht="16" customHeight="1" s="380">
      <c r="B645" s="4" t="inlineStr">
        <is>
          <t>BM030a_MSS</t>
        </is>
      </c>
      <c r="D645" s="198" t="inlineStr">
        <is>
          <t>KLGD thỏa thuận CP toàn thị trường</t>
        </is>
      </c>
      <c r="F645" s="4" t="inlineStr">
        <is>
          <t>Báo cáo</t>
        </is>
      </c>
      <c r="G645" s="22" t="inlineStr">
        <is>
          <t>Chỉ tiêu phái sinh</t>
        </is>
      </c>
      <c r="H645" s="27" t="inlineStr">
        <is>
          <t>Trùng</t>
        </is>
      </c>
    </row>
    <row r="646" ht="16" customHeight="1" s="380">
      <c r="B646" s="4" t="inlineStr">
        <is>
          <t>BM030a_MSS</t>
        </is>
      </c>
      <c r="D646" s="198" t="inlineStr">
        <is>
          <t>GTGD thỏa thuận CP toàn thị trường</t>
        </is>
      </c>
      <c r="F646" s="4" t="inlineStr">
        <is>
          <t>Báo cáo</t>
        </is>
      </c>
      <c r="G646" s="22" t="inlineStr">
        <is>
          <t>Chỉ tiêu phái sinh</t>
        </is>
      </c>
      <c r="H646" s="27" t="inlineStr">
        <is>
          <t>Trùng</t>
        </is>
      </c>
    </row>
    <row r="647" ht="16" customHeight="1" s="380">
      <c r="B647" s="4" t="inlineStr">
        <is>
          <t>BM030a_MSS</t>
        </is>
      </c>
      <c r="D647" s="198" t="inlineStr">
        <is>
          <t>KLGD lô lẻ CP toàn thị trường</t>
        </is>
      </c>
      <c r="F647" s="4" t="inlineStr">
        <is>
          <t>Báo cáo</t>
        </is>
      </c>
      <c r="G647" s="22" t="inlineStr">
        <is>
          <t>Chỉ tiêu phái sinh</t>
        </is>
      </c>
      <c r="H647" s="27" t="inlineStr">
        <is>
          <t>TB</t>
        </is>
      </c>
    </row>
    <row r="648" ht="16" customHeight="1" s="380">
      <c r="B648" s="4" t="inlineStr">
        <is>
          <t>BM030a_MSS</t>
        </is>
      </c>
      <c r="D648" s="198" t="inlineStr">
        <is>
          <t>GTGD Lô lẻ CP toàn thị trường</t>
        </is>
      </c>
      <c r="F648" s="4" t="inlineStr">
        <is>
          <t>Báo cáo</t>
        </is>
      </c>
      <c r="G648" s="22" t="inlineStr">
        <is>
          <t>Chỉ tiêu phái sinh</t>
        </is>
      </c>
      <c r="H648" s="27" t="inlineStr">
        <is>
          <t>TB</t>
        </is>
      </c>
    </row>
    <row r="649" ht="14" customHeight="1" s="380">
      <c r="A649" s="184" t="n"/>
      <c r="B649" s="184" t="inlineStr">
        <is>
          <t>BM030b_MSS</t>
        </is>
      </c>
      <c r="C649" s="424" t="inlineStr">
        <is>
          <t xml:space="preserve">Thống kê giao dịch toàn thị trường trái phiếu Chính phủ </t>
        </is>
      </c>
      <c r="D649" s="318" t="inlineStr">
        <is>
          <t>Thời gian</t>
        </is>
      </c>
      <c r="E649" s="184" t="n"/>
      <c r="F649" s="4" t="inlineStr">
        <is>
          <t>Báo cáo</t>
        </is>
      </c>
      <c r="G649" s="184" t="inlineStr">
        <is>
          <t>Chiều</t>
        </is>
      </c>
      <c r="H649" s="184" t="inlineStr">
        <is>
          <t>Dễ</t>
        </is>
      </c>
      <c r="I649" s="184" t="inlineStr">
        <is>
          <t>TPCP</t>
        </is>
      </c>
      <c r="J649" s="184" t="n"/>
      <c r="K649" s="184" t="n"/>
      <c r="L649" s="184" t="n"/>
    </row>
    <row r="650" ht="14" customHeight="1" s="380">
      <c r="B650" s="4" t="inlineStr">
        <is>
          <t>BM030b_MSS</t>
        </is>
      </c>
      <c r="D650" s="319" t="inlineStr">
        <is>
          <t>Khối lượng TPCP Giao dịch thông thường</t>
        </is>
      </c>
      <c r="F650" s="4" t="inlineStr">
        <is>
          <t>Báo cáo</t>
        </is>
      </c>
      <c r="G650" s="22" t="inlineStr">
        <is>
          <t>Chỉ tiêu phái sinh</t>
        </is>
      </c>
      <c r="H650" s="4" t="inlineStr">
        <is>
          <t>TB</t>
        </is>
      </c>
      <c r="I650" s="184" t="inlineStr">
        <is>
          <t>TPCP</t>
        </is>
      </c>
    </row>
    <row r="651" ht="14" customHeight="1" s="380">
      <c r="B651" s="4" t="inlineStr">
        <is>
          <t>BM030b_MSS</t>
        </is>
      </c>
      <c r="D651" s="319" t="inlineStr">
        <is>
          <t>Khối lượng TPCP Mua bán lại lần 1</t>
        </is>
      </c>
      <c r="F651" s="4" t="inlineStr">
        <is>
          <t>Báo cáo</t>
        </is>
      </c>
      <c r="G651" s="22" t="inlineStr">
        <is>
          <t>Chỉ tiêu phái sinh</t>
        </is>
      </c>
      <c r="H651" s="4" t="inlineStr">
        <is>
          <t>TB</t>
        </is>
      </c>
      <c r="I651" s="184" t="inlineStr">
        <is>
          <t>TPCP</t>
        </is>
      </c>
    </row>
    <row r="652" ht="14" customHeight="1" s="380">
      <c r="B652" s="4" t="inlineStr">
        <is>
          <t>BM030b_MSS</t>
        </is>
      </c>
      <c r="D652" s="319" t="inlineStr">
        <is>
          <t>Khối lượng TPCP Mua bán lại lần 2</t>
        </is>
      </c>
      <c r="F652" s="4" t="inlineStr">
        <is>
          <t>Báo cáo</t>
        </is>
      </c>
      <c r="G652" s="22" t="inlineStr">
        <is>
          <t>Chỉ tiêu phái sinh</t>
        </is>
      </c>
      <c r="H652" s="4" t="inlineStr">
        <is>
          <t>TB</t>
        </is>
      </c>
      <c r="I652" s="184" t="inlineStr">
        <is>
          <t>TPCP</t>
        </is>
      </c>
    </row>
    <row r="653" ht="14" customHeight="1" s="380">
      <c r="B653" s="4" t="inlineStr">
        <is>
          <t>BM030b_MSS</t>
        </is>
      </c>
      <c r="D653" s="319" t="inlineStr">
        <is>
          <t>Giá trị TPCP Giao dịch thông thường</t>
        </is>
      </c>
      <c r="F653" s="4" t="inlineStr">
        <is>
          <t>Báo cáo</t>
        </is>
      </c>
      <c r="G653" s="22" t="inlineStr">
        <is>
          <t>Chỉ tiêu phái sinh</t>
        </is>
      </c>
      <c r="H653" s="4" t="inlineStr">
        <is>
          <t>TB</t>
        </is>
      </c>
      <c r="I653" s="184" t="inlineStr">
        <is>
          <t>TPCP</t>
        </is>
      </c>
    </row>
    <row r="654" ht="14" customHeight="1" s="380">
      <c r="B654" s="4" t="n"/>
      <c r="D654" s="359" t="inlineStr">
        <is>
          <t>KLGD TPCP</t>
        </is>
      </c>
      <c r="F654" s="4" t="inlineStr">
        <is>
          <t>Báo cáo</t>
        </is>
      </c>
      <c r="G654" s="22" t="inlineStr">
        <is>
          <t>Chỉ tiêu phái sinh</t>
        </is>
      </c>
      <c r="H654" s="4" t="inlineStr">
        <is>
          <t>TB</t>
        </is>
      </c>
      <c r="I654" s="184" t="inlineStr">
        <is>
          <t>TPCP</t>
        </is>
      </c>
    </row>
    <row r="655" ht="14" customHeight="1" s="380">
      <c r="B655" s="4" t="n"/>
      <c r="D655" s="359" t="inlineStr">
        <is>
          <t>Giá giao dịch</t>
        </is>
      </c>
      <c r="F655" s="4" t="inlineStr">
        <is>
          <t>Báo cáo</t>
        </is>
      </c>
      <c r="G655" s="55" t="inlineStr">
        <is>
          <t>Chỉ tiêu cơ sở</t>
        </is>
      </c>
      <c r="H655" s="4" t="inlineStr">
        <is>
          <t>Dễ</t>
        </is>
      </c>
      <c r="I655" s="184" t="inlineStr">
        <is>
          <t>TPCP</t>
        </is>
      </c>
    </row>
    <row r="656" ht="14" customHeight="1" s="380">
      <c r="B656" s="4" t="inlineStr">
        <is>
          <t>BM030b_MSS</t>
        </is>
      </c>
      <c r="D656" s="319" t="inlineStr">
        <is>
          <t>Giá trị TPCP Mua bán lại lần 1</t>
        </is>
      </c>
      <c r="F656" s="4" t="inlineStr">
        <is>
          <t>Báo cáo</t>
        </is>
      </c>
      <c r="G656" s="22" t="inlineStr">
        <is>
          <t>Chỉ tiêu phái sinh</t>
        </is>
      </c>
      <c r="H656" s="4" t="inlineStr">
        <is>
          <t>TB</t>
        </is>
      </c>
      <c r="I656" s="184" t="inlineStr">
        <is>
          <t>TPCP</t>
        </is>
      </c>
    </row>
    <row r="657" ht="14" customHeight="1" s="380">
      <c r="B657" s="4" t="inlineStr">
        <is>
          <t>BM030b_MSS</t>
        </is>
      </c>
      <c r="D657" s="319" t="inlineStr">
        <is>
          <t>Giá trị TPCP Mua bán lại lần 2</t>
        </is>
      </c>
      <c r="F657" s="4" t="inlineStr">
        <is>
          <t>Báo cáo</t>
        </is>
      </c>
      <c r="G657" s="22" t="inlineStr">
        <is>
          <t>Chỉ tiêu phái sinh</t>
        </is>
      </c>
      <c r="H657" s="4" t="inlineStr">
        <is>
          <t>TB</t>
        </is>
      </c>
      <c r="I657" s="184" t="inlineStr">
        <is>
          <t>TPCP</t>
        </is>
      </c>
    </row>
    <row r="658" ht="14" customHeight="1" s="380">
      <c r="B658" s="4" t="inlineStr">
        <is>
          <t>BM030b_MSS</t>
        </is>
      </c>
      <c r="D658" s="319" t="inlineStr">
        <is>
          <t>Tổng KLGD TPCP</t>
        </is>
      </c>
      <c r="F658" s="4" t="inlineStr">
        <is>
          <t>Báo cáo</t>
        </is>
      </c>
      <c r="G658" s="22" t="inlineStr">
        <is>
          <t>Chỉ tiêu phái sinh</t>
        </is>
      </c>
      <c r="H658" s="4" t="inlineStr">
        <is>
          <t>TB</t>
        </is>
      </c>
      <c r="I658" s="184" t="inlineStr">
        <is>
          <t>TPCP</t>
        </is>
      </c>
      <c r="J658" s="4" t="inlineStr">
        <is>
          <t>Tổng KLGD toàn thị trường</t>
        </is>
      </c>
    </row>
    <row r="659" ht="14" customHeight="1" s="380">
      <c r="B659" s="4" t="inlineStr">
        <is>
          <t>BM030b_MSS</t>
        </is>
      </c>
      <c r="D659" s="359" t="inlineStr">
        <is>
          <t>Khối lượng GD TPCP</t>
        </is>
      </c>
      <c r="F659" s="4" t="inlineStr">
        <is>
          <t>Báo cáo</t>
        </is>
      </c>
      <c r="G659" s="22" t="inlineStr">
        <is>
          <t>Chỉ tiêu phái sinh</t>
        </is>
      </c>
      <c r="H659" s="4" t="inlineStr">
        <is>
          <t>TB</t>
        </is>
      </c>
      <c r="I659" s="184" t="inlineStr">
        <is>
          <t>TPCP</t>
        </is>
      </c>
    </row>
    <row r="660" ht="14" customHeight="1" s="380">
      <c r="B660" s="4" t="inlineStr">
        <is>
          <t>BM030b_MSS</t>
        </is>
      </c>
      <c r="D660" s="319" t="inlineStr">
        <is>
          <t>Tổng KLGD TPCP Bảo lãnh</t>
        </is>
      </c>
      <c r="F660" s="4" t="inlineStr">
        <is>
          <t>Báo cáo</t>
        </is>
      </c>
      <c r="G660" s="22" t="inlineStr">
        <is>
          <t>Chỉ tiêu phái sinh</t>
        </is>
      </c>
      <c r="H660" s="4" t="inlineStr">
        <is>
          <t>TB</t>
        </is>
      </c>
      <c r="I660" s="184" t="inlineStr">
        <is>
          <t>TPCP</t>
        </is>
      </c>
    </row>
    <row r="661" ht="14" customHeight="1" s="380">
      <c r="B661" s="4" t="inlineStr">
        <is>
          <t>BM030b_MSS</t>
        </is>
      </c>
      <c r="D661" s="319" t="inlineStr">
        <is>
          <t>Tổng KLGD TP chính quyền địa phương</t>
        </is>
      </c>
      <c r="F661" s="4" t="inlineStr">
        <is>
          <t>Báo cáo</t>
        </is>
      </c>
      <c r="G661" s="22" t="inlineStr">
        <is>
          <t>Chỉ tiêu phái sinh</t>
        </is>
      </c>
      <c r="H661" s="4" t="inlineStr">
        <is>
          <t>TB</t>
        </is>
      </c>
      <c r="I661" s="184" t="inlineStr">
        <is>
          <t>TPCP</t>
        </is>
      </c>
    </row>
    <row r="662" ht="14" customHeight="1" s="380">
      <c r="B662" s="4" t="inlineStr">
        <is>
          <t>BM030b_MSS</t>
        </is>
      </c>
      <c r="D662" s="319" t="inlineStr">
        <is>
          <t>Tổng GTGD TPCP</t>
        </is>
      </c>
      <c r="F662" s="4" t="inlineStr">
        <is>
          <t>Báo cáo</t>
        </is>
      </c>
      <c r="G662" s="22" t="inlineStr">
        <is>
          <t>Chỉ tiêu phái sinh</t>
        </is>
      </c>
      <c r="H662" s="4" t="inlineStr">
        <is>
          <t>TB</t>
        </is>
      </c>
      <c r="I662" s="184" t="inlineStr">
        <is>
          <t>TPCP</t>
        </is>
      </c>
    </row>
    <row r="663" ht="14" customHeight="1" s="380">
      <c r="B663" s="4" t="inlineStr">
        <is>
          <t>BM030b_MSS</t>
        </is>
      </c>
      <c r="D663" s="319" t="inlineStr">
        <is>
          <t>Tổng GTGD TPCP Bảo lãnh</t>
        </is>
      </c>
      <c r="F663" s="4" t="inlineStr">
        <is>
          <t>Báo cáo</t>
        </is>
      </c>
      <c r="G663" s="22" t="inlineStr">
        <is>
          <t>Chỉ tiêu phái sinh</t>
        </is>
      </c>
      <c r="H663" s="4" t="inlineStr">
        <is>
          <t>TB</t>
        </is>
      </c>
      <c r="I663" s="184" t="inlineStr">
        <is>
          <t>TPCP</t>
        </is>
      </c>
      <c r="J663" s="309" t="inlineStr">
        <is>
          <t>Tổng GTGD TPCP Bảo lãnh toàn thị trường</t>
        </is>
      </c>
    </row>
    <row r="664" ht="14" customHeight="1" s="380">
      <c r="B664" s="4" t="inlineStr">
        <is>
          <t>BM030b_MSS</t>
        </is>
      </c>
      <c r="D664" s="359" t="inlineStr">
        <is>
          <t>KLGD TPCP bảo lãnh</t>
        </is>
      </c>
      <c r="F664" s="4" t="inlineStr">
        <is>
          <t>Báo cáo</t>
        </is>
      </c>
      <c r="G664" s="22" t="inlineStr">
        <is>
          <t>Chỉ tiêu phái sinh</t>
        </is>
      </c>
      <c r="H664" s="4" t="inlineStr">
        <is>
          <t>TB</t>
        </is>
      </c>
      <c r="I664" s="184" t="inlineStr">
        <is>
          <t>TPCP</t>
        </is>
      </c>
    </row>
    <row r="665" ht="14" customHeight="1" s="380">
      <c r="B665" s="4" t="inlineStr">
        <is>
          <t>BM030b_MSS</t>
        </is>
      </c>
      <c r="D665" s="359" t="inlineStr">
        <is>
          <t>Giá giao dịch</t>
        </is>
      </c>
      <c r="F665" s="4" t="inlineStr">
        <is>
          <t>Báo cáo</t>
        </is>
      </c>
      <c r="G665" s="55" t="inlineStr">
        <is>
          <t>Chỉ tiêu cơ sở</t>
        </is>
      </c>
      <c r="H665" s="4" t="inlineStr">
        <is>
          <t>Dễ</t>
        </is>
      </c>
      <c r="I665" s="184" t="inlineStr">
        <is>
          <t>TPCP</t>
        </is>
      </c>
    </row>
    <row r="666" ht="14" customHeight="1" s="380">
      <c r="B666" s="4" t="inlineStr">
        <is>
          <t>BM030b_MSS</t>
        </is>
      </c>
      <c r="D666" s="319" t="inlineStr">
        <is>
          <t>Tổng GTGD TP chính quyền địa phương</t>
        </is>
      </c>
      <c r="F666" s="4" t="inlineStr">
        <is>
          <t>Báo cáo</t>
        </is>
      </c>
      <c r="G666" s="22" t="inlineStr">
        <is>
          <t>Chỉ tiêu phái sinh</t>
        </is>
      </c>
      <c r="H666" s="4" t="inlineStr">
        <is>
          <t>TB</t>
        </is>
      </c>
      <c r="I666" s="184" t="inlineStr">
        <is>
          <t>TPCP</t>
        </is>
      </c>
      <c r="J666" s="309" t="inlineStr">
        <is>
          <t>Tổng GTGD TP chính quyền địa phương toàn thị trường</t>
        </is>
      </c>
    </row>
    <row r="667" ht="14" customHeight="1" s="380">
      <c r="B667" s="4" t="inlineStr">
        <is>
          <t>BM030b_MSS</t>
        </is>
      </c>
      <c r="D667" s="359" t="inlineStr">
        <is>
          <t>KLGD TPCP Chính quyền địa phương</t>
        </is>
      </c>
      <c r="F667" s="4" t="inlineStr">
        <is>
          <t>Báo cáo</t>
        </is>
      </c>
      <c r="G667" s="22" t="inlineStr">
        <is>
          <t>Chỉ tiêu phái sinh</t>
        </is>
      </c>
      <c r="H667" s="4" t="inlineStr">
        <is>
          <t>TB</t>
        </is>
      </c>
      <c r="I667" s="184" t="inlineStr">
        <is>
          <t>TPCP</t>
        </is>
      </c>
    </row>
    <row r="668" ht="14" customHeight="1" s="380">
      <c r="B668" s="4" t="inlineStr">
        <is>
          <t>BM030b_MSS</t>
        </is>
      </c>
      <c r="D668" s="359" t="inlineStr">
        <is>
          <t>Giá giao dịch</t>
        </is>
      </c>
      <c r="F668" s="4" t="inlineStr">
        <is>
          <t>Báo cáo</t>
        </is>
      </c>
      <c r="G668" s="55" t="inlineStr">
        <is>
          <t>Chỉ tiêu cơ sở</t>
        </is>
      </c>
      <c r="H668" s="4" t="inlineStr">
        <is>
          <t>Dễ</t>
        </is>
      </c>
      <c r="I668" s="184" t="inlineStr">
        <is>
          <t>TPCP</t>
        </is>
      </c>
    </row>
    <row r="669" ht="14" customHeight="1" s="380">
      <c r="A669" s="206" t="n"/>
      <c r="B669" s="206" t="inlineStr">
        <is>
          <t>BM030c_MSS</t>
        </is>
      </c>
      <c r="C669" s="413" t="inlineStr">
        <is>
          <t>Thống kê giao dịch toàn thị trường trái phiếu doanh nghiệp niêm yết</t>
        </is>
      </c>
      <c r="D669" s="360" t="inlineStr">
        <is>
          <t>Thời gian</t>
        </is>
      </c>
      <c r="E669" s="206" t="n"/>
      <c r="F669" s="4" t="inlineStr">
        <is>
          <t>Báo cáo</t>
        </is>
      </c>
      <c r="G669" s="206" t="inlineStr">
        <is>
          <t>Chiều</t>
        </is>
      </c>
      <c r="H669" s="206" t="n"/>
      <c r="I669" s="206" t="inlineStr">
        <is>
          <t>TPDN Niêm yết</t>
        </is>
      </c>
      <c r="J669" s="206" t="n"/>
      <c r="K669" s="206" t="n"/>
      <c r="L669" s="206" t="n"/>
    </row>
    <row r="670" ht="14" customHeight="1" s="380">
      <c r="B670" s="4" t="inlineStr">
        <is>
          <t>BM030c_MSS</t>
        </is>
      </c>
      <c r="D670" s="319" t="inlineStr">
        <is>
          <t>Khối lượng GD TPDN NY Thỏa thuận</t>
        </is>
      </c>
      <c r="F670" s="4" t="inlineStr">
        <is>
          <t>Báo cáo</t>
        </is>
      </c>
      <c r="G670" s="22" t="inlineStr">
        <is>
          <t>Chỉ tiêu phái sinh</t>
        </is>
      </c>
      <c r="H670" s="4" t="inlineStr">
        <is>
          <t>TB</t>
        </is>
      </c>
      <c r="I670" s="206" t="inlineStr">
        <is>
          <t>TPDN Niêm yết</t>
        </is>
      </c>
    </row>
    <row r="671" ht="14" customHeight="1" s="380">
      <c r="B671" s="4" t="inlineStr">
        <is>
          <t>BM030c_MSS</t>
        </is>
      </c>
      <c r="D671" s="319" t="inlineStr">
        <is>
          <t>Khối lượng GD TPDN NY Khớp lệnh</t>
        </is>
      </c>
      <c r="F671" s="4" t="inlineStr">
        <is>
          <t>Báo cáo</t>
        </is>
      </c>
      <c r="G671" s="22" t="inlineStr">
        <is>
          <t>Chỉ tiêu phái sinh</t>
        </is>
      </c>
      <c r="H671" s="4" t="inlineStr">
        <is>
          <t>TB</t>
        </is>
      </c>
      <c r="I671" s="206" t="inlineStr">
        <is>
          <t>TPDN Niêm yết</t>
        </is>
      </c>
    </row>
    <row r="672" ht="14" customHeight="1" s="380">
      <c r="B672" s="4" t="inlineStr">
        <is>
          <t>BM030c_MSS</t>
        </is>
      </c>
      <c r="D672" s="319" t="inlineStr">
        <is>
          <t>Giá trị GD TPDN NY Thỏa thuận</t>
        </is>
      </c>
      <c r="F672" s="4" t="inlineStr">
        <is>
          <t>Báo cáo</t>
        </is>
      </c>
      <c r="G672" s="22" t="inlineStr">
        <is>
          <t>Chỉ tiêu phái sinh</t>
        </is>
      </c>
      <c r="H672" s="4" t="inlineStr">
        <is>
          <t>TB</t>
        </is>
      </c>
      <c r="I672" s="206" t="inlineStr">
        <is>
          <t>TPDN Niêm yết</t>
        </is>
      </c>
    </row>
    <row r="673" ht="14" customHeight="1" s="380">
      <c r="B673" s="4" t="inlineStr">
        <is>
          <t>BM030c_MSS</t>
        </is>
      </c>
      <c r="D673" s="359" t="inlineStr">
        <is>
          <t>Khối lượng GD TPDN NY thỏa thuận</t>
        </is>
      </c>
      <c r="F673" s="4" t="inlineStr">
        <is>
          <t>Báo cáo</t>
        </is>
      </c>
      <c r="G673" s="22" t="inlineStr">
        <is>
          <t>Chỉ tiêu phái sinh</t>
        </is>
      </c>
      <c r="H673" s="4" t="inlineStr">
        <is>
          <t>TB</t>
        </is>
      </c>
      <c r="I673" s="206" t="inlineStr">
        <is>
          <t>TPDN Niêm yết</t>
        </is>
      </c>
    </row>
    <row r="674" ht="14" customHeight="1" s="380">
      <c r="B674" s="4" t="inlineStr">
        <is>
          <t>BM030c_MSS</t>
        </is>
      </c>
      <c r="D674" s="359" t="inlineStr">
        <is>
          <t>Giá giao dịch TPDN NY thỏa thuận</t>
        </is>
      </c>
      <c r="F674" s="4" t="inlineStr">
        <is>
          <t>Báo cáo</t>
        </is>
      </c>
      <c r="G674" s="22" t="inlineStr">
        <is>
          <t>Chỉ tiêu phái sinh</t>
        </is>
      </c>
      <c r="H674" s="4" t="inlineStr">
        <is>
          <t>TB</t>
        </is>
      </c>
      <c r="I674" s="206" t="inlineStr">
        <is>
          <t>TPDN Niêm yết</t>
        </is>
      </c>
    </row>
    <row r="675" ht="14" customHeight="1" s="380">
      <c r="B675" s="4" t="inlineStr">
        <is>
          <t>BM030c_MSS</t>
        </is>
      </c>
      <c r="D675" s="319" t="inlineStr">
        <is>
          <t>Giá trị GD TPDN NY Khớp lệnh</t>
        </is>
      </c>
      <c r="F675" s="4" t="inlineStr">
        <is>
          <t>Báo cáo</t>
        </is>
      </c>
      <c r="G675" s="22" t="inlineStr">
        <is>
          <t>Chỉ tiêu phái sinh</t>
        </is>
      </c>
      <c r="H675" s="4" t="inlineStr">
        <is>
          <t>TB</t>
        </is>
      </c>
      <c r="I675" s="206" t="inlineStr">
        <is>
          <t>TPDN Niêm yết</t>
        </is>
      </c>
    </row>
    <row r="676" ht="14" customHeight="1" s="380">
      <c r="B676" s="4" t="inlineStr">
        <is>
          <t>BM030c_MSS</t>
        </is>
      </c>
      <c r="D676" s="359" t="inlineStr">
        <is>
          <t>Khối lượng GD TPDN NY khớp lệnh</t>
        </is>
      </c>
      <c r="F676" s="4" t="inlineStr">
        <is>
          <t>Báo cáo</t>
        </is>
      </c>
      <c r="G676" s="22" t="inlineStr">
        <is>
          <t>Chỉ tiêu phái sinh</t>
        </is>
      </c>
      <c r="H676" s="4" t="inlineStr">
        <is>
          <t>TB</t>
        </is>
      </c>
      <c r="I676" s="206" t="inlineStr">
        <is>
          <t>TPDN Niêm yết</t>
        </is>
      </c>
    </row>
    <row r="677" ht="14" customHeight="1" s="380">
      <c r="B677" s="4" t="inlineStr">
        <is>
          <t>BM030c_MSS</t>
        </is>
      </c>
      <c r="D677" s="359" t="inlineStr">
        <is>
          <t>Giá giao dịch TPDN NY khớp lệnh</t>
        </is>
      </c>
      <c r="F677" s="4" t="inlineStr">
        <is>
          <t>Báo cáo</t>
        </is>
      </c>
      <c r="G677" s="22" t="inlineStr">
        <is>
          <t>Chỉ tiêu phái sinh</t>
        </is>
      </c>
      <c r="H677" s="4" t="inlineStr">
        <is>
          <t>TB</t>
        </is>
      </c>
      <c r="I677" s="206" t="inlineStr">
        <is>
          <t>TPDN Niêm yết</t>
        </is>
      </c>
    </row>
    <row r="678" ht="14" customHeight="1" s="380">
      <c r="B678" s="4" t="inlineStr">
        <is>
          <t>BM030c_MSS</t>
        </is>
      </c>
      <c r="D678" s="319" t="inlineStr">
        <is>
          <t>Tổng KLGD GD TPDN NY</t>
        </is>
      </c>
      <c r="F678" s="4" t="inlineStr">
        <is>
          <t>Báo cáo</t>
        </is>
      </c>
      <c r="G678" s="22" t="inlineStr">
        <is>
          <t>Chỉ tiêu phái sinh</t>
        </is>
      </c>
      <c r="H678" s="4" t="inlineStr">
        <is>
          <t>TB</t>
        </is>
      </c>
      <c r="I678" s="206" t="inlineStr">
        <is>
          <t>TPDN Niêm yết</t>
        </is>
      </c>
    </row>
    <row r="679" ht="14" customHeight="1" s="380">
      <c r="B679" s="4" t="inlineStr">
        <is>
          <t>BM030c_MSS</t>
        </is>
      </c>
      <c r="D679" s="319" t="inlineStr">
        <is>
          <t>Tổng GTGD GD TPDN NY</t>
        </is>
      </c>
      <c r="F679" s="4" t="inlineStr">
        <is>
          <t>Báo cáo</t>
        </is>
      </c>
      <c r="G679" s="22" t="inlineStr">
        <is>
          <t>Chỉ tiêu phái sinh</t>
        </is>
      </c>
      <c r="H679" s="4" t="inlineStr">
        <is>
          <t>TB</t>
        </is>
      </c>
      <c r="I679" s="206" t="inlineStr">
        <is>
          <t>TPDN Niêm yết</t>
        </is>
      </c>
    </row>
    <row r="680" ht="14" customHeight="1" s="380">
      <c r="A680" s="206" t="n"/>
      <c r="B680" s="206" t="inlineStr">
        <is>
          <t>BM030d_MSS</t>
        </is>
      </c>
      <c r="C680" s="414" t="inlineStr">
        <is>
          <t>Thống kê giao dịch thị trường trái phiếu doanh nghiệp riêng lẻ</t>
        </is>
      </c>
      <c r="D680" s="360" t="inlineStr">
        <is>
          <t>Thời gian</t>
        </is>
      </c>
      <c r="E680" s="206" t="n"/>
      <c r="F680" s="4" t="inlineStr">
        <is>
          <t>Báo cáo</t>
        </is>
      </c>
      <c r="G680" s="206" t="inlineStr">
        <is>
          <t>Chiều</t>
        </is>
      </c>
      <c r="H680" s="206" t="n"/>
      <c r="I680" s="206" t="inlineStr">
        <is>
          <t>TPDN riêng lẻ</t>
        </is>
      </c>
      <c r="J680" s="206" t="n"/>
      <c r="K680" s="206" t="n"/>
      <c r="L680" s="206" t="n"/>
    </row>
    <row r="681" ht="14" customHeight="1" s="380">
      <c r="B681" s="4" t="inlineStr">
        <is>
          <t>BM030d_MSS</t>
        </is>
      </c>
      <c r="D681" s="319" t="inlineStr">
        <is>
          <t>Giá trị TPDNRL</t>
        </is>
      </c>
      <c r="F681" s="4" t="inlineStr">
        <is>
          <t>Báo cáo</t>
        </is>
      </c>
      <c r="G681" s="22" t="inlineStr">
        <is>
          <t>Chỉ tiêu phái sinh</t>
        </is>
      </c>
      <c r="H681" s="4" t="inlineStr">
        <is>
          <t>TB</t>
        </is>
      </c>
      <c r="I681" s="206" t="inlineStr">
        <is>
          <t>TPDN riêng lẻ</t>
        </is>
      </c>
    </row>
    <row r="682" ht="14" customHeight="1" s="380">
      <c r="B682" s="4" t="inlineStr">
        <is>
          <t>BM030d_MSS</t>
        </is>
      </c>
      <c r="D682" s="319" t="inlineStr">
        <is>
          <t>GD NĐTNN Mua</t>
        </is>
      </c>
      <c r="F682" s="4" t="inlineStr">
        <is>
          <t>Báo cáo</t>
        </is>
      </c>
      <c r="G682" s="22" t="inlineStr">
        <is>
          <t>Chỉ tiêu phái sinh</t>
        </is>
      </c>
      <c r="H682" s="4" t="inlineStr">
        <is>
          <t>TB</t>
        </is>
      </c>
      <c r="I682" s="206" t="inlineStr">
        <is>
          <t>TPDN riêng lẻ</t>
        </is>
      </c>
    </row>
    <row r="683" ht="14" customHeight="1" s="380">
      <c r="B683" s="4" t="inlineStr">
        <is>
          <t>BM030d_MSS</t>
        </is>
      </c>
      <c r="D683" s="319" t="inlineStr">
        <is>
          <t>GD NĐTNN Bán</t>
        </is>
      </c>
      <c r="F683" s="4" t="inlineStr">
        <is>
          <t>Báo cáo</t>
        </is>
      </c>
      <c r="G683" s="22" t="inlineStr">
        <is>
          <t>Chỉ tiêu phái sinh</t>
        </is>
      </c>
      <c r="H683" s="4" t="inlineStr">
        <is>
          <t>TB</t>
        </is>
      </c>
      <c r="I683" s="206" t="inlineStr">
        <is>
          <t>TPDN riêng lẻ</t>
        </is>
      </c>
    </row>
    <row r="684" ht="14" customHeight="1" s="380">
      <c r="B684" s="4" t="inlineStr">
        <is>
          <t>BM030d_MSS</t>
        </is>
      </c>
      <c r="D684" s="319" t="inlineStr">
        <is>
          <t>GD tự doanh Mua</t>
        </is>
      </c>
      <c r="F684" s="4" t="inlineStr">
        <is>
          <t>Báo cáo</t>
        </is>
      </c>
      <c r="G684" s="22" t="inlineStr">
        <is>
          <t>Chỉ tiêu phái sinh</t>
        </is>
      </c>
      <c r="H684" s="4" t="inlineStr">
        <is>
          <t>TB</t>
        </is>
      </c>
      <c r="I684" s="206" t="inlineStr">
        <is>
          <t>TPDN riêng lẻ</t>
        </is>
      </c>
    </row>
    <row r="685" ht="14" customHeight="1" s="380">
      <c r="B685" s="4" t="inlineStr">
        <is>
          <t>BM030d_MSS</t>
        </is>
      </c>
      <c r="D685" s="319" t="inlineStr">
        <is>
          <t>GD tự doanh Bán</t>
        </is>
      </c>
      <c r="F685" s="4" t="inlineStr">
        <is>
          <t>Báo cáo</t>
        </is>
      </c>
      <c r="G685" s="22" t="inlineStr">
        <is>
          <t>Chỉ tiêu phái sinh</t>
        </is>
      </c>
      <c r="H685" s="4" t="inlineStr">
        <is>
          <t>TB</t>
        </is>
      </c>
      <c r="I685" s="206" t="inlineStr">
        <is>
          <t>TPDN riêng lẻ</t>
        </is>
      </c>
    </row>
    <row r="686" ht="14" customHeight="1" s="380">
      <c r="A686" s="206" t="n"/>
      <c r="B686" s="206" t="inlineStr">
        <is>
          <t>BM030e_MSS</t>
        </is>
      </c>
      <c r="C686" s="415" t="inlineStr">
        <is>
          <t xml:space="preserve">    Thống kê giao dịch thị trường chứng chỉ quỹ, ETF và CW</t>
        </is>
      </c>
      <c r="D686" s="361" t="inlineStr">
        <is>
          <t>Thời gian</t>
        </is>
      </c>
      <c r="E686" s="206" t="n"/>
      <c r="F686" s="4" t="inlineStr">
        <is>
          <t>Báo cáo</t>
        </is>
      </c>
      <c r="G686" s="206" t="inlineStr">
        <is>
          <t>Chiều</t>
        </is>
      </c>
      <c r="H686" s="206" t="n"/>
      <c r="I686" s="206" t="n"/>
      <c r="J686" s="206" t="n"/>
      <c r="K686" s="206" t="n"/>
      <c r="L686" s="206" t="n"/>
    </row>
    <row r="687" ht="14" customHeight="1" s="380">
      <c r="B687" s="4" t="inlineStr">
        <is>
          <t>BM030e_MSS</t>
        </is>
      </c>
      <c r="D687" s="277" t="inlineStr">
        <is>
          <t>Khối lượng giao dịch toàn thị trường CCQ</t>
        </is>
      </c>
      <c r="F687" s="4" t="inlineStr">
        <is>
          <t>Báo cáo</t>
        </is>
      </c>
      <c r="G687" s="22" t="inlineStr">
        <is>
          <t>Chỉ tiêu phái sinh</t>
        </is>
      </c>
      <c r="H687" s="4" t="inlineStr">
        <is>
          <t>TB</t>
        </is>
      </c>
      <c r="I687" s="4" t="inlineStr">
        <is>
          <t>CCQ</t>
        </is>
      </c>
    </row>
    <row r="688" ht="14" customHeight="1" s="380">
      <c r="B688" s="4" t="inlineStr">
        <is>
          <t>BM030e_MSS</t>
        </is>
      </c>
      <c r="D688" s="277" t="inlineStr">
        <is>
          <t>Khối lượng giao dịch toàn thị trường ETF</t>
        </is>
      </c>
      <c r="F688" s="4" t="inlineStr">
        <is>
          <t>Báo cáo</t>
        </is>
      </c>
      <c r="G688" s="22" t="inlineStr">
        <is>
          <t>Chỉ tiêu phái sinh</t>
        </is>
      </c>
      <c r="H688" s="4" t="inlineStr">
        <is>
          <t>TB</t>
        </is>
      </c>
      <c r="I688" s="4" t="inlineStr">
        <is>
          <t>ETF</t>
        </is>
      </c>
    </row>
    <row r="689" ht="14" customHeight="1" s="380">
      <c r="B689" s="4" t="inlineStr">
        <is>
          <t>BM030e_MSS</t>
        </is>
      </c>
      <c r="D689" s="277" t="inlineStr">
        <is>
          <t>Khối lượng giao dịch toàn thị trường CW</t>
        </is>
      </c>
      <c r="F689" s="4" t="inlineStr">
        <is>
          <t>Báo cáo</t>
        </is>
      </c>
      <c r="G689" s="22" t="inlineStr">
        <is>
          <t>Chỉ tiêu phái sinh</t>
        </is>
      </c>
      <c r="H689" s="4" t="inlineStr">
        <is>
          <t>TB</t>
        </is>
      </c>
      <c r="I689" s="4" t="inlineStr">
        <is>
          <t>CW</t>
        </is>
      </c>
    </row>
    <row r="690" ht="14" customHeight="1" s="380">
      <c r="B690" s="4" t="inlineStr">
        <is>
          <t>BM030e_MSS</t>
        </is>
      </c>
      <c r="D690" s="277" t="inlineStr">
        <is>
          <t>Giá trị giao dịch toàn thị trường CCQ</t>
        </is>
      </c>
      <c r="F690" s="4" t="inlineStr">
        <is>
          <t>Báo cáo</t>
        </is>
      </c>
      <c r="G690" s="22" t="inlineStr">
        <is>
          <t>Chỉ tiêu phái sinh</t>
        </is>
      </c>
      <c r="H690" s="4" t="inlineStr">
        <is>
          <t>Dễ</t>
        </is>
      </c>
      <c r="I690" s="4" t="inlineStr">
        <is>
          <t>CCQ</t>
        </is>
      </c>
    </row>
    <row r="691" ht="14" customHeight="1" s="380">
      <c r="B691" s="4" t="inlineStr">
        <is>
          <t>BM030e_MSS</t>
        </is>
      </c>
      <c r="D691" s="362" t="inlineStr">
        <is>
          <t>KLGD CCQ</t>
        </is>
      </c>
      <c r="F691" s="4" t="inlineStr">
        <is>
          <t>Báo cáo</t>
        </is>
      </c>
      <c r="G691" s="22" t="inlineStr">
        <is>
          <t>Chỉ tiêu phái sinh</t>
        </is>
      </c>
      <c r="H691" s="4" t="inlineStr">
        <is>
          <t>TB</t>
        </is>
      </c>
      <c r="I691" s="4" t="inlineStr">
        <is>
          <t>CCQ</t>
        </is>
      </c>
    </row>
    <row r="692" ht="14" customHeight="1" s="380">
      <c r="B692" s="4" t="inlineStr">
        <is>
          <t>BM030e_MSS</t>
        </is>
      </c>
      <c r="D692" s="362" t="inlineStr">
        <is>
          <t>Giá GD CCQ</t>
        </is>
      </c>
      <c r="F692" s="4" t="inlineStr">
        <is>
          <t>Báo cáo</t>
        </is>
      </c>
      <c r="G692" s="22" t="inlineStr">
        <is>
          <t>Chỉ tiêu phái sinh</t>
        </is>
      </c>
      <c r="H692" s="4" t="inlineStr">
        <is>
          <t>TB</t>
        </is>
      </c>
      <c r="I692" s="4" t="inlineStr">
        <is>
          <t>CCQ</t>
        </is>
      </c>
    </row>
    <row r="693" ht="14" customHeight="1" s="380">
      <c r="B693" s="4" t="inlineStr">
        <is>
          <t>BM030e_MSS</t>
        </is>
      </c>
      <c r="D693" s="363" t="inlineStr">
        <is>
          <t>Giá trị giao dịch toàn thị trường ETF</t>
        </is>
      </c>
      <c r="F693" s="4" t="inlineStr">
        <is>
          <t>Báo cáo</t>
        </is>
      </c>
      <c r="G693" s="22" t="inlineStr">
        <is>
          <t>Chỉ tiêu phái sinh</t>
        </is>
      </c>
      <c r="H693" s="4" t="inlineStr">
        <is>
          <t>Dễ</t>
        </is>
      </c>
      <c r="I693" s="4" t="inlineStr">
        <is>
          <t>ETF</t>
        </is>
      </c>
    </row>
    <row r="694" ht="14" customHeight="1" s="380">
      <c r="B694" s="4" t="inlineStr">
        <is>
          <t>BM030e_MSS</t>
        </is>
      </c>
      <c r="D694" s="364" t="inlineStr">
        <is>
          <t>KLGD CCQ</t>
        </is>
      </c>
      <c r="F694" s="4" t="inlineStr">
        <is>
          <t>Báo cáo</t>
        </is>
      </c>
      <c r="G694" s="22" t="inlineStr">
        <is>
          <t>Chỉ tiêu phái sinh</t>
        </is>
      </c>
      <c r="H694" s="4" t="inlineStr">
        <is>
          <t>TB</t>
        </is>
      </c>
      <c r="I694" s="4" t="inlineStr">
        <is>
          <t>ETF</t>
        </is>
      </c>
    </row>
    <row r="695" ht="14" customHeight="1" s="380">
      <c r="B695" s="4" t="inlineStr">
        <is>
          <t>BM030e_MSS</t>
        </is>
      </c>
      <c r="D695" s="364" t="inlineStr">
        <is>
          <t>Giá GD CCQ</t>
        </is>
      </c>
      <c r="F695" s="4" t="inlineStr">
        <is>
          <t>Báo cáo</t>
        </is>
      </c>
      <c r="G695" s="22" t="inlineStr">
        <is>
          <t>Chỉ tiêu phái sinh</t>
        </is>
      </c>
      <c r="H695" s="4" t="inlineStr">
        <is>
          <t>TB</t>
        </is>
      </c>
      <c r="I695" s="4" t="inlineStr">
        <is>
          <t>ETF</t>
        </is>
      </c>
    </row>
    <row r="696" ht="14" customHeight="1" s="380">
      <c r="B696" s="4" t="inlineStr">
        <is>
          <t>BM030e_MSS</t>
        </is>
      </c>
      <c r="D696" s="363" t="inlineStr">
        <is>
          <t>Giá trị giao dịch toàn thị trường CW</t>
        </is>
      </c>
      <c r="F696" s="4" t="inlineStr">
        <is>
          <t>Báo cáo</t>
        </is>
      </c>
      <c r="G696" s="22" t="inlineStr">
        <is>
          <t>Chỉ tiêu phái sinh</t>
        </is>
      </c>
      <c r="H696" s="4" t="inlineStr">
        <is>
          <t>Dễ</t>
        </is>
      </c>
      <c r="I696" s="4" t="inlineStr">
        <is>
          <t>CW</t>
        </is>
      </c>
    </row>
    <row r="697" ht="14" customHeight="1" s="380">
      <c r="B697" s="4" t="inlineStr">
        <is>
          <t>BM030e_MSS</t>
        </is>
      </c>
      <c r="D697" s="364" t="inlineStr">
        <is>
          <t>KLGD CCQ</t>
        </is>
      </c>
      <c r="F697" s="4" t="inlineStr">
        <is>
          <t>Báo cáo</t>
        </is>
      </c>
      <c r="G697" s="22" t="inlineStr">
        <is>
          <t>Chỉ tiêu phái sinh</t>
        </is>
      </c>
      <c r="H697" s="4" t="inlineStr">
        <is>
          <t>TB</t>
        </is>
      </c>
      <c r="I697" s="4" t="inlineStr">
        <is>
          <t>CW</t>
        </is>
      </c>
    </row>
    <row r="698" ht="14" customHeight="1" s="380">
      <c r="B698" s="4" t="inlineStr">
        <is>
          <t>BM030e_MSS</t>
        </is>
      </c>
      <c r="D698" s="364" t="inlineStr">
        <is>
          <t>Giá GD CCQ</t>
        </is>
      </c>
      <c r="F698" s="4" t="inlineStr">
        <is>
          <t>Báo cáo</t>
        </is>
      </c>
      <c r="G698" s="22" t="inlineStr">
        <is>
          <t>Chỉ tiêu phái sinh</t>
        </is>
      </c>
      <c r="H698" s="4" t="inlineStr">
        <is>
          <t>TB</t>
        </is>
      </c>
      <c r="I698" s="4" t="inlineStr">
        <is>
          <t>CW</t>
        </is>
      </c>
    </row>
    <row r="699" ht="14" customHeight="1" s="380">
      <c r="B699" s="4" t="inlineStr">
        <is>
          <t>BM030e_MSS</t>
        </is>
      </c>
      <c r="D699" s="277" t="inlineStr">
        <is>
          <t>Khối lượng giao dịch khớp lệnh CCQ</t>
        </is>
      </c>
      <c r="F699" s="4" t="inlineStr">
        <is>
          <t>Báo cáo</t>
        </is>
      </c>
      <c r="G699" s="22" t="inlineStr">
        <is>
          <t>Chỉ tiêu phái sinh</t>
        </is>
      </c>
      <c r="H699" s="4" t="inlineStr">
        <is>
          <t>TB</t>
        </is>
      </c>
      <c r="I699" s="4" t="inlineStr">
        <is>
          <t>CCQ</t>
        </is>
      </c>
    </row>
    <row r="700" ht="14" customHeight="1" s="380">
      <c r="B700" s="4" t="inlineStr">
        <is>
          <t>BM030e_MSS</t>
        </is>
      </c>
      <c r="D700" s="277" t="inlineStr">
        <is>
          <t>Khối lượng giao dịch khớp lệnh ETF</t>
        </is>
      </c>
      <c r="F700" s="4" t="inlineStr">
        <is>
          <t>Báo cáo</t>
        </is>
      </c>
      <c r="G700" s="22" t="inlineStr">
        <is>
          <t>Chỉ tiêu phái sinh</t>
        </is>
      </c>
      <c r="H700" s="4" t="inlineStr">
        <is>
          <t>TB</t>
        </is>
      </c>
      <c r="I700" s="4" t="inlineStr">
        <is>
          <t>ETF</t>
        </is>
      </c>
    </row>
    <row r="701" ht="14" customHeight="1" s="380">
      <c r="B701" s="4" t="inlineStr">
        <is>
          <t>BM030e_MSS</t>
        </is>
      </c>
      <c r="D701" s="277" t="inlineStr">
        <is>
          <t>Khối lượng giao dịch khớp lệnh CW</t>
        </is>
      </c>
      <c r="F701" s="4" t="inlineStr">
        <is>
          <t>Báo cáo</t>
        </is>
      </c>
      <c r="G701" s="22" t="inlineStr">
        <is>
          <t>Chỉ tiêu phái sinh</t>
        </is>
      </c>
      <c r="H701" s="4" t="inlineStr">
        <is>
          <t>TB</t>
        </is>
      </c>
      <c r="I701" s="4" t="inlineStr">
        <is>
          <t>CW</t>
        </is>
      </c>
    </row>
    <row r="702" ht="14" customHeight="1" s="380">
      <c r="B702" s="4" t="inlineStr">
        <is>
          <t>BM030e_MSS</t>
        </is>
      </c>
      <c r="D702" s="277" t="inlineStr">
        <is>
          <t>Giá trị giao dịch khớp lệnh CCQ</t>
        </is>
      </c>
      <c r="F702" s="4" t="inlineStr">
        <is>
          <t>Báo cáo</t>
        </is>
      </c>
      <c r="G702" s="22" t="inlineStr">
        <is>
          <t>Chỉ tiêu phái sinh</t>
        </is>
      </c>
      <c r="H702" s="4" t="inlineStr">
        <is>
          <t>Dễ</t>
        </is>
      </c>
      <c r="I702" s="4" t="inlineStr">
        <is>
          <t>CCQ</t>
        </is>
      </c>
    </row>
    <row r="703" ht="14" customHeight="1" s="380">
      <c r="B703" s="4" t="inlineStr">
        <is>
          <t>BM030e_MSS</t>
        </is>
      </c>
      <c r="D703" s="362" t="inlineStr">
        <is>
          <t>KLGD CCQ</t>
        </is>
      </c>
      <c r="F703" s="4" t="inlineStr">
        <is>
          <t>Báo cáo</t>
        </is>
      </c>
      <c r="G703" s="22" t="inlineStr">
        <is>
          <t>Chỉ tiêu phái sinh</t>
        </is>
      </c>
      <c r="H703" s="4" t="inlineStr">
        <is>
          <t>TB</t>
        </is>
      </c>
      <c r="I703" s="4" t="inlineStr">
        <is>
          <t>CCQ</t>
        </is>
      </c>
    </row>
    <row r="704" ht="14" customHeight="1" s="380">
      <c r="B704" s="4" t="inlineStr">
        <is>
          <t>BM030e_MSS</t>
        </is>
      </c>
      <c r="D704" s="362" t="inlineStr">
        <is>
          <t>Giá GD CCQ</t>
        </is>
      </c>
      <c r="F704" s="4" t="inlineStr">
        <is>
          <t>Báo cáo</t>
        </is>
      </c>
      <c r="G704" s="22" t="inlineStr">
        <is>
          <t>Chỉ tiêu phái sinh</t>
        </is>
      </c>
      <c r="H704" s="4" t="inlineStr">
        <is>
          <t>TB</t>
        </is>
      </c>
      <c r="I704" s="4" t="inlineStr">
        <is>
          <t>CCQ</t>
        </is>
      </c>
    </row>
    <row r="705" ht="14" customHeight="1" s="380">
      <c r="B705" s="4" t="inlineStr">
        <is>
          <t>BM030e_MSS</t>
        </is>
      </c>
      <c r="D705" s="365" t="inlineStr">
        <is>
          <t>Giá trị giao dịch khớp lệnh ETF</t>
        </is>
      </c>
      <c r="F705" s="4" t="inlineStr">
        <is>
          <t>Báo cáo</t>
        </is>
      </c>
      <c r="G705" s="22" t="inlineStr">
        <is>
          <t>Chỉ tiêu phái sinh</t>
        </is>
      </c>
      <c r="H705" s="4" t="inlineStr">
        <is>
          <t>Dễ</t>
        </is>
      </c>
      <c r="I705" s="4" t="inlineStr">
        <is>
          <t>ETF</t>
        </is>
      </c>
    </row>
    <row r="706" ht="14" customHeight="1" s="380">
      <c r="B706" s="4" t="inlineStr">
        <is>
          <t>BM030e_MSS</t>
        </is>
      </c>
      <c r="D706" s="366" t="inlineStr">
        <is>
          <t>KLGD CCQ</t>
        </is>
      </c>
      <c r="F706" s="4" t="inlineStr">
        <is>
          <t>Báo cáo</t>
        </is>
      </c>
      <c r="G706" s="22" t="inlineStr">
        <is>
          <t>Chỉ tiêu phái sinh</t>
        </is>
      </c>
      <c r="H706" s="4" t="inlineStr">
        <is>
          <t>TB</t>
        </is>
      </c>
      <c r="I706" s="4" t="inlineStr">
        <is>
          <t>ETF</t>
        </is>
      </c>
    </row>
    <row r="707" ht="14" customHeight="1" s="380">
      <c r="B707" s="4" t="inlineStr">
        <is>
          <t>BM030e_MSS</t>
        </is>
      </c>
      <c r="D707" s="366" t="inlineStr">
        <is>
          <t>Giá GD CCQ</t>
        </is>
      </c>
      <c r="F707" s="4" t="inlineStr">
        <is>
          <t>Báo cáo</t>
        </is>
      </c>
      <c r="G707" s="22" t="inlineStr">
        <is>
          <t>Chỉ tiêu phái sinh</t>
        </is>
      </c>
      <c r="H707" s="4" t="inlineStr">
        <is>
          <t>TB</t>
        </is>
      </c>
      <c r="I707" s="4" t="inlineStr">
        <is>
          <t>ETF</t>
        </is>
      </c>
    </row>
    <row r="708" ht="14" customHeight="1" s="380">
      <c r="B708" s="4" t="inlineStr">
        <is>
          <t>BM030e_MSS</t>
        </is>
      </c>
      <c r="D708" s="365" t="inlineStr">
        <is>
          <t>Giá trị giao dịch khớp lệnh CW</t>
        </is>
      </c>
      <c r="F708" s="4" t="inlineStr">
        <is>
          <t>Báo cáo</t>
        </is>
      </c>
      <c r="G708" s="22" t="inlineStr">
        <is>
          <t>Chỉ tiêu phái sinh</t>
        </is>
      </c>
      <c r="H708" s="4" t="inlineStr">
        <is>
          <t>Dễ</t>
        </is>
      </c>
      <c r="I708" s="4" t="inlineStr">
        <is>
          <t>CW</t>
        </is>
      </c>
    </row>
    <row r="709" ht="14" customHeight="1" s="380">
      <c r="B709" s="4" t="inlineStr">
        <is>
          <t>BM030e_MSS</t>
        </is>
      </c>
      <c r="D709" s="366" t="inlineStr">
        <is>
          <t>KLGD CCQ</t>
        </is>
      </c>
      <c r="F709" s="4" t="inlineStr">
        <is>
          <t>Báo cáo</t>
        </is>
      </c>
      <c r="G709" s="22" t="inlineStr">
        <is>
          <t>Chỉ tiêu phái sinh</t>
        </is>
      </c>
      <c r="H709" s="4" t="inlineStr">
        <is>
          <t>TB</t>
        </is>
      </c>
      <c r="I709" s="4" t="inlineStr">
        <is>
          <t>CW</t>
        </is>
      </c>
    </row>
    <row r="710" ht="14" customHeight="1" s="380">
      <c r="B710" s="4" t="inlineStr">
        <is>
          <t>BM030e_MSS</t>
        </is>
      </c>
      <c r="D710" s="366" t="inlineStr">
        <is>
          <t>Giá GD CCQ</t>
        </is>
      </c>
      <c r="F710" s="4" t="inlineStr">
        <is>
          <t>Báo cáo</t>
        </is>
      </c>
      <c r="G710" s="22" t="inlineStr">
        <is>
          <t>Chỉ tiêu phái sinh</t>
        </is>
      </c>
      <c r="H710" s="4" t="inlineStr">
        <is>
          <t>TB</t>
        </is>
      </c>
      <c r="I710" s="4" t="inlineStr">
        <is>
          <t>CW</t>
        </is>
      </c>
    </row>
    <row r="711" ht="14" customHeight="1" s="380">
      <c r="A711" s="184" t="n"/>
      <c r="B711" s="184" t="inlineStr">
        <is>
          <t>BM031a_MSS</t>
        </is>
      </c>
      <c r="C711" s="416" t="inlineStr">
        <is>
          <t>Bảng dữ liệu giao dịch NĐTNN/tự doanh thị trường cổ phiếu</t>
        </is>
      </c>
      <c r="D711" s="318" t="inlineStr">
        <is>
          <t>Thời gian</t>
        </is>
      </c>
      <c r="E711" s="184" t="n"/>
      <c r="F711" s="4" t="inlineStr">
        <is>
          <t>Báo cáo</t>
        </is>
      </c>
      <c r="G711" s="184" t="inlineStr">
        <is>
          <t>Chiều</t>
        </is>
      </c>
      <c r="H711" s="184" t="n"/>
      <c r="I711" s="184" t="n"/>
      <c r="J711" s="184" t="n"/>
      <c r="K711" s="184" t="n"/>
      <c r="L711" s="184" t="n"/>
    </row>
    <row r="712" ht="14" customHeight="1" s="380">
      <c r="B712" s="4" t="inlineStr">
        <is>
          <t>BM031a_MSS</t>
        </is>
      </c>
      <c r="D712" s="319" t="inlineStr">
        <is>
          <t>Loại chỉ số (VNIndex, HNXIndex, HNX30, VN30)</t>
        </is>
      </c>
      <c r="F712" s="4" t="inlineStr">
        <is>
          <t>Báo cáo</t>
        </is>
      </c>
      <c r="G712" s="22" t="inlineStr">
        <is>
          <t>Chiều</t>
        </is>
      </c>
      <c r="H712" s="4" t="inlineStr">
        <is>
          <t>Dễ</t>
        </is>
      </c>
      <c r="I712" s="4" t="inlineStr">
        <is>
          <t>NDTNN</t>
        </is>
      </c>
    </row>
    <row r="713" ht="14" customHeight="1" s="380">
      <c r="B713" s="4" t="inlineStr">
        <is>
          <t>BM031a_MSS</t>
        </is>
      </c>
      <c r="D713" s="319" t="inlineStr">
        <is>
          <t>NĐTNN Tổng KL mua</t>
        </is>
      </c>
      <c r="F713" s="4" t="inlineStr">
        <is>
          <t>Báo cáo</t>
        </is>
      </c>
      <c r="G713" s="22" t="inlineStr">
        <is>
          <t>Chỉ tiêu phái sinh</t>
        </is>
      </c>
      <c r="H713" s="4" t="inlineStr">
        <is>
          <t>Trùng</t>
        </is>
      </c>
      <c r="I713" s="4" t="inlineStr">
        <is>
          <t>NDTNN</t>
        </is>
      </c>
    </row>
    <row r="714" ht="14" customHeight="1" s="380">
      <c r="B714" s="4" t="inlineStr">
        <is>
          <t>BM031a_MSS</t>
        </is>
      </c>
      <c r="D714" s="319" t="inlineStr">
        <is>
          <t>NĐTNN Tổng KL bán</t>
        </is>
      </c>
      <c r="F714" s="4" t="inlineStr">
        <is>
          <t>Báo cáo</t>
        </is>
      </c>
      <c r="G714" s="22" t="inlineStr">
        <is>
          <t>Chỉ tiêu phái sinh</t>
        </is>
      </c>
      <c r="H714" s="4" t="inlineStr">
        <is>
          <t>Trùng</t>
        </is>
      </c>
      <c r="I714" s="4" t="inlineStr">
        <is>
          <t>NDTNN</t>
        </is>
      </c>
    </row>
    <row r="715" ht="14" customHeight="1" s="380">
      <c r="B715" s="4" t="inlineStr">
        <is>
          <t>BM031a_MSS</t>
        </is>
      </c>
      <c r="D715" s="319" t="inlineStr">
        <is>
          <t>NĐTNN Tổng GT mua</t>
        </is>
      </c>
      <c r="F715" s="4" t="inlineStr">
        <is>
          <t>Báo cáo</t>
        </is>
      </c>
      <c r="G715" s="22" t="inlineStr">
        <is>
          <t>Chỉ tiêu phái sinh</t>
        </is>
      </c>
      <c r="H715" s="4" t="inlineStr">
        <is>
          <t>Trùng</t>
        </is>
      </c>
      <c r="I715" s="4" t="inlineStr">
        <is>
          <t>NDTNN</t>
        </is>
      </c>
    </row>
    <row r="716" ht="14" customHeight="1" s="380">
      <c r="B716" s="4" t="inlineStr">
        <is>
          <t>BM031a_MSS</t>
        </is>
      </c>
      <c r="D716" s="319" t="inlineStr">
        <is>
          <t>NĐTNN Tổng GT bán</t>
        </is>
      </c>
      <c r="F716" s="4" t="inlineStr">
        <is>
          <t>Báo cáo</t>
        </is>
      </c>
      <c r="G716" s="22" t="inlineStr">
        <is>
          <t>Chỉ tiêu phái sinh</t>
        </is>
      </c>
      <c r="H716" s="4" t="inlineStr">
        <is>
          <t>Trùng</t>
        </is>
      </c>
      <c r="I716" s="4" t="inlineStr">
        <is>
          <t>NDTNN</t>
        </is>
      </c>
    </row>
    <row r="717" ht="14" customHeight="1" s="380">
      <c r="B717" s="4" t="inlineStr">
        <is>
          <t>BM031a_MSS</t>
        </is>
      </c>
      <c r="D717" s="319" t="inlineStr">
        <is>
          <t>NĐTNN KL mua thỏa thuận</t>
        </is>
      </c>
      <c r="F717" s="4" t="inlineStr">
        <is>
          <t>Báo cáo</t>
        </is>
      </c>
      <c r="G717" s="22" t="inlineStr">
        <is>
          <t>Chỉ tiêu phái sinh</t>
        </is>
      </c>
      <c r="H717" s="4" t="inlineStr">
        <is>
          <t>Trùng</t>
        </is>
      </c>
      <c r="I717" s="4" t="inlineStr">
        <is>
          <t>NDTNN</t>
        </is>
      </c>
    </row>
    <row r="718" ht="14" customHeight="1" s="380">
      <c r="B718" s="4" t="inlineStr">
        <is>
          <t>BM031a_MSS</t>
        </is>
      </c>
      <c r="D718" s="319" t="inlineStr">
        <is>
          <t>NĐTNN KL bán thỏa thuận</t>
        </is>
      </c>
      <c r="F718" s="4" t="inlineStr">
        <is>
          <t>Báo cáo</t>
        </is>
      </c>
      <c r="G718" s="22" t="inlineStr">
        <is>
          <t>Chỉ tiêu phái sinh</t>
        </is>
      </c>
      <c r="H718" s="4" t="inlineStr">
        <is>
          <t>Trùng</t>
        </is>
      </c>
      <c r="I718" s="4" t="inlineStr">
        <is>
          <t>NDTNN</t>
        </is>
      </c>
    </row>
    <row r="719" ht="14" customHeight="1" s="380">
      <c r="B719" s="4" t="inlineStr">
        <is>
          <t>BM031a_MSS</t>
        </is>
      </c>
      <c r="D719" s="319" t="inlineStr">
        <is>
          <t>NĐTNN GT mua thỏa thuận</t>
        </is>
      </c>
      <c r="F719" s="4" t="inlineStr">
        <is>
          <t>Báo cáo</t>
        </is>
      </c>
      <c r="G719" s="22" t="inlineStr">
        <is>
          <t>Chỉ tiêu phái sinh</t>
        </is>
      </c>
      <c r="H719" s="4" t="inlineStr">
        <is>
          <t>Trùng</t>
        </is>
      </c>
      <c r="I719" s="4" t="inlineStr">
        <is>
          <t>NDTNN</t>
        </is>
      </c>
    </row>
    <row r="720" ht="14" customHeight="1" s="380">
      <c r="B720" s="4" t="n"/>
      <c r="D720" s="359" t="inlineStr">
        <is>
          <t>KL mua</t>
        </is>
      </c>
      <c r="F720" s="4" t="inlineStr">
        <is>
          <t>Báo cáo</t>
        </is>
      </c>
      <c r="G720" s="22" t="inlineStr">
        <is>
          <t>Chỉ tiêu phái sinh</t>
        </is>
      </c>
      <c r="H720" s="4" t="inlineStr">
        <is>
          <t>Trùng</t>
        </is>
      </c>
      <c r="I720" s="4" t="inlineStr">
        <is>
          <t>NDTNN</t>
        </is>
      </c>
    </row>
    <row r="721" ht="14" customHeight="1" s="380">
      <c r="B721" s="4" t="n"/>
      <c r="D721" s="359" t="inlineStr">
        <is>
          <t>Giá mua</t>
        </is>
      </c>
      <c r="F721" s="4" t="inlineStr">
        <is>
          <t>Báo cáo</t>
        </is>
      </c>
      <c r="G721" s="22" t="inlineStr">
        <is>
          <t>Chỉ tiêu phái sinh</t>
        </is>
      </c>
      <c r="H721" s="4" t="inlineStr">
        <is>
          <t>Trùng</t>
        </is>
      </c>
      <c r="I721" s="4" t="inlineStr">
        <is>
          <t>NDTNN</t>
        </is>
      </c>
    </row>
    <row r="722" ht="14" customHeight="1" s="380">
      <c r="B722" s="4" t="inlineStr">
        <is>
          <t>BM031a_MSS</t>
        </is>
      </c>
      <c r="D722" s="319" t="inlineStr">
        <is>
          <t>NĐTNN GT bán thỏa thuận</t>
        </is>
      </c>
      <c r="F722" s="4" t="inlineStr">
        <is>
          <t>Báo cáo</t>
        </is>
      </c>
      <c r="G722" s="22" t="inlineStr">
        <is>
          <t>Chỉ tiêu phái sinh</t>
        </is>
      </c>
      <c r="H722" s="4" t="inlineStr">
        <is>
          <t>Trùng</t>
        </is>
      </c>
      <c r="I722" s="4" t="inlineStr">
        <is>
          <t>NDTNN</t>
        </is>
      </c>
    </row>
    <row r="723" ht="14" customHeight="1" s="380">
      <c r="B723" s="4" t="n"/>
      <c r="D723" s="359" t="inlineStr">
        <is>
          <t>KL mua</t>
        </is>
      </c>
      <c r="F723" s="4" t="inlineStr">
        <is>
          <t>Báo cáo</t>
        </is>
      </c>
      <c r="G723" s="22" t="inlineStr">
        <is>
          <t>Chỉ tiêu phái sinh</t>
        </is>
      </c>
      <c r="H723" s="4" t="inlineStr">
        <is>
          <t>Trùng</t>
        </is>
      </c>
      <c r="I723" s="4" t="inlineStr">
        <is>
          <t>NDTNN</t>
        </is>
      </c>
    </row>
    <row r="724" ht="14" customHeight="1" s="380">
      <c r="B724" s="4" t="n"/>
      <c r="D724" s="359" t="inlineStr">
        <is>
          <t>Giá mua</t>
        </is>
      </c>
      <c r="F724" s="4" t="inlineStr">
        <is>
          <t>Báo cáo</t>
        </is>
      </c>
      <c r="G724" s="22" t="inlineStr">
        <is>
          <t>Chỉ tiêu phái sinh</t>
        </is>
      </c>
      <c r="H724" s="4" t="inlineStr">
        <is>
          <t>Trùng</t>
        </is>
      </c>
      <c r="I724" s="4" t="inlineStr">
        <is>
          <t>NDTNN</t>
        </is>
      </c>
    </row>
    <row r="725" ht="14" customHeight="1" s="380">
      <c r="B725" s="4" t="inlineStr">
        <is>
          <t>BM031a_MSS</t>
        </is>
      </c>
      <c r="D725" s="319" t="inlineStr">
        <is>
          <t>NĐTNN KL mua khớp lệnh</t>
        </is>
      </c>
      <c r="F725" s="4" t="inlineStr">
        <is>
          <t>Báo cáo</t>
        </is>
      </c>
      <c r="G725" s="22" t="inlineStr">
        <is>
          <t>Chỉ tiêu phái sinh</t>
        </is>
      </c>
      <c r="H725" s="4" t="inlineStr">
        <is>
          <t>Trùng</t>
        </is>
      </c>
      <c r="I725" s="4" t="inlineStr">
        <is>
          <t>NDTNN</t>
        </is>
      </c>
    </row>
    <row r="726" ht="14" customHeight="1" s="380">
      <c r="B726" s="4" t="inlineStr">
        <is>
          <t>BM031a_MSS</t>
        </is>
      </c>
      <c r="D726" s="319" t="inlineStr">
        <is>
          <t>NĐTNN KL bán khớp lệnh</t>
        </is>
      </c>
      <c r="F726" s="4" t="inlineStr">
        <is>
          <t>Báo cáo</t>
        </is>
      </c>
      <c r="G726" s="22" t="inlineStr">
        <is>
          <t>Chỉ tiêu phái sinh</t>
        </is>
      </c>
      <c r="H726" s="4" t="inlineStr">
        <is>
          <t>Trùng</t>
        </is>
      </c>
      <c r="I726" s="4" t="inlineStr">
        <is>
          <t>NDTNN</t>
        </is>
      </c>
    </row>
    <row r="727" ht="14" customHeight="1" s="380">
      <c r="B727" s="4" t="inlineStr">
        <is>
          <t>BM031a_MSS</t>
        </is>
      </c>
      <c r="D727" s="319" t="inlineStr">
        <is>
          <t>NĐTNN GT mua khớp lệnh</t>
        </is>
      </c>
      <c r="F727" s="4" t="inlineStr">
        <is>
          <t>Báo cáo</t>
        </is>
      </c>
      <c r="G727" s="22" t="inlineStr">
        <is>
          <t>Chỉ tiêu phái sinh</t>
        </is>
      </c>
      <c r="H727" s="4" t="inlineStr">
        <is>
          <t>Trùng</t>
        </is>
      </c>
      <c r="I727" s="4" t="inlineStr">
        <is>
          <t>NDTNN</t>
        </is>
      </c>
    </row>
    <row r="728" ht="14" customHeight="1" s="380">
      <c r="B728" s="4" t="n"/>
      <c r="D728" s="359" t="inlineStr">
        <is>
          <t>KL mua</t>
        </is>
      </c>
      <c r="F728" s="4" t="inlineStr">
        <is>
          <t>Báo cáo</t>
        </is>
      </c>
      <c r="G728" s="22" t="inlineStr">
        <is>
          <t>Chỉ tiêu phái sinh</t>
        </is>
      </c>
      <c r="H728" s="4" t="inlineStr">
        <is>
          <t>Trùng</t>
        </is>
      </c>
      <c r="I728" s="4" t="inlineStr">
        <is>
          <t>NDTNN</t>
        </is>
      </c>
    </row>
    <row r="729" ht="14" customHeight="1" s="380">
      <c r="B729" s="4" t="n"/>
      <c r="D729" s="359" t="inlineStr">
        <is>
          <t>Giá mua</t>
        </is>
      </c>
      <c r="F729" s="4" t="inlineStr">
        <is>
          <t>Báo cáo</t>
        </is>
      </c>
      <c r="G729" s="22" t="inlineStr">
        <is>
          <t>Chỉ tiêu phái sinh</t>
        </is>
      </c>
      <c r="H729" s="4" t="inlineStr">
        <is>
          <t>Trùng</t>
        </is>
      </c>
      <c r="I729" s="4" t="inlineStr">
        <is>
          <t>NDTNN</t>
        </is>
      </c>
    </row>
    <row r="730" ht="14" customHeight="1" s="380">
      <c r="B730" s="4" t="inlineStr">
        <is>
          <t>BM031a_MSS</t>
        </is>
      </c>
      <c r="D730" s="319" t="inlineStr">
        <is>
          <t>NĐTNN GT bán khớp lệnh</t>
        </is>
      </c>
      <c r="F730" s="4" t="inlineStr">
        <is>
          <t>Báo cáo</t>
        </is>
      </c>
      <c r="G730" s="22" t="inlineStr">
        <is>
          <t>Chỉ tiêu phái sinh</t>
        </is>
      </c>
      <c r="H730" s="4" t="inlineStr">
        <is>
          <t>Trùng</t>
        </is>
      </c>
      <c r="I730" s="4" t="inlineStr">
        <is>
          <t>NDTNN</t>
        </is>
      </c>
    </row>
    <row r="731" ht="14" customHeight="1" s="380">
      <c r="B731" s="4" t="n"/>
      <c r="D731" s="359" t="inlineStr">
        <is>
          <t>KL mua</t>
        </is>
      </c>
      <c r="F731" s="4" t="inlineStr">
        <is>
          <t>Báo cáo</t>
        </is>
      </c>
      <c r="G731" s="22" t="inlineStr">
        <is>
          <t>Chỉ tiêu phái sinh</t>
        </is>
      </c>
      <c r="H731" s="4" t="inlineStr">
        <is>
          <t>Trùng</t>
        </is>
      </c>
      <c r="I731" s="4" t="inlineStr">
        <is>
          <t>NDTNN</t>
        </is>
      </c>
    </row>
    <row r="732" ht="14" customHeight="1" s="380">
      <c r="B732" s="4" t="n"/>
      <c r="D732" s="359" t="inlineStr">
        <is>
          <t>Giá mua</t>
        </is>
      </c>
      <c r="F732" s="4" t="inlineStr">
        <is>
          <t>Báo cáo</t>
        </is>
      </c>
      <c r="G732" s="22" t="inlineStr">
        <is>
          <t>Chỉ tiêu phái sinh</t>
        </is>
      </c>
      <c r="H732" s="4" t="inlineStr">
        <is>
          <t>Trùng</t>
        </is>
      </c>
      <c r="I732" s="4" t="inlineStr">
        <is>
          <t>NDTNN</t>
        </is>
      </c>
    </row>
    <row r="733" ht="14" customHeight="1" s="380">
      <c r="B733" s="4" t="inlineStr">
        <is>
          <t>BM031a_MSS</t>
        </is>
      </c>
      <c r="D733" s="319" t="inlineStr">
        <is>
          <t>Giao dịch khối tự doanh Tổng KL mua</t>
        </is>
      </c>
      <c r="F733" s="4" t="inlineStr">
        <is>
          <t>Báo cáo</t>
        </is>
      </c>
      <c r="G733" s="22" t="inlineStr">
        <is>
          <t>Chỉ tiêu phái sinh</t>
        </is>
      </c>
      <c r="H733" s="4" t="inlineStr">
        <is>
          <t>Trùng</t>
        </is>
      </c>
      <c r="I733" s="4" t="inlineStr">
        <is>
          <t>NDTNN</t>
        </is>
      </c>
    </row>
    <row r="734" ht="14" customHeight="1" s="380">
      <c r="B734" s="4" t="inlineStr">
        <is>
          <t>BM031a_MSS</t>
        </is>
      </c>
      <c r="D734" s="319" t="inlineStr">
        <is>
          <t>Giao dịch khối tự doanh Tổng KL bán</t>
        </is>
      </c>
      <c r="F734" s="4" t="inlineStr">
        <is>
          <t>Báo cáo</t>
        </is>
      </c>
      <c r="G734" s="22" t="inlineStr">
        <is>
          <t>Chỉ tiêu phái sinh</t>
        </is>
      </c>
      <c r="H734" s="4" t="inlineStr">
        <is>
          <t>Trùng</t>
        </is>
      </c>
      <c r="I734" s="4" t="inlineStr">
        <is>
          <t>NDTNN</t>
        </is>
      </c>
    </row>
    <row r="735" ht="14" customHeight="1" s="380">
      <c r="B735" s="4" t="inlineStr">
        <is>
          <t>BM031a_MSS</t>
        </is>
      </c>
      <c r="D735" s="319" t="inlineStr">
        <is>
          <t>Giao dịch khối tự doanh Tổng GT mua</t>
        </is>
      </c>
      <c r="F735" s="4" t="inlineStr">
        <is>
          <t>Báo cáo</t>
        </is>
      </c>
      <c r="G735" s="22" t="inlineStr">
        <is>
          <t>Chỉ tiêu phái sinh</t>
        </is>
      </c>
      <c r="H735" s="4" t="inlineStr">
        <is>
          <t>Trùng</t>
        </is>
      </c>
      <c r="I735" s="4" t="inlineStr">
        <is>
          <t>NDTNN</t>
        </is>
      </c>
    </row>
    <row r="736" ht="14" customHeight="1" s="380">
      <c r="B736" s="4" t="inlineStr">
        <is>
          <t>BM031a_MSS</t>
        </is>
      </c>
      <c r="D736" s="319" t="inlineStr">
        <is>
          <t>Giao dịch khối tự doanh Tổng GT bán</t>
        </is>
      </c>
      <c r="F736" s="4" t="inlineStr">
        <is>
          <t>Báo cáo</t>
        </is>
      </c>
      <c r="G736" s="22" t="inlineStr">
        <is>
          <t>Chỉ tiêu phái sinh</t>
        </is>
      </c>
      <c r="H736" s="4" t="inlineStr">
        <is>
          <t>Trùng</t>
        </is>
      </c>
      <c r="I736" s="4" t="inlineStr">
        <is>
          <t>NDTNN</t>
        </is>
      </c>
    </row>
    <row r="737" ht="14" customHeight="1" s="380">
      <c r="B737" s="4" t="inlineStr">
        <is>
          <t>BM031a_MSS</t>
        </is>
      </c>
      <c r="D737" s="319" t="inlineStr">
        <is>
          <t>Giao dịch khối tự doanh KL mua thỏa thuận</t>
        </is>
      </c>
      <c r="F737" s="4" t="inlineStr">
        <is>
          <t>Báo cáo</t>
        </is>
      </c>
      <c r="G737" s="22" t="inlineStr">
        <is>
          <t>Chỉ tiêu phái sinh</t>
        </is>
      </c>
      <c r="H737" s="4" t="inlineStr">
        <is>
          <t>Trùng</t>
        </is>
      </c>
      <c r="I737" s="4" t="inlineStr">
        <is>
          <t>NDTNN</t>
        </is>
      </c>
    </row>
    <row r="738" ht="14" customHeight="1" s="380">
      <c r="B738" s="4" t="inlineStr">
        <is>
          <t>BM031a_MSS</t>
        </is>
      </c>
      <c r="D738" s="319" t="inlineStr">
        <is>
          <t>Giao dịch khối tự doanh KL bán thỏa thuận</t>
        </is>
      </c>
      <c r="F738" s="4" t="inlineStr">
        <is>
          <t>Báo cáo</t>
        </is>
      </c>
      <c r="G738" s="22" t="inlineStr">
        <is>
          <t>Chỉ tiêu phái sinh</t>
        </is>
      </c>
      <c r="H738" s="4" t="inlineStr">
        <is>
          <t>Trùng</t>
        </is>
      </c>
      <c r="I738" s="4" t="inlineStr">
        <is>
          <t>NDTNN</t>
        </is>
      </c>
    </row>
    <row r="739" ht="14" customHeight="1" s="380">
      <c r="B739" s="4" t="inlineStr">
        <is>
          <t>BM031a_MSS</t>
        </is>
      </c>
      <c r="D739" s="319" t="inlineStr">
        <is>
          <t>Giao dịch khối tự doanh GT mua thỏa thuận</t>
        </is>
      </c>
      <c r="F739" s="4" t="inlineStr">
        <is>
          <t>Báo cáo</t>
        </is>
      </c>
      <c r="G739" s="22" t="inlineStr">
        <is>
          <t>Chỉ tiêu phái sinh</t>
        </is>
      </c>
      <c r="H739" s="4" t="inlineStr">
        <is>
          <t>Trùng</t>
        </is>
      </c>
      <c r="I739" s="4" t="inlineStr">
        <is>
          <t>NDTNN</t>
        </is>
      </c>
    </row>
    <row r="740" ht="14" customHeight="1" s="380">
      <c r="B740" s="4" t="n"/>
      <c r="D740" s="359" t="inlineStr">
        <is>
          <t>KL mua</t>
        </is>
      </c>
      <c r="F740" s="4" t="inlineStr">
        <is>
          <t>Báo cáo</t>
        </is>
      </c>
      <c r="G740" s="22" t="inlineStr">
        <is>
          <t>Chỉ tiêu phái sinh</t>
        </is>
      </c>
      <c r="H740" s="4" t="inlineStr">
        <is>
          <t>Trùng</t>
        </is>
      </c>
      <c r="I740" s="4" t="inlineStr">
        <is>
          <t>NDTNN</t>
        </is>
      </c>
    </row>
    <row r="741" ht="14" customHeight="1" s="380">
      <c r="B741" s="4" t="n"/>
      <c r="D741" s="359" t="inlineStr">
        <is>
          <t>Giá mua</t>
        </is>
      </c>
      <c r="F741" s="4" t="inlineStr">
        <is>
          <t>Báo cáo</t>
        </is>
      </c>
      <c r="G741" s="22" t="inlineStr">
        <is>
          <t>Chỉ tiêu phái sinh</t>
        </is>
      </c>
      <c r="H741" s="4" t="inlineStr">
        <is>
          <t>Trùng</t>
        </is>
      </c>
      <c r="I741" s="4" t="inlineStr">
        <is>
          <t>NDTNN</t>
        </is>
      </c>
    </row>
    <row r="742" ht="14" customHeight="1" s="380">
      <c r="B742" s="4" t="inlineStr">
        <is>
          <t>BM031a_MSS</t>
        </is>
      </c>
      <c r="D742" s="319" t="inlineStr">
        <is>
          <t>Giao dịch khối tự doanh GT bán thỏa thuận</t>
        </is>
      </c>
      <c r="F742" s="4" t="inlineStr">
        <is>
          <t>Báo cáo</t>
        </is>
      </c>
      <c r="G742" s="22" t="inlineStr">
        <is>
          <t>Chỉ tiêu phái sinh</t>
        </is>
      </c>
      <c r="H742" s="4" t="inlineStr">
        <is>
          <t>Trùng</t>
        </is>
      </c>
      <c r="I742" s="4" t="inlineStr">
        <is>
          <t>NDTNN</t>
        </is>
      </c>
    </row>
    <row r="743" ht="14" customHeight="1" s="380">
      <c r="B743" s="4" t="n"/>
      <c r="D743" s="359" t="inlineStr">
        <is>
          <t>KL mua</t>
        </is>
      </c>
      <c r="F743" s="4" t="inlineStr">
        <is>
          <t>Báo cáo</t>
        </is>
      </c>
      <c r="G743" s="22" t="inlineStr">
        <is>
          <t>Chỉ tiêu phái sinh</t>
        </is>
      </c>
      <c r="H743" s="4" t="inlineStr">
        <is>
          <t>Trùng</t>
        </is>
      </c>
      <c r="I743" s="4" t="inlineStr">
        <is>
          <t>NDTNN</t>
        </is>
      </c>
    </row>
    <row r="744" ht="14" customHeight="1" s="380">
      <c r="B744" s="4" t="n"/>
      <c r="D744" s="359" t="inlineStr">
        <is>
          <t>Giá mua</t>
        </is>
      </c>
      <c r="F744" s="4" t="inlineStr">
        <is>
          <t>Báo cáo</t>
        </is>
      </c>
      <c r="G744" s="22" t="inlineStr">
        <is>
          <t>Chỉ tiêu phái sinh</t>
        </is>
      </c>
      <c r="H744" s="4" t="inlineStr">
        <is>
          <t>Trùng</t>
        </is>
      </c>
      <c r="I744" s="4" t="inlineStr">
        <is>
          <t>NDTNN</t>
        </is>
      </c>
    </row>
    <row r="745" ht="14" customHeight="1" s="380">
      <c r="B745" s="4" t="inlineStr">
        <is>
          <t>BM031a_MSS</t>
        </is>
      </c>
      <c r="D745" s="319" t="inlineStr">
        <is>
          <t>Giao dịch khối tự doanh KL mua khớp lệnh</t>
        </is>
      </c>
      <c r="F745" s="4" t="inlineStr">
        <is>
          <t>Báo cáo</t>
        </is>
      </c>
      <c r="G745" s="22" t="inlineStr">
        <is>
          <t>Chỉ tiêu phái sinh</t>
        </is>
      </c>
      <c r="H745" s="4" t="inlineStr">
        <is>
          <t>Trùng</t>
        </is>
      </c>
      <c r="I745" s="4" t="inlineStr">
        <is>
          <t>NDTNN</t>
        </is>
      </c>
    </row>
    <row r="746" ht="14" customHeight="1" s="380">
      <c r="B746" s="4" t="inlineStr">
        <is>
          <t>BM031a_MSS</t>
        </is>
      </c>
      <c r="D746" s="319" t="inlineStr">
        <is>
          <t>Giao dịch khối tự doanh KL bán khớp lệnh</t>
        </is>
      </c>
      <c r="F746" s="4" t="inlineStr">
        <is>
          <t>Báo cáo</t>
        </is>
      </c>
      <c r="G746" s="22" t="inlineStr">
        <is>
          <t>Chỉ tiêu phái sinh</t>
        </is>
      </c>
      <c r="H746" s="4" t="inlineStr">
        <is>
          <t>Trùng</t>
        </is>
      </c>
      <c r="I746" s="4" t="inlineStr">
        <is>
          <t>NDTNN</t>
        </is>
      </c>
    </row>
    <row r="747" ht="14" customHeight="1" s="380">
      <c r="B747" s="4" t="inlineStr">
        <is>
          <t>BM031a_MSS</t>
        </is>
      </c>
      <c r="D747" s="319" t="inlineStr">
        <is>
          <t>Giao dịch khối tự doanh GT mua khớp lệnh</t>
        </is>
      </c>
      <c r="F747" s="4" t="inlineStr">
        <is>
          <t>Báo cáo</t>
        </is>
      </c>
      <c r="G747" s="22" t="inlineStr">
        <is>
          <t>Chỉ tiêu phái sinh</t>
        </is>
      </c>
      <c r="H747" s="4" t="inlineStr">
        <is>
          <t>Trùng</t>
        </is>
      </c>
      <c r="I747" s="4" t="inlineStr">
        <is>
          <t>NDTNN</t>
        </is>
      </c>
    </row>
    <row r="748" ht="14" customHeight="1" s="380">
      <c r="B748" s="4" t="inlineStr">
        <is>
          <t>BM031a_MSS</t>
        </is>
      </c>
      <c r="D748" s="359" t="inlineStr">
        <is>
          <t>KL mua</t>
        </is>
      </c>
      <c r="F748" s="4" t="inlineStr">
        <is>
          <t>Báo cáo</t>
        </is>
      </c>
      <c r="G748" s="22" t="inlineStr">
        <is>
          <t>Chỉ tiêu phái sinh</t>
        </is>
      </c>
      <c r="H748" s="4" t="inlineStr">
        <is>
          <t>Trùng</t>
        </is>
      </c>
      <c r="I748" s="4" t="inlineStr">
        <is>
          <t>NDTNN</t>
        </is>
      </c>
    </row>
    <row r="749" ht="14" customHeight="1" s="380">
      <c r="B749" s="4" t="inlineStr">
        <is>
          <t>BM031a_MSS</t>
        </is>
      </c>
      <c r="D749" s="359" t="inlineStr">
        <is>
          <t>Giá mua</t>
        </is>
      </c>
      <c r="F749" s="4" t="inlineStr">
        <is>
          <t>Báo cáo</t>
        </is>
      </c>
      <c r="G749" s="22" t="inlineStr">
        <is>
          <t>Chỉ tiêu phái sinh</t>
        </is>
      </c>
      <c r="H749" s="4" t="inlineStr">
        <is>
          <t>Trùng</t>
        </is>
      </c>
      <c r="I749" s="4" t="inlineStr">
        <is>
          <t>NDTNN</t>
        </is>
      </c>
    </row>
    <row r="750" ht="14" customHeight="1" s="380">
      <c r="B750" s="4" t="inlineStr">
        <is>
          <t>BM031a_MSS</t>
        </is>
      </c>
      <c r="D750" s="319" t="inlineStr">
        <is>
          <t>Giao dịch khối tự doanh GT bán khớp lệnh</t>
        </is>
      </c>
      <c r="F750" s="4" t="inlineStr">
        <is>
          <t>Báo cáo</t>
        </is>
      </c>
      <c r="G750" s="22" t="inlineStr">
        <is>
          <t>Chỉ tiêu phái sinh</t>
        </is>
      </c>
      <c r="H750" s="4" t="inlineStr">
        <is>
          <t>Trùng</t>
        </is>
      </c>
      <c r="I750" s="4" t="inlineStr">
        <is>
          <t>NDTNN</t>
        </is>
      </c>
    </row>
    <row r="751" ht="14" customHeight="1" s="380">
      <c r="B751" s="4" t="inlineStr">
        <is>
          <t>BM031a_MSS</t>
        </is>
      </c>
      <c r="D751" s="359" t="inlineStr">
        <is>
          <t>KL mua</t>
        </is>
      </c>
      <c r="F751" s="4" t="inlineStr">
        <is>
          <t>Báo cáo</t>
        </is>
      </c>
      <c r="G751" s="22" t="inlineStr">
        <is>
          <t>Chỉ tiêu phái sinh</t>
        </is>
      </c>
      <c r="H751" s="4" t="inlineStr">
        <is>
          <t>Trùng</t>
        </is>
      </c>
      <c r="I751" s="4" t="inlineStr">
        <is>
          <t>NDTNN</t>
        </is>
      </c>
    </row>
    <row r="752" ht="14" customHeight="1" s="380">
      <c r="B752" s="4" t="inlineStr">
        <is>
          <t>BM031a_MSS</t>
        </is>
      </c>
      <c r="D752" s="359" t="inlineStr">
        <is>
          <t>Giá mua</t>
        </is>
      </c>
      <c r="F752" s="4" t="inlineStr">
        <is>
          <t>Báo cáo</t>
        </is>
      </c>
      <c r="G752" s="22" t="inlineStr">
        <is>
          <t>Chỉ tiêu phái sinh</t>
        </is>
      </c>
      <c r="H752" s="4" t="inlineStr">
        <is>
          <t>Trùng</t>
        </is>
      </c>
      <c r="I752" s="4" t="inlineStr">
        <is>
          <t>NDTNN</t>
        </is>
      </c>
    </row>
    <row r="753" ht="14" customHeight="1" s="380">
      <c r="A753" s="184" t="n"/>
      <c r="B753" s="184" t="inlineStr">
        <is>
          <t>BM031b_MSS</t>
        </is>
      </c>
      <c r="C753" s="318" t="n"/>
      <c r="D753" s="318" t="inlineStr">
        <is>
          <t>Thời gian</t>
        </is>
      </c>
      <c r="E753" s="184" t="n"/>
      <c r="F753" s="4" t="inlineStr">
        <is>
          <t>Báo cáo</t>
        </is>
      </c>
      <c r="G753" s="184" t="inlineStr">
        <is>
          <t>Chiều</t>
        </is>
      </c>
      <c r="H753" s="184" t="n"/>
      <c r="I753" s="184" t="n"/>
      <c r="J753" s="184" t="n"/>
      <c r="K753" s="184" t="n"/>
      <c r="L753" s="184" t="n"/>
    </row>
    <row r="754" ht="14" customHeight="1" s="380">
      <c r="B754" s="4" t="inlineStr">
        <is>
          <t>BM031b_MSS</t>
        </is>
      </c>
      <c r="C754" s="319" t="n"/>
      <c r="D754" s="319" t="inlineStr">
        <is>
          <t>NĐTNN GD thông thường KL mua</t>
        </is>
      </c>
      <c r="F754" s="4" t="inlineStr">
        <is>
          <t>Báo cáo</t>
        </is>
      </c>
      <c r="G754" s="22" t="inlineStr">
        <is>
          <t>Chỉ tiêu phái sinh</t>
        </is>
      </c>
      <c r="H754" s="4" t="inlineStr">
        <is>
          <t>TB</t>
        </is>
      </c>
    </row>
    <row r="755" ht="14" customHeight="1" s="380">
      <c r="B755" s="4" t="inlineStr">
        <is>
          <t>BM031b_MSS</t>
        </is>
      </c>
      <c r="C755" s="319" t="n"/>
      <c r="D755" s="319" t="inlineStr">
        <is>
          <t>NĐTNN GD thông thường KL bán</t>
        </is>
      </c>
      <c r="F755" s="4" t="inlineStr">
        <is>
          <t>Báo cáo</t>
        </is>
      </c>
      <c r="G755" s="22" t="inlineStr">
        <is>
          <t>Chỉ tiêu phái sinh</t>
        </is>
      </c>
      <c r="H755" s="4" t="inlineStr">
        <is>
          <t>TB</t>
        </is>
      </c>
    </row>
    <row r="756" ht="14" customHeight="1" s="380">
      <c r="B756" s="4" t="inlineStr">
        <is>
          <t>BM031b_MSS</t>
        </is>
      </c>
      <c r="C756" s="319" t="n"/>
      <c r="D756" s="319" t="inlineStr">
        <is>
          <t>NĐTNN GD thông thường GT mua</t>
        </is>
      </c>
      <c r="F756" s="4" t="inlineStr">
        <is>
          <t>Báo cáo</t>
        </is>
      </c>
      <c r="G756" s="22" t="inlineStr">
        <is>
          <t>Chỉ tiêu phái sinh</t>
        </is>
      </c>
      <c r="H756" s="4" t="inlineStr">
        <is>
          <t>TB</t>
        </is>
      </c>
    </row>
    <row r="757" ht="14" customHeight="1" s="380">
      <c r="B757" s="4" t="inlineStr">
        <is>
          <t>BM031b_MSS</t>
        </is>
      </c>
      <c r="C757" s="319" t="n"/>
      <c r="D757" s="319" t="inlineStr">
        <is>
          <t>NĐTNN GD thông thường GT bán</t>
        </is>
      </c>
      <c r="F757" s="4" t="inlineStr">
        <is>
          <t>Báo cáo</t>
        </is>
      </c>
      <c r="G757" s="22" t="inlineStr">
        <is>
          <t>Chỉ tiêu phái sinh</t>
        </is>
      </c>
      <c r="H757" s="4" t="inlineStr">
        <is>
          <t>TB</t>
        </is>
      </c>
    </row>
    <row r="758" ht="14" customHeight="1" s="380">
      <c r="B758" s="4" t="inlineStr">
        <is>
          <t>BM031b_MSS</t>
        </is>
      </c>
      <c r="C758" s="319" t="n"/>
      <c r="D758" s="319" t="inlineStr">
        <is>
          <t>NĐTNN GD mua bán lại lần 1 KL mua</t>
        </is>
      </c>
      <c r="F758" s="4" t="inlineStr">
        <is>
          <t>Báo cáo</t>
        </is>
      </c>
      <c r="G758" s="22" t="inlineStr">
        <is>
          <t>Chỉ tiêu phái sinh</t>
        </is>
      </c>
      <c r="H758" s="4" t="inlineStr">
        <is>
          <t>TB</t>
        </is>
      </c>
    </row>
    <row r="759" ht="14" customHeight="1" s="380">
      <c r="B759" s="4" t="inlineStr">
        <is>
          <t>BM031b_MSS</t>
        </is>
      </c>
      <c r="C759" s="319" t="n"/>
      <c r="D759" s="319" t="inlineStr">
        <is>
          <t>NĐTNN GD mua bán lại lần 1 KL bán</t>
        </is>
      </c>
      <c r="F759" s="4" t="inlineStr">
        <is>
          <t>Báo cáo</t>
        </is>
      </c>
      <c r="G759" s="22" t="inlineStr">
        <is>
          <t>Chỉ tiêu phái sinh</t>
        </is>
      </c>
      <c r="H759" s="4" t="inlineStr">
        <is>
          <t>TB</t>
        </is>
      </c>
    </row>
    <row r="760" ht="14" customHeight="1" s="380">
      <c r="B760" s="4" t="inlineStr">
        <is>
          <t>BM031b_MSS</t>
        </is>
      </c>
      <c r="C760" s="319" t="n"/>
      <c r="D760" s="319" t="inlineStr">
        <is>
          <t>NĐTNN GD mua bán lại lần 1 GT mua</t>
        </is>
      </c>
      <c r="F760" s="4" t="inlineStr">
        <is>
          <t>Báo cáo</t>
        </is>
      </c>
      <c r="G760" s="22" t="inlineStr">
        <is>
          <t>Chỉ tiêu phái sinh</t>
        </is>
      </c>
      <c r="H760" s="4" t="inlineStr">
        <is>
          <t>TB</t>
        </is>
      </c>
    </row>
    <row r="761" ht="14" customHeight="1" s="380">
      <c r="B761" s="4" t="inlineStr">
        <is>
          <t>BM031b_MSS</t>
        </is>
      </c>
      <c r="C761" s="319" t="n"/>
      <c r="D761" s="319" t="inlineStr">
        <is>
          <t>NĐTNN GD mua bán lại lần 1 GT bán</t>
        </is>
      </c>
      <c r="F761" s="4" t="inlineStr">
        <is>
          <t>Báo cáo</t>
        </is>
      </c>
      <c r="G761" s="22" t="inlineStr">
        <is>
          <t>Chỉ tiêu phái sinh</t>
        </is>
      </c>
      <c r="H761" s="4" t="inlineStr">
        <is>
          <t>TB</t>
        </is>
      </c>
    </row>
    <row r="762" ht="14" customHeight="1" s="380">
      <c r="B762" s="4" t="inlineStr">
        <is>
          <t>BM031b_MSS</t>
        </is>
      </c>
      <c r="C762" s="319" t="n"/>
      <c r="D762" s="319" t="inlineStr">
        <is>
          <t>NĐTNN GD mua bán lại lần 2 KL mua</t>
        </is>
      </c>
      <c r="F762" s="4" t="inlineStr">
        <is>
          <t>Báo cáo</t>
        </is>
      </c>
      <c r="G762" s="22" t="inlineStr">
        <is>
          <t>Chỉ tiêu phái sinh</t>
        </is>
      </c>
      <c r="H762" s="4" t="inlineStr">
        <is>
          <t>TB</t>
        </is>
      </c>
    </row>
    <row r="763" ht="14" customHeight="1" s="380">
      <c r="B763" s="4" t="inlineStr">
        <is>
          <t>BM031b_MSS</t>
        </is>
      </c>
      <c r="C763" s="319" t="n"/>
      <c r="D763" s="319" t="inlineStr">
        <is>
          <t>NĐTNN GD mua bán lại lần 2 KL bán</t>
        </is>
      </c>
      <c r="F763" s="4" t="inlineStr">
        <is>
          <t>Báo cáo</t>
        </is>
      </c>
      <c r="G763" s="22" t="inlineStr">
        <is>
          <t>Chỉ tiêu phái sinh</t>
        </is>
      </c>
      <c r="H763" s="4" t="inlineStr">
        <is>
          <t>TB</t>
        </is>
      </c>
    </row>
    <row r="764" ht="14" customHeight="1" s="380">
      <c r="B764" s="4" t="inlineStr">
        <is>
          <t>BM031b_MSS</t>
        </is>
      </c>
      <c r="C764" s="319" t="n"/>
      <c r="D764" s="319" t="inlineStr">
        <is>
          <t>NĐTNN GD mua bán lại lần 2 GT mua</t>
        </is>
      </c>
      <c r="F764" s="4" t="inlineStr">
        <is>
          <t>Báo cáo</t>
        </is>
      </c>
      <c r="G764" s="22" t="inlineStr">
        <is>
          <t>Chỉ tiêu phái sinh</t>
        </is>
      </c>
      <c r="H764" s="4" t="inlineStr">
        <is>
          <t>TB</t>
        </is>
      </c>
    </row>
    <row r="765" ht="14" customHeight="1" s="380">
      <c r="B765" s="4" t="inlineStr">
        <is>
          <t>BM031b_MSS</t>
        </is>
      </c>
      <c r="C765" s="319" t="n"/>
      <c r="D765" s="319" t="inlineStr">
        <is>
          <t>NĐTNN GD mua bán lại lần 2 GT bán</t>
        </is>
      </c>
      <c r="F765" s="4" t="inlineStr">
        <is>
          <t>Báo cáo</t>
        </is>
      </c>
      <c r="G765" s="22" t="inlineStr">
        <is>
          <t>Chỉ tiêu phái sinh</t>
        </is>
      </c>
      <c r="H765" s="4" t="inlineStr">
        <is>
          <t>TB</t>
        </is>
      </c>
    </row>
    <row r="766" ht="14" customHeight="1" s="380">
      <c r="B766" s="4" t="inlineStr">
        <is>
          <t>BM031b_MSS</t>
        </is>
      </c>
      <c r="C766" s="319" t="n"/>
      <c r="D766" s="319" t="inlineStr">
        <is>
          <t>Giao dịch khối tự doanh GD thông thường KL mua</t>
        </is>
      </c>
      <c r="F766" s="4" t="inlineStr">
        <is>
          <t>Báo cáo</t>
        </is>
      </c>
      <c r="G766" s="22" t="inlineStr">
        <is>
          <t>Chỉ tiêu phái sinh</t>
        </is>
      </c>
      <c r="H766" s="4" t="inlineStr">
        <is>
          <t>TB</t>
        </is>
      </c>
    </row>
    <row r="767" ht="14" customHeight="1" s="380">
      <c r="B767" s="4" t="inlineStr">
        <is>
          <t>BM031b_MSS</t>
        </is>
      </c>
      <c r="C767" s="319" t="n"/>
      <c r="D767" s="319" t="inlineStr">
        <is>
          <t>Giao dịch khối tự doanh GD thông thường KL bán</t>
        </is>
      </c>
      <c r="F767" s="4" t="inlineStr">
        <is>
          <t>Báo cáo</t>
        </is>
      </c>
      <c r="G767" s="22" t="inlineStr">
        <is>
          <t>Chỉ tiêu phái sinh</t>
        </is>
      </c>
      <c r="H767" s="4" t="inlineStr">
        <is>
          <t>TB</t>
        </is>
      </c>
    </row>
    <row r="768" ht="14" customHeight="1" s="380">
      <c r="B768" s="4" t="inlineStr">
        <is>
          <t>BM031b_MSS</t>
        </is>
      </c>
      <c r="C768" s="319" t="n"/>
      <c r="D768" s="319" t="inlineStr">
        <is>
          <t>Giao dịch khối tự doanh GD thông thường GT mua</t>
        </is>
      </c>
      <c r="F768" s="4" t="inlineStr">
        <is>
          <t>Báo cáo</t>
        </is>
      </c>
      <c r="G768" s="22" t="inlineStr">
        <is>
          <t>Chỉ tiêu phái sinh</t>
        </is>
      </c>
      <c r="H768" s="4" t="inlineStr">
        <is>
          <t>TB</t>
        </is>
      </c>
    </row>
    <row r="769" ht="14" customHeight="1" s="380">
      <c r="B769" s="4" t="inlineStr">
        <is>
          <t>BM031b_MSS</t>
        </is>
      </c>
      <c r="C769" s="319" t="n"/>
      <c r="D769" s="319" t="inlineStr">
        <is>
          <t>Giao dịch khối tự doanh GD thông thường GT bán</t>
        </is>
      </c>
      <c r="F769" s="4" t="inlineStr">
        <is>
          <t>Báo cáo</t>
        </is>
      </c>
      <c r="G769" s="22" t="inlineStr">
        <is>
          <t>Chỉ tiêu phái sinh</t>
        </is>
      </c>
      <c r="H769" s="4" t="inlineStr">
        <is>
          <t>TB</t>
        </is>
      </c>
    </row>
    <row r="770" ht="14" customHeight="1" s="380">
      <c r="B770" s="4" t="inlineStr">
        <is>
          <t>BM031b_MSS</t>
        </is>
      </c>
      <c r="C770" s="319" t="n"/>
      <c r="D770" s="319" t="inlineStr">
        <is>
          <t>GD mua bán lại lần 1 KL mua</t>
        </is>
      </c>
      <c r="F770" s="4" t="inlineStr">
        <is>
          <t>Báo cáo</t>
        </is>
      </c>
      <c r="G770" s="22" t="inlineStr">
        <is>
          <t>Chỉ tiêu phái sinh</t>
        </is>
      </c>
      <c r="H770" s="4" t="inlineStr">
        <is>
          <t>TB</t>
        </is>
      </c>
    </row>
    <row r="771" ht="14" customHeight="1" s="380">
      <c r="B771" s="4" t="inlineStr">
        <is>
          <t>BM031b_MSS</t>
        </is>
      </c>
      <c r="C771" s="319" t="n"/>
      <c r="D771" s="319" t="inlineStr">
        <is>
          <t>GD mua bán lại lần 1 KL bán</t>
        </is>
      </c>
      <c r="F771" s="4" t="inlineStr">
        <is>
          <t>Báo cáo</t>
        </is>
      </c>
      <c r="G771" s="22" t="inlineStr">
        <is>
          <t>Chỉ tiêu phái sinh</t>
        </is>
      </c>
      <c r="H771" s="4" t="inlineStr">
        <is>
          <t>TB</t>
        </is>
      </c>
    </row>
    <row r="772" ht="14" customHeight="1" s="380">
      <c r="B772" s="4" t="inlineStr">
        <is>
          <t>BM031b_MSS</t>
        </is>
      </c>
      <c r="C772" s="319" t="n"/>
      <c r="D772" s="319" t="inlineStr">
        <is>
          <t>GD mua bán lại lần 1 GT mua</t>
        </is>
      </c>
      <c r="F772" s="4" t="inlineStr">
        <is>
          <t>Báo cáo</t>
        </is>
      </c>
      <c r="G772" s="22" t="inlineStr">
        <is>
          <t>Chỉ tiêu phái sinh</t>
        </is>
      </c>
      <c r="H772" s="4" t="inlineStr">
        <is>
          <t>TB</t>
        </is>
      </c>
    </row>
    <row r="773" ht="14" customHeight="1" s="380">
      <c r="B773" s="4" t="inlineStr">
        <is>
          <t>BM031b_MSS</t>
        </is>
      </c>
      <c r="C773" s="319" t="n"/>
      <c r="D773" s="319" t="inlineStr">
        <is>
          <t>GD mua bán lại lần 1 GT bán</t>
        </is>
      </c>
      <c r="F773" s="4" t="inlineStr">
        <is>
          <t>Báo cáo</t>
        </is>
      </c>
      <c r="G773" s="22" t="inlineStr">
        <is>
          <t>Chỉ tiêu phái sinh</t>
        </is>
      </c>
      <c r="H773" s="4" t="inlineStr">
        <is>
          <t>TB</t>
        </is>
      </c>
    </row>
    <row r="774" ht="14" customHeight="1" s="380">
      <c r="B774" s="4" t="inlineStr">
        <is>
          <t>BM031b_MSS</t>
        </is>
      </c>
      <c r="C774" s="319" t="n"/>
      <c r="D774" s="319" t="inlineStr">
        <is>
          <t>GD mua bán lại lần 2 KL mua</t>
        </is>
      </c>
      <c r="F774" s="4" t="inlineStr">
        <is>
          <t>Báo cáo</t>
        </is>
      </c>
      <c r="G774" s="22" t="inlineStr">
        <is>
          <t>Chỉ tiêu phái sinh</t>
        </is>
      </c>
      <c r="H774" s="4" t="inlineStr">
        <is>
          <t>TB</t>
        </is>
      </c>
    </row>
    <row r="775" ht="14" customHeight="1" s="380">
      <c r="B775" s="4" t="inlineStr">
        <is>
          <t>BM031b_MSS</t>
        </is>
      </c>
      <c r="C775" s="319" t="n"/>
      <c r="D775" s="319" t="inlineStr">
        <is>
          <t>GD mua bán lại lần 2 KL bán</t>
        </is>
      </c>
      <c r="F775" s="4" t="inlineStr">
        <is>
          <t>Báo cáo</t>
        </is>
      </c>
      <c r="G775" s="22" t="inlineStr">
        <is>
          <t>Chỉ tiêu phái sinh</t>
        </is>
      </c>
      <c r="H775" s="4" t="inlineStr">
        <is>
          <t>TB</t>
        </is>
      </c>
    </row>
    <row r="776" ht="14" customHeight="1" s="380">
      <c r="B776" s="4" t="inlineStr">
        <is>
          <t>BM031b_MSS</t>
        </is>
      </c>
      <c r="C776" s="319" t="n"/>
      <c r="D776" s="319" t="inlineStr">
        <is>
          <t>GD mua bán lại lần 2 GT mua</t>
        </is>
      </c>
      <c r="F776" s="4" t="inlineStr">
        <is>
          <t>Báo cáo</t>
        </is>
      </c>
      <c r="G776" s="22" t="inlineStr">
        <is>
          <t>Chỉ tiêu phái sinh</t>
        </is>
      </c>
      <c r="H776" s="4" t="inlineStr">
        <is>
          <t>TB</t>
        </is>
      </c>
    </row>
    <row r="777" ht="14" customHeight="1" s="380">
      <c r="B777" s="4" t="inlineStr">
        <is>
          <t>BM031b_MSS</t>
        </is>
      </c>
      <c r="C777" s="319" t="n"/>
      <c r="D777" s="319" t="inlineStr">
        <is>
          <t>GD mua bán lại lần 2 GT bán</t>
        </is>
      </c>
      <c r="F777" s="4" t="inlineStr">
        <is>
          <t>Báo cáo</t>
        </is>
      </c>
      <c r="G777" s="22" t="inlineStr">
        <is>
          <t>Chỉ tiêu phái sinh</t>
        </is>
      </c>
      <c r="H777" s="4" t="inlineStr">
        <is>
          <t>TB</t>
        </is>
      </c>
    </row>
    <row r="778" ht="15" customHeight="1" s="380">
      <c r="A778" s="184" t="n"/>
      <c r="B778" s="184" t="inlineStr">
        <is>
          <t>BM031C_MSS</t>
        </is>
      </c>
      <c r="C778" s="320" t="n"/>
      <c r="D778" s="320" t="inlineStr">
        <is>
          <t>Thời gian</t>
        </is>
      </c>
      <c r="E778" s="184" t="n"/>
      <c r="F778" s="4" t="inlineStr">
        <is>
          <t>Báo cáo</t>
        </is>
      </c>
      <c r="G778" s="184" t="inlineStr">
        <is>
          <t>Chiều</t>
        </is>
      </c>
      <c r="H778" s="184" t="n"/>
      <c r="I778" s="184" t="n"/>
      <c r="J778" s="184" t="n"/>
      <c r="K778" s="184" t="n"/>
      <c r="L778" s="184" t="n"/>
    </row>
    <row r="779" ht="15" customHeight="1" s="380">
      <c r="B779" s="4" t="inlineStr">
        <is>
          <t>BM031C_MSS</t>
        </is>
      </c>
      <c r="C779" s="216" t="n"/>
      <c r="D779" s="216" t="inlineStr">
        <is>
          <t>GD NĐTNN KL mua</t>
        </is>
      </c>
      <c r="F779" s="4" t="inlineStr">
        <is>
          <t>Báo cáo</t>
        </is>
      </c>
      <c r="G779" s="22" t="inlineStr">
        <is>
          <t>Chỉ tiêu phái sinh</t>
        </is>
      </c>
      <c r="H779" s="4" t="inlineStr">
        <is>
          <t>TB</t>
        </is>
      </c>
    </row>
    <row r="780" ht="15" customHeight="1" s="380">
      <c r="B780" s="4" t="inlineStr">
        <is>
          <t>BM031C_MSS</t>
        </is>
      </c>
      <c r="C780" s="216" t="n"/>
      <c r="D780" s="216" t="inlineStr">
        <is>
          <t>GD NĐTNN KL bán</t>
        </is>
      </c>
      <c r="F780" s="4" t="inlineStr">
        <is>
          <t>Báo cáo</t>
        </is>
      </c>
      <c r="G780" s="22" t="inlineStr">
        <is>
          <t>Chỉ tiêu phái sinh</t>
        </is>
      </c>
      <c r="H780" s="4" t="inlineStr">
        <is>
          <t>TB</t>
        </is>
      </c>
    </row>
    <row r="781" ht="15" customHeight="1" s="380">
      <c r="B781" s="4" t="inlineStr">
        <is>
          <t>BM031C_MSS</t>
        </is>
      </c>
      <c r="C781" s="216" t="n"/>
      <c r="D781" s="216" t="inlineStr">
        <is>
          <t>GD NĐTNN GT mua</t>
        </is>
      </c>
      <c r="F781" s="4" t="inlineStr">
        <is>
          <t>Báo cáo</t>
        </is>
      </c>
      <c r="G781" s="22" t="inlineStr">
        <is>
          <t>Chỉ tiêu phái sinh</t>
        </is>
      </c>
      <c r="H781" s="4" t="inlineStr">
        <is>
          <t>TB</t>
        </is>
      </c>
    </row>
    <row r="782" ht="15" customHeight="1" s="380">
      <c r="B782" s="4" t="inlineStr">
        <is>
          <t>BM031C_MSS</t>
        </is>
      </c>
      <c r="C782" s="216" t="n"/>
      <c r="D782" s="216" t="inlineStr">
        <is>
          <t>GD NĐTNN GT bán</t>
        </is>
      </c>
      <c r="F782" s="4" t="inlineStr">
        <is>
          <t>Báo cáo</t>
        </is>
      </c>
      <c r="G782" s="22" t="inlineStr">
        <is>
          <t>Chỉ tiêu phái sinh</t>
        </is>
      </c>
      <c r="H782" s="4" t="inlineStr">
        <is>
          <t>TB</t>
        </is>
      </c>
    </row>
    <row r="783" ht="15" customHeight="1" s="380">
      <c r="B783" s="4" t="inlineStr">
        <is>
          <t>BM031C_MSS</t>
        </is>
      </c>
      <c r="C783" s="216" t="n"/>
      <c r="D783" s="216" t="inlineStr">
        <is>
          <t>GD tự doanh KL mua</t>
        </is>
      </c>
      <c r="F783" s="4" t="inlineStr">
        <is>
          <t>Báo cáo</t>
        </is>
      </c>
      <c r="G783" s="22" t="inlineStr">
        <is>
          <t>Chỉ tiêu phái sinh</t>
        </is>
      </c>
      <c r="H783" s="4" t="inlineStr">
        <is>
          <t>TB</t>
        </is>
      </c>
    </row>
    <row r="784" ht="15" customHeight="1" s="380">
      <c r="B784" s="4" t="inlineStr">
        <is>
          <t>BM031C_MSS</t>
        </is>
      </c>
      <c r="C784" s="216" t="n"/>
      <c r="D784" s="216" t="inlineStr">
        <is>
          <t>GD tự doanh KL bán</t>
        </is>
      </c>
      <c r="F784" s="4" t="inlineStr">
        <is>
          <t>Báo cáo</t>
        </is>
      </c>
      <c r="G784" s="22" t="inlineStr">
        <is>
          <t>Chỉ tiêu phái sinh</t>
        </is>
      </c>
      <c r="H784" s="4" t="inlineStr">
        <is>
          <t>TB</t>
        </is>
      </c>
    </row>
    <row r="785" ht="15" customHeight="1" s="380">
      <c r="B785" s="4" t="inlineStr">
        <is>
          <t>BM031C_MSS</t>
        </is>
      </c>
      <c r="C785" s="216" t="n"/>
      <c r="D785" s="216" t="inlineStr">
        <is>
          <t>GD tự doanh GT mua</t>
        </is>
      </c>
      <c r="F785" s="4" t="inlineStr">
        <is>
          <t>Báo cáo</t>
        </is>
      </c>
      <c r="G785" s="22" t="inlineStr">
        <is>
          <t>Chỉ tiêu phái sinh</t>
        </is>
      </c>
      <c r="H785" s="4" t="inlineStr">
        <is>
          <t>TB</t>
        </is>
      </c>
    </row>
    <row r="786" ht="15" customHeight="1" s="380">
      <c r="B786" s="4" t="inlineStr">
        <is>
          <t>BM031C_MSS</t>
        </is>
      </c>
      <c r="C786" s="216" t="n"/>
      <c r="D786" s="216" t="inlineStr">
        <is>
          <t>GD tự doanh GT bán</t>
        </is>
      </c>
      <c r="F786" s="4" t="inlineStr">
        <is>
          <t>Báo cáo</t>
        </is>
      </c>
      <c r="G786" s="22" t="inlineStr">
        <is>
          <t>Chỉ tiêu phái sinh</t>
        </is>
      </c>
      <c r="H786" s="4" t="inlineStr">
        <is>
          <t>TB</t>
        </is>
      </c>
    </row>
    <row r="787" ht="13" customHeight="1" s="380">
      <c r="A787" s="184" t="n"/>
      <c r="B787" s="184" t="inlineStr">
        <is>
          <t>BM031C_MSS</t>
        </is>
      </c>
      <c r="C787" s="184" t="n"/>
      <c r="D787" s="184" t="inlineStr">
        <is>
          <t>Thời gian</t>
        </is>
      </c>
      <c r="E787" s="184" t="n"/>
      <c r="F787" s="4" t="inlineStr">
        <is>
          <t>Báo cáo</t>
        </is>
      </c>
      <c r="G787" s="184" t="inlineStr">
        <is>
          <t>Chiều</t>
        </is>
      </c>
      <c r="H787" s="184" t="n"/>
      <c r="I787" s="184" t="n"/>
      <c r="J787" s="184" t="n"/>
      <c r="K787" s="184" t="n"/>
      <c r="L787" s="184" t="n"/>
    </row>
    <row r="788" ht="13" customHeight="1" s="380">
      <c r="B788" s="4" t="n"/>
      <c r="C788" s="4" t="n"/>
      <c r="D788" s="4" t="inlineStr">
        <is>
          <t xml:space="preserve">GDNĐTNN </t>
        </is>
      </c>
      <c r="F788" s="4" t="inlineStr">
        <is>
          <t>Báo cáo</t>
        </is>
      </c>
      <c r="G788" s="4" t="inlineStr">
        <is>
          <t>Chiều</t>
        </is>
      </c>
    </row>
    <row r="789" ht="13" customHeight="1" s="380">
      <c r="B789" s="4" t="inlineStr">
        <is>
          <t>BM031d_MSS</t>
        </is>
      </c>
      <c r="C789" s="4" t="n"/>
      <c r="D789" s="4" t="inlineStr">
        <is>
          <t>GDNĐTNN CCQ KL mua Khớp lệnh</t>
        </is>
      </c>
      <c r="F789" s="4" t="inlineStr">
        <is>
          <t>Báo cáo</t>
        </is>
      </c>
      <c r="G789" s="22" t="inlineStr">
        <is>
          <t>Chỉ tiêu phái sinh</t>
        </is>
      </c>
      <c r="H789" s="4" t="inlineStr">
        <is>
          <t>TB</t>
        </is>
      </c>
    </row>
    <row r="790" ht="13" customHeight="1" s="380">
      <c r="B790" s="4" t="inlineStr">
        <is>
          <t>BM031d_MSS</t>
        </is>
      </c>
      <c r="C790" s="4" t="n"/>
      <c r="D790" s="4" t="inlineStr">
        <is>
          <t>GDNĐTNN CCQ KL bán KL</t>
        </is>
      </c>
      <c r="F790" s="4" t="inlineStr">
        <is>
          <t>Báo cáo</t>
        </is>
      </c>
      <c r="G790" s="22" t="inlineStr">
        <is>
          <t>Chỉ tiêu phái sinh</t>
        </is>
      </c>
      <c r="H790" s="4" t="inlineStr">
        <is>
          <t>TB</t>
        </is>
      </c>
    </row>
    <row r="791" ht="13" customHeight="1" s="380">
      <c r="B791" s="4" t="inlineStr">
        <is>
          <t>BM031d_MSS</t>
        </is>
      </c>
      <c r="C791" s="4" t="n"/>
      <c r="D791" s="4" t="inlineStr">
        <is>
          <t>GDNĐTNN CCQ GT mua KL</t>
        </is>
      </c>
      <c r="F791" s="4" t="inlineStr">
        <is>
          <t>Báo cáo</t>
        </is>
      </c>
      <c r="G791" s="22" t="inlineStr">
        <is>
          <t>Chỉ tiêu phái sinh</t>
        </is>
      </c>
      <c r="H791" s="4" t="inlineStr">
        <is>
          <t>TB</t>
        </is>
      </c>
    </row>
    <row r="792" ht="13" customHeight="1" s="380">
      <c r="B792" s="4" t="inlineStr">
        <is>
          <t>BM031d_MSS</t>
        </is>
      </c>
      <c r="C792" s="4" t="n"/>
      <c r="D792" s="4" t="inlineStr">
        <is>
          <t>GDNĐTNN CCQ GT bán KL</t>
        </is>
      </c>
      <c r="F792" s="4" t="inlineStr">
        <is>
          <t>Báo cáo</t>
        </is>
      </c>
      <c r="G792" s="22" t="inlineStr">
        <is>
          <t>Chỉ tiêu phái sinh</t>
        </is>
      </c>
      <c r="H792" s="4" t="inlineStr">
        <is>
          <t>TB</t>
        </is>
      </c>
    </row>
    <row r="793" ht="13" customHeight="1" s="380">
      <c r="B793" s="4" t="inlineStr">
        <is>
          <t>BM031d_MSS</t>
        </is>
      </c>
      <c r="C793" s="4" t="n"/>
      <c r="D793" s="4" t="inlineStr">
        <is>
          <t>GDNĐTNN CCQ KL mua TT (thỏa thuận)</t>
        </is>
      </c>
      <c r="F793" s="4" t="inlineStr">
        <is>
          <t>Báo cáo</t>
        </is>
      </c>
      <c r="G793" s="22" t="inlineStr">
        <is>
          <t>Chỉ tiêu phái sinh</t>
        </is>
      </c>
      <c r="H793" s="4" t="inlineStr">
        <is>
          <t>TB</t>
        </is>
      </c>
    </row>
    <row r="794" ht="13" customHeight="1" s="380">
      <c r="B794" s="4" t="inlineStr">
        <is>
          <t>BM031d_MSS</t>
        </is>
      </c>
      <c r="C794" s="4" t="n"/>
      <c r="D794" s="4" t="inlineStr">
        <is>
          <t>GDNĐTNN CCQ KL bán TT</t>
        </is>
      </c>
      <c r="F794" s="4" t="inlineStr">
        <is>
          <t>Báo cáo</t>
        </is>
      </c>
      <c r="G794" s="22" t="inlineStr">
        <is>
          <t>Chỉ tiêu phái sinh</t>
        </is>
      </c>
      <c r="H794" s="4" t="inlineStr">
        <is>
          <t>TB</t>
        </is>
      </c>
    </row>
    <row r="795" ht="13" customHeight="1" s="380">
      <c r="B795" s="4" t="inlineStr">
        <is>
          <t>BM031d_MSS</t>
        </is>
      </c>
      <c r="C795" s="4" t="n"/>
      <c r="D795" s="4" t="inlineStr">
        <is>
          <t>GDNĐTNN CCQ GT mua TT</t>
        </is>
      </c>
      <c r="F795" s="4" t="inlineStr">
        <is>
          <t>Báo cáo</t>
        </is>
      </c>
      <c r="G795" s="22" t="inlineStr">
        <is>
          <t>Chỉ tiêu phái sinh</t>
        </is>
      </c>
      <c r="H795" s="4" t="inlineStr">
        <is>
          <t>TB</t>
        </is>
      </c>
    </row>
    <row r="796" ht="13" customHeight="1" s="380">
      <c r="B796" s="4" t="inlineStr">
        <is>
          <t>BM031d_MSS</t>
        </is>
      </c>
      <c r="C796" s="4" t="n"/>
      <c r="D796" s="4" t="inlineStr">
        <is>
          <t>GDNĐTNN CCQ GT bán TT</t>
        </is>
      </c>
      <c r="F796" s="4" t="inlineStr">
        <is>
          <t>Báo cáo</t>
        </is>
      </c>
      <c r="G796" s="22" t="inlineStr">
        <is>
          <t>Chỉ tiêu phái sinh</t>
        </is>
      </c>
      <c r="H796" s="4" t="inlineStr">
        <is>
          <t>TB</t>
        </is>
      </c>
    </row>
    <row r="797" ht="13" customHeight="1" s="380">
      <c r="B797" s="4" t="inlineStr">
        <is>
          <t>BM031d_MSS</t>
        </is>
      </c>
      <c r="C797" s="4" t="n"/>
      <c r="D797" s="4" t="inlineStr">
        <is>
          <t>GDNĐTNN ETF KL mua Khớp lệnh</t>
        </is>
      </c>
      <c r="F797" s="4" t="inlineStr">
        <is>
          <t>Báo cáo</t>
        </is>
      </c>
      <c r="G797" s="22" t="inlineStr">
        <is>
          <t>Chỉ tiêu phái sinh</t>
        </is>
      </c>
      <c r="H797" s="4" t="inlineStr">
        <is>
          <t>TB</t>
        </is>
      </c>
    </row>
    <row r="798" ht="13" customHeight="1" s="380">
      <c r="B798" s="4" t="inlineStr">
        <is>
          <t>BM031d_MSS</t>
        </is>
      </c>
      <c r="C798" s="4" t="n"/>
      <c r="D798" s="4" t="inlineStr">
        <is>
          <t>GDNĐTNN ETF KL bán KL</t>
        </is>
      </c>
      <c r="F798" s="4" t="inlineStr">
        <is>
          <t>Báo cáo</t>
        </is>
      </c>
      <c r="G798" s="22" t="inlineStr">
        <is>
          <t>Chỉ tiêu phái sinh</t>
        </is>
      </c>
      <c r="H798" s="4" t="inlineStr">
        <is>
          <t>TB</t>
        </is>
      </c>
    </row>
    <row r="799" ht="13" customHeight="1" s="380">
      <c r="B799" s="4" t="inlineStr">
        <is>
          <t>BM031d_MSS</t>
        </is>
      </c>
      <c r="C799" s="4" t="n"/>
      <c r="D799" s="4" t="inlineStr">
        <is>
          <t>GDNĐTNN ETF GT mua KL</t>
        </is>
      </c>
      <c r="F799" s="4" t="inlineStr">
        <is>
          <t>Báo cáo</t>
        </is>
      </c>
      <c r="G799" s="22" t="inlineStr">
        <is>
          <t>Chỉ tiêu phái sinh</t>
        </is>
      </c>
      <c r="H799" s="4" t="inlineStr">
        <is>
          <t>TB</t>
        </is>
      </c>
    </row>
    <row r="800" ht="13" customHeight="1" s="380">
      <c r="B800" s="4" t="inlineStr">
        <is>
          <t>BM031d_MSS</t>
        </is>
      </c>
      <c r="C800" s="4" t="n"/>
      <c r="D800" s="4" t="inlineStr">
        <is>
          <t>GDNĐTNN ETF GT bán KL</t>
        </is>
      </c>
      <c r="F800" s="4" t="inlineStr">
        <is>
          <t>Báo cáo</t>
        </is>
      </c>
      <c r="G800" s="22" t="inlineStr">
        <is>
          <t>Chỉ tiêu phái sinh</t>
        </is>
      </c>
      <c r="H800" s="4" t="inlineStr">
        <is>
          <t>TB</t>
        </is>
      </c>
    </row>
    <row r="801" ht="13" customHeight="1" s="380">
      <c r="B801" s="4" t="inlineStr">
        <is>
          <t>BM031d_MSS</t>
        </is>
      </c>
      <c r="C801" s="4" t="n"/>
      <c r="D801" s="4" t="inlineStr">
        <is>
          <t>GDNĐTNN ETF KL mua TT (thỏa thuận)</t>
        </is>
      </c>
      <c r="F801" s="4" t="inlineStr">
        <is>
          <t>Báo cáo</t>
        </is>
      </c>
      <c r="G801" s="22" t="inlineStr">
        <is>
          <t>Chỉ tiêu phái sinh</t>
        </is>
      </c>
      <c r="H801" s="4" t="inlineStr">
        <is>
          <t>TB</t>
        </is>
      </c>
    </row>
    <row r="802" ht="13" customHeight="1" s="380">
      <c r="B802" s="4" t="inlineStr">
        <is>
          <t>BM031d_MSS</t>
        </is>
      </c>
      <c r="C802" s="4" t="n"/>
      <c r="D802" s="4" t="inlineStr">
        <is>
          <t>GDNĐTNN ETF KL bán TT</t>
        </is>
      </c>
      <c r="F802" s="4" t="inlineStr">
        <is>
          <t>Báo cáo</t>
        </is>
      </c>
      <c r="G802" s="22" t="inlineStr">
        <is>
          <t>Chỉ tiêu phái sinh</t>
        </is>
      </c>
      <c r="H802" s="4" t="inlineStr">
        <is>
          <t>TB</t>
        </is>
      </c>
    </row>
    <row r="803" ht="13" customHeight="1" s="380">
      <c r="B803" s="4" t="inlineStr">
        <is>
          <t>BM031d_MSS</t>
        </is>
      </c>
      <c r="C803" s="4" t="n"/>
      <c r="D803" s="4" t="inlineStr">
        <is>
          <t>GDNĐTNN ETF GT mua TT</t>
        </is>
      </c>
      <c r="F803" s="4" t="inlineStr">
        <is>
          <t>Báo cáo</t>
        </is>
      </c>
      <c r="G803" s="22" t="inlineStr">
        <is>
          <t>Chỉ tiêu phái sinh</t>
        </is>
      </c>
      <c r="H803" s="4" t="inlineStr">
        <is>
          <t>TB</t>
        </is>
      </c>
    </row>
    <row r="804" ht="13" customHeight="1" s="380">
      <c r="B804" s="4" t="inlineStr">
        <is>
          <t>BM031d_MSS</t>
        </is>
      </c>
      <c r="C804" s="4" t="n"/>
      <c r="D804" s="4" t="inlineStr">
        <is>
          <t>GDNĐTNN ETF GT bán TT</t>
        </is>
      </c>
      <c r="F804" s="4" t="inlineStr">
        <is>
          <t>Báo cáo</t>
        </is>
      </c>
      <c r="G804" s="22" t="inlineStr">
        <is>
          <t>Chỉ tiêu phái sinh</t>
        </is>
      </c>
      <c r="H804" s="4" t="inlineStr">
        <is>
          <t>TB</t>
        </is>
      </c>
    </row>
    <row r="805" ht="13" customHeight="1" s="380">
      <c r="B805" s="4" t="inlineStr">
        <is>
          <t>BM031d_MSS</t>
        </is>
      </c>
      <c r="C805" s="4" t="n"/>
      <c r="D805" s="4" t="inlineStr">
        <is>
          <t>GDNĐTNN CW KL mua Khớp lệnh</t>
        </is>
      </c>
      <c r="F805" s="4" t="inlineStr">
        <is>
          <t>Báo cáo</t>
        </is>
      </c>
      <c r="G805" s="22" t="inlineStr">
        <is>
          <t>Chỉ tiêu phái sinh</t>
        </is>
      </c>
      <c r="H805" s="4" t="inlineStr">
        <is>
          <t>TB</t>
        </is>
      </c>
    </row>
    <row r="806" ht="13" customHeight="1" s="380">
      <c r="B806" s="4" t="inlineStr">
        <is>
          <t>BM031d_MSS</t>
        </is>
      </c>
      <c r="C806" s="4" t="n"/>
      <c r="D806" s="4" t="inlineStr">
        <is>
          <t>GDNĐTNN CW KL bán KL</t>
        </is>
      </c>
      <c r="F806" s="4" t="inlineStr">
        <is>
          <t>Báo cáo</t>
        </is>
      </c>
      <c r="G806" s="22" t="inlineStr">
        <is>
          <t>Chỉ tiêu phái sinh</t>
        </is>
      </c>
      <c r="H806" s="4" t="inlineStr">
        <is>
          <t>TB</t>
        </is>
      </c>
    </row>
    <row r="807" ht="13" customHeight="1" s="380">
      <c r="B807" s="4" t="inlineStr">
        <is>
          <t>BM031d_MSS</t>
        </is>
      </c>
      <c r="C807" s="4" t="n"/>
      <c r="D807" s="4" t="inlineStr">
        <is>
          <t>GDNĐTNN CW GT mua KL</t>
        </is>
      </c>
      <c r="F807" s="4" t="inlineStr">
        <is>
          <t>Báo cáo</t>
        </is>
      </c>
      <c r="G807" s="22" t="inlineStr">
        <is>
          <t>Chỉ tiêu phái sinh</t>
        </is>
      </c>
      <c r="H807" s="4" t="inlineStr">
        <is>
          <t>TB</t>
        </is>
      </c>
    </row>
    <row r="808" ht="13" customHeight="1" s="380">
      <c r="B808" s="4" t="inlineStr">
        <is>
          <t>BM031d_MSS</t>
        </is>
      </c>
      <c r="C808" s="4" t="n"/>
      <c r="D808" s="4" t="inlineStr">
        <is>
          <t>GDNĐTNN CW GT bán KL</t>
        </is>
      </c>
      <c r="F808" s="4" t="inlineStr">
        <is>
          <t>Báo cáo</t>
        </is>
      </c>
      <c r="G808" s="22" t="inlineStr">
        <is>
          <t>Chỉ tiêu phái sinh</t>
        </is>
      </c>
      <c r="H808" s="4" t="inlineStr">
        <is>
          <t>TB</t>
        </is>
      </c>
    </row>
    <row r="809" ht="13" customHeight="1" s="380">
      <c r="B809" s="4" t="inlineStr">
        <is>
          <t>BM031d_MSS</t>
        </is>
      </c>
      <c r="C809" s="4" t="n"/>
      <c r="D809" s="4" t="inlineStr">
        <is>
          <t>GDNĐTNN CW KL mua TT (thỏa thuận)</t>
        </is>
      </c>
      <c r="F809" s="4" t="inlineStr">
        <is>
          <t>Báo cáo</t>
        </is>
      </c>
      <c r="G809" s="22" t="inlineStr">
        <is>
          <t>Chỉ tiêu phái sinh</t>
        </is>
      </c>
      <c r="H809" s="4" t="inlineStr">
        <is>
          <t>TB</t>
        </is>
      </c>
    </row>
    <row r="810" ht="13" customHeight="1" s="380">
      <c r="B810" s="4" t="inlineStr">
        <is>
          <t>BM031d_MSS</t>
        </is>
      </c>
      <c r="C810" s="4" t="n"/>
      <c r="D810" s="4" t="inlineStr">
        <is>
          <t>GDNĐTNN CW KL bán TT</t>
        </is>
      </c>
      <c r="F810" s="4" t="inlineStr">
        <is>
          <t>Báo cáo</t>
        </is>
      </c>
      <c r="G810" s="22" t="inlineStr">
        <is>
          <t>Chỉ tiêu phái sinh</t>
        </is>
      </c>
      <c r="H810" s="4" t="inlineStr">
        <is>
          <t>TB</t>
        </is>
      </c>
    </row>
    <row r="811" ht="13" customHeight="1" s="380">
      <c r="B811" s="4" t="inlineStr">
        <is>
          <t>BM031d_MSS</t>
        </is>
      </c>
      <c r="C811" s="4" t="n"/>
      <c r="D811" s="4" t="inlineStr">
        <is>
          <t>GDNĐTNN CW GT mua TT</t>
        </is>
      </c>
      <c r="F811" s="4" t="inlineStr">
        <is>
          <t>Báo cáo</t>
        </is>
      </c>
      <c r="G811" s="22" t="inlineStr">
        <is>
          <t>Chỉ tiêu phái sinh</t>
        </is>
      </c>
      <c r="H811" s="4" t="inlineStr">
        <is>
          <t>TB</t>
        </is>
      </c>
    </row>
    <row r="812" ht="13" customHeight="1" s="380">
      <c r="B812" s="4" t="inlineStr">
        <is>
          <t>BM031d_MSS</t>
        </is>
      </c>
      <c r="C812" s="4" t="n"/>
      <c r="D812" s="4" t="inlineStr">
        <is>
          <t>GDNĐTNN CW GT bán TT</t>
        </is>
      </c>
      <c r="F812" s="4" t="inlineStr">
        <is>
          <t>Báo cáo</t>
        </is>
      </c>
      <c r="G812" s="22" t="inlineStr">
        <is>
          <t>Chỉ tiêu phái sinh</t>
        </is>
      </c>
      <c r="H812" s="4" t="inlineStr">
        <is>
          <t>TB</t>
        </is>
      </c>
    </row>
    <row r="813" ht="13" customHeight="1" s="380">
      <c r="B813" s="4" t="inlineStr">
        <is>
          <t>BM031d_MSS</t>
        </is>
      </c>
      <c r="C813" s="4" t="n"/>
      <c r="D813" s="4" t="inlineStr">
        <is>
          <t>GD tự doanh CCQ KL mua</t>
        </is>
      </c>
      <c r="F813" s="4" t="inlineStr">
        <is>
          <t>Báo cáo</t>
        </is>
      </c>
      <c r="G813" s="22" t="inlineStr">
        <is>
          <t>Chỉ tiêu phái sinh</t>
        </is>
      </c>
      <c r="H813" s="4" t="inlineStr">
        <is>
          <t>TB</t>
        </is>
      </c>
    </row>
    <row r="814" ht="13" customHeight="1" s="380">
      <c r="B814" s="4" t="inlineStr">
        <is>
          <t>BM031d_MSS</t>
        </is>
      </c>
      <c r="C814" s="4" t="n"/>
      <c r="D814" s="4" t="inlineStr">
        <is>
          <t>GD tự doanh CCQ KL bán</t>
        </is>
      </c>
      <c r="F814" s="4" t="inlineStr">
        <is>
          <t>Báo cáo</t>
        </is>
      </c>
      <c r="G814" s="22" t="inlineStr">
        <is>
          <t>Chỉ tiêu phái sinh</t>
        </is>
      </c>
      <c r="H814" s="4" t="inlineStr">
        <is>
          <t>TB</t>
        </is>
      </c>
    </row>
    <row r="815" ht="13" customHeight="1" s="380">
      <c r="B815" s="4" t="inlineStr">
        <is>
          <t>BM031d_MSS</t>
        </is>
      </c>
      <c r="C815" s="4" t="n"/>
      <c r="D815" s="4" t="inlineStr">
        <is>
          <t>GD tự doanh CCQ GT mua</t>
        </is>
      </c>
      <c r="F815" s="4" t="inlineStr">
        <is>
          <t>Báo cáo</t>
        </is>
      </c>
      <c r="G815" s="22" t="inlineStr">
        <is>
          <t>Chỉ tiêu phái sinh</t>
        </is>
      </c>
      <c r="H815" s="4" t="inlineStr">
        <is>
          <t>TB</t>
        </is>
      </c>
    </row>
    <row r="816" ht="13" customHeight="1" s="380">
      <c r="B816" s="4" t="inlineStr">
        <is>
          <t>BM031d_MSS</t>
        </is>
      </c>
      <c r="C816" s="4" t="n"/>
      <c r="D816" s="4" t="inlineStr">
        <is>
          <t>GD tự doanh CCQ GT bán</t>
        </is>
      </c>
      <c r="F816" s="4" t="inlineStr">
        <is>
          <t>Báo cáo</t>
        </is>
      </c>
      <c r="G816" s="22" t="inlineStr">
        <is>
          <t>Chỉ tiêu phái sinh</t>
        </is>
      </c>
      <c r="H816" s="4" t="inlineStr">
        <is>
          <t>TB</t>
        </is>
      </c>
    </row>
    <row r="817" ht="13" customHeight="1" s="380">
      <c r="B817" s="4" t="inlineStr">
        <is>
          <t>BM031d_MSS</t>
        </is>
      </c>
      <c r="C817" s="4" t="n"/>
      <c r="D817" s="4" t="inlineStr">
        <is>
          <t>GD tự doanh ETF KL mua</t>
        </is>
      </c>
      <c r="F817" s="4" t="inlineStr">
        <is>
          <t>Báo cáo</t>
        </is>
      </c>
      <c r="G817" s="22" t="inlineStr">
        <is>
          <t>Chỉ tiêu phái sinh</t>
        </is>
      </c>
      <c r="H817" s="4" t="inlineStr">
        <is>
          <t>TB</t>
        </is>
      </c>
    </row>
    <row r="818" ht="13" customHeight="1" s="380">
      <c r="B818" s="4" t="inlineStr">
        <is>
          <t>BM031d_MSS</t>
        </is>
      </c>
      <c r="C818" s="4" t="n"/>
      <c r="D818" s="4" t="inlineStr">
        <is>
          <t>GD tự doanh ETF KL bán</t>
        </is>
      </c>
      <c r="F818" s="4" t="inlineStr">
        <is>
          <t>Báo cáo</t>
        </is>
      </c>
      <c r="G818" s="22" t="inlineStr">
        <is>
          <t>Chỉ tiêu phái sinh</t>
        </is>
      </c>
      <c r="H818" s="4" t="inlineStr">
        <is>
          <t>TB</t>
        </is>
      </c>
    </row>
    <row r="819" ht="13" customHeight="1" s="380">
      <c r="B819" s="4" t="inlineStr">
        <is>
          <t>BM031d_MSS</t>
        </is>
      </c>
      <c r="C819" s="4" t="n"/>
      <c r="D819" s="4" t="inlineStr">
        <is>
          <t>GD tự doanh ETF GT mua</t>
        </is>
      </c>
      <c r="F819" s="4" t="inlineStr">
        <is>
          <t>Báo cáo</t>
        </is>
      </c>
      <c r="G819" s="22" t="inlineStr">
        <is>
          <t>Chỉ tiêu phái sinh</t>
        </is>
      </c>
      <c r="H819" s="4" t="inlineStr">
        <is>
          <t>TB</t>
        </is>
      </c>
    </row>
    <row r="820" ht="13" customHeight="1" s="380">
      <c r="B820" s="4" t="inlineStr">
        <is>
          <t>BM031d_MSS</t>
        </is>
      </c>
      <c r="C820" s="4" t="n"/>
      <c r="D820" s="4" t="inlineStr">
        <is>
          <t>GD tự doanh ETF GT bán</t>
        </is>
      </c>
      <c r="F820" s="4" t="inlineStr">
        <is>
          <t>Báo cáo</t>
        </is>
      </c>
      <c r="G820" s="22" t="inlineStr">
        <is>
          <t>Chỉ tiêu phái sinh</t>
        </is>
      </c>
      <c r="H820" s="4" t="inlineStr">
        <is>
          <t>TB</t>
        </is>
      </c>
    </row>
    <row r="821" ht="13" customHeight="1" s="380">
      <c r="B821" s="4" t="inlineStr">
        <is>
          <t>BM031d_MSS</t>
        </is>
      </c>
      <c r="C821" s="4" t="n"/>
      <c r="D821" s="4" t="inlineStr">
        <is>
          <t>GD tự doanh CW KL mua</t>
        </is>
      </c>
      <c r="F821" s="4" t="inlineStr">
        <is>
          <t>Báo cáo</t>
        </is>
      </c>
      <c r="G821" s="22" t="inlineStr">
        <is>
          <t>Chỉ tiêu phái sinh</t>
        </is>
      </c>
      <c r="H821" s="4" t="inlineStr">
        <is>
          <t>TB</t>
        </is>
      </c>
    </row>
    <row r="822" ht="13" customHeight="1" s="380">
      <c r="B822" s="4" t="inlineStr">
        <is>
          <t>BM031d_MSS</t>
        </is>
      </c>
      <c r="C822" s="4" t="n"/>
      <c r="D822" s="4" t="inlineStr">
        <is>
          <t>GD tự doanh CW KL bán</t>
        </is>
      </c>
      <c r="F822" s="4" t="inlineStr">
        <is>
          <t>Báo cáo</t>
        </is>
      </c>
      <c r="G822" s="22" t="inlineStr">
        <is>
          <t>Chỉ tiêu phái sinh</t>
        </is>
      </c>
      <c r="H822" s="4" t="inlineStr">
        <is>
          <t>TB</t>
        </is>
      </c>
    </row>
    <row r="823" ht="13" customHeight="1" s="380">
      <c r="B823" s="4" t="inlineStr">
        <is>
          <t>BM031d_MSS</t>
        </is>
      </c>
      <c r="C823" s="4" t="n"/>
      <c r="D823" s="4" t="inlineStr">
        <is>
          <t>GD tự doanh CW GT mua</t>
        </is>
      </c>
      <c r="F823" s="4" t="inlineStr">
        <is>
          <t>Báo cáo</t>
        </is>
      </c>
      <c r="G823" s="22" t="inlineStr">
        <is>
          <t>Chỉ tiêu phái sinh</t>
        </is>
      </c>
      <c r="H823" s="4" t="inlineStr">
        <is>
          <t>TB</t>
        </is>
      </c>
    </row>
    <row r="824" ht="13" customHeight="1" s="380">
      <c r="B824" s="4" t="inlineStr">
        <is>
          <t>BM031d_MSS</t>
        </is>
      </c>
      <c r="C824" s="4" t="n"/>
      <c r="D824" s="4" t="inlineStr">
        <is>
          <t>GD tự doanh CW GT bán</t>
        </is>
      </c>
      <c r="F824" s="4" t="inlineStr">
        <is>
          <t>Báo cáo</t>
        </is>
      </c>
      <c r="G824" s="22" t="inlineStr">
        <is>
          <t>Chỉ tiêu phái sinh</t>
        </is>
      </c>
      <c r="H824" s="4" t="inlineStr">
        <is>
          <t>TB</t>
        </is>
      </c>
    </row>
    <row r="825" ht="13" customHeight="1" s="380">
      <c r="A825" s="184" t="n"/>
      <c r="B825" s="184" t="inlineStr">
        <is>
          <t>BM031f_MSS</t>
        </is>
      </c>
      <c r="C825" s="417" t="inlineStr">
        <is>
          <t>Thống kê giao dịch thị trường chứng khoán phái sinh</t>
        </is>
      </c>
      <c r="D825" s="184" t="inlineStr">
        <is>
          <t>Thời gian</t>
        </is>
      </c>
      <c r="E825" s="184" t="n"/>
      <c r="F825" s="4" t="inlineStr">
        <is>
          <t>Báo cáo</t>
        </is>
      </c>
      <c r="G825" s="184" t="inlineStr">
        <is>
          <t>Chiều</t>
        </is>
      </c>
      <c r="H825" s="184" t="n"/>
      <c r="I825" s="184" t="inlineStr">
        <is>
          <t>CKPS</t>
        </is>
      </c>
      <c r="J825" s="184" t="n"/>
      <c r="K825" s="184" t="n"/>
      <c r="L825" s="184" t="n"/>
    </row>
    <row r="826" ht="13" customHeight="1" s="380">
      <c r="B826" s="4" t="inlineStr">
        <is>
          <t>BM031f_MSS</t>
        </is>
      </c>
      <c r="D826" s="4" t="inlineStr">
        <is>
          <t>SL mã GD TTCK phái sinh</t>
        </is>
      </c>
      <c r="F826" s="4" t="inlineStr">
        <is>
          <t>Báo cáo</t>
        </is>
      </c>
      <c r="G826" s="22" t="inlineStr">
        <is>
          <t>Chỉ tiêu phái sinh</t>
        </is>
      </c>
      <c r="H826" s="27" t="inlineStr">
        <is>
          <t>Trùng</t>
        </is>
      </c>
      <c r="I826" s="184" t="inlineStr">
        <is>
          <t>CKPS</t>
        </is>
      </c>
    </row>
    <row r="827" ht="13" customHeight="1" s="380">
      <c r="B827" s="4" t="inlineStr">
        <is>
          <t>BM031f_MSS</t>
        </is>
      </c>
      <c r="D827" s="4" t="inlineStr">
        <is>
          <t>KLGD TTCK phái sinh</t>
        </is>
      </c>
      <c r="F827" s="4" t="inlineStr">
        <is>
          <t>Báo cáo</t>
        </is>
      </c>
      <c r="G827" s="22" t="inlineStr">
        <is>
          <t>Chỉ tiêu phái sinh</t>
        </is>
      </c>
      <c r="H827" s="27" t="inlineStr">
        <is>
          <t>Trùng</t>
        </is>
      </c>
      <c r="I827" s="184" t="inlineStr">
        <is>
          <t>CKPS</t>
        </is>
      </c>
    </row>
    <row r="828" ht="13" customHeight="1" s="380">
      <c r="B828" s="4" t="inlineStr">
        <is>
          <t>BM031f_MSS</t>
        </is>
      </c>
      <c r="D828" s="4" t="inlineStr">
        <is>
          <t>GTGD TTCK phái sinh</t>
        </is>
      </c>
      <c r="F828" s="4" t="inlineStr">
        <is>
          <t>Báo cáo</t>
        </is>
      </c>
      <c r="G828" s="22" t="inlineStr">
        <is>
          <t>Chỉ tiêu phái sinh</t>
        </is>
      </c>
      <c r="H828" s="27" t="inlineStr">
        <is>
          <t>Trùng</t>
        </is>
      </c>
      <c r="I828" s="184" t="inlineStr">
        <is>
          <t>CKPS</t>
        </is>
      </c>
    </row>
    <row r="829" ht="13" customHeight="1" s="380">
      <c r="B829" s="4" t="inlineStr">
        <is>
          <t>BM031f_MSS</t>
        </is>
      </c>
      <c r="D829" s="4" t="inlineStr">
        <is>
          <t>KL hợp đồng đang lưu hành TTCK phái sinh</t>
        </is>
      </c>
      <c r="F829" s="4" t="inlineStr">
        <is>
          <t>Báo cáo</t>
        </is>
      </c>
      <c r="G829" s="22" t="inlineStr">
        <is>
          <t>Chỉ tiêu phái sinh</t>
        </is>
      </c>
      <c r="H829" s="27" t="inlineStr">
        <is>
          <t>Trùng</t>
        </is>
      </c>
      <c r="I829" s="184" t="inlineStr">
        <is>
          <t>CKPS</t>
        </is>
      </c>
    </row>
    <row r="830" ht="13" customHeight="1" s="380">
      <c r="B830" s="4" t="inlineStr">
        <is>
          <t>BM031f_MSS</t>
        </is>
      </c>
      <c r="D830" s="27" t="inlineStr">
        <is>
          <t>GDNĐTNN KL mua TTCK phái sinh</t>
        </is>
      </c>
      <c r="F830" s="4" t="inlineStr">
        <is>
          <t>Báo cáo</t>
        </is>
      </c>
      <c r="G830" s="22" t="inlineStr">
        <is>
          <t>Chỉ tiêu phái sinh</t>
        </is>
      </c>
      <c r="H830" s="27" t="inlineStr">
        <is>
          <t>Trùng</t>
        </is>
      </c>
      <c r="I830" s="184" t="inlineStr">
        <is>
          <t>CKPS</t>
        </is>
      </c>
    </row>
    <row r="831" ht="13" customHeight="1" s="380">
      <c r="B831" s="4" t="inlineStr">
        <is>
          <t>BM031f_MSS</t>
        </is>
      </c>
      <c r="D831" s="27" t="inlineStr">
        <is>
          <t>GDNĐTNN KL mua TTCK phái sinh</t>
        </is>
      </c>
      <c r="F831" s="4" t="inlineStr">
        <is>
          <t>Báo cáo</t>
        </is>
      </c>
      <c r="G831" s="22" t="inlineStr">
        <is>
          <t>Chỉ tiêu phái sinh</t>
        </is>
      </c>
      <c r="H831" s="27" t="inlineStr">
        <is>
          <t>Trùng</t>
        </is>
      </c>
      <c r="I831" s="184" t="inlineStr">
        <is>
          <t>CKPS</t>
        </is>
      </c>
    </row>
    <row r="832" ht="13" customHeight="1" s="380">
      <c r="B832" s="4" t="inlineStr">
        <is>
          <t>BM031f_MSS</t>
        </is>
      </c>
      <c r="D832" s="27" t="inlineStr">
        <is>
          <t>GDNĐTNN KL mua TTCK phái sinh</t>
        </is>
      </c>
      <c r="F832" s="4" t="inlineStr">
        <is>
          <t>Báo cáo</t>
        </is>
      </c>
      <c r="G832" s="22" t="inlineStr">
        <is>
          <t>Chỉ tiêu phái sinh</t>
        </is>
      </c>
      <c r="H832" s="27" t="inlineStr">
        <is>
          <t>Trùng</t>
        </is>
      </c>
      <c r="I832" s="184" t="inlineStr">
        <is>
          <t>CKPS</t>
        </is>
      </c>
    </row>
    <row r="833" ht="13" customHeight="1" s="380">
      <c r="B833" s="4" t="inlineStr">
        <is>
          <t>BM031f_MSS</t>
        </is>
      </c>
      <c r="D833" s="27" t="inlineStr">
        <is>
          <t>GDNĐTNN KL mua TTCK phái sinh</t>
        </is>
      </c>
      <c r="F833" s="4" t="inlineStr">
        <is>
          <t>Báo cáo</t>
        </is>
      </c>
      <c r="G833" s="22" t="inlineStr">
        <is>
          <t>Chỉ tiêu phái sinh</t>
        </is>
      </c>
      <c r="H833" s="27" t="inlineStr">
        <is>
          <t>Trùng</t>
        </is>
      </c>
      <c r="I833" s="184" t="inlineStr">
        <is>
          <t>CKPS</t>
        </is>
      </c>
    </row>
    <row r="834" ht="13" customHeight="1" s="380">
      <c r="B834" s="4" t="inlineStr">
        <is>
          <t>BM031f_MSS</t>
        </is>
      </c>
      <c r="D834" s="27" t="inlineStr">
        <is>
          <t>Giao dịch khối tự doanh KL mua TTCK phái sinh</t>
        </is>
      </c>
      <c r="F834" s="4" t="inlineStr">
        <is>
          <t>Báo cáo</t>
        </is>
      </c>
      <c r="G834" s="22" t="inlineStr">
        <is>
          <t>Chỉ tiêu phái sinh</t>
        </is>
      </c>
      <c r="H834" s="4" t="inlineStr">
        <is>
          <t>TB</t>
        </is>
      </c>
      <c r="I834" s="184" t="inlineStr">
        <is>
          <t>CKPS</t>
        </is>
      </c>
    </row>
    <row r="835" ht="13" customHeight="1" s="380">
      <c r="B835" s="4" t="inlineStr">
        <is>
          <t>BM031f_MSS</t>
        </is>
      </c>
      <c r="D835" s="27" t="inlineStr">
        <is>
          <t>Giao dịch khối tự doanh KL mua TTCK phái sinh</t>
        </is>
      </c>
      <c r="F835" s="4" t="inlineStr">
        <is>
          <t>Báo cáo</t>
        </is>
      </c>
      <c r="G835" s="22" t="inlineStr">
        <is>
          <t>Chỉ tiêu phái sinh</t>
        </is>
      </c>
      <c r="H835" s="4" t="inlineStr">
        <is>
          <t>TB</t>
        </is>
      </c>
      <c r="I835" s="184" t="inlineStr">
        <is>
          <t>CKPS</t>
        </is>
      </c>
    </row>
    <row r="836" ht="13" customHeight="1" s="380">
      <c r="B836" s="4" t="inlineStr">
        <is>
          <t>BM031f_MSS</t>
        </is>
      </c>
      <c r="D836" s="27" t="inlineStr">
        <is>
          <t>Giao dịch khối tự doanh KL mua TTCK phái sinh</t>
        </is>
      </c>
      <c r="F836" s="4" t="inlineStr">
        <is>
          <t>Báo cáo</t>
        </is>
      </c>
      <c r="G836" s="22" t="inlineStr">
        <is>
          <t>Chỉ tiêu phái sinh</t>
        </is>
      </c>
      <c r="H836" s="4" t="inlineStr">
        <is>
          <t>TB</t>
        </is>
      </c>
      <c r="I836" s="184" t="inlineStr">
        <is>
          <t>CKPS</t>
        </is>
      </c>
    </row>
    <row r="837" ht="13" customHeight="1" s="380">
      <c r="B837" s="4" t="inlineStr">
        <is>
          <t>BM031f_MSS</t>
        </is>
      </c>
      <c r="D837" s="27" t="inlineStr">
        <is>
          <t>Giao dịch khối tự doanh KL mua TTCK phái sinh</t>
        </is>
      </c>
      <c r="F837" s="4" t="inlineStr">
        <is>
          <t>Báo cáo</t>
        </is>
      </c>
      <c r="G837" s="22" t="inlineStr">
        <is>
          <t>Chỉ tiêu phái sinh</t>
        </is>
      </c>
      <c r="H837" s="4" t="inlineStr">
        <is>
          <t>TB</t>
        </is>
      </c>
      <c r="I837" s="184" t="inlineStr">
        <is>
          <t>CKPS</t>
        </is>
      </c>
    </row>
    <row r="838" ht="14" customHeight="1" s="380">
      <c r="A838" s="184" t="n"/>
      <c r="B838" s="201" t="inlineStr">
        <is>
          <t>HNX02</t>
        </is>
      </c>
      <c r="C838" s="184" t="n"/>
      <c r="D838" s="184" t="inlineStr">
        <is>
          <t>Chỉ tiêu (Loại CK)</t>
        </is>
      </c>
      <c r="E838" s="184" t="n"/>
      <c r="F838" s="4" t="inlineStr">
        <is>
          <t>Báo cáo</t>
        </is>
      </c>
      <c r="G838" s="184" t="inlineStr">
        <is>
          <t>Chiều</t>
        </is>
      </c>
      <c r="H838" s="184" t="n"/>
      <c r="I838" s="184" t="n"/>
      <c r="J838" s="184" t="n"/>
      <c r="K838" s="184" t="n"/>
      <c r="L838" s="184" t="n"/>
    </row>
    <row r="839" ht="13" customHeight="1" s="380">
      <c r="B839" s="4" t="inlineStr">
        <is>
          <t>HNX02</t>
        </is>
      </c>
      <c r="C839" s="4" t="n"/>
      <c r="D839" s="4" t="inlineStr">
        <is>
          <t>Thống kê trong kỳ Giao dịch của nhà đầu tư trong nước KL giao dịch (trái phiếu) Mua</t>
        </is>
      </c>
      <c r="F839" s="4" t="inlineStr">
        <is>
          <t>Báo cáo</t>
        </is>
      </c>
      <c r="G839" s="22" t="inlineStr">
        <is>
          <t>Chỉ tiêu phái sinh</t>
        </is>
      </c>
      <c r="H839" s="4" t="inlineStr">
        <is>
          <t>TB</t>
        </is>
      </c>
    </row>
    <row r="840" ht="13" customHeight="1" s="380">
      <c r="B840" s="4" t="inlineStr">
        <is>
          <t>HNX02</t>
        </is>
      </c>
      <c r="C840" s="4" t="n"/>
      <c r="D840" s="4" t="inlineStr">
        <is>
          <t>Thống kê trong kỳ Giao dịch của nhà đầu tư trong nước KL giao dịch (trái phiếu) Bán</t>
        </is>
      </c>
      <c r="F840" s="4" t="inlineStr">
        <is>
          <t>Báo cáo</t>
        </is>
      </c>
      <c r="G840" s="22" t="inlineStr">
        <is>
          <t>Chỉ tiêu phái sinh</t>
        </is>
      </c>
      <c r="H840" s="4" t="inlineStr">
        <is>
          <t>TB</t>
        </is>
      </c>
    </row>
    <row r="841" ht="13" customHeight="1" s="380">
      <c r="B841" s="4" t="inlineStr">
        <is>
          <t>HNX02</t>
        </is>
      </c>
      <c r="C841" s="4" t="n"/>
      <c r="D841" s="4" t="inlineStr">
        <is>
          <t>Thống kê trong kỳ Giao dịch của nhà đầu tư trong nước  Mua</t>
        </is>
      </c>
      <c r="F841" s="4" t="inlineStr">
        <is>
          <t>Báo cáo</t>
        </is>
      </c>
      <c r="G841" s="22" t="inlineStr">
        <is>
          <t>Chỉ tiêu phái sinh</t>
        </is>
      </c>
      <c r="H841" s="4" t="inlineStr">
        <is>
          <t>TB</t>
        </is>
      </c>
    </row>
    <row r="842" ht="13" customHeight="1" s="380">
      <c r="B842" s="4" t="inlineStr">
        <is>
          <t>HNX02</t>
        </is>
      </c>
      <c r="C842" s="4" t="n"/>
      <c r="D842" s="4" t="inlineStr">
        <is>
          <t>Thống kê trong kỳ Giao dịch của nhà đầu tư trong nước  Bán</t>
        </is>
      </c>
      <c r="F842" s="4" t="inlineStr">
        <is>
          <t>Báo cáo</t>
        </is>
      </c>
      <c r="G842" s="22" t="inlineStr">
        <is>
          <t>Chỉ tiêu phái sinh</t>
        </is>
      </c>
      <c r="H842" s="4" t="inlineStr">
        <is>
          <t>TB</t>
        </is>
      </c>
    </row>
    <row r="843" ht="13" customHeight="1" s="380">
      <c r="B843" s="4" t="inlineStr">
        <is>
          <t>HNX02</t>
        </is>
      </c>
      <c r="C843" s="4" t="n"/>
      <c r="D843" s="4" t="inlineStr">
        <is>
          <t>Thống kê trong kỳ Giao dịch của nhà đầu tư nước ngoài KL giao dịch (trái phiếu) Mua</t>
        </is>
      </c>
      <c r="F843" s="4" t="inlineStr">
        <is>
          <t>Báo cáo</t>
        </is>
      </c>
      <c r="G843" s="22" t="inlineStr">
        <is>
          <t>Chỉ tiêu phái sinh</t>
        </is>
      </c>
      <c r="H843" s="4" t="inlineStr">
        <is>
          <t>TB</t>
        </is>
      </c>
    </row>
    <row r="844" ht="13" customHeight="1" s="380">
      <c r="B844" s="4" t="inlineStr">
        <is>
          <t>HNX02</t>
        </is>
      </c>
      <c r="C844" s="4" t="n"/>
      <c r="D844" s="4" t="inlineStr">
        <is>
          <t>Thống kê trong kỳ Giao dịch của nhà đầu tư nước ngoài KL giao dịch (trái phiếu) Bán</t>
        </is>
      </c>
      <c r="F844" s="4" t="inlineStr">
        <is>
          <t>Báo cáo</t>
        </is>
      </c>
      <c r="G844" s="22" t="inlineStr">
        <is>
          <t>Chỉ tiêu phái sinh</t>
        </is>
      </c>
      <c r="H844" s="4" t="inlineStr">
        <is>
          <t>TB</t>
        </is>
      </c>
    </row>
    <row r="845" ht="13" customHeight="1" s="380">
      <c r="B845" s="4" t="inlineStr">
        <is>
          <t>HNX02</t>
        </is>
      </c>
      <c r="C845" s="4" t="n"/>
      <c r="D845" s="4" t="inlineStr">
        <is>
          <t>Thống kê trong kỳ Giao dịch của nhà đầu tư nước ngoài Giá trị giao dịch (VND) Mua</t>
        </is>
      </c>
      <c r="F845" s="4" t="inlineStr">
        <is>
          <t>Báo cáo</t>
        </is>
      </c>
      <c r="G845" s="22" t="inlineStr">
        <is>
          <t>Chỉ tiêu phái sinh</t>
        </is>
      </c>
      <c r="H845" s="4" t="inlineStr">
        <is>
          <t>TB</t>
        </is>
      </c>
    </row>
    <row r="846" ht="13" customHeight="1" s="380">
      <c r="B846" s="4" t="inlineStr">
        <is>
          <t>HNX02</t>
        </is>
      </c>
      <c r="C846" s="4" t="n"/>
      <c r="D846" s="4" t="inlineStr">
        <is>
          <t>Thống kê trong kỳ Giao dịch của nhà đầu tư nước ngoài Giá trị giao dịch (VND) Bán</t>
        </is>
      </c>
      <c r="F846" s="4" t="inlineStr">
        <is>
          <t>Báo cáo</t>
        </is>
      </c>
      <c r="G846" s="22" t="inlineStr">
        <is>
          <t>Chỉ tiêu phái sinh</t>
        </is>
      </c>
      <c r="H846" s="4" t="inlineStr">
        <is>
          <t>TB</t>
        </is>
      </c>
    </row>
    <row r="847" ht="13" customHeight="1" s="380">
      <c r="B847" s="4" t="inlineStr">
        <is>
          <t>HNX02</t>
        </is>
      </c>
      <c r="C847" s="4" t="n"/>
      <c r="D847" s="4" t="inlineStr">
        <is>
          <t>Thống kê từ đầu năm Giao dịch của nhà đầu tư trong nước KL giao dịch (trái phiếu) Mua</t>
        </is>
      </c>
      <c r="F847" s="4" t="inlineStr">
        <is>
          <t>Báo cáo</t>
        </is>
      </c>
      <c r="G847" s="22" t="inlineStr">
        <is>
          <t>Chỉ tiêu phái sinh</t>
        </is>
      </c>
      <c r="H847" s="4" t="inlineStr">
        <is>
          <t>TB</t>
        </is>
      </c>
    </row>
    <row r="848" ht="13" customHeight="1" s="380">
      <c r="B848" s="4" t="inlineStr">
        <is>
          <t>HNX02</t>
        </is>
      </c>
      <c r="C848" s="4" t="n"/>
      <c r="D848" s="4" t="inlineStr">
        <is>
          <t>Thống kê từ đầu năm Giao dịch của nhà đầu tư trong nước KL giao dịch (trái phiếu) Bán</t>
        </is>
      </c>
      <c r="F848" s="4" t="inlineStr">
        <is>
          <t>Báo cáo</t>
        </is>
      </c>
      <c r="G848" s="22" t="inlineStr">
        <is>
          <t>Chỉ tiêu phái sinh</t>
        </is>
      </c>
      <c r="H848" s="4" t="inlineStr">
        <is>
          <t>TB</t>
        </is>
      </c>
    </row>
    <row r="849" ht="13" customHeight="1" s="380">
      <c r="B849" s="4" t="inlineStr">
        <is>
          <t>HNX02</t>
        </is>
      </c>
      <c r="C849" s="4" t="n"/>
      <c r="D849" s="4" t="inlineStr">
        <is>
          <t>Thống kê từ đầu năm Giao dịch của nhà đầu tư trong nước Giá trị giao dịch (VND) Mua</t>
        </is>
      </c>
      <c r="F849" s="4" t="inlineStr">
        <is>
          <t>Báo cáo</t>
        </is>
      </c>
      <c r="G849" s="22" t="inlineStr">
        <is>
          <t>Chỉ tiêu phái sinh</t>
        </is>
      </c>
      <c r="H849" s="4" t="inlineStr">
        <is>
          <t>TB</t>
        </is>
      </c>
    </row>
    <row r="850" ht="13" customHeight="1" s="380">
      <c r="B850" s="4" t="inlineStr">
        <is>
          <t>HNX02</t>
        </is>
      </c>
      <c r="C850" s="4" t="n"/>
      <c r="D850" s="4" t="inlineStr">
        <is>
          <t>Thống kê từ đầu năm Giao dịch của nhà đầu tư trong nước Giá trị giao dịch (VND) Bán</t>
        </is>
      </c>
      <c r="F850" s="4" t="inlineStr">
        <is>
          <t>Báo cáo</t>
        </is>
      </c>
      <c r="G850" s="22" t="inlineStr">
        <is>
          <t>Chỉ tiêu phái sinh</t>
        </is>
      </c>
      <c r="H850" s="4" t="inlineStr">
        <is>
          <t>TB</t>
        </is>
      </c>
    </row>
    <row r="851" ht="13" customHeight="1" s="380">
      <c r="B851" s="4" t="inlineStr">
        <is>
          <t>HNX02</t>
        </is>
      </c>
      <c r="C851" s="4" t="n"/>
      <c r="D851" s="4" t="inlineStr">
        <is>
          <t>Thống kê từ đầu năm Giao dịch của nhà đầu tư nước ngoài KL giao dịch (trái phiếu) Mua</t>
        </is>
      </c>
      <c r="F851" s="4" t="inlineStr">
        <is>
          <t>Báo cáo</t>
        </is>
      </c>
      <c r="G851" s="22" t="inlineStr">
        <is>
          <t>Chỉ tiêu phái sinh</t>
        </is>
      </c>
      <c r="H851" s="4" t="inlineStr">
        <is>
          <t>TB</t>
        </is>
      </c>
    </row>
    <row r="852" ht="13" customHeight="1" s="380">
      <c r="B852" s="4" t="inlineStr">
        <is>
          <t>HNX02</t>
        </is>
      </c>
      <c r="C852" s="4" t="n"/>
      <c r="D852" s="4" t="inlineStr">
        <is>
          <t>Thống kê từ đầu năm Giao dịch của nhà đầu tư nước ngoài KL giao dịch (trái phiếu) Bán</t>
        </is>
      </c>
      <c r="F852" s="4" t="inlineStr">
        <is>
          <t>Báo cáo</t>
        </is>
      </c>
      <c r="G852" s="22" t="inlineStr">
        <is>
          <t>Chỉ tiêu phái sinh</t>
        </is>
      </c>
      <c r="H852" s="4" t="inlineStr">
        <is>
          <t>TB</t>
        </is>
      </c>
    </row>
    <row r="853" ht="13" customHeight="1" s="380">
      <c r="B853" s="4" t="inlineStr">
        <is>
          <t>HNX02</t>
        </is>
      </c>
      <c r="C853" s="4" t="n"/>
      <c r="D853" s="4" t="inlineStr">
        <is>
          <t>Thống kê từ đầu năm Giao dịch của nhà đầu tư nước ngoài Giá trị giao dịch (VND) Mua</t>
        </is>
      </c>
      <c r="F853" s="4" t="inlineStr">
        <is>
          <t>Báo cáo</t>
        </is>
      </c>
      <c r="G853" s="22" t="inlineStr">
        <is>
          <t>Chỉ tiêu phái sinh</t>
        </is>
      </c>
      <c r="H853" s="4" t="inlineStr">
        <is>
          <t>TB</t>
        </is>
      </c>
    </row>
    <row r="854" ht="13" customHeight="1" s="380">
      <c r="B854" s="4" t="inlineStr">
        <is>
          <t>HNX02</t>
        </is>
      </c>
      <c r="C854" s="4" t="n"/>
      <c r="D854" s="4" t="inlineStr">
        <is>
          <t>Thống kê từ đầu năm Giao dịch của nhà đầu tư nước ngoài Giá trị giao dịch (VND) Bán</t>
        </is>
      </c>
      <c r="F854" s="4" t="inlineStr">
        <is>
          <t>Báo cáo</t>
        </is>
      </c>
      <c r="G854" s="22" t="inlineStr">
        <is>
          <t>Chỉ tiêu phái sinh</t>
        </is>
      </c>
      <c r="H854" s="4" t="inlineStr">
        <is>
          <t>TB</t>
        </is>
      </c>
    </row>
    <row r="855" ht="13" customHeight="1" s="380">
      <c r="A855" s="184" t="n"/>
      <c r="B855" s="184" t="inlineStr">
        <is>
          <t>HNX04 (PS)</t>
        </is>
      </c>
      <c r="C855" s="184" t="n"/>
      <c r="D855" s="184" t="inlineStr">
        <is>
          <t>Chỉ tiêu - Loại CK</t>
        </is>
      </c>
      <c r="E855" s="184" t="n"/>
      <c r="F855" s="4" t="inlineStr">
        <is>
          <t>Báo cáo</t>
        </is>
      </c>
      <c r="G855" s="184" t="inlineStr">
        <is>
          <t>Chiều</t>
        </is>
      </c>
      <c r="H855" s="184" t="n"/>
      <c r="I855" s="184" t="n"/>
      <c r="J855" s="184" t="n"/>
      <c r="K855" s="184" t="n"/>
      <c r="L855" s="184" t="n"/>
    </row>
    <row r="856" ht="13" customHeight="1" s="380">
      <c r="B856" s="4" t="inlineStr">
        <is>
          <t>HNX04 (PS)</t>
        </is>
      </c>
      <c r="C856" s="211" t="n"/>
      <c r="D856" s="211" t="inlineStr">
        <is>
          <t>Giá trị Trong kỳ- phát sinh</t>
        </is>
      </c>
      <c r="F856" s="4" t="inlineStr">
        <is>
          <t>Báo cáo</t>
        </is>
      </c>
      <c r="G856" s="22" t="inlineStr">
        <is>
          <t>Chỉ tiêu phái sinh</t>
        </is>
      </c>
      <c r="H856" s="4" t="inlineStr">
        <is>
          <t>TB</t>
        </is>
      </c>
    </row>
    <row r="857" ht="17" customHeight="1" s="380">
      <c r="B857" s="4" t="inlineStr">
        <is>
          <t>HNX04 (PS)</t>
        </is>
      </c>
      <c r="C857" s="213" t="n"/>
      <c r="D857" s="213" t="inlineStr">
        <is>
          <t>Giá trị giao dịch bình quân 1 phiên (VND)</t>
        </is>
      </c>
      <c r="F857" s="4" t="inlineStr">
        <is>
          <t>Báo cáo</t>
        </is>
      </c>
      <c r="G857" s="22" t="inlineStr">
        <is>
          <t>Chỉ tiêu phái sinh</t>
        </is>
      </c>
      <c r="H857" s="4" t="inlineStr">
        <is>
          <t>TB</t>
        </is>
      </c>
    </row>
    <row r="858" ht="17" customHeight="1" s="380">
      <c r="B858" s="4" t="inlineStr">
        <is>
          <t>HNX04 (PS)</t>
        </is>
      </c>
      <c r="C858" s="213" t="n"/>
      <c r="D858" s="213" t="inlineStr">
        <is>
          <t>Cổ phiếu niêm yết</t>
        </is>
      </c>
      <c r="F858" s="4" t="inlineStr">
        <is>
          <t>Báo cáo</t>
        </is>
      </c>
      <c r="G858" s="22" t="inlineStr">
        <is>
          <t>Chỉ tiêu phái sinh</t>
        </is>
      </c>
      <c r="H858" s="4" t="inlineStr">
        <is>
          <t>TB</t>
        </is>
      </c>
    </row>
    <row r="859" ht="17" customHeight="1" s="380">
      <c r="B859" s="4" t="inlineStr">
        <is>
          <t>HNX04 (PS)</t>
        </is>
      </c>
      <c r="C859" s="213" t="n"/>
      <c r="D859" s="213" t="inlineStr">
        <is>
          <t>Cổ phiếu đăng ký giao dịch</t>
        </is>
      </c>
      <c r="F859" s="4" t="inlineStr">
        <is>
          <t>Báo cáo</t>
        </is>
      </c>
      <c r="G859" s="22" t="inlineStr">
        <is>
          <t>Chỉ tiêu phái sinh</t>
        </is>
      </c>
      <c r="H859" s="4" t="inlineStr">
        <is>
          <t>TB</t>
        </is>
      </c>
    </row>
    <row r="860" ht="17" customHeight="1" s="380">
      <c r="B860" s="4" t="inlineStr">
        <is>
          <t>HNX04 (PS)</t>
        </is>
      </c>
      <c r="C860" s="213" t="n"/>
      <c r="D860" s="213" t="inlineStr">
        <is>
          <t>Trái phiếu Chính phủ</t>
        </is>
      </c>
      <c r="F860" s="4" t="inlineStr">
        <is>
          <t>Báo cáo</t>
        </is>
      </c>
      <c r="G860" s="22" t="inlineStr">
        <is>
          <t>Chỉ tiêu phái sinh</t>
        </is>
      </c>
      <c r="H860" s="4" t="inlineStr">
        <is>
          <t>TB</t>
        </is>
      </c>
    </row>
    <row r="861" ht="17" customHeight="1" s="380">
      <c r="B861" s="4" t="inlineStr">
        <is>
          <t>HNX04 (PS)</t>
        </is>
      </c>
      <c r="C861" s="213" t="n"/>
      <c r="D861" s="213" t="inlineStr">
        <is>
          <t>Tín phiếu kho bạc</t>
        </is>
      </c>
      <c r="F861" s="4" t="inlineStr">
        <is>
          <t>Báo cáo</t>
        </is>
      </c>
      <c r="G861" s="22" t="inlineStr">
        <is>
          <t>Chỉ tiêu phái sinh</t>
        </is>
      </c>
      <c r="H861" s="4" t="inlineStr">
        <is>
          <t>TB</t>
        </is>
      </c>
    </row>
    <row r="862" ht="17" customHeight="1" s="380">
      <c r="B862" s="4" t="inlineStr">
        <is>
          <t>HNX04 (PS)</t>
        </is>
      </c>
      <c r="C862" s="213" t="n"/>
      <c r="D862" s="213" t="inlineStr">
        <is>
          <t>Tỷ trọng giá trị niêm yết bình quân phiên trên giá trị niêm yết (%)</t>
        </is>
      </c>
      <c r="F862" s="4" t="inlineStr">
        <is>
          <t>Báo cáo</t>
        </is>
      </c>
      <c r="G862" s="22" t="inlineStr">
        <is>
          <t>Chỉ tiêu phái sinh</t>
        </is>
      </c>
      <c r="H862" s="4" t="inlineStr">
        <is>
          <t>TB</t>
        </is>
      </c>
    </row>
    <row r="863" ht="17" customHeight="1" s="380">
      <c r="B863" s="4" t="inlineStr">
        <is>
          <t>HNX04 (PS)</t>
        </is>
      </c>
      <c r="C863" s="213" t="n"/>
      <c r="D863" s="213" t="inlineStr">
        <is>
          <t>Cổ phiếu niêm yết</t>
        </is>
      </c>
      <c r="F863" s="4" t="inlineStr">
        <is>
          <t>Báo cáo</t>
        </is>
      </c>
      <c r="G863" s="22" t="inlineStr">
        <is>
          <t>Chỉ tiêu phái sinh</t>
        </is>
      </c>
      <c r="H863" s="4" t="inlineStr">
        <is>
          <t>TB</t>
        </is>
      </c>
    </row>
    <row r="864" ht="17" customHeight="1" s="380">
      <c r="B864" s="4" t="inlineStr">
        <is>
          <t>HNX04 (PS)</t>
        </is>
      </c>
      <c r="C864" s="213" t="n"/>
      <c r="D864" s="213" t="inlineStr">
        <is>
          <t>Cổ phiếu đăng ký giao dịch</t>
        </is>
      </c>
      <c r="F864" s="4" t="inlineStr">
        <is>
          <t>Báo cáo</t>
        </is>
      </c>
      <c r="G864" s="22" t="inlineStr">
        <is>
          <t>Chỉ tiêu phái sinh</t>
        </is>
      </c>
      <c r="H864" s="4" t="inlineStr">
        <is>
          <t>TB</t>
        </is>
      </c>
    </row>
    <row r="865" ht="17" customHeight="1" s="380">
      <c r="B865" s="4" t="inlineStr">
        <is>
          <t>HNX04 (PS)</t>
        </is>
      </c>
      <c r="C865" s="213" t="n"/>
      <c r="D865" s="213" t="inlineStr">
        <is>
          <t>Trái phiếu Chính phủ</t>
        </is>
      </c>
      <c r="F865" s="4" t="inlineStr">
        <is>
          <t>Báo cáo</t>
        </is>
      </c>
      <c r="G865" s="22" t="inlineStr">
        <is>
          <t>Chỉ tiêu phái sinh</t>
        </is>
      </c>
      <c r="H865" s="4" t="inlineStr">
        <is>
          <t>TB</t>
        </is>
      </c>
    </row>
    <row r="866" ht="17" customHeight="1" s="380">
      <c r="B866" s="4" t="inlineStr">
        <is>
          <t>HNX04 (PS)</t>
        </is>
      </c>
      <c r="C866" s="213" t="n"/>
      <c r="D866" s="213" t="inlineStr">
        <is>
          <t>Tín phiếu kho bạc</t>
        </is>
      </c>
      <c r="F866" s="4" t="inlineStr">
        <is>
          <t>Báo cáo</t>
        </is>
      </c>
      <c r="G866" s="22" t="inlineStr">
        <is>
          <t>Chỉ tiêu phái sinh</t>
        </is>
      </c>
      <c r="H866" s="4" t="inlineStr">
        <is>
          <t>TB</t>
        </is>
      </c>
    </row>
    <row r="867" ht="15" customHeight="1" s="380">
      <c r="B867" s="4" t="inlineStr">
        <is>
          <t>HNX04 (PS)</t>
        </is>
      </c>
      <c r="C867" s="216" t="n"/>
      <c r="D867" s="216" t="inlineStr">
        <is>
          <t>Khối lượng chứng khoán niêm yết và đăng ký giao dịch (chứng khoán)</t>
        </is>
      </c>
      <c r="F867" s="4" t="inlineStr">
        <is>
          <t>Báo cáo</t>
        </is>
      </c>
      <c r="G867" s="22" t="inlineStr">
        <is>
          <t>Chỉ tiêu phái sinh</t>
        </is>
      </c>
      <c r="H867" s="4" t="inlineStr">
        <is>
          <t>TB</t>
        </is>
      </c>
    </row>
    <row r="868" ht="15" customHeight="1" s="380">
      <c r="B868" s="4" t="inlineStr">
        <is>
          <t>HNX04 (PS)</t>
        </is>
      </c>
      <c r="C868" s="216" t="n"/>
      <c r="D868" s="216" t="inlineStr">
        <is>
          <t>Cổ phiếu niêm yết</t>
        </is>
      </c>
      <c r="F868" s="4" t="inlineStr">
        <is>
          <t>Báo cáo</t>
        </is>
      </c>
      <c r="G868" s="22" t="inlineStr">
        <is>
          <t>Chỉ tiêu phái sinh</t>
        </is>
      </c>
      <c r="H868" s="4" t="inlineStr">
        <is>
          <t>TB</t>
        </is>
      </c>
    </row>
    <row r="869" ht="15" customHeight="1" s="380">
      <c r="B869" s="4" t="inlineStr">
        <is>
          <t>HNX04 (PS)</t>
        </is>
      </c>
      <c r="C869" s="216" t="n"/>
      <c r="D869" s="216" t="inlineStr">
        <is>
          <t>Cổ phiếu đăng ký giao dịch</t>
        </is>
      </c>
      <c r="F869" s="4" t="inlineStr">
        <is>
          <t>Báo cáo</t>
        </is>
      </c>
      <c r="G869" s="22" t="inlineStr">
        <is>
          <t>Chỉ tiêu phái sinh</t>
        </is>
      </c>
      <c r="H869" s="4" t="inlineStr">
        <is>
          <t>TB</t>
        </is>
      </c>
    </row>
    <row r="870" ht="15" customHeight="1" s="380">
      <c r="B870" s="4" t="inlineStr">
        <is>
          <t>HNX04 (PS)</t>
        </is>
      </c>
      <c r="C870" s="216" t="n"/>
      <c r="D870" s="216" t="inlineStr">
        <is>
          <t>Trái phiếu chính phủ</t>
        </is>
      </c>
      <c r="F870" s="4" t="inlineStr">
        <is>
          <t>Báo cáo</t>
        </is>
      </c>
      <c r="G870" s="22" t="inlineStr">
        <is>
          <t>Chỉ tiêu phái sinh</t>
        </is>
      </c>
      <c r="H870" s="4" t="inlineStr">
        <is>
          <t>TB</t>
        </is>
      </c>
    </row>
    <row r="871" ht="15" customHeight="1" s="380">
      <c r="B871" s="4" t="inlineStr">
        <is>
          <t>HNX04 (PS)</t>
        </is>
      </c>
      <c r="C871" s="216" t="n"/>
      <c r="D871" s="216" t="inlineStr">
        <is>
          <t>Trái phiếu chính quyền địa phương</t>
        </is>
      </c>
      <c r="F871" s="4" t="inlineStr">
        <is>
          <t>Báo cáo</t>
        </is>
      </c>
      <c r="G871" s="22" t="inlineStr">
        <is>
          <t>Chỉ tiêu phái sinh</t>
        </is>
      </c>
      <c r="H871" s="4" t="inlineStr">
        <is>
          <t>TB</t>
        </is>
      </c>
    </row>
    <row r="872" ht="15" customHeight="1" s="380">
      <c r="B872" s="4" t="inlineStr">
        <is>
          <t>HNX04 (PS)</t>
        </is>
      </c>
      <c r="C872" s="216" t="n"/>
      <c r="D872" s="216" t="inlineStr">
        <is>
          <t>Trái phiếu chính phủ bảo lãnh</t>
        </is>
      </c>
      <c r="F872" s="4" t="inlineStr">
        <is>
          <t>Báo cáo</t>
        </is>
      </c>
      <c r="G872" s="22" t="inlineStr">
        <is>
          <t>Chỉ tiêu phái sinh</t>
        </is>
      </c>
      <c r="H872" s="4" t="inlineStr">
        <is>
          <t>TB</t>
        </is>
      </c>
    </row>
    <row r="873" ht="15" customHeight="1" s="380">
      <c r="B873" s="4" t="inlineStr">
        <is>
          <t>HNX04 (PS)</t>
        </is>
      </c>
      <c r="C873" s="216" t="n"/>
      <c r="D873" s="216" t="inlineStr">
        <is>
          <t>Trái phiếu doanh nghiệp</t>
        </is>
      </c>
      <c r="F873" s="4" t="inlineStr">
        <is>
          <t>Báo cáo</t>
        </is>
      </c>
      <c r="G873" s="22" t="inlineStr">
        <is>
          <t>Chỉ tiêu phái sinh</t>
        </is>
      </c>
      <c r="H873" s="4" t="inlineStr">
        <is>
          <t>TB</t>
        </is>
      </c>
    </row>
    <row r="874" ht="15" customHeight="1" s="380">
      <c r="B874" s="4" t="inlineStr">
        <is>
          <t>HNX04 (PS)</t>
        </is>
      </c>
      <c r="C874" s="216" t="n"/>
      <c r="D874" s="216" t="inlineStr">
        <is>
          <t>Tín phiếu kho bạc</t>
        </is>
      </c>
      <c r="F874" s="4" t="inlineStr">
        <is>
          <t>Báo cáo</t>
        </is>
      </c>
      <c r="G874" s="22" t="inlineStr">
        <is>
          <t>Chỉ tiêu phái sinh</t>
        </is>
      </c>
      <c r="H874" s="4" t="inlineStr">
        <is>
          <t>TB</t>
        </is>
      </c>
    </row>
    <row r="875" ht="15" customHeight="1" s="380">
      <c r="B875" s="4" t="inlineStr">
        <is>
          <t>HNX04 (PS)</t>
        </is>
      </c>
      <c r="C875" s="216" t="n"/>
      <c r="D875" s="216" t="inlineStr">
        <is>
          <t>Chứng chỉ quỹ (ETF)</t>
        </is>
      </c>
      <c r="F875" s="4" t="inlineStr">
        <is>
          <t>Báo cáo</t>
        </is>
      </c>
      <c r="G875" s="22" t="inlineStr">
        <is>
          <t>Chỉ tiêu phái sinh</t>
        </is>
      </c>
      <c r="H875" s="4" t="inlineStr">
        <is>
          <t>TB</t>
        </is>
      </c>
    </row>
    <row r="876" ht="15" customHeight="1" s="380">
      <c r="B876" s="4" t="inlineStr">
        <is>
          <t>HNX04 (PS)</t>
        </is>
      </c>
      <c r="C876" s="216" t="n"/>
      <c r="D876" s="216" t="inlineStr">
        <is>
          <t>Giá trị chứng khoán niêm yết và đăng ký giao dịch (VND)</t>
        </is>
      </c>
      <c r="F876" s="4" t="inlineStr">
        <is>
          <t>Báo cáo</t>
        </is>
      </c>
      <c r="G876" s="22" t="inlineStr">
        <is>
          <t>Chỉ tiêu phái sinh</t>
        </is>
      </c>
      <c r="H876" s="4" t="inlineStr">
        <is>
          <t>TB</t>
        </is>
      </c>
    </row>
    <row r="877" ht="15" customHeight="1" s="380">
      <c r="B877" s="4" t="inlineStr">
        <is>
          <t>HNX04 (PS)</t>
        </is>
      </c>
      <c r="C877" s="216" t="n"/>
      <c r="D877" s="216" t="inlineStr">
        <is>
          <t>Cổ phiếu niêm yết</t>
        </is>
      </c>
      <c r="F877" s="4" t="inlineStr">
        <is>
          <t>Báo cáo</t>
        </is>
      </c>
      <c r="G877" s="22" t="inlineStr">
        <is>
          <t>Chỉ tiêu phái sinh</t>
        </is>
      </c>
      <c r="H877" s="4" t="inlineStr">
        <is>
          <t>TB</t>
        </is>
      </c>
    </row>
    <row r="878" ht="15" customHeight="1" s="380">
      <c r="B878" s="4" t="inlineStr">
        <is>
          <t>HNX04 (PS)</t>
        </is>
      </c>
      <c r="C878" s="216" t="n"/>
      <c r="D878" s="216" t="inlineStr">
        <is>
          <t>Cổ phiếu đăng ký giao dịch</t>
        </is>
      </c>
      <c r="F878" s="4" t="inlineStr">
        <is>
          <t>Báo cáo</t>
        </is>
      </c>
      <c r="G878" s="22" t="inlineStr">
        <is>
          <t>Chỉ tiêu phái sinh</t>
        </is>
      </c>
      <c r="H878" s="4" t="inlineStr">
        <is>
          <t>TB</t>
        </is>
      </c>
    </row>
    <row r="879" ht="15" customHeight="1" s="380">
      <c r="B879" s="4" t="inlineStr">
        <is>
          <t>HNX04 (PS)</t>
        </is>
      </c>
      <c r="C879" s="216" t="n"/>
      <c r="D879" s="216" t="inlineStr">
        <is>
          <t>Trái phiếu chính phủ</t>
        </is>
      </c>
      <c r="F879" s="4" t="inlineStr">
        <is>
          <t>Báo cáo</t>
        </is>
      </c>
      <c r="G879" s="22" t="inlineStr">
        <is>
          <t>Chỉ tiêu phái sinh</t>
        </is>
      </c>
      <c r="H879" s="4" t="inlineStr">
        <is>
          <t>TB</t>
        </is>
      </c>
    </row>
    <row r="880" ht="15" customHeight="1" s="380">
      <c r="B880" s="4" t="inlineStr">
        <is>
          <t>HNX04 (PS)</t>
        </is>
      </c>
      <c r="C880" s="216" t="n"/>
      <c r="D880" s="216" t="inlineStr">
        <is>
          <t>Trái phiếu chính quyền địa phương</t>
        </is>
      </c>
      <c r="F880" s="4" t="inlineStr">
        <is>
          <t>Báo cáo</t>
        </is>
      </c>
      <c r="G880" s="22" t="inlineStr">
        <is>
          <t>Chỉ tiêu phái sinh</t>
        </is>
      </c>
      <c r="H880" s="4" t="inlineStr">
        <is>
          <t>TB</t>
        </is>
      </c>
    </row>
    <row r="881" ht="15" customHeight="1" s="380">
      <c r="B881" s="4" t="inlineStr">
        <is>
          <t>HNX04 (PS)</t>
        </is>
      </c>
      <c r="C881" s="216" t="n"/>
      <c r="D881" s="216" t="inlineStr">
        <is>
          <t>Trái phiếu chính phủ bảo lãnh</t>
        </is>
      </c>
      <c r="F881" s="4" t="inlineStr">
        <is>
          <t>Báo cáo</t>
        </is>
      </c>
      <c r="G881" s="22" t="inlineStr">
        <is>
          <t>Chỉ tiêu phái sinh</t>
        </is>
      </c>
      <c r="H881" s="4" t="inlineStr">
        <is>
          <t>TB</t>
        </is>
      </c>
    </row>
    <row r="882" ht="15" customHeight="1" s="380">
      <c r="B882" s="4" t="inlineStr">
        <is>
          <t>HNX04 (PS)</t>
        </is>
      </c>
      <c r="C882" s="216" t="n"/>
      <c r="D882" s="216" t="inlineStr">
        <is>
          <t>Trái phiếu doanh nghiệp</t>
        </is>
      </c>
      <c r="F882" s="4" t="inlineStr">
        <is>
          <t>Báo cáo</t>
        </is>
      </c>
      <c r="G882" s="22" t="inlineStr">
        <is>
          <t>Chỉ tiêu phái sinh</t>
        </is>
      </c>
      <c r="H882" s="4" t="inlineStr">
        <is>
          <t>TB</t>
        </is>
      </c>
    </row>
    <row r="883" ht="15" customHeight="1" s="380">
      <c r="B883" s="4" t="inlineStr">
        <is>
          <t>HNX04 (PS)</t>
        </is>
      </c>
      <c r="C883" s="216" t="n"/>
      <c r="D883" s="216" t="inlineStr">
        <is>
          <t>Tín phiếu kho bạc</t>
        </is>
      </c>
      <c r="F883" s="4" t="inlineStr">
        <is>
          <t>Báo cáo</t>
        </is>
      </c>
      <c r="G883" s="22" t="inlineStr">
        <is>
          <t>Chỉ tiêu phái sinh</t>
        </is>
      </c>
      <c r="H883" s="4" t="inlineStr">
        <is>
          <t>TB</t>
        </is>
      </c>
    </row>
    <row r="884" ht="15" customHeight="1" s="380">
      <c r="B884" s="4" t="inlineStr">
        <is>
          <t>HNX04 (PS)</t>
        </is>
      </c>
      <c r="C884" s="216" t="n"/>
      <c r="D884" s="216" t="inlineStr">
        <is>
          <t>Chứng chỉ quỹ (ETF)</t>
        </is>
      </c>
      <c r="F884" s="4" t="inlineStr">
        <is>
          <t>Báo cáo</t>
        </is>
      </c>
      <c r="G884" s="22" t="inlineStr">
        <is>
          <t>Chỉ tiêu phái sinh</t>
        </is>
      </c>
      <c r="H884" s="4" t="inlineStr">
        <is>
          <t>TB</t>
        </is>
      </c>
    </row>
    <row r="885" ht="17" customHeight="1" s="380">
      <c r="B885" s="4" t="inlineStr">
        <is>
          <t>HNX04 (PS)</t>
        </is>
      </c>
      <c r="C885" s="213" t="n"/>
      <c r="D885" s="213" t="inlineStr">
        <is>
          <t>Giá trị giao dịch bình quân 1 phiên (VND)</t>
        </is>
      </c>
      <c r="F885" s="4" t="inlineStr">
        <is>
          <t>Báo cáo</t>
        </is>
      </c>
      <c r="G885" s="22" t="inlineStr">
        <is>
          <t>Chỉ tiêu phái sinh</t>
        </is>
      </c>
      <c r="H885" s="4" t="inlineStr">
        <is>
          <t>TB</t>
        </is>
      </c>
    </row>
    <row r="886" ht="17" customHeight="1" s="380">
      <c r="B886" s="4" t="inlineStr">
        <is>
          <t>HNX04 (PS)</t>
        </is>
      </c>
      <c r="C886" s="213" t="n"/>
      <c r="D886" s="213" t="inlineStr">
        <is>
          <t>Cổ phiếu niêm yết</t>
        </is>
      </c>
      <c r="F886" s="4" t="inlineStr">
        <is>
          <t>Báo cáo</t>
        </is>
      </c>
      <c r="G886" s="22" t="inlineStr">
        <is>
          <t>Chỉ tiêu phái sinh</t>
        </is>
      </c>
      <c r="H886" s="4" t="inlineStr">
        <is>
          <t>TB</t>
        </is>
      </c>
    </row>
    <row r="887" ht="17" customHeight="1" s="380">
      <c r="B887" s="4" t="inlineStr">
        <is>
          <t>HNX04 (PS)</t>
        </is>
      </c>
      <c r="C887" s="213" t="n"/>
      <c r="D887" s="213" t="inlineStr">
        <is>
          <t>Cổ phiếu đăng ký giao dịch</t>
        </is>
      </c>
      <c r="F887" s="4" t="inlineStr">
        <is>
          <t>Báo cáo</t>
        </is>
      </c>
      <c r="G887" s="22" t="inlineStr">
        <is>
          <t>Chỉ tiêu phái sinh</t>
        </is>
      </c>
      <c r="H887" s="4" t="inlineStr">
        <is>
          <t>TB</t>
        </is>
      </c>
    </row>
    <row r="888" ht="17" customHeight="1" s="380">
      <c r="B888" s="4" t="inlineStr">
        <is>
          <t>HNX04 (PS)</t>
        </is>
      </c>
      <c r="C888" s="213" t="n"/>
      <c r="D888" s="213" t="inlineStr">
        <is>
          <t>Trái phiếu Chính phủ</t>
        </is>
      </c>
      <c r="F888" s="4" t="inlineStr">
        <is>
          <t>Báo cáo</t>
        </is>
      </c>
      <c r="G888" s="22" t="inlineStr">
        <is>
          <t>Chỉ tiêu phái sinh</t>
        </is>
      </c>
      <c r="H888" s="4" t="inlineStr">
        <is>
          <t>TB</t>
        </is>
      </c>
    </row>
    <row r="889" ht="17" customHeight="1" s="380">
      <c r="B889" s="4" t="inlineStr">
        <is>
          <t>HNX04 (PS)</t>
        </is>
      </c>
      <c r="C889" s="213" t="n"/>
      <c r="D889" s="213" t="inlineStr">
        <is>
          <t>Tín phiếu kho bạc</t>
        </is>
      </c>
      <c r="F889" s="4" t="inlineStr">
        <is>
          <t>Báo cáo</t>
        </is>
      </c>
      <c r="G889" s="22" t="inlineStr">
        <is>
          <t>Chỉ tiêu phái sinh</t>
        </is>
      </c>
      <c r="H889" s="4" t="inlineStr">
        <is>
          <t>TB</t>
        </is>
      </c>
    </row>
    <row r="890" ht="17" customHeight="1" s="380">
      <c r="B890" s="4" t="inlineStr">
        <is>
          <t>HNX04 (PS)</t>
        </is>
      </c>
      <c r="C890" s="213" t="n"/>
      <c r="D890" s="213" t="inlineStr">
        <is>
          <t>Tỷ trọng giá trị niêm yết bình quân phiên trên giá trị niêm yết (%)</t>
        </is>
      </c>
      <c r="F890" s="4" t="inlineStr">
        <is>
          <t>Báo cáo</t>
        </is>
      </c>
      <c r="G890" s="22" t="inlineStr">
        <is>
          <t>Chỉ tiêu phái sinh</t>
        </is>
      </c>
      <c r="H890" s="4" t="inlineStr">
        <is>
          <t>TB</t>
        </is>
      </c>
    </row>
    <row r="891" ht="17" customHeight="1" s="380">
      <c r="B891" s="4" t="inlineStr">
        <is>
          <t>HNX04 (PS)</t>
        </is>
      </c>
      <c r="C891" s="213" t="n"/>
      <c r="D891" s="213" t="inlineStr">
        <is>
          <t>Cổ phiếu niêm yết</t>
        </is>
      </c>
      <c r="F891" s="4" t="inlineStr">
        <is>
          <t>Báo cáo</t>
        </is>
      </c>
      <c r="G891" s="22" t="inlineStr">
        <is>
          <t>Chỉ tiêu phái sinh</t>
        </is>
      </c>
      <c r="H891" s="4" t="inlineStr">
        <is>
          <t>TB</t>
        </is>
      </c>
    </row>
    <row r="892" ht="17" customHeight="1" s="380">
      <c r="B892" s="4" t="inlineStr">
        <is>
          <t>HNX04 (PS)</t>
        </is>
      </c>
      <c r="C892" s="213" t="n"/>
      <c r="D892" s="213" t="inlineStr">
        <is>
          <t>Cổ phiếu đăng ký giao dịch</t>
        </is>
      </c>
      <c r="F892" s="4" t="inlineStr">
        <is>
          <t>Báo cáo</t>
        </is>
      </c>
      <c r="G892" s="22" t="inlineStr">
        <is>
          <t>Chỉ tiêu phái sinh</t>
        </is>
      </c>
      <c r="H892" s="4" t="inlineStr">
        <is>
          <t>TB</t>
        </is>
      </c>
    </row>
    <row r="893" ht="17" customHeight="1" s="380">
      <c r="B893" s="4" t="inlineStr">
        <is>
          <t>HNX04 (PS)</t>
        </is>
      </c>
      <c r="C893" s="213" t="n"/>
      <c r="D893" s="213" t="inlineStr">
        <is>
          <t>Trái phiếu Chính phủ</t>
        </is>
      </c>
      <c r="F893" s="4" t="inlineStr">
        <is>
          <t>Báo cáo</t>
        </is>
      </c>
      <c r="G893" s="22" t="inlineStr">
        <is>
          <t>Chỉ tiêu phái sinh</t>
        </is>
      </c>
      <c r="H893" s="4" t="inlineStr">
        <is>
          <t>TB</t>
        </is>
      </c>
    </row>
    <row r="894" ht="17" customHeight="1" s="380">
      <c r="B894" s="4" t="inlineStr">
        <is>
          <t>HNX04 (PS)</t>
        </is>
      </c>
      <c r="C894" s="213" t="n"/>
      <c r="D894" s="213" t="inlineStr">
        <is>
          <t>Tín phiếu kho bạc</t>
        </is>
      </c>
      <c r="F894" s="4" t="inlineStr">
        <is>
          <t>Báo cáo</t>
        </is>
      </c>
      <c r="G894" s="22" t="inlineStr">
        <is>
          <t>Chỉ tiêu phái sinh</t>
        </is>
      </c>
      <c r="H894" s="4" t="inlineStr">
        <is>
          <t>TB</t>
        </is>
      </c>
    </row>
    <row r="895" ht="13" customHeight="1" s="380">
      <c r="B895" s="211" t="inlineStr">
        <is>
          <t>HNX04 (PS)</t>
        </is>
      </c>
      <c r="C895" s="211" t="n"/>
      <c r="D895" s="211" t="inlineStr">
        <is>
          <t>Trong kỳ-Tăng/giảm so với kỳ trước (%)</t>
        </is>
      </c>
      <c r="F895" s="4" t="inlineStr">
        <is>
          <t>Báo cáo</t>
        </is>
      </c>
      <c r="G895" s="22" t="inlineStr">
        <is>
          <t>Chỉ tiêu phái sinh</t>
        </is>
      </c>
      <c r="H895" s="4" t="inlineStr">
        <is>
          <t>TB</t>
        </is>
      </c>
    </row>
    <row r="896" ht="17" customHeight="1" s="380">
      <c r="B896" s="4" t="inlineStr">
        <is>
          <t>HNX04 (PS)</t>
        </is>
      </c>
      <c r="C896" s="213" t="n"/>
      <c r="D896" s="213" t="inlineStr">
        <is>
          <t>Giá trị giao dịch bình quân 1 phiên (VND)</t>
        </is>
      </c>
      <c r="F896" s="4" t="inlineStr">
        <is>
          <t>Báo cáo</t>
        </is>
      </c>
      <c r="G896" s="22" t="inlineStr">
        <is>
          <t>Chỉ tiêu phái sinh</t>
        </is>
      </c>
      <c r="H896" s="4" t="inlineStr">
        <is>
          <t>TB</t>
        </is>
      </c>
    </row>
    <row r="897" ht="17" customHeight="1" s="380">
      <c r="B897" s="4" t="inlineStr">
        <is>
          <t>HNX04 (PS)</t>
        </is>
      </c>
      <c r="C897" s="213" t="n"/>
      <c r="D897" s="213" t="inlineStr">
        <is>
          <t>Cổ phiếu niêm yết</t>
        </is>
      </c>
      <c r="F897" s="4" t="inlineStr">
        <is>
          <t>Báo cáo</t>
        </is>
      </c>
      <c r="G897" s="22" t="inlineStr">
        <is>
          <t>Chỉ tiêu phái sinh</t>
        </is>
      </c>
      <c r="H897" s="4" t="inlineStr">
        <is>
          <t>TB</t>
        </is>
      </c>
    </row>
    <row r="898" ht="17" customHeight="1" s="380">
      <c r="B898" s="4" t="inlineStr">
        <is>
          <t>HNX04 (PS)</t>
        </is>
      </c>
      <c r="C898" s="213" t="n"/>
      <c r="D898" s="213" t="inlineStr">
        <is>
          <t>Cổ phiếu đăng ký giao dịch</t>
        </is>
      </c>
      <c r="F898" s="4" t="inlineStr">
        <is>
          <t>Báo cáo</t>
        </is>
      </c>
      <c r="G898" s="22" t="inlineStr">
        <is>
          <t>Chỉ tiêu phái sinh</t>
        </is>
      </c>
      <c r="H898" s="4" t="inlineStr">
        <is>
          <t>TB</t>
        </is>
      </c>
    </row>
    <row r="899" ht="17" customHeight="1" s="380">
      <c r="B899" s="4" t="inlineStr">
        <is>
          <t>HNX04 (PS)</t>
        </is>
      </c>
      <c r="C899" s="213" t="n"/>
      <c r="D899" s="213" t="inlineStr">
        <is>
          <t>Trái phiếu Chính phủ</t>
        </is>
      </c>
      <c r="F899" s="4" t="inlineStr">
        <is>
          <t>Báo cáo</t>
        </is>
      </c>
      <c r="G899" s="22" t="inlineStr">
        <is>
          <t>Chỉ tiêu phái sinh</t>
        </is>
      </c>
      <c r="H899" s="4" t="inlineStr">
        <is>
          <t>TB</t>
        </is>
      </c>
    </row>
    <row r="900" ht="17" customHeight="1" s="380">
      <c r="B900" s="4" t="inlineStr">
        <is>
          <t>HNX04 (PS)</t>
        </is>
      </c>
      <c r="C900" s="213" t="n"/>
      <c r="D900" s="213" t="inlineStr">
        <is>
          <t>Tín phiếu kho bạc</t>
        </is>
      </c>
      <c r="F900" s="4" t="inlineStr">
        <is>
          <t>Báo cáo</t>
        </is>
      </c>
      <c r="G900" s="22" t="inlineStr">
        <is>
          <t>Chỉ tiêu phái sinh</t>
        </is>
      </c>
      <c r="H900" s="4" t="inlineStr">
        <is>
          <t>TB</t>
        </is>
      </c>
    </row>
    <row r="901" ht="17" customHeight="1" s="380">
      <c r="B901" s="4" t="inlineStr">
        <is>
          <t>HNX04 (PS)</t>
        </is>
      </c>
      <c r="C901" s="213" t="n"/>
      <c r="D901" s="213" t="inlineStr">
        <is>
          <t>Tỷ trọng giá trị niêm yết bình quân phiên trên giá trị niêm yết (%)</t>
        </is>
      </c>
      <c r="F901" s="4" t="inlineStr">
        <is>
          <t>Báo cáo</t>
        </is>
      </c>
      <c r="G901" s="22" t="inlineStr">
        <is>
          <t>Chỉ tiêu phái sinh</t>
        </is>
      </c>
      <c r="H901" s="4" t="inlineStr">
        <is>
          <t>TB</t>
        </is>
      </c>
    </row>
    <row r="902" ht="17" customHeight="1" s="380">
      <c r="B902" s="4" t="inlineStr">
        <is>
          <t>HNX04 (PS)</t>
        </is>
      </c>
      <c r="C902" s="213" t="n"/>
      <c r="D902" s="213" t="inlineStr">
        <is>
          <t>Cổ phiếu niêm yết</t>
        </is>
      </c>
      <c r="F902" s="4" t="inlineStr">
        <is>
          <t>Báo cáo</t>
        </is>
      </c>
      <c r="G902" s="22" t="inlineStr">
        <is>
          <t>Chỉ tiêu phái sinh</t>
        </is>
      </c>
      <c r="H902" s="4" t="inlineStr">
        <is>
          <t>TB</t>
        </is>
      </c>
    </row>
    <row r="903" ht="17" customHeight="1" s="380">
      <c r="B903" s="4" t="inlineStr">
        <is>
          <t>HNX04 (PS)</t>
        </is>
      </c>
      <c r="C903" s="213" t="n"/>
      <c r="D903" s="213" t="inlineStr">
        <is>
          <t>Cổ phiếu đăng ký giao dịch</t>
        </is>
      </c>
      <c r="F903" s="4" t="inlineStr">
        <is>
          <t>Báo cáo</t>
        </is>
      </c>
      <c r="G903" s="22" t="inlineStr">
        <is>
          <t>Chỉ tiêu phái sinh</t>
        </is>
      </c>
      <c r="H903" s="4" t="inlineStr">
        <is>
          <t>TB</t>
        </is>
      </c>
    </row>
    <row r="904" ht="17" customHeight="1" s="380">
      <c r="B904" s="4" t="inlineStr">
        <is>
          <t>HNX04 (PS)</t>
        </is>
      </c>
      <c r="C904" s="213" t="n"/>
      <c r="D904" s="213" t="inlineStr">
        <is>
          <t>Trái phiếu Chính phủ</t>
        </is>
      </c>
      <c r="F904" s="4" t="inlineStr">
        <is>
          <t>Báo cáo</t>
        </is>
      </c>
      <c r="G904" s="22" t="inlineStr">
        <is>
          <t>Chỉ tiêu phái sinh</t>
        </is>
      </c>
      <c r="H904" s="4" t="inlineStr">
        <is>
          <t>TB</t>
        </is>
      </c>
    </row>
    <row r="905" ht="17" customHeight="1" s="380">
      <c r="B905" s="4" t="inlineStr">
        <is>
          <t>HNX04 (PS)</t>
        </is>
      </c>
      <c r="C905" s="213" t="n"/>
      <c r="D905" s="213" t="inlineStr">
        <is>
          <t>Tín phiếu kho bạc</t>
        </is>
      </c>
      <c r="F905" s="4" t="inlineStr">
        <is>
          <t>Báo cáo</t>
        </is>
      </c>
      <c r="G905" s="22" t="inlineStr">
        <is>
          <t>Chỉ tiêu phái sinh</t>
        </is>
      </c>
      <c r="H905" s="4" t="inlineStr">
        <is>
          <t>TB</t>
        </is>
      </c>
    </row>
    <row r="906" ht="15" customHeight="1" s="380">
      <c r="B906" s="4" t="inlineStr">
        <is>
          <t>HNX04 (PS)</t>
        </is>
      </c>
      <c r="C906" s="216" t="n"/>
      <c r="D906" s="216" t="inlineStr">
        <is>
          <t>Khối lượng chứng khoán niêm yết và đăng ký giao dịch (chứng khoán)</t>
        </is>
      </c>
      <c r="F906" s="4" t="inlineStr">
        <is>
          <t>Báo cáo</t>
        </is>
      </c>
      <c r="G906" s="22" t="inlineStr">
        <is>
          <t>Chỉ tiêu phái sinh</t>
        </is>
      </c>
      <c r="H906" s="4" t="inlineStr">
        <is>
          <t>TB</t>
        </is>
      </c>
    </row>
    <row r="907" ht="15" customHeight="1" s="380">
      <c r="B907" s="4" t="inlineStr">
        <is>
          <t>HNX04 (PS)</t>
        </is>
      </c>
      <c r="C907" s="216" t="n"/>
      <c r="D907" s="216" t="inlineStr">
        <is>
          <t>Cổ phiếu niêm yết</t>
        </is>
      </c>
      <c r="F907" s="4" t="inlineStr">
        <is>
          <t>Báo cáo</t>
        </is>
      </c>
      <c r="G907" s="22" t="inlineStr">
        <is>
          <t>Chỉ tiêu phái sinh</t>
        </is>
      </c>
      <c r="H907" s="4" t="inlineStr">
        <is>
          <t>TB</t>
        </is>
      </c>
    </row>
    <row r="908" ht="15" customHeight="1" s="380">
      <c r="B908" s="4" t="inlineStr">
        <is>
          <t>HNX04 (PS)</t>
        </is>
      </c>
      <c r="C908" s="216" t="n"/>
      <c r="D908" s="216" t="inlineStr">
        <is>
          <t>Cổ phiếu đăng ký giao dịch</t>
        </is>
      </c>
      <c r="F908" s="4" t="inlineStr">
        <is>
          <t>Báo cáo</t>
        </is>
      </c>
      <c r="G908" s="22" t="inlineStr">
        <is>
          <t>Chỉ tiêu phái sinh</t>
        </is>
      </c>
      <c r="H908" s="4" t="inlineStr">
        <is>
          <t>TB</t>
        </is>
      </c>
    </row>
    <row r="909" ht="15" customHeight="1" s="380">
      <c r="B909" s="4" t="inlineStr">
        <is>
          <t>HNX04 (PS)</t>
        </is>
      </c>
      <c r="C909" s="216" t="n"/>
      <c r="D909" s="216" t="inlineStr">
        <is>
          <t>Trái phiếu chính phủ</t>
        </is>
      </c>
      <c r="F909" s="4" t="inlineStr">
        <is>
          <t>Báo cáo</t>
        </is>
      </c>
      <c r="G909" s="22" t="inlineStr">
        <is>
          <t>Chỉ tiêu phái sinh</t>
        </is>
      </c>
      <c r="H909" s="4" t="inlineStr">
        <is>
          <t>TB</t>
        </is>
      </c>
    </row>
    <row r="910" ht="15" customHeight="1" s="380">
      <c r="B910" s="4" t="inlineStr">
        <is>
          <t>HNX04 (PS)</t>
        </is>
      </c>
      <c r="C910" s="216" t="n"/>
      <c r="D910" s="216" t="inlineStr">
        <is>
          <t>Trái phiếu chính quyền địa phương</t>
        </is>
      </c>
      <c r="F910" s="4" t="inlineStr">
        <is>
          <t>Báo cáo</t>
        </is>
      </c>
      <c r="G910" s="22" t="inlineStr">
        <is>
          <t>Chỉ tiêu phái sinh</t>
        </is>
      </c>
      <c r="H910" s="4" t="inlineStr">
        <is>
          <t>TB</t>
        </is>
      </c>
    </row>
    <row r="911" ht="15" customHeight="1" s="380">
      <c r="B911" s="4" t="inlineStr">
        <is>
          <t>HNX04 (PS)</t>
        </is>
      </c>
      <c r="C911" s="216" t="n"/>
      <c r="D911" s="216" t="inlineStr">
        <is>
          <t>Trái phiếu chính phủ bảo lãnh</t>
        </is>
      </c>
      <c r="F911" s="4" t="inlineStr">
        <is>
          <t>Báo cáo</t>
        </is>
      </c>
      <c r="G911" s="22" t="inlineStr">
        <is>
          <t>Chỉ tiêu phái sinh</t>
        </is>
      </c>
      <c r="H911" s="4" t="inlineStr">
        <is>
          <t>TB</t>
        </is>
      </c>
    </row>
    <row r="912" ht="15" customHeight="1" s="380">
      <c r="B912" s="4" t="inlineStr">
        <is>
          <t>HNX04 (PS)</t>
        </is>
      </c>
      <c r="C912" s="216" t="n"/>
      <c r="D912" s="216" t="inlineStr">
        <is>
          <t>Trái phiếu doanh nghiệp</t>
        </is>
      </c>
      <c r="F912" s="4" t="inlineStr">
        <is>
          <t>Báo cáo</t>
        </is>
      </c>
      <c r="G912" s="22" t="inlineStr">
        <is>
          <t>Chỉ tiêu phái sinh</t>
        </is>
      </c>
      <c r="H912" s="4" t="inlineStr">
        <is>
          <t>TB</t>
        </is>
      </c>
    </row>
    <row r="913" ht="15" customHeight="1" s="380">
      <c r="B913" s="4" t="inlineStr">
        <is>
          <t>HNX04 (PS)</t>
        </is>
      </c>
      <c r="C913" s="216" t="n"/>
      <c r="D913" s="216" t="inlineStr">
        <is>
          <t>Tín phiếu kho bạc</t>
        </is>
      </c>
      <c r="F913" s="4" t="inlineStr">
        <is>
          <t>Báo cáo</t>
        </is>
      </c>
      <c r="G913" s="22" t="inlineStr">
        <is>
          <t>Chỉ tiêu phái sinh</t>
        </is>
      </c>
      <c r="H913" s="4" t="inlineStr">
        <is>
          <t>TB</t>
        </is>
      </c>
    </row>
    <row r="914" ht="15" customHeight="1" s="380">
      <c r="B914" s="4" t="inlineStr">
        <is>
          <t>HNX04 (PS)</t>
        </is>
      </c>
      <c r="C914" s="216" t="n"/>
      <c r="D914" s="216" t="inlineStr">
        <is>
          <t>Chứng chỉ quỹ (ETF)</t>
        </is>
      </c>
      <c r="F914" s="4" t="inlineStr">
        <is>
          <t>Báo cáo</t>
        </is>
      </c>
      <c r="G914" s="22" t="inlineStr">
        <is>
          <t>Chỉ tiêu phái sinh</t>
        </is>
      </c>
      <c r="H914" s="4" t="inlineStr">
        <is>
          <t>TB</t>
        </is>
      </c>
    </row>
    <row r="915" ht="15" customHeight="1" s="380">
      <c r="B915" s="4" t="inlineStr">
        <is>
          <t>HNX04 (PS)</t>
        </is>
      </c>
      <c r="C915" s="216" t="n"/>
      <c r="D915" s="216" t="inlineStr">
        <is>
          <t>Giá trị chứng khoán niêm yết và đăng ký giao dịch (VND)</t>
        </is>
      </c>
      <c r="F915" s="4" t="inlineStr">
        <is>
          <t>Báo cáo</t>
        </is>
      </c>
      <c r="G915" s="22" t="inlineStr">
        <is>
          <t>Chỉ tiêu phái sinh</t>
        </is>
      </c>
      <c r="H915" s="4" t="inlineStr">
        <is>
          <t>TB</t>
        </is>
      </c>
    </row>
    <row r="916" ht="15" customHeight="1" s="380">
      <c r="B916" s="4" t="inlineStr">
        <is>
          <t>HNX04 (PS)</t>
        </is>
      </c>
      <c r="C916" s="216" t="n"/>
      <c r="D916" s="216" t="inlineStr">
        <is>
          <t>Cổ phiếu niêm yết</t>
        </is>
      </c>
      <c r="F916" s="4" t="inlineStr">
        <is>
          <t>Báo cáo</t>
        </is>
      </c>
      <c r="G916" s="22" t="inlineStr">
        <is>
          <t>Chỉ tiêu phái sinh</t>
        </is>
      </c>
      <c r="H916" s="4" t="inlineStr">
        <is>
          <t>TB</t>
        </is>
      </c>
    </row>
    <row r="917" ht="15" customHeight="1" s="380">
      <c r="B917" s="4" t="inlineStr">
        <is>
          <t>HNX04 (PS)</t>
        </is>
      </c>
      <c r="C917" s="216" t="n"/>
      <c r="D917" s="216" t="inlineStr">
        <is>
          <t>Cổ phiếu đăng ký giao dịch</t>
        </is>
      </c>
      <c r="F917" s="4" t="inlineStr">
        <is>
          <t>Báo cáo</t>
        </is>
      </c>
      <c r="G917" s="22" t="inlineStr">
        <is>
          <t>Chỉ tiêu phái sinh</t>
        </is>
      </c>
      <c r="H917" s="4" t="inlineStr">
        <is>
          <t>TB</t>
        </is>
      </c>
    </row>
    <row r="918" ht="15" customHeight="1" s="380">
      <c r="B918" s="4" t="inlineStr">
        <is>
          <t>HNX04 (PS)</t>
        </is>
      </c>
      <c r="C918" s="216" t="n"/>
      <c r="D918" s="216" t="inlineStr">
        <is>
          <t>Trái phiếu chính phủ</t>
        </is>
      </c>
      <c r="F918" s="4" t="inlineStr">
        <is>
          <t>Báo cáo</t>
        </is>
      </c>
      <c r="G918" s="22" t="inlineStr">
        <is>
          <t>Chỉ tiêu phái sinh</t>
        </is>
      </c>
      <c r="H918" s="4" t="inlineStr">
        <is>
          <t>TB</t>
        </is>
      </c>
    </row>
    <row r="919" ht="15" customHeight="1" s="380">
      <c r="B919" s="4" t="inlineStr">
        <is>
          <t>HNX04 (PS)</t>
        </is>
      </c>
      <c r="C919" s="216" t="n"/>
      <c r="D919" s="216" t="inlineStr">
        <is>
          <t>Trái phiếu chính quyền địa phương</t>
        </is>
      </c>
      <c r="F919" s="4" t="inlineStr">
        <is>
          <t>Báo cáo</t>
        </is>
      </c>
      <c r="G919" s="22" t="inlineStr">
        <is>
          <t>Chỉ tiêu phái sinh</t>
        </is>
      </c>
      <c r="H919" s="4" t="inlineStr">
        <is>
          <t>TB</t>
        </is>
      </c>
    </row>
    <row r="920" ht="15" customHeight="1" s="380">
      <c r="B920" s="4" t="inlineStr">
        <is>
          <t>HNX04 (PS)</t>
        </is>
      </c>
      <c r="C920" s="216" t="n"/>
      <c r="D920" s="216" t="inlineStr">
        <is>
          <t>Trái phiếu chính phủ bảo lãnh</t>
        </is>
      </c>
      <c r="F920" s="4" t="inlineStr">
        <is>
          <t>Báo cáo</t>
        </is>
      </c>
      <c r="G920" s="22" t="inlineStr">
        <is>
          <t>Chỉ tiêu phái sinh</t>
        </is>
      </c>
      <c r="H920" s="4" t="inlineStr">
        <is>
          <t>TB</t>
        </is>
      </c>
    </row>
    <row r="921" ht="15" customHeight="1" s="380">
      <c r="B921" s="4" t="inlineStr">
        <is>
          <t>HNX04 (PS)</t>
        </is>
      </c>
      <c r="C921" s="216" t="n"/>
      <c r="D921" s="216" t="inlineStr">
        <is>
          <t>Trái phiếu doanh nghiệp</t>
        </is>
      </c>
      <c r="F921" s="4" t="inlineStr">
        <is>
          <t>Báo cáo</t>
        </is>
      </c>
      <c r="G921" s="22" t="inlineStr">
        <is>
          <t>Chỉ tiêu phái sinh</t>
        </is>
      </c>
      <c r="H921" s="4" t="inlineStr">
        <is>
          <t>TB</t>
        </is>
      </c>
    </row>
    <row r="922" ht="15" customHeight="1" s="380">
      <c r="B922" s="4" t="inlineStr">
        <is>
          <t>HNX04 (PS)</t>
        </is>
      </c>
      <c r="C922" s="216" t="n"/>
      <c r="D922" s="216" t="inlineStr">
        <is>
          <t>Tín phiếu kho bạc</t>
        </is>
      </c>
      <c r="F922" s="4" t="inlineStr">
        <is>
          <t>Báo cáo</t>
        </is>
      </c>
      <c r="G922" s="22" t="inlineStr">
        <is>
          <t>Chỉ tiêu phái sinh</t>
        </is>
      </c>
      <c r="H922" s="4" t="inlineStr">
        <is>
          <t>TB</t>
        </is>
      </c>
    </row>
    <row r="923" ht="15" customHeight="1" s="380">
      <c r="B923" s="4" t="inlineStr">
        <is>
          <t>HNX04 (PS)</t>
        </is>
      </c>
      <c r="C923" s="216" t="n"/>
      <c r="D923" s="216" t="inlineStr">
        <is>
          <t>Chứng chỉ quỹ (ETF)</t>
        </is>
      </c>
      <c r="F923" s="4" t="inlineStr">
        <is>
          <t>Báo cáo</t>
        </is>
      </c>
      <c r="G923" s="22" t="inlineStr">
        <is>
          <t>Chỉ tiêu phái sinh</t>
        </is>
      </c>
      <c r="H923" s="4" t="inlineStr">
        <is>
          <t>TB</t>
        </is>
      </c>
    </row>
    <row r="924" ht="17" customHeight="1" s="380">
      <c r="B924" s="4" t="inlineStr">
        <is>
          <t>HNX04 (PS)</t>
        </is>
      </c>
      <c r="C924" s="213" t="n"/>
      <c r="D924" s="213" t="inlineStr">
        <is>
          <t>Giá trị giao dịch bình quân 1 phiên (VND)</t>
        </is>
      </c>
      <c r="F924" s="4" t="inlineStr">
        <is>
          <t>Báo cáo</t>
        </is>
      </c>
      <c r="G924" s="22" t="inlineStr">
        <is>
          <t>Chỉ tiêu phái sinh</t>
        </is>
      </c>
      <c r="H924" s="4" t="inlineStr">
        <is>
          <t>TB</t>
        </is>
      </c>
    </row>
    <row r="925" ht="17" customHeight="1" s="380">
      <c r="B925" s="4" t="inlineStr">
        <is>
          <t>HNX04 (PS)</t>
        </is>
      </c>
      <c r="C925" s="213" t="n"/>
      <c r="D925" s="213" t="inlineStr">
        <is>
          <t>Cổ phiếu niêm yết</t>
        </is>
      </c>
      <c r="F925" s="4" t="inlineStr">
        <is>
          <t>Báo cáo</t>
        </is>
      </c>
      <c r="G925" s="22" t="inlineStr">
        <is>
          <t>Chỉ tiêu phái sinh</t>
        </is>
      </c>
      <c r="H925" s="4" t="inlineStr">
        <is>
          <t>TB</t>
        </is>
      </c>
    </row>
    <row r="926" ht="17" customHeight="1" s="380">
      <c r="B926" s="4" t="inlineStr">
        <is>
          <t>HNX04 (PS)</t>
        </is>
      </c>
      <c r="C926" s="213" t="n"/>
      <c r="D926" s="213" t="inlineStr">
        <is>
          <t>Cổ phiếu đăng ký giao dịch</t>
        </is>
      </c>
      <c r="F926" s="4" t="inlineStr">
        <is>
          <t>Báo cáo</t>
        </is>
      </c>
      <c r="G926" s="22" t="inlineStr">
        <is>
          <t>Chỉ tiêu phái sinh</t>
        </is>
      </c>
      <c r="H926" s="4" t="inlineStr">
        <is>
          <t>TB</t>
        </is>
      </c>
    </row>
    <row r="927" ht="17" customHeight="1" s="380">
      <c r="B927" s="4" t="inlineStr">
        <is>
          <t>HNX04 (PS)</t>
        </is>
      </c>
      <c r="C927" s="213" t="n"/>
      <c r="D927" s="213" t="inlineStr">
        <is>
          <t>Trái phiếu Chính phủ</t>
        </is>
      </c>
      <c r="F927" s="4" t="inlineStr">
        <is>
          <t>Báo cáo</t>
        </is>
      </c>
      <c r="G927" s="22" t="inlineStr">
        <is>
          <t>Chỉ tiêu phái sinh</t>
        </is>
      </c>
      <c r="H927" s="4" t="inlineStr">
        <is>
          <t>TB</t>
        </is>
      </c>
    </row>
    <row r="928" ht="17" customHeight="1" s="380">
      <c r="B928" s="4" t="inlineStr">
        <is>
          <t>HNX04 (PS)</t>
        </is>
      </c>
      <c r="C928" s="213" t="n"/>
      <c r="D928" s="213" t="inlineStr">
        <is>
          <t>Tín phiếu kho bạc</t>
        </is>
      </c>
      <c r="F928" s="4" t="inlineStr">
        <is>
          <t>Báo cáo</t>
        </is>
      </c>
      <c r="G928" s="22" t="inlineStr">
        <is>
          <t>Chỉ tiêu phái sinh</t>
        </is>
      </c>
      <c r="H928" s="4" t="inlineStr">
        <is>
          <t>TB</t>
        </is>
      </c>
    </row>
    <row r="929" ht="17" customHeight="1" s="380">
      <c r="B929" s="4" t="inlineStr">
        <is>
          <t>HNX04 (PS)</t>
        </is>
      </c>
      <c r="C929" s="213" t="n"/>
      <c r="D929" s="213" t="inlineStr">
        <is>
          <t>Tỷ trọng giá trị niêm yết bình quân phiên trên giá trị niêm yết (%)</t>
        </is>
      </c>
      <c r="F929" s="4" t="inlineStr">
        <is>
          <t>Báo cáo</t>
        </is>
      </c>
      <c r="G929" s="22" t="inlineStr">
        <is>
          <t>Chỉ tiêu phái sinh</t>
        </is>
      </c>
      <c r="H929" s="4" t="inlineStr">
        <is>
          <t>TB</t>
        </is>
      </c>
    </row>
    <row r="930" ht="17" customHeight="1" s="380">
      <c r="B930" s="4" t="inlineStr">
        <is>
          <t>HNX04 (PS)</t>
        </is>
      </c>
      <c r="C930" s="213" t="n"/>
      <c r="D930" s="213" t="inlineStr">
        <is>
          <t>Cổ phiếu niêm yết</t>
        </is>
      </c>
      <c r="F930" s="4" t="inlineStr">
        <is>
          <t>Báo cáo</t>
        </is>
      </c>
      <c r="G930" s="22" t="inlineStr">
        <is>
          <t>Chỉ tiêu phái sinh</t>
        </is>
      </c>
      <c r="H930" s="4" t="inlineStr">
        <is>
          <t>TB</t>
        </is>
      </c>
    </row>
    <row r="931" ht="17" customHeight="1" s="380">
      <c r="B931" s="4" t="inlineStr">
        <is>
          <t>HNX04 (PS)</t>
        </is>
      </c>
      <c r="C931" s="213" t="n"/>
      <c r="D931" s="213" t="inlineStr">
        <is>
          <t>Cổ phiếu đăng ký giao dịch</t>
        </is>
      </c>
      <c r="F931" s="4" t="inlineStr">
        <is>
          <t>Báo cáo</t>
        </is>
      </c>
      <c r="G931" s="22" t="inlineStr">
        <is>
          <t>Chỉ tiêu phái sinh</t>
        </is>
      </c>
      <c r="H931" s="4" t="inlineStr">
        <is>
          <t>TB</t>
        </is>
      </c>
    </row>
    <row r="932" ht="17" customHeight="1" s="380">
      <c r="B932" s="4" t="inlineStr">
        <is>
          <t>HNX04 (PS)</t>
        </is>
      </c>
      <c r="C932" s="213" t="n"/>
      <c r="D932" s="213" t="inlineStr">
        <is>
          <t>Trái phiếu Chính phủ</t>
        </is>
      </c>
      <c r="F932" s="4" t="inlineStr">
        <is>
          <t>Báo cáo</t>
        </is>
      </c>
      <c r="G932" s="22" t="inlineStr">
        <is>
          <t>Chỉ tiêu phái sinh</t>
        </is>
      </c>
      <c r="H932" s="4" t="inlineStr">
        <is>
          <t>TB</t>
        </is>
      </c>
    </row>
    <row r="933" ht="17" customHeight="1" s="380">
      <c r="B933" s="4" t="inlineStr">
        <is>
          <t>HNX04 (PS)</t>
        </is>
      </c>
      <c r="C933" s="213" t="n"/>
      <c r="D933" s="213" t="inlineStr">
        <is>
          <t>Tín phiếu kho bạc</t>
        </is>
      </c>
      <c r="F933" s="4" t="inlineStr">
        <is>
          <t>Báo cáo</t>
        </is>
      </c>
      <c r="G933" s="22" t="inlineStr">
        <is>
          <t>Chỉ tiêu phái sinh</t>
        </is>
      </c>
      <c r="H933" s="4" t="inlineStr">
        <is>
          <t>TB</t>
        </is>
      </c>
    </row>
    <row r="934" ht="16" customHeight="1" s="380">
      <c r="A934" s="184" t="n"/>
      <c r="B934" s="184" t="inlineStr">
        <is>
          <t>HNX04 (LK)</t>
        </is>
      </c>
      <c r="C934" s="219" t="n"/>
      <c r="D934" s="219" t="inlineStr">
        <is>
          <t>Chỉ tiêu</t>
        </is>
      </c>
      <c r="E934" s="184" t="n"/>
      <c r="F934" s="4" t="inlineStr">
        <is>
          <t>Báo cáo</t>
        </is>
      </c>
      <c r="G934" s="184" t="inlineStr">
        <is>
          <t>Chiều</t>
        </is>
      </c>
      <c r="H934" s="184" t="n"/>
      <c r="I934" s="184" t="n"/>
      <c r="J934" s="184" t="n"/>
      <c r="K934" s="184" t="n"/>
      <c r="L934" s="184" t="n"/>
    </row>
    <row r="935" ht="16" customHeight="1" s="380">
      <c r="B935" s="4" t="inlineStr">
        <is>
          <t>HNX04 (LK)</t>
        </is>
      </c>
      <c r="C935" s="221" t="n"/>
      <c r="D935" s="221" t="inlineStr">
        <is>
          <t>Trong kỳ - Phát sinh</t>
        </is>
      </c>
      <c r="F935" s="4" t="inlineStr">
        <is>
          <t>Báo cáo</t>
        </is>
      </c>
      <c r="G935" s="22" t="inlineStr">
        <is>
          <t>Chiều</t>
        </is>
      </c>
    </row>
    <row r="936" ht="15" customHeight="1" s="380">
      <c r="A936" s="55" t="n"/>
      <c r="B936" s="4" t="inlineStr">
        <is>
          <t>HNX04 (LK)</t>
        </is>
      </c>
      <c r="C936" s="216" t="n"/>
      <c r="D936" s="216" t="inlineStr">
        <is>
          <t>GTGD (VND)</t>
        </is>
      </c>
      <c r="E936" s="55" t="n"/>
      <c r="F936" s="4" t="inlineStr">
        <is>
          <t>Báo cáo</t>
        </is>
      </c>
      <c r="G936" s="22" t="inlineStr">
        <is>
          <t>Chỉ tiêu phái sinh</t>
        </is>
      </c>
      <c r="H936" s="4" t="inlineStr">
        <is>
          <t>TB</t>
        </is>
      </c>
      <c r="I936" s="55" t="n"/>
      <c r="J936" s="55" t="n"/>
      <c r="K936" s="55" t="n"/>
      <c r="L936" s="55" t="n"/>
      <c r="M936" s="55" t="n"/>
      <c r="N936" s="55" t="n"/>
      <c r="O936" s="55" t="n"/>
      <c r="P936" s="55" t="n"/>
      <c r="Q936" s="55" t="n"/>
      <c r="R936" s="55" t="n"/>
      <c r="S936" s="55" t="n"/>
      <c r="T936" s="55" t="n"/>
      <c r="U936" s="55" t="n"/>
      <c r="V936" s="55" t="n"/>
      <c r="W936" s="55" t="n"/>
      <c r="X936" s="55" t="n"/>
      <c r="Y936" s="55" t="n"/>
      <c r="Z936" s="55" t="n"/>
      <c r="AA936" s="55" t="n"/>
      <c r="AB936" s="55" t="n"/>
      <c r="AC936" s="55" t="n"/>
      <c r="AD936" s="55" t="n"/>
      <c r="AE936" s="55" t="n"/>
    </row>
    <row r="937" ht="15" customHeight="1" s="380">
      <c r="A937" s="55" t="n"/>
      <c r="B937" s="4" t="inlineStr">
        <is>
          <t>HNX04 (LK)</t>
        </is>
      </c>
      <c r="C937" s="216" t="n"/>
      <c r="D937" s="216" t="inlineStr">
        <is>
          <t>Trái phiếu chính phủ</t>
        </is>
      </c>
      <c r="E937" s="55" t="n"/>
      <c r="F937" s="4" t="inlineStr">
        <is>
          <t>Báo cáo</t>
        </is>
      </c>
      <c r="G937" s="22" t="inlineStr">
        <is>
          <t>Chỉ tiêu phái sinh</t>
        </is>
      </c>
      <c r="H937" s="4" t="inlineStr">
        <is>
          <t>TB</t>
        </is>
      </c>
      <c r="I937" s="55" t="n"/>
      <c r="J937" s="55" t="n"/>
      <c r="K937" s="55" t="n"/>
      <c r="L937" s="55" t="n"/>
      <c r="M937" s="55" t="n"/>
      <c r="N937" s="55" t="n"/>
      <c r="O937" s="55" t="n"/>
      <c r="P937" s="55" t="n"/>
      <c r="Q937" s="55" t="n"/>
      <c r="R937" s="55" t="n"/>
      <c r="S937" s="55" t="n"/>
      <c r="T937" s="55" t="n"/>
      <c r="U937" s="55" t="n"/>
      <c r="V937" s="55" t="n"/>
      <c r="W937" s="55" t="n"/>
      <c r="X937" s="55" t="n"/>
      <c r="Y937" s="55" t="n"/>
      <c r="Z937" s="55" t="n"/>
      <c r="AA937" s="55" t="n"/>
      <c r="AB937" s="55" t="n"/>
      <c r="AC937" s="55" t="n"/>
      <c r="AD937" s="55" t="n"/>
      <c r="AE937" s="55" t="n"/>
    </row>
    <row r="938" ht="15" customHeight="1" s="380">
      <c r="A938" s="55" t="n"/>
      <c r="B938" s="4" t="inlineStr">
        <is>
          <t>HNX04 (LK)</t>
        </is>
      </c>
      <c r="C938" s="216" t="n"/>
      <c r="D938" s="216" t="inlineStr">
        <is>
          <t>Trái phiếu chính quyền địa phương</t>
        </is>
      </c>
      <c r="E938" s="55" t="n"/>
      <c r="F938" s="4" t="inlineStr">
        <is>
          <t>Báo cáo</t>
        </is>
      </c>
      <c r="G938" s="22" t="inlineStr">
        <is>
          <t>Chỉ tiêu phái sinh</t>
        </is>
      </c>
      <c r="H938" s="4" t="inlineStr">
        <is>
          <t>TB</t>
        </is>
      </c>
      <c r="I938" s="55" t="n"/>
      <c r="J938" s="55" t="n"/>
      <c r="K938" s="55" t="n"/>
      <c r="L938" s="55" t="n"/>
      <c r="M938" s="55" t="n"/>
      <c r="N938" s="55" t="n"/>
      <c r="O938" s="55" t="n"/>
      <c r="P938" s="55" t="n"/>
      <c r="Q938" s="55" t="n"/>
      <c r="R938" s="55" t="n"/>
      <c r="S938" s="55" t="n"/>
      <c r="T938" s="55" t="n"/>
      <c r="U938" s="55" t="n"/>
      <c r="V938" s="55" t="n"/>
      <c r="W938" s="55" t="n"/>
      <c r="X938" s="55" t="n"/>
      <c r="Y938" s="55" t="n"/>
      <c r="Z938" s="55" t="n"/>
      <c r="AA938" s="55" t="n"/>
      <c r="AB938" s="55" t="n"/>
      <c r="AC938" s="55" t="n"/>
      <c r="AD938" s="55" t="n"/>
      <c r="AE938" s="55" t="n"/>
    </row>
    <row r="939" ht="15" customHeight="1" s="380">
      <c r="A939" s="55" t="n"/>
      <c r="B939" s="4" t="inlineStr">
        <is>
          <t>HNX04 (LK)</t>
        </is>
      </c>
      <c r="C939" s="216" t="n"/>
      <c r="D939" s="216" t="inlineStr">
        <is>
          <t>Trái phiếu chính phủ bảo lãnh</t>
        </is>
      </c>
      <c r="E939" s="55" t="n"/>
      <c r="F939" s="4" t="inlineStr">
        <is>
          <t>Báo cáo</t>
        </is>
      </c>
      <c r="G939" s="22" t="inlineStr">
        <is>
          <t>Chỉ tiêu phái sinh</t>
        </is>
      </c>
      <c r="H939" s="4" t="inlineStr">
        <is>
          <t>TB</t>
        </is>
      </c>
      <c r="I939" s="55" t="n"/>
      <c r="J939" s="55" t="n"/>
      <c r="K939" s="55" t="n"/>
      <c r="L939" s="55" t="n"/>
      <c r="M939" s="55" t="n"/>
      <c r="N939" s="55" t="n"/>
      <c r="O939" s="55" t="n"/>
      <c r="P939" s="55" t="n"/>
      <c r="Q939" s="55" t="n"/>
      <c r="R939" s="55" t="n"/>
      <c r="S939" s="55" t="n"/>
      <c r="T939" s="55" t="n"/>
      <c r="U939" s="55" t="n"/>
      <c r="V939" s="55" t="n"/>
      <c r="W939" s="55" t="n"/>
      <c r="X939" s="55" t="n"/>
      <c r="Y939" s="55" t="n"/>
      <c r="Z939" s="55" t="n"/>
      <c r="AA939" s="55" t="n"/>
      <c r="AB939" s="55" t="n"/>
      <c r="AC939" s="55" t="n"/>
      <c r="AD939" s="55" t="n"/>
      <c r="AE939" s="55" t="n"/>
    </row>
    <row r="940" ht="15" customHeight="1" s="380">
      <c r="A940" s="55" t="n"/>
      <c r="B940" s="4" t="inlineStr">
        <is>
          <t>HNX04 (LK)</t>
        </is>
      </c>
      <c r="C940" s="216" t="n"/>
      <c r="D940" s="216" t="inlineStr">
        <is>
          <t>Tín phiếu kho bạc</t>
        </is>
      </c>
      <c r="E940" s="55" t="n"/>
      <c r="F940" s="4" t="inlineStr">
        <is>
          <t>Báo cáo</t>
        </is>
      </c>
      <c r="G940" s="22" t="inlineStr">
        <is>
          <t>Chỉ tiêu phái sinh</t>
        </is>
      </c>
      <c r="H940" s="4" t="inlineStr">
        <is>
          <t>TB</t>
        </is>
      </c>
      <c r="I940" s="55" t="n"/>
      <c r="J940" s="55" t="n"/>
      <c r="K940" s="55" t="n"/>
      <c r="L940" s="55" t="n"/>
      <c r="M940" s="55" t="n"/>
      <c r="N940" s="55" t="n"/>
      <c r="O940" s="55" t="n"/>
      <c r="P940" s="55" t="n"/>
      <c r="Q940" s="55" t="n"/>
      <c r="R940" s="55" t="n"/>
      <c r="S940" s="55" t="n"/>
      <c r="T940" s="55" t="n"/>
      <c r="U940" s="55" t="n"/>
      <c r="V940" s="55" t="n"/>
      <c r="W940" s="55" t="n"/>
      <c r="X940" s="55" t="n"/>
      <c r="Y940" s="55" t="n"/>
      <c r="Z940" s="55" t="n"/>
      <c r="AA940" s="55" t="n"/>
      <c r="AB940" s="55" t="n"/>
      <c r="AC940" s="55" t="n"/>
      <c r="AD940" s="55" t="n"/>
      <c r="AE940" s="55" t="n"/>
    </row>
    <row r="941" ht="15" customHeight="1" s="380">
      <c r="A941" s="55" t="n"/>
      <c r="B941" s="4" t="inlineStr">
        <is>
          <t>HNX04 (LK)</t>
        </is>
      </c>
      <c r="C941" s="216" t="n"/>
      <c r="D941" s="216" t="inlineStr">
        <is>
          <t>KLGD (trái phiếu)</t>
        </is>
      </c>
      <c r="E941" s="55" t="n"/>
      <c r="F941" s="4" t="inlineStr">
        <is>
          <t>Báo cáo</t>
        </is>
      </c>
      <c r="G941" s="22" t="inlineStr">
        <is>
          <t>Chỉ tiêu phái sinh</t>
        </is>
      </c>
      <c r="H941" s="4" t="inlineStr">
        <is>
          <t>TB</t>
        </is>
      </c>
      <c r="I941" s="55" t="n"/>
      <c r="J941" s="55" t="n"/>
      <c r="K941" s="55" t="n"/>
      <c r="L941" s="55" t="n"/>
      <c r="M941" s="55" t="n"/>
      <c r="N941" s="55" t="n"/>
      <c r="O941" s="55" t="n"/>
      <c r="P941" s="55" t="n"/>
      <c r="Q941" s="55" t="n"/>
      <c r="R941" s="55" t="n"/>
      <c r="S941" s="55" t="n"/>
      <c r="T941" s="55" t="n"/>
      <c r="U941" s="55" t="n"/>
      <c r="V941" s="55" t="n"/>
      <c r="W941" s="55" t="n"/>
      <c r="X941" s="55" t="n"/>
      <c r="Y941" s="55" t="n"/>
      <c r="Z941" s="55" t="n"/>
      <c r="AA941" s="55" t="n"/>
      <c r="AB941" s="55" t="n"/>
      <c r="AC941" s="55" t="n"/>
      <c r="AD941" s="55" t="n"/>
      <c r="AE941" s="55" t="n"/>
    </row>
    <row r="942" ht="15" customHeight="1" s="380">
      <c r="A942" s="55" t="n"/>
      <c r="B942" s="4" t="inlineStr">
        <is>
          <t>HNX04 (LK)</t>
        </is>
      </c>
      <c r="C942" s="216" t="n"/>
      <c r="D942" s="216" t="inlineStr">
        <is>
          <t>Trái phiếu chính phủ</t>
        </is>
      </c>
      <c r="E942" s="55" t="n"/>
      <c r="F942" s="4" t="inlineStr">
        <is>
          <t>Báo cáo</t>
        </is>
      </c>
      <c r="G942" s="22" t="inlineStr">
        <is>
          <t>Chỉ tiêu phái sinh</t>
        </is>
      </c>
      <c r="H942" s="4" t="inlineStr">
        <is>
          <t>TB</t>
        </is>
      </c>
      <c r="I942" s="55" t="n"/>
      <c r="J942" s="55" t="n"/>
      <c r="K942" s="55" t="n"/>
      <c r="L942" s="55" t="n"/>
      <c r="M942" s="55" t="n"/>
      <c r="N942" s="55" t="n"/>
      <c r="O942" s="55" t="n"/>
      <c r="P942" s="55" t="n"/>
      <c r="Q942" s="55" t="n"/>
      <c r="R942" s="55" t="n"/>
      <c r="S942" s="55" t="n"/>
      <c r="T942" s="55" t="n"/>
      <c r="U942" s="55" t="n"/>
      <c r="V942" s="55" t="n"/>
      <c r="W942" s="55" t="n"/>
      <c r="X942" s="55" t="n"/>
      <c r="Y942" s="55" t="n"/>
      <c r="Z942" s="55" t="n"/>
      <c r="AA942" s="55" t="n"/>
      <c r="AB942" s="55" t="n"/>
      <c r="AC942" s="55" t="n"/>
      <c r="AD942" s="55" t="n"/>
      <c r="AE942" s="55" t="n"/>
    </row>
    <row r="943" ht="15" customHeight="1" s="380">
      <c r="A943" s="55" t="n"/>
      <c r="B943" s="4" t="inlineStr">
        <is>
          <t>HNX04 (LK)</t>
        </is>
      </c>
      <c r="C943" s="216" t="n"/>
      <c r="D943" s="216" t="inlineStr">
        <is>
          <t>Trái phiếu chính quyền địa phương</t>
        </is>
      </c>
      <c r="E943" s="55" t="n"/>
      <c r="F943" s="4" t="inlineStr">
        <is>
          <t>Báo cáo</t>
        </is>
      </c>
      <c r="G943" s="22" t="inlineStr">
        <is>
          <t>Chỉ tiêu phái sinh</t>
        </is>
      </c>
      <c r="H943" s="4" t="inlineStr">
        <is>
          <t>TB</t>
        </is>
      </c>
      <c r="I943" s="55" t="n"/>
      <c r="J943" s="55" t="n"/>
      <c r="K943" s="55" t="n"/>
      <c r="L943" s="55" t="n"/>
      <c r="M943" s="55" t="n"/>
      <c r="N943" s="55" t="n"/>
      <c r="O943" s="55" t="n"/>
      <c r="P943" s="55" t="n"/>
      <c r="Q943" s="55" t="n"/>
      <c r="R943" s="55" t="n"/>
      <c r="S943" s="55" t="n"/>
      <c r="T943" s="55" t="n"/>
      <c r="U943" s="55" t="n"/>
      <c r="V943" s="55" t="n"/>
      <c r="W943" s="55" t="n"/>
      <c r="X943" s="55" t="n"/>
      <c r="Y943" s="55" t="n"/>
      <c r="Z943" s="55" t="n"/>
      <c r="AA943" s="55" t="n"/>
      <c r="AB943" s="55" t="n"/>
      <c r="AC943" s="55" t="n"/>
      <c r="AD943" s="55" t="n"/>
      <c r="AE943" s="55" t="n"/>
    </row>
    <row r="944" ht="15" customHeight="1" s="380">
      <c r="A944" s="55" t="n"/>
      <c r="B944" s="4" t="inlineStr">
        <is>
          <t>HNX04 (LK)</t>
        </is>
      </c>
      <c r="C944" s="216" t="n"/>
      <c r="D944" s="216" t="inlineStr">
        <is>
          <t>Trái phiếu chính phủ bảo lãnh</t>
        </is>
      </c>
      <c r="E944" s="55" t="n"/>
      <c r="F944" s="4" t="inlineStr">
        <is>
          <t>Báo cáo</t>
        </is>
      </c>
      <c r="G944" s="22" t="inlineStr">
        <is>
          <t>Chỉ tiêu phái sinh</t>
        </is>
      </c>
      <c r="H944" s="4" t="inlineStr">
        <is>
          <t>TB</t>
        </is>
      </c>
      <c r="I944" s="55" t="n"/>
      <c r="J944" s="55" t="n"/>
      <c r="K944" s="55" t="n"/>
      <c r="L944" s="55" t="n"/>
      <c r="M944" s="55" t="n"/>
      <c r="N944" s="55" t="n"/>
      <c r="O944" s="55" t="n"/>
      <c r="P944" s="55" t="n"/>
      <c r="Q944" s="55" t="n"/>
      <c r="R944" s="55" t="n"/>
      <c r="S944" s="55" t="n"/>
      <c r="T944" s="55" t="n"/>
      <c r="U944" s="55" t="n"/>
      <c r="V944" s="55" t="n"/>
      <c r="W944" s="55" t="n"/>
      <c r="X944" s="55" t="n"/>
      <c r="Y944" s="55" t="n"/>
      <c r="Z944" s="55" t="n"/>
      <c r="AA944" s="55" t="n"/>
      <c r="AB944" s="55" t="n"/>
      <c r="AC944" s="55" t="n"/>
      <c r="AD944" s="55" t="n"/>
      <c r="AE944" s="55" t="n"/>
    </row>
    <row r="945" ht="15" customHeight="1" s="380">
      <c r="A945" s="55" t="n"/>
      <c r="B945" s="4" t="inlineStr">
        <is>
          <t>HNX04 (LK)</t>
        </is>
      </c>
      <c r="C945" s="216" t="n"/>
      <c r="D945" s="216" t="inlineStr">
        <is>
          <t>Tín phiếu kho bạc</t>
        </is>
      </c>
      <c r="E945" s="55" t="n"/>
      <c r="F945" s="4" t="inlineStr">
        <is>
          <t>Báo cáo</t>
        </is>
      </c>
      <c r="G945" s="22" t="inlineStr">
        <is>
          <t>Chỉ tiêu phái sinh</t>
        </is>
      </c>
      <c r="H945" s="4" t="inlineStr">
        <is>
          <t>TB</t>
        </is>
      </c>
      <c r="I945" s="55" t="n"/>
      <c r="J945" s="55" t="n"/>
      <c r="K945" s="55" t="n"/>
      <c r="L945" s="55" t="n"/>
      <c r="M945" s="55" t="n"/>
      <c r="N945" s="55" t="n"/>
      <c r="O945" s="55" t="n"/>
      <c r="P945" s="55" t="n"/>
      <c r="Q945" s="55" t="n"/>
      <c r="R945" s="55" t="n"/>
      <c r="S945" s="55" t="n"/>
      <c r="T945" s="55" t="n"/>
      <c r="U945" s="55" t="n"/>
      <c r="V945" s="55" t="n"/>
      <c r="W945" s="55" t="n"/>
      <c r="X945" s="55" t="n"/>
      <c r="Y945" s="55" t="n"/>
      <c r="Z945" s="55" t="n"/>
      <c r="AA945" s="55" t="n"/>
      <c r="AB945" s="55" t="n"/>
      <c r="AC945" s="55" t="n"/>
      <c r="AD945" s="55" t="n"/>
      <c r="AE945" s="55" t="n"/>
    </row>
    <row r="946" ht="15" customHeight="1" s="380">
      <c r="A946" s="55" t="n"/>
      <c r="B946" s="4" t="inlineStr">
        <is>
          <t>HNX04 (LK)</t>
        </is>
      </c>
      <c r="C946" s="216" t="n"/>
      <c r="D946" s="216" t="inlineStr">
        <is>
          <t>Giá trị chứng khoán giao dịch (VND)</t>
        </is>
      </c>
      <c r="E946" s="55" t="n"/>
      <c r="F946" s="4" t="inlineStr">
        <is>
          <t>Báo cáo</t>
        </is>
      </c>
      <c r="G946" s="22" t="inlineStr">
        <is>
          <t>Chỉ tiêu phái sinh</t>
        </is>
      </c>
      <c r="H946" s="4" t="inlineStr">
        <is>
          <t>TB</t>
        </is>
      </c>
      <c r="I946" s="55" t="n"/>
      <c r="J946" s="55" t="n"/>
      <c r="K946" s="55" t="n"/>
      <c r="L946" s="55" t="n"/>
      <c r="M946" s="55" t="n"/>
      <c r="N946" s="55" t="n"/>
      <c r="O946" s="55" t="n"/>
      <c r="P946" s="55" t="n"/>
      <c r="Q946" s="55" t="n"/>
      <c r="R946" s="55" t="n"/>
      <c r="S946" s="55" t="n"/>
      <c r="T946" s="55" t="n"/>
      <c r="U946" s="55" t="n"/>
      <c r="V946" s="55" t="n"/>
      <c r="W946" s="55" t="n"/>
      <c r="X946" s="55" t="n"/>
      <c r="Y946" s="55" t="n"/>
      <c r="Z946" s="55" t="n"/>
      <c r="AA946" s="55" t="n"/>
      <c r="AB946" s="55" t="n"/>
      <c r="AC946" s="55" t="n"/>
      <c r="AD946" s="55" t="n"/>
      <c r="AE946" s="55" t="n"/>
    </row>
    <row r="947" ht="15" customHeight="1" s="380">
      <c r="A947" s="55" t="n"/>
      <c r="B947" s="4" t="inlineStr">
        <is>
          <t>HNX04 (LK)</t>
        </is>
      </c>
      <c r="C947" s="216" t="n"/>
      <c r="D947" s="216" t="inlineStr">
        <is>
          <t>Cổ phiếu niêm yết</t>
        </is>
      </c>
      <c r="E947" s="55" t="n"/>
      <c r="F947" s="4" t="inlineStr">
        <is>
          <t>Báo cáo</t>
        </is>
      </c>
      <c r="G947" s="22" t="inlineStr">
        <is>
          <t>Chỉ tiêu phái sinh</t>
        </is>
      </c>
      <c r="H947" s="4" t="inlineStr">
        <is>
          <t>TB</t>
        </is>
      </c>
      <c r="I947" s="55" t="n"/>
      <c r="J947" s="55" t="n"/>
      <c r="K947" s="55" t="n"/>
      <c r="L947" s="55" t="n"/>
      <c r="M947" s="55" t="n"/>
      <c r="N947" s="55" t="n"/>
      <c r="O947" s="55" t="n"/>
      <c r="P947" s="55" t="n"/>
      <c r="Q947" s="55" t="n"/>
      <c r="R947" s="55" t="n"/>
      <c r="S947" s="55" t="n"/>
      <c r="T947" s="55" t="n"/>
      <c r="U947" s="55" t="n"/>
      <c r="V947" s="55" t="n"/>
      <c r="W947" s="55" t="n"/>
      <c r="X947" s="55" t="n"/>
      <c r="Y947" s="55" t="n"/>
      <c r="Z947" s="55" t="n"/>
      <c r="AA947" s="55" t="n"/>
      <c r="AB947" s="55" t="n"/>
      <c r="AC947" s="55" t="n"/>
      <c r="AD947" s="55" t="n"/>
      <c r="AE947" s="55" t="n"/>
    </row>
    <row r="948" ht="15" customHeight="1" s="380">
      <c r="A948" s="55" t="n"/>
      <c r="B948" s="4" t="inlineStr">
        <is>
          <t>HNX04 (LK)</t>
        </is>
      </c>
      <c r="C948" s="216" t="n"/>
      <c r="D948" s="216" t="inlineStr">
        <is>
          <t>Cổ phiếu đăng ký giao dịch</t>
        </is>
      </c>
      <c r="E948" s="55" t="n"/>
      <c r="F948" s="4" t="inlineStr">
        <is>
          <t>Báo cáo</t>
        </is>
      </c>
      <c r="G948" s="22" t="inlineStr">
        <is>
          <t>Chỉ tiêu phái sinh</t>
        </is>
      </c>
      <c r="H948" s="4" t="inlineStr">
        <is>
          <t>TB</t>
        </is>
      </c>
      <c r="I948" s="55" t="n"/>
      <c r="J948" s="55" t="n"/>
      <c r="K948" s="55" t="n"/>
      <c r="L948" s="55" t="n"/>
      <c r="M948" s="55" t="n"/>
      <c r="N948" s="55" t="n"/>
      <c r="O948" s="55" t="n"/>
      <c r="P948" s="55" t="n"/>
      <c r="Q948" s="55" t="n"/>
      <c r="R948" s="55" t="n"/>
      <c r="S948" s="55" t="n"/>
      <c r="T948" s="55" t="n"/>
      <c r="U948" s="55" t="n"/>
      <c r="V948" s="55" t="n"/>
      <c r="W948" s="55" t="n"/>
      <c r="X948" s="55" t="n"/>
      <c r="Y948" s="55" t="n"/>
      <c r="Z948" s="55" t="n"/>
      <c r="AA948" s="55" t="n"/>
      <c r="AB948" s="55" t="n"/>
      <c r="AC948" s="55" t="n"/>
      <c r="AD948" s="55" t="n"/>
      <c r="AE948" s="55" t="n"/>
    </row>
    <row r="949" ht="15" customHeight="1" s="380">
      <c r="A949" s="55" t="n"/>
      <c r="B949" s="4" t="inlineStr">
        <is>
          <t>HNX04 (LK)</t>
        </is>
      </c>
      <c r="C949" s="216" t="n"/>
      <c r="D949" s="216" t="inlineStr">
        <is>
          <t>Trái phiếu chính phủ</t>
        </is>
      </c>
      <c r="E949" s="55" t="n"/>
      <c r="F949" s="4" t="inlineStr">
        <is>
          <t>Báo cáo</t>
        </is>
      </c>
      <c r="G949" s="22" t="inlineStr">
        <is>
          <t>Chỉ tiêu phái sinh</t>
        </is>
      </c>
      <c r="H949" s="4" t="inlineStr">
        <is>
          <t>TB</t>
        </is>
      </c>
      <c r="I949" s="55" t="n"/>
      <c r="J949" s="55" t="n"/>
      <c r="K949" s="55" t="n"/>
      <c r="L949" s="55" t="n"/>
      <c r="M949" s="55" t="n"/>
      <c r="N949" s="55" t="n"/>
      <c r="O949" s="55" t="n"/>
      <c r="P949" s="55" t="n"/>
      <c r="Q949" s="55" t="n"/>
      <c r="R949" s="55" t="n"/>
      <c r="S949" s="55" t="n"/>
      <c r="T949" s="55" t="n"/>
      <c r="U949" s="55" t="n"/>
      <c r="V949" s="55" t="n"/>
      <c r="W949" s="55" t="n"/>
      <c r="X949" s="55" t="n"/>
      <c r="Y949" s="55" t="n"/>
      <c r="Z949" s="55" t="n"/>
      <c r="AA949" s="55" t="n"/>
      <c r="AB949" s="55" t="n"/>
      <c r="AC949" s="55" t="n"/>
      <c r="AD949" s="55" t="n"/>
      <c r="AE949" s="55" t="n"/>
    </row>
    <row r="950" ht="15" customHeight="1" s="380">
      <c r="A950" s="55" t="n"/>
      <c r="B950" s="4" t="inlineStr">
        <is>
          <t>HNX04 (LK)</t>
        </is>
      </c>
      <c r="C950" s="216" t="n"/>
      <c r="D950" s="216" t="inlineStr">
        <is>
          <t>Trái phiếu chính quyền địa phương</t>
        </is>
      </c>
      <c r="E950" s="55" t="n"/>
      <c r="F950" s="4" t="inlineStr">
        <is>
          <t>Báo cáo</t>
        </is>
      </c>
      <c r="G950" s="22" t="inlineStr">
        <is>
          <t>Chỉ tiêu phái sinh</t>
        </is>
      </c>
      <c r="H950" s="4" t="inlineStr">
        <is>
          <t>TB</t>
        </is>
      </c>
      <c r="I950" s="55" t="n"/>
      <c r="J950" s="55" t="n"/>
      <c r="K950" s="55" t="n"/>
      <c r="L950" s="55" t="n"/>
      <c r="M950" s="55" t="n"/>
      <c r="N950" s="55" t="n"/>
      <c r="O950" s="55" t="n"/>
      <c r="P950" s="55" t="n"/>
      <c r="Q950" s="55" t="n"/>
      <c r="R950" s="55" t="n"/>
      <c r="S950" s="55" t="n"/>
      <c r="T950" s="55" t="n"/>
      <c r="U950" s="55" t="n"/>
      <c r="V950" s="55" t="n"/>
      <c r="W950" s="55" t="n"/>
      <c r="X950" s="55" t="n"/>
      <c r="Y950" s="55" t="n"/>
      <c r="Z950" s="55" t="n"/>
      <c r="AA950" s="55" t="n"/>
      <c r="AB950" s="55" t="n"/>
      <c r="AC950" s="55" t="n"/>
      <c r="AD950" s="55" t="n"/>
      <c r="AE950" s="55" t="n"/>
    </row>
    <row r="951" ht="15" customHeight="1" s="380">
      <c r="A951" s="55" t="n"/>
      <c r="B951" s="4" t="inlineStr">
        <is>
          <t>HNX04 (LK)</t>
        </is>
      </c>
      <c r="C951" s="216" t="n"/>
      <c r="D951" s="216" t="inlineStr">
        <is>
          <t>Trái phiếu chính phủ bảo lãnh</t>
        </is>
      </c>
      <c r="E951" s="55" t="n"/>
      <c r="F951" s="4" t="inlineStr">
        <is>
          <t>Báo cáo</t>
        </is>
      </c>
      <c r="G951" s="22" t="inlineStr">
        <is>
          <t>Chỉ tiêu phái sinh</t>
        </is>
      </c>
      <c r="H951" s="4" t="inlineStr">
        <is>
          <t>TB</t>
        </is>
      </c>
      <c r="I951" s="55" t="n"/>
      <c r="J951" s="55" t="n"/>
      <c r="K951" s="55" t="n"/>
      <c r="L951" s="55" t="n"/>
      <c r="M951" s="55" t="n"/>
      <c r="N951" s="55" t="n"/>
      <c r="O951" s="55" t="n"/>
      <c r="P951" s="55" t="n"/>
      <c r="Q951" s="55" t="n"/>
      <c r="R951" s="55" t="n"/>
      <c r="S951" s="55" t="n"/>
      <c r="T951" s="55" t="n"/>
      <c r="U951" s="55" t="n"/>
      <c r="V951" s="55" t="n"/>
      <c r="W951" s="55" t="n"/>
      <c r="X951" s="55" t="n"/>
      <c r="Y951" s="55" t="n"/>
      <c r="Z951" s="55" t="n"/>
      <c r="AA951" s="55" t="n"/>
      <c r="AB951" s="55" t="n"/>
      <c r="AC951" s="55" t="n"/>
      <c r="AD951" s="55" t="n"/>
      <c r="AE951" s="55" t="n"/>
    </row>
    <row r="952" ht="15" customHeight="1" s="380">
      <c r="A952" s="55" t="n"/>
      <c r="B952" s="4" t="inlineStr">
        <is>
          <t>HNX04 (LK)</t>
        </is>
      </c>
      <c r="C952" s="216" t="n"/>
      <c r="D952" s="216" t="inlineStr">
        <is>
          <t>Trái phiếu doanh nghiệp</t>
        </is>
      </c>
      <c r="E952" s="55" t="n"/>
      <c r="F952" s="4" t="inlineStr">
        <is>
          <t>Báo cáo</t>
        </is>
      </c>
      <c r="G952" s="22" t="inlineStr">
        <is>
          <t>Chỉ tiêu phái sinh</t>
        </is>
      </c>
      <c r="H952" s="4" t="inlineStr">
        <is>
          <t>TB</t>
        </is>
      </c>
      <c r="I952" s="55" t="n"/>
      <c r="J952" s="55" t="n"/>
      <c r="K952" s="55" t="n"/>
      <c r="L952" s="55" t="n"/>
      <c r="M952" s="55" t="n"/>
      <c r="N952" s="55" t="n"/>
      <c r="O952" s="55" t="n"/>
      <c r="P952" s="55" t="n"/>
      <c r="Q952" s="55" t="n"/>
      <c r="R952" s="55" t="n"/>
      <c r="S952" s="55" t="n"/>
      <c r="T952" s="55" t="n"/>
      <c r="U952" s="55" t="n"/>
      <c r="V952" s="55" t="n"/>
      <c r="W952" s="55" t="n"/>
      <c r="X952" s="55" t="n"/>
      <c r="Y952" s="55" t="n"/>
      <c r="Z952" s="55" t="n"/>
      <c r="AA952" s="55" t="n"/>
      <c r="AB952" s="55" t="n"/>
      <c r="AC952" s="55" t="n"/>
      <c r="AD952" s="55" t="n"/>
      <c r="AE952" s="55" t="n"/>
    </row>
    <row r="953" ht="15" customHeight="1" s="380">
      <c r="A953" s="55" t="n"/>
      <c r="B953" s="4" t="inlineStr">
        <is>
          <t>HNX04 (LK)</t>
        </is>
      </c>
      <c r="C953" s="216" t="n"/>
      <c r="D953" s="216" t="inlineStr">
        <is>
          <t>Tín phiếu kho bạc</t>
        </is>
      </c>
      <c r="E953" s="55" t="n"/>
      <c r="F953" s="4" t="inlineStr">
        <is>
          <t>Báo cáo</t>
        </is>
      </c>
      <c r="G953" s="22" t="inlineStr">
        <is>
          <t>Chỉ tiêu phái sinh</t>
        </is>
      </c>
      <c r="H953" s="4" t="inlineStr">
        <is>
          <t>TB</t>
        </is>
      </c>
      <c r="I953" s="55" t="n"/>
      <c r="J953" s="55" t="n"/>
      <c r="K953" s="55" t="n"/>
      <c r="L953" s="55" t="n"/>
      <c r="M953" s="55" t="n"/>
      <c r="N953" s="55" t="n"/>
      <c r="O953" s="55" t="n"/>
      <c r="P953" s="55" t="n"/>
      <c r="Q953" s="55" t="n"/>
      <c r="R953" s="55" t="n"/>
      <c r="S953" s="55" t="n"/>
      <c r="T953" s="55" t="n"/>
      <c r="U953" s="55" t="n"/>
      <c r="V953" s="55" t="n"/>
      <c r="W953" s="55" t="n"/>
      <c r="X953" s="55" t="n"/>
      <c r="Y953" s="55" t="n"/>
      <c r="Z953" s="55" t="n"/>
      <c r="AA953" s="55" t="n"/>
      <c r="AB953" s="55" t="n"/>
      <c r="AC953" s="55" t="n"/>
      <c r="AD953" s="55" t="n"/>
      <c r="AE953" s="55" t="n"/>
    </row>
    <row r="954" ht="15" customHeight="1" s="380">
      <c r="A954" s="55" t="n"/>
      <c r="B954" s="4" t="inlineStr">
        <is>
          <t>HNX04 (LK)</t>
        </is>
      </c>
      <c r="C954" s="216" t="n"/>
      <c r="D954" s="216" t="inlineStr">
        <is>
          <t>Chứng chỉ quỹ (ETF)</t>
        </is>
      </c>
      <c r="E954" s="55" t="n"/>
      <c r="F954" s="4" t="inlineStr">
        <is>
          <t>Báo cáo</t>
        </is>
      </c>
      <c r="G954" s="22" t="inlineStr">
        <is>
          <t>Chỉ tiêu phái sinh</t>
        </is>
      </c>
      <c r="H954" s="4" t="inlineStr">
        <is>
          <t>TB</t>
        </is>
      </c>
      <c r="I954" s="55" t="n"/>
      <c r="J954" s="55" t="n"/>
      <c r="K954" s="55" t="n"/>
      <c r="L954" s="55" t="n"/>
      <c r="M954" s="55" t="n"/>
      <c r="N954" s="55" t="n"/>
      <c r="O954" s="55" t="n"/>
      <c r="P954" s="55" t="n"/>
      <c r="Q954" s="55" t="n"/>
      <c r="R954" s="55" t="n"/>
      <c r="S954" s="55" t="n"/>
      <c r="T954" s="55" t="n"/>
      <c r="U954" s="55" t="n"/>
      <c r="V954" s="55" t="n"/>
      <c r="W954" s="55" t="n"/>
      <c r="X954" s="55" t="n"/>
      <c r="Y954" s="55" t="n"/>
      <c r="Z954" s="55" t="n"/>
      <c r="AA954" s="55" t="n"/>
      <c r="AB954" s="55" t="n"/>
      <c r="AC954" s="55" t="n"/>
      <c r="AD954" s="55" t="n"/>
      <c r="AE954" s="55" t="n"/>
    </row>
    <row r="955" ht="15" customHeight="1" s="380">
      <c r="A955" s="55" t="n"/>
      <c r="B955" s="4" t="inlineStr">
        <is>
          <t>HNX04 (LK)</t>
        </is>
      </c>
      <c r="C955" s="216" t="n"/>
      <c r="D955" s="216" t="inlineStr">
        <is>
          <t>Khối lượng chứng khoán giao dịch (chứng khoán)</t>
        </is>
      </c>
      <c r="E955" s="55" t="n"/>
      <c r="F955" s="4" t="inlineStr">
        <is>
          <t>Báo cáo</t>
        </is>
      </c>
      <c r="G955" s="22" t="inlineStr">
        <is>
          <t>Chỉ tiêu phái sinh</t>
        </is>
      </c>
      <c r="H955" s="4" t="inlineStr">
        <is>
          <t>TB</t>
        </is>
      </c>
      <c r="I955" s="55" t="n"/>
      <c r="J955" s="55" t="n"/>
      <c r="K955" s="55" t="n"/>
      <c r="L955" s="55" t="n"/>
      <c r="M955" s="55" t="n"/>
      <c r="N955" s="55" t="n"/>
      <c r="O955" s="55" t="n"/>
      <c r="P955" s="55" t="n"/>
      <c r="Q955" s="55" t="n"/>
      <c r="R955" s="55" t="n"/>
      <c r="S955" s="55" t="n"/>
      <c r="T955" s="55" t="n"/>
      <c r="U955" s="55" t="n"/>
      <c r="V955" s="55" t="n"/>
      <c r="W955" s="55" t="n"/>
      <c r="X955" s="55" t="n"/>
      <c r="Y955" s="55" t="n"/>
      <c r="Z955" s="55" t="n"/>
      <c r="AA955" s="55" t="n"/>
      <c r="AB955" s="55" t="n"/>
      <c r="AC955" s="55" t="n"/>
      <c r="AD955" s="55" t="n"/>
      <c r="AE955" s="55" t="n"/>
    </row>
    <row r="956" ht="15" customHeight="1" s="380">
      <c r="A956" s="55" t="n"/>
      <c r="B956" s="4" t="inlineStr">
        <is>
          <t>HNX04 (LK)</t>
        </is>
      </c>
      <c r="C956" s="216" t="n"/>
      <c r="D956" s="216" t="inlineStr">
        <is>
          <t>Cổ phiếu niêm yết</t>
        </is>
      </c>
      <c r="E956" s="55" t="n"/>
      <c r="F956" s="4" t="inlineStr">
        <is>
          <t>Báo cáo</t>
        </is>
      </c>
      <c r="G956" s="22" t="inlineStr">
        <is>
          <t>Chỉ tiêu phái sinh</t>
        </is>
      </c>
      <c r="H956" s="4" t="inlineStr">
        <is>
          <t>TB</t>
        </is>
      </c>
      <c r="I956" s="55" t="n"/>
      <c r="J956" s="55" t="n"/>
      <c r="K956" s="55" t="n"/>
      <c r="L956" s="55" t="n"/>
      <c r="M956" s="55" t="n"/>
      <c r="N956" s="55" t="n"/>
      <c r="O956" s="55" t="n"/>
      <c r="P956" s="55" t="n"/>
      <c r="Q956" s="55" t="n"/>
      <c r="R956" s="55" t="n"/>
      <c r="S956" s="55" t="n"/>
      <c r="T956" s="55" t="n"/>
      <c r="U956" s="55" t="n"/>
      <c r="V956" s="55" t="n"/>
      <c r="W956" s="55" t="n"/>
      <c r="X956" s="55" t="n"/>
      <c r="Y956" s="55" t="n"/>
      <c r="Z956" s="55" t="n"/>
      <c r="AA956" s="55" t="n"/>
      <c r="AB956" s="55" t="n"/>
      <c r="AC956" s="55" t="n"/>
      <c r="AD956" s="55" t="n"/>
      <c r="AE956" s="55" t="n"/>
    </row>
    <row r="957" ht="15" customHeight="1" s="380">
      <c r="A957" s="55" t="n"/>
      <c r="B957" s="4" t="inlineStr">
        <is>
          <t>HNX04 (LK)</t>
        </is>
      </c>
      <c r="C957" s="216" t="n"/>
      <c r="D957" s="216" t="inlineStr">
        <is>
          <t>Cổ phiếu đăng ký giao dịch</t>
        </is>
      </c>
      <c r="E957" s="55" t="n"/>
      <c r="F957" s="4" t="inlineStr">
        <is>
          <t>Báo cáo</t>
        </is>
      </c>
      <c r="G957" s="22" t="inlineStr">
        <is>
          <t>Chỉ tiêu phái sinh</t>
        </is>
      </c>
      <c r="H957" s="4" t="inlineStr">
        <is>
          <t>TB</t>
        </is>
      </c>
      <c r="I957" s="55" t="n"/>
      <c r="J957" s="55" t="n"/>
      <c r="K957" s="55" t="n"/>
      <c r="L957" s="55" t="n"/>
      <c r="M957" s="55" t="n"/>
      <c r="N957" s="55" t="n"/>
      <c r="O957" s="55" t="n"/>
      <c r="P957" s="55" t="n"/>
      <c r="Q957" s="55" t="n"/>
      <c r="R957" s="55" t="n"/>
      <c r="S957" s="55" t="n"/>
      <c r="T957" s="55" t="n"/>
      <c r="U957" s="55" t="n"/>
      <c r="V957" s="55" t="n"/>
      <c r="W957" s="55" t="n"/>
      <c r="X957" s="55" t="n"/>
      <c r="Y957" s="55" t="n"/>
      <c r="Z957" s="55" t="n"/>
      <c r="AA957" s="55" t="n"/>
      <c r="AB957" s="55" t="n"/>
      <c r="AC957" s="55" t="n"/>
      <c r="AD957" s="55" t="n"/>
      <c r="AE957" s="55" t="n"/>
    </row>
    <row r="958" ht="15" customHeight="1" s="380">
      <c r="A958" s="55" t="n"/>
      <c r="B958" s="4" t="inlineStr">
        <is>
          <t>HNX04 (LK)</t>
        </is>
      </c>
      <c r="C958" s="216" t="n"/>
      <c r="D958" s="216" t="inlineStr">
        <is>
          <t>Trái phiếu chính phủ</t>
        </is>
      </c>
      <c r="E958" s="55" t="n"/>
      <c r="F958" s="4" t="inlineStr">
        <is>
          <t>Báo cáo</t>
        </is>
      </c>
      <c r="G958" s="22" t="inlineStr">
        <is>
          <t>Chỉ tiêu phái sinh</t>
        </is>
      </c>
      <c r="H958" s="4" t="inlineStr">
        <is>
          <t>TB</t>
        </is>
      </c>
      <c r="I958" s="55" t="n"/>
      <c r="J958" s="55" t="n"/>
      <c r="K958" s="55" t="n"/>
      <c r="L958" s="55" t="n"/>
      <c r="M958" s="55" t="n"/>
      <c r="N958" s="55" t="n"/>
      <c r="O958" s="55" t="n"/>
      <c r="P958" s="55" t="n"/>
      <c r="Q958" s="55" t="n"/>
      <c r="R958" s="55" t="n"/>
      <c r="S958" s="55" t="n"/>
      <c r="T958" s="55" t="n"/>
      <c r="U958" s="55" t="n"/>
      <c r="V958" s="55" t="n"/>
      <c r="W958" s="55" t="n"/>
      <c r="X958" s="55" t="n"/>
      <c r="Y958" s="55" t="n"/>
      <c r="Z958" s="55" t="n"/>
      <c r="AA958" s="55" t="n"/>
      <c r="AB958" s="55" t="n"/>
      <c r="AC958" s="55" t="n"/>
      <c r="AD958" s="55" t="n"/>
      <c r="AE958" s="55" t="n"/>
    </row>
    <row r="959" ht="15" customHeight="1" s="380">
      <c r="A959" s="55" t="n"/>
      <c r="B959" s="4" t="inlineStr">
        <is>
          <t>HNX04 (LK)</t>
        </is>
      </c>
      <c r="C959" s="216" t="n"/>
      <c r="D959" s="216" t="inlineStr">
        <is>
          <t>Trái phiếu chính quyền địa phương</t>
        </is>
      </c>
      <c r="E959" s="55" t="n"/>
      <c r="F959" s="4" t="inlineStr">
        <is>
          <t>Báo cáo</t>
        </is>
      </c>
      <c r="G959" s="22" t="inlineStr">
        <is>
          <t>Chỉ tiêu phái sinh</t>
        </is>
      </c>
      <c r="H959" s="4" t="inlineStr">
        <is>
          <t>TB</t>
        </is>
      </c>
      <c r="I959" s="55" t="n"/>
      <c r="J959" s="55" t="n"/>
      <c r="K959" s="55" t="n"/>
      <c r="L959" s="55" t="n"/>
      <c r="M959" s="55" t="n"/>
      <c r="N959" s="55" t="n"/>
      <c r="O959" s="55" t="n"/>
      <c r="P959" s="55" t="n"/>
      <c r="Q959" s="55" t="n"/>
      <c r="R959" s="55" t="n"/>
      <c r="S959" s="55" t="n"/>
      <c r="T959" s="55" t="n"/>
      <c r="U959" s="55" t="n"/>
      <c r="V959" s="55" t="n"/>
      <c r="W959" s="55" t="n"/>
      <c r="X959" s="55" t="n"/>
      <c r="Y959" s="55" t="n"/>
      <c r="Z959" s="55" t="n"/>
      <c r="AA959" s="55" t="n"/>
      <c r="AB959" s="55" t="n"/>
      <c r="AC959" s="55" t="n"/>
      <c r="AD959" s="55" t="n"/>
      <c r="AE959" s="55" t="n"/>
    </row>
    <row r="960" ht="15" customHeight="1" s="380">
      <c r="A960" s="55" t="n"/>
      <c r="B960" s="4" t="inlineStr">
        <is>
          <t>HNX04 (LK)</t>
        </is>
      </c>
      <c r="C960" s="216" t="n"/>
      <c r="D960" s="216" t="inlineStr">
        <is>
          <t>Trái phiếu chính phủ bảo lãnh</t>
        </is>
      </c>
      <c r="E960" s="55" t="n"/>
      <c r="F960" s="4" t="inlineStr">
        <is>
          <t>Báo cáo</t>
        </is>
      </c>
      <c r="G960" s="22" t="inlineStr">
        <is>
          <t>Chỉ tiêu phái sinh</t>
        </is>
      </c>
      <c r="H960" s="4" t="inlineStr">
        <is>
          <t>TB</t>
        </is>
      </c>
      <c r="I960" s="55" t="n"/>
      <c r="J960" s="55" t="n"/>
      <c r="K960" s="55" t="n"/>
      <c r="L960" s="55" t="n"/>
      <c r="M960" s="55" t="n"/>
      <c r="N960" s="55" t="n"/>
      <c r="O960" s="55" t="n"/>
      <c r="P960" s="55" t="n"/>
      <c r="Q960" s="55" t="n"/>
      <c r="R960" s="55" t="n"/>
      <c r="S960" s="55" t="n"/>
      <c r="T960" s="55" t="n"/>
      <c r="U960" s="55" t="n"/>
      <c r="V960" s="55" t="n"/>
      <c r="W960" s="55" t="n"/>
      <c r="X960" s="55" t="n"/>
      <c r="Y960" s="55" t="n"/>
      <c r="Z960" s="55" t="n"/>
      <c r="AA960" s="55" t="n"/>
      <c r="AB960" s="55" t="n"/>
      <c r="AC960" s="55" t="n"/>
      <c r="AD960" s="55" t="n"/>
      <c r="AE960" s="55" t="n"/>
    </row>
    <row r="961" ht="15" customHeight="1" s="380">
      <c r="A961" s="55" t="n"/>
      <c r="B961" s="4" t="inlineStr">
        <is>
          <t>HNX04 (LK)</t>
        </is>
      </c>
      <c r="C961" s="216" t="n"/>
      <c r="D961" s="216" t="inlineStr">
        <is>
          <t>Trái phiếu doanh nghiệp</t>
        </is>
      </c>
      <c r="E961" s="55" t="n"/>
      <c r="F961" s="4" t="inlineStr">
        <is>
          <t>Báo cáo</t>
        </is>
      </c>
      <c r="G961" s="22" t="inlineStr">
        <is>
          <t>Chỉ tiêu phái sinh</t>
        </is>
      </c>
      <c r="H961" s="4" t="inlineStr">
        <is>
          <t>TB</t>
        </is>
      </c>
      <c r="I961" s="55" t="n"/>
      <c r="J961" s="55" t="n"/>
      <c r="K961" s="55" t="n"/>
      <c r="L961" s="55" t="n"/>
      <c r="M961" s="55" t="n"/>
      <c r="N961" s="55" t="n"/>
      <c r="O961" s="55" t="n"/>
      <c r="P961" s="55" t="n"/>
      <c r="Q961" s="55" t="n"/>
      <c r="R961" s="55" t="n"/>
      <c r="S961" s="55" t="n"/>
      <c r="T961" s="55" t="n"/>
      <c r="U961" s="55" t="n"/>
      <c r="V961" s="55" t="n"/>
      <c r="W961" s="55" t="n"/>
      <c r="X961" s="55" t="n"/>
      <c r="Y961" s="55" t="n"/>
      <c r="Z961" s="55" t="n"/>
      <c r="AA961" s="55" t="n"/>
      <c r="AB961" s="55" t="n"/>
      <c r="AC961" s="55" t="n"/>
      <c r="AD961" s="55" t="n"/>
      <c r="AE961" s="55" t="n"/>
    </row>
    <row r="962" ht="15" customHeight="1" s="380">
      <c r="A962" s="55" t="n"/>
      <c r="B962" s="4" t="inlineStr">
        <is>
          <t>HNX04 (LK)</t>
        </is>
      </c>
      <c r="C962" s="216" t="n"/>
      <c r="D962" s="216" t="inlineStr">
        <is>
          <t>Tín phiếu kho bạc</t>
        </is>
      </c>
      <c r="E962" s="55" t="n"/>
      <c r="F962" s="4" t="inlineStr">
        <is>
          <t>Báo cáo</t>
        </is>
      </c>
      <c r="G962" s="22" t="inlineStr">
        <is>
          <t>Chỉ tiêu phái sinh</t>
        </is>
      </c>
      <c r="H962" s="4" t="inlineStr">
        <is>
          <t>TB</t>
        </is>
      </c>
      <c r="I962" s="55" t="n"/>
      <c r="J962" s="55" t="n"/>
      <c r="K962" s="55" t="n"/>
      <c r="L962" s="55" t="n"/>
      <c r="M962" s="55" t="n"/>
      <c r="N962" s="55" t="n"/>
      <c r="O962" s="55" t="n"/>
      <c r="P962" s="55" t="n"/>
      <c r="Q962" s="55" t="n"/>
      <c r="R962" s="55" t="n"/>
      <c r="S962" s="55" t="n"/>
      <c r="T962" s="55" t="n"/>
      <c r="U962" s="55" t="n"/>
      <c r="V962" s="55" t="n"/>
      <c r="W962" s="55" t="n"/>
      <c r="X962" s="55" t="n"/>
      <c r="Y962" s="55" t="n"/>
      <c r="Z962" s="55" t="n"/>
      <c r="AA962" s="55" t="n"/>
      <c r="AB962" s="55" t="n"/>
      <c r="AC962" s="55" t="n"/>
      <c r="AD962" s="55" t="n"/>
      <c r="AE962" s="55" t="n"/>
    </row>
    <row r="963" ht="15" customHeight="1" s="380">
      <c r="A963" s="55" t="n"/>
      <c r="B963" s="4" t="inlineStr">
        <is>
          <t>HNX04 (LK)</t>
        </is>
      </c>
      <c r="C963" s="216" t="n"/>
      <c r="D963" s="216" t="inlineStr">
        <is>
          <t>Chứng chỉ quỹ (ETF)</t>
        </is>
      </c>
      <c r="E963" s="55" t="n"/>
      <c r="F963" s="4" t="inlineStr">
        <is>
          <t>Báo cáo</t>
        </is>
      </c>
      <c r="G963" s="22" t="inlineStr">
        <is>
          <t>Chỉ tiêu phái sinh</t>
        </is>
      </c>
      <c r="H963" s="4" t="inlineStr">
        <is>
          <t>TB</t>
        </is>
      </c>
      <c r="I963" s="55" t="n"/>
      <c r="J963" s="55" t="n"/>
      <c r="K963" s="55" t="n"/>
      <c r="L963" s="55" t="n"/>
      <c r="M963" s="55" t="n"/>
      <c r="N963" s="55" t="n"/>
      <c r="O963" s="55" t="n"/>
      <c r="P963" s="55" t="n"/>
      <c r="Q963" s="55" t="n"/>
      <c r="R963" s="55" t="n"/>
      <c r="S963" s="55" t="n"/>
      <c r="T963" s="55" t="n"/>
      <c r="U963" s="55" t="n"/>
      <c r="V963" s="55" t="n"/>
      <c r="W963" s="55" t="n"/>
      <c r="X963" s="55" t="n"/>
      <c r="Y963" s="55" t="n"/>
      <c r="Z963" s="55" t="n"/>
      <c r="AA963" s="55" t="n"/>
      <c r="AB963" s="55" t="n"/>
      <c r="AC963" s="55" t="n"/>
      <c r="AD963" s="55" t="n"/>
      <c r="AE963" s="55" t="n"/>
    </row>
    <row r="964" ht="15" customHeight="1" s="380">
      <c r="A964" s="55" t="n"/>
      <c r="B964" s="4" t="inlineStr">
        <is>
          <t>HNX04 (LK)</t>
        </is>
      </c>
      <c r="C964" s="216" t="n"/>
      <c r="D964" s="216" t="inlineStr">
        <is>
          <t>Chứng khoán niêm yết mới (mã chứng khoán)</t>
        </is>
      </c>
      <c r="E964" s="55" t="n"/>
      <c r="F964" s="4" t="inlineStr">
        <is>
          <t>Báo cáo</t>
        </is>
      </c>
      <c r="G964" s="22" t="inlineStr">
        <is>
          <t>Chỉ tiêu phái sinh</t>
        </is>
      </c>
      <c r="H964" s="4" t="inlineStr">
        <is>
          <t>TB</t>
        </is>
      </c>
      <c r="I964" s="55" t="n"/>
      <c r="J964" s="55" t="n"/>
      <c r="K964" s="55" t="n"/>
      <c r="L964" s="55" t="n"/>
      <c r="M964" s="55" t="n"/>
      <c r="N964" s="55" t="n"/>
      <c r="O964" s="55" t="n"/>
      <c r="P964" s="55" t="n"/>
      <c r="Q964" s="55" t="n"/>
      <c r="R964" s="55" t="n"/>
      <c r="S964" s="55" t="n"/>
      <c r="T964" s="55" t="n"/>
      <c r="U964" s="55" t="n"/>
      <c r="V964" s="55" t="n"/>
      <c r="W964" s="55" t="n"/>
      <c r="X964" s="55" t="n"/>
      <c r="Y964" s="55" t="n"/>
      <c r="Z964" s="55" t="n"/>
      <c r="AA964" s="55" t="n"/>
      <c r="AB964" s="55" t="n"/>
      <c r="AC964" s="55" t="n"/>
      <c r="AD964" s="55" t="n"/>
      <c r="AE964" s="55" t="n"/>
    </row>
    <row r="965" ht="15" customHeight="1" s="380">
      <c r="A965" s="55" t="n"/>
      <c r="B965" s="4" t="inlineStr">
        <is>
          <t>HNX04 (LK)</t>
        </is>
      </c>
      <c r="C965" s="216" t="n"/>
      <c r="D965" s="216" t="inlineStr">
        <is>
          <t>Cổ phiếu niêm yết</t>
        </is>
      </c>
      <c r="E965" s="55" t="n"/>
      <c r="F965" s="4" t="inlineStr">
        <is>
          <t>Báo cáo</t>
        </is>
      </c>
      <c r="G965" s="22" t="inlineStr">
        <is>
          <t>Chỉ tiêu phái sinh</t>
        </is>
      </c>
      <c r="H965" s="4" t="inlineStr">
        <is>
          <t>TB</t>
        </is>
      </c>
      <c r="I965" s="55" t="n"/>
      <c r="J965" s="55" t="n"/>
      <c r="K965" s="55" t="n"/>
      <c r="L965" s="55" t="n"/>
      <c r="M965" s="55" t="n"/>
      <c r="N965" s="55" t="n"/>
      <c r="O965" s="55" t="n"/>
      <c r="P965" s="55" t="n"/>
      <c r="Q965" s="55" t="n"/>
      <c r="R965" s="55" t="n"/>
      <c r="S965" s="55" t="n"/>
      <c r="T965" s="55" t="n"/>
      <c r="U965" s="55" t="n"/>
      <c r="V965" s="55" t="n"/>
      <c r="W965" s="55" t="n"/>
      <c r="X965" s="55" t="n"/>
      <c r="Y965" s="55" t="n"/>
      <c r="Z965" s="55" t="n"/>
      <c r="AA965" s="55" t="n"/>
      <c r="AB965" s="55" t="n"/>
      <c r="AC965" s="55" t="n"/>
      <c r="AD965" s="55" t="n"/>
      <c r="AE965" s="55" t="n"/>
    </row>
    <row r="966" ht="15" customHeight="1" s="380">
      <c r="A966" s="55" t="n"/>
      <c r="B966" s="4" t="inlineStr">
        <is>
          <t>HNX04 (LK)</t>
        </is>
      </c>
      <c r="C966" s="216" t="n"/>
      <c r="D966" s="216" t="inlineStr">
        <is>
          <t>Cổ phiếu đăng ký giao dịch</t>
        </is>
      </c>
      <c r="E966" s="55" t="n"/>
      <c r="F966" s="4" t="inlineStr">
        <is>
          <t>Báo cáo</t>
        </is>
      </c>
      <c r="G966" s="22" t="inlineStr">
        <is>
          <t>Chỉ tiêu phái sinh</t>
        </is>
      </c>
      <c r="H966" s="4" t="inlineStr">
        <is>
          <t>TB</t>
        </is>
      </c>
      <c r="I966" s="55" t="n"/>
      <c r="J966" s="55" t="n"/>
      <c r="K966" s="55" t="n"/>
      <c r="L966" s="55" t="n"/>
      <c r="M966" s="55" t="n"/>
      <c r="N966" s="55" t="n"/>
      <c r="O966" s="55" t="n"/>
      <c r="P966" s="55" t="n"/>
      <c r="Q966" s="55" t="n"/>
      <c r="R966" s="55" t="n"/>
      <c r="S966" s="55" t="n"/>
      <c r="T966" s="55" t="n"/>
      <c r="U966" s="55" t="n"/>
      <c r="V966" s="55" t="n"/>
      <c r="W966" s="55" t="n"/>
      <c r="X966" s="55" t="n"/>
      <c r="Y966" s="55" t="n"/>
      <c r="Z966" s="55" t="n"/>
      <c r="AA966" s="55" t="n"/>
      <c r="AB966" s="55" t="n"/>
      <c r="AC966" s="55" t="n"/>
      <c r="AD966" s="55" t="n"/>
      <c r="AE966" s="55" t="n"/>
    </row>
    <row r="967" ht="15" customHeight="1" s="380">
      <c r="A967" s="55" t="n"/>
      <c r="B967" s="4" t="inlineStr">
        <is>
          <t>HNX04 (LK)</t>
        </is>
      </c>
      <c r="C967" s="216" t="n"/>
      <c r="D967" s="216" t="inlineStr">
        <is>
          <t>Trái phiếu chính phủ</t>
        </is>
      </c>
      <c r="E967" s="55" t="n"/>
      <c r="F967" s="4" t="inlineStr">
        <is>
          <t>Báo cáo</t>
        </is>
      </c>
      <c r="G967" s="22" t="inlineStr">
        <is>
          <t>Chỉ tiêu phái sinh</t>
        </is>
      </c>
      <c r="H967" s="4" t="inlineStr">
        <is>
          <t>TB</t>
        </is>
      </c>
      <c r="I967" s="55" t="n"/>
      <c r="J967" s="55" t="n"/>
      <c r="K967" s="55" t="n"/>
      <c r="L967" s="55" t="n"/>
      <c r="M967" s="55" t="n"/>
      <c r="N967" s="55" t="n"/>
      <c r="O967" s="55" t="n"/>
      <c r="P967" s="55" t="n"/>
      <c r="Q967" s="55" t="n"/>
      <c r="R967" s="55" t="n"/>
      <c r="S967" s="55" t="n"/>
      <c r="T967" s="55" t="n"/>
      <c r="U967" s="55" t="n"/>
      <c r="V967" s="55" t="n"/>
      <c r="W967" s="55" t="n"/>
      <c r="X967" s="55" t="n"/>
      <c r="Y967" s="55" t="n"/>
      <c r="Z967" s="55" t="n"/>
      <c r="AA967" s="55" t="n"/>
      <c r="AB967" s="55" t="n"/>
      <c r="AC967" s="55" t="n"/>
      <c r="AD967" s="55" t="n"/>
      <c r="AE967" s="55" t="n"/>
    </row>
    <row r="968" ht="15" customHeight="1" s="380">
      <c r="A968" s="55" t="n"/>
      <c r="B968" s="4" t="inlineStr">
        <is>
          <t>HNX04 (LK)</t>
        </is>
      </c>
      <c r="C968" s="216" t="n"/>
      <c r="D968" s="216" t="inlineStr">
        <is>
          <t>Trái phiếu chính quyền địa phương</t>
        </is>
      </c>
      <c r="E968" s="55" t="n"/>
      <c r="F968" s="4" t="inlineStr">
        <is>
          <t>Báo cáo</t>
        </is>
      </c>
      <c r="G968" s="22" t="inlineStr">
        <is>
          <t>Chỉ tiêu phái sinh</t>
        </is>
      </c>
      <c r="H968" s="4" t="inlineStr">
        <is>
          <t>TB</t>
        </is>
      </c>
      <c r="I968" s="55" t="n"/>
      <c r="J968" s="55" t="n"/>
      <c r="K968" s="55" t="n"/>
      <c r="L968" s="55" t="n"/>
      <c r="M968" s="55" t="n"/>
      <c r="N968" s="55" t="n"/>
      <c r="O968" s="55" t="n"/>
      <c r="P968" s="55" t="n"/>
      <c r="Q968" s="55" t="n"/>
      <c r="R968" s="55" t="n"/>
      <c r="S968" s="55" t="n"/>
      <c r="T968" s="55" t="n"/>
      <c r="U968" s="55" t="n"/>
      <c r="V968" s="55" t="n"/>
      <c r="W968" s="55" t="n"/>
      <c r="X968" s="55" t="n"/>
      <c r="Y968" s="55" t="n"/>
      <c r="Z968" s="55" t="n"/>
      <c r="AA968" s="55" t="n"/>
      <c r="AB968" s="55" t="n"/>
      <c r="AC968" s="55" t="n"/>
      <c r="AD968" s="55" t="n"/>
      <c r="AE968" s="55" t="n"/>
    </row>
    <row r="969" ht="15" customHeight="1" s="380">
      <c r="A969" s="55" t="n"/>
      <c r="B969" s="4" t="inlineStr">
        <is>
          <t>HNX04 (LK)</t>
        </is>
      </c>
      <c r="C969" s="216" t="n"/>
      <c r="D969" s="216" t="inlineStr">
        <is>
          <t>Trái phiếu chính phủ bảo lãnh</t>
        </is>
      </c>
      <c r="E969" s="55" t="n"/>
      <c r="F969" s="4" t="inlineStr">
        <is>
          <t>Báo cáo</t>
        </is>
      </c>
      <c r="G969" s="22" t="inlineStr">
        <is>
          <t>Chỉ tiêu phái sinh</t>
        </is>
      </c>
      <c r="H969" s="4" t="inlineStr">
        <is>
          <t>TB</t>
        </is>
      </c>
      <c r="I969" s="55" t="n"/>
      <c r="J969" s="55" t="n"/>
      <c r="K969" s="55" t="n"/>
      <c r="L969" s="55" t="n"/>
      <c r="M969" s="55" t="n"/>
      <c r="N969" s="55" t="n"/>
      <c r="O969" s="55" t="n"/>
      <c r="P969" s="55" t="n"/>
      <c r="Q969" s="55" t="n"/>
      <c r="R969" s="55" t="n"/>
      <c r="S969" s="55" t="n"/>
      <c r="T969" s="55" t="n"/>
      <c r="U969" s="55" t="n"/>
      <c r="V969" s="55" t="n"/>
      <c r="W969" s="55" t="n"/>
      <c r="X969" s="55" t="n"/>
      <c r="Y969" s="55" t="n"/>
      <c r="Z969" s="55" t="n"/>
      <c r="AA969" s="55" t="n"/>
      <c r="AB969" s="55" t="n"/>
      <c r="AC969" s="55" t="n"/>
      <c r="AD969" s="55" t="n"/>
      <c r="AE969" s="55" t="n"/>
    </row>
    <row r="970" ht="15" customHeight="1" s="380">
      <c r="A970" s="55" t="n"/>
      <c r="B970" s="4" t="inlineStr">
        <is>
          <t>HNX04 (LK)</t>
        </is>
      </c>
      <c r="C970" s="216" t="n"/>
      <c r="D970" s="216" t="inlineStr">
        <is>
          <t>Trái phiếu doanh nghiệp</t>
        </is>
      </c>
      <c r="E970" s="55" t="n"/>
      <c r="F970" s="4" t="inlineStr">
        <is>
          <t>Báo cáo</t>
        </is>
      </c>
      <c r="G970" s="22" t="inlineStr">
        <is>
          <t>Chỉ tiêu phái sinh</t>
        </is>
      </c>
      <c r="H970" s="4" t="inlineStr">
        <is>
          <t>TB</t>
        </is>
      </c>
      <c r="I970" s="55" t="n"/>
      <c r="J970" s="55" t="n"/>
      <c r="K970" s="55" t="n"/>
      <c r="L970" s="55" t="n"/>
      <c r="M970" s="55" t="n"/>
      <c r="N970" s="55" t="n"/>
      <c r="O970" s="55" t="n"/>
      <c r="P970" s="55" t="n"/>
      <c r="Q970" s="55" t="n"/>
      <c r="R970" s="55" t="n"/>
      <c r="S970" s="55" t="n"/>
      <c r="T970" s="55" t="n"/>
      <c r="U970" s="55" t="n"/>
      <c r="V970" s="55" t="n"/>
      <c r="W970" s="55" t="n"/>
      <c r="X970" s="55" t="n"/>
      <c r="Y970" s="55" t="n"/>
      <c r="Z970" s="55" t="n"/>
      <c r="AA970" s="55" t="n"/>
      <c r="AB970" s="55" t="n"/>
      <c r="AC970" s="55" t="n"/>
      <c r="AD970" s="55" t="n"/>
      <c r="AE970" s="55" t="n"/>
    </row>
    <row r="971" ht="15" customHeight="1" s="380">
      <c r="A971" s="55" t="n"/>
      <c r="B971" s="4" t="inlineStr">
        <is>
          <t>HNX04 (LK)</t>
        </is>
      </c>
      <c r="C971" s="216" t="n"/>
      <c r="D971" s="216" t="inlineStr">
        <is>
          <t>Tín phiếu kho bạc</t>
        </is>
      </c>
      <c r="E971" s="55" t="n"/>
      <c r="F971" s="4" t="inlineStr">
        <is>
          <t>Báo cáo</t>
        </is>
      </c>
      <c r="G971" s="22" t="inlineStr">
        <is>
          <t>Chỉ tiêu phái sinh</t>
        </is>
      </c>
      <c r="H971" s="4" t="inlineStr">
        <is>
          <t>TB</t>
        </is>
      </c>
      <c r="I971" s="55" t="n"/>
      <c r="J971" s="55" t="n"/>
      <c r="K971" s="55" t="n"/>
      <c r="L971" s="55" t="n"/>
      <c r="M971" s="55" t="n"/>
      <c r="N971" s="55" t="n"/>
      <c r="O971" s="55" t="n"/>
      <c r="P971" s="55" t="n"/>
      <c r="Q971" s="55" t="n"/>
      <c r="R971" s="55" t="n"/>
      <c r="S971" s="55" t="n"/>
      <c r="T971" s="55" t="n"/>
      <c r="U971" s="55" t="n"/>
      <c r="V971" s="55" t="n"/>
      <c r="W971" s="55" t="n"/>
      <c r="X971" s="55" t="n"/>
      <c r="Y971" s="55" t="n"/>
      <c r="Z971" s="55" t="n"/>
      <c r="AA971" s="55" t="n"/>
      <c r="AB971" s="55" t="n"/>
      <c r="AC971" s="55" t="n"/>
      <c r="AD971" s="55" t="n"/>
      <c r="AE971" s="55" t="n"/>
    </row>
    <row r="972" ht="15" customHeight="1" s="380">
      <c r="A972" s="55" t="n"/>
      <c r="B972" s="4" t="inlineStr">
        <is>
          <t>HNX04 (LK)</t>
        </is>
      </c>
      <c r="C972" s="216" t="n"/>
      <c r="D972" s="216" t="inlineStr">
        <is>
          <t>Chứng chỉ quỹ (ETF)</t>
        </is>
      </c>
      <c r="E972" s="55" t="n"/>
      <c r="F972" s="4" t="inlineStr">
        <is>
          <t>Báo cáo</t>
        </is>
      </c>
      <c r="G972" s="22" t="inlineStr">
        <is>
          <t>Chỉ tiêu phái sinh</t>
        </is>
      </c>
      <c r="H972" s="4" t="inlineStr">
        <is>
          <t>TB</t>
        </is>
      </c>
      <c r="I972" s="55" t="n"/>
      <c r="J972" s="55" t="n"/>
      <c r="K972" s="55" t="n"/>
      <c r="L972" s="55" t="n"/>
      <c r="M972" s="55" t="n"/>
      <c r="N972" s="55" t="n"/>
      <c r="O972" s="55" t="n"/>
      <c r="P972" s="55" t="n"/>
      <c r="Q972" s="55" t="n"/>
      <c r="R972" s="55" t="n"/>
      <c r="S972" s="55" t="n"/>
      <c r="T972" s="55" t="n"/>
      <c r="U972" s="55" t="n"/>
      <c r="V972" s="55" t="n"/>
      <c r="W972" s="55" t="n"/>
      <c r="X972" s="55" t="n"/>
      <c r="Y972" s="55" t="n"/>
      <c r="Z972" s="55" t="n"/>
      <c r="AA972" s="55" t="n"/>
      <c r="AB972" s="55" t="n"/>
      <c r="AC972" s="55" t="n"/>
      <c r="AD972" s="55" t="n"/>
      <c r="AE972" s="55" t="n"/>
    </row>
    <row r="973" ht="15" customHeight="1" s="380">
      <c r="A973" s="55" t="n"/>
      <c r="B973" s="4" t="inlineStr">
        <is>
          <t>HNX04 (LK)</t>
        </is>
      </c>
      <c r="C973" s="216" t="n"/>
      <c r="D973" s="216" t="inlineStr">
        <is>
          <t>Chứng khoán hủy niêm yết (mã chứng khoán)</t>
        </is>
      </c>
      <c r="E973" s="55" t="n"/>
      <c r="F973" s="4" t="inlineStr">
        <is>
          <t>Báo cáo</t>
        </is>
      </c>
      <c r="G973" s="22" t="inlineStr">
        <is>
          <t>Chỉ tiêu phái sinh</t>
        </is>
      </c>
      <c r="H973" s="4" t="inlineStr">
        <is>
          <t>TB</t>
        </is>
      </c>
      <c r="I973" s="55" t="n"/>
      <c r="J973" s="55" t="n"/>
      <c r="K973" s="55" t="n"/>
      <c r="L973" s="55" t="n"/>
      <c r="M973" s="55" t="n"/>
      <c r="N973" s="55" t="n"/>
      <c r="O973" s="55" t="n"/>
      <c r="P973" s="55" t="n"/>
      <c r="Q973" s="55" t="n"/>
      <c r="R973" s="55" t="n"/>
      <c r="S973" s="55" t="n"/>
      <c r="T973" s="55" t="n"/>
      <c r="U973" s="55" t="n"/>
      <c r="V973" s="55" t="n"/>
      <c r="W973" s="55" t="n"/>
      <c r="X973" s="55" t="n"/>
      <c r="Y973" s="55" t="n"/>
      <c r="Z973" s="55" t="n"/>
      <c r="AA973" s="55" t="n"/>
      <c r="AB973" s="55" t="n"/>
      <c r="AC973" s="55" t="n"/>
      <c r="AD973" s="55" t="n"/>
      <c r="AE973" s="55" t="n"/>
    </row>
    <row r="974" ht="15" customHeight="1" s="380">
      <c r="A974" s="55" t="n"/>
      <c r="B974" s="4" t="inlineStr">
        <is>
          <t>HNX04 (LK)</t>
        </is>
      </c>
      <c r="C974" s="216" t="n"/>
      <c r="D974" s="216" t="inlineStr">
        <is>
          <t>Cổ phiếu niêm yết</t>
        </is>
      </c>
      <c r="E974" s="55" t="n"/>
      <c r="F974" s="4" t="inlineStr">
        <is>
          <t>Báo cáo</t>
        </is>
      </c>
      <c r="G974" s="22" t="inlineStr">
        <is>
          <t>Chỉ tiêu phái sinh</t>
        </is>
      </c>
      <c r="H974" s="4" t="inlineStr">
        <is>
          <t>TB</t>
        </is>
      </c>
      <c r="I974" s="55" t="n"/>
      <c r="J974" s="55" t="n"/>
      <c r="K974" s="55" t="n"/>
      <c r="L974" s="55" t="n"/>
      <c r="M974" s="55" t="n"/>
      <c r="N974" s="55" t="n"/>
      <c r="O974" s="55" t="n"/>
      <c r="P974" s="55" t="n"/>
      <c r="Q974" s="55" t="n"/>
      <c r="R974" s="55" t="n"/>
      <c r="S974" s="55" t="n"/>
      <c r="T974" s="55" t="n"/>
      <c r="U974" s="55" t="n"/>
      <c r="V974" s="55" t="n"/>
      <c r="W974" s="55" t="n"/>
      <c r="X974" s="55" t="n"/>
      <c r="Y974" s="55" t="n"/>
      <c r="Z974" s="55" t="n"/>
      <c r="AA974" s="55" t="n"/>
      <c r="AB974" s="55" t="n"/>
      <c r="AC974" s="55" t="n"/>
      <c r="AD974" s="55" t="n"/>
      <c r="AE974" s="55" t="n"/>
    </row>
    <row r="975" ht="15" customHeight="1" s="380">
      <c r="A975" s="55" t="n"/>
      <c r="B975" s="4" t="inlineStr">
        <is>
          <t>HNX04 (LK)</t>
        </is>
      </c>
      <c r="C975" s="216" t="n"/>
      <c r="D975" s="216" t="inlineStr">
        <is>
          <t>Cổ phiếu đăng ký giao dịch</t>
        </is>
      </c>
      <c r="E975" s="55" t="n"/>
      <c r="F975" s="4" t="inlineStr">
        <is>
          <t>Báo cáo</t>
        </is>
      </c>
      <c r="G975" s="22" t="inlineStr">
        <is>
          <t>Chỉ tiêu phái sinh</t>
        </is>
      </c>
      <c r="H975" s="4" t="inlineStr">
        <is>
          <t>TB</t>
        </is>
      </c>
      <c r="I975" s="55" t="n"/>
      <c r="J975" s="55" t="n"/>
      <c r="K975" s="55" t="n"/>
      <c r="L975" s="55" t="n"/>
      <c r="M975" s="55" t="n"/>
      <c r="N975" s="55" t="n"/>
      <c r="O975" s="55" t="n"/>
      <c r="P975" s="55" t="n"/>
      <c r="Q975" s="55" t="n"/>
      <c r="R975" s="55" t="n"/>
      <c r="S975" s="55" t="n"/>
      <c r="T975" s="55" t="n"/>
      <c r="U975" s="55" t="n"/>
      <c r="V975" s="55" t="n"/>
      <c r="W975" s="55" t="n"/>
      <c r="X975" s="55" t="n"/>
      <c r="Y975" s="55" t="n"/>
      <c r="Z975" s="55" t="n"/>
      <c r="AA975" s="55" t="n"/>
      <c r="AB975" s="55" t="n"/>
      <c r="AC975" s="55" t="n"/>
      <c r="AD975" s="55" t="n"/>
      <c r="AE975" s="55" t="n"/>
    </row>
    <row r="976" ht="15" customHeight="1" s="380">
      <c r="A976" s="55" t="n"/>
      <c r="B976" s="4" t="inlineStr">
        <is>
          <t>HNX04 (LK)</t>
        </is>
      </c>
      <c r="C976" s="216" t="n"/>
      <c r="D976" s="216" t="inlineStr">
        <is>
          <t>Trái phiếu chính phủ</t>
        </is>
      </c>
      <c r="E976" s="55" t="n"/>
      <c r="F976" s="4" t="inlineStr">
        <is>
          <t>Báo cáo</t>
        </is>
      </c>
      <c r="G976" s="22" t="inlineStr">
        <is>
          <t>Chỉ tiêu phái sinh</t>
        </is>
      </c>
      <c r="H976" s="4" t="inlineStr">
        <is>
          <t>TB</t>
        </is>
      </c>
      <c r="I976" s="55" t="n"/>
      <c r="J976" s="55" t="n"/>
      <c r="K976" s="55" t="n"/>
      <c r="L976" s="55" t="n"/>
      <c r="M976" s="55" t="n"/>
      <c r="N976" s="55" t="n"/>
      <c r="O976" s="55" t="n"/>
      <c r="P976" s="55" t="n"/>
      <c r="Q976" s="55" t="n"/>
      <c r="R976" s="55" t="n"/>
      <c r="S976" s="55" t="n"/>
      <c r="T976" s="55" t="n"/>
      <c r="U976" s="55" t="n"/>
      <c r="V976" s="55" t="n"/>
      <c r="W976" s="55" t="n"/>
      <c r="X976" s="55" t="n"/>
      <c r="Y976" s="55" t="n"/>
      <c r="Z976" s="55" t="n"/>
      <c r="AA976" s="55" t="n"/>
      <c r="AB976" s="55" t="n"/>
      <c r="AC976" s="55" t="n"/>
      <c r="AD976" s="55" t="n"/>
      <c r="AE976" s="55" t="n"/>
    </row>
    <row r="977" ht="15" customHeight="1" s="380">
      <c r="A977" s="55" t="n"/>
      <c r="B977" s="4" t="inlineStr">
        <is>
          <t>HNX04 (LK)</t>
        </is>
      </c>
      <c r="C977" s="216" t="n"/>
      <c r="D977" s="216" t="inlineStr">
        <is>
          <t>Trái phiếu chính quyền địa phương</t>
        </is>
      </c>
      <c r="E977" s="55" t="n"/>
      <c r="F977" s="4" t="inlineStr">
        <is>
          <t>Báo cáo</t>
        </is>
      </c>
      <c r="G977" s="22" t="inlineStr">
        <is>
          <t>Chỉ tiêu phái sinh</t>
        </is>
      </c>
      <c r="H977" s="4" t="inlineStr">
        <is>
          <t>TB</t>
        </is>
      </c>
      <c r="I977" s="55" t="n"/>
      <c r="J977" s="55" t="n"/>
      <c r="K977" s="55" t="n"/>
      <c r="L977" s="55" t="n"/>
      <c r="M977" s="55" t="n"/>
      <c r="N977" s="55" t="n"/>
      <c r="O977" s="55" t="n"/>
      <c r="P977" s="55" t="n"/>
      <c r="Q977" s="55" t="n"/>
      <c r="R977" s="55" t="n"/>
      <c r="S977" s="55" t="n"/>
      <c r="T977" s="55" t="n"/>
      <c r="U977" s="55" t="n"/>
      <c r="V977" s="55" t="n"/>
      <c r="W977" s="55" t="n"/>
      <c r="X977" s="55" t="n"/>
      <c r="Y977" s="55" t="n"/>
      <c r="Z977" s="55" t="n"/>
      <c r="AA977" s="55" t="n"/>
      <c r="AB977" s="55" t="n"/>
      <c r="AC977" s="55" t="n"/>
      <c r="AD977" s="55" t="n"/>
      <c r="AE977" s="55" t="n"/>
    </row>
    <row r="978" ht="15" customHeight="1" s="380">
      <c r="A978" s="55" t="n"/>
      <c r="B978" s="4" t="inlineStr">
        <is>
          <t>HNX04 (LK)</t>
        </is>
      </c>
      <c r="C978" s="216" t="n"/>
      <c r="D978" s="216" t="inlineStr">
        <is>
          <t>Trái phiếu chính phủ bảo lãnh</t>
        </is>
      </c>
      <c r="E978" s="55" t="n"/>
      <c r="F978" s="4" t="inlineStr">
        <is>
          <t>Báo cáo</t>
        </is>
      </c>
      <c r="G978" s="22" t="inlineStr">
        <is>
          <t>Chỉ tiêu phái sinh</t>
        </is>
      </c>
      <c r="H978" s="4" t="inlineStr">
        <is>
          <t>TB</t>
        </is>
      </c>
      <c r="I978" s="55" t="n"/>
      <c r="J978" s="55" t="n"/>
      <c r="K978" s="55" t="n"/>
      <c r="L978" s="55" t="n"/>
      <c r="M978" s="55" t="n"/>
      <c r="N978" s="55" t="n"/>
      <c r="O978" s="55" t="n"/>
      <c r="P978" s="55" t="n"/>
      <c r="Q978" s="55" t="n"/>
      <c r="R978" s="55" t="n"/>
      <c r="S978" s="55" t="n"/>
      <c r="T978" s="55" t="n"/>
      <c r="U978" s="55" t="n"/>
      <c r="V978" s="55" t="n"/>
      <c r="W978" s="55" t="n"/>
      <c r="X978" s="55" t="n"/>
      <c r="Y978" s="55" t="n"/>
      <c r="Z978" s="55" t="n"/>
      <c r="AA978" s="55" t="n"/>
      <c r="AB978" s="55" t="n"/>
      <c r="AC978" s="55" t="n"/>
      <c r="AD978" s="55" t="n"/>
      <c r="AE978" s="55" t="n"/>
    </row>
    <row r="979" ht="15" customHeight="1" s="380">
      <c r="A979" s="55" t="n"/>
      <c r="B979" s="4" t="inlineStr">
        <is>
          <t>HNX04 (LK)</t>
        </is>
      </c>
      <c r="C979" s="216" t="n"/>
      <c r="D979" s="216" t="inlineStr">
        <is>
          <t>Trái phiếu doanh nghiệp</t>
        </is>
      </c>
      <c r="E979" s="55" t="n"/>
      <c r="F979" s="4" t="inlineStr">
        <is>
          <t>Báo cáo</t>
        </is>
      </c>
      <c r="G979" s="22" t="inlineStr">
        <is>
          <t>Chỉ tiêu phái sinh</t>
        </is>
      </c>
      <c r="H979" s="4" t="inlineStr">
        <is>
          <t>TB</t>
        </is>
      </c>
      <c r="I979" s="55" t="n"/>
      <c r="J979" s="55" t="n"/>
      <c r="K979" s="55" t="n"/>
      <c r="L979" s="55" t="n"/>
      <c r="M979" s="55" t="n"/>
      <c r="N979" s="55" t="n"/>
      <c r="O979" s="55" t="n"/>
      <c r="P979" s="55" t="n"/>
      <c r="Q979" s="55" t="n"/>
      <c r="R979" s="55" t="n"/>
      <c r="S979" s="55" t="n"/>
      <c r="T979" s="55" t="n"/>
      <c r="U979" s="55" t="n"/>
      <c r="V979" s="55" t="n"/>
      <c r="W979" s="55" t="n"/>
      <c r="X979" s="55" t="n"/>
      <c r="Y979" s="55" t="n"/>
      <c r="Z979" s="55" t="n"/>
      <c r="AA979" s="55" t="n"/>
      <c r="AB979" s="55" t="n"/>
      <c r="AC979" s="55" t="n"/>
      <c r="AD979" s="55" t="n"/>
      <c r="AE979" s="55" t="n"/>
    </row>
    <row r="980" ht="15" customHeight="1" s="380">
      <c r="A980" s="55" t="n"/>
      <c r="B980" s="4" t="inlineStr">
        <is>
          <t>HNX04 (LK)</t>
        </is>
      </c>
      <c r="C980" s="216" t="n"/>
      <c r="D980" s="216" t="inlineStr">
        <is>
          <t>Tín phiếu kho bạc</t>
        </is>
      </c>
      <c r="E980" s="55" t="n"/>
      <c r="F980" s="4" t="inlineStr">
        <is>
          <t>Báo cáo</t>
        </is>
      </c>
      <c r="G980" s="22" t="inlineStr">
        <is>
          <t>Chỉ tiêu phái sinh</t>
        </is>
      </c>
      <c r="H980" s="4" t="inlineStr">
        <is>
          <t>TB</t>
        </is>
      </c>
      <c r="I980" s="55" t="n"/>
      <c r="J980" s="55" t="n"/>
      <c r="K980" s="55" t="n"/>
      <c r="L980" s="55" t="n"/>
      <c r="M980" s="55" t="n"/>
      <c r="N980" s="55" t="n"/>
      <c r="O980" s="55" t="n"/>
      <c r="P980" s="55" t="n"/>
      <c r="Q980" s="55" t="n"/>
      <c r="R980" s="55" t="n"/>
      <c r="S980" s="55" t="n"/>
      <c r="T980" s="55" t="n"/>
      <c r="U980" s="55" t="n"/>
      <c r="V980" s="55" t="n"/>
      <c r="W980" s="55" t="n"/>
      <c r="X980" s="55" t="n"/>
      <c r="Y980" s="55" t="n"/>
      <c r="Z980" s="55" t="n"/>
      <c r="AA980" s="55" t="n"/>
      <c r="AB980" s="55" t="n"/>
      <c r="AC980" s="55" t="n"/>
      <c r="AD980" s="55" t="n"/>
      <c r="AE980" s="55" t="n"/>
    </row>
    <row r="981" ht="15" customHeight="1" s="380">
      <c r="A981" s="55" t="n"/>
      <c r="B981" s="4" t="inlineStr">
        <is>
          <t>HNX04 (LK)</t>
        </is>
      </c>
      <c r="C981" s="216" t="n"/>
      <c r="D981" s="216" t="inlineStr">
        <is>
          <t>Chứng chỉ quỹ (ETF)</t>
        </is>
      </c>
      <c r="E981" s="55" t="n"/>
      <c r="F981" s="4" t="inlineStr">
        <is>
          <t>Báo cáo</t>
        </is>
      </c>
      <c r="G981" s="22" t="inlineStr">
        <is>
          <t>Chỉ tiêu phái sinh</t>
        </is>
      </c>
      <c r="H981" s="4" t="inlineStr">
        <is>
          <t>TB</t>
        </is>
      </c>
      <c r="I981" s="55" t="n"/>
      <c r="J981" s="55" t="n"/>
      <c r="K981" s="55" t="n"/>
      <c r="L981" s="55" t="n"/>
      <c r="M981" s="55" t="n"/>
      <c r="N981" s="55" t="n"/>
      <c r="O981" s="55" t="n"/>
      <c r="P981" s="55" t="n"/>
      <c r="Q981" s="55" t="n"/>
      <c r="R981" s="55" t="n"/>
      <c r="S981" s="55" t="n"/>
      <c r="T981" s="55" t="n"/>
      <c r="U981" s="55" t="n"/>
      <c r="V981" s="55" t="n"/>
      <c r="W981" s="55" t="n"/>
      <c r="X981" s="55" t="n"/>
      <c r="Y981" s="55" t="n"/>
      <c r="Z981" s="55" t="n"/>
      <c r="AA981" s="55" t="n"/>
      <c r="AB981" s="55" t="n"/>
      <c r="AC981" s="55" t="n"/>
      <c r="AD981" s="55" t="n"/>
      <c r="AE981" s="55" t="n"/>
    </row>
    <row r="982" ht="15" customHeight="1" s="380">
      <c r="A982" s="55" t="n"/>
      <c r="B982" s="4" t="inlineStr">
        <is>
          <t>HNX04 (LK)</t>
        </is>
      </c>
      <c r="C982" s="216" t="n"/>
      <c r="D982" s="216" t="inlineStr">
        <is>
          <t>Chứng khoán niêm yết đến thời điểm hiện tại (mã chứng khoán)</t>
        </is>
      </c>
      <c r="E982" s="55" t="n"/>
      <c r="F982" s="4" t="inlineStr">
        <is>
          <t>Báo cáo</t>
        </is>
      </c>
      <c r="G982" s="22" t="inlineStr">
        <is>
          <t>Chỉ tiêu phái sinh</t>
        </is>
      </c>
      <c r="H982" s="4" t="inlineStr">
        <is>
          <t>TB</t>
        </is>
      </c>
      <c r="I982" s="55" t="n"/>
      <c r="J982" s="55" t="n"/>
      <c r="K982" s="55" t="n"/>
      <c r="L982" s="55" t="n"/>
      <c r="M982" s="55" t="n"/>
      <c r="N982" s="55" t="n"/>
      <c r="O982" s="55" t="n"/>
      <c r="P982" s="55" t="n"/>
      <c r="Q982" s="55" t="n"/>
      <c r="R982" s="55" t="n"/>
      <c r="S982" s="55" t="n"/>
      <c r="T982" s="55" t="n"/>
      <c r="U982" s="55" t="n"/>
      <c r="V982" s="55" t="n"/>
      <c r="W982" s="55" t="n"/>
      <c r="X982" s="55" t="n"/>
      <c r="Y982" s="55" t="n"/>
      <c r="Z982" s="55" t="n"/>
      <c r="AA982" s="55" t="n"/>
      <c r="AB982" s="55" t="n"/>
      <c r="AC982" s="55" t="n"/>
      <c r="AD982" s="55" t="n"/>
      <c r="AE982" s="55" t="n"/>
    </row>
    <row r="983" ht="15" customHeight="1" s="380">
      <c r="A983" s="55" t="n"/>
      <c r="B983" s="4" t="inlineStr">
        <is>
          <t>HNX04 (LK)</t>
        </is>
      </c>
      <c r="C983" s="216" t="n"/>
      <c r="D983" s="216" t="inlineStr">
        <is>
          <t>Cổ phiếu niêm yết</t>
        </is>
      </c>
      <c r="E983" s="55" t="n"/>
      <c r="F983" s="4" t="inlineStr">
        <is>
          <t>Báo cáo</t>
        </is>
      </c>
      <c r="G983" s="22" t="inlineStr">
        <is>
          <t>Chỉ tiêu phái sinh</t>
        </is>
      </c>
      <c r="H983" s="4" t="inlineStr">
        <is>
          <t>TB</t>
        </is>
      </c>
      <c r="I983" s="55" t="n"/>
      <c r="J983" s="55" t="n"/>
      <c r="K983" s="55" t="n"/>
      <c r="L983" s="55" t="n"/>
      <c r="M983" s="55" t="n"/>
      <c r="N983" s="55" t="n"/>
      <c r="O983" s="55" t="n"/>
      <c r="P983" s="55" t="n"/>
      <c r="Q983" s="55" t="n"/>
      <c r="R983" s="55" t="n"/>
      <c r="S983" s="55" t="n"/>
      <c r="T983" s="55" t="n"/>
      <c r="U983" s="55" t="n"/>
      <c r="V983" s="55" t="n"/>
      <c r="W983" s="55" t="n"/>
      <c r="X983" s="55" t="n"/>
      <c r="Y983" s="55" t="n"/>
      <c r="Z983" s="55" t="n"/>
      <c r="AA983" s="55" t="n"/>
      <c r="AB983" s="55" t="n"/>
      <c r="AC983" s="55" t="n"/>
      <c r="AD983" s="55" t="n"/>
      <c r="AE983" s="55" t="n"/>
    </row>
    <row r="984" ht="15" customHeight="1" s="380">
      <c r="A984" s="55" t="n"/>
      <c r="B984" s="4" t="inlineStr">
        <is>
          <t>HNX04 (LK)</t>
        </is>
      </c>
      <c r="C984" s="216" t="n"/>
      <c r="D984" s="216" t="inlineStr">
        <is>
          <t>Cổ phiếu đăng ký giao dịch</t>
        </is>
      </c>
      <c r="E984" s="55" t="n"/>
      <c r="F984" s="4" t="inlineStr">
        <is>
          <t>Báo cáo</t>
        </is>
      </c>
      <c r="G984" s="22" t="inlineStr">
        <is>
          <t>Chỉ tiêu phái sinh</t>
        </is>
      </c>
      <c r="H984" s="4" t="inlineStr">
        <is>
          <t>TB</t>
        </is>
      </c>
      <c r="I984" s="55" t="n"/>
      <c r="J984" s="55" t="n"/>
      <c r="K984" s="55" t="n"/>
      <c r="L984" s="55" t="n"/>
      <c r="M984" s="55" t="n"/>
      <c r="N984" s="55" t="n"/>
      <c r="O984" s="55" t="n"/>
      <c r="P984" s="55" t="n"/>
      <c r="Q984" s="55" t="n"/>
      <c r="R984" s="55" t="n"/>
      <c r="S984" s="55" t="n"/>
      <c r="T984" s="55" t="n"/>
      <c r="U984" s="55" t="n"/>
      <c r="V984" s="55" t="n"/>
      <c r="W984" s="55" t="n"/>
      <c r="X984" s="55" t="n"/>
      <c r="Y984" s="55" t="n"/>
      <c r="Z984" s="55" t="n"/>
      <c r="AA984" s="55" t="n"/>
      <c r="AB984" s="55" t="n"/>
      <c r="AC984" s="55" t="n"/>
      <c r="AD984" s="55" t="n"/>
      <c r="AE984" s="55" t="n"/>
    </row>
    <row r="985" ht="15" customHeight="1" s="380">
      <c r="A985" s="55" t="n"/>
      <c r="B985" s="4" t="inlineStr">
        <is>
          <t>HNX04 (LK)</t>
        </is>
      </c>
      <c r="C985" s="216" t="n"/>
      <c r="D985" s="216" t="inlineStr">
        <is>
          <t>Trái phiếu chính phủ</t>
        </is>
      </c>
      <c r="E985" s="55" t="n"/>
      <c r="F985" s="4" t="inlineStr">
        <is>
          <t>Báo cáo</t>
        </is>
      </c>
      <c r="G985" s="22" t="inlineStr">
        <is>
          <t>Chỉ tiêu phái sinh</t>
        </is>
      </c>
      <c r="H985" s="4" t="inlineStr">
        <is>
          <t>TB</t>
        </is>
      </c>
      <c r="I985" s="55" t="n"/>
      <c r="J985" s="55" t="n"/>
      <c r="K985" s="55" t="n"/>
      <c r="L985" s="55" t="n"/>
      <c r="M985" s="55" t="n"/>
      <c r="N985" s="55" t="n"/>
      <c r="O985" s="55" t="n"/>
      <c r="P985" s="55" t="n"/>
      <c r="Q985" s="55" t="n"/>
      <c r="R985" s="55" t="n"/>
      <c r="S985" s="55" t="n"/>
      <c r="T985" s="55" t="n"/>
      <c r="U985" s="55" t="n"/>
      <c r="V985" s="55" t="n"/>
      <c r="W985" s="55" t="n"/>
      <c r="X985" s="55" t="n"/>
      <c r="Y985" s="55" t="n"/>
      <c r="Z985" s="55" t="n"/>
      <c r="AA985" s="55" t="n"/>
      <c r="AB985" s="55" t="n"/>
      <c r="AC985" s="55" t="n"/>
      <c r="AD985" s="55" t="n"/>
      <c r="AE985" s="55" t="n"/>
    </row>
    <row r="986" ht="15" customHeight="1" s="380">
      <c r="A986" s="55" t="n"/>
      <c r="B986" s="4" t="inlineStr">
        <is>
          <t>HNX04 (LK)</t>
        </is>
      </c>
      <c r="C986" s="216" t="n"/>
      <c r="D986" s="216" t="inlineStr">
        <is>
          <t>Trái phiếu chính quyền địa phương</t>
        </is>
      </c>
      <c r="E986" s="55" t="n"/>
      <c r="F986" s="4" t="inlineStr">
        <is>
          <t>Báo cáo</t>
        </is>
      </c>
      <c r="G986" s="22" t="inlineStr">
        <is>
          <t>Chỉ tiêu phái sinh</t>
        </is>
      </c>
      <c r="H986" s="4" t="inlineStr">
        <is>
          <t>TB</t>
        </is>
      </c>
      <c r="I986" s="55" t="n"/>
      <c r="J986" s="55" t="n"/>
      <c r="K986" s="55" t="n"/>
      <c r="L986" s="55" t="n"/>
      <c r="M986" s="55" t="n"/>
      <c r="N986" s="55" t="n"/>
      <c r="O986" s="55" t="n"/>
      <c r="P986" s="55" t="n"/>
      <c r="Q986" s="55" t="n"/>
      <c r="R986" s="55" t="n"/>
      <c r="S986" s="55" t="n"/>
      <c r="T986" s="55" t="n"/>
      <c r="U986" s="55" t="n"/>
      <c r="V986" s="55" t="n"/>
      <c r="W986" s="55" t="n"/>
      <c r="X986" s="55" t="n"/>
      <c r="Y986" s="55" t="n"/>
      <c r="Z986" s="55" t="n"/>
      <c r="AA986" s="55" t="n"/>
      <c r="AB986" s="55" t="n"/>
      <c r="AC986" s="55" t="n"/>
      <c r="AD986" s="55" t="n"/>
      <c r="AE986" s="55" t="n"/>
    </row>
    <row r="987" ht="15" customHeight="1" s="380">
      <c r="A987" s="55" t="n"/>
      <c r="B987" s="4" t="inlineStr">
        <is>
          <t>HNX04 (LK)</t>
        </is>
      </c>
      <c r="C987" s="216" t="n"/>
      <c r="D987" s="216" t="inlineStr">
        <is>
          <t>Trái phiếu chính phủ bảo lãnh</t>
        </is>
      </c>
      <c r="E987" s="55" t="n"/>
      <c r="F987" s="4" t="inlineStr">
        <is>
          <t>Báo cáo</t>
        </is>
      </c>
      <c r="G987" s="22" t="inlineStr">
        <is>
          <t>Chỉ tiêu phái sinh</t>
        </is>
      </c>
      <c r="H987" s="4" t="inlineStr">
        <is>
          <t>TB</t>
        </is>
      </c>
      <c r="I987" s="55" t="n"/>
      <c r="J987" s="55" t="n"/>
      <c r="K987" s="55" t="n"/>
      <c r="L987" s="55" t="n"/>
      <c r="M987" s="55" t="n"/>
      <c r="N987" s="55" t="n"/>
      <c r="O987" s="55" t="n"/>
      <c r="P987" s="55" t="n"/>
      <c r="Q987" s="55" t="n"/>
      <c r="R987" s="55" t="n"/>
      <c r="S987" s="55" t="n"/>
      <c r="T987" s="55" t="n"/>
      <c r="U987" s="55" t="n"/>
      <c r="V987" s="55" t="n"/>
      <c r="W987" s="55" t="n"/>
      <c r="X987" s="55" t="n"/>
      <c r="Y987" s="55" t="n"/>
      <c r="Z987" s="55" t="n"/>
      <c r="AA987" s="55" t="n"/>
      <c r="AB987" s="55" t="n"/>
      <c r="AC987" s="55" t="n"/>
      <c r="AD987" s="55" t="n"/>
      <c r="AE987" s="55" t="n"/>
    </row>
    <row r="988" ht="15" customHeight="1" s="380">
      <c r="A988" s="55" t="n"/>
      <c r="B988" s="4" t="inlineStr">
        <is>
          <t>HNX04 (LK)</t>
        </is>
      </c>
      <c r="C988" s="216" t="n"/>
      <c r="D988" s="216" t="inlineStr">
        <is>
          <t>Trái phiếu doanh nghiệp</t>
        </is>
      </c>
      <c r="E988" s="55" t="n"/>
      <c r="F988" s="4" t="inlineStr">
        <is>
          <t>Báo cáo</t>
        </is>
      </c>
      <c r="G988" s="22" t="inlineStr">
        <is>
          <t>Chỉ tiêu phái sinh</t>
        </is>
      </c>
      <c r="H988" s="4" t="inlineStr">
        <is>
          <t>TB</t>
        </is>
      </c>
      <c r="I988" s="55" t="n"/>
      <c r="J988" s="55" t="n"/>
      <c r="K988" s="55" t="n"/>
      <c r="L988" s="55" t="n"/>
      <c r="M988" s="55" t="n"/>
      <c r="N988" s="55" t="n"/>
      <c r="O988" s="55" t="n"/>
      <c r="P988" s="55" t="n"/>
      <c r="Q988" s="55" t="n"/>
      <c r="R988" s="55" t="n"/>
      <c r="S988" s="55" t="n"/>
      <c r="T988" s="55" t="n"/>
      <c r="U988" s="55" t="n"/>
      <c r="V988" s="55" t="n"/>
      <c r="W988" s="55" t="n"/>
      <c r="X988" s="55" t="n"/>
      <c r="Y988" s="55" t="n"/>
      <c r="Z988" s="55" t="n"/>
      <c r="AA988" s="55" t="n"/>
      <c r="AB988" s="55" t="n"/>
      <c r="AC988" s="55" t="n"/>
      <c r="AD988" s="55" t="n"/>
      <c r="AE988" s="55" t="n"/>
    </row>
    <row r="989" ht="15" customHeight="1" s="380">
      <c r="A989" s="55" t="n"/>
      <c r="B989" s="4" t="inlineStr">
        <is>
          <t>HNX04 (LK)</t>
        </is>
      </c>
      <c r="C989" s="216" t="n"/>
      <c r="D989" s="216" t="inlineStr">
        <is>
          <t>Tín phiếu kho bạc</t>
        </is>
      </c>
      <c r="E989" s="55" t="n"/>
      <c r="F989" s="4" t="inlineStr">
        <is>
          <t>Báo cáo</t>
        </is>
      </c>
      <c r="G989" s="22" t="inlineStr">
        <is>
          <t>Chỉ tiêu phái sinh</t>
        </is>
      </c>
      <c r="H989" s="4" t="inlineStr">
        <is>
          <t>TB</t>
        </is>
      </c>
      <c r="I989" s="55" t="n"/>
      <c r="J989" s="55" t="n"/>
      <c r="K989" s="55" t="n"/>
      <c r="L989" s="55" t="n"/>
      <c r="M989" s="55" t="n"/>
      <c r="N989" s="55" t="n"/>
      <c r="O989" s="55" t="n"/>
      <c r="P989" s="55" t="n"/>
      <c r="Q989" s="55" t="n"/>
      <c r="R989" s="55" t="n"/>
      <c r="S989" s="55" t="n"/>
      <c r="T989" s="55" t="n"/>
      <c r="U989" s="55" t="n"/>
      <c r="V989" s="55" t="n"/>
      <c r="W989" s="55" t="n"/>
      <c r="X989" s="55" t="n"/>
      <c r="Y989" s="55" t="n"/>
      <c r="Z989" s="55" t="n"/>
      <c r="AA989" s="55" t="n"/>
      <c r="AB989" s="55" t="n"/>
      <c r="AC989" s="55" t="n"/>
      <c r="AD989" s="55" t="n"/>
      <c r="AE989" s="55" t="n"/>
    </row>
    <row r="990" ht="15" customHeight="1" s="380">
      <c r="A990" s="55" t="n"/>
      <c r="B990" s="4" t="inlineStr">
        <is>
          <t>HNX04 (LK)</t>
        </is>
      </c>
      <c r="C990" s="216" t="n"/>
      <c r="D990" s="216" t="inlineStr">
        <is>
          <t>Chứng chỉ quỹ (ETF)</t>
        </is>
      </c>
      <c r="E990" s="55" t="n"/>
      <c r="F990" s="4" t="inlineStr">
        <is>
          <t>Báo cáo</t>
        </is>
      </c>
      <c r="G990" s="22" t="inlineStr">
        <is>
          <t>Chỉ tiêu phái sinh</t>
        </is>
      </c>
      <c r="H990" s="4" t="inlineStr">
        <is>
          <t>TB</t>
        </is>
      </c>
      <c r="I990" s="55" t="n"/>
      <c r="J990" s="55" t="n"/>
      <c r="K990" s="55" t="n"/>
      <c r="L990" s="55" t="n"/>
      <c r="M990" s="55" t="n"/>
      <c r="N990" s="55" t="n"/>
      <c r="O990" s="55" t="n"/>
      <c r="P990" s="55" t="n"/>
      <c r="Q990" s="55" t="n"/>
      <c r="R990" s="55" t="n"/>
      <c r="S990" s="55" t="n"/>
      <c r="T990" s="55" t="n"/>
      <c r="U990" s="55" t="n"/>
      <c r="V990" s="55" t="n"/>
      <c r="W990" s="55" t="n"/>
      <c r="X990" s="55" t="n"/>
      <c r="Y990" s="55" t="n"/>
      <c r="Z990" s="55" t="n"/>
      <c r="AA990" s="55" t="n"/>
      <c r="AB990" s="55" t="n"/>
      <c r="AC990" s="55" t="n"/>
      <c r="AD990" s="55" t="n"/>
      <c r="AE990" s="55" t="n"/>
    </row>
    <row r="991" ht="15" customHeight="1" s="380">
      <c r="A991" s="55" t="n"/>
      <c r="B991" s="4" t="inlineStr">
        <is>
          <t>HNX04 (LK)</t>
        </is>
      </c>
      <c r="C991" s="216" t="n"/>
      <c r="D991" s="216" t="inlineStr">
        <is>
          <t>Số phiên thực hiện giao dịch</t>
        </is>
      </c>
      <c r="E991" s="55" t="n"/>
      <c r="F991" s="4" t="inlineStr">
        <is>
          <t>Báo cáo</t>
        </is>
      </c>
      <c r="G991" s="22" t="inlineStr">
        <is>
          <t>Chỉ tiêu phái sinh</t>
        </is>
      </c>
      <c r="H991" s="4" t="inlineStr">
        <is>
          <t>TB</t>
        </is>
      </c>
      <c r="I991" s="55" t="n"/>
      <c r="J991" s="55" t="n"/>
      <c r="K991" s="55" t="n"/>
      <c r="L991" s="55" t="n"/>
      <c r="M991" s="55" t="n"/>
      <c r="N991" s="55" t="n"/>
      <c r="O991" s="55" t="n"/>
      <c r="P991" s="55" t="n"/>
      <c r="Q991" s="55" t="n"/>
      <c r="R991" s="55" t="n"/>
      <c r="S991" s="55" t="n"/>
      <c r="T991" s="55" t="n"/>
      <c r="U991" s="55" t="n"/>
      <c r="V991" s="55" t="n"/>
      <c r="W991" s="55" t="n"/>
      <c r="X991" s="55" t="n"/>
      <c r="Y991" s="55" t="n"/>
      <c r="Z991" s="55" t="n"/>
      <c r="AA991" s="55" t="n"/>
      <c r="AB991" s="55" t="n"/>
      <c r="AC991" s="55" t="n"/>
      <c r="AD991" s="55" t="n"/>
      <c r="AE991" s="55" t="n"/>
    </row>
    <row r="992" ht="15" customHeight="1" s="380">
      <c r="A992" s="55" t="n"/>
      <c r="B992" s="4" t="inlineStr">
        <is>
          <t>HNX04 (LK)</t>
        </is>
      </c>
      <c r="C992" s="216" t="n"/>
      <c r="D992" s="216" t="inlineStr">
        <is>
          <t>Cổ phiếu niêm yết</t>
        </is>
      </c>
      <c r="E992" s="55" t="n"/>
      <c r="F992" s="4" t="inlineStr">
        <is>
          <t>Báo cáo</t>
        </is>
      </c>
      <c r="G992" s="22" t="inlineStr">
        <is>
          <t>Chỉ tiêu phái sinh</t>
        </is>
      </c>
      <c r="H992" s="4" t="inlineStr">
        <is>
          <t>TB</t>
        </is>
      </c>
      <c r="I992" s="55" t="n"/>
      <c r="J992" s="55" t="n"/>
      <c r="K992" s="55" t="n"/>
      <c r="L992" s="55" t="n"/>
      <c r="M992" s="55" t="n"/>
      <c r="N992" s="55" t="n"/>
      <c r="O992" s="55" t="n"/>
      <c r="P992" s="55" t="n"/>
      <c r="Q992" s="55" t="n"/>
      <c r="R992" s="55" t="n"/>
      <c r="S992" s="55" t="n"/>
      <c r="T992" s="55" t="n"/>
      <c r="U992" s="55" t="n"/>
      <c r="V992" s="55" t="n"/>
      <c r="W992" s="55" t="n"/>
      <c r="X992" s="55" t="n"/>
      <c r="Y992" s="55" t="n"/>
      <c r="Z992" s="55" t="n"/>
      <c r="AA992" s="55" t="n"/>
      <c r="AB992" s="55" t="n"/>
      <c r="AC992" s="55" t="n"/>
      <c r="AD992" s="55" t="n"/>
      <c r="AE992" s="55" t="n"/>
    </row>
    <row r="993" ht="15" customHeight="1" s="380">
      <c r="A993" s="55" t="n"/>
      <c r="B993" s="4" t="inlineStr">
        <is>
          <t>HNX04 (LK)</t>
        </is>
      </c>
      <c r="C993" s="216" t="n"/>
      <c r="D993" s="216" t="inlineStr">
        <is>
          <t>Cổ phiếu đăng ký giao dịch</t>
        </is>
      </c>
      <c r="E993" s="55" t="n"/>
      <c r="F993" s="4" t="inlineStr">
        <is>
          <t>Báo cáo</t>
        </is>
      </c>
      <c r="G993" s="22" t="inlineStr">
        <is>
          <t>Chỉ tiêu phái sinh</t>
        </is>
      </c>
      <c r="H993" s="4" t="inlineStr">
        <is>
          <t>TB</t>
        </is>
      </c>
      <c r="I993" s="55" t="n"/>
      <c r="J993" s="55" t="n"/>
      <c r="K993" s="55" t="n"/>
      <c r="L993" s="55" t="n"/>
      <c r="M993" s="55" t="n"/>
      <c r="N993" s="55" t="n"/>
      <c r="O993" s="55" t="n"/>
      <c r="P993" s="55" t="n"/>
      <c r="Q993" s="55" t="n"/>
      <c r="R993" s="55" t="n"/>
      <c r="S993" s="55" t="n"/>
      <c r="T993" s="55" t="n"/>
      <c r="U993" s="55" t="n"/>
      <c r="V993" s="55" t="n"/>
      <c r="W993" s="55" t="n"/>
      <c r="X993" s="55" t="n"/>
      <c r="Y993" s="55" t="n"/>
      <c r="Z993" s="55" t="n"/>
      <c r="AA993" s="55" t="n"/>
      <c r="AB993" s="55" t="n"/>
      <c r="AC993" s="55" t="n"/>
      <c r="AD993" s="55" t="n"/>
      <c r="AE993" s="55" t="n"/>
    </row>
    <row r="994" ht="15" customHeight="1" s="380">
      <c r="A994" s="55" t="n"/>
      <c r="B994" s="4" t="inlineStr">
        <is>
          <t>HNX04 (LK)</t>
        </is>
      </c>
      <c r="C994" s="216" t="n"/>
      <c r="D994" s="216" t="inlineStr">
        <is>
          <t>Trái phiếu Chính phủ</t>
        </is>
      </c>
      <c r="E994" s="55" t="n"/>
      <c r="F994" s="4" t="inlineStr">
        <is>
          <t>Báo cáo</t>
        </is>
      </c>
      <c r="G994" s="22" t="inlineStr">
        <is>
          <t>Chỉ tiêu phái sinh</t>
        </is>
      </c>
      <c r="H994" s="4" t="inlineStr">
        <is>
          <t>TB</t>
        </is>
      </c>
      <c r="I994" s="55" t="n"/>
      <c r="J994" s="55" t="n"/>
      <c r="K994" s="55" t="n"/>
      <c r="L994" s="55" t="n"/>
      <c r="M994" s="55" t="n"/>
      <c r="N994" s="55" t="n"/>
      <c r="O994" s="55" t="n"/>
      <c r="P994" s="55" t="n"/>
      <c r="Q994" s="55" t="n"/>
      <c r="R994" s="55" t="n"/>
      <c r="S994" s="55" t="n"/>
      <c r="T994" s="55" t="n"/>
      <c r="U994" s="55" t="n"/>
      <c r="V994" s="55" t="n"/>
      <c r="W994" s="55" t="n"/>
      <c r="X994" s="55" t="n"/>
      <c r="Y994" s="55" t="n"/>
      <c r="Z994" s="55" t="n"/>
      <c r="AA994" s="55" t="n"/>
      <c r="AB994" s="55" t="n"/>
      <c r="AC994" s="55" t="n"/>
      <c r="AD994" s="55" t="n"/>
      <c r="AE994" s="55" t="n"/>
    </row>
    <row r="995" ht="15" customHeight="1" s="380">
      <c r="A995" s="55" t="n"/>
      <c r="B995" s="4" t="inlineStr">
        <is>
          <t>HNX04 (LK)</t>
        </is>
      </c>
      <c r="C995" s="216" t="n"/>
      <c r="D995" s="216" t="inlineStr">
        <is>
          <t>Tín phiếu kho bạc</t>
        </is>
      </c>
      <c r="E995" s="55" t="n"/>
      <c r="F995" s="4" t="inlineStr">
        <is>
          <t>Báo cáo</t>
        </is>
      </c>
      <c r="G995" s="22" t="inlineStr">
        <is>
          <t>Chỉ tiêu phái sinh</t>
        </is>
      </c>
      <c r="H995" s="4" t="inlineStr">
        <is>
          <t>TB</t>
        </is>
      </c>
      <c r="I995" s="55" t="n"/>
      <c r="J995" s="55" t="n"/>
      <c r="K995" s="55" t="n"/>
      <c r="L995" s="55" t="n"/>
      <c r="M995" s="55" t="n"/>
      <c r="N995" s="55" t="n"/>
      <c r="O995" s="55" t="n"/>
      <c r="P995" s="55" t="n"/>
      <c r="Q995" s="55" t="n"/>
      <c r="R995" s="55" t="n"/>
      <c r="S995" s="55" t="n"/>
      <c r="T995" s="55" t="n"/>
      <c r="U995" s="55" t="n"/>
      <c r="V995" s="55" t="n"/>
      <c r="W995" s="55" t="n"/>
      <c r="X995" s="55" t="n"/>
      <c r="Y995" s="55" t="n"/>
      <c r="Z995" s="55" t="n"/>
      <c r="AA995" s="55" t="n"/>
      <c r="AB995" s="55" t="n"/>
      <c r="AC995" s="55" t="n"/>
      <c r="AD995" s="55" t="n"/>
      <c r="AE995" s="55" t="n"/>
    </row>
    <row r="996" ht="16.5" customHeight="1" s="380">
      <c r="A996" s="55" t="n"/>
      <c r="B996" s="4" t="inlineStr">
        <is>
          <t>HNX04 (LK)</t>
        </is>
      </c>
      <c r="C996" s="221" t="n"/>
      <c r="D996" s="221" t="inlineStr">
        <is>
          <t>Trong kỳ - Tăng/giảm so với kỳ trước (%)</t>
        </is>
      </c>
      <c r="E996" s="55" t="n"/>
      <c r="F996" s="4" t="inlineStr">
        <is>
          <t>Báo cáo</t>
        </is>
      </c>
      <c r="G996" s="55" t="inlineStr">
        <is>
          <t>Chiều</t>
        </is>
      </c>
      <c r="H996" s="55" t="n"/>
      <c r="I996" s="55" t="n"/>
      <c r="J996" s="55" t="n"/>
      <c r="K996" s="55" t="n"/>
      <c r="L996" s="55" t="n"/>
      <c r="M996" s="55" t="n"/>
      <c r="N996" s="55" t="n"/>
      <c r="O996" s="55" t="n"/>
      <c r="P996" s="55" t="n"/>
      <c r="Q996" s="55" t="n"/>
      <c r="R996" s="55" t="n"/>
      <c r="S996" s="55" t="n"/>
      <c r="T996" s="55" t="n"/>
      <c r="U996" s="55" t="n"/>
      <c r="V996" s="55" t="n"/>
      <c r="W996" s="55" t="n"/>
      <c r="X996" s="55" t="n"/>
      <c r="Y996" s="55" t="n"/>
      <c r="Z996" s="55" t="n"/>
      <c r="AA996" s="55" t="n"/>
      <c r="AB996" s="55" t="n"/>
      <c r="AC996" s="55" t="n"/>
      <c r="AD996" s="55" t="n"/>
      <c r="AE996" s="55" t="n"/>
    </row>
    <row r="997" ht="16.5" customHeight="1" s="380">
      <c r="A997" s="55" t="n"/>
      <c r="B997" s="4" t="inlineStr">
        <is>
          <t>HNX04 (LK)</t>
        </is>
      </c>
      <c r="C997" s="216" t="n"/>
      <c r="D997" s="216" t="inlineStr">
        <is>
          <t>GTGD (VND)</t>
        </is>
      </c>
      <c r="E997" s="55" t="n"/>
      <c r="F997" s="4" t="inlineStr">
        <is>
          <t>Báo cáo</t>
        </is>
      </c>
      <c r="G997" s="22" t="inlineStr">
        <is>
          <t>Chỉ tiêu phái sinh</t>
        </is>
      </c>
      <c r="H997" s="4" t="inlineStr">
        <is>
          <t>TB</t>
        </is>
      </c>
      <c r="I997" s="55" t="n"/>
      <c r="J997" s="55" t="n"/>
      <c r="K997" s="55" t="n"/>
      <c r="L997" s="55" t="n"/>
      <c r="M997" s="55" t="n"/>
      <c r="N997" s="55" t="n"/>
      <c r="O997" s="55" t="n"/>
      <c r="P997" s="55" t="n"/>
      <c r="Q997" s="55" t="n"/>
      <c r="R997" s="55" t="n"/>
      <c r="S997" s="55" t="n"/>
      <c r="T997" s="55" t="n"/>
      <c r="U997" s="55" t="n"/>
      <c r="V997" s="55" t="n"/>
      <c r="W997" s="55" t="n"/>
      <c r="X997" s="55" t="n"/>
      <c r="Y997" s="55" t="n"/>
      <c r="Z997" s="55" t="n"/>
      <c r="AA997" s="55" t="n"/>
      <c r="AB997" s="55" t="n"/>
      <c r="AC997" s="55" t="n"/>
      <c r="AD997" s="55" t="n"/>
      <c r="AE997" s="55" t="n"/>
    </row>
    <row r="998" ht="16.5" customHeight="1" s="380">
      <c r="A998" s="55" t="n"/>
      <c r="B998" s="4" t="inlineStr">
        <is>
          <t>HNX04 (LK)</t>
        </is>
      </c>
      <c r="C998" s="216" t="n"/>
      <c r="D998" s="216" t="inlineStr">
        <is>
          <t>Trái phiếu chính phủ</t>
        </is>
      </c>
      <c r="E998" s="55" t="n"/>
      <c r="F998" s="4" t="inlineStr">
        <is>
          <t>Báo cáo</t>
        </is>
      </c>
      <c r="G998" s="22" t="inlineStr">
        <is>
          <t>Chỉ tiêu phái sinh</t>
        </is>
      </c>
      <c r="H998" s="4" t="inlineStr">
        <is>
          <t>TB</t>
        </is>
      </c>
      <c r="I998" s="55" t="n"/>
      <c r="J998" s="55" t="n"/>
      <c r="K998" s="55" t="n"/>
      <c r="L998" s="55" t="n"/>
      <c r="M998" s="55" t="n"/>
      <c r="N998" s="55" t="n"/>
      <c r="O998" s="55" t="n"/>
      <c r="P998" s="55" t="n"/>
      <c r="Q998" s="55" t="n"/>
      <c r="R998" s="55" t="n"/>
      <c r="S998" s="55" t="n"/>
      <c r="T998" s="55" t="n"/>
      <c r="U998" s="55" t="n"/>
      <c r="V998" s="55" t="n"/>
      <c r="W998" s="55" t="n"/>
      <c r="X998" s="55" t="n"/>
      <c r="Y998" s="55" t="n"/>
      <c r="Z998" s="55" t="n"/>
      <c r="AA998" s="55" t="n"/>
      <c r="AB998" s="55" t="n"/>
      <c r="AC998" s="55" t="n"/>
      <c r="AD998" s="55" t="n"/>
      <c r="AE998" s="55" t="n"/>
    </row>
    <row r="999" ht="16.5" customHeight="1" s="380">
      <c r="A999" s="55" t="n"/>
      <c r="B999" s="4" t="inlineStr">
        <is>
          <t>HNX04 (LK)</t>
        </is>
      </c>
      <c r="C999" s="216" t="n"/>
      <c r="D999" s="216" t="inlineStr">
        <is>
          <t>Trái phiếu chính quyền địa phương</t>
        </is>
      </c>
      <c r="E999" s="55" t="n"/>
      <c r="F999" s="4" t="inlineStr">
        <is>
          <t>Báo cáo</t>
        </is>
      </c>
      <c r="G999" s="22" t="inlineStr">
        <is>
          <t>Chỉ tiêu phái sinh</t>
        </is>
      </c>
      <c r="H999" s="4" t="inlineStr">
        <is>
          <t>TB</t>
        </is>
      </c>
      <c r="I999" s="55" t="n"/>
      <c r="J999" s="55" t="n"/>
      <c r="K999" s="55" t="n"/>
      <c r="L999" s="55" t="n"/>
      <c r="M999" s="55" t="n"/>
      <c r="N999" s="55" t="n"/>
      <c r="O999" s="55" t="n"/>
      <c r="P999" s="55" t="n"/>
      <c r="Q999" s="55" t="n"/>
      <c r="R999" s="55" t="n"/>
      <c r="S999" s="55" t="n"/>
      <c r="T999" s="55" t="n"/>
      <c r="U999" s="55" t="n"/>
      <c r="V999" s="55" t="n"/>
      <c r="W999" s="55" t="n"/>
      <c r="X999" s="55" t="n"/>
      <c r="Y999" s="55" t="n"/>
      <c r="Z999" s="55" t="n"/>
      <c r="AA999" s="55" t="n"/>
      <c r="AB999" s="55" t="n"/>
      <c r="AC999" s="55" t="n"/>
      <c r="AD999" s="55" t="n"/>
      <c r="AE999" s="55" t="n"/>
    </row>
    <row r="1000" ht="16.5" customHeight="1" s="380">
      <c r="A1000" s="55" t="n"/>
      <c r="B1000" s="4" t="inlineStr">
        <is>
          <t>HNX04 (LK)</t>
        </is>
      </c>
      <c r="C1000" s="216" t="n"/>
      <c r="D1000" s="216" t="inlineStr">
        <is>
          <t>Trái phiếu chính phủ bảo lãnh</t>
        </is>
      </c>
      <c r="E1000" s="55" t="n"/>
      <c r="F1000" s="4" t="inlineStr">
        <is>
          <t>Báo cáo</t>
        </is>
      </c>
      <c r="G1000" s="22" t="inlineStr">
        <is>
          <t>Chỉ tiêu phái sinh</t>
        </is>
      </c>
      <c r="H1000" s="4" t="inlineStr">
        <is>
          <t>TB</t>
        </is>
      </c>
      <c r="I1000" s="55" t="n"/>
      <c r="J1000" s="55" t="n"/>
      <c r="K1000" s="55" t="n"/>
      <c r="L1000" s="55" t="n"/>
      <c r="M1000" s="55" t="n"/>
      <c r="N1000" s="55" t="n"/>
      <c r="O1000" s="55" t="n"/>
      <c r="P1000" s="55" t="n"/>
      <c r="Q1000" s="55" t="n"/>
      <c r="R1000" s="55" t="n"/>
      <c r="S1000" s="55" t="n"/>
      <c r="T1000" s="55" t="n"/>
      <c r="U1000" s="55" t="n"/>
      <c r="V1000" s="55" t="n"/>
      <c r="W1000" s="55" t="n"/>
      <c r="X1000" s="55" t="n"/>
      <c r="Y1000" s="55" t="n"/>
      <c r="Z1000" s="55" t="n"/>
      <c r="AA1000" s="55" t="n"/>
      <c r="AB1000" s="55" t="n"/>
      <c r="AC1000" s="55" t="n"/>
      <c r="AD1000" s="55" t="n"/>
      <c r="AE1000" s="55" t="n"/>
    </row>
    <row r="1001" ht="16.5" customHeight="1" s="380">
      <c r="A1001" s="55" t="n"/>
      <c r="B1001" s="4" t="inlineStr">
        <is>
          <t>HNX04 (LK)</t>
        </is>
      </c>
      <c r="C1001" s="216" t="n"/>
      <c r="D1001" s="216" t="inlineStr">
        <is>
          <t>Tín phiếu kho bạc</t>
        </is>
      </c>
      <c r="E1001" s="55" t="n"/>
      <c r="F1001" s="4" t="inlineStr">
        <is>
          <t>Báo cáo</t>
        </is>
      </c>
      <c r="G1001" s="22" t="inlineStr">
        <is>
          <t>Chỉ tiêu phái sinh</t>
        </is>
      </c>
      <c r="H1001" s="4" t="inlineStr">
        <is>
          <t>TB</t>
        </is>
      </c>
      <c r="I1001" s="55" t="n"/>
      <c r="J1001" s="55" t="n"/>
      <c r="K1001" s="55" t="n"/>
      <c r="L1001" s="55" t="n"/>
      <c r="M1001" s="55" t="n"/>
      <c r="N1001" s="55" t="n"/>
      <c r="O1001" s="55" t="n"/>
      <c r="P1001" s="55" t="n"/>
      <c r="Q1001" s="55" t="n"/>
      <c r="R1001" s="55" t="n"/>
      <c r="S1001" s="55" t="n"/>
      <c r="T1001" s="55" t="n"/>
      <c r="U1001" s="55" t="n"/>
      <c r="V1001" s="55" t="n"/>
      <c r="W1001" s="55" t="n"/>
      <c r="X1001" s="55" t="n"/>
      <c r="Y1001" s="55" t="n"/>
      <c r="Z1001" s="55" t="n"/>
      <c r="AA1001" s="55" t="n"/>
      <c r="AB1001" s="55" t="n"/>
      <c r="AC1001" s="55" t="n"/>
      <c r="AD1001" s="55" t="n"/>
      <c r="AE1001" s="55" t="n"/>
    </row>
    <row r="1002" ht="16.5" customHeight="1" s="380">
      <c r="A1002" s="55" t="n"/>
      <c r="B1002" s="4" t="inlineStr">
        <is>
          <t>HNX04 (LK)</t>
        </is>
      </c>
      <c r="C1002" s="216" t="n"/>
      <c r="D1002" s="216" t="inlineStr">
        <is>
          <t>KLGD (trái phiếu)</t>
        </is>
      </c>
      <c r="E1002" s="55" t="n"/>
      <c r="F1002" s="4" t="inlineStr">
        <is>
          <t>Báo cáo</t>
        </is>
      </c>
      <c r="G1002" s="22" t="inlineStr">
        <is>
          <t>Chỉ tiêu phái sinh</t>
        </is>
      </c>
      <c r="H1002" s="4" t="inlineStr">
        <is>
          <t>TB</t>
        </is>
      </c>
      <c r="I1002" s="55" t="n"/>
      <c r="J1002" s="55" t="n"/>
      <c r="K1002" s="55" t="n"/>
      <c r="L1002" s="55" t="n"/>
      <c r="M1002" s="55" t="n"/>
      <c r="N1002" s="55" t="n"/>
      <c r="O1002" s="55" t="n"/>
      <c r="P1002" s="55" t="n"/>
      <c r="Q1002" s="55" t="n"/>
      <c r="R1002" s="55" t="n"/>
      <c r="S1002" s="55" t="n"/>
      <c r="T1002" s="55" t="n"/>
      <c r="U1002" s="55" t="n"/>
      <c r="V1002" s="55" t="n"/>
      <c r="W1002" s="55" t="n"/>
      <c r="X1002" s="55" t="n"/>
      <c r="Y1002" s="55" t="n"/>
      <c r="Z1002" s="55" t="n"/>
      <c r="AA1002" s="55" t="n"/>
      <c r="AB1002" s="55" t="n"/>
      <c r="AC1002" s="55" t="n"/>
      <c r="AD1002" s="55" t="n"/>
      <c r="AE1002" s="55" t="n"/>
    </row>
    <row r="1003" ht="16.5" customHeight="1" s="380">
      <c r="A1003" s="55" t="n"/>
      <c r="B1003" s="4" t="inlineStr">
        <is>
          <t>HNX04 (LK)</t>
        </is>
      </c>
      <c r="C1003" s="216" t="n"/>
      <c r="D1003" s="216" t="inlineStr">
        <is>
          <t>Trái phiếu chính phủ</t>
        </is>
      </c>
      <c r="E1003" s="55" t="n"/>
      <c r="F1003" s="4" t="inlineStr">
        <is>
          <t>Báo cáo</t>
        </is>
      </c>
      <c r="G1003" s="22" t="inlineStr">
        <is>
          <t>Chỉ tiêu phái sinh</t>
        </is>
      </c>
      <c r="H1003" s="4" t="inlineStr">
        <is>
          <t>TB</t>
        </is>
      </c>
      <c r="I1003" s="55" t="n"/>
      <c r="J1003" s="55" t="n"/>
      <c r="K1003" s="55" t="n"/>
      <c r="L1003" s="55" t="n"/>
      <c r="M1003" s="55" t="n"/>
      <c r="N1003" s="55" t="n"/>
      <c r="O1003" s="55" t="n"/>
      <c r="P1003" s="55" t="n"/>
      <c r="Q1003" s="55" t="n"/>
      <c r="R1003" s="55" t="n"/>
      <c r="S1003" s="55" t="n"/>
      <c r="T1003" s="55" t="n"/>
      <c r="U1003" s="55" t="n"/>
      <c r="V1003" s="55" t="n"/>
      <c r="W1003" s="55" t="n"/>
      <c r="X1003" s="55" t="n"/>
      <c r="Y1003" s="55" t="n"/>
      <c r="Z1003" s="55" t="n"/>
      <c r="AA1003" s="55" t="n"/>
      <c r="AB1003" s="55" t="n"/>
      <c r="AC1003" s="55" t="n"/>
      <c r="AD1003" s="55" t="n"/>
      <c r="AE1003" s="55" t="n"/>
    </row>
    <row r="1004" ht="16.5" customHeight="1" s="380">
      <c r="A1004" s="55" t="n"/>
      <c r="B1004" s="4" t="inlineStr">
        <is>
          <t>HNX04 (LK)</t>
        </is>
      </c>
      <c r="C1004" s="216" t="n"/>
      <c r="D1004" s="216" t="inlineStr">
        <is>
          <t>Trái phiếu chính quyền địa phương</t>
        </is>
      </c>
      <c r="E1004" s="55" t="n"/>
      <c r="F1004" s="4" t="inlineStr">
        <is>
          <t>Báo cáo</t>
        </is>
      </c>
      <c r="G1004" s="22" t="inlineStr">
        <is>
          <t>Chỉ tiêu phái sinh</t>
        </is>
      </c>
      <c r="H1004" s="4" t="inlineStr">
        <is>
          <t>TB</t>
        </is>
      </c>
      <c r="I1004" s="55" t="n"/>
      <c r="J1004" s="55" t="n"/>
      <c r="K1004" s="55" t="n"/>
      <c r="L1004" s="55" t="n"/>
      <c r="M1004" s="55" t="n"/>
      <c r="N1004" s="55" t="n"/>
      <c r="O1004" s="55" t="n"/>
      <c r="P1004" s="55" t="n"/>
      <c r="Q1004" s="55" t="n"/>
      <c r="R1004" s="55" t="n"/>
      <c r="S1004" s="55" t="n"/>
      <c r="T1004" s="55" t="n"/>
      <c r="U1004" s="55" t="n"/>
      <c r="V1004" s="55" t="n"/>
      <c r="W1004" s="55" t="n"/>
      <c r="X1004" s="55" t="n"/>
      <c r="Y1004" s="55" t="n"/>
      <c r="Z1004" s="55" t="n"/>
      <c r="AA1004" s="55" t="n"/>
      <c r="AB1004" s="55" t="n"/>
      <c r="AC1004" s="55" t="n"/>
      <c r="AD1004" s="55" t="n"/>
      <c r="AE1004" s="55" t="n"/>
    </row>
    <row r="1005" ht="16.5" customHeight="1" s="380">
      <c r="A1005" s="55" t="n"/>
      <c r="B1005" s="4" t="inlineStr">
        <is>
          <t>HNX04 (LK)</t>
        </is>
      </c>
      <c r="C1005" s="216" t="n"/>
      <c r="D1005" s="216" t="inlineStr">
        <is>
          <t>Trái phiếu chính phủ bảo lãnh</t>
        </is>
      </c>
      <c r="E1005" s="55" t="n"/>
      <c r="F1005" s="4" t="inlineStr">
        <is>
          <t>Báo cáo</t>
        </is>
      </c>
      <c r="G1005" s="22" t="inlineStr">
        <is>
          <t>Chỉ tiêu phái sinh</t>
        </is>
      </c>
      <c r="H1005" s="4" t="inlineStr">
        <is>
          <t>TB</t>
        </is>
      </c>
      <c r="I1005" s="55" t="n"/>
      <c r="J1005" s="55" t="n"/>
      <c r="K1005" s="55" t="n"/>
      <c r="L1005" s="55" t="n"/>
      <c r="M1005" s="55" t="n"/>
      <c r="N1005" s="55" t="n"/>
      <c r="O1005" s="55" t="n"/>
      <c r="P1005" s="55" t="n"/>
      <c r="Q1005" s="55" t="n"/>
      <c r="R1005" s="55" t="n"/>
      <c r="S1005" s="55" t="n"/>
      <c r="T1005" s="55" t="n"/>
      <c r="U1005" s="55" t="n"/>
      <c r="V1005" s="55" t="n"/>
      <c r="W1005" s="55" t="n"/>
      <c r="X1005" s="55" t="n"/>
      <c r="Y1005" s="55" t="n"/>
      <c r="Z1005" s="55" t="n"/>
      <c r="AA1005" s="55" t="n"/>
      <c r="AB1005" s="55" t="n"/>
      <c r="AC1005" s="55" t="n"/>
      <c r="AD1005" s="55" t="n"/>
      <c r="AE1005" s="55" t="n"/>
    </row>
    <row r="1006" ht="16.5" customHeight="1" s="380">
      <c r="A1006" s="55" t="n"/>
      <c r="B1006" s="4" t="inlineStr">
        <is>
          <t>HNX04 (LK)</t>
        </is>
      </c>
      <c r="C1006" s="216" t="n"/>
      <c r="D1006" s="216" t="inlineStr">
        <is>
          <t>Tín phiếu kho bạc</t>
        </is>
      </c>
      <c r="E1006" s="55" t="n"/>
      <c r="F1006" s="4" t="inlineStr">
        <is>
          <t>Báo cáo</t>
        </is>
      </c>
      <c r="G1006" s="22" t="inlineStr">
        <is>
          <t>Chỉ tiêu phái sinh</t>
        </is>
      </c>
      <c r="H1006" s="4" t="inlineStr">
        <is>
          <t>TB</t>
        </is>
      </c>
      <c r="I1006" s="55" t="n"/>
      <c r="J1006" s="55" t="n"/>
      <c r="K1006" s="55" t="n"/>
      <c r="L1006" s="55" t="n"/>
      <c r="M1006" s="55" t="n"/>
      <c r="N1006" s="55" t="n"/>
      <c r="O1006" s="55" t="n"/>
      <c r="P1006" s="55" t="n"/>
      <c r="Q1006" s="55" t="n"/>
      <c r="R1006" s="55" t="n"/>
      <c r="S1006" s="55" t="n"/>
      <c r="T1006" s="55" t="n"/>
      <c r="U1006" s="55" t="n"/>
      <c r="V1006" s="55" t="n"/>
      <c r="W1006" s="55" t="n"/>
      <c r="X1006" s="55" t="n"/>
      <c r="Y1006" s="55" t="n"/>
      <c r="Z1006" s="55" t="n"/>
      <c r="AA1006" s="55" t="n"/>
      <c r="AB1006" s="55" t="n"/>
      <c r="AC1006" s="55" t="n"/>
      <c r="AD1006" s="55" t="n"/>
      <c r="AE1006" s="55" t="n"/>
    </row>
    <row r="1007" ht="16.5" customHeight="1" s="380">
      <c r="A1007" s="55" t="n"/>
      <c r="B1007" s="4" t="inlineStr">
        <is>
          <t>HNX04 (LK)</t>
        </is>
      </c>
      <c r="C1007" s="216" t="n"/>
      <c r="D1007" s="216" t="inlineStr">
        <is>
          <t>Giá trị chứng khoán giao dịch (VND)</t>
        </is>
      </c>
      <c r="E1007" s="55" t="n"/>
      <c r="F1007" s="4" t="inlineStr">
        <is>
          <t>Báo cáo</t>
        </is>
      </c>
      <c r="G1007" s="22" t="inlineStr">
        <is>
          <t>Chỉ tiêu phái sinh</t>
        </is>
      </c>
      <c r="H1007" s="4" t="inlineStr">
        <is>
          <t>TB</t>
        </is>
      </c>
      <c r="I1007" s="55" t="n"/>
      <c r="J1007" s="55" t="n"/>
      <c r="K1007" s="55" t="n"/>
      <c r="L1007" s="55" t="n"/>
      <c r="M1007" s="55" t="n"/>
      <c r="N1007" s="55" t="n"/>
      <c r="O1007" s="55" t="n"/>
      <c r="P1007" s="55" t="n"/>
      <c r="Q1007" s="55" t="n"/>
      <c r="R1007" s="55" t="n"/>
      <c r="S1007" s="55" t="n"/>
      <c r="T1007" s="55" t="n"/>
      <c r="U1007" s="55" t="n"/>
      <c r="V1007" s="55" t="n"/>
      <c r="W1007" s="55" t="n"/>
      <c r="X1007" s="55" t="n"/>
      <c r="Y1007" s="55" t="n"/>
      <c r="Z1007" s="55" t="n"/>
      <c r="AA1007" s="55" t="n"/>
      <c r="AB1007" s="55" t="n"/>
      <c r="AC1007" s="55" t="n"/>
      <c r="AD1007" s="55" t="n"/>
      <c r="AE1007" s="55" t="n"/>
    </row>
    <row r="1008" ht="16.5" customHeight="1" s="380">
      <c r="A1008" s="55" t="n"/>
      <c r="B1008" s="4" t="inlineStr">
        <is>
          <t>HNX04 (LK)</t>
        </is>
      </c>
      <c r="C1008" s="216" t="n"/>
      <c r="D1008" s="216" t="inlineStr">
        <is>
          <t>Cổ phiếu niêm yết</t>
        </is>
      </c>
      <c r="E1008" s="55" t="n"/>
      <c r="F1008" s="4" t="inlineStr">
        <is>
          <t>Báo cáo</t>
        </is>
      </c>
      <c r="G1008" s="22" t="inlineStr">
        <is>
          <t>Chỉ tiêu phái sinh</t>
        </is>
      </c>
      <c r="H1008" s="4" t="inlineStr">
        <is>
          <t>TB</t>
        </is>
      </c>
      <c r="I1008" s="55" t="n"/>
      <c r="J1008" s="55" t="n"/>
      <c r="K1008" s="55" t="n"/>
      <c r="L1008" s="55" t="n"/>
      <c r="M1008" s="55" t="n"/>
      <c r="N1008" s="55" t="n"/>
      <c r="O1008" s="55" t="n"/>
      <c r="P1008" s="55" t="n"/>
      <c r="Q1008" s="55" t="n"/>
      <c r="R1008" s="55" t="n"/>
      <c r="S1008" s="55" t="n"/>
      <c r="T1008" s="55" t="n"/>
      <c r="U1008" s="55" t="n"/>
      <c r="V1008" s="55" t="n"/>
      <c r="W1008" s="55" t="n"/>
      <c r="X1008" s="55" t="n"/>
      <c r="Y1008" s="55" t="n"/>
      <c r="Z1008" s="55" t="n"/>
      <c r="AA1008" s="55" t="n"/>
      <c r="AB1008" s="55" t="n"/>
      <c r="AC1008" s="55" t="n"/>
      <c r="AD1008" s="55" t="n"/>
      <c r="AE1008" s="55" t="n"/>
    </row>
    <row r="1009" ht="16.5" customHeight="1" s="380">
      <c r="A1009" s="55" t="n"/>
      <c r="B1009" s="4" t="inlineStr">
        <is>
          <t>HNX04 (LK)</t>
        </is>
      </c>
      <c r="C1009" s="216" t="n"/>
      <c r="D1009" s="216" t="inlineStr">
        <is>
          <t>Cổ phiếu đăng ký giao dịch</t>
        </is>
      </c>
      <c r="E1009" s="55" t="n"/>
      <c r="F1009" s="4" t="inlineStr">
        <is>
          <t>Báo cáo</t>
        </is>
      </c>
      <c r="G1009" s="22" t="inlineStr">
        <is>
          <t>Chỉ tiêu phái sinh</t>
        </is>
      </c>
      <c r="H1009" s="4" t="inlineStr">
        <is>
          <t>TB</t>
        </is>
      </c>
      <c r="I1009" s="55" t="n"/>
      <c r="J1009" s="55" t="n"/>
      <c r="K1009" s="55" t="n"/>
      <c r="L1009" s="55" t="n"/>
      <c r="M1009" s="55" t="n"/>
      <c r="N1009" s="55" t="n"/>
      <c r="O1009" s="55" t="n"/>
      <c r="P1009" s="55" t="n"/>
      <c r="Q1009" s="55" t="n"/>
      <c r="R1009" s="55" t="n"/>
      <c r="S1009" s="55" t="n"/>
      <c r="T1009" s="55" t="n"/>
      <c r="U1009" s="55" t="n"/>
      <c r="V1009" s="55" t="n"/>
      <c r="W1009" s="55" t="n"/>
      <c r="X1009" s="55" t="n"/>
      <c r="Y1009" s="55" t="n"/>
      <c r="Z1009" s="55" t="n"/>
      <c r="AA1009" s="55" t="n"/>
      <c r="AB1009" s="55" t="n"/>
      <c r="AC1009" s="55" t="n"/>
      <c r="AD1009" s="55" t="n"/>
      <c r="AE1009" s="55" t="n"/>
    </row>
    <row r="1010" ht="16.5" customHeight="1" s="380">
      <c r="A1010" s="55" t="n"/>
      <c r="B1010" s="4" t="inlineStr">
        <is>
          <t>HNX04 (LK)</t>
        </is>
      </c>
      <c r="C1010" s="216" t="n"/>
      <c r="D1010" s="216" t="inlineStr">
        <is>
          <t>Trái phiếu chính phủ</t>
        </is>
      </c>
      <c r="E1010" s="55" t="n"/>
      <c r="F1010" s="4" t="inlineStr">
        <is>
          <t>Báo cáo</t>
        </is>
      </c>
      <c r="G1010" s="22" t="inlineStr">
        <is>
          <t>Chỉ tiêu phái sinh</t>
        </is>
      </c>
      <c r="H1010" s="4" t="inlineStr">
        <is>
          <t>TB</t>
        </is>
      </c>
      <c r="I1010" s="55" t="n"/>
      <c r="J1010" s="55" t="n"/>
      <c r="K1010" s="55" t="n"/>
      <c r="L1010" s="55" t="n"/>
      <c r="M1010" s="55" t="n"/>
      <c r="N1010" s="55" t="n"/>
      <c r="O1010" s="55" t="n"/>
      <c r="P1010" s="55" t="n"/>
      <c r="Q1010" s="55" t="n"/>
      <c r="R1010" s="55" t="n"/>
      <c r="S1010" s="55" t="n"/>
      <c r="T1010" s="55" t="n"/>
      <c r="U1010" s="55" t="n"/>
      <c r="V1010" s="55" t="n"/>
      <c r="W1010" s="55" t="n"/>
      <c r="X1010" s="55" t="n"/>
      <c r="Y1010" s="55" t="n"/>
      <c r="Z1010" s="55" t="n"/>
      <c r="AA1010" s="55" t="n"/>
      <c r="AB1010" s="55" t="n"/>
      <c r="AC1010" s="55" t="n"/>
      <c r="AD1010" s="55" t="n"/>
      <c r="AE1010" s="55" t="n"/>
    </row>
    <row r="1011" ht="16.5" customHeight="1" s="380">
      <c r="A1011" s="55" t="n"/>
      <c r="B1011" s="4" t="inlineStr">
        <is>
          <t>HNX04 (LK)</t>
        </is>
      </c>
      <c r="C1011" s="216" t="n"/>
      <c r="D1011" s="216" t="inlineStr">
        <is>
          <t>Trái phiếu chính quyền địa phương</t>
        </is>
      </c>
      <c r="E1011" s="55" t="n"/>
      <c r="F1011" s="4" t="inlineStr">
        <is>
          <t>Báo cáo</t>
        </is>
      </c>
      <c r="G1011" s="22" t="inlineStr">
        <is>
          <t>Chỉ tiêu phái sinh</t>
        </is>
      </c>
      <c r="H1011" s="4" t="inlineStr">
        <is>
          <t>TB</t>
        </is>
      </c>
      <c r="I1011" s="55" t="n"/>
      <c r="J1011" s="55" t="n"/>
      <c r="K1011" s="55" t="n"/>
      <c r="L1011" s="55" t="n"/>
      <c r="M1011" s="55" t="n"/>
      <c r="N1011" s="55" t="n"/>
      <c r="O1011" s="55" t="n"/>
      <c r="P1011" s="55" t="n"/>
      <c r="Q1011" s="55" t="n"/>
      <c r="R1011" s="55" t="n"/>
      <c r="S1011" s="55" t="n"/>
      <c r="T1011" s="55" t="n"/>
      <c r="U1011" s="55" t="n"/>
      <c r="V1011" s="55" t="n"/>
      <c r="W1011" s="55" t="n"/>
      <c r="X1011" s="55" t="n"/>
      <c r="Y1011" s="55" t="n"/>
      <c r="Z1011" s="55" t="n"/>
      <c r="AA1011" s="55" t="n"/>
      <c r="AB1011" s="55" t="n"/>
      <c r="AC1011" s="55" t="n"/>
      <c r="AD1011" s="55" t="n"/>
      <c r="AE1011" s="55" t="n"/>
    </row>
    <row r="1012" ht="16.5" customHeight="1" s="380">
      <c r="A1012" s="55" t="n"/>
      <c r="B1012" s="4" t="inlineStr">
        <is>
          <t>HNX04 (LK)</t>
        </is>
      </c>
      <c r="C1012" s="216" t="n"/>
      <c r="D1012" s="216" t="inlineStr">
        <is>
          <t>Trái phiếu chính phủ bảo lãnh</t>
        </is>
      </c>
      <c r="E1012" s="55" t="n"/>
      <c r="F1012" s="4" t="inlineStr">
        <is>
          <t>Báo cáo</t>
        </is>
      </c>
      <c r="G1012" s="22" t="inlineStr">
        <is>
          <t>Chỉ tiêu phái sinh</t>
        </is>
      </c>
      <c r="H1012" s="4" t="inlineStr">
        <is>
          <t>TB</t>
        </is>
      </c>
      <c r="I1012" s="55" t="n"/>
      <c r="J1012" s="55" t="n"/>
      <c r="K1012" s="55" t="n"/>
      <c r="L1012" s="55" t="n"/>
      <c r="M1012" s="55" t="n"/>
      <c r="N1012" s="55" t="n"/>
      <c r="O1012" s="55" t="n"/>
      <c r="P1012" s="55" t="n"/>
      <c r="Q1012" s="55" t="n"/>
      <c r="R1012" s="55" t="n"/>
      <c r="S1012" s="55" t="n"/>
      <c r="T1012" s="55" t="n"/>
      <c r="U1012" s="55" t="n"/>
      <c r="V1012" s="55" t="n"/>
      <c r="W1012" s="55" t="n"/>
      <c r="X1012" s="55" t="n"/>
      <c r="Y1012" s="55" t="n"/>
      <c r="Z1012" s="55" t="n"/>
      <c r="AA1012" s="55" t="n"/>
      <c r="AB1012" s="55" t="n"/>
      <c r="AC1012" s="55" t="n"/>
      <c r="AD1012" s="55" t="n"/>
      <c r="AE1012" s="55" t="n"/>
    </row>
    <row r="1013" ht="16.5" customHeight="1" s="380">
      <c r="A1013" s="55" t="n"/>
      <c r="B1013" s="4" t="inlineStr">
        <is>
          <t>HNX04 (LK)</t>
        </is>
      </c>
      <c r="C1013" s="216" t="n"/>
      <c r="D1013" s="216" t="inlineStr">
        <is>
          <t>Trái phiếu doanh nghiệp</t>
        </is>
      </c>
      <c r="E1013" s="55" t="n"/>
      <c r="F1013" s="4" t="inlineStr">
        <is>
          <t>Báo cáo</t>
        </is>
      </c>
      <c r="G1013" s="22" t="inlineStr">
        <is>
          <t>Chỉ tiêu phái sinh</t>
        </is>
      </c>
      <c r="H1013" s="4" t="inlineStr">
        <is>
          <t>TB</t>
        </is>
      </c>
      <c r="I1013" s="55" t="n"/>
      <c r="J1013" s="55" t="n"/>
      <c r="K1013" s="55" t="n"/>
      <c r="L1013" s="55" t="n"/>
      <c r="M1013" s="55" t="n"/>
      <c r="N1013" s="55" t="n"/>
      <c r="O1013" s="55" t="n"/>
      <c r="P1013" s="55" t="n"/>
      <c r="Q1013" s="55" t="n"/>
      <c r="R1013" s="55" t="n"/>
      <c r="S1013" s="55" t="n"/>
      <c r="T1013" s="55" t="n"/>
      <c r="U1013" s="55" t="n"/>
      <c r="V1013" s="55" t="n"/>
      <c r="W1013" s="55" t="n"/>
      <c r="X1013" s="55" t="n"/>
      <c r="Y1013" s="55" t="n"/>
      <c r="Z1013" s="55" t="n"/>
      <c r="AA1013" s="55" t="n"/>
      <c r="AB1013" s="55" t="n"/>
      <c r="AC1013" s="55" t="n"/>
      <c r="AD1013" s="55" t="n"/>
      <c r="AE1013" s="55" t="n"/>
    </row>
    <row r="1014" ht="16.5" customHeight="1" s="380">
      <c r="A1014" s="55" t="n"/>
      <c r="B1014" s="4" t="inlineStr">
        <is>
          <t>HNX04 (LK)</t>
        </is>
      </c>
      <c r="C1014" s="216" t="n"/>
      <c r="D1014" s="216" t="inlineStr">
        <is>
          <t>Tín phiếu kho bạc</t>
        </is>
      </c>
      <c r="E1014" s="55" t="n"/>
      <c r="F1014" s="4" t="inlineStr">
        <is>
          <t>Báo cáo</t>
        </is>
      </c>
      <c r="G1014" s="22" t="inlineStr">
        <is>
          <t>Chỉ tiêu phái sinh</t>
        </is>
      </c>
      <c r="H1014" s="4" t="inlineStr">
        <is>
          <t>TB</t>
        </is>
      </c>
      <c r="I1014" s="55" t="n"/>
      <c r="J1014" s="55" t="n"/>
      <c r="K1014" s="55" t="n"/>
      <c r="L1014" s="55" t="n"/>
      <c r="M1014" s="55" t="n"/>
      <c r="N1014" s="55" t="n"/>
      <c r="O1014" s="55" t="n"/>
      <c r="P1014" s="55" t="n"/>
      <c r="Q1014" s="55" t="n"/>
      <c r="R1014" s="55" t="n"/>
      <c r="S1014" s="55" t="n"/>
      <c r="T1014" s="55" t="n"/>
      <c r="U1014" s="55" t="n"/>
      <c r="V1014" s="55" t="n"/>
      <c r="W1014" s="55" t="n"/>
      <c r="X1014" s="55" t="n"/>
      <c r="Y1014" s="55" t="n"/>
      <c r="Z1014" s="55" t="n"/>
      <c r="AA1014" s="55" t="n"/>
      <c r="AB1014" s="55" t="n"/>
      <c r="AC1014" s="55" t="n"/>
      <c r="AD1014" s="55" t="n"/>
      <c r="AE1014" s="55" t="n"/>
    </row>
    <row r="1015" ht="16.5" customHeight="1" s="380">
      <c r="A1015" s="55" t="n"/>
      <c r="B1015" s="4" t="inlineStr">
        <is>
          <t>HNX04 (LK)</t>
        </is>
      </c>
      <c r="C1015" s="216" t="n"/>
      <c r="D1015" s="216" t="inlineStr">
        <is>
          <t>Chứng chỉ quỹ (ETF)</t>
        </is>
      </c>
      <c r="E1015" s="55" t="n"/>
      <c r="F1015" s="4" t="inlineStr">
        <is>
          <t>Báo cáo</t>
        </is>
      </c>
      <c r="G1015" s="22" t="inlineStr">
        <is>
          <t>Chỉ tiêu phái sinh</t>
        </is>
      </c>
      <c r="H1015" s="4" t="inlineStr">
        <is>
          <t>TB</t>
        </is>
      </c>
      <c r="I1015" s="55" t="n"/>
      <c r="J1015" s="55" t="n"/>
      <c r="K1015" s="55" t="n"/>
      <c r="L1015" s="55" t="n"/>
      <c r="M1015" s="55" t="n"/>
      <c r="N1015" s="55" t="n"/>
      <c r="O1015" s="55" t="n"/>
      <c r="P1015" s="55" t="n"/>
      <c r="Q1015" s="55" t="n"/>
      <c r="R1015" s="55" t="n"/>
      <c r="S1015" s="55" t="n"/>
      <c r="T1015" s="55" t="n"/>
      <c r="U1015" s="55" t="n"/>
      <c r="V1015" s="55" t="n"/>
      <c r="W1015" s="55" t="n"/>
      <c r="X1015" s="55" t="n"/>
      <c r="Y1015" s="55" t="n"/>
      <c r="Z1015" s="55" t="n"/>
      <c r="AA1015" s="55" t="n"/>
      <c r="AB1015" s="55" t="n"/>
      <c r="AC1015" s="55" t="n"/>
      <c r="AD1015" s="55" t="n"/>
      <c r="AE1015" s="55" t="n"/>
    </row>
    <row r="1016" ht="16.5" customHeight="1" s="380">
      <c r="A1016" s="55" t="n"/>
      <c r="B1016" s="4" t="inlineStr">
        <is>
          <t>HNX04 (LK)</t>
        </is>
      </c>
      <c r="C1016" s="216" t="n"/>
      <c r="D1016" s="216" t="inlineStr">
        <is>
          <t>Khối lượng chứng khoán giao dịch (chứng khoán)</t>
        </is>
      </c>
      <c r="E1016" s="55" t="n"/>
      <c r="F1016" s="4" t="inlineStr">
        <is>
          <t>Báo cáo</t>
        </is>
      </c>
      <c r="G1016" s="22" t="inlineStr">
        <is>
          <t>Chỉ tiêu phái sinh</t>
        </is>
      </c>
      <c r="H1016" s="4" t="inlineStr">
        <is>
          <t>TB</t>
        </is>
      </c>
      <c r="I1016" s="55" t="n"/>
      <c r="J1016" s="55" t="n"/>
      <c r="K1016" s="55" t="n"/>
      <c r="L1016" s="55" t="n"/>
      <c r="M1016" s="55" t="n"/>
      <c r="N1016" s="55" t="n"/>
      <c r="O1016" s="55" t="n"/>
      <c r="P1016" s="55" t="n"/>
      <c r="Q1016" s="55" t="n"/>
      <c r="R1016" s="55" t="n"/>
      <c r="S1016" s="55" t="n"/>
      <c r="T1016" s="55" t="n"/>
      <c r="U1016" s="55" t="n"/>
      <c r="V1016" s="55" t="n"/>
      <c r="W1016" s="55" t="n"/>
      <c r="X1016" s="55" t="n"/>
      <c r="Y1016" s="55" t="n"/>
      <c r="Z1016" s="55" t="n"/>
      <c r="AA1016" s="55" t="n"/>
      <c r="AB1016" s="55" t="n"/>
      <c r="AC1016" s="55" t="n"/>
      <c r="AD1016" s="55" t="n"/>
      <c r="AE1016" s="55" t="n"/>
    </row>
    <row r="1017" ht="16.5" customHeight="1" s="380">
      <c r="A1017" s="55" t="n"/>
      <c r="B1017" s="4" t="inlineStr">
        <is>
          <t>HNX04 (LK)</t>
        </is>
      </c>
      <c r="C1017" s="216" t="n"/>
      <c r="D1017" s="216" t="inlineStr">
        <is>
          <t>Cổ phiếu niêm yết</t>
        </is>
      </c>
      <c r="E1017" s="55" t="n"/>
      <c r="F1017" s="4" t="inlineStr">
        <is>
          <t>Báo cáo</t>
        </is>
      </c>
      <c r="G1017" s="22" t="inlineStr">
        <is>
          <t>Chỉ tiêu phái sinh</t>
        </is>
      </c>
      <c r="H1017" s="4" t="inlineStr">
        <is>
          <t>TB</t>
        </is>
      </c>
      <c r="I1017" s="55" t="n"/>
      <c r="J1017" s="55" t="n"/>
      <c r="K1017" s="55" t="n"/>
      <c r="L1017" s="55" t="n"/>
      <c r="M1017" s="55" t="n"/>
      <c r="N1017" s="55" t="n"/>
      <c r="O1017" s="55" t="n"/>
      <c r="P1017" s="55" t="n"/>
      <c r="Q1017" s="55" t="n"/>
      <c r="R1017" s="55" t="n"/>
      <c r="S1017" s="55" t="n"/>
      <c r="T1017" s="55" t="n"/>
      <c r="U1017" s="55" t="n"/>
      <c r="V1017" s="55" t="n"/>
      <c r="W1017" s="55" t="n"/>
      <c r="X1017" s="55" t="n"/>
      <c r="Y1017" s="55" t="n"/>
      <c r="Z1017" s="55" t="n"/>
      <c r="AA1017" s="55" t="n"/>
      <c r="AB1017" s="55" t="n"/>
      <c r="AC1017" s="55" t="n"/>
      <c r="AD1017" s="55" t="n"/>
      <c r="AE1017" s="55" t="n"/>
    </row>
    <row r="1018" ht="16.5" customHeight="1" s="380">
      <c r="A1018" s="55" t="n"/>
      <c r="B1018" s="4" t="inlineStr">
        <is>
          <t>HNX04 (LK)</t>
        </is>
      </c>
      <c r="C1018" s="216" t="n"/>
      <c r="D1018" s="216" t="inlineStr">
        <is>
          <t>Cổ phiếu đăng ký giao dịch</t>
        </is>
      </c>
      <c r="E1018" s="55" t="n"/>
      <c r="F1018" s="4" t="inlineStr">
        <is>
          <t>Báo cáo</t>
        </is>
      </c>
      <c r="G1018" s="22" t="inlineStr">
        <is>
          <t>Chỉ tiêu phái sinh</t>
        </is>
      </c>
      <c r="H1018" s="4" t="inlineStr">
        <is>
          <t>TB</t>
        </is>
      </c>
      <c r="I1018" s="55" t="n"/>
      <c r="J1018" s="55" t="n"/>
      <c r="K1018" s="55" t="n"/>
      <c r="L1018" s="55" t="n"/>
      <c r="M1018" s="55" t="n"/>
      <c r="N1018" s="55" t="n"/>
      <c r="O1018" s="55" t="n"/>
      <c r="P1018" s="55" t="n"/>
      <c r="Q1018" s="55" t="n"/>
      <c r="R1018" s="55" t="n"/>
      <c r="S1018" s="55" t="n"/>
      <c r="T1018" s="55" t="n"/>
      <c r="U1018" s="55" t="n"/>
      <c r="V1018" s="55" t="n"/>
      <c r="W1018" s="55" t="n"/>
      <c r="X1018" s="55" t="n"/>
      <c r="Y1018" s="55" t="n"/>
      <c r="Z1018" s="55" t="n"/>
      <c r="AA1018" s="55" t="n"/>
      <c r="AB1018" s="55" t="n"/>
      <c r="AC1018" s="55" t="n"/>
      <c r="AD1018" s="55" t="n"/>
      <c r="AE1018" s="55" t="n"/>
    </row>
    <row r="1019" ht="16.5" customHeight="1" s="380">
      <c r="A1019" s="55" t="n"/>
      <c r="B1019" s="4" t="inlineStr">
        <is>
          <t>HNX04 (LK)</t>
        </is>
      </c>
      <c r="C1019" s="216" t="n"/>
      <c r="D1019" s="216" t="inlineStr">
        <is>
          <t>Trái phiếu chính phủ</t>
        </is>
      </c>
      <c r="E1019" s="55" t="n"/>
      <c r="F1019" s="4" t="inlineStr">
        <is>
          <t>Báo cáo</t>
        </is>
      </c>
      <c r="G1019" s="22" t="inlineStr">
        <is>
          <t>Chỉ tiêu phái sinh</t>
        </is>
      </c>
      <c r="H1019" s="4" t="inlineStr">
        <is>
          <t>TB</t>
        </is>
      </c>
      <c r="I1019" s="55" t="n"/>
      <c r="J1019" s="55" t="n"/>
      <c r="K1019" s="55" t="n"/>
      <c r="L1019" s="55" t="n"/>
      <c r="M1019" s="55" t="n"/>
      <c r="N1019" s="55" t="n"/>
      <c r="O1019" s="55" t="n"/>
      <c r="P1019" s="55" t="n"/>
      <c r="Q1019" s="55" t="n"/>
      <c r="R1019" s="55" t="n"/>
      <c r="S1019" s="55" t="n"/>
      <c r="T1019" s="55" t="n"/>
      <c r="U1019" s="55" t="n"/>
      <c r="V1019" s="55" t="n"/>
      <c r="W1019" s="55" t="n"/>
      <c r="X1019" s="55" t="n"/>
      <c r="Y1019" s="55" t="n"/>
      <c r="Z1019" s="55" t="n"/>
      <c r="AA1019" s="55" t="n"/>
      <c r="AB1019" s="55" t="n"/>
      <c r="AC1019" s="55" t="n"/>
      <c r="AD1019" s="55" t="n"/>
      <c r="AE1019" s="55" t="n"/>
    </row>
    <row r="1020" ht="16.5" customHeight="1" s="380">
      <c r="A1020" s="55" t="n"/>
      <c r="B1020" s="4" t="inlineStr">
        <is>
          <t>HNX04 (LK)</t>
        </is>
      </c>
      <c r="C1020" s="216" t="n"/>
      <c r="D1020" s="216" t="inlineStr">
        <is>
          <t>Trái phiếu chính quyền địa phương</t>
        </is>
      </c>
      <c r="E1020" s="55" t="n"/>
      <c r="F1020" s="4" t="inlineStr">
        <is>
          <t>Báo cáo</t>
        </is>
      </c>
      <c r="G1020" s="22" t="inlineStr">
        <is>
          <t>Chỉ tiêu phái sinh</t>
        </is>
      </c>
      <c r="H1020" s="4" t="inlineStr">
        <is>
          <t>TB</t>
        </is>
      </c>
      <c r="I1020" s="55" t="n"/>
      <c r="J1020" s="55" t="n"/>
      <c r="K1020" s="55" t="n"/>
      <c r="L1020" s="55" t="n"/>
      <c r="M1020" s="55" t="n"/>
      <c r="N1020" s="55" t="n"/>
      <c r="O1020" s="55" t="n"/>
      <c r="P1020" s="55" t="n"/>
      <c r="Q1020" s="55" t="n"/>
      <c r="R1020" s="55" t="n"/>
      <c r="S1020" s="55" t="n"/>
      <c r="T1020" s="55" t="n"/>
      <c r="U1020" s="55" t="n"/>
      <c r="V1020" s="55" t="n"/>
      <c r="W1020" s="55" t="n"/>
      <c r="X1020" s="55" t="n"/>
      <c r="Y1020" s="55" t="n"/>
      <c r="Z1020" s="55" t="n"/>
      <c r="AA1020" s="55" t="n"/>
      <c r="AB1020" s="55" t="n"/>
      <c r="AC1020" s="55" t="n"/>
      <c r="AD1020" s="55" t="n"/>
      <c r="AE1020" s="55" t="n"/>
    </row>
    <row r="1021" ht="16.5" customHeight="1" s="380">
      <c r="A1021" s="55" t="n"/>
      <c r="B1021" s="4" t="inlineStr">
        <is>
          <t>HNX04 (LK)</t>
        </is>
      </c>
      <c r="C1021" s="216" t="n"/>
      <c r="D1021" s="216" t="inlineStr">
        <is>
          <t>Trái phiếu chính phủ bảo lãnh</t>
        </is>
      </c>
      <c r="E1021" s="55" t="n"/>
      <c r="F1021" s="4" t="inlineStr">
        <is>
          <t>Báo cáo</t>
        </is>
      </c>
      <c r="G1021" s="22" t="inlineStr">
        <is>
          <t>Chỉ tiêu phái sinh</t>
        </is>
      </c>
      <c r="H1021" s="4" t="inlineStr">
        <is>
          <t>TB</t>
        </is>
      </c>
      <c r="I1021" s="55" t="n"/>
      <c r="J1021" s="55" t="n"/>
      <c r="K1021" s="55" t="n"/>
      <c r="L1021" s="55" t="n"/>
      <c r="M1021" s="55" t="n"/>
      <c r="N1021" s="55" t="n"/>
      <c r="O1021" s="55" t="n"/>
      <c r="P1021" s="55" t="n"/>
      <c r="Q1021" s="55" t="n"/>
      <c r="R1021" s="55" t="n"/>
      <c r="S1021" s="55" t="n"/>
      <c r="T1021" s="55" t="n"/>
      <c r="U1021" s="55" t="n"/>
      <c r="V1021" s="55" t="n"/>
      <c r="W1021" s="55" t="n"/>
      <c r="X1021" s="55" t="n"/>
      <c r="Y1021" s="55" t="n"/>
      <c r="Z1021" s="55" t="n"/>
      <c r="AA1021" s="55" t="n"/>
      <c r="AB1021" s="55" t="n"/>
      <c r="AC1021" s="55" t="n"/>
      <c r="AD1021" s="55" t="n"/>
      <c r="AE1021" s="55" t="n"/>
    </row>
    <row r="1022" ht="16.5" customHeight="1" s="380">
      <c r="A1022" s="55" t="n"/>
      <c r="B1022" s="4" t="inlineStr">
        <is>
          <t>HNX04 (LK)</t>
        </is>
      </c>
      <c r="C1022" s="216" t="n"/>
      <c r="D1022" s="216" t="inlineStr">
        <is>
          <t>Trái phiếu doanh nghiệp</t>
        </is>
      </c>
      <c r="E1022" s="55" t="n"/>
      <c r="F1022" s="4" t="inlineStr">
        <is>
          <t>Báo cáo</t>
        </is>
      </c>
      <c r="G1022" s="22" t="inlineStr">
        <is>
          <t>Chỉ tiêu phái sinh</t>
        </is>
      </c>
      <c r="H1022" s="4" t="inlineStr">
        <is>
          <t>TB</t>
        </is>
      </c>
      <c r="I1022" s="55" t="n"/>
      <c r="J1022" s="55" t="n"/>
      <c r="K1022" s="55" t="n"/>
      <c r="L1022" s="55" t="n"/>
      <c r="M1022" s="55" t="n"/>
      <c r="N1022" s="55" t="n"/>
      <c r="O1022" s="55" t="n"/>
      <c r="P1022" s="55" t="n"/>
      <c r="Q1022" s="55" t="n"/>
      <c r="R1022" s="55" t="n"/>
      <c r="S1022" s="55" t="n"/>
      <c r="T1022" s="55" t="n"/>
      <c r="U1022" s="55" t="n"/>
      <c r="V1022" s="55" t="n"/>
      <c r="W1022" s="55" t="n"/>
      <c r="X1022" s="55" t="n"/>
      <c r="Y1022" s="55" t="n"/>
      <c r="Z1022" s="55" t="n"/>
      <c r="AA1022" s="55" t="n"/>
      <c r="AB1022" s="55" t="n"/>
      <c r="AC1022" s="55" t="n"/>
      <c r="AD1022" s="55" t="n"/>
      <c r="AE1022" s="55" t="n"/>
    </row>
    <row r="1023" ht="16.5" customHeight="1" s="380">
      <c r="A1023" s="55" t="n"/>
      <c r="B1023" s="4" t="inlineStr">
        <is>
          <t>HNX04 (LK)</t>
        </is>
      </c>
      <c r="C1023" s="216" t="n"/>
      <c r="D1023" s="216" t="inlineStr">
        <is>
          <t>Tín phiếu kho bạc</t>
        </is>
      </c>
      <c r="E1023" s="55" t="n"/>
      <c r="F1023" s="4" t="inlineStr">
        <is>
          <t>Báo cáo</t>
        </is>
      </c>
      <c r="G1023" s="22" t="inlineStr">
        <is>
          <t>Chỉ tiêu phái sinh</t>
        </is>
      </c>
      <c r="H1023" s="4" t="inlineStr">
        <is>
          <t>TB</t>
        </is>
      </c>
      <c r="I1023" s="55" t="n"/>
      <c r="J1023" s="55" t="n"/>
      <c r="K1023" s="55" t="n"/>
      <c r="L1023" s="55" t="n"/>
      <c r="M1023" s="55" t="n"/>
      <c r="N1023" s="55" t="n"/>
      <c r="O1023" s="55" t="n"/>
      <c r="P1023" s="55" t="n"/>
      <c r="Q1023" s="55" t="n"/>
      <c r="R1023" s="55" t="n"/>
      <c r="S1023" s="55" t="n"/>
      <c r="T1023" s="55" t="n"/>
      <c r="U1023" s="55" t="n"/>
      <c r="V1023" s="55" t="n"/>
      <c r="W1023" s="55" t="n"/>
      <c r="X1023" s="55" t="n"/>
      <c r="Y1023" s="55" t="n"/>
      <c r="Z1023" s="55" t="n"/>
      <c r="AA1023" s="55" t="n"/>
      <c r="AB1023" s="55" t="n"/>
      <c r="AC1023" s="55" t="n"/>
      <c r="AD1023" s="55" t="n"/>
      <c r="AE1023" s="55" t="n"/>
    </row>
    <row r="1024" ht="16.5" customHeight="1" s="380">
      <c r="A1024" s="55" t="n"/>
      <c r="B1024" s="4" t="inlineStr">
        <is>
          <t>HNX04 (LK)</t>
        </is>
      </c>
      <c r="C1024" s="216" t="n"/>
      <c r="D1024" s="216" t="inlineStr">
        <is>
          <t>Chứng chỉ quỹ (ETF)</t>
        </is>
      </c>
      <c r="E1024" s="55" t="n"/>
      <c r="F1024" s="4" t="inlineStr">
        <is>
          <t>Báo cáo</t>
        </is>
      </c>
      <c r="G1024" s="22" t="inlineStr">
        <is>
          <t>Chỉ tiêu phái sinh</t>
        </is>
      </c>
      <c r="H1024" s="4" t="inlineStr">
        <is>
          <t>TB</t>
        </is>
      </c>
      <c r="I1024" s="55" t="n"/>
      <c r="J1024" s="55" t="n"/>
      <c r="K1024" s="55" t="n"/>
      <c r="L1024" s="55" t="n"/>
      <c r="M1024" s="55" t="n"/>
      <c r="N1024" s="55" t="n"/>
      <c r="O1024" s="55" t="n"/>
      <c r="P1024" s="55" t="n"/>
      <c r="Q1024" s="55" t="n"/>
      <c r="R1024" s="55" t="n"/>
      <c r="S1024" s="55" t="n"/>
      <c r="T1024" s="55" t="n"/>
      <c r="U1024" s="55" t="n"/>
      <c r="V1024" s="55" t="n"/>
      <c r="W1024" s="55" t="n"/>
      <c r="X1024" s="55" t="n"/>
      <c r="Y1024" s="55" t="n"/>
      <c r="Z1024" s="55" t="n"/>
      <c r="AA1024" s="55" t="n"/>
      <c r="AB1024" s="55" t="n"/>
      <c r="AC1024" s="55" t="n"/>
      <c r="AD1024" s="55" t="n"/>
      <c r="AE1024" s="55" t="n"/>
    </row>
    <row r="1025" ht="16.5" customHeight="1" s="380">
      <c r="A1025" s="55" t="n"/>
      <c r="B1025" s="4" t="inlineStr">
        <is>
          <t>HNX04 (LK)</t>
        </is>
      </c>
      <c r="C1025" s="216" t="n"/>
      <c r="D1025" s="216" t="inlineStr">
        <is>
          <t>Chứng khoán niêm yết mới (mã chứng khoán)</t>
        </is>
      </c>
      <c r="E1025" s="55" t="n"/>
      <c r="F1025" s="4" t="inlineStr">
        <is>
          <t>Báo cáo</t>
        </is>
      </c>
      <c r="G1025" s="22" t="inlineStr">
        <is>
          <t>Chỉ tiêu phái sinh</t>
        </is>
      </c>
      <c r="H1025" s="4" t="inlineStr">
        <is>
          <t>TB</t>
        </is>
      </c>
      <c r="I1025" s="55" t="n"/>
      <c r="J1025" s="55" t="n"/>
      <c r="K1025" s="55" t="n"/>
      <c r="L1025" s="55" t="n"/>
      <c r="M1025" s="55" t="n"/>
      <c r="N1025" s="55" t="n"/>
      <c r="O1025" s="55" t="n"/>
      <c r="P1025" s="55" t="n"/>
      <c r="Q1025" s="55" t="n"/>
      <c r="R1025" s="55" t="n"/>
      <c r="S1025" s="55" t="n"/>
      <c r="T1025" s="55" t="n"/>
      <c r="U1025" s="55" t="n"/>
      <c r="V1025" s="55" t="n"/>
      <c r="W1025" s="55" t="n"/>
      <c r="X1025" s="55" t="n"/>
      <c r="Y1025" s="55" t="n"/>
      <c r="Z1025" s="55" t="n"/>
      <c r="AA1025" s="55" t="n"/>
      <c r="AB1025" s="55" t="n"/>
      <c r="AC1025" s="55" t="n"/>
      <c r="AD1025" s="55" t="n"/>
      <c r="AE1025" s="55" t="n"/>
    </row>
    <row r="1026" ht="16.5" customHeight="1" s="380">
      <c r="A1026" s="55" t="n"/>
      <c r="B1026" s="4" t="inlineStr">
        <is>
          <t>HNX04 (LK)</t>
        </is>
      </c>
      <c r="C1026" s="216" t="n"/>
      <c r="D1026" s="216" t="inlineStr">
        <is>
          <t>Cổ phiếu niêm yết</t>
        </is>
      </c>
      <c r="E1026" s="55" t="n"/>
      <c r="F1026" s="4" t="inlineStr">
        <is>
          <t>Báo cáo</t>
        </is>
      </c>
      <c r="G1026" s="22" t="inlineStr">
        <is>
          <t>Chỉ tiêu phái sinh</t>
        </is>
      </c>
      <c r="H1026" s="4" t="inlineStr">
        <is>
          <t>TB</t>
        </is>
      </c>
      <c r="I1026" s="55" t="n"/>
      <c r="J1026" s="55" t="n"/>
      <c r="K1026" s="55" t="n"/>
      <c r="L1026" s="55" t="n"/>
      <c r="M1026" s="55" t="n"/>
      <c r="N1026" s="55" t="n"/>
      <c r="O1026" s="55" t="n"/>
      <c r="P1026" s="55" t="n"/>
      <c r="Q1026" s="55" t="n"/>
      <c r="R1026" s="55" t="n"/>
      <c r="S1026" s="55" t="n"/>
      <c r="T1026" s="55" t="n"/>
      <c r="U1026" s="55" t="n"/>
      <c r="V1026" s="55" t="n"/>
      <c r="W1026" s="55" t="n"/>
      <c r="X1026" s="55" t="n"/>
      <c r="Y1026" s="55" t="n"/>
      <c r="Z1026" s="55" t="n"/>
      <c r="AA1026" s="55" t="n"/>
      <c r="AB1026" s="55" t="n"/>
      <c r="AC1026" s="55" t="n"/>
      <c r="AD1026" s="55" t="n"/>
      <c r="AE1026" s="55" t="n"/>
    </row>
    <row r="1027" ht="16.5" customHeight="1" s="380">
      <c r="A1027" s="55" t="n"/>
      <c r="B1027" s="4" t="inlineStr">
        <is>
          <t>HNX04 (LK)</t>
        </is>
      </c>
      <c r="C1027" s="216" t="n"/>
      <c r="D1027" s="216" t="inlineStr">
        <is>
          <t>Cổ phiếu đăng ký giao dịch</t>
        </is>
      </c>
      <c r="E1027" s="55" t="n"/>
      <c r="F1027" s="4" t="inlineStr">
        <is>
          <t>Báo cáo</t>
        </is>
      </c>
      <c r="G1027" s="22" t="inlineStr">
        <is>
          <t>Chỉ tiêu phái sinh</t>
        </is>
      </c>
      <c r="H1027" s="4" t="inlineStr">
        <is>
          <t>TB</t>
        </is>
      </c>
      <c r="I1027" s="55" t="n"/>
      <c r="J1027" s="55" t="n"/>
      <c r="K1027" s="55" t="n"/>
      <c r="L1027" s="55" t="n"/>
      <c r="M1027" s="55" t="n"/>
      <c r="N1027" s="55" t="n"/>
      <c r="O1027" s="55" t="n"/>
      <c r="P1027" s="55" t="n"/>
      <c r="Q1027" s="55" t="n"/>
      <c r="R1027" s="55" t="n"/>
      <c r="S1027" s="55" t="n"/>
      <c r="T1027" s="55" t="n"/>
      <c r="U1027" s="55" t="n"/>
      <c r="V1027" s="55" t="n"/>
      <c r="W1027" s="55" t="n"/>
      <c r="X1027" s="55" t="n"/>
      <c r="Y1027" s="55" t="n"/>
      <c r="Z1027" s="55" t="n"/>
      <c r="AA1027" s="55" t="n"/>
      <c r="AB1027" s="55" t="n"/>
      <c r="AC1027" s="55" t="n"/>
      <c r="AD1027" s="55" t="n"/>
      <c r="AE1027" s="55" t="n"/>
    </row>
    <row r="1028" ht="16.5" customHeight="1" s="380">
      <c r="A1028" s="55" t="n"/>
      <c r="B1028" s="4" t="inlineStr">
        <is>
          <t>HNX04 (LK)</t>
        </is>
      </c>
      <c r="C1028" s="216" t="n"/>
      <c r="D1028" s="216" t="inlineStr">
        <is>
          <t>Trái phiếu chính phủ</t>
        </is>
      </c>
      <c r="E1028" s="55" t="n"/>
      <c r="F1028" s="4" t="inlineStr">
        <is>
          <t>Báo cáo</t>
        </is>
      </c>
      <c r="G1028" s="22" t="inlineStr">
        <is>
          <t>Chỉ tiêu phái sinh</t>
        </is>
      </c>
      <c r="H1028" s="4" t="inlineStr">
        <is>
          <t>TB</t>
        </is>
      </c>
      <c r="I1028" s="55" t="n"/>
      <c r="J1028" s="55" t="n"/>
      <c r="K1028" s="55" t="n"/>
      <c r="L1028" s="55" t="n"/>
      <c r="M1028" s="55" t="n"/>
      <c r="N1028" s="55" t="n"/>
      <c r="O1028" s="55" t="n"/>
      <c r="P1028" s="55" t="n"/>
      <c r="Q1028" s="55" t="n"/>
      <c r="R1028" s="55" t="n"/>
      <c r="S1028" s="55" t="n"/>
      <c r="T1028" s="55" t="n"/>
      <c r="U1028" s="55" t="n"/>
      <c r="V1028" s="55" t="n"/>
      <c r="W1028" s="55" t="n"/>
      <c r="X1028" s="55" t="n"/>
      <c r="Y1028" s="55" t="n"/>
      <c r="Z1028" s="55" t="n"/>
      <c r="AA1028" s="55" t="n"/>
      <c r="AB1028" s="55" t="n"/>
      <c r="AC1028" s="55" t="n"/>
      <c r="AD1028" s="55" t="n"/>
      <c r="AE1028" s="55" t="n"/>
    </row>
    <row r="1029" ht="16.5" customHeight="1" s="380">
      <c r="A1029" s="55" t="n"/>
      <c r="B1029" s="4" t="inlineStr">
        <is>
          <t>HNX04 (LK)</t>
        </is>
      </c>
      <c r="C1029" s="216" t="n"/>
      <c r="D1029" s="216" t="inlineStr">
        <is>
          <t>Trái phiếu chính quyền địa phương</t>
        </is>
      </c>
      <c r="E1029" s="55" t="n"/>
      <c r="F1029" s="4" t="inlineStr">
        <is>
          <t>Báo cáo</t>
        </is>
      </c>
      <c r="G1029" s="22" t="inlineStr">
        <is>
          <t>Chỉ tiêu phái sinh</t>
        </is>
      </c>
      <c r="H1029" s="4" t="inlineStr">
        <is>
          <t>TB</t>
        </is>
      </c>
      <c r="I1029" s="55" t="n"/>
      <c r="J1029" s="55" t="n"/>
      <c r="K1029" s="55" t="n"/>
      <c r="L1029" s="55" t="n"/>
      <c r="M1029" s="55" t="n"/>
      <c r="N1029" s="55" t="n"/>
      <c r="O1029" s="55" t="n"/>
      <c r="P1029" s="55" t="n"/>
      <c r="Q1029" s="55" t="n"/>
      <c r="R1029" s="55" t="n"/>
      <c r="S1029" s="55" t="n"/>
      <c r="T1029" s="55" t="n"/>
      <c r="U1029" s="55" t="n"/>
      <c r="V1029" s="55" t="n"/>
      <c r="W1029" s="55" t="n"/>
      <c r="X1029" s="55" t="n"/>
      <c r="Y1029" s="55" t="n"/>
      <c r="Z1029" s="55" t="n"/>
      <c r="AA1029" s="55" t="n"/>
      <c r="AB1029" s="55" t="n"/>
      <c r="AC1029" s="55" t="n"/>
      <c r="AD1029" s="55" t="n"/>
      <c r="AE1029" s="55" t="n"/>
    </row>
    <row r="1030" ht="16.5" customHeight="1" s="380">
      <c r="A1030" s="55" t="n"/>
      <c r="B1030" s="4" t="inlineStr">
        <is>
          <t>HNX04 (LK)</t>
        </is>
      </c>
      <c r="C1030" s="216" t="n"/>
      <c r="D1030" s="216" t="inlineStr">
        <is>
          <t>Trái phiếu chính phủ bảo lãnh</t>
        </is>
      </c>
      <c r="E1030" s="55" t="n"/>
      <c r="F1030" s="4" t="inlineStr">
        <is>
          <t>Báo cáo</t>
        </is>
      </c>
      <c r="G1030" s="22" t="inlineStr">
        <is>
          <t>Chỉ tiêu phái sinh</t>
        </is>
      </c>
      <c r="H1030" s="4" t="inlineStr">
        <is>
          <t>TB</t>
        </is>
      </c>
      <c r="I1030" s="55" t="n"/>
      <c r="J1030" s="55" t="n"/>
      <c r="K1030" s="55" t="n"/>
      <c r="L1030" s="55" t="n"/>
      <c r="M1030" s="55" t="n"/>
      <c r="N1030" s="55" t="n"/>
      <c r="O1030" s="55" t="n"/>
      <c r="P1030" s="55" t="n"/>
      <c r="Q1030" s="55" t="n"/>
      <c r="R1030" s="55" t="n"/>
      <c r="S1030" s="55" t="n"/>
      <c r="T1030" s="55" t="n"/>
      <c r="U1030" s="55" t="n"/>
      <c r="V1030" s="55" t="n"/>
      <c r="W1030" s="55" t="n"/>
      <c r="X1030" s="55" t="n"/>
      <c r="Y1030" s="55" t="n"/>
      <c r="Z1030" s="55" t="n"/>
      <c r="AA1030" s="55" t="n"/>
      <c r="AB1030" s="55" t="n"/>
      <c r="AC1030" s="55" t="n"/>
      <c r="AD1030" s="55" t="n"/>
      <c r="AE1030" s="55" t="n"/>
    </row>
    <row r="1031" ht="16.5" customHeight="1" s="380">
      <c r="A1031" s="55" t="n"/>
      <c r="B1031" s="4" t="inlineStr">
        <is>
          <t>HNX04 (LK)</t>
        </is>
      </c>
      <c r="C1031" s="216" t="n"/>
      <c r="D1031" s="216" t="inlineStr">
        <is>
          <t>Trái phiếu doanh nghiệp</t>
        </is>
      </c>
      <c r="E1031" s="55" t="n"/>
      <c r="F1031" s="4" t="inlineStr">
        <is>
          <t>Báo cáo</t>
        </is>
      </c>
      <c r="G1031" s="22" t="inlineStr">
        <is>
          <t>Chỉ tiêu phái sinh</t>
        </is>
      </c>
      <c r="H1031" s="4" t="inlineStr">
        <is>
          <t>TB</t>
        </is>
      </c>
      <c r="I1031" s="55" t="n"/>
      <c r="J1031" s="55" t="n"/>
      <c r="K1031" s="55" t="n"/>
      <c r="L1031" s="55" t="n"/>
      <c r="M1031" s="55" t="n"/>
      <c r="N1031" s="55" t="n"/>
      <c r="O1031" s="55" t="n"/>
      <c r="P1031" s="55" t="n"/>
      <c r="Q1031" s="55" t="n"/>
      <c r="R1031" s="55" t="n"/>
      <c r="S1031" s="55" t="n"/>
      <c r="T1031" s="55" t="n"/>
      <c r="U1031" s="55" t="n"/>
      <c r="V1031" s="55" t="n"/>
      <c r="W1031" s="55" t="n"/>
      <c r="X1031" s="55" t="n"/>
      <c r="Y1031" s="55" t="n"/>
      <c r="Z1031" s="55" t="n"/>
      <c r="AA1031" s="55" t="n"/>
      <c r="AB1031" s="55" t="n"/>
      <c r="AC1031" s="55" t="n"/>
      <c r="AD1031" s="55" t="n"/>
      <c r="AE1031" s="55" t="n"/>
    </row>
    <row r="1032" ht="16.5" customHeight="1" s="380">
      <c r="A1032" s="55" t="n"/>
      <c r="B1032" s="4" t="inlineStr">
        <is>
          <t>HNX04 (LK)</t>
        </is>
      </c>
      <c r="C1032" s="216" t="n"/>
      <c r="D1032" s="216" t="inlineStr">
        <is>
          <t>Tín phiếu kho bạc</t>
        </is>
      </c>
      <c r="E1032" s="55" t="n"/>
      <c r="F1032" s="4" t="inlineStr">
        <is>
          <t>Báo cáo</t>
        </is>
      </c>
      <c r="G1032" s="22" t="inlineStr">
        <is>
          <t>Chỉ tiêu phái sinh</t>
        </is>
      </c>
      <c r="H1032" s="4" t="inlineStr">
        <is>
          <t>TB</t>
        </is>
      </c>
      <c r="I1032" s="55" t="n"/>
      <c r="J1032" s="55" t="n"/>
      <c r="K1032" s="55" t="n"/>
      <c r="L1032" s="55" t="n"/>
      <c r="M1032" s="55" t="n"/>
      <c r="N1032" s="55" t="n"/>
      <c r="O1032" s="55" t="n"/>
      <c r="P1032" s="55" t="n"/>
      <c r="Q1032" s="55" t="n"/>
      <c r="R1032" s="55" t="n"/>
      <c r="S1032" s="55" t="n"/>
      <c r="T1032" s="55" t="n"/>
      <c r="U1032" s="55" t="n"/>
      <c r="V1032" s="55" t="n"/>
      <c r="W1032" s="55" t="n"/>
      <c r="X1032" s="55" t="n"/>
      <c r="Y1032" s="55" t="n"/>
      <c r="Z1032" s="55" t="n"/>
      <c r="AA1032" s="55" t="n"/>
      <c r="AB1032" s="55" t="n"/>
      <c r="AC1032" s="55" t="n"/>
      <c r="AD1032" s="55" t="n"/>
      <c r="AE1032" s="55" t="n"/>
    </row>
    <row r="1033" ht="16.5" customHeight="1" s="380">
      <c r="A1033" s="55" t="n"/>
      <c r="B1033" s="4" t="inlineStr">
        <is>
          <t>HNX04 (LK)</t>
        </is>
      </c>
      <c r="C1033" s="216" t="n"/>
      <c r="D1033" s="216" t="inlineStr">
        <is>
          <t>Chứng chỉ quỹ (ETF)</t>
        </is>
      </c>
      <c r="E1033" s="55" t="n"/>
      <c r="F1033" s="4" t="inlineStr">
        <is>
          <t>Báo cáo</t>
        </is>
      </c>
      <c r="G1033" s="22" t="inlineStr">
        <is>
          <t>Chỉ tiêu phái sinh</t>
        </is>
      </c>
      <c r="H1033" s="4" t="inlineStr">
        <is>
          <t>TB</t>
        </is>
      </c>
      <c r="I1033" s="55" t="n"/>
      <c r="J1033" s="55" t="n"/>
      <c r="K1033" s="55" t="n"/>
      <c r="L1033" s="55" t="n"/>
      <c r="M1033" s="55" t="n"/>
      <c r="N1033" s="55" t="n"/>
      <c r="O1033" s="55" t="n"/>
      <c r="P1033" s="55" t="n"/>
      <c r="Q1033" s="55" t="n"/>
      <c r="R1033" s="55" t="n"/>
      <c r="S1033" s="55" t="n"/>
      <c r="T1033" s="55" t="n"/>
      <c r="U1033" s="55" t="n"/>
      <c r="V1033" s="55" t="n"/>
      <c r="W1033" s="55" t="n"/>
      <c r="X1033" s="55" t="n"/>
      <c r="Y1033" s="55" t="n"/>
      <c r="Z1033" s="55" t="n"/>
      <c r="AA1033" s="55" t="n"/>
      <c r="AB1033" s="55" t="n"/>
      <c r="AC1033" s="55" t="n"/>
      <c r="AD1033" s="55" t="n"/>
      <c r="AE1033" s="55" t="n"/>
    </row>
    <row r="1034" ht="16.5" customHeight="1" s="380">
      <c r="A1034" s="55" t="n"/>
      <c r="B1034" s="4" t="inlineStr">
        <is>
          <t>HNX04 (LK)</t>
        </is>
      </c>
      <c r="C1034" s="216" t="n"/>
      <c r="D1034" s="216" t="inlineStr">
        <is>
          <t>Chứng khoán hủy niêm yết (mã chứng khoán)</t>
        </is>
      </c>
      <c r="E1034" s="55" t="n"/>
      <c r="F1034" s="4" t="inlineStr">
        <is>
          <t>Báo cáo</t>
        </is>
      </c>
      <c r="G1034" s="22" t="inlineStr">
        <is>
          <t>Chỉ tiêu phái sinh</t>
        </is>
      </c>
      <c r="H1034" s="4" t="inlineStr">
        <is>
          <t>TB</t>
        </is>
      </c>
      <c r="I1034" s="55" t="n"/>
      <c r="J1034" s="55" t="n"/>
      <c r="K1034" s="55" t="n"/>
      <c r="L1034" s="55" t="n"/>
      <c r="M1034" s="55" t="n"/>
      <c r="N1034" s="55" t="n"/>
      <c r="O1034" s="55" t="n"/>
      <c r="P1034" s="55" t="n"/>
      <c r="Q1034" s="55" t="n"/>
      <c r="R1034" s="55" t="n"/>
      <c r="S1034" s="55" t="n"/>
      <c r="T1034" s="55" t="n"/>
      <c r="U1034" s="55" t="n"/>
      <c r="V1034" s="55" t="n"/>
      <c r="W1034" s="55" t="n"/>
      <c r="X1034" s="55" t="n"/>
      <c r="Y1034" s="55" t="n"/>
      <c r="Z1034" s="55" t="n"/>
      <c r="AA1034" s="55" t="n"/>
      <c r="AB1034" s="55" t="n"/>
      <c r="AC1034" s="55" t="n"/>
      <c r="AD1034" s="55" t="n"/>
      <c r="AE1034" s="55" t="n"/>
    </row>
    <row r="1035" ht="16.5" customHeight="1" s="380">
      <c r="A1035" s="55" t="n"/>
      <c r="B1035" s="4" t="inlineStr">
        <is>
          <t>HNX04 (LK)</t>
        </is>
      </c>
      <c r="C1035" s="216" t="n"/>
      <c r="D1035" s="216" t="inlineStr">
        <is>
          <t>Cổ phiếu niêm yết</t>
        </is>
      </c>
      <c r="E1035" s="55" t="n"/>
      <c r="F1035" s="4" t="inlineStr">
        <is>
          <t>Báo cáo</t>
        </is>
      </c>
      <c r="G1035" s="22" t="inlineStr">
        <is>
          <t>Chỉ tiêu phái sinh</t>
        </is>
      </c>
      <c r="H1035" s="4" t="inlineStr">
        <is>
          <t>TB</t>
        </is>
      </c>
      <c r="I1035" s="55" t="n"/>
      <c r="J1035" s="55" t="n"/>
      <c r="K1035" s="55" t="n"/>
      <c r="L1035" s="55" t="n"/>
      <c r="M1035" s="55" t="n"/>
      <c r="N1035" s="55" t="n"/>
      <c r="O1035" s="55" t="n"/>
      <c r="P1035" s="55" t="n"/>
      <c r="Q1035" s="55" t="n"/>
      <c r="R1035" s="55" t="n"/>
      <c r="S1035" s="55" t="n"/>
      <c r="T1035" s="55" t="n"/>
      <c r="U1035" s="55" t="n"/>
      <c r="V1035" s="55" t="n"/>
      <c r="W1035" s="55" t="n"/>
      <c r="X1035" s="55" t="n"/>
      <c r="Y1035" s="55" t="n"/>
      <c r="Z1035" s="55" t="n"/>
      <c r="AA1035" s="55" t="n"/>
      <c r="AB1035" s="55" t="n"/>
      <c r="AC1035" s="55" t="n"/>
      <c r="AD1035" s="55" t="n"/>
      <c r="AE1035" s="55" t="n"/>
    </row>
    <row r="1036" ht="16.5" customHeight="1" s="380">
      <c r="A1036" s="55" t="n"/>
      <c r="B1036" s="4" t="inlineStr">
        <is>
          <t>HNX04 (LK)</t>
        </is>
      </c>
      <c r="C1036" s="216" t="n"/>
      <c r="D1036" s="216" t="inlineStr">
        <is>
          <t>Cổ phiếu đăng ký giao dịch</t>
        </is>
      </c>
      <c r="E1036" s="55" t="n"/>
      <c r="F1036" s="4" t="inlineStr">
        <is>
          <t>Báo cáo</t>
        </is>
      </c>
      <c r="G1036" s="22" t="inlineStr">
        <is>
          <t>Chỉ tiêu phái sinh</t>
        </is>
      </c>
      <c r="H1036" s="4" t="inlineStr">
        <is>
          <t>TB</t>
        </is>
      </c>
      <c r="I1036" s="55" t="n"/>
      <c r="J1036" s="55" t="n"/>
      <c r="K1036" s="55" t="n"/>
      <c r="L1036" s="55" t="n"/>
      <c r="M1036" s="55" t="n"/>
      <c r="N1036" s="55" t="n"/>
      <c r="O1036" s="55" t="n"/>
      <c r="P1036" s="55" t="n"/>
      <c r="Q1036" s="55" t="n"/>
      <c r="R1036" s="55" t="n"/>
      <c r="S1036" s="55" t="n"/>
      <c r="T1036" s="55" t="n"/>
      <c r="U1036" s="55" t="n"/>
      <c r="V1036" s="55" t="n"/>
      <c r="W1036" s="55" t="n"/>
      <c r="X1036" s="55" t="n"/>
      <c r="Y1036" s="55" t="n"/>
      <c r="Z1036" s="55" t="n"/>
      <c r="AA1036" s="55" t="n"/>
      <c r="AB1036" s="55" t="n"/>
      <c r="AC1036" s="55" t="n"/>
      <c r="AD1036" s="55" t="n"/>
      <c r="AE1036" s="55" t="n"/>
    </row>
    <row r="1037" ht="16.5" customHeight="1" s="380">
      <c r="A1037" s="55" t="n"/>
      <c r="B1037" s="4" t="inlineStr">
        <is>
          <t>HNX04 (LK)</t>
        </is>
      </c>
      <c r="C1037" s="216" t="n"/>
      <c r="D1037" s="216" t="inlineStr">
        <is>
          <t>Trái phiếu chính phủ</t>
        </is>
      </c>
      <c r="E1037" s="55" t="n"/>
      <c r="F1037" s="4" t="inlineStr">
        <is>
          <t>Báo cáo</t>
        </is>
      </c>
      <c r="G1037" s="22" t="inlineStr">
        <is>
          <t>Chỉ tiêu phái sinh</t>
        </is>
      </c>
      <c r="H1037" s="4" t="inlineStr">
        <is>
          <t>TB</t>
        </is>
      </c>
      <c r="I1037" s="55" t="n"/>
      <c r="J1037" s="55" t="n"/>
      <c r="K1037" s="55" t="n"/>
      <c r="L1037" s="55" t="n"/>
      <c r="M1037" s="55" t="n"/>
      <c r="N1037" s="55" t="n"/>
      <c r="O1037" s="55" t="n"/>
      <c r="P1037" s="55" t="n"/>
      <c r="Q1037" s="55" t="n"/>
      <c r="R1037" s="55" t="n"/>
      <c r="S1037" s="55" t="n"/>
      <c r="T1037" s="55" t="n"/>
      <c r="U1037" s="55" t="n"/>
      <c r="V1037" s="55" t="n"/>
      <c r="W1037" s="55" t="n"/>
      <c r="X1037" s="55" t="n"/>
      <c r="Y1037" s="55" t="n"/>
      <c r="Z1037" s="55" t="n"/>
      <c r="AA1037" s="55" t="n"/>
      <c r="AB1037" s="55" t="n"/>
      <c r="AC1037" s="55" t="n"/>
      <c r="AD1037" s="55" t="n"/>
      <c r="AE1037" s="55" t="n"/>
    </row>
    <row r="1038" ht="16.5" customHeight="1" s="380">
      <c r="A1038" s="55" t="n"/>
      <c r="B1038" s="4" t="inlineStr">
        <is>
          <t>HNX04 (LK)</t>
        </is>
      </c>
      <c r="C1038" s="216" t="n"/>
      <c r="D1038" s="216" t="inlineStr">
        <is>
          <t>Trái phiếu chính quyền địa phương</t>
        </is>
      </c>
      <c r="E1038" s="55" t="n"/>
      <c r="F1038" s="4" t="inlineStr">
        <is>
          <t>Báo cáo</t>
        </is>
      </c>
      <c r="G1038" s="22" t="inlineStr">
        <is>
          <t>Chỉ tiêu phái sinh</t>
        </is>
      </c>
      <c r="H1038" s="4" t="inlineStr">
        <is>
          <t>TB</t>
        </is>
      </c>
      <c r="I1038" s="55" t="n"/>
      <c r="J1038" s="55" t="n"/>
      <c r="K1038" s="55" t="n"/>
      <c r="L1038" s="55" t="n"/>
      <c r="M1038" s="55" t="n"/>
      <c r="N1038" s="55" t="n"/>
      <c r="O1038" s="55" t="n"/>
      <c r="P1038" s="55" t="n"/>
      <c r="Q1038" s="55" t="n"/>
      <c r="R1038" s="55" t="n"/>
      <c r="S1038" s="55" t="n"/>
      <c r="T1038" s="55" t="n"/>
      <c r="U1038" s="55" t="n"/>
      <c r="V1038" s="55" t="n"/>
      <c r="W1038" s="55" t="n"/>
      <c r="X1038" s="55" t="n"/>
      <c r="Y1038" s="55" t="n"/>
      <c r="Z1038" s="55" t="n"/>
      <c r="AA1038" s="55" t="n"/>
      <c r="AB1038" s="55" t="n"/>
      <c r="AC1038" s="55" t="n"/>
      <c r="AD1038" s="55" t="n"/>
      <c r="AE1038" s="55" t="n"/>
    </row>
    <row r="1039" ht="16.5" customHeight="1" s="380">
      <c r="A1039" s="55" t="n"/>
      <c r="B1039" s="4" t="inlineStr">
        <is>
          <t>HNX04 (LK)</t>
        </is>
      </c>
      <c r="C1039" s="216" t="n"/>
      <c r="D1039" s="216" t="inlineStr">
        <is>
          <t>Trái phiếu chính phủ bảo lãnh</t>
        </is>
      </c>
      <c r="E1039" s="55" t="n"/>
      <c r="F1039" s="4" t="inlineStr">
        <is>
          <t>Báo cáo</t>
        </is>
      </c>
      <c r="G1039" s="22" t="inlineStr">
        <is>
          <t>Chỉ tiêu phái sinh</t>
        </is>
      </c>
      <c r="H1039" s="4" t="inlineStr">
        <is>
          <t>TB</t>
        </is>
      </c>
      <c r="I1039" s="55" t="n"/>
      <c r="J1039" s="55" t="n"/>
      <c r="K1039" s="55" t="n"/>
      <c r="L1039" s="55" t="n"/>
      <c r="M1039" s="55" t="n"/>
      <c r="N1039" s="55" t="n"/>
      <c r="O1039" s="55" t="n"/>
      <c r="P1039" s="55" t="n"/>
      <c r="Q1039" s="55" t="n"/>
      <c r="R1039" s="55" t="n"/>
      <c r="S1039" s="55" t="n"/>
      <c r="T1039" s="55" t="n"/>
      <c r="U1039" s="55" t="n"/>
      <c r="V1039" s="55" t="n"/>
      <c r="W1039" s="55" t="n"/>
      <c r="X1039" s="55" t="n"/>
      <c r="Y1039" s="55" t="n"/>
      <c r="Z1039" s="55" t="n"/>
      <c r="AA1039" s="55" t="n"/>
      <c r="AB1039" s="55" t="n"/>
      <c r="AC1039" s="55" t="n"/>
      <c r="AD1039" s="55" t="n"/>
      <c r="AE1039" s="55" t="n"/>
    </row>
    <row r="1040" ht="16.5" customHeight="1" s="380">
      <c r="A1040" s="55" t="n"/>
      <c r="B1040" s="4" t="inlineStr">
        <is>
          <t>HNX04 (LK)</t>
        </is>
      </c>
      <c r="C1040" s="216" t="n"/>
      <c r="D1040" s="216" t="inlineStr">
        <is>
          <t>Trái phiếu doanh nghiệp</t>
        </is>
      </c>
      <c r="E1040" s="55" t="n"/>
      <c r="F1040" s="4" t="inlineStr">
        <is>
          <t>Báo cáo</t>
        </is>
      </c>
      <c r="G1040" s="22" t="inlineStr">
        <is>
          <t>Chỉ tiêu phái sinh</t>
        </is>
      </c>
      <c r="H1040" s="4" t="inlineStr">
        <is>
          <t>TB</t>
        </is>
      </c>
      <c r="I1040" s="55" t="n"/>
      <c r="J1040" s="55" t="n"/>
      <c r="K1040" s="55" t="n"/>
      <c r="L1040" s="55" t="n"/>
      <c r="M1040" s="55" t="n"/>
      <c r="N1040" s="55" t="n"/>
      <c r="O1040" s="55" t="n"/>
      <c r="P1040" s="55" t="n"/>
      <c r="Q1040" s="55" t="n"/>
      <c r="R1040" s="55" t="n"/>
      <c r="S1040" s="55" t="n"/>
      <c r="T1040" s="55" t="n"/>
      <c r="U1040" s="55" t="n"/>
      <c r="V1040" s="55" t="n"/>
      <c r="W1040" s="55" t="n"/>
      <c r="X1040" s="55" t="n"/>
      <c r="Y1040" s="55" t="n"/>
      <c r="Z1040" s="55" t="n"/>
      <c r="AA1040" s="55" t="n"/>
      <c r="AB1040" s="55" t="n"/>
      <c r="AC1040" s="55" t="n"/>
      <c r="AD1040" s="55" t="n"/>
      <c r="AE1040" s="55" t="n"/>
    </row>
    <row r="1041" ht="16.5" customHeight="1" s="380">
      <c r="A1041" s="55" t="n"/>
      <c r="B1041" s="4" t="inlineStr">
        <is>
          <t>HNX04 (LK)</t>
        </is>
      </c>
      <c r="C1041" s="216" t="n"/>
      <c r="D1041" s="216" t="inlineStr">
        <is>
          <t>Tín phiếu kho bạc</t>
        </is>
      </c>
      <c r="E1041" s="55" t="n"/>
      <c r="F1041" s="4" t="inlineStr">
        <is>
          <t>Báo cáo</t>
        </is>
      </c>
      <c r="G1041" s="22" t="inlineStr">
        <is>
          <t>Chỉ tiêu phái sinh</t>
        </is>
      </c>
      <c r="H1041" s="4" t="inlineStr">
        <is>
          <t>TB</t>
        </is>
      </c>
      <c r="I1041" s="55" t="n"/>
      <c r="J1041" s="55" t="n"/>
      <c r="K1041" s="55" t="n"/>
      <c r="L1041" s="55" t="n"/>
      <c r="M1041" s="55" t="n"/>
      <c r="N1041" s="55" t="n"/>
      <c r="O1041" s="55" t="n"/>
      <c r="P1041" s="55" t="n"/>
      <c r="Q1041" s="55" t="n"/>
      <c r="R1041" s="55" t="n"/>
      <c r="S1041" s="55" t="n"/>
      <c r="T1041" s="55" t="n"/>
      <c r="U1041" s="55" t="n"/>
      <c r="V1041" s="55" t="n"/>
      <c r="W1041" s="55" t="n"/>
      <c r="X1041" s="55" t="n"/>
      <c r="Y1041" s="55" t="n"/>
      <c r="Z1041" s="55" t="n"/>
      <c r="AA1041" s="55" t="n"/>
      <c r="AB1041" s="55" t="n"/>
      <c r="AC1041" s="55" t="n"/>
      <c r="AD1041" s="55" t="n"/>
      <c r="AE1041" s="55" t="n"/>
    </row>
    <row r="1042" ht="16.5" customHeight="1" s="380">
      <c r="A1042" s="55" t="n"/>
      <c r="B1042" s="4" t="inlineStr">
        <is>
          <t>HNX04 (LK)</t>
        </is>
      </c>
      <c r="C1042" s="216" t="n"/>
      <c r="D1042" s="216" t="inlineStr">
        <is>
          <t>Chứng chỉ quỹ (ETF)</t>
        </is>
      </c>
      <c r="E1042" s="55" t="n"/>
      <c r="F1042" s="4" t="inlineStr">
        <is>
          <t>Báo cáo</t>
        </is>
      </c>
      <c r="G1042" s="22" t="inlineStr">
        <is>
          <t>Chỉ tiêu phái sinh</t>
        </is>
      </c>
      <c r="H1042" s="4" t="inlineStr">
        <is>
          <t>TB</t>
        </is>
      </c>
      <c r="I1042" s="55" t="n"/>
      <c r="J1042" s="55" t="n"/>
      <c r="K1042" s="55" t="n"/>
      <c r="L1042" s="55" t="n"/>
      <c r="M1042" s="55" t="n"/>
      <c r="N1042" s="55" t="n"/>
      <c r="O1042" s="55" t="n"/>
      <c r="P1042" s="55" t="n"/>
      <c r="Q1042" s="55" t="n"/>
      <c r="R1042" s="55" t="n"/>
      <c r="S1042" s="55" t="n"/>
      <c r="T1042" s="55" t="n"/>
      <c r="U1042" s="55" t="n"/>
      <c r="V1042" s="55" t="n"/>
      <c r="W1042" s="55" t="n"/>
      <c r="X1042" s="55" t="n"/>
      <c r="Y1042" s="55" t="n"/>
      <c r="Z1042" s="55" t="n"/>
      <c r="AA1042" s="55" t="n"/>
      <c r="AB1042" s="55" t="n"/>
      <c r="AC1042" s="55" t="n"/>
      <c r="AD1042" s="55" t="n"/>
      <c r="AE1042" s="55" t="n"/>
    </row>
    <row r="1043" ht="16.5" customHeight="1" s="380">
      <c r="A1043" s="55" t="n"/>
      <c r="B1043" s="4" t="inlineStr">
        <is>
          <t>HNX04 (LK)</t>
        </is>
      </c>
      <c r="C1043" s="216" t="n"/>
      <c r="D1043" s="216" t="inlineStr">
        <is>
          <t>Chứng khoán niêm yết đến thời điểm hiện tại (mã chứng khoán)</t>
        </is>
      </c>
      <c r="E1043" s="55" t="n"/>
      <c r="F1043" s="4" t="inlineStr">
        <is>
          <t>Báo cáo</t>
        </is>
      </c>
      <c r="G1043" s="22" t="inlineStr">
        <is>
          <t>Chỉ tiêu phái sinh</t>
        </is>
      </c>
      <c r="H1043" s="4" t="inlineStr">
        <is>
          <t>TB</t>
        </is>
      </c>
      <c r="I1043" s="55" t="n"/>
      <c r="J1043" s="55" t="n"/>
      <c r="K1043" s="55" t="n"/>
      <c r="L1043" s="55" t="n"/>
      <c r="M1043" s="55" t="n"/>
      <c r="N1043" s="55" t="n"/>
      <c r="O1043" s="55" t="n"/>
      <c r="P1043" s="55" t="n"/>
      <c r="Q1043" s="55" t="n"/>
      <c r="R1043" s="55" t="n"/>
      <c r="S1043" s="55" t="n"/>
      <c r="T1043" s="55" t="n"/>
      <c r="U1043" s="55" t="n"/>
      <c r="V1043" s="55" t="n"/>
      <c r="W1043" s="55" t="n"/>
      <c r="X1043" s="55" t="n"/>
      <c r="Y1043" s="55" t="n"/>
      <c r="Z1043" s="55" t="n"/>
      <c r="AA1043" s="55" t="n"/>
      <c r="AB1043" s="55" t="n"/>
      <c r="AC1043" s="55" t="n"/>
      <c r="AD1043" s="55" t="n"/>
      <c r="AE1043" s="55" t="n"/>
    </row>
    <row r="1044" ht="16.5" customHeight="1" s="380">
      <c r="A1044" s="55" t="n"/>
      <c r="B1044" s="4" t="inlineStr">
        <is>
          <t>HNX04 (LK)</t>
        </is>
      </c>
      <c r="C1044" s="216" t="n"/>
      <c r="D1044" s="216" t="inlineStr">
        <is>
          <t>Cổ phiếu niêm yết</t>
        </is>
      </c>
      <c r="E1044" s="55" t="n"/>
      <c r="F1044" s="4" t="inlineStr">
        <is>
          <t>Báo cáo</t>
        </is>
      </c>
      <c r="G1044" s="22" t="inlineStr">
        <is>
          <t>Chỉ tiêu phái sinh</t>
        </is>
      </c>
      <c r="H1044" s="4" t="inlineStr">
        <is>
          <t>TB</t>
        </is>
      </c>
      <c r="I1044" s="55" t="n"/>
      <c r="J1044" s="55" t="n"/>
      <c r="K1044" s="55" t="n"/>
      <c r="L1044" s="55" t="n"/>
      <c r="M1044" s="55" t="n"/>
      <c r="N1044" s="55" t="n"/>
      <c r="O1044" s="55" t="n"/>
      <c r="P1044" s="55" t="n"/>
      <c r="Q1044" s="55" t="n"/>
      <c r="R1044" s="55" t="n"/>
      <c r="S1044" s="55" t="n"/>
      <c r="T1044" s="55" t="n"/>
      <c r="U1044" s="55" t="n"/>
      <c r="V1044" s="55" t="n"/>
      <c r="W1044" s="55" t="n"/>
      <c r="X1044" s="55" t="n"/>
      <c r="Y1044" s="55" t="n"/>
      <c r="Z1044" s="55" t="n"/>
      <c r="AA1044" s="55" t="n"/>
      <c r="AB1044" s="55" t="n"/>
      <c r="AC1044" s="55" t="n"/>
      <c r="AD1044" s="55" t="n"/>
      <c r="AE1044" s="55" t="n"/>
    </row>
    <row r="1045" ht="16.5" customHeight="1" s="380">
      <c r="A1045" s="55" t="n"/>
      <c r="B1045" s="4" t="inlineStr">
        <is>
          <t>HNX04 (LK)</t>
        </is>
      </c>
      <c r="C1045" s="216" t="n"/>
      <c r="D1045" s="216" t="inlineStr">
        <is>
          <t>Cổ phiếu đăng ký giao dịch</t>
        </is>
      </c>
      <c r="E1045" s="55" t="n"/>
      <c r="F1045" s="4" t="inlineStr">
        <is>
          <t>Báo cáo</t>
        </is>
      </c>
      <c r="G1045" s="22" t="inlineStr">
        <is>
          <t>Chỉ tiêu phái sinh</t>
        </is>
      </c>
      <c r="H1045" s="4" t="inlineStr">
        <is>
          <t>TB</t>
        </is>
      </c>
      <c r="I1045" s="55" t="n"/>
      <c r="J1045" s="55" t="n"/>
      <c r="K1045" s="55" t="n"/>
      <c r="L1045" s="55" t="n"/>
      <c r="M1045" s="55" t="n"/>
      <c r="N1045" s="55" t="n"/>
      <c r="O1045" s="55" t="n"/>
      <c r="P1045" s="55" t="n"/>
      <c r="Q1045" s="55" t="n"/>
      <c r="R1045" s="55" t="n"/>
      <c r="S1045" s="55" t="n"/>
      <c r="T1045" s="55" t="n"/>
      <c r="U1045" s="55" t="n"/>
      <c r="V1045" s="55" t="n"/>
      <c r="W1045" s="55" t="n"/>
      <c r="X1045" s="55" t="n"/>
      <c r="Y1045" s="55" t="n"/>
      <c r="Z1045" s="55" t="n"/>
      <c r="AA1045" s="55" t="n"/>
      <c r="AB1045" s="55" t="n"/>
      <c r="AC1045" s="55" t="n"/>
      <c r="AD1045" s="55" t="n"/>
      <c r="AE1045" s="55" t="n"/>
    </row>
    <row r="1046" ht="16.5" customHeight="1" s="380">
      <c r="A1046" s="55" t="n"/>
      <c r="B1046" s="4" t="inlineStr">
        <is>
          <t>HNX04 (LK)</t>
        </is>
      </c>
      <c r="C1046" s="216" t="n"/>
      <c r="D1046" s="216" t="inlineStr">
        <is>
          <t>Trái phiếu chính phủ</t>
        </is>
      </c>
      <c r="E1046" s="55" t="n"/>
      <c r="F1046" s="4" t="inlineStr">
        <is>
          <t>Báo cáo</t>
        </is>
      </c>
      <c r="G1046" s="22" t="inlineStr">
        <is>
          <t>Chỉ tiêu phái sinh</t>
        </is>
      </c>
      <c r="H1046" s="4" t="inlineStr">
        <is>
          <t>TB</t>
        </is>
      </c>
      <c r="I1046" s="55" t="n"/>
      <c r="J1046" s="55" t="n"/>
      <c r="K1046" s="55" t="n"/>
      <c r="L1046" s="55" t="n"/>
      <c r="M1046" s="55" t="n"/>
      <c r="N1046" s="55" t="n"/>
      <c r="O1046" s="55" t="n"/>
      <c r="P1046" s="55" t="n"/>
      <c r="Q1046" s="55" t="n"/>
      <c r="R1046" s="55" t="n"/>
      <c r="S1046" s="55" t="n"/>
      <c r="T1046" s="55" t="n"/>
      <c r="U1046" s="55" t="n"/>
      <c r="V1046" s="55" t="n"/>
      <c r="W1046" s="55" t="n"/>
      <c r="X1046" s="55" t="n"/>
      <c r="Y1046" s="55" t="n"/>
      <c r="Z1046" s="55" t="n"/>
      <c r="AA1046" s="55" t="n"/>
      <c r="AB1046" s="55" t="n"/>
      <c r="AC1046" s="55" t="n"/>
      <c r="AD1046" s="55" t="n"/>
      <c r="AE1046" s="55" t="n"/>
    </row>
    <row r="1047" ht="16.5" customHeight="1" s="380">
      <c r="A1047" s="55" t="n"/>
      <c r="B1047" s="4" t="inlineStr">
        <is>
          <t>HNX04 (LK)</t>
        </is>
      </c>
      <c r="C1047" s="216" t="n"/>
      <c r="D1047" s="216" t="inlineStr">
        <is>
          <t>Trái phiếu chính quyền địa phương</t>
        </is>
      </c>
      <c r="E1047" s="55" t="n"/>
      <c r="F1047" s="4" t="inlineStr">
        <is>
          <t>Báo cáo</t>
        </is>
      </c>
      <c r="G1047" s="22" t="inlineStr">
        <is>
          <t>Chỉ tiêu phái sinh</t>
        </is>
      </c>
      <c r="H1047" s="4" t="inlineStr">
        <is>
          <t>TB</t>
        </is>
      </c>
      <c r="I1047" s="55" t="n"/>
      <c r="J1047" s="55" t="n"/>
      <c r="K1047" s="55" t="n"/>
      <c r="L1047" s="55" t="n"/>
      <c r="M1047" s="55" t="n"/>
      <c r="N1047" s="55" t="n"/>
      <c r="O1047" s="55" t="n"/>
      <c r="P1047" s="55" t="n"/>
      <c r="Q1047" s="55" t="n"/>
      <c r="R1047" s="55" t="n"/>
      <c r="S1047" s="55" t="n"/>
      <c r="T1047" s="55" t="n"/>
      <c r="U1047" s="55" t="n"/>
      <c r="V1047" s="55" t="n"/>
      <c r="W1047" s="55" t="n"/>
      <c r="X1047" s="55" t="n"/>
      <c r="Y1047" s="55" t="n"/>
      <c r="Z1047" s="55" t="n"/>
      <c r="AA1047" s="55" t="n"/>
      <c r="AB1047" s="55" t="n"/>
      <c r="AC1047" s="55" t="n"/>
      <c r="AD1047" s="55" t="n"/>
      <c r="AE1047" s="55" t="n"/>
    </row>
    <row r="1048" ht="16.5" customHeight="1" s="380">
      <c r="A1048" s="55" t="n"/>
      <c r="B1048" s="4" t="inlineStr">
        <is>
          <t>HNX04 (LK)</t>
        </is>
      </c>
      <c r="C1048" s="216" t="n"/>
      <c r="D1048" s="216" t="inlineStr">
        <is>
          <t>Trái phiếu chính phủ bảo lãnh</t>
        </is>
      </c>
      <c r="E1048" s="55" t="n"/>
      <c r="F1048" s="4" t="inlineStr">
        <is>
          <t>Báo cáo</t>
        </is>
      </c>
      <c r="G1048" s="22" t="inlineStr">
        <is>
          <t>Chỉ tiêu phái sinh</t>
        </is>
      </c>
      <c r="H1048" s="4" t="inlineStr">
        <is>
          <t>TB</t>
        </is>
      </c>
      <c r="I1048" s="55" t="n"/>
      <c r="J1048" s="55" t="n"/>
      <c r="K1048" s="55" t="n"/>
      <c r="L1048" s="55" t="n"/>
      <c r="M1048" s="55" t="n"/>
      <c r="N1048" s="55" t="n"/>
      <c r="O1048" s="55" t="n"/>
      <c r="P1048" s="55" t="n"/>
      <c r="Q1048" s="55" t="n"/>
      <c r="R1048" s="55" t="n"/>
      <c r="S1048" s="55" t="n"/>
      <c r="T1048" s="55" t="n"/>
      <c r="U1048" s="55" t="n"/>
      <c r="V1048" s="55" t="n"/>
      <c r="W1048" s="55" t="n"/>
      <c r="X1048" s="55" t="n"/>
      <c r="Y1048" s="55" t="n"/>
      <c r="Z1048" s="55" t="n"/>
      <c r="AA1048" s="55" t="n"/>
      <c r="AB1048" s="55" t="n"/>
      <c r="AC1048" s="55" t="n"/>
      <c r="AD1048" s="55" t="n"/>
      <c r="AE1048" s="55" t="n"/>
    </row>
    <row r="1049" ht="16.5" customHeight="1" s="380">
      <c r="A1049" s="55" t="n"/>
      <c r="B1049" s="4" t="inlineStr">
        <is>
          <t>HNX04 (LK)</t>
        </is>
      </c>
      <c r="C1049" s="216" t="n"/>
      <c r="D1049" s="216" t="inlineStr">
        <is>
          <t>Trái phiếu doanh nghiệp</t>
        </is>
      </c>
      <c r="E1049" s="55" t="n"/>
      <c r="F1049" s="4" t="inlineStr">
        <is>
          <t>Báo cáo</t>
        </is>
      </c>
      <c r="G1049" s="22" t="inlineStr">
        <is>
          <t>Chỉ tiêu phái sinh</t>
        </is>
      </c>
      <c r="H1049" s="4" t="inlineStr">
        <is>
          <t>TB</t>
        </is>
      </c>
      <c r="I1049" s="55" t="n"/>
      <c r="J1049" s="55" t="n"/>
      <c r="K1049" s="55" t="n"/>
      <c r="L1049" s="55" t="n"/>
      <c r="M1049" s="55" t="n"/>
      <c r="N1049" s="55" t="n"/>
      <c r="O1049" s="55" t="n"/>
      <c r="P1049" s="55" t="n"/>
      <c r="Q1049" s="55" t="n"/>
      <c r="R1049" s="55" t="n"/>
      <c r="S1049" s="55" t="n"/>
      <c r="T1049" s="55" t="n"/>
      <c r="U1049" s="55" t="n"/>
      <c r="V1049" s="55" t="n"/>
      <c r="W1049" s="55" t="n"/>
      <c r="X1049" s="55" t="n"/>
      <c r="Y1049" s="55" t="n"/>
      <c r="Z1049" s="55" t="n"/>
      <c r="AA1049" s="55" t="n"/>
      <c r="AB1049" s="55" t="n"/>
      <c r="AC1049" s="55" t="n"/>
      <c r="AD1049" s="55" t="n"/>
      <c r="AE1049" s="55" t="n"/>
    </row>
    <row r="1050" ht="16.5" customHeight="1" s="380">
      <c r="A1050" s="55" t="n"/>
      <c r="B1050" s="4" t="inlineStr">
        <is>
          <t>HNX04 (LK)</t>
        </is>
      </c>
      <c r="C1050" s="216" t="n"/>
      <c r="D1050" s="216" t="inlineStr">
        <is>
          <t>Tín phiếu kho bạc</t>
        </is>
      </c>
      <c r="E1050" s="55" t="n"/>
      <c r="F1050" s="4" t="inlineStr">
        <is>
          <t>Báo cáo</t>
        </is>
      </c>
      <c r="G1050" s="22" t="inlineStr">
        <is>
          <t>Chỉ tiêu phái sinh</t>
        </is>
      </c>
      <c r="H1050" s="4" t="inlineStr">
        <is>
          <t>TB</t>
        </is>
      </c>
      <c r="I1050" s="55" t="n"/>
      <c r="J1050" s="55" t="n"/>
      <c r="K1050" s="55" t="n"/>
      <c r="L1050" s="55" t="n"/>
      <c r="M1050" s="55" t="n"/>
      <c r="N1050" s="55" t="n"/>
      <c r="O1050" s="55" t="n"/>
      <c r="P1050" s="55" t="n"/>
      <c r="Q1050" s="55" t="n"/>
      <c r="R1050" s="55" t="n"/>
      <c r="S1050" s="55" t="n"/>
      <c r="T1050" s="55" t="n"/>
      <c r="U1050" s="55" t="n"/>
      <c r="V1050" s="55" t="n"/>
      <c r="W1050" s="55" t="n"/>
      <c r="X1050" s="55" t="n"/>
      <c r="Y1050" s="55" t="n"/>
      <c r="Z1050" s="55" t="n"/>
      <c r="AA1050" s="55" t="n"/>
      <c r="AB1050" s="55" t="n"/>
      <c r="AC1050" s="55" t="n"/>
      <c r="AD1050" s="55" t="n"/>
      <c r="AE1050" s="55" t="n"/>
    </row>
    <row r="1051" ht="16.5" customHeight="1" s="380">
      <c r="A1051" s="55" t="n"/>
      <c r="B1051" s="4" t="inlineStr">
        <is>
          <t>HNX04 (LK)</t>
        </is>
      </c>
      <c r="C1051" s="216" t="n"/>
      <c r="D1051" s="216" t="inlineStr">
        <is>
          <t>Chứng chỉ quỹ (ETF)</t>
        </is>
      </c>
      <c r="E1051" s="55" t="n"/>
      <c r="F1051" s="4" t="inlineStr">
        <is>
          <t>Báo cáo</t>
        </is>
      </c>
      <c r="G1051" s="22" t="inlineStr">
        <is>
          <t>Chỉ tiêu phái sinh</t>
        </is>
      </c>
      <c r="H1051" s="4" t="inlineStr">
        <is>
          <t>TB</t>
        </is>
      </c>
      <c r="I1051" s="55" t="n"/>
      <c r="J1051" s="55" t="n"/>
      <c r="K1051" s="55" t="n"/>
      <c r="L1051" s="55" t="n"/>
      <c r="M1051" s="55" t="n"/>
      <c r="N1051" s="55" t="n"/>
      <c r="O1051" s="55" t="n"/>
      <c r="P1051" s="55" t="n"/>
      <c r="Q1051" s="55" t="n"/>
      <c r="R1051" s="55" t="n"/>
      <c r="S1051" s="55" t="n"/>
      <c r="T1051" s="55" t="n"/>
      <c r="U1051" s="55" t="n"/>
      <c r="V1051" s="55" t="n"/>
      <c r="W1051" s="55" t="n"/>
      <c r="X1051" s="55" t="n"/>
      <c r="Y1051" s="55" t="n"/>
      <c r="Z1051" s="55" t="n"/>
      <c r="AA1051" s="55" t="n"/>
      <c r="AB1051" s="55" t="n"/>
      <c r="AC1051" s="55" t="n"/>
      <c r="AD1051" s="55" t="n"/>
      <c r="AE1051" s="55" t="n"/>
    </row>
    <row r="1052" ht="16.5" customHeight="1" s="380">
      <c r="A1052" s="55" t="n"/>
      <c r="B1052" s="4" t="inlineStr">
        <is>
          <t>HNX04 (LK)</t>
        </is>
      </c>
      <c r="C1052" s="216" t="n"/>
      <c r="D1052" s="216" t="inlineStr">
        <is>
          <t>Số phiên thực hiện giao dịch</t>
        </is>
      </c>
      <c r="E1052" s="55" t="n"/>
      <c r="F1052" s="4" t="inlineStr">
        <is>
          <t>Báo cáo</t>
        </is>
      </c>
      <c r="G1052" s="22" t="inlineStr">
        <is>
          <t>Chỉ tiêu phái sinh</t>
        </is>
      </c>
      <c r="H1052" s="4" t="inlineStr">
        <is>
          <t>TB</t>
        </is>
      </c>
      <c r="I1052" s="55" t="n"/>
      <c r="J1052" s="55" t="n"/>
      <c r="K1052" s="55" t="n"/>
      <c r="L1052" s="55" t="n"/>
      <c r="M1052" s="55" t="n"/>
      <c r="N1052" s="55" t="n"/>
      <c r="O1052" s="55" t="n"/>
      <c r="P1052" s="55" t="n"/>
      <c r="Q1052" s="55" t="n"/>
      <c r="R1052" s="55" t="n"/>
      <c r="S1052" s="55" t="n"/>
      <c r="T1052" s="55" t="n"/>
      <c r="U1052" s="55" t="n"/>
      <c r="V1052" s="55" t="n"/>
      <c r="W1052" s="55" t="n"/>
      <c r="X1052" s="55" t="n"/>
      <c r="Y1052" s="55" t="n"/>
      <c r="Z1052" s="55" t="n"/>
      <c r="AA1052" s="55" t="n"/>
      <c r="AB1052" s="55" t="n"/>
      <c r="AC1052" s="55" t="n"/>
      <c r="AD1052" s="55" t="n"/>
      <c r="AE1052" s="55" t="n"/>
    </row>
    <row r="1053" ht="16.5" customHeight="1" s="380">
      <c r="A1053" s="55" t="n"/>
      <c r="B1053" s="4" t="inlineStr">
        <is>
          <t>HNX04 (LK)</t>
        </is>
      </c>
      <c r="C1053" s="216" t="n"/>
      <c r="D1053" s="216" t="inlineStr">
        <is>
          <t>Cổ phiếu niêm yết</t>
        </is>
      </c>
      <c r="E1053" s="55" t="n"/>
      <c r="F1053" s="4" t="inlineStr">
        <is>
          <t>Báo cáo</t>
        </is>
      </c>
      <c r="G1053" s="22" t="inlineStr">
        <is>
          <t>Chỉ tiêu phái sinh</t>
        </is>
      </c>
      <c r="H1053" s="4" t="inlineStr">
        <is>
          <t>TB</t>
        </is>
      </c>
      <c r="I1053" s="55" t="n"/>
      <c r="J1053" s="55" t="n"/>
      <c r="K1053" s="55" t="n"/>
      <c r="L1053" s="55" t="n"/>
      <c r="M1053" s="55" t="n"/>
      <c r="N1053" s="55" t="n"/>
      <c r="O1053" s="55" t="n"/>
      <c r="P1053" s="55" t="n"/>
      <c r="Q1053" s="55" t="n"/>
      <c r="R1053" s="55" t="n"/>
      <c r="S1053" s="55" t="n"/>
      <c r="T1053" s="55" t="n"/>
      <c r="U1053" s="55" t="n"/>
      <c r="V1053" s="55" t="n"/>
      <c r="W1053" s="55" t="n"/>
      <c r="X1053" s="55" t="n"/>
      <c r="Y1053" s="55" t="n"/>
      <c r="Z1053" s="55" t="n"/>
      <c r="AA1053" s="55" t="n"/>
      <c r="AB1053" s="55" t="n"/>
      <c r="AC1053" s="55" t="n"/>
      <c r="AD1053" s="55" t="n"/>
      <c r="AE1053" s="55" t="n"/>
    </row>
    <row r="1054" ht="16.5" customHeight="1" s="380">
      <c r="A1054" s="55" t="n"/>
      <c r="B1054" s="4" t="inlineStr">
        <is>
          <t>HNX04 (LK)</t>
        </is>
      </c>
      <c r="C1054" s="216" t="n"/>
      <c r="D1054" s="216" t="inlineStr">
        <is>
          <t>Cổ phiếu đăng ký giao dịch</t>
        </is>
      </c>
      <c r="E1054" s="55" t="n"/>
      <c r="F1054" s="4" t="inlineStr">
        <is>
          <t>Báo cáo</t>
        </is>
      </c>
      <c r="G1054" s="22" t="inlineStr">
        <is>
          <t>Chỉ tiêu phái sinh</t>
        </is>
      </c>
      <c r="H1054" s="4" t="inlineStr">
        <is>
          <t>TB</t>
        </is>
      </c>
      <c r="I1054" s="55" t="n"/>
      <c r="J1054" s="55" t="n"/>
      <c r="K1054" s="55" t="n"/>
      <c r="L1054" s="55" t="n"/>
      <c r="M1054" s="55" t="n"/>
      <c r="N1054" s="55" t="n"/>
      <c r="O1054" s="55" t="n"/>
      <c r="P1054" s="55" t="n"/>
      <c r="Q1054" s="55" t="n"/>
      <c r="R1054" s="55" t="n"/>
      <c r="S1054" s="55" t="n"/>
      <c r="T1054" s="55" t="n"/>
      <c r="U1054" s="55" t="n"/>
      <c r="V1054" s="55" t="n"/>
      <c r="W1054" s="55" t="n"/>
      <c r="X1054" s="55" t="n"/>
      <c r="Y1054" s="55" t="n"/>
      <c r="Z1054" s="55" t="n"/>
      <c r="AA1054" s="55" t="n"/>
      <c r="AB1054" s="55" t="n"/>
      <c r="AC1054" s="55" t="n"/>
      <c r="AD1054" s="55" t="n"/>
      <c r="AE1054" s="55" t="n"/>
    </row>
    <row r="1055" ht="16.5" customHeight="1" s="380">
      <c r="A1055" s="55" t="n"/>
      <c r="B1055" s="4" t="inlineStr">
        <is>
          <t>HNX04 (LK)</t>
        </is>
      </c>
      <c r="C1055" s="216" t="n"/>
      <c r="D1055" s="216" t="inlineStr">
        <is>
          <t>Trái phiếu Chính phủ</t>
        </is>
      </c>
      <c r="E1055" s="55" t="n"/>
      <c r="F1055" s="4" t="inlineStr">
        <is>
          <t>Báo cáo</t>
        </is>
      </c>
      <c r="G1055" s="22" t="inlineStr">
        <is>
          <t>Chỉ tiêu phái sinh</t>
        </is>
      </c>
      <c r="H1055" s="4" t="inlineStr">
        <is>
          <t>TB</t>
        </is>
      </c>
      <c r="I1055" s="55" t="n"/>
      <c r="J1055" s="55" t="n"/>
      <c r="K1055" s="55" t="n"/>
      <c r="L1055" s="55" t="n"/>
      <c r="M1055" s="55" t="n"/>
      <c r="N1055" s="55" t="n"/>
      <c r="O1055" s="55" t="n"/>
      <c r="P1055" s="55" t="n"/>
      <c r="Q1055" s="55" t="n"/>
      <c r="R1055" s="55" t="n"/>
      <c r="S1055" s="55" t="n"/>
      <c r="T1055" s="55" t="n"/>
      <c r="U1055" s="55" t="n"/>
      <c r="V1055" s="55" t="n"/>
      <c r="W1055" s="55" t="n"/>
      <c r="X1055" s="55" t="n"/>
      <c r="Y1055" s="55" t="n"/>
      <c r="Z1055" s="55" t="n"/>
      <c r="AA1055" s="55" t="n"/>
      <c r="AB1055" s="55" t="n"/>
      <c r="AC1055" s="55" t="n"/>
      <c r="AD1055" s="55" t="n"/>
      <c r="AE1055" s="55" t="n"/>
    </row>
    <row r="1056" ht="16.5" customHeight="1" s="380">
      <c r="A1056" s="55" t="n"/>
      <c r="B1056" s="4" t="inlineStr">
        <is>
          <t>HNX04 (LK)</t>
        </is>
      </c>
      <c r="C1056" s="216" t="n"/>
      <c r="D1056" s="216" t="inlineStr">
        <is>
          <t>Tín phiếu kho bạc</t>
        </is>
      </c>
      <c r="E1056" s="55" t="n"/>
      <c r="F1056" s="4" t="inlineStr">
        <is>
          <t>Báo cáo</t>
        </is>
      </c>
      <c r="G1056" s="22" t="inlineStr">
        <is>
          <t>Chỉ tiêu phái sinh</t>
        </is>
      </c>
      <c r="H1056" s="4" t="inlineStr">
        <is>
          <t>TB</t>
        </is>
      </c>
      <c r="I1056" s="55" t="n"/>
      <c r="J1056" s="55" t="n"/>
      <c r="K1056" s="55" t="n"/>
      <c r="L1056" s="55" t="n"/>
      <c r="M1056" s="55" t="n"/>
      <c r="N1056" s="55" t="n"/>
      <c r="O1056" s="55" t="n"/>
      <c r="P1056" s="55" t="n"/>
      <c r="Q1056" s="55" t="n"/>
      <c r="R1056" s="55" t="n"/>
      <c r="S1056" s="55" t="n"/>
      <c r="T1056" s="55" t="n"/>
      <c r="U1056" s="55" t="n"/>
      <c r="V1056" s="55" t="n"/>
      <c r="W1056" s="55" t="n"/>
      <c r="X1056" s="55" t="n"/>
      <c r="Y1056" s="55" t="n"/>
      <c r="Z1056" s="55" t="n"/>
      <c r="AA1056" s="55" t="n"/>
      <c r="AB1056" s="55" t="n"/>
      <c r="AC1056" s="55" t="n"/>
      <c r="AD1056" s="55" t="n"/>
      <c r="AE1056" s="55" t="n"/>
    </row>
    <row r="1057" ht="16.5" customHeight="1" s="380">
      <c r="A1057" s="55" t="n"/>
      <c r="B1057" s="4" t="inlineStr">
        <is>
          <t>HNX04 (LK)</t>
        </is>
      </c>
      <c r="C1057" s="221" t="n"/>
      <c r="D1057" s="221" t="inlineStr">
        <is>
          <t>Cộng dồn đến cuối kỳ - Phát sinh</t>
        </is>
      </c>
      <c r="E1057" s="55" t="n"/>
      <c r="F1057" s="4" t="inlineStr">
        <is>
          <t>Báo cáo</t>
        </is>
      </c>
      <c r="G1057" s="55" t="inlineStr">
        <is>
          <t>Chiều</t>
        </is>
      </c>
      <c r="H1057" s="55" t="n"/>
      <c r="I1057" s="55" t="n"/>
      <c r="J1057" s="55" t="n"/>
      <c r="K1057" s="55" t="n"/>
      <c r="L1057" s="55" t="n"/>
      <c r="M1057" s="55" t="n"/>
      <c r="N1057" s="55" t="n"/>
      <c r="O1057" s="55" t="n"/>
      <c r="P1057" s="55" t="n"/>
      <c r="Q1057" s="55" t="n"/>
      <c r="R1057" s="55" t="n"/>
      <c r="S1057" s="55" t="n"/>
      <c r="T1057" s="55" t="n"/>
      <c r="U1057" s="55" t="n"/>
      <c r="V1057" s="55" t="n"/>
      <c r="W1057" s="55" t="n"/>
      <c r="X1057" s="55" t="n"/>
      <c r="Y1057" s="55" t="n"/>
      <c r="Z1057" s="55" t="n"/>
      <c r="AA1057" s="55" t="n"/>
      <c r="AB1057" s="55" t="n"/>
      <c r="AC1057" s="55" t="n"/>
      <c r="AD1057" s="55" t="n"/>
      <c r="AE1057" s="55" t="n"/>
    </row>
    <row r="1058" ht="16.5" customHeight="1" s="380">
      <c r="A1058" s="55" t="n"/>
      <c r="B1058" s="4" t="inlineStr">
        <is>
          <t>HNX04 (LK)</t>
        </is>
      </c>
      <c r="C1058" s="216" t="n"/>
      <c r="D1058" s="216" t="inlineStr">
        <is>
          <t>GTGD (VND)</t>
        </is>
      </c>
      <c r="E1058" s="55" t="n"/>
      <c r="F1058" s="4" t="inlineStr">
        <is>
          <t>Báo cáo</t>
        </is>
      </c>
      <c r="G1058" s="22" t="inlineStr">
        <is>
          <t>Chỉ tiêu phái sinh</t>
        </is>
      </c>
      <c r="H1058" s="4" t="inlineStr">
        <is>
          <t>TB</t>
        </is>
      </c>
      <c r="I1058" s="55" t="n"/>
      <c r="J1058" s="55" t="n"/>
      <c r="K1058" s="55" t="n"/>
      <c r="L1058" s="55" t="n"/>
      <c r="M1058" s="55" t="n"/>
      <c r="N1058" s="55" t="n"/>
      <c r="O1058" s="55" t="n"/>
      <c r="P1058" s="55" t="n"/>
      <c r="Q1058" s="55" t="n"/>
      <c r="R1058" s="55" t="n"/>
      <c r="S1058" s="55" t="n"/>
      <c r="T1058" s="55" t="n"/>
      <c r="U1058" s="55" t="n"/>
      <c r="V1058" s="55" t="n"/>
      <c r="W1058" s="55" t="n"/>
      <c r="X1058" s="55" t="n"/>
      <c r="Y1058" s="55" t="n"/>
      <c r="Z1058" s="55" t="n"/>
      <c r="AA1058" s="55" t="n"/>
      <c r="AB1058" s="55" t="n"/>
      <c r="AC1058" s="55" t="n"/>
      <c r="AD1058" s="55" t="n"/>
      <c r="AE1058" s="55" t="n"/>
    </row>
    <row r="1059" ht="16.5" customHeight="1" s="380">
      <c r="A1059" s="55" t="n"/>
      <c r="B1059" s="4" t="inlineStr">
        <is>
          <t>HNX04 (LK)</t>
        </is>
      </c>
      <c r="C1059" s="216" t="n"/>
      <c r="D1059" s="216" t="inlineStr">
        <is>
          <t>Trái phiếu chính phủ</t>
        </is>
      </c>
      <c r="E1059" s="55" t="n"/>
      <c r="F1059" s="4" t="inlineStr">
        <is>
          <t>Báo cáo</t>
        </is>
      </c>
      <c r="G1059" s="22" t="inlineStr">
        <is>
          <t>Chỉ tiêu phái sinh</t>
        </is>
      </c>
      <c r="H1059" s="4" t="inlineStr">
        <is>
          <t>TB</t>
        </is>
      </c>
      <c r="I1059" s="55" t="n"/>
      <c r="J1059" s="55" t="n"/>
      <c r="K1059" s="55" t="n"/>
      <c r="L1059" s="55" t="n"/>
      <c r="M1059" s="55" t="n"/>
      <c r="N1059" s="55" t="n"/>
      <c r="O1059" s="55" t="n"/>
      <c r="P1059" s="55" t="n"/>
      <c r="Q1059" s="55" t="n"/>
      <c r="R1059" s="55" t="n"/>
      <c r="S1059" s="55" t="n"/>
      <c r="T1059" s="55" t="n"/>
      <c r="U1059" s="55" t="n"/>
      <c r="V1059" s="55" t="n"/>
      <c r="W1059" s="55" t="n"/>
      <c r="X1059" s="55" t="n"/>
      <c r="Y1059" s="55" t="n"/>
      <c r="Z1059" s="55" t="n"/>
      <c r="AA1059" s="55" t="n"/>
      <c r="AB1059" s="55" t="n"/>
      <c r="AC1059" s="55" t="n"/>
      <c r="AD1059" s="55" t="n"/>
      <c r="AE1059" s="55" t="n"/>
    </row>
    <row r="1060" ht="16.5" customHeight="1" s="380">
      <c r="A1060" s="55" t="n"/>
      <c r="B1060" s="4" t="inlineStr">
        <is>
          <t>HNX04 (LK)</t>
        </is>
      </c>
      <c r="C1060" s="216" t="n"/>
      <c r="D1060" s="216" t="inlineStr">
        <is>
          <t>Trái phiếu chính quyền địa phương</t>
        </is>
      </c>
      <c r="E1060" s="55" t="n"/>
      <c r="F1060" s="4" t="inlineStr">
        <is>
          <t>Báo cáo</t>
        </is>
      </c>
      <c r="G1060" s="22" t="inlineStr">
        <is>
          <t>Chỉ tiêu phái sinh</t>
        </is>
      </c>
      <c r="H1060" s="4" t="inlineStr">
        <is>
          <t>TB</t>
        </is>
      </c>
      <c r="I1060" s="55" t="n"/>
      <c r="J1060" s="55" t="n"/>
      <c r="K1060" s="55" t="n"/>
      <c r="L1060" s="55" t="n"/>
      <c r="M1060" s="55" t="n"/>
      <c r="N1060" s="55" t="n"/>
      <c r="O1060" s="55" t="n"/>
      <c r="P1060" s="55" t="n"/>
      <c r="Q1060" s="55" t="n"/>
      <c r="R1060" s="55" t="n"/>
      <c r="S1060" s="55" t="n"/>
      <c r="T1060" s="55" t="n"/>
      <c r="U1060" s="55" t="n"/>
      <c r="V1060" s="55" t="n"/>
      <c r="W1060" s="55" t="n"/>
      <c r="X1060" s="55" t="n"/>
      <c r="Y1060" s="55" t="n"/>
      <c r="Z1060" s="55" t="n"/>
      <c r="AA1060" s="55" t="n"/>
      <c r="AB1060" s="55" t="n"/>
      <c r="AC1060" s="55" t="n"/>
      <c r="AD1060" s="55" t="n"/>
      <c r="AE1060" s="55" t="n"/>
    </row>
    <row r="1061" ht="16.5" customHeight="1" s="380">
      <c r="A1061" s="55" t="n"/>
      <c r="B1061" s="4" t="inlineStr">
        <is>
          <t>HNX04 (LK)</t>
        </is>
      </c>
      <c r="C1061" s="216" t="n"/>
      <c r="D1061" s="216" t="inlineStr">
        <is>
          <t>Trái phiếu chính phủ bảo lãnh</t>
        </is>
      </c>
      <c r="E1061" s="55" t="n"/>
      <c r="F1061" s="4" t="inlineStr">
        <is>
          <t>Báo cáo</t>
        </is>
      </c>
      <c r="G1061" s="22" t="inlineStr">
        <is>
          <t>Chỉ tiêu phái sinh</t>
        </is>
      </c>
      <c r="H1061" s="4" t="inlineStr">
        <is>
          <t>TB</t>
        </is>
      </c>
      <c r="I1061" s="55" t="n"/>
      <c r="J1061" s="55" t="n"/>
      <c r="K1061" s="55" t="n"/>
      <c r="L1061" s="55" t="n"/>
      <c r="M1061" s="55" t="n"/>
      <c r="N1061" s="55" t="n"/>
      <c r="O1061" s="55" t="n"/>
      <c r="P1061" s="55" t="n"/>
      <c r="Q1061" s="55" t="n"/>
      <c r="R1061" s="55" t="n"/>
      <c r="S1061" s="55" t="n"/>
      <c r="T1061" s="55" t="n"/>
      <c r="U1061" s="55" t="n"/>
      <c r="V1061" s="55" t="n"/>
      <c r="W1061" s="55" t="n"/>
      <c r="X1061" s="55" t="n"/>
      <c r="Y1061" s="55" t="n"/>
      <c r="Z1061" s="55" t="n"/>
      <c r="AA1061" s="55" t="n"/>
      <c r="AB1061" s="55" t="n"/>
      <c r="AC1061" s="55" t="n"/>
      <c r="AD1061" s="55" t="n"/>
      <c r="AE1061" s="55" t="n"/>
    </row>
    <row r="1062" ht="16.5" customHeight="1" s="380">
      <c r="A1062" s="55" t="n"/>
      <c r="B1062" s="4" t="inlineStr">
        <is>
          <t>HNX04 (LK)</t>
        </is>
      </c>
      <c r="C1062" s="216" t="n"/>
      <c r="D1062" s="216" t="inlineStr">
        <is>
          <t>Tín phiếu kho bạc</t>
        </is>
      </c>
      <c r="E1062" s="55" t="n"/>
      <c r="F1062" s="4" t="inlineStr">
        <is>
          <t>Báo cáo</t>
        </is>
      </c>
      <c r="G1062" s="22" t="inlineStr">
        <is>
          <t>Chỉ tiêu phái sinh</t>
        </is>
      </c>
      <c r="H1062" s="4" t="inlineStr">
        <is>
          <t>TB</t>
        </is>
      </c>
      <c r="I1062" s="55" t="n"/>
      <c r="J1062" s="55" t="n"/>
      <c r="K1062" s="55" t="n"/>
      <c r="L1062" s="55" t="n"/>
      <c r="M1062" s="55" t="n"/>
      <c r="N1062" s="55" t="n"/>
      <c r="O1062" s="55" t="n"/>
      <c r="P1062" s="55" t="n"/>
      <c r="Q1062" s="55" t="n"/>
      <c r="R1062" s="55" t="n"/>
      <c r="S1062" s="55" t="n"/>
      <c r="T1062" s="55" t="n"/>
      <c r="U1062" s="55" t="n"/>
      <c r="V1062" s="55" t="n"/>
      <c r="W1062" s="55" t="n"/>
      <c r="X1062" s="55" t="n"/>
      <c r="Y1062" s="55" t="n"/>
      <c r="Z1062" s="55" t="n"/>
      <c r="AA1062" s="55" t="n"/>
      <c r="AB1062" s="55" t="n"/>
      <c r="AC1062" s="55" t="n"/>
      <c r="AD1062" s="55" t="n"/>
      <c r="AE1062" s="55" t="n"/>
    </row>
    <row r="1063" ht="16.5" customHeight="1" s="380">
      <c r="A1063" s="55" t="n"/>
      <c r="B1063" s="4" t="inlineStr">
        <is>
          <t>HNX04 (LK)</t>
        </is>
      </c>
      <c r="C1063" s="216" t="n"/>
      <c r="D1063" s="216" t="inlineStr">
        <is>
          <t>KLGD (trái phiếu)</t>
        </is>
      </c>
      <c r="E1063" s="55" t="n"/>
      <c r="F1063" s="4" t="inlineStr">
        <is>
          <t>Báo cáo</t>
        </is>
      </c>
      <c r="G1063" s="22" t="inlineStr">
        <is>
          <t>Chỉ tiêu phái sinh</t>
        </is>
      </c>
      <c r="H1063" s="4" t="inlineStr">
        <is>
          <t>TB</t>
        </is>
      </c>
      <c r="I1063" s="55" t="n"/>
      <c r="J1063" s="55" t="n"/>
      <c r="K1063" s="55" t="n"/>
      <c r="L1063" s="55" t="n"/>
      <c r="M1063" s="55" t="n"/>
      <c r="N1063" s="55" t="n"/>
      <c r="O1063" s="55" t="n"/>
      <c r="P1063" s="55" t="n"/>
      <c r="Q1063" s="55" t="n"/>
      <c r="R1063" s="55" t="n"/>
      <c r="S1063" s="55" t="n"/>
      <c r="T1063" s="55" t="n"/>
      <c r="U1063" s="55" t="n"/>
      <c r="V1063" s="55" t="n"/>
      <c r="W1063" s="55" t="n"/>
      <c r="X1063" s="55" t="n"/>
      <c r="Y1063" s="55" t="n"/>
      <c r="Z1063" s="55" t="n"/>
      <c r="AA1063" s="55" t="n"/>
      <c r="AB1063" s="55" t="n"/>
      <c r="AC1063" s="55" t="n"/>
      <c r="AD1063" s="55" t="n"/>
      <c r="AE1063" s="55" t="n"/>
    </row>
    <row r="1064" ht="16.5" customHeight="1" s="380">
      <c r="A1064" s="55" t="n"/>
      <c r="B1064" s="4" t="inlineStr">
        <is>
          <t>HNX04 (LK)</t>
        </is>
      </c>
      <c r="C1064" s="216" t="n"/>
      <c r="D1064" s="216" t="inlineStr">
        <is>
          <t>Trái phiếu chính phủ</t>
        </is>
      </c>
      <c r="E1064" s="55" t="n"/>
      <c r="F1064" s="4" t="inlineStr">
        <is>
          <t>Báo cáo</t>
        </is>
      </c>
      <c r="G1064" s="22" t="inlineStr">
        <is>
          <t>Chỉ tiêu phái sinh</t>
        </is>
      </c>
      <c r="H1064" s="4" t="inlineStr">
        <is>
          <t>TB</t>
        </is>
      </c>
      <c r="I1064" s="55" t="n"/>
      <c r="J1064" s="55" t="n"/>
      <c r="K1064" s="55" t="n"/>
      <c r="L1064" s="55" t="n"/>
      <c r="M1064" s="55" t="n"/>
      <c r="N1064" s="55" t="n"/>
      <c r="O1064" s="55" t="n"/>
      <c r="P1064" s="55" t="n"/>
      <c r="Q1064" s="55" t="n"/>
      <c r="R1064" s="55" t="n"/>
      <c r="S1064" s="55" t="n"/>
      <c r="T1064" s="55" t="n"/>
      <c r="U1064" s="55" t="n"/>
      <c r="V1064" s="55" t="n"/>
      <c r="W1064" s="55" t="n"/>
      <c r="X1064" s="55" t="n"/>
      <c r="Y1064" s="55" t="n"/>
      <c r="Z1064" s="55" t="n"/>
      <c r="AA1064" s="55" t="n"/>
      <c r="AB1064" s="55" t="n"/>
      <c r="AC1064" s="55" t="n"/>
      <c r="AD1064" s="55" t="n"/>
      <c r="AE1064" s="55" t="n"/>
    </row>
    <row r="1065" ht="16.5" customHeight="1" s="380">
      <c r="A1065" s="55" t="n"/>
      <c r="B1065" s="4" t="inlineStr">
        <is>
          <t>HNX04 (LK)</t>
        </is>
      </c>
      <c r="C1065" s="216" t="n"/>
      <c r="D1065" s="216" t="inlineStr">
        <is>
          <t>Trái phiếu chính quyền địa phương</t>
        </is>
      </c>
      <c r="E1065" s="55" t="n"/>
      <c r="F1065" s="4" t="inlineStr">
        <is>
          <t>Báo cáo</t>
        </is>
      </c>
      <c r="G1065" s="22" t="inlineStr">
        <is>
          <t>Chỉ tiêu phái sinh</t>
        </is>
      </c>
      <c r="H1065" s="4" t="inlineStr">
        <is>
          <t>TB</t>
        </is>
      </c>
      <c r="I1065" s="55" t="n"/>
      <c r="J1065" s="55" t="n"/>
      <c r="K1065" s="55" t="n"/>
      <c r="L1065" s="55" t="n"/>
      <c r="M1065" s="55" t="n"/>
      <c r="N1065" s="55" t="n"/>
      <c r="O1065" s="55" t="n"/>
      <c r="P1065" s="55" t="n"/>
      <c r="Q1065" s="55" t="n"/>
      <c r="R1065" s="55" t="n"/>
      <c r="S1065" s="55" t="n"/>
      <c r="T1065" s="55" t="n"/>
      <c r="U1065" s="55" t="n"/>
      <c r="V1065" s="55" t="n"/>
      <c r="W1065" s="55" t="n"/>
      <c r="X1065" s="55" t="n"/>
      <c r="Y1065" s="55" t="n"/>
      <c r="Z1065" s="55" t="n"/>
      <c r="AA1065" s="55" t="n"/>
      <c r="AB1065" s="55" t="n"/>
      <c r="AC1065" s="55" t="n"/>
      <c r="AD1065" s="55" t="n"/>
      <c r="AE1065" s="55" t="n"/>
    </row>
    <row r="1066" ht="16.5" customHeight="1" s="380">
      <c r="A1066" s="55" t="n"/>
      <c r="B1066" s="4" t="inlineStr">
        <is>
          <t>HNX04 (LK)</t>
        </is>
      </c>
      <c r="C1066" s="216" t="n"/>
      <c r="D1066" s="216" t="inlineStr">
        <is>
          <t>Trái phiếu chính phủ bảo lãnh</t>
        </is>
      </c>
      <c r="E1066" s="55" t="n"/>
      <c r="F1066" s="4" t="inlineStr">
        <is>
          <t>Báo cáo</t>
        </is>
      </c>
      <c r="G1066" s="22" t="inlineStr">
        <is>
          <t>Chỉ tiêu phái sinh</t>
        </is>
      </c>
      <c r="H1066" s="4" t="inlineStr">
        <is>
          <t>TB</t>
        </is>
      </c>
      <c r="I1066" s="55" t="n"/>
      <c r="J1066" s="55" t="n"/>
      <c r="K1066" s="55" t="n"/>
      <c r="L1066" s="55" t="n"/>
      <c r="M1066" s="55" t="n"/>
      <c r="N1066" s="55" t="n"/>
      <c r="O1066" s="55" t="n"/>
      <c r="P1066" s="55" t="n"/>
      <c r="Q1066" s="55" t="n"/>
      <c r="R1066" s="55" t="n"/>
      <c r="S1066" s="55" t="n"/>
      <c r="T1066" s="55" t="n"/>
      <c r="U1066" s="55" t="n"/>
      <c r="V1066" s="55" t="n"/>
      <c r="W1066" s="55" t="n"/>
      <c r="X1066" s="55" t="n"/>
      <c r="Y1066" s="55" t="n"/>
      <c r="Z1066" s="55" t="n"/>
      <c r="AA1066" s="55" t="n"/>
      <c r="AB1066" s="55" t="n"/>
      <c r="AC1066" s="55" t="n"/>
      <c r="AD1066" s="55" t="n"/>
      <c r="AE1066" s="55" t="n"/>
    </row>
    <row r="1067" ht="16.5" customHeight="1" s="380">
      <c r="A1067" s="55" t="n"/>
      <c r="B1067" s="4" t="inlineStr">
        <is>
          <t>HNX04 (LK)</t>
        </is>
      </c>
      <c r="C1067" s="216" t="n"/>
      <c r="D1067" s="216" t="inlineStr">
        <is>
          <t>Tín phiếu kho bạc</t>
        </is>
      </c>
      <c r="E1067" s="55" t="n"/>
      <c r="F1067" s="4" t="inlineStr">
        <is>
          <t>Báo cáo</t>
        </is>
      </c>
      <c r="G1067" s="22" t="inlineStr">
        <is>
          <t>Chỉ tiêu phái sinh</t>
        </is>
      </c>
      <c r="H1067" s="4" t="inlineStr">
        <is>
          <t>TB</t>
        </is>
      </c>
      <c r="I1067" s="55" t="n"/>
      <c r="J1067" s="55" t="n"/>
      <c r="K1067" s="55" t="n"/>
      <c r="L1067" s="55" t="n"/>
      <c r="M1067" s="55" t="n"/>
      <c r="N1067" s="55" t="n"/>
      <c r="O1067" s="55" t="n"/>
      <c r="P1067" s="55" t="n"/>
      <c r="Q1067" s="55" t="n"/>
      <c r="R1067" s="55" t="n"/>
      <c r="S1067" s="55" t="n"/>
      <c r="T1067" s="55" t="n"/>
      <c r="U1067" s="55" t="n"/>
      <c r="V1067" s="55" t="n"/>
      <c r="W1067" s="55" t="n"/>
      <c r="X1067" s="55" t="n"/>
      <c r="Y1067" s="55" t="n"/>
      <c r="Z1067" s="55" t="n"/>
      <c r="AA1067" s="55" t="n"/>
      <c r="AB1067" s="55" t="n"/>
      <c r="AC1067" s="55" t="n"/>
      <c r="AD1067" s="55" t="n"/>
      <c r="AE1067" s="55" t="n"/>
    </row>
    <row r="1068" ht="16.5" customHeight="1" s="380">
      <c r="A1068" s="55" t="n"/>
      <c r="B1068" s="4" t="inlineStr">
        <is>
          <t>HNX04 (LK)</t>
        </is>
      </c>
      <c r="C1068" s="216" t="n"/>
      <c r="D1068" s="216" t="inlineStr">
        <is>
          <t>Giá trị chứng khoán giao dịch (VND)</t>
        </is>
      </c>
      <c r="E1068" s="55" t="n"/>
      <c r="F1068" s="4" t="inlineStr">
        <is>
          <t>Báo cáo</t>
        </is>
      </c>
      <c r="G1068" s="22" t="inlineStr">
        <is>
          <t>Chỉ tiêu phái sinh</t>
        </is>
      </c>
      <c r="H1068" s="4" t="inlineStr">
        <is>
          <t>TB</t>
        </is>
      </c>
      <c r="I1068" s="55" t="n"/>
      <c r="J1068" s="55" t="n"/>
      <c r="K1068" s="55" t="n"/>
      <c r="L1068" s="55" t="n"/>
      <c r="M1068" s="55" t="n"/>
      <c r="N1068" s="55" t="n"/>
      <c r="O1068" s="55" t="n"/>
      <c r="P1068" s="55" t="n"/>
      <c r="Q1068" s="55" t="n"/>
      <c r="R1068" s="55" t="n"/>
      <c r="S1068" s="55" t="n"/>
      <c r="T1068" s="55" t="n"/>
      <c r="U1068" s="55" t="n"/>
      <c r="V1068" s="55" t="n"/>
      <c r="W1068" s="55" t="n"/>
      <c r="X1068" s="55" t="n"/>
      <c r="Y1068" s="55" t="n"/>
      <c r="Z1068" s="55" t="n"/>
      <c r="AA1068" s="55" t="n"/>
      <c r="AB1068" s="55" t="n"/>
      <c r="AC1068" s="55" t="n"/>
      <c r="AD1068" s="55" t="n"/>
      <c r="AE1068" s="55" t="n"/>
    </row>
    <row r="1069" ht="16.5" customHeight="1" s="380">
      <c r="A1069" s="55" t="n"/>
      <c r="B1069" s="4" t="inlineStr">
        <is>
          <t>HNX04 (LK)</t>
        </is>
      </c>
      <c r="C1069" s="216" t="n"/>
      <c r="D1069" s="216" t="inlineStr">
        <is>
          <t>Cổ phiếu niêm yết</t>
        </is>
      </c>
      <c r="E1069" s="55" t="n"/>
      <c r="F1069" s="4" t="inlineStr">
        <is>
          <t>Báo cáo</t>
        </is>
      </c>
      <c r="G1069" s="22" t="inlineStr">
        <is>
          <t>Chỉ tiêu phái sinh</t>
        </is>
      </c>
      <c r="H1069" s="4" t="inlineStr">
        <is>
          <t>TB</t>
        </is>
      </c>
      <c r="I1069" s="55" t="n"/>
      <c r="J1069" s="55" t="n"/>
      <c r="K1069" s="55" t="n"/>
      <c r="L1069" s="55" t="n"/>
      <c r="M1069" s="55" t="n"/>
      <c r="N1069" s="55" t="n"/>
      <c r="O1069" s="55" t="n"/>
      <c r="P1069" s="55" t="n"/>
      <c r="Q1069" s="55" t="n"/>
      <c r="R1069" s="55" t="n"/>
      <c r="S1069" s="55" t="n"/>
      <c r="T1069" s="55" t="n"/>
      <c r="U1069" s="55" t="n"/>
      <c r="V1069" s="55" t="n"/>
      <c r="W1069" s="55" t="n"/>
      <c r="X1069" s="55" t="n"/>
      <c r="Y1069" s="55" t="n"/>
      <c r="Z1069" s="55" t="n"/>
      <c r="AA1069" s="55" t="n"/>
      <c r="AB1069" s="55" t="n"/>
      <c r="AC1069" s="55" t="n"/>
      <c r="AD1069" s="55" t="n"/>
      <c r="AE1069" s="55" t="n"/>
    </row>
    <row r="1070" ht="16.5" customHeight="1" s="380">
      <c r="A1070" s="55" t="n"/>
      <c r="B1070" s="4" t="inlineStr">
        <is>
          <t>HNX04 (LK)</t>
        </is>
      </c>
      <c r="C1070" s="216" t="n"/>
      <c r="D1070" s="216" t="inlineStr">
        <is>
          <t>Cổ phiếu đăng ký giao dịch</t>
        </is>
      </c>
      <c r="E1070" s="55" t="n"/>
      <c r="F1070" s="4" t="inlineStr">
        <is>
          <t>Báo cáo</t>
        </is>
      </c>
      <c r="G1070" s="22" t="inlineStr">
        <is>
          <t>Chỉ tiêu phái sinh</t>
        </is>
      </c>
      <c r="H1070" s="4" t="inlineStr">
        <is>
          <t>TB</t>
        </is>
      </c>
      <c r="I1070" s="55" t="n"/>
      <c r="J1070" s="55" t="n"/>
      <c r="K1070" s="55" t="n"/>
      <c r="L1070" s="55" t="n"/>
      <c r="M1070" s="55" t="n"/>
      <c r="N1070" s="55" t="n"/>
      <c r="O1070" s="55" t="n"/>
      <c r="P1070" s="55" t="n"/>
      <c r="Q1070" s="55" t="n"/>
      <c r="R1070" s="55" t="n"/>
      <c r="S1070" s="55" t="n"/>
      <c r="T1070" s="55" t="n"/>
      <c r="U1070" s="55" t="n"/>
      <c r="V1070" s="55" t="n"/>
      <c r="W1070" s="55" t="n"/>
      <c r="X1070" s="55" t="n"/>
      <c r="Y1070" s="55" t="n"/>
      <c r="Z1070" s="55" t="n"/>
      <c r="AA1070" s="55" t="n"/>
      <c r="AB1070" s="55" t="n"/>
      <c r="AC1070" s="55" t="n"/>
      <c r="AD1070" s="55" t="n"/>
      <c r="AE1070" s="55" t="n"/>
    </row>
    <row r="1071" ht="16.5" customHeight="1" s="380">
      <c r="A1071" s="55" t="n"/>
      <c r="B1071" s="4" t="inlineStr">
        <is>
          <t>HNX04 (LK)</t>
        </is>
      </c>
      <c r="C1071" s="216" t="n"/>
      <c r="D1071" s="216" t="inlineStr">
        <is>
          <t>Trái phiếu chính phủ</t>
        </is>
      </c>
      <c r="E1071" s="55" t="n"/>
      <c r="F1071" s="4" t="inlineStr">
        <is>
          <t>Báo cáo</t>
        </is>
      </c>
      <c r="G1071" s="22" t="inlineStr">
        <is>
          <t>Chỉ tiêu phái sinh</t>
        </is>
      </c>
      <c r="H1071" s="4" t="inlineStr">
        <is>
          <t>TB</t>
        </is>
      </c>
      <c r="I1071" s="55" t="n"/>
      <c r="J1071" s="55" t="n"/>
      <c r="K1071" s="55" t="n"/>
      <c r="L1071" s="55" t="n"/>
      <c r="M1071" s="55" t="n"/>
      <c r="N1071" s="55" t="n"/>
      <c r="O1071" s="55" t="n"/>
      <c r="P1071" s="55" t="n"/>
      <c r="Q1071" s="55" t="n"/>
      <c r="R1071" s="55" t="n"/>
      <c r="S1071" s="55" t="n"/>
      <c r="T1071" s="55" t="n"/>
      <c r="U1071" s="55" t="n"/>
      <c r="V1071" s="55" t="n"/>
      <c r="W1071" s="55" t="n"/>
      <c r="X1071" s="55" t="n"/>
      <c r="Y1071" s="55" t="n"/>
      <c r="Z1071" s="55" t="n"/>
      <c r="AA1071" s="55" t="n"/>
      <c r="AB1071" s="55" t="n"/>
      <c r="AC1071" s="55" t="n"/>
      <c r="AD1071" s="55" t="n"/>
      <c r="AE1071" s="55" t="n"/>
    </row>
    <row r="1072" ht="16.5" customHeight="1" s="380">
      <c r="A1072" s="55" t="n"/>
      <c r="B1072" s="4" t="inlineStr">
        <is>
          <t>HNX04 (LK)</t>
        </is>
      </c>
      <c r="C1072" s="216" t="n"/>
      <c r="D1072" s="216" t="inlineStr">
        <is>
          <t>Trái phiếu chính quyền địa phương</t>
        </is>
      </c>
      <c r="E1072" s="55" t="n"/>
      <c r="F1072" s="4" t="inlineStr">
        <is>
          <t>Báo cáo</t>
        </is>
      </c>
      <c r="G1072" s="22" t="inlineStr">
        <is>
          <t>Chỉ tiêu phái sinh</t>
        </is>
      </c>
      <c r="H1072" s="4" t="inlineStr">
        <is>
          <t>TB</t>
        </is>
      </c>
      <c r="I1072" s="55" t="n"/>
      <c r="J1072" s="55" t="n"/>
      <c r="K1072" s="55" t="n"/>
      <c r="L1072" s="55" t="n"/>
      <c r="M1072" s="55" t="n"/>
      <c r="N1072" s="55" t="n"/>
      <c r="O1072" s="55" t="n"/>
      <c r="P1072" s="55" t="n"/>
      <c r="Q1072" s="55" t="n"/>
      <c r="R1072" s="55" t="n"/>
      <c r="S1072" s="55" t="n"/>
      <c r="T1072" s="55" t="n"/>
      <c r="U1072" s="55" t="n"/>
      <c r="V1072" s="55" t="n"/>
      <c r="W1072" s="55" t="n"/>
      <c r="X1072" s="55" t="n"/>
      <c r="Y1072" s="55" t="n"/>
      <c r="Z1072" s="55" t="n"/>
      <c r="AA1072" s="55" t="n"/>
      <c r="AB1072" s="55" t="n"/>
      <c r="AC1072" s="55" t="n"/>
      <c r="AD1072" s="55" t="n"/>
      <c r="AE1072" s="55" t="n"/>
    </row>
    <row r="1073" ht="16.5" customHeight="1" s="380">
      <c r="A1073" s="55" t="n"/>
      <c r="B1073" s="4" t="inlineStr">
        <is>
          <t>HNX04 (LK)</t>
        </is>
      </c>
      <c r="C1073" s="216" t="n"/>
      <c r="D1073" s="216" t="inlineStr">
        <is>
          <t>Trái phiếu chính phủ bảo lãnh</t>
        </is>
      </c>
      <c r="E1073" s="55" t="n"/>
      <c r="F1073" s="4" t="inlineStr">
        <is>
          <t>Báo cáo</t>
        </is>
      </c>
      <c r="G1073" s="22" t="inlineStr">
        <is>
          <t>Chỉ tiêu phái sinh</t>
        </is>
      </c>
      <c r="H1073" s="4" t="inlineStr">
        <is>
          <t>TB</t>
        </is>
      </c>
      <c r="I1073" s="55" t="n"/>
      <c r="J1073" s="55" t="n"/>
      <c r="K1073" s="55" t="n"/>
      <c r="L1073" s="55" t="n"/>
      <c r="M1073" s="55" t="n"/>
      <c r="N1073" s="55" t="n"/>
      <c r="O1073" s="55" t="n"/>
      <c r="P1073" s="55" t="n"/>
      <c r="Q1073" s="55" t="n"/>
      <c r="R1073" s="55" t="n"/>
      <c r="S1073" s="55" t="n"/>
      <c r="T1073" s="55" t="n"/>
      <c r="U1073" s="55" t="n"/>
      <c r="V1073" s="55" t="n"/>
      <c r="W1073" s="55" t="n"/>
      <c r="X1073" s="55" t="n"/>
      <c r="Y1073" s="55" t="n"/>
      <c r="Z1073" s="55" t="n"/>
      <c r="AA1073" s="55" t="n"/>
      <c r="AB1073" s="55" t="n"/>
      <c r="AC1073" s="55" t="n"/>
      <c r="AD1073" s="55" t="n"/>
      <c r="AE1073" s="55" t="n"/>
    </row>
    <row r="1074" ht="16.5" customHeight="1" s="380">
      <c r="A1074" s="55" t="n"/>
      <c r="B1074" s="4" t="inlineStr">
        <is>
          <t>HNX04 (LK)</t>
        </is>
      </c>
      <c r="C1074" s="216" t="n"/>
      <c r="D1074" s="216" t="inlineStr">
        <is>
          <t>Trái phiếu doanh nghiệp</t>
        </is>
      </c>
      <c r="E1074" s="55" t="n"/>
      <c r="F1074" s="4" t="inlineStr">
        <is>
          <t>Báo cáo</t>
        </is>
      </c>
      <c r="G1074" s="22" t="inlineStr">
        <is>
          <t>Chỉ tiêu phái sinh</t>
        </is>
      </c>
      <c r="H1074" s="4" t="inlineStr">
        <is>
          <t>TB</t>
        </is>
      </c>
      <c r="I1074" s="55" t="n"/>
      <c r="J1074" s="55" t="n"/>
      <c r="K1074" s="55" t="n"/>
      <c r="L1074" s="55" t="n"/>
      <c r="M1074" s="55" t="n"/>
      <c r="N1074" s="55" t="n"/>
      <c r="O1074" s="55" t="n"/>
      <c r="P1074" s="55" t="n"/>
      <c r="Q1074" s="55" t="n"/>
      <c r="R1074" s="55" t="n"/>
      <c r="S1074" s="55" t="n"/>
      <c r="T1074" s="55" t="n"/>
      <c r="U1074" s="55" t="n"/>
      <c r="V1074" s="55" t="n"/>
      <c r="W1074" s="55" t="n"/>
      <c r="X1074" s="55" t="n"/>
      <c r="Y1074" s="55" t="n"/>
      <c r="Z1074" s="55" t="n"/>
      <c r="AA1074" s="55" t="n"/>
      <c r="AB1074" s="55" t="n"/>
      <c r="AC1074" s="55" t="n"/>
      <c r="AD1074" s="55" t="n"/>
      <c r="AE1074" s="55" t="n"/>
    </row>
    <row r="1075" ht="16.5" customHeight="1" s="380">
      <c r="A1075" s="55" t="n"/>
      <c r="B1075" s="4" t="inlineStr">
        <is>
          <t>HNX04 (LK)</t>
        </is>
      </c>
      <c r="C1075" s="216" t="n"/>
      <c r="D1075" s="216" t="inlineStr">
        <is>
          <t>Tín phiếu kho bạc</t>
        </is>
      </c>
      <c r="E1075" s="55" t="n"/>
      <c r="F1075" s="4" t="inlineStr">
        <is>
          <t>Báo cáo</t>
        </is>
      </c>
      <c r="G1075" s="22" t="inlineStr">
        <is>
          <t>Chỉ tiêu phái sinh</t>
        </is>
      </c>
      <c r="H1075" s="4" t="inlineStr">
        <is>
          <t>TB</t>
        </is>
      </c>
      <c r="I1075" s="55" t="n"/>
      <c r="J1075" s="55" t="n"/>
      <c r="K1075" s="55" t="n"/>
      <c r="L1075" s="55" t="n"/>
      <c r="M1075" s="55" t="n"/>
      <c r="N1075" s="55" t="n"/>
      <c r="O1075" s="55" t="n"/>
      <c r="P1075" s="55" t="n"/>
      <c r="Q1075" s="55" t="n"/>
      <c r="R1075" s="55" t="n"/>
      <c r="S1075" s="55" t="n"/>
      <c r="T1075" s="55" t="n"/>
      <c r="U1075" s="55" t="n"/>
      <c r="V1075" s="55" t="n"/>
      <c r="W1075" s="55" t="n"/>
      <c r="X1075" s="55" t="n"/>
      <c r="Y1075" s="55" t="n"/>
      <c r="Z1075" s="55" t="n"/>
      <c r="AA1075" s="55" t="n"/>
      <c r="AB1075" s="55" t="n"/>
      <c r="AC1075" s="55" t="n"/>
      <c r="AD1075" s="55" t="n"/>
      <c r="AE1075" s="55" t="n"/>
    </row>
    <row r="1076" ht="16.5" customHeight="1" s="380">
      <c r="A1076" s="55" t="n"/>
      <c r="B1076" s="4" t="inlineStr">
        <is>
          <t>HNX04 (LK)</t>
        </is>
      </c>
      <c r="C1076" s="216" t="n"/>
      <c r="D1076" s="216" t="inlineStr">
        <is>
          <t>Chứng chỉ quỹ (ETF)</t>
        </is>
      </c>
      <c r="E1076" s="55" t="n"/>
      <c r="F1076" s="4" t="inlineStr">
        <is>
          <t>Báo cáo</t>
        </is>
      </c>
      <c r="G1076" s="22" t="inlineStr">
        <is>
          <t>Chỉ tiêu phái sinh</t>
        </is>
      </c>
      <c r="H1076" s="4" t="inlineStr">
        <is>
          <t>TB</t>
        </is>
      </c>
      <c r="I1076" s="55" t="n"/>
      <c r="J1076" s="55" t="n"/>
      <c r="K1076" s="55" t="n"/>
      <c r="L1076" s="55" t="n"/>
      <c r="M1076" s="55" t="n"/>
      <c r="N1076" s="55" t="n"/>
      <c r="O1076" s="55" t="n"/>
      <c r="P1076" s="55" t="n"/>
      <c r="Q1076" s="55" t="n"/>
      <c r="R1076" s="55" t="n"/>
      <c r="S1076" s="55" t="n"/>
      <c r="T1076" s="55" t="n"/>
      <c r="U1076" s="55" t="n"/>
      <c r="V1076" s="55" t="n"/>
      <c r="W1076" s="55" t="n"/>
      <c r="X1076" s="55" t="n"/>
      <c r="Y1076" s="55" t="n"/>
      <c r="Z1076" s="55" t="n"/>
      <c r="AA1076" s="55" t="n"/>
      <c r="AB1076" s="55" t="n"/>
      <c r="AC1076" s="55" t="n"/>
      <c r="AD1076" s="55" t="n"/>
      <c r="AE1076" s="55" t="n"/>
    </row>
    <row r="1077" ht="16.5" customHeight="1" s="380">
      <c r="A1077" s="55" t="n"/>
      <c r="B1077" s="4" t="inlineStr">
        <is>
          <t>HNX04 (LK)</t>
        </is>
      </c>
      <c r="C1077" s="216" t="n"/>
      <c r="D1077" s="216" t="inlineStr">
        <is>
          <t>Khối lượng chứng khoán giao dịch (chứng khoán)</t>
        </is>
      </c>
      <c r="E1077" s="55" t="n"/>
      <c r="F1077" s="4" t="inlineStr">
        <is>
          <t>Báo cáo</t>
        </is>
      </c>
      <c r="G1077" s="22" t="inlineStr">
        <is>
          <t>Chỉ tiêu phái sinh</t>
        </is>
      </c>
      <c r="H1077" s="4" t="inlineStr">
        <is>
          <t>TB</t>
        </is>
      </c>
      <c r="I1077" s="55" t="n"/>
      <c r="J1077" s="55" t="n"/>
      <c r="K1077" s="55" t="n"/>
      <c r="L1077" s="55" t="n"/>
      <c r="M1077" s="55" t="n"/>
      <c r="N1077" s="55" t="n"/>
      <c r="O1077" s="55" t="n"/>
      <c r="P1077" s="55" t="n"/>
      <c r="Q1077" s="55" t="n"/>
      <c r="R1077" s="55" t="n"/>
      <c r="S1077" s="55" t="n"/>
      <c r="T1077" s="55" t="n"/>
      <c r="U1077" s="55" t="n"/>
      <c r="V1077" s="55" t="n"/>
      <c r="W1077" s="55" t="n"/>
      <c r="X1077" s="55" t="n"/>
      <c r="Y1077" s="55" t="n"/>
      <c r="Z1077" s="55" t="n"/>
      <c r="AA1077" s="55" t="n"/>
      <c r="AB1077" s="55" t="n"/>
      <c r="AC1077" s="55" t="n"/>
      <c r="AD1077" s="55" t="n"/>
      <c r="AE1077" s="55" t="n"/>
    </row>
    <row r="1078" ht="16.5" customHeight="1" s="380">
      <c r="A1078" s="55" t="n"/>
      <c r="B1078" s="4" t="inlineStr">
        <is>
          <t>HNX04 (LK)</t>
        </is>
      </c>
      <c r="C1078" s="216" t="n"/>
      <c r="D1078" s="216" t="inlineStr">
        <is>
          <t>Cổ phiếu niêm yết</t>
        </is>
      </c>
      <c r="E1078" s="55" t="n"/>
      <c r="F1078" s="4" t="inlineStr">
        <is>
          <t>Báo cáo</t>
        </is>
      </c>
      <c r="G1078" s="22" t="inlineStr">
        <is>
          <t>Chỉ tiêu phái sinh</t>
        </is>
      </c>
      <c r="H1078" s="4" t="inlineStr">
        <is>
          <t>TB</t>
        </is>
      </c>
      <c r="I1078" s="55" t="n"/>
      <c r="J1078" s="55" t="n"/>
      <c r="K1078" s="55" t="n"/>
      <c r="L1078" s="55" t="n"/>
      <c r="M1078" s="55" t="n"/>
      <c r="N1078" s="55" t="n"/>
      <c r="O1078" s="55" t="n"/>
      <c r="P1078" s="55" t="n"/>
      <c r="Q1078" s="55" t="n"/>
      <c r="R1078" s="55" t="n"/>
      <c r="S1078" s="55" t="n"/>
      <c r="T1078" s="55" t="n"/>
      <c r="U1078" s="55" t="n"/>
      <c r="V1078" s="55" t="n"/>
      <c r="W1078" s="55" t="n"/>
      <c r="X1078" s="55" t="n"/>
      <c r="Y1078" s="55" t="n"/>
      <c r="Z1078" s="55" t="n"/>
      <c r="AA1078" s="55" t="n"/>
      <c r="AB1078" s="55" t="n"/>
      <c r="AC1078" s="55" t="n"/>
      <c r="AD1078" s="55" t="n"/>
      <c r="AE1078" s="55" t="n"/>
    </row>
    <row r="1079" ht="16.5" customHeight="1" s="380">
      <c r="A1079" s="55" t="n"/>
      <c r="B1079" s="4" t="inlineStr">
        <is>
          <t>HNX04 (LK)</t>
        </is>
      </c>
      <c r="C1079" s="216" t="n"/>
      <c r="D1079" s="216" t="inlineStr">
        <is>
          <t>Cổ phiếu đăng ký giao dịch</t>
        </is>
      </c>
      <c r="E1079" s="55" t="n"/>
      <c r="F1079" s="4" t="inlineStr">
        <is>
          <t>Báo cáo</t>
        </is>
      </c>
      <c r="G1079" s="22" t="inlineStr">
        <is>
          <t>Chỉ tiêu phái sinh</t>
        </is>
      </c>
      <c r="H1079" s="4" t="inlineStr">
        <is>
          <t>TB</t>
        </is>
      </c>
      <c r="I1079" s="55" t="n"/>
      <c r="J1079" s="55" t="n"/>
      <c r="K1079" s="55" t="n"/>
      <c r="L1079" s="55" t="n"/>
      <c r="M1079" s="55" t="n"/>
      <c r="N1079" s="55" t="n"/>
      <c r="O1079" s="55" t="n"/>
      <c r="P1079" s="55" t="n"/>
      <c r="Q1079" s="55" t="n"/>
      <c r="R1079" s="55" t="n"/>
      <c r="S1079" s="55" t="n"/>
      <c r="T1079" s="55" t="n"/>
      <c r="U1079" s="55" t="n"/>
      <c r="V1079" s="55" t="n"/>
      <c r="W1079" s="55" t="n"/>
      <c r="X1079" s="55" t="n"/>
      <c r="Y1079" s="55" t="n"/>
      <c r="Z1079" s="55" t="n"/>
      <c r="AA1079" s="55" t="n"/>
      <c r="AB1079" s="55" t="n"/>
      <c r="AC1079" s="55" t="n"/>
      <c r="AD1079" s="55" t="n"/>
      <c r="AE1079" s="55" t="n"/>
    </row>
    <row r="1080" ht="16.5" customHeight="1" s="380">
      <c r="A1080" s="55" t="n"/>
      <c r="B1080" s="4" t="inlineStr">
        <is>
          <t>HNX04 (LK)</t>
        </is>
      </c>
      <c r="C1080" s="216" t="n"/>
      <c r="D1080" s="216" t="inlineStr">
        <is>
          <t>Trái phiếu chính phủ</t>
        </is>
      </c>
      <c r="E1080" s="55" t="n"/>
      <c r="F1080" s="4" t="inlineStr">
        <is>
          <t>Báo cáo</t>
        </is>
      </c>
      <c r="G1080" s="22" t="inlineStr">
        <is>
          <t>Chỉ tiêu phái sinh</t>
        </is>
      </c>
      <c r="H1080" s="4" t="inlineStr">
        <is>
          <t>TB</t>
        </is>
      </c>
      <c r="I1080" s="55" t="n"/>
      <c r="J1080" s="55" t="n"/>
      <c r="K1080" s="55" t="n"/>
      <c r="L1080" s="55" t="n"/>
      <c r="M1080" s="55" t="n"/>
      <c r="N1080" s="55" t="n"/>
      <c r="O1080" s="55" t="n"/>
      <c r="P1080" s="55" t="n"/>
      <c r="Q1080" s="55" t="n"/>
      <c r="R1080" s="55" t="n"/>
      <c r="S1080" s="55" t="n"/>
      <c r="T1080" s="55" t="n"/>
      <c r="U1080" s="55" t="n"/>
      <c r="V1080" s="55" t="n"/>
      <c r="W1080" s="55" t="n"/>
      <c r="X1080" s="55" t="n"/>
      <c r="Y1080" s="55" t="n"/>
      <c r="Z1080" s="55" t="n"/>
      <c r="AA1080" s="55" t="n"/>
      <c r="AB1080" s="55" t="n"/>
      <c r="AC1080" s="55" t="n"/>
      <c r="AD1080" s="55" t="n"/>
      <c r="AE1080" s="55" t="n"/>
    </row>
    <row r="1081" ht="16.5" customHeight="1" s="380">
      <c r="A1081" s="55" t="n"/>
      <c r="B1081" s="4" t="inlineStr">
        <is>
          <t>HNX04 (LK)</t>
        </is>
      </c>
      <c r="C1081" s="216" t="n"/>
      <c r="D1081" s="216" t="inlineStr">
        <is>
          <t>Trái phiếu chính quyền địa phương</t>
        </is>
      </c>
      <c r="E1081" s="55" t="n"/>
      <c r="F1081" s="4" t="inlineStr">
        <is>
          <t>Báo cáo</t>
        </is>
      </c>
      <c r="G1081" s="22" t="inlineStr">
        <is>
          <t>Chỉ tiêu phái sinh</t>
        </is>
      </c>
      <c r="H1081" s="4" t="inlineStr">
        <is>
          <t>TB</t>
        </is>
      </c>
      <c r="I1081" s="55" t="n"/>
      <c r="J1081" s="55" t="n"/>
      <c r="K1081" s="55" t="n"/>
      <c r="L1081" s="55" t="n"/>
      <c r="M1081" s="55" t="n"/>
      <c r="N1081" s="55" t="n"/>
      <c r="O1081" s="55" t="n"/>
      <c r="P1081" s="55" t="n"/>
      <c r="Q1081" s="55" t="n"/>
      <c r="R1081" s="55" t="n"/>
      <c r="S1081" s="55" t="n"/>
      <c r="T1081" s="55" t="n"/>
      <c r="U1081" s="55" t="n"/>
      <c r="V1081" s="55" t="n"/>
      <c r="W1081" s="55" t="n"/>
      <c r="X1081" s="55" t="n"/>
      <c r="Y1081" s="55" t="n"/>
      <c r="Z1081" s="55" t="n"/>
      <c r="AA1081" s="55" t="n"/>
      <c r="AB1081" s="55" t="n"/>
      <c r="AC1081" s="55" t="n"/>
      <c r="AD1081" s="55" t="n"/>
      <c r="AE1081" s="55" t="n"/>
    </row>
    <row r="1082" ht="16.5" customHeight="1" s="380">
      <c r="A1082" s="55" t="n"/>
      <c r="B1082" s="4" t="inlineStr">
        <is>
          <t>HNX04 (LK)</t>
        </is>
      </c>
      <c r="C1082" s="216" t="n"/>
      <c r="D1082" s="216" t="inlineStr">
        <is>
          <t>Trái phiếu chính phủ bảo lãnh</t>
        </is>
      </c>
      <c r="E1082" s="55" t="n"/>
      <c r="F1082" s="4" t="inlineStr">
        <is>
          <t>Báo cáo</t>
        </is>
      </c>
      <c r="G1082" s="22" t="inlineStr">
        <is>
          <t>Chỉ tiêu phái sinh</t>
        </is>
      </c>
      <c r="H1082" s="4" t="inlineStr">
        <is>
          <t>TB</t>
        </is>
      </c>
      <c r="I1082" s="55" t="n"/>
      <c r="J1082" s="55" t="n"/>
      <c r="K1082" s="55" t="n"/>
      <c r="L1082" s="55" t="n"/>
      <c r="M1082" s="55" t="n"/>
      <c r="N1082" s="55" t="n"/>
      <c r="O1082" s="55" t="n"/>
      <c r="P1082" s="55" t="n"/>
      <c r="Q1082" s="55" t="n"/>
      <c r="R1082" s="55" t="n"/>
      <c r="S1082" s="55" t="n"/>
      <c r="T1082" s="55" t="n"/>
      <c r="U1082" s="55" t="n"/>
      <c r="V1082" s="55" t="n"/>
      <c r="W1082" s="55" t="n"/>
      <c r="X1082" s="55" t="n"/>
      <c r="Y1082" s="55" t="n"/>
      <c r="Z1082" s="55" t="n"/>
      <c r="AA1082" s="55" t="n"/>
      <c r="AB1082" s="55" t="n"/>
      <c r="AC1082" s="55" t="n"/>
      <c r="AD1082" s="55" t="n"/>
      <c r="AE1082" s="55" t="n"/>
    </row>
    <row r="1083" ht="16.5" customHeight="1" s="380">
      <c r="A1083" s="55" t="n"/>
      <c r="B1083" s="4" t="inlineStr">
        <is>
          <t>HNX04 (LK)</t>
        </is>
      </c>
      <c r="C1083" s="216" t="n"/>
      <c r="D1083" s="216" t="inlineStr">
        <is>
          <t>Trái phiếu doanh nghiệp</t>
        </is>
      </c>
      <c r="E1083" s="55" t="n"/>
      <c r="F1083" s="4" t="inlineStr">
        <is>
          <t>Báo cáo</t>
        </is>
      </c>
      <c r="G1083" s="22" t="inlineStr">
        <is>
          <t>Chỉ tiêu phái sinh</t>
        </is>
      </c>
      <c r="H1083" s="4" t="inlineStr">
        <is>
          <t>TB</t>
        </is>
      </c>
      <c r="I1083" s="55" t="n"/>
      <c r="J1083" s="55" t="n"/>
      <c r="K1083" s="55" t="n"/>
      <c r="L1083" s="55" t="n"/>
      <c r="M1083" s="55" t="n"/>
      <c r="N1083" s="55" t="n"/>
      <c r="O1083" s="55" t="n"/>
      <c r="P1083" s="55" t="n"/>
      <c r="Q1083" s="55" t="n"/>
      <c r="R1083" s="55" t="n"/>
      <c r="S1083" s="55" t="n"/>
      <c r="T1083" s="55" t="n"/>
      <c r="U1083" s="55" t="n"/>
      <c r="V1083" s="55" t="n"/>
      <c r="W1083" s="55" t="n"/>
      <c r="X1083" s="55" t="n"/>
      <c r="Y1083" s="55" t="n"/>
      <c r="Z1083" s="55" t="n"/>
      <c r="AA1083" s="55" t="n"/>
      <c r="AB1083" s="55" t="n"/>
      <c r="AC1083" s="55" t="n"/>
      <c r="AD1083" s="55" t="n"/>
      <c r="AE1083" s="55" t="n"/>
    </row>
    <row r="1084" ht="16.5" customHeight="1" s="380">
      <c r="A1084" s="55" t="n"/>
      <c r="B1084" s="4" t="inlineStr">
        <is>
          <t>HNX04 (LK)</t>
        </is>
      </c>
      <c r="C1084" s="216" t="n"/>
      <c r="D1084" s="216" t="inlineStr">
        <is>
          <t>Tín phiếu kho bạc</t>
        </is>
      </c>
      <c r="E1084" s="55" t="n"/>
      <c r="F1084" s="4" t="inlineStr">
        <is>
          <t>Báo cáo</t>
        </is>
      </c>
      <c r="G1084" s="22" t="inlineStr">
        <is>
          <t>Chỉ tiêu phái sinh</t>
        </is>
      </c>
      <c r="H1084" s="4" t="inlineStr">
        <is>
          <t>TB</t>
        </is>
      </c>
      <c r="I1084" s="55" t="n"/>
      <c r="J1084" s="55" t="n"/>
      <c r="K1084" s="55" t="n"/>
      <c r="L1084" s="55" t="n"/>
      <c r="M1084" s="55" t="n"/>
      <c r="N1084" s="55" t="n"/>
      <c r="O1084" s="55" t="n"/>
      <c r="P1084" s="55" t="n"/>
      <c r="Q1084" s="55" t="n"/>
      <c r="R1084" s="55" t="n"/>
      <c r="S1084" s="55" t="n"/>
      <c r="T1084" s="55" t="n"/>
      <c r="U1084" s="55" t="n"/>
      <c r="V1084" s="55" t="n"/>
      <c r="W1084" s="55" t="n"/>
      <c r="X1084" s="55" t="n"/>
      <c r="Y1084" s="55" t="n"/>
      <c r="Z1084" s="55" t="n"/>
      <c r="AA1084" s="55" t="n"/>
      <c r="AB1084" s="55" t="n"/>
      <c r="AC1084" s="55" t="n"/>
      <c r="AD1084" s="55" t="n"/>
      <c r="AE1084" s="55" t="n"/>
    </row>
    <row r="1085" ht="16.5" customHeight="1" s="380">
      <c r="A1085" s="55" t="n"/>
      <c r="B1085" s="4" t="inlineStr">
        <is>
          <t>HNX04 (LK)</t>
        </is>
      </c>
      <c r="C1085" s="216" t="n"/>
      <c r="D1085" s="216" t="inlineStr">
        <is>
          <t>Chứng chỉ quỹ (ETF)</t>
        </is>
      </c>
      <c r="E1085" s="55" t="n"/>
      <c r="F1085" s="4" t="inlineStr">
        <is>
          <t>Báo cáo</t>
        </is>
      </c>
      <c r="G1085" s="22" t="inlineStr">
        <is>
          <t>Chỉ tiêu phái sinh</t>
        </is>
      </c>
      <c r="H1085" s="4" t="inlineStr">
        <is>
          <t>TB</t>
        </is>
      </c>
      <c r="I1085" s="55" t="n"/>
      <c r="J1085" s="55" t="n"/>
      <c r="K1085" s="55" t="n"/>
      <c r="L1085" s="55" t="n"/>
      <c r="M1085" s="55" t="n"/>
      <c r="N1085" s="55" t="n"/>
      <c r="O1085" s="55" t="n"/>
      <c r="P1085" s="55" t="n"/>
      <c r="Q1085" s="55" t="n"/>
      <c r="R1085" s="55" t="n"/>
      <c r="S1085" s="55" t="n"/>
      <c r="T1085" s="55" t="n"/>
      <c r="U1085" s="55" t="n"/>
      <c r="V1085" s="55" t="n"/>
      <c r="W1085" s="55" t="n"/>
      <c r="X1085" s="55" t="n"/>
      <c r="Y1085" s="55" t="n"/>
      <c r="Z1085" s="55" t="n"/>
      <c r="AA1085" s="55" t="n"/>
      <c r="AB1085" s="55" t="n"/>
      <c r="AC1085" s="55" t="n"/>
      <c r="AD1085" s="55" t="n"/>
      <c r="AE1085" s="55" t="n"/>
    </row>
    <row r="1086" ht="16.5" customHeight="1" s="380">
      <c r="A1086" s="55" t="n"/>
      <c r="B1086" s="4" t="inlineStr">
        <is>
          <t>HNX04 (LK)</t>
        </is>
      </c>
      <c r="C1086" s="216" t="n"/>
      <c r="D1086" s="216" t="inlineStr">
        <is>
          <t>Chứng khoán niêm yết mới (mã chứng khoán)</t>
        </is>
      </c>
      <c r="E1086" s="55" t="n"/>
      <c r="F1086" s="4" t="inlineStr">
        <is>
          <t>Báo cáo</t>
        </is>
      </c>
      <c r="G1086" s="22" t="inlineStr">
        <is>
          <t>Chỉ tiêu phái sinh</t>
        </is>
      </c>
      <c r="H1086" s="4" t="inlineStr">
        <is>
          <t>TB</t>
        </is>
      </c>
      <c r="I1086" s="55" t="n"/>
      <c r="J1086" s="55" t="n"/>
      <c r="K1086" s="55" t="n"/>
      <c r="L1086" s="55" t="n"/>
      <c r="M1086" s="55" t="n"/>
      <c r="N1086" s="55" t="n"/>
      <c r="O1086" s="55" t="n"/>
      <c r="P1086" s="55" t="n"/>
      <c r="Q1086" s="55" t="n"/>
      <c r="R1086" s="55" t="n"/>
      <c r="S1086" s="55" t="n"/>
      <c r="T1086" s="55" t="n"/>
      <c r="U1086" s="55" t="n"/>
      <c r="V1086" s="55" t="n"/>
      <c r="W1086" s="55" t="n"/>
      <c r="X1086" s="55" t="n"/>
      <c r="Y1086" s="55" t="n"/>
      <c r="Z1086" s="55" t="n"/>
      <c r="AA1086" s="55" t="n"/>
      <c r="AB1086" s="55" t="n"/>
      <c r="AC1086" s="55" t="n"/>
      <c r="AD1086" s="55" t="n"/>
      <c r="AE1086" s="55" t="n"/>
    </row>
    <row r="1087" ht="16.5" customHeight="1" s="380">
      <c r="A1087" s="55" t="n"/>
      <c r="B1087" s="4" t="inlineStr">
        <is>
          <t>HNX04 (LK)</t>
        </is>
      </c>
      <c r="C1087" s="216" t="n"/>
      <c r="D1087" s="216" t="inlineStr">
        <is>
          <t>Cổ phiếu niêm yết</t>
        </is>
      </c>
      <c r="E1087" s="55" t="n"/>
      <c r="F1087" s="4" t="inlineStr">
        <is>
          <t>Báo cáo</t>
        </is>
      </c>
      <c r="G1087" s="22" t="inlineStr">
        <is>
          <t>Chỉ tiêu phái sinh</t>
        </is>
      </c>
      <c r="H1087" s="4" t="inlineStr">
        <is>
          <t>TB</t>
        </is>
      </c>
      <c r="I1087" s="55" t="n"/>
      <c r="J1087" s="55" t="n"/>
      <c r="K1087" s="55" t="n"/>
      <c r="L1087" s="55" t="n"/>
      <c r="M1087" s="55" t="n"/>
      <c r="N1087" s="55" t="n"/>
      <c r="O1087" s="55" t="n"/>
      <c r="P1087" s="55" t="n"/>
      <c r="Q1087" s="55" t="n"/>
      <c r="R1087" s="55" t="n"/>
      <c r="S1087" s="55" t="n"/>
      <c r="T1087" s="55" t="n"/>
      <c r="U1087" s="55" t="n"/>
      <c r="V1087" s="55" t="n"/>
      <c r="W1087" s="55" t="n"/>
      <c r="X1087" s="55" t="n"/>
      <c r="Y1087" s="55" t="n"/>
      <c r="Z1087" s="55" t="n"/>
      <c r="AA1087" s="55" t="n"/>
      <c r="AB1087" s="55" t="n"/>
      <c r="AC1087" s="55" t="n"/>
      <c r="AD1087" s="55" t="n"/>
      <c r="AE1087" s="55" t="n"/>
    </row>
    <row r="1088" ht="16.5" customHeight="1" s="380">
      <c r="A1088" s="55" t="n"/>
      <c r="B1088" s="4" t="inlineStr">
        <is>
          <t>HNX04 (LK)</t>
        </is>
      </c>
      <c r="C1088" s="216" t="n"/>
      <c r="D1088" s="216" t="inlineStr">
        <is>
          <t>Cổ phiếu đăng ký giao dịch</t>
        </is>
      </c>
      <c r="E1088" s="55" t="n"/>
      <c r="F1088" s="4" t="inlineStr">
        <is>
          <t>Báo cáo</t>
        </is>
      </c>
      <c r="G1088" s="22" t="inlineStr">
        <is>
          <t>Chỉ tiêu phái sinh</t>
        </is>
      </c>
      <c r="H1088" s="4" t="inlineStr">
        <is>
          <t>TB</t>
        </is>
      </c>
      <c r="I1088" s="55" t="n"/>
      <c r="J1088" s="55" t="n"/>
      <c r="K1088" s="55" t="n"/>
      <c r="L1088" s="55" t="n"/>
      <c r="M1088" s="55" t="n"/>
      <c r="N1088" s="55" t="n"/>
      <c r="O1088" s="55" t="n"/>
      <c r="P1088" s="55" t="n"/>
      <c r="Q1088" s="55" t="n"/>
      <c r="R1088" s="55" t="n"/>
      <c r="S1088" s="55" t="n"/>
      <c r="T1088" s="55" t="n"/>
      <c r="U1088" s="55" t="n"/>
      <c r="V1088" s="55" t="n"/>
      <c r="W1088" s="55" t="n"/>
      <c r="X1088" s="55" t="n"/>
      <c r="Y1088" s="55" t="n"/>
      <c r="Z1088" s="55" t="n"/>
      <c r="AA1088" s="55" t="n"/>
      <c r="AB1088" s="55" t="n"/>
      <c r="AC1088" s="55" t="n"/>
      <c r="AD1088" s="55" t="n"/>
      <c r="AE1088" s="55" t="n"/>
    </row>
    <row r="1089" ht="16.5" customHeight="1" s="380">
      <c r="A1089" s="55" t="n"/>
      <c r="B1089" s="4" t="inlineStr">
        <is>
          <t>HNX04 (LK)</t>
        </is>
      </c>
      <c r="C1089" s="216" t="n"/>
      <c r="D1089" s="216" t="inlineStr">
        <is>
          <t>Trái phiếu chính phủ</t>
        </is>
      </c>
      <c r="E1089" s="55" t="n"/>
      <c r="F1089" s="4" t="inlineStr">
        <is>
          <t>Báo cáo</t>
        </is>
      </c>
      <c r="G1089" s="22" t="inlineStr">
        <is>
          <t>Chỉ tiêu phái sinh</t>
        </is>
      </c>
      <c r="H1089" s="4" t="inlineStr">
        <is>
          <t>TB</t>
        </is>
      </c>
      <c r="I1089" s="55" t="n"/>
      <c r="J1089" s="55" t="n"/>
      <c r="K1089" s="55" t="n"/>
      <c r="L1089" s="55" t="n"/>
      <c r="M1089" s="55" t="n"/>
      <c r="N1089" s="55" t="n"/>
      <c r="O1089" s="55" t="n"/>
      <c r="P1089" s="55" t="n"/>
      <c r="Q1089" s="55" t="n"/>
      <c r="R1089" s="55" t="n"/>
      <c r="S1089" s="55" t="n"/>
      <c r="T1089" s="55" t="n"/>
      <c r="U1089" s="55" t="n"/>
      <c r="V1089" s="55" t="n"/>
      <c r="W1089" s="55" t="n"/>
      <c r="X1089" s="55" t="n"/>
      <c r="Y1089" s="55" t="n"/>
      <c r="Z1089" s="55" t="n"/>
      <c r="AA1089" s="55" t="n"/>
      <c r="AB1089" s="55" t="n"/>
      <c r="AC1089" s="55" t="n"/>
      <c r="AD1089" s="55" t="n"/>
      <c r="AE1089" s="55" t="n"/>
    </row>
    <row r="1090" ht="16.5" customHeight="1" s="380">
      <c r="A1090" s="55" t="n"/>
      <c r="B1090" s="4" t="inlineStr">
        <is>
          <t>HNX04 (LK)</t>
        </is>
      </c>
      <c r="C1090" s="216" t="n"/>
      <c r="D1090" s="216" t="inlineStr">
        <is>
          <t>Trái phiếu chính quyền địa phương</t>
        </is>
      </c>
      <c r="E1090" s="55" t="n"/>
      <c r="F1090" s="4" t="inlineStr">
        <is>
          <t>Báo cáo</t>
        </is>
      </c>
      <c r="G1090" s="22" t="inlineStr">
        <is>
          <t>Chỉ tiêu phái sinh</t>
        </is>
      </c>
      <c r="H1090" s="4" t="inlineStr">
        <is>
          <t>TB</t>
        </is>
      </c>
      <c r="I1090" s="55" t="n"/>
      <c r="J1090" s="55" t="n"/>
      <c r="K1090" s="55" t="n"/>
      <c r="L1090" s="55" t="n"/>
      <c r="M1090" s="55" t="n"/>
      <c r="N1090" s="55" t="n"/>
      <c r="O1090" s="55" t="n"/>
      <c r="P1090" s="55" t="n"/>
      <c r="Q1090" s="55" t="n"/>
      <c r="R1090" s="55" t="n"/>
      <c r="S1090" s="55" t="n"/>
      <c r="T1090" s="55" t="n"/>
      <c r="U1090" s="55" t="n"/>
      <c r="V1090" s="55" t="n"/>
      <c r="W1090" s="55" t="n"/>
      <c r="X1090" s="55" t="n"/>
      <c r="Y1090" s="55" t="n"/>
      <c r="Z1090" s="55" t="n"/>
      <c r="AA1090" s="55" t="n"/>
      <c r="AB1090" s="55" t="n"/>
      <c r="AC1090" s="55" t="n"/>
      <c r="AD1090" s="55" t="n"/>
      <c r="AE1090" s="55" t="n"/>
    </row>
    <row r="1091" ht="16.5" customHeight="1" s="380">
      <c r="A1091" s="55" t="n"/>
      <c r="B1091" s="4" t="inlineStr">
        <is>
          <t>HNX04 (LK)</t>
        </is>
      </c>
      <c r="C1091" s="216" t="n"/>
      <c r="D1091" s="216" t="inlineStr">
        <is>
          <t>Trái phiếu chính phủ bảo lãnh</t>
        </is>
      </c>
      <c r="E1091" s="55" t="n"/>
      <c r="F1091" s="4" t="inlineStr">
        <is>
          <t>Báo cáo</t>
        </is>
      </c>
      <c r="G1091" s="22" t="inlineStr">
        <is>
          <t>Chỉ tiêu phái sinh</t>
        </is>
      </c>
      <c r="H1091" s="4" t="inlineStr">
        <is>
          <t>TB</t>
        </is>
      </c>
      <c r="I1091" s="55" t="n"/>
      <c r="J1091" s="55" t="n"/>
      <c r="K1091" s="55" t="n"/>
      <c r="L1091" s="55" t="n"/>
      <c r="M1091" s="55" t="n"/>
      <c r="N1091" s="55" t="n"/>
      <c r="O1091" s="55" t="n"/>
      <c r="P1091" s="55" t="n"/>
      <c r="Q1091" s="55" t="n"/>
      <c r="R1091" s="55" t="n"/>
      <c r="S1091" s="55" t="n"/>
      <c r="T1091" s="55" t="n"/>
      <c r="U1091" s="55" t="n"/>
      <c r="V1091" s="55" t="n"/>
      <c r="W1091" s="55" t="n"/>
      <c r="X1091" s="55" t="n"/>
      <c r="Y1091" s="55" t="n"/>
      <c r="Z1091" s="55" t="n"/>
      <c r="AA1091" s="55" t="n"/>
      <c r="AB1091" s="55" t="n"/>
      <c r="AC1091" s="55" t="n"/>
      <c r="AD1091" s="55" t="n"/>
      <c r="AE1091" s="55" t="n"/>
    </row>
    <row r="1092" ht="16.5" customHeight="1" s="380">
      <c r="A1092" s="55" t="n"/>
      <c r="B1092" s="4" t="inlineStr">
        <is>
          <t>HNX04 (LK)</t>
        </is>
      </c>
      <c r="C1092" s="216" t="n"/>
      <c r="D1092" s="216" t="inlineStr">
        <is>
          <t>Trái phiếu doanh nghiệp</t>
        </is>
      </c>
      <c r="E1092" s="55" t="n"/>
      <c r="F1092" s="4" t="inlineStr">
        <is>
          <t>Báo cáo</t>
        </is>
      </c>
      <c r="G1092" s="22" t="inlineStr">
        <is>
          <t>Chỉ tiêu phái sinh</t>
        </is>
      </c>
      <c r="H1092" s="4" t="inlineStr">
        <is>
          <t>TB</t>
        </is>
      </c>
      <c r="I1092" s="55" t="n"/>
      <c r="J1092" s="55" t="n"/>
      <c r="K1092" s="55" t="n"/>
      <c r="L1092" s="55" t="n"/>
      <c r="M1092" s="55" t="n"/>
      <c r="N1092" s="55" t="n"/>
      <c r="O1092" s="55" t="n"/>
      <c r="P1092" s="55" t="n"/>
      <c r="Q1092" s="55" t="n"/>
      <c r="R1092" s="55" t="n"/>
      <c r="S1092" s="55" t="n"/>
      <c r="T1092" s="55" t="n"/>
      <c r="U1092" s="55" t="n"/>
      <c r="V1092" s="55" t="n"/>
      <c r="W1092" s="55" t="n"/>
      <c r="X1092" s="55" t="n"/>
      <c r="Y1092" s="55" t="n"/>
      <c r="Z1092" s="55" t="n"/>
      <c r="AA1092" s="55" t="n"/>
      <c r="AB1092" s="55" t="n"/>
      <c r="AC1092" s="55" t="n"/>
      <c r="AD1092" s="55" t="n"/>
      <c r="AE1092" s="55" t="n"/>
    </row>
    <row r="1093" ht="16.5" customHeight="1" s="380">
      <c r="A1093" s="55" t="n"/>
      <c r="B1093" s="4" t="inlineStr">
        <is>
          <t>HNX04 (LK)</t>
        </is>
      </c>
      <c r="C1093" s="216" t="n"/>
      <c r="D1093" s="216" t="inlineStr">
        <is>
          <t>Tín phiếu kho bạc</t>
        </is>
      </c>
      <c r="E1093" s="55" t="n"/>
      <c r="F1093" s="4" t="inlineStr">
        <is>
          <t>Báo cáo</t>
        </is>
      </c>
      <c r="G1093" s="22" t="inlineStr">
        <is>
          <t>Chỉ tiêu phái sinh</t>
        </is>
      </c>
      <c r="H1093" s="4" t="inlineStr">
        <is>
          <t>TB</t>
        </is>
      </c>
      <c r="I1093" s="55" t="n"/>
      <c r="J1093" s="55" t="n"/>
      <c r="K1093" s="55" t="n"/>
      <c r="L1093" s="55" t="n"/>
      <c r="M1093" s="55" t="n"/>
      <c r="N1093" s="55" t="n"/>
      <c r="O1093" s="55" t="n"/>
      <c r="P1093" s="55" t="n"/>
      <c r="Q1093" s="55" t="n"/>
      <c r="R1093" s="55" t="n"/>
      <c r="S1093" s="55" t="n"/>
      <c r="T1093" s="55" t="n"/>
      <c r="U1093" s="55" t="n"/>
      <c r="V1093" s="55" t="n"/>
      <c r="W1093" s="55" t="n"/>
      <c r="X1093" s="55" t="n"/>
      <c r="Y1093" s="55" t="n"/>
      <c r="Z1093" s="55" t="n"/>
      <c r="AA1093" s="55" t="n"/>
      <c r="AB1093" s="55" t="n"/>
      <c r="AC1093" s="55" t="n"/>
      <c r="AD1093" s="55" t="n"/>
      <c r="AE1093" s="55" t="n"/>
    </row>
    <row r="1094" ht="16.5" customHeight="1" s="380">
      <c r="A1094" s="55" t="n"/>
      <c r="B1094" s="4" t="inlineStr">
        <is>
          <t>HNX04 (LK)</t>
        </is>
      </c>
      <c r="C1094" s="216" t="n"/>
      <c r="D1094" s="216" t="inlineStr">
        <is>
          <t>Chứng chỉ quỹ (ETF)</t>
        </is>
      </c>
      <c r="E1094" s="55" t="n"/>
      <c r="F1094" s="4" t="inlineStr">
        <is>
          <t>Báo cáo</t>
        </is>
      </c>
      <c r="G1094" s="22" t="inlineStr">
        <is>
          <t>Chỉ tiêu phái sinh</t>
        </is>
      </c>
      <c r="H1094" s="4" t="inlineStr">
        <is>
          <t>TB</t>
        </is>
      </c>
      <c r="I1094" s="55" t="n"/>
      <c r="J1094" s="55" t="n"/>
      <c r="K1094" s="55" t="n"/>
      <c r="L1094" s="55" t="n"/>
      <c r="M1094" s="55" t="n"/>
      <c r="N1094" s="55" t="n"/>
      <c r="O1094" s="55" t="n"/>
      <c r="P1094" s="55" t="n"/>
      <c r="Q1094" s="55" t="n"/>
      <c r="R1094" s="55" t="n"/>
      <c r="S1094" s="55" t="n"/>
      <c r="T1094" s="55" t="n"/>
      <c r="U1094" s="55" t="n"/>
      <c r="V1094" s="55" t="n"/>
      <c r="W1094" s="55" t="n"/>
      <c r="X1094" s="55" t="n"/>
      <c r="Y1094" s="55" t="n"/>
      <c r="Z1094" s="55" t="n"/>
      <c r="AA1094" s="55" t="n"/>
      <c r="AB1094" s="55" t="n"/>
      <c r="AC1094" s="55" t="n"/>
      <c r="AD1094" s="55" t="n"/>
      <c r="AE1094" s="55" t="n"/>
    </row>
    <row r="1095" ht="16.5" customHeight="1" s="380">
      <c r="A1095" s="55" t="n"/>
      <c r="B1095" s="4" t="inlineStr">
        <is>
          <t>HNX04 (LK)</t>
        </is>
      </c>
      <c r="C1095" s="216" t="n"/>
      <c r="D1095" s="216" t="inlineStr">
        <is>
          <t>Chứng khoán hủy niêm yết (mã chứng khoán)</t>
        </is>
      </c>
      <c r="E1095" s="55" t="n"/>
      <c r="F1095" s="4" t="inlineStr">
        <is>
          <t>Báo cáo</t>
        </is>
      </c>
      <c r="G1095" s="22" t="inlineStr">
        <is>
          <t>Chỉ tiêu phái sinh</t>
        </is>
      </c>
      <c r="H1095" s="4" t="inlineStr">
        <is>
          <t>TB</t>
        </is>
      </c>
      <c r="I1095" s="55" t="n"/>
      <c r="J1095" s="55" t="n"/>
      <c r="K1095" s="55" t="n"/>
      <c r="L1095" s="55" t="n"/>
      <c r="M1095" s="55" t="n"/>
      <c r="N1095" s="55" t="n"/>
      <c r="O1095" s="55" t="n"/>
      <c r="P1095" s="55" t="n"/>
      <c r="Q1095" s="55" t="n"/>
      <c r="R1095" s="55" t="n"/>
      <c r="S1095" s="55" t="n"/>
      <c r="T1095" s="55" t="n"/>
      <c r="U1095" s="55" t="n"/>
      <c r="V1095" s="55" t="n"/>
      <c r="W1095" s="55" t="n"/>
      <c r="X1095" s="55" t="n"/>
      <c r="Y1095" s="55" t="n"/>
      <c r="Z1095" s="55" t="n"/>
      <c r="AA1095" s="55" t="n"/>
      <c r="AB1095" s="55" t="n"/>
      <c r="AC1095" s="55" t="n"/>
      <c r="AD1095" s="55" t="n"/>
      <c r="AE1095" s="55" t="n"/>
    </row>
    <row r="1096" ht="16.5" customHeight="1" s="380">
      <c r="A1096" s="55" t="n"/>
      <c r="B1096" s="4" t="inlineStr">
        <is>
          <t>HNX04 (LK)</t>
        </is>
      </c>
      <c r="C1096" s="216" t="n"/>
      <c r="D1096" s="216" t="inlineStr">
        <is>
          <t>Cổ phiếu niêm yết</t>
        </is>
      </c>
      <c r="E1096" s="55" t="n"/>
      <c r="F1096" s="4" t="inlineStr">
        <is>
          <t>Báo cáo</t>
        </is>
      </c>
      <c r="G1096" s="22" t="inlineStr">
        <is>
          <t>Chỉ tiêu phái sinh</t>
        </is>
      </c>
      <c r="H1096" s="4" t="inlineStr">
        <is>
          <t>TB</t>
        </is>
      </c>
      <c r="I1096" s="55" t="n"/>
      <c r="J1096" s="55" t="n"/>
      <c r="K1096" s="55" t="n"/>
      <c r="L1096" s="55" t="n"/>
      <c r="M1096" s="55" t="n"/>
      <c r="N1096" s="55" t="n"/>
      <c r="O1096" s="55" t="n"/>
      <c r="P1096" s="55" t="n"/>
      <c r="Q1096" s="55" t="n"/>
      <c r="R1096" s="55" t="n"/>
      <c r="S1096" s="55" t="n"/>
      <c r="T1096" s="55" t="n"/>
      <c r="U1096" s="55" t="n"/>
      <c r="V1096" s="55" t="n"/>
      <c r="W1096" s="55" t="n"/>
      <c r="X1096" s="55" t="n"/>
      <c r="Y1096" s="55" t="n"/>
      <c r="Z1096" s="55" t="n"/>
      <c r="AA1096" s="55" t="n"/>
      <c r="AB1096" s="55" t="n"/>
      <c r="AC1096" s="55" t="n"/>
      <c r="AD1096" s="55" t="n"/>
      <c r="AE1096" s="55" t="n"/>
    </row>
    <row r="1097" ht="16.5" customHeight="1" s="380">
      <c r="A1097" s="55" t="n"/>
      <c r="B1097" s="4" t="inlineStr">
        <is>
          <t>HNX04 (LK)</t>
        </is>
      </c>
      <c r="C1097" s="216" t="n"/>
      <c r="D1097" s="216" t="inlineStr">
        <is>
          <t>Cổ phiếu đăng ký giao dịch</t>
        </is>
      </c>
      <c r="E1097" s="55" t="n"/>
      <c r="F1097" s="4" t="inlineStr">
        <is>
          <t>Báo cáo</t>
        </is>
      </c>
      <c r="G1097" s="22" t="inlineStr">
        <is>
          <t>Chỉ tiêu phái sinh</t>
        </is>
      </c>
      <c r="H1097" s="4" t="inlineStr">
        <is>
          <t>TB</t>
        </is>
      </c>
      <c r="I1097" s="55" t="n"/>
      <c r="J1097" s="55" t="n"/>
      <c r="K1097" s="55" t="n"/>
      <c r="L1097" s="55" t="n"/>
      <c r="M1097" s="55" t="n"/>
      <c r="N1097" s="55" t="n"/>
      <c r="O1097" s="55" t="n"/>
      <c r="P1097" s="55" t="n"/>
      <c r="Q1097" s="55" t="n"/>
      <c r="R1097" s="55" t="n"/>
      <c r="S1097" s="55" t="n"/>
      <c r="T1097" s="55" t="n"/>
      <c r="U1097" s="55" t="n"/>
      <c r="V1097" s="55" t="n"/>
      <c r="W1097" s="55" t="n"/>
      <c r="X1097" s="55" t="n"/>
      <c r="Y1097" s="55" t="n"/>
      <c r="Z1097" s="55" t="n"/>
      <c r="AA1097" s="55" t="n"/>
      <c r="AB1097" s="55" t="n"/>
      <c r="AC1097" s="55" t="n"/>
      <c r="AD1097" s="55" t="n"/>
      <c r="AE1097" s="55" t="n"/>
    </row>
    <row r="1098" ht="16.5" customHeight="1" s="380">
      <c r="A1098" s="55" t="n"/>
      <c r="B1098" s="4" t="inlineStr">
        <is>
          <t>HNX04 (LK)</t>
        </is>
      </c>
      <c r="C1098" s="216" t="n"/>
      <c r="D1098" s="216" t="inlineStr">
        <is>
          <t>Trái phiếu chính phủ</t>
        </is>
      </c>
      <c r="E1098" s="55" t="n"/>
      <c r="F1098" s="4" t="inlineStr">
        <is>
          <t>Báo cáo</t>
        </is>
      </c>
      <c r="G1098" s="22" t="inlineStr">
        <is>
          <t>Chỉ tiêu phái sinh</t>
        </is>
      </c>
      <c r="H1098" s="4" t="inlineStr">
        <is>
          <t>TB</t>
        </is>
      </c>
      <c r="I1098" s="55" t="n"/>
      <c r="J1098" s="55" t="n"/>
      <c r="K1098" s="55" t="n"/>
      <c r="L1098" s="55" t="n"/>
      <c r="M1098" s="55" t="n"/>
      <c r="N1098" s="55" t="n"/>
      <c r="O1098" s="55" t="n"/>
      <c r="P1098" s="55" t="n"/>
      <c r="Q1098" s="55" t="n"/>
      <c r="R1098" s="55" t="n"/>
      <c r="S1098" s="55" t="n"/>
      <c r="T1098" s="55" t="n"/>
      <c r="U1098" s="55" t="n"/>
      <c r="V1098" s="55" t="n"/>
      <c r="W1098" s="55" t="n"/>
      <c r="X1098" s="55" t="n"/>
      <c r="Y1098" s="55" t="n"/>
      <c r="Z1098" s="55" t="n"/>
      <c r="AA1098" s="55" t="n"/>
      <c r="AB1098" s="55" t="n"/>
      <c r="AC1098" s="55" t="n"/>
      <c r="AD1098" s="55" t="n"/>
      <c r="AE1098" s="55" t="n"/>
    </row>
    <row r="1099" ht="16.5" customHeight="1" s="380">
      <c r="A1099" s="55" t="n"/>
      <c r="B1099" s="4" t="inlineStr">
        <is>
          <t>HNX04 (LK)</t>
        </is>
      </c>
      <c r="C1099" s="216" t="n"/>
      <c r="D1099" s="216" t="inlineStr">
        <is>
          <t>Trái phiếu chính quyền địa phương</t>
        </is>
      </c>
      <c r="E1099" s="55" t="n"/>
      <c r="F1099" s="4" t="inlineStr">
        <is>
          <t>Báo cáo</t>
        </is>
      </c>
      <c r="G1099" s="22" t="inlineStr">
        <is>
          <t>Chỉ tiêu phái sinh</t>
        </is>
      </c>
      <c r="H1099" s="4" t="inlineStr">
        <is>
          <t>TB</t>
        </is>
      </c>
      <c r="I1099" s="55" t="n"/>
      <c r="J1099" s="55" t="n"/>
      <c r="K1099" s="55" t="n"/>
      <c r="L1099" s="55" t="n"/>
      <c r="M1099" s="55" t="n"/>
      <c r="N1099" s="55" t="n"/>
      <c r="O1099" s="55" t="n"/>
      <c r="P1099" s="55" t="n"/>
      <c r="Q1099" s="55" t="n"/>
      <c r="R1099" s="55" t="n"/>
      <c r="S1099" s="55" t="n"/>
      <c r="T1099" s="55" t="n"/>
      <c r="U1099" s="55" t="n"/>
      <c r="V1099" s="55" t="n"/>
      <c r="W1099" s="55" t="n"/>
      <c r="X1099" s="55" t="n"/>
      <c r="Y1099" s="55" t="n"/>
      <c r="Z1099" s="55" t="n"/>
      <c r="AA1099" s="55" t="n"/>
      <c r="AB1099" s="55" t="n"/>
      <c r="AC1099" s="55" t="n"/>
      <c r="AD1099" s="55" t="n"/>
      <c r="AE1099" s="55" t="n"/>
    </row>
    <row r="1100" ht="16.5" customHeight="1" s="380">
      <c r="A1100" s="55" t="n"/>
      <c r="B1100" s="4" t="inlineStr">
        <is>
          <t>HNX04 (LK)</t>
        </is>
      </c>
      <c r="C1100" s="216" t="n"/>
      <c r="D1100" s="216" t="inlineStr">
        <is>
          <t>Trái phiếu chính phủ bảo lãnh</t>
        </is>
      </c>
      <c r="E1100" s="55" t="n"/>
      <c r="F1100" s="4" t="inlineStr">
        <is>
          <t>Báo cáo</t>
        </is>
      </c>
      <c r="G1100" s="22" t="inlineStr">
        <is>
          <t>Chỉ tiêu phái sinh</t>
        </is>
      </c>
      <c r="H1100" s="4" t="inlineStr">
        <is>
          <t>TB</t>
        </is>
      </c>
      <c r="I1100" s="55" t="n"/>
      <c r="J1100" s="55" t="n"/>
      <c r="K1100" s="55" t="n"/>
      <c r="L1100" s="55" t="n"/>
      <c r="M1100" s="55" t="n"/>
      <c r="N1100" s="55" t="n"/>
      <c r="O1100" s="55" t="n"/>
      <c r="P1100" s="55" t="n"/>
      <c r="Q1100" s="55" t="n"/>
      <c r="R1100" s="55" t="n"/>
      <c r="S1100" s="55" t="n"/>
      <c r="T1100" s="55" t="n"/>
      <c r="U1100" s="55" t="n"/>
      <c r="V1100" s="55" t="n"/>
      <c r="W1100" s="55" t="n"/>
      <c r="X1100" s="55" t="n"/>
      <c r="Y1100" s="55" t="n"/>
      <c r="Z1100" s="55" t="n"/>
      <c r="AA1100" s="55" t="n"/>
      <c r="AB1100" s="55" t="n"/>
      <c r="AC1100" s="55" t="n"/>
      <c r="AD1100" s="55" t="n"/>
      <c r="AE1100" s="55" t="n"/>
    </row>
    <row r="1101" ht="16.5" customHeight="1" s="380">
      <c r="A1101" s="55" t="n"/>
      <c r="B1101" s="4" t="inlineStr">
        <is>
          <t>HNX04 (LK)</t>
        </is>
      </c>
      <c r="C1101" s="216" t="n"/>
      <c r="D1101" s="216" t="inlineStr">
        <is>
          <t>Trái phiếu doanh nghiệp</t>
        </is>
      </c>
      <c r="E1101" s="55" t="n"/>
      <c r="F1101" s="4" t="inlineStr">
        <is>
          <t>Báo cáo</t>
        </is>
      </c>
      <c r="G1101" s="22" t="inlineStr">
        <is>
          <t>Chỉ tiêu phái sinh</t>
        </is>
      </c>
      <c r="H1101" s="4" t="inlineStr">
        <is>
          <t>TB</t>
        </is>
      </c>
      <c r="I1101" s="55" t="n"/>
      <c r="J1101" s="55" t="n"/>
      <c r="K1101" s="55" t="n"/>
      <c r="L1101" s="55" t="n"/>
      <c r="M1101" s="55" t="n"/>
      <c r="N1101" s="55" t="n"/>
      <c r="O1101" s="55" t="n"/>
      <c r="P1101" s="55" t="n"/>
      <c r="Q1101" s="55" t="n"/>
      <c r="R1101" s="55" t="n"/>
      <c r="S1101" s="55" t="n"/>
      <c r="T1101" s="55" t="n"/>
      <c r="U1101" s="55" t="n"/>
      <c r="V1101" s="55" t="n"/>
      <c r="W1101" s="55" t="n"/>
      <c r="X1101" s="55" t="n"/>
      <c r="Y1101" s="55" t="n"/>
      <c r="Z1101" s="55" t="n"/>
      <c r="AA1101" s="55" t="n"/>
      <c r="AB1101" s="55" t="n"/>
      <c r="AC1101" s="55" t="n"/>
      <c r="AD1101" s="55" t="n"/>
      <c r="AE1101" s="55" t="n"/>
    </row>
    <row r="1102" ht="16.5" customHeight="1" s="380">
      <c r="A1102" s="55" t="n"/>
      <c r="B1102" s="4" t="inlineStr">
        <is>
          <t>HNX04 (LK)</t>
        </is>
      </c>
      <c r="C1102" s="216" t="n"/>
      <c r="D1102" s="216" t="inlineStr">
        <is>
          <t>Tín phiếu kho bạc</t>
        </is>
      </c>
      <c r="E1102" s="55" t="n"/>
      <c r="F1102" s="4" t="inlineStr">
        <is>
          <t>Báo cáo</t>
        </is>
      </c>
      <c r="G1102" s="22" t="inlineStr">
        <is>
          <t>Chỉ tiêu phái sinh</t>
        </is>
      </c>
      <c r="H1102" s="4" t="inlineStr">
        <is>
          <t>TB</t>
        </is>
      </c>
      <c r="I1102" s="55" t="n"/>
      <c r="J1102" s="55" t="n"/>
      <c r="K1102" s="55" t="n"/>
      <c r="L1102" s="55" t="n"/>
      <c r="M1102" s="55" t="n"/>
      <c r="N1102" s="55" t="n"/>
      <c r="O1102" s="55" t="n"/>
      <c r="P1102" s="55" t="n"/>
      <c r="Q1102" s="55" t="n"/>
      <c r="R1102" s="55" t="n"/>
      <c r="S1102" s="55" t="n"/>
      <c r="T1102" s="55" t="n"/>
      <c r="U1102" s="55" t="n"/>
      <c r="V1102" s="55" t="n"/>
      <c r="W1102" s="55" t="n"/>
      <c r="X1102" s="55" t="n"/>
      <c r="Y1102" s="55" t="n"/>
      <c r="Z1102" s="55" t="n"/>
      <c r="AA1102" s="55" t="n"/>
      <c r="AB1102" s="55" t="n"/>
      <c r="AC1102" s="55" t="n"/>
      <c r="AD1102" s="55" t="n"/>
      <c r="AE1102" s="55" t="n"/>
    </row>
    <row r="1103" ht="16.5" customHeight="1" s="380">
      <c r="A1103" s="55" t="n"/>
      <c r="B1103" s="4" t="inlineStr">
        <is>
          <t>HNX04 (LK)</t>
        </is>
      </c>
      <c r="C1103" s="216" t="n"/>
      <c r="D1103" s="216" t="inlineStr">
        <is>
          <t>Chứng chỉ quỹ (ETF)</t>
        </is>
      </c>
      <c r="E1103" s="55" t="n"/>
      <c r="F1103" s="4" t="inlineStr">
        <is>
          <t>Báo cáo</t>
        </is>
      </c>
      <c r="G1103" s="22" t="inlineStr">
        <is>
          <t>Chỉ tiêu phái sinh</t>
        </is>
      </c>
      <c r="H1103" s="4" t="inlineStr">
        <is>
          <t>TB</t>
        </is>
      </c>
      <c r="I1103" s="55" t="n"/>
      <c r="J1103" s="55" t="n"/>
      <c r="K1103" s="55" t="n"/>
      <c r="L1103" s="55" t="n"/>
      <c r="M1103" s="55" t="n"/>
      <c r="N1103" s="55" t="n"/>
      <c r="O1103" s="55" t="n"/>
      <c r="P1103" s="55" t="n"/>
      <c r="Q1103" s="55" t="n"/>
      <c r="R1103" s="55" t="n"/>
      <c r="S1103" s="55" t="n"/>
      <c r="T1103" s="55" t="n"/>
      <c r="U1103" s="55" t="n"/>
      <c r="V1103" s="55" t="n"/>
      <c r="W1103" s="55" t="n"/>
      <c r="X1103" s="55" t="n"/>
      <c r="Y1103" s="55" t="n"/>
      <c r="Z1103" s="55" t="n"/>
      <c r="AA1103" s="55" t="n"/>
      <c r="AB1103" s="55" t="n"/>
      <c r="AC1103" s="55" t="n"/>
      <c r="AD1103" s="55" t="n"/>
      <c r="AE1103" s="55" t="n"/>
    </row>
    <row r="1104" ht="16.5" customHeight="1" s="380">
      <c r="A1104" s="55" t="n"/>
      <c r="B1104" s="4" t="inlineStr">
        <is>
          <t>HNX04 (LK)</t>
        </is>
      </c>
      <c r="C1104" s="216" t="n"/>
      <c r="D1104" s="216" t="inlineStr">
        <is>
          <t>Chứng khoán niêm yết đến thời điểm hiện tại (mã chứng khoán)</t>
        </is>
      </c>
      <c r="E1104" s="55" t="n"/>
      <c r="F1104" s="4" t="inlineStr">
        <is>
          <t>Báo cáo</t>
        </is>
      </c>
      <c r="G1104" s="22" t="inlineStr">
        <is>
          <t>Chỉ tiêu phái sinh</t>
        </is>
      </c>
      <c r="H1104" s="4" t="inlineStr">
        <is>
          <t>TB</t>
        </is>
      </c>
      <c r="I1104" s="55" t="n"/>
      <c r="J1104" s="55" t="n"/>
      <c r="K1104" s="55" t="n"/>
      <c r="L1104" s="55" t="n"/>
      <c r="M1104" s="55" t="n"/>
      <c r="N1104" s="55" t="n"/>
      <c r="O1104" s="55" t="n"/>
      <c r="P1104" s="55" t="n"/>
      <c r="Q1104" s="55" t="n"/>
      <c r="R1104" s="55" t="n"/>
      <c r="S1104" s="55" t="n"/>
      <c r="T1104" s="55" t="n"/>
      <c r="U1104" s="55" t="n"/>
      <c r="V1104" s="55" t="n"/>
      <c r="W1104" s="55" t="n"/>
      <c r="X1104" s="55" t="n"/>
      <c r="Y1104" s="55" t="n"/>
      <c r="Z1104" s="55" t="n"/>
      <c r="AA1104" s="55" t="n"/>
      <c r="AB1104" s="55" t="n"/>
      <c r="AC1104" s="55" t="n"/>
      <c r="AD1104" s="55" t="n"/>
      <c r="AE1104" s="55" t="n"/>
    </row>
    <row r="1105" ht="16.5" customHeight="1" s="380">
      <c r="A1105" s="55" t="n"/>
      <c r="B1105" s="4" t="inlineStr">
        <is>
          <t>HNX04 (LK)</t>
        </is>
      </c>
      <c r="C1105" s="216" t="n"/>
      <c r="D1105" s="216" t="inlineStr">
        <is>
          <t>Cổ phiếu niêm yết</t>
        </is>
      </c>
      <c r="E1105" s="55" t="n"/>
      <c r="F1105" s="4" t="inlineStr">
        <is>
          <t>Báo cáo</t>
        </is>
      </c>
      <c r="G1105" s="22" t="inlineStr">
        <is>
          <t>Chỉ tiêu phái sinh</t>
        </is>
      </c>
      <c r="H1105" s="4" t="inlineStr">
        <is>
          <t>TB</t>
        </is>
      </c>
      <c r="I1105" s="55" t="n"/>
      <c r="J1105" s="55" t="n"/>
      <c r="K1105" s="55" t="n"/>
      <c r="L1105" s="55" t="n"/>
      <c r="M1105" s="55" t="n"/>
      <c r="N1105" s="55" t="n"/>
      <c r="O1105" s="55" t="n"/>
      <c r="P1105" s="55" t="n"/>
      <c r="Q1105" s="55" t="n"/>
      <c r="R1105" s="55" t="n"/>
      <c r="S1105" s="55" t="n"/>
      <c r="T1105" s="55" t="n"/>
      <c r="U1105" s="55" t="n"/>
      <c r="V1105" s="55" t="n"/>
      <c r="W1105" s="55" t="n"/>
      <c r="X1105" s="55" t="n"/>
      <c r="Y1105" s="55" t="n"/>
      <c r="Z1105" s="55" t="n"/>
      <c r="AA1105" s="55" t="n"/>
      <c r="AB1105" s="55" t="n"/>
      <c r="AC1105" s="55" t="n"/>
      <c r="AD1105" s="55" t="n"/>
      <c r="AE1105" s="55" t="n"/>
    </row>
    <row r="1106" ht="16.5" customHeight="1" s="380">
      <c r="A1106" s="55" t="n"/>
      <c r="B1106" s="4" t="inlineStr">
        <is>
          <t>HNX04 (LK)</t>
        </is>
      </c>
      <c r="C1106" s="216" t="n"/>
      <c r="D1106" s="216" t="inlineStr">
        <is>
          <t>Cổ phiếu đăng ký giao dịch</t>
        </is>
      </c>
      <c r="E1106" s="55" t="n"/>
      <c r="F1106" s="4" t="inlineStr">
        <is>
          <t>Báo cáo</t>
        </is>
      </c>
      <c r="G1106" s="22" t="inlineStr">
        <is>
          <t>Chỉ tiêu phái sinh</t>
        </is>
      </c>
      <c r="H1106" s="4" t="inlineStr">
        <is>
          <t>TB</t>
        </is>
      </c>
      <c r="I1106" s="55" t="n"/>
      <c r="J1106" s="55" t="n"/>
      <c r="K1106" s="55" t="n"/>
      <c r="L1106" s="55" t="n"/>
      <c r="M1106" s="55" t="n"/>
      <c r="N1106" s="55" t="n"/>
      <c r="O1106" s="55" t="n"/>
      <c r="P1106" s="55" t="n"/>
      <c r="Q1106" s="55" t="n"/>
      <c r="R1106" s="55" t="n"/>
      <c r="S1106" s="55" t="n"/>
      <c r="T1106" s="55" t="n"/>
      <c r="U1106" s="55" t="n"/>
      <c r="V1106" s="55" t="n"/>
      <c r="W1106" s="55" t="n"/>
      <c r="X1106" s="55" t="n"/>
      <c r="Y1106" s="55" t="n"/>
      <c r="Z1106" s="55" t="n"/>
      <c r="AA1106" s="55" t="n"/>
      <c r="AB1106" s="55" t="n"/>
      <c r="AC1106" s="55" t="n"/>
      <c r="AD1106" s="55" t="n"/>
      <c r="AE1106" s="55" t="n"/>
    </row>
    <row r="1107" ht="16.5" customHeight="1" s="380">
      <c r="A1107" s="55" t="n"/>
      <c r="B1107" s="4" t="inlineStr">
        <is>
          <t>HNX04 (LK)</t>
        </is>
      </c>
      <c r="C1107" s="216" t="n"/>
      <c r="D1107" s="216" t="inlineStr">
        <is>
          <t>Trái phiếu chính phủ</t>
        </is>
      </c>
      <c r="E1107" s="55" t="n"/>
      <c r="F1107" s="4" t="inlineStr">
        <is>
          <t>Báo cáo</t>
        </is>
      </c>
      <c r="G1107" s="22" t="inlineStr">
        <is>
          <t>Chỉ tiêu phái sinh</t>
        </is>
      </c>
      <c r="H1107" s="4" t="inlineStr">
        <is>
          <t>TB</t>
        </is>
      </c>
      <c r="I1107" s="55" t="n"/>
      <c r="J1107" s="55" t="n"/>
      <c r="K1107" s="55" t="n"/>
      <c r="L1107" s="55" t="n"/>
      <c r="M1107" s="55" t="n"/>
      <c r="N1107" s="55" t="n"/>
      <c r="O1107" s="55" t="n"/>
      <c r="P1107" s="55" t="n"/>
      <c r="Q1107" s="55" t="n"/>
      <c r="R1107" s="55" t="n"/>
      <c r="S1107" s="55" t="n"/>
      <c r="T1107" s="55" t="n"/>
      <c r="U1107" s="55" t="n"/>
      <c r="V1107" s="55" t="n"/>
      <c r="W1107" s="55" t="n"/>
      <c r="X1107" s="55" t="n"/>
      <c r="Y1107" s="55" t="n"/>
      <c r="Z1107" s="55" t="n"/>
      <c r="AA1107" s="55" t="n"/>
      <c r="AB1107" s="55" t="n"/>
      <c r="AC1107" s="55" t="n"/>
      <c r="AD1107" s="55" t="n"/>
      <c r="AE1107" s="55" t="n"/>
    </row>
    <row r="1108" ht="16.5" customHeight="1" s="380">
      <c r="A1108" s="55" t="n"/>
      <c r="B1108" s="4" t="inlineStr">
        <is>
          <t>HNX04 (LK)</t>
        </is>
      </c>
      <c r="C1108" s="216" t="n"/>
      <c r="D1108" s="216" t="inlineStr">
        <is>
          <t>Trái phiếu chính quyền địa phương</t>
        </is>
      </c>
      <c r="E1108" s="55" t="n"/>
      <c r="F1108" s="4" t="inlineStr">
        <is>
          <t>Báo cáo</t>
        </is>
      </c>
      <c r="G1108" s="22" t="inlineStr">
        <is>
          <t>Chỉ tiêu phái sinh</t>
        </is>
      </c>
      <c r="H1108" s="4" t="inlineStr">
        <is>
          <t>TB</t>
        </is>
      </c>
      <c r="I1108" s="55" t="n"/>
      <c r="J1108" s="55" t="n"/>
      <c r="K1108" s="55" t="n"/>
      <c r="L1108" s="55" t="n"/>
      <c r="M1108" s="55" t="n"/>
      <c r="N1108" s="55" t="n"/>
      <c r="O1108" s="55" t="n"/>
      <c r="P1108" s="55" t="n"/>
      <c r="Q1108" s="55" t="n"/>
      <c r="R1108" s="55" t="n"/>
      <c r="S1108" s="55" t="n"/>
      <c r="T1108" s="55" t="n"/>
      <c r="U1108" s="55" t="n"/>
      <c r="V1108" s="55" t="n"/>
      <c r="W1108" s="55" t="n"/>
      <c r="X1108" s="55" t="n"/>
      <c r="Y1108" s="55" t="n"/>
      <c r="Z1108" s="55" t="n"/>
      <c r="AA1108" s="55" t="n"/>
      <c r="AB1108" s="55" t="n"/>
      <c r="AC1108" s="55" t="n"/>
      <c r="AD1108" s="55" t="n"/>
      <c r="AE1108" s="55" t="n"/>
    </row>
    <row r="1109" ht="16.5" customHeight="1" s="380">
      <c r="A1109" s="55" t="n"/>
      <c r="B1109" s="4" t="inlineStr">
        <is>
          <t>HNX04 (LK)</t>
        </is>
      </c>
      <c r="C1109" s="216" t="n"/>
      <c r="D1109" s="216" t="inlineStr">
        <is>
          <t>Trái phiếu chính phủ bảo lãnh</t>
        </is>
      </c>
      <c r="E1109" s="55" t="n"/>
      <c r="F1109" s="4" t="inlineStr">
        <is>
          <t>Báo cáo</t>
        </is>
      </c>
      <c r="G1109" s="22" t="inlineStr">
        <is>
          <t>Chỉ tiêu phái sinh</t>
        </is>
      </c>
      <c r="H1109" s="4" t="inlineStr">
        <is>
          <t>TB</t>
        </is>
      </c>
      <c r="I1109" s="55" t="n"/>
      <c r="J1109" s="55" t="n"/>
      <c r="K1109" s="55" t="n"/>
      <c r="L1109" s="55" t="n"/>
      <c r="M1109" s="55" t="n"/>
      <c r="N1109" s="55" t="n"/>
      <c r="O1109" s="55" t="n"/>
      <c r="P1109" s="55" t="n"/>
      <c r="Q1109" s="55" t="n"/>
      <c r="R1109" s="55" t="n"/>
      <c r="S1109" s="55" t="n"/>
      <c r="T1109" s="55" t="n"/>
      <c r="U1109" s="55" t="n"/>
      <c r="V1109" s="55" t="n"/>
      <c r="W1109" s="55" t="n"/>
      <c r="X1109" s="55" t="n"/>
      <c r="Y1109" s="55" t="n"/>
      <c r="Z1109" s="55" t="n"/>
      <c r="AA1109" s="55" t="n"/>
      <c r="AB1109" s="55" t="n"/>
      <c r="AC1109" s="55" t="n"/>
      <c r="AD1109" s="55" t="n"/>
      <c r="AE1109" s="55" t="n"/>
    </row>
    <row r="1110" ht="16.5" customHeight="1" s="380">
      <c r="A1110" s="55" t="n"/>
      <c r="B1110" s="4" t="inlineStr">
        <is>
          <t>HNX04 (LK)</t>
        </is>
      </c>
      <c r="C1110" s="216" t="n"/>
      <c r="D1110" s="216" t="inlineStr">
        <is>
          <t>Trái phiếu doanh nghiệp</t>
        </is>
      </c>
      <c r="E1110" s="55" t="n"/>
      <c r="F1110" s="4" t="inlineStr">
        <is>
          <t>Báo cáo</t>
        </is>
      </c>
      <c r="G1110" s="22" t="inlineStr">
        <is>
          <t>Chỉ tiêu phái sinh</t>
        </is>
      </c>
      <c r="H1110" s="4" t="inlineStr">
        <is>
          <t>TB</t>
        </is>
      </c>
      <c r="I1110" s="55" t="n"/>
      <c r="J1110" s="55" t="n"/>
      <c r="K1110" s="55" t="n"/>
      <c r="L1110" s="55" t="n"/>
      <c r="M1110" s="55" t="n"/>
      <c r="N1110" s="55" t="n"/>
      <c r="O1110" s="55" t="n"/>
      <c r="P1110" s="55" t="n"/>
      <c r="Q1110" s="55" t="n"/>
      <c r="R1110" s="55" t="n"/>
      <c r="S1110" s="55" t="n"/>
      <c r="T1110" s="55" t="n"/>
      <c r="U1110" s="55" t="n"/>
      <c r="V1110" s="55" t="n"/>
      <c r="W1110" s="55" t="n"/>
      <c r="X1110" s="55" t="n"/>
      <c r="Y1110" s="55" t="n"/>
      <c r="Z1110" s="55" t="n"/>
      <c r="AA1110" s="55" t="n"/>
      <c r="AB1110" s="55" t="n"/>
      <c r="AC1110" s="55" t="n"/>
      <c r="AD1110" s="55" t="n"/>
      <c r="AE1110" s="55" t="n"/>
    </row>
    <row r="1111" ht="16.5" customHeight="1" s="380">
      <c r="A1111" s="55" t="n"/>
      <c r="B1111" s="4" t="inlineStr">
        <is>
          <t>HNX04 (LK)</t>
        </is>
      </c>
      <c r="C1111" s="216" t="n"/>
      <c r="D1111" s="216" t="inlineStr">
        <is>
          <t>Tín phiếu kho bạc</t>
        </is>
      </c>
      <c r="E1111" s="55" t="n"/>
      <c r="F1111" s="4" t="inlineStr">
        <is>
          <t>Báo cáo</t>
        </is>
      </c>
      <c r="G1111" s="22" t="inlineStr">
        <is>
          <t>Chỉ tiêu phái sinh</t>
        </is>
      </c>
      <c r="H1111" s="4" t="inlineStr">
        <is>
          <t>TB</t>
        </is>
      </c>
      <c r="I1111" s="55" t="n"/>
      <c r="J1111" s="55" t="n"/>
      <c r="K1111" s="55" t="n"/>
      <c r="L1111" s="55" t="n"/>
      <c r="M1111" s="55" t="n"/>
      <c r="N1111" s="55" t="n"/>
      <c r="O1111" s="55" t="n"/>
      <c r="P1111" s="55" t="n"/>
      <c r="Q1111" s="55" t="n"/>
      <c r="R1111" s="55" t="n"/>
      <c r="S1111" s="55" t="n"/>
      <c r="T1111" s="55" t="n"/>
      <c r="U1111" s="55" t="n"/>
      <c r="V1111" s="55" t="n"/>
      <c r="W1111" s="55" t="n"/>
      <c r="X1111" s="55" t="n"/>
      <c r="Y1111" s="55" t="n"/>
      <c r="Z1111" s="55" t="n"/>
      <c r="AA1111" s="55" t="n"/>
      <c r="AB1111" s="55" t="n"/>
      <c r="AC1111" s="55" t="n"/>
      <c r="AD1111" s="55" t="n"/>
      <c r="AE1111" s="55" t="n"/>
    </row>
    <row r="1112" ht="16.5" customHeight="1" s="380">
      <c r="A1112" s="55" t="n"/>
      <c r="B1112" s="4" t="inlineStr">
        <is>
          <t>HNX04 (LK)</t>
        </is>
      </c>
      <c r="C1112" s="216" t="n"/>
      <c r="D1112" s="216" t="inlineStr">
        <is>
          <t>Chứng chỉ quỹ (ETF)</t>
        </is>
      </c>
      <c r="E1112" s="55" t="n"/>
      <c r="F1112" s="4" t="inlineStr">
        <is>
          <t>Báo cáo</t>
        </is>
      </c>
      <c r="G1112" s="22" t="inlineStr">
        <is>
          <t>Chỉ tiêu phái sinh</t>
        </is>
      </c>
      <c r="H1112" s="4" t="inlineStr">
        <is>
          <t>TB</t>
        </is>
      </c>
      <c r="I1112" s="55" t="n"/>
      <c r="J1112" s="55" t="n"/>
      <c r="K1112" s="55" t="n"/>
      <c r="L1112" s="55" t="n"/>
      <c r="M1112" s="55" t="n"/>
      <c r="N1112" s="55" t="n"/>
      <c r="O1112" s="55" t="n"/>
      <c r="P1112" s="55" t="n"/>
      <c r="Q1112" s="55" t="n"/>
      <c r="R1112" s="55" t="n"/>
      <c r="S1112" s="55" t="n"/>
      <c r="T1112" s="55" t="n"/>
      <c r="U1112" s="55" t="n"/>
      <c r="V1112" s="55" t="n"/>
      <c r="W1112" s="55" t="n"/>
      <c r="X1112" s="55" t="n"/>
      <c r="Y1112" s="55" t="n"/>
      <c r="Z1112" s="55" t="n"/>
      <c r="AA1112" s="55" t="n"/>
      <c r="AB1112" s="55" t="n"/>
      <c r="AC1112" s="55" t="n"/>
      <c r="AD1112" s="55" t="n"/>
      <c r="AE1112" s="55" t="n"/>
    </row>
    <row r="1113" ht="16.5" customHeight="1" s="380">
      <c r="A1113" s="55" t="n"/>
      <c r="B1113" s="4" t="inlineStr">
        <is>
          <t>HNX04 (LK)</t>
        </is>
      </c>
      <c r="C1113" s="216" t="n"/>
      <c r="D1113" s="216" t="inlineStr">
        <is>
          <t>Số phiên thực hiện giao dịch</t>
        </is>
      </c>
      <c r="E1113" s="55" t="n"/>
      <c r="F1113" s="4" t="inlineStr">
        <is>
          <t>Báo cáo</t>
        </is>
      </c>
      <c r="G1113" s="22" t="inlineStr">
        <is>
          <t>Chỉ tiêu phái sinh</t>
        </is>
      </c>
      <c r="H1113" s="4" t="inlineStr">
        <is>
          <t>TB</t>
        </is>
      </c>
      <c r="I1113" s="55" t="n"/>
      <c r="J1113" s="55" t="n"/>
      <c r="K1113" s="55" t="n"/>
      <c r="L1113" s="55" t="n"/>
      <c r="M1113" s="55" t="n"/>
      <c r="N1113" s="55" t="n"/>
      <c r="O1113" s="55" t="n"/>
      <c r="P1113" s="55" t="n"/>
      <c r="Q1113" s="55" t="n"/>
      <c r="R1113" s="55" t="n"/>
      <c r="S1113" s="55" t="n"/>
      <c r="T1113" s="55" t="n"/>
      <c r="U1113" s="55" t="n"/>
      <c r="V1113" s="55" t="n"/>
      <c r="W1113" s="55" t="n"/>
      <c r="X1113" s="55" t="n"/>
      <c r="Y1113" s="55" t="n"/>
      <c r="Z1113" s="55" t="n"/>
      <c r="AA1113" s="55" t="n"/>
      <c r="AB1113" s="55" t="n"/>
      <c r="AC1113" s="55" t="n"/>
      <c r="AD1113" s="55" t="n"/>
      <c r="AE1113" s="55" t="n"/>
    </row>
    <row r="1114" ht="16.5" customHeight="1" s="380">
      <c r="A1114" s="55" t="n"/>
      <c r="B1114" s="4" t="inlineStr">
        <is>
          <t>HNX04 (LK)</t>
        </is>
      </c>
      <c r="C1114" s="216" t="n"/>
      <c r="D1114" s="216" t="inlineStr">
        <is>
          <t>Cổ phiếu niêm yết</t>
        </is>
      </c>
      <c r="E1114" s="55" t="n"/>
      <c r="F1114" s="4" t="inlineStr">
        <is>
          <t>Báo cáo</t>
        </is>
      </c>
      <c r="G1114" s="22" t="inlineStr">
        <is>
          <t>Chỉ tiêu phái sinh</t>
        </is>
      </c>
      <c r="H1114" s="4" t="inlineStr">
        <is>
          <t>TB</t>
        </is>
      </c>
      <c r="I1114" s="55" t="n"/>
      <c r="J1114" s="55" t="n"/>
      <c r="K1114" s="55" t="n"/>
      <c r="L1114" s="55" t="n"/>
      <c r="M1114" s="55" t="n"/>
      <c r="N1114" s="55" t="n"/>
      <c r="O1114" s="55" t="n"/>
      <c r="P1114" s="55" t="n"/>
      <c r="Q1114" s="55" t="n"/>
      <c r="R1114" s="55" t="n"/>
      <c r="S1114" s="55" t="n"/>
      <c r="T1114" s="55" t="n"/>
      <c r="U1114" s="55" t="n"/>
      <c r="V1114" s="55" t="n"/>
      <c r="W1114" s="55" t="n"/>
      <c r="X1114" s="55" t="n"/>
      <c r="Y1114" s="55" t="n"/>
      <c r="Z1114" s="55" t="n"/>
      <c r="AA1114" s="55" t="n"/>
      <c r="AB1114" s="55" t="n"/>
      <c r="AC1114" s="55" t="n"/>
      <c r="AD1114" s="55" t="n"/>
      <c r="AE1114" s="55" t="n"/>
    </row>
    <row r="1115" ht="16.5" customHeight="1" s="380">
      <c r="A1115" s="55" t="n"/>
      <c r="B1115" s="4" t="inlineStr">
        <is>
          <t>HNX04 (LK)</t>
        </is>
      </c>
      <c r="C1115" s="216" t="n"/>
      <c r="D1115" s="216" t="inlineStr">
        <is>
          <t>Cổ phiếu đăng ký giao dịch</t>
        </is>
      </c>
      <c r="E1115" s="55" t="n"/>
      <c r="F1115" s="4" t="inlineStr">
        <is>
          <t>Báo cáo</t>
        </is>
      </c>
      <c r="G1115" s="22" t="inlineStr">
        <is>
          <t>Chỉ tiêu phái sinh</t>
        </is>
      </c>
      <c r="H1115" s="4" t="inlineStr">
        <is>
          <t>TB</t>
        </is>
      </c>
      <c r="I1115" s="55" t="n"/>
      <c r="J1115" s="55" t="n"/>
      <c r="K1115" s="55" t="n"/>
      <c r="L1115" s="55" t="n"/>
      <c r="M1115" s="55" t="n"/>
      <c r="N1115" s="55" t="n"/>
      <c r="O1115" s="55" t="n"/>
      <c r="P1115" s="55" t="n"/>
      <c r="Q1115" s="55" t="n"/>
      <c r="R1115" s="55" t="n"/>
      <c r="S1115" s="55" t="n"/>
      <c r="T1115" s="55" t="n"/>
      <c r="U1115" s="55" t="n"/>
      <c r="V1115" s="55" t="n"/>
      <c r="W1115" s="55" t="n"/>
      <c r="X1115" s="55" t="n"/>
      <c r="Y1115" s="55" t="n"/>
      <c r="Z1115" s="55" t="n"/>
      <c r="AA1115" s="55" t="n"/>
      <c r="AB1115" s="55" t="n"/>
      <c r="AC1115" s="55" t="n"/>
      <c r="AD1115" s="55" t="n"/>
      <c r="AE1115" s="55" t="n"/>
    </row>
    <row r="1116" ht="16.5" customHeight="1" s="380">
      <c r="A1116" s="55" t="n"/>
      <c r="B1116" s="4" t="inlineStr">
        <is>
          <t>HNX04 (LK)</t>
        </is>
      </c>
      <c r="C1116" s="216" t="n"/>
      <c r="D1116" s="216" t="inlineStr">
        <is>
          <t>Trái phiếu Chính phủ</t>
        </is>
      </c>
      <c r="E1116" s="55" t="n"/>
      <c r="F1116" s="4" t="inlineStr">
        <is>
          <t>Báo cáo</t>
        </is>
      </c>
      <c r="G1116" s="22" t="inlineStr">
        <is>
          <t>Chỉ tiêu phái sinh</t>
        </is>
      </c>
      <c r="H1116" s="4" t="inlineStr">
        <is>
          <t>TB</t>
        </is>
      </c>
      <c r="I1116" s="55" t="n"/>
      <c r="J1116" s="55" t="n"/>
      <c r="K1116" s="55" t="n"/>
      <c r="L1116" s="55" t="n"/>
      <c r="M1116" s="55" t="n"/>
      <c r="N1116" s="55" t="n"/>
      <c r="O1116" s="55" t="n"/>
      <c r="P1116" s="55" t="n"/>
      <c r="Q1116" s="55" t="n"/>
      <c r="R1116" s="55" t="n"/>
      <c r="S1116" s="55" t="n"/>
      <c r="T1116" s="55" t="n"/>
      <c r="U1116" s="55" t="n"/>
      <c r="V1116" s="55" t="n"/>
      <c r="W1116" s="55" t="n"/>
      <c r="X1116" s="55" t="n"/>
      <c r="Y1116" s="55" t="n"/>
      <c r="Z1116" s="55" t="n"/>
      <c r="AA1116" s="55" t="n"/>
      <c r="AB1116" s="55" t="n"/>
      <c r="AC1116" s="55" t="n"/>
      <c r="AD1116" s="55" t="n"/>
      <c r="AE1116" s="55" t="n"/>
    </row>
    <row r="1117" ht="16.5" customHeight="1" s="380">
      <c r="A1117" s="55" t="n"/>
      <c r="B1117" s="4" t="inlineStr">
        <is>
          <t>HNX04 (LK)</t>
        </is>
      </c>
      <c r="C1117" s="216" t="n"/>
      <c r="D1117" s="216" t="inlineStr">
        <is>
          <t>Tín phiếu kho bạc</t>
        </is>
      </c>
      <c r="E1117" s="55" t="n"/>
      <c r="F1117" s="4" t="inlineStr">
        <is>
          <t>Báo cáo</t>
        </is>
      </c>
      <c r="G1117" s="22" t="inlineStr">
        <is>
          <t>Chỉ tiêu phái sinh</t>
        </is>
      </c>
      <c r="H1117" s="4" t="inlineStr">
        <is>
          <t>TB</t>
        </is>
      </c>
      <c r="I1117" s="55" t="n"/>
      <c r="J1117" s="55" t="n"/>
      <c r="K1117" s="55" t="n"/>
      <c r="L1117" s="55" t="n"/>
      <c r="M1117" s="55" t="n"/>
      <c r="N1117" s="55" t="n"/>
      <c r="O1117" s="55" t="n"/>
      <c r="P1117" s="55" t="n"/>
      <c r="Q1117" s="55" t="n"/>
      <c r="R1117" s="55" t="n"/>
      <c r="S1117" s="55" t="n"/>
      <c r="T1117" s="55" t="n"/>
      <c r="U1117" s="55" t="n"/>
      <c r="V1117" s="55" t="n"/>
      <c r="W1117" s="55" t="n"/>
      <c r="X1117" s="55" t="n"/>
      <c r="Y1117" s="55" t="n"/>
      <c r="Z1117" s="55" t="n"/>
      <c r="AA1117" s="55" t="n"/>
      <c r="AB1117" s="55" t="n"/>
      <c r="AC1117" s="55" t="n"/>
      <c r="AD1117" s="55" t="n"/>
      <c r="AE1117" s="55" t="n"/>
    </row>
    <row r="1118" ht="16" customHeight="1" s="380">
      <c r="B1118" s="4" t="inlineStr">
        <is>
          <t>HNX04 (LK)</t>
        </is>
      </c>
      <c r="C1118" s="221" t="n"/>
      <c r="D1118" s="221" t="inlineStr">
        <is>
          <t>Cộng dồn đến cuối kỳ - Tăng/giảm so với cùng kỳ (%)</t>
        </is>
      </c>
      <c r="F1118" s="4" t="inlineStr">
        <is>
          <t>Báo cáo</t>
        </is>
      </c>
      <c r="G1118" s="4" t="inlineStr">
        <is>
          <t>Chiều</t>
        </is>
      </c>
    </row>
    <row r="1119" ht="15" customHeight="1" s="380">
      <c r="B1119" s="4" t="inlineStr">
        <is>
          <t>HNX04 (LK)</t>
        </is>
      </c>
      <c r="C1119" s="216" t="n"/>
      <c r="D1119" s="216" t="inlineStr">
        <is>
          <t>GTGD (VND)</t>
        </is>
      </c>
      <c r="F1119" s="4" t="inlineStr">
        <is>
          <t>Báo cáo</t>
        </is>
      </c>
      <c r="G1119" s="22" t="inlineStr">
        <is>
          <t>Chỉ tiêu phái sinh</t>
        </is>
      </c>
      <c r="H1119" s="4" t="inlineStr">
        <is>
          <t>TB</t>
        </is>
      </c>
    </row>
    <row r="1120" ht="15" customHeight="1" s="380">
      <c r="B1120" s="4" t="inlineStr">
        <is>
          <t>HNX04 (LK)</t>
        </is>
      </c>
      <c r="C1120" s="216" t="n"/>
      <c r="D1120" s="216" t="inlineStr">
        <is>
          <t>Trái phiếu chính phủ</t>
        </is>
      </c>
      <c r="F1120" s="4" t="inlineStr">
        <is>
          <t>Báo cáo</t>
        </is>
      </c>
      <c r="G1120" s="22" t="inlineStr">
        <is>
          <t>Chỉ tiêu phái sinh</t>
        </is>
      </c>
      <c r="H1120" s="4" t="inlineStr">
        <is>
          <t>TB</t>
        </is>
      </c>
    </row>
    <row r="1121" ht="15" customHeight="1" s="380">
      <c r="B1121" s="4" t="inlineStr">
        <is>
          <t>HNX04 (LK)</t>
        </is>
      </c>
      <c r="C1121" s="216" t="n"/>
      <c r="D1121" s="216" t="inlineStr">
        <is>
          <t>Trái phiếu chính quyền địa phương</t>
        </is>
      </c>
      <c r="F1121" s="4" t="inlineStr">
        <is>
          <t>Báo cáo</t>
        </is>
      </c>
      <c r="G1121" s="22" t="inlineStr">
        <is>
          <t>Chỉ tiêu phái sinh</t>
        </is>
      </c>
      <c r="H1121" s="4" t="inlineStr">
        <is>
          <t>TB</t>
        </is>
      </c>
    </row>
    <row r="1122" ht="15" customHeight="1" s="380">
      <c r="B1122" s="4" t="inlineStr">
        <is>
          <t>HNX04 (LK)</t>
        </is>
      </c>
      <c r="C1122" s="216" t="n"/>
      <c r="D1122" s="216" t="inlineStr">
        <is>
          <t>Trái phiếu chính phủ bảo lãnh</t>
        </is>
      </c>
      <c r="F1122" s="4" t="inlineStr">
        <is>
          <t>Báo cáo</t>
        </is>
      </c>
      <c r="G1122" s="22" t="inlineStr">
        <is>
          <t>Chỉ tiêu phái sinh</t>
        </is>
      </c>
      <c r="H1122" s="4" t="inlineStr">
        <is>
          <t>TB</t>
        </is>
      </c>
    </row>
    <row r="1123" ht="15" customHeight="1" s="380">
      <c r="B1123" s="4" t="inlineStr">
        <is>
          <t>HNX04 (LK)</t>
        </is>
      </c>
      <c r="C1123" s="216" t="n"/>
      <c r="D1123" s="216" t="inlineStr">
        <is>
          <t>Tín phiếu kho bạc</t>
        </is>
      </c>
      <c r="F1123" s="4" t="inlineStr">
        <is>
          <t>Báo cáo</t>
        </is>
      </c>
      <c r="G1123" s="22" t="inlineStr">
        <is>
          <t>Chỉ tiêu phái sinh</t>
        </is>
      </c>
      <c r="H1123" s="4" t="inlineStr">
        <is>
          <t>TB</t>
        </is>
      </c>
    </row>
    <row r="1124" ht="15" customHeight="1" s="380">
      <c r="B1124" s="4" t="inlineStr">
        <is>
          <t>HNX04 (LK)</t>
        </is>
      </c>
      <c r="C1124" s="216" t="n"/>
      <c r="D1124" s="216" t="inlineStr">
        <is>
          <t>KLGD (trái phiếu)</t>
        </is>
      </c>
      <c r="F1124" s="4" t="inlineStr">
        <is>
          <t>Báo cáo</t>
        </is>
      </c>
      <c r="G1124" s="22" t="inlineStr">
        <is>
          <t>Chỉ tiêu phái sinh</t>
        </is>
      </c>
      <c r="H1124" s="4" t="inlineStr">
        <is>
          <t>TB</t>
        </is>
      </c>
    </row>
    <row r="1125" ht="15" customHeight="1" s="380">
      <c r="B1125" s="4" t="inlineStr">
        <is>
          <t>HNX04 (LK)</t>
        </is>
      </c>
      <c r="C1125" s="216" t="n"/>
      <c r="D1125" s="216" t="inlineStr">
        <is>
          <t>Trái phiếu chính phủ</t>
        </is>
      </c>
      <c r="F1125" s="4" t="inlineStr">
        <is>
          <t>Báo cáo</t>
        </is>
      </c>
      <c r="G1125" s="22" t="inlineStr">
        <is>
          <t>Chỉ tiêu phái sinh</t>
        </is>
      </c>
      <c r="H1125" s="4" t="inlineStr">
        <is>
          <t>TB</t>
        </is>
      </c>
    </row>
    <row r="1126" ht="15" customHeight="1" s="380">
      <c r="B1126" s="4" t="inlineStr">
        <is>
          <t>HNX04 (LK)</t>
        </is>
      </c>
      <c r="C1126" s="216" t="n"/>
      <c r="D1126" s="216" t="inlineStr">
        <is>
          <t>Trái phiếu chính quyền địa phương</t>
        </is>
      </c>
      <c r="F1126" s="4" t="inlineStr">
        <is>
          <t>Báo cáo</t>
        </is>
      </c>
      <c r="G1126" s="22" t="inlineStr">
        <is>
          <t>Chỉ tiêu phái sinh</t>
        </is>
      </c>
      <c r="H1126" s="4" t="inlineStr">
        <is>
          <t>TB</t>
        </is>
      </c>
    </row>
    <row r="1127" ht="15" customHeight="1" s="380">
      <c r="B1127" s="4" t="inlineStr">
        <is>
          <t>HNX04 (LK)</t>
        </is>
      </c>
      <c r="C1127" s="216" t="n"/>
      <c r="D1127" s="216" t="inlineStr">
        <is>
          <t>Trái phiếu chính phủ bảo lãnh</t>
        </is>
      </c>
      <c r="F1127" s="4" t="inlineStr">
        <is>
          <t>Báo cáo</t>
        </is>
      </c>
      <c r="G1127" s="22" t="inlineStr">
        <is>
          <t>Chỉ tiêu phái sinh</t>
        </is>
      </c>
      <c r="H1127" s="4" t="inlineStr">
        <is>
          <t>TB</t>
        </is>
      </c>
    </row>
    <row r="1128" ht="15" customHeight="1" s="380">
      <c r="B1128" s="4" t="inlineStr">
        <is>
          <t>HNX04 (LK)</t>
        </is>
      </c>
      <c r="C1128" s="216" t="n"/>
      <c r="D1128" s="216" t="inlineStr">
        <is>
          <t>Tín phiếu kho bạc</t>
        </is>
      </c>
      <c r="F1128" s="4" t="inlineStr">
        <is>
          <t>Báo cáo</t>
        </is>
      </c>
      <c r="G1128" s="22" t="inlineStr">
        <is>
          <t>Chỉ tiêu phái sinh</t>
        </is>
      </c>
      <c r="H1128" s="4" t="inlineStr">
        <is>
          <t>TB</t>
        </is>
      </c>
    </row>
    <row r="1129" ht="15" customHeight="1" s="380">
      <c r="B1129" s="4" t="inlineStr">
        <is>
          <t>HNX04 (LK)</t>
        </is>
      </c>
      <c r="C1129" s="216" t="n"/>
      <c r="D1129" s="216" t="inlineStr">
        <is>
          <t>Giá trị chứng khoán giao dịch (VND)</t>
        </is>
      </c>
      <c r="F1129" s="4" t="inlineStr">
        <is>
          <t>Báo cáo</t>
        </is>
      </c>
      <c r="G1129" s="22" t="inlineStr">
        <is>
          <t>Chỉ tiêu phái sinh</t>
        </is>
      </c>
      <c r="H1129" s="4" t="inlineStr">
        <is>
          <t>TB</t>
        </is>
      </c>
    </row>
    <row r="1130" ht="15" customHeight="1" s="380">
      <c r="B1130" s="4" t="inlineStr">
        <is>
          <t>HNX04 (LK)</t>
        </is>
      </c>
      <c r="C1130" s="216" t="n"/>
      <c r="D1130" s="216" t="inlineStr">
        <is>
          <t>Cổ phiếu niêm yết</t>
        </is>
      </c>
      <c r="F1130" s="4" t="inlineStr">
        <is>
          <t>Báo cáo</t>
        </is>
      </c>
      <c r="G1130" s="22" t="inlineStr">
        <is>
          <t>Chỉ tiêu phái sinh</t>
        </is>
      </c>
      <c r="H1130" s="4" t="inlineStr">
        <is>
          <t>TB</t>
        </is>
      </c>
    </row>
    <row r="1131" ht="15" customHeight="1" s="380">
      <c r="B1131" s="4" t="inlineStr">
        <is>
          <t>HNX04 (LK)</t>
        </is>
      </c>
      <c r="C1131" s="216" t="n"/>
      <c r="D1131" s="216" t="inlineStr">
        <is>
          <t>Cổ phiếu đăng ký giao dịch</t>
        </is>
      </c>
      <c r="F1131" s="4" t="inlineStr">
        <is>
          <t>Báo cáo</t>
        </is>
      </c>
      <c r="G1131" s="22" t="inlineStr">
        <is>
          <t>Chỉ tiêu phái sinh</t>
        </is>
      </c>
      <c r="H1131" s="4" t="inlineStr">
        <is>
          <t>TB</t>
        </is>
      </c>
    </row>
    <row r="1132" ht="15" customHeight="1" s="380">
      <c r="B1132" s="4" t="inlineStr">
        <is>
          <t>HNX04 (LK)</t>
        </is>
      </c>
      <c r="C1132" s="216" t="n"/>
      <c r="D1132" s="216" t="inlineStr">
        <is>
          <t>Trái phiếu chính phủ</t>
        </is>
      </c>
      <c r="F1132" s="4" t="inlineStr">
        <is>
          <t>Báo cáo</t>
        </is>
      </c>
      <c r="G1132" s="22" t="inlineStr">
        <is>
          <t>Chỉ tiêu phái sinh</t>
        </is>
      </c>
      <c r="H1132" s="4" t="inlineStr">
        <is>
          <t>TB</t>
        </is>
      </c>
    </row>
    <row r="1133" ht="15" customHeight="1" s="380">
      <c r="B1133" s="4" t="inlineStr">
        <is>
          <t>HNX04 (LK)</t>
        </is>
      </c>
      <c r="C1133" s="216" t="n"/>
      <c r="D1133" s="216" t="inlineStr">
        <is>
          <t>Trái phiếu chính quyền địa phương</t>
        </is>
      </c>
      <c r="F1133" s="4" t="inlineStr">
        <is>
          <t>Báo cáo</t>
        </is>
      </c>
      <c r="G1133" s="22" t="inlineStr">
        <is>
          <t>Chỉ tiêu phái sinh</t>
        </is>
      </c>
      <c r="H1133" s="4" t="inlineStr">
        <is>
          <t>TB</t>
        </is>
      </c>
    </row>
    <row r="1134" ht="15" customHeight="1" s="380">
      <c r="B1134" s="4" t="inlineStr">
        <is>
          <t>HNX04 (LK)</t>
        </is>
      </c>
      <c r="C1134" s="216" t="n"/>
      <c r="D1134" s="216" t="inlineStr">
        <is>
          <t>Trái phiếu chính phủ bảo lãnh</t>
        </is>
      </c>
      <c r="F1134" s="4" t="inlineStr">
        <is>
          <t>Báo cáo</t>
        </is>
      </c>
      <c r="G1134" s="22" t="inlineStr">
        <is>
          <t>Chỉ tiêu phái sinh</t>
        </is>
      </c>
      <c r="H1134" s="4" t="inlineStr">
        <is>
          <t>TB</t>
        </is>
      </c>
    </row>
    <row r="1135" ht="15" customHeight="1" s="380">
      <c r="B1135" s="4" t="inlineStr">
        <is>
          <t>HNX04 (LK)</t>
        </is>
      </c>
      <c r="C1135" s="216" t="n"/>
      <c r="D1135" s="216" t="inlineStr">
        <is>
          <t>Trái phiếu doanh nghiệp</t>
        </is>
      </c>
      <c r="F1135" s="4" t="inlineStr">
        <is>
          <t>Báo cáo</t>
        </is>
      </c>
      <c r="G1135" s="22" t="inlineStr">
        <is>
          <t>Chỉ tiêu phái sinh</t>
        </is>
      </c>
      <c r="H1135" s="4" t="inlineStr">
        <is>
          <t>TB</t>
        </is>
      </c>
    </row>
    <row r="1136" ht="15" customHeight="1" s="380">
      <c r="B1136" s="4" t="inlineStr">
        <is>
          <t>HNX04 (LK)</t>
        </is>
      </c>
      <c r="C1136" s="216" t="n"/>
      <c r="D1136" s="216" t="inlineStr">
        <is>
          <t>Tín phiếu kho bạc</t>
        </is>
      </c>
      <c r="F1136" s="4" t="inlineStr">
        <is>
          <t>Báo cáo</t>
        </is>
      </c>
      <c r="G1136" s="22" t="inlineStr">
        <is>
          <t>Chỉ tiêu phái sinh</t>
        </is>
      </c>
      <c r="H1136" s="4" t="inlineStr">
        <is>
          <t>TB</t>
        </is>
      </c>
    </row>
    <row r="1137" ht="15" customHeight="1" s="380">
      <c r="B1137" s="4" t="inlineStr">
        <is>
          <t>HNX04 (LK)</t>
        </is>
      </c>
      <c r="C1137" s="216" t="n"/>
      <c r="D1137" s="216" t="inlineStr">
        <is>
          <t>Chứng chỉ quỹ (ETF)</t>
        </is>
      </c>
      <c r="F1137" s="4" t="inlineStr">
        <is>
          <t>Báo cáo</t>
        </is>
      </c>
      <c r="G1137" s="22" t="inlineStr">
        <is>
          <t>Chỉ tiêu phái sinh</t>
        </is>
      </c>
      <c r="H1137" s="4" t="inlineStr">
        <is>
          <t>TB</t>
        </is>
      </c>
    </row>
    <row r="1138" ht="15" customHeight="1" s="380">
      <c r="B1138" s="4" t="inlineStr">
        <is>
          <t>HNX04 (LK)</t>
        </is>
      </c>
      <c r="C1138" s="216" t="n"/>
      <c r="D1138" s="216" t="inlineStr">
        <is>
          <t>Khối lượng chứng khoán giao dịch (chứng khoán)</t>
        </is>
      </c>
      <c r="F1138" s="4" t="inlineStr">
        <is>
          <t>Báo cáo</t>
        </is>
      </c>
      <c r="G1138" s="22" t="inlineStr">
        <is>
          <t>Chỉ tiêu phái sinh</t>
        </is>
      </c>
      <c r="H1138" s="4" t="inlineStr">
        <is>
          <t>TB</t>
        </is>
      </c>
    </row>
    <row r="1139" ht="15" customHeight="1" s="380">
      <c r="B1139" s="4" t="inlineStr">
        <is>
          <t>HNX04 (LK)</t>
        </is>
      </c>
      <c r="C1139" s="216" t="n"/>
      <c r="D1139" s="216" t="inlineStr">
        <is>
          <t>Cổ phiếu niêm yết</t>
        </is>
      </c>
      <c r="F1139" s="4" t="inlineStr">
        <is>
          <t>Báo cáo</t>
        </is>
      </c>
      <c r="G1139" s="22" t="inlineStr">
        <is>
          <t>Chỉ tiêu phái sinh</t>
        </is>
      </c>
      <c r="H1139" s="4" t="inlineStr">
        <is>
          <t>TB</t>
        </is>
      </c>
    </row>
    <row r="1140" ht="15" customHeight="1" s="380">
      <c r="B1140" s="4" t="inlineStr">
        <is>
          <t>HNX04 (LK)</t>
        </is>
      </c>
      <c r="C1140" s="216" t="n"/>
      <c r="D1140" s="216" t="inlineStr">
        <is>
          <t>Cổ phiếu đăng ký giao dịch</t>
        </is>
      </c>
      <c r="F1140" s="4" t="inlineStr">
        <is>
          <t>Báo cáo</t>
        </is>
      </c>
      <c r="G1140" s="22" t="inlineStr">
        <is>
          <t>Chỉ tiêu phái sinh</t>
        </is>
      </c>
      <c r="H1140" s="4" t="inlineStr">
        <is>
          <t>TB</t>
        </is>
      </c>
    </row>
    <row r="1141" ht="15" customHeight="1" s="380">
      <c r="B1141" s="4" t="inlineStr">
        <is>
          <t>HNX04 (LK)</t>
        </is>
      </c>
      <c r="C1141" s="216" t="n"/>
      <c r="D1141" s="216" t="inlineStr">
        <is>
          <t>Trái phiếu chính phủ</t>
        </is>
      </c>
      <c r="F1141" s="4" t="inlineStr">
        <is>
          <t>Báo cáo</t>
        </is>
      </c>
      <c r="G1141" s="22" t="inlineStr">
        <is>
          <t>Chỉ tiêu phái sinh</t>
        </is>
      </c>
      <c r="H1141" s="4" t="inlineStr">
        <is>
          <t>TB</t>
        </is>
      </c>
    </row>
    <row r="1142" ht="15" customHeight="1" s="380">
      <c r="B1142" s="4" t="inlineStr">
        <is>
          <t>HNX04 (LK)</t>
        </is>
      </c>
      <c r="C1142" s="216" t="n"/>
      <c r="D1142" s="216" t="inlineStr">
        <is>
          <t>Trái phiếu chính quyền địa phương</t>
        </is>
      </c>
      <c r="F1142" s="4" t="inlineStr">
        <is>
          <t>Báo cáo</t>
        </is>
      </c>
      <c r="G1142" s="22" t="inlineStr">
        <is>
          <t>Chỉ tiêu phái sinh</t>
        </is>
      </c>
      <c r="H1142" s="4" t="inlineStr">
        <is>
          <t>TB</t>
        </is>
      </c>
    </row>
    <row r="1143" ht="15" customHeight="1" s="380">
      <c r="B1143" s="4" t="inlineStr">
        <is>
          <t>HNX04 (LK)</t>
        </is>
      </c>
      <c r="C1143" s="216" t="n"/>
      <c r="D1143" s="216" t="inlineStr">
        <is>
          <t>Trái phiếu chính phủ bảo lãnh</t>
        </is>
      </c>
      <c r="F1143" s="4" t="inlineStr">
        <is>
          <t>Báo cáo</t>
        </is>
      </c>
      <c r="G1143" s="22" t="inlineStr">
        <is>
          <t>Chỉ tiêu phái sinh</t>
        </is>
      </c>
      <c r="H1143" s="4" t="inlineStr">
        <is>
          <t>TB</t>
        </is>
      </c>
    </row>
    <row r="1144" ht="15" customHeight="1" s="380">
      <c r="B1144" s="4" t="inlineStr">
        <is>
          <t>HNX04 (LK)</t>
        </is>
      </c>
      <c r="C1144" s="216" t="n"/>
      <c r="D1144" s="216" t="inlineStr">
        <is>
          <t>Trái phiếu doanh nghiệp</t>
        </is>
      </c>
      <c r="F1144" s="4" t="inlineStr">
        <is>
          <t>Báo cáo</t>
        </is>
      </c>
      <c r="G1144" s="22" t="inlineStr">
        <is>
          <t>Chỉ tiêu phái sinh</t>
        </is>
      </c>
      <c r="H1144" s="4" t="inlineStr">
        <is>
          <t>TB</t>
        </is>
      </c>
    </row>
    <row r="1145" ht="15" customHeight="1" s="380">
      <c r="B1145" s="4" t="inlineStr">
        <is>
          <t>HNX04 (LK)</t>
        </is>
      </c>
      <c r="C1145" s="216" t="n"/>
      <c r="D1145" s="216" t="inlineStr">
        <is>
          <t>Tín phiếu kho bạc</t>
        </is>
      </c>
      <c r="F1145" s="4" t="inlineStr">
        <is>
          <t>Báo cáo</t>
        </is>
      </c>
      <c r="G1145" s="22" t="inlineStr">
        <is>
          <t>Chỉ tiêu phái sinh</t>
        </is>
      </c>
      <c r="H1145" s="4" t="inlineStr">
        <is>
          <t>TB</t>
        </is>
      </c>
    </row>
    <row r="1146" ht="15" customHeight="1" s="380">
      <c r="B1146" s="4" t="inlineStr">
        <is>
          <t>HNX04 (LK)</t>
        </is>
      </c>
      <c r="C1146" s="216" t="n"/>
      <c r="D1146" s="216" t="inlineStr">
        <is>
          <t>Chứng chỉ quỹ (ETF)</t>
        </is>
      </c>
      <c r="F1146" s="4" t="inlineStr">
        <is>
          <t>Báo cáo</t>
        </is>
      </c>
      <c r="G1146" s="22" t="inlineStr">
        <is>
          <t>Chỉ tiêu phái sinh</t>
        </is>
      </c>
      <c r="H1146" s="4" t="inlineStr">
        <is>
          <t>TB</t>
        </is>
      </c>
    </row>
    <row r="1147" ht="15" customHeight="1" s="380">
      <c r="B1147" s="4" t="inlineStr">
        <is>
          <t>HNX04 (LK)</t>
        </is>
      </c>
      <c r="C1147" s="216" t="n"/>
      <c r="D1147" s="216" t="inlineStr">
        <is>
          <t>Chứng khoán niêm yết mới (mã chứng khoán)</t>
        </is>
      </c>
      <c r="F1147" s="4" t="inlineStr">
        <is>
          <t>Báo cáo</t>
        </is>
      </c>
      <c r="G1147" s="22" t="inlineStr">
        <is>
          <t>Chỉ tiêu phái sinh</t>
        </is>
      </c>
      <c r="H1147" s="4" t="inlineStr">
        <is>
          <t>TB</t>
        </is>
      </c>
    </row>
    <row r="1148" ht="15" customHeight="1" s="380">
      <c r="B1148" s="4" t="inlineStr">
        <is>
          <t>HNX04 (LK)</t>
        </is>
      </c>
      <c r="C1148" s="216" t="n"/>
      <c r="D1148" s="216" t="inlineStr">
        <is>
          <t>Cổ phiếu niêm yết</t>
        </is>
      </c>
      <c r="F1148" s="4" t="inlineStr">
        <is>
          <t>Báo cáo</t>
        </is>
      </c>
      <c r="G1148" s="22" t="inlineStr">
        <is>
          <t>Chỉ tiêu phái sinh</t>
        </is>
      </c>
      <c r="H1148" s="4" t="inlineStr">
        <is>
          <t>TB</t>
        </is>
      </c>
    </row>
    <row r="1149" ht="15" customHeight="1" s="380">
      <c r="B1149" s="4" t="inlineStr">
        <is>
          <t>HNX04 (LK)</t>
        </is>
      </c>
      <c r="C1149" s="216" t="n"/>
      <c r="D1149" s="216" t="inlineStr">
        <is>
          <t>Cổ phiếu đăng ký giao dịch</t>
        </is>
      </c>
      <c r="F1149" s="4" t="inlineStr">
        <is>
          <t>Báo cáo</t>
        </is>
      </c>
      <c r="G1149" s="22" t="inlineStr">
        <is>
          <t>Chỉ tiêu phái sinh</t>
        </is>
      </c>
      <c r="H1149" s="4" t="inlineStr">
        <is>
          <t>TB</t>
        </is>
      </c>
    </row>
    <row r="1150" ht="15" customHeight="1" s="380">
      <c r="B1150" s="4" t="inlineStr">
        <is>
          <t>HNX04 (LK)</t>
        </is>
      </c>
      <c r="C1150" s="216" t="n"/>
      <c r="D1150" s="216" t="inlineStr">
        <is>
          <t>Trái phiếu chính phủ</t>
        </is>
      </c>
      <c r="F1150" s="4" t="inlineStr">
        <is>
          <t>Báo cáo</t>
        </is>
      </c>
      <c r="G1150" s="22" t="inlineStr">
        <is>
          <t>Chỉ tiêu phái sinh</t>
        </is>
      </c>
      <c r="H1150" s="4" t="inlineStr">
        <is>
          <t>TB</t>
        </is>
      </c>
    </row>
    <row r="1151" ht="15" customHeight="1" s="380">
      <c r="B1151" s="4" t="inlineStr">
        <is>
          <t>HNX04 (LK)</t>
        </is>
      </c>
      <c r="C1151" s="216" t="n"/>
      <c r="D1151" s="216" t="inlineStr">
        <is>
          <t>Trái phiếu chính quyền địa phương</t>
        </is>
      </c>
      <c r="F1151" s="4" t="inlineStr">
        <is>
          <t>Báo cáo</t>
        </is>
      </c>
      <c r="G1151" s="22" t="inlineStr">
        <is>
          <t>Chỉ tiêu phái sinh</t>
        </is>
      </c>
      <c r="H1151" s="4" t="inlineStr">
        <is>
          <t>TB</t>
        </is>
      </c>
    </row>
    <row r="1152" ht="15" customHeight="1" s="380">
      <c r="B1152" s="4" t="inlineStr">
        <is>
          <t>HNX04 (LK)</t>
        </is>
      </c>
      <c r="C1152" s="216" t="n"/>
      <c r="D1152" s="216" t="inlineStr">
        <is>
          <t>Trái phiếu chính phủ bảo lãnh</t>
        </is>
      </c>
      <c r="F1152" s="4" t="inlineStr">
        <is>
          <t>Báo cáo</t>
        </is>
      </c>
      <c r="G1152" s="22" t="inlineStr">
        <is>
          <t>Chỉ tiêu phái sinh</t>
        </is>
      </c>
      <c r="H1152" s="4" t="inlineStr">
        <is>
          <t>TB</t>
        </is>
      </c>
    </row>
    <row r="1153" ht="15" customHeight="1" s="380">
      <c r="B1153" s="4" t="inlineStr">
        <is>
          <t>HNX04 (LK)</t>
        </is>
      </c>
      <c r="C1153" s="216" t="n"/>
      <c r="D1153" s="216" t="inlineStr">
        <is>
          <t>Trái phiếu doanh nghiệp</t>
        </is>
      </c>
      <c r="F1153" s="4" t="inlineStr">
        <is>
          <t>Báo cáo</t>
        </is>
      </c>
      <c r="G1153" s="22" t="inlineStr">
        <is>
          <t>Chỉ tiêu phái sinh</t>
        </is>
      </c>
      <c r="H1153" s="4" t="inlineStr">
        <is>
          <t>TB</t>
        </is>
      </c>
    </row>
    <row r="1154" ht="15" customHeight="1" s="380">
      <c r="B1154" s="4" t="inlineStr">
        <is>
          <t>HNX04 (LK)</t>
        </is>
      </c>
      <c r="C1154" s="216" t="n"/>
      <c r="D1154" s="216" t="inlineStr">
        <is>
          <t>Tín phiếu kho bạc</t>
        </is>
      </c>
      <c r="F1154" s="4" t="inlineStr">
        <is>
          <t>Báo cáo</t>
        </is>
      </c>
      <c r="G1154" s="22" t="inlineStr">
        <is>
          <t>Chỉ tiêu phái sinh</t>
        </is>
      </c>
      <c r="H1154" s="4" t="inlineStr">
        <is>
          <t>TB</t>
        </is>
      </c>
    </row>
    <row r="1155" ht="15" customHeight="1" s="380">
      <c r="B1155" s="4" t="inlineStr">
        <is>
          <t>HNX04 (LK)</t>
        </is>
      </c>
      <c r="C1155" s="216" t="n"/>
      <c r="D1155" s="216" t="inlineStr">
        <is>
          <t>Chứng chỉ quỹ (ETF)</t>
        </is>
      </c>
      <c r="F1155" s="4" t="inlineStr">
        <is>
          <t>Báo cáo</t>
        </is>
      </c>
      <c r="G1155" s="22" t="inlineStr">
        <is>
          <t>Chỉ tiêu phái sinh</t>
        </is>
      </c>
      <c r="H1155" s="4" t="inlineStr">
        <is>
          <t>TB</t>
        </is>
      </c>
    </row>
    <row r="1156" ht="15" customHeight="1" s="380">
      <c r="B1156" s="4" t="inlineStr">
        <is>
          <t>HNX04 (LK)</t>
        </is>
      </c>
      <c r="C1156" s="216" t="n"/>
      <c r="D1156" s="216" t="inlineStr">
        <is>
          <t>Chứng khoán hủy niêm yết (mã chứng khoán)</t>
        </is>
      </c>
      <c r="F1156" s="4" t="inlineStr">
        <is>
          <t>Báo cáo</t>
        </is>
      </c>
      <c r="G1156" s="22" t="inlineStr">
        <is>
          <t>Chỉ tiêu phái sinh</t>
        </is>
      </c>
      <c r="H1156" s="4" t="inlineStr">
        <is>
          <t>TB</t>
        </is>
      </c>
    </row>
    <row r="1157" ht="15" customHeight="1" s="380">
      <c r="B1157" s="4" t="inlineStr">
        <is>
          <t>HNX04 (LK)</t>
        </is>
      </c>
      <c r="C1157" s="216" t="n"/>
      <c r="D1157" s="216" t="inlineStr">
        <is>
          <t>Cổ phiếu niêm yết</t>
        </is>
      </c>
      <c r="F1157" s="4" t="inlineStr">
        <is>
          <t>Báo cáo</t>
        </is>
      </c>
      <c r="G1157" s="22" t="inlineStr">
        <is>
          <t>Chỉ tiêu phái sinh</t>
        </is>
      </c>
      <c r="H1157" s="4" t="inlineStr">
        <is>
          <t>TB</t>
        </is>
      </c>
    </row>
    <row r="1158" ht="15" customHeight="1" s="380">
      <c r="B1158" s="4" t="inlineStr">
        <is>
          <t>HNX04 (LK)</t>
        </is>
      </c>
      <c r="C1158" s="216" t="n"/>
      <c r="D1158" s="216" t="inlineStr">
        <is>
          <t>Cổ phiếu đăng ký giao dịch</t>
        </is>
      </c>
      <c r="F1158" s="4" t="inlineStr">
        <is>
          <t>Báo cáo</t>
        </is>
      </c>
      <c r="G1158" s="22" t="inlineStr">
        <is>
          <t>Chỉ tiêu phái sinh</t>
        </is>
      </c>
      <c r="H1158" s="4" t="inlineStr">
        <is>
          <t>TB</t>
        </is>
      </c>
    </row>
    <row r="1159" ht="15" customHeight="1" s="380">
      <c r="B1159" s="4" t="inlineStr">
        <is>
          <t>HNX04 (LK)</t>
        </is>
      </c>
      <c r="C1159" s="216" t="n"/>
      <c r="D1159" s="216" t="inlineStr">
        <is>
          <t>Trái phiếu chính phủ</t>
        </is>
      </c>
      <c r="F1159" s="4" t="inlineStr">
        <is>
          <t>Báo cáo</t>
        </is>
      </c>
      <c r="G1159" s="22" t="inlineStr">
        <is>
          <t>Chỉ tiêu phái sinh</t>
        </is>
      </c>
      <c r="H1159" s="4" t="inlineStr">
        <is>
          <t>TB</t>
        </is>
      </c>
    </row>
    <row r="1160" ht="15" customHeight="1" s="380">
      <c r="B1160" s="4" t="inlineStr">
        <is>
          <t>HNX04 (LK)</t>
        </is>
      </c>
      <c r="C1160" s="216" t="n"/>
      <c r="D1160" s="216" t="inlineStr">
        <is>
          <t>Trái phiếu chính quyền địa phương</t>
        </is>
      </c>
      <c r="F1160" s="4" t="inlineStr">
        <is>
          <t>Báo cáo</t>
        </is>
      </c>
      <c r="G1160" s="22" t="inlineStr">
        <is>
          <t>Chỉ tiêu phái sinh</t>
        </is>
      </c>
      <c r="H1160" s="4" t="inlineStr">
        <is>
          <t>TB</t>
        </is>
      </c>
    </row>
    <row r="1161" ht="15" customHeight="1" s="380">
      <c r="B1161" s="4" t="inlineStr">
        <is>
          <t>HNX04 (LK)</t>
        </is>
      </c>
      <c r="C1161" s="216" t="n"/>
      <c r="D1161" s="216" t="inlineStr">
        <is>
          <t>Trái phiếu chính phủ bảo lãnh</t>
        </is>
      </c>
      <c r="F1161" s="4" t="inlineStr">
        <is>
          <t>Báo cáo</t>
        </is>
      </c>
      <c r="G1161" s="22" t="inlineStr">
        <is>
          <t>Chỉ tiêu phái sinh</t>
        </is>
      </c>
      <c r="H1161" s="4" t="inlineStr">
        <is>
          <t>TB</t>
        </is>
      </c>
    </row>
    <row r="1162" ht="15" customHeight="1" s="380">
      <c r="B1162" s="4" t="inlineStr">
        <is>
          <t>HNX04 (LK)</t>
        </is>
      </c>
      <c r="C1162" s="216" t="n"/>
      <c r="D1162" s="216" t="inlineStr">
        <is>
          <t>Trái phiếu doanh nghiệp</t>
        </is>
      </c>
      <c r="F1162" s="4" t="inlineStr">
        <is>
          <t>Báo cáo</t>
        </is>
      </c>
      <c r="G1162" s="22" t="inlineStr">
        <is>
          <t>Chỉ tiêu phái sinh</t>
        </is>
      </c>
      <c r="H1162" s="4" t="inlineStr">
        <is>
          <t>TB</t>
        </is>
      </c>
    </row>
    <row r="1163" ht="15" customHeight="1" s="380">
      <c r="B1163" s="4" t="inlineStr">
        <is>
          <t>HNX04 (LK)</t>
        </is>
      </c>
      <c r="C1163" s="216" t="n"/>
      <c r="D1163" s="216" t="inlineStr">
        <is>
          <t>Tín phiếu kho bạc</t>
        </is>
      </c>
      <c r="F1163" s="4" t="inlineStr">
        <is>
          <t>Báo cáo</t>
        </is>
      </c>
      <c r="G1163" s="22" t="inlineStr">
        <is>
          <t>Chỉ tiêu phái sinh</t>
        </is>
      </c>
      <c r="H1163" s="4" t="inlineStr">
        <is>
          <t>TB</t>
        </is>
      </c>
    </row>
    <row r="1164" ht="15" customHeight="1" s="380">
      <c r="B1164" s="4" t="inlineStr">
        <is>
          <t>HNX04 (LK)</t>
        </is>
      </c>
      <c r="C1164" s="216" t="n"/>
      <c r="D1164" s="216" t="inlineStr">
        <is>
          <t>Chứng chỉ quỹ (ETF)</t>
        </is>
      </c>
      <c r="F1164" s="4" t="inlineStr">
        <is>
          <t>Báo cáo</t>
        </is>
      </c>
      <c r="G1164" s="22" t="inlineStr">
        <is>
          <t>Chỉ tiêu phái sinh</t>
        </is>
      </c>
      <c r="H1164" s="4" t="inlineStr">
        <is>
          <t>TB</t>
        </is>
      </c>
    </row>
    <row r="1165" ht="15" customHeight="1" s="380">
      <c r="B1165" s="4" t="inlineStr">
        <is>
          <t>HNX04 (LK)</t>
        </is>
      </c>
      <c r="C1165" s="216" t="n"/>
      <c r="D1165" s="216" t="inlineStr">
        <is>
          <t>Chứng khoán niêm yết đến thời điểm hiện tại (mã chứng khoán)</t>
        </is>
      </c>
      <c r="F1165" s="4" t="inlineStr">
        <is>
          <t>Báo cáo</t>
        </is>
      </c>
      <c r="G1165" s="22" t="inlineStr">
        <is>
          <t>Chỉ tiêu phái sinh</t>
        </is>
      </c>
      <c r="H1165" s="4" t="inlineStr">
        <is>
          <t>TB</t>
        </is>
      </c>
    </row>
    <row r="1166" ht="15" customHeight="1" s="380">
      <c r="B1166" s="4" t="inlineStr">
        <is>
          <t>HNX04 (LK)</t>
        </is>
      </c>
      <c r="C1166" s="216" t="n"/>
      <c r="D1166" s="216" t="inlineStr">
        <is>
          <t>Cổ phiếu niêm yết</t>
        </is>
      </c>
      <c r="F1166" s="4" t="inlineStr">
        <is>
          <t>Báo cáo</t>
        </is>
      </c>
      <c r="G1166" s="22" t="inlineStr">
        <is>
          <t>Chỉ tiêu phái sinh</t>
        </is>
      </c>
      <c r="H1166" s="4" t="inlineStr">
        <is>
          <t>TB</t>
        </is>
      </c>
    </row>
    <row r="1167" ht="15" customHeight="1" s="380">
      <c r="B1167" s="4" t="inlineStr">
        <is>
          <t>HNX04 (LK)</t>
        </is>
      </c>
      <c r="C1167" s="216" t="n"/>
      <c r="D1167" s="216" t="inlineStr">
        <is>
          <t>Cổ phiếu đăng ký giao dịch</t>
        </is>
      </c>
      <c r="F1167" s="4" t="inlineStr">
        <is>
          <t>Báo cáo</t>
        </is>
      </c>
      <c r="G1167" s="22" t="inlineStr">
        <is>
          <t>Chỉ tiêu phái sinh</t>
        </is>
      </c>
      <c r="H1167" s="4" t="inlineStr">
        <is>
          <t>TB</t>
        </is>
      </c>
    </row>
    <row r="1168" ht="15" customHeight="1" s="380">
      <c r="B1168" s="4" t="inlineStr">
        <is>
          <t>HNX04 (LK)</t>
        </is>
      </c>
      <c r="C1168" s="216" t="n"/>
      <c r="D1168" s="216" t="inlineStr">
        <is>
          <t>Trái phiếu chính phủ</t>
        </is>
      </c>
      <c r="F1168" s="4" t="inlineStr">
        <is>
          <t>Báo cáo</t>
        </is>
      </c>
      <c r="G1168" s="22" t="inlineStr">
        <is>
          <t>Chỉ tiêu phái sinh</t>
        </is>
      </c>
      <c r="H1168" s="4" t="inlineStr">
        <is>
          <t>TB</t>
        </is>
      </c>
    </row>
    <row r="1169" ht="15" customHeight="1" s="380">
      <c r="B1169" s="4" t="inlineStr">
        <is>
          <t>HNX04 (LK)</t>
        </is>
      </c>
      <c r="C1169" s="216" t="n"/>
      <c r="D1169" s="216" t="inlineStr">
        <is>
          <t>Trái phiếu chính quyền địa phương</t>
        </is>
      </c>
      <c r="F1169" s="4" t="inlineStr">
        <is>
          <t>Báo cáo</t>
        </is>
      </c>
      <c r="G1169" s="22" t="inlineStr">
        <is>
          <t>Chỉ tiêu phái sinh</t>
        </is>
      </c>
      <c r="H1169" s="4" t="inlineStr">
        <is>
          <t>TB</t>
        </is>
      </c>
    </row>
    <row r="1170" ht="15" customHeight="1" s="380">
      <c r="B1170" s="4" t="inlineStr">
        <is>
          <t>HNX04 (LK)</t>
        </is>
      </c>
      <c r="C1170" s="216" t="n"/>
      <c r="D1170" s="216" t="inlineStr">
        <is>
          <t>Trái phiếu chính phủ bảo lãnh</t>
        </is>
      </c>
      <c r="F1170" s="4" t="inlineStr">
        <is>
          <t>Báo cáo</t>
        </is>
      </c>
      <c r="G1170" s="22" t="inlineStr">
        <is>
          <t>Chỉ tiêu phái sinh</t>
        </is>
      </c>
      <c r="H1170" s="4" t="inlineStr">
        <is>
          <t>TB</t>
        </is>
      </c>
    </row>
    <row r="1171" ht="15" customHeight="1" s="380">
      <c r="B1171" s="4" t="inlineStr">
        <is>
          <t>HNX04 (LK)</t>
        </is>
      </c>
      <c r="C1171" s="216" t="n"/>
      <c r="D1171" s="216" t="inlineStr">
        <is>
          <t>Trái phiếu doanh nghiệp</t>
        </is>
      </c>
      <c r="F1171" s="4" t="inlineStr">
        <is>
          <t>Báo cáo</t>
        </is>
      </c>
      <c r="G1171" s="22" t="inlineStr">
        <is>
          <t>Chỉ tiêu phái sinh</t>
        </is>
      </c>
      <c r="H1171" s="4" t="inlineStr">
        <is>
          <t>TB</t>
        </is>
      </c>
    </row>
    <row r="1172" ht="15" customHeight="1" s="380">
      <c r="B1172" s="4" t="inlineStr">
        <is>
          <t>HNX04 (LK)</t>
        </is>
      </c>
      <c r="C1172" s="216" t="n"/>
      <c r="D1172" s="216" t="inlineStr">
        <is>
          <t>Tín phiếu kho bạc</t>
        </is>
      </c>
      <c r="F1172" s="4" t="inlineStr">
        <is>
          <t>Báo cáo</t>
        </is>
      </c>
      <c r="G1172" s="22" t="inlineStr">
        <is>
          <t>Chỉ tiêu phái sinh</t>
        </is>
      </c>
      <c r="H1172" s="4" t="inlineStr">
        <is>
          <t>TB</t>
        </is>
      </c>
    </row>
    <row r="1173" ht="15" customHeight="1" s="380">
      <c r="B1173" s="4" t="inlineStr">
        <is>
          <t>HNX04 (LK)</t>
        </is>
      </c>
      <c r="C1173" s="216" t="n"/>
      <c r="D1173" s="216" t="inlineStr">
        <is>
          <t>Chứng chỉ quỹ (ETF)</t>
        </is>
      </c>
      <c r="F1173" s="4" t="inlineStr">
        <is>
          <t>Báo cáo</t>
        </is>
      </c>
      <c r="G1173" s="22" t="inlineStr">
        <is>
          <t>Chỉ tiêu phái sinh</t>
        </is>
      </c>
      <c r="H1173" s="4" t="inlineStr">
        <is>
          <t>TB</t>
        </is>
      </c>
    </row>
    <row r="1174" ht="15" customHeight="1" s="380">
      <c r="B1174" s="4" t="inlineStr">
        <is>
          <t>HNX04 (LK)</t>
        </is>
      </c>
      <c r="C1174" s="216" t="n"/>
      <c r="D1174" s="216" t="inlineStr">
        <is>
          <t>Số phiên thực hiện giao dịch</t>
        </is>
      </c>
      <c r="F1174" s="4" t="inlineStr">
        <is>
          <t>Báo cáo</t>
        </is>
      </c>
      <c r="G1174" s="22" t="inlineStr">
        <is>
          <t>Chỉ tiêu phái sinh</t>
        </is>
      </c>
      <c r="H1174" s="4" t="inlineStr">
        <is>
          <t>TB</t>
        </is>
      </c>
    </row>
    <row r="1175" ht="15" customHeight="1" s="380">
      <c r="B1175" s="4" t="inlineStr">
        <is>
          <t>HNX04 (LK)</t>
        </is>
      </c>
      <c r="C1175" s="216" t="n"/>
      <c r="D1175" s="216" t="inlineStr">
        <is>
          <t>Cổ phiếu niêm yết</t>
        </is>
      </c>
      <c r="F1175" s="4" t="inlineStr">
        <is>
          <t>Báo cáo</t>
        </is>
      </c>
      <c r="G1175" s="22" t="inlineStr">
        <is>
          <t>Chỉ tiêu phái sinh</t>
        </is>
      </c>
      <c r="H1175" s="4" t="inlineStr">
        <is>
          <t>TB</t>
        </is>
      </c>
    </row>
    <row r="1176" ht="15" customHeight="1" s="380">
      <c r="B1176" s="4" t="inlineStr">
        <is>
          <t>HNX04 (LK)</t>
        </is>
      </c>
      <c r="C1176" s="216" t="n"/>
      <c r="D1176" s="216" t="inlineStr">
        <is>
          <t>Cổ phiếu đăng ký giao dịch</t>
        </is>
      </c>
      <c r="F1176" s="4" t="inlineStr">
        <is>
          <t>Báo cáo</t>
        </is>
      </c>
      <c r="G1176" s="22" t="inlineStr">
        <is>
          <t>Chỉ tiêu phái sinh</t>
        </is>
      </c>
      <c r="H1176" s="4" t="inlineStr">
        <is>
          <t>TB</t>
        </is>
      </c>
    </row>
    <row r="1177" ht="15" customHeight="1" s="380">
      <c r="B1177" s="4" t="inlineStr">
        <is>
          <t>HNX04 (LK)</t>
        </is>
      </c>
      <c r="C1177" s="216" t="n"/>
      <c r="D1177" s="216" t="inlineStr">
        <is>
          <t>Trái phiếu Chính phủ</t>
        </is>
      </c>
      <c r="F1177" s="4" t="inlineStr">
        <is>
          <t>Báo cáo</t>
        </is>
      </c>
      <c r="G1177" s="22" t="inlineStr">
        <is>
          <t>Chỉ tiêu phái sinh</t>
        </is>
      </c>
      <c r="H1177" s="4" t="inlineStr">
        <is>
          <t>TB</t>
        </is>
      </c>
    </row>
    <row r="1178" ht="15" customHeight="1" s="380">
      <c r="B1178" s="4" t="inlineStr">
        <is>
          <t>HNX04 (LK)</t>
        </is>
      </c>
      <c r="C1178" s="216" t="n"/>
      <c r="D1178" s="216" t="inlineStr">
        <is>
          <t>Tín phiếu kho bạc</t>
        </is>
      </c>
      <c r="F1178" s="4" t="inlineStr">
        <is>
          <t>Báo cáo</t>
        </is>
      </c>
      <c r="G1178" s="22" t="inlineStr">
        <is>
          <t>Chỉ tiêu phái sinh</t>
        </is>
      </c>
      <c r="H1178" s="4" t="inlineStr">
        <is>
          <t>TB</t>
        </is>
      </c>
    </row>
    <row r="1179" ht="16" customHeight="1" s="380">
      <c r="A1179" s="184" t="n"/>
      <c r="B1179" s="184" t="inlineStr">
        <is>
          <t>HNX07</t>
        </is>
      </c>
      <c r="C1179" s="367" t="n"/>
      <c r="D1179" s="367" t="inlineStr">
        <is>
          <t>Khối lượng giao dịch TPDN Niêm yết</t>
        </is>
      </c>
      <c r="E1179" s="184" t="inlineStr">
        <is>
          <t>TPDN NY Theo ngày</t>
        </is>
      </c>
      <c r="F1179" s="4" t="inlineStr">
        <is>
          <t>Báo cáo</t>
        </is>
      </c>
      <c r="G1179" s="22" t="inlineStr">
        <is>
          <t>Chỉ tiêu phái sinh</t>
        </is>
      </c>
      <c r="H1179" s="4" t="inlineStr">
        <is>
          <t>TB</t>
        </is>
      </c>
      <c r="I1179" s="184" t="n"/>
      <c r="J1179" s="184" t="n"/>
      <c r="K1179" s="184" t="n"/>
      <c r="L1179" s="184" t="n"/>
    </row>
    <row r="1180" ht="16" customHeight="1" s="380">
      <c r="B1180" s="184" t="inlineStr">
        <is>
          <t>HNX07</t>
        </is>
      </c>
      <c r="C1180" s="368" t="n"/>
      <c r="D1180" s="368" t="inlineStr">
        <is>
          <t>Khớp lệnh</t>
        </is>
      </c>
      <c r="F1180" s="4" t="inlineStr">
        <is>
          <t>Báo cáo</t>
        </is>
      </c>
      <c r="G1180" s="22" t="inlineStr">
        <is>
          <t>Chỉ tiêu phái sinh</t>
        </is>
      </c>
      <c r="H1180" s="4" t="inlineStr">
        <is>
          <t>TB</t>
        </is>
      </c>
    </row>
    <row r="1181" ht="16" customHeight="1" s="380">
      <c r="B1181" s="184" t="inlineStr">
        <is>
          <t>HNX07</t>
        </is>
      </c>
      <c r="C1181" s="368" t="n"/>
      <c r="D1181" s="368" t="inlineStr">
        <is>
          <t>Thỏa thuận</t>
        </is>
      </c>
      <c r="F1181" s="4" t="inlineStr">
        <is>
          <t>Báo cáo</t>
        </is>
      </c>
      <c r="G1181" s="22" t="inlineStr">
        <is>
          <t>Chỉ tiêu phái sinh</t>
        </is>
      </c>
      <c r="H1181" s="4" t="inlineStr">
        <is>
          <t>TB</t>
        </is>
      </c>
    </row>
    <row r="1182" ht="16" customHeight="1" s="380">
      <c r="B1182" s="184" t="inlineStr">
        <is>
          <t>HNX07</t>
        </is>
      </c>
      <c r="C1182" s="344" t="n"/>
      <c r="D1182" s="344" t="inlineStr">
        <is>
          <t>Giá trị giao dịch TPDN Niêm yết</t>
        </is>
      </c>
      <c r="F1182" s="4" t="inlineStr">
        <is>
          <t>Báo cáo</t>
        </is>
      </c>
      <c r="G1182" s="22" t="inlineStr">
        <is>
          <t>Chỉ tiêu phái sinh</t>
        </is>
      </c>
      <c r="H1182" s="4" t="inlineStr">
        <is>
          <t>TB</t>
        </is>
      </c>
    </row>
    <row r="1183" ht="16" customHeight="1" s="380">
      <c r="B1183" s="184" t="inlineStr">
        <is>
          <t>HNX07</t>
        </is>
      </c>
      <c r="C1183" s="368" t="n"/>
      <c r="D1183" s="368" t="inlineStr">
        <is>
          <t>Khớp lệnh</t>
        </is>
      </c>
      <c r="F1183" s="4" t="inlineStr">
        <is>
          <t>Báo cáo</t>
        </is>
      </c>
      <c r="G1183" s="22" t="inlineStr">
        <is>
          <t>Chỉ tiêu phái sinh</t>
        </is>
      </c>
      <c r="H1183" s="4" t="inlineStr">
        <is>
          <t>TB</t>
        </is>
      </c>
    </row>
    <row r="1184" ht="16" customHeight="1" s="380">
      <c r="B1184" s="184" t="inlineStr">
        <is>
          <t>HNX07</t>
        </is>
      </c>
      <c r="C1184" s="369" t="n"/>
      <c r="D1184" s="369" t="inlineStr">
        <is>
          <t>Giá khớp lệnh TPDN Niêm yết</t>
        </is>
      </c>
      <c r="F1184" s="4" t="inlineStr">
        <is>
          <t>Báo cáo</t>
        </is>
      </c>
      <c r="G1184" s="4" t="inlineStr">
        <is>
          <t>Chỉ tiêu cơ sở</t>
        </is>
      </c>
      <c r="H1184" s="4" t="inlineStr">
        <is>
          <t>Trùng</t>
        </is>
      </c>
    </row>
    <row r="1185" ht="16" customHeight="1" s="380">
      <c r="B1185" s="184" t="inlineStr">
        <is>
          <t>HNX07</t>
        </is>
      </c>
      <c r="C1185" s="368" t="n"/>
      <c r="D1185" s="368" t="inlineStr">
        <is>
          <t>Thỏa thuận</t>
        </is>
      </c>
      <c r="F1185" s="4" t="inlineStr">
        <is>
          <t>Báo cáo</t>
        </is>
      </c>
      <c r="G1185" s="22" t="inlineStr">
        <is>
          <t>Chỉ tiêu phái sinh</t>
        </is>
      </c>
      <c r="H1185" s="4" t="inlineStr">
        <is>
          <t>TB</t>
        </is>
      </c>
    </row>
    <row r="1186" ht="16" customHeight="1" s="380">
      <c r="B1186" s="184" t="inlineStr">
        <is>
          <t>HNX07</t>
        </is>
      </c>
      <c r="C1186" s="369" t="n"/>
      <c r="D1186" s="369" t="inlineStr">
        <is>
          <t>Giá thỏa thuận TPDN Niêm yết</t>
        </is>
      </c>
      <c r="F1186" s="4" t="inlineStr">
        <is>
          <t>Báo cáo</t>
        </is>
      </c>
      <c r="G1186" s="4" t="inlineStr">
        <is>
          <t>Chỉ tiêu cơ sở</t>
        </is>
      </c>
      <c r="H1186" s="4" t="inlineStr">
        <is>
          <t>Trùng</t>
        </is>
      </c>
    </row>
    <row r="1187" ht="16" customHeight="1" s="380">
      <c r="B1187" s="184" t="inlineStr">
        <is>
          <t>HNX07</t>
        </is>
      </c>
      <c r="C1187" s="344" t="n"/>
      <c r="D1187" s="344" t="inlineStr">
        <is>
          <t>Giao dịch Nhà đầu tư nước ngoài (GDNĐTNN)</t>
        </is>
      </c>
      <c r="F1187" s="4" t="inlineStr">
        <is>
          <t>Báo cáo</t>
        </is>
      </c>
      <c r="G1187" s="22" t="inlineStr">
        <is>
          <t>Chỉ tiêu phái sinh</t>
        </is>
      </c>
      <c r="H1187" s="4" t="inlineStr">
        <is>
          <t>TB</t>
        </is>
      </c>
    </row>
    <row r="1188" ht="16" customHeight="1" s="380">
      <c r="B1188" s="184" t="inlineStr">
        <is>
          <t>HNX07</t>
        </is>
      </c>
      <c r="C1188" s="344" t="n"/>
      <c r="D1188" s="344" t="inlineStr">
        <is>
          <t>Giao dịch khớp lệnh</t>
        </is>
      </c>
      <c r="F1188" s="4" t="inlineStr">
        <is>
          <t>Báo cáo</t>
        </is>
      </c>
      <c r="G1188" s="22" t="inlineStr">
        <is>
          <t>Chỉ tiêu phái sinh</t>
        </is>
      </c>
      <c r="H1188" s="4" t="inlineStr">
        <is>
          <t>TB</t>
        </is>
      </c>
    </row>
    <row r="1189" ht="16" customHeight="1" s="380">
      <c r="B1189" s="184" t="inlineStr">
        <is>
          <t>HNX07</t>
        </is>
      </c>
      <c r="C1189" s="368" t="n"/>
      <c r="D1189" s="368" t="inlineStr">
        <is>
          <t>Khối lượng giao dịch</t>
        </is>
      </c>
      <c r="F1189" s="4" t="inlineStr">
        <is>
          <t>Báo cáo</t>
        </is>
      </c>
      <c r="G1189" s="22" t="inlineStr">
        <is>
          <t>Chỉ tiêu phái sinh</t>
        </is>
      </c>
      <c r="H1189" s="4" t="inlineStr">
        <is>
          <t>TB</t>
        </is>
      </c>
    </row>
    <row r="1190" ht="16" customHeight="1" s="380">
      <c r="B1190" s="184" t="inlineStr">
        <is>
          <t>HNX07</t>
        </is>
      </c>
      <c r="C1190" s="368" t="n"/>
      <c r="D1190" s="368" t="inlineStr">
        <is>
          <t>Khối lượng mua</t>
        </is>
      </c>
      <c r="F1190" s="4" t="inlineStr">
        <is>
          <t>Báo cáo</t>
        </is>
      </c>
      <c r="G1190" s="22" t="inlineStr">
        <is>
          <t>Chỉ tiêu phái sinh</t>
        </is>
      </c>
      <c r="H1190" s="4" t="inlineStr">
        <is>
          <t>TB</t>
        </is>
      </c>
    </row>
    <row r="1191" ht="16" customHeight="1" s="380">
      <c r="B1191" s="184" t="inlineStr">
        <is>
          <t>HNX07</t>
        </is>
      </c>
      <c r="C1191" s="368" t="n"/>
      <c r="D1191" s="368" t="inlineStr">
        <is>
          <t>Khối lượng bán</t>
        </is>
      </c>
      <c r="F1191" s="4" t="inlineStr">
        <is>
          <t>Báo cáo</t>
        </is>
      </c>
      <c r="G1191" s="22" t="inlineStr">
        <is>
          <t>Chỉ tiêu phái sinh</t>
        </is>
      </c>
      <c r="H1191" s="4" t="inlineStr">
        <is>
          <t>TB</t>
        </is>
      </c>
    </row>
    <row r="1192" ht="16" customHeight="1" s="380">
      <c r="B1192" s="184" t="inlineStr">
        <is>
          <t>HNX07</t>
        </is>
      </c>
      <c r="C1192" s="368" t="n"/>
      <c r="D1192" s="368" t="inlineStr">
        <is>
          <t>Giá trị giao dịch</t>
        </is>
      </c>
      <c r="F1192" s="4" t="inlineStr">
        <is>
          <t>Báo cáo</t>
        </is>
      </c>
      <c r="G1192" s="22" t="inlineStr">
        <is>
          <t>Chỉ tiêu phái sinh</t>
        </is>
      </c>
      <c r="H1192" s="4" t="inlineStr">
        <is>
          <t>Dễ</t>
        </is>
      </c>
    </row>
    <row r="1193" ht="16" customHeight="1" s="380">
      <c r="B1193" s="184" t="inlineStr">
        <is>
          <t>HNX07</t>
        </is>
      </c>
      <c r="C1193" s="368" t="n"/>
      <c r="D1193" s="368" t="inlineStr">
        <is>
          <t>Giá trị mua</t>
        </is>
      </c>
      <c r="F1193" s="4" t="inlineStr">
        <is>
          <t>Báo cáo</t>
        </is>
      </c>
      <c r="G1193" s="22" t="inlineStr">
        <is>
          <t>Chỉ tiêu phái sinh</t>
        </is>
      </c>
      <c r="H1193" s="4" t="inlineStr">
        <is>
          <t>TB</t>
        </is>
      </c>
    </row>
    <row r="1194" ht="14" customHeight="1" s="380">
      <c r="B1194" s="184" t="inlineStr">
        <is>
          <t>HNX07</t>
        </is>
      </c>
      <c r="C1194" s="370" t="n"/>
      <c r="D1194" s="370" t="inlineStr">
        <is>
          <t>Giá mua</t>
        </is>
      </c>
      <c r="F1194" s="4" t="inlineStr">
        <is>
          <t>Báo cáo</t>
        </is>
      </c>
      <c r="G1194" s="4" t="inlineStr">
        <is>
          <t>Chỉ tiêu cơ sở</t>
        </is>
      </c>
      <c r="H1194" s="4" t="inlineStr">
        <is>
          <t>Dễ</t>
        </is>
      </c>
    </row>
    <row r="1195" ht="16" customHeight="1" s="380">
      <c r="B1195" s="184" t="inlineStr">
        <is>
          <t>HNX07</t>
        </is>
      </c>
      <c r="C1195" s="368" t="n"/>
      <c r="D1195" s="368" t="inlineStr">
        <is>
          <t>Giá trị bán</t>
        </is>
      </c>
      <c r="F1195" s="4" t="inlineStr">
        <is>
          <t>Báo cáo</t>
        </is>
      </c>
      <c r="G1195" s="22" t="inlineStr">
        <is>
          <t>Chỉ tiêu phái sinh</t>
        </is>
      </c>
      <c r="H1195" s="4" t="inlineStr">
        <is>
          <t>TB</t>
        </is>
      </c>
    </row>
    <row r="1196" ht="16" customHeight="1" s="380">
      <c r="B1196" s="184" t="inlineStr">
        <is>
          <t>HNX07</t>
        </is>
      </c>
      <c r="C1196" s="369" t="n"/>
      <c r="D1196" s="369" t="inlineStr">
        <is>
          <t>Giá bán</t>
        </is>
      </c>
      <c r="F1196" s="4" t="inlineStr">
        <is>
          <t>Báo cáo</t>
        </is>
      </c>
      <c r="G1196" s="4" t="inlineStr">
        <is>
          <t>Chỉ tiêu cơ sở</t>
        </is>
      </c>
      <c r="H1196" s="4" t="inlineStr">
        <is>
          <t>Dễ</t>
        </is>
      </c>
    </row>
    <row r="1197" ht="14" customHeight="1" s="380">
      <c r="B1197" s="184" t="inlineStr">
        <is>
          <t>HNX07</t>
        </is>
      </c>
      <c r="C1197" s="371" t="n"/>
      <c r="D1197" s="371" t="inlineStr">
        <is>
          <t>Giao dịch thỏa thuận</t>
        </is>
      </c>
      <c r="F1197" s="4" t="inlineStr">
        <is>
          <t>Báo cáo</t>
        </is>
      </c>
      <c r="G1197" s="22" t="inlineStr">
        <is>
          <t>Chỉ tiêu phái sinh</t>
        </is>
      </c>
      <c r="H1197" s="4" t="inlineStr">
        <is>
          <t>TB</t>
        </is>
      </c>
    </row>
    <row r="1198" ht="16" customHeight="1" s="380">
      <c r="B1198" s="184" t="inlineStr">
        <is>
          <t>HNX07</t>
        </is>
      </c>
      <c r="C1198" s="368" t="n"/>
      <c r="D1198" s="368" t="inlineStr">
        <is>
          <t>Khối lượng giao dịch</t>
        </is>
      </c>
      <c r="F1198" s="4" t="inlineStr">
        <is>
          <t>Báo cáo</t>
        </is>
      </c>
      <c r="G1198" s="22" t="inlineStr">
        <is>
          <t>Chỉ tiêu phái sinh</t>
        </is>
      </c>
      <c r="H1198" s="4" t="inlineStr">
        <is>
          <t>TB</t>
        </is>
      </c>
    </row>
    <row r="1199" ht="16" customHeight="1" s="380">
      <c r="B1199" s="184" t="inlineStr">
        <is>
          <t>HNX07</t>
        </is>
      </c>
      <c r="C1199" s="368" t="n"/>
      <c r="D1199" s="368" t="inlineStr">
        <is>
          <t>Khối lượng mua</t>
        </is>
      </c>
      <c r="F1199" s="4" t="inlineStr">
        <is>
          <t>Báo cáo</t>
        </is>
      </c>
      <c r="G1199" s="22" t="inlineStr">
        <is>
          <t>Chỉ tiêu phái sinh</t>
        </is>
      </c>
      <c r="H1199" s="4" t="inlineStr">
        <is>
          <t>TB</t>
        </is>
      </c>
    </row>
    <row r="1200" ht="16" customHeight="1" s="380">
      <c r="B1200" s="184" t="inlineStr">
        <is>
          <t>HNX07</t>
        </is>
      </c>
      <c r="C1200" s="368" t="n"/>
      <c r="D1200" s="368" t="inlineStr">
        <is>
          <t>Khối lượng bán</t>
        </is>
      </c>
      <c r="F1200" s="4" t="inlineStr">
        <is>
          <t>Báo cáo</t>
        </is>
      </c>
      <c r="G1200" s="22" t="inlineStr">
        <is>
          <t>Chỉ tiêu phái sinh</t>
        </is>
      </c>
      <c r="H1200" s="4" t="inlineStr">
        <is>
          <t>TB</t>
        </is>
      </c>
    </row>
    <row r="1201" ht="16" customHeight="1" s="380">
      <c r="B1201" s="184" t="inlineStr">
        <is>
          <t>HNX07</t>
        </is>
      </c>
      <c r="C1201" s="368" t="n"/>
      <c r="D1201" s="368" t="inlineStr">
        <is>
          <t>Giá trị giao dịch</t>
        </is>
      </c>
      <c r="F1201" s="4" t="inlineStr">
        <is>
          <t>Báo cáo</t>
        </is>
      </c>
      <c r="G1201" s="22" t="inlineStr">
        <is>
          <t>Chỉ tiêu phái sinh</t>
        </is>
      </c>
      <c r="H1201" s="4" t="inlineStr">
        <is>
          <t>Dễ</t>
        </is>
      </c>
    </row>
    <row r="1202" ht="16" customHeight="1" s="380">
      <c r="B1202" s="184" t="inlineStr">
        <is>
          <t>HNX07</t>
        </is>
      </c>
      <c r="C1202" s="368" t="n"/>
      <c r="D1202" s="368" t="inlineStr">
        <is>
          <t>Giá trị mua</t>
        </is>
      </c>
      <c r="F1202" s="4" t="inlineStr">
        <is>
          <t>Báo cáo</t>
        </is>
      </c>
      <c r="G1202" s="22" t="inlineStr">
        <is>
          <t>Chỉ tiêu phái sinh</t>
        </is>
      </c>
      <c r="H1202" s="4" t="inlineStr">
        <is>
          <t>TB</t>
        </is>
      </c>
    </row>
    <row r="1203" ht="14" customHeight="1" s="380">
      <c r="B1203" s="184" t="inlineStr">
        <is>
          <t>HNX07</t>
        </is>
      </c>
      <c r="C1203" s="370" t="n"/>
      <c r="D1203" s="370" t="inlineStr">
        <is>
          <t>Giá mua</t>
        </is>
      </c>
      <c r="F1203" s="4" t="inlineStr">
        <is>
          <t>Báo cáo</t>
        </is>
      </c>
      <c r="G1203" s="4" t="inlineStr">
        <is>
          <t>Chỉ tiêu cơ sở</t>
        </is>
      </c>
      <c r="H1203" s="4" t="inlineStr">
        <is>
          <t>Dễ</t>
        </is>
      </c>
    </row>
    <row r="1204" ht="16" customHeight="1" s="380">
      <c r="B1204" s="184" t="inlineStr">
        <is>
          <t>HNX07</t>
        </is>
      </c>
      <c r="C1204" s="368" t="n"/>
      <c r="D1204" s="368" t="inlineStr">
        <is>
          <t>Giá trị bán</t>
        </is>
      </c>
      <c r="F1204" s="4" t="inlineStr">
        <is>
          <t>Báo cáo</t>
        </is>
      </c>
      <c r="G1204" s="22" t="inlineStr">
        <is>
          <t>Chỉ tiêu phái sinh</t>
        </is>
      </c>
      <c r="H1204" s="4" t="inlineStr">
        <is>
          <t>TB</t>
        </is>
      </c>
    </row>
    <row r="1205" ht="16" customHeight="1" s="380">
      <c r="A1205" s="55" t="n"/>
      <c r="B1205" s="184" t="inlineStr">
        <is>
          <t>HNX07</t>
        </is>
      </c>
      <c r="C1205" s="372" t="n"/>
      <c r="D1205" s="372" t="inlineStr">
        <is>
          <t>Giá bán</t>
        </is>
      </c>
      <c r="E1205" s="55" t="n"/>
      <c r="F1205" s="4" t="inlineStr">
        <is>
          <t>Báo cáo</t>
        </is>
      </c>
      <c r="G1205" s="55" t="inlineStr">
        <is>
          <t>Chỉ tiêu cơ sở</t>
        </is>
      </c>
      <c r="H1205" s="55" t="inlineStr">
        <is>
          <t>Dễ</t>
        </is>
      </c>
      <c r="I1205" s="55" t="n"/>
      <c r="J1205" s="55" t="n"/>
      <c r="K1205" s="55" t="n"/>
      <c r="L1205" s="55" t="n"/>
      <c r="M1205" s="55" t="n"/>
      <c r="N1205" s="55" t="n"/>
      <c r="O1205" s="55" t="n"/>
      <c r="P1205" s="55" t="n"/>
      <c r="Q1205" s="55" t="n"/>
      <c r="R1205" s="55" t="n"/>
      <c r="S1205" s="55" t="n"/>
      <c r="T1205" s="55" t="n"/>
      <c r="U1205" s="55" t="n"/>
      <c r="V1205" s="55" t="n"/>
      <c r="W1205" s="55" t="n"/>
      <c r="X1205" s="55" t="n"/>
      <c r="Y1205" s="55" t="n"/>
      <c r="Z1205" s="55" t="n"/>
      <c r="AA1205" s="55" t="n"/>
      <c r="AB1205" s="55" t="n"/>
      <c r="AC1205" s="55" t="n"/>
      <c r="AD1205" s="55" t="n"/>
      <c r="AE1205" s="55" t="n"/>
    </row>
    <row r="1206" ht="16" customHeight="1" s="380">
      <c r="A1206" s="184" t="n"/>
      <c r="B1206" s="184" t="inlineStr">
        <is>
          <t>HNX10</t>
        </is>
      </c>
      <c r="C1206" s="236" t="n"/>
      <c r="D1206" s="236" t="inlineStr">
        <is>
          <t>Đăng ký giao dịch thời điểm cuối tháng</t>
        </is>
      </c>
      <c r="E1206" s="184" t="inlineStr">
        <is>
          <t>TPDN RL theo tháng</t>
        </is>
      </c>
      <c r="F1206" s="4" t="inlineStr">
        <is>
          <t>Báo cáo</t>
        </is>
      </c>
      <c r="G1206" s="22" t="inlineStr">
        <is>
          <t>Chỉ tiêu phái sinh</t>
        </is>
      </c>
      <c r="H1206" s="4" t="inlineStr">
        <is>
          <t>TB</t>
        </is>
      </c>
      <c r="I1206" s="184" t="n"/>
      <c r="J1206" s="184" t="n"/>
      <c r="K1206" s="184" t="n"/>
      <c r="L1206" s="184" t="n"/>
    </row>
    <row r="1207" ht="17" customHeight="1" s="380">
      <c r="B1207" s="184" t="inlineStr">
        <is>
          <t>HNX10</t>
        </is>
      </c>
      <c r="C1207" s="239" t="n"/>
      <c r="D1207" s="239" t="inlineStr">
        <is>
          <t>Số mã TPDN đăng ký giao dịch</t>
        </is>
      </c>
      <c r="F1207" s="4" t="inlineStr">
        <is>
          <t>Báo cáo</t>
        </is>
      </c>
      <c r="G1207" s="22" t="inlineStr">
        <is>
          <t>Chỉ tiêu phái sinh</t>
        </is>
      </c>
      <c r="H1207" s="4" t="inlineStr">
        <is>
          <t>TB</t>
        </is>
      </c>
      <c r="I1207" s="4" t="n"/>
      <c r="J1207" s="4" t="inlineStr">
        <is>
          <t>Đếm mã TPDN RL đăng ký GD trên toàn thị trường cuối mỗi tháng</t>
        </is>
      </c>
    </row>
    <row r="1208" ht="17" customHeight="1" s="380">
      <c r="B1208" s="184" t="inlineStr">
        <is>
          <t>HNX10</t>
        </is>
      </c>
      <c r="C1208" s="239" t="n"/>
      <c r="D1208" s="239" t="inlineStr">
        <is>
          <t>Giá trị TPDN đăng ký giao dịch</t>
        </is>
      </c>
      <c r="F1208" s="4" t="inlineStr">
        <is>
          <t>Báo cáo</t>
        </is>
      </c>
      <c r="G1208" s="22" t="inlineStr">
        <is>
          <t>Chỉ tiêu phái sinh</t>
        </is>
      </c>
      <c r="H1208" s="4" t="inlineStr">
        <is>
          <t>TB</t>
        </is>
      </c>
      <c r="I1208" s="4" t="n"/>
      <c r="J1208" s="4" t="inlineStr">
        <is>
          <t>Tính tổng Giá trị GD TPDN riêng lẻ toàn thị trường</t>
        </is>
      </c>
    </row>
    <row r="1209" ht="16" customHeight="1" s="380">
      <c r="B1209" s="184" t="inlineStr">
        <is>
          <t>HNX10</t>
        </is>
      </c>
      <c r="C1209" s="218" t="n"/>
      <c r="D1209" s="218" t="inlineStr">
        <is>
          <t>Kỳ hạn còn lại dưới 1 năm</t>
        </is>
      </c>
      <c r="F1209" s="4" t="inlineStr">
        <is>
          <t>Báo cáo</t>
        </is>
      </c>
      <c r="G1209" s="22" t="inlineStr">
        <is>
          <t>Chỉ tiêu phái sinh</t>
        </is>
      </c>
      <c r="H1209" s="4" t="inlineStr">
        <is>
          <t>TB</t>
        </is>
      </c>
    </row>
    <row r="1210" ht="16" customHeight="1" s="380">
      <c r="B1210" s="184" t="inlineStr">
        <is>
          <t>HNX10</t>
        </is>
      </c>
      <c r="C1210" s="218" t="n"/>
      <c r="D1210" s="218" t="inlineStr">
        <is>
          <t>Kỳ hạn còn lại trên 1 năm</t>
        </is>
      </c>
      <c r="F1210" s="4" t="inlineStr">
        <is>
          <t>Báo cáo</t>
        </is>
      </c>
      <c r="G1210" s="22" t="inlineStr">
        <is>
          <t>Chỉ tiêu phái sinh</t>
        </is>
      </c>
      <c r="H1210" s="4" t="inlineStr">
        <is>
          <t>TB</t>
        </is>
      </c>
    </row>
    <row r="1211" ht="17" customHeight="1" s="380">
      <c r="B1211" s="184" t="inlineStr">
        <is>
          <t>HNX10</t>
        </is>
      </c>
      <c r="C1211" s="240" t="n"/>
      <c r="D1211" s="240" t="inlineStr">
        <is>
          <t>Đăng ký giao dịch mới trong tháng</t>
        </is>
      </c>
      <c r="F1211" s="4" t="inlineStr">
        <is>
          <t>Báo cáo</t>
        </is>
      </c>
      <c r="G1211" s="22" t="inlineStr">
        <is>
          <t>Chỉ tiêu phái sinh</t>
        </is>
      </c>
      <c r="H1211" s="4" t="inlineStr">
        <is>
          <t>TB</t>
        </is>
      </c>
      <c r="I1211" s="4" t="n"/>
      <c r="J1211" s="4" t="inlineStr">
        <is>
          <t>Tính tổng số đăng ký mới toàn thị trường theo tháng</t>
        </is>
      </c>
    </row>
    <row r="1212" ht="17" customHeight="1" s="380">
      <c r="B1212" s="184" t="inlineStr">
        <is>
          <t>HNX10</t>
        </is>
      </c>
      <c r="C1212" s="241" t="n"/>
      <c r="D1212" s="241" t="inlineStr">
        <is>
          <t>Số mã TPDN đăng ký giao dịch mới</t>
        </is>
      </c>
      <c r="F1212" s="4" t="inlineStr">
        <is>
          <t>Báo cáo</t>
        </is>
      </c>
      <c r="G1212" s="22" t="inlineStr">
        <is>
          <t>Chỉ tiêu phái sinh</t>
        </is>
      </c>
      <c r="H1212" s="4" t="inlineStr">
        <is>
          <t>TB</t>
        </is>
      </c>
    </row>
    <row r="1213" ht="17" customHeight="1" s="380">
      <c r="B1213" s="184" t="inlineStr">
        <is>
          <t>HNX10</t>
        </is>
      </c>
      <c r="C1213" s="239" t="n"/>
      <c r="D1213" s="239" t="inlineStr">
        <is>
          <t>Giá trị TPDN đăng ký giao dịch mới</t>
        </is>
      </c>
      <c r="F1213" s="4" t="inlineStr">
        <is>
          <t>Báo cáo</t>
        </is>
      </c>
      <c r="G1213" s="22" t="inlineStr">
        <is>
          <t>Chỉ tiêu phái sinh</t>
        </is>
      </c>
      <c r="H1213" s="4" t="inlineStr">
        <is>
          <t>TB</t>
        </is>
      </c>
    </row>
    <row r="1214" ht="17" customHeight="1" s="380">
      <c r="B1214" s="184" t="inlineStr">
        <is>
          <t>HNX10</t>
        </is>
      </c>
      <c r="C1214" s="240" t="n"/>
      <c r="D1214" s="240" t="inlineStr">
        <is>
          <t>Hủy đăng ký giao dịch trong tháng</t>
        </is>
      </c>
      <c r="F1214" s="4" t="inlineStr">
        <is>
          <t>Báo cáo</t>
        </is>
      </c>
      <c r="G1214" s="22" t="inlineStr">
        <is>
          <t>Chỉ tiêu phái sinh</t>
        </is>
      </c>
      <c r="H1214" s="4" t="inlineStr">
        <is>
          <t>TB</t>
        </is>
      </c>
      <c r="I1214" s="4" t="n"/>
      <c r="J1214" s="4" t="inlineStr">
        <is>
          <t>Tính tổng mã TPDN RL hủy trên toàn thị trường theo tháng</t>
        </is>
      </c>
    </row>
    <row r="1215" ht="17" customHeight="1" s="380">
      <c r="B1215" s="184" t="inlineStr">
        <is>
          <t>HNX10</t>
        </is>
      </c>
      <c r="C1215" s="241" t="n"/>
      <c r="D1215" s="241" t="inlineStr">
        <is>
          <t>Số mã TPDN hủy đăng ký giao dịch</t>
        </is>
      </c>
      <c r="F1215" s="4" t="inlineStr">
        <is>
          <t>Báo cáo</t>
        </is>
      </c>
      <c r="G1215" s="22" t="inlineStr">
        <is>
          <t>Chỉ tiêu phái sinh</t>
        </is>
      </c>
      <c r="H1215" s="4" t="inlineStr">
        <is>
          <t>TB</t>
        </is>
      </c>
    </row>
    <row r="1216" ht="17" customHeight="1" s="380">
      <c r="B1216" s="184" t="inlineStr">
        <is>
          <t>HNX10</t>
        </is>
      </c>
      <c r="C1216" s="241" t="n"/>
      <c r="D1216" s="241" t="inlineStr">
        <is>
          <t>Giá trị TPDN hủy đăng ký giao dịch</t>
        </is>
      </c>
      <c r="F1216" s="4" t="inlineStr">
        <is>
          <t>Báo cáo</t>
        </is>
      </c>
      <c r="G1216" s="22" t="inlineStr">
        <is>
          <t>Chỉ tiêu phái sinh</t>
        </is>
      </c>
      <c r="H1216" s="4" t="inlineStr">
        <is>
          <t>TB</t>
        </is>
      </c>
    </row>
    <row r="1217" ht="17" customHeight="1" s="380">
      <c r="B1217" s="184" t="inlineStr">
        <is>
          <t>HNX10</t>
        </is>
      </c>
      <c r="C1217" s="242" t="n"/>
      <c r="D1217" s="242" t="inlineStr">
        <is>
          <t>Giá trị TPDN đăng ký giao dịch điều chỉnh tăng</t>
        </is>
      </c>
      <c r="F1217" s="4" t="inlineStr">
        <is>
          <t>Báo cáo</t>
        </is>
      </c>
      <c r="G1217" s="22" t="inlineStr">
        <is>
          <t>Chỉ tiêu phái sinh</t>
        </is>
      </c>
      <c r="H1217" s="4" t="inlineStr">
        <is>
          <t>Dễ</t>
        </is>
      </c>
      <c r="I1217" s="4" t="n"/>
      <c r="J1217" s="4" t="inlineStr">
        <is>
          <t>Tính tổng mã TPDN RL điều chỉnh tăng trên toàn thị trường theo tháng</t>
        </is>
      </c>
    </row>
    <row r="1218" ht="34" customHeight="1" s="380">
      <c r="B1218" s="184" t="inlineStr">
        <is>
          <t>HNX10</t>
        </is>
      </c>
      <c r="C1218" s="243" t="n"/>
      <c r="D1218" s="243" t="inlineStr">
        <is>
          <t xml:space="preserve">Giá trị TPDN RL (mỗi mã CK/ DNRL) điều chỉnh tăng </t>
        </is>
      </c>
      <c r="F1218" s="4" t="inlineStr">
        <is>
          <t>Báo cáo</t>
        </is>
      </c>
      <c r="G1218" s="22" t="inlineStr">
        <is>
          <t>Chỉ tiêu phái sinh</t>
        </is>
      </c>
      <c r="H1218" s="4" t="inlineStr">
        <is>
          <t>TB</t>
        </is>
      </c>
      <c r="I1218" s="4" t="n"/>
      <c r="J1218" s="4" t="n"/>
    </row>
    <row r="1219" ht="17" customHeight="1" s="380">
      <c r="B1219" s="184" t="inlineStr">
        <is>
          <t>HNX10</t>
        </is>
      </c>
      <c r="C1219" s="242" t="n"/>
      <c r="D1219" s="242" t="inlineStr">
        <is>
          <t>Giá trị TPDN đăng ký giao dịch điều chỉnh giảm</t>
        </is>
      </c>
      <c r="F1219" s="4" t="inlineStr">
        <is>
          <t>Báo cáo</t>
        </is>
      </c>
      <c r="G1219" s="22" t="inlineStr">
        <is>
          <t>Chỉ tiêu phái sinh</t>
        </is>
      </c>
      <c r="H1219" s="4" t="inlineStr">
        <is>
          <t>Dễ</t>
        </is>
      </c>
      <c r="I1219" s="4" t="n"/>
      <c r="J1219" s="4" t="inlineStr">
        <is>
          <t>Tính tổng mã TPDN RL điều chỉnh giảm trên toàn thị trường theo tháng</t>
        </is>
      </c>
    </row>
    <row r="1220" ht="34" customHeight="1" s="380">
      <c r="B1220" s="184" t="inlineStr">
        <is>
          <t>HNX10</t>
        </is>
      </c>
      <c r="C1220" s="243" t="n"/>
      <c r="D1220" s="243" t="inlineStr">
        <is>
          <t>Giá trị TPDN RL (mỗi mã CK/DNRL) điều chỉnh giảm</t>
        </is>
      </c>
      <c r="F1220" s="4" t="inlineStr">
        <is>
          <t>Báo cáo</t>
        </is>
      </c>
      <c r="G1220" s="22" t="inlineStr">
        <is>
          <t>Chỉ tiêu phái sinh</t>
        </is>
      </c>
      <c r="H1220" s="4" t="inlineStr">
        <is>
          <t>TB</t>
        </is>
      </c>
      <c r="I1220" s="4" t="n"/>
      <c r="J1220" s="4" t="n"/>
    </row>
    <row r="1221" ht="17" customHeight="1" s="380">
      <c r="B1221" s="184" t="inlineStr">
        <is>
          <t>HNX10</t>
        </is>
      </c>
      <c r="C1221" s="241" t="n"/>
      <c r="D1221" s="241" t="inlineStr">
        <is>
          <t>Giá trị TPDN giao dịch trong tháng</t>
        </is>
      </c>
      <c r="F1221" s="4" t="inlineStr">
        <is>
          <t>Báo cáo</t>
        </is>
      </c>
      <c r="G1221" s="22" t="inlineStr">
        <is>
          <t>Chỉ tiêu phái sinh</t>
        </is>
      </c>
      <c r="H1221" s="4" t="inlineStr">
        <is>
          <t>TB</t>
        </is>
      </c>
      <c r="I1221" s="4" t="n"/>
      <c r="J1221" s="4" t="inlineStr">
        <is>
          <t>Tổng giá trị TPDN RL đã giao dịch trong tháng</t>
        </is>
      </c>
    </row>
    <row r="1222" ht="14" customHeight="1" s="380">
      <c r="A1222" s="184" t="n"/>
      <c r="B1222" s="184" t="inlineStr">
        <is>
          <t>HNX11</t>
        </is>
      </c>
      <c r="C1222" s="244" t="n"/>
      <c r="D1222" s="244" t="inlineStr">
        <is>
          <t>Tên Doanh nghiệp phát hành TPDN RL trong nước</t>
        </is>
      </c>
      <c r="E1222" s="184" t="n"/>
      <c r="F1222" s="184" t="inlineStr">
        <is>
          <t>Báo cáo</t>
        </is>
      </c>
      <c r="G1222" s="184" t="inlineStr">
        <is>
          <t>Chỉ tiêu cơ sở</t>
        </is>
      </c>
      <c r="H1222" s="184" t="inlineStr">
        <is>
          <t>Dễ</t>
        </is>
      </c>
      <c r="I1222" s="184" t="n"/>
      <c r="J1222" s="184" t="n"/>
      <c r="K1222" s="184" t="n"/>
      <c r="L1222" s="184" t="inlineStr">
        <is>
          <t>BC chi tiết phát hành TPDN  thị trường trong nước</t>
        </is>
      </c>
    </row>
    <row r="1223" ht="15" customHeight="1" s="380">
      <c r="B1223" s="4" t="inlineStr">
        <is>
          <t>HNX11</t>
        </is>
      </c>
      <c r="C1223" s="216" t="n"/>
      <c r="D1223" s="216" t="inlineStr">
        <is>
          <t>Loại hình doanh nghiệp</t>
        </is>
      </c>
      <c r="F1223" s="4" t="inlineStr">
        <is>
          <t>Báo cáo</t>
        </is>
      </c>
      <c r="G1223" s="4" t="inlineStr">
        <is>
          <t>Chỉ tiêu cơ sở</t>
        </is>
      </c>
      <c r="H1223" s="4" t="inlineStr">
        <is>
          <t>Dễ</t>
        </is>
      </c>
    </row>
    <row r="1224" ht="15" customHeight="1" s="380">
      <c r="B1224" s="4" t="inlineStr">
        <is>
          <t>HNX11</t>
        </is>
      </c>
      <c r="C1224" s="216" t="n"/>
      <c r="D1224" s="216" t="inlineStr">
        <is>
          <t>Lĩnh vực hoạt động</t>
        </is>
      </c>
      <c r="F1224" s="4" t="inlineStr">
        <is>
          <t>Báo cáo</t>
        </is>
      </c>
      <c r="G1224" s="4" t="inlineStr">
        <is>
          <t>Chỉ tiêu cơ sở</t>
        </is>
      </c>
      <c r="H1224" s="4" t="inlineStr">
        <is>
          <t>Dễ</t>
        </is>
      </c>
    </row>
    <row r="1225" ht="15" customHeight="1" s="380">
      <c r="B1225" s="4" t="inlineStr">
        <is>
          <t>HNX11</t>
        </is>
      </c>
      <c r="C1225" s="216" t="n"/>
      <c r="D1225" s="216" t="inlineStr">
        <is>
          <t>Mã trái phiếu</t>
        </is>
      </c>
      <c r="F1225" s="4" t="inlineStr">
        <is>
          <t>Báo cáo</t>
        </is>
      </c>
      <c r="G1225" s="4" t="inlineStr">
        <is>
          <t>Chỉ tiêu cơ sở</t>
        </is>
      </c>
      <c r="H1225" s="4" t="inlineStr">
        <is>
          <t>Dễ</t>
        </is>
      </c>
    </row>
    <row r="1226" ht="15" customHeight="1" s="380">
      <c r="B1226" s="4" t="inlineStr">
        <is>
          <t>HNX11</t>
        </is>
      </c>
      <c r="C1226" s="216" t="n"/>
      <c r="D1226" s="216" t="inlineStr">
        <is>
          <t>Giá trị phát hành</t>
        </is>
      </c>
      <c r="F1226" s="4" t="inlineStr">
        <is>
          <t>Báo cáo</t>
        </is>
      </c>
      <c r="G1226" s="4" t="inlineStr">
        <is>
          <t>Chỉ tiêu cơ sở</t>
        </is>
      </c>
      <c r="H1226" s="4" t="inlineStr">
        <is>
          <t>Dễ</t>
        </is>
      </c>
    </row>
    <row r="1227" ht="14" customHeight="1" s="380">
      <c r="B1227" s="4" t="inlineStr">
        <is>
          <t>HNX11</t>
        </is>
      </c>
      <c r="C1227" s="246" t="n"/>
      <c r="D1227" s="246" t="inlineStr">
        <is>
          <t>Đơn vị kỳ hạn phát hành</t>
        </is>
      </c>
      <c r="F1227" s="4" t="inlineStr">
        <is>
          <t>Báo cáo</t>
        </is>
      </c>
      <c r="G1227" s="4" t="inlineStr">
        <is>
          <t>Chỉ tiêu cơ sở</t>
        </is>
      </c>
      <c r="H1227" s="4" t="inlineStr">
        <is>
          <t>Dễ</t>
        </is>
      </c>
    </row>
    <row r="1228" ht="14" customHeight="1" s="380">
      <c r="B1228" s="4" t="inlineStr">
        <is>
          <t>HNX11</t>
        </is>
      </c>
      <c r="C1228" s="246" t="n"/>
      <c r="D1228" s="246" t="inlineStr">
        <is>
          <t>Kỳ hạn phát hành</t>
        </is>
      </c>
      <c r="F1228" s="4" t="inlineStr">
        <is>
          <t>Báo cáo</t>
        </is>
      </c>
      <c r="G1228" s="4" t="inlineStr">
        <is>
          <t>Chỉ tiêu cơ sở</t>
        </is>
      </c>
      <c r="H1228" s="4" t="inlineStr">
        <is>
          <t>Dễ</t>
        </is>
      </c>
    </row>
    <row r="1229" ht="14" customHeight="1" s="380">
      <c r="B1229" s="4" t="inlineStr">
        <is>
          <t>HNX11</t>
        </is>
      </c>
      <c r="C1229" s="246" t="n"/>
      <c r="D1229" s="246" t="inlineStr">
        <is>
          <t>Loại lãi suất phát hành</t>
        </is>
      </c>
      <c r="F1229" s="4" t="inlineStr">
        <is>
          <t>Báo cáo</t>
        </is>
      </c>
      <c r="G1229" s="4" t="inlineStr">
        <is>
          <t>Chỉ tiêu cơ sở</t>
        </is>
      </c>
      <c r="H1229" s="4" t="inlineStr">
        <is>
          <t>TB</t>
        </is>
      </c>
    </row>
    <row r="1230" ht="15" customHeight="1" s="380">
      <c r="B1230" s="4" t="inlineStr">
        <is>
          <t>HNX11</t>
        </is>
      </c>
      <c r="C1230" s="216" t="n"/>
      <c r="D1230" s="216" t="inlineStr">
        <is>
          <t>Lãi suất thực tế</t>
        </is>
      </c>
      <c r="F1230" s="4" t="inlineStr">
        <is>
          <t>Báo cáo</t>
        </is>
      </c>
      <c r="G1230" s="4" t="inlineStr">
        <is>
          <t>Chỉ tiêu cơ sở</t>
        </is>
      </c>
      <c r="H1230" s="4" t="inlineStr">
        <is>
          <t>TB</t>
        </is>
      </c>
    </row>
    <row r="1231" ht="15" customHeight="1" s="380">
      <c r="B1231" s="4" t="inlineStr">
        <is>
          <t>HNX11</t>
        </is>
      </c>
      <c r="C1231" s="216" t="n"/>
      <c r="D1231" s="216" t="inlineStr">
        <is>
          <t>Ngày phát hành</t>
        </is>
      </c>
      <c r="F1231" s="4" t="inlineStr">
        <is>
          <t>Báo cáo</t>
        </is>
      </c>
      <c r="G1231" s="4" t="inlineStr">
        <is>
          <t>Chỉ tiêu cơ sở</t>
        </is>
      </c>
      <c r="H1231" s="4" t="inlineStr">
        <is>
          <t>Dễ</t>
        </is>
      </c>
    </row>
    <row r="1232" ht="15" customHeight="1" s="380">
      <c r="B1232" s="4" t="inlineStr">
        <is>
          <t>HNX11</t>
        </is>
      </c>
      <c r="C1232" s="216" t="n"/>
      <c r="D1232" s="216" t="inlineStr">
        <is>
          <t>Ngày đáo hạn</t>
        </is>
      </c>
      <c r="F1232" s="4" t="inlineStr">
        <is>
          <t>Báo cáo</t>
        </is>
      </c>
      <c r="G1232" s="4" t="inlineStr">
        <is>
          <t>Chỉ tiêu cơ sở</t>
        </is>
      </c>
      <c r="H1232" s="4" t="inlineStr">
        <is>
          <t>Dễ</t>
        </is>
      </c>
    </row>
    <row r="1233" ht="15" customHeight="1" s="380">
      <c r="B1233" s="4" t="inlineStr">
        <is>
          <t>HNX11</t>
        </is>
      </c>
      <c r="C1233" s="216" t="n"/>
      <c r="D1233" s="216" t="inlineStr">
        <is>
          <t>Thanh toán lãi</t>
        </is>
      </c>
      <c r="F1233" s="4" t="inlineStr">
        <is>
          <t>Báo cáo</t>
        </is>
      </c>
      <c r="G1233" s="4" t="inlineStr">
        <is>
          <t>Chỉ tiêu cơ sở</t>
        </is>
      </c>
      <c r="H1233" s="4" t="inlineStr">
        <is>
          <t>TB</t>
        </is>
      </c>
    </row>
    <row r="1234" ht="15" customHeight="1" s="380">
      <c r="B1234" s="4" t="inlineStr">
        <is>
          <t>HNX11</t>
        </is>
      </c>
      <c r="C1234" s="216" t="n"/>
      <c r="D1234" s="216" t="inlineStr">
        <is>
          <t>Trái phiếu chuyển đổi</t>
        </is>
      </c>
      <c r="F1234" s="4" t="inlineStr">
        <is>
          <t>Báo cáo</t>
        </is>
      </c>
      <c r="G1234" s="22" t="inlineStr">
        <is>
          <t>Chỉ tiêu phái sinh</t>
        </is>
      </c>
      <c r="H1234" s="4" t="inlineStr">
        <is>
          <t>TB</t>
        </is>
      </c>
    </row>
    <row r="1235" ht="15" customHeight="1" s="380">
      <c r="B1235" s="4" t="inlineStr">
        <is>
          <t>HNX11</t>
        </is>
      </c>
      <c r="C1235" s="216" t="n"/>
      <c r="D1235" s="216" t="inlineStr">
        <is>
          <t>Trái phiếu kèm chứng quyền</t>
        </is>
      </c>
      <c r="F1235" s="4" t="inlineStr">
        <is>
          <t>Báo cáo</t>
        </is>
      </c>
      <c r="G1235" s="22" t="inlineStr">
        <is>
          <t>Chỉ tiêu phái sinh</t>
        </is>
      </c>
      <c r="H1235" s="4" t="inlineStr">
        <is>
          <t>TB</t>
        </is>
      </c>
    </row>
    <row r="1236" ht="15" customHeight="1" s="380">
      <c r="B1236" s="4" t="inlineStr">
        <is>
          <t>HNX11</t>
        </is>
      </c>
      <c r="C1236" s="216" t="n"/>
      <c r="D1236" s="216" t="inlineStr">
        <is>
          <t>Trái phiếu có bảo đảm</t>
        </is>
      </c>
      <c r="F1236" s="4" t="inlineStr">
        <is>
          <t>Báo cáo</t>
        </is>
      </c>
      <c r="G1236" s="22" t="inlineStr">
        <is>
          <t>Chỉ tiêu phái sinh</t>
        </is>
      </c>
      <c r="H1236" s="4" t="inlineStr">
        <is>
          <t>TB</t>
        </is>
      </c>
    </row>
    <row r="1237" ht="13" customHeight="1" s="380">
      <c r="A1237" s="184" t="n"/>
      <c r="B1237" s="184" t="inlineStr">
        <is>
          <t>HNX12</t>
        </is>
      </c>
      <c r="C1237" s="184" t="n"/>
      <c r="D1237" s="184" t="inlineStr">
        <is>
          <t>Tên Doanh nghiệp phát hành TPDN ra TT quốc tế</t>
        </is>
      </c>
      <c r="E1237" s="184" t="n"/>
      <c r="F1237" s="184" t="inlineStr">
        <is>
          <t>Báo cáo</t>
        </is>
      </c>
      <c r="G1237" s="4" t="inlineStr">
        <is>
          <t>Chỉ tiêu cơ sở</t>
        </is>
      </c>
      <c r="H1237" s="184" t="inlineStr">
        <is>
          <t>Dễ</t>
        </is>
      </c>
      <c r="I1237" s="184" t="n"/>
      <c r="J1237" s="184" t="n"/>
      <c r="K1237" s="184" t="n"/>
      <c r="L1237" s="184" t="inlineStr">
        <is>
          <t>BC chi tiết phát hành TPDN ra thị trường Quốc tế</t>
        </is>
      </c>
    </row>
    <row r="1238" ht="13" customHeight="1" s="380">
      <c r="B1238" s="4" t="inlineStr">
        <is>
          <t>HNX12</t>
        </is>
      </c>
      <c r="C1238" s="4" t="n"/>
      <c r="D1238" s="4" t="inlineStr">
        <is>
          <t>Loại hình doanh nghiệp</t>
        </is>
      </c>
      <c r="F1238" s="4" t="inlineStr">
        <is>
          <t>Báo cáo</t>
        </is>
      </c>
      <c r="G1238" s="4" t="inlineStr">
        <is>
          <t>Chỉ tiêu cơ sở</t>
        </is>
      </c>
      <c r="H1238" s="4" t="inlineStr">
        <is>
          <t>Dễ</t>
        </is>
      </c>
    </row>
    <row r="1239" ht="13" customHeight="1" s="380">
      <c r="B1239" s="4" t="inlineStr">
        <is>
          <t>HNX12</t>
        </is>
      </c>
      <c r="C1239" s="4" t="n"/>
      <c r="D1239" s="4" t="inlineStr">
        <is>
          <t>Lĩnh vực hoạt động</t>
        </is>
      </c>
      <c r="F1239" s="4" t="inlineStr">
        <is>
          <t>Báo cáo</t>
        </is>
      </c>
      <c r="G1239" s="4" t="inlineStr">
        <is>
          <t>Chỉ tiêu cơ sở</t>
        </is>
      </c>
      <c r="H1239" s="4" t="inlineStr">
        <is>
          <t>Dễ</t>
        </is>
      </c>
    </row>
    <row r="1240" ht="13" customHeight="1" s="380">
      <c r="B1240" s="4" t="inlineStr">
        <is>
          <t>HNX12</t>
        </is>
      </c>
      <c r="C1240" s="4" t="n"/>
      <c r="D1240" s="4" t="inlineStr">
        <is>
          <t>Mã trái phiếu</t>
        </is>
      </c>
      <c r="F1240" s="4" t="inlineStr">
        <is>
          <t>Báo cáo</t>
        </is>
      </c>
      <c r="G1240" s="4" t="inlineStr">
        <is>
          <t>Chỉ tiêu cơ sở</t>
        </is>
      </c>
      <c r="H1240" s="4" t="inlineStr">
        <is>
          <t>Dễ</t>
        </is>
      </c>
    </row>
    <row r="1241" ht="13" customHeight="1" s="380">
      <c r="B1241" s="4" t="inlineStr">
        <is>
          <t>HNX12</t>
        </is>
      </c>
      <c r="C1241" s="4" t="n"/>
      <c r="D1241" s="4" t="inlineStr">
        <is>
          <t>Thị trường phát hành</t>
        </is>
      </c>
      <c r="F1241" s="4" t="inlineStr">
        <is>
          <t>Báo cáo</t>
        </is>
      </c>
      <c r="G1241" s="4" t="inlineStr">
        <is>
          <t>Chỉ tiêu cơ sở</t>
        </is>
      </c>
      <c r="H1241" s="4" t="inlineStr">
        <is>
          <t>Dễ</t>
        </is>
      </c>
    </row>
    <row r="1242" ht="13" customHeight="1" s="380">
      <c r="B1242" s="4" t="inlineStr">
        <is>
          <t>HNX12</t>
        </is>
      </c>
      <c r="C1242" s="4" t="n"/>
      <c r="D1242" s="4" t="inlineStr">
        <is>
          <t>Đồng tiền phát hành</t>
        </is>
      </c>
      <c r="F1242" s="4" t="inlineStr">
        <is>
          <t>Báo cáo</t>
        </is>
      </c>
      <c r="G1242" s="4" t="inlineStr">
        <is>
          <t>Chỉ tiêu cơ sở</t>
        </is>
      </c>
      <c r="H1242" s="4" t="inlineStr">
        <is>
          <t>Dễ</t>
        </is>
      </c>
    </row>
    <row r="1243" ht="13" customHeight="1" s="380">
      <c r="B1243" s="4" t="inlineStr">
        <is>
          <t>HNX12</t>
        </is>
      </c>
      <c r="C1243" s="4" t="n"/>
      <c r="D1243" s="4" t="inlineStr">
        <is>
          <t>Khối lượng phát hành</t>
        </is>
      </c>
      <c r="F1243" s="4" t="inlineStr">
        <is>
          <t>Báo cáo</t>
        </is>
      </c>
      <c r="G1243" s="22" t="inlineStr">
        <is>
          <t>Chỉ tiêu phái sinh</t>
        </is>
      </c>
      <c r="H1243" s="4" t="inlineStr">
        <is>
          <t>TB</t>
        </is>
      </c>
    </row>
    <row r="1244" ht="13" customHeight="1" s="380">
      <c r="B1244" s="4" t="inlineStr">
        <is>
          <t>HNX12</t>
        </is>
      </c>
      <c r="C1244" s="4" t="n"/>
      <c r="D1244" s="4" t="inlineStr">
        <is>
          <t>Đơn vị kỳ hạn</t>
        </is>
      </c>
      <c r="F1244" s="4" t="inlineStr">
        <is>
          <t>Báo cáo</t>
        </is>
      </c>
      <c r="G1244" s="4" t="inlineStr">
        <is>
          <t>Chỉ tiêu cơ sở</t>
        </is>
      </c>
      <c r="H1244" s="4" t="inlineStr">
        <is>
          <t>Dễ</t>
        </is>
      </c>
    </row>
    <row r="1245" ht="13" customHeight="1" s="380">
      <c r="B1245" s="4" t="inlineStr">
        <is>
          <t>HNX12</t>
        </is>
      </c>
      <c r="C1245" s="4" t="n"/>
      <c r="D1245" s="4" t="inlineStr">
        <is>
          <t>Kỳ hạn</t>
        </is>
      </c>
      <c r="F1245" s="4" t="inlineStr">
        <is>
          <t>Báo cáo</t>
        </is>
      </c>
      <c r="G1245" s="4" t="inlineStr">
        <is>
          <t>Chỉ tiêu cơ sở</t>
        </is>
      </c>
      <c r="H1245" s="4" t="inlineStr">
        <is>
          <t>Dễ</t>
        </is>
      </c>
    </row>
    <row r="1246" ht="13" customHeight="1" s="380">
      <c r="B1246" s="4" t="inlineStr">
        <is>
          <t>HNX12</t>
        </is>
      </c>
      <c r="C1246" s="4" t="n"/>
      <c r="D1246" s="4" t="inlineStr">
        <is>
          <t>Loại lãi suất</t>
        </is>
      </c>
      <c r="F1246" s="4" t="inlineStr">
        <is>
          <t>Báo cáo</t>
        </is>
      </c>
      <c r="G1246" s="4" t="inlineStr">
        <is>
          <t>Chỉ tiêu cơ sở</t>
        </is>
      </c>
      <c r="H1246" s="4" t="inlineStr">
        <is>
          <t>Dễ</t>
        </is>
      </c>
    </row>
    <row r="1247" ht="13" customHeight="1" s="380">
      <c r="B1247" s="4" t="inlineStr">
        <is>
          <t>HNX12</t>
        </is>
      </c>
      <c r="C1247" s="4" t="n"/>
      <c r="D1247" s="4" t="inlineStr">
        <is>
          <t>Lãi suất thực tế</t>
        </is>
      </c>
      <c r="F1247" s="4" t="inlineStr">
        <is>
          <t>Báo cáo</t>
        </is>
      </c>
      <c r="G1247" s="4" t="inlineStr">
        <is>
          <t>Chỉ tiêu cơ sở</t>
        </is>
      </c>
      <c r="H1247" s="4" t="inlineStr">
        <is>
          <t>Dễ</t>
        </is>
      </c>
    </row>
    <row r="1248" ht="13" customHeight="1" s="380">
      <c r="B1248" s="4" t="inlineStr">
        <is>
          <t>HNX12</t>
        </is>
      </c>
      <c r="C1248" s="4" t="n"/>
      <c r="D1248" s="4" t="inlineStr">
        <is>
          <t>Ngày phát hành</t>
        </is>
      </c>
      <c r="F1248" s="4" t="inlineStr">
        <is>
          <t>Báo cáo</t>
        </is>
      </c>
      <c r="G1248" s="4" t="inlineStr">
        <is>
          <t>Chỉ tiêu cơ sở</t>
        </is>
      </c>
      <c r="H1248" s="4" t="inlineStr">
        <is>
          <t>Dễ</t>
        </is>
      </c>
    </row>
    <row r="1249" ht="13" customHeight="1" s="380">
      <c r="B1249" s="4" t="inlineStr">
        <is>
          <t>HNX12</t>
        </is>
      </c>
      <c r="C1249" s="4" t="n"/>
      <c r="D1249" s="4" t="inlineStr">
        <is>
          <t>Ngày đáo hạn</t>
        </is>
      </c>
      <c r="F1249" s="4" t="inlineStr">
        <is>
          <t>Báo cáo</t>
        </is>
      </c>
      <c r="G1249" s="4" t="inlineStr">
        <is>
          <t>Chỉ tiêu cơ sở</t>
        </is>
      </c>
      <c r="H1249" s="4" t="inlineStr">
        <is>
          <t>Dễ</t>
        </is>
      </c>
    </row>
    <row r="1250" ht="13" customHeight="1" s="380">
      <c r="B1250" s="4" t="inlineStr">
        <is>
          <t>HNX12</t>
        </is>
      </c>
      <c r="C1250" s="4" t="n"/>
      <c r="D1250" s="4" t="inlineStr">
        <is>
          <t>Thanh toán lãi</t>
        </is>
      </c>
      <c r="F1250" s="4" t="inlineStr">
        <is>
          <t>Báo cáo</t>
        </is>
      </c>
      <c r="G1250" s="4" t="inlineStr">
        <is>
          <t>Chỉ tiêu cơ sở</t>
        </is>
      </c>
      <c r="H1250" s="4" t="inlineStr">
        <is>
          <t>Dễ</t>
        </is>
      </c>
    </row>
    <row r="1251" ht="13" customHeight="1" s="380">
      <c r="B1251" s="4" t="inlineStr">
        <is>
          <t>HNX12</t>
        </is>
      </c>
      <c r="C1251" s="4" t="n"/>
      <c r="D1251" s="4" t="inlineStr">
        <is>
          <t>Trái phiếu chuyển đổi</t>
        </is>
      </c>
      <c r="F1251" s="4" t="inlineStr">
        <is>
          <t>Báo cáo</t>
        </is>
      </c>
      <c r="G1251" s="22" t="inlineStr">
        <is>
          <t>Chỉ tiêu phái sinh</t>
        </is>
      </c>
      <c r="H1251" s="4" t="inlineStr">
        <is>
          <t>TB</t>
        </is>
      </c>
    </row>
    <row r="1252" ht="13" customHeight="1" s="380">
      <c r="B1252" s="4" t="inlineStr">
        <is>
          <t>HNX12</t>
        </is>
      </c>
      <c r="C1252" s="4" t="n"/>
      <c r="D1252" s="4" t="inlineStr">
        <is>
          <t>Trái phiếu kèm chứng quyền</t>
        </is>
      </c>
      <c r="F1252" s="4" t="inlineStr">
        <is>
          <t>Báo cáo</t>
        </is>
      </c>
      <c r="G1252" s="22" t="inlineStr">
        <is>
          <t>Chỉ tiêu phái sinh</t>
        </is>
      </c>
      <c r="H1252" s="4" t="inlineStr">
        <is>
          <t>TB</t>
        </is>
      </c>
    </row>
    <row r="1253" ht="13" customHeight="1" s="380">
      <c r="B1253" s="4" t="inlineStr">
        <is>
          <t>HNX12</t>
        </is>
      </c>
      <c r="C1253" s="4" t="n"/>
      <c r="D1253" s="4" t="inlineStr">
        <is>
          <t>Trái phiếu có bảo đảm</t>
        </is>
      </c>
      <c r="F1253" s="4" t="inlineStr">
        <is>
          <t>Báo cáo</t>
        </is>
      </c>
      <c r="G1253" s="22" t="inlineStr">
        <is>
          <t>Chỉ tiêu phái sinh</t>
        </is>
      </c>
      <c r="H1253" s="4" t="inlineStr">
        <is>
          <t>TB</t>
        </is>
      </c>
    </row>
    <row r="1254" ht="14" customHeight="1" s="380">
      <c r="A1254" s="184" t="n"/>
      <c r="B1254" s="184" t="inlineStr">
        <is>
          <t>HNX13</t>
        </is>
      </c>
      <c r="C1254" s="373" t="n"/>
      <c r="D1254" s="373" t="inlineStr">
        <is>
          <t>Loại hình kinh doanh</t>
        </is>
      </c>
      <c r="E1254" s="184" t="inlineStr">
        <is>
          <t>NĐT mua TPDN RL tại thị trường phát hành</t>
        </is>
      </c>
      <c r="F1254" s="184" t="inlineStr">
        <is>
          <t>Báo cáo</t>
        </is>
      </c>
      <c r="G1254" s="184" t="inlineStr">
        <is>
          <t>Chiều</t>
        </is>
      </c>
      <c r="H1254" s="184" t="n"/>
      <c r="I1254" s="184" t="n"/>
      <c r="J1254" s="184" t="n"/>
      <c r="K1254" s="184" t="n"/>
      <c r="L1254" s="184" t="n"/>
    </row>
    <row r="1255" ht="14" customHeight="1" s="380">
      <c r="B1255" s="4" t="inlineStr">
        <is>
          <t>HNX13</t>
        </is>
      </c>
      <c r="C1255" s="371" t="n"/>
      <c r="D1255" s="371" t="inlineStr">
        <is>
          <t>Trong kỳ báo cáo</t>
        </is>
      </c>
      <c r="F1255" s="4" t="inlineStr">
        <is>
          <t>Báo cáo</t>
        </is>
      </c>
      <c r="G1255" s="4" t="inlineStr">
        <is>
          <t>Chiều</t>
        </is>
      </c>
    </row>
    <row r="1256" ht="14" customHeight="1" s="380">
      <c r="B1256" s="4" t="inlineStr">
        <is>
          <t>HNX13</t>
        </is>
      </c>
      <c r="C1256" s="374" t="n"/>
      <c r="D1256" s="374" t="inlineStr">
        <is>
          <t>Khối lượng phát hành trong kỳ báo cáo</t>
        </is>
      </c>
      <c r="F1256" s="4" t="inlineStr">
        <is>
          <t>Báo cáo</t>
        </is>
      </c>
      <c r="G1256" s="22" t="inlineStr">
        <is>
          <t>Chỉ tiêu phái sinh</t>
        </is>
      </c>
      <c r="H1256" s="4" t="inlineStr">
        <is>
          <t>TB</t>
        </is>
      </c>
    </row>
    <row r="1257" ht="14" customHeight="1" s="380">
      <c r="B1257" s="4" t="inlineStr">
        <is>
          <t>HNX13</t>
        </is>
      </c>
      <c r="C1257" s="374" t="n"/>
      <c r="D1257" s="374" t="inlineStr">
        <is>
          <t>Tổ chức tín dụng Trong nước</t>
        </is>
      </c>
      <c r="F1257" s="4" t="inlineStr">
        <is>
          <t>Báo cáo</t>
        </is>
      </c>
      <c r="G1257" s="22" t="inlineStr">
        <is>
          <t>Chỉ tiêu phái sinh</t>
        </is>
      </c>
      <c r="H1257" s="4" t="inlineStr">
        <is>
          <t>TB</t>
        </is>
      </c>
    </row>
    <row r="1258" ht="14" customHeight="1" s="380">
      <c r="B1258" s="4" t="inlineStr">
        <is>
          <t>HNX13</t>
        </is>
      </c>
      <c r="C1258" s="374" t="n"/>
      <c r="D1258" s="374" t="inlineStr">
        <is>
          <t>Công ty chứng khoán Trong nước</t>
        </is>
      </c>
      <c r="F1258" s="4" t="inlineStr">
        <is>
          <t>Báo cáo</t>
        </is>
      </c>
      <c r="G1258" s="22" t="inlineStr">
        <is>
          <t>Chỉ tiêu phái sinh</t>
        </is>
      </c>
      <c r="H1258" s="4" t="inlineStr">
        <is>
          <t>TB</t>
        </is>
      </c>
    </row>
    <row r="1259" ht="14" customHeight="1" s="380">
      <c r="B1259" s="4" t="inlineStr">
        <is>
          <t>HNX13</t>
        </is>
      </c>
      <c r="C1259" s="374" t="n"/>
      <c r="D1259" s="374" t="inlineStr">
        <is>
          <t>Bảo hiểm Trong nước</t>
        </is>
      </c>
      <c r="F1259" s="4" t="inlineStr">
        <is>
          <t>Báo cáo</t>
        </is>
      </c>
      <c r="G1259" s="22" t="inlineStr">
        <is>
          <t>Chỉ tiêu phái sinh</t>
        </is>
      </c>
      <c r="H1259" s="4" t="inlineStr">
        <is>
          <t>TB</t>
        </is>
      </c>
    </row>
    <row r="1260" ht="14" customHeight="1" s="380">
      <c r="B1260" s="4" t="inlineStr">
        <is>
          <t>HNX13</t>
        </is>
      </c>
      <c r="C1260" s="374" t="n"/>
      <c r="D1260" s="374" t="inlineStr">
        <is>
          <t>Quỹ đầu tư Trong nước</t>
        </is>
      </c>
      <c r="F1260" s="4" t="inlineStr">
        <is>
          <t>Báo cáo</t>
        </is>
      </c>
      <c r="G1260" s="22" t="inlineStr">
        <is>
          <t>Chỉ tiêu phái sinh</t>
        </is>
      </c>
      <c r="H1260" s="4" t="inlineStr">
        <is>
          <t>TB</t>
        </is>
      </c>
    </row>
    <row r="1261" ht="14" customHeight="1" s="380">
      <c r="B1261" s="4" t="inlineStr">
        <is>
          <t>HNX13</t>
        </is>
      </c>
      <c r="C1261" s="374" t="n"/>
      <c r="D1261" s="374" t="inlineStr">
        <is>
          <t>Tổ chức khác Trong nước</t>
        </is>
      </c>
      <c r="F1261" s="4" t="inlineStr">
        <is>
          <t>Báo cáo</t>
        </is>
      </c>
      <c r="G1261" s="22" t="inlineStr">
        <is>
          <t>Chỉ tiêu phái sinh</t>
        </is>
      </c>
      <c r="H1261" s="4" t="inlineStr">
        <is>
          <t>TB</t>
        </is>
      </c>
    </row>
    <row r="1262" ht="14" customHeight="1" s="380">
      <c r="B1262" s="4" t="inlineStr">
        <is>
          <t>HNX13</t>
        </is>
      </c>
      <c r="C1262" s="374" t="n"/>
      <c r="D1262" s="374" t="inlineStr">
        <is>
          <t>Cá nhân Trong nước</t>
        </is>
      </c>
      <c r="F1262" s="4" t="inlineStr">
        <is>
          <t>Báo cáo</t>
        </is>
      </c>
      <c r="G1262" s="22" t="inlineStr">
        <is>
          <t>Chỉ tiêu phái sinh</t>
        </is>
      </c>
      <c r="H1262" s="4" t="inlineStr">
        <is>
          <t>TB</t>
        </is>
      </c>
    </row>
    <row r="1263" ht="14" customHeight="1" s="380">
      <c r="B1263" s="4" t="inlineStr">
        <is>
          <t>HNX13</t>
        </is>
      </c>
      <c r="C1263" s="374" t="n"/>
      <c r="D1263" s="374" t="inlineStr">
        <is>
          <t>Tổ chức tín dụng Nước ngoài</t>
        </is>
      </c>
      <c r="F1263" s="4" t="inlineStr">
        <is>
          <t>Báo cáo</t>
        </is>
      </c>
      <c r="G1263" s="22" t="inlineStr">
        <is>
          <t>Chỉ tiêu phái sinh</t>
        </is>
      </c>
      <c r="H1263" s="4" t="inlineStr">
        <is>
          <t>TB</t>
        </is>
      </c>
    </row>
    <row r="1264" ht="14" customHeight="1" s="380">
      <c r="B1264" s="4" t="inlineStr">
        <is>
          <t>HNX13</t>
        </is>
      </c>
      <c r="C1264" s="374" t="n"/>
      <c r="D1264" s="374" t="inlineStr">
        <is>
          <t>Công ty chứng khoán Nước ngoài</t>
        </is>
      </c>
      <c r="F1264" s="4" t="inlineStr">
        <is>
          <t>Báo cáo</t>
        </is>
      </c>
      <c r="G1264" s="22" t="inlineStr">
        <is>
          <t>Chỉ tiêu phái sinh</t>
        </is>
      </c>
      <c r="H1264" s="4" t="inlineStr">
        <is>
          <t>TB</t>
        </is>
      </c>
    </row>
    <row r="1265" ht="14" customHeight="1" s="380">
      <c r="B1265" s="4" t="inlineStr">
        <is>
          <t>HNX13</t>
        </is>
      </c>
      <c r="C1265" s="374" t="n"/>
      <c r="D1265" s="374" t="inlineStr">
        <is>
          <t>Bảo hiểm Nước ngoài</t>
        </is>
      </c>
      <c r="F1265" s="4" t="inlineStr">
        <is>
          <t>Báo cáo</t>
        </is>
      </c>
      <c r="G1265" s="22" t="inlineStr">
        <is>
          <t>Chỉ tiêu phái sinh</t>
        </is>
      </c>
      <c r="H1265" s="4" t="inlineStr">
        <is>
          <t>TB</t>
        </is>
      </c>
    </row>
    <row r="1266" ht="14" customHeight="1" s="380">
      <c r="B1266" s="4" t="inlineStr">
        <is>
          <t>HNX13</t>
        </is>
      </c>
      <c r="C1266" s="374" t="n"/>
      <c r="D1266" s="374" t="inlineStr">
        <is>
          <t>Quỹ đầu tư Nước ngoài</t>
        </is>
      </c>
      <c r="F1266" s="4" t="inlineStr">
        <is>
          <t>Báo cáo</t>
        </is>
      </c>
      <c r="G1266" s="22" t="inlineStr">
        <is>
          <t>Chỉ tiêu phái sinh</t>
        </is>
      </c>
      <c r="H1266" s="4" t="inlineStr">
        <is>
          <t>TB</t>
        </is>
      </c>
    </row>
    <row r="1267" ht="14" customHeight="1" s="380">
      <c r="B1267" s="4" t="inlineStr">
        <is>
          <t>HNX13</t>
        </is>
      </c>
      <c r="C1267" s="374" t="n"/>
      <c r="D1267" s="374" t="inlineStr">
        <is>
          <t>Tổ chức khác Nước ngoài</t>
        </is>
      </c>
      <c r="F1267" s="4" t="inlineStr">
        <is>
          <t>Báo cáo</t>
        </is>
      </c>
      <c r="G1267" s="22" t="inlineStr">
        <is>
          <t>Chỉ tiêu phái sinh</t>
        </is>
      </c>
      <c r="H1267" s="4" t="inlineStr">
        <is>
          <t>TB</t>
        </is>
      </c>
    </row>
    <row r="1268" ht="14" customHeight="1" s="380">
      <c r="B1268" s="4" t="inlineStr">
        <is>
          <t>HNX13</t>
        </is>
      </c>
      <c r="C1268" s="374" t="n"/>
      <c r="D1268" s="374" t="inlineStr">
        <is>
          <t>Cá nhân Nước ngoài</t>
        </is>
      </c>
      <c r="F1268" s="4" t="inlineStr">
        <is>
          <t>Báo cáo</t>
        </is>
      </c>
      <c r="G1268" s="22" t="inlineStr">
        <is>
          <t>Chỉ tiêu phái sinh</t>
        </is>
      </c>
      <c r="H1268" s="4" t="inlineStr">
        <is>
          <t>TB</t>
        </is>
      </c>
    </row>
    <row r="1269" ht="14" customHeight="1" s="380">
      <c r="B1269" s="4" t="inlineStr">
        <is>
          <t>HNX13</t>
        </is>
      </c>
      <c r="C1269" s="371" t="n"/>
      <c r="D1269" s="371" t="inlineStr">
        <is>
          <t>Lũy kế từ đầu năm</t>
        </is>
      </c>
      <c r="F1269" s="4" t="inlineStr">
        <is>
          <t>Báo cáo</t>
        </is>
      </c>
      <c r="G1269" s="22" t="inlineStr">
        <is>
          <t>Chiều</t>
        </is>
      </c>
    </row>
    <row r="1270" ht="14" customHeight="1" s="380">
      <c r="B1270" s="4" t="inlineStr">
        <is>
          <t>HNX13</t>
        </is>
      </c>
      <c r="C1270" s="374" t="n"/>
      <c r="D1270" s="374" t="inlineStr">
        <is>
          <t>Khối lượng phát hành lũy kế từ đầu năm</t>
        </is>
      </c>
      <c r="F1270" s="4" t="inlineStr">
        <is>
          <t>Báo cáo</t>
        </is>
      </c>
      <c r="G1270" s="22" t="inlineStr">
        <is>
          <t>Chỉ tiêu phái sinh</t>
        </is>
      </c>
      <c r="H1270" s="4" t="inlineStr">
        <is>
          <t>TB</t>
        </is>
      </c>
    </row>
    <row r="1271" ht="14" customHeight="1" s="380">
      <c r="B1271" s="4" t="inlineStr">
        <is>
          <t>HNX13</t>
        </is>
      </c>
      <c r="C1271" s="374" t="n"/>
      <c r="D1271" s="374" t="inlineStr">
        <is>
          <t>Tổ chức tín dụng Trong nước</t>
        </is>
      </c>
      <c r="F1271" s="4" t="inlineStr">
        <is>
          <t>Báo cáo</t>
        </is>
      </c>
      <c r="G1271" s="22" t="inlineStr">
        <is>
          <t>Chỉ tiêu phái sinh</t>
        </is>
      </c>
      <c r="H1271" s="4" t="inlineStr">
        <is>
          <t>TB</t>
        </is>
      </c>
    </row>
    <row r="1272" ht="14" customHeight="1" s="380">
      <c r="B1272" s="4" t="inlineStr">
        <is>
          <t>HNX13</t>
        </is>
      </c>
      <c r="C1272" s="374" t="n"/>
      <c r="D1272" s="374" t="inlineStr">
        <is>
          <t>Công ty chứng khoán Trong nước</t>
        </is>
      </c>
      <c r="F1272" s="4" t="inlineStr">
        <is>
          <t>Báo cáo</t>
        </is>
      </c>
      <c r="G1272" s="22" t="inlineStr">
        <is>
          <t>Chỉ tiêu phái sinh</t>
        </is>
      </c>
      <c r="H1272" s="4" t="inlineStr">
        <is>
          <t>TB</t>
        </is>
      </c>
    </row>
    <row r="1273" ht="14" customHeight="1" s="380">
      <c r="B1273" s="4" t="inlineStr">
        <is>
          <t>HNX13</t>
        </is>
      </c>
      <c r="C1273" s="374" t="n"/>
      <c r="D1273" s="374" t="inlineStr">
        <is>
          <t>Bảo hiểm Trong nước</t>
        </is>
      </c>
      <c r="F1273" s="4" t="inlineStr">
        <is>
          <t>Báo cáo</t>
        </is>
      </c>
      <c r="G1273" s="22" t="inlineStr">
        <is>
          <t>Chỉ tiêu phái sinh</t>
        </is>
      </c>
      <c r="H1273" s="4" t="inlineStr">
        <is>
          <t>TB</t>
        </is>
      </c>
    </row>
    <row r="1274" ht="14" customHeight="1" s="380">
      <c r="B1274" s="4" t="inlineStr">
        <is>
          <t>HNX13</t>
        </is>
      </c>
      <c r="C1274" s="374" t="n"/>
      <c r="D1274" s="374" t="inlineStr">
        <is>
          <t>Quỹ đầu tư Trong nước</t>
        </is>
      </c>
      <c r="F1274" s="4" t="inlineStr">
        <is>
          <t>Báo cáo</t>
        </is>
      </c>
      <c r="G1274" s="22" t="inlineStr">
        <is>
          <t>Chỉ tiêu phái sinh</t>
        </is>
      </c>
      <c r="H1274" s="4" t="inlineStr">
        <is>
          <t>TB</t>
        </is>
      </c>
    </row>
    <row r="1275" ht="14" customHeight="1" s="380">
      <c r="B1275" s="4" t="inlineStr">
        <is>
          <t>HNX13</t>
        </is>
      </c>
      <c r="C1275" s="374" t="n"/>
      <c r="D1275" s="374" t="inlineStr">
        <is>
          <t>Tổ chức khác Trong nước</t>
        </is>
      </c>
      <c r="F1275" s="4" t="inlineStr">
        <is>
          <t>Báo cáo</t>
        </is>
      </c>
      <c r="G1275" s="22" t="inlineStr">
        <is>
          <t>Chỉ tiêu phái sinh</t>
        </is>
      </c>
      <c r="H1275" s="4" t="inlineStr">
        <is>
          <t>TB</t>
        </is>
      </c>
    </row>
    <row r="1276" ht="14" customHeight="1" s="380">
      <c r="B1276" s="4" t="inlineStr">
        <is>
          <t>HNX13</t>
        </is>
      </c>
      <c r="C1276" s="374" t="n"/>
      <c r="D1276" s="374" t="inlineStr">
        <is>
          <t>Cá nhân Trong nước</t>
        </is>
      </c>
      <c r="F1276" s="4" t="inlineStr">
        <is>
          <t>Báo cáo</t>
        </is>
      </c>
      <c r="G1276" s="22" t="inlineStr">
        <is>
          <t>Chỉ tiêu phái sinh</t>
        </is>
      </c>
      <c r="H1276" s="4" t="inlineStr">
        <is>
          <t>TB</t>
        </is>
      </c>
    </row>
    <row r="1277" ht="14" customHeight="1" s="380">
      <c r="B1277" s="4" t="inlineStr">
        <is>
          <t>HNX13</t>
        </is>
      </c>
      <c r="C1277" s="374" t="n"/>
      <c r="D1277" s="374" t="inlineStr">
        <is>
          <t>Tổ chức tín dụng Nước ngoài</t>
        </is>
      </c>
      <c r="F1277" s="4" t="inlineStr">
        <is>
          <t>Báo cáo</t>
        </is>
      </c>
      <c r="G1277" s="22" t="inlineStr">
        <is>
          <t>Chỉ tiêu phái sinh</t>
        </is>
      </c>
      <c r="H1277" s="4" t="inlineStr">
        <is>
          <t>TB</t>
        </is>
      </c>
    </row>
    <row r="1278" ht="14" customHeight="1" s="380">
      <c r="B1278" s="4" t="inlineStr">
        <is>
          <t>HNX13</t>
        </is>
      </c>
      <c r="C1278" s="374" t="n"/>
      <c r="D1278" s="374" t="inlineStr">
        <is>
          <t>Công ty chứng khoán Nước ngoài</t>
        </is>
      </c>
      <c r="F1278" s="4" t="inlineStr">
        <is>
          <t>Báo cáo</t>
        </is>
      </c>
      <c r="G1278" s="22" t="inlineStr">
        <is>
          <t>Chỉ tiêu phái sinh</t>
        </is>
      </c>
      <c r="H1278" s="4" t="inlineStr">
        <is>
          <t>TB</t>
        </is>
      </c>
    </row>
    <row r="1279" ht="14" customHeight="1" s="380">
      <c r="B1279" s="4" t="inlineStr">
        <is>
          <t>HNX13</t>
        </is>
      </c>
      <c r="C1279" s="374" t="n"/>
      <c r="D1279" s="374" t="inlineStr">
        <is>
          <t>Bảo hiểm Nước ngoài</t>
        </is>
      </c>
      <c r="F1279" s="4" t="inlineStr">
        <is>
          <t>Báo cáo</t>
        </is>
      </c>
      <c r="G1279" s="22" t="inlineStr">
        <is>
          <t>Chỉ tiêu phái sinh</t>
        </is>
      </c>
      <c r="H1279" s="4" t="inlineStr">
        <is>
          <t>TB</t>
        </is>
      </c>
    </row>
    <row r="1280" ht="14" customHeight="1" s="380">
      <c r="B1280" s="4" t="inlineStr">
        <is>
          <t>HNX13</t>
        </is>
      </c>
      <c r="C1280" s="374" t="n"/>
      <c r="D1280" s="374" t="inlineStr">
        <is>
          <t>Quỹ đầu tư Nước ngoài</t>
        </is>
      </c>
      <c r="F1280" s="4" t="inlineStr">
        <is>
          <t>Báo cáo</t>
        </is>
      </c>
      <c r="G1280" s="22" t="inlineStr">
        <is>
          <t>Chỉ tiêu phái sinh</t>
        </is>
      </c>
      <c r="H1280" s="4" t="inlineStr">
        <is>
          <t>TB</t>
        </is>
      </c>
    </row>
    <row r="1281" ht="14" customHeight="1" s="380">
      <c r="B1281" s="4" t="inlineStr">
        <is>
          <t>HNX13</t>
        </is>
      </c>
      <c r="C1281" s="374" t="n"/>
      <c r="D1281" s="374" t="inlineStr">
        <is>
          <t>Tổ chức khác Nước ngoài</t>
        </is>
      </c>
      <c r="F1281" s="4" t="inlineStr">
        <is>
          <t>Báo cáo</t>
        </is>
      </c>
      <c r="G1281" s="22" t="inlineStr">
        <is>
          <t>Chỉ tiêu phái sinh</t>
        </is>
      </c>
      <c r="H1281" s="4" t="inlineStr">
        <is>
          <t>TB</t>
        </is>
      </c>
    </row>
    <row r="1282" ht="14" customHeight="1" s="380">
      <c r="B1282" s="4" t="inlineStr">
        <is>
          <t>HNX13</t>
        </is>
      </c>
      <c r="C1282" s="374" t="n"/>
      <c r="D1282" s="374" t="inlineStr">
        <is>
          <t>Cá nhân Nước ngoài</t>
        </is>
      </c>
      <c r="F1282" s="4" t="inlineStr">
        <is>
          <t>Báo cáo</t>
        </is>
      </c>
      <c r="G1282" s="22" t="inlineStr">
        <is>
          <t>Chỉ tiêu phái sinh</t>
        </is>
      </c>
      <c r="H1282" s="4" t="inlineStr">
        <is>
          <t>TB</t>
        </is>
      </c>
    </row>
    <row r="1283" ht="15" customHeight="1" s="380">
      <c r="B1283" s="4" t="inlineStr">
        <is>
          <t>HNX13</t>
        </is>
      </c>
      <c r="C1283" s="375" t="n"/>
      <c r="D1283" s="376" t="inlineStr">
        <is>
          <t>1. Tổ chức tín dụng</t>
        </is>
      </c>
      <c r="F1283" s="4" t="inlineStr">
        <is>
          <t>Báo cáo</t>
        </is>
      </c>
      <c r="G1283" s="4" t="inlineStr">
        <is>
          <t>Chiều</t>
        </is>
      </c>
    </row>
    <row r="1284" ht="15" customHeight="1" s="380">
      <c r="B1284" s="4" t="inlineStr">
        <is>
          <t>HNX13</t>
        </is>
      </c>
      <c r="C1284" s="375" t="n"/>
      <c r="D1284" s="376" t="inlineStr">
        <is>
          <t>2. Kinh doanh bảo hiểm</t>
        </is>
      </c>
      <c r="F1284" s="4" t="inlineStr">
        <is>
          <t>Báo cáo</t>
        </is>
      </c>
      <c r="G1284" s="4" t="inlineStr">
        <is>
          <t>Chiều</t>
        </is>
      </c>
    </row>
    <row r="1285" ht="15" customHeight="1" s="380">
      <c r="B1285" s="4" t="inlineStr">
        <is>
          <t>HNX13</t>
        </is>
      </c>
      <c r="C1285" s="375" t="n"/>
      <c r="D1285" s="376" t="inlineStr">
        <is>
          <t>3. Kinh doanh chứng khoán</t>
        </is>
      </c>
      <c r="F1285" s="4" t="inlineStr">
        <is>
          <t>Báo cáo</t>
        </is>
      </c>
      <c r="G1285" s="4" t="inlineStr">
        <is>
          <t>Chiều</t>
        </is>
      </c>
    </row>
    <row r="1286" ht="15" customHeight="1" s="380">
      <c r="B1286" s="4" t="inlineStr">
        <is>
          <t>HNX13</t>
        </is>
      </c>
      <c r="C1286" s="375" t="n"/>
      <c r="D1286" s="376" t="inlineStr">
        <is>
          <t>4. Bất động sản</t>
        </is>
      </c>
      <c r="F1286" s="4" t="inlineStr">
        <is>
          <t>Báo cáo</t>
        </is>
      </c>
      <c r="G1286" s="4" t="inlineStr">
        <is>
          <t>Chiều</t>
        </is>
      </c>
    </row>
    <row r="1287" ht="15" customHeight="1" s="380">
      <c r="B1287" s="4" t="inlineStr">
        <is>
          <t>HNX13</t>
        </is>
      </c>
      <c r="C1287" s="375" t="n"/>
      <c r="D1287" s="376" t="inlineStr">
        <is>
          <t>5. Xây dựng</t>
        </is>
      </c>
      <c r="F1287" s="4" t="inlineStr">
        <is>
          <t>Báo cáo</t>
        </is>
      </c>
      <c r="G1287" s="4" t="inlineStr">
        <is>
          <t>Chiều</t>
        </is>
      </c>
    </row>
    <row r="1288" ht="15" customHeight="1" s="380">
      <c r="B1288" s="4" t="inlineStr">
        <is>
          <t>HNX13</t>
        </is>
      </c>
      <c r="C1288" s="375" t="n"/>
      <c r="D1288" s="376" t="inlineStr">
        <is>
          <t>6. Thương mại, dịch vụ</t>
        </is>
      </c>
      <c r="F1288" s="4" t="inlineStr">
        <is>
          <t>Báo cáo</t>
        </is>
      </c>
      <c r="G1288" s="4" t="inlineStr">
        <is>
          <t>Chiều</t>
        </is>
      </c>
    </row>
    <row r="1289" ht="15" customHeight="1" s="380">
      <c r="B1289" s="4" t="inlineStr">
        <is>
          <t>HNX13</t>
        </is>
      </c>
      <c r="C1289" s="375" t="n"/>
      <c r="D1289" s="376" t="inlineStr">
        <is>
          <t>7. Lĩnh vực khác</t>
        </is>
      </c>
      <c r="F1289" s="4" t="inlineStr">
        <is>
          <t>Báo cáo</t>
        </is>
      </c>
      <c r="G1289" s="4" t="inlineStr">
        <is>
          <t>Chiều</t>
        </is>
      </c>
    </row>
    <row r="1290" ht="14" customHeight="1" s="380">
      <c r="B1290" s="377" t="inlineStr">
        <is>
          <t>HSX02</t>
        </is>
      </c>
      <c r="C1290" s="211" t="n"/>
      <c r="D1290" s="211" t="inlineStr">
        <is>
          <t>Số phát sinh trong kỳ</t>
        </is>
      </c>
      <c r="F1290" s="4" t="inlineStr">
        <is>
          <t>Báo cáo</t>
        </is>
      </c>
      <c r="G1290" s="4" t="inlineStr">
        <is>
          <t>Chiều</t>
        </is>
      </c>
    </row>
    <row r="1291" ht="15" customHeight="1" s="380">
      <c r="B1291" s="4" t="inlineStr">
        <is>
          <t>HSX02</t>
        </is>
      </c>
      <c r="C1291" s="326" t="n"/>
      <c r="D1291" s="326" t="inlineStr">
        <is>
          <t>Chỉ số VN-Index</t>
        </is>
      </c>
      <c r="F1291" s="4" t="inlineStr">
        <is>
          <t>Báo cáo</t>
        </is>
      </c>
      <c r="G1291" s="4" t="inlineStr">
        <is>
          <t>Chỉ tiêu cơ sở</t>
        </is>
      </c>
      <c r="H1291" s="4" t="inlineStr">
        <is>
          <t>Dễ</t>
        </is>
      </c>
    </row>
    <row r="1292" ht="15" customHeight="1" s="380">
      <c r="B1292" s="4" t="inlineStr">
        <is>
          <t>HSX02</t>
        </is>
      </c>
      <c r="C1292" s="326" t="n"/>
      <c r="D1292" s="326" t="inlineStr">
        <is>
          <t>Giá trị chứng khoán giao dịch</t>
        </is>
      </c>
      <c r="F1292" s="4" t="inlineStr">
        <is>
          <t>Báo cáo</t>
        </is>
      </c>
      <c r="G1292" s="22" t="inlineStr">
        <is>
          <t>Chỉ tiêu phái sinh</t>
        </is>
      </c>
      <c r="H1292" s="4" t="inlineStr">
        <is>
          <t>TB</t>
        </is>
      </c>
    </row>
    <row r="1293" ht="15" customHeight="1" s="380">
      <c r="B1293" s="4" t="inlineStr">
        <is>
          <t>HSX02</t>
        </is>
      </c>
      <c r="C1293" s="328" t="n"/>
      <c r="D1293" s="328" t="inlineStr">
        <is>
          <t>Cổ phiếu niêm yết</t>
        </is>
      </c>
      <c r="F1293" s="4" t="inlineStr">
        <is>
          <t>Báo cáo</t>
        </is>
      </c>
      <c r="G1293" s="22" t="inlineStr">
        <is>
          <t>Chỉ tiêu phái sinh</t>
        </is>
      </c>
      <c r="H1293" s="4" t="inlineStr">
        <is>
          <t>TB</t>
        </is>
      </c>
    </row>
    <row r="1294" ht="15" customHeight="1" s="380">
      <c r="B1294" s="4" t="inlineStr">
        <is>
          <t>HSX02</t>
        </is>
      </c>
      <c r="C1294" s="328" t="n"/>
      <c r="D1294" s="328" t="inlineStr">
        <is>
          <t>Trái phiếu chính quyền địa phương</t>
        </is>
      </c>
      <c r="F1294" s="4" t="inlineStr">
        <is>
          <t>Báo cáo</t>
        </is>
      </c>
      <c r="G1294" s="22" t="inlineStr">
        <is>
          <t>Chỉ tiêu phái sinh</t>
        </is>
      </c>
      <c r="H1294" s="4" t="inlineStr">
        <is>
          <t>TB</t>
        </is>
      </c>
    </row>
    <row r="1295" ht="15" customHeight="1" s="380">
      <c r="B1295" s="4" t="inlineStr">
        <is>
          <t>HSX02</t>
        </is>
      </c>
      <c r="C1295" s="328" t="n"/>
      <c r="D1295" s="328" t="inlineStr">
        <is>
          <t>Trái phiếu doanh nghiệp</t>
        </is>
      </c>
      <c r="F1295" s="4" t="inlineStr">
        <is>
          <t>Báo cáo</t>
        </is>
      </c>
      <c r="G1295" s="22" t="inlineStr">
        <is>
          <t>Chỉ tiêu phái sinh</t>
        </is>
      </c>
      <c r="H1295" s="4" t="inlineStr">
        <is>
          <t>TB</t>
        </is>
      </c>
    </row>
    <row r="1296" ht="15" customHeight="1" s="380">
      <c r="B1296" s="4" t="inlineStr">
        <is>
          <t>HSX02</t>
        </is>
      </c>
      <c r="C1296" s="328" t="n"/>
      <c r="D1296" s="328" t="inlineStr">
        <is>
          <t>Chứng chỉ quỹ</t>
        </is>
      </c>
      <c r="F1296" s="4" t="inlineStr">
        <is>
          <t>Báo cáo</t>
        </is>
      </c>
      <c r="G1296" s="22" t="inlineStr">
        <is>
          <t>Chỉ tiêu phái sinh</t>
        </is>
      </c>
      <c r="H1296" s="4" t="inlineStr">
        <is>
          <t>TB</t>
        </is>
      </c>
    </row>
    <row r="1297" ht="15" customHeight="1" s="380">
      <c r="B1297" s="4" t="inlineStr">
        <is>
          <t>HSX02</t>
        </is>
      </c>
      <c r="C1297" s="328" t="n"/>
      <c r="D1297" s="328" t="inlineStr">
        <is>
          <t>ETF</t>
        </is>
      </c>
      <c r="F1297" s="4" t="inlineStr">
        <is>
          <t>Báo cáo</t>
        </is>
      </c>
      <c r="G1297" s="22" t="inlineStr">
        <is>
          <t>Chỉ tiêu phái sinh</t>
        </is>
      </c>
      <c r="H1297" s="4" t="inlineStr">
        <is>
          <t>TB</t>
        </is>
      </c>
    </row>
    <row r="1298" ht="15" customHeight="1" s="380">
      <c r="B1298" s="4" t="inlineStr">
        <is>
          <t>HSX02</t>
        </is>
      </c>
      <c r="C1298" s="328" t="n"/>
      <c r="D1298" s="328" t="inlineStr">
        <is>
          <t>Chứng quyền có bảo đảm (CW)</t>
        </is>
      </c>
      <c r="F1298" s="4" t="inlineStr">
        <is>
          <t>Báo cáo</t>
        </is>
      </c>
      <c r="G1298" s="22" t="inlineStr">
        <is>
          <t>Chỉ tiêu phái sinh</t>
        </is>
      </c>
      <c r="H1298" s="4" t="inlineStr">
        <is>
          <t>TB</t>
        </is>
      </c>
    </row>
    <row r="1299" ht="15" customHeight="1" s="380">
      <c r="B1299" s="4" t="inlineStr">
        <is>
          <t>HSX02</t>
        </is>
      </c>
      <c r="C1299" s="326" t="n"/>
      <c r="D1299" s="326" t="inlineStr">
        <is>
          <t>Khối lượng chứng khoán giao dịch</t>
        </is>
      </c>
      <c r="F1299" s="4" t="inlineStr">
        <is>
          <t>Báo cáo</t>
        </is>
      </c>
      <c r="G1299" s="22" t="inlineStr">
        <is>
          <t>Chỉ tiêu phái sinh</t>
        </is>
      </c>
      <c r="H1299" s="4" t="inlineStr">
        <is>
          <t>TB</t>
        </is>
      </c>
    </row>
    <row r="1300" ht="15" customHeight="1" s="380">
      <c r="B1300" s="4" t="inlineStr">
        <is>
          <t>HSX02</t>
        </is>
      </c>
      <c r="C1300" s="328" t="n"/>
      <c r="D1300" s="328" t="inlineStr">
        <is>
          <t>Cổ phiếu niêm yết</t>
        </is>
      </c>
      <c r="F1300" s="4" t="inlineStr">
        <is>
          <t>Báo cáo</t>
        </is>
      </c>
      <c r="G1300" s="22" t="inlineStr">
        <is>
          <t>Chỉ tiêu phái sinh</t>
        </is>
      </c>
      <c r="H1300" s="4" t="inlineStr">
        <is>
          <t>TB</t>
        </is>
      </c>
    </row>
    <row r="1301" ht="15" customHeight="1" s="380">
      <c r="B1301" s="4" t="inlineStr">
        <is>
          <t>HSX02</t>
        </is>
      </c>
      <c r="C1301" s="328" t="n"/>
      <c r="D1301" s="328" t="inlineStr">
        <is>
          <t>Trái phiếu chính quyền địa phương</t>
        </is>
      </c>
      <c r="F1301" s="4" t="inlineStr">
        <is>
          <t>Báo cáo</t>
        </is>
      </c>
      <c r="G1301" s="22" t="inlineStr">
        <is>
          <t>Chỉ tiêu phái sinh</t>
        </is>
      </c>
      <c r="H1301" s="4" t="inlineStr">
        <is>
          <t>TB</t>
        </is>
      </c>
    </row>
    <row r="1302" ht="15" customHeight="1" s="380">
      <c r="B1302" s="4" t="inlineStr">
        <is>
          <t>HSX02</t>
        </is>
      </c>
      <c r="C1302" s="328" t="n"/>
      <c r="D1302" s="328" t="inlineStr">
        <is>
          <t>Trái phiếu doanh nghiệp</t>
        </is>
      </c>
      <c r="F1302" s="4" t="inlineStr">
        <is>
          <t>Báo cáo</t>
        </is>
      </c>
      <c r="G1302" s="22" t="inlineStr">
        <is>
          <t>Chỉ tiêu phái sinh</t>
        </is>
      </c>
      <c r="H1302" s="4" t="inlineStr">
        <is>
          <t>TB</t>
        </is>
      </c>
    </row>
    <row r="1303" ht="15" customHeight="1" s="380">
      <c r="B1303" s="4" t="inlineStr">
        <is>
          <t>HSX02</t>
        </is>
      </c>
      <c r="C1303" s="328" t="n"/>
      <c r="D1303" s="328" t="inlineStr">
        <is>
          <t>Chứng chỉ quỹ</t>
        </is>
      </c>
      <c r="F1303" s="4" t="inlineStr">
        <is>
          <t>Báo cáo</t>
        </is>
      </c>
      <c r="G1303" s="22" t="inlineStr">
        <is>
          <t>Chỉ tiêu phái sinh</t>
        </is>
      </c>
      <c r="H1303" s="4" t="inlineStr">
        <is>
          <t>TB</t>
        </is>
      </c>
    </row>
    <row r="1304" ht="15" customHeight="1" s="380">
      <c r="B1304" s="4" t="inlineStr">
        <is>
          <t>HSX02</t>
        </is>
      </c>
      <c r="C1304" s="328" t="n"/>
      <c r="D1304" s="328" t="inlineStr">
        <is>
          <t>ETF</t>
        </is>
      </c>
      <c r="F1304" s="4" t="inlineStr">
        <is>
          <t>Báo cáo</t>
        </is>
      </c>
      <c r="G1304" s="22" t="inlineStr">
        <is>
          <t>Chỉ tiêu phái sinh</t>
        </is>
      </c>
      <c r="H1304" s="4" t="inlineStr">
        <is>
          <t>TB</t>
        </is>
      </c>
    </row>
    <row r="1305" ht="15" customHeight="1" s="380">
      <c r="B1305" s="4" t="inlineStr">
        <is>
          <t>HSX02</t>
        </is>
      </c>
      <c r="C1305" s="328" t="n"/>
      <c r="D1305" s="328" t="inlineStr">
        <is>
          <t>CW</t>
        </is>
      </c>
      <c r="F1305" s="4" t="inlineStr">
        <is>
          <t>Báo cáo</t>
        </is>
      </c>
      <c r="G1305" s="22" t="inlineStr">
        <is>
          <t>Chỉ tiêu phái sinh</t>
        </is>
      </c>
      <c r="H1305" s="4" t="inlineStr">
        <is>
          <t>TB</t>
        </is>
      </c>
    </row>
    <row r="1306" ht="15" customHeight="1" s="380">
      <c r="B1306" s="4" t="inlineStr">
        <is>
          <t>HSX02</t>
        </is>
      </c>
      <c r="C1306" s="326" t="n"/>
      <c r="D1306" s="326" t="inlineStr">
        <is>
          <t>Khối lượng chứng khoán niêm yết</t>
        </is>
      </c>
      <c r="F1306" s="4" t="inlineStr">
        <is>
          <t>Báo cáo</t>
        </is>
      </c>
      <c r="G1306" s="22" t="inlineStr">
        <is>
          <t>Chỉ tiêu phái sinh</t>
        </is>
      </c>
      <c r="H1306" s="4" t="inlineStr">
        <is>
          <t>TB</t>
        </is>
      </c>
    </row>
    <row r="1307" ht="15" customHeight="1" s="380">
      <c r="B1307" s="4" t="inlineStr">
        <is>
          <t>HSX02</t>
        </is>
      </c>
      <c r="C1307" s="328" t="n"/>
      <c r="D1307" s="328" t="inlineStr">
        <is>
          <t>Cổ phiếu niêm yết</t>
        </is>
      </c>
      <c r="F1307" s="4" t="inlineStr">
        <is>
          <t>Báo cáo</t>
        </is>
      </c>
      <c r="G1307" s="22" t="inlineStr">
        <is>
          <t>Chỉ tiêu phái sinh</t>
        </is>
      </c>
      <c r="H1307" s="4" t="inlineStr">
        <is>
          <t>TB</t>
        </is>
      </c>
    </row>
    <row r="1308" ht="15" customHeight="1" s="380">
      <c r="B1308" s="4" t="inlineStr">
        <is>
          <t>HSX02</t>
        </is>
      </c>
      <c r="C1308" s="328" t="n"/>
      <c r="D1308" s="328" t="inlineStr">
        <is>
          <t>Trái phiếu chính quyền địa phương</t>
        </is>
      </c>
      <c r="F1308" s="4" t="inlineStr">
        <is>
          <t>Báo cáo</t>
        </is>
      </c>
      <c r="G1308" s="22" t="inlineStr">
        <is>
          <t>Chỉ tiêu phái sinh</t>
        </is>
      </c>
      <c r="H1308" s="4" t="inlineStr">
        <is>
          <t>TB</t>
        </is>
      </c>
    </row>
    <row r="1309" ht="15" customHeight="1" s="380">
      <c r="B1309" s="4" t="inlineStr">
        <is>
          <t>HSX02</t>
        </is>
      </c>
      <c r="C1309" s="328" t="n"/>
      <c r="D1309" s="328" t="inlineStr">
        <is>
          <t>Trái phiếu doanh nghiệp</t>
        </is>
      </c>
      <c r="F1309" s="4" t="inlineStr">
        <is>
          <t>Báo cáo</t>
        </is>
      </c>
      <c r="G1309" s="22" t="inlineStr">
        <is>
          <t>Chỉ tiêu phái sinh</t>
        </is>
      </c>
      <c r="H1309" s="4" t="inlineStr">
        <is>
          <t>TB</t>
        </is>
      </c>
    </row>
    <row r="1310" ht="15" customHeight="1" s="380">
      <c r="B1310" s="4" t="inlineStr">
        <is>
          <t>HSX02</t>
        </is>
      </c>
      <c r="C1310" s="328" t="n"/>
      <c r="D1310" s="328" t="inlineStr">
        <is>
          <t>Chứng chỉ quỹ</t>
        </is>
      </c>
      <c r="F1310" s="4" t="inlineStr">
        <is>
          <t>Báo cáo</t>
        </is>
      </c>
      <c r="G1310" s="22" t="inlineStr">
        <is>
          <t>Chỉ tiêu phái sinh</t>
        </is>
      </c>
      <c r="H1310" s="4" t="inlineStr">
        <is>
          <t>TB</t>
        </is>
      </c>
    </row>
    <row r="1311" ht="15" customHeight="1" s="380">
      <c r="B1311" s="4" t="inlineStr">
        <is>
          <t>HSX02</t>
        </is>
      </c>
      <c r="C1311" s="328" t="n"/>
      <c r="D1311" s="328" t="inlineStr">
        <is>
          <t>ETF</t>
        </is>
      </c>
      <c r="F1311" s="4" t="inlineStr">
        <is>
          <t>Báo cáo</t>
        </is>
      </c>
      <c r="G1311" s="22" t="inlineStr">
        <is>
          <t>Chỉ tiêu phái sinh</t>
        </is>
      </c>
      <c r="H1311" s="4" t="inlineStr">
        <is>
          <t>TB</t>
        </is>
      </c>
    </row>
    <row r="1312" ht="15" customHeight="1" s="380">
      <c r="B1312" s="4" t="inlineStr">
        <is>
          <t>HSX02</t>
        </is>
      </c>
      <c r="C1312" s="328" t="n"/>
      <c r="D1312" s="328" t="inlineStr">
        <is>
          <t>CW</t>
        </is>
      </c>
      <c r="F1312" s="4" t="inlineStr">
        <is>
          <t>Báo cáo</t>
        </is>
      </c>
      <c r="G1312" s="22" t="inlineStr">
        <is>
          <t>Chỉ tiêu phái sinh</t>
        </is>
      </c>
      <c r="H1312" s="4" t="inlineStr">
        <is>
          <t>TB</t>
        </is>
      </c>
    </row>
    <row r="1313" ht="15" customHeight="1" s="380">
      <c r="B1313" s="4" t="inlineStr">
        <is>
          <t>HSX02</t>
        </is>
      </c>
      <c r="C1313" s="326" t="n"/>
      <c r="D1313" s="326" t="inlineStr">
        <is>
          <t>Giá trị chứng khoán niêm yết</t>
        </is>
      </c>
      <c r="F1313" s="4" t="inlineStr">
        <is>
          <t>Báo cáo</t>
        </is>
      </c>
      <c r="G1313" s="22" t="inlineStr">
        <is>
          <t>Chỉ tiêu phái sinh</t>
        </is>
      </c>
      <c r="H1313" s="4" t="inlineStr">
        <is>
          <t>TB</t>
        </is>
      </c>
    </row>
    <row r="1314" ht="15" customHeight="1" s="380">
      <c r="B1314" s="4" t="inlineStr">
        <is>
          <t>HSX02</t>
        </is>
      </c>
      <c r="C1314" s="328" t="n"/>
      <c r="D1314" s="328" t="inlineStr">
        <is>
          <t>Cổ phiếu niêm yết</t>
        </is>
      </c>
      <c r="F1314" s="4" t="inlineStr">
        <is>
          <t>Báo cáo</t>
        </is>
      </c>
      <c r="G1314" s="22" t="inlineStr">
        <is>
          <t>Chỉ tiêu phái sinh</t>
        </is>
      </c>
      <c r="H1314" s="4" t="inlineStr">
        <is>
          <t>TB</t>
        </is>
      </c>
    </row>
    <row r="1315" ht="15" customHeight="1" s="380">
      <c r="B1315" s="4" t="inlineStr">
        <is>
          <t>HSX02</t>
        </is>
      </c>
      <c r="C1315" s="328" t="n"/>
      <c r="D1315" s="328" t="inlineStr">
        <is>
          <t>Trái phiếu chính quyền địa phương</t>
        </is>
      </c>
      <c r="F1315" s="4" t="inlineStr">
        <is>
          <t>Báo cáo</t>
        </is>
      </c>
      <c r="G1315" s="22" t="inlineStr">
        <is>
          <t>Chỉ tiêu phái sinh</t>
        </is>
      </c>
      <c r="H1315" s="4" t="inlineStr">
        <is>
          <t>TB</t>
        </is>
      </c>
    </row>
    <row r="1316" ht="15" customHeight="1" s="380">
      <c r="B1316" s="4" t="inlineStr">
        <is>
          <t>HSX02</t>
        </is>
      </c>
      <c r="C1316" s="328" t="n"/>
      <c r="D1316" s="328" t="inlineStr">
        <is>
          <t>Trái phiếu doanh nghiệp</t>
        </is>
      </c>
      <c r="F1316" s="4" t="inlineStr">
        <is>
          <t>Báo cáo</t>
        </is>
      </c>
      <c r="G1316" s="22" t="inlineStr">
        <is>
          <t>Chỉ tiêu phái sinh</t>
        </is>
      </c>
      <c r="H1316" s="4" t="inlineStr">
        <is>
          <t>TB</t>
        </is>
      </c>
    </row>
    <row r="1317" ht="15" customHeight="1" s="380">
      <c r="B1317" s="4" t="inlineStr">
        <is>
          <t>HSX02</t>
        </is>
      </c>
      <c r="C1317" s="328" t="n"/>
      <c r="D1317" s="328" t="inlineStr">
        <is>
          <t>Chứng chỉ quỹ</t>
        </is>
      </c>
      <c r="F1317" s="4" t="inlineStr">
        <is>
          <t>Báo cáo</t>
        </is>
      </c>
      <c r="G1317" s="22" t="inlineStr">
        <is>
          <t>Chỉ tiêu phái sinh</t>
        </is>
      </c>
      <c r="H1317" s="4" t="inlineStr">
        <is>
          <t>TB</t>
        </is>
      </c>
    </row>
    <row r="1318" ht="15" customHeight="1" s="380">
      <c r="B1318" s="4" t="inlineStr">
        <is>
          <t>HSX02</t>
        </is>
      </c>
      <c r="C1318" s="328" t="n"/>
      <c r="D1318" s="328" t="inlineStr">
        <is>
          <t>ETF</t>
        </is>
      </c>
      <c r="F1318" s="4" t="inlineStr">
        <is>
          <t>Báo cáo</t>
        </is>
      </c>
      <c r="G1318" s="22" t="inlineStr">
        <is>
          <t>Chỉ tiêu phái sinh</t>
        </is>
      </c>
      <c r="H1318" s="4" t="inlineStr">
        <is>
          <t>TB</t>
        </is>
      </c>
    </row>
    <row r="1319" ht="15" customHeight="1" s="380">
      <c r="B1319" s="4" t="inlineStr">
        <is>
          <t>HSX02</t>
        </is>
      </c>
      <c r="C1319" s="328" t="n"/>
      <c r="D1319" s="328" t="inlineStr">
        <is>
          <t>CW</t>
        </is>
      </c>
      <c r="F1319" s="4" t="inlineStr">
        <is>
          <t>Báo cáo</t>
        </is>
      </c>
      <c r="G1319" s="22" t="inlineStr">
        <is>
          <t>Chỉ tiêu phái sinh</t>
        </is>
      </c>
      <c r="H1319" s="4" t="inlineStr">
        <is>
          <t>TB</t>
        </is>
      </c>
    </row>
    <row r="1320" ht="16" customHeight="1" s="380">
      <c r="B1320" s="4" t="inlineStr">
        <is>
          <t>HSX02</t>
        </is>
      </c>
      <c r="C1320" s="330" t="n"/>
      <c r="D1320" s="330" t="inlineStr">
        <is>
          <t>Vốn hóa thị trường cổ phiếu</t>
        </is>
      </c>
      <c r="F1320" s="4" t="inlineStr">
        <is>
          <t>Báo cáo</t>
        </is>
      </c>
      <c r="G1320" s="22" t="inlineStr">
        <is>
          <t>Chỉ tiêu phái sinh</t>
        </is>
      </c>
      <c r="H1320" s="4" t="inlineStr">
        <is>
          <t>TB</t>
        </is>
      </c>
    </row>
    <row r="1321" ht="16" customHeight="1" s="380">
      <c r="B1321" s="4" t="inlineStr">
        <is>
          <t>HSX02</t>
        </is>
      </c>
      <c r="C1321" s="330" t="n"/>
      <c r="D1321" s="330" t="inlineStr">
        <is>
          <t>Khối lượng chứng khoán niêm yết mới</t>
        </is>
      </c>
      <c r="F1321" s="4" t="inlineStr">
        <is>
          <t>Báo cáo</t>
        </is>
      </c>
      <c r="G1321" s="22" t="inlineStr">
        <is>
          <t>Chỉ tiêu phái sinh</t>
        </is>
      </c>
      <c r="H1321" s="4" t="inlineStr">
        <is>
          <t>TB</t>
        </is>
      </c>
    </row>
    <row r="1322" ht="15" customHeight="1" s="380">
      <c r="B1322" s="4" t="inlineStr">
        <is>
          <t>HSX02</t>
        </is>
      </c>
      <c r="C1322" s="328" t="n"/>
      <c r="D1322" s="328" t="inlineStr">
        <is>
          <t>Cổ phiếu niêm yết</t>
        </is>
      </c>
      <c r="F1322" s="4" t="inlineStr">
        <is>
          <t>Báo cáo</t>
        </is>
      </c>
      <c r="G1322" s="22" t="inlineStr">
        <is>
          <t>Chỉ tiêu phái sinh</t>
        </is>
      </c>
      <c r="H1322" s="4" t="inlineStr">
        <is>
          <t>TB</t>
        </is>
      </c>
    </row>
    <row r="1323" ht="15" customHeight="1" s="380">
      <c r="B1323" s="4" t="inlineStr">
        <is>
          <t>HSX02</t>
        </is>
      </c>
      <c r="C1323" s="328" t="n"/>
      <c r="D1323" s="328" t="inlineStr">
        <is>
          <t>Trái phiếu chính quyền địa phương</t>
        </is>
      </c>
      <c r="F1323" s="4" t="inlineStr">
        <is>
          <t>Báo cáo</t>
        </is>
      </c>
      <c r="G1323" s="22" t="inlineStr">
        <is>
          <t>Chỉ tiêu phái sinh</t>
        </is>
      </c>
      <c r="H1323" s="4" t="inlineStr">
        <is>
          <t>TB</t>
        </is>
      </c>
    </row>
    <row r="1324" ht="15" customHeight="1" s="380">
      <c r="B1324" s="4" t="inlineStr">
        <is>
          <t>HSX02</t>
        </is>
      </c>
      <c r="C1324" s="328" t="n"/>
      <c r="D1324" s="328" t="inlineStr">
        <is>
          <t>Trái phiếu doanh nghiệp</t>
        </is>
      </c>
      <c r="F1324" s="4" t="inlineStr">
        <is>
          <t>Báo cáo</t>
        </is>
      </c>
      <c r="G1324" s="22" t="inlineStr">
        <is>
          <t>Chỉ tiêu phái sinh</t>
        </is>
      </c>
      <c r="H1324" s="4" t="inlineStr">
        <is>
          <t>TB</t>
        </is>
      </c>
    </row>
    <row r="1325" ht="15" customHeight="1" s="380">
      <c r="B1325" s="4" t="inlineStr">
        <is>
          <t>HSX02</t>
        </is>
      </c>
      <c r="C1325" s="328" t="n"/>
      <c r="D1325" s="328" t="inlineStr">
        <is>
          <t>Chứng chỉ quỹ</t>
        </is>
      </c>
      <c r="F1325" s="4" t="inlineStr">
        <is>
          <t>Báo cáo</t>
        </is>
      </c>
      <c r="G1325" s="22" t="inlineStr">
        <is>
          <t>Chỉ tiêu phái sinh</t>
        </is>
      </c>
      <c r="H1325" s="4" t="inlineStr">
        <is>
          <t>TB</t>
        </is>
      </c>
    </row>
    <row r="1326" ht="15" customHeight="1" s="380">
      <c r="B1326" s="4" t="inlineStr">
        <is>
          <t>HSX02</t>
        </is>
      </c>
      <c r="C1326" s="328" t="n"/>
      <c r="D1326" s="328" t="inlineStr">
        <is>
          <t>ETF</t>
        </is>
      </c>
      <c r="F1326" s="4" t="inlineStr">
        <is>
          <t>Báo cáo</t>
        </is>
      </c>
      <c r="G1326" s="22" t="inlineStr">
        <is>
          <t>Chỉ tiêu phái sinh</t>
        </is>
      </c>
      <c r="H1326" s="4" t="inlineStr">
        <is>
          <t>TB</t>
        </is>
      </c>
    </row>
    <row r="1327" ht="15" customHeight="1" s="380">
      <c r="B1327" s="4" t="inlineStr">
        <is>
          <t>HSX02</t>
        </is>
      </c>
      <c r="C1327" s="328" t="n"/>
      <c r="D1327" s="328" t="inlineStr">
        <is>
          <t>CW</t>
        </is>
      </c>
      <c r="F1327" s="4" t="inlineStr">
        <is>
          <t>Báo cáo</t>
        </is>
      </c>
      <c r="G1327" s="22" t="inlineStr">
        <is>
          <t>Chỉ tiêu phái sinh</t>
        </is>
      </c>
      <c r="H1327" s="4" t="inlineStr">
        <is>
          <t>TB</t>
        </is>
      </c>
    </row>
    <row r="1328" ht="16" customHeight="1" s="380">
      <c r="B1328" s="4" t="inlineStr">
        <is>
          <t>HSX02</t>
        </is>
      </c>
      <c r="C1328" s="330" t="n"/>
      <c r="D1328" s="330" t="inlineStr">
        <is>
          <t>Giá trị chứng khoán niêm yết mới</t>
        </is>
      </c>
      <c r="F1328" s="4" t="inlineStr">
        <is>
          <t>Báo cáo</t>
        </is>
      </c>
      <c r="G1328" s="22" t="inlineStr">
        <is>
          <t>Chỉ tiêu phái sinh</t>
        </is>
      </c>
      <c r="H1328" s="4" t="inlineStr">
        <is>
          <t>TB</t>
        </is>
      </c>
    </row>
    <row r="1329" ht="15" customHeight="1" s="380">
      <c r="B1329" s="4" t="inlineStr">
        <is>
          <t>HSX02</t>
        </is>
      </c>
      <c r="C1329" s="328" t="n"/>
      <c r="D1329" s="328" t="inlineStr">
        <is>
          <t>Cổ phiếu niêm yết</t>
        </is>
      </c>
      <c r="F1329" s="4" t="inlineStr">
        <is>
          <t>Báo cáo</t>
        </is>
      </c>
      <c r="G1329" s="22" t="inlineStr">
        <is>
          <t>Chỉ tiêu phái sinh</t>
        </is>
      </c>
      <c r="H1329" s="4" t="inlineStr">
        <is>
          <t>TB</t>
        </is>
      </c>
    </row>
    <row r="1330" ht="15" customHeight="1" s="380">
      <c r="B1330" s="4" t="inlineStr">
        <is>
          <t>HSX02</t>
        </is>
      </c>
      <c r="C1330" s="328" t="n"/>
      <c r="D1330" s="328" t="inlineStr">
        <is>
          <t>Trái phiếu chính quyền địa phương</t>
        </is>
      </c>
      <c r="F1330" s="4" t="inlineStr">
        <is>
          <t>Báo cáo</t>
        </is>
      </c>
      <c r="G1330" s="22" t="inlineStr">
        <is>
          <t>Chỉ tiêu phái sinh</t>
        </is>
      </c>
      <c r="H1330" s="4" t="inlineStr">
        <is>
          <t>TB</t>
        </is>
      </c>
    </row>
    <row r="1331" ht="15" customHeight="1" s="380">
      <c r="B1331" s="4" t="inlineStr">
        <is>
          <t>HSX02</t>
        </is>
      </c>
      <c r="C1331" s="328" t="n"/>
      <c r="D1331" s="328" t="inlineStr">
        <is>
          <t>Trái phiếu doanh nghiệp</t>
        </is>
      </c>
      <c r="F1331" s="4" t="inlineStr">
        <is>
          <t>Báo cáo</t>
        </is>
      </c>
      <c r="G1331" s="22" t="inlineStr">
        <is>
          <t>Chỉ tiêu phái sinh</t>
        </is>
      </c>
      <c r="H1331" s="4" t="inlineStr">
        <is>
          <t>TB</t>
        </is>
      </c>
    </row>
    <row r="1332" ht="15" customHeight="1" s="380">
      <c r="B1332" s="4" t="inlineStr">
        <is>
          <t>HSX02</t>
        </is>
      </c>
      <c r="C1332" s="328" t="n"/>
      <c r="D1332" s="328" t="inlineStr">
        <is>
          <t>Chứng chỉ quỹ</t>
        </is>
      </c>
      <c r="F1332" s="4" t="inlineStr">
        <is>
          <t>Báo cáo</t>
        </is>
      </c>
      <c r="G1332" s="22" t="inlineStr">
        <is>
          <t>Chỉ tiêu phái sinh</t>
        </is>
      </c>
      <c r="H1332" s="4" t="inlineStr">
        <is>
          <t>TB</t>
        </is>
      </c>
    </row>
    <row r="1333" ht="15" customHeight="1" s="380">
      <c r="B1333" s="4" t="inlineStr">
        <is>
          <t>HSX02</t>
        </is>
      </c>
      <c r="C1333" s="328" t="n"/>
      <c r="D1333" s="328" t="inlineStr">
        <is>
          <t>ETF</t>
        </is>
      </c>
      <c r="F1333" s="4" t="inlineStr">
        <is>
          <t>Báo cáo</t>
        </is>
      </c>
      <c r="G1333" s="22" t="inlineStr">
        <is>
          <t>Chỉ tiêu phái sinh</t>
        </is>
      </c>
      <c r="H1333" s="4" t="inlineStr">
        <is>
          <t>TB</t>
        </is>
      </c>
    </row>
    <row r="1334" ht="15" customHeight="1" s="380">
      <c r="B1334" s="4" t="inlineStr">
        <is>
          <t>HSX02</t>
        </is>
      </c>
      <c r="C1334" s="328" t="n"/>
      <c r="D1334" s="328" t="inlineStr">
        <is>
          <t>CW</t>
        </is>
      </c>
      <c r="F1334" s="4" t="inlineStr">
        <is>
          <t>Báo cáo</t>
        </is>
      </c>
      <c r="G1334" s="22" t="inlineStr">
        <is>
          <t>Chỉ tiêu phái sinh</t>
        </is>
      </c>
      <c r="H1334" s="4" t="inlineStr">
        <is>
          <t>TB</t>
        </is>
      </c>
    </row>
    <row r="1335" ht="16" customHeight="1" s="380">
      <c r="B1335" s="4" t="inlineStr">
        <is>
          <t>HSX02</t>
        </is>
      </c>
      <c r="C1335" s="330" t="n"/>
      <c r="D1335" s="330" t="inlineStr">
        <is>
          <t>Khối lượng chứng khoán niêm yết bổ sung</t>
        </is>
      </c>
      <c r="F1335" s="4" t="inlineStr">
        <is>
          <t>Báo cáo</t>
        </is>
      </c>
      <c r="G1335" s="22" t="inlineStr">
        <is>
          <t>Chỉ tiêu phái sinh</t>
        </is>
      </c>
      <c r="H1335" s="4" t="inlineStr">
        <is>
          <t>TB</t>
        </is>
      </c>
    </row>
    <row r="1336" ht="15" customHeight="1" s="380">
      <c r="B1336" s="4" t="inlineStr">
        <is>
          <t>HSX02</t>
        </is>
      </c>
      <c r="C1336" s="328" t="n"/>
      <c r="D1336" s="328" t="inlineStr">
        <is>
          <t>Cổ phiếu niêm yết</t>
        </is>
      </c>
      <c r="F1336" s="4" t="inlineStr">
        <is>
          <t>Báo cáo</t>
        </is>
      </c>
      <c r="G1336" s="22" t="inlineStr">
        <is>
          <t>Chỉ tiêu phái sinh</t>
        </is>
      </c>
      <c r="H1336" s="4" t="inlineStr">
        <is>
          <t>TB</t>
        </is>
      </c>
    </row>
    <row r="1337" ht="15" customHeight="1" s="380">
      <c r="B1337" s="4" t="inlineStr">
        <is>
          <t>HSX02</t>
        </is>
      </c>
      <c r="C1337" s="328" t="n"/>
      <c r="D1337" s="328" t="inlineStr">
        <is>
          <t>Trái phiếu chính quyền địa phương</t>
        </is>
      </c>
      <c r="F1337" s="4" t="inlineStr">
        <is>
          <t>Báo cáo</t>
        </is>
      </c>
      <c r="G1337" s="22" t="inlineStr">
        <is>
          <t>Chỉ tiêu phái sinh</t>
        </is>
      </c>
      <c r="H1337" s="4" t="inlineStr">
        <is>
          <t>TB</t>
        </is>
      </c>
    </row>
    <row r="1338" ht="15" customHeight="1" s="380">
      <c r="B1338" s="4" t="inlineStr">
        <is>
          <t>HSX02</t>
        </is>
      </c>
      <c r="C1338" s="328" t="n"/>
      <c r="D1338" s="328" t="inlineStr">
        <is>
          <t>Trái phiếu doanh nghiệp</t>
        </is>
      </c>
      <c r="F1338" s="4" t="inlineStr">
        <is>
          <t>Báo cáo</t>
        </is>
      </c>
      <c r="G1338" s="22" t="inlineStr">
        <is>
          <t>Chỉ tiêu phái sinh</t>
        </is>
      </c>
      <c r="H1338" s="4" t="inlineStr">
        <is>
          <t>TB</t>
        </is>
      </c>
    </row>
    <row r="1339" ht="15" customHeight="1" s="380">
      <c r="B1339" s="4" t="inlineStr">
        <is>
          <t>HSX02</t>
        </is>
      </c>
      <c r="C1339" s="328" t="n"/>
      <c r="D1339" s="328" t="inlineStr">
        <is>
          <t>Chứng chỉ quỹ</t>
        </is>
      </c>
      <c r="F1339" s="4" t="inlineStr">
        <is>
          <t>Báo cáo</t>
        </is>
      </c>
      <c r="G1339" s="22" t="inlineStr">
        <is>
          <t>Chỉ tiêu phái sinh</t>
        </is>
      </c>
      <c r="H1339" s="4" t="inlineStr">
        <is>
          <t>TB</t>
        </is>
      </c>
    </row>
    <row r="1340" ht="15" customHeight="1" s="380">
      <c r="B1340" s="4" t="inlineStr">
        <is>
          <t>HSX02</t>
        </is>
      </c>
      <c r="C1340" s="328" t="n"/>
      <c r="D1340" s="328" t="inlineStr">
        <is>
          <t>ETF</t>
        </is>
      </c>
      <c r="F1340" s="4" t="inlineStr">
        <is>
          <t>Báo cáo</t>
        </is>
      </c>
      <c r="G1340" s="22" t="inlineStr">
        <is>
          <t>Chỉ tiêu phái sinh</t>
        </is>
      </c>
      <c r="H1340" s="4" t="inlineStr">
        <is>
          <t>TB</t>
        </is>
      </c>
    </row>
    <row r="1341" ht="15" customHeight="1" s="380">
      <c r="B1341" s="4" t="inlineStr">
        <is>
          <t>HSX02</t>
        </is>
      </c>
      <c r="C1341" s="328" t="n"/>
      <c r="D1341" s="328" t="inlineStr">
        <is>
          <t>CW</t>
        </is>
      </c>
      <c r="F1341" s="4" t="inlineStr">
        <is>
          <t>Báo cáo</t>
        </is>
      </c>
      <c r="G1341" s="22" t="inlineStr">
        <is>
          <t>Chỉ tiêu phái sinh</t>
        </is>
      </c>
      <c r="H1341" s="4" t="inlineStr">
        <is>
          <t>TB</t>
        </is>
      </c>
    </row>
    <row r="1342" ht="16" customHeight="1" s="380">
      <c r="B1342" s="4" t="inlineStr">
        <is>
          <t>HSX02</t>
        </is>
      </c>
      <c r="C1342" s="330" t="n"/>
      <c r="D1342" s="330" t="inlineStr">
        <is>
          <t>Giá trị chứng khoán niêm yết bổ sung</t>
        </is>
      </c>
      <c r="F1342" s="4" t="inlineStr">
        <is>
          <t>Báo cáo</t>
        </is>
      </c>
      <c r="G1342" s="22" t="inlineStr">
        <is>
          <t>Chỉ tiêu phái sinh</t>
        </is>
      </c>
      <c r="H1342" s="4" t="inlineStr">
        <is>
          <t>TB</t>
        </is>
      </c>
    </row>
    <row r="1343" ht="15" customHeight="1" s="380">
      <c r="B1343" s="4" t="inlineStr">
        <is>
          <t>HSX02</t>
        </is>
      </c>
      <c r="C1343" s="328" t="n"/>
      <c r="D1343" s="328" t="inlineStr">
        <is>
          <t>Cổ phiếu niêm yết</t>
        </is>
      </c>
      <c r="F1343" s="4" t="inlineStr">
        <is>
          <t>Báo cáo</t>
        </is>
      </c>
      <c r="G1343" s="22" t="inlineStr">
        <is>
          <t>Chỉ tiêu phái sinh</t>
        </is>
      </c>
      <c r="H1343" s="4" t="inlineStr">
        <is>
          <t>TB</t>
        </is>
      </c>
    </row>
    <row r="1344" ht="15" customHeight="1" s="380">
      <c r="B1344" s="4" t="inlineStr">
        <is>
          <t>HSX02</t>
        </is>
      </c>
      <c r="C1344" s="328" t="n"/>
      <c r="D1344" s="328" t="inlineStr">
        <is>
          <t>Trái phiếu chính quyền địa phương</t>
        </is>
      </c>
      <c r="F1344" s="4" t="inlineStr">
        <is>
          <t>Báo cáo</t>
        </is>
      </c>
      <c r="G1344" s="22" t="inlineStr">
        <is>
          <t>Chỉ tiêu phái sinh</t>
        </is>
      </c>
      <c r="H1344" s="4" t="inlineStr">
        <is>
          <t>TB</t>
        </is>
      </c>
    </row>
    <row r="1345" ht="15" customHeight="1" s="380">
      <c r="B1345" s="4" t="inlineStr">
        <is>
          <t>HSX02</t>
        </is>
      </c>
      <c r="C1345" s="328" t="n"/>
      <c r="D1345" s="328" t="inlineStr">
        <is>
          <t>Trái phiếu doanh nghiệp</t>
        </is>
      </c>
      <c r="F1345" s="4" t="inlineStr">
        <is>
          <t>Báo cáo</t>
        </is>
      </c>
      <c r="G1345" s="22" t="inlineStr">
        <is>
          <t>Chỉ tiêu phái sinh</t>
        </is>
      </c>
      <c r="H1345" s="4" t="inlineStr">
        <is>
          <t>TB</t>
        </is>
      </c>
    </row>
    <row r="1346" ht="15" customHeight="1" s="380">
      <c r="B1346" s="4" t="inlineStr">
        <is>
          <t>HSX02</t>
        </is>
      </c>
      <c r="C1346" s="328" t="n"/>
      <c r="D1346" s="328" t="inlineStr">
        <is>
          <t>Chứng chỉ quỹ</t>
        </is>
      </c>
      <c r="F1346" s="4" t="inlineStr">
        <is>
          <t>Báo cáo</t>
        </is>
      </c>
      <c r="G1346" s="22" t="inlineStr">
        <is>
          <t>Chỉ tiêu phái sinh</t>
        </is>
      </c>
      <c r="H1346" s="4" t="inlineStr">
        <is>
          <t>TB</t>
        </is>
      </c>
    </row>
    <row r="1347" ht="15" customHeight="1" s="380">
      <c r="B1347" s="4" t="inlineStr">
        <is>
          <t>HSX02</t>
        </is>
      </c>
      <c r="C1347" s="328" t="n"/>
      <c r="D1347" s="328" t="inlineStr">
        <is>
          <t>ETF</t>
        </is>
      </c>
      <c r="F1347" s="4" t="inlineStr">
        <is>
          <t>Báo cáo</t>
        </is>
      </c>
      <c r="G1347" s="22" t="inlineStr">
        <is>
          <t>Chỉ tiêu phái sinh</t>
        </is>
      </c>
      <c r="H1347" s="4" t="inlineStr">
        <is>
          <t>TB</t>
        </is>
      </c>
    </row>
    <row r="1348" ht="15" customHeight="1" s="380">
      <c r="B1348" s="4" t="inlineStr">
        <is>
          <t>HSX02</t>
        </is>
      </c>
      <c r="C1348" s="328" t="n"/>
      <c r="D1348" s="328" t="inlineStr">
        <is>
          <t>CW</t>
        </is>
      </c>
      <c r="F1348" s="4" t="inlineStr">
        <is>
          <t>Báo cáo</t>
        </is>
      </c>
      <c r="G1348" s="22" t="inlineStr">
        <is>
          <t>Chỉ tiêu phái sinh</t>
        </is>
      </c>
      <c r="H1348" s="4" t="inlineStr">
        <is>
          <t>TB</t>
        </is>
      </c>
    </row>
    <row r="1349" ht="16" customHeight="1" s="380">
      <c r="B1349" s="4" t="inlineStr">
        <is>
          <t>HSX02</t>
        </is>
      </c>
      <c r="C1349" s="330" t="n"/>
      <c r="D1349" s="330" t="inlineStr">
        <is>
          <t>Khối lượng chứng khoán hủy niêm yết, đáo hạn</t>
        </is>
      </c>
      <c r="F1349" s="4" t="inlineStr">
        <is>
          <t>Báo cáo</t>
        </is>
      </c>
      <c r="G1349" s="22" t="inlineStr">
        <is>
          <t>Chỉ tiêu phái sinh</t>
        </is>
      </c>
      <c r="H1349" s="4" t="inlineStr">
        <is>
          <t>TB</t>
        </is>
      </c>
    </row>
    <row r="1350" ht="15" customHeight="1" s="380">
      <c r="B1350" s="4" t="inlineStr">
        <is>
          <t>HSX02</t>
        </is>
      </c>
      <c r="C1350" s="328" t="n"/>
      <c r="D1350" s="328" t="inlineStr">
        <is>
          <t>Cổ phiếu niêm yết</t>
        </is>
      </c>
      <c r="F1350" s="4" t="inlineStr">
        <is>
          <t>Báo cáo</t>
        </is>
      </c>
      <c r="G1350" s="22" t="inlineStr">
        <is>
          <t>Chỉ tiêu phái sinh</t>
        </is>
      </c>
      <c r="H1350" s="4" t="inlineStr">
        <is>
          <t>TB</t>
        </is>
      </c>
    </row>
    <row r="1351" ht="15" customHeight="1" s="380">
      <c r="B1351" s="4" t="inlineStr">
        <is>
          <t>HSX02</t>
        </is>
      </c>
      <c r="C1351" s="328" t="n"/>
      <c r="D1351" s="328" t="inlineStr">
        <is>
          <t>Trái phiếu chính quyền địa phương</t>
        </is>
      </c>
      <c r="F1351" s="4" t="inlineStr">
        <is>
          <t>Báo cáo</t>
        </is>
      </c>
      <c r="G1351" s="22" t="inlineStr">
        <is>
          <t>Chỉ tiêu phái sinh</t>
        </is>
      </c>
      <c r="H1351" s="4" t="inlineStr">
        <is>
          <t>TB</t>
        </is>
      </c>
    </row>
    <row r="1352" ht="15" customHeight="1" s="380">
      <c r="B1352" s="4" t="inlineStr">
        <is>
          <t>HSX02</t>
        </is>
      </c>
      <c r="C1352" s="328" t="n"/>
      <c r="D1352" s="328" t="inlineStr">
        <is>
          <t>Trái phiếu doanh nghiệp</t>
        </is>
      </c>
      <c r="F1352" s="4" t="inlineStr">
        <is>
          <t>Báo cáo</t>
        </is>
      </c>
      <c r="G1352" s="22" t="inlineStr">
        <is>
          <t>Chỉ tiêu phái sinh</t>
        </is>
      </c>
      <c r="H1352" s="4" t="inlineStr">
        <is>
          <t>TB</t>
        </is>
      </c>
    </row>
    <row r="1353" ht="15" customHeight="1" s="380">
      <c r="B1353" s="4" t="inlineStr">
        <is>
          <t>HSX02</t>
        </is>
      </c>
      <c r="C1353" s="328" t="n"/>
      <c r="D1353" s="328" t="inlineStr">
        <is>
          <t>Chứng chỉ quỹ</t>
        </is>
      </c>
      <c r="F1353" s="4" t="inlineStr">
        <is>
          <t>Báo cáo</t>
        </is>
      </c>
      <c r="G1353" s="22" t="inlineStr">
        <is>
          <t>Chỉ tiêu phái sinh</t>
        </is>
      </c>
      <c r="H1353" s="4" t="inlineStr">
        <is>
          <t>TB</t>
        </is>
      </c>
    </row>
    <row r="1354" ht="15" customHeight="1" s="380">
      <c r="B1354" s="4" t="inlineStr">
        <is>
          <t>HSX02</t>
        </is>
      </c>
      <c r="C1354" s="328" t="n"/>
      <c r="D1354" s="328" t="inlineStr">
        <is>
          <t>ETF</t>
        </is>
      </c>
      <c r="F1354" s="4" t="inlineStr">
        <is>
          <t>Báo cáo</t>
        </is>
      </c>
      <c r="G1354" s="22" t="inlineStr">
        <is>
          <t>Chỉ tiêu phái sinh</t>
        </is>
      </c>
      <c r="H1354" s="4" t="inlineStr">
        <is>
          <t>TB</t>
        </is>
      </c>
    </row>
    <row r="1355" ht="15" customHeight="1" s="380">
      <c r="B1355" s="4" t="inlineStr">
        <is>
          <t>HSX02</t>
        </is>
      </c>
      <c r="C1355" s="328" t="n"/>
      <c r="D1355" s="328" t="inlineStr">
        <is>
          <t>CW</t>
        </is>
      </c>
      <c r="F1355" s="4" t="inlineStr">
        <is>
          <t>Báo cáo</t>
        </is>
      </c>
      <c r="G1355" s="22" t="inlineStr">
        <is>
          <t>Chỉ tiêu phái sinh</t>
        </is>
      </c>
      <c r="H1355" s="4" t="inlineStr">
        <is>
          <t>TB</t>
        </is>
      </c>
    </row>
    <row r="1356" ht="16" customHeight="1" s="380">
      <c r="B1356" s="4" t="inlineStr">
        <is>
          <t>HSX02</t>
        </is>
      </c>
      <c r="C1356" s="330" t="n"/>
      <c r="D1356" s="330" t="inlineStr">
        <is>
          <t>Giá trị chứng khoán hủy niêm yết, đáo hạn</t>
        </is>
      </c>
      <c r="F1356" s="4" t="inlineStr">
        <is>
          <t>Báo cáo</t>
        </is>
      </c>
      <c r="G1356" s="22" t="inlineStr">
        <is>
          <t>Chỉ tiêu phái sinh</t>
        </is>
      </c>
      <c r="H1356" s="4" t="inlineStr">
        <is>
          <t>TB</t>
        </is>
      </c>
    </row>
    <row r="1357" ht="15" customHeight="1" s="380">
      <c r="B1357" s="4" t="inlineStr">
        <is>
          <t>HSX02</t>
        </is>
      </c>
      <c r="C1357" s="328" t="n"/>
      <c r="D1357" s="328" t="inlineStr">
        <is>
          <t>Cổ phiếu niêm yết</t>
        </is>
      </c>
      <c r="F1357" s="4" t="inlineStr">
        <is>
          <t>Báo cáo</t>
        </is>
      </c>
      <c r="G1357" s="22" t="inlineStr">
        <is>
          <t>Chỉ tiêu phái sinh</t>
        </is>
      </c>
      <c r="H1357" s="4" t="inlineStr">
        <is>
          <t>TB</t>
        </is>
      </c>
    </row>
    <row r="1358" ht="15" customHeight="1" s="380">
      <c r="B1358" s="4" t="inlineStr">
        <is>
          <t>HSX02</t>
        </is>
      </c>
      <c r="C1358" s="328" t="n"/>
      <c r="D1358" s="328" t="inlineStr">
        <is>
          <t>Trái phiếu chính quyền địa phương</t>
        </is>
      </c>
      <c r="F1358" s="4" t="inlineStr">
        <is>
          <t>Báo cáo</t>
        </is>
      </c>
      <c r="G1358" s="22" t="inlineStr">
        <is>
          <t>Chỉ tiêu phái sinh</t>
        </is>
      </c>
      <c r="H1358" s="4" t="inlineStr">
        <is>
          <t>TB</t>
        </is>
      </c>
    </row>
    <row r="1359" ht="15" customHeight="1" s="380">
      <c r="B1359" s="4" t="inlineStr">
        <is>
          <t>HSX02</t>
        </is>
      </c>
      <c r="C1359" s="328" t="n"/>
      <c r="D1359" s="328" t="inlineStr">
        <is>
          <t>Trái phiếu doanh nghiệp</t>
        </is>
      </c>
      <c r="F1359" s="4" t="inlineStr">
        <is>
          <t>Báo cáo</t>
        </is>
      </c>
      <c r="G1359" s="22" t="inlineStr">
        <is>
          <t>Chỉ tiêu phái sinh</t>
        </is>
      </c>
      <c r="H1359" s="4" t="inlineStr">
        <is>
          <t>TB</t>
        </is>
      </c>
    </row>
    <row r="1360" ht="15" customHeight="1" s="380">
      <c r="B1360" s="4" t="inlineStr">
        <is>
          <t>HSX02</t>
        </is>
      </c>
      <c r="C1360" s="328" t="n"/>
      <c r="D1360" s="328" t="inlineStr">
        <is>
          <t>Chứng chỉ quỹ</t>
        </is>
      </c>
      <c r="F1360" s="4" t="inlineStr">
        <is>
          <t>Báo cáo</t>
        </is>
      </c>
      <c r="G1360" s="22" t="inlineStr">
        <is>
          <t>Chỉ tiêu phái sinh</t>
        </is>
      </c>
      <c r="H1360" s="4" t="inlineStr">
        <is>
          <t>TB</t>
        </is>
      </c>
    </row>
    <row r="1361" ht="15" customHeight="1" s="380">
      <c r="B1361" s="4" t="inlineStr">
        <is>
          <t>HSX02</t>
        </is>
      </c>
      <c r="C1361" s="328" t="n"/>
      <c r="D1361" s="328" t="inlineStr">
        <is>
          <t>ETF</t>
        </is>
      </c>
      <c r="F1361" s="4" t="inlineStr">
        <is>
          <t>Báo cáo</t>
        </is>
      </c>
      <c r="G1361" s="22" t="inlineStr">
        <is>
          <t>Chỉ tiêu phái sinh</t>
        </is>
      </c>
      <c r="H1361" s="4" t="inlineStr">
        <is>
          <t>TB</t>
        </is>
      </c>
    </row>
    <row r="1362" ht="15" customHeight="1" s="380">
      <c r="B1362" s="4" t="inlineStr">
        <is>
          <t>HSX02</t>
        </is>
      </c>
      <c r="C1362" s="328" t="n"/>
      <c r="D1362" s="328" t="inlineStr">
        <is>
          <t>CW</t>
        </is>
      </c>
      <c r="F1362" s="4" t="inlineStr">
        <is>
          <t>Báo cáo</t>
        </is>
      </c>
      <c r="G1362" s="22" t="inlineStr">
        <is>
          <t>Chỉ tiêu phái sinh</t>
        </is>
      </c>
      <c r="H1362" s="4" t="inlineStr">
        <is>
          <t>TB</t>
        </is>
      </c>
    </row>
    <row r="1363" ht="16" customHeight="1" s="380">
      <c r="B1363" s="4" t="inlineStr">
        <is>
          <t>HSX02</t>
        </is>
      </c>
      <c r="C1363" s="330" t="n"/>
      <c r="D1363" s="330" t="inlineStr">
        <is>
          <t>Số mã chứng khoán niêm yết tại thời điểm cuối tháng</t>
        </is>
      </c>
      <c r="F1363" s="4" t="inlineStr">
        <is>
          <t>Báo cáo</t>
        </is>
      </c>
      <c r="G1363" s="22" t="inlineStr">
        <is>
          <t>Chỉ tiêu phái sinh</t>
        </is>
      </c>
      <c r="H1363" s="4" t="inlineStr">
        <is>
          <t>TB</t>
        </is>
      </c>
    </row>
    <row r="1364" ht="15" customHeight="1" s="380">
      <c r="B1364" s="4" t="inlineStr">
        <is>
          <t>HSX02</t>
        </is>
      </c>
      <c r="C1364" s="328" t="n"/>
      <c r="D1364" s="328" t="inlineStr">
        <is>
          <t>Cổ phiếu niêm yết</t>
        </is>
      </c>
      <c r="F1364" s="4" t="inlineStr">
        <is>
          <t>Báo cáo</t>
        </is>
      </c>
      <c r="G1364" s="22" t="inlineStr">
        <is>
          <t>Chỉ tiêu phái sinh</t>
        </is>
      </c>
      <c r="H1364" s="4" t="inlineStr">
        <is>
          <t>TB</t>
        </is>
      </c>
    </row>
    <row r="1365" ht="15" customHeight="1" s="380">
      <c r="B1365" s="4" t="inlineStr">
        <is>
          <t>HSX02</t>
        </is>
      </c>
      <c r="C1365" s="328" t="n"/>
      <c r="D1365" s="328" t="inlineStr">
        <is>
          <t>Trái phiếu chính quyền địa phương</t>
        </is>
      </c>
      <c r="F1365" s="4" t="inlineStr">
        <is>
          <t>Báo cáo</t>
        </is>
      </c>
      <c r="G1365" s="22" t="inlineStr">
        <is>
          <t>Chỉ tiêu phái sinh</t>
        </is>
      </c>
      <c r="H1365" s="4" t="inlineStr">
        <is>
          <t>TB</t>
        </is>
      </c>
    </row>
    <row r="1366" ht="15" customHeight="1" s="380">
      <c r="B1366" s="4" t="inlineStr">
        <is>
          <t>HSX02</t>
        </is>
      </c>
      <c r="C1366" s="328" t="n"/>
      <c r="D1366" s="328" t="inlineStr">
        <is>
          <t>Trái phiếu doanh nghiệp</t>
        </is>
      </c>
      <c r="F1366" s="4" t="inlineStr">
        <is>
          <t>Báo cáo</t>
        </is>
      </c>
      <c r="G1366" s="22" t="inlineStr">
        <is>
          <t>Chỉ tiêu phái sinh</t>
        </is>
      </c>
      <c r="H1366" s="4" t="inlineStr">
        <is>
          <t>TB</t>
        </is>
      </c>
    </row>
    <row r="1367" ht="15" customHeight="1" s="380">
      <c r="B1367" s="4" t="inlineStr">
        <is>
          <t>HSX02</t>
        </is>
      </c>
      <c r="C1367" s="328" t="n"/>
      <c r="D1367" s="328" t="inlineStr">
        <is>
          <t>Chứng chỉ quỹ</t>
        </is>
      </c>
      <c r="F1367" s="4" t="inlineStr">
        <is>
          <t>Báo cáo</t>
        </is>
      </c>
      <c r="G1367" s="22" t="inlineStr">
        <is>
          <t>Chỉ tiêu phái sinh</t>
        </is>
      </c>
      <c r="H1367" s="4" t="inlineStr">
        <is>
          <t>TB</t>
        </is>
      </c>
    </row>
    <row r="1368" ht="15" customHeight="1" s="380">
      <c r="B1368" s="4" t="inlineStr">
        <is>
          <t>HSX02</t>
        </is>
      </c>
      <c r="C1368" s="328" t="n"/>
      <c r="D1368" s="328" t="inlineStr">
        <is>
          <t>ETF</t>
        </is>
      </c>
      <c r="F1368" s="4" t="inlineStr">
        <is>
          <t>Báo cáo</t>
        </is>
      </c>
      <c r="G1368" s="22" t="inlineStr">
        <is>
          <t>Chỉ tiêu phái sinh</t>
        </is>
      </c>
      <c r="H1368" s="4" t="inlineStr">
        <is>
          <t>TB</t>
        </is>
      </c>
    </row>
    <row r="1369" ht="15" customHeight="1" s="380">
      <c r="B1369" s="4" t="inlineStr">
        <is>
          <t>HSX02</t>
        </is>
      </c>
      <c r="C1369" s="328" t="n"/>
      <c r="D1369" s="328" t="inlineStr">
        <is>
          <t>CW</t>
        </is>
      </c>
      <c r="F1369" s="4" t="inlineStr">
        <is>
          <t>Báo cáo</t>
        </is>
      </c>
      <c r="G1369" s="22" t="inlineStr">
        <is>
          <t>Chỉ tiêu phái sinh</t>
        </is>
      </c>
      <c r="H1369" s="4" t="inlineStr">
        <is>
          <t>TB</t>
        </is>
      </c>
    </row>
    <row r="1370" ht="15" customHeight="1" s="380">
      <c r="B1370" s="4" t="inlineStr">
        <is>
          <t>HSX02</t>
        </is>
      </c>
      <c r="C1370" s="326" t="n"/>
      <c r="D1370" s="326" t="inlineStr">
        <is>
          <t>Số mã chứng khoán niêm yết mới trong tháng</t>
        </is>
      </c>
      <c r="F1370" s="4" t="inlineStr">
        <is>
          <t>Báo cáo</t>
        </is>
      </c>
      <c r="G1370" s="22" t="inlineStr">
        <is>
          <t>Chỉ tiêu phái sinh</t>
        </is>
      </c>
      <c r="H1370" s="4" t="inlineStr">
        <is>
          <t>TB</t>
        </is>
      </c>
    </row>
    <row r="1371" ht="15" customHeight="1" s="380">
      <c r="B1371" s="4" t="inlineStr">
        <is>
          <t>HSX02</t>
        </is>
      </c>
      <c r="C1371" s="328" t="n"/>
      <c r="D1371" s="328" t="inlineStr">
        <is>
          <t>Cổ phiếu niêm yết</t>
        </is>
      </c>
      <c r="F1371" s="4" t="inlineStr">
        <is>
          <t>Báo cáo</t>
        </is>
      </c>
      <c r="G1371" s="22" t="inlineStr">
        <is>
          <t>Chỉ tiêu phái sinh</t>
        </is>
      </c>
      <c r="H1371" s="4" t="inlineStr">
        <is>
          <t>TB</t>
        </is>
      </c>
    </row>
    <row r="1372" ht="15" customHeight="1" s="380">
      <c r="B1372" s="4" t="inlineStr">
        <is>
          <t>HSX02</t>
        </is>
      </c>
      <c r="C1372" s="328" t="n"/>
      <c r="D1372" s="328" t="inlineStr">
        <is>
          <t>Trái phiếu chính quyền địa phương</t>
        </is>
      </c>
      <c r="F1372" s="4" t="inlineStr">
        <is>
          <t>Báo cáo</t>
        </is>
      </c>
      <c r="G1372" s="22" t="inlineStr">
        <is>
          <t>Chỉ tiêu phái sinh</t>
        </is>
      </c>
      <c r="H1372" s="4" t="inlineStr">
        <is>
          <t>TB</t>
        </is>
      </c>
    </row>
    <row r="1373" ht="15" customHeight="1" s="380">
      <c r="B1373" s="4" t="inlineStr">
        <is>
          <t>HSX02</t>
        </is>
      </c>
      <c r="C1373" s="328" t="n"/>
      <c r="D1373" s="328" t="inlineStr">
        <is>
          <t>Trái phiếu doanh nghiệp</t>
        </is>
      </c>
      <c r="F1373" s="4" t="inlineStr">
        <is>
          <t>Báo cáo</t>
        </is>
      </c>
      <c r="G1373" s="22" t="inlineStr">
        <is>
          <t>Chỉ tiêu phái sinh</t>
        </is>
      </c>
      <c r="H1373" s="4" t="inlineStr">
        <is>
          <t>TB</t>
        </is>
      </c>
    </row>
    <row r="1374" ht="15" customHeight="1" s="380">
      <c r="B1374" s="4" t="inlineStr">
        <is>
          <t>HSX02</t>
        </is>
      </c>
      <c r="C1374" s="328" t="n"/>
      <c r="D1374" s="328" t="inlineStr">
        <is>
          <t>Chứng chỉ quỹ</t>
        </is>
      </c>
      <c r="F1374" s="4" t="inlineStr">
        <is>
          <t>Báo cáo</t>
        </is>
      </c>
      <c r="G1374" s="22" t="inlineStr">
        <is>
          <t>Chỉ tiêu phái sinh</t>
        </is>
      </c>
      <c r="H1374" s="4" t="inlineStr">
        <is>
          <t>TB</t>
        </is>
      </c>
    </row>
    <row r="1375" ht="15" customHeight="1" s="380">
      <c r="B1375" s="4" t="inlineStr">
        <is>
          <t>HSX02</t>
        </is>
      </c>
      <c r="C1375" s="328" t="n"/>
      <c r="D1375" s="328" t="inlineStr">
        <is>
          <t>ETF</t>
        </is>
      </c>
      <c r="F1375" s="4" t="inlineStr">
        <is>
          <t>Báo cáo</t>
        </is>
      </c>
      <c r="G1375" s="22" t="inlineStr">
        <is>
          <t>Chỉ tiêu phái sinh</t>
        </is>
      </c>
      <c r="H1375" s="4" t="inlineStr">
        <is>
          <t>TB</t>
        </is>
      </c>
    </row>
    <row r="1376" ht="15" customHeight="1" s="380">
      <c r="B1376" s="4" t="inlineStr">
        <is>
          <t>HSX02</t>
        </is>
      </c>
      <c r="C1376" s="328" t="n"/>
      <c r="D1376" s="328" t="inlineStr">
        <is>
          <t>CW</t>
        </is>
      </c>
      <c r="F1376" s="4" t="inlineStr">
        <is>
          <t>Báo cáo</t>
        </is>
      </c>
      <c r="G1376" s="22" t="inlineStr">
        <is>
          <t>Chỉ tiêu phái sinh</t>
        </is>
      </c>
      <c r="H1376" s="4" t="inlineStr">
        <is>
          <t>TB</t>
        </is>
      </c>
    </row>
    <row r="1377" ht="15" customHeight="1" s="380">
      <c r="B1377" s="4" t="inlineStr">
        <is>
          <t>HSX02</t>
        </is>
      </c>
      <c r="C1377" s="326" t="n"/>
      <c r="D1377" s="326" t="inlineStr">
        <is>
          <t>Số mã chứng khoán hủy niêm yết, đáo hạn trong tháng</t>
        </is>
      </c>
      <c r="F1377" s="4" t="inlineStr">
        <is>
          <t>Báo cáo</t>
        </is>
      </c>
      <c r="G1377" s="22" t="inlineStr">
        <is>
          <t>Chỉ tiêu phái sinh</t>
        </is>
      </c>
      <c r="H1377" s="4" t="inlineStr">
        <is>
          <t>TB</t>
        </is>
      </c>
    </row>
    <row r="1378" ht="15" customHeight="1" s="380">
      <c r="B1378" s="4" t="inlineStr">
        <is>
          <t>HSX02</t>
        </is>
      </c>
      <c r="C1378" s="328" t="n"/>
      <c r="D1378" s="328" t="inlineStr">
        <is>
          <t>Cổ phiếu niêm yết</t>
        </is>
      </c>
      <c r="F1378" s="4" t="inlineStr">
        <is>
          <t>Báo cáo</t>
        </is>
      </c>
      <c r="G1378" s="22" t="inlineStr">
        <is>
          <t>Chỉ tiêu phái sinh</t>
        </is>
      </c>
      <c r="H1378" s="4" t="inlineStr">
        <is>
          <t>TB</t>
        </is>
      </c>
    </row>
    <row r="1379" ht="15" customHeight="1" s="380">
      <c r="B1379" s="4" t="inlineStr">
        <is>
          <t>HSX02</t>
        </is>
      </c>
      <c r="C1379" s="328" t="n"/>
      <c r="D1379" s="328" t="inlineStr">
        <is>
          <t>Trái phiếu chính quyền địa phương</t>
        </is>
      </c>
      <c r="F1379" s="4" t="inlineStr">
        <is>
          <t>Báo cáo</t>
        </is>
      </c>
      <c r="G1379" s="22" t="inlineStr">
        <is>
          <t>Chỉ tiêu phái sinh</t>
        </is>
      </c>
      <c r="H1379" s="4" t="inlineStr">
        <is>
          <t>TB</t>
        </is>
      </c>
    </row>
    <row r="1380" ht="15" customHeight="1" s="380">
      <c r="B1380" s="4" t="inlineStr">
        <is>
          <t>HSX02</t>
        </is>
      </c>
      <c r="C1380" s="328" t="n"/>
      <c r="D1380" s="328" t="inlineStr">
        <is>
          <t>Trái phiếu doanh nghiệp</t>
        </is>
      </c>
      <c r="F1380" s="4" t="inlineStr">
        <is>
          <t>Báo cáo</t>
        </is>
      </c>
      <c r="G1380" s="22" t="inlineStr">
        <is>
          <t>Chỉ tiêu phái sinh</t>
        </is>
      </c>
      <c r="H1380" s="4" t="inlineStr">
        <is>
          <t>TB</t>
        </is>
      </c>
    </row>
    <row r="1381" ht="15" customHeight="1" s="380">
      <c r="B1381" s="4" t="inlineStr">
        <is>
          <t>HSX02</t>
        </is>
      </c>
      <c r="C1381" s="328" t="n"/>
      <c r="D1381" s="328" t="inlineStr">
        <is>
          <t>Chứng chỉ quỹ</t>
        </is>
      </c>
      <c r="F1381" s="4" t="inlineStr">
        <is>
          <t>Báo cáo</t>
        </is>
      </c>
      <c r="G1381" s="22" t="inlineStr">
        <is>
          <t>Chỉ tiêu phái sinh</t>
        </is>
      </c>
      <c r="H1381" s="4" t="inlineStr">
        <is>
          <t>TB</t>
        </is>
      </c>
    </row>
    <row r="1382" ht="15" customHeight="1" s="380">
      <c r="B1382" s="4" t="inlineStr">
        <is>
          <t>HSX02</t>
        </is>
      </c>
      <c r="C1382" s="328" t="n"/>
      <c r="D1382" s="328" t="inlineStr">
        <is>
          <t>ETF</t>
        </is>
      </c>
      <c r="F1382" s="4" t="inlineStr">
        <is>
          <t>Báo cáo</t>
        </is>
      </c>
      <c r="G1382" s="22" t="inlineStr">
        <is>
          <t>Chỉ tiêu phái sinh</t>
        </is>
      </c>
      <c r="H1382" s="4" t="inlineStr">
        <is>
          <t>TB</t>
        </is>
      </c>
    </row>
    <row r="1383" ht="15" customHeight="1" s="380">
      <c r="B1383" s="4" t="inlineStr">
        <is>
          <t>HSX02</t>
        </is>
      </c>
      <c r="C1383" s="328" t="n"/>
      <c r="D1383" s="328" t="inlineStr">
        <is>
          <t>CW</t>
        </is>
      </c>
      <c r="F1383" s="4" t="inlineStr">
        <is>
          <t>Báo cáo</t>
        </is>
      </c>
      <c r="G1383" s="22" t="inlineStr">
        <is>
          <t>Chỉ tiêu phái sinh</t>
        </is>
      </c>
      <c r="H1383" s="4" t="inlineStr">
        <is>
          <t>TB</t>
        </is>
      </c>
    </row>
    <row r="1384" ht="15" customHeight="1" s="380">
      <c r="B1384" s="4" t="inlineStr">
        <is>
          <t>HSX02</t>
        </is>
      </c>
      <c r="C1384" s="326" t="n"/>
      <c r="D1384" s="326" t="inlineStr">
        <is>
          <t>Số phiên thực hiện giao dịch</t>
        </is>
      </c>
      <c r="F1384" s="4" t="inlineStr">
        <is>
          <t>Báo cáo</t>
        </is>
      </c>
      <c r="G1384" s="22" t="inlineStr">
        <is>
          <t>Chỉ tiêu phái sinh</t>
        </is>
      </c>
      <c r="H1384" s="4" t="inlineStr">
        <is>
          <t>TB</t>
        </is>
      </c>
    </row>
    <row r="1385" ht="15" customHeight="1" s="380">
      <c r="B1385" s="4" t="inlineStr">
        <is>
          <t>HSX02</t>
        </is>
      </c>
      <c r="C1385" s="326" t="n"/>
      <c r="D1385" s="326" t="inlineStr">
        <is>
          <t>SGDCK TP.HCM</t>
        </is>
      </c>
      <c r="F1385" s="4" t="inlineStr">
        <is>
          <t>Báo cáo</t>
        </is>
      </c>
      <c r="G1385" s="22" t="inlineStr">
        <is>
          <t>Chỉ tiêu phái sinh</t>
        </is>
      </c>
      <c r="H1385" s="4" t="inlineStr">
        <is>
          <t>TB</t>
        </is>
      </c>
    </row>
    <row r="1386" ht="16" customHeight="1" s="380">
      <c r="B1386" s="4" t="inlineStr">
        <is>
          <t>HSX02</t>
        </is>
      </c>
      <c r="C1386" s="330" t="n"/>
      <c r="D1386" s="330" t="inlineStr">
        <is>
          <t>Giao dịch Nhà đầu tư nước ngoài</t>
        </is>
      </c>
      <c r="F1386" s="4" t="inlineStr">
        <is>
          <t>Báo cáo</t>
        </is>
      </c>
      <c r="G1386" s="22" t="inlineStr">
        <is>
          <t>Chỉ tiêu phái sinh</t>
        </is>
      </c>
      <c r="H1386" s="4" t="inlineStr">
        <is>
          <t>TB</t>
        </is>
      </c>
    </row>
    <row r="1387" ht="16" customHeight="1" s="380">
      <c r="B1387" s="4" t="inlineStr">
        <is>
          <t>HSX02</t>
        </is>
      </c>
      <c r="C1387" s="332" t="n"/>
      <c r="D1387" s="332" t="inlineStr">
        <is>
          <t>GDNĐTNN cổ phiếu niêm yết</t>
        </is>
      </c>
      <c r="F1387" s="4" t="inlineStr">
        <is>
          <t>Báo cáo</t>
        </is>
      </c>
      <c r="G1387" s="22" t="inlineStr">
        <is>
          <t>Chỉ tiêu phái sinh</t>
        </is>
      </c>
      <c r="H1387" s="4" t="inlineStr">
        <is>
          <t>TB</t>
        </is>
      </c>
    </row>
    <row r="1388" ht="16" customHeight="1" s="380">
      <c r="B1388" s="4" t="inlineStr">
        <is>
          <t>HSX02</t>
        </is>
      </c>
      <c r="C1388" s="334" t="n"/>
      <c r="D1388" s="334" t="inlineStr">
        <is>
          <t>Khối lượng giao dịch cổ phiếu niêm yết</t>
        </is>
      </c>
      <c r="F1388" s="4" t="inlineStr">
        <is>
          <t>Báo cáo</t>
        </is>
      </c>
      <c r="G1388" s="22" t="inlineStr">
        <is>
          <t>Chỉ tiêu phái sinh</t>
        </is>
      </c>
      <c r="H1388" s="4" t="inlineStr">
        <is>
          <t>TB</t>
        </is>
      </c>
    </row>
    <row r="1389" ht="16" customHeight="1" s="380">
      <c r="B1389" s="4" t="inlineStr">
        <is>
          <t>HSX02</t>
        </is>
      </c>
      <c r="C1389" s="334" t="n"/>
      <c r="D1389" s="334" t="inlineStr">
        <is>
          <t>Khối lượng giao dịch mua</t>
        </is>
      </c>
      <c r="F1389" s="4" t="inlineStr">
        <is>
          <t>Báo cáo</t>
        </is>
      </c>
      <c r="G1389" s="22" t="inlineStr">
        <is>
          <t>Chỉ tiêu phái sinh</t>
        </is>
      </c>
      <c r="H1389" s="4" t="inlineStr">
        <is>
          <t>TB</t>
        </is>
      </c>
    </row>
    <row r="1390" ht="16" customHeight="1" s="380">
      <c r="B1390" s="4" t="inlineStr">
        <is>
          <t>HSX02</t>
        </is>
      </c>
      <c r="C1390" s="334" t="n"/>
      <c r="D1390" s="334" t="inlineStr">
        <is>
          <t>Khối lượng giao dịch bán</t>
        </is>
      </c>
      <c r="F1390" s="4" t="inlineStr">
        <is>
          <t>Báo cáo</t>
        </is>
      </c>
      <c r="G1390" s="22" t="inlineStr">
        <is>
          <t>Chỉ tiêu phái sinh</t>
        </is>
      </c>
      <c r="H1390" s="4" t="inlineStr">
        <is>
          <t>TB</t>
        </is>
      </c>
    </row>
    <row r="1391" ht="16" customHeight="1" s="380">
      <c r="B1391" s="4" t="inlineStr">
        <is>
          <t>HSX02</t>
        </is>
      </c>
      <c r="C1391" s="334" t="n"/>
      <c r="D1391" s="334" t="inlineStr">
        <is>
          <t>Khối lượng mua/bán ròng</t>
        </is>
      </c>
      <c r="F1391" s="4" t="inlineStr">
        <is>
          <t>Báo cáo</t>
        </is>
      </c>
      <c r="G1391" s="22" t="inlineStr">
        <is>
          <t>Chỉ tiêu phái sinh</t>
        </is>
      </c>
      <c r="H1391" s="4" t="inlineStr">
        <is>
          <t>TB</t>
        </is>
      </c>
    </row>
    <row r="1392" ht="16" customHeight="1" s="380">
      <c r="B1392" s="4" t="inlineStr">
        <is>
          <t>HSX02</t>
        </is>
      </c>
      <c r="C1392" s="334" t="n"/>
      <c r="D1392" s="334" t="inlineStr">
        <is>
          <t>Giá trị giao dịch cổ phiếu niêm yết</t>
        </is>
      </c>
      <c r="F1392" s="4" t="inlineStr">
        <is>
          <t>Báo cáo</t>
        </is>
      </c>
      <c r="G1392" s="22" t="inlineStr">
        <is>
          <t>Chỉ tiêu phái sinh</t>
        </is>
      </c>
      <c r="H1392" s="4" t="inlineStr">
        <is>
          <t>TB</t>
        </is>
      </c>
    </row>
    <row r="1393" ht="16" customHeight="1" s="380">
      <c r="B1393" s="4" t="inlineStr">
        <is>
          <t>HSX02</t>
        </is>
      </c>
      <c r="C1393" s="334" t="n"/>
      <c r="D1393" s="334" t="inlineStr">
        <is>
          <t>Giá trị giao dịch mua</t>
        </is>
      </c>
      <c r="F1393" s="4" t="inlineStr">
        <is>
          <t>Báo cáo</t>
        </is>
      </c>
      <c r="G1393" s="22" t="inlineStr">
        <is>
          <t>Chỉ tiêu phái sinh</t>
        </is>
      </c>
      <c r="H1393" s="4" t="inlineStr">
        <is>
          <t>TB</t>
        </is>
      </c>
    </row>
    <row r="1394" ht="16" customHeight="1" s="380">
      <c r="B1394" s="4" t="inlineStr">
        <is>
          <t>HSX02</t>
        </is>
      </c>
      <c r="C1394" s="334" t="n"/>
      <c r="D1394" s="334" t="inlineStr">
        <is>
          <t>Giá trị giao dịch bán</t>
        </is>
      </c>
      <c r="F1394" s="4" t="inlineStr">
        <is>
          <t>Báo cáo</t>
        </is>
      </c>
      <c r="G1394" s="22" t="inlineStr">
        <is>
          <t>Chỉ tiêu phái sinh</t>
        </is>
      </c>
      <c r="H1394" s="4" t="inlineStr">
        <is>
          <t>TB</t>
        </is>
      </c>
    </row>
    <row r="1395" ht="16" customHeight="1" s="380">
      <c r="B1395" s="4" t="inlineStr">
        <is>
          <t>HSX02</t>
        </is>
      </c>
      <c r="C1395" s="334" t="n"/>
      <c r="D1395" s="334" t="inlineStr">
        <is>
          <t>Giá trị mua/bán ròng</t>
        </is>
      </c>
      <c r="F1395" s="4" t="inlineStr">
        <is>
          <t>Báo cáo</t>
        </is>
      </c>
      <c r="G1395" s="22" t="inlineStr">
        <is>
          <t>Chỉ tiêu phái sinh</t>
        </is>
      </c>
      <c r="H1395" s="4" t="inlineStr">
        <is>
          <t>TB</t>
        </is>
      </c>
    </row>
    <row r="1396" ht="16" customHeight="1" s="380">
      <c r="B1396" s="4" t="inlineStr">
        <is>
          <t>HSX02</t>
        </is>
      </c>
      <c r="C1396" s="332" t="n"/>
      <c r="D1396" s="332" t="inlineStr">
        <is>
          <t>GDNĐTNN chứng chỉ quỹ</t>
        </is>
      </c>
      <c r="F1396" s="4" t="inlineStr">
        <is>
          <t>Báo cáo</t>
        </is>
      </c>
      <c r="G1396" s="22" t="inlineStr">
        <is>
          <t>Chỉ tiêu phái sinh</t>
        </is>
      </c>
      <c r="H1396" s="4" t="inlineStr">
        <is>
          <t>TB</t>
        </is>
      </c>
    </row>
    <row r="1397" ht="16" customHeight="1" s="380">
      <c r="B1397" s="4" t="inlineStr">
        <is>
          <t>HSX02</t>
        </is>
      </c>
      <c r="C1397" s="334" t="n"/>
      <c r="D1397" s="334" t="inlineStr">
        <is>
          <t>Khối lượng giao dịch chứng chỉ quỹ</t>
        </is>
      </c>
      <c r="F1397" s="4" t="inlineStr">
        <is>
          <t>Báo cáo</t>
        </is>
      </c>
      <c r="G1397" s="22" t="inlineStr">
        <is>
          <t>Chỉ tiêu phái sinh</t>
        </is>
      </c>
      <c r="H1397" s="4" t="inlineStr">
        <is>
          <t>TB</t>
        </is>
      </c>
    </row>
    <row r="1398" ht="16" customHeight="1" s="380">
      <c r="B1398" s="4" t="inlineStr">
        <is>
          <t>HSX02</t>
        </is>
      </c>
      <c r="C1398" s="334" t="n"/>
      <c r="D1398" s="334" t="inlineStr">
        <is>
          <t>Khối lượng giao dịch mua</t>
        </is>
      </c>
      <c r="F1398" s="4" t="inlineStr">
        <is>
          <t>Báo cáo</t>
        </is>
      </c>
      <c r="G1398" s="22" t="inlineStr">
        <is>
          <t>Chỉ tiêu phái sinh</t>
        </is>
      </c>
      <c r="H1398" s="4" t="inlineStr">
        <is>
          <t>TB</t>
        </is>
      </c>
    </row>
    <row r="1399" ht="16" customHeight="1" s="380">
      <c r="B1399" s="4" t="inlineStr">
        <is>
          <t>HSX02</t>
        </is>
      </c>
      <c r="C1399" s="334" t="n"/>
      <c r="D1399" s="334" t="inlineStr">
        <is>
          <t>Khối lượng giao dịch bán</t>
        </is>
      </c>
      <c r="F1399" s="4" t="inlineStr">
        <is>
          <t>Báo cáo</t>
        </is>
      </c>
      <c r="G1399" s="22" t="inlineStr">
        <is>
          <t>Chỉ tiêu phái sinh</t>
        </is>
      </c>
      <c r="H1399" s="4" t="inlineStr">
        <is>
          <t>TB</t>
        </is>
      </c>
    </row>
    <row r="1400" ht="16" customHeight="1" s="380">
      <c r="B1400" s="4" t="inlineStr">
        <is>
          <t>HSX02</t>
        </is>
      </c>
      <c r="C1400" s="334" t="n"/>
      <c r="D1400" s="334" t="inlineStr">
        <is>
          <t>Khối lượng mua/bán ròng</t>
        </is>
      </c>
      <c r="F1400" s="4" t="inlineStr">
        <is>
          <t>Báo cáo</t>
        </is>
      </c>
      <c r="G1400" s="22" t="inlineStr">
        <is>
          <t>Chỉ tiêu phái sinh</t>
        </is>
      </c>
      <c r="H1400" s="4" t="inlineStr">
        <is>
          <t>TB</t>
        </is>
      </c>
    </row>
    <row r="1401" ht="16" customHeight="1" s="380">
      <c r="B1401" s="4" t="inlineStr">
        <is>
          <t>HSX02</t>
        </is>
      </c>
      <c r="C1401" s="334" t="n"/>
      <c r="D1401" s="334" t="inlineStr">
        <is>
          <t>Giá trị giao dịch chứng chỉ quỹ</t>
        </is>
      </c>
      <c r="F1401" s="4" t="inlineStr">
        <is>
          <t>Báo cáo</t>
        </is>
      </c>
      <c r="G1401" s="22" t="inlineStr">
        <is>
          <t>Chỉ tiêu phái sinh</t>
        </is>
      </c>
      <c r="H1401" s="4" t="inlineStr">
        <is>
          <t>TB</t>
        </is>
      </c>
    </row>
    <row r="1402" ht="16" customHeight="1" s="380">
      <c r="B1402" s="4" t="inlineStr">
        <is>
          <t>HSX02</t>
        </is>
      </c>
      <c r="C1402" s="334" t="n"/>
      <c r="D1402" s="334" t="inlineStr">
        <is>
          <t>Giá trị giao dịch mua</t>
        </is>
      </c>
      <c r="F1402" s="4" t="inlineStr">
        <is>
          <t>Báo cáo</t>
        </is>
      </c>
      <c r="G1402" s="22" t="inlineStr">
        <is>
          <t>Chỉ tiêu phái sinh</t>
        </is>
      </c>
      <c r="H1402" s="4" t="inlineStr">
        <is>
          <t>TB</t>
        </is>
      </c>
    </row>
    <row r="1403" ht="16" customHeight="1" s="380">
      <c r="B1403" s="4" t="inlineStr">
        <is>
          <t>HSX02</t>
        </is>
      </c>
      <c r="C1403" s="334" t="n"/>
      <c r="D1403" s="334" t="inlineStr">
        <is>
          <t>Giá trị giao dịch bán</t>
        </is>
      </c>
      <c r="F1403" s="4" t="inlineStr">
        <is>
          <t>Báo cáo</t>
        </is>
      </c>
      <c r="G1403" s="22" t="inlineStr">
        <is>
          <t>Chỉ tiêu phái sinh</t>
        </is>
      </c>
      <c r="H1403" s="4" t="inlineStr">
        <is>
          <t>TB</t>
        </is>
      </c>
    </row>
    <row r="1404" ht="16" customHeight="1" s="380">
      <c r="B1404" s="4" t="inlineStr">
        <is>
          <t>HSX02</t>
        </is>
      </c>
      <c r="C1404" s="334" t="n"/>
      <c r="D1404" s="334" t="inlineStr">
        <is>
          <t>Giá trị mua/bán ròng</t>
        </is>
      </c>
      <c r="F1404" s="4" t="inlineStr">
        <is>
          <t>Báo cáo</t>
        </is>
      </c>
      <c r="G1404" s="22" t="inlineStr">
        <is>
          <t>Chỉ tiêu phái sinh</t>
        </is>
      </c>
      <c r="H1404" s="4" t="inlineStr">
        <is>
          <t>TB</t>
        </is>
      </c>
    </row>
    <row r="1405" ht="16" customHeight="1" s="380">
      <c r="B1405" s="4" t="inlineStr">
        <is>
          <t>HSX02</t>
        </is>
      </c>
      <c r="C1405" s="332" t="n"/>
      <c r="D1405" s="332" t="inlineStr">
        <is>
          <t>GDNĐTNN ETF</t>
        </is>
      </c>
      <c r="F1405" s="4" t="inlineStr">
        <is>
          <t>Báo cáo</t>
        </is>
      </c>
      <c r="G1405" s="22" t="inlineStr">
        <is>
          <t>Chỉ tiêu phái sinh</t>
        </is>
      </c>
      <c r="H1405" s="4" t="inlineStr">
        <is>
          <t>TB</t>
        </is>
      </c>
    </row>
    <row r="1406" ht="16" customHeight="1" s="380">
      <c r="B1406" s="4" t="inlineStr">
        <is>
          <t>HSX02</t>
        </is>
      </c>
      <c r="C1406" s="334" t="n"/>
      <c r="D1406" s="334" t="inlineStr">
        <is>
          <t>Khối lượng giao dịch ETF</t>
        </is>
      </c>
      <c r="F1406" s="4" t="inlineStr">
        <is>
          <t>Báo cáo</t>
        </is>
      </c>
      <c r="G1406" s="22" t="inlineStr">
        <is>
          <t>Chỉ tiêu phái sinh</t>
        </is>
      </c>
      <c r="H1406" s="4" t="inlineStr">
        <is>
          <t>TB</t>
        </is>
      </c>
    </row>
    <row r="1407" ht="16" customHeight="1" s="380">
      <c r="B1407" s="4" t="inlineStr">
        <is>
          <t>HSX02</t>
        </is>
      </c>
      <c r="C1407" s="334" t="n"/>
      <c r="D1407" s="334" t="inlineStr">
        <is>
          <t>Khối lượng giao dịch mua</t>
        </is>
      </c>
      <c r="F1407" s="4" t="inlineStr">
        <is>
          <t>Báo cáo</t>
        </is>
      </c>
      <c r="G1407" s="22" t="inlineStr">
        <is>
          <t>Chỉ tiêu phái sinh</t>
        </is>
      </c>
      <c r="H1407" s="4" t="inlineStr">
        <is>
          <t>TB</t>
        </is>
      </c>
    </row>
    <row r="1408" ht="16" customHeight="1" s="380">
      <c r="B1408" s="4" t="inlineStr">
        <is>
          <t>HSX02</t>
        </is>
      </c>
      <c r="C1408" s="334" t="n"/>
      <c r="D1408" s="334" t="inlineStr">
        <is>
          <t>Khối lượng giao dịch bán</t>
        </is>
      </c>
      <c r="F1408" s="4" t="inlineStr">
        <is>
          <t>Báo cáo</t>
        </is>
      </c>
      <c r="G1408" s="22" t="inlineStr">
        <is>
          <t>Chỉ tiêu phái sinh</t>
        </is>
      </c>
      <c r="H1408" s="4" t="inlineStr">
        <is>
          <t>TB</t>
        </is>
      </c>
    </row>
    <row r="1409" ht="16" customHeight="1" s="380">
      <c r="B1409" s="4" t="inlineStr">
        <is>
          <t>HSX02</t>
        </is>
      </c>
      <c r="C1409" s="334" t="n"/>
      <c r="D1409" s="334" t="inlineStr">
        <is>
          <t>Khối lượng mua/bán ròng</t>
        </is>
      </c>
      <c r="F1409" s="4" t="inlineStr">
        <is>
          <t>Báo cáo</t>
        </is>
      </c>
      <c r="G1409" s="22" t="inlineStr">
        <is>
          <t>Chỉ tiêu phái sinh</t>
        </is>
      </c>
      <c r="H1409" s="4" t="inlineStr">
        <is>
          <t>TB</t>
        </is>
      </c>
    </row>
    <row r="1410" ht="16" customHeight="1" s="380">
      <c r="B1410" s="4" t="inlineStr">
        <is>
          <t>HSX02</t>
        </is>
      </c>
      <c r="C1410" s="334" t="n"/>
      <c r="D1410" s="334" t="inlineStr">
        <is>
          <t>Giá trị giao dịch ETF</t>
        </is>
      </c>
      <c r="F1410" s="4" t="inlineStr">
        <is>
          <t>Báo cáo</t>
        </is>
      </c>
      <c r="G1410" s="22" t="inlineStr">
        <is>
          <t>Chỉ tiêu phái sinh</t>
        </is>
      </c>
      <c r="H1410" s="4" t="inlineStr">
        <is>
          <t>TB</t>
        </is>
      </c>
    </row>
    <row r="1411" ht="16" customHeight="1" s="380">
      <c r="B1411" s="4" t="inlineStr">
        <is>
          <t>HSX02</t>
        </is>
      </c>
      <c r="C1411" s="334" t="n"/>
      <c r="D1411" s="334" t="inlineStr">
        <is>
          <t>Giá trị giao dịch mua</t>
        </is>
      </c>
      <c r="F1411" s="4" t="inlineStr">
        <is>
          <t>Báo cáo</t>
        </is>
      </c>
      <c r="G1411" s="22" t="inlineStr">
        <is>
          <t>Chỉ tiêu phái sinh</t>
        </is>
      </c>
      <c r="H1411" s="4" t="inlineStr">
        <is>
          <t>TB</t>
        </is>
      </c>
    </row>
    <row r="1412" ht="16" customHeight="1" s="380">
      <c r="B1412" s="4" t="inlineStr">
        <is>
          <t>HSX02</t>
        </is>
      </c>
      <c r="C1412" s="334" t="n"/>
      <c r="D1412" s="334" t="inlineStr">
        <is>
          <t>Giá trị giao dịch bán</t>
        </is>
      </c>
      <c r="F1412" s="4" t="inlineStr">
        <is>
          <t>Báo cáo</t>
        </is>
      </c>
      <c r="G1412" s="22" t="inlineStr">
        <is>
          <t>Chỉ tiêu phái sinh</t>
        </is>
      </c>
      <c r="H1412" s="4" t="inlineStr">
        <is>
          <t>TB</t>
        </is>
      </c>
    </row>
    <row r="1413" ht="16" customHeight="1" s="380">
      <c r="B1413" s="4" t="inlineStr">
        <is>
          <t>HSX02</t>
        </is>
      </c>
      <c r="C1413" s="334" t="n"/>
      <c r="D1413" s="334" t="inlineStr">
        <is>
          <t>Giá trị mua/bán ròng</t>
        </is>
      </c>
      <c r="F1413" s="4" t="inlineStr">
        <is>
          <t>Báo cáo</t>
        </is>
      </c>
      <c r="G1413" s="22" t="inlineStr">
        <is>
          <t>Chỉ tiêu phái sinh</t>
        </is>
      </c>
      <c r="H1413" s="4" t="inlineStr">
        <is>
          <t>TB</t>
        </is>
      </c>
    </row>
    <row r="1414" ht="16" customHeight="1" s="380">
      <c r="B1414" s="4" t="inlineStr">
        <is>
          <t>HSX02</t>
        </is>
      </c>
      <c r="C1414" s="330" t="n"/>
      <c r="D1414" s="330" t="inlineStr">
        <is>
          <t>GDNĐTNN trái phiếu</t>
        </is>
      </c>
      <c r="F1414" s="4" t="inlineStr">
        <is>
          <t>Báo cáo</t>
        </is>
      </c>
      <c r="G1414" s="22" t="inlineStr">
        <is>
          <t>Chỉ tiêu phái sinh</t>
        </is>
      </c>
      <c r="H1414" s="4" t="inlineStr">
        <is>
          <t>TB</t>
        </is>
      </c>
    </row>
    <row r="1415" ht="16" customHeight="1" s="380">
      <c r="B1415" s="4" t="inlineStr">
        <is>
          <t>HSX02</t>
        </is>
      </c>
      <c r="C1415" s="334" t="n"/>
      <c r="D1415" s="334" t="inlineStr">
        <is>
          <t>Khối lượng giao dịch trái phiếu</t>
        </is>
      </c>
      <c r="F1415" s="4" t="inlineStr">
        <is>
          <t>Báo cáo</t>
        </is>
      </c>
      <c r="G1415" s="22" t="inlineStr">
        <is>
          <t>Chỉ tiêu phái sinh</t>
        </is>
      </c>
      <c r="H1415" s="4" t="inlineStr">
        <is>
          <t>TB</t>
        </is>
      </c>
    </row>
    <row r="1416" ht="16" customHeight="1" s="380">
      <c r="B1416" s="4" t="inlineStr">
        <is>
          <t>HSX02</t>
        </is>
      </c>
      <c r="C1416" s="334" t="n"/>
      <c r="D1416" s="334" t="inlineStr">
        <is>
          <t>Khối lượng giao dịch mua</t>
        </is>
      </c>
      <c r="F1416" s="4" t="inlineStr">
        <is>
          <t>Báo cáo</t>
        </is>
      </c>
      <c r="G1416" s="22" t="inlineStr">
        <is>
          <t>Chỉ tiêu phái sinh</t>
        </is>
      </c>
      <c r="H1416" s="4" t="inlineStr">
        <is>
          <t>TB</t>
        </is>
      </c>
    </row>
    <row r="1417" ht="16" customHeight="1" s="380">
      <c r="B1417" s="4" t="inlineStr">
        <is>
          <t>HSX02</t>
        </is>
      </c>
      <c r="C1417" s="334" t="n"/>
      <c r="D1417" s="334" t="inlineStr">
        <is>
          <t>Khối lượng giao dịch bán</t>
        </is>
      </c>
      <c r="F1417" s="4" t="inlineStr">
        <is>
          <t>Báo cáo</t>
        </is>
      </c>
      <c r="G1417" s="22" t="inlineStr">
        <is>
          <t>Chỉ tiêu phái sinh</t>
        </is>
      </c>
      <c r="H1417" s="4" t="inlineStr">
        <is>
          <t>TB</t>
        </is>
      </c>
    </row>
    <row r="1418" ht="16" customHeight="1" s="380">
      <c r="B1418" s="4" t="inlineStr">
        <is>
          <t>HSX02</t>
        </is>
      </c>
      <c r="C1418" s="334" t="n"/>
      <c r="D1418" s="334" t="inlineStr">
        <is>
          <t>Khối lượng mua/bán ròng</t>
        </is>
      </c>
      <c r="F1418" s="4" t="inlineStr">
        <is>
          <t>Báo cáo</t>
        </is>
      </c>
      <c r="G1418" s="22" t="inlineStr">
        <is>
          <t>Chỉ tiêu phái sinh</t>
        </is>
      </c>
      <c r="H1418" s="4" t="inlineStr">
        <is>
          <t>TB</t>
        </is>
      </c>
    </row>
    <row r="1419" ht="16" customHeight="1" s="380">
      <c r="B1419" s="4" t="inlineStr">
        <is>
          <t>HSX02</t>
        </is>
      </c>
      <c r="C1419" s="334" t="n"/>
      <c r="D1419" s="334" t="inlineStr">
        <is>
          <t>Giá trị giao dịch trái phiếu</t>
        </is>
      </c>
      <c r="F1419" s="4" t="inlineStr">
        <is>
          <t>Báo cáo</t>
        </is>
      </c>
      <c r="G1419" s="22" t="inlineStr">
        <is>
          <t>Chỉ tiêu phái sinh</t>
        </is>
      </c>
      <c r="H1419" s="4" t="inlineStr">
        <is>
          <t>TB</t>
        </is>
      </c>
    </row>
    <row r="1420" ht="16" customHeight="1" s="380">
      <c r="B1420" s="4" t="inlineStr">
        <is>
          <t>HSX02</t>
        </is>
      </c>
      <c r="C1420" s="334" t="n"/>
      <c r="D1420" s="334" t="inlineStr">
        <is>
          <t>Giá trị giao dịch mua</t>
        </is>
      </c>
      <c r="F1420" s="4" t="inlineStr">
        <is>
          <t>Báo cáo</t>
        </is>
      </c>
      <c r="G1420" s="22" t="inlineStr">
        <is>
          <t>Chỉ tiêu phái sinh</t>
        </is>
      </c>
      <c r="H1420" s="4" t="inlineStr">
        <is>
          <t>TB</t>
        </is>
      </c>
    </row>
    <row r="1421" ht="16" customHeight="1" s="380">
      <c r="B1421" s="4" t="inlineStr">
        <is>
          <t>HSX02</t>
        </is>
      </c>
      <c r="C1421" s="334" t="n"/>
      <c r="D1421" s="334" t="inlineStr">
        <is>
          <t>Giá trị giao dịch bán</t>
        </is>
      </c>
      <c r="F1421" s="4" t="inlineStr">
        <is>
          <t>Báo cáo</t>
        </is>
      </c>
      <c r="G1421" s="22" t="inlineStr">
        <is>
          <t>Chỉ tiêu phái sinh</t>
        </is>
      </c>
      <c r="H1421" s="4" t="inlineStr">
        <is>
          <t>TB</t>
        </is>
      </c>
    </row>
    <row r="1422" ht="16" customHeight="1" s="380">
      <c r="B1422" s="4" t="inlineStr">
        <is>
          <t>HSX02</t>
        </is>
      </c>
      <c r="C1422" s="334" t="n"/>
      <c r="D1422" s="334" t="inlineStr">
        <is>
          <t>Giá trị mua/bán ròng</t>
        </is>
      </c>
      <c r="F1422" s="4" t="inlineStr">
        <is>
          <t>Báo cáo</t>
        </is>
      </c>
      <c r="G1422" s="22" t="inlineStr">
        <is>
          <t>Chỉ tiêu phái sinh</t>
        </is>
      </c>
      <c r="H1422" s="4" t="inlineStr">
        <is>
          <t>TB</t>
        </is>
      </c>
    </row>
    <row r="1423" ht="16" customHeight="1" s="380">
      <c r="B1423" s="4" t="inlineStr">
        <is>
          <t>HSX02</t>
        </is>
      </c>
      <c r="C1423" s="330" t="n"/>
      <c r="D1423" s="330" t="inlineStr">
        <is>
          <t>GDNĐTNN CW</t>
        </is>
      </c>
      <c r="F1423" s="4" t="inlineStr">
        <is>
          <t>Báo cáo</t>
        </is>
      </c>
      <c r="G1423" s="22" t="inlineStr">
        <is>
          <t>Chỉ tiêu phái sinh</t>
        </is>
      </c>
      <c r="H1423" s="4" t="inlineStr">
        <is>
          <t>TB</t>
        </is>
      </c>
    </row>
    <row r="1424" ht="16" customHeight="1" s="380">
      <c r="B1424" s="4" t="inlineStr">
        <is>
          <t>HSX02</t>
        </is>
      </c>
      <c r="C1424" s="334" t="n"/>
      <c r="D1424" s="334" t="inlineStr">
        <is>
          <t>Khối lượng giao dịch CW</t>
        </is>
      </c>
      <c r="F1424" s="4" t="inlineStr">
        <is>
          <t>Báo cáo</t>
        </is>
      </c>
      <c r="G1424" s="22" t="inlineStr">
        <is>
          <t>Chỉ tiêu phái sinh</t>
        </is>
      </c>
      <c r="H1424" s="4" t="inlineStr">
        <is>
          <t>TB</t>
        </is>
      </c>
    </row>
    <row r="1425" ht="16" customHeight="1" s="380">
      <c r="B1425" s="4" t="inlineStr">
        <is>
          <t>HSX02</t>
        </is>
      </c>
      <c r="C1425" s="334" t="n"/>
      <c r="D1425" s="334" t="inlineStr">
        <is>
          <t>Khối lượng giao dịch mua</t>
        </is>
      </c>
      <c r="F1425" s="4" t="inlineStr">
        <is>
          <t>Báo cáo</t>
        </is>
      </c>
      <c r="G1425" s="22" t="inlineStr">
        <is>
          <t>Chỉ tiêu phái sinh</t>
        </is>
      </c>
      <c r="H1425" s="4" t="inlineStr">
        <is>
          <t>TB</t>
        </is>
      </c>
    </row>
    <row r="1426" ht="16" customHeight="1" s="380">
      <c r="B1426" s="4" t="inlineStr">
        <is>
          <t>HSX02</t>
        </is>
      </c>
      <c r="C1426" s="334" t="n"/>
      <c r="D1426" s="334" t="inlineStr">
        <is>
          <t>Khối lượng giao dịch bán</t>
        </is>
      </c>
      <c r="F1426" s="4" t="inlineStr">
        <is>
          <t>Báo cáo</t>
        </is>
      </c>
      <c r="G1426" s="22" t="inlineStr">
        <is>
          <t>Chỉ tiêu phái sinh</t>
        </is>
      </c>
      <c r="H1426" s="4" t="inlineStr">
        <is>
          <t>TB</t>
        </is>
      </c>
    </row>
    <row r="1427" ht="16" customHeight="1" s="380">
      <c r="B1427" s="4" t="inlineStr">
        <is>
          <t>HSX02</t>
        </is>
      </c>
      <c r="C1427" s="334" t="n"/>
      <c r="D1427" s="334" t="inlineStr">
        <is>
          <t>Khối lượng mua/bán ròng</t>
        </is>
      </c>
      <c r="F1427" s="4" t="inlineStr">
        <is>
          <t>Báo cáo</t>
        </is>
      </c>
      <c r="G1427" s="22" t="inlineStr">
        <is>
          <t>Chỉ tiêu phái sinh</t>
        </is>
      </c>
      <c r="H1427" s="4" t="inlineStr">
        <is>
          <t>TB</t>
        </is>
      </c>
    </row>
    <row r="1428" ht="16" customHeight="1" s="380">
      <c r="B1428" s="4" t="inlineStr">
        <is>
          <t>HSX02</t>
        </is>
      </c>
      <c r="C1428" s="334" t="n"/>
      <c r="D1428" s="334" t="inlineStr">
        <is>
          <t>Giá trị giao dịch CW</t>
        </is>
      </c>
      <c r="F1428" s="4" t="inlineStr">
        <is>
          <t>Báo cáo</t>
        </is>
      </c>
      <c r="G1428" s="22" t="inlineStr">
        <is>
          <t>Chỉ tiêu phái sinh</t>
        </is>
      </c>
      <c r="H1428" s="4" t="inlineStr">
        <is>
          <t>TB</t>
        </is>
      </c>
    </row>
    <row r="1429" ht="16" customHeight="1" s="380">
      <c r="B1429" s="4" t="inlineStr">
        <is>
          <t>HSX02</t>
        </is>
      </c>
      <c r="C1429" s="334" t="n"/>
      <c r="D1429" s="334" t="inlineStr">
        <is>
          <t>Giá trị giao dịch mua</t>
        </is>
      </c>
      <c r="F1429" s="4" t="inlineStr">
        <is>
          <t>Báo cáo</t>
        </is>
      </c>
      <c r="G1429" s="22" t="inlineStr">
        <is>
          <t>Chỉ tiêu phái sinh</t>
        </is>
      </c>
      <c r="H1429" s="4" t="inlineStr">
        <is>
          <t>TB</t>
        </is>
      </c>
    </row>
    <row r="1430" ht="16" customHeight="1" s="380">
      <c r="B1430" s="4" t="inlineStr">
        <is>
          <t>HSX02</t>
        </is>
      </c>
      <c r="C1430" s="334" t="n"/>
      <c r="D1430" s="334" t="inlineStr">
        <is>
          <t>Giá trị giao dịch bán</t>
        </is>
      </c>
      <c r="F1430" s="4" t="inlineStr">
        <is>
          <t>Báo cáo</t>
        </is>
      </c>
      <c r="G1430" s="22" t="inlineStr">
        <is>
          <t>Chỉ tiêu phái sinh</t>
        </is>
      </c>
      <c r="H1430" s="4" t="inlineStr">
        <is>
          <t>TB</t>
        </is>
      </c>
    </row>
    <row r="1431" ht="16" customHeight="1" s="380">
      <c r="B1431" s="4" t="inlineStr">
        <is>
          <t>HSX02</t>
        </is>
      </c>
      <c r="C1431" s="334" t="n"/>
      <c r="D1431" s="334" t="inlineStr">
        <is>
          <t>Giá trị mua/bán ròng</t>
        </is>
      </c>
      <c r="F1431" s="4" t="inlineStr">
        <is>
          <t>Báo cáo</t>
        </is>
      </c>
      <c r="G1431" s="22" t="inlineStr">
        <is>
          <t>Chỉ tiêu phái sinh</t>
        </is>
      </c>
      <c r="H1431" s="4" t="inlineStr">
        <is>
          <t>TB</t>
        </is>
      </c>
    </row>
    <row r="1432" ht="13" customHeight="1" s="380">
      <c r="B1432" s="4" t="inlineStr">
        <is>
          <t>HSX02</t>
        </is>
      </c>
      <c r="C1432" s="211" t="n"/>
      <c r="D1432" s="211" t="inlineStr">
        <is>
          <t>Số phát sinh cùng kỳ năm trước</t>
        </is>
      </c>
      <c r="F1432" s="4" t="inlineStr">
        <is>
          <t>Báo cáo</t>
        </is>
      </c>
      <c r="G1432" s="4" t="inlineStr">
        <is>
          <t>Chiều</t>
        </is>
      </c>
    </row>
    <row r="1433" ht="15" customHeight="1" s="380">
      <c r="B1433" s="4" t="inlineStr">
        <is>
          <t>HSX02</t>
        </is>
      </c>
      <c r="C1433" s="326" t="n"/>
      <c r="D1433" s="326" t="inlineStr">
        <is>
          <t>Chỉ số VN-Index</t>
        </is>
      </c>
      <c r="F1433" s="4" t="inlineStr">
        <is>
          <t>Báo cáo</t>
        </is>
      </c>
      <c r="G1433" s="4" t="inlineStr">
        <is>
          <t>Chỉ tiêu cơ sở</t>
        </is>
      </c>
      <c r="H1433" s="4" t="inlineStr">
        <is>
          <t>Dễ</t>
        </is>
      </c>
    </row>
    <row r="1434" ht="15" customHeight="1" s="380">
      <c r="B1434" s="4" t="inlineStr">
        <is>
          <t>HSX02</t>
        </is>
      </c>
      <c r="C1434" s="326" t="n"/>
      <c r="D1434" s="326" t="inlineStr">
        <is>
          <t>Giá trị chứng khoán giao dịch</t>
        </is>
      </c>
      <c r="F1434" s="4" t="inlineStr">
        <is>
          <t>Báo cáo</t>
        </is>
      </c>
      <c r="G1434" s="22" t="inlineStr">
        <is>
          <t>Chỉ tiêu phái sinh</t>
        </is>
      </c>
      <c r="H1434" s="4" t="inlineStr">
        <is>
          <t>TB</t>
        </is>
      </c>
    </row>
    <row r="1435" ht="15" customHeight="1" s="380">
      <c r="B1435" s="4" t="inlineStr">
        <is>
          <t>HSX02</t>
        </is>
      </c>
      <c r="C1435" s="328" t="n"/>
      <c r="D1435" s="328" t="inlineStr">
        <is>
          <t>Cổ phiếu niêm yết</t>
        </is>
      </c>
      <c r="F1435" s="4" t="inlineStr">
        <is>
          <t>Báo cáo</t>
        </is>
      </c>
      <c r="G1435" s="22" t="inlineStr">
        <is>
          <t>Chỉ tiêu phái sinh</t>
        </is>
      </c>
      <c r="H1435" s="4" t="inlineStr">
        <is>
          <t>TB</t>
        </is>
      </c>
    </row>
    <row r="1436" ht="15" customHeight="1" s="380">
      <c r="B1436" s="4" t="inlineStr">
        <is>
          <t>HSX02</t>
        </is>
      </c>
      <c r="C1436" s="328" t="n"/>
      <c r="D1436" s="328" t="inlineStr">
        <is>
          <t>Trái phiếu chính quyền địa phương</t>
        </is>
      </c>
      <c r="F1436" s="4" t="inlineStr">
        <is>
          <t>Báo cáo</t>
        </is>
      </c>
      <c r="G1436" s="22" t="inlineStr">
        <is>
          <t>Chỉ tiêu phái sinh</t>
        </is>
      </c>
      <c r="H1436" s="4" t="inlineStr">
        <is>
          <t>TB</t>
        </is>
      </c>
    </row>
    <row r="1437" ht="15" customHeight="1" s="380">
      <c r="B1437" s="4" t="inlineStr">
        <is>
          <t>HSX02</t>
        </is>
      </c>
      <c r="C1437" s="328" t="n"/>
      <c r="D1437" s="328" t="inlineStr">
        <is>
          <t>Trái phiếu doanh nghiệp</t>
        </is>
      </c>
      <c r="F1437" s="4" t="inlineStr">
        <is>
          <t>Báo cáo</t>
        </is>
      </c>
      <c r="G1437" s="22" t="inlineStr">
        <is>
          <t>Chỉ tiêu phái sinh</t>
        </is>
      </c>
      <c r="H1437" s="4" t="inlineStr">
        <is>
          <t>TB</t>
        </is>
      </c>
    </row>
    <row r="1438" ht="15" customHeight="1" s="380">
      <c r="B1438" s="4" t="inlineStr">
        <is>
          <t>HSX02</t>
        </is>
      </c>
      <c r="C1438" s="328" t="n"/>
      <c r="D1438" s="328" t="inlineStr">
        <is>
          <t>Chứng chỉ quỹ</t>
        </is>
      </c>
      <c r="F1438" s="4" t="inlineStr">
        <is>
          <t>Báo cáo</t>
        </is>
      </c>
      <c r="G1438" s="22" t="inlineStr">
        <is>
          <t>Chỉ tiêu phái sinh</t>
        </is>
      </c>
      <c r="H1438" s="4" t="inlineStr">
        <is>
          <t>TB</t>
        </is>
      </c>
    </row>
    <row r="1439" ht="15" customHeight="1" s="380">
      <c r="B1439" s="4" t="inlineStr">
        <is>
          <t>HSX02</t>
        </is>
      </c>
      <c r="C1439" s="328" t="n"/>
      <c r="D1439" s="328" t="inlineStr">
        <is>
          <t>ETF</t>
        </is>
      </c>
      <c r="F1439" s="4" t="inlineStr">
        <is>
          <t>Báo cáo</t>
        </is>
      </c>
      <c r="G1439" s="22" t="inlineStr">
        <is>
          <t>Chỉ tiêu phái sinh</t>
        </is>
      </c>
      <c r="H1439" s="4" t="inlineStr">
        <is>
          <t>TB</t>
        </is>
      </c>
    </row>
    <row r="1440" ht="15" customHeight="1" s="380">
      <c r="B1440" s="4" t="inlineStr">
        <is>
          <t>HSX02</t>
        </is>
      </c>
      <c r="C1440" s="328" t="n"/>
      <c r="D1440" s="328" t="inlineStr">
        <is>
          <t>Chứng quyền có bảo đảm (CW)</t>
        </is>
      </c>
      <c r="F1440" s="4" t="inlineStr">
        <is>
          <t>Báo cáo</t>
        </is>
      </c>
      <c r="G1440" s="22" t="inlineStr">
        <is>
          <t>Chỉ tiêu phái sinh</t>
        </is>
      </c>
      <c r="H1440" s="4" t="inlineStr">
        <is>
          <t>TB</t>
        </is>
      </c>
    </row>
    <row r="1441" ht="15" customHeight="1" s="380">
      <c r="B1441" s="4" t="inlineStr">
        <is>
          <t>HSX02</t>
        </is>
      </c>
      <c r="C1441" s="326" t="n"/>
      <c r="D1441" s="326" t="inlineStr">
        <is>
          <t>Khối lượng chứng khoán giao dịch</t>
        </is>
      </c>
      <c r="F1441" s="4" t="inlineStr">
        <is>
          <t>Báo cáo</t>
        </is>
      </c>
      <c r="G1441" s="22" t="inlineStr">
        <is>
          <t>Chỉ tiêu phái sinh</t>
        </is>
      </c>
      <c r="H1441" s="4" t="inlineStr">
        <is>
          <t>TB</t>
        </is>
      </c>
    </row>
    <row r="1442" ht="15" customHeight="1" s="380">
      <c r="B1442" s="4" t="inlineStr">
        <is>
          <t>HSX02</t>
        </is>
      </c>
      <c r="C1442" s="328" t="n"/>
      <c r="D1442" s="328" t="inlineStr">
        <is>
          <t>Cổ phiếu niêm yết</t>
        </is>
      </c>
      <c r="F1442" s="4" t="inlineStr">
        <is>
          <t>Báo cáo</t>
        </is>
      </c>
      <c r="G1442" s="22" t="inlineStr">
        <is>
          <t>Chỉ tiêu phái sinh</t>
        </is>
      </c>
      <c r="H1442" s="4" t="inlineStr">
        <is>
          <t>TB</t>
        </is>
      </c>
    </row>
    <row r="1443" ht="15" customHeight="1" s="380">
      <c r="B1443" s="4" t="inlineStr">
        <is>
          <t>HSX02</t>
        </is>
      </c>
      <c r="C1443" s="328" t="n"/>
      <c r="D1443" s="328" t="inlineStr">
        <is>
          <t>Trái phiếu chính quyền địa phương</t>
        </is>
      </c>
      <c r="F1443" s="4" t="inlineStr">
        <is>
          <t>Báo cáo</t>
        </is>
      </c>
      <c r="G1443" s="22" t="inlineStr">
        <is>
          <t>Chỉ tiêu phái sinh</t>
        </is>
      </c>
      <c r="H1443" s="4" t="inlineStr">
        <is>
          <t>TB</t>
        </is>
      </c>
    </row>
    <row r="1444" ht="15" customHeight="1" s="380">
      <c r="B1444" s="4" t="inlineStr">
        <is>
          <t>HSX02</t>
        </is>
      </c>
      <c r="C1444" s="328" t="n"/>
      <c r="D1444" s="328" t="inlineStr">
        <is>
          <t>Trái phiếu doanh nghiệp</t>
        </is>
      </c>
      <c r="F1444" s="4" t="inlineStr">
        <is>
          <t>Báo cáo</t>
        </is>
      </c>
      <c r="G1444" s="22" t="inlineStr">
        <is>
          <t>Chỉ tiêu phái sinh</t>
        </is>
      </c>
      <c r="H1444" s="4" t="inlineStr">
        <is>
          <t>TB</t>
        </is>
      </c>
    </row>
    <row r="1445" ht="15" customHeight="1" s="380">
      <c r="B1445" s="4" t="inlineStr">
        <is>
          <t>HSX02</t>
        </is>
      </c>
      <c r="C1445" s="328" t="n"/>
      <c r="D1445" s="328" t="inlineStr">
        <is>
          <t>Chứng chỉ quỹ</t>
        </is>
      </c>
      <c r="F1445" s="4" t="inlineStr">
        <is>
          <t>Báo cáo</t>
        </is>
      </c>
      <c r="G1445" s="22" t="inlineStr">
        <is>
          <t>Chỉ tiêu phái sinh</t>
        </is>
      </c>
      <c r="H1445" s="4" t="inlineStr">
        <is>
          <t>TB</t>
        </is>
      </c>
    </row>
    <row r="1446" ht="15" customHeight="1" s="380">
      <c r="B1446" s="4" t="inlineStr">
        <is>
          <t>HSX02</t>
        </is>
      </c>
      <c r="C1446" s="328" t="n"/>
      <c r="D1446" s="328" t="inlineStr">
        <is>
          <t>ETF</t>
        </is>
      </c>
      <c r="F1446" s="4" t="inlineStr">
        <is>
          <t>Báo cáo</t>
        </is>
      </c>
      <c r="G1446" s="22" t="inlineStr">
        <is>
          <t>Chỉ tiêu phái sinh</t>
        </is>
      </c>
      <c r="H1446" s="4" t="inlineStr">
        <is>
          <t>TB</t>
        </is>
      </c>
    </row>
    <row r="1447" ht="15" customHeight="1" s="380">
      <c r="B1447" s="4" t="inlineStr">
        <is>
          <t>HSX02</t>
        </is>
      </c>
      <c r="C1447" s="328" t="n"/>
      <c r="D1447" s="328" t="inlineStr">
        <is>
          <t>CW</t>
        </is>
      </c>
      <c r="F1447" s="4" t="inlineStr">
        <is>
          <t>Báo cáo</t>
        </is>
      </c>
      <c r="G1447" s="22" t="inlineStr">
        <is>
          <t>Chỉ tiêu phái sinh</t>
        </is>
      </c>
      <c r="H1447" s="4" t="inlineStr">
        <is>
          <t>TB</t>
        </is>
      </c>
    </row>
    <row r="1448" ht="15" customHeight="1" s="380">
      <c r="B1448" s="4" t="inlineStr">
        <is>
          <t>HSX02</t>
        </is>
      </c>
      <c r="C1448" s="326" t="n"/>
      <c r="D1448" s="326" t="inlineStr">
        <is>
          <t>Khối lượng chứng khoán niêm yết</t>
        </is>
      </c>
      <c r="F1448" s="4" t="inlineStr">
        <is>
          <t>Báo cáo</t>
        </is>
      </c>
      <c r="G1448" s="22" t="inlineStr">
        <is>
          <t>Chỉ tiêu phái sinh</t>
        </is>
      </c>
      <c r="H1448" s="4" t="inlineStr">
        <is>
          <t>TB</t>
        </is>
      </c>
    </row>
    <row r="1449" ht="15" customHeight="1" s="380">
      <c r="B1449" s="4" t="inlineStr">
        <is>
          <t>HSX02</t>
        </is>
      </c>
      <c r="C1449" s="328" t="n"/>
      <c r="D1449" s="328" t="inlineStr">
        <is>
          <t>Cổ phiếu niêm yết</t>
        </is>
      </c>
      <c r="F1449" s="4" t="inlineStr">
        <is>
          <t>Báo cáo</t>
        </is>
      </c>
      <c r="G1449" s="22" t="inlineStr">
        <is>
          <t>Chỉ tiêu phái sinh</t>
        </is>
      </c>
      <c r="H1449" s="4" t="inlineStr">
        <is>
          <t>TB</t>
        </is>
      </c>
    </row>
    <row r="1450" ht="15" customHeight="1" s="380">
      <c r="B1450" s="4" t="inlineStr">
        <is>
          <t>HSX02</t>
        </is>
      </c>
      <c r="C1450" s="328" t="n"/>
      <c r="D1450" s="328" t="inlineStr">
        <is>
          <t>Trái phiếu chính quyền địa phương</t>
        </is>
      </c>
      <c r="F1450" s="4" t="inlineStr">
        <is>
          <t>Báo cáo</t>
        </is>
      </c>
      <c r="G1450" s="22" t="inlineStr">
        <is>
          <t>Chỉ tiêu phái sinh</t>
        </is>
      </c>
      <c r="H1450" s="4" t="inlineStr">
        <is>
          <t>TB</t>
        </is>
      </c>
    </row>
    <row r="1451" ht="15" customHeight="1" s="380">
      <c r="B1451" s="4" t="inlineStr">
        <is>
          <t>HSX02</t>
        </is>
      </c>
      <c r="C1451" s="328" t="n"/>
      <c r="D1451" s="328" t="inlineStr">
        <is>
          <t>Trái phiếu doanh nghiệp</t>
        </is>
      </c>
      <c r="F1451" s="4" t="inlineStr">
        <is>
          <t>Báo cáo</t>
        </is>
      </c>
      <c r="G1451" s="22" t="inlineStr">
        <is>
          <t>Chỉ tiêu phái sinh</t>
        </is>
      </c>
      <c r="H1451" s="4" t="inlineStr">
        <is>
          <t>TB</t>
        </is>
      </c>
    </row>
    <row r="1452" ht="15" customHeight="1" s="380">
      <c r="B1452" s="4" t="inlineStr">
        <is>
          <t>HSX02</t>
        </is>
      </c>
      <c r="C1452" s="328" t="n"/>
      <c r="D1452" s="328" t="inlineStr">
        <is>
          <t>Chứng chỉ quỹ</t>
        </is>
      </c>
      <c r="F1452" s="4" t="inlineStr">
        <is>
          <t>Báo cáo</t>
        </is>
      </c>
      <c r="G1452" s="22" t="inlineStr">
        <is>
          <t>Chỉ tiêu phái sinh</t>
        </is>
      </c>
      <c r="H1452" s="4" t="inlineStr">
        <is>
          <t>TB</t>
        </is>
      </c>
    </row>
    <row r="1453" ht="15" customHeight="1" s="380">
      <c r="B1453" s="4" t="inlineStr">
        <is>
          <t>HSX02</t>
        </is>
      </c>
      <c r="C1453" s="328" t="n"/>
      <c r="D1453" s="328" t="inlineStr">
        <is>
          <t>ETF</t>
        </is>
      </c>
      <c r="F1453" s="4" t="inlineStr">
        <is>
          <t>Báo cáo</t>
        </is>
      </c>
      <c r="G1453" s="22" t="inlineStr">
        <is>
          <t>Chỉ tiêu phái sinh</t>
        </is>
      </c>
      <c r="H1453" s="4" t="inlineStr">
        <is>
          <t>TB</t>
        </is>
      </c>
    </row>
    <row r="1454" ht="15" customHeight="1" s="380">
      <c r="B1454" s="4" t="inlineStr">
        <is>
          <t>HSX02</t>
        </is>
      </c>
      <c r="C1454" s="328" t="n"/>
      <c r="D1454" s="328" t="inlineStr">
        <is>
          <t>CW</t>
        </is>
      </c>
      <c r="F1454" s="4" t="inlineStr">
        <is>
          <t>Báo cáo</t>
        </is>
      </c>
      <c r="G1454" s="22" t="inlineStr">
        <is>
          <t>Chỉ tiêu phái sinh</t>
        </is>
      </c>
      <c r="H1454" s="4" t="inlineStr">
        <is>
          <t>TB</t>
        </is>
      </c>
    </row>
    <row r="1455" ht="15" customHeight="1" s="380">
      <c r="B1455" s="4" t="inlineStr">
        <is>
          <t>HSX02</t>
        </is>
      </c>
      <c r="C1455" s="326" t="n"/>
      <c r="D1455" s="326" t="inlineStr">
        <is>
          <t>Giá trị chứng khoán niêm yết</t>
        </is>
      </c>
      <c r="F1455" s="4" t="inlineStr">
        <is>
          <t>Báo cáo</t>
        </is>
      </c>
      <c r="G1455" s="22" t="inlineStr">
        <is>
          <t>Chỉ tiêu phái sinh</t>
        </is>
      </c>
      <c r="H1455" s="4" t="inlineStr">
        <is>
          <t>TB</t>
        </is>
      </c>
    </row>
    <row r="1456" ht="15" customHeight="1" s="380">
      <c r="B1456" s="4" t="inlineStr">
        <is>
          <t>HSX02</t>
        </is>
      </c>
      <c r="C1456" s="328" t="n"/>
      <c r="D1456" s="328" t="inlineStr">
        <is>
          <t>Cổ phiếu niêm yết</t>
        </is>
      </c>
      <c r="F1456" s="4" t="inlineStr">
        <is>
          <t>Báo cáo</t>
        </is>
      </c>
      <c r="G1456" s="22" t="inlineStr">
        <is>
          <t>Chỉ tiêu phái sinh</t>
        </is>
      </c>
      <c r="H1456" s="4" t="inlineStr">
        <is>
          <t>TB</t>
        </is>
      </c>
    </row>
    <row r="1457" ht="15" customHeight="1" s="380">
      <c r="B1457" s="4" t="inlineStr">
        <is>
          <t>HSX02</t>
        </is>
      </c>
      <c r="C1457" s="328" t="n"/>
      <c r="D1457" s="328" t="inlineStr">
        <is>
          <t>Trái phiếu chính quyền địa phương</t>
        </is>
      </c>
      <c r="F1457" s="4" t="inlineStr">
        <is>
          <t>Báo cáo</t>
        </is>
      </c>
      <c r="G1457" s="22" t="inlineStr">
        <is>
          <t>Chỉ tiêu phái sinh</t>
        </is>
      </c>
      <c r="H1457" s="4" t="inlineStr">
        <is>
          <t>TB</t>
        </is>
      </c>
    </row>
    <row r="1458" ht="15" customHeight="1" s="380">
      <c r="B1458" s="4" t="inlineStr">
        <is>
          <t>HSX02</t>
        </is>
      </c>
      <c r="C1458" s="328" t="n"/>
      <c r="D1458" s="328" t="inlineStr">
        <is>
          <t>Trái phiếu doanh nghiệp</t>
        </is>
      </c>
      <c r="F1458" s="4" t="inlineStr">
        <is>
          <t>Báo cáo</t>
        </is>
      </c>
      <c r="G1458" s="22" t="inlineStr">
        <is>
          <t>Chỉ tiêu phái sinh</t>
        </is>
      </c>
      <c r="H1458" s="4" t="inlineStr">
        <is>
          <t>TB</t>
        </is>
      </c>
    </row>
    <row r="1459" ht="15" customHeight="1" s="380">
      <c r="B1459" s="4" t="inlineStr">
        <is>
          <t>HSX02</t>
        </is>
      </c>
      <c r="C1459" s="328" t="n"/>
      <c r="D1459" s="328" t="inlineStr">
        <is>
          <t>Chứng chỉ quỹ</t>
        </is>
      </c>
      <c r="F1459" s="4" t="inlineStr">
        <is>
          <t>Báo cáo</t>
        </is>
      </c>
      <c r="G1459" s="22" t="inlineStr">
        <is>
          <t>Chỉ tiêu phái sinh</t>
        </is>
      </c>
      <c r="H1459" s="4" t="inlineStr">
        <is>
          <t>TB</t>
        </is>
      </c>
    </row>
    <row r="1460" ht="15" customHeight="1" s="380">
      <c r="B1460" s="4" t="inlineStr">
        <is>
          <t>HSX02</t>
        </is>
      </c>
      <c r="C1460" s="328" t="n"/>
      <c r="D1460" s="328" t="inlineStr">
        <is>
          <t>ETF</t>
        </is>
      </c>
      <c r="F1460" s="4" t="inlineStr">
        <is>
          <t>Báo cáo</t>
        </is>
      </c>
      <c r="G1460" s="22" t="inlineStr">
        <is>
          <t>Chỉ tiêu phái sinh</t>
        </is>
      </c>
      <c r="H1460" s="4" t="inlineStr">
        <is>
          <t>TB</t>
        </is>
      </c>
    </row>
    <row r="1461" ht="15" customHeight="1" s="380">
      <c r="B1461" s="4" t="inlineStr">
        <is>
          <t>HSX02</t>
        </is>
      </c>
      <c r="C1461" s="328" t="n"/>
      <c r="D1461" s="328" t="inlineStr">
        <is>
          <t>CW</t>
        </is>
      </c>
      <c r="F1461" s="4" t="inlineStr">
        <is>
          <t>Báo cáo</t>
        </is>
      </c>
      <c r="G1461" s="22" t="inlineStr">
        <is>
          <t>Chỉ tiêu phái sinh</t>
        </is>
      </c>
      <c r="H1461" s="4" t="inlineStr">
        <is>
          <t>TB</t>
        </is>
      </c>
    </row>
    <row r="1462" ht="16" customHeight="1" s="380">
      <c r="B1462" s="4" t="inlineStr">
        <is>
          <t>HSX02</t>
        </is>
      </c>
      <c r="C1462" s="330" t="n"/>
      <c r="D1462" s="330" t="inlineStr">
        <is>
          <t>Vốn hóa thị trường cổ phiếu</t>
        </is>
      </c>
      <c r="F1462" s="4" t="inlineStr">
        <is>
          <t>Báo cáo</t>
        </is>
      </c>
      <c r="G1462" s="22" t="inlineStr">
        <is>
          <t>Chỉ tiêu phái sinh</t>
        </is>
      </c>
      <c r="H1462" s="4" t="inlineStr">
        <is>
          <t>TB</t>
        </is>
      </c>
    </row>
    <row r="1463" ht="16" customHeight="1" s="380">
      <c r="B1463" s="4" t="inlineStr">
        <is>
          <t>HSX02</t>
        </is>
      </c>
      <c r="C1463" s="330" t="n"/>
      <c r="D1463" s="330" t="inlineStr">
        <is>
          <t>Khối lượng chứng khoán niêm yết mới</t>
        </is>
      </c>
      <c r="F1463" s="4" t="inlineStr">
        <is>
          <t>Báo cáo</t>
        </is>
      </c>
      <c r="G1463" s="22" t="inlineStr">
        <is>
          <t>Chỉ tiêu phái sinh</t>
        </is>
      </c>
      <c r="H1463" s="4" t="inlineStr">
        <is>
          <t>TB</t>
        </is>
      </c>
    </row>
    <row r="1464" ht="15" customHeight="1" s="380">
      <c r="B1464" s="4" t="inlineStr">
        <is>
          <t>HSX02</t>
        </is>
      </c>
      <c r="C1464" s="328" t="n"/>
      <c r="D1464" s="328" t="inlineStr">
        <is>
          <t>Cổ phiếu niêm yết</t>
        </is>
      </c>
      <c r="F1464" s="4" t="inlineStr">
        <is>
          <t>Báo cáo</t>
        </is>
      </c>
      <c r="G1464" s="22" t="inlineStr">
        <is>
          <t>Chỉ tiêu phái sinh</t>
        </is>
      </c>
      <c r="H1464" s="4" t="inlineStr">
        <is>
          <t>TB</t>
        </is>
      </c>
    </row>
    <row r="1465" ht="15" customHeight="1" s="380">
      <c r="B1465" s="4" t="inlineStr">
        <is>
          <t>HSX02</t>
        </is>
      </c>
      <c r="C1465" s="328" t="n"/>
      <c r="D1465" s="328" t="inlineStr">
        <is>
          <t>Trái phiếu chính quyền địa phương</t>
        </is>
      </c>
      <c r="F1465" s="4" t="inlineStr">
        <is>
          <t>Báo cáo</t>
        </is>
      </c>
      <c r="G1465" s="22" t="inlineStr">
        <is>
          <t>Chỉ tiêu phái sinh</t>
        </is>
      </c>
      <c r="H1465" s="4" t="inlineStr">
        <is>
          <t>TB</t>
        </is>
      </c>
    </row>
    <row r="1466" ht="15" customHeight="1" s="380">
      <c r="B1466" s="4" t="inlineStr">
        <is>
          <t>HSX02</t>
        </is>
      </c>
      <c r="C1466" s="328" t="n"/>
      <c r="D1466" s="328" t="inlineStr">
        <is>
          <t>Trái phiếu doanh nghiệp</t>
        </is>
      </c>
      <c r="F1466" s="4" t="inlineStr">
        <is>
          <t>Báo cáo</t>
        </is>
      </c>
      <c r="G1466" s="22" t="inlineStr">
        <is>
          <t>Chỉ tiêu phái sinh</t>
        </is>
      </c>
      <c r="H1466" s="4" t="inlineStr">
        <is>
          <t>TB</t>
        </is>
      </c>
    </row>
    <row r="1467" ht="15" customHeight="1" s="380">
      <c r="B1467" s="4" t="inlineStr">
        <is>
          <t>HSX02</t>
        </is>
      </c>
      <c r="C1467" s="328" t="n"/>
      <c r="D1467" s="328" t="inlineStr">
        <is>
          <t>Chứng chỉ quỹ</t>
        </is>
      </c>
      <c r="F1467" s="4" t="inlineStr">
        <is>
          <t>Báo cáo</t>
        </is>
      </c>
      <c r="G1467" s="22" t="inlineStr">
        <is>
          <t>Chỉ tiêu phái sinh</t>
        </is>
      </c>
      <c r="H1467" s="4" t="inlineStr">
        <is>
          <t>TB</t>
        </is>
      </c>
    </row>
    <row r="1468" ht="15" customHeight="1" s="380">
      <c r="B1468" s="4" t="inlineStr">
        <is>
          <t>HSX02</t>
        </is>
      </c>
      <c r="C1468" s="328" t="n"/>
      <c r="D1468" s="328" t="inlineStr">
        <is>
          <t>ETF</t>
        </is>
      </c>
      <c r="F1468" s="4" t="inlineStr">
        <is>
          <t>Báo cáo</t>
        </is>
      </c>
      <c r="G1468" s="22" t="inlineStr">
        <is>
          <t>Chỉ tiêu phái sinh</t>
        </is>
      </c>
      <c r="H1468" s="4" t="inlineStr">
        <is>
          <t>TB</t>
        </is>
      </c>
    </row>
    <row r="1469" ht="15" customHeight="1" s="380">
      <c r="B1469" s="4" t="inlineStr">
        <is>
          <t>HSX02</t>
        </is>
      </c>
      <c r="C1469" s="328" t="n"/>
      <c r="D1469" s="328" t="inlineStr">
        <is>
          <t>CW</t>
        </is>
      </c>
      <c r="F1469" s="4" t="inlineStr">
        <is>
          <t>Báo cáo</t>
        </is>
      </c>
      <c r="G1469" s="22" t="inlineStr">
        <is>
          <t>Chỉ tiêu phái sinh</t>
        </is>
      </c>
      <c r="H1469" s="4" t="inlineStr">
        <is>
          <t>TB</t>
        </is>
      </c>
    </row>
    <row r="1470" ht="16" customHeight="1" s="380">
      <c r="B1470" s="4" t="inlineStr">
        <is>
          <t>HSX02</t>
        </is>
      </c>
      <c r="C1470" s="330" t="n"/>
      <c r="D1470" s="330" t="inlineStr">
        <is>
          <t>Giá trị chứng khoán niêm yết mới</t>
        </is>
      </c>
      <c r="F1470" s="4" t="inlineStr">
        <is>
          <t>Báo cáo</t>
        </is>
      </c>
      <c r="G1470" s="22" t="inlineStr">
        <is>
          <t>Chỉ tiêu phái sinh</t>
        </is>
      </c>
      <c r="H1470" s="4" t="inlineStr">
        <is>
          <t>TB</t>
        </is>
      </c>
    </row>
    <row r="1471" ht="15" customHeight="1" s="380">
      <c r="B1471" s="4" t="inlineStr">
        <is>
          <t>HSX02</t>
        </is>
      </c>
      <c r="C1471" s="328" t="n"/>
      <c r="D1471" s="328" t="inlineStr">
        <is>
          <t>Cổ phiếu niêm yết</t>
        </is>
      </c>
      <c r="F1471" s="4" t="inlineStr">
        <is>
          <t>Báo cáo</t>
        </is>
      </c>
      <c r="G1471" s="22" t="inlineStr">
        <is>
          <t>Chỉ tiêu phái sinh</t>
        </is>
      </c>
      <c r="H1471" s="4" t="inlineStr">
        <is>
          <t>TB</t>
        </is>
      </c>
    </row>
    <row r="1472" ht="15" customHeight="1" s="380">
      <c r="B1472" s="4" t="inlineStr">
        <is>
          <t>HSX02</t>
        </is>
      </c>
      <c r="C1472" s="328" t="n"/>
      <c r="D1472" s="328" t="inlineStr">
        <is>
          <t>Trái phiếu chính quyền địa phương</t>
        </is>
      </c>
      <c r="F1472" s="4" t="inlineStr">
        <is>
          <t>Báo cáo</t>
        </is>
      </c>
      <c r="G1472" s="22" t="inlineStr">
        <is>
          <t>Chỉ tiêu phái sinh</t>
        </is>
      </c>
      <c r="H1472" s="4" t="inlineStr">
        <is>
          <t>TB</t>
        </is>
      </c>
    </row>
    <row r="1473" ht="15" customHeight="1" s="380">
      <c r="B1473" s="4" t="inlineStr">
        <is>
          <t>HSX02</t>
        </is>
      </c>
      <c r="C1473" s="328" t="n"/>
      <c r="D1473" s="328" t="inlineStr">
        <is>
          <t>Trái phiếu doanh nghiệp</t>
        </is>
      </c>
      <c r="F1473" s="4" t="inlineStr">
        <is>
          <t>Báo cáo</t>
        </is>
      </c>
      <c r="G1473" s="22" t="inlineStr">
        <is>
          <t>Chỉ tiêu phái sinh</t>
        </is>
      </c>
      <c r="H1473" s="4" t="inlineStr">
        <is>
          <t>TB</t>
        </is>
      </c>
    </row>
    <row r="1474" ht="15" customHeight="1" s="380">
      <c r="B1474" s="4" t="inlineStr">
        <is>
          <t>HSX02</t>
        </is>
      </c>
      <c r="C1474" s="328" t="n"/>
      <c r="D1474" s="328" t="inlineStr">
        <is>
          <t>Chứng chỉ quỹ</t>
        </is>
      </c>
      <c r="F1474" s="4" t="inlineStr">
        <is>
          <t>Báo cáo</t>
        </is>
      </c>
      <c r="G1474" s="22" t="inlineStr">
        <is>
          <t>Chỉ tiêu phái sinh</t>
        </is>
      </c>
      <c r="H1474" s="4" t="inlineStr">
        <is>
          <t>TB</t>
        </is>
      </c>
    </row>
    <row r="1475" ht="15" customHeight="1" s="380">
      <c r="B1475" s="4" t="inlineStr">
        <is>
          <t>HSX02</t>
        </is>
      </c>
      <c r="C1475" s="328" t="n"/>
      <c r="D1475" s="328" t="inlineStr">
        <is>
          <t>ETF</t>
        </is>
      </c>
      <c r="F1475" s="4" t="inlineStr">
        <is>
          <t>Báo cáo</t>
        </is>
      </c>
      <c r="G1475" s="22" t="inlineStr">
        <is>
          <t>Chỉ tiêu phái sinh</t>
        </is>
      </c>
      <c r="H1475" s="4" t="inlineStr">
        <is>
          <t>TB</t>
        </is>
      </c>
    </row>
    <row r="1476" ht="15" customHeight="1" s="380">
      <c r="B1476" s="4" t="inlineStr">
        <is>
          <t>HSX02</t>
        </is>
      </c>
      <c r="C1476" s="328" t="n"/>
      <c r="D1476" s="328" t="inlineStr">
        <is>
          <t>CW</t>
        </is>
      </c>
      <c r="F1476" s="4" t="inlineStr">
        <is>
          <t>Báo cáo</t>
        </is>
      </c>
      <c r="G1476" s="22" t="inlineStr">
        <is>
          <t>Chỉ tiêu phái sinh</t>
        </is>
      </c>
      <c r="H1476" s="4" t="inlineStr">
        <is>
          <t>TB</t>
        </is>
      </c>
    </row>
    <row r="1477" ht="16" customHeight="1" s="380">
      <c r="B1477" s="4" t="inlineStr">
        <is>
          <t>HSX02</t>
        </is>
      </c>
      <c r="C1477" s="330" t="n"/>
      <c r="D1477" s="330" t="inlineStr">
        <is>
          <t>Khối lượng chứng khoán niêm yết bổ sung</t>
        </is>
      </c>
      <c r="F1477" s="4" t="inlineStr">
        <is>
          <t>Báo cáo</t>
        </is>
      </c>
      <c r="G1477" s="22" t="inlineStr">
        <is>
          <t>Chỉ tiêu phái sinh</t>
        </is>
      </c>
      <c r="H1477" s="4" t="inlineStr">
        <is>
          <t>TB</t>
        </is>
      </c>
    </row>
    <row r="1478" ht="15" customHeight="1" s="380">
      <c r="B1478" s="4" t="inlineStr">
        <is>
          <t>HSX02</t>
        </is>
      </c>
      <c r="C1478" s="328" t="n"/>
      <c r="D1478" s="328" t="inlineStr">
        <is>
          <t>Cổ phiếu niêm yết</t>
        </is>
      </c>
      <c r="F1478" s="4" t="inlineStr">
        <is>
          <t>Báo cáo</t>
        </is>
      </c>
      <c r="G1478" s="22" t="inlineStr">
        <is>
          <t>Chỉ tiêu phái sinh</t>
        </is>
      </c>
      <c r="H1478" s="4" t="inlineStr">
        <is>
          <t>TB</t>
        </is>
      </c>
    </row>
    <row r="1479" ht="15" customHeight="1" s="380">
      <c r="B1479" s="4" t="inlineStr">
        <is>
          <t>HSX02</t>
        </is>
      </c>
      <c r="C1479" s="328" t="n"/>
      <c r="D1479" s="328" t="inlineStr">
        <is>
          <t>Trái phiếu chính quyền địa phương</t>
        </is>
      </c>
      <c r="F1479" s="4" t="inlineStr">
        <is>
          <t>Báo cáo</t>
        </is>
      </c>
      <c r="G1479" s="22" t="inlineStr">
        <is>
          <t>Chỉ tiêu phái sinh</t>
        </is>
      </c>
      <c r="H1479" s="4" t="inlineStr">
        <is>
          <t>TB</t>
        </is>
      </c>
    </row>
    <row r="1480" ht="15" customHeight="1" s="380">
      <c r="B1480" s="4" t="inlineStr">
        <is>
          <t>HSX02</t>
        </is>
      </c>
      <c r="C1480" s="328" t="n"/>
      <c r="D1480" s="328" t="inlineStr">
        <is>
          <t>Trái phiếu doanh nghiệp</t>
        </is>
      </c>
      <c r="F1480" s="4" t="inlineStr">
        <is>
          <t>Báo cáo</t>
        </is>
      </c>
      <c r="G1480" s="22" t="inlineStr">
        <is>
          <t>Chỉ tiêu phái sinh</t>
        </is>
      </c>
      <c r="H1480" s="4" t="inlineStr">
        <is>
          <t>TB</t>
        </is>
      </c>
    </row>
    <row r="1481" ht="15" customHeight="1" s="380">
      <c r="B1481" s="4" t="inlineStr">
        <is>
          <t>HSX02</t>
        </is>
      </c>
      <c r="C1481" s="328" t="n"/>
      <c r="D1481" s="328" t="inlineStr">
        <is>
          <t>Chứng chỉ quỹ</t>
        </is>
      </c>
      <c r="F1481" s="4" t="inlineStr">
        <is>
          <t>Báo cáo</t>
        </is>
      </c>
      <c r="G1481" s="22" t="inlineStr">
        <is>
          <t>Chỉ tiêu phái sinh</t>
        </is>
      </c>
      <c r="H1481" s="4" t="inlineStr">
        <is>
          <t>TB</t>
        </is>
      </c>
    </row>
    <row r="1482" ht="15" customHeight="1" s="380">
      <c r="B1482" s="4" t="inlineStr">
        <is>
          <t>HSX02</t>
        </is>
      </c>
      <c r="C1482" s="328" t="n"/>
      <c r="D1482" s="328" t="inlineStr">
        <is>
          <t>ETF</t>
        </is>
      </c>
      <c r="F1482" s="4" t="inlineStr">
        <is>
          <t>Báo cáo</t>
        </is>
      </c>
      <c r="G1482" s="22" t="inlineStr">
        <is>
          <t>Chỉ tiêu phái sinh</t>
        </is>
      </c>
      <c r="H1482" s="4" t="inlineStr">
        <is>
          <t>TB</t>
        </is>
      </c>
    </row>
    <row r="1483" ht="15" customHeight="1" s="380">
      <c r="B1483" s="4" t="inlineStr">
        <is>
          <t>HSX02</t>
        </is>
      </c>
      <c r="C1483" s="328" t="n"/>
      <c r="D1483" s="328" t="inlineStr">
        <is>
          <t>CW</t>
        </is>
      </c>
      <c r="F1483" s="4" t="inlineStr">
        <is>
          <t>Báo cáo</t>
        </is>
      </c>
      <c r="G1483" s="22" t="inlineStr">
        <is>
          <t>Chỉ tiêu phái sinh</t>
        </is>
      </c>
      <c r="H1483" s="4" t="inlineStr">
        <is>
          <t>TB</t>
        </is>
      </c>
    </row>
    <row r="1484" ht="16" customHeight="1" s="380">
      <c r="B1484" s="4" t="inlineStr">
        <is>
          <t>HSX02</t>
        </is>
      </c>
      <c r="C1484" s="330" t="n"/>
      <c r="D1484" s="330" t="inlineStr">
        <is>
          <t>Giá trị chứng khoán niêm yết bổ sung</t>
        </is>
      </c>
      <c r="F1484" s="4" t="inlineStr">
        <is>
          <t>Báo cáo</t>
        </is>
      </c>
      <c r="G1484" s="22" t="inlineStr">
        <is>
          <t>Chỉ tiêu phái sinh</t>
        </is>
      </c>
      <c r="H1484" s="4" t="inlineStr">
        <is>
          <t>TB</t>
        </is>
      </c>
    </row>
    <row r="1485" ht="15" customHeight="1" s="380">
      <c r="B1485" s="4" t="inlineStr">
        <is>
          <t>HSX02</t>
        </is>
      </c>
      <c r="C1485" s="328" t="n"/>
      <c r="D1485" s="328" t="inlineStr">
        <is>
          <t>Cổ phiếu niêm yết</t>
        </is>
      </c>
      <c r="F1485" s="4" t="inlineStr">
        <is>
          <t>Báo cáo</t>
        </is>
      </c>
      <c r="G1485" s="22" t="inlineStr">
        <is>
          <t>Chỉ tiêu phái sinh</t>
        </is>
      </c>
      <c r="H1485" s="4" t="inlineStr">
        <is>
          <t>TB</t>
        </is>
      </c>
    </row>
    <row r="1486" ht="15" customHeight="1" s="380">
      <c r="B1486" s="4" t="inlineStr">
        <is>
          <t>HSX02</t>
        </is>
      </c>
      <c r="C1486" s="328" t="n"/>
      <c r="D1486" s="328" t="inlineStr">
        <is>
          <t>Trái phiếu chính quyền địa phương</t>
        </is>
      </c>
      <c r="F1486" s="4" t="inlineStr">
        <is>
          <t>Báo cáo</t>
        </is>
      </c>
      <c r="G1486" s="22" t="inlineStr">
        <is>
          <t>Chỉ tiêu phái sinh</t>
        </is>
      </c>
      <c r="H1486" s="4" t="inlineStr">
        <is>
          <t>TB</t>
        </is>
      </c>
    </row>
    <row r="1487" ht="15" customHeight="1" s="380">
      <c r="B1487" s="4" t="inlineStr">
        <is>
          <t>HSX02</t>
        </is>
      </c>
      <c r="C1487" s="328" t="n"/>
      <c r="D1487" s="328" t="inlineStr">
        <is>
          <t>Trái phiếu doanh nghiệp</t>
        </is>
      </c>
      <c r="F1487" s="4" t="inlineStr">
        <is>
          <t>Báo cáo</t>
        </is>
      </c>
      <c r="G1487" s="22" t="inlineStr">
        <is>
          <t>Chỉ tiêu phái sinh</t>
        </is>
      </c>
      <c r="H1487" s="4" t="inlineStr">
        <is>
          <t>TB</t>
        </is>
      </c>
    </row>
    <row r="1488" ht="15" customHeight="1" s="380">
      <c r="B1488" s="4" t="inlineStr">
        <is>
          <t>HSX02</t>
        </is>
      </c>
      <c r="C1488" s="328" t="n"/>
      <c r="D1488" s="328" t="inlineStr">
        <is>
          <t>Chứng chỉ quỹ</t>
        </is>
      </c>
      <c r="F1488" s="4" t="inlineStr">
        <is>
          <t>Báo cáo</t>
        </is>
      </c>
      <c r="G1488" s="22" t="inlineStr">
        <is>
          <t>Chỉ tiêu phái sinh</t>
        </is>
      </c>
      <c r="H1488" s="4" t="inlineStr">
        <is>
          <t>TB</t>
        </is>
      </c>
    </row>
    <row r="1489" ht="15" customHeight="1" s="380">
      <c r="B1489" s="4" t="inlineStr">
        <is>
          <t>HSX02</t>
        </is>
      </c>
      <c r="C1489" s="328" t="n"/>
      <c r="D1489" s="328" t="inlineStr">
        <is>
          <t>ETF</t>
        </is>
      </c>
      <c r="F1489" s="4" t="inlineStr">
        <is>
          <t>Báo cáo</t>
        </is>
      </c>
      <c r="G1489" s="22" t="inlineStr">
        <is>
          <t>Chỉ tiêu phái sinh</t>
        </is>
      </c>
      <c r="H1489" s="4" t="inlineStr">
        <is>
          <t>TB</t>
        </is>
      </c>
    </row>
    <row r="1490" ht="15" customHeight="1" s="380">
      <c r="B1490" s="4" t="inlineStr">
        <is>
          <t>HSX02</t>
        </is>
      </c>
      <c r="C1490" s="328" t="n"/>
      <c r="D1490" s="328" t="inlineStr">
        <is>
          <t>CW</t>
        </is>
      </c>
      <c r="F1490" s="4" t="inlineStr">
        <is>
          <t>Báo cáo</t>
        </is>
      </c>
      <c r="G1490" s="22" t="inlineStr">
        <is>
          <t>Chỉ tiêu phái sinh</t>
        </is>
      </c>
      <c r="H1490" s="4" t="inlineStr">
        <is>
          <t>TB</t>
        </is>
      </c>
    </row>
    <row r="1491" ht="16" customHeight="1" s="380">
      <c r="B1491" s="4" t="inlineStr">
        <is>
          <t>HSX02</t>
        </is>
      </c>
      <c r="C1491" s="330" t="n"/>
      <c r="D1491" s="330" t="inlineStr">
        <is>
          <t>Khối lượng chứng khoán hủy niêm yết, đáo hạn</t>
        </is>
      </c>
      <c r="F1491" s="4" t="inlineStr">
        <is>
          <t>Báo cáo</t>
        </is>
      </c>
      <c r="G1491" s="22" t="inlineStr">
        <is>
          <t>Chỉ tiêu phái sinh</t>
        </is>
      </c>
      <c r="H1491" s="4" t="inlineStr">
        <is>
          <t>TB</t>
        </is>
      </c>
    </row>
    <row r="1492" ht="15" customHeight="1" s="380">
      <c r="B1492" s="4" t="inlineStr">
        <is>
          <t>HSX02</t>
        </is>
      </c>
      <c r="C1492" s="328" t="n"/>
      <c r="D1492" s="328" t="inlineStr">
        <is>
          <t>Cổ phiếu niêm yết</t>
        </is>
      </c>
      <c r="F1492" s="4" t="inlineStr">
        <is>
          <t>Báo cáo</t>
        </is>
      </c>
      <c r="G1492" s="22" t="inlineStr">
        <is>
          <t>Chỉ tiêu phái sinh</t>
        </is>
      </c>
      <c r="H1492" s="4" t="inlineStr">
        <is>
          <t>TB</t>
        </is>
      </c>
    </row>
    <row r="1493" ht="15" customHeight="1" s="380">
      <c r="B1493" s="4" t="inlineStr">
        <is>
          <t>HSX02</t>
        </is>
      </c>
      <c r="C1493" s="328" t="n"/>
      <c r="D1493" s="328" t="inlineStr">
        <is>
          <t>Trái phiếu chính quyền địa phương</t>
        </is>
      </c>
      <c r="F1493" s="4" t="inlineStr">
        <is>
          <t>Báo cáo</t>
        </is>
      </c>
      <c r="G1493" s="22" t="inlineStr">
        <is>
          <t>Chỉ tiêu phái sinh</t>
        </is>
      </c>
      <c r="H1493" s="4" t="inlineStr">
        <is>
          <t>TB</t>
        </is>
      </c>
    </row>
    <row r="1494" ht="15" customHeight="1" s="380">
      <c r="B1494" s="4" t="inlineStr">
        <is>
          <t>HSX02</t>
        </is>
      </c>
      <c r="C1494" s="328" t="n"/>
      <c r="D1494" s="328" t="inlineStr">
        <is>
          <t>Trái phiếu doanh nghiệp</t>
        </is>
      </c>
      <c r="F1494" s="4" t="inlineStr">
        <is>
          <t>Báo cáo</t>
        </is>
      </c>
      <c r="G1494" s="22" t="inlineStr">
        <is>
          <t>Chỉ tiêu phái sinh</t>
        </is>
      </c>
      <c r="H1494" s="4" t="inlineStr">
        <is>
          <t>TB</t>
        </is>
      </c>
    </row>
    <row r="1495" ht="15" customHeight="1" s="380">
      <c r="B1495" s="4" t="inlineStr">
        <is>
          <t>HSX02</t>
        </is>
      </c>
      <c r="C1495" s="328" t="n"/>
      <c r="D1495" s="328" t="inlineStr">
        <is>
          <t>Chứng chỉ quỹ</t>
        </is>
      </c>
      <c r="F1495" s="4" t="inlineStr">
        <is>
          <t>Báo cáo</t>
        </is>
      </c>
      <c r="G1495" s="22" t="inlineStr">
        <is>
          <t>Chỉ tiêu phái sinh</t>
        </is>
      </c>
      <c r="H1495" s="4" t="inlineStr">
        <is>
          <t>TB</t>
        </is>
      </c>
    </row>
    <row r="1496" ht="15" customHeight="1" s="380">
      <c r="B1496" s="4" t="inlineStr">
        <is>
          <t>HSX02</t>
        </is>
      </c>
      <c r="C1496" s="328" t="n"/>
      <c r="D1496" s="328" t="inlineStr">
        <is>
          <t>ETF</t>
        </is>
      </c>
      <c r="F1496" s="4" t="inlineStr">
        <is>
          <t>Báo cáo</t>
        </is>
      </c>
      <c r="G1496" s="22" t="inlineStr">
        <is>
          <t>Chỉ tiêu phái sinh</t>
        </is>
      </c>
      <c r="H1496" s="4" t="inlineStr">
        <is>
          <t>TB</t>
        </is>
      </c>
    </row>
    <row r="1497" ht="15" customHeight="1" s="380">
      <c r="B1497" s="4" t="inlineStr">
        <is>
          <t>HSX02</t>
        </is>
      </c>
      <c r="C1497" s="328" t="n"/>
      <c r="D1497" s="328" t="inlineStr">
        <is>
          <t>CW</t>
        </is>
      </c>
      <c r="F1497" s="4" t="inlineStr">
        <is>
          <t>Báo cáo</t>
        </is>
      </c>
      <c r="G1497" s="22" t="inlineStr">
        <is>
          <t>Chỉ tiêu phái sinh</t>
        </is>
      </c>
      <c r="H1497" s="4" t="inlineStr">
        <is>
          <t>TB</t>
        </is>
      </c>
    </row>
    <row r="1498" ht="16" customHeight="1" s="380">
      <c r="B1498" s="4" t="inlineStr">
        <is>
          <t>HSX02</t>
        </is>
      </c>
      <c r="C1498" s="330" t="n"/>
      <c r="D1498" s="330" t="inlineStr">
        <is>
          <t>Giá trị chứng khoán hủy niêm yết, đáo hạn</t>
        </is>
      </c>
      <c r="F1498" s="4" t="inlineStr">
        <is>
          <t>Báo cáo</t>
        </is>
      </c>
      <c r="G1498" s="22" t="inlineStr">
        <is>
          <t>Chỉ tiêu phái sinh</t>
        </is>
      </c>
      <c r="H1498" s="4" t="inlineStr">
        <is>
          <t>TB</t>
        </is>
      </c>
    </row>
    <row r="1499" ht="15" customHeight="1" s="380">
      <c r="B1499" s="4" t="inlineStr">
        <is>
          <t>HSX02</t>
        </is>
      </c>
      <c r="C1499" s="328" t="n"/>
      <c r="D1499" s="328" t="inlineStr">
        <is>
          <t>Cổ phiếu niêm yết</t>
        </is>
      </c>
      <c r="F1499" s="4" t="inlineStr">
        <is>
          <t>Báo cáo</t>
        </is>
      </c>
      <c r="G1499" s="22" t="inlineStr">
        <is>
          <t>Chỉ tiêu phái sinh</t>
        </is>
      </c>
      <c r="H1499" s="4" t="inlineStr">
        <is>
          <t>TB</t>
        </is>
      </c>
    </row>
    <row r="1500" ht="15" customHeight="1" s="380">
      <c r="B1500" s="4" t="inlineStr">
        <is>
          <t>HSX02</t>
        </is>
      </c>
      <c r="C1500" s="328" t="n"/>
      <c r="D1500" s="328" t="inlineStr">
        <is>
          <t>Trái phiếu chính quyền địa phương</t>
        </is>
      </c>
      <c r="F1500" s="4" t="inlineStr">
        <is>
          <t>Báo cáo</t>
        </is>
      </c>
      <c r="G1500" s="22" t="inlineStr">
        <is>
          <t>Chỉ tiêu phái sinh</t>
        </is>
      </c>
      <c r="H1500" s="4" t="inlineStr">
        <is>
          <t>TB</t>
        </is>
      </c>
    </row>
    <row r="1501" ht="15" customHeight="1" s="380">
      <c r="B1501" s="4" t="inlineStr">
        <is>
          <t>HSX02</t>
        </is>
      </c>
      <c r="C1501" s="328" t="n"/>
      <c r="D1501" s="328" t="inlineStr">
        <is>
          <t>Trái phiếu doanh nghiệp</t>
        </is>
      </c>
      <c r="F1501" s="4" t="inlineStr">
        <is>
          <t>Báo cáo</t>
        </is>
      </c>
      <c r="G1501" s="22" t="inlineStr">
        <is>
          <t>Chỉ tiêu phái sinh</t>
        </is>
      </c>
      <c r="H1501" s="4" t="inlineStr">
        <is>
          <t>TB</t>
        </is>
      </c>
    </row>
    <row r="1502" ht="15" customHeight="1" s="380">
      <c r="B1502" s="4" t="inlineStr">
        <is>
          <t>HSX02</t>
        </is>
      </c>
      <c r="C1502" s="328" t="n"/>
      <c r="D1502" s="328" t="inlineStr">
        <is>
          <t>Chứng chỉ quỹ</t>
        </is>
      </c>
      <c r="F1502" s="4" t="inlineStr">
        <is>
          <t>Báo cáo</t>
        </is>
      </c>
      <c r="G1502" s="22" t="inlineStr">
        <is>
          <t>Chỉ tiêu phái sinh</t>
        </is>
      </c>
      <c r="H1502" s="4" t="inlineStr">
        <is>
          <t>TB</t>
        </is>
      </c>
    </row>
    <row r="1503" ht="15" customHeight="1" s="380">
      <c r="B1503" s="4" t="inlineStr">
        <is>
          <t>HSX02</t>
        </is>
      </c>
      <c r="C1503" s="328" t="n"/>
      <c r="D1503" s="328" t="inlineStr">
        <is>
          <t>ETF</t>
        </is>
      </c>
      <c r="F1503" s="4" t="inlineStr">
        <is>
          <t>Báo cáo</t>
        </is>
      </c>
      <c r="G1503" s="22" t="inlineStr">
        <is>
          <t>Chỉ tiêu phái sinh</t>
        </is>
      </c>
      <c r="H1503" s="4" t="inlineStr">
        <is>
          <t>TB</t>
        </is>
      </c>
    </row>
    <row r="1504" ht="15" customHeight="1" s="380">
      <c r="B1504" s="4" t="inlineStr">
        <is>
          <t>HSX02</t>
        </is>
      </c>
      <c r="C1504" s="328" t="n"/>
      <c r="D1504" s="328" t="inlineStr">
        <is>
          <t>CW</t>
        </is>
      </c>
      <c r="F1504" s="4" t="inlineStr">
        <is>
          <t>Báo cáo</t>
        </is>
      </c>
      <c r="G1504" s="22" t="inlineStr">
        <is>
          <t>Chỉ tiêu phái sinh</t>
        </is>
      </c>
      <c r="H1504" s="4" t="inlineStr">
        <is>
          <t>TB</t>
        </is>
      </c>
    </row>
    <row r="1505" ht="16" customHeight="1" s="380">
      <c r="B1505" s="4" t="inlineStr">
        <is>
          <t>HSX02</t>
        </is>
      </c>
      <c r="C1505" s="330" t="n"/>
      <c r="D1505" s="330" t="inlineStr">
        <is>
          <t>Số mã chứng khoán niêm yết tại thời điểm cuối tháng</t>
        </is>
      </c>
      <c r="F1505" s="4" t="inlineStr">
        <is>
          <t>Báo cáo</t>
        </is>
      </c>
      <c r="G1505" s="22" t="inlineStr">
        <is>
          <t>Chỉ tiêu phái sinh</t>
        </is>
      </c>
      <c r="H1505" s="4" t="inlineStr">
        <is>
          <t>TB</t>
        </is>
      </c>
    </row>
    <row r="1506" ht="15" customHeight="1" s="380">
      <c r="B1506" s="4" t="inlineStr">
        <is>
          <t>HSX02</t>
        </is>
      </c>
      <c r="C1506" s="328" t="n"/>
      <c r="D1506" s="328" t="inlineStr">
        <is>
          <t>Cổ phiếu niêm yết</t>
        </is>
      </c>
      <c r="F1506" s="4" t="inlineStr">
        <is>
          <t>Báo cáo</t>
        </is>
      </c>
      <c r="G1506" s="22" t="inlineStr">
        <is>
          <t>Chỉ tiêu phái sinh</t>
        </is>
      </c>
      <c r="H1506" s="4" t="inlineStr">
        <is>
          <t>TB</t>
        </is>
      </c>
    </row>
    <row r="1507" ht="15" customHeight="1" s="380">
      <c r="B1507" s="4" t="inlineStr">
        <is>
          <t>HSX02</t>
        </is>
      </c>
      <c r="C1507" s="328" t="n"/>
      <c r="D1507" s="328" t="inlineStr">
        <is>
          <t>Trái phiếu chính quyền địa phương</t>
        </is>
      </c>
      <c r="F1507" s="4" t="inlineStr">
        <is>
          <t>Báo cáo</t>
        </is>
      </c>
      <c r="G1507" s="22" t="inlineStr">
        <is>
          <t>Chỉ tiêu phái sinh</t>
        </is>
      </c>
      <c r="H1507" s="4" t="inlineStr">
        <is>
          <t>TB</t>
        </is>
      </c>
    </row>
    <row r="1508" ht="15" customHeight="1" s="380">
      <c r="B1508" s="4" t="inlineStr">
        <is>
          <t>HSX02</t>
        </is>
      </c>
      <c r="C1508" s="328" t="n"/>
      <c r="D1508" s="328" t="inlineStr">
        <is>
          <t>Trái phiếu doanh nghiệp</t>
        </is>
      </c>
      <c r="F1508" s="4" t="inlineStr">
        <is>
          <t>Báo cáo</t>
        </is>
      </c>
      <c r="G1508" s="22" t="inlineStr">
        <is>
          <t>Chỉ tiêu phái sinh</t>
        </is>
      </c>
      <c r="H1508" s="4" t="inlineStr">
        <is>
          <t>TB</t>
        </is>
      </c>
    </row>
    <row r="1509" ht="15" customHeight="1" s="380">
      <c r="B1509" s="4" t="inlineStr">
        <is>
          <t>HSX02</t>
        </is>
      </c>
      <c r="C1509" s="328" t="n"/>
      <c r="D1509" s="328" t="inlineStr">
        <is>
          <t>Chứng chỉ quỹ</t>
        </is>
      </c>
      <c r="F1509" s="4" t="inlineStr">
        <is>
          <t>Báo cáo</t>
        </is>
      </c>
      <c r="G1509" s="22" t="inlineStr">
        <is>
          <t>Chỉ tiêu phái sinh</t>
        </is>
      </c>
      <c r="H1509" s="4" t="inlineStr">
        <is>
          <t>TB</t>
        </is>
      </c>
    </row>
    <row r="1510" ht="15" customHeight="1" s="380">
      <c r="B1510" s="4" t="inlineStr">
        <is>
          <t>HSX02</t>
        </is>
      </c>
      <c r="C1510" s="328" t="n"/>
      <c r="D1510" s="328" t="inlineStr">
        <is>
          <t>ETF</t>
        </is>
      </c>
      <c r="F1510" s="4" t="inlineStr">
        <is>
          <t>Báo cáo</t>
        </is>
      </c>
      <c r="G1510" s="22" t="inlineStr">
        <is>
          <t>Chỉ tiêu phái sinh</t>
        </is>
      </c>
      <c r="H1510" s="4" t="inlineStr">
        <is>
          <t>TB</t>
        </is>
      </c>
    </row>
    <row r="1511" ht="15" customHeight="1" s="380">
      <c r="B1511" s="4" t="inlineStr">
        <is>
          <t>HSX02</t>
        </is>
      </c>
      <c r="C1511" s="328" t="n"/>
      <c r="D1511" s="328" t="inlineStr">
        <is>
          <t>CW</t>
        </is>
      </c>
      <c r="F1511" s="4" t="inlineStr">
        <is>
          <t>Báo cáo</t>
        </is>
      </c>
      <c r="G1511" s="22" t="inlineStr">
        <is>
          <t>Chỉ tiêu phái sinh</t>
        </is>
      </c>
      <c r="H1511" s="4" t="inlineStr">
        <is>
          <t>TB</t>
        </is>
      </c>
    </row>
    <row r="1512" ht="15" customHeight="1" s="380">
      <c r="B1512" s="4" t="inlineStr">
        <is>
          <t>HSX02</t>
        </is>
      </c>
      <c r="C1512" s="326" t="n"/>
      <c r="D1512" s="326" t="inlineStr">
        <is>
          <t>Số mã chứng khoán niêm yết mới trong tháng</t>
        </is>
      </c>
      <c r="F1512" s="4" t="inlineStr">
        <is>
          <t>Báo cáo</t>
        </is>
      </c>
      <c r="G1512" s="22" t="inlineStr">
        <is>
          <t>Chỉ tiêu phái sinh</t>
        </is>
      </c>
      <c r="H1512" s="4" t="inlineStr">
        <is>
          <t>TB</t>
        </is>
      </c>
    </row>
    <row r="1513" ht="15" customHeight="1" s="380">
      <c r="B1513" s="4" t="inlineStr">
        <is>
          <t>HSX02</t>
        </is>
      </c>
      <c r="C1513" s="328" t="n"/>
      <c r="D1513" s="328" t="inlineStr">
        <is>
          <t>Cổ phiếu niêm yết</t>
        </is>
      </c>
      <c r="F1513" s="4" t="inlineStr">
        <is>
          <t>Báo cáo</t>
        </is>
      </c>
      <c r="G1513" s="22" t="inlineStr">
        <is>
          <t>Chỉ tiêu phái sinh</t>
        </is>
      </c>
      <c r="H1513" s="4" t="inlineStr">
        <is>
          <t>TB</t>
        </is>
      </c>
    </row>
    <row r="1514" ht="15" customHeight="1" s="380">
      <c r="B1514" s="4" t="inlineStr">
        <is>
          <t>HSX02</t>
        </is>
      </c>
      <c r="C1514" s="328" t="n"/>
      <c r="D1514" s="328" t="inlineStr">
        <is>
          <t>Trái phiếu chính quyền địa phương</t>
        </is>
      </c>
      <c r="F1514" s="4" t="inlineStr">
        <is>
          <t>Báo cáo</t>
        </is>
      </c>
      <c r="G1514" s="22" t="inlineStr">
        <is>
          <t>Chỉ tiêu phái sinh</t>
        </is>
      </c>
      <c r="H1514" s="4" t="inlineStr">
        <is>
          <t>TB</t>
        </is>
      </c>
    </row>
    <row r="1515" ht="15" customHeight="1" s="380">
      <c r="B1515" s="4" t="inlineStr">
        <is>
          <t>HSX02</t>
        </is>
      </c>
      <c r="C1515" s="328" t="n"/>
      <c r="D1515" s="328" t="inlineStr">
        <is>
          <t>Trái phiếu doanh nghiệp</t>
        </is>
      </c>
      <c r="F1515" s="4" t="inlineStr">
        <is>
          <t>Báo cáo</t>
        </is>
      </c>
      <c r="G1515" s="22" t="inlineStr">
        <is>
          <t>Chỉ tiêu phái sinh</t>
        </is>
      </c>
      <c r="H1515" s="4" t="inlineStr">
        <is>
          <t>TB</t>
        </is>
      </c>
    </row>
    <row r="1516" ht="15" customHeight="1" s="380">
      <c r="B1516" s="4" t="inlineStr">
        <is>
          <t>HSX02</t>
        </is>
      </c>
      <c r="C1516" s="328" t="n"/>
      <c r="D1516" s="328" t="inlineStr">
        <is>
          <t>Chứng chỉ quỹ</t>
        </is>
      </c>
      <c r="F1516" s="4" t="inlineStr">
        <is>
          <t>Báo cáo</t>
        </is>
      </c>
      <c r="G1516" s="22" t="inlineStr">
        <is>
          <t>Chỉ tiêu phái sinh</t>
        </is>
      </c>
      <c r="H1516" s="4" t="inlineStr">
        <is>
          <t>TB</t>
        </is>
      </c>
    </row>
    <row r="1517" ht="15" customHeight="1" s="380">
      <c r="B1517" s="4" t="inlineStr">
        <is>
          <t>HSX02</t>
        </is>
      </c>
      <c r="C1517" s="328" t="n"/>
      <c r="D1517" s="328" t="inlineStr">
        <is>
          <t>ETF</t>
        </is>
      </c>
      <c r="F1517" s="4" t="inlineStr">
        <is>
          <t>Báo cáo</t>
        </is>
      </c>
      <c r="G1517" s="22" t="inlineStr">
        <is>
          <t>Chỉ tiêu phái sinh</t>
        </is>
      </c>
      <c r="H1517" s="4" t="inlineStr">
        <is>
          <t>TB</t>
        </is>
      </c>
    </row>
    <row r="1518" ht="15" customHeight="1" s="380">
      <c r="B1518" s="4" t="inlineStr">
        <is>
          <t>HSX02</t>
        </is>
      </c>
      <c r="C1518" s="328" t="n"/>
      <c r="D1518" s="328" t="inlineStr">
        <is>
          <t>CW</t>
        </is>
      </c>
      <c r="F1518" s="4" t="inlineStr">
        <is>
          <t>Báo cáo</t>
        </is>
      </c>
      <c r="G1518" s="22" t="inlineStr">
        <is>
          <t>Chỉ tiêu phái sinh</t>
        </is>
      </c>
      <c r="H1518" s="4" t="inlineStr">
        <is>
          <t>TB</t>
        </is>
      </c>
    </row>
    <row r="1519" ht="15" customHeight="1" s="380">
      <c r="B1519" s="4" t="inlineStr">
        <is>
          <t>HSX02</t>
        </is>
      </c>
      <c r="C1519" s="326" t="n"/>
      <c r="D1519" s="326" t="inlineStr">
        <is>
          <t>Số mã chứng khoán hủy niêm yết, đáo hạn trong tháng</t>
        </is>
      </c>
      <c r="F1519" s="4" t="inlineStr">
        <is>
          <t>Báo cáo</t>
        </is>
      </c>
      <c r="G1519" s="22" t="inlineStr">
        <is>
          <t>Chỉ tiêu phái sinh</t>
        </is>
      </c>
      <c r="H1519" s="4" t="inlineStr">
        <is>
          <t>TB</t>
        </is>
      </c>
    </row>
    <row r="1520" ht="15" customHeight="1" s="380">
      <c r="B1520" s="4" t="inlineStr">
        <is>
          <t>HSX02</t>
        </is>
      </c>
      <c r="C1520" s="328" t="n"/>
      <c r="D1520" s="328" t="inlineStr">
        <is>
          <t>Cổ phiếu niêm yết</t>
        </is>
      </c>
      <c r="F1520" s="4" t="inlineStr">
        <is>
          <t>Báo cáo</t>
        </is>
      </c>
      <c r="G1520" s="22" t="inlineStr">
        <is>
          <t>Chỉ tiêu phái sinh</t>
        </is>
      </c>
      <c r="H1520" s="4" t="inlineStr">
        <is>
          <t>TB</t>
        </is>
      </c>
    </row>
    <row r="1521" ht="15" customHeight="1" s="380">
      <c r="B1521" s="4" t="inlineStr">
        <is>
          <t>HSX02</t>
        </is>
      </c>
      <c r="C1521" s="328" t="n"/>
      <c r="D1521" s="328" t="inlineStr">
        <is>
          <t>Trái phiếu chính quyền địa phương</t>
        </is>
      </c>
      <c r="F1521" s="4" t="inlineStr">
        <is>
          <t>Báo cáo</t>
        </is>
      </c>
      <c r="G1521" s="22" t="inlineStr">
        <is>
          <t>Chỉ tiêu phái sinh</t>
        </is>
      </c>
      <c r="H1521" s="4" t="inlineStr">
        <is>
          <t>TB</t>
        </is>
      </c>
    </row>
    <row r="1522" ht="15" customHeight="1" s="380">
      <c r="B1522" s="4" t="inlineStr">
        <is>
          <t>HSX02</t>
        </is>
      </c>
      <c r="C1522" s="328" t="n"/>
      <c r="D1522" s="328" t="inlineStr">
        <is>
          <t>Trái phiếu doanh nghiệp</t>
        </is>
      </c>
      <c r="F1522" s="4" t="inlineStr">
        <is>
          <t>Báo cáo</t>
        </is>
      </c>
      <c r="G1522" s="22" t="inlineStr">
        <is>
          <t>Chỉ tiêu phái sinh</t>
        </is>
      </c>
      <c r="H1522" s="4" t="inlineStr">
        <is>
          <t>TB</t>
        </is>
      </c>
    </row>
    <row r="1523" ht="15" customHeight="1" s="380">
      <c r="B1523" s="4" t="inlineStr">
        <is>
          <t>HSX02</t>
        </is>
      </c>
      <c r="C1523" s="328" t="n"/>
      <c r="D1523" s="328" t="inlineStr">
        <is>
          <t>Chứng chỉ quỹ</t>
        </is>
      </c>
      <c r="F1523" s="4" t="inlineStr">
        <is>
          <t>Báo cáo</t>
        </is>
      </c>
      <c r="G1523" s="22" t="inlineStr">
        <is>
          <t>Chỉ tiêu phái sinh</t>
        </is>
      </c>
      <c r="H1523" s="4" t="inlineStr">
        <is>
          <t>TB</t>
        </is>
      </c>
    </row>
    <row r="1524" ht="15" customHeight="1" s="380">
      <c r="B1524" s="4" t="inlineStr">
        <is>
          <t>HSX02</t>
        </is>
      </c>
      <c r="C1524" s="328" t="n"/>
      <c r="D1524" s="328" t="inlineStr">
        <is>
          <t>ETF</t>
        </is>
      </c>
      <c r="F1524" s="4" t="inlineStr">
        <is>
          <t>Báo cáo</t>
        </is>
      </c>
      <c r="G1524" s="22" t="inlineStr">
        <is>
          <t>Chỉ tiêu phái sinh</t>
        </is>
      </c>
      <c r="H1524" s="4" t="inlineStr">
        <is>
          <t>TB</t>
        </is>
      </c>
    </row>
    <row r="1525" ht="15" customHeight="1" s="380">
      <c r="B1525" s="4" t="inlineStr">
        <is>
          <t>HSX02</t>
        </is>
      </c>
      <c r="C1525" s="328" t="n"/>
      <c r="D1525" s="328" t="inlineStr">
        <is>
          <t>CW</t>
        </is>
      </c>
      <c r="F1525" s="4" t="inlineStr">
        <is>
          <t>Báo cáo</t>
        </is>
      </c>
      <c r="G1525" s="22" t="inlineStr">
        <is>
          <t>Chỉ tiêu phái sinh</t>
        </is>
      </c>
      <c r="H1525" s="4" t="inlineStr">
        <is>
          <t>TB</t>
        </is>
      </c>
    </row>
    <row r="1526" ht="15" customHeight="1" s="380">
      <c r="B1526" s="4" t="inlineStr">
        <is>
          <t>HSX02</t>
        </is>
      </c>
      <c r="C1526" s="326" t="n"/>
      <c r="D1526" s="326" t="inlineStr">
        <is>
          <t>Số phiên thực hiện giao dịch</t>
        </is>
      </c>
      <c r="F1526" s="4" t="inlineStr">
        <is>
          <t>Báo cáo</t>
        </is>
      </c>
      <c r="G1526" s="22" t="inlineStr">
        <is>
          <t>Chỉ tiêu phái sinh</t>
        </is>
      </c>
      <c r="H1526" s="4" t="inlineStr">
        <is>
          <t>TB</t>
        </is>
      </c>
    </row>
    <row r="1527" ht="15" customHeight="1" s="380">
      <c r="B1527" s="4" t="inlineStr">
        <is>
          <t>HSX02</t>
        </is>
      </c>
      <c r="C1527" s="326" t="n"/>
      <c r="D1527" s="326" t="inlineStr">
        <is>
          <t>SGDCK TP.HCM</t>
        </is>
      </c>
      <c r="F1527" s="4" t="inlineStr">
        <is>
          <t>Báo cáo</t>
        </is>
      </c>
      <c r="G1527" s="22" t="inlineStr">
        <is>
          <t>Chỉ tiêu phái sinh</t>
        </is>
      </c>
      <c r="H1527" s="4" t="inlineStr">
        <is>
          <t>TB</t>
        </is>
      </c>
    </row>
    <row r="1528" ht="16" customHeight="1" s="380">
      <c r="B1528" s="4" t="inlineStr">
        <is>
          <t>HSX02</t>
        </is>
      </c>
      <c r="C1528" s="330" t="n"/>
      <c r="D1528" s="330" t="inlineStr">
        <is>
          <t>Giao dịch Nhà đầu tư nước ngoài</t>
        </is>
      </c>
      <c r="F1528" s="4" t="inlineStr">
        <is>
          <t>Báo cáo</t>
        </is>
      </c>
      <c r="G1528" s="22" t="inlineStr">
        <is>
          <t>Chỉ tiêu phái sinh</t>
        </is>
      </c>
      <c r="H1528" s="4" t="inlineStr">
        <is>
          <t>TB</t>
        </is>
      </c>
    </row>
    <row r="1529" ht="16" customHeight="1" s="380">
      <c r="B1529" s="4" t="inlineStr">
        <is>
          <t>HSX02</t>
        </is>
      </c>
      <c r="C1529" s="332" t="n"/>
      <c r="D1529" s="332" t="inlineStr">
        <is>
          <t>GDNĐTNN cổ phiếu niêm yết</t>
        </is>
      </c>
      <c r="F1529" s="4" t="inlineStr">
        <is>
          <t>Báo cáo</t>
        </is>
      </c>
      <c r="G1529" s="22" t="inlineStr">
        <is>
          <t>Chỉ tiêu phái sinh</t>
        </is>
      </c>
      <c r="H1529" s="4" t="inlineStr">
        <is>
          <t>TB</t>
        </is>
      </c>
    </row>
    <row r="1530" ht="16" customHeight="1" s="380">
      <c r="B1530" s="4" t="inlineStr">
        <is>
          <t>HSX02</t>
        </is>
      </c>
      <c r="C1530" s="334" t="n"/>
      <c r="D1530" s="334" t="inlineStr">
        <is>
          <t>Khối lượng giao dịch cổ phiếu niêm yết</t>
        </is>
      </c>
      <c r="F1530" s="4" t="inlineStr">
        <is>
          <t>Báo cáo</t>
        </is>
      </c>
      <c r="G1530" s="22" t="inlineStr">
        <is>
          <t>Chỉ tiêu phái sinh</t>
        </is>
      </c>
      <c r="H1530" s="4" t="inlineStr">
        <is>
          <t>TB</t>
        </is>
      </c>
    </row>
    <row r="1531" ht="16" customHeight="1" s="380">
      <c r="B1531" s="4" t="inlineStr">
        <is>
          <t>HSX02</t>
        </is>
      </c>
      <c r="C1531" s="334" t="n"/>
      <c r="D1531" s="334" t="inlineStr">
        <is>
          <t>Khối lượng giao dịch mua</t>
        </is>
      </c>
      <c r="F1531" s="4" t="inlineStr">
        <is>
          <t>Báo cáo</t>
        </is>
      </c>
      <c r="G1531" s="22" t="inlineStr">
        <is>
          <t>Chỉ tiêu phái sinh</t>
        </is>
      </c>
      <c r="H1531" s="4" t="inlineStr">
        <is>
          <t>TB</t>
        </is>
      </c>
    </row>
    <row r="1532" ht="16" customHeight="1" s="380">
      <c r="B1532" s="4" t="inlineStr">
        <is>
          <t>HSX02</t>
        </is>
      </c>
      <c r="C1532" s="334" t="n"/>
      <c r="D1532" s="334" t="inlineStr">
        <is>
          <t>Khối lượng giao dịch bán</t>
        </is>
      </c>
      <c r="F1532" s="4" t="inlineStr">
        <is>
          <t>Báo cáo</t>
        </is>
      </c>
      <c r="G1532" s="22" t="inlineStr">
        <is>
          <t>Chỉ tiêu phái sinh</t>
        </is>
      </c>
      <c r="H1532" s="4" t="inlineStr">
        <is>
          <t>TB</t>
        </is>
      </c>
    </row>
    <row r="1533" ht="16" customHeight="1" s="380">
      <c r="B1533" s="4" t="inlineStr">
        <is>
          <t>HSX02</t>
        </is>
      </c>
      <c r="C1533" s="334" t="n"/>
      <c r="D1533" s="334" t="inlineStr">
        <is>
          <t>Khối lượng mua/bán ròng</t>
        </is>
      </c>
      <c r="F1533" s="4" t="inlineStr">
        <is>
          <t>Báo cáo</t>
        </is>
      </c>
      <c r="G1533" s="22" t="inlineStr">
        <is>
          <t>Chỉ tiêu phái sinh</t>
        </is>
      </c>
      <c r="H1533" s="4" t="inlineStr">
        <is>
          <t>TB</t>
        </is>
      </c>
    </row>
    <row r="1534" ht="16" customHeight="1" s="380">
      <c r="B1534" s="4" t="inlineStr">
        <is>
          <t>HSX02</t>
        </is>
      </c>
      <c r="C1534" s="334" t="n"/>
      <c r="D1534" s="334" t="inlineStr">
        <is>
          <t>Giá trị giao dịch cổ phiếu niêm yết</t>
        </is>
      </c>
      <c r="F1534" s="4" t="inlineStr">
        <is>
          <t>Báo cáo</t>
        </is>
      </c>
      <c r="G1534" s="22" t="inlineStr">
        <is>
          <t>Chỉ tiêu phái sinh</t>
        </is>
      </c>
      <c r="H1534" s="4" t="inlineStr">
        <is>
          <t>TB</t>
        </is>
      </c>
    </row>
    <row r="1535" ht="16" customHeight="1" s="380">
      <c r="B1535" s="4" t="inlineStr">
        <is>
          <t>HSX02</t>
        </is>
      </c>
      <c r="C1535" s="334" t="n"/>
      <c r="D1535" s="334" t="inlineStr">
        <is>
          <t>Giá trị giao dịch mua</t>
        </is>
      </c>
      <c r="F1535" s="4" t="inlineStr">
        <is>
          <t>Báo cáo</t>
        </is>
      </c>
      <c r="G1535" s="22" t="inlineStr">
        <is>
          <t>Chỉ tiêu phái sinh</t>
        </is>
      </c>
      <c r="H1535" s="4" t="inlineStr">
        <is>
          <t>TB</t>
        </is>
      </c>
    </row>
    <row r="1536" ht="16" customHeight="1" s="380">
      <c r="B1536" s="4" t="inlineStr">
        <is>
          <t>HSX02</t>
        </is>
      </c>
      <c r="C1536" s="334" t="n"/>
      <c r="D1536" s="334" t="inlineStr">
        <is>
          <t>Giá trị giao dịch bán</t>
        </is>
      </c>
      <c r="F1536" s="4" t="inlineStr">
        <is>
          <t>Báo cáo</t>
        </is>
      </c>
      <c r="G1536" s="22" t="inlineStr">
        <is>
          <t>Chỉ tiêu phái sinh</t>
        </is>
      </c>
      <c r="H1536" s="4" t="inlineStr">
        <is>
          <t>TB</t>
        </is>
      </c>
    </row>
    <row r="1537" ht="16" customHeight="1" s="380">
      <c r="B1537" s="4" t="inlineStr">
        <is>
          <t>HSX02</t>
        </is>
      </c>
      <c r="C1537" s="334" t="n"/>
      <c r="D1537" s="334" t="inlineStr">
        <is>
          <t>Giá trị mua/bán ròng</t>
        </is>
      </c>
      <c r="F1537" s="4" t="inlineStr">
        <is>
          <t>Báo cáo</t>
        </is>
      </c>
      <c r="G1537" s="22" t="inlineStr">
        <is>
          <t>Chỉ tiêu phái sinh</t>
        </is>
      </c>
      <c r="H1537" s="4" t="inlineStr">
        <is>
          <t>TB</t>
        </is>
      </c>
    </row>
    <row r="1538" ht="16" customHeight="1" s="380">
      <c r="B1538" s="4" t="inlineStr">
        <is>
          <t>HSX02</t>
        </is>
      </c>
      <c r="C1538" s="332" t="n"/>
      <c r="D1538" s="332" t="inlineStr">
        <is>
          <t>GDNĐTNN chứng chỉ quỹ</t>
        </is>
      </c>
      <c r="F1538" s="4" t="inlineStr">
        <is>
          <t>Báo cáo</t>
        </is>
      </c>
      <c r="G1538" s="22" t="inlineStr">
        <is>
          <t>Chỉ tiêu phái sinh</t>
        </is>
      </c>
      <c r="H1538" s="4" t="inlineStr">
        <is>
          <t>TB</t>
        </is>
      </c>
    </row>
    <row r="1539" ht="16" customHeight="1" s="380">
      <c r="B1539" s="4" t="inlineStr">
        <is>
          <t>HSX02</t>
        </is>
      </c>
      <c r="C1539" s="334" t="n"/>
      <c r="D1539" s="334" t="inlineStr">
        <is>
          <t>Khối lượng giao dịch chứng chỉ quỹ</t>
        </is>
      </c>
      <c r="F1539" s="4" t="inlineStr">
        <is>
          <t>Báo cáo</t>
        </is>
      </c>
      <c r="G1539" s="22" t="inlineStr">
        <is>
          <t>Chỉ tiêu phái sinh</t>
        </is>
      </c>
      <c r="H1539" s="4" t="inlineStr">
        <is>
          <t>TB</t>
        </is>
      </c>
    </row>
    <row r="1540" ht="16" customHeight="1" s="380">
      <c r="B1540" s="4" t="inlineStr">
        <is>
          <t>HSX02</t>
        </is>
      </c>
      <c r="C1540" s="334" t="n"/>
      <c r="D1540" s="334" t="inlineStr">
        <is>
          <t>Khối lượng giao dịch mua</t>
        </is>
      </c>
      <c r="F1540" s="4" t="inlineStr">
        <is>
          <t>Báo cáo</t>
        </is>
      </c>
      <c r="G1540" s="22" t="inlineStr">
        <is>
          <t>Chỉ tiêu phái sinh</t>
        </is>
      </c>
      <c r="H1540" s="4" t="inlineStr">
        <is>
          <t>TB</t>
        </is>
      </c>
    </row>
    <row r="1541" ht="16" customHeight="1" s="380">
      <c r="B1541" s="4" t="inlineStr">
        <is>
          <t>HSX02</t>
        </is>
      </c>
      <c r="C1541" s="334" t="n"/>
      <c r="D1541" s="334" t="inlineStr">
        <is>
          <t>Khối lượng giao dịch bán</t>
        </is>
      </c>
      <c r="F1541" s="4" t="inlineStr">
        <is>
          <t>Báo cáo</t>
        </is>
      </c>
      <c r="G1541" s="22" t="inlineStr">
        <is>
          <t>Chỉ tiêu phái sinh</t>
        </is>
      </c>
      <c r="H1541" s="4" t="inlineStr">
        <is>
          <t>TB</t>
        </is>
      </c>
    </row>
    <row r="1542" ht="16" customHeight="1" s="380">
      <c r="B1542" s="4" t="inlineStr">
        <is>
          <t>HSX02</t>
        </is>
      </c>
      <c r="C1542" s="334" t="n"/>
      <c r="D1542" s="334" t="inlineStr">
        <is>
          <t>Khối lượng mua/bán ròng</t>
        </is>
      </c>
      <c r="F1542" s="4" t="inlineStr">
        <is>
          <t>Báo cáo</t>
        </is>
      </c>
      <c r="G1542" s="22" t="inlineStr">
        <is>
          <t>Chỉ tiêu phái sinh</t>
        </is>
      </c>
      <c r="H1542" s="4" t="inlineStr">
        <is>
          <t>TB</t>
        </is>
      </c>
    </row>
    <row r="1543" ht="16" customHeight="1" s="380">
      <c r="B1543" s="4" t="inlineStr">
        <is>
          <t>HSX02</t>
        </is>
      </c>
      <c r="C1543" s="334" t="n"/>
      <c r="D1543" s="334" t="inlineStr">
        <is>
          <t>Giá trị giao dịch chứng chỉ quỹ</t>
        </is>
      </c>
      <c r="F1543" s="4" t="inlineStr">
        <is>
          <t>Báo cáo</t>
        </is>
      </c>
      <c r="G1543" s="22" t="inlineStr">
        <is>
          <t>Chỉ tiêu phái sinh</t>
        </is>
      </c>
      <c r="H1543" s="4" t="inlineStr">
        <is>
          <t>TB</t>
        </is>
      </c>
    </row>
    <row r="1544" ht="16" customHeight="1" s="380">
      <c r="B1544" s="4" t="inlineStr">
        <is>
          <t>HSX02</t>
        </is>
      </c>
      <c r="C1544" s="334" t="n"/>
      <c r="D1544" s="334" t="inlineStr">
        <is>
          <t>Giá trị giao dịch mua</t>
        </is>
      </c>
      <c r="F1544" s="4" t="inlineStr">
        <is>
          <t>Báo cáo</t>
        </is>
      </c>
      <c r="G1544" s="22" t="inlineStr">
        <is>
          <t>Chỉ tiêu phái sinh</t>
        </is>
      </c>
      <c r="H1544" s="4" t="inlineStr">
        <is>
          <t>TB</t>
        </is>
      </c>
    </row>
    <row r="1545" ht="16" customHeight="1" s="380">
      <c r="B1545" s="4" t="inlineStr">
        <is>
          <t>HSX02</t>
        </is>
      </c>
      <c r="C1545" s="334" t="n"/>
      <c r="D1545" s="334" t="inlineStr">
        <is>
          <t>Giá trị giao dịch bán</t>
        </is>
      </c>
      <c r="F1545" s="4" t="inlineStr">
        <is>
          <t>Báo cáo</t>
        </is>
      </c>
      <c r="G1545" s="22" t="inlineStr">
        <is>
          <t>Chỉ tiêu phái sinh</t>
        </is>
      </c>
      <c r="H1545" s="4" t="inlineStr">
        <is>
          <t>TB</t>
        </is>
      </c>
    </row>
    <row r="1546" ht="16" customHeight="1" s="380">
      <c r="B1546" s="4" t="inlineStr">
        <is>
          <t>HSX02</t>
        </is>
      </c>
      <c r="C1546" s="334" t="n"/>
      <c r="D1546" s="334" t="inlineStr">
        <is>
          <t>Giá trị mua/bán ròng</t>
        </is>
      </c>
      <c r="F1546" s="4" t="inlineStr">
        <is>
          <t>Báo cáo</t>
        </is>
      </c>
      <c r="G1546" s="22" t="inlineStr">
        <is>
          <t>Chỉ tiêu phái sinh</t>
        </is>
      </c>
      <c r="H1546" s="4" t="inlineStr">
        <is>
          <t>TB</t>
        </is>
      </c>
    </row>
    <row r="1547" ht="16" customHeight="1" s="380">
      <c r="B1547" s="4" t="inlineStr">
        <is>
          <t>HSX02</t>
        </is>
      </c>
      <c r="C1547" s="332" t="n"/>
      <c r="D1547" s="332" t="inlineStr">
        <is>
          <t>GDNĐTNN ETF</t>
        </is>
      </c>
      <c r="F1547" s="4" t="inlineStr">
        <is>
          <t>Báo cáo</t>
        </is>
      </c>
      <c r="G1547" s="22" t="inlineStr">
        <is>
          <t>Chỉ tiêu phái sinh</t>
        </is>
      </c>
      <c r="H1547" s="4" t="inlineStr">
        <is>
          <t>TB</t>
        </is>
      </c>
    </row>
    <row r="1548" ht="16" customHeight="1" s="380">
      <c r="B1548" s="4" t="inlineStr">
        <is>
          <t>HSX02</t>
        </is>
      </c>
      <c r="C1548" s="334" t="n"/>
      <c r="D1548" s="334" t="inlineStr">
        <is>
          <t>Khối lượng giao dịch ETF</t>
        </is>
      </c>
      <c r="F1548" s="4" t="inlineStr">
        <is>
          <t>Báo cáo</t>
        </is>
      </c>
      <c r="G1548" s="22" t="inlineStr">
        <is>
          <t>Chỉ tiêu phái sinh</t>
        </is>
      </c>
      <c r="H1548" s="4" t="inlineStr">
        <is>
          <t>TB</t>
        </is>
      </c>
    </row>
    <row r="1549" ht="16" customHeight="1" s="380">
      <c r="B1549" s="4" t="inlineStr">
        <is>
          <t>HSX02</t>
        </is>
      </c>
      <c r="C1549" s="334" t="n"/>
      <c r="D1549" s="334" t="inlineStr">
        <is>
          <t>Khối lượng giao dịch mua</t>
        </is>
      </c>
      <c r="F1549" s="4" t="inlineStr">
        <is>
          <t>Báo cáo</t>
        </is>
      </c>
      <c r="G1549" s="22" t="inlineStr">
        <is>
          <t>Chỉ tiêu phái sinh</t>
        </is>
      </c>
      <c r="H1549" s="4" t="inlineStr">
        <is>
          <t>TB</t>
        </is>
      </c>
    </row>
    <row r="1550" ht="16" customHeight="1" s="380">
      <c r="B1550" s="4" t="inlineStr">
        <is>
          <t>HSX02</t>
        </is>
      </c>
      <c r="C1550" s="334" t="n"/>
      <c r="D1550" s="334" t="inlineStr">
        <is>
          <t>Khối lượng giao dịch bán</t>
        </is>
      </c>
      <c r="F1550" s="4" t="inlineStr">
        <is>
          <t>Báo cáo</t>
        </is>
      </c>
      <c r="G1550" s="22" t="inlineStr">
        <is>
          <t>Chỉ tiêu phái sinh</t>
        </is>
      </c>
      <c r="H1550" s="4" t="inlineStr">
        <is>
          <t>TB</t>
        </is>
      </c>
    </row>
    <row r="1551" ht="16" customHeight="1" s="380">
      <c r="B1551" s="4" t="inlineStr">
        <is>
          <t>HSX02</t>
        </is>
      </c>
      <c r="C1551" s="334" t="n"/>
      <c r="D1551" s="334" t="inlineStr">
        <is>
          <t>Khối lượng mua/bán ròng</t>
        </is>
      </c>
      <c r="F1551" s="4" t="inlineStr">
        <is>
          <t>Báo cáo</t>
        </is>
      </c>
      <c r="G1551" s="22" t="inlineStr">
        <is>
          <t>Chỉ tiêu phái sinh</t>
        </is>
      </c>
      <c r="H1551" s="4" t="inlineStr">
        <is>
          <t>TB</t>
        </is>
      </c>
    </row>
    <row r="1552" ht="16" customHeight="1" s="380">
      <c r="B1552" s="4" t="inlineStr">
        <is>
          <t>HSX02</t>
        </is>
      </c>
      <c r="C1552" s="334" t="n"/>
      <c r="D1552" s="334" t="inlineStr">
        <is>
          <t>Giá trị giao dịch ETF</t>
        </is>
      </c>
      <c r="F1552" s="4" t="inlineStr">
        <is>
          <t>Báo cáo</t>
        </is>
      </c>
      <c r="G1552" s="22" t="inlineStr">
        <is>
          <t>Chỉ tiêu phái sinh</t>
        </is>
      </c>
      <c r="H1552" s="4" t="inlineStr">
        <is>
          <t>TB</t>
        </is>
      </c>
    </row>
    <row r="1553" ht="16" customHeight="1" s="380">
      <c r="B1553" s="4" t="inlineStr">
        <is>
          <t>HSX02</t>
        </is>
      </c>
      <c r="C1553" s="334" t="n"/>
      <c r="D1553" s="334" t="inlineStr">
        <is>
          <t>Giá trị giao dịch mua</t>
        </is>
      </c>
      <c r="F1553" s="4" t="inlineStr">
        <is>
          <t>Báo cáo</t>
        </is>
      </c>
      <c r="G1553" s="22" t="inlineStr">
        <is>
          <t>Chỉ tiêu phái sinh</t>
        </is>
      </c>
      <c r="H1553" s="4" t="inlineStr">
        <is>
          <t>TB</t>
        </is>
      </c>
    </row>
    <row r="1554" ht="16" customHeight="1" s="380">
      <c r="B1554" s="4" t="inlineStr">
        <is>
          <t>HSX02</t>
        </is>
      </c>
      <c r="C1554" s="334" t="n"/>
      <c r="D1554" s="334" t="inlineStr">
        <is>
          <t>Giá trị giao dịch bán</t>
        </is>
      </c>
      <c r="F1554" s="4" t="inlineStr">
        <is>
          <t>Báo cáo</t>
        </is>
      </c>
      <c r="G1554" s="22" t="inlineStr">
        <is>
          <t>Chỉ tiêu phái sinh</t>
        </is>
      </c>
      <c r="H1554" s="4" t="inlineStr">
        <is>
          <t>TB</t>
        </is>
      </c>
    </row>
    <row r="1555" ht="16" customHeight="1" s="380">
      <c r="B1555" s="4" t="inlineStr">
        <is>
          <t>HSX02</t>
        </is>
      </c>
      <c r="C1555" s="334" t="n"/>
      <c r="D1555" s="334" t="inlineStr">
        <is>
          <t>Giá trị mua/bán ròng</t>
        </is>
      </c>
      <c r="F1555" s="4" t="inlineStr">
        <is>
          <t>Báo cáo</t>
        </is>
      </c>
      <c r="G1555" s="22" t="inlineStr">
        <is>
          <t>Chỉ tiêu phái sinh</t>
        </is>
      </c>
      <c r="H1555" s="4" t="inlineStr">
        <is>
          <t>TB</t>
        </is>
      </c>
    </row>
    <row r="1556" ht="16" customHeight="1" s="380">
      <c r="B1556" s="4" t="inlineStr">
        <is>
          <t>HSX02</t>
        </is>
      </c>
      <c r="C1556" s="330" t="n"/>
      <c r="D1556" s="330" t="inlineStr">
        <is>
          <t>GDNĐTNN trái phiếu</t>
        </is>
      </c>
      <c r="F1556" s="4" t="inlineStr">
        <is>
          <t>Báo cáo</t>
        </is>
      </c>
      <c r="G1556" s="22" t="inlineStr">
        <is>
          <t>Chỉ tiêu phái sinh</t>
        </is>
      </c>
      <c r="H1556" s="4" t="inlineStr">
        <is>
          <t>TB</t>
        </is>
      </c>
    </row>
    <row r="1557" ht="16" customHeight="1" s="380">
      <c r="B1557" s="4" t="inlineStr">
        <is>
          <t>HSX02</t>
        </is>
      </c>
      <c r="C1557" s="334" t="n"/>
      <c r="D1557" s="334" t="inlineStr">
        <is>
          <t>Khối lượng giao dịch trái phiếu</t>
        </is>
      </c>
      <c r="F1557" s="4" t="inlineStr">
        <is>
          <t>Báo cáo</t>
        </is>
      </c>
      <c r="G1557" s="22" t="inlineStr">
        <is>
          <t>Chỉ tiêu phái sinh</t>
        </is>
      </c>
      <c r="H1557" s="4" t="inlineStr">
        <is>
          <t>TB</t>
        </is>
      </c>
    </row>
    <row r="1558" ht="16" customHeight="1" s="380">
      <c r="B1558" s="4" t="inlineStr">
        <is>
          <t>HSX02</t>
        </is>
      </c>
      <c r="C1558" s="334" t="n"/>
      <c r="D1558" s="334" t="inlineStr">
        <is>
          <t>Khối lượng giao dịch mua</t>
        </is>
      </c>
      <c r="F1558" s="4" t="inlineStr">
        <is>
          <t>Báo cáo</t>
        </is>
      </c>
      <c r="G1558" s="22" t="inlineStr">
        <is>
          <t>Chỉ tiêu phái sinh</t>
        </is>
      </c>
      <c r="H1558" s="4" t="inlineStr">
        <is>
          <t>TB</t>
        </is>
      </c>
    </row>
    <row r="1559" ht="16" customHeight="1" s="380">
      <c r="B1559" s="4" t="inlineStr">
        <is>
          <t>HSX02</t>
        </is>
      </c>
      <c r="C1559" s="334" t="n"/>
      <c r="D1559" s="334" t="inlineStr">
        <is>
          <t>Khối lượng giao dịch bán</t>
        </is>
      </c>
      <c r="F1559" s="4" t="inlineStr">
        <is>
          <t>Báo cáo</t>
        </is>
      </c>
      <c r="G1559" s="22" t="inlineStr">
        <is>
          <t>Chỉ tiêu phái sinh</t>
        </is>
      </c>
      <c r="H1559" s="4" t="inlineStr">
        <is>
          <t>TB</t>
        </is>
      </c>
    </row>
    <row r="1560" ht="16" customHeight="1" s="380">
      <c r="B1560" s="4" t="inlineStr">
        <is>
          <t>HSX02</t>
        </is>
      </c>
      <c r="C1560" s="334" t="n"/>
      <c r="D1560" s="334" t="inlineStr">
        <is>
          <t>Khối lượng mua/bán ròng</t>
        </is>
      </c>
      <c r="F1560" s="4" t="inlineStr">
        <is>
          <t>Báo cáo</t>
        </is>
      </c>
      <c r="G1560" s="22" t="inlineStr">
        <is>
          <t>Chỉ tiêu phái sinh</t>
        </is>
      </c>
      <c r="H1560" s="4" t="inlineStr">
        <is>
          <t>TB</t>
        </is>
      </c>
    </row>
    <row r="1561" ht="16" customHeight="1" s="380">
      <c r="B1561" s="4" t="inlineStr">
        <is>
          <t>HSX02</t>
        </is>
      </c>
      <c r="C1561" s="334" t="n"/>
      <c r="D1561" s="334" t="inlineStr">
        <is>
          <t>Giá trị giao dịch trái phiếu</t>
        </is>
      </c>
      <c r="F1561" s="4" t="inlineStr">
        <is>
          <t>Báo cáo</t>
        </is>
      </c>
      <c r="G1561" s="22" t="inlineStr">
        <is>
          <t>Chỉ tiêu phái sinh</t>
        </is>
      </c>
      <c r="H1561" s="4" t="inlineStr">
        <is>
          <t>TB</t>
        </is>
      </c>
    </row>
    <row r="1562" ht="16" customHeight="1" s="380">
      <c r="B1562" s="4" t="inlineStr">
        <is>
          <t>HSX02</t>
        </is>
      </c>
      <c r="C1562" s="334" t="n"/>
      <c r="D1562" s="334" t="inlineStr">
        <is>
          <t>Giá trị giao dịch mua</t>
        </is>
      </c>
      <c r="F1562" s="4" t="inlineStr">
        <is>
          <t>Báo cáo</t>
        </is>
      </c>
      <c r="G1562" s="22" t="inlineStr">
        <is>
          <t>Chỉ tiêu phái sinh</t>
        </is>
      </c>
      <c r="H1562" s="4" t="inlineStr">
        <is>
          <t>TB</t>
        </is>
      </c>
    </row>
    <row r="1563" ht="16" customHeight="1" s="380">
      <c r="B1563" s="4" t="inlineStr">
        <is>
          <t>HSX02</t>
        </is>
      </c>
      <c r="C1563" s="334" t="n"/>
      <c r="D1563" s="334" t="inlineStr">
        <is>
          <t>Giá trị giao dịch bán</t>
        </is>
      </c>
      <c r="F1563" s="4" t="inlineStr">
        <is>
          <t>Báo cáo</t>
        </is>
      </c>
      <c r="G1563" s="22" t="inlineStr">
        <is>
          <t>Chỉ tiêu phái sinh</t>
        </is>
      </c>
      <c r="H1563" s="4" t="inlineStr">
        <is>
          <t>TB</t>
        </is>
      </c>
    </row>
    <row r="1564" ht="16" customHeight="1" s="380">
      <c r="B1564" s="4" t="inlineStr">
        <is>
          <t>HSX02</t>
        </is>
      </c>
      <c r="C1564" s="334" t="n"/>
      <c r="D1564" s="334" t="inlineStr">
        <is>
          <t>Giá trị mua/bán ròng</t>
        </is>
      </c>
      <c r="F1564" s="4" t="inlineStr">
        <is>
          <t>Báo cáo</t>
        </is>
      </c>
      <c r="G1564" s="22" t="inlineStr">
        <is>
          <t>Chỉ tiêu phái sinh</t>
        </is>
      </c>
      <c r="H1564" s="4" t="inlineStr">
        <is>
          <t>TB</t>
        </is>
      </c>
    </row>
    <row r="1565" ht="16" customHeight="1" s="380">
      <c r="B1565" s="4" t="inlineStr">
        <is>
          <t>HSX02</t>
        </is>
      </c>
      <c r="C1565" s="330" t="n"/>
      <c r="D1565" s="330" t="inlineStr">
        <is>
          <t>GDNĐTNN CW</t>
        </is>
      </c>
      <c r="F1565" s="4" t="inlineStr">
        <is>
          <t>Báo cáo</t>
        </is>
      </c>
      <c r="G1565" s="22" t="inlineStr">
        <is>
          <t>Chỉ tiêu phái sinh</t>
        </is>
      </c>
      <c r="H1565" s="4" t="inlineStr">
        <is>
          <t>TB</t>
        </is>
      </c>
    </row>
    <row r="1566" ht="16" customHeight="1" s="380">
      <c r="B1566" s="4" t="inlineStr">
        <is>
          <t>HSX02</t>
        </is>
      </c>
      <c r="C1566" s="334" t="n"/>
      <c r="D1566" s="334" t="inlineStr">
        <is>
          <t>Khối lượng giao dịch CW</t>
        </is>
      </c>
      <c r="F1566" s="4" t="inlineStr">
        <is>
          <t>Báo cáo</t>
        </is>
      </c>
      <c r="G1566" s="22" t="inlineStr">
        <is>
          <t>Chỉ tiêu phái sinh</t>
        </is>
      </c>
      <c r="H1566" s="4" t="inlineStr">
        <is>
          <t>TB</t>
        </is>
      </c>
    </row>
    <row r="1567" ht="16" customHeight="1" s="380">
      <c r="B1567" s="4" t="inlineStr">
        <is>
          <t>HSX02</t>
        </is>
      </c>
      <c r="C1567" s="334" t="n"/>
      <c r="D1567" s="334" t="inlineStr">
        <is>
          <t>Khối lượng giao dịch mua</t>
        </is>
      </c>
      <c r="F1567" s="4" t="inlineStr">
        <is>
          <t>Báo cáo</t>
        </is>
      </c>
      <c r="G1567" s="22" t="inlineStr">
        <is>
          <t>Chỉ tiêu phái sinh</t>
        </is>
      </c>
      <c r="H1567" s="4" t="inlineStr">
        <is>
          <t>TB</t>
        </is>
      </c>
    </row>
    <row r="1568" ht="16" customHeight="1" s="380">
      <c r="B1568" s="4" t="inlineStr">
        <is>
          <t>HSX02</t>
        </is>
      </c>
      <c r="C1568" s="334" t="n"/>
      <c r="D1568" s="334" t="inlineStr">
        <is>
          <t>Khối lượng giao dịch bán</t>
        </is>
      </c>
      <c r="F1568" s="4" t="inlineStr">
        <is>
          <t>Báo cáo</t>
        </is>
      </c>
      <c r="G1568" s="22" t="inlineStr">
        <is>
          <t>Chỉ tiêu phái sinh</t>
        </is>
      </c>
      <c r="H1568" s="4" t="inlineStr">
        <is>
          <t>TB</t>
        </is>
      </c>
    </row>
    <row r="1569" ht="16" customHeight="1" s="380">
      <c r="B1569" s="4" t="inlineStr">
        <is>
          <t>HSX02</t>
        </is>
      </c>
      <c r="C1569" s="334" t="n"/>
      <c r="D1569" s="334" t="inlineStr">
        <is>
          <t>Khối lượng mua/bán ròng</t>
        </is>
      </c>
      <c r="F1569" s="4" t="inlineStr">
        <is>
          <t>Báo cáo</t>
        </is>
      </c>
      <c r="G1569" s="22" t="inlineStr">
        <is>
          <t>Chỉ tiêu phái sinh</t>
        </is>
      </c>
      <c r="H1569" s="4" t="inlineStr">
        <is>
          <t>TB</t>
        </is>
      </c>
    </row>
    <row r="1570" ht="16" customHeight="1" s="380">
      <c r="B1570" s="4" t="inlineStr">
        <is>
          <t>HSX02</t>
        </is>
      </c>
      <c r="C1570" s="334" t="n"/>
      <c r="D1570" s="334" t="inlineStr">
        <is>
          <t>Giá trị giao dịch CW</t>
        </is>
      </c>
      <c r="F1570" s="4" t="inlineStr">
        <is>
          <t>Báo cáo</t>
        </is>
      </c>
      <c r="G1570" s="22" t="inlineStr">
        <is>
          <t>Chỉ tiêu phái sinh</t>
        </is>
      </c>
      <c r="H1570" s="4" t="inlineStr">
        <is>
          <t>TB</t>
        </is>
      </c>
    </row>
    <row r="1571" ht="16" customHeight="1" s="380">
      <c r="B1571" s="4" t="inlineStr">
        <is>
          <t>HSX02</t>
        </is>
      </c>
      <c r="C1571" s="334" t="n"/>
      <c r="D1571" s="334" t="inlineStr">
        <is>
          <t>Giá trị giao dịch mua</t>
        </is>
      </c>
      <c r="F1571" s="4" t="inlineStr">
        <is>
          <t>Báo cáo</t>
        </is>
      </c>
      <c r="G1571" s="22" t="inlineStr">
        <is>
          <t>Chỉ tiêu phái sinh</t>
        </is>
      </c>
      <c r="H1571" s="4" t="inlineStr">
        <is>
          <t>TB</t>
        </is>
      </c>
    </row>
    <row r="1572" ht="16" customHeight="1" s="380">
      <c r="B1572" s="4" t="inlineStr">
        <is>
          <t>HSX02</t>
        </is>
      </c>
      <c r="C1572" s="334" t="n"/>
      <c r="D1572" s="334" t="inlineStr">
        <is>
          <t>Giá trị giao dịch bán</t>
        </is>
      </c>
      <c r="F1572" s="4" t="inlineStr">
        <is>
          <t>Báo cáo</t>
        </is>
      </c>
      <c r="G1572" s="22" t="inlineStr">
        <is>
          <t>Chỉ tiêu phái sinh</t>
        </is>
      </c>
      <c r="H1572" s="4" t="inlineStr">
        <is>
          <t>TB</t>
        </is>
      </c>
    </row>
    <row r="1573" ht="16" customHeight="1" s="380">
      <c r="B1573" s="4" t="inlineStr">
        <is>
          <t>HSX02</t>
        </is>
      </c>
      <c r="C1573" s="334" t="n"/>
      <c r="D1573" s="334" t="inlineStr">
        <is>
          <t>Giá trị mua/bán ròng</t>
        </is>
      </c>
      <c r="F1573" s="4" t="inlineStr">
        <is>
          <t>Báo cáo</t>
        </is>
      </c>
      <c r="G1573" s="22" t="inlineStr">
        <is>
          <t>Chỉ tiêu phái sinh</t>
        </is>
      </c>
      <c r="H1573" s="4" t="inlineStr">
        <is>
          <t>TB</t>
        </is>
      </c>
    </row>
    <row r="1574" ht="13" customHeight="1" s="380">
      <c r="B1574" s="4" t="inlineStr">
        <is>
          <t>HSX02</t>
        </is>
      </c>
      <c r="C1574" s="211" t="n"/>
      <c r="D1574" s="211" t="inlineStr">
        <is>
          <t>Số phát sinh lũy lế đến cuối kỳ báo cáo</t>
        </is>
      </c>
      <c r="E1574" s="4" t="inlineStr">
        <is>
          <t>Số lũy kế cuối kỳ báo cáo năm nay</t>
        </is>
      </c>
      <c r="F1574" s="4" t="inlineStr">
        <is>
          <t>Báo cáo</t>
        </is>
      </c>
      <c r="G1574" s="4" t="inlineStr">
        <is>
          <t>Chiều</t>
        </is>
      </c>
    </row>
    <row r="1575" ht="15" customHeight="1" s="380">
      <c r="B1575" s="4" t="inlineStr">
        <is>
          <t>HSX02</t>
        </is>
      </c>
      <c r="C1575" s="326" t="n"/>
      <c r="D1575" s="326" t="inlineStr">
        <is>
          <t>Chỉ số VN-Index</t>
        </is>
      </c>
      <c r="F1575" s="4" t="inlineStr">
        <is>
          <t>Báo cáo</t>
        </is>
      </c>
      <c r="G1575" s="4" t="inlineStr">
        <is>
          <t>Chỉ tiêu cơ sở</t>
        </is>
      </c>
      <c r="H1575" s="4" t="inlineStr">
        <is>
          <t>Dễ</t>
        </is>
      </c>
    </row>
    <row r="1576" ht="15" customHeight="1" s="380">
      <c r="B1576" s="4" t="inlineStr">
        <is>
          <t>HSX02</t>
        </is>
      </c>
      <c r="C1576" s="326" t="n"/>
      <c r="D1576" s="326" t="inlineStr">
        <is>
          <t>Giá trị chứng khoán giao dịch</t>
        </is>
      </c>
      <c r="F1576" s="4" t="inlineStr">
        <is>
          <t>Báo cáo</t>
        </is>
      </c>
      <c r="G1576" s="22" t="inlineStr">
        <is>
          <t>Chỉ tiêu phái sinh</t>
        </is>
      </c>
      <c r="H1576" s="4" t="inlineStr">
        <is>
          <t>TB</t>
        </is>
      </c>
    </row>
    <row r="1577" ht="15" customHeight="1" s="380">
      <c r="B1577" s="4" t="inlineStr">
        <is>
          <t>HSX02</t>
        </is>
      </c>
      <c r="C1577" s="328" t="n"/>
      <c r="D1577" s="328" t="inlineStr">
        <is>
          <t>Cổ phiếu niêm yết</t>
        </is>
      </c>
      <c r="F1577" s="4" t="inlineStr">
        <is>
          <t>Báo cáo</t>
        </is>
      </c>
      <c r="G1577" s="22" t="inlineStr">
        <is>
          <t>Chỉ tiêu phái sinh</t>
        </is>
      </c>
      <c r="H1577" s="4" t="inlineStr">
        <is>
          <t>TB</t>
        </is>
      </c>
    </row>
    <row r="1578" ht="15" customHeight="1" s="380">
      <c r="B1578" s="4" t="inlineStr">
        <is>
          <t>HSX02</t>
        </is>
      </c>
      <c r="C1578" s="328" t="n"/>
      <c r="D1578" s="328" t="inlineStr">
        <is>
          <t>Trái phiếu chính quyền địa phương</t>
        </is>
      </c>
      <c r="F1578" s="4" t="inlineStr">
        <is>
          <t>Báo cáo</t>
        </is>
      </c>
      <c r="G1578" s="22" t="inlineStr">
        <is>
          <t>Chỉ tiêu phái sinh</t>
        </is>
      </c>
      <c r="H1578" s="4" t="inlineStr">
        <is>
          <t>TB</t>
        </is>
      </c>
    </row>
    <row r="1579" ht="15" customHeight="1" s="380">
      <c r="B1579" s="4" t="inlineStr">
        <is>
          <t>HSX02</t>
        </is>
      </c>
      <c r="C1579" s="328" t="n"/>
      <c r="D1579" s="328" t="inlineStr">
        <is>
          <t>Trái phiếu doanh nghiệp</t>
        </is>
      </c>
      <c r="F1579" s="4" t="inlineStr">
        <is>
          <t>Báo cáo</t>
        </is>
      </c>
      <c r="G1579" s="22" t="inlineStr">
        <is>
          <t>Chỉ tiêu phái sinh</t>
        </is>
      </c>
      <c r="H1579" s="4" t="inlineStr">
        <is>
          <t>TB</t>
        </is>
      </c>
    </row>
    <row r="1580" ht="15" customHeight="1" s="380">
      <c r="B1580" s="4" t="inlineStr">
        <is>
          <t>HSX02</t>
        </is>
      </c>
      <c r="C1580" s="328" t="n"/>
      <c r="D1580" s="328" t="inlineStr">
        <is>
          <t>Chứng chỉ quỹ</t>
        </is>
      </c>
      <c r="F1580" s="4" t="inlineStr">
        <is>
          <t>Báo cáo</t>
        </is>
      </c>
      <c r="G1580" s="22" t="inlineStr">
        <is>
          <t>Chỉ tiêu phái sinh</t>
        </is>
      </c>
      <c r="H1580" s="4" t="inlineStr">
        <is>
          <t>TB</t>
        </is>
      </c>
    </row>
    <row r="1581" ht="15" customHeight="1" s="380">
      <c r="B1581" s="4" t="inlineStr">
        <is>
          <t>HSX02</t>
        </is>
      </c>
      <c r="C1581" s="328" t="n"/>
      <c r="D1581" s="328" t="inlineStr">
        <is>
          <t>ETF</t>
        </is>
      </c>
      <c r="F1581" s="4" t="inlineStr">
        <is>
          <t>Báo cáo</t>
        </is>
      </c>
      <c r="G1581" s="22" t="inlineStr">
        <is>
          <t>Chỉ tiêu phái sinh</t>
        </is>
      </c>
      <c r="H1581" s="4" t="inlineStr">
        <is>
          <t>TB</t>
        </is>
      </c>
    </row>
    <row r="1582" ht="15" customHeight="1" s="380">
      <c r="B1582" s="4" t="inlineStr">
        <is>
          <t>HSX02</t>
        </is>
      </c>
      <c r="C1582" s="328" t="n"/>
      <c r="D1582" s="328" t="inlineStr">
        <is>
          <t>Chứng quyền có bảo đảm (CW)</t>
        </is>
      </c>
      <c r="F1582" s="4" t="inlineStr">
        <is>
          <t>Báo cáo</t>
        </is>
      </c>
      <c r="G1582" s="22" t="inlineStr">
        <is>
          <t>Chỉ tiêu phái sinh</t>
        </is>
      </c>
      <c r="H1582" s="4" t="inlineStr">
        <is>
          <t>TB</t>
        </is>
      </c>
    </row>
    <row r="1583" ht="15" customHeight="1" s="380">
      <c r="B1583" s="4" t="inlineStr">
        <is>
          <t>HSX02</t>
        </is>
      </c>
      <c r="C1583" s="326" t="n"/>
      <c r="D1583" s="326" t="inlineStr">
        <is>
          <t>Khối lượng chứng khoán giao dịch</t>
        </is>
      </c>
      <c r="F1583" s="4" t="inlineStr">
        <is>
          <t>Báo cáo</t>
        </is>
      </c>
      <c r="G1583" s="22" t="inlineStr">
        <is>
          <t>Chỉ tiêu phái sinh</t>
        </is>
      </c>
      <c r="H1583" s="4" t="inlineStr">
        <is>
          <t>TB</t>
        </is>
      </c>
    </row>
    <row r="1584" ht="15" customHeight="1" s="380">
      <c r="B1584" s="4" t="inlineStr">
        <is>
          <t>HSX02</t>
        </is>
      </c>
      <c r="C1584" s="328" t="n"/>
      <c r="D1584" s="328" t="inlineStr">
        <is>
          <t>Cổ phiếu niêm yết</t>
        </is>
      </c>
      <c r="F1584" s="4" t="inlineStr">
        <is>
          <t>Báo cáo</t>
        </is>
      </c>
      <c r="G1584" s="22" t="inlineStr">
        <is>
          <t>Chỉ tiêu phái sinh</t>
        </is>
      </c>
      <c r="H1584" s="4" t="inlineStr">
        <is>
          <t>TB</t>
        </is>
      </c>
    </row>
    <row r="1585" ht="15" customHeight="1" s="380">
      <c r="B1585" s="4" t="inlineStr">
        <is>
          <t>HSX02</t>
        </is>
      </c>
      <c r="C1585" s="328" t="n"/>
      <c r="D1585" s="328" t="inlineStr">
        <is>
          <t>Trái phiếu chính quyền địa phương</t>
        </is>
      </c>
      <c r="F1585" s="4" t="inlineStr">
        <is>
          <t>Báo cáo</t>
        </is>
      </c>
      <c r="G1585" s="22" t="inlineStr">
        <is>
          <t>Chỉ tiêu phái sinh</t>
        </is>
      </c>
      <c r="H1585" s="4" t="inlineStr">
        <is>
          <t>TB</t>
        </is>
      </c>
    </row>
    <row r="1586" ht="15" customHeight="1" s="380">
      <c r="B1586" s="4" t="inlineStr">
        <is>
          <t>HSX02</t>
        </is>
      </c>
      <c r="C1586" s="328" t="n"/>
      <c r="D1586" s="328" t="inlineStr">
        <is>
          <t>Trái phiếu doanh nghiệp</t>
        </is>
      </c>
      <c r="F1586" s="4" t="inlineStr">
        <is>
          <t>Báo cáo</t>
        </is>
      </c>
      <c r="G1586" s="22" t="inlineStr">
        <is>
          <t>Chỉ tiêu phái sinh</t>
        </is>
      </c>
      <c r="H1586" s="4" t="inlineStr">
        <is>
          <t>TB</t>
        </is>
      </c>
    </row>
    <row r="1587" ht="15" customHeight="1" s="380">
      <c r="B1587" s="4" t="inlineStr">
        <is>
          <t>HSX02</t>
        </is>
      </c>
      <c r="C1587" s="328" t="n"/>
      <c r="D1587" s="328" t="inlineStr">
        <is>
          <t>Chứng chỉ quỹ</t>
        </is>
      </c>
      <c r="F1587" s="4" t="inlineStr">
        <is>
          <t>Báo cáo</t>
        </is>
      </c>
      <c r="G1587" s="22" t="inlineStr">
        <is>
          <t>Chỉ tiêu phái sinh</t>
        </is>
      </c>
      <c r="H1587" s="4" t="inlineStr">
        <is>
          <t>TB</t>
        </is>
      </c>
    </row>
    <row r="1588" ht="15" customHeight="1" s="380">
      <c r="B1588" s="4" t="inlineStr">
        <is>
          <t>HSX02</t>
        </is>
      </c>
      <c r="C1588" s="328" t="n"/>
      <c r="D1588" s="328" t="inlineStr">
        <is>
          <t>ETF</t>
        </is>
      </c>
      <c r="F1588" s="4" t="inlineStr">
        <is>
          <t>Báo cáo</t>
        </is>
      </c>
      <c r="G1588" s="22" t="inlineStr">
        <is>
          <t>Chỉ tiêu phái sinh</t>
        </is>
      </c>
      <c r="H1588" s="4" t="inlineStr">
        <is>
          <t>TB</t>
        </is>
      </c>
    </row>
    <row r="1589" ht="15" customHeight="1" s="380">
      <c r="B1589" s="4" t="inlineStr">
        <is>
          <t>HSX02</t>
        </is>
      </c>
      <c r="C1589" s="328" t="n"/>
      <c r="D1589" s="328" t="inlineStr">
        <is>
          <t>CW</t>
        </is>
      </c>
      <c r="F1589" s="4" t="inlineStr">
        <is>
          <t>Báo cáo</t>
        </is>
      </c>
      <c r="G1589" s="22" t="inlineStr">
        <is>
          <t>Chỉ tiêu phái sinh</t>
        </is>
      </c>
      <c r="H1589" s="4" t="inlineStr">
        <is>
          <t>TB</t>
        </is>
      </c>
    </row>
    <row r="1590" ht="15" customHeight="1" s="380">
      <c r="B1590" s="4" t="inlineStr">
        <is>
          <t>HSX02</t>
        </is>
      </c>
      <c r="C1590" s="326" t="n"/>
      <c r="D1590" s="326" t="inlineStr">
        <is>
          <t>Khối lượng chứng khoán niêm yết</t>
        </is>
      </c>
      <c r="F1590" s="4" t="inlineStr">
        <is>
          <t>Báo cáo</t>
        </is>
      </c>
      <c r="G1590" s="22" t="inlineStr">
        <is>
          <t>Chỉ tiêu phái sinh</t>
        </is>
      </c>
      <c r="H1590" s="4" t="inlineStr">
        <is>
          <t>TB</t>
        </is>
      </c>
    </row>
    <row r="1591" ht="15" customHeight="1" s="380">
      <c r="B1591" s="4" t="inlineStr">
        <is>
          <t>HSX02</t>
        </is>
      </c>
      <c r="C1591" s="328" t="n"/>
      <c r="D1591" s="328" t="inlineStr">
        <is>
          <t>Cổ phiếu niêm yết</t>
        </is>
      </c>
      <c r="F1591" s="4" t="inlineStr">
        <is>
          <t>Báo cáo</t>
        </is>
      </c>
      <c r="G1591" s="22" t="inlineStr">
        <is>
          <t>Chỉ tiêu phái sinh</t>
        </is>
      </c>
      <c r="H1591" s="4" t="inlineStr">
        <is>
          <t>TB</t>
        </is>
      </c>
    </row>
    <row r="1592" ht="15" customHeight="1" s="380">
      <c r="B1592" s="4" t="inlineStr">
        <is>
          <t>HSX02</t>
        </is>
      </c>
      <c r="C1592" s="328" t="n"/>
      <c r="D1592" s="328" t="inlineStr">
        <is>
          <t>Trái phiếu chính quyền địa phương</t>
        </is>
      </c>
      <c r="F1592" s="4" t="inlineStr">
        <is>
          <t>Báo cáo</t>
        </is>
      </c>
      <c r="G1592" s="22" t="inlineStr">
        <is>
          <t>Chỉ tiêu phái sinh</t>
        </is>
      </c>
      <c r="H1592" s="4" t="inlineStr">
        <is>
          <t>TB</t>
        </is>
      </c>
    </row>
    <row r="1593" ht="15" customHeight="1" s="380">
      <c r="B1593" s="4" t="inlineStr">
        <is>
          <t>HSX02</t>
        </is>
      </c>
      <c r="C1593" s="328" t="n"/>
      <c r="D1593" s="328" t="inlineStr">
        <is>
          <t>Trái phiếu doanh nghiệp</t>
        </is>
      </c>
      <c r="F1593" s="4" t="inlineStr">
        <is>
          <t>Báo cáo</t>
        </is>
      </c>
      <c r="G1593" s="22" t="inlineStr">
        <is>
          <t>Chỉ tiêu phái sinh</t>
        </is>
      </c>
      <c r="H1593" s="4" t="inlineStr">
        <is>
          <t>TB</t>
        </is>
      </c>
    </row>
    <row r="1594" ht="15" customHeight="1" s="380">
      <c r="B1594" s="4" t="inlineStr">
        <is>
          <t>HSX02</t>
        </is>
      </c>
      <c r="C1594" s="328" t="n"/>
      <c r="D1594" s="328" t="inlineStr">
        <is>
          <t>Chứng chỉ quỹ</t>
        </is>
      </c>
      <c r="F1594" s="4" t="inlineStr">
        <is>
          <t>Báo cáo</t>
        </is>
      </c>
      <c r="G1594" s="22" t="inlineStr">
        <is>
          <t>Chỉ tiêu phái sinh</t>
        </is>
      </c>
      <c r="H1594" s="4" t="inlineStr">
        <is>
          <t>TB</t>
        </is>
      </c>
    </row>
    <row r="1595" ht="15" customHeight="1" s="380">
      <c r="B1595" s="4" t="inlineStr">
        <is>
          <t>HSX02</t>
        </is>
      </c>
      <c r="C1595" s="328" t="n"/>
      <c r="D1595" s="328" t="inlineStr">
        <is>
          <t>ETF</t>
        </is>
      </c>
      <c r="F1595" s="4" t="inlineStr">
        <is>
          <t>Báo cáo</t>
        </is>
      </c>
      <c r="G1595" s="22" t="inlineStr">
        <is>
          <t>Chỉ tiêu phái sinh</t>
        </is>
      </c>
      <c r="H1595" s="4" t="inlineStr">
        <is>
          <t>TB</t>
        </is>
      </c>
    </row>
    <row r="1596" ht="15" customHeight="1" s="380">
      <c r="B1596" s="4" t="inlineStr">
        <is>
          <t>HSX02</t>
        </is>
      </c>
      <c r="C1596" s="328" t="n"/>
      <c r="D1596" s="328" t="inlineStr">
        <is>
          <t>CW</t>
        </is>
      </c>
      <c r="F1596" s="4" t="inlineStr">
        <is>
          <t>Báo cáo</t>
        </is>
      </c>
      <c r="G1596" s="22" t="inlineStr">
        <is>
          <t>Chỉ tiêu phái sinh</t>
        </is>
      </c>
      <c r="H1596" s="4" t="inlineStr">
        <is>
          <t>TB</t>
        </is>
      </c>
    </row>
    <row r="1597" ht="15" customHeight="1" s="380">
      <c r="B1597" s="4" t="inlineStr">
        <is>
          <t>HSX02</t>
        </is>
      </c>
      <c r="C1597" s="326" t="n"/>
      <c r="D1597" s="326" t="inlineStr">
        <is>
          <t>Giá trị chứng khoán niêm yết</t>
        </is>
      </c>
      <c r="F1597" s="4" t="inlineStr">
        <is>
          <t>Báo cáo</t>
        </is>
      </c>
      <c r="G1597" s="22" t="inlineStr">
        <is>
          <t>Chỉ tiêu phái sinh</t>
        </is>
      </c>
      <c r="H1597" s="4" t="inlineStr">
        <is>
          <t>TB</t>
        </is>
      </c>
    </row>
    <row r="1598" ht="15" customHeight="1" s="380">
      <c r="B1598" s="4" t="inlineStr">
        <is>
          <t>HSX02</t>
        </is>
      </c>
      <c r="C1598" s="328" t="n"/>
      <c r="D1598" s="328" t="inlineStr">
        <is>
          <t>Cổ phiếu niêm yết</t>
        </is>
      </c>
      <c r="F1598" s="4" t="inlineStr">
        <is>
          <t>Báo cáo</t>
        </is>
      </c>
      <c r="G1598" s="22" t="inlineStr">
        <is>
          <t>Chỉ tiêu phái sinh</t>
        </is>
      </c>
      <c r="H1598" s="4" t="inlineStr">
        <is>
          <t>TB</t>
        </is>
      </c>
    </row>
    <row r="1599" ht="15" customHeight="1" s="380">
      <c r="B1599" s="4" t="inlineStr">
        <is>
          <t>HSX02</t>
        </is>
      </c>
      <c r="C1599" s="328" t="n"/>
      <c r="D1599" s="328" t="inlineStr">
        <is>
          <t>Trái phiếu chính quyền địa phương</t>
        </is>
      </c>
      <c r="F1599" s="4" t="inlineStr">
        <is>
          <t>Báo cáo</t>
        </is>
      </c>
      <c r="G1599" s="22" t="inlineStr">
        <is>
          <t>Chỉ tiêu phái sinh</t>
        </is>
      </c>
      <c r="H1599" s="4" t="inlineStr">
        <is>
          <t>TB</t>
        </is>
      </c>
    </row>
    <row r="1600" ht="15" customHeight="1" s="380">
      <c r="B1600" s="4" t="inlineStr">
        <is>
          <t>HSX02</t>
        </is>
      </c>
      <c r="C1600" s="328" t="n"/>
      <c r="D1600" s="328" t="inlineStr">
        <is>
          <t>Trái phiếu doanh nghiệp</t>
        </is>
      </c>
      <c r="F1600" s="4" t="inlineStr">
        <is>
          <t>Báo cáo</t>
        </is>
      </c>
      <c r="G1600" s="22" t="inlineStr">
        <is>
          <t>Chỉ tiêu phái sinh</t>
        </is>
      </c>
      <c r="H1600" s="4" t="inlineStr">
        <is>
          <t>TB</t>
        </is>
      </c>
    </row>
    <row r="1601" ht="15" customHeight="1" s="380">
      <c r="B1601" s="4" t="inlineStr">
        <is>
          <t>HSX02</t>
        </is>
      </c>
      <c r="C1601" s="328" t="n"/>
      <c r="D1601" s="328" t="inlineStr">
        <is>
          <t>Chứng chỉ quỹ</t>
        </is>
      </c>
      <c r="F1601" s="4" t="inlineStr">
        <is>
          <t>Báo cáo</t>
        </is>
      </c>
      <c r="G1601" s="22" t="inlineStr">
        <is>
          <t>Chỉ tiêu phái sinh</t>
        </is>
      </c>
      <c r="H1601" s="4" t="inlineStr">
        <is>
          <t>TB</t>
        </is>
      </c>
    </row>
    <row r="1602" ht="15" customHeight="1" s="380">
      <c r="B1602" s="4" t="inlineStr">
        <is>
          <t>HSX02</t>
        </is>
      </c>
      <c r="C1602" s="328" t="n"/>
      <c r="D1602" s="328" t="inlineStr">
        <is>
          <t>ETF</t>
        </is>
      </c>
      <c r="F1602" s="4" t="inlineStr">
        <is>
          <t>Báo cáo</t>
        </is>
      </c>
      <c r="G1602" s="22" t="inlineStr">
        <is>
          <t>Chỉ tiêu phái sinh</t>
        </is>
      </c>
      <c r="H1602" s="4" t="inlineStr">
        <is>
          <t>TB</t>
        </is>
      </c>
    </row>
    <row r="1603" ht="15" customHeight="1" s="380">
      <c r="B1603" s="4" t="inlineStr">
        <is>
          <t>HSX02</t>
        </is>
      </c>
      <c r="C1603" s="328" t="n"/>
      <c r="D1603" s="328" t="inlineStr">
        <is>
          <t>CW</t>
        </is>
      </c>
      <c r="F1603" s="4" t="inlineStr">
        <is>
          <t>Báo cáo</t>
        </is>
      </c>
      <c r="G1603" s="22" t="inlineStr">
        <is>
          <t>Chỉ tiêu phái sinh</t>
        </is>
      </c>
      <c r="H1603" s="4" t="inlineStr">
        <is>
          <t>TB</t>
        </is>
      </c>
    </row>
    <row r="1604" ht="16" customHeight="1" s="380">
      <c r="B1604" s="4" t="inlineStr">
        <is>
          <t>HSX02</t>
        </is>
      </c>
      <c r="C1604" s="330" t="n"/>
      <c r="D1604" s="330" t="inlineStr">
        <is>
          <t>Vốn hóa thị trường cổ phiếu</t>
        </is>
      </c>
      <c r="F1604" s="4" t="inlineStr">
        <is>
          <t>Báo cáo</t>
        </is>
      </c>
      <c r="G1604" s="22" t="inlineStr">
        <is>
          <t>Chỉ tiêu phái sinh</t>
        </is>
      </c>
      <c r="H1604" s="4" t="inlineStr">
        <is>
          <t>TB</t>
        </is>
      </c>
    </row>
    <row r="1605" ht="16" customHeight="1" s="380">
      <c r="B1605" s="4" t="inlineStr">
        <is>
          <t>HSX02</t>
        </is>
      </c>
      <c r="C1605" s="330" t="n"/>
      <c r="D1605" s="330" t="inlineStr">
        <is>
          <t>Khối lượng chứng khoán niêm yết mới</t>
        </is>
      </c>
      <c r="F1605" s="4" t="inlineStr">
        <is>
          <t>Báo cáo</t>
        </is>
      </c>
      <c r="G1605" s="22" t="inlineStr">
        <is>
          <t>Chỉ tiêu phái sinh</t>
        </is>
      </c>
      <c r="H1605" s="4" t="inlineStr">
        <is>
          <t>TB</t>
        </is>
      </c>
    </row>
    <row r="1606" ht="15" customHeight="1" s="380">
      <c r="B1606" s="4" t="inlineStr">
        <is>
          <t>HSX02</t>
        </is>
      </c>
      <c r="C1606" s="328" t="n"/>
      <c r="D1606" s="328" t="inlineStr">
        <is>
          <t>Cổ phiếu niêm yết</t>
        </is>
      </c>
      <c r="F1606" s="4" t="inlineStr">
        <is>
          <t>Báo cáo</t>
        </is>
      </c>
      <c r="G1606" s="22" t="inlineStr">
        <is>
          <t>Chỉ tiêu phái sinh</t>
        </is>
      </c>
      <c r="H1606" s="4" t="inlineStr">
        <is>
          <t>TB</t>
        </is>
      </c>
    </row>
    <row r="1607" ht="15" customHeight="1" s="380">
      <c r="B1607" s="4" t="inlineStr">
        <is>
          <t>HSX02</t>
        </is>
      </c>
      <c r="C1607" s="328" t="n"/>
      <c r="D1607" s="328" t="inlineStr">
        <is>
          <t>Trái phiếu chính quyền địa phương</t>
        </is>
      </c>
      <c r="F1607" s="4" t="inlineStr">
        <is>
          <t>Báo cáo</t>
        </is>
      </c>
      <c r="G1607" s="22" t="inlineStr">
        <is>
          <t>Chỉ tiêu phái sinh</t>
        </is>
      </c>
      <c r="H1607" s="4" t="inlineStr">
        <is>
          <t>TB</t>
        </is>
      </c>
    </row>
    <row r="1608" ht="15" customHeight="1" s="380">
      <c r="B1608" s="4" t="inlineStr">
        <is>
          <t>HSX02</t>
        </is>
      </c>
      <c r="C1608" s="328" t="n"/>
      <c r="D1608" s="328" t="inlineStr">
        <is>
          <t>Trái phiếu doanh nghiệp</t>
        </is>
      </c>
      <c r="F1608" s="4" t="inlineStr">
        <is>
          <t>Báo cáo</t>
        </is>
      </c>
      <c r="G1608" s="22" t="inlineStr">
        <is>
          <t>Chỉ tiêu phái sinh</t>
        </is>
      </c>
      <c r="H1608" s="4" t="inlineStr">
        <is>
          <t>TB</t>
        </is>
      </c>
    </row>
    <row r="1609" ht="15" customHeight="1" s="380">
      <c r="B1609" s="4" t="inlineStr">
        <is>
          <t>HSX02</t>
        </is>
      </c>
      <c r="C1609" s="328" t="n"/>
      <c r="D1609" s="328" t="inlineStr">
        <is>
          <t>Chứng chỉ quỹ</t>
        </is>
      </c>
      <c r="F1609" s="4" t="inlineStr">
        <is>
          <t>Báo cáo</t>
        </is>
      </c>
      <c r="G1609" s="22" t="inlineStr">
        <is>
          <t>Chỉ tiêu phái sinh</t>
        </is>
      </c>
      <c r="H1609" s="4" t="inlineStr">
        <is>
          <t>TB</t>
        </is>
      </c>
    </row>
    <row r="1610" ht="15" customHeight="1" s="380">
      <c r="B1610" s="4" t="inlineStr">
        <is>
          <t>HSX02</t>
        </is>
      </c>
      <c r="C1610" s="328" t="n"/>
      <c r="D1610" s="328" t="inlineStr">
        <is>
          <t>ETF</t>
        </is>
      </c>
      <c r="F1610" s="4" t="inlineStr">
        <is>
          <t>Báo cáo</t>
        </is>
      </c>
      <c r="G1610" s="22" t="inlineStr">
        <is>
          <t>Chỉ tiêu phái sinh</t>
        </is>
      </c>
      <c r="H1610" s="4" t="inlineStr">
        <is>
          <t>TB</t>
        </is>
      </c>
    </row>
    <row r="1611" ht="15" customHeight="1" s="380">
      <c r="B1611" s="4" t="inlineStr">
        <is>
          <t>HSX02</t>
        </is>
      </c>
      <c r="C1611" s="328" t="n"/>
      <c r="D1611" s="328" t="inlineStr">
        <is>
          <t>CW</t>
        </is>
      </c>
      <c r="F1611" s="4" t="inlineStr">
        <is>
          <t>Báo cáo</t>
        </is>
      </c>
      <c r="G1611" s="22" t="inlineStr">
        <is>
          <t>Chỉ tiêu phái sinh</t>
        </is>
      </c>
      <c r="H1611" s="4" t="inlineStr">
        <is>
          <t>TB</t>
        </is>
      </c>
    </row>
    <row r="1612" ht="16" customHeight="1" s="380">
      <c r="B1612" s="4" t="inlineStr">
        <is>
          <t>HSX02</t>
        </is>
      </c>
      <c r="C1612" s="330" t="n"/>
      <c r="D1612" s="330" t="inlineStr">
        <is>
          <t>Giá trị chứng khoán niêm yết mới</t>
        </is>
      </c>
      <c r="F1612" s="4" t="inlineStr">
        <is>
          <t>Báo cáo</t>
        </is>
      </c>
      <c r="G1612" s="22" t="inlineStr">
        <is>
          <t>Chỉ tiêu phái sinh</t>
        </is>
      </c>
      <c r="H1612" s="4" t="inlineStr">
        <is>
          <t>TB</t>
        </is>
      </c>
    </row>
    <row r="1613" ht="15" customHeight="1" s="380">
      <c r="B1613" s="4" t="inlineStr">
        <is>
          <t>HSX02</t>
        </is>
      </c>
      <c r="C1613" s="328" t="n"/>
      <c r="D1613" s="328" t="inlineStr">
        <is>
          <t>Cổ phiếu niêm yết</t>
        </is>
      </c>
      <c r="F1613" s="4" t="inlineStr">
        <is>
          <t>Báo cáo</t>
        </is>
      </c>
      <c r="G1613" s="22" t="inlineStr">
        <is>
          <t>Chỉ tiêu phái sinh</t>
        </is>
      </c>
      <c r="H1613" s="4" t="inlineStr">
        <is>
          <t>TB</t>
        </is>
      </c>
    </row>
    <row r="1614" ht="15" customHeight="1" s="380">
      <c r="B1614" s="4" t="inlineStr">
        <is>
          <t>HSX02</t>
        </is>
      </c>
      <c r="C1614" s="328" t="n"/>
      <c r="D1614" s="328" t="inlineStr">
        <is>
          <t>Trái phiếu chính quyền địa phương</t>
        </is>
      </c>
      <c r="F1614" s="4" t="inlineStr">
        <is>
          <t>Báo cáo</t>
        </is>
      </c>
      <c r="G1614" s="22" t="inlineStr">
        <is>
          <t>Chỉ tiêu phái sinh</t>
        </is>
      </c>
      <c r="H1614" s="4" t="inlineStr">
        <is>
          <t>TB</t>
        </is>
      </c>
    </row>
    <row r="1615" ht="15" customHeight="1" s="380">
      <c r="B1615" s="4" t="inlineStr">
        <is>
          <t>HSX02</t>
        </is>
      </c>
      <c r="C1615" s="328" t="n"/>
      <c r="D1615" s="328" t="inlineStr">
        <is>
          <t>Trái phiếu doanh nghiệp</t>
        </is>
      </c>
      <c r="F1615" s="4" t="inlineStr">
        <is>
          <t>Báo cáo</t>
        </is>
      </c>
      <c r="G1615" s="22" t="inlineStr">
        <is>
          <t>Chỉ tiêu phái sinh</t>
        </is>
      </c>
      <c r="H1615" s="4" t="inlineStr">
        <is>
          <t>TB</t>
        </is>
      </c>
    </row>
    <row r="1616" ht="15" customHeight="1" s="380">
      <c r="B1616" s="4" t="inlineStr">
        <is>
          <t>HSX02</t>
        </is>
      </c>
      <c r="C1616" s="328" t="n"/>
      <c r="D1616" s="328" t="inlineStr">
        <is>
          <t>Chứng chỉ quỹ</t>
        </is>
      </c>
      <c r="F1616" s="4" t="inlineStr">
        <is>
          <t>Báo cáo</t>
        </is>
      </c>
      <c r="G1616" s="22" t="inlineStr">
        <is>
          <t>Chỉ tiêu phái sinh</t>
        </is>
      </c>
      <c r="H1616" s="4" t="inlineStr">
        <is>
          <t>TB</t>
        </is>
      </c>
    </row>
    <row r="1617" ht="15" customHeight="1" s="380">
      <c r="B1617" s="4" t="inlineStr">
        <is>
          <t>HSX02</t>
        </is>
      </c>
      <c r="C1617" s="328" t="n"/>
      <c r="D1617" s="328" t="inlineStr">
        <is>
          <t>ETF</t>
        </is>
      </c>
      <c r="F1617" s="4" t="inlineStr">
        <is>
          <t>Báo cáo</t>
        </is>
      </c>
      <c r="G1617" s="22" t="inlineStr">
        <is>
          <t>Chỉ tiêu phái sinh</t>
        </is>
      </c>
      <c r="H1617" s="4" t="inlineStr">
        <is>
          <t>TB</t>
        </is>
      </c>
    </row>
    <row r="1618" ht="15" customHeight="1" s="380">
      <c r="B1618" s="4" t="inlineStr">
        <is>
          <t>HSX02</t>
        </is>
      </c>
      <c r="C1618" s="328" t="n"/>
      <c r="D1618" s="328" t="inlineStr">
        <is>
          <t>CW</t>
        </is>
      </c>
      <c r="F1618" s="4" t="inlineStr">
        <is>
          <t>Báo cáo</t>
        </is>
      </c>
      <c r="G1618" s="22" t="inlineStr">
        <is>
          <t>Chỉ tiêu phái sinh</t>
        </is>
      </c>
      <c r="H1618" s="4" t="inlineStr">
        <is>
          <t>TB</t>
        </is>
      </c>
    </row>
    <row r="1619" ht="16" customHeight="1" s="380">
      <c r="B1619" s="4" t="inlineStr">
        <is>
          <t>HSX02</t>
        </is>
      </c>
      <c r="C1619" s="330" t="n"/>
      <c r="D1619" s="330" t="inlineStr">
        <is>
          <t>Khối lượng chứng khoán niêm yết bổ sung</t>
        </is>
      </c>
      <c r="F1619" s="4" t="inlineStr">
        <is>
          <t>Báo cáo</t>
        </is>
      </c>
      <c r="G1619" s="22" t="inlineStr">
        <is>
          <t>Chỉ tiêu phái sinh</t>
        </is>
      </c>
      <c r="H1619" s="4" t="inlineStr">
        <is>
          <t>TB</t>
        </is>
      </c>
    </row>
    <row r="1620" ht="15" customHeight="1" s="380">
      <c r="B1620" s="4" t="inlineStr">
        <is>
          <t>HSX02</t>
        </is>
      </c>
      <c r="C1620" s="328" t="n"/>
      <c r="D1620" s="328" t="inlineStr">
        <is>
          <t>Cổ phiếu niêm yết</t>
        </is>
      </c>
      <c r="F1620" s="4" t="inlineStr">
        <is>
          <t>Báo cáo</t>
        </is>
      </c>
      <c r="G1620" s="22" t="inlineStr">
        <is>
          <t>Chỉ tiêu phái sinh</t>
        </is>
      </c>
      <c r="H1620" s="4" t="inlineStr">
        <is>
          <t>TB</t>
        </is>
      </c>
    </row>
    <row r="1621" ht="15" customHeight="1" s="380">
      <c r="B1621" s="4" t="inlineStr">
        <is>
          <t>HSX02</t>
        </is>
      </c>
      <c r="C1621" s="328" t="n"/>
      <c r="D1621" s="328" t="inlineStr">
        <is>
          <t>Trái phiếu chính quyền địa phương</t>
        </is>
      </c>
      <c r="F1621" s="4" t="inlineStr">
        <is>
          <t>Báo cáo</t>
        </is>
      </c>
      <c r="G1621" s="22" t="inlineStr">
        <is>
          <t>Chỉ tiêu phái sinh</t>
        </is>
      </c>
      <c r="H1621" s="4" t="inlineStr">
        <is>
          <t>TB</t>
        </is>
      </c>
    </row>
    <row r="1622" ht="15" customHeight="1" s="380">
      <c r="B1622" s="4" t="inlineStr">
        <is>
          <t>HSX02</t>
        </is>
      </c>
      <c r="C1622" s="328" t="n"/>
      <c r="D1622" s="328" t="inlineStr">
        <is>
          <t>Trái phiếu doanh nghiệp</t>
        </is>
      </c>
      <c r="F1622" s="4" t="inlineStr">
        <is>
          <t>Báo cáo</t>
        </is>
      </c>
      <c r="G1622" s="22" t="inlineStr">
        <is>
          <t>Chỉ tiêu phái sinh</t>
        </is>
      </c>
      <c r="H1622" s="4" t="inlineStr">
        <is>
          <t>TB</t>
        </is>
      </c>
    </row>
    <row r="1623" ht="15" customHeight="1" s="380">
      <c r="B1623" s="4" t="inlineStr">
        <is>
          <t>HSX02</t>
        </is>
      </c>
      <c r="C1623" s="328" t="n"/>
      <c r="D1623" s="328" t="inlineStr">
        <is>
          <t>Chứng chỉ quỹ</t>
        </is>
      </c>
      <c r="F1623" s="4" t="inlineStr">
        <is>
          <t>Báo cáo</t>
        </is>
      </c>
      <c r="G1623" s="22" t="inlineStr">
        <is>
          <t>Chỉ tiêu phái sinh</t>
        </is>
      </c>
      <c r="H1623" s="4" t="inlineStr">
        <is>
          <t>TB</t>
        </is>
      </c>
    </row>
    <row r="1624" ht="15" customHeight="1" s="380">
      <c r="B1624" s="4" t="inlineStr">
        <is>
          <t>HSX02</t>
        </is>
      </c>
      <c r="C1624" s="328" t="n"/>
      <c r="D1624" s="328" t="inlineStr">
        <is>
          <t>ETF</t>
        </is>
      </c>
      <c r="F1624" s="4" t="inlineStr">
        <is>
          <t>Báo cáo</t>
        </is>
      </c>
      <c r="G1624" s="22" t="inlineStr">
        <is>
          <t>Chỉ tiêu phái sinh</t>
        </is>
      </c>
      <c r="H1624" s="4" t="inlineStr">
        <is>
          <t>TB</t>
        </is>
      </c>
    </row>
    <row r="1625" ht="15" customHeight="1" s="380">
      <c r="B1625" s="4" t="inlineStr">
        <is>
          <t>HSX02</t>
        </is>
      </c>
      <c r="C1625" s="328" t="n"/>
      <c r="D1625" s="328" t="inlineStr">
        <is>
          <t>CW</t>
        </is>
      </c>
      <c r="F1625" s="4" t="inlineStr">
        <is>
          <t>Báo cáo</t>
        </is>
      </c>
      <c r="G1625" s="22" t="inlineStr">
        <is>
          <t>Chỉ tiêu phái sinh</t>
        </is>
      </c>
      <c r="H1625" s="4" t="inlineStr">
        <is>
          <t>TB</t>
        </is>
      </c>
    </row>
    <row r="1626" ht="16" customHeight="1" s="380">
      <c r="B1626" s="4" t="inlineStr">
        <is>
          <t>HSX02</t>
        </is>
      </c>
      <c r="C1626" s="330" t="n"/>
      <c r="D1626" s="330" t="inlineStr">
        <is>
          <t>Giá trị chứng khoán niêm yết bổ sung</t>
        </is>
      </c>
      <c r="F1626" s="4" t="inlineStr">
        <is>
          <t>Báo cáo</t>
        </is>
      </c>
      <c r="G1626" s="22" t="inlineStr">
        <is>
          <t>Chỉ tiêu phái sinh</t>
        </is>
      </c>
      <c r="H1626" s="4" t="inlineStr">
        <is>
          <t>TB</t>
        </is>
      </c>
    </row>
    <row r="1627" ht="15" customHeight="1" s="380">
      <c r="B1627" s="4" t="inlineStr">
        <is>
          <t>HSX02</t>
        </is>
      </c>
      <c r="C1627" s="328" t="n"/>
      <c r="D1627" s="328" t="inlineStr">
        <is>
          <t>Cổ phiếu niêm yết</t>
        </is>
      </c>
      <c r="F1627" s="4" t="inlineStr">
        <is>
          <t>Báo cáo</t>
        </is>
      </c>
      <c r="G1627" s="22" t="inlineStr">
        <is>
          <t>Chỉ tiêu phái sinh</t>
        </is>
      </c>
      <c r="H1627" s="4" t="inlineStr">
        <is>
          <t>TB</t>
        </is>
      </c>
    </row>
    <row r="1628" ht="15" customHeight="1" s="380">
      <c r="B1628" s="4" t="inlineStr">
        <is>
          <t>HSX02</t>
        </is>
      </c>
      <c r="C1628" s="328" t="n"/>
      <c r="D1628" s="328" t="inlineStr">
        <is>
          <t>Trái phiếu chính quyền địa phương</t>
        </is>
      </c>
      <c r="F1628" s="4" t="inlineStr">
        <is>
          <t>Báo cáo</t>
        </is>
      </c>
      <c r="G1628" s="22" t="inlineStr">
        <is>
          <t>Chỉ tiêu phái sinh</t>
        </is>
      </c>
      <c r="H1628" s="4" t="inlineStr">
        <is>
          <t>TB</t>
        </is>
      </c>
    </row>
    <row r="1629" ht="15" customHeight="1" s="380">
      <c r="B1629" s="4" t="inlineStr">
        <is>
          <t>HSX02</t>
        </is>
      </c>
      <c r="C1629" s="328" t="n"/>
      <c r="D1629" s="328" t="inlineStr">
        <is>
          <t>Trái phiếu doanh nghiệp</t>
        </is>
      </c>
      <c r="F1629" s="4" t="inlineStr">
        <is>
          <t>Báo cáo</t>
        </is>
      </c>
      <c r="G1629" s="22" t="inlineStr">
        <is>
          <t>Chỉ tiêu phái sinh</t>
        </is>
      </c>
      <c r="H1629" s="4" t="inlineStr">
        <is>
          <t>TB</t>
        </is>
      </c>
    </row>
    <row r="1630" ht="15" customHeight="1" s="380">
      <c r="B1630" s="4" t="inlineStr">
        <is>
          <t>HSX02</t>
        </is>
      </c>
      <c r="C1630" s="328" t="n"/>
      <c r="D1630" s="328" t="inlineStr">
        <is>
          <t>Chứng chỉ quỹ</t>
        </is>
      </c>
      <c r="F1630" s="4" t="inlineStr">
        <is>
          <t>Báo cáo</t>
        </is>
      </c>
      <c r="G1630" s="22" t="inlineStr">
        <is>
          <t>Chỉ tiêu phái sinh</t>
        </is>
      </c>
      <c r="H1630" s="4" t="inlineStr">
        <is>
          <t>TB</t>
        </is>
      </c>
    </row>
    <row r="1631" ht="15" customHeight="1" s="380">
      <c r="B1631" s="4" t="inlineStr">
        <is>
          <t>HSX02</t>
        </is>
      </c>
      <c r="C1631" s="328" t="n"/>
      <c r="D1631" s="328" t="inlineStr">
        <is>
          <t>ETF</t>
        </is>
      </c>
      <c r="F1631" s="4" t="inlineStr">
        <is>
          <t>Báo cáo</t>
        </is>
      </c>
      <c r="G1631" s="22" t="inlineStr">
        <is>
          <t>Chỉ tiêu phái sinh</t>
        </is>
      </c>
      <c r="H1631" s="4" t="inlineStr">
        <is>
          <t>TB</t>
        </is>
      </c>
    </row>
    <row r="1632" ht="15" customHeight="1" s="380">
      <c r="B1632" s="4" t="inlineStr">
        <is>
          <t>HSX02</t>
        </is>
      </c>
      <c r="C1632" s="328" t="n"/>
      <c r="D1632" s="328" t="inlineStr">
        <is>
          <t>CW</t>
        </is>
      </c>
      <c r="F1632" s="4" t="inlineStr">
        <is>
          <t>Báo cáo</t>
        </is>
      </c>
      <c r="G1632" s="22" t="inlineStr">
        <is>
          <t>Chỉ tiêu phái sinh</t>
        </is>
      </c>
      <c r="H1632" s="4" t="inlineStr">
        <is>
          <t>TB</t>
        </is>
      </c>
    </row>
    <row r="1633" ht="16" customHeight="1" s="380">
      <c r="B1633" s="4" t="inlineStr">
        <is>
          <t>HSX02</t>
        </is>
      </c>
      <c r="C1633" s="330" t="n"/>
      <c r="D1633" s="330" t="inlineStr">
        <is>
          <t>Khối lượng chứng khoán hủy niêm yết, đáo hạn</t>
        </is>
      </c>
      <c r="F1633" s="4" t="inlineStr">
        <is>
          <t>Báo cáo</t>
        </is>
      </c>
      <c r="G1633" s="22" t="inlineStr">
        <is>
          <t>Chỉ tiêu phái sinh</t>
        </is>
      </c>
      <c r="H1633" s="4" t="inlineStr">
        <is>
          <t>TB</t>
        </is>
      </c>
    </row>
    <row r="1634" ht="15" customHeight="1" s="380">
      <c r="B1634" s="4" t="inlineStr">
        <is>
          <t>HSX02</t>
        </is>
      </c>
      <c r="C1634" s="328" t="n"/>
      <c r="D1634" s="328" t="inlineStr">
        <is>
          <t>Cổ phiếu niêm yết</t>
        </is>
      </c>
      <c r="F1634" s="4" t="inlineStr">
        <is>
          <t>Báo cáo</t>
        </is>
      </c>
      <c r="G1634" s="22" t="inlineStr">
        <is>
          <t>Chỉ tiêu phái sinh</t>
        </is>
      </c>
      <c r="H1634" s="4" t="inlineStr">
        <is>
          <t>TB</t>
        </is>
      </c>
    </row>
    <row r="1635" ht="15" customHeight="1" s="380">
      <c r="B1635" s="4" t="inlineStr">
        <is>
          <t>HSX02</t>
        </is>
      </c>
      <c r="C1635" s="328" t="n"/>
      <c r="D1635" s="328" t="inlineStr">
        <is>
          <t>Trái phiếu chính quyền địa phương</t>
        </is>
      </c>
      <c r="F1635" s="4" t="inlineStr">
        <is>
          <t>Báo cáo</t>
        </is>
      </c>
      <c r="G1635" s="22" t="inlineStr">
        <is>
          <t>Chỉ tiêu phái sinh</t>
        </is>
      </c>
      <c r="H1635" s="4" t="inlineStr">
        <is>
          <t>TB</t>
        </is>
      </c>
    </row>
    <row r="1636" ht="15" customHeight="1" s="380">
      <c r="B1636" s="4" t="inlineStr">
        <is>
          <t>HSX02</t>
        </is>
      </c>
      <c r="C1636" s="328" t="n"/>
      <c r="D1636" s="328" t="inlineStr">
        <is>
          <t>Trái phiếu doanh nghiệp</t>
        </is>
      </c>
      <c r="F1636" s="4" t="inlineStr">
        <is>
          <t>Báo cáo</t>
        </is>
      </c>
      <c r="G1636" s="22" t="inlineStr">
        <is>
          <t>Chỉ tiêu phái sinh</t>
        </is>
      </c>
      <c r="H1636" s="4" t="inlineStr">
        <is>
          <t>TB</t>
        </is>
      </c>
    </row>
    <row r="1637" ht="15" customHeight="1" s="380">
      <c r="B1637" s="4" t="inlineStr">
        <is>
          <t>HSX02</t>
        </is>
      </c>
      <c r="C1637" s="328" t="n"/>
      <c r="D1637" s="328" t="inlineStr">
        <is>
          <t>Chứng chỉ quỹ</t>
        </is>
      </c>
      <c r="F1637" s="4" t="inlineStr">
        <is>
          <t>Báo cáo</t>
        </is>
      </c>
      <c r="G1637" s="22" t="inlineStr">
        <is>
          <t>Chỉ tiêu phái sinh</t>
        </is>
      </c>
      <c r="H1637" s="4" t="inlineStr">
        <is>
          <t>TB</t>
        </is>
      </c>
    </row>
    <row r="1638" ht="15" customHeight="1" s="380">
      <c r="B1638" s="4" t="inlineStr">
        <is>
          <t>HSX02</t>
        </is>
      </c>
      <c r="C1638" s="328" t="n"/>
      <c r="D1638" s="328" t="inlineStr">
        <is>
          <t>ETF</t>
        </is>
      </c>
      <c r="F1638" s="4" t="inlineStr">
        <is>
          <t>Báo cáo</t>
        </is>
      </c>
      <c r="G1638" s="22" t="inlineStr">
        <is>
          <t>Chỉ tiêu phái sinh</t>
        </is>
      </c>
      <c r="H1638" s="4" t="inlineStr">
        <is>
          <t>TB</t>
        </is>
      </c>
    </row>
    <row r="1639" ht="15" customHeight="1" s="380">
      <c r="B1639" s="4" t="inlineStr">
        <is>
          <t>HSX02</t>
        </is>
      </c>
      <c r="C1639" s="328" t="n"/>
      <c r="D1639" s="328" t="inlineStr">
        <is>
          <t>CW</t>
        </is>
      </c>
      <c r="F1639" s="4" t="inlineStr">
        <is>
          <t>Báo cáo</t>
        </is>
      </c>
      <c r="G1639" s="22" t="inlineStr">
        <is>
          <t>Chỉ tiêu phái sinh</t>
        </is>
      </c>
      <c r="H1639" s="4" t="inlineStr">
        <is>
          <t>TB</t>
        </is>
      </c>
    </row>
    <row r="1640" ht="16" customHeight="1" s="380">
      <c r="B1640" s="4" t="inlineStr">
        <is>
          <t>HSX02</t>
        </is>
      </c>
      <c r="C1640" s="330" t="n"/>
      <c r="D1640" s="330" t="inlineStr">
        <is>
          <t>Giá trị chứng khoán hủy niêm yết, đáo hạn</t>
        </is>
      </c>
      <c r="F1640" s="4" t="inlineStr">
        <is>
          <t>Báo cáo</t>
        </is>
      </c>
      <c r="G1640" s="22" t="inlineStr">
        <is>
          <t>Chỉ tiêu phái sinh</t>
        </is>
      </c>
      <c r="H1640" s="4" t="inlineStr">
        <is>
          <t>TB</t>
        </is>
      </c>
    </row>
    <row r="1641" ht="15" customHeight="1" s="380">
      <c r="B1641" s="4" t="inlineStr">
        <is>
          <t>HSX02</t>
        </is>
      </c>
      <c r="C1641" s="328" t="n"/>
      <c r="D1641" s="328" t="inlineStr">
        <is>
          <t>Cổ phiếu niêm yết</t>
        </is>
      </c>
      <c r="F1641" s="4" t="inlineStr">
        <is>
          <t>Báo cáo</t>
        </is>
      </c>
      <c r="G1641" s="22" t="inlineStr">
        <is>
          <t>Chỉ tiêu phái sinh</t>
        </is>
      </c>
      <c r="H1641" s="4" t="inlineStr">
        <is>
          <t>TB</t>
        </is>
      </c>
    </row>
    <row r="1642" ht="15" customHeight="1" s="380">
      <c r="B1642" s="4" t="inlineStr">
        <is>
          <t>HSX02</t>
        </is>
      </c>
      <c r="C1642" s="328" t="n"/>
      <c r="D1642" s="328" t="inlineStr">
        <is>
          <t>Trái phiếu chính quyền địa phương</t>
        </is>
      </c>
      <c r="F1642" s="4" t="inlineStr">
        <is>
          <t>Báo cáo</t>
        </is>
      </c>
      <c r="G1642" s="22" t="inlineStr">
        <is>
          <t>Chỉ tiêu phái sinh</t>
        </is>
      </c>
      <c r="H1642" s="4" t="inlineStr">
        <is>
          <t>TB</t>
        </is>
      </c>
    </row>
    <row r="1643" ht="15" customHeight="1" s="380">
      <c r="B1643" s="4" t="inlineStr">
        <is>
          <t>HSX02</t>
        </is>
      </c>
      <c r="C1643" s="328" t="n"/>
      <c r="D1643" s="328" t="inlineStr">
        <is>
          <t>Trái phiếu doanh nghiệp</t>
        </is>
      </c>
      <c r="F1643" s="4" t="inlineStr">
        <is>
          <t>Báo cáo</t>
        </is>
      </c>
      <c r="G1643" s="22" t="inlineStr">
        <is>
          <t>Chỉ tiêu phái sinh</t>
        </is>
      </c>
      <c r="H1643" s="4" t="inlineStr">
        <is>
          <t>TB</t>
        </is>
      </c>
    </row>
    <row r="1644" ht="15" customHeight="1" s="380">
      <c r="B1644" s="4" t="inlineStr">
        <is>
          <t>HSX02</t>
        </is>
      </c>
      <c r="C1644" s="328" t="n"/>
      <c r="D1644" s="328" t="inlineStr">
        <is>
          <t>Chứng chỉ quỹ</t>
        </is>
      </c>
      <c r="F1644" s="4" t="inlineStr">
        <is>
          <t>Báo cáo</t>
        </is>
      </c>
      <c r="G1644" s="22" t="inlineStr">
        <is>
          <t>Chỉ tiêu phái sinh</t>
        </is>
      </c>
      <c r="H1644" s="4" t="inlineStr">
        <is>
          <t>TB</t>
        </is>
      </c>
    </row>
    <row r="1645" ht="15" customHeight="1" s="380">
      <c r="B1645" s="4" t="inlineStr">
        <is>
          <t>HSX02</t>
        </is>
      </c>
      <c r="C1645" s="328" t="n"/>
      <c r="D1645" s="328" t="inlineStr">
        <is>
          <t>ETF</t>
        </is>
      </c>
      <c r="F1645" s="4" t="inlineStr">
        <is>
          <t>Báo cáo</t>
        </is>
      </c>
      <c r="G1645" s="22" t="inlineStr">
        <is>
          <t>Chỉ tiêu phái sinh</t>
        </is>
      </c>
      <c r="H1645" s="4" t="inlineStr">
        <is>
          <t>TB</t>
        </is>
      </c>
    </row>
    <row r="1646" ht="15" customHeight="1" s="380">
      <c r="B1646" s="4" t="inlineStr">
        <is>
          <t>HSX02</t>
        </is>
      </c>
      <c r="C1646" s="328" t="n"/>
      <c r="D1646" s="328" t="inlineStr">
        <is>
          <t>CW</t>
        </is>
      </c>
      <c r="F1646" s="4" t="inlineStr">
        <is>
          <t>Báo cáo</t>
        </is>
      </c>
      <c r="G1646" s="22" t="inlineStr">
        <is>
          <t>Chỉ tiêu phái sinh</t>
        </is>
      </c>
      <c r="H1646" s="4" t="inlineStr">
        <is>
          <t>TB</t>
        </is>
      </c>
    </row>
    <row r="1647" ht="16" customHeight="1" s="380">
      <c r="B1647" s="4" t="inlineStr">
        <is>
          <t>HSX02</t>
        </is>
      </c>
      <c r="C1647" s="330" t="n"/>
      <c r="D1647" s="330" t="inlineStr">
        <is>
          <t>Số mã chứng khoán niêm yết tại thời điểm cuối tháng</t>
        </is>
      </c>
      <c r="F1647" s="4" t="inlineStr">
        <is>
          <t>Báo cáo</t>
        </is>
      </c>
      <c r="G1647" s="22" t="inlineStr">
        <is>
          <t>Chỉ tiêu phái sinh</t>
        </is>
      </c>
      <c r="H1647" s="4" t="inlineStr">
        <is>
          <t>TB</t>
        </is>
      </c>
    </row>
    <row r="1648" ht="15" customHeight="1" s="380">
      <c r="B1648" s="4" t="inlineStr">
        <is>
          <t>HSX02</t>
        </is>
      </c>
      <c r="C1648" s="328" t="n"/>
      <c r="D1648" s="328" t="inlineStr">
        <is>
          <t>Cổ phiếu niêm yết</t>
        </is>
      </c>
      <c r="F1648" s="4" t="inlineStr">
        <is>
          <t>Báo cáo</t>
        </is>
      </c>
      <c r="G1648" s="22" t="inlineStr">
        <is>
          <t>Chỉ tiêu phái sinh</t>
        </is>
      </c>
      <c r="H1648" s="4" t="inlineStr">
        <is>
          <t>TB</t>
        </is>
      </c>
    </row>
    <row r="1649" ht="15" customHeight="1" s="380">
      <c r="B1649" s="4" t="inlineStr">
        <is>
          <t>HSX02</t>
        </is>
      </c>
      <c r="C1649" s="328" t="n"/>
      <c r="D1649" s="328" t="inlineStr">
        <is>
          <t>Trái phiếu chính quyền địa phương</t>
        </is>
      </c>
      <c r="F1649" s="4" t="inlineStr">
        <is>
          <t>Báo cáo</t>
        </is>
      </c>
      <c r="G1649" s="22" t="inlineStr">
        <is>
          <t>Chỉ tiêu phái sinh</t>
        </is>
      </c>
      <c r="H1649" s="4" t="inlineStr">
        <is>
          <t>TB</t>
        </is>
      </c>
    </row>
    <row r="1650" ht="15" customHeight="1" s="380">
      <c r="B1650" s="4" t="inlineStr">
        <is>
          <t>HSX02</t>
        </is>
      </c>
      <c r="C1650" s="328" t="n"/>
      <c r="D1650" s="328" t="inlineStr">
        <is>
          <t>Trái phiếu doanh nghiệp</t>
        </is>
      </c>
      <c r="F1650" s="4" t="inlineStr">
        <is>
          <t>Báo cáo</t>
        </is>
      </c>
      <c r="G1650" s="22" t="inlineStr">
        <is>
          <t>Chỉ tiêu phái sinh</t>
        </is>
      </c>
      <c r="H1650" s="4" t="inlineStr">
        <is>
          <t>TB</t>
        </is>
      </c>
    </row>
    <row r="1651" ht="15" customHeight="1" s="380">
      <c r="B1651" s="4" t="inlineStr">
        <is>
          <t>HSX02</t>
        </is>
      </c>
      <c r="C1651" s="328" t="n"/>
      <c r="D1651" s="328" t="inlineStr">
        <is>
          <t>Chứng chỉ quỹ</t>
        </is>
      </c>
      <c r="F1651" s="4" t="inlineStr">
        <is>
          <t>Báo cáo</t>
        </is>
      </c>
      <c r="G1651" s="22" t="inlineStr">
        <is>
          <t>Chỉ tiêu phái sinh</t>
        </is>
      </c>
      <c r="H1651" s="4" t="inlineStr">
        <is>
          <t>TB</t>
        </is>
      </c>
    </row>
    <row r="1652" ht="15" customHeight="1" s="380">
      <c r="B1652" s="4" t="inlineStr">
        <is>
          <t>HSX02</t>
        </is>
      </c>
      <c r="C1652" s="328" t="n"/>
      <c r="D1652" s="328" t="inlineStr">
        <is>
          <t>ETF</t>
        </is>
      </c>
      <c r="F1652" s="4" t="inlineStr">
        <is>
          <t>Báo cáo</t>
        </is>
      </c>
      <c r="G1652" s="22" t="inlineStr">
        <is>
          <t>Chỉ tiêu phái sinh</t>
        </is>
      </c>
      <c r="H1652" s="4" t="inlineStr">
        <is>
          <t>TB</t>
        </is>
      </c>
    </row>
    <row r="1653" ht="15" customHeight="1" s="380">
      <c r="B1653" s="4" t="inlineStr">
        <is>
          <t>HSX02</t>
        </is>
      </c>
      <c r="C1653" s="328" t="n"/>
      <c r="D1653" s="328" t="inlineStr">
        <is>
          <t>CW</t>
        </is>
      </c>
      <c r="F1653" s="4" t="inlineStr">
        <is>
          <t>Báo cáo</t>
        </is>
      </c>
      <c r="G1653" s="22" t="inlineStr">
        <is>
          <t>Chỉ tiêu phái sinh</t>
        </is>
      </c>
      <c r="H1653" s="4" t="inlineStr">
        <is>
          <t>TB</t>
        </is>
      </c>
    </row>
    <row r="1654" ht="15" customHeight="1" s="380">
      <c r="B1654" s="4" t="inlineStr">
        <is>
          <t>HSX02</t>
        </is>
      </c>
      <c r="C1654" s="326" t="n"/>
      <c r="D1654" s="326" t="inlineStr">
        <is>
          <t>Số mã chứng khoán niêm yết mới trong tháng</t>
        </is>
      </c>
      <c r="F1654" s="4" t="inlineStr">
        <is>
          <t>Báo cáo</t>
        </is>
      </c>
      <c r="G1654" s="22" t="inlineStr">
        <is>
          <t>Chỉ tiêu phái sinh</t>
        </is>
      </c>
      <c r="H1654" s="4" t="inlineStr">
        <is>
          <t>TB</t>
        </is>
      </c>
    </row>
    <row r="1655" ht="15" customHeight="1" s="380">
      <c r="B1655" s="4" t="inlineStr">
        <is>
          <t>HSX02</t>
        </is>
      </c>
      <c r="C1655" s="328" t="n"/>
      <c r="D1655" s="328" t="inlineStr">
        <is>
          <t>Cổ phiếu niêm yết</t>
        </is>
      </c>
      <c r="F1655" s="4" t="inlineStr">
        <is>
          <t>Báo cáo</t>
        </is>
      </c>
      <c r="G1655" s="22" t="inlineStr">
        <is>
          <t>Chỉ tiêu phái sinh</t>
        </is>
      </c>
      <c r="H1655" s="4" t="inlineStr">
        <is>
          <t>TB</t>
        </is>
      </c>
    </row>
    <row r="1656" ht="15" customHeight="1" s="380">
      <c r="B1656" s="4" t="inlineStr">
        <is>
          <t>HSX02</t>
        </is>
      </c>
      <c r="C1656" s="328" t="n"/>
      <c r="D1656" s="328" t="inlineStr">
        <is>
          <t>Trái phiếu chính quyền địa phương</t>
        </is>
      </c>
      <c r="F1656" s="4" t="inlineStr">
        <is>
          <t>Báo cáo</t>
        </is>
      </c>
      <c r="G1656" s="22" t="inlineStr">
        <is>
          <t>Chỉ tiêu phái sinh</t>
        </is>
      </c>
      <c r="H1656" s="4" t="inlineStr">
        <is>
          <t>TB</t>
        </is>
      </c>
    </row>
    <row r="1657" ht="15" customHeight="1" s="380">
      <c r="B1657" s="4" t="inlineStr">
        <is>
          <t>HSX02</t>
        </is>
      </c>
      <c r="C1657" s="328" t="n"/>
      <c r="D1657" s="328" t="inlineStr">
        <is>
          <t>Trái phiếu doanh nghiệp</t>
        </is>
      </c>
      <c r="F1657" s="4" t="inlineStr">
        <is>
          <t>Báo cáo</t>
        </is>
      </c>
      <c r="G1657" s="22" t="inlineStr">
        <is>
          <t>Chỉ tiêu phái sinh</t>
        </is>
      </c>
      <c r="H1657" s="4" t="inlineStr">
        <is>
          <t>TB</t>
        </is>
      </c>
    </row>
    <row r="1658" ht="15" customHeight="1" s="380">
      <c r="B1658" s="4" t="inlineStr">
        <is>
          <t>HSX02</t>
        </is>
      </c>
      <c r="C1658" s="328" t="n"/>
      <c r="D1658" s="328" t="inlineStr">
        <is>
          <t>Chứng chỉ quỹ</t>
        </is>
      </c>
      <c r="F1658" s="4" t="inlineStr">
        <is>
          <t>Báo cáo</t>
        </is>
      </c>
      <c r="G1658" s="22" t="inlineStr">
        <is>
          <t>Chỉ tiêu phái sinh</t>
        </is>
      </c>
      <c r="H1658" s="4" t="inlineStr">
        <is>
          <t>TB</t>
        </is>
      </c>
    </row>
    <row r="1659" ht="15" customHeight="1" s="380">
      <c r="B1659" s="4" t="inlineStr">
        <is>
          <t>HSX02</t>
        </is>
      </c>
      <c r="C1659" s="328" t="n"/>
      <c r="D1659" s="328" t="inlineStr">
        <is>
          <t>ETF</t>
        </is>
      </c>
      <c r="F1659" s="4" t="inlineStr">
        <is>
          <t>Báo cáo</t>
        </is>
      </c>
      <c r="G1659" s="22" t="inlineStr">
        <is>
          <t>Chỉ tiêu phái sinh</t>
        </is>
      </c>
      <c r="H1659" s="4" t="inlineStr">
        <is>
          <t>TB</t>
        </is>
      </c>
    </row>
    <row r="1660" ht="15" customHeight="1" s="380">
      <c r="B1660" s="4" t="inlineStr">
        <is>
          <t>HSX02</t>
        </is>
      </c>
      <c r="C1660" s="328" t="n"/>
      <c r="D1660" s="328" t="inlineStr">
        <is>
          <t>CW</t>
        </is>
      </c>
      <c r="F1660" s="4" t="inlineStr">
        <is>
          <t>Báo cáo</t>
        </is>
      </c>
      <c r="G1660" s="22" t="inlineStr">
        <is>
          <t>Chỉ tiêu phái sinh</t>
        </is>
      </c>
      <c r="H1660" s="4" t="inlineStr">
        <is>
          <t>TB</t>
        </is>
      </c>
    </row>
    <row r="1661" ht="15" customHeight="1" s="380">
      <c r="B1661" s="4" t="inlineStr">
        <is>
          <t>HSX02</t>
        </is>
      </c>
      <c r="C1661" s="326" t="n"/>
      <c r="D1661" s="326" t="inlineStr">
        <is>
          <t>Số mã chứng khoán hủy niêm yết, đáo hạn trong tháng</t>
        </is>
      </c>
      <c r="F1661" s="4" t="inlineStr">
        <is>
          <t>Báo cáo</t>
        </is>
      </c>
      <c r="G1661" s="22" t="inlineStr">
        <is>
          <t>Chỉ tiêu phái sinh</t>
        </is>
      </c>
      <c r="H1661" s="4" t="inlineStr">
        <is>
          <t>TB</t>
        </is>
      </c>
    </row>
    <row r="1662" ht="15" customHeight="1" s="380">
      <c r="B1662" s="4" t="inlineStr">
        <is>
          <t>HSX02</t>
        </is>
      </c>
      <c r="C1662" s="328" t="n"/>
      <c r="D1662" s="328" t="inlineStr">
        <is>
          <t>Cổ phiếu niêm yết</t>
        </is>
      </c>
      <c r="F1662" s="4" t="inlineStr">
        <is>
          <t>Báo cáo</t>
        </is>
      </c>
      <c r="G1662" s="22" t="inlineStr">
        <is>
          <t>Chỉ tiêu phái sinh</t>
        </is>
      </c>
      <c r="H1662" s="4" t="inlineStr">
        <is>
          <t>TB</t>
        </is>
      </c>
    </row>
    <row r="1663" ht="15" customHeight="1" s="380">
      <c r="B1663" s="4" t="inlineStr">
        <is>
          <t>HSX02</t>
        </is>
      </c>
      <c r="C1663" s="328" t="n"/>
      <c r="D1663" s="328" t="inlineStr">
        <is>
          <t>Trái phiếu chính quyền địa phương</t>
        </is>
      </c>
      <c r="F1663" s="4" t="inlineStr">
        <is>
          <t>Báo cáo</t>
        </is>
      </c>
      <c r="G1663" s="22" t="inlineStr">
        <is>
          <t>Chỉ tiêu phái sinh</t>
        </is>
      </c>
      <c r="H1663" s="4" t="inlineStr">
        <is>
          <t>TB</t>
        </is>
      </c>
    </row>
    <row r="1664" ht="15" customHeight="1" s="380">
      <c r="B1664" s="4" t="inlineStr">
        <is>
          <t>HSX02</t>
        </is>
      </c>
      <c r="C1664" s="328" t="n"/>
      <c r="D1664" s="328" t="inlineStr">
        <is>
          <t>Trái phiếu doanh nghiệp</t>
        </is>
      </c>
      <c r="F1664" s="4" t="inlineStr">
        <is>
          <t>Báo cáo</t>
        </is>
      </c>
      <c r="G1664" s="22" t="inlineStr">
        <is>
          <t>Chỉ tiêu phái sinh</t>
        </is>
      </c>
      <c r="H1664" s="4" t="inlineStr">
        <is>
          <t>TB</t>
        </is>
      </c>
    </row>
    <row r="1665" ht="15" customHeight="1" s="380">
      <c r="B1665" s="4" t="inlineStr">
        <is>
          <t>HSX02</t>
        </is>
      </c>
      <c r="C1665" s="328" t="n"/>
      <c r="D1665" s="328" t="inlineStr">
        <is>
          <t>Chứng chỉ quỹ</t>
        </is>
      </c>
      <c r="F1665" s="4" t="inlineStr">
        <is>
          <t>Báo cáo</t>
        </is>
      </c>
      <c r="G1665" s="22" t="inlineStr">
        <is>
          <t>Chỉ tiêu phái sinh</t>
        </is>
      </c>
      <c r="H1665" s="4" t="inlineStr">
        <is>
          <t>TB</t>
        </is>
      </c>
    </row>
    <row r="1666" ht="15" customHeight="1" s="380">
      <c r="B1666" s="4" t="inlineStr">
        <is>
          <t>HSX02</t>
        </is>
      </c>
      <c r="C1666" s="328" t="n"/>
      <c r="D1666" s="328" t="inlineStr">
        <is>
          <t>ETF</t>
        </is>
      </c>
      <c r="F1666" s="4" t="inlineStr">
        <is>
          <t>Báo cáo</t>
        </is>
      </c>
      <c r="G1666" s="22" t="inlineStr">
        <is>
          <t>Chỉ tiêu phái sinh</t>
        </is>
      </c>
      <c r="H1666" s="4" t="inlineStr">
        <is>
          <t>TB</t>
        </is>
      </c>
    </row>
    <row r="1667" ht="15" customHeight="1" s="380">
      <c r="B1667" s="4" t="inlineStr">
        <is>
          <t>HSX02</t>
        </is>
      </c>
      <c r="C1667" s="328" t="n"/>
      <c r="D1667" s="328" t="inlineStr">
        <is>
          <t>CW</t>
        </is>
      </c>
      <c r="F1667" s="4" t="inlineStr">
        <is>
          <t>Báo cáo</t>
        </is>
      </c>
      <c r="G1667" s="22" t="inlineStr">
        <is>
          <t>Chỉ tiêu phái sinh</t>
        </is>
      </c>
      <c r="H1667" s="4" t="inlineStr">
        <is>
          <t>TB</t>
        </is>
      </c>
    </row>
    <row r="1668" ht="15" customHeight="1" s="380">
      <c r="B1668" s="4" t="inlineStr">
        <is>
          <t>HSX02</t>
        </is>
      </c>
      <c r="C1668" s="326" t="n"/>
      <c r="D1668" s="326" t="inlineStr">
        <is>
          <t>Số phiên thực hiện giao dịch</t>
        </is>
      </c>
      <c r="F1668" s="4" t="inlineStr">
        <is>
          <t>Báo cáo</t>
        </is>
      </c>
      <c r="G1668" s="22" t="inlineStr">
        <is>
          <t>Chỉ tiêu phái sinh</t>
        </is>
      </c>
      <c r="H1668" s="4" t="inlineStr">
        <is>
          <t>TB</t>
        </is>
      </c>
    </row>
    <row r="1669" ht="15" customHeight="1" s="380">
      <c r="B1669" s="4" t="inlineStr">
        <is>
          <t>HSX02</t>
        </is>
      </c>
      <c r="C1669" s="326" t="n"/>
      <c r="D1669" s="326" t="inlineStr">
        <is>
          <t>SGDCK TP.HCM</t>
        </is>
      </c>
      <c r="F1669" s="4" t="inlineStr">
        <is>
          <t>Báo cáo</t>
        </is>
      </c>
      <c r="G1669" s="22" t="inlineStr">
        <is>
          <t>Chỉ tiêu phái sinh</t>
        </is>
      </c>
      <c r="H1669" s="4" t="inlineStr">
        <is>
          <t>TB</t>
        </is>
      </c>
    </row>
    <row r="1670" ht="16" customHeight="1" s="380">
      <c r="B1670" s="4" t="inlineStr">
        <is>
          <t>HSX02</t>
        </is>
      </c>
      <c r="C1670" s="330" t="n"/>
      <c r="D1670" s="330" t="inlineStr">
        <is>
          <t>Giao dịch Nhà đầu tư nước ngoài</t>
        </is>
      </c>
      <c r="F1670" s="4" t="inlineStr">
        <is>
          <t>Báo cáo</t>
        </is>
      </c>
      <c r="G1670" s="22" t="inlineStr">
        <is>
          <t>Chỉ tiêu phái sinh</t>
        </is>
      </c>
      <c r="H1670" s="4" t="inlineStr">
        <is>
          <t>TB</t>
        </is>
      </c>
    </row>
    <row r="1671" ht="16" customHeight="1" s="380">
      <c r="B1671" s="4" t="inlineStr">
        <is>
          <t>HSX02</t>
        </is>
      </c>
      <c r="C1671" s="332" t="n"/>
      <c r="D1671" s="332" t="inlineStr">
        <is>
          <t>GDNĐTNN cổ phiếu niêm yết</t>
        </is>
      </c>
      <c r="F1671" s="4" t="inlineStr">
        <is>
          <t>Báo cáo</t>
        </is>
      </c>
      <c r="G1671" s="22" t="inlineStr">
        <is>
          <t>Chỉ tiêu phái sinh</t>
        </is>
      </c>
      <c r="H1671" s="4" t="inlineStr">
        <is>
          <t>TB</t>
        </is>
      </c>
    </row>
    <row r="1672" ht="16" customHeight="1" s="380">
      <c r="B1672" s="4" t="inlineStr">
        <is>
          <t>HSX02</t>
        </is>
      </c>
      <c r="C1672" s="334" t="n"/>
      <c r="D1672" s="334" t="inlineStr">
        <is>
          <t>Khối lượng giao dịch cổ phiếu niêm yết</t>
        </is>
      </c>
      <c r="F1672" s="4" t="inlineStr">
        <is>
          <t>Báo cáo</t>
        </is>
      </c>
      <c r="G1672" s="22" t="inlineStr">
        <is>
          <t>Chỉ tiêu phái sinh</t>
        </is>
      </c>
      <c r="H1672" s="4" t="inlineStr">
        <is>
          <t>TB</t>
        </is>
      </c>
    </row>
    <row r="1673" ht="16" customHeight="1" s="380">
      <c r="B1673" s="4" t="inlineStr">
        <is>
          <t>HSX02</t>
        </is>
      </c>
      <c r="C1673" s="334" t="n"/>
      <c r="D1673" s="334" t="inlineStr">
        <is>
          <t>Khối lượng giao dịch mua</t>
        </is>
      </c>
      <c r="F1673" s="4" t="inlineStr">
        <is>
          <t>Báo cáo</t>
        </is>
      </c>
      <c r="G1673" s="22" t="inlineStr">
        <is>
          <t>Chỉ tiêu phái sinh</t>
        </is>
      </c>
      <c r="H1673" s="4" t="inlineStr">
        <is>
          <t>TB</t>
        </is>
      </c>
    </row>
    <row r="1674" ht="16" customHeight="1" s="380">
      <c r="B1674" s="4" t="inlineStr">
        <is>
          <t>HSX02</t>
        </is>
      </c>
      <c r="C1674" s="334" t="n"/>
      <c r="D1674" s="334" t="inlineStr">
        <is>
          <t>Khối lượng giao dịch bán</t>
        </is>
      </c>
      <c r="F1674" s="4" t="inlineStr">
        <is>
          <t>Báo cáo</t>
        </is>
      </c>
      <c r="G1674" s="22" t="inlineStr">
        <is>
          <t>Chỉ tiêu phái sinh</t>
        </is>
      </c>
      <c r="H1674" s="4" t="inlineStr">
        <is>
          <t>TB</t>
        </is>
      </c>
    </row>
    <row r="1675" ht="16" customHeight="1" s="380">
      <c r="B1675" s="4" t="inlineStr">
        <is>
          <t>HSX02</t>
        </is>
      </c>
      <c r="C1675" s="334" t="n"/>
      <c r="D1675" s="334" t="inlineStr">
        <is>
          <t>Khối lượng mua/bán ròng</t>
        </is>
      </c>
      <c r="F1675" s="4" t="inlineStr">
        <is>
          <t>Báo cáo</t>
        </is>
      </c>
      <c r="G1675" s="22" t="inlineStr">
        <is>
          <t>Chỉ tiêu phái sinh</t>
        </is>
      </c>
      <c r="H1675" s="4" t="inlineStr">
        <is>
          <t>TB</t>
        </is>
      </c>
    </row>
    <row r="1676" ht="16" customHeight="1" s="380">
      <c r="B1676" s="4" t="inlineStr">
        <is>
          <t>HSX02</t>
        </is>
      </c>
      <c r="C1676" s="334" t="n"/>
      <c r="D1676" s="334" t="inlineStr">
        <is>
          <t>Giá trị giao dịch cổ phiếu niêm yết</t>
        </is>
      </c>
      <c r="F1676" s="4" t="inlineStr">
        <is>
          <t>Báo cáo</t>
        </is>
      </c>
      <c r="G1676" s="22" t="inlineStr">
        <is>
          <t>Chỉ tiêu phái sinh</t>
        </is>
      </c>
      <c r="H1676" s="4" t="inlineStr">
        <is>
          <t>TB</t>
        </is>
      </c>
    </row>
    <row r="1677" ht="16" customHeight="1" s="380">
      <c r="B1677" s="4" t="inlineStr">
        <is>
          <t>HSX02</t>
        </is>
      </c>
      <c r="C1677" s="334" t="n"/>
      <c r="D1677" s="334" t="inlineStr">
        <is>
          <t>Giá trị giao dịch mua</t>
        </is>
      </c>
      <c r="F1677" s="4" t="inlineStr">
        <is>
          <t>Báo cáo</t>
        </is>
      </c>
      <c r="G1677" s="22" t="inlineStr">
        <is>
          <t>Chỉ tiêu phái sinh</t>
        </is>
      </c>
      <c r="H1677" s="4" t="inlineStr">
        <is>
          <t>TB</t>
        </is>
      </c>
    </row>
    <row r="1678" ht="16" customHeight="1" s="380">
      <c r="B1678" s="4" t="inlineStr">
        <is>
          <t>HSX02</t>
        </is>
      </c>
      <c r="C1678" s="334" t="n"/>
      <c r="D1678" s="334" t="inlineStr">
        <is>
          <t>Giá trị giao dịch bán</t>
        </is>
      </c>
      <c r="F1678" s="4" t="inlineStr">
        <is>
          <t>Báo cáo</t>
        </is>
      </c>
      <c r="G1678" s="22" t="inlineStr">
        <is>
          <t>Chỉ tiêu phái sinh</t>
        </is>
      </c>
      <c r="H1678" s="4" t="inlineStr">
        <is>
          <t>TB</t>
        </is>
      </c>
    </row>
    <row r="1679" ht="16" customHeight="1" s="380">
      <c r="B1679" s="4" t="inlineStr">
        <is>
          <t>HSX02</t>
        </is>
      </c>
      <c r="C1679" s="334" t="n"/>
      <c r="D1679" s="334" t="inlineStr">
        <is>
          <t>Giá trị mua/bán ròng</t>
        </is>
      </c>
      <c r="F1679" s="4" t="inlineStr">
        <is>
          <t>Báo cáo</t>
        </is>
      </c>
      <c r="G1679" s="22" t="inlineStr">
        <is>
          <t>Chỉ tiêu phái sinh</t>
        </is>
      </c>
      <c r="H1679" s="4" t="inlineStr">
        <is>
          <t>TB</t>
        </is>
      </c>
    </row>
    <row r="1680" ht="16" customHeight="1" s="380">
      <c r="B1680" s="4" t="inlineStr">
        <is>
          <t>HSX02</t>
        </is>
      </c>
      <c r="C1680" s="332" t="n"/>
      <c r="D1680" s="332" t="inlineStr">
        <is>
          <t>GDNĐTNN chứng chỉ quỹ</t>
        </is>
      </c>
      <c r="F1680" s="4" t="inlineStr">
        <is>
          <t>Báo cáo</t>
        </is>
      </c>
      <c r="G1680" s="22" t="inlineStr">
        <is>
          <t>Chỉ tiêu phái sinh</t>
        </is>
      </c>
      <c r="H1680" s="4" t="inlineStr">
        <is>
          <t>TB</t>
        </is>
      </c>
    </row>
    <row r="1681" ht="16" customHeight="1" s="380">
      <c r="B1681" s="4" t="inlineStr">
        <is>
          <t>HSX02</t>
        </is>
      </c>
      <c r="C1681" s="334" t="n"/>
      <c r="D1681" s="334" t="inlineStr">
        <is>
          <t>Khối lượng giao dịch chứng chỉ quỹ</t>
        </is>
      </c>
      <c r="F1681" s="4" t="inlineStr">
        <is>
          <t>Báo cáo</t>
        </is>
      </c>
      <c r="G1681" s="22" t="inlineStr">
        <is>
          <t>Chỉ tiêu phái sinh</t>
        </is>
      </c>
      <c r="H1681" s="4" t="inlineStr">
        <is>
          <t>TB</t>
        </is>
      </c>
    </row>
    <row r="1682" ht="16" customHeight="1" s="380">
      <c r="B1682" s="4" t="inlineStr">
        <is>
          <t>HSX02</t>
        </is>
      </c>
      <c r="C1682" s="334" t="n"/>
      <c r="D1682" s="334" t="inlineStr">
        <is>
          <t>Khối lượng giao dịch mua</t>
        </is>
      </c>
      <c r="F1682" s="4" t="inlineStr">
        <is>
          <t>Báo cáo</t>
        </is>
      </c>
      <c r="G1682" s="22" t="inlineStr">
        <is>
          <t>Chỉ tiêu phái sinh</t>
        </is>
      </c>
      <c r="H1682" s="4" t="inlineStr">
        <is>
          <t>TB</t>
        </is>
      </c>
    </row>
    <row r="1683" ht="16" customHeight="1" s="380">
      <c r="B1683" s="4" t="inlineStr">
        <is>
          <t>HSX02</t>
        </is>
      </c>
      <c r="C1683" s="334" t="n"/>
      <c r="D1683" s="334" t="inlineStr">
        <is>
          <t>Khối lượng giao dịch bán</t>
        </is>
      </c>
      <c r="F1683" s="4" t="inlineStr">
        <is>
          <t>Báo cáo</t>
        </is>
      </c>
      <c r="G1683" s="22" t="inlineStr">
        <is>
          <t>Chỉ tiêu phái sinh</t>
        </is>
      </c>
      <c r="H1683" s="4" t="inlineStr">
        <is>
          <t>TB</t>
        </is>
      </c>
    </row>
    <row r="1684" ht="16" customHeight="1" s="380">
      <c r="B1684" s="4" t="inlineStr">
        <is>
          <t>HSX02</t>
        </is>
      </c>
      <c r="C1684" s="334" t="n"/>
      <c r="D1684" s="334" t="inlineStr">
        <is>
          <t>Khối lượng mua/bán ròng</t>
        </is>
      </c>
      <c r="F1684" s="4" t="inlineStr">
        <is>
          <t>Báo cáo</t>
        </is>
      </c>
      <c r="G1684" s="22" t="inlineStr">
        <is>
          <t>Chỉ tiêu phái sinh</t>
        </is>
      </c>
      <c r="H1684" s="4" t="inlineStr">
        <is>
          <t>TB</t>
        </is>
      </c>
    </row>
    <row r="1685" ht="16" customHeight="1" s="380">
      <c r="B1685" s="4" t="inlineStr">
        <is>
          <t>HSX02</t>
        </is>
      </c>
      <c r="C1685" s="334" t="n"/>
      <c r="D1685" s="334" t="inlineStr">
        <is>
          <t>Giá trị giao dịch chứng chỉ quỹ</t>
        </is>
      </c>
      <c r="F1685" s="4" t="inlineStr">
        <is>
          <t>Báo cáo</t>
        </is>
      </c>
      <c r="G1685" s="22" t="inlineStr">
        <is>
          <t>Chỉ tiêu phái sinh</t>
        </is>
      </c>
      <c r="H1685" s="4" t="inlineStr">
        <is>
          <t>TB</t>
        </is>
      </c>
    </row>
    <row r="1686" ht="16" customHeight="1" s="380">
      <c r="B1686" s="4" t="inlineStr">
        <is>
          <t>HSX02</t>
        </is>
      </c>
      <c r="C1686" s="334" t="n"/>
      <c r="D1686" s="334" t="inlineStr">
        <is>
          <t>Giá trị giao dịch mua</t>
        </is>
      </c>
      <c r="F1686" s="4" t="inlineStr">
        <is>
          <t>Báo cáo</t>
        </is>
      </c>
      <c r="G1686" s="22" t="inlineStr">
        <is>
          <t>Chỉ tiêu phái sinh</t>
        </is>
      </c>
      <c r="H1686" s="4" t="inlineStr">
        <is>
          <t>TB</t>
        </is>
      </c>
    </row>
    <row r="1687" ht="16" customHeight="1" s="380">
      <c r="B1687" s="4" t="inlineStr">
        <is>
          <t>HSX02</t>
        </is>
      </c>
      <c r="C1687" s="334" t="n"/>
      <c r="D1687" s="334" t="inlineStr">
        <is>
          <t>Giá trị giao dịch bán</t>
        </is>
      </c>
      <c r="F1687" s="4" t="inlineStr">
        <is>
          <t>Báo cáo</t>
        </is>
      </c>
      <c r="G1687" s="22" t="inlineStr">
        <is>
          <t>Chỉ tiêu phái sinh</t>
        </is>
      </c>
      <c r="H1687" s="4" t="inlineStr">
        <is>
          <t>TB</t>
        </is>
      </c>
    </row>
    <row r="1688" ht="16" customHeight="1" s="380">
      <c r="B1688" s="4" t="inlineStr">
        <is>
          <t>HSX02</t>
        </is>
      </c>
      <c r="C1688" s="334" t="n"/>
      <c r="D1688" s="334" t="inlineStr">
        <is>
          <t>Giá trị mua/bán ròng</t>
        </is>
      </c>
      <c r="F1688" s="4" t="inlineStr">
        <is>
          <t>Báo cáo</t>
        </is>
      </c>
      <c r="G1688" s="22" t="inlineStr">
        <is>
          <t>Chỉ tiêu phái sinh</t>
        </is>
      </c>
      <c r="H1688" s="4" t="inlineStr">
        <is>
          <t>TB</t>
        </is>
      </c>
    </row>
    <row r="1689" ht="16" customHeight="1" s="380">
      <c r="B1689" s="4" t="inlineStr">
        <is>
          <t>HSX02</t>
        </is>
      </c>
      <c r="C1689" s="332" t="n"/>
      <c r="D1689" s="332" t="inlineStr">
        <is>
          <t>GDNĐTNN ETF</t>
        </is>
      </c>
      <c r="F1689" s="4" t="inlineStr">
        <is>
          <t>Báo cáo</t>
        </is>
      </c>
      <c r="G1689" s="22" t="inlineStr">
        <is>
          <t>Chỉ tiêu phái sinh</t>
        </is>
      </c>
      <c r="H1689" s="4" t="inlineStr">
        <is>
          <t>TB</t>
        </is>
      </c>
    </row>
    <row r="1690" ht="16" customHeight="1" s="380">
      <c r="B1690" s="4" t="inlineStr">
        <is>
          <t>HSX02</t>
        </is>
      </c>
      <c r="C1690" s="334" t="n"/>
      <c r="D1690" s="334" t="inlineStr">
        <is>
          <t>Khối lượng giao dịch ETF</t>
        </is>
      </c>
      <c r="F1690" s="4" t="inlineStr">
        <is>
          <t>Báo cáo</t>
        </is>
      </c>
      <c r="G1690" s="22" t="inlineStr">
        <is>
          <t>Chỉ tiêu phái sinh</t>
        </is>
      </c>
      <c r="H1690" s="4" t="inlineStr">
        <is>
          <t>TB</t>
        </is>
      </c>
    </row>
    <row r="1691" ht="16" customHeight="1" s="380">
      <c r="B1691" s="4" t="inlineStr">
        <is>
          <t>HSX02</t>
        </is>
      </c>
      <c r="C1691" s="334" t="n"/>
      <c r="D1691" s="334" t="inlineStr">
        <is>
          <t>Khối lượng giao dịch mua</t>
        </is>
      </c>
      <c r="F1691" s="4" t="inlineStr">
        <is>
          <t>Báo cáo</t>
        </is>
      </c>
      <c r="G1691" s="22" t="inlineStr">
        <is>
          <t>Chỉ tiêu phái sinh</t>
        </is>
      </c>
      <c r="H1691" s="4" t="inlineStr">
        <is>
          <t>TB</t>
        </is>
      </c>
    </row>
    <row r="1692" ht="16" customHeight="1" s="380">
      <c r="B1692" s="4" t="inlineStr">
        <is>
          <t>HSX02</t>
        </is>
      </c>
      <c r="C1692" s="334" t="n"/>
      <c r="D1692" s="334" t="inlineStr">
        <is>
          <t>Khối lượng giao dịch bán</t>
        </is>
      </c>
      <c r="F1692" s="4" t="inlineStr">
        <is>
          <t>Báo cáo</t>
        </is>
      </c>
      <c r="G1692" s="22" t="inlineStr">
        <is>
          <t>Chỉ tiêu phái sinh</t>
        </is>
      </c>
      <c r="H1692" s="4" t="inlineStr">
        <is>
          <t>TB</t>
        </is>
      </c>
    </row>
    <row r="1693" ht="16" customHeight="1" s="380">
      <c r="B1693" s="4" t="inlineStr">
        <is>
          <t>HSX02</t>
        </is>
      </c>
      <c r="C1693" s="334" t="n"/>
      <c r="D1693" s="334" t="inlineStr">
        <is>
          <t>Khối lượng mua/bán ròng</t>
        </is>
      </c>
      <c r="F1693" s="4" t="inlineStr">
        <is>
          <t>Báo cáo</t>
        </is>
      </c>
      <c r="G1693" s="22" t="inlineStr">
        <is>
          <t>Chỉ tiêu phái sinh</t>
        </is>
      </c>
      <c r="H1693" s="4" t="inlineStr">
        <is>
          <t>TB</t>
        </is>
      </c>
    </row>
    <row r="1694" ht="16" customHeight="1" s="380">
      <c r="B1694" s="4" t="inlineStr">
        <is>
          <t>HSX02</t>
        </is>
      </c>
      <c r="C1694" s="334" t="n"/>
      <c r="D1694" s="334" t="inlineStr">
        <is>
          <t>Giá trị giao dịch ETF</t>
        </is>
      </c>
      <c r="F1694" s="4" t="inlineStr">
        <is>
          <t>Báo cáo</t>
        </is>
      </c>
      <c r="G1694" s="22" t="inlineStr">
        <is>
          <t>Chỉ tiêu phái sinh</t>
        </is>
      </c>
      <c r="H1694" s="4" t="inlineStr">
        <is>
          <t>TB</t>
        </is>
      </c>
    </row>
    <row r="1695" ht="16" customHeight="1" s="380">
      <c r="B1695" s="4" t="inlineStr">
        <is>
          <t>HSX02</t>
        </is>
      </c>
      <c r="C1695" s="334" t="n"/>
      <c r="D1695" s="334" t="inlineStr">
        <is>
          <t>Giá trị giao dịch mua</t>
        </is>
      </c>
      <c r="F1695" s="4" t="inlineStr">
        <is>
          <t>Báo cáo</t>
        </is>
      </c>
      <c r="G1695" s="22" t="inlineStr">
        <is>
          <t>Chỉ tiêu phái sinh</t>
        </is>
      </c>
      <c r="H1695" s="4" t="inlineStr">
        <is>
          <t>TB</t>
        </is>
      </c>
    </row>
    <row r="1696" ht="16" customHeight="1" s="380">
      <c r="B1696" s="4" t="inlineStr">
        <is>
          <t>HSX02</t>
        </is>
      </c>
      <c r="C1696" s="334" t="n"/>
      <c r="D1696" s="334" t="inlineStr">
        <is>
          <t>Giá trị giao dịch bán</t>
        </is>
      </c>
      <c r="F1696" s="4" t="inlineStr">
        <is>
          <t>Báo cáo</t>
        </is>
      </c>
      <c r="G1696" s="22" t="inlineStr">
        <is>
          <t>Chỉ tiêu phái sinh</t>
        </is>
      </c>
      <c r="H1696" s="4" t="inlineStr">
        <is>
          <t>TB</t>
        </is>
      </c>
    </row>
    <row r="1697" ht="16" customHeight="1" s="380">
      <c r="B1697" s="4" t="inlineStr">
        <is>
          <t>HSX02</t>
        </is>
      </c>
      <c r="C1697" s="334" t="n"/>
      <c r="D1697" s="334" t="inlineStr">
        <is>
          <t>Giá trị mua/bán ròng</t>
        </is>
      </c>
      <c r="F1697" s="4" t="inlineStr">
        <is>
          <t>Báo cáo</t>
        </is>
      </c>
      <c r="G1697" s="22" t="inlineStr">
        <is>
          <t>Chỉ tiêu phái sinh</t>
        </is>
      </c>
      <c r="H1697" s="4" t="inlineStr">
        <is>
          <t>TB</t>
        </is>
      </c>
    </row>
    <row r="1698" ht="16" customHeight="1" s="380">
      <c r="B1698" s="4" t="inlineStr">
        <is>
          <t>HSX02</t>
        </is>
      </c>
      <c r="C1698" s="330" t="n"/>
      <c r="D1698" s="330" t="inlineStr">
        <is>
          <t>GDNĐTNN trái phiếu</t>
        </is>
      </c>
      <c r="F1698" s="4" t="inlineStr">
        <is>
          <t>Báo cáo</t>
        </is>
      </c>
      <c r="G1698" s="22" t="inlineStr">
        <is>
          <t>Chỉ tiêu phái sinh</t>
        </is>
      </c>
      <c r="H1698" s="4" t="inlineStr">
        <is>
          <t>TB</t>
        </is>
      </c>
    </row>
    <row r="1699" ht="16" customHeight="1" s="380">
      <c r="B1699" s="4" t="inlineStr">
        <is>
          <t>HSX02</t>
        </is>
      </c>
      <c r="C1699" s="334" t="n"/>
      <c r="D1699" s="334" t="inlineStr">
        <is>
          <t>Khối lượng giao dịch trái phiếu</t>
        </is>
      </c>
      <c r="F1699" s="4" t="inlineStr">
        <is>
          <t>Báo cáo</t>
        </is>
      </c>
      <c r="G1699" s="22" t="inlineStr">
        <is>
          <t>Chỉ tiêu phái sinh</t>
        </is>
      </c>
      <c r="H1699" s="4" t="inlineStr">
        <is>
          <t>TB</t>
        </is>
      </c>
    </row>
    <row r="1700" ht="16" customHeight="1" s="380">
      <c r="B1700" s="4" t="inlineStr">
        <is>
          <t>HSX02</t>
        </is>
      </c>
      <c r="C1700" s="334" t="n"/>
      <c r="D1700" s="334" t="inlineStr">
        <is>
          <t>Khối lượng giao dịch mua</t>
        </is>
      </c>
      <c r="F1700" s="4" t="inlineStr">
        <is>
          <t>Báo cáo</t>
        </is>
      </c>
      <c r="G1700" s="22" t="inlineStr">
        <is>
          <t>Chỉ tiêu phái sinh</t>
        </is>
      </c>
      <c r="H1700" s="4" t="inlineStr">
        <is>
          <t>TB</t>
        </is>
      </c>
    </row>
    <row r="1701" ht="16" customHeight="1" s="380">
      <c r="B1701" s="4" t="inlineStr">
        <is>
          <t>HSX02</t>
        </is>
      </c>
      <c r="C1701" s="334" t="n"/>
      <c r="D1701" s="334" t="inlineStr">
        <is>
          <t>Khối lượng giao dịch bán</t>
        </is>
      </c>
      <c r="F1701" s="4" t="inlineStr">
        <is>
          <t>Báo cáo</t>
        </is>
      </c>
      <c r="G1701" s="22" t="inlineStr">
        <is>
          <t>Chỉ tiêu phái sinh</t>
        </is>
      </c>
      <c r="H1701" s="4" t="inlineStr">
        <is>
          <t>TB</t>
        </is>
      </c>
    </row>
    <row r="1702" ht="16" customHeight="1" s="380">
      <c r="B1702" s="4" t="inlineStr">
        <is>
          <t>HSX02</t>
        </is>
      </c>
      <c r="C1702" s="334" t="n"/>
      <c r="D1702" s="334" t="inlineStr">
        <is>
          <t>Khối lượng mua/bán ròng</t>
        </is>
      </c>
      <c r="F1702" s="4" t="inlineStr">
        <is>
          <t>Báo cáo</t>
        </is>
      </c>
      <c r="G1702" s="22" t="inlineStr">
        <is>
          <t>Chỉ tiêu phái sinh</t>
        </is>
      </c>
      <c r="H1702" s="4" t="inlineStr">
        <is>
          <t>TB</t>
        </is>
      </c>
    </row>
    <row r="1703" ht="16" customHeight="1" s="380">
      <c r="B1703" s="4" t="inlineStr">
        <is>
          <t>HSX02</t>
        </is>
      </c>
      <c r="C1703" s="334" t="n"/>
      <c r="D1703" s="334" t="inlineStr">
        <is>
          <t>Giá trị giao dịch trái phiếu</t>
        </is>
      </c>
      <c r="F1703" s="4" t="inlineStr">
        <is>
          <t>Báo cáo</t>
        </is>
      </c>
      <c r="G1703" s="22" t="inlineStr">
        <is>
          <t>Chỉ tiêu phái sinh</t>
        </is>
      </c>
      <c r="H1703" s="4" t="inlineStr">
        <is>
          <t>TB</t>
        </is>
      </c>
    </row>
    <row r="1704" ht="16" customHeight="1" s="380">
      <c r="B1704" s="4" t="inlineStr">
        <is>
          <t>HSX02</t>
        </is>
      </c>
      <c r="C1704" s="334" t="n"/>
      <c r="D1704" s="334" t="inlineStr">
        <is>
          <t>Giá trị giao dịch mua</t>
        </is>
      </c>
      <c r="F1704" s="4" t="inlineStr">
        <is>
          <t>Báo cáo</t>
        </is>
      </c>
      <c r="G1704" s="22" t="inlineStr">
        <is>
          <t>Chỉ tiêu phái sinh</t>
        </is>
      </c>
      <c r="H1704" s="4" t="inlineStr">
        <is>
          <t>TB</t>
        </is>
      </c>
    </row>
    <row r="1705" ht="16" customHeight="1" s="380">
      <c r="B1705" s="4" t="inlineStr">
        <is>
          <t>HSX02</t>
        </is>
      </c>
      <c r="C1705" s="334" t="n"/>
      <c r="D1705" s="334" t="inlineStr">
        <is>
          <t>Giá trị giao dịch bán</t>
        </is>
      </c>
      <c r="F1705" s="4" t="inlineStr">
        <is>
          <t>Báo cáo</t>
        </is>
      </c>
      <c r="G1705" s="22" t="inlineStr">
        <is>
          <t>Chỉ tiêu phái sinh</t>
        </is>
      </c>
      <c r="H1705" s="4" t="inlineStr">
        <is>
          <t>TB</t>
        </is>
      </c>
    </row>
    <row r="1706" ht="16" customHeight="1" s="380">
      <c r="B1706" s="4" t="inlineStr">
        <is>
          <t>HSX02</t>
        </is>
      </c>
      <c r="C1706" s="334" t="n"/>
      <c r="D1706" s="334" t="inlineStr">
        <is>
          <t>Giá trị mua/bán ròng</t>
        </is>
      </c>
      <c r="F1706" s="4" t="inlineStr">
        <is>
          <t>Báo cáo</t>
        </is>
      </c>
      <c r="G1706" s="22" t="inlineStr">
        <is>
          <t>Chỉ tiêu phái sinh</t>
        </is>
      </c>
      <c r="H1706" s="4" t="inlineStr">
        <is>
          <t>TB</t>
        </is>
      </c>
    </row>
    <row r="1707" ht="16" customHeight="1" s="380">
      <c r="B1707" s="4" t="inlineStr">
        <is>
          <t>HSX02</t>
        </is>
      </c>
      <c r="C1707" s="330" t="n"/>
      <c r="D1707" s="330" t="inlineStr">
        <is>
          <t>GDNĐTNN CW</t>
        </is>
      </c>
      <c r="F1707" s="4" t="inlineStr">
        <is>
          <t>Báo cáo</t>
        </is>
      </c>
      <c r="G1707" s="22" t="inlineStr">
        <is>
          <t>Chỉ tiêu phái sinh</t>
        </is>
      </c>
      <c r="H1707" s="4" t="inlineStr">
        <is>
          <t>TB</t>
        </is>
      </c>
    </row>
    <row r="1708" ht="16" customHeight="1" s="380">
      <c r="B1708" s="4" t="inlineStr">
        <is>
          <t>HSX02</t>
        </is>
      </c>
      <c r="C1708" s="334" t="n"/>
      <c r="D1708" s="334" t="inlineStr">
        <is>
          <t>Khối lượng giao dịch CW</t>
        </is>
      </c>
      <c r="F1708" s="4" t="inlineStr">
        <is>
          <t>Báo cáo</t>
        </is>
      </c>
      <c r="G1708" s="22" t="inlineStr">
        <is>
          <t>Chỉ tiêu phái sinh</t>
        </is>
      </c>
      <c r="H1708" s="4" t="inlineStr">
        <is>
          <t>TB</t>
        </is>
      </c>
    </row>
    <row r="1709" ht="16" customHeight="1" s="380">
      <c r="B1709" s="4" t="inlineStr">
        <is>
          <t>HSX02</t>
        </is>
      </c>
      <c r="C1709" s="334" t="n"/>
      <c r="D1709" s="334" t="inlineStr">
        <is>
          <t>Khối lượng giao dịch mua</t>
        </is>
      </c>
      <c r="F1709" s="4" t="inlineStr">
        <is>
          <t>Báo cáo</t>
        </is>
      </c>
      <c r="G1709" s="22" t="inlineStr">
        <is>
          <t>Chỉ tiêu phái sinh</t>
        </is>
      </c>
      <c r="H1709" s="4" t="inlineStr">
        <is>
          <t>TB</t>
        </is>
      </c>
    </row>
    <row r="1710" ht="16" customHeight="1" s="380">
      <c r="B1710" s="4" t="inlineStr">
        <is>
          <t>HSX02</t>
        </is>
      </c>
      <c r="C1710" s="334" t="n"/>
      <c r="D1710" s="334" t="inlineStr">
        <is>
          <t>Khối lượng giao dịch bán</t>
        </is>
      </c>
      <c r="F1710" s="4" t="inlineStr">
        <is>
          <t>Báo cáo</t>
        </is>
      </c>
      <c r="G1710" s="22" t="inlineStr">
        <is>
          <t>Chỉ tiêu phái sinh</t>
        </is>
      </c>
      <c r="H1710" s="4" t="inlineStr">
        <is>
          <t>TB</t>
        </is>
      </c>
    </row>
    <row r="1711" ht="16" customHeight="1" s="380">
      <c r="B1711" s="4" t="inlineStr">
        <is>
          <t>HSX02</t>
        </is>
      </c>
      <c r="C1711" s="334" t="n"/>
      <c r="D1711" s="334" t="inlineStr">
        <is>
          <t>Khối lượng mua/bán ròng</t>
        </is>
      </c>
      <c r="F1711" s="4" t="inlineStr">
        <is>
          <t>Báo cáo</t>
        </is>
      </c>
      <c r="G1711" s="22" t="inlineStr">
        <is>
          <t>Chỉ tiêu phái sinh</t>
        </is>
      </c>
      <c r="H1711" s="4" t="inlineStr">
        <is>
          <t>TB</t>
        </is>
      </c>
    </row>
    <row r="1712" ht="16" customHeight="1" s="380">
      <c r="B1712" s="4" t="inlineStr">
        <is>
          <t>HSX02</t>
        </is>
      </c>
      <c r="C1712" s="334" t="n"/>
      <c r="D1712" s="334" t="inlineStr">
        <is>
          <t>Giá trị giao dịch CW</t>
        </is>
      </c>
      <c r="F1712" s="4" t="inlineStr">
        <is>
          <t>Báo cáo</t>
        </is>
      </c>
      <c r="G1712" s="22" t="inlineStr">
        <is>
          <t>Chỉ tiêu phái sinh</t>
        </is>
      </c>
      <c r="H1712" s="4" t="inlineStr">
        <is>
          <t>TB</t>
        </is>
      </c>
    </row>
    <row r="1713" ht="16" customHeight="1" s="380">
      <c r="B1713" s="4" t="inlineStr">
        <is>
          <t>HSX02</t>
        </is>
      </c>
      <c r="C1713" s="334" t="n"/>
      <c r="D1713" s="334" t="inlineStr">
        <is>
          <t>Giá trị giao dịch mua</t>
        </is>
      </c>
      <c r="F1713" s="4" t="inlineStr">
        <is>
          <t>Báo cáo</t>
        </is>
      </c>
      <c r="G1713" s="22" t="inlineStr">
        <is>
          <t>Chỉ tiêu phái sinh</t>
        </is>
      </c>
      <c r="H1713" s="4" t="inlineStr">
        <is>
          <t>TB</t>
        </is>
      </c>
    </row>
    <row r="1714" ht="16" customHeight="1" s="380">
      <c r="B1714" s="4" t="inlineStr">
        <is>
          <t>HSX02</t>
        </is>
      </c>
      <c r="C1714" s="334" t="n"/>
      <c r="D1714" s="334" t="inlineStr">
        <is>
          <t>Giá trị giao dịch bán</t>
        </is>
      </c>
      <c r="F1714" s="4" t="inlineStr">
        <is>
          <t>Báo cáo</t>
        </is>
      </c>
      <c r="G1714" s="22" t="inlineStr">
        <is>
          <t>Chỉ tiêu phái sinh</t>
        </is>
      </c>
      <c r="H1714" s="4" t="inlineStr">
        <is>
          <t>TB</t>
        </is>
      </c>
    </row>
    <row r="1715" ht="16" customHeight="1" s="380">
      <c r="B1715" s="4" t="inlineStr">
        <is>
          <t>HSX02</t>
        </is>
      </c>
      <c r="C1715" s="334" t="n"/>
      <c r="D1715" s="334" t="inlineStr">
        <is>
          <t>Giá trị mua/bán ròng</t>
        </is>
      </c>
      <c r="F1715" s="4" t="inlineStr">
        <is>
          <t>Báo cáo</t>
        </is>
      </c>
      <c r="G1715" s="22" t="inlineStr">
        <is>
          <t>Chỉ tiêu phái sinh</t>
        </is>
      </c>
      <c r="H1715" s="4" t="inlineStr">
        <is>
          <t>TB</t>
        </is>
      </c>
    </row>
    <row r="1716" ht="13" customHeight="1" s="380">
      <c r="B1716" s="4" t="inlineStr">
        <is>
          <t>HSX02</t>
        </is>
      </c>
      <c r="C1716" s="211" t="n"/>
      <c r="D1716" s="211" t="inlineStr">
        <is>
          <t>Số phát sinh lũy kế cuối kỳ BC của năm trước</t>
        </is>
      </c>
      <c r="E1716" s="4" t="inlineStr">
        <is>
          <t>Số lũy kế cuối kỳ BC của năm trước</t>
        </is>
      </c>
      <c r="F1716" s="4" t="inlineStr">
        <is>
          <t>Báo cáo</t>
        </is>
      </c>
      <c r="G1716" s="4" t="inlineStr">
        <is>
          <t>Chiều</t>
        </is>
      </c>
    </row>
    <row r="1717" ht="15" customHeight="1" s="380">
      <c r="B1717" s="4" t="inlineStr">
        <is>
          <t>HSX02</t>
        </is>
      </c>
      <c r="C1717" s="326" t="n"/>
      <c r="D1717" s="326" t="inlineStr">
        <is>
          <t>Chỉ số VN-Index</t>
        </is>
      </c>
      <c r="F1717" s="4" t="inlineStr">
        <is>
          <t>Báo cáo</t>
        </is>
      </c>
      <c r="G1717" s="4" t="inlineStr">
        <is>
          <t>Chỉ tiêu cơ sở</t>
        </is>
      </c>
      <c r="H1717" s="4" t="inlineStr">
        <is>
          <t>Dễ</t>
        </is>
      </c>
    </row>
    <row r="1718" ht="15" customHeight="1" s="380">
      <c r="B1718" s="4" t="inlineStr">
        <is>
          <t>HSX02</t>
        </is>
      </c>
      <c r="C1718" s="326" t="n"/>
      <c r="D1718" s="326" t="inlineStr">
        <is>
          <t>Giá trị chứng khoán giao dịch</t>
        </is>
      </c>
      <c r="F1718" s="4" t="inlineStr">
        <is>
          <t>Báo cáo</t>
        </is>
      </c>
      <c r="G1718" s="22" t="inlineStr">
        <is>
          <t>Chỉ tiêu phái sinh</t>
        </is>
      </c>
      <c r="H1718" s="4" t="inlineStr">
        <is>
          <t>TB</t>
        </is>
      </c>
    </row>
    <row r="1719" ht="15" customHeight="1" s="380">
      <c r="B1719" s="4" t="inlineStr">
        <is>
          <t>HSX02</t>
        </is>
      </c>
      <c r="C1719" s="328" t="n"/>
      <c r="D1719" s="328" t="inlineStr">
        <is>
          <t>Cổ phiếu niêm yết</t>
        </is>
      </c>
      <c r="F1719" s="4" t="inlineStr">
        <is>
          <t>Báo cáo</t>
        </is>
      </c>
      <c r="G1719" s="22" t="inlineStr">
        <is>
          <t>Chỉ tiêu phái sinh</t>
        </is>
      </c>
      <c r="H1719" s="4" t="inlineStr">
        <is>
          <t>TB</t>
        </is>
      </c>
    </row>
    <row r="1720" ht="15" customHeight="1" s="380">
      <c r="B1720" s="4" t="inlineStr">
        <is>
          <t>HSX02</t>
        </is>
      </c>
      <c r="C1720" s="328" t="n"/>
      <c r="D1720" s="328" t="inlineStr">
        <is>
          <t>Trái phiếu chính quyền địa phương</t>
        </is>
      </c>
      <c r="F1720" s="4" t="inlineStr">
        <is>
          <t>Báo cáo</t>
        </is>
      </c>
      <c r="G1720" s="22" t="inlineStr">
        <is>
          <t>Chỉ tiêu phái sinh</t>
        </is>
      </c>
      <c r="H1720" s="4" t="inlineStr">
        <is>
          <t>TB</t>
        </is>
      </c>
    </row>
    <row r="1721" ht="15" customHeight="1" s="380">
      <c r="B1721" s="4" t="inlineStr">
        <is>
          <t>HSX02</t>
        </is>
      </c>
      <c r="C1721" s="328" t="n"/>
      <c r="D1721" s="328" t="inlineStr">
        <is>
          <t>Trái phiếu doanh nghiệp</t>
        </is>
      </c>
      <c r="F1721" s="4" t="inlineStr">
        <is>
          <t>Báo cáo</t>
        </is>
      </c>
      <c r="G1721" s="22" t="inlineStr">
        <is>
          <t>Chỉ tiêu phái sinh</t>
        </is>
      </c>
      <c r="H1721" s="4" t="inlineStr">
        <is>
          <t>TB</t>
        </is>
      </c>
    </row>
    <row r="1722" ht="15" customHeight="1" s="380">
      <c r="B1722" s="4" t="inlineStr">
        <is>
          <t>HSX02</t>
        </is>
      </c>
      <c r="C1722" s="328" t="n"/>
      <c r="D1722" s="328" t="inlineStr">
        <is>
          <t>Chứng chỉ quỹ</t>
        </is>
      </c>
      <c r="F1722" s="4" t="inlineStr">
        <is>
          <t>Báo cáo</t>
        </is>
      </c>
      <c r="G1722" s="22" t="inlineStr">
        <is>
          <t>Chỉ tiêu phái sinh</t>
        </is>
      </c>
      <c r="H1722" s="4" t="inlineStr">
        <is>
          <t>TB</t>
        </is>
      </c>
    </row>
    <row r="1723" ht="15" customHeight="1" s="380">
      <c r="B1723" s="4" t="inlineStr">
        <is>
          <t>HSX02</t>
        </is>
      </c>
      <c r="C1723" s="328" t="n"/>
      <c r="D1723" s="328" t="inlineStr">
        <is>
          <t>ETF</t>
        </is>
      </c>
      <c r="F1723" s="4" t="inlineStr">
        <is>
          <t>Báo cáo</t>
        </is>
      </c>
      <c r="G1723" s="22" t="inlineStr">
        <is>
          <t>Chỉ tiêu phái sinh</t>
        </is>
      </c>
      <c r="H1723" s="4" t="inlineStr">
        <is>
          <t>TB</t>
        </is>
      </c>
    </row>
    <row r="1724" ht="15" customHeight="1" s="380">
      <c r="B1724" s="4" t="inlineStr">
        <is>
          <t>HSX02</t>
        </is>
      </c>
      <c r="C1724" s="328" t="n"/>
      <c r="D1724" s="328" t="inlineStr">
        <is>
          <t>Chứng quyền có bảo đảm (CW)</t>
        </is>
      </c>
      <c r="F1724" s="4" t="inlineStr">
        <is>
          <t>Báo cáo</t>
        </is>
      </c>
      <c r="G1724" s="22" t="inlineStr">
        <is>
          <t>Chỉ tiêu phái sinh</t>
        </is>
      </c>
      <c r="H1724" s="4" t="inlineStr">
        <is>
          <t>TB</t>
        </is>
      </c>
    </row>
    <row r="1725" ht="15" customHeight="1" s="380">
      <c r="B1725" s="4" t="inlineStr">
        <is>
          <t>HSX02</t>
        </is>
      </c>
      <c r="C1725" s="326" t="n"/>
      <c r="D1725" s="326" t="inlineStr">
        <is>
          <t>Khối lượng chứng khoán giao dịch</t>
        </is>
      </c>
      <c r="F1725" s="4" t="inlineStr">
        <is>
          <t>Báo cáo</t>
        </is>
      </c>
      <c r="G1725" s="22" t="inlineStr">
        <is>
          <t>Chỉ tiêu phái sinh</t>
        </is>
      </c>
      <c r="H1725" s="4" t="inlineStr">
        <is>
          <t>TB</t>
        </is>
      </c>
    </row>
    <row r="1726" ht="15" customHeight="1" s="380">
      <c r="B1726" s="4" t="inlineStr">
        <is>
          <t>HSX02</t>
        </is>
      </c>
      <c r="C1726" s="328" t="n"/>
      <c r="D1726" s="328" t="inlineStr">
        <is>
          <t>Cổ phiếu niêm yết</t>
        </is>
      </c>
      <c r="F1726" s="4" t="inlineStr">
        <is>
          <t>Báo cáo</t>
        </is>
      </c>
      <c r="G1726" s="22" t="inlineStr">
        <is>
          <t>Chỉ tiêu phái sinh</t>
        </is>
      </c>
      <c r="H1726" s="4" t="inlineStr">
        <is>
          <t>TB</t>
        </is>
      </c>
    </row>
    <row r="1727" ht="15" customHeight="1" s="380">
      <c r="B1727" s="4" t="inlineStr">
        <is>
          <t>HSX02</t>
        </is>
      </c>
      <c r="C1727" s="328" t="n"/>
      <c r="D1727" s="328" t="inlineStr">
        <is>
          <t>Trái phiếu chính quyền địa phương</t>
        </is>
      </c>
      <c r="F1727" s="4" t="inlineStr">
        <is>
          <t>Báo cáo</t>
        </is>
      </c>
      <c r="G1727" s="22" t="inlineStr">
        <is>
          <t>Chỉ tiêu phái sinh</t>
        </is>
      </c>
      <c r="H1727" s="4" t="inlineStr">
        <is>
          <t>TB</t>
        </is>
      </c>
    </row>
    <row r="1728" ht="15" customHeight="1" s="380">
      <c r="B1728" s="4" t="inlineStr">
        <is>
          <t>HSX02</t>
        </is>
      </c>
      <c r="C1728" s="328" t="n"/>
      <c r="D1728" s="328" t="inlineStr">
        <is>
          <t>Trái phiếu doanh nghiệp</t>
        </is>
      </c>
      <c r="F1728" s="4" t="inlineStr">
        <is>
          <t>Báo cáo</t>
        </is>
      </c>
      <c r="G1728" s="22" t="inlineStr">
        <is>
          <t>Chỉ tiêu phái sinh</t>
        </is>
      </c>
      <c r="H1728" s="4" t="inlineStr">
        <is>
          <t>TB</t>
        </is>
      </c>
    </row>
    <row r="1729" ht="15" customHeight="1" s="380">
      <c r="B1729" s="4" t="inlineStr">
        <is>
          <t>HSX02</t>
        </is>
      </c>
      <c r="C1729" s="328" t="n"/>
      <c r="D1729" s="328" t="inlineStr">
        <is>
          <t>Chứng chỉ quỹ</t>
        </is>
      </c>
      <c r="F1729" s="4" t="inlineStr">
        <is>
          <t>Báo cáo</t>
        </is>
      </c>
      <c r="G1729" s="22" t="inlineStr">
        <is>
          <t>Chỉ tiêu phái sinh</t>
        </is>
      </c>
      <c r="H1729" s="4" t="inlineStr">
        <is>
          <t>TB</t>
        </is>
      </c>
    </row>
    <row r="1730" ht="15" customHeight="1" s="380">
      <c r="B1730" s="4" t="inlineStr">
        <is>
          <t>HSX02</t>
        </is>
      </c>
      <c r="C1730" s="328" t="n"/>
      <c r="D1730" s="328" t="inlineStr">
        <is>
          <t>ETF</t>
        </is>
      </c>
      <c r="F1730" s="4" t="inlineStr">
        <is>
          <t>Báo cáo</t>
        </is>
      </c>
      <c r="G1730" s="22" t="inlineStr">
        <is>
          <t>Chỉ tiêu phái sinh</t>
        </is>
      </c>
      <c r="H1730" s="4" t="inlineStr">
        <is>
          <t>TB</t>
        </is>
      </c>
    </row>
    <row r="1731" ht="15" customHeight="1" s="380">
      <c r="B1731" s="4" t="inlineStr">
        <is>
          <t>HSX02</t>
        </is>
      </c>
      <c r="C1731" s="328" t="n"/>
      <c r="D1731" s="328" t="inlineStr">
        <is>
          <t>CW</t>
        </is>
      </c>
      <c r="F1731" s="4" t="inlineStr">
        <is>
          <t>Báo cáo</t>
        </is>
      </c>
      <c r="G1731" s="22" t="inlineStr">
        <is>
          <t>Chỉ tiêu phái sinh</t>
        </is>
      </c>
      <c r="H1731" s="4" t="inlineStr">
        <is>
          <t>TB</t>
        </is>
      </c>
    </row>
    <row r="1732" ht="15" customHeight="1" s="380">
      <c r="B1732" s="4" t="inlineStr">
        <is>
          <t>HSX02</t>
        </is>
      </c>
      <c r="C1732" s="326" t="n"/>
      <c r="D1732" s="326" t="inlineStr">
        <is>
          <t>Khối lượng chứng khoán niêm yết</t>
        </is>
      </c>
      <c r="F1732" s="4" t="inlineStr">
        <is>
          <t>Báo cáo</t>
        </is>
      </c>
      <c r="G1732" s="22" t="inlineStr">
        <is>
          <t>Chỉ tiêu phái sinh</t>
        </is>
      </c>
      <c r="H1732" s="4" t="inlineStr">
        <is>
          <t>TB</t>
        </is>
      </c>
    </row>
    <row r="1733" ht="15" customHeight="1" s="380">
      <c r="B1733" s="4" t="inlineStr">
        <is>
          <t>HSX02</t>
        </is>
      </c>
      <c r="C1733" s="328" t="n"/>
      <c r="D1733" s="328" t="inlineStr">
        <is>
          <t>Cổ phiếu niêm yết</t>
        </is>
      </c>
      <c r="F1733" s="4" t="inlineStr">
        <is>
          <t>Báo cáo</t>
        </is>
      </c>
      <c r="G1733" s="22" t="inlineStr">
        <is>
          <t>Chỉ tiêu phái sinh</t>
        </is>
      </c>
      <c r="H1733" s="4" t="inlineStr">
        <is>
          <t>TB</t>
        </is>
      </c>
    </row>
    <row r="1734" ht="15" customHeight="1" s="380">
      <c r="B1734" s="4" t="inlineStr">
        <is>
          <t>HSX02</t>
        </is>
      </c>
      <c r="C1734" s="328" t="n"/>
      <c r="D1734" s="328" t="inlineStr">
        <is>
          <t>Trái phiếu chính quyền địa phương</t>
        </is>
      </c>
      <c r="F1734" s="4" t="inlineStr">
        <is>
          <t>Báo cáo</t>
        </is>
      </c>
      <c r="G1734" s="22" t="inlineStr">
        <is>
          <t>Chỉ tiêu phái sinh</t>
        </is>
      </c>
      <c r="H1734" s="4" t="inlineStr">
        <is>
          <t>TB</t>
        </is>
      </c>
    </row>
    <row r="1735" ht="15" customHeight="1" s="380">
      <c r="B1735" s="4" t="inlineStr">
        <is>
          <t>HSX02</t>
        </is>
      </c>
      <c r="C1735" s="328" t="n"/>
      <c r="D1735" s="328" t="inlineStr">
        <is>
          <t>Trái phiếu doanh nghiệp</t>
        </is>
      </c>
      <c r="F1735" s="4" t="inlineStr">
        <is>
          <t>Báo cáo</t>
        </is>
      </c>
      <c r="G1735" s="22" t="inlineStr">
        <is>
          <t>Chỉ tiêu phái sinh</t>
        </is>
      </c>
      <c r="H1735" s="4" t="inlineStr">
        <is>
          <t>TB</t>
        </is>
      </c>
    </row>
    <row r="1736" ht="15" customHeight="1" s="380">
      <c r="B1736" s="4" t="inlineStr">
        <is>
          <t>HSX02</t>
        </is>
      </c>
      <c r="C1736" s="328" t="n"/>
      <c r="D1736" s="328" t="inlineStr">
        <is>
          <t>Chứng chỉ quỹ</t>
        </is>
      </c>
      <c r="F1736" s="4" t="inlineStr">
        <is>
          <t>Báo cáo</t>
        </is>
      </c>
      <c r="G1736" s="22" t="inlineStr">
        <is>
          <t>Chỉ tiêu phái sinh</t>
        </is>
      </c>
      <c r="H1736" s="4" t="inlineStr">
        <is>
          <t>TB</t>
        </is>
      </c>
    </row>
    <row r="1737" ht="15" customHeight="1" s="380">
      <c r="B1737" s="4" t="inlineStr">
        <is>
          <t>HSX02</t>
        </is>
      </c>
      <c r="C1737" s="328" t="n"/>
      <c r="D1737" s="328" t="inlineStr">
        <is>
          <t>ETF</t>
        </is>
      </c>
      <c r="F1737" s="4" t="inlineStr">
        <is>
          <t>Báo cáo</t>
        </is>
      </c>
      <c r="G1737" s="22" t="inlineStr">
        <is>
          <t>Chỉ tiêu phái sinh</t>
        </is>
      </c>
      <c r="H1737" s="4" t="inlineStr">
        <is>
          <t>TB</t>
        </is>
      </c>
    </row>
    <row r="1738" ht="15" customHeight="1" s="380">
      <c r="B1738" s="4" t="inlineStr">
        <is>
          <t>HSX02</t>
        </is>
      </c>
      <c r="C1738" s="328" t="n"/>
      <c r="D1738" s="328" t="inlineStr">
        <is>
          <t>CW</t>
        </is>
      </c>
      <c r="F1738" s="4" t="inlineStr">
        <is>
          <t>Báo cáo</t>
        </is>
      </c>
      <c r="G1738" s="22" t="inlineStr">
        <is>
          <t>Chỉ tiêu phái sinh</t>
        </is>
      </c>
      <c r="H1738" s="4" t="inlineStr">
        <is>
          <t>TB</t>
        </is>
      </c>
    </row>
    <row r="1739" ht="15" customHeight="1" s="380">
      <c r="B1739" s="4" t="inlineStr">
        <is>
          <t>HSX02</t>
        </is>
      </c>
      <c r="C1739" s="326" t="n"/>
      <c r="D1739" s="326" t="inlineStr">
        <is>
          <t>Giá trị chứng khoán niêm yết</t>
        </is>
      </c>
      <c r="F1739" s="4" t="inlineStr">
        <is>
          <t>Báo cáo</t>
        </is>
      </c>
      <c r="G1739" s="22" t="inlineStr">
        <is>
          <t>Chỉ tiêu phái sinh</t>
        </is>
      </c>
      <c r="H1739" s="4" t="inlineStr">
        <is>
          <t>TB</t>
        </is>
      </c>
    </row>
    <row r="1740" ht="15" customHeight="1" s="380">
      <c r="B1740" s="4" t="inlineStr">
        <is>
          <t>HSX02</t>
        </is>
      </c>
      <c r="C1740" s="328" t="n"/>
      <c r="D1740" s="328" t="inlineStr">
        <is>
          <t>Cổ phiếu niêm yết</t>
        </is>
      </c>
      <c r="F1740" s="4" t="inlineStr">
        <is>
          <t>Báo cáo</t>
        </is>
      </c>
      <c r="G1740" s="22" t="inlineStr">
        <is>
          <t>Chỉ tiêu phái sinh</t>
        </is>
      </c>
      <c r="H1740" s="4" t="inlineStr">
        <is>
          <t>TB</t>
        </is>
      </c>
    </row>
    <row r="1741" ht="15" customHeight="1" s="380">
      <c r="B1741" s="4" t="inlineStr">
        <is>
          <t>HSX02</t>
        </is>
      </c>
      <c r="C1741" s="328" t="n"/>
      <c r="D1741" s="328" t="inlineStr">
        <is>
          <t>Trái phiếu chính quyền địa phương</t>
        </is>
      </c>
      <c r="F1741" s="4" t="inlineStr">
        <is>
          <t>Báo cáo</t>
        </is>
      </c>
      <c r="G1741" s="22" t="inlineStr">
        <is>
          <t>Chỉ tiêu phái sinh</t>
        </is>
      </c>
      <c r="H1741" s="4" t="inlineStr">
        <is>
          <t>TB</t>
        </is>
      </c>
    </row>
    <row r="1742" ht="15" customHeight="1" s="380">
      <c r="B1742" s="4" t="inlineStr">
        <is>
          <t>HSX02</t>
        </is>
      </c>
      <c r="C1742" s="328" t="n"/>
      <c r="D1742" s="328" t="inlineStr">
        <is>
          <t>Trái phiếu doanh nghiệp</t>
        </is>
      </c>
      <c r="F1742" s="4" t="inlineStr">
        <is>
          <t>Báo cáo</t>
        </is>
      </c>
      <c r="G1742" s="22" t="inlineStr">
        <is>
          <t>Chỉ tiêu phái sinh</t>
        </is>
      </c>
      <c r="H1742" s="4" t="inlineStr">
        <is>
          <t>TB</t>
        </is>
      </c>
    </row>
    <row r="1743" ht="15" customHeight="1" s="380">
      <c r="B1743" s="4" t="inlineStr">
        <is>
          <t>HSX02</t>
        </is>
      </c>
      <c r="C1743" s="328" t="n"/>
      <c r="D1743" s="328" t="inlineStr">
        <is>
          <t>Chứng chỉ quỹ</t>
        </is>
      </c>
      <c r="F1743" s="4" t="inlineStr">
        <is>
          <t>Báo cáo</t>
        </is>
      </c>
      <c r="G1743" s="22" t="inlineStr">
        <is>
          <t>Chỉ tiêu phái sinh</t>
        </is>
      </c>
      <c r="H1743" s="4" t="inlineStr">
        <is>
          <t>TB</t>
        </is>
      </c>
    </row>
    <row r="1744" ht="15" customHeight="1" s="380">
      <c r="B1744" s="4" t="inlineStr">
        <is>
          <t>HSX02</t>
        </is>
      </c>
      <c r="C1744" s="328" t="n"/>
      <c r="D1744" s="328" t="inlineStr">
        <is>
          <t>ETF</t>
        </is>
      </c>
      <c r="F1744" s="4" t="inlineStr">
        <is>
          <t>Báo cáo</t>
        </is>
      </c>
      <c r="G1744" s="22" t="inlineStr">
        <is>
          <t>Chỉ tiêu phái sinh</t>
        </is>
      </c>
      <c r="H1744" s="4" t="inlineStr">
        <is>
          <t>TB</t>
        </is>
      </c>
    </row>
    <row r="1745" ht="15" customHeight="1" s="380">
      <c r="B1745" s="4" t="inlineStr">
        <is>
          <t>HSX02</t>
        </is>
      </c>
      <c r="C1745" s="328" t="n"/>
      <c r="D1745" s="328" t="inlineStr">
        <is>
          <t>CW</t>
        </is>
      </c>
      <c r="F1745" s="4" t="inlineStr">
        <is>
          <t>Báo cáo</t>
        </is>
      </c>
      <c r="G1745" s="22" t="inlineStr">
        <is>
          <t>Chỉ tiêu phái sinh</t>
        </is>
      </c>
      <c r="H1745" s="4" t="inlineStr">
        <is>
          <t>TB</t>
        </is>
      </c>
    </row>
    <row r="1746" ht="16" customHeight="1" s="380">
      <c r="B1746" s="4" t="inlineStr">
        <is>
          <t>HSX02</t>
        </is>
      </c>
      <c r="C1746" s="330" t="n"/>
      <c r="D1746" s="330" t="inlineStr">
        <is>
          <t>Vốn hóa thị trường cổ phiếu</t>
        </is>
      </c>
      <c r="F1746" s="4" t="inlineStr">
        <is>
          <t>Báo cáo</t>
        </is>
      </c>
      <c r="G1746" s="22" t="inlineStr">
        <is>
          <t>Chỉ tiêu phái sinh</t>
        </is>
      </c>
      <c r="H1746" s="4" t="inlineStr">
        <is>
          <t>TB</t>
        </is>
      </c>
    </row>
    <row r="1747" ht="16" customHeight="1" s="380">
      <c r="B1747" s="4" t="inlineStr">
        <is>
          <t>HSX02</t>
        </is>
      </c>
      <c r="C1747" s="330" t="n"/>
      <c r="D1747" s="330" t="inlineStr">
        <is>
          <t>Khối lượng chứng khoán niêm yết mới</t>
        </is>
      </c>
      <c r="F1747" s="4" t="inlineStr">
        <is>
          <t>Báo cáo</t>
        </is>
      </c>
      <c r="G1747" s="22" t="inlineStr">
        <is>
          <t>Chỉ tiêu phái sinh</t>
        </is>
      </c>
      <c r="H1747" s="4" t="inlineStr">
        <is>
          <t>TB</t>
        </is>
      </c>
    </row>
    <row r="1748" ht="15" customHeight="1" s="380">
      <c r="B1748" s="4" t="inlineStr">
        <is>
          <t>HSX02</t>
        </is>
      </c>
      <c r="C1748" s="328" t="n"/>
      <c r="D1748" s="328" t="inlineStr">
        <is>
          <t>Cổ phiếu niêm yết</t>
        </is>
      </c>
      <c r="F1748" s="4" t="inlineStr">
        <is>
          <t>Báo cáo</t>
        </is>
      </c>
      <c r="G1748" s="22" t="inlineStr">
        <is>
          <t>Chỉ tiêu phái sinh</t>
        </is>
      </c>
      <c r="H1748" s="4" t="inlineStr">
        <is>
          <t>TB</t>
        </is>
      </c>
    </row>
    <row r="1749" ht="15" customHeight="1" s="380">
      <c r="B1749" s="4" t="inlineStr">
        <is>
          <t>HSX02</t>
        </is>
      </c>
      <c r="C1749" s="328" t="n"/>
      <c r="D1749" s="328" t="inlineStr">
        <is>
          <t>Trái phiếu chính quyền địa phương</t>
        </is>
      </c>
      <c r="F1749" s="4" t="inlineStr">
        <is>
          <t>Báo cáo</t>
        </is>
      </c>
      <c r="G1749" s="22" t="inlineStr">
        <is>
          <t>Chỉ tiêu phái sinh</t>
        </is>
      </c>
      <c r="H1749" s="4" t="inlineStr">
        <is>
          <t>TB</t>
        </is>
      </c>
    </row>
    <row r="1750" ht="15" customHeight="1" s="380">
      <c r="B1750" s="4" t="inlineStr">
        <is>
          <t>HSX02</t>
        </is>
      </c>
      <c r="C1750" s="328" t="n"/>
      <c r="D1750" s="328" t="inlineStr">
        <is>
          <t>Trái phiếu doanh nghiệp</t>
        </is>
      </c>
      <c r="F1750" s="4" t="inlineStr">
        <is>
          <t>Báo cáo</t>
        </is>
      </c>
      <c r="G1750" s="22" t="inlineStr">
        <is>
          <t>Chỉ tiêu phái sinh</t>
        </is>
      </c>
      <c r="H1750" s="4" t="inlineStr">
        <is>
          <t>TB</t>
        </is>
      </c>
    </row>
    <row r="1751" ht="15" customHeight="1" s="380">
      <c r="B1751" s="4" t="inlineStr">
        <is>
          <t>HSX02</t>
        </is>
      </c>
      <c r="C1751" s="328" t="n"/>
      <c r="D1751" s="328" t="inlineStr">
        <is>
          <t>Chứng chỉ quỹ</t>
        </is>
      </c>
      <c r="F1751" s="4" t="inlineStr">
        <is>
          <t>Báo cáo</t>
        </is>
      </c>
      <c r="G1751" s="22" t="inlineStr">
        <is>
          <t>Chỉ tiêu phái sinh</t>
        </is>
      </c>
      <c r="H1751" s="4" t="inlineStr">
        <is>
          <t>TB</t>
        </is>
      </c>
    </row>
    <row r="1752" ht="15" customHeight="1" s="380">
      <c r="B1752" s="4" t="inlineStr">
        <is>
          <t>HSX02</t>
        </is>
      </c>
      <c r="C1752" s="328" t="n"/>
      <c r="D1752" s="328" t="inlineStr">
        <is>
          <t>ETF</t>
        </is>
      </c>
      <c r="F1752" s="4" t="inlineStr">
        <is>
          <t>Báo cáo</t>
        </is>
      </c>
      <c r="G1752" s="22" t="inlineStr">
        <is>
          <t>Chỉ tiêu phái sinh</t>
        </is>
      </c>
      <c r="H1752" s="4" t="inlineStr">
        <is>
          <t>TB</t>
        </is>
      </c>
    </row>
    <row r="1753" ht="15" customHeight="1" s="380">
      <c r="B1753" s="4" t="inlineStr">
        <is>
          <t>HSX02</t>
        </is>
      </c>
      <c r="C1753" s="328" t="n"/>
      <c r="D1753" s="328" t="inlineStr">
        <is>
          <t>CW</t>
        </is>
      </c>
      <c r="F1753" s="4" t="inlineStr">
        <is>
          <t>Báo cáo</t>
        </is>
      </c>
      <c r="G1753" s="22" t="inlineStr">
        <is>
          <t>Chỉ tiêu phái sinh</t>
        </is>
      </c>
      <c r="H1753" s="4" t="inlineStr">
        <is>
          <t>TB</t>
        </is>
      </c>
    </row>
    <row r="1754" ht="16" customHeight="1" s="380">
      <c r="B1754" s="4" t="inlineStr">
        <is>
          <t>HSX02</t>
        </is>
      </c>
      <c r="C1754" s="330" t="n"/>
      <c r="D1754" s="330" t="inlineStr">
        <is>
          <t>Giá trị chứng khoán niêm yết mới</t>
        </is>
      </c>
      <c r="F1754" s="4" t="inlineStr">
        <is>
          <t>Báo cáo</t>
        </is>
      </c>
      <c r="G1754" s="22" t="inlineStr">
        <is>
          <t>Chỉ tiêu phái sinh</t>
        </is>
      </c>
      <c r="H1754" s="4" t="inlineStr">
        <is>
          <t>TB</t>
        </is>
      </c>
    </row>
    <row r="1755" ht="15" customHeight="1" s="380">
      <c r="B1755" s="4" t="inlineStr">
        <is>
          <t>HSX02</t>
        </is>
      </c>
      <c r="C1755" s="328" t="n"/>
      <c r="D1755" s="328" t="inlineStr">
        <is>
          <t>Cổ phiếu niêm yết</t>
        </is>
      </c>
      <c r="F1755" s="4" t="inlineStr">
        <is>
          <t>Báo cáo</t>
        </is>
      </c>
      <c r="G1755" s="22" t="inlineStr">
        <is>
          <t>Chỉ tiêu phái sinh</t>
        </is>
      </c>
      <c r="H1755" s="4" t="inlineStr">
        <is>
          <t>TB</t>
        </is>
      </c>
    </row>
    <row r="1756" ht="15" customHeight="1" s="380">
      <c r="B1756" s="4" t="inlineStr">
        <is>
          <t>HSX02</t>
        </is>
      </c>
      <c r="C1756" s="328" t="n"/>
      <c r="D1756" s="328" t="inlineStr">
        <is>
          <t>Trái phiếu chính quyền địa phương</t>
        </is>
      </c>
      <c r="F1756" s="4" t="inlineStr">
        <is>
          <t>Báo cáo</t>
        </is>
      </c>
      <c r="G1756" s="22" t="inlineStr">
        <is>
          <t>Chỉ tiêu phái sinh</t>
        </is>
      </c>
      <c r="H1756" s="4" t="inlineStr">
        <is>
          <t>TB</t>
        </is>
      </c>
    </row>
    <row r="1757" ht="15" customHeight="1" s="380">
      <c r="B1757" s="4" t="inlineStr">
        <is>
          <t>HSX02</t>
        </is>
      </c>
      <c r="C1757" s="328" t="n"/>
      <c r="D1757" s="328" t="inlineStr">
        <is>
          <t>Trái phiếu doanh nghiệp</t>
        </is>
      </c>
      <c r="F1757" s="4" t="inlineStr">
        <is>
          <t>Báo cáo</t>
        </is>
      </c>
      <c r="G1757" s="22" t="inlineStr">
        <is>
          <t>Chỉ tiêu phái sinh</t>
        </is>
      </c>
      <c r="H1757" s="4" t="inlineStr">
        <is>
          <t>TB</t>
        </is>
      </c>
    </row>
    <row r="1758" ht="15" customHeight="1" s="380">
      <c r="B1758" s="4" t="inlineStr">
        <is>
          <t>HSX02</t>
        </is>
      </c>
      <c r="C1758" s="328" t="n"/>
      <c r="D1758" s="328" t="inlineStr">
        <is>
          <t>Chứng chỉ quỹ</t>
        </is>
      </c>
      <c r="F1758" s="4" t="inlineStr">
        <is>
          <t>Báo cáo</t>
        </is>
      </c>
      <c r="G1758" s="22" t="inlineStr">
        <is>
          <t>Chỉ tiêu phái sinh</t>
        </is>
      </c>
      <c r="H1758" s="4" t="inlineStr">
        <is>
          <t>TB</t>
        </is>
      </c>
    </row>
    <row r="1759" ht="15" customHeight="1" s="380">
      <c r="B1759" s="4" t="inlineStr">
        <is>
          <t>HSX02</t>
        </is>
      </c>
      <c r="C1759" s="328" t="n"/>
      <c r="D1759" s="328" t="inlineStr">
        <is>
          <t>ETF</t>
        </is>
      </c>
      <c r="F1759" s="4" t="inlineStr">
        <is>
          <t>Báo cáo</t>
        </is>
      </c>
      <c r="G1759" s="22" t="inlineStr">
        <is>
          <t>Chỉ tiêu phái sinh</t>
        </is>
      </c>
      <c r="H1759" s="4" t="inlineStr">
        <is>
          <t>TB</t>
        </is>
      </c>
    </row>
    <row r="1760" ht="15" customHeight="1" s="380">
      <c r="B1760" s="4" t="inlineStr">
        <is>
          <t>HSX02</t>
        </is>
      </c>
      <c r="C1760" s="328" t="n"/>
      <c r="D1760" s="328" t="inlineStr">
        <is>
          <t>CW</t>
        </is>
      </c>
      <c r="F1760" s="4" t="inlineStr">
        <is>
          <t>Báo cáo</t>
        </is>
      </c>
      <c r="G1760" s="22" t="inlineStr">
        <is>
          <t>Chỉ tiêu phái sinh</t>
        </is>
      </c>
      <c r="H1760" s="4" t="inlineStr">
        <is>
          <t>TB</t>
        </is>
      </c>
    </row>
    <row r="1761" ht="16" customHeight="1" s="380">
      <c r="B1761" s="4" t="inlineStr">
        <is>
          <t>HSX02</t>
        </is>
      </c>
      <c r="C1761" s="330" t="n"/>
      <c r="D1761" s="330" t="inlineStr">
        <is>
          <t>Khối lượng chứng khoán niêm yết bổ sung</t>
        </is>
      </c>
      <c r="F1761" s="4" t="inlineStr">
        <is>
          <t>Báo cáo</t>
        </is>
      </c>
      <c r="G1761" s="22" t="inlineStr">
        <is>
          <t>Chỉ tiêu phái sinh</t>
        </is>
      </c>
      <c r="H1761" s="4" t="inlineStr">
        <is>
          <t>TB</t>
        </is>
      </c>
    </row>
    <row r="1762" ht="15" customHeight="1" s="380">
      <c r="B1762" s="4" t="inlineStr">
        <is>
          <t>HSX02</t>
        </is>
      </c>
      <c r="C1762" s="328" t="n"/>
      <c r="D1762" s="328" t="inlineStr">
        <is>
          <t>Cổ phiếu niêm yết</t>
        </is>
      </c>
      <c r="F1762" s="4" t="inlineStr">
        <is>
          <t>Báo cáo</t>
        </is>
      </c>
      <c r="G1762" s="22" t="inlineStr">
        <is>
          <t>Chỉ tiêu phái sinh</t>
        </is>
      </c>
      <c r="H1762" s="4" t="inlineStr">
        <is>
          <t>TB</t>
        </is>
      </c>
    </row>
    <row r="1763" ht="15" customHeight="1" s="380">
      <c r="B1763" s="4" t="inlineStr">
        <is>
          <t>HSX02</t>
        </is>
      </c>
      <c r="C1763" s="328" t="n"/>
      <c r="D1763" s="328" t="inlineStr">
        <is>
          <t>Trái phiếu chính quyền địa phương</t>
        </is>
      </c>
      <c r="F1763" s="4" t="inlineStr">
        <is>
          <t>Báo cáo</t>
        </is>
      </c>
      <c r="G1763" s="22" t="inlineStr">
        <is>
          <t>Chỉ tiêu phái sinh</t>
        </is>
      </c>
      <c r="H1763" s="4" t="inlineStr">
        <is>
          <t>TB</t>
        </is>
      </c>
    </row>
    <row r="1764" ht="15" customHeight="1" s="380">
      <c r="B1764" s="4" t="inlineStr">
        <is>
          <t>HSX02</t>
        </is>
      </c>
      <c r="C1764" s="328" t="n"/>
      <c r="D1764" s="328" t="inlineStr">
        <is>
          <t>Trái phiếu doanh nghiệp</t>
        </is>
      </c>
      <c r="F1764" s="4" t="inlineStr">
        <is>
          <t>Báo cáo</t>
        </is>
      </c>
      <c r="G1764" s="22" t="inlineStr">
        <is>
          <t>Chỉ tiêu phái sinh</t>
        </is>
      </c>
      <c r="H1764" s="4" t="inlineStr">
        <is>
          <t>TB</t>
        </is>
      </c>
    </row>
    <row r="1765" ht="15" customHeight="1" s="380">
      <c r="B1765" s="4" t="inlineStr">
        <is>
          <t>HSX02</t>
        </is>
      </c>
      <c r="C1765" s="328" t="n"/>
      <c r="D1765" s="328" t="inlineStr">
        <is>
          <t>Chứng chỉ quỹ</t>
        </is>
      </c>
      <c r="F1765" s="4" t="inlineStr">
        <is>
          <t>Báo cáo</t>
        </is>
      </c>
      <c r="G1765" s="22" t="inlineStr">
        <is>
          <t>Chỉ tiêu phái sinh</t>
        </is>
      </c>
      <c r="H1765" s="4" t="inlineStr">
        <is>
          <t>TB</t>
        </is>
      </c>
    </row>
    <row r="1766" ht="15" customHeight="1" s="380">
      <c r="B1766" s="4" t="inlineStr">
        <is>
          <t>HSX02</t>
        </is>
      </c>
      <c r="C1766" s="328" t="n"/>
      <c r="D1766" s="328" t="inlineStr">
        <is>
          <t>ETF</t>
        </is>
      </c>
      <c r="F1766" s="4" t="inlineStr">
        <is>
          <t>Báo cáo</t>
        </is>
      </c>
      <c r="G1766" s="22" t="inlineStr">
        <is>
          <t>Chỉ tiêu phái sinh</t>
        </is>
      </c>
      <c r="H1766" s="4" t="inlineStr">
        <is>
          <t>TB</t>
        </is>
      </c>
    </row>
    <row r="1767" ht="15" customHeight="1" s="380">
      <c r="B1767" s="4" t="inlineStr">
        <is>
          <t>HSX02</t>
        </is>
      </c>
      <c r="C1767" s="328" t="n"/>
      <c r="D1767" s="328" t="inlineStr">
        <is>
          <t>CW</t>
        </is>
      </c>
      <c r="F1767" s="4" t="inlineStr">
        <is>
          <t>Báo cáo</t>
        </is>
      </c>
      <c r="G1767" s="22" t="inlineStr">
        <is>
          <t>Chỉ tiêu phái sinh</t>
        </is>
      </c>
      <c r="H1767" s="4" t="inlineStr">
        <is>
          <t>TB</t>
        </is>
      </c>
    </row>
    <row r="1768" ht="16" customHeight="1" s="380">
      <c r="B1768" s="4" t="inlineStr">
        <is>
          <t>HSX02</t>
        </is>
      </c>
      <c r="C1768" s="330" t="n"/>
      <c r="D1768" s="330" t="inlineStr">
        <is>
          <t>Giá trị chứng khoán niêm yết bổ sung</t>
        </is>
      </c>
      <c r="F1768" s="4" t="inlineStr">
        <is>
          <t>Báo cáo</t>
        </is>
      </c>
      <c r="G1768" s="22" t="inlineStr">
        <is>
          <t>Chỉ tiêu phái sinh</t>
        </is>
      </c>
      <c r="H1768" s="4" t="inlineStr">
        <is>
          <t>TB</t>
        </is>
      </c>
    </row>
    <row r="1769" ht="15" customHeight="1" s="380">
      <c r="B1769" s="4" t="inlineStr">
        <is>
          <t>HSX02</t>
        </is>
      </c>
      <c r="C1769" s="328" t="n"/>
      <c r="D1769" s="328" t="inlineStr">
        <is>
          <t>Cổ phiếu niêm yết</t>
        </is>
      </c>
      <c r="F1769" s="4" t="inlineStr">
        <is>
          <t>Báo cáo</t>
        </is>
      </c>
      <c r="G1769" s="22" t="inlineStr">
        <is>
          <t>Chỉ tiêu phái sinh</t>
        </is>
      </c>
      <c r="H1769" s="4" t="inlineStr">
        <is>
          <t>TB</t>
        </is>
      </c>
    </row>
    <row r="1770" ht="15" customHeight="1" s="380">
      <c r="B1770" s="4" t="inlineStr">
        <is>
          <t>HSX02</t>
        </is>
      </c>
      <c r="C1770" s="328" t="n"/>
      <c r="D1770" s="328" t="inlineStr">
        <is>
          <t>Trái phiếu chính quyền địa phương</t>
        </is>
      </c>
      <c r="F1770" s="4" t="inlineStr">
        <is>
          <t>Báo cáo</t>
        </is>
      </c>
      <c r="G1770" s="22" t="inlineStr">
        <is>
          <t>Chỉ tiêu phái sinh</t>
        </is>
      </c>
      <c r="H1770" s="4" t="inlineStr">
        <is>
          <t>TB</t>
        </is>
      </c>
    </row>
    <row r="1771" ht="15" customHeight="1" s="380">
      <c r="B1771" s="4" t="inlineStr">
        <is>
          <t>HSX02</t>
        </is>
      </c>
      <c r="C1771" s="328" t="n"/>
      <c r="D1771" s="328" t="inlineStr">
        <is>
          <t>Trái phiếu doanh nghiệp</t>
        </is>
      </c>
      <c r="F1771" s="4" t="inlineStr">
        <is>
          <t>Báo cáo</t>
        </is>
      </c>
      <c r="G1771" s="22" t="inlineStr">
        <is>
          <t>Chỉ tiêu phái sinh</t>
        </is>
      </c>
      <c r="H1771" s="4" t="inlineStr">
        <is>
          <t>TB</t>
        </is>
      </c>
    </row>
    <row r="1772" ht="15" customHeight="1" s="380">
      <c r="B1772" s="4" t="inlineStr">
        <is>
          <t>HSX02</t>
        </is>
      </c>
      <c r="C1772" s="328" t="n"/>
      <c r="D1772" s="328" t="inlineStr">
        <is>
          <t>Chứng chỉ quỹ</t>
        </is>
      </c>
      <c r="F1772" s="4" t="inlineStr">
        <is>
          <t>Báo cáo</t>
        </is>
      </c>
      <c r="G1772" s="22" t="inlineStr">
        <is>
          <t>Chỉ tiêu phái sinh</t>
        </is>
      </c>
      <c r="H1772" s="4" t="inlineStr">
        <is>
          <t>TB</t>
        </is>
      </c>
    </row>
    <row r="1773" ht="15" customHeight="1" s="380">
      <c r="B1773" s="4" t="inlineStr">
        <is>
          <t>HSX02</t>
        </is>
      </c>
      <c r="C1773" s="328" t="n"/>
      <c r="D1773" s="328" t="inlineStr">
        <is>
          <t>ETF</t>
        </is>
      </c>
      <c r="F1773" s="4" t="inlineStr">
        <is>
          <t>Báo cáo</t>
        </is>
      </c>
      <c r="G1773" s="22" t="inlineStr">
        <is>
          <t>Chỉ tiêu phái sinh</t>
        </is>
      </c>
      <c r="H1773" s="4" t="inlineStr">
        <is>
          <t>TB</t>
        </is>
      </c>
    </row>
    <row r="1774" ht="15" customHeight="1" s="380">
      <c r="B1774" s="4" t="inlineStr">
        <is>
          <t>HSX02</t>
        </is>
      </c>
      <c r="C1774" s="328" t="n"/>
      <c r="D1774" s="328" t="inlineStr">
        <is>
          <t>CW</t>
        </is>
      </c>
      <c r="F1774" s="4" t="inlineStr">
        <is>
          <t>Báo cáo</t>
        </is>
      </c>
      <c r="G1774" s="22" t="inlineStr">
        <is>
          <t>Chỉ tiêu phái sinh</t>
        </is>
      </c>
      <c r="H1774" s="4" t="inlineStr">
        <is>
          <t>TB</t>
        </is>
      </c>
    </row>
    <row r="1775" ht="16" customHeight="1" s="380">
      <c r="B1775" s="4" t="inlineStr">
        <is>
          <t>HSX02</t>
        </is>
      </c>
      <c r="C1775" s="330" t="n"/>
      <c r="D1775" s="330" t="inlineStr">
        <is>
          <t>Khối lượng chứng khoán hủy niêm yết, đáo hạn</t>
        </is>
      </c>
      <c r="F1775" s="4" t="inlineStr">
        <is>
          <t>Báo cáo</t>
        </is>
      </c>
      <c r="G1775" s="22" t="inlineStr">
        <is>
          <t>Chỉ tiêu phái sinh</t>
        </is>
      </c>
      <c r="H1775" s="4" t="inlineStr">
        <is>
          <t>TB</t>
        </is>
      </c>
    </row>
    <row r="1776" ht="15" customHeight="1" s="380">
      <c r="B1776" s="4" t="inlineStr">
        <is>
          <t>HSX02</t>
        </is>
      </c>
      <c r="C1776" s="328" t="n"/>
      <c r="D1776" s="328" t="inlineStr">
        <is>
          <t>Cổ phiếu niêm yết</t>
        </is>
      </c>
      <c r="F1776" s="4" t="inlineStr">
        <is>
          <t>Báo cáo</t>
        </is>
      </c>
      <c r="G1776" s="22" t="inlineStr">
        <is>
          <t>Chỉ tiêu phái sinh</t>
        </is>
      </c>
      <c r="H1776" s="4" t="inlineStr">
        <is>
          <t>TB</t>
        </is>
      </c>
    </row>
    <row r="1777" ht="15" customHeight="1" s="380">
      <c r="B1777" s="4" t="inlineStr">
        <is>
          <t>HSX02</t>
        </is>
      </c>
      <c r="C1777" s="328" t="n"/>
      <c r="D1777" s="328" t="inlineStr">
        <is>
          <t>Trái phiếu chính quyền địa phương</t>
        </is>
      </c>
      <c r="F1777" s="4" t="inlineStr">
        <is>
          <t>Báo cáo</t>
        </is>
      </c>
      <c r="G1777" s="22" t="inlineStr">
        <is>
          <t>Chỉ tiêu phái sinh</t>
        </is>
      </c>
      <c r="H1777" s="4" t="inlineStr">
        <is>
          <t>TB</t>
        </is>
      </c>
    </row>
    <row r="1778" ht="15" customHeight="1" s="380">
      <c r="B1778" s="4" t="inlineStr">
        <is>
          <t>HSX02</t>
        </is>
      </c>
      <c r="C1778" s="328" t="n"/>
      <c r="D1778" s="328" t="inlineStr">
        <is>
          <t>Trái phiếu doanh nghiệp</t>
        </is>
      </c>
      <c r="F1778" s="4" t="inlineStr">
        <is>
          <t>Báo cáo</t>
        </is>
      </c>
      <c r="G1778" s="22" t="inlineStr">
        <is>
          <t>Chỉ tiêu phái sinh</t>
        </is>
      </c>
      <c r="H1778" s="4" t="inlineStr">
        <is>
          <t>TB</t>
        </is>
      </c>
    </row>
    <row r="1779" ht="15" customHeight="1" s="380">
      <c r="B1779" s="4" t="inlineStr">
        <is>
          <t>HSX02</t>
        </is>
      </c>
      <c r="C1779" s="328" t="n"/>
      <c r="D1779" s="328" t="inlineStr">
        <is>
          <t>Chứng chỉ quỹ</t>
        </is>
      </c>
      <c r="F1779" s="4" t="inlineStr">
        <is>
          <t>Báo cáo</t>
        </is>
      </c>
      <c r="G1779" s="22" t="inlineStr">
        <is>
          <t>Chỉ tiêu phái sinh</t>
        </is>
      </c>
      <c r="H1779" s="4" t="inlineStr">
        <is>
          <t>TB</t>
        </is>
      </c>
    </row>
    <row r="1780" ht="15" customHeight="1" s="380">
      <c r="B1780" s="4" t="inlineStr">
        <is>
          <t>HSX02</t>
        </is>
      </c>
      <c r="C1780" s="328" t="n"/>
      <c r="D1780" s="328" t="inlineStr">
        <is>
          <t>ETF</t>
        </is>
      </c>
      <c r="F1780" s="4" t="inlineStr">
        <is>
          <t>Báo cáo</t>
        </is>
      </c>
      <c r="G1780" s="22" t="inlineStr">
        <is>
          <t>Chỉ tiêu phái sinh</t>
        </is>
      </c>
      <c r="H1780" s="4" t="inlineStr">
        <is>
          <t>TB</t>
        </is>
      </c>
    </row>
    <row r="1781" ht="15" customHeight="1" s="380">
      <c r="B1781" s="4" t="inlineStr">
        <is>
          <t>HSX02</t>
        </is>
      </c>
      <c r="C1781" s="328" t="n"/>
      <c r="D1781" s="328" t="inlineStr">
        <is>
          <t>CW</t>
        </is>
      </c>
      <c r="F1781" s="4" t="inlineStr">
        <is>
          <t>Báo cáo</t>
        </is>
      </c>
      <c r="G1781" s="22" t="inlineStr">
        <is>
          <t>Chỉ tiêu phái sinh</t>
        </is>
      </c>
      <c r="H1781" s="4" t="inlineStr">
        <is>
          <t>TB</t>
        </is>
      </c>
    </row>
    <row r="1782" ht="16" customHeight="1" s="380">
      <c r="B1782" s="4" t="inlineStr">
        <is>
          <t>HSX02</t>
        </is>
      </c>
      <c r="C1782" s="330" t="n"/>
      <c r="D1782" s="330" t="inlineStr">
        <is>
          <t>Giá trị chứng khoán hủy niêm yết, đáo hạn</t>
        </is>
      </c>
      <c r="F1782" s="4" t="inlineStr">
        <is>
          <t>Báo cáo</t>
        </is>
      </c>
      <c r="G1782" s="22" t="inlineStr">
        <is>
          <t>Chỉ tiêu phái sinh</t>
        </is>
      </c>
      <c r="H1782" s="4" t="inlineStr">
        <is>
          <t>TB</t>
        </is>
      </c>
    </row>
    <row r="1783" ht="15" customHeight="1" s="380">
      <c r="B1783" s="4" t="inlineStr">
        <is>
          <t>HSX02</t>
        </is>
      </c>
      <c r="C1783" s="328" t="n"/>
      <c r="D1783" s="328" t="inlineStr">
        <is>
          <t>Cổ phiếu niêm yết</t>
        </is>
      </c>
      <c r="F1783" s="4" t="inlineStr">
        <is>
          <t>Báo cáo</t>
        </is>
      </c>
      <c r="G1783" s="22" t="inlineStr">
        <is>
          <t>Chỉ tiêu phái sinh</t>
        </is>
      </c>
      <c r="H1783" s="4" t="inlineStr">
        <is>
          <t>TB</t>
        </is>
      </c>
    </row>
    <row r="1784" ht="15" customHeight="1" s="380">
      <c r="B1784" s="4" t="inlineStr">
        <is>
          <t>HSX02</t>
        </is>
      </c>
      <c r="C1784" s="328" t="n"/>
      <c r="D1784" s="328" t="inlineStr">
        <is>
          <t>Trái phiếu chính quyền địa phương</t>
        </is>
      </c>
      <c r="F1784" s="4" t="inlineStr">
        <is>
          <t>Báo cáo</t>
        </is>
      </c>
      <c r="G1784" s="22" t="inlineStr">
        <is>
          <t>Chỉ tiêu phái sinh</t>
        </is>
      </c>
      <c r="H1784" s="4" t="inlineStr">
        <is>
          <t>TB</t>
        </is>
      </c>
    </row>
    <row r="1785" ht="15" customHeight="1" s="380">
      <c r="B1785" s="4" t="inlineStr">
        <is>
          <t>HSX02</t>
        </is>
      </c>
      <c r="C1785" s="328" t="n"/>
      <c r="D1785" s="328" t="inlineStr">
        <is>
          <t>Trái phiếu doanh nghiệp</t>
        </is>
      </c>
      <c r="F1785" s="4" t="inlineStr">
        <is>
          <t>Báo cáo</t>
        </is>
      </c>
      <c r="G1785" s="22" t="inlineStr">
        <is>
          <t>Chỉ tiêu phái sinh</t>
        </is>
      </c>
      <c r="H1785" s="4" t="inlineStr">
        <is>
          <t>TB</t>
        </is>
      </c>
    </row>
    <row r="1786" ht="15" customHeight="1" s="380">
      <c r="B1786" s="4" t="inlineStr">
        <is>
          <t>HSX02</t>
        </is>
      </c>
      <c r="C1786" s="328" t="n"/>
      <c r="D1786" s="328" t="inlineStr">
        <is>
          <t>Chứng chỉ quỹ</t>
        </is>
      </c>
      <c r="F1786" s="4" t="inlineStr">
        <is>
          <t>Báo cáo</t>
        </is>
      </c>
      <c r="G1786" s="22" t="inlineStr">
        <is>
          <t>Chỉ tiêu phái sinh</t>
        </is>
      </c>
      <c r="H1786" s="4" t="inlineStr">
        <is>
          <t>TB</t>
        </is>
      </c>
    </row>
    <row r="1787" ht="15" customHeight="1" s="380">
      <c r="B1787" s="4" t="inlineStr">
        <is>
          <t>HSX02</t>
        </is>
      </c>
      <c r="C1787" s="328" t="n"/>
      <c r="D1787" s="328" t="inlineStr">
        <is>
          <t>ETF</t>
        </is>
      </c>
      <c r="F1787" s="4" t="inlineStr">
        <is>
          <t>Báo cáo</t>
        </is>
      </c>
      <c r="G1787" s="22" t="inlineStr">
        <is>
          <t>Chỉ tiêu phái sinh</t>
        </is>
      </c>
      <c r="H1787" s="4" t="inlineStr">
        <is>
          <t>TB</t>
        </is>
      </c>
    </row>
    <row r="1788" ht="15" customHeight="1" s="380">
      <c r="B1788" s="4" t="inlineStr">
        <is>
          <t>HSX02</t>
        </is>
      </c>
      <c r="C1788" s="328" t="n"/>
      <c r="D1788" s="328" t="inlineStr">
        <is>
          <t>CW</t>
        </is>
      </c>
      <c r="F1788" s="4" t="inlineStr">
        <is>
          <t>Báo cáo</t>
        </is>
      </c>
      <c r="G1788" s="22" t="inlineStr">
        <is>
          <t>Chỉ tiêu phái sinh</t>
        </is>
      </c>
      <c r="H1788" s="4" t="inlineStr">
        <is>
          <t>TB</t>
        </is>
      </c>
    </row>
    <row r="1789" ht="16" customHeight="1" s="380">
      <c r="B1789" s="4" t="inlineStr">
        <is>
          <t>HSX02</t>
        </is>
      </c>
      <c r="C1789" s="330" t="n"/>
      <c r="D1789" s="330" t="inlineStr">
        <is>
          <t>Số mã chứng khoán niêm yết tại thời điểm cuối tháng</t>
        </is>
      </c>
      <c r="F1789" s="4" t="inlineStr">
        <is>
          <t>Báo cáo</t>
        </is>
      </c>
      <c r="G1789" s="22" t="inlineStr">
        <is>
          <t>Chỉ tiêu phái sinh</t>
        </is>
      </c>
      <c r="H1789" s="4" t="inlineStr">
        <is>
          <t>TB</t>
        </is>
      </c>
    </row>
    <row r="1790" ht="15" customHeight="1" s="380">
      <c r="B1790" s="4" t="inlineStr">
        <is>
          <t>HSX02</t>
        </is>
      </c>
      <c r="C1790" s="328" t="n"/>
      <c r="D1790" s="328" t="inlineStr">
        <is>
          <t>Cổ phiếu niêm yết</t>
        </is>
      </c>
      <c r="F1790" s="4" t="inlineStr">
        <is>
          <t>Báo cáo</t>
        </is>
      </c>
      <c r="G1790" s="22" t="inlineStr">
        <is>
          <t>Chỉ tiêu phái sinh</t>
        </is>
      </c>
      <c r="H1790" s="4" t="inlineStr">
        <is>
          <t>TB</t>
        </is>
      </c>
    </row>
    <row r="1791" ht="15" customHeight="1" s="380">
      <c r="B1791" s="4" t="inlineStr">
        <is>
          <t>HSX02</t>
        </is>
      </c>
      <c r="C1791" s="328" t="n"/>
      <c r="D1791" s="328" t="inlineStr">
        <is>
          <t>Trái phiếu chính quyền địa phương</t>
        </is>
      </c>
      <c r="F1791" s="4" t="inlineStr">
        <is>
          <t>Báo cáo</t>
        </is>
      </c>
      <c r="G1791" s="22" t="inlineStr">
        <is>
          <t>Chỉ tiêu phái sinh</t>
        </is>
      </c>
      <c r="H1791" s="4" t="inlineStr">
        <is>
          <t>TB</t>
        </is>
      </c>
    </row>
    <row r="1792" ht="15" customHeight="1" s="380">
      <c r="B1792" s="4" t="inlineStr">
        <is>
          <t>HSX02</t>
        </is>
      </c>
      <c r="C1792" s="328" t="n"/>
      <c r="D1792" s="328" t="inlineStr">
        <is>
          <t>Trái phiếu doanh nghiệp</t>
        </is>
      </c>
      <c r="F1792" s="4" t="inlineStr">
        <is>
          <t>Báo cáo</t>
        </is>
      </c>
      <c r="G1792" s="22" t="inlineStr">
        <is>
          <t>Chỉ tiêu phái sinh</t>
        </is>
      </c>
      <c r="H1792" s="4" t="inlineStr">
        <is>
          <t>TB</t>
        </is>
      </c>
    </row>
    <row r="1793" ht="15" customHeight="1" s="380">
      <c r="B1793" s="4" t="inlineStr">
        <is>
          <t>HSX02</t>
        </is>
      </c>
      <c r="C1793" s="328" t="n"/>
      <c r="D1793" s="328" t="inlineStr">
        <is>
          <t>Chứng chỉ quỹ</t>
        </is>
      </c>
      <c r="F1793" s="4" t="inlineStr">
        <is>
          <t>Báo cáo</t>
        </is>
      </c>
      <c r="G1793" s="22" t="inlineStr">
        <is>
          <t>Chỉ tiêu phái sinh</t>
        </is>
      </c>
      <c r="H1793" s="4" t="inlineStr">
        <is>
          <t>TB</t>
        </is>
      </c>
    </row>
    <row r="1794" ht="15" customHeight="1" s="380">
      <c r="B1794" s="4" t="inlineStr">
        <is>
          <t>HSX02</t>
        </is>
      </c>
      <c r="C1794" s="328" t="n"/>
      <c r="D1794" s="328" t="inlineStr">
        <is>
          <t>ETF</t>
        </is>
      </c>
      <c r="F1794" s="4" t="inlineStr">
        <is>
          <t>Báo cáo</t>
        </is>
      </c>
      <c r="G1794" s="22" t="inlineStr">
        <is>
          <t>Chỉ tiêu phái sinh</t>
        </is>
      </c>
      <c r="H1794" s="4" t="inlineStr">
        <is>
          <t>TB</t>
        </is>
      </c>
    </row>
    <row r="1795" ht="15" customHeight="1" s="380">
      <c r="B1795" s="4" t="inlineStr">
        <is>
          <t>HSX02</t>
        </is>
      </c>
      <c r="C1795" s="328" t="n"/>
      <c r="D1795" s="328" t="inlineStr">
        <is>
          <t>CW</t>
        </is>
      </c>
      <c r="F1795" s="4" t="inlineStr">
        <is>
          <t>Báo cáo</t>
        </is>
      </c>
      <c r="G1795" s="22" t="inlineStr">
        <is>
          <t>Chỉ tiêu phái sinh</t>
        </is>
      </c>
      <c r="H1795" s="4" t="inlineStr">
        <is>
          <t>TB</t>
        </is>
      </c>
    </row>
    <row r="1796" ht="15" customHeight="1" s="380">
      <c r="B1796" s="4" t="inlineStr">
        <is>
          <t>HSX02</t>
        </is>
      </c>
      <c r="C1796" s="326" t="n"/>
      <c r="D1796" s="326" t="inlineStr">
        <is>
          <t>Số mã chứng khoán niêm yết mới trong tháng</t>
        </is>
      </c>
      <c r="F1796" s="4" t="inlineStr">
        <is>
          <t>Báo cáo</t>
        </is>
      </c>
      <c r="G1796" s="22" t="inlineStr">
        <is>
          <t>Chỉ tiêu phái sinh</t>
        </is>
      </c>
      <c r="H1796" s="4" t="inlineStr">
        <is>
          <t>TB</t>
        </is>
      </c>
    </row>
    <row r="1797" ht="15" customHeight="1" s="380">
      <c r="B1797" s="4" t="inlineStr">
        <is>
          <t>HSX02</t>
        </is>
      </c>
      <c r="C1797" s="328" t="n"/>
      <c r="D1797" s="328" t="inlineStr">
        <is>
          <t>Cổ phiếu niêm yết</t>
        </is>
      </c>
      <c r="F1797" s="4" t="inlineStr">
        <is>
          <t>Báo cáo</t>
        </is>
      </c>
      <c r="G1797" s="22" t="inlineStr">
        <is>
          <t>Chỉ tiêu phái sinh</t>
        </is>
      </c>
      <c r="H1797" s="4" t="inlineStr">
        <is>
          <t>TB</t>
        </is>
      </c>
    </row>
    <row r="1798" ht="15" customHeight="1" s="380">
      <c r="B1798" s="4" t="inlineStr">
        <is>
          <t>HSX02</t>
        </is>
      </c>
      <c r="C1798" s="328" t="n"/>
      <c r="D1798" s="328" t="inlineStr">
        <is>
          <t>Trái phiếu chính quyền địa phương</t>
        </is>
      </c>
      <c r="F1798" s="4" t="inlineStr">
        <is>
          <t>Báo cáo</t>
        </is>
      </c>
      <c r="G1798" s="22" t="inlineStr">
        <is>
          <t>Chỉ tiêu phái sinh</t>
        </is>
      </c>
      <c r="H1798" s="4" t="inlineStr">
        <is>
          <t>TB</t>
        </is>
      </c>
    </row>
    <row r="1799" ht="15" customHeight="1" s="380">
      <c r="B1799" s="4" t="inlineStr">
        <is>
          <t>HSX02</t>
        </is>
      </c>
      <c r="C1799" s="328" t="n"/>
      <c r="D1799" s="328" t="inlineStr">
        <is>
          <t>Trái phiếu doanh nghiệp</t>
        </is>
      </c>
      <c r="F1799" s="4" t="inlineStr">
        <is>
          <t>Báo cáo</t>
        </is>
      </c>
      <c r="G1799" s="22" t="inlineStr">
        <is>
          <t>Chỉ tiêu phái sinh</t>
        </is>
      </c>
      <c r="H1799" s="4" t="inlineStr">
        <is>
          <t>TB</t>
        </is>
      </c>
    </row>
    <row r="1800" ht="15" customHeight="1" s="380">
      <c r="B1800" s="4" t="inlineStr">
        <is>
          <t>HSX02</t>
        </is>
      </c>
      <c r="C1800" s="328" t="n"/>
      <c r="D1800" s="328" t="inlineStr">
        <is>
          <t>Chứng chỉ quỹ</t>
        </is>
      </c>
      <c r="F1800" s="4" t="inlineStr">
        <is>
          <t>Báo cáo</t>
        </is>
      </c>
      <c r="G1800" s="22" t="inlineStr">
        <is>
          <t>Chỉ tiêu phái sinh</t>
        </is>
      </c>
      <c r="H1800" s="4" t="inlineStr">
        <is>
          <t>TB</t>
        </is>
      </c>
    </row>
    <row r="1801" ht="15" customHeight="1" s="380">
      <c r="B1801" s="4" t="inlineStr">
        <is>
          <t>HSX02</t>
        </is>
      </c>
      <c r="C1801" s="328" t="n"/>
      <c r="D1801" s="328" t="inlineStr">
        <is>
          <t>ETF</t>
        </is>
      </c>
      <c r="F1801" s="4" t="inlineStr">
        <is>
          <t>Báo cáo</t>
        </is>
      </c>
      <c r="G1801" s="22" t="inlineStr">
        <is>
          <t>Chỉ tiêu phái sinh</t>
        </is>
      </c>
      <c r="H1801" s="4" t="inlineStr">
        <is>
          <t>TB</t>
        </is>
      </c>
    </row>
    <row r="1802" ht="15" customHeight="1" s="380">
      <c r="B1802" s="4" t="inlineStr">
        <is>
          <t>HSX02</t>
        </is>
      </c>
      <c r="C1802" s="328" t="n"/>
      <c r="D1802" s="328" t="inlineStr">
        <is>
          <t>CW</t>
        </is>
      </c>
      <c r="F1802" s="4" t="inlineStr">
        <is>
          <t>Báo cáo</t>
        </is>
      </c>
      <c r="G1802" s="22" t="inlineStr">
        <is>
          <t>Chỉ tiêu phái sinh</t>
        </is>
      </c>
      <c r="H1802" s="4" t="inlineStr">
        <is>
          <t>TB</t>
        </is>
      </c>
    </row>
    <row r="1803" ht="15" customHeight="1" s="380">
      <c r="B1803" s="4" t="inlineStr">
        <is>
          <t>HSX02</t>
        </is>
      </c>
      <c r="C1803" s="326" t="n"/>
      <c r="D1803" s="326" t="inlineStr">
        <is>
          <t>Số mã chứng khoán hủy niêm yết, đáo hạn trong tháng</t>
        </is>
      </c>
      <c r="F1803" s="4" t="inlineStr">
        <is>
          <t>Báo cáo</t>
        </is>
      </c>
      <c r="G1803" s="22" t="inlineStr">
        <is>
          <t>Chỉ tiêu phái sinh</t>
        </is>
      </c>
      <c r="H1803" s="4" t="inlineStr">
        <is>
          <t>TB</t>
        </is>
      </c>
    </row>
    <row r="1804" ht="15" customHeight="1" s="380">
      <c r="B1804" s="4" t="inlineStr">
        <is>
          <t>HSX02</t>
        </is>
      </c>
      <c r="C1804" s="328" t="n"/>
      <c r="D1804" s="328" t="inlineStr">
        <is>
          <t>Cổ phiếu niêm yết</t>
        </is>
      </c>
      <c r="F1804" s="4" t="inlineStr">
        <is>
          <t>Báo cáo</t>
        </is>
      </c>
      <c r="G1804" s="22" t="inlineStr">
        <is>
          <t>Chỉ tiêu phái sinh</t>
        </is>
      </c>
      <c r="H1804" s="4" t="inlineStr">
        <is>
          <t>TB</t>
        </is>
      </c>
    </row>
    <row r="1805" ht="15" customHeight="1" s="380">
      <c r="B1805" s="4" t="inlineStr">
        <is>
          <t>HSX02</t>
        </is>
      </c>
      <c r="C1805" s="328" t="n"/>
      <c r="D1805" s="328" t="inlineStr">
        <is>
          <t>Trái phiếu chính quyền địa phương</t>
        </is>
      </c>
      <c r="F1805" s="4" t="inlineStr">
        <is>
          <t>Báo cáo</t>
        </is>
      </c>
      <c r="G1805" s="22" t="inlineStr">
        <is>
          <t>Chỉ tiêu phái sinh</t>
        </is>
      </c>
      <c r="H1805" s="4" t="inlineStr">
        <is>
          <t>TB</t>
        </is>
      </c>
    </row>
    <row r="1806" ht="15" customHeight="1" s="380">
      <c r="B1806" s="4" t="inlineStr">
        <is>
          <t>HSX02</t>
        </is>
      </c>
      <c r="C1806" s="328" t="n"/>
      <c r="D1806" s="328" t="inlineStr">
        <is>
          <t>Trái phiếu doanh nghiệp</t>
        </is>
      </c>
      <c r="F1806" s="4" t="inlineStr">
        <is>
          <t>Báo cáo</t>
        </is>
      </c>
      <c r="G1806" s="22" t="inlineStr">
        <is>
          <t>Chỉ tiêu phái sinh</t>
        </is>
      </c>
      <c r="H1806" s="4" t="inlineStr">
        <is>
          <t>TB</t>
        </is>
      </c>
    </row>
    <row r="1807" ht="15" customHeight="1" s="380">
      <c r="B1807" s="4" t="inlineStr">
        <is>
          <t>HSX02</t>
        </is>
      </c>
      <c r="C1807" s="328" t="n"/>
      <c r="D1807" s="328" t="inlineStr">
        <is>
          <t>Chứng chỉ quỹ</t>
        </is>
      </c>
      <c r="F1807" s="4" t="inlineStr">
        <is>
          <t>Báo cáo</t>
        </is>
      </c>
      <c r="G1807" s="22" t="inlineStr">
        <is>
          <t>Chỉ tiêu phái sinh</t>
        </is>
      </c>
      <c r="H1807" s="4" t="inlineStr">
        <is>
          <t>TB</t>
        </is>
      </c>
    </row>
    <row r="1808" ht="15" customHeight="1" s="380">
      <c r="B1808" s="4" t="inlineStr">
        <is>
          <t>HSX02</t>
        </is>
      </c>
      <c r="C1808" s="328" t="n"/>
      <c r="D1808" s="328" t="inlineStr">
        <is>
          <t>ETF</t>
        </is>
      </c>
      <c r="F1808" s="4" t="inlineStr">
        <is>
          <t>Báo cáo</t>
        </is>
      </c>
      <c r="G1808" s="22" t="inlineStr">
        <is>
          <t>Chỉ tiêu phái sinh</t>
        </is>
      </c>
      <c r="H1808" s="4" t="inlineStr">
        <is>
          <t>TB</t>
        </is>
      </c>
    </row>
    <row r="1809" ht="15" customHeight="1" s="380">
      <c r="B1809" s="4" t="inlineStr">
        <is>
          <t>HSX02</t>
        </is>
      </c>
      <c r="C1809" s="328" t="n"/>
      <c r="D1809" s="328" t="inlineStr">
        <is>
          <t>CW</t>
        </is>
      </c>
      <c r="F1809" s="4" t="inlineStr">
        <is>
          <t>Báo cáo</t>
        </is>
      </c>
      <c r="G1809" s="22" t="inlineStr">
        <is>
          <t>Chỉ tiêu phái sinh</t>
        </is>
      </c>
      <c r="H1809" s="4" t="inlineStr">
        <is>
          <t>TB</t>
        </is>
      </c>
    </row>
    <row r="1810" ht="15" customHeight="1" s="380">
      <c r="B1810" s="4" t="inlineStr">
        <is>
          <t>HSX02</t>
        </is>
      </c>
      <c r="C1810" s="326" t="n"/>
      <c r="D1810" s="326" t="inlineStr">
        <is>
          <t>Số phiên thực hiện giao dịch</t>
        </is>
      </c>
      <c r="F1810" s="4" t="inlineStr">
        <is>
          <t>Báo cáo</t>
        </is>
      </c>
      <c r="G1810" s="22" t="inlineStr">
        <is>
          <t>Chỉ tiêu phái sinh</t>
        </is>
      </c>
      <c r="H1810" s="4" t="inlineStr">
        <is>
          <t>TB</t>
        </is>
      </c>
    </row>
    <row r="1811" ht="15" customHeight="1" s="380">
      <c r="B1811" s="4" t="inlineStr">
        <is>
          <t>HSX02</t>
        </is>
      </c>
      <c r="C1811" s="326" t="n"/>
      <c r="D1811" s="326" t="inlineStr">
        <is>
          <t>SGDCK TP.HCM</t>
        </is>
      </c>
      <c r="F1811" s="4" t="inlineStr">
        <is>
          <t>Báo cáo</t>
        </is>
      </c>
      <c r="G1811" s="22" t="inlineStr">
        <is>
          <t>Chỉ tiêu phái sinh</t>
        </is>
      </c>
      <c r="H1811" s="4" t="inlineStr">
        <is>
          <t>TB</t>
        </is>
      </c>
    </row>
    <row r="1812" ht="16" customHeight="1" s="380">
      <c r="B1812" s="4" t="inlineStr">
        <is>
          <t>HSX02</t>
        </is>
      </c>
      <c r="C1812" s="330" t="n"/>
      <c r="D1812" s="330" t="inlineStr">
        <is>
          <t>Giao dịch Nhà đầu tư nước ngoài</t>
        </is>
      </c>
      <c r="F1812" s="4" t="inlineStr">
        <is>
          <t>Báo cáo</t>
        </is>
      </c>
      <c r="G1812" s="22" t="inlineStr">
        <is>
          <t>Chỉ tiêu phái sinh</t>
        </is>
      </c>
      <c r="H1812" s="4" t="inlineStr">
        <is>
          <t>TB</t>
        </is>
      </c>
    </row>
    <row r="1813" ht="16" customHeight="1" s="380">
      <c r="B1813" s="4" t="inlineStr">
        <is>
          <t>HSX02</t>
        </is>
      </c>
      <c r="C1813" s="332" t="n"/>
      <c r="D1813" s="332" t="inlineStr">
        <is>
          <t>GDNĐTNN cổ phiếu niêm yết</t>
        </is>
      </c>
      <c r="F1813" s="4" t="inlineStr">
        <is>
          <t>Báo cáo</t>
        </is>
      </c>
      <c r="G1813" s="22" t="inlineStr">
        <is>
          <t>Chỉ tiêu phái sinh</t>
        </is>
      </c>
      <c r="H1813" s="4" t="inlineStr">
        <is>
          <t>TB</t>
        </is>
      </c>
    </row>
    <row r="1814" ht="16" customHeight="1" s="380">
      <c r="B1814" s="4" t="inlineStr">
        <is>
          <t>HSX02</t>
        </is>
      </c>
      <c r="C1814" s="334" t="n"/>
      <c r="D1814" s="334" t="inlineStr">
        <is>
          <t>Khối lượng giao dịch cổ phiếu niêm yết</t>
        </is>
      </c>
      <c r="F1814" s="4" t="inlineStr">
        <is>
          <t>Báo cáo</t>
        </is>
      </c>
      <c r="G1814" s="22" t="inlineStr">
        <is>
          <t>Chỉ tiêu phái sinh</t>
        </is>
      </c>
      <c r="H1814" s="4" t="inlineStr">
        <is>
          <t>TB</t>
        </is>
      </c>
    </row>
    <row r="1815" ht="16" customHeight="1" s="380">
      <c r="B1815" s="4" t="inlineStr">
        <is>
          <t>HSX02</t>
        </is>
      </c>
      <c r="C1815" s="334" t="n"/>
      <c r="D1815" s="334" t="inlineStr">
        <is>
          <t>Khối lượng giao dịch mua</t>
        </is>
      </c>
      <c r="F1815" s="4" t="inlineStr">
        <is>
          <t>Báo cáo</t>
        </is>
      </c>
      <c r="G1815" s="22" t="inlineStr">
        <is>
          <t>Chỉ tiêu phái sinh</t>
        </is>
      </c>
      <c r="H1815" s="4" t="inlineStr">
        <is>
          <t>TB</t>
        </is>
      </c>
    </row>
    <row r="1816" ht="16" customHeight="1" s="380">
      <c r="B1816" s="4" t="inlineStr">
        <is>
          <t>HSX02</t>
        </is>
      </c>
      <c r="C1816" s="334" t="n"/>
      <c r="D1816" s="334" t="inlineStr">
        <is>
          <t>Khối lượng giao dịch bán</t>
        </is>
      </c>
      <c r="F1816" s="4" t="inlineStr">
        <is>
          <t>Báo cáo</t>
        </is>
      </c>
      <c r="G1816" s="22" t="inlineStr">
        <is>
          <t>Chỉ tiêu phái sinh</t>
        </is>
      </c>
      <c r="H1816" s="4" t="inlineStr">
        <is>
          <t>TB</t>
        </is>
      </c>
    </row>
    <row r="1817" ht="16" customHeight="1" s="380">
      <c r="B1817" s="4" t="inlineStr">
        <is>
          <t>HSX02</t>
        </is>
      </c>
      <c r="C1817" s="334" t="n"/>
      <c r="D1817" s="334" t="inlineStr">
        <is>
          <t>Khối lượng mua/bán ròng</t>
        </is>
      </c>
      <c r="F1817" s="4" t="inlineStr">
        <is>
          <t>Báo cáo</t>
        </is>
      </c>
      <c r="G1817" s="22" t="inlineStr">
        <is>
          <t>Chỉ tiêu phái sinh</t>
        </is>
      </c>
      <c r="H1817" s="4" t="inlineStr">
        <is>
          <t>TB</t>
        </is>
      </c>
    </row>
    <row r="1818" ht="16" customHeight="1" s="380">
      <c r="B1818" s="4" t="inlineStr">
        <is>
          <t>HSX02</t>
        </is>
      </c>
      <c r="C1818" s="334" t="n"/>
      <c r="D1818" s="334" t="inlineStr">
        <is>
          <t>Giá trị giao dịch cổ phiếu niêm yết</t>
        </is>
      </c>
      <c r="F1818" s="4" t="inlineStr">
        <is>
          <t>Báo cáo</t>
        </is>
      </c>
      <c r="G1818" s="22" t="inlineStr">
        <is>
          <t>Chỉ tiêu phái sinh</t>
        </is>
      </c>
      <c r="H1818" s="4" t="inlineStr">
        <is>
          <t>TB</t>
        </is>
      </c>
    </row>
    <row r="1819" ht="16" customHeight="1" s="380">
      <c r="B1819" s="4" t="inlineStr">
        <is>
          <t>HSX02</t>
        </is>
      </c>
      <c r="C1819" s="334" t="n"/>
      <c r="D1819" s="334" t="inlineStr">
        <is>
          <t>Giá trị giao dịch mua</t>
        </is>
      </c>
      <c r="F1819" s="4" t="inlineStr">
        <is>
          <t>Báo cáo</t>
        </is>
      </c>
      <c r="G1819" s="22" t="inlineStr">
        <is>
          <t>Chỉ tiêu phái sinh</t>
        </is>
      </c>
      <c r="H1819" s="4" t="inlineStr">
        <is>
          <t>TB</t>
        </is>
      </c>
    </row>
    <row r="1820" ht="16" customHeight="1" s="380">
      <c r="B1820" s="4" t="inlineStr">
        <is>
          <t>HSX02</t>
        </is>
      </c>
      <c r="C1820" s="334" t="n"/>
      <c r="D1820" s="334" t="inlineStr">
        <is>
          <t>Giá trị giao dịch bán</t>
        </is>
      </c>
      <c r="F1820" s="4" t="inlineStr">
        <is>
          <t>Báo cáo</t>
        </is>
      </c>
      <c r="G1820" s="22" t="inlineStr">
        <is>
          <t>Chỉ tiêu phái sinh</t>
        </is>
      </c>
      <c r="H1820" s="4" t="inlineStr">
        <is>
          <t>TB</t>
        </is>
      </c>
    </row>
    <row r="1821" ht="16" customHeight="1" s="380">
      <c r="B1821" s="4" t="inlineStr">
        <is>
          <t>HSX02</t>
        </is>
      </c>
      <c r="C1821" s="334" t="n"/>
      <c r="D1821" s="334" t="inlineStr">
        <is>
          <t>Giá trị mua/bán ròng</t>
        </is>
      </c>
      <c r="F1821" s="4" t="inlineStr">
        <is>
          <t>Báo cáo</t>
        </is>
      </c>
      <c r="G1821" s="22" t="inlineStr">
        <is>
          <t>Chỉ tiêu phái sinh</t>
        </is>
      </c>
      <c r="H1821" s="4" t="inlineStr">
        <is>
          <t>TB</t>
        </is>
      </c>
    </row>
    <row r="1822" ht="16" customHeight="1" s="380">
      <c r="B1822" s="4" t="inlineStr">
        <is>
          <t>HSX02</t>
        </is>
      </c>
      <c r="C1822" s="332" t="n"/>
      <c r="D1822" s="332" t="inlineStr">
        <is>
          <t>GDNĐTNN chứng chỉ quỹ</t>
        </is>
      </c>
      <c r="F1822" s="4" t="inlineStr">
        <is>
          <t>Báo cáo</t>
        </is>
      </c>
      <c r="G1822" s="22" t="inlineStr">
        <is>
          <t>Chỉ tiêu phái sinh</t>
        </is>
      </c>
      <c r="H1822" s="4" t="inlineStr">
        <is>
          <t>TB</t>
        </is>
      </c>
    </row>
    <row r="1823" ht="16" customHeight="1" s="380">
      <c r="B1823" s="4" t="inlineStr">
        <is>
          <t>HSX02</t>
        </is>
      </c>
      <c r="C1823" s="334" t="n"/>
      <c r="D1823" s="334" t="inlineStr">
        <is>
          <t>Khối lượng giao dịch chứng chỉ quỹ</t>
        </is>
      </c>
      <c r="F1823" s="4" t="inlineStr">
        <is>
          <t>Báo cáo</t>
        </is>
      </c>
      <c r="G1823" s="22" t="inlineStr">
        <is>
          <t>Chỉ tiêu phái sinh</t>
        </is>
      </c>
      <c r="H1823" s="4" t="inlineStr">
        <is>
          <t>TB</t>
        </is>
      </c>
    </row>
    <row r="1824" ht="16" customHeight="1" s="380">
      <c r="B1824" s="4" t="inlineStr">
        <is>
          <t>HSX02</t>
        </is>
      </c>
      <c r="C1824" s="334" t="n"/>
      <c r="D1824" s="334" t="inlineStr">
        <is>
          <t>Khối lượng giao dịch mua</t>
        </is>
      </c>
      <c r="F1824" s="4" t="inlineStr">
        <is>
          <t>Báo cáo</t>
        </is>
      </c>
      <c r="G1824" s="22" t="inlineStr">
        <is>
          <t>Chỉ tiêu phái sinh</t>
        </is>
      </c>
      <c r="H1824" s="4" t="inlineStr">
        <is>
          <t>TB</t>
        </is>
      </c>
    </row>
    <row r="1825" ht="16" customHeight="1" s="380">
      <c r="B1825" s="4" t="inlineStr">
        <is>
          <t>HSX02</t>
        </is>
      </c>
      <c r="C1825" s="334" t="n"/>
      <c r="D1825" s="334" t="inlineStr">
        <is>
          <t>Khối lượng giao dịch bán</t>
        </is>
      </c>
      <c r="F1825" s="4" t="inlineStr">
        <is>
          <t>Báo cáo</t>
        </is>
      </c>
      <c r="G1825" s="22" t="inlineStr">
        <is>
          <t>Chỉ tiêu phái sinh</t>
        </is>
      </c>
      <c r="H1825" s="4" t="inlineStr">
        <is>
          <t>TB</t>
        </is>
      </c>
    </row>
    <row r="1826" ht="16" customHeight="1" s="380">
      <c r="B1826" s="4" t="inlineStr">
        <is>
          <t>HSX02</t>
        </is>
      </c>
      <c r="C1826" s="334" t="n"/>
      <c r="D1826" s="334" t="inlineStr">
        <is>
          <t>Khối lượng mua/bán ròng</t>
        </is>
      </c>
      <c r="F1826" s="4" t="inlineStr">
        <is>
          <t>Báo cáo</t>
        </is>
      </c>
      <c r="G1826" s="22" t="inlineStr">
        <is>
          <t>Chỉ tiêu phái sinh</t>
        </is>
      </c>
      <c r="H1826" s="4" t="inlineStr">
        <is>
          <t>TB</t>
        </is>
      </c>
    </row>
    <row r="1827" ht="16" customHeight="1" s="380">
      <c r="B1827" s="4" t="inlineStr">
        <is>
          <t>HSX02</t>
        </is>
      </c>
      <c r="C1827" s="334" t="n"/>
      <c r="D1827" s="334" t="inlineStr">
        <is>
          <t>Giá trị giao dịch chứng chỉ quỹ</t>
        </is>
      </c>
      <c r="F1827" s="4" t="inlineStr">
        <is>
          <t>Báo cáo</t>
        </is>
      </c>
      <c r="G1827" s="22" t="inlineStr">
        <is>
          <t>Chỉ tiêu phái sinh</t>
        </is>
      </c>
      <c r="H1827" s="4" t="inlineStr">
        <is>
          <t>TB</t>
        </is>
      </c>
    </row>
    <row r="1828" ht="16" customHeight="1" s="380">
      <c r="B1828" s="4" t="inlineStr">
        <is>
          <t>HSX02</t>
        </is>
      </c>
      <c r="C1828" s="334" t="n"/>
      <c r="D1828" s="334" t="inlineStr">
        <is>
          <t>Giá trị giao dịch mua</t>
        </is>
      </c>
      <c r="F1828" s="4" t="inlineStr">
        <is>
          <t>Báo cáo</t>
        </is>
      </c>
      <c r="G1828" s="22" t="inlineStr">
        <is>
          <t>Chỉ tiêu phái sinh</t>
        </is>
      </c>
      <c r="H1828" s="4" t="inlineStr">
        <is>
          <t>TB</t>
        </is>
      </c>
    </row>
    <row r="1829" ht="16" customHeight="1" s="380">
      <c r="B1829" s="4" t="inlineStr">
        <is>
          <t>HSX02</t>
        </is>
      </c>
      <c r="C1829" s="334" t="n"/>
      <c r="D1829" s="334" t="inlineStr">
        <is>
          <t>Giá trị giao dịch bán</t>
        </is>
      </c>
      <c r="F1829" s="4" t="inlineStr">
        <is>
          <t>Báo cáo</t>
        </is>
      </c>
      <c r="G1829" s="22" t="inlineStr">
        <is>
          <t>Chỉ tiêu phái sinh</t>
        </is>
      </c>
      <c r="H1829" s="4" t="inlineStr">
        <is>
          <t>TB</t>
        </is>
      </c>
    </row>
    <row r="1830" ht="16" customHeight="1" s="380">
      <c r="B1830" s="4" t="inlineStr">
        <is>
          <t>HSX02</t>
        </is>
      </c>
      <c r="C1830" s="334" t="n"/>
      <c r="D1830" s="334" t="inlineStr">
        <is>
          <t>Giá trị mua/bán ròng</t>
        </is>
      </c>
      <c r="F1830" s="4" t="inlineStr">
        <is>
          <t>Báo cáo</t>
        </is>
      </c>
      <c r="G1830" s="22" t="inlineStr">
        <is>
          <t>Chỉ tiêu phái sinh</t>
        </is>
      </c>
      <c r="H1830" s="4" t="inlineStr">
        <is>
          <t>TB</t>
        </is>
      </c>
    </row>
    <row r="1831" ht="16" customHeight="1" s="380">
      <c r="B1831" s="4" t="inlineStr">
        <is>
          <t>HSX02</t>
        </is>
      </c>
      <c r="C1831" s="332" t="n"/>
      <c r="D1831" s="332" t="inlineStr">
        <is>
          <t>GDNĐTNN ETF</t>
        </is>
      </c>
      <c r="F1831" s="4" t="inlineStr">
        <is>
          <t>Báo cáo</t>
        </is>
      </c>
      <c r="G1831" s="22" t="inlineStr">
        <is>
          <t>Chỉ tiêu phái sinh</t>
        </is>
      </c>
      <c r="H1831" s="4" t="inlineStr">
        <is>
          <t>TB</t>
        </is>
      </c>
    </row>
    <row r="1832" ht="16" customHeight="1" s="380">
      <c r="B1832" s="4" t="inlineStr">
        <is>
          <t>HSX02</t>
        </is>
      </c>
      <c r="C1832" s="334" t="n"/>
      <c r="D1832" s="334" t="inlineStr">
        <is>
          <t>Khối lượng giao dịch ETF</t>
        </is>
      </c>
      <c r="F1832" s="4" t="inlineStr">
        <is>
          <t>Báo cáo</t>
        </is>
      </c>
      <c r="G1832" s="22" t="inlineStr">
        <is>
          <t>Chỉ tiêu phái sinh</t>
        </is>
      </c>
      <c r="H1832" s="4" t="inlineStr">
        <is>
          <t>TB</t>
        </is>
      </c>
    </row>
    <row r="1833" ht="16" customHeight="1" s="380">
      <c r="B1833" s="4" t="inlineStr">
        <is>
          <t>HSX02</t>
        </is>
      </c>
      <c r="C1833" s="334" t="n"/>
      <c r="D1833" s="334" t="inlineStr">
        <is>
          <t>Khối lượng giao dịch mua</t>
        </is>
      </c>
      <c r="F1833" s="4" t="inlineStr">
        <is>
          <t>Báo cáo</t>
        </is>
      </c>
      <c r="G1833" s="22" t="inlineStr">
        <is>
          <t>Chỉ tiêu phái sinh</t>
        </is>
      </c>
      <c r="H1833" s="4" t="inlineStr">
        <is>
          <t>TB</t>
        </is>
      </c>
    </row>
    <row r="1834" ht="16" customHeight="1" s="380">
      <c r="B1834" s="4" t="inlineStr">
        <is>
          <t>HSX02</t>
        </is>
      </c>
      <c r="C1834" s="334" t="n"/>
      <c r="D1834" s="334" t="inlineStr">
        <is>
          <t>Khối lượng giao dịch bán</t>
        </is>
      </c>
      <c r="F1834" s="4" t="inlineStr">
        <is>
          <t>Báo cáo</t>
        </is>
      </c>
      <c r="G1834" s="22" t="inlineStr">
        <is>
          <t>Chỉ tiêu phái sinh</t>
        </is>
      </c>
      <c r="H1834" s="4" t="inlineStr">
        <is>
          <t>TB</t>
        </is>
      </c>
    </row>
    <row r="1835" ht="16" customHeight="1" s="380">
      <c r="B1835" s="4" t="inlineStr">
        <is>
          <t>HSX02</t>
        </is>
      </c>
      <c r="C1835" s="334" t="n"/>
      <c r="D1835" s="334" t="inlineStr">
        <is>
          <t>Khối lượng mua/bán ròng</t>
        </is>
      </c>
      <c r="F1835" s="4" t="inlineStr">
        <is>
          <t>Báo cáo</t>
        </is>
      </c>
      <c r="G1835" s="22" t="inlineStr">
        <is>
          <t>Chỉ tiêu phái sinh</t>
        </is>
      </c>
      <c r="H1835" s="4" t="inlineStr">
        <is>
          <t>TB</t>
        </is>
      </c>
    </row>
    <row r="1836" ht="16" customHeight="1" s="380">
      <c r="B1836" s="4" t="inlineStr">
        <is>
          <t>HSX02</t>
        </is>
      </c>
      <c r="C1836" s="334" t="n"/>
      <c r="D1836" s="334" t="inlineStr">
        <is>
          <t>Giá trị giao dịch ETF</t>
        </is>
      </c>
      <c r="F1836" s="4" t="inlineStr">
        <is>
          <t>Báo cáo</t>
        </is>
      </c>
      <c r="G1836" s="22" t="inlineStr">
        <is>
          <t>Chỉ tiêu phái sinh</t>
        </is>
      </c>
      <c r="H1836" s="4" t="inlineStr">
        <is>
          <t>TB</t>
        </is>
      </c>
    </row>
    <row r="1837" ht="16" customHeight="1" s="380">
      <c r="B1837" s="4" t="inlineStr">
        <is>
          <t>HSX02</t>
        </is>
      </c>
      <c r="C1837" s="334" t="n"/>
      <c r="D1837" s="334" t="inlineStr">
        <is>
          <t>Giá trị giao dịch mua</t>
        </is>
      </c>
      <c r="F1837" s="4" t="inlineStr">
        <is>
          <t>Báo cáo</t>
        </is>
      </c>
      <c r="G1837" s="22" t="inlineStr">
        <is>
          <t>Chỉ tiêu phái sinh</t>
        </is>
      </c>
      <c r="H1837" s="4" t="inlineStr">
        <is>
          <t>TB</t>
        </is>
      </c>
    </row>
    <row r="1838" ht="16" customHeight="1" s="380">
      <c r="B1838" s="4" t="inlineStr">
        <is>
          <t>HSX02</t>
        </is>
      </c>
      <c r="C1838" s="334" t="n"/>
      <c r="D1838" s="334" t="inlineStr">
        <is>
          <t>Giá trị giao dịch bán</t>
        </is>
      </c>
      <c r="F1838" s="4" t="inlineStr">
        <is>
          <t>Báo cáo</t>
        </is>
      </c>
      <c r="G1838" s="22" t="inlineStr">
        <is>
          <t>Chỉ tiêu phái sinh</t>
        </is>
      </c>
      <c r="H1838" s="4" t="inlineStr">
        <is>
          <t>TB</t>
        </is>
      </c>
    </row>
    <row r="1839" ht="16" customHeight="1" s="380">
      <c r="B1839" s="4" t="inlineStr">
        <is>
          <t>HSX02</t>
        </is>
      </c>
      <c r="C1839" s="334" t="n"/>
      <c r="D1839" s="334" t="inlineStr">
        <is>
          <t>Giá trị mua/bán ròng</t>
        </is>
      </c>
      <c r="F1839" s="4" t="inlineStr">
        <is>
          <t>Báo cáo</t>
        </is>
      </c>
      <c r="G1839" s="22" t="inlineStr">
        <is>
          <t>Chỉ tiêu phái sinh</t>
        </is>
      </c>
      <c r="H1839" s="4" t="inlineStr">
        <is>
          <t>TB</t>
        </is>
      </c>
    </row>
    <row r="1840" ht="16" customHeight="1" s="380">
      <c r="B1840" s="4" t="inlineStr">
        <is>
          <t>HSX02</t>
        </is>
      </c>
      <c r="C1840" s="330" t="n"/>
      <c r="D1840" s="330" t="inlineStr">
        <is>
          <t>GDNĐTNN trái phiếu</t>
        </is>
      </c>
      <c r="F1840" s="4" t="inlineStr">
        <is>
          <t>Báo cáo</t>
        </is>
      </c>
      <c r="G1840" s="22" t="inlineStr">
        <is>
          <t>Chỉ tiêu phái sinh</t>
        </is>
      </c>
      <c r="H1840" s="4" t="inlineStr">
        <is>
          <t>TB</t>
        </is>
      </c>
    </row>
    <row r="1841" ht="16" customHeight="1" s="380">
      <c r="B1841" s="4" t="inlineStr">
        <is>
          <t>HSX02</t>
        </is>
      </c>
      <c r="C1841" s="334" t="n"/>
      <c r="D1841" s="334" t="inlineStr">
        <is>
          <t>Khối lượng giao dịch trái phiếu</t>
        </is>
      </c>
      <c r="F1841" s="4" t="inlineStr">
        <is>
          <t>Báo cáo</t>
        </is>
      </c>
      <c r="G1841" s="22" t="inlineStr">
        <is>
          <t>Chỉ tiêu phái sinh</t>
        </is>
      </c>
      <c r="H1841" s="4" t="inlineStr">
        <is>
          <t>TB</t>
        </is>
      </c>
    </row>
    <row r="1842" ht="16" customHeight="1" s="380">
      <c r="B1842" s="4" t="inlineStr">
        <is>
          <t>HSX02</t>
        </is>
      </c>
      <c r="C1842" s="334" t="n"/>
      <c r="D1842" s="334" t="inlineStr">
        <is>
          <t>Khối lượng giao dịch mua</t>
        </is>
      </c>
      <c r="F1842" s="4" t="inlineStr">
        <is>
          <t>Báo cáo</t>
        </is>
      </c>
      <c r="G1842" s="22" t="inlineStr">
        <is>
          <t>Chỉ tiêu phái sinh</t>
        </is>
      </c>
      <c r="H1842" s="4" t="inlineStr">
        <is>
          <t>TB</t>
        </is>
      </c>
    </row>
    <row r="1843" ht="16" customHeight="1" s="380">
      <c r="B1843" s="4" t="inlineStr">
        <is>
          <t>HSX02</t>
        </is>
      </c>
      <c r="C1843" s="334" t="n"/>
      <c r="D1843" s="334" t="inlineStr">
        <is>
          <t>Khối lượng giao dịch bán</t>
        </is>
      </c>
      <c r="F1843" s="4" t="inlineStr">
        <is>
          <t>Báo cáo</t>
        </is>
      </c>
      <c r="G1843" s="22" t="inlineStr">
        <is>
          <t>Chỉ tiêu phái sinh</t>
        </is>
      </c>
      <c r="H1843" s="4" t="inlineStr">
        <is>
          <t>TB</t>
        </is>
      </c>
    </row>
    <row r="1844" ht="16" customHeight="1" s="380">
      <c r="B1844" s="4" t="inlineStr">
        <is>
          <t>HSX02</t>
        </is>
      </c>
      <c r="C1844" s="334" t="n"/>
      <c r="D1844" s="334" t="inlineStr">
        <is>
          <t>Khối lượng mua/bán ròng</t>
        </is>
      </c>
      <c r="F1844" s="4" t="inlineStr">
        <is>
          <t>Báo cáo</t>
        </is>
      </c>
      <c r="G1844" s="22" t="inlineStr">
        <is>
          <t>Chỉ tiêu phái sinh</t>
        </is>
      </c>
      <c r="H1844" s="4" t="inlineStr">
        <is>
          <t>TB</t>
        </is>
      </c>
    </row>
    <row r="1845" ht="16" customHeight="1" s="380">
      <c r="B1845" s="4" t="inlineStr">
        <is>
          <t>HSX02</t>
        </is>
      </c>
      <c r="C1845" s="334" t="n"/>
      <c r="D1845" s="334" t="inlineStr">
        <is>
          <t>Giá trị giao dịch trái phiếu</t>
        </is>
      </c>
      <c r="F1845" s="4" t="inlineStr">
        <is>
          <t>Báo cáo</t>
        </is>
      </c>
      <c r="G1845" s="22" t="inlineStr">
        <is>
          <t>Chỉ tiêu phái sinh</t>
        </is>
      </c>
      <c r="H1845" s="4" t="inlineStr">
        <is>
          <t>TB</t>
        </is>
      </c>
    </row>
    <row r="1846" ht="16" customHeight="1" s="380">
      <c r="B1846" s="4" t="inlineStr">
        <is>
          <t>HSX02</t>
        </is>
      </c>
      <c r="C1846" s="334" t="n"/>
      <c r="D1846" s="334" t="inlineStr">
        <is>
          <t>Giá trị giao dịch mua</t>
        </is>
      </c>
      <c r="F1846" s="4" t="inlineStr">
        <is>
          <t>Báo cáo</t>
        </is>
      </c>
      <c r="G1846" s="22" t="inlineStr">
        <is>
          <t>Chỉ tiêu phái sinh</t>
        </is>
      </c>
      <c r="H1846" s="4" t="inlineStr">
        <is>
          <t>TB</t>
        </is>
      </c>
    </row>
    <row r="1847" ht="16" customHeight="1" s="380">
      <c r="B1847" s="4" t="inlineStr">
        <is>
          <t>HSX02</t>
        </is>
      </c>
      <c r="C1847" s="334" t="n"/>
      <c r="D1847" s="334" t="inlineStr">
        <is>
          <t>Giá trị giao dịch bán</t>
        </is>
      </c>
      <c r="F1847" s="4" t="inlineStr">
        <is>
          <t>Báo cáo</t>
        </is>
      </c>
      <c r="G1847" s="22" t="inlineStr">
        <is>
          <t>Chỉ tiêu phái sinh</t>
        </is>
      </c>
      <c r="H1847" s="4" t="inlineStr">
        <is>
          <t>TB</t>
        </is>
      </c>
    </row>
    <row r="1848" ht="16" customHeight="1" s="380">
      <c r="B1848" s="4" t="inlineStr">
        <is>
          <t>HSX02</t>
        </is>
      </c>
      <c r="C1848" s="334" t="n"/>
      <c r="D1848" s="334" t="inlineStr">
        <is>
          <t>Giá trị mua/bán ròng</t>
        </is>
      </c>
      <c r="F1848" s="4" t="inlineStr">
        <is>
          <t>Báo cáo</t>
        </is>
      </c>
      <c r="G1848" s="22" t="inlineStr">
        <is>
          <t>Chỉ tiêu phái sinh</t>
        </is>
      </c>
      <c r="H1848" s="4" t="inlineStr">
        <is>
          <t>TB</t>
        </is>
      </c>
    </row>
    <row r="1849" ht="16" customHeight="1" s="380">
      <c r="B1849" s="4" t="inlineStr">
        <is>
          <t>HSX02</t>
        </is>
      </c>
      <c r="C1849" s="330" t="n"/>
      <c r="D1849" s="330" t="inlineStr">
        <is>
          <t>GDNĐTNN CW</t>
        </is>
      </c>
      <c r="F1849" s="4" t="inlineStr">
        <is>
          <t>Báo cáo</t>
        </is>
      </c>
      <c r="G1849" s="22" t="inlineStr">
        <is>
          <t>Chỉ tiêu phái sinh</t>
        </is>
      </c>
      <c r="H1849" s="4" t="inlineStr">
        <is>
          <t>TB</t>
        </is>
      </c>
    </row>
    <row r="1850" ht="16" customHeight="1" s="380">
      <c r="B1850" s="4" t="inlineStr">
        <is>
          <t>HSX02</t>
        </is>
      </c>
      <c r="C1850" s="334" t="n"/>
      <c r="D1850" s="334" t="inlineStr">
        <is>
          <t>Khối lượng giao dịch CW</t>
        </is>
      </c>
      <c r="F1850" s="4" t="inlineStr">
        <is>
          <t>Báo cáo</t>
        </is>
      </c>
      <c r="G1850" s="22" t="inlineStr">
        <is>
          <t>Chỉ tiêu phái sinh</t>
        </is>
      </c>
      <c r="H1850" s="4" t="inlineStr">
        <is>
          <t>TB</t>
        </is>
      </c>
    </row>
    <row r="1851" ht="16" customHeight="1" s="380">
      <c r="B1851" s="4" t="inlineStr">
        <is>
          <t>HSX02</t>
        </is>
      </c>
      <c r="C1851" s="334" t="n"/>
      <c r="D1851" s="334" t="inlineStr">
        <is>
          <t>Khối lượng giao dịch mua</t>
        </is>
      </c>
      <c r="F1851" s="4" t="inlineStr">
        <is>
          <t>Báo cáo</t>
        </is>
      </c>
      <c r="G1851" s="22" t="inlineStr">
        <is>
          <t>Chỉ tiêu phái sinh</t>
        </is>
      </c>
      <c r="H1851" s="4" t="inlineStr">
        <is>
          <t>TB</t>
        </is>
      </c>
    </row>
    <row r="1852" ht="16" customHeight="1" s="380">
      <c r="B1852" s="4" t="inlineStr">
        <is>
          <t>HSX02</t>
        </is>
      </c>
      <c r="C1852" s="334" t="n"/>
      <c r="D1852" s="334" t="inlineStr">
        <is>
          <t>Khối lượng giao dịch bán</t>
        </is>
      </c>
      <c r="F1852" s="4" t="inlineStr">
        <is>
          <t>Báo cáo</t>
        </is>
      </c>
      <c r="G1852" s="22" t="inlineStr">
        <is>
          <t>Chỉ tiêu phái sinh</t>
        </is>
      </c>
      <c r="H1852" s="4" t="inlineStr">
        <is>
          <t>TB</t>
        </is>
      </c>
    </row>
    <row r="1853" ht="16" customHeight="1" s="380">
      <c r="B1853" s="4" t="inlineStr">
        <is>
          <t>HSX02</t>
        </is>
      </c>
      <c r="C1853" s="334" t="n"/>
      <c r="D1853" s="334" t="inlineStr">
        <is>
          <t>Khối lượng mua/bán ròng</t>
        </is>
      </c>
      <c r="F1853" s="4" t="inlineStr">
        <is>
          <t>Báo cáo</t>
        </is>
      </c>
      <c r="G1853" s="22" t="inlineStr">
        <is>
          <t>Chỉ tiêu phái sinh</t>
        </is>
      </c>
      <c r="H1853" s="4" t="inlineStr">
        <is>
          <t>TB</t>
        </is>
      </c>
    </row>
    <row r="1854" ht="16" customHeight="1" s="380">
      <c r="B1854" s="4" t="inlineStr">
        <is>
          <t>HSX02</t>
        </is>
      </c>
      <c r="C1854" s="334" t="n"/>
      <c r="D1854" s="334" t="inlineStr">
        <is>
          <t>Giá trị giao dịch CW</t>
        </is>
      </c>
      <c r="F1854" s="4" t="inlineStr">
        <is>
          <t>Báo cáo</t>
        </is>
      </c>
      <c r="G1854" s="22" t="inlineStr">
        <is>
          <t>Chỉ tiêu phái sinh</t>
        </is>
      </c>
      <c r="H1854" s="4" t="inlineStr">
        <is>
          <t>TB</t>
        </is>
      </c>
    </row>
    <row r="1855" ht="16" customHeight="1" s="380">
      <c r="B1855" s="4" t="inlineStr">
        <is>
          <t>HSX02</t>
        </is>
      </c>
      <c r="C1855" s="334" t="n"/>
      <c r="D1855" s="334" t="inlineStr">
        <is>
          <t>Giá trị giao dịch mua</t>
        </is>
      </c>
      <c r="F1855" s="4" t="inlineStr">
        <is>
          <t>Báo cáo</t>
        </is>
      </c>
      <c r="G1855" s="22" t="inlineStr">
        <is>
          <t>Chỉ tiêu phái sinh</t>
        </is>
      </c>
      <c r="H1855" s="4" t="inlineStr">
        <is>
          <t>TB</t>
        </is>
      </c>
    </row>
    <row r="1856" ht="16" customHeight="1" s="380">
      <c r="B1856" s="4" t="inlineStr">
        <is>
          <t>HSX02</t>
        </is>
      </c>
      <c r="C1856" s="334" t="n"/>
      <c r="D1856" s="334" t="inlineStr">
        <is>
          <t>Giá trị giao dịch bán</t>
        </is>
      </c>
      <c r="F1856" s="4" t="inlineStr">
        <is>
          <t>Báo cáo</t>
        </is>
      </c>
      <c r="G1856" s="22" t="inlineStr">
        <is>
          <t>Chỉ tiêu phái sinh</t>
        </is>
      </c>
      <c r="H1856" s="4" t="inlineStr">
        <is>
          <t>TB</t>
        </is>
      </c>
    </row>
    <row r="1857" ht="16" customHeight="1" s="380">
      <c r="B1857" s="4" t="inlineStr">
        <is>
          <t>HSX02</t>
        </is>
      </c>
      <c r="C1857" s="334" t="n"/>
      <c r="D1857" s="334" t="inlineStr">
        <is>
          <t>Giá trị mua/bán ròng</t>
        </is>
      </c>
      <c r="F1857" s="4" t="inlineStr">
        <is>
          <t>Báo cáo</t>
        </is>
      </c>
      <c r="G1857" s="22" t="inlineStr">
        <is>
          <t>Chỉ tiêu phái sinh</t>
        </is>
      </c>
      <c r="H1857" s="4" t="inlineStr">
        <is>
          <t>TB</t>
        </is>
      </c>
    </row>
  </sheetData>
  <autoFilter ref="A1:L1857"/>
  <mergeCells count="12">
    <mergeCell ref="C825:C837"/>
    <mergeCell ref="C680:C685"/>
    <mergeCell ref="C649:C668"/>
    <mergeCell ref="C176:C358"/>
    <mergeCell ref="C669:C679"/>
    <mergeCell ref="C3:C175"/>
    <mergeCell ref="C711:C752"/>
    <mergeCell ref="C376:C408"/>
    <mergeCell ref="C359:C375"/>
    <mergeCell ref="C686:C710"/>
    <mergeCell ref="C409:C452"/>
    <mergeCell ref="C638:C648"/>
  </mergeCells>
  <hyperlinks>
    <hyperlink xmlns:r="http://schemas.openxmlformats.org/officeDocument/2006/relationships" ref="D529" r:id="rId1"/>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2026-06-11T08:55:27Z</dcterms:created>
  <dcterms:modified xmlns:dcterms="http://purl.org/dc/terms/" xmlns:xsi="http://www.w3.org/2001/XMLSchema-instance" xsi:type="dcterms:W3CDTF">2026-06-11T09:37:36Z</dcterms:modified>
  <cp:lastModifiedBy>Linh LV</cp:lastModifiedBy>
</cp:coreProperties>
</file>